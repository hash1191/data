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16.xml" ContentType="application/vnd.openxmlformats-officedocument.spreadsheetml.worksheet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6100" tabRatio="600" firstSheet="0" activeTab="3" autoFilterDateGrouping="1"/>
  </bookViews>
  <sheets>
    <sheet name="Quality Check" sheetId="1" state="visible" r:id="rId1"/>
    <sheet name="Dataset Overview" sheetId="2" state="visible" r:id="rId2"/>
    <sheet name="Exhibit 1" sheetId="3" state="visible" r:id="rId3"/>
    <sheet name="Exhibit 2" sheetId="4" state="visible" r:id="rId4"/>
    <sheet name="Analysis1" sheetId="5" state="visible" r:id="rId5"/>
    <sheet name="Analysis2" sheetId="6" state="visible" r:id="rId6"/>
    <sheet name="Analysis3" sheetId="7" state="visible" r:id="rId7"/>
    <sheet name="Analysis4" sheetId="8" state="visible" r:id="rId8"/>
    <sheet name="Analysis5" sheetId="9" state="visible" r:id="rId9"/>
    <sheet name="Analysis6" sheetId="10" state="visible" r:id="rId10"/>
    <sheet name="Analysis7" sheetId="11" state="visible" r:id="rId11"/>
    <sheet name="Analysis8" sheetId="12" state="visible" r:id="rId12"/>
    <sheet name="Analysis9" sheetId="13" state="visible" r:id="rId13"/>
    <sheet name="Overall Summary" sheetId="14" state="visible" r:id="rId14"/>
    <sheet name="NSE Summary" sheetId="15" state="visible" r:id="rId15"/>
    <sheet name="BSE Summary" sheetId="16" state="visible" r:id="rId16"/>
    <sheet name="NSE - NIFTY Index Options" sheetId="17" state="visible" r:id="rId17"/>
    <sheet name="NSE - Other Index Options" sheetId="18" state="visible" r:id="rId18"/>
    <sheet name="BSE - SENSEX Index Options" sheetId="19" state="visible" r:id="rId19"/>
    <sheet name="BSE - Other Index Options" sheetId="20" state="visible" r:id="rId20"/>
  </sheets>
  <definedNames/>
  <calcPr calcId="191029" fullCalcOnLoad="1"/>
  <pivotCaches>
    <pivotCache cacheId="57" r:id="rId21"/>
    <pivotCache cacheId="52" r:id="rId22"/>
    <pivotCache cacheId="67" r:id="rId23"/>
    <pivotCache cacheId="62" r:id="rId24"/>
  </pivotCaches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_(* #,##0.0_);_(* \(#,##0.0\);_(* &quot;-&quot;??_);_(@_)"/>
    <numFmt numFmtId="166" formatCode="mmm\-yyyy"/>
    <numFmt numFmtId="167" formatCode="0.0%"/>
    <numFmt numFmtId="168" formatCode="dd\-mmm\-yyyy"/>
    <numFmt numFmtId="169" formatCode="dd-mmm-yyyy"/>
    <numFmt numFmtId="170" formatCode="mmm-yyyy"/>
  </numFmts>
  <fonts count="32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i val="1"/>
      <color rgb="FF808080"/>
      <sz val="12"/>
    </font>
    <font>
      <name val="Aptos Narrow"/>
      <sz val="12"/>
    </font>
    <font>
      <name val="Aptos Narrow"/>
      <b val="1"/>
      <sz val="13"/>
    </font>
    <font>
      <name val="Aptos Narrow"/>
      <i val="1"/>
      <color rgb="FF808080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i val="1"/>
      <color rgb="FF808080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i val="1"/>
      <color rgb="FF808080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i val="1"/>
      <color rgb="FF808080"/>
      <sz val="12"/>
    </font>
    <font>
      <name val="Aptos Narrow"/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5">
    <xf numFmtId="0" fontId="4" fillId="0" borderId="0"/>
    <xf numFmtId="0" fontId="2" fillId="0" borderId="0"/>
    <xf numFmtId="43" fontId="2" fillId="0" borderId="0"/>
    <xf numFmtId="43" fontId="4" fillId="0" borderId="0"/>
    <xf numFmtId="9" fontId="4" fillId="0" borderId="0"/>
  </cellStyleXfs>
  <cellXfs count="80">
    <xf numFmtId="0" fontId="0" fillId="0" borderId="0" pivotButton="0" quotePrefix="0" xfId="0"/>
    <xf numFmtId="0" fontId="3" fillId="0" borderId="0" pivotButton="0" quotePrefix="0" xfId="1"/>
    <xf numFmtId="0" fontId="2" fillId="0" borderId="0" applyAlignment="1" pivotButton="0" quotePrefix="0" xfId="1">
      <alignment horizontal="left"/>
    </xf>
    <xf numFmtId="164" fontId="0" fillId="0" borderId="0" pivotButton="0" quotePrefix="0" xfId="2"/>
    <xf numFmtId="0" fontId="2" fillId="0" borderId="0" pivotButton="0" quotePrefix="0" xfId="1"/>
    <xf numFmtId="0" fontId="3" fillId="0" borderId="0" applyAlignment="1" pivotButton="0" quotePrefix="0" xfId="1">
      <alignment horizontal="left"/>
    </xf>
    <xf numFmtId="165" fontId="3" fillId="0" borderId="0" pivotButton="0" quotePrefix="0" xfId="2"/>
    <xf numFmtId="4" fontId="2" fillId="0" borderId="0" pivotButton="0" quotePrefix="0" xfId="1"/>
    <xf numFmtId="164" fontId="2" fillId="0" borderId="0" pivotButton="0" quotePrefix="0" xfId="1"/>
    <xf numFmtId="164" fontId="3" fillId="0" borderId="0" pivotButton="0" quotePrefix="0" xfId="1"/>
    <xf numFmtId="0" fontId="1" fillId="0" borderId="0" pivotButton="0" quotePrefix="0" xfId="0"/>
    <xf numFmtId="15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5" fillId="0" borderId="0" pivotButton="0" quotePrefix="0" xfId="1"/>
    <xf numFmtId="0" fontId="6" fillId="0" borderId="0" pivotButton="0" quotePrefix="0" xfId="0"/>
    <xf numFmtId="0" fontId="7" fillId="0" borderId="0" pivotButton="0" quotePrefix="0" xfId="0"/>
    <xf numFmtId="164" fontId="7" fillId="0" borderId="0" pivotButton="0" quotePrefix="0" xfId="3"/>
    <xf numFmtId="164" fontId="6" fillId="0" borderId="0" pivotButton="0" quotePrefix="0" xfId="0"/>
    <xf numFmtId="9" fontId="7" fillId="0" borderId="0" pivotButton="0" quotePrefix="0" xfId="4"/>
    <xf numFmtId="9" fontId="7" fillId="2" borderId="0" pivotButton="0" quotePrefix="0" xfId="4"/>
    <xf numFmtId="166" fontId="0" fillId="0" borderId="0" applyAlignment="1" pivotButton="0" quotePrefix="0" xfId="0">
      <alignment horizontal="left"/>
    </xf>
    <xf numFmtId="17" fontId="6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4" fontId="8" fillId="0" borderId="0" pivotButton="0" quotePrefix="0" xfId="0"/>
    <xf numFmtId="167" fontId="8" fillId="0" borderId="0" pivotButton="0" quotePrefix="0" xfId="0"/>
    <xf numFmtId="0" fontId="9" fillId="0" borderId="0" pivotButton="0" quotePrefix="0" xfId="0"/>
    <xf numFmtId="4" fontId="9" fillId="0" borderId="0" pivotButton="0" quotePrefix="0" xfId="0"/>
    <xf numFmtId="167" fontId="9" fillId="0" borderId="0" pivotButton="0" quotePrefix="0" xfId="0"/>
    <xf numFmtId="168" fontId="0" fillId="0" borderId="0" pivotButton="0" quotePrefix="0" xfId="0"/>
    <xf numFmtId="0" fontId="10" fillId="0" borderId="0" pivotButton="0" quotePrefix="0" xfId="0"/>
    <xf numFmtId="4" fontId="10" fillId="0" borderId="0" pivotButton="0" quotePrefix="0" xfId="0"/>
    <xf numFmtId="167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4" fontId="14" fillId="0" borderId="0" pivotButton="0" quotePrefix="0" xfId="0"/>
    <xf numFmtId="167" fontId="14" fillId="0" borderId="0" pivotButton="0" quotePrefix="0" xfId="0"/>
    <xf numFmtId="0" fontId="15" fillId="0" borderId="0" pivotButton="0" quotePrefix="0" xfId="0"/>
    <xf numFmtId="4" fontId="15" fillId="0" borderId="0" pivotButton="0" quotePrefix="0" xfId="0"/>
    <xf numFmtId="167" fontId="15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3" fontId="20" fillId="0" borderId="0" pivotButton="0" quotePrefix="0" xfId="0"/>
    <xf numFmtId="4" fontId="20" fillId="0" borderId="0" pivotButton="0" quotePrefix="0" xfId="0"/>
    <xf numFmtId="167" fontId="20" fillId="0" borderId="0" pivotButton="0" quotePrefix="0" xfId="0"/>
    <xf numFmtId="0" fontId="8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1" fillId="0" borderId="0" pivotButton="0" quotePrefix="0" xfId="0"/>
    <xf numFmtId="167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4" fillId="0" borderId="0" applyAlignment="1" pivotButton="0" quotePrefix="0" xfId="0">
      <alignment horizontal="center"/>
    </xf>
    <xf numFmtId="164" fontId="4" fillId="0" borderId="0" pivotButton="0" quotePrefix="0" xfId="3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4" fontId="27" fillId="0" borderId="0" pivotButton="0" quotePrefix="0" xfId="0"/>
    <xf numFmtId="167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4" fontId="28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center"/>
    </xf>
    <xf numFmtId="169" fontId="0" fillId="0" borderId="0" pivotButton="0" quotePrefix="0" xfId="0"/>
    <xf numFmtId="170" fontId="0" fillId="0" borderId="0" pivotButton="0" quotePrefix="0" xfId="0"/>
    <xf numFmtId="169" fontId="0" fillId="0" borderId="0" pivotButton="0" quotePrefix="0" xfId="0"/>
  </cellXfs>
  <cellStyles count="5">
    <cellStyle name="Normal" xfId="0" builtinId="0"/>
    <cellStyle name="Normal 2" xfId="1"/>
    <cellStyle name="Comma 2" xfId="2"/>
    <cellStyle name="Comma" xfId="3" builtinId="3"/>
    <cellStyle name="Per cent" xfId="4" builtinId="5"/>
  </cellStyles>
  <dxfs count="8"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pivotCacheDefinition" Target="/xl/pivotCache/pivotCacheDefinition1.xml" Id="rId21" /><Relationship Type="http://schemas.openxmlformats.org/officeDocument/2006/relationships/pivotCacheDefinition" Target="/xl/pivotCache/pivotCacheDefinition2.xml" Id="rId22" /><Relationship Type="http://schemas.openxmlformats.org/officeDocument/2006/relationships/pivotCacheDefinition" Target="/xl/pivotCache/pivotCacheDefinition3.xml" Id="rId23" /><Relationship Type="http://schemas.openxmlformats.org/officeDocument/2006/relationships/pivotCacheDefinition" Target="/xl/pivotCache/pivotCacheDefinition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4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Himank Sangai" refreshedDate="46225.35922685186" createdVersion="8" refreshedVersion="8" minRefreshableVersion="3" recordCount="1314" r:id="rId1">
  <cacheSource type="worksheet">
    <worksheetSource ref="A1:M1393" sheet="NSE - Other Index Options"/>
  </cacheSource>
  <cacheFields count="13">
    <cacheField name="Trade Date" uniqueList="1" numFmtId="0" sqlType="0" hierarchy="0" level="0" databaseField="1">
      <sharedItems count="0"/>
    </cacheField>
    <cacheField name="Trade Day" uniqueList="1" numFmtId="0" sqlType="0" hierarchy="0" level="0" databaseField="1">
      <sharedItems count="6">
        <s v="Monday"/>
        <s v="Tuesday"/>
        <s v="Wednesday"/>
        <s v="Thursday"/>
        <s v="Friday"/>
        <s v="Sunday"/>
      </sharedItems>
    </cacheField>
    <cacheField name="Trade Week-Month-Year" uniqueList="1" numFmtId="0" sqlType="0" hierarchy="0" level="0" databaseField="1">
      <sharedItems count="0"/>
    </cacheField>
    <cacheField name="Trade Month - Year" uniqueList="1" numFmtId="166" sqlType="0" hierarchy="0" level="0" databaseField="1">
      <sharedItems count="11" containsDate="1" containsNonDate="0" containsSemiMixedTypes="0" containsString="0" minDate="2025-09-01T00:00:00" maxDate="2026-07-02T00:00:00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</cacheField>
    <cacheField name="Trade Quarter" uniqueList="1" numFmtId="0" sqlType="0" hierarchy="0" level="0" databaseField="1">
      <sharedItems count="0"/>
    </cacheField>
    <cacheField name="Expiry Date" uniqueList="1" numFmtId="0" sqlType="0" hierarchy="0" level="0" databaseField="1">
      <sharedItems count="0"/>
    </cacheField>
    <cacheField name="Expiry Day" uniqueList="1" numFmtId="0" sqlType="0" hierarchy="0" level="0" databaseField="1">
      <sharedItems count="0"/>
    </cacheField>
    <cacheField name="Expiry Type 2" uniqueList="1" numFmtId="0" sqlType="0" hierarchy="0" level="0" databaseField="1">
      <sharedItems count="0"/>
    </cacheField>
    <cacheField name="Expiry Type" uniqueList="1" numFmtId="0" sqlType="0" hierarchy="0" level="0" databaseField="1">
      <sharedItems count="0"/>
    </cacheField>
    <cacheField name="Expiry Month Offset" uniqueList="1" numFmtId="0" sqlType="0" hierarchy="0" level="0" databaseField="1">
      <sharedItems count="0"/>
    </cacheField>
    <cacheField name="Number of Contracts" uniqueList="1" numFmtId="3" sqlType="0" hierarchy="0" level="0" databaseField="1">
      <sharedItems count="0" containsInteger="1" containsNumber="1" containsSemiMixedTypes="0" containsString="0" minValue="0" maxValue="96694212"/>
    </cacheField>
    <cacheField name="Notional Turnover (INR Bn)" uniqueList="1" numFmtId="4" sqlType="0" hierarchy="0" level="0" databaseField="1">
      <sharedItems count="0" containsNumber="1" containsSemiMixedTypes="0" containsString="0" minValue="0" maxValue="174516.3723"/>
    </cacheField>
    <cacheField name="Premium Turnover (INR Bn)" uniqueList="1" numFmtId="4" sqlType="0" hierarchy="0" level="0" databaseField="1">
      <sharedItems count="0" containsNumber="1" containsSemiMixedTypes="0" containsString="0" minValue="0" maxValue="180.1661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OnLoad="1" refreshedBy="Himank Sangai" refreshedDate="46225.35922615741" createdVersion="8" refreshedVersion="8" minRefreshableVersion="3" recordCount="3942" r:id="rId1">
  <cacheSource type="worksheet">
    <worksheetSource ref="A1:M4177" sheet="NSE - NIFTY Index Options"/>
  </cacheSource>
  <cacheFields count="13">
    <cacheField name="Trade Date" uniqueList="1" numFmtId="0" sqlType="0" hierarchy="0" level="0" databaseField="1">
      <sharedItems count="0"/>
    </cacheField>
    <cacheField name="Trade Day" uniqueList="1" numFmtId="0" sqlType="0" hierarchy="0" level="0" databaseField="1">
      <sharedItems count="6">
        <s v="Monday"/>
        <s v="Tuesday"/>
        <s v="Wednesday"/>
        <s v="Thursday"/>
        <s v="Friday"/>
        <s v="Sunday"/>
      </sharedItems>
    </cacheField>
    <cacheField name="Trade Week-Month-Year" uniqueList="1" numFmtId="0" sqlType="0" hierarchy="0" level="0" databaseField="1">
      <sharedItems count="0"/>
    </cacheField>
    <cacheField name="Trade Month - Year" uniqueList="1" numFmtId="166" sqlType="0" hierarchy="0" level="0" databaseField="1">
      <sharedItems count="11" containsDate="1" containsNonDate="0" containsSemiMixedTypes="0" containsString="0" minDate="2025-09-01T00:00:00" maxDate="2026-07-02T00:00:00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</cacheField>
    <cacheField name="Trade Quarter" uniqueList="1" numFmtId="0" sqlType="0" hierarchy="0" level="0" databaseField="1">
      <sharedItems count="0"/>
    </cacheField>
    <cacheField name="Expiry Date" uniqueList="1" numFmtId="0" sqlType="0" hierarchy="0" level="0" databaseField="1">
      <sharedItems count="0"/>
    </cacheField>
    <cacheField name="Expiry Day" uniqueList="1" numFmtId="0" sqlType="0" hierarchy="0" level="0" databaseField="1">
      <sharedItems count="0"/>
    </cacheField>
    <cacheField name="Expiry Type 2" uniqueList="1" numFmtId="0" sqlType="0" hierarchy="0" level="0" databaseField="1">
      <sharedItems count="0"/>
    </cacheField>
    <cacheField name="Expiry Type" uniqueList="1" numFmtId="0" sqlType="0" hierarchy="0" level="0" databaseField="1">
      <sharedItems count="0"/>
    </cacheField>
    <cacheField name="Expiry Month Offset" uniqueList="1" numFmtId="0" sqlType="0" hierarchy="0" level="0" databaseField="1">
      <sharedItems count="0"/>
    </cacheField>
    <cacheField name="Number of Contracts" uniqueList="1" numFmtId="3" sqlType="0" hierarchy="0" level="0" databaseField="1">
      <sharedItems count="0" containsInteger="1" containsNumber="1" containsSemiMixedTypes="0" containsString="0" minValue="0" maxValue="494349594"/>
    </cacheField>
    <cacheField name="Notional Turnover (INR Bn)" uniqueList="1" numFmtId="4" sqlType="0" hierarchy="0" level="0" databaseField="1">
      <sharedItems count="0" containsNumber="1" containsSemiMixedTypes="0" containsString="0" minValue="0" maxValue="763109.4183"/>
    </cacheField>
    <cacheField name="Premium Turnover (INR Bn)" uniqueList="1" numFmtId="4" sqlType="0" hierarchy="0" level="0" databaseField="1">
      <sharedItems count="0" containsNumber="1" containsSemiMixedTypes="0" containsString="0" minValue="0" maxValue="978.7119"/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OnLoad="1" refreshedBy="Himank Sangai" refreshedDate="46225.359228125" createdVersion="8" refreshedVersion="8" minRefreshableVersion="3" recordCount="398" r:id="rId1">
  <cacheSource type="worksheet">
    <worksheetSource ref="A1:M426" sheet="BSE - Other Index Options"/>
  </cacheSource>
  <cacheFields count="13">
    <cacheField name="Trade Date" uniqueList="1" numFmtId="0" sqlType="0" hierarchy="0" level="0" databaseField="1">
      <sharedItems count="0"/>
    </cacheField>
    <cacheField name="Trade Day" uniqueList="1" numFmtId="0" sqlType="0" hierarchy="0" level="0" databaseField="1">
      <sharedItems count="7" containsBlank="1">
        <s v="Monday"/>
        <s v="Tuesday"/>
        <s v="Wednesday"/>
        <s v="Thursday"/>
        <s v="Friday"/>
        <s v="Sunday"/>
        <m u="1"/>
      </sharedItems>
    </cacheField>
    <cacheField name="Trade Week-Month-Year" uniqueList="1" numFmtId="0" sqlType="0" hierarchy="0" level="0" databaseField="1">
      <sharedItems count="0"/>
    </cacheField>
    <cacheField name="Trade Month - Year" uniqueList="1" numFmtId="166" sqlType="0" hierarchy="0" level="0" databaseField="1">
      <sharedItems count="11" containsDate="1" containsNonDate="0" containsSemiMixedTypes="0" containsString="0" minDate="2025-09-01T00:00:00" maxDate="2026-07-02T00:00:00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</cacheField>
    <cacheField name="Trade Quarter" uniqueList="1" numFmtId="0" sqlType="0" hierarchy="0" level="0" databaseField="1">
      <sharedItems count="0"/>
    </cacheField>
    <cacheField name="Expiry Date" uniqueList="1" numFmtId="0" sqlType="0" hierarchy="0" level="0" databaseField="1">
      <sharedItems count="0"/>
    </cacheField>
    <cacheField name="Expiry Day" uniqueList="1" numFmtId="0" sqlType="0" hierarchy="0" level="0" databaseField="1">
      <sharedItems count="0"/>
    </cacheField>
    <cacheField name="Expiry Type 2" uniqueList="1" numFmtId="0" sqlType="0" hierarchy="0" level="0" databaseField="1">
      <sharedItems count="0"/>
    </cacheField>
    <cacheField name="Expiry Type" uniqueList="1" numFmtId="0" sqlType="0" hierarchy="0" level="0" databaseField="1">
      <sharedItems count="0"/>
    </cacheField>
    <cacheField name="Expiry Month Offset" uniqueList="1" numFmtId="0" sqlType="0" hierarchy="0" level="0" databaseField="1">
      <sharedItems count="0"/>
    </cacheField>
    <cacheField name="Number of Contracts" uniqueList="1" numFmtId="3" sqlType="0" hierarchy="0" level="0" databaseField="1">
      <sharedItems count="0" containsInteger="1" containsNumber="1" containsSemiMixedTypes="0" containsString="0" minValue="0" maxValue="6959031"/>
    </cacheField>
    <cacheField name="Notional Turnover (INR Bn)" uniqueList="1" numFmtId="4" sqlType="0" hierarchy="0" level="0" databaseField="1">
      <sharedItems count="0" containsNumber="1" containsSemiMixedTypes="0" containsString="0" minValue="0" maxValue="13738.8487"/>
    </cacheField>
    <cacheField name="Premium Turnover (INR Bn)" uniqueList="1" numFmtId="4" sqlType="0" hierarchy="0" level="0" databaseField="1">
      <sharedItems count="0" containsNumber="1" containsSemiMixedTypes="0" containsString="0" minValue="0" maxValue="11.9451"/>
    </cacheField>
  </cacheFields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refreshOnLoad="1" refreshedBy="Himank Sangai" refreshedDate="46225.35922766204" createdVersion="8" refreshedVersion="8" minRefreshableVersion="3" recordCount="1410" r:id="rId1">
  <cacheSource type="worksheet">
    <worksheetSource ref="A1:M1502" sheet="BSE - SENSEX Index Options"/>
  </cacheSource>
  <cacheFields count="13">
    <cacheField name="Trade Date" uniqueList="1" numFmtId="0" sqlType="0" hierarchy="0" level="0" databaseField="1">
      <sharedItems count="0"/>
    </cacheField>
    <cacheField name="Trade Day" uniqueList="1" numFmtId="0" sqlType="0" hierarchy="0" level="0" databaseField="1">
      <sharedItems count="7" containsBlank="1">
        <s v="Monday"/>
        <s v="Tuesday"/>
        <s v="Wednesday"/>
        <s v="Thursday"/>
        <s v="Friday"/>
        <s v="Sunday"/>
        <m u="1"/>
      </sharedItems>
    </cacheField>
    <cacheField name="Trade Week-Month-Year" uniqueList="1" numFmtId="0" sqlType="0" hierarchy="0" level="0" databaseField="1">
      <sharedItems count="0"/>
    </cacheField>
    <cacheField name="Trade Month - Year" uniqueList="1" numFmtId="166" sqlType="0" hierarchy="0" level="0" databaseField="1">
      <sharedItems count="11" containsDate="1" containsNonDate="0" containsSemiMixedTypes="0" containsString="0" minDate="2025-09-01T00:00:00" maxDate="2026-07-02T00:00:00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</cacheField>
    <cacheField name="Trade Quarter" uniqueList="1" numFmtId="0" sqlType="0" hierarchy="0" level="0" databaseField="1">
      <sharedItems count="0"/>
    </cacheField>
    <cacheField name="Expiry Date" uniqueList="1" numFmtId="0" sqlType="0" hierarchy="0" level="0" databaseField="1">
      <sharedItems count="0"/>
    </cacheField>
    <cacheField name="Expiry Day" uniqueList="1" numFmtId="0" sqlType="0" hierarchy="0" level="0" databaseField="1">
      <sharedItems count="0"/>
    </cacheField>
    <cacheField name="Expiry Type 2" uniqueList="1" numFmtId="0" sqlType="0" hierarchy="0" level="0" databaseField="1">
      <sharedItems count="0"/>
    </cacheField>
    <cacheField name="Expiry Type" uniqueList="1" numFmtId="0" sqlType="0" hierarchy="0" level="0" databaseField="1">
      <sharedItems count="0"/>
    </cacheField>
    <cacheField name="Expiry Month Offset" uniqueList="1" numFmtId="0" sqlType="0" hierarchy="0" level="0" databaseField="1">
      <sharedItems count="0"/>
    </cacheField>
    <cacheField name="Number of Contracts" uniqueList="1" numFmtId="3" sqlType="0" hierarchy="0" level="0" databaseField="1">
      <sharedItems count="0" containsInteger="1" containsNumber="1" containsSemiMixedTypes="0" containsString="0" minValue="0" maxValue="623890211"/>
    </cacheField>
    <cacheField name="Notional Turnover (INR Bn)" uniqueList="1" numFmtId="4" sqlType="0" hierarchy="0" level="0" databaseField="1">
      <sharedItems count="0" containsNumber="1" containsSemiMixedTypes="0" containsString="0" minValue="0" maxValue="993243.1688"/>
    </cacheField>
    <cacheField name="Premium Turnover (INR Bn)" uniqueList="1" numFmtId="4" sqlType="0" hierarchy="0" level="0" databaseField="1">
      <sharedItems count="0" containsNumber="1" containsSemiMixedTypes="0" containsString="0" minValue="0" maxValue="832.9400000000001"/>
    </cacheField>
  </cacheFields>
</pivotCacheDefinition>
</file>

<file path=xl/pivotCache/pivotCacheRecords1.xml><?xml version="1.0" encoding="utf-8"?>
<pivotCacheRecords xmlns="http://schemas.openxmlformats.org/spreadsheetml/2006/main" count="1314">
  <r>
    <s v="01-Sep-2025"/>
    <x v="0"/>
    <s v="Week1-Sep-2025"/>
    <x v="0"/>
    <s v="Q2FY26"/>
    <s v="30-Sep-2025"/>
    <s v="Tuesday"/>
    <s v="Monthly - Tuesday"/>
    <s v="Monthly - Tuesday"/>
    <s v="Same Month Expiry"/>
    <n v="2038762"/>
    <n v="3884.4165"/>
    <n v="32.6023"/>
  </r>
  <r>
    <s v="01-Sep-2025"/>
    <x v="0"/>
    <s v="Week1-Sep-2025"/>
    <x v="0"/>
    <s v="Q2FY26"/>
    <s v="28-Oct-2025"/>
    <s v="Tuesday"/>
    <s v="Monthly - Tuesday"/>
    <s v="Monthly - Tuesday"/>
    <s v="Month+1 Expiry"/>
    <n v="17731"/>
    <n v="34.1263"/>
    <n v="0.3066"/>
  </r>
  <r>
    <s v="01-Sep-2025"/>
    <x v="0"/>
    <s v="Week1-Sep-2025"/>
    <x v="0"/>
    <s v="Q2FY26"/>
    <s v="25-Nov-2025"/>
    <s v="Tuesday"/>
    <s v="Monthly - Tuesday"/>
    <s v="Monthly - Tuesday"/>
    <s v="Month+2 Expiry"/>
    <n v="382"/>
    <n v="0.7426"/>
    <n v="0.0157"/>
  </r>
  <r>
    <s v="01-Sep-2025"/>
    <x v="0"/>
    <s v="Week1-Sep-2025"/>
    <x v="0"/>
    <s v="Q2FY26"/>
    <s v="30-Dec-2025"/>
    <s v="Tuesday"/>
    <s v="Monthly - Tuesday"/>
    <s v="Monthly - Tuesday"/>
    <s v="Month+3 Expiry"/>
    <n v="3133"/>
    <n v="6.1669"/>
    <n v="0.0851"/>
  </r>
  <r>
    <s v="01-Sep-2025"/>
    <x v="0"/>
    <s v="Week1-Sep-2025"/>
    <x v="0"/>
    <s v="Q2FY26"/>
    <s v="31-Mar-2026"/>
    <s v="Tuesday"/>
    <s v="Monthly - Tuesday"/>
    <s v="Monthly - Tuesday"/>
    <s v="Month+6 Expiry"/>
    <n v="123"/>
    <n v="0.2575"/>
    <n v="0.0041"/>
  </r>
  <r>
    <s v="01-Sep-2025"/>
    <x v="0"/>
    <s v="Week1-Sep-2025"/>
    <x v="0"/>
    <s v="Q2FY26"/>
    <s v="30-Jun-2026"/>
    <s v="Tuesday"/>
    <s v="Monthly - Tuesday"/>
    <s v="Monthly - Tuesday"/>
    <s v="Month+9 Expiry"/>
    <n v="0"/>
    <n v="0"/>
    <n v="0"/>
  </r>
  <r>
    <s v="02-Sep-2025"/>
    <x v="1"/>
    <s v="Week1-Sep-2025"/>
    <x v="0"/>
    <s v="Q2FY26"/>
    <s v="30-Sep-2025"/>
    <s v="Tuesday"/>
    <s v="Monthly - Tuesday"/>
    <s v="Monthly - Tuesday"/>
    <s v="Same Month Expiry"/>
    <n v="2335453"/>
    <n v="4447.3157"/>
    <n v="37.3923"/>
  </r>
  <r>
    <s v="02-Sep-2025"/>
    <x v="1"/>
    <s v="Week1-Sep-2025"/>
    <x v="0"/>
    <s v="Q2FY26"/>
    <s v="28-Oct-2025"/>
    <s v="Tuesday"/>
    <s v="Monthly - Tuesday"/>
    <s v="Monthly - Tuesday"/>
    <s v="Month+1 Expiry"/>
    <n v="25566"/>
    <n v="49.3497"/>
    <n v="0.4837"/>
  </r>
  <r>
    <s v="02-Sep-2025"/>
    <x v="1"/>
    <s v="Week1-Sep-2025"/>
    <x v="0"/>
    <s v="Q2FY26"/>
    <s v="25-Nov-2025"/>
    <s v="Tuesday"/>
    <s v="Monthly - Tuesday"/>
    <s v="Monthly - Tuesday"/>
    <s v="Month+2 Expiry"/>
    <n v="633"/>
    <n v="1.2279"/>
    <n v="0.025"/>
  </r>
  <r>
    <s v="02-Sep-2025"/>
    <x v="1"/>
    <s v="Week1-Sep-2025"/>
    <x v="0"/>
    <s v="Q2FY26"/>
    <s v="30-Dec-2025"/>
    <s v="Tuesday"/>
    <s v="Monthly - Tuesday"/>
    <s v="Monthly - Tuesday"/>
    <s v="Month+3 Expiry"/>
    <n v="3041"/>
    <n v="6.0114"/>
    <n v="0.08400000000000001"/>
  </r>
  <r>
    <s v="02-Sep-2025"/>
    <x v="1"/>
    <s v="Week1-Sep-2025"/>
    <x v="0"/>
    <s v="Q2FY26"/>
    <s v="31-Mar-2026"/>
    <s v="Tuesday"/>
    <s v="Monthly - Tuesday"/>
    <s v="Monthly - Tuesday"/>
    <s v="Month+6 Expiry"/>
    <n v="130"/>
    <n v="0.2719"/>
    <n v="0.0042"/>
  </r>
  <r>
    <s v="02-Sep-2025"/>
    <x v="1"/>
    <s v="Week1-Sep-2025"/>
    <x v="0"/>
    <s v="Q2FY26"/>
    <s v="30-Jun-2026"/>
    <s v="Tuesday"/>
    <s v="Monthly - Tuesday"/>
    <s v="Monthly - Tuesday"/>
    <s v="Month+9 Expiry"/>
    <n v="0"/>
    <n v="0"/>
    <n v="0"/>
  </r>
  <r>
    <s v="03-Sep-2025"/>
    <x v="2"/>
    <s v="Week1-Sep-2025"/>
    <x v="0"/>
    <s v="Q2FY26"/>
    <s v="30-Sep-2025"/>
    <s v="Tuesday"/>
    <s v="Monthly - Tuesday"/>
    <s v="Monthly - Tuesday"/>
    <s v="Same Month Expiry"/>
    <n v="2543972"/>
    <n v="4839.8017"/>
    <n v="40.3564"/>
  </r>
  <r>
    <s v="03-Sep-2025"/>
    <x v="2"/>
    <s v="Week1-Sep-2025"/>
    <x v="0"/>
    <s v="Q2FY26"/>
    <s v="28-Oct-2025"/>
    <s v="Tuesday"/>
    <s v="Monthly - Tuesday"/>
    <s v="Monthly - Tuesday"/>
    <s v="Month+1 Expiry"/>
    <n v="29423"/>
    <n v="56.8088"/>
    <n v="0.4759"/>
  </r>
  <r>
    <s v="03-Sep-2025"/>
    <x v="2"/>
    <s v="Week1-Sep-2025"/>
    <x v="0"/>
    <s v="Q2FY26"/>
    <s v="25-Nov-2025"/>
    <s v="Tuesday"/>
    <s v="Monthly - Tuesday"/>
    <s v="Monthly - Tuesday"/>
    <s v="Month+2 Expiry"/>
    <n v="1324"/>
    <n v="2.5656"/>
    <n v="0.0552"/>
  </r>
  <r>
    <s v="03-Sep-2025"/>
    <x v="2"/>
    <s v="Week1-Sep-2025"/>
    <x v="0"/>
    <s v="Q2FY26"/>
    <s v="30-Dec-2025"/>
    <s v="Tuesday"/>
    <s v="Monthly - Tuesday"/>
    <s v="Monthly - Tuesday"/>
    <s v="Month+3 Expiry"/>
    <n v="3953"/>
    <n v="7.8925"/>
    <n v="0.1201"/>
  </r>
  <r>
    <s v="03-Sep-2025"/>
    <x v="2"/>
    <s v="Week1-Sep-2025"/>
    <x v="0"/>
    <s v="Q2FY26"/>
    <s v="31-Mar-2026"/>
    <s v="Tuesday"/>
    <s v="Monthly - Tuesday"/>
    <s v="Monthly - Tuesday"/>
    <s v="Month+6 Expiry"/>
    <n v="138"/>
    <n v="0.287"/>
    <n v="0.0049"/>
  </r>
  <r>
    <s v="03-Sep-2025"/>
    <x v="2"/>
    <s v="Week1-Sep-2025"/>
    <x v="0"/>
    <s v="Q2FY26"/>
    <s v="30-Jun-2026"/>
    <s v="Tuesday"/>
    <s v="Monthly - Tuesday"/>
    <s v="Monthly - Tuesday"/>
    <s v="Month+9 Expiry"/>
    <n v="0"/>
    <n v="0"/>
    <n v="0"/>
  </r>
  <r>
    <s v="04-Sep-2025"/>
    <x v="3"/>
    <s v="Week1-Sep-2025"/>
    <x v="0"/>
    <s v="Q2FY26"/>
    <s v="30-Sep-2025"/>
    <s v="Tuesday"/>
    <s v="Monthly - Tuesday"/>
    <s v="Monthly - Tuesday"/>
    <s v="Same Month Expiry"/>
    <n v="2537028"/>
    <n v="4848.7147"/>
    <n v="37.4147"/>
  </r>
  <r>
    <s v="04-Sep-2025"/>
    <x v="3"/>
    <s v="Week1-Sep-2025"/>
    <x v="0"/>
    <s v="Q2FY26"/>
    <s v="28-Oct-2025"/>
    <s v="Tuesday"/>
    <s v="Monthly - Tuesday"/>
    <s v="Monthly - Tuesday"/>
    <s v="Month+1 Expiry"/>
    <n v="23723"/>
    <n v="45.7728"/>
    <n v="0.4761"/>
  </r>
  <r>
    <s v="04-Sep-2025"/>
    <x v="3"/>
    <s v="Week1-Sep-2025"/>
    <x v="0"/>
    <s v="Q2FY26"/>
    <s v="25-Nov-2025"/>
    <s v="Tuesday"/>
    <s v="Monthly - Tuesday"/>
    <s v="Monthly - Tuesday"/>
    <s v="Month+2 Expiry"/>
    <n v="710"/>
    <n v="1.3714"/>
    <n v="0.0287"/>
  </r>
  <r>
    <s v="04-Sep-2025"/>
    <x v="3"/>
    <s v="Week1-Sep-2025"/>
    <x v="0"/>
    <s v="Q2FY26"/>
    <s v="30-Dec-2025"/>
    <s v="Tuesday"/>
    <s v="Monthly - Tuesday"/>
    <s v="Monthly - Tuesday"/>
    <s v="Month+3 Expiry"/>
    <n v="3065"/>
    <n v="6.0011"/>
    <n v="0.0945"/>
  </r>
  <r>
    <s v="04-Sep-2025"/>
    <x v="3"/>
    <s v="Week1-Sep-2025"/>
    <x v="0"/>
    <s v="Q2FY26"/>
    <s v="31-Mar-2026"/>
    <s v="Tuesday"/>
    <s v="Monthly - Tuesday"/>
    <s v="Monthly - Tuesday"/>
    <s v="Month+6 Expiry"/>
    <n v="92"/>
    <n v="0.1916"/>
    <n v="0.0033"/>
  </r>
  <r>
    <s v="04-Sep-2025"/>
    <x v="3"/>
    <s v="Week1-Sep-2025"/>
    <x v="0"/>
    <s v="Q2FY26"/>
    <s v="30-Jun-2026"/>
    <s v="Tuesday"/>
    <s v="Monthly - Tuesday"/>
    <s v="Monthly - Tuesday"/>
    <s v="Month+9 Expiry"/>
    <n v="0"/>
    <n v="0"/>
    <n v="0"/>
  </r>
  <r>
    <s v="05-Sep-2025"/>
    <x v="4"/>
    <s v="Week1-Sep-2025"/>
    <x v="0"/>
    <s v="Q2FY26"/>
    <s v="30-Sep-2025"/>
    <s v="Tuesday"/>
    <s v="Monthly - Tuesday"/>
    <s v="Monthly - Tuesday"/>
    <s v="Same Month Expiry"/>
    <n v="2935345"/>
    <n v="5585.8496"/>
    <n v="42.2849"/>
  </r>
  <r>
    <s v="05-Sep-2025"/>
    <x v="4"/>
    <s v="Week1-Sep-2025"/>
    <x v="0"/>
    <s v="Q2FY26"/>
    <s v="28-Oct-2025"/>
    <s v="Tuesday"/>
    <s v="Monthly - Tuesday"/>
    <s v="Monthly - Tuesday"/>
    <s v="Month+1 Expiry"/>
    <n v="33458"/>
    <n v="64.5603"/>
    <n v="0.7334000000000001"/>
  </r>
  <r>
    <s v="05-Sep-2025"/>
    <x v="4"/>
    <s v="Week1-Sep-2025"/>
    <x v="0"/>
    <s v="Q2FY26"/>
    <s v="25-Nov-2025"/>
    <s v="Tuesday"/>
    <s v="Monthly - Tuesday"/>
    <s v="Monthly - Tuesday"/>
    <s v="Month+2 Expiry"/>
    <n v="722"/>
    <n v="1.3985"/>
    <n v="0.0313"/>
  </r>
  <r>
    <s v="05-Sep-2025"/>
    <x v="4"/>
    <s v="Week1-Sep-2025"/>
    <x v="0"/>
    <s v="Q2FY26"/>
    <s v="30-Dec-2025"/>
    <s v="Tuesday"/>
    <s v="Monthly - Tuesday"/>
    <s v="Monthly - Tuesday"/>
    <s v="Month+3 Expiry"/>
    <n v="1986"/>
    <n v="3.9685"/>
    <n v="0.0618"/>
  </r>
  <r>
    <s v="05-Sep-2025"/>
    <x v="4"/>
    <s v="Week1-Sep-2025"/>
    <x v="0"/>
    <s v="Q2FY26"/>
    <s v="31-Mar-2026"/>
    <s v="Tuesday"/>
    <s v="Monthly - Tuesday"/>
    <s v="Monthly - Tuesday"/>
    <s v="Month+6 Expiry"/>
    <n v="77"/>
    <n v="0.1615"/>
    <n v="0.0021"/>
  </r>
  <r>
    <s v="05-Sep-2025"/>
    <x v="4"/>
    <s v="Week1-Sep-2025"/>
    <x v="0"/>
    <s v="Q2FY26"/>
    <s v="30-Jun-2026"/>
    <s v="Tuesday"/>
    <s v="Monthly - Tuesday"/>
    <s v="Monthly - Tuesday"/>
    <s v="Month+9 Expiry"/>
    <n v="0"/>
    <n v="0"/>
    <n v="0"/>
  </r>
  <r>
    <s v="08-Sep-2025"/>
    <x v="0"/>
    <s v="Week2-Sep-2025"/>
    <x v="0"/>
    <s v="Q2FY26"/>
    <s v="30-Sep-2025"/>
    <s v="Tuesday"/>
    <s v="Monthly - Tuesday"/>
    <s v="Monthly - Tuesday"/>
    <s v="Same Month Expiry"/>
    <n v="2772664"/>
    <n v="5289.4227"/>
    <n v="37.314"/>
  </r>
  <r>
    <s v="08-Sep-2025"/>
    <x v="0"/>
    <s v="Week2-Sep-2025"/>
    <x v="0"/>
    <s v="Q2FY26"/>
    <s v="28-Oct-2025"/>
    <s v="Tuesday"/>
    <s v="Monthly - Tuesday"/>
    <s v="Monthly - Tuesday"/>
    <s v="Month+1 Expiry"/>
    <n v="23556"/>
    <n v="45.2499"/>
    <n v="0.4635"/>
  </r>
  <r>
    <s v="08-Sep-2025"/>
    <x v="0"/>
    <s v="Week2-Sep-2025"/>
    <x v="0"/>
    <s v="Q2FY26"/>
    <s v="25-Nov-2025"/>
    <s v="Tuesday"/>
    <s v="Monthly - Tuesday"/>
    <s v="Monthly - Tuesday"/>
    <s v="Month+2 Expiry"/>
    <n v="723"/>
    <n v="1.3797"/>
    <n v="0.022"/>
  </r>
  <r>
    <s v="08-Sep-2025"/>
    <x v="0"/>
    <s v="Week2-Sep-2025"/>
    <x v="0"/>
    <s v="Q2FY26"/>
    <s v="30-Dec-2025"/>
    <s v="Tuesday"/>
    <s v="Monthly - Tuesday"/>
    <s v="Monthly - Tuesday"/>
    <s v="Month+3 Expiry"/>
    <n v="2328"/>
    <n v="4.5147"/>
    <n v="0.068"/>
  </r>
  <r>
    <s v="08-Sep-2025"/>
    <x v="0"/>
    <s v="Week2-Sep-2025"/>
    <x v="0"/>
    <s v="Q2FY26"/>
    <s v="31-Mar-2026"/>
    <s v="Tuesday"/>
    <s v="Monthly - Tuesday"/>
    <s v="Monthly - Tuesday"/>
    <s v="Month+6 Expiry"/>
    <n v="123"/>
    <n v="0.2576"/>
    <n v="0.0039"/>
  </r>
  <r>
    <s v="08-Sep-2025"/>
    <x v="0"/>
    <s v="Week2-Sep-2025"/>
    <x v="0"/>
    <s v="Q2FY26"/>
    <s v="30-Jun-2026"/>
    <s v="Tuesday"/>
    <s v="Monthly - Tuesday"/>
    <s v="Monthly - Tuesday"/>
    <s v="Month+9 Expiry"/>
    <n v="0"/>
    <n v="0"/>
    <n v="0"/>
  </r>
  <r>
    <s v="09-Sep-2025"/>
    <x v="1"/>
    <s v="Week2-Sep-2025"/>
    <x v="0"/>
    <s v="Q2FY26"/>
    <s v="30-Sep-2025"/>
    <s v="Tuesday"/>
    <s v="Monthly - Tuesday"/>
    <s v="Monthly - Tuesday"/>
    <s v="Same Month Expiry"/>
    <n v="2184553"/>
    <n v="4162.4389"/>
    <n v="29.5829"/>
  </r>
  <r>
    <s v="09-Sep-2025"/>
    <x v="1"/>
    <s v="Week2-Sep-2025"/>
    <x v="0"/>
    <s v="Q2FY26"/>
    <s v="28-Oct-2025"/>
    <s v="Tuesday"/>
    <s v="Monthly - Tuesday"/>
    <s v="Monthly - Tuesday"/>
    <s v="Month+1 Expiry"/>
    <n v="20360"/>
    <n v="39.1389"/>
    <n v="0.3146"/>
  </r>
  <r>
    <s v="09-Sep-2025"/>
    <x v="1"/>
    <s v="Week2-Sep-2025"/>
    <x v="0"/>
    <s v="Q2FY26"/>
    <s v="25-Nov-2025"/>
    <s v="Tuesday"/>
    <s v="Monthly - Tuesday"/>
    <s v="Monthly - Tuesday"/>
    <s v="Month+2 Expiry"/>
    <n v="577"/>
    <n v="1.1223"/>
    <n v="0.0139"/>
  </r>
  <r>
    <s v="09-Sep-2025"/>
    <x v="1"/>
    <s v="Week2-Sep-2025"/>
    <x v="0"/>
    <s v="Q2FY26"/>
    <s v="30-Dec-2025"/>
    <s v="Tuesday"/>
    <s v="Monthly - Tuesday"/>
    <s v="Monthly - Tuesday"/>
    <s v="Month+3 Expiry"/>
    <n v="1049"/>
    <n v="2.0595"/>
    <n v="0.031"/>
  </r>
  <r>
    <s v="09-Sep-2025"/>
    <x v="1"/>
    <s v="Week2-Sep-2025"/>
    <x v="0"/>
    <s v="Q2FY26"/>
    <s v="31-Mar-2026"/>
    <s v="Tuesday"/>
    <s v="Monthly - Tuesday"/>
    <s v="Monthly - Tuesday"/>
    <s v="Month+6 Expiry"/>
    <n v="17"/>
    <n v="0.0357"/>
    <n v="0.0005"/>
  </r>
  <r>
    <s v="09-Sep-2025"/>
    <x v="1"/>
    <s v="Week2-Sep-2025"/>
    <x v="0"/>
    <s v="Q2FY26"/>
    <s v="30-Jun-2026"/>
    <s v="Tuesday"/>
    <s v="Monthly - Tuesday"/>
    <s v="Monthly - Tuesday"/>
    <s v="Month+9 Expiry"/>
    <n v="0"/>
    <n v="0"/>
    <n v="0"/>
  </r>
  <r>
    <s v="10-Sep-2025"/>
    <x v="2"/>
    <s v="Week2-Sep-2025"/>
    <x v="0"/>
    <s v="Q2FY26"/>
    <s v="30-Sep-2025"/>
    <s v="Tuesday"/>
    <s v="Monthly - Tuesday"/>
    <s v="Monthly - Tuesday"/>
    <s v="Same Month Expiry"/>
    <n v="2977307"/>
    <n v="5695.0636"/>
    <n v="39.5422"/>
  </r>
  <r>
    <s v="10-Sep-2025"/>
    <x v="2"/>
    <s v="Week2-Sep-2025"/>
    <x v="0"/>
    <s v="Q2FY26"/>
    <s v="28-Oct-2025"/>
    <s v="Tuesday"/>
    <s v="Monthly - Tuesday"/>
    <s v="Monthly - Tuesday"/>
    <s v="Month+1 Expiry"/>
    <n v="35141"/>
    <n v="67.67749999999999"/>
    <n v="0.6271"/>
  </r>
  <r>
    <s v="10-Sep-2025"/>
    <x v="2"/>
    <s v="Week2-Sep-2025"/>
    <x v="0"/>
    <s v="Q2FY26"/>
    <s v="25-Nov-2025"/>
    <s v="Tuesday"/>
    <s v="Monthly - Tuesday"/>
    <s v="Monthly - Tuesday"/>
    <s v="Month+2 Expiry"/>
    <n v="1391"/>
    <n v="2.69"/>
    <n v="0.0326"/>
  </r>
  <r>
    <s v="10-Sep-2025"/>
    <x v="2"/>
    <s v="Week2-Sep-2025"/>
    <x v="0"/>
    <s v="Q2FY26"/>
    <s v="30-Dec-2025"/>
    <s v="Tuesday"/>
    <s v="Monthly - Tuesday"/>
    <s v="Monthly - Tuesday"/>
    <s v="Month+3 Expiry"/>
    <n v="3275"/>
    <n v="6.4037"/>
    <n v="0.1023"/>
  </r>
  <r>
    <s v="10-Sep-2025"/>
    <x v="2"/>
    <s v="Week2-Sep-2025"/>
    <x v="0"/>
    <s v="Q2FY26"/>
    <s v="31-Mar-2026"/>
    <s v="Tuesday"/>
    <s v="Monthly - Tuesday"/>
    <s v="Monthly - Tuesday"/>
    <s v="Month+6 Expiry"/>
    <n v="198"/>
    <n v="0.4174"/>
    <n v="0.0057"/>
  </r>
  <r>
    <s v="10-Sep-2025"/>
    <x v="2"/>
    <s v="Week2-Sep-2025"/>
    <x v="0"/>
    <s v="Q2FY26"/>
    <s v="30-Jun-2026"/>
    <s v="Tuesday"/>
    <s v="Monthly - Tuesday"/>
    <s v="Monthly - Tuesday"/>
    <s v="Month+9 Expiry"/>
    <n v="0"/>
    <n v="0"/>
    <n v="0"/>
  </r>
  <r>
    <s v="11-Sep-2025"/>
    <x v="3"/>
    <s v="Week2-Sep-2025"/>
    <x v="0"/>
    <s v="Q2FY26"/>
    <s v="30-Sep-2025"/>
    <s v="Tuesday"/>
    <s v="Monthly - Tuesday"/>
    <s v="Monthly - Tuesday"/>
    <s v="Same Month Expiry"/>
    <n v="2376862"/>
    <n v="4557.516"/>
    <n v="29.3358"/>
  </r>
  <r>
    <s v="11-Sep-2025"/>
    <x v="3"/>
    <s v="Week2-Sep-2025"/>
    <x v="0"/>
    <s v="Q2FY26"/>
    <s v="28-Oct-2025"/>
    <s v="Tuesday"/>
    <s v="Monthly - Tuesday"/>
    <s v="Monthly - Tuesday"/>
    <s v="Month+1 Expiry"/>
    <n v="28274"/>
    <n v="54.3677"/>
    <n v="0.4552"/>
  </r>
  <r>
    <s v="11-Sep-2025"/>
    <x v="3"/>
    <s v="Week2-Sep-2025"/>
    <x v="0"/>
    <s v="Q2FY26"/>
    <s v="25-Nov-2025"/>
    <s v="Tuesday"/>
    <s v="Monthly - Tuesday"/>
    <s v="Monthly - Tuesday"/>
    <s v="Month+2 Expiry"/>
    <n v="976"/>
    <n v="1.8798"/>
    <n v="0.0188"/>
  </r>
  <r>
    <s v="11-Sep-2025"/>
    <x v="3"/>
    <s v="Week2-Sep-2025"/>
    <x v="0"/>
    <s v="Q2FY26"/>
    <s v="30-Dec-2025"/>
    <s v="Tuesday"/>
    <s v="Monthly - Tuesday"/>
    <s v="Monthly - Tuesday"/>
    <s v="Month+3 Expiry"/>
    <n v="1450"/>
    <n v="2.833"/>
    <n v="0.0424"/>
  </r>
  <r>
    <s v="11-Sep-2025"/>
    <x v="3"/>
    <s v="Week2-Sep-2025"/>
    <x v="0"/>
    <s v="Q2FY26"/>
    <s v="31-Mar-2026"/>
    <s v="Tuesday"/>
    <s v="Monthly - Tuesday"/>
    <s v="Monthly - Tuesday"/>
    <s v="Month+6 Expiry"/>
    <n v="36"/>
    <n v="0.07630000000000001"/>
    <n v="0.0009"/>
  </r>
  <r>
    <s v="11-Sep-2025"/>
    <x v="3"/>
    <s v="Week2-Sep-2025"/>
    <x v="0"/>
    <s v="Q2FY26"/>
    <s v="30-Jun-2026"/>
    <s v="Tuesday"/>
    <s v="Monthly - Tuesday"/>
    <s v="Monthly - Tuesday"/>
    <s v="Month+9 Expiry"/>
    <n v="0"/>
    <n v="0"/>
    <n v="0"/>
  </r>
  <r>
    <s v="12-Sep-2025"/>
    <x v="4"/>
    <s v="Week2-Sep-2025"/>
    <x v="0"/>
    <s v="Q2FY26"/>
    <s v="30-Sep-2025"/>
    <s v="Tuesday"/>
    <s v="Monthly - Tuesday"/>
    <s v="Monthly - Tuesday"/>
    <s v="Same Month Expiry"/>
    <n v="2574698"/>
    <n v="4935.0399"/>
    <n v="30.7807"/>
  </r>
  <r>
    <s v="12-Sep-2025"/>
    <x v="4"/>
    <s v="Week2-Sep-2025"/>
    <x v="0"/>
    <s v="Q2FY26"/>
    <s v="28-Oct-2025"/>
    <s v="Tuesday"/>
    <s v="Monthly - Tuesday"/>
    <s v="Monthly - Tuesday"/>
    <s v="Month+1 Expiry"/>
    <n v="42978"/>
    <n v="83.00490000000001"/>
    <n v="0.5669999999999999"/>
  </r>
  <r>
    <s v="12-Sep-2025"/>
    <x v="4"/>
    <s v="Week2-Sep-2025"/>
    <x v="0"/>
    <s v="Q2FY26"/>
    <s v="25-Nov-2025"/>
    <s v="Tuesday"/>
    <s v="Monthly - Tuesday"/>
    <s v="Monthly - Tuesday"/>
    <s v="Month+2 Expiry"/>
    <n v="1864"/>
    <n v="3.559"/>
    <n v="0.0356"/>
  </r>
  <r>
    <s v="12-Sep-2025"/>
    <x v="4"/>
    <s v="Week2-Sep-2025"/>
    <x v="0"/>
    <s v="Q2FY26"/>
    <s v="30-Dec-2025"/>
    <s v="Tuesday"/>
    <s v="Monthly - Tuesday"/>
    <s v="Monthly - Tuesday"/>
    <s v="Month+3 Expiry"/>
    <n v="2649"/>
    <n v="5.2832"/>
    <n v="0.0798"/>
  </r>
  <r>
    <s v="12-Sep-2025"/>
    <x v="4"/>
    <s v="Week2-Sep-2025"/>
    <x v="0"/>
    <s v="Q2FY26"/>
    <s v="31-Mar-2026"/>
    <s v="Tuesday"/>
    <s v="Monthly - Tuesday"/>
    <s v="Monthly - Tuesday"/>
    <s v="Month+6 Expiry"/>
    <n v="35"/>
    <n v="0.0742"/>
    <n v="0.0009"/>
  </r>
  <r>
    <s v="12-Sep-2025"/>
    <x v="4"/>
    <s v="Week2-Sep-2025"/>
    <x v="0"/>
    <s v="Q2FY26"/>
    <s v="30-Jun-2026"/>
    <s v="Tuesday"/>
    <s v="Monthly - Tuesday"/>
    <s v="Monthly - Tuesday"/>
    <s v="Month+9 Expiry"/>
    <n v="0"/>
    <n v="0"/>
    <n v="0"/>
  </r>
  <r>
    <s v="15-Sep-2025"/>
    <x v="0"/>
    <s v="Week3-Sep-2025"/>
    <x v="0"/>
    <s v="Q2FY26"/>
    <s v="30-Sep-2025"/>
    <s v="Tuesday"/>
    <s v="Monthly - Tuesday"/>
    <s v="Monthly - Tuesday"/>
    <s v="Same Month Expiry"/>
    <n v="2447180"/>
    <n v="4718.6186"/>
    <n v="27.5124"/>
  </r>
  <r>
    <s v="15-Sep-2025"/>
    <x v="0"/>
    <s v="Week3-Sep-2025"/>
    <x v="0"/>
    <s v="Q2FY26"/>
    <s v="28-Oct-2025"/>
    <s v="Tuesday"/>
    <s v="Monthly - Tuesday"/>
    <s v="Monthly - Tuesday"/>
    <s v="Month+1 Expiry"/>
    <n v="49449"/>
    <n v="95.77760000000001"/>
    <n v="0.8409"/>
  </r>
  <r>
    <s v="15-Sep-2025"/>
    <x v="0"/>
    <s v="Week3-Sep-2025"/>
    <x v="0"/>
    <s v="Q2FY26"/>
    <s v="25-Nov-2025"/>
    <s v="Tuesday"/>
    <s v="Monthly - Tuesday"/>
    <s v="Monthly - Tuesday"/>
    <s v="Month+2 Expiry"/>
    <n v="2231"/>
    <n v="4.2551"/>
    <n v="0.0364"/>
  </r>
  <r>
    <s v="15-Sep-2025"/>
    <x v="0"/>
    <s v="Week3-Sep-2025"/>
    <x v="0"/>
    <s v="Q2FY26"/>
    <s v="30-Dec-2025"/>
    <s v="Tuesday"/>
    <s v="Monthly - Tuesday"/>
    <s v="Monthly - Tuesday"/>
    <s v="Month+3 Expiry"/>
    <n v="1971"/>
    <n v="3.9013"/>
    <n v="0.0613"/>
  </r>
  <r>
    <s v="15-Sep-2025"/>
    <x v="0"/>
    <s v="Week3-Sep-2025"/>
    <x v="0"/>
    <s v="Q2FY26"/>
    <s v="31-Mar-2026"/>
    <s v="Tuesday"/>
    <s v="Monthly - Tuesday"/>
    <s v="Monthly - Tuesday"/>
    <s v="Month+6 Expiry"/>
    <n v="16"/>
    <n v="0.0331"/>
    <n v="0.0008"/>
  </r>
  <r>
    <s v="15-Sep-2025"/>
    <x v="0"/>
    <s v="Week3-Sep-2025"/>
    <x v="0"/>
    <s v="Q2FY26"/>
    <s v="30-Jun-2026"/>
    <s v="Tuesday"/>
    <s v="Monthly - Tuesday"/>
    <s v="Monthly - Tuesday"/>
    <s v="Month+9 Expiry"/>
    <n v="0"/>
    <n v="0"/>
    <n v="0"/>
  </r>
  <r>
    <s v="16-Sep-2025"/>
    <x v="1"/>
    <s v="Week3-Sep-2025"/>
    <x v="0"/>
    <s v="Q2FY26"/>
    <s v="30-Sep-2025"/>
    <s v="Tuesday"/>
    <s v="Monthly - Tuesday"/>
    <s v="Monthly - Tuesday"/>
    <s v="Same Month Expiry"/>
    <n v="2920520"/>
    <n v="5633.0641"/>
    <n v="30.7542"/>
  </r>
  <r>
    <s v="16-Sep-2025"/>
    <x v="1"/>
    <s v="Week3-Sep-2025"/>
    <x v="0"/>
    <s v="Q2FY26"/>
    <s v="28-Oct-2025"/>
    <s v="Tuesday"/>
    <s v="Monthly - Tuesday"/>
    <s v="Monthly - Tuesday"/>
    <s v="Month+1 Expiry"/>
    <n v="105859"/>
    <n v="207.9988"/>
    <n v="2.0344"/>
  </r>
  <r>
    <s v="16-Sep-2025"/>
    <x v="1"/>
    <s v="Week3-Sep-2025"/>
    <x v="0"/>
    <s v="Q2FY26"/>
    <s v="25-Nov-2025"/>
    <s v="Tuesday"/>
    <s v="Monthly - Tuesday"/>
    <s v="Monthly - Tuesday"/>
    <s v="Month+2 Expiry"/>
    <n v="2986"/>
    <n v="5.7989"/>
    <n v="0.0635"/>
  </r>
  <r>
    <s v="16-Sep-2025"/>
    <x v="1"/>
    <s v="Week3-Sep-2025"/>
    <x v="0"/>
    <s v="Q2FY26"/>
    <s v="30-Dec-2025"/>
    <s v="Tuesday"/>
    <s v="Monthly - Tuesday"/>
    <s v="Monthly - Tuesday"/>
    <s v="Month+3 Expiry"/>
    <n v="2875"/>
    <n v="5.6326"/>
    <n v="0.082"/>
  </r>
  <r>
    <s v="16-Sep-2025"/>
    <x v="1"/>
    <s v="Week3-Sep-2025"/>
    <x v="0"/>
    <s v="Q2FY26"/>
    <s v="31-Mar-2026"/>
    <s v="Tuesday"/>
    <s v="Monthly - Tuesday"/>
    <s v="Monthly - Tuesday"/>
    <s v="Month+6 Expiry"/>
    <n v="24"/>
    <n v="0.0504"/>
    <n v="0.001"/>
  </r>
  <r>
    <s v="16-Sep-2025"/>
    <x v="1"/>
    <s v="Week3-Sep-2025"/>
    <x v="0"/>
    <s v="Q2FY26"/>
    <s v="30-Jun-2026"/>
    <s v="Tuesday"/>
    <s v="Monthly - Tuesday"/>
    <s v="Monthly - Tuesday"/>
    <s v="Month+9 Expiry"/>
    <n v="0"/>
    <n v="0"/>
    <n v="0"/>
  </r>
  <r>
    <s v="17-Sep-2025"/>
    <x v="2"/>
    <s v="Week3-Sep-2025"/>
    <x v="0"/>
    <s v="Q2FY26"/>
    <s v="30-Sep-2025"/>
    <s v="Tuesday"/>
    <s v="Monthly - Tuesday"/>
    <s v="Monthly - Tuesday"/>
    <s v="Same Month Expiry"/>
    <n v="3892571"/>
    <n v="7563.0427"/>
    <n v="37.891"/>
  </r>
  <r>
    <s v="17-Sep-2025"/>
    <x v="2"/>
    <s v="Week3-Sep-2025"/>
    <x v="0"/>
    <s v="Q2FY26"/>
    <s v="28-Oct-2025"/>
    <s v="Tuesday"/>
    <s v="Monthly - Tuesday"/>
    <s v="Monthly - Tuesday"/>
    <s v="Month+1 Expiry"/>
    <n v="157463"/>
    <n v="310.3593"/>
    <n v="2.7607"/>
  </r>
  <r>
    <s v="17-Sep-2025"/>
    <x v="2"/>
    <s v="Week3-Sep-2025"/>
    <x v="0"/>
    <s v="Q2FY26"/>
    <s v="25-Nov-2025"/>
    <s v="Tuesday"/>
    <s v="Monthly - Tuesday"/>
    <s v="Monthly - Tuesday"/>
    <s v="Month+2 Expiry"/>
    <n v="3342"/>
    <n v="6.4662"/>
    <n v="0.07389999999999999"/>
  </r>
  <r>
    <s v="17-Sep-2025"/>
    <x v="2"/>
    <s v="Week3-Sep-2025"/>
    <x v="0"/>
    <s v="Q2FY26"/>
    <s v="30-Dec-2025"/>
    <s v="Tuesday"/>
    <s v="Monthly - Tuesday"/>
    <s v="Monthly - Tuesday"/>
    <s v="Month+3 Expiry"/>
    <n v="4108"/>
    <n v="8.145"/>
    <n v="0.1127"/>
  </r>
  <r>
    <s v="17-Sep-2025"/>
    <x v="2"/>
    <s v="Week3-Sep-2025"/>
    <x v="0"/>
    <s v="Q2FY26"/>
    <s v="31-Mar-2026"/>
    <s v="Tuesday"/>
    <s v="Monthly - Tuesday"/>
    <s v="Monthly - Tuesday"/>
    <s v="Month+6 Expiry"/>
    <n v="70"/>
    <n v="0.1459"/>
    <n v="0.0034"/>
  </r>
  <r>
    <s v="17-Sep-2025"/>
    <x v="2"/>
    <s v="Week3-Sep-2025"/>
    <x v="0"/>
    <s v="Q2FY26"/>
    <s v="30-Jun-2026"/>
    <s v="Tuesday"/>
    <s v="Monthly - Tuesday"/>
    <s v="Monthly - Tuesday"/>
    <s v="Month+9 Expiry"/>
    <n v="0"/>
    <n v="0"/>
    <n v="0"/>
  </r>
  <r>
    <s v="18-Sep-2025"/>
    <x v="3"/>
    <s v="Week3-Sep-2025"/>
    <x v="0"/>
    <s v="Q2FY26"/>
    <s v="30-Sep-2025"/>
    <s v="Tuesday"/>
    <s v="Monthly - Tuesday"/>
    <s v="Monthly - Tuesday"/>
    <s v="Same Month Expiry"/>
    <n v="4534462"/>
    <n v="8811.864299999999"/>
    <n v="42.1655"/>
  </r>
  <r>
    <s v="18-Sep-2025"/>
    <x v="3"/>
    <s v="Week3-Sep-2025"/>
    <x v="0"/>
    <s v="Q2FY26"/>
    <s v="28-Oct-2025"/>
    <s v="Tuesday"/>
    <s v="Monthly - Tuesday"/>
    <s v="Monthly - Tuesday"/>
    <s v="Month+1 Expiry"/>
    <n v="131399"/>
    <n v="258.2649"/>
    <n v="2.2279"/>
  </r>
  <r>
    <s v="18-Sep-2025"/>
    <x v="3"/>
    <s v="Week3-Sep-2025"/>
    <x v="0"/>
    <s v="Q2FY26"/>
    <s v="25-Nov-2025"/>
    <s v="Tuesday"/>
    <s v="Monthly - Tuesday"/>
    <s v="Monthly - Tuesday"/>
    <s v="Month+2 Expiry"/>
    <n v="4016"/>
    <n v="7.785"/>
    <n v="0.0839"/>
  </r>
  <r>
    <s v="18-Sep-2025"/>
    <x v="3"/>
    <s v="Week3-Sep-2025"/>
    <x v="0"/>
    <s v="Q2FY26"/>
    <s v="30-Dec-2025"/>
    <s v="Tuesday"/>
    <s v="Monthly - Tuesday"/>
    <s v="Monthly - Tuesday"/>
    <s v="Month+3 Expiry"/>
    <n v="4726"/>
    <n v="9.3294"/>
    <n v="0.1185"/>
  </r>
  <r>
    <s v="18-Sep-2025"/>
    <x v="3"/>
    <s v="Week3-Sep-2025"/>
    <x v="0"/>
    <s v="Q2FY26"/>
    <s v="31-Mar-2026"/>
    <s v="Tuesday"/>
    <s v="Monthly - Tuesday"/>
    <s v="Monthly - Tuesday"/>
    <s v="Month+6 Expiry"/>
    <n v="155"/>
    <n v="0.3239"/>
    <n v="0.0078"/>
  </r>
  <r>
    <s v="18-Sep-2025"/>
    <x v="3"/>
    <s v="Week3-Sep-2025"/>
    <x v="0"/>
    <s v="Q2FY26"/>
    <s v="30-Jun-2026"/>
    <s v="Tuesday"/>
    <s v="Monthly - Tuesday"/>
    <s v="Monthly - Tuesday"/>
    <s v="Month+9 Expiry"/>
    <n v="0"/>
    <n v="0"/>
    <n v="0"/>
  </r>
  <r>
    <s v="19-Sep-2025"/>
    <x v="4"/>
    <s v="Week3-Sep-2025"/>
    <x v="0"/>
    <s v="Q2FY26"/>
    <s v="30-Sep-2025"/>
    <s v="Tuesday"/>
    <s v="Monthly - Tuesday"/>
    <s v="Monthly - Tuesday"/>
    <s v="Same Month Expiry"/>
    <n v="4276939"/>
    <n v="8294.0682"/>
    <n v="37.6788"/>
  </r>
  <r>
    <s v="19-Sep-2025"/>
    <x v="4"/>
    <s v="Week3-Sep-2025"/>
    <x v="0"/>
    <s v="Q2FY26"/>
    <s v="28-Oct-2025"/>
    <s v="Tuesday"/>
    <s v="Monthly - Tuesday"/>
    <s v="Monthly - Tuesday"/>
    <s v="Month+1 Expiry"/>
    <n v="95212"/>
    <n v="186.6725"/>
    <n v="1.5823"/>
  </r>
  <r>
    <s v="19-Sep-2025"/>
    <x v="4"/>
    <s v="Week3-Sep-2025"/>
    <x v="0"/>
    <s v="Q2FY26"/>
    <s v="25-Nov-2025"/>
    <s v="Tuesday"/>
    <s v="Monthly - Tuesday"/>
    <s v="Monthly - Tuesday"/>
    <s v="Month+2 Expiry"/>
    <n v="2021"/>
    <n v="3.9345"/>
    <n v="0.0393"/>
  </r>
  <r>
    <s v="19-Sep-2025"/>
    <x v="4"/>
    <s v="Week3-Sep-2025"/>
    <x v="0"/>
    <s v="Q2FY26"/>
    <s v="30-Dec-2025"/>
    <s v="Tuesday"/>
    <s v="Monthly - Tuesday"/>
    <s v="Monthly - Tuesday"/>
    <s v="Month+3 Expiry"/>
    <n v="1793"/>
    <n v="3.5728"/>
    <n v="0.0472"/>
  </r>
  <r>
    <s v="19-Sep-2025"/>
    <x v="4"/>
    <s v="Week3-Sep-2025"/>
    <x v="0"/>
    <s v="Q2FY26"/>
    <s v="31-Mar-2026"/>
    <s v="Tuesday"/>
    <s v="Monthly - Tuesday"/>
    <s v="Monthly - Tuesday"/>
    <s v="Month+6 Expiry"/>
    <n v="87"/>
    <n v="0.1816"/>
    <n v="0.0044"/>
  </r>
  <r>
    <s v="19-Sep-2025"/>
    <x v="4"/>
    <s v="Week3-Sep-2025"/>
    <x v="0"/>
    <s v="Q2FY26"/>
    <s v="30-Jun-2026"/>
    <s v="Tuesday"/>
    <s v="Monthly - Tuesday"/>
    <s v="Monthly - Tuesday"/>
    <s v="Month+9 Expiry"/>
    <n v="0"/>
    <n v="0"/>
    <n v="0"/>
  </r>
  <r>
    <s v="22-Sep-2025"/>
    <x v="0"/>
    <s v="Week4-Sep-2025"/>
    <x v="0"/>
    <s v="Q2FY26"/>
    <s v="30-Sep-2025"/>
    <s v="Tuesday"/>
    <s v="Monthly - Tuesday"/>
    <s v="Monthly - Tuesday"/>
    <s v="Same Month Expiry"/>
    <n v="4695908"/>
    <n v="9110.084500000001"/>
    <n v="38.4408"/>
  </r>
  <r>
    <s v="22-Sep-2025"/>
    <x v="0"/>
    <s v="Week4-Sep-2025"/>
    <x v="0"/>
    <s v="Q2FY26"/>
    <s v="28-Oct-2025"/>
    <s v="Tuesday"/>
    <s v="Monthly - Tuesday"/>
    <s v="Monthly - Tuesday"/>
    <s v="Month+1 Expiry"/>
    <n v="136773"/>
    <n v="267.7661"/>
    <n v="2.2623"/>
  </r>
  <r>
    <s v="22-Sep-2025"/>
    <x v="0"/>
    <s v="Week4-Sep-2025"/>
    <x v="0"/>
    <s v="Q2FY26"/>
    <s v="25-Nov-2025"/>
    <s v="Tuesday"/>
    <s v="Monthly - Tuesday"/>
    <s v="Monthly - Tuesday"/>
    <s v="Month+2 Expiry"/>
    <n v="3032"/>
    <n v="5.903"/>
    <n v="0.0595"/>
  </r>
  <r>
    <s v="22-Sep-2025"/>
    <x v="0"/>
    <s v="Week4-Sep-2025"/>
    <x v="0"/>
    <s v="Q2FY26"/>
    <s v="30-Dec-2025"/>
    <s v="Tuesday"/>
    <s v="Monthly - Tuesday"/>
    <s v="Monthly - Tuesday"/>
    <s v="Month+3 Expiry"/>
    <n v="1819"/>
    <n v="3.6093"/>
    <n v="0.0396"/>
  </r>
  <r>
    <s v="22-Sep-2025"/>
    <x v="0"/>
    <s v="Week4-Sep-2025"/>
    <x v="0"/>
    <s v="Q2FY26"/>
    <s v="31-Mar-2026"/>
    <s v="Tuesday"/>
    <s v="Monthly - Tuesday"/>
    <s v="Monthly - Tuesday"/>
    <s v="Month+6 Expiry"/>
    <n v="34"/>
    <n v="0.0703"/>
    <n v="0.0021"/>
  </r>
  <r>
    <s v="22-Sep-2025"/>
    <x v="0"/>
    <s v="Week4-Sep-2025"/>
    <x v="0"/>
    <s v="Q2FY26"/>
    <s v="30-Jun-2026"/>
    <s v="Tuesday"/>
    <s v="Monthly - Tuesday"/>
    <s v="Monthly - Tuesday"/>
    <s v="Month+9 Expiry"/>
    <n v="0"/>
    <n v="0"/>
    <n v="0"/>
  </r>
  <r>
    <s v="23-Sep-2025"/>
    <x v="1"/>
    <s v="Week4-Sep-2025"/>
    <x v="0"/>
    <s v="Q2FY26"/>
    <s v="30-Sep-2025"/>
    <s v="Tuesday"/>
    <s v="Monthly - Tuesday"/>
    <s v="Monthly - Tuesday"/>
    <s v="Same Month Expiry"/>
    <n v="5254990"/>
    <n v="10179.5141"/>
    <n v="39.7639"/>
  </r>
  <r>
    <s v="23-Sep-2025"/>
    <x v="1"/>
    <s v="Week4-Sep-2025"/>
    <x v="0"/>
    <s v="Q2FY26"/>
    <s v="28-Oct-2025"/>
    <s v="Tuesday"/>
    <s v="Monthly - Tuesday"/>
    <s v="Monthly - Tuesday"/>
    <s v="Month+1 Expiry"/>
    <n v="162251"/>
    <n v="317.6968"/>
    <n v="2.6866"/>
  </r>
  <r>
    <s v="23-Sep-2025"/>
    <x v="1"/>
    <s v="Week4-Sep-2025"/>
    <x v="0"/>
    <s v="Q2FY26"/>
    <s v="25-Nov-2025"/>
    <s v="Tuesday"/>
    <s v="Monthly - Tuesday"/>
    <s v="Monthly - Tuesday"/>
    <s v="Month+2 Expiry"/>
    <n v="3541"/>
    <n v="6.8985"/>
    <n v="0.06710000000000001"/>
  </r>
  <r>
    <s v="23-Sep-2025"/>
    <x v="1"/>
    <s v="Week4-Sep-2025"/>
    <x v="0"/>
    <s v="Q2FY26"/>
    <s v="30-Dec-2025"/>
    <s v="Tuesday"/>
    <s v="Monthly - Tuesday"/>
    <s v="Monthly - Tuesday"/>
    <s v="Month+3 Expiry"/>
    <n v="2155"/>
    <n v="4.2961"/>
    <n v="0.0549"/>
  </r>
  <r>
    <s v="23-Sep-2025"/>
    <x v="1"/>
    <s v="Week4-Sep-2025"/>
    <x v="0"/>
    <s v="Q2FY26"/>
    <s v="31-Mar-2026"/>
    <s v="Tuesday"/>
    <s v="Monthly - Tuesday"/>
    <s v="Monthly - Tuesday"/>
    <s v="Month+6 Expiry"/>
    <n v="201"/>
    <n v="0.4153"/>
    <n v="0.0124"/>
  </r>
  <r>
    <s v="23-Sep-2025"/>
    <x v="1"/>
    <s v="Week4-Sep-2025"/>
    <x v="0"/>
    <s v="Q2FY26"/>
    <s v="30-Jun-2026"/>
    <s v="Tuesday"/>
    <s v="Monthly - Tuesday"/>
    <s v="Monthly - Tuesday"/>
    <s v="Month+9 Expiry"/>
    <n v="0"/>
    <n v="0"/>
    <n v="0"/>
  </r>
  <r>
    <s v="24-Sep-2025"/>
    <x v="2"/>
    <s v="Week4-Sep-2025"/>
    <x v="0"/>
    <s v="Q2FY26"/>
    <s v="30-Sep-2025"/>
    <s v="Tuesday"/>
    <s v="Monthly - Tuesday"/>
    <s v="Monthly - Tuesday"/>
    <s v="Same Month Expiry"/>
    <n v="8230927"/>
    <n v="15880.9611"/>
    <n v="53.1202"/>
  </r>
  <r>
    <s v="24-Sep-2025"/>
    <x v="2"/>
    <s v="Week4-Sep-2025"/>
    <x v="0"/>
    <s v="Q2FY26"/>
    <s v="28-Oct-2025"/>
    <s v="Tuesday"/>
    <s v="Monthly - Tuesday"/>
    <s v="Monthly - Tuesday"/>
    <s v="Month+1 Expiry"/>
    <n v="210834"/>
    <n v="412.2724"/>
    <n v="3.5888"/>
  </r>
  <r>
    <s v="24-Sep-2025"/>
    <x v="2"/>
    <s v="Week4-Sep-2025"/>
    <x v="0"/>
    <s v="Q2FY26"/>
    <s v="25-Nov-2025"/>
    <s v="Tuesday"/>
    <s v="Monthly - Tuesday"/>
    <s v="Monthly - Tuesday"/>
    <s v="Month+2 Expiry"/>
    <n v="4862"/>
    <n v="9.464399999999999"/>
    <n v="0.08550000000000001"/>
  </r>
  <r>
    <s v="24-Sep-2025"/>
    <x v="2"/>
    <s v="Week4-Sep-2025"/>
    <x v="0"/>
    <s v="Q2FY26"/>
    <s v="30-Dec-2025"/>
    <s v="Tuesday"/>
    <s v="Monthly - Tuesday"/>
    <s v="Monthly - Tuesday"/>
    <s v="Month+3 Expiry"/>
    <n v="2084"/>
    <n v="4.1545"/>
    <n v="0.0484"/>
  </r>
  <r>
    <s v="24-Sep-2025"/>
    <x v="2"/>
    <s v="Week4-Sep-2025"/>
    <x v="0"/>
    <s v="Q2FY26"/>
    <s v="31-Mar-2026"/>
    <s v="Tuesday"/>
    <s v="Monthly - Tuesday"/>
    <s v="Monthly - Tuesday"/>
    <s v="Month+6 Expiry"/>
    <n v="100"/>
    <n v="0.2071"/>
    <n v="0.0061"/>
  </r>
  <r>
    <s v="24-Sep-2025"/>
    <x v="2"/>
    <s v="Week4-Sep-2025"/>
    <x v="0"/>
    <s v="Q2FY26"/>
    <s v="30-Jun-2026"/>
    <s v="Tuesday"/>
    <s v="Monthly - Tuesday"/>
    <s v="Monthly - Tuesday"/>
    <s v="Month+9 Expiry"/>
    <n v="0"/>
    <n v="0"/>
    <n v="0"/>
  </r>
  <r>
    <s v="25-Sep-2025"/>
    <x v="3"/>
    <s v="Week4-Sep-2025"/>
    <x v="0"/>
    <s v="Q2FY26"/>
    <s v="30-Sep-2025"/>
    <s v="Tuesday"/>
    <s v="Monthly - Tuesday"/>
    <s v="Monthly - Tuesday"/>
    <s v="Same Month Expiry"/>
    <n v="8655021"/>
    <n v="16673.168"/>
    <n v="50.6993"/>
  </r>
  <r>
    <s v="25-Sep-2025"/>
    <x v="3"/>
    <s v="Week4-Sep-2025"/>
    <x v="0"/>
    <s v="Q2FY26"/>
    <s v="28-Oct-2025"/>
    <s v="Tuesday"/>
    <s v="Monthly - Tuesday"/>
    <s v="Monthly - Tuesday"/>
    <s v="Month+1 Expiry"/>
    <n v="229999"/>
    <n v="447.3314"/>
    <n v="4.1256"/>
  </r>
  <r>
    <s v="25-Sep-2025"/>
    <x v="3"/>
    <s v="Week4-Sep-2025"/>
    <x v="0"/>
    <s v="Q2FY26"/>
    <s v="25-Nov-2025"/>
    <s v="Tuesday"/>
    <s v="Monthly - Tuesday"/>
    <s v="Monthly - Tuesday"/>
    <s v="Month+2 Expiry"/>
    <n v="4065"/>
    <n v="7.8798"/>
    <n v="0.076"/>
  </r>
  <r>
    <s v="25-Sep-2025"/>
    <x v="3"/>
    <s v="Week4-Sep-2025"/>
    <x v="0"/>
    <s v="Q2FY26"/>
    <s v="30-Dec-2025"/>
    <s v="Tuesday"/>
    <s v="Monthly - Tuesday"/>
    <s v="Monthly - Tuesday"/>
    <s v="Month+3 Expiry"/>
    <n v="1708"/>
    <n v="3.4037"/>
    <n v="0.0434"/>
  </r>
  <r>
    <s v="25-Sep-2025"/>
    <x v="3"/>
    <s v="Week4-Sep-2025"/>
    <x v="0"/>
    <s v="Q2FY26"/>
    <s v="31-Mar-2026"/>
    <s v="Tuesday"/>
    <s v="Monthly - Tuesday"/>
    <s v="Monthly - Tuesday"/>
    <s v="Month+6 Expiry"/>
    <n v="93"/>
    <n v="0.193"/>
    <n v="0.005"/>
  </r>
  <r>
    <s v="25-Sep-2025"/>
    <x v="3"/>
    <s v="Week4-Sep-2025"/>
    <x v="0"/>
    <s v="Q2FY26"/>
    <s v="30-Jun-2026"/>
    <s v="Tuesday"/>
    <s v="Monthly - Tuesday"/>
    <s v="Monthly - Tuesday"/>
    <s v="Month+9 Expiry"/>
    <n v="0"/>
    <n v="0"/>
    <n v="0"/>
  </r>
  <r>
    <s v="26-Sep-2025"/>
    <x v="4"/>
    <s v="Week4-Sep-2025"/>
    <x v="0"/>
    <s v="Q2FY26"/>
    <s v="30-Sep-2025"/>
    <s v="Tuesday"/>
    <s v="Monthly - Tuesday"/>
    <s v="Monthly - Tuesday"/>
    <s v="Same Month Expiry"/>
    <n v="15559407"/>
    <n v="29538.8334"/>
    <n v="79.79819999999999"/>
  </r>
  <r>
    <s v="26-Sep-2025"/>
    <x v="4"/>
    <s v="Week4-Sep-2025"/>
    <x v="0"/>
    <s v="Q2FY26"/>
    <s v="28-Oct-2025"/>
    <s v="Tuesday"/>
    <s v="Monthly - Tuesday"/>
    <s v="Monthly - Tuesday"/>
    <s v="Month+1 Expiry"/>
    <n v="458425"/>
    <n v="887.954"/>
    <n v="8.023899999999999"/>
  </r>
  <r>
    <s v="26-Sep-2025"/>
    <x v="4"/>
    <s v="Week4-Sep-2025"/>
    <x v="0"/>
    <s v="Q2FY26"/>
    <s v="25-Nov-2025"/>
    <s v="Tuesday"/>
    <s v="Monthly - Tuesday"/>
    <s v="Monthly - Tuesday"/>
    <s v="Month+2 Expiry"/>
    <n v="12857"/>
    <n v="25.0482"/>
    <n v="0.2656"/>
  </r>
  <r>
    <s v="26-Sep-2025"/>
    <x v="4"/>
    <s v="Week4-Sep-2025"/>
    <x v="0"/>
    <s v="Q2FY26"/>
    <s v="30-Dec-2025"/>
    <s v="Tuesday"/>
    <s v="Monthly - Tuesday"/>
    <s v="Monthly - Tuesday"/>
    <s v="Month+3 Expiry"/>
    <n v="5665"/>
    <n v="11.2906"/>
    <n v="0.1509"/>
  </r>
  <r>
    <s v="26-Sep-2025"/>
    <x v="4"/>
    <s v="Week4-Sep-2025"/>
    <x v="0"/>
    <s v="Q2FY26"/>
    <s v="31-Mar-2026"/>
    <s v="Tuesday"/>
    <s v="Monthly - Tuesday"/>
    <s v="Monthly - Tuesday"/>
    <s v="Month+6 Expiry"/>
    <n v="201"/>
    <n v="0.4206"/>
    <n v="0.0072"/>
  </r>
  <r>
    <s v="26-Sep-2025"/>
    <x v="4"/>
    <s v="Week4-Sep-2025"/>
    <x v="0"/>
    <s v="Q2FY26"/>
    <s v="30-Jun-2026"/>
    <s v="Tuesday"/>
    <s v="Monthly - Tuesday"/>
    <s v="Monthly - Tuesday"/>
    <s v="Month+9 Expiry"/>
    <n v="0"/>
    <n v="0"/>
    <n v="0"/>
  </r>
  <r>
    <s v="29-Sep-2025"/>
    <x v="0"/>
    <s v="Week5-Sep-2025"/>
    <x v="0"/>
    <s v="Q2FY26"/>
    <s v="30-Sep-2025"/>
    <s v="Tuesday"/>
    <s v="Monthly - Tuesday"/>
    <s v="Monthly - Tuesday"/>
    <s v="Same Month Expiry"/>
    <n v="27075109"/>
    <n v="51067.5075"/>
    <n v="108.0776"/>
  </r>
  <r>
    <s v="29-Sep-2025"/>
    <x v="0"/>
    <s v="Week5-Sep-2025"/>
    <x v="0"/>
    <s v="Q2FY26"/>
    <s v="28-Oct-2025"/>
    <s v="Tuesday"/>
    <s v="Monthly - Tuesday"/>
    <s v="Monthly - Tuesday"/>
    <s v="Month+1 Expiry"/>
    <n v="502600"/>
    <n v="971.2386"/>
    <n v="9.3675"/>
  </r>
  <r>
    <s v="29-Sep-2025"/>
    <x v="0"/>
    <s v="Week5-Sep-2025"/>
    <x v="0"/>
    <s v="Q2FY26"/>
    <s v="25-Nov-2025"/>
    <s v="Tuesday"/>
    <s v="Monthly - Tuesday"/>
    <s v="Monthly - Tuesday"/>
    <s v="Month+2 Expiry"/>
    <n v="9914"/>
    <n v="19.2653"/>
    <n v="0.2083"/>
  </r>
  <r>
    <s v="29-Sep-2025"/>
    <x v="0"/>
    <s v="Week5-Sep-2025"/>
    <x v="0"/>
    <s v="Q2FY26"/>
    <s v="30-Dec-2025"/>
    <s v="Tuesday"/>
    <s v="Monthly - Tuesday"/>
    <s v="Monthly - Tuesday"/>
    <s v="Month+3 Expiry"/>
    <n v="3166"/>
    <n v="6.3169"/>
    <n v="0.08459999999999999"/>
  </r>
  <r>
    <s v="29-Sep-2025"/>
    <x v="0"/>
    <s v="Week5-Sep-2025"/>
    <x v="0"/>
    <s v="Q2FY26"/>
    <s v="31-Mar-2026"/>
    <s v="Tuesday"/>
    <s v="Monthly - Tuesday"/>
    <s v="Monthly - Tuesday"/>
    <s v="Month+6 Expiry"/>
    <n v="118"/>
    <n v="0.2465"/>
    <n v="0.0041"/>
  </r>
  <r>
    <s v="29-Sep-2025"/>
    <x v="0"/>
    <s v="Week5-Sep-2025"/>
    <x v="0"/>
    <s v="Q2FY26"/>
    <s v="30-Jun-2026"/>
    <s v="Tuesday"/>
    <s v="Monthly - Tuesday"/>
    <s v="Monthly - Tuesday"/>
    <s v="Month+9 Expiry"/>
    <n v="0"/>
    <n v="0"/>
    <n v="0"/>
  </r>
  <r>
    <s v="30-Sep-2025"/>
    <x v="1"/>
    <s v="Week5-Sep-2025"/>
    <x v="0"/>
    <s v="Q2FY26"/>
    <s v="30-Sep-2025"/>
    <s v="Tuesday"/>
    <s v="Monthly - Tuesday"/>
    <s v="Monthly - Tuesday"/>
    <s v="Same Month Expiry"/>
    <n v="77935545"/>
    <n v="146734.5691"/>
    <n v="144.701"/>
  </r>
  <r>
    <s v="30-Sep-2025"/>
    <x v="1"/>
    <s v="Week5-Sep-2025"/>
    <x v="0"/>
    <s v="Q2FY26"/>
    <s v="28-Oct-2025"/>
    <s v="Tuesday"/>
    <s v="Monthly - Tuesday"/>
    <s v="Monthly - Tuesday"/>
    <s v="Month+1 Expiry"/>
    <n v="703306"/>
    <n v="1355.1977"/>
    <n v="11.7975"/>
  </r>
  <r>
    <s v="30-Sep-2025"/>
    <x v="1"/>
    <s v="Week5-Sep-2025"/>
    <x v="0"/>
    <s v="Q2FY26"/>
    <s v="25-Nov-2025"/>
    <s v="Tuesday"/>
    <s v="Monthly - Tuesday"/>
    <s v="Monthly - Tuesday"/>
    <s v="Month+2 Expiry"/>
    <n v="7401"/>
    <n v="14.3143"/>
    <n v="0.1646"/>
  </r>
  <r>
    <s v="30-Sep-2025"/>
    <x v="1"/>
    <s v="Week5-Sep-2025"/>
    <x v="0"/>
    <s v="Q2FY26"/>
    <s v="30-Dec-2025"/>
    <s v="Tuesday"/>
    <s v="Monthly - Tuesday"/>
    <s v="Monthly - Tuesday"/>
    <s v="Month+3 Expiry"/>
    <n v="2577"/>
    <n v="5.1074"/>
    <n v="0.08359999999999999"/>
  </r>
  <r>
    <s v="30-Sep-2025"/>
    <x v="1"/>
    <s v="Week5-Sep-2025"/>
    <x v="0"/>
    <s v="Q2FY26"/>
    <s v="31-Mar-2026"/>
    <s v="Tuesday"/>
    <s v="Monthly - Tuesday"/>
    <s v="Monthly - Tuesday"/>
    <s v="Month+6 Expiry"/>
    <n v="79"/>
    <n v="0.1647"/>
    <n v="0.003"/>
  </r>
  <r>
    <s v="30-Sep-2025"/>
    <x v="1"/>
    <s v="Week5-Sep-2025"/>
    <x v="0"/>
    <s v="Q2FY26"/>
    <s v="30-Jun-2026"/>
    <s v="Tuesday"/>
    <s v="Monthly - Tuesday"/>
    <s v="Monthly - Tuesday"/>
    <s v="Month+9 Expiry"/>
    <n v="0"/>
    <n v="0"/>
    <n v="0"/>
  </r>
  <r>
    <s v="01-Oct-2025"/>
    <x v="2"/>
    <s v="Week1-Oct-2025"/>
    <x v="1"/>
    <s v="Q3FY26"/>
    <s v="28-Oct-2025"/>
    <s v="Tuesday"/>
    <s v="Monthly - Tuesday"/>
    <s v="Monthly - Tuesday"/>
    <s v="Same Month Expiry"/>
    <n v="3418398"/>
    <n v="6622.703"/>
    <n v="50.3848"/>
  </r>
  <r>
    <s v="01-Oct-2025"/>
    <x v="2"/>
    <s v="Week1-Oct-2025"/>
    <x v="1"/>
    <s v="Q3FY26"/>
    <s v="25-Nov-2025"/>
    <s v="Tuesday"/>
    <s v="Monthly - Tuesday"/>
    <s v="Monthly - Tuesday"/>
    <s v="Month+1 Expiry"/>
    <n v="23611"/>
    <n v="46.0856"/>
    <n v="0.5162"/>
  </r>
  <r>
    <s v="01-Oct-2025"/>
    <x v="2"/>
    <s v="Week1-Oct-2025"/>
    <x v="1"/>
    <s v="Q3FY26"/>
    <s v="30-Dec-2025"/>
    <s v="Tuesday"/>
    <s v="Monthly - Tuesday"/>
    <s v="Monthly - Tuesday"/>
    <s v="Month+2 Expiry"/>
    <n v="6012"/>
    <n v="12.0028"/>
    <n v="0.1618"/>
  </r>
  <r>
    <s v="01-Oct-2025"/>
    <x v="2"/>
    <s v="Week1-Oct-2025"/>
    <x v="1"/>
    <s v="Q3FY26"/>
    <s v="31-Mar-2026"/>
    <s v="Tuesday"/>
    <s v="Monthly - Tuesday"/>
    <s v="Monthly - Tuesday"/>
    <s v="Month+5 Expiry"/>
    <n v="185"/>
    <n v="0.388"/>
    <n v="0.0067"/>
  </r>
  <r>
    <s v="01-Oct-2025"/>
    <x v="2"/>
    <s v="Week1-Oct-2025"/>
    <x v="1"/>
    <s v="Q3FY26"/>
    <s v="30-Jun-2026"/>
    <s v="Tuesday"/>
    <s v="Monthly - Tuesday"/>
    <s v="Monthly - Tuesday"/>
    <s v="Month+8 Expiry"/>
    <n v="0"/>
    <n v="0"/>
    <n v="0"/>
  </r>
  <r>
    <s v="01-Oct-2025"/>
    <x v="2"/>
    <s v="Week1-Oct-2025"/>
    <x v="1"/>
    <s v="Q3FY26"/>
    <s v="29-Sep-2026"/>
    <s v="Tuesday"/>
    <s v="Monthly - Tuesday"/>
    <s v="Monthly - Tuesday"/>
    <s v="Month+11 Expiry"/>
    <n v="0"/>
    <n v="0"/>
    <n v="0"/>
  </r>
  <r>
    <s v="03-Oct-2025"/>
    <x v="4"/>
    <s v="Week1-Oct-2025"/>
    <x v="1"/>
    <s v="Q3FY26"/>
    <s v="28-Oct-2025"/>
    <s v="Tuesday"/>
    <s v="Monthly - Tuesday"/>
    <s v="Monthly - Tuesday"/>
    <s v="Same Month Expiry"/>
    <n v="2480760"/>
    <n v="4817.4319"/>
    <n v="35.5973"/>
  </r>
  <r>
    <s v="03-Oct-2025"/>
    <x v="4"/>
    <s v="Week1-Oct-2025"/>
    <x v="1"/>
    <s v="Q3FY26"/>
    <s v="25-Nov-2025"/>
    <s v="Tuesday"/>
    <s v="Monthly - Tuesday"/>
    <s v="Monthly - Tuesday"/>
    <s v="Month+1 Expiry"/>
    <n v="24070"/>
    <n v="46.7797"/>
    <n v="0.4472"/>
  </r>
  <r>
    <s v="03-Oct-2025"/>
    <x v="4"/>
    <s v="Week1-Oct-2025"/>
    <x v="1"/>
    <s v="Q3FY26"/>
    <s v="30-Dec-2025"/>
    <s v="Tuesday"/>
    <s v="Monthly - Tuesday"/>
    <s v="Monthly - Tuesday"/>
    <s v="Month+2 Expiry"/>
    <n v="4540"/>
    <n v="8.964499999999999"/>
    <n v="0.1183"/>
  </r>
  <r>
    <s v="03-Oct-2025"/>
    <x v="4"/>
    <s v="Week1-Oct-2025"/>
    <x v="1"/>
    <s v="Q3FY26"/>
    <s v="31-Mar-2026"/>
    <s v="Tuesday"/>
    <s v="Monthly - Tuesday"/>
    <s v="Monthly - Tuesday"/>
    <s v="Month+5 Expiry"/>
    <n v="55"/>
    <n v="0.1144"/>
    <n v="0.0026"/>
  </r>
  <r>
    <s v="03-Oct-2025"/>
    <x v="4"/>
    <s v="Week1-Oct-2025"/>
    <x v="1"/>
    <s v="Q3FY26"/>
    <s v="30-Jun-2026"/>
    <s v="Tuesday"/>
    <s v="Monthly - Tuesday"/>
    <s v="Monthly - Tuesday"/>
    <s v="Month+8 Expiry"/>
    <n v="0"/>
    <n v="0"/>
    <n v="0"/>
  </r>
  <r>
    <s v="03-Oct-2025"/>
    <x v="4"/>
    <s v="Week1-Oct-2025"/>
    <x v="1"/>
    <s v="Q3FY26"/>
    <s v="29-Sep-2026"/>
    <s v="Tuesday"/>
    <s v="Monthly - Tuesday"/>
    <s v="Monthly - Tuesday"/>
    <s v="Month+11 Expiry"/>
    <n v="0"/>
    <n v="0"/>
    <n v="0"/>
  </r>
  <r>
    <s v="06-Oct-2025"/>
    <x v="0"/>
    <s v="Week1-Oct-2025"/>
    <x v="1"/>
    <s v="Q3FY26"/>
    <s v="28-Oct-2025"/>
    <s v="Tuesday"/>
    <s v="Monthly - Tuesday"/>
    <s v="Monthly - Tuesday"/>
    <s v="Same Month Expiry"/>
    <n v="2876686"/>
    <n v="5617.0957"/>
    <n v="36.0748"/>
  </r>
  <r>
    <s v="06-Oct-2025"/>
    <x v="0"/>
    <s v="Week1-Oct-2025"/>
    <x v="1"/>
    <s v="Q3FY26"/>
    <s v="25-Nov-2025"/>
    <s v="Tuesday"/>
    <s v="Monthly - Tuesday"/>
    <s v="Monthly - Tuesday"/>
    <s v="Month+1 Expiry"/>
    <n v="35975"/>
    <n v="70.57429999999999"/>
    <n v="0.6666"/>
  </r>
  <r>
    <s v="06-Oct-2025"/>
    <x v="0"/>
    <s v="Week1-Oct-2025"/>
    <x v="1"/>
    <s v="Q3FY26"/>
    <s v="30-Dec-2025"/>
    <s v="Tuesday"/>
    <s v="Monthly - Tuesday"/>
    <s v="Monthly - Tuesday"/>
    <s v="Month+2 Expiry"/>
    <n v="9736"/>
    <n v="19.1345"/>
    <n v="0.2422"/>
  </r>
  <r>
    <s v="06-Oct-2025"/>
    <x v="0"/>
    <s v="Week1-Oct-2025"/>
    <x v="1"/>
    <s v="Q3FY26"/>
    <s v="31-Mar-2026"/>
    <s v="Tuesday"/>
    <s v="Monthly - Tuesday"/>
    <s v="Monthly - Tuesday"/>
    <s v="Month+5 Expiry"/>
    <n v="164"/>
    <n v="0.3422"/>
    <n v="0.0081"/>
  </r>
  <r>
    <s v="06-Oct-2025"/>
    <x v="0"/>
    <s v="Week1-Oct-2025"/>
    <x v="1"/>
    <s v="Q3FY26"/>
    <s v="30-Jun-2026"/>
    <s v="Tuesday"/>
    <s v="Monthly - Tuesday"/>
    <s v="Monthly - Tuesday"/>
    <s v="Month+8 Expiry"/>
    <n v="0"/>
    <n v="0"/>
    <n v="0"/>
  </r>
  <r>
    <s v="06-Oct-2025"/>
    <x v="0"/>
    <s v="Week1-Oct-2025"/>
    <x v="1"/>
    <s v="Q3FY26"/>
    <s v="29-Sep-2026"/>
    <s v="Tuesday"/>
    <s v="Monthly - Tuesday"/>
    <s v="Monthly - Tuesday"/>
    <s v="Month+11 Expiry"/>
    <n v="0"/>
    <n v="0"/>
    <n v="0"/>
  </r>
  <r>
    <s v="07-Oct-2025"/>
    <x v="1"/>
    <s v="Week1-Oct-2025"/>
    <x v="1"/>
    <s v="Q3FY26"/>
    <s v="28-Oct-2025"/>
    <s v="Tuesday"/>
    <s v="Monthly - Tuesday"/>
    <s v="Monthly - Tuesday"/>
    <s v="Same Month Expiry"/>
    <n v="2903786"/>
    <n v="5708.1586"/>
    <n v="37.7032"/>
  </r>
  <r>
    <s v="07-Oct-2025"/>
    <x v="1"/>
    <s v="Week1-Oct-2025"/>
    <x v="1"/>
    <s v="Q3FY26"/>
    <s v="25-Nov-2025"/>
    <s v="Tuesday"/>
    <s v="Monthly - Tuesday"/>
    <s v="Monthly - Tuesday"/>
    <s v="Month+1 Expiry"/>
    <n v="40257"/>
    <n v="80.28149999999999"/>
    <n v="0.7597"/>
  </r>
  <r>
    <s v="07-Oct-2025"/>
    <x v="1"/>
    <s v="Week1-Oct-2025"/>
    <x v="1"/>
    <s v="Q3FY26"/>
    <s v="30-Dec-2025"/>
    <s v="Tuesday"/>
    <s v="Monthly - Tuesday"/>
    <s v="Monthly - Tuesday"/>
    <s v="Month+2 Expiry"/>
    <n v="6664"/>
    <n v="13.2879"/>
    <n v="0.1403"/>
  </r>
  <r>
    <s v="07-Oct-2025"/>
    <x v="1"/>
    <s v="Week1-Oct-2025"/>
    <x v="1"/>
    <s v="Q3FY26"/>
    <s v="31-Mar-2026"/>
    <s v="Tuesday"/>
    <s v="Monthly - Tuesday"/>
    <s v="Monthly - Tuesday"/>
    <s v="Month+5 Expiry"/>
    <n v="245"/>
    <n v="0.5122"/>
    <n v="0.0123"/>
  </r>
  <r>
    <s v="07-Oct-2025"/>
    <x v="1"/>
    <s v="Week1-Oct-2025"/>
    <x v="1"/>
    <s v="Q3FY26"/>
    <s v="30-Jun-2026"/>
    <s v="Tuesday"/>
    <s v="Monthly - Tuesday"/>
    <s v="Monthly - Tuesday"/>
    <s v="Month+8 Expiry"/>
    <n v="0"/>
    <n v="0"/>
    <n v="0"/>
  </r>
  <r>
    <s v="07-Oct-2025"/>
    <x v="1"/>
    <s v="Week1-Oct-2025"/>
    <x v="1"/>
    <s v="Q3FY26"/>
    <s v="29-Sep-2026"/>
    <s v="Tuesday"/>
    <s v="Monthly - Tuesday"/>
    <s v="Monthly - Tuesday"/>
    <s v="Month+11 Expiry"/>
    <n v="0"/>
    <n v="0"/>
    <n v="0"/>
  </r>
  <r>
    <s v="08-Oct-2025"/>
    <x v="2"/>
    <s v="Week2-Oct-2025"/>
    <x v="1"/>
    <s v="Q3FY26"/>
    <s v="28-Oct-2025"/>
    <s v="Tuesday"/>
    <s v="Monthly - Tuesday"/>
    <s v="Monthly - Tuesday"/>
    <s v="Same Month Expiry"/>
    <n v="3420593"/>
    <n v="6713.9899"/>
    <n v="44.2005"/>
  </r>
  <r>
    <s v="08-Oct-2025"/>
    <x v="2"/>
    <s v="Week2-Oct-2025"/>
    <x v="1"/>
    <s v="Q3FY26"/>
    <s v="25-Nov-2025"/>
    <s v="Tuesday"/>
    <s v="Monthly - Tuesday"/>
    <s v="Monthly - Tuesday"/>
    <s v="Month+1 Expiry"/>
    <n v="43425"/>
    <n v="86.4068"/>
    <n v="0.8698"/>
  </r>
  <r>
    <s v="08-Oct-2025"/>
    <x v="2"/>
    <s v="Week2-Oct-2025"/>
    <x v="1"/>
    <s v="Q3FY26"/>
    <s v="30-Dec-2025"/>
    <s v="Tuesday"/>
    <s v="Monthly - Tuesday"/>
    <s v="Monthly - Tuesday"/>
    <s v="Month+2 Expiry"/>
    <n v="4411"/>
    <n v="8.786"/>
    <n v="0.1043"/>
  </r>
  <r>
    <s v="08-Oct-2025"/>
    <x v="2"/>
    <s v="Week2-Oct-2025"/>
    <x v="1"/>
    <s v="Q3FY26"/>
    <s v="31-Mar-2026"/>
    <s v="Tuesday"/>
    <s v="Monthly - Tuesday"/>
    <s v="Monthly - Tuesday"/>
    <s v="Month+5 Expiry"/>
    <n v="119"/>
    <n v="0.2498"/>
    <n v="0.005"/>
  </r>
  <r>
    <s v="08-Oct-2025"/>
    <x v="2"/>
    <s v="Week2-Oct-2025"/>
    <x v="1"/>
    <s v="Q3FY26"/>
    <s v="30-Jun-2026"/>
    <s v="Tuesday"/>
    <s v="Monthly - Tuesday"/>
    <s v="Monthly - Tuesday"/>
    <s v="Month+8 Expiry"/>
    <n v="0"/>
    <n v="0"/>
    <n v="0"/>
  </r>
  <r>
    <s v="08-Oct-2025"/>
    <x v="2"/>
    <s v="Week2-Oct-2025"/>
    <x v="1"/>
    <s v="Q3FY26"/>
    <s v="29-Sep-2026"/>
    <s v="Tuesday"/>
    <s v="Monthly - Tuesday"/>
    <s v="Monthly - Tuesday"/>
    <s v="Month+11 Expiry"/>
    <n v="0"/>
    <n v="0"/>
    <n v="0"/>
  </r>
  <r>
    <s v="09-Oct-2025"/>
    <x v="3"/>
    <s v="Week2-Oct-2025"/>
    <x v="1"/>
    <s v="Q3FY26"/>
    <s v="28-Oct-2025"/>
    <s v="Tuesday"/>
    <s v="Monthly - Tuesday"/>
    <s v="Monthly - Tuesday"/>
    <s v="Same Month Expiry"/>
    <n v="2616312"/>
    <n v="5139.0998"/>
    <n v="34.1213"/>
  </r>
  <r>
    <s v="09-Oct-2025"/>
    <x v="3"/>
    <s v="Week2-Oct-2025"/>
    <x v="1"/>
    <s v="Q3FY26"/>
    <s v="25-Nov-2025"/>
    <s v="Tuesday"/>
    <s v="Monthly - Tuesday"/>
    <s v="Monthly - Tuesday"/>
    <s v="Month+1 Expiry"/>
    <n v="26557"/>
    <n v="52.8864"/>
    <n v="0.5274"/>
  </r>
  <r>
    <s v="09-Oct-2025"/>
    <x v="3"/>
    <s v="Week2-Oct-2025"/>
    <x v="1"/>
    <s v="Q3FY26"/>
    <s v="30-Dec-2025"/>
    <s v="Tuesday"/>
    <s v="Monthly - Tuesday"/>
    <s v="Monthly - Tuesday"/>
    <s v="Month+2 Expiry"/>
    <n v="2323"/>
    <n v="4.6176"/>
    <n v="0.0527"/>
  </r>
  <r>
    <s v="09-Oct-2025"/>
    <x v="3"/>
    <s v="Week2-Oct-2025"/>
    <x v="1"/>
    <s v="Q3FY26"/>
    <s v="31-Mar-2026"/>
    <s v="Tuesday"/>
    <s v="Monthly - Tuesday"/>
    <s v="Monthly - Tuesday"/>
    <s v="Month+5 Expiry"/>
    <n v="159"/>
    <n v="0.3311"/>
    <n v="0.007900000000000001"/>
  </r>
  <r>
    <s v="09-Oct-2025"/>
    <x v="3"/>
    <s v="Week2-Oct-2025"/>
    <x v="1"/>
    <s v="Q3FY26"/>
    <s v="30-Jun-2026"/>
    <s v="Tuesday"/>
    <s v="Monthly - Tuesday"/>
    <s v="Monthly - Tuesday"/>
    <s v="Month+8 Expiry"/>
    <n v="0"/>
    <n v="0"/>
    <n v="0"/>
  </r>
  <r>
    <s v="09-Oct-2025"/>
    <x v="3"/>
    <s v="Week2-Oct-2025"/>
    <x v="1"/>
    <s v="Q3FY26"/>
    <s v="29-Sep-2026"/>
    <s v="Tuesday"/>
    <s v="Monthly - Tuesday"/>
    <s v="Monthly - Tuesday"/>
    <s v="Month+11 Expiry"/>
    <n v="0"/>
    <n v="0"/>
    <n v="0"/>
  </r>
  <r>
    <s v="10-Oct-2025"/>
    <x v="4"/>
    <s v="Week2-Oct-2025"/>
    <x v="1"/>
    <s v="Q3FY26"/>
    <s v="28-Oct-2025"/>
    <s v="Tuesday"/>
    <s v="Monthly - Tuesday"/>
    <s v="Monthly - Tuesday"/>
    <s v="Same Month Expiry"/>
    <n v="3637423"/>
    <n v="7191.7764"/>
    <n v="42.392"/>
  </r>
  <r>
    <s v="10-Oct-2025"/>
    <x v="4"/>
    <s v="Week2-Oct-2025"/>
    <x v="1"/>
    <s v="Q3FY26"/>
    <s v="25-Nov-2025"/>
    <s v="Tuesday"/>
    <s v="Monthly - Tuesday"/>
    <s v="Monthly - Tuesday"/>
    <s v="Month+1 Expiry"/>
    <n v="66068"/>
    <n v="131.5625"/>
    <n v="1.2456"/>
  </r>
  <r>
    <s v="10-Oct-2025"/>
    <x v="4"/>
    <s v="Week2-Oct-2025"/>
    <x v="1"/>
    <s v="Q3FY26"/>
    <s v="30-Dec-2025"/>
    <s v="Tuesday"/>
    <s v="Monthly - Tuesday"/>
    <s v="Monthly - Tuesday"/>
    <s v="Month+2 Expiry"/>
    <n v="9440"/>
    <n v="18.8216"/>
    <n v="0.213"/>
  </r>
  <r>
    <s v="10-Oct-2025"/>
    <x v="4"/>
    <s v="Week2-Oct-2025"/>
    <x v="1"/>
    <s v="Q3FY26"/>
    <s v="31-Mar-2026"/>
    <s v="Tuesday"/>
    <s v="Monthly - Tuesday"/>
    <s v="Monthly - Tuesday"/>
    <s v="Month+5 Expiry"/>
    <n v="540"/>
    <n v="1.1283"/>
    <n v="0.0255"/>
  </r>
  <r>
    <s v="10-Oct-2025"/>
    <x v="4"/>
    <s v="Week2-Oct-2025"/>
    <x v="1"/>
    <s v="Q3FY26"/>
    <s v="30-Jun-2026"/>
    <s v="Tuesday"/>
    <s v="Monthly - Tuesday"/>
    <s v="Monthly - Tuesday"/>
    <s v="Month+8 Expiry"/>
    <n v="0"/>
    <n v="0"/>
    <n v="0"/>
  </r>
  <r>
    <s v="10-Oct-2025"/>
    <x v="4"/>
    <s v="Week2-Oct-2025"/>
    <x v="1"/>
    <s v="Q3FY26"/>
    <s v="29-Sep-2026"/>
    <s v="Tuesday"/>
    <s v="Monthly - Tuesday"/>
    <s v="Monthly - Tuesday"/>
    <s v="Month+11 Expiry"/>
    <n v="0"/>
    <n v="0"/>
    <n v="0"/>
  </r>
  <r>
    <s v="13-Oct-2025"/>
    <x v="0"/>
    <s v="Week2-Oct-2025"/>
    <x v="1"/>
    <s v="Q3FY26"/>
    <s v="28-Oct-2025"/>
    <s v="Tuesday"/>
    <s v="Monthly - Tuesday"/>
    <s v="Monthly - Tuesday"/>
    <s v="Same Month Expiry"/>
    <n v="3390928"/>
    <n v="6700.4335"/>
    <n v="40.9166"/>
  </r>
  <r>
    <s v="13-Oct-2025"/>
    <x v="0"/>
    <s v="Week2-Oct-2025"/>
    <x v="1"/>
    <s v="Q3FY26"/>
    <s v="25-Nov-2025"/>
    <s v="Tuesday"/>
    <s v="Monthly - Tuesday"/>
    <s v="Monthly - Tuesday"/>
    <s v="Month+1 Expiry"/>
    <n v="52287"/>
    <n v="104.2625"/>
    <n v="1.0547"/>
  </r>
  <r>
    <s v="13-Oct-2025"/>
    <x v="0"/>
    <s v="Week2-Oct-2025"/>
    <x v="1"/>
    <s v="Q3FY26"/>
    <s v="30-Dec-2025"/>
    <s v="Tuesday"/>
    <s v="Monthly - Tuesday"/>
    <s v="Monthly - Tuesday"/>
    <s v="Month+2 Expiry"/>
    <n v="10215"/>
    <n v="20.5537"/>
    <n v="0.3083"/>
  </r>
  <r>
    <s v="13-Oct-2025"/>
    <x v="0"/>
    <s v="Week2-Oct-2025"/>
    <x v="1"/>
    <s v="Q3FY26"/>
    <s v="31-Mar-2026"/>
    <s v="Tuesday"/>
    <s v="Monthly - Tuesday"/>
    <s v="Monthly - Tuesday"/>
    <s v="Month+5 Expiry"/>
    <n v="3616"/>
    <n v="7.3705"/>
    <n v="0.1388"/>
  </r>
  <r>
    <s v="13-Oct-2025"/>
    <x v="0"/>
    <s v="Week2-Oct-2025"/>
    <x v="1"/>
    <s v="Q3FY26"/>
    <s v="30-Jun-2026"/>
    <s v="Tuesday"/>
    <s v="Monthly - Tuesday"/>
    <s v="Monthly - Tuesday"/>
    <s v="Month+8 Expiry"/>
    <n v="0"/>
    <n v="0"/>
    <n v="0"/>
  </r>
  <r>
    <s v="13-Oct-2025"/>
    <x v="0"/>
    <s v="Week2-Oct-2025"/>
    <x v="1"/>
    <s v="Q3FY26"/>
    <s v="29-Sep-2026"/>
    <s v="Tuesday"/>
    <s v="Monthly - Tuesday"/>
    <s v="Monthly - Tuesday"/>
    <s v="Month+11 Expiry"/>
    <n v="0"/>
    <n v="0"/>
    <n v="0"/>
  </r>
  <r>
    <s v="14-Oct-2025"/>
    <x v="1"/>
    <s v="Week2-Oct-2025"/>
    <x v="1"/>
    <s v="Q3FY26"/>
    <s v="28-Oct-2025"/>
    <s v="Tuesday"/>
    <s v="Monthly - Tuesday"/>
    <s v="Monthly - Tuesday"/>
    <s v="Same Month Expiry"/>
    <n v="3317035"/>
    <n v="6539.17"/>
    <n v="39.3218"/>
  </r>
  <r>
    <s v="14-Oct-2025"/>
    <x v="1"/>
    <s v="Week2-Oct-2025"/>
    <x v="1"/>
    <s v="Q3FY26"/>
    <s v="25-Nov-2025"/>
    <s v="Tuesday"/>
    <s v="Monthly - Tuesday"/>
    <s v="Monthly - Tuesday"/>
    <s v="Month+1 Expiry"/>
    <n v="50425"/>
    <n v="100.4223"/>
    <n v="0.9661999999999999"/>
  </r>
  <r>
    <s v="14-Oct-2025"/>
    <x v="1"/>
    <s v="Week2-Oct-2025"/>
    <x v="1"/>
    <s v="Q3FY26"/>
    <s v="30-Dec-2025"/>
    <s v="Tuesday"/>
    <s v="Monthly - Tuesday"/>
    <s v="Monthly - Tuesday"/>
    <s v="Month+2 Expiry"/>
    <n v="4720"/>
    <n v="9.378500000000001"/>
    <n v="0.12"/>
  </r>
  <r>
    <s v="14-Oct-2025"/>
    <x v="1"/>
    <s v="Week2-Oct-2025"/>
    <x v="1"/>
    <s v="Q3FY26"/>
    <s v="31-Mar-2026"/>
    <s v="Tuesday"/>
    <s v="Monthly - Tuesday"/>
    <s v="Monthly - Tuesday"/>
    <s v="Month+5 Expiry"/>
    <n v="258"/>
    <n v="0.5346"/>
    <n v="0.0113"/>
  </r>
  <r>
    <s v="14-Oct-2025"/>
    <x v="1"/>
    <s v="Week2-Oct-2025"/>
    <x v="1"/>
    <s v="Q3FY26"/>
    <s v="30-Jun-2026"/>
    <s v="Tuesday"/>
    <s v="Monthly - Tuesday"/>
    <s v="Monthly - Tuesday"/>
    <s v="Month+8 Expiry"/>
    <n v="0"/>
    <n v="0"/>
    <n v="0"/>
  </r>
  <r>
    <s v="14-Oct-2025"/>
    <x v="1"/>
    <s v="Week2-Oct-2025"/>
    <x v="1"/>
    <s v="Q3FY26"/>
    <s v="29-Sep-2026"/>
    <s v="Tuesday"/>
    <s v="Monthly - Tuesday"/>
    <s v="Monthly - Tuesday"/>
    <s v="Month+11 Expiry"/>
    <n v="0"/>
    <n v="0"/>
    <n v="0"/>
  </r>
  <r>
    <s v="15-Oct-2025"/>
    <x v="2"/>
    <s v="Week3-Oct-2025"/>
    <x v="1"/>
    <s v="Q3FY26"/>
    <s v="28-Oct-2025"/>
    <s v="Tuesday"/>
    <s v="Monthly - Tuesday"/>
    <s v="Monthly - Tuesday"/>
    <s v="Same Month Expiry"/>
    <n v="3566936"/>
    <n v="7047.3134"/>
    <n v="39.4578"/>
  </r>
  <r>
    <s v="15-Oct-2025"/>
    <x v="2"/>
    <s v="Week3-Oct-2025"/>
    <x v="1"/>
    <s v="Q3FY26"/>
    <s v="25-Nov-2025"/>
    <s v="Tuesday"/>
    <s v="Monthly - Tuesday"/>
    <s v="Monthly - Tuesday"/>
    <s v="Month+1 Expiry"/>
    <n v="79388"/>
    <n v="158.4445"/>
    <n v="1.4318"/>
  </r>
  <r>
    <s v="15-Oct-2025"/>
    <x v="2"/>
    <s v="Week3-Oct-2025"/>
    <x v="1"/>
    <s v="Q3FY26"/>
    <s v="30-Dec-2025"/>
    <s v="Tuesday"/>
    <s v="Monthly - Tuesday"/>
    <s v="Monthly - Tuesday"/>
    <s v="Month+2 Expiry"/>
    <n v="7735"/>
    <n v="15.4627"/>
    <n v="0.2091"/>
  </r>
  <r>
    <s v="15-Oct-2025"/>
    <x v="2"/>
    <s v="Week3-Oct-2025"/>
    <x v="1"/>
    <s v="Q3FY26"/>
    <s v="31-Mar-2026"/>
    <s v="Tuesday"/>
    <s v="Monthly - Tuesday"/>
    <s v="Monthly - Tuesday"/>
    <s v="Month+5 Expiry"/>
    <n v="1158"/>
    <n v="2.3677"/>
    <n v="0.0409"/>
  </r>
  <r>
    <s v="15-Oct-2025"/>
    <x v="2"/>
    <s v="Week3-Oct-2025"/>
    <x v="1"/>
    <s v="Q3FY26"/>
    <s v="30-Jun-2026"/>
    <s v="Tuesday"/>
    <s v="Monthly - Tuesday"/>
    <s v="Monthly - Tuesday"/>
    <s v="Month+8 Expiry"/>
    <n v="0"/>
    <n v="0"/>
    <n v="0"/>
  </r>
  <r>
    <s v="15-Oct-2025"/>
    <x v="2"/>
    <s v="Week3-Oct-2025"/>
    <x v="1"/>
    <s v="Q3FY26"/>
    <s v="29-Sep-2026"/>
    <s v="Tuesday"/>
    <s v="Monthly - Tuesday"/>
    <s v="Monthly - Tuesday"/>
    <s v="Month+11 Expiry"/>
    <n v="0"/>
    <n v="0"/>
    <n v="0"/>
  </r>
  <r>
    <s v="16-Oct-2025"/>
    <x v="3"/>
    <s v="Week3-Oct-2025"/>
    <x v="1"/>
    <s v="Q3FY26"/>
    <s v="28-Oct-2025"/>
    <s v="Tuesday"/>
    <s v="Monthly - Tuesday"/>
    <s v="Monthly - Tuesday"/>
    <s v="Same Month Expiry"/>
    <n v="4449066"/>
    <n v="8836.4424"/>
    <n v="44.8338"/>
  </r>
  <r>
    <s v="16-Oct-2025"/>
    <x v="3"/>
    <s v="Week3-Oct-2025"/>
    <x v="1"/>
    <s v="Q3FY26"/>
    <s v="25-Nov-2025"/>
    <s v="Tuesday"/>
    <s v="Monthly - Tuesday"/>
    <s v="Monthly - Tuesday"/>
    <s v="Month+1 Expiry"/>
    <n v="157673"/>
    <n v="318.3044"/>
    <n v="3.2265"/>
  </r>
  <r>
    <s v="16-Oct-2025"/>
    <x v="3"/>
    <s v="Week3-Oct-2025"/>
    <x v="1"/>
    <s v="Q3FY26"/>
    <s v="30-Dec-2025"/>
    <s v="Tuesday"/>
    <s v="Monthly - Tuesday"/>
    <s v="Monthly - Tuesday"/>
    <s v="Month+2 Expiry"/>
    <n v="16458"/>
    <n v="33.2352"/>
    <n v="0.4489"/>
  </r>
  <r>
    <s v="16-Oct-2025"/>
    <x v="3"/>
    <s v="Week3-Oct-2025"/>
    <x v="1"/>
    <s v="Q3FY26"/>
    <s v="31-Mar-2026"/>
    <s v="Tuesday"/>
    <s v="Monthly - Tuesday"/>
    <s v="Monthly - Tuesday"/>
    <s v="Month+5 Expiry"/>
    <n v="836"/>
    <n v="1.7277"/>
    <n v="0.0368"/>
  </r>
  <r>
    <s v="16-Oct-2025"/>
    <x v="3"/>
    <s v="Week3-Oct-2025"/>
    <x v="1"/>
    <s v="Q3FY26"/>
    <s v="30-Jun-2026"/>
    <s v="Tuesday"/>
    <s v="Monthly - Tuesday"/>
    <s v="Monthly - Tuesday"/>
    <s v="Month+8 Expiry"/>
    <n v="0"/>
    <n v="0"/>
    <n v="0"/>
  </r>
  <r>
    <s v="16-Oct-2025"/>
    <x v="3"/>
    <s v="Week3-Oct-2025"/>
    <x v="1"/>
    <s v="Q3FY26"/>
    <s v="29-Sep-2026"/>
    <s v="Tuesday"/>
    <s v="Monthly - Tuesday"/>
    <s v="Monthly - Tuesday"/>
    <s v="Month+11 Expiry"/>
    <n v="0"/>
    <n v="0"/>
    <n v="0"/>
  </r>
  <r>
    <s v="17-Oct-2025"/>
    <x v="4"/>
    <s v="Week3-Oct-2025"/>
    <x v="1"/>
    <s v="Q3FY26"/>
    <s v="28-Oct-2025"/>
    <s v="Tuesday"/>
    <s v="Monthly - Tuesday"/>
    <s v="Monthly - Tuesday"/>
    <s v="Same Month Expiry"/>
    <n v="6181755"/>
    <n v="12374.944"/>
    <n v="65.3261"/>
  </r>
  <r>
    <s v="17-Oct-2025"/>
    <x v="4"/>
    <s v="Week3-Oct-2025"/>
    <x v="1"/>
    <s v="Q3FY26"/>
    <s v="25-Nov-2025"/>
    <s v="Tuesday"/>
    <s v="Monthly - Tuesday"/>
    <s v="Monthly - Tuesday"/>
    <s v="Month+1 Expiry"/>
    <n v="215289"/>
    <n v="438.9018"/>
    <n v="4.3731"/>
  </r>
  <r>
    <s v="17-Oct-2025"/>
    <x v="4"/>
    <s v="Week3-Oct-2025"/>
    <x v="1"/>
    <s v="Q3FY26"/>
    <s v="30-Dec-2025"/>
    <s v="Tuesday"/>
    <s v="Monthly - Tuesday"/>
    <s v="Monthly - Tuesday"/>
    <s v="Month+2 Expiry"/>
    <n v="18041"/>
    <n v="36.4124"/>
    <n v="0.4359"/>
  </r>
  <r>
    <s v="17-Oct-2025"/>
    <x v="4"/>
    <s v="Week3-Oct-2025"/>
    <x v="1"/>
    <s v="Q3FY26"/>
    <s v="31-Mar-2026"/>
    <s v="Tuesday"/>
    <s v="Monthly - Tuesday"/>
    <s v="Monthly - Tuesday"/>
    <s v="Month+5 Expiry"/>
    <n v="1090"/>
    <n v="2.2418"/>
    <n v="0.048"/>
  </r>
  <r>
    <s v="17-Oct-2025"/>
    <x v="4"/>
    <s v="Week3-Oct-2025"/>
    <x v="1"/>
    <s v="Q3FY26"/>
    <s v="30-Jun-2026"/>
    <s v="Tuesday"/>
    <s v="Monthly - Tuesday"/>
    <s v="Monthly - Tuesday"/>
    <s v="Month+8 Expiry"/>
    <n v="0"/>
    <n v="0"/>
    <n v="0"/>
  </r>
  <r>
    <s v="17-Oct-2025"/>
    <x v="4"/>
    <s v="Week3-Oct-2025"/>
    <x v="1"/>
    <s v="Q3FY26"/>
    <s v="29-Sep-2026"/>
    <s v="Tuesday"/>
    <s v="Monthly - Tuesday"/>
    <s v="Monthly - Tuesday"/>
    <s v="Month+11 Expiry"/>
    <n v="0"/>
    <n v="0"/>
    <n v="0"/>
  </r>
  <r>
    <s v="20-Oct-2025"/>
    <x v="0"/>
    <s v="Week3-Oct-2025"/>
    <x v="1"/>
    <s v="Q3FY26"/>
    <s v="28-Oct-2025"/>
    <s v="Tuesday"/>
    <s v="Monthly - Tuesday"/>
    <s v="Monthly - Tuesday"/>
    <s v="Same Month Expiry"/>
    <n v="5438752"/>
    <n v="10907.9588"/>
    <n v="44.9521"/>
  </r>
  <r>
    <s v="20-Oct-2025"/>
    <x v="0"/>
    <s v="Week3-Oct-2025"/>
    <x v="1"/>
    <s v="Q3FY26"/>
    <s v="25-Nov-2025"/>
    <s v="Tuesday"/>
    <s v="Monthly - Tuesday"/>
    <s v="Monthly - Tuesday"/>
    <s v="Month+1 Expiry"/>
    <n v="225269"/>
    <n v="459.2301"/>
    <n v="4.2267"/>
  </r>
  <r>
    <s v="20-Oct-2025"/>
    <x v="0"/>
    <s v="Week3-Oct-2025"/>
    <x v="1"/>
    <s v="Q3FY26"/>
    <s v="30-Dec-2025"/>
    <s v="Tuesday"/>
    <s v="Monthly - Tuesday"/>
    <s v="Monthly - Tuesday"/>
    <s v="Month+2 Expiry"/>
    <n v="16214"/>
    <n v="32.976"/>
    <n v="0.4325"/>
  </r>
  <r>
    <s v="20-Oct-2025"/>
    <x v="0"/>
    <s v="Week3-Oct-2025"/>
    <x v="1"/>
    <s v="Q3FY26"/>
    <s v="31-Mar-2026"/>
    <s v="Tuesday"/>
    <s v="Monthly - Tuesday"/>
    <s v="Monthly - Tuesday"/>
    <s v="Month+5 Expiry"/>
    <n v="1405"/>
    <n v="2.8831"/>
    <n v="0.0546"/>
  </r>
  <r>
    <s v="20-Oct-2025"/>
    <x v="0"/>
    <s v="Week3-Oct-2025"/>
    <x v="1"/>
    <s v="Q3FY26"/>
    <s v="30-Jun-2026"/>
    <s v="Tuesday"/>
    <s v="Monthly - Tuesday"/>
    <s v="Monthly - Tuesday"/>
    <s v="Month+8 Expiry"/>
    <n v="0"/>
    <n v="0"/>
    <n v="0"/>
  </r>
  <r>
    <s v="20-Oct-2025"/>
    <x v="0"/>
    <s v="Week3-Oct-2025"/>
    <x v="1"/>
    <s v="Q3FY26"/>
    <s v="29-Sep-2026"/>
    <s v="Tuesday"/>
    <s v="Monthly - Tuesday"/>
    <s v="Monthly - Tuesday"/>
    <s v="Month+11 Expiry"/>
    <n v="0"/>
    <n v="0"/>
    <n v="0"/>
  </r>
  <r>
    <s v="21-Oct-2025"/>
    <x v="1"/>
    <s v="Week3-Oct-2025"/>
    <x v="1"/>
    <s v="Q3FY26"/>
    <s v="28-Oct-2025"/>
    <s v="Tuesday"/>
    <s v="Monthly - Tuesday"/>
    <s v="Monthly - Tuesday"/>
    <s v="Same Month Expiry"/>
    <n v="1267899"/>
    <n v="2544.167"/>
    <n v="7.8329"/>
  </r>
  <r>
    <s v="21-Oct-2025"/>
    <x v="1"/>
    <s v="Week3-Oct-2025"/>
    <x v="1"/>
    <s v="Q3FY26"/>
    <s v="25-Nov-2025"/>
    <s v="Tuesday"/>
    <s v="Monthly - Tuesday"/>
    <s v="Monthly - Tuesday"/>
    <s v="Month+1 Expiry"/>
    <n v="35546"/>
    <n v="72.3383"/>
    <n v="0.7030999999999999"/>
  </r>
  <r>
    <s v="21-Oct-2025"/>
    <x v="1"/>
    <s v="Week3-Oct-2025"/>
    <x v="1"/>
    <s v="Q3FY26"/>
    <s v="30-Dec-2025"/>
    <s v="Tuesday"/>
    <s v="Monthly - Tuesday"/>
    <s v="Monthly - Tuesday"/>
    <s v="Month+2 Expiry"/>
    <n v="1915"/>
    <n v="3.8871"/>
    <n v="0.0479"/>
  </r>
  <r>
    <s v="21-Oct-2025"/>
    <x v="1"/>
    <s v="Week3-Oct-2025"/>
    <x v="1"/>
    <s v="Q3FY26"/>
    <s v="31-Mar-2026"/>
    <s v="Tuesday"/>
    <s v="Monthly - Tuesday"/>
    <s v="Monthly - Tuesday"/>
    <s v="Month+5 Expiry"/>
    <n v="114"/>
    <n v="0.2312"/>
    <n v="0.0036"/>
  </r>
  <r>
    <s v="21-Oct-2025"/>
    <x v="1"/>
    <s v="Week3-Oct-2025"/>
    <x v="1"/>
    <s v="Q3FY26"/>
    <s v="30-Jun-2026"/>
    <s v="Tuesday"/>
    <s v="Monthly - Tuesday"/>
    <s v="Monthly - Tuesday"/>
    <s v="Month+8 Expiry"/>
    <n v="0"/>
    <n v="0"/>
    <n v="0"/>
  </r>
  <r>
    <s v="21-Oct-2025"/>
    <x v="1"/>
    <s v="Week3-Oct-2025"/>
    <x v="1"/>
    <s v="Q3FY26"/>
    <s v="29-Sep-2026"/>
    <s v="Tuesday"/>
    <s v="Monthly - Tuesday"/>
    <s v="Monthly - Tuesday"/>
    <s v="Month+11 Expiry"/>
    <n v="0"/>
    <n v="0"/>
    <n v="0"/>
  </r>
  <r>
    <s v="23-Oct-2025"/>
    <x v="3"/>
    <s v="Week4-Oct-2025"/>
    <x v="1"/>
    <s v="Q3FY26"/>
    <s v="28-Oct-2025"/>
    <s v="Tuesday"/>
    <s v="Monthly - Tuesday"/>
    <s v="Monthly - Tuesday"/>
    <s v="Same Month Expiry"/>
    <n v="8673940"/>
    <n v="17499.2777"/>
    <n v="57.3591"/>
  </r>
  <r>
    <s v="23-Oct-2025"/>
    <x v="3"/>
    <s v="Week4-Oct-2025"/>
    <x v="1"/>
    <s v="Q3FY26"/>
    <s v="25-Nov-2025"/>
    <s v="Tuesday"/>
    <s v="Monthly - Tuesday"/>
    <s v="Monthly - Tuesday"/>
    <s v="Month+1 Expiry"/>
    <n v="395163"/>
    <n v="809.1486"/>
    <n v="8.6211"/>
  </r>
  <r>
    <s v="23-Oct-2025"/>
    <x v="3"/>
    <s v="Week4-Oct-2025"/>
    <x v="1"/>
    <s v="Q3FY26"/>
    <s v="30-Dec-2025"/>
    <s v="Tuesday"/>
    <s v="Monthly - Tuesday"/>
    <s v="Monthly - Tuesday"/>
    <s v="Month+2 Expiry"/>
    <n v="21545"/>
    <n v="43.7661"/>
    <n v="0.5750999999999999"/>
  </r>
  <r>
    <s v="23-Oct-2025"/>
    <x v="3"/>
    <s v="Week4-Oct-2025"/>
    <x v="1"/>
    <s v="Q3FY26"/>
    <s v="31-Mar-2026"/>
    <s v="Tuesday"/>
    <s v="Monthly - Tuesday"/>
    <s v="Monthly - Tuesday"/>
    <s v="Month+5 Expiry"/>
    <n v="948"/>
    <n v="1.9397"/>
    <n v="0.032"/>
  </r>
  <r>
    <s v="23-Oct-2025"/>
    <x v="3"/>
    <s v="Week4-Oct-2025"/>
    <x v="1"/>
    <s v="Q3FY26"/>
    <s v="30-Jun-2026"/>
    <s v="Tuesday"/>
    <s v="Monthly - Tuesday"/>
    <s v="Monthly - Tuesday"/>
    <s v="Month+8 Expiry"/>
    <n v="0"/>
    <n v="0"/>
    <n v="0"/>
  </r>
  <r>
    <s v="23-Oct-2025"/>
    <x v="3"/>
    <s v="Week4-Oct-2025"/>
    <x v="1"/>
    <s v="Q3FY26"/>
    <s v="29-Sep-2026"/>
    <s v="Tuesday"/>
    <s v="Monthly - Tuesday"/>
    <s v="Monthly - Tuesday"/>
    <s v="Month+11 Expiry"/>
    <n v="0"/>
    <n v="0"/>
    <n v="0"/>
  </r>
  <r>
    <s v="24-Oct-2025"/>
    <x v="4"/>
    <s v="Week4-Oct-2025"/>
    <x v="1"/>
    <s v="Q3FY26"/>
    <s v="28-Oct-2025"/>
    <s v="Tuesday"/>
    <s v="Monthly - Tuesday"/>
    <s v="Monthly - Tuesday"/>
    <s v="Same Month Expiry"/>
    <n v="15507859"/>
    <n v="31011.6741"/>
    <n v="86.9706"/>
  </r>
  <r>
    <s v="24-Oct-2025"/>
    <x v="4"/>
    <s v="Week4-Oct-2025"/>
    <x v="1"/>
    <s v="Q3FY26"/>
    <s v="25-Nov-2025"/>
    <s v="Tuesday"/>
    <s v="Monthly - Tuesday"/>
    <s v="Monthly - Tuesday"/>
    <s v="Month+1 Expiry"/>
    <n v="469846"/>
    <n v="957.1607"/>
    <n v="9.828799999999999"/>
  </r>
  <r>
    <s v="24-Oct-2025"/>
    <x v="4"/>
    <s v="Week4-Oct-2025"/>
    <x v="1"/>
    <s v="Q3FY26"/>
    <s v="30-Dec-2025"/>
    <s v="Tuesday"/>
    <s v="Monthly - Tuesday"/>
    <s v="Monthly - Tuesday"/>
    <s v="Month+2 Expiry"/>
    <n v="19045"/>
    <n v="38.9819"/>
    <n v="0.5268"/>
  </r>
  <r>
    <s v="24-Oct-2025"/>
    <x v="4"/>
    <s v="Week4-Oct-2025"/>
    <x v="1"/>
    <s v="Q3FY26"/>
    <s v="31-Mar-2026"/>
    <s v="Tuesday"/>
    <s v="Monthly - Tuesday"/>
    <s v="Monthly - Tuesday"/>
    <s v="Month+5 Expiry"/>
    <n v="868"/>
    <n v="1.7867"/>
    <n v="0.0329"/>
  </r>
  <r>
    <s v="24-Oct-2025"/>
    <x v="4"/>
    <s v="Week4-Oct-2025"/>
    <x v="1"/>
    <s v="Q3FY26"/>
    <s v="30-Jun-2026"/>
    <s v="Tuesday"/>
    <s v="Monthly - Tuesday"/>
    <s v="Monthly - Tuesday"/>
    <s v="Month+8 Expiry"/>
    <n v="0"/>
    <n v="0"/>
    <n v="0"/>
  </r>
  <r>
    <s v="24-Oct-2025"/>
    <x v="4"/>
    <s v="Week4-Oct-2025"/>
    <x v="1"/>
    <s v="Q3FY26"/>
    <s v="29-Sep-2026"/>
    <s v="Tuesday"/>
    <s v="Monthly - Tuesday"/>
    <s v="Monthly - Tuesday"/>
    <s v="Month+11 Expiry"/>
    <n v="0"/>
    <n v="0"/>
    <n v="0"/>
  </r>
  <r>
    <s v="27-Oct-2025"/>
    <x v="0"/>
    <s v="Week4-Oct-2025"/>
    <x v="1"/>
    <s v="Q3FY26"/>
    <s v="28-Oct-2025"/>
    <s v="Tuesday"/>
    <s v="Monthly - Tuesday"/>
    <s v="Monthly - Tuesday"/>
    <s v="Same Month Expiry"/>
    <n v="20633717"/>
    <n v="41419.0311"/>
    <n v="92.0924"/>
  </r>
  <r>
    <s v="27-Oct-2025"/>
    <x v="0"/>
    <s v="Week4-Oct-2025"/>
    <x v="1"/>
    <s v="Q3FY26"/>
    <s v="25-Nov-2025"/>
    <s v="Tuesday"/>
    <s v="Monthly - Tuesday"/>
    <s v="Monthly - Tuesday"/>
    <s v="Month+1 Expiry"/>
    <n v="524563"/>
    <n v="1071.4397"/>
    <n v="10.9108"/>
  </r>
  <r>
    <s v="27-Oct-2025"/>
    <x v="0"/>
    <s v="Week4-Oct-2025"/>
    <x v="1"/>
    <s v="Q3FY26"/>
    <s v="30-Dec-2025"/>
    <s v="Tuesday"/>
    <s v="Monthly - Tuesday"/>
    <s v="Monthly - Tuesday"/>
    <s v="Month+2 Expiry"/>
    <n v="19469"/>
    <n v="39.6986"/>
    <n v="0.5133"/>
  </r>
  <r>
    <s v="27-Oct-2025"/>
    <x v="0"/>
    <s v="Week4-Oct-2025"/>
    <x v="1"/>
    <s v="Q3FY26"/>
    <s v="31-Mar-2026"/>
    <s v="Tuesday"/>
    <s v="Monthly - Tuesday"/>
    <s v="Monthly - Tuesday"/>
    <s v="Month+5 Expiry"/>
    <n v="428"/>
    <n v="0.867"/>
    <n v="0.0152"/>
  </r>
  <r>
    <s v="27-Oct-2025"/>
    <x v="0"/>
    <s v="Week4-Oct-2025"/>
    <x v="1"/>
    <s v="Q3FY26"/>
    <s v="30-Jun-2026"/>
    <s v="Tuesday"/>
    <s v="Monthly - Tuesday"/>
    <s v="Monthly - Tuesday"/>
    <s v="Month+8 Expiry"/>
    <n v="0"/>
    <n v="0"/>
    <n v="0"/>
  </r>
  <r>
    <s v="27-Oct-2025"/>
    <x v="0"/>
    <s v="Week4-Oct-2025"/>
    <x v="1"/>
    <s v="Q3FY26"/>
    <s v="29-Sep-2026"/>
    <s v="Tuesday"/>
    <s v="Monthly - Tuesday"/>
    <s v="Monthly - Tuesday"/>
    <s v="Month+11 Expiry"/>
    <n v="0"/>
    <n v="0"/>
    <n v="0"/>
  </r>
  <r>
    <s v="28-Oct-2025"/>
    <x v="1"/>
    <s v="Week4-Oct-2025"/>
    <x v="1"/>
    <s v="Q3FY26"/>
    <s v="28-Oct-2025"/>
    <s v="Tuesday"/>
    <s v="Monthly - Tuesday"/>
    <s v="Monthly - Tuesday"/>
    <s v="Same Month Expiry"/>
    <n v="87083272"/>
    <n v="174516.3723"/>
    <n v="174.0738"/>
  </r>
  <r>
    <s v="28-Oct-2025"/>
    <x v="1"/>
    <s v="Week4-Oct-2025"/>
    <x v="1"/>
    <s v="Q3FY26"/>
    <s v="25-Nov-2025"/>
    <s v="Tuesday"/>
    <s v="Monthly - Tuesday"/>
    <s v="Monthly - Tuesday"/>
    <s v="Month+1 Expiry"/>
    <n v="1161369"/>
    <n v="2374.4517"/>
    <n v="22.0947"/>
  </r>
  <r>
    <s v="28-Oct-2025"/>
    <x v="1"/>
    <s v="Week4-Oct-2025"/>
    <x v="1"/>
    <s v="Q3FY26"/>
    <s v="30-Dec-2025"/>
    <s v="Tuesday"/>
    <s v="Monthly - Tuesday"/>
    <s v="Monthly - Tuesday"/>
    <s v="Month+2 Expiry"/>
    <n v="23664"/>
    <n v="48.7366"/>
    <n v="0.7335"/>
  </r>
  <r>
    <s v="28-Oct-2025"/>
    <x v="1"/>
    <s v="Week4-Oct-2025"/>
    <x v="1"/>
    <s v="Q3FY26"/>
    <s v="31-Mar-2026"/>
    <s v="Tuesday"/>
    <s v="Monthly - Tuesday"/>
    <s v="Monthly - Tuesday"/>
    <s v="Month+5 Expiry"/>
    <n v="638"/>
    <n v="1.3148"/>
    <n v="0.0254"/>
  </r>
  <r>
    <s v="28-Oct-2025"/>
    <x v="1"/>
    <s v="Week4-Oct-2025"/>
    <x v="1"/>
    <s v="Q3FY26"/>
    <s v="30-Jun-2026"/>
    <s v="Tuesday"/>
    <s v="Monthly - Tuesday"/>
    <s v="Monthly - Tuesday"/>
    <s v="Month+8 Expiry"/>
    <n v="0"/>
    <n v="0"/>
    <n v="0"/>
  </r>
  <r>
    <s v="28-Oct-2025"/>
    <x v="1"/>
    <s v="Week4-Oct-2025"/>
    <x v="1"/>
    <s v="Q3FY26"/>
    <s v="29-Sep-2026"/>
    <s v="Tuesday"/>
    <s v="Monthly - Tuesday"/>
    <s v="Monthly - Tuesday"/>
    <s v="Month+11 Expiry"/>
    <n v="0"/>
    <n v="0"/>
    <n v="0"/>
  </r>
  <r>
    <s v="29-Oct-2025"/>
    <x v="2"/>
    <s v="Week5-Oct-2025"/>
    <x v="1"/>
    <s v="Q3FY26"/>
    <s v="25-Nov-2025"/>
    <s v="Tuesday"/>
    <s v="Monthly - Tuesday"/>
    <s v="Monthly - Tuesday"/>
    <s v="Month+1 Expiry"/>
    <n v="2212302"/>
    <n v="4533.5092"/>
    <n v="39.933"/>
  </r>
  <r>
    <s v="29-Oct-2025"/>
    <x v="2"/>
    <s v="Week5-Oct-2025"/>
    <x v="1"/>
    <s v="Q3FY26"/>
    <s v="30-Dec-2025"/>
    <s v="Tuesday"/>
    <s v="Monthly - Tuesday"/>
    <s v="Monthly - Tuesday"/>
    <s v="Month+2 Expiry"/>
    <n v="24422"/>
    <n v="50.1036"/>
    <n v="0.5782"/>
  </r>
  <r>
    <s v="29-Oct-2025"/>
    <x v="2"/>
    <s v="Week5-Oct-2025"/>
    <x v="1"/>
    <s v="Q3FY26"/>
    <s v="27-Jan-2026"/>
    <s v="Tuesday"/>
    <s v="Monthly - Tuesday"/>
    <s v="Monthly - Tuesday"/>
    <s v="Month+3 Expiry"/>
    <n v="86"/>
    <n v="0.1527"/>
    <n v="0.004"/>
  </r>
  <r>
    <s v="29-Oct-2025"/>
    <x v="2"/>
    <s v="Week5-Oct-2025"/>
    <x v="1"/>
    <s v="Q3FY26"/>
    <s v="31-Mar-2026"/>
    <s v="Tuesday"/>
    <s v="Monthly - Tuesday"/>
    <s v="Monthly - Tuesday"/>
    <s v="Month+5 Expiry"/>
    <n v="550"/>
    <n v="1.1346"/>
    <n v="0.0219"/>
  </r>
  <r>
    <s v="29-Oct-2025"/>
    <x v="2"/>
    <s v="Week5-Oct-2025"/>
    <x v="1"/>
    <s v="Q3FY26"/>
    <s v="30-Jun-2026"/>
    <s v="Tuesday"/>
    <s v="Monthly - Tuesday"/>
    <s v="Monthly - Tuesday"/>
    <s v="Month+8 Expiry"/>
    <n v="0"/>
    <n v="0"/>
    <n v="0"/>
  </r>
  <r>
    <s v="29-Oct-2025"/>
    <x v="2"/>
    <s v="Week5-Oct-2025"/>
    <x v="1"/>
    <s v="Q3FY26"/>
    <s v="29-Sep-2026"/>
    <s v="Tuesday"/>
    <s v="Monthly - Tuesday"/>
    <s v="Monthly - Tuesday"/>
    <s v="Month+11 Expiry"/>
    <n v="0"/>
    <n v="0"/>
    <n v="0"/>
  </r>
  <r>
    <s v="30-Oct-2025"/>
    <x v="3"/>
    <s v="Week5-Oct-2025"/>
    <x v="1"/>
    <s v="Q3FY26"/>
    <s v="25-Nov-2025"/>
    <s v="Tuesday"/>
    <s v="Monthly - Tuesday"/>
    <s v="Monthly - Tuesday"/>
    <s v="Month+1 Expiry"/>
    <n v="1949720"/>
    <n v="3994.3844"/>
    <n v="34.4945"/>
  </r>
  <r>
    <s v="30-Oct-2025"/>
    <x v="3"/>
    <s v="Week5-Oct-2025"/>
    <x v="1"/>
    <s v="Q3FY26"/>
    <s v="30-Dec-2025"/>
    <s v="Tuesday"/>
    <s v="Monthly - Tuesday"/>
    <s v="Monthly - Tuesday"/>
    <s v="Month+2 Expiry"/>
    <n v="20662"/>
    <n v="42.1782"/>
    <n v="0.4723"/>
  </r>
  <r>
    <s v="30-Oct-2025"/>
    <x v="3"/>
    <s v="Week5-Oct-2025"/>
    <x v="1"/>
    <s v="Q3FY26"/>
    <s v="27-Jan-2026"/>
    <s v="Tuesday"/>
    <s v="Monthly - Tuesday"/>
    <s v="Monthly - Tuesday"/>
    <s v="Month+3 Expiry"/>
    <n v="292"/>
    <n v="0.5053"/>
    <n v="0.0071"/>
  </r>
  <r>
    <s v="30-Oct-2025"/>
    <x v="3"/>
    <s v="Week5-Oct-2025"/>
    <x v="1"/>
    <s v="Q3FY26"/>
    <s v="31-Mar-2026"/>
    <s v="Tuesday"/>
    <s v="Monthly - Tuesday"/>
    <s v="Monthly - Tuesday"/>
    <s v="Month+5 Expiry"/>
    <n v="1572"/>
    <n v="3.1757"/>
    <n v="0.0477"/>
  </r>
  <r>
    <s v="30-Oct-2025"/>
    <x v="3"/>
    <s v="Week5-Oct-2025"/>
    <x v="1"/>
    <s v="Q3FY26"/>
    <s v="30-Jun-2026"/>
    <s v="Tuesday"/>
    <s v="Monthly - Tuesday"/>
    <s v="Monthly - Tuesday"/>
    <s v="Month+8 Expiry"/>
    <n v="0"/>
    <n v="0"/>
    <n v="0"/>
  </r>
  <r>
    <s v="30-Oct-2025"/>
    <x v="3"/>
    <s v="Week5-Oct-2025"/>
    <x v="1"/>
    <s v="Q3FY26"/>
    <s v="29-Sep-2026"/>
    <s v="Tuesday"/>
    <s v="Monthly - Tuesday"/>
    <s v="Monthly - Tuesday"/>
    <s v="Month+11 Expiry"/>
    <n v="0"/>
    <n v="0"/>
    <n v="0"/>
  </r>
  <r>
    <s v="31-Oct-2025"/>
    <x v="4"/>
    <s v="Week5-Oct-2025"/>
    <x v="1"/>
    <s v="Q3FY26"/>
    <s v="25-Nov-2025"/>
    <s v="Tuesday"/>
    <s v="Monthly - Tuesday"/>
    <s v="Monthly - Tuesday"/>
    <s v="Month+1 Expiry"/>
    <n v="2569744"/>
    <n v="5245.7318"/>
    <n v="44.9016"/>
  </r>
  <r>
    <s v="31-Oct-2025"/>
    <x v="4"/>
    <s v="Week5-Oct-2025"/>
    <x v="1"/>
    <s v="Q3FY26"/>
    <s v="30-Dec-2025"/>
    <s v="Tuesday"/>
    <s v="Monthly - Tuesday"/>
    <s v="Monthly - Tuesday"/>
    <s v="Month+2 Expiry"/>
    <n v="30409"/>
    <n v="62.9764"/>
    <n v="0.7359"/>
  </r>
  <r>
    <s v="31-Oct-2025"/>
    <x v="4"/>
    <s v="Week5-Oct-2025"/>
    <x v="1"/>
    <s v="Q3FY26"/>
    <s v="27-Jan-2026"/>
    <s v="Tuesday"/>
    <s v="Monthly - Tuesday"/>
    <s v="Monthly - Tuesday"/>
    <s v="Month+3 Expiry"/>
    <n v="427"/>
    <n v="0.7334000000000001"/>
    <n v="0.008999999999999999"/>
  </r>
  <r>
    <s v="31-Oct-2025"/>
    <x v="4"/>
    <s v="Week5-Oct-2025"/>
    <x v="1"/>
    <s v="Q3FY26"/>
    <s v="31-Mar-2026"/>
    <s v="Tuesday"/>
    <s v="Monthly - Tuesday"/>
    <s v="Monthly - Tuesday"/>
    <s v="Month+5 Expiry"/>
    <n v="538"/>
    <n v="1.0946"/>
    <n v="0.0188"/>
  </r>
  <r>
    <s v="31-Oct-2025"/>
    <x v="4"/>
    <s v="Week5-Oct-2025"/>
    <x v="1"/>
    <s v="Q3FY26"/>
    <s v="30-Jun-2026"/>
    <s v="Tuesday"/>
    <s v="Monthly - Tuesday"/>
    <s v="Monthly - Tuesday"/>
    <s v="Month+8 Expiry"/>
    <n v="0"/>
    <n v="0"/>
    <n v="0"/>
  </r>
  <r>
    <s v="31-Oct-2025"/>
    <x v="4"/>
    <s v="Week5-Oct-2025"/>
    <x v="1"/>
    <s v="Q3FY26"/>
    <s v="29-Sep-2026"/>
    <s v="Tuesday"/>
    <s v="Monthly - Tuesday"/>
    <s v="Monthly - Tuesday"/>
    <s v="Month+11 Expiry"/>
    <n v="0"/>
    <n v="0"/>
    <n v="0"/>
  </r>
  <r>
    <s v="03-Nov-2025"/>
    <x v="0"/>
    <s v="Week1-Nov-2025"/>
    <x v="2"/>
    <s v="Q3FY26"/>
    <s v="25-Nov-2025"/>
    <s v="Tuesday"/>
    <s v="Monthly - Tuesday"/>
    <s v="Monthly - Tuesday"/>
    <s v="Same Month Expiry"/>
    <n v="2228380"/>
    <n v="4560.7056"/>
    <n v="37.6346"/>
  </r>
  <r>
    <s v="03-Nov-2025"/>
    <x v="0"/>
    <s v="Week1-Nov-2025"/>
    <x v="2"/>
    <s v="Q3FY26"/>
    <s v="30-Dec-2025"/>
    <s v="Tuesday"/>
    <s v="Monthly - Tuesday"/>
    <s v="Monthly - Tuesday"/>
    <s v="Month+1 Expiry"/>
    <n v="27468"/>
    <n v="56.4141"/>
    <n v="0.5905"/>
  </r>
  <r>
    <s v="03-Nov-2025"/>
    <x v="0"/>
    <s v="Week1-Nov-2025"/>
    <x v="2"/>
    <s v="Q3FY26"/>
    <s v="27-Jan-2026"/>
    <s v="Tuesday"/>
    <s v="Monthly - Tuesday"/>
    <s v="Monthly - Tuesday"/>
    <s v="Month+2 Expiry"/>
    <n v="351"/>
    <n v="0.6025"/>
    <n v="0.0065"/>
  </r>
  <r>
    <s v="03-Nov-2025"/>
    <x v="0"/>
    <s v="Week1-Nov-2025"/>
    <x v="2"/>
    <s v="Q3FY26"/>
    <s v="31-Mar-2026"/>
    <s v="Tuesday"/>
    <s v="Monthly - Tuesday"/>
    <s v="Monthly - Tuesday"/>
    <s v="Month+4 Expiry"/>
    <n v="474"/>
    <n v="0.9879"/>
    <n v="0.0211"/>
  </r>
  <r>
    <s v="03-Nov-2025"/>
    <x v="0"/>
    <s v="Week1-Nov-2025"/>
    <x v="2"/>
    <s v="Q3FY26"/>
    <s v="30-Jun-2026"/>
    <s v="Tuesday"/>
    <s v="Monthly - Tuesday"/>
    <s v="Monthly - Tuesday"/>
    <s v="Month+7 Expiry"/>
    <n v="0"/>
    <n v="0"/>
    <n v="0"/>
  </r>
  <r>
    <s v="03-Nov-2025"/>
    <x v="0"/>
    <s v="Week1-Nov-2025"/>
    <x v="2"/>
    <s v="Q3FY26"/>
    <s v="29-Sep-2026"/>
    <s v="Tuesday"/>
    <s v="Monthly - Tuesday"/>
    <s v="Monthly - Tuesday"/>
    <s v="Month+10 Expiry"/>
    <n v="0"/>
    <n v="0"/>
    <n v="0"/>
  </r>
  <r>
    <s v="04-Nov-2025"/>
    <x v="1"/>
    <s v="Week1-Nov-2025"/>
    <x v="2"/>
    <s v="Q3FY26"/>
    <s v="25-Nov-2025"/>
    <s v="Tuesday"/>
    <s v="Monthly - Tuesday"/>
    <s v="Monthly - Tuesday"/>
    <s v="Same Month Expiry"/>
    <n v="1994174"/>
    <n v="4075.2826"/>
    <n v="31.5015"/>
  </r>
  <r>
    <s v="04-Nov-2025"/>
    <x v="1"/>
    <s v="Week1-Nov-2025"/>
    <x v="2"/>
    <s v="Q3FY26"/>
    <s v="30-Dec-2025"/>
    <s v="Tuesday"/>
    <s v="Monthly - Tuesday"/>
    <s v="Monthly - Tuesday"/>
    <s v="Month+1 Expiry"/>
    <n v="28187"/>
    <n v="57.8767"/>
    <n v="0.5515"/>
  </r>
  <r>
    <s v="04-Nov-2025"/>
    <x v="1"/>
    <s v="Week1-Nov-2025"/>
    <x v="2"/>
    <s v="Q3FY26"/>
    <s v="27-Jan-2026"/>
    <s v="Tuesday"/>
    <s v="Monthly - Tuesday"/>
    <s v="Monthly - Tuesday"/>
    <s v="Month+2 Expiry"/>
    <n v="320"/>
    <n v="0.5482"/>
    <n v="0.0058"/>
  </r>
  <r>
    <s v="04-Nov-2025"/>
    <x v="1"/>
    <s v="Week1-Nov-2025"/>
    <x v="2"/>
    <s v="Q3FY26"/>
    <s v="31-Mar-2026"/>
    <s v="Tuesday"/>
    <s v="Monthly - Tuesday"/>
    <s v="Monthly - Tuesday"/>
    <s v="Month+4 Expiry"/>
    <n v="203"/>
    <n v="0.4164"/>
    <n v="0.008"/>
  </r>
  <r>
    <s v="04-Nov-2025"/>
    <x v="1"/>
    <s v="Week1-Nov-2025"/>
    <x v="2"/>
    <s v="Q3FY26"/>
    <s v="30-Jun-2026"/>
    <s v="Tuesday"/>
    <s v="Monthly - Tuesday"/>
    <s v="Monthly - Tuesday"/>
    <s v="Month+7 Expiry"/>
    <n v="0"/>
    <n v="0"/>
    <n v="0"/>
  </r>
  <r>
    <s v="04-Nov-2025"/>
    <x v="1"/>
    <s v="Week1-Nov-2025"/>
    <x v="2"/>
    <s v="Q3FY26"/>
    <s v="29-Sep-2026"/>
    <s v="Tuesday"/>
    <s v="Monthly - Tuesday"/>
    <s v="Monthly - Tuesday"/>
    <s v="Month+10 Expiry"/>
    <n v="0"/>
    <n v="0"/>
    <n v="0"/>
  </r>
  <r>
    <s v="06-Nov-2025"/>
    <x v="3"/>
    <s v="Week1-Nov-2025"/>
    <x v="2"/>
    <s v="Q3FY26"/>
    <s v="25-Nov-2025"/>
    <s v="Tuesday"/>
    <s v="Monthly - Tuesday"/>
    <s v="Monthly - Tuesday"/>
    <s v="Same Month Expiry"/>
    <n v="2186489"/>
    <n v="4438.1484"/>
    <n v="33.4573"/>
  </r>
  <r>
    <s v="06-Nov-2025"/>
    <x v="3"/>
    <s v="Week1-Nov-2025"/>
    <x v="2"/>
    <s v="Q3FY26"/>
    <s v="30-Dec-2025"/>
    <s v="Tuesday"/>
    <s v="Monthly - Tuesday"/>
    <s v="Monthly - Tuesday"/>
    <s v="Month+1 Expiry"/>
    <n v="38633"/>
    <n v="79.3771"/>
    <n v="0.7374000000000001"/>
  </r>
  <r>
    <s v="06-Nov-2025"/>
    <x v="3"/>
    <s v="Week1-Nov-2025"/>
    <x v="2"/>
    <s v="Q3FY26"/>
    <s v="27-Jan-2026"/>
    <s v="Tuesday"/>
    <s v="Monthly - Tuesday"/>
    <s v="Monthly - Tuesday"/>
    <s v="Month+2 Expiry"/>
    <n v="831"/>
    <n v="1.4427"/>
    <n v="0.0187"/>
  </r>
  <r>
    <s v="06-Nov-2025"/>
    <x v="3"/>
    <s v="Week1-Nov-2025"/>
    <x v="2"/>
    <s v="Q3FY26"/>
    <s v="31-Mar-2026"/>
    <s v="Tuesday"/>
    <s v="Monthly - Tuesday"/>
    <s v="Monthly - Tuesday"/>
    <s v="Month+4 Expiry"/>
    <n v="296"/>
    <n v="0.6095"/>
    <n v="0.0109"/>
  </r>
  <r>
    <s v="06-Nov-2025"/>
    <x v="3"/>
    <s v="Week1-Nov-2025"/>
    <x v="2"/>
    <s v="Q3FY26"/>
    <s v="30-Jun-2026"/>
    <s v="Tuesday"/>
    <s v="Monthly - Tuesday"/>
    <s v="Monthly - Tuesday"/>
    <s v="Month+7 Expiry"/>
    <n v="0"/>
    <n v="0"/>
    <n v="0"/>
  </r>
  <r>
    <s v="06-Nov-2025"/>
    <x v="3"/>
    <s v="Week1-Nov-2025"/>
    <x v="2"/>
    <s v="Q3FY26"/>
    <s v="29-Sep-2026"/>
    <s v="Tuesday"/>
    <s v="Monthly - Tuesday"/>
    <s v="Monthly - Tuesday"/>
    <s v="Month+10 Expiry"/>
    <n v="0"/>
    <n v="0"/>
    <n v="0"/>
  </r>
  <r>
    <s v="07-Nov-2025"/>
    <x v="4"/>
    <s v="Week1-Nov-2025"/>
    <x v="2"/>
    <s v="Q3FY26"/>
    <s v="25-Nov-2025"/>
    <s v="Tuesday"/>
    <s v="Monthly - Tuesday"/>
    <s v="Monthly - Tuesday"/>
    <s v="Same Month Expiry"/>
    <n v="3649590"/>
    <n v="7404.2229"/>
    <n v="52.7441"/>
  </r>
  <r>
    <s v="07-Nov-2025"/>
    <x v="4"/>
    <s v="Week1-Nov-2025"/>
    <x v="2"/>
    <s v="Q3FY26"/>
    <s v="30-Dec-2025"/>
    <s v="Tuesday"/>
    <s v="Monthly - Tuesday"/>
    <s v="Monthly - Tuesday"/>
    <s v="Month+1 Expiry"/>
    <n v="77834"/>
    <n v="159.4762"/>
    <n v="1.403"/>
  </r>
  <r>
    <s v="07-Nov-2025"/>
    <x v="4"/>
    <s v="Week1-Nov-2025"/>
    <x v="2"/>
    <s v="Q3FY26"/>
    <s v="27-Jan-2026"/>
    <s v="Tuesday"/>
    <s v="Monthly - Tuesday"/>
    <s v="Monthly - Tuesday"/>
    <s v="Month+2 Expiry"/>
    <n v="3310"/>
    <n v="5.6549"/>
    <n v="0.0641"/>
  </r>
  <r>
    <s v="07-Nov-2025"/>
    <x v="4"/>
    <s v="Week1-Nov-2025"/>
    <x v="2"/>
    <s v="Q3FY26"/>
    <s v="31-Mar-2026"/>
    <s v="Tuesday"/>
    <s v="Monthly - Tuesday"/>
    <s v="Monthly - Tuesday"/>
    <s v="Month+4 Expiry"/>
    <n v="695"/>
    <n v="1.4105"/>
    <n v="0.0221"/>
  </r>
  <r>
    <s v="07-Nov-2025"/>
    <x v="4"/>
    <s v="Week1-Nov-2025"/>
    <x v="2"/>
    <s v="Q3FY26"/>
    <s v="30-Jun-2026"/>
    <s v="Tuesday"/>
    <s v="Monthly - Tuesday"/>
    <s v="Monthly - Tuesday"/>
    <s v="Month+7 Expiry"/>
    <n v="0"/>
    <n v="0"/>
    <n v="0"/>
  </r>
  <r>
    <s v="07-Nov-2025"/>
    <x v="4"/>
    <s v="Week1-Nov-2025"/>
    <x v="2"/>
    <s v="Q3FY26"/>
    <s v="29-Sep-2026"/>
    <s v="Tuesday"/>
    <s v="Monthly - Tuesday"/>
    <s v="Monthly - Tuesday"/>
    <s v="Month+10 Expiry"/>
    <n v="0"/>
    <n v="0"/>
    <n v="0"/>
  </r>
  <r>
    <s v="10-Nov-2025"/>
    <x v="0"/>
    <s v="Week2-Nov-2025"/>
    <x v="2"/>
    <s v="Q3FY26"/>
    <s v="25-Nov-2025"/>
    <s v="Tuesday"/>
    <s v="Monthly - Tuesday"/>
    <s v="Monthly - Tuesday"/>
    <s v="Same Month Expiry"/>
    <n v="2241174"/>
    <n v="4558.8152"/>
    <n v="31.664"/>
  </r>
  <r>
    <s v="10-Nov-2025"/>
    <x v="0"/>
    <s v="Week2-Nov-2025"/>
    <x v="2"/>
    <s v="Q3FY26"/>
    <s v="30-Dec-2025"/>
    <s v="Tuesday"/>
    <s v="Monthly - Tuesday"/>
    <s v="Monthly - Tuesday"/>
    <s v="Month+1 Expiry"/>
    <n v="33783"/>
    <n v="68.6112"/>
    <n v="0.5643"/>
  </r>
  <r>
    <s v="10-Nov-2025"/>
    <x v="0"/>
    <s v="Week2-Nov-2025"/>
    <x v="2"/>
    <s v="Q3FY26"/>
    <s v="27-Jan-2026"/>
    <s v="Tuesday"/>
    <s v="Monthly - Tuesday"/>
    <s v="Monthly - Tuesday"/>
    <s v="Month+2 Expiry"/>
    <n v="1569"/>
    <n v="2.7335"/>
    <n v="0.0377"/>
  </r>
  <r>
    <s v="10-Nov-2025"/>
    <x v="0"/>
    <s v="Week2-Nov-2025"/>
    <x v="2"/>
    <s v="Q3FY26"/>
    <s v="31-Mar-2026"/>
    <s v="Tuesday"/>
    <s v="Monthly - Tuesday"/>
    <s v="Monthly - Tuesday"/>
    <s v="Month+4 Expiry"/>
    <n v="301"/>
    <n v="0.619"/>
    <n v="0.0106"/>
  </r>
  <r>
    <s v="10-Nov-2025"/>
    <x v="0"/>
    <s v="Week2-Nov-2025"/>
    <x v="2"/>
    <s v="Q3FY26"/>
    <s v="30-Jun-2026"/>
    <s v="Tuesday"/>
    <s v="Monthly - Tuesday"/>
    <s v="Monthly - Tuesday"/>
    <s v="Month+7 Expiry"/>
    <n v="0"/>
    <n v="0"/>
    <n v="0"/>
  </r>
  <r>
    <s v="10-Nov-2025"/>
    <x v="0"/>
    <s v="Week2-Nov-2025"/>
    <x v="2"/>
    <s v="Q3FY26"/>
    <s v="29-Sep-2026"/>
    <s v="Tuesday"/>
    <s v="Monthly - Tuesday"/>
    <s v="Monthly - Tuesday"/>
    <s v="Month+10 Expiry"/>
    <n v="0"/>
    <n v="0"/>
    <n v="0"/>
  </r>
  <r>
    <s v="11-Nov-2025"/>
    <x v="1"/>
    <s v="Week2-Nov-2025"/>
    <x v="2"/>
    <s v="Q3FY26"/>
    <s v="25-Nov-2025"/>
    <s v="Tuesday"/>
    <s v="Monthly - Tuesday"/>
    <s v="Monthly - Tuesday"/>
    <s v="Same Month Expiry"/>
    <n v="2918580"/>
    <n v="5918.5083"/>
    <n v="40.4773"/>
  </r>
  <r>
    <s v="11-Nov-2025"/>
    <x v="1"/>
    <s v="Week2-Nov-2025"/>
    <x v="2"/>
    <s v="Q3FY26"/>
    <s v="30-Dec-2025"/>
    <s v="Tuesday"/>
    <s v="Monthly - Tuesday"/>
    <s v="Monthly - Tuesday"/>
    <s v="Month+1 Expiry"/>
    <n v="52106"/>
    <n v="106.8488"/>
    <n v="1.008"/>
  </r>
  <r>
    <s v="11-Nov-2025"/>
    <x v="1"/>
    <s v="Week2-Nov-2025"/>
    <x v="2"/>
    <s v="Q3FY26"/>
    <s v="27-Jan-2026"/>
    <s v="Tuesday"/>
    <s v="Monthly - Tuesday"/>
    <s v="Monthly - Tuesday"/>
    <s v="Month+2 Expiry"/>
    <n v="2356"/>
    <n v="4.0817"/>
    <n v="0.0508"/>
  </r>
  <r>
    <s v="11-Nov-2025"/>
    <x v="1"/>
    <s v="Week2-Nov-2025"/>
    <x v="2"/>
    <s v="Q3FY26"/>
    <s v="31-Mar-2026"/>
    <s v="Tuesday"/>
    <s v="Monthly - Tuesday"/>
    <s v="Monthly - Tuesday"/>
    <s v="Month+4 Expiry"/>
    <n v="533"/>
    <n v="1.0925"/>
    <n v="0.018"/>
  </r>
  <r>
    <s v="11-Nov-2025"/>
    <x v="1"/>
    <s v="Week2-Nov-2025"/>
    <x v="2"/>
    <s v="Q3FY26"/>
    <s v="30-Jun-2026"/>
    <s v="Tuesday"/>
    <s v="Monthly - Tuesday"/>
    <s v="Monthly - Tuesday"/>
    <s v="Month+7 Expiry"/>
    <n v="0"/>
    <n v="0"/>
    <n v="0"/>
  </r>
  <r>
    <s v="11-Nov-2025"/>
    <x v="1"/>
    <s v="Week2-Nov-2025"/>
    <x v="2"/>
    <s v="Q3FY26"/>
    <s v="29-Sep-2026"/>
    <s v="Tuesday"/>
    <s v="Monthly - Tuesday"/>
    <s v="Monthly - Tuesday"/>
    <s v="Month+10 Expiry"/>
    <n v="0"/>
    <n v="0"/>
    <n v="0"/>
  </r>
  <r>
    <s v="12-Nov-2025"/>
    <x v="2"/>
    <s v="Week2-Nov-2025"/>
    <x v="2"/>
    <s v="Q3FY26"/>
    <s v="25-Nov-2025"/>
    <s v="Tuesday"/>
    <s v="Monthly - Tuesday"/>
    <s v="Monthly - Tuesday"/>
    <s v="Same Month Expiry"/>
    <n v="2822988"/>
    <n v="5744.3682"/>
    <n v="37.1654"/>
  </r>
  <r>
    <s v="12-Nov-2025"/>
    <x v="2"/>
    <s v="Week2-Nov-2025"/>
    <x v="2"/>
    <s v="Q3FY26"/>
    <s v="30-Dec-2025"/>
    <s v="Tuesday"/>
    <s v="Monthly - Tuesday"/>
    <s v="Monthly - Tuesday"/>
    <s v="Month+1 Expiry"/>
    <n v="60386"/>
    <n v="122.3852"/>
    <n v="1.043"/>
  </r>
  <r>
    <s v="12-Nov-2025"/>
    <x v="2"/>
    <s v="Week2-Nov-2025"/>
    <x v="2"/>
    <s v="Q3FY26"/>
    <s v="27-Jan-2026"/>
    <s v="Tuesday"/>
    <s v="Monthly - Tuesday"/>
    <s v="Monthly - Tuesday"/>
    <s v="Month+2 Expiry"/>
    <n v="2598"/>
    <n v="4.473"/>
    <n v="0.047"/>
  </r>
  <r>
    <s v="12-Nov-2025"/>
    <x v="2"/>
    <s v="Week2-Nov-2025"/>
    <x v="2"/>
    <s v="Q3FY26"/>
    <s v="31-Mar-2026"/>
    <s v="Tuesday"/>
    <s v="Monthly - Tuesday"/>
    <s v="Monthly - Tuesday"/>
    <s v="Month+4 Expiry"/>
    <n v="491"/>
    <n v="1.0057"/>
    <n v="0.0158"/>
  </r>
  <r>
    <s v="12-Nov-2025"/>
    <x v="2"/>
    <s v="Week2-Nov-2025"/>
    <x v="2"/>
    <s v="Q3FY26"/>
    <s v="30-Jun-2026"/>
    <s v="Tuesday"/>
    <s v="Monthly - Tuesday"/>
    <s v="Monthly - Tuesday"/>
    <s v="Month+7 Expiry"/>
    <n v="0"/>
    <n v="0"/>
    <n v="0"/>
  </r>
  <r>
    <s v="12-Nov-2025"/>
    <x v="2"/>
    <s v="Week2-Nov-2025"/>
    <x v="2"/>
    <s v="Q3FY26"/>
    <s v="29-Sep-2026"/>
    <s v="Tuesday"/>
    <s v="Monthly - Tuesday"/>
    <s v="Monthly - Tuesday"/>
    <s v="Month+10 Expiry"/>
    <n v="0"/>
    <n v="0"/>
    <n v="0"/>
  </r>
  <r>
    <s v="13-Nov-2025"/>
    <x v="3"/>
    <s v="Week2-Nov-2025"/>
    <x v="2"/>
    <s v="Q3FY26"/>
    <s v="25-Nov-2025"/>
    <s v="Tuesday"/>
    <s v="Monthly - Tuesday"/>
    <s v="Monthly - Tuesday"/>
    <s v="Same Month Expiry"/>
    <n v="3111743"/>
    <n v="6363.0503"/>
    <n v="39.5913"/>
  </r>
  <r>
    <s v="13-Nov-2025"/>
    <x v="3"/>
    <s v="Week2-Nov-2025"/>
    <x v="2"/>
    <s v="Q3FY26"/>
    <s v="30-Dec-2025"/>
    <s v="Tuesday"/>
    <s v="Monthly - Tuesday"/>
    <s v="Monthly - Tuesday"/>
    <s v="Month+1 Expiry"/>
    <n v="72337"/>
    <n v="148.7316"/>
    <n v="1.3986"/>
  </r>
  <r>
    <s v="13-Nov-2025"/>
    <x v="3"/>
    <s v="Week2-Nov-2025"/>
    <x v="2"/>
    <s v="Q3FY26"/>
    <s v="27-Jan-2026"/>
    <s v="Tuesday"/>
    <s v="Monthly - Tuesday"/>
    <s v="Monthly - Tuesday"/>
    <s v="Month+2 Expiry"/>
    <n v="4137"/>
    <n v="7.295"/>
    <n v="0.109"/>
  </r>
  <r>
    <s v="13-Nov-2025"/>
    <x v="3"/>
    <s v="Week2-Nov-2025"/>
    <x v="2"/>
    <s v="Q3FY26"/>
    <s v="31-Mar-2026"/>
    <s v="Tuesday"/>
    <s v="Monthly - Tuesday"/>
    <s v="Monthly - Tuesday"/>
    <s v="Month+4 Expiry"/>
    <n v="767"/>
    <n v="1.5644"/>
    <n v="0.023"/>
  </r>
  <r>
    <s v="13-Nov-2025"/>
    <x v="3"/>
    <s v="Week2-Nov-2025"/>
    <x v="2"/>
    <s v="Q3FY26"/>
    <s v="30-Jun-2026"/>
    <s v="Tuesday"/>
    <s v="Monthly - Tuesday"/>
    <s v="Monthly - Tuesday"/>
    <s v="Month+7 Expiry"/>
    <n v="0"/>
    <n v="0"/>
    <n v="0"/>
  </r>
  <r>
    <s v="13-Nov-2025"/>
    <x v="3"/>
    <s v="Week2-Nov-2025"/>
    <x v="2"/>
    <s v="Q3FY26"/>
    <s v="29-Sep-2026"/>
    <s v="Tuesday"/>
    <s v="Monthly - Tuesday"/>
    <s v="Monthly - Tuesday"/>
    <s v="Month+10 Expiry"/>
    <n v="0"/>
    <n v="0"/>
    <n v="0"/>
  </r>
  <r>
    <s v="14-Nov-2025"/>
    <x v="4"/>
    <s v="Week2-Nov-2025"/>
    <x v="2"/>
    <s v="Q3FY26"/>
    <s v="25-Nov-2025"/>
    <s v="Tuesday"/>
    <s v="Monthly - Tuesday"/>
    <s v="Monthly - Tuesday"/>
    <s v="Same Month Expiry"/>
    <n v="3462484"/>
    <n v="7079.805"/>
    <n v="41.4364"/>
  </r>
  <r>
    <s v="14-Nov-2025"/>
    <x v="4"/>
    <s v="Week2-Nov-2025"/>
    <x v="2"/>
    <s v="Q3FY26"/>
    <s v="30-Dec-2025"/>
    <s v="Tuesday"/>
    <s v="Monthly - Tuesday"/>
    <s v="Monthly - Tuesday"/>
    <s v="Month+1 Expiry"/>
    <n v="68514"/>
    <n v="140.8927"/>
    <n v="1.331"/>
  </r>
  <r>
    <s v="14-Nov-2025"/>
    <x v="4"/>
    <s v="Week2-Nov-2025"/>
    <x v="2"/>
    <s v="Q3FY26"/>
    <s v="27-Jan-2026"/>
    <s v="Tuesday"/>
    <s v="Monthly - Tuesday"/>
    <s v="Monthly - Tuesday"/>
    <s v="Month+2 Expiry"/>
    <n v="2813"/>
    <n v="4.9643"/>
    <n v="0.07439999999999999"/>
  </r>
  <r>
    <s v="14-Nov-2025"/>
    <x v="4"/>
    <s v="Week2-Nov-2025"/>
    <x v="2"/>
    <s v="Q3FY26"/>
    <s v="31-Mar-2026"/>
    <s v="Tuesday"/>
    <s v="Monthly - Tuesday"/>
    <s v="Monthly - Tuesday"/>
    <s v="Month+4 Expiry"/>
    <n v="740"/>
    <n v="1.5206"/>
    <n v="0.026"/>
  </r>
  <r>
    <s v="14-Nov-2025"/>
    <x v="4"/>
    <s v="Week2-Nov-2025"/>
    <x v="2"/>
    <s v="Q3FY26"/>
    <s v="30-Jun-2026"/>
    <s v="Tuesday"/>
    <s v="Monthly - Tuesday"/>
    <s v="Monthly - Tuesday"/>
    <s v="Month+7 Expiry"/>
    <n v="0"/>
    <n v="0"/>
    <n v="0"/>
  </r>
  <r>
    <s v="14-Nov-2025"/>
    <x v="4"/>
    <s v="Week2-Nov-2025"/>
    <x v="2"/>
    <s v="Q3FY26"/>
    <s v="29-Sep-2026"/>
    <s v="Tuesday"/>
    <s v="Monthly - Tuesday"/>
    <s v="Monthly - Tuesday"/>
    <s v="Month+10 Expiry"/>
    <n v="0"/>
    <n v="0"/>
    <n v="0"/>
  </r>
  <r>
    <s v="17-Nov-2025"/>
    <x v="0"/>
    <s v="Week3-Nov-2025"/>
    <x v="2"/>
    <s v="Q3FY26"/>
    <s v="25-Nov-2025"/>
    <s v="Tuesday"/>
    <s v="Monthly - Tuesday"/>
    <s v="Monthly - Tuesday"/>
    <s v="Same Month Expiry"/>
    <n v="3637020"/>
    <n v="7453.548"/>
    <n v="38.0717"/>
  </r>
  <r>
    <s v="17-Nov-2025"/>
    <x v="0"/>
    <s v="Week3-Nov-2025"/>
    <x v="2"/>
    <s v="Q3FY26"/>
    <s v="30-Dec-2025"/>
    <s v="Tuesday"/>
    <s v="Monthly - Tuesday"/>
    <s v="Monthly - Tuesday"/>
    <s v="Month+1 Expiry"/>
    <n v="156925"/>
    <n v="324.9152"/>
    <n v="3.3285"/>
  </r>
  <r>
    <s v="17-Nov-2025"/>
    <x v="0"/>
    <s v="Week3-Nov-2025"/>
    <x v="2"/>
    <s v="Q3FY26"/>
    <s v="27-Jan-2026"/>
    <s v="Tuesday"/>
    <s v="Monthly - Tuesday"/>
    <s v="Monthly - Tuesday"/>
    <s v="Month+2 Expiry"/>
    <n v="3892"/>
    <n v="6.8327"/>
    <n v="0.0891"/>
  </r>
  <r>
    <s v="17-Nov-2025"/>
    <x v="0"/>
    <s v="Week3-Nov-2025"/>
    <x v="2"/>
    <s v="Q3FY26"/>
    <s v="31-Mar-2026"/>
    <s v="Tuesday"/>
    <s v="Monthly - Tuesday"/>
    <s v="Monthly - Tuesday"/>
    <s v="Month+4 Expiry"/>
    <n v="2128"/>
    <n v="4.3969"/>
    <n v="0.0833"/>
  </r>
  <r>
    <s v="17-Nov-2025"/>
    <x v="0"/>
    <s v="Week3-Nov-2025"/>
    <x v="2"/>
    <s v="Q3FY26"/>
    <s v="30-Jun-2026"/>
    <s v="Tuesday"/>
    <s v="Monthly - Tuesday"/>
    <s v="Monthly - Tuesday"/>
    <s v="Month+7 Expiry"/>
    <n v="0"/>
    <n v="0"/>
    <n v="0"/>
  </r>
  <r>
    <s v="17-Nov-2025"/>
    <x v="0"/>
    <s v="Week3-Nov-2025"/>
    <x v="2"/>
    <s v="Q3FY26"/>
    <s v="29-Sep-2026"/>
    <s v="Tuesday"/>
    <s v="Monthly - Tuesday"/>
    <s v="Monthly - Tuesday"/>
    <s v="Month+10 Expiry"/>
    <n v="0"/>
    <n v="0"/>
    <n v="0"/>
  </r>
  <r>
    <s v="18-Nov-2025"/>
    <x v="1"/>
    <s v="Week3-Nov-2025"/>
    <x v="2"/>
    <s v="Q3FY26"/>
    <s v="25-Nov-2025"/>
    <s v="Tuesday"/>
    <s v="Monthly - Tuesday"/>
    <s v="Monthly - Tuesday"/>
    <s v="Same Month Expiry"/>
    <n v="3898075"/>
    <n v="7995.4788"/>
    <n v="37.1648"/>
  </r>
  <r>
    <s v="18-Nov-2025"/>
    <x v="1"/>
    <s v="Week3-Nov-2025"/>
    <x v="2"/>
    <s v="Q3FY26"/>
    <s v="30-Dec-2025"/>
    <s v="Tuesday"/>
    <s v="Monthly - Tuesday"/>
    <s v="Monthly - Tuesday"/>
    <s v="Month+1 Expiry"/>
    <n v="123004"/>
    <n v="254.9535"/>
    <n v="2.6882"/>
  </r>
  <r>
    <s v="18-Nov-2025"/>
    <x v="1"/>
    <s v="Week3-Nov-2025"/>
    <x v="2"/>
    <s v="Q3FY26"/>
    <s v="27-Jan-2026"/>
    <s v="Tuesday"/>
    <s v="Monthly - Tuesday"/>
    <s v="Monthly - Tuesday"/>
    <s v="Month+2 Expiry"/>
    <n v="4143"/>
    <n v="7.2995"/>
    <n v="0.0946"/>
  </r>
  <r>
    <s v="18-Nov-2025"/>
    <x v="1"/>
    <s v="Week3-Nov-2025"/>
    <x v="2"/>
    <s v="Q3FY26"/>
    <s v="31-Mar-2026"/>
    <s v="Tuesday"/>
    <s v="Monthly - Tuesday"/>
    <s v="Monthly - Tuesday"/>
    <s v="Month+4 Expiry"/>
    <n v="1542"/>
    <n v="3.1601"/>
    <n v="0.053"/>
  </r>
  <r>
    <s v="18-Nov-2025"/>
    <x v="1"/>
    <s v="Week3-Nov-2025"/>
    <x v="2"/>
    <s v="Q3FY26"/>
    <s v="30-Jun-2026"/>
    <s v="Tuesday"/>
    <s v="Monthly - Tuesday"/>
    <s v="Monthly - Tuesday"/>
    <s v="Month+7 Expiry"/>
    <n v="0"/>
    <n v="0"/>
    <n v="0"/>
  </r>
  <r>
    <s v="18-Nov-2025"/>
    <x v="1"/>
    <s v="Week3-Nov-2025"/>
    <x v="2"/>
    <s v="Q3FY26"/>
    <s v="29-Sep-2026"/>
    <s v="Tuesday"/>
    <s v="Monthly - Tuesday"/>
    <s v="Monthly - Tuesday"/>
    <s v="Month+10 Expiry"/>
    <n v="0"/>
    <n v="0"/>
    <n v="0"/>
  </r>
  <r>
    <s v="19-Nov-2025"/>
    <x v="2"/>
    <s v="Week3-Nov-2025"/>
    <x v="2"/>
    <s v="Q3FY26"/>
    <s v="25-Nov-2025"/>
    <s v="Tuesday"/>
    <s v="Monthly - Tuesday"/>
    <s v="Monthly - Tuesday"/>
    <s v="Same Month Expiry"/>
    <n v="6053709"/>
    <n v="12387.7747"/>
    <n v="50.8172"/>
  </r>
  <r>
    <s v="19-Nov-2025"/>
    <x v="2"/>
    <s v="Week3-Nov-2025"/>
    <x v="2"/>
    <s v="Q3FY26"/>
    <s v="30-Dec-2025"/>
    <s v="Tuesday"/>
    <s v="Monthly - Tuesday"/>
    <s v="Monthly - Tuesday"/>
    <s v="Month+1 Expiry"/>
    <n v="199504"/>
    <n v="415.4035"/>
    <n v="4.3255"/>
  </r>
  <r>
    <s v="19-Nov-2025"/>
    <x v="2"/>
    <s v="Week3-Nov-2025"/>
    <x v="2"/>
    <s v="Q3FY26"/>
    <s v="27-Jan-2026"/>
    <s v="Tuesday"/>
    <s v="Monthly - Tuesday"/>
    <s v="Monthly - Tuesday"/>
    <s v="Month+2 Expiry"/>
    <n v="6526"/>
    <n v="11.6014"/>
    <n v="0.1587"/>
  </r>
  <r>
    <s v="19-Nov-2025"/>
    <x v="2"/>
    <s v="Week3-Nov-2025"/>
    <x v="2"/>
    <s v="Q3FY26"/>
    <s v="31-Mar-2026"/>
    <s v="Tuesday"/>
    <s v="Monthly - Tuesday"/>
    <s v="Monthly - Tuesday"/>
    <s v="Month+4 Expiry"/>
    <n v="1988"/>
    <n v="4.2025"/>
    <n v="0.0958"/>
  </r>
  <r>
    <s v="19-Nov-2025"/>
    <x v="2"/>
    <s v="Week3-Nov-2025"/>
    <x v="2"/>
    <s v="Q3FY26"/>
    <s v="30-Jun-2026"/>
    <s v="Tuesday"/>
    <s v="Monthly - Tuesday"/>
    <s v="Monthly - Tuesday"/>
    <s v="Month+7 Expiry"/>
    <n v="0"/>
    <n v="0"/>
    <n v="0"/>
  </r>
  <r>
    <s v="19-Nov-2025"/>
    <x v="2"/>
    <s v="Week3-Nov-2025"/>
    <x v="2"/>
    <s v="Q3FY26"/>
    <s v="29-Sep-2026"/>
    <s v="Tuesday"/>
    <s v="Monthly - Tuesday"/>
    <s v="Monthly - Tuesday"/>
    <s v="Month+10 Expiry"/>
    <n v="0"/>
    <n v="0"/>
    <n v="0"/>
  </r>
  <r>
    <s v="20-Nov-2025"/>
    <x v="3"/>
    <s v="Week3-Nov-2025"/>
    <x v="2"/>
    <s v="Q3FY26"/>
    <s v="25-Nov-2025"/>
    <s v="Tuesday"/>
    <s v="Monthly - Tuesday"/>
    <s v="Monthly - Tuesday"/>
    <s v="Same Month Expiry"/>
    <n v="5656595"/>
    <n v="11582.2529"/>
    <n v="39.4398"/>
  </r>
  <r>
    <s v="20-Nov-2025"/>
    <x v="3"/>
    <s v="Week3-Nov-2025"/>
    <x v="2"/>
    <s v="Q3FY26"/>
    <s v="30-Dec-2025"/>
    <s v="Tuesday"/>
    <s v="Monthly - Tuesday"/>
    <s v="Monthly - Tuesday"/>
    <s v="Month+1 Expiry"/>
    <n v="207429"/>
    <n v="431.9024"/>
    <n v="4.7164"/>
  </r>
  <r>
    <s v="20-Nov-2025"/>
    <x v="3"/>
    <s v="Week3-Nov-2025"/>
    <x v="2"/>
    <s v="Q3FY26"/>
    <s v="27-Jan-2026"/>
    <s v="Tuesday"/>
    <s v="Monthly - Tuesday"/>
    <s v="Monthly - Tuesday"/>
    <s v="Month+2 Expiry"/>
    <n v="6413"/>
    <n v="11.4207"/>
    <n v="0.1701"/>
  </r>
  <r>
    <s v="20-Nov-2025"/>
    <x v="3"/>
    <s v="Week3-Nov-2025"/>
    <x v="2"/>
    <s v="Q3FY26"/>
    <s v="31-Mar-2026"/>
    <s v="Tuesday"/>
    <s v="Monthly - Tuesday"/>
    <s v="Monthly - Tuesday"/>
    <s v="Month+4 Expiry"/>
    <n v="3035"/>
    <n v="6.3734"/>
    <n v="0.1283"/>
  </r>
  <r>
    <s v="20-Nov-2025"/>
    <x v="3"/>
    <s v="Week3-Nov-2025"/>
    <x v="2"/>
    <s v="Q3FY26"/>
    <s v="30-Jun-2026"/>
    <s v="Tuesday"/>
    <s v="Monthly - Tuesday"/>
    <s v="Monthly - Tuesday"/>
    <s v="Month+7 Expiry"/>
    <n v="0"/>
    <n v="0"/>
    <n v="0"/>
  </r>
  <r>
    <s v="20-Nov-2025"/>
    <x v="3"/>
    <s v="Week3-Nov-2025"/>
    <x v="2"/>
    <s v="Q3FY26"/>
    <s v="29-Sep-2026"/>
    <s v="Tuesday"/>
    <s v="Monthly - Tuesday"/>
    <s v="Monthly - Tuesday"/>
    <s v="Month+10 Expiry"/>
    <n v="0"/>
    <n v="0"/>
    <n v="0"/>
  </r>
  <r>
    <s v="21-Nov-2025"/>
    <x v="4"/>
    <s v="Week3-Nov-2025"/>
    <x v="2"/>
    <s v="Q3FY26"/>
    <s v="25-Nov-2025"/>
    <s v="Tuesday"/>
    <s v="Monthly - Tuesday"/>
    <s v="Monthly - Tuesday"/>
    <s v="Same Month Expiry"/>
    <n v="10692487"/>
    <n v="21899.3047"/>
    <n v="64.9958"/>
  </r>
  <r>
    <s v="21-Nov-2025"/>
    <x v="4"/>
    <s v="Week3-Nov-2025"/>
    <x v="2"/>
    <s v="Q3FY26"/>
    <s v="30-Dec-2025"/>
    <s v="Tuesday"/>
    <s v="Monthly - Tuesday"/>
    <s v="Monthly - Tuesday"/>
    <s v="Month+1 Expiry"/>
    <n v="359705"/>
    <n v="747.1505"/>
    <n v="7.8521"/>
  </r>
  <r>
    <s v="21-Nov-2025"/>
    <x v="4"/>
    <s v="Week3-Nov-2025"/>
    <x v="2"/>
    <s v="Q3FY26"/>
    <s v="27-Jan-2026"/>
    <s v="Tuesday"/>
    <s v="Monthly - Tuesday"/>
    <s v="Monthly - Tuesday"/>
    <s v="Month+2 Expiry"/>
    <n v="9417"/>
    <n v="16.9076"/>
    <n v="0.2512"/>
  </r>
  <r>
    <s v="21-Nov-2025"/>
    <x v="4"/>
    <s v="Week3-Nov-2025"/>
    <x v="2"/>
    <s v="Q3FY26"/>
    <s v="31-Mar-2026"/>
    <s v="Tuesday"/>
    <s v="Monthly - Tuesday"/>
    <s v="Monthly - Tuesday"/>
    <s v="Month+4 Expiry"/>
    <n v="1699"/>
    <n v="3.5116"/>
    <n v="0.056"/>
  </r>
  <r>
    <s v="21-Nov-2025"/>
    <x v="4"/>
    <s v="Week3-Nov-2025"/>
    <x v="2"/>
    <s v="Q3FY26"/>
    <s v="30-Jun-2026"/>
    <s v="Tuesday"/>
    <s v="Monthly - Tuesday"/>
    <s v="Monthly - Tuesday"/>
    <s v="Month+7 Expiry"/>
    <n v="0"/>
    <n v="0"/>
    <n v="0"/>
  </r>
  <r>
    <s v="21-Nov-2025"/>
    <x v="4"/>
    <s v="Week3-Nov-2025"/>
    <x v="2"/>
    <s v="Q3FY26"/>
    <s v="29-Sep-2026"/>
    <s v="Tuesday"/>
    <s v="Monthly - Tuesday"/>
    <s v="Monthly - Tuesday"/>
    <s v="Month+10 Expiry"/>
    <n v="0"/>
    <n v="0"/>
    <n v="0"/>
  </r>
  <r>
    <s v="24-Nov-2025"/>
    <x v="0"/>
    <s v="Week4-Nov-2025"/>
    <x v="2"/>
    <s v="Q3FY26"/>
    <s v="25-Nov-2025"/>
    <s v="Tuesday"/>
    <s v="Monthly - Tuesday"/>
    <s v="Monthly - Tuesday"/>
    <s v="Same Month Expiry"/>
    <n v="19567412"/>
    <n v="40015.1014"/>
    <n v="85.8531"/>
  </r>
  <r>
    <s v="24-Nov-2025"/>
    <x v="0"/>
    <s v="Week4-Nov-2025"/>
    <x v="2"/>
    <s v="Q3FY26"/>
    <s v="30-Dec-2025"/>
    <s v="Tuesday"/>
    <s v="Monthly - Tuesday"/>
    <s v="Monthly - Tuesday"/>
    <s v="Month+1 Expiry"/>
    <n v="424184"/>
    <n v="885.0194"/>
    <n v="9.807"/>
  </r>
  <r>
    <s v="24-Nov-2025"/>
    <x v="0"/>
    <s v="Week4-Nov-2025"/>
    <x v="2"/>
    <s v="Q3FY26"/>
    <s v="27-Jan-2026"/>
    <s v="Tuesday"/>
    <s v="Monthly - Tuesday"/>
    <s v="Monthly - Tuesday"/>
    <s v="Month+2 Expiry"/>
    <n v="6842"/>
    <n v="12.2058"/>
    <n v="0.1565"/>
  </r>
  <r>
    <s v="24-Nov-2025"/>
    <x v="0"/>
    <s v="Week4-Nov-2025"/>
    <x v="2"/>
    <s v="Q3FY26"/>
    <s v="31-Mar-2026"/>
    <s v="Tuesday"/>
    <s v="Monthly - Tuesday"/>
    <s v="Monthly - Tuesday"/>
    <s v="Month+4 Expiry"/>
    <n v="1087"/>
    <n v="2.283"/>
    <n v="0.0433"/>
  </r>
  <r>
    <s v="24-Nov-2025"/>
    <x v="0"/>
    <s v="Week4-Nov-2025"/>
    <x v="2"/>
    <s v="Q3FY26"/>
    <s v="30-Jun-2026"/>
    <s v="Tuesday"/>
    <s v="Monthly - Tuesday"/>
    <s v="Monthly - Tuesday"/>
    <s v="Month+7 Expiry"/>
    <n v="0"/>
    <n v="0"/>
    <n v="0"/>
  </r>
  <r>
    <s v="24-Nov-2025"/>
    <x v="0"/>
    <s v="Week4-Nov-2025"/>
    <x v="2"/>
    <s v="Q3FY26"/>
    <s v="29-Sep-2026"/>
    <s v="Tuesday"/>
    <s v="Monthly - Tuesday"/>
    <s v="Monthly - Tuesday"/>
    <s v="Month+10 Expiry"/>
    <n v="0"/>
    <n v="0"/>
    <n v="0"/>
  </r>
  <r>
    <s v="25-Nov-2025"/>
    <x v="1"/>
    <s v="Week4-Nov-2025"/>
    <x v="2"/>
    <s v="Q3FY26"/>
    <s v="25-Nov-2025"/>
    <s v="Tuesday"/>
    <s v="Monthly - Tuesday"/>
    <s v="Monthly - Tuesday"/>
    <s v="Same Month Expiry"/>
    <n v="79305371"/>
    <n v="161746.661"/>
    <n v="151.4041"/>
  </r>
  <r>
    <s v="25-Nov-2025"/>
    <x v="1"/>
    <s v="Week4-Nov-2025"/>
    <x v="2"/>
    <s v="Q3FY26"/>
    <s v="30-Dec-2025"/>
    <s v="Tuesday"/>
    <s v="Monthly - Tuesday"/>
    <s v="Monthly - Tuesday"/>
    <s v="Month+1 Expiry"/>
    <n v="722792"/>
    <n v="1503.8093"/>
    <n v="15.2352"/>
  </r>
  <r>
    <s v="25-Nov-2025"/>
    <x v="1"/>
    <s v="Week4-Nov-2025"/>
    <x v="2"/>
    <s v="Q3FY26"/>
    <s v="27-Jan-2026"/>
    <s v="Tuesday"/>
    <s v="Monthly - Tuesday"/>
    <s v="Monthly - Tuesday"/>
    <s v="Month+2 Expiry"/>
    <n v="8387"/>
    <n v="15.0803"/>
    <n v="0.1844"/>
  </r>
  <r>
    <s v="25-Nov-2025"/>
    <x v="1"/>
    <s v="Week4-Nov-2025"/>
    <x v="2"/>
    <s v="Q3FY26"/>
    <s v="31-Mar-2026"/>
    <s v="Tuesday"/>
    <s v="Monthly - Tuesday"/>
    <s v="Monthly - Tuesday"/>
    <s v="Month+4 Expiry"/>
    <n v="919"/>
    <n v="1.9265"/>
    <n v="0.0383"/>
  </r>
  <r>
    <s v="25-Nov-2025"/>
    <x v="1"/>
    <s v="Week4-Nov-2025"/>
    <x v="2"/>
    <s v="Q3FY26"/>
    <s v="30-Jun-2026"/>
    <s v="Tuesday"/>
    <s v="Monthly - Tuesday"/>
    <s v="Monthly - Tuesday"/>
    <s v="Month+7 Expiry"/>
    <n v="0"/>
    <n v="0"/>
    <n v="0"/>
  </r>
  <r>
    <s v="25-Nov-2025"/>
    <x v="1"/>
    <s v="Week4-Nov-2025"/>
    <x v="2"/>
    <s v="Q3FY26"/>
    <s v="29-Sep-2026"/>
    <s v="Tuesday"/>
    <s v="Monthly - Tuesday"/>
    <s v="Monthly - Tuesday"/>
    <s v="Month+10 Expiry"/>
    <n v="0"/>
    <n v="0"/>
    <n v="0"/>
  </r>
  <r>
    <s v="26-Nov-2025"/>
    <x v="2"/>
    <s v="Week4-Nov-2025"/>
    <x v="2"/>
    <s v="Q3FY26"/>
    <s v="30-Dec-2025"/>
    <s v="Tuesday"/>
    <s v="Monthly - Tuesday"/>
    <s v="Monthly - Tuesday"/>
    <s v="Month+1 Expiry"/>
    <n v="2110443"/>
    <n v="4410.6045"/>
    <n v="39.1595"/>
  </r>
  <r>
    <s v="26-Nov-2025"/>
    <x v="2"/>
    <s v="Week4-Nov-2025"/>
    <x v="2"/>
    <s v="Q3FY26"/>
    <s v="27-Jan-2026"/>
    <s v="Tuesday"/>
    <s v="Monthly - Tuesday"/>
    <s v="Monthly - Tuesday"/>
    <s v="Month+2 Expiry"/>
    <n v="19811"/>
    <n v="35.6728"/>
    <n v="0.4469"/>
  </r>
  <r>
    <s v="26-Nov-2025"/>
    <x v="2"/>
    <s v="Week4-Nov-2025"/>
    <x v="2"/>
    <s v="Q3FY26"/>
    <s v="24-Feb-2026"/>
    <s v="Tuesday"/>
    <s v="Monthly - Tuesday"/>
    <s v="Monthly - Tuesday"/>
    <s v="Month+3 Expiry"/>
    <n v="159"/>
    <n v="0.28"/>
    <n v="0.0053"/>
  </r>
  <r>
    <s v="26-Nov-2025"/>
    <x v="2"/>
    <s v="Week4-Nov-2025"/>
    <x v="2"/>
    <s v="Q3FY26"/>
    <s v="31-Mar-2026"/>
    <s v="Tuesday"/>
    <s v="Monthly - Tuesday"/>
    <s v="Monthly - Tuesday"/>
    <s v="Month+4 Expiry"/>
    <n v="2433"/>
    <n v="5.0532"/>
    <n v="0.07920000000000001"/>
  </r>
  <r>
    <s v="26-Nov-2025"/>
    <x v="2"/>
    <s v="Week4-Nov-2025"/>
    <x v="2"/>
    <s v="Q3FY26"/>
    <s v="30-Jun-2026"/>
    <s v="Tuesday"/>
    <s v="Monthly - Tuesday"/>
    <s v="Monthly - Tuesday"/>
    <s v="Month+7 Expiry"/>
    <n v="0"/>
    <n v="0"/>
    <n v="0"/>
  </r>
  <r>
    <s v="26-Nov-2025"/>
    <x v="2"/>
    <s v="Week4-Nov-2025"/>
    <x v="2"/>
    <s v="Q3FY26"/>
    <s v="29-Sep-2026"/>
    <s v="Tuesday"/>
    <s v="Monthly - Tuesday"/>
    <s v="Monthly - Tuesday"/>
    <s v="Month+10 Expiry"/>
    <n v="0"/>
    <n v="0"/>
    <n v="0"/>
  </r>
  <r>
    <s v="27-Nov-2025"/>
    <x v="3"/>
    <s v="Week4-Nov-2025"/>
    <x v="2"/>
    <s v="Q3FY26"/>
    <s v="30-Dec-2025"/>
    <s v="Tuesday"/>
    <s v="Monthly - Tuesday"/>
    <s v="Monthly - Tuesday"/>
    <s v="Month+1 Expiry"/>
    <n v="2075050"/>
    <n v="4355.7078"/>
    <n v="40.5044"/>
  </r>
  <r>
    <s v="27-Nov-2025"/>
    <x v="3"/>
    <s v="Week4-Nov-2025"/>
    <x v="2"/>
    <s v="Q3FY26"/>
    <s v="27-Jan-2026"/>
    <s v="Tuesday"/>
    <s v="Monthly - Tuesday"/>
    <s v="Monthly - Tuesday"/>
    <s v="Month+2 Expiry"/>
    <n v="21635"/>
    <n v="38.7577"/>
    <n v="0.4778"/>
  </r>
  <r>
    <s v="27-Nov-2025"/>
    <x v="3"/>
    <s v="Week4-Nov-2025"/>
    <x v="2"/>
    <s v="Q3FY26"/>
    <s v="24-Feb-2026"/>
    <s v="Tuesday"/>
    <s v="Monthly - Tuesday"/>
    <s v="Monthly - Tuesday"/>
    <s v="Month+3 Expiry"/>
    <n v="263"/>
    <n v="0.4715"/>
    <n v="0.007900000000000001"/>
  </r>
  <r>
    <s v="27-Nov-2025"/>
    <x v="3"/>
    <s v="Week4-Nov-2025"/>
    <x v="2"/>
    <s v="Q3FY26"/>
    <s v="31-Mar-2026"/>
    <s v="Tuesday"/>
    <s v="Monthly - Tuesday"/>
    <s v="Monthly - Tuesday"/>
    <s v="Month+4 Expiry"/>
    <n v="1803"/>
    <n v="3.7632"/>
    <n v="0.0618"/>
  </r>
  <r>
    <s v="27-Nov-2025"/>
    <x v="3"/>
    <s v="Week4-Nov-2025"/>
    <x v="2"/>
    <s v="Q3FY26"/>
    <s v="30-Jun-2026"/>
    <s v="Tuesday"/>
    <s v="Monthly - Tuesday"/>
    <s v="Monthly - Tuesday"/>
    <s v="Month+7 Expiry"/>
    <n v="0"/>
    <n v="0"/>
    <n v="0"/>
  </r>
  <r>
    <s v="27-Nov-2025"/>
    <x v="3"/>
    <s v="Week4-Nov-2025"/>
    <x v="2"/>
    <s v="Q3FY26"/>
    <s v="29-Sep-2026"/>
    <s v="Tuesday"/>
    <s v="Monthly - Tuesday"/>
    <s v="Monthly - Tuesday"/>
    <s v="Month+10 Expiry"/>
    <n v="0"/>
    <n v="0"/>
    <n v="0"/>
  </r>
  <r>
    <s v="28-Nov-2025"/>
    <x v="4"/>
    <s v="Week4-Nov-2025"/>
    <x v="2"/>
    <s v="Q3FY26"/>
    <s v="30-Dec-2025"/>
    <s v="Tuesday"/>
    <s v="Monthly - Tuesday"/>
    <s v="Monthly - Tuesday"/>
    <s v="Month+1 Expiry"/>
    <n v="1708304"/>
    <n v="3582.4952"/>
    <n v="31.6002"/>
  </r>
  <r>
    <s v="28-Nov-2025"/>
    <x v="4"/>
    <s v="Week4-Nov-2025"/>
    <x v="2"/>
    <s v="Q3FY26"/>
    <s v="27-Jan-2026"/>
    <s v="Tuesday"/>
    <s v="Monthly - Tuesday"/>
    <s v="Monthly - Tuesday"/>
    <s v="Month+2 Expiry"/>
    <n v="15141"/>
    <n v="27.3464"/>
    <n v="0.3575"/>
  </r>
  <r>
    <s v="28-Nov-2025"/>
    <x v="4"/>
    <s v="Week4-Nov-2025"/>
    <x v="2"/>
    <s v="Q3FY26"/>
    <s v="24-Feb-2026"/>
    <s v="Tuesday"/>
    <s v="Monthly - Tuesday"/>
    <s v="Monthly - Tuesday"/>
    <s v="Month+3 Expiry"/>
    <n v="254"/>
    <n v="0.4633"/>
    <n v="0.0089"/>
  </r>
  <r>
    <s v="28-Nov-2025"/>
    <x v="4"/>
    <s v="Week4-Nov-2025"/>
    <x v="2"/>
    <s v="Q3FY26"/>
    <s v="31-Mar-2026"/>
    <s v="Tuesday"/>
    <s v="Monthly - Tuesday"/>
    <s v="Monthly - Tuesday"/>
    <s v="Month+4 Expiry"/>
    <n v="1989"/>
    <n v="4.1247"/>
    <n v="0.0582"/>
  </r>
  <r>
    <s v="28-Nov-2025"/>
    <x v="4"/>
    <s v="Week4-Nov-2025"/>
    <x v="2"/>
    <s v="Q3FY26"/>
    <s v="30-Jun-2026"/>
    <s v="Tuesday"/>
    <s v="Monthly - Tuesday"/>
    <s v="Monthly - Tuesday"/>
    <s v="Month+7 Expiry"/>
    <n v="0"/>
    <n v="0"/>
    <n v="0"/>
  </r>
  <r>
    <s v="28-Nov-2025"/>
    <x v="4"/>
    <s v="Week4-Nov-2025"/>
    <x v="2"/>
    <s v="Q3FY26"/>
    <s v="29-Sep-2026"/>
    <s v="Tuesday"/>
    <s v="Monthly - Tuesday"/>
    <s v="Monthly - Tuesday"/>
    <s v="Month+10 Expiry"/>
    <n v="0"/>
    <n v="0"/>
    <n v="0"/>
  </r>
  <r>
    <s v="01-Dec-2025"/>
    <x v="0"/>
    <s v="Week1-Dec-2025"/>
    <x v="3"/>
    <s v="Q3FY26"/>
    <s v="30-Dec-2025"/>
    <s v="Tuesday"/>
    <s v="Monthly - Tuesday"/>
    <s v="Monthly - Tuesday"/>
    <s v="Same Month Expiry"/>
    <n v="2279487"/>
    <n v="4797.7946"/>
    <n v="40.0224"/>
  </r>
  <r>
    <s v="01-Dec-2025"/>
    <x v="0"/>
    <s v="Week1-Dec-2025"/>
    <x v="3"/>
    <s v="Q3FY26"/>
    <s v="27-Jan-2026"/>
    <s v="Tuesday"/>
    <s v="Monthly - Tuesday"/>
    <s v="Monthly - Tuesday"/>
    <s v="Month+1 Expiry"/>
    <n v="24325"/>
    <n v="44.2685"/>
    <n v="0.5029"/>
  </r>
  <r>
    <s v="01-Dec-2025"/>
    <x v="0"/>
    <s v="Week1-Dec-2025"/>
    <x v="3"/>
    <s v="Q3FY26"/>
    <s v="24-Feb-2026"/>
    <s v="Tuesday"/>
    <s v="Monthly - Tuesday"/>
    <s v="Monthly - Tuesday"/>
    <s v="Month+2 Expiry"/>
    <n v="1275"/>
    <n v="2.2589"/>
    <n v="0.0274"/>
  </r>
  <r>
    <s v="01-Dec-2025"/>
    <x v="0"/>
    <s v="Week1-Dec-2025"/>
    <x v="3"/>
    <s v="Q3FY26"/>
    <s v="31-Mar-2026"/>
    <s v="Tuesday"/>
    <s v="Monthly - Tuesday"/>
    <s v="Monthly - Tuesday"/>
    <s v="Month+3 Expiry"/>
    <n v="8334"/>
    <n v="17.1655"/>
    <n v="0.2028"/>
  </r>
  <r>
    <s v="01-Dec-2025"/>
    <x v="0"/>
    <s v="Week1-Dec-2025"/>
    <x v="3"/>
    <s v="Q3FY26"/>
    <s v="30-Jun-2026"/>
    <s v="Tuesday"/>
    <s v="Monthly - Tuesday"/>
    <s v="Monthly - Tuesday"/>
    <s v="Month+6 Expiry"/>
    <n v="0"/>
    <n v="0"/>
    <n v="0"/>
  </r>
  <r>
    <s v="01-Dec-2025"/>
    <x v="0"/>
    <s v="Week1-Dec-2025"/>
    <x v="3"/>
    <s v="Q3FY26"/>
    <s v="29-Sep-2026"/>
    <s v="Tuesday"/>
    <s v="Monthly - Tuesday"/>
    <s v="Monthly - Tuesday"/>
    <s v="Month+9 Expiry"/>
    <n v="0"/>
    <n v="0"/>
    <n v="0"/>
  </r>
  <r>
    <s v="02-Dec-2025"/>
    <x v="1"/>
    <s v="Week1-Dec-2025"/>
    <x v="3"/>
    <s v="Q3FY26"/>
    <s v="30-Dec-2025"/>
    <s v="Tuesday"/>
    <s v="Monthly - Tuesday"/>
    <s v="Monthly - Tuesday"/>
    <s v="Same Month Expiry"/>
    <n v="1916768"/>
    <n v="4007.9853"/>
    <n v="34.1548"/>
  </r>
  <r>
    <s v="02-Dec-2025"/>
    <x v="1"/>
    <s v="Week1-Dec-2025"/>
    <x v="3"/>
    <s v="Q3FY26"/>
    <s v="27-Jan-2026"/>
    <s v="Tuesday"/>
    <s v="Monthly - Tuesday"/>
    <s v="Monthly - Tuesday"/>
    <s v="Month+1 Expiry"/>
    <n v="18854"/>
    <n v="34.3195"/>
    <n v="0.4161"/>
  </r>
  <r>
    <s v="02-Dec-2025"/>
    <x v="1"/>
    <s v="Week1-Dec-2025"/>
    <x v="3"/>
    <s v="Q3FY26"/>
    <s v="24-Feb-2026"/>
    <s v="Tuesday"/>
    <s v="Monthly - Tuesday"/>
    <s v="Monthly - Tuesday"/>
    <s v="Month+2 Expiry"/>
    <n v="971"/>
    <n v="1.7424"/>
    <n v="0.0222"/>
  </r>
  <r>
    <s v="02-Dec-2025"/>
    <x v="1"/>
    <s v="Week1-Dec-2025"/>
    <x v="3"/>
    <s v="Q3FY26"/>
    <s v="31-Mar-2026"/>
    <s v="Tuesday"/>
    <s v="Monthly - Tuesday"/>
    <s v="Monthly - Tuesday"/>
    <s v="Month+3 Expiry"/>
    <n v="1683"/>
    <n v="3.5467"/>
    <n v="0.0689"/>
  </r>
  <r>
    <s v="02-Dec-2025"/>
    <x v="1"/>
    <s v="Week1-Dec-2025"/>
    <x v="3"/>
    <s v="Q3FY26"/>
    <s v="30-Jun-2026"/>
    <s v="Tuesday"/>
    <s v="Monthly - Tuesday"/>
    <s v="Monthly - Tuesday"/>
    <s v="Month+6 Expiry"/>
    <n v="0"/>
    <n v="0"/>
    <n v="0"/>
  </r>
  <r>
    <s v="02-Dec-2025"/>
    <x v="1"/>
    <s v="Week1-Dec-2025"/>
    <x v="3"/>
    <s v="Q3FY26"/>
    <s v="29-Sep-2026"/>
    <s v="Tuesday"/>
    <s v="Monthly - Tuesday"/>
    <s v="Monthly - Tuesday"/>
    <s v="Month+9 Expiry"/>
    <n v="0"/>
    <n v="0"/>
    <n v="0"/>
  </r>
  <r>
    <s v="03-Dec-2025"/>
    <x v="2"/>
    <s v="Week1-Dec-2025"/>
    <x v="3"/>
    <s v="Q3FY26"/>
    <s v="30-Dec-2025"/>
    <s v="Tuesday"/>
    <s v="Monthly - Tuesday"/>
    <s v="Monthly - Tuesday"/>
    <s v="Same Month Expiry"/>
    <n v="2431052"/>
    <n v="5070.0182"/>
    <n v="40.2407"/>
  </r>
  <r>
    <s v="03-Dec-2025"/>
    <x v="2"/>
    <s v="Week1-Dec-2025"/>
    <x v="3"/>
    <s v="Q3FY26"/>
    <s v="27-Jan-2026"/>
    <s v="Tuesday"/>
    <s v="Monthly - Tuesday"/>
    <s v="Monthly - Tuesday"/>
    <s v="Month+1 Expiry"/>
    <n v="29815"/>
    <n v="54.0005"/>
    <n v="0.549"/>
  </r>
  <r>
    <s v="03-Dec-2025"/>
    <x v="2"/>
    <s v="Week1-Dec-2025"/>
    <x v="3"/>
    <s v="Q3FY26"/>
    <s v="24-Feb-2026"/>
    <s v="Tuesday"/>
    <s v="Monthly - Tuesday"/>
    <s v="Monthly - Tuesday"/>
    <s v="Month+2 Expiry"/>
    <n v="1192"/>
    <n v="2.1194"/>
    <n v="0.024"/>
  </r>
  <r>
    <s v="03-Dec-2025"/>
    <x v="2"/>
    <s v="Week1-Dec-2025"/>
    <x v="3"/>
    <s v="Q3FY26"/>
    <s v="31-Mar-2026"/>
    <s v="Tuesday"/>
    <s v="Monthly - Tuesday"/>
    <s v="Monthly - Tuesday"/>
    <s v="Month+3 Expiry"/>
    <n v="2903"/>
    <n v="6.0395"/>
    <n v="0.0977"/>
  </r>
  <r>
    <s v="03-Dec-2025"/>
    <x v="2"/>
    <s v="Week1-Dec-2025"/>
    <x v="3"/>
    <s v="Q3FY26"/>
    <s v="30-Jun-2026"/>
    <s v="Tuesday"/>
    <s v="Monthly - Tuesday"/>
    <s v="Monthly - Tuesday"/>
    <s v="Month+6 Expiry"/>
    <n v="0"/>
    <n v="0"/>
    <n v="0"/>
  </r>
  <r>
    <s v="03-Dec-2025"/>
    <x v="2"/>
    <s v="Week1-Dec-2025"/>
    <x v="3"/>
    <s v="Q3FY26"/>
    <s v="29-Sep-2026"/>
    <s v="Tuesday"/>
    <s v="Monthly - Tuesday"/>
    <s v="Monthly - Tuesday"/>
    <s v="Month+9 Expiry"/>
    <n v="0"/>
    <n v="0"/>
    <n v="0"/>
  </r>
  <r>
    <s v="04-Dec-2025"/>
    <x v="3"/>
    <s v="Week1-Dec-2025"/>
    <x v="3"/>
    <s v="Q3FY26"/>
    <s v="30-Dec-2025"/>
    <s v="Tuesday"/>
    <s v="Monthly - Tuesday"/>
    <s v="Monthly - Tuesday"/>
    <s v="Same Month Expiry"/>
    <n v="1959814"/>
    <n v="4089.3638"/>
    <n v="32.9776"/>
  </r>
  <r>
    <s v="04-Dec-2025"/>
    <x v="3"/>
    <s v="Week1-Dec-2025"/>
    <x v="3"/>
    <s v="Q3FY26"/>
    <s v="27-Jan-2026"/>
    <s v="Tuesday"/>
    <s v="Monthly - Tuesday"/>
    <s v="Monthly - Tuesday"/>
    <s v="Month+1 Expiry"/>
    <n v="16349"/>
    <n v="29.5948"/>
    <n v="0.3239"/>
  </r>
  <r>
    <s v="04-Dec-2025"/>
    <x v="3"/>
    <s v="Week1-Dec-2025"/>
    <x v="3"/>
    <s v="Q3FY26"/>
    <s v="24-Feb-2026"/>
    <s v="Tuesday"/>
    <s v="Monthly - Tuesday"/>
    <s v="Monthly - Tuesday"/>
    <s v="Month+2 Expiry"/>
    <n v="1569"/>
    <n v="2.8635"/>
    <n v="0.0336"/>
  </r>
  <r>
    <s v="04-Dec-2025"/>
    <x v="3"/>
    <s v="Week1-Dec-2025"/>
    <x v="3"/>
    <s v="Q3FY26"/>
    <s v="31-Mar-2026"/>
    <s v="Tuesday"/>
    <s v="Monthly - Tuesday"/>
    <s v="Monthly - Tuesday"/>
    <s v="Month+3 Expiry"/>
    <n v="1050"/>
    <n v="2.188"/>
    <n v="0.0351"/>
  </r>
  <r>
    <s v="04-Dec-2025"/>
    <x v="3"/>
    <s v="Week1-Dec-2025"/>
    <x v="3"/>
    <s v="Q3FY26"/>
    <s v="30-Jun-2026"/>
    <s v="Tuesday"/>
    <s v="Monthly - Tuesday"/>
    <s v="Monthly - Tuesday"/>
    <s v="Month+6 Expiry"/>
    <n v="0"/>
    <n v="0"/>
    <n v="0"/>
  </r>
  <r>
    <s v="04-Dec-2025"/>
    <x v="3"/>
    <s v="Week1-Dec-2025"/>
    <x v="3"/>
    <s v="Q3FY26"/>
    <s v="29-Sep-2026"/>
    <s v="Tuesday"/>
    <s v="Monthly - Tuesday"/>
    <s v="Monthly - Tuesday"/>
    <s v="Month+9 Expiry"/>
    <n v="0"/>
    <n v="0"/>
    <n v="0"/>
  </r>
  <r>
    <s v="05-Dec-2025"/>
    <x v="4"/>
    <s v="Week1-Dec-2025"/>
    <x v="3"/>
    <s v="Q3FY26"/>
    <s v="30-Dec-2025"/>
    <s v="Tuesday"/>
    <s v="Monthly - Tuesday"/>
    <s v="Monthly - Tuesday"/>
    <s v="Same Month Expiry"/>
    <n v="3058190"/>
    <n v="6396.9837"/>
    <n v="46.9468"/>
  </r>
  <r>
    <s v="05-Dec-2025"/>
    <x v="4"/>
    <s v="Week1-Dec-2025"/>
    <x v="3"/>
    <s v="Q3FY26"/>
    <s v="27-Jan-2026"/>
    <s v="Tuesday"/>
    <s v="Monthly - Tuesday"/>
    <s v="Monthly - Tuesday"/>
    <s v="Month+1 Expiry"/>
    <n v="53615"/>
    <n v="95.95189999999999"/>
    <n v="0.9323"/>
  </r>
  <r>
    <s v="05-Dec-2025"/>
    <x v="4"/>
    <s v="Week1-Dec-2025"/>
    <x v="3"/>
    <s v="Q3FY26"/>
    <s v="24-Feb-2026"/>
    <s v="Tuesday"/>
    <s v="Monthly - Tuesday"/>
    <s v="Monthly - Tuesday"/>
    <s v="Month+2 Expiry"/>
    <n v="1466"/>
    <n v="2.6098"/>
    <n v="0.0268"/>
  </r>
  <r>
    <s v="05-Dec-2025"/>
    <x v="4"/>
    <s v="Week1-Dec-2025"/>
    <x v="3"/>
    <s v="Q3FY26"/>
    <s v="31-Mar-2026"/>
    <s v="Tuesday"/>
    <s v="Monthly - Tuesday"/>
    <s v="Monthly - Tuesday"/>
    <s v="Month+3 Expiry"/>
    <n v="1893"/>
    <n v="3.9146"/>
    <n v="0.0492"/>
  </r>
  <r>
    <s v="05-Dec-2025"/>
    <x v="4"/>
    <s v="Week1-Dec-2025"/>
    <x v="3"/>
    <s v="Q3FY26"/>
    <s v="30-Jun-2026"/>
    <s v="Tuesday"/>
    <s v="Monthly - Tuesday"/>
    <s v="Monthly - Tuesday"/>
    <s v="Month+6 Expiry"/>
    <n v="0"/>
    <n v="0"/>
    <n v="0"/>
  </r>
  <r>
    <s v="05-Dec-2025"/>
    <x v="4"/>
    <s v="Week1-Dec-2025"/>
    <x v="3"/>
    <s v="Q3FY26"/>
    <s v="29-Sep-2026"/>
    <s v="Tuesday"/>
    <s v="Monthly - Tuesday"/>
    <s v="Monthly - Tuesday"/>
    <s v="Month+9 Expiry"/>
    <n v="0"/>
    <n v="0"/>
    <n v="0"/>
  </r>
  <r>
    <s v="08-Dec-2025"/>
    <x v="0"/>
    <s v="Week2-Dec-2025"/>
    <x v="3"/>
    <s v="Q3FY26"/>
    <s v="30-Dec-2025"/>
    <s v="Tuesday"/>
    <s v="Monthly - Tuesday"/>
    <s v="Monthly - Tuesday"/>
    <s v="Same Month Expiry"/>
    <n v="2909142"/>
    <n v="6061.2431"/>
    <n v="43.1431"/>
  </r>
  <r>
    <s v="08-Dec-2025"/>
    <x v="0"/>
    <s v="Week2-Dec-2025"/>
    <x v="3"/>
    <s v="Q3FY26"/>
    <s v="27-Jan-2026"/>
    <s v="Tuesday"/>
    <s v="Monthly - Tuesday"/>
    <s v="Monthly - Tuesday"/>
    <s v="Month+1 Expiry"/>
    <n v="58358"/>
    <n v="105.8731"/>
    <n v="1.34"/>
  </r>
  <r>
    <s v="08-Dec-2025"/>
    <x v="0"/>
    <s v="Week2-Dec-2025"/>
    <x v="3"/>
    <s v="Q3FY26"/>
    <s v="24-Feb-2026"/>
    <s v="Tuesday"/>
    <s v="Monthly - Tuesday"/>
    <s v="Monthly - Tuesday"/>
    <s v="Month+2 Expiry"/>
    <n v="2710"/>
    <n v="4.8841"/>
    <n v="0.0525"/>
  </r>
  <r>
    <s v="08-Dec-2025"/>
    <x v="0"/>
    <s v="Week2-Dec-2025"/>
    <x v="3"/>
    <s v="Q3FY26"/>
    <s v="31-Mar-2026"/>
    <s v="Tuesday"/>
    <s v="Monthly - Tuesday"/>
    <s v="Monthly - Tuesday"/>
    <s v="Month+3 Expiry"/>
    <n v="1565"/>
    <n v="3.2873"/>
    <n v="0.0564"/>
  </r>
  <r>
    <s v="08-Dec-2025"/>
    <x v="0"/>
    <s v="Week2-Dec-2025"/>
    <x v="3"/>
    <s v="Q3FY26"/>
    <s v="30-Jun-2026"/>
    <s v="Tuesday"/>
    <s v="Monthly - Tuesday"/>
    <s v="Monthly - Tuesday"/>
    <s v="Month+6 Expiry"/>
    <n v="0"/>
    <n v="0"/>
    <n v="0"/>
  </r>
  <r>
    <s v="08-Dec-2025"/>
    <x v="0"/>
    <s v="Week2-Dec-2025"/>
    <x v="3"/>
    <s v="Q3FY26"/>
    <s v="29-Sep-2026"/>
    <s v="Tuesday"/>
    <s v="Monthly - Tuesday"/>
    <s v="Monthly - Tuesday"/>
    <s v="Month+9 Expiry"/>
    <n v="0"/>
    <n v="0"/>
    <n v="0"/>
  </r>
  <r>
    <s v="09-Dec-2025"/>
    <x v="1"/>
    <s v="Week2-Dec-2025"/>
    <x v="3"/>
    <s v="Q3FY26"/>
    <s v="30-Dec-2025"/>
    <s v="Tuesday"/>
    <s v="Monthly - Tuesday"/>
    <s v="Monthly - Tuesday"/>
    <s v="Same Month Expiry"/>
    <n v="2848895"/>
    <n v="5918.9615"/>
    <n v="41.0704"/>
  </r>
  <r>
    <s v="09-Dec-2025"/>
    <x v="1"/>
    <s v="Week2-Dec-2025"/>
    <x v="3"/>
    <s v="Q3FY26"/>
    <s v="27-Jan-2026"/>
    <s v="Tuesday"/>
    <s v="Monthly - Tuesday"/>
    <s v="Monthly - Tuesday"/>
    <s v="Month+1 Expiry"/>
    <n v="69626"/>
    <n v="125.8603"/>
    <n v="1.7098"/>
  </r>
  <r>
    <s v="09-Dec-2025"/>
    <x v="1"/>
    <s v="Week2-Dec-2025"/>
    <x v="3"/>
    <s v="Q3FY26"/>
    <s v="24-Feb-2026"/>
    <s v="Tuesday"/>
    <s v="Monthly - Tuesday"/>
    <s v="Monthly - Tuesday"/>
    <s v="Month+2 Expiry"/>
    <n v="2255"/>
    <n v="3.9959"/>
    <n v="0.0418"/>
  </r>
  <r>
    <s v="09-Dec-2025"/>
    <x v="1"/>
    <s v="Week2-Dec-2025"/>
    <x v="3"/>
    <s v="Q3FY26"/>
    <s v="31-Mar-2026"/>
    <s v="Tuesday"/>
    <s v="Monthly - Tuesday"/>
    <s v="Monthly - Tuesday"/>
    <s v="Month+3 Expiry"/>
    <n v="1983"/>
    <n v="4.1555"/>
    <n v="0.0868"/>
  </r>
  <r>
    <s v="09-Dec-2025"/>
    <x v="1"/>
    <s v="Week2-Dec-2025"/>
    <x v="3"/>
    <s v="Q3FY26"/>
    <s v="30-Jun-2026"/>
    <s v="Tuesday"/>
    <s v="Monthly - Tuesday"/>
    <s v="Monthly - Tuesday"/>
    <s v="Month+6 Expiry"/>
    <n v="0"/>
    <n v="0"/>
    <n v="0"/>
  </r>
  <r>
    <s v="09-Dec-2025"/>
    <x v="1"/>
    <s v="Week2-Dec-2025"/>
    <x v="3"/>
    <s v="Q3FY26"/>
    <s v="29-Sep-2026"/>
    <s v="Tuesday"/>
    <s v="Monthly - Tuesday"/>
    <s v="Monthly - Tuesday"/>
    <s v="Month+9 Expiry"/>
    <n v="0"/>
    <n v="0"/>
    <n v="0"/>
  </r>
  <r>
    <s v="10-Dec-2025"/>
    <x v="2"/>
    <s v="Week2-Dec-2025"/>
    <x v="3"/>
    <s v="Q3FY26"/>
    <s v="30-Dec-2025"/>
    <s v="Tuesday"/>
    <s v="Monthly - Tuesday"/>
    <s v="Monthly - Tuesday"/>
    <s v="Same Month Expiry"/>
    <n v="2906344"/>
    <n v="6034.8237"/>
    <n v="41.3086"/>
  </r>
  <r>
    <s v="10-Dec-2025"/>
    <x v="2"/>
    <s v="Week2-Dec-2025"/>
    <x v="3"/>
    <s v="Q3FY26"/>
    <s v="27-Jan-2026"/>
    <s v="Tuesday"/>
    <s v="Monthly - Tuesday"/>
    <s v="Monthly - Tuesday"/>
    <s v="Month+1 Expiry"/>
    <n v="57094"/>
    <n v="103.0858"/>
    <n v="1.1903"/>
  </r>
  <r>
    <s v="10-Dec-2025"/>
    <x v="2"/>
    <s v="Week2-Dec-2025"/>
    <x v="3"/>
    <s v="Q3FY26"/>
    <s v="24-Feb-2026"/>
    <s v="Tuesday"/>
    <s v="Monthly - Tuesday"/>
    <s v="Monthly - Tuesday"/>
    <s v="Month+2 Expiry"/>
    <n v="3361"/>
    <n v="6.0274"/>
    <n v="0.0738"/>
  </r>
  <r>
    <s v="10-Dec-2025"/>
    <x v="2"/>
    <s v="Week2-Dec-2025"/>
    <x v="3"/>
    <s v="Q3FY26"/>
    <s v="31-Mar-2026"/>
    <s v="Tuesday"/>
    <s v="Monthly - Tuesday"/>
    <s v="Monthly - Tuesday"/>
    <s v="Month+3 Expiry"/>
    <n v="2156"/>
    <n v="4.4219"/>
    <n v="0.0612"/>
  </r>
  <r>
    <s v="10-Dec-2025"/>
    <x v="2"/>
    <s v="Week2-Dec-2025"/>
    <x v="3"/>
    <s v="Q3FY26"/>
    <s v="30-Jun-2026"/>
    <s v="Tuesday"/>
    <s v="Monthly - Tuesday"/>
    <s v="Monthly - Tuesday"/>
    <s v="Month+6 Expiry"/>
    <n v="0"/>
    <n v="0"/>
    <n v="0"/>
  </r>
  <r>
    <s v="10-Dec-2025"/>
    <x v="2"/>
    <s v="Week2-Dec-2025"/>
    <x v="3"/>
    <s v="Q3FY26"/>
    <s v="29-Sep-2026"/>
    <s v="Tuesday"/>
    <s v="Monthly - Tuesday"/>
    <s v="Monthly - Tuesday"/>
    <s v="Month+9 Expiry"/>
    <n v="0"/>
    <n v="0"/>
    <n v="0"/>
  </r>
  <r>
    <s v="11-Dec-2025"/>
    <x v="3"/>
    <s v="Week2-Dec-2025"/>
    <x v="3"/>
    <s v="Q3FY26"/>
    <s v="30-Dec-2025"/>
    <s v="Tuesday"/>
    <s v="Monthly - Tuesday"/>
    <s v="Monthly - Tuesday"/>
    <s v="Same Month Expiry"/>
    <n v="3034560"/>
    <n v="6294.1981"/>
    <n v="41.1379"/>
  </r>
  <r>
    <s v="11-Dec-2025"/>
    <x v="3"/>
    <s v="Week2-Dec-2025"/>
    <x v="3"/>
    <s v="Q3FY26"/>
    <s v="27-Jan-2026"/>
    <s v="Tuesday"/>
    <s v="Monthly - Tuesday"/>
    <s v="Monthly - Tuesday"/>
    <s v="Month+1 Expiry"/>
    <n v="72786"/>
    <n v="131.5861"/>
    <n v="1.6396"/>
  </r>
  <r>
    <s v="11-Dec-2025"/>
    <x v="3"/>
    <s v="Week2-Dec-2025"/>
    <x v="3"/>
    <s v="Q3FY26"/>
    <s v="24-Feb-2026"/>
    <s v="Tuesday"/>
    <s v="Monthly - Tuesday"/>
    <s v="Monthly - Tuesday"/>
    <s v="Month+2 Expiry"/>
    <n v="3137"/>
    <n v="5.6498"/>
    <n v="0.0599"/>
  </r>
  <r>
    <s v="11-Dec-2025"/>
    <x v="3"/>
    <s v="Week2-Dec-2025"/>
    <x v="3"/>
    <s v="Q3FY26"/>
    <s v="31-Mar-2026"/>
    <s v="Tuesday"/>
    <s v="Monthly - Tuesday"/>
    <s v="Monthly - Tuesday"/>
    <s v="Month+3 Expiry"/>
    <n v="1024"/>
    <n v="2.14"/>
    <n v="0.0353"/>
  </r>
  <r>
    <s v="11-Dec-2025"/>
    <x v="3"/>
    <s v="Week2-Dec-2025"/>
    <x v="3"/>
    <s v="Q3FY26"/>
    <s v="30-Jun-2026"/>
    <s v="Tuesday"/>
    <s v="Monthly - Tuesday"/>
    <s v="Monthly - Tuesday"/>
    <s v="Month+6 Expiry"/>
    <n v="0"/>
    <n v="0"/>
    <n v="0"/>
  </r>
  <r>
    <s v="11-Dec-2025"/>
    <x v="3"/>
    <s v="Week2-Dec-2025"/>
    <x v="3"/>
    <s v="Q3FY26"/>
    <s v="29-Sep-2026"/>
    <s v="Tuesday"/>
    <s v="Monthly - Tuesday"/>
    <s v="Monthly - Tuesday"/>
    <s v="Month+9 Expiry"/>
    <n v="0"/>
    <n v="0"/>
    <n v="0"/>
  </r>
  <r>
    <s v="12-Dec-2025"/>
    <x v="4"/>
    <s v="Week2-Dec-2025"/>
    <x v="3"/>
    <s v="Q3FY26"/>
    <s v="30-Dec-2025"/>
    <s v="Tuesday"/>
    <s v="Monthly - Tuesday"/>
    <s v="Monthly - Tuesday"/>
    <s v="Same Month Expiry"/>
    <n v="2840229"/>
    <n v="5898.0156"/>
    <n v="36.7417"/>
  </r>
  <r>
    <s v="12-Dec-2025"/>
    <x v="4"/>
    <s v="Week2-Dec-2025"/>
    <x v="3"/>
    <s v="Q3FY26"/>
    <s v="27-Jan-2026"/>
    <s v="Tuesday"/>
    <s v="Monthly - Tuesday"/>
    <s v="Monthly - Tuesday"/>
    <s v="Month+1 Expiry"/>
    <n v="56415"/>
    <n v="101.8547"/>
    <n v="1.1126"/>
  </r>
  <r>
    <s v="12-Dec-2025"/>
    <x v="4"/>
    <s v="Week2-Dec-2025"/>
    <x v="3"/>
    <s v="Q3FY26"/>
    <s v="24-Feb-2026"/>
    <s v="Tuesday"/>
    <s v="Monthly - Tuesday"/>
    <s v="Monthly - Tuesday"/>
    <s v="Month+2 Expiry"/>
    <n v="2244"/>
    <n v="4.0287"/>
    <n v="0.0414"/>
  </r>
  <r>
    <s v="12-Dec-2025"/>
    <x v="4"/>
    <s v="Week2-Dec-2025"/>
    <x v="3"/>
    <s v="Q3FY26"/>
    <s v="31-Mar-2026"/>
    <s v="Tuesday"/>
    <s v="Monthly - Tuesday"/>
    <s v="Monthly - Tuesday"/>
    <s v="Month+3 Expiry"/>
    <n v="557"/>
    <n v="1.1605"/>
    <n v="0.0194"/>
  </r>
  <r>
    <s v="12-Dec-2025"/>
    <x v="4"/>
    <s v="Week2-Dec-2025"/>
    <x v="3"/>
    <s v="Q3FY26"/>
    <s v="30-Jun-2026"/>
    <s v="Tuesday"/>
    <s v="Monthly - Tuesday"/>
    <s v="Monthly - Tuesday"/>
    <s v="Month+6 Expiry"/>
    <n v="0"/>
    <n v="0"/>
    <n v="0"/>
  </r>
  <r>
    <s v="12-Dec-2025"/>
    <x v="4"/>
    <s v="Week2-Dec-2025"/>
    <x v="3"/>
    <s v="Q3FY26"/>
    <s v="29-Sep-2026"/>
    <s v="Tuesday"/>
    <s v="Monthly - Tuesday"/>
    <s v="Monthly - Tuesday"/>
    <s v="Month+9 Expiry"/>
    <n v="0"/>
    <n v="0"/>
    <n v="0"/>
  </r>
  <r>
    <s v="15-Dec-2025"/>
    <x v="0"/>
    <s v="Week3-Dec-2025"/>
    <x v="3"/>
    <s v="Q3FY26"/>
    <s v="30-Dec-2025"/>
    <s v="Tuesday"/>
    <s v="Monthly - Tuesday"/>
    <s v="Monthly - Tuesday"/>
    <s v="Same Month Expiry"/>
    <n v="2655527"/>
    <n v="5520.0561"/>
    <n v="31.8478"/>
  </r>
  <r>
    <s v="15-Dec-2025"/>
    <x v="0"/>
    <s v="Week3-Dec-2025"/>
    <x v="3"/>
    <s v="Q3FY26"/>
    <s v="27-Jan-2026"/>
    <s v="Tuesday"/>
    <s v="Monthly - Tuesday"/>
    <s v="Monthly - Tuesday"/>
    <s v="Month+1 Expiry"/>
    <n v="59568"/>
    <n v="107.6115"/>
    <n v="1.1172"/>
  </r>
  <r>
    <s v="15-Dec-2025"/>
    <x v="0"/>
    <s v="Week3-Dec-2025"/>
    <x v="3"/>
    <s v="Q3FY26"/>
    <s v="24-Feb-2026"/>
    <s v="Tuesday"/>
    <s v="Monthly - Tuesday"/>
    <s v="Monthly - Tuesday"/>
    <s v="Month+2 Expiry"/>
    <n v="2465"/>
    <n v="4.4354"/>
    <n v="0.0469"/>
  </r>
  <r>
    <s v="15-Dec-2025"/>
    <x v="0"/>
    <s v="Week3-Dec-2025"/>
    <x v="3"/>
    <s v="Q3FY26"/>
    <s v="31-Mar-2026"/>
    <s v="Tuesday"/>
    <s v="Monthly - Tuesday"/>
    <s v="Monthly - Tuesday"/>
    <s v="Month+3 Expiry"/>
    <n v="634"/>
    <n v="1.3226"/>
    <n v="0.0211"/>
  </r>
  <r>
    <s v="15-Dec-2025"/>
    <x v="0"/>
    <s v="Week3-Dec-2025"/>
    <x v="3"/>
    <s v="Q3FY26"/>
    <s v="30-Jun-2026"/>
    <s v="Tuesday"/>
    <s v="Monthly - Tuesday"/>
    <s v="Monthly - Tuesday"/>
    <s v="Month+6 Expiry"/>
    <n v="0"/>
    <n v="0"/>
    <n v="0"/>
  </r>
  <r>
    <s v="15-Dec-2025"/>
    <x v="0"/>
    <s v="Week3-Dec-2025"/>
    <x v="3"/>
    <s v="Q3FY26"/>
    <s v="29-Sep-2026"/>
    <s v="Tuesday"/>
    <s v="Monthly - Tuesday"/>
    <s v="Monthly - Tuesday"/>
    <s v="Month+9 Expiry"/>
    <n v="0"/>
    <n v="0"/>
    <n v="0"/>
  </r>
  <r>
    <s v="16-Dec-2025"/>
    <x v="1"/>
    <s v="Week3-Dec-2025"/>
    <x v="3"/>
    <s v="Q3FY26"/>
    <s v="30-Dec-2025"/>
    <s v="Tuesday"/>
    <s v="Monthly - Tuesday"/>
    <s v="Monthly - Tuesday"/>
    <s v="Same Month Expiry"/>
    <n v="2787074"/>
    <n v="5781.1747"/>
    <n v="32.6153"/>
  </r>
  <r>
    <s v="16-Dec-2025"/>
    <x v="1"/>
    <s v="Week3-Dec-2025"/>
    <x v="3"/>
    <s v="Q3FY26"/>
    <s v="27-Jan-2026"/>
    <s v="Tuesday"/>
    <s v="Monthly - Tuesday"/>
    <s v="Monthly - Tuesday"/>
    <s v="Month+1 Expiry"/>
    <n v="57880"/>
    <n v="104.3718"/>
    <n v="1.1118"/>
  </r>
  <r>
    <s v="16-Dec-2025"/>
    <x v="1"/>
    <s v="Week3-Dec-2025"/>
    <x v="3"/>
    <s v="Q3FY26"/>
    <s v="24-Feb-2026"/>
    <s v="Tuesday"/>
    <s v="Monthly - Tuesday"/>
    <s v="Monthly - Tuesday"/>
    <s v="Month+2 Expiry"/>
    <n v="3458"/>
    <n v="6.2468"/>
    <n v="0.0663"/>
  </r>
  <r>
    <s v="16-Dec-2025"/>
    <x v="1"/>
    <s v="Week3-Dec-2025"/>
    <x v="3"/>
    <s v="Q3FY26"/>
    <s v="31-Mar-2026"/>
    <s v="Tuesday"/>
    <s v="Monthly - Tuesday"/>
    <s v="Monthly - Tuesday"/>
    <s v="Month+3 Expiry"/>
    <n v="1009"/>
    <n v="2.0733"/>
    <n v="0.0255"/>
  </r>
  <r>
    <s v="16-Dec-2025"/>
    <x v="1"/>
    <s v="Week3-Dec-2025"/>
    <x v="3"/>
    <s v="Q3FY26"/>
    <s v="30-Jun-2026"/>
    <s v="Tuesday"/>
    <s v="Monthly - Tuesday"/>
    <s v="Monthly - Tuesday"/>
    <s v="Month+6 Expiry"/>
    <n v="0"/>
    <n v="0"/>
    <n v="0"/>
  </r>
  <r>
    <s v="16-Dec-2025"/>
    <x v="1"/>
    <s v="Week3-Dec-2025"/>
    <x v="3"/>
    <s v="Q3FY26"/>
    <s v="29-Sep-2026"/>
    <s v="Tuesday"/>
    <s v="Monthly - Tuesday"/>
    <s v="Monthly - Tuesday"/>
    <s v="Month+9 Expiry"/>
    <n v="0"/>
    <n v="0"/>
    <n v="0"/>
  </r>
  <r>
    <s v="17-Dec-2025"/>
    <x v="2"/>
    <s v="Week3-Dec-2025"/>
    <x v="3"/>
    <s v="Q3FY26"/>
    <s v="30-Dec-2025"/>
    <s v="Tuesday"/>
    <s v="Monthly - Tuesday"/>
    <s v="Monthly - Tuesday"/>
    <s v="Same Month Expiry"/>
    <n v="3053525"/>
    <n v="6308.2953"/>
    <n v="33.4114"/>
  </r>
  <r>
    <s v="17-Dec-2025"/>
    <x v="2"/>
    <s v="Week3-Dec-2025"/>
    <x v="3"/>
    <s v="Q3FY26"/>
    <s v="27-Jan-2026"/>
    <s v="Tuesday"/>
    <s v="Monthly - Tuesday"/>
    <s v="Monthly - Tuesday"/>
    <s v="Month+1 Expiry"/>
    <n v="80732"/>
    <n v="145.3079"/>
    <n v="1.6157"/>
  </r>
  <r>
    <s v="17-Dec-2025"/>
    <x v="2"/>
    <s v="Week3-Dec-2025"/>
    <x v="3"/>
    <s v="Q3FY26"/>
    <s v="24-Feb-2026"/>
    <s v="Tuesday"/>
    <s v="Monthly - Tuesday"/>
    <s v="Monthly - Tuesday"/>
    <s v="Month+2 Expiry"/>
    <n v="3475"/>
    <n v="6.2903"/>
    <n v="0.07539999999999999"/>
  </r>
  <r>
    <s v="17-Dec-2025"/>
    <x v="2"/>
    <s v="Week3-Dec-2025"/>
    <x v="3"/>
    <s v="Q3FY26"/>
    <s v="31-Mar-2026"/>
    <s v="Tuesday"/>
    <s v="Monthly - Tuesday"/>
    <s v="Monthly - Tuesday"/>
    <s v="Month+3 Expiry"/>
    <n v="678"/>
    <n v="1.4289"/>
    <n v="0.0279"/>
  </r>
  <r>
    <s v="17-Dec-2025"/>
    <x v="2"/>
    <s v="Week3-Dec-2025"/>
    <x v="3"/>
    <s v="Q3FY26"/>
    <s v="30-Jun-2026"/>
    <s v="Tuesday"/>
    <s v="Monthly - Tuesday"/>
    <s v="Monthly - Tuesday"/>
    <s v="Month+6 Expiry"/>
    <n v="0"/>
    <n v="0"/>
    <n v="0"/>
  </r>
  <r>
    <s v="17-Dec-2025"/>
    <x v="2"/>
    <s v="Week3-Dec-2025"/>
    <x v="3"/>
    <s v="Q3FY26"/>
    <s v="29-Sep-2026"/>
    <s v="Tuesday"/>
    <s v="Monthly - Tuesday"/>
    <s v="Monthly - Tuesday"/>
    <s v="Month+9 Expiry"/>
    <n v="0"/>
    <n v="0"/>
    <n v="0"/>
  </r>
  <r>
    <s v="18-Dec-2025"/>
    <x v="3"/>
    <s v="Week3-Dec-2025"/>
    <x v="3"/>
    <s v="Q3FY26"/>
    <s v="30-Dec-2025"/>
    <s v="Tuesday"/>
    <s v="Monthly - Tuesday"/>
    <s v="Monthly - Tuesday"/>
    <s v="Same Month Expiry"/>
    <n v="3644058"/>
    <n v="7524.2513"/>
    <n v="37.3143"/>
  </r>
  <r>
    <s v="18-Dec-2025"/>
    <x v="3"/>
    <s v="Week3-Dec-2025"/>
    <x v="3"/>
    <s v="Q3FY26"/>
    <s v="27-Jan-2026"/>
    <s v="Tuesday"/>
    <s v="Monthly - Tuesday"/>
    <s v="Monthly - Tuesday"/>
    <s v="Month+1 Expiry"/>
    <n v="130966"/>
    <n v="234.5682"/>
    <n v="2.3968"/>
  </r>
  <r>
    <s v="18-Dec-2025"/>
    <x v="3"/>
    <s v="Week3-Dec-2025"/>
    <x v="3"/>
    <s v="Q3FY26"/>
    <s v="24-Feb-2026"/>
    <s v="Tuesday"/>
    <s v="Monthly - Tuesday"/>
    <s v="Monthly - Tuesday"/>
    <s v="Month+2 Expiry"/>
    <n v="3173"/>
    <n v="5.6935"/>
    <n v="0.0636"/>
  </r>
  <r>
    <s v="18-Dec-2025"/>
    <x v="3"/>
    <s v="Week3-Dec-2025"/>
    <x v="3"/>
    <s v="Q3FY26"/>
    <s v="31-Mar-2026"/>
    <s v="Tuesday"/>
    <s v="Monthly - Tuesday"/>
    <s v="Monthly - Tuesday"/>
    <s v="Month+3 Expiry"/>
    <n v="779"/>
    <n v="1.6266"/>
    <n v="0.0257"/>
  </r>
  <r>
    <s v="18-Dec-2025"/>
    <x v="3"/>
    <s v="Week3-Dec-2025"/>
    <x v="3"/>
    <s v="Q3FY26"/>
    <s v="30-Jun-2026"/>
    <s v="Tuesday"/>
    <s v="Monthly - Tuesday"/>
    <s v="Monthly - Tuesday"/>
    <s v="Month+6 Expiry"/>
    <n v="0"/>
    <n v="0"/>
    <n v="0"/>
  </r>
  <r>
    <s v="18-Dec-2025"/>
    <x v="3"/>
    <s v="Week3-Dec-2025"/>
    <x v="3"/>
    <s v="Q3FY26"/>
    <s v="29-Sep-2026"/>
    <s v="Tuesday"/>
    <s v="Monthly - Tuesday"/>
    <s v="Monthly - Tuesday"/>
    <s v="Month+9 Expiry"/>
    <n v="0"/>
    <n v="0"/>
    <n v="0"/>
  </r>
  <r>
    <s v="19-Dec-2025"/>
    <x v="4"/>
    <s v="Week3-Dec-2025"/>
    <x v="3"/>
    <s v="Q3FY26"/>
    <s v="30-Dec-2025"/>
    <s v="Tuesday"/>
    <s v="Monthly - Tuesday"/>
    <s v="Monthly - Tuesday"/>
    <s v="Same Month Expiry"/>
    <n v="3605550"/>
    <n v="7427.5734"/>
    <n v="34.7288"/>
  </r>
  <r>
    <s v="19-Dec-2025"/>
    <x v="4"/>
    <s v="Week3-Dec-2025"/>
    <x v="3"/>
    <s v="Q3FY26"/>
    <s v="27-Jan-2026"/>
    <s v="Tuesday"/>
    <s v="Monthly - Tuesday"/>
    <s v="Monthly - Tuesday"/>
    <s v="Month+1 Expiry"/>
    <n v="102550"/>
    <n v="183.857"/>
    <n v="1.8372"/>
  </r>
  <r>
    <s v="19-Dec-2025"/>
    <x v="4"/>
    <s v="Week3-Dec-2025"/>
    <x v="3"/>
    <s v="Q3FY26"/>
    <s v="24-Feb-2026"/>
    <s v="Tuesday"/>
    <s v="Monthly - Tuesday"/>
    <s v="Monthly - Tuesday"/>
    <s v="Month+2 Expiry"/>
    <n v="2940"/>
    <n v="5.2924"/>
    <n v="0.0561"/>
  </r>
  <r>
    <s v="19-Dec-2025"/>
    <x v="4"/>
    <s v="Week3-Dec-2025"/>
    <x v="3"/>
    <s v="Q3FY26"/>
    <s v="31-Mar-2026"/>
    <s v="Tuesday"/>
    <s v="Monthly - Tuesday"/>
    <s v="Monthly - Tuesday"/>
    <s v="Month+3 Expiry"/>
    <n v="614"/>
    <n v="1.2753"/>
    <n v="0.0203"/>
  </r>
  <r>
    <s v="19-Dec-2025"/>
    <x v="4"/>
    <s v="Week3-Dec-2025"/>
    <x v="3"/>
    <s v="Q3FY26"/>
    <s v="30-Jun-2026"/>
    <s v="Tuesday"/>
    <s v="Monthly - Tuesday"/>
    <s v="Monthly - Tuesday"/>
    <s v="Month+6 Expiry"/>
    <n v="0"/>
    <n v="0"/>
    <n v="0"/>
  </r>
  <r>
    <s v="19-Dec-2025"/>
    <x v="4"/>
    <s v="Week3-Dec-2025"/>
    <x v="3"/>
    <s v="Q3FY26"/>
    <s v="29-Sep-2026"/>
    <s v="Tuesday"/>
    <s v="Monthly - Tuesday"/>
    <s v="Monthly - Tuesday"/>
    <s v="Month+9 Expiry"/>
    <n v="0"/>
    <n v="0"/>
    <n v="0"/>
  </r>
  <r>
    <s v="22-Dec-2025"/>
    <x v="0"/>
    <s v="Week4-Dec-2025"/>
    <x v="3"/>
    <s v="Q3FY26"/>
    <s v="30-Dec-2025"/>
    <s v="Tuesday"/>
    <s v="Monthly - Tuesday"/>
    <s v="Monthly - Tuesday"/>
    <s v="Same Month Expiry"/>
    <n v="3028061"/>
    <n v="6235.5817"/>
    <n v="25.9656"/>
  </r>
  <r>
    <s v="22-Dec-2025"/>
    <x v="0"/>
    <s v="Week4-Dec-2025"/>
    <x v="3"/>
    <s v="Q3FY26"/>
    <s v="27-Jan-2026"/>
    <s v="Tuesday"/>
    <s v="Monthly - Tuesday"/>
    <s v="Monthly - Tuesday"/>
    <s v="Month+1 Expiry"/>
    <n v="114264"/>
    <n v="204.6945"/>
    <n v="1.867"/>
  </r>
  <r>
    <s v="22-Dec-2025"/>
    <x v="0"/>
    <s v="Week4-Dec-2025"/>
    <x v="3"/>
    <s v="Q3FY26"/>
    <s v="24-Feb-2026"/>
    <s v="Tuesday"/>
    <s v="Monthly - Tuesday"/>
    <s v="Monthly - Tuesday"/>
    <s v="Month+2 Expiry"/>
    <n v="4171"/>
    <n v="7.4309"/>
    <n v="0.0613"/>
  </r>
  <r>
    <s v="22-Dec-2025"/>
    <x v="0"/>
    <s v="Week4-Dec-2025"/>
    <x v="3"/>
    <s v="Q3FY26"/>
    <s v="31-Mar-2026"/>
    <s v="Tuesday"/>
    <s v="Monthly - Tuesday"/>
    <s v="Monthly - Tuesday"/>
    <s v="Month+3 Expiry"/>
    <n v="769"/>
    <n v="1.5935"/>
    <n v="0.0283"/>
  </r>
  <r>
    <s v="22-Dec-2025"/>
    <x v="0"/>
    <s v="Week4-Dec-2025"/>
    <x v="3"/>
    <s v="Q3FY26"/>
    <s v="30-Jun-2026"/>
    <s v="Tuesday"/>
    <s v="Monthly - Tuesday"/>
    <s v="Monthly - Tuesday"/>
    <s v="Month+6 Expiry"/>
    <n v="0"/>
    <n v="0"/>
    <n v="0"/>
  </r>
  <r>
    <s v="22-Dec-2025"/>
    <x v="0"/>
    <s v="Week4-Dec-2025"/>
    <x v="3"/>
    <s v="Q3FY26"/>
    <s v="29-Sep-2026"/>
    <s v="Tuesday"/>
    <s v="Monthly - Tuesday"/>
    <s v="Monthly - Tuesday"/>
    <s v="Month+9 Expiry"/>
    <n v="0"/>
    <n v="0"/>
    <n v="0"/>
  </r>
  <r>
    <s v="23-Dec-2025"/>
    <x v="1"/>
    <s v="Week4-Dec-2025"/>
    <x v="3"/>
    <s v="Q3FY26"/>
    <s v="30-Dec-2025"/>
    <s v="Tuesday"/>
    <s v="Monthly - Tuesday"/>
    <s v="Monthly - Tuesday"/>
    <s v="Same Month Expiry"/>
    <n v="3342654"/>
    <n v="6890.1032"/>
    <n v="23.2278"/>
  </r>
  <r>
    <s v="23-Dec-2025"/>
    <x v="1"/>
    <s v="Week4-Dec-2025"/>
    <x v="3"/>
    <s v="Q3FY26"/>
    <s v="27-Jan-2026"/>
    <s v="Tuesday"/>
    <s v="Monthly - Tuesday"/>
    <s v="Monthly - Tuesday"/>
    <s v="Month+1 Expiry"/>
    <n v="103825"/>
    <n v="186.1183"/>
    <n v="1.6578"/>
  </r>
  <r>
    <s v="23-Dec-2025"/>
    <x v="1"/>
    <s v="Week4-Dec-2025"/>
    <x v="3"/>
    <s v="Q3FY26"/>
    <s v="24-Feb-2026"/>
    <s v="Tuesday"/>
    <s v="Monthly - Tuesday"/>
    <s v="Monthly - Tuesday"/>
    <s v="Month+2 Expiry"/>
    <n v="3727"/>
    <n v="6.6414"/>
    <n v="0.06469999999999999"/>
  </r>
  <r>
    <s v="23-Dec-2025"/>
    <x v="1"/>
    <s v="Week4-Dec-2025"/>
    <x v="3"/>
    <s v="Q3FY26"/>
    <s v="31-Mar-2026"/>
    <s v="Tuesday"/>
    <s v="Monthly - Tuesday"/>
    <s v="Monthly - Tuesday"/>
    <s v="Month+3 Expiry"/>
    <n v="1528"/>
    <n v="3.1606"/>
    <n v="0.0486"/>
  </r>
  <r>
    <s v="23-Dec-2025"/>
    <x v="1"/>
    <s v="Week4-Dec-2025"/>
    <x v="3"/>
    <s v="Q3FY26"/>
    <s v="30-Jun-2026"/>
    <s v="Tuesday"/>
    <s v="Monthly - Tuesday"/>
    <s v="Monthly - Tuesday"/>
    <s v="Month+6 Expiry"/>
    <n v="0"/>
    <n v="0"/>
    <n v="0"/>
  </r>
  <r>
    <s v="23-Dec-2025"/>
    <x v="1"/>
    <s v="Week4-Dec-2025"/>
    <x v="3"/>
    <s v="Q3FY26"/>
    <s v="29-Sep-2026"/>
    <s v="Tuesday"/>
    <s v="Monthly - Tuesday"/>
    <s v="Monthly - Tuesday"/>
    <s v="Month+9 Expiry"/>
    <n v="0"/>
    <n v="0"/>
    <n v="0"/>
  </r>
  <r>
    <s v="24-Dec-2025"/>
    <x v="2"/>
    <s v="Week4-Dec-2025"/>
    <x v="3"/>
    <s v="Q3FY26"/>
    <s v="30-Dec-2025"/>
    <s v="Tuesday"/>
    <s v="Monthly - Tuesday"/>
    <s v="Monthly - Tuesday"/>
    <s v="Same Month Expiry"/>
    <n v="6051130"/>
    <n v="12460.1771"/>
    <n v="32.3745"/>
  </r>
  <r>
    <s v="24-Dec-2025"/>
    <x v="2"/>
    <s v="Week4-Dec-2025"/>
    <x v="3"/>
    <s v="Q3FY26"/>
    <s v="27-Jan-2026"/>
    <s v="Tuesday"/>
    <s v="Monthly - Tuesday"/>
    <s v="Monthly - Tuesday"/>
    <s v="Month+1 Expiry"/>
    <n v="183087"/>
    <n v="328.1066"/>
    <n v="2.9802"/>
  </r>
  <r>
    <s v="24-Dec-2025"/>
    <x v="2"/>
    <s v="Week4-Dec-2025"/>
    <x v="3"/>
    <s v="Q3FY26"/>
    <s v="24-Feb-2026"/>
    <s v="Tuesday"/>
    <s v="Monthly - Tuesday"/>
    <s v="Monthly - Tuesday"/>
    <s v="Month+2 Expiry"/>
    <n v="6487"/>
    <n v="11.6971"/>
    <n v="0.1201"/>
  </r>
  <r>
    <s v="24-Dec-2025"/>
    <x v="2"/>
    <s v="Week4-Dec-2025"/>
    <x v="3"/>
    <s v="Q3FY26"/>
    <s v="31-Mar-2026"/>
    <s v="Tuesday"/>
    <s v="Monthly - Tuesday"/>
    <s v="Monthly - Tuesday"/>
    <s v="Month+3 Expiry"/>
    <n v="1812"/>
    <n v="3.8454"/>
    <n v="0.0725"/>
  </r>
  <r>
    <s v="24-Dec-2025"/>
    <x v="2"/>
    <s v="Week4-Dec-2025"/>
    <x v="3"/>
    <s v="Q3FY26"/>
    <s v="30-Jun-2026"/>
    <s v="Tuesday"/>
    <s v="Monthly - Tuesday"/>
    <s v="Monthly - Tuesday"/>
    <s v="Month+6 Expiry"/>
    <n v="0"/>
    <n v="0"/>
    <n v="0"/>
  </r>
  <r>
    <s v="24-Dec-2025"/>
    <x v="2"/>
    <s v="Week4-Dec-2025"/>
    <x v="3"/>
    <s v="Q3FY26"/>
    <s v="29-Sep-2026"/>
    <s v="Tuesday"/>
    <s v="Monthly - Tuesday"/>
    <s v="Monthly - Tuesday"/>
    <s v="Month+9 Expiry"/>
    <n v="0"/>
    <n v="0"/>
    <n v="0"/>
  </r>
  <r>
    <s v="26-Dec-2025"/>
    <x v="4"/>
    <s v="Week4-Dec-2025"/>
    <x v="3"/>
    <s v="Q3FY26"/>
    <s v="30-Dec-2025"/>
    <s v="Tuesday"/>
    <s v="Monthly - Tuesday"/>
    <s v="Monthly - Tuesday"/>
    <s v="Same Month Expiry"/>
    <n v="9201123"/>
    <n v="18815.8161"/>
    <n v="40.2661"/>
  </r>
  <r>
    <s v="26-Dec-2025"/>
    <x v="4"/>
    <s v="Week4-Dec-2025"/>
    <x v="3"/>
    <s v="Q3FY26"/>
    <s v="27-Jan-2026"/>
    <s v="Tuesday"/>
    <s v="Monthly - Tuesday"/>
    <s v="Monthly - Tuesday"/>
    <s v="Month+1 Expiry"/>
    <n v="260010"/>
    <n v="465.4661"/>
    <n v="4.4732"/>
  </r>
  <r>
    <s v="26-Dec-2025"/>
    <x v="4"/>
    <s v="Week4-Dec-2025"/>
    <x v="3"/>
    <s v="Q3FY26"/>
    <s v="24-Feb-2026"/>
    <s v="Tuesday"/>
    <s v="Monthly - Tuesday"/>
    <s v="Monthly - Tuesday"/>
    <s v="Month+2 Expiry"/>
    <n v="10395"/>
    <n v="18.6006"/>
    <n v="0.1798"/>
  </r>
  <r>
    <s v="26-Dec-2025"/>
    <x v="4"/>
    <s v="Week4-Dec-2025"/>
    <x v="3"/>
    <s v="Q3FY26"/>
    <s v="31-Mar-2026"/>
    <s v="Tuesday"/>
    <s v="Monthly - Tuesday"/>
    <s v="Monthly - Tuesday"/>
    <s v="Month+3 Expiry"/>
    <n v="1782"/>
    <n v="3.7052"/>
    <n v="0.0594"/>
  </r>
  <r>
    <s v="26-Dec-2025"/>
    <x v="4"/>
    <s v="Week4-Dec-2025"/>
    <x v="3"/>
    <s v="Q3FY26"/>
    <s v="30-Jun-2026"/>
    <s v="Tuesday"/>
    <s v="Monthly - Tuesday"/>
    <s v="Monthly - Tuesday"/>
    <s v="Month+6 Expiry"/>
    <n v="0"/>
    <n v="0"/>
    <n v="0"/>
  </r>
  <r>
    <s v="26-Dec-2025"/>
    <x v="4"/>
    <s v="Week4-Dec-2025"/>
    <x v="3"/>
    <s v="Q3FY26"/>
    <s v="29-Sep-2026"/>
    <s v="Tuesday"/>
    <s v="Monthly - Tuesday"/>
    <s v="Monthly - Tuesday"/>
    <s v="Month+9 Expiry"/>
    <n v="0"/>
    <n v="0"/>
    <n v="0"/>
  </r>
  <r>
    <s v="29-Dec-2025"/>
    <x v="0"/>
    <s v="Week5-Dec-2025"/>
    <x v="3"/>
    <s v="Q3FY26"/>
    <s v="30-Dec-2025"/>
    <s v="Tuesday"/>
    <s v="Monthly - Tuesday"/>
    <s v="Monthly - Tuesday"/>
    <s v="Same Month Expiry"/>
    <n v="17345726"/>
    <n v="35369.2564"/>
    <n v="56.5287"/>
  </r>
  <r>
    <s v="29-Dec-2025"/>
    <x v="0"/>
    <s v="Week5-Dec-2025"/>
    <x v="3"/>
    <s v="Q3FY26"/>
    <s v="27-Jan-2026"/>
    <s v="Tuesday"/>
    <s v="Monthly - Tuesday"/>
    <s v="Monthly - Tuesday"/>
    <s v="Month+1 Expiry"/>
    <n v="363743"/>
    <n v="650.4281"/>
    <n v="6.4892"/>
  </r>
  <r>
    <s v="29-Dec-2025"/>
    <x v="0"/>
    <s v="Week5-Dec-2025"/>
    <x v="3"/>
    <s v="Q3FY26"/>
    <s v="24-Feb-2026"/>
    <s v="Tuesday"/>
    <s v="Monthly - Tuesday"/>
    <s v="Monthly - Tuesday"/>
    <s v="Month+2 Expiry"/>
    <n v="15249"/>
    <n v="27.0915"/>
    <n v="0.2339"/>
  </r>
  <r>
    <s v="29-Dec-2025"/>
    <x v="0"/>
    <s v="Week5-Dec-2025"/>
    <x v="3"/>
    <s v="Q3FY26"/>
    <s v="30-Mar-2026"/>
    <s v="Monday"/>
    <s v="Monthly - Monday"/>
    <s v="Monthly - Monday"/>
    <s v="Month+3 Expiry"/>
    <n v="4448"/>
    <n v="9.1615"/>
    <n v="0.149"/>
  </r>
  <r>
    <s v="29-Dec-2025"/>
    <x v="0"/>
    <s v="Week5-Dec-2025"/>
    <x v="3"/>
    <s v="Q3FY26"/>
    <s v="30-Jun-2026"/>
    <s v="Tuesday"/>
    <s v="Monthly - Tuesday"/>
    <s v="Monthly - Tuesday"/>
    <s v="Month+6 Expiry"/>
    <n v="0"/>
    <n v="0"/>
    <n v="0"/>
  </r>
  <r>
    <s v="29-Dec-2025"/>
    <x v="0"/>
    <s v="Week5-Dec-2025"/>
    <x v="3"/>
    <s v="Q3FY26"/>
    <s v="29-Sep-2026"/>
    <s v="Tuesday"/>
    <s v="Monthly - Tuesday"/>
    <s v="Monthly - Tuesday"/>
    <s v="Month+9 Expiry"/>
    <n v="0"/>
    <n v="0"/>
    <n v="0"/>
  </r>
  <r>
    <s v="30-Dec-2025"/>
    <x v="1"/>
    <s v="Week5-Dec-2025"/>
    <x v="3"/>
    <s v="Q3FY26"/>
    <s v="30-Dec-2025"/>
    <s v="Tuesday"/>
    <s v="Monthly - Tuesday"/>
    <s v="Monthly - Tuesday"/>
    <s v="Same Month Expiry"/>
    <n v="78603896"/>
    <n v="160321.2023"/>
    <n v="131.0123"/>
  </r>
  <r>
    <s v="30-Dec-2025"/>
    <x v="1"/>
    <s v="Week5-Dec-2025"/>
    <x v="3"/>
    <s v="Q3FY26"/>
    <s v="27-Jan-2026"/>
    <s v="Tuesday"/>
    <s v="Monthly - Tuesday"/>
    <s v="Monthly - Tuesday"/>
    <s v="Month+1 Expiry"/>
    <n v="765819"/>
    <n v="1363.3819"/>
    <n v="12.1024"/>
  </r>
  <r>
    <s v="30-Dec-2025"/>
    <x v="1"/>
    <s v="Week5-Dec-2025"/>
    <x v="3"/>
    <s v="Q3FY26"/>
    <s v="24-Feb-2026"/>
    <s v="Tuesday"/>
    <s v="Monthly - Tuesday"/>
    <s v="Monthly - Tuesday"/>
    <s v="Month+2 Expiry"/>
    <n v="12656"/>
    <n v="22.8036"/>
    <n v="0.2343"/>
  </r>
  <r>
    <s v="30-Dec-2025"/>
    <x v="1"/>
    <s v="Week5-Dec-2025"/>
    <x v="3"/>
    <s v="Q3FY26"/>
    <s v="30-Mar-2026"/>
    <s v="Monday"/>
    <s v="Monthly - Monday"/>
    <s v="Monthly - Monday"/>
    <s v="Month+3 Expiry"/>
    <n v="4061"/>
    <n v="8.429500000000001"/>
    <n v="0.1191"/>
  </r>
  <r>
    <s v="30-Dec-2025"/>
    <x v="1"/>
    <s v="Week5-Dec-2025"/>
    <x v="3"/>
    <s v="Q3FY26"/>
    <s v="30-Jun-2026"/>
    <s v="Tuesday"/>
    <s v="Monthly - Tuesday"/>
    <s v="Monthly - Tuesday"/>
    <s v="Month+6 Expiry"/>
    <n v="0"/>
    <n v="0"/>
    <n v="0"/>
  </r>
  <r>
    <s v="30-Dec-2025"/>
    <x v="1"/>
    <s v="Week5-Dec-2025"/>
    <x v="3"/>
    <s v="Q3FY26"/>
    <s v="29-Sep-2026"/>
    <s v="Tuesday"/>
    <s v="Monthly - Tuesday"/>
    <s v="Monthly - Tuesday"/>
    <s v="Month+9 Expiry"/>
    <n v="0"/>
    <n v="0"/>
    <n v="0"/>
  </r>
  <r>
    <s v="31-Dec-2025"/>
    <x v="2"/>
    <s v="Week5-Dec-2025"/>
    <x v="3"/>
    <s v="Q3FY26"/>
    <s v="27-Jan-2026"/>
    <s v="Tuesday"/>
    <s v="Monthly - Tuesday"/>
    <s v="Monthly - Tuesday"/>
    <s v="Month+1 Expiry"/>
    <n v="2192565"/>
    <n v="3925.0769"/>
    <n v="28.5819"/>
  </r>
  <r>
    <s v="31-Dec-2025"/>
    <x v="2"/>
    <s v="Week5-Dec-2025"/>
    <x v="3"/>
    <s v="Q3FY26"/>
    <s v="24-Feb-2026"/>
    <s v="Tuesday"/>
    <s v="Monthly - Tuesday"/>
    <s v="Monthly - Tuesday"/>
    <s v="Month+2 Expiry"/>
    <n v="27378"/>
    <n v="49.6313"/>
    <n v="0.4528"/>
  </r>
  <r>
    <s v="31-Dec-2025"/>
    <x v="2"/>
    <s v="Week5-Dec-2025"/>
    <x v="3"/>
    <s v="Q3FY26"/>
    <s v="30-Mar-2026"/>
    <s v="Monday"/>
    <s v="Monthly - Monday"/>
    <s v="Monthly - Monday"/>
    <s v="Month+3 Expiry"/>
    <n v="7104"/>
    <n v="12.9174"/>
    <n v="0.2014"/>
  </r>
  <r>
    <s v="31-Dec-2025"/>
    <x v="2"/>
    <s v="Week5-Dec-2025"/>
    <x v="3"/>
    <s v="Q3FY26"/>
    <s v="30-Jun-2026"/>
    <s v="Tuesday"/>
    <s v="Monthly - Tuesday"/>
    <s v="Monthly - Tuesday"/>
    <s v="Month+6 Expiry"/>
    <n v="0"/>
    <n v="0"/>
    <n v="0"/>
  </r>
  <r>
    <s v="31-Dec-2025"/>
    <x v="2"/>
    <s v="Week5-Dec-2025"/>
    <x v="3"/>
    <s v="Q3FY26"/>
    <s v="29-Sep-2026"/>
    <s v="Tuesday"/>
    <s v="Monthly - Tuesday"/>
    <s v="Monthly - Tuesday"/>
    <s v="Month+9 Expiry"/>
    <n v="0"/>
    <n v="0"/>
    <n v="0"/>
  </r>
  <r>
    <s v="31-Dec-2025"/>
    <x v="2"/>
    <s v="Week5-Dec-2025"/>
    <x v="3"/>
    <s v="Q3FY26"/>
    <s v="29-Dec-2026"/>
    <s v="Tuesday"/>
    <s v="Monthly - Tuesday"/>
    <s v="Monthly - Tuesday"/>
    <s v="Month+12 Expiry"/>
    <n v="0"/>
    <n v="0"/>
    <n v="0"/>
  </r>
  <r>
    <s v="01-Jan-2026"/>
    <x v="3"/>
    <s v="Week1-Jan-2026"/>
    <x v="4"/>
    <s v="Q4FY26"/>
    <s v="27-Jan-2026"/>
    <s v="Tuesday"/>
    <s v="Monthly - Tuesday"/>
    <s v="Monthly - Tuesday"/>
    <s v="Same Month Expiry"/>
    <n v="1218064"/>
    <n v="2177.2118"/>
    <n v="15.9139"/>
  </r>
  <r>
    <s v="01-Jan-2026"/>
    <x v="3"/>
    <s v="Week1-Jan-2026"/>
    <x v="4"/>
    <s v="Q4FY26"/>
    <s v="24-Feb-2026"/>
    <s v="Tuesday"/>
    <s v="Monthly - Tuesday"/>
    <s v="Monthly - Tuesday"/>
    <s v="Month+1 Expiry"/>
    <n v="11460"/>
    <n v="20.7034"/>
    <n v="0.2093"/>
  </r>
  <r>
    <s v="01-Jan-2026"/>
    <x v="3"/>
    <s v="Week1-Jan-2026"/>
    <x v="4"/>
    <s v="Q4FY26"/>
    <s v="30-Mar-2026"/>
    <s v="Monday"/>
    <s v="Monthly - Monday"/>
    <s v="Monthly - Monday"/>
    <s v="Month+2 Expiry"/>
    <n v="1868"/>
    <n v="3.3504"/>
    <n v="0.0403"/>
  </r>
  <r>
    <s v="01-Jan-2026"/>
    <x v="3"/>
    <s v="Week1-Jan-2026"/>
    <x v="4"/>
    <s v="Q4FY26"/>
    <s v="30-Jun-2026"/>
    <s v="Tuesday"/>
    <s v="Monthly - Tuesday"/>
    <s v="Monthly - Tuesday"/>
    <s v="Month+5 Expiry"/>
    <n v="0"/>
    <n v="0"/>
    <n v="0"/>
  </r>
  <r>
    <s v="01-Jan-2026"/>
    <x v="3"/>
    <s v="Week1-Jan-2026"/>
    <x v="4"/>
    <s v="Q4FY26"/>
    <s v="29-Sep-2026"/>
    <s v="Tuesday"/>
    <s v="Monthly - Tuesday"/>
    <s v="Monthly - Tuesday"/>
    <s v="Month+8 Expiry"/>
    <n v="0"/>
    <n v="0"/>
    <n v="0"/>
  </r>
  <r>
    <s v="01-Jan-2026"/>
    <x v="3"/>
    <s v="Week1-Jan-2026"/>
    <x v="4"/>
    <s v="Q4FY26"/>
    <s v="29-Dec-2026"/>
    <s v="Tuesday"/>
    <s v="Monthly - Tuesday"/>
    <s v="Monthly - Tuesday"/>
    <s v="Month+11 Expiry"/>
    <n v="0"/>
    <n v="0"/>
    <n v="0"/>
  </r>
  <r>
    <s v="02-Jan-2026"/>
    <x v="4"/>
    <s v="Week1-Jan-2026"/>
    <x v="4"/>
    <s v="Q4FY26"/>
    <s v="27-Jan-2026"/>
    <s v="Tuesday"/>
    <s v="Monthly - Tuesday"/>
    <s v="Monthly - Tuesday"/>
    <s v="Same Month Expiry"/>
    <n v="2233318"/>
    <n v="4015.0791"/>
    <n v="28.0359"/>
  </r>
  <r>
    <s v="02-Jan-2026"/>
    <x v="4"/>
    <s v="Week1-Jan-2026"/>
    <x v="4"/>
    <s v="Q4FY26"/>
    <s v="24-Feb-2026"/>
    <s v="Tuesday"/>
    <s v="Monthly - Tuesday"/>
    <s v="Monthly - Tuesday"/>
    <s v="Month+1 Expiry"/>
    <n v="31896"/>
    <n v="57.9701"/>
    <n v="0.576"/>
  </r>
  <r>
    <s v="02-Jan-2026"/>
    <x v="4"/>
    <s v="Week1-Jan-2026"/>
    <x v="4"/>
    <s v="Q4FY26"/>
    <s v="30-Mar-2026"/>
    <s v="Monday"/>
    <s v="Monthly - Monday"/>
    <s v="Monthly - Monday"/>
    <s v="Month+2 Expiry"/>
    <n v="6090"/>
    <n v="11.0708"/>
    <n v="0.1589"/>
  </r>
  <r>
    <s v="02-Jan-2026"/>
    <x v="4"/>
    <s v="Week1-Jan-2026"/>
    <x v="4"/>
    <s v="Q4FY26"/>
    <s v="30-Jun-2026"/>
    <s v="Tuesday"/>
    <s v="Monthly - Tuesday"/>
    <s v="Monthly - Tuesday"/>
    <s v="Month+5 Expiry"/>
    <n v="0"/>
    <n v="0"/>
    <n v="0"/>
  </r>
  <r>
    <s v="02-Jan-2026"/>
    <x v="4"/>
    <s v="Week1-Jan-2026"/>
    <x v="4"/>
    <s v="Q4FY26"/>
    <s v="29-Sep-2026"/>
    <s v="Tuesday"/>
    <s v="Monthly - Tuesday"/>
    <s v="Monthly - Tuesday"/>
    <s v="Month+8 Expiry"/>
    <n v="0"/>
    <n v="0"/>
    <n v="0"/>
  </r>
  <r>
    <s v="02-Jan-2026"/>
    <x v="4"/>
    <s v="Week1-Jan-2026"/>
    <x v="4"/>
    <s v="Q4FY26"/>
    <s v="29-Dec-2026"/>
    <s v="Tuesday"/>
    <s v="Monthly - Tuesday"/>
    <s v="Monthly - Tuesday"/>
    <s v="Month+11 Expiry"/>
    <n v="0"/>
    <n v="0"/>
    <n v="0"/>
  </r>
  <r>
    <s v="05-Jan-2026"/>
    <x v="0"/>
    <s v="Week1-Jan-2026"/>
    <x v="4"/>
    <s v="Q4FY26"/>
    <s v="27-Jan-2026"/>
    <s v="Tuesday"/>
    <s v="Monthly - Tuesday"/>
    <s v="Monthly - Tuesday"/>
    <s v="Same Month Expiry"/>
    <n v="2557337"/>
    <n v="4614.8139"/>
    <n v="31.1752"/>
  </r>
  <r>
    <s v="05-Jan-2026"/>
    <x v="0"/>
    <s v="Week1-Jan-2026"/>
    <x v="4"/>
    <s v="Q4FY26"/>
    <s v="24-Feb-2026"/>
    <s v="Tuesday"/>
    <s v="Monthly - Tuesday"/>
    <s v="Monthly - Tuesday"/>
    <s v="Month+1 Expiry"/>
    <n v="26875"/>
    <n v="48.8995"/>
    <n v="0.4874"/>
  </r>
  <r>
    <s v="05-Jan-2026"/>
    <x v="0"/>
    <s v="Week1-Jan-2026"/>
    <x v="4"/>
    <s v="Q4FY26"/>
    <s v="30-Mar-2026"/>
    <s v="Monday"/>
    <s v="Monthly - Monday"/>
    <s v="Monthly - Monday"/>
    <s v="Month+2 Expiry"/>
    <n v="6279"/>
    <n v="11.495"/>
    <n v="0.1501"/>
  </r>
  <r>
    <s v="05-Jan-2026"/>
    <x v="0"/>
    <s v="Week1-Jan-2026"/>
    <x v="4"/>
    <s v="Q4FY26"/>
    <s v="30-Jun-2026"/>
    <s v="Tuesday"/>
    <s v="Monthly - Tuesday"/>
    <s v="Monthly - Tuesday"/>
    <s v="Month+5 Expiry"/>
    <n v="0"/>
    <n v="0"/>
    <n v="0"/>
  </r>
  <r>
    <s v="05-Jan-2026"/>
    <x v="0"/>
    <s v="Week1-Jan-2026"/>
    <x v="4"/>
    <s v="Q4FY26"/>
    <s v="29-Sep-2026"/>
    <s v="Tuesday"/>
    <s v="Monthly - Tuesday"/>
    <s v="Monthly - Tuesday"/>
    <s v="Month+8 Expiry"/>
    <n v="0"/>
    <n v="0"/>
    <n v="0"/>
  </r>
  <r>
    <s v="05-Jan-2026"/>
    <x v="0"/>
    <s v="Week1-Jan-2026"/>
    <x v="4"/>
    <s v="Q4FY26"/>
    <s v="29-Dec-2026"/>
    <s v="Tuesday"/>
    <s v="Monthly - Tuesday"/>
    <s v="Monthly - Tuesday"/>
    <s v="Month+11 Expiry"/>
    <n v="0"/>
    <n v="0"/>
    <n v="0"/>
  </r>
  <r>
    <s v="06-Jan-2026"/>
    <x v="1"/>
    <s v="Week1-Jan-2026"/>
    <x v="4"/>
    <s v="Q4FY26"/>
    <s v="27-Jan-2026"/>
    <s v="Tuesday"/>
    <s v="Monthly - Tuesday"/>
    <s v="Monthly - Tuesday"/>
    <s v="Same Month Expiry"/>
    <n v="2102559"/>
    <n v="3794.1032"/>
    <n v="25.7269"/>
  </r>
  <r>
    <s v="06-Jan-2026"/>
    <x v="1"/>
    <s v="Week1-Jan-2026"/>
    <x v="4"/>
    <s v="Q4FY26"/>
    <s v="24-Feb-2026"/>
    <s v="Tuesday"/>
    <s v="Monthly - Tuesday"/>
    <s v="Monthly - Tuesday"/>
    <s v="Month+1 Expiry"/>
    <n v="27710"/>
    <n v="50.0622"/>
    <n v="0.425"/>
  </r>
  <r>
    <s v="06-Jan-2026"/>
    <x v="1"/>
    <s v="Week1-Jan-2026"/>
    <x v="4"/>
    <s v="Q4FY26"/>
    <s v="30-Mar-2026"/>
    <s v="Monday"/>
    <s v="Monthly - Monday"/>
    <s v="Monthly - Monday"/>
    <s v="Month+2 Expiry"/>
    <n v="3017"/>
    <n v="5.5017"/>
    <n v="0.06909999999999999"/>
  </r>
  <r>
    <s v="06-Jan-2026"/>
    <x v="1"/>
    <s v="Week1-Jan-2026"/>
    <x v="4"/>
    <s v="Q4FY26"/>
    <s v="30-Jun-2026"/>
    <s v="Tuesday"/>
    <s v="Monthly - Tuesday"/>
    <s v="Monthly - Tuesday"/>
    <s v="Month+5 Expiry"/>
    <n v="0"/>
    <n v="0"/>
    <n v="0"/>
  </r>
  <r>
    <s v="06-Jan-2026"/>
    <x v="1"/>
    <s v="Week1-Jan-2026"/>
    <x v="4"/>
    <s v="Q4FY26"/>
    <s v="29-Sep-2026"/>
    <s v="Tuesday"/>
    <s v="Monthly - Tuesday"/>
    <s v="Monthly - Tuesday"/>
    <s v="Month+8 Expiry"/>
    <n v="0"/>
    <n v="0"/>
    <n v="0"/>
  </r>
  <r>
    <s v="06-Jan-2026"/>
    <x v="1"/>
    <s v="Week1-Jan-2026"/>
    <x v="4"/>
    <s v="Q4FY26"/>
    <s v="29-Dec-2026"/>
    <s v="Tuesday"/>
    <s v="Monthly - Tuesday"/>
    <s v="Monthly - Tuesday"/>
    <s v="Month+11 Expiry"/>
    <n v="0"/>
    <n v="0"/>
    <n v="0"/>
  </r>
  <r>
    <s v="07-Jan-2026"/>
    <x v="2"/>
    <s v="Week1-Jan-2026"/>
    <x v="4"/>
    <s v="Q4FY26"/>
    <s v="27-Jan-2026"/>
    <s v="Tuesday"/>
    <s v="Monthly - Tuesday"/>
    <s v="Monthly - Tuesday"/>
    <s v="Same Month Expiry"/>
    <n v="2284207"/>
    <n v="4099.624"/>
    <n v="27.5345"/>
  </r>
  <r>
    <s v="07-Jan-2026"/>
    <x v="2"/>
    <s v="Week1-Jan-2026"/>
    <x v="4"/>
    <s v="Q4FY26"/>
    <s v="24-Feb-2026"/>
    <s v="Tuesday"/>
    <s v="Monthly - Tuesday"/>
    <s v="Monthly - Tuesday"/>
    <s v="Month+1 Expiry"/>
    <n v="26715"/>
    <n v="48.5207"/>
    <n v="0.4817"/>
  </r>
  <r>
    <s v="07-Jan-2026"/>
    <x v="2"/>
    <s v="Week1-Jan-2026"/>
    <x v="4"/>
    <s v="Q4FY26"/>
    <s v="30-Mar-2026"/>
    <s v="Monday"/>
    <s v="Monthly - Monday"/>
    <s v="Monthly - Monday"/>
    <s v="Month+2 Expiry"/>
    <n v="3455"/>
    <n v="6.2252"/>
    <n v="0.07439999999999999"/>
  </r>
  <r>
    <s v="07-Jan-2026"/>
    <x v="2"/>
    <s v="Week1-Jan-2026"/>
    <x v="4"/>
    <s v="Q4FY26"/>
    <s v="30-Jun-2026"/>
    <s v="Tuesday"/>
    <s v="Monthly - Tuesday"/>
    <s v="Monthly - Tuesday"/>
    <s v="Month+5 Expiry"/>
    <n v="0"/>
    <n v="0"/>
    <n v="0"/>
  </r>
  <r>
    <s v="07-Jan-2026"/>
    <x v="2"/>
    <s v="Week1-Jan-2026"/>
    <x v="4"/>
    <s v="Q4FY26"/>
    <s v="29-Sep-2026"/>
    <s v="Tuesday"/>
    <s v="Monthly - Tuesday"/>
    <s v="Monthly - Tuesday"/>
    <s v="Month+8 Expiry"/>
    <n v="0"/>
    <n v="0"/>
    <n v="0"/>
  </r>
  <r>
    <s v="07-Jan-2026"/>
    <x v="2"/>
    <s v="Week1-Jan-2026"/>
    <x v="4"/>
    <s v="Q4FY26"/>
    <s v="29-Dec-2026"/>
    <s v="Tuesday"/>
    <s v="Monthly - Tuesday"/>
    <s v="Monthly - Tuesday"/>
    <s v="Month+11 Expiry"/>
    <n v="0"/>
    <n v="0"/>
    <n v="0"/>
  </r>
  <r>
    <s v="08-Jan-2026"/>
    <x v="3"/>
    <s v="Week2-Jan-2026"/>
    <x v="4"/>
    <s v="Q4FY26"/>
    <s v="27-Jan-2026"/>
    <s v="Tuesday"/>
    <s v="Monthly - Tuesday"/>
    <s v="Monthly - Tuesday"/>
    <s v="Same Month Expiry"/>
    <n v="3139153"/>
    <n v="5616.444"/>
    <n v="36.0132"/>
  </r>
  <r>
    <s v="08-Jan-2026"/>
    <x v="3"/>
    <s v="Week2-Jan-2026"/>
    <x v="4"/>
    <s v="Q4FY26"/>
    <s v="24-Feb-2026"/>
    <s v="Tuesday"/>
    <s v="Monthly - Tuesday"/>
    <s v="Monthly - Tuesday"/>
    <s v="Month+1 Expiry"/>
    <n v="40476"/>
    <n v="73.50369999999999"/>
    <n v="0.8032"/>
  </r>
  <r>
    <s v="08-Jan-2026"/>
    <x v="3"/>
    <s v="Week2-Jan-2026"/>
    <x v="4"/>
    <s v="Q4FY26"/>
    <s v="30-Mar-2026"/>
    <s v="Monday"/>
    <s v="Monthly - Monday"/>
    <s v="Monthly - Monday"/>
    <s v="Month+2 Expiry"/>
    <n v="5459"/>
    <n v="9.8263"/>
    <n v="0.1239"/>
  </r>
  <r>
    <s v="08-Jan-2026"/>
    <x v="3"/>
    <s v="Week2-Jan-2026"/>
    <x v="4"/>
    <s v="Q4FY26"/>
    <s v="30-Jun-2026"/>
    <s v="Tuesday"/>
    <s v="Monthly - Tuesday"/>
    <s v="Monthly - Tuesday"/>
    <s v="Month+5 Expiry"/>
    <n v="0"/>
    <n v="0"/>
    <n v="0"/>
  </r>
  <r>
    <s v="08-Jan-2026"/>
    <x v="3"/>
    <s v="Week2-Jan-2026"/>
    <x v="4"/>
    <s v="Q4FY26"/>
    <s v="29-Sep-2026"/>
    <s v="Tuesday"/>
    <s v="Monthly - Tuesday"/>
    <s v="Monthly - Tuesday"/>
    <s v="Month+8 Expiry"/>
    <n v="0"/>
    <n v="0"/>
    <n v="0"/>
  </r>
  <r>
    <s v="08-Jan-2026"/>
    <x v="3"/>
    <s v="Week2-Jan-2026"/>
    <x v="4"/>
    <s v="Q4FY26"/>
    <s v="29-Dec-2026"/>
    <s v="Tuesday"/>
    <s v="Monthly - Tuesday"/>
    <s v="Monthly - Tuesday"/>
    <s v="Month+11 Expiry"/>
    <n v="0"/>
    <n v="0"/>
    <n v="0"/>
  </r>
  <r>
    <s v="09-Jan-2026"/>
    <x v="4"/>
    <s v="Week2-Jan-2026"/>
    <x v="4"/>
    <s v="Q4FY26"/>
    <s v="27-Jan-2026"/>
    <s v="Tuesday"/>
    <s v="Monthly - Tuesday"/>
    <s v="Monthly - Tuesday"/>
    <s v="Same Month Expiry"/>
    <n v="3354589"/>
    <n v="5968.3697"/>
    <n v="38.3911"/>
  </r>
  <r>
    <s v="09-Jan-2026"/>
    <x v="4"/>
    <s v="Week2-Jan-2026"/>
    <x v="4"/>
    <s v="Q4FY26"/>
    <s v="24-Feb-2026"/>
    <s v="Tuesday"/>
    <s v="Monthly - Tuesday"/>
    <s v="Monthly - Tuesday"/>
    <s v="Month+1 Expiry"/>
    <n v="50797"/>
    <n v="91.39449999999999"/>
    <n v="0.9806"/>
  </r>
  <r>
    <s v="09-Jan-2026"/>
    <x v="4"/>
    <s v="Week2-Jan-2026"/>
    <x v="4"/>
    <s v="Q4FY26"/>
    <s v="30-Mar-2026"/>
    <s v="Monday"/>
    <s v="Monthly - Monday"/>
    <s v="Monthly - Monday"/>
    <s v="Month+2 Expiry"/>
    <n v="6876"/>
    <n v="12.355"/>
    <n v="0.1439"/>
  </r>
  <r>
    <s v="09-Jan-2026"/>
    <x v="4"/>
    <s v="Week2-Jan-2026"/>
    <x v="4"/>
    <s v="Q4FY26"/>
    <s v="30-Jun-2026"/>
    <s v="Tuesday"/>
    <s v="Monthly - Tuesday"/>
    <s v="Monthly - Tuesday"/>
    <s v="Month+5 Expiry"/>
    <n v="0"/>
    <n v="0"/>
    <n v="0"/>
  </r>
  <r>
    <s v="09-Jan-2026"/>
    <x v="4"/>
    <s v="Week2-Jan-2026"/>
    <x v="4"/>
    <s v="Q4FY26"/>
    <s v="29-Sep-2026"/>
    <s v="Tuesday"/>
    <s v="Monthly - Tuesday"/>
    <s v="Monthly - Tuesday"/>
    <s v="Month+8 Expiry"/>
    <n v="0"/>
    <n v="0"/>
    <n v="0"/>
  </r>
  <r>
    <s v="09-Jan-2026"/>
    <x v="4"/>
    <s v="Week2-Jan-2026"/>
    <x v="4"/>
    <s v="Q4FY26"/>
    <s v="29-Dec-2026"/>
    <s v="Tuesday"/>
    <s v="Monthly - Tuesday"/>
    <s v="Monthly - Tuesday"/>
    <s v="Month+11 Expiry"/>
    <n v="0"/>
    <n v="0"/>
    <n v="0"/>
  </r>
  <r>
    <s v="12-Jan-2026"/>
    <x v="0"/>
    <s v="Week2-Jan-2026"/>
    <x v="4"/>
    <s v="Q4FY26"/>
    <s v="27-Jan-2026"/>
    <s v="Tuesday"/>
    <s v="Monthly - Tuesday"/>
    <s v="Monthly - Tuesday"/>
    <s v="Same Month Expiry"/>
    <n v="3762037"/>
    <n v="6674.6142"/>
    <n v="42.5627"/>
  </r>
  <r>
    <s v="12-Jan-2026"/>
    <x v="0"/>
    <s v="Week2-Jan-2026"/>
    <x v="4"/>
    <s v="Q4FY26"/>
    <s v="24-Feb-2026"/>
    <s v="Tuesday"/>
    <s v="Monthly - Tuesday"/>
    <s v="Monthly - Tuesday"/>
    <s v="Month+1 Expiry"/>
    <n v="55544"/>
    <n v="100.327"/>
    <n v="1.1241"/>
  </r>
  <r>
    <s v="12-Jan-2026"/>
    <x v="0"/>
    <s v="Week2-Jan-2026"/>
    <x v="4"/>
    <s v="Q4FY26"/>
    <s v="30-Mar-2026"/>
    <s v="Monday"/>
    <s v="Monthly - Monday"/>
    <s v="Monthly - Monday"/>
    <s v="Month+2 Expiry"/>
    <n v="7322"/>
    <n v="13.2247"/>
    <n v="0.1875"/>
  </r>
  <r>
    <s v="12-Jan-2026"/>
    <x v="0"/>
    <s v="Week2-Jan-2026"/>
    <x v="4"/>
    <s v="Q4FY26"/>
    <s v="30-Jun-2026"/>
    <s v="Tuesday"/>
    <s v="Monthly - Tuesday"/>
    <s v="Monthly - Tuesday"/>
    <s v="Month+5 Expiry"/>
    <n v="0"/>
    <n v="0"/>
    <n v="0"/>
  </r>
  <r>
    <s v="12-Jan-2026"/>
    <x v="0"/>
    <s v="Week2-Jan-2026"/>
    <x v="4"/>
    <s v="Q4FY26"/>
    <s v="29-Sep-2026"/>
    <s v="Tuesday"/>
    <s v="Monthly - Tuesday"/>
    <s v="Monthly - Tuesday"/>
    <s v="Month+8 Expiry"/>
    <n v="0"/>
    <n v="0"/>
    <n v="0"/>
  </r>
  <r>
    <s v="12-Jan-2026"/>
    <x v="0"/>
    <s v="Week2-Jan-2026"/>
    <x v="4"/>
    <s v="Q4FY26"/>
    <s v="29-Dec-2026"/>
    <s v="Tuesday"/>
    <s v="Monthly - Tuesday"/>
    <s v="Monthly - Tuesday"/>
    <s v="Month+11 Expiry"/>
    <n v="0"/>
    <n v="0"/>
    <n v="0"/>
  </r>
  <r>
    <s v="13-Jan-2026"/>
    <x v="1"/>
    <s v="Week2-Jan-2026"/>
    <x v="4"/>
    <s v="Q4FY26"/>
    <s v="27-Jan-2026"/>
    <s v="Tuesday"/>
    <s v="Monthly - Tuesday"/>
    <s v="Monthly - Tuesday"/>
    <s v="Same Month Expiry"/>
    <n v="3238380"/>
    <n v="5766.9734"/>
    <n v="37.2434"/>
  </r>
  <r>
    <s v="13-Jan-2026"/>
    <x v="1"/>
    <s v="Week2-Jan-2026"/>
    <x v="4"/>
    <s v="Q4FY26"/>
    <s v="24-Feb-2026"/>
    <s v="Tuesday"/>
    <s v="Monthly - Tuesday"/>
    <s v="Monthly - Tuesday"/>
    <s v="Month+1 Expiry"/>
    <n v="49313"/>
    <n v="89.47150000000001"/>
    <n v="0.9596"/>
  </r>
  <r>
    <s v="13-Jan-2026"/>
    <x v="1"/>
    <s v="Week2-Jan-2026"/>
    <x v="4"/>
    <s v="Q4FY26"/>
    <s v="30-Mar-2026"/>
    <s v="Monday"/>
    <s v="Monthly - Monday"/>
    <s v="Monthly - Monday"/>
    <s v="Month+2 Expiry"/>
    <n v="4454"/>
    <n v="7.9716"/>
    <n v="0.1017"/>
  </r>
  <r>
    <s v="13-Jan-2026"/>
    <x v="1"/>
    <s v="Week2-Jan-2026"/>
    <x v="4"/>
    <s v="Q4FY26"/>
    <s v="30-Jun-2026"/>
    <s v="Tuesday"/>
    <s v="Monthly - Tuesday"/>
    <s v="Monthly - Tuesday"/>
    <s v="Month+5 Expiry"/>
    <n v="0"/>
    <n v="0"/>
    <n v="0"/>
  </r>
  <r>
    <s v="13-Jan-2026"/>
    <x v="1"/>
    <s v="Week2-Jan-2026"/>
    <x v="4"/>
    <s v="Q4FY26"/>
    <s v="29-Sep-2026"/>
    <s v="Tuesday"/>
    <s v="Monthly - Tuesday"/>
    <s v="Monthly - Tuesday"/>
    <s v="Month+8 Expiry"/>
    <n v="0"/>
    <n v="0"/>
    <n v="0"/>
  </r>
  <r>
    <s v="13-Jan-2026"/>
    <x v="1"/>
    <s v="Week2-Jan-2026"/>
    <x v="4"/>
    <s v="Q4FY26"/>
    <s v="29-Dec-2026"/>
    <s v="Tuesday"/>
    <s v="Monthly - Tuesday"/>
    <s v="Monthly - Tuesday"/>
    <s v="Month+11 Expiry"/>
    <n v="0"/>
    <n v="0"/>
    <n v="0"/>
  </r>
  <r>
    <s v="14-Jan-2026"/>
    <x v="2"/>
    <s v="Week2-Jan-2026"/>
    <x v="4"/>
    <s v="Q4FY26"/>
    <s v="27-Jan-2026"/>
    <s v="Tuesday"/>
    <s v="Monthly - Tuesday"/>
    <s v="Monthly - Tuesday"/>
    <s v="Same Month Expiry"/>
    <n v="3079585"/>
    <n v="5497.3337"/>
    <n v="32.7671"/>
  </r>
  <r>
    <s v="14-Jan-2026"/>
    <x v="2"/>
    <s v="Week2-Jan-2026"/>
    <x v="4"/>
    <s v="Q4FY26"/>
    <s v="24-Feb-2026"/>
    <s v="Tuesday"/>
    <s v="Monthly - Tuesday"/>
    <s v="Monthly - Tuesday"/>
    <s v="Month+1 Expiry"/>
    <n v="39092"/>
    <n v="70.89230000000001"/>
    <n v="0.6888"/>
  </r>
  <r>
    <s v="14-Jan-2026"/>
    <x v="2"/>
    <s v="Week2-Jan-2026"/>
    <x v="4"/>
    <s v="Q4FY26"/>
    <s v="30-Mar-2026"/>
    <s v="Monday"/>
    <s v="Monthly - Monday"/>
    <s v="Monthly - Monday"/>
    <s v="Month+2 Expiry"/>
    <n v="4347"/>
    <n v="7.7901"/>
    <n v="0.09660000000000001"/>
  </r>
  <r>
    <s v="14-Jan-2026"/>
    <x v="2"/>
    <s v="Week2-Jan-2026"/>
    <x v="4"/>
    <s v="Q4FY26"/>
    <s v="30-Jun-2026"/>
    <s v="Tuesday"/>
    <s v="Monthly - Tuesday"/>
    <s v="Monthly - Tuesday"/>
    <s v="Month+5 Expiry"/>
    <n v="0"/>
    <n v="0"/>
    <n v="0"/>
  </r>
  <r>
    <s v="14-Jan-2026"/>
    <x v="2"/>
    <s v="Week2-Jan-2026"/>
    <x v="4"/>
    <s v="Q4FY26"/>
    <s v="29-Sep-2026"/>
    <s v="Tuesday"/>
    <s v="Monthly - Tuesday"/>
    <s v="Monthly - Tuesday"/>
    <s v="Month+8 Expiry"/>
    <n v="0"/>
    <n v="0"/>
    <n v="0"/>
  </r>
  <r>
    <s v="14-Jan-2026"/>
    <x v="2"/>
    <s v="Week2-Jan-2026"/>
    <x v="4"/>
    <s v="Q4FY26"/>
    <s v="29-Dec-2026"/>
    <s v="Tuesday"/>
    <s v="Monthly - Tuesday"/>
    <s v="Monthly - Tuesday"/>
    <s v="Month+11 Expiry"/>
    <n v="0"/>
    <n v="0"/>
    <n v="0"/>
  </r>
  <r>
    <s v="16-Jan-2026"/>
    <x v="4"/>
    <s v="Week3-Jan-2026"/>
    <x v="4"/>
    <s v="Q4FY26"/>
    <s v="27-Jan-2026"/>
    <s v="Tuesday"/>
    <s v="Monthly - Tuesday"/>
    <s v="Monthly - Tuesday"/>
    <s v="Same Month Expiry"/>
    <n v="4031567"/>
    <n v="7200.0263"/>
    <n v="39.0312"/>
  </r>
  <r>
    <s v="16-Jan-2026"/>
    <x v="4"/>
    <s v="Week3-Jan-2026"/>
    <x v="4"/>
    <s v="Q4FY26"/>
    <s v="24-Feb-2026"/>
    <s v="Tuesday"/>
    <s v="Monthly - Tuesday"/>
    <s v="Monthly - Tuesday"/>
    <s v="Month+1 Expiry"/>
    <n v="101397"/>
    <n v="184.1165"/>
    <n v="2.1661"/>
  </r>
  <r>
    <s v="16-Jan-2026"/>
    <x v="4"/>
    <s v="Week3-Jan-2026"/>
    <x v="4"/>
    <s v="Q4FY26"/>
    <s v="30-Mar-2026"/>
    <s v="Monday"/>
    <s v="Monthly - Monday"/>
    <s v="Monthly - Monday"/>
    <s v="Month+2 Expiry"/>
    <n v="8143"/>
    <n v="14.6256"/>
    <n v="0.2017"/>
  </r>
  <r>
    <s v="16-Jan-2026"/>
    <x v="4"/>
    <s v="Week3-Jan-2026"/>
    <x v="4"/>
    <s v="Q4FY26"/>
    <s v="30-Jun-2026"/>
    <s v="Tuesday"/>
    <s v="Monthly - Tuesday"/>
    <s v="Monthly - Tuesday"/>
    <s v="Month+5 Expiry"/>
    <n v="0"/>
    <n v="0"/>
    <n v="0"/>
  </r>
  <r>
    <s v="16-Jan-2026"/>
    <x v="4"/>
    <s v="Week3-Jan-2026"/>
    <x v="4"/>
    <s v="Q4FY26"/>
    <s v="29-Sep-2026"/>
    <s v="Tuesday"/>
    <s v="Monthly - Tuesday"/>
    <s v="Monthly - Tuesday"/>
    <s v="Month+8 Expiry"/>
    <n v="0"/>
    <n v="0"/>
    <n v="0"/>
  </r>
  <r>
    <s v="16-Jan-2026"/>
    <x v="4"/>
    <s v="Week3-Jan-2026"/>
    <x v="4"/>
    <s v="Q4FY26"/>
    <s v="29-Dec-2026"/>
    <s v="Tuesday"/>
    <s v="Monthly - Tuesday"/>
    <s v="Monthly - Tuesday"/>
    <s v="Month+11 Expiry"/>
    <n v="0"/>
    <n v="0"/>
    <n v="0"/>
  </r>
  <r>
    <s v="19-Jan-2026"/>
    <x v="0"/>
    <s v="Week3-Jan-2026"/>
    <x v="4"/>
    <s v="Q4FY26"/>
    <s v="27-Jan-2026"/>
    <s v="Tuesday"/>
    <s v="Monthly - Tuesday"/>
    <s v="Monthly - Tuesday"/>
    <s v="Same Month Expiry"/>
    <n v="4658716"/>
    <n v="8304.645500000001"/>
    <n v="36.5061"/>
  </r>
  <r>
    <s v="19-Jan-2026"/>
    <x v="0"/>
    <s v="Week3-Jan-2026"/>
    <x v="4"/>
    <s v="Q4FY26"/>
    <s v="24-Feb-2026"/>
    <s v="Tuesday"/>
    <s v="Monthly - Tuesday"/>
    <s v="Monthly - Tuesday"/>
    <s v="Month+1 Expiry"/>
    <n v="155196"/>
    <n v="282.2435"/>
    <n v="3.1913"/>
  </r>
  <r>
    <s v="19-Jan-2026"/>
    <x v="0"/>
    <s v="Week3-Jan-2026"/>
    <x v="4"/>
    <s v="Q4FY26"/>
    <s v="30-Mar-2026"/>
    <s v="Monday"/>
    <s v="Monthly - Monday"/>
    <s v="Monthly - Monday"/>
    <s v="Month+2 Expiry"/>
    <n v="7648"/>
    <n v="13.8489"/>
    <n v="0.158"/>
  </r>
  <r>
    <s v="19-Jan-2026"/>
    <x v="0"/>
    <s v="Week3-Jan-2026"/>
    <x v="4"/>
    <s v="Q4FY26"/>
    <s v="30-Jun-2026"/>
    <s v="Tuesday"/>
    <s v="Monthly - Tuesday"/>
    <s v="Monthly - Tuesday"/>
    <s v="Month+5 Expiry"/>
    <n v="0"/>
    <n v="0"/>
    <n v="0"/>
  </r>
  <r>
    <s v="19-Jan-2026"/>
    <x v="0"/>
    <s v="Week3-Jan-2026"/>
    <x v="4"/>
    <s v="Q4FY26"/>
    <s v="29-Sep-2026"/>
    <s v="Tuesday"/>
    <s v="Monthly - Tuesday"/>
    <s v="Monthly - Tuesday"/>
    <s v="Month+8 Expiry"/>
    <n v="0"/>
    <n v="0"/>
    <n v="0"/>
  </r>
  <r>
    <s v="19-Jan-2026"/>
    <x v="0"/>
    <s v="Week3-Jan-2026"/>
    <x v="4"/>
    <s v="Q4FY26"/>
    <s v="29-Dec-2026"/>
    <s v="Tuesday"/>
    <s v="Monthly - Tuesday"/>
    <s v="Monthly - Tuesday"/>
    <s v="Month+11 Expiry"/>
    <n v="0"/>
    <n v="0"/>
    <n v="0"/>
  </r>
  <r>
    <s v="20-Jan-2026"/>
    <x v="1"/>
    <s v="Week3-Jan-2026"/>
    <x v="4"/>
    <s v="Q4FY26"/>
    <s v="27-Jan-2026"/>
    <s v="Tuesday"/>
    <s v="Monthly - Tuesday"/>
    <s v="Monthly - Tuesday"/>
    <s v="Same Month Expiry"/>
    <n v="5101235"/>
    <n v="9015.57"/>
    <n v="38.4601"/>
  </r>
  <r>
    <s v="20-Jan-2026"/>
    <x v="1"/>
    <s v="Week3-Jan-2026"/>
    <x v="4"/>
    <s v="Q4FY26"/>
    <s v="24-Feb-2026"/>
    <s v="Tuesday"/>
    <s v="Monthly - Tuesday"/>
    <s v="Monthly - Tuesday"/>
    <s v="Month+1 Expiry"/>
    <n v="195951"/>
    <n v="354.9925"/>
    <n v="4.3073"/>
  </r>
  <r>
    <s v="20-Jan-2026"/>
    <x v="1"/>
    <s v="Week3-Jan-2026"/>
    <x v="4"/>
    <s v="Q4FY26"/>
    <s v="30-Mar-2026"/>
    <s v="Monday"/>
    <s v="Monthly - Monday"/>
    <s v="Monthly - Monday"/>
    <s v="Month+2 Expiry"/>
    <n v="10843"/>
    <n v="19.6779"/>
    <n v="0.2342"/>
  </r>
  <r>
    <s v="20-Jan-2026"/>
    <x v="1"/>
    <s v="Week3-Jan-2026"/>
    <x v="4"/>
    <s v="Q4FY26"/>
    <s v="30-Jun-2026"/>
    <s v="Tuesday"/>
    <s v="Monthly - Tuesday"/>
    <s v="Monthly - Tuesday"/>
    <s v="Month+5 Expiry"/>
    <n v="1"/>
    <n v="0.0019"/>
    <n v="0.0002"/>
  </r>
  <r>
    <s v="20-Jan-2026"/>
    <x v="1"/>
    <s v="Week3-Jan-2026"/>
    <x v="4"/>
    <s v="Q4FY26"/>
    <s v="29-Sep-2026"/>
    <s v="Tuesday"/>
    <s v="Monthly - Tuesday"/>
    <s v="Monthly - Tuesday"/>
    <s v="Month+8 Expiry"/>
    <n v="0"/>
    <n v="0"/>
    <n v="0"/>
  </r>
  <r>
    <s v="20-Jan-2026"/>
    <x v="1"/>
    <s v="Week3-Jan-2026"/>
    <x v="4"/>
    <s v="Q4FY26"/>
    <s v="29-Dec-2026"/>
    <s v="Tuesday"/>
    <s v="Monthly - Tuesday"/>
    <s v="Monthly - Tuesday"/>
    <s v="Month+11 Expiry"/>
    <n v="0"/>
    <n v="0"/>
    <n v="0"/>
  </r>
  <r>
    <s v="21-Jan-2026"/>
    <x v="2"/>
    <s v="Week3-Jan-2026"/>
    <x v="4"/>
    <s v="Q4FY26"/>
    <s v="27-Jan-2026"/>
    <s v="Tuesday"/>
    <s v="Monthly - Tuesday"/>
    <s v="Monthly - Tuesday"/>
    <s v="Same Month Expiry"/>
    <n v="12414213"/>
    <n v="21724.6153"/>
    <n v="84.83629999999999"/>
  </r>
  <r>
    <s v="21-Jan-2026"/>
    <x v="2"/>
    <s v="Week3-Jan-2026"/>
    <x v="4"/>
    <s v="Q4FY26"/>
    <s v="24-Feb-2026"/>
    <s v="Tuesday"/>
    <s v="Monthly - Tuesday"/>
    <s v="Monthly - Tuesday"/>
    <s v="Month+1 Expiry"/>
    <n v="372901"/>
    <n v="667.6104"/>
    <n v="7.5471"/>
  </r>
  <r>
    <s v="21-Jan-2026"/>
    <x v="2"/>
    <s v="Week3-Jan-2026"/>
    <x v="4"/>
    <s v="Q4FY26"/>
    <s v="30-Mar-2026"/>
    <s v="Monday"/>
    <s v="Monthly - Monday"/>
    <s v="Monthly - Monday"/>
    <s v="Month+2 Expiry"/>
    <n v="37571"/>
    <n v="67.33880000000001"/>
    <n v="0.9223"/>
  </r>
  <r>
    <s v="21-Jan-2026"/>
    <x v="2"/>
    <s v="Week3-Jan-2026"/>
    <x v="4"/>
    <s v="Q4FY26"/>
    <s v="30-Jun-2026"/>
    <s v="Tuesday"/>
    <s v="Monthly - Tuesday"/>
    <s v="Monthly - Tuesday"/>
    <s v="Month+5 Expiry"/>
    <n v="0"/>
    <n v="0"/>
    <n v="0"/>
  </r>
  <r>
    <s v="21-Jan-2026"/>
    <x v="2"/>
    <s v="Week3-Jan-2026"/>
    <x v="4"/>
    <s v="Q4FY26"/>
    <s v="29-Sep-2026"/>
    <s v="Tuesday"/>
    <s v="Monthly - Tuesday"/>
    <s v="Monthly - Tuesday"/>
    <s v="Month+8 Expiry"/>
    <n v="0"/>
    <n v="0"/>
    <n v="0"/>
  </r>
  <r>
    <s v="21-Jan-2026"/>
    <x v="2"/>
    <s v="Week3-Jan-2026"/>
    <x v="4"/>
    <s v="Q4FY26"/>
    <s v="29-Dec-2026"/>
    <s v="Tuesday"/>
    <s v="Monthly - Tuesday"/>
    <s v="Monthly - Tuesday"/>
    <s v="Month+11 Expiry"/>
    <n v="0"/>
    <n v="0"/>
    <n v="0"/>
  </r>
  <r>
    <s v="22-Jan-2026"/>
    <x v="3"/>
    <s v="Week4-Jan-2026"/>
    <x v="4"/>
    <s v="Q4FY26"/>
    <s v="27-Jan-2026"/>
    <s v="Tuesday"/>
    <s v="Monthly - Tuesday"/>
    <s v="Monthly - Tuesday"/>
    <s v="Same Month Expiry"/>
    <n v="9418009"/>
    <n v="16540.254"/>
    <n v="62.5835"/>
  </r>
  <r>
    <s v="22-Jan-2026"/>
    <x v="3"/>
    <s v="Week4-Jan-2026"/>
    <x v="4"/>
    <s v="Q4FY26"/>
    <s v="24-Feb-2026"/>
    <s v="Tuesday"/>
    <s v="Monthly - Tuesday"/>
    <s v="Monthly - Tuesday"/>
    <s v="Month+1 Expiry"/>
    <n v="287934"/>
    <n v="515.5237"/>
    <n v="5.984"/>
  </r>
  <r>
    <s v="22-Jan-2026"/>
    <x v="3"/>
    <s v="Week4-Jan-2026"/>
    <x v="4"/>
    <s v="Q4FY26"/>
    <s v="30-Mar-2026"/>
    <s v="Monday"/>
    <s v="Monthly - Monday"/>
    <s v="Monthly - Monday"/>
    <s v="Month+2 Expiry"/>
    <n v="19189"/>
    <n v="34.3047"/>
    <n v="0.4585"/>
  </r>
  <r>
    <s v="22-Jan-2026"/>
    <x v="3"/>
    <s v="Week4-Jan-2026"/>
    <x v="4"/>
    <s v="Q4FY26"/>
    <s v="30-Jun-2026"/>
    <s v="Tuesday"/>
    <s v="Monthly - Tuesday"/>
    <s v="Monthly - Tuesday"/>
    <s v="Month+5 Expiry"/>
    <n v="1"/>
    <n v="0.0018"/>
    <n v="0"/>
  </r>
  <r>
    <s v="22-Jan-2026"/>
    <x v="3"/>
    <s v="Week4-Jan-2026"/>
    <x v="4"/>
    <s v="Q4FY26"/>
    <s v="29-Sep-2026"/>
    <s v="Tuesday"/>
    <s v="Monthly - Tuesday"/>
    <s v="Monthly - Tuesday"/>
    <s v="Month+8 Expiry"/>
    <n v="0"/>
    <n v="0"/>
    <n v="0"/>
  </r>
  <r>
    <s v="22-Jan-2026"/>
    <x v="3"/>
    <s v="Week4-Jan-2026"/>
    <x v="4"/>
    <s v="Q4FY26"/>
    <s v="29-Dec-2026"/>
    <s v="Tuesday"/>
    <s v="Monthly - Tuesday"/>
    <s v="Monthly - Tuesday"/>
    <s v="Month+11 Expiry"/>
    <n v="0"/>
    <n v="0"/>
    <n v="0"/>
  </r>
  <r>
    <s v="23-Jan-2026"/>
    <x v="4"/>
    <s v="Week4-Jan-2026"/>
    <x v="4"/>
    <s v="Q4FY26"/>
    <s v="27-Jan-2026"/>
    <s v="Tuesday"/>
    <s v="Monthly - Tuesday"/>
    <s v="Monthly - Tuesday"/>
    <s v="Same Month Expiry"/>
    <n v="18445823"/>
    <n v="32235.9071"/>
    <n v="102.5214"/>
  </r>
  <r>
    <s v="23-Jan-2026"/>
    <x v="4"/>
    <s v="Week4-Jan-2026"/>
    <x v="4"/>
    <s v="Q4FY26"/>
    <s v="24-Feb-2026"/>
    <s v="Tuesday"/>
    <s v="Monthly - Tuesday"/>
    <s v="Monthly - Tuesday"/>
    <s v="Month+1 Expiry"/>
    <n v="391805"/>
    <n v="702.6994"/>
    <n v="9.131600000000001"/>
  </r>
  <r>
    <s v="23-Jan-2026"/>
    <x v="4"/>
    <s v="Week4-Jan-2026"/>
    <x v="4"/>
    <s v="Q4FY26"/>
    <s v="30-Mar-2026"/>
    <s v="Monday"/>
    <s v="Monthly - Monday"/>
    <s v="Monthly - Monday"/>
    <s v="Month+2 Expiry"/>
    <n v="17636"/>
    <n v="31.7874"/>
    <n v="0.5179"/>
  </r>
  <r>
    <s v="23-Jan-2026"/>
    <x v="4"/>
    <s v="Week4-Jan-2026"/>
    <x v="4"/>
    <s v="Q4FY26"/>
    <s v="30-Jun-2026"/>
    <s v="Tuesday"/>
    <s v="Monthly - Tuesday"/>
    <s v="Monthly - Tuesday"/>
    <s v="Month+5 Expiry"/>
    <n v="1"/>
    <n v="0.0018"/>
    <n v="0"/>
  </r>
  <r>
    <s v="23-Jan-2026"/>
    <x v="4"/>
    <s v="Week4-Jan-2026"/>
    <x v="4"/>
    <s v="Q4FY26"/>
    <s v="29-Sep-2026"/>
    <s v="Tuesday"/>
    <s v="Monthly - Tuesday"/>
    <s v="Monthly - Tuesday"/>
    <s v="Month+8 Expiry"/>
    <n v="0"/>
    <n v="0"/>
    <n v="0"/>
  </r>
  <r>
    <s v="23-Jan-2026"/>
    <x v="4"/>
    <s v="Week4-Jan-2026"/>
    <x v="4"/>
    <s v="Q4FY26"/>
    <s v="29-Dec-2026"/>
    <s v="Tuesday"/>
    <s v="Monthly - Tuesday"/>
    <s v="Monthly - Tuesday"/>
    <s v="Month+11 Expiry"/>
    <n v="0"/>
    <n v="0"/>
    <n v="0"/>
  </r>
  <r>
    <s v="27-Jan-2026"/>
    <x v="1"/>
    <s v="Week4-Jan-2026"/>
    <x v="4"/>
    <s v="Q4FY26"/>
    <s v="27-Jan-2026"/>
    <s v="Tuesday"/>
    <s v="Monthly - Tuesday"/>
    <s v="Monthly - Tuesday"/>
    <s v="Same Month Expiry"/>
    <n v="89044441"/>
    <n v="154787.0144"/>
    <n v="180.1661"/>
  </r>
  <r>
    <s v="27-Jan-2026"/>
    <x v="1"/>
    <s v="Week4-Jan-2026"/>
    <x v="4"/>
    <s v="Q4FY26"/>
    <s v="24-Feb-2026"/>
    <s v="Tuesday"/>
    <s v="Monthly - Tuesday"/>
    <s v="Monthly - Tuesday"/>
    <s v="Month+1 Expiry"/>
    <n v="825718"/>
    <n v="1469.6984"/>
    <n v="17.9767"/>
  </r>
  <r>
    <s v="27-Jan-2026"/>
    <x v="1"/>
    <s v="Week4-Jan-2026"/>
    <x v="4"/>
    <s v="Q4FY26"/>
    <s v="30-Mar-2026"/>
    <s v="Monday"/>
    <s v="Monthly - Monday"/>
    <s v="Monthly - Monday"/>
    <s v="Month+2 Expiry"/>
    <n v="24215"/>
    <n v="43.698"/>
    <n v="0.6173"/>
  </r>
  <r>
    <s v="27-Jan-2026"/>
    <x v="1"/>
    <s v="Week4-Jan-2026"/>
    <x v="4"/>
    <s v="Q4FY26"/>
    <s v="30-Jun-2026"/>
    <s v="Tuesday"/>
    <s v="Monthly - Tuesday"/>
    <s v="Monthly - Tuesday"/>
    <s v="Month+5 Expiry"/>
    <n v="21"/>
    <n v="0.0375"/>
    <n v="0.0007"/>
  </r>
  <r>
    <s v="27-Jan-2026"/>
    <x v="1"/>
    <s v="Week4-Jan-2026"/>
    <x v="4"/>
    <s v="Q4FY26"/>
    <s v="29-Sep-2026"/>
    <s v="Tuesday"/>
    <s v="Monthly - Tuesday"/>
    <s v="Monthly - Tuesday"/>
    <s v="Month+8 Expiry"/>
    <n v="0"/>
    <n v="0"/>
    <n v="0"/>
  </r>
  <r>
    <s v="27-Jan-2026"/>
    <x v="1"/>
    <s v="Week4-Jan-2026"/>
    <x v="4"/>
    <s v="Q4FY26"/>
    <s v="29-Dec-2026"/>
    <s v="Tuesday"/>
    <s v="Monthly - Tuesday"/>
    <s v="Monthly - Tuesday"/>
    <s v="Month+11 Expiry"/>
    <n v="0"/>
    <n v="0"/>
    <n v="0"/>
  </r>
  <r>
    <s v="28-Jan-2026"/>
    <x v="2"/>
    <s v="Week4-Jan-2026"/>
    <x v="4"/>
    <s v="Q4FY26"/>
    <s v="24-Feb-2026"/>
    <s v="Tuesday"/>
    <s v="Monthly - Tuesday"/>
    <s v="Monthly - Tuesday"/>
    <s v="Month+1 Expiry"/>
    <n v="2041946"/>
    <n v="3646.5282"/>
    <n v="38.3867"/>
  </r>
  <r>
    <s v="28-Jan-2026"/>
    <x v="2"/>
    <s v="Week4-Jan-2026"/>
    <x v="4"/>
    <s v="Q4FY26"/>
    <s v="30-Mar-2026"/>
    <s v="Monday"/>
    <s v="Monthly - Monday"/>
    <s v="Monthly - Monday"/>
    <s v="Month+2 Expiry"/>
    <n v="24716"/>
    <n v="44.2572"/>
    <n v="0.5391"/>
  </r>
  <r>
    <s v="28-Jan-2026"/>
    <x v="2"/>
    <s v="Week4-Jan-2026"/>
    <x v="4"/>
    <s v="Q4FY26"/>
    <s v="28-Apr-2026"/>
    <s v="Tuesday"/>
    <s v="Monthly - Tuesday"/>
    <s v="Monthly - Tuesday"/>
    <s v="Month+3 Expiry"/>
    <n v="159"/>
    <n v="0.2818"/>
    <n v="0.0044"/>
  </r>
  <r>
    <s v="28-Jan-2026"/>
    <x v="2"/>
    <s v="Week4-Jan-2026"/>
    <x v="4"/>
    <s v="Q4FY26"/>
    <s v="30-Jun-2026"/>
    <s v="Tuesday"/>
    <s v="Monthly - Tuesday"/>
    <s v="Monthly - Tuesday"/>
    <s v="Month+5 Expiry"/>
    <n v="14"/>
    <n v="0.025"/>
    <n v="0.0004"/>
  </r>
  <r>
    <s v="28-Jan-2026"/>
    <x v="2"/>
    <s v="Week4-Jan-2026"/>
    <x v="4"/>
    <s v="Q4FY26"/>
    <s v="29-Sep-2026"/>
    <s v="Tuesday"/>
    <s v="Monthly - Tuesday"/>
    <s v="Monthly - Tuesday"/>
    <s v="Month+8 Expiry"/>
    <n v="0"/>
    <n v="0"/>
    <n v="0"/>
  </r>
  <r>
    <s v="28-Jan-2026"/>
    <x v="2"/>
    <s v="Week4-Jan-2026"/>
    <x v="4"/>
    <s v="Q4FY26"/>
    <s v="29-Dec-2026"/>
    <s v="Tuesday"/>
    <s v="Monthly - Tuesday"/>
    <s v="Monthly - Tuesday"/>
    <s v="Month+11 Expiry"/>
    <n v="0"/>
    <n v="0"/>
    <n v="0"/>
  </r>
  <r>
    <s v="29-Jan-2026"/>
    <x v="3"/>
    <s v="Week5-Jan-2026"/>
    <x v="4"/>
    <s v="Q4FY26"/>
    <s v="24-Feb-2026"/>
    <s v="Tuesday"/>
    <s v="Monthly - Tuesday"/>
    <s v="Monthly - Tuesday"/>
    <s v="Month+1 Expiry"/>
    <n v="1883204"/>
    <n v="3374.6449"/>
    <n v="35.0425"/>
  </r>
  <r>
    <s v="29-Jan-2026"/>
    <x v="3"/>
    <s v="Week5-Jan-2026"/>
    <x v="4"/>
    <s v="Q4FY26"/>
    <s v="30-Mar-2026"/>
    <s v="Monday"/>
    <s v="Monthly - Monday"/>
    <s v="Monthly - Monday"/>
    <s v="Month+2 Expiry"/>
    <n v="27686"/>
    <n v="49.8626"/>
    <n v="0.5569"/>
  </r>
  <r>
    <s v="29-Jan-2026"/>
    <x v="3"/>
    <s v="Week5-Jan-2026"/>
    <x v="4"/>
    <s v="Q4FY26"/>
    <s v="28-Apr-2026"/>
    <s v="Tuesday"/>
    <s v="Monthly - Tuesday"/>
    <s v="Monthly - Tuesday"/>
    <s v="Month+3 Expiry"/>
    <n v="320"/>
    <n v="0.5822000000000001"/>
    <n v="0.0103"/>
  </r>
  <r>
    <s v="29-Jan-2026"/>
    <x v="3"/>
    <s v="Week5-Jan-2026"/>
    <x v="4"/>
    <s v="Q4FY26"/>
    <s v="30-Jun-2026"/>
    <s v="Tuesday"/>
    <s v="Monthly - Tuesday"/>
    <s v="Monthly - Tuesday"/>
    <s v="Month+5 Expiry"/>
    <n v="11"/>
    <n v="0.0196"/>
    <n v="0.0003"/>
  </r>
  <r>
    <s v="29-Jan-2026"/>
    <x v="3"/>
    <s v="Week5-Jan-2026"/>
    <x v="4"/>
    <s v="Q4FY26"/>
    <s v="29-Sep-2026"/>
    <s v="Tuesday"/>
    <s v="Monthly - Tuesday"/>
    <s v="Monthly - Tuesday"/>
    <s v="Month+8 Expiry"/>
    <n v="0"/>
    <n v="0"/>
    <n v="0"/>
  </r>
  <r>
    <s v="29-Jan-2026"/>
    <x v="3"/>
    <s v="Week5-Jan-2026"/>
    <x v="4"/>
    <s v="Q4FY26"/>
    <s v="29-Dec-2026"/>
    <s v="Tuesday"/>
    <s v="Monthly - Tuesday"/>
    <s v="Monthly - Tuesday"/>
    <s v="Month+11 Expiry"/>
    <n v="0"/>
    <n v="0"/>
    <n v="0"/>
  </r>
  <r>
    <s v="30-Jan-2026"/>
    <x v="4"/>
    <s v="Week5-Jan-2026"/>
    <x v="4"/>
    <s v="Q4FY26"/>
    <s v="24-Feb-2026"/>
    <s v="Tuesday"/>
    <s v="Monthly - Tuesday"/>
    <s v="Monthly - Tuesday"/>
    <s v="Month+1 Expiry"/>
    <n v="2224337"/>
    <n v="3982.4356"/>
    <n v="40.3795"/>
  </r>
  <r>
    <s v="30-Jan-2026"/>
    <x v="4"/>
    <s v="Week5-Jan-2026"/>
    <x v="4"/>
    <s v="Q4FY26"/>
    <s v="30-Mar-2026"/>
    <s v="Monday"/>
    <s v="Monthly - Monday"/>
    <s v="Monthly - Monday"/>
    <s v="Month+2 Expiry"/>
    <n v="25777"/>
    <n v="46.682"/>
    <n v="0.5952"/>
  </r>
  <r>
    <s v="30-Jan-2026"/>
    <x v="4"/>
    <s v="Week5-Jan-2026"/>
    <x v="4"/>
    <s v="Q4FY26"/>
    <s v="28-Apr-2026"/>
    <s v="Tuesday"/>
    <s v="Monthly - Tuesday"/>
    <s v="Monthly - Tuesday"/>
    <s v="Month+3 Expiry"/>
    <n v="487"/>
    <n v="0.8885"/>
    <n v="0.0175"/>
  </r>
  <r>
    <s v="30-Jan-2026"/>
    <x v="4"/>
    <s v="Week5-Jan-2026"/>
    <x v="4"/>
    <s v="Q4FY26"/>
    <s v="30-Jun-2026"/>
    <s v="Tuesday"/>
    <s v="Monthly - Tuesday"/>
    <s v="Monthly - Tuesday"/>
    <s v="Month+5 Expiry"/>
    <n v="11"/>
    <n v="0.0196"/>
    <n v="0.0003"/>
  </r>
  <r>
    <s v="30-Jan-2026"/>
    <x v="4"/>
    <s v="Week5-Jan-2026"/>
    <x v="4"/>
    <s v="Q4FY26"/>
    <s v="29-Sep-2026"/>
    <s v="Tuesday"/>
    <s v="Monthly - Tuesday"/>
    <s v="Monthly - Tuesday"/>
    <s v="Month+8 Expiry"/>
    <n v="0"/>
    <n v="0"/>
    <n v="0"/>
  </r>
  <r>
    <s v="30-Jan-2026"/>
    <x v="4"/>
    <s v="Week5-Jan-2026"/>
    <x v="4"/>
    <s v="Q4FY26"/>
    <s v="29-Dec-2026"/>
    <s v="Tuesday"/>
    <s v="Monthly - Tuesday"/>
    <s v="Monthly - Tuesday"/>
    <s v="Month+11 Expiry"/>
    <n v="0"/>
    <n v="0"/>
    <n v="0"/>
  </r>
  <r>
    <s v="01-Feb-2026"/>
    <x v="5"/>
    <s v="Week1-Feb-2026"/>
    <x v="5"/>
    <s v="Q4FY26"/>
    <s v="24-Feb-2026"/>
    <s v="Tuesday"/>
    <s v="Monthly - Tuesday"/>
    <s v="Monthly - Tuesday"/>
    <s v="Same Month Expiry"/>
    <n v="4014589"/>
    <n v="7173.3755"/>
    <n v="63.3544"/>
  </r>
  <r>
    <s v="01-Feb-2026"/>
    <x v="5"/>
    <s v="Week1-Feb-2026"/>
    <x v="5"/>
    <s v="Q4FY26"/>
    <s v="30-Mar-2026"/>
    <s v="Monday"/>
    <s v="Monthly - Monday"/>
    <s v="Monthly - Monday"/>
    <s v="Month+1 Expiry"/>
    <n v="67953"/>
    <n v="122.6479"/>
    <n v="1.5191"/>
  </r>
  <r>
    <s v="01-Feb-2026"/>
    <x v="5"/>
    <s v="Week1-Feb-2026"/>
    <x v="5"/>
    <s v="Q4FY26"/>
    <s v="28-Apr-2026"/>
    <s v="Tuesday"/>
    <s v="Monthly - Tuesday"/>
    <s v="Monthly - Tuesday"/>
    <s v="Month+2 Expiry"/>
    <n v="750"/>
    <n v="1.3668"/>
    <n v="0.026"/>
  </r>
  <r>
    <s v="01-Feb-2026"/>
    <x v="5"/>
    <s v="Week1-Feb-2026"/>
    <x v="5"/>
    <s v="Q4FY26"/>
    <s v="30-Jun-2026"/>
    <s v="Tuesday"/>
    <s v="Monthly - Tuesday"/>
    <s v="Monthly - Tuesday"/>
    <s v="Month+4 Expiry"/>
    <n v="43"/>
    <n v="0.0769"/>
    <n v="0.0014"/>
  </r>
  <r>
    <s v="01-Feb-2026"/>
    <x v="5"/>
    <s v="Week1-Feb-2026"/>
    <x v="5"/>
    <s v="Q4FY26"/>
    <s v="29-Sep-2026"/>
    <s v="Tuesday"/>
    <s v="Monthly - Tuesday"/>
    <s v="Monthly - Tuesday"/>
    <s v="Month+7 Expiry"/>
    <n v="0"/>
    <n v="0"/>
    <n v="0"/>
  </r>
  <r>
    <s v="01-Feb-2026"/>
    <x v="5"/>
    <s v="Week1-Feb-2026"/>
    <x v="5"/>
    <s v="Q4FY26"/>
    <s v="29-Dec-2026"/>
    <s v="Tuesday"/>
    <s v="Monthly - Tuesday"/>
    <s v="Monthly - Tuesday"/>
    <s v="Month+10 Expiry"/>
    <n v="0"/>
    <n v="0"/>
    <n v="0"/>
  </r>
  <r>
    <s v="02-Feb-2026"/>
    <x v="0"/>
    <s v="Week1-Feb-2026"/>
    <x v="5"/>
    <s v="Q4FY26"/>
    <s v="24-Feb-2026"/>
    <s v="Tuesday"/>
    <s v="Monthly - Tuesday"/>
    <s v="Monthly - Tuesday"/>
    <s v="Same Month Expiry"/>
    <n v="2941021"/>
    <n v="5185.9158"/>
    <n v="46.7905"/>
  </r>
  <r>
    <s v="02-Feb-2026"/>
    <x v="0"/>
    <s v="Week1-Feb-2026"/>
    <x v="5"/>
    <s v="Q4FY26"/>
    <s v="30-Mar-2026"/>
    <s v="Monday"/>
    <s v="Monthly - Monday"/>
    <s v="Monthly - Monday"/>
    <s v="Month+1 Expiry"/>
    <n v="55122"/>
    <n v="98.68040000000001"/>
    <n v="1.2341"/>
  </r>
  <r>
    <s v="02-Feb-2026"/>
    <x v="0"/>
    <s v="Week1-Feb-2026"/>
    <x v="5"/>
    <s v="Q4FY26"/>
    <s v="28-Apr-2026"/>
    <s v="Tuesday"/>
    <s v="Monthly - Tuesday"/>
    <s v="Monthly - Tuesday"/>
    <s v="Month+2 Expiry"/>
    <n v="1483"/>
    <n v="2.6798"/>
    <n v="0.0415"/>
  </r>
  <r>
    <s v="02-Feb-2026"/>
    <x v="0"/>
    <s v="Week1-Feb-2026"/>
    <x v="5"/>
    <s v="Q4FY26"/>
    <s v="30-Jun-2026"/>
    <s v="Tuesday"/>
    <s v="Monthly - Tuesday"/>
    <s v="Monthly - Tuesday"/>
    <s v="Month+4 Expiry"/>
    <n v="44"/>
    <n v="0.0789"/>
    <n v="0.0017"/>
  </r>
  <r>
    <s v="02-Feb-2026"/>
    <x v="0"/>
    <s v="Week1-Feb-2026"/>
    <x v="5"/>
    <s v="Q4FY26"/>
    <s v="29-Sep-2026"/>
    <s v="Tuesday"/>
    <s v="Monthly - Tuesday"/>
    <s v="Monthly - Tuesday"/>
    <s v="Month+7 Expiry"/>
    <n v="0"/>
    <n v="0"/>
    <n v="0"/>
  </r>
  <r>
    <s v="02-Feb-2026"/>
    <x v="0"/>
    <s v="Week1-Feb-2026"/>
    <x v="5"/>
    <s v="Q4FY26"/>
    <s v="29-Dec-2026"/>
    <s v="Tuesday"/>
    <s v="Monthly - Tuesday"/>
    <s v="Monthly - Tuesday"/>
    <s v="Month+10 Expiry"/>
    <n v="0"/>
    <n v="0"/>
    <n v="0"/>
  </r>
  <r>
    <s v="03-Feb-2026"/>
    <x v="1"/>
    <s v="Week1-Feb-2026"/>
    <x v="5"/>
    <s v="Q4FY26"/>
    <s v="24-Feb-2026"/>
    <s v="Tuesday"/>
    <s v="Monthly - Tuesday"/>
    <s v="Monthly - Tuesday"/>
    <s v="Same Month Expiry"/>
    <n v="3282380"/>
    <n v="5878.9196"/>
    <n v="51.1009"/>
  </r>
  <r>
    <s v="03-Feb-2026"/>
    <x v="1"/>
    <s v="Week1-Feb-2026"/>
    <x v="5"/>
    <s v="Q4FY26"/>
    <s v="30-Mar-2026"/>
    <s v="Monday"/>
    <s v="Monthly - Monday"/>
    <s v="Monthly - Monday"/>
    <s v="Month+1 Expiry"/>
    <n v="85238"/>
    <n v="155.3794"/>
    <n v="2.0396"/>
  </r>
  <r>
    <s v="03-Feb-2026"/>
    <x v="1"/>
    <s v="Week1-Feb-2026"/>
    <x v="5"/>
    <s v="Q4FY26"/>
    <s v="28-Apr-2026"/>
    <s v="Tuesday"/>
    <s v="Monthly - Tuesday"/>
    <s v="Monthly - Tuesday"/>
    <s v="Month+2 Expiry"/>
    <n v="1405"/>
    <n v="2.575"/>
    <n v="0.0462"/>
  </r>
  <r>
    <s v="03-Feb-2026"/>
    <x v="1"/>
    <s v="Week1-Feb-2026"/>
    <x v="5"/>
    <s v="Q4FY26"/>
    <s v="30-Jun-2026"/>
    <s v="Tuesday"/>
    <s v="Monthly - Tuesday"/>
    <s v="Monthly - Tuesday"/>
    <s v="Month+4 Expiry"/>
    <n v="40"/>
    <n v="0.0713"/>
    <n v="0.0011"/>
  </r>
  <r>
    <s v="03-Feb-2026"/>
    <x v="1"/>
    <s v="Week1-Feb-2026"/>
    <x v="5"/>
    <s v="Q4FY26"/>
    <s v="29-Sep-2026"/>
    <s v="Tuesday"/>
    <s v="Monthly - Tuesday"/>
    <s v="Monthly - Tuesday"/>
    <s v="Month+7 Expiry"/>
    <n v="0"/>
    <n v="0"/>
    <n v="0"/>
  </r>
  <r>
    <s v="03-Feb-2026"/>
    <x v="1"/>
    <s v="Week1-Feb-2026"/>
    <x v="5"/>
    <s v="Q4FY26"/>
    <s v="29-Dec-2026"/>
    <s v="Tuesday"/>
    <s v="Monthly - Tuesday"/>
    <s v="Monthly - Tuesday"/>
    <s v="Month+10 Expiry"/>
    <n v="0"/>
    <n v="0"/>
    <n v="0"/>
  </r>
  <r>
    <s v="04-Feb-2026"/>
    <x v="2"/>
    <s v="Week1-Feb-2026"/>
    <x v="5"/>
    <s v="Q4FY26"/>
    <s v="24-Feb-2026"/>
    <s v="Tuesday"/>
    <s v="Monthly - Tuesday"/>
    <s v="Monthly - Tuesday"/>
    <s v="Same Month Expiry"/>
    <n v="2276529"/>
    <n v="4097.0879"/>
    <n v="32.8248"/>
  </r>
  <r>
    <s v="04-Feb-2026"/>
    <x v="2"/>
    <s v="Week1-Feb-2026"/>
    <x v="5"/>
    <s v="Q4FY26"/>
    <s v="30-Mar-2026"/>
    <s v="Monday"/>
    <s v="Monthly - Monday"/>
    <s v="Monthly - Monday"/>
    <s v="Month+1 Expiry"/>
    <n v="44167"/>
    <n v="79.46259999999999"/>
    <n v="0.8157"/>
  </r>
  <r>
    <s v="04-Feb-2026"/>
    <x v="2"/>
    <s v="Week1-Feb-2026"/>
    <x v="5"/>
    <s v="Q4FY26"/>
    <s v="28-Apr-2026"/>
    <s v="Tuesday"/>
    <s v="Monthly - Tuesday"/>
    <s v="Monthly - Tuesday"/>
    <s v="Month+2 Expiry"/>
    <n v="1768"/>
    <n v="3.2021"/>
    <n v="0.0472"/>
  </r>
  <r>
    <s v="04-Feb-2026"/>
    <x v="2"/>
    <s v="Week1-Feb-2026"/>
    <x v="5"/>
    <s v="Q4FY26"/>
    <s v="30-Jun-2026"/>
    <s v="Tuesday"/>
    <s v="Monthly - Tuesday"/>
    <s v="Monthly - Tuesday"/>
    <s v="Month+4 Expiry"/>
    <n v="52"/>
    <n v="0.0941"/>
    <n v="0.0028"/>
  </r>
  <r>
    <s v="04-Feb-2026"/>
    <x v="2"/>
    <s v="Week1-Feb-2026"/>
    <x v="5"/>
    <s v="Q4FY26"/>
    <s v="29-Sep-2026"/>
    <s v="Tuesday"/>
    <s v="Monthly - Tuesday"/>
    <s v="Monthly - Tuesday"/>
    <s v="Month+7 Expiry"/>
    <n v="0"/>
    <n v="0"/>
    <n v="0"/>
  </r>
  <r>
    <s v="04-Feb-2026"/>
    <x v="2"/>
    <s v="Week1-Feb-2026"/>
    <x v="5"/>
    <s v="Q4FY26"/>
    <s v="29-Dec-2026"/>
    <s v="Tuesday"/>
    <s v="Monthly - Tuesday"/>
    <s v="Monthly - Tuesday"/>
    <s v="Month+10 Expiry"/>
    <n v="0"/>
    <n v="0"/>
    <n v="0"/>
  </r>
  <r>
    <s v="05-Feb-2026"/>
    <x v="3"/>
    <s v="Week1-Feb-2026"/>
    <x v="5"/>
    <s v="Q4FY26"/>
    <s v="24-Feb-2026"/>
    <s v="Tuesday"/>
    <s v="Monthly - Tuesday"/>
    <s v="Monthly - Tuesday"/>
    <s v="Same Month Expiry"/>
    <n v="1900416"/>
    <n v="3419.8134"/>
    <n v="26.5009"/>
  </r>
  <r>
    <s v="05-Feb-2026"/>
    <x v="3"/>
    <s v="Week1-Feb-2026"/>
    <x v="5"/>
    <s v="Q4FY26"/>
    <s v="30-Mar-2026"/>
    <s v="Monday"/>
    <s v="Monthly - Monday"/>
    <s v="Monthly - Monday"/>
    <s v="Month+1 Expiry"/>
    <n v="28610"/>
    <n v="52.0564"/>
    <n v="0.5356"/>
  </r>
  <r>
    <s v="05-Feb-2026"/>
    <x v="3"/>
    <s v="Week1-Feb-2026"/>
    <x v="5"/>
    <s v="Q4FY26"/>
    <s v="28-Apr-2026"/>
    <s v="Tuesday"/>
    <s v="Monthly - Tuesday"/>
    <s v="Monthly - Tuesday"/>
    <s v="Month+2 Expiry"/>
    <n v="1227"/>
    <n v="2.2219"/>
    <n v="0.0312"/>
  </r>
  <r>
    <s v="05-Feb-2026"/>
    <x v="3"/>
    <s v="Week1-Feb-2026"/>
    <x v="5"/>
    <s v="Q4FY26"/>
    <s v="30-Jun-2026"/>
    <s v="Tuesday"/>
    <s v="Monthly - Tuesday"/>
    <s v="Monthly - Tuesday"/>
    <s v="Month+4 Expiry"/>
    <n v="35"/>
    <n v="0.06279999999999999"/>
    <n v="0.0013"/>
  </r>
  <r>
    <s v="05-Feb-2026"/>
    <x v="3"/>
    <s v="Week1-Feb-2026"/>
    <x v="5"/>
    <s v="Q4FY26"/>
    <s v="29-Sep-2026"/>
    <s v="Tuesday"/>
    <s v="Monthly - Tuesday"/>
    <s v="Monthly - Tuesday"/>
    <s v="Month+7 Expiry"/>
    <n v="0"/>
    <n v="0"/>
    <n v="0"/>
  </r>
  <r>
    <s v="05-Feb-2026"/>
    <x v="3"/>
    <s v="Week1-Feb-2026"/>
    <x v="5"/>
    <s v="Q4FY26"/>
    <s v="29-Dec-2026"/>
    <s v="Tuesday"/>
    <s v="Monthly - Tuesday"/>
    <s v="Monthly - Tuesday"/>
    <s v="Month+10 Expiry"/>
    <n v="0"/>
    <n v="0"/>
    <n v="0"/>
  </r>
  <r>
    <s v="06-Feb-2026"/>
    <x v="4"/>
    <s v="Week1-Feb-2026"/>
    <x v="5"/>
    <s v="Q4FY26"/>
    <s v="24-Feb-2026"/>
    <s v="Tuesday"/>
    <s v="Monthly - Tuesday"/>
    <s v="Monthly - Tuesday"/>
    <s v="Same Month Expiry"/>
    <n v="3206221"/>
    <n v="5767.5597"/>
    <n v="40.9351"/>
  </r>
  <r>
    <s v="06-Feb-2026"/>
    <x v="4"/>
    <s v="Week1-Feb-2026"/>
    <x v="5"/>
    <s v="Q4FY26"/>
    <s v="30-Mar-2026"/>
    <s v="Monday"/>
    <s v="Monthly - Monday"/>
    <s v="Monthly - Monday"/>
    <s v="Month+1 Expiry"/>
    <n v="46668"/>
    <n v="84.7295"/>
    <n v="0.8862"/>
  </r>
  <r>
    <s v="06-Feb-2026"/>
    <x v="4"/>
    <s v="Week1-Feb-2026"/>
    <x v="5"/>
    <s v="Q4FY26"/>
    <s v="28-Apr-2026"/>
    <s v="Tuesday"/>
    <s v="Monthly - Tuesday"/>
    <s v="Monthly - Tuesday"/>
    <s v="Month+2 Expiry"/>
    <n v="2290"/>
    <n v="4.1725"/>
    <n v="0.0517"/>
  </r>
  <r>
    <s v="06-Feb-2026"/>
    <x v="4"/>
    <s v="Week1-Feb-2026"/>
    <x v="5"/>
    <s v="Q4FY26"/>
    <s v="30-Jun-2026"/>
    <s v="Tuesday"/>
    <s v="Monthly - Tuesday"/>
    <s v="Monthly - Tuesday"/>
    <s v="Month+4 Expiry"/>
    <n v="44"/>
    <n v="0.0786"/>
    <n v="0.0014"/>
  </r>
  <r>
    <s v="06-Feb-2026"/>
    <x v="4"/>
    <s v="Week1-Feb-2026"/>
    <x v="5"/>
    <s v="Q4FY26"/>
    <s v="29-Sep-2026"/>
    <s v="Tuesday"/>
    <s v="Monthly - Tuesday"/>
    <s v="Monthly - Tuesday"/>
    <s v="Month+7 Expiry"/>
    <n v="0"/>
    <n v="0"/>
    <n v="0"/>
  </r>
  <r>
    <s v="06-Feb-2026"/>
    <x v="4"/>
    <s v="Week1-Feb-2026"/>
    <x v="5"/>
    <s v="Q4FY26"/>
    <s v="29-Dec-2026"/>
    <s v="Tuesday"/>
    <s v="Monthly - Tuesday"/>
    <s v="Monthly - Tuesday"/>
    <s v="Month+10 Expiry"/>
    <n v="0"/>
    <n v="0"/>
    <n v="0"/>
  </r>
  <r>
    <s v="09-Feb-2026"/>
    <x v="0"/>
    <s v="Week2-Feb-2026"/>
    <x v="5"/>
    <s v="Q4FY26"/>
    <s v="24-Feb-2026"/>
    <s v="Tuesday"/>
    <s v="Monthly - Tuesday"/>
    <s v="Monthly - Tuesday"/>
    <s v="Same Month Expiry"/>
    <n v="2427088"/>
    <n v="4373.6501"/>
    <n v="28.0095"/>
  </r>
  <r>
    <s v="09-Feb-2026"/>
    <x v="0"/>
    <s v="Week2-Feb-2026"/>
    <x v="5"/>
    <s v="Q4FY26"/>
    <s v="30-Mar-2026"/>
    <s v="Monday"/>
    <s v="Monthly - Monday"/>
    <s v="Monthly - Monday"/>
    <s v="Month+1 Expiry"/>
    <n v="56574"/>
    <n v="102.8533"/>
    <n v="1.0963"/>
  </r>
  <r>
    <s v="09-Feb-2026"/>
    <x v="0"/>
    <s v="Week2-Feb-2026"/>
    <x v="5"/>
    <s v="Q4FY26"/>
    <s v="28-Apr-2026"/>
    <s v="Tuesday"/>
    <s v="Monthly - Tuesday"/>
    <s v="Monthly - Tuesday"/>
    <s v="Month+2 Expiry"/>
    <n v="5815"/>
    <n v="10.6526"/>
    <n v="0.1388"/>
  </r>
  <r>
    <s v="09-Feb-2026"/>
    <x v="0"/>
    <s v="Week2-Feb-2026"/>
    <x v="5"/>
    <s v="Q4FY26"/>
    <s v="30-Jun-2026"/>
    <s v="Tuesday"/>
    <s v="Monthly - Tuesday"/>
    <s v="Monthly - Tuesday"/>
    <s v="Month+4 Expiry"/>
    <n v="78"/>
    <n v="0.1405"/>
    <n v="0.0025"/>
  </r>
  <r>
    <s v="09-Feb-2026"/>
    <x v="0"/>
    <s v="Week2-Feb-2026"/>
    <x v="5"/>
    <s v="Q4FY26"/>
    <s v="29-Sep-2026"/>
    <s v="Tuesday"/>
    <s v="Monthly - Tuesday"/>
    <s v="Monthly - Tuesday"/>
    <s v="Month+7 Expiry"/>
    <n v="0"/>
    <n v="0"/>
    <n v="0"/>
  </r>
  <r>
    <s v="09-Feb-2026"/>
    <x v="0"/>
    <s v="Week2-Feb-2026"/>
    <x v="5"/>
    <s v="Q4FY26"/>
    <s v="29-Dec-2026"/>
    <s v="Tuesday"/>
    <s v="Monthly - Tuesday"/>
    <s v="Monthly - Tuesday"/>
    <s v="Month+10 Expiry"/>
    <n v="0"/>
    <n v="0"/>
    <n v="0"/>
  </r>
  <r>
    <s v="10-Feb-2026"/>
    <x v="1"/>
    <s v="Week2-Feb-2026"/>
    <x v="5"/>
    <s v="Q4FY26"/>
    <s v="24-Feb-2026"/>
    <s v="Tuesday"/>
    <s v="Monthly - Tuesday"/>
    <s v="Monthly - Tuesday"/>
    <s v="Same Month Expiry"/>
    <n v="2052558"/>
    <n v="3708.6684"/>
    <n v="22.4575"/>
  </r>
  <r>
    <s v="10-Feb-2026"/>
    <x v="1"/>
    <s v="Week2-Feb-2026"/>
    <x v="5"/>
    <s v="Q4FY26"/>
    <s v="30-Mar-2026"/>
    <s v="Monday"/>
    <s v="Monthly - Monday"/>
    <s v="Monthly - Monday"/>
    <s v="Month+1 Expiry"/>
    <n v="45749"/>
    <n v="82.7942"/>
    <n v="0.765"/>
  </r>
  <r>
    <s v="10-Feb-2026"/>
    <x v="1"/>
    <s v="Week2-Feb-2026"/>
    <x v="5"/>
    <s v="Q4FY26"/>
    <s v="28-Apr-2026"/>
    <s v="Tuesday"/>
    <s v="Monthly - Tuesday"/>
    <s v="Monthly - Tuesday"/>
    <s v="Month+2 Expiry"/>
    <n v="2784"/>
    <n v="5.1111"/>
    <n v="0.0614"/>
  </r>
  <r>
    <s v="10-Feb-2026"/>
    <x v="1"/>
    <s v="Week2-Feb-2026"/>
    <x v="5"/>
    <s v="Q4FY26"/>
    <s v="30-Jun-2026"/>
    <s v="Tuesday"/>
    <s v="Monthly - Tuesday"/>
    <s v="Monthly - Tuesday"/>
    <s v="Month+4 Expiry"/>
    <n v="72"/>
    <n v="0.1288"/>
    <n v="0.0016"/>
  </r>
  <r>
    <s v="10-Feb-2026"/>
    <x v="1"/>
    <s v="Week2-Feb-2026"/>
    <x v="5"/>
    <s v="Q4FY26"/>
    <s v="29-Sep-2026"/>
    <s v="Tuesday"/>
    <s v="Monthly - Tuesday"/>
    <s v="Monthly - Tuesday"/>
    <s v="Month+7 Expiry"/>
    <n v="0"/>
    <n v="0"/>
    <n v="0"/>
  </r>
  <r>
    <s v="10-Feb-2026"/>
    <x v="1"/>
    <s v="Week2-Feb-2026"/>
    <x v="5"/>
    <s v="Q4FY26"/>
    <s v="29-Dec-2026"/>
    <s v="Tuesday"/>
    <s v="Monthly - Tuesday"/>
    <s v="Monthly - Tuesday"/>
    <s v="Month+10 Expiry"/>
    <n v="0"/>
    <n v="0"/>
    <n v="0"/>
  </r>
  <r>
    <s v="11-Feb-2026"/>
    <x v="2"/>
    <s v="Week2-Feb-2026"/>
    <x v="5"/>
    <s v="Q4FY26"/>
    <s v="24-Feb-2026"/>
    <s v="Tuesday"/>
    <s v="Monthly - Tuesday"/>
    <s v="Monthly - Tuesday"/>
    <s v="Same Month Expiry"/>
    <n v="2490815"/>
    <n v="4505.4309"/>
    <n v="25.4859"/>
  </r>
  <r>
    <s v="11-Feb-2026"/>
    <x v="2"/>
    <s v="Week2-Feb-2026"/>
    <x v="5"/>
    <s v="Q4FY26"/>
    <s v="30-Mar-2026"/>
    <s v="Monday"/>
    <s v="Monthly - Monday"/>
    <s v="Monthly - Monday"/>
    <s v="Month+1 Expiry"/>
    <n v="48893"/>
    <n v="88.8792"/>
    <n v="0.7977"/>
  </r>
  <r>
    <s v="11-Feb-2026"/>
    <x v="2"/>
    <s v="Week2-Feb-2026"/>
    <x v="5"/>
    <s v="Q4FY26"/>
    <s v="28-Apr-2026"/>
    <s v="Tuesday"/>
    <s v="Monthly - Tuesday"/>
    <s v="Monthly - Tuesday"/>
    <s v="Month+2 Expiry"/>
    <n v="2539"/>
    <n v="4.6151"/>
    <n v="0.0506"/>
  </r>
  <r>
    <s v="11-Feb-2026"/>
    <x v="2"/>
    <s v="Week2-Feb-2026"/>
    <x v="5"/>
    <s v="Q4FY26"/>
    <s v="30-Jun-2026"/>
    <s v="Tuesday"/>
    <s v="Monthly - Tuesday"/>
    <s v="Monthly - Tuesday"/>
    <s v="Month+4 Expiry"/>
    <n v="109"/>
    <n v="0.1975"/>
    <n v="0.0028"/>
  </r>
  <r>
    <s v="11-Feb-2026"/>
    <x v="2"/>
    <s v="Week2-Feb-2026"/>
    <x v="5"/>
    <s v="Q4FY26"/>
    <s v="29-Sep-2026"/>
    <s v="Tuesday"/>
    <s v="Monthly - Tuesday"/>
    <s v="Monthly - Tuesday"/>
    <s v="Month+7 Expiry"/>
    <n v="0"/>
    <n v="0"/>
    <n v="0"/>
  </r>
  <r>
    <s v="11-Feb-2026"/>
    <x v="2"/>
    <s v="Week2-Feb-2026"/>
    <x v="5"/>
    <s v="Q4FY26"/>
    <s v="29-Dec-2026"/>
    <s v="Tuesday"/>
    <s v="Monthly - Tuesday"/>
    <s v="Monthly - Tuesday"/>
    <s v="Month+10 Expiry"/>
    <n v="0"/>
    <n v="0"/>
    <n v="0"/>
  </r>
  <r>
    <s v="12-Feb-2026"/>
    <x v="3"/>
    <s v="Week2-Feb-2026"/>
    <x v="5"/>
    <s v="Q4FY26"/>
    <s v="24-Feb-2026"/>
    <s v="Tuesday"/>
    <s v="Monthly - Tuesday"/>
    <s v="Monthly - Tuesday"/>
    <s v="Same Month Expiry"/>
    <n v="2534040"/>
    <n v="4586.6392"/>
    <n v="25.4767"/>
  </r>
  <r>
    <s v="12-Feb-2026"/>
    <x v="3"/>
    <s v="Week2-Feb-2026"/>
    <x v="5"/>
    <s v="Q4FY26"/>
    <s v="30-Mar-2026"/>
    <s v="Monday"/>
    <s v="Monthly - Monday"/>
    <s v="Monthly - Monday"/>
    <s v="Month+1 Expiry"/>
    <n v="54955"/>
    <n v="98.8479"/>
    <n v="0.8643"/>
  </r>
  <r>
    <s v="12-Feb-2026"/>
    <x v="3"/>
    <s v="Week2-Feb-2026"/>
    <x v="5"/>
    <s v="Q4FY26"/>
    <s v="28-Apr-2026"/>
    <s v="Tuesday"/>
    <s v="Monthly - Tuesday"/>
    <s v="Monthly - Tuesday"/>
    <s v="Month+2 Expiry"/>
    <n v="3366"/>
    <n v="6.1488"/>
    <n v="0.0772"/>
  </r>
  <r>
    <s v="12-Feb-2026"/>
    <x v="3"/>
    <s v="Week2-Feb-2026"/>
    <x v="5"/>
    <s v="Q4FY26"/>
    <s v="30-Jun-2026"/>
    <s v="Tuesday"/>
    <s v="Monthly - Tuesday"/>
    <s v="Monthly - Tuesday"/>
    <s v="Month+4 Expiry"/>
    <n v="59"/>
    <n v="0.1059"/>
    <n v="0.0013"/>
  </r>
  <r>
    <s v="12-Feb-2026"/>
    <x v="3"/>
    <s v="Week2-Feb-2026"/>
    <x v="5"/>
    <s v="Q4FY26"/>
    <s v="29-Sep-2026"/>
    <s v="Tuesday"/>
    <s v="Monthly - Tuesday"/>
    <s v="Monthly - Tuesday"/>
    <s v="Month+7 Expiry"/>
    <n v="0"/>
    <n v="0"/>
    <n v="0"/>
  </r>
  <r>
    <s v="12-Feb-2026"/>
    <x v="3"/>
    <s v="Week2-Feb-2026"/>
    <x v="5"/>
    <s v="Q4FY26"/>
    <s v="29-Dec-2026"/>
    <s v="Tuesday"/>
    <s v="Monthly - Tuesday"/>
    <s v="Monthly - Tuesday"/>
    <s v="Month+10 Expiry"/>
    <n v="0"/>
    <n v="0"/>
    <n v="0"/>
  </r>
  <r>
    <s v="13-Feb-2026"/>
    <x v="4"/>
    <s v="Week2-Feb-2026"/>
    <x v="5"/>
    <s v="Q4FY26"/>
    <s v="24-Feb-2026"/>
    <s v="Tuesday"/>
    <s v="Monthly - Tuesday"/>
    <s v="Monthly - Tuesday"/>
    <s v="Same Month Expiry"/>
    <n v="3531486"/>
    <n v="6349.5142"/>
    <n v="34.4765"/>
  </r>
  <r>
    <s v="13-Feb-2026"/>
    <x v="4"/>
    <s v="Week2-Feb-2026"/>
    <x v="5"/>
    <s v="Q4FY26"/>
    <s v="30-Mar-2026"/>
    <s v="Monday"/>
    <s v="Monthly - Monday"/>
    <s v="Monthly - Monday"/>
    <s v="Month+1 Expiry"/>
    <n v="102674"/>
    <n v="186.6546"/>
    <n v="1.7657"/>
  </r>
  <r>
    <s v="13-Feb-2026"/>
    <x v="4"/>
    <s v="Week2-Feb-2026"/>
    <x v="5"/>
    <s v="Q4FY26"/>
    <s v="28-Apr-2026"/>
    <s v="Tuesday"/>
    <s v="Monthly - Tuesday"/>
    <s v="Monthly - Tuesday"/>
    <s v="Month+2 Expiry"/>
    <n v="5415"/>
    <n v="9.7994"/>
    <n v="0.0975"/>
  </r>
  <r>
    <s v="13-Feb-2026"/>
    <x v="4"/>
    <s v="Week2-Feb-2026"/>
    <x v="5"/>
    <s v="Q4FY26"/>
    <s v="30-Jun-2026"/>
    <s v="Tuesday"/>
    <s v="Monthly - Tuesday"/>
    <s v="Monthly - Tuesday"/>
    <s v="Month+4 Expiry"/>
    <n v="123"/>
    <n v="0.2228"/>
    <n v="0.0034"/>
  </r>
  <r>
    <s v="13-Feb-2026"/>
    <x v="4"/>
    <s v="Week2-Feb-2026"/>
    <x v="5"/>
    <s v="Q4FY26"/>
    <s v="29-Sep-2026"/>
    <s v="Tuesday"/>
    <s v="Monthly - Tuesday"/>
    <s v="Monthly - Tuesday"/>
    <s v="Month+7 Expiry"/>
    <n v="0"/>
    <n v="0"/>
    <n v="0"/>
  </r>
  <r>
    <s v="13-Feb-2026"/>
    <x v="4"/>
    <s v="Week2-Feb-2026"/>
    <x v="5"/>
    <s v="Q4FY26"/>
    <s v="29-Dec-2026"/>
    <s v="Tuesday"/>
    <s v="Monthly - Tuesday"/>
    <s v="Monthly - Tuesday"/>
    <s v="Month+10 Expiry"/>
    <n v="0"/>
    <n v="0"/>
    <n v="0"/>
  </r>
  <r>
    <s v="16-Feb-2026"/>
    <x v="0"/>
    <s v="Week3-Feb-2026"/>
    <x v="5"/>
    <s v="Q4FY26"/>
    <s v="24-Feb-2026"/>
    <s v="Tuesday"/>
    <s v="Monthly - Tuesday"/>
    <s v="Monthly - Tuesday"/>
    <s v="Same Month Expiry"/>
    <n v="4350327"/>
    <n v="7864.8048"/>
    <n v="41.1772"/>
  </r>
  <r>
    <s v="16-Feb-2026"/>
    <x v="0"/>
    <s v="Week3-Feb-2026"/>
    <x v="5"/>
    <s v="Q4FY26"/>
    <s v="30-Mar-2026"/>
    <s v="Monday"/>
    <s v="Monthly - Monday"/>
    <s v="Monthly - Monday"/>
    <s v="Month+1 Expiry"/>
    <n v="132760"/>
    <n v="241.7946"/>
    <n v="2.4652"/>
  </r>
  <r>
    <s v="16-Feb-2026"/>
    <x v="0"/>
    <s v="Week3-Feb-2026"/>
    <x v="5"/>
    <s v="Q4FY26"/>
    <s v="28-Apr-2026"/>
    <s v="Tuesday"/>
    <s v="Monthly - Tuesday"/>
    <s v="Monthly - Tuesday"/>
    <s v="Month+2 Expiry"/>
    <n v="7394"/>
    <n v="13.5887"/>
    <n v="0.182"/>
  </r>
  <r>
    <s v="16-Feb-2026"/>
    <x v="0"/>
    <s v="Week3-Feb-2026"/>
    <x v="5"/>
    <s v="Q4FY26"/>
    <s v="30-Jun-2026"/>
    <s v="Tuesday"/>
    <s v="Monthly - Tuesday"/>
    <s v="Monthly - Tuesday"/>
    <s v="Month+4 Expiry"/>
    <n v="176"/>
    <n v="0.321"/>
    <n v="0.0055"/>
  </r>
  <r>
    <s v="16-Feb-2026"/>
    <x v="0"/>
    <s v="Week3-Feb-2026"/>
    <x v="5"/>
    <s v="Q4FY26"/>
    <s v="29-Sep-2026"/>
    <s v="Tuesday"/>
    <s v="Monthly - Tuesday"/>
    <s v="Monthly - Tuesday"/>
    <s v="Month+7 Expiry"/>
    <n v="0"/>
    <n v="0"/>
    <n v="0"/>
  </r>
  <r>
    <s v="16-Feb-2026"/>
    <x v="0"/>
    <s v="Week3-Feb-2026"/>
    <x v="5"/>
    <s v="Q4FY26"/>
    <s v="29-Dec-2026"/>
    <s v="Tuesday"/>
    <s v="Monthly - Tuesday"/>
    <s v="Monthly - Tuesday"/>
    <s v="Month+10 Expiry"/>
    <n v="0"/>
    <n v="0"/>
    <n v="0"/>
  </r>
  <r>
    <s v="17-Feb-2026"/>
    <x v="1"/>
    <s v="Week3-Feb-2026"/>
    <x v="5"/>
    <s v="Q4FY26"/>
    <s v="24-Feb-2026"/>
    <s v="Tuesday"/>
    <s v="Monthly - Tuesday"/>
    <s v="Monthly - Tuesday"/>
    <s v="Same Month Expiry"/>
    <n v="4695879"/>
    <n v="8499.4481"/>
    <n v="39.1683"/>
  </r>
  <r>
    <s v="17-Feb-2026"/>
    <x v="1"/>
    <s v="Week3-Feb-2026"/>
    <x v="5"/>
    <s v="Q4FY26"/>
    <s v="30-Mar-2026"/>
    <s v="Monday"/>
    <s v="Monthly - Monday"/>
    <s v="Monthly - Monday"/>
    <s v="Month+1 Expiry"/>
    <n v="181804"/>
    <n v="333.7069"/>
    <n v="3.6591"/>
  </r>
  <r>
    <s v="17-Feb-2026"/>
    <x v="1"/>
    <s v="Week3-Feb-2026"/>
    <x v="5"/>
    <s v="Q4FY26"/>
    <s v="28-Apr-2026"/>
    <s v="Tuesday"/>
    <s v="Monthly - Tuesday"/>
    <s v="Monthly - Tuesday"/>
    <s v="Month+2 Expiry"/>
    <n v="7836"/>
    <n v="14.4356"/>
    <n v="0.1899"/>
  </r>
  <r>
    <s v="17-Feb-2026"/>
    <x v="1"/>
    <s v="Week3-Feb-2026"/>
    <x v="5"/>
    <s v="Q4FY26"/>
    <s v="30-Jun-2026"/>
    <s v="Tuesday"/>
    <s v="Monthly - Tuesday"/>
    <s v="Monthly - Tuesday"/>
    <s v="Month+4 Expiry"/>
    <n v="205"/>
    <n v="0.3712"/>
    <n v="0.0055"/>
  </r>
  <r>
    <s v="17-Feb-2026"/>
    <x v="1"/>
    <s v="Week3-Feb-2026"/>
    <x v="5"/>
    <s v="Q4FY26"/>
    <s v="29-Sep-2026"/>
    <s v="Tuesday"/>
    <s v="Monthly - Tuesday"/>
    <s v="Monthly - Tuesday"/>
    <s v="Month+7 Expiry"/>
    <n v="0"/>
    <n v="0"/>
    <n v="0"/>
  </r>
  <r>
    <s v="17-Feb-2026"/>
    <x v="1"/>
    <s v="Week3-Feb-2026"/>
    <x v="5"/>
    <s v="Q4FY26"/>
    <s v="29-Dec-2026"/>
    <s v="Tuesday"/>
    <s v="Monthly - Tuesday"/>
    <s v="Monthly - Tuesday"/>
    <s v="Month+10 Expiry"/>
    <n v="0"/>
    <n v="0"/>
    <n v="0"/>
  </r>
  <r>
    <s v="18-Feb-2026"/>
    <x v="2"/>
    <s v="Week3-Feb-2026"/>
    <x v="5"/>
    <s v="Q4FY26"/>
    <s v="24-Feb-2026"/>
    <s v="Tuesday"/>
    <s v="Monthly - Tuesday"/>
    <s v="Monthly - Tuesday"/>
    <s v="Same Month Expiry"/>
    <n v="6187632"/>
    <n v="11201.2294"/>
    <n v="42.3843"/>
  </r>
  <r>
    <s v="18-Feb-2026"/>
    <x v="2"/>
    <s v="Week3-Feb-2026"/>
    <x v="5"/>
    <s v="Q4FY26"/>
    <s v="30-Mar-2026"/>
    <s v="Monday"/>
    <s v="Monthly - Monday"/>
    <s v="Monthly - Monday"/>
    <s v="Month+1 Expiry"/>
    <n v="238935"/>
    <n v="438.0108"/>
    <n v="4.1657"/>
  </r>
  <r>
    <s v="18-Feb-2026"/>
    <x v="2"/>
    <s v="Week3-Feb-2026"/>
    <x v="5"/>
    <s v="Q4FY26"/>
    <s v="28-Apr-2026"/>
    <s v="Tuesday"/>
    <s v="Monthly - Tuesday"/>
    <s v="Monthly - Tuesday"/>
    <s v="Month+2 Expiry"/>
    <n v="9490"/>
    <n v="17.5173"/>
    <n v="0.2504"/>
  </r>
  <r>
    <s v="18-Feb-2026"/>
    <x v="2"/>
    <s v="Week3-Feb-2026"/>
    <x v="5"/>
    <s v="Q4FY26"/>
    <s v="30-Jun-2026"/>
    <s v="Tuesday"/>
    <s v="Monthly - Tuesday"/>
    <s v="Monthly - Tuesday"/>
    <s v="Month+4 Expiry"/>
    <n v="204"/>
    <n v="0.3719"/>
    <n v="0.0074"/>
  </r>
  <r>
    <s v="18-Feb-2026"/>
    <x v="2"/>
    <s v="Week3-Feb-2026"/>
    <x v="5"/>
    <s v="Q4FY26"/>
    <s v="29-Sep-2026"/>
    <s v="Tuesday"/>
    <s v="Monthly - Tuesday"/>
    <s v="Monthly - Tuesday"/>
    <s v="Month+7 Expiry"/>
    <n v="0"/>
    <n v="0"/>
    <n v="0"/>
  </r>
  <r>
    <s v="18-Feb-2026"/>
    <x v="2"/>
    <s v="Week3-Feb-2026"/>
    <x v="5"/>
    <s v="Q4FY26"/>
    <s v="29-Dec-2026"/>
    <s v="Tuesday"/>
    <s v="Monthly - Tuesday"/>
    <s v="Monthly - Tuesday"/>
    <s v="Month+10 Expiry"/>
    <n v="0"/>
    <n v="0"/>
    <n v="0"/>
  </r>
  <r>
    <s v="19-Feb-2026"/>
    <x v="3"/>
    <s v="Week3-Feb-2026"/>
    <x v="5"/>
    <s v="Q4FY26"/>
    <s v="24-Feb-2026"/>
    <s v="Tuesday"/>
    <s v="Monthly - Tuesday"/>
    <s v="Monthly - Tuesday"/>
    <s v="Same Month Expiry"/>
    <n v="7927108"/>
    <n v="14295.3563"/>
    <n v="49.9196"/>
  </r>
  <r>
    <s v="19-Feb-2026"/>
    <x v="3"/>
    <s v="Week3-Feb-2026"/>
    <x v="5"/>
    <s v="Q4FY26"/>
    <s v="30-Mar-2026"/>
    <s v="Monday"/>
    <s v="Monthly - Monday"/>
    <s v="Monthly - Monday"/>
    <s v="Month+1 Expiry"/>
    <n v="378952"/>
    <n v="697.3663"/>
    <n v="7.4026"/>
  </r>
  <r>
    <s v="19-Feb-2026"/>
    <x v="3"/>
    <s v="Week3-Feb-2026"/>
    <x v="5"/>
    <s v="Q4FY26"/>
    <s v="28-Apr-2026"/>
    <s v="Tuesday"/>
    <s v="Monthly - Tuesday"/>
    <s v="Monthly - Tuesday"/>
    <s v="Month+2 Expiry"/>
    <n v="14971"/>
    <n v="27.5702"/>
    <n v="0.3818"/>
  </r>
  <r>
    <s v="19-Feb-2026"/>
    <x v="3"/>
    <s v="Week3-Feb-2026"/>
    <x v="5"/>
    <s v="Q4FY26"/>
    <s v="30-Jun-2026"/>
    <s v="Tuesday"/>
    <s v="Monthly - Tuesday"/>
    <s v="Monthly - Tuesday"/>
    <s v="Month+4 Expiry"/>
    <n v="352"/>
    <n v="0.6439"/>
    <n v="0.0126"/>
  </r>
  <r>
    <s v="19-Feb-2026"/>
    <x v="3"/>
    <s v="Week3-Feb-2026"/>
    <x v="5"/>
    <s v="Q4FY26"/>
    <s v="29-Sep-2026"/>
    <s v="Tuesday"/>
    <s v="Monthly - Tuesday"/>
    <s v="Monthly - Tuesday"/>
    <s v="Month+7 Expiry"/>
    <n v="0"/>
    <n v="0"/>
    <n v="0"/>
  </r>
  <r>
    <s v="19-Feb-2026"/>
    <x v="3"/>
    <s v="Week3-Feb-2026"/>
    <x v="5"/>
    <s v="Q4FY26"/>
    <s v="29-Dec-2026"/>
    <s v="Tuesday"/>
    <s v="Monthly - Tuesday"/>
    <s v="Monthly - Tuesday"/>
    <s v="Month+10 Expiry"/>
    <n v="0"/>
    <n v="0"/>
    <n v="0"/>
  </r>
  <r>
    <s v="20-Feb-2026"/>
    <x v="4"/>
    <s v="Week3-Feb-2026"/>
    <x v="5"/>
    <s v="Q4FY26"/>
    <s v="24-Feb-2026"/>
    <s v="Tuesday"/>
    <s v="Monthly - Tuesday"/>
    <s v="Monthly - Tuesday"/>
    <s v="Same Month Expiry"/>
    <n v="12680554"/>
    <n v="23027.3091"/>
    <n v="85.5929"/>
  </r>
  <r>
    <s v="20-Feb-2026"/>
    <x v="4"/>
    <s v="Week3-Feb-2026"/>
    <x v="5"/>
    <s v="Q4FY26"/>
    <s v="30-Mar-2026"/>
    <s v="Monday"/>
    <s v="Monthly - Monday"/>
    <s v="Monthly - Monday"/>
    <s v="Month+1 Expiry"/>
    <n v="408308"/>
    <n v="750.7895"/>
    <n v="8.266400000000001"/>
  </r>
  <r>
    <s v="20-Feb-2026"/>
    <x v="4"/>
    <s v="Week3-Feb-2026"/>
    <x v="5"/>
    <s v="Q4FY26"/>
    <s v="28-Apr-2026"/>
    <s v="Tuesday"/>
    <s v="Monthly - Tuesday"/>
    <s v="Monthly - Tuesday"/>
    <s v="Month+2 Expiry"/>
    <n v="11033"/>
    <n v="20.2704"/>
    <n v="0.2797"/>
  </r>
  <r>
    <s v="20-Feb-2026"/>
    <x v="4"/>
    <s v="Week3-Feb-2026"/>
    <x v="5"/>
    <s v="Q4FY26"/>
    <s v="30-Jun-2026"/>
    <s v="Tuesday"/>
    <s v="Monthly - Tuesday"/>
    <s v="Monthly - Tuesday"/>
    <s v="Month+4 Expiry"/>
    <n v="306"/>
    <n v="0.5609"/>
    <n v="0.0113"/>
  </r>
  <r>
    <s v="20-Feb-2026"/>
    <x v="4"/>
    <s v="Week3-Feb-2026"/>
    <x v="5"/>
    <s v="Q4FY26"/>
    <s v="29-Sep-2026"/>
    <s v="Tuesday"/>
    <s v="Monthly - Tuesday"/>
    <s v="Monthly - Tuesday"/>
    <s v="Month+7 Expiry"/>
    <n v="0"/>
    <n v="0"/>
    <n v="0"/>
  </r>
  <r>
    <s v="20-Feb-2026"/>
    <x v="4"/>
    <s v="Week3-Feb-2026"/>
    <x v="5"/>
    <s v="Q4FY26"/>
    <s v="29-Dec-2026"/>
    <s v="Tuesday"/>
    <s v="Monthly - Tuesday"/>
    <s v="Monthly - Tuesday"/>
    <s v="Month+10 Expiry"/>
    <n v="0"/>
    <n v="0"/>
    <n v="0"/>
  </r>
  <r>
    <s v="23-Feb-2026"/>
    <x v="0"/>
    <s v="Week4-Feb-2026"/>
    <x v="5"/>
    <s v="Q4FY26"/>
    <s v="24-Feb-2026"/>
    <s v="Tuesday"/>
    <s v="Monthly - Tuesday"/>
    <s v="Monthly - Tuesday"/>
    <s v="Same Month Expiry"/>
    <n v="18965791"/>
    <n v="34370.5432"/>
    <n v="96.6915"/>
  </r>
  <r>
    <s v="23-Feb-2026"/>
    <x v="0"/>
    <s v="Week4-Feb-2026"/>
    <x v="5"/>
    <s v="Q4FY26"/>
    <s v="30-Mar-2026"/>
    <s v="Monday"/>
    <s v="Monthly - Monday"/>
    <s v="Monthly - Monday"/>
    <s v="Month+1 Expiry"/>
    <n v="423329"/>
    <n v="780.3824"/>
    <n v="9.6454"/>
  </r>
  <r>
    <s v="23-Feb-2026"/>
    <x v="0"/>
    <s v="Week4-Feb-2026"/>
    <x v="5"/>
    <s v="Q4FY26"/>
    <s v="28-Apr-2026"/>
    <s v="Tuesday"/>
    <s v="Monthly - Tuesday"/>
    <s v="Monthly - Tuesday"/>
    <s v="Month+2 Expiry"/>
    <n v="10642"/>
    <n v="19.6311"/>
    <n v="0.2718"/>
  </r>
  <r>
    <s v="23-Feb-2026"/>
    <x v="0"/>
    <s v="Week4-Feb-2026"/>
    <x v="5"/>
    <s v="Q4FY26"/>
    <s v="30-Jun-2026"/>
    <s v="Tuesday"/>
    <s v="Monthly - Tuesday"/>
    <s v="Monthly - Tuesday"/>
    <s v="Month+4 Expiry"/>
    <n v="150"/>
    <n v="0.2747"/>
    <n v="0.006"/>
  </r>
  <r>
    <s v="23-Feb-2026"/>
    <x v="0"/>
    <s v="Week4-Feb-2026"/>
    <x v="5"/>
    <s v="Q4FY26"/>
    <s v="29-Sep-2026"/>
    <s v="Tuesday"/>
    <s v="Monthly - Tuesday"/>
    <s v="Monthly - Tuesday"/>
    <s v="Month+7 Expiry"/>
    <n v="0"/>
    <n v="0"/>
    <n v="0"/>
  </r>
  <r>
    <s v="23-Feb-2026"/>
    <x v="0"/>
    <s v="Week4-Feb-2026"/>
    <x v="5"/>
    <s v="Q4FY26"/>
    <s v="29-Dec-2026"/>
    <s v="Tuesday"/>
    <s v="Monthly - Tuesday"/>
    <s v="Monthly - Tuesday"/>
    <s v="Month+10 Expiry"/>
    <n v="0"/>
    <n v="0"/>
    <n v="0"/>
  </r>
  <r>
    <s v="24-Feb-2026"/>
    <x v="1"/>
    <s v="Week4-Feb-2026"/>
    <x v="5"/>
    <s v="Q4FY26"/>
    <s v="24-Feb-2026"/>
    <s v="Tuesday"/>
    <s v="Monthly - Tuesday"/>
    <s v="Monthly - Tuesday"/>
    <s v="Same Month Expiry"/>
    <n v="90988108"/>
    <n v="164406.7164"/>
    <n v="169.8191"/>
  </r>
  <r>
    <s v="24-Feb-2026"/>
    <x v="1"/>
    <s v="Week4-Feb-2026"/>
    <x v="5"/>
    <s v="Q4FY26"/>
    <s v="30-Mar-2026"/>
    <s v="Monday"/>
    <s v="Monthly - Monday"/>
    <s v="Monthly - Monday"/>
    <s v="Month+1 Expiry"/>
    <n v="895039"/>
    <n v="1644.1347"/>
    <n v="18.0693"/>
  </r>
  <r>
    <s v="24-Feb-2026"/>
    <x v="1"/>
    <s v="Week4-Feb-2026"/>
    <x v="5"/>
    <s v="Q4FY26"/>
    <s v="28-Apr-2026"/>
    <s v="Tuesday"/>
    <s v="Monthly - Tuesday"/>
    <s v="Monthly - Tuesday"/>
    <s v="Month+2 Expiry"/>
    <n v="15753"/>
    <n v="29.1145"/>
    <n v="0.378"/>
  </r>
  <r>
    <s v="24-Feb-2026"/>
    <x v="1"/>
    <s v="Week4-Feb-2026"/>
    <x v="5"/>
    <s v="Q4FY26"/>
    <s v="30-Jun-2026"/>
    <s v="Tuesday"/>
    <s v="Monthly - Tuesday"/>
    <s v="Monthly - Tuesday"/>
    <s v="Month+4 Expiry"/>
    <n v="268"/>
    <n v="0.4895"/>
    <n v="0.0103"/>
  </r>
  <r>
    <s v="24-Feb-2026"/>
    <x v="1"/>
    <s v="Week4-Feb-2026"/>
    <x v="5"/>
    <s v="Q4FY26"/>
    <s v="29-Sep-2026"/>
    <s v="Tuesday"/>
    <s v="Monthly - Tuesday"/>
    <s v="Monthly - Tuesday"/>
    <s v="Month+7 Expiry"/>
    <n v="0"/>
    <n v="0"/>
    <n v="0"/>
  </r>
  <r>
    <s v="24-Feb-2026"/>
    <x v="1"/>
    <s v="Week4-Feb-2026"/>
    <x v="5"/>
    <s v="Q4FY26"/>
    <s v="29-Dec-2026"/>
    <s v="Tuesday"/>
    <s v="Monthly - Tuesday"/>
    <s v="Monthly - Tuesday"/>
    <s v="Month+10 Expiry"/>
    <n v="0"/>
    <n v="0"/>
    <n v="0"/>
  </r>
  <r>
    <s v="25-Feb-2026"/>
    <x v="2"/>
    <s v="Week4-Feb-2026"/>
    <x v="5"/>
    <s v="Q4FY26"/>
    <s v="30-Mar-2026"/>
    <s v="Monday"/>
    <s v="Monthly - Monday"/>
    <s v="Monthly - Monday"/>
    <s v="Month+1 Expiry"/>
    <n v="1954093"/>
    <n v="3580.4693"/>
    <n v="35.1357"/>
  </r>
  <r>
    <s v="25-Feb-2026"/>
    <x v="2"/>
    <s v="Week4-Feb-2026"/>
    <x v="5"/>
    <s v="Q4FY26"/>
    <s v="28-Apr-2026"/>
    <s v="Tuesday"/>
    <s v="Monthly - Tuesday"/>
    <s v="Monthly - Tuesday"/>
    <s v="Month+2 Expiry"/>
    <n v="18789"/>
    <n v="34.6615"/>
    <n v="0.4379"/>
  </r>
  <r>
    <s v="25-Feb-2026"/>
    <x v="2"/>
    <s v="Week4-Feb-2026"/>
    <x v="5"/>
    <s v="Q4FY26"/>
    <s v="26-May-2026"/>
    <s v="Tuesday"/>
    <s v="Monthly - Tuesday"/>
    <s v="Monthly - Tuesday"/>
    <s v="Month+3 Expiry"/>
    <n v="370"/>
    <n v="0.6676"/>
    <n v="0.0094"/>
  </r>
  <r>
    <s v="25-Feb-2026"/>
    <x v="2"/>
    <s v="Week4-Feb-2026"/>
    <x v="5"/>
    <s v="Q4FY26"/>
    <s v="30-Jun-2026"/>
    <s v="Tuesday"/>
    <s v="Monthly - Tuesday"/>
    <s v="Monthly - Tuesday"/>
    <s v="Month+4 Expiry"/>
    <n v="242"/>
    <n v="0.4408"/>
    <n v="0.0083"/>
  </r>
  <r>
    <s v="25-Feb-2026"/>
    <x v="2"/>
    <s v="Week4-Feb-2026"/>
    <x v="5"/>
    <s v="Q4FY26"/>
    <s v="29-Sep-2026"/>
    <s v="Tuesday"/>
    <s v="Monthly - Tuesday"/>
    <s v="Monthly - Tuesday"/>
    <s v="Month+7 Expiry"/>
    <n v="0"/>
    <n v="0"/>
    <n v="0"/>
  </r>
  <r>
    <s v="25-Feb-2026"/>
    <x v="2"/>
    <s v="Week4-Feb-2026"/>
    <x v="5"/>
    <s v="Q4FY26"/>
    <s v="29-Dec-2026"/>
    <s v="Tuesday"/>
    <s v="Monthly - Tuesday"/>
    <s v="Monthly - Tuesday"/>
    <s v="Month+10 Expiry"/>
    <n v="0"/>
    <n v="0"/>
    <n v="0"/>
  </r>
  <r>
    <s v="26-Feb-2026"/>
    <x v="3"/>
    <s v="Week4-Feb-2026"/>
    <x v="5"/>
    <s v="Q4FY26"/>
    <s v="30-Mar-2026"/>
    <s v="Monday"/>
    <s v="Monthly - Monday"/>
    <s v="Monthly - Monday"/>
    <s v="Month+1 Expiry"/>
    <n v="1640894"/>
    <n v="2998.4391"/>
    <n v="29.3564"/>
  </r>
  <r>
    <s v="26-Feb-2026"/>
    <x v="3"/>
    <s v="Week4-Feb-2026"/>
    <x v="5"/>
    <s v="Q4FY26"/>
    <s v="28-Apr-2026"/>
    <s v="Tuesday"/>
    <s v="Monthly - Tuesday"/>
    <s v="Monthly - Tuesday"/>
    <s v="Month+2 Expiry"/>
    <n v="17189"/>
    <n v="31.5213"/>
    <n v="0.3677"/>
  </r>
  <r>
    <s v="26-Feb-2026"/>
    <x v="3"/>
    <s v="Week4-Feb-2026"/>
    <x v="5"/>
    <s v="Q4FY26"/>
    <s v="26-May-2026"/>
    <s v="Tuesday"/>
    <s v="Monthly - Tuesday"/>
    <s v="Monthly - Tuesday"/>
    <s v="Month+3 Expiry"/>
    <n v="936"/>
    <n v="1.7144"/>
    <n v="0.0267"/>
  </r>
  <r>
    <s v="26-Feb-2026"/>
    <x v="3"/>
    <s v="Week4-Feb-2026"/>
    <x v="5"/>
    <s v="Q4FY26"/>
    <s v="30-Jun-2026"/>
    <s v="Tuesday"/>
    <s v="Monthly - Tuesday"/>
    <s v="Monthly - Tuesday"/>
    <s v="Month+4 Expiry"/>
    <n v="186"/>
    <n v="0.3374"/>
    <n v="0.0055"/>
  </r>
  <r>
    <s v="26-Feb-2026"/>
    <x v="3"/>
    <s v="Week4-Feb-2026"/>
    <x v="5"/>
    <s v="Q4FY26"/>
    <s v="29-Sep-2026"/>
    <s v="Tuesday"/>
    <s v="Monthly - Tuesday"/>
    <s v="Monthly - Tuesday"/>
    <s v="Month+7 Expiry"/>
    <n v="0"/>
    <n v="0"/>
    <n v="0"/>
  </r>
  <r>
    <s v="26-Feb-2026"/>
    <x v="3"/>
    <s v="Week4-Feb-2026"/>
    <x v="5"/>
    <s v="Q4FY26"/>
    <s v="29-Dec-2026"/>
    <s v="Tuesday"/>
    <s v="Monthly - Tuesday"/>
    <s v="Monthly - Tuesday"/>
    <s v="Month+10 Expiry"/>
    <n v="0"/>
    <n v="0"/>
    <n v="0"/>
  </r>
  <r>
    <s v="27-Feb-2026"/>
    <x v="4"/>
    <s v="Week4-Feb-2026"/>
    <x v="5"/>
    <s v="Q4FY26"/>
    <s v="30-Mar-2026"/>
    <s v="Monday"/>
    <s v="Monthly - Monday"/>
    <s v="Monthly - Monday"/>
    <s v="Month+1 Expiry"/>
    <n v="2217864"/>
    <n v="4039.5065"/>
    <n v="38.6631"/>
  </r>
  <r>
    <s v="27-Feb-2026"/>
    <x v="4"/>
    <s v="Week4-Feb-2026"/>
    <x v="5"/>
    <s v="Q4FY26"/>
    <s v="28-Apr-2026"/>
    <s v="Tuesday"/>
    <s v="Monthly - Tuesday"/>
    <s v="Monthly - Tuesday"/>
    <s v="Month+2 Expiry"/>
    <n v="25813"/>
    <n v="47.5447"/>
    <n v="0.5774"/>
  </r>
  <r>
    <s v="27-Feb-2026"/>
    <x v="4"/>
    <s v="Week4-Feb-2026"/>
    <x v="5"/>
    <s v="Q4FY26"/>
    <s v="26-May-2026"/>
    <s v="Tuesday"/>
    <s v="Monthly - Tuesday"/>
    <s v="Monthly - Tuesday"/>
    <s v="Month+3 Expiry"/>
    <n v="2404"/>
    <n v="4.4069"/>
    <n v="0.07049999999999999"/>
  </r>
  <r>
    <s v="27-Feb-2026"/>
    <x v="4"/>
    <s v="Week4-Feb-2026"/>
    <x v="5"/>
    <s v="Q4FY26"/>
    <s v="30-Jun-2026"/>
    <s v="Tuesday"/>
    <s v="Monthly - Tuesday"/>
    <s v="Monthly - Tuesday"/>
    <s v="Month+4 Expiry"/>
    <n v="329"/>
    <n v="0.5975"/>
    <n v="0.011"/>
  </r>
  <r>
    <s v="27-Feb-2026"/>
    <x v="4"/>
    <s v="Week4-Feb-2026"/>
    <x v="5"/>
    <s v="Q4FY26"/>
    <s v="29-Sep-2026"/>
    <s v="Tuesday"/>
    <s v="Monthly - Tuesday"/>
    <s v="Monthly - Tuesday"/>
    <s v="Month+7 Expiry"/>
    <n v="0"/>
    <n v="0"/>
    <n v="0"/>
  </r>
  <r>
    <s v="27-Feb-2026"/>
    <x v="4"/>
    <s v="Week4-Feb-2026"/>
    <x v="5"/>
    <s v="Q4FY26"/>
    <s v="29-Dec-2026"/>
    <s v="Tuesday"/>
    <s v="Monthly - Tuesday"/>
    <s v="Monthly - Tuesday"/>
    <s v="Month+10 Expiry"/>
    <n v="0"/>
    <n v="0"/>
    <n v="0"/>
  </r>
  <r>
    <s v="02-Mar-2026"/>
    <x v="0"/>
    <s v="Week1-Mar-2026"/>
    <x v="6"/>
    <s v="Q4FY26"/>
    <s v="30-Mar-2026"/>
    <s v="Monday"/>
    <s v="Monthly - Monday"/>
    <s v="Monthly - Monday"/>
    <s v="Same Month Expiry"/>
    <n v="2903983"/>
    <n v="5223.728"/>
    <n v="50.5254"/>
  </r>
  <r>
    <s v="02-Mar-2026"/>
    <x v="0"/>
    <s v="Week1-Mar-2026"/>
    <x v="6"/>
    <s v="Q4FY26"/>
    <s v="28-Apr-2026"/>
    <s v="Tuesday"/>
    <s v="Monthly - Tuesday"/>
    <s v="Monthly - Tuesday"/>
    <s v="Month+1 Expiry"/>
    <n v="77490"/>
    <n v="141.3585"/>
    <n v="1.9388"/>
  </r>
  <r>
    <s v="02-Mar-2026"/>
    <x v="0"/>
    <s v="Week1-Mar-2026"/>
    <x v="6"/>
    <s v="Q4FY26"/>
    <s v="26-May-2026"/>
    <s v="Tuesday"/>
    <s v="Monthly - Tuesday"/>
    <s v="Monthly - Tuesday"/>
    <s v="Month+2 Expiry"/>
    <n v="3791"/>
    <n v="6.9307"/>
    <n v="0.1192"/>
  </r>
  <r>
    <s v="02-Mar-2026"/>
    <x v="0"/>
    <s v="Week1-Mar-2026"/>
    <x v="6"/>
    <s v="Q4FY26"/>
    <s v="30-Jun-2026"/>
    <s v="Tuesday"/>
    <s v="Monthly - Tuesday"/>
    <s v="Monthly - Tuesday"/>
    <s v="Month+3 Expiry"/>
    <n v="739"/>
    <n v="1.3464"/>
    <n v="0.0277"/>
  </r>
  <r>
    <s v="02-Mar-2026"/>
    <x v="0"/>
    <s v="Week1-Mar-2026"/>
    <x v="6"/>
    <s v="Q4FY26"/>
    <s v="29-Sep-2026"/>
    <s v="Tuesday"/>
    <s v="Monthly - Tuesday"/>
    <s v="Monthly - Tuesday"/>
    <s v="Month+6 Expiry"/>
    <n v="0"/>
    <n v="0"/>
    <n v="0"/>
  </r>
  <r>
    <s v="02-Mar-2026"/>
    <x v="0"/>
    <s v="Week1-Mar-2026"/>
    <x v="6"/>
    <s v="Q4FY26"/>
    <s v="29-Dec-2026"/>
    <s v="Tuesday"/>
    <s v="Monthly - Tuesday"/>
    <s v="Monthly - Tuesday"/>
    <s v="Month+9 Expiry"/>
    <n v="0"/>
    <n v="0"/>
    <n v="0"/>
  </r>
  <r>
    <s v="04-Mar-2026"/>
    <x v="2"/>
    <s v="Week1-Mar-2026"/>
    <x v="6"/>
    <s v="Q4FY26"/>
    <s v="30-Mar-2026"/>
    <s v="Monday"/>
    <s v="Monthly - Monday"/>
    <s v="Monthly - Monday"/>
    <s v="Same Month Expiry"/>
    <n v="2933995"/>
    <n v="5212.5291"/>
    <n v="62.5284"/>
  </r>
  <r>
    <s v="04-Mar-2026"/>
    <x v="2"/>
    <s v="Week1-Mar-2026"/>
    <x v="6"/>
    <s v="Q4FY26"/>
    <s v="28-Apr-2026"/>
    <s v="Tuesday"/>
    <s v="Monthly - Tuesday"/>
    <s v="Monthly - Tuesday"/>
    <s v="Month+1 Expiry"/>
    <n v="68047"/>
    <n v="122.8518"/>
    <n v="2.0493"/>
  </r>
  <r>
    <s v="04-Mar-2026"/>
    <x v="2"/>
    <s v="Week1-Mar-2026"/>
    <x v="6"/>
    <s v="Q4FY26"/>
    <s v="26-May-2026"/>
    <s v="Tuesday"/>
    <s v="Monthly - Tuesday"/>
    <s v="Monthly - Tuesday"/>
    <s v="Month+2 Expiry"/>
    <n v="5848"/>
    <n v="10.6803"/>
    <n v="0.2246"/>
  </r>
  <r>
    <s v="04-Mar-2026"/>
    <x v="2"/>
    <s v="Week1-Mar-2026"/>
    <x v="6"/>
    <s v="Q4FY26"/>
    <s v="30-Jun-2026"/>
    <s v="Tuesday"/>
    <s v="Monthly - Tuesday"/>
    <s v="Monthly - Tuesday"/>
    <s v="Month+3 Expiry"/>
    <n v="871"/>
    <n v="1.6056"/>
    <n v="0.0378"/>
  </r>
  <r>
    <s v="04-Mar-2026"/>
    <x v="2"/>
    <s v="Week1-Mar-2026"/>
    <x v="6"/>
    <s v="Q4FY26"/>
    <s v="29-Sep-2026"/>
    <s v="Tuesday"/>
    <s v="Monthly - Tuesday"/>
    <s v="Monthly - Tuesday"/>
    <s v="Month+6 Expiry"/>
    <n v="0"/>
    <n v="0"/>
    <n v="0"/>
  </r>
  <r>
    <s v="04-Mar-2026"/>
    <x v="2"/>
    <s v="Week1-Mar-2026"/>
    <x v="6"/>
    <s v="Q4FY26"/>
    <s v="29-Dec-2026"/>
    <s v="Tuesday"/>
    <s v="Monthly - Tuesday"/>
    <s v="Monthly - Tuesday"/>
    <s v="Month+9 Expiry"/>
    <n v="0"/>
    <n v="0"/>
    <n v="0"/>
  </r>
  <r>
    <s v="05-Mar-2026"/>
    <x v="3"/>
    <s v="Week1-Mar-2026"/>
    <x v="6"/>
    <s v="Q4FY26"/>
    <s v="30-Mar-2026"/>
    <s v="Monday"/>
    <s v="Monthly - Monday"/>
    <s v="Monthly - Monday"/>
    <s v="Same Month Expiry"/>
    <n v="2837637"/>
    <n v="5052.8977"/>
    <n v="54.1067"/>
  </r>
  <r>
    <s v="05-Mar-2026"/>
    <x v="3"/>
    <s v="Week1-Mar-2026"/>
    <x v="6"/>
    <s v="Q4FY26"/>
    <s v="28-Apr-2026"/>
    <s v="Tuesday"/>
    <s v="Monthly - Tuesday"/>
    <s v="Monthly - Tuesday"/>
    <s v="Month+1 Expiry"/>
    <n v="82730"/>
    <n v="149.9902"/>
    <n v="2.3873"/>
  </r>
  <r>
    <s v="05-Mar-2026"/>
    <x v="3"/>
    <s v="Week1-Mar-2026"/>
    <x v="6"/>
    <s v="Q4FY26"/>
    <s v="26-May-2026"/>
    <s v="Tuesday"/>
    <s v="Monthly - Tuesday"/>
    <s v="Monthly - Tuesday"/>
    <s v="Month+2 Expiry"/>
    <n v="3869"/>
    <n v="7.0822"/>
    <n v="0.1208"/>
  </r>
  <r>
    <s v="05-Mar-2026"/>
    <x v="3"/>
    <s v="Week1-Mar-2026"/>
    <x v="6"/>
    <s v="Q4FY26"/>
    <s v="30-Jun-2026"/>
    <s v="Tuesday"/>
    <s v="Monthly - Tuesday"/>
    <s v="Monthly - Tuesday"/>
    <s v="Month+3 Expiry"/>
    <n v="764"/>
    <n v="1.4061"/>
    <n v="0.0294"/>
  </r>
  <r>
    <s v="05-Mar-2026"/>
    <x v="3"/>
    <s v="Week1-Mar-2026"/>
    <x v="6"/>
    <s v="Q4FY26"/>
    <s v="29-Sep-2026"/>
    <s v="Tuesday"/>
    <s v="Monthly - Tuesday"/>
    <s v="Monthly - Tuesday"/>
    <s v="Month+6 Expiry"/>
    <n v="0"/>
    <n v="0"/>
    <n v="0"/>
  </r>
  <r>
    <s v="05-Mar-2026"/>
    <x v="3"/>
    <s v="Week1-Mar-2026"/>
    <x v="6"/>
    <s v="Q4FY26"/>
    <s v="29-Dec-2026"/>
    <s v="Tuesday"/>
    <s v="Monthly - Tuesday"/>
    <s v="Monthly - Tuesday"/>
    <s v="Month+9 Expiry"/>
    <n v="0"/>
    <n v="0"/>
    <n v="0"/>
  </r>
  <r>
    <s v="06-Mar-2026"/>
    <x v="4"/>
    <s v="Week1-Mar-2026"/>
    <x v="6"/>
    <s v="Q4FY26"/>
    <s v="30-Mar-2026"/>
    <s v="Monday"/>
    <s v="Monthly - Monday"/>
    <s v="Monthly - Monday"/>
    <s v="Same Month Expiry"/>
    <n v="2866522"/>
    <n v="5049.9653"/>
    <n v="58.5898"/>
  </r>
  <r>
    <s v="06-Mar-2026"/>
    <x v="4"/>
    <s v="Week1-Mar-2026"/>
    <x v="6"/>
    <s v="Q4FY26"/>
    <s v="28-Apr-2026"/>
    <s v="Tuesday"/>
    <s v="Monthly - Tuesday"/>
    <s v="Monthly - Tuesday"/>
    <s v="Month+1 Expiry"/>
    <n v="90120"/>
    <n v="162.8729"/>
    <n v="2.589"/>
  </r>
  <r>
    <s v="06-Mar-2026"/>
    <x v="4"/>
    <s v="Week1-Mar-2026"/>
    <x v="6"/>
    <s v="Q4FY26"/>
    <s v="26-May-2026"/>
    <s v="Tuesday"/>
    <s v="Monthly - Tuesday"/>
    <s v="Monthly - Tuesday"/>
    <s v="Month+2 Expiry"/>
    <n v="4256"/>
    <n v="7.7239"/>
    <n v="0.1535"/>
  </r>
  <r>
    <s v="06-Mar-2026"/>
    <x v="4"/>
    <s v="Week1-Mar-2026"/>
    <x v="6"/>
    <s v="Q4FY26"/>
    <s v="30-Jun-2026"/>
    <s v="Tuesday"/>
    <s v="Monthly - Tuesday"/>
    <s v="Monthly - Tuesday"/>
    <s v="Month+3 Expiry"/>
    <n v="916"/>
    <n v="1.6778"/>
    <n v="0.0331"/>
  </r>
  <r>
    <s v="06-Mar-2026"/>
    <x v="4"/>
    <s v="Week1-Mar-2026"/>
    <x v="6"/>
    <s v="Q4FY26"/>
    <s v="29-Sep-2026"/>
    <s v="Tuesday"/>
    <s v="Monthly - Tuesday"/>
    <s v="Monthly - Tuesday"/>
    <s v="Month+6 Expiry"/>
    <n v="0"/>
    <n v="0"/>
    <n v="0"/>
  </r>
  <r>
    <s v="06-Mar-2026"/>
    <x v="4"/>
    <s v="Week1-Mar-2026"/>
    <x v="6"/>
    <s v="Q4FY26"/>
    <s v="29-Dec-2026"/>
    <s v="Tuesday"/>
    <s v="Monthly - Tuesday"/>
    <s v="Monthly - Tuesday"/>
    <s v="Month+9 Expiry"/>
    <n v="0"/>
    <n v="0"/>
    <n v="0"/>
  </r>
  <r>
    <s v="09-Mar-2026"/>
    <x v="0"/>
    <s v="Week2-Mar-2026"/>
    <x v="6"/>
    <s v="Q4FY26"/>
    <s v="30-Mar-2026"/>
    <s v="Monday"/>
    <s v="Monthly - Monday"/>
    <s v="Monthly - Monday"/>
    <s v="Same Month Expiry"/>
    <n v="2888911"/>
    <n v="5001.9083"/>
    <n v="72.2641"/>
  </r>
  <r>
    <s v="09-Mar-2026"/>
    <x v="0"/>
    <s v="Week2-Mar-2026"/>
    <x v="6"/>
    <s v="Q4FY26"/>
    <s v="28-Apr-2026"/>
    <s v="Tuesday"/>
    <s v="Monthly - Tuesday"/>
    <s v="Monthly - Tuesday"/>
    <s v="Month+1 Expiry"/>
    <n v="125757"/>
    <n v="224.7017"/>
    <n v="4.2353"/>
  </r>
  <r>
    <s v="09-Mar-2026"/>
    <x v="0"/>
    <s v="Week2-Mar-2026"/>
    <x v="6"/>
    <s v="Q4FY26"/>
    <s v="26-May-2026"/>
    <s v="Tuesday"/>
    <s v="Monthly - Tuesday"/>
    <s v="Monthly - Tuesday"/>
    <s v="Month+2 Expiry"/>
    <n v="6838"/>
    <n v="12.2645"/>
    <n v="0.3072"/>
  </r>
  <r>
    <s v="09-Mar-2026"/>
    <x v="0"/>
    <s v="Week2-Mar-2026"/>
    <x v="6"/>
    <s v="Q4FY26"/>
    <s v="30-Jun-2026"/>
    <s v="Tuesday"/>
    <s v="Monthly - Tuesday"/>
    <s v="Monthly - Tuesday"/>
    <s v="Month+3 Expiry"/>
    <n v="2798"/>
    <n v="5.0152"/>
    <n v="0.1125"/>
  </r>
  <r>
    <s v="09-Mar-2026"/>
    <x v="0"/>
    <s v="Week2-Mar-2026"/>
    <x v="6"/>
    <s v="Q4FY26"/>
    <s v="29-Sep-2026"/>
    <s v="Tuesday"/>
    <s v="Monthly - Tuesday"/>
    <s v="Monthly - Tuesday"/>
    <s v="Month+6 Expiry"/>
    <n v="0"/>
    <n v="0"/>
    <n v="0"/>
  </r>
  <r>
    <s v="09-Mar-2026"/>
    <x v="0"/>
    <s v="Week2-Mar-2026"/>
    <x v="6"/>
    <s v="Q4FY26"/>
    <s v="29-Dec-2026"/>
    <s v="Tuesday"/>
    <s v="Monthly - Tuesday"/>
    <s v="Monthly - Tuesday"/>
    <s v="Month+9 Expiry"/>
    <n v="0"/>
    <n v="0"/>
    <n v="0"/>
  </r>
  <r>
    <s v="10-Mar-2026"/>
    <x v="1"/>
    <s v="Week2-Mar-2026"/>
    <x v="6"/>
    <s v="Q4FY26"/>
    <s v="30-Mar-2026"/>
    <s v="Monday"/>
    <s v="Monthly - Monday"/>
    <s v="Monthly - Monday"/>
    <s v="Same Month Expiry"/>
    <n v="2451975"/>
    <n v="4244.7377"/>
    <n v="49.3932"/>
  </r>
  <r>
    <s v="10-Mar-2026"/>
    <x v="1"/>
    <s v="Week2-Mar-2026"/>
    <x v="6"/>
    <s v="Q4FY26"/>
    <s v="28-Apr-2026"/>
    <s v="Tuesday"/>
    <s v="Monthly - Tuesday"/>
    <s v="Monthly - Tuesday"/>
    <s v="Month+1 Expiry"/>
    <n v="114144"/>
    <n v="205.5598"/>
    <n v="3.7164"/>
  </r>
  <r>
    <s v="10-Mar-2026"/>
    <x v="1"/>
    <s v="Week2-Mar-2026"/>
    <x v="6"/>
    <s v="Q4FY26"/>
    <s v="26-May-2026"/>
    <s v="Tuesday"/>
    <s v="Monthly - Tuesday"/>
    <s v="Monthly - Tuesday"/>
    <s v="Month+2 Expiry"/>
    <n v="4678"/>
    <n v="8.4331"/>
    <n v="0.1549"/>
  </r>
  <r>
    <s v="10-Mar-2026"/>
    <x v="1"/>
    <s v="Week2-Mar-2026"/>
    <x v="6"/>
    <s v="Q4FY26"/>
    <s v="30-Jun-2026"/>
    <s v="Tuesday"/>
    <s v="Monthly - Tuesday"/>
    <s v="Monthly - Tuesday"/>
    <s v="Month+3 Expiry"/>
    <n v="1351"/>
    <n v="2.4594"/>
    <n v="0.0429"/>
  </r>
  <r>
    <s v="10-Mar-2026"/>
    <x v="1"/>
    <s v="Week2-Mar-2026"/>
    <x v="6"/>
    <s v="Q4FY26"/>
    <s v="29-Sep-2026"/>
    <s v="Tuesday"/>
    <s v="Monthly - Tuesday"/>
    <s v="Monthly - Tuesday"/>
    <s v="Month+6 Expiry"/>
    <n v="0"/>
    <n v="0"/>
    <n v="0"/>
  </r>
  <r>
    <s v="10-Mar-2026"/>
    <x v="1"/>
    <s v="Week2-Mar-2026"/>
    <x v="6"/>
    <s v="Q4FY26"/>
    <s v="29-Dec-2026"/>
    <s v="Tuesday"/>
    <s v="Monthly - Tuesday"/>
    <s v="Monthly - Tuesday"/>
    <s v="Month+9 Expiry"/>
    <n v="0"/>
    <n v="0"/>
    <n v="0"/>
  </r>
  <r>
    <s v="11-Mar-2026"/>
    <x v="2"/>
    <s v="Week2-Mar-2026"/>
    <x v="6"/>
    <s v="Q4FY26"/>
    <s v="30-Mar-2026"/>
    <s v="Monday"/>
    <s v="Monthly - Monday"/>
    <s v="Monthly - Monday"/>
    <s v="Same Month Expiry"/>
    <n v="2588800"/>
    <n v="4457.8354"/>
    <n v="51.4296"/>
  </r>
  <r>
    <s v="11-Mar-2026"/>
    <x v="2"/>
    <s v="Week2-Mar-2026"/>
    <x v="6"/>
    <s v="Q4FY26"/>
    <s v="28-Apr-2026"/>
    <s v="Tuesday"/>
    <s v="Monthly - Tuesday"/>
    <s v="Monthly - Tuesday"/>
    <s v="Month+1 Expiry"/>
    <n v="138782"/>
    <n v="247.4927"/>
    <n v="4.3229"/>
  </r>
  <r>
    <s v="11-Mar-2026"/>
    <x v="2"/>
    <s v="Week2-Mar-2026"/>
    <x v="6"/>
    <s v="Q4FY26"/>
    <s v="26-May-2026"/>
    <s v="Tuesday"/>
    <s v="Monthly - Tuesday"/>
    <s v="Monthly - Tuesday"/>
    <s v="Month+2 Expiry"/>
    <n v="6964"/>
    <n v="12.5123"/>
    <n v="0.2381"/>
  </r>
  <r>
    <s v="11-Mar-2026"/>
    <x v="2"/>
    <s v="Week2-Mar-2026"/>
    <x v="6"/>
    <s v="Q4FY26"/>
    <s v="30-Jun-2026"/>
    <s v="Tuesday"/>
    <s v="Monthly - Tuesday"/>
    <s v="Monthly - Tuesday"/>
    <s v="Month+3 Expiry"/>
    <n v="1586"/>
    <n v="2.8689"/>
    <n v="0.056"/>
  </r>
  <r>
    <s v="11-Mar-2026"/>
    <x v="2"/>
    <s v="Week2-Mar-2026"/>
    <x v="6"/>
    <s v="Q4FY26"/>
    <s v="29-Sep-2026"/>
    <s v="Tuesday"/>
    <s v="Monthly - Tuesday"/>
    <s v="Monthly - Tuesday"/>
    <s v="Month+6 Expiry"/>
    <n v="0"/>
    <n v="0"/>
    <n v="0"/>
  </r>
  <r>
    <s v="11-Mar-2026"/>
    <x v="2"/>
    <s v="Week2-Mar-2026"/>
    <x v="6"/>
    <s v="Q4FY26"/>
    <s v="29-Dec-2026"/>
    <s v="Tuesday"/>
    <s v="Monthly - Tuesday"/>
    <s v="Monthly - Tuesday"/>
    <s v="Month+9 Expiry"/>
    <n v="0"/>
    <n v="0"/>
    <n v="0"/>
  </r>
  <r>
    <s v="12-Mar-2026"/>
    <x v="3"/>
    <s v="Week2-Mar-2026"/>
    <x v="6"/>
    <s v="Q4FY26"/>
    <s v="30-Mar-2026"/>
    <s v="Monday"/>
    <s v="Monthly - Monday"/>
    <s v="Monthly - Monday"/>
    <s v="Same Month Expiry"/>
    <n v="2622396"/>
    <n v="4454.5484"/>
    <n v="53.6427"/>
  </r>
  <r>
    <s v="12-Mar-2026"/>
    <x v="3"/>
    <s v="Week2-Mar-2026"/>
    <x v="6"/>
    <s v="Q4FY26"/>
    <s v="28-Apr-2026"/>
    <s v="Tuesday"/>
    <s v="Monthly - Tuesday"/>
    <s v="Monthly - Tuesday"/>
    <s v="Month+1 Expiry"/>
    <n v="116200"/>
    <n v="204.8034"/>
    <n v="3.8403"/>
  </r>
  <r>
    <s v="12-Mar-2026"/>
    <x v="3"/>
    <s v="Week2-Mar-2026"/>
    <x v="6"/>
    <s v="Q4FY26"/>
    <s v="26-May-2026"/>
    <s v="Tuesday"/>
    <s v="Monthly - Tuesday"/>
    <s v="Monthly - Tuesday"/>
    <s v="Month+2 Expiry"/>
    <n v="6475"/>
    <n v="11.3903"/>
    <n v="0.2625"/>
  </r>
  <r>
    <s v="12-Mar-2026"/>
    <x v="3"/>
    <s v="Week2-Mar-2026"/>
    <x v="6"/>
    <s v="Q4FY26"/>
    <s v="30-Jun-2026"/>
    <s v="Tuesday"/>
    <s v="Monthly - Tuesday"/>
    <s v="Monthly - Tuesday"/>
    <s v="Month+3 Expiry"/>
    <n v="1155"/>
    <n v="2.0786"/>
    <n v="0.0379"/>
  </r>
  <r>
    <s v="12-Mar-2026"/>
    <x v="3"/>
    <s v="Week2-Mar-2026"/>
    <x v="6"/>
    <s v="Q4FY26"/>
    <s v="29-Sep-2026"/>
    <s v="Tuesday"/>
    <s v="Monthly - Tuesday"/>
    <s v="Monthly - Tuesday"/>
    <s v="Month+6 Expiry"/>
    <n v="0"/>
    <n v="0"/>
    <n v="0"/>
  </r>
  <r>
    <s v="12-Mar-2026"/>
    <x v="3"/>
    <s v="Week2-Mar-2026"/>
    <x v="6"/>
    <s v="Q4FY26"/>
    <s v="29-Dec-2026"/>
    <s v="Tuesday"/>
    <s v="Monthly - Tuesday"/>
    <s v="Monthly - Tuesday"/>
    <s v="Month+9 Expiry"/>
    <n v="0"/>
    <n v="0"/>
    <n v="0"/>
  </r>
  <r>
    <s v="13-Mar-2026"/>
    <x v="4"/>
    <s v="Week2-Mar-2026"/>
    <x v="6"/>
    <s v="Q4FY26"/>
    <s v="30-Mar-2026"/>
    <s v="Monday"/>
    <s v="Monthly - Monday"/>
    <s v="Monthly - Monday"/>
    <s v="Same Month Expiry"/>
    <n v="3217131"/>
    <n v="5360.856"/>
    <n v="70.75620000000001"/>
  </r>
  <r>
    <s v="13-Mar-2026"/>
    <x v="4"/>
    <s v="Week2-Mar-2026"/>
    <x v="6"/>
    <s v="Q4FY26"/>
    <s v="28-Apr-2026"/>
    <s v="Tuesday"/>
    <s v="Monthly - Tuesday"/>
    <s v="Monthly - Tuesday"/>
    <s v="Month+1 Expiry"/>
    <n v="160765"/>
    <n v="280.4885"/>
    <n v="5.3209"/>
  </r>
  <r>
    <s v="13-Mar-2026"/>
    <x v="4"/>
    <s v="Week2-Mar-2026"/>
    <x v="6"/>
    <s v="Q4FY26"/>
    <s v="26-May-2026"/>
    <s v="Tuesday"/>
    <s v="Monthly - Tuesday"/>
    <s v="Monthly - Tuesday"/>
    <s v="Month+2 Expiry"/>
    <n v="9073"/>
    <n v="15.9569"/>
    <n v="0.3316"/>
  </r>
  <r>
    <s v="13-Mar-2026"/>
    <x v="4"/>
    <s v="Week2-Mar-2026"/>
    <x v="6"/>
    <s v="Q4FY26"/>
    <s v="30-Jun-2026"/>
    <s v="Tuesday"/>
    <s v="Monthly - Tuesday"/>
    <s v="Monthly - Tuesday"/>
    <s v="Month+3 Expiry"/>
    <n v="2729"/>
    <n v="4.9567"/>
    <n v="0.0915"/>
  </r>
  <r>
    <s v="13-Mar-2026"/>
    <x v="4"/>
    <s v="Week2-Mar-2026"/>
    <x v="6"/>
    <s v="Q4FY26"/>
    <s v="29-Sep-2026"/>
    <s v="Tuesday"/>
    <s v="Monthly - Tuesday"/>
    <s v="Monthly - Tuesday"/>
    <s v="Month+6 Expiry"/>
    <n v="0"/>
    <n v="0"/>
    <n v="0"/>
  </r>
  <r>
    <s v="13-Mar-2026"/>
    <x v="4"/>
    <s v="Week2-Mar-2026"/>
    <x v="6"/>
    <s v="Q4FY26"/>
    <s v="29-Dec-2026"/>
    <s v="Tuesday"/>
    <s v="Monthly - Tuesday"/>
    <s v="Monthly - Tuesday"/>
    <s v="Month+9 Expiry"/>
    <n v="0"/>
    <n v="0"/>
    <n v="0"/>
  </r>
  <r>
    <s v="16-Mar-2026"/>
    <x v="0"/>
    <s v="Week3-Mar-2026"/>
    <x v="6"/>
    <s v="Q4FY26"/>
    <s v="30-Mar-2026"/>
    <s v="Monday"/>
    <s v="Monthly - Monday"/>
    <s v="Monthly - Monday"/>
    <s v="Same Month Expiry"/>
    <n v="3269610"/>
    <n v="5433.5413"/>
    <n v="65.53619999999999"/>
  </r>
  <r>
    <s v="16-Mar-2026"/>
    <x v="0"/>
    <s v="Week3-Mar-2026"/>
    <x v="6"/>
    <s v="Q4FY26"/>
    <s v="28-Apr-2026"/>
    <s v="Tuesday"/>
    <s v="Monthly - Tuesday"/>
    <s v="Monthly - Tuesday"/>
    <s v="Month+1 Expiry"/>
    <n v="129880"/>
    <n v="227.4986"/>
    <n v="4.1716"/>
  </r>
  <r>
    <s v="16-Mar-2026"/>
    <x v="0"/>
    <s v="Week3-Mar-2026"/>
    <x v="6"/>
    <s v="Q4FY26"/>
    <s v="26-May-2026"/>
    <s v="Tuesday"/>
    <s v="Monthly - Tuesday"/>
    <s v="Monthly - Tuesday"/>
    <s v="Month+2 Expiry"/>
    <n v="9942"/>
    <n v="17.7425"/>
    <n v="0.4516"/>
  </r>
  <r>
    <s v="16-Mar-2026"/>
    <x v="0"/>
    <s v="Week3-Mar-2026"/>
    <x v="6"/>
    <s v="Q4FY26"/>
    <s v="30-Jun-2026"/>
    <s v="Tuesday"/>
    <s v="Monthly - Tuesday"/>
    <s v="Monthly - Tuesday"/>
    <s v="Month+3 Expiry"/>
    <n v="1452"/>
    <n v="2.6509"/>
    <n v="0.0587"/>
  </r>
  <r>
    <s v="16-Mar-2026"/>
    <x v="0"/>
    <s v="Week3-Mar-2026"/>
    <x v="6"/>
    <s v="Q4FY26"/>
    <s v="29-Sep-2026"/>
    <s v="Tuesday"/>
    <s v="Monthly - Tuesday"/>
    <s v="Monthly - Tuesday"/>
    <s v="Month+6 Expiry"/>
    <n v="0"/>
    <n v="0"/>
    <n v="0"/>
  </r>
  <r>
    <s v="16-Mar-2026"/>
    <x v="0"/>
    <s v="Week3-Mar-2026"/>
    <x v="6"/>
    <s v="Q4FY26"/>
    <s v="29-Dec-2026"/>
    <s v="Tuesday"/>
    <s v="Monthly - Tuesday"/>
    <s v="Monthly - Tuesday"/>
    <s v="Month+9 Expiry"/>
    <n v="0"/>
    <n v="0"/>
    <n v="0"/>
  </r>
  <r>
    <s v="17-Mar-2026"/>
    <x v="1"/>
    <s v="Week3-Mar-2026"/>
    <x v="6"/>
    <s v="Q4FY26"/>
    <s v="30-Mar-2026"/>
    <s v="Monday"/>
    <s v="Monthly - Monday"/>
    <s v="Monthly - Monday"/>
    <s v="Same Month Expiry"/>
    <n v="2770487"/>
    <n v="4602.2111"/>
    <n v="49.1742"/>
  </r>
  <r>
    <s v="17-Mar-2026"/>
    <x v="1"/>
    <s v="Week3-Mar-2026"/>
    <x v="6"/>
    <s v="Q4FY26"/>
    <s v="28-Apr-2026"/>
    <s v="Tuesday"/>
    <s v="Monthly - Tuesday"/>
    <s v="Monthly - Tuesday"/>
    <s v="Month+1 Expiry"/>
    <n v="153010"/>
    <n v="274.6641"/>
    <n v="5.3409"/>
  </r>
  <r>
    <s v="17-Mar-2026"/>
    <x v="1"/>
    <s v="Week3-Mar-2026"/>
    <x v="6"/>
    <s v="Q4FY26"/>
    <s v="26-May-2026"/>
    <s v="Tuesday"/>
    <s v="Monthly - Tuesday"/>
    <s v="Monthly - Tuesday"/>
    <s v="Month+2 Expiry"/>
    <n v="7194"/>
    <n v="12.6707"/>
    <n v="0.22"/>
  </r>
  <r>
    <s v="17-Mar-2026"/>
    <x v="1"/>
    <s v="Week3-Mar-2026"/>
    <x v="6"/>
    <s v="Q4FY26"/>
    <s v="30-Jun-2026"/>
    <s v="Tuesday"/>
    <s v="Monthly - Tuesday"/>
    <s v="Monthly - Tuesday"/>
    <s v="Month+3 Expiry"/>
    <n v="2282"/>
    <n v="4.164"/>
    <n v="0.151"/>
  </r>
  <r>
    <s v="17-Mar-2026"/>
    <x v="1"/>
    <s v="Week3-Mar-2026"/>
    <x v="6"/>
    <s v="Q4FY26"/>
    <s v="29-Sep-2026"/>
    <s v="Tuesday"/>
    <s v="Monthly - Tuesday"/>
    <s v="Monthly - Tuesday"/>
    <s v="Month+6 Expiry"/>
    <n v="0"/>
    <n v="0"/>
    <n v="0"/>
  </r>
  <r>
    <s v="17-Mar-2026"/>
    <x v="1"/>
    <s v="Week3-Mar-2026"/>
    <x v="6"/>
    <s v="Q4FY26"/>
    <s v="29-Dec-2026"/>
    <s v="Tuesday"/>
    <s v="Monthly - Tuesday"/>
    <s v="Monthly - Tuesday"/>
    <s v="Month+9 Expiry"/>
    <n v="0"/>
    <n v="0"/>
    <n v="0"/>
  </r>
  <r>
    <s v="18-Mar-2026"/>
    <x v="2"/>
    <s v="Week3-Mar-2026"/>
    <x v="6"/>
    <s v="Q4FY26"/>
    <s v="30-Mar-2026"/>
    <s v="Monday"/>
    <s v="Monthly - Monday"/>
    <s v="Monthly - Monday"/>
    <s v="Same Month Expiry"/>
    <n v="3507101"/>
    <n v="5850.308"/>
    <n v="49.2118"/>
  </r>
  <r>
    <s v="18-Mar-2026"/>
    <x v="2"/>
    <s v="Week3-Mar-2026"/>
    <x v="6"/>
    <s v="Q4FY26"/>
    <s v="28-Apr-2026"/>
    <s v="Tuesday"/>
    <s v="Monthly - Tuesday"/>
    <s v="Monthly - Tuesday"/>
    <s v="Month+1 Expiry"/>
    <n v="182675"/>
    <n v="327.5798"/>
    <n v="7.234"/>
  </r>
  <r>
    <s v="18-Mar-2026"/>
    <x v="2"/>
    <s v="Week3-Mar-2026"/>
    <x v="6"/>
    <s v="Q4FY26"/>
    <s v="26-May-2026"/>
    <s v="Tuesday"/>
    <s v="Monthly - Tuesday"/>
    <s v="Monthly - Tuesday"/>
    <s v="Month+2 Expiry"/>
    <n v="9872"/>
    <n v="17.3824"/>
    <n v="0.3506"/>
  </r>
  <r>
    <s v="18-Mar-2026"/>
    <x v="2"/>
    <s v="Week3-Mar-2026"/>
    <x v="6"/>
    <s v="Q4FY26"/>
    <s v="30-Jun-2026"/>
    <s v="Tuesday"/>
    <s v="Monthly - Tuesday"/>
    <s v="Monthly - Tuesday"/>
    <s v="Month+3 Expiry"/>
    <n v="2915"/>
    <n v="5.3167"/>
    <n v="0.1809"/>
  </r>
  <r>
    <s v="18-Mar-2026"/>
    <x v="2"/>
    <s v="Week3-Mar-2026"/>
    <x v="6"/>
    <s v="Q4FY26"/>
    <s v="29-Sep-2026"/>
    <s v="Tuesday"/>
    <s v="Monthly - Tuesday"/>
    <s v="Monthly - Tuesday"/>
    <s v="Month+6 Expiry"/>
    <n v="0"/>
    <n v="0"/>
    <n v="0"/>
  </r>
  <r>
    <s v="18-Mar-2026"/>
    <x v="2"/>
    <s v="Week3-Mar-2026"/>
    <x v="6"/>
    <s v="Q4FY26"/>
    <s v="29-Dec-2026"/>
    <s v="Tuesday"/>
    <s v="Monthly - Tuesday"/>
    <s v="Monthly - Tuesday"/>
    <s v="Month+9 Expiry"/>
    <n v="0"/>
    <n v="0"/>
    <n v="0"/>
  </r>
  <r>
    <s v="19-Mar-2026"/>
    <x v="3"/>
    <s v="Week3-Mar-2026"/>
    <x v="6"/>
    <s v="Q4FY26"/>
    <s v="30-Mar-2026"/>
    <s v="Monday"/>
    <s v="Monthly - Monday"/>
    <s v="Monthly - Monday"/>
    <s v="Same Month Expiry"/>
    <n v="4382804"/>
    <n v="7183.3245"/>
    <n v="66.85720000000001"/>
  </r>
  <r>
    <s v="19-Mar-2026"/>
    <x v="3"/>
    <s v="Week3-Mar-2026"/>
    <x v="6"/>
    <s v="Q4FY26"/>
    <s v="28-Apr-2026"/>
    <s v="Tuesday"/>
    <s v="Monthly - Tuesday"/>
    <s v="Monthly - Tuesday"/>
    <s v="Month+1 Expiry"/>
    <n v="211453"/>
    <n v="364.518"/>
    <n v="6.0436"/>
  </r>
  <r>
    <s v="19-Mar-2026"/>
    <x v="3"/>
    <s v="Week3-Mar-2026"/>
    <x v="6"/>
    <s v="Q4FY26"/>
    <s v="26-May-2026"/>
    <s v="Tuesday"/>
    <s v="Monthly - Tuesday"/>
    <s v="Monthly - Tuesday"/>
    <s v="Month+2 Expiry"/>
    <n v="13023"/>
    <n v="22.3078"/>
    <n v="0.4098"/>
  </r>
  <r>
    <s v="19-Mar-2026"/>
    <x v="3"/>
    <s v="Week3-Mar-2026"/>
    <x v="6"/>
    <s v="Q4FY26"/>
    <s v="30-Jun-2026"/>
    <s v="Tuesday"/>
    <s v="Monthly - Tuesday"/>
    <s v="Monthly - Tuesday"/>
    <s v="Month+3 Expiry"/>
    <n v="2651"/>
    <n v="4.7575"/>
    <n v="0.0992"/>
  </r>
  <r>
    <s v="19-Mar-2026"/>
    <x v="3"/>
    <s v="Week3-Mar-2026"/>
    <x v="6"/>
    <s v="Q4FY26"/>
    <s v="29-Sep-2026"/>
    <s v="Tuesday"/>
    <s v="Monthly - Tuesday"/>
    <s v="Monthly - Tuesday"/>
    <s v="Month+6 Expiry"/>
    <n v="0"/>
    <n v="0"/>
    <n v="0"/>
  </r>
  <r>
    <s v="19-Mar-2026"/>
    <x v="3"/>
    <s v="Week3-Mar-2026"/>
    <x v="6"/>
    <s v="Q4FY26"/>
    <s v="29-Dec-2026"/>
    <s v="Tuesday"/>
    <s v="Monthly - Tuesday"/>
    <s v="Monthly - Tuesday"/>
    <s v="Month+9 Expiry"/>
    <n v="0"/>
    <n v="0"/>
    <n v="0"/>
  </r>
  <r>
    <s v="20-Mar-2026"/>
    <x v="4"/>
    <s v="Week3-Mar-2026"/>
    <x v="6"/>
    <s v="Q4FY26"/>
    <s v="30-Mar-2026"/>
    <s v="Monday"/>
    <s v="Monthly - Monday"/>
    <s v="Monthly - Monday"/>
    <s v="Same Month Expiry"/>
    <n v="4159763"/>
    <n v="6813.4329"/>
    <n v="68.9534"/>
  </r>
  <r>
    <s v="20-Mar-2026"/>
    <x v="4"/>
    <s v="Week3-Mar-2026"/>
    <x v="6"/>
    <s v="Q4FY26"/>
    <s v="28-Apr-2026"/>
    <s v="Tuesday"/>
    <s v="Monthly - Tuesday"/>
    <s v="Monthly - Tuesday"/>
    <s v="Month+1 Expiry"/>
    <n v="164907"/>
    <n v="283.3317"/>
    <n v="5.2058"/>
  </r>
  <r>
    <s v="20-Mar-2026"/>
    <x v="4"/>
    <s v="Week3-Mar-2026"/>
    <x v="6"/>
    <s v="Q4FY26"/>
    <s v="26-May-2026"/>
    <s v="Tuesday"/>
    <s v="Monthly - Tuesday"/>
    <s v="Monthly - Tuesday"/>
    <s v="Month+2 Expiry"/>
    <n v="11759"/>
    <n v="20.389"/>
    <n v="0.3605"/>
  </r>
  <r>
    <s v="20-Mar-2026"/>
    <x v="4"/>
    <s v="Week3-Mar-2026"/>
    <x v="6"/>
    <s v="Q4FY26"/>
    <s v="30-Jun-2026"/>
    <s v="Tuesday"/>
    <s v="Monthly - Tuesday"/>
    <s v="Monthly - Tuesday"/>
    <s v="Month+3 Expiry"/>
    <n v="5460"/>
    <n v="9.9419"/>
    <n v="0.409"/>
  </r>
  <r>
    <s v="20-Mar-2026"/>
    <x v="4"/>
    <s v="Week3-Mar-2026"/>
    <x v="6"/>
    <s v="Q4FY26"/>
    <s v="29-Sep-2026"/>
    <s v="Tuesday"/>
    <s v="Monthly - Tuesday"/>
    <s v="Monthly - Tuesday"/>
    <s v="Month+6 Expiry"/>
    <n v="0"/>
    <n v="0"/>
    <n v="0"/>
  </r>
  <r>
    <s v="20-Mar-2026"/>
    <x v="4"/>
    <s v="Week3-Mar-2026"/>
    <x v="6"/>
    <s v="Q4FY26"/>
    <s v="29-Dec-2026"/>
    <s v="Tuesday"/>
    <s v="Monthly - Tuesday"/>
    <s v="Monthly - Tuesday"/>
    <s v="Month+9 Expiry"/>
    <n v="0"/>
    <n v="0"/>
    <n v="0"/>
  </r>
  <r>
    <s v="23-Mar-2026"/>
    <x v="0"/>
    <s v="Week4-Mar-2026"/>
    <x v="6"/>
    <s v="Q4FY26"/>
    <s v="30-Mar-2026"/>
    <s v="Monday"/>
    <s v="Monthly - Monday"/>
    <s v="Monthly - Monday"/>
    <s v="Same Month Expiry"/>
    <n v="4418333"/>
    <n v="7061.7503"/>
    <n v="82.38460000000001"/>
  </r>
  <r>
    <s v="23-Mar-2026"/>
    <x v="0"/>
    <s v="Week4-Mar-2026"/>
    <x v="6"/>
    <s v="Q4FY26"/>
    <s v="28-Apr-2026"/>
    <s v="Tuesday"/>
    <s v="Monthly - Tuesday"/>
    <s v="Monthly - Tuesday"/>
    <s v="Month+1 Expiry"/>
    <n v="239462"/>
    <n v="406.776"/>
    <n v="9.6424"/>
  </r>
  <r>
    <s v="23-Mar-2026"/>
    <x v="0"/>
    <s v="Week4-Mar-2026"/>
    <x v="6"/>
    <s v="Q4FY26"/>
    <s v="26-May-2026"/>
    <s v="Tuesday"/>
    <s v="Monthly - Tuesday"/>
    <s v="Monthly - Tuesday"/>
    <s v="Month+2 Expiry"/>
    <n v="17769"/>
    <n v="30.3721"/>
    <n v="0.7417"/>
  </r>
  <r>
    <s v="23-Mar-2026"/>
    <x v="0"/>
    <s v="Week4-Mar-2026"/>
    <x v="6"/>
    <s v="Q4FY26"/>
    <s v="30-Jun-2026"/>
    <s v="Tuesday"/>
    <s v="Monthly - Tuesday"/>
    <s v="Monthly - Tuesday"/>
    <s v="Month+3 Expiry"/>
    <n v="4014"/>
    <n v="7.1333"/>
    <n v="0.2071"/>
  </r>
  <r>
    <s v="23-Mar-2026"/>
    <x v="0"/>
    <s v="Week4-Mar-2026"/>
    <x v="6"/>
    <s v="Q4FY26"/>
    <s v="29-Sep-2026"/>
    <s v="Tuesday"/>
    <s v="Monthly - Tuesday"/>
    <s v="Monthly - Tuesday"/>
    <s v="Month+6 Expiry"/>
    <n v="0"/>
    <n v="0"/>
    <n v="0"/>
  </r>
  <r>
    <s v="23-Mar-2026"/>
    <x v="0"/>
    <s v="Week4-Mar-2026"/>
    <x v="6"/>
    <s v="Q4FY26"/>
    <s v="29-Dec-2026"/>
    <s v="Tuesday"/>
    <s v="Monthly - Tuesday"/>
    <s v="Monthly - Tuesday"/>
    <s v="Month+9 Expiry"/>
    <n v="0"/>
    <n v="0"/>
    <n v="0"/>
  </r>
  <r>
    <s v="24-Mar-2026"/>
    <x v="1"/>
    <s v="Week4-Mar-2026"/>
    <x v="6"/>
    <s v="Q4FY26"/>
    <s v="30-Mar-2026"/>
    <s v="Monday"/>
    <s v="Monthly - Monday"/>
    <s v="Monthly - Monday"/>
    <s v="Same Month Expiry"/>
    <n v="4968343"/>
    <n v="7941.5122"/>
    <n v="75.52"/>
  </r>
  <r>
    <s v="24-Mar-2026"/>
    <x v="1"/>
    <s v="Week4-Mar-2026"/>
    <x v="6"/>
    <s v="Q4FY26"/>
    <s v="28-Apr-2026"/>
    <s v="Tuesday"/>
    <s v="Monthly - Tuesday"/>
    <s v="Monthly - Tuesday"/>
    <s v="Month+1 Expiry"/>
    <n v="200927"/>
    <n v="338.3519"/>
    <n v="7.9712"/>
  </r>
  <r>
    <s v="24-Mar-2026"/>
    <x v="1"/>
    <s v="Week4-Mar-2026"/>
    <x v="6"/>
    <s v="Q4FY26"/>
    <s v="26-May-2026"/>
    <s v="Tuesday"/>
    <s v="Monthly - Tuesday"/>
    <s v="Monthly - Tuesday"/>
    <s v="Month+2 Expiry"/>
    <n v="11386"/>
    <n v="19.3261"/>
    <n v="0.5318000000000001"/>
  </r>
  <r>
    <s v="24-Mar-2026"/>
    <x v="1"/>
    <s v="Week4-Mar-2026"/>
    <x v="6"/>
    <s v="Q4FY26"/>
    <s v="30-Jun-2026"/>
    <s v="Tuesday"/>
    <s v="Monthly - Tuesday"/>
    <s v="Monthly - Tuesday"/>
    <s v="Month+3 Expiry"/>
    <n v="2948"/>
    <n v="5.3138"/>
    <n v="0.1862"/>
  </r>
  <r>
    <s v="24-Mar-2026"/>
    <x v="1"/>
    <s v="Week4-Mar-2026"/>
    <x v="6"/>
    <s v="Q4FY26"/>
    <s v="29-Sep-2026"/>
    <s v="Tuesday"/>
    <s v="Monthly - Tuesday"/>
    <s v="Monthly - Tuesday"/>
    <s v="Month+6 Expiry"/>
    <n v="0"/>
    <n v="0"/>
    <n v="0"/>
  </r>
  <r>
    <s v="24-Mar-2026"/>
    <x v="1"/>
    <s v="Week4-Mar-2026"/>
    <x v="6"/>
    <s v="Q4FY26"/>
    <s v="29-Dec-2026"/>
    <s v="Tuesday"/>
    <s v="Monthly - Tuesday"/>
    <s v="Monthly - Tuesday"/>
    <s v="Month+9 Expiry"/>
    <n v="0"/>
    <n v="0"/>
    <n v="0"/>
  </r>
  <r>
    <s v="25-Mar-2026"/>
    <x v="2"/>
    <s v="Week4-Mar-2026"/>
    <x v="6"/>
    <s v="Q4FY26"/>
    <s v="30-Mar-2026"/>
    <s v="Monday"/>
    <s v="Monthly - Monday"/>
    <s v="Monthly - Monday"/>
    <s v="Same Month Expiry"/>
    <n v="4979362"/>
    <n v="8068.3544"/>
    <n v="61.4995"/>
  </r>
  <r>
    <s v="25-Mar-2026"/>
    <x v="2"/>
    <s v="Week4-Mar-2026"/>
    <x v="6"/>
    <s v="Q4FY26"/>
    <s v="28-Apr-2026"/>
    <s v="Tuesday"/>
    <s v="Monthly - Tuesday"/>
    <s v="Monthly - Tuesday"/>
    <s v="Month+1 Expiry"/>
    <n v="293040"/>
    <n v="492.2111"/>
    <n v="10.2792"/>
  </r>
  <r>
    <s v="25-Mar-2026"/>
    <x v="2"/>
    <s v="Week4-Mar-2026"/>
    <x v="6"/>
    <s v="Q4FY26"/>
    <s v="26-May-2026"/>
    <s v="Tuesday"/>
    <s v="Monthly - Tuesday"/>
    <s v="Monthly - Tuesday"/>
    <s v="Month+2 Expiry"/>
    <n v="14940"/>
    <n v="25.8194"/>
    <n v="0.6824"/>
  </r>
  <r>
    <s v="25-Mar-2026"/>
    <x v="2"/>
    <s v="Week4-Mar-2026"/>
    <x v="6"/>
    <s v="Q4FY26"/>
    <s v="30-Jun-2026"/>
    <s v="Tuesday"/>
    <s v="Monthly - Tuesday"/>
    <s v="Monthly - Tuesday"/>
    <s v="Month+3 Expiry"/>
    <n v="3858"/>
    <n v="7.075"/>
    <n v="0.3026"/>
  </r>
  <r>
    <s v="25-Mar-2026"/>
    <x v="2"/>
    <s v="Week4-Mar-2026"/>
    <x v="6"/>
    <s v="Q4FY26"/>
    <s v="29-Sep-2026"/>
    <s v="Tuesday"/>
    <s v="Monthly - Tuesday"/>
    <s v="Monthly - Tuesday"/>
    <s v="Month+6 Expiry"/>
    <n v="0"/>
    <n v="0"/>
    <n v="0"/>
  </r>
  <r>
    <s v="25-Mar-2026"/>
    <x v="2"/>
    <s v="Week4-Mar-2026"/>
    <x v="6"/>
    <s v="Q4FY26"/>
    <s v="29-Dec-2026"/>
    <s v="Tuesday"/>
    <s v="Monthly - Tuesday"/>
    <s v="Monthly - Tuesday"/>
    <s v="Month+9 Expiry"/>
    <n v="0"/>
    <n v="0"/>
    <n v="0"/>
  </r>
  <r>
    <s v="27-Mar-2026"/>
    <x v="4"/>
    <s v="Week4-Mar-2026"/>
    <x v="6"/>
    <s v="Q4FY26"/>
    <s v="30-Mar-2026"/>
    <s v="Monday"/>
    <s v="Monthly - Monday"/>
    <s v="Monthly - Monday"/>
    <s v="Same Month Expiry"/>
    <n v="9232979"/>
    <n v="14675.2802"/>
    <n v="87.6283"/>
  </r>
  <r>
    <s v="27-Mar-2026"/>
    <x v="4"/>
    <s v="Week4-Mar-2026"/>
    <x v="6"/>
    <s v="Q4FY26"/>
    <s v="28-Apr-2026"/>
    <s v="Tuesday"/>
    <s v="Monthly - Tuesday"/>
    <s v="Monthly - Tuesday"/>
    <s v="Month+1 Expiry"/>
    <n v="408018"/>
    <n v="694.7443"/>
    <n v="16.8435"/>
  </r>
  <r>
    <s v="27-Mar-2026"/>
    <x v="4"/>
    <s v="Week4-Mar-2026"/>
    <x v="6"/>
    <s v="Q4FY26"/>
    <s v="26-May-2026"/>
    <s v="Tuesday"/>
    <s v="Monthly - Tuesday"/>
    <s v="Monthly - Tuesday"/>
    <s v="Month+2 Expiry"/>
    <n v="15100"/>
    <n v="25.8884"/>
    <n v="0.6586"/>
  </r>
  <r>
    <s v="27-Mar-2026"/>
    <x v="4"/>
    <s v="Week4-Mar-2026"/>
    <x v="6"/>
    <s v="Q4FY26"/>
    <s v="30-Jun-2026"/>
    <s v="Tuesday"/>
    <s v="Monthly - Tuesday"/>
    <s v="Monthly - Tuesday"/>
    <s v="Month+3 Expiry"/>
    <n v="2727"/>
    <n v="4.8915"/>
    <n v="0.1474"/>
  </r>
  <r>
    <s v="27-Mar-2026"/>
    <x v="4"/>
    <s v="Week4-Mar-2026"/>
    <x v="6"/>
    <s v="Q4FY26"/>
    <s v="29-Sep-2026"/>
    <s v="Tuesday"/>
    <s v="Monthly - Tuesday"/>
    <s v="Monthly - Tuesday"/>
    <s v="Month+6 Expiry"/>
    <n v="0"/>
    <n v="0"/>
    <n v="0"/>
  </r>
  <r>
    <s v="27-Mar-2026"/>
    <x v="4"/>
    <s v="Week4-Mar-2026"/>
    <x v="6"/>
    <s v="Q4FY26"/>
    <s v="29-Dec-2026"/>
    <s v="Tuesday"/>
    <s v="Monthly - Tuesday"/>
    <s v="Monthly - Tuesday"/>
    <s v="Month+9 Expiry"/>
    <n v="0"/>
    <n v="0"/>
    <n v="0"/>
  </r>
  <r>
    <s v="30-Mar-2026"/>
    <x v="0"/>
    <s v="Week5-Mar-2026"/>
    <x v="6"/>
    <s v="Q4FY26"/>
    <s v="30-Mar-2026"/>
    <s v="Monday"/>
    <s v="Monthly - Monday"/>
    <s v="Monthly - Monday"/>
    <s v="Same Month Expiry"/>
    <n v="74523432"/>
    <n v="113487.0323"/>
    <n v="176.447"/>
  </r>
  <r>
    <s v="30-Mar-2026"/>
    <x v="0"/>
    <s v="Week5-Mar-2026"/>
    <x v="6"/>
    <s v="Q4FY26"/>
    <s v="28-Apr-2026"/>
    <s v="Tuesday"/>
    <s v="Monthly - Tuesday"/>
    <s v="Monthly - Tuesday"/>
    <s v="Month+1 Expiry"/>
    <n v="740519"/>
    <n v="1208.5879"/>
    <n v="29.2768"/>
  </r>
  <r>
    <s v="30-Mar-2026"/>
    <x v="0"/>
    <s v="Week5-Mar-2026"/>
    <x v="6"/>
    <s v="Q4FY26"/>
    <s v="26-May-2026"/>
    <s v="Tuesday"/>
    <s v="Monthly - Tuesday"/>
    <s v="Monthly - Tuesday"/>
    <s v="Month+2 Expiry"/>
    <n v="26898"/>
    <n v="45.4277"/>
    <n v="1.2522"/>
  </r>
  <r>
    <s v="30-Mar-2026"/>
    <x v="0"/>
    <s v="Week5-Mar-2026"/>
    <x v="6"/>
    <s v="Q4FY26"/>
    <s v="30-Jun-2026"/>
    <s v="Tuesday"/>
    <s v="Monthly - Tuesday"/>
    <s v="Monthly - Tuesday"/>
    <s v="Month+3 Expiry"/>
    <n v="4799"/>
    <n v="8.3141"/>
    <n v="0.2179"/>
  </r>
  <r>
    <s v="30-Mar-2026"/>
    <x v="0"/>
    <s v="Week5-Mar-2026"/>
    <x v="6"/>
    <s v="Q4FY26"/>
    <s v="29-Sep-2026"/>
    <s v="Tuesday"/>
    <s v="Monthly - Tuesday"/>
    <s v="Monthly - Tuesday"/>
    <s v="Month+6 Expiry"/>
    <n v="0"/>
    <n v="0"/>
    <n v="0"/>
  </r>
  <r>
    <s v="30-Mar-2026"/>
    <x v="0"/>
    <s v="Week5-Mar-2026"/>
    <x v="6"/>
    <s v="Q4FY26"/>
    <s v="29-Dec-2026"/>
    <s v="Tuesday"/>
    <s v="Monthly - Tuesday"/>
    <s v="Monthly - Tuesday"/>
    <s v="Month+9 Expiry"/>
    <n v="0"/>
    <n v="0"/>
    <n v="0"/>
  </r>
  <r>
    <s v="01-Apr-2026"/>
    <x v="2"/>
    <s v="Week1-Apr-2026"/>
    <x v="7"/>
    <s v="Q1FY27"/>
    <s v="28-Apr-2026"/>
    <s v="Tuesday"/>
    <s v="Monthly - Tuesday"/>
    <s v="Monthly - Tuesday"/>
    <s v="Same Month Expiry"/>
    <n v="1701252"/>
    <n v="2768.6102"/>
    <n v="47.8962"/>
  </r>
  <r>
    <s v="01-Apr-2026"/>
    <x v="2"/>
    <s v="Week1-Apr-2026"/>
    <x v="7"/>
    <s v="Q1FY27"/>
    <s v="26-May-2026"/>
    <s v="Tuesday"/>
    <s v="Monthly - Tuesday"/>
    <s v="Monthly - Tuesday"/>
    <s v="Month+1 Expiry"/>
    <n v="25312"/>
    <n v="42.4236"/>
    <n v="1.0649"/>
  </r>
  <r>
    <s v="01-Apr-2026"/>
    <x v="2"/>
    <s v="Week1-Apr-2026"/>
    <x v="7"/>
    <s v="Q1FY27"/>
    <s v="30-Jun-2026"/>
    <s v="Tuesday"/>
    <s v="Monthly - Tuesday"/>
    <s v="Monthly - Tuesday"/>
    <s v="Month+2 Expiry"/>
    <n v="5844"/>
    <n v="10.1244"/>
    <n v="0.2426"/>
  </r>
  <r>
    <s v="01-Apr-2026"/>
    <x v="2"/>
    <s v="Week1-Apr-2026"/>
    <x v="7"/>
    <s v="Q1FY27"/>
    <s v="29-Sep-2026"/>
    <s v="Tuesday"/>
    <s v="Monthly - Tuesday"/>
    <s v="Monthly - Tuesday"/>
    <s v="Month+5 Expiry"/>
    <n v="0"/>
    <n v="0"/>
    <n v="0"/>
  </r>
  <r>
    <s v="01-Apr-2026"/>
    <x v="2"/>
    <s v="Week1-Apr-2026"/>
    <x v="7"/>
    <s v="Q1FY27"/>
    <s v="29-Dec-2026"/>
    <s v="Tuesday"/>
    <s v="Monthly - Tuesday"/>
    <s v="Monthly - Tuesday"/>
    <s v="Month+8 Expiry"/>
    <n v="0"/>
    <n v="0"/>
    <n v="0"/>
  </r>
  <r>
    <s v="01-Apr-2026"/>
    <x v="2"/>
    <s v="Week1-Apr-2026"/>
    <x v="7"/>
    <s v="Q1FY27"/>
    <s v="30-Mar-2027"/>
    <s v="Tuesday"/>
    <s v="Monthly - Tuesday"/>
    <s v="Monthly - Tuesday"/>
    <s v="Month+11 Expiry"/>
    <n v="0"/>
    <n v="0"/>
    <n v="0"/>
  </r>
  <r>
    <s v="02-Apr-2026"/>
    <x v="3"/>
    <s v="Week1-Apr-2026"/>
    <x v="7"/>
    <s v="Q1FY27"/>
    <s v="28-Apr-2026"/>
    <s v="Tuesday"/>
    <s v="Monthly - Tuesday"/>
    <s v="Monthly - Tuesday"/>
    <s v="Same Month Expiry"/>
    <n v="1780823"/>
    <n v="2860.0896"/>
    <n v="51.781"/>
  </r>
  <r>
    <s v="02-Apr-2026"/>
    <x v="3"/>
    <s v="Week1-Apr-2026"/>
    <x v="7"/>
    <s v="Q1FY27"/>
    <s v="26-May-2026"/>
    <s v="Tuesday"/>
    <s v="Monthly - Tuesday"/>
    <s v="Monthly - Tuesday"/>
    <s v="Month+1 Expiry"/>
    <n v="29372"/>
    <n v="48.6742"/>
    <n v="1.062"/>
  </r>
  <r>
    <s v="02-Apr-2026"/>
    <x v="3"/>
    <s v="Week1-Apr-2026"/>
    <x v="7"/>
    <s v="Q1FY27"/>
    <s v="30-Jun-2026"/>
    <s v="Tuesday"/>
    <s v="Monthly - Tuesday"/>
    <s v="Monthly - Tuesday"/>
    <s v="Month+2 Expiry"/>
    <n v="5892"/>
    <n v="10.229"/>
    <n v="0.3898"/>
  </r>
  <r>
    <s v="02-Apr-2026"/>
    <x v="3"/>
    <s v="Week1-Apr-2026"/>
    <x v="7"/>
    <s v="Q1FY27"/>
    <s v="29-Sep-2026"/>
    <s v="Tuesday"/>
    <s v="Monthly - Tuesday"/>
    <s v="Monthly - Tuesday"/>
    <s v="Month+5 Expiry"/>
    <n v="0"/>
    <n v="0"/>
    <n v="0"/>
  </r>
  <r>
    <s v="02-Apr-2026"/>
    <x v="3"/>
    <s v="Week1-Apr-2026"/>
    <x v="7"/>
    <s v="Q1FY27"/>
    <s v="29-Dec-2026"/>
    <s v="Tuesday"/>
    <s v="Monthly - Tuesday"/>
    <s v="Monthly - Tuesday"/>
    <s v="Month+8 Expiry"/>
    <n v="0"/>
    <n v="0"/>
    <n v="0"/>
  </r>
  <r>
    <s v="02-Apr-2026"/>
    <x v="3"/>
    <s v="Week1-Apr-2026"/>
    <x v="7"/>
    <s v="Q1FY27"/>
    <s v="30-Mar-2027"/>
    <s v="Tuesday"/>
    <s v="Monthly - Tuesday"/>
    <s v="Monthly - Tuesday"/>
    <s v="Month+11 Expiry"/>
    <n v="0"/>
    <n v="0"/>
    <n v="0"/>
  </r>
  <r>
    <s v="06-Apr-2026"/>
    <x v="0"/>
    <s v="Week1-Apr-2026"/>
    <x v="7"/>
    <s v="Q1FY27"/>
    <s v="28-Apr-2026"/>
    <s v="Tuesday"/>
    <s v="Monthly - Tuesday"/>
    <s v="Monthly - Tuesday"/>
    <s v="Same Month Expiry"/>
    <n v="1792247"/>
    <n v="2892.4876"/>
    <n v="51.2567"/>
  </r>
  <r>
    <s v="06-Apr-2026"/>
    <x v="0"/>
    <s v="Week1-Apr-2026"/>
    <x v="7"/>
    <s v="Q1FY27"/>
    <s v="26-May-2026"/>
    <s v="Tuesday"/>
    <s v="Monthly - Tuesday"/>
    <s v="Monthly - Tuesday"/>
    <s v="Month+1 Expiry"/>
    <n v="28665"/>
    <n v="47.6101"/>
    <n v="0.9415"/>
  </r>
  <r>
    <s v="06-Apr-2026"/>
    <x v="0"/>
    <s v="Week1-Apr-2026"/>
    <x v="7"/>
    <s v="Q1FY27"/>
    <s v="30-Jun-2026"/>
    <s v="Tuesday"/>
    <s v="Monthly - Tuesday"/>
    <s v="Monthly - Tuesday"/>
    <s v="Month+2 Expiry"/>
    <n v="8025"/>
    <n v="13.5914"/>
    <n v="0.3745"/>
  </r>
  <r>
    <s v="06-Apr-2026"/>
    <x v="0"/>
    <s v="Week1-Apr-2026"/>
    <x v="7"/>
    <s v="Q1FY27"/>
    <s v="29-Sep-2026"/>
    <s v="Tuesday"/>
    <s v="Monthly - Tuesday"/>
    <s v="Monthly - Tuesday"/>
    <s v="Month+5 Expiry"/>
    <n v="0"/>
    <n v="0"/>
    <n v="0"/>
  </r>
  <r>
    <s v="06-Apr-2026"/>
    <x v="0"/>
    <s v="Week1-Apr-2026"/>
    <x v="7"/>
    <s v="Q1FY27"/>
    <s v="29-Dec-2026"/>
    <s v="Tuesday"/>
    <s v="Monthly - Tuesday"/>
    <s v="Monthly - Tuesday"/>
    <s v="Month+8 Expiry"/>
    <n v="0"/>
    <n v="0"/>
    <n v="0"/>
  </r>
  <r>
    <s v="06-Apr-2026"/>
    <x v="0"/>
    <s v="Week1-Apr-2026"/>
    <x v="7"/>
    <s v="Q1FY27"/>
    <s v="30-Mar-2027"/>
    <s v="Tuesday"/>
    <s v="Monthly - Tuesday"/>
    <s v="Monthly - Tuesday"/>
    <s v="Month+11 Expiry"/>
    <n v="0"/>
    <n v="0"/>
    <n v="0"/>
  </r>
  <r>
    <s v="07-Apr-2026"/>
    <x v="1"/>
    <s v="Week1-Apr-2026"/>
    <x v="7"/>
    <s v="Q1FY27"/>
    <s v="28-Apr-2026"/>
    <s v="Tuesday"/>
    <s v="Monthly - Tuesday"/>
    <s v="Monthly - Tuesday"/>
    <s v="Same Month Expiry"/>
    <n v="1394871"/>
    <n v="2256.673"/>
    <n v="36.8649"/>
  </r>
  <r>
    <s v="07-Apr-2026"/>
    <x v="1"/>
    <s v="Week1-Apr-2026"/>
    <x v="7"/>
    <s v="Q1FY27"/>
    <s v="26-May-2026"/>
    <s v="Tuesday"/>
    <s v="Monthly - Tuesday"/>
    <s v="Monthly - Tuesday"/>
    <s v="Month+1 Expiry"/>
    <n v="23434"/>
    <n v="39.4802"/>
    <n v="0.6109"/>
  </r>
  <r>
    <s v="07-Apr-2026"/>
    <x v="1"/>
    <s v="Week1-Apr-2026"/>
    <x v="7"/>
    <s v="Q1FY27"/>
    <s v="30-Jun-2026"/>
    <s v="Tuesday"/>
    <s v="Monthly - Tuesday"/>
    <s v="Monthly - Tuesday"/>
    <s v="Month+2 Expiry"/>
    <n v="5400"/>
    <n v="9.161199999999999"/>
    <n v="0.221"/>
  </r>
  <r>
    <s v="07-Apr-2026"/>
    <x v="1"/>
    <s v="Week1-Apr-2026"/>
    <x v="7"/>
    <s v="Q1FY27"/>
    <s v="29-Sep-2026"/>
    <s v="Tuesday"/>
    <s v="Monthly - Tuesday"/>
    <s v="Monthly - Tuesday"/>
    <s v="Month+5 Expiry"/>
    <n v="0"/>
    <n v="0"/>
    <n v="0"/>
  </r>
  <r>
    <s v="07-Apr-2026"/>
    <x v="1"/>
    <s v="Week1-Apr-2026"/>
    <x v="7"/>
    <s v="Q1FY27"/>
    <s v="29-Dec-2026"/>
    <s v="Tuesday"/>
    <s v="Monthly - Tuesday"/>
    <s v="Monthly - Tuesday"/>
    <s v="Month+8 Expiry"/>
    <n v="0"/>
    <n v="0"/>
    <n v="0"/>
  </r>
  <r>
    <s v="07-Apr-2026"/>
    <x v="1"/>
    <s v="Week1-Apr-2026"/>
    <x v="7"/>
    <s v="Q1FY27"/>
    <s v="30-Mar-2027"/>
    <s v="Tuesday"/>
    <s v="Monthly - Tuesday"/>
    <s v="Monthly - Tuesday"/>
    <s v="Month+11 Expiry"/>
    <n v="0"/>
    <n v="0"/>
    <n v="0"/>
  </r>
  <r>
    <s v="08-Apr-2026"/>
    <x v="2"/>
    <s v="Week2-Apr-2026"/>
    <x v="7"/>
    <s v="Q1FY27"/>
    <s v="28-Apr-2026"/>
    <s v="Tuesday"/>
    <s v="Monthly - Tuesday"/>
    <s v="Monthly - Tuesday"/>
    <s v="Same Month Expiry"/>
    <n v="2950592"/>
    <n v="4932.6234"/>
    <n v="53.2015"/>
  </r>
  <r>
    <s v="08-Apr-2026"/>
    <x v="2"/>
    <s v="Week2-Apr-2026"/>
    <x v="7"/>
    <s v="Q1FY27"/>
    <s v="26-May-2026"/>
    <s v="Tuesday"/>
    <s v="Monthly - Tuesday"/>
    <s v="Monthly - Tuesday"/>
    <s v="Month+1 Expiry"/>
    <n v="81961"/>
    <n v="140.1505"/>
    <n v="2.5247"/>
  </r>
  <r>
    <s v="08-Apr-2026"/>
    <x v="2"/>
    <s v="Week2-Apr-2026"/>
    <x v="7"/>
    <s v="Q1FY27"/>
    <s v="30-Jun-2026"/>
    <s v="Tuesday"/>
    <s v="Monthly - Tuesday"/>
    <s v="Monthly - Tuesday"/>
    <s v="Month+2 Expiry"/>
    <n v="20085"/>
    <n v="33.586"/>
    <n v="0.6254999999999999"/>
  </r>
  <r>
    <s v="08-Apr-2026"/>
    <x v="2"/>
    <s v="Week2-Apr-2026"/>
    <x v="7"/>
    <s v="Q1FY27"/>
    <s v="29-Sep-2026"/>
    <s v="Tuesday"/>
    <s v="Monthly - Tuesday"/>
    <s v="Monthly - Tuesday"/>
    <s v="Month+5 Expiry"/>
    <n v="0"/>
    <n v="0"/>
    <n v="0"/>
  </r>
  <r>
    <s v="08-Apr-2026"/>
    <x v="2"/>
    <s v="Week2-Apr-2026"/>
    <x v="7"/>
    <s v="Q1FY27"/>
    <s v="29-Dec-2026"/>
    <s v="Tuesday"/>
    <s v="Monthly - Tuesday"/>
    <s v="Monthly - Tuesday"/>
    <s v="Month+8 Expiry"/>
    <n v="0"/>
    <n v="0"/>
    <n v="0"/>
  </r>
  <r>
    <s v="08-Apr-2026"/>
    <x v="2"/>
    <s v="Week2-Apr-2026"/>
    <x v="7"/>
    <s v="Q1FY27"/>
    <s v="30-Mar-2027"/>
    <s v="Tuesday"/>
    <s v="Monthly - Tuesday"/>
    <s v="Monthly - Tuesday"/>
    <s v="Month+11 Expiry"/>
    <n v="0"/>
    <n v="0"/>
    <n v="0"/>
  </r>
  <r>
    <s v="09-Apr-2026"/>
    <x v="3"/>
    <s v="Week2-Apr-2026"/>
    <x v="7"/>
    <s v="Q1FY27"/>
    <s v="28-Apr-2026"/>
    <s v="Tuesday"/>
    <s v="Monthly - Tuesday"/>
    <s v="Monthly - Tuesday"/>
    <s v="Same Month Expiry"/>
    <n v="2260289"/>
    <n v="3792.7789"/>
    <n v="47.6055"/>
  </r>
  <r>
    <s v="09-Apr-2026"/>
    <x v="3"/>
    <s v="Week2-Apr-2026"/>
    <x v="7"/>
    <s v="Q1FY27"/>
    <s v="26-May-2026"/>
    <s v="Tuesday"/>
    <s v="Monthly - Tuesday"/>
    <s v="Monthly - Tuesday"/>
    <s v="Month+1 Expiry"/>
    <n v="64228"/>
    <n v="109.9322"/>
    <n v="2.1218"/>
  </r>
  <r>
    <s v="09-Apr-2026"/>
    <x v="3"/>
    <s v="Week2-Apr-2026"/>
    <x v="7"/>
    <s v="Q1FY27"/>
    <s v="30-Jun-2026"/>
    <s v="Tuesday"/>
    <s v="Monthly - Tuesday"/>
    <s v="Monthly - Tuesday"/>
    <s v="Month+2 Expiry"/>
    <n v="14046"/>
    <n v="23.0288"/>
    <n v="0.4037"/>
  </r>
  <r>
    <s v="09-Apr-2026"/>
    <x v="3"/>
    <s v="Week2-Apr-2026"/>
    <x v="7"/>
    <s v="Q1FY27"/>
    <s v="29-Sep-2026"/>
    <s v="Tuesday"/>
    <s v="Monthly - Tuesday"/>
    <s v="Monthly - Tuesday"/>
    <s v="Month+5 Expiry"/>
    <n v="0"/>
    <n v="0"/>
    <n v="0"/>
  </r>
  <r>
    <s v="09-Apr-2026"/>
    <x v="3"/>
    <s v="Week2-Apr-2026"/>
    <x v="7"/>
    <s v="Q1FY27"/>
    <s v="29-Dec-2026"/>
    <s v="Tuesday"/>
    <s v="Monthly - Tuesday"/>
    <s v="Monthly - Tuesday"/>
    <s v="Month+8 Expiry"/>
    <n v="0"/>
    <n v="0"/>
    <n v="0"/>
  </r>
  <r>
    <s v="09-Apr-2026"/>
    <x v="3"/>
    <s v="Week2-Apr-2026"/>
    <x v="7"/>
    <s v="Q1FY27"/>
    <s v="30-Mar-2027"/>
    <s v="Tuesday"/>
    <s v="Monthly - Tuesday"/>
    <s v="Monthly - Tuesday"/>
    <s v="Month+11 Expiry"/>
    <n v="0"/>
    <n v="0"/>
    <n v="0"/>
  </r>
  <r>
    <s v="10-Apr-2026"/>
    <x v="4"/>
    <s v="Week2-Apr-2026"/>
    <x v="7"/>
    <s v="Q1FY27"/>
    <s v="28-Apr-2026"/>
    <s v="Tuesday"/>
    <s v="Monthly - Tuesday"/>
    <s v="Monthly - Tuesday"/>
    <s v="Same Month Expiry"/>
    <n v="2333048"/>
    <n v="3937.8099"/>
    <n v="42.2367"/>
  </r>
  <r>
    <s v="10-Apr-2026"/>
    <x v="4"/>
    <s v="Week2-Apr-2026"/>
    <x v="7"/>
    <s v="Q1FY27"/>
    <s v="26-May-2026"/>
    <s v="Tuesday"/>
    <s v="Monthly - Tuesday"/>
    <s v="Monthly - Tuesday"/>
    <s v="Month+1 Expiry"/>
    <n v="67641"/>
    <n v="116.6531"/>
    <n v="2.2397"/>
  </r>
  <r>
    <s v="10-Apr-2026"/>
    <x v="4"/>
    <s v="Week2-Apr-2026"/>
    <x v="7"/>
    <s v="Q1FY27"/>
    <s v="30-Jun-2026"/>
    <s v="Tuesday"/>
    <s v="Monthly - Tuesday"/>
    <s v="Monthly - Tuesday"/>
    <s v="Month+2 Expiry"/>
    <n v="7886"/>
    <n v="13.6757"/>
    <n v="0.2506"/>
  </r>
  <r>
    <s v="10-Apr-2026"/>
    <x v="4"/>
    <s v="Week2-Apr-2026"/>
    <x v="7"/>
    <s v="Q1FY27"/>
    <s v="29-Sep-2026"/>
    <s v="Tuesday"/>
    <s v="Monthly - Tuesday"/>
    <s v="Monthly - Tuesday"/>
    <s v="Month+5 Expiry"/>
    <n v="0"/>
    <n v="0"/>
    <n v="0"/>
  </r>
  <r>
    <s v="10-Apr-2026"/>
    <x v="4"/>
    <s v="Week2-Apr-2026"/>
    <x v="7"/>
    <s v="Q1FY27"/>
    <s v="29-Dec-2026"/>
    <s v="Tuesday"/>
    <s v="Monthly - Tuesday"/>
    <s v="Monthly - Tuesday"/>
    <s v="Month+8 Expiry"/>
    <n v="0"/>
    <n v="0"/>
    <n v="0"/>
  </r>
  <r>
    <s v="10-Apr-2026"/>
    <x v="4"/>
    <s v="Week2-Apr-2026"/>
    <x v="7"/>
    <s v="Q1FY27"/>
    <s v="30-Mar-2027"/>
    <s v="Tuesday"/>
    <s v="Monthly - Tuesday"/>
    <s v="Monthly - Tuesday"/>
    <s v="Month+11 Expiry"/>
    <n v="0"/>
    <n v="0"/>
    <n v="0"/>
  </r>
  <r>
    <s v="13-Apr-2026"/>
    <x v="0"/>
    <s v="Week2-Apr-2026"/>
    <x v="7"/>
    <s v="Q1FY27"/>
    <s v="28-Apr-2026"/>
    <s v="Tuesday"/>
    <s v="Monthly - Tuesday"/>
    <s v="Monthly - Tuesday"/>
    <s v="Same Month Expiry"/>
    <n v="2385883"/>
    <n v="4002.7958"/>
    <n v="42.8004"/>
  </r>
  <r>
    <s v="13-Apr-2026"/>
    <x v="0"/>
    <s v="Week2-Apr-2026"/>
    <x v="7"/>
    <s v="Q1FY27"/>
    <s v="26-May-2026"/>
    <s v="Tuesday"/>
    <s v="Monthly - Tuesday"/>
    <s v="Monthly - Tuesday"/>
    <s v="Month+1 Expiry"/>
    <n v="135820"/>
    <n v="239.7971"/>
    <n v="3.3326"/>
  </r>
  <r>
    <s v="13-Apr-2026"/>
    <x v="0"/>
    <s v="Week2-Apr-2026"/>
    <x v="7"/>
    <s v="Q1FY27"/>
    <s v="30-Jun-2026"/>
    <s v="Tuesday"/>
    <s v="Monthly - Tuesday"/>
    <s v="Monthly - Tuesday"/>
    <s v="Month+2 Expiry"/>
    <n v="13438"/>
    <n v="23.3437"/>
    <n v="0.396"/>
  </r>
  <r>
    <s v="13-Apr-2026"/>
    <x v="0"/>
    <s v="Week2-Apr-2026"/>
    <x v="7"/>
    <s v="Q1FY27"/>
    <s v="29-Sep-2026"/>
    <s v="Tuesday"/>
    <s v="Monthly - Tuesday"/>
    <s v="Monthly - Tuesday"/>
    <s v="Month+5 Expiry"/>
    <n v="0"/>
    <n v="0"/>
    <n v="0"/>
  </r>
  <r>
    <s v="13-Apr-2026"/>
    <x v="0"/>
    <s v="Week2-Apr-2026"/>
    <x v="7"/>
    <s v="Q1FY27"/>
    <s v="29-Dec-2026"/>
    <s v="Tuesday"/>
    <s v="Monthly - Tuesday"/>
    <s v="Monthly - Tuesday"/>
    <s v="Month+8 Expiry"/>
    <n v="0"/>
    <n v="0"/>
    <n v="0"/>
  </r>
  <r>
    <s v="13-Apr-2026"/>
    <x v="0"/>
    <s v="Week2-Apr-2026"/>
    <x v="7"/>
    <s v="Q1FY27"/>
    <s v="30-Mar-2027"/>
    <s v="Tuesday"/>
    <s v="Monthly - Tuesday"/>
    <s v="Monthly - Tuesday"/>
    <s v="Month+11 Expiry"/>
    <n v="0"/>
    <n v="0"/>
    <n v="0"/>
  </r>
  <r>
    <s v="15-Apr-2026"/>
    <x v="2"/>
    <s v="Week3-Apr-2026"/>
    <x v="7"/>
    <s v="Q1FY27"/>
    <s v="28-Apr-2026"/>
    <s v="Tuesday"/>
    <s v="Monthly - Tuesday"/>
    <s v="Monthly - Tuesday"/>
    <s v="Same Month Expiry"/>
    <n v="2656328"/>
    <n v="4481.5077"/>
    <n v="41.7455"/>
  </r>
  <r>
    <s v="15-Apr-2026"/>
    <x v="2"/>
    <s v="Week3-Apr-2026"/>
    <x v="7"/>
    <s v="Q1FY27"/>
    <s v="26-May-2026"/>
    <s v="Tuesday"/>
    <s v="Monthly - Tuesday"/>
    <s v="Monthly - Tuesday"/>
    <s v="Month+1 Expiry"/>
    <n v="147651"/>
    <n v="258.661"/>
    <n v="4.9611"/>
  </r>
  <r>
    <s v="15-Apr-2026"/>
    <x v="2"/>
    <s v="Week3-Apr-2026"/>
    <x v="7"/>
    <s v="Q1FY27"/>
    <s v="30-Jun-2026"/>
    <s v="Tuesday"/>
    <s v="Monthly - Tuesday"/>
    <s v="Monthly - Tuesday"/>
    <s v="Month+2 Expiry"/>
    <n v="12414"/>
    <n v="21.1937"/>
    <n v="0.3531"/>
  </r>
  <r>
    <s v="15-Apr-2026"/>
    <x v="2"/>
    <s v="Week3-Apr-2026"/>
    <x v="7"/>
    <s v="Q1FY27"/>
    <s v="29-Sep-2026"/>
    <s v="Tuesday"/>
    <s v="Monthly - Tuesday"/>
    <s v="Monthly - Tuesday"/>
    <s v="Month+5 Expiry"/>
    <n v="0"/>
    <n v="0"/>
    <n v="0"/>
  </r>
  <r>
    <s v="15-Apr-2026"/>
    <x v="2"/>
    <s v="Week3-Apr-2026"/>
    <x v="7"/>
    <s v="Q1FY27"/>
    <s v="29-Dec-2026"/>
    <s v="Tuesday"/>
    <s v="Monthly - Tuesday"/>
    <s v="Monthly - Tuesday"/>
    <s v="Month+8 Expiry"/>
    <n v="0"/>
    <n v="0"/>
    <n v="0"/>
  </r>
  <r>
    <s v="15-Apr-2026"/>
    <x v="2"/>
    <s v="Week3-Apr-2026"/>
    <x v="7"/>
    <s v="Q1FY27"/>
    <s v="30-Mar-2027"/>
    <s v="Tuesday"/>
    <s v="Monthly - Tuesday"/>
    <s v="Monthly - Tuesday"/>
    <s v="Month+11 Expiry"/>
    <n v="0"/>
    <n v="0"/>
    <n v="0"/>
  </r>
  <r>
    <s v="16-Apr-2026"/>
    <x v="3"/>
    <s v="Week3-Apr-2026"/>
    <x v="7"/>
    <s v="Q1FY27"/>
    <s v="28-Apr-2026"/>
    <s v="Tuesday"/>
    <s v="Monthly - Tuesday"/>
    <s v="Monthly - Tuesday"/>
    <s v="Same Month Expiry"/>
    <n v="2664316"/>
    <n v="4509.677"/>
    <n v="41.3777"/>
  </r>
  <r>
    <s v="16-Apr-2026"/>
    <x v="3"/>
    <s v="Week3-Apr-2026"/>
    <x v="7"/>
    <s v="Q1FY27"/>
    <s v="26-May-2026"/>
    <s v="Tuesday"/>
    <s v="Monthly - Tuesday"/>
    <s v="Monthly - Tuesday"/>
    <s v="Month+1 Expiry"/>
    <n v="117117"/>
    <n v="207.0371"/>
    <n v="3.2896"/>
  </r>
  <r>
    <s v="16-Apr-2026"/>
    <x v="3"/>
    <s v="Week3-Apr-2026"/>
    <x v="7"/>
    <s v="Q1FY27"/>
    <s v="30-Jun-2026"/>
    <s v="Tuesday"/>
    <s v="Monthly - Tuesday"/>
    <s v="Monthly - Tuesday"/>
    <s v="Month+2 Expiry"/>
    <n v="9648"/>
    <n v="16.7656"/>
    <n v="0.2589"/>
  </r>
  <r>
    <s v="16-Apr-2026"/>
    <x v="3"/>
    <s v="Week3-Apr-2026"/>
    <x v="7"/>
    <s v="Q1FY27"/>
    <s v="29-Sep-2026"/>
    <s v="Tuesday"/>
    <s v="Monthly - Tuesday"/>
    <s v="Monthly - Tuesday"/>
    <s v="Month+5 Expiry"/>
    <n v="0"/>
    <n v="0"/>
    <n v="0"/>
  </r>
  <r>
    <s v="16-Apr-2026"/>
    <x v="3"/>
    <s v="Week3-Apr-2026"/>
    <x v="7"/>
    <s v="Q1FY27"/>
    <s v="29-Dec-2026"/>
    <s v="Tuesday"/>
    <s v="Monthly - Tuesday"/>
    <s v="Monthly - Tuesday"/>
    <s v="Month+8 Expiry"/>
    <n v="0"/>
    <n v="0"/>
    <n v="0"/>
  </r>
  <r>
    <s v="16-Apr-2026"/>
    <x v="3"/>
    <s v="Week3-Apr-2026"/>
    <x v="7"/>
    <s v="Q1FY27"/>
    <s v="30-Mar-2027"/>
    <s v="Tuesday"/>
    <s v="Monthly - Tuesday"/>
    <s v="Monthly - Tuesday"/>
    <s v="Month+11 Expiry"/>
    <n v="0"/>
    <n v="0"/>
    <n v="0"/>
  </r>
  <r>
    <s v="17-Apr-2026"/>
    <x v="4"/>
    <s v="Week3-Apr-2026"/>
    <x v="7"/>
    <s v="Q1FY27"/>
    <s v="28-Apr-2026"/>
    <s v="Tuesday"/>
    <s v="Monthly - Tuesday"/>
    <s v="Monthly - Tuesday"/>
    <s v="Same Month Expiry"/>
    <n v="2695208"/>
    <n v="4543.2434"/>
    <n v="35.7619"/>
  </r>
  <r>
    <s v="17-Apr-2026"/>
    <x v="4"/>
    <s v="Week3-Apr-2026"/>
    <x v="7"/>
    <s v="Q1FY27"/>
    <s v="26-May-2026"/>
    <s v="Tuesday"/>
    <s v="Monthly - Tuesday"/>
    <s v="Monthly - Tuesday"/>
    <s v="Month+1 Expiry"/>
    <n v="132661"/>
    <n v="232.1285"/>
    <n v="3.1768"/>
  </r>
  <r>
    <s v="17-Apr-2026"/>
    <x v="4"/>
    <s v="Week3-Apr-2026"/>
    <x v="7"/>
    <s v="Q1FY27"/>
    <s v="30-Jun-2026"/>
    <s v="Tuesday"/>
    <s v="Monthly - Tuesday"/>
    <s v="Monthly - Tuesday"/>
    <s v="Month+2 Expiry"/>
    <n v="10165"/>
    <n v="17.4921"/>
    <n v="0.2711"/>
  </r>
  <r>
    <s v="17-Apr-2026"/>
    <x v="4"/>
    <s v="Week3-Apr-2026"/>
    <x v="7"/>
    <s v="Q1FY27"/>
    <s v="29-Sep-2026"/>
    <s v="Tuesday"/>
    <s v="Monthly - Tuesday"/>
    <s v="Monthly - Tuesday"/>
    <s v="Month+5 Expiry"/>
    <n v="0"/>
    <n v="0"/>
    <n v="0"/>
  </r>
  <r>
    <s v="17-Apr-2026"/>
    <x v="4"/>
    <s v="Week3-Apr-2026"/>
    <x v="7"/>
    <s v="Q1FY27"/>
    <s v="29-Dec-2026"/>
    <s v="Tuesday"/>
    <s v="Monthly - Tuesday"/>
    <s v="Monthly - Tuesday"/>
    <s v="Month+8 Expiry"/>
    <n v="0"/>
    <n v="0"/>
    <n v="0"/>
  </r>
  <r>
    <s v="17-Apr-2026"/>
    <x v="4"/>
    <s v="Week3-Apr-2026"/>
    <x v="7"/>
    <s v="Q1FY27"/>
    <s v="30-Mar-2027"/>
    <s v="Tuesday"/>
    <s v="Monthly - Tuesday"/>
    <s v="Monthly - Tuesday"/>
    <s v="Month+11 Expiry"/>
    <n v="0"/>
    <n v="0"/>
    <n v="0"/>
  </r>
  <r>
    <s v="20-Apr-2026"/>
    <x v="0"/>
    <s v="Week3-Apr-2026"/>
    <x v="7"/>
    <s v="Q1FY27"/>
    <s v="28-Apr-2026"/>
    <s v="Tuesday"/>
    <s v="Monthly - Tuesday"/>
    <s v="Monthly - Tuesday"/>
    <s v="Same Month Expiry"/>
    <n v="3666502"/>
    <n v="6226.2013"/>
    <n v="44.2092"/>
  </r>
  <r>
    <s v="20-Apr-2026"/>
    <x v="0"/>
    <s v="Week3-Apr-2026"/>
    <x v="7"/>
    <s v="Q1FY27"/>
    <s v="26-May-2026"/>
    <s v="Tuesday"/>
    <s v="Monthly - Tuesday"/>
    <s v="Monthly - Tuesday"/>
    <s v="Month+1 Expiry"/>
    <n v="180150"/>
    <n v="314.8038"/>
    <n v="3.9954"/>
  </r>
  <r>
    <s v="20-Apr-2026"/>
    <x v="0"/>
    <s v="Week3-Apr-2026"/>
    <x v="7"/>
    <s v="Q1FY27"/>
    <s v="30-Jun-2026"/>
    <s v="Tuesday"/>
    <s v="Monthly - Tuesday"/>
    <s v="Monthly - Tuesday"/>
    <s v="Month+2 Expiry"/>
    <n v="15269"/>
    <n v="26.7854"/>
    <n v="0.5145"/>
  </r>
  <r>
    <s v="20-Apr-2026"/>
    <x v="0"/>
    <s v="Week3-Apr-2026"/>
    <x v="7"/>
    <s v="Q1FY27"/>
    <s v="29-Sep-2026"/>
    <s v="Tuesday"/>
    <s v="Monthly - Tuesday"/>
    <s v="Monthly - Tuesday"/>
    <s v="Month+5 Expiry"/>
    <n v="0"/>
    <n v="0"/>
    <n v="0"/>
  </r>
  <r>
    <s v="20-Apr-2026"/>
    <x v="0"/>
    <s v="Week3-Apr-2026"/>
    <x v="7"/>
    <s v="Q1FY27"/>
    <s v="29-Dec-2026"/>
    <s v="Tuesday"/>
    <s v="Monthly - Tuesday"/>
    <s v="Monthly - Tuesday"/>
    <s v="Month+8 Expiry"/>
    <n v="0"/>
    <n v="0"/>
    <n v="0"/>
  </r>
  <r>
    <s v="20-Apr-2026"/>
    <x v="0"/>
    <s v="Week3-Apr-2026"/>
    <x v="7"/>
    <s v="Q1FY27"/>
    <s v="30-Mar-2027"/>
    <s v="Tuesday"/>
    <s v="Monthly - Tuesday"/>
    <s v="Monthly - Tuesday"/>
    <s v="Month+11 Expiry"/>
    <n v="0"/>
    <n v="0"/>
    <n v="0"/>
  </r>
  <r>
    <s v="21-Apr-2026"/>
    <x v="1"/>
    <s v="Week3-Apr-2026"/>
    <x v="7"/>
    <s v="Q1FY27"/>
    <s v="28-Apr-2026"/>
    <s v="Tuesday"/>
    <s v="Monthly - Tuesday"/>
    <s v="Monthly - Tuesday"/>
    <s v="Same Month Expiry"/>
    <n v="2989722"/>
    <n v="5064.6264"/>
    <n v="33.9211"/>
  </r>
  <r>
    <s v="21-Apr-2026"/>
    <x v="1"/>
    <s v="Week3-Apr-2026"/>
    <x v="7"/>
    <s v="Q1FY27"/>
    <s v="26-May-2026"/>
    <s v="Tuesday"/>
    <s v="Monthly - Tuesday"/>
    <s v="Monthly - Tuesday"/>
    <s v="Month+1 Expiry"/>
    <n v="179279"/>
    <n v="313.5534"/>
    <n v="4.1459"/>
  </r>
  <r>
    <s v="21-Apr-2026"/>
    <x v="1"/>
    <s v="Week3-Apr-2026"/>
    <x v="7"/>
    <s v="Q1FY27"/>
    <s v="30-Jun-2026"/>
    <s v="Tuesday"/>
    <s v="Monthly - Tuesday"/>
    <s v="Monthly - Tuesday"/>
    <s v="Month+2 Expiry"/>
    <n v="12233"/>
    <n v="21.1865"/>
    <n v="0.3737"/>
  </r>
  <r>
    <s v="21-Apr-2026"/>
    <x v="1"/>
    <s v="Week3-Apr-2026"/>
    <x v="7"/>
    <s v="Q1FY27"/>
    <s v="29-Sep-2026"/>
    <s v="Tuesday"/>
    <s v="Monthly - Tuesday"/>
    <s v="Monthly - Tuesday"/>
    <s v="Month+5 Expiry"/>
    <n v="0"/>
    <n v="0"/>
    <n v="0"/>
  </r>
  <r>
    <s v="21-Apr-2026"/>
    <x v="1"/>
    <s v="Week3-Apr-2026"/>
    <x v="7"/>
    <s v="Q1FY27"/>
    <s v="29-Dec-2026"/>
    <s v="Tuesday"/>
    <s v="Monthly - Tuesday"/>
    <s v="Monthly - Tuesday"/>
    <s v="Month+8 Expiry"/>
    <n v="0"/>
    <n v="0"/>
    <n v="0"/>
  </r>
  <r>
    <s v="21-Apr-2026"/>
    <x v="1"/>
    <s v="Week3-Apr-2026"/>
    <x v="7"/>
    <s v="Q1FY27"/>
    <s v="30-Mar-2027"/>
    <s v="Tuesday"/>
    <s v="Monthly - Tuesday"/>
    <s v="Monthly - Tuesday"/>
    <s v="Month+11 Expiry"/>
    <n v="0"/>
    <n v="0"/>
    <n v="0"/>
  </r>
  <r>
    <s v="22-Apr-2026"/>
    <x v="2"/>
    <s v="Week4-Apr-2026"/>
    <x v="7"/>
    <s v="Q1FY27"/>
    <s v="28-Apr-2026"/>
    <s v="Tuesday"/>
    <s v="Monthly - Tuesday"/>
    <s v="Monthly - Tuesday"/>
    <s v="Same Month Expiry"/>
    <n v="4046063"/>
    <n v="6912.3695"/>
    <n v="41.6802"/>
  </r>
  <r>
    <s v="22-Apr-2026"/>
    <x v="2"/>
    <s v="Week4-Apr-2026"/>
    <x v="7"/>
    <s v="Q1FY27"/>
    <s v="26-May-2026"/>
    <s v="Tuesday"/>
    <s v="Monthly - Tuesday"/>
    <s v="Monthly - Tuesday"/>
    <s v="Month+1 Expiry"/>
    <n v="177749"/>
    <n v="307.5002"/>
    <n v="3.9547"/>
  </r>
  <r>
    <s v="22-Apr-2026"/>
    <x v="2"/>
    <s v="Week4-Apr-2026"/>
    <x v="7"/>
    <s v="Q1FY27"/>
    <s v="30-Jun-2026"/>
    <s v="Tuesday"/>
    <s v="Monthly - Tuesday"/>
    <s v="Monthly - Tuesday"/>
    <s v="Month+2 Expiry"/>
    <n v="9273"/>
    <n v="16.1406"/>
    <n v="0.2844"/>
  </r>
  <r>
    <s v="22-Apr-2026"/>
    <x v="2"/>
    <s v="Week4-Apr-2026"/>
    <x v="7"/>
    <s v="Q1FY27"/>
    <s v="29-Sep-2026"/>
    <s v="Tuesday"/>
    <s v="Monthly - Tuesday"/>
    <s v="Monthly - Tuesday"/>
    <s v="Month+5 Expiry"/>
    <n v="31"/>
    <n v="0.0579"/>
    <n v="0.0017"/>
  </r>
  <r>
    <s v="22-Apr-2026"/>
    <x v="2"/>
    <s v="Week4-Apr-2026"/>
    <x v="7"/>
    <s v="Q1FY27"/>
    <s v="29-Dec-2026"/>
    <s v="Tuesday"/>
    <s v="Monthly - Tuesday"/>
    <s v="Monthly - Tuesday"/>
    <s v="Month+8 Expiry"/>
    <n v="0"/>
    <n v="0"/>
    <n v="0"/>
  </r>
  <r>
    <s v="22-Apr-2026"/>
    <x v="2"/>
    <s v="Week4-Apr-2026"/>
    <x v="7"/>
    <s v="Q1FY27"/>
    <s v="30-Mar-2027"/>
    <s v="Tuesday"/>
    <s v="Monthly - Tuesday"/>
    <s v="Monthly - Tuesday"/>
    <s v="Month+11 Expiry"/>
    <n v="0"/>
    <n v="0"/>
    <n v="0"/>
  </r>
  <r>
    <s v="23-Apr-2026"/>
    <x v="3"/>
    <s v="Week4-Apr-2026"/>
    <x v="7"/>
    <s v="Q1FY27"/>
    <s v="28-Apr-2026"/>
    <s v="Tuesday"/>
    <s v="Monthly - Tuesday"/>
    <s v="Monthly - Tuesday"/>
    <s v="Same Month Expiry"/>
    <n v="4408079"/>
    <n v="7509.2337"/>
    <n v="38.4919"/>
  </r>
  <r>
    <s v="23-Apr-2026"/>
    <x v="3"/>
    <s v="Week4-Apr-2026"/>
    <x v="7"/>
    <s v="Q1FY27"/>
    <s v="26-May-2026"/>
    <s v="Tuesday"/>
    <s v="Monthly - Tuesday"/>
    <s v="Monthly - Tuesday"/>
    <s v="Month+1 Expiry"/>
    <n v="223671"/>
    <n v="390.1955"/>
    <n v="5.1704"/>
  </r>
  <r>
    <s v="23-Apr-2026"/>
    <x v="3"/>
    <s v="Week4-Apr-2026"/>
    <x v="7"/>
    <s v="Q1FY27"/>
    <s v="30-Jun-2026"/>
    <s v="Tuesday"/>
    <s v="Monthly - Tuesday"/>
    <s v="Monthly - Tuesday"/>
    <s v="Month+2 Expiry"/>
    <n v="12076"/>
    <n v="21.01"/>
    <n v="0.3883"/>
  </r>
  <r>
    <s v="23-Apr-2026"/>
    <x v="3"/>
    <s v="Week4-Apr-2026"/>
    <x v="7"/>
    <s v="Q1FY27"/>
    <s v="29-Sep-2026"/>
    <s v="Tuesday"/>
    <s v="Monthly - Tuesday"/>
    <s v="Monthly - Tuesday"/>
    <s v="Month+5 Expiry"/>
    <n v="96"/>
    <n v="0.1598"/>
    <n v="0.003"/>
  </r>
  <r>
    <s v="23-Apr-2026"/>
    <x v="3"/>
    <s v="Week4-Apr-2026"/>
    <x v="7"/>
    <s v="Q1FY27"/>
    <s v="29-Dec-2026"/>
    <s v="Tuesday"/>
    <s v="Monthly - Tuesday"/>
    <s v="Monthly - Tuesday"/>
    <s v="Month+8 Expiry"/>
    <n v="0"/>
    <n v="0"/>
    <n v="0"/>
  </r>
  <r>
    <s v="23-Apr-2026"/>
    <x v="3"/>
    <s v="Week4-Apr-2026"/>
    <x v="7"/>
    <s v="Q1FY27"/>
    <s v="30-Mar-2027"/>
    <s v="Tuesday"/>
    <s v="Monthly - Tuesday"/>
    <s v="Monthly - Tuesday"/>
    <s v="Month+11 Expiry"/>
    <n v="0"/>
    <n v="0"/>
    <n v="0"/>
  </r>
  <r>
    <s v="24-Apr-2026"/>
    <x v="4"/>
    <s v="Week4-Apr-2026"/>
    <x v="7"/>
    <s v="Q1FY27"/>
    <s v="28-Apr-2026"/>
    <s v="Tuesday"/>
    <s v="Monthly - Tuesday"/>
    <s v="Monthly - Tuesday"/>
    <s v="Same Month Expiry"/>
    <n v="8502479"/>
    <n v="14358.2674"/>
    <n v="67.6904"/>
  </r>
  <r>
    <s v="24-Apr-2026"/>
    <x v="4"/>
    <s v="Week4-Apr-2026"/>
    <x v="7"/>
    <s v="Q1FY27"/>
    <s v="26-May-2026"/>
    <s v="Tuesday"/>
    <s v="Monthly - Tuesday"/>
    <s v="Monthly - Tuesday"/>
    <s v="Month+1 Expiry"/>
    <n v="225336"/>
    <n v="389.0458"/>
    <n v="5.6458"/>
  </r>
  <r>
    <s v="24-Apr-2026"/>
    <x v="4"/>
    <s v="Week4-Apr-2026"/>
    <x v="7"/>
    <s v="Q1FY27"/>
    <s v="30-Jun-2026"/>
    <s v="Tuesday"/>
    <s v="Monthly - Tuesday"/>
    <s v="Monthly - Tuesday"/>
    <s v="Month+2 Expiry"/>
    <n v="14634"/>
    <n v="25.6617"/>
    <n v="0.4283"/>
  </r>
  <r>
    <s v="24-Apr-2026"/>
    <x v="4"/>
    <s v="Week4-Apr-2026"/>
    <x v="7"/>
    <s v="Q1FY27"/>
    <s v="29-Sep-2026"/>
    <s v="Tuesday"/>
    <s v="Monthly - Tuesday"/>
    <s v="Monthly - Tuesday"/>
    <s v="Month+5 Expiry"/>
    <n v="83"/>
    <n v="0.1483"/>
    <n v="0.0029"/>
  </r>
  <r>
    <s v="24-Apr-2026"/>
    <x v="4"/>
    <s v="Week4-Apr-2026"/>
    <x v="7"/>
    <s v="Q1FY27"/>
    <s v="29-Dec-2026"/>
    <s v="Tuesday"/>
    <s v="Monthly - Tuesday"/>
    <s v="Monthly - Tuesday"/>
    <s v="Month+8 Expiry"/>
    <n v="0"/>
    <n v="0"/>
    <n v="0"/>
  </r>
  <r>
    <s v="24-Apr-2026"/>
    <x v="4"/>
    <s v="Week4-Apr-2026"/>
    <x v="7"/>
    <s v="Q1FY27"/>
    <s v="30-Mar-2027"/>
    <s v="Tuesday"/>
    <s v="Monthly - Tuesday"/>
    <s v="Monthly - Tuesday"/>
    <s v="Month+11 Expiry"/>
    <n v="0"/>
    <n v="0"/>
    <n v="0"/>
  </r>
  <r>
    <s v="27-Apr-2026"/>
    <x v="0"/>
    <s v="Week4-Apr-2026"/>
    <x v="7"/>
    <s v="Q1FY27"/>
    <s v="28-Apr-2026"/>
    <s v="Tuesday"/>
    <s v="Monthly - Tuesday"/>
    <s v="Monthly - Tuesday"/>
    <s v="Same Month Expiry"/>
    <n v="16838175"/>
    <n v="28419.917"/>
    <n v="82.2373"/>
  </r>
  <r>
    <s v="27-Apr-2026"/>
    <x v="0"/>
    <s v="Week4-Apr-2026"/>
    <x v="7"/>
    <s v="Q1FY27"/>
    <s v="26-May-2026"/>
    <s v="Tuesday"/>
    <s v="Monthly - Tuesday"/>
    <s v="Monthly - Tuesday"/>
    <s v="Month+1 Expiry"/>
    <n v="336365"/>
    <n v="579.9241"/>
    <n v="9.386200000000001"/>
  </r>
  <r>
    <s v="27-Apr-2026"/>
    <x v="0"/>
    <s v="Week4-Apr-2026"/>
    <x v="7"/>
    <s v="Q1FY27"/>
    <s v="30-Jun-2026"/>
    <s v="Tuesday"/>
    <s v="Monthly - Tuesday"/>
    <s v="Monthly - Tuesday"/>
    <s v="Month+2 Expiry"/>
    <n v="11984"/>
    <n v="20.8848"/>
    <n v="0.4446"/>
  </r>
  <r>
    <s v="27-Apr-2026"/>
    <x v="0"/>
    <s v="Week4-Apr-2026"/>
    <x v="7"/>
    <s v="Q1FY27"/>
    <s v="29-Sep-2026"/>
    <s v="Tuesday"/>
    <s v="Monthly - Tuesday"/>
    <s v="Monthly - Tuesday"/>
    <s v="Month+5 Expiry"/>
    <n v="72"/>
    <n v="0.1241"/>
    <n v="0.0023"/>
  </r>
  <r>
    <s v="27-Apr-2026"/>
    <x v="0"/>
    <s v="Week4-Apr-2026"/>
    <x v="7"/>
    <s v="Q1FY27"/>
    <s v="29-Dec-2026"/>
    <s v="Tuesday"/>
    <s v="Monthly - Tuesday"/>
    <s v="Monthly - Tuesday"/>
    <s v="Month+8 Expiry"/>
    <n v="0"/>
    <n v="0"/>
    <n v="0"/>
  </r>
  <r>
    <s v="27-Apr-2026"/>
    <x v="0"/>
    <s v="Week4-Apr-2026"/>
    <x v="7"/>
    <s v="Q1FY27"/>
    <s v="30-Mar-2027"/>
    <s v="Tuesday"/>
    <s v="Monthly - Tuesday"/>
    <s v="Monthly - Tuesday"/>
    <s v="Month+11 Expiry"/>
    <n v="0"/>
    <n v="0"/>
    <n v="0"/>
  </r>
  <r>
    <s v="28-Apr-2026"/>
    <x v="1"/>
    <s v="Week4-Apr-2026"/>
    <x v="7"/>
    <s v="Q1FY27"/>
    <s v="28-Apr-2026"/>
    <s v="Tuesday"/>
    <s v="Monthly - Tuesday"/>
    <s v="Monthly - Tuesday"/>
    <s v="Same Month Expiry"/>
    <n v="91759485"/>
    <n v="153286.2119"/>
    <n v="144.229"/>
  </r>
  <r>
    <s v="28-Apr-2026"/>
    <x v="1"/>
    <s v="Week4-Apr-2026"/>
    <x v="7"/>
    <s v="Q1FY27"/>
    <s v="26-May-2026"/>
    <s v="Tuesday"/>
    <s v="Monthly - Tuesday"/>
    <s v="Monthly - Tuesday"/>
    <s v="Month+1 Expiry"/>
    <n v="735866"/>
    <n v="1256.8362"/>
    <n v="17.0292"/>
  </r>
  <r>
    <s v="28-Apr-2026"/>
    <x v="1"/>
    <s v="Week4-Apr-2026"/>
    <x v="7"/>
    <s v="Q1FY27"/>
    <s v="30-Jun-2026"/>
    <s v="Tuesday"/>
    <s v="Monthly - Tuesday"/>
    <s v="Monthly - Tuesday"/>
    <s v="Month+2 Expiry"/>
    <n v="24881"/>
    <n v="42.8221"/>
    <n v="0.8257"/>
  </r>
  <r>
    <s v="28-Apr-2026"/>
    <x v="1"/>
    <s v="Week4-Apr-2026"/>
    <x v="7"/>
    <s v="Q1FY27"/>
    <s v="29-Sep-2026"/>
    <s v="Tuesday"/>
    <s v="Monthly - Tuesday"/>
    <s v="Monthly - Tuesday"/>
    <s v="Month+5 Expiry"/>
    <n v="85"/>
    <n v="0.145"/>
    <n v="0.0031"/>
  </r>
  <r>
    <s v="28-Apr-2026"/>
    <x v="1"/>
    <s v="Week4-Apr-2026"/>
    <x v="7"/>
    <s v="Q1FY27"/>
    <s v="29-Dec-2026"/>
    <s v="Tuesday"/>
    <s v="Monthly - Tuesday"/>
    <s v="Monthly - Tuesday"/>
    <s v="Month+8 Expiry"/>
    <n v="3"/>
    <n v="0.0054"/>
    <n v="0.0002"/>
  </r>
  <r>
    <s v="28-Apr-2026"/>
    <x v="1"/>
    <s v="Week4-Apr-2026"/>
    <x v="7"/>
    <s v="Q1FY27"/>
    <s v="30-Mar-2027"/>
    <s v="Tuesday"/>
    <s v="Monthly - Tuesday"/>
    <s v="Monthly - Tuesday"/>
    <s v="Month+11 Expiry"/>
    <n v="0"/>
    <n v="0"/>
    <n v="0"/>
  </r>
  <r>
    <s v="29-Apr-2026"/>
    <x v="2"/>
    <s v="Week5-Apr-2026"/>
    <x v="7"/>
    <s v="Q1FY27"/>
    <s v="26-May-2026"/>
    <s v="Tuesday"/>
    <s v="Monthly - Tuesday"/>
    <s v="Monthly - Tuesday"/>
    <s v="Month+1 Expiry"/>
    <n v="1895212"/>
    <n v="3228.9082"/>
    <n v="39.6797"/>
  </r>
  <r>
    <s v="29-Apr-2026"/>
    <x v="2"/>
    <s v="Week5-Apr-2026"/>
    <x v="7"/>
    <s v="Q1FY27"/>
    <s v="30-Jun-2026"/>
    <s v="Tuesday"/>
    <s v="Monthly - Tuesday"/>
    <s v="Monthly - Tuesday"/>
    <s v="Month+2 Expiry"/>
    <n v="33169"/>
    <n v="56.6535"/>
    <n v="0.8518"/>
  </r>
  <r>
    <s v="29-Apr-2026"/>
    <x v="2"/>
    <s v="Week5-Apr-2026"/>
    <x v="7"/>
    <s v="Q1FY27"/>
    <s v="28-Jul-2026"/>
    <s v="Tuesday"/>
    <s v="Monthly - Tuesday"/>
    <s v="Monthly - Tuesday"/>
    <s v="Month+3 Expiry"/>
    <n v="443"/>
    <n v="0.7538"/>
    <n v="0.0213"/>
  </r>
  <r>
    <s v="29-Apr-2026"/>
    <x v="2"/>
    <s v="Week5-Apr-2026"/>
    <x v="7"/>
    <s v="Q1FY27"/>
    <s v="29-Sep-2026"/>
    <s v="Tuesday"/>
    <s v="Monthly - Tuesday"/>
    <s v="Monthly - Tuesday"/>
    <s v="Month+5 Expiry"/>
    <n v="250"/>
    <n v="0.4429"/>
    <n v="0.0091"/>
  </r>
  <r>
    <s v="29-Apr-2026"/>
    <x v="2"/>
    <s v="Week5-Apr-2026"/>
    <x v="7"/>
    <s v="Q1FY27"/>
    <s v="29-Dec-2026"/>
    <s v="Tuesday"/>
    <s v="Monthly - Tuesday"/>
    <s v="Monthly - Tuesday"/>
    <s v="Month+8 Expiry"/>
    <n v="8"/>
    <n v="0.0114"/>
    <n v="0.0001"/>
  </r>
  <r>
    <s v="29-Apr-2026"/>
    <x v="2"/>
    <s v="Week5-Apr-2026"/>
    <x v="7"/>
    <s v="Q1FY27"/>
    <s v="30-Mar-2027"/>
    <s v="Tuesday"/>
    <s v="Monthly - Tuesday"/>
    <s v="Monthly - Tuesday"/>
    <s v="Month+11 Expiry"/>
    <n v="0"/>
    <n v="0"/>
    <n v="0"/>
  </r>
  <r>
    <s v="30-Apr-2026"/>
    <x v="3"/>
    <s v="Week5-Apr-2026"/>
    <x v="7"/>
    <s v="Q1FY27"/>
    <s v="26-May-2026"/>
    <s v="Tuesday"/>
    <s v="Monthly - Tuesday"/>
    <s v="Monthly - Tuesday"/>
    <s v="Month+1 Expiry"/>
    <n v="1712831"/>
    <n v="2877.1678"/>
    <n v="37.6604"/>
  </r>
  <r>
    <s v="30-Apr-2026"/>
    <x v="3"/>
    <s v="Week5-Apr-2026"/>
    <x v="7"/>
    <s v="Q1FY27"/>
    <s v="30-Jun-2026"/>
    <s v="Tuesday"/>
    <s v="Monthly - Tuesday"/>
    <s v="Monthly - Tuesday"/>
    <s v="Month+2 Expiry"/>
    <n v="30370"/>
    <n v="51.8274"/>
    <n v="0.8655"/>
  </r>
  <r>
    <s v="30-Apr-2026"/>
    <x v="3"/>
    <s v="Week5-Apr-2026"/>
    <x v="7"/>
    <s v="Q1FY27"/>
    <s v="28-Jul-2026"/>
    <s v="Tuesday"/>
    <s v="Monthly - Tuesday"/>
    <s v="Monthly - Tuesday"/>
    <s v="Month+3 Expiry"/>
    <n v="1064"/>
    <n v="1.7926"/>
    <n v="0.0512"/>
  </r>
  <r>
    <s v="30-Apr-2026"/>
    <x v="3"/>
    <s v="Week5-Apr-2026"/>
    <x v="7"/>
    <s v="Q1FY27"/>
    <s v="29-Sep-2026"/>
    <s v="Tuesday"/>
    <s v="Monthly - Tuesday"/>
    <s v="Monthly - Tuesday"/>
    <s v="Month+5 Expiry"/>
    <n v="389"/>
    <n v="0.6791"/>
    <n v="0.0142"/>
  </r>
  <r>
    <s v="30-Apr-2026"/>
    <x v="3"/>
    <s v="Week5-Apr-2026"/>
    <x v="7"/>
    <s v="Q1FY27"/>
    <s v="29-Dec-2026"/>
    <s v="Tuesday"/>
    <s v="Monthly - Tuesday"/>
    <s v="Monthly - Tuesday"/>
    <s v="Month+8 Expiry"/>
    <n v="0"/>
    <n v="0"/>
    <n v="0"/>
  </r>
  <r>
    <s v="30-Apr-2026"/>
    <x v="3"/>
    <s v="Week5-Apr-2026"/>
    <x v="7"/>
    <s v="Q1FY27"/>
    <s v="30-Mar-2027"/>
    <s v="Tuesday"/>
    <s v="Monthly - Tuesday"/>
    <s v="Monthly - Tuesday"/>
    <s v="Month+11 Expiry"/>
    <n v="0"/>
    <n v="0"/>
    <n v="0"/>
  </r>
  <r>
    <s v="04-May-2026"/>
    <x v="0"/>
    <s v="Week1-May-2026"/>
    <x v="8"/>
    <s v="Q1FY27"/>
    <s v="26-May-2026"/>
    <s v="Tuesday"/>
    <s v="Monthly - Tuesday"/>
    <s v="Monthly - Tuesday"/>
    <s v="Same Month Expiry"/>
    <n v="1767544"/>
    <n v="2987.0088"/>
    <n v="34.9621"/>
  </r>
  <r>
    <s v="04-May-2026"/>
    <x v="0"/>
    <s v="Week1-May-2026"/>
    <x v="8"/>
    <s v="Q1FY27"/>
    <s v="30-Jun-2026"/>
    <s v="Tuesday"/>
    <s v="Monthly - Tuesday"/>
    <s v="Monthly - Tuesday"/>
    <s v="Month+1 Expiry"/>
    <n v="33202"/>
    <n v="57.5789"/>
    <n v="0.739"/>
  </r>
  <r>
    <s v="04-May-2026"/>
    <x v="0"/>
    <s v="Week1-May-2026"/>
    <x v="8"/>
    <s v="Q1FY27"/>
    <s v="28-Jul-2026"/>
    <s v="Tuesday"/>
    <s v="Monthly - Tuesday"/>
    <s v="Monthly - Tuesday"/>
    <s v="Month+2 Expiry"/>
    <n v="1352"/>
    <n v="2.2995"/>
    <n v="0.0578"/>
  </r>
  <r>
    <s v="04-May-2026"/>
    <x v="0"/>
    <s v="Week1-May-2026"/>
    <x v="8"/>
    <s v="Q1FY27"/>
    <s v="29-Sep-2026"/>
    <s v="Tuesday"/>
    <s v="Monthly - Tuesday"/>
    <s v="Monthly - Tuesday"/>
    <s v="Month+4 Expiry"/>
    <n v="201"/>
    <n v="0.3488"/>
    <n v="0.0066"/>
  </r>
  <r>
    <s v="04-May-2026"/>
    <x v="0"/>
    <s v="Week1-May-2026"/>
    <x v="8"/>
    <s v="Q1FY27"/>
    <s v="29-Dec-2026"/>
    <s v="Tuesday"/>
    <s v="Monthly - Tuesday"/>
    <s v="Monthly - Tuesday"/>
    <s v="Month+7 Expiry"/>
    <n v="0"/>
    <n v="0"/>
    <n v="0"/>
  </r>
  <r>
    <s v="04-May-2026"/>
    <x v="0"/>
    <s v="Week1-May-2026"/>
    <x v="8"/>
    <s v="Q1FY27"/>
    <s v="30-Mar-2027"/>
    <s v="Tuesday"/>
    <s v="Monthly - Tuesday"/>
    <s v="Monthly - Tuesday"/>
    <s v="Month+10 Expiry"/>
    <n v="0"/>
    <n v="0"/>
    <n v="0"/>
  </r>
  <r>
    <s v="05-May-2026"/>
    <x v="1"/>
    <s v="Week1-May-2026"/>
    <x v="8"/>
    <s v="Q1FY27"/>
    <s v="26-May-2026"/>
    <s v="Tuesday"/>
    <s v="Monthly - Tuesday"/>
    <s v="Monthly - Tuesday"/>
    <s v="Same Month Expiry"/>
    <n v="1802314"/>
    <n v="3020.2696"/>
    <n v="35.2089"/>
  </r>
  <r>
    <s v="05-May-2026"/>
    <x v="1"/>
    <s v="Week1-May-2026"/>
    <x v="8"/>
    <s v="Q1FY27"/>
    <s v="30-Jun-2026"/>
    <s v="Tuesday"/>
    <s v="Monthly - Tuesday"/>
    <s v="Monthly - Tuesday"/>
    <s v="Month+1 Expiry"/>
    <n v="37015"/>
    <n v="63.8188"/>
    <n v="0.8058"/>
  </r>
  <r>
    <s v="05-May-2026"/>
    <x v="1"/>
    <s v="Week1-May-2026"/>
    <x v="8"/>
    <s v="Q1FY27"/>
    <s v="28-Jul-2026"/>
    <s v="Tuesday"/>
    <s v="Monthly - Tuesday"/>
    <s v="Monthly - Tuesday"/>
    <s v="Month+2 Expiry"/>
    <n v="1540"/>
    <n v="2.595"/>
    <n v="0.0568"/>
  </r>
  <r>
    <s v="05-May-2026"/>
    <x v="1"/>
    <s v="Week1-May-2026"/>
    <x v="8"/>
    <s v="Q1FY27"/>
    <s v="29-Sep-2026"/>
    <s v="Tuesday"/>
    <s v="Monthly - Tuesday"/>
    <s v="Monthly - Tuesday"/>
    <s v="Month+4 Expiry"/>
    <n v="231"/>
    <n v="0.4064"/>
    <n v="0.0083"/>
  </r>
  <r>
    <s v="05-May-2026"/>
    <x v="1"/>
    <s v="Week1-May-2026"/>
    <x v="8"/>
    <s v="Q1FY27"/>
    <s v="29-Dec-2026"/>
    <s v="Tuesday"/>
    <s v="Monthly - Tuesday"/>
    <s v="Monthly - Tuesday"/>
    <s v="Month+7 Expiry"/>
    <n v="1"/>
    <n v="0.0018"/>
    <n v="0.0001"/>
  </r>
  <r>
    <s v="05-May-2026"/>
    <x v="1"/>
    <s v="Week1-May-2026"/>
    <x v="8"/>
    <s v="Q1FY27"/>
    <s v="30-Mar-2027"/>
    <s v="Tuesday"/>
    <s v="Monthly - Tuesday"/>
    <s v="Monthly - Tuesday"/>
    <s v="Month+10 Expiry"/>
    <n v="0"/>
    <n v="0"/>
    <n v="0"/>
  </r>
  <r>
    <s v="06-May-2026"/>
    <x v="2"/>
    <s v="Week1-May-2026"/>
    <x v="8"/>
    <s v="Q1FY27"/>
    <s v="26-May-2026"/>
    <s v="Tuesday"/>
    <s v="Monthly - Tuesday"/>
    <s v="Monthly - Tuesday"/>
    <s v="Same Month Expiry"/>
    <n v="3044751"/>
    <n v="5122.9406"/>
    <n v="53.9687"/>
  </r>
  <r>
    <s v="06-May-2026"/>
    <x v="2"/>
    <s v="Week1-May-2026"/>
    <x v="8"/>
    <s v="Q1FY27"/>
    <s v="30-Jun-2026"/>
    <s v="Tuesday"/>
    <s v="Monthly - Tuesday"/>
    <s v="Monthly - Tuesday"/>
    <s v="Month+1 Expiry"/>
    <n v="86772"/>
    <n v="147.0936"/>
    <n v="1.7706"/>
  </r>
  <r>
    <s v="06-May-2026"/>
    <x v="2"/>
    <s v="Week1-May-2026"/>
    <x v="8"/>
    <s v="Q1FY27"/>
    <s v="28-Jul-2026"/>
    <s v="Tuesday"/>
    <s v="Monthly - Tuesday"/>
    <s v="Monthly - Tuesday"/>
    <s v="Month+2 Expiry"/>
    <n v="4341"/>
    <n v="7.4399"/>
    <n v="0.1787"/>
  </r>
  <r>
    <s v="06-May-2026"/>
    <x v="2"/>
    <s v="Week1-May-2026"/>
    <x v="8"/>
    <s v="Q1FY27"/>
    <s v="29-Sep-2026"/>
    <s v="Tuesday"/>
    <s v="Monthly - Tuesday"/>
    <s v="Monthly - Tuesday"/>
    <s v="Month+4 Expiry"/>
    <n v="432"/>
    <n v="0.7495000000000001"/>
    <n v="0.0169"/>
  </r>
  <r>
    <s v="06-May-2026"/>
    <x v="2"/>
    <s v="Week1-May-2026"/>
    <x v="8"/>
    <s v="Q1FY27"/>
    <s v="29-Dec-2026"/>
    <s v="Tuesday"/>
    <s v="Monthly - Tuesday"/>
    <s v="Monthly - Tuesday"/>
    <s v="Month+7 Expiry"/>
    <n v="12"/>
    <n v="0.0183"/>
    <n v="0.0005"/>
  </r>
  <r>
    <s v="06-May-2026"/>
    <x v="2"/>
    <s v="Week1-May-2026"/>
    <x v="8"/>
    <s v="Q1FY27"/>
    <s v="30-Mar-2027"/>
    <s v="Tuesday"/>
    <s v="Monthly - Tuesday"/>
    <s v="Monthly - Tuesday"/>
    <s v="Month+10 Expiry"/>
    <n v="0"/>
    <n v="0"/>
    <n v="0"/>
  </r>
  <r>
    <s v="07-May-2026"/>
    <x v="3"/>
    <s v="Week1-May-2026"/>
    <x v="8"/>
    <s v="Q1FY27"/>
    <s v="26-May-2026"/>
    <s v="Tuesday"/>
    <s v="Monthly - Tuesday"/>
    <s v="Monthly - Tuesday"/>
    <s v="Same Month Expiry"/>
    <n v="2146088"/>
    <n v="3660.7045"/>
    <n v="38.2474"/>
  </r>
  <r>
    <s v="07-May-2026"/>
    <x v="3"/>
    <s v="Week1-May-2026"/>
    <x v="8"/>
    <s v="Q1FY27"/>
    <s v="30-Jun-2026"/>
    <s v="Tuesday"/>
    <s v="Monthly - Tuesday"/>
    <s v="Monthly - Tuesday"/>
    <s v="Month+1 Expiry"/>
    <n v="40308"/>
    <n v="68.614"/>
    <n v="0.9222"/>
  </r>
  <r>
    <s v="07-May-2026"/>
    <x v="3"/>
    <s v="Week1-May-2026"/>
    <x v="8"/>
    <s v="Q1FY27"/>
    <s v="28-Jul-2026"/>
    <s v="Tuesday"/>
    <s v="Monthly - Tuesday"/>
    <s v="Monthly - Tuesday"/>
    <s v="Month+2 Expiry"/>
    <n v="2085"/>
    <n v="3.5055"/>
    <n v="0.0718"/>
  </r>
  <r>
    <s v="07-May-2026"/>
    <x v="3"/>
    <s v="Week1-May-2026"/>
    <x v="8"/>
    <s v="Q1FY27"/>
    <s v="29-Sep-2026"/>
    <s v="Tuesday"/>
    <s v="Monthly - Tuesday"/>
    <s v="Monthly - Tuesday"/>
    <s v="Month+4 Expiry"/>
    <n v="340"/>
    <n v="0.5941"/>
    <n v="0.0122"/>
  </r>
  <r>
    <s v="07-May-2026"/>
    <x v="3"/>
    <s v="Week1-May-2026"/>
    <x v="8"/>
    <s v="Q1FY27"/>
    <s v="29-Dec-2026"/>
    <s v="Tuesday"/>
    <s v="Monthly - Tuesday"/>
    <s v="Monthly - Tuesday"/>
    <s v="Month+7 Expiry"/>
    <n v="30"/>
    <n v="0.0414"/>
    <n v="0.0004"/>
  </r>
  <r>
    <s v="07-May-2026"/>
    <x v="3"/>
    <s v="Week1-May-2026"/>
    <x v="8"/>
    <s v="Q1FY27"/>
    <s v="30-Mar-2027"/>
    <s v="Tuesday"/>
    <s v="Monthly - Tuesday"/>
    <s v="Monthly - Tuesday"/>
    <s v="Month+10 Expiry"/>
    <n v="0"/>
    <n v="0"/>
    <n v="0"/>
  </r>
  <r>
    <s v="08-May-2026"/>
    <x v="4"/>
    <s v="Week2-May-2026"/>
    <x v="8"/>
    <s v="Q1FY27"/>
    <s v="26-May-2026"/>
    <s v="Tuesday"/>
    <s v="Monthly - Tuesday"/>
    <s v="Monthly - Tuesday"/>
    <s v="Same Month Expiry"/>
    <n v="2286129"/>
    <n v="3860.5966"/>
    <n v="38.7298"/>
  </r>
  <r>
    <s v="08-May-2026"/>
    <x v="4"/>
    <s v="Week2-May-2026"/>
    <x v="8"/>
    <s v="Q1FY27"/>
    <s v="30-Jun-2026"/>
    <s v="Tuesday"/>
    <s v="Monthly - Tuesday"/>
    <s v="Monthly - Tuesday"/>
    <s v="Month+1 Expiry"/>
    <n v="41757"/>
    <n v="70.85809999999999"/>
    <n v="0.9257"/>
  </r>
  <r>
    <s v="08-May-2026"/>
    <x v="4"/>
    <s v="Week2-May-2026"/>
    <x v="8"/>
    <s v="Q1FY27"/>
    <s v="28-Jul-2026"/>
    <s v="Tuesday"/>
    <s v="Monthly - Tuesday"/>
    <s v="Monthly - Tuesday"/>
    <s v="Month+2 Expiry"/>
    <n v="3861"/>
    <n v="6.6362"/>
    <n v="0.153"/>
  </r>
  <r>
    <s v="08-May-2026"/>
    <x v="4"/>
    <s v="Week2-May-2026"/>
    <x v="8"/>
    <s v="Q1FY27"/>
    <s v="29-Sep-2026"/>
    <s v="Tuesday"/>
    <s v="Monthly - Tuesday"/>
    <s v="Monthly - Tuesday"/>
    <s v="Month+4 Expiry"/>
    <n v="260"/>
    <n v="0.4532"/>
    <n v="0.0098"/>
  </r>
  <r>
    <s v="08-May-2026"/>
    <x v="4"/>
    <s v="Week2-May-2026"/>
    <x v="8"/>
    <s v="Q1FY27"/>
    <s v="29-Dec-2026"/>
    <s v="Tuesday"/>
    <s v="Monthly - Tuesday"/>
    <s v="Monthly - Tuesday"/>
    <s v="Month+7 Expiry"/>
    <n v="19"/>
    <n v="0.0258"/>
    <n v="0.0002"/>
  </r>
  <r>
    <s v="08-May-2026"/>
    <x v="4"/>
    <s v="Week2-May-2026"/>
    <x v="8"/>
    <s v="Q1FY27"/>
    <s v="30-Mar-2027"/>
    <s v="Tuesday"/>
    <s v="Monthly - Tuesday"/>
    <s v="Monthly - Tuesday"/>
    <s v="Month+10 Expiry"/>
    <n v="0"/>
    <n v="0"/>
    <n v="0"/>
  </r>
  <r>
    <s v="11-May-2026"/>
    <x v="0"/>
    <s v="Week2-May-2026"/>
    <x v="8"/>
    <s v="Q1FY27"/>
    <s v="26-May-2026"/>
    <s v="Tuesday"/>
    <s v="Monthly - Tuesday"/>
    <s v="Monthly - Tuesday"/>
    <s v="Same Month Expiry"/>
    <n v="2634472"/>
    <n v="4413.5415"/>
    <n v="43.338"/>
  </r>
  <r>
    <s v="11-May-2026"/>
    <x v="0"/>
    <s v="Week2-May-2026"/>
    <x v="8"/>
    <s v="Q1FY27"/>
    <s v="30-Jun-2026"/>
    <s v="Tuesday"/>
    <s v="Monthly - Tuesday"/>
    <s v="Monthly - Tuesday"/>
    <s v="Month+1 Expiry"/>
    <n v="64400"/>
    <n v="110.3122"/>
    <n v="1.4211"/>
  </r>
  <r>
    <s v="11-May-2026"/>
    <x v="0"/>
    <s v="Week2-May-2026"/>
    <x v="8"/>
    <s v="Q1FY27"/>
    <s v="28-Jul-2026"/>
    <s v="Tuesday"/>
    <s v="Monthly - Tuesday"/>
    <s v="Monthly - Tuesday"/>
    <s v="Month+2 Expiry"/>
    <n v="4072"/>
    <n v="6.941"/>
    <n v="0.1557"/>
  </r>
  <r>
    <s v="11-May-2026"/>
    <x v="0"/>
    <s v="Week2-May-2026"/>
    <x v="8"/>
    <s v="Q1FY27"/>
    <s v="29-Sep-2026"/>
    <s v="Tuesday"/>
    <s v="Monthly - Tuesday"/>
    <s v="Monthly - Tuesday"/>
    <s v="Month+4 Expiry"/>
    <n v="443"/>
    <n v="0.7634"/>
    <n v="0.0147"/>
  </r>
  <r>
    <s v="11-May-2026"/>
    <x v="0"/>
    <s v="Week2-May-2026"/>
    <x v="8"/>
    <s v="Q1FY27"/>
    <s v="29-Dec-2026"/>
    <s v="Tuesday"/>
    <s v="Monthly - Tuesday"/>
    <s v="Monthly - Tuesday"/>
    <s v="Month+7 Expiry"/>
    <n v="0"/>
    <n v="0"/>
    <n v="0"/>
  </r>
  <r>
    <s v="11-May-2026"/>
    <x v="0"/>
    <s v="Week2-May-2026"/>
    <x v="8"/>
    <s v="Q1FY27"/>
    <s v="30-Mar-2027"/>
    <s v="Tuesday"/>
    <s v="Monthly - Tuesday"/>
    <s v="Monthly - Tuesday"/>
    <s v="Month+10 Expiry"/>
    <n v="0"/>
    <n v="0"/>
    <n v="0"/>
  </r>
  <r>
    <s v="12-May-2026"/>
    <x v="1"/>
    <s v="Week2-May-2026"/>
    <x v="8"/>
    <s v="Q1FY27"/>
    <s v="26-May-2026"/>
    <s v="Tuesday"/>
    <s v="Monthly - Tuesday"/>
    <s v="Monthly - Tuesday"/>
    <s v="Same Month Expiry"/>
    <n v="2490093"/>
    <n v="4137.5951"/>
    <n v="41.0856"/>
  </r>
  <r>
    <s v="12-May-2026"/>
    <x v="1"/>
    <s v="Week2-May-2026"/>
    <x v="8"/>
    <s v="Q1FY27"/>
    <s v="30-Jun-2026"/>
    <s v="Tuesday"/>
    <s v="Monthly - Tuesday"/>
    <s v="Monthly - Tuesday"/>
    <s v="Month+1 Expiry"/>
    <n v="73595"/>
    <n v="124.1664"/>
    <n v="1.8205"/>
  </r>
  <r>
    <s v="12-May-2026"/>
    <x v="1"/>
    <s v="Week2-May-2026"/>
    <x v="8"/>
    <s v="Q1FY27"/>
    <s v="28-Jul-2026"/>
    <s v="Tuesday"/>
    <s v="Monthly - Tuesday"/>
    <s v="Monthly - Tuesday"/>
    <s v="Month+2 Expiry"/>
    <n v="5661"/>
    <n v="9.493499999999999"/>
    <n v="0.2291"/>
  </r>
  <r>
    <s v="12-May-2026"/>
    <x v="1"/>
    <s v="Week2-May-2026"/>
    <x v="8"/>
    <s v="Q1FY27"/>
    <s v="29-Sep-2026"/>
    <s v="Tuesday"/>
    <s v="Monthly - Tuesday"/>
    <s v="Monthly - Tuesday"/>
    <s v="Month+4 Expiry"/>
    <n v="493"/>
    <n v="0.854"/>
    <n v="0.0181"/>
  </r>
  <r>
    <s v="12-May-2026"/>
    <x v="1"/>
    <s v="Week2-May-2026"/>
    <x v="8"/>
    <s v="Q1FY27"/>
    <s v="29-Dec-2026"/>
    <s v="Tuesday"/>
    <s v="Monthly - Tuesday"/>
    <s v="Monthly - Tuesday"/>
    <s v="Month+7 Expiry"/>
    <n v="1"/>
    <n v="0.0015"/>
    <n v="0"/>
  </r>
  <r>
    <s v="12-May-2026"/>
    <x v="1"/>
    <s v="Week2-May-2026"/>
    <x v="8"/>
    <s v="Q1FY27"/>
    <s v="30-Mar-2027"/>
    <s v="Tuesday"/>
    <s v="Monthly - Tuesday"/>
    <s v="Monthly - Tuesday"/>
    <s v="Month+10 Expiry"/>
    <n v="0"/>
    <n v="0"/>
    <n v="0"/>
  </r>
  <r>
    <s v="13-May-2026"/>
    <x v="2"/>
    <s v="Week2-May-2026"/>
    <x v="8"/>
    <s v="Q1FY27"/>
    <s v="26-May-2026"/>
    <s v="Tuesday"/>
    <s v="Monthly - Tuesday"/>
    <s v="Monthly - Tuesday"/>
    <s v="Same Month Expiry"/>
    <n v="2989323"/>
    <n v="4928.5698"/>
    <n v="49.6001"/>
  </r>
  <r>
    <s v="13-May-2026"/>
    <x v="2"/>
    <s v="Week2-May-2026"/>
    <x v="8"/>
    <s v="Q1FY27"/>
    <s v="30-Jun-2026"/>
    <s v="Tuesday"/>
    <s v="Monthly - Tuesday"/>
    <s v="Monthly - Tuesday"/>
    <s v="Month+1 Expiry"/>
    <n v="79357"/>
    <n v="134.4018"/>
    <n v="1.9887"/>
  </r>
  <r>
    <s v="13-May-2026"/>
    <x v="2"/>
    <s v="Week2-May-2026"/>
    <x v="8"/>
    <s v="Q1FY27"/>
    <s v="28-Jul-2026"/>
    <s v="Tuesday"/>
    <s v="Monthly - Tuesday"/>
    <s v="Monthly - Tuesday"/>
    <s v="Month+2 Expiry"/>
    <n v="4106"/>
    <n v="6.9549"/>
    <n v="0.1749"/>
  </r>
  <r>
    <s v="13-May-2026"/>
    <x v="2"/>
    <s v="Week2-May-2026"/>
    <x v="8"/>
    <s v="Q1FY27"/>
    <s v="29-Sep-2026"/>
    <s v="Tuesday"/>
    <s v="Monthly - Tuesday"/>
    <s v="Monthly - Tuesday"/>
    <s v="Month+4 Expiry"/>
    <n v="394"/>
    <n v="0.6775"/>
    <n v="0.0133"/>
  </r>
  <r>
    <s v="13-May-2026"/>
    <x v="2"/>
    <s v="Week2-May-2026"/>
    <x v="8"/>
    <s v="Q1FY27"/>
    <s v="29-Dec-2026"/>
    <s v="Tuesday"/>
    <s v="Monthly - Tuesday"/>
    <s v="Monthly - Tuesday"/>
    <s v="Month+7 Expiry"/>
    <n v="1"/>
    <n v="0.0015"/>
    <n v="0"/>
  </r>
  <r>
    <s v="13-May-2026"/>
    <x v="2"/>
    <s v="Week2-May-2026"/>
    <x v="8"/>
    <s v="Q1FY27"/>
    <s v="30-Mar-2027"/>
    <s v="Tuesday"/>
    <s v="Monthly - Tuesday"/>
    <s v="Monthly - Tuesday"/>
    <s v="Month+10 Expiry"/>
    <n v="0"/>
    <n v="0"/>
    <n v="0"/>
  </r>
  <r>
    <s v="14-May-2026"/>
    <x v="3"/>
    <s v="Week2-May-2026"/>
    <x v="8"/>
    <s v="Q1FY27"/>
    <s v="26-May-2026"/>
    <s v="Tuesday"/>
    <s v="Monthly - Tuesday"/>
    <s v="Monthly - Tuesday"/>
    <s v="Same Month Expiry"/>
    <n v="3187916"/>
    <n v="5263.3861"/>
    <n v="48.7613"/>
  </r>
  <r>
    <s v="14-May-2026"/>
    <x v="3"/>
    <s v="Week2-May-2026"/>
    <x v="8"/>
    <s v="Q1FY27"/>
    <s v="30-Jun-2026"/>
    <s v="Tuesday"/>
    <s v="Monthly - Tuesday"/>
    <s v="Monthly - Tuesday"/>
    <s v="Month+1 Expiry"/>
    <n v="85290"/>
    <n v="144.7789"/>
    <n v="1.949"/>
  </r>
  <r>
    <s v="14-May-2026"/>
    <x v="3"/>
    <s v="Week2-May-2026"/>
    <x v="8"/>
    <s v="Q1FY27"/>
    <s v="28-Jul-2026"/>
    <s v="Tuesday"/>
    <s v="Monthly - Tuesday"/>
    <s v="Monthly - Tuesday"/>
    <s v="Month+2 Expiry"/>
    <n v="4184"/>
    <n v="7.1"/>
    <n v="0.1692"/>
  </r>
  <r>
    <s v="14-May-2026"/>
    <x v="3"/>
    <s v="Week2-May-2026"/>
    <x v="8"/>
    <s v="Q1FY27"/>
    <s v="29-Sep-2026"/>
    <s v="Tuesday"/>
    <s v="Monthly - Tuesday"/>
    <s v="Monthly - Tuesday"/>
    <s v="Month+4 Expiry"/>
    <n v="303"/>
    <n v="0.5206"/>
    <n v="0.0102"/>
  </r>
  <r>
    <s v="14-May-2026"/>
    <x v="3"/>
    <s v="Week2-May-2026"/>
    <x v="8"/>
    <s v="Q1FY27"/>
    <s v="29-Dec-2026"/>
    <s v="Tuesday"/>
    <s v="Monthly - Tuesday"/>
    <s v="Monthly - Tuesday"/>
    <s v="Month+7 Expiry"/>
    <n v="6"/>
    <n v="0.0105"/>
    <n v="0.0005999999999999999"/>
  </r>
  <r>
    <s v="14-May-2026"/>
    <x v="3"/>
    <s v="Week2-May-2026"/>
    <x v="8"/>
    <s v="Q1FY27"/>
    <s v="30-Mar-2027"/>
    <s v="Tuesday"/>
    <s v="Monthly - Tuesday"/>
    <s v="Monthly - Tuesday"/>
    <s v="Month+10 Expiry"/>
    <n v="0"/>
    <n v="0"/>
    <n v="0"/>
  </r>
  <r>
    <s v="15-May-2026"/>
    <x v="4"/>
    <s v="Week3-May-2026"/>
    <x v="8"/>
    <s v="Q1FY27"/>
    <s v="26-May-2026"/>
    <s v="Tuesday"/>
    <s v="Monthly - Tuesday"/>
    <s v="Monthly - Tuesday"/>
    <s v="Same Month Expiry"/>
    <n v="3112842"/>
    <n v="5152.468"/>
    <n v="45.8627"/>
  </r>
  <r>
    <s v="15-May-2026"/>
    <x v="4"/>
    <s v="Week3-May-2026"/>
    <x v="8"/>
    <s v="Q1FY27"/>
    <s v="30-Jun-2026"/>
    <s v="Tuesday"/>
    <s v="Monthly - Tuesday"/>
    <s v="Monthly - Tuesday"/>
    <s v="Month+1 Expiry"/>
    <n v="175767"/>
    <n v="309.4049"/>
    <n v="3.0546"/>
  </r>
  <r>
    <s v="15-May-2026"/>
    <x v="4"/>
    <s v="Week3-May-2026"/>
    <x v="8"/>
    <s v="Q1FY27"/>
    <s v="28-Jul-2026"/>
    <s v="Tuesday"/>
    <s v="Monthly - Tuesday"/>
    <s v="Monthly - Tuesday"/>
    <s v="Month+2 Expiry"/>
    <n v="5173"/>
    <n v="8.8726"/>
    <n v="0.1883"/>
  </r>
  <r>
    <s v="15-May-2026"/>
    <x v="4"/>
    <s v="Week3-May-2026"/>
    <x v="8"/>
    <s v="Q1FY27"/>
    <s v="29-Sep-2026"/>
    <s v="Tuesday"/>
    <s v="Monthly - Tuesday"/>
    <s v="Monthly - Tuesday"/>
    <s v="Month+4 Expiry"/>
    <n v="266"/>
    <n v="0.4655"/>
    <n v="0.0081"/>
  </r>
  <r>
    <s v="15-May-2026"/>
    <x v="4"/>
    <s v="Week3-May-2026"/>
    <x v="8"/>
    <s v="Q1FY27"/>
    <s v="29-Dec-2026"/>
    <s v="Tuesday"/>
    <s v="Monthly - Tuesday"/>
    <s v="Monthly - Tuesday"/>
    <s v="Month+7 Expiry"/>
    <n v="14"/>
    <n v="0.0249"/>
    <n v="0.001"/>
  </r>
  <r>
    <s v="15-May-2026"/>
    <x v="4"/>
    <s v="Week3-May-2026"/>
    <x v="8"/>
    <s v="Q1FY27"/>
    <s v="30-Mar-2027"/>
    <s v="Tuesday"/>
    <s v="Monthly - Tuesday"/>
    <s v="Monthly - Tuesday"/>
    <s v="Month+10 Expiry"/>
    <n v="0"/>
    <n v="0"/>
    <n v="0"/>
  </r>
  <r>
    <s v="18-May-2026"/>
    <x v="0"/>
    <s v="Week3-May-2026"/>
    <x v="8"/>
    <s v="Q1FY27"/>
    <s v="26-May-2026"/>
    <s v="Tuesday"/>
    <s v="Monthly - Tuesday"/>
    <s v="Monthly - Tuesday"/>
    <s v="Same Month Expiry"/>
    <n v="3798263"/>
    <n v="6225.8678"/>
    <n v="51.7975"/>
  </r>
  <r>
    <s v="18-May-2026"/>
    <x v="0"/>
    <s v="Week3-May-2026"/>
    <x v="8"/>
    <s v="Q1FY27"/>
    <s v="30-Jun-2026"/>
    <s v="Tuesday"/>
    <s v="Monthly - Tuesday"/>
    <s v="Monthly - Tuesday"/>
    <s v="Month+1 Expiry"/>
    <n v="202314"/>
    <n v="350.9397"/>
    <n v="4.7636"/>
  </r>
  <r>
    <s v="18-May-2026"/>
    <x v="0"/>
    <s v="Week3-May-2026"/>
    <x v="8"/>
    <s v="Q1FY27"/>
    <s v="28-Jul-2026"/>
    <s v="Tuesday"/>
    <s v="Monthly - Tuesday"/>
    <s v="Monthly - Tuesday"/>
    <s v="Month+2 Expiry"/>
    <n v="6807"/>
    <n v="11.5066"/>
    <n v="0.2233"/>
  </r>
  <r>
    <s v="18-May-2026"/>
    <x v="0"/>
    <s v="Week3-May-2026"/>
    <x v="8"/>
    <s v="Q1FY27"/>
    <s v="29-Sep-2026"/>
    <s v="Tuesday"/>
    <s v="Monthly - Tuesday"/>
    <s v="Monthly - Tuesday"/>
    <s v="Month+4 Expiry"/>
    <n v="464"/>
    <n v="0.798"/>
    <n v="0.0167"/>
  </r>
  <r>
    <s v="18-May-2026"/>
    <x v="0"/>
    <s v="Week3-May-2026"/>
    <x v="8"/>
    <s v="Q1FY27"/>
    <s v="29-Dec-2026"/>
    <s v="Tuesday"/>
    <s v="Monthly - Tuesday"/>
    <s v="Monthly - Tuesday"/>
    <s v="Month+7 Expiry"/>
    <n v="15"/>
    <n v="0.0254"/>
    <n v="0.0011"/>
  </r>
  <r>
    <s v="18-May-2026"/>
    <x v="0"/>
    <s v="Week3-May-2026"/>
    <x v="8"/>
    <s v="Q1FY27"/>
    <s v="30-Mar-2027"/>
    <s v="Tuesday"/>
    <s v="Monthly - Tuesday"/>
    <s v="Monthly - Tuesday"/>
    <s v="Month+10 Expiry"/>
    <n v="0"/>
    <n v="0"/>
    <n v="0"/>
  </r>
  <r>
    <s v="19-May-2026"/>
    <x v="1"/>
    <s v="Week3-May-2026"/>
    <x v="8"/>
    <s v="Q1FY27"/>
    <s v="26-May-2026"/>
    <s v="Tuesday"/>
    <s v="Monthly - Tuesday"/>
    <s v="Monthly - Tuesday"/>
    <s v="Same Month Expiry"/>
    <n v="3135913"/>
    <n v="5133.957"/>
    <n v="36.6672"/>
  </r>
  <r>
    <s v="19-May-2026"/>
    <x v="1"/>
    <s v="Week3-May-2026"/>
    <x v="8"/>
    <s v="Q1FY27"/>
    <s v="30-Jun-2026"/>
    <s v="Tuesday"/>
    <s v="Monthly - Tuesday"/>
    <s v="Monthly - Tuesday"/>
    <s v="Month+1 Expiry"/>
    <n v="149854"/>
    <n v="262.7127"/>
    <n v="3.35"/>
  </r>
  <r>
    <s v="19-May-2026"/>
    <x v="1"/>
    <s v="Week3-May-2026"/>
    <x v="8"/>
    <s v="Q1FY27"/>
    <s v="28-Jul-2026"/>
    <s v="Tuesday"/>
    <s v="Monthly - Tuesday"/>
    <s v="Monthly - Tuesday"/>
    <s v="Month+2 Expiry"/>
    <n v="2913"/>
    <n v="4.9424"/>
    <n v="0.1095"/>
  </r>
  <r>
    <s v="19-May-2026"/>
    <x v="1"/>
    <s v="Week3-May-2026"/>
    <x v="8"/>
    <s v="Q1FY27"/>
    <s v="29-Sep-2026"/>
    <s v="Tuesday"/>
    <s v="Monthly - Tuesday"/>
    <s v="Monthly - Tuesday"/>
    <s v="Month+4 Expiry"/>
    <n v="185"/>
    <n v="0.3164"/>
    <n v="0.007"/>
  </r>
  <r>
    <s v="19-May-2026"/>
    <x v="1"/>
    <s v="Week3-May-2026"/>
    <x v="8"/>
    <s v="Q1FY27"/>
    <s v="29-Dec-2026"/>
    <s v="Tuesday"/>
    <s v="Monthly - Tuesday"/>
    <s v="Monthly - Tuesday"/>
    <s v="Month+7 Expiry"/>
    <n v="26"/>
    <n v="0.043"/>
    <n v="0.0011"/>
  </r>
  <r>
    <s v="19-May-2026"/>
    <x v="1"/>
    <s v="Week3-May-2026"/>
    <x v="8"/>
    <s v="Q1FY27"/>
    <s v="30-Mar-2027"/>
    <s v="Tuesday"/>
    <s v="Monthly - Tuesday"/>
    <s v="Monthly - Tuesday"/>
    <s v="Month+10 Expiry"/>
    <n v="0"/>
    <n v="0"/>
    <n v="0"/>
  </r>
  <r>
    <s v="20-May-2026"/>
    <x v="2"/>
    <s v="Week3-May-2026"/>
    <x v="8"/>
    <s v="Q1FY27"/>
    <s v="26-May-2026"/>
    <s v="Tuesday"/>
    <s v="Monthly - Tuesday"/>
    <s v="Monthly - Tuesday"/>
    <s v="Same Month Expiry"/>
    <n v="5188850"/>
    <n v="8450.833000000001"/>
    <n v="53.3951"/>
  </r>
  <r>
    <s v="20-May-2026"/>
    <x v="2"/>
    <s v="Week3-May-2026"/>
    <x v="8"/>
    <s v="Q1FY27"/>
    <s v="30-Jun-2026"/>
    <s v="Tuesday"/>
    <s v="Monthly - Tuesday"/>
    <s v="Monthly - Tuesday"/>
    <s v="Month+1 Expiry"/>
    <n v="221112"/>
    <n v="381.0389"/>
    <n v="5.7342"/>
  </r>
  <r>
    <s v="20-May-2026"/>
    <x v="2"/>
    <s v="Week3-May-2026"/>
    <x v="8"/>
    <s v="Q1FY27"/>
    <s v="28-Jul-2026"/>
    <s v="Tuesday"/>
    <s v="Monthly - Tuesday"/>
    <s v="Monthly - Tuesday"/>
    <s v="Month+2 Expiry"/>
    <n v="6345"/>
    <n v="10.5972"/>
    <n v="0.2231"/>
  </r>
  <r>
    <s v="20-May-2026"/>
    <x v="2"/>
    <s v="Week3-May-2026"/>
    <x v="8"/>
    <s v="Q1FY27"/>
    <s v="29-Sep-2026"/>
    <s v="Tuesday"/>
    <s v="Monthly - Tuesday"/>
    <s v="Monthly - Tuesday"/>
    <s v="Month+4 Expiry"/>
    <n v="517"/>
    <n v="0.8893"/>
    <n v="0.0194"/>
  </r>
  <r>
    <s v="20-May-2026"/>
    <x v="2"/>
    <s v="Week3-May-2026"/>
    <x v="8"/>
    <s v="Q1FY27"/>
    <s v="29-Dec-2026"/>
    <s v="Tuesday"/>
    <s v="Monthly - Tuesday"/>
    <s v="Monthly - Tuesday"/>
    <s v="Month+7 Expiry"/>
    <n v="21"/>
    <n v="0.0356"/>
    <n v="0.0014"/>
  </r>
  <r>
    <s v="20-May-2026"/>
    <x v="2"/>
    <s v="Week3-May-2026"/>
    <x v="8"/>
    <s v="Q1FY27"/>
    <s v="30-Mar-2027"/>
    <s v="Tuesday"/>
    <s v="Monthly - Tuesday"/>
    <s v="Monthly - Tuesday"/>
    <s v="Month+10 Expiry"/>
    <n v="0"/>
    <n v="0"/>
    <n v="0"/>
  </r>
  <r>
    <s v="21-May-2026"/>
    <x v="3"/>
    <s v="Week3-May-2026"/>
    <x v="8"/>
    <s v="Q1FY27"/>
    <s v="26-May-2026"/>
    <s v="Tuesday"/>
    <s v="Monthly - Tuesday"/>
    <s v="Monthly - Tuesday"/>
    <s v="Same Month Expiry"/>
    <n v="5824458"/>
    <n v="9498.6651"/>
    <n v="48.5728"/>
  </r>
  <r>
    <s v="21-May-2026"/>
    <x v="3"/>
    <s v="Week3-May-2026"/>
    <x v="8"/>
    <s v="Q1FY27"/>
    <s v="30-Jun-2026"/>
    <s v="Tuesday"/>
    <s v="Monthly - Tuesday"/>
    <s v="Monthly - Tuesday"/>
    <s v="Month+1 Expiry"/>
    <n v="250807"/>
    <n v="426.7793"/>
    <n v="6.4572"/>
  </r>
  <r>
    <s v="21-May-2026"/>
    <x v="3"/>
    <s v="Week3-May-2026"/>
    <x v="8"/>
    <s v="Q1FY27"/>
    <s v="28-Jul-2026"/>
    <s v="Tuesday"/>
    <s v="Monthly - Tuesday"/>
    <s v="Monthly - Tuesday"/>
    <s v="Month+2 Expiry"/>
    <n v="6595"/>
    <n v="11.1192"/>
    <n v="0.2279"/>
  </r>
  <r>
    <s v="21-May-2026"/>
    <x v="3"/>
    <s v="Week3-May-2026"/>
    <x v="8"/>
    <s v="Q1FY27"/>
    <s v="29-Sep-2026"/>
    <s v="Tuesday"/>
    <s v="Monthly - Tuesday"/>
    <s v="Monthly - Tuesday"/>
    <s v="Month+4 Expiry"/>
    <n v="502"/>
    <n v="0.8625"/>
    <n v="0.0221"/>
  </r>
  <r>
    <s v="21-May-2026"/>
    <x v="3"/>
    <s v="Week3-May-2026"/>
    <x v="8"/>
    <s v="Q1FY27"/>
    <s v="29-Dec-2026"/>
    <s v="Tuesday"/>
    <s v="Monthly - Tuesday"/>
    <s v="Monthly - Tuesday"/>
    <s v="Month+7 Expiry"/>
    <n v="19"/>
    <n v="0.0324"/>
    <n v="0.0011"/>
  </r>
  <r>
    <s v="21-May-2026"/>
    <x v="3"/>
    <s v="Week3-May-2026"/>
    <x v="8"/>
    <s v="Q1FY27"/>
    <s v="30-Mar-2027"/>
    <s v="Tuesday"/>
    <s v="Monthly - Tuesday"/>
    <s v="Monthly - Tuesday"/>
    <s v="Month+10 Expiry"/>
    <n v="0"/>
    <n v="0"/>
    <n v="0"/>
  </r>
  <r>
    <s v="22-May-2026"/>
    <x v="4"/>
    <s v="Week4-May-2026"/>
    <x v="8"/>
    <s v="Q1FY27"/>
    <s v="26-May-2026"/>
    <s v="Tuesday"/>
    <s v="Monthly - Tuesday"/>
    <s v="Monthly - Tuesday"/>
    <s v="Same Month Expiry"/>
    <n v="9184146"/>
    <n v="15033.8902"/>
    <n v="67.343"/>
  </r>
  <r>
    <s v="22-May-2026"/>
    <x v="4"/>
    <s v="Week4-May-2026"/>
    <x v="8"/>
    <s v="Q1FY27"/>
    <s v="30-Jun-2026"/>
    <s v="Tuesday"/>
    <s v="Monthly - Tuesday"/>
    <s v="Monthly - Tuesday"/>
    <s v="Month+1 Expiry"/>
    <n v="352471"/>
    <n v="597.9001"/>
    <n v="9.773099999999999"/>
  </r>
  <r>
    <s v="22-May-2026"/>
    <x v="4"/>
    <s v="Week4-May-2026"/>
    <x v="8"/>
    <s v="Q1FY27"/>
    <s v="28-Jul-2026"/>
    <s v="Tuesday"/>
    <s v="Monthly - Tuesday"/>
    <s v="Monthly - Tuesday"/>
    <s v="Month+2 Expiry"/>
    <n v="8441"/>
    <n v="14.2495"/>
    <n v="0.2413"/>
  </r>
  <r>
    <s v="22-May-2026"/>
    <x v="4"/>
    <s v="Week4-May-2026"/>
    <x v="8"/>
    <s v="Q1FY27"/>
    <s v="29-Sep-2026"/>
    <s v="Tuesday"/>
    <s v="Monthly - Tuesday"/>
    <s v="Monthly - Tuesday"/>
    <s v="Month+4 Expiry"/>
    <n v="668"/>
    <n v="1.1576"/>
    <n v="0.0205"/>
  </r>
  <r>
    <s v="22-May-2026"/>
    <x v="4"/>
    <s v="Week4-May-2026"/>
    <x v="8"/>
    <s v="Q1FY27"/>
    <s v="29-Dec-2026"/>
    <s v="Tuesday"/>
    <s v="Monthly - Tuesday"/>
    <s v="Monthly - Tuesday"/>
    <s v="Month+7 Expiry"/>
    <n v="62"/>
    <n v="0.1105"/>
    <n v="0.0038"/>
  </r>
  <r>
    <s v="22-May-2026"/>
    <x v="4"/>
    <s v="Week4-May-2026"/>
    <x v="8"/>
    <s v="Q1FY27"/>
    <s v="30-Mar-2027"/>
    <s v="Tuesday"/>
    <s v="Monthly - Tuesday"/>
    <s v="Monthly - Tuesday"/>
    <s v="Month+10 Expiry"/>
    <n v="0"/>
    <n v="0"/>
    <n v="0"/>
  </r>
  <r>
    <s v="25-May-2026"/>
    <x v="0"/>
    <s v="Week4-May-2026"/>
    <x v="8"/>
    <s v="Q1FY27"/>
    <s v="26-May-2026"/>
    <s v="Tuesday"/>
    <s v="Monthly - Tuesday"/>
    <s v="Monthly - Tuesday"/>
    <s v="Same Month Expiry"/>
    <n v="16090631"/>
    <n v="26655.9037"/>
    <n v="79.5774"/>
  </r>
  <r>
    <s v="25-May-2026"/>
    <x v="0"/>
    <s v="Week4-May-2026"/>
    <x v="8"/>
    <s v="Q1FY27"/>
    <s v="30-Jun-2026"/>
    <s v="Tuesday"/>
    <s v="Monthly - Tuesday"/>
    <s v="Monthly - Tuesday"/>
    <s v="Month+1 Expiry"/>
    <n v="571878"/>
    <n v="962.7992"/>
    <n v="13.8522"/>
  </r>
  <r>
    <s v="25-May-2026"/>
    <x v="0"/>
    <s v="Week4-May-2026"/>
    <x v="8"/>
    <s v="Q1FY27"/>
    <s v="28-Jul-2026"/>
    <s v="Tuesday"/>
    <s v="Monthly - Tuesday"/>
    <s v="Monthly - Tuesday"/>
    <s v="Month+2 Expiry"/>
    <n v="18692"/>
    <n v="30.7746"/>
    <n v="0.4598"/>
  </r>
  <r>
    <s v="25-May-2026"/>
    <x v="0"/>
    <s v="Week4-May-2026"/>
    <x v="8"/>
    <s v="Q1FY27"/>
    <s v="29-Sep-2026"/>
    <s v="Tuesday"/>
    <s v="Monthly - Tuesday"/>
    <s v="Monthly - Tuesday"/>
    <s v="Month+4 Expiry"/>
    <n v="1803"/>
    <n v="3.1854"/>
    <n v="0.0487"/>
  </r>
  <r>
    <s v="25-May-2026"/>
    <x v="0"/>
    <s v="Week4-May-2026"/>
    <x v="8"/>
    <s v="Q1FY27"/>
    <s v="29-Dec-2026"/>
    <s v="Tuesday"/>
    <s v="Monthly - Tuesday"/>
    <s v="Monthly - Tuesday"/>
    <s v="Month+7 Expiry"/>
    <n v="50"/>
    <n v="0.0896"/>
    <n v="0.003"/>
  </r>
  <r>
    <s v="25-May-2026"/>
    <x v="0"/>
    <s v="Week4-May-2026"/>
    <x v="8"/>
    <s v="Q1FY27"/>
    <s v="30-Mar-2027"/>
    <s v="Tuesday"/>
    <s v="Monthly - Tuesday"/>
    <s v="Monthly - Tuesday"/>
    <s v="Month+10 Expiry"/>
    <n v="0"/>
    <n v="0"/>
    <n v="0"/>
  </r>
  <r>
    <s v="26-May-2026"/>
    <x v="1"/>
    <s v="Week4-May-2026"/>
    <x v="8"/>
    <s v="Q1FY27"/>
    <s v="26-May-2026"/>
    <s v="Tuesday"/>
    <s v="Monthly - Tuesday"/>
    <s v="Monthly - Tuesday"/>
    <s v="Same Month Expiry"/>
    <n v="96694212"/>
    <n v="160619.5662"/>
    <n v="176.1435"/>
  </r>
  <r>
    <s v="26-May-2026"/>
    <x v="1"/>
    <s v="Week4-May-2026"/>
    <x v="8"/>
    <s v="Q1FY27"/>
    <s v="30-Jun-2026"/>
    <s v="Tuesday"/>
    <s v="Monthly - Tuesday"/>
    <s v="Monthly - Tuesday"/>
    <s v="Month+1 Expiry"/>
    <n v="711453"/>
    <n v="1203.513"/>
    <n v="16.8689"/>
  </r>
  <r>
    <s v="26-May-2026"/>
    <x v="1"/>
    <s v="Week4-May-2026"/>
    <x v="8"/>
    <s v="Q1FY27"/>
    <s v="28-Jul-2026"/>
    <s v="Tuesday"/>
    <s v="Monthly - Tuesday"/>
    <s v="Monthly - Tuesday"/>
    <s v="Month+2 Expiry"/>
    <n v="18448"/>
    <n v="30.6715"/>
    <n v="0.3816"/>
  </r>
  <r>
    <s v="26-May-2026"/>
    <x v="1"/>
    <s v="Week4-May-2026"/>
    <x v="8"/>
    <s v="Q1FY27"/>
    <s v="29-Sep-2026"/>
    <s v="Tuesday"/>
    <s v="Monthly - Tuesday"/>
    <s v="Monthly - Tuesday"/>
    <s v="Month+4 Expiry"/>
    <n v="854"/>
    <n v="1.4827"/>
    <n v="0.0256"/>
  </r>
  <r>
    <s v="26-May-2026"/>
    <x v="1"/>
    <s v="Week4-May-2026"/>
    <x v="8"/>
    <s v="Q1FY27"/>
    <s v="29-Dec-2026"/>
    <s v="Tuesday"/>
    <s v="Monthly - Tuesday"/>
    <s v="Monthly - Tuesday"/>
    <s v="Month+7 Expiry"/>
    <n v="21"/>
    <n v="0.0363"/>
    <n v="0.0011"/>
  </r>
  <r>
    <s v="26-May-2026"/>
    <x v="1"/>
    <s v="Week4-May-2026"/>
    <x v="8"/>
    <s v="Q1FY27"/>
    <s v="30-Mar-2027"/>
    <s v="Tuesday"/>
    <s v="Monthly - Tuesday"/>
    <s v="Monthly - Tuesday"/>
    <s v="Month+10 Expiry"/>
    <n v="0"/>
    <n v="0"/>
    <n v="0"/>
  </r>
  <r>
    <s v="27-May-2026"/>
    <x v="2"/>
    <s v="Week4-May-2026"/>
    <x v="8"/>
    <s v="Q1FY27"/>
    <s v="30-Jun-2026"/>
    <s v="Tuesday"/>
    <s v="Monthly - Tuesday"/>
    <s v="Monthly - Tuesday"/>
    <s v="Month+1 Expiry"/>
    <n v="1543898"/>
    <n v="2607.9209"/>
    <n v="33.1177"/>
  </r>
  <r>
    <s v="27-May-2026"/>
    <x v="2"/>
    <s v="Week4-May-2026"/>
    <x v="8"/>
    <s v="Q1FY27"/>
    <s v="28-Jul-2026"/>
    <s v="Tuesday"/>
    <s v="Monthly - Tuesday"/>
    <s v="Monthly - Tuesday"/>
    <s v="Month+2 Expiry"/>
    <n v="20273"/>
    <n v="33.3546"/>
    <n v="0.3924"/>
  </r>
  <r>
    <s v="27-May-2026"/>
    <x v="2"/>
    <s v="Week4-May-2026"/>
    <x v="8"/>
    <s v="Q1FY27"/>
    <s v="25-Aug-2026"/>
    <s v="Tuesday"/>
    <s v="Monthly - Tuesday"/>
    <s v="Monthly - Tuesday"/>
    <s v="Month+3 Expiry"/>
    <n v="375"/>
    <n v="0.6235000000000001"/>
    <n v="0.0131"/>
  </r>
  <r>
    <s v="27-May-2026"/>
    <x v="2"/>
    <s v="Week4-May-2026"/>
    <x v="8"/>
    <s v="Q1FY27"/>
    <s v="29-Sep-2026"/>
    <s v="Tuesday"/>
    <s v="Monthly - Tuesday"/>
    <s v="Monthly - Tuesday"/>
    <s v="Month+4 Expiry"/>
    <n v="743"/>
    <n v="1.286"/>
    <n v="0.026"/>
  </r>
  <r>
    <s v="27-May-2026"/>
    <x v="2"/>
    <s v="Week4-May-2026"/>
    <x v="8"/>
    <s v="Q1FY27"/>
    <s v="29-Dec-2026"/>
    <s v="Tuesday"/>
    <s v="Monthly - Tuesday"/>
    <s v="Monthly - Tuesday"/>
    <s v="Month+7 Expiry"/>
    <n v="46"/>
    <n v="0.0775"/>
    <n v="0.0021"/>
  </r>
  <r>
    <s v="27-May-2026"/>
    <x v="2"/>
    <s v="Week4-May-2026"/>
    <x v="8"/>
    <s v="Q1FY27"/>
    <s v="30-Mar-2027"/>
    <s v="Tuesday"/>
    <s v="Monthly - Tuesday"/>
    <s v="Monthly - Tuesday"/>
    <s v="Month+10 Expiry"/>
    <n v="0"/>
    <n v="0"/>
    <n v="0"/>
  </r>
  <r>
    <s v="29-May-2026"/>
    <x v="4"/>
    <s v="Week5-May-2026"/>
    <x v="8"/>
    <s v="Q1FY27"/>
    <s v="30-Jun-2026"/>
    <s v="Tuesday"/>
    <s v="Monthly - Tuesday"/>
    <s v="Monthly - Tuesday"/>
    <s v="Month+1 Expiry"/>
    <n v="2073141"/>
    <n v="3482.1717"/>
    <n v="43.5329"/>
  </r>
  <r>
    <s v="29-May-2026"/>
    <x v="4"/>
    <s v="Week5-May-2026"/>
    <x v="8"/>
    <s v="Q1FY27"/>
    <s v="28-Jul-2026"/>
    <s v="Tuesday"/>
    <s v="Monthly - Tuesday"/>
    <s v="Monthly - Tuesday"/>
    <s v="Month+2 Expiry"/>
    <n v="28947"/>
    <n v="49.0949"/>
    <n v="0.8135"/>
  </r>
  <r>
    <s v="29-May-2026"/>
    <x v="4"/>
    <s v="Week5-May-2026"/>
    <x v="8"/>
    <s v="Q1FY27"/>
    <s v="25-Aug-2026"/>
    <s v="Tuesday"/>
    <s v="Monthly - Tuesday"/>
    <s v="Monthly - Tuesday"/>
    <s v="Month+3 Expiry"/>
    <n v="877"/>
    <n v="1.4602"/>
    <n v="0.0283"/>
  </r>
  <r>
    <s v="29-May-2026"/>
    <x v="4"/>
    <s v="Week5-May-2026"/>
    <x v="8"/>
    <s v="Q1FY27"/>
    <s v="29-Sep-2026"/>
    <s v="Tuesday"/>
    <s v="Monthly - Tuesday"/>
    <s v="Monthly - Tuesday"/>
    <s v="Month+4 Expiry"/>
    <n v="1085"/>
    <n v="1.8913"/>
    <n v="0.034"/>
  </r>
  <r>
    <s v="29-May-2026"/>
    <x v="4"/>
    <s v="Week5-May-2026"/>
    <x v="8"/>
    <s v="Q1FY27"/>
    <s v="29-Dec-2026"/>
    <s v="Tuesday"/>
    <s v="Monthly - Tuesday"/>
    <s v="Monthly - Tuesday"/>
    <s v="Month+7 Expiry"/>
    <n v="33"/>
    <n v="0.0552"/>
    <n v="0.0014"/>
  </r>
  <r>
    <s v="29-May-2026"/>
    <x v="4"/>
    <s v="Week5-May-2026"/>
    <x v="8"/>
    <s v="Q1FY27"/>
    <s v="30-Mar-2027"/>
    <s v="Tuesday"/>
    <s v="Monthly - Tuesday"/>
    <s v="Monthly - Tuesday"/>
    <s v="Month+10 Expiry"/>
    <n v="0"/>
    <n v="0"/>
    <n v="0"/>
  </r>
  <r>
    <s v="01-Jun-2026"/>
    <x v="0"/>
    <s v="Week1-Jun-2026"/>
    <x v="9"/>
    <s v="Q1FY27"/>
    <s v="30-Jun-2026"/>
    <s v="Tuesday"/>
    <s v="Monthly - Tuesday"/>
    <s v="Monthly - Tuesday"/>
    <s v="Same Month Expiry"/>
    <n v="2087116"/>
    <n v="3488.3623"/>
    <n v="41.5176"/>
  </r>
  <r>
    <s v="01-Jun-2026"/>
    <x v="0"/>
    <s v="Week1-Jun-2026"/>
    <x v="9"/>
    <s v="Q1FY27"/>
    <s v="28-Jul-2026"/>
    <s v="Tuesday"/>
    <s v="Monthly - Tuesday"/>
    <s v="Monthly - Tuesday"/>
    <s v="Month+1 Expiry"/>
    <n v="83895"/>
    <n v="147.6527"/>
    <n v="0.8716"/>
  </r>
  <r>
    <s v="01-Jun-2026"/>
    <x v="0"/>
    <s v="Week1-Jun-2026"/>
    <x v="9"/>
    <s v="Q1FY27"/>
    <s v="25-Aug-2026"/>
    <s v="Tuesday"/>
    <s v="Monthly - Tuesday"/>
    <s v="Monthly - Tuesday"/>
    <s v="Month+2 Expiry"/>
    <n v="1769"/>
    <n v="2.9685"/>
    <n v="0.07539999999999999"/>
  </r>
  <r>
    <s v="01-Jun-2026"/>
    <x v="0"/>
    <s v="Week1-Jun-2026"/>
    <x v="9"/>
    <s v="Q1FY27"/>
    <s v="29-Sep-2026"/>
    <s v="Tuesday"/>
    <s v="Monthly - Tuesday"/>
    <s v="Monthly - Tuesday"/>
    <s v="Month+3 Expiry"/>
    <n v="2500"/>
    <n v="4.4105"/>
    <n v="0.0956"/>
  </r>
  <r>
    <s v="01-Jun-2026"/>
    <x v="0"/>
    <s v="Week1-Jun-2026"/>
    <x v="9"/>
    <s v="Q1FY27"/>
    <s v="29-Dec-2026"/>
    <s v="Tuesday"/>
    <s v="Monthly - Tuesday"/>
    <s v="Monthly - Tuesday"/>
    <s v="Month+6 Expiry"/>
    <n v="33"/>
    <n v="0.0544"/>
    <n v="0.0011"/>
  </r>
  <r>
    <s v="01-Jun-2026"/>
    <x v="0"/>
    <s v="Week1-Jun-2026"/>
    <x v="9"/>
    <s v="Q1FY27"/>
    <s v="30-Mar-2027"/>
    <s v="Tuesday"/>
    <s v="Monthly - Tuesday"/>
    <s v="Monthly - Tuesday"/>
    <s v="Month+9 Expiry"/>
    <n v="0"/>
    <n v="0"/>
    <n v="0"/>
  </r>
  <r>
    <s v="02-Jun-2026"/>
    <x v="1"/>
    <s v="Week1-Jun-2026"/>
    <x v="9"/>
    <s v="Q1FY27"/>
    <s v="30-Jun-2026"/>
    <s v="Tuesday"/>
    <s v="Monthly - Tuesday"/>
    <s v="Monthly - Tuesday"/>
    <s v="Same Month Expiry"/>
    <n v="1957882"/>
    <n v="3240.4426"/>
    <n v="40.2826"/>
  </r>
  <r>
    <s v="02-Jun-2026"/>
    <x v="1"/>
    <s v="Week1-Jun-2026"/>
    <x v="9"/>
    <s v="Q1FY27"/>
    <s v="28-Jul-2026"/>
    <s v="Tuesday"/>
    <s v="Monthly - Tuesday"/>
    <s v="Monthly - Tuesday"/>
    <s v="Month+1 Expiry"/>
    <n v="39495"/>
    <n v="67.1138"/>
    <n v="0.7378"/>
  </r>
  <r>
    <s v="02-Jun-2026"/>
    <x v="1"/>
    <s v="Week1-Jun-2026"/>
    <x v="9"/>
    <s v="Q1FY27"/>
    <s v="25-Aug-2026"/>
    <s v="Tuesday"/>
    <s v="Monthly - Tuesday"/>
    <s v="Monthly - Tuesday"/>
    <s v="Month+2 Expiry"/>
    <n v="1730"/>
    <n v="2.948"/>
    <n v="0.0618"/>
  </r>
  <r>
    <s v="02-Jun-2026"/>
    <x v="1"/>
    <s v="Week1-Jun-2026"/>
    <x v="9"/>
    <s v="Q1FY27"/>
    <s v="29-Sep-2026"/>
    <s v="Tuesday"/>
    <s v="Monthly - Tuesday"/>
    <s v="Monthly - Tuesday"/>
    <s v="Month+3 Expiry"/>
    <n v="2027"/>
    <n v="3.5526"/>
    <n v="0.0706"/>
  </r>
  <r>
    <s v="02-Jun-2026"/>
    <x v="1"/>
    <s v="Week1-Jun-2026"/>
    <x v="9"/>
    <s v="Q1FY27"/>
    <s v="29-Dec-2026"/>
    <s v="Tuesday"/>
    <s v="Monthly - Tuesday"/>
    <s v="Monthly - Tuesday"/>
    <s v="Month+6 Expiry"/>
    <n v="47"/>
    <n v="0.08450000000000001"/>
    <n v="0.0019"/>
  </r>
  <r>
    <s v="02-Jun-2026"/>
    <x v="1"/>
    <s v="Week1-Jun-2026"/>
    <x v="9"/>
    <s v="Q1FY27"/>
    <s v="30-Mar-2027"/>
    <s v="Tuesday"/>
    <s v="Monthly - Tuesday"/>
    <s v="Monthly - Tuesday"/>
    <s v="Month+9 Expiry"/>
    <n v="0"/>
    <n v="0"/>
    <n v="0"/>
  </r>
  <r>
    <s v="03-Jun-2026"/>
    <x v="2"/>
    <s v="Week1-Jun-2026"/>
    <x v="9"/>
    <s v="Q1FY27"/>
    <s v="30-Jun-2026"/>
    <s v="Tuesday"/>
    <s v="Monthly - Tuesday"/>
    <s v="Monthly - Tuesday"/>
    <s v="Same Month Expiry"/>
    <n v="2574159"/>
    <n v="4270.5075"/>
    <n v="52.8291"/>
  </r>
  <r>
    <s v="03-Jun-2026"/>
    <x v="2"/>
    <s v="Week1-Jun-2026"/>
    <x v="9"/>
    <s v="Q1FY27"/>
    <s v="28-Jul-2026"/>
    <s v="Tuesday"/>
    <s v="Monthly - Tuesday"/>
    <s v="Monthly - Tuesday"/>
    <s v="Month+1 Expiry"/>
    <n v="58330"/>
    <n v="98.79600000000001"/>
    <n v="1.146"/>
  </r>
  <r>
    <s v="03-Jun-2026"/>
    <x v="2"/>
    <s v="Week1-Jun-2026"/>
    <x v="9"/>
    <s v="Q1FY27"/>
    <s v="25-Aug-2026"/>
    <s v="Tuesday"/>
    <s v="Monthly - Tuesday"/>
    <s v="Monthly - Tuesday"/>
    <s v="Month+2 Expiry"/>
    <n v="2635"/>
    <n v="4.4826"/>
    <n v="0.08450000000000001"/>
  </r>
  <r>
    <s v="03-Jun-2026"/>
    <x v="2"/>
    <s v="Week1-Jun-2026"/>
    <x v="9"/>
    <s v="Q1FY27"/>
    <s v="29-Sep-2026"/>
    <s v="Tuesday"/>
    <s v="Monthly - Tuesday"/>
    <s v="Monthly - Tuesday"/>
    <s v="Month+3 Expiry"/>
    <n v="1774"/>
    <n v="3.0948"/>
    <n v="0.0649"/>
  </r>
  <r>
    <s v="03-Jun-2026"/>
    <x v="2"/>
    <s v="Week1-Jun-2026"/>
    <x v="9"/>
    <s v="Q1FY27"/>
    <s v="29-Dec-2026"/>
    <s v="Tuesday"/>
    <s v="Monthly - Tuesday"/>
    <s v="Monthly - Tuesday"/>
    <s v="Month+6 Expiry"/>
    <n v="64"/>
    <n v="0.1145"/>
    <n v="0.0029"/>
  </r>
  <r>
    <s v="03-Jun-2026"/>
    <x v="2"/>
    <s v="Week1-Jun-2026"/>
    <x v="9"/>
    <s v="Q1FY27"/>
    <s v="30-Mar-2027"/>
    <s v="Tuesday"/>
    <s v="Monthly - Tuesday"/>
    <s v="Monthly - Tuesday"/>
    <s v="Month+9 Expiry"/>
    <n v="0"/>
    <n v="0"/>
    <n v="0"/>
  </r>
  <r>
    <s v="04-Jun-2026"/>
    <x v="3"/>
    <s v="Week1-Jun-2026"/>
    <x v="9"/>
    <s v="Q1FY27"/>
    <s v="30-Jun-2026"/>
    <s v="Tuesday"/>
    <s v="Monthly - Tuesday"/>
    <s v="Monthly - Tuesday"/>
    <s v="Same Month Expiry"/>
    <n v="1805357"/>
    <n v="3012.7035"/>
    <n v="37.8257"/>
  </r>
  <r>
    <s v="04-Jun-2026"/>
    <x v="3"/>
    <s v="Week1-Jun-2026"/>
    <x v="9"/>
    <s v="Q1FY27"/>
    <s v="28-Jul-2026"/>
    <s v="Tuesday"/>
    <s v="Monthly - Tuesday"/>
    <s v="Monthly - Tuesday"/>
    <s v="Month+1 Expiry"/>
    <n v="25161"/>
    <n v="42.7997"/>
    <n v="0.5384"/>
  </r>
  <r>
    <s v="04-Jun-2026"/>
    <x v="3"/>
    <s v="Week1-Jun-2026"/>
    <x v="9"/>
    <s v="Q1FY27"/>
    <s v="25-Aug-2026"/>
    <s v="Tuesday"/>
    <s v="Monthly - Tuesday"/>
    <s v="Monthly - Tuesday"/>
    <s v="Month+2 Expiry"/>
    <n v="1206"/>
    <n v="2.0382"/>
    <n v="0.037"/>
  </r>
  <r>
    <s v="04-Jun-2026"/>
    <x v="3"/>
    <s v="Week1-Jun-2026"/>
    <x v="9"/>
    <s v="Q1FY27"/>
    <s v="29-Sep-2026"/>
    <s v="Tuesday"/>
    <s v="Monthly - Tuesday"/>
    <s v="Monthly - Tuesday"/>
    <s v="Month+3 Expiry"/>
    <n v="995"/>
    <n v="1.7344"/>
    <n v="0.043"/>
  </r>
  <r>
    <s v="04-Jun-2026"/>
    <x v="3"/>
    <s v="Week1-Jun-2026"/>
    <x v="9"/>
    <s v="Q1FY27"/>
    <s v="29-Dec-2026"/>
    <s v="Tuesday"/>
    <s v="Monthly - Tuesday"/>
    <s v="Monthly - Tuesday"/>
    <s v="Month+6 Expiry"/>
    <n v="92"/>
    <n v="0.1694"/>
    <n v="0.0043"/>
  </r>
  <r>
    <s v="04-Jun-2026"/>
    <x v="3"/>
    <s v="Week1-Jun-2026"/>
    <x v="9"/>
    <s v="Q1FY27"/>
    <s v="30-Mar-2027"/>
    <s v="Tuesday"/>
    <s v="Monthly - Tuesday"/>
    <s v="Monthly - Tuesday"/>
    <s v="Month+9 Expiry"/>
    <n v="0"/>
    <n v="0"/>
    <n v="0"/>
  </r>
  <r>
    <s v="05-Jun-2026"/>
    <x v="4"/>
    <s v="Week1-Jun-2026"/>
    <x v="9"/>
    <s v="Q1FY27"/>
    <s v="30-Jun-2026"/>
    <s v="Tuesday"/>
    <s v="Monthly - Tuesday"/>
    <s v="Monthly - Tuesday"/>
    <s v="Same Month Expiry"/>
    <n v="2821084"/>
    <n v="4711.0052"/>
    <n v="59.1951"/>
  </r>
  <r>
    <s v="05-Jun-2026"/>
    <x v="4"/>
    <s v="Week1-Jun-2026"/>
    <x v="9"/>
    <s v="Q1FY27"/>
    <s v="28-Jul-2026"/>
    <s v="Tuesday"/>
    <s v="Monthly - Tuesday"/>
    <s v="Monthly - Tuesday"/>
    <s v="Month+1 Expiry"/>
    <n v="55903"/>
    <n v="95.0865"/>
    <n v="1.1684"/>
  </r>
  <r>
    <s v="05-Jun-2026"/>
    <x v="4"/>
    <s v="Week1-Jun-2026"/>
    <x v="9"/>
    <s v="Q1FY27"/>
    <s v="25-Aug-2026"/>
    <s v="Tuesday"/>
    <s v="Monthly - Tuesday"/>
    <s v="Monthly - Tuesday"/>
    <s v="Month+2 Expiry"/>
    <n v="1450"/>
    <n v="2.4463"/>
    <n v="0.0527"/>
  </r>
  <r>
    <s v="05-Jun-2026"/>
    <x v="4"/>
    <s v="Week1-Jun-2026"/>
    <x v="9"/>
    <s v="Q1FY27"/>
    <s v="29-Sep-2026"/>
    <s v="Tuesday"/>
    <s v="Monthly - Tuesday"/>
    <s v="Monthly - Tuesday"/>
    <s v="Month+3 Expiry"/>
    <n v="1001"/>
    <n v="1.7152"/>
    <n v="0.037"/>
  </r>
  <r>
    <s v="05-Jun-2026"/>
    <x v="4"/>
    <s v="Week1-Jun-2026"/>
    <x v="9"/>
    <s v="Q1FY27"/>
    <s v="29-Dec-2026"/>
    <s v="Tuesday"/>
    <s v="Monthly - Tuesday"/>
    <s v="Monthly - Tuesday"/>
    <s v="Month+6 Expiry"/>
    <n v="113"/>
    <n v="0.2054"/>
    <n v="0.0051"/>
  </r>
  <r>
    <s v="05-Jun-2026"/>
    <x v="4"/>
    <s v="Week1-Jun-2026"/>
    <x v="9"/>
    <s v="Q1FY27"/>
    <s v="30-Mar-2027"/>
    <s v="Tuesday"/>
    <s v="Monthly - Tuesday"/>
    <s v="Monthly - Tuesday"/>
    <s v="Month+9 Expiry"/>
    <n v="0"/>
    <n v="0"/>
    <n v="0"/>
  </r>
  <r>
    <s v="08-Jun-2026"/>
    <x v="0"/>
    <s v="Week2-Jun-2026"/>
    <x v="9"/>
    <s v="Q1FY27"/>
    <s v="30-Jun-2026"/>
    <s v="Tuesday"/>
    <s v="Monthly - Tuesday"/>
    <s v="Monthly - Tuesday"/>
    <s v="Same Month Expiry"/>
    <n v="2052438"/>
    <n v="3411.1772"/>
    <n v="42.6087"/>
  </r>
  <r>
    <s v="08-Jun-2026"/>
    <x v="0"/>
    <s v="Week2-Jun-2026"/>
    <x v="9"/>
    <s v="Q1FY27"/>
    <s v="28-Jul-2026"/>
    <s v="Tuesday"/>
    <s v="Monthly - Tuesday"/>
    <s v="Monthly - Tuesday"/>
    <s v="Month+1 Expiry"/>
    <n v="37591"/>
    <n v="64.2783"/>
    <n v="0.7258"/>
  </r>
  <r>
    <s v="08-Jun-2026"/>
    <x v="0"/>
    <s v="Week2-Jun-2026"/>
    <x v="9"/>
    <s v="Q1FY27"/>
    <s v="25-Aug-2026"/>
    <s v="Tuesday"/>
    <s v="Monthly - Tuesday"/>
    <s v="Monthly - Tuesday"/>
    <s v="Month+2 Expiry"/>
    <n v="1172"/>
    <n v="1.9858"/>
    <n v="0.0383"/>
  </r>
  <r>
    <s v="08-Jun-2026"/>
    <x v="0"/>
    <s v="Week2-Jun-2026"/>
    <x v="9"/>
    <s v="Q1FY27"/>
    <s v="29-Sep-2026"/>
    <s v="Tuesday"/>
    <s v="Monthly - Tuesday"/>
    <s v="Monthly - Tuesday"/>
    <s v="Month+3 Expiry"/>
    <n v="1104"/>
    <n v="1.9502"/>
    <n v="0.0337"/>
  </r>
  <r>
    <s v="08-Jun-2026"/>
    <x v="0"/>
    <s v="Week2-Jun-2026"/>
    <x v="9"/>
    <s v="Q1FY27"/>
    <s v="29-Dec-2026"/>
    <s v="Tuesday"/>
    <s v="Monthly - Tuesday"/>
    <s v="Monthly - Tuesday"/>
    <s v="Month+6 Expiry"/>
    <n v="37"/>
    <n v="0.0663"/>
    <n v="0.0015"/>
  </r>
  <r>
    <s v="08-Jun-2026"/>
    <x v="0"/>
    <s v="Week2-Jun-2026"/>
    <x v="9"/>
    <s v="Q1FY27"/>
    <s v="30-Mar-2027"/>
    <s v="Tuesday"/>
    <s v="Monthly - Tuesday"/>
    <s v="Monthly - Tuesday"/>
    <s v="Month+9 Expiry"/>
    <n v="0"/>
    <n v="0"/>
    <n v="0"/>
  </r>
  <r>
    <s v="09-Jun-2026"/>
    <x v="1"/>
    <s v="Week2-Jun-2026"/>
    <x v="9"/>
    <s v="Q1FY27"/>
    <s v="30-Jun-2026"/>
    <s v="Tuesday"/>
    <s v="Monthly - Tuesday"/>
    <s v="Monthly - Tuesday"/>
    <s v="Same Month Expiry"/>
    <n v="2449924"/>
    <n v="4094.747"/>
    <n v="46.0996"/>
  </r>
  <r>
    <s v="09-Jun-2026"/>
    <x v="1"/>
    <s v="Week2-Jun-2026"/>
    <x v="9"/>
    <s v="Q1FY27"/>
    <s v="28-Jul-2026"/>
    <s v="Tuesday"/>
    <s v="Monthly - Tuesday"/>
    <s v="Monthly - Tuesday"/>
    <s v="Month+1 Expiry"/>
    <n v="65975"/>
    <n v="114.0521"/>
    <n v="2.0552"/>
  </r>
  <r>
    <s v="09-Jun-2026"/>
    <x v="1"/>
    <s v="Week2-Jun-2026"/>
    <x v="9"/>
    <s v="Q1FY27"/>
    <s v="25-Aug-2026"/>
    <s v="Tuesday"/>
    <s v="Monthly - Tuesday"/>
    <s v="Monthly - Tuesday"/>
    <s v="Month+2 Expiry"/>
    <n v="2406"/>
    <n v="4.1209"/>
    <n v="0.0636"/>
  </r>
  <r>
    <s v="09-Jun-2026"/>
    <x v="1"/>
    <s v="Week2-Jun-2026"/>
    <x v="9"/>
    <s v="Q1FY27"/>
    <s v="29-Sep-2026"/>
    <s v="Tuesday"/>
    <s v="Monthly - Tuesday"/>
    <s v="Monthly - Tuesday"/>
    <s v="Month+3 Expiry"/>
    <n v="1189"/>
    <n v="2.0623"/>
    <n v="0.0406"/>
  </r>
  <r>
    <s v="09-Jun-2026"/>
    <x v="1"/>
    <s v="Week2-Jun-2026"/>
    <x v="9"/>
    <s v="Q1FY27"/>
    <s v="29-Dec-2026"/>
    <s v="Tuesday"/>
    <s v="Monthly - Tuesday"/>
    <s v="Monthly - Tuesday"/>
    <s v="Month+6 Expiry"/>
    <n v="54"/>
    <n v="0.09379999999999999"/>
    <n v="0.0023"/>
  </r>
  <r>
    <s v="09-Jun-2026"/>
    <x v="1"/>
    <s v="Week2-Jun-2026"/>
    <x v="9"/>
    <s v="Q1FY27"/>
    <s v="30-Mar-2027"/>
    <s v="Tuesday"/>
    <s v="Monthly - Tuesday"/>
    <s v="Monthly - Tuesday"/>
    <s v="Month+9 Expiry"/>
    <n v="0"/>
    <n v="0"/>
    <n v="0"/>
  </r>
  <r>
    <s v="10-Jun-2026"/>
    <x v="2"/>
    <s v="Week2-Jun-2026"/>
    <x v="9"/>
    <s v="Q1FY27"/>
    <s v="30-Jun-2026"/>
    <s v="Tuesday"/>
    <s v="Monthly - Tuesday"/>
    <s v="Monthly - Tuesday"/>
    <s v="Same Month Expiry"/>
    <n v="2183426"/>
    <n v="3670.8768"/>
    <n v="41.0808"/>
  </r>
  <r>
    <s v="10-Jun-2026"/>
    <x v="2"/>
    <s v="Week2-Jun-2026"/>
    <x v="9"/>
    <s v="Q1FY27"/>
    <s v="28-Jul-2026"/>
    <s v="Tuesday"/>
    <s v="Monthly - Tuesday"/>
    <s v="Monthly - Tuesday"/>
    <s v="Month+1 Expiry"/>
    <n v="79845"/>
    <n v="138.7255"/>
    <n v="2.2307"/>
  </r>
  <r>
    <s v="10-Jun-2026"/>
    <x v="2"/>
    <s v="Week2-Jun-2026"/>
    <x v="9"/>
    <s v="Q1FY27"/>
    <s v="25-Aug-2026"/>
    <s v="Tuesday"/>
    <s v="Monthly - Tuesday"/>
    <s v="Monthly - Tuesday"/>
    <s v="Month+2 Expiry"/>
    <n v="3055"/>
    <n v="5.2126"/>
    <n v="0.0979"/>
  </r>
  <r>
    <s v="10-Jun-2026"/>
    <x v="2"/>
    <s v="Week2-Jun-2026"/>
    <x v="9"/>
    <s v="Q1FY27"/>
    <s v="29-Sep-2026"/>
    <s v="Tuesday"/>
    <s v="Monthly - Tuesday"/>
    <s v="Monthly - Tuesday"/>
    <s v="Month+3 Expiry"/>
    <n v="1691"/>
    <n v="2.9442"/>
    <n v="0.07190000000000001"/>
  </r>
  <r>
    <s v="10-Jun-2026"/>
    <x v="2"/>
    <s v="Week2-Jun-2026"/>
    <x v="9"/>
    <s v="Q1FY27"/>
    <s v="29-Dec-2026"/>
    <s v="Tuesday"/>
    <s v="Monthly - Tuesday"/>
    <s v="Monthly - Tuesday"/>
    <s v="Month+6 Expiry"/>
    <n v="46"/>
    <n v="0.08069999999999999"/>
    <n v="0.0028"/>
  </r>
  <r>
    <s v="10-Jun-2026"/>
    <x v="2"/>
    <s v="Week2-Jun-2026"/>
    <x v="9"/>
    <s v="Q1FY27"/>
    <s v="30-Mar-2027"/>
    <s v="Tuesday"/>
    <s v="Monthly - Tuesday"/>
    <s v="Monthly - Tuesday"/>
    <s v="Month+9 Expiry"/>
    <n v="0"/>
    <n v="0"/>
    <n v="0"/>
  </r>
  <r>
    <s v="11-Jun-2026"/>
    <x v="3"/>
    <s v="Week2-Jun-2026"/>
    <x v="9"/>
    <s v="Q1FY27"/>
    <s v="30-Jun-2026"/>
    <s v="Tuesday"/>
    <s v="Monthly - Tuesday"/>
    <s v="Monthly - Tuesday"/>
    <s v="Same Month Expiry"/>
    <n v="2259732"/>
    <n v="3809.4895"/>
    <n v="40.0856"/>
  </r>
  <r>
    <s v="11-Jun-2026"/>
    <x v="3"/>
    <s v="Week2-Jun-2026"/>
    <x v="9"/>
    <s v="Q1FY27"/>
    <s v="28-Jul-2026"/>
    <s v="Tuesday"/>
    <s v="Monthly - Tuesday"/>
    <s v="Monthly - Tuesday"/>
    <s v="Month+1 Expiry"/>
    <n v="65775"/>
    <n v="114.7093"/>
    <n v="2.1794"/>
  </r>
  <r>
    <s v="11-Jun-2026"/>
    <x v="3"/>
    <s v="Week2-Jun-2026"/>
    <x v="9"/>
    <s v="Q1FY27"/>
    <s v="25-Aug-2026"/>
    <s v="Tuesday"/>
    <s v="Monthly - Tuesday"/>
    <s v="Monthly - Tuesday"/>
    <s v="Month+2 Expiry"/>
    <n v="3126"/>
    <n v="5.2956"/>
    <n v="0.0864"/>
  </r>
  <r>
    <s v="11-Jun-2026"/>
    <x v="3"/>
    <s v="Week2-Jun-2026"/>
    <x v="9"/>
    <s v="Q1FY27"/>
    <s v="29-Sep-2026"/>
    <s v="Tuesday"/>
    <s v="Monthly - Tuesday"/>
    <s v="Monthly - Tuesday"/>
    <s v="Month+3 Expiry"/>
    <n v="1332"/>
    <n v="2.3297"/>
    <n v="0.052"/>
  </r>
  <r>
    <s v="11-Jun-2026"/>
    <x v="3"/>
    <s v="Week2-Jun-2026"/>
    <x v="9"/>
    <s v="Q1FY27"/>
    <s v="29-Dec-2026"/>
    <s v="Tuesday"/>
    <s v="Monthly - Tuesday"/>
    <s v="Monthly - Tuesday"/>
    <s v="Month+6 Expiry"/>
    <n v="43"/>
    <n v="0.0741"/>
    <n v="0.0017"/>
  </r>
  <r>
    <s v="11-Jun-2026"/>
    <x v="3"/>
    <s v="Week2-Jun-2026"/>
    <x v="9"/>
    <s v="Q1FY27"/>
    <s v="30-Mar-2027"/>
    <s v="Tuesday"/>
    <s v="Monthly - Tuesday"/>
    <s v="Monthly - Tuesday"/>
    <s v="Month+9 Expiry"/>
    <n v="0"/>
    <n v="0"/>
    <n v="0"/>
  </r>
  <r>
    <s v="12-Jun-2026"/>
    <x v="4"/>
    <s v="Week2-Jun-2026"/>
    <x v="9"/>
    <s v="Q1FY27"/>
    <s v="30-Jun-2026"/>
    <s v="Tuesday"/>
    <s v="Monthly - Tuesday"/>
    <s v="Monthly - Tuesday"/>
    <s v="Same Month Expiry"/>
    <n v="3673301"/>
    <n v="6241.9112"/>
    <n v="54.5199"/>
  </r>
  <r>
    <s v="12-Jun-2026"/>
    <x v="4"/>
    <s v="Week2-Jun-2026"/>
    <x v="9"/>
    <s v="Q1FY27"/>
    <s v="28-Jul-2026"/>
    <s v="Tuesday"/>
    <s v="Monthly - Tuesday"/>
    <s v="Monthly - Tuesday"/>
    <s v="Month+1 Expiry"/>
    <n v="154892"/>
    <n v="267.9714"/>
    <n v="4.1115"/>
  </r>
  <r>
    <s v="12-Jun-2026"/>
    <x v="4"/>
    <s v="Week2-Jun-2026"/>
    <x v="9"/>
    <s v="Q1FY27"/>
    <s v="25-Aug-2026"/>
    <s v="Tuesday"/>
    <s v="Monthly - Tuesday"/>
    <s v="Monthly - Tuesday"/>
    <s v="Month+2 Expiry"/>
    <n v="6353"/>
    <n v="10.7368"/>
    <n v="0.1847"/>
  </r>
  <r>
    <s v="12-Jun-2026"/>
    <x v="4"/>
    <s v="Week2-Jun-2026"/>
    <x v="9"/>
    <s v="Q1FY27"/>
    <s v="29-Sep-2026"/>
    <s v="Tuesday"/>
    <s v="Monthly - Tuesday"/>
    <s v="Monthly - Tuesday"/>
    <s v="Month+3 Expiry"/>
    <n v="3419"/>
    <n v="5.9125"/>
    <n v="0.1085"/>
  </r>
  <r>
    <s v="12-Jun-2026"/>
    <x v="4"/>
    <s v="Week2-Jun-2026"/>
    <x v="9"/>
    <s v="Q1FY27"/>
    <s v="29-Dec-2026"/>
    <s v="Tuesday"/>
    <s v="Monthly - Tuesday"/>
    <s v="Monthly - Tuesday"/>
    <s v="Month+6 Expiry"/>
    <n v="175"/>
    <n v="0.2882"/>
    <n v="0.0062"/>
  </r>
  <r>
    <s v="12-Jun-2026"/>
    <x v="4"/>
    <s v="Week2-Jun-2026"/>
    <x v="9"/>
    <s v="Q1FY27"/>
    <s v="30-Mar-2027"/>
    <s v="Tuesday"/>
    <s v="Monthly - Tuesday"/>
    <s v="Monthly - Tuesday"/>
    <s v="Month+9 Expiry"/>
    <n v="0"/>
    <n v="0"/>
    <n v="0"/>
  </r>
  <r>
    <s v="15-Jun-2026"/>
    <x v="0"/>
    <s v="Week3-Jun-2026"/>
    <x v="9"/>
    <s v="Q1FY27"/>
    <s v="30-Jun-2026"/>
    <s v="Tuesday"/>
    <s v="Monthly - Tuesday"/>
    <s v="Monthly - Tuesday"/>
    <s v="Same Month Expiry"/>
    <n v="2832594"/>
    <n v="4873.6336"/>
    <n v="38.6703"/>
  </r>
  <r>
    <s v="15-Jun-2026"/>
    <x v="0"/>
    <s v="Week3-Jun-2026"/>
    <x v="9"/>
    <s v="Q1FY27"/>
    <s v="28-Jul-2026"/>
    <s v="Tuesday"/>
    <s v="Monthly - Tuesday"/>
    <s v="Monthly - Tuesday"/>
    <s v="Month+1 Expiry"/>
    <n v="146089"/>
    <n v="253.2281"/>
    <n v="3.1623"/>
  </r>
  <r>
    <s v="15-Jun-2026"/>
    <x v="0"/>
    <s v="Week3-Jun-2026"/>
    <x v="9"/>
    <s v="Q1FY27"/>
    <s v="25-Aug-2026"/>
    <s v="Tuesday"/>
    <s v="Monthly - Tuesday"/>
    <s v="Monthly - Tuesday"/>
    <s v="Month+2 Expiry"/>
    <n v="6355"/>
    <n v="10.8513"/>
    <n v="0.1767"/>
  </r>
  <r>
    <s v="15-Jun-2026"/>
    <x v="0"/>
    <s v="Week3-Jun-2026"/>
    <x v="9"/>
    <s v="Q1FY27"/>
    <s v="29-Sep-2026"/>
    <s v="Tuesday"/>
    <s v="Monthly - Tuesday"/>
    <s v="Monthly - Tuesday"/>
    <s v="Month+3 Expiry"/>
    <n v="2628"/>
    <n v="4.5774"/>
    <n v="0.08840000000000001"/>
  </r>
  <r>
    <s v="15-Jun-2026"/>
    <x v="0"/>
    <s v="Week3-Jun-2026"/>
    <x v="9"/>
    <s v="Q1FY27"/>
    <s v="29-Dec-2026"/>
    <s v="Tuesday"/>
    <s v="Monthly - Tuesday"/>
    <s v="Monthly - Tuesday"/>
    <s v="Month+6 Expiry"/>
    <n v="204"/>
    <n v="0.3613"/>
    <n v="0.009599999999999999"/>
  </r>
  <r>
    <s v="15-Jun-2026"/>
    <x v="0"/>
    <s v="Week3-Jun-2026"/>
    <x v="9"/>
    <s v="Q1FY27"/>
    <s v="30-Mar-2027"/>
    <s v="Tuesday"/>
    <s v="Monthly - Tuesday"/>
    <s v="Monthly - Tuesday"/>
    <s v="Month+9 Expiry"/>
    <n v="0"/>
    <n v="0"/>
    <n v="0"/>
  </r>
  <r>
    <s v="16-Jun-2026"/>
    <x v="1"/>
    <s v="Week3-Jun-2026"/>
    <x v="9"/>
    <s v="Q1FY27"/>
    <s v="30-Jun-2026"/>
    <s v="Tuesday"/>
    <s v="Monthly - Tuesday"/>
    <s v="Monthly - Tuesday"/>
    <s v="Same Month Expiry"/>
    <n v="2103004"/>
    <n v="3615.3212"/>
    <n v="27.479"/>
  </r>
  <r>
    <s v="16-Jun-2026"/>
    <x v="1"/>
    <s v="Week3-Jun-2026"/>
    <x v="9"/>
    <s v="Q1FY27"/>
    <s v="28-Jul-2026"/>
    <s v="Tuesday"/>
    <s v="Monthly - Tuesday"/>
    <s v="Monthly - Tuesday"/>
    <s v="Month+1 Expiry"/>
    <n v="83078"/>
    <n v="142.7805"/>
    <n v="1.5375"/>
  </r>
  <r>
    <s v="16-Jun-2026"/>
    <x v="1"/>
    <s v="Week3-Jun-2026"/>
    <x v="9"/>
    <s v="Q1FY27"/>
    <s v="25-Aug-2026"/>
    <s v="Tuesday"/>
    <s v="Monthly - Tuesday"/>
    <s v="Monthly - Tuesday"/>
    <s v="Month+2 Expiry"/>
    <n v="3424"/>
    <n v="5.8406"/>
    <n v="0.0896"/>
  </r>
  <r>
    <s v="16-Jun-2026"/>
    <x v="1"/>
    <s v="Week3-Jun-2026"/>
    <x v="9"/>
    <s v="Q1FY27"/>
    <s v="29-Sep-2026"/>
    <s v="Tuesday"/>
    <s v="Monthly - Tuesday"/>
    <s v="Monthly - Tuesday"/>
    <s v="Month+3 Expiry"/>
    <n v="1724"/>
    <n v="3.0796"/>
    <n v="0.0613"/>
  </r>
  <r>
    <s v="16-Jun-2026"/>
    <x v="1"/>
    <s v="Week3-Jun-2026"/>
    <x v="9"/>
    <s v="Q1FY27"/>
    <s v="29-Dec-2026"/>
    <s v="Tuesday"/>
    <s v="Monthly - Tuesday"/>
    <s v="Monthly - Tuesday"/>
    <s v="Month+6 Expiry"/>
    <n v="135"/>
    <n v="0.2397"/>
    <n v="0.0058"/>
  </r>
  <r>
    <s v="16-Jun-2026"/>
    <x v="1"/>
    <s v="Week3-Jun-2026"/>
    <x v="9"/>
    <s v="Q1FY27"/>
    <s v="30-Mar-2027"/>
    <s v="Tuesday"/>
    <s v="Monthly - Tuesday"/>
    <s v="Monthly - Tuesday"/>
    <s v="Month+9 Expiry"/>
    <n v="1"/>
    <n v="0.0019"/>
    <n v="0.0001"/>
  </r>
  <r>
    <s v="17-Jun-2026"/>
    <x v="2"/>
    <s v="Week3-Jun-2026"/>
    <x v="9"/>
    <s v="Q1FY27"/>
    <s v="30-Jun-2026"/>
    <s v="Tuesday"/>
    <s v="Monthly - Tuesday"/>
    <s v="Monthly - Tuesday"/>
    <s v="Same Month Expiry"/>
    <n v="2389751"/>
    <n v="4115.6735"/>
    <n v="29.8025"/>
  </r>
  <r>
    <s v="17-Jun-2026"/>
    <x v="2"/>
    <s v="Week3-Jun-2026"/>
    <x v="9"/>
    <s v="Q1FY27"/>
    <s v="28-Jul-2026"/>
    <s v="Tuesday"/>
    <s v="Monthly - Tuesday"/>
    <s v="Monthly - Tuesday"/>
    <s v="Month+1 Expiry"/>
    <n v="84520"/>
    <n v="145.6296"/>
    <n v="1.4996"/>
  </r>
  <r>
    <s v="17-Jun-2026"/>
    <x v="2"/>
    <s v="Week3-Jun-2026"/>
    <x v="9"/>
    <s v="Q1FY27"/>
    <s v="25-Aug-2026"/>
    <s v="Tuesday"/>
    <s v="Monthly - Tuesday"/>
    <s v="Monthly - Tuesday"/>
    <s v="Month+2 Expiry"/>
    <n v="5306"/>
    <n v="9.231999999999999"/>
    <n v="0.1603"/>
  </r>
  <r>
    <s v="17-Jun-2026"/>
    <x v="2"/>
    <s v="Week3-Jun-2026"/>
    <x v="9"/>
    <s v="Q1FY27"/>
    <s v="29-Sep-2026"/>
    <s v="Tuesday"/>
    <s v="Monthly - Tuesday"/>
    <s v="Monthly - Tuesday"/>
    <s v="Month+3 Expiry"/>
    <n v="1376"/>
    <n v="2.4394"/>
    <n v="0.044"/>
  </r>
  <r>
    <s v="17-Jun-2026"/>
    <x v="2"/>
    <s v="Week3-Jun-2026"/>
    <x v="9"/>
    <s v="Q1FY27"/>
    <s v="29-Dec-2026"/>
    <s v="Tuesday"/>
    <s v="Monthly - Tuesday"/>
    <s v="Monthly - Tuesday"/>
    <s v="Month+6 Expiry"/>
    <n v="255"/>
    <n v="0.451"/>
    <n v="0.0101"/>
  </r>
  <r>
    <s v="17-Jun-2026"/>
    <x v="2"/>
    <s v="Week3-Jun-2026"/>
    <x v="9"/>
    <s v="Q1FY27"/>
    <s v="30-Mar-2027"/>
    <s v="Tuesday"/>
    <s v="Monthly - Tuesday"/>
    <s v="Monthly - Tuesday"/>
    <s v="Month+9 Expiry"/>
    <n v="3"/>
    <n v="0.0058"/>
    <n v="0.0002"/>
  </r>
  <r>
    <s v="18-Jun-2026"/>
    <x v="3"/>
    <s v="Week3-Jun-2026"/>
    <x v="9"/>
    <s v="Q1FY27"/>
    <s v="30-Jun-2026"/>
    <s v="Tuesday"/>
    <s v="Monthly - Tuesday"/>
    <s v="Monthly - Tuesday"/>
    <s v="Same Month Expiry"/>
    <n v="2908467"/>
    <n v="5015.7319"/>
    <n v="30.853"/>
  </r>
  <r>
    <s v="18-Jun-2026"/>
    <x v="3"/>
    <s v="Week3-Jun-2026"/>
    <x v="9"/>
    <s v="Q1FY27"/>
    <s v="28-Jul-2026"/>
    <s v="Tuesday"/>
    <s v="Monthly - Tuesday"/>
    <s v="Monthly - Tuesday"/>
    <s v="Month+1 Expiry"/>
    <n v="131734"/>
    <n v="229.5376"/>
    <n v="2.3231"/>
  </r>
  <r>
    <s v="18-Jun-2026"/>
    <x v="3"/>
    <s v="Week3-Jun-2026"/>
    <x v="9"/>
    <s v="Q1FY27"/>
    <s v="25-Aug-2026"/>
    <s v="Tuesday"/>
    <s v="Monthly - Tuesday"/>
    <s v="Monthly - Tuesday"/>
    <s v="Month+2 Expiry"/>
    <n v="10641"/>
    <n v="18.5818"/>
    <n v="0.2941"/>
  </r>
  <r>
    <s v="18-Jun-2026"/>
    <x v="3"/>
    <s v="Week3-Jun-2026"/>
    <x v="9"/>
    <s v="Q1FY27"/>
    <s v="29-Sep-2026"/>
    <s v="Tuesday"/>
    <s v="Monthly - Tuesday"/>
    <s v="Monthly - Tuesday"/>
    <s v="Month+3 Expiry"/>
    <n v="1499"/>
    <n v="2.6141"/>
    <n v="0.0462"/>
  </r>
  <r>
    <s v="18-Jun-2026"/>
    <x v="3"/>
    <s v="Week3-Jun-2026"/>
    <x v="9"/>
    <s v="Q1FY27"/>
    <s v="29-Dec-2026"/>
    <s v="Tuesday"/>
    <s v="Monthly - Tuesday"/>
    <s v="Monthly - Tuesday"/>
    <s v="Month+6 Expiry"/>
    <n v="266"/>
    <n v="0.4759"/>
    <n v="0.011"/>
  </r>
  <r>
    <s v="18-Jun-2026"/>
    <x v="3"/>
    <s v="Week3-Jun-2026"/>
    <x v="9"/>
    <s v="Q1FY27"/>
    <s v="30-Mar-2027"/>
    <s v="Tuesday"/>
    <s v="Monthly - Tuesday"/>
    <s v="Monthly - Tuesday"/>
    <s v="Month+9 Expiry"/>
    <n v="0"/>
    <n v="0"/>
    <n v="0"/>
  </r>
  <r>
    <s v="19-Jun-2026"/>
    <x v="4"/>
    <s v="Week3-Jun-2026"/>
    <x v="9"/>
    <s v="Q1FY27"/>
    <s v="30-Jun-2026"/>
    <s v="Tuesday"/>
    <s v="Monthly - Tuesday"/>
    <s v="Monthly - Tuesday"/>
    <s v="Same Month Expiry"/>
    <n v="3249146"/>
    <n v="5630.6912"/>
    <n v="34.1512"/>
  </r>
  <r>
    <s v="19-Jun-2026"/>
    <x v="4"/>
    <s v="Week3-Jun-2026"/>
    <x v="9"/>
    <s v="Q1FY27"/>
    <s v="28-Jul-2026"/>
    <s v="Tuesday"/>
    <s v="Monthly - Tuesday"/>
    <s v="Monthly - Tuesday"/>
    <s v="Month+1 Expiry"/>
    <n v="125510"/>
    <n v="218.8498"/>
    <n v="2.1367"/>
  </r>
  <r>
    <s v="19-Jun-2026"/>
    <x v="4"/>
    <s v="Week3-Jun-2026"/>
    <x v="9"/>
    <s v="Q1FY27"/>
    <s v="25-Aug-2026"/>
    <s v="Tuesday"/>
    <s v="Monthly - Tuesday"/>
    <s v="Monthly - Tuesday"/>
    <s v="Month+2 Expiry"/>
    <n v="5251"/>
    <n v="9.1875"/>
    <n v="0.148"/>
  </r>
  <r>
    <s v="19-Jun-2026"/>
    <x v="4"/>
    <s v="Week3-Jun-2026"/>
    <x v="9"/>
    <s v="Q1FY27"/>
    <s v="29-Sep-2026"/>
    <s v="Tuesday"/>
    <s v="Monthly - Tuesday"/>
    <s v="Monthly - Tuesday"/>
    <s v="Month+3 Expiry"/>
    <n v="2582"/>
    <n v="4.287"/>
    <n v="0.0587"/>
  </r>
  <r>
    <s v="19-Jun-2026"/>
    <x v="4"/>
    <s v="Week3-Jun-2026"/>
    <x v="9"/>
    <s v="Q1FY27"/>
    <s v="29-Dec-2026"/>
    <s v="Tuesday"/>
    <s v="Monthly - Tuesday"/>
    <s v="Monthly - Tuesday"/>
    <s v="Month+6 Expiry"/>
    <n v="38"/>
    <n v="0.06569999999999999"/>
    <n v="0.0015"/>
  </r>
  <r>
    <s v="19-Jun-2026"/>
    <x v="4"/>
    <s v="Week3-Jun-2026"/>
    <x v="9"/>
    <s v="Q1FY27"/>
    <s v="30-Mar-2027"/>
    <s v="Tuesday"/>
    <s v="Monthly - Tuesday"/>
    <s v="Monthly - Tuesday"/>
    <s v="Month+9 Expiry"/>
    <n v="0"/>
    <n v="0"/>
    <n v="0"/>
  </r>
  <r>
    <s v="22-Jun-2026"/>
    <x v="0"/>
    <s v="Week4-Jun-2026"/>
    <x v="9"/>
    <s v="Q1FY27"/>
    <s v="30-Jun-2026"/>
    <s v="Tuesday"/>
    <s v="Monthly - Tuesday"/>
    <s v="Monthly - Tuesday"/>
    <s v="Same Month Expiry"/>
    <n v="2948751"/>
    <n v="5118.6138"/>
    <n v="24.2791"/>
  </r>
  <r>
    <s v="22-Jun-2026"/>
    <x v="0"/>
    <s v="Week4-Jun-2026"/>
    <x v="9"/>
    <s v="Q1FY27"/>
    <s v="28-Jul-2026"/>
    <s v="Tuesday"/>
    <s v="Monthly - Tuesday"/>
    <s v="Monthly - Tuesday"/>
    <s v="Month+1 Expiry"/>
    <n v="108355"/>
    <n v="188.8821"/>
    <n v="2.0009"/>
  </r>
  <r>
    <s v="22-Jun-2026"/>
    <x v="0"/>
    <s v="Week4-Jun-2026"/>
    <x v="9"/>
    <s v="Q1FY27"/>
    <s v="25-Aug-2026"/>
    <s v="Tuesday"/>
    <s v="Monthly - Tuesday"/>
    <s v="Monthly - Tuesday"/>
    <s v="Month+2 Expiry"/>
    <n v="7799"/>
    <n v="13.6616"/>
    <n v="0.2227"/>
  </r>
  <r>
    <s v="22-Jun-2026"/>
    <x v="0"/>
    <s v="Week4-Jun-2026"/>
    <x v="9"/>
    <s v="Q1FY27"/>
    <s v="29-Sep-2026"/>
    <s v="Tuesday"/>
    <s v="Monthly - Tuesday"/>
    <s v="Monthly - Tuesday"/>
    <s v="Month+3 Expiry"/>
    <n v="1375"/>
    <n v="2.3717"/>
    <n v="0.036"/>
  </r>
  <r>
    <s v="22-Jun-2026"/>
    <x v="0"/>
    <s v="Week4-Jun-2026"/>
    <x v="9"/>
    <s v="Q1FY27"/>
    <s v="29-Dec-2026"/>
    <s v="Tuesday"/>
    <s v="Monthly - Tuesday"/>
    <s v="Monthly - Tuesday"/>
    <s v="Month+6 Expiry"/>
    <n v="43"/>
    <n v="0.07389999999999999"/>
    <n v="0.0018"/>
  </r>
  <r>
    <s v="22-Jun-2026"/>
    <x v="0"/>
    <s v="Week4-Jun-2026"/>
    <x v="9"/>
    <s v="Q1FY27"/>
    <s v="30-Mar-2027"/>
    <s v="Tuesday"/>
    <s v="Monthly - Tuesday"/>
    <s v="Monthly - Tuesday"/>
    <s v="Month+9 Expiry"/>
    <n v="0"/>
    <n v="0"/>
    <n v="0"/>
  </r>
  <r>
    <s v="23-Jun-2026"/>
    <x v="1"/>
    <s v="Week4-Jun-2026"/>
    <x v="9"/>
    <s v="Q1FY27"/>
    <s v="30-Jun-2026"/>
    <s v="Tuesday"/>
    <s v="Monthly - Tuesday"/>
    <s v="Monthly - Tuesday"/>
    <s v="Same Month Expiry"/>
    <n v="5162520"/>
    <n v="8931.8146"/>
    <n v="38.0027"/>
  </r>
  <r>
    <s v="23-Jun-2026"/>
    <x v="1"/>
    <s v="Week4-Jun-2026"/>
    <x v="9"/>
    <s v="Q1FY27"/>
    <s v="28-Jul-2026"/>
    <s v="Tuesday"/>
    <s v="Monthly - Tuesday"/>
    <s v="Monthly - Tuesday"/>
    <s v="Month+1 Expiry"/>
    <n v="224292"/>
    <n v="391.7062"/>
    <n v="4.3317"/>
  </r>
  <r>
    <s v="23-Jun-2026"/>
    <x v="1"/>
    <s v="Week4-Jun-2026"/>
    <x v="9"/>
    <s v="Q1FY27"/>
    <s v="25-Aug-2026"/>
    <s v="Tuesday"/>
    <s v="Monthly - Tuesday"/>
    <s v="Monthly - Tuesday"/>
    <s v="Month+2 Expiry"/>
    <n v="8782"/>
    <n v="15.2753"/>
    <n v="0.2072"/>
  </r>
  <r>
    <s v="23-Jun-2026"/>
    <x v="1"/>
    <s v="Week4-Jun-2026"/>
    <x v="9"/>
    <s v="Q1FY27"/>
    <s v="29-Sep-2026"/>
    <s v="Tuesday"/>
    <s v="Monthly - Tuesday"/>
    <s v="Monthly - Tuesday"/>
    <s v="Month+3 Expiry"/>
    <n v="2117"/>
    <n v="3.6846"/>
    <n v="0.0515"/>
  </r>
  <r>
    <s v="23-Jun-2026"/>
    <x v="1"/>
    <s v="Week4-Jun-2026"/>
    <x v="9"/>
    <s v="Q1FY27"/>
    <s v="29-Dec-2026"/>
    <s v="Tuesday"/>
    <s v="Monthly - Tuesday"/>
    <s v="Monthly - Tuesday"/>
    <s v="Month+6 Expiry"/>
    <n v="117"/>
    <n v="0.2004"/>
    <n v="0.0042"/>
  </r>
  <r>
    <s v="23-Jun-2026"/>
    <x v="1"/>
    <s v="Week4-Jun-2026"/>
    <x v="9"/>
    <s v="Q1FY27"/>
    <s v="30-Mar-2027"/>
    <s v="Tuesday"/>
    <s v="Monthly - Tuesday"/>
    <s v="Monthly - Tuesday"/>
    <s v="Month+9 Expiry"/>
    <n v="0"/>
    <n v="0"/>
    <n v="0"/>
  </r>
  <r>
    <s v="24-Jun-2026"/>
    <x v="2"/>
    <s v="Week4-Jun-2026"/>
    <x v="9"/>
    <s v="Q1FY27"/>
    <s v="30-Jun-2026"/>
    <s v="Tuesday"/>
    <s v="Monthly - Tuesday"/>
    <s v="Monthly - Tuesday"/>
    <s v="Same Month Expiry"/>
    <n v="6810780"/>
    <n v="11826.2377"/>
    <n v="53.3621"/>
  </r>
  <r>
    <s v="24-Jun-2026"/>
    <x v="2"/>
    <s v="Week4-Jun-2026"/>
    <x v="9"/>
    <s v="Q1FY27"/>
    <s v="28-Jul-2026"/>
    <s v="Tuesday"/>
    <s v="Monthly - Tuesday"/>
    <s v="Monthly - Tuesday"/>
    <s v="Month+1 Expiry"/>
    <n v="322276"/>
    <n v="567.3855"/>
    <n v="6.7182"/>
  </r>
  <r>
    <s v="24-Jun-2026"/>
    <x v="2"/>
    <s v="Week4-Jun-2026"/>
    <x v="9"/>
    <s v="Q1FY27"/>
    <s v="25-Aug-2026"/>
    <s v="Tuesday"/>
    <s v="Monthly - Tuesday"/>
    <s v="Monthly - Tuesday"/>
    <s v="Month+2 Expiry"/>
    <n v="11399"/>
    <n v="20.1792"/>
    <n v="0.3095"/>
  </r>
  <r>
    <s v="24-Jun-2026"/>
    <x v="2"/>
    <s v="Week4-Jun-2026"/>
    <x v="9"/>
    <s v="Q1FY27"/>
    <s v="29-Sep-2026"/>
    <s v="Tuesday"/>
    <s v="Monthly - Tuesday"/>
    <s v="Monthly - Tuesday"/>
    <s v="Month+3 Expiry"/>
    <n v="1741"/>
    <n v="3.0562"/>
    <n v="0.0568"/>
  </r>
  <r>
    <s v="24-Jun-2026"/>
    <x v="2"/>
    <s v="Week4-Jun-2026"/>
    <x v="9"/>
    <s v="Q1FY27"/>
    <s v="29-Dec-2026"/>
    <s v="Tuesday"/>
    <s v="Monthly - Tuesday"/>
    <s v="Monthly - Tuesday"/>
    <s v="Month+6 Expiry"/>
    <n v="267"/>
    <n v="0.4657"/>
    <n v="0.0112"/>
  </r>
  <r>
    <s v="24-Jun-2026"/>
    <x v="2"/>
    <s v="Week4-Jun-2026"/>
    <x v="9"/>
    <s v="Q1FY27"/>
    <s v="30-Mar-2027"/>
    <s v="Tuesday"/>
    <s v="Monthly - Tuesday"/>
    <s v="Monthly - Tuesday"/>
    <s v="Month+9 Expiry"/>
    <n v="0"/>
    <n v="0"/>
    <n v="0"/>
  </r>
  <r>
    <s v="25-Jun-2026"/>
    <x v="3"/>
    <s v="Week4-Jun-2026"/>
    <x v="9"/>
    <s v="Q1FY27"/>
    <s v="30-Jun-2026"/>
    <s v="Tuesday"/>
    <s v="Monthly - Tuesday"/>
    <s v="Monthly - Tuesday"/>
    <s v="Same Month Expiry"/>
    <n v="6781654"/>
    <n v="11837.8601"/>
    <n v="39.3671"/>
  </r>
  <r>
    <s v="25-Jun-2026"/>
    <x v="3"/>
    <s v="Week4-Jun-2026"/>
    <x v="9"/>
    <s v="Q1FY27"/>
    <s v="28-Jul-2026"/>
    <s v="Tuesday"/>
    <s v="Monthly - Tuesday"/>
    <s v="Monthly - Tuesday"/>
    <s v="Month+1 Expiry"/>
    <n v="403951"/>
    <n v="713.903"/>
    <n v="8.311299999999999"/>
  </r>
  <r>
    <s v="25-Jun-2026"/>
    <x v="3"/>
    <s v="Week4-Jun-2026"/>
    <x v="9"/>
    <s v="Q1FY27"/>
    <s v="25-Aug-2026"/>
    <s v="Tuesday"/>
    <s v="Monthly - Tuesday"/>
    <s v="Monthly - Tuesday"/>
    <s v="Month+2 Expiry"/>
    <n v="16063"/>
    <n v="28.3668"/>
    <n v="0.3857"/>
  </r>
  <r>
    <s v="25-Jun-2026"/>
    <x v="3"/>
    <s v="Week4-Jun-2026"/>
    <x v="9"/>
    <s v="Q1FY27"/>
    <s v="29-Sep-2026"/>
    <s v="Tuesday"/>
    <s v="Monthly - Tuesday"/>
    <s v="Monthly - Tuesday"/>
    <s v="Month+3 Expiry"/>
    <n v="3623"/>
    <n v="6.4183"/>
    <n v="0.1102"/>
  </r>
  <r>
    <s v="25-Jun-2026"/>
    <x v="3"/>
    <s v="Week4-Jun-2026"/>
    <x v="9"/>
    <s v="Q1FY27"/>
    <s v="29-Dec-2026"/>
    <s v="Tuesday"/>
    <s v="Monthly - Tuesday"/>
    <s v="Monthly - Tuesday"/>
    <s v="Month+6 Expiry"/>
    <n v="133"/>
    <n v="0.2307"/>
    <n v="0.0051"/>
  </r>
  <r>
    <s v="25-Jun-2026"/>
    <x v="3"/>
    <s v="Week4-Jun-2026"/>
    <x v="9"/>
    <s v="Q1FY27"/>
    <s v="30-Mar-2027"/>
    <s v="Tuesday"/>
    <s v="Monthly - Tuesday"/>
    <s v="Monthly - Tuesday"/>
    <s v="Month+9 Expiry"/>
    <n v="0"/>
    <n v="0"/>
    <n v="0"/>
  </r>
  <r>
    <s v="29-Jun-2026"/>
    <x v="0"/>
    <s v="Week5-Jun-2026"/>
    <x v="9"/>
    <s v="Q1FY27"/>
    <s v="30-Jun-2026"/>
    <s v="Tuesday"/>
    <s v="Monthly - Tuesday"/>
    <s v="Monthly - Tuesday"/>
    <s v="Same Month Expiry"/>
    <n v="22572112"/>
    <n v="39225.1855"/>
    <n v="99.5258"/>
  </r>
  <r>
    <s v="29-Jun-2026"/>
    <x v="0"/>
    <s v="Week5-Jun-2026"/>
    <x v="9"/>
    <s v="Q1FY27"/>
    <s v="28-Jul-2026"/>
    <s v="Tuesday"/>
    <s v="Monthly - Tuesday"/>
    <s v="Monthly - Tuesday"/>
    <s v="Month+1 Expiry"/>
    <n v="475306"/>
    <n v="840.3784000000001"/>
    <n v="10.8086"/>
  </r>
  <r>
    <s v="29-Jun-2026"/>
    <x v="0"/>
    <s v="Week5-Jun-2026"/>
    <x v="9"/>
    <s v="Q1FY27"/>
    <s v="25-Aug-2026"/>
    <s v="Tuesday"/>
    <s v="Monthly - Tuesday"/>
    <s v="Monthly - Tuesday"/>
    <s v="Month+2 Expiry"/>
    <n v="14064"/>
    <n v="24.5363"/>
    <n v="0.3388"/>
  </r>
  <r>
    <s v="29-Jun-2026"/>
    <x v="0"/>
    <s v="Week5-Jun-2026"/>
    <x v="9"/>
    <s v="Q1FY27"/>
    <s v="29-Sep-2026"/>
    <s v="Tuesday"/>
    <s v="Monthly - Tuesday"/>
    <s v="Monthly - Tuesday"/>
    <s v="Month+3 Expiry"/>
    <n v="1399"/>
    <n v="2.4601"/>
    <n v="0.045"/>
  </r>
  <r>
    <s v="29-Jun-2026"/>
    <x v="0"/>
    <s v="Week5-Jun-2026"/>
    <x v="9"/>
    <s v="Q1FY27"/>
    <s v="29-Dec-2026"/>
    <s v="Tuesday"/>
    <s v="Monthly - Tuesday"/>
    <s v="Monthly - Tuesday"/>
    <s v="Month+6 Expiry"/>
    <n v="62"/>
    <n v="0.1069"/>
    <n v="0.0023"/>
  </r>
  <r>
    <s v="29-Jun-2026"/>
    <x v="0"/>
    <s v="Week5-Jun-2026"/>
    <x v="9"/>
    <s v="Q1FY27"/>
    <s v="30-Mar-2027"/>
    <s v="Tuesday"/>
    <s v="Monthly - Tuesday"/>
    <s v="Monthly - Tuesday"/>
    <s v="Month+9 Expiry"/>
    <n v="0"/>
    <n v="0"/>
    <n v="0"/>
  </r>
  <r>
    <s v="30-Jun-2026"/>
    <x v="1"/>
    <s v="Week5-Jun-2026"/>
    <x v="9"/>
    <s v="Q1FY27"/>
    <s v="30-Jun-2026"/>
    <s v="Tuesday"/>
    <s v="Monthly - Tuesday"/>
    <s v="Monthly - Tuesday"/>
    <s v="Same Month Expiry"/>
    <n v="90608397"/>
    <n v="156713.7945"/>
    <n v="165.7756"/>
  </r>
  <r>
    <s v="30-Jun-2026"/>
    <x v="1"/>
    <s v="Week5-Jun-2026"/>
    <x v="9"/>
    <s v="Q1FY27"/>
    <s v="28-Jul-2026"/>
    <s v="Tuesday"/>
    <s v="Monthly - Tuesday"/>
    <s v="Monthly - Tuesday"/>
    <s v="Month+1 Expiry"/>
    <n v="658052"/>
    <n v="1157.6016"/>
    <n v="14.3916"/>
  </r>
  <r>
    <s v="30-Jun-2026"/>
    <x v="1"/>
    <s v="Week5-Jun-2026"/>
    <x v="9"/>
    <s v="Q1FY27"/>
    <s v="25-Aug-2026"/>
    <s v="Tuesday"/>
    <s v="Monthly - Tuesday"/>
    <s v="Monthly - Tuesday"/>
    <s v="Month+2 Expiry"/>
    <n v="11039"/>
    <n v="19.3738"/>
    <n v="0.3173"/>
  </r>
  <r>
    <s v="30-Jun-2026"/>
    <x v="1"/>
    <s v="Week5-Jun-2026"/>
    <x v="9"/>
    <s v="Q1FY27"/>
    <s v="29-Sep-2026"/>
    <s v="Tuesday"/>
    <s v="Monthly - Tuesday"/>
    <s v="Monthly - Tuesday"/>
    <s v="Month+3 Expiry"/>
    <n v="1586"/>
    <n v="2.8343"/>
    <n v="0.0478"/>
  </r>
  <r>
    <s v="30-Jun-2026"/>
    <x v="1"/>
    <s v="Week5-Jun-2026"/>
    <x v="9"/>
    <s v="Q1FY27"/>
    <s v="29-Dec-2026"/>
    <s v="Tuesday"/>
    <s v="Monthly - Tuesday"/>
    <s v="Monthly - Tuesday"/>
    <s v="Month+6 Expiry"/>
    <n v="72"/>
    <n v="0.1286"/>
    <n v="0.0039"/>
  </r>
  <r>
    <s v="30-Jun-2026"/>
    <x v="1"/>
    <s v="Week5-Jun-2026"/>
    <x v="9"/>
    <s v="Q1FY27"/>
    <s v="30-Mar-2027"/>
    <s v="Tuesday"/>
    <s v="Monthly - Tuesday"/>
    <s v="Monthly - Tuesday"/>
    <s v="Month+9 Expiry"/>
    <n v="0"/>
    <n v="0"/>
    <n v="0"/>
  </r>
  <r>
    <s v="01-Jul-2026"/>
    <x v="2"/>
    <s v="Week1-Jul-2026"/>
    <x v="10"/>
    <s v="Q2FY27"/>
    <s v="28-Jul-2026"/>
    <s v="Tuesday"/>
    <s v="Monthly - Tuesday"/>
    <s v="Monthly - Tuesday"/>
    <s v="Same Month Expiry"/>
    <n v="1531718"/>
    <n v="2691.6388"/>
    <n v="27.7557"/>
  </r>
  <r>
    <s v="01-Jul-2026"/>
    <x v="2"/>
    <s v="Week1-Jul-2026"/>
    <x v="10"/>
    <s v="Q2FY27"/>
    <s v="25-Aug-2026"/>
    <s v="Tuesday"/>
    <s v="Monthly - Tuesday"/>
    <s v="Monthly - Tuesday"/>
    <s v="Month+1 Expiry"/>
    <n v="15430"/>
    <n v="26.6915"/>
    <n v="0.3439"/>
  </r>
  <r>
    <s v="01-Jul-2026"/>
    <x v="2"/>
    <s v="Week1-Jul-2026"/>
    <x v="10"/>
    <s v="Q2FY27"/>
    <s v="29-Sep-2026"/>
    <s v="Tuesday"/>
    <s v="Monthly - Tuesday"/>
    <s v="Monthly - Tuesday"/>
    <s v="Month+2 Expiry"/>
    <n v="3290"/>
    <n v="5.6259"/>
    <n v="0.07530000000000001"/>
  </r>
  <r>
    <s v="01-Jul-2026"/>
    <x v="2"/>
    <s v="Week1-Jul-2026"/>
    <x v="10"/>
    <s v="Q2FY27"/>
    <s v="29-Dec-2026"/>
    <s v="Tuesday"/>
    <s v="Monthly - Tuesday"/>
    <s v="Monthly - Tuesday"/>
    <s v="Month+5 Expiry"/>
    <n v="681"/>
    <n v="0.9676"/>
    <n v="0.0066"/>
  </r>
  <r>
    <s v="01-Jul-2026"/>
    <x v="2"/>
    <s v="Week1-Jul-2026"/>
    <x v="10"/>
    <s v="Q2FY27"/>
    <s v="30-Mar-2027"/>
    <s v="Tuesday"/>
    <s v="Monthly - Tuesday"/>
    <s v="Monthly - Tuesday"/>
    <s v="Month+8 Expiry"/>
    <n v="0"/>
    <n v="0"/>
    <n v="0"/>
  </r>
  <r>
    <s v="01-Jul-2026"/>
    <x v="2"/>
    <s v="Week1-Jul-2026"/>
    <x v="10"/>
    <s v="Q2FY27"/>
    <s v="29-Jun-2027"/>
    <s v="Tuesday"/>
    <s v="Monthly - Tuesday"/>
    <s v="Monthly - Tuesday"/>
    <s v="Month+11 Expiry"/>
    <n v="0"/>
    <n v="0"/>
    <n v="0"/>
  </r>
  <r>
    <s v="02-Jul-2026"/>
    <x v="3"/>
    <s v="Week1-Jul-2026"/>
    <x v="10"/>
    <s v="Q2FY27"/>
    <s v="28-Jul-2026"/>
    <s v="Tuesday"/>
    <s v="Monthly - Tuesday"/>
    <s v="Monthly - Tuesday"/>
    <s v="Same Month Expiry"/>
    <n v="1501955"/>
    <n v="2644.0387"/>
    <n v="27.0559"/>
  </r>
  <r>
    <s v="02-Jul-2026"/>
    <x v="3"/>
    <s v="Week1-Jul-2026"/>
    <x v="10"/>
    <s v="Q2FY27"/>
    <s v="25-Aug-2026"/>
    <s v="Tuesday"/>
    <s v="Monthly - Tuesday"/>
    <s v="Monthly - Tuesday"/>
    <s v="Month+1 Expiry"/>
    <n v="16533"/>
    <n v="29.1449"/>
    <n v="0.403"/>
  </r>
  <r>
    <s v="02-Jul-2026"/>
    <x v="3"/>
    <s v="Week1-Jul-2026"/>
    <x v="10"/>
    <s v="Q2FY27"/>
    <s v="29-Sep-2026"/>
    <s v="Tuesday"/>
    <s v="Monthly - Tuesday"/>
    <s v="Monthly - Tuesday"/>
    <s v="Month+2 Expiry"/>
    <n v="2461"/>
    <n v="4.1771"/>
    <n v="0.056"/>
  </r>
  <r>
    <s v="02-Jul-2026"/>
    <x v="3"/>
    <s v="Week1-Jul-2026"/>
    <x v="10"/>
    <s v="Q2FY27"/>
    <s v="29-Dec-2026"/>
    <s v="Tuesday"/>
    <s v="Monthly - Tuesday"/>
    <s v="Monthly - Tuesday"/>
    <s v="Month+5 Expiry"/>
    <n v="130"/>
    <n v="0.2233"/>
    <n v="0.0044"/>
  </r>
  <r>
    <s v="02-Jul-2026"/>
    <x v="3"/>
    <s v="Week1-Jul-2026"/>
    <x v="10"/>
    <s v="Q2FY27"/>
    <s v="30-Mar-2027"/>
    <s v="Tuesday"/>
    <s v="Monthly - Tuesday"/>
    <s v="Monthly - Tuesday"/>
    <s v="Month+8 Expiry"/>
    <n v="0"/>
    <n v="0"/>
    <n v="0"/>
  </r>
  <r>
    <s v="02-Jul-2026"/>
    <x v="3"/>
    <s v="Week1-Jul-2026"/>
    <x v="10"/>
    <s v="Q2FY27"/>
    <s v="29-Jun-2027"/>
    <s v="Tuesday"/>
    <s v="Monthly - Tuesday"/>
    <s v="Monthly - Tuesday"/>
    <s v="Month+11 Expiry"/>
    <n v="0"/>
    <n v="0"/>
    <n v="0"/>
  </r>
  <r>
    <s v="03-Jul-2026"/>
    <x v="4"/>
    <s v="Week1-Jul-2026"/>
    <x v="10"/>
    <s v="Q2FY27"/>
    <s v="28-Jul-2026"/>
    <s v="Tuesday"/>
    <s v="Monthly - Tuesday"/>
    <s v="Monthly - Tuesday"/>
    <s v="Same Month Expiry"/>
    <n v="1623313"/>
    <n v="2862.6442"/>
    <n v="28.8871"/>
  </r>
  <r>
    <s v="03-Jul-2026"/>
    <x v="4"/>
    <s v="Week1-Jul-2026"/>
    <x v="10"/>
    <s v="Q2FY27"/>
    <s v="25-Aug-2026"/>
    <s v="Tuesday"/>
    <s v="Monthly - Tuesday"/>
    <s v="Monthly - Tuesday"/>
    <s v="Month+1 Expiry"/>
    <n v="23323"/>
    <n v="40.9408"/>
    <n v="0.5841"/>
  </r>
  <r>
    <s v="03-Jul-2026"/>
    <x v="4"/>
    <s v="Week1-Jul-2026"/>
    <x v="10"/>
    <s v="Q2FY27"/>
    <s v="29-Sep-2026"/>
    <s v="Tuesday"/>
    <s v="Monthly - Tuesday"/>
    <s v="Monthly - Tuesday"/>
    <s v="Month+2 Expiry"/>
    <n v="3664"/>
    <n v="6.3765"/>
    <n v="0.1178"/>
  </r>
  <r>
    <s v="03-Jul-2026"/>
    <x v="4"/>
    <s v="Week1-Jul-2026"/>
    <x v="10"/>
    <s v="Q2FY27"/>
    <s v="29-Dec-2026"/>
    <s v="Tuesday"/>
    <s v="Monthly - Tuesday"/>
    <s v="Monthly - Tuesday"/>
    <s v="Month+5 Expiry"/>
    <n v="95"/>
    <n v="0.1641"/>
    <n v="0.0034"/>
  </r>
  <r>
    <s v="03-Jul-2026"/>
    <x v="4"/>
    <s v="Week1-Jul-2026"/>
    <x v="10"/>
    <s v="Q2FY27"/>
    <s v="30-Mar-2027"/>
    <s v="Tuesday"/>
    <s v="Monthly - Tuesday"/>
    <s v="Monthly - Tuesday"/>
    <s v="Month+8 Expiry"/>
    <n v="0"/>
    <n v="0"/>
    <n v="0"/>
  </r>
  <r>
    <s v="03-Jul-2026"/>
    <x v="4"/>
    <s v="Week1-Jul-2026"/>
    <x v="10"/>
    <s v="Q2FY27"/>
    <s v="29-Jun-2027"/>
    <s v="Tuesday"/>
    <s v="Monthly - Tuesday"/>
    <s v="Monthly - Tuesday"/>
    <s v="Month+11 Expiry"/>
    <n v="0"/>
    <n v="0"/>
    <n v="0"/>
  </r>
  <r>
    <s v="06-Jul-2026"/>
    <x v="0"/>
    <s v="Week1-Jul-2026"/>
    <x v="10"/>
    <s v="Q2FY27"/>
    <s v="28-Jul-2026"/>
    <s v="Tuesday"/>
    <s v="Monthly - Tuesday"/>
    <s v="Monthly - Tuesday"/>
    <s v="Same Month Expiry"/>
    <n v="1652760"/>
    <n v="2921.7287"/>
    <n v="25.8063"/>
  </r>
  <r>
    <s v="06-Jul-2026"/>
    <x v="0"/>
    <s v="Week1-Jul-2026"/>
    <x v="10"/>
    <s v="Q2FY27"/>
    <s v="25-Aug-2026"/>
    <s v="Tuesday"/>
    <s v="Monthly - Tuesday"/>
    <s v="Monthly - Tuesday"/>
    <s v="Month+1 Expiry"/>
    <n v="23715"/>
    <n v="41.2133"/>
    <n v="0.4671"/>
  </r>
  <r>
    <s v="06-Jul-2026"/>
    <x v="0"/>
    <s v="Week1-Jul-2026"/>
    <x v="10"/>
    <s v="Q2FY27"/>
    <s v="29-Sep-2026"/>
    <s v="Tuesday"/>
    <s v="Monthly - Tuesday"/>
    <s v="Monthly - Tuesday"/>
    <s v="Month+2 Expiry"/>
    <n v="3246"/>
    <n v="5.693"/>
    <n v="0.095"/>
  </r>
  <r>
    <s v="06-Jul-2026"/>
    <x v="0"/>
    <s v="Week1-Jul-2026"/>
    <x v="10"/>
    <s v="Q2FY27"/>
    <s v="29-Dec-2026"/>
    <s v="Tuesday"/>
    <s v="Monthly - Tuesday"/>
    <s v="Monthly - Tuesday"/>
    <s v="Month+5 Expiry"/>
    <n v="205"/>
    <n v="0.3486"/>
    <n v="0.0061"/>
  </r>
  <r>
    <s v="06-Jul-2026"/>
    <x v="0"/>
    <s v="Week1-Jul-2026"/>
    <x v="10"/>
    <s v="Q2FY27"/>
    <s v="30-Mar-2027"/>
    <s v="Tuesday"/>
    <s v="Monthly - Tuesday"/>
    <s v="Monthly - Tuesday"/>
    <s v="Month+8 Expiry"/>
    <n v="0"/>
    <n v="0"/>
    <n v="0"/>
  </r>
  <r>
    <s v="06-Jul-2026"/>
    <x v="0"/>
    <s v="Week1-Jul-2026"/>
    <x v="10"/>
    <s v="Q2FY27"/>
    <s v="29-Jun-2027"/>
    <s v="Tuesday"/>
    <s v="Monthly - Tuesday"/>
    <s v="Monthly - Tuesday"/>
    <s v="Month+11 Expiry"/>
    <n v="0"/>
    <n v="0"/>
    <n v="0"/>
  </r>
  <r>
    <s v="07-Jul-2026"/>
    <x v="1"/>
    <s v="Week1-Jul-2026"/>
    <x v="10"/>
    <s v="Q2FY27"/>
    <s v="28-Jul-2026"/>
    <s v="Tuesday"/>
    <s v="Monthly - Tuesday"/>
    <s v="Monthly - Tuesday"/>
    <s v="Same Month Expiry"/>
    <n v="1591088"/>
    <n v="2806.7101"/>
    <n v="22.7747"/>
  </r>
  <r>
    <s v="07-Jul-2026"/>
    <x v="1"/>
    <s v="Week1-Jul-2026"/>
    <x v="10"/>
    <s v="Q2FY27"/>
    <s v="25-Aug-2026"/>
    <s v="Tuesday"/>
    <s v="Monthly - Tuesday"/>
    <s v="Monthly - Tuesday"/>
    <s v="Month+1 Expiry"/>
    <n v="19016"/>
    <n v="33.4512"/>
    <n v="0.3871"/>
  </r>
  <r>
    <s v="07-Jul-2026"/>
    <x v="1"/>
    <s v="Week1-Jul-2026"/>
    <x v="10"/>
    <s v="Q2FY27"/>
    <s v="29-Sep-2026"/>
    <s v="Tuesday"/>
    <s v="Monthly - Tuesday"/>
    <s v="Monthly - Tuesday"/>
    <s v="Month+2 Expiry"/>
    <n v="2629"/>
    <n v="4.5961"/>
    <n v="0.07240000000000001"/>
  </r>
  <r>
    <s v="07-Jul-2026"/>
    <x v="1"/>
    <s v="Week1-Jul-2026"/>
    <x v="10"/>
    <s v="Q2FY27"/>
    <s v="29-Dec-2026"/>
    <s v="Tuesday"/>
    <s v="Monthly - Tuesday"/>
    <s v="Monthly - Tuesday"/>
    <s v="Month+5 Expiry"/>
    <n v="154"/>
    <n v="0.2659"/>
    <n v="0.005"/>
  </r>
  <r>
    <s v="07-Jul-2026"/>
    <x v="1"/>
    <s v="Week1-Jul-2026"/>
    <x v="10"/>
    <s v="Q2FY27"/>
    <s v="30-Mar-2027"/>
    <s v="Tuesday"/>
    <s v="Monthly - Tuesday"/>
    <s v="Monthly - Tuesday"/>
    <s v="Month+8 Expiry"/>
    <n v="0"/>
    <n v="0"/>
    <n v="0"/>
  </r>
  <r>
    <s v="07-Jul-2026"/>
    <x v="1"/>
    <s v="Week1-Jul-2026"/>
    <x v="10"/>
    <s v="Q2FY27"/>
    <s v="29-Jun-2027"/>
    <s v="Tuesday"/>
    <s v="Monthly - Tuesday"/>
    <s v="Monthly - Tuesday"/>
    <s v="Month+11 Expiry"/>
    <n v="0"/>
    <n v="0"/>
    <n v="0"/>
  </r>
  <r>
    <s v="08-Jul-2026"/>
    <x v="2"/>
    <s v="Week2-Jul-2026"/>
    <x v="10"/>
    <s v="Q2FY27"/>
    <s v="28-Jul-2026"/>
    <s v="Tuesday"/>
    <s v="Monthly - Tuesday"/>
    <s v="Monthly - Tuesday"/>
    <s v="Same Month Expiry"/>
    <n v="3176686"/>
    <n v="5530.4037"/>
    <n v="47.4274"/>
  </r>
  <r>
    <s v="08-Jul-2026"/>
    <x v="2"/>
    <s v="Week2-Jul-2026"/>
    <x v="10"/>
    <s v="Q2FY27"/>
    <s v="25-Aug-2026"/>
    <s v="Tuesday"/>
    <s v="Monthly - Tuesday"/>
    <s v="Monthly - Tuesday"/>
    <s v="Month+1 Expiry"/>
    <n v="71715"/>
    <n v="125.602"/>
    <n v="1.7156"/>
  </r>
  <r>
    <s v="08-Jul-2026"/>
    <x v="2"/>
    <s v="Week2-Jul-2026"/>
    <x v="10"/>
    <s v="Q2FY27"/>
    <s v="29-Sep-2026"/>
    <s v="Tuesday"/>
    <s v="Monthly - Tuesday"/>
    <s v="Monthly - Tuesday"/>
    <s v="Month+2 Expiry"/>
    <n v="9458"/>
    <n v="16.5237"/>
    <n v="0.2608"/>
  </r>
  <r>
    <s v="08-Jul-2026"/>
    <x v="2"/>
    <s v="Week2-Jul-2026"/>
    <x v="10"/>
    <s v="Q2FY27"/>
    <s v="29-Dec-2026"/>
    <s v="Tuesday"/>
    <s v="Monthly - Tuesday"/>
    <s v="Monthly - Tuesday"/>
    <s v="Month+5 Expiry"/>
    <n v="724"/>
    <n v="1.2332"/>
    <n v="0.0269"/>
  </r>
  <r>
    <s v="08-Jul-2026"/>
    <x v="2"/>
    <s v="Week2-Jul-2026"/>
    <x v="10"/>
    <s v="Q2FY27"/>
    <s v="30-Mar-2027"/>
    <s v="Tuesday"/>
    <s v="Monthly - Tuesday"/>
    <s v="Monthly - Tuesday"/>
    <s v="Month+8 Expiry"/>
    <n v="0"/>
    <n v="0"/>
    <n v="0"/>
  </r>
  <r>
    <s v="08-Jul-2026"/>
    <x v="2"/>
    <s v="Week2-Jul-2026"/>
    <x v="10"/>
    <s v="Q2FY27"/>
    <s v="29-Jun-2027"/>
    <s v="Tuesday"/>
    <s v="Monthly - Tuesday"/>
    <s v="Monthly - Tuesday"/>
    <s v="Month+11 Expiry"/>
    <n v="0"/>
    <n v="0"/>
    <n v="0"/>
  </r>
  <r>
    <s v="09-Jul-2026"/>
    <x v="3"/>
    <s v="Week2-Jul-2026"/>
    <x v="10"/>
    <s v="Q2FY27"/>
    <s v="28-Jul-2026"/>
    <s v="Tuesday"/>
    <s v="Monthly - Tuesday"/>
    <s v="Monthly - Tuesday"/>
    <s v="Same Month Expiry"/>
    <n v="2188933"/>
    <n v="3807.0281"/>
    <n v="32.4544"/>
  </r>
  <r>
    <s v="09-Jul-2026"/>
    <x v="3"/>
    <s v="Week2-Jul-2026"/>
    <x v="10"/>
    <s v="Q2FY27"/>
    <s v="25-Aug-2026"/>
    <s v="Tuesday"/>
    <s v="Monthly - Tuesday"/>
    <s v="Monthly - Tuesday"/>
    <s v="Month+1 Expiry"/>
    <n v="34068"/>
    <n v="59.1385"/>
    <n v="0.771"/>
  </r>
  <r>
    <s v="09-Jul-2026"/>
    <x v="3"/>
    <s v="Week2-Jul-2026"/>
    <x v="10"/>
    <s v="Q2FY27"/>
    <s v="29-Sep-2026"/>
    <s v="Tuesday"/>
    <s v="Monthly - Tuesday"/>
    <s v="Monthly - Tuesday"/>
    <s v="Month+2 Expiry"/>
    <n v="6847"/>
    <n v="12.0556"/>
    <n v="0.199"/>
  </r>
  <r>
    <s v="09-Jul-2026"/>
    <x v="3"/>
    <s v="Week2-Jul-2026"/>
    <x v="10"/>
    <s v="Q2FY27"/>
    <s v="29-Dec-2026"/>
    <s v="Tuesday"/>
    <s v="Monthly - Tuesday"/>
    <s v="Monthly - Tuesday"/>
    <s v="Month+5 Expiry"/>
    <n v="354"/>
    <n v="0.6213"/>
    <n v="0.0134"/>
  </r>
  <r>
    <s v="09-Jul-2026"/>
    <x v="3"/>
    <s v="Week2-Jul-2026"/>
    <x v="10"/>
    <s v="Q2FY27"/>
    <s v="30-Mar-2027"/>
    <s v="Tuesday"/>
    <s v="Monthly - Tuesday"/>
    <s v="Monthly - Tuesday"/>
    <s v="Month+8 Expiry"/>
    <n v="0"/>
    <n v="0"/>
    <n v="0"/>
  </r>
  <r>
    <s v="09-Jul-2026"/>
    <x v="3"/>
    <s v="Week2-Jul-2026"/>
    <x v="10"/>
    <s v="Q2FY27"/>
    <s v="29-Jun-2027"/>
    <s v="Tuesday"/>
    <s v="Monthly - Tuesday"/>
    <s v="Monthly - Tuesday"/>
    <s v="Month+11 Expiry"/>
    <n v="0"/>
    <n v="0"/>
    <n v="0"/>
  </r>
  <r>
    <s v="10-Jul-2026"/>
    <x v="4"/>
    <s v="Week2-Jul-2026"/>
    <x v="10"/>
    <s v="Q2FY27"/>
    <s v="28-Jul-2026"/>
    <s v="Tuesday"/>
    <s v="Monthly - Tuesday"/>
    <s v="Monthly - Tuesday"/>
    <s v="Same Month Expiry"/>
    <n v="2142493"/>
    <n v="3757.6859"/>
    <n v="31.0447"/>
  </r>
  <r>
    <s v="10-Jul-2026"/>
    <x v="4"/>
    <s v="Week2-Jul-2026"/>
    <x v="10"/>
    <s v="Q2FY27"/>
    <s v="25-Aug-2026"/>
    <s v="Tuesday"/>
    <s v="Monthly - Tuesday"/>
    <s v="Monthly - Tuesday"/>
    <s v="Month+1 Expiry"/>
    <n v="35759"/>
    <n v="62.6405"/>
    <n v="0.7769"/>
  </r>
  <r>
    <s v="10-Jul-2026"/>
    <x v="4"/>
    <s v="Week2-Jul-2026"/>
    <x v="10"/>
    <s v="Q2FY27"/>
    <s v="29-Sep-2026"/>
    <s v="Tuesday"/>
    <s v="Monthly - Tuesday"/>
    <s v="Monthly - Tuesday"/>
    <s v="Month+2 Expiry"/>
    <n v="4917"/>
    <n v="8.7098"/>
    <n v="0.1417"/>
  </r>
  <r>
    <s v="10-Jul-2026"/>
    <x v="4"/>
    <s v="Week2-Jul-2026"/>
    <x v="10"/>
    <s v="Q2FY27"/>
    <s v="29-Dec-2026"/>
    <s v="Tuesday"/>
    <s v="Monthly - Tuesday"/>
    <s v="Monthly - Tuesday"/>
    <s v="Month+5 Expiry"/>
    <n v="258"/>
    <n v="0.4625"/>
    <n v="0.0095"/>
  </r>
  <r>
    <s v="10-Jul-2026"/>
    <x v="4"/>
    <s v="Week2-Jul-2026"/>
    <x v="10"/>
    <s v="Q2FY27"/>
    <s v="30-Mar-2027"/>
    <s v="Tuesday"/>
    <s v="Monthly - Tuesday"/>
    <s v="Monthly - Tuesday"/>
    <s v="Month+8 Expiry"/>
    <n v="1"/>
    <n v="0.0019"/>
    <n v="0.0001"/>
  </r>
  <r>
    <s v="10-Jul-2026"/>
    <x v="4"/>
    <s v="Week2-Jul-2026"/>
    <x v="10"/>
    <s v="Q2FY27"/>
    <s v="29-Jun-2027"/>
    <s v="Tuesday"/>
    <s v="Monthly - Tuesday"/>
    <s v="Monthly - Tuesday"/>
    <s v="Month+11 Expiry"/>
    <n v="0"/>
    <n v="0"/>
    <n v="0"/>
  </r>
  <r>
    <s v="13-Jul-2026"/>
    <x v="0"/>
    <s v="Week2-Jul-2026"/>
    <x v="10"/>
    <s v="Q2FY27"/>
    <s v="28-Jul-2026"/>
    <s v="Tuesday"/>
    <s v="Monthly - Tuesday"/>
    <s v="Monthly - Tuesday"/>
    <s v="Same Month Expiry"/>
    <n v="2380345"/>
    <n v="4185.2061"/>
    <n v="33.8626"/>
  </r>
  <r>
    <s v="13-Jul-2026"/>
    <x v="0"/>
    <s v="Week2-Jul-2026"/>
    <x v="10"/>
    <s v="Q2FY27"/>
    <s v="25-Aug-2026"/>
    <s v="Tuesday"/>
    <s v="Monthly - Tuesday"/>
    <s v="Monthly - Tuesday"/>
    <s v="Month+1 Expiry"/>
    <n v="50242"/>
    <n v="87.45659999999999"/>
    <n v="1.0187"/>
  </r>
  <r>
    <s v="13-Jul-2026"/>
    <x v="0"/>
    <s v="Week2-Jul-2026"/>
    <x v="10"/>
    <s v="Q2FY27"/>
    <s v="29-Sep-2026"/>
    <s v="Tuesday"/>
    <s v="Monthly - Tuesday"/>
    <s v="Monthly - Tuesday"/>
    <s v="Month+2 Expiry"/>
    <n v="4849"/>
    <n v="8.487"/>
    <n v="0.1302"/>
  </r>
  <r>
    <s v="13-Jul-2026"/>
    <x v="0"/>
    <s v="Week2-Jul-2026"/>
    <x v="10"/>
    <s v="Q2FY27"/>
    <s v="29-Dec-2026"/>
    <s v="Tuesday"/>
    <s v="Monthly - Tuesday"/>
    <s v="Monthly - Tuesday"/>
    <s v="Month+5 Expiry"/>
    <n v="347"/>
    <n v="0.6294"/>
    <n v="0.0176"/>
  </r>
  <r>
    <s v="13-Jul-2026"/>
    <x v="0"/>
    <s v="Week2-Jul-2026"/>
    <x v="10"/>
    <s v="Q2FY27"/>
    <s v="30-Mar-2027"/>
    <s v="Tuesday"/>
    <s v="Monthly - Tuesday"/>
    <s v="Monthly - Tuesday"/>
    <s v="Month+8 Expiry"/>
    <n v="0"/>
    <n v="0"/>
    <n v="0"/>
  </r>
  <r>
    <s v="13-Jul-2026"/>
    <x v="0"/>
    <s v="Week2-Jul-2026"/>
    <x v="10"/>
    <s v="Q2FY27"/>
    <s v="29-Jun-2027"/>
    <s v="Tuesday"/>
    <s v="Monthly - Tuesday"/>
    <s v="Monthly - Tuesday"/>
    <s v="Month+11 Expiry"/>
    <n v="0"/>
    <n v="0"/>
    <n v="0"/>
  </r>
  <r>
    <s v="14-Jul-2026"/>
    <x v="1"/>
    <s v="Week2-Jul-2026"/>
    <x v="10"/>
    <s v="Q2FY27"/>
    <s v="28-Jul-2026"/>
    <s v="Tuesday"/>
    <s v="Monthly - Tuesday"/>
    <s v="Monthly - Tuesday"/>
    <s v="Same Month Expiry"/>
    <n v="2153750"/>
    <n v="3764.1958"/>
    <n v="30.7826"/>
  </r>
  <r>
    <s v="14-Jul-2026"/>
    <x v="1"/>
    <s v="Week2-Jul-2026"/>
    <x v="10"/>
    <s v="Q2FY27"/>
    <s v="25-Aug-2026"/>
    <s v="Tuesday"/>
    <s v="Monthly - Tuesday"/>
    <s v="Monthly - Tuesday"/>
    <s v="Month+1 Expiry"/>
    <n v="57610"/>
    <n v="100.9769"/>
    <n v="1.2811"/>
  </r>
  <r>
    <s v="14-Jul-2026"/>
    <x v="1"/>
    <s v="Week2-Jul-2026"/>
    <x v="10"/>
    <s v="Q2FY27"/>
    <s v="29-Sep-2026"/>
    <s v="Tuesday"/>
    <s v="Monthly - Tuesday"/>
    <s v="Monthly - Tuesday"/>
    <s v="Month+2 Expiry"/>
    <n v="6204"/>
    <n v="10.89"/>
    <n v="0.1531"/>
  </r>
  <r>
    <s v="14-Jul-2026"/>
    <x v="1"/>
    <s v="Week2-Jul-2026"/>
    <x v="10"/>
    <s v="Q2FY27"/>
    <s v="29-Dec-2026"/>
    <s v="Tuesday"/>
    <s v="Monthly - Tuesday"/>
    <s v="Monthly - Tuesday"/>
    <s v="Month+5 Expiry"/>
    <n v="286"/>
    <n v="0.5077"/>
    <n v="0.0117"/>
  </r>
  <r>
    <s v="14-Jul-2026"/>
    <x v="1"/>
    <s v="Week2-Jul-2026"/>
    <x v="10"/>
    <s v="Q2FY27"/>
    <s v="30-Mar-2027"/>
    <s v="Tuesday"/>
    <s v="Monthly - Tuesday"/>
    <s v="Monthly - Tuesday"/>
    <s v="Month+8 Expiry"/>
    <n v="0"/>
    <n v="0"/>
    <n v="0"/>
  </r>
  <r>
    <s v="14-Jul-2026"/>
    <x v="1"/>
    <s v="Week2-Jul-2026"/>
    <x v="10"/>
    <s v="Q2FY27"/>
    <s v="29-Jun-2027"/>
    <s v="Tuesday"/>
    <s v="Monthly - Tuesday"/>
    <s v="Monthly - Tuesday"/>
    <s v="Month+11 Expiry"/>
    <n v="0"/>
    <n v="0"/>
    <n v="0"/>
  </r>
  <r>
    <s v="15-Jul-2026"/>
    <x v="2"/>
    <s v="Week3-Jul-2026"/>
    <x v="10"/>
    <s v="Q2FY27"/>
    <s v="28-Jul-2026"/>
    <s v="Tuesday"/>
    <s v="Monthly - Tuesday"/>
    <s v="Monthly - Tuesday"/>
    <s v="Same Month Expiry"/>
    <n v="2730976"/>
    <n v="4775.9998"/>
    <n v="37.7578"/>
  </r>
  <r>
    <s v="15-Jul-2026"/>
    <x v="2"/>
    <s v="Week3-Jul-2026"/>
    <x v="10"/>
    <s v="Q2FY27"/>
    <s v="25-Aug-2026"/>
    <s v="Tuesday"/>
    <s v="Monthly - Tuesday"/>
    <s v="Monthly - Tuesday"/>
    <s v="Month+1 Expiry"/>
    <n v="67095"/>
    <n v="117.91"/>
    <n v="1.3605"/>
  </r>
  <r>
    <s v="15-Jul-2026"/>
    <x v="2"/>
    <s v="Week3-Jul-2026"/>
    <x v="10"/>
    <s v="Q2FY27"/>
    <s v="29-Sep-2026"/>
    <s v="Tuesday"/>
    <s v="Monthly - Tuesday"/>
    <s v="Monthly - Tuesday"/>
    <s v="Month+2 Expiry"/>
    <n v="7256"/>
    <n v="12.6785"/>
    <n v="0.1862"/>
  </r>
  <r>
    <s v="15-Jul-2026"/>
    <x v="2"/>
    <s v="Week3-Jul-2026"/>
    <x v="10"/>
    <s v="Q2FY27"/>
    <s v="29-Dec-2026"/>
    <s v="Tuesday"/>
    <s v="Monthly - Tuesday"/>
    <s v="Monthly - Tuesday"/>
    <s v="Month+5 Expiry"/>
    <n v="285"/>
    <n v="0.4926"/>
    <n v="0.0101"/>
  </r>
  <r>
    <s v="15-Jul-2026"/>
    <x v="2"/>
    <s v="Week3-Jul-2026"/>
    <x v="10"/>
    <s v="Q2FY27"/>
    <s v="30-Mar-2027"/>
    <s v="Tuesday"/>
    <s v="Monthly - Tuesday"/>
    <s v="Monthly - Tuesday"/>
    <s v="Month+8 Expiry"/>
    <n v="0"/>
    <n v="0"/>
    <n v="0"/>
  </r>
  <r>
    <s v="15-Jul-2026"/>
    <x v="2"/>
    <s v="Week3-Jul-2026"/>
    <x v="10"/>
    <s v="Q2FY27"/>
    <s v="29-Jun-2027"/>
    <s v="Tuesday"/>
    <s v="Monthly - Tuesday"/>
    <s v="Monthly - Tuesday"/>
    <s v="Month+11 Expiry"/>
    <n v="0"/>
    <n v="0"/>
    <n v="0"/>
  </r>
  <r>
    <s v="16-Jul-2026"/>
    <x v="3"/>
    <s v="Week3-Jul-2026"/>
    <x v="10"/>
    <s v="Q2FY27"/>
    <s v="28-Jul-2026"/>
    <s v="Tuesday"/>
    <s v="Monthly - Tuesday"/>
    <s v="Monthly - Tuesday"/>
    <s v="Same Month Expiry"/>
    <n v="2047625"/>
    <n v="3580.5422"/>
    <n v="26.3817"/>
  </r>
  <r>
    <s v="16-Jul-2026"/>
    <x v="3"/>
    <s v="Week3-Jul-2026"/>
    <x v="10"/>
    <s v="Q2FY27"/>
    <s v="25-Aug-2026"/>
    <s v="Tuesday"/>
    <s v="Monthly - Tuesday"/>
    <s v="Monthly - Tuesday"/>
    <s v="Month+1 Expiry"/>
    <n v="41598"/>
    <n v="72.9849"/>
    <n v="0.9424"/>
  </r>
  <r>
    <s v="16-Jul-2026"/>
    <x v="3"/>
    <s v="Week3-Jul-2026"/>
    <x v="10"/>
    <s v="Q2FY27"/>
    <s v="29-Sep-2026"/>
    <s v="Tuesday"/>
    <s v="Monthly - Tuesday"/>
    <s v="Monthly - Tuesday"/>
    <s v="Month+2 Expiry"/>
    <n v="6745"/>
    <n v="11.8747"/>
    <n v="0.1839"/>
  </r>
  <r>
    <s v="16-Jul-2026"/>
    <x v="3"/>
    <s v="Week3-Jul-2026"/>
    <x v="10"/>
    <s v="Q2FY27"/>
    <s v="29-Dec-2026"/>
    <s v="Tuesday"/>
    <s v="Monthly - Tuesday"/>
    <s v="Monthly - Tuesday"/>
    <s v="Month+5 Expiry"/>
    <n v="212"/>
    <n v="0.3723"/>
    <n v="0.0083"/>
  </r>
  <r>
    <s v="16-Jul-2026"/>
    <x v="3"/>
    <s v="Week3-Jul-2026"/>
    <x v="10"/>
    <s v="Q2FY27"/>
    <s v="30-Mar-2027"/>
    <s v="Tuesday"/>
    <s v="Monthly - Tuesday"/>
    <s v="Monthly - Tuesday"/>
    <s v="Month+8 Expiry"/>
    <n v="2"/>
    <n v="0.0039"/>
    <n v="0.0001"/>
  </r>
  <r>
    <s v="16-Jul-2026"/>
    <x v="3"/>
    <s v="Week3-Jul-2026"/>
    <x v="10"/>
    <s v="Q2FY27"/>
    <s v="29-Jun-2027"/>
    <s v="Tuesday"/>
    <s v="Monthly - Tuesday"/>
    <s v="Monthly - Tuesday"/>
    <s v="Month+11 Expiry"/>
    <n v="0"/>
    <n v="0"/>
    <n v="0"/>
  </r>
  <r>
    <s v="17-Jul-2026"/>
    <x v="4"/>
    <s v="Week3-Jul-2026"/>
    <x v="10"/>
    <s v="Q2FY27"/>
    <s v="28-Jul-2026"/>
    <s v="Tuesday"/>
    <s v="Monthly - Tuesday"/>
    <s v="Monthly - Tuesday"/>
    <s v="Same Month Expiry"/>
    <n v="3541356"/>
    <n v="6210.8686"/>
    <n v="42.6363"/>
  </r>
  <r>
    <s v="17-Jul-2026"/>
    <x v="4"/>
    <s v="Week3-Jul-2026"/>
    <x v="10"/>
    <s v="Q2FY27"/>
    <s v="25-Aug-2026"/>
    <s v="Tuesday"/>
    <s v="Monthly - Tuesday"/>
    <s v="Monthly - Tuesday"/>
    <s v="Month+1 Expiry"/>
    <n v="97657"/>
    <n v="171.7121"/>
    <n v="2.0862"/>
  </r>
  <r>
    <s v="17-Jul-2026"/>
    <x v="4"/>
    <s v="Week3-Jul-2026"/>
    <x v="10"/>
    <s v="Q2FY27"/>
    <s v="29-Sep-2026"/>
    <s v="Tuesday"/>
    <s v="Monthly - Tuesday"/>
    <s v="Monthly - Tuesday"/>
    <s v="Month+2 Expiry"/>
    <n v="9989"/>
    <n v="17.5083"/>
    <n v="0.2271"/>
  </r>
  <r>
    <s v="17-Jul-2026"/>
    <x v="4"/>
    <s v="Week3-Jul-2026"/>
    <x v="10"/>
    <s v="Q2FY27"/>
    <s v="29-Dec-2026"/>
    <s v="Tuesday"/>
    <s v="Monthly - Tuesday"/>
    <s v="Monthly - Tuesday"/>
    <s v="Month+5 Expiry"/>
    <n v="651"/>
    <n v="1.1139"/>
    <n v="0.0199"/>
  </r>
  <r>
    <s v="17-Jul-2026"/>
    <x v="4"/>
    <s v="Week3-Jul-2026"/>
    <x v="10"/>
    <s v="Q2FY27"/>
    <s v="30-Mar-2027"/>
    <s v="Tuesday"/>
    <s v="Monthly - Tuesday"/>
    <s v="Monthly - Tuesday"/>
    <s v="Month+8 Expiry"/>
    <n v="2"/>
    <n v="0.0039"/>
    <n v="0.0001"/>
  </r>
  <r>
    <s v="17-Jul-2026"/>
    <x v="4"/>
    <s v="Week3-Jul-2026"/>
    <x v="10"/>
    <s v="Q2FY27"/>
    <s v="29-Jun-2027"/>
    <s v="Tuesday"/>
    <s v="Monthly - Tuesday"/>
    <s v="Monthly - Tuesday"/>
    <s v="Month+11 Expiry"/>
    <n v="0"/>
    <n v="0"/>
    <n v="0"/>
  </r>
  <r>
    <s v="20-Jul-2026"/>
    <x v="0"/>
    <s v="Week3-Jul-2026"/>
    <x v="10"/>
    <s v="Q2FY27"/>
    <s v="28-Jul-2026"/>
    <s v="Tuesday"/>
    <s v="Monthly - Tuesday"/>
    <s v="Monthly - Tuesday"/>
    <s v="Same Month Expiry"/>
    <n v="3962266"/>
    <n v="6924.0781"/>
    <n v="39.6558"/>
  </r>
  <r>
    <s v="20-Jul-2026"/>
    <x v="0"/>
    <s v="Week3-Jul-2026"/>
    <x v="10"/>
    <s v="Q2FY27"/>
    <s v="25-Aug-2026"/>
    <s v="Tuesday"/>
    <s v="Monthly - Tuesday"/>
    <s v="Monthly - Tuesday"/>
    <s v="Month+1 Expiry"/>
    <n v="166759"/>
    <n v="293.3312"/>
    <n v="3.3772"/>
  </r>
  <r>
    <s v="20-Jul-2026"/>
    <x v="0"/>
    <s v="Week3-Jul-2026"/>
    <x v="10"/>
    <s v="Q2FY27"/>
    <s v="29-Sep-2026"/>
    <s v="Tuesday"/>
    <s v="Monthly - Tuesday"/>
    <s v="Monthly - Tuesday"/>
    <s v="Month+2 Expiry"/>
    <n v="12772"/>
    <n v="22.3625"/>
    <n v="0.328"/>
  </r>
  <r>
    <s v="20-Jul-2026"/>
    <x v="0"/>
    <s v="Week3-Jul-2026"/>
    <x v="10"/>
    <s v="Q2FY27"/>
    <s v="29-Dec-2026"/>
    <s v="Tuesday"/>
    <s v="Monthly - Tuesday"/>
    <s v="Monthly - Tuesday"/>
    <s v="Month+5 Expiry"/>
    <n v="411"/>
    <n v="0.7393"/>
    <n v="0.0171"/>
  </r>
  <r>
    <s v="20-Jul-2026"/>
    <x v="0"/>
    <s v="Week3-Jul-2026"/>
    <x v="10"/>
    <s v="Q2FY27"/>
    <s v="30-Mar-2027"/>
    <s v="Tuesday"/>
    <s v="Monthly - Tuesday"/>
    <s v="Monthly - Tuesday"/>
    <s v="Month+8 Expiry"/>
    <n v="1"/>
    <n v="0.0019"/>
    <n v="0"/>
  </r>
  <r>
    <s v="20-Jul-2026"/>
    <x v="0"/>
    <s v="Week3-Jul-2026"/>
    <x v="10"/>
    <s v="Q2FY27"/>
    <s v="29-Jun-2027"/>
    <s v="Tuesday"/>
    <s v="Monthly - Tuesday"/>
    <s v="Monthly - Tuesday"/>
    <s v="Month+11 Expiry"/>
    <n v="0"/>
    <n v="0"/>
    <n v="0"/>
  </r>
  <r>
    <s v="21-Jul-2026"/>
    <x v="1"/>
    <s v="Week3-Jul-2026"/>
    <x v="10"/>
    <s v="Q2FY27"/>
    <s v="28-Jul-2026"/>
    <s v="Tuesday"/>
    <s v="Monthly - Tuesday"/>
    <s v="Monthly - Tuesday"/>
    <s v="Same Month Expiry"/>
    <n v="2965393"/>
    <n v="5177.4295"/>
    <n v="26.1967"/>
  </r>
  <r>
    <s v="21-Jul-2026"/>
    <x v="1"/>
    <s v="Week3-Jul-2026"/>
    <x v="10"/>
    <s v="Q2FY27"/>
    <s v="25-Aug-2026"/>
    <s v="Tuesday"/>
    <s v="Monthly - Tuesday"/>
    <s v="Monthly - Tuesday"/>
    <s v="Month+1 Expiry"/>
    <n v="107181"/>
    <n v="189.3837"/>
    <n v="2.0461"/>
  </r>
  <r>
    <s v="21-Jul-2026"/>
    <x v="1"/>
    <s v="Week3-Jul-2026"/>
    <x v="10"/>
    <s v="Q2FY27"/>
    <s v="29-Sep-2026"/>
    <s v="Tuesday"/>
    <s v="Monthly - Tuesday"/>
    <s v="Monthly - Tuesday"/>
    <s v="Month+2 Expiry"/>
    <n v="10066"/>
    <n v="17.5367"/>
    <n v="0.2319"/>
  </r>
  <r>
    <s v="21-Jul-2026"/>
    <x v="1"/>
    <s v="Week3-Jul-2026"/>
    <x v="10"/>
    <s v="Q2FY27"/>
    <s v="29-Dec-2026"/>
    <s v="Tuesday"/>
    <s v="Monthly - Tuesday"/>
    <s v="Monthly - Tuesday"/>
    <s v="Month+5 Expiry"/>
    <n v="266"/>
    <n v="0.4601"/>
    <n v="0.0091"/>
  </r>
  <r>
    <s v="21-Jul-2026"/>
    <x v="1"/>
    <s v="Week3-Jul-2026"/>
    <x v="10"/>
    <s v="Q2FY27"/>
    <s v="30-Mar-2027"/>
    <s v="Tuesday"/>
    <s v="Monthly - Tuesday"/>
    <s v="Monthly - Tuesday"/>
    <s v="Month+8 Expiry"/>
    <n v="2"/>
    <n v="0.0039"/>
    <n v="0.0001"/>
  </r>
  <r>
    <s v="21-Jul-2026"/>
    <x v="1"/>
    <s v="Week3-Jul-2026"/>
    <x v="10"/>
    <s v="Q2FY27"/>
    <s v="29-Jun-2027"/>
    <s v="Tuesday"/>
    <s v="Monthly - Tuesday"/>
    <s v="Monthly - Tuesday"/>
    <s v="Month+11 Expiry"/>
    <n v="0"/>
    <n v="0"/>
    <n v="0"/>
  </r>
</pivotCacheRecords>
</file>

<file path=xl/pivotCache/pivotCacheRecords2.xml><?xml version="1.0" encoding="utf-8"?>
<pivotCacheRecords xmlns="http://schemas.openxmlformats.org/spreadsheetml/2006/main" count="1314">
  <r>
    <s v="01-Sep-2025"/>
    <x v="0"/>
    <s v="Week1-Sep-2025"/>
    <x v="0"/>
    <s v="Q2FY26"/>
    <s v="30-Sep-2025"/>
    <s v="Tuesday"/>
    <s v="Monthly - Tuesday"/>
    <s v="Monthly - Tuesday"/>
    <s v="Same Month Expiry"/>
    <n v="2038762"/>
    <n v="3884.4165"/>
    <n v="32.6023"/>
  </r>
  <r>
    <s v="01-Sep-2025"/>
    <x v="0"/>
    <s v="Week1-Sep-2025"/>
    <x v="0"/>
    <s v="Q2FY26"/>
    <s v="28-Oct-2025"/>
    <s v="Tuesday"/>
    <s v="Monthly - Tuesday"/>
    <s v="Monthly - Tuesday"/>
    <s v="Month+1 Expiry"/>
    <n v="17731"/>
    <n v="34.1263"/>
    <n v="0.3066"/>
  </r>
  <r>
    <s v="01-Sep-2025"/>
    <x v="0"/>
    <s v="Week1-Sep-2025"/>
    <x v="0"/>
    <s v="Q2FY26"/>
    <s v="25-Nov-2025"/>
    <s v="Tuesday"/>
    <s v="Monthly - Tuesday"/>
    <s v="Monthly - Tuesday"/>
    <s v="Month+2 Expiry"/>
    <n v="382"/>
    <n v="0.7426"/>
    <n v="0.0157"/>
  </r>
  <r>
    <s v="01-Sep-2025"/>
    <x v="0"/>
    <s v="Week1-Sep-2025"/>
    <x v="0"/>
    <s v="Q2FY26"/>
    <s v="30-Dec-2025"/>
    <s v="Tuesday"/>
    <s v="Monthly - Tuesday"/>
    <s v="Monthly - Tuesday"/>
    <s v="Month+3 Expiry"/>
    <n v="3133"/>
    <n v="6.1669"/>
    <n v="0.0851"/>
  </r>
  <r>
    <s v="01-Sep-2025"/>
    <x v="0"/>
    <s v="Week1-Sep-2025"/>
    <x v="0"/>
    <s v="Q2FY26"/>
    <s v="31-Mar-2026"/>
    <s v="Tuesday"/>
    <s v="Monthly - Tuesday"/>
    <s v="Monthly - Tuesday"/>
    <s v="Month+6 Expiry"/>
    <n v="123"/>
    <n v="0.2575"/>
    <n v="0.0041"/>
  </r>
  <r>
    <s v="01-Sep-2025"/>
    <x v="0"/>
    <s v="Week1-Sep-2025"/>
    <x v="0"/>
    <s v="Q2FY26"/>
    <s v="30-Jun-2026"/>
    <s v="Tuesday"/>
    <s v="Monthly - Tuesday"/>
    <s v="Monthly - Tuesday"/>
    <s v="Month+9 Expiry"/>
    <n v="0"/>
    <n v="0"/>
    <n v="0"/>
  </r>
  <r>
    <s v="02-Sep-2025"/>
    <x v="1"/>
    <s v="Week1-Sep-2025"/>
    <x v="0"/>
    <s v="Q2FY26"/>
    <s v="30-Sep-2025"/>
    <s v="Tuesday"/>
    <s v="Monthly - Tuesday"/>
    <s v="Monthly - Tuesday"/>
    <s v="Same Month Expiry"/>
    <n v="2335453"/>
    <n v="4447.3157"/>
    <n v="37.3923"/>
  </r>
  <r>
    <s v="02-Sep-2025"/>
    <x v="1"/>
    <s v="Week1-Sep-2025"/>
    <x v="0"/>
    <s v="Q2FY26"/>
    <s v="28-Oct-2025"/>
    <s v="Tuesday"/>
    <s v="Monthly - Tuesday"/>
    <s v="Monthly - Tuesday"/>
    <s v="Month+1 Expiry"/>
    <n v="25566"/>
    <n v="49.3497"/>
    <n v="0.4837"/>
  </r>
  <r>
    <s v="02-Sep-2025"/>
    <x v="1"/>
    <s v="Week1-Sep-2025"/>
    <x v="0"/>
    <s v="Q2FY26"/>
    <s v="25-Nov-2025"/>
    <s v="Tuesday"/>
    <s v="Monthly - Tuesday"/>
    <s v="Monthly - Tuesday"/>
    <s v="Month+2 Expiry"/>
    <n v="633"/>
    <n v="1.2279"/>
    <n v="0.025"/>
  </r>
  <r>
    <s v="02-Sep-2025"/>
    <x v="1"/>
    <s v="Week1-Sep-2025"/>
    <x v="0"/>
    <s v="Q2FY26"/>
    <s v="30-Dec-2025"/>
    <s v="Tuesday"/>
    <s v="Monthly - Tuesday"/>
    <s v="Monthly - Tuesday"/>
    <s v="Month+3 Expiry"/>
    <n v="3041"/>
    <n v="6.0114"/>
    <n v="0.08400000000000001"/>
  </r>
  <r>
    <s v="02-Sep-2025"/>
    <x v="1"/>
    <s v="Week1-Sep-2025"/>
    <x v="0"/>
    <s v="Q2FY26"/>
    <s v="31-Mar-2026"/>
    <s v="Tuesday"/>
    <s v="Monthly - Tuesday"/>
    <s v="Monthly - Tuesday"/>
    <s v="Month+6 Expiry"/>
    <n v="130"/>
    <n v="0.2719"/>
    <n v="0.0042"/>
  </r>
  <r>
    <s v="02-Sep-2025"/>
    <x v="1"/>
    <s v="Week1-Sep-2025"/>
    <x v="0"/>
    <s v="Q2FY26"/>
    <s v="30-Jun-2026"/>
    <s v="Tuesday"/>
    <s v="Monthly - Tuesday"/>
    <s v="Monthly - Tuesday"/>
    <s v="Month+9 Expiry"/>
    <n v="0"/>
    <n v="0"/>
    <n v="0"/>
  </r>
  <r>
    <s v="03-Sep-2025"/>
    <x v="2"/>
    <s v="Week1-Sep-2025"/>
    <x v="0"/>
    <s v="Q2FY26"/>
    <s v="30-Sep-2025"/>
    <s v="Tuesday"/>
    <s v="Monthly - Tuesday"/>
    <s v="Monthly - Tuesday"/>
    <s v="Same Month Expiry"/>
    <n v="2543972"/>
    <n v="4839.8017"/>
    <n v="40.3564"/>
  </r>
  <r>
    <s v="03-Sep-2025"/>
    <x v="2"/>
    <s v="Week1-Sep-2025"/>
    <x v="0"/>
    <s v="Q2FY26"/>
    <s v="28-Oct-2025"/>
    <s v="Tuesday"/>
    <s v="Monthly - Tuesday"/>
    <s v="Monthly - Tuesday"/>
    <s v="Month+1 Expiry"/>
    <n v="29423"/>
    <n v="56.8088"/>
    <n v="0.4759"/>
  </r>
  <r>
    <s v="03-Sep-2025"/>
    <x v="2"/>
    <s v="Week1-Sep-2025"/>
    <x v="0"/>
    <s v="Q2FY26"/>
    <s v="25-Nov-2025"/>
    <s v="Tuesday"/>
    <s v="Monthly - Tuesday"/>
    <s v="Monthly - Tuesday"/>
    <s v="Month+2 Expiry"/>
    <n v="1324"/>
    <n v="2.5656"/>
    <n v="0.0552"/>
  </r>
  <r>
    <s v="03-Sep-2025"/>
    <x v="2"/>
    <s v="Week1-Sep-2025"/>
    <x v="0"/>
    <s v="Q2FY26"/>
    <s v="30-Dec-2025"/>
    <s v="Tuesday"/>
    <s v="Monthly - Tuesday"/>
    <s v="Monthly - Tuesday"/>
    <s v="Month+3 Expiry"/>
    <n v="3953"/>
    <n v="7.8925"/>
    <n v="0.1201"/>
  </r>
  <r>
    <s v="03-Sep-2025"/>
    <x v="2"/>
    <s v="Week1-Sep-2025"/>
    <x v="0"/>
    <s v="Q2FY26"/>
    <s v="31-Mar-2026"/>
    <s v="Tuesday"/>
    <s v="Monthly - Tuesday"/>
    <s v="Monthly - Tuesday"/>
    <s v="Month+6 Expiry"/>
    <n v="138"/>
    <n v="0.287"/>
    <n v="0.0049"/>
  </r>
  <r>
    <s v="03-Sep-2025"/>
    <x v="2"/>
    <s v="Week1-Sep-2025"/>
    <x v="0"/>
    <s v="Q2FY26"/>
    <s v="30-Jun-2026"/>
    <s v="Tuesday"/>
    <s v="Monthly - Tuesday"/>
    <s v="Monthly - Tuesday"/>
    <s v="Month+9 Expiry"/>
    <n v="0"/>
    <n v="0"/>
    <n v="0"/>
  </r>
  <r>
    <s v="04-Sep-2025"/>
    <x v="3"/>
    <s v="Week1-Sep-2025"/>
    <x v="0"/>
    <s v="Q2FY26"/>
    <s v="30-Sep-2025"/>
    <s v="Tuesday"/>
    <s v="Monthly - Tuesday"/>
    <s v="Monthly - Tuesday"/>
    <s v="Same Month Expiry"/>
    <n v="2537028"/>
    <n v="4848.7147"/>
    <n v="37.4147"/>
  </r>
  <r>
    <s v="04-Sep-2025"/>
    <x v="3"/>
    <s v="Week1-Sep-2025"/>
    <x v="0"/>
    <s v="Q2FY26"/>
    <s v="28-Oct-2025"/>
    <s v="Tuesday"/>
    <s v="Monthly - Tuesday"/>
    <s v="Monthly - Tuesday"/>
    <s v="Month+1 Expiry"/>
    <n v="23723"/>
    <n v="45.7728"/>
    <n v="0.4761"/>
  </r>
  <r>
    <s v="04-Sep-2025"/>
    <x v="3"/>
    <s v="Week1-Sep-2025"/>
    <x v="0"/>
    <s v="Q2FY26"/>
    <s v="25-Nov-2025"/>
    <s v="Tuesday"/>
    <s v="Monthly - Tuesday"/>
    <s v="Monthly - Tuesday"/>
    <s v="Month+2 Expiry"/>
    <n v="710"/>
    <n v="1.3714"/>
    <n v="0.0287"/>
  </r>
  <r>
    <s v="04-Sep-2025"/>
    <x v="3"/>
    <s v="Week1-Sep-2025"/>
    <x v="0"/>
    <s v="Q2FY26"/>
    <s v="30-Dec-2025"/>
    <s v="Tuesday"/>
    <s v="Monthly - Tuesday"/>
    <s v="Monthly - Tuesday"/>
    <s v="Month+3 Expiry"/>
    <n v="3065"/>
    <n v="6.0011"/>
    <n v="0.0945"/>
  </r>
  <r>
    <s v="04-Sep-2025"/>
    <x v="3"/>
    <s v="Week1-Sep-2025"/>
    <x v="0"/>
    <s v="Q2FY26"/>
    <s v="31-Mar-2026"/>
    <s v="Tuesday"/>
    <s v="Monthly - Tuesday"/>
    <s v="Monthly - Tuesday"/>
    <s v="Month+6 Expiry"/>
    <n v="92"/>
    <n v="0.1916"/>
    <n v="0.0033"/>
  </r>
  <r>
    <s v="04-Sep-2025"/>
    <x v="3"/>
    <s v="Week1-Sep-2025"/>
    <x v="0"/>
    <s v="Q2FY26"/>
    <s v="30-Jun-2026"/>
    <s v="Tuesday"/>
    <s v="Monthly - Tuesday"/>
    <s v="Monthly - Tuesday"/>
    <s v="Month+9 Expiry"/>
    <n v="0"/>
    <n v="0"/>
    <n v="0"/>
  </r>
  <r>
    <s v="05-Sep-2025"/>
    <x v="4"/>
    <s v="Week1-Sep-2025"/>
    <x v="0"/>
    <s v="Q2FY26"/>
    <s v="30-Sep-2025"/>
    <s v="Tuesday"/>
    <s v="Monthly - Tuesday"/>
    <s v="Monthly - Tuesday"/>
    <s v="Same Month Expiry"/>
    <n v="2935345"/>
    <n v="5585.8496"/>
    <n v="42.2849"/>
  </r>
  <r>
    <s v="05-Sep-2025"/>
    <x v="4"/>
    <s v="Week1-Sep-2025"/>
    <x v="0"/>
    <s v="Q2FY26"/>
    <s v="28-Oct-2025"/>
    <s v="Tuesday"/>
    <s v="Monthly - Tuesday"/>
    <s v="Monthly - Tuesday"/>
    <s v="Month+1 Expiry"/>
    <n v="33458"/>
    <n v="64.5603"/>
    <n v="0.7334000000000001"/>
  </r>
  <r>
    <s v="05-Sep-2025"/>
    <x v="4"/>
    <s v="Week1-Sep-2025"/>
    <x v="0"/>
    <s v="Q2FY26"/>
    <s v="25-Nov-2025"/>
    <s v="Tuesday"/>
    <s v="Monthly - Tuesday"/>
    <s v="Monthly - Tuesday"/>
    <s v="Month+2 Expiry"/>
    <n v="722"/>
    <n v="1.3985"/>
    <n v="0.0313"/>
  </r>
  <r>
    <s v="05-Sep-2025"/>
    <x v="4"/>
    <s v="Week1-Sep-2025"/>
    <x v="0"/>
    <s v="Q2FY26"/>
    <s v="30-Dec-2025"/>
    <s v="Tuesday"/>
    <s v="Monthly - Tuesday"/>
    <s v="Monthly - Tuesday"/>
    <s v="Month+3 Expiry"/>
    <n v="1986"/>
    <n v="3.9685"/>
    <n v="0.0618"/>
  </r>
  <r>
    <s v="05-Sep-2025"/>
    <x v="4"/>
    <s v="Week1-Sep-2025"/>
    <x v="0"/>
    <s v="Q2FY26"/>
    <s v="31-Mar-2026"/>
    <s v="Tuesday"/>
    <s v="Monthly - Tuesday"/>
    <s v="Monthly - Tuesday"/>
    <s v="Month+6 Expiry"/>
    <n v="77"/>
    <n v="0.1615"/>
    <n v="0.0021"/>
  </r>
  <r>
    <s v="05-Sep-2025"/>
    <x v="4"/>
    <s v="Week1-Sep-2025"/>
    <x v="0"/>
    <s v="Q2FY26"/>
    <s v="30-Jun-2026"/>
    <s v="Tuesday"/>
    <s v="Monthly - Tuesday"/>
    <s v="Monthly - Tuesday"/>
    <s v="Month+9 Expiry"/>
    <n v="0"/>
    <n v="0"/>
    <n v="0"/>
  </r>
  <r>
    <s v="08-Sep-2025"/>
    <x v="0"/>
    <s v="Week2-Sep-2025"/>
    <x v="0"/>
    <s v="Q2FY26"/>
    <s v="30-Sep-2025"/>
    <s v="Tuesday"/>
    <s v="Monthly - Tuesday"/>
    <s v="Monthly - Tuesday"/>
    <s v="Same Month Expiry"/>
    <n v="2772664"/>
    <n v="5289.4227"/>
    <n v="37.314"/>
  </r>
  <r>
    <s v="08-Sep-2025"/>
    <x v="0"/>
    <s v="Week2-Sep-2025"/>
    <x v="0"/>
    <s v="Q2FY26"/>
    <s v="28-Oct-2025"/>
    <s v="Tuesday"/>
    <s v="Monthly - Tuesday"/>
    <s v="Monthly - Tuesday"/>
    <s v="Month+1 Expiry"/>
    <n v="23556"/>
    <n v="45.2499"/>
    <n v="0.4635"/>
  </r>
  <r>
    <s v="08-Sep-2025"/>
    <x v="0"/>
    <s v="Week2-Sep-2025"/>
    <x v="0"/>
    <s v="Q2FY26"/>
    <s v="25-Nov-2025"/>
    <s v="Tuesday"/>
    <s v="Monthly - Tuesday"/>
    <s v="Monthly - Tuesday"/>
    <s v="Month+2 Expiry"/>
    <n v="723"/>
    <n v="1.3797"/>
    <n v="0.022"/>
  </r>
  <r>
    <s v="08-Sep-2025"/>
    <x v="0"/>
    <s v="Week2-Sep-2025"/>
    <x v="0"/>
    <s v="Q2FY26"/>
    <s v="30-Dec-2025"/>
    <s v="Tuesday"/>
    <s v="Monthly - Tuesday"/>
    <s v="Monthly - Tuesday"/>
    <s v="Month+3 Expiry"/>
    <n v="2328"/>
    <n v="4.5147"/>
    <n v="0.068"/>
  </r>
  <r>
    <s v="08-Sep-2025"/>
    <x v="0"/>
    <s v="Week2-Sep-2025"/>
    <x v="0"/>
    <s v="Q2FY26"/>
    <s v="31-Mar-2026"/>
    <s v="Tuesday"/>
    <s v="Monthly - Tuesday"/>
    <s v="Monthly - Tuesday"/>
    <s v="Month+6 Expiry"/>
    <n v="123"/>
    <n v="0.2576"/>
    <n v="0.0039"/>
  </r>
  <r>
    <s v="08-Sep-2025"/>
    <x v="0"/>
    <s v="Week2-Sep-2025"/>
    <x v="0"/>
    <s v="Q2FY26"/>
    <s v="30-Jun-2026"/>
    <s v="Tuesday"/>
    <s v="Monthly - Tuesday"/>
    <s v="Monthly - Tuesday"/>
    <s v="Month+9 Expiry"/>
    <n v="0"/>
    <n v="0"/>
    <n v="0"/>
  </r>
  <r>
    <s v="09-Sep-2025"/>
    <x v="1"/>
    <s v="Week2-Sep-2025"/>
    <x v="0"/>
    <s v="Q2FY26"/>
    <s v="30-Sep-2025"/>
    <s v="Tuesday"/>
    <s v="Monthly - Tuesday"/>
    <s v="Monthly - Tuesday"/>
    <s v="Same Month Expiry"/>
    <n v="2184553"/>
    <n v="4162.4389"/>
    <n v="29.5829"/>
  </r>
  <r>
    <s v="09-Sep-2025"/>
    <x v="1"/>
    <s v="Week2-Sep-2025"/>
    <x v="0"/>
    <s v="Q2FY26"/>
    <s v="28-Oct-2025"/>
    <s v="Tuesday"/>
    <s v="Monthly - Tuesday"/>
    <s v="Monthly - Tuesday"/>
    <s v="Month+1 Expiry"/>
    <n v="20360"/>
    <n v="39.1389"/>
    <n v="0.3146"/>
  </r>
  <r>
    <s v="09-Sep-2025"/>
    <x v="1"/>
    <s v="Week2-Sep-2025"/>
    <x v="0"/>
    <s v="Q2FY26"/>
    <s v="25-Nov-2025"/>
    <s v="Tuesday"/>
    <s v="Monthly - Tuesday"/>
    <s v="Monthly - Tuesday"/>
    <s v="Month+2 Expiry"/>
    <n v="577"/>
    <n v="1.1223"/>
    <n v="0.0139"/>
  </r>
  <r>
    <s v="09-Sep-2025"/>
    <x v="1"/>
    <s v="Week2-Sep-2025"/>
    <x v="0"/>
    <s v="Q2FY26"/>
    <s v="30-Dec-2025"/>
    <s v="Tuesday"/>
    <s v="Monthly - Tuesday"/>
    <s v="Monthly - Tuesday"/>
    <s v="Month+3 Expiry"/>
    <n v="1049"/>
    <n v="2.0595"/>
    <n v="0.031"/>
  </r>
  <r>
    <s v="09-Sep-2025"/>
    <x v="1"/>
    <s v="Week2-Sep-2025"/>
    <x v="0"/>
    <s v="Q2FY26"/>
    <s v="31-Mar-2026"/>
    <s v="Tuesday"/>
    <s v="Monthly - Tuesday"/>
    <s v="Monthly - Tuesday"/>
    <s v="Month+6 Expiry"/>
    <n v="17"/>
    <n v="0.0357"/>
    <n v="0.0005"/>
  </r>
  <r>
    <s v="09-Sep-2025"/>
    <x v="1"/>
    <s v="Week2-Sep-2025"/>
    <x v="0"/>
    <s v="Q2FY26"/>
    <s v="30-Jun-2026"/>
    <s v="Tuesday"/>
    <s v="Monthly - Tuesday"/>
    <s v="Monthly - Tuesday"/>
    <s v="Month+9 Expiry"/>
    <n v="0"/>
    <n v="0"/>
    <n v="0"/>
  </r>
  <r>
    <s v="10-Sep-2025"/>
    <x v="2"/>
    <s v="Week2-Sep-2025"/>
    <x v="0"/>
    <s v="Q2FY26"/>
    <s v="30-Sep-2025"/>
    <s v="Tuesday"/>
    <s v="Monthly - Tuesday"/>
    <s v="Monthly - Tuesday"/>
    <s v="Same Month Expiry"/>
    <n v="2977307"/>
    <n v="5695.0636"/>
    <n v="39.5422"/>
  </r>
  <r>
    <s v="10-Sep-2025"/>
    <x v="2"/>
    <s v="Week2-Sep-2025"/>
    <x v="0"/>
    <s v="Q2FY26"/>
    <s v="28-Oct-2025"/>
    <s v="Tuesday"/>
    <s v="Monthly - Tuesday"/>
    <s v="Monthly - Tuesday"/>
    <s v="Month+1 Expiry"/>
    <n v="35141"/>
    <n v="67.67749999999999"/>
    <n v="0.6271"/>
  </r>
  <r>
    <s v="10-Sep-2025"/>
    <x v="2"/>
    <s v="Week2-Sep-2025"/>
    <x v="0"/>
    <s v="Q2FY26"/>
    <s v="25-Nov-2025"/>
    <s v="Tuesday"/>
    <s v="Monthly - Tuesday"/>
    <s v="Monthly - Tuesday"/>
    <s v="Month+2 Expiry"/>
    <n v="1391"/>
    <n v="2.69"/>
    <n v="0.0326"/>
  </r>
  <r>
    <s v="10-Sep-2025"/>
    <x v="2"/>
    <s v="Week2-Sep-2025"/>
    <x v="0"/>
    <s v="Q2FY26"/>
    <s v="30-Dec-2025"/>
    <s v="Tuesday"/>
    <s v="Monthly - Tuesday"/>
    <s v="Monthly - Tuesday"/>
    <s v="Month+3 Expiry"/>
    <n v="3275"/>
    <n v="6.4037"/>
    <n v="0.1023"/>
  </r>
  <r>
    <s v="10-Sep-2025"/>
    <x v="2"/>
    <s v="Week2-Sep-2025"/>
    <x v="0"/>
    <s v="Q2FY26"/>
    <s v="31-Mar-2026"/>
    <s v="Tuesday"/>
    <s v="Monthly - Tuesday"/>
    <s v="Monthly - Tuesday"/>
    <s v="Month+6 Expiry"/>
    <n v="198"/>
    <n v="0.4174"/>
    <n v="0.0057"/>
  </r>
  <r>
    <s v="10-Sep-2025"/>
    <x v="2"/>
    <s v="Week2-Sep-2025"/>
    <x v="0"/>
    <s v="Q2FY26"/>
    <s v="30-Jun-2026"/>
    <s v="Tuesday"/>
    <s v="Monthly - Tuesday"/>
    <s v="Monthly - Tuesday"/>
    <s v="Month+9 Expiry"/>
    <n v="0"/>
    <n v="0"/>
    <n v="0"/>
  </r>
  <r>
    <s v="11-Sep-2025"/>
    <x v="3"/>
    <s v="Week2-Sep-2025"/>
    <x v="0"/>
    <s v="Q2FY26"/>
    <s v="30-Sep-2025"/>
    <s v="Tuesday"/>
    <s v="Monthly - Tuesday"/>
    <s v="Monthly - Tuesday"/>
    <s v="Same Month Expiry"/>
    <n v="2376862"/>
    <n v="4557.516"/>
    <n v="29.3358"/>
  </r>
  <r>
    <s v="11-Sep-2025"/>
    <x v="3"/>
    <s v="Week2-Sep-2025"/>
    <x v="0"/>
    <s v="Q2FY26"/>
    <s v="28-Oct-2025"/>
    <s v="Tuesday"/>
    <s v="Monthly - Tuesday"/>
    <s v="Monthly - Tuesday"/>
    <s v="Month+1 Expiry"/>
    <n v="28274"/>
    <n v="54.3677"/>
    <n v="0.4552"/>
  </r>
  <r>
    <s v="11-Sep-2025"/>
    <x v="3"/>
    <s v="Week2-Sep-2025"/>
    <x v="0"/>
    <s v="Q2FY26"/>
    <s v="25-Nov-2025"/>
    <s v="Tuesday"/>
    <s v="Monthly - Tuesday"/>
    <s v="Monthly - Tuesday"/>
    <s v="Month+2 Expiry"/>
    <n v="976"/>
    <n v="1.8798"/>
    <n v="0.0188"/>
  </r>
  <r>
    <s v="11-Sep-2025"/>
    <x v="3"/>
    <s v="Week2-Sep-2025"/>
    <x v="0"/>
    <s v="Q2FY26"/>
    <s v="30-Dec-2025"/>
    <s v="Tuesday"/>
    <s v="Monthly - Tuesday"/>
    <s v="Monthly - Tuesday"/>
    <s v="Month+3 Expiry"/>
    <n v="1450"/>
    <n v="2.833"/>
    <n v="0.0424"/>
  </r>
  <r>
    <s v="11-Sep-2025"/>
    <x v="3"/>
    <s v="Week2-Sep-2025"/>
    <x v="0"/>
    <s v="Q2FY26"/>
    <s v="31-Mar-2026"/>
    <s v="Tuesday"/>
    <s v="Monthly - Tuesday"/>
    <s v="Monthly - Tuesday"/>
    <s v="Month+6 Expiry"/>
    <n v="36"/>
    <n v="0.07630000000000001"/>
    <n v="0.0009"/>
  </r>
  <r>
    <s v="11-Sep-2025"/>
    <x v="3"/>
    <s v="Week2-Sep-2025"/>
    <x v="0"/>
    <s v="Q2FY26"/>
    <s v="30-Jun-2026"/>
    <s v="Tuesday"/>
    <s v="Monthly - Tuesday"/>
    <s v="Monthly - Tuesday"/>
    <s v="Month+9 Expiry"/>
    <n v="0"/>
    <n v="0"/>
    <n v="0"/>
  </r>
  <r>
    <s v="12-Sep-2025"/>
    <x v="4"/>
    <s v="Week2-Sep-2025"/>
    <x v="0"/>
    <s v="Q2FY26"/>
    <s v="30-Sep-2025"/>
    <s v="Tuesday"/>
    <s v="Monthly - Tuesday"/>
    <s v="Monthly - Tuesday"/>
    <s v="Same Month Expiry"/>
    <n v="2574698"/>
    <n v="4935.0399"/>
    <n v="30.7807"/>
  </r>
  <r>
    <s v="12-Sep-2025"/>
    <x v="4"/>
    <s v="Week2-Sep-2025"/>
    <x v="0"/>
    <s v="Q2FY26"/>
    <s v="28-Oct-2025"/>
    <s v="Tuesday"/>
    <s v="Monthly - Tuesday"/>
    <s v="Monthly - Tuesday"/>
    <s v="Month+1 Expiry"/>
    <n v="42978"/>
    <n v="83.00490000000001"/>
    <n v="0.5669999999999999"/>
  </r>
  <r>
    <s v="12-Sep-2025"/>
    <x v="4"/>
    <s v="Week2-Sep-2025"/>
    <x v="0"/>
    <s v="Q2FY26"/>
    <s v="25-Nov-2025"/>
    <s v="Tuesday"/>
    <s v="Monthly - Tuesday"/>
    <s v="Monthly - Tuesday"/>
    <s v="Month+2 Expiry"/>
    <n v="1864"/>
    <n v="3.559"/>
    <n v="0.0356"/>
  </r>
  <r>
    <s v="12-Sep-2025"/>
    <x v="4"/>
    <s v="Week2-Sep-2025"/>
    <x v="0"/>
    <s v="Q2FY26"/>
    <s v="30-Dec-2025"/>
    <s v="Tuesday"/>
    <s v="Monthly - Tuesday"/>
    <s v="Monthly - Tuesday"/>
    <s v="Month+3 Expiry"/>
    <n v="2649"/>
    <n v="5.2832"/>
    <n v="0.0798"/>
  </r>
  <r>
    <s v="12-Sep-2025"/>
    <x v="4"/>
    <s v="Week2-Sep-2025"/>
    <x v="0"/>
    <s v="Q2FY26"/>
    <s v="31-Mar-2026"/>
    <s v="Tuesday"/>
    <s v="Monthly - Tuesday"/>
    <s v="Monthly - Tuesday"/>
    <s v="Month+6 Expiry"/>
    <n v="35"/>
    <n v="0.0742"/>
    <n v="0.0009"/>
  </r>
  <r>
    <s v="12-Sep-2025"/>
    <x v="4"/>
    <s v="Week2-Sep-2025"/>
    <x v="0"/>
    <s v="Q2FY26"/>
    <s v="30-Jun-2026"/>
    <s v="Tuesday"/>
    <s v="Monthly - Tuesday"/>
    <s v="Monthly - Tuesday"/>
    <s v="Month+9 Expiry"/>
    <n v="0"/>
    <n v="0"/>
    <n v="0"/>
  </r>
  <r>
    <s v="15-Sep-2025"/>
    <x v="0"/>
    <s v="Week3-Sep-2025"/>
    <x v="0"/>
    <s v="Q2FY26"/>
    <s v="30-Sep-2025"/>
    <s v="Tuesday"/>
    <s v="Monthly - Tuesday"/>
    <s v="Monthly - Tuesday"/>
    <s v="Same Month Expiry"/>
    <n v="2447180"/>
    <n v="4718.6186"/>
    <n v="27.5124"/>
  </r>
  <r>
    <s v="15-Sep-2025"/>
    <x v="0"/>
    <s v="Week3-Sep-2025"/>
    <x v="0"/>
    <s v="Q2FY26"/>
    <s v="28-Oct-2025"/>
    <s v="Tuesday"/>
    <s v="Monthly - Tuesday"/>
    <s v="Monthly - Tuesday"/>
    <s v="Month+1 Expiry"/>
    <n v="49449"/>
    <n v="95.77760000000001"/>
    <n v="0.8409"/>
  </r>
  <r>
    <s v="15-Sep-2025"/>
    <x v="0"/>
    <s v="Week3-Sep-2025"/>
    <x v="0"/>
    <s v="Q2FY26"/>
    <s v="25-Nov-2025"/>
    <s v="Tuesday"/>
    <s v="Monthly - Tuesday"/>
    <s v="Monthly - Tuesday"/>
    <s v="Month+2 Expiry"/>
    <n v="2231"/>
    <n v="4.2551"/>
    <n v="0.0364"/>
  </r>
  <r>
    <s v="15-Sep-2025"/>
    <x v="0"/>
    <s v="Week3-Sep-2025"/>
    <x v="0"/>
    <s v="Q2FY26"/>
    <s v="30-Dec-2025"/>
    <s v="Tuesday"/>
    <s v="Monthly - Tuesday"/>
    <s v="Monthly - Tuesday"/>
    <s v="Month+3 Expiry"/>
    <n v="1971"/>
    <n v="3.9013"/>
    <n v="0.0613"/>
  </r>
  <r>
    <s v="15-Sep-2025"/>
    <x v="0"/>
    <s v="Week3-Sep-2025"/>
    <x v="0"/>
    <s v="Q2FY26"/>
    <s v="31-Mar-2026"/>
    <s v="Tuesday"/>
    <s v="Monthly - Tuesday"/>
    <s v="Monthly - Tuesday"/>
    <s v="Month+6 Expiry"/>
    <n v="16"/>
    <n v="0.0331"/>
    <n v="0.0008"/>
  </r>
  <r>
    <s v="15-Sep-2025"/>
    <x v="0"/>
    <s v="Week3-Sep-2025"/>
    <x v="0"/>
    <s v="Q2FY26"/>
    <s v="30-Jun-2026"/>
    <s v="Tuesday"/>
    <s v="Monthly - Tuesday"/>
    <s v="Monthly - Tuesday"/>
    <s v="Month+9 Expiry"/>
    <n v="0"/>
    <n v="0"/>
    <n v="0"/>
  </r>
  <r>
    <s v="16-Sep-2025"/>
    <x v="1"/>
    <s v="Week3-Sep-2025"/>
    <x v="0"/>
    <s v="Q2FY26"/>
    <s v="30-Sep-2025"/>
    <s v="Tuesday"/>
    <s v="Monthly - Tuesday"/>
    <s v="Monthly - Tuesday"/>
    <s v="Same Month Expiry"/>
    <n v="2920520"/>
    <n v="5633.0641"/>
    <n v="30.7542"/>
  </r>
  <r>
    <s v="16-Sep-2025"/>
    <x v="1"/>
    <s v="Week3-Sep-2025"/>
    <x v="0"/>
    <s v="Q2FY26"/>
    <s v="28-Oct-2025"/>
    <s v="Tuesday"/>
    <s v="Monthly - Tuesday"/>
    <s v="Monthly - Tuesday"/>
    <s v="Month+1 Expiry"/>
    <n v="105859"/>
    <n v="207.9988"/>
    <n v="2.0344"/>
  </r>
  <r>
    <s v="16-Sep-2025"/>
    <x v="1"/>
    <s v="Week3-Sep-2025"/>
    <x v="0"/>
    <s v="Q2FY26"/>
    <s v="25-Nov-2025"/>
    <s v="Tuesday"/>
    <s v="Monthly - Tuesday"/>
    <s v="Monthly - Tuesday"/>
    <s v="Month+2 Expiry"/>
    <n v="2986"/>
    <n v="5.7989"/>
    <n v="0.0635"/>
  </r>
  <r>
    <s v="16-Sep-2025"/>
    <x v="1"/>
    <s v="Week3-Sep-2025"/>
    <x v="0"/>
    <s v="Q2FY26"/>
    <s v="30-Dec-2025"/>
    <s v="Tuesday"/>
    <s v="Monthly - Tuesday"/>
    <s v="Monthly - Tuesday"/>
    <s v="Month+3 Expiry"/>
    <n v="2875"/>
    <n v="5.6326"/>
    <n v="0.082"/>
  </r>
  <r>
    <s v="16-Sep-2025"/>
    <x v="1"/>
    <s v="Week3-Sep-2025"/>
    <x v="0"/>
    <s v="Q2FY26"/>
    <s v="31-Mar-2026"/>
    <s v="Tuesday"/>
    <s v="Monthly - Tuesday"/>
    <s v="Monthly - Tuesday"/>
    <s v="Month+6 Expiry"/>
    <n v="24"/>
    <n v="0.0504"/>
    <n v="0.001"/>
  </r>
  <r>
    <s v="16-Sep-2025"/>
    <x v="1"/>
    <s v="Week3-Sep-2025"/>
    <x v="0"/>
    <s v="Q2FY26"/>
    <s v="30-Jun-2026"/>
    <s v="Tuesday"/>
    <s v="Monthly - Tuesday"/>
    <s v="Monthly - Tuesday"/>
    <s v="Month+9 Expiry"/>
    <n v="0"/>
    <n v="0"/>
    <n v="0"/>
  </r>
  <r>
    <s v="17-Sep-2025"/>
    <x v="2"/>
    <s v="Week3-Sep-2025"/>
    <x v="0"/>
    <s v="Q2FY26"/>
    <s v="30-Sep-2025"/>
    <s v="Tuesday"/>
    <s v="Monthly - Tuesday"/>
    <s v="Monthly - Tuesday"/>
    <s v="Same Month Expiry"/>
    <n v="3892571"/>
    <n v="7563.0427"/>
    <n v="37.891"/>
  </r>
  <r>
    <s v="17-Sep-2025"/>
    <x v="2"/>
    <s v="Week3-Sep-2025"/>
    <x v="0"/>
    <s v="Q2FY26"/>
    <s v="28-Oct-2025"/>
    <s v="Tuesday"/>
    <s v="Monthly - Tuesday"/>
    <s v="Monthly - Tuesday"/>
    <s v="Month+1 Expiry"/>
    <n v="157463"/>
    <n v="310.3593"/>
    <n v="2.7607"/>
  </r>
  <r>
    <s v="17-Sep-2025"/>
    <x v="2"/>
    <s v="Week3-Sep-2025"/>
    <x v="0"/>
    <s v="Q2FY26"/>
    <s v="25-Nov-2025"/>
    <s v="Tuesday"/>
    <s v="Monthly - Tuesday"/>
    <s v="Monthly - Tuesday"/>
    <s v="Month+2 Expiry"/>
    <n v="3342"/>
    <n v="6.4662"/>
    <n v="0.07389999999999999"/>
  </r>
  <r>
    <s v="17-Sep-2025"/>
    <x v="2"/>
    <s v="Week3-Sep-2025"/>
    <x v="0"/>
    <s v="Q2FY26"/>
    <s v="30-Dec-2025"/>
    <s v="Tuesday"/>
    <s v="Monthly - Tuesday"/>
    <s v="Monthly - Tuesday"/>
    <s v="Month+3 Expiry"/>
    <n v="4108"/>
    <n v="8.145"/>
    <n v="0.1127"/>
  </r>
  <r>
    <s v="17-Sep-2025"/>
    <x v="2"/>
    <s v="Week3-Sep-2025"/>
    <x v="0"/>
    <s v="Q2FY26"/>
    <s v="31-Mar-2026"/>
    <s v="Tuesday"/>
    <s v="Monthly - Tuesday"/>
    <s v="Monthly - Tuesday"/>
    <s v="Month+6 Expiry"/>
    <n v="70"/>
    <n v="0.1459"/>
    <n v="0.0034"/>
  </r>
  <r>
    <s v="17-Sep-2025"/>
    <x v="2"/>
    <s v="Week3-Sep-2025"/>
    <x v="0"/>
    <s v="Q2FY26"/>
    <s v="30-Jun-2026"/>
    <s v="Tuesday"/>
    <s v="Monthly - Tuesday"/>
    <s v="Monthly - Tuesday"/>
    <s v="Month+9 Expiry"/>
    <n v="0"/>
    <n v="0"/>
    <n v="0"/>
  </r>
  <r>
    <s v="18-Sep-2025"/>
    <x v="3"/>
    <s v="Week3-Sep-2025"/>
    <x v="0"/>
    <s v="Q2FY26"/>
    <s v="30-Sep-2025"/>
    <s v="Tuesday"/>
    <s v="Monthly - Tuesday"/>
    <s v="Monthly - Tuesday"/>
    <s v="Same Month Expiry"/>
    <n v="4534462"/>
    <n v="8811.864299999999"/>
    <n v="42.1655"/>
  </r>
  <r>
    <s v="18-Sep-2025"/>
    <x v="3"/>
    <s v="Week3-Sep-2025"/>
    <x v="0"/>
    <s v="Q2FY26"/>
    <s v="28-Oct-2025"/>
    <s v="Tuesday"/>
    <s v="Monthly - Tuesday"/>
    <s v="Monthly - Tuesday"/>
    <s v="Month+1 Expiry"/>
    <n v="131399"/>
    <n v="258.2649"/>
    <n v="2.2279"/>
  </r>
  <r>
    <s v="18-Sep-2025"/>
    <x v="3"/>
    <s v="Week3-Sep-2025"/>
    <x v="0"/>
    <s v="Q2FY26"/>
    <s v="25-Nov-2025"/>
    <s v="Tuesday"/>
    <s v="Monthly - Tuesday"/>
    <s v="Monthly - Tuesday"/>
    <s v="Month+2 Expiry"/>
    <n v="4016"/>
    <n v="7.785"/>
    <n v="0.0839"/>
  </r>
  <r>
    <s v="18-Sep-2025"/>
    <x v="3"/>
    <s v="Week3-Sep-2025"/>
    <x v="0"/>
    <s v="Q2FY26"/>
    <s v="30-Dec-2025"/>
    <s v="Tuesday"/>
    <s v="Monthly - Tuesday"/>
    <s v="Monthly - Tuesday"/>
    <s v="Month+3 Expiry"/>
    <n v="4726"/>
    <n v="9.3294"/>
    <n v="0.1185"/>
  </r>
  <r>
    <s v="18-Sep-2025"/>
    <x v="3"/>
    <s v="Week3-Sep-2025"/>
    <x v="0"/>
    <s v="Q2FY26"/>
    <s v="31-Mar-2026"/>
    <s v="Tuesday"/>
    <s v="Monthly - Tuesday"/>
    <s v="Monthly - Tuesday"/>
    <s v="Month+6 Expiry"/>
    <n v="155"/>
    <n v="0.3239"/>
    <n v="0.0078"/>
  </r>
  <r>
    <s v="18-Sep-2025"/>
    <x v="3"/>
    <s v="Week3-Sep-2025"/>
    <x v="0"/>
    <s v="Q2FY26"/>
    <s v="30-Jun-2026"/>
    <s v="Tuesday"/>
    <s v="Monthly - Tuesday"/>
    <s v="Monthly - Tuesday"/>
    <s v="Month+9 Expiry"/>
    <n v="0"/>
    <n v="0"/>
    <n v="0"/>
  </r>
  <r>
    <s v="19-Sep-2025"/>
    <x v="4"/>
    <s v="Week3-Sep-2025"/>
    <x v="0"/>
    <s v="Q2FY26"/>
    <s v="30-Sep-2025"/>
    <s v="Tuesday"/>
    <s v="Monthly - Tuesday"/>
    <s v="Monthly - Tuesday"/>
    <s v="Same Month Expiry"/>
    <n v="4276939"/>
    <n v="8294.0682"/>
    <n v="37.6788"/>
  </r>
  <r>
    <s v="19-Sep-2025"/>
    <x v="4"/>
    <s v="Week3-Sep-2025"/>
    <x v="0"/>
    <s v="Q2FY26"/>
    <s v="28-Oct-2025"/>
    <s v="Tuesday"/>
    <s v="Monthly - Tuesday"/>
    <s v="Monthly - Tuesday"/>
    <s v="Month+1 Expiry"/>
    <n v="95212"/>
    <n v="186.6725"/>
    <n v="1.5823"/>
  </r>
  <r>
    <s v="19-Sep-2025"/>
    <x v="4"/>
    <s v="Week3-Sep-2025"/>
    <x v="0"/>
    <s v="Q2FY26"/>
    <s v="25-Nov-2025"/>
    <s v="Tuesday"/>
    <s v="Monthly - Tuesday"/>
    <s v="Monthly - Tuesday"/>
    <s v="Month+2 Expiry"/>
    <n v="2021"/>
    <n v="3.9345"/>
    <n v="0.0393"/>
  </r>
  <r>
    <s v="19-Sep-2025"/>
    <x v="4"/>
    <s v="Week3-Sep-2025"/>
    <x v="0"/>
    <s v="Q2FY26"/>
    <s v="30-Dec-2025"/>
    <s v="Tuesday"/>
    <s v="Monthly - Tuesday"/>
    <s v="Monthly - Tuesday"/>
    <s v="Month+3 Expiry"/>
    <n v="1793"/>
    <n v="3.5728"/>
    <n v="0.0472"/>
  </r>
  <r>
    <s v="19-Sep-2025"/>
    <x v="4"/>
    <s v="Week3-Sep-2025"/>
    <x v="0"/>
    <s v="Q2FY26"/>
    <s v="31-Mar-2026"/>
    <s v="Tuesday"/>
    <s v="Monthly - Tuesday"/>
    <s v="Monthly - Tuesday"/>
    <s v="Month+6 Expiry"/>
    <n v="87"/>
    <n v="0.1816"/>
    <n v="0.0044"/>
  </r>
  <r>
    <s v="19-Sep-2025"/>
    <x v="4"/>
    <s v="Week3-Sep-2025"/>
    <x v="0"/>
    <s v="Q2FY26"/>
    <s v="30-Jun-2026"/>
    <s v="Tuesday"/>
    <s v="Monthly - Tuesday"/>
    <s v="Monthly - Tuesday"/>
    <s v="Month+9 Expiry"/>
    <n v="0"/>
    <n v="0"/>
    <n v="0"/>
  </r>
  <r>
    <s v="22-Sep-2025"/>
    <x v="0"/>
    <s v="Week4-Sep-2025"/>
    <x v="0"/>
    <s v="Q2FY26"/>
    <s v="30-Sep-2025"/>
    <s v="Tuesday"/>
    <s v="Monthly - Tuesday"/>
    <s v="Monthly - Tuesday"/>
    <s v="Same Month Expiry"/>
    <n v="4695908"/>
    <n v="9110.084500000001"/>
    <n v="38.4408"/>
  </r>
  <r>
    <s v="22-Sep-2025"/>
    <x v="0"/>
    <s v="Week4-Sep-2025"/>
    <x v="0"/>
    <s v="Q2FY26"/>
    <s v="28-Oct-2025"/>
    <s v="Tuesday"/>
    <s v="Monthly - Tuesday"/>
    <s v="Monthly - Tuesday"/>
    <s v="Month+1 Expiry"/>
    <n v="136773"/>
    <n v="267.7661"/>
    <n v="2.2623"/>
  </r>
  <r>
    <s v="22-Sep-2025"/>
    <x v="0"/>
    <s v="Week4-Sep-2025"/>
    <x v="0"/>
    <s v="Q2FY26"/>
    <s v="25-Nov-2025"/>
    <s v="Tuesday"/>
    <s v="Monthly - Tuesday"/>
    <s v="Monthly - Tuesday"/>
    <s v="Month+2 Expiry"/>
    <n v="3032"/>
    <n v="5.903"/>
    <n v="0.0595"/>
  </r>
  <r>
    <s v="22-Sep-2025"/>
    <x v="0"/>
    <s v="Week4-Sep-2025"/>
    <x v="0"/>
    <s v="Q2FY26"/>
    <s v="30-Dec-2025"/>
    <s v="Tuesday"/>
    <s v="Monthly - Tuesday"/>
    <s v="Monthly - Tuesday"/>
    <s v="Month+3 Expiry"/>
    <n v="1819"/>
    <n v="3.6093"/>
    <n v="0.0396"/>
  </r>
  <r>
    <s v="22-Sep-2025"/>
    <x v="0"/>
    <s v="Week4-Sep-2025"/>
    <x v="0"/>
    <s v="Q2FY26"/>
    <s v="31-Mar-2026"/>
    <s v="Tuesday"/>
    <s v="Monthly - Tuesday"/>
    <s v="Monthly - Tuesday"/>
    <s v="Month+6 Expiry"/>
    <n v="34"/>
    <n v="0.0703"/>
    <n v="0.0021"/>
  </r>
  <r>
    <s v="22-Sep-2025"/>
    <x v="0"/>
    <s v="Week4-Sep-2025"/>
    <x v="0"/>
    <s v="Q2FY26"/>
    <s v="30-Jun-2026"/>
    <s v="Tuesday"/>
    <s v="Monthly - Tuesday"/>
    <s v="Monthly - Tuesday"/>
    <s v="Month+9 Expiry"/>
    <n v="0"/>
    <n v="0"/>
    <n v="0"/>
  </r>
  <r>
    <s v="23-Sep-2025"/>
    <x v="1"/>
    <s v="Week4-Sep-2025"/>
    <x v="0"/>
    <s v="Q2FY26"/>
    <s v="30-Sep-2025"/>
    <s v="Tuesday"/>
    <s v="Monthly - Tuesday"/>
    <s v="Monthly - Tuesday"/>
    <s v="Same Month Expiry"/>
    <n v="5254990"/>
    <n v="10179.5141"/>
    <n v="39.7639"/>
  </r>
  <r>
    <s v="23-Sep-2025"/>
    <x v="1"/>
    <s v="Week4-Sep-2025"/>
    <x v="0"/>
    <s v="Q2FY26"/>
    <s v="28-Oct-2025"/>
    <s v="Tuesday"/>
    <s v="Monthly - Tuesday"/>
    <s v="Monthly - Tuesday"/>
    <s v="Month+1 Expiry"/>
    <n v="162251"/>
    <n v="317.6968"/>
    <n v="2.6866"/>
  </r>
  <r>
    <s v="23-Sep-2025"/>
    <x v="1"/>
    <s v="Week4-Sep-2025"/>
    <x v="0"/>
    <s v="Q2FY26"/>
    <s v="25-Nov-2025"/>
    <s v="Tuesday"/>
    <s v="Monthly - Tuesday"/>
    <s v="Monthly - Tuesday"/>
    <s v="Month+2 Expiry"/>
    <n v="3541"/>
    <n v="6.8985"/>
    <n v="0.06710000000000001"/>
  </r>
  <r>
    <s v="23-Sep-2025"/>
    <x v="1"/>
    <s v="Week4-Sep-2025"/>
    <x v="0"/>
    <s v="Q2FY26"/>
    <s v="30-Dec-2025"/>
    <s v="Tuesday"/>
    <s v="Monthly - Tuesday"/>
    <s v="Monthly - Tuesday"/>
    <s v="Month+3 Expiry"/>
    <n v="2155"/>
    <n v="4.2961"/>
    <n v="0.0549"/>
  </r>
  <r>
    <s v="23-Sep-2025"/>
    <x v="1"/>
    <s v="Week4-Sep-2025"/>
    <x v="0"/>
    <s v="Q2FY26"/>
    <s v="31-Mar-2026"/>
    <s v="Tuesday"/>
    <s v="Monthly - Tuesday"/>
    <s v="Monthly - Tuesday"/>
    <s v="Month+6 Expiry"/>
    <n v="201"/>
    <n v="0.4153"/>
    <n v="0.0124"/>
  </r>
  <r>
    <s v="23-Sep-2025"/>
    <x v="1"/>
    <s v="Week4-Sep-2025"/>
    <x v="0"/>
    <s v="Q2FY26"/>
    <s v="30-Jun-2026"/>
    <s v="Tuesday"/>
    <s v="Monthly - Tuesday"/>
    <s v="Monthly - Tuesday"/>
    <s v="Month+9 Expiry"/>
    <n v="0"/>
    <n v="0"/>
    <n v="0"/>
  </r>
  <r>
    <s v="24-Sep-2025"/>
    <x v="2"/>
    <s v="Week4-Sep-2025"/>
    <x v="0"/>
    <s v="Q2FY26"/>
    <s v="30-Sep-2025"/>
    <s v="Tuesday"/>
    <s v="Monthly - Tuesday"/>
    <s v="Monthly - Tuesday"/>
    <s v="Same Month Expiry"/>
    <n v="8230927"/>
    <n v="15880.9611"/>
    <n v="53.1202"/>
  </r>
  <r>
    <s v="24-Sep-2025"/>
    <x v="2"/>
    <s v="Week4-Sep-2025"/>
    <x v="0"/>
    <s v="Q2FY26"/>
    <s v="28-Oct-2025"/>
    <s v="Tuesday"/>
    <s v="Monthly - Tuesday"/>
    <s v="Monthly - Tuesday"/>
    <s v="Month+1 Expiry"/>
    <n v="210834"/>
    <n v="412.2724"/>
    <n v="3.5888"/>
  </r>
  <r>
    <s v="24-Sep-2025"/>
    <x v="2"/>
    <s v="Week4-Sep-2025"/>
    <x v="0"/>
    <s v="Q2FY26"/>
    <s v="25-Nov-2025"/>
    <s v="Tuesday"/>
    <s v="Monthly - Tuesday"/>
    <s v="Monthly - Tuesday"/>
    <s v="Month+2 Expiry"/>
    <n v="4862"/>
    <n v="9.464399999999999"/>
    <n v="0.08550000000000001"/>
  </r>
  <r>
    <s v="24-Sep-2025"/>
    <x v="2"/>
    <s v="Week4-Sep-2025"/>
    <x v="0"/>
    <s v="Q2FY26"/>
    <s v="30-Dec-2025"/>
    <s v="Tuesday"/>
    <s v="Monthly - Tuesday"/>
    <s v="Monthly - Tuesday"/>
    <s v="Month+3 Expiry"/>
    <n v="2084"/>
    <n v="4.1545"/>
    <n v="0.0484"/>
  </r>
  <r>
    <s v="24-Sep-2025"/>
    <x v="2"/>
    <s v="Week4-Sep-2025"/>
    <x v="0"/>
    <s v="Q2FY26"/>
    <s v="31-Mar-2026"/>
    <s v="Tuesday"/>
    <s v="Monthly - Tuesday"/>
    <s v="Monthly - Tuesday"/>
    <s v="Month+6 Expiry"/>
    <n v="100"/>
    <n v="0.2071"/>
    <n v="0.0061"/>
  </r>
  <r>
    <s v="24-Sep-2025"/>
    <x v="2"/>
    <s v="Week4-Sep-2025"/>
    <x v="0"/>
    <s v="Q2FY26"/>
    <s v="30-Jun-2026"/>
    <s v="Tuesday"/>
    <s v="Monthly - Tuesday"/>
    <s v="Monthly - Tuesday"/>
    <s v="Month+9 Expiry"/>
    <n v="0"/>
    <n v="0"/>
    <n v="0"/>
  </r>
  <r>
    <s v="25-Sep-2025"/>
    <x v="3"/>
    <s v="Week4-Sep-2025"/>
    <x v="0"/>
    <s v="Q2FY26"/>
    <s v="30-Sep-2025"/>
    <s v="Tuesday"/>
    <s v="Monthly - Tuesday"/>
    <s v="Monthly - Tuesday"/>
    <s v="Same Month Expiry"/>
    <n v="8655021"/>
    <n v="16673.168"/>
    <n v="50.6993"/>
  </r>
  <r>
    <s v="25-Sep-2025"/>
    <x v="3"/>
    <s v="Week4-Sep-2025"/>
    <x v="0"/>
    <s v="Q2FY26"/>
    <s v="28-Oct-2025"/>
    <s v="Tuesday"/>
    <s v="Monthly - Tuesday"/>
    <s v="Monthly - Tuesday"/>
    <s v="Month+1 Expiry"/>
    <n v="229999"/>
    <n v="447.3314"/>
    <n v="4.1256"/>
  </r>
  <r>
    <s v="25-Sep-2025"/>
    <x v="3"/>
    <s v="Week4-Sep-2025"/>
    <x v="0"/>
    <s v="Q2FY26"/>
    <s v="25-Nov-2025"/>
    <s v="Tuesday"/>
    <s v="Monthly - Tuesday"/>
    <s v="Monthly - Tuesday"/>
    <s v="Month+2 Expiry"/>
    <n v="4065"/>
    <n v="7.8798"/>
    <n v="0.076"/>
  </r>
  <r>
    <s v="25-Sep-2025"/>
    <x v="3"/>
    <s v="Week4-Sep-2025"/>
    <x v="0"/>
    <s v="Q2FY26"/>
    <s v="30-Dec-2025"/>
    <s v="Tuesday"/>
    <s v="Monthly - Tuesday"/>
    <s v="Monthly - Tuesday"/>
    <s v="Month+3 Expiry"/>
    <n v="1708"/>
    <n v="3.4037"/>
    <n v="0.0434"/>
  </r>
  <r>
    <s v="25-Sep-2025"/>
    <x v="3"/>
    <s v="Week4-Sep-2025"/>
    <x v="0"/>
    <s v="Q2FY26"/>
    <s v="31-Mar-2026"/>
    <s v="Tuesday"/>
    <s v="Monthly - Tuesday"/>
    <s v="Monthly - Tuesday"/>
    <s v="Month+6 Expiry"/>
    <n v="93"/>
    <n v="0.193"/>
    <n v="0.005"/>
  </r>
  <r>
    <s v="25-Sep-2025"/>
    <x v="3"/>
    <s v="Week4-Sep-2025"/>
    <x v="0"/>
    <s v="Q2FY26"/>
    <s v="30-Jun-2026"/>
    <s v="Tuesday"/>
    <s v="Monthly - Tuesday"/>
    <s v="Monthly - Tuesday"/>
    <s v="Month+9 Expiry"/>
    <n v="0"/>
    <n v="0"/>
    <n v="0"/>
  </r>
  <r>
    <s v="26-Sep-2025"/>
    <x v="4"/>
    <s v="Week4-Sep-2025"/>
    <x v="0"/>
    <s v="Q2FY26"/>
    <s v="30-Sep-2025"/>
    <s v="Tuesday"/>
    <s v="Monthly - Tuesday"/>
    <s v="Monthly - Tuesday"/>
    <s v="Same Month Expiry"/>
    <n v="15559407"/>
    <n v="29538.8334"/>
    <n v="79.79819999999999"/>
  </r>
  <r>
    <s v="26-Sep-2025"/>
    <x v="4"/>
    <s v="Week4-Sep-2025"/>
    <x v="0"/>
    <s v="Q2FY26"/>
    <s v="28-Oct-2025"/>
    <s v="Tuesday"/>
    <s v="Monthly - Tuesday"/>
    <s v="Monthly - Tuesday"/>
    <s v="Month+1 Expiry"/>
    <n v="458425"/>
    <n v="887.954"/>
    <n v="8.023899999999999"/>
  </r>
  <r>
    <s v="26-Sep-2025"/>
    <x v="4"/>
    <s v="Week4-Sep-2025"/>
    <x v="0"/>
    <s v="Q2FY26"/>
    <s v="25-Nov-2025"/>
    <s v="Tuesday"/>
    <s v="Monthly - Tuesday"/>
    <s v="Monthly - Tuesday"/>
    <s v="Month+2 Expiry"/>
    <n v="12857"/>
    <n v="25.0482"/>
    <n v="0.2656"/>
  </r>
  <r>
    <s v="26-Sep-2025"/>
    <x v="4"/>
    <s v="Week4-Sep-2025"/>
    <x v="0"/>
    <s v="Q2FY26"/>
    <s v="30-Dec-2025"/>
    <s v="Tuesday"/>
    <s v="Monthly - Tuesday"/>
    <s v="Monthly - Tuesday"/>
    <s v="Month+3 Expiry"/>
    <n v="5665"/>
    <n v="11.2906"/>
    <n v="0.1509"/>
  </r>
  <r>
    <s v="26-Sep-2025"/>
    <x v="4"/>
    <s v="Week4-Sep-2025"/>
    <x v="0"/>
    <s v="Q2FY26"/>
    <s v="31-Mar-2026"/>
    <s v="Tuesday"/>
    <s v="Monthly - Tuesday"/>
    <s v="Monthly - Tuesday"/>
    <s v="Month+6 Expiry"/>
    <n v="201"/>
    <n v="0.4206"/>
    <n v="0.0072"/>
  </r>
  <r>
    <s v="26-Sep-2025"/>
    <x v="4"/>
    <s v="Week4-Sep-2025"/>
    <x v="0"/>
    <s v="Q2FY26"/>
    <s v="30-Jun-2026"/>
    <s v="Tuesday"/>
    <s v="Monthly - Tuesday"/>
    <s v="Monthly - Tuesday"/>
    <s v="Month+9 Expiry"/>
    <n v="0"/>
    <n v="0"/>
    <n v="0"/>
  </r>
  <r>
    <s v="29-Sep-2025"/>
    <x v="0"/>
    <s v="Week5-Sep-2025"/>
    <x v="0"/>
    <s v="Q2FY26"/>
    <s v="30-Sep-2025"/>
    <s v="Tuesday"/>
    <s v="Monthly - Tuesday"/>
    <s v="Monthly - Tuesday"/>
    <s v="Same Month Expiry"/>
    <n v="27075109"/>
    <n v="51067.5075"/>
    <n v="108.0776"/>
  </r>
  <r>
    <s v="29-Sep-2025"/>
    <x v="0"/>
    <s v="Week5-Sep-2025"/>
    <x v="0"/>
    <s v="Q2FY26"/>
    <s v="28-Oct-2025"/>
    <s v="Tuesday"/>
    <s v="Monthly - Tuesday"/>
    <s v="Monthly - Tuesday"/>
    <s v="Month+1 Expiry"/>
    <n v="502600"/>
    <n v="971.2386"/>
    <n v="9.3675"/>
  </r>
  <r>
    <s v="29-Sep-2025"/>
    <x v="0"/>
    <s v="Week5-Sep-2025"/>
    <x v="0"/>
    <s v="Q2FY26"/>
    <s v="25-Nov-2025"/>
    <s v="Tuesday"/>
    <s v="Monthly - Tuesday"/>
    <s v="Monthly - Tuesday"/>
    <s v="Month+2 Expiry"/>
    <n v="9914"/>
    <n v="19.2653"/>
    <n v="0.2083"/>
  </r>
  <r>
    <s v="29-Sep-2025"/>
    <x v="0"/>
    <s v="Week5-Sep-2025"/>
    <x v="0"/>
    <s v="Q2FY26"/>
    <s v="30-Dec-2025"/>
    <s v="Tuesday"/>
    <s v="Monthly - Tuesday"/>
    <s v="Monthly - Tuesday"/>
    <s v="Month+3 Expiry"/>
    <n v="3166"/>
    <n v="6.3169"/>
    <n v="0.08459999999999999"/>
  </r>
  <r>
    <s v="29-Sep-2025"/>
    <x v="0"/>
    <s v="Week5-Sep-2025"/>
    <x v="0"/>
    <s v="Q2FY26"/>
    <s v="31-Mar-2026"/>
    <s v="Tuesday"/>
    <s v="Monthly - Tuesday"/>
    <s v="Monthly - Tuesday"/>
    <s v="Month+6 Expiry"/>
    <n v="118"/>
    <n v="0.2465"/>
    <n v="0.0041"/>
  </r>
  <r>
    <s v="29-Sep-2025"/>
    <x v="0"/>
    <s v="Week5-Sep-2025"/>
    <x v="0"/>
    <s v="Q2FY26"/>
    <s v="30-Jun-2026"/>
    <s v="Tuesday"/>
    <s v="Monthly - Tuesday"/>
    <s v="Monthly - Tuesday"/>
    <s v="Month+9 Expiry"/>
    <n v="0"/>
    <n v="0"/>
    <n v="0"/>
  </r>
  <r>
    <s v="30-Sep-2025"/>
    <x v="1"/>
    <s v="Week5-Sep-2025"/>
    <x v="0"/>
    <s v="Q2FY26"/>
    <s v="30-Sep-2025"/>
    <s v="Tuesday"/>
    <s v="Monthly - Tuesday"/>
    <s v="Monthly - Tuesday"/>
    <s v="Same Month Expiry"/>
    <n v="77935545"/>
    <n v="146734.5691"/>
    <n v="144.701"/>
  </r>
  <r>
    <s v="30-Sep-2025"/>
    <x v="1"/>
    <s v="Week5-Sep-2025"/>
    <x v="0"/>
    <s v="Q2FY26"/>
    <s v="28-Oct-2025"/>
    <s v="Tuesday"/>
    <s v="Monthly - Tuesday"/>
    <s v="Monthly - Tuesday"/>
    <s v="Month+1 Expiry"/>
    <n v="703306"/>
    <n v="1355.1977"/>
    <n v="11.7975"/>
  </r>
  <r>
    <s v="30-Sep-2025"/>
    <x v="1"/>
    <s v="Week5-Sep-2025"/>
    <x v="0"/>
    <s v="Q2FY26"/>
    <s v="25-Nov-2025"/>
    <s v="Tuesday"/>
    <s v="Monthly - Tuesday"/>
    <s v="Monthly - Tuesday"/>
    <s v="Month+2 Expiry"/>
    <n v="7401"/>
    <n v="14.3143"/>
    <n v="0.1646"/>
  </r>
  <r>
    <s v="30-Sep-2025"/>
    <x v="1"/>
    <s v="Week5-Sep-2025"/>
    <x v="0"/>
    <s v="Q2FY26"/>
    <s v="30-Dec-2025"/>
    <s v="Tuesday"/>
    <s v="Monthly - Tuesday"/>
    <s v="Monthly - Tuesday"/>
    <s v="Month+3 Expiry"/>
    <n v="2577"/>
    <n v="5.1074"/>
    <n v="0.08359999999999999"/>
  </r>
  <r>
    <s v="30-Sep-2025"/>
    <x v="1"/>
    <s v="Week5-Sep-2025"/>
    <x v="0"/>
    <s v="Q2FY26"/>
    <s v="31-Mar-2026"/>
    <s v="Tuesday"/>
    <s v="Monthly - Tuesday"/>
    <s v="Monthly - Tuesday"/>
    <s v="Month+6 Expiry"/>
    <n v="79"/>
    <n v="0.1647"/>
    <n v="0.003"/>
  </r>
  <r>
    <s v="30-Sep-2025"/>
    <x v="1"/>
    <s v="Week5-Sep-2025"/>
    <x v="0"/>
    <s v="Q2FY26"/>
    <s v="30-Jun-2026"/>
    <s v="Tuesday"/>
    <s v="Monthly - Tuesday"/>
    <s v="Monthly - Tuesday"/>
    <s v="Month+9 Expiry"/>
    <n v="0"/>
    <n v="0"/>
    <n v="0"/>
  </r>
  <r>
    <s v="01-Oct-2025"/>
    <x v="2"/>
    <s v="Week1-Oct-2025"/>
    <x v="1"/>
    <s v="Q3FY26"/>
    <s v="28-Oct-2025"/>
    <s v="Tuesday"/>
    <s v="Monthly - Tuesday"/>
    <s v="Monthly - Tuesday"/>
    <s v="Same Month Expiry"/>
    <n v="3418398"/>
    <n v="6622.703"/>
    <n v="50.3848"/>
  </r>
  <r>
    <s v="01-Oct-2025"/>
    <x v="2"/>
    <s v="Week1-Oct-2025"/>
    <x v="1"/>
    <s v="Q3FY26"/>
    <s v="25-Nov-2025"/>
    <s v="Tuesday"/>
    <s v="Monthly - Tuesday"/>
    <s v="Monthly - Tuesday"/>
    <s v="Month+1 Expiry"/>
    <n v="23611"/>
    <n v="46.0856"/>
    <n v="0.5162"/>
  </r>
  <r>
    <s v="01-Oct-2025"/>
    <x v="2"/>
    <s v="Week1-Oct-2025"/>
    <x v="1"/>
    <s v="Q3FY26"/>
    <s v="30-Dec-2025"/>
    <s v="Tuesday"/>
    <s v="Monthly - Tuesday"/>
    <s v="Monthly - Tuesday"/>
    <s v="Month+2 Expiry"/>
    <n v="6012"/>
    <n v="12.0028"/>
    <n v="0.1618"/>
  </r>
  <r>
    <s v="01-Oct-2025"/>
    <x v="2"/>
    <s v="Week1-Oct-2025"/>
    <x v="1"/>
    <s v="Q3FY26"/>
    <s v="31-Mar-2026"/>
    <s v="Tuesday"/>
    <s v="Monthly - Tuesday"/>
    <s v="Monthly - Tuesday"/>
    <s v="Month+5 Expiry"/>
    <n v="185"/>
    <n v="0.388"/>
    <n v="0.0067"/>
  </r>
  <r>
    <s v="01-Oct-2025"/>
    <x v="2"/>
    <s v="Week1-Oct-2025"/>
    <x v="1"/>
    <s v="Q3FY26"/>
    <s v="30-Jun-2026"/>
    <s v="Tuesday"/>
    <s v="Monthly - Tuesday"/>
    <s v="Monthly - Tuesday"/>
    <s v="Month+8 Expiry"/>
    <n v="0"/>
    <n v="0"/>
    <n v="0"/>
  </r>
  <r>
    <s v="01-Oct-2025"/>
    <x v="2"/>
    <s v="Week1-Oct-2025"/>
    <x v="1"/>
    <s v="Q3FY26"/>
    <s v="29-Sep-2026"/>
    <s v="Tuesday"/>
    <s v="Monthly - Tuesday"/>
    <s v="Monthly - Tuesday"/>
    <s v="Month+11 Expiry"/>
    <n v="0"/>
    <n v="0"/>
    <n v="0"/>
  </r>
  <r>
    <s v="03-Oct-2025"/>
    <x v="4"/>
    <s v="Week1-Oct-2025"/>
    <x v="1"/>
    <s v="Q3FY26"/>
    <s v="28-Oct-2025"/>
    <s v="Tuesday"/>
    <s v="Monthly - Tuesday"/>
    <s v="Monthly - Tuesday"/>
    <s v="Same Month Expiry"/>
    <n v="2480760"/>
    <n v="4817.4319"/>
    <n v="35.5973"/>
  </r>
  <r>
    <s v="03-Oct-2025"/>
    <x v="4"/>
    <s v="Week1-Oct-2025"/>
    <x v="1"/>
    <s v="Q3FY26"/>
    <s v="25-Nov-2025"/>
    <s v="Tuesday"/>
    <s v="Monthly - Tuesday"/>
    <s v="Monthly - Tuesday"/>
    <s v="Month+1 Expiry"/>
    <n v="24070"/>
    <n v="46.7797"/>
    <n v="0.4472"/>
  </r>
  <r>
    <s v="03-Oct-2025"/>
    <x v="4"/>
    <s v="Week1-Oct-2025"/>
    <x v="1"/>
    <s v="Q3FY26"/>
    <s v="30-Dec-2025"/>
    <s v="Tuesday"/>
    <s v="Monthly - Tuesday"/>
    <s v="Monthly - Tuesday"/>
    <s v="Month+2 Expiry"/>
    <n v="4540"/>
    <n v="8.964499999999999"/>
    <n v="0.1183"/>
  </r>
  <r>
    <s v="03-Oct-2025"/>
    <x v="4"/>
    <s v="Week1-Oct-2025"/>
    <x v="1"/>
    <s v="Q3FY26"/>
    <s v="31-Mar-2026"/>
    <s v="Tuesday"/>
    <s v="Monthly - Tuesday"/>
    <s v="Monthly - Tuesday"/>
    <s v="Month+5 Expiry"/>
    <n v="55"/>
    <n v="0.1144"/>
    <n v="0.0026"/>
  </r>
  <r>
    <s v="03-Oct-2025"/>
    <x v="4"/>
    <s v="Week1-Oct-2025"/>
    <x v="1"/>
    <s v="Q3FY26"/>
    <s v="30-Jun-2026"/>
    <s v="Tuesday"/>
    <s v="Monthly - Tuesday"/>
    <s v="Monthly - Tuesday"/>
    <s v="Month+8 Expiry"/>
    <n v="0"/>
    <n v="0"/>
    <n v="0"/>
  </r>
  <r>
    <s v="03-Oct-2025"/>
    <x v="4"/>
    <s v="Week1-Oct-2025"/>
    <x v="1"/>
    <s v="Q3FY26"/>
    <s v="29-Sep-2026"/>
    <s v="Tuesday"/>
    <s v="Monthly - Tuesday"/>
    <s v="Monthly - Tuesday"/>
    <s v="Month+11 Expiry"/>
    <n v="0"/>
    <n v="0"/>
    <n v="0"/>
  </r>
  <r>
    <s v="06-Oct-2025"/>
    <x v="0"/>
    <s v="Week1-Oct-2025"/>
    <x v="1"/>
    <s v="Q3FY26"/>
    <s v="28-Oct-2025"/>
    <s v="Tuesday"/>
    <s v="Monthly - Tuesday"/>
    <s v="Monthly - Tuesday"/>
    <s v="Same Month Expiry"/>
    <n v="2876686"/>
    <n v="5617.0957"/>
    <n v="36.0748"/>
  </r>
  <r>
    <s v="06-Oct-2025"/>
    <x v="0"/>
    <s v="Week1-Oct-2025"/>
    <x v="1"/>
    <s v="Q3FY26"/>
    <s v="25-Nov-2025"/>
    <s v="Tuesday"/>
    <s v="Monthly - Tuesday"/>
    <s v="Monthly - Tuesday"/>
    <s v="Month+1 Expiry"/>
    <n v="35975"/>
    <n v="70.57429999999999"/>
    <n v="0.6666"/>
  </r>
  <r>
    <s v="06-Oct-2025"/>
    <x v="0"/>
    <s v="Week1-Oct-2025"/>
    <x v="1"/>
    <s v="Q3FY26"/>
    <s v="30-Dec-2025"/>
    <s v="Tuesday"/>
    <s v="Monthly - Tuesday"/>
    <s v="Monthly - Tuesday"/>
    <s v="Month+2 Expiry"/>
    <n v="9736"/>
    <n v="19.1345"/>
    <n v="0.2422"/>
  </r>
  <r>
    <s v="06-Oct-2025"/>
    <x v="0"/>
    <s v="Week1-Oct-2025"/>
    <x v="1"/>
    <s v="Q3FY26"/>
    <s v="31-Mar-2026"/>
    <s v="Tuesday"/>
    <s v="Monthly - Tuesday"/>
    <s v="Monthly - Tuesday"/>
    <s v="Month+5 Expiry"/>
    <n v="164"/>
    <n v="0.3422"/>
    <n v="0.0081"/>
  </r>
  <r>
    <s v="06-Oct-2025"/>
    <x v="0"/>
    <s v="Week1-Oct-2025"/>
    <x v="1"/>
    <s v="Q3FY26"/>
    <s v="30-Jun-2026"/>
    <s v="Tuesday"/>
    <s v="Monthly - Tuesday"/>
    <s v="Monthly - Tuesday"/>
    <s v="Month+8 Expiry"/>
    <n v="0"/>
    <n v="0"/>
    <n v="0"/>
  </r>
  <r>
    <s v="06-Oct-2025"/>
    <x v="0"/>
    <s v="Week1-Oct-2025"/>
    <x v="1"/>
    <s v="Q3FY26"/>
    <s v="29-Sep-2026"/>
    <s v="Tuesday"/>
    <s v="Monthly - Tuesday"/>
    <s v="Monthly - Tuesday"/>
    <s v="Month+11 Expiry"/>
    <n v="0"/>
    <n v="0"/>
    <n v="0"/>
  </r>
  <r>
    <s v="07-Oct-2025"/>
    <x v="1"/>
    <s v="Week1-Oct-2025"/>
    <x v="1"/>
    <s v="Q3FY26"/>
    <s v="28-Oct-2025"/>
    <s v="Tuesday"/>
    <s v="Monthly - Tuesday"/>
    <s v="Monthly - Tuesday"/>
    <s v="Same Month Expiry"/>
    <n v="2903786"/>
    <n v="5708.1586"/>
    <n v="37.7032"/>
  </r>
  <r>
    <s v="07-Oct-2025"/>
    <x v="1"/>
    <s v="Week1-Oct-2025"/>
    <x v="1"/>
    <s v="Q3FY26"/>
    <s v="25-Nov-2025"/>
    <s v="Tuesday"/>
    <s v="Monthly - Tuesday"/>
    <s v="Monthly - Tuesday"/>
    <s v="Month+1 Expiry"/>
    <n v="40257"/>
    <n v="80.28149999999999"/>
    <n v="0.7597"/>
  </r>
  <r>
    <s v="07-Oct-2025"/>
    <x v="1"/>
    <s v="Week1-Oct-2025"/>
    <x v="1"/>
    <s v="Q3FY26"/>
    <s v="30-Dec-2025"/>
    <s v="Tuesday"/>
    <s v="Monthly - Tuesday"/>
    <s v="Monthly - Tuesday"/>
    <s v="Month+2 Expiry"/>
    <n v="6664"/>
    <n v="13.2879"/>
    <n v="0.1403"/>
  </r>
  <r>
    <s v="07-Oct-2025"/>
    <x v="1"/>
    <s v="Week1-Oct-2025"/>
    <x v="1"/>
    <s v="Q3FY26"/>
    <s v="31-Mar-2026"/>
    <s v="Tuesday"/>
    <s v="Monthly - Tuesday"/>
    <s v="Monthly - Tuesday"/>
    <s v="Month+5 Expiry"/>
    <n v="245"/>
    <n v="0.5122"/>
    <n v="0.0123"/>
  </r>
  <r>
    <s v="07-Oct-2025"/>
    <x v="1"/>
    <s v="Week1-Oct-2025"/>
    <x v="1"/>
    <s v="Q3FY26"/>
    <s v="30-Jun-2026"/>
    <s v="Tuesday"/>
    <s v="Monthly - Tuesday"/>
    <s v="Monthly - Tuesday"/>
    <s v="Month+8 Expiry"/>
    <n v="0"/>
    <n v="0"/>
    <n v="0"/>
  </r>
  <r>
    <s v="07-Oct-2025"/>
    <x v="1"/>
    <s v="Week1-Oct-2025"/>
    <x v="1"/>
    <s v="Q3FY26"/>
    <s v="29-Sep-2026"/>
    <s v="Tuesday"/>
    <s v="Monthly - Tuesday"/>
    <s v="Monthly - Tuesday"/>
    <s v="Month+11 Expiry"/>
    <n v="0"/>
    <n v="0"/>
    <n v="0"/>
  </r>
  <r>
    <s v="08-Oct-2025"/>
    <x v="2"/>
    <s v="Week2-Oct-2025"/>
    <x v="1"/>
    <s v="Q3FY26"/>
    <s v="28-Oct-2025"/>
    <s v="Tuesday"/>
    <s v="Monthly - Tuesday"/>
    <s v="Monthly - Tuesday"/>
    <s v="Same Month Expiry"/>
    <n v="3420593"/>
    <n v="6713.9899"/>
    <n v="44.2005"/>
  </r>
  <r>
    <s v="08-Oct-2025"/>
    <x v="2"/>
    <s v="Week2-Oct-2025"/>
    <x v="1"/>
    <s v="Q3FY26"/>
    <s v="25-Nov-2025"/>
    <s v="Tuesday"/>
    <s v="Monthly - Tuesday"/>
    <s v="Monthly - Tuesday"/>
    <s v="Month+1 Expiry"/>
    <n v="43425"/>
    <n v="86.4068"/>
    <n v="0.8698"/>
  </r>
  <r>
    <s v="08-Oct-2025"/>
    <x v="2"/>
    <s v="Week2-Oct-2025"/>
    <x v="1"/>
    <s v="Q3FY26"/>
    <s v="30-Dec-2025"/>
    <s v="Tuesday"/>
    <s v="Monthly - Tuesday"/>
    <s v="Monthly - Tuesday"/>
    <s v="Month+2 Expiry"/>
    <n v="4411"/>
    <n v="8.786"/>
    <n v="0.1043"/>
  </r>
  <r>
    <s v="08-Oct-2025"/>
    <x v="2"/>
    <s v="Week2-Oct-2025"/>
    <x v="1"/>
    <s v="Q3FY26"/>
    <s v="31-Mar-2026"/>
    <s v="Tuesday"/>
    <s v="Monthly - Tuesday"/>
    <s v="Monthly - Tuesday"/>
    <s v="Month+5 Expiry"/>
    <n v="119"/>
    <n v="0.2498"/>
    <n v="0.005"/>
  </r>
  <r>
    <s v="08-Oct-2025"/>
    <x v="2"/>
    <s v="Week2-Oct-2025"/>
    <x v="1"/>
    <s v="Q3FY26"/>
    <s v="30-Jun-2026"/>
    <s v="Tuesday"/>
    <s v="Monthly - Tuesday"/>
    <s v="Monthly - Tuesday"/>
    <s v="Month+8 Expiry"/>
    <n v="0"/>
    <n v="0"/>
    <n v="0"/>
  </r>
  <r>
    <s v="08-Oct-2025"/>
    <x v="2"/>
    <s v="Week2-Oct-2025"/>
    <x v="1"/>
    <s v="Q3FY26"/>
    <s v="29-Sep-2026"/>
    <s v="Tuesday"/>
    <s v="Monthly - Tuesday"/>
    <s v="Monthly - Tuesday"/>
    <s v="Month+11 Expiry"/>
    <n v="0"/>
    <n v="0"/>
    <n v="0"/>
  </r>
  <r>
    <s v="09-Oct-2025"/>
    <x v="3"/>
    <s v="Week2-Oct-2025"/>
    <x v="1"/>
    <s v="Q3FY26"/>
    <s v="28-Oct-2025"/>
    <s v="Tuesday"/>
    <s v="Monthly - Tuesday"/>
    <s v="Monthly - Tuesday"/>
    <s v="Same Month Expiry"/>
    <n v="2616312"/>
    <n v="5139.0998"/>
    <n v="34.1213"/>
  </r>
  <r>
    <s v="09-Oct-2025"/>
    <x v="3"/>
    <s v="Week2-Oct-2025"/>
    <x v="1"/>
    <s v="Q3FY26"/>
    <s v="25-Nov-2025"/>
    <s v="Tuesday"/>
    <s v="Monthly - Tuesday"/>
    <s v="Monthly - Tuesday"/>
    <s v="Month+1 Expiry"/>
    <n v="26557"/>
    <n v="52.8864"/>
    <n v="0.5274"/>
  </r>
  <r>
    <s v="09-Oct-2025"/>
    <x v="3"/>
    <s v="Week2-Oct-2025"/>
    <x v="1"/>
    <s v="Q3FY26"/>
    <s v="30-Dec-2025"/>
    <s v="Tuesday"/>
    <s v="Monthly - Tuesday"/>
    <s v="Monthly - Tuesday"/>
    <s v="Month+2 Expiry"/>
    <n v="2323"/>
    <n v="4.6176"/>
    <n v="0.0527"/>
  </r>
  <r>
    <s v="09-Oct-2025"/>
    <x v="3"/>
    <s v="Week2-Oct-2025"/>
    <x v="1"/>
    <s v="Q3FY26"/>
    <s v="31-Mar-2026"/>
    <s v="Tuesday"/>
    <s v="Monthly - Tuesday"/>
    <s v="Monthly - Tuesday"/>
    <s v="Month+5 Expiry"/>
    <n v="159"/>
    <n v="0.3311"/>
    <n v="0.007900000000000001"/>
  </r>
  <r>
    <s v="09-Oct-2025"/>
    <x v="3"/>
    <s v="Week2-Oct-2025"/>
    <x v="1"/>
    <s v="Q3FY26"/>
    <s v="30-Jun-2026"/>
    <s v="Tuesday"/>
    <s v="Monthly - Tuesday"/>
    <s v="Monthly - Tuesday"/>
    <s v="Month+8 Expiry"/>
    <n v="0"/>
    <n v="0"/>
    <n v="0"/>
  </r>
  <r>
    <s v="09-Oct-2025"/>
    <x v="3"/>
    <s v="Week2-Oct-2025"/>
    <x v="1"/>
    <s v="Q3FY26"/>
    <s v="29-Sep-2026"/>
    <s v="Tuesday"/>
    <s v="Monthly - Tuesday"/>
    <s v="Monthly - Tuesday"/>
    <s v="Month+11 Expiry"/>
    <n v="0"/>
    <n v="0"/>
    <n v="0"/>
  </r>
  <r>
    <s v="10-Oct-2025"/>
    <x v="4"/>
    <s v="Week2-Oct-2025"/>
    <x v="1"/>
    <s v="Q3FY26"/>
    <s v="28-Oct-2025"/>
    <s v="Tuesday"/>
    <s v="Monthly - Tuesday"/>
    <s v="Monthly - Tuesday"/>
    <s v="Same Month Expiry"/>
    <n v="3637423"/>
    <n v="7191.7764"/>
    <n v="42.392"/>
  </r>
  <r>
    <s v="10-Oct-2025"/>
    <x v="4"/>
    <s v="Week2-Oct-2025"/>
    <x v="1"/>
    <s v="Q3FY26"/>
    <s v="25-Nov-2025"/>
    <s v="Tuesday"/>
    <s v="Monthly - Tuesday"/>
    <s v="Monthly - Tuesday"/>
    <s v="Month+1 Expiry"/>
    <n v="66068"/>
    <n v="131.5625"/>
    <n v="1.2456"/>
  </r>
  <r>
    <s v="10-Oct-2025"/>
    <x v="4"/>
    <s v="Week2-Oct-2025"/>
    <x v="1"/>
    <s v="Q3FY26"/>
    <s v="30-Dec-2025"/>
    <s v="Tuesday"/>
    <s v="Monthly - Tuesday"/>
    <s v="Monthly - Tuesday"/>
    <s v="Month+2 Expiry"/>
    <n v="9440"/>
    <n v="18.8216"/>
    <n v="0.213"/>
  </r>
  <r>
    <s v="10-Oct-2025"/>
    <x v="4"/>
    <s v="Week2-Oct-2025"/>
    <x v="1"/>
    <s v="Q3FY26"/>
    <s v="31-Mar-2026"/>
    <s v="Tuesday"/>
    <s v="Monthly - Tuesday"/>
    <s v="Monthly - Tuesday"/>
    <s v="Month+5 Expiry"/>
    <n v="540"/>
    <n v="1.1283"/>
    <n v="0.0255"/>
  </r>
  <r>
    <s v="10-Oct-2025"/>
    <x v="4"/>
    <s v="Week2-Oct-2025"/>
    <x v="1"/>
    <s v="Q3FY26"/>
    <s v="30-Jun-2026"/>
    <s v="Tuesday"/>
    <s v="Monthly - Tuesday"/>
    <s v="Monthly - Tuesday"/>
    <s v="Month+8 Expiry"/>
    <n v="0"/>
    <n v="0"/>
    <n v="0"/>
  </r>
  <r>
    <s v="10-Oct-2025"/>
    <x v="4"/>
    <s v="Week2-Oct-2025"/>
    <x v="1"/>
    <s v="Q3FY26"/>
    <s v="29-Sep-2026"/>
    <s v="Tuesday"/>
    <s v="Monthly - Tuesday"/>
    <s v="Monthly - Tuesday"/>
    <s v="Month+11 Expiry"/>
    <n v="0"/>
    <n v="0"/>
    <n v="0"/>
  </r>
  <r>
    <s v="13-Oct-2025"/>
    <x v="0"/>
    <s v="Week2-Oct-2025"/>
    <x v="1"/>
    <s v="Q3FY26"/>
    <s v="28-Oct-2025"/>
    <s v="Tuesday"/>
    <s v="Monthly - Tuesday"/>
    <s v="Monthly - Tuesday"/>
    <s v="Same Month Expiry"/>
    <n v="3390928"/>
    <n v="6700.4335"/>
    <n v="40.9166"/>
  </r>
  <r>
    <s v="13-Oct-2025"/>
    <x v="0"/>
    <s v="Week2-Oct-2025"/>
    <x v="1"/>
    <s v="Q3FY26"/>
    <s v="25-Nov-2025"/>
    <s v="Tuesday"/>
    <s v="Monthly - Tuesday"/>
    <s v="Monthly - Tuesday"/>
    <s v="Month+1 Expiry"/>
    <n v="52287"/>
    <n v="104.2625"/>
    <n v="1.0547"/>
  </r>
  <r>
    <s v="13-Oct-2025"/>
    <x v="0"/>
    <s v="Week2-Oct-2025"/>
    <x v="1"/>
    <s v="Q3FY26"/>
    <s v="30-Dec-2025"/>
    <s v="Tuesday"/>
    <s v="Monthly - Tuesday"/>
    <s v="Monthly - Tuesday"/>
    <s v="Month+2 Expiry"/>
    <n v="10215"/>
    <n v="20.5537"/>
    <n v="0.3083"/>
  </r>
  <r>
    <s v="13-Oct-2025"/>
    <x v="0"/>
    <s v="Week2-Oct-2025"/>
    <x v="1"/>
    <s v="Q3FY26"/>
    <s v="31-Mar-2026"/>
    <s v="Tuesday"/>
    <s v="Monthly - Tuesday"/>
    <s v="Monthly - Tuesday"/>
    <s v="Month+5 Expiry"/>
    <n v="3616"/>
    <n v="7.3705"/>
    <n v="0.1388"/>
  </r>
  <r>
    <s v="13-Oct-2025"/>
    <x v="0"/>
    <s v="Week2-Oct-2025"/>
    <x v="1"/>
    <s v="Q3FY26"/>
    <s v="30-Jun-2026"/>
    <s v="Tuesday"/>
    <s v="Monthly - Tuesday"/>
    <s v="Monthly - Tuesday"/>
    <s v="Month+8 Expiry"/>
    <n v="0"/>
    <n v="0"/>
    <n v="0"/>
  </r>
  <r>
    <s v="13-Oct-2025"/>
    <x v="0"/>
    <s v="Week2-Oct-2025"/>
    <x v="1"/>
    <s v="Q3FY26"/>
    <s v="29-Sep-2026"/>
    <s v="Tuesday"/>
    <s v="Monthly - Tuesday"/>
    <s v="Monthly - Tuesday"/>
    <s v="Month+11 Expiry"/>
    <n v="0"/>
    <n v="0"/>
    <n v="0"/>
  </r>
  <r>
    <s v="14-Oct-2025"/>
    <x v="1"/>
    <s v="Week2-Oct-2025"/>
    <x v="1"/>
    <s v="Q3FY26"/>
    <s v="28-Oct-2025"/>
    <s v="Tuesday"/>
    <s v="Monthly - Tuesday"/>
    <s v="Monthly - Tuesday"/>
    <s v="Same Month Expiry"/>
    <n v="3317035"/>
    <n v="6539.17"/>
    <n v="39.3218"/>
  </r>
  <r>
    <s v="14-Oct-2025"/>
    <x v="1"/>
    <s v="Week2-Oct-2025"/>
    <x v="1"/>
    <s v="Q3FY26"/>
    <s v="25-Nov-2025"/>
    <s v="Tuesday"/>
    <s v="Monthly - Tuesday"/>
    <s v="Monthly - Tuesday"/>
    <s v="Month+1 Expiry"/>
    <n v="50425"/>
    <n v="100.4223"/>
    <n v="0.9661999999999999"/>
  </r>
  <r>
    <s v="14-Oct-2025"/>
    <x v="1"/>
    <s v="Week2-Oct-2025"/>
    <x v="1"/>
    <s v="Q3FY26"/>
    <s v="30-Dec-2025"/>
    <s v="Tuesday"/>
    <s v="Monthly - Tuesday"/>
    <s v="Monthly - Tuesday"/>
    <s v="Month+2 Expiry"/>
    <n v="4720"/>
    <n v="9.378500000000001"/>
    <n v="0.12"/>
  </r>
  <r>
    <s v="14-Oct-2025"/>
    <x v="1"/>
    <s v="Week2-Oct-2025"/>
    <x v="1"/>
    <s v="Q3FY26"/>
    <s v="31-Mar-2026"/>
    <s v="Tuesday"/>
    <s v="Monthly - Tuesday"/>
    <s v="Monthly - Tuesday"/>
    <s v="Month+5 Expiry"/>
    <n v="258"/>
    <n v="0.5346"/>
    <n v="0.0113"/>
  </r>
  <r>
    <s v="14-Oct-2025"/>
    <x v="1"/>
    <s v="Week2-Oct-2025"/>
    <x v="1"/>
    <s v="Q3FY26"/>
    <s v="30-Jun-2026"/>
    <s v="Tuesday"/>
    <s v="Monthly - Tuesday"/>
    <s v="Monthly - Tuesday"/>
    <s v="Month+8 Expiry"/>
    <n v="0"/>
    <n v="0"/>
    <n v="0"/>
  </r>
  <r>
    <s v="14-Oct-2025"/>
    <x v="1"/>
    <s v="Week2-Oct-2025"/>
    <x v="1"/>
    <s v="Q3FY26"/>
    <s v="29-Sep-2026"/>
    <s v="Tuesday"/>
    <s v="Monthly - Tuesday"/>
    <s v="Monthly - Tuesday"/>
    <s v="Month+11 Expiry"/>
    <n v="0"/>
    <n v="0"/>
    <n v="0"/>
  </r>
  <r>
    <s v="15-Oct-2025"/>
    <x v="2"/>
    <s v="Week3-Oct-2025"/>
    <x v="1"/>
    <s v="Q3FY26"/>
    <s v="28-Oct-2025"/>
    <s v="Tuesday"/>
    <s v="Monthly - Tuesday"/>
    <s v="Monthly - Tuesday"/>
    <s v="Same Month Expiry"/>
    <n v="3566936"/>
    <n v="7047.3134"/>
    <n v="39.4578"/>
  </r>
  <r>
    <s v="15-Oct-2025"/>
    <x v="2"/>
    <s v="Week3-Oct-2025"/>
    <x v="1"/>
    <s v="Q3FY26"/>
    <s v="25-Nov-2025"/>
    <s v="Tuesday"/>
    <s v="Monthly - Tuesday"/>
    <s v="Monthly - Tuesday"/>
    <s v="Month+1 Expiry"/>
    <n v="79388"/>
    <n v="158.4445"/>
    <n v="1.4318"/>
  </r>
  <r>
    <s v="15-Oct-2025"/>
    <x v="2"/>
    <s v="Week3-Oct-2025"/>
    <x v="1"/>
    <s v="Q3FY26"/>
    <s v="30-Dec-2025"/>
    <s v="Tuesday"/>
    <s v="Monthly - Tuesday"/>
    <s v="Monthly - Tuesday"/>
    <s v="Month+2 Expiry"/>
    <n v="7735"/>
    <n v="15.4627"/>
    <n v="0.2091"/>
  </r>
  <r>
    <s v="15-Oct-2025"/>
    <x v="2"/>
    <s v="Week3-Oct-2025"/>
    <x v="1"/>
    <s v="Q3FY26"/>
    <s v="31-Mar-2026"/>
    <s v="Tuesday"/>
    <s v="Monthly - Tuesday"/>
    <s v="Monthly - Tuesday"/>
    <s v="Month+5 Expiry"/>
    <n v="1158"/>
    <n v="2.3677"/>
    <n v="0.0409"/>
  </r>
  <r>
    <s v="15-Oct-2025"/>
    <x v="2"/>
    <s v="Week3-Oct-2025"/>
    <x v="1"/>
    <s v="Q3FY26"/>
    <s v="30-Jun-2026"/>
    <s v="Tuesday"/>
    <s v="Monthly - Tuesday"/>
    <s v="Monthly - Tuesday"/>
    <s v="Month+8 Expiry"/>
    <n v="0"/>
    <n v="0"/>
    <n v="0"/>
  </r>
  <r>
    <s v="15-Oct-2025"/>
    <x v="2"/>
    <s v="Week3-Oct-2025"/>
    <x v="1"/>
    <s v="Q3FY26"/>
    <s v="29-Sep-2026"/>
    <s v="Tuesday"/>
    <s v="Monthly - Tuesday"/>
    <s v="Monthly - Tuesday"/>
    <s v="Month+11 Expiry"/>
    <n v="0"/>
    <n v="0"/>
    <n v="0"/>
  </r>
  <r>
    <s v="16-Oct-2025"/>
    <x v="3"/>
    <s v="Week3-Oct-2025"/>
    <x v="1"/>
    <s v="Q3FY26"/>
    <s v="28-Oct-2025"/>
    <s v="Tuesday"/>
    <s v="Monthly - Tuesday"/>
    <s v="Monthly - Tuesday"/>
    <s v="Same Month Expiry"/>
    <n v="4449066"/>
    <n v="8836.4424"/>
    <n v="44.8338"/>
  </r>
  <r>
    <s v="16-Oct-2025"/>
    <x v="3"/>
    <s v="Week3-Oct-2025"/>
    <x v="1"/>
    <s v="Q3FY26"/>
    <s v="25-Nov-2025"/>
    <s v="Tuesday"/>
    <s v="Monthly - Tuesday"/>
    <s v="Monthly - Tuesday"/>
    <s v="Month+1 Expiry"/>
    <n v="157673"/>
    <n v="318.3044"/>
    <n v="3.2265"/>
  </r>
  <r>
    <s v="16-Oct-2025"/>
    <x v="3"/>
    <s v="Week3-Oct-2025"/>
    <x v="1"/>
    <s v="Q3FY26"/>
    <s v="30-Dec-2025"/>
    <s v="Tuesday"/>
    <s v="Monthly - Tuesday"/>
    <s v="Monthly - Tuesday"/>
    <s v="Month+2 Expiry"/>
    <n v="16458"/>
    <n v="33.2352"/>
    <n v="0.4489"/>
  </r>
  <r>
    <s v="16-Oct-2025"/>
    <x v="3"/>
    <s v="Week3-Oct-2025"/>
    <x v="1"/>
    <s v="Q3FY26"/>
    <s v="31-Mar-2026"/>
    <s v="Tuesday"/>
    <s v="Monthly - Tuesday"/>
    <s v="Monthly - Tuesday"/>
    <s v="Month+5 Expiry"/>
    <n v="836"/>
    <n v="1.7277"/>
    <n v="0.0368"/>
  </r>
  <r>
    <s v="16-Oct-2025"/>
    <x v="3"/>
    <s v="Week3-Oct-2025"/>
    <x v="1"/>
    <s v="Q3FY26"/>
    <s v="30-Jun-2026"/>
    <s v="Tuesday"/>
    <s v="Monthly - Tuesday"/>
    <s v="Monthly - Tuesday"/>
    <s v="Month+8 Expiry"/>
    <n v="0"/>
    <n v="0"/>
    <n v="0"/>
  </r>
  <r>
    <s v="16-Oct-2025"/>
    <x v="3"/>
    <s v="Week3-Oct-2025"/>
    <x v="1"/>
    <s v="Q3FY26"/>
    <s v="29-Sep-2026"/>
    <s v="Tuesday"/>
    <s v="Monthly - Tuesday"/>
    <s v="Monthly - Tuesday"/>
    <s v="Month+11 Expiry"/>
    <n v="0"/>
    <n v="0"/>
    <n v="0"/>
  </r>
  <r>
    <s v="17-Oct-2025"/>
    <x v="4"/>
    <s v="Week3-Oct-2025"/>
    <x v="1"/>
    <s v="Q3FY26"/>
    <s v="28-Oct-2025"/>
    <s v="Tuesday"/>
    <s v="Monthly - Tuesday"/>
    <s v="Monthly - Tuesday"/>
    <s v="Same Month Expiry"/>
    <n v="6181755"/>
    <n v="12374.944"/>
    <n v="65.3261"/>
  </r>
  <r>
    <s v="17-Oct-2025"/>
    <x v="4"/>
    <s v="Week3-Oct-2025"/>
    <x v="1"/>
    <s v="Q3FY26"/>
    <s v="25-Nov-2025"/>
    <s v="Tuesday"/>
    <s v="Monthly - Tuesday"/>
    <s v="Monthly - Tuesday"/>
    <s v="Month+1 Expiry"/>
    <n v="215289"/>
    <n v="438.9018"/>
    <n v="4.3731"/>
  </r>
  <r>
    <s v="17-Oct-2025"/>
    <x v="4"/>
    <s v="Week3-Oct-2025"/>
    <x v="1"/>
    <s v="Q3FY26"/>
    <s v="30-Dec-2025"/>
    <s v="Tuesday"/>
    <s v="Monthly - Tuesday"/>
    <s v="Monthly - Tuesday"/>
    <s v="Month+2 Expiry"/>
    <n v="18041"/>
    <n v="36.4124"/>
    <n v="0.4359"/>
  </r>
  <r>
    <s v="17-Oct-2025"/>
    <x v="4"/>
    <s v="Week3-Oct-2025"/>
    <x v="1"/>
    <s v="Q3FY26"/>
    <s v="31-Mar-2026"/>
    <s v="Tuesday"/>
    <s v="Monthly - Tuesday"/>
    <s v="Monthly - Tuesday"/>
    <s v="Month+5 Expiry"/>
    <n v="1090"/>
    <n v="2.2418"/>
    <n v="0.048"/>
  </r>
  <r>
    <s v="17-Oct-2025"/>
    <x v="4"/>
    <s v="Week3-Oct-2025"/>
    <x v="1"/>
    <s v="Q3FY26"/>
    <s v="30-Jun-2026"/>
    <s v="Tuesday"/>
    <s v="Monthly - Tuesday"/>
    <s v="Monthly - Tuesday"/>
    <s v="Month+8 Expiry"/>
    <n v="0"/>
    <n v="0"/>
    <n v="0"/>
  </r>
  <r>
    <s v="17-Oct-2025"/>
    <x v="4"/>
    <s v="Week3-Oct-2025"/>
    <x v="1"/>
    <s v="Q3FY26"/>
    <s v="29-Sep-2026"/>
    <s v="Tuesday"/>
    <s v="Monthly - Tuesday"/>
    <s v="Monthly - Tuesday"/>
    <s v="Month+11 Expiry"/>
    <n v="0"/>
    <n v="0"/>
    <n v="0"/>
  </r>
  <r>
    <s v="20-Oct-2025"/>
    <x v="0"/>
    <s v="Week3-Oct-2025"/>
    <x v="1"/>
    <s v="Q3FY26"/>
    <s v="28-Oct-2025"/>
    <s v="Tuesday"/>
    <s v="Monthly - Tuesday"/>
    <s v="Monthly - Tuesday"/>
    <s v="Same Month Expiry"/>
    <n v="5438752"/>
    <n v="10907.9588"/>
    <n v="44.9521"/>
  </r>
  <r>
    <s v="20-Oct-2025"/>
    <x v="0"/>
    <s v="Week3-Oct-2025"/>
    <x v="1"/>
    <s v="Q3FY26"/>
    <s v="25-Nov-2025"/>
    <s v="Tuesday"/>
    <s v="Monthly - Tuesday"/>
    <s v="Monthly - Tuesday"/>
    <s v="Month+1 Expiry"/>
    <n v="225269"/>
    <n v="459.2301"/>
    <n v="4.2267"/>
  </r>
  <r>
    <s v="20-Oct-2025"/>
    <x v="0"/>
    <s v="Week3-Oct-2025"/>
    <x v="1"/>
    <s v="Q3FY26"/>
    <s v="30-Dec-2025"/>
    <s v="Tuesday"/>
    <s v="Monthly - Tuesday"/>
    <s v="Monthly - Tuesday"/>
    <s v="Month+2 Expiry"/>
    <n v="16214"/>
    <n v="32.976"/>
    <n v="0.4325"/>
  </r>
  <r>
    <s v="20-Oct-2025"/>
    <x v="0"/>
    <s v="Week3-Oct-2025"/>
    <x v="1"/>
    <s v="Q3FY26"/>
    <s v="31-Mar-2026"/>
    <s v="Tuesday"/>
    <s v="Monthly - Tuesday"/>
    <s v="Monthly - Tuesday"/>
    <s v="Month+5 Expiry"/>
    <n v="1405"/>
    <n v="2.8831"/>
    <n v="0.0546"/>
  </r>
  <r>
    <s v="20-Oct-2025"/>
    <x v="0"/>
    <s v="Week3-Oct-2025"/>
    <x v="1"/>
    <s v="Q3FY26"/>
    <s v="30-Jun-2026"/>
    <s v="Tuesday"/>
    <s v="Monthly - Tuesday"/>
    <s v="Monthly - Tuesday"/>
    <s v="Month+8 Expiry"/>
    <n v="0"/>
    <n v="0"/>
    <n v="0"/>
  </r>
  <r>
    <s v="20-Oct-2025"/>
    <x v="0"/>
    <s v="Week3-Oct-2025"/>
    <x v="1"/>
    <s v="Q3FY26"/>
    <s v="29-Sep-2026"/>
    <s v="Tuesday"/>
    <s v="Monthly - Tuesday"/>
    <s v="Monthly - Tuesday"/>
    <s v="Month+11 Expiry"/>
    <n v="0"/>
    <n v="0"/>
    <n v="0"/>
  </r>
  <r>
    <s v="21-Oct-2025"/>
    <x v="1"/>
    <s v="Week3-Oct-2025"/>
    <x v="1"/>
    <s v="Q3FY26"/>
    <s v="28-Oct-2025"/>
    <s v="Tuesday"/>
    <s v="Monthly - Tuesday"/>
    <s v="Monthly - Tuesday"/>
    <s v="Same Month Expiry"/>
    <n v="1267899"/>
    <n v="2544.167"/>
    <n v="7.8329"/>
  </r>
  <r>
    <s v="21-Oct-2025"/>
    <x v="1"/>
    <s v="Week3-Oct-2025"/>
    <x v="1"/>
    <s v="Q3FY26"/>
    <s v="25-Nov-2025"/>
    <s v="Tuesday"/>
    <s v="Monthly - Tuesday"/>
    <s v="Monthly - Tuesday"/>
    <s v="Month+1 Expiry"/>
    <n v="35546"/>
    <n v="72.3383"/>
    <n v="0.7030999999999999"/>
  </r>
  <r>
    <s v="21-Oct-2025"/>
    <x v="1"/>
    <s v="Week3-Oct-2025"/>
    <x v="1"/>
    <s v="Q3FY26"/>
    <s v="30-Dec-2025"/>
    <s v="Tuesday"/>
    <s v="Monthly - Tuesday"/>
    <s v="Monthly - Tuesday"/>
    <s v="Month+2 Expiry"/>
    <n v="1915"/>
    <n v="3.8871"/>
    <n v="0.0479"/>
  </r>
  <r>
    <s v="21-Oct-2025"/>
    <x v="1"/>
    <s v="Week3-Oct-2025"/>
    <x v="1"/>
    <s v="Q3FY26"/>
    <s v="31-Mar-2026"/>
    <s v="Tuesday"/>
    <s v="Monthly - Tuesday"/>
    <s v="Monthly - Tuesday"/>
    <s v="Month+5 Expiry"/>
    <n v="114"/>
    <n v="0.2312"/>
    <n v="0.0036"/>
  </r>
  <r>
    <s v="21-Oct-2025"/>
    <x v="1"/>
    <s v="Week3-Oct-2025"/>
    <x v="1"/>
    <s v="Q3FY26"/>
    <s v="30-Jun-2026"/>
    <s v="Tuesday"/>
    <s v="Monthly - Tuesday"/>
    <s v="Monthly - Tuesday"/>
    <s v="Month+8 Expiry"/>
    <n v="0"/>
    <n v="0"/>
    <n v="0"/>
  </r>
  <r>
    <s v="21-Oct-2025"/>
    <x v="1"/>
    <s v="Week3-Oct-2025"/>
    <x v="1"/>
    <s v="Q3FY26"/>
    <s v="29-Sep-2026"/>
    <s v="Tuesday"/>
    <s v="Monthly - Tuesday"/>
    <s v="Monthly - Tuesday"/>
    <s v="Month+11 Expiry"/>
    <n v="0"/>
    <n v="0"/>
    <n v="0"/>
  </r>
  <r>
    <s v="23-Oct-2025"/>
    <x v="3"/>
    <s v="Week4-Oct-2025"/>
    <x v="1"/>
    <s v="Q3FY26"/>
    <s v="28-Oct-2025"/>
    <s v="Tuesday"/>
    <s v="Monthly - Tuesday"/>
    <s v="Monthly - Tuesday"/>
    <s v="Same Month Expiry"/>
    <n v="8673940"/>
    <n v="17499.2777"/>
    <n v="57.3591"/>
  </r>
  <r>
    <s v="23-Oct-2025"/>
    <x v="3"/>
    <s v="Week4-Oct-2025"/>
    <x v="1"/>
    <s v="Q3FY26"/>
    <s v="25-Nov-2025"/>
    <s v="Tuesday"/>
    <s v="Monthly - Tuesday"/>
    <s v="Monthly - Tuesday"/>
    <s v="Month+1 Expiry"/>
    <n v="395163"/>
    <n v="809.1486"/>
    <n v="8.6211"/>
  </r>
  <r>
    <s v="23-Oct-2025"/>
    <x v="3"/>
    <s v="Week4-Oct-2025"/>
    <x v="1"/>
    <s v="Q3FY26"/>
    <s v="30-Dec-2025"/>
    <s v="Tuesday"/>
    <s v="Monthly - Tuesday"/>
    <s v="Monthly - Tuesday"/>
    <s v="Month+2 Expiry"/>
    <n v="21545"/>
    <n v="43.7661"/>
    <n v="0.5750999999999999"/>
  </r>
  <r>
    <s v="23-Oct-2025"/>
    <x v="3"/>
    <s v="Week4-Oct-2025"/>
    <x v="1"/>
    <s v="Q3FY26"/>
    <s v="31-Mar-2026"/>
    <s v="Tuesday"/>
    <s v="Monthly - Tuesday"/>
    <s v="Monthly - Tuesday"/>
    <s v="Month+5 Expiry"/>
    <n v="948"/>
    <n v="1.9397"/>
    <n v="0.032"/>
  </r>
  <r>
    <s v="23-Oct-2025"/>
    <x v="3"/>
    <s v="Week4-Oct-2025"/>
    <x v="1"/>
    <s v="Q3FY26"/>
    <s v="30-Jun-2026"/>
    <s v="Tuesday"/>
    <s v="Monthly - Tuesday"/>
    <s v="Monthly - Tuesday"/>
    <s v="Month+8 Expiry"/>
    <n v="0"/>
    <n v="0"/>
    <n v="0"/>
  </r>
  <r>
    <s v="23-Oct-2025"/>
    <x v="3"/>
    <s v="Week4-Oct-2025"/>
    <x v="1"/>
    <s v="Q3FY26"/>
    <s v="29-Sep-2026"/>
    <s v="Tuesday"/>
    <s v="Monthly - Tuesday"/>
    <s v="Monthly - Tuesday"/>
    <s v="Month+11 Expiry"/>
    <n v="0"/>
    <n v="0"/>
    <n v="0"/>
  </r>
  <r>
    <s v="24-Oct-2025"/>
    <x v="4"/>
    <s v="Week4-Oct-2025"/>
    <x v="1"/>
    <s v="Q3FY26"/>
    <s v="28-Oct-2025"/>
    <s v="Tuesday"/>
    <s v="Monthly - Tuesday"/>
    <s v="Monthly - Tuesday"/>
    <s v="Same Month Expiry"/>
    <n v="15507859"/>
    <n v="31011.6741"/>
    <n v="86.9706"/>
  </r>
  <r>
    <s v="24-Oct-2025"/>
    <x v="4"/>
    <s v="Week4-Oct-2025"/>
    <x v="1"/>
    <s v="Q3FY26"/>
    <s v="25-Nov-2025"/>
    <s v="Tuesday"/>
    <s v="Monthly - Tuesday"/>
    <s v="Monthly - Tuesday"/>
    <s v="Month+1 Expiry"/>
    <n v="469846"/>
    <n v="957.1607"/>
    <n v="9.828799999999999"/>
  </r>
  <r>
    <s v="24-Oct-2025"/>
    <x v="4"/>
    <s v="Week4-Oct-2025"/>
    <x v="1"/>
    <s v="Q3FY26"/>
    <s v="30-Dec-2025"/>
    <s v="Tuesday"/>
    <s v="Monthly - Tuesday"/>
    <s v="Monthly - Tuesday"/>
    <s v="Month+2 Expiry"/>
    <n v="19045"/>
    <n v="38.9819"/>
    <n v="0.5268"/>
  </r>
  <r>
    <s v="24-Oct-2025"/>
    <x v="4"/>
    <s v="Week4-Oct-2025"/>
    <x v="1"/>
    <s v="Q3FY26"/>
    <s v="31-Mar-2026"/>
    <s v="Tuesday"/>
    <s v="Monthly - Tuesday"/>
    <s v="Monthly - Tuesday"/>
    <s v="Month+5 Expiry"/>
    <n v="868"/>
    <n v="1.7867"/>
    <n v="0.0329"/>
  </r>
  <r>
    <s v="24-Oct-2025"/>
    <x v="4"/>
    <s v="Week4-Oct-2025"/>
    <x v="1"/>
    <s v="Q3FY26"/>
    <s v="30-Jun-2026"/>
    <s v="Tuesday"/>
    <s v="Monthly - Tuesday"/>
    <s v="Monthly - Tuesday"/>
    <s v="Month+8 Expiry"/>
    <n v="0"/>
    <n v="0"/>
    <n v="0"/>
  </r>
  <r>
    <s v="24-Oct-2025"/>
    <x v="4"/>
    <s v="Week4-Oct-2025"/>
    <x v="1"/>
    <s v="Q3FY26"/>
    <s v="29-Sep-2026"/>
    <s v="Tuesday"/>
    <s v="Monthly - Tuesday"/>
    <s v="Monthly - Tuesday"/>
    <s v="Month+11 Expiry"/>
    <n v="0"/>
    <n v="0"/>
    <n v="0"/>
  </r>
  <r>
    <s v="27-Oct-2025"/>
    <x v="0"/>
    <s v="Week4-Oct-2025"/>
    <x v="1"/>
    <s v="Q3FY26"/>
    <s v="28-Oct-2025"/>
    <s v="Tuesday"/>
    <s v="Monthly - Tuesday"/>
    <s v="Monthly - Tuesday"/>
    <s v="Same Month Expiry"/>
    <n v="20633717"/>
    <n v="41419.0311"/>
    <n v="92.0924"/>
  </r>
  <r>
    <s v="27-Oct-2025"/>
    <x v="0"/>
    <s v="Week4-Oct-2025"/>
    <x v="1"/>
    <s v="Q3FY26"/>
    <s v="25-Nov-2025"/>
    <s v="Tuesday"/>
    <s v="Monthly - Tuesday"/>
    <s v="Monthly - Tuesday"/>
    <s v="Month+1 Expiry"/>
    <n v="524563"/>
    <n v="1071.4397"/>
    <n v="10.9108"/>
  </r>
  <r>
    <s v="27-Oct-2025"/>
    <x v="0"/>
    <s v="Week4-Oct-2025"/>
    <x v="1"/>
    <s v="Q3FY26"/>
    <s v="30-Dec-2025"/>
    <s v="Tuesday"/>
    <s v="Monthly - Tuesday"/>
    <s v="Monthly - Tuesday"/>
    <s v="Month+2 Expiry"/>
    <n v="19469"/>
    <n v="39.6986"/>
    <n v="0.5133"/>
  </r>
  <r>
    <s v="27-Oct-2025"/>
    <x v="0"/>
    <s v="Week4-Oct-2025"/>
    <x v="1"/>
    <s v="Q3FY26"/>
    <s v="31-Mar-2026"/>
    <s v="Tuesday"/>
    <s v="Monthly - Tuesday"/>
    <s v="Monthly - Tuesday"/>
    <s v="Month+5 Expiry"/>
    <n v="428"/>
    <n v="0.867"/>
    <n v="0.0152"/>
  </r>
  <r>
    <s v="27-Oct-2025"/>
    <x v="0"/>
    <s v="Week4-Oct-2025"/>
    <x v="1"/>
    <s v="Q3FY26"/>
    <s v="30-Jun-2026"/>
    <s v="Tuesday"/>
    <s v="Monthly - Tuesday"/>
    <s v="Monthly - Tuesday"/>
    <s v="Month+8 Expiry"/>
    <n v="0"/>
    <n v="0"/>
    <n v="0"/>
  </r>
  <r>
    <s v="27-Oct-2025"/>
    <x v="0"/>
    <s v="Week4-Oct-2025"/>
    <x v="1"/>
    <s v="Q3FY26"/>
    <s v="29-Sep-2026"/>
    <s v="Tuesday"/>
    <s v="Monthly - Tuesday"/>
    <s v="Monthly - Tuesday"/>
    <s v="Month+11 Expiry"/>
    <n v="0"/>
    <n v="0"/>
    <n v="0"/>
  </r>
  <r>
    <s v="28-Oct-2025"/>
    <x v="1"/>
    <s v="Week4-Oct-2025"/>
    <x v="1"/>
    <s v="Q3FY26"/>
    <s v="28-Oct-2025"/>
    <s v="Tuesday"/>
    <s v="Monthly - Tuesday"/>
    <s v="Monthly - Tuesday"/>
    <s v="Same Month Expiry"/>
    <n v="87083272"/>
    <n v="174516.3723"/>
    <n v="174.0738"/>
  </r>
  <r>
    <s v="28-Oct-2025"/>
    <x v="1"/>
    <s v="Week4-Oct-2025"/>
    <x v="1"/>
    <s v="Q3FY26"/>
    <s v="25-Nov-2025"/>
    <s v="Tuesday"/>
    <s v="Monthly - Tuesday"/>
    <s v="Monthly - Tuesday"/>
    <s v="Month+1 Expiry"/>
    <n v="1161369"/>
    <n v="2374.4517"/>
    <n v="22.0947"/>
  </r>
  <r>
    <s v="28-Oct-2025"/>
    <x v="1"/>
    <s v="Week4-Oct-2025"/>
    <x v="1"/>
    <s v="Q3FY26"/>
    <s v="30-Dec-2025"/>
    <s v="Tuesday"/>
    <s v="Monthly - Tuesday"/>
    <s v="Monthly - Tuesday"/>
    <s v="Month+2 Expiry"/>
    <n v="23664"/>
    <n v="48.7366"/>
    <n v="0.7335"/>
  </r>
  <r>
    <s v="28-Oct-2025"/>
    <x v="1"/>
    <s v="Week4-Oct-2025"/>
    <x v="1"/>
    <s v="Q3FY26"/>
    <s v="31-Mar-2026"/>
    <s v="Tuesday"/>
    <s v="Monthly - Tuesday"/>
    <s v="Monthly - Tuesday"/>
    <s v="Month+5 Expiry"/>
    <n v="638"/>
    <n v="1.3148"/>
    <n v="0.0254"/>
  </r>
  <r>
    <s v="28-Oct-2025"/>
    <x v="1"/>
    <s v="Week4-Oct-2025"/>
    <x v="1"/>
    <s v="Q3FY26"/>
    <s v="30-Jun-2026"/>
    <s v="Tuesday"/>
    <s v="Monthly - Tuesday"/>
    <s v="Monthly - Tuesday"/>
    <s v="Month+8 Expiry"/>
    <n v="0"/>
    <n v="0"/>
    <n v="0"/>
  </r>
  <r>
    <s v="28-Oct-2025"/>
    <x v="1"/>
    <s v="Week4-Oct-2025"/>
    <x v="1"/>
    <s v="Q3FY26"/>
    <s v="29-Sep-2026"/>
    <s v="Tuesday"/>
    <s v="Monthly - Tuesday"/>
    <s v="Monthly - Tuesday"/>
    <s v="Month+11 Expiry"/>
    <n v="0"/>
    <n v="0"/>
    <n v="0"/>
  </r>
  <r>
    <s v="29-Oct-2025"/>
    <x v="2"/>
    <s v="Week5-Oct-2025"/>
    <x v="1"/>
    <s v="Q3FY26"/>
    <s v="25-Nov-2025"/>
    <s v="Tuesday"/>
    <s v="Monthly - Tuesday"/>
    <s v="Monthly - Tuesday"/>
    <s v="Month+1 Expiry"/>
    <n v="2212302"/>
    <n v="4533.5092"/>
    <n v="39.933"/>
  </r>
  <r>
    <s v="29-Oct-2025"/>
    <x v="2"/>
    <s v="Week5-Oct-2025"/>
    <x v="1"/>
    <s v="Q3FY26"/>
    <s v="30-Dec-2025"/>
    <s v="Tuesday"/>
    <s v="Monthly - Tuesday"/>
    <s v="Monthly - Tuesday"/>
    <s v="Month+2 Expiry"/>
    <n v="24422"/>
    <n v="50.1036"/>
    <n v="0.5782"/>
  </r>
  <r>
    <s v="29-Oct-2025"/>
    <x v="2"/>
    <s v="Week5-Oct-2025"/>
    <x v="1"/>
    <s v="Q3FY26"/>
    <s v="27-Jan-2026"/>
    <s v="Tuesday"/>
    <s v="Monthly - Tuesday"/>
    <s v="Monthly - Tuesday"/>
    <s v="Month+3 Expiry"/>
    <n v="86"/>
    <n v="0.1527"/>
    <n v="0.004"/>
  </r>
  <r>
    <s v="29-Oct-2025"/>
    <x v="2"/>
    <s v="Week5-Oct-2025"/>
    <x v="1"/>
    <s v="Q3FY26"/>
    <s v="31-Mar-2026"/>
    <s v="Tuesday"/>
    <s v="Monthly - Tuesday"/>
    <s v="Monthly - Tuesday"/>
    <s v="Month+5 Expiry"/>
    <n v="550"/>
    <n v="1.1346"/>
    <n v="0.0219"/>
  </r>
  <r>
    <s v="29-Oct-2025"/>
    <x v="2"/>
    <s v="Week5-Oct-2025"/>
    <x v="1"/>
    <s v="Q3FY26"/>
    <s v="30-Jun-2026"/>
    <s v="Tuesday"/>
    <s v="Monthly - Tuesday"/>
    <s v="Monthly - Tuesday"/>
    <s v="Month+8 Expiry"/>
    <n v="0"/>
    <n v="0"/>
    <n v="0"/>
  </r>
  <r>
    <s v="29-Oct-2025"/>
    <x v="2"/>
    <s v="Week5-Oct-2025"/>
    <x v="1"/>
    <s v="Q3FY26"/>
    <s v="29-Sep-2026"/>
    <s v="Tuesday"/>
    <s v="Monthly - Tuesday"/>
    <s v="Monthly - Tuesday"/>
    <s v="Month+11 Expiry"/>
    <n v="0"/>
    <n v="0"/>
    <n v="0"/>
  </r>
  <r>
    <s v="30-Oct-2025"/>
    <x v="3"/>
    <s v="Week5-Oct-2025"/>
    <x v="1"/>
    <s v="Q3FY26"/>
    <s v="25-Nov-2025"/>
    <s v="Tuesday"/>
    <s v="Monthly - Tuesday"/>
    <s v="Monthly - Tuesday"/>
    <s v="Month+1 Expiry"/>
    <n v="1949720"/>
    <n v="3994.3844"/>
    <n v="34.4945"/>
  </r>
  <r>
    <s v="30-Oct-2025"/>
    <x v="3"/>
    <s v="Week5-Oct-2025"/>
    <x v="1"/>
    <s v="Q3FY26"/>
    <s v="30-Dec-2025"/>
    <s v="Tuesday"/>
    <s v="Monthly - Tuesday"/>
    <s v="Monthly - Tuesday"/>
    <s v="Month+2 Expiry"/>
    <n v="20662"/>
    <n v="42.1782"/>
    <n v="0.4723"/>
  </r>
  <r>
    <s v="30-Oct-2025"/>
    <x v="3"/>
    <s v="Week5-Oct-2025"/>
    <x v="1"/>
    <s v="Q3FY26"/>
    <s v="27-Jan-2026"/>
    <s v="Tuesday"/>
    <s v="Monthly - Tuesday"/>
    <s v="Monthly - Tuesday"/>
    <s v="Month+3 Expiry"/>
    <n v="292"/>
    <n v="0.5053"/>
    <n v="0.0071"/>
  </r>
  <r>
    <s v="30-Oct-2025"/>
    <x v="3"/>
    <s v="Week5-Oct-2025"/>
    <x v="1"/>
    <s v="Q3FY26"/>
    <s v="31-Mar-2026"/>
    <s v="Tuesday"/>
    <s v="Monthly - Tuesday"/>
    <s v="Monthly - Tuesday"/>
    <s v="Month+5 Expiry"/>
    <n v="1572"/>
    <n v="3.1757"/>
    <n v="0.0477"/>
  </r>
  <r>
    <s v="30-Oct-2025"/>
    <x v="3"/>
    <s v="Week5-Oct-2025"/>
    <x v="1"/>
    <s v="Q3FY26"/>
    <s v="30-Jun-2026"/>
    <s v="Tuesday"/>
    <s v="Monthly - Tuesday"/>
    <s v="Monthly - Tuesday"/>
    <s v="Month+8 Expiry"/>
    <n v="0"/>
    <n v="0"/>
    <n v="0"/>
  </r>
  <r>
    <s v="30-Oct-2025"/>
    <x v="3"/>
    <s v="Week5-Oct-2025"/>
    <x v="1"/>
    <s v="Q3FY26"/>
    <s v="29-Sep-2026"/>
    <s v="Tuesday"/>
    <s v="Monthly - Tuesday"/>
    <s v="Monthly - Tuesday"/>
    <s v="Month+11 Expiry"/>
    <n v="0"/>
    <n v="0"/>
    <n v="0"/>
  </r>
  <r>
    <s v="31-Oct-2025"/>
    <x v="4"/>
    <s v="Week5-Oct-2025"/>
    <x v="1"/>
    <s v="Q3FY26"/>
    <s v="25-Nov-2025"/>
    <s v="Tuesday"/>
    <s v="Monthly - Tuesday"/>
    <s v="Monthly - Tuesday"/>
    <s v="Month+1 Expiry"/>
    <n v="2569744"/>
    <n v="5245.7318"/>
    <n v="44.9016"/>
  </r>
  <r>
    <s v="31-Oct-2025"/>
    <x v="4"/>
    <s v="Week5-Oct-2025"/>
    <x v="1"/>
    <s v="Q3FY26"/>
    <s v="30-Dec-2025"/>
    <s v="Tuesday"/>
    <s v="Monthly - Tuesday"/>
    <s v="Monthly - Tuesday"/>
    <s v="Month+2 Expiry"/>
    <n v="30409"/>
    <n v="62.9764"/>
    <n v="0.7359"/>
  </r>
  <r>
    <s v="31-Oct-2025"/>
    <x v="4"/>
    <s v="Week5-Oct-2025"/>
    <x v="1"/>
    <s v="Q3FY26"/>
    <s v="27-Jan-2026"/>
    <s v="Tuesday"/>
    <s v="Monthly - Tuesday"/>
    <s v="Monthly - Tuesday"/>
    <s v="Month+3 Expiry"/>
    <n v="427"/>
    <n v="0.7334000000000001"/>
    <n v="0.008999999999999999"/>
  </r>
  <r>
    <s v="31-Oct-2025"/>
    <x v="4"/>
    <s v="Week5-Oct-2025"/>
    <x v="1"/>
    <s v="Q3FY26"/>
    <s v="31-Mar-2026"/>
    <s v="Tuesday"/>
    <s v="Monthly - Tuesday"/>
    <s v="Monthly - Tuesday"/>
    <s v="Month+5 Expiry"/>
    <n v="538"/>
    <n v="1.0946"/>
    <n v="0.0188"/>
  </r>
  <r>
    <s v="31-Oct-2025"/>
    <x v="4"/>
    <s v="Week5-Oct-2025"/>
    <x v="1"/>
    <s v="Q3FY26"/>
    <s v="30-Jun-2026"/>
    <s v="Tuesday"/>
    <s v="Monthly - Tuesday"/>
    <s v="Monthly - Tuesday"/>
    <s v="Month+8 Expiry"/>
    <n v="0"/>
    <n v="0"/>
    <n v="0"/>
  </r>
  <r>
    <s v="31-Oct-2025"/>
    <x v="4"/>
    <s v="Week5-Oct-2025"/>
    <x v="1"/>
    <s v="Q3FY26"/>
    <s v="29-Sep-2026"/>
    <s v="Tuesday"/>
    <s v="Monthly - Tuesday"/>
    <s v="Monthly - Tuesday"/>
    <s v="Month+11 Expiry"/>
    <n v="0"/>
    <n v="0"/>
    <n v="0"/>
  </r>
  <r>
    <s v="03-Nov-2025"/>
    <x v="0"/>
    <s v="Week1-Nov-2025"/>
    <x v="2"/>
    <s v="Q3FY26"/>
    <s v="25-Nov-2025"/>
    <s v="Tuesday"/>
    <s v="Monthly - Tuesday"/>
    <s v="Monthly - Tuesday"/>
    <s v="Same Month Expiry"/>
    <n v="2228380"/>
    <n v="4560.7056"/>
    <n v="37.6346"/>
  </r>
  <r>
    <s v="03-Nov-2025"/>
    <x v="0"/>
    <s v="Week1-Nov-2025"/>
    <x v="2"/>
    <s v="Q3FY26"/>
    <s v="30-Dec-2025"/>
    <s v="Tuesday"/>
    <s v="Monthly - Tuesday"/>
    <s v="Monthly - Tuesday"/>
    <s v="Month+1 Expiry"/>
    <n v="27468"/>
    <n v="56.4141"/>
    <n v="0.5905"/>
  </r>
  <r>
    <s v="03-Nov-2025"/>
    <x v="0"/>
    <s v="Week1-Nov-2025"/>
    <x v="2"/>
    <s v="Q3FY26"/>
    <s v="27-Jan-2026"/>
    <s v="Tuesday"/>
    <s v="Monthly - Tuesday"/>
    <s v="Monthly - Tuesday"/>
    <s v="Month+2 Expiry"/>
    <n v="351"/>
    <n v="0.6025"/>
    <n v="0.0065"/>
  </r>
  <r>
    <s v="03-Nov-2025"/>
    <x v="0"/>
    <s v="Week1-Nov-2025"/>
    <x v="2"/>
    <s v="Q3FY26"/>
    <s v="31-Mar-2026"/>
    <s v="Tuesday"/>
    <s v="Monthly - Tuesday"/>
    <s v="Monthly - Tuesday"/>
    <s v="Month+4 Expiry"/>
    <n v="474"/>
    <n v="0.9879"/>
    <n v="0.0211"/>
  </r>
  <r>
    <s v="03-Nov-2025"/>
    <x v="0"/>
    <s v="Week1-Nov-2025"/>
    <x v="2"/>
    <s v="Q3FY26"/>
    <s v="30-Jun-2026"/>
    <s v="Tuesday"/>
    <s v="Monthly - Tuesday"/>
    <s v="Monthly - Tuesday"/>
    <s v="Month+7 Expiry"/>
    <n v="0"/>
    <n v="0"/>
    <n v="0"/>
  </r>
  <r>
    <s v="03-Nov-2025"/>
    <x v="0"/>
    <s v="Week1-Nov-2025"/>
    <x v="2"/>
    <s v="Q3FY26"/>
    <s v="29-Sep-2026"/>
    <s v="Tuesday"/>
    <s v="Monthly - Tuesday"/>
    <s v="Monthly - Tuesday"/>
    <s v="Month+10 Expiry"/>
    <n v="0"/>
    <n v="0"/>
    <n v="0"/>
  </r>
  <r>
    <s v="04-Nov-2025"/>
    <x v="1"/>
    <s v="Week1-Nov-2025"/>
    <x v="2"/>
    <s v="Q3FY26"/>
    <s v="25-Nov-2025"/>
    <s v="Tuesday"/>
    <s v="Monthly - Tuesday"/>
    <s v="Monthly - Tuesday"/>
    <s v="Same Month Expiry"/>
    <n v="1994174"/>
    <n v="4075.2826"/>
    <n v="31.5015"/>
  </r>
  <r>
    <s v="04-Nov-2025"/>
    <x v="1"/>
    <s v="Week1-Nov-2025"/>
    <x v="2"/>
    <s v="Q3FY26"/>
    <s v="30-Dec-2025"/>
    <s v="Tuesday"/>
    <s v="Monthly - Tuesday"/>
    <s v="Monthly - Tuesday"/>
    <s v="Month+1 Expiry"/>
    <n v="28187"/>
    <n v="57.8767"/>
    <n v="0.5515"/>
  </r>
  <r>
    <s v="04-Nov-2025"/>
    <x v="1"/>
    <s v="Week1-Nov-2025"/>
    <x v="2"/>
    <s v="Q3FY26"/>
    <s v="27-Jan-2026"/>
    <s v="Tuesday"/>
    <s v="Monthly - Tuesday"/>
    <s v="Monthly - Tuesday"/>
    <s v="Month+2 Expiry"/>
    <n v="320"/>
    <n v="0.5482"/>
    <n v="0.0058"/>
  </r>
  <r>
    <s v="04-Nov-2025"/>
    <x v="1"/>
    <s v="Week1-Nov-2025"/>
    <x v="2"/>
    <s v="Q3FY26"/>
    <s v="31-Mar-2026"/>
    <s v="Tuesday"/>
    <s v="Monthly - Tuesday"/>
    <s v="Monthly - Tuesday"/>
    <s v="Month+4 Expiry"/>
    <n v="203"/>
    <n v="0.4164"/>
    <n v="0.008"/>
  </r>
  <r>
    <s v="04-Nov-2025"/>
    <x v="1"/>
    <s v="Week1-Nov-2025"/>
    <x v="2"/>
    <s v="Q3FY26"/>
    <s v="30-Jun-2026"/>
    <s v="Tuesday"/>
    <s v="Monthly - Tuesday"/>
    <s v="Monthly - Tuesday"/>
    <s v="Month+7 Expiry"/>
    <n v="0"/>
    <n v="0"/>
    <n v="0"/>
  </r>
  <r>
    <s v="04-Nov-2025"/>
    <x v="1"/>
    <s v="Week1-Nov-2025"/>
    <x v="2"/>
    <s v="Q3FY26"/>
    <s v="29-Sep-2026"/>
    <s v="Tuesday"/>
    <s v="Monthly - Tuesday"/>
    <s v="Monthly - Tuesday"/>
    <s v="Month+10 Expiry"/>
    <n v="0"/>
    <n v="0"/>
    <n v="0"/>
  </r>
  <r>
    <s v="06-Nov-2025"/>
    <x v="3"/>
    <s v="Week1-Nov-2025"/>
    <x v="2"/>
    <s v="Q3FY26"/>
    <s v="25-Nov-2025"/>
    <s v="Tuesday"/>
    <s v="Monthly - Tuesday"/>
    <s v="Monthly - Tuesday"/>
    <s v="Same Month Expiry"/>
    <n v="2186489"/>
    <n v="4438.1484"/>
    <n v="33.4573"/>
  </r>
  <r>
    <s v="06-Nov-2025"/>
    <x v="3"/>
    <s v="Week1-Nov-2025"/>
    <x v="2"/>
    <s v="Q3FY26"/>
    <s v="30-Dec-2025"/>
    <s v="Tuesday"/>
    <s v="Monthly - Tuesday"/>
    <s v="Monthly - Tuesday"/>
    <s v="Month+1 Expiry"/>
    <n v="38633"/>
    <n v="79.3771"/>
    <n v="0.7374000000000001"/>
  </r>
  <r>
    <s v="06-Nov-2025"/>
    <x v="3"/>
    <s v="Week1-Nov-2025"/>
    <x v="2"/>
    <s v="Q3FY26"/>
    <s v="27-Jan-2026"/>
    <s v="Tuesday"/>
    <s v="Monthly - Tuesday"/>
    <s v="Monthly - Tuesday"/>
    <s v="Month+2 Expiry"/>
    <n v="831"/>
    <n v="1.4427"/>
    <n v="0.0187"/>
  </r>
  <r>
    <s v="06-Nov-2025"/>
    <x v="3"/>
    <s v="Week1-Nov-2025"/>
    <x v="2"/>
    <s v="Q3FY26"/>
    <s v="31-Mar-2026"/>
    <s v="Tuesday"/>
    <s v="Monthly - Tuesday"/>
    <s v="Monthly - Tuesday"/>
    <s v="Month+4 Expiry"/>
    <n v="296"/>
    <n v="0.6095"/>
    <n v="0.0109"/>
  </r>
  <r>
    <s v="06-Nov-2025"/>
    <x v="3"/>
    <s v="Week1-Nov-2025"/>
    <x v="2"/>
    <s v="Q3FY26"/>
    <s v="30-Jun-2026"/>
    <s v="Tuesday"/>
    <s v="Monthly - Tuesday"/>
    <s v="Monthly - Tuesday"/>
    <s v="Month+7 Expiry"/>
    <n v="0"/>
    <n v="0"/>
    <n v="0"/>
  </r>
  <r>
    <s v="06-Nov-2025"/>
    <x v="3"/>
    <s v="Week1-Nov-2025"/>
    <x v="2"/>
    <s v="Q3FY26"/>
    <s v="29-Sep-2026"/>
    <s v="Tuesday"/>
    <s v="Monthly - Tuesday"/>
    <s v="Monthly - Tuesday"/>
    <s v="Month+10 Expiry"/>
    <n v="0"/>
    <n v="0"/>
    <n v="0"/>
  </r>
  <r>
    <s v="07-Nov-2025"/>
    <x v="4"/>
    <s v="Week1-Nov-2025"/>
    <x v="2"/>
    <s v="Q3FY26"/>
    <s v="25-Nov-2025"/>
    <s v="Tuesday"/>
    <s v="Monthly - Tuesday"/>
    <s v="Monthly - Tuesday"/>
    <s v="Same Month Expiry"/>
    <n v="3649590"/>
    <n v="7404.2229"/>
    <n v="52.7441"/>
  </r>
  <r>
    <s v="07-Nov-2025"/>
    <x v="4"/>
    <s v="Week1-Nov-2025"/>
    <x v="2"/>
    <s v="Q3FY26"/>
    <s v="30-Dec-2025"/>
    <s v="Tuesday"/>
    <s v="Monthly - Tuesday"/>
    <s v="Monthly - Tuesday"/>
    <s v="Month+1 Expiry"/>
    <n v="77834"/>
    <n v="159.4762"/>
    <n v="1.403"/>
  </r>
  <r>
    <s v="07-Nov-2025"/>
    <x v="4"/>
    <s v="Week1-Nov-2025"/>
    <x v="2"/>
    <s v="Q3FY26"/>
    <s v="27-Jan-2026"/>
    <s v="Tuesday"/>
    <s v="Monthly - Tuesday"/>
    <s v="Monthly - Tuesday"/>
    <s v="Month+2 Expiry"/>
    <n v="3310"/>
    <n v="5.6549"/>
    <n v="0.0641"/>
  </r>
  <r>
    <s v="07-Nov-2025"/>
    <x v="4"/>
    <s v="Week1-Nov-2025"/>
    <x v="2"/>
    <s v="Q3FY26"/>
    <s v="31-Mar-2026"/>
    <s v="Tuesday"/>
    <s v="Monthly - Tuesday"/>
    <s v="Monthly - Tuesday"/>
    <s v="Month+4 Expiry"/>
    <n v="695"/>
    <n v="1.4105"/>
    <n v="0.0221"/>
  </r>
  <r>
    <s v="07-Nov-2025"/>
    <x v="4"/>
    <s v="Week1-Nov-2025"/>
    <x v="2"/>
    <s v="Q3FY26"/>
    <s v="30-Jun-2026"/>
    <s v="Tuesday"/>
    <s v="Monthly - Tuesday"/>
    <s v="Monthly - Tuesday"/>
    <s v="Month+7 Expiry"/>
    <n v="0"/>
    <n v="0"/>
    <n v="0"/>
  </r>
  <r>
    <s v="07-Nov-2025"/>
    <x v="4"/>
    <s v="Week1-Nov-2025"/>
    <x v="2"/>
    <s v="Q3FY26"/>
    <s v="29-Sep-2026"/>
    <s v="Tuesday"/>
    <s v="Monthly - Tuesday"/>
    <s v="Monthly - Tuesday"/>
    <s v="Month+10 Expiry"/>
    <n v="0"/>
    <n v="0"/>
    <n v="0"/>
  </r>
  <r>
    <s v="10-Nov-2025"/>
    <x v="0"/>
    <s v="Week2-Nov-2025"/>
    <x v="2"/>
    <s v="Q3FY26"/>
    <s v="25-Nov-2025"/>
    <s v="Tuesday"/>
    <s v="Monthly - Tuesday"/>
    <s v="Monthly - Tuesday"/>
    <s v="Same Month Expiry"/>
    <n v="2241174"/>
    <n v="4558.8152"/>
    <n v="31.664"/>
  </r>
  <r>
    <s v="10-Nov-2025"/>
    <x v="0"/>
    <s v="Week2-Nov-2025"/>
    <x v="2"/>
    <s v="Q3FY26"/>
    <s v="30-Dec-2025"/>
    <s v="Tuesday"/>
    <s v="Monthly - Tuesday"/>
    <s v="Monthly - Tuesday"/>
    <s v="Month+1 Expiry"/>
    <n v="33783"/>
    <n v="68.6112"/>
    <n v="0.5643"/>
  </r>
  <r>
    <s v="10-Nov-2025"/>
    <x v="0"/>
    <s v="Week2-Nov-2025"/>
    <x v="2"/>
    <s v="Q3FY26"/>
    <s v="27-Jan-2026"/>
    <s v="Tuesday"/>
    <s v="Monthly - Tuesday"/>
    <s v="Monthly - Tuesday"/>
    <s v="Month+2 Expiry"/>
    <n v="1569"/>
    <n v="2.7335"/>
    <n v="0.0377"/>
  </r>
  <r>
    <s v="10-Nov-2025"/>
    <x v="0"/>
    <s v="Week2-Nov-2025"/>
    <x v="2"/>
    <s v="Q3FY26"/>
    <s v="31-Mar-2026"/>
    <s v="Tuesday"/>
    <s v="Monthly - Tuesday"/>
    <s v="Monthly - Tuesday"/>
    <s v="Month+4 Expiry"/>
    <n v="301"/>
    <n v="0.619"/>
    <n v="0.0106"/>
  </r>
  <r>
    <s v="10-Nov-2025"/>
    <x v="0"/>
    <s v="Week2-Nov-2025"/>
    <x v="2"/>
    <s v="Q3FY26"/>
    <s v="30-Jun-2026"/>
    <s v="Tuesday"/>
    <s v="Monthly - Tuesday"/>
    <s v="Monthly - Tuesday"/>
    <s v="Month+7 Expiry"/>
    <n v="0"/>
    <n v="0"/>
    <n v="0"/>
  </r>
  <r>
    <s v="10-Nov-2025"/>
    <x v="0"/>
    <s v="Week2-Nov-2025"/>
    <x v="2"/>
    <s v="Q3FY26"/>
    <s v="29-Sep-2026"/>
    <s v="Tuesday"/>
    <s v="Monthly - Tuesday"/>
    <s v="Monthly - Tuesday"/>
    <s v="Month+10 Expiry"/>
    <n v="0"/>
    <n v="0"/>
    <n v="0"/>
  </r>
  <r>
    <s v="11-Nov-2025"/>
    <x v="1"/>
    <s v="Week2-Nov-2025"/>
    <x v="2"/>
    <s v="Q3FY26"/>
    <s v="25-Nov-2025"/>
    <s v="Tuesday"/>
    <s v="Monthly - Tuesday"/>
    <s v="Monthly - Tuesday"/>
    <s v="Same Month Expiry"/>
    <n v="2918580"/>
    <n v="5918.5083"/>
    <n v="40.4773"/>
  </r>
  <r>
    <s v="11-Nov-2025"/>
    <x v="1"/>
    <s v="Week2-Nov-2025"/>
    <x v="2"/>
    <s v="Q3FY26"/>
    <s v="30-Dec-2025"/>
    <s v="Tuesday"/>
    <s v="Monthly - Tuesday"/>
    <s v="Monthly - Tuesday"/>
    <s v="Month+1 Expiry"/>
    <n v="52106"/>
    <n v="106.8488"/>
    <n v="1.008"/>
  </r>
  <r>
    <s v="11-Nov-2025"/>
    <x v="1"/>
    <s v="Week2-Nov-2025"/>
    <x v="2"/>
    <s v="Q3FY26"/>
    <s v="27-Jan-2026"/>
    <s v="Tuesday"/>
    <s v="Monthly - Tuesday"/>
    <s v="Monthly - Tuesday"/>
    <s v="Month+2 Expiry"/>
    <n v="2356"/>
    <n v="4.0817"/>
    <n v="0.0508"/>
  </r>
  <r>
    <s v="11-Nov-2025"/>
    <x v="1"/>
    <s v="Week2-Nov-2025"/>
    <x v="2"/>
    <s v="Q3FY26"/>
    <s v="31-Mar-2026"/>
    <s v="Tuesday"/>
    <s v="Monthly - Tuesday"/>
    <s v="Monthly - Tuesday"/>
    <s v="Month+4 Expiry"/>
    <n v="533"/>
    <n v="1.0925"/>
    <n v="0.018"/>
  </r>
  <r>
    <s v="11-Nov-2025"/>
    <x v="1"/>
    <s v="Week2-Nov-2025"/>
    <x v="2"/>
    <s v="Q3FY26"/>
    <s v="30-Jun-2026"/>
    <s v="Tuesday"/>
    <s v="Monthly - Tuesday"/>
    <s v="Monthly - Tuesday"/>
    <s v="Month+7 Expiry"/>
    <n v="0"/>
    <n v="0"/>
    <n v="0"/>
  </r>
  <r>
    <s v="11-Nov-2025"/>
    <x v="1"/>
    <s v="Week2-Nov-2025"/>
    <x v="2"/>
    <s v="Q3FY26"/>
    <s v="29-Sep-2026"/>
    <s v="Tuesday"/>
    <s v="Monthly - Tuesday"/>
    <s v="Monthly - Tuesday"/>
    <s v="Month+10 Expiry"/>
    <n v="0"/>
    <n v="0"/>
    <n v="0"/>
  </r>
  <r>
    <s v="12-Nov-2025"/>
    <x v="2"/>
    <s v="Week2-Nov-2025"/>
    <x v="2"/>
    <s v="Q3FY26"/>
    <s v="25-Nov-2025"/>
    <s v="Tuesday"/>
    <s v="Monthly - Tuesday"/>
    <s v="Monthly - Tuesday"/>
    <s v="Same Month Expiry"/>
    <n v="2822988"/>
    <n v="5744.3682"/>
    <n v="37.1654"/>
  </r>
  <r>
    <s v="12-Nov-2025"/>
    <x v="2"/>
    <s v="Week2-Nov-2025"/>
    <x v="2"/>
    <s v="Q3FY26"/>
    <s v="30-Dec-2025"/>
    <s v="Tuesday"/>
    <s v="Monthly - Tuesday"/>
    <s v="Monthly - Tuesday"/>
    <s v="Month+1 Expiry"/>
    <n v="60386"/>
    <n v="122.3852"/>
    <n v="1.043"/>
  </r>
  <r>
    <s v="12-Nov-2025"/>
    <x v="2"/>
    <s v="Week2-Nov-2025"/>
    <x v="2"/>
    <s v="Q3FY26"/>
    <s v="27-Jan-2026"/>
    <s v="Tuesday"/>
    <s v="Monthly - Tuesday"/>
    <s v="Monthly - Tuesday"/>
    <s v="Month+2 Expiry"/>
    <n v="2598"/>
    <n v="4.473"/>
    <n v="0.047"/>
  </r>
  <r>
    <s v="12-Nov-2025"/>
    <x v="2"/>
    <s v="Week2-Nov-2025"/>
    <x v="2"/>
    <s v="Q3FY26"/>
    <s v="31-Mar-2026"/>
    <s v="Tuesday"/>
    <s v="Monthly - Tuesday"/>
    <s v="Monthly - Tuesday"/>
    <s v="Month+4 Expiry"/>
    <n v="491"/>
    <n v="1.0057"/>
    <n v="0.0158"/>
  </r>
  <r>
    <s v="12-Nov-2025"/>
    <x v="2"/>
    <s v="Week2-Nov-2025"/>
    <x v="2"/>
    <s v="Q3FY26"/>
    <s v="30-Jun-2026"/>
    <s v="Tuesday"/>
    <s v="Monthly - Tuesday"/>
    <s v="Monthly - Tuesday"/>
    <s v="Month+7 Expiry"/>
    <n v="0"/>
    <n v="0"/>
    <n v="0"/>
  </r>
  <r>
    <s v="12-Nov-2025"/>
    <x v="2"/>
    <s v="Week2-Nov-2025"/>
    <x v="2"/>
    <s v="Q3FY26"/>
    <s v="29-Sep-2026"/>
    <s v="Tuesday"/>
    <s v="Monthly - Tuesday"/>
    <s v="Monthly - Tuesday"/>
    <s v="Month+10 Expiry"/>
    <n v="0"/>
    <n v="0"/>
    <n v="0"/>
  </r>
  <r>
    <s v="13-Nov-2025"/>
    <x v="3"/>
    <s v="Week2-Nov-2025"/>
    <x v="2"/>
    <s v="Q3FY26"/>
    <s v="25-Nov-2025"/>
    <s v="Tuesday"/>
    <s v="Monthly - Tuesday"/>
    <s v="Monthly - Tuesday"/>
    <s v="Same Month Expiry"/>
    <n v="3111743"/>
    <n v="6363.0503"/>
    <n v="39.5913"/>
  </r>
  <r>
    <s v="13-Nov-2025"/>
    <x v="3"/>
    <s v="Week2-Nov-2025"/>
    <x v="2"/>
    <s v="Q3FY26"/>
    <s v="30-Dec-2025"/>
    <s v="Tuesday"/>
    <s v="Monthly - Tuesday"/>
    <s v="Monthly - Tuesday"/>
    <s v="Month+1 Expiry"/>
    <n v="72337"/>
    <n v="148.7316"/>
    <n v="1.3986"/>
  </r>
  <r>
    <s v="13-Nov-2025"/>
    <x v="3"/>
    <s v="Week2-Nov-2025"/>
    <x v="2"/>
    <s v="Q3FY26"/>
    <s v="27-Jan-2026"/>
    <s v="Tuesday"/>
    <s v="Monthly - Tuesday"/>
    <s v="Monthly - Tuesday"/>
    <s v="Month+2 Expiry"/>
    <n v="4137"/>
    <n v="7.295"/>
    <n v="0.109"/>
  </r>
  <r>
    <s v="13-Nov-2025"/>
    <x v="3"/>
    <s v="Week2-Nov-2025"/>
    <x v="2"/>
    <s v="Q3FY26"/>
    <s v="31-Mar-2026"/>
    <s v="Tuesday"/>
    <s v="Monthly - Tuesday"/>
    <s v="Monthly - Tuesday"/>
    <s v="Month+4 Expiry"/>
    <n v="767"/>
    <n v="1.5644"/>
    <n v="0.023"/>
  </r>
  <r>
    <s v="13-Nov-2025"/>
    <x v="3"/>
    <s v="Week2-Nov-2025"/>
    <x v="2"/>
    <s v="Q3FY26"/>
    <s v="30-Jun-2026"/>
    <s v="Tuesday"/>
    <s v="Monthly - Tuesday"/>
    <s v="Monthly - Tuesday"/>
    <s v="Month+7 Expiry"/>
    <n v="0"/>
    <n v="0"/>
    <n v="0"/>
  </r>
  <r>
    <s v="13-Nov-2025"/>
    <x v="3"/>
    <s v="Week2-Nov-2025"/>
    <x v="2"/>
    <s v="Q3FY26"/>
    <s v="29-Sep-2026"/>
    <s v="Tuesday"/>
    <s v="Monthly - Tuesday"/>
    <s v="Monthly - Tuesday"/>
    <s v="Month+10 Expiry"/>
    <n v="0"/>
    <n v="0"/>
    <n v="0"/>
  </r>
  <r>
    <s v="14-Nov-2025"/>
    <x v="4"/>
    <s v="Week2-Nov-2025"/>
    <x v="2"/>
    <s v="Q3FY26"/>
    <s v="25-Nov-2025"/>
    <s v="Tuesday"/>
    <s v="Monthly - Tuesday"/>
    <s v="Monthly - Tuesday"/>
    <s v="Same Month Expiry"/>
    <n v="3462484"/>
    <n v="7079.805"/>
    <n v="41.4364"/>
  </r>
  <r>
    <s v="14-Nov-2025"/>
    <x v="4"/>
    <s v="Week2-Nov-2025"/>
    <x v="2"/>
    <s v="Q3FY26"/>
    <s v="30-Dec-2025"/>
    <s v="Tuesday"/>
    <s v="Monthly - Tuesday"/>
    <s v="Monthly - Tuesday"/>
    <s v="Month+1 Expiry"/>
    <n v="68514"/>
    <n v="140.8927"/>
    <n v="1.331"/>
  </r>
  <r>
    <s v="14-Nov-2025"/>
    <x v="4"/>
    <s v="Week2-Nov-2025"/>
    <x v="2"/>
    <s v="Q3FY26"/>
    <s v="27-Jan-2026"/>
    <s v="Tuesday"/>
    <s v="Monthly - Tuesday"/>
    <s v="Monthly - Tuesday"/>
    <s v="Month+2 Expiry"/>
    <n v="2813"/>
    <n v="4.9643"/>
    <n v="0.07439999999999999"/>
  </r>
  <r>
    <s v="14-Nov-2025"/>
    <x v="4"/>
    <s v="Week2-Nov-2025"/>
    <x v="2"/>
    <s v="Q3FY26"/>
    <s v="31-Mar-2026"/>
    <s v="Tuesday"/>
    <s v="Monthly - Tuesday"/>
    <s v="Monthly - Tuesday"/>
    <s v="Month+4 Expiry"/>
    <n v="740"/>
    <n v="1.5206"/>
    <n v="0.026"/>
  </r>
  <r>
    <s v="14-Nov-2025"/>
    <x v="4"/>
    <s v="Week2-Nov-2025"/>
    <x v="2"/>
    <s v="Q3FY26"/>
    <s v="30-Jun-2026"/>
    <s v="Tuesday"/>
    <s v="Monthly - Tuesday"/>
    <s v="Monthly - Tuesday"/>
    <s v="Month+7 Expiry"/>
    <n v="0"/>
    <n v="0"/>
    <n v="0"/>
  </r>
  <r>
    <s v="14-Nov-2025"/>
    <x v="4"/>
    <s v="Week2-Nov-2025"/>
    <x v="2"/>
    <s v="Q3FY26"/>
    <s v="29-Sep-2026"/>
    <s v="Tuesday"/>
    <s v="Monthly - Tuesday"/>
    <s v="Monthly - Tuesday"/>
    <s v="Month+10 Expiry"/>
    <n v="0"/>
    <n v="0"/>
    <n v="0"/>
  </r>
  <r>
    <s v="17-Nov-2025"/>
    <x v="0"/>
    <s v="Week3-Nov-2025"/>
    <x v="2"/>
    <s v="Q3FY26"/>
    <s v="25-Nov-2025"/>
    <s v="Tuesday"/>
    <s v="Monthly - Tuesday"/>
    <s v="Monthly - Tuesday"/>
    <s v="Same Month Expiry"/>
    <n v="3637020"/>
    <n v="7453.548"/>
    <n v="38.0717"/>
  </r>
  <r>
    <s v="17-Nov-2025"/>
    <x v="0"/>
    <s v="Week3-Nov-2025"/>
    <x v="2"/>
    <s v="Q3FY26"/>
    <s v="30-Dec-2025"/>
    <s v="Tuesday"/>
    <s v="Monthly - Tuesday"/>
    <s v="Monthly - Tuesday"/>
    <s v="Month+1 Expiry"/>
    <n v="156925"/>
    <n v="324.9152"/>
    <n v="3.3285"/>
  </r>
  <r>
    <s v="17-Nov-2025"/>
    <x v="0"/>
    <s v="Week3-Nov-2025"/>
    <x v="2"/>
    <s v="Q3FY26"/>
    <s v="27-Jan-2026"/>
    <s v="Tuesday"/>
    <s v="Monthly - Tuesday"/>
    <s v="Monthly - Tuesday"/>
    <s v="Month+2 Expiry"/>
    <n v="3892"/>
    <n v="6.8327"/>
    <n v="0.0891"/>
  </r>
  <r>
    <s v="17-Nov-2025"/>
    <x v="0"/>
    <s v="Week3-Nov-2025"/>
    <x v="2"/>
    <s v="Q3FY26"/>
    <s v="31-Mar-2026"/>
    <s v="Tuesday"/>
    <s v="Monthly - Tuesday"/>
    <s v="Monthly - Tuesday"/>
    <s v="Month+4 Expiry"/>
    <n v="2128"/>
    <n v="4.3969"/>
    <n v="0.0833"/>
  </r>
  <r>
    <s v="17-Nov-2025"/>
    <x v="0"/>
    <s v="Week3-Nov-2025"/>
    <x v="2"/>
    <s v="Q3FY26"/>
    <s v="30-Jun-2026"/>
    <s v="Tuesday"/>
    <s v="Monthly - Tuesday"/>
    <s v="Monthly - Tuesday"/>
    <s v="Month+7 Expiry"/>
    <n v="0"/>
    <n v="0"/>
    <n v="0"/>
  </r>
  <r>
    <s v="17-Nov-2025"/>
    <x v="0"/>
    <s v="Week3-Nov-2025"/>
    <x v="2"/>
    <s v="Q3FY26"/>
    <s v="29-Sep-2026"/>
    <s v="Tuesday"/>
    <s v="Monthly - Tuesday"/>
    <s v="Monthly - Tuesday"/>
    <s v="Month+10 Expiry"/>
    <n v="0"/>
    <n v="0"/>
    <n v="0"/>
  </r>
  <r>
    <s v="18-Nov-2025"/>
    <x v="1"/>
    <s v="Week3-Nov-2025"/>
    <x v="2"/>
    <s v="Q3FY26"/>
    <s v="25-Nov-2025"/>
    <s v="Tuesday"/>
    <s v="Monthly - Tuesday"/>
    <s v="Monthly - Tuesday"/>
    <s v="Same Month Expiry"/>
    <n v="3898075"/>
    <n v="7995.4788"/>
    <n v="37.1648"/>
  </r>
  <r>
    <s v="18-Nov-2025"/>
    <x v="1"/>
    <s v="Week3-Nov-2025"/>
    <x v="2"/>
    <s v="Q3FY26"/>
    <s v="30-Dec-2025"/>
    <s v="Tuesday"/>
    <s v="Monthly - Tuesday"/>
    <s v="Monthly - Tuesday"/>
    <s v="Month+1 Expiry"/>
    <n v="123004"/>
    <n v="254.9535"/>
    <n v="2.6882"/>
  </r>
  <r>
    <s v="18-Nov-2025"/>
    <x v="1"/>
    <s v="Week3-Nov-2025"/>
    <x v="2"/>
    <s v="Q3FY26"/>
    <s v="27-Jan-2026"/>
    <s v="Tuesday"/>
    <s v="Monthly - Tuesday"/>
    <s v="Monthly - Tuesday"/>
    <s v="Month+2 Expiry"/>
    <n v="4143"/>
    <n v="7.2995"/>
    <n v="0.0946"/>
  </r>
  <r>
    <s v="18-Nov-2025"/>
    <x v="1"/>
    <s v="Week3-Nov-2025"/>
    <x v="2"/>
    <s v="Q3FY26"/>
    <s v="31-Mar-2026"/>
    <s v="Tuesday"/>
    <s v="Monthly - Tuesday"/>
    <s v="Monthly - Tuesday"/>
    <s v="Month+4 Expiry"/>
    <n v="1542"/>
    <n v="3.1601"/>
    <n v="0.053"/>
  </r>
  <r>
    <s v="18-Nov-2025"/>
    <x v="1"/>
    <s v="Week3-Nov-2025"/>
    <x v="2"/>
    <s v="Q3FY26"/>
    <s v="30-Jun-2026"/>
    <s v="Tuesday"/>
    <s v="Monthly - Tuesday"/>
    <s v="Monthly - Tuesday"/>
    <s v="Month+7 Expiry"/>
    <n v="0"/>
    <n v="0"/>
    <n v="0"/>
  </r>
  <r>
    <s v="18-Nov-2025"/>
    <x v="1"/>
    <s v="Week3-Nov-2025"/>
    <x v="2"/>
    <s v="Q3FY26"/>
    <s v="29-Sep-2026"/>
    <s v="Tuesday"/>
    <s v="Monthly - Tuesday"/>
    <s v="Monthly - Tuesday"/>
    <s v="Month+10 Expiry"/>
    <n v="0"/>
    <n v="0"/>
    <n v="0"/>
  </r>
  <r>
    <s v="19-Nov-2025"/>
    <x v="2"/>
    <s v="Week3-Nov-2025"/>
    <x v="2"/>
    <s v="Q3FY26"/>
    <s v="25-Nov-2025"/>
    <s v="Tuesday"/>
    <s v="Monthly - Tuesday"/>
    <s v="Monthly - Tuesday"/>
    <s v="Same Month Expiry"/>
    <n v="6053709"/>
    <n v="12387.7747"/>
    <n v="50.8172"/>
  </r>
  <r>
    <s v="19-Nov-2025"/>
    <x v="2"/>
    <s v="Week3-Nov-2025"/>
    <x v="2"/>
    <s v="Q3FY26"/>
    <s v="30-Dec-2025"/>
    <s v="Tuesday"/>
    <s v="Monthly - Tuesday"/>
    <s v="Monthly - Tuesday"/>
    <s v="Month+1 Expiry"/>
    <n v="199504"/>
    <n v="415.4035"/>
    <n v="4.3255"/>
  </r>
  <r>
    <s v="19-Nov-2025"/>
    <x v="2"/>
    <s v="Week3-Nov-2025"/>
    <x v="2"/>
    <s v="Q3FY26"/>
    <s v="27-Jan-2026"/>
    <s v="Tuesday"/>
    <s v="Monthly - Tuesday"/>
    <s v="Monthly - Tuesday"/>
    <s v="Month+2 Expiry"/>
    <n v="6526"/>
    <n v="11.6014"/>
    <n v="0.1587"/>
  </r>
  <r>
    <s v="19-Nov-2025"/>
    <x v="2"/>
    <s v="Week3-Nov-2025"/>
    <x v="2"/>
    <s v="Q3FY26"/>
    <s v="31-Mar-2026"/>
    <s v="Tuesday"/>
    <s v="Monthly - Tuesday"/>
    <s v="Monthly - Tuesday"/>
    <s v="Month+4 Expiry"/>
    <n v="1988"/>
    <n v="4.2025"/>
    <n v="0.0958"/>
  </r>
  <r>
    <s v="19-Nov-2025"/>
    <x v="2"/>
    <s v="Week3-Nov-2025"/>
    <x v="2"/>
    <s v="Q3FY26"/>
    <s v="30-Jun-2026"/>
    <s v="Tuesday"/>
    <s v="Monthly - Tuesday"/>
    <s v="Monthly - Tuesday"/>
    <s v="Month+7 Expiry"/>
    <n v="0"/>
    <n v="0"/>
    <n v="0"/>
  </r>
  <r>
    <s v="19-Nov-2025"/>
    <x v="2"/>
    <s v="Week3-Nov-2025"/>
    <x v="2"/>
    <s v="Q3FY26"/>
    <s v="29-Sep-2026"/>
    <s v="Tuesday"/>
    <s v="Monthly - Tuesday"/>
    <s v="Monthly - Tuesday"/>
    <s v="Month+10 Expiry"/>
    <n v="0"/>
    <n v="0"/>
    <n v="0"/>
  </r>
  <r>
    <s v="20-Nov-2025"/>
    <x v="3"/>
    <s v="Week3-Nov-2025"/>
    <x v="2"/>
    <s v="Q3FY26"/>
    <s v="25-Nov-2025"/>
    <s v="Tuesday"/>
    <s v="Monthly - Tuesday"/>
    <s v="Monthly - Tuesday"/>
    <s v="Same Month Expiry"/>
    <n v="5656595"/>
    <n v="11582.2529"/>
    <n v="39.4398"/>
  </r>
  <r>
    <s v="20-Nov-2025"/>
    <x v="3"/>
    <s v="Week3-Nov-2025"/>
    <x v="2"/>
    <s v="Q3FY26"/>
    <s v="30-Dec-2025"/>
    <s v="Tuesday"/>
    <s v="Monthly - Tuesday"/>
    <s v="Monthly - Tuesday"/>
    <s v="Month+1 Expiry"/>
    <n v="207429"/>
    <n v="431.9024"/>
    <n v="4.7164"/>
  </r>
  <r>
    <s v="20-Nov-2025"/>
    <x v="3"/>
    <s v="Week3-Nov-2025"/>
    <x v="2"/>
    <s v="Q3FY26"/>
    <s v="27-Jan-2026"/>
    <s v="Tuesday"/>
    <s v="Monthly - Tuesday"/>
    <s v="Monthly - Tuesday"/>
    <s v="Month+2 Expiry"/>
    <n v="6413"/>
    <n v="11.4207"/>
    <n v="0.1701"/>
  </r>
  <r>
    <s v="20-Nov-2025"/>
    <x v="3"/>
    <s v="Week3-Nov-2025"/>
    <x v="2"/>
    <s v="Q3FY26"/>
    <s v="31-Mar-2026"/>
    <s v="Tuesday"/>
    <s v="Monthly - Tuesday"/>
    <s v="Monthly - Tuesday"/>
    <s v="Month+4 Expiry"/>
    <n v="3035"/>
    <n v="6.3734"/>
    <n v="0.1283"/>
  </r>
  <r>
    <s v="20-Nov-2025"/>
    <x v="3"/>
    <s v="Week3-Nov-2025"/>
    <x v="2"/>
    <s v="Q3FY26"/>
    <s v="30-Jun-2026"/>
    <s v="Tuesday"/>
    <s v="Monthly - Tuesday"/>
    <s v="Monthly - Tuesday"/>
    <s v="Month+7 Expiry"/>
    <n v="0"/>
    <n v="0"/>
    <n v="0"/>
  </r>
  <r>
    <s v="20-Nov-2025"/>
    <x v="3"/>
    <s v="Week3-Nov-2025"/>
    <x v="2"/>
    <s v="Q3FY26"/>
    <s v="29-Sep-2026"/>
    <s v="Tuesday"/>
    <s v="Monthly - Tuesday"/>
    <s v="Monthly - Tuesday"/>
    <s v="Month+10 Expiry"/>
    <n v="0"/>
    <n v="0"/>
    <n v="0"/>
  </r>
  <r>
    <s v="21-Nov-2025"/>
    <x v="4"/>
    <s v="Week3-Nov-2025"/>
    <x v="2"/>
    <s v="Q3FY26"/>
    <s v="25-Nov-2025"/>
    <s v="Tuesday"/>
    <s v="Monthly - Tuesday"/>
    <s v="Monthly - Tuesday"/>
    <s v="Same Month Expiry"/>
    <n v="10692487"/>
    <n v="21899.3047"/>
    <n v="64.9958"/>
  </r>
  <r>
    <s v="21-Nov-2025"/>
    <x v="4"/>
    <s v="Week3-Nov-2025"/>
    <x v="2"/>
    <s v="Q3FY26"/>
    <s v="30-Dec-2025"/>
    <s v="Tuesday"/>
    <s v="Monthly - Tuesday"/>
    <s v="Monthly - Tuesday"/>
    <s v="Month+1 Expiry"/>
    <n v="359705"/>
    <n v="747.1505"/>
    <n v="7.8521"/>
  </r>
  <r>
    <s v="21-Nov-2025"/>
    <x v="4"/>
    <s v="Week3-Nov-2025"/>
    <x v="2"/>
    <s v="Q3FY26"/>
    <s v="27-Jan-2026"/>
    <s v="Tuesday"/>
    <s v="Monthly - Tuesday"/>
    <s v="Monthly - Tuesday"/>
    <s v="Month+2 Expiry"/>
    <n v="9417"/>
    <n v="16.9076"/>
    <n v="0.2512"/>
  </r>
  <r>
    <s v="21-Nov-2025"/>
    <x v="4"/>
    <s v="Week3-Nov-2025"/>
    <x v="2"/>
    <s v="Q3FY26"/>
    <s v="31-Mar-2026"/>
    <s v="Tuesday"/>
    <s v="Monthly - Tuesday"/>
    <s v="Monthly - Tuesday"/>
    <s v="Month+4 Expiry"/>
    <n v="1699"/>
    <n v="3.5116"/>
    <n v="0.056"/>
  </r>
  <r>
    <s v="21-Nov-2025"/>
    <x v="4"/>
    <s v="Week3-Nov-2025"/>
    <x v="2"/>
    <s v="Q3FY26"/>
    <s v="30-Jun-2026"/>
    <s v="Tuesday"/>
    <s v="Monthly - Tuesday"/>
    <s v="Monthly - Tuesday"/>
    <s v="Month+7 Expiry"/>
    <n v="0"/>
    <n v="0"/>
    <n v="0"/>
  </r>
  <r>
    <s v="21-Nov-2025"/>
    <x v="4"/>
    <s v="Week3-Nov-2025"/>
    <x v="2"/>
    <s v="Q3FY26"/>
    <s v="29-Sep-2026"/>
    <s v="Tuesday"/>
    <s v="Monthly - Tuesday"/>
    <s v="Monthly - Tuesday"/>
    <s v="Month+10 Expiry"/>
    <n v="0"/>
    <n v="0"/>
    <n v="0"/>
  </r>
  <r>
    <s v="24-Nov-2025"/>
    <x v="0"/>
    <s v="Week4-Nov-2025"/>
    <x v="2"/>
    <s v="Q3FY26"/>
    <s v="25-Nov-2025"/>
    <s v="Tuesday"/>
    <s v="Monthly - Tuesday"/>
    <s v="Monthly - Tuesday"/>
    <s v="Same Month Expiry"/>
    <n v="19567412"/>
    <n v="40015.1014"/>
    <n v="85.8531"/>
  </r>
  <r>
    <s v="24-Nov-2025"/>
    <x v="0"/>
    <s v="Week4-Nov-2025"/>
    <x v="2"/>
    <s v="Q3FY26"/>
    <s v="30-Dec-2025"/>
    <s v="Tuesday"/>
    <s v="Monthly - Tuesday"/>
    <s v="Monthly - Tuesday"/>
    <s v="Month+1 Expiry"/>
    <n v="424184"/>
    <n v="885.0194"/>
    <n v="9.807"/>
  </r>
  <r>
    <s v="24-Nov-2025"/>
    <x v="0"/>
    <s v="Week4-Nov-2025"/>
    <x v="2"/>
    <s v="Q3FY26"/>
    <s v="27-Jan-2026"/>
    <s v="Tuesday"/>
    <s v="Monthly - Tuesday"/>
    <s v="Monthly - Tuesday"/>
    <s v="Month+2 Expiry"/>
    <n v="6842"/>
    <n v="12.2058"/>
    <n v="0.1565"/>
  </r>
  <r>
    <s v="24-Nov-2025"/>
    <x v="0"/>
    <s v="Week4-Nov-2025"/>
    <x v="2"/>
    <s v="Q3FY26"/>
    <s v="31-Mar-2026"/>
    <s v="Tuesday"/>
    <s v="Monthly - Tuesday"/>
    <s v="Monthly - Tuesday"/>
    <s v="Month+4 Expiry"/>
    <n v="1087"/>
    <n v="2.283"/>
    <n v="0.0433"/>
  </r>
  <r>
    <s v="24-Nov-2025"/>
    <x v="0"/>
    <s v="Week4-Nov-2025"/>
    <x v="2"/>
    <s v="Q3FY26"/>
    <s v="30-Jun-2026"/>
    <s v="Tuesday"/>
    <s v="Monthly - Tuesday"/>
    <s v="Monthly - Tuesday"/>
    <s v="Month+7 Expiry"/>
    <n v="0"/>
    <n v="0"/>
    <n v="0"/>
  </r>
  <r>
    <s v="24-Nov-2025"/>
    <x v="0"/>
    <s v="Week4-Nov-2025"/>
    <x v="2"/>
    <s v="Q3FY26"/>
    <s v="29-Sep-2026"/>
    <s v="Tuesday"/>
    <s v="Monthly - Tuesday"/>
    <s v="Monthly - Tuesday"/>
    <s v="Month+10 Expiry"/>
    <n v="0"/>
    <n v="0"/>
    <n v="0"/>
  </r>
  <r>
    <s v="25-Nov-2025"/>
    <x v="1"/>
    <s v="Week4-Nov-2025"/>
    <x v="2"/>
    <s v="Q3FY26"/>
    <s v="25-Nov-2025"/>
    <s v="Tuesday"/>
    <s v="Monthly - Tuesday"/>
    <s v="Monthly - Tuesday"/>
    <s v="Same Month Expiry"/>
    <n v="79305371"/>
    <n v="161746.661"/>
    <n v="151.4041"/>
  </r>
  <r>
    <s v="25-Nov-2025"/>
    <x v="1"/>
    <s v="Week4-Nov-2025"/>
    <x v="2"/>
    <s v="Q3FY26"/>
    <s v="30-Dec-2025"/>
    <s v="Tuesday"/>
    <s v="Monthly - Tuesday"/>
    <s v="Monthly - Tuesday"/>
    <s v="Month+1 Expiry"/>
    <n v="722792"/>
    <n v="1503.8093"/>
    <n v="15.2352"/>
  </r>
  <r>
    <s v="25-Nov-2025"/>
    <x v="1"/>
    <s v="Week4-Nov-2025"/>
    <x v="2"/>
    <s v="Q3FY26"/>
    <s v="27-Jan-2026"/>
    <s v="Tuesday"/>
    <s v="Monthly - Tuesday"/>
    <s v="Monthly - Tuesday"/>
    <s v="Month+2 Expiry"/>
    <n v="8387"/>
    <n v="15.0803"/>
    <n v="0.1844"/>
  </r>
  <r>
    <s v="25-Nov-2025"/>
    <x v="1"/>
    <s v="Week4-Nov-2025"/>
    <x v="2"/>
    <s v="Q3FY26"/>
    <s v="31-Mar-2026"/>
    <s v="Tuesday"/>
    <s v="Monthly - Tuesday"/>
    <s v="Monthly - Tuesday"/>
    <s v="Month+4 Expiry"/>
    <n v="919"/>
    <n v="1.9265"/>
    <n v="0.0383"/>
  </r>
  <r>
    <s v="25-Nov-2025"/>
    <x v="1"/>
    <s v="Week4-Nov-2025"/>
    <x v="2"/>
    <s v="Q3FY26"/>
    <s v="30-Jun-2026"/>
    <s v="Tuesday"/>
    <s v="Monthly - Tuesday"/>
    <s v="Monthly - Tuesday"/>
    <s v="Month+7 Expiry"/>
    <n v="0"/>
    <n v="0"/>
    <n v="0"/>
  </r>
  <r>
    <s v="25-Nov-2025"/>
    <x v="1"/>
    <s v="Week4-Nov-2025"/>
    <x v="2"/>
    <s v="Q3FY26"/>
    <s v="29-Sep-2026"/>
    <s v="Tuesday"/>
    <s v="Monthly - Tuesday"/>
    <s v="Monthly - Tuesday"/>
    <s v="Month+10 Expiry"/>
    <n v="0"/>
    <n v="0"/>
    <n v="0"/>
  </r>
  <r>
    <s v="26-Nov-2025"/>
    <x v="2"/>
    <s v="Week4-Nov-2025"/>
    <x v="2"/>
    <s v="Q3FY26"/>
    <s v="30-Dec-2025"/>
    <s v="Tuesday"/>
    <s v="Monthly - Tuesday"/>
    <s v="Monthly - Tuesday"/>
    <s v="Month+1 Expiry"/>
    <n v="2110443"/>
    <n v="4410.6045"/>
    <n v="39.1595"/>
  </r>
  <r>
    <s v="26-Nov-2025"/>
    <x v="2"/>
    <s v="Week4-Nov-2025"/>
    <x v="2"/>
    <s v="Q3FY26"/>
    <s v="27-Jan-2026"/>
    <s v="Tuesday"/>
    <s v="Monthly - Tuesday"/>
    <s v="Monthly - Tuesday"/>
    <s v="Month+2 Expiry"/>
    <n v="19811"/>
    <n v="35.6728"/>
    <n v="0.4469"/>
  </r>
  <r>
    <s v="26-Nov-2025"/>
    <x v="2"/>
    <s v="Week4-Nov-2025"/>
    <x v="2"/>
    <s v="Q3FY26"/>
    <s v="24-Feb-2026"/>
    <s v="Tuesday"/>
    <s v="Monthly - Tuesday"/>
    <s v="Monthly - Tuesday"/>
    <s v="Month+3 Expiry"/>
    <n v="159"/>
    <n v="0.28"/>
    <n v="0.0053"/>
  </r>
  <r>
    <s v="26-Nov-2025"/>
    <x v="2"/>
    <s v="Week4-Nov-2025"/>
    <x v="2"/>
    <s v="Q3FY26"/>
    <s v="31-Mar-2026"/>
    <s v="Tuesday"/>
    <s v="Monthly - Tuesday"/>
    <s v="Monthly - Tuesday"/>
    <s v="Month+4 Expiry"/>
    <n v="2433"/>
    <n v="5.0532"/>
    <n v="0.07920000000000001"/>
  </r>
  <r>
    <s v="26-Nov-2025"/>
    <x v="2"/>
    <s v="Week4-Nov-2025"/>
    <x v="2"/>
    <s v="Q3FY26"/>
    <s v="30-Jun-2026"/>
    <s v="Tuesday"/>
    <s v="Monthly - Tuesday"/>
    <s v="Monthly - Tuesday"/>
    <s v="Month+7 Expiry"/>
    <n v="0"/>
    <n v="0"/>
    <n v="0"/>
  </r>
  <r>
    <s v="26-Nov-2025"/>
    <x v="2"/>
    <s v="Week4-Nov-2025"/>
    <x v="2"/>
    <s v="Q3FY26"/>
    <s v="29-Sep-2026"/>
    <s v="Tuesday"/>
    <s v="Monthly - Tuesday"/>
    <s v="Monthly - Tuesday"/>
    <s v="Month+10 Expiry"/>
    <n v="0"/>
    <n v="0"/>
    <n v="0"/>
  </r>
  <r>
    <s v="27-Nov-2025"/>
    <x v="3"/>
    <s v="Week4-Nov-2025"/>
    <x v="2"/>
    <s v="Q3FY26"/>
    <s v="30-Dec-2025"/>
    <s v="Tuesday"/>
    <s v="Monthly - Tuesday"/>
    <s v="Monthly - Tuesday"/>
    <s v="Month+1 Expiry"/>
    <n v="2075050"/>
    <n v="4355.7078"/>
    <n v="40.5044"/>
  </r>
  <r>
    <s v="27-Nov-2025"/>
    <x v="3"/>
    <s v="Week4-Nov-2025"/>
    <x v="2"/>
    <s v="Q3FY26"/>
    <s v="27-Jan-2026"/>
    <s v="Tuesday"/>
    <s v="Monthly - Tuesday"/>
    <s v="Monthly - Tuesday"/>
    <s v="Month+2 Expiry"/>
    <n v="21635"/>
    <n v="38.7577"/>
    <n v="0.4778"/>
  </r>
  <r>
    <s v="27-Nov-2025"/>
    <x v="3"/>
    <s v="Week4-Nov-2025"/>
    <x v="2"/>
    <s v="Q3FY26"/>
    <s v="24-Feb-2026"/>
    <s v="Tuesday"/>
    <s v="Monthly - Tuesday"/>
    <s v="Monthly - Tuesday"/>
    <s v="Month+3 Expiry"/>
    <n v="263"/>
    <n v="0.4715"/>
    <n v="0.007900000000000001"/>
  </r>
  <r>
    <s v="27-Nov-2025"/>
    <x v="3"/>
    <s v="Week4-Nov-2025"/>
    <x v="2"/>
    <s v="Q3FY26"/>
    <s v="31-Mar-2026"/>
    <s v="Tuesday"/>
    <s v="Monthly - Tuesday"/>
    <s v="Monthly - Tuesday"/>
    <s v="Month+4 Expiry"/>
    <n v="1803"/>
    <n v="3.7632"/>
    <n v="0.0618"/>
  </r>
  <r>
    <s v="27-Nov-2025"/>
    <x v="3"/>
    <s v="Week4-Nov-2025"/>
    <x v="2"/>
    <s v="Q3FY26"/>
    <s v="30-Jun-2026"/>
    <s v="Tuesday"/>
    <s v="Monthly - Tuesday"/>
    <s v="Monthly - Tuesday"/>
    <s v="Month+7 Expiry"/>
    <n v="0"/>
    <n v="0"/>
    <n v="0"/>
  </r>
  <r>
    <s v="27-Nov-2025"/>
    <x v="3"/>
    <s v="Week4-Nov-2025"/>
    <x v="2"/>
    <s v="Q3FY26"/>
    <s v="29-Sep-2026"/>
    <s v="Tuesday"/>
    <s v="Monthly - Tuesday"/>
    <s v="Monthly - Tuesday"/>
    <s v="Month+10 Expiry"/>
    <n v="0"/>
    <n v="0"/>
    <n v="0"/>
  </r>
  <r>
    <s v="28-Nov-2025"/>
    <x v="4"/>
    <s v="Week4-Nov-2025"/>
    <x v="2"/>
    <s v="Q3FY26"/>
    <s v="30-Dec-2025"/>
    <s v="Tuesday"/>
    <s v="Monthly - Tuesday"/>
    <s v="Monthly - Tuesday"/>
    <s v="Month+1 Expiry"/>
    <n v="1708304"/>
    <n v="3582.4952"/>
    <n v="31.6002"/>
  </r>
  <r>
    <s v="28-Nov-2025"/>
    <x v="4"/>
    <s v="Week4-Nov-2025"/>
    <x v="2"/>
    <s v="Q3FY26"/>
    <s v="27-Jan-2026"/>
    <s v="Tuesday"/>
    <s v="Monthly - Tuesday"/>
    <s v="Monthly - Tuesday"/>
    <s v="Month+2 Expiry"/>
    <n v="15141"/>
    <n v="27.3464"/>
    <n v="0.3575"/>
  </r>
  <r>
    <s v="28-Nov-2025"/>
    <x v="4"/>
    <s v="Week4-Nov-2025"/>
    <x v="2"/>
    <s v="Q3FY26"/>
    <s v="24-Feb-2026"/>
    <s v="Tuesday"/>
    <s v="Monthly - Tuesday"/>
    <s v="Monthly - Tuesday"/>
    <s v="Month+3 Expiry"/>
    <n v="254"/>
    <n v="0.4633"/>
    <n v="0.0089"/>
  </r>
  <r>
    <s v="28-Nov-2025"/>
    <x v="4"/>
    <s v="Week4-Nov-2025"/>
    <x v="2"/>
    <s v="Q3FY26"/>
    <s v="31-Mar-2026"/>
    <s v="Tuesday"/>
    <s v="Monthly - Tuesday"/>
    <s v="Monthly - Tuesday"/>
    <s v="Month+4 Expiry"/>
    <n v="1989"/>
    <n v="4.1247"/>
    <n v="0.0582"/>
  </r>
  <r>
    <s v="28-Nov-2025"/>
    <x v="4"/>
    <s v="Week4-Nov-2025"/>
    <x v="2"/>
    <s v="Q3FY26"/>
    <s v="30-Jun-2026"/>
    <s v="Tuesday"/>
    <s v="Monthly - Tuesday"/>
    <s v="Monthly - Tuesday"/>
    <s v="Month+7 Expiry"/>
    <n v="0"/>
    <n v="0"/>
    <n v="0"/>
  </r>
  <r>
    <s v="28-Nov-2025"/>
    <x v="4"/>
    <s v="Week4-Nov-2025"/>
    <x v="2"/>
    <s v="Q3FY26"/>
    <s v="29-Sep-2026"/>
    <s v="Tuesday"/>
    <s v="Monthly - Tuesday"/>
    <s v="Monthly - Tuesday"/>
    <s v="Month+10 Expiry"/>
    <n v="0"/>
    <n v="0"/>
    <n v="0"/>
  </r>
  <r>
    <s v="01-Dec-2025"/>
    <x v="0"/>
    <s v="Week1-Dec-2025"/>
    <x v="3"/>
    <s v="Q3FY26"/>
    <s v="30-Dec-2025"/>
    <s v="Tuesday"/>
    <s v="Monthly - Tuesday"/>
    <s v="Monthly - Tuesday"/>
    <s v="Same Month Expiry"/>
    <n v="2279487"/>
    <n v="4797.7946"/>
    <n v="40.0224"/>
  </r>
  <r>
    <s v="01-Dec-2025"/>
    <x v="0"/>
    <s v="Week1-Dec-2025"/>
    <x v="3"/>
    <s v="Q3FY26"/>
    <s v="27-Jan-2026"/>
    <s v="Tuesday"/>
    <s v="Monthly - Tuesday"/>
    <s v="Monthly - Tuesday"/>
    <s v="Month+1 Expiry"/>
    <n v="24325"/>
    <n v="44.2685"/>
    <n v="0.5029"/>
  </r>
  <r>
    <s v="01-Dec-2025"/>
    <x v="0"/>
    <s v="Week1-Dec-2025"/>
    <x v="3"/>
    <s v="Q3FY26"/>
    <s v="24-Feb-2026"/>
    <s v="Tuesday"/>
    <s v="Monthly - Tuesday"/>
    <s v="Monthly - Tuesday"/>
    <s v="Month+2 Expiry"/>
    <n v="1275"/>
    <n v="2.2589"/>
    <n v="0.0274"/>
  </r>
  <r>
    <s v="01-Dec-2025"/>
    <x v="0"/>
    <s v="Week1-Dec-2025"/>
    <x v="3"/>
    <s v="Q3FY26"/>
    <s v="31-Mar-2026"/>
    <s v="Tuesday"/>
    <s v="Monthly - Tuesday"/>
    <s v="Monthly - Tuesday"/>
    <s v="Month+3 Expiry"/>
    <n v="8334"/>
    <n v="17.1655"/>
    <n v="0.2028"/>
  </r>
  <r>
    <s v="01-Dec-2025"/>
    <x v="0"/>
    <s v="Week1-Dec-2025"/>
    <x v="3"/>
    <s v="Q3FY26"/>
    <s v="30-Jun-2026"/>
    <s v="Tuesday"/>
    <s v="Monthly - Tuesday"/>
    <s v="Monthly - Tuesday"/>
    <s v="Month+6 Expiry"/>
    <n v="0"/>
    <n v="0"/>
    <n v="0"/>
  </r>
  <r>
    <s v="01-Dec-2025"/>
    <x v="0"/>
    <s v="Week1-Dec-2025"/>
    <x v="3"/>
    <s v="Q3FY26"/>
    <s v="29-Sep-2026"/>
    <s v="Tuesday"/>
    <s v="Monthly - Tuesday"/>
    <s v="Monthly - Tuesday"/>
    <s v="Month+9 Expiry"/>
    <n v="0"/>
    <n v="0"/>
    <n v="0"/>
  </r>
  <r>
    <s v="02-Dec-2025"/>
    <x v="1"/>
    <s v="Week1-Dec-2025"/>
    <x v="3"/>
    <s v="Q3FY26"/>
    <s v="30-Dec-2025"/>
    <s v="Tuesday"/>
    <s v="Monthly - Tuesday"/>
    <s v="Monthly - Tuesday"/>
    <s v="Same Month Expiry"/>
    <n v="1916768"/>
    <n v="4007.9853"/>
    <n v="34.1548"/>
  </r>
  <r>
    <s v="02-Dec-2025"/>
    <x v="1"/>
    <s v="Week1-Dec-2025"/>
    <x v="3"/>
    <s v="Q3FY26"/>
    <s v="27-Jan-2026"/>
    <s v="Tuesday"/>
    <s v="Monthly - Tuesday"/>
    <s v="Monthly - Tuesday"/>
    <s v="Month+1 Expiry"/>
    <n v="18854"/>
    <n v="34.3195"/>
    <n v="0.4161"/>
  </r>
  <r>
    <s v="02-Dec-2025"/>
    <x v="1"/>
    <s v="Week1-Dec-2025"/>
    <x v="3"/>
    <s v="Q3FY26"/>
    <s v="24-Feb-2026"/>
    <s v="Tuesday"/>
    <s v="Monthly - Tuesday"/>
    <s v="Monthly - Tuesday"/>
    <s v="Month+2 Expiry"/>
    <n v="971"/>
    <n v="1.7424"/>
    <n v="0.0222"/>
  </r>
  <r>
    <s v="02-Dec-2025"/>
    <x v="1"/>
    <s v="Week1-Dec-2025"/>
    <x v="3"/>
    <s v="Q3FY26"/>
    <s v="31-Mar-2026"/>
    <s v="Tuesday"/>
    <s v="Monthly - Tuesday"/>
    <s v="Monthly - Tuesday"/>
    <s v="Month+3 Expiry"/>
    <n v="1683"/>
    <n v="3.5467"/>
    <n v="0.0689"/>
  </r>
  <r>
    <s v="02-Dec-2025"/>
    <x v="1"/>
    <s v="Week1-Dec-2025"/>
    <x v="3"/>
    <s v="Q3FY26"/>
    <s v="30-Jun-2026"/>
    <s v="Tuesday"/>
    <s v="Monthly - Tuesday"/>
    <s v="Monthly - Tuesday"/>
    <s v="Month+6 Expiry"/>
    <n v="0"/>
    <n v="0"/>
    <n v="0"/>
  </r>
  <r>
    <s v="02-Dec-2025"/>
    <x v="1"/>
    <s v="Week1-Dec-2025"/>
    <x v="3"/>
    <s v="Q3FY26"/>
    <s v="29-Sep-2026"/>
    <s v="Tuesday"/>
    <s v="Monthly - Tuesday"/>
    <s v="Monthly - Tuesday"/>
    <s v="Month+9 Expiry"/>
    <n v="0"/>
    <n v="0"/>
    <n v="0"/>
  </r>
  <r>
    <s v="03-Dec-2025"/>
    <x v="2"/>
    <s v="Week1-Dec-2025"/>
    <x v="3"/>
    <s v="Q3FY26"/>
    <s v="30-Dec-2025"/>
    <s v="Tuesday"/>
    <s v="Monthly - Tuesday"/>
    <s v="Monthly - Tuesday"/>
    <s v="Same Month Expiry"/>
    <n v="2431052"/>
    <n v="5070.0182"/>
    <n v="40.2407"/>
  </r>
  <r>
    <s v="03-Dec-2025"/>
    <x v="2"/>
    <s v="Week1-Dec-2025"/>
    <x v="3"/>
    <s v="Q3FY26"/>
    <s v="27-Jan-2026"/>
    <s v="Tuesday"/>
    <s v="Monthly - Tuesday"/>
    <s v="Monthly - Tuesday"/>
    <s v="Month+1 Expiry"/>
    <n v="29815"/>
    <n v="54.0005"/>
    <n v="0.549"/>
  </r>
  <r>
    <s v="03-Dec-2025"/>
    <x v="2"/>
    <s v="Week1-Dec-2025"/>
    <x v="3"/>
    <s v="Q3FY26"/>
    <s v="24-Feb-2026"/>
    <s v="Tuesday"/>
    <s v="Monthly - Tuesday"/>
    <s v="Monthly - Tuesday"/>
    <s v="Month+2 Expiry"/>
    <n v="1192"/>
    <n v="2.1194"/>
    <n v="0.024"/>
  </r>
  <r>
    <s v="03-Dec-2025"/>
    <x v="2"/>
    <s v="Week1-Dec-2025"/>
    <x v="3"/>
    <s v="Q3FY26"/>
    <s v="31-Mar-2026"/>
    <s v="Tuesday"/>
    <s v="Monthly - Tuesday"/>
    <s v="Monthly - Tuesday"/>
    <s v="Month+3 Expiry"/>
    <n v="2903"/>
    <n v="6.0395"/>
    <n v="0.0977"/>
  </r>
  <r>
    <s v="03-Dec-2025"/>
    <x v="2"/>
    <s v="Week1-Dec-2025"/>
    <x v="3"/>
    <s v="Q3FY26"/>
    <s v="30-Jun-2026"/>
    <s v="Tuesday"/>
    <s v="Monthly - Tuesday"/>
    <s v="Monthly - Tuesday"/>
    <s v="Month+6 Expiry"/>
    <n v="0"/>
    <n v="0"/>
    <n v="0"/>
  </r>
  <r>
    <s v="03-Dec-2025"/>
    <x v="2"/>
    <s v="Week1-Dec-2025"/>
    <x v="3"/>
    <s v="Q3FY26"/>
    <s v="29-Sep-2026"/>
    <s v="Tuesday"/>
    <s v="Monthly - Tuesday"/>
    <s v="Monthly - Tuesday"/>
    <s v="Month+9 Expiry"/>
    <n v="0"/>
    <n v="0"/>
    <n v="0"/>
  </r>
  <r>
    <s v="04-Dec-2025"/>
    <x v="3"/>
    <s v="Week1-Dec-2025"/>
    <x v="3"/>
    <s v="Q3FY26"/>
    <s v="30-Dec-2025"/>
    <s v="Tuesday"/>
    <s v="Monthly - Tuesday"/>
    <s v="Monthly - Tuesday"/>
    <s v="Same Month Expiry"/>
    <n v="1959814"/>
    <n v="4089.3638"/>
    <n v="32.9776"/>
  </r>
  <r>
    <s v="04-Dec-2025"/>
    <x v="3"/>
    <s v="Week1-Dec-2025"/>
    <x v="3"/>
    <s v="Q3FY26"/>
    <s v="27-Jan-2026"/>
    <s v="Tuesday"/>
    <s v="Monthly - Tuesday"/>
    <s v="Monthly - Tuesday"/>
    <s v="Month+1 Expiry"/>
    <n v="16349"/>
    <n v="29.5948"/>
    <n v="0.3239"/>
  </r>
  <r>
    <s v="04-Dec-2025"/>
    <x v="3"/>
    <s v="Week1-Dec-2025"/>
    <x v="3"/>
    <s v="Q3FY26"/>
    <s v="24-Feb-2026"/>
    <s v="Tuesday"/>
    <s v="Monthly - Tuesday"/>
    <s v="Monthly - Tuesday"/>
    <s v="Month+2 Expiry"/>
    <n v="1569"/>
    <n v="2.8635"/>
    <n v="0.0336"/>
  </r>
  <r>
    <s v="04-Dec-2025"/>
    <x v="3"/>
    <s v="Week1-Dec-2025"/>
    <x v="3"/>
    <s v="Q3FY26"/>
    <s v="31-Mar-2026"/>
    <s v="Tuesday"/>
    <s v="Monthly - Tuesday"/>
    <s v="Monthly - Tuesday"/>
    <s v="Month+3 Expiry"/>
    <n v="1050"/>
    <n v="2.188"/>
    <n v="0.0351"/>
  </r>
  <r>
    <s v="04-Dec-2025"/>
    <x v="3"/>
    <s v="Week1-Dec-2025"/>
    <x v="3"/>
    <s v="Q3FY26"/>
    <s v="30-Jun-2026"/>
    <s v="Tuesday"/>
    <s v="Monthly - Tuesday"/>
    <s v="Monthly - Tuesday"/>
    <s v="Month+6 Expiry"/>
    <n v="0"/>
    <n v="0"/>
    <n v="0"/>
  </r>
  <r>
    <s v="04-Dec-2025"/>
    <x v="3"/>
    <s v="Week1-Dec-2025"/>
    <x v="3"/>
    <s v="Q3FY26"/>
    <s v="29-Sep-2026"/>
    <s v="Tuesday"/>
    <s v="Monthly - Tuesday"/>
    <s v="Monthly - Tuesday"/>
    <s v="Month+9 Expiry"/>
    <n v="0"/>
    <n v="0"/>
    <n v="0"/>
  </r>
  <r>
    <s v="05-Dec-2025"/>
    <x v="4"/>
    <s v="Week1-Dec-2025"/>
    <x v="3"/>
    <s v="Q3FY26"/>
    <s v="30-Dec-2025"/>
    <s v="Tuesday"/>
    <s v="Monthly - Tuesday"/>
    <s v="Monthly - Tuesday"/>
    <s v="Same Month Expiry"/>
    <n v="3058190"/>
    <n v="6396.9837"/>
    <n v="46.9468"/>
  </r>
  <r>
    <s v="05-Dec-2025"/>
    <x v="4"/>
    <s v="Week1-Dec-2025"/>
    <x v="3"/>
    <s v="Q3FY26"/>
    <s v="27-Jan-2026"/>
    <s v="Tuesday"/>
    <s v="Monthly - Tuesday"/>
    <s v="Monthly - Tuesday"/>
    <s v="Month+1 Expiry"/>
    <n v="53615"/>
    <n v="95.95189999999999"/>
    <n v="0.9323"/>
  </r>
  <r>
    <s v="05-Dec-2025"/>
    <x v="4"/>
    <s v="Week1-Dec-2025"/>
    <x v="3"/>
    <s v="Q3FY26"/>
    <s v="24-Feb-2026"/>
    <s v="Tuesday"/>
    <s v="Monthly - Tuesday"/>
    <s v="Monthly - Tuesday"/>
    <s v="Month+2 Expiry"/>
    <n v="1466"/>
    <n v="2.6098"/>
    <n v="0.0268"/>
  </r>
  <r>
    <s v="05-Dec-2025"/>
    <x v="4"/>
    <s v="Week1-Dec-2025"/>
    <x v="3"/>
    <s v="Q3FY26"/>
    <s v="31-Mar-2026"/>
    <s v="Tuesday"/>
    <s v="Monthly - Tuesday"/>
    <s v="Monthly - Tuesday"/>
    <s v="Month+3 Expiry"/>
    <n v="1893"/>
    <n v="3.9146"/>
    <n v="0.0492"/>
  </r>
  <r>
    <s v="05-Dec-2025"/>
    <x v="4"/>
    <s v="Week1-Dec-2025"/>
    <x v="3"/>
    <s v="Q3FY26"/>
    <s v="30-Jun-2026"/>
    <s v="Tuesday"/>
    <s v="Monthly - Tuesday"/>
    <s v="Monthly - Tuesday"/>
    <s v="Month+6 Expiry"/>
    <n v="0"/>
    <n v="0"/>
    <n v="0"/>
  </r>
  <r>
    <s v="05-Dec-2025"/>
    <x v="4"/>
    <s v="Week1-Dec-2025"/>
    <x v="3"/>
    <s v="Q3FY26"/>
    <s v="29-Sep-2026"/>
    <s v="Tuesday"/>
    <s v="Monthly - Tuesday"/>
    <s v="Monthly - Tuesday"/>
    <s v="Month+9 Expiry"/>
    <n v="0"/>
    <n v="0"/>
    <n v="0"/>
  </r>
  <r>
    <s v="08-Dec-2025"/>
    <x v="0"/>
    <s v="Week2-Dec-2025"/>
    <x v="3"/>
    <s v="Q3FY26"/>
    <s v="30-Dec-2025"/>
    <s v="Tuesday"/>
    <s v="Monthly - Tuesday"/>
    <s v="Monthly - Tuesday"/>
    <s v="Same Month Expiry"/>
    <n v="2909142"/>
    <n v="6061.2431"/>
    <n v="43.1431"/>
  </r>
  <r>
    <s v="08-Dec-2025"/>
    <x v="0"/>
    <s v="Week2-Dec-2025"/>
    <x v="3"/>
    <s v="Q3FY26"/>
    <s v="27-Jan-2026"/>
    <s v="Tuesday"/>
    <s v="Monthly - Tuesday"/>
    <s v="Monthly - Tuesday"/>
    <s v="Month+1 Expiry"/>
    <n v="58358"/>
    <n v="105.8731"/>
    <n v="1.34"/>
  </r>
  <r>
    <s v="08-Dec-2025"/>
    <x v="0"/>
    <s v="Week2-Dec-2025"/>
    <x v="3"/>
    <s v="Q3FY26"/>
    <s v="24-Feb-2026"/>
    <s v="Tuesday"/>
    <s v="Monthly - Tuesday"/>
    <s v="Monthly - Tuesday"/>
    <s v="Month+2 Expiry"/>
    <n v="2710"/>
    <n v="4.8841"/>
    <n v="0.0525"/>
  </r>
  <r>
    <s v="08-Dec-2025"/>
    <x v="0"/>
    <s v="Week2-Dec-2025"/>
    <x v="3"/>
    <s v="Q3FY26"/>
    <s v="31-Mar-2026"/>
    <s v="Tuesday"/>
    <s v="Monthly - Tuesday"/>
    <s v="Monthly - Tuesday"/>
    <s v="Month+3 Expiry"/>
    <n v="1565"/>
    <n v="3.2873"/>
    <n v="0.0564"/>
  </r>
  <r>
    <s v="08-Dec-2025"/>
    <x v="0"/>
    <s v="Week2-Dec-2025"/>
    <x v="3"/>
    <s v="Q3FY26"/>
    <s v="30-Jun-2026"/>
    <s v="Tuesday"/>
    <s v="Monthly - Tuesday"/>
    <s v="Monthly - Tuesday"/>
    <s v="Month+6 Expiry"/>
    <n v="0"/>
    <n v="0"/>
    <n v="0"/>
  </r>
  <r>
    <s v="08-Dec-2025"/>
    <x v="0"/>
    <s v="Week2-Dec-2025"/>
    <x v="3"/>
    <s v="Q3FY26"/>
    <s v="29-Sep-2026"/>
    <s v="Tuesday"/>
    <s v="Monthly - Tuesday"/>
    <s v="Monthly - Tuesday"/>
    <s v="Month+9 Expiry"/>
    <n v="0"/>
    <n v="0"/>
    <n v="0"/>
  </r>
  <r>
    <s v="09-Dec-2025"/>
    <x v="1"/>
    <s v="Week2-Dec-2025"/>
    <x v="3"/>
    <s v="Q3FY26"/>
    <s v="30-Dec-2025"/>
    <s v="Tuesday"/>
    <s v="Monthly - Tuesday"/>
    <s v="Monthly - Tuesday"/>
    <s v="Same Month Expiry"/>
    <n v="2848895"/>
    <n v="5918.9615"/>
    <n v="41.0704"/>
  </r>
  <r>
    <s v="09-Dec-2025"/>
    <x v="1"/>
    <s v="Week2-Dec-2025"/>
    <x v="3"/>
    <s v="Q3FY26"/>
    <s v="27-Jan-2026"/>
    <s v="Tuesday"/>
    <s v="Monthly - Tuesday"/>
    <s v="Monthly - Tuesday"/>
    <s v="Month+1 Expiry"/>
    <n v="69626"/>
    <n v="125.8603"/>
    <n v="1.7098"/>
  </r>
  <r>
    <s v="09-Dec-2025"/>
    <x v="1"/>
    <s v="Week2-Dec-2025"/>
    <x v="3"/>
    <s v="Q3FY26"/>
    <s v="24-Feb-2026"/>
    <s v="Tuesday"/>
    <s v="Monthly - Tuesday"/>
    <s v="Monthly - Tuesday"/>
    <s v="Month+2 Expiry"/>
    <n v="2255"/>
    <n v="3.9959"/>
    <n v="0.0418"/>
  </r>
  <r>
    <s v="09-Dec-2025"/>
    <x v="1"/>
    <s v="Week2-Dec-2025"/>
    <x v="3"/>
    <s v="Q3FY26"/>
    <s v="31-Mar-2026"/>
    <s v="Tuesday"/>
    <s v="Monthly - Tuesday"/>
    <s v="Monthly - Tuesday"/>
    <s v="Month+3 Expiry"/>
    <n v="1983"/>
    <n v="4.1555"/>
    <n v="0.0868"/>
  </r>
  <r>
    <s v="09-Dec-2025"/>
    <x v="1"/>
    <s v="Week2-Dec-2025"/>
    <x v="3"/>
    <s v="Q3FY26"/>
    <s v="30-Jun-2026"/>
    <s v="Tuesday"/>
    <s v="Monthly - Tuesday"/>
    <s v="Monthly - Tuesday"/>
    <s v="Month+6 Expiry"/>
    <n v="0"/>
    <n v="0"/>
    <n v="0"/>
  </r>
  <r>
    <s v="09-Dec-2025"/>
    <x v="1"/>
    <s v="Week2-Dec-2025"/>
    <x v="3"/>
    <s v="Q3FY26"/>
    <s v="29-Sep-2026"/>
    <s v="Tuesday"/>
    <s v="Monthly - Tuesday"/>
    <s v="Monthly - Tuesday"/>
    <s v="Month+9 Expiry"/>
    <n v="0"/>
    <n v="0"/>
    <n v="0"/>
  </r>
  <r>
    <s v="10-Dec-2025"/>
    <x v="2"/>
    <s v="Week2-Dec-2025"/>
    <x v="3"/>
    <s v="Q3FY26"/>
    <s v="30-Dec-2025"/>
    <s v="Tuesday"/>
    <s v="Monthly - Tuesday"/>
    <s v="Monthly - Tuesday"/>
    <s v="Same Month Expiry"/>
    <n v="2906344"/>
    <n v="6034.8237"/>
    <n v="41.3086"/>
  </r>
  <r>
    <s v="10-Dec-2025"/>
    <x v="2"/>
    <s v="Week2-Dec-2025"/>
    <x v="3"/>
    <s v="Q3FY26"/>
    <s v="27-Jan-2026"/>
    <s v="Tuesday"/>
    <s v="Monthly - Tuesday"/>
    <s v="Monthly - Tuesday"/>
    <s v="Month+1 Expiry"/>
    <n v="57094"/>
    <n v="103.0858"/>
    <n v="1.1903"/>
  </r>
  <r>
    <s v="10-Dec-2025"/>
    <x v="2"/>
    <s v="Week2-Dec-2025"/>
    <x v="3"/>
    <s v="Q3FY26"/>
    <s v="24-Feb-2026"/>
    <s v="Tuesday"/>
    <s v="Monthly - Tuesday"/>
    <s v="Monthly - Tuesday"/>
    <s v="Month+2 Expiry"/>
    <n v="3361"/>
    <n v="6.0274"/>
    <n v="0.0738"/>
  </r>
  <r>
    <s v="10-Dec-2025"/>
    <x v="2"/>
    <s v="Week2-Dec-2025"/>
    <x v="3"/>
    <s v="Q3FY26"/>
    <s v="31-Mar-2026"/>
    <s v="Tuesday"/>
    <s v="Monthly - Tuesday"/>
    <s v="Monthly - Tuesday"/>
    <s v="Month+3 Expiry"/>
    <n v="2156"/>
    <n v="4.4219"/>
    <n v="0.0612"/>
  </r>
  <r>
    <s v="10-Dec-2025"/>
    <x v="2"/>
    <s v="Week2-Dec-2025"/>
    <x v="3"/>
    <s v="Q3FY26"/>
    <s v="30-Jun-2026"/>
    <s v="Tuesday"/>
    <s v="Monthly - Tuesday"/>
    <s v="Monthly - Tuesday"/>
    <s v="Month+6 Expiry"/>
    <n v="0"/>
    <n v="0"/>
    <n v="0"/>
  </r>
  <r>
    <s v="10-Dec-2025"/>
    <x v="2"/>
    <s v="Week2-Dec-2025"/>
    <x v="3"/>
    <s v="Q3FY26"/>
    <s v="29-Sep-2026"/>
    <s v="Tuesday"/>
    <s v="Monthly - Tuesday"/>
    <s v="Monthly - Tuesday"/>
    <s v="Month+9 Expiry"/>
    <n v="0"/>
    <n v="0"/>
    <n v="0"/>
  </r>
  <r>
    <s v="11-Dec-2025"/>
    <x v="3"/>
    <s v="Week2-Dec-2025"/>
    <x v="3"/>
    <s v="Q3FY26"/>
    <s v="30-Dec-2025"/>
    <s v="Tuesday"/>
    <s v="Monthly - Tuesday"/>
    <s v="Monthly - Tuesday"/>
    <s v="Same Month Expiry"/>
    <n v="3034560"/>
    <n v="6294.1981"/>
    <n v="41.1379"/>
  </r>
  <r>
    <s v="11-Dec-2025"/>
    <x v="3"/>
    <s v="Week2-Dec-2025"/>
    <x v="3"/>
    <s v="Q3FY26"/>
    <s v="27-Jan-2026"/>
    <s v="Tuesday"/>
    <s v="Monthly - Tuesday"/>
    <s v="Monthly - Tuesday"/>
    <s v="Month+1 Expiry"/>
    <n v="72786"/>
    <n v="131.5861"/>
    <n v="1.6396"/>
  </r>
  <r>
    <s v="11-Dec-2025"/>
    <x v="3"/>
    <s v="Week2-Dec-2025"/>
    <x v="3"/>
    <s v="Q3FY26"/>
    <s v="24-Feb-2026"/>
    <s v="Tuesday"/>
    <s v="Monthly - Tuesday"/>
    <s v="Monthly - Tuesday"/>
    <s v="Month+2 Expiry"/>
    <n v="3137"/>
    <n v="5.6498"/>
    <n v="0.0599"/>
  </r>
  <r>
    <s v="11-Dec-2025"/>
    <x v="3"/>
    <s v="Week2-Dec-2025"/>
    <x v="3"/>
    <s v="Q3FY26"/>
    <s v="31-Mar-2026"/>
    <s v="Tuesday"/>
    <s v="Monthly - Tuesday"/>
    <s v="Monthly - Tuesday"/>
    <s v="Month+3 Expiry"/>
    <n v="1024"/>
    <n v="2.14"/>
    <n v="0.0353"/>
  </r>
  <r>
    <s v="11-Dec-2025"/>
    <x v="3"/>
    <s v="Week2-Dec-2025"/>
    <x v="3"/>
    <s v="Q3FY26"/>
    <s v="30-Jun-2026"/>
    <s v="Tuesday"/>
    <s v="Monthly - Tuesday"/>
    <s v="Monthly - Tuesday"/>
    <s v="Month+6 Expiry"/>
    <n v="0"/>
    <n v="0"/>
    <n v="0"/>
  </r>
  <r>
    <s v="11-Dec-2025"/>
    <x v="3"/>
    <s v="Week2-Dec-2025"/>
    <x v="3"/>
    <s v="Q3FY26"/>
    <s v="29-Sep-2026"/>
    <s v="Tuesday"/>
    <s v="Monthly - Tuesday"/>
    <s v="Monthly - Tuesday"/>
    <s v="Month+9 Expiry"/>
    <n v="0"/>
    <n v="0"/>
    <n v="0"/>
  </r>
  <r>
    <s v="12-Dec-2025"/>
    <x v="4"/>
    <s v="Week2-Dec-2025"/>
    <x v="3"/>
    <s v="Q3FY26"/>
    <s v="30-Dec-2025"/>
    <s v="Tuesday"/>
    <s v="Monthly - Tuesday"/>
    <s v="Monthly - Tuesday"/>
    <s v="Same Month Expiry"/>
    <n v="2840229"/>
    <n v="5898.0156"/>
    <n v="36.7417"/>
  </r>
  <r>
    <s v="12-Dec-2025"/>
    <x v="4"/>
    <s v="Week2-Dec-2025"/>
    <x v="3"/>
    <s v="Q3FY26"/>
    <s v="27-Jan-2026"/>
    <s v="Tuesday"/>
    <s v="Monthly - Tuesday"/>
    <s v="Monthly - Tuesday"/>
    <s v="Month+1 Expiry"/>
    <n v="56415"/>
    <n v="101.8547"/>
    <n v="1.1126"/>
  </r>
  <r>
    <s v="12-Dec-2025"/>
    <x v="4"/>
    <s v="Week2-Dec-2025"/>
    <x v="3"/>
    <s v="Q3FY26"/>
    <s v="24-Feb-2026"/>
    <s v="Tuesday"/>
    <s v="Monthly - Tuesday"/>
    <s v="Monthly - Tuesday"/>
    <s v="Month+2 Expiry"/>
    <n v="2244"/>
    <n v="4.0287"/>
    <n v="0.0414"/>
  </r>
  <r>
    <s v="12-Dec-2025"/>
    <x v="4"/>
    <s v="Week2-Dec-2025"/>
    <x v="3"/>
    <s v="Q3FY26"/>
    <s v="31-Mar-2026"/>
    <s v="Tuesday"/>
    <s v="Monthly - Tuesday"/>
    <s v="Monthly - Tuesday"/>
    <s v="Month+3 Expiry"/>
    <n v="557"/>
    <n v="1.1605"/>
    <n v="0.0194"/>
  </r>
  <r>
    <s v="12-Dec-2025"/>
    <x v="4"/>
    <s v="Week2-Dec-2025"/>
    <x v="3"/>
    <s v="Q3FY26"/>
    <s v="30-Jun-2026"/>
    <s v="Tuesday"/>
    <s v="Monthly - Tuesday"/>
    <s v="Monthly - Tuesday"/>
    <s v="Month+6 Expiry"/>
    <n v="0"/>
    <n v="0"/>
    <n v="0"/>
  </r>
  <r>
    <s v="12-Dec-2025"/>
    <x v="4"/>
    <s v="Week2-Dec-2025"/>
    <x v="3"/>
    <s v="Q3FY26"/>
    <s v="29-Sep-2026"/>
    <s v="Tuesday"/>
    <s v="Monthly - Tuesday"/>
    <s v="Monthly - Tuesday"/>
    <s v="Month+9 Expiry"/>
    <n v="0"/>
    <n v="0"/>
    <n v="0"/>
  </r>
  <r>
    <s v="15-Dec-2025"/>
    <x v="0"/>
    <s v="Week3-Dec-2025"/>
    <x v="3"/>
    <s v="Q3FY26"/>
    <s v="30-Dec-2025"/>
    <s v="Tuesday"/>
    <s v="Monthly - Tuesday"/>
    <s v="Monthly - Tuesday"/>
    <s v="Same Month Expiry"/>
    <n v="2655527"/>
    <n v="5520.0561"/>
    <n v="31.8478"/>
  </r>
  <r>
    <s v="15-Dec-2025"/>
    <x v="0"/>
    <s v="Week3-Dec-2025"/>
    <x v="3"/>
    <s v="Q3FY26"/>
    <s v="27-Jan-2026"/>
    <s v="Tuesday"/>
    <s v="Monthly - Tuesday"/>
    <s v="Monthly - Tuesday"/>
    <s v="Month+1 Expiry"/>
    <n v="59568"/>
    <n v="107.6115"/>
    <n v="1.1172"/>
  </r>
  <r>
    <s v="15-Dec-2025"/>
    <x v="0"/>
    <s v="Week3-Dec-2025"/>
    <x v="3"/>
    <s v="Q3FY26"/>
    <s v="24-Feb-2026"/>
    <s v="Tuesday"/>
    <s v="Monthly - Tuesday"/>
    <s v="Monthly - Tuesday"/>
    <s v="Month+2 Expiry"/>
    <n v="2465"/>
    <n v="4.4354"/>
    <n v="0.0469"/>
  </r>
  <r>
    <s v="15-Dec-2025"/>
    <x v="0"/>
    <s v="Week3-Dec-2025"/>
    <x v="3"/>
    <s v="Q3FY26"/>
    <s v="31-Mar-2026"/>
    <s v="Tuesday"/>
    <s v="Monthly - Tuesday"/>
    <s v="Monthly - Tuesday"/>
    <s v="Month+3 Expiry"/>
    <n v="634"/>
    <n v="1.3226"/>
    <n v="0.0211"/>
  </r>
  <r>
    <s v="15-Dec-2025"/>
    <x v="0"/>
    <s v="Week3-Dec-2025"/>
    <x v="3"/>
    <s v="Q3FY26"/>
    <s v="30-Jun-2026"/>
    <s v="Tuesday"/>
    <s v="Monthly - Tuesday"/>
    <s v="Monthly - Tuesday"/>
    <s v="Month+6 Expiry"/>
    <n v="0"/>
    <n v="0"/>
    <n v="0"/>
  </r>
  <r>
    <s v="15-Dec-2025"/>
    <x v="0"/>
    <s v="Week3-Dec-2025"/>
    <x v="3"/>
    <s v="Q3FY26"/>
    <s v="29-Sep-2026"/>
    <s v="Tuesday"/>
    <s v="Monthly - Tuesday"/>
    <s v="Monthly - Tuesday"/>
    <s v="Month+9 Expiry"/>
    <n v="0"/>
    <n v="0"/>
    <n v="0"/>
  </r>
  <r>
    <s v="16-Dec-2025"/>
    <x v="1"/>
    <s v="Week3-Dec-2025"/>
    <x v="3"/>
    <s v="Q3FY26"/>
    <s v="30-Dec-2025"/>
    <s v="Tuesday"/>
    <s v="Monthly - Tuesday"/>
    <s v="Monthly - Tuesday"/>
    <s v="Same Month Expiry"/>
    <n v="2787074"/>
    <n v="5781.1747"/>
    <n v="32.6153"/>
  </r>
  <r>
    <s v="16-Dec-2025"/>
    <x v="1"/>
    <s v="Week3-Dec-2025"/>
    <x v="3"/>
    <s v="Q3FY26"/>
    <s v="27-Jan-2026"/>
    <s v="Tuesday"/>
    <s v="Monthly - Tuesday"/>
    <s v="Monthly - Tuesday"/>
    <s v="Month+1 Expiry"/>
    <n v="57880"/>
    <n v="104.3718"/>
    <n v="1.1118"/>
  </r>
  <r>
    <s v="16-Dec-2025"/>
    <x v="1"/>
    <s v="Week3-Dec-2025"/>
    <x v="3"/>
    <s v="Q3FY26"/>
    <s v="24-Feb-2026"/>
    <s v="Tuesday"/>
    <s v="Monthly - Tuesday"/>
    <s v="Monthly - Tuesday"/>
    <s v="Month+2 Expiry"/>
    <n v="3458"/>
    <n v="6.2468"/>
    <n v="0.0663"/>
  </r>
  <r>
    <s v="16-Dec-2025"/>
    <x v="1"/>
    <s v="Week3-Dec-2025"/>
    <x v="3"/>
    <s v="Q3FY26"/>
    <s v="31-Mar-2026"/>
    <s v="Tuesday"/>
    <s v="Monthly - Tuesday"/>
    <s v="Monthly - Tuesday"/>
    <s v="Month+3 Expiry"/>
    <n v="1009"/>
    <n v="2.0733"/>
    <n v="0.0255"/>
  </r>
  <r>
    <s v="16-Dec-2025"/>
    <x v="1"/>
    <s v="Week3-Dec-2025"/>
    <x v="3"/>
    <s v="Q3FY26"/>
    <s v="30-Jun-2026"/>
    <s v="Tuesday"/>
    <s v="Monthly - Tuesday"/>
    <s v="Monthly - Tuesday"/>
    <s v="Month+6 Expiry"/>
    <n v="0"/>
    <n v="0"/>
    <n v="0"/>
  </r>
  <r>
    <s v="16-Dec-2025"/>
    <x v="1"/>
    <s v="Week3-Dec-2025"/>
    <x v="3"/>
    <s v="Q3FY26"/>
    <s v="29-Sep-2026"/>
    <s v="Tuesday"/>
    <s v="Monthly - Tuesday"/>
    <s v="Monthly - Tuesday"/>
    <s v="Month+9 Expiry"/>
    <n v="0"/>
    <n v="0"/>
    <n v="0"/>
  </r>
  <r>
    <s v="17-Dec-2025"/>
    <x v="2"/>
    <s v="Week3-Dec-2025"/>
    <x v="3"/>
    <s v="Q3FY26"/>
    <s v="30-Dec-2025"/>
    <s v="Tuesday"/>
    <s v="Monthly - Tuesday"/>
    <s v="Monthly - Tuesday"/>
    <s v="Same Month Expiry"/>
    <n v="3053525"/>
    <n v="6308.2953"/>
    <n v="33.4114"/>
  </r>
  <r>
    <s v="17-Dec-2025"/>
    <x v="2"/>
    <s v="Week3-Dec-2025"/>
    <x v="3"/>
    <s v="Q3FY26"/>
    <s v="27-Jan-2026"/>
    <s v="Tuesday"/>
    <s v="Monthly - Tuesday"/>
    <s v="Monthly - Tuesday"/>
    <s v="Month+1 Expiry"/>
    <n v="80732"/>
    <n v="145.3079"/>
    <n v="1.6157"/>
  </r>
  <r>
    <s v="17-Dec-2025"/>
    <x v="2"/>
    <s v="Week3-Dec-2025"/>
    <x v="3"/>
    <s v="Q3FY26"/>
    <s v="24-Feb-2026"/>
    <s v="Tuesday"/>
    <s v="Monthly - Tuesday"/>
    <s v="Monthly - Tuesday"/>
    <s v="Month+2 Expiry"/>
    <n v="3475"/>
    <n v="6.2903"/>
    <n v="0.07539999999999999"/>
  </r>
  <r>
    <s v="17-Dec-2025"/>
    <x v="2"/>
    <s v="Week3-Dec-2025"/>
    <x v="3"/>
    <s v="Q3FY26"/>
    <s v="31-Mar-2026"/>
    <s v="Tuesday"/>
    <s v="Monthly - Tuesday"/>
    <s v="Monthly - Tuesday"/>
    <s v="Month+3 Expiry"/>
    <n v="678"/>
    <n v="1.4289"/>
    <n v="0.0279"/>
  </r>
  <r>
    <s v="17-Dec-2025"/>
    <x v="2"/>
    <s v="Week3-Dec-2025"/>
    <x v="3"/>
    <s v="Q3FY26"/>
    <s v="30-Jun-2026"/>
    <s v="Tuesday"/>
    <s v="Monthly - Tuesday"/>
    <s v="Monthly - Tuesday"/>
    <s v="Month+6 Expiry"/>
    <n v="0"/>
    <n v="0"/>
    <n v="0"/>
  </r>
  <r>
    <s v="17-Dec-2025"/>
    <x v="2"/>
    <s v="Week3-Dec-2025"/>
    <x v="3"/>
    <s v="Q3FY26"/>
    <s v="29-Sep-2026"/>
    <s v="Tuesday"/>
    <s v="Monthly - Tuesday"/>
    <s v="Monthly - Tuesday"/>
    <s v="Month+9 Expiry"/>
    <n v="0"/>
    <n v="0"/>
    <n v="0"/>
  </r>
  <r>
    <s v="18-Dec-2025"/>
    <x v="3"/>
    <s v="Week3-Dec-2025"/>
    <x v="3"/>
    <s v="Q3FY26"/>
    <s v="30-Dec-2025"/>
    <s v="Tuesday"/>
    <s v="Monthly - Tuesday"/>
    <s v="Monthly - Tuesday"/>
    <s v="Same Month Expiry"/>
    <n v="3644058"/>
    <n v="7524.2513"/>
    <n v="37.3143"/>
  </r>
  <r>
    <s v="18-Dec-2025"/>
    <x v="3"/>
    <s v="Week3-Dec-2025"/>
    <x v="3"/>
    <s v="Q3FY26"/>
    <s v="27-Jan-2026"/>
    <s v="Tuesday"/>
    <s v="Monthly - Tuesday"/>
    <s v="Monthly - Tuesday"/>
    <s v="Month+1 Expiry"/>
    <n v="130966"/>
    <n v="234.5682"/>
    <n v="2.3968"/>
  </r>
  <r>
    <s v="18-Dec-2025"/>
    <x v="3"/>
    <s v="Week3-Dec-2025"/>
    <x v="3"/>
    <s v="Q3FY26"/>
    <s v="24-Feb-2026"/>
    <s v="Tuesday"/>
    <s v="Monthly - Tuesday"/>
    <s v="Monthly - Tuesday"/>
    <s v="Month+2 Expiry"/>
    <n v="3173"/>
    <n v="5.6935"/>
    <n v="0.0636"/>
  </r>
  <r>
    <s v="18-Dec-2025"/>
    <x v="3"/>
    <s v="Week3-Dec-2025"/>
    <x v="3"/>
    <s v="Q3FY26"/>
    <s v="31-Mar-2026"/>
    <s v="Tuesday"/>
    <s v="Monthly - Tuesday"/>
    <s v="Monthly - Tuesday"/>
    <s v="Month+3 Expiry"/>
    <n v="779"/>
    <n v="1.6266"/>
    <n v="0.0257"/>
  </r>
  <r>
    <s v="18-Dec-2025"/>
    <x v="3"/>
    <s v="Week3-Dec-2025"/>
    <x v="3"/>
    <s v="Q3FY26"/>
    <s v="30-Jun-2026"/>
    <s v="Tuesday"/>
    <s v="Monthly - Tuesday"/>
    <s v="Monthly - Tuesday"/>
    <s v="Month+6 Expiry"/>
    <n v="0"/>
    <n v="0"/>
    <n v="0"/>
  </r>
  <r>
    <s v="18-Dec-2025"/>
    <x v="3"/>
    <s v="Week3-Dec-2025"/>
    <x v="3"/>
    <s v="Q3FY26"/>
    <s v="29-Sep-2026"/>
    <s v="Tuesday"/>
    <s v="Monthly - Tuesday"/>
    <s v="Monthly - Tuesday"/>
    <s v="Month+9 Expiry"/>
    <n v="0"/>
    <n v="0"/>
    <n v="0"/>
  </r>
  <r>
    <s v="19-Dec-2025"/>
    <x v="4"/>
    <s v="Week3-Dec-2025"/>
    <x v="3"/>
    <s v="Q3FY26"/>
    <s v="30-Dec-2025"/>
    <s v="Tuesday"/>
    <s v="Monthly - Tuesday"/>
    <s v="Monthly - Tuesday"/>
    <s v="Same Month Expiry"/>
    <n v="3605550"/>
    <n v="7427.5734"/>
    <n v="34.7288"/>
  </r>
  <r>
    <s v="19-Dec-2025"/>
    <x v="4"/>
    <s v="Week3-Dec-2025"/>
    <x v="3"/>
    <s v="Q3FY26"/>
    <s v="27-Jan-2026"/>
    <s v="Tuesday"/>
    <s v="Monthly - Tuesday"/>
    <s v="Monthly - Tuesday"/>
    <s v="Month+1 Expiry"/>
    <n v="102550"/>
    <n v="183.857"/>
    <n v="1.8372"/>
  </r>
  <r>
    <s v="19-Dec-2025"/>
    <x v="4"/>
    <s v="Week3-Dec-2025"/>
    <x v="3"/>
    <s v="Q3FY26"/>
    <s v="24-Feb-2026"/>
    <s v="Tuesday"/>
    <s v="Monthly - Tuesday"/>
    <s v="Monthly - Tuesday"/>
    <s v="Month+2 Expiry"/>
    <n v="2940"/>
    <n v="5.2924"/>
    <n v="0.0561"/>
  </r>
  <r>
    <s v="19-Dec-2025"/>
    <x v="4"/>
    <s v="Week3-Dec-2025"/>
    <x v="3"/>
    <s v="Q3FY26"/>
    <s v="31-Mar-2026"/>
    <s v="Tuesday"/>
    <s v="Monthly - Tuesday"/>
    <s v="Monthly - Tuesday"/>
    <s v="Month+3 Expiry"/>
    <n v="614"/>
    <n v="1.2753"/>
    <n v="0.0203"/>
  </r>
  <r>
    <s v="19-Dec-2025"/>
    <x v="4"/>
    <s v="Week3-Dec-2025"/>
    <x v="3"/>
    <s v="Q3FY26"/>
    <s v="30-Jun-2026"/>
    <s v="Tuesday"/>
    <s v="Monthly - Tuesday"/>
    <s v="Monthly - Tuesday"/>
    <s v="Month+6 Expiry"/>
    <n v="0"/>
    <n v="0"/>
    <n v="0"/>
  </r>
  <r>
    <s v="19-Dec-2025"/>
    <x v="4"/>
    <s v="Week3-Dec-2025"/>
    <x v="3"/>
    <s v="Q3FY26"/>
    <s v="29-Sep-2026"/>
    <s v="Tuesday"/>
    <s v="Monthly - Tuesday"/>
    <s v="Monthly - Tuesday"/>
    <s v="Month+9 Expiry"/>
    <n v="0"/>
    <n v="0"/>
    <n v="0"/>
  </r>
  <r>
    <s v="22-Dec-2025"/>
    <x v="0"/>
    <s v="Week4-Dec-2025"/>
    <x v="3"/>
    <s v="Q3FY26"/>
    <s v="30-Dec-2025"/>
    <s v="Tuesday"/>
    <s v="Monthly - Tuesday"/>
    <s v="Monthly - Tuesday"/>
    <s v="Same Month Expiry"/>
    <n v="3028061"/>
    <n v="6235.5817"/>
    <n v="25.9656"/>
  </r>
  <r>
    <s v="22-Dec-2025"/>
    <x v="0"/>
    <s v="Week4-Dec-2025"/>
    <x v="3"/>
    <s v="Q3FY26"/>
    <s v="27-Jan-2026"/>
    <s v="Tuesday"/>
    <s v="Monthly - Tuesday"/>
    <s v="Monthly - Tuesday"/>
    <s v="Month+1 Expiry"/>
    <n v="114264"/>
    <n v="204.6945"/>
    <n v="1.867"/>
  </r>
  <r>
    <s v="22-Dec-2025"/>
    <x v="0"/>
    <s v="Week4-Dec-2025"/>
    <x v="3"/>
    <s v="Q3FY26"/>
    <s v="24-Feb-2026"/>
    <s v="Tuesday"/>
    <s v="Monthly - Tuesday"/>
    <s v="Monthly - Tuesday"/>
    <s v="Month+2 Expiry"/>
    <n v="4171"/>
    <n v="7.4309"/>
    <n v="0.0613"/>
  </r>
  <r>
    <s v="22-Dec-2025"/>
    <x v="0"/>
    <s v="Week4-Dec-2025"/>
    <x v="3"/>
    <s v="Q3FY26"/>
    <s v="31-Mar-2026"/>
    <s v="Tuesday"/>
    <s v="Monthly - Tuesday"/>
    <s v="Monthly - Tuesday"/>
    <s v="Month+3 Expiry"/>
    <n v="769"/>
    <n v="1.5935"/>
    <n v="0.0283"/>
  </r>
  <r>
    <s v="22-Dec-2025"/>
    <x v="0"/>
    <s v="Week4-Dec-2025"/>
    <x v="3"/>
    <s v="Q3FY26"/>
    <s v="30-Jun-2026"/>
    <s v="Tuesday"/>
    <s v="Monthly - Tuesday"/>
    <s v="Monthly - Tuesday"/>
    <s v="Month+6 Expiry"/>
    <n v="0"/>
    <n v="0"/>
    <n v="0"/>
  </r>
  <r>
    <s v="22-Dec-2025"/>
    <x v="0"/>
    <s v="Week4-Dec-2025"/>
    <x v="3"/>
    <s v="Q3FY26"/>
    <s v="29-Sep-2026"/>
    <s v="Tuesday"/>
    <s v="Monthly - Tuesday"/>
    <s v="Monthly - Tuesday"/>
    <s v="Month+9 Expiry"/>
    <n v="0"/>
    <n v="0"/>
    <n v="0"/>
  </r>
  <r>
    <s v="23-Dec-2025"/>
    <x v="1"/>
    <s v="Week4-Dec-2025"/>
    <x v="3"/>
    <s v="Q3FY26"/>
    <s v="30-Dec-2025"/>
    <s v="Tuesday"/>
    <s v="Monthly - Tuesday"/>
    <s v="Monthly - Tuesday"/>
    <s v="Same Month Expiry"/>
    <n v="3342654"/>
    <n v="6890.1032"/>
    <n v="23.2278"/>
  </r>
  <r>
    <s v="23-Dec-2025"/>
    <x v="1"/>
    <s v="Week4-Dec-2025"/>
    <x v="3"/>
    <s v="Q3FY26"/>
    <s v="27-Jan-2026"/>
    <s v="Tuesday"/>
    <s v="Monthly - Tuesday"/>
    <s v="Monthly - Tuesday"/>
    <s v="Month+1 Expiry"/>
    <n v="103825"/>
    <n v="186.1183"/>
    <n v="1.6578"/>
  </r>
  <r>
    <s v="23-Dec-2025"/>
    <x v="1"/>
    <s v="Week4-Dec-2025"/>
    <x v="3"/>
    <s v="Q3FY26"/>
    <s v="24-Feb-2026"/>
    <s v="Tuesday"/>
    <s v="Monthly - Tuesday"/>
    <s v="Monthly - Tuesday"/>
    <s v="Month+2 Expiry"/>
    <n v="3727"/>
    <n v="6.6414"/>
    <n v="0.06469999999999999"/>
  </r>
  <r>
    <s v="23-Dec-2025"/>
    <x v="1"/>
    <s v="Week4-Dec-2025"/>
    <x v="3"/>
    <s v="Q3FY26"/>
    <s v="31-Mar-2026"/>
    <s v="Tuesday"/>
    <s v="Monthly - Tuesday"/>
    <s v="Monthly - Tuesday"/>
    <s v="Month+3 Expiry"/>
    <n v="1528"/>
    <n v="3.1606"/>
    <n v="0.0486"/>
  </r>
  <r>
    <s v="23-Dec-2025"/>
    <x v="1"/>
    <s v="Week4-Dec-2025"/>
    <x v="3"/>
    <s v="Q3FY26"/>
    <s v="30-Jun-2026"/>
    <s v="Tuesday"/>
    <s v="Monthly - Tuesday"/>
    <s v="Monthly - Tuesday"/>
    <s v="Month+6 Expiry"/>
    <n v="0"/>
    <n v="0"/>
    <n v="0"/>
  </r>
  <r>
    <s v="23-Dec-2025"/>
    <x v="1"/>
    <s v="Week4-Dec-2025"/>
    <x v="3"/>
    <s v="Q3FY26"/>
    <s v="29-Sep-2026"/>
    <s v="Tuesday"/>
    <s v="Monthly - Tuesday"/>
    <s v="Monthly - Tuesday"/>
    <s v="Month+9 Expiry"/>
    <n v="0"/>
    <n v="0"/>
    <n v="0"/>
  </r>
  <r>
    <s v="24-Dec-2025"/>
    <x v="2"/>
    <s v="Week4-Dec-2025"/>
    <x v="3"/>
    <s v="Q3FY26"/>
    <s v="30-Dec-2025"/>
    <s v="Tuesday"/>
    <s v="Monthly - Tuesday"/>
    <s v="Monthly - Tuesday"/>
    <s v="Same Month Expiry"/>
    <n v="6051130"/>
    <n v="12460.1771"/>
    <n v="32.3745"/>
  </r>
  <r>
    <s v="24-Dec-2025"/>
    <x v="2"/>
    <s v="Week4-Dec-2025"/>
    <x v="3"/>
    <s v="Q3FY26"/>
    <s v="27-Jan-2026"/>
    <s v="Tuesday"/>
    <s v="Monthly - Tuesday"/>
    <s v="Monthly - Tuesday"/>
    <s v="Month+1 Expiry"/>
    <n v="183087"/>
    <n v="328.1066"/>
    <n v="2.9802"/>
  </r>
  <r>
    <s v="24-Dec-2025"/>
    <x v="2"/>
    <s v="Week4-Dec-2025"/>
    <x v="3"/>
    <s v="Q3FY26"/>
    <s v="24-Feb-2026"/>
    <s v="Tuesday"/>
    <s v="Monthly - Tuesday"/>
    <s v="Monthly - Tuesday"/>
    <s v="Month+2 Expiry"/>
    <n v="6487"/>
    <n v="11.6971"/>
    <n v="0.1201"/>
  </r>
  <r>
    <s v="24-Dec-2025"/>
    <x v="2"/>
    <s v="Week4-Dec-2025"/>
    <x v="3"/>
    <s v="Q3FY26"/>
    <s v="31-Mar-2026"/>
    <s v="Tuesday"/>
    <s v="Monthly - Tuesday"/>
    <s v="Monthly - Tuesday"/>
    <s v="Month+3 Expiry"/>
    <n v="1812"/>
    <n v="3.8454"/>
    <n v="0.0725"/>
  </r>
  <r>
    <s v="24-Dec-2025"/>
    <x v="2"/>
    <s v="Week4-Dec-2025"/>
    <x v="3"/>
    <s v="Q3FY26"/>
    <s v="30-Jun-2026"/>
    <s v="Tuesday"/>
    <s v="Monthly - Tuesday"/>
    <s v="Monthly - Tuesday"/>
    <s v="Month+6 Expiry"/>
    <n v="0"/>
    <n v="0"/>
    <n v="0"/>
  </r>
  <r>
    <s v="24-Dec-2025"/>
    <x v="2"/>
    <s v="Week4-Dec-2025"/>
    <x v="3"/>
    <s v="Q3FY26"/>
    <s v="29-Sep-2026"/>
    <s v="Tuesday"/>
    <s v="Monthly - Tuesday"/>
    <s v="Monthly - Tuesday"/>
    <s v="Month+9 Expiry"/>
    <n v="0"/>
    <n v="0"/>
    <n v="0"/>
  </r>
  <r>
    <s v="26-Dec-2025"/>
    <x v="4"/>
    <s v="Week4-Dec-2025"/>
    <x v="3"/>
    <s v="Q3FY26"/>
    <s v="30-Dec-2025"/>
    <s v="Tuesday"/>
    <s v="Monthly - Tuesday"/>
    <s v="Monthly - Tuesday"/>
    <s v="Same Month Expiry"/>
    <n v="9201123"/>
    <n v="18815.8161"/>
    <n v="40.2661"/>
  </r>
  <r>
    <s v="26-Dec-2025"/>
    <x v="4"/>
    <s v="Week4-Dec-2025"/>
    <x v="3"/>
    <s v="Q3FY26"/>
    <s v="27-Jan-2026"/>
    <s v="Tuesday"/>
    <s v="Monthly - Tuesday"/>
    <s v="Monthly - Tuesday"/>
    <s v="Month+1 Expiry"/>
    <n v="260010"/>
    <n v="465.4661"/>
    <n v="4.4732"/>
  </r>
  <r>
    <s v="26-Dec-2025"/>
    <x v="4"/>
    <s v="Week4-Dec-2025"/>
    <x v="3"/>
    <s v="Q3FY26"/>
    <s v="24-Feb-2026"/>
    <s v="Tuesday"/>
    <s v="Monthly - Tuesday"/>
    <s v="Monthly - Tuesday"/>
    <s v="Month+2 Expiry"/>
    <n v="10395"/>
    <n v="18.6006"/>
    <n v="0.1798"/>
  </r>
  <r>
    <s v="26-Dec-2025"/>
    <x v="4"/>
    <s v="Week4-Dec-2025"/>
    <x v="3"/>
    <s v="Q3FY26"/>
    <s v="31-Mar-2026"/>
    <s v="Tuesday"/>
    <s v="Monthly - Tuesday"/>
    <s v="Monthly - Tuesday"/>
    <s v="Month+3 Expiry"/>
    <n v="1782"/>
    <n v="3.7052"/>
    <n v="0.0594"/>
  </r>
  <r>
    <s v="26-Dec-2025"/>
    <x v="4"/>
    <s v="Week4-Dec-2025"/>
    <x v="3"/>
    <s v="Q3FY26"/>
    <s v="30-Jun-2026"/>
    <s v="Tuesday"/>
    <s v="Monthly - Tuesday"/>
    <s v="Monthly - Tuesday"/>
    <s v="Month+6 Expiry"/>
    <n v="0"/>
    <n v="0"/>
    <n v="0"/>
  </r>
  <r>
    <s v="26-Dec-2025"/>
    <x v="4"/>
    <s v="Week4-Dec-2025"/>
    <x v="3"/>
    <s v="Q3FY26"/>
    <s v="29-Sep-2026"/>
    <s v="Tuesday"/>
    <s v="Monthly - Tuesday"/>
    <s v="Monthly - Tuesday"/>
    <s v="Month+9 Expiry"/>
    <n v="0"/>
    <n v="0"/>
    <n v="0"/>
  </r>
  <r>
    <s v="29-Dec-2025"/>
    <x v="0"/>
    <s v="Week5-Dec-2025"/>
    <x v="3"/>
    <s v="Q3FY26"/>
    <s v="30-Dec-2025"/>
    <s v="Tuesday"/>
    <s v="Monthly - Tuesday"/>
    <s v="Monthly - Tuesday"/>
    <s v="Same Month Expiry"/>
    <n v="17345726"/>
    <n v="35369.2564"/>
    <n v="56.5287"/>
  </r>
  <r>
    <s v="29-Dec-2025"/>
    <x v="0"/>
    <s v="Week5-Dec-2025"/>
    <x v="3"/>
    <s v="Q3FY26"/>
    <s v="27-Jan-2026"/>
    <s v="Tuesday"/>
    <s v="Monthly - Tuesday"/>
    <s v="Monthly - Tuesday"/>
    <s v="Month+1 Expiry"/>
    <n v="363743"/>
    <n v="650.4281"/>
    <n v="6.4892"/>
  </r>
  <r>
    <s v="29-Dec-2025"/>
    <x v="0"/>
    <s v="Week5-Dec-2025"/>
    <x v="3"/>
    <s v="Q3FY26"/>
    <s v="24-Feb-2026"/>
    <s v="Tuesday"/>
    <s v="Monthly - Tuesday"/>
    <s v="Monthly - Tuesday"/>
    <s v="Month+2 Expiry"/>
    <n v="15249"/>
    <n v="27.0915"/>
    <n v="0.2339"/>
  </r>
  <r>
    <s v="29-Dec-2025"/>
    <x v="0"/>
    <s v="Week5-Dec-2025"/>
    <x v="3"/>
    <s v="Q3FY26"/>
    <s v="30-Mar-2026"/>
    <s v="Monday"/>
    <s v="Monthly - Monday"/>
    <s v="Monthly - Monday"/>
    <s v="Month+3 Expiry"/>
    <n v="4448"/>
    <n v="9.1615"/>
    <n v="0.149"/>
  </r>
  <r>
    <s v="29-Dec-2025"/>
    <x v="0"/>
    <s v="Week5-Dec-2025"/>
    <x v="3"/>
    <s v="Q3FY26"/>
    <s v="30-Jun-2026"/>
    <s v="Tuesday"/>
    <s v="Monthly - Tuesday"/>
    <s v="Monthly - Tuesday"/>
    <s v="Month+6 Expiry"/>
    <n v="0"/>
    <n v="0"/>
    <n v="0"/>
  </r>
  <r>
    <s v="29-Dec-2025"/>
    <x v="0"/>
    <s v="Week5-Dec-2025"/>
    <x v="3"/>
    <s v="Q3FY26"/>
    <s v="29-Sep-2026"/>
    <s v="Tuesday"/>
    <s v="Monthly - Tuesday"/>
    <s v="Monthly - Tuesday"/>
    <s v="Month+9 Expiry"/>
    <n v="0"/>
    <n v="0"/>
    <n v="0"/>
  </r>
  <r>
    <s v="30-Dec-2025"/>
    <x v="1"/>
    <s v="Week5-Dec-2025"/>
    <x v="3"/>
    <s v="Q3FY26"/>
    <s v="30-Dec-2025"/>
    <s v="Tuesday"/>
    <s v="Monthly - Tuesday"/>
    <s v="Monthly - Tuesday"/>
    <s v="Same Month Expiry"/>
    <n v="78603896"/>
    <n v="160321.2023"/>
    <n v="131.0123"/>
  </r>
  <r>
    <s v="30-Dec-2025"/>
    <x v="1"/>
    <s v="Week5-Dec-2025"/>
    <x v="3"/>
    <s v="Q3FY26"/>
    <s v="27-Jan-2026"/>
    <s v="Tuesday"/>
    <s v="Monthly - Tuesday"/>
    <s v="Monthly - Tuesday"/>
    <s v="Month+1 Expiry"/>
    <n v="765819"/>
    <n v="1363.3819"/>
    <n v="12.1024"/>
  </r>
  <r>
    <s v="30-Dec-2025"/>
    <x v="1"/>
    <s v="Week5-Dec-2025"/>
    <x v="3"/>
    <s v="Q3FY26"/>
    <s v="24-Feb-2026"/>
    <s v="Tuesday"/>
    <s v="Monthly - Tuesday"/>
    <s v="Monthly - Tuesday"/>
    <s v="Month+2 Expiry"/>
    <n v="12656"/>
    <n v="22.8036"/>
    <n v="0.2343"/>
  </r>
  <r>
    <s v="30-Dec-2025"/>
    <x v="1"/>
    <s v="Week5-Dec-2025"/>
    <x v="3"/>
    <s v="Q3FY26"/>
    <s v="30-Mar-2026"/>
    <s v="Monday"/>
    <s v="Monthly - Monday"/>
    <s v="Monthly - Monday"/>
    <s v="Month+3 Expiry"/>
    <n v="4061"/>
    <n v="8.429500000000001"/>
    <n v="0.1191"/>
  </r>
  <r>
    <s v="30-Dec-2025"/>
    <x v="1"/>
    <s v="Week5-Dec-2025"/>
    <x v="3"/>
    <s v="Q3FY26"/>
    <s v="30-Jun-2026"/>
    <s v="Tuesday"/>
    <s v="Monthly - Tuesday"/>
    <s v="Monthly - Tuesday"/>
    <s v="Month+6 Expiry"/>
    <n v="0"/>
    <n v="0"/>
    <n v="0"/>
  </r>
  <r>
    <s v="30-Dec-2025"/>
    <x v="1"/>
    <s v="Week5-Dec-2025"/>
    <x v="3"/>
    <s v="Q3FY26"/>
    <s v="29-Sep-2026"/>
    <s v="Tuesday"/>
    <s v="Monthly - Tuesday"/>
    <s v="Monthly - Tuesday"/>
    <s v="Month+9 Expiry"/>
    <n v="0"/>
    <n v="0"/>
    <n v="0"/>
  </r>
  <r>
    <s v="31-Dec-2025"/>
    <x v="2"/>
    <s v="Week5-Dec-2025"/>
    <x v="3"/>
    <s v="Q3FY26"/>
    <s v="27-Jan-2026"/>
    <s v="Tuesday"/>
    <s v="Monthly - Tuesday"/>
    <s v="Monthly - Tuesday"/>
    <s v="Month+1 Expiry"/>
    <n v="2192565"/>
    <n v="3925.0769"/>
    <n v="28.5819"/>
  </r>
  <r>
    <s v="31-Dec-2025"/>
    <x v="2"/>
    <s v="Week5-Dec-2025"/>
    <x v="3"/>
    <s v="Q3FY26"/>
    <s v="24-Feb-2026"/>
    <s v="Tuesday"/>
    <s v="Monthly - Tuesday"/>
    <s v="Monthly - Tuesday"/>
    <s v="Month+2 Expiry"/>
    <n v="27378"/>
    <n v="49.6313"/>
    <n v="0.4528"/>
  </r>
  <r>
    <s v="31-Dec-2025"/>
    <x v="2"/>
    <s v="Week5-Dec-2025"/>
    <x v="3"/>
    <s v="Q3FY26"/>
    <s v="30-Mar-2026"/>
    <s v="Monday"/>
    <s v="Monthly - Monday"/>
    <s v="Monthly - Monday"/>
    <s v="Month+3 Expiry"/>
    <n v="7104"/>
    <n v="12.9174"/>
    <n v="0.2014"/>
  </r>
  <r>
    <s v="31-Dec-2025"/>
    <x v="2"/>
    <s v="Week5-Dec-2025"/>
    <x v="3"/>
    <s v="Q3FY26"/>
    <s v="30-Jun-2026"/>
    <s v="Tuesday"/>
    <s v="Monthly - Tuesday"/>
    <s v="Monthly - Tuesday"/>
    <s v="Month+6 Expiry"/>
    <n v="0"/>
    <n v="0"/>
    <n v="0"/>
  </r>
  <r>
    <s v="31-Dec-2025"/>
    <x v="2"/>
    <s v="Week5-Dec-2025"/>
    <x v="3"/>
    <s v="Q3FY26"/>
    <s v="29-Sep-2026"/>
    <s v="Tuesday"/>
    <s v="Monthly - Tuesday"/>
    <s v="Monthly - Tuesday"/>
    <s v="Month+9 Expiry"/>
    <n v="0"/>
    <n v="0"/>
    <n v="0"/>
  </r>
  <r>
    <s v="31-Dec-2025"/>
    <x v="2"/>
    <s v="Week5-Dec-2025"/>
    <x v="3"/>
    <s v="Q3FY26"/>
    <s v="29-Dec-2026"/>
    <s v="Tuesday"/>
    <s v="Monthly - Tuesday"/>
    <s v="Monthly - Tuesday"/>
    <s v="Month+12 Expiry"/>
    <n v="0"/>
    <n v="0"/>
    <n v="0"/>
  </r>
  <r>
    <s v="01-Jan-2026"/>
    <x v="3"/>
    <s v="Week1-Jan-2026"/>
    <x v="4"/>
    <s v="Q4FY26"/>
    <s v="27-Jan-2026"/>
    <s v="Tuesday"/>
    <s v="Monthly - Tuesday"/>
    <s v="Monthly - Tuesday"/>
    <s v="Same Month Expiry"/>
    <n v="1218064"/>
    <n v="2177.2118"/>
    <n v="15.9139"/>
  </r>
  <r>
    <s v="01-Jan-2026"/>
    <x v="3"/>
    <s v="Week1-Jan-2026"/>
    <x v="4"/>
    <s v="Q4FY26"/>
    <s v="24-Feb-2026"/>
    <s v="Tuesday"/>
    <s v="Monthly - Tuesday"/>
    <s v="Monthly - Tuesday"/>
    <s v="Month+1 Expiry"/>
    <n v="11460"/>
    <n v="20.7034"/>
    <n v="0.2093"/>
  </r>
  <r>
    <s v="01-Jan-2026"/>
    <x v="3"/>
    <s v="Week1-Jan-2026"/>
    <x v="4"/>
    <s v="Q4FY26"/>
    <s v="30-Mar-2026"/>
    <s v="Monday"/>
    <s v="Monthly - Monday"/>
    <s v="Monthly - Monday"/>
    <s v="Month+2 Expiry"/>
    <n v="1868"/>
    <n v="3.3504"/>
    <n v="0.0403"/>
  </r>
  <r>
    <s v="01-Jan-2026"/>
    <x v="3"/>
    <s v="Week1-Jan-2026"/>
    <x v="4"/>
    <s v="Q4FY26"/>
    <s v="30-Jun-2026"/>
    <s v="Tuesday"/>
    <s v="Monthly - Tuesday"/>
    <s v="Monthly - Tuesday"/>
    <s v="Month+5 Expiry"/>
    <n v="0"/>
    <n v="0"/>
    <n v="0"/>
  </r>
  <r>
    <s v="01-Jan-2026"/>
    <x v="3"/>
    <s v="Week1-Jan-2026"/>
    <x v="4"/>
    <s v="Q4FY26"/>
    <s v="29-Sep-2026"/>
    <s v="Tuesday"/>
    <s v="Monthly - Tuesday"/>
    <s v="Monthly - Tuesday"/>
    <s v="Month+8 Expiry"/>
    <n v="0"/>
    <n v="0"/>
    <n v="0"/>
  </r>
  <r>
    <s v="01-Jan-2026"/>
    <x v="3"/>
    <s v="Week1-Jan-2026"/>
    <x v="4"/>
    <s v="Q4FY26"/>
    <s v="29-Dec-2026"/>
    <s v="Tuesday"/>
    <s v="Monthly - Tuesday"/>
    <s v="Monthly - Tuesday"/>
    <s v="Month+11 Expiry"/>
    <n v="0"/>
    <n v="0"/>
    <n v="0"/>
  </r>
  <r>
    <s v="02-Jan-2026"/>
    <x v="4"/>
    <s v="Week1-Jan-2026"/>
    <x v="4"/>
    <s v="Q4FY26"/>
    <s v="27-Jan-2026"/>
    <s v="Tuesday"/>
    <s v="Monthly - Tuesday"/>
    <s v="Monthly - Tuesday"/>
    <s v="Same Month Expiry"/>
    <n v="2233318"/>
    <n v="4015.0791"/>
    <n v="28.0359"/>
  </r>
  <r>
    <s v="02-Jan-2026"/>
    <x v="4"/>
    <s v="Week1-Jan-2026"/>
    <x v="4"/>
    <s v="Q4FY26"/>
    <s v="24-Feb-2026"/>
    <s v="Tuesday"/>
    <s v="Monthly - Tuesday"/>
    <s v="Monthly - Tuesday"/>
    <s v="Month+1 Expiry"/>
    <n v="31896"/>
    <n v="57.9701"/>
    <n v="0.576"/>
  </r>
  <r>
    <s v="02-Jan-2026"/>
    <x v="4"/>
    <s v="Week1-Jan-2026"/>
    <x v="4"/>
    <s v="Q4FY26"/>
    <s v="30-Mar-2026"/>
    <s v="Monday"/>
    <s v="Monthly - Monday"/>
    <s v="Monthly - Monday"/>
    <s v="Month+2 Expiry"/>
    <n v="6090"/>
    <n v="11.0708"/>
    <n v="0.1589"/>
  </r>
  <r>
    <s v="02-Jan-2026"/>
    <x v="4"/>
    <s v="Week1-Jan-2026"/>
    <x v="4"/>
    <s v="Q4FY26"/>
    <s v="30-Jun-2026"/>
    <s v="Tuesday"/>
    <s v="Monthly - Tuesday"/>
    <s v="Monthly - Tuesday"/>
    <s v="Month+5 Expiry"/>
    <n v="0"/>
    <n v="0"/>
    <n v="0"/>
  </r>
  <r>
    <s v="02-Jan-2026"/>
    <x v="4"/>
    <s v="Week1-Jan-2026"/>
    <x v="4"/>
    <s v="Q4FY26"/>
    <s v="29-Sep-2026"/>
    <s v="Tuesday"/>
    <s v="Monthly - Tuesday"/>
    <s v="Monthly - Tuesday"/>
    <s v="Month+8 Expiry"/>
    <n v="0"/>
    <n v="0"/>
    <n v="0"/>
  </r>
  <r>
    <s v="02-Jan-2026"/>
    <x v="4"/>
    <s v="Week1-Jan-2026"/>
    <x v="4"/>
    <s v="Q4FY26"/>
    <s v="29-Dec-2026"/>
    <s v="Tuesday"/>
    <s v="Monthly - Tuesday"/>
    <s v="Monthly - Tuesday"/>
    <s v="Month+11 Expiry"/>
    <n v="0"/>
    <n v="0"/>
    <n v="0"/>
  </r>
  <r>
    <s v="05-Jan-2026"/>
    <x v="0"/>
    <s v="Week1-Jan-2026"/>
    <x v="4"/>
    <s v="Q4FY26"/>
    <s v="27-Jan-2026"/>
    <s v="Tuesday"/>
    <s v="Monthly - Tuesday"/>
    <s v="Monthly - Tuesday"/>
    <s v="Same Month Expiry"/>
    <n v="2557337"/>
    <n v="4614.8139"/>
    <n v="31.1752"/>
  </r>
  <r>
    <s v="05-Jan-2026"/>
    <x v="0"/>
    <s v="Week1-Jan-2026"/>
    <x v="4"/>
    <s v="Q4FY26"/>
    <s v="24-Feb-2026"/>
    <s v="Tuesday"/>
    <s v="Monthly - Tuesday"/>
    <s v="Monthly - Tuesday"/>
    <s v="Month+1 Expiry"/>
    <n v="26875"/>
    <n v="48.8995"/>
    <n v="0.4874"/>
  </r>
  <r>
    <s v="05-Jan-2026"/>
    <x v="0"/>
    <s v="Week1-Jan-2026"/>
    <x v="4"/>
    <s v="Q4FY26"/>
    <s v="30-Mar-2026"/>
    <s v="Monday"/>
    <s v="Monthly - Monday"/>
    <s v="Monthly - Monday"/>
    <s v="Month+2 Expiry"/>
    <n v="6279"/>
    <n v="11.495"/>
    <n v="0.1501"/>
  </r>
  <r>
    <s v="05-Jan-2026"/>
    <x v="0"/>
    <s v="Week1-Jan-2026"/>
    <x v="4"/>
    <s v="Q4FY26"/>
    <s v="30-Jun-2026"/>
    <s v="Tuesday"/>
    <s v="Monthly - Tuesday"/>
    <s v="Monthly - Tuesday"/>
    <s v="Month+5 Expiry"/>
    <n v="0"/>
    <n v="0"/>
    <n v="0"/>
  </r>
  <r>
    <s v="05-Jan-2026"/>
    <x v="0"/>
    <s v="Week1-Jan-2026"/>
    <x v="4"/>
    <s v="Q4FY26"/>
    <s v="29-Sep-2026"/>
    <s v="Tuesday"/>
    <s v="Monthly - Tuesday"/>
    <s v="Monthly - Tuesday"/>
    <s v="Month+8 Expiry"/>
    <n v="0"/>
    <n v="0"/>
    <n v="0"/>
  </r>
  <r>
    <s v="05-Jan-2026"/>
    <x v="0"/>
    <s v="Week1-Jan-2026"/>
    <x v="4"/>
    <s v="Q4FY26"/>
    <s v="29-Dec-2026"/>
    <s v="Tuesday"/>
    <s v="Monthly - Tuesday"/>
    <s v="Monthly - Tuesday"/>
    <s v="Month+11 Expiry"/>
    <n v="0"/>
    <n v="0"/>
    <n v="0"/>
  </r>
  <r>
    <s v="06-Jan-2026"/>
    <x v="1"/>
    <s v="Week1-Jan-2026"/>
    <x v="4"/>
    <s v="Q4FY26"/>
    <s v="27-Jan-2026"/>
    <s v="Tuesday"/>
    <s v="Monthly - Tuesday"/>
    <s v="Monthly - Tuesday"/>
    <s v="Same Month Expiry"/>
    <n v="2102559"/>
    <n v="3794.1032"/>
    <n v="25.7269"/>
  </r>
  <r>
    <s v="06-Jan-2026"/>
    <x v="1"/>
    <s v="Week1-Jan-2026"/>
    <x v="4"/>
    <s v="Q4FY26"/>
    <s v="24-Feb-2026"/>
    <s v="Tuesday"/>
    <s v="Monthly - Tuesday"/>
    <s v="Monthly - Tuesday"/>
    <s v="Month+1 Expiry"/>
    <n v="27710"/>
    <n v="50.0622"/>
    <n v="0.425"/>
  </r>
  <r>
    <s v="06-Jan-2026"/>
    <x v="1"/>
    <s v="Week1-Jan-2026"/>
    <x v="4"/>
    <s v="Q4FY26"/>
    <s v="30-Mar-2026"/>
    <s v="Monday"/>
    <s v="Monthly - Monday"/>
    <s v="Monthly - Monday"/>
    <s v="Month+2 Expiry"/>
    <n v="3017"/>
    <n v="5.5017"/>
    <n v="0.06909999999999999"/>
  </r>
  <r>
    <s v="06-Jan-2026"/>
    <x v="1"/>
    <s v="Week1-Jan-2026"/>
    <x v="4"/>
    <s v="Q4FY26"/>
    <s v="30-Jun-2026"/>
    <s v="Tuesday"/>
    <s v="Monthly - Tuesday"/>
    <s v="Monthly - Tuesday"/>
    <s v="Month+5 Expiry"/>
    <n v="0"/>
    <n v="0"/>
    <n v="0"/>
  </r>
  <r>
    <s v="06-Jan-2026"/>
    <x v="1"/>
    <s v="Week1-Jan-2026"/>
    <x v="4"/>
    <s v="Q4FY26"/>
    <s v="29-Sep-2026"/>
    <s v="Tuesday"/>
    <s v="Monthly - Tuesday"/>
    <s v="Monthly - Tuesday"/>
    <s v="Month+8 Expiry"/>
    <n v="0"/>
    <n v="0"/>
    <n v="0"/>
  </r>
  <r>
    <s v="06-Jan-2026"/>
    <x v="1"/>
    <s v="Week1-Jan-2026"/>
    <x v="4"/>
    <s v="Q4FY26"/>
    <s v="29-Dec-2026"/>
    <s v="Tuesday"/>
    <s v="Monthly - Tuesday"/>
    <s v="Monthly - Tuesday"/>
    <s v="Month+11 Expiry"/>
    <n v="0"/>
    <n v="0"/>
    <n v="0"/>
  </r>
  <r>
    <s v="07-Jan-2026"/>
    <x v="2"/>
    <s v="Week1-Jan-2026"/>
    <x v="4"/>
    <s v="Q4FY26"/>
    <s v="27-Jan-2026"/>
    <s v="Tuesday"/>
    <s v="Monthly - Tuesday"/>
    <s v="Monthly - Tuesday"/>
    <s v="Same Month Expiry"/>
    <n v="2284207"/>
    <n v="4099.624"/>
    <n v="27.5345"/>
  </r>
  <r>
    <s v="07-Jan-2026"/>
    <x v="2"/>
    <s v="Week1-Jan-2026"/>
    <x v="4"/>
    <s v="Q4FY26"/>
    <s v="24-Feb-2026"/>
    <s v="Tuesday"/>
    <s v="Monthly - Tuesday"/>
    <s v="Monthly - Tuesday"/>
    <s v="Month+1 Expiry"/>
    <n v="26715"/>
    <n v="48.5207"/>
    <n v="0.4817"/>
  </r>
  <r>
    <s v="07-Jan-2026"/>
    <x v="2"/>
    <s v="Week1-Jan-2026"/>
    <x v="4"/>
    <s v="Q4FY26"/>
    <s v="30-Mar-2026"/>
    <s v="Monday"/>
    <s v="Monthly - Monday"/>
    <s v="Monthly - Monday"/>
    <s v="Month+2 Expiry"/>
    <n v="3455"/>
    <n v="6.2252"/>
    <n v="0.07439999999999999"/>
  </r>
  <r>
    <s v="07-Jan-2026"/>
    <x v="2"/>
    <s v="Week1-Jan-2026"/>
    <x v="4"/>
    <s v="Q4FY26"/>
    <s v="30-Jun-2026"/>
    <s v="Tuesday"/>
    <s v="Monthly - Tuesday"/>
    <s v="Monthly - Tuesday"/>
    <s v="Month+5 Expiry"/>
    <n v="0"/>
    <n v="0"/>
    <n v="0"/>
  </r>
  <r>
    <s v="07-Jan-2026"/>
    <x v="2"/>
    <s v="Week1-Jan-2026"/>
    <x v="4"/>
    <s v="Q4FY26"/>
    <s v="29-Sep-2026"/>
    <s v="Tuesday"/>
    <s v="Monthly - Tuesday"/>
    <s v="Monthly - Tuesday"/>
    <s v="Month+8 Expiry"/>
    <n v="0"/>
    <n v="0"/>
    <n v="0"/>
  </r>
  <r>
    <s v="07-Jan-2026"/>
    <x v="2"/>
    <s v="Week1-Jan-2026"/>
    <x v="4"/>
    <s v="Q4FY26"/>
    <s v="29-Dec-2026"/>
    <s v="Tuesday"/>
    <s v="Monthly - Tuesday"/>
    <s v="Monthly - Tuesday"/>
    <s v="Month+11 Expiry"/>
    <n v="0"/>
    <n v="0"/>
    <n v="0"/>
  </r>
  <r>
    <s v="08-Jan-2026"/>
    <x v="3"/>
    <s v="Week2-Jan-2026"/>
    <x v="4"/>
    <s v="Q4FY26"/>
    <s v="27-Jan-2026"/>
    <s v="Tuesday"/>
    <s v="Monthly - Tuesday"/>
    <s v="Monthly - Tuesday"/>
    <s v="Same Month Expiry"/>
    <n v="3139153"/>
    <n v="5616.444"/>
    <n v="36.0132"/>
  </r>
  <r>
    <s v="08-Jan-2026"/>
    <x v="3"/>
    <s v="Week2-Jan-2026"/>
    <x v="4"/>
    <s v="Q4FY26"/>
    <s v="24-Feb-2026"/>
    <s v="Tuesday"/>
    <s v="Monthly - Tuesday"/>
    <s v="Monthly - Tuesday"/>
    <s v="Month+1 Expiry"/>
    <n v="40476"/>
    <n v="73.50369999999999"/>
    <n v="0.8032"/>
  </r>
  <r>
    <s v="08-Jan-2026"/>
    <x v="3"/>
    <s v="Week2-Jan-2026"/>
    <x v="4"/>
    <s v="Q4FY26"/>
    <s v="30-Mar-2026"/>
    <s v="Monday"/>
    <s v="Monthly - Monday"/>
    <s v="Monthly - Monday"/>
    <s v="Month+2 Expiry"/>
    <n v="5459"/>
    <n v="9.8263"/>
    <n v="0.1239"/>
  </r>
  <r>
    <s v="08-Jan-2026"/>
    <x v="3"/>
    <s v="Week2-Jan-2026"/>
    <x v="4"/>
    <s v="Q4FY26"/>
    <s v="30-Jun-2026"/>
    <s v="Tuesday"/>
    <s v="Monthly - Tuesday"/>
    <s v="Monthly - Tuesday"/>
    <s v="Month+5 Expiry"/>
    <n v="0"/>
    <n v="0"/>
    <n v="0"/>
  </r>
  <r>
    <s v="08-Jan-2026"/>
    <x v="3"/>
    <s v="Week2-Jan-2026"/>
    <x v="4"/>
    <s v="Q4FY26"/>
    <s v="29-Sep-2026"/>
    <s v="Tuesday"/>
    <s v="Monthly - Tuesday"/>
    <s v="Monthly - Tuesday"/>
    <s v="Month+8 Expiry"/>
    <n v="0"/>
    <n v="0"/>
    <n v="0"/>
  </r>
  <r>
    <s v="08-Jan-2026"/>
    <x v="3"/>
    <s v="Week2-Jan-2026"/>
    <x v="4"/>
    <s v="Q4FY26"/>
    <s v="29-Dec-2026"/>
    <s v="Tuesday"/>
    <s v="Monthly - Tuesday"/>
    <s v="Monthly - Tuesday"/>
    <s v="Month+11 Expiry"/>
    <n v="0"/>
    <n v="0"/>
    <n v="0"/>
  </r>
  <r>
    <s v="09-Jan-2026"/>
    <x v="4"/>
    <s v="Week2-Jan-2026"/>
    <x v="4"/>
    <s v="Q4FY26"/>
    <s v="27-Jan-2026"/>
    <s v="Tuesday"/>
    <s v="Monthly - Tuesday"/>
    <s v="Monthly - Tuesday"/>
    <s v="Same Month Expiry"/>
    <n v="3354589"/>
    <n v="5968.3697"/>
    <n v="38.3911"/>
  </r>
  <r>
    <s v="09-Jan-2026"/>
    <x v="4"/>
    <s v="Week2-Jan-2026"/>
    <x v="4"/>
    <s v="Q4FY26"/>
    <s v="24-Feb-2026"/>
    <s v="Tuesday"/>
    <s v="Monthly - Tuesday"/>
    <s v="Monthly - Tuesday"/>
    <s v="Month+1 Expiry"/>
    <n v="50797"/>
    <n v="91.39449999999999"/>
    <n v="0.9806"/>
  </r>
  <r>
    <s v="09-Jan-2026"/>
    <x v="4"/>
    <s v="Week2-Jan-2026"/>
    <x v="4"/>
    <s v="Q4FY26"/>
    <s v="30-Mar-2026"/>
    <s v="Monday"/>
    <s v="Monthly - Monday"/>
    <s v="Monthly - Monday"/>
    <s v="Month+2 Expiry"/>
    <n v="6876"/>
    <n v="12.355"/>
    <n v="0.1439"/>
  </r>
  <r>
    <s v="09-Jan-2026"/>
    <x v="4"/>
    <s v="Week2-Jan-2026"/>
    <x v="4"/>
    <s v="Q4FY26"/>
    <s v="30-Jun-2026"/>
    <s v="Tuesday"/>
    <s v="Monthly - Tuesday"/>
    <s v="Monthly - Tuesday"/>
    <s v="Month+5 Expiry"/>
    <n v="0"/>
    <n v="0"/>
    <n v="0"/>
  </r>
  <r>
    <s v="09-Jan-2026"/>
    <x v="4"/>
    <s v="Week2-Jan-2026"/>
    <x v="4"/>
    <s v="Q4FY26"/>
    <s v="29-Sep-2026"/>
    <s v="Tuesday"/>
    <s v="Monthly - Tuesday"/>
    <s v="Monthly - Tuesday"/>
    <s v="Month+8 Expiry"/>
    <n v="0"/>
    <n v="0"/>
    <n v="0"/>
  </r>
  <r>
    <s v="09-Jan-2026"/>
    <x v="4"/>
    <s v="Week2-Jan-2026"/>
    <x v="4"/>
    <s v="Q4FY26"/>
    <s v="29-Dec-2026"/>
    <s v="Tuesday"/>
    <s v="Monthly - Tuesday"/>
    <s v="Monthly - Tuesday"/>
    <s v="Month+11 Expiry"/>
    <n v="0"/>
    <n v="0"/>
    <n v="0"/>
  </r>
  <r>
    <s v="12-Jan-2026"/>
    <x v="0"/>
    <s v="Week2-Jan-2026"/>
    <x v="4"/>
    <s v="Q4FY26"/>
    <s v="27-Jan-2026"/>
    <s v="Tuesday"/>
    <s v="Monthly - Tuesday"/>
    <s v="Monthly - Tuesday"/>
    <s v="Same Month Expiry"/>
    <n v="3762037"/>
    <n v="6674.6142"/>
    <n v="42.5627"/>
  </r>
  <r>
    <s v="12-Jan-2026"/>
    <x v="0"/>
    <s v="Week2-Jan-2026"/>
    <x v="4"/>
    <s v="Q4FY26"/>
    <s v="24-Feb-2026"/>
    <s v="Tuesday"/>
    <s v="Monthly - Tuesday"/>
    <s v="Monthly - Tuesday"/>
    <s v="Month+1 Expiry"/>
    <n v="55544"/>
    <n v="100.327"/>
    <n v="1.1241"/>
  </r>
  <r>
    <s v="12-Jan-2026"/>
    <x v="0"/>
    <s v="Week2-Jan-2026"/>
    <x v="4"/>
    <s v="Q4FY26"/>
    <s v="30-Mar-2026"/>
    <s v="Monday"/>
    <s v="Monthly - Monday"/>
    <s v="Monthly - Monday"/>
    <s v="Month+2 Expiry"/>
    <n v="7322"/>
    <n v="13.2247"/>
    <n v="0.1875"/>
  </r>
  <r>
    <s v="12-Jan-2026"/>
    <x v="0"/>
    <s v="Week2-Jan-2026"/>
    <x v="4"/>
    <s v="Q4FY26"/>
    <s v="30-Jun-2026"/>
    <s v="Tuesday"/>
    <s v="Monthly - Tuesday"/>
    <s v="Monthly - Tuesday"/>
    <s v="Month+5 Expiry"/>
    <n v="0"/>
    <n v="0"/>
    <n v="0"/>
  </r>
  <r>
    <s v="12-Jan-2026"/>
    <x v="0"/>
    <s v="Week2-Jan-2026"/>
    <x v="4"/>
    <s v="Q4FY26"/>
    <s v="29-Sep-2026"/>
    <s v="Tuesday"/>
    <s v="Monthly - Tuesday"/>
    <s v="Monthly - Tuesday"/>
    <s v="Month+8 Expiry"/>
    <n v="0"/>
    <n v="0"/>
    <n v="0"/>
  </r>
  <r>
    <s v="12-Jan-2026"/>
    <x v="0"/>
    <s v="Week2-Jan-2026"/>
    <x v="4"/>
    <s v="Q4FY26"/>
    <s v="29-Dec-2026"/>
    <s v="Tuesday"/>
    <s v="Monthly - Tuesday"/>
    <s v="Monthly - Tuesday"/>
    <s v="Month+11 Expiry"/>
    <n v="0"/>
    <n v="0"/>
    <n v="0"/>
  </r>
  <r>
    <s v="13-Jan-2026"/>
    <x v="1"/>
    <s v="Week2-Jan-2026"/>
    <x v="4"/>
    <s v="Q4FY26"/>
    <s v="27-Jan-2026"/>
    <s v="Tuesday"/>
    <s v="Monthly - Tuesday"/>
    <s v="Monthly - Tuesday"/>
    <s v="Same Month Expiry"/>
    <n v="3238380"/>
    <n v="5766.9734"/>
    <n v="37.2434"/>
  </r>
  <r>
    <s v="13-Jan-2026"/>
    <x v="1"/>
    <s v="Week2-Jan-2026"/>
    <x v="4"/>
    <s v="Q4FY26"/>
    <s v="24-Feb-2026"/>
    <s v="Tuesday"/>
    <s v="Monthly - Tuesday"/>
    <s v="Monthly - Tuesday"/>
    <s v="Month+1 Expiry"/>
    <n v="49313"/>
    <n v="89.47150000000001"/>
    <n v="0.9596"/>
  </r>
  <r>
    <s v="13-Jan-2026"/>
    <x v="1"/>
    <s v="Week2-Jan-2026"/>
    <x v="4"/>
    <s v="Q4FY26"/>
    <s v="30-Mar-2026"/>
    <s v="Monday"/>
    <s v="Monthly - Monday"/>
    <s v="Monthly - Monday"/>
    <s v="Month+2 Expiry"/>
    <n v="4454"/>
    <n v="7.9716"/>
    <n v="0.1017"/>
  </r>
  <r>
    <s v="13-Jan-2026"/>
    <x v="1"/>
    <s v="Week2-Jan-2026"/>
    <x v="4"/>
    <s v="Q4FY26"/>
    <s v="30-Jun-2026"/>
    <s v="Tuesday"/>
    <s v="Monthly - Tuesday"/>
    <s v="Monthly - Tuesday"/>
    <s v="Month+5 Expiry"/>
    <n v="0"/>
    <n v="0"/>
    <n v="0"/>
  </r>
  <r>
    <s v="13-Jan-2026"/>
    <x v="1"/>
    <s v="Week2-Jan-2026"/>
    <x v="4"/>
    <s v="Q4FY26"/>
    <s v="29-Sep-2026"/>
    <s v="Tuesday"/>
    <s v="Monthly - Tuesday"/>
    <s v="Monthly - Tuesday"/>
    <s v="Month+8 Expiry"/>
    <n v="0"/>
    <n v="0"/>
    <n v="0"/>
  </r>
  <r>
    <s v="13-Jan-2026"/>
    <x v="1"/>
    <s v="Week2-Jan-2026"/>
    <x v="4"/>
    <s v="Q4FY26"/>
    <s v="29-Dec-2026"/>
    <s v="Tuesday"/>
    <s v="Monthly - Tuesday"/>
    <s v="Monthly - Tuesday"/>
    <s v="Month+11 Expiry"/>
    <n v="0"/>
    <n v="0"/>
    <n v="0"/>
  </r>
  <r>
    <s v="14-Jan-2026"/>
    <x v="2"/>
    <s v="Week2-Jan-2026"/>
    <x v="4"/>
    <s v="Q4FY26"/>
    <s v="27-Jan-2026"/>
    <s v="Tuesday"/>
    <s v="Monthly - Tuesday"/>
    <s v="Monthly - Tuesday"/>
    <s v="Same Month Expiry"/>
    <n v="3079585"/>
    <n v="5497.3337"/>
    <n v="32.7671"/>
  </r>
  <r>
    <s v="14-Jan-2026"/>
    <x v="2"/>
    <s v="Week2-Jan-2026"/>
    <x v="4"/>
    <s v="Q4FY26"/>
    <s v="24-Feb-2026"/>
    <s v="Tuesday"/>
    <s v="Monthly - Tuesday"/>
    <s v="Monthly - Tuesday"/>
    <s v="Month+1 Expiry"/>
    <n v="39092"/>
    <n v="70.89230000000001"/>
    <n v="0.6888"/>
  </r>
  <r>
    <s v="14-Jan-2026"/>
    <x v="2"/>
    <s v="Week2-Jan-2026"/>
    <x v="4"/>
    <s v="Q4FY26"/>
    <s v="30-Mar-2026"/>
    <s v="Monday"/>
    <s v="Monthly - Monday"/>
    <s v="Monthly - Monday"/>
    <s v="Month+2 Expiry"/>
    <n v="4347"/>
    <n v="7.7901"/>
    <n v="0.09660000000000001"/>
  </r>
  <r>
    <s v="14-Jan-2026"/>
    <x v="2"/>
    <s v="Week2-Jan-2026"/>
    <x v="4"/>
    <s v="Q4FY26"/>
    <s v="30-Jun-2026"/>
    <s v="Tuesday"/>
    <s v="Monthly - Tuesday"/>
    <s v="Monthly - Tuesday"/>
    <s v="Month+5 Expiry"/>
    <n v="0"/>
    <n v="0"/>
    <n v="0"/>
  </r>
  <r>
    <s v="14-Jan-2026"/>
    <x v="2"/>
    <s v="Week2-Jan-2026"/>
    <x v="4"/>
    <s v="Q4FY26"/>
    <s v="29-Sep-2026"/>
    <s v="Tuesday"/>
    <s v="Monthly - Tuesday"/>
    <s v="Monthly - Tuesday"/>
    <s v="Month+8 Expiry"/>
    <n v="0"/>
    <n v="0"/>
    <n v="0"/>
  </r>
  <r>
    <s v="14-Jan-2026"/>
    <x v="2"/>
    <s v="Week2-Jan-2026"/>
    <x v="4"/>
    <s v="Q4FY26"/>
    <s v="29-Dec-2026"/>
    <s v="Tuesday"/>
    <s v="Monthly - Tuesday"/>
    <s v="Monthly - Tuesday"/>
    <s v="Month+11 Expiry"/>
    <n v="0"/>
    <n v="0"/>
    <n v="0"/>
  </r>
  <r>
    <s v="16-Jan-2026"/>
    <x v="4"/>
    <s v="Week3-Jan-2026"/>
    <x v="4"/>
    <s v="Q4FY26"/>
    <s v="27-Jan-2026"/>
    <s v="Tuesday"/>
    <s v="Monthly - Tuesday"/>
    <s v="Monthly - Tuesday"/>
    <s v="Same Month Expiry"/>
    <n v="4031567"/>
    <n v="7200.0263"/>
    <n v="39.0312"/>
  </r>
  <r>
    <s v="16-Jan-2026"/>
    <x v="4"/>
    <s v="Week3-Jan-2026"/>
    <x v="4"/>
    <s v="Q4FY26"/>
    <s v="24-Feb-2026"/>
    <s v="Tuesday"/>
    <s v="Monthly - Tuesday"/>
    <s v="Monthly - Tuesday"/>
    <s v="Month+1 Expiry"/>
    <n v="101397"/>
    <n v="184.1165"/>
    <n v="2.1661"/>
  </r>
  <r>
    <s v="16-Jan-2026"/>
    <x v="4"/>
    <s v="Week3-Jan-2026"/>
    <x v="4"/>
    <s v="Q4FY26"/>
    <s v="30-Mar-2026"/>
    <s v="Monday"/>
    <s v="Monthly - Monday"/>
    <s v="Monthly - Monday"/>
    <s v="Month+2 Expiry"/>
    <n v="8143"/>
    <n v="14.6256"/>
    <n v="0.2017"/>
  </r>
  <r>
    <s v="16-Jan-2026"/>
    <x v="4"/>
    <s v="Week3-Jan-2026"/>
    <x v="4"/>
    <s v="Q4FY26"/>
    <s v="30-Jun-2026"/>
    <s v="Tuesday"/>
    <s v="Monthly - Tuesday"/>
    <s v="Monthly - Tuesday"/>
    <s v="Month+5 Expiry"/>
    <n v="0"/>
    <n v="0"/>
    <n v="0"/>
  </r>
  <r>
    <s v="16-Jan-2026"/>
    <x v="4"/>
    <s v="Week3-Jan-2026"/>
    <x v="4"/>
    <s v="Q4FY26"/>
    <s v="29-Sep-2026"/>
    <s v="Tuesday"/>
    <s v="Monthly - Tuesday"/>
    <s v="Monthly - Tuesday"/>
    <s v="Month+8 Expiry"/>
    <n v="0"/>
    <n v="0"/>
    <n v="0"/>
  </r>
  <r>
    <s v="16-Jan-2026"/>
    <x v="4"/>
    <s v="Week3-Jan-2026"/>
    <x v="4"/>
    <s v="Q4FY26"/>
    <s v="29-Dec-2026"/>
    <s v="Tuesday"/>
    <s v="Monthly - Tuesday"/>
    <s v="Monthly - Tuesday"/>
    <s v="Month+11 Expiry"/>
    <n v="0"/>
    <n v="0"/>
    <n v="0"/>
  </r>
  <r>
    <s v="19-Jan-2026"/>
    <x v="0"/>
    <s v="Week3-Jan-2026"/>
    <x v="4"/>
    <s v="Q4FY26"/>
    <s v="27-Jan-2026"/>
    <s v="Tuesday"/>
    <s v="Monthly - Tuesday"/>
    <s v="Monthly - Tuesday"/>
    <s v="Same Month Expiry"/>
    <n v="4658716"/>
    <n v="8304.645500000001"/>
    <n v="36.5061"/>
  </r>
  <r>
    <s v="19-Jan-2026"/>
    <x v="0"/>
    <s v="Week3-Jan-2026"/>
    <x v="4"/>
    <s v="Q4FY26"/>
    <s v="24-Feb-2026"/>
    <s v="Tuesday"/>
    <s v="Monthly - Tuesday"/>
    <s v="Monthly - Tuesday"/>
    <s v="Month+1 Expiry"/>
    <n v="155196"/>
    <n v="282.2435"/>
    <n v="3.1913"/>
  </r>
  <r>
    <s v="19-Jan-2026"/>
    <x v="0"/>
    <s v="Week3-Jan-2026"/>
    <x v="4"/>
    <s v="Q4FY26"/>
    <s v="30-Mar-2026"/>
    <s v="Monday"/>
    <s v="Monthly - Monday"/>
    <s v="Monthly - Monday"/>
    <s v="Month+2 Expiry"/>
    <n v="7648"/>
    <n v="13.8489"/>
    <n v="0.158"/>
  </r>
  <r>
    <s v="19-Jan-2026"/>
    <x v="0"/>
    <s v="Week3-Jan-2026"/>
    <x v="4"/>
    <s v="Q4FY26"/>
    <s v="30-Jun-2026"/>
    <s v="Tuesday"/>
    <s v="Monthly - Tuesday"/>
    <s v="Monthly - Tuesday"/>
    <s v="Month+5 Expiry"/>
    <n v="0"/>
    <n v="0"/>
    <n v="0"/>
  </r>
  <r>
    <s v="19-Jan-2026"/>
    <x v="0"/>
    <s v="Week3-Jan-2026"/>
    <x v="4"/>
    <s v="Q4FY26"/>
    <s v="29-Sep-2026"/>
    <s v="Tuesday"/>
    <s v="Monthly - Tuesday"/>
    <s v="Monthly - Tuesday"/>
    <s v="Month+8 Expiry"/>
    <n v="0"/>
    <n v="0"/>
    <n v="0"/>
  </r>
  <r>
    <s v="19-Jan-2026"/>
    <x v="0"/>
    <s v="Week3-Jan-2026"/>
    <x v="4"/>
    <s v="Q4FY26"/>
    <s v="29-Dec-2026"/>
    <s v="Tuesday"/>
    <s v="Monthly - Tuesday"/>
    <s v="Monthly - Tuesday"/>
    <s v="Month+11 Expiry"/>
    <n v="0"/>
    <n v="0"/>
    <n v="0"/>
  </r>
  <r>
    <s v="20-Jan-2026"/>
    <x v="1"/>
    <s v="Week3-Jan-2026"/>
    <x v="4"/>
    <s v="Q4FY26"/>
    <s v="27-Jan-2026"/>
    <s v="Tuesday"/>
    <s v="Monthly - Tuesday"/>
    <s v="Monthly - Tuesday"/>
    <s v="Same Month Expiry"/>
    <n v="5101235"/>
    <n v="9015.57"/>
    <n v="38.4601"/>
  </r>
  <r>
    <s v="20-Jan-2026"/>
    <x v="1"/>
    <s v="Week3-Jan-2026"/>
    <x v="4"/>
    <s v="Q4FY26"/>
    <s v="24-Feb-2026"/>
    <s v="Tuesday"/>
    <s v="Monthly - Tuesday"/>
    <s v="Monthly - Tuesday"/>
    <s v="Month+1 Expiry"/>
    <n v="195951"/>
    <n v="354.9925"/>
    <n v="4.3073"/>
  </r>
  <r>
    <s v="20-Jan-2026"/>
    <x v="1"/>
    <s v="Week3-Jan-2026"/>
    <x v="4"/>
    <s v="Q4FY26"/>
    <s v="30-Mar-2026"/>
    <s v="Monday"/>
    <s v="Monthly - Monday"/>
    <s v="Monthly - Monday"/>
    <s v="Month+2 Expiry"/>
    <n v="10843"/>
    <n v="19.6779"/>
    <n v="0.2342"/>
  </r>
  <r>
    <s v="20-Jan-2026"/>
    <x v="1"/>
    <s v="Week3-Jan-2026"/>
    <x v="4"/>
    <s v="Q4FY26"/>
    <s v="30-Jun-2026"/>
    <s v="Tuesday"/>
    <s v="Monthly - Tuesday"/>
    <s v="Monthly - Tuesday"/>
    <s v="Month+5 Expiry"/>
    <n v="1"/>
    <n v="0.0019"/>
    <n v="0.0002"/>
  </r>
  <r>
    <s v="20-Jan-2026"/>
    <x v="1"/>
    <s v="Week3-Jan-2026"/>
    <x v="4"/>
    <s v="Q4FY26"/>
    <s v="29-Sep-2026"/>
    <s v="Tuesday"/>
    <s v="Monthly - Tuesday"/>
    <s v="Monthly - Tuesday"/>
    <s v="Month+8 Expiry"/>
    <n v="0"/>
    <n v="0"/>
    <n v="0"/>
  </r>
  <r>
    <s v="20-Jan-2026"/>
    <x v="1"/>
    <s v="Week3-Jan-2026"/>
    <x v="4"/>
    <s v="Q4FY26"/>
    <s v="29-Dec-2026"/>
    <s v="Tuesday"/>
    <s v="Monthly - Tuesday"/>
    <s v="Monthly - Tuesday"/>
    <s v="Month+11 Expiry"/>
    <n v="0"/>
    <n v="0"/>
    <n v="0"/>
  </r>
  <r>
    <s v="21-Jan-2026"/>
    <x v="2"/>
    <s v="Week3-Jan-2026"/>
    <x v="4"/>
    <s v="Q4FY26"/>
    <s v="27-Jan-2026"/>
    <s v="Tuesday"/>
    <s v="Monthly - Tuesday"/>
    <s v="Monthly - Tuesday"/>
    <s v="Same Month Expiry"/>
    <n v="12414213"/>
    <n v="21724.6153"/>
    <n v="84.83629999999999"/>
  </r>
  <r>
    <s v="21-Jan-2026"/>
    <x v="2"/>
    <s v="Week3-Jan-2026"/>
    <x v="4"/>
    <s v="Q4FY26"/>
    <s v="24-Feb-2026"/>
    <s v="Tuesday"/>
    <s v="Monthly - Tuesday"/>
    <s v="Monthly - Tuesday"/>
    <s v="Month+1 Expiry"/>
    <n v="372901"/>
    <n v="667.6104"/>
    <n v="7.5471"/>
  </r>
  <r>
    <s v="21-Jan-2026"/>
    <x v="2"/>
    <s v="Week3-Jan-2026"/>
    <x v="4"/>
    <s v="Q4FY26"/>
    <s v="30-Mar-2026"/>
    <s v="Monday"/>
    <s v="Monthly - Monday"/>
    <s v="Monthly - Monday"/>
    <s v="Month+2 Expiry"/>
    <n v="37571"/>
    <n v="67.33880000000001"/>
    <n v="0.9223"/>
  </r>
  <r>
    <s v="21-Jan-2026"/>
    <x v="2"/>
    <s v="Week3-Jan-2026"/>
    <x v="4"/>
    <s v="Q4FY26"/>
    <s v="30-Jun-2026"/>
    <s v="Tuesday"/>
    <s v="Monthly - Tuesday"/>
    <s v="Monthly - Tuesday"/>
    <s v="Month+5 Expiry"/>
    <n v="0"/>
    <n v="0"/>
    <n v="0"/>
  </r>
  <r>
    <s v="21-Jan-2026"/>
    <x v="2"/>
    <s v="Week3-Jan-2026"/>
    <x v="4"/>
    <s v="Q4FY26"/>
    <s v="29-Sep-2026"/>
    <s v="Tuesday"/>
    <s v="Monthly - Tuesday"/>
    <s v="Monthly - Tuesday"/>
    <s v="Month+8 Expiry"/>
    <n v="0"/>
    <n v="0"/>
    <n v="0"/>
  </r>
  <r>
    <s v="21-Jan-2026"/>
    <x v="2"/>
    <s v="Week3-Jan-2026"/>
    <x v="4"/>
    <s v="Q4FY26"/>
    <s v="29-Dec-2026"/>
    <s v="Tuesday"/>
    <s v="Monthly - Tuesday"/>
    <s v="Monthly - Tuesday"/>
    <s v="Month+11 Expiry"/>
    <n v="0"/>
    <n v="0"/>
    <n v="0"/>
  </r>
  <r>
    <s v="22-Jan-2026"/>
    <x v="3"/>
    <s v="Week4-Jan-2026"/>
    <x v="4"/>
    <s v="Q4FY26"/>
    <s v="27-Jan-2026"/>
    <s v="Tuesday"/>
    <s v="Monthly - Tuesday"/>
    <s v="Monthly - Tuesday"/>
    <s v="Same Month Expiry"/>
    <n v="9418009"/>
    <n v="16540.254"/>
    <n v="62.5835"/>
  </r>
  <r>
    <s v="22-Jan-2026"/>
    <x v="3"/>
    <s v="Week4-Jan-2026"/>
    <x v="4"/>
    <s v="Q4FY26"/>
    <s v="24-Feb-2026"/>
    <s v="Tuesday"/>
    <s v="Monthly - Tuesday"/>
    <s v="Monthly - Tuesday"/>
    <s v="Month+1 Expiry"/>
    <n v="287934"/>
    <n v="515.5237"/>
    <n v="5.984"/>
  </r>
  <r>
    <s v="22-Jan-2026"/>
    <x v="3"/>
    <s v="Week4-Jan-2026"/>
    <x v="4"/>
    <s v="Q4FY26"/>
    <s v="30-Mar-2026"/>
    <s v="Monday"/>
    <s v="Monthly - Monday"/>
    <s v="Monthly - Monday"/>
    <s v="Month+2 Expiry"/>
    <n v="19189"/>
    <n v="34.3047"/>
    <n v="0.4585"/>
  </r>
  <r>
    <s v="22-Jan-2026"/>
    <x v="3"/>
    <s v="Week4-Jan-2026"/>
    <x v="4"/>
    <s v="Q4FY26"/>
    <s v="30-Jun-2026"/>
    <s v="Tuesday"/>
    <s v="Monthly - Tuesday"/>
    <s v="Monthly - Tuesday"/>
    <s v="Month+5 Expiry"/>
    <n v="1"/>
    <n v="0.0018"/>
    <n v="0"/>
  </r>
  <r>
    <s v="22-Jan-2026"/>
    <x v="3"/>
    <s v="Week4-Jan-2026"/>
    <x v="4"/>
    <s v="Q4FY26"/>
    <s v="29-Sep-2026"/>
    <s v="Tuesday"/>
    <s v="Monthly - Tuesday"/>
    <s v="Monthly - Tuesday"/>
    <s v="Month+8 Expiry"/>
    <n v="0"/>
    <n v="0"/>
    <n v="0"/>
  </r>
  <r>
    <s v="22-Jan-2026"/>
    <x v="3"/>
    <s v="Week4-Jan-2026"/>
    <x v="4"/>
    <s v="Q4FY26"/>
    <s v="29-Dec-2026"/>
    <s v="Tuesday"/>
    <s v="Monthly - Tuesday"/>
    <s v="Monthly - Tuesday"/>
    <s v="Month+11 Expiry"/>
    <n v="0"/>
    <n v="0"/>
    <n v="0"/>
  </r>
  <r>
    <s v="23-Jan-2026"/>
    <x v="4"/>
    <s v="Week4-Jan-2026"/>
    <x v="4"/>
    <s v="Q4FY26"/>
    <s v="27-Jan-2026"/>
    <s v="Tuesday"/>
    <s v="Monthly - Tuesday"/>
    <s v="Monthly - Tuesday"/>
    <s v="Same Month Expiry"/>
    <n v="18445823"/>
    <n v="32235.9071"/>
    <n v="102.5214"/>
  </r>
  <r>
    <s v="23-Jan-2026"/>
    <x v="4"/>
    <s v="Week4-Jan-2026"/>
    <x v="4"/>
    <s v="Q4FY26"/>
    <s v="24-Feb-2026"/>
    <s v="Tuesday"/>
    <s v="Monthly - Tuesday"/>
    <s v="Monthly - Tuesday"/>
    <s v="Month+1 Expiry"/>
    <n v="391805"/>
    <n v="702.6994"/>
    <n v="9.131600000000001"/>
  </r>
  <r>
    <s v="23-Jan-2026"/>
    <x v="4"/>
    <s v="Week4-Jan-2026"/>
    <x v="4"/>
    <s v="Q4FY26"/>
    <s v="30-Mar-2026"/>
    <s v="Monday"/>
    <s v="Monthly - Monday"/>
    <s v="Monthly - Monday"/>
    <s v="Month+2 Expiry"/>
    <n v="17636"/>
    <n v="31.7874"/>
    <n v="0.5179"/>
  </r>
  <r>
    <s v="23-Jan-2026"/>
    <x v="4"/>
    <s v="Week4-Jan-2026"/>
    <x v="4"/>
    <s v="Q4FY26"/>
    <s v="30-Jun-2026"/>
    <s v="Tuesday"/>
    <s v="Monthly - Tuesday"/>
    <s v="Monthly - Tuesday"/>
    <s v="Month+5 Expiry"/>
    <n v="1"/>
    <n v="0.0018"/>
    <n v="0"/>
  </r>
  <r>
    <s v="23-Jan-2026"/>
    <x v="4"/>
    <s v="Week4-Jan-2026"/>
    <x v="4"/>
    <s v="Q4FY26"/>
    <s v="29-Sep-2026"/>
    <s v="Tuesday"/>
    <s v="Monthly - Tuesday"/>
    <s v="Monthly - Tuesday"/>
    <s v="Month+8 Expiry"/>
    <n v="0"/>
    <n v="0"/>
    <n v="0"/>
  </r>
  <r>
    <s v="23-Jan-2026"/>
    <x v="4"/>
    <s v="Week4-Jan-2026"/>
    <x v="4"/>
    <s v="Q4FY26"/>
    <s v="29-Dec-2026"/>
    <s v="Tuesday"/>
    <s v="Monthly - Tuesday"/>
    <s v="Monthly - Tuesday"/>
    <s v="Month+11 Expiry"/>
    <n v="0"/>
    <n v="0"/>
    <n v="0"/>
  </r>
  <r>
    <s v="27-Jan-2026"/>
    <x v="1"/>
    <s v="Week4-Jan-2026"/>
    <x v="4"/>
    <s v="Q4FY26"/>
    <s v="27-Jan-2026"/>
    <s v="Tuesday"/>
    <s v="Monthly - Tuesday"/>
    <s v="Monthly - Tuesday"/>
    <s v="Same Month Expiry"/>
    <n v="89044441"/>
    <n v="154787.0144"/>
    <n v="180.1661"/>
  </r>
  <r>
    <s v="27-Jan-2026"/>
    <x v="1"/>
    <s v="Week4-Jan-2026"/>
    <x v="4"/>
    <s v="Q4FY26"/>
    <s v="24-Feb-2026"/>
    <s v="Tuesday"/>
    <s v="Monthly - Tuesday"/>
    <s v="Monthly - Tuesday"/>
    <s v="Month+1 Expiry"/>
    <n v="825718"/>
    <n v="1469.6984"/>
    <n v="17.9767"/>
  </r>
  <r>
    <s v="27-Jan-2026"/>
    <x v="1"/>
    <s v="Week4-Jan-2026"/>
    <x v="4"/>
    <s v="Q4FY26"/>
    <s v="30-Mar-2026"/>
    <s v="Monday"/>
    <s v="Monthly - Monday"/>
    <s v="Monthly - Monday"/>
    <s v="Month+2 Expiry"/>
    <n v="24215"/>
    <n v="43.698"/>
    <n v="0.6173"/>
  </r>
  <r>
    <s v="27-Jan-2026"/>
    <x v="1"/>
    <s v="Week4-Jan-2026"/>
    <x v="4"/>
    <s v="Q4FY26"/>
    <s v="30-Jun-2026"/>
    <s v="Tuesday"/>
    <s v="Monthly - Tuesday"/>
    <s v="Monthly - Tuesday"/>
    <s v="Month+5 Expiry"/>
    <n v="21"/>
    <n v="0.0375"/>
    <n v="0.0007"/>
  </r>
  <r>
    <s v="27-Jan-2026"/>
    <x v="1"/>
    <s v="Week4-Jan-2026"/>
    <x v="4"/>
    <s v="Q4FY26"/>
    <s v="29-Sep-2026"/>
    <s v="Tuesday"/>
    <s v="Monthly - Tuesday"/>
    <s v="Monthly - Tuesday"/>
    <s v="Month+8 Expiry"/>
    <n v="0"/>
    <n v="0"/>
    <n v="0"/>
  </r>
  <r>
    <s v="27-Jan-2026"/>
    <x v="1"/>
    <s v="Week4-Jan-2026"/>
    <x v="4"/>
    <s v="Q4FY26"/>
    <s v="29-Dec-2026"/>
    <s v="Tuesday"/>
    <s v="Monthly - Tuesday"/>
    <s v="Monthly - Tuesday"/>
    <s v="Month+11 Expiry"/>
    <n v="0"/>
    <n v="0"/>
    <n v="0"/>
  </r>
  <r>
    <s v="28-Jan-2026"/>
    <x v="2"/>
    <s v="Week4-Jan-2026"/>
    <x v="4"/>
    <s v="Q4FY26"/>
    <s v="24-Feb-2026"/>
    <s v="Tuesday"/>
    <s v="Monthly - Tuesday"/>
    <s v="Monthly - Tuesday"/>
    <s v="Month+1 Expiry"/>
    <n v="2041946"/>
    <n v="3646.5282"/>
    <n v="38.3867"/>
  </r>
  <r>
    <s v="28-Jan-2026"/>
    <x v="2"/>
    <s v="Week4-Jan-2026"/>
    <x v="4"/>
    <s v="Q4FY26"/>
    <s v="30-Mar-2026"/>
    <s v="Monday"/>
    <s v="Monthly - Monday"/>
    <s v="Monthly - Monday"/>
    <s v="Month+2 Expiry"/>
    <n v="24716"/>
    <n v="44.2572"/>
    <n v="0.5391"/>
  </r>
  <r>
    <s v="28-Jan-2026"/>
    <x v="2"/>
    <s v="Week4-Jan-2026"/>
    <x v="4"/>
    <s v="Q4FY26"/>
    <s v="28-Apr-2026"/>
    <s v="Tuesday"/>
    <s v="Monthly - Tuesday"/>
    <s v="Monthly - Tuesday"/>
    <s v="Month+3 Expiry"/>
    <n v="159"/>
    <n v="0.2818"/>
    <n v="0.0044"/>
  </r>
  <r>
    <s v="28-Jan-2026"/>
    <x v="2"/>
    <s v="Week4-Jan-2026"/>
    <x v="4"/>
    <s v="Q4FY26"/>
    <s v="30-Jun-2026"/>
    <s v="Tuesday"/>
    <s v="Monthly - Tuesday"/>
    <s v="Monthly - Tuesday"/>
    <s v="Month+5 Expiry"/>
    <n v="14"/>
    <n v="0.025"/>
    <n v="0.0004"/>
  </r>
  <r>
    <s v="28-Jan-2026"/>
    <x v="2"/>
    <s v="Week4-Jan-2026"/>
    <x v="4"/>
    <s v="Q4FY26"/>
    <s v="29-Sep-2026"/>
    <s v="Tuesday"/>
    <s v="Monthly - Tuesday"/>
    <s v="Monthly - Tuesday"/>
    <s v="Month+8 Expiry"/>
    <n v="0"/>
    <n v="0"/>
    <n v="0"/>
  </r>
  <r>
    <s v="28-Jan-2026"/>
    <x v="2"/>
    <s v="Week4-Jan-2026"/>
    <x v="4"/>
    <s v="Q4FY26"/>
    <s v="29-Dec-2026"/>
    <s v="Tuesday"/>
    <s v="Monthly - Tuesday"/>
    <s v="Monthly - Tuesday"/>
    <s v="Month+11 Expiry"/>
    <n v="0"/>
    <n v="0"/>
    <n v="0"/>
  </r>
  <r>
    <s v="29-Jan-2026"/>
    <x v="3"/>
    <s v="Week5-Jan-2026"/>
    <x v="4"/>
    <s v="Q4FY26"/>
    <s v="24-Feb-2026"/>
    <s v="Tuesday"/>
    <s v="Monthly - Tuesday"/>
    <s v="Monthly - Tuesday"/>
    <s v="Month+1 Expiry"/>
    <n v="1883204"/>
    <n v="3374.6449"/>
    <n v="35.0425"/>
  </r>
  <r>
    <s v="29-Jan-2026"/>
    <x v="3"/>
    <s v="Week5-Jan-2026"/>
    <x v="4"/>
    <s v="Q4FY26"/>
    <s v="30-Mar-2026"/>
    <s v="Monday"/>
    <s v="Monthly - Monday"/>
    <s v="Monthly - Monday"/>
    <s v="Month+2 Expiry"/>
    <n v="27686"/>
    <n v="49.8626"/>
    <n v="0.5569"/>
  </r>
  <r>
    <s v="29-Jan-2026"/>
    <x v="3"/>
    <s v="Week5-Jan-2026"/>
    <x v="4"/>
    <s v="Q4FY26"/>
    <s v="28-Apr-2026"/>
    <s v="Tuesday"/>
    <s v="Monthly - Tuesday"/>
    <s v="Monthly - Tuesday"/>
    <s v="Month+3 Expiry"/>
    <n v="320"/>
    <n v="0.5822000000000001"/>
    <n v="0.0103"/>
  </r>
  <r>
    <s v="29-Jan-2026"/>
    <x v="3"/>
    <s v="Week5-Jan-2026"/>
    <x v="4"/>
    <s v="Q4FY26"/>
    <s v="30-Jun-2026"/>
    <s v="Tuesday"/>
    <s v="Monthly - Tuesday"/>
    <s v="Monthly - Tuesday"/>
    <s v="Month+5 Expiry"/>
    <n v="11"/>
    <n v="0.0196"/>
    <n v="0.0003"/>
  </r>
  <r>
    <s v="29-Jan-2026"/>
    <x v="3"/>
    <s v="Week5-Jan-2026"/>
    <x v="4"/>
    <s v="Q4FY26"/>
    <s v="29-Sep-2026"/>
    <s v="Tuesday"/>
    <s v="Monthly - Tuesday"/>
    <s v="Monthly - Tuesday"/>
    <s v="Month+8 Expiry"/>
    <n v="0"/>
    <n v="0"/>
    <n v="0"/>
  </r>
  <r>
    <s v="29-Jan-2026"/>
    <x v="3"/>
    <s v="Week5-Jan-2026"/>
    <x v="4"/>
    <s v="Q4FY26"/>
    <s v="29-Dec-2026"/>
    <s v="Tuesday"/>
    <s v="Monthly - Tuesday"/>
    <s v="Monthly - Tuesday"/>
    <s v="Month+11 Expiry"/>
    <n v="0"/>
    <n v="0"/>
    <n v="0"/>
  </r>
  <r>
    <s v="30-Jan-2026"/>
    <x v="4"/>
    <s v="Week5-Jan-2026"/>
    <x v="4"/>
    <s v="Q4FY26"/>
    <s v="24-Feb-2026"/>
    <s v="Tuesday"/>
    <s v="Monthly - Tuesday"/>
    <s v="Monthly - Tuesday"/>
    <s v="Month+1 Expiry"/>
    <n v="2224337"/>
    <n v="3982.4356"/>
    <n v="40.3795"/>
  </r>
  <r>
    <s v="30-Jan-2026"/>
    <x v="4"/>
    <s v="Week5-Jan-2026"/>
    <x v="4"/>
    <s v="Q4FY26"/>
    <s v="30-Mar-2026"/>
    <s v="Monday"/>
    <s v="Monthly - Monday"/>
    <s v="Monthly - Monday"/>
    <s v="Month+2 Expiry"/>
    <n v="25777"/>
    <n v="46.682"/>
    <n v="0.5952"/>
  </r>
  <r>
    <s v="30-Jan-2026"/>
    <x v="4"/>
    <s v="Week5-Jan-2026"/>
    <x v="4"/>
    <s v="Q4FY26"/>
    <s v="28-Apr-2026"/>
    <s v="Tuesday"/>
    <s v="Monthly - Tuesday"/>
    <s v="Monthly - Tuesday"/>
    <s v="Month+3 Expiry"/>
    <n v="487"/>
    <n v="0.8885"/>
    <n v="0.0175"/>
  </r>
  <r>
    <s v="30-Jan-2026"/>
    <x v="4"/>
    <s v="Week5-Jan-2026"/>
    <x v="4"/>
    <s v="Q4FY26"/>
    <s v="30-Jun-2026"/>
    <s v="Tuesday"/>
    <s v="Monthly - Tuesday"/>
    <s v="Monthly - Tuesday"/>
    <s v="Month+5 Expiry"/>
    <n v="11"/>
    <n v="0.0196"/>
    <n v="0.0003"/>
  </r>
  <r>
    <s v="30-Jan-2026"/>
    <x v="4"/>
    <s v="Week5-Jan-2026"/>
    <x v="4"/>
    <s v="Q4FY26"/>
    <s v="29-Sep-2026"/>
    <s v="Tuesday"/>
    <s v="Monthly - Tuesday"/>
    <s v="Monthly - Tuesday"/>
    <s v="Month+8 Expiry"/>
    <n v="0"/>
    <n v="0"/>
    <n v="0"/>
  </r>
  <r>
    <s v="30-Jan-2026"/>
    <x v="4"/>
    <s v="Week5-Jan-2026"/>
    <x v="4"/>
    <s v="Q4FY26"/>
    <s v="29-Dec-2026"/>
    <s v="Tuesday"/>
    <s v="Monthly - Tuesday"/>
    <s v="Monthly - Tuesday"/>
    <s v="Month+11 Expiry"/>
    <n v="0"/>
    <n v="0"/>
    <n v="0"/>
  </r>
  <r>
    <s v="01-Feb-2026"/>
    <x v="5"/>
    <s v="Week1-Feb-2026"/>
    <x v="5"/>
    <s v="Q4FY26"/>
    <s v="24-Feb-2026"/>
    <s v="Tuesday"/>
    <s v="Monthly - Tuesday"/>
    <s v="Monthly - Tuesday"/>
    <s v="Same Month Expiry"/>
    <n v="4014589"/>
    <n v="7173.3755"/>
    <n v="63.3544"/>
  </r>
  <r>
    <s v="01-Feb-2026"/>
    <x v="5"/>
    <s v="Week1-Feb-2026"/>
    <x v="5"/>
    <s v="Q4FY26"/>
    <s v="30-Mar-2026"/>
    <s v="Monday"/>
    <s v="Monthly - Monday"/>
    <s v="Monthly - Monday"/>
    <s v="Month+1 Expiry"/>
    <n v="67953"/>
    <n v="122.6479"/>
    <n v="1.5191"/>
  </r>
  <r>
    <s v="01-Feb-2026"/>
    <x v="5"/>
    <s v="Week1-Feb-2026"/>
    <x v="5"/>
    <s v="Q4FY26"/>
    <s v="28-Apr-2026"/>
    <s v="Tuesday"/>
    <s v="Monthly - Tuesday"/>
    <s v="Monthly - Tuesday"/>
    <s v="Month+2 Expiry"/>
    <n v="750"/>
    <n v="1.3668"/>
    <n v="0.026"/>
  </r>
  <r>
    <s v="01-Feb-2026"/>
    <x v="5"/>
    <s v="Week1-Feb-2026"/>
    <x v="5"/>
    <s v="Q4FY26"/>
    <s v="30-Jun-2026"/>
    <s v="Tuesday"/>
    <s v="Monthly - Tuesday"/>
    <s v="Monthly - Tuesday"/>
    <s v="Month+4 Expiry"/>
    <n v="43"/>
    <n v="0.0769"/>
    <n v="0.0014"/>
  </r>
  <r>
    <s v="01-Feb-2026"/>
    <x v="5"/>
    <s v="Week1-Feb-2026"/>
    <x v="5"/>
    <s v="Q4FY26"/>
    <s v="29-Sep-2026"/>
    <s v="Tuesday"/>
    <s v="Monthly - Tuesday"/>
    <s v="Monthly - Tuesday"/>
    <s v="Month+7 Expiry"/>
    <n v="0"/>
    <n v="0"/>
    <n v="0"/>
  </r>
  <r>
    <s v="01-Feb-2026"/>
    <x v="5"/>
    <s v="Week1-Feb-2026"/>
    <x v="5"/>
    <s v="Q4FY26"/>
    <s v="29-Dec-2026"/>
    <s v="Tuesday"/>
    <s v="Monthly - Tuesday"/>
    <s v="Monthly - Tuesday"/>
    <s v="Month+10 Expiry"/>
    <n v="0"/>
    <n v="0"/>
    <n v="0"/>
  </r>
  <r>
    <s v="02-Feb-2026"/>
    <x v="0"/>
    <s v="Week1-Feb-2026"/>
    <x v="5"/>
    <s v="Q4FY26"/>
    <s v="24-Feb-2026"/>
    <s v="Tuesday"/>
    <s v="Monthly - Tuesday"/>
    <s v="Monthly - Tuesday"/>
    <s v="Same Month Expiry"/>
    <n v="2941021"/>
    <n v="5185.9158"/>
    <n v="46.7905"/>
  </r>
  <r>
    <s v="02-Feb-2026"/>
    <x v="0"/>
    <s v="Week1-Feb-2026"/>
    <x v="5"/>
    <s v="Q4FY26"/>
    <s v="30-Mar-2026"/>
    <s v="Monday"/>
    <s v="Monthly - Monday"/>
    <s v="Monthly - Monday"/>
    <s v="Month+1 Expiry"/>
    <n v="55122"/>
    <n v="98.68040000000001"/>
    <n v="1.2341"/>
  </r>
  <r>
    <s v="02-Feb-2026"/>
    <x v="0"/>
    <s v="Week1-Feb-2026"/>
    <x v="5"/>
    <s v="Q4FY26"/>
    <s v="28-Apr-2026"/>
    <s v="Tuesday"/>
    <s v="Monthly - Tuesday"/>
    <s v="Monthly - Tuesday"/>
    <s v="Month+2 Expiry"/>
    <n v="1483"/>
    <n v="2.6798"/>
    <n v="0.0415"/>
  </r>
  <r>
    <s v="02-Feb-2026"/>
    <x v="0"/>
    <s v="Week1-Feb-2026"/>
    <x v="5"/>
    <s v="Q4FY26"/>
    <s v="30-Jun-2026"/>
    <s v="Tuesday"/>
    <s v="Monthly - Tuesday"/>
    <s v="Monthly - Tuesday"/>
    <s v="Month+4 Expiry"/>
    <n v="44"/>
    <n v="0.0789"/>
    <n v="0.0017"/>
  </r>
  <r>
    <s v="02-Feb-2026"/>
    <x v="0"/>
    <s v="Week1-Feb-2026"/>
    <x v="5"/>
    <s v="Q4FY26"/>
    <s v="29-Sep-2026"/>
    <s v="Tuesday"/>
    <s v="Monthly - Tuesday"/>
    <s v="Monthly - Tuesday"/>
    <s v="Month+7 Expiry"/>
    <n v="0"/>
    <n v="0"/>
    <n v="0"/>
  </r>
  <r>
    <s v="02-Feb-2026"/>
    <x v="0"/>
    <s v="Week1-Feb-2026"/>
    <x v="5"/>
    <s v="Q4FY26"/>
    <s v="29-Dec-2026"/>
    <s v="Tuesday"/>
    <s v="Monthly - Tuesday"/>
    <s v="Monthly - Tuesday"/>
    <s v="Month+10 Expiry"/>
    <n v="0"/>
    <n v="0"/>
    <n v="0"/>
  </r>
  <r>
    <s v="03-Feb-2026"/>
    <x v="1"/>
    <s v="Week1-Feb-2026"/>
    <x v="5"/>
    <s v="Q4FY26"/>
    <s v="24-Feb-2026"/>
    <s v="Tuesday"/>
    <s v="Monthly - Tuesday"/>
    <s v="Monthly - Tuesday"/>
    <s v="Same Month Expiry"/>
    <n v="3282380"/>
    <n v="5878.9196"/>
    <n v="51.1009"/>
  </r>
  <r>
    <s v="03-Feb-2026"/>
    <x v="1"/>
    <s v="Week1-Feb-2026"/>
    <x v="5"/>
    <s v="Q4FY26"/>
    <s v="30-Mar-2026"/>
    <s v="Monday"/>
    <s v="Monthly - Monday"/>
    <s v="Monthly - Monday"/>
    <s v="Month+1 Expiry"/>
    <n v="85238"/>
    <n v="155.3794"/>
    <n v="2.0396"/>
  </r>
  <r>
    <s v="03-Feb-2026"/>
    <x v="1"/>
    <s v="Week1-Feb-2026"/>
    <x v="5"/>
    <s v="Q4FY26"/>
    <s v="28-Apr-2026"/>
    <s v="Tuesday"/>
    <s v="Monthly - Tuesday"/>
    <s v="Monthly - Tuesday"/>
    <s v="Month+2 Expiry"/>
    <n v="1405"/>
    <n v="2.575"/>
    <n v="0.0462"/>
  </r>
  <r>
    <s v="03-Feb-2026"/>
    <x v="1"/>
    <s v="Week1-Feb-2026"/>
    <x v="5"/>
    <s v="Q4FY26"/>
    <s v="30-Jun-2026"/>
    <s v="Tuesday"/>
    <s v="Monthly - Tuesday"/>
    <s v="Monthly - Tuesday"/>
    <s v="Month+4 Expiry"/>
    <n v="40"/>
    <n v="0.0713"/>
    <n v="0.0011"/>
  </r>
  <r>
    <s v="03-Feb-2026"/>
    <x v="1"/>
    <s v="Week1-Feb-2026"/>
    <x v="5"/>
    <s v="Q4FY26"/>
    <s v="29-Sep-2026"/>
    <s v="Tuesday"/>
    <s v="Monthly - Tuesday"/>
    <s v="Monthly - Tuesday"/>
    <s v="Month+7 Expiry"/>
    <n v="0"/>
    <n v="0"/>
    <n v="0"/>
  </r>
  <r>
    <s v="03-Feb-2026"/>
    <x v="1"/>
    <s v="Week1-Feb-2026"/>
    <x v="5"/>
    <s v="Q4FY26"/>
    <s v="29-Dec-2026"/>
    <s v="Tuesday"/>
    <s v="Monthly - Tuesday"/>
    <s v="Monthly - Tuesday"/>
    <s v="Month+10 Expiry"/>
    <n v="0"/>
    <n v="0"/>
    <n v="0"/>
  </r>
  <r>
    <s v="04-Feb-2026"/>
    <x v="2"/>
    <s v="Week1-Feb-2026"/>
    <x v="5"/>
    <s v="Q4FY26"/>
    <s v="24-Feb-2026"/>
    <s v="Tuesday"/>
    <s v="Monthly - Tuesday"/>
    <s v="Monthly - Tuesday"/>
    <s v="Same Month Expiry"/>
    <n v="2276529"/>
    <n v="4097.0879"/>
    <n v="32.8248"/>
  </r>
  <r>
    <s v="04-Feb-2026"/>
    <x v="2"/>
    <s v="Week1-Feb-2026"/>
    <x v="5"/>
    <s v="Q4FY26"/>
    <s v="30-Mar-2026"/>
    <s v="Monday"/>
    <s v="Monthly - Monday"/>
    <s v="Monthly - Monday"/>
    <s v="Month+1 Expiry"/>
    <n v="44167"/>
    <n v="79.46259999999999"/>
    <n v="0.8157"/>
  </r>
  <r>
    <s v="04-Feb-2026"/>
    <x v="2"/>
    <s v="Week1-Feb-2026"/>
    <x v="5"/>
    <s v="Q4FY26"/>
    <s v="28-Apr-2026"/>
    <s v="Tuesday"/>
    <s v="Monthly - Tuesday"/>
    <s v="Monthly - Tuesday"/>
    <s v="Month+2 Expiry"/>
    <n v="1768"/>
    <n v="3.2021"/>
    <n v="0.0472"/>
  </r>
  <r>
    <s v="04-Feb-2026"/>
    <x v="2"/>
    <s v="Week1-Feb-2026"/>
    <x v="5"/>
    <s v="Q4FY26"/>
    <s v="30-Jun-2026"/>
    <s v="Tuesday"/>
    <s v="Monthly - Tuesday"/>
    <s v="Monthly - Tuesday"/>
    <s v="Month+4 Expiry"/>
    <n v="52"/>
    <n v="0.0941"/>
    <n v="0.0028"/>
  </r>
  <r>
    <s v="04-Feb-2026"/>
    <x v="2"/>
    <s v="Week1-Feb-2026"/>
    <x v="5"/>
    <s v="Q4FY26"/>
    <s v="29-Sep-2026"/>
    <s v="Tuesday"/>
    <s v="Monthly - Tuesday"/>
    <s v="Monthly - Tuesday"/>
    <s v="Month+7 Expiry"/>
    <n v="0"/>
    <n v="0"/>
    <n v="0"/>
  </r>
  <r>
    <s v="04-Feb-2026"/>
    <x v="2"/>
    <s v="Week1-Feb-2026"/>
    <x v="5"/>
    <s v="Q4FY26"/>
    <s v="29-Dec-2026"/>
    <s v="Tuesday"/>
    <s v="Monthly - Tuesday"/>
    <s v="Monthly - Tuesday"/>
    <s v="Month+10 Expiry"/>
    <n v="0"/>
    <n v="0"/>
    <n v="0"/>
  </r>
  <r>
    <s v="05-Feb-2026"/>
    <x v="3"/>
    <s v="Week1-Feb-2026"/>
    <x v="5"/>
    <s v="Q4FY26"/>
    <s v="24-Feb-2026"/>
    <s v="Tuesday"/>
    <s v="Monthly - Tuesday"/>
    <s v="Monthly - Tuesday"/>
    <s v="Same Month Expiry"/>
    <n v="1900416"/>
    <n v="3419.8134"/>
    <n v="26.5009"/>
  </r>
  <r>
    <s v="05-Feb-2026"/>
    <x v="3"/>
    <s v="Week1-Feb-2026"/>
    <x v="5"/>
    <s v="Q4FY26"/>
    <s v="30-Mar-2026"/>
    <s v="Monday"/>
    <s v="Monthly - Monday"/>
    <s v="Monthly - Monday"/>
    <s v="Month+1 Expiry"/>
    <n v="28610"/>
    <n v="52.0564"/>
    <n v="0.5356"/>
  </r>
  <r>
    <s v="05-Feb-2026"/>
    <x v="3"/>
    <s v="Week1-Feb-2026"/>
    <x v="5"/>
    <s v="Q4FY26"/>
    <s v="28-Apr-2026"/>
    <s v="Tuesday"/>
    <s v="Monthly - Tuesday"/>
    <s v="Monthly - Tuesday"/>
    <s v="Month+2 Expiry"/>
    <n v="1227"/>
    <n v="2.2219"/>
    <n v="0.0312"/>
  </r>
  <r>
    <s v="05-Feb-2026"/>
    <x v="3"/>
    <s v="Week1-Feb-2026"/>
    <x v="5"/>
    <s v="Q4FY26"/>
    <s v="30-Jun-2026"/>
    <s v="Tuesday"/>
    <s v="Monthly - Tuesday"/>
    <s v="Monthly - Tuesday"/>
    <s v="Month+4 Expiry"/>
    <n v="35"/>
    <n v="0.06279999999999999"/>
    <n v="0.0013"/>
  </r>
  <r>
    <s v="05-Feb-2026"/>
    <x v="3"/>
    <s v="Week1-Feb-2026"/>
    <x v="5"/>
    <s v="Q4FY26"/>
    <s v="29-Sep-2026"/>
    <s v="Tuesday"/>
    <s v="Monthly - Tuesday"/>
    <s v="Monthly - Tuesday"/>
    <s v="Month+7 Expiry"/>
    <n v="0"/>
    <n v="0"/>
    <n v="0"/>
  </r>
  <r>
    <s v="05-Feb-2026"/>
    <x v="3"/>
    <s v="Week1-Feb-2026"/>
    <x v="5"/>
    <s v="Q4FY26"/>
    <s v="29-Dec-2026"/>
    <s v="Tuesday"/>
    <s v="Monthly - Tuesday"/>
    <s v="Monthly - Tuesday"/>
    <s v="Month+10 Expiry"/>
    <n v="0"/>
    <n v="0"/>
    <n v="0"/>
  </r>
  <r>
    <s v="06-Feb-2026"/>
    <x v="4"/>
    <s v="Week1-Feb-2026"/>
    <x v="5"/>
    <s v="Q4FY26"/>
    <s v="24-Feb-2026"/>
    <s v="Tuesday"/>
    <s v="Monthly - Tuesday"/>
    <s v="Monthly - Tuesday"/>
    <s v="Same Month Expiry"/>
    <n v="3206221"/>
    <n v="5767.5597"/>
    <n v="40.9351"/>
  </r>
  <r>
    <s v="06-Feb-2026"/>
    <x v="4"/>
    <s v="Week1-Feb-2026"/>
    <x v="5"/>
    <s v="Q4FY26"/>
    <s v="30-Mar-2026"/>
    <s v="Monday"/>
    <s v="Monthly - Monday"/>
    <s v="Monthly - Monday"/>
    <s v="Month+1 Expiry"/>
    <n v="46668"/>
    <n v="84.7295"/>
    <n v="0.8862"/>
  </r>
  <r>
    <s v="06-Feb-2026"/>
    <x v="4"/>
    <s v="Week1-Feb-2026"/>
    <x v="5"/>
    <s v="Q4FY26"/>
    <s v="28-Apr-2026"/>
    <s v="Tuesday"/>
    <s v="Monthly - Tuesday"/>
    <s v="Monthly - Tuesday"/>
    <s v="Month+2 Expiry"/>
    <n v="2290"/>
    <n v="4.1725"/>
    <n v="0.0517"/>
  </r>
  <r>
    <s v="06-Feb-2026"/>
    <x v="4"/>
    <s v="Week1-Feb-2026"/>
    <x v="5"/>
    <s v="Q4FY26"/>
    <s v="30-Jun-2026"/>
    <s v="Tuesday"/>
    <s v="Monthly - Tuesday"/>
    <s v="Monthly - Tuesday"/>
    <s v="Month+4 Expiry"/>
    <n v="44"/>
    <n v="0.0786"/>
    <n v="0.0014"/>
  </r>
  <r>
    <s v="06-Feb-2026"/>
    <x v="4"/>
    <s v="Week1-Feb-2026"/>
    <x v="5"/>
    <s v="Q4FY26"/>
    <s v="29-Sep-2026"/>
    <s v="Tuesday"/>
    <s v="Monthly - Tuesday"/>
    <s v="Monthly - Tuesday"/>
    <s v="Month+7 Expiry"/>
    <n v="0"/>
    <n v="0"/>
    <n v="0"/>
  </r>
  <r>
    <s v="06-Feb-2026"/>
    <x v="4"/>
    <s v="Week1-Feb-2026"/>
    <x v="5"/>
    <s v="Q4FY26"/>
    <s v="29-Dec-2026"/>
    <s v="Tuesday"/>
    <s v="Monthly - Tuesday"/>
    <s v="Monthly - Tuesday"/>
    <s v="Month+10 Expiry"/>
    <n v="0"/>
    <n v="0"/>
    <n v="0"/>
  </r>
  <r>
    <s v="09-Feb-2026"/>
    <x v="0"/>
    <s v="Week2-Feb-2026"/>
    <x v="5"/>
    <s v="Q4FY26"/>
    <s v="24-Feb-2026"/>
    <s v="Tuesday"/>
    <s v="Monthly - Tuesday"/>
    <s v="Monthly - Tuesday"/>
    <s v="Same Month Expiry"/>
    <n v="2427088"/>
    <n v="4373.6501"/>
    <n v="28.0095"/>
  </r>
  <r>
    <s v="09-Feb-2026"/>
    <x v="0"/>
    <s v="Week2-Feb-2026"/>
    <x v="5"/>
    <s v="Q4FY26"/>
    <s v="30-Mar-2026"/>
    <s v="Monday"/>
    <s v="Monthly - Monday"/>
    <s v="Monthly - Monday"/>
    <s v="Month+1 Expiry"/>
    <n v="56574"/>
    <n v="102.8533"/>
    <n v="1.0963"/>
  </r>
  <r>
    <s v="09-Feb-2026"/>
    <x v="0"/>
    <s v="Week2-Feb-2026"/>
    <x v="5"/>
    <s v="Q4FY26"/>
    <s v="28-Apr-2026"/>
    <s v="Tuesday"/>
    <s v="Monthly - Tuesday"/>
    <s v="Monthly - Tuesday"/>
    <s v="Month+2 Expiry"/>
    <n v="5815"/>
    <n v="10.6526"/>
    <n v="0.1388"/>
  </r>
  <r>
    <s v="09-Feb-2026"/>
    <x v="0"/>
    <s v="Week2-Feb-2026"/>
    <x v="5"/>
    <s v="Q4FY26"/>
    <s v="30-Jun-2026"/>
    <s v="Tuesday"/>
    <s v="Monthly - Tuesday"/>
    <s v="Monthly - Tuesday"/>
    <s v="Month+4 Expiry"/>
    <n v="78"/>
    <n v="0.1405"/>
    <n v="0.0025"/>
  </r>
  <r>
    <s v="09-Feb-2026"/>
    <x v="0"/>
    <s v="Week2-Feb-2026"/>
    <x v="5"/>
    <s v="Q4FY26"/>
    <s v="29-Sep-2026"/>
    <s v="Tuesday"/>
    <s v="Monthly - Tuesday"/>
    <s v="Monthly - Tuesday"/>
    <s v="Month+7 Expiry"/>
    <n v="0"/>
    <n v="0"/>
    <n v="0"/>
  </r>
  <r>
    <s v="09-Feb-2026"/>
    <x v="0"/>
    <s v="Week2-Feb-2026"/>
    <x v="5"/>
    <s v="Q4FY26"/>
    <s v="29-Dec-2026"/>
    <s v="Tuesday"/>
    <s v="Monthly - Tuesday"/>
    <s v="Monthly - Tuesday"/>
    <s v="Month+10 Expiry"/>
    <n v="0"/>
    <n v="0"/>
    <n v="0"/>
  </r>
  <r>
    <s v="10-Feb-2026"/>
    <x v="1"/>
    <s v="Week2-Feb-2026"/>
    <x v="5"/>
    <s v="Q4FY26"/>
    <s v="24-Feb-2026"/>
    <s v="Tuesday"/>
    <s v="Monthly - Tuesday"/>
    <s v="Monthly - Tuesday"/>
    <s v="Same Month Expiry"/>
    <n v="2052558"/>
    <n v="3708.6684"/>
    <n v="22.4575"/>
  </r>
  <r>
    <s v="10-Feb-2026"/>
    <x v="1"/>
    <s v="Week2-Feb-2026"/>
    <x v="5"/>
    <s v="Q4FY26"/>
    <s v="30-Mar-2026"/>
    <s v="Monday"/>
    <s v="Monthly - Monday"/>
    <s v="Monthly - Monday"/>
    <s v="Month+1 Expiry"/>
    <n v="45749"/>
    <n v="82.7942"/>
    <n v="0.765"/>
  </r>
  <r>
    <s v="10-Feb-2026"/>
    <x v="1"/>
    <s v="Week2-Feb-2026"/>
    <x v="5"/>
    <s v="Q4FY26"/>
    <s v="28-Apr-2026"/>
    <s v="Tuesday"/>
    <s v="Monthly - Tuesday"/>
    <s v="Monthly - Tuesday"/>
    <s v="Month+2 Expiry"/>
    <n v="2784"/>
    <n v="5.1111"/>
    <n v="0.0614"/>
  </r>
  <r>
    <s v="10-Feb-2026"/>
    <x v="1"/>
    <s v="Week2-Feb-2026"/>
    <x v="5"/>
    <s v="Q4FY26"/>
    <s v="30-Jun-2026"/>
    <s v="Tuesday"/>
    <s v="Monthly - Tuesday"/>
    <s v="Monthly - Tuesday"/>
    <s v="Month+4 Expiry"/>
    <n v="72"/>
    <n v="0.1288"/>
    <n v="0.0016"/>
  </r>
  <r>
    <s v="10-Feb-2026"/>
    <x v="1"/>
    <s v="Week2-Feb-2026"/>
    <x v="5"/>
    <s v="Q4FY26"/>
    <s v="29-Sep-2026"/>
    <s v="Tuesday"/>
    <s v="Monthly - Tuesday"/>
    <s v="Monthly - Tuesday"/>
    <s v="Month+7 Expiry"/>
    <n v="0"/>
    <n v="0"/>
    <n v="0"/>
  </r>
  <r>
    <s v="10-Feb-2026"/>
    <x v="1"/>
    <s v="Week2-Feb-2026"/>
    <x v="5"/>
    <s v="Q4FY26"/>
    <s v="29-Dec-2026"/>
    <s v="Tuesday"/>
    <s v="Monthly - Tuesday"/>
    <s v="Monthly - Tuesday"/>
    <s v="Month+10 Expiry"/>
    <n v="0"/>
    <n v="0"/>
    <n v="0"/>
  </r>
  <r>
    <s v="11-Feb-2026"/>
    <x v="2"/>
    <s v="Week2-Feb-2026"/>
    <x v="5"/>
    <s v="Q4FY26"/>
    <s v="24-Feb-2026"/>
    <s v="Tuesday"/>
    <s v="Monthly - Tuesday"/>
    <s v="Monthly - Tuesday"/>
    <s v="Same Month Expiry"/>
    <n v="2490815"/>
    <n v="4505.4309"/>
    <n v="25.4859"/>
  </r>
  <r>
    <s v="11-Feb-2026"/>
    <x v="2"/>
    <s v="Week2-Feb-2026"/>
    <x v="5"/>
    <s v="Q4FY26"/>
    <s v="30-Mar-2026"/>
    <s v="Monday"/>
    <s v="Monthly - Monday"/>
    <s v="Monthly - Monday"/>
    <s v="Month+1 Expiry"/>
    <n v="48893"/>
    <n v="88.8792"/>
    <n v="0.7977"/>
  </r>
  <r>
    <s v="11-Feb-2026"/>
    <x v="2"/>
    <s v="Week2-Feb-2026"/>
    <x v="5"/>
    <s v="Q4FY26"/>
    <s v="28-Apr-2026"/>
    <s v="Tuesday"/>
    <s v="Monthly - Tuesday"/>
    <s v="Monthly - Tuesday"/>
    <s v="Month+2 Expiry"/>
    <n v="2539"/>
    <n v="4.6151"/>
    <n v="0.0506"/>
  </r>
  <r>
    <s v="11-Feb-2026"/>
    <x v="2"/>
    <s v="Week2-Feb-2026"/>
    <x v="5"/>
    <s v="Q4FY26"/>
    <s v="30-Jun-2026"/>
    <s v="Tuesday"/>
    <s v="Monthly - Tuesday"/>
    <s v="Monthly - Tuesday"/>
    <s v="Month+4 Expiry"/>
    <n v="109"/>
    <n v="0.1975"/>
    <n v="0.0028"/>
  </r>
  <r>
    <s v="11-Feb-2026"/>
    <x v="2"/>
    <s v="Week2-Feb-2026"/>
    <x v="5"/>
    <s v="Q4FY26"/>
    <s v="29-Sep-2026"/>
    <s v="Tuesday"/>
    <s v="Monthly - Tuesday"/>
    <s v="Monthly - Tuesday"/>
    <s v="Month+7 Expiry"/>
    <n v="0"/>
    <n v="0"/>
    <n v="0"/>
  </r>
  <r>
    <s v="11-Feb-2026"/>
    <x v="2"/>
    <s v="Week2-Feb-2026"/>
    <x v="5"/>
    <s v="Q4FY26"/>
    <s v="29-Dec-2026"/>
    <s v="Tuesday"/>
    <s v="Monthly - Tuesday"/>
    <s v="Monthly - Tuesday"/>
    <s v="Month+10 Expiry"/>
    <n v="0"/>
    <n v="0"/>
    <n v="0"/>
  </r>
  <r>
    <s v="12-Feb-2026"/>
    <x v="3"/>
    <s v="Week2-Feb-2026"/>
    <x v="5"/>
    <s v="Q4FY26"/>
    <s v="24-Feb-2026"/>
    <s v="Tuesday"/>
    <s v="Monthly - Tuesday"/>
    <s v="Monthly - Tuesday"/>
    <s v="Same Month Expiry"/>
    <n v="2534040"/>
    <n v="4586.6392"/>
    <n v="25.4767"/>
  </r>
  <r>
    <s v="12-Feb-2026"/>
    <x v="3"/>
    <s v="Week2-Feb-2026"/>
    <x v="5"/>
    <s v="Q4FY26"/>
    <s v="30-Mar-2026"/>
    <s v="Monday"/>
    <s v="Monthly - Monday"/>
    <s v="Monthly - Monday"/>
    <s v="Month+1 Expiry"/>
    <n v="54955"/>
    <n v="98.8479"/>
    <n v="0.8643"/>
  </r>
  <r>
    <s v="12-Feb-2026"/>
    <x v="3"/>
    <s v="Week2-Feb-2026"/>
    <x v="5"/>
    <s v="Q4FY26"/>
    <s v="28-Apr-2026"/>
    <s v="Tuesday"/>
    <s v="Monthly - Tuesday"/>
    <s v="Monthly - Tuesday"/>
    <s v="Month+2 Expiry"/>
    <n v="3366"/>
    <n v="6.1488"/>
    <n v="0.0772"/>
  </r>
  <r>
    <s v="12-Feb-2026"/>
    <x v="3"/>
    <s v="Week2-Feb-2026"/>
    <x v="5"/>
    <s v="Q4FY26"/>
    <s v="30-Jun-2026"/>
    <s v="Tuesday"/>
    <s v="Monthly - Tuesday"/>
    <s v="Monthly - Tuesday"/>
    <s v="Month+4 Expiry"/>
    <n v="59"/>
    <n v="0.1059"/>
    <n v="0.0013"/>
  </r>
  <r>
    <s v="12-Feb-2026"/>
    <x v="3"/>
    <s v="Week2-Feb-2026"/>
    <x v="5"/>
    <s v="Q4FY26"/>
    <s v="29-Sep-2026"/>
    <s v="Tuesday"/>
    <s v="Monthly - Tuesday"/>
    <s v="Monthly - Tuesday"/>
    <s v="Month+7 Expiry"/>
    <n v="0"/>
    <n v="0"/>
    <n v="0"/>
  </r>
  <r>
    <s v="12-Feb-2026"/>
    <x v="3"/>
    <s v="Week2-Feb-2026"/>
    <x v="5"/>
    <s v="Q4FY26"/>
    <s v="29-Dec-2026"/>
    <s v="Tuesday"/>
    <s v="Monthly - Tuesday"/>
    <s v="Monthly - Tuesday"/>
    <s v="Month+10 Expiry"/>
    <n v="0"/>
    <n v="0"/>
    <n v="0"/>
  </r>
  <r>
    <s v="13-Feb-2026"/>
    <x v="4"/>
    <s v="Week2-Feb-2026"/>
    <x v="5"/>
    <s v="Q4FY26"/>
    <s v="24-Feb-2026"/>
    <s v="Tuesday"/>
    <s v="Monthly - Tuesday"/>
    <s v="Monthly - Tuesday"/>
    <s v="Same Month Expiry"/>
    <n v="3531486"/>
    <n v="6349.5142"/>
    <n v="34.4765"/>
  </r>
  <r>
    <s v="13-Feb-2026"/>
    <x v="4"/>
    <s v="Week2-Feb-2026"/>
    <x v="5"/>
    <s v="Q4FY26"/>
    <s v="30-Mar-2026"/>
    <s v="Monday"/>
    <s v="Monthly - Monday"/>
    <s v="Monthly - Monday"/>
    <s v="Month+1 Expiry"/>
    <n v="102674"/>
    <n v="186.6546"/>
    <n v="1.7657"/>
  </r>
  <r>
    <s v="13-Feb-2026"/>
    <x v="4"/>
    <s v="Week2-Feb-2026"/>
    <x v="5"/>
    <s v="Q4FY26"/>
    <s v="28-Apr-2026"/>
    <s v="Tuesday"/>
    <s v="Monthly - Tuesday"/>
    <s v="Monthly - Tuesday"/>
    <s v="Month+2 Expiry"/>
    <n v="5415"/>
    <n v="9.7994"/>
    <n v="0.0975"/>
  </r>
  <r>
    <s v="13-Feb-2026"/>
    <x v="4"/>
    <s v="Week2-Feb-2026"/>
    <x v="5"/>
    <s v="Q4FY26"/>
    <s v="30-Jun-2026"/>
    <s v="Tuesday"/>
    <s v="Monthly - Tuesday"/>
    <s v="Monthly - Tuesday"/>
    <s v="Month+4 Expiry"/>
    <n v="123"/>
    <n v="0.2228"/>
    <n v="0.0034"/>
  </r>
  <r>
    <s v="13-Feb-2026"/>
    <x v="4"/>
    <s v="Week2-Feb-2026"/>
    <x v="5"/>
    <s v="Q4FY26"/>
    <s v="29-Sep-2026"/>
    <s v="Tuesday"/>
    <s v="Monthly - Tuesday"/>
    <s v="Monthly - Tuesday"/>
    <s v="Month+7 Expiry"/>
    <n v="0"/>
    <n v="0"/>
    <n v="0"/>
  </r>
  <r>
    <s v="13-Feb-2026"/>
    <x v="4"/>
    <s v="Week2-Feb-2026"/>
    <x v="5"/>
    <s v="Q4FY26"/>
    <s v="29-Dec-2026"/>
    <s v="Tuesday"/>
    <s v="Monthly - Tuesday"/>
    <s v="Monthly - Tuesday"/>
    <s v="Month+10 Expiry"/>
    <n v="0"/>
    <n v="0"/>
    <n v="0"/>
  </r>
  <r>
    <s v="16-Feb-2026"/>
    <x v="0"/>
    <s v="Week3-Feb-2026"/>
    <x v="5"/>
    <s v="Q4FY26"/>
    <s v="24-Feb-2026"/>
    <s v="Tuesday"/>
    <s v="Monthly - Tuesday"/>
    <s v="Monthly - Tuesday"/>
    <s v="Same Month Expiry"/>
    <n v="4350327"/>
    <n v="7864.8048"/>
    <n v="41.1772"/>
  </r>
  <r>
    <s v="16-Feb-2026"/>
    <x v="0"/>
    <s v="Week3-Feb-2026"/>
    <x v="5"/>
    <s v="Q4FY26"/>
    <s v="30-Mar-2026"/>
    <s v="Monday"/>
    <s v="Monthly - Monday"/>
    <s v="Monthly - Monday"/>
    <s v="Month+1 Expiry"/>
    <n v="132760"/>
    <n v="241.7946"/>
    <n v="2.4652"/>
  </r>
  <r>
    <s v="16-Feb-2026"/>
    <x v="0"/>
    <s v="Week3-Feb-2026"/>
    <x v="5"/>
    <s v="Q4FY26"/>
    <s v="28-Apr-2026"/>
    <s v="Tuesday"/>
    <s v="Monthly - Tuesday"/>
    <s v="Monthly - Tuesday"/>
    <s v="Month+2 Expiry"/>
    <n v="7394"/>
    <n v="13.5887"/>
    <n v="0.182"/>
  </r>
  <r>
    <s v="16-Feb-2026"/>
    <x v="0"/>
    <s v="Week3-Feb-2026"/>
    <x v="5"/>
    <s v="Q4FY26"/>
    <s v="30-Jun-2026"/>
    <s v="Tuesday"/>
    <s v="Monthly - Tuesday"/>
    <s v="Monthly - Tuesday"/>
    <s v="Month+4 Expiry"/>
    <n v="176"/>
    <n v="0.321"/>
    <n v="0.0055"/>
  </r>
  <r>
    <s v="16-Feb-2026"/>
    <x v="0"/>
    <s v="Week3-Feb-2026"/>
    <x v="5"/>
    <s v="Q4FY26"/>
    <s v="29-Sep-2026"/>
    <s v="Tuesday"/>
    <s v="Monthly - Tuesday"/>
    <s v="Monthly - Tuesday"/>
    <s v="Month+7 Expiry"/>
    <n v="0"/>
    <n v="0"/>
    <n v="0"/>
  </r>
  <r>
    <s v="16-Feb-2026"/>
    <x v="0"/>
    <s v="Week3-Feb-2026"/>
    <x v="5"/>
    <s v="Q4FY26"/>
    <s v="29-Dec-2026"/>
    <s v="Tuesday"/>
    <s v="Monthly - Tuesday"/>
    <s v="Monthly - Tuesday"/>
    <s v="Month+10 Expiry"/>
    <n v="0"/>
    <n v="0"/>
    <n v="0"/>
  </r>
  <r>
    <s v="17-Feb-2026"/>
    <x v="1"/>
    <s v="Week3-Feb-2026"/>
    <x v="5"/>
    <s v="Q4FY26"/>
    <s v="24-Feb-2026"/>
    <s v="Tuesday"/>
    <s v="Monthly - Tuesday"/>
    <s v="Monthly - Tuesday"/>
    <s v="Same Month Expiry"/>
    <n v="4695879"/>
    <n v="8499.4481"/>
    <n v="39.1683"/>
  </r>
  <r>
    <s v="17-Feb-2026"/>
    <x v="1"/>
    <s v="Week3-Feb-2026"/>
    <x v="5"/>
    <s v="Q4FY26"/>
    <s v="30-Mar-2026"/>
    <s v="Monday"/>
    <s v="Monthly - Monday"/>
    <s v="Monthly - Monday"/>
    <s v="Month+1 Expiry"/>
    <n v="181804"/>
    <n v="333.7069"/>
    <n v="3.6591"/>
  </r>
  <r>
    <s v="17-Feb-2026"/>
    <x v="1"/>
    <s v="Week3-Feb-2026"/>
    <x v="5"/>
    <s v="Q4FY26"/>
    <s v="28-Apr-2026"/>
    <s v="Tuesday"/>
    <s v="Monthly - Tuesday"/>
    <s v="Monthly - Tuesday"/>
    <s v="Month+2 Expiry"/>
    <n v="7836"/>
    <n v="14.4356"/>
    <n v="0.1899"/>
  </r>
  <r>
    <s v="17-Feb-2026"/>
    <x v="1"/>
    <s v="Week3-Feb-2026"/>
    <x v="5"/>
    <s v="Q4FY26"/>
    <s v="30-Jun-2026"/>
    <s v="Tuesday"/>
    <s v="Monthly - Tuesday"/>
    <s v="Monthly - Tuesday"/>
    <s v="Month+4 Expiry"/>
    <n v="205"/>
    <n v="0.3712"/>
    <n v="0.0055"/>
  </r>
  <r>
    <s v="17-Feb-2026"/>
    <x v="1"/>
    <s v="Week3-Feb-2026"/>
    <x v="5"/>
    <s v="Q4FY26"/>
    <s v="29-Sep-2026"/>
    <s v="Tuesday"/>
    <s v="Monthly - Tuesday"/>
    <s v="Monthly - Tuesday"/>
    <s v="Month+7 Expiry"/>
    <n v="0"/>
    <n v="0"/>
    <n v="0"/>
  </r>
  <r>
    <s v="17-Feb-2026"/>
    <x v="1"/>
    <s v="Week3-Feb-2026"/>
    <x v="5"/>
    <s v="Q4FY26"/>
    <s v="29-Dec-2026"/>
    <s v="Tuesday"/>
    <s v="Monthly - Tuesday"/>
    <s v="Monthly - Tuesday"/>
    <s v="Month+10 Expiry"/>
    <n v="0"/>
    <n v="0"/>
    <n v="0"/>
  </r>
  <r>
    <s v="18-Feb-2026"/>
    <x v="2"/>
    <s v="Week3-Feb-2026"/>
    <x v="5"/>
    <s v="Q4FY26"/>
    <s v="24-Feb-2026"/>
    <s v="Tuesday"/>
    <s v="Monthly - Tuesday"/>
    <s v="Monthly - Tuesday"/>
    <s v="Same Month Expiry"/>
    <n v="6187632"/>
    <n v="11201.2294"/>
    <n v="42.3843"/>
  </r>
  <r>
    <s v="18-Feb-2026"/>
    <x v="2"/>
    <s v="Week3-Feb-2026"/>
    <x v="5"/>
    <s v="Q4FY26"/>
    <s v="30-Mar-2026"/>
    <s v="Monday"/>
    <s v="Monthly - Monday"/>
    <s v="Monthly - Monday"/>
    <s v="Month+1 Expiry"/>
    <n v="238935"/>
    <n v="438.0108"/>
    <n v="4.1657"/>
  </r>
  <r>
    <s v="18-Feb-2026"/>
    <x v="2"/>
    <s v="Week3-Feb-2026"/>
    <x v="5"/>
    <s v="Q4FY26"/>
    <s v="28-Apr-2026"/>
    <s v="Tuesday"/>
    <s v="Monthly - Tuesday"/>
    <s v="Monthly - Tuesday"/>
    <s v="Month+2 Expiry"/>
    <n v="9490"/>
    <n v="17.5173"/>
    <n v="0.2504"/>
  </r>
  <r>
    <s v="18-Feb-2026"/>
    <x v="2"/>
    <s v="Week3-Feb-2026"/>
    <x v="5"/>
    <s v="Q4FY26"/>
    <s v="30-Jun-2026"/>
    <s v="Tuesday"/>
    <s v="Monthly - Tuesday"/>
    <s v="Monthly - Tuesday"/>
    <s v="Month+4 Expiry"/>
    <n v="204"/>
    <n v="0.3719"/>
    <n v="0.0074"/>
  </r>
  <r>
    <s v="18-Feb-2026"/>
    <x v="2"/>
    <s v="Week3-Feb-2026"/>
    <x v="5"/>
    <s v="Q4FY26"/>
    <s v="29-Sep-2026"/>
    <s v="Tuesday"/>
    <s v="Monthly - Tuesday"/>
    <s v="Monthly - Tuesday"/>
    <s v="Month+7 Expiry"/>
    <n v="0"/>
    <n v="0"/>
    <n v="0"/>
  </r>
  <r>
    <s v="18-Feb-2026"/>
    <x v="2"/>
    <s v="Week3-Feb-2026"/>
    <x v="5"/>
    <s v="Q4FY26"/>
    <s v="29-Dec-2026"/>
    <s v="Tuesday"/>
    <s v="Monthly - Tuesday"/>
    <s v="Monthly - Tuesday"/>
    <s v="Month+10 Expiry"/>
    <n v="0"/>
    <n v="0"/>
    <n v="0"/>
  </r>
  <r>
    <s v="19-Feb-2026"/>
    <x v="3"/>
    <s v="Week3-Feb-2026"/>
    <x v="5"/>
    <s v="Q4FY26"/>
    <s v="24-Feb-2026"/>
    <s v="Tuesday"/>
    <s v="Monthly - Tuesday"/>
    <s v="Monthly - Tuesday"/>
    <s v="Same Month Expiry"/>
    <n v="7927108"/>
    <n v="14295.3563"/>
    <n v="49.9196"/>
  </r>
  <r>
    <s v="19-Feb-2026"/>
    <x v="3"/>
    <s v="Week3-Feb-2026"/>
    <x v="5"/>
    <s v="Q4FY26"/>
    <s v="30-Mar-2026"/>
    <s v="Monday"/>
    <s v="Monthly - Monday"/>
    <s v="Monthly - Monday"/>
    <s v="Month+1 Expiry"/>
    <n v="378952"/>
    <n v="697.3663"/>
    <n v="7.4026"/>
  </r>
  <r>
    <s v="19-Feb-2026"/>
    <x v="3"/>
    <s v="Week3-Feb-2026"/>
    <x v="5"/>
    <s v="Q4FY26"/>
    <s v="28-Apr-2026"/>
    <s v="Tuesday"/>
    <s v="Monthly - Tuesday"/>
    <s v="Monthly - Tuesday"/>
    <s v="Month+2 Expiry"/>
    <n v="14971"/>
    <n v="27.5702"/>
    <n v="0.3818"/>
  </r>
  <r>
    <s v="19-Feb-2026"/>
    <x v="3"/>
    <s v="Week3-Feb-2026"/>
    <x v="5"/>
    <s v="Q4FY26"/>
    <s v="30-Jun-2026"/>
    <s v="Tuesday"/>
    <s v="Monthly - Tuesday"/>
    <s v="Monthly - Tuesday"/>
    <s v="Month+4 Expiry"/>
    <n v="352"/>
    <n v="0.6439"/>
    <n v="0.0126"/>
  </r>
  <r>
    <s v="19-Feb-2026"/>
    <x v="3"/>
    <s v="Week3-Feb-2026"/>
    <x v="5"/>
    <s v="Q4FY26"/>
    <s v="29-Sep-2026"/>
    <s v="Tuesday"/>
    <s v="Monthly - Tuesday"/>
    <s v="Monthly - Tuesday"/>
    <s v="Month+7 Expiry"/>
    <n v="0"/>
    <n v="0"/>
    <n v="0"/>
  </r>
  <r>
    <s v="19-Feb-2026"/>
    <x v="3"/>
    <s v="Week3-Feb-2026"/>
    <x v="5"/>
    <s v="Q4FY26"/>
    <s v="29-Dec-2026"/>
    <s v="Tuesday"/>
    <s v="Monthly - Tuesday"/>
    <s v="Monthly - Tuesday"/>
    <s v="Month+10 Expiry"/>
    <n v="0"/>
    <n v="0"/>
    <n v="0"/>
  </r>
  <r>
    <s v="20-Feb-2026"/>
    <x v="4"/>
    <s v="Week3-Feb-2026"/>
    <x v="5"/>
    <s v="Q4FY26"/>
    <s v="24-Feb-2026"/>
    <s v="Tuesday"/>
    <s v="Monthly - Tuesday"/>
    <s v="Monthly - Tuesday"/>
    <s v="Same Month Expiry"/>
    <n v="12680554"/>
    <n v="23027.3091"/>
    <n v="85.5929"/>
  </r>
  <r>
    <s v="20-Feb-2026"/>
    <x v="4"/>
    <s v="Week3-Feb-2026"/>
    <x v="5"/>
    <s v="Q4FY26"/>
    <s v="30-Mar-2026"/>
    <s v="Monday"/>
    <s v="Monthly - Monday"/>
    <s v="Monthly - Monday"/>
    <s v="Month+1 Expiry"/>
    <n v="408308"/>
    <n v="750.7895"/>
    <n v="8.266400000000001"/>
  </r>
  <r>
    <s v="20-Feb-2026"/>
    <x v="4"/>
    <s v="Week3-Feb-2026"/>
    <x v="5"/>
    <s v="Q4FY26"/>
    <s v="28-Apr-2026"/>
    <s v="Tuesday"/>
    <s v="Monthly - Tuesday"/>
    <s v="Monthly - Tuesday"/>
    <s v="Month+2 Expiry"/>
    <n v="11033"/>
    <n v="20.2704"/>
    <n v="0.2797"/>
  </r>
  <r>
    <s v="20-Feb-2026"/>
    <x v="4"/>
    <s v="Week3-Feb-2026"/>
    <x v="5"/>
    <s v="Q4FY26"/>
    <s v="30-Jun-2026"/>
    <s v="Tuesday"/>
    <s v="Monthly - Tuesday"/>
    <s v="Monthly - Tuesday"/>
    <s v="Month+4 Expiry"/>
    <n v="306"/>
    <n v="0.5609"/>
    <n v="0.0113"/>
  </r>
  <r>
    <s v="20-Feb-2026"/>
    <x v="4"/>
    <s v="Week3-Feb-2026"/>
    <x v="5"/>
    <s v="Q4FY26"/>
    <s v="29-Sep-2026"/>
    <s v="Tuesday"/>
    <s v="Monthly - Tuesday"/>
    <s v="Monthly - Tuesday"/>
    <s v="Month+7 Expiry"/>
    <n v="0"/>
    <n v="0"/>
    <n v="0"/>
  </r>
  <r>
    <s v="20-Feb-2026"/>
    <x v="4"/>
    <s v="Week3-Feb-2026"/>
    <x v="5"/>
    <s v="Q4FY26"/>
    <s v="29-Dec-2026"/>
    <s v="Tuesday"/>
    <s v="Monthly - Tuesday"/>
    <s v="Monthly - Tuesday"/>
    <s v="Month+10 Expiry"/>
    <n v="0"/>
    <n v="0"/>
    <n v="0"/>
  </r>
  <r>
    <s v="23-Feb-2026"/>
    <x v="0"/>
    <s v="Week4-Feb-2026"/>
    <x v="5"/>
    <s v="Q4FY26"/>
    <s v="24-Feb-2026"/>
    <s v="Tuesday"/>
    <s v="Monthly - Tuesday"/>
    <s v="Monthly - Tuesday"/>
    <s v="Same Month Expiry"/>
    <n v="18965791"/>
    <n v="34370.5432"/>
    <n v="96.6915"/>
  </r>
  <r>
    <s v="23-Feb-2026"/>
    <x v="0"/>
    <s v="Week4-Feb-2026"/>
    <x v="5"/>
    <s v="Q4FY26"/>
    <s v="30-Mar-2026"/>
    <s v="Monday"/>
    <s v="Monthly - Monday"/>
    <s v="Monthly - Monday"/>
    <s v="Month+1 Expiry"/>
    <n v="423329"/>
    <n v="780.3824"/>
    <n v="9.6454"/>
  </r>
  <r>
    <s v="23-Feb-2026"/>
    <x v="0"/>
    <s v="Week4-Feb-2026"/>
    <x v="5"/>
    <s v="Q4FY26"/>
    <s v="28-Apr-2026"/>
    <s v="Tuesday"/>
    <s v="Monthly - Tuesday"/>
    <s v="Monthly - Tuesday"/>
    <s v="Month+2 Expiry"/>
    <n v="10642"/>
    <n v="19.6311"/>
    <n v="0.2718"/>
  </r>
  <r>
    <s v="23-Feb-2026"/>
    <x v="0"/>
    <s v="Week4-Feb-2026"/>
    <x v="5"/>
    <s v="Q4FY26"/>
    <s v="30-Jun-2026"/>
    <s v="Tuesday"/>
    <s v="Monthly - Tuesday"/>
    <s v="Monthly - Tuesday"/>
    <s v="Month+4 Expiry"/>
    <n v="150"/>
    <n v="0.2747"/>
    <n v="0.006"/>
  </r>
  <r>
    <s v="23-Feb-2026"/>
    <x v="0"/>
    <s v="Week4-Feb-2026"/>
    <x v="5"/>
    <s v="Q4FY26"/>
    <s v="29-Sep-2026"/>
    <s v="Tuesday"/>
    <s v="Monthly - Tuesday"/>
    <s v="Monthly - Tuesday"/>
    <s v="Month+7 Expiry"/>
    <n v="0"/>
    <n v="0"/>
    <n v="0"/>
  </r>
  <r>
    <s v="23-Feb-2026"/>
    <x v="0"/>
    <s v="Week4-Feb-2026"/>
    <x v="5"/>
    <s v="Q4FY26"/>
    <s v="29-Dec-2026"/>
    <s v="Tuesday"/>
    <s v="Monthly - Tuesday"/>
    <s v="Monthly - Tuesday"/>
    <s v="Month+10 Expiry"/>
    <n v="0"/>
    <n v="0"/>
    <n v="0"/>
  </r>
  <r>
    <s v="24-Feb-2026"/>
    <x v="1"/>
    <s v="Week4-Feb-2026"/>
    <x v="5"/>
    <s v="Q4FY26"/>
    <s v="24-Feb-2026"/>
    <s v="Tuesday"/>
    <s v="Monthly - Tuesday"/>
    <s v="Monthly - Tuesday"/>
    <s v="Same Month Expiry"/>
    <n v="90988108"/>
    <n v="164406.7164"/>
    <n v="169.8191"/>
  </r>
  <r>
    <s v="24-Feb-2026"/>
    <x v="1"/>
    <s v="Week4-Feb-2026"/>
    <x v="5"/>
    <s v="Q4FY26"/>
    <s v="30-Mar-2026"/>
    <s v="Monday"/>
    <s v="Monthly - Monday"/>
    <s v="Monthly - Monday"/>
    <s v="Month+1 Expiry"/>
    <n v="895039"/>
    <n v="1644.1347"/>
    <n v="18.0693"/>
  </r>
  <r>
    <s v="24-Feb-2026"/>
    <x v="1"/>
    <s v="Week4-Feb-2026"/>
    <x v="5"/>
    <s v="Q4FY26"/>
    <s v="28-Apr-2026"/>
    <s v="Tuesday"/>
    <s v="Monthly - Tuesday"/>
    <s v="Monthly - Tuesday"/>
    <s v="Month+2 Expiry"/>
    <n v="15753"/>
    <n v="29.1145"/>
    <n v="0.378"/>
  </r>
  <r>
    <s v="24-Feb-2026"/>
    <x v="1"/>
    <s v="Week4-Feb-2026"/>
    <x v="5"/>
    <s v="Q4FY26"/>
    <s v="30-Jun-2026"/>
    <s v="Tuesday"/>
    <s v="Monthly - Tuesday"/>
    <s v="Monthly - Tuesday"/>
    <s v="Month+4 Expiry"/>
    <n v="268"/>
    <n v="0.4895"/>
    <n v="0.0103"/>
  </r>
  <r>
    <s v="24-Feb-2026"/>
    <x v="1"/>
    <s v="Week4-Feb-2026"/>
    <x v="5"/>
    <s v="Q4FY26"/>
    <s v="29-Sep-2026"/>
    <s v="Tuesday"/>
    <s v="Monthly - Tuesday"/>
    <s v="Monthly - Tuesday"/>
    <s v="Month+7 Expiry"/>
    <n v="0"/>
    <n v="0"/>
    <n v="0"/>
  </r>
  <r>
    <s v="24-Feb-2026"/>
    <x v="1"/>
    <s v="Week4-Feb-2026"/>
    <x v="5"/>
    <s v="Q4FY26"/>
    <s v="29-Dec-2026"/>
    <s v="Tuesday"/>
    <s v="Monthly - Tuesday"/>
    <s v="Monthly - Tuesday"/>
    <s v="Month+10 Expiry"/>
    <n v="0"/>
    <n v="0"/>
    <n v="0"/>
  </r>
  <r>
    <s v="25-Feb-2026"/>
    <x v="2"/>
    <s v="Week4-Feb-2026"/>
    <x v="5"/>
    <s v="Q4FY26"/>
    <s v="30-Mar-2026"/>
    <s v="Monday"/>
    <s v="Monthly - Monday"/>
    <s v="Monthly - Monday"/>
    <s v="Month+1 Expiry"/>
    <n v="1954093"/>
    <n v="3580.4693"/>
    <n v="35.1357"/>
  </r>
  <r>
    <s v="25-Feb-2026"/>
    <x v="2"/>
    <s v="Week4-Feb-2026"/>
    <x v="5"/>
    <s v="Q4FY26"/>
    <s v="28-Apr-2026"/>
    <s v="Tuesday"/>
    <s v="Monthly - Tuesday"/>
    <s v="Monthly - Tuesday"/>
    <s v="Month+2 Expiry"/>
    <n v="18789"/>
    <n v="34.6615"/>
    <n v="0.4379"/>
  </r>
  <r>
    <s v="25-Feb-2026"/>
    <x v="2"/>
    <s v="Week4-Feb-2026"/>
    <x v="5"/>
    <s v="Q4FY26"/>
    <s v="26-May-2026"/>
    <s v="Tuesday"/>
    <s v="Monthly - Tuesday"/>
    <s v="Monthly - Tuesday"/>
    <s v="Month+3 Expiry"/>
    <n v="370"/>
    <n v="0.6676"/>
    <n v="0.0094"/>
  </r>
  <r>
    <s v="25-Feb-2026"/>
    <x v="2"/>
    <s v="Week4-Feb-2026"/>
    <x v="5"/>
    <s v="Q4FY26"/>
    <s v="30-Jun-2026"/>
    <s v="Tuesday"/>
    <s v="Monthly - Tuesday"/>
    <s v="Monthly - Tuesday"/>
    <s v="Month+4 Expiry"/>
    <n v="242"/>
    <n v="0.4408"/>
    <n v="0.0083"/>
  </r>
  <r>
    <s v="25-Feb-2026"/>
    <x v="2"/>
    <s v="Week4-Feb-2026"/>
    <x v="5"/>
    <s v="Q4FY26"/>
    <s v="29-Sep-2026"/>
    <s v="Tuesday"/>
    <s v="Monthly - Tuesday"/>
    <s v="Monthly - Tuesday"/>
    <s v="Month+7 Expiry"/>
    <n v="0"/>
    <n v="0"/>
    <n v="0"/>
  </r>
  <r>
    <s v="25-Feb-2026"/>
    <x v="2"/>
    <s v="Week4-Feb-2026"/>
    <x v="5"/>
    <s v="Q4FY26"/>
    <s v="29-Dec-2026"/>
    <s v="Tuesday"/>
    <s v="Monthly - Tuesday"/>
    <s v="Monthly - Tuesday"/>
    <s v="Month+10 Expiry"/>
    <n v="0"/>
    <n v="0"/>
    <n v="0"/>
  </r>
  <r>
    <s v="26-Feb-2026"/>
    <x v="3"/>
    <s v="Week4-Feb-2026"/>
    <x v="5"/>
    <s v="Q4FY26"/>
    <s v="30-Mar-2026"/>
    <s v="Monday"/>
    <s v="Monthly - Monday"/>
    <s v="Monthly - Monday"/>
    <s v="Month+1 Expiry"/>
    <n v="1640894"/>
    <n v="2998.4391"/>
    <n v="29.3564"/>
  </r>
  <r>
    <s v="26-Feb-2026"/>
    <x v="3"/>
    <s v="Week4-Feb-2026"/>
    <x v="5"/>
    <s v="Q4FY26"/>
    <s v="28-Apr-2026"/>
    <s v="Tuesday"/>
    <s v="Monthly - Tuesday"/>
    <s v="Monthly - Tuesday"/>
    <s v="Month+2 Expiry"/>
    <n v="17189"/>
    <n v="31.5213"/>
    <n v="0.3677"/>
  </r>
  <r>
    <s v="26-Feb-2026"/>
    <x v="3"/>
    <s v="Week4-Feb-2026"/>
    <x v="5"/>
    <s v="Q4FY26"/>
    <s v="26-May-2026"/>
    <s v="Tuesday"/>
    <s v="Monthly - Tuesday"/>
    <s v="Monthly - Tuesday"/>
    <s v="Month+3 Expiry"/>
    <n v="936"/>
    <n v="1.7144"/>
    <n v="0.0267"/>
  </r>
  <r>
    <s v="26-Feb-2026"/>
    <x v="3"/>
    <s v="Week4-Feb-2026"/>
    <x v="5"/>
    <s v="Q4FY26"/>
    <s v="30-Jun-2026"/>
    <s v="Tuesday"/>
    <s v="Monthly - Tuesday"/>
    <s v="Monthly - Tuesday"/>
    <s v="Month+4 Expiry"/>
    <n v="186"/>
    <n v="0.3374"/>
    <n v="0.0055"/>
  </r>
  <r>
    <s v="26-Feb-2026"/>
    <x v="3"/>
    <s v="Week4-Feb-2026"/>
    <x v="5"/>
    <s v="Q4FY26"/>
    <s v="29-Sep-2026"/>
    <s v="Tuesday"/>
    <s v="Monthly - Tuesday"/>
    <s v="Monthly - Tuesday"/>
    <s v="Month+7 Expiry"/>
    <n v="0"/>
    <n v="0"/>
    <n v="0"/>
  </r>
  <r>
    <s v="26-Feb-2026"/>
    <x v="3"/>
    <s v="Week4-Feb-2026"/>
    <x v="5"/>
    <s v="Q4FY26"/>
    <s v="29-Dec-2026"/>
    <s v="Tuesday"/>
    <s v="Monthly - Tuesday"/>
    <s v="Monthly - Tuesday"/>
    <s v="Month+10 Expiry"/>
    <n v="0"/>
    <n v="0"/>
    <n v="0"/>
  </r>
  <r>
    <s v="27-Feb-2026"/>
    <x v="4"/>
    <s v="Week4-Feb-2026"/>
    <x v="5"/>
    <s v="Q4FY26"/>
    <s v="30-Mar-2026"/>
    <s v="Monday"/>
    <s v="Monthly - Monday"/>
    <s v="Monthly - Monday"/>
    <s v="Month+1 Expiry"/>
    <n v="2217864"/>
    <n v="4039.5065"/>
    <n v="38.6631"/>
  </r>
  <r>
    <s v="27-Feb-2026"/>
    <x v="4"/>
    <s v="Week4-Feb-2026"/>
    <x v="5"/>
    <s v="Q4FY26"/>
    <s v="28-Apr-2026"/>
    <s v="Tuesday"/>
    <s v="Monthly - Tuesday"/>
    <s v="Monthly - Tuesday"/>
    <s v="Month+2 Expiry"/>
    <n v="25813"/>
    <n v="47.5447"/>
    <n v="0.5774"/>
  </r>
  <r>
    <s v="27-Feb-2026"/>
    <x v="4"/>
    <s v="Week4-Feb-2026"/>
    <x v="5"/>
    <s v="Q4FY26"/>
    <s v="26-May-2026"/>
    <s v="Tuesday"/>
    <s v="Monthly - Tuesday"/>
    <s v="Monthly - Tuesday"/>
    <s v="Month+3 Expiry"/>
    <n v="2404"/>
    <n v="4.4069"/>
    <n v="0.07049999999999999"/>
  </r>
  <r>
    <s v="27-Feb-2026"/>
    <x v="4"/>
    <s v="Week4-Feb-2026"/>
    <x v="5"/>
    <s v="Q4FY26"/>
    <s v="30-Jun-2026"/>
    <s v="Tuesday"/>
    <s v="Monthly - Tuesday"/>
    <s v="Monthly - Tuesday"/>
    <s v="Month+4 Expiry"/>
    <n v="329"/>
    <n v="0.5975"/>
    <n v="0.011"/>
  </r>
  <r>
    <s v="27-Feb-2026"/>
    <x v="4"/>
    <s v="Week4-Feb-2026"/>
    <x v="5"/>
    <s v="Q4FY26"/>
    <s v="29-Sep-2026"/>
    <s v="Tuesday"/>
    <s v="Monthly - Tuesday"/>
    <s v="Monthly - Tuesday"/>
    <s v="Month+7 Expiry"/>
    <n v="0"/>
    <n v="0"/>
    <n v="0"/>
  </r>
  <r>
    <s v="27-Feb-2026"/>
    <x v="4"/>
    <s v="Week4-Feb-2026"/>
    <x v="5"/>
    <s v="Q4FY26"/>
    <s v="29-Dec-2026"/>
    <s v="Tuesday"/>
    <s v="Monthly - Tuesday"/>
    <s v="Monthly - Tuesday"/>
    <s v="Month+10 Expiry"/>
    <n v="0"/>
    <n v="0"/>
    <n v="0"/>
  </r>
  <r>
    <s v="02-Mar-2026"/>
    <x v="0"/>
    <s v="Week1-Mar-2026"/>
    <x v="6"/>
    <s v="Q4FY26"/>
    <s v="30-Mar-2026"/>
    <s v="Monday"/>
    <s v="Monthly - Monday"/>
    <s v="Monthly - Monday"/>
    <s v="Same Month Expiry"/>
    <n v="2903983"/>
    <n v="5223.728"/>
    <n v="50.5254"/>
  </r>
  <r>
    <s v="02-Mar-2026"/>
    <x v="0"/>
    <s v="Week1-Mar-2026"/>
    <x v="6"/>
    <s v="Q4FY26"/>
    <s v="28-Apr-2026"/>
    <s v="Tuesday"/>
    <s v="Monthly - Tuesday"/>
    <s v="Monthly - Tuesday"/>
    <s v="Month+1 Expiry"/>
    <n v="77490"/>
    <n v="141.3585"/>
    <n v="1.9388"/>
  </r>
  <r>
    <s v="02-Mar-2026"/>
    <x v="0"/>
    <s v="Week1-Mar-2026"/>
    <x v="6"/>
    <s v="Q4FY26"/>
    <s v="26-May-2026"/>
    <s v="Tuesday"/>
    <s v="Monthly - Tuesday"/>
    <s v="Monthly - Tuesday"/>
    <s v="Month+2 Expiry"/>
    <n v="3791"/>
    <n v="6.9307"/>
    <n v="0.1192"/>
  </r>
  <r>
    <s v="02-Mar-2026"/>
    <x v="0"/>
    <s v="Week1-Mar-2026"/>
    <x v="6"/>
    <s v="Q4FY26"/>
    <s v="30-Jun-2026"/>
    <s v="Tuesday"/>
    <s v="Monthly - Tuesday"/>
    <s v="Monthly - Tuesday"/>
    <s v="Month+3 Expiry"/>
    <n v="739"/>
    <n v="1.3464"/>
    <n v="0.0277"/>
  </r>
  <r>
    <s v="02-Mar-2026"/>
    <x v="0"/>
    <s v="Week1-Mar-2026"/>
    <x v="6"/>
    <s v="Q4FY26"/>
    <s v="29-Sep-2026"/>
    <s v="Tuesday"/>
    <s v="Monthly - Tuesday"/>
    <s v="Monthly - Tuesday"/>
    <s v="Month+6 Expiry"/>
    <n v="0"/>
    <n v="0"/>
    <n v="0"/>
  </r>
  <r>
    <s v="02-Mar-2026"/>
    <x v="0"/>
    <s v="Week1-Mar-2026"/>
    <x v="6"/>
    <s v="Q4FY26"/>
    <s v="29-Dec-2026"/>
    <s v="Tuesday"/>
    <s v="Monthly - Tuesday"/>
    <s v="Monthly - Tuesday"/>
    <s v="Month+9 Expiry"/>
    <n v="0"/>
    <n v="0"/>
    <n v="0"/>
  </r>
  <r>
    <s v="04-Mar-2026"/>
    <x v="2"/>
    <s v="Week1-Mar-2026"/>
    <x v="6"/>
    <s v="Q4FY26"/>
    <s v="30-Mar-2026"/>
    <s v="Monday"/>
    <s v="Monthly - Monday"/>
    <s v="Monthly - Monday"/>
    <s v="Same Month Expiry"/>
    <n v="2933995"/>
    <n v="5212.5291"/>
    <n v="62.5284"/>
  </r>
  <r>
    <s v="04-Mar-2026"/>
    <x v="2"/>
    <s v="Week1-Mar-2026"/>
    <x v="6"/>
    <s v="Q4FY26"/>
    <s v="28-Apr-2026"/>
    <s v="Tuesday"/>
    <s v="Monthly - Tuesday"/>
    <s v="Monthly - Tuesday"/>
    <s v="Month+1 Expiry"/>
    <n v="68047"/>
    <n v="122.8518"/>
    <n v="2.0493"/>
  </r>
  <r>
    <s v="04-Mar-2026"/>
    <x v="2"/>
    <s v="Week1-Mar-2026"/>
    <x v="6"/>
    <s v="Q4FY26"/>
    <s v="26-May-2026"/>
    <s v="Tuesday"/>
    <s v="Monthly - Tuesday"/>
    <s v="Monthly - Tuesday"/>
    <s v="Month+2 Expiry"/>
    <n v="5848"/>
    <n v="10.6803"/>
    <n v="0.2246"/>
  </r>
  <r>
    <s v="04-Mar-2026"/>
    <x v="2"/>
    <s v="Week1-Mar-2026"/>
    <x v="6"/>
    <s v="Q4FY26"/>
    <s v="30-Jun-2026"/>
    <s v="Tuesday"/>
    <s v="Monthly - Tuesday"/>
    <s v="Monthly - Tuesday"/>
    <s v="Month+3 Expiry"/>
    <n v="871"/>
    <n v="1.6056"/>
    <n v="0.0378"/>
  </r>
  <r>
    <s v="04-Mar-2026"/>
    <x v="2"/>
    <s v="Week1-Mar-2026"/>
    <x v="6"/>
    <s v="Q4FY26"/>
    <s v="29-Sep-2026"/>
    <s v="Tuesday"/>
    <s v="Monthly - Tuesday"/>
    <s v="Monthly - Tuesday"/>
    <s v="Month+6 Expiry"/>
    <n v="0"/>
    <n v="0"/>
    <n v="0"/>
  </r>
  <r>
    <s v="04-Mar-2026"/>
    <x v="2"/>
    <s v="Week1-Mar-2026"/>
    <x v="6"/>
    <s v="Q4FY26"/>
    <s v="29-Dec-2026"/>
    <s v="Tuesday"/>
    <s v="Monthly - Tuesday"/>
    <s v="Monthly - Tuesday"/>
    <s v="Month+9 Expiry"/>
    <n v="0"/>
    <n v="0"/>
    <n v="0"/>
  </r>
  <r>
    <s v="05-Mar-2026"/>
    <x v="3"/>
    <s v="Week1-Mar-2026"/>
    <x v="6"/>
    <s v="Q4FY26"/>
    <s v="30-Mar-2026"/>
    <s v="Monday"/>
    <s v="Monthly - Monday"/>
    <s v="Monthly - Monday"/>
    <s v="Same Month Expiry"/>
    <n v="2837637"/>
    <n v="5052.8977"/>
    <n v="54.1067"/>
  </r>
  <r>
    <s v="05-Mar-2026"/>
    <x v="3"/>
    <s v="Week1-Mar-2026"/>
    <x v="6"/>
    <s v="Q4FY26"/>
    <s v="28-Apr-2026"/>
    <s v="Tuesday"/>
    <s v="Monthly - Tuesday"/>
    <s v="Monthly - Tuesday"/>
    <s v="Month+1 Expiry"/>
    <n v="82730"/>
    <n v="149.9902"/>
    <n v="2.3873"/>
  </r>
  <r>
    <s v="05-Mar-2026"/>
    <x v="3"/>
    <s v="Week1-Mar-2026"/>
    <x v="6"/>
    <s v="Q4FY26"/>
    <s v="26-May-2026"/>
    <s v="Tuesday"/>
    <s v="Monthly - Tuesday"/>
    <s v="Monthly - Tuesday"/>
    <s v="Month+2 Expiry"/>
    <n v="3869"/>
    <n v="7.0822"/>
    <n v="0.1208"/>
  </r>
  <r>
    <s v="05-Mar-2026"/>
    <x v="3"/>
    <s v="Week1-Mar-2026"/>
    <x v="6"/>
    <s v="Q4FY26"/>
    <s v="30-Jun-2026"/>
    <s v="Tuesday"/>
    <s v="Monthly - Tuesday"/>
    <s v="Monthly - Tuesday"/>
    <s v="Month+3 Expiry"/>
    <n v="764"/>
    <n v="1.4061"/>
    <n v="0.0294"/>
  </r>
  <r>
    <s v="05-Mar-2026"/>
    <x v="3"/>
    <s v="Week1-Mar-2026"/>
    <x v="6"/>
    <s v="Q4FY26"/>
    <s v="29-Sep-2026"/>
    <s v="Tuesday"/>
    <s v="Monthly - Tuesday"/>
    <s v="Monthly - Tuesday"/>
    <s v="Month+6 Expiry"/>
    <n v="0"/>
    <n v="0"/>
    <n v="0"/>
  </r>
  <r>
    <s v="05-Mar-2026"/>
    <x v="3"/>
    <s v="Week1-Mar-2026"/>
    <x v="6"/>
    <s v="Q4FY26"/>
    <s v="29-Dec-2026"/>
    <s v="Tuesday"/>
    <s v="Monthly - Tuesday"/>
    <s v="Monthly - Tuesday"/>
    <s v="Month+9 Expiry"/>
    <n v="0"/>
    <n v="0"/>
    <n v="0"/>
  </r>
  <r>
    <s v="06-Mar-2026"/>
    <x v="4"/>
    <s v="Week1-Mar-2026"/>
    <x v="6"/>
    <s v="Q4FY26"/>
    <s v="30-Mar-2026"/>
    <s v="Monday"/>
    <s v="Monthly - Monday"/>
    <s v="Monthly - Monday"/>
    <s v="Same Month Expiry"/>
    <n v="2866522"/>
    <n v="5049.9653"/>
    <n v="58.5898"/>
  </r>
  <r>
    <s v="06-Mar-2026"/>
    <x v="4"/>
    <s v="Week1-Mar-2026"/>
    <x v="6"/>
    <s v="Q4FY26"/>
    <s v="28-Apr-2026"/>
    <s v="Tuesday"/>
    <s v="Monthly - Tuesday"/>
    <s v="Monthly - Tuesday"/>
    <s v="Month+1 Expiry"/>
    <n v="90120"/>
    <n v="162.8729"/>
    <n v="2.589"/>
  </r>
  <r>
    <s v="06-Mar-2026"/>
    <x v="4"/>
    <s v="Week1-Mar-2026"/>
    <x v="6"/>
    <s v="Q4FY26"/>
    <s v="26-May-2026"/>
    <s v="Tuesday"/>
    <s v="Monthly - Tuesday"/>
    <s v="Monthly - Tuesday"/>
    <s v="Month+2 Expiry"/>
    <n v="4256"/>
    <n v="7.7239"/>
    <n v="0.1535"/>
  </r>
  <r>
    <s v="06-Mar-2026"/>
    <x v="4"/>
    <s v="Week1-Mar-2026"/>
    <x v="6"/>
    <s v="Q4FY26"/>
    <s v="30-Jun-2026"/>
    <s v="Tuesday"/>
    <s v="Monthly - Tuesday"/>
    <s v="Monthly - Tuesday"/>
    <s v="Month+3 Expiry"/>
    <n v="916"/>
    <n v="1.6778"/>
    <n v="0.0331"/>
  </r>
  <r>
    <s v="06-Mar-2026"/>
    <x v="4"/>
    <s v="Week1-Mar-2026"/>
    <x v="6"/>
    <s v="Q4FY26"/>
    <s v="29-Sep-2026"/>
    <s v="Tuesday"/>
    <s v="Monthly - Tuesday"/>
    <s v="Monthly - Tuesday"/>
    <s v="Month+6 Expiry"/>
    <n v="0"/>
    <n v="0"/>
    <n v="0"/>
  </r>
  <r>
    <s v="06-Mar-2026"/>
    <x v="4"/>
    <s v="Week1-Mar-2026"/>
    <x v="6"/>
    <s v="Q4FY26"/>
    <s v="29-Dec-2026"/>
    <s v="Tuesday"/>
    <s v="Monthly - Tuesday"/>
    <s v="Monthly - Tuesday"/>
    <s v="Month+9 Expiry"/>
    <n v="0"/>
    <n v="0"/>
    <n v="0"/>
  </r>
  <r>
    <s v="09-Mar-2026"/>
    <x v="0"/>
    <s v="Week2-Mar-2026"/>
    <x v="6"/>
    <s v="Q4FY26"/>
    <s v="30-Mar-2026"/>
    <s v="Monday"/>
    <s v="Monthly - Monday"/>
    <s v="Monthly - Monday"/>
    <s v="Same Month Expiry"/>
    <n v="2888911"/>
    <n v="5001.9083"/>
    <n v="72.2641"/>
  </r>
  <r>
    <s v="09-Mar-2026"/>
    <x v="0"/>
    <s v="Week2-Mar-2026"/>
    <x v="6"/>
    <s v="Q4FY26"/>
    <s v="28-Apr-2026"/>
    <s v="Tuesday"/>
    <s v="Monthly - Tuesday"/>
    <s v="Monthly - Tuesday"/>
    <s v="Month+1 Expiry"/>
    <n v="125757"/>
    <n v="224.7017"/>
    <n v="4.2353"/>
  </r>
  <r>
    <s v="09-Mar-2026"/>
    <x v="0"/>
    <s v="Week2-Mar-2026"/>
    <x v="6"/>
    <s v="Q4FY26"/>
    <s v="26-May-2026"/>
    <s v="Tuesday"/>
    <s v="Monthly - Tuesday"/>
    <s v="Monthly - Tuesday"/>
    <s v="Month+2 Expiry"/>
    <n v="6838"/>
    <n v="12.2645"/>
    <n v="0.3072"/>
  </r>
  <r>
    <s v="09-Mar-2026"/>
    <x v="0"/>
    <s v="Week2-Mar-2026"/>
    <x v="6"/>
    <s v="Q4FY26"/>
    <s v="30-Jun-2026"/>
    <s v="Tuesday"/>
    <s v="Monthly - Tuesday"/>
    <s v="Monthly - Tuesday"/>
    <s v="Month+3 Expiry"/>
    <n v="2798"/>
    <n v="5.0152"/>
    <n v="0.1125"/>
  </r>
  <r>
    <s v="09-Mar-2026"/>
    <x v="0"/>
    <s v="Week2-Mar-2026"/>
    <x v="6"/>
    <s v="Q4FY26"/>
    <s v="29-Sep-2026"/>
    <s v="Tuesday"/>
    <s v="Monthly - Tuesday"/>
    <s v="Monthly - Tuesday"/>
    <s v="Month+6 Expiry"/>
    <n v="0"/>
    <n v="0"/>
    <n v="0"/>
  </r>
  <r>
    <s v="09-Mar-2026"/>
    <x v="0"/>
    <s v="Week2-Mar-2026"/>
    <x v="6"/>
    <s v="Q4FY26"/>
    <s v="29-Dec-2026"/>
    <s v="Tuesday"/>
    <s v="Monthly - Tuesday"/>
    <s v="Monthly - Tuesday"/>
    <s v="Month+9 Expiry"/>
    <n v="0"/>
    <n v="0"/>
    <n v="0"/>
  </r>
  <r>
    <s v="10-Mar-2026"/>
    <x v="1"/>
    <s v="Week2-Mar-2026"/>
    <x v="6"/>
    <s v="Q4FY26"/>
    <s v="30-Mar-2026"/>
    <s v="Monday"/>
    <s v="Monthly - Monday"/>
    <s v="Monthly - Monday"/>
    <s v="Same Month Expiry"/>
    <n v="2451975"/>
    <n v="4244.7377"/>
    <n v="49.3932"/>
  </r>
  <r>
    <s v="10-Mar-2026"/>
    <x v="1"/>
    <s v="Week2-Mar-2026"/>
    <x v="6"/>
    <s v="Q4FY26"/>
    <s v="28-Apr-2026"/>
    <s v="Tuesday"/>
    <s v="Monthly - Tuesday"/>
    <s v="Monthly - Tuesday"/>
    <s v="Month+1 Expiry"/>
    <n v="114144"/>
    <n v="205.5598"/>
    <n v="3.7164"/>
  </r>
  <r>
    <s v="10-Mar-2026"/>
    <x v="1"/>
    <s v="Week2-Mar-2026"/>
    <x v="6"/>
    <s v="Q4FY26"/>
    <s v="26-May-2026"/>
    <s v="Tuesday"/>
    <s v="Monthly - Tuesday"/>
    <s v="Monthly - Tuesday"/>
    <s v="Month+2 Expiry"/>
    <n v="4678"/>
    <n v="8.4331"/>
    <n v="0.1549"/>
  </r>
  <r>
    <s v="10-Mar-2026"/>
    <x v="1"/>
    <s v="Week2-Mar-2026"/>
    <x v="6"/>
    <s v="Q4FY26"/>
    <s v="30-Jun-2026"/>
    <s v="Tuesday"/>
    <s v="Monthly - Tuesday"/>
    <s v="Monthly - Tuesday"/>
    <s v="Month+3 Expiry"/>
    <n v="1351"/>
    <n v="2.4594"/>
    <n v="0.0429"/>
  </r>
  <r>
    <s v="10-Mar-2026"/>
    <x v="1"/>
    <s v="Week2-Mar-2026"/>
    <x v="6"/>
    <s v="Q4FY26"/>
    <s v="29-Sep-2026"/>
    <s v="Tuesday"/>
    <s v="Monthly - Tuesday"/>
    <s v="Monthly - Tuesday"/>
    <s v="Month+6 Expiry"/>
    <n v="0"/>
    <n v="0"/>
    <n v="0"/>
  </r>
  <r>
    <s v="10-Mar-2026"/>
    <x v="1"/>
    <s v="Week2-Mar-2026"/>
    <x v="6"/>
    <s v="Q4FY26"/>
    <s v="29-Dec-2026"/>
    <s v="Tuesday"/>
    <s v="Monthly - Tuesday"/>
    <s v="Monthly - Tuesday"/>
    <s v="Month+9 Expiry"/>
    <n v="0"/>
    <n v="0"/>
    <n v="0"/>
  </r>
  <r>
    <s v="11-Mar-2026"/>
    <x v="2"/>
    <s v="Week2-Mar-2026"/>
    <x v="6"/>
    <s v="Q4FY26"/>
    <s v="30-Mar-2026"/>
    <s v="Monday"/>
    <s v="Monthly - Monday"/>
    <s v="Monthly - Monday"/>
    <s v="Same Month Expiry"/>
    <n v="2588800"/>
    <n v="4457.8354"/>
    <n v="51.4296"/>
  </r>
  <r>
    <s v="11-Mar-2026"/>
    <x v="2"/>
    <s v="Week2-Mar-2026"/>
    <x v="6"/>
    <s v="Q4FY26"/>
    <s v="28-Apr-2026"/>
    <s v="Tuesday"/>
    <s v="Monthly - Tuesday"/>
    <s v="Monthly - Tuesday"/>
    <s v="Month+1 Expiry"/>
    <n v="138782"/>
    <n v="247.4927"/>
    <n v="4.3229"/>
  </r>
  <r>
    <s v="11-Mar-2026"/>
    <x v="2"/>
    <s v="Week2-Mar-2026"/>
    <x v="6"/>
    <s v="Q4FY26"/>
    <s v="26-May-2026"/>
    <s v="Tuesday"/>
    <s v="Monthly - Tuesday"/>
    <s v="Monthly - Tuesday"/>
    <s v="Month+2 Expiry"/>
    <n v="6964"/>
    <n v="12.5123"/>
    <n v="0.2381"/>
  </r>
  <r>
    <s v="11-Mar-2026"/>
    <x v="2"/>
    <s v="Week2-Mar-2026"/>
    <x v="6"/>
    <s v="Q4FY26"/>
    <s v="30-Jun-2026"/>
    <s v="Tuesday"/>
    <s v="Monthly - Tuesday"/>
    <s v="Monthly - Tuesday"/>
    <s v="Month+3 Expiry"/>
    <n v="1586"/>
    <n v="2.8689"/>
    <n v="0.056"/>
  </r>
  <r>
    <s v="11-Mar-2026"/>
    <x v="2"/>
    <s v="Week2-Mar-2026"/>
    <x v="6"/>
    <s v="Q4FY26"/>
    <s v="29-Sep-2026"/>
    <s v="Tuesday"/>
    <s v="Monthly - Tuesday"/>
    <s v="Monthly - Tuesday"/>
    <s v="Month+6 Expiry"/>
    <n v="0"/>
    <n v="0"/>
    <n v="0"/>
  </r>
  <r>
    <s v="11-Mar-2026"/>
    <x v="2"/>
    <s v="Week2-Mar-2026"/>
    <x v="6"/>
    <s v="Q4FY26"/>
    <s v="29-Dec-2026"/>
    <s v="Tuesday"/>
    <s v="Monthly - Tuesday"/>
    <s v="Monthly - Tuesday"/>
    <s v="Month+9 Expiry"/>
    <n v="0"/>
    <n v="0"/>
    <n v="0"/>
  </r>
  <r>
    <s v="12-Mar-2026"/>
    <x v="3"/>
    <s v="Week2-Mar-2026"/>
    <x v="6"/>
    <s v="Q4FY26"/>
    <s v="30-Mar-2026"/>
    <s v="Monday"/>
    <s v="Monthly - Monday"/>
    <s v="Monthly - Monday"/>
    <s v="Same Month Expiry"/>
    <n v="2622396"/>
    <n v="4454.5484"/>
    <n v="53.6427"/>
  </r>
  <r>
    <s v="12-Mar-2026"/>
    <x v="3"/>
    <s v="Week2-Mar-2026"/>
    <x v="6"/>
    <s v="Q4FY26"/>
    <s v="28-Apr-2026"/>
    <s v="Tuesday"/>
    <s v="Monthly - Tuesday"/>
    <s v="Monthly - Tuesday"/>
    <s v="Month+1 Expiry"/>
    <n v="116200"/>
    <n v="204.8034"/>
    <n v="3.8403"/>
  </r>
  <r>
    <s v="12-Mar-2026"/>
    <x v="3"/>
    <s v="Week2-Mar-2026"/>
    <x v="6"/>
    <s v="Q4FY26"/>
    <s v="26-May-2026"/>
    <s v="Tuesday"/>
    <s v="Monthly - Tuesday"/>
    <s v="Monthly - Tuesday"/>
    <s v="Month+2 Expiry"/>
    <n v="6475"/>
    <n v="11.3903"/>
    <n v="0.2625"/>
  </r>
  <r>
    <s v="12-Mar-2026"/>
    <x v="3"/>
    <s v="Week2-Mar-2026"/>
    <x v="6"/>
    <s v="Q4FY26"/>
    <s v="30-Jun-2026"/>
    <s v="Tuesday"/>
    <s v="Monthly - Tuesday"/>
    <s v="Monthly - Tuesday"/>
    <s v="Month+3 Expiry"/>
    <n v="1155"/>
    <n v="2.0786"/>
    <n v="0.0379"/>
  </r>
  <r>
    <s v="12-Mar-2026"/>
    <x v="3"/>
    <s v="Week2-Mar-2026"/>
    <x v="6"/>
    <s v="Q4FY26"/>
    <s v="29-Sep-2026"/>
    <s v="Tuesday"/>
    <s v="Monthly - Tuesday"/>
    <s v="Monthly - Tuesday"/>
    <s v="Month+6 Expiry"/>
    <n v="0"/>
    <n v="0"/>
    <n v="0"/>
  </r>
  <r>
    <s v="12-Mar-2026"/>
    <x v="3"/>
    <s v="Week2-Mar-2026"/>
    <x v="6"/>
    <s v="Q4FY26"/>
    <s v="29-Dec-2026"/>
    <s v="Tuesday"/>
    <s v="Monthly - Tuesday"/>
    <s v="Monthly - Tuesday"/>
    <s v="Month+9 Expiry"/>
    <n v="0"/>
    <n v="0"/>
    <n v="0"/>
  </r>
  <r>
    <s v="13-Mar-2026"/>
    <x v="4"/>
    <s v="Week2-Mar-2026"/>
    <x v="6"/>
    <s v="Q4FY26"/>
    <s v="30-Mar-2026"/>
    <s v="Monday"/>
    <s v="Monthly - Monday"/>
    <s v="Monthly - Monday"/>
    <s v="Same Month Expiry"/>
    <n v="3217131"/>
    <n v="5360.856"/>
    <n v="70.75620000000001"/>
  </r>
  <r>
    <s v="13-Mar-2026"/>
    <x v="4"/>
    <s v="Week2-Mar-2026"/>
    <x v="6"/>
    <s v="Q4FY26"/>
    <s v="28-Apr-2026"/>
    <s v="Tuesday"/>
    <s v="Monthly - Tuesday"/>
    <s v="Monthly - Tuesday"/>
    <s v="Month+1 Expiry"/>
    <n v="160765"/>
    <n v="280.4885"/>
    <n v="5.3209"/>
  </r>
  <r>
    <s v="13-Mar-2026"/>
    <x v="4"/>
    <s v="Week2-Mar-2026"/>
    <x v="6"/>
    <s v="Q4FY26"/>
    <s v="26-May-2026"/>
    <s v="Tuesday"/>
    <s v="Monthly - Tuesday"/>
    <s v="Monthly - Tuesday"/>
    <s v="Month+2 Expiry"/>
    <n v="9073"/>
    <n v="15.9569"/>
    <n v="0.3316"/>
  </r>
  <r>
    <s v="13-Mar-2026"/>
    <x v="4"/>
    <s v="Week2-Mar-2026"/>
    <x v="6"/>
    <s v="Q4FY26"/>
    <s v="30-Jun-2026"/>
    <s v="Tuesday"/>
    <s v="Monthly - Tuesday"/>
    <s v="Monthly - Tuesday"/>
    <s v="Month+3 Expiry"/>
    <n v="2729"/>
    <n v="4.9567"/>
    <n v="0.0915"/>
  </r>
  <r>
    <s v="13-Mar-2026"/>
    <x v="4"/>
    <s v="Week2-Mar-2026"/>
    <x v="6"/>
    <s v="Q4FY26"/>
    <s v="29-Sep-2026"/>
    <s v="Tuesday"/>
    <s v="Monthly - Tuesday"/>
    <s v="Monthly - Tuesday"/>
    <s v="Month+6 Expiry"/>
    <n v="0"/>
    <n v="0"/>
    <n v="0"/>
  </r>
  <r>
    <s v="13-Mar-2026"/>
    <x v="4"/>
    <s v="Week2-Mar-2026"/>
    <x v="6"/>
    <s v="Q4FY26"/>
    <s v="29-Dec-2026"/>
    <s v="Tuesday"/>
    <s v="Monthly - Tuesday"/>
    <s v="Monthly - Tuesday"/>
    <s v="Month+9 Expiry"/>
    <n v="0"/>
    <n v="0"/>
    <n v="0"/>
  </r>
  <r>
    <s v="16-Mar-2026"/>
    <x v="0"/>
    <s v="Week3-Mar-2026"/>
    <x v="6"/>
    <s v="Q4FY26"/>
    <s v="30-Mar-2026"/>
    <s v="Monday"/>
    <s v="Monthly - Monday"/>
    <s v="Monthly - Monday"/>
    <s v="Same Month Expiry"/>
    <n v="3269610"/>
    <n v="5433.5413"/>
    <n v="65.53619999999999"/>
  </r>
  <r>
    <s v="16-Mar-2026"/>
    <x v="0"/>
    <s v="Week3-Mar-2026"/>
    <x v="6"/>
    <s v="Q4FY26"/>
    <s v="28-Apr-2026"/>
    <s v="Tuesday"/>
    <s v="Monthly - Tuesday"/>
    <s v="Monthly - Tuesday"/>
    <s v="Month+1 Expiry"/>
    <n v="129880"/>
    <n v="227.4986"/>
    <n v="4.1716"/>
  </r>
  <r>
    <s v="16-Mar-2026"/>
    <x v="0"/>
    <s v="Week3-Mar-2026"/>
    <x v="6"/>
    <s v="Q4FY26"/>
    <s v="26-May-2026"/>
    <s v="Tuesday"/>
    <s v="Monthly - Tuesday"/>
    <s v="Monthly - Tuesday"/>
    <s v="Month+2 Expiry"/>
    <n v="9942"/>
    <n v="17.7425"/>
    <n v="0.4516"/>
  </r>
  <r>
    <s v="16-Mar-2026"/>
    <x v="0"/>
    <s v="Week3-Mar-2026"/>
    <x v="6"/>
    <s v="Q4FY26"/>
    <s v="30-Jun-2026"/>
    <s v="Tuesday"/>
    <s v="Monthly - Tuesday"/>
    <s v="Monthly - Tuesday"/>
    <s v="Month+3 Expiry"/>
    <n v="1452"/>
    <n v="2.6509"/>
    <n v="0.0587"/>
  </r>
  <r>
    <s v="16-Mar-2026"/>
    <x v="0"/>
    <s v="Week3-Mar-2026"/>
    <x v="6"/>
    <s v="Q4FY26"/>
    <s v="29-Sep-2026"/>
    <s v="Tuesday"/>
    <s v="Monthly - Tuesday"/>
    <s v="Monthly - Tuesday"/>
    <s v="Month+6 Expiry"/>
    <n v="0"/>
    <n v="0"/>
    <n v="0"/>
  </r>
  <r>
    <s v="16-Mar-2026"/>
    <x v="0"/>
    <s v="Week3-Mar-2026"/>
    <x v="6"/>
    <s v="Q4FY26"/>
    <s v="29-Dec-2026"/>
    <s v="Tuesday"/>
    <s v="Monthly - Tuesday"/>
    <s v="Monthly - Tuesday"/>
    <s v="Month+9 Expiry"/>
    <n v="0"/>
    <n v="0"/>
    <n v="0"/>
  </r>
  <r>
    <s v="17-Mar-2026"/>
    <x v="1"/>
    <s v="Week3-Mar-2026"/>
    <x v="6"/>
    <s v="Q4FY26"/>
    <s v="30-Mar-2026"/>
    <s v="Monday"/>
    <s v="Monthly - Monday"/>
    <s v="Monthly - Monday"/>
    <s v="Same Month Expiry"/>
    <n v="2770487"/>
    <n v="4602.2111"/>
    <n v="49.1742"/>
  </r>
  <r>
    <s v="17-Mar-2026"/>
    <x v="1"/>
    <s v="Week3-Mar-2026"/>
    <x v="6"/>
    <s v="Q4FY26"/>
    <s v="28-Apr-2026"/>
    <s v="Tuesday"/>
    <s v="Monthly - Tuesday"/>
    <s v="Monthly - Tuesday"/>
    <s v="Month+1 Expiry"/>
    <n v="153010"/>
    <n v="274.6641"/>
    <n v="5.3409"/>
  </r>
  <r>
    <s v="17-Mar-2026"/>
    <x v="1"/>
    <s v="Week3-Mar-2026"/>
    <x v="6"/>
    <s v="Q4FY26"/>
    <s v="26-May-2026"/>
    <s v="Tuesday"/>
    <s v="Monthly - Tuesday"/>
    <s v="Monthly - Tuesday"/>
    <s v="Month+2 Expiry"/>
    <n v="7194"/>
    <n v="12.6707"/>
    <n v="0.22"/>
  </r>
  <r>
    <s v="17-Mar-2026"/>
    <x v="1"/>
    <s v="Week3-Mar-2026"/>
    <x v="6"/>
    <s v="Q4FY26"/>
    <s v="30-Jun-2026"/>
    <s v="Tuesday"/>
    <s v="Monthly - Tuesday"/>
    <s v="Monthly - Tuesday"/>
    <s v="Month+3 Expiry"/>
    <n v="2282"/>
    <n v="4.164"/>
    <n v="0.151"/>
  </r>
  <r>
    <s v="17-Mar-2026"/>
    <x v="1"/>
    <s v="Week3-Mar-2026"/>
    <x v="6"/>
    <s v="Q4FY26"/>
    <s v="29-Sep-2026"/>
    <s v="Tuesday"/>
    <s v="Monthly - Tuesday"/>
    <s v="Monthly - Tuesday"/>
    <s v="Month+6 Expiry"/>
    <n v="0"/>
    <n v="0"/>
    <n v="0"/>
  </r>
  <r>
    <s v="17-Mar-2026"/>
    <x v="1"/>
    <s v="Week3-Mar-2026"/>
    <x v="6"/>
    <s v="Q4FY26"/>
    <s v="29-Dec-2026"/>
    <s v="Tuesday"/>
    <s v="Monthly - Tuesday"/>
    <s v="Monthly - Tuesday"/>
    <s v="Month+9 Expiry"/>
    <n v="0"/>
    <n v="0"/>
    <n v="0"/>
  </r>
  <r>
    <s v="18-Mar-2026"/>
    <x v="2"/>
    <s v="Week3-Mar-2026"/>
    <x v="6"/>
    <s v="Q4FY26"/>
    <s v="30-Mar-2026"/>
    <s v="Monday"/>
    <s v="Monthly - Monday"/>
    <s v="Monthly - Monday"/>
    <s v="Same Month Expiry"/>
    <n v="3507101"/>
    <n v="5850.308"/>
    <n v="49.2118"/>
  </r>
  <r>
    <s v="18-Mar-2026"/>
    <x v="2"/>
    <s v="Week3-Mar-2026"/>
    <x v="6"/>
    <s v="Q4FY26"/>
    <s v="28-Apr-2026"/>
    <s v="Tuesday"/>
    <s v="Monthly - Tuesday"/>
    <s v="Monthly - Tuesday"/>
    <s v="Month+1 Expiry"/>
    <n v="182675"/>
    <n v="327.5798"/>
    <n v="7.234"/>
  </r>
  <r>
    <s v="18-Mar-2026"/>
    <x v="2"/>
    <s v="Week3-Mar-2026"/>
    <x v="6"/>
    <s v="Q4FY26"/>
    <s v="26-May-2026"/>
    <s v="Tuesday"/>
    <s v="Monthly - Tuesday"/>
    <s v="Monthly - Tuesday"/>
    <s v="Month+2 Expiry"/>
    <n v="9872"/>
    <n v="17.3824"/>
    <n v="0.3506"/>
  </r>
  <r>
    <s v="18-Mar-2026"/>
    <x v="2"/>
    <s v="Week3-Mar-2026"/>
    <x v="6"/>
    <s v="Q4FY26"/>
    <s v="30-Jun-2026"/>
    <s v="Tuesday"/>
    <s v="Monthly - Tuesday"/>
    <s v="Monthly - Tuesday"/>
    <s v="Month+3 Expiry"/>
    <n v="2915"/>
    <n v="5.3167"/>
    <n v="0.1809"/>
  </r>
  <r>
    <s v="18-Mar-2026"/>
    <x v="2"/>
    <s v="Week3-Mar-2026"/>
    <x v="6"/>
    <s v="Q4FY26"/>
    <s v="29-Sep-2026"/>
    <s v="Tuesday"/>
    <s v="Monthly - Tuesday"/>
    <s v="Monthly - Tuesday"/>
    <s v="Month+6 Expiry"/>
    <n v="0"/>
    <n v="0"/>
    <n v="0"/>
  </r>
  <r>
    <s v="18-Mar-2026"/>
    <x v="2"/>
    <s v="Week3-Mar-2026"/>
    <x v="6"/>
    <s v="Q4FY26"/>
    <s v="29-Dec-2026"/>
    <s v="Tuesday"/>
    <s v="Monthly - Tuesday"/>
    <s v="Monthly - Tuesday"/>
    <s v="Month+9 Expiry"/>
    <n v="0"/>
    <n v="0"/>
    <n v="0"/>
  </r>
  <r>
    <s v="19-Mar-2026"/>
    <x v="3"/>
    <s v="Week3-Mar-2026"/>
    <x v="6"/>
    <s v="Q4FY26"/>
    <s v="30-Mar-2026"/>
    <s v="Monday"/>
    <s v="Monthly - Monday"/>
    <s v="Monthly - Monday"/>
    <s v="Same Month Expiry"/>
    <n v="4382804"/>
    <n v="7183.3245"/>
    <n v="66.85720000000001"/>
  </r>
  <r>
    <s v="19-Mar-2026"/>
    <x v="3"/>
    <s v="Week3-Mar-2026"/>
    <x v="6"/>
    <s v="Q4FY26"/>
    <s v="28-Apr-2026"/>
    <s v="Tuesday"/>
    <s v="Monthly - Tuesday"/>
    <s v="Monthly - Tuesday"/>
    <s v="Month+1 Expiry"/>
    <n v="211453"/>
    <n v="364.518"/>
    <n v="6.0436"/>
  </r>
  <r>
    <s v="19-Mar-2026"/>
    <x v="3"/>
    <s v="Week3-Mar-2026"/>
    <x v="6"/>
    <s v="Q4FY26"/>
    <s v="26-May-2026"/>
    <s v="Tuesday"/>
    <s v="Monthly - Tuesday"/>
    <s v="Monthly - Tuesday"/>
    <s v="Month+2 Expiry"/>
    <n v="13023"/>
    <n v="22.3078"/>
    <n v="0.4098"/>
  </r>
  <r>
    <s v="19-Mar-2026"/>
    <x v="3"/>
    <s v="Week3-Mar-2026"/>
    <x v="6"/>
    <s v="Q4FY26"/>
    <s v="30-Jun-2026"/>
    <s v="Tuesday"/>
    <s v="Monthly - Tuesday"/>
    <s v="Monthly - Tuesday"/>
    <s v="Month+3 Expiry"/>
    <n v="2651"/>
    <n v="4.7575"/>
    <n v="0.0992"/>
  </r>
  <r>
    <s v="19-Mar-2026"/>
    <x v="3"/>
    <s v="Week3-Mar-2026"/>
    <x v="6"/>
    <s v="Q4FY26"/>
    <s v="29-Sep-2026"/>
    <s v="Tuesday"/>
    <s v="Monthly - Tuesday"/>
    <s v="Monthly - Tuesday"/>
    <s v="Month+6 Expiry"/>
    <n v="0"/>
    <n v="0"/>
    <n v="0"/>
  </r>
  <r>
    <s v="19-Mar-2026"/>
    <x v="3"/>
    <s v="Week3-Mar-2026"/>
    <x v="6"/>
    <s v="Q4FY26"/>
    <s v="29-Dec-2026"/>
    <s v="Tuesday"/>
    <s v="Monthly - Tuesday"/>
    <s v="Monthly - Tuesday"/>
    <s v="Month+9 Expiry"/>
    <n v="0"/>
    <n v="0"/>
    <n v="0"/>
  </r>
  <r>
    <s v="20-Mar-2026"/>
    <x v="4"/>
    <s v="Week3-Mar-2026"/>
    <x v="6"/>
    <s v="Q4FY26"/>
    <s v="30-Mar-2026"/>
    <s v="Monday"/>
    <s v="Monthly - Monday"/>
    <s v="Monthly - Monday"/>
    <s v="Same Month Expiry"/>
    <n v="4159763"/>
    <n v="6813.4329"/>
    <n v="68.9534"/>
  </r>
  <r>
    <s v="20-Mar-2026"/>
    <x v="4"/>
    <s v="Week3-Mar-2026"/>
    <x v="6"/>
    <s v="Q4FY26"/>
    <s v="28-Apr-2026"/>
    <s v="Tuesday"/>
    <s v="Monthly - Tuesday"/>
    <s v="Monthly - Tuesday"/>
    <s v="Month+1 Expiry"/>
    <n v="164907"/>
    <n v="283.3317"/>
    <n v="5.2058"/>
  </r>
  <r>
    <s v="20-Mar-2026"/>
    <x v="4"/>
    <s v="Week3-Mar-2026"/>
    <x v="6"/>
    <s v="Q4FY26"/>
    <s v="26-May-2026"/>
    <s v="Tuesday"/>
    <s v="Monthly - Tuesday"/>
    <s v="Monthly - Tuesday"/>
    <s v="Month+2 Expiry"/>
    <n v="11759"/>
    <n v="20.389"/>
    <n v="0.3605"/>
  </r>
  <r>
    <s v="20-Mar-2026"/>
    <x v="4"/>
    <s v="Week3-Mar-2026"/>
    <x v="6"/>
    <s v="Q4FY26"/>
    <s v="30-Jun-2026"/>
    <s v="Tuesday"/>
    <s v="Monthly - Tuesday"/>
    <s v="Monthly - Tuesday"/>
    <s v="Month+3 Expiry"/>
    <n v="5460"/>
    <n v="9.9419"/>
    <n v="0.409"/>
  </r>
  <r>
    <s v="20-Mar-2026"/>
    <x v="4"/>
    <s v="Week3-Mar-2026"/>
    <x v="6"/>
    <s v="Q4FY26"/>
    <s v="29-Sep-2026"/>
    <s v="Tuesday"/>
    <s v="Monthly - Tuesday"/>
    <s v="Monthly - Tuesday"/>
    <s v="Month+6 Expiry"/>
    <n v="0"/>
    <n v="0"/>
    <n v="0"/>
  </r>
  <r>
    <s v="20-Mar-2026"/>
    <x v="4"/>
    <s v="Week3-Mar-2026"/>
    <x v="6"/>
    <s v="Q4FY26"/>
    <s v="29-Dec-2026"/>
    <s v="Tuesday"/>
    <s v="Monthly - Tuesday"/>
    <s v="Monthly - Tuesday"/>
    <s v="Month+9 Expiry"/>
    <n v="0"/>
    <n v="0"/>
    <n v="0"/>
  </r>
  <r>
    <s v="23-Mar-2026"/>
    <x v="0"/>
    <s v="Week4-Mar-2026"/>
    <x v="6"/>
    <s v="Q4FY26"/>
    <s v="30-Mar-2026"/>
    <s v="Monday"/>
    <s v="Monthly - Monday"/>
    <s v="Monthly - Monday"/>
    <s v="Same Month Expiry"/>
    <n v="4418333"/>
    <n v="7061.7503"/>
    <n v="82.38460000000001"/>
  </r>
  <r>
    <s v="23-Mar-2026"/>
    <x v="0"/>
    <s v="Week4-Mar-2026"/>
    <x v="6"/>
    <s v="Q4FY26"/>
    <s v="28-Apr-2026"/>
    <s v="Tuesday"/>
    <s v="Monthly - Tuesday"/>
    <s v="Monthly - Tuesday"/>
    <s v="Month+1 Expiry"/>
    <n v="239462"/>
    <n v="406.776"/>
    <n v="9.6424"/>
  </r>
  <r>
    <s v="23-Mar-2026"/>
    <x v="0"/>
    <s v="Week4-Mar-2026"/>
    <x v="6"/>
    <s v="Q4FY26"/>
    <s v="26-May-2026"/>
    <s v="Tuesday"/>
    <s v="Monthly - Tuesday"/>
    <s v="Monthly - Tuesday"/>
    <s v="Month+2 Expiry"/>
    <n v="17769"/>
    <n v="30.3721"/>
    <n v="0.7417"/>
  </r>
  <r>
    <s v="23-Mar-2026"/>
    <x v="0"/>
    <s v="Week4-Mar-2026"/>
    <x v="6"/>
    <s v="Q4FY26"/>
    <s v="30-Jun-2026"/>
    <s v="Tuesday"/>
    <s v="Monthly - Tuesday"/>
    <s v="Monthly - Tuesday"/>
    <s v="Month+3 Expiry"/>
    <n v="4014"/>
    <n v="7.1333"/>
    <n v="0.2071"/>
  </r>
  <r>
    <s v="23-Mar-2026"/>
    <x v="0"/>
    <s v="Week4-Mar-2026"/>
    <x v="6"/>
    <s v="Q4FY26"/>
    <s v="29-Sep-2026"/>
    <s v="Tuesday"/>
    <s v="Monthly - Tuesday"/>
    <s v="Monthly - Tuesday"/>
    <s v="Month+6 Expiry"/>
    <n v="0"/>
    <n v="0"/>
    <n v="0"/>
  </r>
  <r>
    <s v="23-Mar-2026"/>
    <x v="0"/>
    <s v="Week4-Mar-2026"/>
    <x v="6"/>
    <s v="Q4FY26"/>
    <s v="29-Dec-2026"/>
    <s v="Tuesday"/>
    <s v="Monthly - Tuesday"/>
    <s v="Monthly - Tuesday"/>
    <s v="Month+9 Expiry"/>
    <n v="0"/>
    <n v="0"/>
    <n v="0"/>
  </r>
  <r>
    <s v="24-Mar-2026"/>
    <x v="1"/>
    <s v="Week4-Mar-2026"/>
    <x v="6"/>
    <s v="Q4FY26"/>
    <s v="30-Mar-2026"/>
    <s v="Monday"/>
    <s v="Monthly - Monday"/>
    <s v="Monthly - Monday"/>
    <s v="Same Month Expiry"/>
    <n v="4968343"/>
    <n v="7941.5122"/>
    <n v="75.52"/>
  </r>
  <r>
    <s v="24-Mar-2026"/>
    <x v="1"/>
    <s v="Week4-Mar-2026"/>
    <x v="6"/>
    <s v="Q4FY26"/>
    <s v="28-Apr-2026"/>
    <s v="Tuesday"/>
    <s v="Monthly - Tuesday"/>
    <s v="Monthly - Tuesday"/>
    <s v="Month+1 Expiry"/>
    <n v="200927"/>
    <n v="338.3519"/>
    <n v="7.9712"/>
  </r>
  <r>
    <s v="24-Mar-2026"/>
    <x v="1"/>
    <s v="Week4-Mar-2026"/>
    <x v="6"/>
    <s v="Q4FY26"/>
    <s v="26-May-2026"/>
    <s v="Tuesday"/>
    <s v="Monthly - Tuesday"/>
    <s v="Monthly - Tuesday"/>
    <s v="Month+2 Expiry"/>
    <n v="11386"/>
    <n v="19.3261"/>
    <n v="0.5318000000000001"/>
  </r>
  <r>
    <s v="24-Mar-2026"/>
    <x v="1"/>
    <s v="Week4-Mar-2026"/>
    <x v="6"/>
    <s v="Q4FY26"/>
    <s v="30-Jun-2026"/>
    <s v="Tuesday"/>
    <s v="Monthly - Tuesday"/>
    <s v="Monthly - Tuesday"/>
    <s v="Month+3 Expiry"/>
    <n v="2948"/>
    <n v="5.3138"/>
    <n v="0.1862"/>
  </r>
  <r>
    <s v="24-Mar-2026"/>
    <x v="1"/>
    <s v="Week4-Mar-2026"/>
    <x v="6"/>
    <s v="Q4FY26"/>
    <s v="29-Sep-2026"/>
    <s v="Tuesday"/>
    <s v="Monthly - Tuesday"/>
    <s v="Monthly - Tuesday"/>
    <s v="Month+6 Expiry"/>
    <n v="0"/>
    <n v="0"/>
    <n v="0"/>
  </r>
  <r>
    <s v="24-Mar-2026"/>
    <x v="1"/>
    <s v="Week4-Mar-2026"/>
    <x v="6"/>
    <s v="Q4FY26"/>
    <s v="29-Dec-2026"/>
    <s v="Tuesday"/>
    <s v="Monthly - Tuesday"/>
    <s v="Monthly - Tuesday"/>
    <s v="Month+9 Expiry"/>
    <n v="0"/>
    <n v="0"/>
    <n v="0"/>
  </r>
  <r>
    <s v="25-Mar-2026"/>
    <x v="2"/>
    <s v="Week4-Mar-2026"/>
    <x v="6"/>
    <s v="Q4FY26"/>
    <s v="30-Mar-2026"/>
    <s v="Monday"/>
    <s v="Monthly - Monday"/>
    <s v="Monthly - Monday"/>
    <s v="Same Month Expiry"/>
    <n v="4979362"/>
    <n v="8068.3544"/>
    <n v="61.4995"/>
  </r>
  <r>
    <s v="25-Mar-2026"/>
    <x v="2"/>
    <s v="Week4-Mar-2026"/>
    <x v="6"/>
    <s v="Q4FY26"/>
    <s v="28-Apr-2026"/>
    <s v="Tuesday"/>
    <s v="Monthly - Tuesday"/>
    <s v="Monthly - Tuesday"/>
    <s v="Month+1 Expiry"/>
    <n v="293040"/>
    <n v="492.2111"/>
    <n v="10.2792"/>
  </r>
  <r>
    <s v="25-Mar-2026"/>
    <x v="2"/>
    <s v="Week4-Mar-2026"/>
    <x v="6"/>
    <s v="Q4FY26"/>
    <s v="26-May-2026"/>
    <s v="Tuesday"/>
    <s v="Monthly - Tuesday"/>
    <s v="Monthly - Tuesday"/>
    <s v="Month+2 Expiry"/>
    <n v="14940"/>
    <n v="25.8194"/>
    <n v="0.6824"/>
  </r>
  <r>
    <s v="25-Mar-2026"/>
    <x v="2"/>
    <s v="Week4-Mar-2026"/>
    <x v="6"/>
    <s v="Q4FY26"/>
    <s v="30-Jun-2026"/>
    <s v="Tuesday"/>
    <s v="Monthly - Tuesday"/>
    <s v="Monthly - Tuesday"/>
    <s v="Month+3 Expiry"/>
    <n v="3858"/>
    <n v="7.075"/>
    <n v="0.3026"/>
  </r>
  <r>
    <s v="25-Mar-2026"/>
    <x v="2"/>
    <s v="Week4-Mar-2026"/>
    <x v="6"/>
    <s v="Q4FY26"/>
    <s v="29-Sep-2026"/>
    <s v="Tuesday"/>
    <s v="Monthly - Tuesday"/>
    <s v="Monthly - Tuesday"/>
    <s v="Month+6 Expiry"/>
    <n v="0"/>
    <n v="0"/>
    <n v="0"/>
  </r>
  <r>
    <s v="25-Mar-2026"/>
    <x v="2"/>
    <s v="Week4-Mar-2026"/>
    <x v="6"/>
    <s v="Q4FY26"/>
    <s v="29-Dec-2026"/>
    <s v="Tuesday"/>
    <s v="Monthly - Tuesday"/>
    <s v="Monthly - Tuesday"/>
    <s v="Month+9 Expiry"/>
    <n v="0"/>
    <n v="0"/>
    <n v="0"/>
  </r>
  <r>
    <s v="27-Mar-2026"/>
    <x v="4"/>
    <s v="Week4-Mar-2026"/>
    <x v="6"/>
    <s v="Q4FY26"/>
    <s v="30-Mar-2026"/>
    <s v="Monday"/>
    <s v="Monthly - Monday"/>
    <s v="Monthly - Monday"/>
    <s v="Same Month Expiry"/>
    <n v="9232979"/>
    <n v="14675.2802"/>
    <n v="87.6283"/>
  </r>
  <r>
    <s v="27-Mar-2026"/>
    <x v="4"/>
    <s v="Week4-Mar-2026"/>
    <x v="6"/>
    <s v="Q4FY26"/>
    <s v="28-Apr-2026"/>
    <s v="Tuesday"/>
    <s v="Monthly - Tuesday"/>
    <s v="Monthly - Tuesday"/>
    <s v="Month+1 Expiry"/>
    <n v="408018"/>
    <n v="694.7443"/>
    <n v="16.8435"/>
  </r>
  <r>
    <s v="27-Mar-2026"/>
    <x v="4"/>
    <s v="Week4-Mar-2026"/>
    <x v="6"/>
    <s v="Q4FY26"/>
    <s v="26-May-2026"/>
    <s v="Tuesday"/>
    <s v="Monthly - Tuesday"/>
    <s v="Monthly - Tuesday"/>
    <s v="Month+2 Expiry"/>
    <n v="15100"/>
    <n v="25.8884"/>
    <n v="0.6586"/>
  </r>
  <r>
    <s v="27-Mar-2026"/>
    <x v="4"/>
    <s v="Week4-Mar-2026"/>
    <x v="6"/>
    <s v="Q4FY26"/>
    <s v="30-Jun-2026"/>
    <s v="Tuesday"/>
    <s v="Monthly - Tuesday"/>
    <s v="Monthly - Tuesday"/>
    <s v="Month+3 Expiry"/>
    <n v="2727"/>
    <n v="4.8915"/>
    <n v="0.1474"/>
  </r>
  <r>
    <s v="27-Mar-2026"/>
    <x v="4"/>
    <s v="Week4-Mar-2026"/>
    <x v="6"/>
    <s v="Q4FY26"/>
    <s v="29-Sep-2026"/>
    <s v="Tuesday"/>
    <s v="Monthly - Tuesday"/>
    <s v="Monthly - Tuesday"/>
    <s v="Month+6 Expiry"/>
    <n v="0"/>
    <n v="0"/>
    <n v="0"/>
  </r>
  <r>
    <s v="27-Mar-2026"/>
    <x v="4"/>
    <s v="Week4-Mar-2026"/>
    <x v="6"/>
    <s v="Q4FY26"/>
    <s v="29-Dec-2026"/>
    <s v="Tuesday"/>
    <s v="Monthly - Tuesday"/>
    <s v="Monthly - Tuesday"/>
    <s v="Month+9 Expiry"/>
    <n v="0"/>
    <n v="0"/>
    <n v="0"/>
  </r>
  <r>
    <s v="30-Mar-2026"/>
    <x v="0"/>
    <s v="Week5-Mar-2026"/>
    <x v="6"/>
    <s v="Q4FY26"/>
    <s v="30-Mar-2026"/>
    <s v="Monday"/>
    <s v="Monthly - Monday"/>
    <s v="Monthly - Monday"/>
    <s v="Same Month Expiry"/>
    <n v="74523432"/>
    <n v="113487.0323"/>
    <n v="176.447"/>
  </r>
  <r>
    <s v="30-Mar-2026"/>
    <x v="0"/>
    <s v="Week5-Mar-2026"/>
    <x v="6"/>
    <s v="Q4FY26"/>
    <s v="28-Apr-2026"/>
    <s v="Tuesday"/>
    <s v="Monthly - Tuesday"/>
    <s v="Monthly - Tuesday"/>
    <s v="Month+1 Expiry"/>
    <n v="740519"/>
    <n v="1208.5879"/>
    <n v="29.2768"/>
  </r>
  <r>
    <s v="30-Mar-2026"/>
    <x v="0"/>
    <s v="Week5-Mar-2026"/>
    <x v="6"/>
    <s v="Q4FY26"/>
    <s v="26-May-2026"/>
    <s v="Tuesday"/>
    <s v="Monthly - Tuesday"/>
    <s v="Monthly - Tuesday"/>
    <s v="Month+2 Expiry"/>
    <n v="26898"/>
    <n v="45.4277"/>
    <n v="1.2522"/>
  </r>
  <r>
    <s v="30-Mar-2026"/>
    <x v="0"/>
    <s v="Week5-Mar-2026"/>
    <x v="6"/>
    <s v="Q4FY26"/>
    <s v="30-Jun-2026"/>
    <s v="Tuesday"/>
    <s v="Monthly - Tuesday"/>
    <s v="Monthly - Tuesday"/>
    <s v="Month+3 Expiry"/>
    <n v="4799"/>
    <n v="8.3141"/>
    <n v="0.2179"/>
  </r>
  <r>
    <s v="30-Mar-2026"/>
    <x v="0"/>
    <s v="Week5-Mar-2026"/>
    <x v="6"/>
    <s v="Q4FY26"/>
    <s v="29-Sep-2026"/>
    <s v="Tuesday"/>
    <s v="Monthly - Tuesday"/>
    <s v="Monthly - Tuesday"/>
    <s v="Month+6 Expiry"/>
    <n v="0"/>
    <n v="0"/>
    <n v="0"/>
  </r>
  <r>
    <s v="30-Mar-2026"/>
    <x v="0"/>
    <s v="Week5-Mar-2026"/>
    <x v="6"/>
    <s v="Q4FY26"/>
    <s v="29-Dec-2026"/>
    <s v="Tuesday"/>
    <s v="Monthly - Tuesday"/>
    <s v="Monthly - Tuesday"/>
    <s v="Month+9 Expiry"/>
    <n v="0"/>
    <n v="0"/>
    <n v="0"/>
  </r>
  <r>
    <s v="01-Apr-2026"/>
    <x v="2"/>
    <s v="Week1-Apr-2026"/>
    <x v="7"/>
    <s v="Q1FY27"/>
    <s v="28-Apr-2026"/>
    <s v="Tuesday"/>
    <s v="Monthly - Tuesday"/>
    <s v="Monthly - Tuesday"/>
    <s v="Same Month Expiry"/>
    <n v="1701252"/>
    <n v="2768.6102"/>
    <n v="47.8962"/>
  </r>
  <r>
    <s v="01-Apr-2026"/>
    <x v="2"/>
    <s v="Week1-Apr-2026"/>
    <x v="7"/>
    <s v="Q1FY27"/>
    <s v="26-May-2026"/>
    <s v="Tuesday"/>
    <s v="Monthly - Tuesday"/>
    <s v="Monthly - Tuesday"/>
    <s v="Month+1 Expiry"/>
    <n v="25312"/>
    <n v="42.4236"/>
    <n v="1.0649"/>
  </r>
  <r>
    <s v="01-Apr-2026"/>
    <x v="2"/>
    <s v="Week1-Apr-2026"/>
    <x v="7"/>
    <s v="Q1FY27"/>
    <s v="30-Jun-2026"/>
    <s v="Tuesday"/>
    <s v="Monthly - Tuesday"/>
    <s v="Monthly - Tuesday"/>
    <s v="Month+2 Expiry"/>
    <n v="5844"/>
    <n v="10.1244"/>
    <n v="0.2426"/>
  </r>
  <r>
    <s v="01-Apr-2026"/>
    <x v="2"/>
    <s v="Week1-Apr-2026"/>
    <x v="7"/>
    <s v="Q1FY27"/>
    <s v="29-Sep-2026"/>
    <s v="Tuesday"/>
    <s v="Monthly - Tuesday"/>
    <s v="Monthly - Tuesday"/>
    <s v="Month+5 Expiry"/>
    <n v="0"/>
    <n v="0"/>
    <n v="0"/>
  </r>
  <r>
    <s v="01-Apr-2026"/>
    <x v="2"/>
    <s v="Week1-Apr-2026"/>
    <x v="7"/>
    <s v="Q1FY27"/>
    <s v="29-Dec-2026"/>
    <s v="Tuesday"/>
    <s v="Monthly - Tuesday"/>
    <s v="Monthly - Tuesday"/>
    <s v="Month+8 Expiry"/>
    <n v="0"/>
    <n v="0"/>
    <n v="0"/>
  </r>
  <r>
    <s v="01-Apr-2026"/>
    <x v="2"/>
    <s v="Week1-Apr-2026"/>
    <x v="7"/>
    <s v="Q1FY27"/>
    <s v="30-Mar-2027"/>
    <s v="Tuesday"/>
    <s v="Monthly - Tuesday"/>
    <s v="Monthly - Tuesday"/>
    <s v="Month+11 Expiry"/>
    <n v="0"/>
    <n v="0"/>
    <n v="0"/>
  </r>
  <r>
    <s v="02-Apr-2026"/>
    <x v="3"/>
    <s v="Week1-Apr-2026"/>
    <x v="7"/>
    <s v="Q1FY27"/>
    <s v="28-Apr-2026"/>
    <s v="Tuesday"/>
    <s v="Monthly - Tuesday"/>
    <s v="Monthly - Tuesday"/>
    <s v="Same Month Expiry"/>
    <n v="1780823"/>
    <n v="2860.0896"/>
    <n v="51.781"/>
  </r>
  <r>
    <s v="02-Apr-2026"/>
    <x v="3"/>
    <s v="Week1-Apr-2026"/>
    <x v="7"/>
    <s v="Q1FY27"/>
    <s v="26-May-2026"/>
    <s v="Tuesday"/>
    <s v="Monthly - Tuesday"/>
    <s v="Monthly - Tuesday"/>
    <s v="Month+1 Expiry"/>
    <n v="29372"/>
    <n v="48.6742"/>
    <n v="1.062"/>
  </r>
  <r>
    <s v="02-Apr-2026"/>
    <x v="3"/>
    <s v="Week1-Apr-2026"/>
    <x v="7"/>
    <s v="Q1FY27"/>
    <s v="30-Jun-2026"/>
    <s v="Tuesday"/>
    <s v="Monthly - Tuesday"/>
    <s v="Monthly - Tuesday"/>
    <s v="Month+2 Expiry"/>
    <n v="5892"/>
    <n v="10.229"/>
    <n v="0.3898"/>
  </r>
  <r>
    <s v="02-Apr-2026"/>
    <x v="3"/>
    <s v="Week1-Apr-2026"/>
    <x v="7"/>
    <s v="Q1FY27"/>
    <s v="29-Sep-2026"/>
    <s v="Tuesday"/>
    <s v="Monthly - Tuesday"/>
    <s v="Monthly - Tuesday"/>
    <s v="Month+5 Expiry"/>
    <n v="0"/>
    <n v="0"/>
    <n v="0"/>
  </r>
  <r>
    <s v="02-Apr-2026"/>
    <x v="3"/>
    <s v="Week1-Apr-2026"/>
    <x v="7"/>
    <s v="Q1FY27"/>
    <s v="29-Dec-2026"/>
    <s v="Tuesday"/>
    <s v="Monthly - Tuesday"/>
    <s v="Monthly - Tuesday"/>
    <s v="Month+8 Expiry"/>
    <n v="0"/>
    <n v="0"/>
    <n v="0"/>
  </r>
  <r>
    <s v="02-Apr-2026"/>
    <x v="3"/>
    <s v="Week1-Apr-2026"/>
    <x v="7"/>
    <s v="Q1FY27"/>
    <s v="30-Mar-2027"/>
    <s v="Tuesday"/>
    <s v="Monthly - Tuesday"/>
    <s v="Monthly - Tuesday"/>
    <s v="Month+11 Expiry"/>
    <n v="0"/>
    <n v="0"/>
    <n v="0"/>
  </r>
  <r>
    <s v="06-Apr-2026"/>
    <x v="0"/>
    <s v="Week1-Apr-2026"/>
    <x v="7"/>
    <s v="Q1FY27"/>
    <s v="28-Apr-2026"/>
    <s v="Tuesday"/>
    <s v="Monthly - Tuesday"/>
    <s v="Monthly - Tuesday"/>
    <s v="Same Month Expiry"/>
    <n v="1792247"/>
    <n v="2892.4876"/>
    <n v="51.2567"/>
  </r>
  <r>
    <s v="06-Apr-2026"/>
    <x v="0"/>
    <s v="Week1-Apr-2026"/>
    <x v="7"/>
    <s v="Q1FY27"/>
    <s v="26-May-2026"/>
    <s v="Tuesday"/>
    <s v="Monthly - Tuesday"/>
    <s v="Monthly - Tuesday"/>
    <s v="Month+1 Expiry"/>
    <n v="28665"/>
    <n v="47.6101"/>
    <n v="0.9415"/>
  </r>
  <r>
    <s v="06-Apr-2026"/>
    <x v="0"/>
    <s v="Week1-Apr-2026"/>
    <x v="7"/>
    <s v="Q1FY27"/>
    <s v="30-Jun-2026"/>
    <s v="Tuesday"/>
    <s v="Monthly - Tuesday"/>
    <s v="Monthly - Tuesday"/>
    <s v="Month+2 Expiry"/>
    <n v="8025"/>
    <n v="13.5914"/>
    <n v="0.3745"/>
  </r>
  <r>
    <s v="06-Apr-2026"/>
    <x v="0"/>
    <s v="Week1-Apr-2026"/>
    <x v="7"/>
    <s v="Q1FY27"/>
    <s v="29-Sep-2026"/>
    <s v="Tuesday"/>
    <s v="Monthly - Tuesday"/>
    <s v="Monthly - Tuesday"/>
    <s v="Month+5 Expiry"/>
    <n v="0"/>
    <n v="0"/>
    <n v="0"/>
  </r>
  <r>
    <s v="06-Apr-2026"/>
    <x v="0"/>
    <s v="Week1-Apr-2026"/>
    <x v="7"/>
    <s v="Q1FY27"/>
    <s v="29-Dec-2026"/>
    <s v="Tuesday"/>
    <s v="Monthly - Tuesday"/>
    <s v="Monthly - Tuesday"/>
    <s v="Month+8 Expiry"/>
    <n v="0"/>
    <n v="0"/>
    <n v="0"/>
  </r>
  <r>
    <s v="06-Apr-2026"/>
    <x v="0"/>
    <s v="Week1-Apr-2026"/>
    <x v="7"/>
    <s v="Q1FY27"/>
    <s v="30-Mar-2027"/>
    <s v="Tuesday"/>
    <s v="Monthly - Tuesday"/>
    <s v="Monthly - Tuesday"/>
    <s v="Month+11 Expiry"/>
    <n v="0"/>
    <n v="0"/>
    <n v="0"/>
  </r>
  <r>
    <s v="07-Apr-2026"/>
    <x v="1"/>
    <s v="Week1-Apr-2026"/>
    <x v="7"/>
    <s v="Q1FY27"/>
    <s v="28-Apr-2026"/>
    <s v="Tuesday"/>
    <s v="Monthly - Tuesday"/>
    <s v="Monthly - Tuesday"/>
    <s v="Same Month Expiry"/>
    <n v="1394871"/>
    <n v="2256.673"/>
    <n v="36.8649"/>
  </r>
  <r>
    <s v="07-Apr-2026"/>
    <x v="1"/>
    <s v="Week1-Apr-2026"/>
    <x v="7"/>
    <s v="Q1FY27"/>
    <s v="26-May-2026"/>
    <s v="Tuesday"/>
    <s v="Monthly - Tuesday"/>
    <s v="Monthly - Tuesday"/>
    <s v="Month+1 Expiry"/>
    <n v="23434"/>
    <n v="39.4802"/>
    <n v="0.6109"/>
  </r>
  <r>
    <s v="07-Apr-2026"/>
    <x v="1"/>
    <s v="Week1-Apr-2026"/>
    <x v="7"/>
    <s v="Q1FY27"/>
    <s v="30-Jun-2026"/>
    <s v="Tuesday"/>
    <s v="Monthly - Tuesday"/>
    <s v="Monthly - Tuesday"/>
    <s v="Month+2 Expiry"/>
    <n v="5400"/>
    <n v="9.161199999999999"/>
    <n v="0.221"/>
  </r>
  <r>
    <s v="07-Apr-2026"/>
    <x v="1"/>
    <s v="Week1-Apr-2026"/>
    <x v="7"/>
    <s v="Q1FY27"/>
    <s v="29-Sep-2026"/>
    <s v="Tuesday"/>
    <s v="Monthly - Tuesday"/>
    <s v="Monthly - Tuesday"/>
    <s v="Month+5 Expiry"/>
    <n v="0"/>
    <n v="0"/>
    <n v="0"/>
  </r>
  <r>
    <s v="07-Apr-2026"/>
    <x v="1"/>
    <s v="Week1-Apr-2026"/>
    <x v="7"/>
    <s v="Q1FY27"/>
    <s v="29-Dec-2026"/>
    <s v="Tuesday"/>
    <s v="Monthly - Tuesday"/>
    <s v="Monthly - Tuesday"/>
    <s v="Month+8 Expiry"/>
    <n v="0"/>
    <n v="0"/>
    <n v="0"/>
  </r>
  <r>
    <s v="07-Apr-2026"/>
    <x v="1"/>
    <s v="Week1-Apr-2026"/>
    <x v="7"/>
    <s v="Q1FY27"/>
    <s v="30-Mar-2027"/>
    <s v="Tuesday"/>
    <s v="Monthly - Tuesday"/>
    <s v="Monthly - Tuesday"/>
    <s v="Month+11 Expiry"/>
    <n v="0"/>
    <n v="0"/>
    <n v="0"/>
  </r>
  <r>
    <s v="08-Apr-2026"/>
    <x v="2"/>
    <s v="Week2-Apr-2026"/>
    <x v="7"/>
    <s v="Q1FY27"/>
    <s v="28-Apr-2026"/>
    <s v="Tuesday"/>
    <s v="Monthly - Tuesday"/>
    <s v="Monthly - Tuesday"/>
    <s v="Same Month Expiry"/>
    <n v="2950592"/>
    <n v="4932.6234"/>
    <n v="53.2015"/>
  </r>
  <r>
    <s v="08-Apr-2026"/>
    <x v="2"/>
    <s v="Week2-Apr-2026"/>
    <x v="7"/>
    <s v="Q1FY27"/>
    <s v="26-May-2026"/>
    <s v="Tuesday"/>
    <s v="Monthly - Tuesday"/>
    <s v="Monthly - Tuesday"/>
    <s v="Month+1 Expiry"/>
    <n v="81961"/>
    <n v="140.1505"/>
    <n v="2.5247"/>
  </r>
  <r>
    <s v="08-Apr-2026"/>
    <x v="2"/>
    <s v="Week2-Apr-2026"/>
    <x v="7"/>
    <s v="Q1FY27"/>
    <s v="30-Jun-2026"/>
    <s v="Tuesday"/>
    <s v="Monthly - Tuesday"/>
    <s v="Monthly - Tuesday"/>
    <s v="Month+2 Expiry"/>
    <n v="20085"/>
    <n v="33.586"/>
    <n v="0.6254999999999999"/>
  </r>
  <r>
    <s v="08-Apr-2026"/>
    <x v="2"/>
    <s v="Week2-Apr-2026"/>
    <x v="7"/>
    <s v="Q1FY27"/>
    <s v="29-Sep-2026"/>
    <s v="Tuesday"/>
    <s v="Monthly - Tuesday"/>
    <s v="Monthly - Tuesday"/>
    <s v="Month+5 Expiry"/>
    <n v="0"/>
    <n v="0"/>
    <n v="0"/>
  </r>
  <r>
    <s v="08-Apr-2026"/>
    <x v="2"/>
    <s v="Week2-Apr-2026"/>
    <x v="7"/>
    <s v="Q1FY27"/>
    <s v="29-Dec-2026"/>
    <s v="Tuesday"/>
    <s v="Monthly - Tuesday"/>
    <s v="Monthly - Tuesday"/>
    <s v="Month+8 Expiry"/>
    <n v="0"/>
    <n v="0"/>
    <n v="0"/>
  </r>
  <r>
    <s v="08-Apr-2026"/>
    <x v="2"/>
    <s v="Week2-Apr-2026"/>
    <x v="7"/>
    <s v="Q1FY27"/>
    <s v="30-Mar-2027"/>
    <s v="Tuesday"/>
    <s v="Monthly - Tuesday"/>
    <s v="Monthly - Tuesday"/>
    <s v="Month+11 Expiry"/>
    <n v="0"/>
    <n v="0"/>
    <n v="0"/>
  </r>
  <r>
    <s v="09-Apr-2026"/>
    <x v="3"/>
    <s v="Week2-Apr-2026"/>
    <x v="7"/>
    <s v="Q1FY27"/>
    <s v="28-Apr-2026"/>
    <s v="Tuesday"/>
    <s v="Monthly - Tuesday"/>
    <s v="Monthly - Tuesday"/>
    <s v="Same Month Expiry"/>
    <n v="2260289"/>
    <n v="3792.7789"/>
    <n v="47.6055"/>
  </r>
  <r>
    <s v="09-Apr-2026"/>
    <x v="3"/>
    <s v="Week2-Apr-2026"/>
    <x v="7"/>
    <s v="Q1FY27"/>
    <s v="26-May-2026"/>
    <s v="Tuesday"/>
    <s v="Monthly - Tuesday"/>
    <s v="Monthly - Tuesday"/>
    <s v="Month+1 Expiry"/>
    <n v="64228"/>
    <n v="109.9322"/>
    <n v="2.1218"/>
  </r>
  <r>
    <s v="09-Apr-2026"/>
    <x v="3"/>
    <s v="Week2-Apr-2026"/>
    <x v="7"/>
    <s v="Q1FY27"/>
    <s v="30-Jun-2026"/>
    <s v="Tuesday"/>
    <s v="Monthly - Tuesday"/>
    <s v="Monthly - Tuesday"/>
    <s v="Month+2 Expiry"/>
    <n v="14046"/>
    <n v="23.0288"/>
    <n v="0.4037"/>
  </r>
  <r>
    <s v="09-Apr-2026"/>
    <x v="3"/>
    <s v="Week2-Apr-2026"/>
    <x v="7"/>
    <s v="Q1FY27"/>
    <s v="29-Sep-2026"/>
    <s v="Tuesday"/>
    <s v="Monthly - Tuesday"/>
    <s v="Monthly - Tuesday"/>
    <s v="Month+5 Expiry"/>
    <n v="0"/>
    <n v="0"/>
    <n v="0"/>
  </r>
  <r>
    <s v="09-Apr-2026"/>
    <x v="3"/>
    <s v="Week2-Apr-2026"/>
    <x v="7"/>
    <s v="Q1FY27"/>
    <s v="29-Dec-2026"/>
    <s v="Tuesday"/>
    <s v="Monthly - Tuesday"/>
    <s v="Monthly - Tuesday"/>
    <s v="Month+8 Expiry"/>
    <n v="0"/>
    <n v="0"/>
    <n v="0"/>
  </r>
  <r>
    <s v="09-Apr-2026"/>
    <x v="3"/>
    <s v="Week2-Apr-2026"/>
    <x v="7"/>
    <s v="Q1FY27"/>
    <s v="30-Mar-2027"/>
    <s v="Tuesday"/>
    <s v="Monthly - Tuesday"/>
    <s v="Monthly - Tuesday"/>
    <s v="Month+11 Expiry"/>
    <n v="0"/>
    <n v="0"/>
    <n v="0"/>
  </r>
  <r>
    <s v="10-Apr-2026"/>
    <x v="4"/>
    <s v="Week2-Apr-2026"/>
    <x v="7"/>
    <s v="Q1FY27"/>
    <s v="28-Apr-2026"/>
    <s v="Tuesday"/>
    <s v="Monthly - Tuesday"/>
    <s v="Monthly - Tuesday"/>
    <s v="Same Month Expiry"/>
    <n v="2333048"/>
    <n v="3937.8099"/>
    <n v="42.2367"/>
  </r>
  <r>
    <s v="10-Apr-2026"/>
    <x v="4"/>
    <s v="Week2-Apr-2026"/>
    <x v="7"/>
    <s v="Q1FY27"/>
    <s v="26-May-2026"/>
    <s v="Tuesday"/>
    <s v="Monthly - Tuesday"/>
    <s v="Monthly - Tuesday"/>
    <s v="Month+1 Expiry"/>
    <n v="67641"/>
    <n v="116.6531"/>
    <n v="2.2397"/>
  </r>
  <r>
    <s v="10-Apr-2026"/>
    <x v="4"/>
    <s v="Week2-Apr-2026"/>
    <x v="7"/>
    <s v="Q1FY27"/>
    <s v="30-Jun-2026"/>
    <s v="Tuesday"/>
    <s v="Monthly - Tuesday"/>
    <s v="Monthly - Tuesday"/>
    <s v="Month+2 Expiry"/>
    <n v="7886"/>
    <n v="13.6757"/>
    <n v="0.2506"/>
  </r>
  <r>
    <s v="10-Apr-2026"/>
    <x v="4"/>
    <s v="Week2-Apr-2026"/>
    <x v="7"/>
    <s v="Q1FY27"/>
    <s v="29-Sep-2026"/>
    <s v="Tuesday"/>
    <s v="Monthly - Tuesday"/>
    <s v="Monthly - Tuesday"/>
    <s v="Month+5 Expiry"/>
    <n v="0"/>
    <n v="0"/>
    <n v="0"/>
  </r>
  <r>
    <s v="10-Apr-2026"/>
    <x v="4"/>
    <s v="Week2-Apr-2026"/>
    <x v="7"/>
    <s v="Q1FY27"/>
    <s v="29-Dec-2026"/>
    <s v="Tuesday"/>
    <s v="Monthly - Tuesday"/>
    <s v="Monthly - Tuesday"/>
    <s v="Month+8 Expiry"/>
    <n v="0"/>
    <n v="0"/>
    <n v="0"/>
  </r>
  <r>
    <s v="10-Apr-2026"/>
    <x v="4"/>
    <s v="Week2-Apr-2026"/>
    <x v="7"/>
    <s v="Q1FY27"/>
    <s v="30-Mar-2027"/>
    <s v="Tuesday"/>
    <s v="Monthly - Tuesday"/>
    <s v="Monthly - Tuesday"/>
    <s v="Month+11 Expiry"/>
    <n v="0"/>
    <n v="0"/>
    <n v="0"/>
  </r>
  <r>
    <s v="13-Apr-2026"/>
    <x v="0"/>
    <s v="Week2-Apr-2026"/>
    <x v="7"/>
    <s v="Q1FY27"/>
    <s v="28-Apr-2026"/>
    <s v="Tuesday"/>
    <s v="Monthly - Tuesday"/>
    <s v="Monthly - Tuesday"/>
    <s v="Same Month Expiry"/>
    <n v="2385883"/>
    <n v="4002.7958"/>
    <n v="42.8004"/>
  </r>
  <r>
    <s v="13-Apr-2026"/>
    <x v="0"/>
    <s v="Week2-Apr-2026"/>
    <x v="7"/>
    <s v="Q1FY27"/>
    <s v="26-May-2026"/>
    <s v="Tuesday"/>
    <s v="Monthly - Tuesday"/>
    <s v="Monthly - Tuesday"/>
    <s v="Month+1 Expiry"/>
    <n v="135820"/>
    <n v="239.7971"/>
    <n v="3.3326"/>
  </r>
  <r>
    <s v="13-Apr-2026"/>
    <x v="0"/>
    <s v="Week2-Apr-2026"/>
    <x v="7"/>
    <s v="Q1FY27"/>
    <s v="30-Jun-2026"/>
    <s v="Tuesday"/>
    <s v="Monthly - Tuesday"/>
    <s v="Monthly - Tuesday"/>
    <s v="Month+2 Expiry"/>
    <n v="13438"/>
    <n v="23.3437"/>
    <n v="0.396"/>
  </r>
  <r>
    <s v="13-Apr-2026"/>
    <x v="0"/>
    <s v="Week2-Apr-2026"/>
    <x v="7"/>
    <s v="Q1FY27"/>
    <s v="29-Sep-2026"/>
    <s v="Tuesday"/>
    <s v="Monthly - Tuesday"/>
    <s v="Monthly - Tuesday"/>
    <s v="Month+5 Expiry"/>
    <n v="0"/>
    <n v="0"/>
    <n v="0"/>
  </r>
  <r>
    <s v="13-Apr-2026"/>
    <x v="0"/>
    <s v="Week2-Apr-2026"/>
    <x v="7"/>
    <s v="Q1FY27"/>
    <s v="29-Dec-2026"/>
    <s v="Tuesday"/>
    <s v="Monthly - Tuesday"/>
    <s v="Monthly - Tuesday"/>
    <s v="Month+8 Expiry"/>
    <n v="0"/>
    <n v="0"/>
    <n v="0"/>
  </r>
  <r>
    <s v="13-Apr-2026"/>
    <x v="0"/>
    <s v="Week2-Apr-2026"/>
    <x v="7"/>
    <s v="Q1FY27"/>
    <s v="30-Mar-2027"/>
    <s v="Tuesday"/>
    <s v="Monthly - Tuesday"/>
    <s v="Monthly - Tuesday"/>
    <s v="Month+11 Expiry"/>
    <n v="0"/>
    <n v="0"/>
    <n v="0"/>
  </r>
  <r>
    <s v="15-Apr-2026"/>
    <x v="2"/>
    <s v="Week3-Apr-2026"/>
    <x v="7"/>
    <s v="Q1FY27"/>
    <s v="28-Apr-2026"/>
    <s v="Tuesday"/>
    <s v="Monthly - Tuesday"/>
    <s v="Monthly - Tuesday"/>
    <s v="Same Month Expiry"/>
    <n v="2656328"/>
    <n v="4481.5077"/>
    <n v="41.7455"/>
  </r>
  <r>
    <s v="15-Apr-2026"/>
    <x v="2"/>
    <s v="Week3-Apr-2026"/>
    <x v="7"/>
    <s v="Q1FY27"/>
    <s v="26-May-2026"/>
    <s v="Tuesday"/>
    <s v="Monthly - Tuesday"/>
    <s v="Monthly - Tuesday"/>
    <s v="Month+1 Expiry"/>
    <n v="147651"/>
    <n v="258.661"/>
    <n v="4.9611"/>
  </r>
  <r>
    <s v="15-Apr-2026"/>
    <x v="2"/>
    <s v="Week3-Apr-2026"/>
    <x v="7"/>
    <s v="Q1FY27"/>
    <s v="30-Jun-2026"/>
    <s v="Tuesday"/>
    <s v="Monthly - Tuesday"/>
    <s v="Monthly - Tuesday"/>
    <s v="Month+2 Expiry"/>
    <n v="12414"/>
    <n v="21.1937"/>
    <n v="0.3531"/>
  </r>
  <r>
    <s v="15-Apr-2026"/>
    <x v="2"/>
    <s v="Week3-Apr-2026"/>
    <x v="7"/>
    <s v="Q1FY27"/>
    <s v="29-Sep-2026"/>
    <s v="Tuesday"/>
    <s v="Monthly - Tuesday"/>
    <s v="Monthly - Tuesday"/>
    <s v="Month+5 Expiry"/>
    <n v="0"/>
    <n v="0"/>
    <n v="0"/>
  </r>
  <r>
    <s v="15-Apr-2026"/>
    <x v="2"/>
    <s v="Week3-Apr-2026"/>
    <x v="7"/>
    <s v="Q1FY27"/>
    <s v="29-Dec-2026"/>
    <s v="Tuesday"/>
    <s v="Monthly - Tuesday"/>
    <s v="Monthly - Tuesday"/>
    <s v="Month+8 Expiry"/>
    <n v="0"/>
    <n v="0"/>
    <n v="0"/>
  </r>
  <r>
    <s v="15-Apr-2026"/>
    <x v="2"/>
    <s v="Week3-Apr-2026"/>
    <x v="7"/>
    <s v="Q1FY27"/>
    <s v="30-Mar-2027"/>
    <s v="Tuesday"/>
    <s v="Monthly - Tuesday"/>
    <s v="Monthly - Tuesday"/>
    <s v="Month+11 Expiry"/>
    <n v="0"/>
    <n v="0"/>
    <n v="0"/>
  </r>
  <r>
    <s v="16-Apr-2026"/>
    <x v="3"/>
    <s v="Week3-Apr-2026"/>
    <x v="7"/>
    <s v="Q1FY27"/>
    <s v="28-Apr-2026"/>
    <s v="Tuesday"/>
    <s v="Monthly - Tuesday"/>
    <s v="Monthly - Tuesday"/>
    <s v="Same Month Expiry"/>
    <n v="2664316"/>
    <n v="4509.677"/>
    <n v="41.3777"/>
  </r>
  <r>
    <s v="16-Apr-2026"/>
    <x v="3"/>
    <s v="Week3-Apr-2026"/>
    <x v="7"/>
    <s v="Q1FY27"/>
    <s v="26-May-2026"/>
    <s v="Tuesday"/>
    <s v="Monthly - Tuesday"/>
    <s v="Monthly - Tuesday"/>
    <s v="Month+1 Expiry"/>
    <n v="117117"/>
    <n v="207.0371"/>
    <n v="3.2896"/>
  </r>
  <r>
    <s v="16-Apr-2026"/>
    <x v="3"/>
    <s v="Week3-Apr-2026"/>
    <x v="7"/>
    <s v="Q1FY27"/>
    <s v="30-Jun-2026"/>
    <s v="Tuesday"/>
    <s v="Monthly - Tuesday"/>
    <s v="Monthly - Tuesday"/>
    <s v="Month+2 Expiry"/>
    <n v="9648"/>
    <n v="16.7656"/>
    <n v="0.2589"/>
  </r>
  <r>
    <s v="16-Apr-2026"/>
    <x v="3"/>
    <s v="Week3-Apr-2026"/>
    <x v="7"/>
    <s v="Q1FY27"/>
    <s v="29-Sep-2026"/>
    <s v="Tuesday"/>
    <s v="Monthly - Tuesday"/>
    <s v="Monthly - Tuesday"/>
    <s v="Month+5 Expiry"/>
    <n v="0"/>
    <n v="0"/>
    <n v="0"/>
  </r>
  <r>
    <s v="16-Apr-2026"/>
    <x v="3"/>
    <s v="Week3-Apr-2026"/>
    <x v="7"/>
    <s v="Q1FY27"/>
    <s v="29-Dec-2026"/>
    <s v="Tuesday"/>
    <s v="Monthly - Tuesday"/>
    <s v="Monthly - Tuesday"/>
    <s v="Month+8 Expiry"/>
    <n v="0"/>
    <n v="0"/>
    <n v="0"/>
  </r>
  <r>
    <s v="16-Apr-2026"/>
    <x v="3"/>
    <s v="Week3-Apr-2026"/>
    <x v="7"/>
    <s v="Q1FY27"/>
    <s v="30-Mar-2027"/>
    <s v="Tuesday"/>
    <s v="Monthly - Tuesday"/>
    <s v="Monthly - Tuesday"/>
    <s v="Month+11 Expiry"/>
    <n v="0"/>
    <n v="0"/>
    <n v="0"/>
  </r>
  <r>
    <s v="17-Apr-2026"/>
    <x v="4"/>
    <s v="Week3-Apr-2026"/>
    <x v="7"/>
    <s v="Q1FY27"/>
    <s v="28-Apr-2026"/>
    <s v="Tuesday"/>
    <s v="Monthly - Tuesday"/>
    <s v="Monthly - Tuesday"/>
    <s v="Same Month Expiry"/>
    <n v="2695208"/>
    <n v="4543.2434"/>
    <n v="35.7619"/>
  </r>
  <r>
    <s v="17-Apr-2026"/>
    <x v="4"/>
    <s v="Week3-Apr-2026"/>
    <x v="7"/>
    <s v="Q1FY27"/>
    <s v="26-May-2026"/>
    <s v="Tuesday"/>
    <s v="Monthly - Tuesday"/>
    <s v="Monthly - Tuesday"/>
    <s v="Month+1 Expiry"/>
    <n v="132661"/>
    <n v="232.1285"/>
    <n v="3.1768"/>
  </r>
  <r>
    <s v="17-Apr-2026"/>
    <x v="4"/>
    <s v="Week3-Apr-2026"/>
    <x v="7"/>
    <s v="Q1FY27"/>
    <s v="30-Jun-2026"/>
    <s v="Tuesday"/>
    <s v="Monthly - Tuesday"/>
    <s v="Monthly - Tuesday"/>
    <s v="Month+2 Expiry"/>
    <n v="10165"/>
    <n v="17.4921"/>
    <n v="0.2711"/>
  </r>
  <r>
    <s v="17-Apr-2026"/>
    <x v="4"/>
    <s v="Week3-Apr-2026"/>
    <x v="7"/>
    <s v="Q1FY27"/>
    <s v="29-Sep-2026"/>
    <s v="Tuesday"/>
    <s v="Monthly - Tuesday"/>
    <s v="Monthly - Tuesday"/>
    <s v="Month+5 Expiry"/>
    <n v="0"/>
    <n v="0"/>
    <n v="0"/>
  </r>
  <r>
    <s v="17-Apr-2026"/>
    <x v="4"/>
    <s v="Week3-Apr-2026"/>
    <x v="7"/>
    <s v="Q1FY27"/>
    <s v="29-Dec-2026"/>
    <s v="Tuesday"/>
    <s v="Monthly - Tuesday"/>
    <s v="Monthly - Tuesday"/>
    <s v="Month+8 Expiry"/>
    <n v="0"/>
    <n v="0"/>
    <n v="0"/>
  </r>
  <r>
    <s v="17-Apr-2026"/>
    <x v="4"/>
    <s v="Week3-Apr-2026"/>
    <x v="7"/>
    <s v="Q1FY27"/>
    <s v="30-Mar-2027"/>
    <s v="Tuesday"/>
    <s v="Monthly - Tuesday"/>
    <s v="Monthly - Tuesday"/>
    <s v="Month+11 Expiry"/>
    <n v="0"/>
    <n v="0"/>
    <n v="0"/>
  </r>
  <r>
    <s v="20-Apr-2026"/>
    <x v="0"/>
    <s v="Week3-Apr-2026"/>
    <x v="7"/>
    <s v="Q1FY27"/>
    <s v="28-Apr-2026"/>
    <s v="Tuesday"/>
    <s v="Monthly - Tuesday"/>
    <s v="Monthly - Tuesday"/>
    <s v="Same Month Expiry"/>
    <n v="3666502"/>
    <n v="6226.2013"/>
    <n v="44.2092"/>
  </r>
  <r>
    <s v="20-Apr-2026"/>
    <x v="0"/>
    <s v="Week3-Apr-2026"/>
    <x v="7"/>
    <s v="Q1FY27"/>
    <s v="26-May-2026"/>
    <s v="Tuesday"/>
    <s v="Monthly - Tuesday"/>
    <s v="Monthly - Tuesday"/>
    <s v="Month+1 Expiry"/>
    <n v="180150"/>
    <n v="314.8038"/>
    <n v="3.9954"/>
  </r>
  <r>
    <s v="20-Apr-2026"/>
    <x v="0"/>
    <s v="Week3-Apr-2026"/>
    <x v="7"/>
    <s v="Q1FY27"/>
    <s v="30-Jun-2026"/>
    <s v="Tuesday"/>
    <s v="Monthly - Tuesday"/>
    <s v="Monthly - Tuesday"/>
    <s v="Month+2 Expiry"/>
    <n v="15269"/>
    <n v="26.7854"/>
    <n v="0.5145"/>
  </r>
  <r>
    <s v="20-Apr-2026"/>
    <x v="0"/>
    <s v="Week3-Apr-2026"/>
    <x v="7"/>
    <s v="Q1FY27"/>
    <s v="29-Sep-2026"/>
    <s v="Tuesday"/>
    <s v="Monthly - Tuesday"/>
    <s v="Monthly - Tuesday"/>
    <s v="Month+5 Expiry"/>
    <n v="0"/>
    <n v="0"/>
    <n v="0"/>
  </r>
  <r>
    <s v="20-Apr-2026"/>
    <x v="0"/>
    <s v="Week3-Apr-2026"/>
    <x v="7"/>
    <s v="Q1FY27"/>
    <s v="29-Dec-2026"/>
    <s v="Tuesday"/>
    <s v="Monthly - Tuesday"/>
    <s v="Monthly - Tuesday"/>
    <s v="Month+8 Expiry"/>
    <n v="0"/>
    <n v="0"/>
    <n v="0"/>
  </r>
  <r>
    <s v="20-Apr-2026"/>
    <x v="0"/>
    <s v="Week3-Apr-2026"/>
    <x v="7"/>
    <s v="Q1FY27"/>
    <s v="30-Mar-2027"/>
    <s v="Tuesday"/>
    <s v="Monthly - Tuesday"/>
    <s v="Monthly - Tuesday"/>
    <s v="Month+11 Expiry"/>
    <n v="0"/>
    <n v="0"/>
    <n v="0"/>
  </r>
  <r>
    <s v="21-Apr-2026"/>
    <x v="1"/>
    <s v="Week3-Apr-2026"/>
    <x v="7"/>
    <s v="Q1FY27"/>
    <s v="28-Apr-2026"/>
    <s v="Tuesday"/>
    <s v="Monthly - Tuesday"/>
    <s v="Monthly - Tuesday"/>
    <s v="Same Month Expiry"/>
    <n v="2989722"/>
    <n v="5064.6264"/>
    <n v="33.9211"/>
  </r>
  <r>
    <s v="21-Apr-2026"/>
    <x v="1"/>
    <s v="Week3-Apr-2026"/>
    <x v="7"/>
    <s v="Q1FY27"/>
    <s v="26-May-2026"/>
    <s v="Tuesday"/>
    <s v="Monthly - Tuesday"/>
    <s v="Monthly - Tuesday"/>
    <s v="Month+1 Expiry"/>
    <n v="179279"/>
    <n v="313.5534"/>
    <n v="4.1459"/>
  </r>
  <r>
    <s v="21-Apr-2026"/>
    <x v="1"/>
    <s v="Week3-Apr-2026"/>
    <x v="7"/>
    <s v="Q1FY27"/>
    <s v="30-Jun-2026"/>
    <s v="Tuesday"/>
    <s v="Monthly - Tuesday"/>
    <s v="Monthly - Tuesday"/>
    <s v="Month+2 Expiry"/>
    <n v="12233"/>
    <n v="21.1865"/>
    <n v="0.3737"/>
  </r>
  <r>
    <s v="21-Apr-2026"/>
    <x v="1"/>
    <s v="Week3-Apr-2026"/>
    <x v="7"/>
    <s v="Q1FY27"/>
    <s v="29-Sep-2026"/>
    <s v="Tuesday"/>
    <s v="Monthly - Tuesday"/>
    <s v="Monthly - Tuesday"/>
    <s v="Month+5 Expiry"/>
    <n v="0"/>
    <n v="0"/>
    <n v="0"/>
  </r>
  <r>
    <s v="21-Apr-2026"/>
    <x v="1"/>
    <s v="Week3-Apr-2026"/>
    <x v="7"/>
    <s v="Q1FY27"/>
    <s v="29-Dec-2026"/>
    <s v="Tuesday"/>
    <s v="Monthly - Tuesday"/>
    <s v="Monthly - Tuesday"/>
    <s v="Month+8 Expiry"/>
    <n v="0"/>
    <n v="0"/>
    <n v="0"/>
  </r>
  <r>
    <s v="21-Apr-2026"/>
    <x v="1"/>
    <s v="Week3-Apr-2026"/>
    <x v="7"/>
    <s v="Q1FY27"/>
    <s v="30-Mar-2027"/>
    <s v="Tuesday"/>
    <s v="Monthly - Tuesday"/>
    <s v="Monthly - Tuesday"/>
    <s v="Month+11 Expiry"/>
    <n v="0"/>
    <n v="0"/>
    <n v="0"/>
  </r>
  <r>
    <s v="22-Apr-2026"/>
    <x v="2"/>
    <s v="Week4-Apr-2026"/>
    <x v="7"/>
    <s v="Q1FY27"/>
    <s v="28-Apr-2026"/>
    <s v="Tuesday"/>
    <s v="Monthly - Tuesday"/>
    <s v="Monthly - Tuesday"/>
    <s v="Same Month Expiry"/>
    <n v="4046063"/>
    <n v="6912.3695"/>
    <n v="41.6802"/>
  </r>
  <r>
    <s v="22-Apr-2026"/>
    <x v="2"/>
    <s v="Week4-Apr-2026"/>
    <x v="7"/>
    <s v="Q1FY27"/>
    <s v="26-May-2026"/>
    <s v="Tuesday"/>
    <s v="Monthly - Tuesday"/>
    <s v="Monthly - Tuesday"/>
    <s v="Month+1 Expiry"/>
    <n v="177749"/>
    <n v="307.5002"/>
    <n v="3.9547"/>
  </r>
  <r>
    <s v="22-Apr-2026"/>
    <x v="2"/>
    <s v="Week4-Apr-2026"/>
    <x v="7"/>
    <s v="Q1FY27"/>
    <s v="30-Jun-2026"/>
    <s v="Tuesday"/>
    <s v="Monthly - Tuesday"/>
    <s v="Monthly - Tuesday"/>
    <s v="Month+2 Expiry"/>
    <n v="9273"/>
    <n v="16.1406"/>
    <n v="0.2844"/>
  </r>
  <r>
    <s v="22-Apr-2026"/>
    <x v="2"/>
    <s v="Week4-Apr-2026"/>
    <x v="7"/>
    <s v="Q1FY27"/>
    <s v="29-Sep-2026"/>
    <s v="Tuesday"/>
    <s v="Monthly - Tuesday"/>
    <s v="Monthly - Tuesday"/>
    <s v="Month+5 Expiry"/>
    <n v="31"/>
    <n v="0.0579"/>
    <n v="0.0017"/>
  </r>
  <r>
    <s v="22-Apr-2026"/>
    <x v="2"/>
    <s v="Week4-Apr-2026"/>
    <x v="7"/>
    <s v="Q1FY27"/>
    <s v="29-Dec-2026"/>
    <s v="Tuesday"/>
    <s v="Monthly - Tuesday"/>
    <s v="Monthly - Tuesday"/>
    <s v="Month+8 Expiry"/>
    <n v="0"/>
    <n v="0"/>
    <n v="0"/>
  </r>
  <r>
    <s v="22-Apr-2026"/>
    <x v="2"/>
    <s v="Week4-Apr-2026"/>
    <x v="7"/>
    <s v="Q1FY27"/>
    <s v="30-Mar-2027"/>
    <s v="Tuesday"/>
    <s v="Monthly - Tuesday"/>
    <s v="Monthly - Tuesday"/>
    <s v="Month+11 Expiry"/>
    <n v="0"/>
    <n v="0"/>
    <n v="0"/>
  </r>
  <r>
    <s v="23-Apr-2026"/>
    <x v="3"/>
    <s v="Week4-Apr-2026"/>
    <x v="7"/>
    <s v="Q1FY27"/>
    <s v="28-Apr-2026"/>
    <s v="Tuesday"/>
    <s v="Monthly - Tuesday"/>
    <s v="Monthly - Tuesday"/>
    <s v="Same Month Expiry"/>
    <n v="4408079"/>
    <n v="7509.2337"/>
    <n v="38.4919"/>
  </r>
  <r>
    <s v="23-Apr-2026"/>
    <x v="3"/>
    <s v="Week4-Apr-2026"/>
    <x v="7"/>
    <s v="Q1FY27"/>
    <s v="26-May-2026"/>
    <s v="Tuesday"/>
    <s v="Monthly - Tuesday"/>
    <s v="Monthly - Tuesday"/>
    <s v="Month+1 Expiry"/>
    <n v="223671"/>
    <n v="390.1955"/>
    <n v="5.1704"/>
  </r>
  <r>
    <s v="23-Apr-2026"/>
    <x v="3"/>
    <s v="Week4-Apr-2026"/>
    <x v="7"/>
    <s v="Q1FY27"/>
    <s v="30-Jun-2026"/>
    <s v="Tuesday"/>
    <s v="Monthly - Tuesday"/>
    <s v="Monthly - Tuesday"/>
    <s v="Month+2 Expiry"/>
    <n v="12076"/>
    <n v="21.01"/>
    <n v="0.3883"/>
  </r>
  <r>
    <s v="23-Apr-2026"/>
    <x v="3"/>
    <s v="Week4-Apr-2026"/>
    <x v="7"/>
    <s v="Q1FY27"/>
    <s v="29-Sep-2026"/>
    <s v="Tuesday"/>
    <s v="Monthly - Tuesday"/>
    <s v="Monthly - Tuesday"/>
    <s v="Month+5 Expiry"/>
    <n v="96"/>
    <n v="0.1598"/>
    <n v="0.003"/>
  </r>
  <r>
    <s v="23-Apr-2026"/>
    <x v="3"/>
    <s v="Week4-Apr-2026"/>
    <x v="7"/>
    <s v="Q1FY27"/>
    <s v="29-Dec-2026"/>
    <s v="Tuesday"/>
    <s v="Monthly - Tuesday"/>
    <s v="Monthly - Tuesday"/>
    <s v="Month+8 Expiry"/>
    <n v="0"/>
    <n v="0"/>
    <n v="0"/>
  </r>
  <r>
    <s v="23-Apr-2026"/>
    <x v="3"/>
    <s v="Week4-Apr-2026"/>
    <x v="7"/>
    <s v="Q1FY27"/>
    <s v="30-Mar-2027"/>
    <s v="Tuesday"/>
    <s v="Monthly - Tuesday"/>
    <s v="Monthly - Tuesday"/>
    <s v="Month+11 Expiry"/>
    <n v="0"/>
    <n v="0"/>
    <n v="0"/>
  </r>
  <r>
    <s v="24-Apr-2026"/>
    <x v="4"/>
    <s v="Week4-Apr-2026"/>
    <x v="7"/>
    <s v="Q1FY27"/>
    <s v="28-Apr-2026"/>
    <s v="Tuesday"/>
    <s v="Monthly - Tuesday"/>
    <s v="Monthly - Tuesday"/>
    <s v="Same Month Expiry"/>
    <n v="8502479"/>
    <n v="14358.2674"/>
    <n v="67.6904"/>
  </r>
  <r>
    <s v="24-Apr-2026"/>
    <x v="4"/>
    <s v="Week4-Apr-2026"/>
    <x v="7"/>
    <s v="Q1FY27"/>
    <s v="26-May-2026"/>
    <s v="Tuesday"/>
    <s v="Monthly - Tuesday"/>
    <s v="Monthly - Tuesday"/>
    <s v="Month+1 Expiry"/>
    <n v="225336"/>
    <n v="389.0458"/>
    <n v="5.6458"/>
  </r>
  <r>
    <s v="24-Apr-2026"/>
    <x v="4"/>
    <s v="Week4-Apr-2026"/>
    <x v="7"/>
    <s v="Q1FY27"/>
    <s v="30-Jun-2026"/>
    <s v="Tuesday"/>
    <s v="Monthly - Tuesday"/>
    <s v="Monthly - Tuesday"/>
    <s v="Month+2 Expiry"/>
    <n v="14634"/>
    <n v="25.6617"/>
    <n v="0.4283"/>
  </r>
  <r>
    <s v="24-Apr-2026"/>
    <x v="4"/>
    <s v="Week4-Apr-2026"/>
    <x v="7"/>
    <s v="Q1FY27"/>
    <s v="29-Sep-2026"/>
    <s v="Tuesday"/>
    <s v="Monthly - Tuesday"/>
    <s v="Monthly - Tuesday"/>
    <s v="Month+5 Expiry"/>
    <n v="83"/>
    <n v="0.1483"/>
    <n v="0.0029"/>
  </r>
  <r>
    <s v="24-Apr-2026"/>
    <x v="4"/>
    <s v="Week4-Apr-2026"/>
    <x v="7"/>
    <s v="Q1FY27"/>
    <s v="29-Dec-2026"/>
    <s v="Tuesday"/>
    <s v="Monthly - Tuesday"/>
    <s v="Monthly - Tuesday"/>
    <s v="Month+8 Expiry"/>
    <n v="0"/>
    <n v="0"/>
    <n v="0"/>
  </r>
  <r>
    <s v="24-Apr-2026"/>
    <x v="4"/>
    <s v="Week4-Apr-2026"/>
    <x v="7"/>
    <s v="Q1FY27"/>
    <s v="30-Mar-2027"/>
    <s v="Tuesday"/>
    <s v="Monthly - Tuesday"/>
    <s v="Monthly - Tuesday"/>
    <s v="Month+11 Expiry"/>
    <n v="0"/>
    <n v="0"/>
    <n v="0"/>
  </r>
  <r>
    <s v="27-Apr-2026"/>
    <x v="0"/>
    <s v="Week4-Apr-2026"/>
    <x v="7"/>
    <s v="Q1FY27"/>
    <s v="28-Apr-2026"/>
    <s v="Tuesday"/>
    <s v="Monthly - Tuesday"/>
    <s v="Monthly - Tuesday"/>
    <s v="Same Month Expiry"/>
    <n v="16838175"/>
    <n v="28419.917"/>
    <n v="82.2373"/>
  </r>
  <r>
    <s v="27-Apr-2026"/>
    <x v="0"/>
    <s v="Week4-Apr-2026"/>
    <x v="7"/>
    <s v="Q1FY27"/>
    <s v="26-May-2026"/>
    <s v="Tuesday"/>
    <s v="Monthly - Tuesday"/>
    <s v="Monthly - Tuesday"/>
    <s v="Month+1 Expiry"/>
    <n v="336365"/>
    <n v="579.9241"/>
    <n v="9.386200000000001"/>
  </r>
  <r>
    <s v="27-Apr-2026"/>
    <x v="0"/>
    <s v="Week4-Apr-2026"/>
    <x v="7"/>
    <s v="Q1FY27"/>
    <s v="30-Jun-2026"/>
    <s v="Tuesday"/>
    <s v="Monthly - Tuesday"/>
    <s v="Monthly - Tuesday"/>
    <s v="Month+2 Expiry"/>
    <n v="11984"/>
    <n v="20.8848"/>
    <n v="0.4446"/>
  </r>
  <r>
    <s v="27-Apr-2026"/>
    <x v="0"/>
    <s v="Week4-Apr-2026"/>
    <x v="7"/>
    <s v="Q1FY27"/>
    <s v="29-Sep-2026"/>
    <s v="Tuesday"/>
    <s v="Monthly - Tuesday"/>
    <s v="Monthly - Tuesday"/>
    <s v="Month+5 Expiry"/>
    <n v="72"/>
    <n v="0.1241"/>
    <n v="0.0023"/>
  </r>
  <r>
    <s v="27-Apr-2026"/>
    <x v="0"/>
    <s v="Week4-Apr-2026"/>
    <x v="7"/>
    <s v="Q1FY27"/>
    <s v="29-Dec-2026"/>
    <s v="Tuesday"/>
    <s v="Monthly - Tuesday"/>
    <s v="Monthly - Tuesday"/>
    <s v="Month+8 Expiry"/>
    <n v="0"/>
    <n v="0"/>
    <n v="0"/>
  </r>
  <r>
    <s v="27-Apr-2026"/>
    <x v="0"/>
    <s v="Week4-Apr-2026"/>
    <x v="7"/>
    <s v="Q1FY27"/>
    <s v="30-Mar-2027"/>
    <s v="Tuesday"/>
    <s v="Monthly - Tuesday"/>
    <s v="Monthly - Tuesday"/>
    <s v="Month+11 Expiry"/>
    <n v="0"/>
    <n v="0"/>
    <n v="0"/>
  </r>
  <r>
    <s v="28-Apr-2026"/>
    <x v="1"/>
    <s v="Week4-Apr-2026"/>
    <x v="7"/>
    <s v="Q1FY27"/>
    <s v="28-Apr-2026"/>
    <s v="Tuesday"/>
    <s v="Monthly - Tuesday"/>
    <s v="Monthly - Tuesday"/>
    <s v="Same Month Expiry"/>
    <n v="91759485"/>
    <n v="153286.2119"/>
    <n v="144.229"/>
  </r>
  <r>
    <s v="28-Apr-2026"/>
    <x v="1"/>
    <s v="Week4-Apr-2026"/>
    <x v="7"/>
    <s v="Q1FY27"/>
    <s v="26-May-2026"/>
    <s v="Tuesday"/>
    <s v="Monthly - Tuesday"/>
    <s v="Monthly - Tuesday"/>
    <s v="Month+1 Expiry"/>
    <n v="735866"/>
    <n v="1256.8362"/>
    <n v="17.0292"/>
  </r>
  <r>
    <s v="28-Apr-2026"/>
    <x v="1"/>
    <s v="Week4-Apr-2026"/>
    <x v="7"/>
    <s v="Q1FY27"/>
    <s v="30-Jun-2026"/>
    <s v="Tuesday"/>
    <s v="Monthly - Tuesday"/>
    <s v="Monthly - Tuesday"/>
    <s v="Month+2 Expiry"/>
    <n v="24881"/>
    <n v="42.8221"/>
    <n v="0.8257"/>
  </r>
  <r>
    <s v="28-Apr-2026"/>
    <x v="1"/>
    <s v="Week4-Apr-2026"/>
    <x v="7"/>
    <s v="Q1FY27"/>
    <s v="29-Sep-2026"/>
    <s v="Tuesday"/>
    <s v="Monthly - Tuesday"/>
    <s v="Monthly - Tuesday"/>
    <s v="Month+5 Expiry"/>
    <n v="85"/>
    <n v="0.145"/>
    <n v="0.0031"/>
  </r>
  <r>
    <s v="28-Apr-2026"/>
    <x v="1"/>
    <s v="Week4-Apr-2026"/>
    <x v="7"/>
    <s v="Q1FY27"/>
    <s v="29-Dec-2026"/>
    <s v="Tuesday"/>
    <s v="Monthly - Tuesday"/>
    <s v="Monthly - Tuesday"/>
    <s v="Month+8 Expiry"/>
    <n v="3"/>
    <n v="0.0054"/>
    <n v="0.0002"/>
  </r>
  <r>
    <s v="28-Apr-2026"/>
    <x v="1"/>
    <s v="Week4-Apr-2026"/>
    <x v="7"/>
    <s v="Q1FY27"/>
    <s v="30-Mar-2027"/>
    <s v="Tuesday"/>
    <s v="Monthly - Tuesday"/>
    <s v="Monthly - Tuesday"/>
    <s v="Month+11 Expiry"/>
    <n v="0"/>
    <n v="0"/>
    <n v="0"/>
  </r>
  <r>
    <s v="29-Apr-2026"/>
    <x v="2"/>
    <s v="Week5-Apr-2026"/>
    <x v="7"/>
    <s v="Q1FY27"/>
    <s v="26-May-2026"/>
    <s v="Tuesday"/>
    <s v="Monthly - Tuesday"/>
    <s v="Monthly - Tuesday"/>
    <s v="Month+1 Expiry"/>
    <n v="1895212"/>
    <n v="3228.9082"/>
    <n v="39.6797"/>
  </r>
  <r>
    <s v="29-Apr-2026"/>
    <x v="2"/>
    <s v="Week5-Apr-2026"/>
    <x v="7"/>
    <s v="Q1FY27"/>
    <s v="30-Jun-2026"/>
    <s v="Tuesday"/>
    <s v="Monthly - Tuesday"/>
    <s v="Monthly - Tuesday"/>
    <s v="Month+2 Expiry"/>
    <n v="33169"/>
    <n v="56.6535"/>
    <n v="0.8518"/>
  </r>
  <r>
    <s v="29-Apr-2026"/>
    <x v="2"/>
    <s v="Week5-Apr-2026"/>
    <x v="7"/>
    <s v="Q1FY27"/>
    <s v="28-Jul-2026"/>
    <s v="Tuesday"/>
    <s v="Monthly - Tuesday"/>
    <s v="Monthly - Tuesday"/>
    <s v="Month+3 Expiry"/>
    <n v="443"/>
    <n v="0.7538"/>
    <n v="0.0213"/>
  </r>
  <r>
    <s v="29-Apr-2026"/>
    <x v="2"/>
    <s v="Week5-Apr-2026"/>
    <x v="7"/>
    <s v="Q1FY27"/>
    <s v="29-Sep-2026"/>
    <s v="Tuesday"/>
    <s v="Monthly - Tuesday"/>
    <s v="Monthly - Tuesday"/>
    <s v="Month+5 Expiry"/>
    <n v="250"/>
    <n v="0.4429"/>
    <n v="0.0091"/>
  </r>
  <r>
    <s v="29-Apr-2026"/>
    <x v="2"/>
    <s v="Week5-Apr-2026"/>
    <x v="7"/>
    <s v="Q1FY27"/>
    <s v="29-Dec-2026"/>
    <s v="Tuesday"/>
    <s v="Monthly - Tuesday"/>
    <s v="Monthly - Tuesday"/>
    <s v="Month+8 Expiry"/>
    <n v="8"/>
    <n v="0.0114"/>
    <n v="0.0001"/>
  </r>
  <r>
    <s v="29-Apr-2026"/>
    <x v="2"/>
    <s v="Week5-Apr-2026"/>
    <x v="7"/>
    <s v="Q1FY27"/>
    <s v="30-Mar-2027"/>
    <s v="Tuesday"/>
    <s v="Monthly - Tuesday"/>
    <s v="Monthly - Tuesday"/>
    <s v="Month+11 Expiry"/>
    <n v="0"/>
    <n v="0"/>
    <n v="0"/>
  </r>
  <r>
    <s v="30-Apr-2026"/>
    <x v="3"/>
    <s v="Week5-Apr-2026"/>
    <x v="7"/>
    <s v="Q1FY27"/>
    <s v="26-May-2026"/>
    <s v="Tuesday"/>
    <s v="Monthly - Tuesday"/>
    <s v="Monthly - Tuesday"/>
    <s v="Month+1 Expiry"/>
    <n v="1712831"/>
    <n v="2877.1678"/>
    <n v="37.6604"/>
  </r>
  <r>
    <s v="30-Apr-2026"/>
    <x v="3"/>
    <s v="Week5-Apr-2026"/>
    <x v="7"/>
    <s v="Q1FY27"/>
    <s v="30-Jun-2026"/>
    <s v="Tuesday"/>
    <s v="Monthly - Tuesday"/>
    <s v="Monthly - Tuesday"/>
    <s v="Month+2 Expiry"/>
    <n v="30370"/>
    <n v="51.8274"/>
    <n v="0.8655"/>
  </r>
  <r>
    <s v="30-Apr-2026"/>
    <x v="3"/>
    <s v="Week5-Apr-2026"/>
    <x v="7"/>
    <s v="Q1FY27"/>
    <s v="28-Jul-2026"/>
    <s v="Tuesday"/>
    <s v="Monthly - Tuesday"/>
    <s v="Monthly - Tuesday"/>
    <s v="Month+3 Expiry"/>
    <n v="1064"/>
    <n v="1.7926"/>
    <n v="0.0512"/>
  </r>
  <r>
    <s v="30-Apr-2026"/>
    <x v="3"/>
    <s v="Week5-Apr-2026"/>
    <x v="7"/>
    <s v="Q1FY27"/>
    <s v="29-Sep-2026"/>
    <s v="Tuesday"/>
    <s v="Monthly - Tuesday"/>
    <s v="Monthly - Tuesday"/>
    <s v="Month+5 Expiry"/>
    <n v="389"/>
    <n v="0.6791"/>
    <n v="0.0142"/>
  </r>
  <r>
    <s v="30-Apr-2026"/>
    <x v="3"/>
    <s v="Week5-Apr-2026"/>
    <x v="7"/>
    <s v="Q1FY27"/>
    <s v="29-Dec-2026"/>
    <s v="Tuesday"/>
    <s v="Monthly - Tuesday"/>
    <s v="Monthly - Tuesday"/>
    <s v="Month+8 Expiry"/>
    <n v="0"/>
    <n v="0"/>
    <n v="0"/>
  </r>
  <r>
    <s v="30-Apr-2026"/>
    <x v="3"/>
    <s v="Week5-Apr-2026"/>
    <x v="7"/>
    <s v="Q1FY27"/>
    <s v="30-Mar-2027"/>
    <s v="Tuesday"/>
    <s v="Monthly - Tuesday"/>
    <s v="Monthly - Tuesday"/>
    <s v="Month+11 Expiry"/>
    <n v="0"/>
    <n v="0"/>
    <n v="0"/>
  </r>
  <r>
    <s v="04-May-2026"/>
    <x v="0"/>
    <s v="Week1-May-2026"/>
    <x v="8"/>
    <s v="Q1FY27"/>
    <s v="26-May-2026"/>
    <s v="Tuesday"/>
    <s v="Monthly - Tuesday"/>
    <s v="Monthly - Tuesday"/>
    <s v="Same Month Expiry"/>
    <n v="1767544"/>
    <n v="2987.0088"/>
    <n v="34.9621"/>
  </r>
  <r>
    <s v="04-May-2026"/>
    <x v="0"/>
    <s v="Week1-May-2026"/>
    <x v="8"/>
    <s v="Q1FY27"/>
    <s v="30-Jun-2026"/>
    <s v="Tuesday"/>
    <s v="Monthly - Tuesday"/>
    <s v="Monthly - Tuesday"/>
    <s v="Month+1 Expiry"/>
    <n v="33202"/>
    <n v="57.5789"/>
    <n v="0.739"/>
  </r>
  <r>
    <s v="04-May-2026"/>
    <x v="0"/>
    <s v="Week1-May-2026"/>
    <x v="8"/>
    <s v="Q1FY27"/>
    <s v="28-Jul-2026"/>
    <s v="Tuesday"/>
    <s v="Monthly - Tuesday"/>
    <s v="Monthly - Tuesday"/>
    <s v="Month+2 Expiry"/>
    <n v="1352"/>
    <n v="2.2995"/>
    <n v="0.0578"/>
  </r>
  <r>
    <s v="04-May-2026"/>
    <x v="0"/>
    <s v="Week1-May-2026"/>
    <x v="8"/>
    <s v="Q1FY27"/>
    <s v="29-Sep-2026"/>
    <s v="Tuesday"/>
    <s v="Monthly - Tuesday"/>
    <s v="Monthly - Tuesday"/>
    <s v="Month+4 Expiry"/>
    <n v="201"/>
    <n v="0.3488"/>
    <n v="0.0066"/>
  </r>
  <r>
    <s v="04-May-2026"/>
    <x v="0"/>
    <s v="Week1-May-2026"/>
    <x v="8"/>
    <s v="Q1FY27"/>
    <s v="29-Dec-2026"/>
    <s v="Tuesday"/>
    <s v="Monthly - Tuesday"/>
    <s v="Monthly - Tuesday"/>
    <s v="Month+7 Expiry"/>
    <n v="0"/>
    <n v="0"/>
    <n v="0"/>
  </r>
  <r>
    <s v="04-May-2026"/>
    <x v="0"/>
    <s v="Week1-May-2026"/>
    <x v="8"/>
    <s v="Q1FY27"/>
    <s v="30-Mar-2027"/>
    <s v="Tuesday"/>
    <s v="Monthly - Tuesday"/>
    <s v="Monthly - Tuesday"/>
    <s v="Month+10 Expiry"/>
    <n v="0"/>
    <n v="0"/>
    <n v="0"/>
  </r>
  <r>
    <s v="05-May-2026"/>
    <x v="1"/>
    <s v="Week1-May-2026"/>
    <x v="8"/>
    <s v="Q1FY27"/>
    <s v="26-May-2026"/>
    <s v="Tuesday"/>
    <s v="Monthly - Tuesday"/>
    <s v="Monthly - Tuesday"/>
    <s v="Same Month Expiry"/>
    <n v="1802314"/>
    <n v="3020.2696"/>
    <n v="35.2089"/>
  </r>
  <r>
    <s v="05-May-2026"/>
    <x v="1"/>
    <s v="Week1-May-2026"/>
    <x v="8"/>
    <s v="Q1FY27"/>
    <s v="30-Jun-2026"/>
    <s v="Tuesday"/>
    <s v="Monthly - Tuesday"/>
    <s v="Monthly - Tuesday"/>
    <s v="Month+1 Expiry"/>
    <n v="37015"/>
    <n v="63.8188"/>
    <n v="0.8058"/>
  </r>
  <r>
    <s v="05-May-2026"/>
    <x v="1"/>
    <s v="Week1-May-2026"/>
    <x v="8"/>
    <s v="Q1FY27"/>
    <s v="28-Jul-2026"/>
    <s v="Tuesday"/>
    <s v="Monthly - Tuesday"/>
    <s v="Monthly - Tuesday"/>
    <s v="Month+2 Expiry"/>
    <n v="1540"/>
    <n v="2.595"/>
    <n v="0.0568"/>
  </r>
  <r>
    <s v="05-May-2026"/>
    <x v="1"/>
    <s v="Week1-May-2026"/>
    <x v="8"/>
    <s v="Q1FY27"/>
    <s v="29-Sep-2026"/>
    <s v="Tuesday"/>
    <s v="Monthly - Tuesday"/>
    <s v="Monthly - Tuesday"/>
    <s v="Month+4 Expiry"/>
    <n v="231"/>
    <n v="0.4064"/>
    <n v="0.0083"/>
  </r>
  <r>
    <s v="05-May-2026"/>
    <x v="1"/>
    <s v="Week1-May-2026"/>
    <x v="8"/>
    <s v="Q1FY27"/>
    <s v="29-Dec-2026"/>
    <s v="Tuesday"/>
    <s v="Monthly - Tuesday"/>
    <s v="Monthly - Tuesday"/>
    <s v="Month+7 Expiry"/>
    <n v="1"/>
    <n v="0.0018"/>
    <n v="0.0001"/>
  </r>
  <r>
    <s v="05-May-2026"/>
    <x v="1"/>
    <s v="Week1-May-2026"/>
    <x v="8"/>
    <s v="Q1FY27"/>
    <s v="30-Mar-2027"/>
    <s v="Tuesday"/>
    <s v="Monthly - Tuesday"/>
    <s v="Monthly - Tuesday"/>
    <s v="Month+10 Expiry"/>
    <n v="0"/>
    <n v="0"/>
    <n v="0"/>
  </r>
  <r>
    <s v="06-May-2026"/>
    <x v="2"/>
    <s v="Week1-May-2026"/>
    <x v="8"/>
    <s v="Q1FY27"/>
    <s v="26-May-2026"/>
    <s v="Tuesday"/>
    <s v="Monthly - Tuesday"/>
    <s v="Monthly - Tuesday"/>
    <s v="Same Month Expiry"/>
    <n v="3044751"/>
    <n v="5122.9406"/>
    <n v="53.9687"/>
  </r>
  <r>
    <s v="06-May-2026"/>
    <x v="2"/>
    <s v="Week1-May-2026"/>
    <x v="8"/>
    <s v="Q1FY27"/>
    <s v="30-Jun-2026"/>
    <s v="Tuesday"/>
    <s v="Monthly - Tuesday"/>
    <s v="Monthly - Tuesday"/>
    <s v="Month+1 Expiry"/>
    <n v="86772"/>
    <n v="147.0936"/>
    <n v="1.7706"/>
  </r>
  <r>
    <s v="06-May-2026"/>
    <x v="2"/>
    <s v="Week1-May-2026"/>
    <x v="8"/>
    <s v="Q1FY27"/>
    <s v="28-Jul-2026"/>
    <s v="Tuesday"/>
    <s v="Monthly - Tuesday"/>
    <s v="Monthly - Tuesday"/>
    <s v="Month+2 Expiry"/>
    <n v="4341"/>
    <n v="7.4399"/>
    <n v="0.1787"/>
  </r>
  <r>
    <s v="06-May-2026"/>
    <x v="2"/>
    <s v="Week1-May-2026"/>
    <x v="8"/>
    <s v="Q1FY27"/>
    <s v="29-Sep-2026"/>
    <s v="Tuesday"/>
    <s v="Monthly - Tuesday"/>
    <s v="Monthly - Tuesday"/>
    <s v="Month+4 Expiry"/>
    <n v="432"/>
    <n v="0.7495000000000001"/>
    <n v="0.0169"/>
  </r>
  <r>
    <s v="06-May-2026"/>
    <x v="2"/>
    <s v="Week1-May-2026"/>
    <x v="8"/>
    <s v="Q1FY27"/>
    <s v="29-Dec-2026"/>
    <s v="Tuesday"/>
    <s v="Monthly - Tuesday"/>
    <s v="Monthly - Tuesday"/>
    <s v="Month+7 Expiry"/>
    <n v="12"/>
    <n v="0.0183"/>
    <n v="0.0005"/>
  </r>
  <r>
    <s v="06-May-2026"/>
    <x v="2"/>
    <s v="Week1-May-2026"/>
    <x v="8"/>
    <s v="Q1FY27"/>
    <s v="30-Mar-2027"/>
    <s v="Tuesday"/>
    <s v="Monthly - Tuesday"/>
    <s v="Monthly - Tuesday"/>
    <s v="Month+10 Expiry"/>
    <n v="0"/>
    <n v="0"/>
    <n v="0"/>
  </r>
  <r>
    <s v="07-May-2026"/>
    <x v="3"/>
    <s v="Week1-May-2026"/>
    <x v="8"/>
    <s v="Q1FY27"/>
    <s v="26-May-2026"/>
    <s v="Tuesday"/>
    <s v="Monthly - Tuesday"/>
    <s v="Monthly - Tuesday"/>
    <s v="Same Month Expiry"/>
    <n v="2146088"/>
    <n v="3660.7045"/>
    <n v="38.2474"/>
  </r>
  <r>
    <s v="07-May-2026"/>
    <x v="3"/>
    <s v="Week1-May-2026"/>
    <x v="8"/>
    <s v="Q1FY27"/>
    <s v="30-Jun-2026"/>
    <s v="Tuesday"/>
    <s v="Monthly - Tuesday"/>
    <s v="Monthly - Tuesday"/>
    <s v="Month+1 Expiry"/>
    <n v="40308"/>
    <n v="68.614"/>
    <n v="0.9222"/>
  </r>
  <r>
    <s v="07-May-2026"/>
    <x v="3"/>
    <s v="Week1-May-2026"/>
    <x v="8"/>
    <s v="Q1FY27"/>
    <s v="28-Jul-2026"/>
    <s v="Tuesday"/>
    <s v="Monthly - Tuesday"/>
    <s v="Monthly - Tuesday"/>
    <s v="Month+2 Expiry"/>
    <n v="2085"/>
    <n v="3.5055"/>
    <n v="0.0718"/>
  </r>
  <r>
    <s v="07-May-2026"/>
    <x v="3"/>
    <s v="Week1-May-2026"/>
    <x v="8"/>
    <s v="Q1FY27"/>
    <s v="29-Sep-2026"/>
    <s v="Tuesday"/>
    <s v="Monthly - Tuesday"/>
    <s v="Monthly - Tuesday"/>
    <s v="Month+4 Expiry"/>
    <n v="340"/>
    <n v="0.5941"/>
    <n v="0.0122"/>
  </r>
  <r>
    <s v="07-May-2026"/>
    <x v="3"/>
    <s v="Week1-May-2026"/>
    <x v="8"/>
    <s v="Q1FY27"/>
    <s v="29-Dec-2026"/>
    <s v="Tuesday"/>
    <s v="Monthly - Tuesday"/>
    <s v="Monthly - Tuesday"/>
    <s v="Month+7 Expiry"/>
    <n v="30"/>
    <n v="0.0414"/>
    <n v="0.0004"/>
  </r>
  <r>
    <s v="07-May-2026"/>
    <x v="3"/>
    <s v="Week1-May-2026"/>
    <x v="8"/>
    <s v="Q1FY27"/>
    <s v="30-Mar-2027"/>
    <s v="Tuesday"/>
    <s v="Monthly - Tuesday"/>
    <s v="Monthly - Tuesday"/>
    <s v="Month+10 Expiry"/>
    <n v="0"/>
    <n v="0"/>
    <n v="0"/>
  </r>
  <r>
    <s v="08-May-2026"/>
    <x v="4"/>
    <s v="Week2-May-2026"/>
    <x v="8"/>
    <s v="Q1FY27"/>
    <s v="26-May-2026"/>
    <s v="Tuesday"/>
    <s v="Monthly - Tuesday"/>
    <s v="Monthly - Tuesday"/>
    <s v="Same Month Expiry"/>
    <n v="2286129"/>
    <n v="3860.5966"/>
    <n v="38.7298"/>
  </r>
  <r>
    <s v="08-May-2026"/>
    <x v="4"/>
    <s v="Week2-May-2026"/>
    <x v="8"/>
    <s v="Q1FY27"/>
    <s v="30-Jun-2026"/>
    <s v="Tuesday"/>
    <s v="Monthly - Tuesday"/>
    <s v="Monthly - Tuesday"/>
    <s v="Month+1 Expiry"/>
    <n v="41757"/>
    <n v="70.85809999999999"/>
    <n v="0.9257"/>
  </r>
  <r>
    <s v="08-May-2026"/>
    <x v="4"/>
    <s v="Week2-May-2026"/>
    <x v="8"/>
    <s v="Q1FY27"/>
    <s v="28-Jul-2026"/>
    <s v="Tuesday"/>
    <s v="Monthly - Tuesday"/>
    <s v="Monthly - Tuesday"/>
    <s v="Month+2 Expiry"/>
    <n v="3861"/>
    <n v="6.6362"/>
    <n v="0.153"/>
  </r>
  <r>
    <s v="08-May-2026"/>
    <x v="4"/>
    <s v="Week2-May-2026"/>
    <x v="8"/>
    <s v="Q1FY27"/>
    <s v="29-Sep-2026"/>
    <s v="Tuesday"/>
    <s v="Monthly - Tuesday"/>
    <s v="Monthly - Tuesday"/>
    <s v="Month+4 Expiry"/>
    <n v="260"/>
    <n v="0.4532"/>
    <n v="0.0098"/>
  </r>
  <r>
    <s v="08-May-2026"/>
    <x v="4"/>
    <s v="Week2-May-2026"/>
    <x v="8"/>
    <s v="Q1FY27"/>
    <s v="29-Dec-2026"/>
    <s v="Tuesday"/>
    <s v="Monthly - Tuesday"/>
    <s v="Monthly - Tuesday"/>
    <s v="Month+7 Expiry"/>
    <n v="19"/>
    <n v="0.0258"/>
    <n v="0.0002"/>
  </r>
  <r>
    <s v="08-May-2026"/>
    <x v="4"/>
    <s v="Week2-May-2026"/>
    <x v="8"/>
    <s v="Q1FY27"/>
    <s v="30-Mar-2027"/>
    <s v="Tuesday"/>
    <s v="Monthly - Tuesday"/>
    <s v="Monthly - Tuesday"/>
    <s v="Month+10 Expiry"/>
    <n v="0"/>
    <n v="0"/>
    <n v="0"/>
  </r>
  <r>
    <s v="11-May-2026"/>
    <x v="0"/>
    <s v="Week2-May-2026"/>
    <x v="8"/>
    <s v="Q1FY27"/>
    <s v="26-May-2026"/>
    <s v="Tuesday"/>
    <s v="Monthly - Tuesday"/>
    <s v="Monthly - Tuesday"/>
    <s v="Same Month Expiry"/>
    <n v="2634472"/>
    <n v="4413.5415"/>
    <n v="43.338"/>
  </r>
  <r>
    <s v="11-May-2026"/>
    <x v="0"/>
    <s v="Week2-May-2026"/>
    <x v="8"/>
    <s v="Q1FY27"/>
    <s v="30-Jun-2026"/>
    <s v="Tuesday"/>
    <s v="Monthly - Tuesday"/>
    <s v="Monthly - Tuesday"/>
    <s v="Month+1 Expiry"/>
    <n v="64400"/>
    <n v="110.3122"/>
    <n v="1.4211"/>
  </r>
  <r>
    <s v="11-May-2026"/>
    <x v="0"/>
    <s v="Week2-May-2026"/>
    <x v="8"/>
    <s v="Q1FY27"/>
    <s v="28-Jul-2026"/>
    <s v="Tuesday"/>
    <s v="Monthly - Tuesday"/>
    <s v="Monthly - Tuesday"/>
    <s v="Month+2 Expiry"/>
    <n v="4072"/>
    <n v="6.941"/>
    <n v="0.1557"/>
  </r>
  <r>
    <s v="11-May-2026"/>
    <x v="0"/>
    <s v="Week2-May-2026"/>
    <x v="8"/>
    <s v="Q1FY27"/>
    <s v="29-Sep-2026"/>
    <s v="Tuesday"/>
    <s v="Monthly - Tuesday"/>
    <s v="Monthly - Tuesday"/>
    <s v="Month+4 Expiry"/>
    <n v="443"/>
    <n v="0.7634"/>
    <n v="0.0147"/>
  </r>
  <r>
    <s v="11-May-2026"/>
    <x v="0"/>
    <s v="Week2-May-2026"/>
    <x v="8"/>
    <s v="Q1FY27"/>
    <s v="29-Dec-2026"/>
    <s v="Tuesday"/>
    <s v="Monthly - Tuesday"/>
    <s v="Monthly - Tuesday"/>
    <s v="Month+7 Expiry"/>
    <n v="0"/>
    <n v="0"/>
    <n v="0"/>
  </r>
  <r>
    <s v="11-May-2026"/>
    <x v="0"/>
    <s v="Week2-May-2026"/>
    <x v="8"/>
    <s v="Q1FY27"/>
    <s v="30-Mar-2027"/>
    <s v="Tuesday"/>
    <s v="Monthly - Tuesday"/>
    <s v="Monthly - Tuesday"/>
    <s v="Month+10 Expiry"/>
    <n v="0"/>
    <n v="0"/>
    <n v="0"/>
  </r>
  <r>
    <s v="12-May-2026"/>
    <x v="1"/>
    <s v="Week2-May-2026"/>
    <x v="8"/>
    <s v="Q1FY27"/>
    <s v="26-May-2026"/>
    <s v="Tuesday"/>
    <s v="Monthly - Tuesday"/>
    <s v="Monthly - Tuesday"/>
    <s v="Same Month Expiry"/>
    <n v="2490093"/>
    <n v="4137.5951"/>
    <n v="41.0856"/>
  </r>
  <r>
    <s v="12-May-2026"/>
    <x v="1"/>
    <s v="Week2-May-2026"/>
    <x v="8"/>
    <s v="Q1FY27"/>
    <s v="30-Jun-2026"/>
    <s v="Tuesday"/>
    <s v="Monthly - Tuesday"/>
    <s v="Monthly - Tuesday"/>
    <s v="Month+1 Expiry"/>
    <n v="73595"/>
    <n v="124.1664"/>
    <n v="1.8205"/>
  </r>
  <r>
    <s v="12-May-2026"/>
    <x v="1"/>
    <s v="Week2-May-2026"/>
    <x v="8"/>
    <s v="Q1FY27"/>
    <s v="28-Jul-2026"/>
    <s v="Tuesday"/>
    <s v="Monthly - Tuesday"/>
    <s v="Monthly - Tuesday"/>
    <s v="Month+2 Expiry"/>
    <n v="5661"/>
    <n v="9.493499999999999"/>
    <n v="0.2291"/>
  </r>
  <r>
    <s v="12-May-2026"/>
    <x v="1"/>
    <s v="Week2-May-2026"/>
    <x v="8"/>
    <s v="Q1FY27"/>
    <s v="29-Sep-2026"/>
    <s v="Tuesday"/>
    <s v="Monthly - Tuesday"/>
    <s v="Monthly - Tuesday"/>
    <s v="Month+4 Expiry"/>
    <n v="493"/>
    <n v="0.854"/>
    <n v="0.0181"/>
  </r>
  <r>
    <s v="12-May-2026"/>
    <x v="1"/>
    <s v="Week2-May-2026"/>
    <x v="8"/>
    <s v="Q1FY27"/>
    <s v="29-Dec-2026"/>
    <s v="Tuesday"/>
    <s v="Monthly - Tuesday"/>
    <s v="Monthly - Tuesday"/>
    <s v="Month+7 Expiry"/>
    <n v="1"/>
    <n v="0.0015"/>
    <n v="0"/>
  </r>
  <r>
    <s v="12-May-2026"/>
    <x v="1"/>
    <s v="Week2-May-2026"/>
    <x v="8"/>
    <s v="Q1FY27"/>
    <s v="30-Mar-2027"/>
    <s v="Tuesday"/>
    <s v="Monthly - Tuesday"/>
    <s v="Monthly - Tuesday"/>
    <s v="Month+10 Expiry"/>
    <n v="0"/>
    <n v="0"/>
    <n v="0"/>
  </r>
  <r>
    <s v="13-May-2026"/>
    <x v="2"/>
    <s v="Week2-May-2026"/>
    <x v="8"/>
    <s v="Q1FY27"/>
    <s v="26-May-2026"/>
    <s v="Tuesday"/>
    <s v="Monthly - Tuesday"/>
    <s v="Monthly - Tuesday"/>
    <s v="Same Month Expiry"/>
    <n v="2989323"/>
    <n v="4928.5698"/>
    <n v="49.6001"/>
  </r>
  <r>
    <s v="13-May-2026"/>
    <x v="2"/>
    <s v="Week2-May-2026"/>
    <x v="8"/>
    <s v="Q1FY27"/>
    <s v="30-Jun-2026"/>
    <s v="Tuesday"/>
    <s v="Monthly - Tuesday"/>
    <s v="Monthly - Tuesday"/>
    <s v="Month+1 Expiry"/>
    <n v="79357"/>
    <n v="134.4018"/>
    <n v="1.9887"/>
  </r>
  <r>
    <s v="13-May-2026"/>
    <x v="2"/>
    <s v="Week2-May-2026"/>
    <x v="8"/>
    <s v="Q1FY27"/>
    <s v="28-Jul-2026"/>
    <s v="Tuesday"/>
    <s v="Monthly - Tuesday"/>
    <s v="Monthly - Tuesday"/>
    <s v="Month+2 Expiry"/>
    <n v="4106"/>
    <n v="6.9549"/>
    <n v="0.1749"/>
  </r>
  <r>
    <s v="13-May-2026"/>
    <x v="2"/>
    <s v="Week2-May-2026"/>
    <x v="8"/>
    <s v="Q1FY27"/>
    <s v="29-Sep-2026"/>
    <s v="Tuesday"/>
    <s v="Monthly - Tuesday"/>
    <s v="Monthly - Tuesday"/>
    <s v="Month+4 Expiry"/>
    <n v="394"/>
    <n v="0.6775"/>
    <n v="0.0133"/>
  </r>
  <r>
    <s v="13-May-2026"/>
    <x v="2"/>
    <s v="Week2-May-2026"/>
    <x v="8"/>
    <s v="Q1FY27"/>
    <s v="29-Dec-2026"/>
    <s v="Tuesday"/>
    <s v="Monthly - Tuesday"/>
    <s v="Monthly - Tuesday"/>
    <s v="Month+7 Expiry"/>
    <n v="1"/>
    <n v="0.0015"/>
    <n v="0"/>
  </r>
  <r>
    <s v="13-May-2026"/>
    <x v="2"/>
    <s v="Week2-May-2026"/>
    <x v="8"/>
    <s v="Q1FY27"/>
    <s v="30-Mar-2027"/>
    <s v="Tuesday"/>
    <s v="Monthly - Tuesday"/>
    <s v="Monthly - Tuesday"/>
    <s v="Month+10 Expiry"/>
    <n v="0"/>
    <n v="0"/>
    <n v="0"/>
  </r>
  <r>
    <s v="14-May-2026"/>
    <x v="3"/>
    <s v="Week2-May-2026"/>
    <x v="8"/>
    <s v="Q1FY27"/>
    <s v="26-May-2026"/>
    <s v="Tuesday"/>
    <s v="Monthly - Tuesday"/>
    <s v="Monthly - Tuesday"/>
    <s v="Same Month Expiry"/>
    <n v="3187916"/>
    <n v="5263.3861"/>
    <n v="48.7613"/>
  </r>
  <r>
    <s v="14-May-2026"/>
    <x v="3"/>
    <s v="Week2-May-2026"/>
    <x v="8"/>
    <s v="Q1FY27"/>
    <s v="30-Jun-2026"/>
    <s v="Tuesday"/>
    <s v="Monthly - Tuesday"/>
    <s v="Monthly - Tuesday"/>
    <s v="Month+1 Expiry"/>
    <n v="85290"/>
    <n v="144.7789"/>
    <n v="1.949"/>
  </r>
  <r>
    <s v="14-May-2026"/>
    <x v="3"/>
    <s v="Week2-May-2026"/>
    <x v="8"/>
    <s v="Q1FY27"/>
    <s v="28-Jul-2026"/>
    <s v="Tuesday"/>
    <s v="Monthly - Tuesday"/>
    <s v="Monthly - Tuesday"/>
    <s v="Month+2 Expiry"/>
    <n v="4184"/>
    <n v="7.1"/>
    <n v="0.1692"/>
  </r>
  <r>
    <s v="14-May-2026"/>
    <x v="3"/>
    <s v="Week2-May-2026"/>
    <x v="8"/>
    <s v="Q1FY27"/>
    <s v="29-Sep-2026"/>
    <s v="Tuesday"/>
    <s v="Monthly - Tuesday"/>
    <s v="Monthly - Tuesday"/>
    <s v="Month+4 Expiry"/>
    <n v="303"/>
    <n v="0.5206"/>
    <n v="0.0102"/>
  </r>
  <r>
    <s v="14-May-2026"/>
    <x v="3"/>
    <s v="Week2-May-2026"/>
    <x v="8"/>
    <s v="Q1FY27"/>
    <s v="29-Dec-2026"/>
    <s v="Tuesday"/>
    <s v="Monthly - Tuesday"/>
    <s v="Monthly - Tuesday"/>
    <s v="Month+7 Expiry"/>
    <n v="6"/>
    <n v="0.0105"/>
    <n v="0.0005999999999999999"/>
  </r>
  <r>
    <s v="14-May-2026"/>
    <x v="3"/>
    <s v="Week2-May-2026"/>
    <x v="8"/>
    <s v="Q1FY27"/>
    <s v="30-Mar-2027"/>
    <s v="Tuesday"/>
    <s v="Monthly - Tuesday"/>
    <s v="Monthly - Tuesday"/>
    <s v="Month+10 Expiry"/>
    <n v="0"/>
    <n v="0"/>
    <n v="0"/>
  </r>
  <r>
    <s v="15-May-2026"/>
    <x v="4"/>
    <s v="Week3-May-2026"/>
    <x v="8"/>
    <s v="Q1FY27"/>
    <s v="26-May-2026"/>
    <s v="Tuesday"/>
    <s v="Monthly - Tuesday"/>
    <s v="Monthly - Tuesday"/>
    <s v="Same Month Expiry"/>
    <n v="3112842"/>
    <n v="5152.468"/>
    <n v="45.8627"/>
  </r>
  <r>
    <s v="15-May-2026"/>
    <x v="4"/>
    <s v="Week3-May-2026"/>
    <x v="8"/>
    <s v="Q1FY27"/>
    <s v="30-Jun-2026"/>
    <s v="Tuesday"/>
    <s v="Monthly - Tuesday"/>
    <s v="Monthly - Tuesday"/>
    <s v="Month+1 Expiry"/>
    <n v="175767"/>
    <n v="309.4049"/>
    <n v="3.0546"/>
  </r>
  <r>
    <s v="15-May-2026"/>
    <x v="4"/>
    <s v="Week3-May-2026"/>
    <x v="8"/>
    <s v="Q1FY27"/>
    <s v="28-Jul-2026"/>
    <s v="Tuesday"/>
    <s v="Monthly - Tuesday"/>
    <s v="Monthly - Tuesday"/>
    <s v="Month+2 Expiry"/>
    <n v="5173"/>
    <n v="8.8726"/>
    <n v="0.1883"/>
  </r>
  <r>
    <s v="15-May-2026"/>
    <x v="4"/>
    <s v="Week3-May-2026"/>
    <x v="8"/>
    <s v="Q1FY27"/>
    <s v="29-Sep-2026"/>
    <s v="Tuesday"/>
    <s v="Monthly - Tuesday"/>
    <s v="Monthly - Tuesday"/>
    <s v="Month+4 Expiry"/>
    <n v="266"/>
    <n v="0.4655"/>
    <n v="0.0081"/>
  </r>
  <r>
    <s v="15-May-2026"/>
    <x v="4"/>
    <s v="Week3-May-2026"/>
    <x v="8"/>
    <s v="Q1FY27"/>
    <s v="29-Dec-2026"/>
    <s v="Tuesday"/>
    <s v="Monthly - Tuesday"/>
    <s v="Monthly - Tuesday"/>
    <s v="Month+7 Expiry"/>
    <n v="14"/>
    <n v="0.0249"/>
    <n v="0.001"/>
  </r>
  <r>
    <s v="15-May-2026"/>
    <x v="4"/>
    <s v="Week3-May-2026"/>
    <x v="8"/>
    <s v="Q1FY27"/>
    <s v="30-Mar-2027"/>
    <s v="Tuesday"/>
    <s v="Monthly - Tuesday"/>
    <s v="Monthly - Tuesday"/>
    <s v="Month+10 Expiry"/>
    <n v="0"/>
    <n v="0"/>
    <n v="0"/>
  </r>
  <r>
    <s v="18-May-2026"/>
    <x v="0"/>
    <s v="Week3-May-2026"/>
    <x v="8"/>
    <s v="Q1FY27"/>
    <s v="26-May-2026"/>
    <s v="Tuesday"/>
    <s v="Monthly - Tuesday"/>
    <s v="Monthly - Tuesday"/>
    <s v="Same Month Expiry"/>
    <n v="3798263"/>
    <n v="6225.8678"/>
    <n v="51.7975"/>
  </r>
  <r>
    <s v="18-May-2026"/>
    <x v="0"/>
    <s v="Week3-May-2026"/>
    <x v="8"/>
    <s v="Q1FY27"/>
    <s v="30-Jun-2026"/>
    <s v="Tuesday"/>
    <s v="Monthly - Tuesday"/>
    <s v="Monthly - Tuesday"/>
    <s v="Month+1 Expiry"/>
    <n v="202314"/>
    <n v="350.9397"/>
    <n v="4.7636"/>
  </r>
  <r>
    <s v="18-May-2026"/>
    <x v="0"/>
    <s v="Week3-May-2026"/>
    <x v="8"/>
    <s v="Q1FY27"/>
    <s v="28-Jul-2026"/>
    <s v="Tuesday"/>
    <s v="Monthly - Tuesday"/>
    <s v="Monthly - Tuesday"/>
    <s v="Month+2 Expiry"/>
    <n v="6807"/>
    <n v="11.5066"/>
    <n v="0.2233"/>
  </r>
  <r>
    <s v="18-May-2026"/>
    <x v="0"/>
    <s v="Week3-May-2026"/>
    <x v="8"/>
    <s v="Q1FY27"/>
    <s v="29-Sep-2026"/>
    <s v="Tuesday"/>
    <s v="Monthly - Tuesday"/>
    <s v="Monthly - Tuesday"/>
    <s v="Month+4 Expiry"/>
    <n v="464"/>
    <n v="0.798"/>
    <n v="0.0167"/>
  </r>
  <r>
    <s v="18-May-2026"/>
    <x v="0"/>
    <s v="Week3-May-2026"/>
    <x v="8"/>
    <s v="Q1FY27"/>
    <s v="29-Dec-2026"/>
    <s v="Tuesday"/>
    <s v="Monthly - Tuesday"/>
    <s v="Monthly - Tuesday"/>
    <s v="Month+7 Expiry"/>
    <n v="15"/>
    <n v="0.0254"/>
    <n v="0.0011"/>
  </r>
  <r>
    <s v="18-May-2026"/>
    <x v="0"/>
    <s v="Week3-May-2026"/>
    <x v="8"/>
    <s v="Q1FY27"/>
    <s v="30-Mar-2027"/>
    <s v="Tuesday"/>
    <s v="Monthly - Tuesday"/>
    <s v="Monthly - Tuesday"/>
    <s v="Month+10 Expiry"/>
    <n v="0"/>
    <n v="0"/>
    <n v="0"/>
  </r>
  <r>
    <s v="19-May-2026"/>
    <x v="1"/>
    <s v="Week3-May-2026"/>
    <x v="8"/>
    <s v="Q1FY27"/>
    <s v="26-May-2026"/>
    <s v="Tuesday"/>
    <s v="Monthly - Tuesday"/>
    <s v="Monthly - Tuesday"/>
    <s v="Same Month Expiry"/>
    <n v="3135913"/>
    <n v="5133.957"/>
    <n v="36.6672"/>
  </r>
  <r>
    <s v="19-May-2026"/>
    <x v="1"/>
    <s v="Week3-May-2026"/>
    <x v="8"/>
    <s v="Q1FY27"/>
    <s v="30-Jun-2026"/>
    <s v="Tuesday"/>
    <s v="Monthly - Tuesday"/>
    <s v="Monthly - Tuesday"/>
    <s v="Month+1 Expiry"/>
    <n v="149854"/>
    <n v="262.7127"/>
    <n v="3.35"/>
  </r>
  <r>
    <s v="19-May-2026"/>
    <x v="1"/>
    <s v="Week3-May-2026"/>
    <x v="8"/>
    <s v="Q1FY27"/>
    <s v="28-Jul-2026"/>
    <s v="Tuesday"/>
    <s v="Monthly - Tuesday"/>
    <s v="Monthly - Tuesday"/>
    <s v="Month+2 Expiry"/>
    <n v="2913"/>
    <n v="4.9424"/>
    <n v="0.1095"/>
  </r>
  <r>
    <s v="19-May-2026"/>
    <x v="1"/>
    <s v="Week3-May-2026"/>
    <x v="8"/>
    <s v="Q1FY27"/>
    <s v="29-Sep-2026"/>
    <s v="Tuesday"/>
    <s v="Monthly - Tuesday"/>
    <s v="Monthly - Tuesday"/>
    <s v="Month+4 Expiry"/>
    <n v="185"/>
    <n v="0.3164"/>
    <n v="0.007"/>
  </r>
  <r>
    <s v="19-May-2026"/>
    <x v="1"/>
    <s v="Week3-May-2026"/>
    <x v="8"/>
    <s v="Q1FY27"/>
    <s v="29-Dec-2026"/>
    <s v="Tuesday"/>
    <s v="Monthly - Tuesday"/>
    <s v="Monthly - Tuesday"/>
    <s v="Month+7 Expiry"/>
    <n v="26"/>
    <n v="0.043"/>
    <n v="0.0011"/>
  </r>
  <r>
    <s v="19-May-2026"/>
    <x v="1"/>
    <s v="Week3-May-2026"/>
    <x v="8"/>
    <s v="Q1FY27"/>
    <s v="30-Mar-2027"/>
    <s v="Tuesday"/>
    <s v="Monthly - Tuesday"/>
    <s v="Monthly - Tuesday"/>
    <s v="Month+10 Expiry"/>
    <n v="0"/>
    <n v="0"/>
    <n v="0"/>
  </r>
  <r>
    <s v="20-May-2026"/>
    <x v="2"/>
    <s v="Week3-May-2026"/>
    <x v="8"/>
    <s v="Q1FY27"/>
    <s v="26-May-2026"/>
    <s v="Tuesday"/>
    <s v="Monthly - Tuesday"/>
    <s v="Monthly - Tuesday"/>
    <s v="Same Month Expiry"/>
    <n v="5188850"/>
    <n v="8450.833000000001"/>
    <n v="53.3951"/>
  </r>
  <r>
    <s v="20-May-2026"/>
    <x v="2"/>
    <s v="Week3-May-2026"/>
    <x v="8"/>
    <s v="Q1FY27"/>
    <s v="30-Jun-2026"/>
    <s v="Tuesday"/>
    <s v="Monthly - Tuesday"/>
    <s v="Monthly - Tuesday"/>
    <s v="Month+1 Expiry"/>
    <n v="221112"/>
    <n v="381.0389"/>
    <n v="5.7342"/>
  </r>
  <r>
    <s v="20-May-2026"/>
    <x v="2"/>
    <s v="Week3-May-2026"/>
    <x v="8"/>
    <s v="Q1FY27"/>
    <s v="28-Jul-2026"/>
    <s v="Tuesday"/>
    <s v="Monthly - Tuesday"/>
    <s v="Monthly - Tuesday"/>
    <s v="Month+2 Expiry"/>
    <n v="6345"/>
    <n v="10.5972"/>
    <n v="0.2231"/>
  </r>
  <r>
    <s v="20-May-2026"/>
    <x v="2"/>
    <s v="Week3-May-2026"/>
    <x v="8"/>
    <s v="Q1FY27"/>
    <s v="29-Sep-2026"/>
    <s v="Tuesday"/>
    <s v="Monthly - Tuesday"/>
    <s v="Monthly - Tuesday"/>
    <s v="Month+4 Expiry"/>
    <n v="517"/>
    <n v="0.8893"/>
    <n v="0.0194"/>
  </r>
  <r>
    <s v="20-May-2026"/>
    <x v="2"/>
    <s v="Week3-May-2026"/>
    <x v="8"/>
    <s v="Q1FY27"/>
    <s v="29-Dec-2026"/>
    <s v="Tuesday"/>
    <s v="Monthly - Tuesday"/>
    <s v="Monthly - Tuesday"/>
    <s v="Month+7 Expiry"/>
    <n v="21"/>
    <n v="0.0356"/>
    <n v="0.0014"/>
  </r>
  <r>
    <s v="20-May-2026"/>
    <x v="2"/>
    <s v="Week3-May-2026"/>
    <x v="8"/>
    <s v="Q1FY27"/>
    <s v="30-Mar-2027"/>
    <s v="Tuesday"/>
    <s v="Monthly - Tuesday"/>
    <s v="Monthly - Tuesday"/>
    <s v="Month+10 Expiry"/>
    <n v="0"/>
    <n v="0"/>
    <n v="0"/>
  </r>
  <r>
    <s v="21-May-2026"/>
    <x v="3"/>
    <s v="Week3-May-2026"/>
    <x v="8"/>
    <s v="Q1FY27"/>
    <s v="26-May-2026"/>
    <s v="Tuesday"/>
    <s v="Monthly - Tuesday"/>
    <s v="Monthly - Tuesday"/>
    <s v="Same Month Expiry"/>
    <n v="5824458"/>
    <n v="9498.6651"/>
    <n v="48.5728"/>
  </r>
  <r>
    <s v="21-May-2026"/>
    <x v="3"/>
    <s v="Week3-May-2026"/>
    <x v="8"/>
    <s v="Q1FY27"/>
    <s v="30-Jun-2026"/>
    <s v="Tuesday"/>
    <s v="Monthly - Tuesday"/>
    <s v="Monthly - Tuesday"/>
    <s v="Month+1 Expiry"/>
    <n v="250807"/>
    <n v="426.7793"/>
    <n v="6.4572"/>
  </r>
  <r>
    <s v="21-May-2026"/>
    <x v="3"/>
    <s v="Week3-May-2026"/>
    <x v="8"/>
    <s v="Q1FY27"/>
    <s v="28-Jul-2026"/>
    <s v="Tuesday"/>
    <s v="Monthly - Tuesday"/>
    <s v="Monthly - Tuesday"/>
    <s v="Month+2 Expiry"/>
    <n v="6595"/>
    <n v="11.1192"/>
    <n v="0.2279"/>
  </r>
  <r>
    <s v="21-May-2026"/>
    <x v="3"/>
    <s v="Week3-May-2026"/>
    <x v="8"/>
    <s v="Q1FY27"/>
    <s v="29-Sep-2026"/>
    <s v="Tuesday"/>
    <s v="Monthly - Tuesday"/>
    <s v="Monthly - Tuesday"/>
    <s v="Month+4 Expiry"/>
    <n v="502"/>
    <n v="0.8625"/>
    <n v="0.0221"/>
  </r>
  <r>
    <s v="21-May-2026"/>
    <x v="3"/>
    <s v="Week3-May-2026"/>
    <x v="8"/>
    <s v="Q1FY27"/>
    <s v="29-Dec-2026"/>
    <s v="Tuesday"/>
    <s v="Monthly - Tuesday"/>
    <s v="Monthly - Tuesday"/>
    <s v="Month+7 Expiry"/>
    <n v="19"/>
    <n v="0.0324"/>
    <n v="0.0011"/>
  </r>
  <r>
    <s v="21-May-2026"/>
    <x v="3"/>
    <s v="Week3-May-2026"/>
    <x v="8"/>
    <s v="Q1FY27"/>
    <s v="30-Mar-2027"/>
    <s v="Tuesday"/>
    <s v="Monthly - Tuesday"/>
    <s v="Monthly - Tuesday"/>
    <s v="Month+10 Expiry"/>
    <n v="0"/>
    <n v="0"/>
    <n v="0"/>
  </r>
  <r>
    <s v="22-May-2026"/>
    <x v="4"/>
    <s v="Week4-May-2026"/>
    <x v="8"/>
    <s v="Q1FY27"/>
    <s v="26-May-2026"/>
    <s v="Tuesday"/>
    <s v="Monthly - Tuesday"/>
    <s v="Monthly - Tuesday"/>
    <s v="Same Month Expiry"/>
    <n v="9184146"/>
    <n v="15033.8902"/>
    <n v="67.343"/>
  </r>
  <r>
    <s v="22-May-2026"/>
    <x v="4"/>
    <s v="Week4-May-2026"/>
    <x v="8"/>
    <s v="Q1FY27"/>
    <s v="30-Jun-2026"/>
    <s v="Tuesday"/>
    <s v="Monthly - Tuesday"/>
    <s v="Monthly - Tuesday"/>
    <s v="Month+1 Expiry"/>
    <n v="352471"/>
    <n v="597.9001"/>
    <n v="9.773099999999999"/>
  </r>
  <r>
    <s v="22-May-2026"/>
    <x v="4"/>
    <s v="Week4-May-2026"/>
    <x v="8"/>
    <s v="Q1FY27"/>
    <s v="28-Jul-2026"/>
    <s v="Tuesday"/>
    <s v="Monthly - Tuesday"/>
    <s v="Monthly - Tuesday"/>
    <s v="Month+2 Expiry"/>
    <n v="8441"/>
    <n v="14.2495"/>
    <n v="0.2413"/>
  </r>
  <r>
    <s v="22-May-2026"/>
    <x v="4"/>
    <s v="Week4-May-2026"/>
    <x v="8"/>
    <s v="Q1FY27"/>
    <s v="29-Sep-2026"/>
    <s v="Tuesday"/>
    <s v="Monthly - Tuesday"/>
    <s v="Monthly - Tuesday"/>
    <s v="Month+4 Expiry"/>
    <n v="668"/>
    <n v="1.1576"/>
    <n v="0.0205"/>
  </r>
  <r>
    <s v="22-May-2026"/>
    <x v="4"/>
    <s v="Week4-May-2026"/>
    <x v="8"/>
    <s v="Q1FY27"/>
    <s v="29-Dec-2026"/>
    <s v="Tuesday"/>
    <s v="Monthly - Tuesday"/>
    <s v="Monthly - Tuesday"/>
    <s v="Month+7 Expiry"/>
    <n v="62"/>
    <n v="0.1105"/>
    <n v="0.0038"/>
  </r>
  <r>
    <s v="22-May-2026"/>
    <x v="4"/>
    <s v="Week4-May-2026"/>
    <x v="8"/>
    <s v="Q1FY27"/>
    <s v="30-Mar-2027"/>
    <s v="Tuesday"/>
    <s v="Monthly - Tuesday"/>
    <s v="Monthly - Tuesday"/>
    <s v="Month+10 Expiry"/>
    <n v="0"/>
    <n v="0"/>
    <n v="0"/>
  </r>
  <r>
    <s v="25-May-2026"/>
    <x v="0"/>
    <s v="Week4-May-2026"/>
    <x v="8"/>
    <s v="Q1FY27"/>
    <s v="26-May-2026"/>
    <s v="Tuesday"/>
    <s v="Monthly - Tuesday"/>
    <s v="Monthly - Tuesday"/>
    <s v="Same Month Expiry"/>
    <n v="16090631"/>
    <n v="26655.9037"/>
    <n v="79.5774"/>
  </r>
  <r>
    <s v="25-May-2026"/>
    <x v="0"/>
    <s v="Week4-May-2026"/>
    <x v="8"/>
    <s v="Q1FY27"/>
    <s v="30-Jun-2026"/>
    <s v="Tuesday"/>
    <s v="Monthly - Tuesday"/>
    <s v="Monthly - Tuesday"/>
    <s v="Month+1 Expiry"/>
    <n v="571878"/>
    <n v="962.7992"/>
    <n v="13.8522"/>
  </r>
  <r>
    <s v="25-May-2026"/>
    <x v="0"/>
    <s v="Week4-May-2026"/>
    <x v="8"/>
    <s v="Q1FY27"/>
    <s v="28-Jul-2026"/>
    <s v="Tuesday"/>
    <s v="Monthly - Tuesday"/>
    <s v="Monthly - Tuesday"/>
    <s v="Month+2 Expiry"/>
    <n v="18692"/>
    <n v="30.7746"/>
    <n v="0.4598"/>
  </r>
  <r>
    <s v="25-May-2026"/>
    <x v="0"/>
    <s v="Week4-May-2026"/>
    <x v="8"/>
    <s v="Q1FY27"/>
    <s v="29-Sep-2026"/>
    <s v="Tuesday"/>
    <s v="Monthly - Tuesday"/>
    <s v="Monthly - Tuesday"/>
    <s v="Month+4 Expiry"/>
    <n v="1803"/>
    <n v="3.1854"/>
    <n v="0.0487"/>
  </r>
  <r>
    <s v="25-May-2026"/>
    <x v="0"/>
    <s v="Week4-May-2026"/>
    <x v="8"/>
    <s v="Q1FY27"/>
    <s v="29-Dec-2026"/>
    <s v="Tuesday"/>
    <s v="Monthly - Tuesday"/>
    <s v="Monthly - Tuesday"/>
    <s v="Month+7 Expiry"/>
    <n v="50"/>
    <n v="0.0896"/>
    <n v="0.003"/>
  </r>
  <r>
    <s v="25-May-2026"/>
    <x v="0"/>
    <s v="Week4-May-2026"/>
    <x v="8"/>
    <s v="Q1FY27"/>
    <s v="30-Mar-2027"/>
    <s v="Tuesday"/>
    <s v="Monthly - Tuesday"/>
    <s v="Monthly - Tuesday"/>
    <s v="Month+10 Expiry"/>
    <n v="0"/>
    <n v="0"/>
    <n v="0"/>
  </r>
  <r>
    <s v="26-May-2026"/>
    <x v="1"/>
    <s v="Week4-May-2026"/>
    <x v="8"/>
    <s v="Q1FY27"/>
    <s v="26-May-2026"/>
    <s v="Tuesday"/>
    <s v="Monthly - Tuesday"/>
    <s v="Monthly - Tuesday"/>
    <s v="Same Month Expiry"/>
    <n v="96694212"/>
    <n v="160619.5662"/>
    <n v="176.1435"/>
  </r>
  <r>
    <s v="26-May-2026"/>
    <x v="1"/>
    <s v="Week4-May-2026"/>
    <x v="8"/>
    <s v="Q1FY27"/>
    <s v="30-Jun-2026"/>
    <s v="Tuesday"/>
    <s v="Monthly - Tuesday"/>
    <s v="Monthly - Tuesday"/>
    <s v="Month+1 Expiry"/>
    <n v="711453"/>
    <n v="1203.513"/>
    <n v="16.8689"/>
  </r>
  <r>
    <s v="26-May-2026"/>
    <x v="1"/>
    <s v="Week4-May-2026"/>
    <x v="8"/>
    <s v="Q1FY27"/>
    <s v="28-Jul-2026"/>
    <s v="Tuesday"/>
    <s v="Monthly - Tuesday"/>
    <s v="Monthly - Tuesday"/>
    <s v="Month+2 Expiry"/>
    <n v="18448"/>
    <n v="30.6715"/>
    <n v="0.3816"/>
  </r>
  <r>
    <s v="26-May-2026"/>
    <x v="1"/>
    <s v="Week4-May-2026"/>
    <x v="8"/>
    <s v="Q1FY27"/>
    <s v="29-Sep-2026"/>
    <s v="Tuesday"/>
    <s v="Monthly - Tuesday"/>
    <s v="Monthly - Tuesday"/>
    <s v="Month+4 Expiry"/>
    <n v="854"/>
    <n v="1.4827"/>
    <n v="0.0256"/>
  </r>
  <r>
    <s v="26-May-2026"/>
    <x v="1"/>
    <s v="Week4-May-2026"/>
    <x v="8"/>
    <s v="Q1FY27"/>
    <s v="29-Dec-2026"/>
    <s v="Tuesday"/>
    <s v="Monthly - Tuesday"/>
    <s v="Monthly - Tuesday"/>
    <s v="Month+7 Expiry"/>
    <n v="21"/>
    <n v="0.0363"/>
    <n v="0.0011"/>
  </r>
  <r>
    <s v="26-May-2026"/>
    <x v="1"/>
    <s v="Week4-May-2026"/>
    <x v="8"/>
    <s v="Q1FY27"/>
    <s v="30-Mar-2027"/>
    <s v="Tuesday"/>
    <s v="Monthly - Tuesday"/>
    <s v="Monthly - Tuesday"/>
    <s v="Month+10 Expiry"/>
    <n v="0"/>
    <n v="0"/>
    <n v="0"/>
  </r>
  <r>
    <s v="27-May-2026"/>
    <x v="2"/>
    <s v="Week4-May-2026"/>
    <x v="8"/>
    <s v="Q1FY27"/>
    <s v="30-Jun-2026"/>
    <s v="Tuesday"/>
    <s v="Monthly - Tuesday"/>
    <s v="Monthly - Tuesday"/>
    <s v="Month+1 Expiry"/>
    <n v="1543898"/>
    <n v="2607.9209"/>
    <n v="33.1177"/>
  </r>
  <r>
    <s v="27-May-2026"/>
    <x v="2"/>
    <s v="Week4-May-2026"/>
    <x v="8"/>
    <s v="Q1FY27"/>
    <s v="28-Jul-2026"/>
    <s v="Tuesday"/>
    <s v="Monthly - Tuesday"/>
    <s v="Monthly - Tuesday"/>
    <s v="Month+2 Expiry"/>
    <n v="20273"/>
    <n v="33.3546"/>
    <n v="0.3924"/>
  </r>
  <r>
    <s v="27-May-2026"/>
    <x v="2"/>
    <s v="Week4-May-2026"/>
    <x v="8"/>
    <s v="Q1FY27"/>
    <s v="25-Aug-2026"/>
    <s v="Tuesday"/>
    <s v="Monthly - Tuesday"/>
    <s v="Monthly - Tuesday"/>
    <s v="Month+3 Expiry"/>
    <n v="375"/>
    <n v="0.6235000000000001"/>
    <n v="0.0131"/>
  </r>
  <r>
    <s v="27-May-2026"/>
    <x v="2"/>
    <s v="Week4-May-2026"/>
    <x v="8"/>
    <s v="Q1FY27"/>
    <s v="29-Sep-2026"/>
    <s v="Tuesday"/>
    <s v="Monthly - Tuesday"/>
    <s v="Monthly - Tuesday"/>
    <s v="Month+4 Expiry"/>
    <n v="743"/>
    <n v="1.286"/>
    <n v="0.026"/>
  </r>
  <r>
    <s v="27-May-2026"/>
    <x v="2"/>
    <s v="Week4-May-2026"/>
    <x v="8"/>
    <s v="Q1FY27"/>
    <s v="29-Dec-2026"/>
    <s v="Tuesday"/>
    <s v="Monthly - Tuesday"/>
    <s v="Monthly - Tuesday"/>
    <s v="Month+7 Expiry"/>
    <n v="46"/>
    <n v="0.0775"/>
    <n v="0.0021"/>
  </r>
  <r>
    <s v="27-May-2026"/>
    <x v="2"/>
    <s v="Week4-May-2026"/>
    <x v="8"/>
    <s v="Q1FY27"/>
    <s v="30-Mar-2027"/>
    <s v="Tuesday"/>
    <s v="Monthly - Tuesday"/>
    <s v="Monthly - Tuesday"/>
    <s v="Month+10 Expiry"/>
    <n v="0"/>
    <n v="0"/>
    <n v="0"/>
  </r>
  <r>
    <s v="29-May-2026"/>
    <x v="4"/>
    <s v="Week5-May-2026"/>
    <x v="8"/>
    <s v="Q1FY27"/>
    <s v="30-Jun-2026"/>
    <s v="Tuesday"/>
    <s v="Monthly - Tuesday"/>
    <s v="Monthly - Tuesday"/>
    <s v="Month+1 Expiry"/>
    <n v="2073141"/>
    <n v="3482.1717"/>
    <n v="43.5329"/>
  </r>
  <r>
    <s v="29-May-2026"/>
    <x v="4"/>
    <s v="Week5-May-2026"/>
    <x v="8"/>
    <s v="Q1FY27"/>
    <s v="28-Jul-2026"/>
    <s v="Tuesday"/>
    <s v="Monthly - Tuesday"/>
    <s v="Monthly - Tuesday"/>
    <s v="Month+2 Expiry"/>
    <n v="28947"/>
    <n v="49.0949"/>
    <n v="0.8135"/>
  </r>
  <r>
    <s v="29-May-2026"/>
    <x v="4"/>
    <s v="Week5-May-2026"/>
    <x v="8"/>
    <s v="Q1FY27"/>
    <s v="25-Aug-2026"/>
    <s v="Tuesday"/>
    <s v="Monthly - Tuesday"/>
    <s v="Monthly - Tuesday"/>
    <s v="Month+3 Expiry"/>
    <n v="877"/>
    <n v="1.4602"/>
    <n v="0.0283"/>
  </r>
  <r>
    <s v="29-May-2026"/>
    <x v="4"/>
    <s v="Week5-May-2026"/>
    <x v="8"/>
    <s v="Q1FY27"/>
    <s v="29-Sep-2026"/>
    <s v="Tuesday"/>
    <s v="Monthly - Tuesday"/>
    <s v="Monthly - Tuesday"/>
    <s v="Month+4 Expiry"/>
    <n v="1085"/>
    <n v="1.8913"/>
    <n v="0.034"/>
  </r>
  <r>
    <s v="29-May-2026"/>
    <x v="4"/>
    <s v="Week5-May-2026"/>
    <x v="8"/>
    <s v="Q1FY27"/>
    <s v="29-Dec-2026"/>
    <s v="Tuesday"/>
    <s v="Monthly - Tuesday"/>
    <s v="Monthly - Tuesday"/>
    <s v="Month+7 Expiry"/>
    <n v="33"/>
    <n v="0.0552"/>
    <n v="0.0014"/>
  </r>
  <r>
    <s v="29-May-2026"/>
    <x v="4"/>
    <s v="Week5-May-2026"/>
    <x v="8"/>
    <s v="Q1FY27"/>
    <s v="30-Mar-2027"/>
    <s v="Tuesday"/>
    <s v="Monthly - Tuesday"/>
    <s v="Monthly - Tuesday"/>
    <s v="Month+10 Expiry"/>
    <n v="0"/>
    <n v="0"/>
    <n v="0"/>
  </r>
  <r>
    <s v="01-Jun-2026"/>
    <x v="0"/>
    <s v="Week1-Jun-2026"/>
    <x v="9"/>
    <s v="Q1FY27"/>
    <s v="30-Jun-2026"/>
    <s v="Tuesday"/>
    <s v="Monthly - Tuesday"/>
    <s v="Monthly - Tuesday"/>
    <s v="Same Month Expiry"/>
    <n v="2087116"/>
    <n v="3488.3623"/>
    <n v="41.5176"/>
  </r>
  <r>
    <s v="01-Jun-2026"/>
    <x v="0"/>
    <s v="Week1-Jun-2026"/>
    <x v="9"/>
    <s v="Q1FY27"/>
    <s v="28-Jul-2026"/>
    <s v="Tuesday"/>
    <s v="Monthly - Tuesday"/>
    <s v="Monthly - Tuesday"/>
    <s v="Month+1 Expiry"/>
    <n v="83895"/>
    <n v="147.6527"/>
    <n v="0.8716"/>
  </r>
  <r>
    <s v="01-Jun-2026"/>
    <x v="0"/>
    <s v="Week1-Jun-2026"/>
    <x v="9"/>
    <s v="Q1FY27"/>
    <s v="25-Aug-2026"/>
    <s v="Tuesday"/>
    <s v="Monthly - Tuesday"/>
    <s v="Monthly - Tuesday"/>
    <s v="Month+2 Expiry"/>
    <n v="1769"/>
    <n v="2.9685"/>
    <n v="0.07539999999999999"/>
  </r>
  <r>
    <s v="01-Jun-2026"/>
    <x v="0"/>
    <s v="Week1-Jun-2026"/>
    <x v="9"/>
    <s v="Q1FY27"/>
    <s v="29-Sep-2026"/>
    <s v="Tuesday"/>
    <s v="Monthly - Tuesday"/>
    <s v="Monthly - Tuesday"/>
    <s v="Month+3 Expiry"/>
    <n v="2500"/>
    <n v="4.4105"/>
    <n v="0.0956"/>
  </r>
  <r>
    <s v="01-Jun-2026"/>
    <x v="0"/>
    <s v="Week1-Jun-2026"/>
    <x v="9"/>
    <s v="Q1FY27"/>
    <s v="29-Dec-2026"/>
    <s v="Tuesday"/>
    <s v="Monthly - Tuesday"/>
    <s v="Monthly - Tuesday"/>
    <s v="Month+6 Expiry"/>
    <n v="33"/>
    <n v="0.0544"/>
    <n v="0.0011"/>
  </r>
  <r>
    <s v="01-Jun-2026"/>
    <x v="0"/>
    <s v="Week1-Jun-2026"/>
    <x v="9"/>
    <s v="Q1FY27"/>
    <s v="30-Mar-2027"/>
    <s v="Tuesday"/>
    <s v="Monthly - Tuesday"/>
    <s v="Monthly - Tuesday"/>
    <s v="Month+9 Expiry"/>
    <n v="0"/>
    <n v="0"/>
    <n v="0"/>
  </r>
  <r>
    <s v="02-Jun-2026"/>
    <x v="1"/>
    <s v="Week1-Jun-2026"/>
    <x v="9"/>
    <s v="Q1FY27"/>
    <s v="30-Jun-2026"/>
    <s v="Tuesday"/>
    <s v="Monthly - Tuesday"/>
    <s v="Monthly - Tuesday"/>
    <s v="Same Month Expiry"/>
    <n v="1957882"/>
    <n v="3240.4426"/>
    <n v="40.2826"/>
  </r>
  <r>
    <s v="02-Jun-2026"/>
    <x v="1"/>
    <s v="Week1-Jun-2026"/>
    <x v="9"/>
    <s v="Q1FY27"/>
    <s v="28-Jul-2026"/>
    <s v="Tuesday"/>
    <s v="Monthly - Tuesday"/>
    <s v="Monthly - Tuesday"/>
    <s v="Month+1 Expiry"/>
    <n v="39495"/>
    <n v="67.1138"/>
    <n v="0.7378"/>
  </r>
  <r>
    <s v="02-Jun-2026"/>
    <x v="1"/>
    <s v="Week1-Jun-2026"/>
    <x v="9"/>
    <s v="Q1FY27"/>
    <s v="25-Aug-2026"/>
    <s v="Tuesday"/>
    <s v="Monthly - Tuesday"/>
    <s v="Monthly - Tuesday"/>
    <s v="Month+2 Expiry"/>
    <n v="1730"/>
    <n v="2.948"/>
    <n v="0.0618"/>
  </r>
  <r>
    <s v="02-Jun-2026"/>
    <x v="1"/>
    <s v="Week1-Jun-2026"/>
    <x v="9"/>
    <s v="Q1FY27"/>
    <s v="29-Sep-2026"/>
    <s v="Tuesday"/>
    <s v="Monthly - Tuesday"/>
    <s v="Monthly - Tuesday"/>
    <s v="Month+3 Expiry"/>
    <n v="2027"/>
    <n v="3.5526"/>
    <n v="0.0706"/>
  </r>
  <r>
    <s v="02-Jun-2026"/>
    <x v="1"/>
    <s v="Week1-Jun-2026"/>
    <x v="9"/>
    <s v="Q1FY27"/>
    <s v="29-Dec-2026"/>
    <s v="Tuesday"/>
    <s v="Monthly - Tuesday"/>
    <s v="Monthly - Tuesday"/>
    <s v="Month+6 Expiry"/>
    <n v="47"/>
    <n v="0.08450000000000001"/>
    <n v="0.0019"/>
  </r>
  <r>
    <s v="02-Jun-2026"/>
    <x v="1"/>
    <s v="Week1-Jun-2026"/>
    <x v="9"/>
    <s v="Q1FY27"/>
    <s v="30-Mar-2027"/>
    <s v="Tuesday"/>
    <s v="Monthly - Tuesday"/>
    <s v="Monthly - Tuesday"/>
    <s v="Month+9 Expiry"/>
    <n v="0"/>
    <n v="0"/>
    <n v="0"/>
  </r>
  <r>
    <s v="03-Jun-2026"/>
    <x v="2"/>
    <s v="Week1-Jun-2026"/>
    <x v="9"/>
    <s v="Q1FY27"/>
    <s v="30-Jun-2026"/>
    <s v="Tuesday"/>
    <s v="Monthly - Tuesday"/>
    <s v="Monthly - Tuesday"/>
    <s v="Same Month Expiry"/>
    <n v="2574159"/>
    <n v="4270.5075"/>
    <n v="52.8291"/>
  </r>
  <r>
    <s v="03-Jun-2026"/>
    <x v="2"/>
    <s v="Week1-Jun-2026"/>
    <x v="9"/>
    <s v="Q1FY27"/>
    <s v="28-Jul-2026"/>
    <s v="Tuesday"/>
    <s v="Monthly - Tuesday"/>
    <s v="Monthly - Tuesday"/>
    <s v="Month+1 Expiry"/>
    <n v="58330"/>
    <n v="98.79600000000001"/>
    <n v="1.146"/>
  </r>
  <r>
    <s v="03-Jun-2026"/>
    <x v="2"/>
    <s v="Week1-Jun-2026"/>
    <x v="9"/>
    <s v="Q1FY27"/>
    <s v="25-Aug-2026"/>
    <s v="Tuesday"/>
    <s v="Monthly - Tuesday"/>
    <s v="Monthly - Tuesday"/>
    <s v="Month+2 Expiry"/>
    <n v="2635"/>
    <n v="4.4826"/>
    <n v="0.08450000000000001"/>
  </r>
  <r>
    <s v="03-Jun-2026"/>
    <x v="2"/>
    <s v="Week1-Jun-2026"/>
    <x v="9"/>
    <s v="Q1FY27"/>
    <s v="29-Sep-2026"/>
    <s v="Tuesday"/>
    <s v="Monthly - Tuesday"/>
    <s v="Monthly - Tuesday"/>
    <s v="Month+3 Expiry"/>
    <n v="1774"/>
    <n v="3.0948"/>
    <n v="0.0649"/>
  </r>
  <r>
    <s v="03-Jun-2026"/>
    <x v="2"/>
    <s v="Week1-Jun-2026"/>
    <x v="9"/>
    <s v="Q1FY27"/>
    <s v="29-Dec-2026"/>
    <s v="Tuesday"/>
    <s v="Monthly - Tuesday"/>
    <s v="Monthly - Tuesday"/>
    <s v="Month+6 Expiry"/>
    <n v="64"/>
    <n v="0.1145"/>
    <n v="0.0029"/>
  </r>
  <r>
    <s v="03-Jun-2026"/>
    <x v="2"/>
    <s v="Week1-Jun-2026"/>
    <x v="9"/>
    <s v="Q1FY27"/>
    <s v="30-Mar-2027"/>
    <s v="Tuesday"/>
    <s v="Monthly - Tuesday"/>
    <s v="Monthly - Tuesday"/>
    <s v="Month+9 Expiry"/>
    <n v="0"/>
    <n v="0"/>
    <n v="0"/>
  </r>
  <r>
    <s v="04-Jun-2026"/>
    <x v="3"/>
    <s v="Week1-Jun-2026"/>
    <x v="9"/>
    <s v="Q1FY27"/>
    <s v="30-Jun-2026"/>
    <s v="Tuesday"/>
    <s v="Monthly - Tuesday"/>
    <s v="Monthly - Tuesday"/>
    <s v="Same Month Expiry"/>
    <n v="1805357"/>
    <n v="3012.7035"/>
    <n v="37.8257"/>
  </r>
  <r>
    <s v="04-Jun-2026"/>
    <x v="3"/>
    <s v="Week1-Jun-2026"/>
    <x v="9"/>
    <s v="Q1FY27"/>
    <s v="28-Jul-2026"/>
    <s v="Tuesday"/>
    <s v="Monthly - Tuesday"/>
    <s v="Monthly - Tuesday"/>
    <s v="Month+1 Expiry"/>
    <n v="25161"/>
    <n v="42.7997"/>
    <n v="0.5384"/>
  </r>
  <r>
    <s v="04-Jun-2026"/>
    <x v="3"/>
    <s v="Week1-Jun-2026"/>
    <x v="9"/>
    <s v="Q1FY27"/>
    <s v="25-Aug-2026"/>
    <s v="Tuesday"/>
    <s v="Monthly - Tuesday"/>
    <s v="Monthly - Tuesday"/>
    <s v="Month+2 Expiry"/>
    <n v="1206"/>
    <n v="2.0382"/>
    <n v="0.037"/>
  </r>
  <r>
    <s v="04-Jun-2026"/>
    <x v="3"/>
    <s v="Week1-Jun-2026"/>
    <x v="9"/>
    <s v="Q1FY27"/>
    <s v="29-Sep-2026"/>
    <s v="Tuesday"/>
    <s v="Monthly - Tuesday"/>
    <s v="Monthly - Tuesday"/>
    <s v="Month+3 Expiry"/>
    <n v="995"/>
    <n v="1.7344"/>
    <n v="0.043"/>
  </r>
  <r>
    <s v="04-Jun-2026"/>
    <x v="3"/>
    <s v="Week1-Jun-2026"/>
    <x v="9"/>
    <s v="Q1FY27"/>
    <s v="29-Dec-2026"/>
    <s v="Tuesday"/>
    <s v="Monthly - Tuesday"/>
    <s v="Monthly - Tuesday"/>
    <s v="Month+6 Expiry"/>
    <n v="92"/>
    <n v="0.1694"/>
    <n v="0.0043"/>
  </r>
  <r>
    <s v="04-Jun-2026"/>
    <x v="3"/>
    <s v="Week1-Jun-2026"/>
    <x v="9"/>
    <s v="Q1FY27"/>
    <s v="30-Mar-2027"/>
    <s v="Tuesday"/>
    <s v="Monthly - Tuesday"/>
    <s v="Monthly - Tuesday"/>
    <s v="Month+9 Expiry"/>
    <n v="0"/>
    <n v="0"/>
    <n v="0"/>
  </r>
  <r>
    <s v="05-Jun-2026"/>
    <x v="4"/>
    <s v="Week1-Jun-2026"/>
    <x v="9"/>
    <s v="Q1FY27"/>
    <s v="30-Jun-2026"/>
    <s v="Tuesday"/>
    <s v="Monthly - Tuesday"/>
    <s v="Monthly - Tuesday"/>
    <s v="Same Month Expiry"/>
    <n v="2821084"/>
    <n v="4711.0052"/>
    <n v="59.1951"/>
  </r>
  <r>
    <s v="05-Jun-2026"/>
    <x v="4"/>
    <s v="Week1-Jun-2026"/>
    <x v="9"/>
    <s v="Q1FY27"/>
    <s v="28-Jul-2026"/>
    <s v="Tuesday"/>
    <s v="Monthly - Tuesday"/>
    <s v="Monthly - Tuesday"/>
    <s v="Month+1 Expiry"/>
    <n v="55903"/>
    <n v="95.0865"/>
    <n v="1.1684"/>
  </r>
  <r>
    <s v="05-Jun-2026"/>
    <x v="4"/>
    <s v="Week1-Jun-2026"/>
    <x v="9"/>
    <s v="Q1FY27"/>
    <s v="25-Aug-2026"/>
    <s v="Tuesday"/>
    <s v="Monthly - Tuesday"/>
    <s v="Monthly - Tuesday"/>
    <s v="Month+2 Expiry"/>
    <n v="1450"/>
    <n v="2.4463"/>
    <n v="0.0527"/>
  </r>
  <r>
    <s v="05-Jun-2026"/>
    <x v="4"/>
    <s v="Week1-Jun-2026"/>
    <x v="9"/>
    <s v="Q1FY27"/>
    <s v="29-Sep-2026"/>
    <s v="Tuesday"/>
    <s v="Monthly - Tuesday"/>
    <s v="Monthly - Tuesday"/>
    <s v="Month+3 Expiry"/>
    <n v="1001"/>
    <n v="1.7152"/>
    <n v="0.037"/>
  </r>
  <r>
    <s v="05-Jun-2026"/>
    <x v="4"/>
    <s v="Week1-Jun-2026"/>
    <x v="9"/>
    <s v="Q1FY27"/>
    <s v="29-Dec-2026"/>
    <s v="Tuesday"/>
    <s v="Monthly - Tuesday"/>
    <s v="Monthly - Tuesday"/>
    <s v="Month+6 Expiry"/>
    <n v="113"/>
    <n v="0.2054"/>
    <n v="0.0051"/>
  </r>
  <r>
    <s v="05-Jun-2026"/>
    <x v="4"/>
    <s v="Week1-Jun-2026"/>
    <x v="9"/>
    <s v="Q1FY27"/>
    <s v="30-Mar-2027"/>
    <s v="Tuesday"/>
    <s v="Monthly - Tuesday"/>
    <s v="Monthly - Tuesday"/>
    <s v="Month+9 Expiry"/>
    <n v="0"/>
    <n v="0"/>
    <n v="0"/>
  </r>
  <r>
    <s v="08-Jun-2026"/>
    <x v="0"/>
    <s v="Week2-Jun-2026"/>
    <x v="9"/>
    <s v="Q1FY27"/>
    <s v="30-Jun-2026"/>
    <s v="Tuesday"/>
    <s v="Monthly - Tuesday"/>
    <s v="Monthly - Tuesday"/>
    <s v="Same Month Expiry"/>
    <n v="2052438"/>
    <n v="3411.1772"/>
    <n v="42.6087"/>
  </r>
  <r>
    <s v="08-Jun-2026"/>
    <x v="0"/>
    <s v="Week2-Jun-2026"/>
    <x v="9"/>
    <s v="Q1FY27"/>
    <s v="28-Jul-2026"/>
    <s v="Tuesday"/>
    <s v="Monthly - Tuesday"/>
    <s v="Monthly - Tuesday"/>
    <s v="Month+1 Expiry"/>
    <n v="37591"/>
    <n v="64.2783"/>
    <n v="0.7258"/>
  </r>
  <r>
    <s v="08-Jun-2026"/>
    <x v="0"/>
    <s v="Week2-Jun-2026"/>
    <x v="9"/>
    <s v="Q1FY27"/>
    <s v="25-Aug-2026"/>
    <s v="Tuesday"/>
    <s v="Monthly - Tuesday"/>
    <s v="Monthly - Tuesday"/>
    <s v="Month+2 Expiry"/>
    <n v="1172"/>
    <n v="1.9858"/>
    <n v="0.0383"/>
  </r>
  <r>
    <s v="08-Jun-2026"/>
    <x v="0"/>
    <s v="Week2-Jun-2026"/>
    <x v="9"/>
    <s v="Q1FY27"/>
    <s v="29-Sep-2026"/>
    <s v="Tuesday"/>
    <s v="Monthly - Tuesday"/>
    <s v="Monthly - Tuesday"/>
    <s v="Month+3 Expiry"/>
    <n v="1104"/>
    <n v="1.9502"/>
    <n v="0.0337"/>
  </r>
  <r>
    <s v="08-Jun-2026"/>
    <x v="0"/>
    <s v="Week2-Jun-2026"/>
    <x v="9"/>
    <s v="Q1FY27"/>
    <s v="29-Dec-2026"/>
    <s v="Tuesday"/>
    <s v="Monthly - Tuesday"/>
    <s v="Monthly - Tuesday"/>
    <s v="Month+6 Expiry"/>
    <n v="37"/>
    <n v="0.0663"/>
    <n v="0.0015"/>
  </r>
  <r>
    <s v="08-Jun-2026"/>
    <x v="0"/>
    <s v="Week2-Jun-2026"/>
    <x v="9"/>
    <s v="Q1FY27"/>
    <s v="30-Mar-2027"/>
    <s v="Tuesday"/>
    <s v="Monthly - Tuesday"/>
    <s v="Monthly - Tuesday"/>
    <s v="Month+9 Expiry"/>
    <n v="0"/>
    <n v="0"/>
    <n v="0"/>
  </r>
  <r>
    <s v="09-Jun-2026"/>
    <x v="1"/>
    <s v="Week2-Jun-2026"/>
    <x v="9"/>
    <s v="Q1FY27"/>
    <s v="30-Jun-2026"/>
    <s v="Tuesday"/>
    <s v="Monthly - Tuesday"/>
    <s v="Monthly - Tuesday"/>
    <s v="Same Month Expiry"/>
    <n v="2449924"/>
    <n v="4094.747"/>
    <n v="46.0996"/>
  </r>
  <r>
    <s v="09-Jun-2026"/>
    <x v="1"/>
    <s v="Week2-Jun-2026"/>
    <x v="9"/>
    <s v="Q1FY27"/>
    <s v="28-Jul-2026"/>
    <s v="Tuesday"/>
    <s v="Monthly - Tuesday"/>
    <s v="Monthly - Tuesday"/>
    <s v="Month+1 Expiry"/>
    <n v="65975"/>
    <n v="114.0521"/>
    <n v="2.0552"/>
  </r>
  <r>
    <s v="09-Jun-2026"/>
    <x v="1"/>
    <s v="Week2-Jun-2026"/>
    <x v="9"/>
    <s v="Q1FY27"/>
    <s v="25-Aug-2026"/>
    <s v="Tuesday"/>
    <s v="Monthly - Tuesday"/>
    <s v="Monthly - Tuesday"/>
    <s v="Month+2 Expiry"/>
    <n v="2406"/>
    <n v="4.1209"/>
    <n v="0.0636"/>
  </r>
  <r>
    <s v="09-Jun-2026"/>
    <x v="1"/>
    <s v="Week2-Jun-2026"/>
    <x v="9"/>
    <s v="Q1FY27"/>
    <s v="29-Sep-2026"/>
    <s v="Tuesday"/>
    <s v="Monthly - Tuesday"/>
    <s v="Monthly - Tuesday"/>
    <s v="Month+3 Expiry"/>
    <n v="1189"/>
    <n v="2.0623"/>
    <n v="0.0406"/>
  </r>
  <r>
    <s v="09-Jun-2026"/>
    <x v="1"/>
    <s v="Week2-Jun-2026"/>
    <x v="9"/>
    <s v="Q1FY27"/>
    <s v="29-Dec-2026"/>
    <s v="Tuesday"/>
    <s v="Monthly - Tuesday"/>
    <s v="Monthly - Tuesday"/>
    <s v="Month+6 Expiry"/>
    <n v="54"/>
    <n v="0.09379999999999999"/>
    <n v="0.0023"/>
  </r>
  <r>
    <s v="09-Jun-2026"/>
    <x v="1"/>
    <s v="Week2-Jun-2026"/>
    <x v="9"/>
    <s v="Q1FY27"/>
    <s v="30-Mar-2027"/>
    <s v="Tuesday"/>
    <s v="Monthly - Tuesday"/>
    <s v="Monthly - Tuesday"/>
    <s v="Month+9 Expiry"/>
    <n v="0"/>
    <n v="0"/>
    <n v="0"/>
  </r>
  <r>
    <s v="10-Jun-2026"/>
    <x v="2"/>
    <s v="Week2-Jun-2026"/>
    <x v="9"/>
    <s v="Q1FY27"/>
    <s v="30-Jun-2026"/>
    <s v="Tuesday"/>
    <s v="Monthly - Tuesday"/>
    <s v="Monthly - Tuesday"/>
    <s v="Same Month Expiry"/>
    <n v="2183426"/>
    <n v="3670.8768"/>
    <n v="41.0808"/>
  </r>
  <r>
    <s v="10-Jun-2026"/>
    <x v="2"/>
    <s v="Week2-Jun-2026"/>
    <x v="9"/>
    <s v="Q1FY27"/>
    <s v="28-Jul-2026"/>
    <s v="Tuesday"/>
    <s v="Monthly - Tuesday"/>
    <s v="Monthly - Tuesday"/>
    <s v="Month+1 Expiry"/>
    <n v="79845"/>
    <n v="138.7255"/>
    <n v="2.2307"/>
  </r>
  <r>
    <s v="10-Jun-2026"/>
    <x v="2"/>
    <s v="Week2-Jun-2026"/>
    <x v="9"/>
    <s v="Q1FY27"/>
    <s v="25-Aug-2026"/>
    <s v="Tuesday"/>
    <s v="Monthly - Tuesday"/>
    <s v="Monthly - Tuesday"/>
    <s v="Month+2 Expiry"/>
    <n v="3055"/>
    <n v="5.2126"/>
    <n v="0.0979"/>
  </r>
  <r>
    <s v="10-Jun-2026"/>
    <x v="2"/>
    <s v="Week2-Jun-2026"/>
    <x v="9"/>
    <s v="Q1FY27"/>
    <s v="29-Sep-2026"/>
    <s v="Tuesday"/>
    <s v="Monthly - Tuesday"/>
    <s v="Monthly - Tuesday"/>
    <s v="Month+3 Expiry"/>
    <n v="1691"/>
    <n v="2.9442"/>
    <n v="0.07190000000000001"/>
  </r>
  <r>
    <s v="10-Jun-2026"/>
    <x v="2"/>
    <s v="Week2-Jun-2026"/>
    <x v="9"/>
    <s v="Q1FY27"/>
    <s v="29-Dec-2026"/>
    <s v="Tuesday"/>
    <s v="Monthly - Tuesday"/>
    <s v="Monthly - Tuesday"/>
    <s v="Month+6 Expiry"/>
    <n v="46"/>
    <n v="0.08069999999999999"/>
    <n v="0.0028"/>
  </r>
  <r>
    <s v="10-Jun-2026"/>
    <x v="2"/>
    <s v="Week2-Jun-2026"/>
    <x v="9"/>
    <s v="Q1FY27"/>
    <s v="30-Mar-2027"/>
    <s v="Tuesday"/>
    <s v="Monthly - Tuesday"/>
    <s v="Monthly - Tuesday"/>
    <s v="Month+9 Expiry"/>
    <n v="0"/>
    <n v="0"/>
    <n v="0"/>
  </r>
  <r>
    <s v="11-Jun-2026"/>
    <x v="3"/>
    <s v="Week2-Jun-2026"/>
    <x v="9"/>
    <s v="Q1FY27"/>
    <s v="30-Jun-2026"/>
    <s v="Tuesday"/>
    <s v="Monthly - Tuesday"/>
    <s v="Monthly - Tuesday"/>
    <s v="Same Month Expiry"/>
    <n v="2259732"/>
    <n v="3809.4895"/>
    <n v="40.0856"/>
  </r>
  <r>
    <s v="11-Jun-2026"/>
    <x v="3"/>
    <s v="Week2-Jun-2026"/>
    <x v="9"/>
    <s v="Q1FY27"/>
    <s v="28-Jul-2026"/>
    <s v="Tuesday"/>
    <s v="Monthly - Tuesday"/>
    <s v="Monthly - Tuesday"/>
    <s v="Month+1 Expiry"/>
    <n v="65775"/>
    <n v="114.7093"/>
    <n v="2.1794"/>
  </r>
  <r>
    <s v="11-Jun-2026"/>
    <x v="3"/>
    <s v="Week2-Jun-2026"/>
    <x v="9"/>
    <s v="Q1FY27"/>
    <s v="25-Aug-2026"/>
    <s v="Tuesday"/>
    <s v="Monthly - Tuesday"/>
    <s v="Monthly - Tuesday"/>
    <s v="Month+2 Expiry"/>
    <n v="3126"/>
    <n v="5.2956"/>
    <n v="0.0864"/>
  </r>
  <r>
    <s v="11-Jun-2026"/>
    <x v="3"/>
    <s v="Week2-Jun-2026"/>
    <x v="9"/>
    <s v="Q1FY27"/>
    <s v="29-Sep-2026"/>
    <s v="Tuesday"/>
    <s v="Monthly - Tuesday"/>
    <s v="Monthly - Tuesday"/>
    <s v="Month+3 Expiry"/>
    <n v="1332"/>
    <n v="2.3297"/>
    <n v="0.052"/>
  </r>
  <r>
    <s v="11-Jun-2026"/>
    <x v="3"/>
    <s v="Week2-Jun-2026"/>
    <x v="9"/>
    <s v="Q1FY27"/>
    <s v="29-Dec-2026"/>
    <s v="Tuesday"/>
    <s v="Monthly - Tuesday"/>
    <s v="Monthly - Tuesday"/>
    <s v="Month+6 Expiry"/>
    <n v="43"/>
    <n v="0.0741"/>
    <n v="0.0017"/>
  </r>
  <r>
    <s v="11-Jun-2026"/>
    <x v="3"/>
    <s v="Week2-Jun-2026"/>
    <x v="9"/>
    <s v="Q1FY27"/>
    <s v="30-Mar-2027"/>
    <s v="Tuesday"/>
    <s v="Monthly - Tuesday"/>
    <s v="Monthly - Tuesday"/>
    <s v="Month+9 Expiry"/>
    <n v="0"/>
    <n v="0"/>
    <n v="0"/>
  </r>
  <r>
    <s v="12-Jun-2026"/>
    <x v="4"/>
    <s v="Week2-Jun-2026"/>
    <x v="9"/>
    <s v="Q1FY27"/>
    <s v="30-Jun-2026"/>
    <s v="Tuesday"/>
    <s v="Monthly - Tuesday"/>
    <s v="Monthly - Tuesday"/>
    <s v="Same Month Expiry"/>
    <n v="3673301"/>
    <n v="6241.9112"/>
    <n v="54.5199"/>
  </r>
  <r>
    <s v="12-Jun-2026"/>
    <x v="4"/>
    <s v="Week2-Jun-2026"/>
    <x v="9"/>
    <s v="Q1FY27"/>
    <s v="28-Jul-2026"/>
    <s v="Tuesday"/>
    <s v="Monthly - Tuesday"/>
    <s v="Monthly - Tuesday"/>
    <s v="Month+1 Expiry"/>
    <n v="154892"/>
    <n v="267.9714"/>
    <n v="4.1115"/>
  </r>
  <r>
    <s v="12-Jun-2026"/>
    <x v="4"/>
    <s v="Week2-Jun-2026"/>
    <x v="9"/>
    <s v="Q1FY27"/>
    <s v="25-Aug-2026"/>
    <s v="Tuesday"/>
    <s v="Monthly - Tuesday"/>
    <s v="Monthly - Tuesday"/>
    <s v="Month+2 Expiry"/>
    <n v="6353"/>
    <n v="10.7368"/>
    <n v="0.1847"/>
  </r>
  <r>
    <s v="12-Jun-2026"/>
    <x v="4"/>
    <s v="Week2-Jun-2026"/>
    <x v="9"/>
    <s v="Q1FY27"/>
    <s v="29-Sep-2026"/>
    <s v="Tuesday"/>
    <s v="Monthly - Tuesday"/>
    <s v="Monthly - Tuesday"/>
    <s v="Month+3 Expiry"/>
    <n v="3419"/>
    <n v="5.9125"/>
    <n v="0.1085"/>
  </r>
  <r>
    <s v="12-Jun-2026"/>
    <x v="4"/>
    <s v="Week2-Jun-2026"/>
    <x v="9"/>
    <s v="Q1FY27"/>
    <s v="29-Dec-2026"/>
    <s v="Tuesday"/>
    <s v="Monthly - Tuesday"/>
    <s v="Monthly - Tuesday"/>
    <s v="Month+6 Expiry"/>
    <n v="175"/>
    <n v="0.2882"/>
    <n v="0.0062"/>
  </r>
  <r>
    <s v="12-Jun-2026"/>
    <x v="4"/>
    <s v="Week2-Jun-2026"/>
    <x v="9"/>
    <s v="Q1FY27"/>
    <s v="30-Mar-2027"/>
    <s v="Tuesday"/>
    <s v="Monthly - Tuesday"/>
    <s v="Monthly - Tuesday"/>
    <s v="Month+9 Expiry"/>
    <n v="0"/>
    <n v="0"/>
    <n v="0"/>
  </r>
  <r>
    <s v="15-Jun-2026"/>
    <x v="0"/>
    <s v="Week3-Jun-2026"/>
    <x v="9"/>
    <s v="Q1FY27"/>
    <s v="30-Jun-2026"/>
    <s v="Tuesday"/>
    <s v="Monthly - Tuesday"/>
    <s v="Monthly - Tuesday"/>
    <s v="Same Month Expiry"/>
    <n v="2832594"/>
    <n v="4873.6336"/>
    <n v="38.6703"/>
  </r>
  <r>
    <s v="15-Jun-2026"/>
    <x v="0"/>
    <s v="Week3-Jun-2026"/>
    <x v="9"/>
    <s v="Q1FY27"/>
    <s v="28-Jul-2026"/>
    <s v="Tuesday"/>
    <s v="Monthly - Tuesday"/>
    <s v="Monthly - Tuesday"/>
    <s v="Month+1 Expiry"/>
    <n v="146089"/>
    <n v="253.2281"/>
    <n v="3.1623"/>
  </r>
  <r>
    <s v="15-Jun-2026"/>
    <x v="0"/>
    <s v="Week3-Jun-2026"/>
    <x v="9"/>
    <s v="Q1FY27"/>
    <s v="25-Aug-2026"/>
    <s v="Tuesday"/>
    <s v="Monthly - Tuesday"/>
    <s v="Monthly - Tuesday"/>
    <s v="Month+2 Expiry"/>
    <n v="6355"/>
    <n v="10.8513"/>
    <n v="0.1767"/>
  </r>
  <r>
    <s v="15-Jun-2026"/>
    <x v="0"/>
    <s v="Week3-Jun-2026"/>
    <x v="9"/>
    <s v="Q1FY27"/>
    <s v="29-Sep-2026"/>
    <s v="Tuesday"/>
    <s v="Monthly - Tuesday"/>
    <s v="Monthly - Tuesday"/>
    <s v="Month+3 Expiry"/>
    <n v="2628"/>
    <n v="4.5774"/>
    <n v="0.08840000000000001"/>
  </r>
  <r>
    <s v="15-Jun-2026"/>
    <x v="0"/>
    <s v="Week3-Jun-2026"/>
    <x v="9"/>
    <s v="Q1FY27"/>
    <s v="29-Dec-2026"/>
    <s v="Tuesday"/>
    <s v="Monthly - Tuesday"/>
    <s v="Monthly - Tuesday"/>
    <s v="Month+6 Expiry"/>
    <n v="204"/>
    <n v="0.3613"/>
    <n v="0.009599999999999999"/>
  </r>
  <r>
    <s v="15-Jun-2026"/>
    <x v="0"/>
    <s v="Week3-Jun-2026"/>
    <x v="9"/>
    <s v="Q1FY27"/>
    <s v="30-Mar-2027"/>
    <s v="Tuesday"/>
    <s v="Monthly - Tuesday"/>
    <s v="Monthly - Tuesday"/>
    <s v="Month+9 Expiry"/>
    <n v="0"/>
    <n v="0"/>
    <n v="0"/>
  </r>
  <r>
    <s v="16-Jun-2026"/>
    <x v="1"/>
    <s v="Week3-Jun-2026"/>
    <x v="9"/>
    <s v="Q1FY27"/>
    <s v="30-Jun-2026"/>
    <s v="Tuesday"/>
    <s v="Monthly - Tuesday"/>
    <s v="Monthly - Tuesday"/>
    <s v="Same Month Expiry"/>
    <n v="2103004"/>
    <n v="3615.3212"/>
    <n v="27.479"/>
  </r>
  <r>
    <s v="16-Jun-2026"/>
    <x v="1"/>
    <s v="Week3-Jun-2026"/>
    <x v="9"/>
    <s v="Q1FY27"/>
    <s v="28-Jul-2026"/>
    <s v="Tuesday"/>
    <s v="Monthly - Tuesday"/>
    <s v="Monthly - Tuesday"/>
    <s v="Month+1 Expiry"/>
    <n v="83078"/>
    <n v="142.7805"/>
    <n v="1.5375"/>
  </r>
  <r>
    <s v="16-Jun-2026"/>
    <x v="1"/>
    <s v="Week3-Jun-2026"/>
    <x v="9"/>
    <s v="Q1FY27"/>
    <s v="25-Aug-2026"/>
    <s v="Tuesday"/>
    <s v="Monthly - Tuesday"/>
    <s v="Monthly - Tuesday"/>
    <s v="Month+2 Expiry"/>
    <n v="3424"/>
    <n v="5.8406"/>
    <n v="0.0896"/>
  </r>
  <r>
    <s v="16-Jun-2026"/>
    <x v="1"/>
    <s v="Week3-Jun-2026"/>
    <x v="9"/>
    <s v="Q1FY27"/>
    <s v="29-Sep-2026"/>
    <s v="Tuesday"/>
    <s v="Monthly - Tuesday"/>
    <s v="Monthly - Tuesday"/>
    <s v="Month+3 Expiry"/>
    <n v="1724"/>
    <n v="3.0796"/>
    <n v="0.0613"/>
  </r>
  <r>
    <s v="16-Jun-2026"/>
    <x v="1"/>
    <s v="Week3-Jun-2026"/>
    <x v="9"/>
    <s v="Q1FY27"/>
    <s v="29-Dec-2026"/>
    <s v="Tuesday"/>
    <s v="Monthly - Tuesday"/>
    <s v="Monthly - Tuesday"/>
    <s v="Month+6 Expiry"/>
    <n v="135"/>
    <n v="0.2397"/>
    <n v="0.0058"/>
  </r>
  <r>
    <s v="16-Jun-2026"/>
    <x v="1"/>
    <s v="Week3-Jun-2026"/>
    <x v="9"/>
    <s v="Q1FY27"/>
    <s v="30-Mar-2027"/>
    <s v="Tuesday"/>
    <s v="Monthly - Tuesday"/>
    <s v="Monthly - Tuesday"/>
    <s v="Month+9 Expiry"/>
    <n v="1"/>
    <n v="0.0019"/>
    <n v="0.0001"/>
  </r>
  <r>
    <s v="17-Jun-2026"/>
    <x v="2"/>
    <s v="Week3-Jun-2026"/>
    <x v="9"/>
    <s v="Q1FY27"/>
    <s v="30-Jun-2026"/>
    <s v="Tuesday"/>
    <s v="Monthly - Tuesday"/>
    <s v="Monthly - Tuesday"/>
    <s v="Same Month Expiry"/>
    <n v="2389751"/>
    <n v="4115.6735"/>
    <n v="29.8025"/>
  </r>
  <r>
    <s v="17-Jun-2026"/>
    <x v="2"/>
    <s v="Week3-Jun-2026"/>
    <x v="9"/>
    <s v="Q1FY27"/>
    <s v="28-Jul-2026"/>
    <s v="Tuesday"/>
    <s v="Monthly - Tuesday"/>
    <s v="Monthly - Tuesday"/>
    <s v="Month+1 Expiry"/>
    <n v="84520"/>
    <n v="145.6296"/>
    <n v="1.4996"/>
  </r>
  <r>
    <s v="17-Jun-2026"/>
    <x v="2"/>
    <s v="Week3-Jun-2026"/>
    <x v="9"/>
    <s v="Q1FY27"/>
    <s v="25-Aug-2026"/>
    <s v="Tuesday"/>
    <s v="Monthly - Tuesday"/>
    <s v="Monthly - Tuesday"/>
    <s v="Month+2 Expiry"/>
    <n v="5306"/>
    <n v="9.231999999999999"/>
    <n v="0.1603"/>
  </r>
  <r>
    <s v="17-Jun-2026"/>
    <x v="2"/>
    <s v="Week3-Jun-2026"/>
    <x v="9"/>
    <s v="Q1FY27"/>
    <s v="29-Sep-2026"/>
    <s v="Tuesday"/>
    <s v="Monthly - Tuesday"/>
    <s v="Monthly - Tuesday"/>
    <s v="Month+3 Expiry"/>
    <n v="1376"/>
    <n v="2.4394"/>
    <n v="0.044"/>
  </r>
  <r>
    <s v="17-Jun-2026"/>
    <x v="2"/>
    <s v="Week3-Jun-2026"/>
    <x v="9"/>
    <s v="Q1FY27"/>
    <s v="29-Dec-2026"/>
    <s v="Tuesday"/>
    <s v="Monthly - Tuesday"/>
    <s v="Monthly - Tuesday"/>
    <s v="Month+6 Expiry"/>
    <n v="255"/>
    <n v="0.451"/>
    <n v="0.0101"/>
  </r>
  <r>
    <s v="17-Jun-2026"/>
    <x v="2"/>
    <s v="Week3-Jun-2026"/>
    <x v="9"/>
    <s v="Q1FY27"/>
    <s v="30-Mar-2027"/>
    <s v="Tuesday"/>
    <s v="Monthly - Tuesday"/>
    <s v="Monthly - Tuesday"/>
    <s v="Month+9 Expiry"/>
    <n v="3"/>
    <n v="0.0058"/>
    <n v="0.0002"/>
  </r>
  <r>
    <s v="18-Jun-2026"/>
    <x v="3"/>
    <s v="Week3-Jun-2026"/>
    <x v="9"/>
    <s v="Q1FY27"/>
    <s v="30-Jun-2026"/>
    <s v="Tuesday"/>
    <s v="Monthly - Tuesday"/>
    <s v="Monthly - Tuesday"/>
    <s v="Same Month Expiry"/>
    <n v="2908467"/>
    <n v="5015.7319"/>
    <n v="30.853"/>
  </r>
  <r>
    <s v="18-Jun-2026"/>
    <x v="3"/>
    <s v="Week3-Jun-2026"/>
    <x v="9"/>
    <s v="Q1FY27"/>
    <s v="28-Jul-2026"/>
    <s v="Tuesday"/>
    <s v="Monthly - Tuesday"/>
    <s v="Monthly - Tuesday"/>
    <s v="Month+1 Expiry"/>
    <n v="131734"/>
    <n v="229.5376"/>
    <n v="2.3231"/>
  </r>
  <r>
    <s v="18-Jun-2026"/>
    <x v="3"/>
    <s v="Week3-Jun-2026"/>
    <x v="9"/>
    <s v="Q1FY27"/>
    <s v="25-Aug-2026"/>
    <s v="Tuesday"/>
    <s v="Monthly - Tuesday"/>
    <s v="Monthly - Tuesday"/>
    <s v="Month+2 Expiry"/>
    <n v="10641"/>
    <n v="18.5818"/>
    <n v="0.2941"/>
  </r>
  <r>
    <s v="18-Jun-2026"/>
    <x v="3"/>
    <s v="Week3-Jun-2026"/>
    <x v="9"/>
    <s v="Q1FY27"/>
    <s v="29-Sep-2026"/>
    <s v="Tuesday"/>
    <s v="Monthly - Tuesday"/>
    <s v="Monthly - Tuesday"/>
    <s v="Month+3 Expiry"/>
    <n v="1499"/>
    <n v="2.6141"/>
    <n v="0.0462"/>
  </r>
  <r>
    <s v="18-Jun-2026"/>
    <x v="3"/>
    <s v="Week3-Jun-2026"/>
    <x v="9"/>
    <s v="Q1FY27"/>
    <s v="29-Dec-2026"/>
    <s v="Tuesday"/>
    <s v="Monthly - Tuesday"/>
    <s v="Monthly - Tuesday"/>
    <s v="Month+6 Expiry"/>
    <n v="266"/>
    <n v="0.4759"/>
    <n v="0.011"/>
  </r>
  <r>
    <s v="18-Jun-2026"/>
    <x v="3"/>
    <s v="Week3-Jun-2026"/>
    <x v="9"/>
    <s v="Q1FY27"/>
    <s v="30-Mar-2027"/>
    <s v="Tuesday"/>
    <s v="Monthly - Tuesday"/>
    <s v="Monthly - Tuesday"/>
    <s v="Month+9 Expiry"/>
    <n v="0"/>
    <n v="0"/>
    <n v="0"/>
  </r>
  <r>
    <s v="19-Jun-2026"/>
    <x v="4"/>
    <s v="Week3-Jun-2026"/>
    <x v="9"/>
    <s v="Q1FY27"/>
    <s v="30-Jun-2026"/>
    <s v="Tuesday"/>
    <s v="Monthly - Tuesday"/>
    <s v="Monthly - Tuesday"/>
    <s v="Same Month Expiry"/>
    <n v="3249146"/>
    <n v="5630.6912"/>
    <n v="34.1512"/>
  </r>
  <r>
    <s v="19-Jun-2026"/>
    <x v="4"/>
    <s v="Week3-Jun-2026"/>
    <x v="9"/>
    <s v="Q1FY27"/>
    <s v="28-Jul-2026"/>
    <s v="Tuesday"/>
    <s v="Monthly - Tuesday"/>
    <s v="Monthly - Tuesday"/>
    <s v="Month+1 Expiry"/>
    <n v="125510"/>
    <n v="218.8498"/>
    <n v="2.1367"/>
  </r>
  <r>
    <s v="19-Jun-2026"/>
    <x v="4"/>
    <s v="Week3-Jun-2026"/>
    <x v="9"/>
    <s v="Q1FY27"/>
    <s v="25-Aug-2026"/>
    <s v="Tuesday"/>
    <s v="Monthly - Tuesday"/>
    <s v="Monthly - Tuesday"/>
    <s v="Month+2 Expiry"/>
    <n v="5251"/>
    <n v="9.1875"/>
    <n v="0.148"/>
  </r>
  <r>
    <s v="19-Jun-2026"/>
    <x v="4"/>
    <s v="Week3-Jun-2026"/>
    <x v="9"/>
    <s v="Q1FY27"/>
    <s v="29-Sep-2026"/>
    <s v="Tuesday"/>
    <s v="Monthly - Tuesday"/>
    <s v="Monthly - Tuesday"/>
    <s v="Month+3 Expiry"/>
    <n v="2582"/>
    <n v="4.287"/>
    <n v="0.0587"/>
  </r>
  <r>
    <s v="19-Jun-2026"/>
    <x v="4"/>
    <s v="Week3-Jun-2026"/>
    <x v="9"/>
    <s v="Q1FY27"/>
    <s v="29-Dec-2026"/>
    <s v="Tuesday"/>
    <s v="Monthly - Tuesday"/>
    <s v="Monthly - Tuesday"/>
    <s v="Month+6 Expiry"/>
    <n v="38"/>
    <n v="0.06569999999999999"/>
    <n v="0.0015"/>
  </r>
  <r>
    <s v="19-Jun-2026"/>
    <x v="4"/>
    <s v="Week3-Jun-2026"/>
    <x v="9"/>
    <s v="Q1FY27"/>
    <s v="30-Mar-2027"/>
    <s v="Tuesday"/>
    <s v="Monthly - Tuesday"/>
    <s v="Monthly - Tuesday"/>
    <s v="Month+9 Expiry"/>
    <n v="0"/>
    <n v="0"/>
    <n v="0"/>
  </r>
  <r>
    <s v="22-Jun-2026"/>
    <x v="0"/>
    <s v="Week4-Jun-2026"/>
    <x v="9"/>
    <s v="Q1FY27"/>
    <s v="30-Jun-2026"/>
    <s v="Tuesday"/>
    <s v="Monthly - Tuesday"/>
    <s v="Monthly - Tuesday"/>
    <s v="Same Month Expiry"/>
    <n v="2948751"/>
    <n v="5118.6138"/>
    <n v="24.2791"/>
  </r>
  <r>
    <s v="22-Jun-2026"/>
    <x v="0"/>
    <s v="Week4-Jun-2026"/>
    <x v="9"/>
    <s v="Q1FY27"/>
    <s v="28-Jul-2026"/>
    <s v="Tuesday"/>
    <s v="Monthly - Tuesday"/>
    <s v="Monthly - Tuesday"/>
    <s v="Month+1 Expiry"/>
    <n v="108355"/>
    <n v="188.8821"/>
    <n v="2.0009"/>
  </r>
  <r>
    <s v="22-Jun-2026"/>
    <x v="0"/>
    <s v="Week4-Jun-2026"/>
    <x v="9"/>
    <s v="Q1FY27"/>
    <s v="25-Aug-2026"/>
    <s v="Tuesday"/>
    <s v="Monthly - Tuesday"/>
    <s v="Monthly - Tuesday"/>
    <s v="Month+2 Expiry"/>
    <n v="7799"/>
    <n v="13.6616"/>
    <n v="0.2227"/>
  </r>
  <r>
    <s v="22-Jun-2026"/>
    <x v="0"/>
    <s v="Week4-Jun-2026"/>
    <x v="9"/>
    <s v="Q1FY27"/>
    <s v="29-Sep-2026"/>
    <s v="Tuesday"/>
    <s v="Monthly - Tuesday"/>
    <s v="Monthly - Tuesday"/>
    <s v="Month+3 Expiry"/>
    <n v="1375"/>
    <n v="2.3717"/>
    <n v="0.036"/>
  </r>
  <r>
    <s v="22-Jun-2026"/>
    <x v="0"/>
    <s v="Week4-Jun-2026"/>
    <x v="9"/>
    <s v="Q1FY27"/>
    <s v="29-Dec-2026"/>
    <s v="Tuesday"/>
    <s v="Monthly - Tuesday"/>
    <s v="Monthly - Tuesday"/>
    <s v="Month+6 Expiry"/>
    <n v="43"/>
    <n v="0.07389999999999999"/>
    <n v="0.0018"/>
  </r>
  <r>
    <s v="22-Jun-2026"/>
    <x v="0"/>
    <s v="Week4-Jun-2026"/>
    <x v="9"/>
    <s v="Q1FY27"/>
    <s v="30-Mar-2027"/>
    <s v="Tuesday"/>
    <s v="Monthly - Tuesday"/>
    <s v="Monthly - Tuesday"/>
    <s v="Month+9 Expiry"/>
    <n v="0"/>
    <n v="0"/>
    <n v="0"/>
  </r>
  <r>
    <s v="23-Jun-2026"/>
    <x v="1"/>
    <s v="Week4-Jun-2026"/>
    <x v="9"/>
    <s v="Q1FY27"/>
    <s v="30-Jun-2026"/>
    <s v="Tuesday"/>
    <s v="Monthly - Tuesday"/>
    <s v="Monthly - Tuesday"/>
    <s v="Same Month Expiry"/>
    <n v="5162520"/>
    <n v="8931.8146"/>
    <n v="38.0027"/>
  </r>
  <r>
    <s v="23-Jun-2026"/>
    <x v="1"/>
    <s v="Week4-Jun-2026"/>
    <x v="9"/>
    <s v="Q1FY27"/>
    <s v="28-Jul-2026"/>
    <s v="Tuesday"/>
    <s v="Monthly - Tuesday"/>
    <s v="Monthly - Tuesday"/>
    <s v="Month+1 Expiry"/>
    <n v="224292"/>
    <n v="391.7062"/>
    <n v="4.3317"/>
  </r>
  <r>
    <s v="23-Jun-2026"/>
    <x v="1"/>
    <s v="Week4-Jun-2026"/>
    <x v="9"/>
    <s v="Q1FY27"/>
    <s v="25-Aug-2026"/>
    <s v="Tuesday"/>
    <s v="Monthly - Tuesday"/>
    <s v="Monthly - Tuesday"/>
    <s v="Month+2 Expiry"/>
    <n v="8782"/>
    <n v="15.2753"/>
    <n v="0.2072"/>
  </r>
  <r>
    <s v="23-Jun-2026"/>
    <x v="1"/>
    <s v="Week4-Jun-2026"/>
    <x v="9"/>
    <s v="Q1FY27"/>
    <s v="29-Sep-2026"/>
    <s v="Tuesday"/>
    <s v="Monthly - Tuesday"/>
    <s v="Monthly - Tuesday"/>
    <s v="Month+3 Expiry"/>
    <n v="2117"/>
    <n v="3.6846"/>
    <n v="0.0515"/>
  </r>
  <r>
    <s v="23-Jun-2026"/>
    <x v="1"/>
    <s v="Week4-Jun-2026"/>
    <x v="9"/>
    <s v="Q1FY27"/>
    <s v="29-Dec-2026"/>
    <s v="Tuesday"/>
    <s v="Monthly - Tuesday"/>
    <s v="Monthly - Tuesday"/>
    <s v="Month+6 Expiry"/>
    <n v="117"/>
    <n v="0.2004"/>
    <n v="0.0042"/>
  </r>
  <r>
    <s v="23-Jun-2026"/>
    <x v="1"/>
    <s v="Week4-Jun-2026"/>
    <x v="9"/>
    <s v="Q1FY27"/>
    <s v="30-Mar-2027"/>
    <s v="Tuesday"/>
    <s v="Monthly - Tuesday"/>
    <s v="Monthly - Tuesday"/>
    <s v="Month+9 Expiry"/>
    <n v="0"/>
    <n v="0"/>
    <n v="0"/>
  </r>
  <r>
    <s v="24-Jun-2026"/>
    <x v="2"/>
    <s v="Week4-Jun-2026"/>
    <x v="9"/>
    <s v="Q1FY27"/>
    <s v="30-Jun-2026"/>
    <s v="Tuesday"/>
    <s v="Monthly - Tuesday"/>
    <s v="Monthly - Tuesday"/>
    <s v="Same Month Expiry"/>
    <n v="6810780"/>
    <n v="11826.2377"/>
    <n v="53.3621"/>
  </r>
  <r>
    <s v="24-Jun-2026"/>
    <x v="2"/>
    <s v="Week4-Jun-2026"/>
    <x v="9"/>
    <s v="Q1FY27"/>
    <s v="28-Jul-2026"/>
    <s v="Tuesday"/>
    <s v="Monthly - Tuesday"/>
    <s v="Monthly - Tuesday"/>
    <s v="Month+1 Expiry"/>
    <n v="322276"/>
    <n v="567.3855"/>
    <n v="6.7182"/>
  </r>
  <r>
    <s v="24-Jun-2026"/>
    <x v="2"/>
    <s v="Week4-Jun-2026"/>
    <x v="9"/>
    <s v="Q1FY27"/>
    <s v="25-Aug-2026"/>
    <s v="Tuesday"/>
    <s v="Monthly - Tuesday"/>
    <s v="Monthly - Tuesday"/>
    <s v="Month+2 Expiry"/>
    <n v="11399"/>
    <n v="20.1792"/>
    <n v="0.3095"/>
  </r>
  <r>
    <s v="24-Jun-2026"/>
    <x v="2"/>
    <s v="Week4-Jun-2026"/>
    <x v="9"/>
    <s v="Q1FY27"/>
    <s v="29-Sep-2026"/>
    <s v="Tuesday"/>
    <s v="Monthly - Tuesday"/>
    <s v="Monthly - Tuesday"/>
    <s v="Month+3 Expiry"/>
    <n v="1741"/>
    <n v="3.0562"/>
    <n v="0.0568"/>
  </r>
  <r>
    <s v="24-Jun-2026"/>
    <x v="2"/>
    <s v="Week4-Jun-2026"/>
    <x v="9"/>
    <s v="Q1FY27"/>
    <s v="29-Dec-2026"/>
    <s v="Tuesday"/>
    <s v="Monthly - Tuesday"/>
    <s v="Monthly - Tuesday"/>
    <s v="Month+6 Expiry"/>
    <n v="267"/>
    <n v="0.4657"/>
    <n v="0.0112"/>
  </r>
  <r>
    <s v="24-Jun-2026"/>
    <x v="2"/>
    <s v="Week4-Jun-2026"/>
    <x v="9"/>
    <s v="Q1FY27"/>
    <s v="30-Mar-2027"/>
    <s v="Tuesday"/>
    <s v="Monthly - Tuesday"/>
    <s v="Monthly - Tuesday"/>
    <s v="Month+9 Expiry"/>
    <n v="0"/>
    <n v="0"/>
    <n v="0"/>
  </r>
  <r>
    <s v="25-Jun-2026"/>
    <x v="3"/>
    <s v="Week4-Jun-2026"/>
    <x v="9"/>
    <s v="Q1FY27"/>
    <s v="30-Jun-2026"/>
    <s v="Tuesday"/>
    <s v="Monthly - Tuesday"/>
    <s v="Monthly - Tuesday"/>
    <s v="Same Month Expiry"/>
    <n v="6781654"/>
    <n v="11837.8601"/>
    <n v="39.3671"/>
  </r>
  <r>
    <s v="25-Jun-2026"/>
    <x v="3"/>
    <s v="Week4-Jun-2026"/>
    <x v="9"/>
    <s v="Q1FY27"/>
    <s v="28-Jul-2026"/>
    <s v="Tuesday"/>
    <s v="Monthly - Tuesday"/>
    <s v="Monthly - Tuesday"/>
    <s v="Month+1 Expiry"/>
    <n v="403951"/>
    <n v="713.903"/>
    <n v="8.311299999999999"/>
  </r>
  <r>
    <s v="25-Jun-2026"/>
    <x v="3"/>
    <s v="Week4-Jun-2026"/>
    <x v="9"/>
    <s v="Q1FY27"/>
    <s v="25-Aug-2026"/>
    <s v="Tuesday"/>
    <s v="Monthly - Tuesday"/>
    <s v="Monthly - Tuesday"/>
    <s v="Month+2 Expiry"/>
    <n v="16063"/>
    <n v="28.3668"/>
    <n v="0.3857"/>
  </r>
  <r>
    <s v="25-Jun-2026"/>
    <x v="3"/>
    <s v="Week4-Jun-2026"/>
    <x v="9"/>
    <s v="Q1FY27"/>
    <s v="29-Sep-2026"/>
    <s v="Tuesday"/>
    <s v="Monthly - Tuesday"/>
    <s v="Monthly - Tuesday"/>
    <s v="Month+3 Expiry"/>
    <n v="3623"/>
    <n v="6.4183"/>
    <n v="0.1102"/>
  </r>
  <r>
    <s v="25-Jun-2026"/>
    <x v="3"/>
    <s v="Week4-Jun-2026"/>
    <x v="9"/>
    <s v="Q1FY27"/>
    <s v="29-Dec-2026"/>
    <s v="Tuesday"/>
    <s v="Monthly - Tuesday"/>
    <s v="Monthly - Tuesday"/>
    <s v="Month+6 Expiry"/>
    <n v="133"/>
    <n v="0.2307"/>
    <n v="0.0051"/>
  </r>
  <r>
    <s v="25-Jun-2026"/>
    <x v="3"/>
    <s v="Week4-Jun-2026"/>
    <x v="9"/>
    <s v="Q1FY27"/>
    <s v="30-Mar-2027"/>
    <s v="Tuesday"/>
    <s v="Monthly - Tuesday"/>
    <s v="Monthly - Tuesday"/>
    <s v="Month+9 Expiry"/>
    <n v="0"/>
    <n v="0"/>
    <n v="0"/>
  </r>
  <r>
    <s v="29-Jun-2026"/>
    <x v="0"/>
    <s v="Week5-Jun-2026"/>
    <x v="9"/>
    <s v="Q1FY27"/>
    <s v="30-Jun-2026"/>
    <s v="Tuesday"/>
    <s v="Monthly - Tuesday"/>
    <s v="Monthly - Tuesday"/>
    <s v="Same Month Expiry"/>
    <n v="22572112"/>
    <n v="39225.1855"/>
    <n v="99.5258"/>
  </r>
  <r>
    <s v="29-Jun-2026"/>
    <x v="0"/>
    <s v="Week5-Jun-2026"/>
    <x v="9"/>
    <s v="Q1FY27"/>
    <s v="28-Jul-2026"/>
    <s v="Tuesday"/>
    <s v="Monthly - Tuesday"/>
    <s v="Monthly - Tuesday"/>
    <s v="Month+1 Expiry"/>
    <n v="475306"/>
    <n v="840.3784000000001"/>
    <n v="10.8086"/>
  </r>
  <r>
    <s v="29-Jun-2026"/>
    <x v="0"/>
    <s v="Week5-Jun-2026"/>
    <x v="9"/>
    <s v="Q1FY27"/>
    <s v="25-Aug-2026"/>
    <s v="Tuesday"/>
    <s v="Monthly - Tuesday"/>
    <s v="Monthly - Tuesday"/>
    <s v="Month+2 Expiry"/>
    <n v="14064"/>
    <n v="24.5363"/>
    <n v="0.3388"/>
  </r>
  <r>
    <s v="29-Jun-2026"/>
    <x v="0"/>
    <s v="Week5-Jun-2026"/>
    <x v="9"/>
    <s v="Q1FY27"/>
    <s v="29-Sep-2026"/>
    <s v="Tuesday"/>
    <s v="Monthly - Tuesday"/>
    <s v="Monthly - Tuesday"/>
    <s v="Month+3 Expiry"/>
    <n v="1399"/>
    <n v="2.4601"/>
    <n v="0.045"/>
  </r>
  <r>
    <s v="29-Jun-2026"/>
    <x v="0"/>
    <s v="Week5-Jun-2026"/>
    <x v="9"/>
    <s v="Q1FY27"/>
    <s v="29-Dec-2026"/>
    <s v="Tuesday"/>
    <s v="Monthly - Tuesday"/>
    <s v="Monthly - Tuesday"/>
    <s v="Month+6 Expiry"/>
    <n v="62"/>
    <n v="0.1069"/>
    <n v="0.0023"/>
  </r>
  <r>
    <s v="29-Jun-2026"/>
    <x v="0"/>
    <s v="Week5-Jun-2026"/>
    <x v="9"/>
    <s v="Q1FY27"/>
    <s v="30-Mar-2027"/>
    <s v="Tuesday"/>
    <s v="Monthly - Tuesday"/>
    <s v="Monthly - Tuesday"/>
    <s v="Month+9 Expiry"/>
    <n v="0"/>
    <n v="0"/>
    <n v="0"/>
  </r>
  <r>
    <s v="30-Jun-2026"/>
    <x v="1"/>
    <s v="Week5-Jun-2026"/>
    <x v="9"/>
    <s v="Q1FY27"/>
    <s v="30-Jun-2026"/>
    <s v="Tuesday"/>
    <s v="Monthly - Tuesday"/>
    <s v="Monthly - Tuesday"/>
    <s v="Same Month Expiry"/>
    <n v="90608397"/>
    <n v="156713.7945"/>
    <n v="165.7756"/>
  </r>
  <r>
    <s v="30-Jun-2026"/>
    <x v="1"/>
    <s v="Week5-Jun-2026"/>
    <x v="9"/>
    <s v="Q1FY27"/>
    <s v="28-Jul-2026"/>
    <s v="Tuesday"/>
    <s v="Monthly - Tuesday"/>
    <s v="Monthly - Tuesday"/>
    <s v="Month+1 Expiry"/>
    <n v="658052"/>
    <n v="1157.6016"/>
    <n v="14.3916"/>
  </r>
  <r>
    <s v="30-Jun-2026"/>
    <x v="1"/>
    <s v="Week5-Jun-2026"/>
    <x v="9"/>
    <s v="Q1FY27"/>
    <s v="25-Aug-2026"/>
    <s v="Tuesday"/>
    <s v="Monthly - Tuesday"/>
    <s v="Monthly - Tuesday"/>
    <s v="Month+2 Expiry"/>
    <n v="11039"/>
    <n v="19.3738"/>
    <n v="0.3173"/>
  </r>
  <r>
    <s v="30-Jun-2026"/>
    <x v="1"/>
    <s v="Week5-Jun-2026"/>
    <x v="9"/>
    <s v="Q1FY27"/>
    <s v="29-Sep-2026"/>
    <s v="Tuesday"/>
    <s v="Monthly - Tuesday"/>
    <s v="Monthly - Tuesday"/>
    <s v="Month+3 Expiry"/>
    <n v="1586"/>
    <n v="2.8343"/>
    <n v="0.0478"/>
  </r>
  <r>
    <s v="30-Jun-2026"/>
    <x v="1"/>
    <s v="Week5-Jun-2026"/>
    <x v="9"/>
    <s v="Q1FY27"/>
    <s v="29-Dec-2026"/>
    <s v="Tuesday"/>
    <s v="Monthly - Tuesday"/>
    <s v="Monthly - Tuesday"/>
    <s v="Month+6 Expiry"/>
    <n v="72"/>
    <n v="0.1286"/>
    <n v="0.0039"/>
  </r>
  <r>
    <s v="30-Jun-2026"/>
    <x v="1"/>
    <s v="Week5-Jun-2026"/>
    <x v="9"/>
    <s v="Q1FY27"/>
    <s v="30-Mar-2027"/>
    <s v="Tuesday"/>
    <s v="Monthly - Tuesday"/>
    <s v="Monthly - Tuesday"/>
    <s v="Month+9 Expiry"/>
    <n v="0"/>
    <n v="0"/>
    <n v="0"/>
  </r>
  <r>
    <s v="01-Jul-2026"/>
    <x v="2"/>
    <s v="Week1-Jul-2026"/>
    <x v="10"/>
    <s v="Q2FY27"/>
    <s v="28-Jul-2026"/>
    <s v="Tuesday"/>
    <s v="Monthly - Tuesday"/>
    <s v="Monthly - Tuesday"/>
    <s v="Same Month Expiry"/>
    <n v="1531718"/>
    <n v="2691.6388"/>
    <n v="27.7557"/>
  </r>
  <r>
    <s v="01-Jul-2026"/>
    <x v="2"/>
    <s v="Week1-Jul-2026"/>
    <x v="10"/>
    <s v="Q2FY27"/>
    <s v="25-Aug-2026"/>
    <s v="Tuesday"/>
    <s v="Monthly - Tuesday"/>
    <s v="Monthly - Tuesday"/>
    <s v="Month+1 Expiry"/>
    <n v="15430"/>
    <n v="26.6915"/>
    <n v="0.3439"/>
  </r>
  <r>
    <s v="01-Jul-2026"/>
    <x v="2"/>
    <s v="Week1-Jul-2026"/>
    <x v="10"/>
    <s v="Q2FY27"/>
    <s v="29-Sep-2026"/>
    <s v="Tuesday"/>
    <s v="Monthly - Tuesday"/>
    <s v="Monthly - Tuesday"/>
    <s v="Month+2 Expiry"/>
    <n v="3290"/>
    <n v="5.6259"/>
    <n v="0.07530000000000001"/>
  </r>
  <r>
    <s v="01-Jul-2026"/>
    <x v="2"/>
    <s v="Week1-Jul-2026"/>
    <x v="10"/>
    <s v="Q2FY27"/>
    <s v="29-Dec-2026"/>
    <s v="Tuesday"/>
    <s v="Monthly - Tuesday"/>
    <s v="Monthly - Tuesday"/>
    <s v="Month+5 Expiry"/>
    <n v="681"/>
    <n v="0.9676"/>
    <n v="0.0066"/>
  </r>
  <r>
    <s v="01-Jul-2026"/>
    <x v="2"/>
    <s v="Week1-Jul-2026"/>
    <x v="10"/>
    <s v="Q2FY27"/>
    <s v="30-Mar-2027"/>
    <s v="Tuesday"/>
    <s v="Monthly - Tuesday"/>
    <s v="Monthly - Tuesday"/>
    <s v="Month+8 Expiry"/>
    <n v="0"/>
    <n v="0"/>
    <n v="0"/>
  </r>
  <r>
    <s v="01-Jul-2026"/>
    <x v="2"/>
    <s v="Week1-Jul-2026"/>
    <x v="10"/>
    <s v="Q2FY27"/>
    <s v="29-Jun-2027"/>
    <s v="Tuesday"/>
    <s v="Monthly - Tuesday"/>
    <s v="Monthly - Tuesday"/>
    <s v="Month+11 Expiry"/>
    <n v="0"/>
    <n v="0"/>
    <n v="0"/>
  </r>
  <r>
    <s v="02-Jul-2026"/>
    <x v="3"/>
    <s v="Week1-Jul-2026"/>
    <x v="10"/>
    <s v="Q2FY27"/>
    <s v="28-Jul-2026"/>
    <s v="Tuesday"/>
    <s v="Monthly - Tuesday"/>
    <s v="Monthly - Tuesday"/>
    <s v="Same Month Expiry"/>
    <n v="1501955"/>
    <n v="2644.0387"/>
    <n v="27.0559"/>
  </r>
  <r>
    <s v="02-Jul-2026"/>
    <x v="3"/>
    <s v="Week1-Jul-2026"/>
    <x v="10"/>
    <s v="Q2FY27"/>
    <s v="25-Aug-2026"/>
    <s v="Tuesday"/>
    <s v="Monthly - Tuesday"/>
    <s v="Monthly - Tuesday"/>
    <s v="Month+1 Expiry"/>
    <n v="16533"/>
    <n v="29.1449"/>
    <n v="0.403"/>
  </r>
  <r>
    <s v="02-Jul-2026"/>
    <x v="3"/>
    <s v="Week1-Jul-2026"/>
    <x v="10"/>
    <s v="Q2FY27"/>
    <s v="29-Sep-2026"/>
    <s v="Tuesday"/>
    <s v="Monthly - Tuesday"/>
    <s v="Monthly - Tuesday"/>
    <s v="Month+2 Expiry"/>
    <n v="2461"/>
    <n v="4.1771"/>
    <n v="0.056"/>
  </r>
  <r>
    <s v="02-Jul-2026"/>
    <x v="3"/>
    <s v="Week1-Jul-2026"/>
    <x v="10"/>
    <s v="Q2FY27"/>
    <s v="29-Dec-2026"/>
    <s v="Tuesday"/>
    <s v="Monthly - Tuesday"/>
    <s v="Monthly - Tuesday"/>
    <s v="Month+5 Expiry"/>
    <n v="130"/>
    <n v="0.2233"/>
    <n v="0.0044"/>
  </r>
  <r>
    <s v="02-Jul-2026"/>
    <x v="3"/>
    <s v="Week1-Jul-2026"/>
    <x v="10"/>
    <s v="Q2FY27"/>
    <s v="30-Mar-2027"/>
    <s v="Tuesday"/>
    <s v="Monthly - Tuesday"/>
    <s v="Monthly - Tuesday"/>
    <s v="Month+8 Expiry"/>
    <n v="0"/>
    <n v="0"/>
    <n v="0"/>
  </r>
  <r>
    <s v="02-Jul-2026"/>
    <x v="3"/>
    <s v="Week1-Jul-2026"/>
    <x v="10"/>
    <s v="Q2FY27"/>
    <s v="29-Jun-2027"/>
    <s v="Tuesday"/>
    <s v="Monthly - Tuesday"/>
    <s v="Monthly - Tuesday"/>
    <s v="Month+11 Expiry"/>
    <n v="0"/>
    <n v="0"/>
    <n v="0"/>
  </r>
  <r>
    <s v="03-Jul-2026"/>
    <x v="4"/>
    <s v="Week1-Jul-2026"/>
    <x v="10"/>
    <s v="Q2FY27"/>
    <s v="28-Jul-2026"/>
    <s v="Tuesday"/>
    <s v="Monthly - Tuesday"/>
    <s v="Monthly - Tuesday"/>
    <s v="Same Month Expiry"/>
    <n v="1623313"/>
    <n v="2862.6442"/>
    <n v="28.8871"/>
  </r>
  <r>
    <s v="03-Jul-2026"/>
    <x v="4"/>
    <s v="Week1-Jul-2026"/>
    <x v="10"/>
    <s v="Q2FY27"/>
    <s v="25-Aug-2026"/>
    <s v="Tuesday"/>
    <s v="Monthly - Tuesday"/>
    <s v="Monthly - Tuesday"/>
    <s v="Month+1 Expiry"/>
    <n v="23323"/>
    <n v="40.9408"/>
    <n v="0.5841"/>
  </r>
  <r>
    <s v="03-Jul-2026"/>
    <x v="4"/>
    <s v="Week1-Jul-2026"/>
    <x v="10"/>
    <s v="Q2FY27"/>
    <s v="29-Sep-2026"/>
    <s v="Tuesday"/>
    <s v="Monthly - Tuesday"/>
    <s v="Monthly - Tuesday"/>
    <s v="Month+2 Expiry"/>
    <n v="3664"/>
    <n v="6.3765"/>
    <n v="0.1178"/>
  </r>
  <r>
    <s v="03-Jul-2026"/>
    <x v="4"/>
    <s v="Week1-Jul-2026"/>
    <x v="10"/>
    <s v="Q2FY27"/>
    <s v="29-Dec-2026"/>
    <s v="Tuesday"/>
    <s v="Monthly - Tuesday"/>
    <s v="Monthly - Tuesday"/>
    <s v="Month+5 Expiry"/>
    <n v="95"/>
    <n v="0.1641"/>
    <n v="0.0034"/>
  </r>
  <r>
    <s v="03-Jul-2026"/>
    <x v="4"/>
    <s v="Week1-Jul-2026"/>
    <x v="10"/>
    <s v="Q2FY27"/>
    <s v="30-Mar-2027"/>
    <s v="Tuesday"/>
    <s v="Monthly - Tuesday"/>
    <s v="Monthly - Tuesday"/>
    <s v="Month+8 Expiry"/>
    <n v="0"/>
    <n v="0"/>
    <n v="0"/>
  </r>
  <r>
    <s v="03-Jul-2026"/>
    <x v="4"/>
    <s v="Week1-Jul-2026"/>
    <x v="10"/>
    <s v="Q2FY27"/>
    <s v="29-Jun-2027"/>
    <s v="Tuesday"/>
    <s v="Monthly - Tuesday"/>
    <s v="Monthly - Tuesday"/>
    <s v="Month+11 Expiry"/>
    <n v="0"/>
    <n v="0"/>
    <n v="0"/>
  </r>
  <r>
    <s v="06-Jul-2026"/>
    <x v="0"/>
    <s v="Week1-Jul-2026"/>
    <x v="10"/>
    <s v="Q2FY27"/>
    <s v="28-Jul-2026"/>
    <s v="Tuesday"/>
    <s v="Monthly - Tuesday"/>
    <s v="Monthly - Tuesday"/>
    <s v="Same Month Expiry"/>
    <n v="1652760"/>
    <n v="2921.7287"/>
    <n v="25.8063"/>
  </r>
  <r>
    <s v="06-Jul-2026"/>
    <x v="0"/>
    <s v="Week1-Jul-2026"/>
    <x v="10"/>
    <s v="Q2FY27"/>
    <s v="25-Aug-2026"/>
    <s v="Tuesday"/>
    <s v="Monthly - Tuesday"/>
    <s v="Monthly - Tuesday"/>
    <s v="Month+1 Expiry"/>
    <n v="23715"/>
    <n v="41.2133"/>
    <n v="0.4671"/>
  </r>
  <r>
    <s v="06-Jul-2026"/>
    <x v="0"/>
    <s v="Week1-Jul-2026"/>
    <x v="10"/>
    <s v="Q2FY27"/>
    <s v="29-Sep-2026"/>
    <s v="Tuesday"/>
    <s v="Monthly - Tuesday"/>
    <s v="Monthly - Tuesday"/>
    <s v="Month+2 Expiry"/>
    <n v="3246"/>
    <n v="5.693"/>
    <n v="0.095"/>
  </r>
  <r>
    <s v="06-Jul-2026"/>
    <x v="0"/>
    <s v="Week1-Jul-2026"/>
    <x v="10"/>
    <s v="Q2FY27"/>
    <s v="29-Dec-2026"/>
    <s v="Tuesday"/>
    <s v="Monthly - Tuesday"/>
    <s v="Monthly - Tuesday"/>
    <s v="Month+5 Expiry"/>
    <n v="205"/>
    <n v="0.3486"/>
    <n v="0.0061"/>
  </r>
  <r>
    <s v="06-Jul-2026"/>
    <x v="0"/>
    <s v="Week1-Jul-2026"/>
    <x v="10"/>
    <s v="Q2FY27"/>
    <s v="30-Mar-2027"/>
    <s v="Tuesday"/>
    <s v="Monthly - Tuesday"/>
    <s v="Monthly - Tuesday"/>
    <s v="Month+8 Expiry"/>
    <n v="0"/>
    <n v="0"/>
    <n v="0"/>
  </r>
  <r>
    <s v="06-Jul-2026"/>
    <x v="0"/>
    <s v="Week1-Jul-2026"/>
    <x v="10"/>
    <s v="Q2FY27"/>
    <s v="29-Jun-2027"/>
    <s v="Tuesday"/>
    <s v="Monthly - Tuesday"/>
    <s v="Monthly - Tuesday"/>
    <s v="Month+11 Expiry"/>
    <n v="0"/>
    <n v="0"/>
    <n v="0"/>
  </r>
  <r>
    <s v="07-Jul-2026"/>
    <x v="1"/>
    <s v="Week1-Jul-2026"/>
    <x v="10"/>
    <s v="Q2FY27"/>
    <s v="28-Jul-2026"/>
    <s v="Tuesday"/>
    <s v="Monthly - Tuesday"/>
    <s v="Monthly - Tuesday"/>
    <s v="Same Month Expiry"/>
    <n v="1591088"/>
    <n v="2806.7101"/>
    <n v="22.7747"/>
  </r>
  <r>
    <s v="07-Jul-2026"/>
    <x v="1"/>
    <s v="Week1-Jul-2026"/>
    <x v="10"/>
    <s v="Q2FY27"/>
    <s v="25-Aug-2026"/>
    <s v="Tuesday"/>
    <s v="Monthly - Tuesday"/>
    <s v="Monthly - Tuesday"/>
    <s v="Month+1 Expiry"/>
    <n v="19016"/>
    <n v="33.4512"/>
    <n v="0.3871"/>
  </r>
  <r>
    <s v="07-Jul-2026"/>
    <x v="1"/>
    <s v="Week1-Jul-2026"/>
    <x v="10"/>
    <s v="Q2FY27"/>
    <s v="29-Sep-2026"/>
    <s v="Tuesday"/>
    <s v="Monthly - Tuesday"/>
    <s v="Monthly - Tuesday"/>
    <s v="Month+2 Expiry"/>
    <n v="2629"/>
    <n v="4.5961"/>
    <n v="0.07240000000000001"/>
  </r>
  <r>
    <s v="07-Jul-2026"/>
    <x v="1"/>
    <s v="Week1-Jul-2026"/>
    <x v="10"/>
    <s v="Q2FY27"/>
    <s v="29-Dec-2026"/>
    <s v="Tuesday"/>
    <s v="Monthly - Tuesday"/>
    <s v="Monthly - Tuesday"/>
    <s v="Month+5 Expiry"/>
    <n v="154"/>
    <n v="0.2659"/>
    <n v="0.005"/>
  </r>
  <r>
    <s v="07-Jul-2026"/>
    <x v="1"/>
    <s v="Week1-Jul-2026"/>
    <x v="10"/>
    <s v="Q2FY27"/>
    <s v="30-Mar-2027"/>
    <s v="Tuesday"/>
    <s v="Monthly - Tuesday"/>
    <s v="Monthly - Tuesday"/>
    <s v="Month+8 Expiry"/>
    <n v="0"/>
    <n v="0"/>
    <n v="0"/>
  </r>
  <r>
    <s v="07-Jul-2026"/>
    <x v="1"/>
    <s v="Week1-Jul-2026"/>
    <x v="10"/>
    <s v="Q2FY27"/>
    <s v="29-Jun-2027"/>
    <s v="Tuesday"/>
    <s v="Monthly - Tuesday"/>
    <s v="Monthly - Tuesday"/>
    <s v="Month+11 Expiry"/>
    <n v="0"/>
    <n v="0"/>
    <n v="0"/>
  </r>
  <r>
    <s v="08-Jul-2026"/>
    <x v="2"/>
    <s v="Week2-Jul-2026"/>
    <x v="10"/>
    <s v="Q2FY27"/>
    <s v="28-Jul-2026"/>
    <s v="Tuesday"/>
    <s v="Monthly - Tuesday"/>
    <s v="Monthly - Tuesday"/>
    <s v="Same Month Expiry"/>
    <n v="3176686"/>
    <n v="5530.4037"/>
    <n v="47.4274"/>
  </r>
  <r>
    <s v="08-Jul-2026"/>
    <x v="2"/>
    <s v="Week2-Jul-2026"/>
    <x v="10"/>
    <s v="Q2FY27"/>
    <s v="25-Aug-2026"/>
    <s v="Tuesday"/>
    <s v="Monthly - Tuesday"/>
    <s v="Monthly - Tuesday"/>
    <s v="Month+1 Expiry"/>
    <n v="71715"/>
    <n v="125.602"/>
    <n v="1.7156"/>
  </r>
  <r>
    <s v="08-Jul-2026"/>
    <x v="2"/>
    <s v="Week2-Jul-2026"/>
    <x v="10"/>
    <s v="Q2FY27"/>
    <s v="29-Sep-2026"/>
    <s v="Tuesday"/>
    <s v="Monthly - Tuesday"/>
    <s v="Monthly - Tuesday"/>
    <s v="Month+2 Expiry"/>
    <n v="9458"/>
    <n v="16.5237"/>
    <n v="0.2608"/>
  </r>
  <r>
    <s v="08-Jul-2026"/>
    <x v="2"/>
    <s v="Week2-Jul-2026"/>
    <x v="10"/>
    <s v="Q2FY27"/>
    <s v="29-Dec-2026"/>
    <s v="Tuesday"/>
    <s v="Monthly - Tuesday"/>
    <s v="Monthly - Tuesday"/>
    <s v="Month+5 Expiry"/>
    <n v="724"/>
    <n v="1.2332"/>
    <n v="0.0269"/>
  </r>
  <r>
    <s v="08-Jul-2026"/>
    <x v="2"/>
    <s v="Week2-Jul-2026"/>
    <x v="10"/>
    <s v="Q2FY27"/>
    <s v="30-Mar-2027"/>
    <s v="Tuesday"/>
    <s v="Monthly - Tuesday"/>
    <s v="Monthly - Tuesday"/>
    <s v="Month+8 Expiry"/>
    <n v="0"/>
    <n v="0"/>
    <n v="0"/>
  </r>
  <r>
    <s v="08-Jul-2026"/>
    <x v="2"/>
    <s v="Week2-Jul-2026"/>
    <x v="10"/>
    <s v="Q2FY27"/>
    <s v="29-Jun-2027"/>
    <s v="Tuesday"/>
    <s v="Monthly - Tuesday"/>
    <s v="Monthly - Tuesday"/>
    <s v="Month+11 Expiry"/>
    <n v="0"/>
    <n v="0"/>
    <n v="0"/>
  </r>
  <r>
    <s v="09-Jul-2026"/>
    <x v="3"/>
    <s v="Week2-Jul-2026"/>
    <x v="10"/>
    <s v="Q2FY27"/>
    <s v="28-Jul-2026"/>
    <s v="Tuesday"/>
    <s v="Monthly - Tuesday"/>
    <s v="Monthly - Tuesday"/>
    <s v="Same Month Expiry"/>
    <n v="2188933"/>
    <n v="3807.0281"/>
    <n v="32.4544"/>
  </r>
  <r>
    <s v="09-Jul-2026"/>
    <x v="3"/>
    <s v="Week2-Jul-2026"/>
    <x v="10"/>
    <s v="Q2FY27"/>
    <s v="25-Aug-2026"/>
    <s v="Tuesday"/>
    <s v="Monthly - Tuesday"/>
    <s v="Monthly - Tuesday"/>
    <s v="Month+1 Expiry"/>
    <n v="34068"/>
    <n v="59.1385"/>
    <n v="0.771"/>
  </r>
  <r>
    <s v="09-Jul-2026"/>
    <x v="3"/>
    <s v="Week2-Jul-2026"/>
    <x v="10"/>
    <s v="Q2FY27"/>
    <s v="29-Sep-2026"/>
    <s v="Tuesday"/>
    <s v="Monthly - Tuesday"/>
    <s v="Monthly - Tuesday"/>
    <s v="Month+2 Expiry"/>
    <n v="6847"/>
    <n v="12.0556"/>
    <n v="0.199"/>
  </r>
  <r>
    <s v="09-Jul-2026"/>
    <x v="3"/>
    <s v="Week2-Jul-2026"/>
    <x v="10"/>
    <s v="Q2FY27"/>
    <s v="29-Dec-2026"/>
    <s v="Tuesday"/>
    <s v="Monthly - Tuesday"/>
    <s v="Monthly - Tuesday"/>
    <s v="Month+5 Expiry"/>
    <n v="354"/>
    <n v="0.6213"/>
    <n v="0.0134"/>
  </r>
  <r>
    <s v="09-Jul-2026"/>
    <x v="3"/>
    <s v="Week2-Jul-2026"/>
    <x v="10"/>
    <s v="Q2FY27"/>
    <s v="30-Mar-2027"/>
    <s v="Tuesday"/>
    <s v="Monthly - Tuesday"/>
    <s v="Monthly - Tuesday"/>
    <s v="Month+8 Expiry"/>
    <n v="0"/>
    <n v="0"/>
    <n v="0"/>
  </r>
  <r>
    <s v="09-Jul-2026"/>
    <x v="3"/>
    <s v="Week2-Jul-2026"/>
    <x v="10"/>
    <s v="Q2FY27"/>
    <s v="29-Jun-2027"/>
    <s v="Tuesday"/>
    <s v="Monthly - Tuesday"/>
    <s v="Monthly - Tuesday"/>
    <s v="Month+11 Expiry"/>
    <n v="0"/>
    <n v="0"/>
    <n v="0"/>
  </r>
  <r>
    <s v="10-Jul-2026"/>
    <x v="4"/>
    <s v="Week2-Jul-2026"/>
    <x v="10"/>
    <s v="Q2FY27"/>
    <s v="28-Jul-2026"/>
    <s v="Tuesday"/>
    <s v="Monthly - Tuesday"/>
    <s v="Monthly - Tuesday"/>
    <s v="Same Month Expiry"/>
    <n v="2142493"/>
    <n v="3757.6859"/>
    <n v="31.0447"/>
  </r>
  <r>
    <s v="10-Jul-2026"/>
    <x v="4"/>
    <s v="Week2-Jul-2026"/>
    <x v="10"/>
    <s v="Q2FY27"/>
    <s v="25-Aug-2026"/>
    <s v="Tuesday"/>
    <s v="Monthly - Tuesday"/>
    <s v="Monthly - Tuesday"/>
    <s v="Month+1 Expiry"/>
    <n v="35759"/>
    <n v="62.6405"/>
    <n v="0.7769"/>
  </r>
  <r>
    <s v="10-Jul-2026"/>
    <x v="4"/>
    <s v="Week2-Jul-2026"/>
    <x v="10"/>
    <s v="Q2FY27"/>
    <s v="29-Sep-2026"/>
    <s v="Tuesday"/>
    <s v="Monthly - Tuesday"/>
    <s v="Monthly - Tuesday"/>
    <s v="Month+2 Expiry"/>
    <n v="4917"/>
    <n v="8.7098"/>
    <n v="0.1417"/>
  </r>
  <r>
    <s v="10-Jul-2026"/>
    <x v="4"/>
    <s v="Week2-Jul-2026"/>
    <x v="10"/>
    <s v="Q2FY27"/>
    <s v="29-Dec-2026"/>
    <s v="Tuesday"/>
    <s v="Monthly - Tuesday"/>
    <s v="Monthly - Tuesday"/>
    <s v="Month+5 Expiry"/>
    <n v="258"/>
    <n v="0.4625"/>
    <n v="0.0095"/>
  </r>
  <r>
    <s v="10-Jul-2026"/>
    <x v="4"/>
    <s v="Week2-Jul-2026"/>
    <x v="10"/>
    <s v="Q2FY27"/>
    <s v="30-Mar-2027"/>
    <s v="Tuesday"/>
    <s v="Monthly - Tuesday"/>
    <s v="Monthly - Tuesday"/>
    <s v="Month+8 Expiry"/>
    <n v="1"/>
    <n v="0.0019"/>
    <n v="0.0001"/>
  </r>
  <r>
    <s v="10-Jul-2026"/>
    <x v="4"/>
    <s v="Week2-Jul-2026"/>
    <x v="10"/>
    <s v="Q2FY27"/>
    <s v="29-Jun-2027"/>
    <s v="Tuesday"/>
    <s v="Monthly - Tuesday"/>
    <s v="Monthly - Tuesday"/>
    <s v="Month+11 Expiry"/>
    <n v="0"/>
    <n v="0"/>
    <n v="0"/>
  </r>
  <r>
    <s v="13-Jul-2026"/>
    <x v="0"/>
    <s v="Week2-Jul-2026"/>
    <x v="10"/>
    <s v="Q2FY27"/>
    <s v="28-Jul-2026"/>
    <s v="Tuesday"/>
    <s v="Monthly - Tuesday"/>
    <s v="Monthly - Tuesday"/>
    <s v="Same Month Expiry"/>
    <n v="2380345"/>
    <n v="4185.2061"/>
    <n v="33.8626"/>
  </r>
  <r>
    <s v="13-Jul-2026"/>
    <x v="0"/>
    <s v="Week2-Jul-2026"/>
    <x v="10"/>
    <s v="Q2FY27"/>
    <s v="25-Aug-2026"/>
    <s v="Tuesday"/>
    <s v="Monthly - Tuesday"/>
    <s v="Monthly - Tuesday"/>
    <s v="Month+1 Expiry"/>
    <n v="50242"/>
    <n v="87.45659999999999"/>
    <n v="1.0187"/>
  </r>
  <r>
    <s v="13-Jul-2026"/>
    <x v="0"/>
    <s v="Week2-Jul-2026"/>
    <x v="10"/>
    <s v="Q2FY27"/>
    <s v="29-Sep-2026"/>
    <s v="Tuesday"/>
    <s v="Monthly - Tuesday"/>
    <s v="Monthly - Tuesday"/>
    <s v="Month+2 Expiry"/>
    <n v="4849"/>
    <n v="8.487"/>
    <n v="0.1302"/>
  </r>
  <r>
    <s v="13-Jul-2026"/>
    <x v="0"/>
    <s v="Week2-Jul-2026"/>
    <x v="10"/>
    <s v="Q2FY27"/>
    <s v="29-Dec-2026"/>
    <s v="Tuesday"/>
    <s v="Monthly - Tuesday"/>
    <s v="Monthly - Tuesday"/>
    <s v="Month+5 Expiry"/>
    <n v="347"/>
    <n v="0.6294"/>
    <n v="0.0176"/>
  </r>
  <r>
    <s v="13-Jul-2026"/>
    <x v="0"/>
    <s v="Week2-Jul-2026"/>
    <x v="10"/>
    <s v="Q2FY27"/>
    <s v="30-Mar-2027"/>
    <s v="Tuesday"/>
    <s v="Monthly - Tuesday"/>
    <s v="Monthly - Tuesday"/>
    <s v="Month+8 Expiry"/>
    <n v="0"/>
    <n v="0"/>
    <n v="0"/>
  </r>
  <r>
    <s v="13-Jul-2026"/>
    <x v="0"/>
    <s v="Week2-Jul-2026"/>
    <x v="10"/>
    <s v="Q2FY27"/>
    <s v="29-Jun-2027"/>
    <s v="Tuesday"/>
    <s v="Monthly - Tuesday"/>
    <s v="Monthly - Tuesday"/>
    <s v="Month+11 Expiry"/>
    <n v="0"/>
    <n v="0"/>
    <n v="0"/>
  </r>
  <r>
    <s v="14-Jul-2026"/>
    <x v="1"/>
    <s v="Week2-Jul-2026"/>
    <x v="10"/>
    <s v="Q2FY27"/>
    <s v="28-Jul-2026"/>
    <s v="Tuesday"/>
    <s v="Monthly - Tuesday"/>
    <s v="Monthly - Tuesday"/>
    <s v="Same Month Expiry"/>
    <n v="2153750"/>
    <n v="3764.1958"/>
    <n v="30.7826"/>
  </r>
  <r>
    <s v="14-Jul-2026"/>
    <x v="1"/>
    <s v="Week2-Jul-2026"/>
    <x v="10"/>
    <s v="Q2FY27"/>
    <s v="25-Aug-2026"/>
    <s v="Tuesday"/>
    <s v="Monthly - Tuesday"/>
    <s v="Monthly - Tuesday"/>
    <s v="Month+1 Expiry"/>
    <n v="57610"/>
    <n v="100.9769"/>
    <n v="1.2811"/>
  </r>
  <r>
    <s v="14-Jul-2026"/>
    <x v="1"/>
    <s v="Week2-Jul-2026"/>
    <x v="10"/>
    <s v="Q2FY27"/>
    <s v="29-Sep-2026"/>
    <s v="Tuesday"/>
    <s v="Monthly - Tuesday"/>
    <s v="Monthly - Tuesday"/>
    <s v="Month+2 Expiry"/>
    <n v="6204"/>
    <n v="10.89"/>
    <n v="0.1531"/>
  </r>
  <r>
    <s v="14-Jul-2026"/>
    <x v="1"/>
    <s v="Week2-Jul-2026"/>
    <x v="10"/>
    <s v="Q2FY27"/>
    <s v="29-Dec-2026"/>
    <s v="Tuesday"/>
    <s v="Monthly - Tuesday"/>
    <s v="Monthly - Tuesday"/>
    <s v="Month+5 Expiry"/>
    <n v="286"/>
    <n v="0.5077"/>
    <n v="0.0117"/>
  </r>
  <r>
    <s v="14-Jul-2026"/>
    <x v="1"/>
    <s v="Week2-Jul-2026"/>
    <x v="10"/>
    <s v="Q2FY27"/>
    <s v="30-Mar-2027"/>
    <s v="Tuesday"/>
    <s v="Monthly - Tuesday"/>
    <s v="Monthly - Tuesday"/>
    <s v="Month+8 Expiry"/>
    <n v="0"/>
    <n v="0"/>
    <n v="0"/>
  </r>
  <r>
    <s v="14-Jul-2026"/>
    <x v="1"/>
    <s v="Week2-Jul-2026"/>
    <x v="10"/>
    <s v="Q2FY27"/>
    <s v="29-Jun-2027"/>
    <s v="Tuesday"/>
    <s v="Monthly - Tuesday"/>
    <s v="Monthly - Tuesday"/>
    <s v="Month+11 Expiry"/>
    <n v="0"/>
    <n v="0"/>
    <n v="0"/>
  </r>
  <r>
    <s v="15-Jul-2026"/>
    <x v="2"/>
    <s v="Week3-Jul-2026"/>
    <x v="10"/>
    <s v="Q2FY27"/>
    <s v="28-Jul-2026"/>
    <s v="Tuesday"/>
    <s v="Monthly - Tuesday"/>
    <s v="Monthly - Tuesday"/>
    <s v="Same Month Expiry"/>
    <n v="2730976"/>
    <n v="4775.9998"/>
    <n v="37.7578"/>
  </r>
  <r>
    <s v="15-Jul-2026"/>
    <x v="2"/>
    <s v="Week3-Jul-2026"/>
    <x v="10"/>
    <s v="Q2FY27"/>
    <s v="25-Aug-2026"/>
    <s v="Tuesday"/>
    <s v="Monthly - Tuesday"/>
    <s v="Monthly - Tuesday"/>
    <s v="Month+1 Expiry"/>
    <n v="67095"/>
    <n v="117.91"/>
    <n v="1.3605"/>
  </r>
  <r>
    <s v="15-Jul-2026"/>
    <x v="2"/>
    <s v="Week3-Jul-2026"/>
    <x v="10"/>
    <s v="Q2FY27"/>
    <s v="29-Sep-2026"/>
    <s v="Tuesday"/>
    <s v="Monthly - Tuesday"/>
    <s v="Monthly - Tuesday"/>
    <s v="Month+2 Expiry"/>
    <n v="7256"/>
    <n v="12.6785"/>
    <n v="0.1862"/>
  </r>
  <r>
    <s v="15-Jul-2026"/>
    <x v="2"/>
    <s v="Week3-Jul-2026"/>
    <x v="10"/>
    <s v="Q2FY27"/>
    <s v="29-Dec-2026"/>
    <s v="Tuesday"/>
    <s v="Monthly - Tuesday"/>
    <s v="Monthly - Tuesday"/>
    <s v="Month+5 Expiry"/>
    <n v="285"/>
    <n v="0.4926"/>
    <n v="0.0101"/>
  </r>
  <r>
    <s v="15-Jul-2026"/>
    <x v="2"/>
    <s v="Week3-Jul-2026"/>
    <x v="10"/>
    <s v="Q2FY27"/>
    <s v="30-Mar-2027"/>
    <s v="Tuesday"/>
    <s v="Monthly - Tuesday"/>
    <s v="Monthly - Tuesday"/>
    <s v="Month+8 Expiry"/>
    <n v="0"/>
    <n v="0"/>
    <n v="0"/>
  </r>
  <r>
    <s v="15-Jul-2026"/>
    <x v="2"/>
    <s v="Week3-Jul-2026"/>
    <x v="10"/>
    <s v="Q2FY27"/>
    <s v="29-Jun-2027"/>
    <s v="Tuesday"/>
    <s v="Monthly - Tuesday"/>
    <s v="Monthly - Tuesday"/>
    <s v="Month+11 Expiry"/>
    <n v="0"/>
    <n v="0"/>
    <n v="0"/>
  </r>
  <r>
    <s v="16-Jul-2026"/>
    <x v="3"/>
    <s v="Week3-Jul-2026"/>
    <x v="10"/>
    <s v="Q2FY27"/>
    <s v="28-Jul-2026"/>
    <s v="Tuesday"/>
    <s v="Monthly - Tuesday"/>
    <s v="Monthly - Tuesday"/>
    <s v="Same Month Expiry"/>
    <n v="2047625"/>
    <n v="3580.5422"/>
    <n v="26.3817"/>
  </r>
  <r>
    <s v="16-Jul-2026"/>
    <x v="3"/>
    <s v="Week3-Jul-2026"/>
    <x v="10"/>
    <s v="Q2FY27"/>
    <s v="25-Aug-2026"/>
    <s v="Tuesday"/>
    <s v="Monthly - Tuesday"/>
    <s v="Monthly - Tuesday"/>
    <s v="Month+1 Expiry"/>
    <n v="41598"/>
    <n v="72.9849"/>
    <n v="0.9424"/>
  </r>
  <r>
    <s v="16-Jul-2026"/>
    <x v="3"/>
    <s v="Week3-Jul-2026"/>
    <x v="10"/>
    <s v="Q2FY27"/>
    <s v="29-Sep-2026"/>
    <s v="Tuesday"/>
    <s v="Monthly - Tuesday"/>
    <s v="Monthly - Tuesday"/>
    <s v="Month+2 Expiry"/>
    <n v="6745"/>
    <n v="11.8747"/>
    <n v="0.1839"/>
  </r>
  <r>
    <s v="16-Jul-2026"/>
    <x v="3"/>
    <s v="Week3-Jul-2026"/>
    <x v="10"/>
    <s v="Q2FY27"/>
    <s v="29-Dec-2026"/>
    <s v="Tuesday"/>
    <s v="Monthly - Tuesday"/>
    <s v="Monthly - Tuesday"/>
    <s v="Month+5 Expiry"/>
    <n v="212"/>
    <n v="0.3723"/>
    <n v="0.0083"/>
  </r>
  <r>
    <s v="16-Jul-2026"/>
    <x v="3"/>
    <s v="Week3-Jul-2026"/>
    <x v="10"/>
    <s v="Q2FY27"/>
    <s v="30-Mar-2027"/>
    <s v="Tuesday"/>
    <s v="Monthly - Tuesday"/>
    <s v="Monthly - Tuesday"/>
    <s v="Month+8 Expiry"/>
    <n v="2"/>
    <n v="0.0039"/>
    <n v="0.0001"/>
  </r>
  <r>
    <s v="16-Jul-2026"/>
    <x v="3"/>
    <s v="Week3-Jul-2026"/>
    <x v="10"/>
    <s v="Q2FY27"/>
    <s v="29-Jun-2027"/>
    <s v="Tuesday"/>
    <s v="Monthly - Tuesday"/>
    <s v="Monthly - Tuesday"/>
    <s v="Month+11 Expiry"/>
    <n v="0"/>
    <n v="0"/>
    <n v="0"/>
  </r>
  <r>
    <s v="17-Jul-2026"/>
    <x v="4"/>
    <s v="Week3-Jul-2026"/>
    <x v="10"/>
    <s v="Q2FY27"/>
    <s v="28-Jul-2026"/>
    <s v="Tuesday"/>
    <s v="Monthly - Tuesday"/>
    <s v="Monthly - Tuesday"/>
    <s v="Same Month Expiry"/>
    <n v="3541356"/>
    <n v="6210.8686"/>
    <n v="42.6363"/>
  </r>
  <r>
    <s v="17-Jul-2026"/>
    <x v="4"/>
    <s v="Week3-Jul-2026"/>
    <x v="10"/>
    <s v="Q2FY27"/>
    <s v="25-Aug-2026"/>
    <s v="Tuesday"/>
    <s v="Monthly - Tuesday"/>
    <s v="Monthly - Tuesday"/>
    <s v="Month+1 Expiry"/>
    <n v="97657"/>
    <n v="171.7121"/>
    <n v="2.0862"/>
  </r>
  <r>
    <s v="17-Jul-2026"/>
    <x v="4"/>
    <s v="Week3-Jul-2026"/>
    <x v="10"/>
    <s v="Q2FY27"/>
    <s v="29-Sep-2026"/>
    <s v="Tuesday"/>
    <s v="Monthly - Tuesday"/>
    <s v="Monthly - Tuesday"/>
    <s v="Month+2 Expiry"/>
    <n v="9989"/>
    <n v="17.5083"/>
    <n v="0.2271"/>
  </r>
  <r>
    <s v="17-Jul-2026"/>
    <x v="4"/>
    <s v="Week3-Jul-2026"/>
    <x v="10"/>
    <s v="Q2FY27"/>
    <s v="29-Dec-2026"/>
    <s v="Tuesday"/>
    <s v="Monthly - Tuesday"/>
    <s v="Monthly - Tuesday"/>
    <s v="Month+5 Expiry"/>
    <n v="651"/>
    <n v="1.1139"/>
    <n v="0.0199"/>
  </r>
  <r>
    <s v="17-Jul-2026"/>
    <x v="4"/>
    <s v="Week3-Jul-2026"/>
    <x v="10"/>
    <s v="Q2FY27"/>
    <s v="30-Mar-2027"/>
    <s v="Tuesday"/>
    <s v="Monthly - Tuesday"/>
    <s v="Monthly - Tuesday"/>
    <s v="Month+8 Expiry"/>
    <n v="2"/>
    <n v="0.0039"/>
    <n v="0.0001"/>
  </r>
  <r>
    <s v="17-Jul-2026"/>
    <x v="4"/>
    <s v="Week3-Jul-2026"/>
    <x v="10"/>
    <s v="Q2FY27"/>
    <s v="29-Jun-2027"/>
    <s v="Tuesday"/>
    <s v="Monthly - Tuesday"/>
    <s v="Monthly - Tuesday"/>
    <s v="Month+11 Expiry"/>
    <n v="0"/>
    <n v="0"/>
    <n v="0"/>
  </r>
  <r>
    <s v="20-Jul-2026"/>
    <x v="0"/>
    <s v="Week3-Jul-2026"/>
    <x v="10"/>
    <s v="Q2FY27"/>
    <s v="28-Jul-2026"/>
    <s v="Tuesday"/>
    <s v="Monthly - Tuesday"/>
    <s v="Monthly - Tuesday"/>
    <s v="Same Month Expiry"/>
    <n v="3962266"/>
    <n v="6924.0781"/>
    <n v="39.6558"/>
  </r>
  <r>
    <s v="20-Jul-2026"/>
    <x v="0"/>
    <s v="Week3-Jul-2026"/>
    <x v="10"/>
    <s v="Q2FY27"/>
    <s v="25-Aug-2026"/>
    <s v="Tuesday"/>
    <s v="Monthly - Tuesday"/>
    <s v="Monthly - Tuesday"/>
    <s v="Month+1 Expiry"/>
    <n v="166759"/>
    <n v="293.3312"/>
    <n v="3.3772"/>
  </r>
  <r>
    <s v="20-Jul-2026"/>
    <x v="0"/>
    <s v="Week3-Jul-2026"/>
    <x v="10"/>
    <s v="Q2FY27"/>
    <s v="29-Sep-2026"/>
    <s v="Tuesday"/>
    <s v="Monthly - Tuesday"/>
    <s v="Monthly - Tuesday"/>
    <s v="Month+2 Expiry"/>
    <n v="12772"/>
    <n v="22.3625"/>
    <n v="0.328"/>
  </r>
  <r>
    <s v="20-Jul-2026"/>
    <x v="0"/>
    <s v="Week3-Jul-2026"/>
    <x v="10"/>
    <s v="Q2FY27"/>
    <s v="29-Dec-2026"/>
    <s v="Tuesday"/>
    <s v="Monthly - Tuesday"/>
    <s v="Monthly - Tuesday"/>
    <s v="Month+5 Expiry"/>
    <n v="411"/>
    <n v="0.7393"/>
    <n v="0.0171"/>
  </r>
  <r>
    <s v="20-Jul-2026"/>
    <x v="0"/>
    <s v="Week3-Jul-2026"/>
    <x v="10"/>
    <s v="Q2FY27"/>
    <s v="30-Mar-2027"/>
    <s v="Tuesday"/>
    <s v="Monthly - Tuesday"/>
    <s v="Monthly - Tuesday"/>
    <s v="Month+8 Expiry"/>
    <n v="1"/>
    <n v="0.0019"/>
    <n v="0"/>
  </r>
  <r>
    <s v="20-Jul-2026"/>
    <x v="0"/>
    <s v="Week3-Jul-2026"/>
    <x v="10"/>
    <s v="Q2FY27"/>
    <s v="29-Jun-2027"/>
    <s v="Tuesday"/>
    <s v="Monthly - Tuesday"/>
    <s v="Monthly - Tuesday"/>
    <s v="Month+11 Expiry"/>
    <n v="0"/>
    <n v="0"/>
    <n v="0"/>
  </r>
  <r>
    <s v="21-Jul-2026"/>
    <x v="1"/>
    <s v="Week3-Jul-2026"/>
    <x v="10"/>
    <s v="Q2FY27"/>
    <s v="28-Jul-2026"/>
    <s v="Tuesday"/>
    <s v="Monthly - Tuesday"/>
    <s v="Monthly - Tuesday"/>
    <s v="Same Month Expiry"/>
    <n v="2965393"/>
    <n v="5177.4295"/>
    <n v="26.1967"/>
  </r>
  <r>
    <s v="21-Jul-2026"/>
    <x v="1"/>
    <s v="Week3-Jul-2026"/>
    <x v="10"/>
    <s v="Q2FY27"/>
    <s v="25-Aug-2026"/>
    <s v="Tuesday"/>
    <s v="Monthly - Tuesday"/>
    <s v="Monthly - Tuesday"/>
    <s v="Month+1 Expiry"/>
    <n v="107181"/>
    <n v="189.3837"/>
    <n v="2.0461"/>
  </r>
  <r>
    <s v="21-Jul-2026"/>
    <x v="1"/>
    <s v="Week3-Jul-2026"/>
    <x v="10"/>
    <s v="Q2FY27"/>
    <s v="29-Sep-2026"/>
    <s v="Tuesday"/>
    <s v="Monthly - Tuesday"/>
    <s v="Monthly - Tuesday"/>
    <s v="Month+2 Expiry"/>
    <n v="10066"/>
    <n v="17.5367"/>
    <n v="0.2319"/>
  </r>
  <r>
    <s v="21-Jul-2026"/>
    <x v="1"/>
    <s v="Week3-Jul-2026"/>
    <x v="10"/>
    <s v="Q2FY27"/>
    <s v="29-Dec-2026"/>
    <s v="Tuesday"/>
    <s v="Monthly - Tuesday"/>
    <s v="Monthly - Tuesday"/>
    <s v="Month+5 Expiry"/>
    <n v="266"/>
    <n v="0.4601"/>
    <n v="0.0091"/>
  </r>
  <r>
    <s v="21-Jul-2026"/>
    <x v="1"/>
    <s v="Week3-Jul-2026"/>
    <x v="10"/>
    <s v="Q2FY27"/>
    <s v="30-Mar-2027"/>
    <s v="Tuesday"/>
    <s v="Monthly - Tuesday"/>
    <s v="Monthly - Tuesday"/>
    <s v="Month+8 Expiry"/>
    <n v="2"/>
    <n v="0.0039"/>
    <n v="0.0001"/>
  </r>
  <r>
    <s v="21-Jul-2026"/>
    <x v="1"/>
    <s v="Week3-Jul-2026"/>
    <x v="10"/>
    <s v="Q2FY27"/>
    <s v="29-Jun-2027"/>
    <s v="Tuesday"/>
    <s v="Monthly - Tuesday"/>
    <s v="Monthly - Tuesday"/>
    <s v="Month+11 Expiry"/>
    <n v="0"/>
    <n v="0"/>
    <n v="0"/>
  </r>
</pivotCacheRecords>
</file>

<file path=xl/pivotCache/pivotCacheRecords3.xml><?xml version="1.0" encoding="utf-8"?>
<pivotCacheRecords xmlns="http://schemas.openxmlformats.org/spreadsheetml/2006/main" count="1314">
  <r>
    <s v="01-Sep-2025"/>
    <x v="0"/>
    <s v="Week1-Sep-2025"/>
    <x v="0"/>
    <s v="Q2FY26"/>
    <s v="30-Sep-2025"/>
    <s v="Tuesday"/>
    <s v="Monthly - Tuesday"/>
    <s v="Monthly - Tuesday"/>
    <s v="Same Month Expiry"/>
    <n v="2038762"/>
    <n v="3884.4165"/>
    <n v="32.6023"/>
  </r>
  <r>
    <s v="01-Sep-2025"/>
    <x v="0"/>
    <s v="Week1-Sep-2025"/>
    <x v="0"/>
    <s v="Q2FY26"/>
    <s v="28-Oct-2025"/>
    <s v="Tuesday"/>
    <s v="Monthly - Tuesday"/>
    <s v="Monthly - Tuesday"/>
    <s v="Month+1 Expiry"/>
    <n v="17731"/>
    <n v="34.1263"/>
    <n v="0.3066"/>
  </r>
  <r>
    <s v="01-Sep-2025"/>
    <x v="0"/>
    <s v="Week1-Sep-2025"/>
    <x v="0"/>
    <s v="Q2FY26"/>
    <s v="25-Nov-2025"/>
    <s v="Tuesday"/>
    <s v="Monthly - Tuesday"/>
    <s v="Monthly - Tuesday"/>
    <s v="Month+2 Expiry"/>
    <n v="382"/>
    <n v="0.7426"/>
    <n v="0.0157"/>
  </r>
  <r>
    <s v="01-Sep-2025"/>
    <x v="0"/>
    <s v="Week1-Sep-2025"/>
    <x v="0"/>
    <s v="Q2FY26"/>
    <s v="30-Dec-2025"/>
    <s v="Tuesday"/>
    <s v="Monthly - Tuesday"/>
    <s v="Monthly - Tuesday"/>
    <s v="Month+3 Expiry"/>
    <n v="3133"/>
    <n v="6.1669"/>
    <n v="0.0851"/>
  </r>
  <r>
    <s v="01-Sep-2025"/>
    <x v="0"/>
    <s v="Week1-Sep-2025"/>
    <x v="0"/>
    <s v="Q2FY26"/>
    <s v="31-Mar-2026"/>
    <s v="Tuesday"/>
    <s v="Monthly - Tuesday"/>
    <s v="Monthly - Tuesday"/>
    <s v="Month+6 Expiry"/>
    <n v="123"/>
    <n v="0.2575"/>
    <n v="0.0041"/>
  </r>
  <r>
    <s v="01-Sep-2025"/>
    <x v="0"/>
    <s v="Week1-Sep-2025"/>
    <x v="0"/>
    <s v="Q2FY26"/>
    <s v="30-Jun-2026"/>
    <s v="Tuesday"/>
    <s v="Monthly - Tuesday"/>
    <s v="Monthly - Tuesday"/>
    <s v="Month+9 Expiry"/>
    <n v="0"/>
    <n v="0"/>
    <n v="0"/>
  </r>
  <r>
    <s v="02-Sep-2025"/>
    <x v="1"/>
    <s v="Week1-Sep-2025"/>
    <x v="0"/>
    <s v="Q2FY26"/>
    <s v="30-Sep-2025"/>
    <s v="Tuesday"/>
    <s v="Monthly - Tuesday"/>
    <s v="Monthly - Tuesday"/>
    <s v="Same Month Expiry"/>
    <n v="2335453"/>
    <n v="4447.3157"/>
    <n v="37.3923"/>
  </r>
  <r>
    <s v="02-Sep-2025"/>
    <x v="1"/>
    <s v="Week1-Sep-2025"/>
    <x v="0"/>
    <s v="Q2FY26"/>
    <s v="28-Oct-2025"/>
    <s v="Tuesday"/>
    <s v="Monthly - Tuesday"/>
    <s v="Monthly - Tuesday"/>
    <s v="Month+1 Expiry"/>
    <n v="25566"/>
    <n v="49.3497"/>
    <n v="0.4837"/>
  </r>
  <r>
    <s v="02-Sep-2025"/>
    <x v="1"/>
    <s v="Week1-Sep-2025"/>
    <x v="0"/>
    <s v="Q2FY26"/>
    <s v="25-Nov-2025"/>
    <s v="Tuesday"/>
    <s v="Monthly - Tuesday"/>
    <s v="Monthly - Tuesday"/>
    <s v="Month+2 Expiry"/>
    <n v="633"/>
    <n v="1.2279"/>
    <n v="0.025"/>
  </r>
  <r>
    <s v="02-Sep-2025"/>
    <x v="1"/>
    <s v="Week1-Sep-2025"/>
    <x v="0"/>
    <s v="Q2FY26"/>
    <s v="30-Dec-2025"/>
    <s v="Tuesday"/>
    <s v="Monthly - Tuesday"/>
    <s v="Monthly - Tuesday"/>
    <s v="Month+3 Expiry"/>
    <n v="3041"/>
    <n v="6.0114"/>
    <n v="0.08400000000000001"/>
  </r>
  <r>
    <s v="02-Sep-2025"/>
    <x v="1"/>
    <s v="Week1-Sep-2025"/>
    <x v="0"/>
    <s v="Q2FY26"/>
    <s v="31-Mar-2026"/>
    <s v="Tuesday"/>
    <s v="Monthly - Tuesday"/>
    <s v="Monthly - Tuesday"/>
    <s v="Month+6 Expiry"/>
    <n v="130"/>
    <n v="0.2719"/>
    <n v="0.0042"/>
  </r>
  <r>
    <s v="02-Sep-2025"/>
    <x v="1"/>
    <s v="Week1-Sep-2025"/>
    <x v="0"/>
    <s v="Q2FY26"/>
    <s v="30-Jun-2026"/>
    <s v="Tuesday"/>
    <s v="Monthly - Tuesday"/>
    <s v="Monthly - Tuesday"/>
    <s v="Month+9 Expiry"/>
    <n v="0"/>
    <n v="0"/>
    <n v="0"/>
  </r>
  <r>
    <s v="03-Sep-2025"/>
    <x v="2"/>
    <s v="Week1-Sep-2025"/>
    <x v="0"/>
    <s v="Q2FY26"/>
    <s v="30-Sep-2025"/>
    <s v="Tuesday"/>
    <s v="Monthly - Tuesday"/>
    <s v="Monthly - Tuesday"/>
    <s v="Same Month Expiry"/>
    <n v="2543972"/>
    <n v="4839.8017"/>
    <n v="40.3564"/>
  </r>
  <r>
    <s v="03-Sep-2025"/>
    <x v="2"/>
    <s v="Week1-Sep-2025"/>
    <x v="0"/>
    <s v="Q2FY26"/>
    <s v="28-Oct-2025"/>
    <s v="Tuesday"/>
    <s v="Monthly - Tuesday"/>
    <s v="Monthly - Tuesday"/>
    <s v="Month+1 Expiry"/>
    <n v="29423"/>
    <n v="56.8088"/>
    <n v="0.4759"/>
  </r>
  <r>
    <s v="03-Sep-2025"/>
    <x v="2"/>
    <s v="Week1-Sep-2025"/>
    <x v="0"/>
    <s v="Q2FY26"/>
    <s v="25-Nov-2025"/>
    <s v="Tuesday"/>
    <s v="Monthly - Tuesday"/>
    <s v="Monthly - Tuesday"/>
    <s v="Month+2 Expiry"/>
    <n v="1324"/>
    <n v="2.5656"/>
    <n v="0.0552"/>
  </r>
  <r>
    <s v="03-Sep-2025"/>
    <x v="2"/>
    <s v="Week1-Sep-2025"/>
    <x v="0"/>
    <s v="Q2FY26"/>
    <s v="30-Dec-2025"/>
    <s v="Tuesday"/>
    <s v="Monthly - Tuesday"/>
    <s v="Monthly - Tuesday"/>
    <s v="Month+3 Expiry"/>
    <n v="3953"/>
    <n v="7.8925"/>
    <n v="0.1201"/>
  </r>
  <r>
    <s v="03-Sep-2025"/>
    <x v="2"/>
    <s v="Week1-Sep-2025"/>
    <x v="0"/>
    <s v="Q2FY26"/>
    <s v="31-Mar-2026"/>
    <s v="Tuesday"/>
    <s v="Monthly - Tuesday"/>
    <s v="Monthly - Tuesday"/>
    <s v="Month+6 Expiry"/>
    <n v="138"/>
    <n v="0.287"/>
    <n v="0.0049"/>
  </r>
  <r>
    <s v="03-Sep-2025"/>
    <x v="2"/>
    <s v="Week1-Sep-2025"/>
    <x v="0"/>
    <s v="Q2FY26"/>
    <s v="30-Jun-2026"/>
    <s v="Tuesday"/>
    <s v="Monthly - Tuesday"/>
    <s v="Monthly - Tuesday"/>
    <s v="Month+9 Expiry"/>
    <n v="0"/>
    <n v="0"/>
    <n v="0"/>
  </r>
  <r>
    <s v="04-Sep-2025"/>
    <x v="3"/>
    <s v="Week1-Sep-2025"/>
    <x v="0"/>
    <s v="Q2FY26"/>
    <s v="30-Sep-2025"/>
    <s v="Tuesday"/>
    <s v="Monthly - Tuesday"/>
    <s v="Monthly - Tuesday"/>
    <s v="Same Month Expiry"/>
    <n v="2537028"/>
    <n v="4848.7147"/>
    <n v="37.4147"/>
  </r>
  <r>
    <s v="04-Sep-2025"/>
    <x v="3"/>
    <s v="Week1-Sep-2025"/>
    <x v="0"/>
    <s v="Q2FY26"/>
    <s v="28-Oct-2025"/>
    <s v="Tuesday"/>
    <s v="Monthly - Tuesday"/>
    <s v="Monthly - Tuesday"/>
    <s v="Month+1 Expiry"/>
    <n v="23723"/>
    <n v="45.7728"/>
    <n v="0.4761"/>
  </r>
  <r>
    <s v="04-Sep-2025"/>
    <x v="3"/>
    <s v="Week1-Sep-2025"/>
    <x v="0"/>
    <s v="Q2FY26"/>
    <s v="25-Nov-2025"/>
    <s v="Tuesday"/>
    <s v="Monthly - Tuesday"/>
    <s v="Monthly - Tuesday"/>
    <s v="Month+2 Expiry"/>
    <n v="710"/>
    <n v="1.3714"/>
    <n v="0.0287"/>
  </r>
  <r>
    <s v="04-Sep-2025"/>
    <x v="3"/>
    <s v="Week1-Sep-2025"/>
    <x v="0"/>
    <s v="Q2FY26"/>
    <s v="30-Dec-2025"/>
    <s v="Tuesday"/>
    <s v="Monthly - Tuesday"/>
    <s v="Monthly - Tuesday"/>
    <s v="Month+3 Expiry"/>
    <n v="3065"/>
    <n v="6.0011"/>
    <n v="0.0945"/>
  </r>
  <r>
    <s v="04-Sep-2025"/>
    <x v="3"/>
    <s v="Week1-Sep-2025"/>
    <x v="0"/>
    <s v="Q2FY26"/>
    <s v="31-Mar-2026"/>
    <s v="Tuesday"/>
    <s v="Monthly - Tuesday"/>
    <s v="Monthly - Tuesday"/>
    <s v="Month+6 Expiry"/>
    <n v="92"/>
    <n v="0.1916"/>
    <n v="0.0033"/>
  </r>
  <r>
    <s v="04-Sep-2025"/>
    <x v="3"/>
    <s v="Week1-Sep-2025"/>
    <x v="0"/>
    <s v="Q2FY26"/>
    <s v="30-Jun-2026"/>
    <s v="Tuesday"/>
    <s v="Monthly - Tuesday"/>
    <s v="Monthly - Tuesday"/>
    <s v="Month+9 Expiry"/>
    <n v="0"/>
    <n v="0"/>
    <n v="0"/>
  </r>
  <r>
    <s v="05-Sep-2025"/>
    <x v="4"/>
    <s v="Week1-Sep-2025"/>
    <x v="0"/>
    <s v="Q2FY26"/>
    <s v="30-Sep-2025"/>
    <s v="Tuesday"/>
    <s v="Monthly - Tuesday"/>
    <s v="Monthly - Tuesday"/>
    <s v="Same Month Expiry"/>
    <n v="2935345"/>
    <n v="5585.8496"/>
    <n v="42.2849"/>
  </r>
  <r>
    <s v="05-Sep-2025"/>
    <x v="4"/>
    <s v="Week1-Sep-2025"/>
    <x v="0"/>
    <s v="Q2FY26"/>
    <s v="28-Oct-2025"/>
    <s v="Tuesday"/>
    <s v="Monthly - Tuesday"/>
    <s v="Monthly - Tuesday"/>
    <s v="Month+1 Expiry"/>
    <n v="33458"/>
    <n v="64.5603"/>
    <n v="0.7334000000000001"/>
  </r>
  <r>
    <s v="05-Sep-2025"/>
    <x v="4"/>
    <s v="Week1-Sep-2025"/>
    <x v="0"/>
    <s v="Q2FY26"/>
    <s v="25-Nov-2025"/>
    <s v="Tuesday"/>
    <s v="Monthly - Tuesday"/>
    <s v="Monthly - Tuesday"/>
    <s v="Month+2 Expiry"/>
    <n v="722"/>
    <n v="1.3985"/>
    <n v="0.0313"/>
  </r>
  <r>
    <s v="05-Sep-2025"/>
    <x v="4"/>
    <s v="Week1-Sep-2025"/>
    <x v="0"/>
    <s v="Q2FY26"/>
    <s v="30-Dec-2025"/>
    <s v="Tuesday"/>
    <s v="Monthly - Tuesday"/>
    <s v="Monthly - Tuesday"/>
    <s v="Month+3 Expiry"/>
    <n v="1986"/>
    <n v="3.9685"/>
    <n v="0.0618"/>
  </r>
  <r>
    <s v="05-Sep-2025"/>
    <x v="4"/>
    <s v="Week1-Sep-2025"/>
    <x v="0"/>
    <s v="Q2FY26"/>
    <s v="31-Mar-2026"/>
    <s v="Tuesday"/>
    <s v="Monthly - Tuesday"/>
    <s v="Monthly - Tuesday"/>
    <s v="Month+6 Expiry"/>
    <n v="77"/>
    <n v="0.1615"/>
    <n v="0.0021"/>
  </r>
  <r>
    <s v="05-Sep-2025"/>
    <x v="4"/>
    <s v="Week1-Sep-2025"/>
    <x v="0"/>
    <s v="Q2FY26"/>
    <s v="30-Jun-2026"/>
    <s v="Tuesday"/>
    <s v="Monthly - Tuesday"/>
    <s v="Monthly - Tuesday"/>
    <s v="Month+9 Expiry"/>
    <n v="0"/>
    <n v="0"/>
    <n v="0"/>
  </r>
  <r>
    <s v="08-Sep-2025"/>
    <x v="0"/>
    <s v="Week2-Sep-2025"/>
    <x v="0"/>
    <s v="Q2FY26"/>
    <s v="30-Sep-2025"/>
    <s v="Tuesday"/>
    <s v="Monthly - Tuesday"/>
    <s v="Monthly - Tuesday"/>
    <s v="Same Month Expiry"/>
    <n v="2772664"/>
    <n v="5289.4227"/>
    <n v="37.314"/>
  </r>
  <r>
    <s v="08-Sep-2025"/>
    <x v="0"/>
    <s v="Week2-Sep-2025"/>
    <x v="0"/>
    <s v="Q2FY26"/>
    <s v="28-Oct-2025"/>
    <s v="Tuesday"/>
    <s v="Monthly - Tuesday"/>
    <s v="Monthly - Tuesday"/>
    <s v="Month+1 Expiry"/>
    <n v="23556"/>
    <n v="45.2499"/>
    <n v="0.4635"/>
  </r>
  <r>
    <s v="08-Sep-2025"/>
    <x v="0"/>
    <s v="Week2-Sep-2025"/>
    <x v="0"/>
    <s v="Q2FY26"/>
    <s v="25-Nov-2025"/>
    <s v="Tuesday"/>
    <s v="Monthly - Tuesday"/>
    <s v="Monthly - Tuesday"/>
    <s v="Month+2 Expiry"/>
    <n v="723"/>
    <n v="1.3797"/>
    <n v="0.022"/>
  </r>
  <r>
    <s v="08-Sep-2025"/>
    <x v="0"/>
    <s v="Week2-Sep-2025"/>
    <x v="0"/>
    <s v="Q2FY26"/>
    <s v="30-Dec-2025"/>
    <s v="Tuesday"/>
    <s v="Monthly - Tuesday"/>
    <s v="Monthly - Tuesday"/>
    <s v="Month+3 Expiry"/>
    <n v="2328"/>
    <n v="4.5147"/>
    <n v="0.068"/>
  </r>
  <r>
    <s v="08-Sep-2025"/>
    <x v="0"/>
    <s v="Week2-Sep-2025"/>
    <x v="0"/>
    <s v="Q2FY26"/>
    <s v="31-Mar-2026"/>
    <s v="Tuesday"/>
    <s v="Monthly - Tuesday"/>
    <s v="Monthly - Tuesday"/>
    <s v="Month+6 Expiry"/>
    <n v="123"/>
    <n v="0.2576"/>
    <n v="0.0039"/>
  </r>
  <r>
    <s v="08-Sep-2025"/>
    <x v="0"/>
    <s v="Week2-Sep-2025"/>
    <x v="0"/>
    <s v="Q2FY26"/>
    <s v="30-Jun-2026"/>
    <s v="Tuesday"/>
    <s v="Monthly - Tuesday"/>
    <s v="Monthly - Tuesday"/>
    <s v="Month+9 Expiry"/>
    <n v="0"/>
    <n v="0"/>
    <n v="0"/>
  </r>
  <r>
    <s v="09-Sep-2025"/>
    <x v="1"/>
    <s v="Week2-Sep-2025"/>
    <x v="0"/>
    <s v="Q2FY26"/>
    <s v="30-Sep-2025"/>
    <s v="Tuesday"/>
    <s v="Monthly - Tuesday"/>
    <s v="Monthly - Tuesday"/>
    <s v="Same Month Expiry"/>
    <n v="2184553"/>
    <n v="4162.4389"/>
    <n v="29.5829"/>
  </r>
  <r>
    <s v="09-Sep-2025"/>
    <x v="1"/>
    <s v="Week2-Sep-2025"/>
    <x v="0"/>
    <s v="Q2FY26"/>
    <s v="28-Oct-2025"/>
    <s v="Tuesday"/>
    <s v="Monthly - Tuesday"/>
    <s v="Monthly - Tuesday"/>
    <s v="Month+1 Expiry"/>
    <n v="20360"/>
    <n v="39.1389"/>
    <n v="0.3146"/>
  </r>
  <r>
    <s v="09-Sep-2025"/>
    <x v="1"/>
    <s v="Week2-Sep-2025"/>
    <x v="0"/>
    <s v="Q2FY26"/>
    <s v="25-Nov-2025"/>
    <s v="Tuesday"/>
    <s v="Monthly - Tuesday"/>
    <s v="Monthly - Tuesday"/>
    <s v="Month+2 Expiry"/>
    <n v="577"/>
    <n v="1.1223"/>
    <n v="0.0139"/>
  </r>
  <r>
    <s v="09-Sep-2025"/>
    <x v="1"/>
    <s v="Week2-Sep-2025"/>
    <x v="0"/>
    <s v="Q2FY26"/>
    <s v="30-Dec-2025"/>
    <s v="Tuesday"/>
    <s v="Monthly - Tuesday"/>
    <s v="Monthly - Tuesday"/>
    <s v="Month+3 Expiry"/>
    <n v="1049"/>
    <n v="2.0595"/>
    <n v="0.031"/>
  </r>
  <r>
    <s v="09-Sep-2025"/>
    <x v="1"/>
    <s v="Week2-Sep-2025"/>
    <x v="0"/>
    <s v="Q2FY26"/>
    <s v="31-Mar-2026"/>
    <s v="Tuesday"/>
    <s v="Monthly - Tuesday"/>
    <s v="Monthly - Tuesday"/>
    <s v="Month+6 Expiry"/>
    <n v="17"/>
    <n v="0.0357"/>
    <n v="0.0005"/>
  </r>
  <r>
    <s v="09-Sep-2025"/>
    <x v="1"/>
    <s v="Week2-Sep-2025"/>
    <x v="0"/>
    <s v="Q2FY26"/>
    <s v="30-Jun-2026"/>
    <s v="Tuesday"/>
    <s v="Monthly - Tuesday"/>
    <s v="Monthly - Tuesday"/>
    <s v="Month+9 Expiry"/>
    <n v="0"/>
    <n v="0"/>
    <n v="0"/>
  </r>
  <r>
    <s v="10-Sep-2025"/>
    <x v="2"/>
    <s v="Week2-Sep-2025"/>
    <x v="0"/>
    <s v="Q2FY26"/>
    <s v="30-Sep-2025"/>
    <s v="Tuesday"/>
    <s v="Monthly - Tuesday"/>
    <s v="Monthly - Tuesday"/>
    <s v="Same Month Expiry"/>
    <n v="2977307"/>
    <n v="5695.0636"/>
    <n v="39.5422"/>
  </r>
  <r>
    <s v="10-Sep-2025"/>
    <x v="2"/>
    <s v="Week2-Sep-2025"/>
    <x v="0"/>
    <s v="Q2FY26"/>
    <s v="28-Oct-2025"/>
    <s v="Tuesday"/>
    <s v="Monthly - Tuesday"/>
    <s v="Monthly - Tuesday"/>
    <s v="Month+1 Expiry"/>
    <n v="35141"/>
    <n v="67.67749999999999"/>
    <n v="0.6271"/>
  </r>
  <r>
    <s v="10-Sep-2025"/>
    <x v="2"/>
    <s v="Week2-Sep-2025"/>
    <x v="0"/>
    <s v="Q2FY26"/>
    <s v="25-Nov-2025"/>
    <s v="Tuesday"/>
    <s v="Monthly - Tuesday"/>
    <s v="Monthly - Tuesday"/>
    <s v="Month+2 Expiry"/>
    <n v="1391"/>
    <n v="2.69"/>
    <n v="0.0326"/>
  </r>
  <r>
    <s v="10-Sep-2025"/>
    <x v="2"/>
    <s v="Week2-Sep-2025"/>
    <x v="0"/>
    <s v="Q2FY26"/>
    <s v="30-Dec-2025"/>
    <s v="Tuesday"/>
    <s v="Monthly - Tuesday"/>
    <s v="Monthly - Tuesday"/>
    <s v="Month+3 Expiry"/>
    <n v="3275"/>
    <n v="6.4037"/>
    <n v="0.1023"/>
  </r>
  <r>
    <s v="10-Sep-2025"/>
    <x v="2"/>
    <s v="Week2-Sep-2025"/>
    <x v="0"/>
    <s v="Q2FY26"/>
    <s v="31-Mar-2026"/>
    <s v="Tuesday"/>
    <s v="Monthly - Tuesday"/>
    <s v="Monthly - Tuesday"/>
    <s v="Month+6 Expiry"/>
    <n v="198"/>
    <n v="0.4174"/>
    <n v="0.0057"/>
  </r>
  <r>
    <s v="10-Sep-2025"/>
    <x v="2"/>
    <s v="Week2-Sep-2025"/>
    <x v="0"/>
    <s v="Q2FY26"/>
    <s v="30-Jun-2026"/>
    <s v="Tuesday"/>
    <s v="Monthly - Tuesday"/>
    <s v="Monthly - Tuesday"/>
    <s v="Month+9 Expiry"/>
    <n v="0"/>
    <n v="0"/>
    <n v="0"/>
  </r>
  <r>
    <s v="11-Sep-2025"/>
    <x v="3"/>
    <s v="Week2-Sep-2025"/>
    <x v="0"/>
    <s v="Q2FY26"/>
    <s v="30-Sep-2025"/>
    <s v="Tuesday"/>
    <s v="Monthly - Tuesday"/>
    <s v="Monthly - Tuesday"/>
    <s v="Same Month Expiry"/>
    <n v="2376862"/>
    <n v="4557.516"/>
    <n v="29.3358"/>
  </r>
  <r>
    <s v="11-Sep-2025"/>
    <x v="3"/>
    <s v="Week2-Sep-2025"/>
    <x v="0"/>
    <s v="Q2FY26"/>
    <s v="28-Oct-2025"/>
    <s v="Tuesday"/>
    <s v="Monthly - Tuesday"/>
    <s v="Monthly - Tuesday"/>
    <s v="Month+1 Expiry"/>
    <n v="28274"/>
    <n v="54.3677"/>
    <n v="0.4552"/>
  </r>
  <r>
    <s v="11-Sep-2025"/>
    <x v="3"/>
    <s v="Week2-Sep-2025"/>
    <x v="0"/>
    <s v="Q2FY26"/>
    <s v="25-Nov-2025"/>
    <s v="Tuesday"/>
    <s v="Monthly - Tuesday"/>
    <s v="Monthly - Tuesday"/>
    <s v="Month+2 Expiry"/>
    <n v="976"/>
    <n v="1.8798"/>
    <n v="0.0188"/>
  </r>
  <r>
    <s v="11-Sep-2025"/>
    <x v="3"/>
    <s v="Week2-Sep-2025"/>
    <x v="0"/>
    <s v="Q2FY26"/>
    <s v="30-Dec-2025"/>
    <s v="Tuesday"/>
    <s v="Monthly - Tuesday"/>
    <s v="Monthly - Tuesday"/>
    <s v="Month+3 Expiry"/>
    <n v="1450"/>
    <n v="2.833"/>
    <n v="0.0424"/>
  </r>
  <r>
    <s v="11-Sep-2025"/>
    <x v="3"/>
    <s v="Week2-Sep-2025"/>
    <x v="0"/>
    <s v="Q2FY26"/>
    <s v="31-Mar-2026"/>
    <s v="Tuesday"/>
    <s v="Monthly - Tuesday"/>
    <s v="Monthly - Tuesday"/>
    <s v="Month+6 Expiry"/>
    <n v="36"/>
    <n v="0.07630000000000001"/>
    <n v="0.0009"/>
  </r>
  <r>
    <s v="11-Sep-2025"/>
    <x v="3"/>
    <s v="Week2-Sep-2025"/>
    <x v="0"/>
    <s v="Q2FY26"/>
    <s v="30-Jun-2026"/>
    <s v="Tuesday"/>
    <s v="Monthly - Tuesday"/>
    <s v="Monthly - Tuesday"/>
    <s v="Month+9 Expiry"/>
    <n v="0"/>
    <n v="0"/>
    <n v="0"/>
  </r>
  <r>
    <s v="12-Sep-2025"/>
    <x v="4"/>
    <s v="Week2-Sep-2025"/>
    <x v="0"/>
    <s v="Q2FY26"/>
    <s v="30-Sep-2025"/>
    <s v="Tuesday"/>
    <s v="Monthly - Tuesday"/>
    <s v="Monthly - Tuesday"/>
    <s v="Same Month Expiry"/>
    <n v="2574698"/>
    <n v="4935.0399"/>
    <n v="30.7807"/>
  </r>
  <r>
    <s v="12-Sep-2025"/>
    <x v="4"/>
    <s v="Week2-Sep-2025"/>
    <x v="0"/>
    <s v="Q2FY26"/>
    <s v="28-Oct-2025"/>
    <s v="Tuesday"/>
    <s v="Monthly - Tuesday"/>
    <s v="Monthly - Tuesday"/>
    <s v="Month+1 Expiry"/>
    <n v="42978"/>
    <n v="83.00490000000001"/>
    <n v="0.5669999999999999"/>
  </r>
  <r>
    <s v="12-Sep-2025"/>
    <x v="4"/>
    <s v="Week2-Sep-2025"/>
    <x v="0"/>
    <s v="Q2FY26"/>
    <s v="25-Nov-2025"/>
    <s v="Tuesday"/>
    <s v="Monthly - Tuesday"/>
    <s v="Monthly - Tuesday"/>
    <s v="Month+2 Expiry"/>
    <n v="1864"/>
    <n v="3.559"/>
    <n v="0.0356"/>
  </r>
  <r>
    <s v="12-Sep-2025"/>
    <x v="4"/>
    <s v="Week2-Sep-2025"/>
    <x v="0"/>
    <s v="Q2FY26"/>
    <s v="30-Dec-2025"/>
    <s v="Tuesday"/>
    <s v="Monthly - Tuesday"/>
    <s v="Monthly - Tuesday"/>
    <s v="Month+3 Expiry"/>
    <n v="2649"/>
    <n v="5.2832"/>
    <n v="0.0798"/>
  </r>
  <r>
    <s v="12-Sep-2025"/>
    <x v="4"/>
    <s v="Week2-Sep-2025"/>
    <x v="0"/>
    <s v="Q2FY26"/>
    <s v="31-Mar-2026"/>
    <s v="Tuesday"/>
    <s v="Monthly - Tuesday"/>
    <s v="Monthly - Tuesday"/>
    <s v="Month+6 Expiry"/>
    <n v="35"/>
    <n v="0.0742"/>
    <n v="0.0009"/>
  </r>
  <r>
    <s v="12-Sep-2025"/>
    <x v="4"/>
    <s v="Week2-Sep-2025"/>
    <x v="0"/>
    <s v="Q2FY26"/>
    <s v="30-Jun-2026"/>
    <s v="Tuesday"/>
    <s v="Monthly - Tuesday"/>
    <s v="Monthly - Tuesday"/>
    <s v="Month+9 Expiry"/>
    <n v="0"/>
    <n v="0"/>
    <n v="0"/>
  </r>
  <r>
    <s v="15-Sep-2025"/>
    <x v="0"/>
    <s v="Week3-Sep-2025"/>
    <x v="0"/>
    <s v="Q2FY26"/>
    <s v="30-Sep-2025"/>
    <s v="Tuesday"/>
    <s v="Monthly - Tuesday"/>
    <s v="Monthly - Tuesday"/>
    <s v="Same Month Expiry"/>
    <n v="2447180"/>
    <n v="4718.6186"/>
    <n v="27.5124"/>
  </r>
  <r>
    <s v="15-Sep-2025"/>
    <x v="0"/>
    <s v="Week3-Sep-2025"/>
    <x v="0"/>
    <s v="Q2FY26"/>
    <s v="28-Oct-2025"/>
    <s v="Tuesday"/>
    <s v="Monthly - Tuesday"/>
    <s v="Monthly - Tuesday"/>
    <s v="Month+1 Expiry"/>
    <n v="49449"/>
    <n v="95.77760000000001"/>
    <n v="0.8409"/>
  </r>
  <r>
    <s v="15-Sep-2025"/>
    <x v="0"/>
    <s v="Week3-Sep-2025"/>
    <x v="0"/>
    <s v="Q2FY26"/>
    <s v="25-Nov-2025"/>
    <s v="Tuesday"/>
    <s v="Monthly - Tuesday"/>
    <s v="Monthly - Tuesday"/>
    <s v="Month+2 Expiry"/>
    <n v="2231"/>
    <n v="4.2551"/>
    <n v="0.0364"/>
  </r>
  <r>
    <s v="15-Sep-2025"/>
    <x v="0"/>
    <s v="Week3-Sep-2025"/>
    <x v="0"/>
    <s v="Q2FY26"/>
    <s v="30-Dec-2025"/>
    <s v="Tuesday"/>
    <s v="Monthly - Tuesday"/>
    <s v="Monthly - Tuesday"/>
    <s v="Month+3 Expiry"/>
    <n v="1971"/>
    <n v="3.9013"/>
    <n v="0.0613"/>
  </r>
  <r>
    <s v="15-Sep-2025"/>
    <x v="0"/>
    <s v="Week3-Sep-2025"/>
    <x v="0"/>
    <s v="Q2FY26"/>
    <s v="31-Mar-2026"/>
    <s v="Tuesday"/>
    <s v="Monthly - Tuesday"/>
    <s v="Monthly - Tuesday"/>
    <s v="Month+6 Expiry"/>
    <n v="16"/>
    <n v="0.0331"/>
    <n v="0.0008"/>
  </r>
  <r>
    <s v="15-Sep-2025"/>
    <x v="0"/>
    <s v="Week3-Sep-2025"/>
    <x v="0"/>
    <s v="Q2FY26"/>
    <s v="30-Jun-2026"/>
    <s v="Tuesday"/>
    <s v="Monthly - Tuesday"/>
    <s v="Monthly - Tuesday"/>
    <s v="Month+9 Expiry"/>
    <n v="0"/>
    <n v="0"/>
    <n v="0"/>
  </r>
  <r>
    <s v="16-Sep-2025"/>
    <x v="1"/>
    <s v="Week3-Sep-2025"/>
    <x v="0"/>
    <s v="Q2FY26"/>
    <s v="30-Sep-2025"/>
    <s v="Tuesday"/>
    <s v="Monthly - Tuesday"/>
    <s v="Monthly - Tuesday"/>
    <s v="Same Month Expiry"/>
    <n v="2920520"/>
    <n v="5633.0641"/>
    <n v="30.7542"/>
  </r>
  <r>
    <s v="16-Sep-2025"/>
    <x v="1"/>
    <s v="Week3-Sep-2025"/>
    <x v="0"/>
    <s v="Q2FY26"/>
    <s v="28-Oct-2025"/>
    <s v="Tuesday"/>
    <s v="Monthly - Tuesday"/>
    <s v="Monthly - Tuesday"/>
    <s v="Month+1 Expiry"/>
    <n v="105859"/>
    <n v="207.9988"/>
    <n v="2.0344"/>
  </r>
  <r>
    <s v="16-Sep-2025"/>
    <x v="1"/>
    <s v="Week3-Sep-2025"/>
    <x v="0"/>
    <s v="Q2FY26"/>
    <s v="25-Nov-2025"/>
    <s v="Tuesday"/>
    <s v="Monthly - Tuesday"/>
    <s v="Monthly - Tuesday"/>
    <s v="Month+2 Expiry"/>
    <n v="2986"/>
    <n v="5.7989"/>
    <n v="0.0635"/>
  </r>
  <r>
    <s v="16-Sep-2025"/>
    <x v="1"/>
    <s v="Week3-Sep-2025"/>
    <x v="0"/>
    <s v="Q2FY26"/>
    <s v="30-Dec-2025"/>
    <s v="Tuesday"/>
    <s v="Monthly - Tuesday"/>
    <s v="Monthly - Tuesday"/>
    <s v="Month+3 Expiry"/>
    <n v="2875"/>
    <n v="5.6326"/>
    <n v="0.082"/>
  </r>
  <r>
    <s v="16-Sep-2025"/>
    <x v="1"/>
    <s v="Week3-Sep-2025"/>
    <x v="0"/>
    <s v="Q2FY26"/>
    <s v="31-Mar-2026"/>
    <s v="Tuesday"/>
    <s v="Monthly - Tuesday"/>
    <s v="Monthly - Tuesday"/>
    <s v="Month+6 Expiry"/>
    <n v="24"/>
    <n v="0.0504"/>
    <n v="0.001"/>
  </r>
  <r>
    <s v="16-Sep-2025"/>
    <x v="1"/>
    <s v="Week3-Sep-2025"/>
    <x v="0"/>
    <s v="Q2FY26"/>
    <s v="30-Jun-2026"/>
    <s v="Tuesday"/>
    <s v="Monthly - Tuesday"/>
    <s v="Monthly - Tuesday"/>
    <s v="Month+9 Expiry"/>
    <n v="0"/>
    <n v="0"/>
    <n v="0"/>
  </r>
  <r>
    <s v="17-Sep-2025"/>
    <x v="2"/>
    <s v="Week3-Sep-2025"/>
    <x v="0"/>
    <s v="Q2FY26"/>
    <s v="30-Sep-2025"/>
    <s v="Tuesday"/>
    <s v="Monthly - Tuesday"/>
    <s v="Monthly - Tuesday"/>
    <s v="Same Month Expiry"/>
    <n v="3892571"/>
    <n v="7563.0427"/>
    <n v="37.891"/>
  </r>
  <r>
    <s v="17-Sep-2025"/>
    <x v="2"/>
    <s v="Week3-Sep-2025"/>
    <x v="0"/>
    <s v="Q2FY26"/>
    <s v="28-Oct-2025"/>
    <s v="Tuesday"/>
    <s v="Monthly - Tuesday"/>
    <s v="Monthly - Tuesday"/>
    <s v="Month+1 Expiry"/>
    <n v="157463"/>
    <n v="310.3593"/>
    <n v="2.7607"/>
  </r>
  <r>
    <s v="17-Sep-2025"/>
    <x v="2"/>
    <s v="Week3-Sep-2025"/>
    <x v="0"/>
    <s v="Q2FY26"/>
    <s v="25-Nov-2025"/>
    <s v="Tuesday"/>
    <s v="Monthly - Tuesday"/>
    <s v="Monthly - Tuesday"/>
    <s v="Month+2 Expiry"/>
    <n v="3342"/>
    <n v="6.4662"/>
    <n v="0.07389999999999999"/>
  </r>
  <r>
    <s v="17-Sep-2025"/>
    <x v="2"/>
    <s v="Week3-Sep-2025"/>
    <x v="0"/>
    <s v="Q2FY26"/>
    <s v="30-Dec-2025"/>
    <s v="Tuesday"/>
    <s v="Monthly - Tuesday"/>
    <s v="Monthly - Tuesday"/>
    <s v="Month+3 Expiry"/>
    <n v="4108"/>
    <n v="8.145"/>
    <n v="0.1127"/>
  </r>
  <r>
    <s v="17-Sep-2025"/>
    <x v="2"/>
    <s v="Week3-Sep-2025"/>
    <x v="0"/>
    <s v="Q2FY26"/>
    <s v="31-Mar-2026"/>
    <s v="Tuesday"/>
    <s v="Monthly - Tuesday"/>
    <s v="Monthly - Tuesday"/>
    <s v="Month+6 Expiry"/>
    <n v="70"/>
    <n v="0.1459"/>
    <n v="0.0034"/>
  </r>
  <r>
    <s v="17-Sep-2025"/>
    <x v="2"/>
    <s v="Week3-Sep-2025"/>
    <x v="0"/>
    <s v="Q2FY26"/>
    <s v="30-Jun-2026"/>
    <s v="Tuesday"/>
    <s v="Monthly - Tuesday"/>
    <s v="Monthly - Tuesday"/>
    <s v="Month+9 Expiry"/>
    <n v="0"/>
    <n v="0"/>
    <n v="0"/>
  </r>
  <r>
    <s v="18-Sep-2025"/>
    <x v="3"/>
    <s v="Week3-Sep-2025"/>
    <x v="0"/>
    <s v="Q2FY26"/>
    <s v="30-Sep-2025"/>
    <s v="Tuesday"/>
    <s v="Monthly - Tuesday"/>
    <s v="Monthly - Tuesday"/>
    <s v="Same Month Expiry"/>
    <n v="4534462"/>
    <n v="8811.864299999999"/>
    <n v="42.1655"/>
  </r>
  <r>
    <s v="18-Sep-2025"/>
    <x v="3"/>
    <s v="Week3-Sep-2025"/>
    <x v="0"/>
    <s v="Q2FY26"/>
    <s v="28-Oct-2025"/>
    <s v="Tuesday"/>
    <s v="Monthly - Tuesday"/>
    <s v="Monthly - Tuesday"/>
    <s v="Month+1 Expiry"/>
    <n v="131399"/>
    <n v="258.2649"/>
    <n v="2.2279"/>
  </r>
  <r>
    <s v="18-Sep-2025"/>
    <x v="3"/>
    <s v="Week3-Sep-2025"/>
    <x v="0"/>
    <s v="Q2FY26"/>
    <s v="25-Nov-2025"/>
    <s v="Tuesday"/>
    <s v="Monthly - Tuesday"/>
    <s v="Monthly - Tuesday"/>
    <s v="Month+2 Expiry"/>
    <n v="4016"/>
    <n v="7.785"/>
    <n v="0.0839"/>
  </r>
  <r>
    <s v="18-Sep-2025"/>
    <x v="3"/>
    <s v="Week3-Sep-2025"/>
    <x v="0"/>
    <s v="Q2FY26"/>
    <s v="30-Dec-2025"/>
    <s v="Tuesday"/>
    <s v="Monthly - Tuesday"/>
    <s v="Monthly - Tuesday"/>
    <s v="Month+3 Expiry"/>
    <n v="4726"/>
    <n v="9.3294"/>
    <n v="0.1185"/>
  </r>
  <r>
    <s v="18-Sep-2025"/>
    <x v="3"/>
    <s v="Week3-Sep-2025"/>
    <x v="0"/>
    <s v="Q2FY26"/>
    <s v="31-Mar-2026"/>
    <s v="Tuesday"/>
    <s v="Monthly - Tuesday"/>
    <s v="Monthly - Tuesday"/>
    <s v="Month+6 Expiry"/>
    <n v="155"/>
    <n v="0.3239"/>
    <n v="0.0078"/>
  </r>
  <r>
    <s v="18-Sep-2025"/>
    <x v="3"/>
    <s v="Week3-Sep-2025"/>
    <x v="0"/>
    <s v="Q2FY26"/>
    <s v="30-Jun-2026"/>
    <s v="Tuesday"/>
    <s v="Monthly - Tuesday"/>
    <s v="Monthly - Tuesday"/>
    <s v="Month+9 Expiry"/>
    <n v="0"/>
    <n v="0"/>
    <n v="0"/>
  </r>
  <r>
    <s v="19-Sep-2025"/>
    <x v="4"/>
    <s v="Week3-Sep-2025"/>
    <x v="0"/>
    <s v="Q2FY26"/>
    <s v="30-Sep-2025"/>
    <s v="Tuesday"/>
    <s v="Monthly - Tuesday"/>
    <s v="Monthly - Tuesday"/>
    <s v="Same Month Expiry"/>
    <n v="4276939"/>
    <n v="8294.0682"/>
    <n v="37.6788"/>
  </r>
  <r>
    <s v="19-Sep-2025"/>
    <x v="4"/>
    <s v="Week3-Sep-2025"/>
    <x v="0"/>
    <s v="Q2FY26"/>
    <s v="28-Oct-2025"/>
    <s v="Tuesday"/>
    <s v="Monthly - Tuesday"/>
    <s v="Monthly - Tuesday"/>
    <s v="Month+1 Expiry"/>
    <n v="95212"/>
    <n v="186.6725"/>
    <n v="1.5823"/>
  </r>
  <r>
    <s v="19-Sep-2025"/>
    <x v="4"/>
    <s v="Week3-Sep-2025"/>
    <x v="0"/>
    <s v="Q2FY26"/>
    <s v="25-Nov-2025"/>
    <s v="Tuesday"/>
    <s v="Monthly - Tuesday"/>
    <s v="Monthly - Tuesday"/>
    <s v="Month+2 Expiry"/>
    <n v="2021"/>
    <n v="3.9345"/>
    <n v="0.0393"/>
  </r>
  <r>
    <s v="19-Sep-2025"/>
    <x v="4"/>
    <s v="Week3-Sep-2025"/>
    <x v="0"/>
    <s v="Q2FY26"/>
    <s v="30-Dec-2025"/>
    <s v="Tuesday"/>
    <s v="Monthly - Tuesday"/>
    <s v="Monthly - Tuesday"/>
    <s v="Month+3 Expiry"/>
    <n v="1793"/>
    <n v="3.5728"/>
    <n v="0.0472"/>
  </r>
  <r>
    <s v="19-Sep-2025"/>
    <x v="4"/>
    <s v="Week3-Sep-2025"/>
    <x v="0"/>
    <s v="Q2FY26"/>
    <s v="31-Mar-2026"/>
    <s v="Tuesday"/>
    <s v="Monthly - Tuesday"/>
    <s v="Monthly - Tuesday"/>
    <s v="Month+6 Expiry"/>
    <n v="87"/>
    <n v="0.1816"/>
    <n v="0.0044"/>
  </r>
  <r>
    <s v="19-Sep-2025"/>
    <x v="4"/>
    <s v="Week3-Sep-2025"/>
    <x v="0"/>
    <s v="Q2FY26"/>
    <s v="30-Jun-2026"/>
    <s v="Tuesday"/>
    <s v="Monthly - Tuesday"/>
    <s v="Monthly - Tuesday"/>
    <s v="Month+9 Expiry"/>
    <n v="0"/>
    <n v="0"/>
    <n v="0"/>
  </r>
  <r>
    <s v="22-Sep-2025"/>
    <x v="0"/>
    <s v="Week4-Sep-2025"/>
    <x v="0"/>
    <s v="Q2FY26"/>
    <s v="30-Sep-2025"/>
    <s v="Tuesday"/>
    <s v="Monthly - Tuesday"/>
    <s v="Monthly - Tuesday"/>
    <s v="Same Month Expiry"/>
    <n v="4695908"/>
    <n v="9110.084500000001"/>
    <n v="38.4408"/>
  </r>
  <r>
    <s v="22-Sep-2025"/>
    <x v="0"/>
    <s v="Week4-Sep-2025"/>
    <x v="0"/>
    <s v="Q2FY26"/>
    <s v="28-Oct-2025"/>
    <s v="Tuesday"/>
    <s v="Monthly - Tuesday"/>
    <s v="Monthly - Tuesday"/>
    <s v="Month+1 Expiry"/>
    <n v="136773"/>
    <n v="267.7661"/>
    <n v="2.2623"/>
  </r>
  <r>
    <s v="22-Sep-2025"/>
    <x v="0"/>
    <s v="Week4-Sep-2025"/>
    <x v="0"/>
    <s v="Q2FY26"/>
    <s v="25-Nov-2025"/>
    <s v="Tuesday"/>
    <s v="Monthly - Tuesday"/>
    <s v="Monthly - Tuesday"/>
    <s v="Month+2 Expiry"/>
    <n v="3032"/>
    <n v="5.903"/>
    <n v="0.0595"/>
  </r>
  <r>
    <s v="22-Sep-2025"/>
    <x v="0"/>
    <s v="Week4-Sep-2025"/>
    <x v="0"/>
    <s v="Q2FY26"/>
    <s v="30-Dec-2025"/>
    <s v="Tuesday"/>
    <s v="Monthly - Tuesday"/>
    <s v="Monthly - Tuesday"/>
    <s v="Month+3 Expiry"/>
    <n v="1819"/>
    <n v="3.6093"/>
    <n v="0.0396"/>
  </r>
  <r>
    <s v="22-Sep-2025"/>
    <x v="0"/>
    <s v="Week4-Sep-2025"/>
    <x v="0"/>
    <s v="Q2FY26"/>
    <s v="31-Mar-2026"/>
    <s v="Tuesday"/>
    <s v="Monthly - Tuesday"/>
    <s v="Monthly - Tuesday"/>
    <s v="Month+6 Expiry"/>
    <n v="34"/>
    <n v="0.0703"/>
    <n v="0.0021"/>
  </r>
  <r>
    <s v="22-Sep-2025"/>
    <x v="0"/>
    <s v="Week4-Sep-2025"/>
    <x v="0"/>
    <s v="Q2FY26"/>
    <s v="30-Jun-2026"/>
    <s v="Tuesday"/>
    <s v="Monthly - Tuesday"/>
    <s v="Monthly - Tuesday"/>
    <s v="Month+9 Expiry"/>
    <n v="0"/>
    <n v="0"/>
    <n v="0"/>
  </r>
  <r>
    <s v="23-Sep-2025"/>
    <x v="1"/>
    <s v="Week4-Sep-2025"/>
    <x v="0"/>
    <s v="Q2FY26"/>
    <s v="30-Sep-2025"/>
    <s v="Tuesday"/>
    <s v="Monthly - Tuesday"/>
    <s v="Monthly - Tuesday"/>
    <s v="Same Month Expiry"/>
    <n v="5254990"/>
    <n v="10179.5141"/>
    <n v="39.7639"/>
  </r>
  <r>
    <s v="23-Sep-2025"/>
    <x v="1"/>
    <s v="Week4-Sep-2025"/>
    <x v="0"/>
    <s v="Q2FY26"/>
    <s v="28-Oct-2025"/>
    <s v="Tuesday"/>
    <s v="Monthly - Tuesday"/>
    <s v="Monthly - Tuesday"/>
    <s v="Month+1 Expiry"/>
    <n v="162251"/>
    <n v="317.6968"/>
    <n v="2.6866"/>
  </r>
  <r>
    <s v="23-Sep-2025"/>
    <x v="1"/>
    <s v="Week4-Sep-2025"/>
    <x v="0"/>
    <s v="Q2FY26"/>
    <s v="25-Nov-2025"/>
    <s v="Tuesday"/>
    <s v="Monthly - Tuesday"/>
    <s v="Monthly - Tuesday"/>
    <s v="Month+2 Expiry"/>
    <n v="3541"/>
    <n v="6.8985"/>
    <n v="0.06710000000000001"/>
  </r>
  <r>
    <s v="23-Sep-2025"/>
    <x v="1"/>
    <s v="Week4-Sep-2025"/>
    <x v="0"/>
    <s v="Q2FY26"/>
    <s v="30-Dec-2025"/>
    <s v="Tuesday"/>
    <s v="Monthly - Tuesday"/>
    <s v="Monthly - Tuesday"/>
    <s v="Month+3 Expiry"/>
    <n v="2155"/>
    <n v="4.2961"/>
    <n v="0.0549"/>
  </r>
  <r>
    <s v="23-Sep-2025"/>
    <x v="1"/>
    <s v="Week4-Sep-2025"/>
    <x v="0"/>
    <s v="Q2FY26"/>
    <s v="31-Mar-2026"/>
    <s v="Tuesday"/>
    <s v="Monthly - Tuesday"/>
    <s v="Monthly - Tuesday"/>
    <s v="Month+6 Expiry"/>
    <n v="201"/>
    <n v="0.4153"/>
    <n v="0.0124"/>
  </r>
  <r>
    <s v="23-Sep-2025"/>
    <x v="1"/>
    <s v="Week4-Sep-2025"/>
    <x v="0"/>
    <s v="Q2FY26"/>
    <s v="30-Jun-2026"/>
    <s v="Tuesday"/>
    <s v="Monthly - Tuesday"/>
    <s v="Monthly - Tuesday"/>
    <s v="Month+9 Expiry"/>
    <n v="0"/>
    <n v="0"/>
    <n v="0"/>
  </r>
  <r>
    <s v="24-Sep-2025"/>
    <x v="2"/>
    <s v="Week4-Sep-2025"/>
    <x v="0"/>
    <s v="Q2FY26"/>
    <s v="30-Sep-2025"/>
    <s v="Tuesday"/>
    <s v="Monthly - Tuesday"/>
    <s v="Monthly - Tuesday"/>
    <s v="Same Month Expiry"/>
    <n v="8230927"/>
    <n v="15880.9611"/>
    <n v="53.1202"/>
  </r>
  <r>
    <s v="24-Sep-2025"/>
    <x v="2"/>
    <s v="Week4-Sep-2025"/>
    <x v="0"/>
    <s v="Q2FY26"/>
    <s v="28-Oct-2025"/>
    <s v="Tuesday"/>
    <s v="Monthly - Tuesday"/>
    <s v="Monthly - Tuesday"/>
    <s v="Month+1 Expiry"/>
    <n v="210834"/>
    <n v="412.2724"/>
    <n v="3.5888"/>
  </r>
  <r>
    <s v="24-Sep-2025"/>
    <x v="2"/>
    <s v="Week4-Sep-2025"/>
    <x v="0"/>
    <s v="Q2FY26"/>
    <s v="25-Nov-2025"/>
    <s v="Tuesday"/>
    <s v="Monthly - Tuesday"/>
    <s v="Monthly - Tuesday"/>
    <s v="Month+2 Expiry"/>
    <n v="4862"/>
    <n v="9.464399999999999"/>
    <n v="0.08550000000000001"/>
  </r>
  <r>
    <s v="24-Sep-2025"/>
    <x v="2"/>
    <s v="Week4-Sep-2025"/>
    <x v="0"/>
    <s v="Q2FY26"/>
    <s v="30-Dec-2025"/>
    <s v="Tuesday"/>
    <s v="Monthly - Tuesday"/>
    <s v="Monthly - Tuesday"/>
    <s v="Month+3 Expiry"/>
    <n v="2084"/>
    <n v="4.1545"/>
    <n v="0.0484"/>
  </r>
  <r>
    <s v="24-Sep-2025"/>
    <x v="2"/>
    <s v="Week4-Sep-2025"/>
    <x v="0"/>
    <s v="Q2FY26"/>
    <s v="31-Mar-2026"/>
    <s v="Tuesday"/>
    <s v="Monthly - Tuesday"/>
    <s v="Monthly - Tuesday"/>
    <s v="Month+6 Expiry"/>
    <n v="100"/>
    <n v="0.2071"/>
    <n v="0.0061"/>
  </r>
  <r>
    <s v="24-Sep-2025"/>
    <x v="2"/>
    <s v="Week4-Sep-2025"/>
    <x v="0"/>
    <s v="Q2FY26"/>
    <s v="30-Jun-2026"/>
    <s v="Tuesday"/>
    <s v="Monthly - Tuesday"/>
    <s v="Monthly - Tuesday"/>
    <s v="Month+9 Expiry"/>
    <n v="0"/>
    <n v="0"/>
    <n v="0"/>
  </r>
  <r>
    <s v="25-Sep-2025"/>
    <x v="3"/>
    <s v="Week4-Sep-2025"/>
    <x v="0"/>
    <s v="Q2FY26"/>
    <s v="30-Sep-2025"/>
    <s v="Tuesday"/>
    <s v="Monthly - Tuesday"/>
    <s v="Monthly - Tuesday"/>
    <s v="Same Month Expiry"/>
    <n v="8655021"/>
    <n v="16673.168"/>
    <n v="50.6993"/>
  </r>
  <r>
    <s v="25-Sep-2025"/>
    <x v="3"/>
    <s v="Week4-Sep-2025"/>
    <x v="0"/>
    <s v="Q2FY26"/>
    <s v="28-Oct-2025"/>
    <s v="Tuesday"/>
    <s v="Monthly - Tuesday"/>
    <s v="Monthly - Tuesday"/>
    <s v="Month+1 Expiry"/>
    <n v="229999"/>
    <n v="447.3314"/>
    <n v="4.1256"/>
  </r>
  <r>
    <s v="25-Sep-2025"/>
    <x v="3"/>
    <s v="Week4-Sep-2025"/>
    <x v="0"/>
    <s v="Q2FY26"/>
    <s v="25-Nov-2025"/>
    <s v="Tuesday"/>
    <s v="Monthly - Tuesday"/>
    <s v="Monthly - Tuesday"/>
    <s v="Month+2 Expiry"/>
    <n v="4065"/>
    <n v="7.8798"/>
    <n v="0.076"/>
  </r>
  <r>
    <s v="25-Sep-2025"/>
    <x v="3"/>
    <s v="Week4-Sep-2025"/>
    <x v="0"/>
    <s v="Q2FY26"/>
    <s v="30-Dec-2025"/>
    <s v="Tuesday"/>
    <s v="Monthly - Tuesday"/>
    <s v="Monthly - Tuesday"/>
    <s v="Month+3 Expiry"/>
    <n v="1708"/>
    <n v="3.4037"/>
    <n v="0.0434"/>
  </r>
  <r>
    <s v="25-Sep-2025"/>
    <x v="3"/>
    <s v="Week4-Sep-2025"/>
    <x v="0"/>
    <s v="Q2FY26"/>
    <s v="31-Mar-2026"/>
    <s v="Tuesday"/>
    <s v="Monthly - Tuesday"/>
    <s v="Monthly - Tuesday"/>
    <s v="Month+6 Expiry"/>
    <n v="93"/>
    <n v="0.193"/>
    <n v="0.005"/>
  </r>
  <r>
    <s v="25-Sep-2025"/>
    <x v="3"/>
    <s v="Week4-Sep-2025"/>
    <x v="0"/>
    <s v="Q2FY26"/>
    <s v="30-Jun-2026"/>
    <s v="Tuesday"/>
    <s v="Monthly - Tuesday"/>
    <s v="Monthly - Tuesday"/>
    <s v="Month+9 Expiry"/>
    <n v="0"/>
    <n v="0"/>
    <n v="0"/>
  </r>
  <r>
    <s v="26-Sep-2025"/>
    <x v="4"/>
    <s v="Week4-Sep-2025"/>
    <x v="0"/>
    <s v="Q2FY26"/>
    <s v="30-Sep-2025"/>
    <s v="Tuesday"/>
    <s v="Monthly - Tuesday"/>
    <s v="Monthly - Tuesday"/>
    <s v="Same Month Expiry"/>
    <n v="15559407"/>
    <n v="29538.8334"/>
    <n v="79.79819999999999"/>
  </r>
  <r>
    <s v="26-Sep-2025"/>
    <x v="4"/>
    <s v="Week4-Sep-2025"/>
    <x v="0"/>
    <s v="Q2FY26"/>
    <s v="28-Oct-2025"/>
    <s v="Tuesday"/>
    <s v="Monthly - Tuesday"/>
    <s v="Monthly - Tuesday"/>
    <s v="Month+1 Expiry"/>
    <n v="458425"/>
    <n v="887.954"/>
    <n v="8.023899999999999"/>
  </r>
  <r>
    <s v="26-Sep-2025"/>
    <x v="4"/>
    <s v="Week4-Sep-2025"/>
    <x v="0"/>
    <s v="Q2FY26"/>
    <s v="25-Nov-2025"/>
    <s v="Tuesday"/>
    <s v="Monthly - Tuesday"/>
    <s v="Monthly - Tuesday"/>
    <s v="Month+2 Expiry"/>
    <n v="12857"/>
    <n v="25.0482"/>
    <n v="0.2656"/>
  </r>
  <r>
    <s v="26-Sep-2025"/>
    <x v="4"/>
    <s v="Week4-Sep-2025"/>
    <x v="0"/>
    <s v="Q2FY26"/>
    <s v="30-Dec-2025"/>
    <s v="Tuesday"/>
    <s v="Monthly - Tuesday"/>
    <s v="Monthly - Tuesday"/>
    <s v="Month+3 Expiry"/>
    <n v="5665"/>
    <n v="11.2906"/>
    <n v="0.1509"/>
  </r>
  <r>
    <s v="26-Sep-2025"/>
    <x v="4"/>
    <s v="Week4-Sep-2025"/>
    <x v="0"/>
    <s v="Q2FY26"/>
    <s v="31-Mar-2026"/>
    <s v="Tuesday"/>
    <s v="Monthly - Tuesday"/>
    <s v="Monthly - Tuesday"/>
    <s v="Month+6 Expiry"/>
    <n v="201"/>
    <n v="0.4206"/>
    <n v="0.0072"/>
  </r>
  <r>
    <s v="26-Sep-2025"/>
    <x v="4"/>
    <s v="Week4-Sep-2025"/>
    <x v="0"/>
    <s v="Q2FY26"/>
    <s v="30-Jun-2026"/>
    <s v="Tuesday"/>
    <s v="Monthly - Tuesday"/>
    <s v="Monthly - Tuesday"/>
    <s v="Month+9 Expiry"/>
    <n v="0"/>
    <n v="0"/>
    <n v="0"/>
  </r>
  <r>
    <s v="29-Sep-2025"/>
    <x v="0"/>
    <s v="Week5-Sep-2025"/>
    <x v="0"/>
    <s v="Q2FY26"/>
    <s v="30-Sep-2025"/>
    <s v="Tuesday"/>
    <s v="Monthly - Tuesday"/>
    <s v="Monthly - Tuesday"/>
    <s v="Same Month Expiry"/>
    <n v="27075109"/>
    <n v="51067.5075"/>
    <n v="108.0776"/>
  </r>
  <r>
    <s v="29-Sep-2025"/>
    <x v="0"/>
    <s v="Week5-Sep-2025"/>
    <x v="0"/>
    <s v="Q2FY26"/>
    <s v="28-Oct-2025"/>
    <s v="Tuesday"/>
    <s v="Monthly - Tuesday"/>
    <s v="Monthly - Tuesday"/>
    <s v="Month+1 Expiry"/>
    <n v="502600"/>
    <n v="971.2386"/>
    <n v="9.3675"/>
  </r>
  <r>
    <s v="29-Sep-2025"/>
    <x v="0"/>
    <s v="Week5-Sep-2025"/>
    <x v="0"/>
    <s v="Q2FY26"/>
    <s v="25-Nov-2025"/>
    <s v="Tuesday"/>
    <s v="Monthly - Tuesday"/>
    <s v="Monthly - Tuesday"/>
    <s v="Month+2 Expiry"/>
    <n v="9914"/>
    <n v="19.2653"/>
    <n v="0.2083"/>
  </r>
  <r>
    <s v="29-Sep-2025"/>
    <x v="0"/>
    <s v="Week5-Sep-2025"/>
    <x v="0"/>
    <s v="Q2FY26"/>
    <s v="30-Dec-2025"/>
    <s v="Tuesday"/>
    <s v="Monthly - Tuesday"/>
    <s v="Monthly - Tuesday"/>
    <s v="Month+3 Expiry"/>
    <n v="3166"/>
    <n v="6.3169"/>
    <n v="0.08459999999999999"/>
  </r>
  <r>
    <s v="29-Sep-2025"/>
    <x v="0"/>
    <s v="Week5-Sep-2025"/>
    <x v="0"/>
    <s v="Q2FY26"/>
    <s v="31-Mar-2026"/>
    <s v="Tuesday"/>
    <s v="Monthly - Tuesday"/>
    <s v="Monthly - Tuesday"/>
    <s v="Month+6 Expiry"/>
    <n v="118"/>
    <n v="0.2465"/>
    <n v="0.0041"/>
  </r>
  <r>
    <s v="29-Sep-2025"/>
    <x v="0"/>
    <s v="Week5-Sep-2025"/>
    <x v="0"/>
    <s v="Q2FY26"/>
    <s v="30-Jun-2026"/>
    <s v="Tuesday"/>
    <s v="Monthly - Tuesday"/>
    <s v="Monthly - Tuesday"/>
    <s v="Month+9 Expiry"/>
    <n v="0"/>
    <n v="0"/>
    <n v="0"/>
  </r>
  <r>
    <s v="30-Sep-2025"/>
    <x v="1"/>
    <s v="Week5-Sep-2025"/>
    <x v="0"/>
    <s v="Q2FY26"/>
    <s v="30-Sep-2025"/>
    <s v="Tuesday"/>
    <s v="Monthly - Tuesday"/>
    <s v="Monthly - Tuesday"/>
    <s v="Same Month Expiry"/>
    <n v="77935545"/>
    <n v="146734.5691"/>
    <n v="144.701"/>
  </r>
  <r>
    <s v="30-Sep-2025"/>
    <x v="1"/>
    <s v="Week5-Sep-2025"/>
    <x v="0"/>
    <s v="Q2FY26"/>
    <s v="28-Oct-2025"/>
    <s v="Tuesday"/>
    <s v="Monthly - Tuesday"/>
    <s v="Monthly - Tuesday"/>
    <s v="Month+1 Expiry"/>
    <n v="703306"/>
    <n v="1355.1977"/>
    <n v="11.7975"/>
  </r>
  <r>
    <s v="30-Sep-2025"/>
    <x v="1"/>
    <s v="Week5-Sep-2025"/>
    <x v="0"/>
    <s v="Q2FY26"/>
    <s v="25-Nov-2025"/>
    <s v="Tuesday"/>
    <s v="Monthly - Tuesday"/>
    <s v="Monthly - Tuesday"/>
    <s v="Month+2 Expiry"/>
    <n v="7401"/>
    <n v="14.3143"/>
    <n v="0.1646"/>
  </r>
  <r>
    <s v="30-Sep-2025"/>
    <x v="1"/>
    <s v="Week5-Sep-2025"/>
    <x v="0"/>
    <s v="Q2FY26"/>
    <s v="30-Dec-2025"/>
    <s v="Tuesday"/>
    <s v="Monthly - Tuesday"/>
    <s v="Monthly - Tuesday"/>
    <s v="Month+3 Expiry"/>
    <n v="2577"/>
    <n v="5.1074"/>
    <n v="0.08359999999999999"/>
  </r>
  <r>
    <s v="30-Sep-2025"/>
    <x v="1"/>
    <s v="Week5-Sep-2025"/>
    <x v="0"/>
    <s v="Q2FY26"/>
    <s v="31-Mar-2026"/>
    <s v="Tuesday"/>
    <s v="Monthly - Tuesday"/>
    <s v="Monthly - Tuesday"/>
    <s v="Month+6 Expiry"/>
    <n v="79"/>
    <n v="0.1647"/>
    <n v="0.003"/>
  </r>
  <r>
    <s v="30-Sep-2025"/>
    <x v="1"/>
    <s v="Week5-Sep-2025"/>
    <x v="0"/>
    <s v="Q2FY26"/>
    <s v="30-Jun-2026"/>
    <s v="Tuesday"/>
    <s v="Monthly - Tuesday"/>
    <s v="Monthly - Tuesday"/>
    <s v="Month+9 Expiry"/>
    <n v="0"/>
    <n v="0"/>
    <n v="0"/>
  </r>
  <r>
    <s v="01-Oct-2025"/>
    <x v="2"/>
    <s v="Week1-Oct-2025"/>
    <x v="1"/>
    <s v="Q3FY26"/>
    <s v="28-Oct-2025"/>
    <s v="Tuesday"/>
    <s v="Monthly - Tuesday"/>
    <s v="Monthly - Tuesday"/>
    <s v="Same Month Expiry"/>
    <n v="3418398"/>
    <n v="6622.703"/>
    <n v="50.3848"/>
  </r>
  <r>
    <s v="01-Oct-2025"/>
    <x v="2"/>
    <s v="Week1-Oct-2025"/>
    <x v="1"/>
    <s v="Q3FY26"/>
    <s v="25-Nov-2025"/>
    <s v="Tuesday"/>
    <s v="Monthly - Tuesday"/>
    <s v="Monthly - Tuesday"/>
    <s v="Month+1 Expiry"/>
    <n v="23611"/>
    <n v="46.0856"/>
    <n v="0.5162"/>
  </r>
  <r>
    <s v="01-Oct-2025"/>
    <x v="2"/>
    <s v="Week1-Oct-2025"/>
    <x v="1"/>
    <s v="Q3FY26"/>
    <s v="30-Dec-2025"/>
    <s v="Tuesday"/>
    <s v="Monthly - Tuesday"/>
    <s v="Monthly - Tuesday"/>
    <s v="Month+2 Expiry"/>
    <n v="6012"/>
    <n v="12.0028"/>
    <n v="0.1618"/>
  </r>
  <r>
    <s v="01-Oct-2025"/>
    <x v="2"/>
    <s v="Week1-Oct-2025"/>
    <x v="1"/>
    <s v="Q3FY26"/>
    <s v="31-Mar-2026"/>
    <s v="Tuesday"/>
    <s v="Monthly - Tuesday"/>
    <s v="Monthly - Tuesday"/>
    <s v="Month+5 Expiry"/>
    <n v="185"/>
    <n v="0.388"/>
    <n v="0.0067"/>
  </r>
  <r>
    <s v="01-Oct-2025"/>
    <x v="2"/>
    <s v="Week1-Oct-2025"/>
    <x v="1"/>
    <s v="Q3FY26"/>
    <s v="30-Jun-2026"/>
    <s v="Tuesday"/>
    <s v="Monthly - Tuesday"/>
    <s v="Monthly - Tuesday"/>
    <s v="Month+8 Expiry"/>
    <n v="0"/>
    <n v="0"/>
    <n v="0"/>
  </r>
  <r>
    <s v="01-Oct-2025"/>
    <x v="2"/>
    <s v="Week1-Oct-2025"/>
    <x v="1"/>
    <s v="Q3FY26"/>
    <s v="29-Sep-2026"/>
    <s v="Tuesday"/>
    <s v="Monthly - Tuesday"/>
    <s v="Monthly - Tuesday"/>
    <s v="Month+11 Expiry"/>
    <n v="0"/>
    <n v="0"/>
    <n v="0"/>
  </r>
  <r>
    <s v="03-Oct-2025"/>
    <x v="4"/>
    <s v="Week1-Oct-2025"/>
    <x v="1"/>
    <s v="Q3FY26"/>
    <s v="28-Oct-2025"/>
    <s v="Tuesday"/>
    <s v="Monthly - Tuesday"/>
    <s v="Monthly - Tuesday"/>
    <s v="Same Month Expiry"/>
    <n v="2480760"/>
    <n v="4817.4319"/>
    <n v="35.5973"/>
  </r>
  <r>
    <s v="03-Oct-2025"/>
    <x v="4"/>
    <s v="Week1-Oct-2025"/>
    <x v="1"/>
    <s v="Q3FY26"/>
    <s v="25-Nov-2025"/>
    <s v="Tuesday"/>
    <s v="Monthly - Tuesday"/>
    <s v="Monthly - Tuesday"/>
    <s v="Month+1 Expiry"/>
    <n v="24070"/>
    <n v="46.7797"/>
    <n v="0.4472"/>
  </r>
  <r>
    <s v="03-Oct-2025"/>
    <x v="4"/>
    <s v="Week1-Oct-2025"/>
    <x v="1"/>
    <s v="Q3FY26"/>
    <s v="30-Dec-2025"/>
    <s v="Tuesday"/>
    <s v="Monthly - Tuesday"/>
    <s v="Monthly - Tuesday"/>
    <s v="Month+2 Expiry"/>
    <n v="4540"/>
    <n v="8.964499999999999"/>
    <n v="0.1183"/>
  </r>
  <r>
    <s v="03-Oct-2025"/>
    <x v="4"/>
    <s v="Week1-Oct-2025"/>
    <x v="1"/>
    <s v="Q3FY26"/>
    <s v="31-Mar-2026"/>
    <s v="Tuesday"/>
    <s v="Monthly - Tuesday"/>
    <s v="Monthly - Tuesday"/>
    <s v="Month+5 Expiry"/>
    <n v="55"/>
    <n v="0.1144"/>
    <n v="0.0026"/>
  </r>
  <r>
    <s v="03-Oct-2025"/>
    <x v="4"/>
    <s v="Week1-Oct-2025"/>
    <x v="1"/>
    <s v="Q3FY26"/>
    <s v="30-Jun-2026"/>
    <s v="Tuesday"/>
    <s v="Monthly - Tuesday"/>
    <s v="Monthly - Tuesday"/>
    <s v="Month+8 Expiry"/>
    <n v="0"/>
    <n v="0"/>
    <n v="0"/>
  </r>
  <r>
    <s v="03-Oct-2025"/>
    <x v="4"/>
    <s v="Week1-Oct-2025"/>
    <x v="1"/>
    <s v="Q3FY26"/>
    <s v="29-Sep-2026"/>
    <s v="Tuesday"/>
    <s v="Monthly - Tuesday"/>
    <s v="Monthly - Tuesday"/>
    <s v="Month+11 Expiry"/>
    <n v="0"/>
    <n v="0"/>
    <n v="0"/>
  </r>
  <r>
    <s v="06-Oct-2025"/>
    <x v="0"/>
    <s v="Week1-Oct-2025"/>
    <x v="1"/>
    <s v="Q3FY26"/>
    <s v="28-Oct-2025"/>
    <s v="Tuesday"/>
    <s v="Monthly - Tuesday"/>
    <s v="Monthly - Tuesday"/>
    <s v="Same Month Expiry"/>
    <n v="2876686"/>
    <n v="5617.0957"/>
    <n v="36.0748"/>
  </r>
  <r>
    <s v="06-Oct-2025"/>
    <x v="0"/>
    <s v="Week1-Oct-2025"/>
    <x v="1"/>
    <s v="Q3FY26"/>
    <s v="25-Nov-2025"/>
    <s v="Tuesday"/>
    <s v="Monthly - Tuesday"/>
    <s v="Monthly - Tuesday"/>
    <s v="Month+1 Expiry"/>
    <n v="35975"/>
    <n v="70.57429999999999"/>
    <n v="0.6666"/>
  </r>
  <r>
    <s v="06-Oct-2025"/>
    <x v="0"/>
    <s v="Week1-Oct-2025"/>
    <x v="1"/>
    <s v="Q3FY26"/>
    <s v="30-Dec-2025"/>
    <s v="Tuesday"/>
    <s v="Monthly - Tuesday"/>
    <s v="Monthly - Tuesday"/>
    <s v="Month+2 Expiry"/>
    <n v="9736"/>
    <n v="19.1345"/>
    <n v="0.2422"/>
  </r>
  <r>
    <s v="06-Oct-2025"/>
    <x v="0"/>
    <s v="Week1-Oct-2025"/>
    <x v="1"/>
    <s v="Q3FY26"/>
    <s v="31-Mar-2026"/>
    <s v="Tuesday"/>
    <s v="Monthly - Tuesday"/>
    <s v="Monthly - Tuesday"/>
    <s v="Month+5 Expiry"/>
    <n v="164"/>
    <n v="0.3422"/>
    <n v="0.0081"/>
  </r>
  <r>
    <s v="06-Oct-2025"/>
    <x v="0"/>
    <s v="Week1-Oct-2025"/>
    <x v="1"/>
    <s v="Q3FY26"/>
    <s v="30-Jun-2026"/>
    <s v="Tuesday"/>
    <s v="Monthly - Tuesday"/>
    <s v="Monthly - Tuesday"/>
    <s v="Month+8 Expiry"/>
    <n v="0"/>
    <n v="0"/>
    <n v="0"/>
  </r>
  <r>
    <s v="06-Oct-2025"/>
    <x v="0"/>
    <s v="Week1-Oct-2025"/>
    <x v="1"/>
    <s v="Q3FY26"/>
    <s v="29-Sep-2026"/>
    <s v="Tuesday"/>
    <s v="Monthly - Tuesday"/>
    <s v="Monthly - Tuesday"/>
    <s v="Month+11 Expiry"/>
    <n v="0"/>
    <n v="0"/>
    <n v="0"/>
  </r>
  <r>
    <s v="07-Oct-2025"/>
    <x v="1"/>
    <s v="Week1-Oct-2025"/>
    <x v="1"/>
    <s v="Q3FY26"/>
    <s v="28-Oct-2025"/>
    <s v="Tuesday"/>
    <s v="Monthly - Tuesday"/>
    <s v="Monthly - Tuesday"/>
    <s v="Same Month Expiry"/>
    <n v="2903786"/>
    <n v="5708.1586"/>
    <n v="37.7032"/>
  </r>
  <r>
    <s v="07-Oct-2025"/>
    <x v="1"/>
    <s v="Week1-Oct-2025"/>
    <x v="1"/>
    <s v="Q3FY26"/>
    <s v="25-Nov-2025"/>
    <s v="Tuesday"/>
    <s v="Monthly - Tuesday"/>
    <s v="Monthly - Tuesday"/>
    <s v="Month+1 Expiry"/>
    <n v="40257"/>
    <n v="80.28149999999999"/>
    <n v="0.7597"/>
  </r>
  <r>
    <s v="07-Oct-2025"/>
    <x v="1"/>
    <s v="Week1-Oct-2025"/>
    <x v="1"/>
    <s v="Q3FY26"/>
    <s v="30-Dec-2025"/>
    <s v="Tuesday"/>
    <s v="Monthly - Tuesday"/>
    <s v="Monthly - Tuesday"/>
    <s v="Month+2 Expiry"/>
    <n v="6664"/>
    <n v="13.2879"/>
    <n v="0.1403"/>
  </r>
  <r>
    <s v="07-Oct-2025"/>
    <x v="1"/>
    <s v="Week1-Oct-2025"/>
    <x v="1"/>
    <s v="Q3FY26"/>
    <s v="31-Mar-2026"/>
    <s v="Tuesday"/>
    <s v="Monthly - Tuesday"/>
    <s v="Monthly - Tuesday"/>
    <s v="Month+5 Expiry"/>
    <n v="245"/>
    <n v="0.5122"/>
    <n v="0.0123"/>
  </r>
  <r>
    <s v="07-Oct-2025"/>
    <x v="1"/>
    <s v="Week1-Oct-2025"/>
    <x v="1"/>
    <s v="Q3FY26"/>
    <s v="30-Jun-2026"/>
    <s v="Tuesday"/>
    <s v="Monthly - Tuesday"/>
    <s v="Monthly - Tuesday"/>
    <s v="Month+8 Expiry"/>
    <n v="0"/>
    <n v="0"/>
    <n v="0"/>
  </r>
  <r>
    <s v="07-Oct-2025"/>
    <x v="1"/>
    <s v="Week1-Oct-2025"/>
    <x v="1"/>
    <s v="Q3FY26"/>
    <s v="29-Sep-2026"/>
    <s v="Tuesday"/>
    <s v="Monthly - Tuesday"/>
    <s v="Monthly - Tuesday"/>
    <s v="Month+11 Expiry"/>
    <n v="0"/>
    <n v="0"/>
    <n v="0"/>
  </r>
  <r>
    <s v="08-Oct-2025"/>
    <x v="2"/>
    <s v="Week2-Oct-2025"/>
    <x v="1"/>
    <s v="Q3FY26"/>
    <s v="28-Oct-2025"/>
    <s v="Tuesday"/>
    <s v="Monthly - Tuesday"/>
    <s v="Monthly - Tuesday"/>
    <s v="Same Month Expiry"/>
    <n v="3420593"/>
    <n v="6713.9899"/>
    <n v="44.2005"/>
  </r>
  <r>
    <s v="08-Oct-2025"/>
    <x v="2"/>
    <s v="Week2-Oct-2025"/>
    <x v="1"/>
    <s v="Q3FY26"/>
    <s v="25-Nov-2025"/>
    <s v="Tuesday"/>
    <s v="Monthly - Tuesday"/>
    <s v="Monthly - Tuesday"/>
    <s v="Month+1 Expiry"/>
    <n v="43425"/>
    <n v="86.4068"/>
    <n v="0.8698"/>
  </r>
  <r>
    <s v="08-Oct-2025"/>
    <x v="2"/>
    <s v="Week2-Oct-2025"/>
    <x v="1"/>
    <s v="Q3FY26"/>
    <s v="30-Dec-2025"/>
    <s v="Tuesday"/>
    <s v="Monthly - Tuesday"/>
    <s v="Monthly - Tuesday"/>
    <s v="Month+2 Expiry"/>
    <n v="4411"/>
    <n v="8.786"/>
    <n v="0.1043"/>
  </r>
  <r>
    <s v="08-Oct-2025"/>
    <x v="2"/>
    <s v="Week2-Oct-2025"/>
    <x v="1"/>
    <s v="Q3FY26"/>
    <s v="31-Mar-2026"/>
    <s v="Tuesday"/>
    <s v="Monthly - Tuesday"/>
    <s v="Monthly - Tuesday"/>
    <s v="Month+5 Expiry"/>
    <n v="119"/>
    <n v="0.2498"/>
    <n v="0.005"/>
  </r>
  <r>
    <s v="08-Oct-2025"/>
    <x v="2"/>
    <s v="Week2-Oct-2025"/>
    <x v="1"/>
    <s v="Q3FY26"/>
    <s v="30-Jun-2026"/>
    <s v="Tuesday"/>
    <s v="Monthly - Tuesday"/>
    <s v="Monthly - Tuesday"/>
    <s v="Month+8 Expiry"/>
    <n v="0"/>
    <n v="0"/>
    <n v="0"/>
  </r>
  <r>
    <s v="08-Oct-2025"/>
    <x v="2"/>
    <s v="Week2-Oct-2025"/>
    <x v="1"/>
    <s v="Q3FY26"/>
    <s v="29-Sep-2026"/>
    <s v="Tuesday"/>
    <s v="Monthly - Tuesday"/>
    <s v="Monthly - Tuesday"/>
    <s v="Month+11 Expiry"/>
    <n v="0"/>
    <n v="0"/>
    <n v="0"/>
  </r>
  <r>
    <s v="09-Oct-2025"/>
    <x v="3"/>
    <s v="Week2-Oct-2025"/>
    <x v="1"/>
    <s v="Q3FY26"/>
    <s v="28-Oct-2025"/>
    <s v="Tuesday"/>
    <s v="Monthly - Tuesday"/>
    <s v="Monthly - Tuesday"/>
    <s v="Same Month Expiry"/>
    <n v="2616312"/>
    <n v="5139.0998"/>
    <n v="34.1213"/>
  </r>
  <r>
    <s v="09-Oct-2025"/>
    <x v="3"/>
    <s v="Week2-Oct-2025"/>
    <x v="1"/>
    <s v="Q3FY26"/>
    <s v="25-Nov-2025"/>
    <s v="Tuesday"/>
    <s v="Monthly - Tuesday"/>
    <s v="Monthly - Tuesday"/>
    <s v="Month+1 Expiry"/>
    <n v="26557"/>
    <n v="52.8864"/>
    <n v="0.5274"/>
  </r>
  <r>
    <s v="09-Oct-2025"/>
    <x v="3"/>
    <s v="Week2-Oct-2025"/>
    <x v="1"/>
    <s v="Q3FY26"/>
    <s v="30-Dec-2025"/>
    <s v="Tuesday"/>
    <s v="Monthly - Tuesday"/>
    <s v="Monthly - Tuesday"/>
    <s v="Month+2 Expiry"/>
    <n v="2323"/>
    <n v="4.6176"/>
    <n v="0.0527"/>
  </r>
  <r>
    <s v="09-Oct-2025"/>
    <x v="3"/>
    <s v="Week2-Oct-2025"/>
    <x v="1"/>
    <s v="Q3FY26"/>
    <s v="31-Mar-2026"/>
    <s v="Tuesday"/>
    <s v="Monthly - Tuesday"/>
    <s v="Monthly - Tuesday"/>
    <s v="Month+5 Expiry"/>
    <n v="159"/>
    <n v="0.3311"/>
    <n v="0.007900000000000001"/>
  </r>
  <r>
    <s v="09-Oct-2025"/>
    <x v="3"/>
    <s v="Week2-Oct-2025"/>
    <x v="1"/>
    <s v="Q3FY26"/>
    <s v="30-Jun-2026"/>
    <s v="Tuesday"/>
    <s v="Monthly - Tuesday"/>
    <s v="Monthly - Tuesday"/>
    <s v="Month+8 Expiry"/>
    <n v="0"/>
    <n v="0"/>
    <n v="0"/>
  </r>
  <r>
    <s v="09-Oct-2025"/>
    <x v="3"/>
    <s v="Week2-Oct-2025"/>
    <x v="1"/>
    <s v="Q3FY26"/>
    <s v="29-Sep-2026"/>
    <s v="Tuesday"/>
    <s v="Monthly - Tuesday"/>
    <s v="Monthly - Tuesday"/>
    <s v="Month+11 Expiry"/>
    <n v="0"/>
    <n v="0"/>
    <n v="0"/>
  </r>
  <r>
    <s v="10-Oct-2025"/>
    <x v="4"/>
    <s v="Week2-Oct-2025"/>
    <x v="1"/>
    <s v="Q3FY26"/>
    <s v="28-Oct-2025"/>
    <s v="Tuesday"/>
    <s v="Monthly - Tuesday"/>
    <s v="Monthly - Tuesday"/>
    <s v="Same Month Expiry"/>
    <n v="3637423"/>
    <n v="7191.7764"/>
    <n v="42.392"/>
  </r>
  <r>
    <s v="10-Oct-2025"/>
    <x v="4"/>
    <s v="Week2-Oct-2025"/>
    <x v="1"/>
    <s v="Q3FY26"/>
    <s v="25-Nov-2025"/>
    <s v="Tuesday"/>
    <s v="Monthly - Tuesday"/>
    <s v="Monthly - Tuesday"/>
    <s v="Month+1 Expiry"/>
    <n v="66068"/>
    <n v="131.5625"/>
    <n v="1.2456"/>
  </r>
  <r>
    <s v="10-Oct-2025"/>
    <x v="4"/>
    <s v="Week2-Oct-2025"/>
    <x v="1"/>
    <s v="Q3FY26"/>
    <s v="30-Dec-2025"/>
    <s v="Tuesday"/>
    <s v="Monthly - Tuesday"/>
    <s v="Monthly - Tuesday"/>
    <s v="Month+2 Expiry"/>
    <n v="9440"/>
    <n v="18.8216"/>
    <n v="0.213"/>
  </r>
  <r>
    <s v="10-Oct-2025"/>
    <x v="4"/>
    <s v="Week2-Oct-2025"/>
    <x v="1"/>
    <s v="Q3FY26"/>
    <s v="31-Mar-2026"/>
    <s v="Tuesday"/>
    <s v="Monthly - Tuesday"/>
    <s v="Monthly - Tuesday"/>
    <s v="Month+5 Expiry"/>
    <n v="540"/>
    <n v="1.1283"/>
    <n v="0.0255"/>
  </r>
  <r>
    <s v="10-Oct-2025"/>
    <x v="4"/>
    <s v="Week2-Oct-2025"/>
    <x v="1"/>
    <s v="Q3FY26"/>
    <s v="30-Jun-2026"/>
    <s v="Tuesday"/>
    <s v="Monthly - Tuesday"/>
    <s v="Monthly - Tuesday"/>
    <s v="Month+8 Expiry"/>
    <n v="0"/>
    <n v="0"/>
    <n v="0"/>
  </r>
  <r>
    <s v="10-Oct-2025"/>
    <x v="4"/>
    <s v="Week2-Oct-2025"/>
    <x v="1"/>
    <s v="Q3FY26"/>
    <s v="29-Sep-2026"/>
    <s v="Tuesday"/>
    <s v="Monthly - Tuesday"/>
    <s v="Monthly - Tuesday"/>
    <s v="Month+11 Expiry"/>
    <n v="0"/>
    <n v="0"/>
    <n v="0"/>
  </r>
  <r>
    <s v="13-Oct-2025"/>
    <x v="0"/>
    <s v="Week2-Oct-2025"/>
    <x v="1"/>
    <s v="Q3FY26"/>
    <s v="28-Oct-2025"/>
    <s v="Tuesday"/>
    <s v="Monthly - Tuesday"/>
    <s v="Monthly - Tuesday"/>
    <s v="Same Month Expiry"/>
    <n v="3390928"/>
    <n v="6700.4335"/>
    <n v="40.9166"/>
  </r>
  <r>
    <s v="13-Oct-2025"/>
    <x v="0"/>
    <s v="Week2-Oct-2025"/>
    <x v="1"/>
    <s v="Q3FY26"/>
    <s v="25-Nov-2025"/>
    <s v="Tuesday"/>
    <s v="Monthly - Tuesday"/>
    <s v="Monthly - Tuesday"/>
    <s v="Month+1 Expiry"/>
    <n v="52287"/>
    <n v="104.2625"/>
    <n v="1.0547"/>
  </r>
  <r>
    <s v="13-Oct-2025"/>
    <x v="0"/>
    <s v="Week2-Oct-2025"/>
    <x v="1"/>
    <s v="Q3FY26"/>
    <s v="30-Dec-2025"/>
    <s v="Tuesday"/>
    <s v="Monthly - Tuesday"/>
    <s v="Monthly - Tuesday"/>
    <s v="Month+2 Expiry"/>
    <n v="10215"/>
    <n v="20.5537"/>
    <n v="0.3083"/>
  </r>
  <r>
    <s v="13-Oct-2025"/>
    <x v="0"/>
    <s v="Week2-Oct-2025"/>
    <x v="1"/>
    <s v="Q3FY26"/>
    <s v="31-Mar-2026"/>
    <s v="Tuesday"/>
    <s v="Monthly - Tuesday"/>
    <s v="Monthly - Tuesday"/>
    <s v="Month+5 Expiry"/>
    <n v="3616"/>
    <n v="7.3705"/>
    <n v="0.1388"/>
  </r>
  <r>
    <s v="13-Oct-2025"/>
    <x v="0"/>
    <s v="Week2-Oct-2025"/>
    <x v="1"/>
    <s v="Q3FY26"/>
    <s v="30-Jun-2026"/>
    <s v="Tuesday"/>
    <s v="Monthly - Tuesday"/>
    <s v="Monthly - Tuesday"/>
    <s v="Month+8 Expiry"/>
    <n v="0"/>
    <n v="0"/>
    <n v="0"/>
  </r>
  <r>
    <s v="13-Oct-2025"/>
    <x v="0"/>
    <s v="Week2-Oct-2025"/>
    <x v="1"/>
    <s v="Q3FY26"/>
    <s v="29-Sep-2026"/>
    <s v="Tuesday"/>
    <s v="Monthly - Tuesday"/>
    <s v="Monthly - Tuesday"/>
    <s v="Month+11 Expiry"/>
    <n v="0"/>
    <n v="0"/>
    <n v="0"/>
  </r>
  <r>
    <s v="14-Oct-2025"/>
    <x v="1"/>
    <s v="Week2-Oct-2025"/>
    <x v="1"/>
    <s v="Q3FY26"/>
    <s v="28-Oct-2025"/>
    <s v="Tuesday"/>
    <s v="Monthly - Tuesday"/>
    <s v="Monthly - Tuesday"/>
    <s v="Same Month Expiry"/>
    <n v="3317035"/>
    <n v="6539.17"/>
    <n v="39.3218"/>
  </r>
  <r>
    <s v="14-Oct-2025"/>
    <x v="1"/>
    <s v="Week2-Oct-2025"/>
    <x v="1"/>
    <s v="Q3FY26"/>
    <s v="25-Nov-2025"/>
    <s v="Tuesday"/>
    <s v="Monthly - Tuesday"/>
    <s v="Monthly - Tuesday"/>
    <s v="Month+1 Expiry"/>
    <n v="50425"/>
    <n v="100.4223"/>
    <n v="0.9661999999999999"/>
  </r>
  <r>
    <s v="14-Oct-2025"/>
    <x v="1"/>
    <s v="Week2-Oct-2025"/>
    <x v="1"/>
    <s v="Q3FY26"/>
    <s v="30-Dec-2025"/>
    <s v="Tuesday"/>
    <s v="Monthly - Tuesday"/>
    <s v="Monthly - Tuesday"/>
    <s v="Month+2 Expiry"/>
    <n v="4720"/>
    <n v="9.378500000000001"/>
    <n v="0.12"/>
  </r>
  <r>
    <s v="14-Oct-2025"/>
    <x v="1"/>
    <s v="Week2-Oct-2025"/>
    <x v="1"/>
    <s v="Q3FY26"/>
    <s v="31-Mar-2026"/>
    <s v="Tuesday"/>
    <s v="Monthly - Tuesday"/>
    <s v="Monthly - Tuesday"/>
    <s v="Month+5 Expiry"/>
    <n v="258"/>
    <n v="0.5346"/>
    <n v="0.0113"/>
  </r>
  <r>
    <s v="14-Oct-2025"/>
    <x v="1"/>
    <s v="Week2-Oct-2025"/>
    <x v="1"/>
    <s v="Q3FY26"/>
    <s v="30-Jun-2026"/>
    <s v="Tuesday"/>
    <s v="Monthly - Tuesday"/>
    <s v="Monthly - Tuesday"/>
    <s v="Month+8 Expiry"/>
    <n v="0"/>
    <n v="0"/>
    <n v="0"/>
  </r>
  <r>
    <s v="14-Oct-2025"/>
    <x v="1"/>
    <s v="Week2-Oct-2025"/>
    <x v="1"/>
    <s v="Q3FY26"/>
    <s v="29-Sep-2026"/>
    <s v="Tuesday"/>
    <s v="Monthly - Tuesday"/>
    <s v="Monthly - Tuesday"/>
    <s v="Month+11 Expiry"/>
    <n v="0"/>
    <n v="0"/>
    <n v="0"/>
  </r>
  <r>
    <s v="15-Oct-2025"/>
    <x v="2"/>
    <s v="Week3-Oct-2025"/>
    <x v="1"/>
    <s v="Q3FY26"/>
    <s v="28-Oct-2025"/>
    <s v="Tuesday"/>
    <s v="Monthly - Tuesday"/>
    <s v="Monthly - Tuesday"/>
    <s v="Same Month Expiry"/>
    <n v="3566936"/>
    <n v="7047.3134"/>
    <n v="39.4578"/>
  </r>
  <r>
    <s v="15-Oct-2025"/>
    <x v="2"/>
    <s v="Week3-Oct-2025"/>
    <x v="1"/>
    <s v="Q3FY26"/>
    <s v="25-Nov-2025"/>
    <s v="Tuesday"/>
    <s v="Monthly - Tuesday"/>
    <s v="Monthly - Tuesday"/>
    <s v="Month+1 Expiry"/>
    <n v="79388"/>
    <n v="158.4445"/>
    <n v="1.4318"/>
  </r>
  <r>
    <s v="15-Oct-2025"/>
    <x v="2"/>
    <s v="Week3-Oct-2025"/>
    <x v="1"/>
    <s v="Q3FY26"/>
    <s v="30-Dec-2025"/>
    <s v="Tuesday"/>
    <s v="Monthly - Tuesday"/>
    <s v="Monthly - Tuesday"/>
    <s v="Month+2 Expiry"/>
    <n v="7735"/>
    <n v="15.4627"/>
    <n v="0.2091"/>
  </r>
  <r>
    <s v="15-Oct-2025"/>
    <x v="2"/>
    <s v="Week3-Oct-2025"/>
    <x v="1"/>
    <s v="Q3FY26"/>
    <s v="31-Mar-2026"/>
    <s v="Tuesday"/>
    <s v="Monthly - Tuesday"/>
    <s v="Monthly - Tuesday"/>
    <s v="Month+5 Expiry"/>
    <n v="1158"/>
    <n v="2.3677"/>
    <n v="0.0409"/>
  </r>
  <r>
    <s v="15-Oct-2025"/>
    <x v="2"/>
    <s v="Week3-Oct-2025"/>
    <x v="1"/>
    <s v="Q3FY26"/>
    <s v="30-Jun-2026"/>
    <s v="Tuesday"/>
    <s v="Monthly - Tuesday"/>
    <s v="Monthly - Tuesday"/>
    <s v="Month+8 Expiry"/>
    <n v="0"/>
    <n v="0"/>
    <n v="0"/>
  </r>
  <r>
    <s v="15-Oct-2025"/>
    <x v="2"/>
    <s v="Week3-Oct-2025"/>
    <x v="1"/>
    <s v="Q3FY26"/>
    <s v="29-Sep-2026"/>
    <s v="Tuesday"/>
    <s v="Monthly - Tuesday"/>
    <s v="Monthly - Tuesday"/>
    <s v="Month+11 Expiry"/>
    <n v="0"/>
    <n v="0"/>
    <n v="0"/>
  </r>
  <r>
    <s v="16-Oct-2025"/>
    <x v="3"/>
    <s v="Week3-Oct-2025"/>
    <x v="1"/>
    <s v="Q3FY26"/>
    <s v="28-Oct-2025"/>
    <s v="Tuesday"/>
    <s v="Monthly - Tuesday"/>
    <s v="Monthly - Tuesday"/>
    <s v="Same Month Expiry"/>
    <n v="4449066"/>
    <n v="8836.4424"/>
    <n v="44.8338"/>
  </r>
  <r>
    <s v="16-Oct-2025"/>
    <x v="3"/>
    <s v="Week3-Oct-2025"/>
    <x v="1"/>
    <s v="Q3FY26"/>
    <s v="25-Nov-2025"/>
    <s v="Tuesday"/>
    <s v="Monthly - Tuesday"/>
    <s v="Monthly - Tuesday"/>
    <s v="Month+1 Expiry"/>
    <n v="157673"/>
    <n v="318.3044"/>
    <n v="3.2265"/>
  </r>
  <r>
    <s v="16-Oct-2025"/>
    <x v="3"/>
    <s v="Week3-Oct-2025"/>
    <x v="1"/>
    <s v="Q3FY26"/>
    <s v="30-Dec-2025"/>
    <s v="Tuesday"/>
    <s v="Monthly - Tuesday"/>
    <s v="Monthly - Tuesday"/>
    <s v="Month+2 Expiry"/>
    <n v="16458"/>
    <n v="33.2352"/>
    <n v="0.4489"/>
  </r>
  <r>
    <s v="16-Oct-2025"/>
    <x v="3"/>
    <s v="Week3-Oct-2025"/>
    <x v="1"/>
    <s v="Q3FY26"/>
    <s v="31-Mar-2026"/>
    <s v="Tuesday"/>
    <s v="Monthly - Tuesday"/>
    <s v="Monthly - Tuesday"/>
    <s v="Month+5 Expiry"/>
    <n v="836"/>
    <n v="1.7277"/>
    <n v="0.0368"/>
  </r>
  <r>
    <s v="16-Oct-2025"/>
    <x v="3"/>
    <s v="Week3-Oct-2025"/>
    <x v="1"/>
    <s v="Q3FY26"/>
    <s v="30-Jun-2026"/>
    <s v="Tuesday"/>
    <s v="Monthly - Tuesday"/>
    <s v="Monthly - Tuesday"/>
    <s v="Month+8 Expiry"/>
    <n v="0"/>
    <n v="0"/>
    <n v="0"/>
  </r>
  <r>
    <s v="16-Oct-2025"/>
    <x v="3"/>
    <s v="Week3-Oct-2025"/>
    <x v="1"/>
    <s v="Q3FY26"/>
    <s v="29-Sep-2026"/>
    <s v="Tuesday"/>
    <s v="Monthly - Tuesday"/>
    <s v="Monthly - Tuesday"/>
    <s v="Month+11 Expiry"/>
    <n v="0"/>
    <n v="0"/>
    <n v="0"/>
  </r>
  <r>
    <s v="17-Oct-2025"/>
    <x v="4"/>
    <s v="Week3-Oct-2025"/>
    <x v="1"/>
    <s v="Q3FY26"/>
    <s v="28-Oct-2025"/>
    <s v="Tuesday"/>
    <s v="Monthly - Tuesday"/>
    <s v="Monthly - Tuesday"/>
    <s v="Same Month Expiry"/>
    <n v="6181755"/>
    <n v="12374.944"/>
    <n v="65.3261"/>
  </r>
  <r>
    <s v="17-Oct-2025"/>
    <x v="4"/>
    <s v="Week3-Oct-2025"/>
    <x v="1"/>
    <s v="Q3FY26"/>
    <s v="25-Nov-2025"/>
    <s v="Tuesday"/>
    <s v="Monthly - Tuesday"/>
    <s v="Monthly - Tuesday"/>
    <s v="Month+1 Expiry"/>
    <n v="215289"/>
    <n v="438.9018"/>
    <n v="4.3731"/>
  </r>
  <r>
    <s v="17-Oct-2025"/>
    <x v="4"/>
    <s v="Week3-Oct-2025"/>
    <x v="1"/>
    <s v="Q3FY26"/>
    <s v="30-Dec-2025"/>
    <s v="Tuesday"/>
    <s v="Monthly - Tuesday"/>
    <s v="Monthly - Tuesday"/>
    <s v="Month+2 Expiry"/>
    <n v="18041"/>
    <n v="36.4124"/>
    <n v="0.4359"/>
  </r>
  <r>
    <s v="17-Oct-2025"/>
    <x v="4"/>
    <s v="Week3-Oct-2025"/>
    <x v="1"/>
    <s v="Q3FY26"/>
    <s v="31-Mar-2026"/>
    <s v="Tuesday"/>
    <s v="Monthly - Tuesday"/>
    <s v="Monthly - Tuesday"/>
    <s v="Month+5 Expiry"/>
    <n v="1090"/>
    <n v="2.2418"/>
    <n v="0.048"/>
  </r>
  <r>
    <s v="17-Oct-2025"/>
    <x v="4"/>
    <s v="Week3-Oct-2025"/>
    <x v="1"/>
    <s v="Q3FY26"/>
    <s v="30-Jun-2026"/>
    <s v="Tuesday"/>
    <s v="Monthly - Tuesday"/>
    <s v="Monthly - Tuesday"/>
    <s v="Month+8 Expiry"/>
    <n v="0"/>
    <n v="0"/>
    <n v="0"/>
  </r>
  <r>
    <s v="17-Oct-2025"/>
    <x v="4"/>
    <s v="Week3-Oct-2025"/>
    <x v="1"/>
    <s v="Q3FY26"/>
    <s v="29-Sep-2026"/>
    <s v="Tuesday"/>
    <s v="Monthly - Tuesday"/>
    <s v="Monthly - Tuesday"/>
    <s v="Month+11 Expiry"/>
    <n v="0"/>
    <n v="0"/>
    <n v="0"/>
  </r>
  <r>
    <s v="20-Oct-2025"/>
    <x v="0"/>
    <s v="Week3-Oct-2025"/>
    <x v="1"/>
    <s v="Q3FY26"/>
    <s v="28-Oct-2025"/>
    <s v="Tuesday"/>
    <s v="Monthly - Tuesday"/>
    <s v="Monthly - Tuesday"/>
    <s v="Same Month Expiry"/>
    <n v="5438752"/>
    <n v="10907.9588"/>
    <n v="44.9521"/>
  </r>
  <r>
    <s v="20-Oct-2025"/>
    <x v="0"/>
    <s v="Week3-Oct-2025"/>
    <x v="1"/>
    <s v="Q3FY26"/>
    <s v="25-Nov-2025"/>
    <s v="Tuesday"/>
    <s v="Monthly - Tuesday"/>
    <s v="Monthly - Tuesday"/>
    <s v="Month+1 Expiry"/>
    <n v="225269"/>
    <n v="459.2301"/>
    <n v="4.2267"/>
  </r>
  <r>
    <s v="20-Oct-2025"/>
    <x v="0"/>
    <s v="Week3-Oct-2025"/>
    <x v="1"/>
    <s v="Q3FY26"/>
    <s v="30-Dec-2025"/>
    <s v="Tuesday"/>
    <s v="Monthly - Tuesday"/>
    <s v="Monthly - Tuesday"/>
    <s v="Month+2 Expiry"/>
    <n v="16214"/>
    <n v="32.976"/>
    <n v="0.4325"/>
  </r>
  <r>
    <s v="20-Oct-2025"/>
    <x v="0"/>
    <s v="Week3-Oct-2025"/>
    <x v="1"/>
    <s v="Q3FY26"/>
    <s v="31-Mar-2026"/>
    <s v="Tuesday"/>
    <s v="Monthly - Tuesday"/>
    <s v="Monthly - Tuesday"/>
    <s v="Month+5 Expiry"/>
    <n v="1405"/>
    <n v="2.8831"/>
    <n v="0.0546"/>
  </r>
  <r>
    <s v="20-Oct-2025"/>
    <x v="0"/>
    <s v="Week3-Oct-2025"/>
    <x v="1"/>
    <s v="Q3FY26"/>
    <s v="30-Jun-2026"/>
    <s v="Tuesday"/>
    <s v="Monthly - Tuesday"/>
    <s v="Monthly - Tuesday"/>
    <s v="Month+8 Expiry"/>
    <n v="0"/>
    <n v="0"/>
    <n v="0"/>
  </r>
  <r>
    <s v="20-Oct-2025"/>
    <x v="0"/>
    <s v="Week3-Oct-2025"/>
    <x v="1"/>
    <s v="Q3FY26"/>
    <s v="29-Sep-2026"/>
    <s v="Tuesday"/>
    <s v="Monthly - Tuesday"/>
    <s v="Monthly - Tuesday"/>
    <s v="Month+11 Expiry"/>
    <n v="0"/>
    <n v="0"/>
    <n v="0"/>
  </r>
  <r>
    <s v="21-Oct-2025"/>
    <x v="1"/>
    <s v="Week3-Oct-2025"/>
    <x v="1"/>
    <s v="Q3FY26"/>
    <s v="28-Oct-2025"/>
    <s v="Tuesday"/>
    <s v="Monthly - Tuesday"/>
    <s v="Monthly - Tuesday"/>
    <s v="Same Month Expiry"/>
    <n v="1267899"/>
    <n v="2544.167"/>
    <n v="7.8329"/>
  </r>
  <r>
    <s v="21-Oct-2025"/>
    <x v="1"/>
    <s v="Week3-Oct-2025"/>
    <x v="1"/>
    <s v="Q3FY26"/>
    <s v="25-Nov-2025"/>
    <s v="Tuesday"/>
    <s v="Monthly - Tuesday"/>
    <s v="Monthly - Tuesday"/>
    <s v="Month+1 Expiry"/>
    <n v="35546"/>
    <n v="72.3383"/>
    <n v="0.7030999999999999"/>
  </r>
  <r>
    <s v="21-Oct-2025"/>
    <x v="1"/>
    <s v="Week3-Oct-2025"/>
    <x v="1"/>
    <s v="Q3FY26"/>
    <s v="30-Dec-2025"/>
    <s v="Tuesday"/>
    <s v="Monthly - Tuesday"/>
    <s v="Monthly - Tuesday"/>
    <s v="Month+2 Expiry"/>
    <n v="1915"/>
    <n v="3.8871"/>
    <n v="0.0479"/>
  </r>
  <r>
    <s v="21-Oct-2025"/>
    <x v="1"/>
    <s v="Week3-Oct-2025"/>
    <x v="1"/>
    <s v="Q3FY26"/>
    <s v="31-Mar-2026"/>
    <s v="Tuesday"/>
    <s v="Monthly - Tuesday"/>
    <s v="Monthly - Tuesday"/>
    <s v="Month+5 Expiry"/>
    <n v="114"/>
    <n v="0.2312"/>
    <n v="0.0036"/>
  </r>
  <r>
    <s v="21-Oct-2025"/>
    <x v="1"/>
    <s v="Week3-Oct-2025"/>
    <x v="1"/>
    <s v="Q3FY26"/>
    <s v="30-Jun-2026"/>
    <s v="Tuesday"/>
    <s v="Monthly - Tuesday"/>
    <s v="Monthly - Tuesday"/>
    <s v="Month+8 Expiry"/>
    <n v="0"/>
    <n v="0"/>
    <n v="0"/>
  </r>
  <r>
    <s v="21-Oct-2025"/>
    <x v="1"/>
    <s v="Week3-Oct-2025"/>
    <x v="1"/>
    <s v="Q3FY26"/>
    <s v="29-Sep-2026"/>
    <s v="Tuesday"/>
    <s v="Monthly - Tuesday"/>
    <s v="Monthly - Tuesday"/>
    <s v="Month+11 Expiry"/>
    <n v="0"/>
    <n v="0"/>
    <n v="0"/>
  </r>
  <r>
    <s v="23-Oct-2025"/>
    <x v="3"/>
    <s v="Week4-Oct-2025"/>
    <x v="1"/>
    <s v="Q3FY26"/>
    <s v="28-Oct-2025"/>
    <s v="Tuesday"/>
    <s v="Monthly - Tuesday"/>
    <s v="Monthly - Tuesday"/>
    <s v="Same Month Expiry"/>
    <n v="8673940"/>
    <n v="17499.2777"/>
    <n v="57.3591"/>
  </r>
  <r>
    <s v="23-Oct-2025"/>
    <x v="3"/>
    <s v="Week4-Oct-2025"/>
    <x v="1"/>
    <s v="Q3FY26"/>
    <s v="25-Nov-2025"/>
    <s v="Tuesday"/>
    <s v="Monthly - Tuesday"/>
    <s v="Monthly - Tuesday"/>
    <s v="Month+1 Expiry"/>
    <n v="395163"/>
    <n v="809.1486"/>
    <n v="8.6211"/>
  </r>
  <r>
    <s v="23-Oct-2025"/>
    <x v="3"/>
    <s v="Week4-Oct-2025"/>
    <x v="1"/>
    <s v="Q3FY26"/>
    <s v="30-Dec-2025"/>
    <s v="Tuesday"/>
    <s v="Monthly - Tuesday"/>
    <s v="Monthly - Tuesday"/>
    <s v="Month+2 Expiry"/>
    <n v="21545"/>
    <n v="43.7661"/>
    <n v="0.5750999999999999"/>
  </r>
  <r>
    <s v="23-Oct-2025"/>
    <x v="3"/>
    <s v="Week4-Oct-2025"/>
    <x v="1"/>
    <s v="Q3FY26"/>
    <s v="31-Mar-2026"/>
    <s v="Tuesday"/>
    <s v="Monthly - Tuesday"/>
    <s v="Monthly - Tuesday"/>
    <s v="Month+5 Expiry"/>
    <n v="948"/>
    <n v="1.9397"/>
    <n v="0.032"/>
  </r>
  <r>
    <s v="23-Oct-2025"/>
    <x v="3"/>
    <s v="Week4-Oct-2025"/>
    <x v="1"/>
    <s v="Q3FY26"/>
    <s v="30-Jun-2026"/>
    <s v="Tuesday"/>
    <s v="Monthly - Tuesday"/>
    <s v="Monthly - Tuesday"/>
    <s v="Month+8 Expiry"/>
    <n v="0"/>
    <n v="0"/>
    <n v="0"/>
  </r>
  <r>
    <s v="23-Oct-2025"/>
    <x v="3"/>
    <s v="Week4-Oct-2025"/>
    <x v="1"/>
    <s v="Q3FY26"/>
    <s v="29-Sep-2026"/>
    <s v="Tuesday"/>
    <s v="Monthly - Tuesday"/>
    <s v="Monthly - Tuesday"/>
    <s v="Month+11 Expiry"/>
    <n v="0"/>
    <n v="0"/>
    <n v="0"/>
  </r>
  <r>
    <s v="24-Oct-2025"/>
    <x v="4"/>
    <s v="Week4-Oct-2025"/>
    <x v="1"/>
    <s v="Q3FY26"/>
    <s v="28-Oct-2025"/>
    <s v="Tuesday"/>
    <s v="Monthly - Tuesday"/>
    <s v="Monthly - Tuesday"/>
    <s v="Same Month Expiry"/>
    <n v="15507859"/>
    <n v="31011.6741"/>
    <n v="86.9706"/>
  </r>
  <r>
    <s v="24-Oct-2025"/>
    <x v="4"/>
    <s v="Week4-Oct-2025"/>
    <x v="1"/>
    <s v="Q3FY26"/>
    <s v="25-Nov-2025"/>
    <s v="Tuesday"/>
    <s v="Monthly - Tuesday"/>
    <s v="Monthly - Tuesday"/>
    <s v="Month+1 Expiry"/>
    <n v="469846"/>
    <n v="957.1607"/>
    <n v="9.828799999999999"/>
  </r>
  <r>
    <s v="24-Oct-2025"/>
    <x v="4"/>
    <s v="Week4-Oct-2025"/>
    <x v="1"/>
    <s v="Q3FY26"/>
    <s v="30-Dec-2025"/>
    <s v="Tuesday"/>
    <s v="Monthly - Tuesday"/>
    <s v="Monthly - Tuesday"/>
    <s v="Month+2 Expiry"/>
    <n v="19045"/>
    <n v="38.9819"/>
    <n v="0.5268"/>
  </r>
  <r>
    <s v="24-Oct-2025"/>
    <x v="4"/>
    <s v="Week4-Oct-2025"/>
    <x v="1"/>
    <s v="Q3FY26"/>
    <s v="31-Mar-2026"/>
    <s v="Tuesday"/>
    <s v="Monthly - Tuesday"/>
    <s v="Monthly - Tuesday"/>
    <s v="Month+5 Expiry"/>
    <n v="868"/>
    <n v="1.7867"/>
    <n v="0.0329"/>
  </r>
  <r>
    <s v="24-Oct-2025"/>
    <x v="4"/>
    <s v="Week4-Oct-2025"/>
    <x v="1"/>
    <s v="Q3FY26"/>
    <s v="30-Jun-2026"/>
    <s v="Tuesday"/>
    <s v="Monthly - Tuesday"/>
    <s v="Monthly - Tuesday"/>
    <s v="Month+8 Expiry"/>
    <n v="0"/>
    <n v="0"/>
    <n v="0"/>
  </r>
  <r>
    <s v="24-Oct-2025"/>
    <x v="4"/>
    <s v="Week4-Oct-2025"/>
    <x v="1"/>
    <s v="Q3FY26"/>
    <s v="29-Sep-2026"/>
    <s v="Tuesday"/>
    <s v="Monthly - Tuesday"/>
    <s v="Monthly - Tuesday"/>
    <s v="Month+11 Expiry"/>
    <n v="0"/>
    <n v="0"/>
    <n v="0"/>
  </r>
  <r>
    <s v="27-Oct-2025"/>
    <x v="0"/>
    <s v="Week4-Oct-2025"/>
    <x v="1"/>
    <s v="Q3FY26"/>
    <s v="28-Oct-2025"/>
    <s v="Tuesday"/>
    <s v="Monthly - Tuesday"/>
    <s v="Monthly - Tuesday"/>
    <s v="Same Month Expiry"/>
    <n v="20633717"/>
    <n v="41419.0311"/>
    <n v="92.0924"/>
  </r>
  <r>
    <s v="27-Oct-2025"/>
    <x v="0"/>
    <s v="Week4-Oct-2025"/>
    <x v="1"/>
    <s v="Q3FY26"/>
    <s v="25-Nov-2025"/>
    <s v="Tuesday"/>
    <s v="Monthly - Tuesday"/>
    <s v="Monthly - Tuesday"/>
    <s v="Month+1 Expiry"/>
    <n v="524563"/>
    <n v="1071.4397"/>
    <n v="10.9108"/>
  </r>
  <r>
    <s v="27-Oct-2025"/>
    <x v="0"/>
    <s v="Week4-Oct-2025"/>
    <x v="1"/>
    <s v="Q3FY26"/>
    <s v="30-Dec-2025"/>
    <s v="Tuesday"/>
    <s v="Monthly - Tuesday"/>
    <s v="Monthly - Tuesday"/>
    <s v="Month+2 Expiry"/>
    <n v="19469"/>
    <n v="39.6986"/>
    <n v="0.5133"/>
  </r>
  <r>
    <s v="27-Oct-2025"/>
    <x v="0"/>
    <s v="Week4-Oct-2025"/>
    <x v="1"/>
    <s v="Q3FY26"/>
    <s v="31-Mar-2026"/>
    <s v="Tuesday"/>
    <s v="Monthly - Tuesday"/>
    <s v="Monthly - Tuesday"/>
    <s v="Month+5 Expiry"/>
    <n v="428"/>
    <n v="0.867"/>
    <n v="0.0152"/>
  </r>
  <r>
    <s v="27-Oct-2025"/>
    <x v="0"/>
    <s v="Week4-Oct-2025"/>
    <x v="1"/>
    <s v="Q3FY26"/>
    <s v="30-Jun-2026"/>
    <s v="Tuesday"/>
    <s v="Monthly - Tuesday"/>
    <s v="Monthly - Tuesday"/>
    <s v="Month+8 Expiry"/>
    <n v="0"/>
    <n v="0"/>
    <n v="0"/>
  </r>
  <r>
    <s v="27-Oct-2025"/>
    <x v="0"/>
    <s v="Week4-Oct-2025"/>
    <x v="1"/>
    <s v="Q3FY26"/>
    <s v="29-Sep-2026"/>
    <s v="Tuesday"/>
    <s v="Monthly - Tuesday"/>
    <s v="Monthly - Tuesday"/>
    <s v="Month+11 Expiry"/>
    <n v="0"/>
    <n v="0"/>
    <n v="0"/>
  </r>
  <r>
    <s v="28-Oct-2025"/>
    <x v="1"/>
    <s v="Week4-Oct-2025"/>
    <x v="1"/>
    <s v="Q3FY26"/>
    <s v="28-Oct-2025"/>
    <s v="Tuesday"/>
    <s v="Monthly - Tuesday"/>
    <s v="Monthly - Tuesday"/>
    <s v="Same Month Expiry"/>
    <n v="87083272"/>
    <n v="174516.3723"/>
    <n v="174.0738"/>
  </r>
  <r>
    <s v="28-Oct-2025"/>
    <x v="1"/>
    <s v="Week4-Oct-2025"/>
    <x v="1"/>
    <s v="Q3FY26"/>
    <s v="25-Nov-2025"/>
    <s v="Tuesday"/>
    <s v="Monthly - Tuesday"/>
    <s v="Monthly - Tuesday"/>
    <s v="Month+1 Expiry"/>
    <n v="1161369"/>
    <n v="2374.4517"/>
    <n v="22.0947"/>
  </r>
  <r>
    <s v="28-Oct-2025"/>
    <x v="1"/>
    <s v="Week4-Oct-2025"/>
    <x v="1"/>
    <s v="Q3FY26"/>
    <s v="30-Dec-2025"/>
    <s v="Tuesday"/>
    <s v="Monthly - Tuesday"/>
    <s v="Monthly - Tuesday"/>
    <s v="Month+2 Expiry"/>
    <n v="23664"/>
    <n v="48.7366"/>
    <n v="0.7335"/>
  </r>
  <r>
    <s v="28-Oct-2025"/>
    <x v="1"/>
    <s v="Week4-Oct-2025"/>
    <x v="1"/>
    <s v="Q3FY26"/>
    <s v="31-Mar-2026"/>
    <s v="Tuesday"/>
    <s v="Monthly - Tuesday"/>
    <s v="Monthly - Tuesday"/>
    <s v="Month+5 Expiry"/>
    <n v="638"/>
    <n v="1.3148"/>
    <n v="0.0254"/>
  </r>
  <r>
    <s v="28-Oct-2025"/>
    <x v="1"/>
    <s v="Week4-Oct-2025"/>
    <x v="1"/>
    <s v="Q3FY26"/>
    <s v="30-Jun-2026"/>
    <s v="Tuesday"/>
    <s v="Monthly - Tuesday"/>
    <s v="Monthly - Tuesday"/>
    <s v="Month+8 Expiry"/>
    <n v="0"/>
    <n v="0"/>
    <n v="0"/>
  </r>
  <r>
    <s v="28-Oct-2025"/>
    <x v="1"/>
    <s v="Week4-Oct-2025"/>
    <x v="1"/>
    <s v="Q3FY26"/>
    <s v="29-Sep-2026"/>
    <s v="Tuesday"/>
    <s v="Monthly - Tuesday"/>
    <s v="Monthly - Tuesday"/>
    <s v="Month+11 Expiry"/>
    <n v="0"/>
    <n v="0"/>
    <n v="0"/>
  </r>
  <r>
    <s v="29-Oct-2025"/>
    <x v="2"/>
    <s v="Week5-Oct-2025"/>
    <x v="1"/>
    <s v="Q3FY26"/>
    <s v="25-Nov-2025"/>
    <s v="Tuesday"/>
    <s v="Monthly - Tuesday"/>
    <s v="Monthly - Tuesday"/>
    <s v="Month+1 Expiry"/>
    <n v="2212302"/>
    <n v="4533.5092"/>
    <n v="39.933"/>
  </r>
  <r>
    <s v="29-Oct-2025"/>
    <x v="2"/>
    <s v="Week5-Oct-2025"/>
    <x v="1"/>
    <s v="Q3FY26"/>
    <s v="30-Dec-2025"/>
    <s v="Tuesday"/>
    <s v="Monthly - Tuesday"/>
    <s v="Monthly - Tuesday"/>
    <s v="Month+2 Expiry"/>
    <n v="24422"/>
    <n v="50.1036"/>
    <n v="0.5782"/>
  </r>
  <r>
    <s v="29-Oct-2025"/>
    <x v="2"/>
    <s v="Week5-Oct-2025"/>
    <x v="1"/>
    <s v="Q3FY26"/>
    <s v="27-Jan-2026"/>
    <s v="Tuesday"/>
    <s v="Monthly - Tuesday"/>
    <s v="Monthly - Tuesday"/>
    <s v="Month+3 Expiry"/>
    <n v="86"/>
    <n v="0.1527"/>
    <n v="0.004"/>
  </r>
  <r>
    <s v="29-Oct-2025"/>
    <x v="2"/>
    <s v="Week5-Oct-2025"/>
    <x v="1"/>
    <s v="Q3FY26"/>
    <s v="31-Mar-2026"/>
    <s v="Tuesday"/>
    <s v="Monthly - Tuesday"/>
    <s v="Monthly - Tuesday"/>
    <s v="Month+5 Expiry"/>
    <n v="550"/>
    <n v="1.1346"/>
    <n v="0.0219"/>
  </r>
  <r>
    <s v="29-Oct-2025"/>
    <x v="2"/>
    <s v="Week5-Oct-2025"/>
    <x v="1"/>
    <s v="Q3FY26"/>
    <s v="30-Jun-2026"/>
    <s v="Tuesday"/>
    <s v="Monthly - Tuesday"/>
    <s v="Monthly - Tuesday"/>
    <s v="Month+8 Expiry"/>
    <n v="0"/>
    <n v="0"/>
    <n v="0"/>
  </r>
  <r>
    <s v="29-Oct-2025"/>
    <x v="2"/>
    <s v="Week5-Oct-2025"/>
    <x v="1"/>
    <s v="Q3FY26"/>
    <s v="29-Sep-2026"/>
    <s v="Tuesday"/>
    <s v="Monthly - Tuesday"/>
    <s v="Monthly - Tuesday"/>
    <s v="Month+11 Expiry"/>
    <n v="0"/>
    <n v="0"/>
    <n v="0"/>
  </r>
  <r>
    <s v="30-Oct-2025"/>
    <x v="3"/>
    <s v="Week5-Oct-2025"/>
    <x v="1"/>
    <s v="Q3FY26"/>
    <s v="25-Nov-2025"/>
    <s v="Tuesday"/>
    <s v="Monthly - Tuesday"/>
    <s v="Monthly - Tuesday"/>
    <s v="Month+1 Expiry"/>
    <n v="1949720"/>
    <n v="3994.3844"/>
    <n v="34.4945"/>
  </r>
  <r>
    <s v="30-Oct-2025"/>
    <x v="3"/>
    <s v="Week5-Oct-2025"/>
    <x v="1"/>
    <s v="Q3FY26"/>
    <s v="30-Dec-2025"/>
    <s v="Tuesday"/>
    <s v="Monthly - Tuesday"/>
    <s v="Monthly - Tuesday"/>
    <s v="Month+2 Expiry"/>
    <n v="20662"/>
    <n v="42.1782"/>
    <n v="0.4723"/>
  </r>
  <r>
    <s v="30-Oct-2025"/>
    <x v="3"/>
    <s v="Week5-Oct-2025"/>
    <x v="1"/>
    <s v="Q3FY26"/>
    <s v="27-Jan-2026"/>
    <s v="Tuesday"/>
    <s v="Monthly - Tuesday"/>
    <s v="Monthly - Tuesday"/>
    <s v="Month+3 Expiry"/>
    <n v="292"/>
    <n v="0.5053"/>
    <n v="0.0071"/>
  </r>
  <r>
    <s v="30-Oct-2025"/>
    <x v="3"/>
    <s v="Week5-Oct-2025"/>
    <x v="1"/>
    <s v="Q3FY26"/>
    <s v="31-Mar-2026"/>
    <s v="Tuesday"/>
    <s v="Monthly - Tuesday"/>
    <s v="Monthly - Tuesday"/>
    <s v="Month+5 Expiry"/>
    <n v="1572"/>
    <n v="3.1757"/>
    <n v="0.0477"/>
  </r>
  <r>
    <s v="30-Oct-2025"/>
    <x v="3"/>
    <s v="Week5-Oct-2025"/>
    <x v="1"/>
    <s v="Q3FY26"/>
    <s v="30-Jun-2026"/>
    <s v="Tuesday"/>
    <s v="Monthly - Tuesday"/>
    <s v="Monthly - Tuesday"/>
    <s v="Month+8 Expiry"/>
    <n v="0"/>
    <n v="0"/>
    <n v="0"/>
  </r>
  <r>
    <s v="30-Oct-2025"/>
    <x v="3"/>
    <s v="Week5-Oct-2025"/>
    <x v="1"/>
    <s v="Q3FY26"/>
    <s v="29-Sep-2026"/>
    <s v="Tuesday"/>
    <s v="Monthly - Tuesday"/>
    <s v="Monthly - Tuesday"/>
    <s v="Month+11 Expiry"/>
    <n v="0"/>
    <n v="0"/>
    <n v="0"/>
  </r>
  <r>
    <s v="31-Oct-2025"/>
    <x v="4"/>
    <s v="Week5-Oct-2025"/>
    <x v="1"/>
    <s v="Q3FY26"/>
    <s v="25-Nov-2025"/>
    <s v="Tuesday"/>
    <s v="Monthly - Tuesday"/>
    <s v="Monthly - Tuesday"/>
    <s v="Month+1 Expiry"/>
    <n v="2569744"/>
    <n v="5245.7318"/>
    <n v="44.9016"/>
  </r>
  <r>
    <s v="31-Oct-2025"/>
    <x v="4"/>
    <s v="Week5-Oct-2025"/>
    <x v="1"/>
    <s v="Q3FY26"/>
    <s v="30-Dec-2025"/>
    <s v="Tuesday"/>
    <s v="Monthly - Tuesday"/>
    <s v="Monthly - Tuesday"/>
    <s v="Month+2 Expiry"/>
    <n v="30409"/>
    <n v="62.9764"/>
    <n v="0.7359"/>
  </r>
  <r>
    <s v="31-Oct-2025"/>
    <x v="4"/>
    <s v="Week5-Oct-2025"/>
    <x v="1"/>
    <s v="Q3FY26"/>
    <s v="27-Jan-2026"/>
    <s v="Tuesday"/>
    <s v="Monthly - Tuesday"/>
    <s v="Monthly - Tuesday"/>
    <s v="Month+3 Expiry"/>
    <n v="427"/>
    <n v="0.7334000000000001"/>
    <n v="0.008999999999999999"/>
  </r>
  <r>
    <s v="31-Oct-2025"/>
    <x v="4"/>
    <s v="Week5-Oct-2025"/>
    <x v="1"/>
    <s v="Q3FY26"/>
    <s v="31-Mar-2026"/>
    <s v="Tuesday"/>
    <s v="Monthly - Tuesday"/>
    <s v="Monthly - Tuesday"/>
    <s v="Month+5 Expiry"/>
    <n v="538"/>
    <n v="1.0946"/>
    <n v="0.0188"/>
  </r>
  <r>
    <s v="31-Oct-2025"/>
    <x v="4"/>
    <s v="Week5-Oct-2025"/>
    <x v="1"/>
    <s v="Q3FY26"/>
    <s v="30-Jun-2026"/>
    <s v="Tuesday"/>
    <s v="Monthly - Tuesday"/>
    <s v="Monthly - Tuesday"/>
    <s v="Month+8 Expiry"/>
    <n v="0"/>
    <n v="0"/>
    <n v="0"/>
  </r>
  <r>
    <s v="31-Oct-2025"/>
    <x v="4"/>
    <s v="Week5-Oct-2025"/>
    <x v="1"/>
    <s v="Q3FY26"/>
    <s v="29-Sep-2026"/>
    <s v="Tuesday"/>
    <s v="Monthly - Tuesday"/>
    <s v="Monthly - Tuesday"/>
    <s v="Month+11 Expiry"/>
    <n v="0"/>
    <n v="0"/>
    <n v="0"/>
  </r>
  <r>
    <s v="03-Nov-2025"/>
    <x v="0"/>
    <s v="Week1-Nov-2025"/>
    <x v="2"/>
    <s v="Q3FY26"/>
    <s v="25-Nov-2025"/>
    <s v="Tuesday"/>
    <s v="Monthly - Tuesday"/>
    <s v="Monthly - Tuesday"/>
    <s v="Same Month Expiry"/>
    <n v="2228380"/>
    <n v="4560.7056"/>
    <n v="37.6346"/>
  </r>
  <r>
    <s v="03-Nov-2025"/>
    <x v="0"/>
    <s v="Week1-Nov-2025"/>
    <x v="2"/>
    <s v="Q3FY26"/>
    <s v="30-Dec-2025"/>
    <s v="Tuesday"/>
    <s v="Monthly - Tuesday"/>
    <s v="Monthly - Tuesday"/>
    <s v="Month+1 Expiry"/>
    <n v="27468"/>
    <n v="56.4141"/>
    <n v="0.5905"/>
  </r>
  <r>
    <s v="03-Nov-2025"/>
    <x v="0"/>
    <s v="Week1-Nov-2025"/>
    <x v="2"/>
    <s v="Q3FY26"/>
    <s v="27-Jan-2026"/>
    <s v="Tuesday"/>
    <s v="Monthly - Tuesday"/>
    <s v="Monthly - Tuesday"/>
    <s v="Month+2 Expiry"/>
    <n v="351"/>
    <n v="0.6025"/>
    <n v="0.0065"/>
  </r>
  <r>
    <s v="03-Nov-2025"/>
    <x v="0"/>
    <s v="Week1-Nov-2025"/>
    <x v="2"/>
    <s v="Q3FY26"/>
    <s v="31-Mar-2026"/>
    <s v="Tuesday"/>
    <s v="Monthly - Tuesday"/>
    <s v="Monthly - Tuesday"/>
    <s v="Month+4 Expiry"/>
    <n v="474"/>
    <n v="0.9879"/>
    <n v="0.0211"/>
  </r>
  <r>
    <s v="03-Nov-2025"/>
    <x v="0"/>
    <s v="Week1-Nov-2025"/>
    <x v="2"/>
    <s v="Q3FY26"/>
    <s v="30-Jun-2026"/>
    <s v="Tuesday"/>
    <s v="Monthly - Tuesday"/>
    <s v="Monthly - Tuesday"/>
    <s v="Month+7 Expiry"/>
    <n v="0"/>
    <n v="0"/>
    <n v="0"/>
  </r>
  <r>
    <s v="03-Nov-2025"/>
    <x v="0"/>
    <s v="Week1-Nov-2025"/>
    <x v="2"/>
    <s v="Q3FY26"/>
    <s v="29-Sep-2026"/>
    <s v="Tuesday"/>
    <s v="Monthly - Tuesday"/>
    <s v="Monthly - Tuesday"/>
    <s v="Month+10 Expiry"/>
    <n v="0"/>
    <n v="0"/>
    <n v="0"/>
  </r>
  <r>
    <s v="04-Nov-2025"/>
    <x v="1"/>
    <s v="Week1-Nov-2025"/>
    <x v="2"/>
    <s v="Q3FY26"/>
    <s v="25-Nov-2025"/>
    <s v="Tuesday"/>
    <s v="Monthly - Tuesday"/>
    <s v="Monthly - Tuesday"/>
    <s v="Same Month Expiry"/>
    <n v="1994174"/>
    <n v="4075.2826"/>
    <n v="31.5015"/>
  </r>
  <r>
    <s v="04-Nov-2025"/>
    <x v="1"/>
    <s v="Week1-Nov-2025"/>
    <x v="2"/>
    <s v="Q3FY26"/>
    <s v="30-Dec-2025"/>
    <s v="Tuesday"/>
    <s v="Monthly - Tuesday"/>
    <s v="Monthly - Tuesday"/>
    <s v="Month+1 Expiry"/>
    <n v="28187"/>
    <n v="57.8767"/>
    <n v="0.5515"/>
  </r>
  <r>
    <s v="04-Nov-2025"/>
    <x v="1"/>
    <s v="Week1-Nov-2025"/>
    <x v="2"/>
    <s v="Q3FY26"/>
    <s v="27-Jan-2026"/>
    <s v="Tuesday"/>
    <s v="Monthly - Tuesday"/>
    <s v="Monthly - Tuesday"/>
    <s v="Month+2 Expiry"/>
    <n v="320"/>
    <n v="0.5482"/>
    <n v="0.0058"/>
  </r>
  <r>
    <s v="04-Nov-2025"/>
    <x v="1"/>
    <s v="Week1-Nov-2025"/>
    <x v="2"/>
    <s v="Q3FY26"/>
    <s v="31-Mar-2026"/>
    <s v="Tuesday"/>
    <s v="Monthly - Tuesday"/>
    <s v="Monthly - Tuesday"/>
    <s v="Month+4 Expiry"/>
    <n v="203"/>
    <n v="0.4164"/>
    <n v="0.008"/>
  </r>
  <r>
    <s v="04-Nov-2025"/>
    <x v="1"/>
    <s v="Week1-Nov-2025"/>
    <x v="2"/>
    <s v="Q3FY26"/>
    <s v="30-Jun-2026"/>
    <s v="Tuesday"/>
    <s v="Monthly - Tuesday"/>
    <s v="Monthly - Tuesday"/>
    <s v="Month+7 Expiry"/>
    <n v="0"/>
    <n v="0"/>
    <n v="0"/>
  </r>
  <r>
    <s v="04-Nov-2025"/>
    <x v="1"/>
    <s v="Week1-Nov-2025"/>
    <x v="2"/>
    <s v="Q3FY26"/>
    <s v="29-Sep-2026"/>
    <s v="Tuesday"/>
    <s v="Monthly - Tuesday"/>
    <s v="Monthly - Tuesday"/>
    <s v="Month+10 Expiry"/>
    <n v="0"/>
    <n v="0"/>
    <n v="0"/>
  </r>
  <r>
    <s v="06-Nov-2025"/>
    <x v="3"/>
    <s v="Week1-Nov-2025"/>
    <x v="2"/>
    <s v="Q3FY26"/>
    <s v="25-Nov-2025"/>
    <s v="Tuesday"/>
    <s v="Monthly - Tuesday"/>
    <s v="Monthly - Tuesday"/>
    <s v="Same Month Expiry"/>
    <n v="2186489"/>
    <n v="4438.1484"/>
    <n v="33.4573"/>
  </r>
  <r>
    <s v="06-Nov-2025"/>
    <x v="3"/>
    <s v="Week1-Nov-2025"/>
    <x v="2"/>
    <s v="Q3FY26"/>
    <s v="30-Dec-2025"/>
    <s v="Tuesday"/>
    <s v="Monthly - Tuesday"/>
    <s v="Monthly - Tuesday"/>
    <s v="Month+1 Expiry"/>
    <n v="38633"/>
    <n v="79.3771"/>
    <n v="0.7374000000000001"/>
  </r>
  <r>
    <s v="06-Nov-2025"/>
    <x v="3"/>
    <s v="Week1-Nov-2025"/>
    <x v="2"/>
    <s v="Q3FY26"/>
    <s v="27-Jan-2026"/>
    <s v="Tuesday"/>
    <s v="Monthly - Tuesday"/>
    <s v="Monthly - Tuesday"/>
    <s v="Month+2 Expiry"/>
    <n v="831"/>
    <n v="1.4427"/>
    <n v="0.0187"/>
  </r>
  <r>
    <s v="06-Nov-2025"/>
    <x v="3"/>
    <s v="Week1-Nov-2025"/>
    <x v="2"/>
    <s v="Q3FY26"/>
    <s v="31-Mar-2026"/>
    <s v="Tuesday"/>
    <s v="Monthly - Tuesday"/>
    <s v="Monthly - Tuesday"/>
    <s v="Month+4 Expiry"/>
    <n v="296"/>
    <n v="0.6095"/>
    <n v="0.0109"/>
  </r>
  <r>
    <s v="06-Nov-2025"/>
    <x v="3"/>
    <s v="Week1-Nov-2025"/>
    <x v="2"/>
    <s v="Q3FY26"/>
    <s v="30-Jun-2026"/>
    <s v="Tuesday"/>
    <s v="Monthly - Tuesday"/>
    <s v="Monthly - Tuesday"/>
    <s v="Month+7 Expiry"/>
    <n v="0"/>
    <n v="0"/>
    <n v="0"/>
  </r>
  <r>
    <s v="06-Nov-2025"/>
    <x v="3"/>
    <s v="Week1-Nov-2025"/>
    <x v="2"/>
    <s v="Q3FY26"/>
    <s v="29-Sep-2026"/>
    <s v="Tuesday"/>
    <s v="Monthly - Tuesday"/>
    <s v="Monthly - Tuesday"/>
    <s v="Month+10 Expiry"/>
    <n v="0"/>
    <n v="0"/>
    <n v="0"/>
  </r>
  <r>
    <s v="07-Nov-2025"/>
    <x v="4"/>
    <s v="Week1-Nov-2025"/>
    <x v="2"/>
    <s v="Q3FY26"/>
    <s v="25-Nov-2025"/>
    <s v="Tuesday"/>
    <s v="Monthly - Tuesday"/>
    <s v="Monthly - Tuesday"/>
    <s v="Same Month Expiry"/>
    <n v="3649590"/>
    <n v="7404.2229"/>
    <n v="52.7441"/>
  </r>
  <r>
    <s v="07-Nov-2025"/>
    <x v="4"/>
    <s v="Week1-Nov-2025"/>
    <x v="2"/>
    <s v="Q3FY26"/>
    <s v="30-Dec-2025"/>
    <s v="Tuesday"/>
    <s v="Monthly - Tuesday"/>
    <s v="Monthly - Tuesday"/>
    <s v="Month+1 Expiry"/>
    <n v="77834"/>
    <n v="159.4762"/>
    <n v="1.403"/>
  </r>
  <r>
    <s v="07-Nov-2025"/>
    <x v="4"/>
    <s v="Week1-Nov-2025"/>
    <x v="2"/>
    <s v="Q3FY26"/>
    <s v="27-Jan-2026"/>
    <s v="Tuesday"/>
    <s v="Monthly - Tuesday"/>
    <s v="Monthly - Tuesday"/>
    <s v="Month+2 Expiry"/>
    <n v="3310"/>
    <n v="5.6549"/>
    <n v="0.0641"/>
  </r>
  <r>
    <s v="07-Nov-2025"/>
    <x v="4"/>
    <s v="Week1-Nov-2025"/>
    <x v="2"/>
    <s v="Q3FY26"/>
    <s v="31-Mar-2026"/>
    <s v="Tuesday"/>
    <s v="Monthly - Tuesday"/>
    <s v="Monthly - Tuesday"/>
    <s v="Month+4 Expiry"/>
    <n v="695"/>
    <n v="1.4105"/>
    <n v="0.0221"/>
  </r>
  <r>
    <s v="07-Nov-2025"/>
    <x v="4"/>
    <s v="Week1-Nov-2025"/>
    <x v="2"/>
    <s v="Q3FY26"/>
    <s v="30-Jun-2026"/>
    <s v="Tuesday"/>
    <s v="Monthly - Tuesday"/>
    <s v="Monthly - Tuesday"/>
    <s v="Month+7 Expiry"/>
    <n v="0"/>
    <n v="0"/>
    <n v="0"/>
  </r>
  <r>
    <s v="07-Nov-2025"/>
    <x v="4"/>
    <s v="Week1-Nov-2025"/>
    <x v="2"/>
    <s v="Q3FY26"/>
    <s v="29-Sep-2026"/>
    <s v="Tuesday"/>
    <s v="Monthly - Tuesday"/>
    <s v="Monthly - Tuesday"/>
    <s v="Month+10 Expiry"/>
    <n v="0"/>
    <n v="0"/>
    <n v="0"/>
  </r>
  <r>
    <s v="10-Nov-2025"/>
    <x v="0"/>
    <s v="Week2-Nov-2025"/>
    <x v="2"/>
    <s v="Q3FY26"/>
    <s v="25-Nov-2025"/>
    <s v="Tuesday"/>
    <s v="Monthly - Tuesday"/>
    <s v="Monthly - Tuesday"/>
    <s v="Same Month Expiry"/>
    <n v="2241174"/>
    <n v="4558.8152"/>
    <n v="31.664"/>
  </r>
  <r>
    <s v="10-Nov-2025"/>
    <x v="0"/>
    <s v="Week2-Nov-2025"/>
    <x v="2"/>
    <s v="Q3FY26"/>
    <s v="30-Dec-2025"/>
    <s v="Tuesday"/>
    <s v="Monthly - Tuesday"/>
    <s v="Monthly - Tuesday"/>
    <s v="Month+1 Expiry"/>
    <n v="33783"/>
    <n v="68.6112"/>
    <n v="0.5643"/>
  </r>
  <r>
    <s v="10-Nov-2025"/>
    <x v="0"/>
    <s v="Week2-Nov-2025"/>
    <x v="2"/>
    <s v="Q3FY26"/>
    <s v="27-Jan-2026"/>
    <s v="Tuesday"/>
    <s v="Monthly - Tuesday"/>
    <s v="Monthly - Tuesday"/>
    <s v="Month+2 Expiry"/>
    <n v="1569"/>
    <n v="2.7335"/>
    <n v="0.0377"/>
  </r>
  <r>
    <s v="10-Nov-2025"/>
    <x v="0"/>
    <s v="Week2-Nov-2025"/>
    <x v="2"/>
    <s v="Q3FY26"/>
    <s v="31-Mar-2026"/>
    <s v="Tuesday"/>
    <s v="Monthly - Tuesday"/>
    <s v="Monthly - Tuesday"/>
    <s v="Month+4 Expiry"/>
    <n v="301"/>
    <n v="0.619"/>
    <n v="0.0106"/>
  </r>
  <r>
    <s v="10-Nov-2025"/>
    <x v="0"/>
    <s v="Week2-Nov-2025"/>
    <x v="2"/>
    <s v="Q3FY26"/>
    <s v="30-Jun-2026"/>
    <s v="Tuesday"/>
    <s v="Monthly - Tuesday"/>
    <s v="Monthly - Tuesday"/>
    <s v="Month+7 Expiry"/>
    <n v="0"/>
    <n v="0"/>
    <n v="0"/>
  </r>
  <r>
    <s v="10-Nov-2025"/>
    <x v="0"/>
    <s v="Week2-Nov-2025"/>
    <x v="2"/>
    <s v="Q3FY26"/>
    <s v="29-Sep-2026"/>
    <s v="Tuesday"/>
    <s v="Monthly - Tuesday"/>
    <s v="Monthly - Tuesday"/>
    <s v="Month+10 Expiry"/>
    <n v="0"/>
    <n v="0"/>
    <n v="0"/>
  </r>
  <r>
    <s v="11-Nov-2025"/>
    <x v="1"/>
    <s v="Week2-Nov-2025"/>
    <x v="2"/>
    <s v="Q3FY26"/>
    <s v="25-Nov-2025"/>
    <s v="Tuesday"/>
    <s v="Monthly - Tuesday"/>
    <s v="Monthly - Tuesday"/>
    <s v="Same Month Expiry"/>
    <n v="2918580"/>
    <n v="5918.5083"/>
    <n v="40.4773"/>
  </r>
  <r>
    <s v="11-Nov-2025"/>
    <x v="1"/>
    <s v="Week2-Nov-2025"/>
    <x v="2"/>
    <s v="Q3FY26"/>
    <s v="30-Dec-2025"/>
    <s v="Tuesday"/>
    <s v="Monthly - Tuesday"/>
    <s v="Monthly - Tuesday"/>
    <s v="Month+1 Expiry"/>
    <n v="52106"/>
    <n v="106.8488"/>
    <n v="1.008"/>
  </r>
  <r>
    <s v="11-Nov-2025"/>
    <x v="1"/>
    <s v="Week2-Nov-2025"/>
    <x v="2"/>
    <s v="Q3FY26"/>
    <s v="27-Jan-2026"/>
    <s v="Tuesday"/>
    <s v="Monthly - Tuesday"/>
    <s v="Monthly - Tuesday"/>
    <s v="Month+2 Expiry"/>
    <n v="2356"/>
    <n v="4.0817"/>
    <n v="0.0508"/>
  </r>
  <r>
    <s v="11-Nov-2025"/>
    <x v="1"/>
    <s v="Week2-Nov-2025"/>
    <x v="2"/>
    <s v="Q3FY26"/>
    <s v="31-Mar-2026"/>
    <s v="Tuesday"/>
    <s v="Monthly - Tuesday"/>
    <s v="Monthly - Tuesday"/>
    <s v="Month+4 Expiry"/>
    <n v="533"/>
    <n v="1.0925"/>
    <n v="0.018"/>
  </r>
  <r>
    <s v="11-Nov-2025"/>
    <x v="1"/>
    <s v="Week2-Nov-2025"/>
    <x v="2"/>
    <s v="Q3FY26"/>
    <s v="30-Jun-2026"/>
    <s v="Tuesday"/>
    <s v="Monthly - Tuesday"/>
    <s v="Monthly - Tuesday"/>
    <s v="Month+7 Expiry"/>
    <n v="0"/>
    <n v="0"/>
    <n v="0"/>
  </r>
  <r>
    <s v="11-Nov-2025"/>
    <x v="1"/>
    <s v="Week2-Nov-2025"/>
    <x v="2"/>
    <s v="Q3FY26"/>
    <s v="29-Sep-2026"/>
    <s v="Tuesday"/>
    <s v="Monthly - Tuesday"/>
    <s v="Monthly - Tuesday"/>
    <s v="Month+10 Expiry"/>
    <n v="0"/>
    <n v="0"/>
    <n v="0"/>
  </r>
  <r>
    <s v="12-Nov-2025"/>
    <x v="2"/>
    <s v="Week2-Nov-2025"/>
    <x v="2"/>
    <s v="Q3FY26"/>
    <s v="25-Nov-2025"/>
    <s v="Tuesday"/>
    <s v="Monthly - Tuesday"/>
    <s v="Monthly - Tuesday"/>
    <s v="Same Month Expiry"/>
    <n v="2822988"/>
    <n v="5744.3682"/>
    <n v="37.1654"/>
  </r>
  <r>
    <s v="12-Nov-2025"/>
    <x v="2"/>
    <s v="Week2-Nov-2025"/>
    <x v="2"/>
    <s v="Q3FY26"/>
    <s v="30-Dec-2025"/>
    <s v="Tuesday"/>
    <s v="Monthly - Tuesday"/>
    <s v="Monthly - Tuesday"/>
    <s v="Month+1 Expiry"/>
    <n v="60386"/>
    <n v="122.3852"/>
    <n v="1.043"/>
  </r>
  <r>
    <s v="12-Nov-2025"/>
    <x v="2"/>
    <s v="Week2-Nov-2025"/>
    <x v="2"/>
    <s v="Q3FY26"/>
    <s v="27-Jan-2026"/>
    <s v="Tuesday"/>
    <s v="Monthly - Tuesday"/>
    <s v="Monthly - Tuesday"/>
    <s v="Month+2 Expiry"/>
    <n v="2598"/>
    <n v="4.473"/>
    <n v="0.047"/>
  </r>
  <r>
    <s v="12-Nov-2025"/>
    <x v="2"/>
    <s v="Week2-Nov-2025"/>
    <x v="2"/>
    <s v="Q3FY26"/>
    <s v="31-Mar-2026"/>
    <s v="Tuesday"/>
    <s v="Monthly - Tuesday"/>
    <s v="Monthly - Tuesday"/>
    <s v="Month+4 Expiry"/>
    <n v="491"/>
    <n v="1.0057"/>
    <n v="0.0158"/>
  </r>
  <r>
    <s v="12-Nov-2025"/>
    <x v="2"/>
    <s v="Week2-Nov-2025"/>
    <x v="2"/>
    <s v="Q3FY26"/>
    <s v="30-Jun-2026"/>
    <s v="Tuesday"/>
    <s v="Monthly - Tuesday"/>
    <s v="Monthly - Tuesday"/>
    <s v="Month+7 Expiry"/>
    <n v="0"/>
    <n v="0"/>
    <n v="0"/>
  </r>
  <r>
    <s v="12-Nov-2025"/>
    <x v="2"/>
    <s v="Week2-Nov-2025"/>
    <x v="2"/>
    <s v="Q3FY26"/>
    <s v="29-Sep-2026"/>
    <s v="Tuesday"/>
    <s v="Monthly - Tuesday"/>
    <s v="Monthly - Tuesday"/>
    <s v="Month+10 Expiry"/>
    <n v="0"/>
    <n v="0"/>
    <n v="0"/>
  </r>
  <r>
    <s v="13-Nov-2025"/>
    <x v="3"/>
    <s v="Week2-Nov-2025"/>
    <x v="2"/>
    <s v="Q3FY26"/>
    <s v="25-Nov-2025"/>
    <s v="Tuesday"/>
    <s v="Monthly - Tuesday"/>
    <s v="Monthly - Tuesday"/>
    <s v="Same Month Expiry"/>
    <n v="3111743"/>
    <n v="6363.0503"/>
    <n v="39.5913"/>
  </r>
  <r>
    <s v="13-Nov-2025"/>
    <x v="3"/>
    <s v="Week2-Nov-2025"/>
    <x v="2"/>
    <s v="Q3FY26"/>
    <s v="30-Dec-2025"/>
    <s v="Tuesday"/>
    <s v="Monthly - Tuesday"/>
    <s v="Monthly - Tuesday"/>
    <s v="Month+1 Expiry"/>
    <n v="72337"/>
    <n v="148.7316"/>
    <n v="1.3986"/>
  </r>
  <r>
    <s v="13-Nov-2025"/>
    <x v="3"/>
    <s v="Week2-Nov-2025"/>
    <x v="2"/>
    <s v="Q3FY26"/>
    <s v="27-Jan-2026"/>
    <s v="Tuesday"/>
    <s v="Monthly - Tuesday"/>
    <s v="Monthly - Tuesday"/>
    <s v="Month+2 Expiry"/>
    <n v="4137"/>
    <n v="7.295"/>
    <n v="0.109"/>
  </r>
  <r>
    <s v="13-Nov-2025"/>
    <x v="3"/>
    <s v="Week2-Nov-2025"/>
    <x v="2"/>
    <s v="Q3FY26"/>
    <s v="31-Mar-2026"/>
    <s v="Tuesday"/>
    <s v="Monthly - Tuesday"/>
    <s v="Monthly - Tuesday"/>
    <s v="Month+4 Expiry"/>
    <n v="767"/>
    <n v="1.5644"/>
    <n v="0.023"/>
  </r>
  <r>
    <s v="13-Nov-2025"/>
    <x v="3"/>
    <s v="Week2-Nov-2025"/>
    <x v="2"/>
    <s v="Q3FY26"/>
    <s v="30-Jun-2026"/>
    <s v="Tuesday"/>
    <s v="Monthly - Tuesday"/>
    <s v="Monthly - Tuesday"/>
    <s v="Month+7 Expiry"/>
    <n v="0"/>
    <n v="0"/>
    <n v="0"/>
  </r>
  <r>
    <s v="13-Nov-2025"/>
    <x v="3"/>
    <s v="Week2-Nov-2025"/>
    <x v="2"/>
    <s v="Q3FY26"/>
    <s v="29-Sep-2026"/>
    <s v="Tuesday"/>
    <s v="Monthly - Tuesday"/>
    <s v="Monthly - Tuesday"/>
    <s v="Month+10 Expiry"/>
    <n v="0"/>
    <n v="0"/>
    <n v="0"/>
  </r>
  <r>
    <s v="14-Nov-2025"/>
    <x v="4"/>
    <s v="Week2-Nov-2025"/>
    <x v="2"/>
    <s v="Q3FY26"/>
    <s v="25-Nov-2025"/>
    <s v="Tuesday"/>
    <s v="Monthly - Tuesday"/>
    <s v="Monthly - Tuesday"/>
    <s v="Same Month Expiry"/>
    <n v="3462484"/>
    <n v="7079.805"/>
    <n v="41.4364"/>
  </r>
  <r>
    <s v="14-Nov-2025"/>
    <x v="4"/>
    <s v="Week2-Nov-2025"/>
    <x v="2"/>
    <s v="Q3FY26"/>
    <s v="30-Dec-2025"/>
    <s v="Tuesday"/>
    <s v="Monthly - Tuesday"/>
    <s v="Monthly - Tuesday"/>
    <s v="Month+1 Expiry"/>
    <n v="68514"/>
    <n v="140.8927"/>
    <n v="1.331"/>
  </r>
  <r>
    <s v="14-Nov-2025"/>
    <x v="4"/>
    <s v="Week2-Nov-2025"/>
    <x v="2"/>
    <s v="Q3FY26"/>
    <s v="27-Jan-2026"/>
    <s v="Tuesday"/>
    <s v="Monthly - Tuesday"/>
    <s v="Monthly - Tuesday"/>
    <s v="Month+2 Expiry"/>
    <n v="2813"/>
    <n v="4.9643"/>
    <n v="0.07439999999999999"/>
  </r>
  <r>
    <s v="14-Nov-2025"/>
    <x v="4"/>
    <s v="Week2-Nov-2025"/>
    <x v="2"/>
    <s v="Q3FY26"/>
    <s v="31-Mar-2026"/>
    <s v="Tuesday"/>
    <s v="Monthly - Tuesday"/>
    <s v="Monthly - Tuesday"/>
    <s v="Month+4 Expiry"/>
    <n v="740"/>
    <n v="1.5206"/>
    <n v="0.026"/>
  </r>
  <r>
    <s v="14-Nov-2025"/>
    <x v="4"/>
    <s v="Week2-Nov-2025"/>
    <x v="2"/>
    <s v="Q3FY26"/>
    <s v="30-Jun-2026"/>
    <s v="Tuesday"/>
    <s v="Monthly - Tuesday"/>
    <s v="Monthly - Tuesday"/>
    <s v="Month+7 Expiry"/>
    <n v="0"/>
    <n v="0"/>
    <n v="0"/>
  </r>
  <r>
    <s v="14-Nov-2025"/>
    <x v="4"/>
    <s v="Week2-Nov-2025"/>
    <x v="2"/>
    <s v="Q3FY26"/>
    <s v="29-Sep-2026"/>
    <s v="Tuesday"/>
    <s v="Monthly - Tuesday"/>
    <s v="Monthly - Tuesday"/>
    <s v="Month+10 Expiry"/>
    <n v="0"/>
    <n v="0"/>
    <n v="0"/>
  </r>
  <r>
    <s v="17-Nov-2025"/>
    <x v="0"/>
    <s v="Week3-Nov-2025"/>
    <x v="2"/>
    <s v="Q3FY26"/>
    <s v="25-Nov-2025"/>
    <s v="Tuesday"/>
    <s v="Monthly - Tuesday"/>
    <s v="Monthly - Tuesday"/>
    <s v="Same Month Expiry"/>
    <n v="3637020"/>
    <n v="7453.548"/>
    <n v="38.0717"/>
  </r>
  <r>
    <s v="17-Nov-2025"/>
    <x v="0"/>
    <s v="Week3-Nov-2025"/>
    <x v="2"/>
    <s v="Q3FY26"/>
    <s v="30-Dec-2025"/>
    <s v="Tuesday"/>
    <s v="Monthly - Tuesday"/>
    <s v="Monthly - Tuesday"/>
    <s v="Month+1 Expiry"/>
    <n v="156925"/>
    <n v="324.9152"/>
    <n v="3.3285"/>
  </r>
  <r>
    <s v="17-Nov-2025"/>
    <x v="0"/>
    <s v="Week3-Nov-2025"/>
    <x v="2"/>
    <s v="Q3FY26"/>
    <s v="27-Jan-2026"/>
    <s v="Tuesday"/>
    <s v="Monthly - Tuesday"/>
    <s v="Monthly - Tuesday"/>
    <s v="Month+2 Expiry"/>
    <n v="3892"/>
    <n v="6.8327"/>
    <n v="0.0891"/>
  </r>
  <r>
    <s v="17-Nov-2025"/>
    <x v="0"/>
    <s v="Week3-Nov-2025"/>
    <x v="2"/>
    <s v="Q3FY26"/>
    <s v="31-Mar-2026"/>
    <s v="Tuesday"/>
    <s v="Monthly - Tuesday"/>
    <s v="Monthly - Tuesday"/>
    <s v="Month+4 Expiry"/>
    <n v="2128"/>
    <n v="4.3969"/>
    <n v="0.0833"/>
  </r>
  <r>
    <s v="17-Nov-2025"/>
    <x v="0"/>
    <s v="Week3-Nov-2025"/>
    <x v="2"/>
    <s v="Q3FY26"/>
    <s v="30-Jun-2026"/>
    <s v="Tuesday"/>
    <s v="Monthly - Tuesday"/>
    <s v="Monthly - Tuesday"/>
    <s v="Month+7 Expiry"/>
    <n v="0"/>
    <n v="0"/>
    <n v="0"/>
  </r>
  <r>
    <s v="17-Nov-2025"/>
    <x v="0"/>
    <s v="Week3-Nov-2025"/>
    <x v="2"/>
    <s v="Q3FY26"/>
    <s v="29-Sep-2026"/>
    <s v="Tuesday"/>
    <s v="Monthly - Tuesday"/>
    <s v="Monthly - Tuesday"/>
    <s v="Month+10 Expiry"/>
    <n v="0"/>
    <n v="0"/>
    <n v="0"/>
  </r>
  <r>
    <s v="18-Nov-2025"/>
    <x v="1"/>
    <s v="Week3-Nov-2025"/>
    <x v="2"/>
    <s v="Q3FY26"/>
    <s v="25-Nov-2025"/>
    <s v="Tuesday"/>
    <s v="Monthly - Tuesday"/>
    <s v="Monthly - Tuesday"/>
    <s v="Same Month Expiry"/>
    <n v="3898075"/>
    <n v="7995.4788"/>
    <n v="37.1648"/>
  </r>
  <r>
    <s v="18-Nov-2025"/>
    <x v="1"/>
    <s v="Week3-Nov-2025"/>
    <x v="2"/>
    <s v="Q3FY26"/>
    <s v="30-Dec-2025"/>
    <s v="Tuesday"/>
    <s v="Monthly - Tuesday"/>
    <s v="Monthly - Tuesday"/>
    <s v="Month+1 Expiry"/>
    <n v="123004"/>
    <n v="254.9535"/>
    <n v="2.6882"/>
  </r>
  <r>
    <s v="18-Nov-2025"/>
    <x v="1"/>
    <s v="Week3-Nov-2025"/>
    <x v="2"/>
    <s v="Q3FY26"/>
    <s v="27-Jan-2026"/>
    <s v="Tuesday"/>
    <s v="Monthly - Tuesday"/>
    <s v="Monthly - Tuesday"/>
    <s v="Month+2 Expiry"/>
    <n v="4143"/>
    <n v="7.2995"/>
    <n v="0.0946"/>
  </r>
  <r>
    <s v="18-Nov-2025"/>
    <x v="1"/>
    <s v="Week3-Nov-2025"/>
    <x v="2"/>
    <s v="Q3FY26"/>
    <s v="31-Mar-2026"/>
    <s v="Tuesday"/>
    <s v="Monthly - Tuesday"/>
    <s v="Monthly - Tuesday"/>
    <s v="Month+4 Expiry"/>
    <n v="1542"/>
    <n v="3.1601"/>
    <n v="0.053"/>
  </r>
  <r>
    <s v="18-Nov-2025"/>
    <x v="1"/>
    <s v="Week3-Nov-2025"/>
    <x v="2"/>
    <s v="Q3FY26"/>
    <s v="30-Jun-2026"/>
    <s v="Tuesday"/>
    <s v="Monthly - Tuesday"/>
    <s v="Monthly - Tuesday"/>
    <s v="Month+7 Expiry"/>
    <n v="0"/>
    <n v="0"/>
    <n v="0"/>
  </r>
  <r>
    <s v="18-Nov-2025"/>
    <x v="1"/>
    <s v="Week3-Nov-2025"/>
    <x v="2"/>
    <s v="Q3FY26"/>
    <s v="29-Sep-2026"/>
    <s v="Tuesday"/>
    <s v="Monthly - Tuesday"/>
    <s v="Monthly - Tuesday"/>
    <s v="Month+10 Expiry"/>
    <n v="0"/>
    <n v="0"/>
    <n v="0"/>
  </r>
  <r>
    <s v="19-Nov-2025"/>
    <x v="2"/>
    <s v="Week3-Nov-2025"/>
    <x v="2"/>
    <s v="Q3FY26"/>
    <s v="25-Nov-2025"/>
    <s v="Tuesday"/>
    <s v="Monthly - Tuesday"/>
    <s v="Monthly - Tuesday"/>
    <s v="Same Month Expiry"/>
    <n v="6053709"/>
    <n v="12387.7747"/>
    <n v="50.8172"/>
  </r>
  <r>
    <s v="19-Nov-2025"/>
    <x v="2"/>
    <s v="Week3-Nov-2025"/>
    <x v="2"/>
    <s v="Q3FY26"/>
    <s v="30-Dec-2025"/>
    <s v="Tuesday"/>
    <s v="Monthly - Tuesday"/>
    <s v="Monthly - Tuesday"/>
    <s v="Month+1 Expiry"/>
    <n v="199504"/>
    <n v="415.4035"/>
    <n v="4.3255"/>
  </r>
  <r>
    <s v="19-Nov-2025"/>
    <x v="2"/>
    <s v="Week3-Nov-2025"/>
    <x v="2"/>
    <s v="Q3FY26"/>
    <s v="27-Jan-2026"/>
    <s v="Tuesday"/>
    <s v="Monthly - Tuesday"/>
    <s v="Monthly - Tuesday"/>
    <s v="Month+2 Expiry"/>
    <n v="6526"/>
    <n v="11.6014"/>
    <n v="0.1587"/>
  </r>
  <r>
    <s v="19-Nov-2025"/>
    <x v="2"/>
    <s v="Week3-Nov-2025"/>
    <x v="2"/>
    <s v="Q3FY26"/>
    <s v="31-Mar-2026"/>
    <s v="Tuesday"/>
    <s v="Monthly - Tuesday"/>
    <s v="Monthly - Tuesday"/>
    <s v="Month+4 Expiry"/>
    <n v="1988"/>
    <n v="4.2025"/>
    <n v="0.0958"/>
  </r>
  <r>
    <s v="19-Nov-2025"/>
    <x v="2"/>
    <s v="Week3-Nov-2025"/>
    <x v="2"/>
    <s v="Q3FY26"/>
    <s v="30-Jun-2026"/>
    <s v="Tuesday"/>
    <s v="Monthly - Tuesday"/>
    <s v="Monthly - Tuesday"/>
    <s v="Month+7 Expiry"/>
    <n v="0"/>
    <n v="0"/>
    <n v="0"/>
  </r>
  <r>
    <s v="19-Nov-2025"/>
    <x v="2"/>
    <s v="Week3-Nov-2025"/>
    <x v="2"/>
    <s v="Q3FY26"/>
    <s v="29-Sep-2026"/>
    <s v="Tuesday"/>
    <s v="Monthly - Tuesday"/>
    <s v="Monthly - Tuesday"/>
    <s v="Month+10 Expiry"/>
    <n v="0"/>
    <n v="0"/>
    <n v="0"/>
  </r>
  <r>
    <s v="20-Nov-2025"/>
    <x v="3"/>
    <s v="Week3-Nov-2025"/>
    <x v="2"/>
    <s v="Q3FY26"/>
    <s v="25-Nov-2025"/>
    <s v="Tuesday"/>
    <s v="Monthly - Tuesday"/>
    <s v="Monthly - Tuesday"/>
    <s v="Same Month Expiry"/>
    <n v="5656595"/>
    <n v="11582.2529"/>
    <n v="39.4398"/>
  </r>
  <r>
    <s v="20-Nov-2025"/>
    <x v="3"/>
    <s v="Week3-Nov-2025"/>
    <x v="2"/>
    <s v="Q3FY26"/>
    <s v="30-Dec-2025"/>
    <s v="Tuesday"/>
    <s v="Monthly - Tuesday"/>
    <s v="Monthly - Tuesday"/>
    <s v="Month+1 Expiry"/>
    <n v="207429"/>
    <n v="431.9024"/>
    <n v="4.7164"/>
  </r>
  <r>
    <s v="20-Nov-2025"/>
    <x v="3"/>
    <s v="Week3-Nov-2025"/>
    <x v="2"/>
    <s v="Q3FY26"/>
    <s v="27-Jan-2026"/>
    <s v="Tuesday"/>
    <s v="Monthly - Tuesday"/>
    <s v="Monthly - Tuesday"/>
    <s v="Month+2 Expiry"/>
    <n v="6413"/>
    <n v="11.4207"/>
    <n v="0.1701"/>
  </r>
  <r>
    <s v="20-Nov-2025"/>
    <x v="3"/>
    <s v="Week3-Nov-2025"/>
    <x v="2"/>
    <s v="Q3FY26"/>
    <s v="31-Mar-2026"/>
    <s v="Tuesday"/>
    <s v="Monthly - Tuesday"/>
    <s v="Monthly - Tuesday"/>
    <s v="Month+4 Expiry"/>
    <n v="3035"/>
    <n v="6.3734"/>
    <n v="0.1283"/>
  </r>
  <r>
    <s v="20-Nov-2025"/>
    <x v="3"/>
    <s v="Week3-Nov-2025"/>
    <x v="2"/>
    <s v="Q3FY26"/>
    <s v="30-Jun-2026"/>
    <s v="Tuesday"/>
    <s v="Monthly - Tuesday"/>
    <s v="Monthly - Tuesday"/>
    <s v="Month+7 Expiry"/>
    <n v="0"/>
    <n v="0"/>
    <n v="0"/>
  </r>
  <r>
    <s v="20-Nov-2025"/>
    <x v="3"/>
    <s v="Week3-Nov-2025"/>
    <x v="2"/>
    <s v="Q3FY26"/>
    <s v="29-Sep-2026"/>
    <s v="Tuesday"/>
    <s v="Monthly - Tuesday"/>
    <s v="Monthly - Tuesday"/>
    <s v="Month+10 Expiry"/>
    <n v="0"/>
    <n v="0"/>
    <n v="0"/>
  </r>
  <r>
    <s v="21-Nov-2025"/>
    <x v="4"/>
    <s v="Week3-Nov-2025"/>
    <x v="2"/>
    <s v="Q3FY26"/>
    <s v="25-Nov-2025"/>
    <s v="Tuesday"/>
    <s v="Monthly - Tuesday"/>
    <s v="Monthly - Tuesday"/>
    <s v="Same Month Expiry"/>
    <n v="10692487"/>
    <n v="21899.3047"/>
    <n v="64.9958"/>
  </r>
  <r>
    <s v="21-Nov-2025"/>
    <x v="4"/>
    <s v="Week3-Nov-2025"/>
    <x v="2"/>
    <s v="Q3FY26"/>
    <s v="30-Dec-2025"/>
    <s v="Tuesday"/>
    <s v="Monthly - Tuesday"/>
    <s v="Monthly - Tuesday"/>
    <s v="Month+1 Expiry"/>
    <n v="359705"/>
    <n v="747.1505"/>
    <n v="7.8521"/>
  </r>
  <r>
    <s v="21-Nov-2025"/>
    <x v="4"/>
    <s v="Week3-Nov-2025"/>
    <x v="2"/>
    <s v="Q3FY26"/>
    <s v="27-Jan-2026"/>
    <s v="Tuesday"/>
    <s v="Monthly - Tuesday"/>
    <s v="Monthly - Tuesday"/>
    <s v="Month+2 Expiry"/>
    <n v="9417"/>
    <n v="16.9076"/>
    <n v="0.2512"/>
  </r>
  <r>
    <s v="21-Nov-2025"/>
    <x v="4"/>
    <s v="Week3-Nov-2025"/>
    <x v="2"/>
    <s v="Q3FY26"/>
    <s v="31-Mar-2026"/>
    <s v="Tuesday"/>
    <s v="Monthly - Tuesday"/>
    <s v="Monthly - Tuesday"/>
    <s v="Month+4 Expiry"/>
    <n v="1699"/>
    <n v="3.5116"/>
    <n v="0.056"/>
  </r>
  <r>
    <s v="21-Nov-2025"/>
    <x v="4"/>
    <s v="Week3-Nov-2025"/>
    <x v="2"/>
    <s v="Q3FY26"/>
    <s v="30-Jun-2026"/>
    <s v="Tuesday"/>
    <s v="Monthly - Tuesday"/>
    <s v="Monthly - Tuesday"/>
    <s v="Month+7 Expiry"/>
    <n v="0"/>
    <n v="0"/>
    <n v="0"/>
  </r>
  <r>
    <s v="21-Nov-2025"/>
    <x v="4"/>
    <s v="Week3-Nov-2025"/>
    <x v="2"/>
    <s v="Q3FY26"/>
    <s v="29-Sep-2026"/>
    <s v="Tuesday"/>
    <s v="Monthly - Tuesday"/>
    <s v="Monthly - Tuesday"/>
    <s v="Month+10 Expiry"/>
    <n v="0"/>
    <n v="0"/>
    <n v="0"/>
  </r>
  <r>
    <s v="24-Nov-2025"/>
    <x v="0"/>
    <s v="Week4-Nov-2025"/>
    <x v="2"/>
    <s v="Q3FY26"/>
    <s v="25-Nov-2025"/>
    <s v="Tuesday"/>
    <s v="Monthly - Tuesday"/>
    <s v="Monthly - Tuesday"/>
    <s v="Same Month Expiry"/>
    <n v="19567412"/>
    <n v="40015.1014"/>
    <n v="85.8531"/>
  </r>
  <r>
    <s v="24-Nov-2025"/>
    <x v="0"/>
    <s v="Week4-Nov-2025"/>
    <x v="2"/>
    <s v="Q3FY26"/>
    <s v="30-Dec-2025"/>
    <s v="Tuesday"/>
    <s v="Monthly - Tuesday"/>
    <s v="Monthly - Tuesday"/>
    <s v="Month+1 Expiry"/>
    <n v="424184"/>
    <n v="885.0194"/>
    <n v="9.807"/>
  </r>
  <r>
    <s v="24-Nov-2025"/>
    <x v="0"/>
    <s v="Week4-Nov-2025"/>
    <x v="2"/>
    <s v="Q3FY26"/>
    <s v="27-Jan-2026"/>
    <s v="Tuesday"/>
    <s v="Monthly - Tuesday"/>
    <s v="Monthly - Tuesday"/>
    <s v="Month+2 Expiry"/>
    <n v="6842"/>
    <n v="12.2058"/>
    <n v="0.1565"/>
  </r>
  <r>
    <s v="24-Nov-2025"/>
    <x v="0"/>
    <s v="Week4-Nov-2025"/>
    <x v="2"/>
    <s v="Q3FY26"/>
    <s v="31-Mar-2026"/>
    <s v="Tuesday"/>
    <s v="Monthly - Tuesday"/>
    <s v="Monthly - Tuesday"/>
    <s v="Month+4 Expiry"/>
    <n v="1087"/>
    <n v="2.283"/>
    <n v="0.0433"/>
  </r>
  <r>
    <s v="24-Nov-2025"/>
    <x v="0"/>
    <s v="Week4-Nov-2025"/>
    <x v="2"/>
    <s v="Q3FY26"/>
    <s v="30-Jun-2026"/>
    <s v="Tuesday"/>
    <s v="Monthly - Tuesday"/>
    <s v="Monthly - Tuesday"/>
    <s v="Month+7 Expiry"/>
    <n v="0"/>
    <n v="0"/>
    <n v="0"/>
  </r>
  <r>
    <s v="24-Nov-2025"/>
    <x v="0"/>
    <s v="Week4-Nov-2025"/>
    <x v="2"/>
    <s v="Q3FY26"/>
    <s v="29-Sep-2026"/>
    <s v="Tuesday"/>
    <s v="Monthly - Tuesday"/>
    <s v="Monthly - Tuesday"/>
    <s v="Month+10 Expiry"/>
    <n v="0"/>
    <n v="0"/>
    <n v="0"/>
  </r>
  <r>
    <s v="25-Nov-2025"/>
    <x v="1"/>
    <s v="Week4-Nov-2025"/>
    <x v="2"/>
    <s v="Q3FY26"/>
    <s v="25-Nov-2025"/>
    <s v="Tuesday"/>
    <s v="Monthly - Tuesday"/>
    <s v="Monthly - Tuesday"/>
    <s v="Same Month Expiry"/>
    <n v="79305371"/>
    <n v="161746.661"/>
    <n v="151.4041"/>
  </r>
  <r>
    <s v="25-Nov-2025"/>
    <x v="1"/>
    <s v="Week4-Nov-2025"/>
    <x v="2"/>
    <s v="Q3FY26"/>
    <s v="30-Dec-2025"/>
    <s v="Tuesday"/>
    <s v="Monthly - Tuesday"/>
    <s v="Monthly - Tuesday"/>
    <s v="Month+1 Expiry"/>
    <n v="722792"/>
    <n v="1503.8093"/>
    <n v="15.2352"/>
  </r>
  <r>
    <s v="25-Nov-2025"/>
    <x v="1"/>
    <s v="Week4-Nov-2025"/>
    <x v="2"/>
    <s v="Q3FY26"/>
    <s v="27-Jan-2026"/>
    <s v="Tuesday"/>
    <s v="Monthly - Tuesday"/>
    <s v="Monthly - Tuesday"/>
    <s v="Month+2 Expiry"/>
    <n v="8387"/>
    <n v="15.0803"/>
    <n v="0.1844"/>
  </r>
  <r>
    <s v="25-Nov-2025"/>
    <x v="1"/>
    <s v="Week4-Nov-2025"/>
    <x v="2"/>
    <s v="Q3FY26"/>
    <s v="31-Mar-2026"/>
    <s v="Tuesday"/>
    <s v="Monthly - Tuesday"/>
    <s v="Monthly - Tuesday"/>
    <s v="Month+4 Expiry"/>
    <n v="919"/>
    <n v="1.9265"/>
    <n v="0.0383"/>
  </r>
  <r>
    <s v="25-Nov-2025"/>
    <x v="1"/>
    <s v="Week4-Nov-2025"/>
    <x v="2"/>
    <s v="Q3FY26"/>
    <s v="30-Jun-2026"/>
    <s v="Tuesday"/>
    <s v="Monthly - Tuesday"/>
    <s v="Monthly - Tuesday"/>
    <s v="Month+7 Expiry"/>
    <n v="0"/>
    <n v="0"/>
    <n v="0"/>
  </r>
  <r>
    <s v="25-Nov-2025"/>
    <x v="1"/>
    <s v="Week4-Nov-2025"/>
    <x v="2"/>
    <s v="Q3FY26"/>
    <s v="29-Sep-2026"/>
    <s v="Tuesday"/>
    <s v="Monthly - Tuesday"/>
    <s v="Monthly - Tuesday"/>
    <s v="Month+10 Expiry"/>
    <n v="0"/>
    <n v="0"/>
    <n v="0"/>
  </r>
  <r>
    <s v="26-Nov-2025"/>
    <x v="2"/>
    <s v="Week4-Nov-2025"/>
    <x v="2"/>
    <s v="Q3FY26"/>
    <s v="30-Dec-2025"/>
    <s v="Tuesday"/>
    <s v="Monthly - Tuesday"/>
    <s v="Monthly - Tuesday"/>
    <s v="Month+1 Expiry"/>
    <n v="2110443"/>
    <n v="4410.6045"/>
    <n v="39.1595"/>
  </r>
  <r>
    <s v="26-Nov-2025"/>
    <x v="2"/>
    <s v="Week4-Nov-2025"/>
    <x v="2"/>
    <s v="Q3FY26"/>
    <s v="27-Jan-2026"/>
    <s v="Tuesday"/>
    <s v="Monthly - Tuesday"/>
    <s v="Monthly - Tuesday"/>
    <s v="Month+2 Expiry"/>
    <n v="19811"/>
    <n v="35.6728"/>
    <n v="0.4469"/>
  </r>
  <r>
    <s v="26-Nov-2025"/>
    <x v="2"/>
    <s v="Week4-Nov-2025"/>
    <x v="2"/>
    <s v="Q3FY26"/>
    <s v="24-Feb-2026"/>
    <s v="Tuesday"/>
    <s v="Monthly - Tuesday"/>
    <s v="Monthly - Tuesday"/>
    <s v="Month+3 Expiry"/>
    <n v="159"/>
    <n v="0.28"/>
    <n v="0.0053"/>
  </r>
  <r>
    <s v="26-Nov-2025"/>
    <x v="2"/>
    <s v="Week4-Nov-2025"/>
    <x v="2"/>
    <s v="Q3FY26"/>
    <s v="31-Mar-2026"/>
    <s v="Tuesday"/>
    <s v="Monthly - Tuesday"/>
    <s v="Monthly - Tuesday"/>
    <s v="Month+4 Expiry"/>
    <n v="2433"/>
    <n v="5.0532"/>
    <n v="0.07920000000000001"/>
  </r>
  <r>
    <s v="26-Nov-2025"/>
    <x v="2"/>
    <s v="Week4-Nov-2025"/>
    <x v="2"/>
    <s v="Q3FY26"/>
    <s v="30-Jun-2026"/>
    <s v="Tuesday"/>
    <s v="Monthly - Tuesday"/>
    <s v="Monthly - Tuesday"/>
    <s v="Month+7 Expiry"/>
    <n v="0"/>
    <n v="0"/>
    <n v="0"/>
  </r>
  <r>
    <s v="26-Nov-2025"/>
    <x v="2"/>
    <s v="Week4-Nov-2025"/>
    <x v="2"/>
    <s v="Q3FY26"/>
    <s v="29-Sep-2026"/>
    <s v="Tuesday"/>
    <s v="Monthly - Tuesday"/>
    <s v="Monthly - Tuesday"/>
    <s v="Month+10 Expiry"/>
    <n v="0"/>
    <n v="0"/>
    <n v="0"/>
  </r>
  <r>
    <s v="27-Nov-2025"/>
    <x v="3"/>
    <s v="Week4-Nov-2025"/>
    <x v="2"/>
    <s v="Q3FY26"/>
    <s v="30-Dec-2025"/>
    <s v="Tuesday"/>
    <s v="Monthly - Tuesday"/>
    <s v="Monthly - Tuesday"/>
    <s v="Month+1 Expiry"/>
    <n v="2075050"/>
    <n v="4355.7078"/>
    <n v="40.5044"/>
  </r>
  <r>
    <s v="27-Nov-2025"/>
    <x v="3"/>
    <s v="Week4-Nov-2025"/>
    <x v="2"/>
    <s v="Q3FY26"/>
    <s v="27-Jan-2026"/>
    <s v="Tuesday"/>
    <s v="Monthly - Tuesday"/>
    <s v="Monthly - Tuesday"/>
    <s v="Month+2 Expiry"/>
    <n v="21635"/>
    <n v="38.7577"/>
    <n v="0.4778"/>
  </r>
  <r>
    <s v="27-Nov-2025"/>
    <x v="3"/>
    <s v="Week4-Nov-2025"/>
    <x v="2"/>
    <s v="Q3FY26"/>
    <s v="24-Feb-2026"/>
    <s v="Tuesday"/>
    <s v="Monthly - Tuesday"/>
    <s v="Monthly - Tuesday"/>
    <s v="Month+3 Expiry"/>
    <n v="263"/>
    <n v="0.4715"/>
    <n v="0.007900000000000001"/>
  </r>
  <r>
    <s v="27-Nov-2025"/>
    <x v="3"/>
    <s v="Week4-Nov-2025"/>
    <x v="2"/>
    <s v="Q3FY26"/>
    <s v="31-Mar-2026"/>
    <s v="Tuesday"/>
    <s v="Monthly - Tuesday"/>
    <s v="Monthly - Tuesday"/>
    <s v="Month+4 Expiry"/>
    <n v="1803"/>
    <n v="3.7632"/>
    <n v="0.0618"/>
  </r>
  <r>
    <s v="27-Nov-2025"/>
    <x v="3"/>
    <s v="Week4-Nov-2025"/>
    <x v="2"/>
    <s v="Q3FY26"/>
    <s v="30-Jun-2026"/>
    <s v="Tuesday"/>
    <s v="Monthly - Tuesday"/>
    <s v="Monthly - Tuesday"/>
    <s v="Month+7 Expiry"/>
    <n v="0"/>
    <n v="0"/>
    <n v="0"/>
  </r>
  <r>
    <s v="27-Nov-2025"/>
    <x v="3"/>
    <s v="Week4-Nov-2025"/>
    <x v="2"/>
    <s v="Q3FY26"/>
    <s v="29-Sep-2026"/>
    <s v="Tuesday"/>
    <s v="Monthly - Tuesday"/>
    <s v="Monthly - Tuesday"/>
    <s v="Month+10 Expiry"/>
    <n v="0"/>
    <n v="0"/>
    <n v="0"/>
  </r>
  <r>
    <s v="28-Nov-2025"/>
    <x v="4"/>
    <s v="Week4-Nov-2025"/>
    <x v="2"/>
    <s v="Q3FY26"/>
    <s v="30-Dec-2025"/>
    <s v="Tuesday"/>
    <s v="Monthly - Tuesday"/>
    <s v="Monthly - Tuesday"/>
    <s v="Month+1 Expiry"/>
    <n v="1708304"/>
    <n v="3582.4952"/>
    <n v="31.6002"/>
  </r>
  <r>
    <s v="28-Nov-2025"/>
    <x v="4"/>
    <s v="Week4-Nov-2025"/>
    <x v="2"/>
    <s v="Q3FY26"/>
    <s v="27-Jan-2026"/>
    <s v="Tuesday"/>
    <s v="Monthly - Tuesday"/>
    <s v="Monthly - Tuesday"/>
    <s v="Month+2 Expiry"/>
    <n v="15141"/>
    <n v="27.3464"/>
    <n v="0.3575"/>
  </r>
  <r>
    <s v="28-Nov-2025"/>
    <x v="4"/>
    <s v="Week4-Nov-2025"/>
    <x v="2"/>
    <s v="Q3FY26"/>
    <s v="24-Feb-2026"/>
    <s v="Tuesday"/>
    <s v="Monthly - Tuesday"/>
    <s v="Monthly - Tuesday"/>
    <s v="Month+3 Expiry"/>
    <n v="254"/>
    <n v="0.4633"/>
    <n v="0.0089"/>
  </r>
  <r>
    <s v="28-Nov-2025"/>
    <x v="4"/>
    <s v="Week4-Nov-2025"/>
    <x v="2"/>
    <s v="Q3FY26"/>
    <s v="31-Mar-2026"/>
    <s v="Tuesday"/>
    <s v="Monthly - Tuesday"/>
    <s v="Monthly - Tuesday"/>
    <s v="Month+4 Expiry"/>
    <n v="1989"/>
    <n v="4.1247"/>
    <n v="0.0582"/>
  </r>
  <r>
    <s v="28-Nov-2025"/>
    <x v="4"/>
    <s v="Week4-Nov-2025"/>
    <x v="2"/>
    <s v="Q3FY26"/>
    <s v="30-Jun-2026"/>
    <s v="Tuesday"/>
    <s v="Monthly - Tuesday"/>
    <s v="Monthly - Tuesday"/>
    <s v="Month+7 Expiry"/>
    <n v="0"/>
    <n v="0"/>
    <n v="0"/>
  </r>
  <r>
    <s v="28-Nov-2025"/>
    <x v="4"/>
    <s v="Week4-Nov-2025"/>
    <x v="2"/>
    <s v="Q3FY26"/>
    <s v="29-Sep-2026"/>
    <s v="Tuesday"/>
    <s v="Monthly - Tuesday"/>
    <s v="Monthly - Tuesday"/>
    <s v="Month+10 Expiry"/>
    <n v="0"/>
    <n v="0"/>
    <n v="0"/>
  </r>
  <r>
    <s v="01-Dec-2025"/>
    <x v="0"/>
    <s v="Week1-Dec-2025"/>
    <x v="3"/>
    <s v="Q3FY26"/>
    <s v="30-Dec-2025"/>
    <s v="Tuesday"/>
    <s v="Monthly - Tuesday"/>
    <s v="Monthly - Tuesday"/>
    <s v="Same Month Expiry"/>
    <n v="2279487"/>
    <n v="4797.7946"/>
    <n v="40.0224"/>
  </r>
  <r>
    <s v="01-Dec-2025"/>
    <x v="0"/>
    <s v="Week1-Dec-2025"/>
    <x v="3"/>
    <s v="Q3FY26"/>
    <s v="27-Jan-2026"/>
    <s v="Tuesday"/>
    <s v="Monthly - Tuesday"/>
    <s v="Monthly - Tuesday"/>
    <s v="Month+1 Expiry"/>
    <n v="24325"/>
    <n v="44.2685"/>
    <n v="0.5029"/>
  </r>
  <r>
    <s v="01-Dec-2025"/>
    <x v="0"/>
    <s v="Week1-Dec-2025"/>
    <x v="3"/>
    <s v="Q3FY26"/>
    <s v="24-Feb-2026"/>
    <s v="Tuesday"/>
    <s v="Monthly - Tuesday"/>
    <s v="Monthly - Tuesday"/>
    <s v="Month+2 Expiry"/>
    <n v="1275"/>
    <n v="2.2589"/>
    <n v="0.0274"/>
  </r>
  <r>
    <s v="01-Dec-2025"/>
    <x v="0"/>
    <s v="Week1-Dec-2025"/>
    <x v="3"/>
    <s v="Q3FY26"/>
    <s v="31-Mar-2026"/>
    <s v="Tuesday"/>
    <s v="Monthly - Tuesday"/>
    <s v="Monthly - Tuesday"/>
    <s v="Month+3 Expiry"/>
    <n v="8334"/>
    <n v="17.1655"/>
    <n v="0.2028"/>
  </r>
  <r>
    <s v="01-Dec-2025"/>
    <x v="0"/>
    <s v="Week1-Dec-2025"/>
    <x v="3"/>
    <s v="Q3FY26"/>
    <s v="30-Jun-2026"/>
    <s v="Tuesday"/>
    <s v="Monthly - Tuesday"/>
    <s v="Monthly - Tuesday"/>
    <s v="Month+6 Expiry"/>
    <n v="0"/>
    <n v="0"/>
    <n v="0"/>
  </r>
  <r>
    <s v="01-Dec-2025"/>
    <x v="0"/>
    <s v="Week1-Dec-2025"/>
    <x v="3"/>
    <s v="Q3FY26"/>
    <s v="29-Sep-2026"/>
    <s v="Tuesday"/>
    <s v="Monthly - Tuesday"/>
    <s v="Monthly - Tuesday"/>
    <s v="Month+9 Expiry"/>
    <n v="0"/>
    <n v="0"/>
    <n v="0"/>
  </r>
  <r>
    <s v="02-Dec-2025"/>
    <x v="1"/>
    <s v="Week1-Dec-2025"/>
    <x v="3"/>
    <s v="Q3FY26"/>
    <s v="30-Dec-2025"/>
    <s v="Tuesday"/>
    <s v="Monthly - Tuesday"/>
    <s v="Monthly - Tuesday"/>
    <s v="Same Month Expiry"/>
    <n v="1916768"/>
    <n v="4007.9853"/>
    <n v="34.1548"/>
  </r>
  <r>
    <s v="02-Dec-2025"/>
    <x v="1"/>
    <s v="Week1-Dec-2025"/>
    <x v="3"/>
    <s v="Q3FY26"/>
    <s v="27-Jan-2026"/>
    <s v="Tuesday"/>
    <s v="Monthly - Tuesday"/>
    <s v="Monthly - Tuesday"/>
    <s v="Month+1 Expiry"/>
    <n v="18854"/>
    <n v="34.3195"/>
    <n v="0.4161"/>
  </r>
  <r>
    <s v="02-Dec-2025"/>
    <x v="1"/>
    <s v="Week1-Dec-2025"/>
    <x v="3"/>
    <s v="Q3FY26"/>
    <s v="24-Feb-2026"/>
    <s v="Tuesday"/>
    <s v="Monthly - Tuesday"/>
    <s v="Monthly - Tuesday"/>
    <s v="Month+2 Expiry"/>
    <n v="971"/>
    <n v="1.7424"/>
    <n v="0.0222"/>
  </r>
  <r>
    <s v="02-Dec-2025"/>
    <x v="1"/>
    <s v="Week1-Dec-2025"/>
    <x v="3"/>
    <s v="Q3FY26"/>
    <s v="31-Mar-2026"/>
    <s v="Tuesday"/>
    <s v="Monthly - Tuesday"/>
    <s v="Monthly - Tuesday"/>
    <s v="Month+3 Expiry"/>
    <n v="1683"/>
    <n v="3.5467"/>
    <n v="0.0689"/>
  </r>
  <r>
    <s v="02-Dec-2025"/>
    <x v="1"/>
    <s v="Week1-Dec-2025"/>
    <x v="3"/>
    <s v="Q3FY26"/>
    <s v="30-Jun-2026"/>
    <s v="Tuesday"/>
    <s v="Monthly - Tuesday"/>
    <s v="Monthly - Tuesday"/>
    <s v="Month+6 Expiry"/>
    <n v="0"/>
    <n v="0"/>
    <n v="0"/>
  </r>
  <r>
    <s v="02-Dec-2025"/>
    <x v="1"/>
    <s v="Week1-Dec-2025"/>
    <x v="3"/>
    <s v="Q3FY26"/>
    <s v="29-Sep-2026"/>
    <s v="Tuesday"/>
    <s v="Monthly - Tuesday"/>
    <s v="Monthly - Tuesday"/>
    <s v="Month+9 Expiry"/>
    <n v="0"/>
    <n v="0"/>
    <n v="0"/>
  </r>
  <r>
    <s v="03-Dec-2025"/>
    <x v="2"/>
    <s v="Week1-Dec-2025"/>
    <x v="3"/>
    <s v="Q3FY26"/>
    <s v="30-Dec-2025"/>
    <s v="Tuesday"/>
    <s v="Monthly - Tuesday"/>
    <s v="Monthly - Tuesday"/>
    <s v="Same Month Expiry"/>
    <n v="2431052"/>
    <n v="5070.0182"/>
    <n v="40.2407"/>
  </r>
  <r>
    <s v="03-Dec-2025"/>
    <x v="2"/>
    <s v="Week1-Dec-2025"/>
    <x v="3"/>
    <s v="Q3FY26"/>
    <s v="27-Jan-2026"/>
    <s v="Tuesday"/>
    <s v="Monthly - Tuesday"/>
    <s v="Monthly - Tuesday"/>
    <s v="Month+1 Expiry"/>
    <n v="29815"/>
    <n v="54.0005"/>
    <n v="0.549"/>
  </r>
  <r>
    <s v="03-Dec-2025"/>
    <x v="2"/>
    <s v="Week1-Dec-2025"/>
    <x v="3"/>
    <s v="Q3FY26"/>
    <s v="24-Feb-2026"/>
    <s v="Tuesday"/>
    <s v="Monthly - Tuesday"/>
    <s v="Monthly - Tuesday"/>
    <s v="Month+2 Expiry"/>
    <n v="1192"/>
    <n v="2.1194"/>
    <n v="0.024"/>
  </r>
  <r>
    <s v="03-Dec-2025"/>
    <x v="2"/>
    <s v="Week1-Dec-2025"/>
    <x v="3"/>
    <s v="Q3FY26"/>
    <s v="31-Mar-2026"/>
    <s v="Tuesday"/>
    <s v="Monthly - Tuesday"/>
    <s v="Monthly - Tuesday"/>
    <s v="Month+3 Expiry"/>
    <n v="2903"/>
    <n v="6.0395"/>
    <n v="0.0977"/>
  </r>
  <r>
    <s v="03-Dec-2025"/>
    <x v="2"/>
    <s v="Week1-Dec-2025"/>
    <x v="3"/>
    <s v="Q3FY26"/>
    <s v="30-Jun-2026"/>
    <s v="Tuesday"/>
    <s v="Monthly - Tuesday"/>
    <s v="Monthly - Tuesday"/>
    <s v="Month+6 Expiry"/>
    <n v="0"/>
    <n v="0"/>
    <n v="0"/>
  </r>
  <r>
    <s v="03-Dec-2025"/>
    <x v="2"/>
    <s v="Week1-Dec-2025"/>
    <x v="3"/>
    <s v="Q3FY26"/>
    <s v="29-Sep-2026"/>
    <s v="Tuesday"/>
    <s v="Monthly - Tuesday"/>
    <s v="Monthly - Tuesday"/>
    <s v="Month+9 Expiry"/>
    <n v="0"/>
    <n v="0"/>
    <n v="0"/>
  </r>
  <r>
    <s v="04-Dec-2025"/>
    <x v="3"/>
    <s v="Week1-Dec-2025"/>
    <x v="3"/>
    <s v="Q3FY26"/>
    <s v="30-Dec-2025"/>
    <s v="Tuesday"/>
    <s v="Monthly - Tuesday"/>
    <s v="Monthly - Tuesday"/>
    <s v="Same Month Expiry"/>
    <n v="1959814"/>
    <n v="4089.3638"/>
    <n v="32.9776"/>
  </r>
  <r>
    <s v="04-Dec-2025"/>
    <x v="3"/>
    <s v="Week1-Dec-2025"/>
    <x v="3"/>
    <s v="Q3FY26"/>
    <s v="27-Jan-2026"/>
    <s v="Tuesday"/>
    <s v="Monthly - Tuesday"/>
    <s v="Monthly - Tuesday"/>
    <s v="Month+1 Expiry"/>
    <n v="16349"/>
    <n v="29.5948"/>
    <n v="0.3239"/>
  </r>
  <r>
    <s v="04-Dec-2025"/>
    <x v="3"/>
    <s v="Week1-Dec-2025"/>
    <x v="3"/>
    <s v="Q3FY26"/>
    <s v="24-Feb-2026"/>
    <s v="Tuesday"/>
    <s v="Monthly - Tuesday"/>
    <s v="Monthly - Tuesday"/>
    <s v="Month+2 Expiry"/>
    <n v="1569"/>
    <n v="2.8635"/>
    <n v="0.0336"/>
  </r>
  <r>
    <s v="04-Dec-2025"/>
    <x v="3"/>
    <s v="Week1-Dec-2025"/>
    <x v="3"/>
    <s v="Q3FY26"/>
    <s v="31-Mar-2026"/>
    <s v="Tuesday"/>
    <s v="Monthly - Tuesday"/>
    <s v="Monthly - Tuesday"/>
    <s v="Month+3 Expiry"/>
    <n v="1050"/>
    <n v="2.188"/>
    <n v="0.0351"/>
  </r>
  <r>
    <s v="04-Dec-2025"/>
    <x v="3"/>
    <s v="Week1-Dec-2025"/>
    <x v="3"/>
    <s v="Q3FY26"/>
    <s v="30-Jun-2026"/>
    <s v="Tuesday"/>
    <s v="Monthly - Tuesday"/>
    <s v="Monthly - Tuesday"/>
    <s v="Month+6 Expiry"/>
    <n v="0"/>
    <n v="0"/>
    <n v="0"/>
  </r>
  <r>
    <s v="04-Dec-2025"/>
    <x v="3"/>
    <s v="Week1-Dec-2025"/>
    <x v="3"/>
    <s v="Q3FY26"/>
    <s v="29-Sep-2026"/>
    <s v="Tuesday"/>
    <s v="Monthly - Tuesday"/>
    <s v="Monthly - Tuesday"/>
    <s v="Month+9 Expiry"/>
    <n v="0"/>
    <n v="0"/>
    <n v="0"/>
  </r>
  <r>
    <s v="05-Dec-2025"/>
    <x v="4"/>
    <s v="Week1-Dec-2025"/>
    <x v="3"/>
    <s v="Q3FY26"/>
    <s v="30-Dec-2025"/>
    <s v="Tuesday"/>
    <s v="Monthly - Tuesday"/>
    <s v="Monthly - Tuesday"/>
    <s v="Same Month Expiry"/>
    <n v="3058190"/>
    <n v="6396.9837"/>
    <n v="46.9468"/>
  </r>
  <r>
    <s v="05-Dec-2025"/>
    <x v="4"/>
    <s v="Week1-Dec-2025"/>
    <x v="3"/>
    <s v="Q3FY26"/>
    <s v="27-Jan-2026"/>
    <s v="Tuesday"/>
    <s v="Monthly - Tuesday"/>
    <s v="Monthly - Tuesday"/>
    <s v="Month+1 Expiry"/>
    <n v="53615"/>
    <n v="95.95189999999999"/>
    <n v="0.9323"/>
  </r>
  <r>
    <s v="05-Dec-2025"/>
    <x v="4"/>
    <s v="Week1-Dec-2025"/>
    <x v="3"/>
    <s v="Q3FY26"/>
    <s v="24-Feb-2026"/>
    <s v="Tuesday"/>
    <s v="Monthly - Tuesday"/>
    <s v="Monthly - Tuesday"/>
    <s v="Month+2 Expiry"/>
    <n v="1466"/>
    <n v="2.6098"/>
    <n v="0.0268"/>
  </r>
  <r>
    <s v="05-Dec-2025"/>
    <x v="4"/>
    <s v="Week1-Dec-2025"/>
    <x v="3"/>
    <s v="Q3FY26"/>
    <s v="31-Mar-2026"/>
    <s v="Tuesday"/>
    <s v="Monthly - Tuesday"/>
    <s v="Monthly - Tuesday"/>
    <s v="Month+3 Expiry"/>
    <n v="1893"/>
    <n v="3.9146"/>
    <n v="0.0492"/>
  </r>
  <r>
    <s v="05-Dec-2025"/>
    <x v="4"/>
    <s v="Week1-Dec-2025"/>
    <x v="3"/>
    <s v="Q3FY26"/>
    <s v="30-Jun-2026"/>
    <s v="Tuesday"/>
    <s v="Monthly - Tuesday"/>
    <s v="Monthly - Tuesday"/>
    <s v="Month+6 Expiry"/>
    <n v="0"/>
    <n v="0"/>
    <n v="0"/>
  </r>
  <r>
    <s v="05-Dec-2025"/>
    <x v="4"/>
    <s v="Week1-Dec-2025"/>
    <x v="3"/>
    <s v="Q3FY26"/>
    <s v="29-Sep-2026"/>
    <s v="Tuesday"/>
    <s v="Monthly - Tuesday"/>
    <s v="Monthly - Tuesday"/>
    <s v="Month+9 Expiry"/>
    <n v="0"/>
    <n v="0"/>
    <n v="0"/>
  </r>
  <r>
    <s v="08-Dec-2025"/>
    <x v="0"/>
    <s v="Week2-Dec-2025"/>
    <x v="3"/>
    <s v="Q3FY26"/>
    <s v="30-Dec-2025"/>
    <s v="Tuesday"/>
    <s v="Monthly - Tuesday"/>
    <s v="Monthly - Tuesday"/>
    <s v="Same Month Expiry"/>
    <n v="2909142"/>
    <n v="6061.2431"/>
    <n v="43.1431"/>
  </r>
  <r>
    <s v="08-Dec-2025"/>
    <x v="0"/>
    <s v="Week2-Dec-2025"/>
    <x v="3"/>
    <s v="Q3FY26"/>
    <s v="27-Jan-2026"/>
    <s v="Tuesday"/>
    <s v="Monthly - Tuesday"/>
    <s v="Monthly - Tuesday"/>
    <s v="Month+1 Expiry"/>
    <n v="58358"/>
    <n v="105.8731"/>
    <n v="1.34"/>
  </r>
  <r>
    <s v="08-Dec-2025"/>
    <x v="0"/>
    <s v="Week2-Dec-2025"/>
    <x v="3"/>
    <s v="Q3FY26"/>
    <s v="24-Feb-2026"/>
    <s v="Tuesday"/>
    <s v="Monthly - Tuesday"/>
    <s v="Monthly - Tuesday"/>
    <s v="Month+2 Expiry"/>
    <n v="2710"/>
    <n v="4.8841"/>
    <n v="0.0525"/>
  </r>
  <r>
    <s v="08-Dec-2025"/>
    <x v="0"/>
    <s v="Week2-Dec-2025"/>
    <x v="3"/>
    <s v="Q3FY26"/>
    <s v="31-Mar-2026"/>
    <s v="Tuesday"/>
    <s v="Monthly - Tuesday"/>
    <s v="Monthly - Tuesday"/>
    <s v="Month+3 Expiry"/>
    <n v="1565"/>
    <n v="3.2873"/>
    <n v="0.0564"/>
  </r>
  <r>
    <s v="08-Dec-2025"/>
    <x v="0"/>
    <s v="Week2-Dec-2025"/>
    <x v="3"/>
    <s v="Q3FY26"/>
    <s v="30-Jun-2026"/>
    <s v="Tuesday"/>
    <s v="Monthly - Tuesday"/>
    <s v="Monthly - Tuesday"/>
    <s v="Month+6 Expiry"/>
    <n v="0"/>
    <n v="0"/>
    <n v="0"/>
  </r>
  <r>
    <s v="08-Dec-2025"/>
    <x v="0"/>
    <s v="Week2-Dec-2025"/>
    <x v="3"/>
    <s v="Q3FY26"/>
    <s v="29-Sep-2026"/>
    <s v="Tuesday"/>
    <s v="Monthly - Tuesday"/>
    <s v="Monthly - Tuesday"/>
    <s v="Month+9 Expiry"/>
    <n v="0"/>
    <n v="0"/>
    <n v="0"/>
  </r>
  <r>
    <s v="09-Dec-2025"/>
    <x v="1"/>
    <s v="Week2-Dec-2025"/>
    <x v="3"/>
    <s v="Q3FY26"/>
    <s v="30-Dec-2025"/>
    <s v="Tuesday"/>
    <s v="Monthly - Tuesday"/>
    <s v="Monthly - Tuesday"/>
    <s v="Same Month Expiry"/>
    <n v="2848895"/>
    <n v="5918.9615"/>
    <n v="41.0704"/>
  </r>
  <r>
    <s v="09-Dec-2025"/>
    <x v="1"/>
    <s v="Week2-Dec-2025"/>
    <x v="3"/>
    <s v="Q3FY26"/>
    <s v="27-Jan-2026"/>
    <s v="Tuesday"/>
    <s v="Monthly - Tuesday"/>
    <s v="Monthly - Tuesday"/>
    <s v="Month+1 Expiry"/>
    <n v="69626"/>
    <n v="125.8603"/>
    <n v="1.7098"/>
  </r>
  <r>
    <s v="09-Dec-2025"/>
    <x v="1"/>
    <s v="Week2-Dec-2025"/>
    <x v="3"/>
    <s v="Q3FY26"/>
    <s v="24-Feb-2026"/>
    <s v="Tuesday"/>
    <s v="Monthly - Tuesday"/>
    <s v="Monthly - Tuesday"/>
    <s v="Month+2 Expiry"/>
    <n v="2255"/>
    <n v="3.9959"/>
    <n v="0.0418"/>
  </r>
  <r>
    <s v="09-Dec-2025"/>
    <x v="1"/>
    <s v="Week2-Dec-2025"/>
    <x v="3"/>
    <s v="Q3FY26"/>
    <s v="31-Mar-2026"/>
    <s v="Tuesday"/>
    <s v="Monthly - Tuesday"/>
    <s v="Monthly - Tuesday"/>
    <s v="Month+3 Expiry"/>
    <n v="1983"/>
    <n v="4.1555"/>
    <n v="0.0868"/>
  </r>
  <r>
    <s v="09-Dec-2025"/>
    <x v="1"/>
    <s v="Week2-Dec-2025"/>
    <x v="3"/>
    <s v="Q3FY26"/>
    <s v="30-Jun-2026"/>
    <s v="Tuesday"/>
    <s v="Monthly - Tuesday"/>
    <s v="Monthly - Tuesday"/>
    <s v="Month+6 Expiry"/>
    <n v="0"/>
    <n v="0"/>
    <n v="0"/>
  </r>
  <r>
    <s v="09-Dec-2025"/>
    <x v="1"/>
    <s v="Week2-Dec-2025"/>
    <x v="3"/>
    <s v="Q3FY26"/>
    <s v="29-Sep-2026"/>
    <s v="Tuesday"/>
    <s v="Monthly - Tuesday"/>
    <s v="Monthly - Tuesday"/>
    <s v="Month+9 Expiry"/>
    <n v="0"/>
    <n v="0"/>
    <n v="0"/>
  </r>
  <r>
    <s v="10-Dec-2025"/>
    <x v="2"/>
    <s v="Week2-Dec-2025"/>
    <x v="3"/>
    <s v="Q3FY26"/>
    <s v="30-Dec-2025"/>
    <s v="Tuesday"/>
    <s v="Monthly - Tuesday"/>
    <s v="Monthly - Tuesday"/>
    <s v="Same Month Expiry"/>
    <n v="2906344"/>
    <n v="6034.8237"/>
    <n v="41.3086"/>
  </r>
  <r>
    <s v="10-Dec-2025"/>
    <x v="2"/>
    <s v="Week2-Dec-2025"/>
    <x v="3"/>
    <s v="Q3FY26"/>
    <s v="27-Jan-2026"/>
    <s v="Tuesday"/>
    <s v="Monthly - Tuesday"/>
    <s v="Monthly - Tuesday"/>
    <s v="Month+1 Expiry"/>
    <n v="57094"/>
    <n v="103.0858"/>
    <n v="1.1903"/>
  </r>
  <r>
    <s v="10-Dec-2025"/>
    <x v="2"/>
    <s v="Week2-Dec-2025"/>
    <x v="3"/>
    <s v="Q3FY26"/>
    <s v="24-Feb-2026"/>
    <s v="Tuesday"/>
    <s v="Monthly - Tuesday"/>
    <s v="Monthly - Tuesday"/>
    <s v="Month+2 Expiry"/>
    <n v="3361"/>
    <n v="6.0274"/>
    <n v="0.0738"/>
  </r>
  <r>
    <s v="10-Dec-2025"/>
    <x v="2"/>
    <s v="Week2-Dec-2025"/>
    <x v="3"/>
    <s v="Q3FY26"/>
    <s v="31-Mar-2026"/>
    <s v="Tuesday"/>
    <s v="Monthly - Tuesday"/>
    <s v="Monthly - Tuesday"/>
    <s v="Month+3 Expiry"/>
    <n v="2156"/>
    <n v="4.4219"/>
    <n v="0.0612"/>
  </r>
  <r>
    <s v="10-Dec-2025"/>
    <x v="2"/>
    <s v="Week2-Dec-2025"/>
    <x v="3"/>
    <s v="Q3FY26"/>
    <s v="30-Jun-2026"/>
    <s v="Tuesday"/>
    <s v="Monthly - Tuesday"/>
    <s v="Monthly - Tuesday"/>
    <s v="Month+6 Expiry"/>
    <n v="0"/>
    <n v="0"/>
    <n v="0"/>
  </r>
  <r>
    <s v="10-Dec-2025"/>
    <x v="2"/>
    <s v="Week2-Dec-2025"/>
    <x v="3"/>
    <s v="Q3FY26"/>
    <s v="29-Sep-2026"/>
    <s v="Tuesday"/>
    <s v="Monthly - Tuesday"/>
    <s v="Monthly - Tuesday"/>
    <s v="Month+9 Expiry"/>
    <n v="0"/>
    <n v="0"/>
    <n v="0"/>
  </r>
  <r>
    <s v="11-Dec-2025"/>
    <x v="3"/>
    <s v="Week2-Dec-2025"/>
    <x v="3"/>
    <s v="Q3FY26"/>
    <s v="30-Dec-2025"/>
    <s v="Tuesday"/>
    <s v="Monthly - Tuesday"/>
    <s v="Monthly - Tuesday"/>
    <s v="Same Month Expiry"/>
    <n v="3034560"/>
    <n v="6294.1981"/>
    <n v="41.1379"/>
  </r>
  <r>
    <s v="11-Dec-2025"/>
    <x v="3"/>
    <s v="Week2-Dec-2025"/>
    <x v="3"/>
    <s v="Q3FY26"/>
    <s v="27-Jan-2026"/>
    <s v="Tuesday"/>
    <s v="Monthly - Tuesday"/>
    <s v="Monthly - Tuesday"/>
    <s v="Month+1 Expiry"/>
    <n v="72786"/>
    <n v="131.5861"/>
    <n v="1.6396"/>
  </r>
  <r>
    <s v="11-Dec-2025"/>
    <x v="3"/>
    <s v="Week2-Dec-2025"/>
    <x v="3"/>
    <s v="Q3FY26"/>
    <s v="24-Feb-2026"/>
    <s v="Tuesday"/>
    <s v="Monthly - Tuesday"/>
    <s v="Monthly - Tuesday"/>
    <s v="Month+2 Expiry"/>
    <n v="3137"/>
    <n v="5.6498"/>
    <n v="0.0599"/>
  </r>
  <r>
    <s v="11-Dec-2025"/>
    <x v="3"/>
    <s v="Week2-Dec-2025"/>
    <x v="3"/>
    <s v="Q3FY26"/>
    <s v="31-Mar-2026"/>
    <s v="Tuesday"/>
    <s v="Monthly - Tuesday"/>
    <s v="Monthly - Tuesday"/>
    <s v="Month+3 Expiry"/>
    <n v="1024"/>
    <n v="2.14"/>
    <n v="0.0353"/>
  </r>
  <r>
    <s v="11-Dec-2025"/>
    <x v="3"/>
    <s v="Week2-Dec-2025"/>
    <x v="3"/>
    <s v="Q3FY26"/>
    <s v="30-Jun-2026"/>
    <s v="Tuesday"/>
    <s v="Monthly - Tuesday"/>
    <s v="Monthly - Tuesday"/>
    <s v="Month+6 Expiry"/>
    <n v="0"/>
    <n v="0"/>
    <n v="0"/>
  </r>
  <r>
    <s v="11-Dec-2025"/>
    <x v="3"/>
    <s v="Week2-Dec-2025"/>
    <x v="3"/>
    <s v="Q3FY26"/>
    <s v="29-Sep-2026"/>
    <s v="Tuesday"/>
    <s v="Monthly - Tuesday"/>
    <s v="Monthly - Tuesday"/>
    <s v="Month+9 Expiry"/>
    <n v="0"/>
    <n v="0"/>
    <n v="0"/>
  </r>
  <r>
    <s v="12-Dec-2025"/>
    <x v="4"/>
    <s v="Week2-Dec-2025"/>
    <x v="3"/>
    <s v="Q3FY26"/>
    <s v="30-Dec-2025"/>
    <s v="Tuesday"/>
    <s v="Monthly - Tuesday"/>
    <s v="Monthly - Tuesday"/>
    <s v="Same Month Expiry"/>
    <n v="2840229"/>
    <n v="5898.0156"/>
    <n v="36.7417"/>
  </r>
  <r>
    <s v="12-Dec-2025"/>
    <x v="4"/>
    <s v="Week2-Dec-2025"/>
    <x v="3"/>
    <s v="Q3FY26"/>
    <s v="27-Jan-2026"/>
    <s v="Tuesday"/>
    <s v="Monthly - Tuesday"/>
    <s v="Monthly - Tuesday"/>
    <s v="Month+1 Expiry"/>
    <n v="56415"/>
    <n v="101.8547"/>
    <n v="1.1126"/>
  </r>
  <r>
    <s v="12-Dec-2025"/>
    <x v="4"/>
    <s v="Week2-Dec-2025"/>
    <x v="3"/>
    <s v="Q3FY26"/>
    <s v="24-Feb-2026"/>
    <s v="Tuesday"/>
    <s v="Monthly - Tuesday"/>
    <s v="Monthly - Tuesday"/>
    <s v="Month+2 Expiry"/>
    <n v="2244"/>
    <n v="4.0287"/>
    <n v="0.0414"/>
  </r>
  <r>
    <s v="12-Dec-2025"/>
    <x v="4"/>
    <s v="Week2-Dec-2025"/>
    <x v="3"/>
    <s v="Q3FY26"/>
    <s v="31-Mar-2026"/>
    <s v="Tuesday"/>
    <s v="Monthly - Tuesday"/>
    <s v="Monthly - Tuesday"/>
    <s v="Month+3 Expiry"/>
    <n v="557"/>
    <n v="1.1605"/>
    <n v="0.0194"/>
  </r>
  <r>
    <s v="12-Dec-2025"/>
    <x v="4"/>
    <s v="Week2-Dec-2025"/>
    <x v="3"/>
    <s v="Q3FY26"/>
    <s v="30-Jun-2026"/>
    <s v="Tuesday"/>
    <s v="Monthly - Tuesday"/>
    <s v="Monthly - Tuesday"/>
    <s v="Month+6 Expiry"/>
    <n v="0"/>
    <n v="0"/>
    <n v="0"/>
  </r>
  <r>
    <s v="12-Dec-2025"/>
    <x v="4"/>
    <s v="Week2-Dec-2025"/>
    <x v="3"/>
    <s v="Q3FY26"/>
    <s v="29-Sep-2026"/>
    <s v="Tuesday"/>
    <s v="Monthly - Tuesday"/>
    <s v="Monthly - Tuesday"/>
    <s v="Month+9 Expiry"/>
    <n v="0"/>
    <n v="0"/>
    <n v="0"/>
  </r>
  <r>
    <s v="15-Dec-2025"/>
    <x v="0"/>
    <s v="Week3-Dec-2025"/>
    <x v="3"/>
    <s v="Q3FY26"/>
    <s v="30-Dec-2025"/>
    <s v="Tuesday"/>
    <s v="Monthly - Tuesday"/>
    <s v="Monthly - Tuesday"/>
    <s v="Same Month Expiry"/>
    <n v="2655527"/>
    <n v="5520.0561"/>
    <n v="31.8478"/>
  </r>
  <r>
    <s v="15-Dec-2025"/>
    <x v="0"/>
    <s v="Week3-Dec-2025"/>
    <x v="3"/>
    <s v="Q3FY26"/>
    <s v="27-Jan-2026"/>
    <s v="Tuesday"/>
    <s v="Monthly - Tuesday"/>
    <s v="Monthly - Tuesday"/>
    <s v="Month+1 Expiry"/>
    <n v="59568"/>
    <n v="107.6115"/>
    <n v="1.1172"/>
  </r>
  <r>
    <s v="15-Dec-2025"/>
    <x v="0"/>
    <s v="Week3-Dec-2025"/>
    <x v="3"/>
    <s v="Q3FY26"/>
    <s v="24-Feb-2026"/>
    <s v="Tuesday"/>
    <s v="Monthly - Tuesday"/>
    <s v="Monthly - Tuesday"/>
    <s v="Month+2 Expiry"/>
    <n v="2465"/>
    <n v="4.4354"/>
    <n v="0.0469"/>
  </r>
  <r>
    <s v="15-Dec-2025"/>
    <x v="0"/>
    <s v="Week3-Dec-2025"/>
    <x v="3"/>
    <s v="Q3FY26"/>
    <s v="31-Mar-2026"/>
    <s v="Tuesday"/>
    <s v="Monthly - Tuesday"/>
    <s v="Monthly - Tuesday"/>
    <s v="Month+3 Expiry"/>
    <n v="634"/>
    <n v="1.3226"/>
    <n v="0.0211"/>
  </r>
  <r>
    <s v="15-Dec-2025"/>
    <x v="0"/>
    <s v="Week3-Dec-2025"/>
    <x v="3"/>
    <s v="Q3FY26"/>
    <s v="30-Jun-2026"/>
    <s v="Tuesday"/>
    <s v="Monthly - Tuesday"/>
    <s v="Monthly - Tuesday"/>
    <s v="Month+6 Expiry"/>
    <n v="0"/>
    <n v="0"/>
    <n v="0"/>
  </r>
  <r>
    <s v="15-Dec-2025"/>
    <x v="0"/>
    <s v="Week3-Dec-2025"/>
    <x v="3"/>
    <s v="Q3FY26"/>
    <s v="29-Sep-2026"/>
    <s v="Tuesday"/>
    <s v="Monthly - Tuesday"/>
    <s v="Monthly - Tuesday"/>
    <s v="Month+9 Expiry"/>
    <n v="0"/>
    <n v="0"/>
    <n v="0"/>
  </r>
  <r>
    <s v="16-Dec-2025"/>
    <x v="1"/>
    <s v="Week3-Dec-2025"/>
    <x v="3"/>
    <s v="Q3FY26"/>
    <s v="30-Dec-2025"/>
    <s v="Tuesday"/>
    <s v="Monthly - Tuesday"/>
    <s v="Monthly - Tuesday"/>
    <s v="Same Month Expiry"/>
    <n v="2787074"/>
    <n v="5781.1747"/>
    <n v="32.6153"/>
  </r>
  <r>
    <s v="16-Dec-2025"/>
    <x v="1"/>
    <s v="Week3-Dec-2025"/>
    <x v="3"/>
    <s v="Q3FY26"/>
    <s v="27-Jan-2026"/>
    <s v="Tuesday"/>
    <s v="Monthly - Tuesday"/>
    <s v="Monthly - Tuesday"/>
    <s v="Month+1 Expiry"/>
    <n v="57880"/>
    <n v="104.3718"/>
    <n v="1.1118"/>
  </r>
  <r>
    <s v="16-Dec-2025"/>
    <x v="1"/>
    <s v="Week3-Dec-2025"/>
    <x v="3"/>
    <s v="Q3FY26"/>
    <s v="24-Feb-2026"/>
    <s v="Tuesday"/>
    <s v="Monthly - Tuesday"/>
    <s v="Monthly - Tuesday"/>
    <s v="Month+2 Expiry"/>
    <n v="3458"/>
    <n v="6.2468"/>
    <n v="0.0663"/>
  </r>
  <r>
    <s v="16-Dec-2025"/>
    <x v="1"/>
    <s v="Week3-Dec-2025"/>
    <x v="3"/>
    <s v="Q3FY26"/>
    <s v="31-Mar-2026"/>
    <s v="Tuesday"/>
    <s v="Monthly - Tuesday"/>
    <s v="Monthly - Tuesday"/>
    <s v="Month+3 Expiry"/>
    <n v="1009"/>
    <n v="2.0733"/>
    <n v="0.0255"/>
  </r>
  <r>
    <s v="16-Dec-2025"/>
    <x v="1"/>
    <s v="Week3-Dec-2025"/>
    <x v="3"/>
    <s v="Q3FY26"/>
    <s v="30-Jun-2026"/>
    <s v="Tuesday"/>
    <s v="Monthly - Tuesday"/>
    <s v="Monthly - Tuesday"/>
    <s v="Month+6 Expiry"/>
    <n v="0"/>
    <n v="0"/>
    <n v="0"/>
  </r>
  <r>
    <s v="16-Dec-2025"/>
    <x v="1"/>
    <s v="Week3-Dec-2025"/>
    <x v="3"/>
    <s v="Q3FY26"/>
    <s v="29-Sep-2026"/>
    <s v="Tuesday"/>
    <s v="Monthly - Tuesday"/>
    <s v="Monthly - Tuesday"/>
    <s v="Month+9 Expiry"/>
    <n v="0"/>
    <n v="0"/>
    <n v="0"/>
  </r>
  <r>
    <s v="17-Dec-2025"/>
    <x v="2"/>
    <s v="Week3-Dec-2025"/>
    <x v="3"/>
    <s v="Q3FY26"/>
    <s v="30-Dec-2025"/>
    <s v="Tuesday"/>
    <s v="Monthly - Tuesday"/>
    <s v="Monthly - Tuesday"/>
    <s v="Same Month Expiry"/>
    <n v="3053525"/>
    <n v="6308.2953"/>
    <n v="33.4114"/>
  </r>
  <r>
    <s v="17-Dec-2025"/>
    <x v="2"/>
    <s v="Week3-Dec-2025"/>
    <x v="3"/>
    <s v="Q3FY26"/>
    <s v="27-Jan-2026"/>
    <s v="Tuesday"/>
    <s v="Monthly - Tuesday"/>
    <s v="Monthly - Tuesday"/>
    <s v="Month+1 Expiry"/>
    <n v="80732"/>
    <n v="145.3079"/>
    <n v="1.6157"/>
  </r>
  <r>
    <s v="17-Dec-2025"/>
    <x v="2"/>
    <s v="Week3-Dec-2025"/>
    <x v="3"/>
    <s v="Q3FY26"/>
    <s v="24-Feb-2026"/>
    <s v="Tuesday"/>
    <s v="Monthly - Tuesday"/>
    <s v="Monthly - Tuesday"/>
    <s v="Month+2 Expiry"/>
    <n v="3475"/>
    <n v="6.2903"/>
    <n v="0.07539999999999999"/>
  </r>
  <r>
    <s v="17-Dec-2025"/>
    <x v="2"/>
    <s v="Week3-Dec-2025"/>
    <x v="3"/>
    <s v="Q3FY26"/>
    <s v="31-Mar-2026"/>
    <s v="Tuesday"/>
    <s v="Monthly - Tuesday"/>
    <s v="Monthly - Tuesday"/>
    <s v="Month+3 Expiry"/>
    <n v="678"/>
    <n v="1.4289"/>
    <n v="0.0279"/>
  </r>
  <r>
    <s v="17-Dec-2025"/>
    <x v="2"/>
    <s v="Week3-Dec-2025"/>
    <x v="3"/>
    <s v="Q3FY26"/>
    <s v="30-Jun-2026"/>
    <s v="Tuesday"/>
    <s v="Monthly - Tuesday"/>
    <s v="Monthly - Tuesday"/>
    <s v="Month+6 Expiry"/>
    <n v="0"/>
    <n v="0"/>
    <n v="0"/>
  </r>
  <r>
    <s v="17-Dec-2025"/>
    <x v="2"/>
    <s v="Week3-Dec-2025"/>
    <x v="3"/>
    <s v="Q3FY26"/>
    <s v="29-Sep-2026"/>
    <s v="Tuesday"/>
    <s v="Monthly - Tuesday"/>
    <s v="Monthly - Tuesday"/>
    <s v="Month+9 Expiry"/>
    <n v="0"/>
    <n v="0"/>
    <n v="0"/>
  </r>
  <r>
    <s v="18-Dec-2025"/>
    <x v="3"/>
    <s v="Week3-Dec-2025"/>
    <x v="3"/>
    <s v="Q3FY26"/>
    <s v="30-Dec-2025"/>
    <s v="Tuesday"/>
    <s v="Monthly - Tuesday"/>
    <s v="Monthly - Tuesday"/>
    <s v="Same Month Expiry"/>
    <n v="3644058"/>
    <n v="7524.2513"/>
    <n v="37.3143"/>
  </r>
  <r>
    <s v="18-Dec-2025"/>
    <x v="3"/>
    <s v="Week3-Dec-2025"/>
    <x v="3"/>
    <s v="Q3FY26"/>
    <s v="27-Jan-2026"/>
    <s v="Tuesday"/>
    <s v="Monthly - Tuesday"/>
    <s v="Monthly - Tuesday"/>
    <s v="Month+1 Expiry"/>
    <n v="130966"/>
    <n v="234.5682"/>
    <n v="2.3968"/>
  </r>
  <r>
    <s v="18-Dec-2025"/>
    <x v="3"/>
    <s v="Week3-Dec-2025"/>
    <x v="3"/>
    <s v="Q3FY26"/>
    <s v="24-Feb-2026"/>
    <s v="Tuesday"/>
    <s v="Monthly - Tuesday"/>
    <s v="Monthly - Tuesday"/>
    <s v="Month+2 Expiry"/>
    <n v="3173"/>
    <n v="5.6935"/>
    <n v="0.0636"/>
  </r>
  <r>
    <s v="18-Dec-2025"/>
    <x v="3"/>
    <s v="Week3-Dec-2025"/>
    <x v="3"/>
    <s v="Q3FY26"/>
    <s v="31-Mar-2026"/>
    <s v="Tuesday"/>
    <s v="Monthly - Tuesday"/>
    <s v="Monthly - Tuesday"/>
    <s v="Month+3 Expiry"/>
    <n v="779"/>
    <n v="1.6266"/>
    <n v="0.0257"/>
  </r>
  <r>
    <s v="18-Dec-2025"/>
    <x v="3"/>
    <s v="Week3-Dec-2025"/>
    <x v="3"/>
    <s v="Q3FY26"/>
    <s v="30-Jun-2026"/>
    <s v="Tuesday"/>
    <s v="Monthly - Tuesday"/>
    <s v="Monthly - Tuesday"/>
    <s v="Month+6 Expiry"/>
    <n v="0"/>
    <n v="0"/>
    <n v="0"/>
  </r>
  <r>
    <s v="18-Dec-2025"/>
    <x v="3"/>
    <s v="Week3-Dec-2025"/>
    <x v="3"/>
    <s v="Q3FY26"/>
    <s v="29-Sep-2026"/>
    <s v="Tuesday"/>
    <s v="Monthly - Tuesday"/>
    <s v="Monthly - Tuesday"/>
    <s v="Month+9 Expiry"/>
    <n v="0"/>
    <n v="0"/>
    <n v="0"/>
  </r>
  <r>
    <s v="19-Dec-2025"/>
    <x v="4"/>
    <s v="Week3-Dec-2025"/>
    <x v="3"/>
    <s v="Q3FY26"/>
    <s v="30-Dec-2025"/>
    <s v="Tuesday"/>
    <s v="Monthly - Tuesday"/>
    <s v="Monthly - Tuesday"/>
    <s v="Same Month Expiry"/>
    <n v="3605550"/>
    <n v="7427.5734"/>
    <n v="34.7288"/>
  </r>
  <r>
    <s v="19-Dec-2025"/>
    <x v="4"/>
    <s v="Week3-Dec-2025"/>
    <x v="3"/>
    <s v="Q3FY26"/>
    <s v="27-Jan-2026"/>
    <s v="Tuesday"/>
    <s v="Monthly - Tuesday"/>
    <s v="Monthly - Tuesday"/>
    <s v="Month+1 Expiry"/>
    <n v="102550"/>
    <n v="183.857"/>
    <n v="1.8372"/>
  </r>
  <r>
    <s v="19-Dec-2025"/>
    <x v="4"/>
    <s v="Week3-Dec-2025"/>
    <x v="3"/>
    <s v="Q3FY26"/>
    <s v="24-Feb-2026"/>
    <s v="Tuesday"/>
    <s v="Monthly - Tuesday"/>
    <s v="Monthly - Tuesday"/>
    <s v="Month+2 Expiry"/>
    <n v="2940"/>
    <n v="5.2924"/>
    <n v="0.0561"/>
  </r>
  <r>
    <s v="19-Dec-2025"/>
    <x v="4"/>
    <s v="Week3-Dec-2025"/>
    <x v="3"/>
    <s v="Q3FY26"/>
    <s v="31-Mar-2026"/>
    <s v="Tuesday"/>
    <s v="Monthly - Tuesday"/>
    <s v="Monthly - Tuesday"/>
    <s v="Month+3 Expiry"/>
    <n v="614"/>
    <n v="1.2753"/>
    <n v="0.0203"/>
  </r>
  <r>
    <s v="19-Dec-2025"/>
    <x v="4"/>
    <s v="Week3-Dec-2025"/>
    <x v="3"/>
    <s v="Q3FY26"/>
    <s v="30-Jun-2026"/>
    <s v="Tuesday"/>
    <s v="Monthly - Tuesday"/>
    <s v="Monthly - Tuesday"/>
    <s v="Month+6 Expiry"/>
    <n v="0"/>
    <n v="0"/>
    <n v="0"/>
  </r>
  <r>
    <s v="19-Dec-2025"/>
    <x v="4"/>
    <s v="Week3-Dec-2025"/>
    <x v="3"/>
    <s v="Q3FY26"/>
    <s v="29-Sep-2026"/>
    <s v="Tuesday"/>
    <s v="Monthly - Tuesday"/>
    <s v="Monthly - Tuesday"/>
    <s v="Month+9 Expiry"/>
    <n v="0"/>
    <n v="0"/>
    <n v="0"/>
  </r>
  <r>
    <s v="22-Dec-2025"/>
    <x v="0"/>
    <s v="Week4-Dec-2025"/>
    <x v="3"/>
    <s v="Q3FY26"/>
    <s v="30-Dec-2025"/>
    <s v="Tuesday"/>
    <s v="Monthly - Tuesday"/>
    <s v="Monthly - Tuesday"/>
    <s v="Same Month Expiry"/>
    <n v="3028061"/>
    <n v="6235.5817"/>
    <n v="25.9656"/>
  </r>
  <r>
    <s v="22-Dec-2025"/>
    <x v="0"/>
    <s v="Week4-Dec-2025"/>
    <x v="3"/>
    <s v="Q3FY26"/>
    <s v="27-Jan-2026"/>
    <s v="Tuesday"/>
    <s v="Monthly - Tuesday"/>
    <s v="Monthly - Tuesday"/>
    <s v="Month+1 Expiry"/>
    <n v="114264"/>
    <n v="204.6945"/>
    <n v="1.867"/>
  </r>
  <r>
    <s v="22-Dec-2025"/>
    <x v="0"/>
    <s v="Week4-Dec-2025"/>
    <x v="3"/>
    <s v="Q3FY26"/>
    <s v="24-Feb-2026"/>
    <s v="Tuesday"/>
    <s v="Monthly - Tuesday"/>
    <s v="Monthly - Tuesday"/>
    <s v="Month+2 Expiry"/>
    <n v="4171"/>
    <n v="7.4309"/>
    <n v="0.0613"/>
  </r>
  <r>
    <s v="22-Dec-2025"/>
    <x v="0"/>
    <s v="Week4-Dec-2025"/>
    <x v="3"/>
    <s v="Q3FY26"/>
    <s v="31-Mar-2026"/>
    <s v="Tuesday"/>
    <s v="Monthly - Tuesday"/>
    <s v="Monthly - Tuesday"/>
    <s v="Month+3 Expiry"/>
    <n v="769"/>
    <n v="1.5935"/>
    <n v="0.0283"/>
  </r>
  <r>
    <s v="22-Dec-2025"/>
    <x v="0"/>
    <s v="Week4-Dec-2025"/>
    <x v="3"/>
    <s v="Q3FY26"/>
    <s v="30-Jun-2026"/>
    <s v="Tuesday"/>
    <s v="Monthly - Tuesday"/>
    <s v="Monthly - Tuesday"/>
    <s v="Month+6 Expiry"/>
    <n v="0"/>
    <n v="0"/>
    <n v="0"/>
  </r>
  <r>
    <s v="22-Dec-2025"/>
    <x v="0"/>
    <s v="Week4-Dec-2025"/>
    <x v="3"/>
    <s v="Q3FY26"/>
    <s v="29-Sep-2026"/>
    <s v="Tuesday"/>
    <s v="Monthly - Tuesday"/>
    <s v="Monthly - Tuesday"/>
    <s v="Month+9 Expiry"/>
    <n v="0"/>
    <n v="0"/>
    <n v="0"/>
  </r>
  <r>
    <s v="23-Dec-2025"/>
    <x v="1"/>
    <s v="Week4-Dec-2025"/>
    <x v="3"/>
    <s v="Q3FY26"/>
    <s v="30-Dec-2025"/>
    <s v="Tuesday"/>
    <s v="Monthly - Tuesday"/>
    <s v="Monthly - Tuesday"/>
    <s v="Same Month Expiry"/>
    <n v="3342654"/>
    <n v="6890.1032"/>
    <n v="23.2278"/>
  </r>
  <r>
    <s v="23-Dec-2025"/>
    <x v="1"/>
    <s v="Week4-Dec-2025"/>
    <x v="3"/>
    <s v="Q3FY26"/>
    <s v="27-Jan-2026"/>
    <s v="Tuesday"/>
    <s v="Monthly - Tuesday"/>
    <s v="Monthly - Tuesday"/>
    <s v="Month+1 Expiry"/>
    <n v="103825"/>
    <n v="186.1183"/>
    <n v="1.6578"/>
  </r>
  <r>
    <s v="23-Dec-2025"/>
    <x v="1"/>
    <s v="Week4-Dec-2025"/>
    <x v="3"/>
    <s v="Q3FY26"/>
    <s v="24-Feb-2026"/>
    <s v="Tuesday"/>
    <s v="Monthly - Tuesday"/>
    <s v="Monthly - Tuesday"/>
    <s v="Month+2 Expiry"/>
    <n v="3727"/>
    <n v="6.6414"/>
    <n v="0.06469999999999999"/>
  </r>
  <r>
    <s v="23-Dec-2025"/>
    <x v="1"/>
    <s v="Week4-Dec-2025"/>
    <x v="3"/>
    <s v="Q3FY26"/>
    <s v="31-Mar-2026"/>
    <s v="Tuesday"/>
    <s v="Monthly - Tuesday"/>
    <s v="Monthly - Tuesday"/>
    <s v="Month+3 Expiry"/>
    <n v="1528"/>
    <n v="3.1606"/>
    <n v="0.0486"/>
  </r>
  <r>
    <s v="23-Dec-2025"/>
    <x v="1"/>
    <s v="Week4-Dec-2025"/>
    <x v="3"/>
    <s v="Q3FY26"/>
    <s v="30-Jun-2026"/>
    <s v="Tuesday"/>
    <s v="Monthly - Tuesday"/>
    <s v="Monthly - Tuesday"/>
    <s v="Month+6 Expiry"/>
    <n v="0"/>
    <n v="0"/>
    <n v="0"/>
  </r>
  <r>
    <s v="23-Dec-2025"/>
    <x v="1"/>
    <s v="Week4-Dec-2025"/>
    <x v="3"/>
    <s v="Q3FY26"/>
    <s v="29-Sep-2026"/>
    <s v="Tuesday"/>
    <s v="Monthly - Tuesday"/>
    <s v="Monthly - Tuesday"/>
    <s v="Month+9 Expiry"/>
    <n v="0"/>
    <n v="0"/>
    <n v="0"/>
  </r>
  <r>
    <s v="24-Dec-2025"/>
    <x v="2"/>
    <s v="Week4-Dec-2025"/>
    <x v="3"/>
    <s v="Q3FY26"/>
    <s v="30-Dec-2025"/>
    <s v="Tuesday"/>
    <s v="Monthly - Tuesday"/>
    <s v="Monthly - Tuesday"/>
    <s v="Same Month Expiry"/>
    <n v="6051130"/>
    <n v="12460.1771"/>
    <n v="32.3745"/>
  </r>
  <r>
    <s v="24-Dec-2025"/>
    <x v="2"/>
    <s v="Week4-Dec-2025"/>
    <x v="3"/>
    <s v="Q3FY26"/>
    <s v="27-Jan-2026"/>
    <s v="Tuesday"/>
    <s v="Monthly - Tuesday"/>
    <s v="Monthly - Tuesday"/>
    <s v="Month+1 Expiry"/>
    <n v="183087"/>
    <n v="328.1066"/>
    <n v="2.9802"/>
  </r>
  <r>
    <s v="24-Dec-2025"/>
    <x v="2"/>
    <s v="Week4-Dec-2025"/>
    <x v="3"/>
    <s v="Q3FY26"/>
    <s v="24-Feb-2026"/>
    <s v="Tuesday"/>
    <s v="Monthly - Tuesday"/>
    <s v="Monthly - Tuesday"/>
    <s v="Month+2 Expiry"/>
    <n v="6487"/>
    <n v="11.6971"/>
    <n v="0.1201"/>
  </r>
  <r>
    <s v="24-Dec-2025"/>
    <x v="2"/>
    <s v="Week4-Dec-2025"/>
    <x v="3"/>
    <s v="Q3FY26"/>
    <s v="31-Mar-2026"/>
    <s v="Tuesday"/>
    <s v="Monthly - Tuesday"/>
    <s v="Monthly - Tuesday"/>
    <s v="Month+3 Expiry"/>
    <n v="1812"/>
    <n v="3.8454"/>
    <n v="0.0725"/>
  </r>
  <r>
    <s v="24-Dec-2025"/>
    <x v="2"/>
    <s v="Week4-Dec-2025"/>
    <x v="3"/>
    <s v="Q3FY26"/>
    <s v="30-Jun-2026"/>
    <s v="Tuesday"/>
    <s v="Monthly - Tuesday"/>
    <s v="Monthly - Tuesday"/>
    <s v="Month+6 Expiry"/>
    <n v="0"/>
    <n v="0"/>
    <n v="0"/>
  </r>
  <r>
    <s v="24-Dec-2025"/>
    <x v="2"/>
    <s v="Week4-Dec-2025"/>
    <x v="3"/>
    <s v="Q3FY26"/>
    <s v="29-Sep-2026"/>
    <s v="Tuesday"/>
    <s v="Monthly - Tuesday"/>
    <s v="Monthly - Tuesday"/>
    <s v="Month+9 Expiry"/>
    <n v="0"/>
    <n v="0"/>
    <n v="0"/>
  </r>
  <r>
    <s v="26-Dec-2025"/>
    <x v="4"/>
    <s v="Week4-Dec-2025"/>
    <x v="3"/>
    <s v="Q3FY26"/>
    <s v="30-Dec-2025"/>
    <s v="Tuesday"/>
    <s v="Monthly - Tuesday"/>
    <s v="Monthly - Tuesday"/>
    <s v="Same Month Expiry"/>
    <n v="9201123"/>
    <n v="18815.8161"/>
    <n v="40.2661"/>
  </r>
  <r>
    <s v="26-Dec-2025"/>
    <x v="4"/>
    <s v="Week4-Dec-2025"/>
    <x v="3"/>
    <s v="Q3FY26"/>
    <s v="27-Jan-2026"/>
    <s v="Tuesday"/>
    <s v="Monthly - Tuesday"/>
    <s v="Monthly - Tuesday"/>
    <s v="Month+1 Expiry"/>
    <n v="260010"/>
    <n v="465.4661"/>
    <n v="4.4732"/>
  </r>
  <r>
    <s v="26-Dec-2025"/>
    <x v="4"/>
    <s v="Week4-Dec-2025"/>
    <x v="3"/>
    <s v="Q3FY26"/>
    <s v="24-Feb-2026"/>
    <s v="Tuesday"/>
    <s v="Monthly - Tuesday"/>
    <s v="Monthly - Tuesday"/>
    <s v="Month+2 Expiry"/>
    <n v="10395"/>
    <n v="18.6006"/>
    <n v="0.1798"/>
  </r>
  <r>
    <s v="26-Dec-2025"/>
    <x v="4"/>
    <s v="Week4-Dec-2025"/>
    <x v="3"/>
    <s v="Q3FY26"/>
    <s v="31-Mar-2026"/>
    <s v="Tuesday"/>
    <s v="Monthly - Tuesday"/>
    <s v="Monthly - Tuesday"/>
    <s v="Month+3 Expiry"/>
    <n v="1782"/>
    <n v="3.7052"/>
    <n v="0.0594"/>
  </r>
  <r>
    <s v="26-Dec-2025"/>
    <x v="4"/>
    <s v="Week4-Dec-2025"/>
    <x v="3"/>
    <s v="Q3FY26"/>
    <s v="30-Jun-2026"/>
    <s v="Tuesday"/>
    <s v="Monthly - Tuesday"/>
    <s v="Monthly - Tuesday"/>
    <s v="Month+6 Expiry"/>
    <n v="0"/>
    <n v="0"/>
    <n v="0"/>
  </r>
  <r>
    <s v="26-Dec-2025"/>
    <x v="4"/>
    <s v="Week4-Dec-2025"/>
    <x v="3"/>
    <s v="Q3FY26"/>
    <s v="29-Sep-2026"/>
    <s v="Tuesday"/>
    <s v="Monthly - Tuesday"/>
    <s v="Monthly - Tuesday"/>
    <s v="Month+9 Expiry"/>
    <n v="0"/>
    <n v="0"/>
    <n v="0"/>
  </r>
  <r>
    <s v="29-Dec-2025"/>
    <x v="0"/>
    <s v="Week5-Dec-2025"/>
    <x v="3"/>
    <s v="Q3FY26"/>
    <s v="30-Dec-2025"/>
    <s v="Tuesday"/>
    <s v="Monthly - Tuesday"/>
    <s v="Monthly - Tuesday"/>
    <s v="Same Month Expiry"/>
    <n v="17345726"/>
    <n v="35369.2564"/>
    <n v="56.5287"/>
  </r>
  <r>
    <s v="29-Dec-2025"/>
    <x v="0"/>
    <s v="Week5-Dec-2025"/>
    <x v="3"/>
    <s v="Q3FY26"/>
    <s v="27-Jan-2026"/>
    <s v="Tuesday"/>
    <s v="Monthly - Tuesday"/>
    <s v="Monthly - Tuesday"/>
    <s v="Month+1 Expiry"/>
    <n v="363743"/>
    <n v="650.4281"/>
    <n v="6.4892"/>
  </r>
  <r>
    <s v="29-Dec-2025"/>
    <x v="0"/>
    <s v="Week5-Dec-2025"/>
    <x v="3"/>
    <s v="Q3FY26"/>
    <s v="24-Feb-2026"/>
    <s v="Tuesday"/>
    <s v="Monthly - Tuesday"/>
    <s v="Monthly - Tuesday"/>
    <s v="Month+2 Expiry"/>
    <n v="15249"/>
    <n v="27.0915"/>
    <n v="0.2339"/>
  </r>
  <r>
    <s v="29-Dec-2025"/>
    <x v="0"/>
    <s v="Week5-Dec-2025"/>
    <x v="3"/>
    <s v="Q3FY26"/>
    <s v="30-Mar-2026"/>
    <s v="Monday"/>
    <s v="Monthly - Monday"/>
    <s v="Monthly - Monday"/>
    <s v="Month+3 Expiry"/>
    <n v="4448"/>
    <n v="9.1615"/>
    <n v="0.149"/>
  </r>
  <r>
    <s v="29-Dec-2025"/>
    <x v="0"/>
    <s v="Week5-Dec-2025"/>
    <x v="3"/>
    <s v="Q3FY26"/>
    <s v="30-Jun-2026"/>
    <s v="Tuesday"/>
    <s v="Monthly - Tuesday"/>
    <s v="Monthly - Tuesday"/>
    <s v="Month+6 Expiry"/>
    <n v="0"/>
    <n v="0"/>
    <n v="0"/>
  </r>
  <r>
    <s v="29-Dec-2025"/>
    <x v="0"/>
    <s v="Week5-Dec-2025"/>
    <x v="3"/>
    <s v="Q3FY26"/>
    <s v="29-Sep-2026"/>
    <s v="Tuesday"/>
    <s v="Monthly - Tuesday"/>
    <s v="Monthly - Tuesday"/>
    <s v="Month+9 Expiry"/>
    <n v="0"/>
    <n v="0"/>
    <n v="0"/>
  </r>
  <r>
    <s v="30-Dec-2025"/>
    <x v="1"/>
    <s v="Week5-Dec-2025"/>
    <x v="3"/>
    <s v="Q3FY26"/>
    <s v="30-Dec-2025"/>
    <s v="Tuesday"/>
    <s v="Monthly - Tuesday"/>
    <s v="Monthly - Tuesday"/>
    <s v="Same Month Expiry"/>
    <n v="78603896"/>
    <n v="160321.2023"/>
    <n v="131.0123"/>
  </r>
  <r>
    <s v="30-Dec-2025"/>
    <x v="1"/>
    <s v="Week5-Dec-2025"/>
    <x v="3"/>
    <s v="Q3FY26"/>
    <s v="27-Jan-2026"/>
    <s v="Tuesday"/>
    <s v="Monthly - Tuesday"/>
    <s v="Monthly - Tuesday"/>
    <s v="Month+1 Expiry"/>
    <n v="765819"/>
    <n v="1363.3819"/>
    <n v="12.1024"/>
  </r>
  <r>
    <s v="30-Dec-2025"/>
    <x v="1"/>
    <s v="Week5-Dec-2025"/>
    <x v="3"/>
    <s v="Q3FY26"/>
    <s v="24-Feb-2026"/>
    <s v="Tuesday"/>
    <s v="Monthly - Tuesday"/>
    <s v="Monthly - Tuesday"/>
    <s v="Month+2 Expiry"/>
    <n v="12656"/>
    <n v="22.8036"/>
    <n v="0.2343"/>
  </r>
  <r>
    <s v="30-Dec-2025"/>
    <x v="1"/>
    <s v="Week5-Dec-2025"/>
    <x v="3"/>
    <s v="Q3FY26"/>
    <s v="30-Mar-2026"/>
    <s v="Monday"/>
    <s v="Monthly - Monday"/>
    <s v="Monthly - Monday"/>
    <s v="Month+3 Expiry"/>
    <n v="4061"/>
    <n v="8.429500000000001"/>
    <n v="0.1191"/>
  </r>
  <r>
    <s v="30-Dec-2025"/>
    <x v="1"/>
    <s v="Week5-Dec-2025"/>
    <x v="3"/>
    <s v="Q3FY26"/>
    <s v="30-Jun-2026"/>
    <s v="Tuesday"/>
    <s v="Monthly - Tuesday"/>
    <s v="Monthly - Tuesday"/>
    <s v="Month+6 Expiry"/>
    <n v="0"/>
    <n v="0"/>
    <n v="0"/>
  </r>
  <r>
    <s v="30-Dec-2025"/>
    <x v="1"/>
    <s v="Week5-Dec-2025"/>
    <x v="3"/>
    <s v="Q3FY26"/>
    <s v="29-Sep-2026"/>
    <s v="Tuesday"/>
    <s v="Monthly - Tuesday"/>
    <s v="Monthly - Tuesday"/>
    <s v="Month+9 Expiry"/>
    <n v="0"/>
    <n v="0"/>
    <n v="0"/>
  </r>
  <r>
    <s v="31-Dec-2025"/>
    <x v="2"/>
    <s v="Week5-Dec-2025"/>
    <x v="3"/>
    <s v="Q3FY26"/>
    <s v="27-Jan-2026"/>
    <s v="Tuesday"/>
    <s v="Monthly - Tuesday"/>
    <s v="Monthly - Tuesday"/>
    <s v="Month+1 Expiry"/>
    <n v="2192565"/>
    <n v="3925.0769"/>
    <n v="28.5819"/>
  </r>
  <r>
    <s v="31-Dec-2025"/>
    <x v="2"/>
    <s v="Week5-Dec-2025"/>
    <x v="3"/>
    <s v="Q3FY26"/>
    <s v="24-Feb-2026"/>
    <s v="Tuesday"/>
    <s v="Monthly - Tuesday"/>
    <s v="Monthly - Tuesday"/>
    <s v="Month+2 Expiry"/>
    <n v="27378"/>
    <n v="49.6313"/>
    <n v="0.4528"/>
  </r>
  <r>
    <s v="31-Dec-2025"/>
    <x v="2"/>
    <s v="Week5-Dec-2025"/>
    <x v="3"/>
    <s v="Q3FY26"/>
    <s v="30-Mar-2026"/>
    <s v="Monday"/>
    <s v="Monthly - Monday"/>
    <s v="Monthly - Monday"/>
    <s v="Month+3 Expiry"/>
    <n v="7104"/>
    <n v="12.9174"/>
    <n v="0.2014"/>
  </r>
  <r>
    <s v="31-Dec-2025"/>
    <x v="2"/>
    <s v="Week5-Dec-2025"/>
    <x v="3"/>
    <s v="Q3FY26"/>
    <s v="30-Jun-2026"/>
    <s v="Tuesday"/>
    <s v="Monthly - Tuesday"/>
    <s v="Monthly - Tuesday"/>
    <s v="Month+6 Expiry"/>
    <n v="0"/>
    <n v="0"/>
    <n v="0"/>
  </r>
  <r>
    <s v="31-Dec-2025"/>
    <x v="2"/>
    <s v="Week5-Dec-2025"/>
    <x v="3"/>
    <s v="Q3FY26"/>
    <s v="29-Sep-2026"/>
    <s v="Tuesday"/>
    <s v="Monthly - Tuesday"/>
    <s v="Monthly - Tuesday"/>
    <s v="Month+9 Expiry"/>
    <n v="0"/>
    <n v="0"/>
    <n v="0"/>
  </r>
  <r>
    <s v="31-Dec-2025"/>
    <x v="2"/>
    <s v="Week5-Dec-2025"/>
    <x v="3"/>
    <s v="Q3FY26"/>
    <s v="29-Dec-2026"/>
    <s v="Tuesday"/>
    <s v="Monthly - Tuesday"/>
    <s v="Monthly - Tuesday"/>
    <s v="Month+12 Expiry"/>
    <n v="0"/>
    <n v="0"/>
    <n v="0"/>
  </r>
  <r>
    <s v="01-Jan-2026"/>
    <x v="3"/>
    <s v="Week1-Jan-2026"/>
    <x v="4"/>
    <s v="Q4FY26"/>
    <s v="27-Jan-2026"/>
    <s v="Tuesday"/>
    <s v="Monthly - Tuesday"/>
    <s v="Monthly - Tuesday"/>
    <s v="Same Month Expiry"/>
    <n v="1218064"/>
    <n v="2177.2118"/>
    <n v="15.9139"/>
  </r>
  <r>
    <s v="01-Jan-2026"/>
    <x v="3"/>
    <s v="Week1-Jan-2026"/>
    <x v="4"/>
    <s v="Q4FY26"/>
    <s v="24-Feb-2026"/>
    <s v="Tuesday"/>
    <s v="Monthly - Tuesday"/>
    <s v="Monthly - Tuesday"/>
    <s v="Month+1 Expiry"/>
    <n v="11460"/>
    <n v="20.7034"/>
    <n v="0.2093"/>
  </r>
  <r>
    <s v="01-Jan-2026"/>
    <x v="3"/>
    <s v="Week1-Jan-2026"/>
    <x v="4"/>
    <s v="Q4FY26"/>
    <s v="30-Mar-2026"/>
    <s v="Monday"/>
    <s v="Monthly - Monday"/>
    <s v="Monthly - Monday"/>
    <s v="Month+2 Expiry"/>
    <n v="1868"/>
    <n v="3.3504"/>
    <n v="0.0403"/>
  </r>
  <r>
    <s v="01-Jan-2026"/>
    <x v="3"/>
    <s v="Week1-Jan-2026"/>
    <x v="4"/>
    <s v="Q4FY26"/>
    <s v="30-Jun-2026"/>
    <s v="Tuesday"/>
    <s v="Monthly - Tuesday"/>
    <s v="Monthly - Tuesday"/>
    <s v="Month+5 Expiry"/>
    <n v="0"/>
    <n v="0"/>
    <n v="0"/>
  </r>
  <r>
    <s v="01-Jan-2026"/>
    <x v="3"/>
    <s v="Week1-Jan-2026"/>
    <x v="4"/>
    <s v="Q4FY26"/>
    <s v="29-Sep-2026"/>
    <s v="Tuesday"/>
    <s v="Monthly - Tuesday"/>
    <s v="Monthly - Tuesday"/>
    <s v="Month+8 Expiry"/>
    <n v="0"/>
    <n v="0"/>
    <n v="0"/>
  </r>
  <r>
    <s v="01-Jan-2026"/>
    <x v="3"/>
    <s v="Week1-Jan-2026"/>
    <x v="4"/>
    <s v="Q4FY26"/>
    <s v="29-Dec-2026"/>
    <s v="Tuesday"/>
    <s v="Monthly - Tuesday"/>
    <s v="Monthly - Tuesday"/>
    <s v="Month+11 Expiry"/>
    <n v="0"/>
    <n v="0"/>
    <n v="0"/>
  </r>
  <r>
    <s v="02-Jan-2026"/>
    <x v="4"/>
    <s v="Week1-Jan-2026"/>
    <x v="4"/>
    <s v="Q4FY26"/>
    <s v="27-Jan-2026"/>
    <s v="Tuesday"/>
    <s v="Monthly - Tuesday"/>
    <s v="Monthly - Tuesday"/>
    <s v="Same Month Expiry"/>
    <n v="2233318"/>
    <n v="4015.0791"/>
    <n v="28.0359"/>
  </r>
  <r>
    <s v="02-Jan-2026"/>
    <x v="4"/>
    <s v="Week1-Jan-2026"/>
    <x v="4"/>
    <s v="Q4FY26"/>
    <s v="24-Feb-2026"/>
    <s v="Tuesday"/>
    <s v="Monthly - Tuesday"/>
    <s v="Monthly - Tuesday"/>
    <s v="Month+1 Expiry"/>
    <n v="31896"/>
    <n v="57.9701"/>
    <n v="0.576"/>
  </r>
  <r>
    <s v="02-Jan-2026"/>
    <x v="4"/>
    <s v="Week1-Jan-2026"/>
    <x v="4"/>
    <s v="Q4FY26"/>
    <s v="30-Mar-2026"/>
    <s v="Monday"/>
    <s v="Monthly - Monday"/>
    <s v="Monthly - Monday"/>
    <s v="Month+2 Expiry"/>
    <n v="6090"/>
    <n v="11.0708"/>
    <n v="0.1589"/>
  </r>
  <r>
    <s v="02-Jan-2026"/>
    <x v="4"/>
    <s v="Week1-Jan-2026"/>
    <x v="4"/>
    <s v="Q4FY26"/>
    <s v="30-Jun-2026"/>
    <s v="Tuesday"/>
    <s v="Monthly - Tuesday"/>
    <s v="Monthly - Tuesday"/>
    <s v="Month+5 Expiry"/>
    <n v="0"/>
    <n v="0"/>
    <n v="0"/>
  </r>
  <r>
    <s v="02-Jan-2026"/>
    <x v="4"/>
    <s v="Week1-Jan-2026"/>
    <x v="4"/>
    <s v="Q4FY26"/>
    <s v="29-Sep-2026"/>
    <s v="Tuesday"/>
    <s v="Monthly - Tuesday"/>
    <s v="Monthly - Tuesday"/>
    <s v="Month+8 Expiry"/>
    <n v="0"/>
    <n v="0"/>
    <n v="0"/>
  </r>
  <r>
    <s v="02-Jan-2026"/>
    <x v="4"/>
    <s v="Week1-Jan-2026"/>
    <x v="4"/>
    <s v="Q4FY26"/>
    <s v="29-Dec-2026"/>
    <s v="Tuesday"/>
    <s v="Monthly - Tuesday"/>
    <s v="Monthly - Tuesday"/>
    <s v="Month+11 Expiry"/>
    <n v="0"/>
    <n v="0"/>
    <n v="0"/>
  </r>
  <r>
    <s v="05-Jan-2026"/>
    <x v="0"/>
    <s v="Week1-Jan-2026"/>
    <x v="4"/>
    <s v="Q4FY26"/>
    <s v="27-Jan-2026"/>
    <s v="Tuesday"/>
    <s v="Monthly - Tuesday"/>
    <s v="Monthly - Tuesday"/>
    <s v="Same Month Expiry"/>
    <n v="2557337"/>
    <n v="4614.8139"/>
    <n v="31.1752"/>
  </r>
  <r>
    <s v="05-Jan-2026"/>
    <x v="0"/>
    <s v="Week1-Jan-2026"/>
    <x v="4"/>
    <s v="Q4FY26"/>
    <s v="24-Feb-2026"/>
    <s v="Tuesday"/>
    <s v="Monthly - Tuesday"/>
    <s v="Monthly - Tuesday"/>
    <s v="Month+1 Expiry"/>
    <n v="26875"/>
    <n v="48.8995"/>
    <n v="0.4874"/>
  </r>
  <r>
    <s v="05-Jan-2026"/>
    <x v="0"/>
    <s v="Week1-Jan-2026"/>
    <x v="4"/>
    <s v="Q4FY26"/>
    <s v="30-Mar-2026"/>
    <s v="Monday"/>
    <s v="Monthly - Monday"/>
    <s v="Monthly - Monday"/>
    <s v="Month+2 Expiry"/>
    <n v="6279"/>
    <n v="11.495"/>
    <n v="0.1501"/>
  </r>
  <r>
    <s v="05-Jan-2026"/>
    <x v="0"/>
    <s v="Week1-Jan-2026"/>
    <x v="4"/>
    <s v="Q4FY26"/>
    <s v="30-Jun-2026"/>
    <s v="Tuesday"/>
    <s v="Monthly - Tuesday"/>
    <s v="Monthly - Tuesday"/>
    <s v="Month+5 Expiry"/>
    <n v="0"/>
    <n v="0"/>
    <n v="0"/>
  </r>
  <r>
    <s v="05-Jan-2026"/>
    <x v="0"/>
    <s v="Week1-Jan-2026"/>
    <x v="4"/>
    <s v="Q4FY26"/>
    <s v="29-Sep-2026"/>
    <s v="Tuesday"/>
    <s v="Monthly - Tuesday"/>
    <s v="Monthly - Tuesday"/>
    <s v="Month+8 Expiry"/>
    <n v="0"/>
    <n v="0"/>
    <n v="0"/>
  </r>
  <r>
    <s v="05-Jan-2026"/>
    <x v="0"/>
    <s v="Week1-Jan-2026"/>
    <x v="4"/>
    <s v="Q4FY26"/>
    <s v="29-Dec-2026"/>
    <s v="Tuesday"/>
    <s v="Monthly - Tuesday"/>
    <s v="Monthly - Tuesday"/>
    <s v="Month+11 Expiry"/>
    <n v="0"/>
    <n v="0"/>
    <n v="0"/>
  </r>
  <r>
    <s v="06-Jan-2026"/>
    <x v="1"/>
    <s v="Week1-Jan-2026"/>
    <x v="4"/>
    <s v="Q4FY26"/>
    <s v="27-Jan-2026"/>
    <s v="Tuesday"/>
    <s v="Monthly - Tuesday"/>
    <s v="Monthly - Tuesday"/>
    <s v="Same Month Expiry"/>
    <n v="2102559"/>
    <n v="3794.1032"/>
    <n v="25.7269"/>
  </r>
  <r>
    <s v="06-Jan-2026"/>
    <x v="1"/>
    <s v="Week1-Jan-2026"/>
    <x v="4"/>
    <s v="Q4FY26"/>
    <s v="24-Feb-2026"/>
    <s v="Tuesday"/>
    <s v="Monthly - Tuesday"/>
    <s v="Monthly - Tuesday"/>
    <s v="Month+1 Expiry"/>
    <n v="27710"/>
    <n v="50.0622"/>
    <n v="0.425"/>
  </r>
  <r>
    <s v="06-Jan-2026"/>
    <x v="1"/>
    <s v="Week1-Jan-2026"/>
    <x v="4"/>
    <s v="Q4FY26"/>
    <s v="30-Mar-2026"/>
    <s v="Monday"/>
    <s v="Monthly - Monday"/>
    <s v="Monthly - Monday"/>
    <s v="Month+2 Expiry"/>
    <n v="3017"/>
    <n v="5.5017"/>
    <n v="0.06909999999999999"/>
  </r>
  <r>
    <s v="06-Jan-2026"/>
    <x v="1"/>
    <s v="Week1-Jan-2026"/>
    <x v="4"/>
    <s v="Q4FY26"/>
    <s v="30-Jun-2026"/>
    <s v="Tuesday"/>
    <s v="Monthly - Tuesday"/>
    <s v="Monthly - Tuesday"/>
    <s v="Month+5 Expiry"/>
    <n v="0"/>
    <n v="0"/>
    <n v="0"/>
  </r>
  <r>
    <s v="06-Jan-2026"/>
    <x v="1"/>
    <s v="Week1-Jan-2026"/>
    <x v="4"/>
    <s v="Q4FY26"/>
    <s v="29-Sep-2026"/>
    <s v="Tuesday"/>
    <s v="Monthly - Tuesday"/>
    <s v="Monthly - Tuesday"/>
    <s v="Month+8 Expiry"/>
    <n v="0"/>
    <n v="0"/>
    <n v="0"/>
  </r>
  <r>
    <s v="06-Jan-2026"/>
    <x v="1"/>
    <s v="Week1-Jan-2026"/>
    <x v="4"/>
    <s v="Q4FY26"/>
    <s v="29-Dec-2026"/>
    <s v="Tuesday"/>
    <s v="Monthly - Tuesday"/>
    <s v="Monthly - Tuesday"/>
    <s v="Month+11 Expiry"/>
    <n v="0"/>
    <n v="0"/>
    <n v="0"/>
  </r>
  <r>
    <s v="07-Jan-2026"/>
    <x v="2"/>
    <s v="Week1-Jan-2026"/>
    <x v="4"/>
    <s v="Q4FY26"/>
    <s v="27-Jan-2026"/>
    <s v="Tuesday"/>
    <s v="Monthly - Tuesday"/>
    <s v="Monthly - Tuesday"/>
    <s v="Same Month Expiry"/>
    <n v="2284207"/>
    <n v="4099.624"/>
    <n v="27.5345"/>
  </r>
  <r>
    <s v="07-Jan-2026"/>
    <x v="2"/>
    <s v="Week1-Jan-2026"/>
    <x v="4"/>
    <s v="Q4FY26"/>
    <s v="24-Feb-2026"/>
    <s v="Tuesday"/>
    <s v="Monthly - Tuesday"/>
    <s v="Monthly - Tuesday"/>
    <s v="Month+1 Expiry"/>
    <n v="26715"/>
    <n v="48.5207"/>
    <n v="0.4817"/>
  </r>
  <r>
    <s v="07-Jan-2026"/>
    <x v="2"/>
    <s v="Week1-Jan-2026"/>
    <x v="4"/>
    <s v="Q4FY26"/>
    <s v="30-Mar-2026"/>
    <s v="Monday"/>
    <s v="Monthly - Monday"/>
    <s v="Monthly - Monday"/>
    <s v="Month+2 Expiry"/>
    <n v="3455"/>
    <n v="6.2252"/>
    <n v="0.07439999999999999"/>
  </r>
  <r>
    <s v="07-Jan-2026"/>
    <x v="2"/>
    <s v="Week1-Jan-2026"/>
    <x v="4"/>
    <s v="Q4FY26"/>
    <s v="30-Jun-2026"/>
    <s v="Tuesday"/>
    <s v="Monthly - Tuesday"/>
    <s v="Monthly - Tuesday"/>
    <s v="Month+5 Expiry"/>
    <n v="0"/>
    <n v="0"/>
    <n v="0"/>
  </r>
  <r>
    <s v="07-Jan-2026"/>
    <x v="2"/>
    <s v="Week1-Jan-2026"/>
    <x v="4"/>
    <s v="Q4FY26"/>
    <s v="29-Sep-2026"/>
    <s v="Tuesday"/>
    <s v="Monthly - Tuesday"/>
    <s v="Monthly - Tuesday"/>
    <s v="Month+8 Expiry"/>
    <n v="0"/>
    <n v="0"/>
    <n v="0"/>
  </r>
  <r>
    <s v="07-Jan-2026"/>
    <x v="2"/>
    <s v="Week1-Jan-2026"/>
    <x v="4"/>
    <s v="Q4FY26"/>
    <s v="29-Dec-2026"/>
    <s v="Tuesday"/>
    <s v="Monthly - Tuesday"/>
    <s v="Monthly - Tuesday"/>
    <s v="Month+11 Expiry"/>
    <n v="0"/>
    <n v="0"/>
    <n v="0"/>
  </r>
  <r>
    <s v="08-Jan-2026"/>
    <x v="3"/>
    <s v="Week2-Jan-2026"/>
    <x v="4"/>
    <s v="Q4FY26"/>
    <s v="27-Jan-2026"/>
    <s v="Tuesday"/>
    <s v="Monthly - Tuesday"/>
    <s v="Monthly - Tuesday"/>
    <s v="Same Month Expiry"/>
    <n v="3139153"/>
    <n v="5616.444"/>
    <n v="36.0132"/>
  </r>
  <r>
    <s v="08-Jan-2026"/>
    <x v="3"/>
    <s v="Week2-Jan-2026"/>
    <x v="4"/>
    <s v="Q4FY26"/>
    <s v="24-Feb-2026"/>
    <s v="Tuesday"/>
    <s v="Monthly - Tuesday"/>
    <s v="Monthly - Tuesday"/>
    <s v="Month+1 Expiry"/>
    <n v="40476"/>
    <n v="73.50369999999999"/>
    <n v="0.8032"/>
  </r>
  <r>
    <s v="08-Jan-2026"/>
    <x v="3"/>
    <s v="Week2-Jan-2026"/>
    <x v="4"/>
    <s v="Q4FY26"/>
    <s v="30-Mar-2026"/>
    <s v="Monday"/>
    <s v="Monthly - Monday"/>
    <s v="Monthly - Monday"/>
    <s v="Month+2 Expiry"/>
    <n v="5459"/>
    <n v="9.8263"/>
    <n v="0.1239"/>
  </r>
  <r>
    <s v="08-Jan-2026"/>
    <x v="3"/>
    <s v="Week2-Jan-2026"/>
    <x v="4"/>
    <s v="Q4FY26"/>
    <s v="30-Jun-2026"/>
    <s v="Tuesday"/>
    <s v="Monthly - Tuesday"/>
    <s v="Monthly - Tuesday"/>
    <s v="Month+5 Expiry"/>
    <n v="0"/>
    <n v="0"/>
    <n v="0"/>
  </r>
  <r>
    <s v="08-Jan-2026"/>
    <x v="3"/>
    <s v="Week2-Jan-2026"/>
    <x v="4"/>
    <s v="Q4FY26"/>
    <s v="29-Sep-2026"/>
    <s v="Tuesday"/>
    <s v="Monthly - Tuesday"/>
    <s v="Monthly - Tuesday"/>
    <s v="Month+8 Expiry"/>
    <n v="0"/>
    <n v="0"/>
    <n v="0"/>
  </r>
  <r>
    <s v="08-Jan-2026"/>
    <x v="3"/>
    <s v="Week2-Jan-2026"/>
    <x v="4"/>
    <s v="Q4FY26"/>
    <s v="29-Dec-2026"/>
    <s v="Tuesday"/>
    <s v="Monthly - Tuesday"/>
    <s v="Monthly - Tuesday"/>
    <s v="Month+11 Expiry"/>
    <n v="0"/>
    <n v="0"/>
    <n v="0"/>
  </r>
  <r>
    <s v="09-Jan-2026"/>
    <x v="4"/>
    <s v="Week2-Jan-2026"/>
    <x v="4"/>
    <s v="Q4FY26"/>
    <s v="27-Jan-2026"/>
    <s v="Tuesday"/>
    <s v="Monthly - Tuesday"/>
    <s v="Monthly - Tuesday"/>
    <s v="Same Month Expiry"/>
    <n v="3354589"/>
    <n v="5968.3697"/>
    <n v="38.3911"/>
  </r>
  <r>
    <s v="09-Jan-2026"/>
    <x v="4"/>
    <s v="Week2-Jan-2026"/>
    <x v="4"/>
    <s v="Q4FY26"/>
    <s v="24-Feb-2026"/>
    <s v="Tuesday"/>
    <s v="Monthly - Tuesday"/>
    <s v="Monthly - Tuesday"/>
    <s v="Month+1 Expiry"/>
    <n v="50797"/>
    <n v="91.39449999999999"/>
    <n v="0.9806"/>
  </r>
  <r>
    <s v="09-Jan-2026"/>
    <x v="4"/>
    <s v="Week2-Jan-2026"/>
    <x v="4"/>
    <s v="Q4FY26"/>
    <s v="30-Mar-2026"/>
    <s v="Monday"/>
    <s v="Monthly - Monday"/>
    <s v="Monthly - Monday"/>
    <s v="Month+2 Expiry"/>
    <n v="6876"/>
    <n v="12.355"/>
    <n v="0.1439"/>
  </r>
  <r>
    <s v="09-Jan-2026"/>
    <x v="4"/>
    <s v="Week2-Jan-2026"/>
    <x v="4"/>
    <s v="Q4FY26"/>
    <s v="30-Jun-2026"/>
    <s v="Tuesday"/>
    <s v="Monthly - Tuesday"/>
    <s v="Monthly - Tuesday"/>
    <s v="Month+5 Expiry"/>
    <n v="0"/>
    <n v="0"/>
    <n v="0"/>
  </r>
  <r>
    <s v="09-Jan-2026"/>
    <x v="4"/>
    <s v="Week2-Jan-2026"/>
    <x v="4"/>
    <s v="Q4FY26"/>
    <s v="29-Sep-2026"/>
    <s v="Tuesday"/>
    <s v="Monthly - Tuesday"/>
    <s v="Monthly - Tuesday"/>
    <s v="Month+8 Expiry"/>
    <n v="0"/>
    <n v="0"/>
    <n v="0"/>
  </r>
  <r>
    <s v="09-Jan-2026"/>
    <x v="4"/>
    <s v="Week2-Jan-2026"/>
    <x v="4"/>
    <s v="Q4FY26"/>
    <s v="29-Dec-2026"/>
    <s v="Tuesday"/>
    <s v="Monthly - Tuesday"/>
    <s v="Monthly - Tuesday"/>
    <s v="Month+11 Expiry"/>
    <n v="0"/>
    <n v="0"/>
    <n v="0"/>
  </r>
  <r>
    <s v="12-Jan-2026"/>
    <x v="0"/>
    <s v="Week2-Jan-2026"/>
    <x v="4"/>
    <s v="Q4FY26"/>
    <s v="27-Jan-2026"/>
    <s v="Tuesday"/>
    <s v="Monthly - Tuesday"/>
    <s v="Monthly - Tuesday"/>
    <s v="Same Month Expiry"/>
    <n v="3762037"/>
    <n v="6674.6142"/>
    <n v="42.5627"/>
  </r>
  <r>
    <s v="12-Jan-2026"/>
    <x v="0"/>
    <s v="Week2-Jan-2026"/>
    <x v="4"/>
    <s v="Q4FY26"/>
    <s v="24-Feb-2026"/>
    <s v="Tuesday"/>
    <s v="Monthly - Tuesday"/>
    <s v="Monthly - Tuesday"/>
    <s v="Month+1 Expiry"/>
    <n v="55544"/>
    <n v="100.327"/>
    <n v="1.1241"/>
  </r>
  <r>
    <s v="12-Jan-2026"/>
    <x v="0"/>
    <s v="Week2-Jan-2026"/>
    <x v="4"/>
    <s v="Q4FY26"/>
    <s v="30-Mar-2026"/>
    <s v="Monday"/>
    <s v="Monthly - Monday"/>
    <s v="Monthly - Monday"/>
    <s v="Month+2 Expiry"/>
    <n v="7322"/>
    <n v="13.2247"/>
    <n v="0.1875"/>
  </r>
  <r>
    <s v="12-Jan-2026"/>
    <x v="0"/>
    <s v="Week2-Jan-2026"/>
    <x v="4"/>
    <s v="Q4FY26"/>
    <s v="30-Jun-2026"/>
    <s v="Tuesday"/>
    <s v="Monthly - Tuesday"/>
    <s v="Monthly - Tuesday"/>
    <s v="Month+5 Expiry"/>
    <n v="0"/>
    <n v="0"/>
    <n v="0"/>
  </r>
  <r>
    <s v="12-Jan-2026"/>
    <x v="0"/>
    <s v="Week2-Jan-2026"/>
    <x v="4"/>
    <s v="Q4FY26"/>
    <s v="29-Sep-2026"/>
    <s v="Tuesday"/>
    <s v="Monthly - Tuesday"/>
    <s v="Monthly - Tuesday"/>
    <s v="Month+8 Expiry"/>
    <n v="0"/>
    <n v="0"/>
    <n v="0"/>
  </r>
  <r>
    <s v="12-Jan-2026"/>
    <x v="0"/>
    <s v="Week2-Jan-2026"/>
    <x v="4"/>
    <s v="Q4FY26"/>
    <s v="29-Dec-2026"/>
    <s v="Tuesday"/>
    <s v="Monthly - Tuesday"/>
    <s v="Monthly - Tuesday"/>
    <s v="Month+11 Expiry"/>
    <n v="0"/>
    <n v="0"/>
    <n v="0"/>
  </r>
  <r>
    <s v="13-Jan-2026"/>
    <x v="1"/>
    <s v="Week2-Jan-2026"/>
    <x v="4"/>
    <s v="Q4FY26"/>
    <s v="27-Jan-2026"/>
    <s v="Tuesday"/>
    <s v="Monthly - Tuesday"/>
    <s v="Monthly - Tuesday"/>
    <s v="Same Month Expiry"/>
    <n v="3238380"/>
    <n v="5766.9734"/>
    <n v="37.2434"/>
  </r>
  <r>
    <s v="13-Jan-2026"/>
    <x v="1"/>
    <s v="Week2-Jan-2026"/>
    <x v="4"/>
    <s v="Q4FY26"/>
    <s v="24-Feb-2026"/>
    <s v="Tuesday"/>
    <s v="Monthly - Tuesday"/>
    <s v="Monthly - Tuesday"/>
    <s v="Month+1 Expiry"/>
    <n v="49313"/>
    <n v="89.47150000000001"/>
    <n v="0.9596"/>
  </r>
  <r>
    <s v="13-Jan-2026"/>
    <x v="1"/>
    <s v="Week2-Jan-2026"/>
    <x v="4"/>
    <s v="Q4FY26"/>
    <s v="30-Mar-2026"/>
    <s v="Monday"/>
    <s v="Monthly - Monday"/>
    <s v="Monthly - Monday"/>
    <s v="Month+2 Expiry"/>
    <n v="4454"/>
    <n v="7.9716"/>
    <n v="0.1017"/>
  </r>
  <r>
    <s v="13-Jan-2026"/>
    <x v="1"/>
    <s v="Week2-Jan-2026"/>
    <x v="4"/>
    <s v="Q4FY26"/>
    <s v="30-Jun-2026"/>
    <s v="Tuesday"/>
    <s v="Monthly - Tuesday"/>
    <s v="Monthly - Tuesday"/>
    <s v="Month+5 Expiry"/>
    <n v="0"/>
    <n v="0"/>
    <n v="0"/>
  </r>
  <r>
    <s v="13-Jan-2026"/>
    <x v="1"/>
    <s v="Week2-Jan-2026"/>
    <x v="4"/>
    <s v="Q4FY26"/>
    <s v="29-Sep-2026"/>
    <s v="Tuesday"/>
    <s v="Monthly - Tuesday"/>
    <s v="Monthly - Tuesday"/>
    <s v="Month+8 Expiry"/>
    <n v="0"/>
    <n v="0"/>
    <n v="0"/>
  </r>
  <r>
    <s v="13-Jan-2026"/>
    <x v="1"/>
    <s v="Week2-Jan-2026"/>
    <x v="4"/>
    <s v="Q4FY26"/>
    <s v="29-Dec-2026"/>
    <s v="Tuesday"/>
    <s v="Monthly - Tuesday"/>
    <s v="Monthly - Tuesday"/>
    <s v="Month+11 Expiry"/>
    <n v="0"/>
    <n v="0"/>
    <n v="0"/>
  </r>
  <r>
    <s v="14-Jan-2026"/>
    <x v="2"/>
    <s v="Week2-Jan-2026"/>
    <x v="4"/>
    <s v="Q4FY26"/>
    <s v="27-Jan-2026"/>
    <s v="Tuesday"/>
    <s v="Monthly - Tuesday"/>
    <s v="Monthly - Tuesday"/>
    <s v="Same Month Expiry"/>
    <n v="3079585"/>
    <n v="5497.3337"/>
    <n v="32.7671"/>
  </r>
  <r>
    <s v="14-Jan-2026"/>
    <x v="2"/>
    <s v="Week2-Jan-2026"/>
    <x v="4"/>
    <s v="Q4FY26"/>
    <s v="24-Feb-2026"/>
    <s v="Tuesday"/>
    <s v="Monthly - Tuesday"/>
    <s v="Monthly - Tuesday"/>
    <s v="Month+1 Expiry"/>
    <n v="39092"/>
    <n v="70.89230000000001"/>
    <n v="0.6888"/>
  </r>
  <r>
    <s v="14-Jan-2026"/>
    <x v="2"/>
    <s v="Week2-Jan-2026"/>
    <x v="4"/>
    <s v="Q4FY26"/>
    <s v="30-Mar-2026"/>
    <s v="Monday"/>
    <s v="Monthly - Monday"/>
    <s v="Monthly - Monday"/>
    <s v="Month+2 Expiry"/>
    <n v="4347"/>
    <n v="7.7901"/>
    <n v="0.09660000000000001"/>
  </r>
  <r>
    <s v="14-Jan-2026"/>
    <x v="2"/>
    <s v="Week2-Jan-2026"/>
    <x v="4"/>
    <s v="Q4FY26"/>
    <s v="30-Jun-2026"/>
    <s v="Tuesday"/>
    <s v="Monthly - Tuesday"/>
    <s v="Monthly - Tuesday"/>
    <s v="Month+5 Expiry"/>
    <n v="0"/>
    <n v="0"/>
    <n v="0"/>
  </r>
  <r>
    <s v="14-Jan-2026"/>
    <x v="2"/>
    <s v="Week2-Jan-2026"/>
    <x v="4"/>
    <s v="Q4FY26"/>
    <s v="29-Sep-2026"/>
    <s v="Tuesday"/>
    <s v="Monthly - Tuesday"/>
    <s v="Monthly - Tuesday"/>
    <s v="Month+8 Expiry"/>
    <n v="0"/>
    <n v="0"/>
    <n v="0"/>
  </r>
  <r>
    <s v="14-Jan-2026"/>
    <x v="2"/>
    <s v="Week2-Jan-2026"/>
    <x v="4"/>
    <s v="Q4FY26"/>
    <s v="29-Dec-2026"/>
    <s v="Tuesday"/>
    <s v="Monthly - Tuesday"/>
    <s v="Monthly - Tuesday"/>
    <s v="Month+11 Expiry"/>
    <n v="0"/>
    <n v="0"/>
    <n v="0"/>
  </r>
  <r>
    <s v="16-Jan-2026"/>
    <x v="4"/>
    <s v="Week3-Jan-2026"/>
    <x v="4"/>
    <s v="Q4FY26"/>
    <s v="27-Jan-2026"/>
    <s v="Tuesday"/>
    <s v="Monthly - Tuesday"/>
    <s v="Monthly - Tuesday"/>
    <s v="Same Month Expiry"/>
    <n v="4031567"/>
    <n v="7200.0263"/>
    <n v="39.0312"/>
  </r>
  <r>
    <s v="16-Jan-2026"/>
    <x v="4"/>
    <s v="Week3-Jan-2026"/>
    <x v="4"/>
    <s v="Q4FY26"/>
    <s v="24-Feb-2026"/>
    <s v="Tuesday"/>
    <s v="Monthly - Tuesday"/>
    <s v="Monthly - Tuesday"/>
    <s v="Month+1 Expiry"/>
    <n v="101397"/>
    <n v="184.1165"/>
    <n v="2.1661"/>
  </r>
  <r>
    <s v="16-Jan-2026"/>
    <x v="4"/>
    <s v="Week3-Jan-2026"/>
    <x v="4"/>
    <s v="Q4FY26"/>
    <s v="30-Mar-2026"/>
    <s v="Monday"/>
    <s v="Monthly - Monday"/>
    <s v="Monthly - Monday"/>
    <s v="Month+2 Expiry"/>
    <n v="8143"/>
    <n v="14.6256"/>
    <n v="0.2017"/>
  </r>
  <r>
    <s v="16-Jan-2026"/>
    <x v="4"/>
    <s v="Week3-Jan-2026"/>
    <x v="4"/>
    <s v="Q4FY26"/>
    <s v="30-Jun-2026"/>
    <s v="Tuesday"/>
    <s v="Monthly - Tuesday"/>
    <s v="Monthly - Tuesday"/>
    <s v="Month+5 Expiry"/>
    <n v="0"/>
    <n v="0"/>
    <n v="0"/>
  </r>
  <r>
    <s v="16-Jan-2026"/>
    <x v="4"/>
    <s v="Week3-Jan-2026"/>
    <x v="4"/>
    <s v="Q4FY26"/>
    <s v="29-Sep-2026"/>
    <s v="Tuesday"/>
    <s v="Monthly - Tuesday"/>
    <s v="Monthly - Tuesday"/>
    <s v="Month+8 Expiry"/>
    <n v="0"/>
    <n v="0"/>
    <n v="0"/>
  </r>
  <r>
    <s v="16-Jan-2026"/>
    <x v="4"/>
    <s v="Week3-Jan-2026"/>
    <x v="4"/>
    <s v="Q4FY26"/>
    <s v="29-Dec-2026"/>
    <s v="Tuesday"/>
    <s v="Monthly - Tuesday"/>
    <s v="Monthly - Tuesday"/>
    <s v="Month+11 Expiry"/>
    <n v="0"/>
    <n v="0"/>
    <n v="0"/>
  </r>
  <r>
    <s v="19-Jan-2026"/>
    <x v="0"/>
    <s v="Week3-Jan-2026"/>
    <x v="4"/>
    <s v="Q4FY26"/>
    <s v="27-Jan-2026"/>
    <s v="Tuesday"/>
    <s v="Monthly - Tuesday"/>
    <s v="Monthly - Tuesday"/>
    <s v="Same Month Expiry"/>
    <n v="4658716"/>
    <n v="8304.645500000001"/>
    <n v="36.5061"/>
  </r>
  <r>
    <s v="19-Jan-2026"/>
    <x v="0"/>
    <s v="Week3-Jan-2026"/>
    <x v="4"/>
    <s v="Q4FY26"/>
    <s v="24-Feb-2026"/>
    <s v="Tuesday"/>
    <s v="Monthly - Tuesday"/>
    <s v="Monthly - Tuesday"/>
    <s v="Month+1 Expiry"/>
    <n v="155196"/>
    <n v="282.2435"/>
    <n v="3.1913"/>
  </r>
  <r>
    <s v="19-Jan-2026"/>
    <x v="0"/>
    <s v="Week3-Jan-2026"/>
    <x v="4"/>
    <s v="Q4FY26"/>
    <s v="30-Mar-2026"/>
    <s v="Monday"/>
    <s v="Monthly - Monday"/>
    <s v="Monthly - Monday"/>
    <s v="Month+2 Expiry"/>
    <n v="7648"/>
    <n v="13.8489"/>
    <n v="0.158"/>
  </r>
  <r>
    <s v="19-Jan-2026"/>
    <x v="0"/>
    <s v="Week3-Jan-2026"/>
    <x v="4"/>
    <s v="Q4FY26"/>
    <s v="30-Jun-2026"/>
    <s v="Tuesday"/>
    <s v="Monthly - Tuesday"/>
    <s v="Monthly - Tuesday"/>
    <s v="Month+5 Expiry"/>
    <n v="0"/>
    <n v="0"/>
    <n v="0"/>
  </r>
  <r>
    <s v="19-Jan-2026"/>
    <x v="0"/>
    <s v="Week3-Jan-2026"/>
    <x v="4"/>
    <s v="Q4FY26"/>
    <s v="29-Sep-2026"/>
    <s v="Tuesday"/>
    <s v="Monthly - Tuesday"/>
    <s v="Monthly - Tuesday"/>
    <s v="Month+8 Expiry"/>
    <n v="0"/>
    <n v="0"/>
    <n v="0"/>
  </r>
  <r>
    <s v="19-Jan-2026"/>
    <x v="0"/>
    <s v="Week3-Jan-2026"/>
    <x v="4"/>
    <s v="Q4FY26"/>
    <s v="29-Dec-2026"/>
    <s v="Tuesday"/>
    <s v="Monthly - Tuesday"/>
    <s v="Monthly - Tuesday"/>
    <s v="Month+11 Expiry"/>
    <n v="0"/>
    <n v="0"/>
    <n v="0"/>
  </r>
  <r>
    <s v="20-Jan-2026"/>
    <x v="1"/>
    <s v="Week3-Jan-2026"/>
    <x v="4"/>
    <s v="Q4FY26"/>
    <s v="27-Jan-2026"/>
    <s v="Tuesday"/>
    <s v="Monthly - Tuesday"/>
    <s v="Monthly - Tuesday"/>
    <s v="Same Month Expiry"/>
    <n v="5101235"/>
    <n v="9015.57"/>
    <n v="38.4601"/>
  </r>
  <r>
    <s v="20-Jan-2026"/>
    <x v="1"/>
    <s v="Week3-Jan-2026"/>
    <x v="4"/>
    <s v="Q4FY26"/>
    <s v="24-Feb-2026"/>
    <s v="Tuesday"/>
    <s v="Monthly - Tuesday"/>
    <s v="Monthly - Tuesday"/>
    <s v="Month+1 Expiry"/>
    <n v="195951"/>
    <n v="354.9925"/>
    <n v="4.3073"/>
  </r>
  <r>
    <s v="20-Jan-2026"/>
    <x v="1"/>
    <s v="Week3-Jan-2026"/>
    <x v="4"/>
    <s v="Q4FY26"/>
    <s v="30-Mar-2026"/>
    <s v="Monday"/>
    <s v="Monthly - Monday"/>
    <s v="Monthly - Monday"/>
    <s v="Month+2 Expiry"/>
    <n v="10843"/>
    <n v="19.6779"/>
    <n v="0.2342"/>
  </r>
  <r>
    <s v="20-Jan-2026"/>
    <x v="1"/>
    <s v="Week3-Jan-2026"/>
    <x v="4"/>
    <s v="Q4FY26"/>
    <s v="30-Jun-2026"/>
    <s v="Tuesday"/>
    <s v="Monthly - Tuesday"/>
    <s v="Monthly - Tuesday"/>
    <s v="Month+5 Expiry"/>
    <n v="1"/>
    <n v="0.0019"/>
    <n v="0.0002"/>
  </r>
  <r>
    <s v="20-Jan-2026"/>
    <x v="1"/>
    <s v="Week3-Jan-2026"/>
    <x v="4"/>
    <s v="Q4FY26"/>
    <s v="29-Sep-2026"/>
    <s v="Tuesday"/>
    <s v="Monthly - Tuesday"/>
    <s v="Monthly - Tuesday"/>
    <s v="Month+8 Expiry"/>
    <n v="0"/>
    <n v="0"/>
    <n v="0"/>
  </r>
  <r>
    <s v="20-Jan-2026"/>
    <x v="1"/>
    <s v="Week3-Jan-2026"/>
    <x v="4"/>
    <s v="Q4FY26"/>
    <s v="29-Dec-2026"/>
    <s v="Tuesday"/>
    <s v="Monthly - Tuesday"/>
    <s v="Monthly - Tuesday"/>
    <s v="Month+11 Expiry"/>
    <n v="0"/>
    <n v="0"/>
    <n v="0"/>
  </r>
  <r>
    <s v="21-Jan-2026"/>
    <x v="2"/>
    <s v="Week3-Jan-2026"/>
    <x v="4"/>
    <s v="Q4FY26"/>
    <s v="27-Jan-2026"/>
    <s v="Tuesday"/>
    <s v="Monthly - Tuesday"/>
    <s v="Monthly - Tuesday"/>
    <s v="Same Month Expiry"/>
    <n v="12414213"/>
    <n v="21724.6153"/>
    <n v="84.83629999999999"/>
  </r>
  <r>
    <s v="21-Jan-2026"/>
    <x v="2"/>
    <s v="Week3-Jan-2026"/>
    <x v="4"/>
    <s v="Q4FY26"/>
    <s v="24-Feb-2026"/>
    <s v="Tuesday"/>
    <s v="Monthly - Tuesday"/>
    <s v="Monthly - Tuesday"/>
    <s v="Month+1 Expiry"/>
    <n v="372901"/>
    <n v="667.6104"/>
    <n v="7.5471"/>
  </r>
  <r>
    <s v="21-Jan-2026"/>
    <x v="2"/>
    <s v="Week3-Jan-2026"/>
    <x v="4"/>
    <s v="Q4FY26"/>
    <s v="30-Mar-2026"/>
    <s v="Monday"/>
    <s v="Monthly - Monday"/>
    <s v="Monthly - Monday"/>
    <s v="Month+2 Expiry"/>
    <n v="37571"/>
    <n v="67.33880000000001"/>
    <n v="0.9223"/>
  </r>
  <r>
    <s v="21-Jan-2026"/>
    <x v="2"/>
    <s v="Week3-Jan-2026"/>
    <x v="4"/>
    <s v="Q4FY26"/>
    <s v="30-Jun-2026"/>
    <s v="Tuesday"/>
    <s v="Monthly - Tuesday"/>
    <s v="Monthly - Tuesday"/>
    <s v="Month+5 Expiry"/>
    <n v="0"/>
    <n v="0"/>
    <n v="0"/>
  </r>
  <r>
    <s v="21-Jan-2026"/>
    <x v="2"/>
    <s v="Week3-Jan-2026"/>
    <x v="4"/>
    <s v="Q4FY26"/>
    <s v="29-Sep-2026"/>
    <s v="Tuesday"/>
    <s v="Monthly - Tuesday"/>
    <s v="Monthly - Tuesday"/>
    <s v="Month+8 Expiry"/>
    <n v="0"/>
    <n v="0"/>
    <n v="0"/>
  </r>
  <r>
    <s v="21-Jan-2026"/>
    <x v="2"/>
    <s v="Week3-Jan-2026"/>
    <x v="4"/>
    <s v="Q4FY26"/>
    <s v="29-Dec-2026"/>
    <s v="Tuesday"/>
    <s v="Monthly - Tuesday"/>
    <s v="Monthly - Tuesday"/>
    <s v="Month+11 Expiry"/>
    <n v="0"/>
    <n v="0"/>
    <n v="0"/>
  </r>
  <r>
    <s v="22-Jan-2026"/>
    <x v="3"/>
    <s v="Week4-Jan-2026"/>
    <x v="4"/>
    <s v="Q4FY26"/>
    <s v="27-Jan-2026"/>
    <s v="Tuesday"/>
    <s v="Monthly - Tuesday"/>
    <s v="Monthly - Tuesday"/>
    <s v="Same Month Expiry"/>
    <n v="9418009"/>
    <n v="16540.254"/>
    <n v="62.5835"/>
  </r>
  <r>
    <s v="22-Jan-2026"/>
    <x v="3"/>
    <s v="Week4-Jan-2026"/>
    <x v="4"/>
    <s v="Q4FY26"/>
    <s v="24-Feb-2026"/>
    <s v="Tuesday"/>
    <s v="Monthly - Tuesday"/>
    <s v="Monthly - Tuesday"/>
    <s v="Month+1 Expiry"/>
    <n v="287934"/>
    <n v="515.5237"/>
    <n v="5.984"/>
  </r>
  <r>
    <s v="22-Jan-2026"/>
    <x v="3"/>
    <s v="Week4-Jan-2026"/>
    <x v="4"/>
    <s v="Q4FY26"/>
    <s v="30-Mar-2026"/>
    <s v="Monday"/>
    <s v="Monthly - Monday"/>
    <s v="Monthly - Monday"/>
    <s v="Month+2 Expiry"/>
    <n v="19189"/>
    <n v="34.3047"/>
    <n v="0.4585"/>
  </r>
  <r>
    <s v="22-Jan-2026"/>
    <x v="3"/>
    <s v="Week4-Jan-2026"/>
    <x v="4"/>
    <s v="Q4FY26"/>
    <s v="30-Jun-2026"/>
    <s v="Tuesday"/>
    <s v="Monthly - Tuesday"/>
    <s v="Monthly - Tuesday"/>
    <s v="Month+5 Expiry"/>
    <n v="1"/>
    <n v="0.0018"/>
    <n v="0"/>
  </r>
  <r>
    <s v="22-Jan-2026"/>
    <x v="3"/>
    <s v="Week4-Jan-2026"/>
    <x v="4"/>
    <s v="Q4FY26"/>
    <s v="29-Sep-2026"/>
    <s v="Tuesday"/>
    <s v="Monthly - Tuesday"/>
    <s v="Monthly - Tuesday"/>
    <s v="Month+8 Expiry"/>
    <n v="0"/>
    <n v="0"/>
    <n v="0"/>
  </r>
  <r>
    <s v="22-Jan-2026"/>
    <x v="3"/>
    <s v="Week4-Jan-2026"/>
    <x v="4"/>
    <s v="Q4FY26"/>
    <s v="29-Dec-2026"/>
    <s v="Tuesday"/>
    <s v="Monthly - Tuesday"/>
    <s v="Monthly - Tuesday"/>
    <s v="Month+11 Expiry"/>
    <n v="0"/>
    <n v="0"/>
    <n v="0"/>
  </r>
  <r>
    <s v="23-Jan-2026"/>
    <x v="4"/>
    <s v="Week4-Jan-2026"/>
    <x v="4"/>
    <s v="Q4FY26"/>
    <s v="27-Jan-2026"/>
    <s v="Tuesday"/>
    <s v="Monthly - Tuesday"/>
    <s v="Monthly - Tuesday"/>
    <s v="Same Month Expiry"/>
    <n v="18445823"/>
    <n v="32235.9071"/>
    <n v="102.5214"/>
  </r>
  <r>
    <s v="23-Jan-2026"/>
    <x v="4"/>
    <s v="Week4-Jan-2026"/>
    <x v="4"/>
    <s v="Q4FY26"/>
    <s v="24-Feb-2026"/>
    <s v="Tuesday"/>
    <s v="Monthly - Tuesday"/>
    <s v="Monthly - Tuesday"/>
    <s v="Month+1 Expiry"/>
    <n v="391805"/>
    <n v="702.6994"/>
    <n v="9.131600000000001"/>
  </r>
  <r>
    <s v="23-Jan-2026"/>
    <x v="4"/>
    <s v="Week4-Jan-2026"/>
    <x v="4"/>
    <s v="Q4FY26"/>
    <s v="30-Mar-2026"/>
    <s v="Monday"/>
    <s v="Monthly - Monday"/>
    <s v="Monthly - Monday"/>
    <s v="Month+2 Expiry"/>
    <n v="17636"/>
    <n v="31.7874"/>
    <n v="0.5179"/>
  </r>
  <r>
    <s v="23-Jan-2026"/>
    <x v="4"/>
    <s v="Week4-Jan-2026"/>
    <x v="4"/>
    <s v="Q4FY26"/>
    <s v="30-Jun-2026"/>
    <s v="Tuesday"/>
    <s v="Monthly - Tuesday"/>
    <s v="Monthly - Tuesday"/>
    <s v="Month+5 Expiry"/>
    <n v="1"/>
    <n v="0.0018"/>
    <n v="0"/>
  </r>
  <r>
    <s v="23-Jan-2026"/>
    <x v="4"/>
    <s v="Week4-Jan-2026"/>
    <x v="4"/>
    <s v="Q4FY26"/>
    <s v="29-Sep-2026"/>
    <s v="Tuesday"/>
    <s v="Monthly - Tuesday"/>
    <s v="Monthly - Tuesday"/>
    <s v="Month+8 Expiry"/>
    <n v="0"/>
    <n v="0"/>
    <n v="0"/>
  </r>
  <r>
    <s v="23-Jan-2026"/>
    <x v="4"/>
    <s v="Week4-Jan-2026"/>
    <x v="4"/>
    <s v="Q4FY26"/>
    <s v="29-Dec-2026"/>
    <s v="Tuesday"/>
    <s v="Monthly - Tuesday"/>
    <s v="Monthly - Tuesday"/>
    <s v="Month+11 Expiry"/>
    <n v="0"/>
    <n v="0"/>
    <n v="0"/>
  </r>
  <r>
    <s v="27-Jan-2026"/>
    <x v="1"/>
    <s v="Week4-Jan-2026"/>
    <x v="4"/>
    <s v="Q4FY26"/>
    <s v="27-Jan-2026"/>
    <s v="Tuesday"/>
    <s v="Monthly - Tuesday"/>
    <s v="Monthly - Tuesday"/>
    <s v="Same Month Expiry"/>
    <n v="89044441"/>
    <n v="154787.0144"/>
    <n v="180.1661"/>
  </r>
  <r>
    <s v="27-Jan-2026"/>
    <x v="1"/>
    <s v="Week4-Jan-2026"/>
    <x v="4"/>
    <s v="Q4FY26"/>
    <s v="24-Feb-2026"/>
    <s v="Tuesday"/>
    <s v="Monthly - Tuesday"/>
    <s v="Monthly - Tuesday"/>
    <s v="Month+1 Expiry"/>
    <n v="825718"/>
    <n v="1469.6984"/>
    <n v="17.9767"/>
  </r>
  <r>
    <s v="27-Jan-2026"/>
    <x v="1"/>
    <s v="Week4-Jan-2026"/>
    <x v="4"/>
    <s v="Q4FY26"/>
    <s v="30-Mar-2026"/>
    <s v="Monday"/>
    <s v="Monthly - Monday"/>
    <s v="Monthly - Monday"/>
    <s v="Month+2 Expiry"/>
    <n v="24215"/>
    <n v="43.698"/>
    <n v="0.6173"/>
  </r>
  <r>
    <s v="27-Jan-2026"/>
    <x v="1"/>
    <s v="Week4-Jan-2026"/>
    <x v="4"/>
    <s v="Q4FY26"/>
    <s v="30-Jun-2026"/>
    <s v="Tuesday"/>
    <s v="Monthly - Tuesday"/>
    <s v="Monthly - Tuesday"/>
    <s v="Month+5 Expiry"/>
    <n v="21"/>
    <n v="0.0375"/>
    <n v="0.0007"/>
  </r>
  <r>
    <s v="27-Jan-2026"/>
    <x v="1"/>
    <s v="Week4-Jan-2026"/>
    <x v="4"/>
    <s v="Q4FY26"/>
    <s v="29-Sep-2026"/>
    <s v="Tuesday"/>
    <s v="Monthly - Tuesday"/>
    <s v="Monthly - Tuesday"/>
    <s v="Month+8 Expiry"/>
    <n v="0"/>
    <n v="0"/>
    <n v="0"/>
  </r>
  <r>
    <s v="27-Jan-2026"/>
    <x v="1"/>
    <s v="Week4-Jan-2026"/>
    <x v="4"/>
    <s v="Q4FY26"/>
    <s v="29-Dec-2026"/>
    <s v="Tuesday"/>
    <s v="Monthly - Tuesday"/>
    <s v="Monthly - Tuesday"/>
    <s v="Month+11 Expiry"/>
    <n v="0"/>
    <n v="0"/>
    <n v="0"/>
  </r>
  <r>
    <s v="28-Jan-2026"/>
    <x v="2"/>
    <s v="Week4-Jan-2026"/>
    <x v="4"/>
    <s v="Q4FY26"/>
    <s v="24-Feb-2026"/>
    <s v="Tuesday"/>
    <s v="Monthly - Tuesday"/>
    <s v="Monthly - Tuesday"/>
    <s v="Month+1 Expiry"/>
    <n v="2041946"/>
    <n v="3646.5282"/>
    <n v="38.3867"/>
  </r>
  <r>
    <s v="28-Jan-2026"/>
    <x v="2"/>
    <s v="Week4-Jan-2026"/>
    <x v="4"/>
    <s v="Q4FY26"/>
    <s v="30-Mar-2026"/>
    <s v="Monday"/>
    <s v="Monthly - Monday"/>
    <s v="Monthly - Monday"/>
    <s v="Month+2 Expiry"/>
    <n v="24716"/>
    <n v="44.2572"/>
    <n v="0.5391"/>
  </r>
  <r>
    <s v="28-Jan-2026"/>
    <x v="2"/>
    <s v="Week4-Jan-2026"/>
    <x v="4"/>
    <s v="Q4FY26"/>
    <s v="28-Apr-2026"/>
    <s v="Tuesday"/>
    <s v="Monthly - Tuesday"/>
    <s v="Monthly - Tuesday"/>
    <s v="Month+3 Expiry"/>
    <n v="159"/>
    <n v="0.2818"/>
    <n v="0.0044"/>
  </r>
  <r>
    <s v="28-Jan-2026"/>
    <x v="2"/>
    <s v="Week4-Jan-2026"/>
    <x v="4"/>
    <s v="Q4FY26"/>
    <s v="30-Jun-2026"/>
    <s v="Tuesday"/>
    <s v="Monthly - Tuesday"/>
    <s v="Monthly - Tuesday"/>
    <s v="Month+5 Expiry"/>
    <n v="14"/>
    <n v="0.025"/>
    <n v="0.0004"/>
  </r>
  <r>
    <s v="28-Jan-2026"/>
    <x v="2"/>
    <s v="Week4-Jan-2026"/>
    <x v="4"/>
    <s v="Q4FY26"/>
    <s v="29-Sep-2026"/>
    <s v="Tuesday"/>
    <s v="Monthly - Tuesday"/>
    <s v="Monthly - Tuesday"/>
    <s v="Month+8 Expiry"/>
    <n v="0"/>
    <n v="0"/>
    <n v="0"/>
  </r>
  <r>
    <s v="28-Jan-2026"/>
    <x v="2"/>
    <s v="Week4-Jan-2026"/>
    <x v="4"/>
    <s v="Q4FY26"/>
    <s v="29-Dec-2026"/>
    <s v="Tuesday"/>
    <s v="Monthly - Tuesday"/>
    <s v="Monthly - Tuesday"/>
    <s v="Month+11 Expiry"/>
    <n v="0"/>
    <n v="0"/>
    <n v="0"/>
  </r>
  <r>
    <s v="29-Jan-2026"/>
    <x v="3"/>
    <s v="Week5-Jan-2026"/>
    <x v="4"/>
    <s v="Q4FY26"/>
    <s v="24-Feb-2026"/>
    <s v="Tuesday"/>
    <s v="Monthly - Tuesday"/>
    <s v="Monthly - Tuesday"/>
    <s v="Month+1 Expiry"/>
    <n v="1883204"/>
    <n v="3374.6449"/>
    <n v="35.0425"/>
  </r>
  <r>
    <s v="29-Jan-2026"/>
    <x v="3"/>
    <s v="Week5-Jan-2026"/>
    <x v="4"/>
    <s v="Q4FY26"/>
    <s v="30-Mar-2026"/>
    <s v="Monday"/>
    <s v="Monthly - Monday"/>
    <s v="Monthly - Monday"/>
    <s v="Month+2 Expiry"/>
    <n v="27686"/>
    <n v="49.8626"/>
    <n v="0.5569"/>
  </r>
  <r>
    <s v="29-Jan-2026"/>
    <x v="3"/>
    <s v="Week5-Jan-2026"/>
    <x v="4"/>
    <s v="Q4FY26"/>
    <s v="28-Apr-2026"/>
    <s v="Tuesday"/>
    <s v="Monthly - Tuesday"/>
    <s v="Monthly - Tuesday"/>
    <s v="Month+3 Expiry"/>
    <n v="320"/>
    <n v="0.5822000000000001"/>
    <n v="0.0103"/>
  </r>
  <r>
    <s v="29-Jan-2026"/>
    <x v="3"/>
    <s v="Week5-Jan-2026"/>
    <x v="4"/>
    <s v="Q4FY26"/>
    <s v="30-Jun-2026"/>
    <s v="Tuesday"/>
    <s v="Monthly - Tuesday"/>
    <s v="Monthly - Tuesday"/>
    <s v="Month+5 Expiry"/>
    <n v="11"/>
    <n v="0.0196"/>
    <n v="0.0003"/>
  </r>
  <r>
    <s v="29-Jan-2026"/>
    <x v="3"/>
    <s v="Week5-Jan-2026"/>
    <x v="4"/>
    <s v="Q4FY26"/>
    <s v="29-Sep-2026"/>
    <s v="Tuesday"/>
    <s v="Monthly - Tuesday"/>
    <s v="Monthly - Tuesday"/>
    <s v="Month+8 Expiry"/>
    <n v="0"/>
    <n v="0"/>
    <n v="0"/>
  </r>
  <r>
    <s v="29-Jan-2026"/>
    <x v="3"/>
    <s v="Week5-Jan-2026"/>
    <x v="4"/>
    <s v="Q4FY26"/>
    <s v="29-Dec-2026"/>
    <s v="Tuesday"/>
    <s v="Monthly - Tuesday"/>
    <s v="Monthly - Tuesday"/>
    <s v="Month+11 Expiry"/>
    <n v="0"/>
    <n v="0"/>
    <n v="0"/>
  </r>
  <r>
    <s v="30-Jan-2026"/>
    <x v="4"/>
    <s v="Week5-Jan-2026"/>
    <x v="4"/>
    <s v="Q4FY26"/>
    <s v="24-Feb-2026"/>
    <s v="Tuesday"/>
    <s v="Monthly - Tuesday"/>
    <s v="Monthly - Tuesday"/>
    <s v="Month+1 Expiry"/>
    <n v="2224337"/>
    <n v="3982.4356"/>
    <n v="40.3795"/>
  </r>
  <r>
    <s v="30-Jan-2026"/>
    <x v="4"/>
    <s v="Week5-Jan-2026"/>
    <x v="4"/>
    <s v="Q4FY26"/>
    <s v="30-Mar-2026"/>
    <s v="Monday"/>
    <s v="Monthly - Monday"/>
    <s v="Monthly - Monday"/>
    <s v="Month+2 Expiry"/>
    <n v="25777"/>
    <n v="46.682"/>
    <n v="0.5952"/>
  </r>
  <r>
    <s v="30-Jan-2026"/>
    <x v="4"/>
    <s v="Week5-Jan-2026"/>
    <x v="4"/>
    <s v="Q4FY26"/>
    <s v="28-Apr-2026"/>
    <s v="Tuesday"/>
    <s v="Monthly - Tuesday"/>
    <s v="Monthly - Tuesday"/>
    <s v="Month+3 Expiry"/>
    <n v="487"/>
    <n v="0.8885"/>
    <n v="0.0175"/>
  </r>
  <r>
    <s v="30-Jan-2026"/>
    <x v="4"/>
    <s v="Week5-Jan-2026"/>
    <x v="4"/>
    <s v="Q4FY26"/>
    <s v="30-Jun-2026"/>
    <s v="Tuesday"/>
    <s v="Monthly - Tuesday"/>
    <s v="Monthly - Tuesday"/>
    <s v="Month+5 Expiry"/>
    <n v="11"/>
    <n v="0.0196"/>
    <n v="0.0003"/>
  </r>
  <r>
    <s v="30-Jan-2026"/>
    <x v="4"/>
    <s v="Week5-Jan-2026"/>
    <x v="4"/>
    <s v="Q4FY26"/>
    <s v="29-Sep-2026"/>
    <s v="Tuesday"/>
    <s v="Monthly - Tuesday"/>
    <s v="Monthly - Tuesday"/>
    <s v="Month+8 Expiry"/>
    <n v="0"/>
    <n v="0"/>
    <n v="0"/>
  </r>
  <r>
    <s v="30-Jan-2026"/>
    <x v="4"/>
    <s v="Week5-Jan-2026"/>
    <x v="4"/>
    <s v="Q4FY26"/>
    <s v="29-Dec-2026"/>
    <s v="Tuesday"/>
    <s v="Monthly - Tuesday"/>
    <s v="Monthly - Tuesday"/>
    <s v="Month+11 Expiry"/>
    <n v="0"/>
    <n v="0"/>
    <n v="0"/>
  </r>
  <r>
    <s v="01-Feb-2026"/>
    <x v="5"/>
    <s v="Week1-Feb-2026"/>
    <x v="5"/>
    <s v="Q4FY26"/>
    <s v="24-Feb-2026"/>
    <s v="Tuesday"/>
    <s v="Monthly - Tuesday"/>
    <s v="Monthly - Tuesday"/>
    <s v="Same Month Expiry"/>
    <n v="4014589"/>
    <n v="7173.3755"/>
    <n v="63.3544"/>
  </r>
  <r>
    <s v="01-Feb-2026"/>
    <x v="5"/>
    <s v="Week1-Feb-2026"/>
    <x v="5"/>
    <s v="Q4FY26"/>
    <s v="30-Mar-2026"/>
    <s v="Monday"/>
    <s v="Monthly - Monday"/>
    <s v="Monthly - Monday"/>
    <s v="Month+1 Expiry"/>
    <n v="67953"/>
    <n v="122.6479"/>
    <n v="1.5191"/>
  </r>
  <r>
    <s v="01-Feb-2026"/>
    <x v="5"/>
    <s v="Week1-Feb-2026"/>
    <x v="5"/>
    <s v="Q4FY26"/>
    <s v="28-Apr-2026"/>
    <s v="Tuesday"/>
    <s v="Monthly - Tuesday"/>
    <s v="Monthly - Tuesday"/>
    <s v="Month+2 Expiry"/>
    <n v="750"/>
    <n v="1.3668"/>
    <n v="0.026"/>
  </r>
  <r>
    <s v="01-Feb-2026"/>
    <x v="5"/>
    <s v="Week1-Feb-2026"/>
    <x v="5"/>
    <s v="Q4FY26"/>
    <s v="30-Jun-2026"/>
    <s v="Tuesday"/>
    <s v="Monthly - Tuesday"/>
    <s v="Monthly - Tuesday"/>
    <s v="Month+4 Expiry"/>
    <n v="43"/>
    <n v="0.0769"/>
    <n v="0.0014"/>
  </r>
  <r>
    <s v="01-Feb-2026"/>
    <x v="5"/>
    <s v="Week1-Feb-2026"/>
    <x v="5"/>
    <s v="Q4FY26"/>
    <s v="29-Sep-2026"/>
    <s v="Tuesday"/>
    <s v="Monthly - Tuesday"/>
    <s v="Monthly - Tuesday"/>
    <s v="Month+7 Expiry"/>
    <n v="0"/>
    <n v="0"/>
    <n v="0"/>
  </r>
  <r>
    <s v="01-Feb-2026"/>
    <x v="5"/>
    <s v="Week1-Feb-2026"/>
    <x v="5"/>
    <s v="Q4FY26"/>
    <s v="29-Dec-2026"/>
    <s v="Tuesday"/>
    <s v="Monthly - Tuesday"/>
    <s v="Monthly - Tuesday"/>
    <s v="Month+10 Expiry"/>
    <n v="0"/>
    <n v="0"/>
    <n v="0"/>
  </r>
  <r>
    <s v="02-Feb-2026"/>
    <x v="0"/>
    <s v="Week1-Feb-2026"/>
    <x v="5"/>
    <s v="Q4FY26"/>
    <s v="24-Feb-2026"/>
    <s v="Tuesday"/>
    <s v="Monthly - Tuesday"/>
    <s v="Monthly - Tuesday"/>
    <s v="Same Month Expiry"/>
    <n v="2941021"/>
    <n v="5185.9158"/>
    <n v="46.7905"/>
  </r>
  <r>
    <s v="02-Feb-2026"/>
    <x v="0"/>
    <s v="Week1-Feb-2026"/>
    <x v="5"/>
    <s v="Q4FY26"/>
    <s v="30-Mar-2026"/>
    <s v="Monday"/>
    <s v="Monthly - Monday"/>
    <s v="Monthly - Monday"/>
    <s v="Month+1 Expiry"/>
    <n v="55122"/>
    <n v="98.68040000000001"/>
    <n v="1.2341"/>
  </r>
  <r>
    <s v="02-Feb-2026"/>
    <x v="0"/>
    <s v="Week1-Feb-2026"/>
    <x v="5"/>
    <s v="Q4FY26"/>
    <s v="28-Apr-2026"/>
    <s v="Tuesday"/>
    <s v="Monthly - Tuesday"/>
    <s v="Monthly - Tuesday"/>
    <s v="Month+2 Expiry"/>
    <n v="1483"/>
    <n v="2.6798"/>
    <n v="0.0415"/>
  </r>
  <r>
    <s v="02-Feb-2026"/>
    <x v="0"/>
    <s v="Week1-Feb-2026"/>
    <x v="5"/>
    <s v="Q4FY26"/>
    <s v="30-Jun-2026"/>
    <s v="Tuesday"/>
    <s v="Monthly - Tuesday"/>
    <s v="Monthly - Tuesday"/>
    <s v="Month+4 Expiry"/>
    <n v="44"/>
    <n v="0.0789"/>
    <n v="0.0017"/>
  </r>
  <r>
    <s v="02-Feb-2026"/>
    <x v="0"/>
    <s v="Week1-Feb-2026"/>
    <x v="5"/>
    <s v="Q4FY26"/>
    <s v="29-Sep-2026"/>
    <s v="Tuesday"/>
    <s v="Monthly - Tuesday"/>
    <s v="Monthly - Tuesday"/>
    <s v="Month+7 Expiry"/>
    <n v="0"/>
    <n v="0"/>
    <n v="0"/>
  </r>
  <r>
    <s v="02-Feb-2026"/>
    <x v="0"/>
    <s v="Week1-Feb-2026"/>
    <x v="5"/>
    <s v="Q4FY26"/>
    <s v="29-Dec-2026"/>
    <s v="Tuesday"/>
    <s v="Monthly - Tuesday"/>
    <s v="Monthly - Tuesday"/>
    <s v="Month+10 Expiry"/>
    <n v="0"/>
    <n v="0"/>
    <n v="0"/>
  </r>
  <r>
    <s v="03-Feb-2026"/>
    <x v="1"/>
    <s v="Week1-Feb-2026"/>
    <x v="5"/>
    <s v="Q4FY26"/>
    <s v="24-Feb-2026"/>
    <s v="Tuesday"/>
    <s v="Monthly - Tuesday"/>
    <s v="Monthly - Tuesday"/>
    <s v="Same Month Expiry"/>
    <n v="3282380"/>
    <n v="5878.9196"/>
    <n v="51.1009"/>
  </r>
  <r>
    <s v="03-Feb-2026"/>
    <x v="1"/>
    <s v="Week1-Feb-2026"/>
    <x v="5"/>
    <s v="Q4FY26"/>
    <s v="30-Mar-2026"/>
    <s v="Monday"/>
    <s v="Monthly - Monday"/>
    <s v="Monthly - Monday"/>
    <s v="Month+1 Expiry"/>
    <n v="85238"/>
    <n v="155.3794"/>
    <n v="2.0396"/>
  </r>
  <r>
    <s v="03-Feb-2026"/>
    <x v="1"/>
    <s v="Week1-Feb-2026"/>
    <x v="5"/>
    <s v="Q4FY26"/>
    <s v="28-Apr-2026"/>
    <s v="Tuesday"/>
    <s v="Monthly - Tuesday"/>
    <s v="Monthly - Tuesday"/>
    <s v="Month+2 Expiry"/>
    <n v="1405"/>
    <n v="2.575"/>
    <n v="0.0462"/>
  </r>
  <r>
    <s v="03-Feb-2026"/>
    <x v="1"/>
    <s v="Week1-Feb-2026"/>
    <x v="5"/>
    <s v="Q4FY26"/>
    <s v="30-Jun-2026"/>
    <s v="Tuesday"/>
    <s v="Monthly - Tuesday"/>
    <s v="Monthly - Tuesday"/>
    <s v="Month+4 Expiry"/>
    <n v="40"/>
    <n v="0.0713"/>
    <n v="0.0011"/>
  </r>
  <r>
    <s v="03-Feb-2026"/>
    <x v="1"/>
    <s v="Week1-Feb-2026"/>
    <x v="5"/>
    <s v="Q4FY26"/>
    <s v="29-Sep-2026"/>
    <s v="Tuesday"/>
    <s v="Monthly - Tuesday"/>
    <s v="Monthly - Tuesday"/>
    <s v="Month+7 Expiry"/>
    <n v="0"/>
    <n v="0"/>
    <n v="0"/>
  </r>
  <r>
    <s v="03-Feb-2026"/>
    <x v="1"/>
    <s v="Week1-Feb-2026"/>
    <x v="5"/>
    <s v="Q4FY26"/>
    <s v="29-Dec-2026"/>
    <s v="Tuesday"/>
    <s v="Monthly - Tuesday"/>
    <s v="Monthly - Tuesday"/>
    <s v="Month+10 Expiry"/>
    <n v="0"/>
    <n v="0"/>
    <n v="0"/>
  </r>
  <r>
    <s v="04-Feb-2026"/>
    <x v="2"/>
    <s v="Week1-Feb-2026"/>
    <x v="5"/>
    <s v="Q4FY26"/>
    <s v="24-Feb-2026"/>
    <s v="Tuesday"/>
    <s v="Monthly - Tuesday"/>
    <s v="Monthly - Tuesday"/>
    <s v="Same Month Expiry"/>
    <n v="2276529"/>
    <n v="4097.0879"/>
    <n v="32.8248"/>
  </r>
  <r>
    <s v="04-Feb-2026"/>
    <x v="2"/>
    <s v="Week1-Feb-2026"/>
    <x v="5"/>
    <s v="Q4FY26"/>
    <s v="30-Mar-2026"/>
    <s v="Monday"/>
    <s v="Monthly - Monday"/>
    <s v="Monthly - Monday"/>
    <s v="Month+1 Expiry"/>
    <n v="44167"/>
    <n v="79.46259999999999"/>
    <n v="0.8157"/>
  </r>
  <r>
    <s v="04-Feb-2026"/>
    <x v="2"/>
    <s v="Week1-Feb-2026"/>
    <x v="5"/>
    <s v="Q4FY26"/>
    <s v="28-Apr-2026"/>
    <s v="Tuesday"/>
    <s v="Monthly - Tuesday"/>
    <s v="Monthly - Tuesday"/>
    <s v="Month+2 Expiry"/>
    <n v="1768"/>
    <n v="3.2021"/>
    <n v="0.0472"/>
  </r>
  <r>
    <s v="04-Feb-2026"/>
    <x v="2"/>
    <s v="Week1-Feb-2026"/>
    <x v="5"/>
    <s v="Q4FY26"/>
    <s v="30-Jun-2026"/>
    <s v="Tuesday"/>
    <s v="Monthly - Tuesday"/>
    <s v="Monthly - Tuesday"/>
    <s v="Month+4 Expiry"/>
    <n v="52"/>
    <n v="0.0941"/>
    <n v="0.0028"/>
  </r>
  <r>
    <s v="04-Feb-2026"/>
    <x v="2"/>
    <s v="Week1-Feb-2026"/>
    <x v="5"/>
    <s v="Q4FY26"/>
    <s v="29-Sep-2026"/>
    <s v="Tuesday"/>
    <s v="Monthly - Tuesday"/>
    <s v="Monthly - Tuesday"/>
    <s v="Month+7 Expiry"/>
    <n v="0"/>
    <n v="0"/>
    <n v="0"/>
  </r>
  <r>
    <s v="04-Feb-2026"/>
    <x v="2"/>
    <s v="Week1-Feb-2026"/>
    <x v="5"/>
    <s v="Q4FY26"/>
    <s v="29-Dec-2026"/>
    <s v="Tuesday"/>
    <s v="Monthly - Tuesday"/>
    <s v="Monthly - Tuesday"/>
    <s v="Month+10 Expiry"/>
    <n v="0"/>
    <n v="0"/>
    <n v="0"/>
  </r>
  <r>
    <s v="05-Feb-2026"/>
    <x v="3"/>
    <s v="Week1-Feb-2026"/>
    <x v="5"/>
    <s v="Q4FY26"/>
    <s v="24-Feb-2026"/>
    <s v="Tuesday"/>
    <s v="Monthly - Tuesday"/>
    <s v="Monthly - Tuesday"/>
    <s v="Same Month Expiry"/>
    <n v="1900416"/>
    <n v="3419.8134"/>
    <n v="26.5009"/>
  </r>
  <r>
    <s v="05-Feb-2026"/>
    <x v="3"/>
    <s v="Week1-Feb-2026"/>
    <x v="5"/>
    <s v="Q4FY26"/>
    <s v="30-Mar-2026"/>
    <s v="Monday"/>
    <s v="Monthly - Monday"/>
    <s v="Monthly - Monday"/>
    <s v="Month+1 Expiry"/>
    <n v="28610"/>
    <n v="52.0564"/>
    <n v="0.5356"/>
  </r>
  <r>
    <s v="05-Feb-2026"/>
    <x v="3"/>
    <s v="Week1-Feb-2026"/>
    <x v="5"/>
    <s v="Q4FY26"/>
    <s v="28-Apr-2026"/>
    <s v="Tuesday"/>
    <s v="Monthly - Tuesday"/>
    <s v="Monthly - Tuesday"/>
    <s v="Month+2 Expiry"/>
    <n v="1227"/>
    <n v="2.2219"/>
    <n v="0.0312"/>
  </r>
  <r>
    <s v="05-Feb-2026"/>
    <x v="3"/>
    <s v="Week1-Feb-2026"/>
    <x v="5"/>
    <s v="Q4FY26"/>
    <s v="30-Jun-2026"/>
    <s v="Tuesday"/>
    <s v="Monthly - Tuesday"/>
    <s v="Monthly - Tuesday"/>
    <s v="Month+4 Expiry"/>
    <n v="35"/>
    <n v="0.06279999999999999"/>
    <n v="0.0013"/>
  </r>
  <r>
    <s v="05-Feb-2026"/>
    <x v="3"/>
    <s v="Week1-Feb-2026"/>
    <x v="5"/>
    <s v="Q4FY26"/>
    <s v="29-Sep-2026"/>
    <s v="Tuesday"/>
    <s v="Monthly - Tuesday"/>
    <s v="Monthly - Tuesday"/>
    <s v="Month+7 Expiry"/>
    <n v="0"/>
    <n v="0"/>
    <n v="0"/>
  </r>
  <r>
    <s v="05-Feb-2026"/>
    <x v="3"/>
    <s v="Week1-Feb-2026"/>
    <x v="5"/>
    <s v="Q4FY26"/>
    <s v="29-Dec-2026"/>
    <s v="Tuesday"/>
    <s v="Monthly - Tuesday"/>
    <s v="Monthly - Tuesday"/>
    <s v="Month+10 Expiry"/>
    <n v="0"/>
    <n v="0"/>
    <n v="0"/>
  </r>
  <r>
    <s v="06-Feb-2026"/>
    <x v="4"/>
    <s v="Week1-Feb-2026"/>
    <x v="5"/>
    <s v="Q4FY26"/>
    <s v="24-Feb-2026"/>
    <s v="Tuesday"/>
    <s v="Monthly - Tuesday"/>
    <s v="Monthly - Tuesday"/>
    <s v="Same Month Expiry"/>
    <n v="3206221"/>
    <n v="5767.5597"/>
    <n v="40.9351"/>
  </r>
  <r>
    <s v="06-Feb-2026"/>
    <x v="4"/>
    <s v="Week1-Feb-2026"/>
    <x v="5"/>
    <s v="Q4FY26"/>
    <s v="30-Mar-2026"/>
    <s v="Monday"/>
    <s v="Monthly - Monday"/>
    <s v="Monthly - Monday"/>
    <s v="Month+1 Expiry"/>
    <n v="46668"/>
    <n v="84.7295"/>
    <n v="0.8862"/>
  </r>
  <r>
    <s v="06-Feb-2026"/>
    <x v="4"/>
    <s v="Week1-Feb-2026"/>
    <x v="5"/>
    <s v="Q4FY26"/>
    <s v="28-Apr-2026"/>
    <s v="Tuesday"/>
    <s v="Monthly - Tuesday"/>
    <s v="Monthly - Tuesday"/>
    <s v="Month+2 Expiry"/>
    <n v="2290"/>
    <n v="4.1725"/>
    <n v="0.0517"/>
  </r>
  <r>
    <s v="06-Feb-2026"/>
    <x v="4"/>
    <s v="Week1-Feb-2026"/>
    <x v="5"/>
    <s v="Q4FY26"/>
    <s v="30-Jun-2026"/>
    <s v="Tuesday"/>
    <s v="Monthly - Tuesday"/>
    <s v="Monthly - Tuesday"/>
    <s v="Month+4 Expiry"/>
    <n v="44"/>
    <n v="0.0786"/>
    <n v="0.0014"/>
  </r>
  <r>
    <s v="06-Feb-2026"/>
    <x v="4"/>
    <s v="Week1-Feb-2026"/>
    <x v="5"/>
    <s v="Q4FY26"/>
    <s v="29-Sep-2026"/>
    <s v="Tuesday"/>
    <s v="Monthly - Tuesday"/>
    <s v="Monthly - Tuesday"/>
    <s v="Month+7 Expiry"/>
    <n v="0"/>
    <n v="0"/>
    <n v="0"/>
  </r>
  <r>
    <s v="06-Feb-2026"/>
    <x v="4"/>
    <s v="Week1-Feb-2026"/>
    <x v="5"/>
    <s v="Q4FY26"/>
    <s v="29-Dec-2026"/>
    <s v="Tuesday"/>
    <s v="Monthly - Tuesday"/>
    <s v="Monthly - Tuesday"/>
    <s v="Month+10 Expiry"/>
    <n v="0"/>
    <n v="0"/>
    <n v="0"/>
  </r>
  <r>
    <s v="09-Feb-2026"/>
    <x v="0"/>
    <s v="Week2-Feb-2026"/>
    <x v="5"/>
    <s v="Q4FY26"/>
    <s v="24-Feb-2026"/>
    <s v="Tuesday"/>
    <s v="Monthly - Tuesday"/>
    <s v="Monthly - Tuesday"/>
    <s v="Same Month Expiry"/>
    <n v="2427088"/>
    <n v="4373.6501"/>
    <n v="28.0095"/>
  </r>
  <r>
    <s v="09-Feb-2026"/>
    <x v="0"/>
    <s v="Week2-Feb-2026"/>
    <x v="5"/>
    <s v="Q4FY26"/>
    <s v="30-Mar-2026"/>
    <s v="Monday"/>
    <s v="Monthly - Monday"/>
    <s v="Monthly - Monday"/>
    <s v="Month+1 Expiry"/>
    <n v="56574"/>
    <n v="102.8533"/>
    <n v="1.0963"/>
  </r>
  <r>
    <s v="09-Feb-2026"/>
    <x v="0"/>
    <s v="Week2-Feb-2026"/>
    <x v="5"/>
    <s v="Q4FY26"/>
    <s v="28-Apr-2026"/>
    <s v="Tuesday"/>
    <s v="Monthly - Tuesday"/>
    <s v="Monthly - Tuesday"/>
    <s v="Month+2 Expiry"/>
    <n v="5815"/>
    <n v="10.6526"/>
    <n v="0.1388"/>
  </r>
  <r>
    <s v="09-Feb-2026"/>
    <x v="0"/>
    <s v="Week2-Feb-2026"/>
    <x v="5"/>
    <s v="Q4FY26"/>
    <s v="30-Jun-2026"/>
    <s v="Tuesday"/>
    <s v="Monthly - Tuesday"/>
    <s v="Monthly - Tuesday"/>
    <s v="Month+4 Expiry"/>
    <n v="78"/>
    <n v="0.1405"/>
    <n v="0.0025"/>
  </r>
  <r>
    <s v="09-Feb-2026"/>
    <x v="0"/>
    <s v="Week2-Feb-2026"/>
    <x v="5"/>
    <s v="Q4FY26"/>
    <s v="29-Sep-2026"/>
    <s v="Tuesday"/>
    <s v="Monthly - Tuesday"/>
    <s v="Monthly - Tuesday"/>
    <s v="Month+7 Expiry"/>
    <n v="0"/>
    <n v="0"/>
    <n v="0"/>
  </r>
  <r>
    <s v="09-Feb-2026"/>
    <x v="0"/>
    <s v="Week2-Feb-2026"/>
    <x v="5"/>
    <s v="Q4FY26"/>
    <s v="29-Dec-2026"/>
    <s v="Tuesday"/>
    <s v="Monthly - Tuesday"/>
    <s v="Monthly - Tuesday"/>
    <s v="Month+10 Expiry"/>
    <n v="0"/>
    <n v="0"/>
    <n v="0"/>
  </r>
  <r>
    <s v="10-Feb-2026"/>
    <x v="1"/>
    <s v="Week2-Feb-2026"/>
    <x v="5"/>
    <s v="Q4FY26"/>
    <s v="24-Feb-2026"/>
    <s v="Tuesday"/>
    <s v="Monthly - Tuesday"/>
    <s v="Monthly - Tuesday"/>
    <s v="Same Month Expiry"/>
    <n v="2052558"/>
    <n v="3708.6684"/>
    <n v="22.4575"/>
  </r>
  <r>
    <s v="10-Feb-2026"/>
    <x v="1"/>
    <s v="Week2-Feb-2026"/>
    <x v="5"/>
    <s v="Q4FY26"/>
    <s v="30-Mar-2026"/>
    <s v="Monday"/>
    <s v="Monthly - Monday"/>
    <s v="Monthly - Monday"/>
    <s v="Month+1 Expiry"/>
    <n v="45749"/>
    <n v="82.7942"/>
    <n v="0.765"/>
  </r>
  <r>
    <s v="10-Feb-2026"/>
    <x v="1"/>
    <s v="Week2-Feb-2026"/>
    <x v="5"/>
    <s v="Q4FY26"/>
    <s v="28-Apr-2026"/>
    <s v="Tuesday"/>
    <s v="Monthly - Tuesday"/>
    <s v="Monthly - Tuesday"/>
    <s v="Month+2 Expiry"/>
    <n v="2784"/>
    <n v="5.1111"/>
    <n v="0.0614"/>
  </r>
  <r>
    <s v="10-Feb-2026"/>
    <x v="1"/>
    <s v="Week2-Feb-2026"/>
    <x v="5"/>
    <s v="Q4FY26"/>
    <s v="30-Jun-2026"/>
    <s v="Tuesday"/>
    <s v="Monthly - Tuesday"/>
    <s v="Monthly - Tuesday"/>
    <s v="Month+4 Expiry"/>
    <n v="72"/>
    <n v="0.1288"/>
    <n v="0.0016"/>
  </r>
  <r>
    <s v="10-Feb-2026"/>
    <x v="1"/>
    <s v="Week2-Feb-2026"/>
    <x v="5"/>
    <s v="Q4FY26"/>
    <s v="29-Sep-2026"/>
    <s v="Tuesday"/>
    <s v="Monthly - Tuesday"/>
    <s v="Monthly - Tuesday"/>
    <s v="Month+7 Expiry"/>
    <n v="0"/>
    <n v="0"/>
    <n v="0"/>
  </r>
  <r>
    <s v="10-Feb-2026"/>
    <x v="1"/>
    <s v="Week2-Feb-2026"/>
    <x v="5"/>
    <s v="Q4FY26"/>
    <s v="29-Dec-2026"/>
    <s v="Tuesday"/>
    <s v="Monthly - Tuesday"/>
    <s v="Monthly - Tuesday"/>
    <s v="Month+10 Expiry"/>
    <n v="0"/>
    <n v="0"/>
    <n v="0"/>
  </r>
  <r>
    <s v="11-Feb-2026"/>
    <x v="2"/>
    <s v="Week2-Feb-2026"/>
    <x v="5"/>
    <s v="Q4FY26"/>
    <s v="24-Feb-2026"/>
    <s v="Tuesday"/>
    <s v="Monthly - Tuesday"/>
    <s v="Monthly - Tuesday"/>
    <s v="Same Month Expiry"/>
    <n v="2490815"/>
    <n v="4505.4309"/>
    <n v="25.4859"/>
  </r>
  <r>
    <s v="11-Feb-2026"/>
    <x v="2"/>
    <s v="Week2-Feb-2026"/>
    <x v="5"/>
    <s v="Q4FY26"/>
    <s v="30-Mar-2026"/>
    <s v="Monday"/>
    <s v="Monthly - Monday"/>
    <s v="Monthly - Monday"/>
    <s v="Month+1 Expiry"/>
    <n v="48893"/>
    <n v="88.8792"/>
    <n v="0.7977"/>
  </r>
  <r>
    <s v="11-Feb-2026"/>
    <x v="2"/>
    <s v="Week2-Feb-2026"/>
    <x v="5"/>
    <s v="Q4FY26"/>
    <s v="28-Apr-2026"/>
    <s v="Tuesday"/>
    <s v="Monthly - Tuesday"/>
    <s v="Monthly - Tuesday"/>
    <s v="Month+2 Expiry"/>
    <n v="2539"/>
    <n v="4.6151"/>
    <n v="0.0506"/>
  </r>
  <r>
    <s v="11-Feb-2026"/>
    <x v="2"/>
    <s v="Week2-Feb-2026"/>
    <x v="5"/>
    <s v="Q4FY26"/>
    <s v="30-Jun-2026"/>
    <s v="Tuesday"/>
    <s v="Monthly - Tuesday"/>
    <s v="Monthly - Tuesday"/>
    <s v="Month+4 Expiry"/>
    <n v="109"/>
    <n v="0.1975"/>
    <n v="0.0028"/>
  </r>
  <r>
    <s v="11-Feb-2026"/>
    <x v="2"/>
    <s v="Week2-Feb-2026"/>
    <x v="5"/>
    <s v="Q4FY26"/>
    <s v="29-Sep-2026"/>
    <s v="Tuesday"/>
    <s v="Monthly - Tuesday"/>
    <s v="Monthly - Tuesday"/>
    <s v="Month+7 Expiry"/>
    <n v="0"/>
    <n v="0"/>
    <n v="0"/>
  </r>
  <r>
    <s v="11-Feb-2026"/>
    <x v="2"/>
    <s v="Week2-Feb-2026"/>
    <x v="5"/>
    <s v="Q4FY26"/>
    <s v="29-Dec-2026"/>
    <s v="Tuesday"/>
    <s v="Monthly - Tuesday"/>
    <s v="Monthly - Tuesday"/>
    <s v="Month+10 Expiry"/>
    <n v="0"/>
    <n v="0"/>
    <n v="0"/>
  </r>
  <r>
    <s v="12-Feb-2026"/>
    <x v="3"/>
    <s v="Week2-Feb-2026"/>
    <x v="5"/>
    <s v="Q4FY26"/>
    <s v="24-Feb-2026"/>
    <s v="Tuesday"/>
    <s v="Monthly - Tuesday"/>
    <s v="Monthly - Tuesday"/>
    <s v="Same Month Expiry"/>
    <n v="2534040"/>
    <n v="4586.6392"/>
    <n v="25.4767"/>
  </r>
  <r>
    <s v="12-Feb-2026"/>
    <x v="3"/>
    <s v="Week2-Feb-2026"/>
    <x v="5"/>
    <s v="Q4FY26"/>
    <s v="30-Mar-2026"/>
    <s v="Monday"/>
    <s v="Monthly - Monday"/>
    <s v="Monthly - Monday"/>
    <s v="Month+1 Expiry"/>
    <n v="54955"/>
    <n v="98.8479"/>
    <n v="0.8643"/>
  </r>
  <r>
    <s v="12-Feb-2026"/>
    <x v="3"/>
    <s v="Week2-Feb-2026"/>
    <x v="5"/>
    <s v="Q4FY26"/>
    <s v="28-Apr-2026"/>
    <s v="Tuesday"/>
    <s v="Monthly - Tuesday"/>
    <s v="Monthly - Tuesday"/>
    <s v="Month+2 Expiry"/>
    <n v="3366"/>
    <n v="6.1488"/>
    <n v="0.0772"/>
  </r>
  <r>
    <s v="12-Feb-2026"/>
    <x v="3"/>
    <s v="Week2-Feb-2026"/>
    <x v="5"/>
    <s v="Q4FY26"/>
    <s v="30-Jun-2026"/>
    <s v="Tuesday"/>
    <s v="Monthly - Tuesday"/>
    <s v="Monthly - Tuesday"/>
    <s v="Month+4 Expiry"/>
    <n v="59"/>
    <n v="0.1059"/>
    <n v="0.0013"/>
  </r>
  <r>
    <s v="12-Feb-2026"/>
    <x v="3"/>
    <s v="Week2-Feb-2026"/>
    <x v="5"/>
    <s v="Q4FY26"/>
    <s v="29-Sep-2026"/>
    <s v="Tuesday"/>
    <s v="Monthly - Tuesday"/>
    <s v="Monthly - Tuesday"/>
    <s v="Month+7 Expiry"/>
    <n v="0"/>
    <n v="0"/>
    <n v="0"/>
  </r>
  <r>
    <s v="12-Feb-2026"/>
    <x v="3"/>
    <s v="Week2-Feb-2026"/>
    <x v="5"/>
    <s v="Q4FY26"/>
    <s v="29-Dec-2026"/>
    <s v="Tuesday"/>
    <s v="Monthly - Tuesday"/>
    <s v="Monthly - Tuesday"/>
    <s v="Month+10 Expiry"/>
    <n v="0"/>
    <n v="0"/>
    <n v="0"/>
  </r>
  <r>
    <s v="13-Feb-2026"/>
    <x v="4"/>
    <s v="Week2-Feb-2026"/>
    <x v="5"/>
    <s v="Q4FY26"/>
    <s v="24-Feb-2026"/>
    <s v="Tuesday"/>
    <s v="Monthly - Tuesday"/>
    <s v="Monthly - Tuesday"/>
    <s v="Same Month Expiry"/>
    <n v="3531486"/>
    <n v="6349.5142"/>
    <n v="34.4765"/>
  </r>
  <r>
    <s v="13-Feb-2026"/>
    <x v="4"/>
    <s v="Week2-Feb-2026"/>
    <x v="5"/>
    <s v="Q4FY26"/>
    <s v="30-Mar-2026"/>
    <s v="Monday"/>
    <s v="Monthly - Monday"/>
    <s v="Monthly - Monday"/>
    <s v="Month+1 Expiry"/>
    <n v="102674"/>
    <n v="186.6546"/>
    <n v="1.7657"/>
  </r>
  <r>
    <s v="13-Feb-2026"/>
    <x v="4"/>
    <s v="Week2-Feb-2026"/>
    <x v="5"/>
    <s v="Q4FY26"/>
    <s v="28-Apr-2026"/>
    <s v="Tuesday"/>
    <s v="Monthly - Tuesday"/>
    <s v="Monthly - Tuesday"/>
    <s v="Month+2 Expiry"/>
    <n v="5415"/>
    <n v="9.7994"/>
    <n v="0.0975"/>
  </r>
  <r>
    <s v="13-Feb-2026"/>
    <x v="4"/>
    <s v="Week2-Feb-2026"/>
    <x v="5"/>
    <s v="Q4FY26"/>
    <s v="30-Jun-2026"/>
    <s v="Tuesday"/>
    <s v="Monthly - Tuesday"/>
    <s v="Monthly - Tuesday"/>
    <s v="Month+4 Expiry"/>
    <n v="123"/>
    <n v="0.2228"/>
    <n v="0.0034"/>
  </r>
  <r>
    <s v="13-Feb-2026"/>
    <x v="4"/>
    <s v="Week2-Feb-2026"/>
    <x v="5"/>
    <s v="Q4FY26"/>
    <s v="29-Sep-2026"/>
    <s v="Tuesday"/>
    <s v="Monthly - Tuesday"/>
    <s v="Monthly - Tuesday"/>
    <s v="Month+7 Expiry"/>
    <n v="0"/>
    <n v="0"/>
    <n v="0"/>
  </r>
  <r>
    <s v="13-Feb-2026"/>
    <x v="4"/>
    <s v="Week2-Feb-2026"/>
    <x v="5"/>
    <s v="Q4FY26"/>
    <s v="29-Dec-2026"/>
    <s v="Tuesday"/>
    <s v="Monthly - Tuesday"/>
    <s v="Monthly - Tuesday"/>
    <s v="Month+10 Expiry"/>
    <n v="0"/>
    <n v="0"/>
    <n v="0"/>
  </r>
  <r>
    <s v="16-Feb-2026"/>
    <x v="0"/>
    <s v="Week3-Feb-2026"/>
    <x v="5"/>
    <s v="Q4FY26"/>
    <s v="24-Feb-2026"/>
    <s v="Tuesday"/>
    <s v="Monthly - Tuesday"/>
    <s v="Monthly - Tuesday"/>
    <s v="Same Month Expiry"/>
    <n v="4350327"/>
    <n v="7864.8048"/>
    <n v="41.1772"/>
  </r>
  <r>
    <s v="16-Feb-2026"/>
    <x v="0"/>
    <s v="Week3-Feb-2026"/>
    <x v="5"/>
    <s v="Q4FY26"/>
    <s v="30-Mar-2026"/>
    <s v="Monday"/>
    <s v="Monthly - Monday"/>
    <s v="Monthly - Monday"/>
    <s v="Month+1 Expiry"/>
    <n v="132760"/>
    <n v="241.7946"/>
    <n v="2.4652"/>
  </r>
  <r>
    <s v="16-Feb-2026"/>
    <x v="0"/>
    <s v="Week3-Feb-2026"/>
    <x v="5"/>
    <s v="Q4FY26"/>
    <s v="28-Apr-2026"/>
    <s v="Tuesday"/>
    <s v="Monthly - Tuesday"/>
    <s v="Monthly - Tuesday"/>
    <s v="Month+2 Expiry"/>
    <n v="7394"/>
    <n v="13.5887"/>
    <n v="0.182"/>
  </r>
  <r>
    <s v="16-Feb-2026"/>
    <x v="0"/>
    <s v="Week3-Feb-2026"/>
    <x v="5"/>
    <s v="Q4FY26"/>
    <s v="30-Jun-2026"/>
    <s v="Tuesday"/>
    <s v="Monthly - Tuesday"/>
    <s v="Monthly - Tuesday"/>
    <s v="Month+4 Expiry"/>
    <n v="176"/>
    <n v="0.321"/>
    <n v="0.0055"/>
  </r>
  <r>
    <s v="16-Feb-2026"/>
    <x v="0"/>
    <s v="Week3-Feb-2026"/>
    <x v="5"/>
    <s v="Q4FY26"/>
    <s v="29-Sep-2026"/>
    <s v="Tuesday"/>
    <s v="Monthly - Tuesday"/>
    <s v="Monthly - Tuesday"/>
    <s v="Month+7 Expiry"/>
    <n v="0"/>
    <n v="0"/>
    <n v="0"/>
  </r>
  <r>
    <s v="16-Feb-2026"/>
    <x v="0"/>
    <s v="Week3-Feb-2026"/>
    <x v="5"/>
    <s v="Q4FY26"/>
    <s v="29-Dec-2026"/>
    <s v="Tuesday"/>
    <s v="Monthly - Tuesday"/>
    <s v="Monthly - Tuesday"/>
    <s v="Month+10 Expiry"/>
    <n v="0"/>
    <n v="0"/>
    <n v="0"/>
  </r>
  <r>
    <s v="17-Feb-2026"/>
    <x v="1"/>
    <s v="Week3-Feb-2026"/>
    <x v="5"/>
    <s v="Q4FY26"/>
    <s v="24-Feb-2026"/>
    <s v="Tuesday"/>
    <s v="Monthly - Tuesday"/>
    <s v="Monthly - Tuesday"/>
    <s v="Same Month Expiry"/>
    <n v="4695879"/>
    <n v="8499.4481"/>
    <n v="39.1683"/>
  </r>
  <r>
    <s v="17-Feb-2026"/>
    <x v="1"/>
    <s v="Week3-Feb-2026"/>
    <x v="5"/>
    <s v="Q4FY26"/>
    <s v="30-Mar-2026"/>
    <s v="Monday"/>
    <s v="Monthly - Monday"/>
    <s v="Monthly - Monday"/>
    <s v="Month+1 Expiry"/>
    <n v="181804"/>
    <n v="333.7069"/>
    <n v="3.6591"/>
  </r>
  <r>
    <s v="17-Feb-2026"/>
    <x v="1"/>
    <s v="Week3-Feb-2026"/>
    <x v="5"/>
    <s v="Q4FY26"/>
    <s v="28-Apr-2026"/>
    <s v="Tuesday"/>
    <s v="Monthly - Tuesday"/>
    <s v="Monthly - Tuesday"/>
    <s v="Month+2 Expiry"/>
    <n v="7836"/>
    <n v="14.4356"/>
    <n v="0.1899"/>
  </r>
  <r>
    <s v="17-Feb-2026"/>
    <x v="1"/>
    <s v="Week3-Feb-2026"/>
    <x v="5"/>
    <s v="Q4FY26"/>
    <s v="30-Jun-2026"/>
    <s v="Tuesday"/>
    <s v="Monthly - Tuesday"/>
    <s v="Monthly - Tuesday"/>
    <s v="Month+4 Expiry"/>
    <n v="205"/>
    <n v="0.3712"/>
    <n v="0.0055"/>
  </r>
  <r>
    <s v="17-Feb-2026"/>
    <x v="1"/>
    <s v="Week3-Feb-2026"/>
    <x v="5"/>
    <s v="Q4FY26"/>
    <s v="29-Sep-2026"/>
    <s v="Tuesday"/>
    <s v="Monthly - Tuesday"/>
    <s v="Monthly - Tuesday"/>
    <s v="Month+7 Expiry"/>
    <n v="0"/>
    <n v="0"/>
    <n v="0"/>
  </r>
  <r>
    <s v="17-Feb-2026"/>
    <x v="1"/>
    <s v="Week3-Feb-2026"/>
    <x v="5"/>
    <s v="Q4FY26"/>
    <s v="29-Dec-2026"/>
    <s v="Tuesday"/>
    <s v="Monthly - Tuesday"/>
    <s v="Monthly - Tuesday"/>
    <s v="Month+10 Expiry"/>
    <n v="0"/>
    <n v="0"/>
    <n v="0"/>
  </r>
  <r>
    <s v="18-Feb-2026"/>
    <x v="2"/>
    <s v="Week3-Feb-2026"/>
    <x v="5"/>
    <s v="Q4FY26"/>
    <s v="24-Feb-2026"/>
    <s v="Tuesday"/>
    <s v="Monthly - Tuesday"/>
    <s v="Monthly - Tuesday"/>
    <s v="Same Month Expiry"/>
    <n v="6187632"/>
    <n v="11201.2294"/>
    <n v="42.3843"/>
  </r>
  <r>
    <s v="18-Feb-2026"/>
    <x v="2"/>
    <s v="Week3-Feb-2026"/>
    <x v="5"/>
    <s v="Q4FY26"/>
    <s v="30-Mar-2026"/>
    <s v="Monday"/>
    <s v="Monthly - Monday"/>
    <s v="Monthly - Monday"/>
    <s v="Month+1 Expiry"/>
    <n v="238935"/>
    <n v="438.0108"/>
    <n v="4.1657"/>
  </r>
  <r>
    <s v="18-Feb-2026"/>
    <x v="2"/>
    <s v="Week3-Feb-2026"/>
    <x v="5"/>
    <s v="Q4FY26"/>
    <s v="28-Apr-2026"/>
    <s v="Tuesday"/>
    <s v="Monthly - Tuesday"/>
    <s v="Monthly - Tuesday"/>
    <s v="Month+2 Expiry"/>
    <n v="9490"/>
    <n v="17.5173"/>
    <n v="0.2504"/>
  </r>
  <r>
    <s v="18-Feb-2026"/>
    <x v="2"/>
    <s v="Week3-Feb-2026"/>
    <x v="5"/>
    <s v="Q4FY26"/>
    <s v="30-Jun-2026"/>
    <s v="Tuesday"/>
    <s v="Monthly - Tuesday"/>
    <s v="Monthly - Tuesday"/>
    <s v="Month+4 Expiry"/>
    <n v="204"/>
    <n v="0.3719"/>
    <n v="0.0074"/>
  </r>
  <r>
    <s v="18-Feb-2026"/>
    <x v="2"/>
    <s v="Week3-Feb-2026"/>
    <x v="5"/>
    <s v="Q4FY26"/>
    <s v="29-Sep-2026"/>
    <s v="Tuesday"/>
    <s v="Monthly - Tuesday"/>
    <s v="Monthly - Tuesday"/>
    <s v="Month+7 Expiry"/>
    <n v="0"/>
    <n v="0"/>
    <n v="0"/>
  </r>
  <r>
    <s v="18-Feb-2026"/>
    <x v="2"/>
    <s v="Week3-Feb-2026"/>
    <x v="5"/>
    <s v="Q4FY26"/>
    <s v="29-Dec-2026"/>
    <s v="Tuesday"/>
    <s v="Monthly - Tuesday"/>
    <s v="Monthly - Tuesday"/>
    <s v="Month+10 Expiry"/>
    <n v="0"/>
    <n v="0"/>
    <n v="0"/>
  </r>
  <r>
    <s v="19-Feb-2026"/>
    <x v="3"/>
    <s v="Week3-Feb-2026"/>
    <x v="5"/>
    <s v="Q4FY26"/>
    <s v="24-Feb-2026"/>
    <s v="Tuesday"/>
    <s v="Monthly - Tuesday"/>
    <s v="Monthly - Tuesday"/>
    <s v="Same Month Expiry"/>
    <n v="7927108"/>
    <n v="14295.3563"/>
    <n v="49.9196"/>
  </r>
  <r>
    <s v="19-Feb-2026"/>
    <x v="3"/>
    <s v="Week3-Feb-2026"/>
    <x v="5"/>
    <s v="Q4FY26"/>
    <s v="30-Mar-2026"/>
    <s v="Monday"/>
    <s v="Monthly - Monday"/>
    <s v="Monthly - Monday"/>
    <s v="Month+1 Expiry"/>
    <n v="378952"/>
    <n v="697.3663"/>
    <n v="7.4026"/>
  </r>
  <r>
    <s v="19-Feb-2026"/>
    <x v="3"/>
    <s v="Week3-Feb-2026"/>
    <x v="5"/>
    <s v="Q4FY26"/>
    <s v="28-Apr-2026"/>
    <s v="Tuesday"/>
    <s v="Monthly - Tuesday"/>
    <s v="Monthly - Tuesday"/>
    <s v="Month+2 Expiry"/>
    <n v="14971"/>
    <n v="27.5702"/>
    <n v="0.3818"/>
  </r>
  <r>
    <s v="19-Feb-2026"/>
    <x v="3"/>
    <s v="Week3-Feb-2026"/>
    <x v="5"/>
    <s v="Q4FY26"/>
    <s v="30-Jun-2026"/>
    <s v="Tuesday"/>
    <s v="Monthly - Tuesday"/>
    <s v="Monthly - Tuesday"/>
    <s v="Month+4 Expiry"/>
    <n v="352"/>
    <n v="0.6439"/>
    <n v="0.0126"/>
  </r>
  <r>
    <s v="19-Feb-2026"/>
    <x v="3"/>
    <s v="Week3-Feb-2026"/>
    <x v="5"/>
    <s v="Q4FY26"/>
    <s v="29-Sep-2026"/>
    <s v="Tuesday"/>
    <s v="Monthly - Tuesday"/>
    <s v="Monthly - Tuesday"/>
    <s v="Month+7 Expiry"/>
    <n v="0"/>
    <n v="0"/>
    <n v="0"/>
  </r>
  <r>
    <s v="19-Feb-2026"/>
    <x v="3"/>
    <s v="Week3-Feb-2026"/>
    <x v="5"/>
    <s v="Q4FY26"/>
    <s v="29-Dec-2026"/>
    <s v="Tuesday"/>
    <s v="Monthly - Tuesday"/>
    <s v="Monthly - Tuesday"/>
    <s v="Month+10 Expiry"/>
    <n v="0"/>
    <n v="0"/>
    <n v="0"/>
  </r>
  <r>
    <s v="20-Feb-2026"/>
    <x v="4"/>
    <s v="Week3-Feb-2026"/>
    <x v="5"/>
    <s v="Q4FY26"/>
    <s v="24-Feb-2026"/>
    <s v="Tuesday"/>
    <s v="Monthly - Tuesday"/>
    <s v="Monthly - Tuesday"/>
    <s v="Same Month Expiry"/>
    <n v="12680554"/>
    <n v="23027.3091"/>
    <n v="85.5929"/>
  </r>
  <r>
    <s v="20-Feb-2026"/>
    <x v="4"/>
    <s v="Week3-Feb-2026"/>
    <x v="5"/>
    <s v="Q4FY26"/>
    <s v="30-Mar-2026"/>
    <s v="Monday"/>
    <s v="Monthly - Monday"/>
    <s v="Monthly - Monday"/>
    <s v="Month+1 Expiry"/>
    <n v="408308"/>
    <n v="750.7895"/>
    <n v="8.266400000000001"/>
  </r>
  <r>
    <s v="20-Feb-2026"/>
    <x v="4"/>
    <s v="Week3-Feb-2026"/>
    <x v="5"/>
    <s v="Q4FY26"/>
    <s v="28-Apr-2026"/>
    <s v="Tuesday"/>
    <s v="Monthly - Tuesday"/>
    <s v="Monthly - Tuesday"/>
    <s v="Month+2 Expiry"/>
    <n v="11033"/>
    <n v="20.2704"/>
    <n v="0.2797"/>
  </r>
  <r>
    <s v="20-Feb-2026"/>
    <x v="4"/>
    <s v="Week3-Feb-2026"/>
    <x v="5"/>
    <s v="Q4FY26"/>
    <s v="30-Jun-2026"/>
    <s v="Tuesday"/>
    <s v="Monthly - Tuesday"/>
    <s v="Monthly - Tuesday"/>
    <s v="Month+4 Expiry"/>
    <n v="306"/>
    <n v="0.5609"/>
    <n v="0.0113"/>
  </r>
  <r>
    <s v="20-Feb-2026"/>
    <x v="4"/>
    <s v="Week3-Feb-2026"/>
    <x v="5"/>
    <s v="Q4FY26"/>
    <s v="29-Sep-2026"/>
    <s v="Tuesday"/>
    <s v="Monthly - Tuesday"/>
    <s v="Monthly - Tuesday"/>
    <s v="Month+7 Expiry"/>
    <n v="0"/>
    <n v="0"/>
    <n v="0"/>
  </r>
  <r>
    <s v="20-Feb-2026"/>
    <x v="4"/>
    <s v="Week3-Feb-2026"/>
    <x v="5"/>
    <s v="Q4FY26"/>
    <s v="29-Dec-2026"/>
    <s v="Tuesday"/>
    <s v="Monthly - Tuesday"/>
    <s v="Monthly - Tuesday"/>
    <s v="Month+10 Expiry"/>
    <n v="0"/>
    <n v="0"/>
    <n v="0"/>
  </r>
  <r>
    <s v="23-Feb-2026"/>
    <x v="0"/>
    <s v="Week4-Feb-2026"/>
    <x v="5"/>
    <s v="Q4FY26"/>
    <s v="24-Feb-2026"/>
    <s v="Tuesday"/>
    <s v="Monthly - Tuesday"/>
    <s v="Monthly - Tuesday"/>
    <s v="Same Month Expiry"/>
    <n v="18965791"/>
    <n v="34370.5432"/>
    <n v="96.6915"/>
  </r>
  <r>
    <s v="23-Feb-2026"/>
    <x v="0"/>
    <s v="Week4-Feb-2026"/>
    <x v="5"/>
    <s v="Q4FY26"/>
    <s v="30-Mar-2026"/>
    <s v="Monday"/>
    <s v="Monthly - Monday"/>
    <s v="Monthly - Monday"/>
    <s v="Month+1 Expiry"/>
    <n v="423329"/>
    <n v="780.3824"/>
    <n v="9.6454"/>
  </r>
  <r>
    <s v="23-Feb-2026"/>
    <x v="0"/>
    <s v="Week4-Feb-2026"/>
    <x v="5"/>
    <s v="Q4FY26"/>
    <s v="28-Apr-2026"/>
    <s v="Tuesday"/>
    <s v="Monthly - Tuesday"/>
    <s v="Monthly - Tuesday"/>
    <s v="Month+2 Expiry"/>
    <n v="10642"/>
    <n v="19.6311"/>
    <n v="0.2718"/>
  </r>
  <r>
    <s v="23-Feb-2026"/>
    <x v="0"/>
    <s v="Week4-Feb-2026"/>
    <x v="5"/>
    <s v="Q4FY26"/>
    <s v="30-Jun-2026"/>
    <s v="Tuesday"/>
    <s v="Monthly - Tuesday"/>
    <s v="Monthly - Tuesday"/>
    <s v="Month+4 Expiry"/>
    <n v="150"/>
    <n v="0.2747"/>
    <n v="0.006"/>
  </r>
  <r>
    <s v="23-Feb-2026"/>
    <x v="0"/>
    <s v="Week4-Feb-2026"/>
    <x v="5"/>
    <s v="Q4FY26"/>
    <s v="29-Sep-2026"/>
    <s v="Tuesday"/>
    <s v="Monthly - Tuesday"/>
    <s v="Monthly - Tuesday"/>
    <s v="Month+7 Expiry"/>
    <n v="0"/>
    <n v="0"/>
    <n v="0"/>
  </r>
  <r>
    <s v="23-Feb-2026"/>
    <x v="0"/>
    <s v="Week4-Feb-2026"/>
    <x v="5"/>
    <s v="Q4FY26"/>
    <s v="29-Dec-2026"/>
    <s v="Tuesday"/>
    <s v="Monthly - Tuesday"/>
    <s v="Monthly - Tuesday"/>
    <s v="Month+10 Expiry"/>
    <n v="0"/>
    <n v="0"/>
    <n v="0"/>
  </r>
  <r>
    <s v="24-Feb-2026"/>
    <x v="1"/>
    <s v="Week4-Feb-2026"/>
    <x v="5"/>
    <s v="Q4FY26"/>
    <s v="24-Feb-2026"/>
    <s v="Tuesday"/>
    <s v="Monthly - Tuesday"/>
    <s v="Monthly - Tuesday"/>
    <s v="Same Month Expiry"/>
    <n v="90988108"/>
    <n v="164406.7164"/>
    <n v="169.8191"/>
  </r>
  <r>
    <s v="24-Feb-2026"/>
    <x v="1"/>
    <s v="Week4-Feb-2026"/>
    <x v="5"/>
    <s v="Q4FY26"/>
    <s v="30-Mar-2026"/>
    <s v="Monday"/>
    <s v="Monthly - Monday"/>
    <s v="Monthly - Monday"/>
    <s v="Month+1 Expiry"/>
    <n v="895039"/>
    <n v="1644.1347"/>
    <n v="18.0693"/>
  </r>
  <r>
    <s v="24-Feb-2026"/>
    <x v="1"/>
    <s v="Week4-Feb-2026"/>
    <x v="5"/>
    <s v="Q4FY26"/>
    <s v="28-Apr-2026"/>
    <s v="Tuesday"/>
    <s v="Monthly - Tuesday"/>
    <s v="Monthly - Tuesday"/>
    <s v="Month+2 Expiry"/>
    <n v="15753"/>
    <n v="29.1145"/>
    <n v="0.378"/>
  </r>
  <r>
    <s v="24-Feb-2026"/>
    <x v="1"/>
    <s v="Week4-Feb-2026"/>
    <x v="5"/>
    <s v="Q4FY26"/>
    <s v="30-Jun-2026"/>
    <s v="Tuesday"/>
    <s v="Monthly - Tuesday"/>
    <s v="Monthly - Tuesday"/>
    <s v="Month+4 Expiry"/>
    <n v="268"/>
    <n v="0.4895"/>
    <n v="0.0103"/>
  </r>
  <r>
    <s v="24-Feb-2026"/>
    <x v="1"/>
    <s v="Week4-Feb-2026"/>
    <x v="5"/>
    <s v="Q4FY26"/>
    <s v="29-Sep-2026"/>
    <s v="Tuesday"/>
    <s v="Monthly - Tuesday"/>
    <s v="Monthly - Tuesday"/>
    <s v="Month+7 Expiry"/>
    <n v="0"/>
    <n v="0"/>
    <n v="0"/>
  </r>
  <r>
    <s v="24-Feb-2026"/>
    <x v="1"/>
    <s v="Week4-Feb-2026"/>
    <x v="5"/>
    <s v="Q4FY26"/>
    <s v="29-Dec-2026"/>
    <s v="Tuesday"/>
    <s v="Monthly - Tuesday"/>
    <s v="Monthly - Tuesday"/>
    <s v="Month+10 Expiry"/>
    <n v="0"/>
    <n v="0"/>
    <n v="0"/>
  </r>
  <r>
    <s v="25-Feb-2026"/>
    <x v="2"/>
    <s v="Week4-Feb-2026"/>
    <x v="5"/>
    <s v="Q4FY26"/>
    <s v="30-Mar-2026"/>
    <s v="Monday"/>
    <s v="Monthly - Monday"/>
    <s v="Monthly - Monday"/>
    <s v="Month+1 Expiry"/>
    <n v="1954093"/>
    <n v="3580.4693"/>
    <n v="35.1357"/>
  </r>
  <r>
    <s v="25-Feb-2026"/>
    <x v="2"/>
    <s v="Week4-Feb-2026"/>
    <x v="5"/>
    <s v="Q4FY26"/>
    <s v="28-Apr-2026"/>
    <s v="Tuesday"/>
    <s v="Monthly - Tuesday"/>
    <s v="Monthly - Tuesday"/>
    <s v="Month+2 Expiry"/>
    <n v="18789"/>
    <n v="34.6615"/>
    <n v="0.4379"/>
  </r>
  <r>
    <s v="25-Feb-2026"/>
    <x v="2"/>
    <s v="Week4-Feb-2026"/>
    <x v="5"/>
    <s v="Q4FY26"/>
    <s v="26-May-2026"/>
    <s v="Tuesday"/>
    <s v="Monthly - Tuesday"/>
    <s v="Monthly - Tuesday"/>
    <s v="Month+3 Expiry"/>
    <n v="370"/>
    <n v="0.6676"/>
    <n v="0.0094"/>
  </r>
  <r>
    <s v="25-Feb-2026"/>
    <x v="2"/>
    <s v="Week4-Feb-2026"/>
    <x v="5"/>
    <s v="Q4FY26"/>
    <s v="30-Jun-2026"/>
    <s v="Tuesday"/>
    <s v="Monthly - Tuesday"/>
    <s v="Monthly - Tuesday"/>
    <s v="Month+4 Expiry"/>
    <n v="242"/>
    <n v="0.4408"/>
    <n v="0.0083"/>
  </r>
  <r>
    <s v="25-Feb-2026"/>
    <x v="2"/>
    <s v="Week4-Feb-2026"/>
    <x v="5"/>
    <s v="Q4FY26"/>
    <s v="29-Sep-2026"/>
    <s v="Tuesday"/>
    <s v="Monthly - Tuesday"/>
    <s v="Monthly - Tuesday"/>
    <s v="Month+7 Expiry"/>
    <n v="0"/>
    <n v="0"/>
    <n v="0"/>
  </r>
  <r>
    <s v="25-Feb-2026"/>
    <x v="2"/>
    <s v="Week4-Feb-2026"/>
    <x v="5"/>
    <s v="Q4FY26"/>
    <s v="29-Dec-2026"/>
    <s v="Tuesday"/>
    <s v="Monthly - Tuesday"/>
    <s v="Monthly - Tuesday"/>
    <s v="Month+10 Expiry"/>
    <n v="0"/>
    <n v="0"/>
    <n v="0"/>
  </r>
  <r>
    <s v="26-Feb-2026"/>
    <x v="3"/>
    <s v="Week4-Feb-2026"/>
    <x v="5"/>
    <s v="Q4FY26"/>
    <s v="30-Mar-2026"/>
    <s v="Monday"/>
    <s v="Monthly - Monday"/>
    <s v="Monthly - Monday"/>
    <s v="Month+1 Expiry"/>
    <n v="1640894"/>
    <n v="2998.4391"/>
    <n v="29.3564"/>
  </r>
  <r>
    <s v="26-Feb-2026"/>
    <x v="3"/>
    <s v="Week4-Feb-2026"/>
    <x v="5"/>
    <s v="Q4FY26"/>
    <s v="28-Apr-2026"/>
    <s v="Tuesday"/>
    <s v="Monthly - Tuesday"/>
    <s v="Monthly - Tuesday"/>
    <s v="Month+2 Expiry"/>
    <n v="17189"/>
    <n v="31.5213"/>
    <n v="0.3677"/>
  </r>
  <r>
    <s v="26-Feb-2026"/>
    <x v="3"/>
    <s v="Week4-Feb-2026"/>
    <x v="5"/>
    <s v="Q4FY26"/>
    <s v="26-May-2026"/>
    <s v="Tuesday"/>
    <s v="Monthly - Tuesday"/>
    <s v="Monthly - Tuesday"/>
    <s v="Month+3 Expiry"/>
    <n v="936"/>
    <n v="1.7144"/>
    <n v="0.0267"/>
  </r>
  <r>
    <s v="26-Feb-2026"/>
    <x v="3"/>
    <s v="Week4-Feb-2026"/>
    <x v="5"/>
    <s v="Q4FY26"/>
    <s v="30-Jun-2026"/>
    <s v="Tuesday"/>
    <s v="Monthly - Tuesday"/>
    <s v="Monthly - Tuesday"/>
    <s v="Month+4 Expiry"/>
    <n v="186"/>
    <n v="0.3374"/>
    <n v="0.0055"/>
  </r>
  <r>
    <s v="26-Feb-2026"/>
    <x v="3"/>
    <s v="Week4-Feb-2026"/>
    <x v="5"/>
    <s v="Q4FY26"/>
    <s v="29-Sep-2026"/>
    <s v="Tuesday"/>
    <s v="Monthly - Tuesday"/>
    <s v="Monthly - Tuesday"/>
    <s v="Month+7 Expiry"/>
    <n v="0"/>
    <n v="0"/>
    <n v="0"/>
  </r>
  <r>
    <s v="26-Feb-2026"/>
    <x v="3"/>
    <s v="Week4-Feb-2026"/>
    <x v="5"/>
    <s v="Q4FY26"/>
    <s v="29-Dec-2026"/>
    <s v="Tuesday"/>
    <s v="Monthly - Tuesday"/>
    <s v="Monthly - Tuesday"/>
    <s v="Month+10 Expiry"/>
    <n v="0"/>
    <n v="0"/>
    <n v="0"/>
  </r>
  <r>
    <s v="27-Feb-2026"/>
    <x v="4"/>
    <s v="Week4-Feb-2026"/>
    <x v="5"/>
    <s v="Q4FY26"/>
    <s v="30-Mar-2026"/>
    <s v="Monday"/>
    <s v="Monthly - Monday"/>
    <s v="Monthly - Monday"/>
    <s v="Month+1 Expiry"/>
    <n v="2217864"/>
    <n v="4039.5065"/>
    <n v="38.6631"/>
  </r>
  <r>
    <s v="27-Feb-2026"/>
    <x v="4"/>
    <s v="Week4-Feb-2026"/>
    <x v="5"/>
    <s v="Q4FY26"/>
    <s v="28-Apr-2026"/>
    <s v="Tuesday"/>
    <s v="Monthly - Tuesday"/>
    <s v="Monthly - Tuesday"/>
    <s v="Month+2 Expiry"/>
    <n v="25813"/>
    <n v="47.5447"/>
    <n v="0.5774"/>
  </r>
  <r>
    <s v="27-Feb-2026"/>
    <x v="4"/>
    <s v="Week4-Feb-2026"/>
    <x v="5"/>
    <s v="Q4FY26"/>
    <s v="26-May-2026"/>
    <s v="Tuesday"/>
    <s v="Monthly - Tuesday"/>
    <s v="Monthly - Tuesday"/>
    <s v="Month+3 Expiry"/>
    <n v="2404"/>
    <n v="4.4069"/>
    <n v="0.07049999999999999"/>
  </r>
  <r>
    <s v="27-Feb-2026"/>
    <x v="4"/>
    <s v="Week4-Feb-2026"/>
    <x v="5"/>
    <s v="Q4FY26"/>
    <s v="30-Jun-2026"/>
    <s v="Tuesday"/>
    <s v="Monthly - Tuesday"/>
    <s v="Monthly - Tuesday"/>
    <s v="Month+4 Expiry"/>
    <n v="329"/>
    <n v="0.5975"/>
    <n v="0.011"/>
  </r>
  <r>
    <s v="27-Feb-2026"/>
    <x v="4"/>
    <s v="Week4-Feb-2026"/>
    <x v="5"/>
    <s v="Q4FY26"/>
    <s v="29-Sep-2026"/>
    <s v="Tuesday"/>
    <s v="Monthly - Tuesday"/>
    <s v="Monthly - Tuesday"/>
    <s v="Month+7 Expiry"/>
    <n v="0"/>
    <n v="0"/>
    <n v="0"/>
  </r>
  <r>
    <s v="27-Feb-2026"/>
    <x v="4"/>
    <s v="Week4-Feb-2026"/>
    <x v="5"/>
    <s v="Q4FY26"/>
    <s v="29-Dec-2026"/>
    <s v="Tuesday"/>
    <s v="Monthly - Tuesday"/>
    <s v="Monthly - Tuesday"/>
    <s v="Month+10 Expiry"/>
    <n v="0"/>
    <n v="0"/>
    <n v="0"/>
  </r>
  <r>
    <s v="02-Mar-2026"/>
    <x v="0"/>
    <s v="Week1-Mar-2026"/>
    <x v="6"/>
    <s v="Q4FY26"/>
    <s v="30-Mar-2026"/>
    <s v="Monday"/>
    <s v="Monthly - Monday"/>
    <s v="Monthly - Monday"/>
    <s v="Same Month Expiry"/>
    <n v="2903983"/>
    <n v="5223.728"/>
    <n v="50.5254"/>
  </r>
  <r>
    <s v="02-Mar-2026"/>
    <x v="0"/>
    <s v="Week1-Mar-2026"/>
    <x v="6"/>
    <s v="Q4FY26"/>
    <s v="28-Apr-2026"/>
    <s v="Tuesday"/>
    <s v="Monthly - Tuesday"/>
    <s v="Monthly - Tuesday"/>
    <s v="Month+1 Expiry"/>
    <n v="77490"/>
    <n v="141.3585"/>
    <n v="1.9388"/>
  </r>
  <r>
    <s v="02-Mar-2026"/>
    <x v="0"/>
    <s v="Week1-Mar-2026"/>
    <x v="6"/>
    <s v="Q4FY26"/>
    <s v="26-May-2026"/>
    <s v="Tuesday"/>
    <s v="Monthly - Tuesday"/>
    <s v="Monthly - Tuesday"/>
    <s v="Month+2 Expiry"/>
    <n v="3791"/>
    <n v="6.9307"/>
    <n v="0.1192"/>
  </r>
  <r>
    <s v="02-Mar-2026"/>
    <x v="0"/>
    <s v="Week1-Mar-2026"/>
    <x v="6"/>
    <s v="Q4FY26"/>
    <s v="30-Jun-2026"/>
    <s v="Tuesday"/>
    <s v="Monthly - Tuesday"/>
    <s v="Monthly - Tuesday"/>
    <s v="Month+3 Expiry"/>
    <n v="739"/>
    <n v="1.3464"/>
    <n v="0.0277"/>
  </r>
  <r>
    <s v="02-Mar-2026"/>
    <x v="0"/>
    <s v="Week1-Mar-2026"/>
    <x v="6"/>
    <s v="Q4FY26"/>
    <s v="29-Sep-2026"/>
    <s v="Tuesday"/>
    <s v="Monthly - Tuesday"/>
    <s v="Monthly - Tuesday"/>
    <s v="Month+6 Expiry"/>
    <n v="0"/>
    <n v="0"/>
    <n v="0"/>
  </r>
  <r>
    <s v="02-Mar-2026"/>
    <x v="0"/>
    <s v="Week1-Mar-2026"/>
    <x v="6"/>
    <s v="Q4FY26"/>
    <s v="29-Dec-2026"/>
    <s v="Tuesday"/>
    <s v="Monthly - Tuesday"/>
    <s v="Monthly - Tuesday"/>
    <s v="Month+9 Expiry"/>
    <n v="0"/>
    <n v="0"/>
    <n v="0"/>
  </r>
  <r>
    <s v="04-Mar-2026"/>
    <x v="2"/>
    <s v="Week1-Mar-2026"/>
    <x v="6"/>
    <s v="Q4FY26"/>
    <s v="30-Mar-2026"/>
    <s v="Monday"/>
    <s v="Monthly - Monday"/>
    <s v="Monthly - Monday"/>
    <s v="Same Month Expiry"/>
    <n v="2933995"/>
    <n v="5212.5291"/>
    <n v="62.5284"/>
  </r>
  <r>
    <s v="04-Mar-2026"/>
    <x v="2"/>
    <s v="Week1-Mar-2026"/>
    <x v="6"/>
    <s v="Q4FY26"/>
    <s v="28-Apr-2026"/>
    <s v="Tuesday"/>
    <s v="Monthly - Tuesday"/>
    <s v="Monthly - Tuesday"/>
    <s v="Month+1 Expiry"/>
    <n v="68047"/>
    <n v="122.8518"/>
    <n v="2.0493"/>
  </r>
  <r>
    <s v="04-Mar-2026"/>
    <x v="2"/>
    <s v="Week1-Mar-2026"/>
    <x v="6"/>
    <s v="Q4FY26"/>
    <s v="26-May-2026"/>
    <s v="Tuesday"/>
    <s v="Monthly - Tuesday"/>
    <s v="Monthly - Tuesday"/>
    <s v="Month+2 Expiry"/>
    <n v="5848"/>
    <n v="10.6803"/>
    <n v="0.2246"/>
  </r>
  <r>
    <s v="04-Mar-2026"/>
    <x v="2"/>
    <s v="Week1-Mar-2026"/>
    <x v="6"/>
    <s v="Q4FY26"/>
    <s v="30-Jun-2026"/>
    <s v="Tuesday"/>
    <s v="Monthly - Tuesday"/>
    <s v="Monthly - Tuesday"/>
    <s v="Month+3 Expiry"/>
    <n v="871"/>
    <n v="1.6056"/>
    <n v="0.0378"/>
  </r>
  <r>
    <s v="04-Mar-2026"/>
    <x v="2"/>
    <s v="Week1-Mar-2026"/>
    <x v="6"/>
    <s v="Q4FY26"/>
    <s v="29-Sep-2026"/>
    <s v="Tuesday"/>
    <s v="Monthly - Tuesday"/>
    <s v="Monthly - Tuesday"/>
    <s v="Month+6 Expiry"/>
    <n v="0"/>
    <n v="0"/>
    <n v="0"/>
  </r>
  <r>
    <s v="04-Mar-2026"/>
    <x v="2"/>
    <s v="Week1-Mar-2026"/>
    <x v="6"/>
    <s v="Q4FY26"/>
    <s v="29-Dec-2026"/>
    <s v="Tuesday"/>
    <s v="Monthly - Tuesday"/>
    <s v="Monthly - Tuesday"/>
    <s v="Month+9 Expiry"/>
    <n v="0"/>
    <n v="0"/>
    <n v="0"/>
  </r>
  <r>
    <s v="05-Mar-2026"/>
    <x v="3"/>
    <s v="Week1-Mar-2026"/>
    <x v="6"/>
    <s v="Q4FY26"/>
    <s v="30-Mar-2026"/>
    <s v="Monday"/>
    <s v="Monthly - Monday"/>
    <s v="Monthly - Monday"/>
    <s v="Same Month Expiry"/>
    <n v="2837637"/>
    <n v="5052.8977"/>
    <n v="54.1067"/>
  </r>
  <r>
    <s v="05-Mar-2026"/>
    <x v="3"/>
    <s v="Week1-Mar-2026"/>
    <x v="6"/>
    <s v="Q4FY26"/>
    <s v="28-Apr-2026"/>
    <s v="Tuesday"/>
    <s v="Monthly - Tuesday"/>
    <s v="Monthly - Tuesday"/>
    <s v="Month+1 Expiry"/>
    <n v="82730"/>
    <n v="149.9902"/>
    <n v="2.3873"/>
  </r>
  <r>
    <s v="05-Mar-2026"/>
    <x v="3"/>
    <s v="Week1-Mar-2026"/>
    <x v="6"/>
    <s v="Q4FY26"/>
    <s v="26-May-2026"/>
    <s v="Tuesday"/>
    <s v="Monthly - Tuesday"/>
    <s v="Monthly - Tuesday"/>
    <s v="Month+2 Expiry"/>
    <n v="3869"/>
    <n v="7.0822"/>
    <n v="0.1208"/>
  </r>
  <r>
    <s v="05-Mar-2026"/>
    <x v="3"/>
    <s v="Week1-Mar-2026"/>
    <x v="6"/>
    <s v="Q4FY26"/>
    <s v="30-Jun-2026"/>
    <s v="Tuesday"/>
    <s v="Monthly - Tuesday"/>
    <s v="Monthly - Tuesday"/>
    <s v="Month+3 Expiry"/>
    <n v="764"/>
    <n v="1.4061"/>
    <n v="0.0294"/>
  </r>
  <r>
    <s v="05-Mar-2026"/>
    <x v="3"/>
    <s v="Week1-Mar-2026"/>
    <x v="6"/>
    <s v="Q4FY26"/>
    <s v="29-Sep-2026"/>
    <s v="Tuesday"/>
    <s v="Monthly - Tuesday"/>
    <s v="Monthly - Tuesday"/>
    <s v="Month+6 Expiry"/>
    <n v="0"/>
    <n v="0"/>
    <n v="0"/>
  </r>
  <r>
    <s v="05-Mar-2026"/>
    <x v="3"/>
    <s v="Week1-Mar-2026"/>
    <x v="6"/>
    <s v="Q4FY26"/>
    <s v="29-Dec-2026"/>
    <s v="Tuesday"/>
    <s v="Monthly - Tuesday"/>
    <s v="Monthly - Tuesday"/>
    <s v="Month+9 Expiry"/>
    <n v="0"/>
    <n v="0"/>
    <n v="0"/>
  </r>
  <r>
    <s v="06-Mar-2026"/>
    <x v="4"/>
    <s v="Week1-Mar-2026"/>
    <x v="6"/>
    <s v="Q4FY26"/>
    <s v="30-Mar-2026"/>
    <s v="Monday"/>
    <s v="Monthly - Monday"/>
    <s v="Monthly - Monday"/>
    <s v="Same Month Expiry"/>
    <n v="2866522"/>
    <n v="5049.9653"/>
    <n v="58.5898"/>
  </r>
  <r>
    <s v="06-Mar-2026"/>
    <x v="4"/>
    <s v="Week1-Mar-2026"/>
    <x v="6"/>
    <s v="Q4FY26"/>
    <s v="28-Apr-2026"/>
    <s v="Tuesday"/>
    <s v="Monthly - Tuesday"/>
    <s v="Monthly - Tuesday"/>
    <s v="Month+1 Expiry"/>
    <n v="90120"/>
    <n v="162.8729"/>
    <n v="2.589"/>
  </r>
  <r>
    <s v="06-Mar-2026"/>
    <x v="4"/>
    <s v="Week1-Mar-2026"/>
    <x v="6"/>
    <s v="Q4FY26"/>
    <s v="26-May-2026"/>
    <s v="Tuesday"/>
    <s v="Monthly - Tuesday"/>
    <s v="Monthly - Tuesday"/>
    <s v="Month+2 Expiry"/>
    <n v="4256"/>
    <n v="7.7239"/>
    <n v="0.1535"/>
  </r>
  <r>
    <s v="06-Mar-2026"/>
    <x v="4"/>
    <s v="Week1-Mar-2026"/>
    <x v="6"/>
    <s v="Q4FY26"/>
    <s v="30-Jun-2026"/>
    <s v="Tuesday"/>
    <s v="Monthly - Tuesday"/>
    <s v="Monthly - Tuesday"/>
    <s v="Month+3 Expiry"/>
    <n v="916"/>
    <n v="1.6778"/>
    <n v="0.0331"/>
  </r>
  <r>
    <s v="06-Mar-2026"/>
    <x v="4"/>
    <s v="Week1-Mar-2026"/>
    <x v="6"/>
    <s v="Q4FY26"/>
    <s v="29-Sep-2026"/>
    <s v="Tuesday"/>
    <s v="Monthly - Tuesday"/>
    <s v="Monthly - Tuesday"/>
    <s v="Month+6 Expiry"/>
    <n v="0"/>
    <n v="0"/>
    <n v="0"/>
  </r>
  <r>
    <s v="06-Mar-2026"/>
    <x v="4"/>
    <s v="Week1-Mar-2026"/>
    <x v="6"/>
    <s v="Q4FY26"/>
    <s v="29-Dec-2026"/>
    <s v="Tuesday"/>
    <s v="Monthly - Tuesday"/>
    <s v="Monthly - Tuesday"/>
    <s v="Month+9 Expiry"/>
    <n v="0"/>
    <n v="0"/>
    <n v="0"/>
  </r>
  <r>
    <s v="09-Mar-2026"/>
    <x v="0"/>
    <s v="Week2-Mar-2026"/>
    <x v="6"/>
    <s v="Q4FY26"/>
    <s v="30-Mar-2026"/>
    <s v="Monday"/>
    <s v="Monthly - Monday"/>
    <s v="Monthly - Monday"/>
    <s v="Same Month Expiry"/>
    <n v="2888911"/>
    <n v="5001.9083"/>
    <n v="72.2641"/>
  </r>
  <r>
    <s v="09-Mar-2026"/>
    <x v="0"/>
    <s v="Week2-Mar-2026"/>
    <x v="6"/>
    <s v="Q4FY26"/>
    <s v="28-Apr-2026"/>
    <s v="Tuesday"/>
    <s v="Monthly - Tuesday"/>
    <s v="Monthly - Tuesday"/>
    <s v="Month+1 Expiry"/>
    <n v="125757"/>
    <n v="224.7017"/>
    <n v="4.2353"/>
  </r>
  <r>
    <s v="09-Mar-2026"/>
    <x v="0"/>
    <s v="Week2-Mar-2026"/>
    <x v="6"/>
    <s v="Q4FY26"/>
    <s v="26-May-2026"/>
    <s v="Tuesday"/>
    <s v="Monthly - Tuesday"/>
    <s v="Monthly - Tuesday"/>
    <s v="Month+2 Expiry"/>
    <n v="6838"/>
    <n v="12.2645"/>
    <n v="0.3072"/>
  </r>
  <r>
    <s v="09-Mar-2026"/>
    <x v="0"/>
    <s v="Week2-Mar-2026"/>
    <x v="6"/>
    <s v="Q4FY26"/>
    <s v="30-Jun-2026"/>
    <s v="Tuesday"/>
    <s v="Monthly - Tuesday"/>
    <s v="Monthly - Tuesday"/>
    <s v="Month+3 Expiry"/>
    <n v="2798"/>
    <n v="5.0152"/>
    <n v="0.1125"/>
  </r>
  <r>
    <s v="09-Mar-2026"/>
    <x v="0"/>
    <s v="Week2-Mar-2026"/>
    <x v="6"/>
    <s v="Q4FY26"/>
    <s v="29-Sep-2026"/>
    <s v="Tuesday"/>
    <s v="Monthly - Tuesday"/>
    <s v="Monthly - Tuesday"/>
    <s v="Month+6 Expiry"/>
    <n v="0"/>
    <n v="0"/>
    <n v="0"/>
  </r>
  <r>
    <s v="09-Mar-2026"/>
    <x v="0"/>
    <s v="Week2-Mar-2026"/>
    <x v="6"/>
    <s v="Q4FY26"/>
    <s v="29-Dec-2026"/>
    <s v="Tuesday"/>
    <s v="Monthly - Tuesday"/>
    <s v="Monthly - Tuesday"/>
    <s v="Month+9 Expiry"/>
    <n v="0"/>
    <n v="0"/>
    <n v="0"/>
  </r>
  <r>
    <s v="10-Mar-2026"/>
    <x v="1"/>
    <s v="Week2-Mar-2026"/>
    <x v="6"/>
    <s v="Q4FY26"/>
    <s v="30-Mar-2026"/>
    <s v="Monday"/>
    <s v="Monthly - Monday"/>
    <s v="Monthly - Monday"/>
    <s v="Same Month Expiry"/>
    <n v="2451975"/>
    <n v="4244.7377"/>
    <n v="49.3932"/>
  </r>
  <r>
    <s v="10-Mar-2026"/>
    <x v="1"/>
    <s v="Week2-Mar-2026"/>
    <x v="6"/>
    <s v="Q4FY26"/>
    <s v="28-Apr-2026"/>
    <s v="Tuesday"/>
    <s v="Monthly - Tuesday"/>
    <s v="Monthly - Tuesday"/>
    <s v="Month+1 Expiry"/>
    <n v="114144"/>
    <n v="205.5598"/>
    <n v="3.7164"/>
  </r>
  <r>
    <s v="10-Mar-2026"/>
    <x v="1"/>
    <s v="Week2-Mar-2026"/>
    <x v="6"/>
    <s v="Q4FY26"/>
    <s v="26-May-2026"/>
    <s v="Tuesday"/>
    <s v="Monthly - Tuesday"/>
    <s v="Monthly - Tuesday"/>
    <s v="Month+2 Expiry"/>
    <n v="4678"/>
    <n v="8.4331"/>
    <n v="0.1549"/>
  </r>
  <r>
    <s v="10-Mar-2026"/>
    <x v="1"/>
    <s v="Week2-Mar-2026"/>
    <x v="6"/>
    <s v="Q4FY26"/>
    <s v="30-Jun-2026"/>
    <s v="Tuesday"/>
    <s v="Monthly - Tuesday"/>
    <s v="Monthly - Tuesday"/>
    <s v="Month+3 Expiry"/>
    <n v="1351"/>
    <n v="2.4594"/>
    <n v="0.0429"/>
  </r>
  <r>
    <s v="10-Mar-2026"/>
    <x v="1"/>
    <s v="Week2-Mar-2026"/>
    <x v="6"/>
    <s v="Q4FY26"/>
    <s v="29-Sep-2026"/>
    <s v="Tuesday"/>
    <s v="Monthly - Tuesday"/>
    <s v="Monthly - Tuesday"/>
    <s v="Month+6 Expiry"/>
    <n v="0"/>
    <n v="0"/>
    <n v="0"/>
  </r>
  <r>
    <s v="10-Mar-2026"/>
    <x v="1"/>
    <s v="Week2-Mar-2026"/>
    <x v="6"/>
    <s v="Q4FY26"/>
    <s v="29-Dec-2026"/>
    <s v="Tuesday"/>
    <s v="Monthly - Tuesday"/>
    <s v="Monthly - Tuesday"/>
    <s v="Month+9 Expiry"/>
    <n v="0"/>
    <n v="0"/>
    <n v="0"/>
  </r>
  <r>
    <s v="11-Mar-2026"/>
    <x v="2"/>
    <s v="Week2-Mar-2026"/>
    <x v="6"/>
    <s v="Q4FY26"/>
    <s v="30-Mar-2026"/>
    <s v="Monday"/>
    <s v="Monthly - Monday"/>
    <s v="Monthly - Monday"/>
    <s v="Same Month Expiry"/>
    <n v="2588800"/>
    <n v="4457.8354"/>
    <n v="51.4296"/>
  </r>
  <r>
    <s v="11-Mar-2026"/>
    <x v="2"/>
    <s v="Week2-Mar-2026"/>
    <x v="6"/>
    <s v="Q4FY26"/>
    <s v="28-Apr-2026"/>
    <s v="Tuesday"/>
    <s v="Monthly - Tuesday"/>
    <s v="Monthly - Tuesday"/>
    <s v="Month+1 Expiry"/>
    <n v="138782"/>
    <n v="247.4927"/>
    <n v="4.3229"/>
  </r>
  <r>
    <s v="11-Mar-2026"/>
    <x v="2"/>
    <s v="Week2-Mar-2026"/>
    <x v="6"/>
    <s v="Q4FY26"/>
    <s v="26-May-2026"/>
    <s v="Tuesday"/>
    <s v="Monthly - Tuesday"/>
    <s v="Monthly - Tuesday"/>
    <s v="Month+2 Expiry"/>
    <n v="6964"/>
    <n v="12.5123"/>
    <n v="0.2381"/>
  </r>
  <r>
    <s v="11-Mar-2026"/>
    <x v="2"/>
    <s v="Week2-Mar-2026"/>
    <x v="6"/>
    <s v="Q4FY26"/>
    <s v="30-Jun-2026"/>
    <s v="Tuesday"/>
    <s v="Monthly - Tuesday"/>
    <s v="Monthly - Tuesday"/>
    <s v="Month+3 Expiry"/>
    <n v="1586"/>
    <n v="2.8689"/>
    <n v="0.056"/>
  </r>
  <r>
    <s v="11-Mar-2026"/>
    <x v="2"/>
    <s v="Week2-Mar-2026"/>
    <x v="6"/>
    <s v="Q4FY26"/>
    <s v="29-Sep-2026"/>
    <s v="Tuesday"/>
    <s v="Monthly - Tuesday"/>
    <s v="Monthly - Tuesday"/>
    <s v="Month+6 Expiry"/>
    <n v="0"/>
    <n v="0"/>
    <n v="0"/>
  </r>
  <r>
    <s v="11-Mar-2026"/>
    <x v="2"/>
    <s v="Week2-Mar-2026"/>
    <x v="6"/>
    <s v="Q4FY26"/>
    <s v="29-Dec-2026"/>
    <s v="Tuesday"/>
    <s v="Monthly - Tuesday"/>
    <s v="Monthly - Tuesday"/>
    <s v="Month+9 Expiry"/>
    <n v="0"/>
    <n v="0"/>
    <n v="0"/>
  </r>
  <r>
    <s v="12-Mar-2026"/>
    <x v="3"/>
    <s v="Week2-Mar-2026"/>
    <x v="6"/>
    <s v="Q4FY26"/>
    <s v="30-Mar-2026"/>
    <s v="Monday"/>
    <s v="Monthly - Monday"/>
    <s v="Monthly - Monday"/>
    <s v="Same Month Expiry"/>
    <n v="2622396"/>
    <n v="4454.5484"/>
    <n v="53.6427"/>
  </r>
  <r>
    <s v="12-Mar-2026"/>
    <x v="3"/>
    <s v="Week2-Mar-2026"/>
    <x v="6"/>
    <s v="Q4FY26"/>
    <s v="28-Apr-2026"/>
    <s v="Tuesday"/>
    <s v="Monthly - Tuesday"/>
    <s v="Monthly - Tuesday"/>
    <s v="Month+1 Expiry"/>
    <n v="116200"/>
    <n v="204.8034"/>
    <n v="3.8403"/>
  </r>
  <r>
    <s v="12-Mar-2026"/>
    <x v="3"/>
    <s v="Week2-Mar-2026"/>
    <x v="6"/>
    <s v="Q4FY26"/>
    <s v="26-May-2026"/>
    <s v="Tuesday"/>
    <s v="Monthly - Tuesday"/>
    <s v="Monthly - Tuesday"/>
    <s v="Month+2 Expiry"/>
    <n v="6475"/>
    <n v="11.3903"/>
    <n v="0.2625"/>
  </r>
  <r>
    <s v="12-Mar-2026"/>
    <x v="3"/>
    <s v="Week2-Mar-2026"/>
    <x v="6"/>
    <s v="Q4FY26"/>
    <s v="30-Jun-2026"/>
    <s v="Tuesday"/>
    <s v="Monthly - Tuesday"/>
    <s v="Monthly - Tuesday"/>
    <s v="Month+3 Expiry"/>
    <n v="1155"/>
    <n v="2.0786"/>
    <n v="0.0379"/>
  </r>
  <r>
    <s v="12-Mar-2026"/>
    <x v="3"/>
    <s v="Week2-Mar-2026"/>
    <x v="6"/>
    <s v="Q4FY26"/>
    <s v="29-Sep-2026"/>
    <s v="Tuesday"/>
    <s v="Monthly - Tuesday"/>
    <s v="Monthly - Tuesday"/>
    <s v="Month+6 Expiry"/>
    <n v="0"/>
    <n v="0"/>
    <n v="0"/>
  </r>
  <r>
    <s v="12-Mar-2026"/>
    <x v="3"/>
    <s v="Week2-Mar-2026"/>
    <x v="6"/>
    <s v="Q4FY26"/>
    <s v="29-Dec-2026"/>
    <s v="Tuesday"/>
    <s v="Monthly - Tuesday"/>
    <s v="Monthly - Tuesday"/>
    <s v="Month+9 Expiry"/>
    <n v="0"/>
    <n v="0"/>
    <n v="0"/>
  </r>
  <r>
    <s v="13-Mar-2026"/>
    <x v="4"/>
    <s v="Week2-Mar-2026"/>
    <x v="6"/>
    <s v="Q4FY26"/>
    <s v="30-Mar-2026"/>
    <s v="Monday"/>
    <s v="Monthly - Monday"/>
    <s v="Monthly - Monday"/>
    <s v="Same Month Expiry"/>
    <n v="3217131"/>
    <n v="5360.856"/>
    <n v="70.75620000000001"/>
  </r>
  <r>
    <s v="13-Mar-2026"/>
    <x v="4"/>
    <s v="Week2-Mar-2026"/>
    <x v="6"/>
    <s v="Q4FY26"/>
    <s v="28-Apr-2026"/>
    <s v="Tuesday"/>
    <s v="Monthly - Tuesday"/>
    <s v="Monthly - Tuesday"/>
    <s v="Month+1 Expiry"/>
    <n v="160765"/>
    <n v="280.4885"/>
    <n v="5.3209"/>
  </r>
  <r>
    <s v="13-Mar-2026"/>
    <x v="4"/>
    <s v="Week2-Mar-2026"/>
    <x v="6"/>
    <s v="Q4FY26"/>
    <s v="26-May-2026"/>
    <s v="Tuesday"/>
    <s v="Monthly - Tuesday"/>
    <s v="Monthly - Tuesday"/>
    <s v="Month+2 Expiry"/>
    <n v="9073"/>
    <n v="15.9569"/>
    <n v="0.3316"/>
  </r>
  <r>
    <s v="13-Mar-2026"/>
    <x v="4"/>
    <s v="Week2-Mar-2026"/>
    <x v="6"/>
    <s v="Q4FY26"/>
    <s v="30-Jun-2026"/>
    <s v="Tuesday"/>
    <s v="Monthly - Tuesday"/>
    <s v="Monthly - Tuesday"/>
    <s v="Month+3 Expiry"/>
    <n v="2729"/>
    <n v="4.9567"/>
    <n v="0.0915"/>
  </r>
  <r>
    <s v="13-Mar-2026"/>
    <x v="4"/>
    <s v="Week2-Mar-2026"/>
    <x v="6"/>
    <s v="Q4FY26"/>
    <s v="29-Sep-2026"/>
    <s v="Tuesday"/>
    <s v="Monthly - Tuesday"/>
    <s v="Monthly - Tuesday"/>
    <s v="Month+6 Expiry"/>
    <n v="0"/>
    <n v="0"/>
    <n v="0"/>
  </r>
  <r>
    <s v="13-Mar-2026"/>
    <x v="4"/>
    <s v="Week2-Mar-2026"/>
    <x v="6"/>
    <s v="Q4FY26"/>
    <s v="29-Dec-2026"/>
    <s v="Tuesday"/>
    <s v="Monthly - Tuesday"/>
    <s v="Monthly - Tuesday"/>
    <s v="Month+9 Expiry"/>
    <n v="0"/>
    <n v="0"/>
    <n v="0"/>
  </r>
  <r>
    <s v="16-Mar-2026"/>
    <x v="0"/>
    <s v="Week3-Mar-2026"/>
    <x v="6"/>
    <s v="Q4FY26"/>
    <s v="30-Mar-2026"/>
    <s v="Monday"/>
    <s v="Monthly - Monday"/>
    <s v="Monthly - Monday"/>
    <s v="Same Month Expiry"/>
    <n v="3269610"/>
    <n v="5433.5413"/>
    <n v="65.53619999999999"/>
  </r>
  <r>
    <s v="16-Mar-2026"/>
    <x v="0"/>
    <s v="Week3-Mar-2026"/>
    <x v="6"/>
    <s v="Q4FY26"/>
    <s v="28-Apr-2026"/>
    <s v="Tuesday"/>
    <s v="Monthly - Tuesday"/>
    <s v="Monthly - Tuesday"/>
    <s v="Month+1 Expiry"/>
    <n v="129880"/>
    <n v="227.4986"/>
    <n v="4.1716"/>
  </r>
  <r>
    <s v="16-Mar-2026"/>
    <x v="0"/>
    <s v="Week3-Mar-2026"/>
    <x v="6"/>
    <s v="Q4FY26"/>
    <s v="26-May-2026"/>
    <s v="Tuesday"/>
    <s v="Monthly - Tuesday"/>
    <s v="Monthly - Tuesday"/>
    <s v="Month+2 Expiry"/>
    <n v="9942"/>
    <n v="17.7425"/>
    <n v="0.4516"/>
  </r>
  <r>
    <s v="16-Mar-2026"/>
    <x v="0"/>
    <s v="Week3-Mar-2026"/>
    <x v="6"/>
    <s v="Q4FY26"/>
    <s v="30-Jun-2026"/>
    <s v="Tuesday"/>
    <s v="Monthly - Tuesday"/>
    <s v="Monthly - Tuesday"/>
    <s v="Month+3 Expiry"/>
    <n v="1452"/>
    <n v="2.6509"/>
    <n v="0.0587"/>
  </r>
  <r>
    <s v="16-Mar-2026"/>
    <x v="0"/>
    <s v="Week3-Mar-2026"/>
    <x v="6"/>
    <s v="Q4FY26"/>
    <s v="29-Sep-2026"/>
    <s v="Tuesday"/>
    <s v="Monthly - Tuesday"/>
    <s v="Monthly - Tuesday"/>
    <s v="Month+6 Expiry"/>
    <n v="0"/>
    <n v="0"/>
    <n v="0"/>
  </r>
  <r>
    <s v="16-Mar-2026"/>
    <x v="0"/>
    <s v="Week3-Mar-2026"/>
    <x v="6"/>
    <s v="Q4FY26"/>
    <s v="29-Dec-2026"/>
    <s v="Tuesday"/>
    <s v="Monthly - Tuesday"/>
    <s v="Monthly - Tuesday"/>
    <s v="Month+9 Expiry"/>
    <n v="0"/>
    <n v="0"/>
    <n v="0"/>
  </r>
  <r>
    <s v="17-Mar-2026"/>
    <x v="1"/>
    <s v="Week3-Mar-2026"/>
    <x v="6"/>
    <s v="Q4FY26"/>
    <s v="30-Mar-2026"/>
    <s v="Monday"/>
    <s v="Monthly - Monday"/>
    <s v="Monthly - Monday"/>
    <s v="Same Month Expiry"/>
    <n v="2770487"/>
    <n v="4602.2111"/>
    <n v="49.1742"/>
  </r>
  <r>
    <s v="17-Mar-2026"/>
    <x v="1"/>
    <s v="Week3-Mar-2026"/>
    <x v="6"/>
    <s v="Q4FY26"/>
    <s v="28-Apr-2026"/>
    <s v="Tuesday"/>
    <s v="Monthly - Tuesday"/>
    <s v="Monthly - Tuesday"/>
    <s v="Month+1 Expiry"/>
    <n v="153010"/>
    <n v="274.6641"/>
    <n v="5.3409"/>
  </r>
  <r>
    <s v="17-Mar-2026"/>
    <x v="1"/>
    <s v="Week3-Mar-2026"/>
    <x v="6"/>
    <s v="Q4FY26"/>
    <s v="26-May-2026"/>
    <s v="Tuesday"/>
    <s v="Monthly - Tuesday"/>
    <s v="Monthly - Tuesday"/>
    <s v="Month+2 Expiry"/>
    <n v="7194"/>
    <n v="12.6707"/>
    <n v="0.22"/>
  </r>
  <r>
    <s v="17-Mar-2026"/>
    <x v="1"/>
    <s v="Week3-Mar-2026"/>
    <x v="6"/>
    <s v="Q4FY26"/>
    <s v="30-Jun-2026"/>
    <s v="Tuesday"/>
    <s v="Monthly - Tuesday"/>
    <s v="Monthly - Tuesday"/>
    <s v="Month+3 Expiry"/>
    <n v="2282"/>
    <n v="4.164"/>
    <n v="0.151"/>
  </r>
  <r>
    <s v="17-Mar-2026"/>
    <x v="1"/>
    <s v="Week3-Mar-2026"/>
    <x v="6"/>
    <s v="Q4FY26"/>
    <s v="29-Sep-2026"/>
    <s v="Tuesday"/>
    <s v="Monthly - Tuesday"/>
    <s v="Monthly - Tuesday"/>
    <s v="Month+6 Expiry"/>
    <n v="0"/>
    <n v="0"/>
    <n v="0"/>
  </r>
  <r>
    <s v="17-Mar-2026"/>
    <x v="1"/>
    <s v="Week3-Mar-2026"/>
    <x v="6"/>
    <s v="Q4FY26"/>
    <s v="29-Dec-2026"/>
    <s v="Tuesday"/>
    <s v="Monthly - Tuesday"/>
    <s v="Monthly - Tuesday"/>
    <s v="Month+9 Expiry"/>
    <n v="0"/>
    <n v="0"/>
    <n v="0"/>
  </r>
  <r>
    <s v="18-Mar-2026"/>
    <x v="2"/>
    <s v="Week3-Mar-2026"/>
    <x v="6"/>
    <s v="Q4FY26"/>
    <s v="30-Mar-2026"/>
    <s v="Monday"/>
    <s v="Monthly - Monday"/>
    <s v="Monthly - Monday"/>
    <s v="Same Month Expiry"/>
    <n v="3507101"/>
    <n v="5850.308"/>
    <n v="49.2118"/>
  </r>
  <r>
    <s v="18-Mar-2026"/>
    <x v="2"/>
    <s v="Week3-Mar-2026"/>
    <x v="6"/>
    <s v="Q4FY26"/>
    <s v="28-Apr-2026"/>
    <s v="Tuesday"/>
    <s v="Monthly - Tuesday"/>
    <s v="Monthly - Tuesday"/>
    <s v="Month+1 Expiry"/>
    <n v="182675"/>
    <n v="327.5798"/>
    <n v="7.234"/>
  </r>
  <r>
    <s v="18-Mar-2026"/>
    <x v="2"/>
    <s v="Week3-Mar-2026"/>
    <x v="6"/>
    <s v="Q4FY26"/>
    <s v="26-May-2026"/>
    <s v="Tuesday"/>
    <s v="Monthly - Tuesday"/>
    <s v="Monthly - Tuesday"/>
    <s v="Month+2 Expiry"/>
    <n v="9872"/>
    <n v="17.3824"/>
    <n v="0.3506"/>
  </r>
  <r>
    <s v="18-Mar-2026"/>
    <x v="2"/>
    <s v="Week3-Mar-2026"/>
    <x v="6"/>
    <s v="Q4FY26"/>
    <s v="30-Jun-2026"/>
    <s v="Tuesday"/>
    <s v="Monthly - Tuesday"/>
    <s v="Monthly - Tuesday"/>
    <s v="Month+3 Expiry"/>
    <n v="2915"/>
    <n v="5.3167"/>
    <n v="0.1809"/>
  </r>
  <r>
    <s v="18-Mar-2026"/>
    <x v="2"/>
    <s v="Week3-Mar-2026"/>
    <x v="6"/>
    <s v="Q4FY26"/>
    <s v="29-Sep-2026"/>
    <s v="Tuesday"/>
    <s v="Monthly - Tuesday"/>
    <s v="Monthly - Tuesday"/>
    <s v="Month+6 Expiry"/>
    <n v="0"/>
    <n v="0"/>
    <n v="0"/>
  </r>
  <r>
    <s v="18-Mar-2026"/>
    <x v="2"/>
    <s v="Week3-Mar-2026"/>
    <x v="6"/>
    <s v="Q4FY26"/>
    <s v="29-Dec-2026"/>
    <s v="Tuesday"/>
    <s v="Monthly - Tuesday"/>
    <s v="Monthly - Tuesday"/>
    <s v="Month+9 Expiry"/>
    <n v="0"/>
    <n v="0"/>
    <n v="0"/>
  </r>
  <r>
    <s v="19-Mar-2026"/>
    <x v="3"/>
    <s v="Week3-Mar-2026"/>
    <x v="6"/>
    <s v="Q4FY26"/>
    <s v="30-Mar-2026"/>
    <s v="Monday"/>
    <s v="Monthly - Monday"/>
    <s v="Monthly - Monday"/>
    <s v="Same Month Expiry"/>
    <n v="4382804"/>
    <n v="7183.3245"/>
    <n v="66.85720000000001"/>
  </r>
  <r>
    <s v="19-Mar-2026"/>
    <x v="3"/>
    <s v="Week3-Mar-2026"/>
    <x v="6"/>
    <s v="Q4FY26"/>
    <s v="28-Apr-2026"/>
    <s v="Tuesday"/>
    <s v="Monthly - Tuesday"/>
    <s v="Monthly - Tuesday"/>
    <s v="Month+1 Expiry"/>
    <n v="211453"/>
    <n v="364.518"/>
    <n v="6.0436"/>
  </r>
  <r>
    <s v="19-Mar-2026"/>
    <x v="3"/>
    <s v="Week3-Mar-2026"/>
    <x v="6"/>
    <s v="Q4FY26"/>
    <s v="26-May-2026"/>
    <s v="Tuesday"/>
    <s v="Monthly - Tuesday"/>
    <s v="Monthly - Tuesday"/>
    <s v="Month+2 Expiry"/>
    <n v="13023"/>
    <n v="22.3078"/>
    <n v="0.4098"/>
  </r>
  <r>
    <s v="19-Mar-2026"/>
    <x v="3"/>
    <s v="Week3-Mar-2026"/>
    <x v="6"/>
    <s v="Q4FY26"/>
    <s v="30-Jun-2026"/>
    <s v="Tuesday"/>
    <s v="Monthly - Tuesday"/>
    <s v="Monthly - Tuesday"/>
    <s v="Month+3 Expiry"/>
    <n v="2651"/>
    <n v="4.7575"/>
    <n v="0.0992"/>
  </r>
  <r>
    <s v="19-Mar-2026"/>
    <x v="3"/>
    <s v="Week3-Mar-2026"/>
    <x v="6"/>
    <s v="Q4FY26"/>
    <s v="29-Sep-2026"/>
    <s v="Tuesday"/>
    <s v="Monthly - Tuesday"/>
    <s v="Monthly - Tuesday"/>
    <s v="Month+6 Expiry"/>
    <n v="0"/>
    <n v="0"/>
    <n v="0"/>
  </r>
  <r>
    <s v="19-Mar-2026"/>
    <x v="3"/>
    <s v="Week3-Mar-2026"/>
    <x v="6"/>
    <s v="Q4FY26"/>
    <s v="29-Dec-2026"/>
    <s v="Tuesday"/>
    <s v="Monthly - Tuesday"/>
    <s v="Monthly - Tuesday"/>
    <s v="Month+9 Expiry"/>
    <n v="0"/>
    <n v="0"/>
    <n v="0"/>
  </r>
  <r>
    <s v="20-Mar-2026"/>
    <x v="4"/>
    <s v="Week3-Mar-2026"/>
    <x v="6"/>
    <s v="Q4FY26"/>
    <s v="30-Mar-2026"/>
    <s v="Monday"/>
    <s v="Monthly - Monday"/>
    <s v="Monthly - Monday"/>
    <s v="Same Month Expiry"/>
    <n v="4159763"/>
    <n v="6813.4329"/>
    <n v="68.9534"/>
  </r>
  <r>
    <s v="20-Mar-2026"/>
    <x v="4"/>
    <s v="Week3-Mar-2026"/>
    <x v="6"/>
    <s v="Q4FY26"/>
    <s v="28-Apr-2026"/>
    <s v="Tuesday"/>
    <s v="Monthly - Tuesday"/>
    <s v="Monthly - Tuesday"/>
    <s v="Month+1 Expiry"/>
    <n v="164907"/>
    <n v="283.3317"/>
    <n v="5.2058"/>
  </r>
  <r>
    <s v="20-Mar-2026"/>
    <x v="4"/>
    <s v="Week3-Mar-2026"/>
    <x v="6"/>
    <s v="Q4FY26"/>
    <s v="26-May-2026"/>
    <s v="Tuesday"/>
    <s v="Monthly - Tuesday"/>
    <s v="Monthly - Tuesday"/>
    <s v="Month+2 Expiry"/>
    <n v="11759"/>
    <n v="20.389"/>
    <n v="0.3605"/>
  </r>
  <r>
    <s v="20-Mar-2026"/>
    <x v="4"/>
    <s v="Week3-Mar-2026"/>
    <x v="6"/>
    <s v="Q4FY26"/>
    <s v="30-Jun-2026"/>
    <s v="Tuesday"/>
    <s v="Monthly - Tuesday"/>
    <s v="Monthly - Tuesday"/>
    <s v="Month+3 Expiry"/>
    <n v="5460"/>
    <n v="9.9419"/>
    <n v="0.409"/>
  </r>
  <r>
    <s v="20-Mar-2026"/>
    <x v="4"/>
    <s v="Week3-Mar-2026"/>
    <x v="6"/>
    <s v="Q4FY26"/>
    <s v="29-Sep-2026"/>
    <s v="Tuesday"/>
    <s v="Monthly - Tuesday"/>
    <s v="Monthly - Tuesday"/>
    <s v="Month+6 Expiry"/>
    <n v="0"/>
    <n v="0"/>
    <n v="0"/>
  </r>
  <r>
    <s v="20-Mar-2026"/>
    <x v="4"/>
    <s v="Week3-Mar-2026"/>
    <x v="6"/>
    <s v="Q4FY26"/>
    <s v="29-Dec-2026"/>
    <s v="Tuesday"/>
    <s v="Monthly - Tuesday"/>
    <s v="Monthly - Tuesday"/>
    <s v="Month+9 Expiry"/>
    <n v="0"/>
    <n v="0"/>
    <n v="0"/>
  </r>
  <r>
    <s v="23-Mar-2026"/>
    <x v="0"/>
    <s v="Week4-Mar-2026"/>
    <x v="6"/>
    <s v="Q4FY26"/>
    <s v="30-Mar-2026"/>
    <s v="Monday"/>
    <s v="Monthly - Monday"/>
    <s v="Monthly - Monday"/>
    <s v="Same Month Expiry"/>
    <n v="4418333"/>
    <n v="7061.7503"/>
    <n v="82.38460000000001"/>
  </r>
  <r>
    <s v="23-Mar-2026"/>
    <x v="0"/>
    <s v="Week4-Mar-2026"/>
    <x v="6"/>
    <s v="Q4FY26"/>
    <s v="28-Apr-2026"/>
    <s v="Tuesday"/>
    <s v="Monthly - Tuesday"/>
    <s v="Monthly - Tuesday"/>
    <s v="Month+1 Expiry"/>
    <n v="239462"/>
    <n v="406.776"/>
    <n v="9.6424"/>
  </r>
  <r>
    <s v="23-Mar-2026"/>
    <x v="0"/>
    <s v="Week4-Mar-2026"/>
    <x v="6"/>
    <s v="Q4FY26"/>
    <s v="26-May-2026"/>
    <s v="Tuesday"/>
    <s v="Monthly - Tuesday"/>
    <s v="Monthly - Tuesday"/>
    <s v="Month+2 Expiry"/>
    <n v="17769"/>
    <n v="30.3721"/>
    <n v="0.7417"/>
  </r>
  <r>
    <s v="23-Mar-2026"/>
    <x v="0"/>
    <s v="Week4-Mar-2026"/>
    <x v="6"/>
    <s v="Q4FY26"/>
    <s v="30-Jun-2026"/>
    <s v="Tuesday"/>
    <s v="Monthly - Tuesday"/>
    <s v="Monthly - Tuesday"/>
    <s v="Month+3 Expiry"/>
    <n v="4014"/>
    <n v="7.1333"/>
    <n v="0.2071"/>
  </r>
  <r>
    <s v="23-Mar-2026"/>
    <x v="0"/>
    <s v="Week4-Mar-2026"/>
    <x v="6"/>
    <s v="Q4FY26"/>
    <s v="29-Sep-2026"/>
    <s v="Tuesday"/>
    <s v="Monthly - Tuesday"/>
    <s v="Monthly - Tuesday"/>
    <s v="Month+6 Expiry"/>
    <n v="0"/>
    <n v="0"/>
    <n v="0"/>
  </r>
  <r>
    <s v="23-Mar-2026"/>
    <x v="0"/>
    <s v="Week4-Mar-2026"/>
    <x v="6"/>
    <s v="Q4FY26"/>
    <s v="29-Dec-2026"/>
    <s v="Tuesday"/>
    <s v="Monthly - Tuesday"/>
    <s v="Monthly - Tuesday"/>
    <s v="Month+9 Expiry"/>
    <n v="0"/>
    <n v="0"/>
    <n v="0"/>
  </r>
  <r>
    <s v="24-Mar-2026"/>
    <x v="1"/>
    <s v="Week4-Mar-2026"/>
    <x v="6"/>
    <s v="Q4FY26"/>
    <s v="30-Mar-2026"/>
    <s v="Monday"/>
    <s v="Monthly - Monday"/>
    <s v="Monthly - Monday"/>
    <s v="Same Month Expiry"/>
    <n v="4968343"/>
    <n v="7941.5122"/>
    <n v="75.52"/>
  </r>
  <r>
    <s v="24-Mar-2026"/>
    <x v="1"/>
    <s v="Week4-Mar-2026"/>
    <x v="6"/>
    <s v="Q4FY26"/>
    <s v="28-Apr-2026"/>
    <s v="Tuesday"/>
    <s v="Monthly - Tuesday"/>
    <s v="Monthly - Tuesday"/>
    <s v="Month+1 Expiry"/>
    <n v="200927"/>
    <n v="338.3519"/>
    <n v="7.9712"/>
  </r>
  <r>
    <s v="24-Mar-2026"/>
    <x v="1"/>
    <s v="Week4-Mar-2026"/>
    <x v="6"/>
    <s v="Q4FY26"/>
    <s v="26-May-2026"/>
    <s v="Tuesday"/>
    <s v="Monthly - Tuesday"/>
    <s v="Monthly - Tuesday"/>
    <s v="Month+2 Expiry"/>
    <n v="11386"/>
    <n v="19.3261"/>
    <n v="0.5318000000000001"/>
  </r>
  <r>
    <s v="24-Mar-2026"/>
    <x v="1"/>
    <s v="Week4-Mar-2026"/>
    <x v="6"/>
    <s v="Q4FY26"/>
    <s v="30-Jun-2026"/>
    <s v="Tuesday"/>
    <s v="Monthly - Tuesday"/>
    <s v="Monthly - Tuesday"/>
    <s v="Month+3 Expiry"/>
    <n v="2948"/>
    <n v="5.3138"/>
    <n v="0.1862"/>
  </r>
  <r>
    <s v="24-Mar-2026"/>
    <x v="1"/>
    <s v="Week4-Mar-2026"/>
    <x v="6"/>
    <s v="Q4FY26"/>
    <s v="29-Sep-2026"/>
    <s v="Tuesday"/>
    <s v="Monthly - Tuesday"/>
    <s v="Monthly - Tuesday"/>
    <s v="Month+6 Expiry"/>
    <n v="0"/>
    <n v="0"/>
    <n v="0"/>
  </r>
  <r>
    <s v="24-Mar-2026"/>
    <x v="1"/>
    <s v="Week4-Mar-2026"/>
    <x v="6"/>
    <s v="Q4FY26"/>
    <s v="29-Dec-2026"/>
    <s v="Tuesday"/>
    <s v="Monthly - Tuesday"/>
    <s v="Monthly - Tuesday"/>
    <s v="Month+9 Expiry"/>
    <n v="0"/>
    <n v="0"/>
    <n v="0"/>
  </r>
  <r>
    <s v="25-Mar-2026"/>
    <x v="2"/>
    <s v="Week4-Mar-2026"/>
    <x v="6"/>
    <s v="Q4FY26"/>
    <s v="30-Mar-2026"/>
    <s v="Monday"/>
    <s v="Monthly - Monday"/>
    <s v="Monthly - Monday"/>
    <s v="Same Month Expiry"/>
    <n v="4979362"/>
    <n v="8068.3544"/>
    <n v="61.4995"/>
  </r>
  <r>
    <s v="25-Mar-2026"/>
    <x v="2"/>
    <s v="Week4-Mar-2026"/>
    <x v="6"/>
    <s v="Q4FY26"/>
    <s v="28-Apr-2026"/>
    <s v="Tuesday"/>
    <s v="Monthly - Tuesday"/>
    <s v="Monthly - Tuesday"/>
    <s v="Month+1 Expiry"/>
    <n v="293040"/>
    <n v="492.2111"/>
    <n v="10.2792"/>
  </r>
  <r>
    <s v="25-Mar-2026"/>
    <x v="2"/>
    <s v="Week4-Mar-2026"/>
    <x v="6"/>
    <s v="Q4FY26"/>
    <s v="26-May-2026"/>
    <s v="Tuesday"/>
    <s v="Monthly - Tuesday"/>
    <s v="Monthly - Tuesday"/>
    <s v="Month+2 Expiry"/>
    <n v="14940"/>
    <n v="25.8194"/>
    <n v="0.6824"/>
  </r>
  <r>
    <s v="25-Mar-2026"/>
    <x v="2"/>
    <s v="Week4-Mar-2026"/>
    <x v="6"/>
    <s v="Q4FY26"/>
    <s v="30-Jun-2026"/>
    <s v="Tuesday"/>
    <s v="Monthly - Tuesday"/>
    <s v="Monthly - Tuesday"/>
    <s v="Month+3 Expiry"/>
    <n v="3858"/>
    <n v="7.075"/>
    <n v="0.3026"/>
  </r>
  <r>
    <s v="25-Mar-2026"/>
    <x v="2"/>
    <s v="Week4-Mar-2026"/>
    <x v="6"/>
    <s v="Q4FY26"/>
    <s v="29-Sep-2026"/>
    <s v="Tuesday"/>
    <s v="Monthly - Tuesday"/>
    <s v="Monthly - Tuesday"/>
    <s v="Month+6 Expiry"/>
    <n v="0"/>
    <n v="0"/>
    <n v="0"/>
  </r>
  <r>
    <s v="25-Mar-2026"/>
    <x v="2"/>
    <s v="Week4-Mar-2026"/>
    <x v="6"/>
    <s v="Q4FY26"/>
    <s v="29-Dec-2026"/>
    <s v="Tuesday"/>
    <s v="Monthly - Tuesday"/>
    <s v="Monthly - Tuesday"/>
    <s v="Month+9 Expiry"/>
    <n v="0"/>
    <n v="0"/>
    <n v="0"/>
  </r>
  <r>
    <s v="27-Mar-2026"/>
    <x v="4"/>
    <s v="Week4-Mar-2026"/>
    <x v="6"/>
    <s v="Q4FY26"/>
    <s v="30-Mar-2026"/>
    <s v="Monday"/>
    <s v="Monthly - Monday"/>
    <s v="Monthly - Monday"/>
    <s v="Same Month Expiry"/>
    <n v="9232979"/>
    <n v="14675.2802"/>
    <n v="87.6283"/>
  </r>
  <r>
    <s v="27-Mar-2026"/>
    <x v="4"/>
    <s v="Week4-Mar-2026"/>
    <x v="6"/>
    <s v="Q4FY26"/>
    <s v="28-Apr-2026"/>
    <s v="Tuesday"/>
    <s v="Monthly - Tuesday"/>
    <s v="Monthly - Tuesday"/>
    <s v="Month+1 Expiry"/>
    <n v="408018"/>
    <n v="694.7443"/>
    <n v="16.8435"/>
  </r>
  <r>
    <s v="27-Mar-2026"/>
    <x v="4"/>
    <s v="Week4-Mar-2026"/>
    <x v="6"/>
    <s v="Q4FY26"/>
    <s v="26-May-2026"/>
    <s v="Tuesday"/>
    <s v="Monthly - Tuesday"/>
    <s v="Monthly - Tuesday"/>
    <s v="Month+2 Expiry"/>
    <n v="15100"/>
    <n v="25.8884"/>
    <n v="0.6586"/>
  </r>
  <r>
    <s v="27-Mar-2026"/>
    <x v="4"/>
    <s v="Week4-Mar-2026"/>
    <x v="6"/>
    <s v="Q4FY26"/>
    <s v="30-Jun-2026"/>
    <s v="Tuesday"/>
    <s v="Monthly - Tuesday"/>
    <s v="Monthly - Tuesday"/>
    <s v="Month+3 Expiry"/>
    <n v="2727"/>
    <n v="4.8915"/>
    <n v="0.1474"/>
  </r>
  <r>
    <s v="27-Mar-2026"/>
    <x v="4"/>
    <s v="Week4-Mar-2026"/>
    <x v="6"/>
    <s v="Q4FY26"/>
    <s v="29-Sep-2026"/>
    <s v="Tuesday"/>
    <s v="Monthly - Tuesday"/>
    <s v="Monthly - Tuesday"/>
    <s v="Month+6 Expiry"/>
    <n v="0"/>
    <n v="0"/>
    <n v="0"/>
  </r>
  <r>
    <s v="27-Mar-2026"/>
    <x v="4"/>
    <s v="Week4-Mar-2026"/>
    <x v="6"/>
    <s v="Q4FY26"/>
    <s v="29-Dec-2026"/>
    <s v="Tuesday"/>
    <s v="Monthly - Tuesday"/>
    <s v="Monthly - Tuesday"/>
    <s v="Month+9 Expiry"/>
    <n v="0"/>
    <n v="0"/>
    <n v="0"/>
  </r>
  <r>
    <s v="30-Mar-2026"/>
    <x v="0"/>
    <s v="Week5-Mar-2026"/>
    <x v="6"/>
    <s v="Q4FY26"/>
    <s v="30-Mar-2026"/>
    <s v="Monday"/>
    <s v="Monthly - Monday"/>
    <s v="Monthly - Monday"/>
    <s v="Same Month Expiry"/>
    <n v="74523432"/>
    <n v="113487.0323"/>
    <n v="176.447"/>
  </r>
  <r>
    <s v="30-Mar-2026"/>
    <x v="0"/>
    <s v="Week5-Mar-2026"/>
    <x v="6"/>
    <s v="Q4FY26"/>
    <s v="28-Apr-2026"/>
    <s v="Tuesday"/>
    <s v="Monthly - Tuesday"/>
    <s v="Monthly - Tuesday"/>
    <s v="Month+1 Expiry"/>
    <n v="740519"/>
    <n v="1208.5879"/>
    <n v="29.2768"/>
  </r>
  <r>
    <s v="30-Mar-2026"/>
    <x v="0"/>
    <s v="Week5-Mar-2026"/>
    <x v="6"/>
    <s v="Q4FY26"/>
    <s v="26-May-2026"/>
    <s v="Tuesday"/>
    <s v="Monthly - Tuesday"/>
    <s v="Monthly - Tuesday"/>
    <s v="Month+2 Expiry"/>
    <n v="26898"/>
    <n v="45.4277"/>
    <n v="1.2522"/>
  </r>
  <r>
    <s v="30-Mar-2026"/>
    <x v="0"/>
    <s v="Week5-Mar-2026"/>
    <x v="6"/>
    <s v="Q4FY26"/>
    <s v="30-Jun-2026"/>
    <s v="Tuesday"/>
    <s v="Monthly - Tuesday"/>
    <s v="Monthly - Tuesday"/>
    <s v="Month+3 Expiry"/>
    <n v="4799"/>
    <n v="8.3141"/>
    <n v="0.2179"/>
  </r>
  <r>
    <s v="30-Mar-2026"/>
    <x v="0"/>
    <s v="Week5-Mar-2026"/>
    <x v="6"/>
    <s v="Q4FY26"/>
    <s v="29-Sep-2026"/>
    <s v="Tuesday"/>
    <s v="Monthly - Tuesday"/>
    <s v="Monthly - Tuesday"/>
    <s v="Month+6 Expiry"/>
    <n v="0"/>
    <n v="0"/>
    <n v="0"/>
  </r>
  <r>
    <s v="30-Mar-2026"/>
    <x v="0"/>
    <s v="Week5-Mar-2026"/>
    <x v="6"/>
    <s v="Q4FY26"/>
    <s v="29-Dec-2026"/>
    <s v="Tuesday"/>
    <s v="Monthly - Tuesday"/>
    <s v="Monthly - Tuesday"/>
    <s v="Month+9 Expiry"/>
    <n v="0"/>
    <n v="0"/>
    <n v="0"/>
  </r>
  <r>
    <s v="01-Apr-2026"/>
    <x v="2"/>
    <s v="Week1-Apr-2026"/>
    <x v="7"/>
    <s v="Q1FY27"/>
    <s v="28-Apr-2026"/>
    <s v="Tuesday"/>
    <s v="Monthly - Tuesday"/>
    <s v="Monthly - Tuesday"/>
    <s v="Same Month Expiry"/>
    <n v="1701252"/>
    <n v="2768.6102"/>
    <n v="47.8962"/>
  </r>
  <r>
    <s v="01-Apr-2026"/>
    <x v="2"/>
    <s v="Week1-Apr-2026"/>
    <x v="7"/>
    <s v="Q1FY27"/>
    <s v="26-May-2026"/>
    <s v="Tuesday"/>
    <s v="Monthly - Tuesday"/>
    <s v="Monthly - Tuesday"/>
    <s v="Month+1 Expiry"/>
    <n v="25312"/>
    <n v="42.4236"/>
    <n v="1.0649"/>
  </r>
  <r>
    <s v="01-Apr-2026"/>
    <x v="2"/>
    <s v="Week1-Apr-2026"/>
    <x v="7"/>
    <s v="Q1FY27"/>
    <s v="30-Jun-2026"/>
    <s v="Tuesday"/>
    <s v="Monthly - Tuesday"/>
    <s v="Monthly - Tuesday"/>
    <s v="Month+2 Expiry"/>
    <n v="5844"/>
    <n v="10.1244"/>
    <n v="0.2426"/>
  </r>
  <r>
    <s v="01-Apr-2026"/>
    <x v="2"/>
    <s v="Week1-Apr-2026"/>
    <x v="7"/>
    <s v="Q1FY27"/>
    <s v="29-Sep-2026"/>
    <s v="Tuesday"/>
    <s v="Monthly - Tuesday"/>
    <s v="Monthly - Tuesday"/>
    <s v="Month+5 Expiry"/>
    <n v="0"/>
    <n v="0"/>
    <n v="0"/>
  </r>
  <r>
    <s v="01-Apr-2026"/>
    <x v="2"/>
    <s v="Week1-Apr-2026"/>
    <x v="7"/>
    <s v="Q1FY27"/>
    <s v="29-Dec-2026"/>
    <s v="Tuesday"/>
    <s v="Monthly - Tuesday"/>
    <s v="Monthly - Tuesday"/>
    <s v="Month+8 Expiry"/>
    <n v="0"/>
    <n v="0"/>
    <n v="0"/>
  </r>
  <r>
    <s v="01-Apr-2026"/>
    <x v="2"/>
    <s v="Week1-Apr-2026"/>
    <x v="7"/>
    <s v="Q1FY27"/>
    <s v="30-Mar-2027"/>
    <s v="Tuesday"/>
    <s v="Monthly - Tuesday"/>
    <s v="Monthly - Tuesday"/>
    <s v="Month+11 Expiry"/>
    <n v="0"/>
    <n v="0"/>
    <n v="0"/>
  </r>
  <r>
    <s v="02-Apr-2026"/>
    <x v="3"/>
    <s v="Week1-Apr-2026"/>
    <x v="7"/>
    <s v="Q1FY27"/>
    <s v="28-Apr-2026"/>
    <s v="Tuesday"/>
    <s v="Monthly - Tuesday"/>
    <s v="Monthly - Tuesday"/>
    <s v="Same Month Expiry"/>
    <n v="1780823"/>
    <n v="2860.0896"/>
    <n v="51.781"/>
  </r>
  <r>
    <s v="02-Apr-2026"/>
    <x v="3"/>
    <s v="Week1-Apr-2026"/>
    <x v="7"/>
    <s v="Q1FY27"/>
    <s v="26-May-2026"/>
    <s v="Tuesday"/>
    <s v="Monthly - Tuesday"/>
    <s v="Monthly - Tuesday"/>
    <s v="Month+1 Expiry"/>
    <n v="29372"/>
    <n v="48.6742"/>
    <n v="1.062"/>
  </r>
  <r>
    <s v="02-Apr-2026"/>
    <x v="3"/>
    <s v="Week1-Apr-2026"/>
    <x v="7"/>
    <s v="Q1FY27"/>
    <s v="30-Jun-2026"/>
    <s v="Tuesday"/>
    <s v="Monthly - Tuesday"/>
    <s v="Monthly - Tuesday"/>
    <s v="Month+2 Expiry"/>
    <n v="5892"/>
    <n v="10.229"/>
    <n v="0.3898"/>
  </r>
  <r>
    <s v="02-Apr-2026"/>
    <x v="3"/>
    <s v="Week1-Apr-2026"/>
    <x v="7"/>
    <s v="Q1FY27"/>
    <s v="29-Sep-2026"/>
    <s v="Tuesday"/>
    <s v="Monthly - Tuesday"/>
    <s v="Monthly - Tuesday"/>
    <s v="Month+5 Expiry"/>
    <n v="0"/>
    <n v="0"/>
    <n v="0"/>
  </r>
  <r>
    <s v="02-Apr-2026"/>
    <x v="3"/>
    <s v="Week1-Apr-2026"/>
    <x v="7"/>
    <s v="Q1FY27"/>
    <s v="29-Dec-2026"/>
    <s v="Tuesday"/>
    <s v="Monthly - Tuesday"/>
    <s v="Monthly - Tuesday"/>
    <s v="Month+8 Expiry"/>
    <n v="0"/>
    <n v="0"/>
    <n v="0"/>
  </r>
  <r>
    <s v="02-Apr-2026"/>
    <x v="3"/>
    <s v="Week1-Apr-2026"/>
    <x v="7"/>
    <s v="Q1FY27"/>
    <s v="30-Mar-2027"/>
    <s v="Tuesday"/>
    <s v="Monthly - Tuesday"/>
    <s v="Monthly - Tuesday"/>
    <s v="Month+11 Expiry"/>
    <n v="0"/>
    <n v="0"/>
    <n v="0"/>
  </r>
  <r>
    <s v="06-Apr-2026"/>
    <x v="0"/>
    <s v="Week1-Apr-2026"/>
    <x v="7"/>
    <s v="Q1FY27"/>
    <s v="28-Apr-2026"/>
    <s v="Tuesday"/>
    <s v="Monthly - Tuesday"/>
    <s v="Monthly - Tuesday"/>
    <s v="Same Month Expiry"/>
    <n v="1792247"/>
    <n v="2892.4876"/>
    <n v="51.2567"/>
  </r>
  <r>
    <s v="06-Apr-2026"/>
    <x v="0"/>
    <s v="Week1-Apr-2026"/>
    <x v="7"/>
    <s v="Q1FY27"/>
    <s v="26-May-2026"/>
    <s v="Tuesday"/>
    <s v="Monthly - Tuesday"/>
    <s v="Monthly - Tuesday"/>
    <s v="Month+1 Expiry"/>
    <n v="28665"/>
    <n v="47.6101"/>
    <n v="0.9415"/>
  </r>
  <r>
    <s v="06-Apr-2026"/>
    <x v="0"/>
    <s v="Week1-Apr-2026"/>
    <x v="7"/>
    <s v="Q1FY27"/>
    <s v="30-Jun-2026"/>
    <s v="Tuesday"/>
    <s v="Monthly - Tuesday"/>
    <s v="Monthly - Tuesday"/>
    <s v="Month+2 Expiry"/>
    <n v="8025"/>
    <n v="13.5914"/>
    <n v="0.3745"/>
  </r>
  <r>
    <s v="06-Apr-2026"/>
    <x v="0"/>
    <s v="Week1-Apr-2026"/>
    <x v="7"/>
    <s v="Q1FY27"/>
    <s v="29-Sep-2026"/>
    <s v="Tuesday"/>
    <s v="Monthly - Tuesday"/>
    <s v="Monthly - Tuesday"/>
    <s v="Month+5 Expiry"/>
    <n v="0"/>
    <n v="0"/>
    <n v="0"/>
  </r>
  <r>
    <s v="06-Apr-2026"/>
    <x v="0"/>
    <s v="Week1-Apr-2026"/>
    <x v="7"/>
    <s v="Q1FY27"/>
    <s v="29-Dec-2026"/>
    <s v="Tuesday"/>
    <s v="Monthly - Tuesday"/>
    <s v="Monthly - Tuesday"/>
    <s v="Month+8 Expiry"/>
    <n v="0"/>
    <n v="0"/>
    <n v="0"/>
  </r>
  <r>
    <s v="06-Apr-2026"/>
    <x v="0"/>
    <s v="Week1-Apr-2026"/>
    <x v="7"/>
    <s v="Q1FY27"/>
    <s v="30-Mar-2027"/>
    <s v="Tuesday"/>
    <s v="Monthly - Tuesday"/>
    <s v="Monthly - Tuesday"/>
    <s v="Month+11 Expiry"/>
    <n v="0"/>
    <n v="0"/>
    <n v="0"/>
  </r>
  <r>
    <s v="07-Apr-2026"/>
    <x v="1"/>
    <s v="Week1-Apr-2026"/>
    <x v="7"/>
    <s v="Q1FY27"/>
    <s v="28-Apr-2026"/>
    <s v="Tuesday"/>
    <s v="Monthly - Tuesday"/>
    <s v="Monthly - Tuesday"/>
    <s v="Same Month Expiry"/>
    <n v="1394871"/>
    <n v="2256.673"/>
    <n v="36.8649"/>
  </r>
  <r>
    <s v="07-Apr-2026"/>
    <x v="1"/>
    <s v="Week1-Apr-2026"/>
    <x v="7"/>
    <s v="Q1FY27"/>
    <s v="26-May-2026"/>
    <s v="Tuesday"/>
    <s v="Monthly - Tuesday"/>
    <s v="Monthly - Tuesday"/>
    <s v="Month+1 Expiry"/>
    <n v="23434"/>
    <n v="39.4802"/>
    <n v="0.6109"/>
  </r>
  <r>
    <s v="07-Apr-2026"/>
    <x v="1"/>
    <s v="Week1-Apr-2026"/>
    <x v="7"/>
    <s v="Q1FY27"/>
    <s v="30-Jun-2026"/>
    <s v="Tuesday"/>
    <s v="Monthly - Tuesday"/>
    <s v="Monthly - Tuesday"/>
    <s v="Month+2 Expiry"/>
    <n v="5400"/>
    <n v="9.161199999999999"/>
    <n v="0.221"/>
  </r>
  <r>
    <s v="07-Apr-2026"/>
    <x v="1"/>
    <s v="Week1-Apr-2026"/>
    <x v="7"/>
    <s v="Q1FY27"/>
    <s v="29-Sep-2026"/>
    <s v="Tuesday"/>
    <s v="Monthly - Tuesday"/>
    <s v="Monthly - Tuesday"/>
    <s v="Month+5 Expiry"/>
    <n v="0"/>
    <n v="0"/>
    <n v="0"/>
  </r>
  <r>
    <s v="07-Apr-2026"/>
    <x v="1"/>
    <s v="Week1-Apr-2026"/>
    <x v="7"/>
    <s v="Q1FY27"/>
    <s v="29-Dec-2026"/>
    <s v="Tuesday"/>
    <s v="Monthly - Tuesday"/>
    <s v="Monthly - Tuesday"/>
    <s v="Month+8 Expiry"/>
    <n v="0"/>
    <n v="0"/>
    <n v="0"/>
  </r>
  <r>
    <s v="07-Apr-2026"/>
    <x v="1"/>
    <s v="Week1-Apr-2026"/>
    <x v="7"/>
    <s v="Q1FY27"/>
    <s v="30-Mar-2027"/>
    <s v="Tuesday"/>
    <s v="Monthly - Tuesday"/>
    <s v="Monthly - Tuesday"/>
    <s v="Month+11 Expiry"/>
    <n v="0"/>
    <n v="0"/>
    <n v="0"/>
  </r>
  <r>
    <s v="08-Apr-2026"/>
    <x v="2"/>
    <s v="Week2-Apr-2026"/>
    <x v="7"/>
    <s v="Q1FY27"/>
    <s v="28-Apr-2026"/>
    <s v="Tuesday"/>
    <s v="Monthly - Tuesday"/>
    <s v="Monthly - Tuesday"/>
    <s v="Same Month Expiry"/>
    <n v="2950592"/>
    <n v="4932.6234"/>
    <n v="53.2015"/>
  </r>
  <r>
    <s v="08-Apr-2026"/>
    <x v="2"/>
    <s v="Week2-Apr-2026"/>
    <x v="7"/>
    <s v="Q1FY27"/>
    <s v="26-May-2026"/>
    <s v="Tuesday"/>
    <s v="Monthly - Tuesday"/>
    <s v="Monthly - Tuesday"/>
    <s v="Month+1 Expiry"/>
    <n v="81961"/>
    <n v="140.1505"/>
    <n v="2.5247"/>
  </r>
  <r>
    <s v="08-Apr-2026"/>
    <x v="2"/>
    <s v="Week2-Apr-2026"/>
    <x v="7"/>
    <s v="Q1FY27"/>
    <s v="30-Jun-2026"/>
    <s v="Tuesday"/>
    <s v="Monthly - Tuesday"/>
    <s v="Monthly - Tuesday"/>
    <s v="Month+2 Expiry"/>
    <n v="20085"/>
    <n v="33.586"/>
    <n v="0.6254999999999999"/>
  </r>
  <r>
    <s v="08-Apr-2026"/>
    <x v="2"/>
    <s v="Week2-Apr-2026"/>
    <x v="7"/>
    <s v="Q1FY27"/>
    <s v="29-Sep-2026"/>
    <s v="Tuesday"/>
    <s v="Monthly - Tuesday"/>
    <s v="Monthly - Tuesday"/>
    <s v="Month+5 Expiry"/>
    <n v="0"/>
    <n v="0"/>
    <n v="0"/>
  </r>
  <r>
    <s v="08-Apr-2026"/>
    <x v="2"/>
    <s v="Week2-Apr-2026"/>
    <x v="7"/>
    <s v="Q1FY27"/>
    <s v="29-Dec-2026"/>
    <s v="Tuesday"/>
    <s v="Monthly - Tuesday"/>
    <s v="Monthly - Tuesday"/>
    <s v="Month+8 Expiry"/>
    <n v="0"/>
    <n v="0"/>
    <n v="0"/>
  </r>
  <r>
    <s v="08-Apr-2026"/>
    <x v="2"/>
    <s v="Week2-Apr-2026"/>
    <x v="7"/>
    <s v="Q1FY27"/>
    <s v="30-Mar-2027"/>
    <s v="Tuesday"/>
    <s v="Monthly - Tuesday"/>
    <s v="Monthly - Tuesday"/>
    <s v="Month+11 Expiry"/>
    <n v="0"/>
    <n v="0"/>
    <n v="0"/>
  </r>
  <r>
    <s v="09-Apr-2026"/>
    <x v="3"/>
    <s v="Week2-Apr-2026"/>
    <x v="7"/>
    <s v="Q1FY27"/>
    <s v="28-Apr-2026"/>
    <s v="Tuesday"/>
    <s v="Monthly - Tuesday"/>
    <s v="Monthly - Tuesday"/>
    <s v="Same Month Expiry"/>
    <n v="2260289"/>
    <n v="3792.7789"/>
    <n v="47.6055"/>
  </r>
  <r>
    <s v="09-Apr-2026"/>
    <x v="3"/>
    <s v="Week2-Apr-2026"/>
    <x v="7"/>
    <s v="Q1FY27"/>
    <s v="26-May-2026"/>
    <s v="Tuesday"/>
    <s v="Monthly - Tuesday"/>
    <s v="Monthly - Tuesday"/>
    <s v="Month+1 Expiry"/>
    <n v="64228"/>
    <n v="109.9322"/>
    <n v="2.1218"/>
  </r>
  <r>
    <s v="09-Apr-2026"/>
    <x v="3"/>
    <s v="Week2-Apr-2026"/>
    <x v="7"/>
    <s v="Q1FY27"/>
    <s v="30-Jun-2026"/>
    <s v="Tuesday"/>
    <s v="Monthly - Tuesday"/>
    <s v="Monthly - Tuesday"/>
    <s v="Month+2 Expiry"/>
    <n v="14046"/>
    <n v="23.0288"/>
    <n v="0.4037"/>
  </r>
  <r>
    <s v="09-Apr-2026"/>
    <x v="3"/>
    <s v="Week2-Apr-2026"/>
    <x v="7"/>
    <s v="Q1FY27"/>
    <s v="29-Sep-2026"/>
    <s v="Tuesday"/>
    <s v="Monthly - Tuesday"/>
    <s v="Monthly - Tuesday"/>
    <s v="Month+5 Expiry"/>
    <n v="0"/>
    <n v="0"/>
    <n v="0"/>
  </r>
  <r>
    <s v="09-Apr-2026"/>
    <x v="3"/>
    <s v="Week2-Apr-2026"/>
    <x v="7"/>
    <s v="Q1FY27"/>
    <s v="29-Dec-2026"/>
    <s v="Tuesday"/>
    <s v="Monthly - Tuesday"/>
    <s v="Monthly - Tuesday"/>
    <s v="Month+8 Expiry"/>
    <n v="0"/>
    <n v="0"/>
    <n v="0"/>
  </r>
  <r>
    <s v="09-Apr-2026"/>
    <x v="3"/>
    <s v="Week2-Apr-2026"/>
    <x v="7"/>
    <s v="Q1FY27"/>
    <s v="30-Mar-2027"/>
    <s v="Tuesday"/>
    <s v="Monthly - Tuesday"/>
    <s v="Monthly - Tuesday"/>
    <s v="Month+11 Expiry"/>
    <n v="0"/>
    <n v="0"/>
    <n v="0"/>
  </r>
  <r>
    <s v="10-Apr-2026"/>
    <x v="4"/>
    <s v="Week2-Apr-2026"/>
    <x v="7"/>
    <s v="Q1FY27"/>
    <s v="28-Apr-2026"/>
    <s v="Tuesday"/>
    <s v="Monthly - Tuesday"/>
    <s v="Monthly - Tuesday"/>
    <s v="Same Month Expiry"/>
    <n v="2333048"/>
    <n v="3937.8099"/>
    <n v="42.2367"/>
  </r>
  <r>
    <s v="10-Apr-2026"/>
    <x v="4"/>
    <s v="Week2-Apr-2026"/>
    <x v="7"/>
    <s v="Q1FY27"/>
    <s v="26-May-2026"/>
    <s v="Tuesday"/>
    <s v="Monthly - Tuesday"/>
    <s v="Monthly - Tuesday"/>
    <s v="Month+1 Expiry"/>
    <n v="67641"/>
    <n v="116.6531"/>
    <n v="2.2397"/>
  </r>
  <r>
    <s v="10-Apr-2026"/>
    <x v="4"/>
    <s v="Week2-Apr-2026"/>
    <x v="7"/>
    <s v="Q1FY27"/>
    <s v="30-Jun-2026"/>
    <s v="Tuesday"/>
    <s v="Monthly - Tuesday"/>
    <s v="Monthly - Tuesday"/>
    <s v="Month+2 Expiry"/>
    <n v="7886"/>
    <n v="13.6757"/>
    <n v="0.2506"/>
  </r>
  <r>
    <s v="10-Apr-2026"/>
    <x v="4"/>
    <s v="Week2-Apr-2026"/>
    <x v="7"/>
    <s v="Q1FY27"/>
    <s v="29-Sep-2026"/>
    <s v="Tuesday"/>
    <s v="Monthly - Tuesday"/>
    <s v="Monthly - Tuesday"/>
    <s v="Month+5 Expiry"/>
    <n v="0"/>
    <n v="0"/>
    <n v="0"/>
  </r>
  <r>
    <s v="10-Apr-2026"/>
    <x v="4"/>
    <s v="Week2-Apr-2026"/>
    <x v="7"/>
    <s v="Q1FY27"/>
    <s v="29-Dec-2026"/>
    <s v="Tuesday"/>
    <s v="Monthly - Tuesday"/>
    <s v="Monthly - Tuesday"/>
    <s v="Month+8 Expiry"/>
    <n v="0"/>
    <n v="0"/>
    <n v="0"/>
  </r>
  <r>
    <s v="10-Apr-2026"/>
    <x v="4"/>
    <s v="Week2-Apr-2026"/>
    <x v="7"/>
    <s v="Q1FY27"/>
    <s v="30-Mar-2027"/>
    <s v="Tuesday"/>
    <s v="Monthly - Tuesday"/>
    <s v="Monthly - Tuesday"/>
    <s v="Month+11 Expiry"/>
    <n v="0"/>
    <n v="0"/>
    <n v="0"/>
  </r>
  <r>
    <s v="13-Apr-2026"/>
    <x v="0"/>
    <s v="Week2-Apr-2026"/>
    <x v="7"/>
    <s v="Q1FY27"/>
    <s v="28-Apr-2026"/>
    <s v="Tuesday"/>
    <s v="Monthly - Tuesday"/>
    <s v="Monthly - Tuesday"/>
    <s v="Same Month Expiry"/>
    <n v="2385883"/>
    <n v="4002.7958"/>
    <n v="42.8004"/>
  </r>
  <r>
    <s v="13-Apr-2026"/>
    <x v="0"/>
    <s v="Week2-Apr-2026"/>
    <x v="7"/>
    <s v="Q1FY27"/>
    <s v="26-May-2026"/>
    <s v="Tuesday"/>
    <s v="Monthly - Tuesday"/>
    <s v="Monthly - Tuesday"/>
    <s v="Month+1 Expiry"/>
    <n v="135820"/>
    <n v="239.7971"/>
    <n v="3.3326"/>
  </r>
  <r>
    <s v="13-Apr-2026"/>
    <x v="0"/>
    <s v="Week2-Apr-2026"/>
    <x v="7"/>
    <s v="Q1FY27"/>
    <s v="30-Jun-2026"/>
    <s v="Tuesday"/>
    <s v="Monthly - Tuesday"/>
    <s v="Monthly - Tuesday"/>
    <s v="Month+2 Expiry"/>
    <n v="13438"/>
    <n v="23.3437"/>
    <n v="0.396"/>
  </r>
  <r>
    <s v="13-Apr-2026"/>
    <x v="0"/>
    <s v="Week2-Apr-2026"/>
    <x v="7"/>
    <s v="Q1FY27"/>
    <s v="29-Sep-2026"/>
    <s v="Tuesday"/>
    <s v="Monthly - Tuesday"/>
    <s v="Monthly - Tuesday"/>
    <s v="Month+5 Expiry"/>
    <n v="0"/>
    <n v="0"/>
    <n v="0"/>
  </r>
  <r>
    <s v="13-Apr-2026"/>
    <x v="0"/>
    <s v="Week2-Apr-2026"/>
    <x v="7"/>
    <s v="Q1FY27"/>
    <s v="29-Dec-2026"/>
    <s v="Tuesday"/>
    <s v="Monthly - Tuesday"/>
    <s v="Monthly - Tuesday"/>
    <s v="Month+8 Expiry"/>
    <n v="0"/>
    <n v="0"/>
    <n v="0"/>
  </r>
  <r>
    <s v="13-Apr-2026"/>
    <x v="0"/>
    <s v="Week2-Apr-2026"/>
    <x v="7"/>
    <s v="Q1FY27"/>
    <s v="30-Mar-2027"/>
    <s v="Tuesday"/>
    <s v="Monthly - Tuesday"/>
    <s v="Monthly - Tuesday"/>
    <s v="Month+11 Expiry"/>
    <n v="0"/>
    <n v="0"/>
    <n v="0"/>
  </r>
  <r>
    <s v="15-Apr-2026"/>
    <x v="2"/>
    <s v="Week3-Apr-2026"/>
    <x v="7"/>
    <s v="Q1FY27"/>
    <s v="28-Apr-2026"/>
    <s v="Tuesday"/>
    <s v="Monthly - Tuesday"/>
    <s v="Monthly - Tuesday"/>
    <s v="Same Month Expiry"/>
    <n v="2656328"/>
    <n v="4481.5077"/>
    <n v="41.7455"/>
  </r>
  <r>
    <s v="15-Apr-2026"/>
    <x v="2"/>
    <s v="Week3-Apr-2026"/>
    <x v="7"/>
    <s v="Q1FY27"/>
    <s v="26-May-2026"/>
    <s v="Tuesday"/>
    <s v="Monthly - Tuesday"/>
    <s v="Monthly - Tuesday"/>
    <s v="Month+1 Expiry"/>
    <n v="147651"/>
    <n v="258.661"/>
    <n v="4.9611"/>
  </r>
  <r>
    <s v="15-Apr-2026"/>
    <x v="2"/>
    <s v="Week3-Apr-2026"/>
    <x v="7"/>
    <s v="Q1FY27"/>
    <s v="30-Jun-2026"/>
    <s v="Tuesday"/>
    <s v="Monthly - Tuesday"/>
    <s v="Monthly - Tuesday"/>
    <s v="Month+2 Expiry"/>
    <n v="12414"/>
    <n v="21.1937"/>
    <n v="0.3531"/>
  </r>
  <r>
    <s v="15-Apr-2026"/>
    <x v="2"/>
    <s v="Week3-Apr-2026"/>
    <x v="7"/>
    <s v="Q1FY27"/>
    <s v="29-Sep-2026"/>
    <s v="Tuesday"/>
    <s v="Monthly - Tuesday"/>
    <s v="Monthly - Tuesday"/>
    <s v="Month+5 Expiry"/>
    <n v="0"/>
    <n v="0"/>
    <n v="0"/>
  </r>
  <r>
    <s v="15-Apr-2026"/>
    <x v="2"/>
    <s v="Week3-Apr-2026"/>
    <x v="7"/>
    <s v="Q1FY27"/>
    <s v="29-Dec-2026"/>
    <s v="Tuesday"/>
    <s v="Monthly - Tuesday"/>
    <s v="Monthly - Tuesday"/>
    <s v="Month+8 Expiry"/>
    <n v="0"/>
    <n v="0"/>
    <n v="0"/>
  </r>
  <r>
    <s v="15-Apr-2026"/>
    <x v="2"/>
    <s v="Week3-Apr-2026"/>
    <x v="7"/>
    <s v="Q1FY27"/>
    <s v="30-Mar-2027"/>
    <s v="Tuesday"/>
    <s v="Monthly - Tuesday"/>
    <s v="Monthly - Tuesday"/>
    <s v="Month+11 Expiry"/>
    <n v="0"/>
    <n v="0"/>
    <n v="0"/>
  </r>
  <r>
    <s v="16-Apr-2026"/>
    <x v="3"/>
    <s v="Week3-Apr-2026"/>
    <x v="7"/>
    <s v="Q1FY27"/>
    <s v="28-Apr-2026"/>
    <s v="Tuesday"/>
    <s v="Monthly - Tuesday"/>
    <s v="Monthly - Tuesday"/>
    <s v="Same Month Expiry"/>
    <n v="2664316"/>
    <n v="4509.677"/>
    <n v="41.3777"/>
  </r>
  <r>
    <s v="16-Apr-2026"/>
    <x v="3"/>
    <s v="Week3-Apr-2026"/>
    <x v="7"/>
    <s v="Q1FY27"/>
    <s v="26-May-2026"/>
    <s v="Tuesday"/>
    <s v="Monthly - Tuesday"/>
    <s v="Monthly - Tuesday"/>
    <s v="Month+1 Expiry"/>
    <n v="117117"/>
    <n v="207.0371"/>
    <n v="3.2896"/>
  </r>
  <r>
    <s v="16-Apr-2026"/>
    <x v="3"/>
    <s v="Week3-Apr-2026"/>
    <x v="7"/>
    <s v="Q1FY27"/>
    <s v="30-Jun-2026"/>
    <s v="Tuesday"/>
    <s v="Monthly - Tuesday"/>
    <s v="Monthly - Tuesday"/>
    <s v="Month+2 Expiry"/>
    <n v="9648"/>
    <n v="16.7656"/>
    <n v="0.2589"/>
  </r>
  <r>
    <s v="16-Apr-2026"/>
    <x v="3"/>
    <s v="Week3-Apr-2026"/>
    <x v="7"/>
    <s v="Q1FY27"/>
    <s v="29-Sep-2026"/>
    <s v="Tuesday"/>
    <s v="Monthly - Tuesday"/>
    <s v="Monthly - Tuesday"/>
    <s v="Month+5 Expiry"/>
    <n v="0"/>
    <n v="0"/>
    <n v="0"/>
  </r>
  <r>
    <s v="16-Apr-2026"/>
    <x v="3"/>
    <s v="Week3-Apr-2026"/>
    <x v="7"/>
    <s v="Q1FY27"/>
    <s v="29-Dec-2026"/>
    <s v="Tuesday"/>
    <s v="Monthly - Tuesday"/>
    <s v="Monthly - Tuesday"/>
    <s v="Month+8 Expiry"/>
    <n v="0"/>
    <n v="0"/>
    <n v="0"/>
  </r>
  <r>
    <s v="16-Apr-2026"/>
    <x v="3"/>
    <s v="Week3-Apr-2026"/>
    <x v="7"/>
    <s v="Q1FY27"/>
    <s v="30-Mar-2027"/>
    <s v="Tuesday"/>
    <s v="Monthly - Tuesday"/>
    <s v="Monthly - Tuesday"/>
    <s v="Month+11 Expiry"/>
    <n v="0"/>
    <n v="0"/>
    <n v="0"/>
  </r>
  <r>
    <s v="17-Apr-2026"/>
    <x v="4"/>
    <s v="Week3-Apr-2026"/>
    <x v="7"/>
    <s v="Q1FY27"/>
    <s v="28-Apr-2026"/>
    <s v="Tuesday"/>
    <s v="Monthly - Tuesday"/>
    <s v="Monthly - Tuesday"/>
    <s v="Same Month Expiry"/>
    <n v="2695208"/>
    <n v="4543.2434"/>
    <n v="35.7619"/>
  </r>
  <r>
    <s v="17-Apr-2026"/>
    <x v="4"/>
    <s v="Week3-Apr-2026"/>
    <x v="7"/>
    <s v="Q1FY27"/>
    <s v="26-May-2026"/>
    <s v="Tuesday"/>
    <s v="Monthly - Tuesday"/>
    <s v="Monthly - Tuesday"/>
    <s v="Month+1 Expiry"/>
    <n v="132661"/>
    <n v="232.1285"/>
    <n v="3.1768"/>
  </r>
  <r>
    <s v="17-Apr-2026"/>
    <x v="4"/>
    <s v="Week3-Apr-2026"/>
    <x v="7"/>
    <s v="Q1FY27"/>
    <s v="30-Jun-2026"/>
    <s v="Tuesday"/>
    <s v="Monthly - Tuesday"/>
    <s v="Monthly - Tuesday"/>
    <s v="Month+2 Expiry"/>
    <n v="10165"/>
    <n v="17.4921"/>
    <n v="0.2711"/>
  </r>
  <r>
    <s v="17-Apr-2026"/>
    <x v="4"/>
    <s v="Week3-Apr-2026"/>
    <x v="7"/>
    <s v="Q1FY27"/>
    <s v="29-Sep-2026"/>
    <s v="Tuesday"/>
    <s v="Monthly - Tuesday"/>
    <s v="Monthly - Tuesday"/>
    <s v="Month+5 Expiry"/>
    <n v="0"/>
    <n v="0"/>
    <n v="0"/>
  </r>
  <r>
    <s v="17-Apr-2026"/>
    <x v="4"/>
    <s v="Week3-Apr-2026"/>
    <x v="7"/>
    <s v="Q1FY27"/>
    <s v="29-Dec-2026"/>
    <s v="Tuesday"/>
    <s v="Monthly - Tuesday"/>
    <s v="Monthly - Tuesday"/>
    <s v="Month+8 Expiry"/>
    <n v="0"/>
    <n v="0"/>
    <n v="0"/>
  </r>
  <r>
    <s v="17-Apr-2026"/>
    <x v="4"/>
    <s v="Week3-Apr-2026"/>
    <x v="7"/>
    <s v="Q1FY27"/>
    <s v="30-Mar-2027"/>
    <s v="Tuesday"/>
    <s v="Monthly - Tuesday"/>
    <s v="Monthly - Tuesday"/>
    <s v="Month+11 Expiry"/>
    <n v="0"/>
    <n v="0"/>
    <n v="0"/>
  </r>
  <r>
    <s v="20-Apr-2026"/>
    <x v="0"/>
    <s v="Week3-Apr-2026"/>
    <x v="7"/>
    <s v="Q1FY27"/>
    <s v="28-Apr-2026"/>
    <s v="Tuesday"/>
    <s v="Monthly - Tuesday"/>
    <s v="Monthly - Tuesday"/>
    <s v="Same Month Expiry"/>
    <n v="3666502"/>
    <n v="6226.2013"/>
    <n v="44.2092"/>
  </r>
  <r>
    <s v="20-Apr-2026"/>
    <x v="0"/>
    <s v="Week3-Apr-2026"/>
    <x v="7"/>
    <s v="Q1FY27"/>
    <s v="26-May-2026"/>
    <s v="Tuesday"/>
    <s v="Monthly - Tuesday"/>
    <s v="Monthly - Tuesday"/>
    <s v="Month+1 Expiry"/>
    <n v="180150"/>
    <n v="314.8038"/>
    <n v="3.9954"/>
  </r>
  <r>
    <s v="20-Apr-2026"/>
    <x v="0"/>
    <s v="Week3-Apr-2026"/>
    <x v="7"/>
    <s v="Q1FY27"/>
    <s v="30-Jun-2026"/>
    <s v="Tuesday"/>
    <s v="Monthly - Tuesday"/>
    <s v="Monthly - Tuesday"/>
    <s v="Month+2 Expiry"/>
    <n v="15269"/>
    <n v="26.7854"/>
    <n v="0.5145"/>
  </r>
  <r>
    <s v="20-Apr-2026"/>
    <x v="0"/>
    <s v="Week3-Apr-2026"/>
    <x v="7"/>
    <s v="Q1FY27"/>
    <s v="29-Sep-2026"/>
    <s v="Tuesday"/>
    <s v="Monthly - Tuesday"/>
    <s v="Monthly - Tuesday"/>
    <s v="Month+5 Expiry"/>
    <n v="0"/>
    <n v="0"/>
    <n v="0"/>
  </r>
  <r>
    <s v="20-Apr-2026"/>
    <x v="0"/>
    <s v="Week3-Apr-2026"/>
    <x v="7"/>
    <s v="Q1FY27"/>
    <s v="29-Dec-2026"/>
    <s v="Tuesday"/>
    <s v="Monthly - Tuesday"/>
    <s v="Monthly - Tuesday"/>
    <s v="Month+8 Expiry"/>
    <n v="0"/>
    <n v="0"/>
    <n v="0"/>
  </r>
  <r>
    <s v="20-Apr-2026"/>
    <x v="0"/>
    <s v="Week3-Apr-2026"/>
    <x v="7"/>
    <s v="Q1FY27"/>
    <s v="30-Mar-2027"/>
    <s v="Tuesday"/>
    <s v="Monthly - Tuesday"/>
    <s v="Monthly - Tuesday"/>
    <s v="Month+11 Expiry"/>
    <n v="0"/>
    <n v="0"/>
    <n v="0"/>
  </r>
  <r>
    <s v="21-Apr-2026"/>
    <x v="1"/>
    <s v="Week3-Apr-2026"/>
    <x v="7"/>
    <s v="Q1FY27"/>
    <s v="28-Apr-2026"/>
    <s v="Tuesday"/>
    <s v="Monthly - Tuesday"/>
    <s v="Monthly - Tuesday"/>
    <s v="Same Month Expiry"/>
    <n v="2989722"/>
    <n v="5064.6264"/>
    <n v="33.9211"/>
  </r>
  <r>
    <s v="21-Apr-2026"/>
    <x v="1"/>
    <s v="Week3-Apr-2026"/>
    <x v="7"/>
    <s v="Q1FY27"/>
    <s v="26-May-2026"/>
    <s v="Tuesday"/>
    <s v="Monthly - Tuesday"/>
    <s v="Monthly - Tuesday"/>
    <s v="Month+1 Expiry"/>
    <n v="179279"/>
    <n v="313.5534"/>
    <n v="4.1459"/>
  </r>
  <r>
    <s v="21-Apr-2026"/>
    <x v="1"/>
    <s v="Week3-Apr-2026"/>
    <x v="7"/>
    <s v="Q1FY27"/>
    <s v="30-Jun-2026"/>
    <s v="Tuesday"/>
    <s v="Monthly - Tuesday"/>
    <s v="Monthly - Tuesday"/>
    <s v="Month+2 Expiry"/>
    <n v="12233"/>
    <n v="21.1865"/>
    <n v="0.3737"/>
  </r>
  <r>
    <s v="21-Apr-2026"/>
    <x v="1"/>
    <s v="Week3-Apr-2026"/>
    <x v="7"/>
    <s v="Q1FY27"/>
    <s v="29-Sep-2026"/>
    <s v="Tuesday"/>
    <s v="Monthly - Tuesday"/>
    <s v="Monthly - Tuesday"/>
    <s v="Month+5 Expiry"/>
    <n v="0"/>
    <n v="0"/>
    <n v="0"/>
  </r>
  <r>
    <s v="21-Apr-2026"/>
    <x v="1"/>
    <s v="Week3-Apr-2026"/>
    <x v="7"/>
    <s v="Q1FY27"/>
    <s v="29-Dec-2026"/>
    <s v="Tuesday"/>
    <s v="Monthly - Tuesday"/>
    <s v="Monthly - Tuesday"/>
    <s v="Month+8 Expiry"/>
    <n v="0"/>
    <n v="0"/>
    <n v="0"/>
  </r>
  <r>
    <s v="21-Apr-2026"/>
    <x v="1"/>
    <s v="Week3-Apr-2026"/>
    <x v="7"/>
    <s v="Q1FY27"/>
    <s v="30-Mar-2027"/>
    <s v="Tuesday"/>
    <s v="Monthly - Tuesday"/>
    <s v="Monthly - Tuesday"/>
    <s v="Month+11 Expiry"/>
    <n v="0"/>
    <n v="0"/>
    <n v="0"/>
  </r>
  <r>
    <s v="22-Apr-2026"/>
    <x v="2"/>
    <s v="Week4-Apr-2026"/>
    <x v="7"/>
    <s v="Q1FY27"/>
    <s v="28-Apr-2026"/>
    <s v="Tuesday"/>
    <s v="Monthly - Tuesday"/>
    <s v="Monthly - Tuesday"/>
    <s v="Same Month Expiry"/>
    <n v="4046063"/>
    <n v="6912.3695"/>
    <n v="41.6802"/>
  </r>
  <r>
    <s v="22-Apr-2026"/>
    <x v="2"/>
    <s v="Week4-Apr-2026"/>
    <x v="7"/>
    <s v="Q1FY27"/>
    <s v="26-May-2026"/>
    <s v="Tuesday"/>
    <s v="Monthly - Tuesday"/>
    <s v="Monthly - Tuesday"/>
    <s v="Month+1 Expiry"/>
    <n v="177749"/>
    <n v="307.5002"/>
    <n v="3.9547"/>
  </r>
  <r>
    <s v="22-Apr-2026"/>
    <x v="2"/>
    <s v="Week4-Apr-2026"/>
    <x v="7"/>
    <s v="Q1FY27"/>
    <s v="30-Jun-2026"/>
    <s v="Tuesday"/>
    <s v="Monthly - Tuesday"/>
    <s v="Monthly - Tuesday"/>
    <s v="Month+2 Expiry"/>
    <n v="9273"/>
    <n v="16.1406"/>
    <n v="0.2844"/>
  </r>
  <r>
    <s v="22-Apr-2026"/>
    <x v="2"/>
    <s v="Week4-Apr-2026"/>
    <x v="7"/>
    <s v="Q1FY27"/>
    <s v="29-Sep-2026"/>
    <s v="Tuesday"/>
    <s v="Monthly - Tuesday"/>
    <s v="Monthly - Tuesday"/>
    <s v="Month+5 Expiry"/>
    <n v="31"/>
    <n v="0.0579"/>
    <n v="0.0017"/>
  </r>
  <r>
    <s v="22-Apr-2026"/>
    <x v="2"/>
    <s v="Week4-Apr-2026"/>
    <x v="7"/>
    <s v="Q1FY27"/>
    <s v="29-Dec-2026"/>
    <s v="Tuesday"/>
    <s v="Monthly - Tuesday"/>
    <s v="Monthly - Tuesday"/>
    <s v="Month+8 Expiry"/>
    <n v="0"/>
    <n v="0"/>
    <n v="0"/>
  </r>
  <r>
    <s v="22-Apr-2026"/>
    <x v="2"/>
    <s v="Week4-Apr-2026"/>
    <x v="7"/>
    <s v="Q1FY27"/>
    <s v="30-Mar-2027"/>
    <s v="Tuesday"/>
    <s v="Monthly - Tuesday"/>
    <s v="Monthly - Tuesday"/>
    <s v="Month+11 Expiry"/>
    <n v="0"/>
    <n v="0"/>
    <n v="0"/>
  </r>
  <r>
    <s v="23-Apr-2026"/>
    <x v="3"/>
    <s v="Week4-Apr-2026"/>
    <x v="7"/>
    <s v="Q1FY27"/>
    <s v="28-Apr-2026"/>
    <s v="Tuesday"/>
    <s v="Monthly - Tuesday"/>
    <s v="Monthly - Tuesday"/>
    <s v="Same Month Expiry"/>
    <n v="4408079"/>
    <n v="7509.2337"/>
    <n v="38.4919"/>
  </r>
  <r>
    <s v="23-Apr-2026"/>
    <x v="3"/>
    <s v="Week4-Apr-2026"/>
    <x v="7"/>
    <s v="Q1FY27"/>
    <s v="26-May-2026"/>
    <s v="Tuesday"/>
    <s v="Monthly - Tuesday"/>
    <s v="Monthly - Tuesday"/>
    <s v="Month+1 Expiry"/>
    <n v="223671"/>
    <n v="390.1955"/>
    <n v="5.1704"/>
  </r>
  <r>
    <s v="23-Apr-2026"/>
    <x v="3"/>
    <s v="Week4-Apr-2026"/>
    <x v="7"/>
    <s v="Q1FY27"/>
    <s v="30-Jun-2026"/>
    <s v="Tuesday"/>
    <s v="Monthly - Tuesday"/>
    <s v="Monthly - Tuesday"/>
    <s v="Month+2 Expiry"/>
    <n v="12076"/>
    <n v="21.01"/>
    <n v="0.3883"/>
  </r>
  <r>
    <s v="23-Apr-2026"/>
    <x v="3"/>
    <s v="Week4-Apr-2026"/>
    <x v="7"/>
    <s v="Q1FY27"/>
    <s v="29-Sep-2026"/>
    <s v="Tuesday"/>
    <s v="Monthly - Tuesday"/>
    <s v="Monthly - Tuesday"/>
    <s v="Month+5 Expiry"/>
    <n v="96"/>
    <n v="0.1598"/>
    <n v="0.003"/>
  </r>
  <r>
    <s v="23-Apr-2026"/>
    <x v="3"/>
    <s v="Week4-Apr-2026"/>
    <x v="7"/>
    <s v="Q1FY27"/>
    <s v="29-Dec-2026"/>
    <s v="Tuesday"/>
    <s v="Monthly - Tuesday"/>
    <s v="Monthly - Tuesday"/>
    <s v="Month+8 Expiry"/>
    <n v="0"/>
    <n v="0"/>
    <n v="0"/>
  </r>
  <r>
    <s v="23-Apr-2026"/>
    <x v="3"/>
    <s v="Week4-Apr-2026"/>
    <x v="7"/>
    <s v="Q1FY27"/>
    <s v="30-Mar-2027"/>
    <s v="Tuesday"/>
    <s v="Monthly - Tuesday"/>
    <s v="Monthly - Tuesday"/>
    <s v="Month+11 Expiry"/>
    <n v="0"/>
    <n v="0"/>
    <n v="0"/>
  </r>
  <r>
    <s v="24-Apr-2026"/>
    <x v="4"/>
    <s v="Week4-Apr-2026"/>
    <x v="7"/>
    <s v="Q1FY27"/>
    <s v="28-Apr-2026"/>
    <s v="Tuesday"/>
    <s v="Monthly - Tuesday"/>
    <s v="Monthly - Tuesday"/>
    <s v="Same Month Expiry"/>
    <n v="8502479"/>
    <n v="14358.2674"/>
    <n v="67.6904"/>
  </r>
  <r>
    <s v="24-Apr-2026"/>
    <x v="4"/>
    <s v="Week4-Apr-2026"/>
    <x v="7"/>
    <s v="Q1FY27"/>
    <s v="26-May-2026"/>
    <s v="Tuesday"/>
    <s v="Monthly - Tuesday"/>
    <s v="Monthly - Tuesday"/>
    <s v="Month+1 Expiry"/>
    <n v="225336"/>
    <n v="389.0458"/>
    <n v="5.6458"/>
  </r>
  <r>
    <s v="24-Apr-2026"/>
    <x v="4"/>
    <s v="Week4-Apr-2026"/>
    <x v="7"/>
    <s v="Q1FY27"/>
    <s v="30-Jun-2026"/>
    <s v="Tuesday"/>
    <s v="Monthly - Tuesday"/>
    <s v="Monthly - Tuesday"/>
    <s v="Month+2 Expiry"/>
    <n v="14634"/>
    <n v="25.6617"/>
    <n v="0.4283"/>
  </r>
  <r>
    <s v="24-Apr-2026"/>
    <x v="4"/>
    <s v="Week4-Apr-2026"/>
    <x v="7"/>
    <s v="Q1FY27"/>
    <s v="29-Sep-2026"/>
    <s v="Tuesday"/>
    <s v="Monthly - Tuesday"/>
    <s v="Monthly - Tuesday"/>
    <s v="Month+5 Expiry"/>
    <n v="83"/>
    <n v="0.1483"/>
    <n v="0.0029"/>
  </r>
  <r>
    <s v="24-Apr-2026"/>
    <x v="4"/>
    <s v="Week4-Apr-2026"/>
    <x v="7"/>
    <s v="Q1FY27"/>
    <s v="29-Dec-2026"/>
    <s v="Tuesday"/>
    <s v="Monthly - Tuesday"/>
    <s v="Monthly - Tuesday"/>
    <s v="Month+8 Expiry"/>
    <n v="0"/>
    <n v="0"/>
    <n v="0"/>
  </r>
  <r>
    <s v="24-Apr-2026"/>
    <x v="4"/>
    <s v="Week4-Apr-2026"/>
    <x v="7"/>
    <s v="Q1FY27"/>
    <s v="30-Mar-2027"/>
    <s v="Tuesday"/>
    <s v="Monthly - Tuesday"/>
    <s v="Monthly - Tuesday"/>
    <s v="Month+11 Expiry"/>
    <n v="0"/>
    <n v="0"/>
    <n v="0"/>
  </r>
  <r>
    <s v="27-Apr-2026"/>
    <x v="0"/>
    <s v="Week4-Apr-2026"/>
    <x v="7"/>
    <s v="Q1FY27"/>
    <s v="28-Apr-2026"/>
    <s v="Tuesday"/>
    <s v="Monthly - Tuesday"/>
    <s v="Monthly - Tuesday"/>
    <s v="Same Month Expiry"/>
    <n v="16838175"/>
    <n v="28419.917"/>
    <n v="82.2373"/>
  </r>
  <r>
    <s v="27-Apr-2026"/>
    <x v="0"/>
    <s v="Week4-Apr-2026"/>
    <x v="7"/>
    <s v="Q1FY27"/>
    <s v="26-May-2026"/>
    <s v="Tuesday"/>
    <s v="Monthly - Tuesday"/>
    <s v="Monthly - Tuesday"/>
    <s v="Month+1 Expiry"/>
    <n v="336365"/>
    <n v="579.9241"/>
    <n v="9.386200000000001"/>
  </r>
  <r>
    <s v="27-Apr-2026"/>
    <x v="0"/>
    <s v="Week4-Apr-2026"/>
    <x v="7"/>
    <s v="Q1FY27"/>
    <s v="30-Jun-2026"/>
    <s v="Tuesday"/>
    <s v="Monthly - Tuesday"/>
    <s v="Monthly - Tuesday"/>
    <s v="Month+2 Expiry"/>
    <n v="11984"/>
    <n v="20.8848"/>
    <n v="0.4446"/>
  </r>
  <r>
    <s v="27-Apr-2026"/>
    <x v="0"/>
    <s v="Week4-Apr-2026"/>
    <x v="7"/>
    <s v="Q1FY27"/>
    <s v="29-Sep-2026"/>
    <s v="Tuesday"/>
    <s v="Monthly - Tuesday"/>
    <s v="Monthly - Tuesday"/>
    <s v="Month+5 Expiry"/>
    <n v="72"/>
    <n v="0.1241"/>
    <n v="0.0023"/>
  </r>
  <r>
    <s v="27-Apr-2026"/>
    <x v="0"/>
    <s v="Week4-Apr-2026"/>
    <x v="7"/>
    <s v="Q1FY27"/>
    <s v="29-Dec-2026"/>
    <s v="Tuesday"/>
    <s v="Monthly - Tuesday"/>
    <s v="Monthly - Tuesday"/>
    <s v="Month+8 Expiry"/>
    <n v="0"/>
    <n v="0"/>
    <n v="0"/>
  </r>
  <r>
    <s v="27-Apr-2026"/>
    <x v="0"/>
    <s v="Week4-Apr-2026"/>
    <x v="7"/>
    <s v="Q1FY27"/>
    <s v="30-Mar-2027"/>
    <s v="Tuesday"/>
    <s v="Monthly - Tuesday"/>
    <s v="Monthly - Tuesday"/>
    <s v="Month+11 Expiry"/>
    <n v="0"/>
    <n v="0"/>
    <n v="0"/>
  </r>
  <r>
    <s v="28-Apr-2026"/>
    <x v="1"/>
    <s v="Week4-Apr-2026"/>
    <x v="7"/>
    <s v="Q1FY27"/>
    <s v="28-Apr-2026"/>
    <s v="Tuesday"/>
    <s v="Monthly - Tuesday"/>
    <s v="Monthly - Tuesday"/>
    <s v="Same Month Expiry"/>
    <n v="91759485"/>
    <n v="153286.2119"/>
    <n v="144.229"/>
  </r>
  <r>
    <s v="28-Apr-2026"/>
    <x v="1"/>
    <s v="Week4-Apr-2026"/>
    <x v="7"/>
    <s v="Q1FY27"/>
    <s v="26-May-2026"/>
    <s v="Tuesday"/>
    <s v="Monthly - Tuesday"/>
    <s v="Monthly - Tuesday"/>
    <s v="Month+1 Expiry"/>
    <n v="735866"/>
    <n v="1256.8362"/>
    <n v="17.0292"/>
  </r>
  <r>
    <s v="28-Apr-2026"/>
    <x v="1"/>
    <s v="Week4-Apr-2026"/>
    <x v="7"/>
    <s v="Q1FY27"/>
    <s v="30-Jun-2026"/>
    <s v="Tuesday"/>
    <s v="Monthly - Tuesday"/>
    <s v="Monthly - Tuesday"/>
    <s v="Month+2 Expiry"/>
    <n v="24881"/>
    <n v="42.8221"/>
    <n v="0.8257"/>
  </r>
  <r>
    <s v="28-Apr-2026"/>
    <x v="1"/>
    <s v="Week4-Apr-2026"/>
    <x v="7"/>
    <s v="Q1FY27"/>
    <s v="29-Sep-2026"/>
    <s v="Tuesday"/>
    <s v="Monthly - Tuesday"/>
    <s v="Monthly - Tuesday"/>
    <s v="Month+5 Expiry"/>
    <n v="85"/>
    <n v="0.145"/>
    <n v="0.0031"/>
  </r>
  <r>
    <s v="28-Apr-2026"/>
    <x v="1"/>
    <s v="Week4-Apr-2026"/>
    <x v="7"/>
    <s v="Q1FY27"/>
    <s v="29-Dec-2026"/>
    <s v="Tuesday"/>
    <s v="Monthly - Tuesday"/>
    <s v="Monthly - Tuesday"/>
    <s v="Month+8 Expiry"/>
    <n v="3"/>
    <n v="0.0054"/>
    <n v="0.0002"/>
  </r>
  <r>
    <s v="28-Apr-2026"/>
    <x v="1"/>
    <s v="Week4-Apr-2026"/>
    <x v="7"/>
    <s v="Q1FY27"/>
    <s v="30-Mar-2027"/>
    <s v="Tuesday"/>
    <s v="Monthly - Tuesday"/>
    <s v="Monthly - Tuesday"/>
    <s v="Month+11 Expiry"/>
    <n v="0"/>
    <n v="0"/>
    <n v="0"/>
  </r>
  <r>
    <s v="29-Apr-2026"/>
    <x v="2"/>
    <s v="Week5-Apr-2026"/>
    <x v="7"/>
    <s v="Q1FY27"/>
    <s v="26-May-2026"/>
    <s v="Tuesday"/>
    <s v="Monthly - Tuesday"/>
    <s v="Monthly - Tuesday"/>
    <s v="Month+1 Expiry"/>
    <n v="1895212"/>
    <n v="3228.9082"/>
    <n v="39.6797"/>
  </r>
  <r>
    <s v="29-Apr-2026"/>
    <x v="2"/>
    <s v="Week5-Apr-2026"/>
    <x v="7"/>
    <s v="Q1FY27"/>
    <s v="30-Jun-2026"/>
    <s v="Tuesday"/>
    <s v="Monthly - Tuesday"/>
    <s v="Monthly - Tuesday"/>
    <s v="Month+2 Expiry"/>
    <n v="33169"/>
    <n v="56.6535"/>
    <n v="0.8518"/>
  </r>
  <r>
    <s v="29-Apr-2026"/>
    <x v="2"/>
    <s v="Week5-Apr-2026"/>
    <x v="7"/>
    <s v="Q1FY27"/>
    <s v="28-Jul-2026"/>
    <s v="Tuesday"/>
    <s v="Monthly - Tuesday"/>
    <s v="Monthly - Tuesday"/>
    <s v="Month+3 Expiry"/>
    <n v="443"/>
    <n v="0.7538"/>
    <n v="0.0213"/>
  </r>
  <r>
    <s v="29-Apr-2026"/>
    <x v="2"/>
    <s v="Week5-Apr-2026"/>
    <x v="7"/>
    <s v="Q1FY27"/>
    <s v="29-Sep-2026"/>
    <s v="Tuesday"/>
    <s v="Monthly - Tuesday"/>
    <s v="Monthly - Tuesday"/>
    <s v="Month+5 Expiry"/>
    <n v="250"/>
    <n v="0.4429"/>
    <n v="0.0091"/>
  </r>
  <r>
    <s v="29-Apr-2026"/>
    <x v="2"/>
    <s v="Week5-Apr-2026"/>
    <x v="7"/>
    <s v="Q1FY27"/>
    <s v="29-Dec-2026"/>
    <s v="Tuesday"/>
    <s v="Monthly - Tuesday"/>
    <s v="Monthly - Tuesday"/>
    <s v="Month+8 Expiry"/>
    <n v="8"/>
    <n v="0.0114"/>
    <n v="0.0001"/>
  </r>
  <r>
    <s v="29-Apr-2026"/>
    <x v="2"/>
    <s v="Week5-Apr-2026"/>
    <x v="7"/>
    <s v="Q1FY27"/>
    <s v="30-Mar-2027"/>
    <s v="Tuesday"/>
    <s v="Monthly - Tuesday"/>
    <s v="Monthly - Tuesday"/>
    <s v="Month+11 Expiry"/>
    <n v="0"/>
    <n v="0"/>
    <n v="0"/>
  </r>
  <r>
    <s v="30-Apr-2026"/>
    <x v="3"/>
    <s v="Week5-Apr-2026"/>
    <x v="7"/>
    <s v="Q1FY27"/>
    <s v="26-May-2026"/>
    <s v="Tuesday"/>
    <s v="Monthly - Tuesday"/>
    <s v="Monthly - Tuesday"/>
    <s v="Month+1 Expiry"/>
    <n v="1712831"/>
    <n v="2877.1678"/>
    <n v="37.6604"/>
  </r>
  <r>
    <s v="30-Apr-2026"/>
    <x v="3"/>
    <s v="Week5-Apr-2026"/>
    <x v="7"/>
    <s v="Q1FY27"/>
    <s v="30-Jun-2026"/>
    <s v="Tuesday"/>
    <s v="Monthly - Tuesday"/>
    <s v="Monthly - Tuesday"/>
    <s v="Month+2 Expiry"/>
    <n v="30370"/>
    <n v="51.8274"/>
    <n v="0.8655"/>
  </r>
  <r>
    <s v="30-Apr-2026"/>
    <x v="3"/>
    <s v="Week5-Apr-2026"/>
    <x v="7"/>
    <s v="Q1FY27"/>
    <s v="28-Jul-2026"/>
    <s v="Tuesday"/>
    <s v="Monthly - Tuesday"/>
    <s v="Monthly - Tuesday"/>
    <s v="Month+3 Expiry"/>
    <n v="1064"/>
    <n v="1.7926"/>
    <n v="0.0512"/>
  </r>
  <r>
    <s v="30-Apr-2026"/>
    <x v="3"/>
    <s v="Week5-Apr-2026"/>
    <x v="7"/>
    <s v="Q1FY27"/>
    <s v="29-Sep-2026"/>
    <s v="Tuesday"/>
    <s v="Monthly - Tuesday"/>
    <s v="Monthly - Tuesday"/>
    <s v="Month+5 Expiry"/>
    <n v="389"/>
    <n v="0.6791"/>
    <n v="0.0142"/>
  </r>
  <r>
    <s v="30-Apr-2026"/>
    <x v="3"/>
    <s v="Week5-Apr-2026"/>
    <x v="7"/>
    <s v="Q1FY27"/>
    <s v="29-Dec-2026"/>
    <s v="Tuesday"/>
    <s v="Monthly - Tuesday"/>
    <s v="Monthly - Tuesday"/>
    <s v="Month+8 Expiry"/>
    <n v="0"/>
    <n v="0"/>
    <n v="0"/>
  </r>
  <r>
    <s v="30-Apr-2026"/>
    <x v="3"/>
    <s v="Week5-Apr-2026"/>
    <x v="7"/>
    <s v="Q1FY27"/>
    <s v="30-Mar-2027"/>
    <s v="Tuesday"/>
    <s v="Monthly - Tuesday"/>
    <s v="Monthly - Tuesday"/>
    <s v="Month+11 Expiry"/>
    <n v="0"/>
    <n v="0"/>
    <n v="0"/>
  </r>
  <r>
    <s v="04-May-2026"/>
    <x v="0"/>
    <s v="Week1-May-2026"/>
    <x v="8"/>
    <s v="Q1FY27"/>
    <s v="26-May-2026"/>
    <s v="Tuesday"/>
    <s v="Monthly - Tuesday"/>
    <s v="Monthly - Tuesday"/>
    <s v="Same Month Expiry"/>
    <n v="1767544"/>
    <n v="2987.0088"/>
    <n v="34.9621"/>
  </r>
  <r>
    <s v="04-May-2026"/>
    <x v="0"/>
    <s v="Week1-May-2026"/>
    <x v="8"/>
    <s v="Q1FY27"/>
    <s v="30-Jun-2026"/>
    <s v="Tuesday"/>
    <s v="Monthly - Tuesday"/>
    <s v="Monthly - Tuesday"/>
    <s v="Month+1 Expiry"/>
    <n v="33202"/>
    <n v="57.5789"/>
    <n v="0.739"/>
  </r>
  <r>
    <s v="04-May-2026"/>
    <x v="0"/>
    <s v="Week1-May-2026"/>
    <x v="8"/>
    <s v="Q1FY27"/>
    <s v="28-Jul-2026"/>
    <s v="Tuesday"/>
    <s v="Monthly - Tuesday"/>
    <s v="Monthly - Tuesday"/>
    <s v="Month+2 Expiry"/>
    <n v="1352"/>
    <n v="2.2995"/>
    <n v="0.0578"/>
  </r>
  <r>
    <s v="04-May-2026"/>
    <x v="0"/>
    <s v="Week1-May-2026"/>
    <x v="8"/>
    <s v="Q1FY27"/>
    <s v="29-Sep-2026"/>
    <s v="Tuesday"/>
    <s v="Monthly - Tuesday"/>
    <s v="Monthly - Tuesday"/>
    <s v="Month+4 Expiry"/>
    <n v="201"/>
    <n v="0.3488"/>
    <n v="0.0066"/>
  </r>
  <r>
    <s v="04-May-2026"/>
    <x v="0"/>
    <s v="Week1-May-2026"/>
    <x v="8"/>
    <s v="Q1FY27"/>
    <s v="29-Dec-2026"/>
    <s v="Tuesday"/>
    <s v="Monthly - Tuesday"/>
    <s v="Monthly - Tuesday"/>
    <s v="Month+7 Expiry"/>
    <n v="0"/>
    <n v="0"/>
    <n v="0"/>
  </r>
  <r>
    <s v="04-May-2026"/>
    <x v="0"/>
    <s v="Week1-May-2026"/>
    <x v="8"/>
    <s v="Q1FY27"/>
    <s v="30-Mar-2027"/>
    <s v="Tuesday"/>
    <s v="Monthly - Tuesday"/>
    <s v="Monthly - Tuesday"/>
    <s v="Month+10 Expiry"/>
    <n v="0"/>
    <n v="0"/>
    <n v="0"/>
  </r>
  <r>
    <s v="05-May-2026"/>
    <x v="1"/>
    <s v="Week1-May-2026"/>
    <x v="8"/>
    <s v="Q1FY27"/>
    <s v="26-May-2026"/>
    <s v="Tuesday"/>
    <s v="Monthly - Tuesday"/>
    <s v="Monthly - Tuesday"/>
    <s v="Same Month Expiry"/>
    <n v="1802314"/>
    <n v="3020.2696"/>
    <n v="35.2089"/>
  </r>
  <r>
    <s v="05-May-2026"/>
    <x v="1"/>
    <s v="Week1-May-2026"/>
    <x v="8"/>
    <s v="Q1FY27"/>
    <s v="30-Jun-2026"/>
    <s v="Tuesday"/>
    <s v="Monthly - Tuesday"/>
    <s v="Monthly - Tuesday"/>
    <s v="Month+1 Expiry"/>
    <n v="37015"/>
    <n v="63.8188"/>
    <n v="0.8058"/>
  </r>
  <r>
    <s v="05-May-2026"/>
    <x v="1"/>
    <s v="Week1-May-2026"/>
    <x v="8"/>
    <s v="Q1FY27"/>
    <s v="28-Jul-2026"/>
    <s v="Tuesday"/>
    <s v="Monthly - Tuesday"/>
    <s v="Monthly - Tuesday"/>
    <s v="Month+2 Expiry"/>
    <n v="1540"/>
    <n v="2.595"/>
    <n v="0.0568"/>
  </r>
  <r>
    <s v="05-May-2026"/>
    <x v="1"/>
    <s v="Week1-May-2026"/>
    <x v="8"/>
    <s v="Q1FY27"/>
    <s v="29-Sep-2026"/>
    <s v="Tuesday"/>
    <s v="Monthly - Tuesday"/>
    <s v="Monthly - Tuesday"/>
    <s v="Month+4 Expiry"/>
    <n v="231"/>
    <n v="0.4064"/>
    <n v="0.0083"/>
  </r>
  <r>
    <s v="05-May-2026"/>
    <x v="1"/>
    <s v="Week1-May-2026"/>
    <x v="8"/>
    <s v="Q1FY27"/>
    <s v="29-Dec-2026"/>
    <s v="Tuesday"/>
    <s v="Monthly - Tuesday"/>
    <s v="Monthly - Tuesday"/>
    <s v="Month+7 Expiry"/>
    <n v="1"/>
    <n v="0.0018"/>
    <n v="0.0001"/>
  </r>
  <r>
    <s v="05-May-2026"/>
    <x v="1"/>
    <s v="Week1-May-2026"/>
    <x v="8"/>
    <s v="Q1FY27"/>
    <s v="30-Mar-2027"/>
    <s v="Tuesday"/>
    <s v="Monthly - Tuesday"/>
    <s v="Monthly - Tuesday"/>
    <s v="Month+10 Expiry"/>
    <n v="0"/>
    <n v="0"/>
    <n v="0"/>
  </r>
  <r>
    <s v="06-May-2026"/>
    <x v="2"/>
    <s v="Week1-May-2026"/>
    <x v="8"/>
    <s v="Q1FY27"/>
    <s v="26-May-2026"/>
    <s v="Tuesday"/>
    <s v="Monthly - Tuesday"/>
    <s v="Monthly - Tuesday"/>
    <s v="Same Month Expiry"/>
    <n v="3044751"/>
    <n v="5122.9406"/>
    <n v="53.9687"/>
  </r>
  <r>
    <s v="06-May-2026"/>
    <x v="2"/>
    <s v="Week1-May-2026"/>
    <x v="8"/>
    <s v="Q1FY27"/>
    <s v="30-Jun-2026"/>
    <s v="Tuesday"/>
    <s v="Monthly - Tuesday"/>
    <s v="Monthly - Tuesday"/>
    <s v="Month+1 Expiry"/>
    <n v="86772"/>
    <n v="147.0936"/>
    <n v="1.7706"/>
  </r>
  <r>
    <s v="06-May-2026"/>
    <x v="2"/>
    <s v="Week1-May-2026"/>
    <x v="8"/>
    <s v="Q1FY27"/>
    <s v="28-Jul-2026"/>
    <s v="Tuesday"/>
    <s v="Monthly - Tuesday"/>
    <s v="Monthly - Tuesday"/>
    <s v="Month+2 Expiry"/>
    <n v="4341"/>
    <n v="7.4399"/>
    <n v="0.1787"/>
  </r>
  <r>
    <s v="06-May-2026"/>
    <x v="2"/>
    <s v="Week1-May-2026"/>
    <x v="8"/>
    <s v="Q1FY27"/>
    <s v="29-Sep-2026"/>
    <s v="Tuesday"/>
    <s v="Monthly - Tuesday"/>
    <s v="Monthly - Tuesday"/>
    <s v="Month+4 Expiry"/>
    <n v="432"/>
    <n v="0.7495000000000001"/>
    <n v="0.0169"/>
  </r>
  <r>
    <s v="06-May-2026"/>
    <x v="2"/>
    <s v="Week1-May-2026"/>
    <x v="8"/>
    <s v="Q1FY27"/>
    <s v="29-Dec-2026"/>
    <s v="Tuesday"/>
    <s v="Monthly - Tuesday"/>
    <s v="Monthly - Tuesday"/>
    <s v="Month+7 Expiry"/>
    <n v="12"/>
    <n v="0.0183"/>
    <n v="0.0005"/>
  </r>
  <r>
    <s v="06-May-2026"/>
    <x v="2"/>
    <s v="Week1-May-2026"/>
    <x v="8"/>
    <s v="Q1FY27"/>
    <s v="30-Mar-2027"/>
    <s v="Tuesday"/>
    <s v="Monthly - Tuesday"/>
    <s v="Monthly - Tuesday"/>
    <s v="Month+10 Expiry"/>
    <n v="0"/>
    <n v="0"/>
    <n v="0"/>
  </r>
  <r>
    <s v="07-May-2026"/>
    <x v="3"/>
    <s v="Week1-May-2026"/>
    <x v="8"/>
    <s v="Q1FY27"/>
    <s v="26-May-2026"/>
    <s v="Tuesday"/>
    <s v="Monthly - Tuesday"/>
    <s v="Monthly - Tuesday"/>
    <s v="Same Month Expiry"/>
    <n v="2146088"/>
    <n v="3660.7045"/>
    <n v="38.2474"/>
  </r>
  <r>
    <s v="07-May-2026"/>
    <x v="3"/>
    <s v="Week1-May-2026"/>
    <x v="8"/>
    <s v="Q1FY27"/>
    <s v="30-Jun-2026"/>
    <s v="Tuesday"/>
    <s v="Monthly - Tuesday"/>
    <s v="Monthly - Tuesday"/>
    <s v="Month+1 Expiry"/>
    <n v="40308"/>
    <n v="68.614"/>
    <n v="0.9222"/>
  </r>
  <r>
    <s v="07-May-2026"/>
    <x v="3"/>
    <s v="Week1-May-2026"/>
    <x v="8"/>
    <s v="Q1FY27"/>
    <s v="28-Jul-2026"/>
    <s v="Tuesday"/>
    <s v="Monthly - Tuesday"/>
    <s v="Monthly - Tuesday"/>
    <s v="Month+2 Expiry"/>
    <n v="2085"/>
    <n v="3.5055"/>
    <n v="0.0718"/>
  </r>
  <r>
    <s v="07-May-2026"/>
    <x v="3"/>
    <s v="Week1-May-2026"/>
    <x v="8"/>
    <s v="Q1FY27"/>
    <s v="29-Sep-2026"/>
    <s v="Tuesday"/>
    <s v="Monthly - Tuesday"/>
    <s v="Monthly - Tuesday"/>
    <s v="Month+4 Expiry"/>
    <n v="340"/>
    <n v="0.5941"/>
    <n v="0.0122"/>
  </r>
  <r>
    <s v="07-May-2026"/>
    <x v="3"/>
    <s v="Week1-May-2026"/>
    <x v="8"/>
    <s v="Q1FY27"/>
    <s v="29-Dec-2026"/>
    <s v="Tuesday"/>
    <s v="Monthly - Tuesday"/>
    <s v="Monthly - Tuesday"/>
    <s v="Month+7 Expiry"/>
    <n v="30"/>
    <n v="0.0414"/>
    <n v="0.0004"/>
  </r>
  <r>
    <s v="07-May-2026"/>
    <x v="3"/>
    <s v="Week1-May-2026"/>
    <x v="8"/>
    <s v="Q1FY27"/>
    <s v="30-Mar-2027"/>
    <s v="Tuesday"/>
    <s v="Monthly - Tuesday"/>
    <s v="Monthly - Tuesday"/>
    <s v="Month+10 Expiry"/>
    <n v="0"/>
    <n v="0"/>
    <n v="0"/>
  </r>
  <r>
    <s v="08-May-2026"/>
    <x v="4"/>
    <s v="Week2-May-2026"/>
    <x v="8"/>
    <s v="Q1FY27"/>
    <s v="26-May-2026"/>
    <s v="Tuesday"/>
    <s v="Monthly - Tuesday"/>
    <s v="Monthly - Tuesday"/>
    <s v="Same Month Expiry"/>
    <n v="2286129"/>
    <n v="3860.5966"/>
    <n v="38.7298"/>
  </r>
  <r>
    <s v="08-May-2026"/>
    <x v="4"/>
    <s v="Week2-May-2026"/>
    <x v="8"/>
    <s v="Q1FY27"/>
    <s v="30-Jun-2026"/>
    <s v="Tuesday"/>
    <s v="Monthly - Tuesday"/>
    <s v="Monthly - Tuesday"/>
    <s v="Month+1 Expiry"/>
    <n v="41757"/>
    <n v="70.85809999999999"/>
    <n v="0.9257"/>
  </r>
  <r>
    <s v="08-May-2026"/>
    <x v="4"/>
    <s v="Week2-May-2026"/>
    <x v="8"/>
    <s v="Q1FY27"/>
    <s v="28-Jul-2026"/>
    <s v="Tuesday"/>
    <s v="Monthly - Tuesday"/>
    <s v="Monthly - Tuesday"/>
    <s v="Month+2 Expiry"/>
    <n v="3861"/>
    <n v="6.6362"/>
    <n v="0.153"/>
  </r>
  <r>
    <s v="08-May-2026"/>
    <x v="4"/>
    <s v="Week2-May-2026"/>
    <x v="8"/>
    <s v="Q1FY27"/>
    <s v="29-Sep-2026"/>
    <s v="Tuesday"/>
    <s v="Monthly - Tuesday"/>
    <s v="Monthly - Tuesday"/>
    <s v="Month+4 Expiry"/>
    <n v="260"/>
    <n v="0.4532"/>
    <n v="0.0098"/>
  </r>
  <r>
    <s v="08-May-2026"/>
    <x v="4"/>
    <s v="Week2-May-2026"/>
    <x v="8"/>
    <s v="Q1FY27"/>
    <s v="29-Dec-2026"/>
    <s v="Tuesday"/>
    <s v="Monthly - Tuesday"/>
    <s v="Monthly - Tuesday"/>
    <s v="Month+7 Expiry"/>
    <n v="19"/>
    <n v="0.0258"/>
    <n v="0.0002"/>
  </r>
  <r>
    <s v="08-May-2026"/>
    <x v="4"/>
    <s v="Week2-May-2026"/>
    <x v="8"/>
    <s v="Q1FY27"/>
    <s v="30-Mar-2027"/>
    <s v="Tuesday"/>
    <s v="Monthly - Tuesday"/>
    <s v="Monthly - Tuesday"/>
    <s v="Month+10 Expiry"/>
    <n v="0"/>
    <n v="0"/>
    <n v="0"/>
  </r>
  <r>
    <s v="11-May-2026"/>
    <x v="0"/>
    <s v="Week2-May-2026"/>
    <x v="8"/>
    <s v="Q1FY27"/>
    <s v="26-May-2026"/>
    <s v="Tuesday"/>
    <s v="Monthly - Tuesday"/>
    <s v="Monthly - Tuesday"/>
    <s v="Same Month Expiry"/>
    <n v="2634472"/>
    <n v="4413.5415"/>
    <n v="43.338"/>
  </r>
  <r>
    <s v="11-May-2026"/>
    <x v="0"/>
    <s v="Week2-May-2026"/>
    <x v="8"/>
    <s v="Q1FY27"/>
    <s v="30-Jun-2026"/>
    <s v="Tuesday"/>
    <s v="Monthly - Tuesday"/>
    <s v="Monthly - Tuesday"/>
    <s v="Month+1 Expiry"/>
    <n v="64400"/>
    <n v="110.3122"/>
    <n v="1.4211"/>
  </r>
  <r>
    <s v="11-May-2026"/>
    <x v="0"/>
    <s v="Week2-May-2026"/>
    <x v="8"/>
    <s v="Q1FY27"/>
    <s v="28-Jul-2026"/>
    <s v="Tuesday"/>
    <s v="Monthly - Tuesday"/>
    <s v="Monthly - Tuesday"/>
    <s v="Month+2 Expiry"/>
    <n v="4072"/>
    <n v="6.941"/>
    <n v="0.1557"/>
  </r>
  <r>
    <s v="11-May-2026"/>
    <x v="0"/>
    <s v="Week2-May-2026"/>
    <x v="8"/>
    <s v="Q1FY27"/>
    <s v="29-Sep-2026"/>
    <s v="Tuesday"/>
    <s v="Monthly - Tuesday"/>
    <s v="Monthly - Tuesday"/>
    <s v="Month+4 Expiry"/>
    <n v="443"/>
    <n v="0.7634"/>
    <n v="0.0147"/>
  </r>
  <r>
    <s v="11-May-2026"/>
    <x v="0"/>
    <s v="Week2-May-2026"/>
    <x v="8"/>
    <s v="Q1FY27"/>
    <s v="29-Dec-2026"/>
    <s v="Tuesday"/>
    <s v="Monthly - Tuesday"/>
    <s v="Monthly - Tuesday"/>
    <s v="Month+7 Expiry"/>
    <n v="0"/>
    <n v="0"/>
    <n v="0"/>
  </r>
  <r>
    <s v="11-May-2026"/>
    <x v="0"/>
    <s v="Week2-May-2026"/>
    <x v="8"/>
    <s v="Q1FY27"/>
    <s v="30-Mar-2027"/>
    <s v="Tuesday"/>
    <s v="Monthly - Tuesday"/>
    <s v="Monthly - Tuesday"/>
    <s v="Month+10 Expiry"/>
    <n v="0"/>
    <n v="0"/>
    <n v="0"/>
  </r>
  <r>
    <s v="12-May-2026"/>
    <x v="1"/>
    <s v="Week2-May-2026"/>
    <x v="8"/>
    <s v="Q1FY27"/>
    <s v="26-May-2026"/>
    <s v="Tuesday"/>
    <s v="Monthly - Tuesday"/>
    <s v="Monthly - Tuesday"/>
    <s v="Same Month Expiry"/>
    <n v="2490093"/>
    <n v="4137.5951"/>
    <n v="41.0856"/>
  </r>
  <r>
    <s v="12-May-2026"/>
    <x v="1"/>
    <s v="Week2-May-2026"/>
    <x v="8"/>
    <s v="Q1FY27"/>
    <s v="30-Jun-2026"/>
    <s v="Tuesday"/>
    <s v="Monthly - Tuesday"/>
    <s v="Monthly - Tuesday"/>
    <s v="Month+1 Expiry"/>
    <n v="73595"/>
    <n v="124.1664"/>
    <n v="1.8205"/>
  </r>
  <r>
    <s v="12-May-2026"/>
    <x v="1"/>
    <s v="Week2-May-2026"/>
    <x v="8"/>
    <s v="Q1FY27"/>
    <s v="28-Jul-2026"/>
    <s v="Tuesday"/>
    <s v="Monthly - Tuesday"/>
    <s v="Monthly - Tuesday"/>
    <s v="Month+2 Expiry"/>
    <n v="5661"/>
    <n v="9.493499999999999"/>
    <n v="0.2291"/>
  </r>
  <r>
    <s v="12-May-2026"/>
    <x v="1"/>
    <s v="Week2-May-2026"/>
    <x v="8"/>
    <s v="Q1FY27"/>
    <s v="29-Sep-2026"/>
    <s v="Tuesday"/>
    <s v="Monthly - Tuesday"/>
    <s v="Monthly - Tuesday"/>
    <s v="Month+4 Expiry"/>
    <n v="493"/>
    <n v="0.854"/>
    <n v="0.0181"/>
  </r>
  <r>
    <s v="12-May-2026"/>
    <x v="1"/>
    <s v="Week2-May-2026"/>
    <x v="8"/>
    <s v="Q1FY27"/>
    <s v="29-Dec-2026"/>
    <s v="Tuesday"/>
    <s v="Monthly - Tuesday"/>
    <s v="Monthly - Tuesday"/>
    <s v="Month+7 Expiry"/>
    <n v="1"/>
    <n v="0.0015"/>
    <n v="0"/>
  </r>
  <r>
    <s v="12-May-2026"/>
    <x v="1"/>
    <s v="Week2-May-2026"/>
    <x v="8"/>
    <s v="Q1FY27"/>
    <s v="30-Mar-2027"/>
    <s v="Tuesday"/>
    <s v="Monthly - Tuesday"/>
    <s v="Monthly - Tuesday"/>
    <s v="Month+10 Expiry"/>
    <n v="0"/>
    <n v="0"/>
    <n v="0"/>
  </r>
  <r>
    <s v="13-May-2026"/>
    <x v="2"/>
    <s v="Week2-May-2026"/>
    <x v="8"/>
    <s v="Q1FY27"/>
    <s v="26-May-2026"/>
    <s v="Tuesday"/>
    <s v="Monthly - Tuesday"/>
    <s v="Monthly - Tuesday"/>
    <s v="Same Month Expiry"/>
    <n v="2989323"/>
    <n v="4928.5698"/>
    <n v="49.6001"/>
  </r>
  <r>
    <s v="13-May-2026"/>
    <x v="2"/>
    <s v="Week2-May-2026"/>
    <x v="8"/>
    <s v="Q1FY27"/>
    <s v="30-Jun-2026"/>
    <s v="Tuesday"/>
    <s v="Monthly - Tuesday"/>
    <s v="Monthly - Tuesday"/>
    <s v="Month+1 Expiry"/>
    <n v="79357"/>
    <n v="134.4018"/>
    <n v="1.9887"/>
  </r>
  <r>
    <s v="13-May-2026"/>
    <x v="2"/>
    <s v="Week2-May-2026"/>
    <x v="8"/>
    <s v="Q1FY27"/>
    <s v="28-Jul-2026"/>
    <s v="Tuesday"/>
    <s v="Monthly - Tuesday"/>
    <s v="Monthly - Tuesday"/>
    <s v="Month+2 Expiry"/>
    <n v="4106"/>
    <n v="6.9549"/>
    <n v="0.1749"/>
  </r>
  <r>
    <s v="13-May-2026"/>
    <x v="2"/>
    <s v="Week2-May-2026"/>
    <x v="8"/>
    <s v="Q1FY27"/>
    <s v="29-Sep-2026"/>
    <s v="Tuesday"/>
    <s v="Monthly - Tuesday"/>
    <s v="Monthly - Tuesday"/>
    <s v="Month+4 Expiry"/>
    <n v="394"/>
    <n v="0.6775"/>
    <n v="0.0133"/>
  </r>
  <r>
    <s v="13-May-2026"/>
    <x v="2"/>
    <s v="Week2-May-2026"/>
    <x v="8"/>
    <s v="Q1FY27"/>
    <s v="29-Dec-2026"/>
    <s v="Tuesday"/>
    <s v="Monthly - Tuesday"/>
    <s v="Monthly - Tuesday"/>
    <s v="Month+7 Expiry"/>
    <n v="1"/>
    <n v="0.0015"/>
    <n v="0"/>
  </r>
  <r>
    <s v="13-May-2026"/>
    <x v="2"/>
    <s v="Week2-May-2026"/>
    <x v="8"/>
    <s v="Q1FY27"/>
    <s v="30-Mar-2027"/>
    <s v="Tuesday"/>
    <s v="Monthly - Tuesday"/>
    <s v="Monthly - Tuesday"/>
    <s v="Month+10 Expiry"/>
    <n v="0"/>
    <n v="0"/>
    <n v="0"/>
  </r>
  <r>
    <s v="14-May-2026"/>
    <x v="3"/>
    <s v="Week2-May-2026"/>
    <x v="8"/>
    <s v="Q1FY27"/>
    <s v="26-May-2026"/>
    <s v="Tuesday"/>
    <s v="Monthly - Tuesday"/>
    <s v="Monthly - Tuesday"/>
    <s v="Same Month Expiry"/>
    <n v="3187916"/>
    <n v="5263.3861"/>
    <n v="48.7613"/>
  </r>
  <r>
    <s v="14-May-2026"/>
    <x v="3"/>
    <s v="Week2-May-2026"/>
    <x v="8"/>
    <s v="Q1FY27"/>
    <s v="30-Jun-2026"/>
    <s v="Tuesday"/>
    <s v="Monthly - Tuesday"/>
    <s v="Monthly - Tuesday"/>
    <s v="Month+1 Expiry"/>
    <n v="85290"/>
    <n v="144.7789"/>
    <n v="1.949"/>
  </r>
  <r>
    <s v="14-May-2026"/>
    <x v="3"/>
    <s v="Week2-May-2026"/>
    <x v="8"/>
    <s v="Q1FY27"/>
    <s v="28-Jul-2026"/>
    <s v="Tuesday"/>
    <s v="Monthly - Tuesday"/>
    <s v="Monthly - Tuesday"/>
    <s v="Month+2 Expiry"/>
    <n v="4184"/>
    <n v="7.1"/>
    <n v="0.1692"/>
  </r>
  <r>
    <s v="14-May-2026"/>
    <x v="3"/>
    <s v="Week2-May-2026"/>
    <x v="8"/>
    <s v="Q1FY27"/>
    <s v="29-Sep-2026"/>
    <s v="Tuesday"/>
    <s v="Monthly - Tuesday"/>
    <s v="Monthly - Tuesday"/>
    <s v="Month+4 Expiry"/>
    <n v="303"/>
    <n v="0.5206"/>
    <n v="0.0102"/>
  </r>
  <r>
    <s v="14-May-2026"/>
    <x v="3"/>
    <s v="Week2-May-2026"/>
    <x v="8"/>
    <s v="Q1FY27"/>
    <s v="29-Dec-2026"/>
    <s v="Tuesday"/>
    <s v="Monthly - Tuesday"/>
    <s v="Monthly - Tuesday"/>
    <s v="Month+7 Expiry"/>
    <n v="6"/>
    <n v="0.0105"/>
    <n v="0.0005999999999999999"/>
  </r>
  <r>
    <s v="14-May-2026"/>
    <x v="3"/>
    <s v="Week2-May-2026"/>
    <x v="8"/>
    <s v="Q1FY27"/>
    <s v="30-Mar-2027"/>
    <s v="Tuesday"/>
    <s v="Monthly - Tuesday"/>
    <s v="Monthly - Tuesday"/>
    <s v="Month+10 Expiry"/>
    <n v="0"/>
    <n v="0"/>
    <n v="0"/>
  </r>
  <r>
    <s v="15-May-2026"/>
    <x v="4"/>
    <s v="Week3-May-2026"/>
    <x v="8"/>
    <s v="Q1FY27"/>
    <s v="26-May-2026"/>
    <s v="Tuesday"/>
    <s v="Monthly - Tuesday"/>
    <s v="Monthly - Tuesday"/>
    <s v="Same Month Expiry"/>
    <n v="3112842"/>
    <n v="5152.468"/>
    <n v="45.8627"/>
  </r>
  <r>
    <s v="15-May-2026"/>
    <x v="4"/>
    <s v="Week3-May-2026"/>
    <x v="8"/>
    <s v="Q1FY27"/>
    <s v="30-Jun-2026"/>
    <s v="Tuesday"/>
    <s v="Monthly - Tuesday"/>
    <s v="Monthly - Tuesday"/>
    <s v="Month+1 Expiry"/>
    <n v="175767"/>
    <n v="309.4049"/>
    <n v="3.0546"/>
  </r>
  <r>
    <s v="15-May-2026"/>
    <x v="4"/>
    <s v="Week3-May-2026"/>
    <x v="8"/>
    <s v="Q1FY27"/>
    <s v="28-Jul-2026"/>
    <s v="Tuesday"/>
    <s v="Monthly - Tuesday"/>
    <s v="Monthly - Tuesday"/>
    <s v="Month+2 Expiry"/>
    <n v="5173"/>
    <n v="8.8726"/>
    <n v="0.1883"/>
  </r>
  <r>
    <s v="15-May-2026"/>
    <x v="4"/>
    <s v="Week3-May-2026"/>
    <x v="8"/>
    <s v="Q1FY27"/>
    <s v="29-Sep-2026"/>
    <s v="Tuesday"/>
    <s v="Monthly - Tuesday"/>
    <s v="Monthly - Tuesday"/>
    <s v="Month+4 Expiry"/>
    <n v="266"/>
    <n v="0.4655"/>
    <n v="0.0081"/>
  </r>
  <r>
    <s v="15-May-2026"/>
    <x v="4"/>
    <s v="Week3-May-2026"/>
    <x v="8"/>
    <s v="Q1FY27"/>
    <s v="29-Dec-2026"/>
    <s v="Tuesday"/>
    <s v="Monthly - Tuesday"/>
    <s v="Monthly - Tuesday"/>
    <s v="Month+7 Expiry"/>
    <n v="14"/>
    <n v="0.0249"/>
    <n v="0.001"/>
  </r>
  <r>
    <s v="15-May-2026"/>
    <x v="4"/>
    <s v="Week3-May-2026"/>
    <x v="8"/>
    <s v="Q1FY27"/>
    <s v="30-Mar-2027"/>
    <s v="Tuesday"/>
    <s v="Monthly - Tuesday"/>
    <s v="Monthly - Tuesday"/>
    <s v="Month+10 Expiry"/>
    <n v="0"/>
    <n v="0"/>
    <n v="0"/>
  </r>
  <r>
    <s v="18-May-2026"/>
    <x v="0"/>
    <s v="Week3-May-2026"/>
    <x v="8"/>
    <s v="Q1FY27"/>
    <s v="26-May-2026"/>
    <s v="Tuesday"/>
    <s v="Monthly - Tuesday"/>
    <s v="Monthly - Tuesday"/>
    <s v="Same Month Expiry"/>
    <n v="3798263"/>
    <n v="6225.8678"/>
    <n v="51.7975"/>
  </r>
  <r>
    <s v="18-May-2026"/>
    <x v="0"/>
    <s v="Week3-May-2026"/>
    <x v="8"/>
    <s v="Q1FY27"/>
    <s v="30-Jun-2026"/>
    <s v="Tuesday"/>
    <s v="Monthly - Tuesday"/>
    <s v="Monthly - Tuesday"/>
    <s v="Month+1 Expiry"/>
    <n v="202314"/>
    <n v="350.9397"/>
    <n v="4.7636"/>
  </r>
  <r>
    <s v="18-May-2026"/>
    <x v="0"/>
    <s v="Week3-May-2026"/>
    <x v="8"/>
    <s v="Q1FY27"/>
    <s v="28-Jul-2026"/>
    <s v="Tuesday"/>
    <s v="Monthly - Tuesday"/>
    <s v="Monthly - Tuesday"/>
    <s v="Month+2 Expiry"/>
    <n v="6807"/>
    <n v="11.5066"/>
    <n v="0.2233"/>
  </r>
  <r>
    <s v="18-May-2026"/>
    <x v="0"/>
    <s v="Week3-May-2026"/>
    <x v="8"/>
    <s v="Q1FY27"/>
    <s v="29-Sep-2026"/>
    <s v="Tuesday"/>
    <s v="Monthly - Tuesday"/>
    <s v="Monthly - Tuesday"/>
    <s v="Month+4 Expiry"/>
    <n v="464"/>
    <n v="0.798"/>
    <n v="0.0167"/>
  </r>
  <r>
    <s v="18-May-2026"/>
    <x v="0"/>
    <s v="Week3-May-2026"/>
    <x v="8"/>
    <s v="Q1FY27"/>
    <s v="29-Dec-2026"/>
    <s v="Tuesday"/>
    <s v="Monthly - Tuesday"/>
    <s v="Monthly - Tuesday"/>
    <s v="Month+7 Expiry"/>
    <n v="15"/>
    <n v="0.0254"/>
    <n v="0.0011"/>
  </r>
  <r>
    <s v="18-May-2026"/>
    <x v="0"/>
    <s v="Week3-May-2026"/>
    <x v="8"/>
    <s v="Q1FY27"/>
    <s v="30-Mar-2027"/>
    <s v="Tuesday"/>
    <s v="Monthly - Tuesday"/>
    <s v="Monthly - Tuesday"/>
    <s v="Month+10 Expiry"/>
    <n v="0"/>
    <n v="0"/>
    <n v="0"/>
  </r>
  <r>
    <s v="19-May-2026"/>
    <x v="1"/>
    <s v="Week3-May-2026"/>
    <x v="8"/>
    <s v="Q1FY27"/>
    <s v="26-May-2026"/>
    <s v="Tuesday"/>
    <s v="Monthly - Tuesday"/>
    <s v="Monthly - Tuesday"/>
    <s v="Same Month Expiry"/>
    <n v="3135913"/>
    <n v="5133.957"/>
    <n v="36.6672"/>
  </r>
  <r>
    <s v="19-May-2026"/>
    <x v="1"/>
    <s v="Week3-May-2026"/>
    <x v="8"/>
    <s v="Q1FY27"/>
    <s v="30-Jun-2026"/>
    <s v="Tuesday"/>
    <s v="Monthly - Tuesday"/>
    <s v="Monthly - Tuesday"/>
    <s v="Month+1 Expiry"/>
    <n v="149854"/>
    <n v="262.7127"/>
    <n v="3.35"/>
  </r>
  <r>
    <s v="19-May-2026"/>
    <x v="1"/>
    <s v="Week3-May-2026"/>
    <x v="8"/>
    <s v="Q1FY27"/>
    <s v="28-Jul-2026"/>
    <s v="Tuesday"/>
    <s v="Monthly - Tuesday"/>
    <s v="Monthly - Tuesday"/>
    <s v="Month+2 Expiry"/>
    <n v="2913"/>
    <n v="4.9424"/>
    <n v="0.1095"/>
  </r>
  <r>
    <s v="19-May-2026"/>
    <x v="1"/>
    <s v="Week3-May-2026"/>
    <x v="8"/>
    <s v="Q1FY27"/>
    <s v="29-Sep-2026"/>
    <s v="Tuesday"/>
    <s v="Monthly - Tuesday"/>
    <s v="Monthly - Tuesday"/>
    <s v="Month+4 Expiry"/>
    <n v="185"/>
    <n v="0.3164"/>
    <n v="0.007"/>
  </r>
  <r>
    <s v="19-May-2026"/>
    <x v="1"/>
    <s v="Week3-May-2026"/>
    <x v="8"/>
    <s v="Q1FY27"/>
    <s v="29-Dec-2026"/>
    <s v="Tuesday"/>
    <s v="Monthly - Tuesday"/>
    <s v="Monthly - Tuesday"/>
    <s v="Month+7 Expiry"/>
    <n v="26"/>
    <n v="0.043"/>
    <n v="0.0011"/>
  </r>
  <r>
    <s v="19-May-2026"/>
    <x v="1"/>
    <s v="Week3-May-2026"/>
    <x v="8"/>
    <s v="Q1FY27"/>
    <s v="30-Mar-2027"/>
    <s v="Tuesday"/>
    <s v="Monthly - Tuesday"/>
    <s v="Monthly - Tuesday"/>
    <s v="Month+10 Expiry"/>
    <n v="0"/>
    <n v="0"/>
    <n v="0"/>
  </r>
  <r>
    <s v="20-May-2026"/>
    <x v="2"/>
    <s v="Week3-May-2026"/>
    <x v="8"/>
    <s v="Q1FY27"/>
    <s v="26-May-2026"/>
    <s v="Tuesday"/>
    <s v="Monthly - Tuesday"/>
    <s v="Monthly - Tuesday"/>
    <s v="Same Month Expiry"/>
    <n v="5188850"/>
    <n v="8450.833000000001"/>
    <n v="53.3951"/>
  </r>
  <r>
    <s v="20-May-2026"/>
    <x v="2"/>
    <s v="Week3-May-2026"/>
    <x v="8"/>
    <s v="Q1FY27"/>
    <s v="30-Jun-2026"/>
    <s v="Tuesday"/>
    <s v="Monthly - Tuesday"/>
    <s v="Monthly - Tuesday"/>
    <s v="Month+1 Expiry"/>
    <n v="221112"/>
    <n v="381.0389"/>
    <n v="5.7342"/>
  </r>
  <r>
    <s v="20-May-2026"/>
    <x v="2"/>
    <s v="Week3-May-2026"/>
    <x v="8"/>
    <s v="Q1FY27"/>
    <s v="28-Jul-2026"/>
    <s v="Tuesday"/>
    <s v="Monthly - Tuesday"/>
    <s v="Monthly - Tuesday"/>
    <s v="Month+2 Expiry"/>
    <n v="6345"/>
    <n v="10.5972"/>
    <n v="0.2231"/>
  </r>
  <r>
    <s v="20-May-2026"/>
    <x v="2"/>
    <s v="Week3-May-2026"/>
    <x v="8"/>
    <s v="Q1FY27"/>
    <s v="29-Sep-2026"/>
    <s v="Tuesday"/>
    <s v="Monthly - Tuesday"/>
    <s v="Monthly - Tuesday"/>
    <s v="Month+4 Expiry"/>
    <n v="517"/>
    <n v="0.8893"/>
    <n v="0.0194"/>
  </r>
  <r>
    <s v="20-May-2026"/>
    <x v="2"/>
    <s v="Week3-May-2026"/>
    <x v="8"/>
    <s v="Q1FY27"/>
    <s v="29-Dec-2026"/>
    <s v="Tuesday"/>
    <s v="Monthly - Tuesday"/>
    <s v="Monthly - Tuesday"/>
    <s v="Month+7 Expiry"/>
    <n v="21"/>
    <n v="0.0356"/>
    <n v="0.0014"/>
  </r>
  <r>
    <s v="20-May-2026"/>
    <x v="2"/>
    <s v="Week3-May-2026"/>
    <x v="8"/>
    <s v="Q1FY27"/>
    <s v="30-Mar-2027"/>
    <s v="Tuesday"/>
    <s v="Monthly - Tuesday"/>
    <s v="Monthly - Tuesday"/>
    <s v="Month+10 Expiry"/>
    <n v="0"/>
    <n v="0"/>
    <n v="0"/>
  </r>
  <r>
    <s v="21-May-2026"/>
    <x v="3"/>
    <s v="Week3-May-2026"/>
    <x v="8"/>
    <s v="Q1FY27"/>
    <s v="26-May-2026"/>
    <s v="Tuesday"/>
    <s v="Monthly - Tuesday"/>
    <s v="Monthly - Tuesday"/>
    <s v="Same Month Expiry"/>
    <n v="5824458"/>
    <n v="9498.6651"/>
    <n v="48.5728"/>
  </r>
  <r>
    <s v="21-May-2026"/>
    <x v="3"/>
    <s v="Week3-May-2026"/>
    <x v="8"/>
    <s v="Q1FY27"/>
    <s v="30-Jun-2026"/>
    <s v="Tuesday"/>
    <s v="Monthly - Tuesday"/>
    <s v="Monthly - Tuesday"/>
    <s v="Month+1 Expiry"/>
    <n v="250807"/>
    <n v="426.7793"/>
    <n v="6.4572"/>
  </r>
  <r>
    <s v="21-May-2026"/>
    <x v="3"/>
    <s v="Week3-May-2026"/>
    <x v="8"/>
    <s v="Q1FY27"/>
    <s v="28-Jul-2026"/>
    <s v="Tuesday"/>
    <s v="Monthly - Tuesday"/>
    <s v="Monthly - Tuesday"/>
    <s v="Month+2 Expiry"/>
    <n v="6595"/>
    <n v="11.1192"/>
    <n v="0.2279"/>
  </r>
  <r>
    <s v="21-May-2026"/>
    <x v="3"/>
    <s v="Week3-May-2026"/>
    <x v="8"/>
    <s v="Q1FY27"/>
    <s v="29-Sep-2026"/>
    <s v="Tuesday"/>
    <s v="Monthly - Tuesday"/>
    <s v="Monthly - Tuesday"/>
    <s v="Month+4 Expiry"/>
    <n v="502"/>
    <n v="0.8625"/>
    <n v="0.0221"/>
  </r>
  <r>
    <s v="21-May-2026"/>
    <x v="3"/>
    <s v="Week3-May-2026"/>
    <x v="8"/>
    <s v="Q1FY27"/>
    <s v="29-Dec-2026"/>
    <s v="Tuesday"/>
    <s v="Monthly - Tuesday"/>
    <s v="Monthly - Tuesday"/>
    <s v="Month+7 Expiry"/>
    <n v="19"/>
    <n v="0.0324"/>
    <n v="0.0011"/>
  </r>
  <r>
    <s v="21-May-2026"/>
    <x v="3"/>
    <s v="Week3-May-2026"/>
    <x v="8"/>
    <s v="Q1FY27"/>
    <s v="30-Mar-2027"/>
    <s v="Tuesday"/>
    <s v="Monthly - Tuesday"/>
    <s v="Monthly - Tuesday"/>
    <s v="Month+10 Expiry"/>
    <n v="0"/>
    <n v="0"/>
    <n v="0"/>
  </r>
  <r>
    <s v="22-May-2026"/>
    <x v="4"/>
    <s v="Week4-May-2026"/>
    <x v="8"/>
    <s v="Q1FY27"/>
    <s v="26-May-2026"/>
    <s v="Tuesday"/>
    <s v="Monthly - Tuesday"/>
    <s v="Monthly - Tuesday"/>
    <s v="Same Month Expiry"/>
    <n v="9184146"/>
    <n v="15033.8902"/>
    <n v="67.343"/>
  </r>
  <r>
    <s v="22-May-2026"/>
    <x v="4"/>
    <s v="Week4-May-2026"/>
    <x v="8"/>
    <s v="Q1FY27"/>
    <s v="30-Jun-2026"/>
    <s v="Tuesday"/>
    <s v="Monthly - Tuesday"/>
    <s v="Monthly - Tuesday"/>
    <s v="Month+1 Expiry"/>
    <n v="352471"/>
    <n v="597.9001"/>
    <n v="9.773099999999999"/>
  </r>
  <r>
    <s v="22-May-2026"/>
    <x v="4"/>
    <s v="Week4-May-2026"/>
    <x v="8"/>
    <s v="Q1FY27"/>
    <s v="28-Jul-2026"/>
    <s v="Tuesday"/>
    <s v="Monthly - Tuesday"/>
    <s v="Monthly - Tuesday"/>
    <s v="Month+2 Expiry"/>
    <n v="8441"/>
    <n v="14.2495"/>
    <n v="0.2413"/>
  </r>
  <r>
    <s v="22-May-2026"/>
    <x v="4"/>
    <s v="Week4-May-2026"/>
    <x v="8"/>
    <s v="Q1FY27"/>
    <s v="29-Sep-2026"/>
    <s v="Tuesday"/>
    <s v="Monthly - Tuesday"/>
    <s v="Monthly - Tuesday"/>
    <s v="Month+4 Expiry"/>
    <n v="668"/>
    <n v="1.1576"/>
    <n v="0.0205"/>
  </r>
  <r>
    <s v="22-May-2026"/>
    <x v="4"/>
    <s v="Week4-May-2026"/>
    <x v="8"/>
    <s v="Q1FY27"/>
    <s v="29-Dec-2026"/>
    <s v="Tuesday"/>
    <s v="Monthly - Tuesday"/>
    <s v="Monthly - Tuesday"/>
    <s v="Month+7 Expiry"/>
    <n v="62"/>
    <n v="0.1105"/>
    <n v="0.0038"/>
  </r>
  <r>
    <s v="22-May-2026"/>
    <x v="4"/>
    <s v="Week4-May-2026"/>
    <x v="8"/>
    <s v="Q1FY27"/>
    <s v="30-Mar-2027"/>
    <s v="Tuesday"/>
    <s v="Monthly - Tuesday"/>
    <s v="Monthly - Tuesday"/>
    <s v="Month+10 Expiry"/>
    <n v="0"/>
    <n v="0"/>
    <n v="0"/>
  </r>
  <r>
    <s v="25-May-2026"/>
    <x v="0"/>
    <s v="Week4-May-2026"/>
    <x v="8"/>
    <s v="Q1FY27"/>
    <s v="26-May-2026"/>
    <s v="Tuesday"/>
    <s v="Monthly - Tuesday"/>
    <s v="Monthly - Tuesday"/>
    <s v="Same Month Expiry"/>
    <n v="16090631"/>
    <n v="26655.9037"/>
    <n v="79.5774"/>
  </r>
  <r>
    <s v="25-May-2026"/>
    <x v="0"/>
    <s v="Week4-May-2026"/>
    <x v="8"/>
    <s v="Q1FY27"/>
    <s v="30-Jun-2026"/>
    <s v="Tuesday"/>
    <s v="Monthly - Tuesday"/>
    <s v="Monthly - Tuesday"/>
    <s v="Month+1 Expiry"/>
    <n v="571878"/>
    <n v="962.7992"/>
    <n v="13.8522"/>
  </r>
  <r>
    <s v="25-May-2026"/>
    <x v="0"/>
    <s v="Week4-May-2026"/>
    <x v="8"/>
    <s v="Q1FY27"/>
    <s v="28-Jul-2026"/>
    <s v="Tuesday"/>
    <s v="Monthly - Tuesday"/>
    <s v="Monthly - Tuesday"/>
    <s v="Month+2 Expiry"/>
    <n v="18692"/>
    <n v="30.7746"/>
    <n v="0.4598"/>
  </r>
  <r>
    <s v="25-May-2026"/>
    <x v="0"/>
    <s v="Week4-May-2026"/>
    <x v="8"/>
    <s v="Q1FY27"/>
    <s v="29-Sep-2026"/>
    <s v="Tuesday"/>
    <s v="Monthly - Tuesday"/>
    <s v="Monthly - Tuesday"/>
    <s v="Month+4 Expiry"/>
    <n v="1803"/>
    <n v="3.1854"/>
    <n v="0.0487"/>
  </r>
  <r>
    <s v="25-May-2026"/>
    <x v="0"/>
    <s v="Week4-May-2026"/>
    <x v="8"/>
    <s v="Q1FY27"/>
    <s v="29-Dec-2026"/>
    <s v="Tuesday"/>
    <s v="Monthly - Tuesday"/>
    <s v="Monthly - Tuesday"/>
    <s v="Month+7 Expiry"/>
    <n v="50"/>
    <n v="0.0896"/>
    <n v="0.003"/>
  </r>
  <r>
    <s v="25-May-2026"/>
    <x v="0"/>
    <s v="Week4-May-2026"/>
    <x v="8"/>
    <s v="Q1FY27"/>
    <s v="30-Mar-2027"/>
    <s v="Tuesday"/>
    <s v="Monthly - Tuesday"/>
    <s v="Monthly - Tuesday"/>
    <s v="Month+10 Expiry"/>
    <n v="0"/>
    <n v="0"/>
    <n v="0"/>
  </r>
  <r>
    <s v="26-May-2026"/>
    <x v="1"/>
    <s v="Week4-May-2026"/>
    <x v="8"/>
    <s v="Q1FY27"/>
    <s v="26-May-2026"/>
    <s v="Tuesday"/>
    <s v="Monthly - Tuesday"/>
    <s v="Monthly - Tuesday"/>
    <s v="Same Month Expiry"/>
    <n v="96694212"/>
    <n v="160619.5662"/>
    <n v="176.1435"/>
  </r>
  <r>
    <s v="26-May-2026"/>
    <x v="1"/>
    <s v="Week4-May-2026"/>
    <x v="8"/>
    <s v="Q1FY27"/>
    <s v="30-Jun-2026"/>
    <s v="Tuesday"/>
    <s v="Monthly - Tuesday"/>
    <s v="Monthly - Tuesday"/>
    <s v="Month+1 Expiry"/>
    <n v="711453"/>
    <n v="1203.513"/>
    <n v="16.8689"/>
  </r>
  <r>
    <s v="26-May-2026"/>
    <x v="1"/>
    <s v="Week4-May-2026"/>
    <x v="8"/>
    <s v="Q1FY27"/>
    <s v="28-Jul-2026"/>
    <s v="Tuesday"/>
    <s v="Monthly - Tuesday"/>
    <s v="Monthly - Tuesday"/>
    <s v="Month+2 Expiry"/>
    <n v="18448"/>
    <n v="30.6715"/>
    <n v="0.3816"/>
  </r>
  <r>
    <s v="26-May-2026"/>
    <x v="1"/>
    <s v="Week4-May-2026"/>
    <x v="8"/>
    <s v="Q1FY27"/>
    <s v="29-Sep-2026"/>
    <s v="Tuesday"/>
    <s v="Monthly - Tuesday"/>
    <s v="Monthly - Tuesday"/>
    <s v="Month+4 Expiry"/>
    <n v="854"/>
    <n v="1.4827"/>
    <n v="0.0256"/>
  </r>
  <r>
    <s v="26-May-2026"/>
    <x v="1"/>
    <s v="Week4-May-2026"/>
    <x v="8"/>
    <s v="Q1FY27"/>
    <s v="29-Dec-2026"/>
    <s v="Tuesday"/>
    <s v="Monthly - Tuesday"/>
    <s v="Monthly - Tuesday"/>
    <s v="Month+7 Expiry"/>
    <n v="21"/>
    <n v="0.0363"/>
    <n v="0.0011"/>
  </r>
  <r>
    <s v="26-May-2026"/>
    <x v="1"/>
    <s v="Week4-May-2026"/>
    <x v="8"/>
    <s v="Q1FY27"/>
    <s v="30-Mar-2027"/>
    <s v="Tuesday"/>
    <s v="Monthly - Tuesday"/>
    <s v="Monthly - Tuesday"/>
    <s v="Month+10 Expiry"/>
    <n v="0"/>
    <n v="0"/>
    <n v="0"/>
  </r>
  <r>
    <s v="27-May-2026"/>
    <x v="2"/>
    <s v="Week4-May-2026"/>
    <x v="8"/>
    <s v="Q1FY27"/>
    <s v="30-Jun-2026"/>
    <s v="Tuesday"/>
    <s v="Monthly - Tuesday"/>
    <s v="Monthly - Tuesday"/>
    <s v="Month+1 Expiry"/>
    <n v="1543898"/>
    <n v="2607.9209"/>
    <n v="33.1177"/>
  </r>
  <r>
    <s v="27-May-2026"/>
    <x v="2"/>
    <s v="Week4-May-2026"/>
    <x v="8"/>
    <s v="Q1FY27"/>
    <s v="28-Jul-2026"/>
    <s v="Tuesday"/>
    <s v="Monthly - Tuesday"/>
    <s v="Monthly - Tuesday"/>
    <s v="Month+2 Expiry"/>
    <n v="20273"/>
    <n v="33.3546"/>
    <n v="0.3924"/>
  </r>
  <r>
    <s v="27-May-2026"/>
    <x v="2"/>
    <s v="Week4-May-2026"/>
    <x v="8"/>
    <s v="Q1FY27"/>
    <s v="25-Aug-2026"/>
    <s v="Tuesday"/>
    <s v="Monthly - Tuesday"/>
    <s v="Monthly - Tuesday"/>
    <s v="Month+3 Expiry"/>
    <n v="375"/>
    <n v="0.6235000000000001"/>
    <n v="0.0131"/>
  </r>
  <r>
    <s v="27-May-2026"/>
    <x v="2"/>
    <s v="Week4-May-2026"/>
    <x v="8"/>
    <s v="Q1FY27"/>
    <s v="29-Sep-2026"/>
    <s v="Tuesday"/>
    <s v="Monthly - Tuesday"/>
    <s v="Monthly - Tuesday"/>
    <s v="Month+4 Expiry"/>
    <n v="743"/>
    <n v="1.286"/>
    <n v="0.026"/>
  </r>
  <r>
    <s v="27-May-2026"/>
    <x v="2"/>
    <s v="Week4-May-2026"/>
    <x v="8"/>
    <s v="Q1FY27"/>
    <s v="29-Dec-2026"/>
    <s v="Tuesday"/>
    <s v="Monthly - Tuesday"/>
    <s v="Monthly - Tuesday"/>
    <s v="Month+7 Expiry"/>
    <n v="46"/>
    <n v="0.0775"/>
    <n v="0.0021"/>
  </r>
  <r>
    <s v="27-May-2026"/>
    <x v="2"/>
    <s v="Week4-May-2026"/>
    <x v="8"/>
    <s v="Q1FY27"/>
    <s v="30-Mar-2027"/>
    <s v="Tuesday"/>
    <s v="Monthly - Tuesday"/>
    <s v="Monthly - Tuesday"/>
    <s v="Month+10 Expiry"/>
    <n v="0"/>
    <n v="0"/>
    <n v="0"/>
  </r>
  <r>
    <s v="29-May-2026"/>
    <x v="4"/>
    <s v="Week5-May-2026"/>
    <x v="8"/>
    <s v="Q1FY27"/>
    <s v="30-Jun-2026"/>
    <s v="Tuesday"/>
    <s v="Monthly - Tuesday"/>
    <s v="Monthly - Tuesday"/>
    <s v="Month+1 Expiry"/>
    <n v="2073141"/>
    <n v="3482.1717"/>
    <n v="43.5329"/>
  </r>
  <r>
    <s v="29-May-2026"/>
    <x v="4"/>
    <s v="Week5-May-2026"/>
    <x v="8"/>
    <s v="Q1FY27"/>
    <s v="28-Jul-2026"/>
    <s v="Tuesday"/>
    <s v="Monthly - Tuesday"/>
    <s v="Monthly - Tuesday"/>
    <s v="Month+2 Expiry"/>
    <n v="28947"/>
    <n v="49.0949"/>
    <n v="0.8135"/>
  </r>
  <r>
    <s v="29-May-2026"/>
    <x v="4"/>
    <s v="Week5-May-2026"/>
    <x v="8"/>
    <s v="Q1FY27"/>
    <s v="25-Aug-2026"/>
    <s v="Tuesday"/>
    <s v="Monthly - Tuesday"/>
    <s v="Monthly - Tuesday"/>
    <s v="Month+3 Expiry"/>
    <n v="877"/>
    <n v="1.4602"/>
    <n v="0.0283"/>
  </r>
  <r>
    <s v="29-May-2026"/>
    <x v="4"/>
    <s v="Week5-May-2026"/>
    <x v="8"/>
    <s v="Q1FY27"/>
    <s v="29-Sep-2026"/>
    <s v="Tuesday"/>
    <s v="Monthly - Tuesday"/>
    <s v="Monthly - Tuesday"/>
    <s v="Month+4 Expiry"/>
    <n v="1085"/>
    <n v="1.8913"/>
    <n v="0.034"/>
  </r>
  <r>
    <s v="29-May-2026"/>
    <x v="4"/>
    <s v="Week5-May-2026"/>
    <x v="8"/>
    <s v="Q1FY27"/>
    <s v="29-Dec-2026"/>
    <s v="Tuesday"/>
    <s v="Monthly - Tuesday"/>
    <s v="Monthly - Tuesday"/>
    <s v="Month+7 Expiry"/>
    <n v="33"/>
    <n v="0.0552"/>
    <n v="0.0014"/>
  </r>
  <r>
    <s v="29-May-2026"/>
    <x v="4"/>
    <s v="Week5-May-2026"/>
    <x v="8"/>
    <s v="Q1FY27"/>
    <s v="30-Mar-2027"/>
    <s v="Tuesday"/>
    <s v="Monthly - Tuesday"/>
    <s v="Monthly - Tuesday"/>
    <s v="Month+10 Expiry"/>
    <n v="0"/>
    <n v="0"/>
    <n v="0"/>
  </r>
  <r>
    <s v="01-Jun-2026"/>
    <x v="0"/>
    <s v="Week1-Jun-2026"/>
    <x v="9"/>
    <s v="Q1FY27"/>
    <s v="30-Jun-2026"/>
    <s v="Tuesday"/>
    <s v="Monthly - Tuesday"/>
    <s v="Monthly - Tuesday"/>
    <s v="Same Month Expiry"/>
    <n v="2087116"/>
    <n v="3488.3623"/>
    <n v="41.5176"/>
  </r>
  <r>
    <s v="01-Jun-2026"/>
    <x v="0"/>
    <s v="Week1-Jun-2026"/>
    <x v="9"/>
    <s v="Q1FY27"/>
    <s v="28-Jul-2026"/>
    <s v="Tuesday"/>
    <s v="Monthly - Tuesday"/>
    <s v="Monthly - Tuesday"/>
    <s v="Month+1 Expiry"/>
    <n v="83895"/>
    <n v="147.6527"/>
    <n v="0.8716"/>
  </r>
  <r>
    <s v="01-Jun-2026"/>
    <x v="0"/>
    <s v="Week1-Jun-2026"/>
    <x v="9"/>
    <s v="Q1FY27"/>
    <s v="25-Aug-2026"/>
    <s v="Tuesday"/>
    <s v="Monthly - Tuesday"/>
    <s v="Monthly - Tuesday"/>
    <s v="Month+2 Expiry"/>
    <n v="1769"/>
    <n v="2.9685"/>
    <n v="0.07539999999999999"/>
  </r>
  <r>
    <s v="01-Jun-2026"/>
    <x v="0"/>
    <s v="Week1-Jun-2026"/>
    <x v="9"/>
    <s v="Q1FY27"/>
    <s v="29-Sep-2026"/>
    <s v="Tuesday"/>
    <s v="Monthly - Tuesday"/>
    <s v="Monthly - Tuesday"/>
    <s v="Month+3 Expiry"/>
    <n v="2500"/>
    <n v="4.4105"/>
    <n v="0.0956"/>
  </r>
  <r>
    <s v="01-Jun-2026"/>
    <x v="0"/>
    <s v="Week1-Jun-2026"/>
    <x v="9"/>
    <s v="Q1FY27"/>
    <s v="29-Dec-2026"/>
    <s v="Tuesday"/>
    <s v="Monthly - Tuesday"/>
    <s v="Monthly - Tuesday"/>
    <s v="Month+6 Expiry"/>
    <n v="33"/>
    <n v="0.0544"/>
    <n v="0.0011"/>
  </r>
  <r>
    <s v="01-Jun-2026"/>
    <x v="0"/>
    <s v="Week1-Jun-2026"/>
    <x v="9"/>
    <s v="Q1FY27"/>
    <s v="30-Mar-2027"/>
    <s v="Tuesday"/>
    <s v="Monthly - Tuesday"/>
    <s v="Monthly - Tuesday"/>
    <s v="Month+9 Expiry"/>
    <n v="0"/>
    <n v="0"/>
    <n v="0"/>
  </r>
  <r>
    <s v="02-Jun-2026"/>
    <x v="1"/>
    <s v="Week1-Jun-2026"/>
    <x v="9"/>
    <s v="Q1FY27"/>
    <s v="30-Jun-2026"/>
    <s v="Tuesday"/>
    <s v="Monthly - Tuesday"/>
    <s v="Monthly - Tuesday"/>
    <s v="Same Month Expiry"/>
    <n v="1957882"/>
    <n v="3240.4426"/>
    <n v="40.2826"/>
  </r>
  <r>
    <s v="02-Jun-2026"/>
    <x v="1"/>
    <s v="Week1-Jun-2026"/>
    <x v="9"/>
    <s v="Q1FY27"/>
    <s v="28-Jul-2026"/>
    <s v="Tuesday"/>
    <s v="Monthly - Tuesday"/>
    <s v="Monthly - Tuesday"/>
    <s v="Month+1 Expiry"/>
    <n v="39495"/>
    <n v="67.1138"/>
    <n v="0.7378"/>
  </r>
  <r>
    <s v="02-Jun-2026"/>
    <x v="1"/>
    <s v="Week1-Jun-2026"/>
    <x v="9"/>
    <s v="Q1FY27"/>
    <s v="25-Aug-2026"/>
    <s v="Tuesday"/>
    <s v="Monthly - Tuesday"/>
    <s v="Monthly - Tuesday"/>
    <s v="Month+2 Expiry"/>
    <n v="1730"/>
    <n v="2.948"/>
    <n v="0.0618"/>
  </r>
  <r>
    <s v="02-Jun-2026"/>
    <x v="1"/>
    <s v="Week1-Jun-2026"/>
    <x v="9"/>
    <s v="Q1FY27"/>
    <s v="29-Sep-2026"/>
    <s v="Tuesday"/>
    <s v="Monthly - Tuesday"/>
    <s v="Monthly - Tuesday"/>
    <s v="Month+3 Expiry"/>
    <n v="2027"/>
    <n v="3.5526"/>
    <n v="0.0706"/>
  </r>
  <r>
    <s v="02-Jun-2026"/>
    <x v="1"/>
    <s v="Week1-Jun-2026"/>
    <x v="9"/>
    <s v="Q1FY27"/>
    <s v="29-Dec-2026"/>
    <s v="Tuesday"/>
    <s v="Monthly - Tuesday"/>
    <s v="Monthly - Tuesday"/>
    <s v="Month+6 Expiry"/>
    <n v="47"/>
    <n v="0.08450000000000001"/>
    <n v="0.0019"/>
  </r>
  <r>
    <s v="02-Jun-2026"/>
    <x v="1"/>
    <s v="Week1-Jun-2026"/>
    <x v="9"/>
    <s v="Q1FY27"/>
    <s v="30-Mar-2027"/>
    <s v="Tuesday"/>
    <s v="Monthly - Tuesday"/>
    <s v="Monthly - Tuesday"/>
    <s v="Month+9 Expiry"/>
    <n v="0"/>
    <n v="0"/>
    <n v="0"/>
  </r>
  <r>
    <s v="03-Jun-2026"/>
    <x v="2"/>
    <s v="Week1-Jun-2026"/>
    <x v="9"/>
    <s v="Q1FY27"/>
    <s v="30-Jun-2026"/>
    <s v="Tuesday"/>
    <s v="Monthly - Tuesday"/>
    <s v="Monthly - Tuesday"/>
    <s v="Same Month Expiry"/>
    <n v="2574159"/>
    <n v="4270.5075"/>
    <n v="52.8291"/>
  </r>
  <r>
    <s v="03-Jun-2026"/>
    <x v="2"/>
    <s v="Week1-Jun-2026"/>
    <x v="9"/>
    <s v="Q1FY27"/>
    <s v="28-Jul-2026"/>
    <s v="Tuesday"/>
    <s v="Monthly - Tuesday"/>
    <s v="Monthly - Tuesday"/>
    <s v="Month+1 Expiry"/>
    <n v="58330"/>
    <n v="98.79600000000001"/>
    <n v="1.146"/>
  </r>
  <r>
    <s v="03-Jun-2026"/>
    <x v="2"/>
    <s v="Week1-Jun-2026"/>
    <x v="9"/>
    <s v="Q1FY27"/>
    <s v="25-Aug-2026"/>
    <s v="Tuesday"/>
    <s v="Monthly - Tuesday"/>
    <s v="Monthly - Tuesday"/>
    <s v="Month+2 Expiry"/>
    <n v="2635"/>
    <n v="4.4826"/>
    <n v="0.08450000000000001"/>
  </r>
  <r>
    <s v="03-Jun-2026"/>
    <x v="2"/>
    <s v="Week1-Jun-2026"/>
    <x v="9"/>
    <s v="Q1FY27"/>
    <s v="29-Sep-2026"/>
    <s v="Tuesday"/>
    <s v="Monthly - Tuesday"/>
    <s v="Monthly - Tuesday"/>
    <s v="Month+3 Expiry"/>
    <n v="1774"/>
    <n v="3.0948"/>
    <n v="0.0649"/>
  </r>
  <r>
    <s v="03-Jun-2026"/>
    <x v="2"/>
    <s v="Week1-Jun-2026"/>
    <x v="9"/>
    <s v="Q1FY27"/>
    <s v="29-Dec-2026"/>
    <s v="Tuesday"/>
    <s v="Monthly - Tuesday"/>
    <s v="Monthly - Tuesday"/>
    <s v="Month+6 Expiry"/>
    <n v="64"/>
    <n v="0.1145"/>
    <n v="0.0029"/>
  </r>
  <r>
    <s v="03-Jun-2026"/>
    <x v="2"/>
    <s v="Week1-Jun-2026"/>
    <x v="9"/>
    <s v="Q1FY27"/>
    <s v="30-Mar-2027"/>
    <s v="Tuesday"/>
    <s v="Monthly - Tuesday"/>
    <s v="Monthly - Tuesday"/>
    <s v="Month+9 Expiry"/>
    <n v="0"/>
    <n v="0"/>
    <n v="0"/>
  </r>
  <r>
    <s v="04-Jun-2026"/>
    <x v="3"/>
    <s v="Week1-Jun-2026"/>
    <x v="9"/>
    <s v="Q1FY27"/>
    <s v="30-Jun-2026"/>
    <s v="Tuesday"/>
    <s v="Monthly - Tuesday"/>
    <s v="Monthly - Tuesday"/>
    <s v="Same Month Expiry"/>
    <n v="1805357"/>
    <n v="3012.7035"/>
    <n v="37.8257"/>
  </r>
  <r>
    <s v="04-Jun-2026"/>
    <x v="3"/>
    <s v="Week1-Jun-2026"/>
    <x v="9"/>
    <s v="Q1FY27"/>
    <s v="28-Jul-2026"/>
    <s v="Tuesday"/>
    <s v="Monthly - Tuesday"/>
    <s v="Monthly - Tuesday"/>
    <s v="Month+1 Expiry"/>
    <n v="25161"/>
    <n v="42.7997"/>
    <n v="0.5384"/>
  </r>
  <r>
    <s v="04-Jun-2026"/>
    <x v="3"/>
    <s v="Week1-Jun-2026"/>
    <x v="9"/>
    <s v="Q1FY27"/>
    <s v="25-Aug-2026"/>
    <s v="Tuesday"/>
    <s v="Monthly - Tuesday"/>
    <s v="Monthly - Tuesday"/>
    <s v="Month+2 Expiry"/>
    <n v="1206"/>
    <n v="2.0382"/>
    <n v="0.037"/>
  </r>
  <r>
    <s v="04-Jun-2026"/>
    <x v="3"/>
    <s v="Week1-Jun-2026"/>
    <x v="9"/>
    <s v="Q1FY27"/>
    <s v="29-Sep-2026"/>
    <s v="Tuesday"/>
    <s v="Monthly - Tuesday"/>
    <s v="Monthly - Tuesday"/>
    <s v="Month+3 Expiry"/>
    <n v="995"/>
    <n v="1.7344"/>
    <n v="0.043"/>
  </r>
  <r>
    <s v="04-Jun-2026"/>
    <x v="3"/>
    <s v="Week1-Jun-2026"/>
    <x v="9"/>
    <s v="Q1FY27"/>
    <s v="29-Dec-2026"/>
    <s v="Tuesday"/>
    <s v="Monthly - Tuesday"/>
    <s v="Monthly - Tuesday"/>
    <s v="Month+6 Expiry"/>
    <n v="92"/>
    <n v="0.1694"/>
    <n v="0.0043"/>
  </r>
  <r>
    <s v="04-Jun-2026"/>
    <x v="3"/>
    <s v="Week1-Jun-2026"/>
    <x v="9"/>
    <s v="Q1FY27"/>
    <s v="30-Mar-2027"/>
    <s v="Tuesday"/>
    <s v="Monthly - Tuesday"/>
    <s v="Monthly - Tuesday"/>
    <s v="Month+9 Expiry"/>
    <n v="0"/>
    <n v="0"/>
    <n v="0"/>
  </r>
  <r>
    <s v="05-Jun-2026"/>
    <x v="4"/>
    <s v="Week1-Jun-2026"/>
    <x v="9"/>
    <s v="Q1FY27"/>
    <s v="30-Jun-2026"/>
    <s v="Tuesday"/>
    <s v="Monthly - Tuesday"/>
    <s v="Monthly - Tuesday"/>
    <s v="Same Month Expiry"/>
    <n v="2821084"/>
    <n v="4711.0052"/>
    <n v="59.1951"/>
  </r>
  <r>
    <s v="05-Jun-2026"/>
    <x v="4"/>
    <s v="Week1-Jun-2026"/>
    <x v="9"/>
    <s v="Q1FY27"/>
    <s v="28-Jul-2026"/>
    <s v="Tuesday"/>
    <s v="Monthly - Tuesday"/>
    <s v="Monthly - Tuesday"/>
    <s v="Month+1 Expiry"/>
    <n v="55903"/>
    <n v="95.0865"/>
    <n v="1.1684"/>
  </r>
  <r>
    <s v="05-Jun-2026"/>
    <x v="4"/>
    <s v="Week1-Jun-2026"/>
    <x v="9"/>
    <s v="Q1FY27"/>
    <s v="25-Aug-2026"/>
    <s v="Tuesday"/>
    <s v="Monthly - Tuesday"/>
    <s v="Monthly - Tuesday"/>
    <s v="Month+2 Expiry"/>
    <n v="1450"/>
    <n v="2.4463"/>
    <n v="0.0527"/>
  </r>
  <r>
    <s v="05-Jun-2026"/>
    <x v="4"/>
    <s v="Week1-Jun-2026"/>
    <x v="9"/>
    <s v="Q1FY27"/>
    <s v="29-Sep-2026"/>
    <s v="Tuesday"/>
    <s v="Monthly - Tuesday"/>
    <s v="Monthly - Tuesday"/>
    <s v="Month+3 Expiry"/>
    <n v="1001"/>
    <n v="1.7152"/>
    <n v="0.037"/>
  </r>
  <r>
    <s v="05-Jun-2026"/>
    <x v="4"/>
    <s v="Week1-Jun-2026"/>
    <x v="9"/>
    <s v="Q1FY27"/>
    <s v="29-Dec-2026"/>
    <s v="Tuesday"/>
    <s v="Monthly - Tuesday"/>
    <s v="Monthly - Tuesday"/>
    <s v="Month+6 Expiry"/>
    <n v="113"/>
    <n v="0.2054"/>
    <n v="0.0051"/>
  </r>
  <r>
    <s v="05-Jun-2026"/>
    <x v="4"/>
    <s v="Week1-Jun-2026"/>
    <x v="9"/>
    <s v="Q1FY27"/>
    <s v="30-Mar-2027"/>
    <s v="Tuesday"/>
    <s v="Monthly - Tuesday"/>
    <s v="Monthly - Tuesday"/>
    <s v="Month+9 Expiry"/>
    <n v="0"/>
    <n v="0"/>
    <n v="0"/>
  </r>
  <r>
    <s v="08-Jun-2026"/>
    <x v="0"/>
    <s v="Week2-Jun-2026"/>
    <x v="9"/>
    <s v="Q1FY27"/>
    <s v="30-Jun-2026"/>
    <s v="Tuesday"/>
    <s v="Monthly - Tuesday"/>
    <s v="Monthly - Tuesday"/>
    <s v="Same Month Expiry"/>
    <n v="2052438"/>
    <n v="3411.1772"/>
    <n v="42.6087"/>
  </r>
  <r>
    <s v="08-Jun-2026"/>
    <x v="0"/>
    <s v="Week2-Jun-2026"/>
    <x v="9"/>
    <s v="Q1FY27"/>
    <s v="28-Jul-2026"/>
    <s v="Tuesday"/>
    <s v="Monthly - Tuesday"/>
    <s v="Monthly - Tuesday"/>
    <s v="Month+1 Expiry"/>
    <n v="37591"/>
    <n v="64.2783"/>
    <n v="0.7258"/>
  </r>
  <r>
    <s v="08-Jun-2026"/>
    <x v="0"/>
    <s v="Week2-Jun-2026"/>
    <x v="9"/>
    <s v="Q1FY27"/>
    <s v="25-Aug-2026"/>
    <s v="Tuesday"/>
    <s v="Monthly - Tuesday"/>
    <s v="Monthly - Tuesday"/>
    <s v="Month+2 Expiry"/>
    <n v="1172"/>
    <n v="1.9858"/>
    <n v="0.0383"/>
  </r>
  <r>
    <s v="08-Jun-2026"/>
    <x v="0"/>
    <s v="Week2-Jun-2026"/>
    <x v="9"/>
    <s v="Q1FY27"/>
    <s v="29-Sep-2026"/>
    <s v="Tuesday"/>
    <s v="Monthly - Tuesday"/>
    <s v="Monthly - Tuesday"/>
    <s v="Month+3 Expiry"/>
    <n v="1104"/>
    <n v="1.9502"/>
    <n v="0.0337"/>
  </r>
  <r>
    <s v="08-Jun-2026"/>
    <x v="0"/>
    <s v="Week2-Jun-2026"/>
    <x v="9"/>
    <s v="Q1FY27"/>
    <s v="29-Dec-2026"/>
    <s v="Tuesday"/>
    <s v="Monthly - Tuesday"/>
    <s v="Monthly - Tuesday"/>
    <s v="Month+6 Expiry"/>
    <n v="37"/>
    <n v="0.0663"/>
    <n v="0.0015"/>
  </r>
  <r>
    <s v="08-Jun-2026"/>
    <x v="0"/>
    <s v="Week2-Jun-2026"/>
    <x v="9"/>
    <s v="Q1FY27"/>
    <s v="30-Mar-2027"/>
    <s v="Tuesday"/>
    <s v="Monthly - Tuesday"/>
    <s v="Monthly - Tuesday"/>
    <s v="Month+9 Expiry"/>
    <n v="0"/>
    <n v="0"/>
    <n v="0"/>
  </r>
  <r>
    <s v="09-Jun-2026"/>
    <x v="1"/>
    <s v="Week2-Jun-2026"/>
    <x v="9"/>
    <s v="Q1FY27"/>
    <s v="30-Jun-2026"/>
    <s v="Tuesday"/>
    <s v="Monthly - Tuesday"/>
    <s v="Monthly - Tuesday"/>
    <s v="Same Month Expiry"/>
    <n v="2449924"/>
    <n v="4094.747"/>
    <n v="46.0996"/>
  </r>
  <r>
    <s v="09-Jun-2026"/>
    <x v="1"/>
    <s v="Week2-Jun-2026"/>
    <x v="9"/>
    <s v="Q1FY27"/>
    <s v="28-Jul-2026"/>
    <s v="Tuesday"/>
    <s v="Monthly - Tuesday"/>
    <s v="Monthly - Tuesday"/>
    <s v="Month+1 Expiry"/>
    <n v="65975"/>
    <n v="114.0521"/>
    <n v="2.0552"/>
  </r>
  <r>
    <s v="09-Jun-2026"/>
    <x v="1"/>
    <s v="Week2-Jun-2026"/>
    <x v="9"/>
    <s v="Q1FY27"/>
    <s v="25-Aug-2026"/>
    <s v="Tuesday"/>
    <s v="Monthly - Tuesday"/>
    <s v="Monthly - Tuesday"/>
    <s v="Month+2 Expiry"/>
    <n v="2406"/>
    <n v="4.1209"/>
    <n v="0.0636"/>
  </r>
  <r>
    <s v="09-Jun-2026"/>
    <x v="1"/>
    <s v="Week2-Jun-2026"/>
    <x v="9"/>
    <s v="Q1FY27"/>
    <s v="29-Sep-2026"/>
    <s v="Tuesday"/>
    <s v="Monthly - Tuesday"/>
    <s v="Monthly - Tuesday"/>
    <s v="Month+3 Expiry"/>
    <n v="1189"/>
    <n v="2.0623"/>
    <n v="0.0406"/>
  </r>
  <r>
    <s v="09-Jun-2026"/>
    <x v="1"/>
    <s v="Week2-Jun-2026"/>
    <x v="9"/>
    <s v="Q1FY27"/>
    <s v="29-Dec-2026"/>
    <s v="Tuesday"/>
    <s v="Monthly - Tuesday"/>
    <s v="Monthly - Tuesday"/>
    <s v="Month+6 Expiry"/>
    <n v="54"/>
    <n v="0.09379999999999999"/>
    <n v="0.0023"/>
  </r>
  <r>
    <s v="09-Jun-2026"/>
    <x v="1"/>
    <s v="Week2-Jun-2026"/>
    <x v="9"/>
    <s v="Q1FY27"/>
    <s v="30-Mar-2027"/>
    <s v="Tuesday"/>
    <s v="Monthly - Tuesday"/>
    <s v="Monthly - Tuesday"/>
    <s v="Month+9 Expiry"/>
    <n v="0"/>
    <n v="0"/>
    <n v="0"/>
  </r>
  <r>
    <s v="10-Jun-2026"/>
    <x v="2"/>
    <s v="Week2-Jun-2026"/>
    <x v="9"/>
    <s v="Q1FY27"/>
    <s v="30-Jun-2026"/>
    <s v="Tuesday"/>
    <s v="Monthly - Tuesday"/>
    <s v="Monthly - Tuesday"/>
    <s v="Same Month Expiry"/>
    <n v="2183426"/>
    <n v="3670.8768"/>
    <n v="41.0808"/>
  </r>
  <r>
    <s v="10-Jun-2026"/>
    <x v="2"/>
    <s v="Week2-Jun-2026"/>
    <x v="9"/>
    <s v="Q1FY27"/>
    <s v="28-Jul-2026"/>
    <s v="Tuesday"/>
    <s v="Monthly - Tuesday"/>
    <s v="Monthly - Tuesday"/>
    <s v="Month+1 Expiry"/>
    <n v="79845"/>
    <n v="138.7255"/>
    <n v="2.2307"/>
  </r>
  <r>
    <s v="10-Jun-2026"/>
    <x v="2"/>
    <s v="Week2-Jun-2026"/>
    <x v="9"/>
    <s v="Q1FY27"/>
    <s v="25-Aug-2026"/>
    <s v="Tuesday"/>
    <s v="Monthly - Tuesday"/>
    <s v="Monthly - Tuesday"/>
    <s v="Month+2 Expiry"/>
    <n v="3055"/>
    <n v="5.2126"/>
    <n v="0.0979"/>
  </r>
  <r>
    <s v="10-Jun-2026"/>
    <x v="2"/>
    <s v="Week2-Jun-2026"/>
    <x v="9"/>
    <s v="Q1FY27"/>
    <s v="29-Sep-2026"/>
    <s v="Tuesday"/>
    <s v="Monthly - Tuesday"/>
    <s v="Monthly - Tuesday"/>
    <s v="Month+3 Expiry"/>
    <n v="1691"/>
    <n v="2.9442"/>
    <n v="0.07190000000000001"/>
  </r>
  <r>
    <s v="10-Jun-2026"/>
    <x v="2"/>
    <s v="Week2-Jun-2026"/>
    <x v="9"/>
    <s v="Q1FY27"/>
    <s v="29-Dec-2026"/>
    <s v="Tuesday"/>
    <s v="Monthly - Tuesday"/>
    <s v="Monthly - Tuesday"/>
    <s v="Month+6 Expiry"/>
    <n v="46"/>
    <n v="0.08069999999999999"/>
    <n v="0.0028"/>
  </r>
  <r>
    <s v="10-Jun-2026"/>
    <x v="2"/>
    <s v="Week2-Jun-2026"/>
    <x v="9"/>
    <s v="Q1FY27"/>
    <s v="30-Mar-2027"/>
    <s v="Tuesday"/>
    <s v="Monthly - Tuesday"/>
    <s v="Monthly - Tuesday"/>
    <s v="Month+9 Expiry"/>
    <n v="0"/>
    <n v="0"/>
    <n v="0"/>
  </r>
  <r>
    <s v="11-Jun-2026"/>
    <x v="3"/>
    <s v="Week2-Jun-2026"/>
    <x v="9"/>
    <s v="Q1FY27"/>
    <s v="30-Jun-2026"/>
    <s v="Tuesday"/>
    <s v="Monthly - Tuesday"/>
    <s v="Monthly - Tuesday"/>
    <s v="Same Month Expiry"/>
    <n v="2259732"/>
    <n v="3809.4895"/>
    <n v="40.0856"/>
  </r>
  <r>
    <s v="11-Jun-2026"/>
    <x v="3"/>
    <s v="Week2-Jun-2026"/>
    <x v="9"/>
    <s v="Q1FY27"/>
    <s v="28-Jul-2026"/>
    <s v="Tuesday"/>
    <s v="Monthly - Tuesday"/>
    <s v="Monthly - Tuesday"/>
    <s v="Month+1 Expiry"/>
    <n v="65775"/>
    <n v="114.7093"/>
    <n v="2.1794"/>
  </r>
  <r>
    <s v="11-Jun-2026"/>
    <x v="3"/>
    <s v="Week2-Jun-2026"/>
    <x v="9"/>
    <s v="Q1FY27"/>
    <s v="25-Aug-2026"/>
    <s v="Tuesday"/>
    <s v="Monthly - Tuesday"/>
    <s v="Monthly - Tuesday"/>
    <s v="Month+2 Expiry"/>
    <n v="3126"/>
    <n v="5.2956"/>
    <n v="0.0864"/>
  </r>
  <r>
    <s v="11-Jun-2026"/>
    <x v="3"/>
    <s v="Week2-Jun-2026"/>
    <x v="9"/>
    <s v="Q1FY27"/>
    <s v="29-Sep-2026"/>
    <s v="Tuesday"/>
    <s v="Monthly - Tuesday"/>
    <s v="Monthly - Tuesday"/>
    <s v="Month+3 Expiry"/>
    <n v="1332"/>
    <n v="2.3297"/>
    <n v="0.052"/>
  </r>
  <r>
    <s v="11-Jun-2026"/>
    <x v="3"/>
    <s v="Week2-Jun-2026"/>
    <x v="9"/>
    <s v="Q1FY27"/>
    <s v="29-Dec-2026"/>
    <s v="Tuesday"/>
    <s v="Monthly - Tuesday"/>
    <s v="Monthly - Tuesday"/>
    <s v="Month+6 Expiry"/>
    <n v="43"/>
    <n v="0.0741"/>
    <n v="0.0017"/>
  </r>
  <r>
    <s v="11-Jun-2026"/>
    <x v="3"/>
    <s v="Week2-Jun-2026"/>
    <x v="9"/>
    <s v="Q1FY27"/>
    <s v="30-Mar-2027"/>
    <s v="Tuesday"/>
    <s v="Monthly - Tuesday"/>
    <s v="Monthly - Tuesday"/>
    <s v="Month+9 Expiry"/>
    <n v="0"/>
    <n v="0"/>
    <n v="0"/>
  </r>
  <r>
    <s v="12-Jun-2026"/>
    <x v="4"/>
    <s v="Week2-Jun-2026"/>
    <x v="9"/>
    <s v="Q1FY27"/>
    <s v="30-Jun-2026"/>
    <s v="Tuesday"/>
    <s v="Monthly - Tuesday"/>
    <s v="Monthly - Tuesday"/>
    <s v="Same Month Expiry"/>
    <n v="3673301"/>
    <n v="6241.9112"/>
    <n v="54.5199"/>
  </r>
  <r>
    <s v="12-Jun-2026"/>
    <x v="4"/>
    <s v="Week2-Jun-2026"/>
    <x v="9"/>
    <s v="Q1FY27"/>
    <s v="28-Jul-2026"/>
    <s v="Tuesday"/>
    <s v="Monthly - Tuesday"/>
    <s v="Monthly - Tuesday"/>
    <s v="Month+1 Expiry"/>
    <n v="154892"/>
    <n v="267.9714"/>
    <n v="4.1115"/>
  </r>
  <r>
    <s v="12-Jun-2026"/>
    <x v="4"/>
    <s v="Week2-Jun-2026"/>
    <x v="9"/>
    <s v="Q1FY27"/>
    <s v="25-Aug-2026"/>
    <s v="Tuesday"/>
    <s v="Monthly - Tuesday"/>
    <s v="Monthly - Tuesday"/>
    <s v="Month+2 Expiry"/>
    <n v="6353"/>
    <n v="10.7368"/>
    <n v="0.1847"/>
  </r>
  <r>
    <s v="12-Jun-2026"/>
    <x v="4"/>
    <s v="Week2-Jun-2026"/>
    <x v="9"/>
    <s v="Q1FY27"/>
    <s v="29-Sep-2026"/>
    <s v="Tuesday"/>
    <s v="Monthly - Tuesday"/>
    <s v="Monthly - Tuesday"/>
    <s v="Month+3 Expiry"/>
    <n v="3419"/>
    <n v="5.9125"/>
    <n v="0.1085"/>
  </r>
  <r>
    <s v="12-Jun-2026"/>
    <x v="4"/>
    <s v="Week2-Jun-2026"/>
    <x v="9"/>
    <s v="Q1FY27"/>
    <s v="29-Dec-2026"/>
    <s v="Tuesday"/>
    <s v="Monthly - Tuesday"/>
    <s v="Monthly - Tuesday"/>
    <s v="Month+6 Expiry"/>
    <n v="175"/>
    <n v="0.2882"/>
    <n v="0.0062"/>
  </r>
  <r>
    <s v="12-Jun-2026"/>
    <x v="4"/>
    <s v="Week2-Jun-2026"/>
    <x v="9"/>
    <s v="Q1FY27"/>
    <s v="30-Mar-2027"/>
    <s v="Tuesday"/>
    <s v="Monthly - Tuesday"/>
    <s v="Monthly - Tuesday"/>
    <s v="Month+9 Expiry"/>
    <n v="0"/>
    <n v="0"/>
    <n v="0"/>
  </r>
  <r>
    <s v="15-Jun-2026"/>
    <x v="0"/>
    <s v="Week3-Jun-2026"/>
    <x v="9"/>
    <s v="Q1FY27"/>
    <s v="30-Jun-2026"/>
    <s v="Tuesday"/>
    <s v="Monthly - Tuesday"/>
    <s v="Monthly - Tuesday"/>
    <s v="Same Month Expiry"/>
    <n v="2832594"/>
    <n v="4873.6336"/>
    <n v="38.6703"/>
  </r>
  <r>
    <s v="15-Jun-2026"/>
    <x v="0"/>
    <s v="Week3-Jun-2026"/>
    <x v="9"/>
    <s v="Q1FY27"/>
    <s v="28-Jul-2026"/>
    <s v="Tuesday"/>
    <s v="Monthly - Tuesday"/>
    <s v="Monthly - Tuesday"/>
    <s v="Month+1 Expiry"/>
    <n v="146089"/>
    <n v="253.2281"/>
    <n v="3.1623"/>
  </r>
  <r>
    <s v="15-Jun-2026"/>
    <x v="0"/>
    <s v="Week3-Jun-2026"/>
    <x v="9"/>
    <s v="Q1FY27"/>
    <s v="25-Aug-2026"/>
    <s v="Tuesday"/>
    <s v="Monthly - Tuesday"/>
    <s v="Monthly - Tuesday"/>
    <s v="Month+2 Expiry"/>
    <n v="6355"/>
    <n v="10.8513"/>
    <n v="0.1767"/>
  </r>
  <r>
    <s v="15-Jun-2026"/>
    <x v="0"/>
    <s v="Week3-Jun-2026"/>
    <x v="9"/>
    <s v="Q1FY27"/>
    <s v="29-Sep-2026"/>
    <s v="Tuesday"/>
    <s v="Monthly - Tuesday"/>
    <s v="Monthly - Tuesday"/>
    <s v="Month+3 Expiry"/>
    <n v="2628"/>
    <n v="4.5774"/>
    <n v="0.08840000000000001"/>
  </r>
  <r>
    <s v="15-Jun-2026"/>
    <x v="0"/>
    <s v="Week3-Jun-2026"/>
    <x v="9"/>
    <s v="Q1FY27"/>
    <s v="29-Dec-2026"/>
    <s v="Tuesday"/>
    <s v="Monthly - Tuesday"/>
    <s v="Monthly - Tuesday"/>
    <s v="Month+6 Expiry"/>
    <n v="204"/>
    <n v="0.3613"/>
    <n v="0.009599999999999999"/>
  </r>
  <r>
    <s v="15-Jun-2026"/>
    <x v="0"/>
    <s v="Week3-Jun-2026"/>
    <x v="9"/>
    <s v="Q1FY27"/>
    <s v="30-Mar-2027"/>
    <s v="Tuesday"/>
    <s v="Monthly - Tuesday"/>
    <s v="Monthly - Tuesday"/>
    <s v="Month+9 Expiry"/>
    <n v="0"/>
    <n v="0"/>
    <n v="0"/>
  </r>
  <r>
    <s v="16-Jun-2026"/>
    <x v="1"/>
    <s v="Week3-Jun-2026"/>
    <x v="9"/>
    <s v="Q1FY27"/>
    <s v="30-Jun-2026"/>
    <s v="Tuesday"/>
    <s v="Monthly - Tuesday"/>
    <s v="Monthly - Tuesday"/>
    <s v="Same Month Expiry"/>
    <n v="2103004"/>
    <n v="3615.3212"/>
    <n v="27.479"/>
  </r>
  <r>
    <s v="16-Jun-2026"/>
    <x v="1"/>
    <s v="Week3-Jun-2026"/>
    <x v="9"/>
    <s v="Q1FY27"/>
    <s v="28-Jul-2026"/>
    <s v="Tuesday"/>
    <s v="Monthly - Tuesday"/>
    <s v="Monthly - Tuesday"/>
    <s v="Month+1 Expiry"/>
    <n v="83078"/>
    <n v="142.7805"/>
    <n v="1.5375"/>
  </r>
  <r>
    <s v="16-Jun-2026"/>
    <x v="1"/>
    <s v="Week3-Jun-2026"/>
    <x v="9"/>
    <s v="Q1FY27"/>
    <s v="25-Aug-2026"/>
    <s v="Tuesday"/>
    <s v="Monthly - Tuesday"/>
    <s v="Monthly - Tuesday"/>
    <s v="Month+2 Expiry"/>
    <n v="3424"/>
    <n v="5.8406"/>
    <n v="0.0896"/>
  </r>
  <r>
    <s v="16-Jun-2026"/>
    <x v="1"/>
    <s v="Week3-Jun-2026"/>
    <x v="9"/>
    <s v="Q1FY27"/>
    <s v="29-Sep-2026"/>
    <s v="Tuesday"/>
    <s v="Monthly - Tuesday"/>
    <s v="Monthly - Tuesday"/>
    <s v="Month+3 Expiry"/>
    <n v="1724"/>
    <n v="3.0796"/>
    <n v="0.0613"/>
  </r>
  <r>
    <s v="16-Jun-2026"/>
    <x v="1"/>
    <s v="Week3-Jun-2026"/>
    <x v="9"/>
    <s v="Q1FY27"/>
    <s v="29-Dec-2026"/>
    <s v="Tuesday"/>
    <s v="Monthly - Tuesday"/>
    <s v="Monthly - Tuesday"/>
    <s v="Month+6 Expiry"/>
    <n v="135"/>
    <n v="0.2397"/>
    <n v="0.0058"/>
  </r>
  <r>
    <s v="16-Jun-2026"/>
    <x v="1"/>
    <s v="Week3-Jun-2026"/>
    <x v="9"/>
    <s v="Q1FY27"/>
    <s v="30-Mar-2027"/>
    <s v="Tuesday"/>
    <s v="Monthly - Tuesday"/>
    <s v="Monthly - Tuesday"/>
    <s v="Month+9 Expiry"/>
    <n v="1"/>
    <n v="0.0019"/>
    <n v="0.0001"/>
  </r>
  <r>
    <s v="17-Jun-2026"/>
    <x v="2"/>
    <s v="Week3-Jun-2026"/>
    <x v="9"/>
    <s v="Q1FY27"/>
    <s v="30-Jun-2026"/>
    <s v="Tuesday"/>
    <s v="Monthly - Tuesday"/>
    <s v="Monthly - Tuesday"/>
    <s v="Same Month Expiry"/>
    <n v="2389751"/>
    <n v="4115.6735"/>
    <n v="29.8025"/>
  </r>
  <r>
    <s v="17-Jun-2026"/>
    <x v="2"/>
    <s v="Week3-Jun-2026"/>
    <x v="9"/>
    <s v="Q1FY27"/>
    <s v="28-Jul-2026"/>
    <s v="Tuesday"/>
    <s v="Monthly - Tuesday"/>
    <s v="Monthly - Tuesday"/>
    <s v="Month+1 Expiry"/>
    <n v="84520"/>
    <n v="145.6296"/>
    <n v="1.4996"/>
  </r>
  <r>
    <s v="17-Jun-2026"/>
    <x v="2"/>
    <s v="Week3-Jun-2026"/>
    <x v="9"/>
    <s v="Q1FY27"/>
    <s v="25-Aug-2026"/>
    <s v="Tuesday"/>
    <s v="Monthly - Tuesday"/>
    <s v="Monthly - Tuesday"/>
    <s v="Month+2 Expiry"/>
    <n v="5306"/>
    <n v="9.231999999999999"/>
    <n v="0.1603"/>
  </r>
  <r>
    <s v="17-Jun-2026"/>
    <x v="2"/>
    <s v="Week3-Jun-2026"/>
    <x v="9"/>
    <s v="Q1FY27"/>
    <s v="29-Sep-2026"/>
    <s v="Tuesday"/>
    <s v="Monthly - Tuesday"/>
    <s v="Monthly - Tuesday"/>
    <s v="Month+3 Expiry"/>
    <n v="1376"/>
    <n v="2.4394"/>
    <n v="0.044"/>
  </r>
  <r>
    <s v="17-Jun-2026"/>
    <x v="2"/>
    <s v="Week3-Jun-2026"/>
    <x v="9"/>
    <s v="Q1FY27"/>
    <s v="29-Dec-2026"/>
    <s v="Tuesday"/>
    <s v="Monthly - Tuesday"/>
    <s v="Monthly - Tuesday"/>
    <s v="Month+6 Expiry"/>
    <n v="255"/>
    <n v="0.451"/>
    <n v="0.0101"/>
  </r>
  <r>
    <s v="17-Jun-2026"/>
    <x v="2"/>
    <s v="Week3-Jun-2026"/>
    <x v="9"/>
    <s v="Q1FY27"/>
    <s v="30-Mar-2027"/>
    <s v="Tuesday"/>
    <s v="Monthly - Tuesday"/>
    <s v="Monthly - Tuesday"/>
    <s v="Month+9 Expiry"/>
    <n v="3"/>
    <n v="0.0058"/>
    <n v="0.0002"/>
  </r>
  <r>
    <s v="18-Jun-2026"/>
    <x v="3"/>
    <s v="Week3-Jun-2026"/>
    <x v="9"/>
    <s v="Q1FY27"/>
    <s v="30-Jun-2026"/>
    <s v="Tuesday"/>
    <s v="Monthly - Tuesday"/>
    <s v="Monthly - Tuesday"/>
    <s v="Same Month Expiry"/>
    <n v="2908467"/>
    <n v="5015.7319"/>
    <n v="30.853"/>
  </r>
  <r>
    <s v="18-Jun-2026"/>
    <x v="3"/>
    <s v="Week3-Jun-2026"/>
    <x v="9"/>
    <s v="Q1FY27"/>
    <s v="28-Jul-2026"/>
    <s v="Tuesday"/>
    <s v="Monthly - Tuesday"/>
    <s v="Monthly - Tuesday"/>
    <s v="Month+1 Expiry"/>
    <n v="131734"/>
    <n v="229.5376"/>
    <n v="2.3231"/>
  </r>
  <r>
    <s v="18-Jun-2026"/>
    <x v="3"/>
    <s v="Week3-Jun-2026"/>
    <x v="9"/>
    <s v="Q1FY27"/>
    <s v="25-Aug-2026"/>
    <s v="Tuesday"/>
    <s v="Monthly - Tuesday"/>
    <s v="Monthly - Tuesday"/>
    <s v="Month+2 Expiry"/>
    <n v="10641"/>
    <n v="18.5818"/>
    <n v="0.2941"/>
  </r>
  <r>
    <s v="18-Jun-2026"/>
    <x v="3"/>
    <s v="Week3-Jun-2026"/>
    <x v="9"/>
    <s v="Q1FY27"/>
    <s v="29-Sep-2026"/>
    <s v="Tuesday"/>
    <s v="Monthly - Tuesday"/>
    <s v="Monthly - Tuesday"/>
    <s v="Month+3 Expiry"/>
    <n v="1499"/>
    <n v="2.6141"/>
    <n v="0.0462"/>
  </r>
  <r>
    <s v="18-Jun-2026"/>
    <x v="3"/>
    <s v="Week3-Jun-2026"/>
    <x v="9"/>
    <s v="Q1FY27"/>
    <s v="29-Dec-2026"/>
    <s v="Tuesday"/>
    <s v="Monthly - Tuesday"/>
    <s v="Monthly - Tuesday"/>
    <s v="Month+6 Expiry"/>
    <n v="266"/>
    <n v="0.4759"/>
    <n v="0.011"/>
  </r>
  <r>
    <s v="18-Jun-2026"/>
    <x v="3"/>
    <s v="Week3-Jun-2026"/>
    <x v="9"/>
    <s v="Q1FY27"/>
    <s v="30-Mar-2027"/>
    <s v="Tuesday"/>
    <s v="Monthly - Tuesday"/>
    <s v="Monthly - Tuesday"/>
    <s v="Month+9 Expiry"/>
    <n v="0"/>
    <n v="0"/>
    <n v="0"/>
  </r>
  <r>
    <s v="19-Jun-2026"/>
    <x v="4"/>
    <s v="Week3-Jun-2026"/>
    <x v="9"/>
    <s v="Q1FY27"/>
    <s v="30-Jun-2026"/>
    <s v="Tuesday"/>
    <s v="Monthly - Tuesday"/>
    <s v="Monthly - Tuesday"/>
    <s v="Same Month Expiry"/>
    <n v="3249146"/>
    <n v="5630.6912"/>
    <n v="34.1512"/>
  </r>
  <r>
    <s v="19-Jun-2026"/>
    <x v="4"/>
    <s v="Week3-Jun-2026"/>
    <x v="9"/>
    <s v="Q1FY27"/>
    <s v="28-Jul-2026"/>
    <s v="Tuesday"/>
    <s v="Monthly - Tuesday"/>
    <s v="Monthly - Tuesday"/>
    <s v="Month+1 Expiry"/>
    <n v="125510"/>
    <n v="218.8498"/>
    <n v="2.1367"/>
  </r>
  <r>
    <s v="19-Jun-2026"/>
    <x v="4"/>
    <s v="Week3-Jun-2026"/>
    <x v="9"/>
    <s v="Q1FY27"/>
    <s v="25-Aug-2026"/>
    <s v="Tuesday"/>
    <s v="Monthly - Tuesday"/>
    <s v="Monthly - Tuesday"/>
    <s v="Month+2 Expiry"/>
    <n v="5251"/>
    <n v="9.1875"/>
    <n v="0.148"/>
  </r>
  <r>
    <s v="19-Jun-2026"/>
    <x v="4"/>
    <s v="Week3-Jun-2026"/>
    <x v="9"/>
    <s v="Q1FY27"/>
    <s v="29-Sep-2026"/>
    <s v="Tuesday"/>
    <s v="Monthly - Tuesday"/>
    <s v="Monthly - Tuesday"/>
    <s v="Month+3 Expiry"/>
    <n v="2582"/>
    <n v="4.287"/>
    <n v="0.0587"/>
  </r>
  <r>
    <s v="19-Jun-2026"/>
    <x v="4"/>
    <s v="Week3-Jun-2026"/>
    <x v="9"/>
    <s v="Q1FY27"/>
    <s v="29-Dec-2026"/>
    <s v="Tuesday"/>
    <s v="Monthly - Tuesday"/>
    <s v="Monthly - Tuesday"/>
    <s v="Month+6 Expiry"/>
    <n v="38"/>
    <n v="0.06569999999999999"/>
    <n v="0.0015"/>
  </r>
  <r>
    <s v="19-Jun-2026"/>
    <x v="4"/>
    <s v="Week3-Jun-2026"/>
    <x v="9"/>
    <s v="Q1FY27"/>
    <s v="30-Mar-2027"/>
    <s v="Tuesday"/>
    <s v="Monthly - Tuesday"/>
    <s v="Monthly - Tuesday"/>
    <s v="Month+9 Expiry"/>
    <n v="0"/>
    <n v="0"/>
    <n v="0"/>
  </r>
  <r>
    <s v="22-Jun-2026"/>
    <x v="0"/>
    <s v="Week4-Jun-2026"/>
    <x v="9"/>
    <s v="Q1FY27"/>
    <s v="30-Jun-2026"/>
    <s v="Tuesday"/>
    <s v="Monthly - Tuesday"/>
    <s v="Monthly - Tuesday"/>
    <s v="Same Month Expiry"/>
    <n v="2948751"/>
    <n v="5118.6138"/>
    <n v="24.2791"/>
  </r>
  <r>
    <s v="22-Jun-2026"/>
    <x v="0"/>
    <s v="Week4-Jun-2026"/>
    <x v="9"/>
    <s v="Q1FY27"/>
    <s v="28-Jul-2026"/>
    <s v="Tuesday"/>
    <s v="Monthly - Tuesday"/>
    <s v="Monthly - Tuesday"/>
    <s v="Month+1 Expiry"/>
    <n v="108355"/>
    <n v="188.8821"/>
    <n v="2.0009"/>
  </r>
  <r>
    <s v="22-Jun-2026"/>
    <x v="0"/>
    <s v="Week4-Jun-2026"/>
    <x v="9"/>
    <s v="Q1FY27"/>
    <s v="25-Aug-2026"/>
    <s v="Tuesday"/>
    <s v="Monthly - Tuesday"/>
    <s v="Monthly - Tuesday"/>
    <s v="Month+2 Expiry"/>
    <n v="7799"/>
    <n v="13.6616"/>
    <n v="0.2227"/>
  </r>
  <r>
    <s v="22-Jun-2026"/>
    <x v="0"/>
    <s v="Week4-Jun-2026"/>
    <x v="9"/>
    <s v="Q1FY27"/>
    <s v="29-Sep-2026"/>
    <s v="Tuesday"/>
    <s v="Monthly - Tuesday"/>
    <s v="Monthly - Tuesday"/>
    <s v="Month+3 Expiry"/>
    <n v="1375"/>
    <n v="2.3717"/>
    <n v="0.036"/>
  </r>
  <r>
    <s v="22-Jun-2026"/>
    <x v="0"/>
    <s v="Week4-Jun-2026"/>
    <x v="9"/>
    <s v="Q1FY27"/>
    <s v="29-Dec-2026"/>
    <s v="Tuesday"/>
    <s v="Monthly - Tuesday"/>
    <s v="Monthly - Tuesday"/>
    <s v="Month+6 Expiry"/>
    <n v="43"/>
    <n v="0.07389999999999999"/>
    <n v="0.0018"/>
  </r>
  <r>
    <s v="22-Jun-2026"/>
    <x v="0"/>
    <s v="Week4-Jun-2026"/>
    <x v="9"/>
    <s v="Q1FY27"/>
    <s v="30-Mar-2027"/>
    <s v="Tuesday"/>
    <s v="Monthly - Tuesday"/>
    <s v="Monthly - Tuesday"/>
    <s v="Month+9 Expiry"/>
    <n v="0"/>
    <n v="0"/>
    <n v="0"/>
  </r>
  <r>
    <s v="23-Jun-2026"/>
    <x v="1"/>
    <s v="Week4-Jun-2026"/>
    <x v="9"/>
    <s v="Q1FY27"/>
    <s v="30-Jun-2026"/>
    <s v="Tuesday"/>
    <s v="Monthly - Tuesday"/>
    <s v="Monthly - Tuesday"/>
    <s v="Same Month Expiry"/>
    <n v="5162520"/>
    <n v="8931.8146"/>
    <n v="38.0027"/>
  </r>
  <r>
    <s v="23-Jun-2026"/>
    <x v="1"/>
    <s v="Week4-Jun-2026"/>
    <x v="9"/>
    <s v="Q1FY27"/>
    <s v="28-Jul-2026"/>
    <s v="Tuesday"/>
    <s v="Monthly - Tuesday"/>
    <s v="Monthly - Tuesday"/>
    <s v="Month+1 Expiry"/>
    <n v="224292"/>
    <n v="391.7062"/>
    <n v="4.3317"/>
  </r>
  <r>
    <s v="23-Jun-2026"/>
    <x v="1"/>
    <s v="Week4-Jun-2026"/>
    <x v="9"/>
    <s v="Q1FY27"/>
    <s v="25-Aug-2026"/>
    <s v="Tuesday"/>
    <s v="Monthly - Tuesday"/>
    <s v="Monthly - Tuesday"/>
    <s v="Month+2 Expiry"/>
    <n v="8782"/>
    <n v="15.2753"/>
    <n v="0.2072"/>
  </r>
  <r>
    <s v="23-Jun-2026"/>
    <x v="1"/>
    <s v="Week4-Jun-2026"/>
    <x v="9"/>
    <s v="Q1FY27"/>
    <s v="29-Sep-2026"/>
    <s v="Tuesday"/>
    <s v="Monthly - Tuesday"/>
    <s v="Monthly - Tuesday"/>
    <s v="Month+3 Expiry"/>
    <n v="2117"/>
    <n v="3.6846"/>
    <n v="0.0515"/>
  </r>
  <r>
    <s v="23-Jun-2026"/>
    <x v="1"/>
    <s v="Week4-Jun-2026"/>
    <x v="9"/>
    <s v="Q1FY27"/>
    <s v="29-Dec-2026"/>
    <s v="Tuesday"/>
    <s v="Monthly - Tuesday"/>
    <s v="Monthly - Tuesday"/>
    <s v="Month+6 Expiry"/>
    <n v="117"/>
    <n v="0.2004"/>
    <n v="0.0042"/>
  </r>
  <r>
    <s v="23-Jun-2026"/>
    <x v="1"/>
    <s v="Week4-Jun-2026"/>
    <x v="9"/>
    <s v="Q1FY27"/>
    <s v="30-Mar-2027"/>
    <s v="Tuesday"/>
    <s v="Monthly - Tuesday"/>
    <s v="Monthly - Tuesday"/>
    <s v="Month+9 Expiry"/>
    <n v="0"/>
    <n v="0"/>
    <n v="0"/>
  </r>
  <r>
    <s v="24-Jun-2026"/>
    <x v="2"/>
    <s v="Week4-Jun-2026"/>
    <x v="9"/>
    <s v="Q1FY27"/>
    <s v="30-Jun-2026"/>
    <s v="Tuesday"/>
    <s v="Monthly - Tuesday"/>
    <s v="Monthly - Tuesday"/>
    <s v="Same Month Expiry"/>
    <n v="6810780"/>
    <n v="11826.2377"/>
    <n v="53.3621"/>
  </r>
  <r>
    <s v="24-Jun-2026"/>
    <x v="2"/>
    <s v="Week4-Jun-2026"/>
    <x v="9"/>
    <s v="Q1FY27"/>
    <s v="28-Jul-2026"/>
    <s v="Tuesday"/>
    <s v="Monthly - Tuesday"/>
    <s v="Monthly - Tuesday"/>
    <s v="Month+1 Expiry"/>
    <n v="322276"/>
    <n v="567.3855"/>
    <n v="6.7182"/>
  </r>
  <r>
    <s v="24-Jun-2026"/>
    <x v="2"/>
    <s v="Week4-Jun-2026"/>
    <x v="9"/>
    <s v="Q1FY27"/>
    <s v="25-Aug-2026"/>
    <s v="Tuesday"/>
    <s v="Monthly - Tuesday"/>
    <s v="Monthly - Tuesday"/>
    <s v="Month+2 Expiry"/>
    <n v="11399"/>
    <n v="20.1792"/>
    <n v="0.3095"/>
  </r>
  <r>
    <s v="24-Jun-2026"/>
    <x v="2"/>
    <s v="Week4-Jun-2026"/>
    <x v="9"/>
    <s v="Q1FY27"/>
    <s v="29-Sep-2026"/>
    <s v="Tuesday"/>
    <s v="Monthly - Tuesday"/>
    <s v="Monthly - Tuesday"/>
    <s v="Month+3 Expiry"/>
    <n v="1741"/>
    <n v="3.0562"/>
    <n v="0.0568"/>
  </r>
  <r>
    <s v="24-Jun-2026"/>
    <x v="2"/>
    <s v="Week4-Jun-2026"/>
    <x v="9"/>
    <s v="Q1FY27"/>
    <s v="29-Dec-2026"/>
    <s v="Tuesday"/>
    <s v="Monthly - Tuesday"/>
    <s v="Monthly - Tuesday"/>
    <s v="Month+6 Expiry"/>
    <n v="267"/>
    <n v="0.4657"/>
    <n v="0.0112"/>
  </r>
  <r>
    <s v="24-Jun-2026"/>
    <x v="2"/>
    <s v="Week4-Jun-2026"/>
    <x v="9"/>
    <s v="Q1FY27"/>
    <s v="30-Mar-2027"/>
    <s v="Tuesday"/>
    <s v="Monthly - Tuesday"/>
    <s v="Monthly - Tuesday"/>
    <s v="Month+9 Expiry"/>
    <n v="0"/>
    <n v="0"/>
    <n v="0"/>
  </r>
  <r>
    <s v="25-Jun-2026"/>
    <x v="3"/>
    <s v="Week4-Jun-2026"/>
    <x v="9"/>
    <s v="Q1FY27"/>
    <s v="30-Jun-2026"/>
    <s v="Tuesday"/>
    <s v="Monthly - Tuesday"/>
    <s v="Monthly - Tuesday"/>
    <s v="Same Month Expiry"/>
    <n v="6781654"/>
    <n v="11837.8601"/>
    <n v="39.3671"/>
  </r>
  <r>
    <s v="25-Jun-2026"/>
    <x v="3"/>
    <s v="Week4-Jun-2026"/>
    <x v="9"/>
    <s v="Q1FY27"/>
    <s v="28-Jul-2026"/>
    <s v="Tuesday"/>
    <s v="Monthly - Tuesday"/>
    <s v="Monthly - Tuesday"/>
    <s v="Month+1 Expiry"/>
    <n v="403951"/>
    <n v="713.903"/>
    <n v="8.311299999999999"/>
  </r>
  <r>
    <s v="25-Jun-2026"/>
    <x v="3"/>
    <s v="Week4-Jun-2026"/>
    <x v="9"/>
    <s v="Q1FY27"/>
    <s v="25-Aug-2026"/>
    <s v="Tuesday"/>
    <s v="Monthly - Tuesday"/>
    <s v="Monthly - Tuesday"/>
    <s v="Month+2 Expiry"/>
    <n v="16063"/>
    <n v="28.3668"/>
    <n v="0.3857"/>
  </r>
  <r>
    <s v="25-Jun-2026"/>
    <x v="3"/>
    <s v="Week4-Jun-2026"/>
    <x v="9"/>
    <s v="Q1FY27"/>
    <s v="29-Sep-2026"/>
    <s v="Tuesday"/>
    <s v="Monthly - Tuesday"/>
    <s v="Monthly - Tuesday"/>
    <s v="Month+3 Expiry"/>
    <n v="3623"/>
    <n v="6.4183"/>
    <n v="0.1102"/>
  </r>
  <r>
    <s v="25-Jun-2026"/>
    <x v="3"/>
    <s v="Week4-Jun-2026"/>
    <x v="9"/>
    <s v="Q1FY27"/>
    <s v="29-Dec-2026"/>
    <s v="Tuesday"/>
    <s v="Monthly - Tuesday"/>
    <s v="Monthly - Tuesday"/>
    <s v="Month+6 Expiry"/>
    <n v="133"/>
    <n v="0.2307"/>
    <n v="0.0051"/>
  </r>
  <r>
    <s v="25-Jun-2026"/>
    <x v="3"/>
    <s v="Week4-Jun-2026"/>
    <x v="9"/>
    <s v="Q1FY27"/>
    <s v="30-Mar-2027"/>
    <s v="Tuesday"/>
    <s v="Monthly - Tuesday"/>
    <s v="Monthly - Tuesday"/>
    <s v="Month+9 Expiry"/>
    <n v="0"/>
    <n v="0"/>
    <n v="0"/>
  </r>
  <r>
    <s v="29-Jun-2026"/>
    <x v="0"/>
    <s v="Week5-Jun-2026"/>
    <x v="9"/>
    <s v="Q1FY27"/>
    <s v="30-Jun-2026"/>
    <s v="Tuesday"/>
    <s v="Monthly - Tuesday"/>
    <s v="Monthly - Tuesday"/>
    <s v="Same Month Expiry"/>
    <n v="22572112"/>
    <n v="39225.1855"/>
    <n v="99.5258"/>
  </r>
  <r>
    <s v="29-Jun-2026"/>
    <x v="0"/>
    <s v="Week5-Jun-2026"/>
    <x v="9"/>
    <s v="Q1FY27"/>
    <s v="28-Jul-2026"/>
    <s v="Tuesday"/>
    <s v="Monthly - Tuesday"/>
    <s v="Monthly - Tuesday"/>
    <s v="Month+1 Expiry"/>
    <n v="475306"/>
    <n v="840.3784000000001"/>
    <n v="10.8086"/>
  </r>
  <r>
    <s v="29-Jun-2026"/>
    <x v="0"/>
    <s v="Week5-Jun-2026"/>
    <x v="9"/>
    <s v="Q1FY27"/>
    <s v="25-Aug-2026"/>
    <s v="Tuesday"/>
    <s v="Monthly - Tuesday"/>
    <s v="Monthly - Tuesday"/>
    <s v="Month+2 Expiry"/>
    <n v="14064"/>
    <n v="24.5363"/>
    <n v="0.3388"/>
  </r>
  <r>
    <s v="29-Jun-2026"/>
    <x v="0"/>
    <s v="Week5-Jun-2026"/>
    <x v="9"/>
    <s v="Q1FY27"/>
    <s v="29-Sep-2026"/>
    <s v="Tuesday"/>
    <s v="Monthly - Tuesday"/>
    <s v="Monthly - Tuesday"/>
    <s v="Month+3 Expiry"/>
    <n v="1399"/>
    <n v="2.4601"/>
    <n v="0.045"/>
  </r>
  <r>
    <s v="29-Jun-2026"/>
    <x v="0"/>
    <s v="Week5-Jun-2026"/>
    <x v="9"/>
    <s v="Q1FY27"/>
    <s v="29-Dec-2026"/>
    <s v="Tuesday"/>
    <s v="Monthly - Tuesday"/>
    <s v="Monthly - Tuesday"/>
    <s v="Month+6 Expiry"/>
    <n v="62"/>
    <n v="0.1069"/>
    <n v="0.0023"/>
  </r>
  <r>
    <s v="29-Jun-2026"/>
    <x v="0"/>
    <s v="Week5-Jun-2026"/>
    <x v="9"/>
    <s v="Q1FY27"/>
    <s v="30-Mar-2027"/>
    <s v="Tuesday"/>
    <s v="Monthly - Tuesday"/>
    <s v="Monthly - Tuesday"/>
    <s v="Month+9 Expiry"/>
    <n v="0"/>
    <n v="0"/>
    <n v="0"/>
  </r>
  <r>
    <s v="30-Jun-2026"/>
    <x v="1"/>
    <s v="Week5-Jun-2026"/>
    <x v="9"/>
    <s v="Q1FY27"/>
    <s v="30-Jun-2026"/>
    <s v="Tuesday"/>
    <s v="Monthly - Tuesday"/>
    <s v="Monthly - Tuesday"/>
    <s v="Same Month Expiry"/>
    <n v="90608397"/>
    <n v="156713.7945"/>
    <n v="165.7756"/>
  </r>
  <r>
    <s v="30-Jun-2026"/>
    <x v="1"/>
    <s v="Week5-Jun-2026"/>
    <x v="9"/>
    <s v="Q1FY27"/>
    <s v="28-Jul-2026"/>
    <s v="Tuesday"/>
    <s v="Monthly - Tuesday"/>
    <s v="Monthly - Tuesday"/>
    <s v="Month+1 Expiry"/>
    <n v="658052"/>
    <n v="1157.6016"/>
    <n v="14.3916"/>
  </r>
  <r>
    <s v="30-Jun-2026"/>
    <x v="1"/>
    <s v="Week5-Jun-2026"/>
    <x v="9"/>
    <s v="Q1FY27"/>
    <s v="25-Aug-2026"/>
    <s v="Tuesday"/>
    <s v="Monthly - Tuesday"/>
    <s v="Monthly - Tuesday"/>
    <s v="Month+2 Expiry"/>
    <n v="11039"/>
    <n v="19.3738"/>
    <n v="0.3173"/>
  </r>
  <r>
    <s v="30-Jun-2026"/>
    <x v="1"/>
    <s v="Week5-Jun-2026"/>
    <x v="9"/>
    <s v="Q1FY27"/>
    <s v="29-Sep-2026"/>
    <s v="Tuesday"/>
    <s v="Monthly - Tuesday"/>
    <s v="Monthly - Tuesday"/>
    <s v="Month+3 Expiry"/>
    <n v="1586"/>
    <n v="2.8343"/>
    <n v="0.0478"/>
  </r>
  <r>
    <s v="30-Jun-2026"/>
    <x v="1"/>
    <s v="Week5-Jun-2026"/>
    <x v="9"/>
    <s v="Q1FY27"/>
    <s v="29-Dec-2026"/>
    <s v="Tuesday"/>
    <s v="Monthly - Tuesday"/>
    <s v="Monthly - Tuesday"/>
    <s v="Month+6 Expiry"/>
    <n v="72"/>
    <n v="0.1286"/>
    <n v="0.0039"/>
  </r>
  <r>
    <s v="30-Jun-2026"/>
    <x v="1"/>
    <s v="Week5-Jun-2026"/>
    <x v="9"/>
    <s v="Q1FY27"/>
    <s v="30-Mar-2027"/>
    <s v="Tuesday"/>
    <s v="Monthly - Tuesday"/>
    <s v="Monthly - Tuesday"/>
    <s v="Month+9 Expiry"/>
    <n v="0"/>
    <n v="0"/>
    <n v="0"/>
  </r>
  <r>
    <s v="01-Jul-2026"/>
    <x v="2"/>
    <s v="Week1-Jul-2026"/>
    <x v="10"/>
    <s v="Q2FY27"/>
    <s v="28-Jul-2026"/>
    <s v="Tuesday"/>
    <s v="Monthly - Tuesday"/>
    <s v="Monthly - Tuesday"/>
    <s v="Same Month Expiry"/>
    <n v="1531718"/>
    <n v="2691.6388"/>
    <n v="27.7557"/>
  </r>
  <r>
    <s v="01-Jul-2026"/>
    <x v="2"/>
    <s v="Week1-Jul-2026"/>
    <x v="10"/>
    <s v="Q2FY27"/>
    <s v="25-Aug-2026"/>
    <s v="Tuesday"/>
    <s v="Monthly - Tuesday"/>
    <s v="Monthly - Tuesday"/>
    <s v="Month+1 Expiry"/>
    <n v="15430"/>
    <n v="26.6915"/>
    <n v="0.3439"/>
  </r>
  <r>
    <s v="01-Jul-2026"/>
    <x v="2"/>
    <s v="Week1-Jul-2026"/>
    <x v="10"/>
    <s v="Q2FY27"/>
    <s v="29-Sep-2026"/>
    <s v="Tuesday"/>
    <s v="Monthly - Tuesday"/>
    <s v="Monthly - Tuesday"/>
    <s v="Month+2 Expiry"/>
    <n v="3290"/>
    <n v="5.6259"/>
    <n v="0.07530000000000001"/>
  </r>
  <r>
    <s v="01-Jul-2026"/>
    <x v="2"/>
    <s v="Week1-Jul-2026"/>
    <x v="10"/>
    <s v="Q2FY27"/>
    <s v="29-Dec-2026"/>
    <s v="Tuesday"/>
    <s v="Monthly - Tuesday"/>
    <s v="Monthly - Tuesday"/>
    <s v="Month+5 Expiry"/>
    <n v="681"/>
    <n v="0.9676"/>
    <n v="0.0066"/>
  </r>
  <r>
    <s v="01-Jul-2026"/>
    <x v="2"/>
    <s v="Week1-Jul-2026"/>
    <x v="10"/>
    <s v="Q2FY27"/>
    <s v="30-Mar-2027"/>
    <s v="Tuesday"/>
    <s v="Monthly - Tuesday"/>
    <s v="Monthly - Tuesday"/>
    <s v="Month+8 Expiry"/>
    <n v="0"/>
    <n v="0"/>
    <n v="0"/>
  </r>
  <r>
    <s v="01-Jul-2026"/>
    <x v="2"/>
    <s v="Week1-Jul-2026"/>
    <x v="10"/>
    <s v="Q2FY27"/>
    <s v="29-Jun-2027"/>
    <s v="Tuesday"/>
    <s v="Monthly - Tuesday"/>
    <s v="Monthly - Tuesday"/>
    <s v="Month+11 Expiry"/>
    <n v="0"/>
    <n v="0"/>
    <n v="0"/>
  </r>
  <r>
    <s v="02-Jul-2026"/>
    <x v="3"/>
    <s v="Week1-Jul-2026"/>
    <x v="10"/>
    <s v="Q2FY27"/>
    <s v="28-Jul-2026"/>
    <s v="Tuesday"/>
    <s v="Monthly - Tuesday"/>
    <s v="Monthly - Tuesday"/>
    <s v="Same Month Expiry"/>
    <n v="1501955"/>
    <n v="2644.0387"/>
    <n v="27.0559"/>
  </r>
  <r>
    <s v="02-Jul-2026"/>
    <x v="3"/>
    <s v="Week1-Jul-2026"/>
    <x v="10"/>
    <s v="Q2FY27"/>
    <s v="25-Aug-2026"/>
    <s v="Tuesday"/>
    <s v="Monthly - Tuesday"/>
    <s v="Monthly - Tuesday"/>
    <s v="Month+1 Expiry"/>
    <n v="16533"/>
    <n v="29.1449"/>
    <n v="0.403"/>
  </r>
  <r>
    <s v="02-Jul-2026"/>
    <x v="3"/>
    <s v="Week1-Jul-2026"/>
    <x v="10"/>
    <s v="Q2FY27"/>
    <s v="29-Sep-2026"/>
    <s v="Tuesday"/>
    <s v="Monthly - Tuesday"/>
    <s v="Monthly - Tuesday"/>
    <s v="Month+2 Expiry"/>
    <n v="2461"/>
    <n v="4.1771"/>
    <n v="0.056"/>
  </r>
  <r>
    <s v="02-Jul-2026"/>
    <x v="3"/>
    <s v="Week1-Jul-2026"/>
    <x v="10"/>
    <s v="Q2FY27"/>
    <s v="29-Dec-2026"/>
    <s v="Tuesday"/>
    <s v="Monthly - Tuesday"/>
    <s v="Monthly - Tuesday"/>
    <s v="Month+5 Expiry"/>
    <n v="130"/>
    <n v="0.2233"/>
    <n v="0.0044"/>
  </r>
  <r>
    <s v="02-Jul-2026"/>
    <x v="3"/>
    <s v="Week1-Jul-2026"/>
    <x v="10"/>
    <s v="Q2FY27"/>
    <s v="30-Mar-2027"/>
    <s v="Tuesday"/>
    <s v="Monthly - Tuesday"/>
    <s v="Monthly - Tuesday"/>
    <s v="Month+8 Expiry"/>
    <n v="0"/>
    <n v="0"/>
    <n v="0"/>
  </r>
  <r>
    <s v="02-Jul-2026"/>
    <x v="3"/>
    <s v="Week1-Jul-2026"/>
    <x v="10"/>
    <s v="Q2FY27"/>
    <s v="29-Jun-2027"/>
    <s v="Tuesday"/>
    <s v="Monthly - Tuesday"/>
    <s v="Monthly - Tuesday"/>
    <s v="Month+11 Expiry"/>
    <n v="0"/>
    <n v="0"/>
    <n v="0"/>
  </r>
  <r>
    <s v="03-Jul-2026"/>
    <x v="4"/>
    <s v="Week1-Jul-2026"/>
    <x v="10"/>
    <s v="Q2FY27"/>
    <s v="28-Jul-2026"/>
    <s v="Tuesday"/>
    <s v="Monthly - Tuesday"/>
    <s v="Monthly - Tuesday"/>
    <s v="Same Month Expiry"/>
    <n v="1623313"/>
    <n v="2862.6442"/>
    <n v="28.8871"/>
  </r>
  <r>
    <s v="03-Jul-2026"/>
    <x v="4"/>
    <s v="Week1-Jul-2026"/>
    <x v="10"/>
    <s v="Q2FY27"/>
    <s v="25-Aug-2026"/>
    <s v="Tuesday"/>
    <s v="Monthly - Tuesday"/>
    <s v="Monthly - Tuesday"/>
    <s v="Month+1 Expiry"/>
    <n v="23323"/>
    <n v="40.9408"/>
    <n v="0.5841"/>
  </r>
  <r>
    <s v="03-Jul-2026"/>
    <x v="4"/>
    <s v="Week1-Jul-2026"/>
    <x v="10"/>
    <s v="Q2FY27"/>
    <s v="29-Sep-2026"/>
    <s v="Tuesday"/>
    <s v="Monthly - Tuesday"/>
    <s v="Monthly - Tuesday"/>
    <s v="Month+2 Expiry"/>
    <n v="3664"/>
    <n v="6.3765"/>
    <n v="0.1178"/>
  </r>
  <r>
    <s v="03-Jul-2026"/>
    <x v="4"/>
    <s v="Week1-Jul-2026"/>
    <x v="10"/>
    <s v="Q2FY27"/>
    <s v="29-Dec-2026"/>
    <s v="Tuesday"/>
    <s v="Monthly - Tuesday"/>
    <s v="Monthly - Tuesday"/>
    <s v="Month+5 Expiry"/>
    <n v="95"/>
    <n v="0.1641"/>
    <n v="0.0034"/>
  </r>
  <r>
    <s v="03-Jul-2026"/>
    <x v="4"/>
    <s v="Week1-Jul-2026"/>
    <x v="10"/>
    <s v="Q2FY27"/>
    <s v="30-Mar-2027"/>
    <s v="Tuesday"/>
    <s v="Monthly - Tuesday"/>
    <s v="Monthly - Tuesday"/>
    <s v="Month+8 Expiry"/>
    <n v="0"/>
    <n v="0"/>
    <n v="0"/>
  </r>
  <r>
    <s v="03-Jul-2026"/>
    <x v="4"/>
    <s v="Week1-Jul-2026"/>
    <x v="10"/>
    <s v="Q2FY27"/>
    <s v="29-Jun-2027"/>
    <s v="Tuesday"/>
    <s v="Monthly - Tuesday"/>
    <s v="Monthly - Tuesday"/>
    <s v="Month+11 Expiry"/>
    <n v="0"/>
    <n v="0"/>
    <n v="0"/>
  </r>
  <r>
    <s v="06-Jul-2026"/>
    <x v="0"/>
    <s v="Week1-Jul-2026"/>
    <x v="10"/>
    <s v="Q2FY27"/>
    <s v="28-Jul-2026"/>
    <s v="Tuesday"/>
    <s v="Monthly - Tuesday"/>
    <s v="Monthly - Tuesday"/>
    <s v="Same Month Expiry"/>
    <n v="1652760"/>
    <n v="2921.7287"/>
    <n v="25.8063"/>
  </r>
  <r>
    <s v="06-Jul-2026"/>
    <x v="0"/>
    <s v="Week1-Jul-2026"/>
    <x v="10"/>
    <s v="Q2FY27"/>
    <s v="25-Aug-2026"/>
    <s v="Tuesday"/>
    <s v="Monthly - Tuesday"/>
    <s v="Monthly - Tuesday"/>
    <s v="Month+1 Expiry"/>
    <n v="23715"/>
    <n v="41.2133"/>
    <n v="0.4671"/>
  </r>
  <r>
    <s v="06-Jul-2026"/>
    <x v="0"/>
    <s v="Week1-Jul-2026"/>
    <x v="10"/>
    <s v="Q2FY27"/>
    <s v="29-Sep-2026"/>
    <s v="Tuesday"/>
    <s v="Monthly - Tuesday"/>
    <s v="Monthly - Tuesday"/>
    <s v="Month+2 Expiry"/>
    <n v="3246"/>
    <n v="5.693"/>
    <n v="0.095"/>
  </r>
  <r>
    <s v="06-Jul-2026"/>
    <x v="0"/>
    <s v="Week1-Jul-2026"/>
    <x v="10"/>
    <s v="Q2FY27"/>
    <s v="29-Dec-2026"/>
    <s v="Tuesday"/>
    <s v="Monthly - Tuesday"/>
    <s v="Monthly - Tuesday"/>
    <s v="Month+5 Expiry"/>
    <n v="205"/>
    <n v="0.3486"/>
    <n v="0.0061"/>
  </r>
  <r>
    <s v="06-Jul-2026"/>
    <x v="0"/>
    <s v="Week1-Jul-2026"/>
    <x v="10"/>
    <s v="Q2FY27"/>
    <s v="30-Mar-2027"/>
    <s v="Tuesday"/>
    <s v="Monthly - Tuesday"/>
    <s v="Monthly - Tuesday"/>
    <s v="Month+8 Expiry"/>
    <n v="0"/>
    <n v="0"/>
    <n v="0"/>
  </r>
  <r>
    <s v="06-Jul-2026"/>
    <x v="0"/>
    <s v="Week1-Jul-2026"/>
    <x v="10"/>
    <s v="Q2FY27"/>
    <s v="29-Jun-2027"/>
    <s v="Tuesday"/>
    <s v="Monthly - Tuesday"/>
    <s v="Monthly - Tuesday"/>
    <s v="Month+11 Expiry"/>
    <n v="0"/>
    <n v="0"/>
    <n v="0"/>
  </r>
  <r>
    <s v="07-Jul-2026"/>
    <x v="1"/>
    <s v="Week1-Jul-2026"/>
    <x v="10"/>
    <s v="Q2FY27"/>
    <s v="28-Jul-2026"/>
    <s v="Tuesday"/>
    <s v="Monthly - Tuesday"/>
    <s v="Monthly - Tuesday"/>
    <s v="Same Month Expiry"/>
    <n v="1591088"/>
    <n v="2806.7101"/>
    <n v="22.7747"/>
  </r>
  <r>
    <s v="07-Jul-2026"/>
    <x v="1"/>
    <s v="Week1-Jul-2026"/>
    <x v="10"/>
    <s v="Q2FY27"/>
    <s v="25-Aug-2026"/>
    <s v="Tuesday"/>
    <s v="Monthly - Tuesday"/>
    <s v="Monthly - Tuesday"/>
    <s v="Month+1 Expiry"/>
    <n v="19016"/>
    <n v="33.4512"/>
    <n v="0.3871"/>
  </r>
  <r>
    <s v="07-Jul-2026"/>
    <x v="1"/>
    <s v="Week1-Jul-2026"/>
    <x v="10"/>
    <s v="Q2FY27"/>
    <s v="29-Sep-2026"/>
    <s v="Tuesday"/>
    <s v="Monthly - Tuesday"/>
    <s v="Monthly - Tuesday"/>
    <s v="Month+2 Expiry"/>
    <n v="2629"/>
    <n v="4.5961"/>
    <n v="0.07240000000000001"/>
  </r>
  <r>
    <s v="07-Jul-2026"/>
    <x v="1"/>
    <s v="Week1-Jul-2026"/>
    <x v="10"/>
    <s v="Q2FY27"/>
    <s v="29-Dec-2026"/>
    <s v="Tuesday"/>
    <s v="Monthly - Tuesday"/>
    <s v="Monthly - Tuesday"/>
    <s v="Month+5 Expiry"/>
    <n v="154"/>
    <n v="0.2659"/>
    <n v="0.005"/>
  </r>
  <r>
    <s v="07-Jul-2026"/>
    <x v="1"/>
    <s v="Week1-Jul-2026"/>
    <x v="10"/>
    <s v="Q2FY27"/>
    <s v="30-Mar-2027"/>
    <s v="Tuesday"/>
    <s v="Monthly - Tuesday"/>
    <s v="Monthly - Tuesday"/>
    <s v="Month+8 Expiry"/>
    <n v="0"/>
    <n v="0"/>
    <n v="0"/>
  </r>
  <r>
    <s v="07-Jul-2026"/>
    <x v="1"/>
    <s v="Week1-Jul-2026"/>
    <x v="10"/>
    <s v="Q2FY27"/>
    <s v="29-Jun-2027"/>
    <s v="Tuesday"/>
    <s v="Monthly - Tuesday"/>
    <s v="Monthly - Tuesday"/>
    <s v="Month+11 Expiry"/>
    <n v="0"/>
    <n v="0"/>
    <n v="0"/>
  </r>
  <r>
    <s v="08-Jul-2026"/>
    <x v="2"/>
    <s v="Week2-Jul-2026"/>
    <x v="10"/>
    <s v="Q2FY27"/>
    <s v="28-Jul-2026"/>
    <s v="Tuesday"/>
    <s v="Monthly - Tuesday"/>
    <s v="Monthly - Tuesday"/>
    <s v="Same Month Expiry"/>
    <n v="3176686"/>
    <n v="5530.4037"/>
    <n v="47.4274"/>
  </r>
  <r>
    <s v="08-Jul-2026"/>
    <x v="2"/>
    <s v="Week2-Jul-2026"/>
    <x v="10"/>
    <s v="Q2FY27"/>
    <s v="25-Aug-2026"/>
    <s v="Tuesday"/>
    <s v="Monthly - Tuesday"/>
    <s v="Monthly - Tuesday"/>
    <s v="Month+1 Expiry"/>
    <n v="71715"/>
    <n v="125.602"/>
    <n v="1.7156"/>
  </r>
  <r>
    <s v="08-Jul-2026"/>
    <x v="2"/>
    <s v="Week2-Jul-2026"/>
    <x v="10"/>
    <s v="Q2FY27"/>
    <s v="29-Sep-2026"/>
    <s v="Tuesday"/>
    <s v="Monthly - Tuesday"/>
    <s v="Monthly - Tuesday"/>
    <s v="Month+2 Expiry"/>
    <n v="9458"/>
    <n v="16.5237"/>
    <n v="0.2608"/>
  </r>
  <r>
    <s v="08-Jul-2026"/>
    <x v="2"/>
    <s v="Week2-Jul-2026"/>
    <x v="10"/>
    <s v="Q2FY27"/>
    <s v="29-Dec-2026"/>
    <s v="Tuesday"/>
    <s v="Monthly - Tuesday"/>
    <s v="Monthly - Tuesday"/>
    <s v="Month+5 Expiry"/>
    <n v="724"/>
    <n v="1.2332"/>
    <n v="0.0269"/>
  </r>
  <r>
    <s v="08-Jul-2026"/>
    <x v="2"/>
    <s v="Week2-Jul-2026"/>
    <x v="10"/>
    <s v="Q2FY27"/>
    <s v="30-Mar-2027"/>
    <s v="Tuesday"/>
    <s v="Monthly - Tuesday"/>
    <s v="Monthly - Tuesday"/>
    <s v="Month+8 Expiry"/>
    <n v="0"/>
    <n v="0"/>
    <n v="0"/>
  </r>
  <r>
    <s v="08-Jul-2026"/>
    <x v="2"/>
    <s v="Week2-Jul-2026"/>
    <x v="10"/>
    <s v="Q2FY27"/>
    <s v="29-Jun-2027"/>
    <s v="Tuesday"/>
    <s v="Monthly - Tuesday"/>
    <s v="Monthly - Tuesday"/>
    <s v="Month+11 Expiry"/>
    <n v="0"/>
    <n v="0"/>
    <n v="0"/>
  </r>
  <r>
    <s v="09-Jul-2026"/>
    <x v="3"/>
    <s v="Week2-Jul-2026"/>
    <x v="10"/>
    <s v="Q2FY27"/>
    <s v="28-Jul-2026"/>
    <s v="Tuesday"/>
    <s v="Monthly - Tuesday"/>
    <s v="Monthly - Tuesday"/>
    <s v="Same Month Expiry"/>
    <n v="2188933"/>
    <n v="3807.0281"/>
    <n v="32.4544"/>
  </r>
  <r>
    <s v="09-Jul-2026"/>
    <x v="3"/>
    <s v="Week2-Jul-2026"/>
    <x v="10"/>
    <s v="Q2FY27"/>
    <s v="25-Aug-2026"/>
    <s v="Tuesday"/>
    <s v="Monthly - Tuesday"/>
    <s v="Monthly - Tuesday"/>
    <s v="Month+1 Expiry"/>
    <n v="34068"/>
    <n v="59.1385"/>
    <n v="0.771"/>
  </r>
  <r>
    <s v="09-Jul-2026"/>
    <x v="3"/>
    <s v="Week2-Jul-2026"/>
    <x v="10"/>
    <s v="Q2FY27"/>
    <s v="29-Sep-2026"/>
    <s v="Tuesday"/>
    <s v="Monthly - Tuesday"/>
    <s v="Monthly - Tuesday"/>
    <s v="Month+2 Expiry"/>
    <n v="6847"/>
    <n v="12.0556"/>
    <n v="0.199"/>
  </r>
  <r>
    <s v="09-Jul-2026"/>
    <x v="3"/>
    <s v="Week2-Jul-2026"/>
    <x v="10"/>
    <s v="Q2FY27"/>
    <s v="29-Dec-2026"/>
    <s v="Tuesday"/>
    <s v="Monthly - Tuesday"/>
    <s v="Monthly - Tuesday"/>
    <s v="Month+5 Expiry"/>
    <n v="354"/>
    <n v="0.6213"/>
    <n v="0.0134"/>
  </r>
  <r>
    <s v="09-Jul-2026"/>
    <x v="3"/>
    <s v="Week2-Jul-2026"/>
    <x v="10"/>
    <s v="Q2FY27"/>
    <s v="30-Mar-2027"/>
    <s v="Tuesday"/>
    <s v="Monthly - Tuesday"/>
    <s v="Monthly - Tuesday"/>
    <s v="Month+8 Expiry"/>
    <n v="0"/>
    <n v="0"/>
    <n v="0"/>
  </r>
  <r>
    <s v="09-Jul-2026"/>
    <x v="3"/>
    <s v="Week2-Jul-2026"/>
    <x v="10"/>
    <s v="Q2FY27"/>
    <s v="29-Jun-2027"/>
    <s v="Tuesday"/>
    <s v="Monthly - Tuesday"/>
    <s v="Monthly - Tuesday"/>
    <s v="Month+11 Expiry"/>
    <n v="0"/>
    <n v="0"/>
    <n v="0"/>
  </r>
  <r>
    <s v="10-Jul-2026"/>
    <x v="4"/>
    <s v="Week2-Jul-2026"/>
    <x v="10"/>
    <s v="Q2FY27"/>
    <s v="28-Jul-2026"/>
    <s v="Tuesday"/>
    <s v="Monthly - Tuesday"/>
    <s v="Monthly - Tuesday"/>
    <s v="Same Month Expiry"/>
    <n v="2142493"/>
    <n v="3757.6859"/>
    <n v="31.0447"/>
  </r>
  <r>
    <s v="10-Jul-2026"/>
    <x v="4"/>
    <s v="Week2-Jul-2026"/>
    <x v="10"/>
    <s v="Q2FY27"/>
    <s v="25-Aug-2026"/>
    <s v="Tuesday"/>
    <s v="Monthly - Tuesday"/>
    <s v="Monthly - Tuesday"/>
    <s v="Month+1 Expiry"/>
    <n v="35759"/>
    <n v="62.6405"/>
    <n v="0.7769"/>
  </r>
  <r>
    <s v="10-Jul-2026"/>
    <x v="4"/>
    <s v="Week2-Jul-2026"/>
    <x v="10"/>
    <s v="Q2FY27"/>
    <s v="29-Sep-2026"/>
    <s v="Tuesday"/>
    <s v="Monthly - Tuesday"/>
    <s v="Monthly - Tuesday"/>
    <s v="Month+2 Expiry"/>
    <n v="4917"/>
    <n v="8.7098"/>
    <n v="0.1417"/>
  </r>
  <r>
    <s v="10-Jul-2026"/>
    <x v="4"/>
    <s v="Week2-Jul-2026"/>
    <x v="10"/>
    <s v="Q2FY27"/>
    <s v="29-Dec-2026"/>
    <s v="Tuesday"/>
    <s v="Monthly - Tuesday"/>
    <s v="Monthly - Tuesday"/>
    <s v="Month+5 Expiry"/>
    <n v="258"/>
    <n v="0.4625"/>
    <n v="0.0095"/>
  </r>
  <r>
    <s v="10-Jul-2026"/>
    <x v="4"/>
    <s v="Week2-Jul-2026"/>
    <x v="10"/>
    <s v="Q2FY27"/>
    <s v="30-Mar-2027"/>
    <s v="Tuesday"/>
    <s v="Monthly - Tuesday"/>
    <s v="Monthly - Tuesday"/>
    <s v="Month+8 Expiry"/>
    <n v="1"/>
    <n v="0.0019"/>
    <n v="0.0001"/>
  </r>
  <r>
    <s v="10-Jul-2026"/>
    <x v="4"/>
    <s v="Week2-Jul-2026"/>
    <x v="10"/>
    <s v="Q2FY27"/>
    <s v="29-Jun-2027"/>
    <s v="Tuesday"/>
    <s v="Monthly - Tuesday"/>
    <s v="Monthly - Tuesday"/>
    <s v="Month+11 Expiry"/>
    <n v="0"/>
    <n v="0"/>
    <n v="0"/>
  </r>
  <r>
    <s v="13-Jul-2026"/>
    <x v="0"/>
    <s v="Week2-Jul-2026"/>
    <x v="10"/>
    <s v="Q2FY27"/>
    <s v="28-Jul-2026"/>
    <s v="Tuesday"/>
    <s v="Monthly - Tuesday"/>
    <s v="Monthly - Tuesday"/>
    <s v="Same Month Expiry"/>
    <n v="2380345"/>
    <n v="4185.2061"/>
    <n v="33.8626"/>
  </r>
  <r>
    <s v="13-Jul-2026"/>
    <x v="0"/>
    <s v="Week2-Jul-2026"/>
    <x v="10"/>
    <s v="Q2FY27"/>
    <s v="25-Aug-2026"/>
    <s v="Tuesday"/>
    <s v="Monthly - Tuesday"/>
    <s v="Monthly - Tuesday"/>
    <s v="Month+1 Expiry"/>
    <n v="50242"/>
    <n v="87.45659999999999"/>
    <n v="1.0187"/>
  </r>
  <r>
    <s v="13-Jul-2026"/>
    <x v="0"/>
    <s v="Week2-Jul-2026"/>
    <x v="10"/>
    <s v="Q2FY27"/>
    <s v="29-Sep-2026"/>
    <s v="Tuesday"/>
    <s v="Monthly - Tuesday"/>
    <s v="Monthly - Tuesday"/>
    <s v="Month+2 Expiry"/>
    <n v="4849"/>
    <n v="8.487"/>
    <n v="0.1302"/>
  </r>
  <r>
    <s v="13-Jul-2026"/>
    <x v="0"/>
    <s v="Week2-Jul-2026"/>
    <x v="10"/>
    <s v="Q2FY27"/>
    <s v="29-Dec-2026"/>
    <s v="Tuesday"/>
    <s v="Monthly - Tuesday"/>
    <s v="Monthly - Tuesday"/>
    <s v="Month+5 Expiry"/>
    <n v="347"/>
    <n v="0.6294"/>
    <n v="0.0176"/>
  </r>
  <r>
    <s v="13-Jul-2026"/>
    <x v="0"/>
    <s v="Week2-Jul-2026"/>
    <x v="10"/>
    <s v="Q2FY27"/>
    <s v="30-Mar-2027"/>
    <s v="Tuesday"/>
    <s v="Monthly - Tuesday"/>
    <s v="Monthly - Tuesday"/>
    <s v="Month+8 Expiry"/>
    <n v="0"/>
    <n v="0"/>
    <n v="0"/>
  </r>
  <r>
    <s v="13-Jul-2026"/>
    <x v="0"/>
    <s v="Week2-Jul-2026"/>
    <x v="10"/>
    <s v="Q2FY27"/>
    <s v="29-Jun-2027"/>
    <s v="Tuesday"/>
    <s v="Monthly - Tuesday"/>
    <s v="Monthly - Tuesday"/>
    <s v="Month+11 Expiry"/>
    <n v="0"/>
    <n v="0"/>
    <n v="0"/>
  </r>
  <r>
    <s v="14-Jul-2026"/>
    <x v="1"/>
    <s v="Week2-Jul-2026"/>
    <x v="10"/>
    <s v="Q2FY27"/>
    <s v="28-Jul-2026"/>
    <s v="Tuesday"/>
    <s v="Monthly - Tuesday"/>
    <s v="Monthly - Tuesday"/>
    <s v="Same Month Expiry"/>
    <n v="2153750"/>
    <n v="3764.1958"/>
    <n v="30.7826"/>
  </r>
  <r>
    <s v="14-Jul-2026"/>
    <x v="1"/>
    <s v="Week2-Jul-2026"/>
    <x v="10"/>
    <s v="Q2FY27"/>
    <s v="25-Aug-2026"/>
    <s v="Tuesday"/>
    <s v="Monthly - Tuesday"/>
    <s v="Monthly - Tuesday"/>
    <s v="Month+1 Expiry"/>
    <n v="57610"/>
    <n v="100.9769"/>
    <n v="1.2811"/>
  </r>
  <r>
    <s v="14-Jul-2026"/>
    <x v="1"/>
    <s v="Week2-Jul-2026"/>
    <x v="10"/>
    <s v="Q2FY27"/>
    <s v="29-Sep-2026"/>
    <s v="Tuesday"/>
    <s v="Monthly - Tuesday"/>
    <s v="Monthly - Tuesday"/>
    <s v="Month+2 Expiry"/>
    <n v="6204"/>
    <n v="10.89"/>
    <n v="0.1531"/>
  </r>
  <r>
    <s v="14-Jul-2026"/>
    <x v="1"/>
    <s v="Week2-Jul-2026"/>
    <x v="10"/>
    <s v="Q2FY27"/>
    <s v="29-Dec-2026"/>
    <s v="Tuesday"/>
    <s v="Monthly - Tuesday"/>
    <s v="Monthly - Tuesday"/>
    <s v="Month+5 Expiry"/>
    <n v="286"/>
    <n v="0.5077"/>
    <n v="0.0117"/>
  </r>
  <r>
    <s v="14-Jul-2026"/>
    <x v="1"/>
    <s v="Week2-Jul-2026"/>
    <x v="10"/>
    <s v="Q2FY27"/>
    <s v="30-Mar-2027"/>
    <s v="Tuesday"/>
    <s v="Monthly - Tuesday"/>
    <s v="Monthly - Tuesday"/>
    <s v="Month+8 Expiry"/>
    <n v="0"/>
    <n v="0"/>
    <n v="0"/>
  </r>
  <r>
    <s v="14-Jul-2026"/>
    <x v="1"/>
    <s v="Week2-Jul-2026"/>
    <x v="10"/>
    <s v="Q2FY27"/>
    <s v="29-Jun-2027"/>
    <s v="Tuesday"/>
    <s v="Monthly - Tuesday"/>
    <s v="Monthly - Tuesday"/>
    <s v="Month+11 Expiry"/>
    <n v="0"/>
    <n v="0"/>
    <n v="0"/>
  </r>
  <r>
    <s v="15-Jul-2026"/>
    <x v="2"/>
    <s v="Week3-Jul-2026"/>
    <x v="10"/>
    <s v="Q2FY27"/>
    <s v="28-Jul-2026"/>
    <s v="Tuesday"/>
    <s v="Monthly - Tuesday"/>
    <s v="Monthly - Tuesday"/>
    <s v="Same Month Expiry"/>
    <n v="2730976"/>
    <n v="4775.9998"/>
    <n v="37.7578"/>
  </r>
  <r>
    <s v="15-Jul-2026"/>
    <x v="2"/>
    <s v="Week3-Jul-2026"/>
    <x v="10"/>
    <s v="Q2FY27"/>
    <s v="25-Aug-2026"/>
    <s v="Tuesday"/>
    <s v="Monthly - Tuesday"/>
    <s v="Monthly - Tuesday"/>
    <s v="Month+1 Expiry"/>
    <n v="67095"/>
    <n v="117.91"/>
    <n v="1.3605"/>
  </r>
  <r>
    <s v="15-Jul-2026"/>
    <x v="2"/>
    <s v="Week3-Jul-2026"/>
    <x v="10"/>
    <s v="Q2FY27"/>
    <s v="29-Sep-2026"/>
    <s v="Tuesday"/>
    <s v="Monthly - Tuesday"/>
    <s v="Monthly - Tuesday"/>
    <s v="Month+2 Expiry"/>
    <n v="7256"/>
    <n v="12.6785"/>
    <n v="0.1862"/>
  </r>
  <r>
    <s v="15-Jul-2026"/>
    <x v="2"/>
    <s v="Week3-Jul-2026"/>
    <x v="10"/>
    <s v="Q2FY27"/>
    <s v="29-Dec-2026"/>
    <s v="Tuesday"/>
    <s v="Monthly - Tuesday"/>
    <s v="Monthly - Tuesday"/>
    <s v="Month+5 Expiry"/>
    <n v="285"/>
    <n v="0.4926"/>
    <n v="0.0101"/>
  </r>
  <r>
    <s v="15-Jul-2026"/>
    <x v="2"/>
    <s v="Week3-Jul-2026"/>
    <x v="10"/>
    <s v="Q2FY27"/>
    <s v="30-Mar-2027"/>
    <s v="Tuesday"/>
    <s v="Monthly - Tuesday"/>
    <s v="Monthly - Tuesday"/>
    <s v="Month+8 Expiry"/>
    <n v="0"/>
    <n v="0"/>
    <n v="0"/>
  </r>
  <r>
    <s v="15-Jul-2026"/>
    <x v="2"/>
    <s v="Week3-Jul-2026"/>
    <x v="10"/>
    <s v="Q2FY27"/>
    <s v="29-Jun-2027"/>
    <s v="Tuesday"/>
    <s v="Monthly - Tuesday"/>
    <s v="Monthly - Tuesday"/>
    <s v="Month+11 Expiry"/>
    <n v="0"/>
    <n v="0"/>
    <n v="0"/>
  </r>
  <r>
    <s v="16-Jul-2026"/>
    <x v="3"/>
    <s v="Week3-Jul-2026"/>
    <x v="10"/>
    <s v="Q2FY27"/>
    <s v="28-Jul-2026"/>
    <s v="Tuesday"/>
    <s v="Monthly - Tuesday"/>
    <s v="Monthly - Tuesday"/>
    <s v="Same Month Expiry"/>
    <n v="2047625"/>
    <n v="3580.5422"/>
    <n v="26.3817"/>
  </r>
  <r>
    <s v="16-Jul-2026"/>
    <x v="3"/>
    <s v="Week3-Jul-2026"/>
    <x v="10"/>
    <s v="Q2FY27"/>
    <s v="25-Aug-2026"/>
    <s v="Tuesday"/>
    <s v="Monthly - Tuesday"/>
    <s v="Monthly - Tuesday"/>
    <s v="Month+1 Expiry"/>
    <n v="41598"/>
    <n v="72.9849"/>
    <n v="0.9424"/>
  </r>
  <r>
    <s v="16-Jul-2026"/>
    <x v="3"/>
    <s v="Week3-Jul-2026"/>
    <x v="10"/>
    <s v="Q2FY27"/>
    <s v="29-Sep-2026"/>
    <s v="Tuesday"/>
    <s v="Monthly - Tuesday"/>
    <s v="Monthly - Tuesday"/>
    <s v="Month+2 Expiry"/>
    <n v="6745"/>
    <n v="11.8747"/>
    <n v="0.1839"/>
  </r>
  <r>
    <s v="16-Jul-2026"/>
    <x v="3"/>
    <s v="Week3-Jul-2026"/>
    <x v="10"/>
    <s v="Q2FY27"/>
    <s v="29-Dec-2026"/>
    <s v="Tuesday"/>
    <s v="Monthly - Tuesday"/>
    <s v="Monthly - Tuesday"/>
    <s v="Month+5 Expiry"/>
    <n v="212"/>
    <n v="0.3723"/>
    <n v="0.0083"/>
  </r>
  <r>
    <s v="16-Jul-2026"/>
    <x v="3"/>
    <s v="Week3-Jul-2026"/>
    <x v="10"/>
    <s v="Q2FY27"/>
    <s v="30-Mar-2027"/>
    <s v="Tuesday"/>
    <s v="Monthly - Tuesday"/>
    <s v="Monthly - Tuesday"/>
    <s v="Month+8 Expiry"/>
    <n v="2"/>
    <n v="0.0039"/>
    <n v="0.0001"/>
  </r>
  <r>
    <s v="16-Jul-2026"/>
    <x v="3"/>
    <s v="Week3-Jul-2026"/>
    <x v="10"/>
    <s v="Q2FY27"/>
    <s v="29-Jun-2027"/>
    <s v="Tuesday"/>
    <s v="Monthly - Tuesday"/>
    <s v="Monthly - Tuesday"/>
    <s v="Month+11 Expiry"/>
    <n v="0"/>
    <n v="0"/>
    <n v="0"/>
  </r>
  <r>
    <s v="17-Jul-2026"/>
    <x v="4"/>
    <s v="Week3-Jul-2026"/>
    <x v="10"/>
    <s v="Q2FY27"/>
    <s v="28-Jul-2026"/>
    <s v="Tuesday"/>
    <s v="Monthly - Tuesday"/>
    <s v="Monthly - Tuesday"/>
    <s v="Same Month Expiry"/>
    <n v="3541356"/>
    <n v="6210.8686"/>
    <n v="42.6363"/>
  </r>
  <r>
    <s v="17-Jul-2026"/>
    <x v="4"/>
    <s v="Week3-Jul-2026"/>
    <x v="10"/>
    <s v="Q2FY27"/>
    <s v="25-Aug-2026"/>
    <s v="Tuesday"/>
    <s v="Monthly - Tuesday"/>
    <s v="Monthly - Tuesday"/>
    <s v="Month+1 Expiry"/>
    <n v="97657"/>
    <n v="171.7121"/>
    <n v="2.0862"/>
  </r>
  <r>
    <s v="17-Jul-2026"/>
    <x v="4"/>
    <s v="Week3-Jul-2026"/>
    <x v="10"/>
    <s v="Q2FY27"/>
    <s v="29-Sep-2026"/>
    <s v="Tuesday"/>
    <s v="Monthly - Tuesday"/>
    <s v="Monthly - Tuesday"/>
    <s v="Month+2 Expiry"/>
    <n v="9989"/>
    <n v="17.5083"/>
    <n v="0.2271"/>
  </r>
  <r>
    <s v="17-Jul-2026"/>
    <x v="4"/>
    <s v="Week3-Jul-2026"/>
    <x v="10"/>
    <s v="Q2FY27"/>
    <s v="29-Dec-2026"/>
    <s v="Tuesday"/>
    <s v="Monthly - Tuesday"/>
    <s v="Monthly - Tuesday"/>
    <s v="Month+5 Expiry"/>
    <n v="651"/>
    <n v="1.1139"/>
    <n v="0.0199"/>
  </r>
  <r>
    <s v="17-Jul-2026"/>
    <x v="4"/>
    <s v="Week3-Jul-2026"/>
    <x v="10"/>
    <s v="Q2FY27"/>
    <s v="30-Mar-2027"/>
    <s v="Tuesday"/>
    <s v="Monthly - Tuesday"/>
    <s v="Monthly - Tuesday"/>
    <s v="Month+8 Expiry"/>
    <n v="2"/>
    <n v="0.0039"/>
    <n v="0.0001"/>
  </r>
  <r>
    <s v="17-Jul-2026"/>
    <x v="4"/>
    <s v="Week3-Jul-2026"/>
    <x v="10"/>
    <s v="Q2FY27"/>
    <s v="29-Jun-2027"/>
    <s v="Tuesday"/>
    <s v="Monthly - Tuesday"/>
    <s v="Monthly - Tuesday"/>
    <s v="Month+11 Expiry"/>
    <n v="0"/>
    <n v="0"/>
    <n v="0"/>
  </r>
  <r>
    <s v="20-Jul-2026"/>
    <x v="0"/>
    <s v="Week3-Jul-2026"/>
    <x v="10"/>
    <s v="Q2FY27"/>
    <s v="28-Jul-2026"/>
    <s v="Tuesday"/>
    <s v="Monthly - Tuesday"/>
    <s v="Monthly - Tuesday"/>
    <s v="Same Month Expiry"/>
    <n v="3962266"/>
    <n v="6924.0781"/>
    <n v="39.6558"/>
  </r>
  <r>
    <s v="20-Jul-2026"/>
    <x v="0"/>
    <s v="Week3-Jul-2026"/>
    <x v="10"/>
    <s v="Q2FY27"/>
    <s v="25-Aug-2026"/>
    <s v="Tuesday"/>
    <s v="Monthly - Tuesday"/>
    <s v="Monthly - Tuesday"/>
    <s v="Month+1 Expiry"/>
    <n v="166759"/>
    <n v="293.3312"/>
    <n v="3.3772"/>
  </r>
  <r>
    <s v="20-Jul-2026"/>
    <x v="0"/>
    <s v="Week3-Jul-2026"/>
    <x v="10"/>
    <s v="Q2FY27"/>
    <s v="29-Sep-2026"/>
    <s v="Tuesday"/>
    <s v="Monthly - Tuesday"/>
    <s v="Monthly - Tuesday"/>
    <s v="Month+2 Expiry"/>
    <n v="12772"/>
    <n v="22.3625"/>
    <n v="0.328"/>
  </r>
  <r>
    <s v="20-Jul-2026"/>
    <x v="0"/>
    <s v="Week3-Jul-2026"/>
    <x v="10"/>
    <s v="Q2FY27"/>
    <s v="29-Dec-2026"/>
    <s v="Tuesday"/>
    <s v="Monthly - Tuesday"/>
    <s v="Monthly - Tuesday"/>
    <s v="Month+5 Expiry"/>
    <n v="411"/>
    <n v="0.7393"/>
    <n v="0.0171"/>
  </r>
  <r>
    <s v="20-Jul-2026"/>
    <x v="0"/>
    <s v="Week3-Jul-2026"/>
    <x v="10"/>
    <s v="Q2FY27"/>
    <s v="30-Mar-2027"/>
    <s v="Tuesday"/>
    <s v="Monthly - Tuesday"/>
    <s v="Monthly - Tuesday"/>
    <s v="Month+8 Expiry"/>
    <n v="1"/>
    <n v="0.0019"/>
    <n v="0"/>
  </r>
  <r>
    <s v="20-Jul-2026"/>
    <x v="0"/>
    <s v="Week3-Jul-2026"/>
    <x v="10"/>
    <s v="Q2FY27"/>
    <s v="29-Jun-2027"/>
    <s v="Tuesday"/>
    <s v="Monthly - Tuesday"/>
    <s v="Monthly - Tuesday"/>
    <s v="Month+11 Expiry"/>
    <n v="0"/>
    <n v="0"/>
    <n v="0"/>
  </r>
  <r>
    <s v="21-Jul-2026"/>
    <x v="1"/>
    <s v="Week3-Jul-2026"/>
    <x v="10"/>
    <s v="Q2FY27"/>
    <s v="28-Jul-2026"/>
    <s v="Tuesday"/>
    <s v="Monthly - Tuesday"/>
    <s v="Monthly - Tuesday"/>
    <s v="Same Month Expiry"/>
    <n v="2965393"/>
    <n v="5177.4295"/>
    <n v="26.1967"/>
  </r>
  <r>
    <s v="21-Jul-2026"/>
    <x v="1"/>
    <s v="Week3-Jul-2026"/>
    <x v="10"/>
    <s v="Q2FY27"/>
    <s v="25-Aug-2026"/>
    <s v="Tuesday"/>
    <s v="Monthly - Tuesday"/>
    <s v="Monthly - Tuesday"/>
    <s v="Month+1 Expiry"/>
    <n v="107181"/>
    <n v="189.3837"/>
    <n v="2.0461"/>
  </r>
  <r>
    <s v="21-Jul-2026"/>
    <x v="1"/>
    <s v="Week3-Jul-2026"/>
    <x v="10"/>
    <s v="Q2FY27"/>
    <s v="29-Sep-2026"/>
    <s v="Tuesday"/>
    <s v="Monthly - Tuesday"/>
    <s v="Monthly - Tuesday"/>
    <s v="Month+2 Expiry"/>
    <n v="10066"/>
    <n v="17.5367"/>
    <n v="0.2319"/>
  </r>
  <r>
    <s v="21-Jul-2026"/>
    <x v="1"/>
    <s v="Week3-Jul-2026"/>
    <x v="10"/>
    <s v="Q2FY27"/>
    <s v="29-Dec-2026"/>
    <s v="Tuesday"/>
    <s v="Monthly - Tuesday"/>
    <s v="Monthly - Tuesday"/>
    <s v="Month+5 Expiry"/>
    <n v="266"/>
    <n v="0.4601"/>
    <n v="0.0091"/>
  </r>
  <r>
    <s v="21-Jul-2026"/>
    <x v="1"/>
    <s v="Week3-Jul-2026"/>
    <x v="10"/>
    <s v="Q2FY27"/>
    <s v="30-Mar-2027"/>
    <s v="Tuesday"/>
    <s v="Monthly - Tuesday"/>
    <s v="Monthly - Tuesday"/>
    <s v="Month+8 Expiry"/>
    <n v="2"/>
    <n v="0.0039"/>
    <n v="0.0001"/>
  </r>
  <r>
    <s v="21-Jul-2026"/>
    <x v="1"/>
    <s v="Week3-Jul-2026"/>
    <x v="10"/>
    <s v="Q2FY27"/>
    <s v="29-Jun-2027"/>
    <s v="Tuesday"/>
    <s v="Monthly - Tuesday"/>
    <s v="Monthly - Tuesday"/>
    <s v="Month+11 Expiry"/>
    <n v="0"/>
    <n v="0"/>
    <n v="0"/>
  </r>
</pivotCacheRecords>
</file>

<file path=xl/pivotCache/pivotCacheRecords4.xml><?xml version="1.0" encoding="utf-8"?>
<pivotCacheRecords xmlns="http://schemas.openxmlformats.org/spreadsheetml/2006/main" count="1314">
  <r>
    <s v="01-Sep-2025"/>
    <x v="0"/>
    <s v="Week1-Sep-2025"/>
    <x v="0"/>
    <s v="Q2FY26"/>
    <s v="30-Sep-2025"/>
    <s v="Tuesday"/>
    <s v="Monthly - Tuesday"/>
    <s v="Monthly - Tuesday"/>
    <s v="Same Month Expiry"/>
    <n v="2038762"/>
    <n v="3884.4165"/>
    <n v="32.6023"/>
  </r>
  <r>
    <s v="01-Sep-2025"/>
    <x v="0"/>
    <s v="Week1-Sep-2025"/>
    <x v="0"/>
    <s v="Q2FY26"/>
    <s v="28-Oct-2025"/>
    <s v="Tuesday"/>
    <s v="Monthly - Tuesday"/>
    <s v="Monthly - Tuesday"/>
    <s v="Month+1 Expiry"/>
    <n v="17731"/>
    <n v="34.1263"/>
    <n v="0.3066"/>
  </r>
  <r>
    <s v="01-Sep-2025"/>
    <x v="0"/>
    <s v="Week1-Sep-2025"/>
    <x v="0"/>
    <s v="Q2FY26"/>
    <s v="25-Nov-2025"/>
    <s v="Tuesday"/>
    <s v="Monthly - Tuesday"/>
    <s v="Monthly - Tuesday"/>
    <s v="Month+2 Expiry"/>
    <n v="382"/>
    <n v="0.7426"/>
    <n v="0.0157"/>
  </r>
  <r>
    <s v="01-Sep-2025"/>
    <x v="0"/>
    <s v="Week1-Sep-2025"/>
    <x v="0"/>
    <s v="Q2FY26"/>
    <s v="30-Dec-2025"/>
    <s v="Tuesday"/>
    <s v="Monthly - Tuesday"/>
    <s v="Monthly - Tuesday"/>
    <s v="Month+3 Expiry"/>
    <n v="3133"/>
    <n v="6.1669"/>
    <n v="0.0851"/>
  </r>
  <r>
    <s v="01-Sep-2025"/>
    <x v="0"/>
    <s v="Week1-Sep-2025"/>
    <x v="0"/>
    <s v="Q2FY26"/>
    <s v="31-Mar-2026"/>
    <s v="Tuesday"/>
    <s v="Monthly - Tuesday"/>
    <s v="Monthly - Tuesday"/>
    <s v="Month+6 Expiry"/>
    <n v="123"/>
    <n v="0.2575"/>
    <n v="0.0041"/>
  </r>
  <r>
    <s v="01-Sep-2025"/>
    <x v="0"/>
    <s v="Week1-Sep-2025"/>
    <x v="0"/>
    <s v="Q2FY26"/>
    <s v="30-Jun-2026"/>
    <s v="Tuesday"/>
    <s v="Monthly - Tuesday"/>
    <s v="Monthly - Tuesday"/>
    <s v="Month+9 Expiry"/>
    <n v="0"/>
    <n v="0"/>
    <n v="0"/>
  </r>
  <r>
    <s v="02-Sep-2025"/>
    <x v="1"/>
    <s v="Week1-Sep-2025"/>
    <x v="0"/>
    <s v="Q2FY26"/>
    <s v="30-Sep-2025"/>
    <s v="Tuesday"/>
    <s v="Monthly - Tuesday"/>
    <s v="Monthly - Tuesday"/>
    <s v="Same Month Expiry"/>
    <n v="2335453"/>
    <n v="4447.3157"/>
    <n v="37.3923"/>
  </r>
  <r>
    <s v="02-Sep-2025"/>
    <x v="1"/>
    <s v="Week1-Sep-2025"/>
    <x v="0"/>
    <s v="Q2FY26"/>
    <s v="28-Oct-2025"/>
    <s v="Tuesday"/>
    <s v="Monthly - Tuesday"/>
    <s v="Monthly - Tuesday"/>
    <s v="Month+1 Expiry"/>
    <n v="25566"/>
    <n v="49.3497"/>
    <n v="0.4837"/>
  </r>
  <r>
    <s v="02-Sep-2025"/>
    <x v="1"/>
    <s v="Week1-Sep-2025"/>
    <x v="0"/>
    <s v="Q2FY26"/>
    <s v="25-Nov-2025"/>
    <s v="Tuesday"/>
    <s v="Monthly - Tuesday"/>
    <s v="Monthly - Tuesday"/>
    <s v="Month+2 Expiry"/>
    <n v="633"/>
    <n v="1.2279"/>
    <n v="0.025"/>
  </r>
  <r>
    <s v="02-Sep-2025"/>
    <x v="1"/>
    <s v="Week1-Sep-2025"/>
    <x v="0"/>
    <s v="Q2FY26"/>
    <s v="30-Dec-2025"/>
    <s v="Tuesday"/>
    <s v="Monthly - Tuesday"/>
    <s v="Monthly - Tuesday"/>
    <s v="Month+3 Expiry"/>
    <n v="3041"/>
    <n v="6.0114"/>
    <n v="0.08400000000000001"/>
  </r>
  <r>
    <s v="02-Sep-2025"/>
    <x v="1"/>
    <s v="Week1-Sep-2025"/>
    <x v="0"/>
    <s v="Q2FY26"/>
    <s v="31-Mar-2026"/>
    <s v="Tuesday"/>
    <s v="Monthly - Tuesday"/>
    <s v="Monthly - Tuesday"/>
    <s v="Month+6 Expiry"/>
    <n v="130"/>
    <n v="0.2719"/>
    <n v="0.0042"/>
  </r>
  <r>
    <s v="02-Sep-2025"/>
    <x v="1"/>
    <s v="Week1-Sep-2025"/>
    <x v="0"/>
    <s v="Q2FY26"/>
    <s v="30-Jun-2026"/>
    <s v="Tuesday"/>
    <s v="Monthly - Tuesday"/>
    <s v="Monthly - Tuesday"/>
    <s v="Month+9 Expiry"/>
    <n v="0"/>
    <n v="0"/>
    <n v="0"/>
  </r>
  <r>
    <s v="03-Sep-2025"/>
    <x v="2"/>
    <s v="Week1-Sep-2025"/>
    <x v="0"/>
    <s v="Q2FY26"/>
    <s v="30-Sep-2025"/>
    <s v="Tuesday"/>
    <s v="Monthly - Tuesday"/>
    <s v="Monthly - Tuesday"/>
    <s v="Same Month Expiry"/>
    <n v="2543972"/>
    <n v="4839.8017"/>
    <n v="40.3564"/>
  </r>
  <r>
    <s v="03-Sep-2025"/>
    <x v="2"/>
    <s v="Week1-Sep-2025"/>
    <x v="0"/>
    <s v="Q2FY26"/>
    <s v="28-Oct-2025"/>
    <s v="Tuesday"/>
    <s v="Monthly - Tuesday"/>
    <s v="Monthly - Tuesday"/>
    <s v="Month+1 Expiry"/>
    <n v="29423"/>
    <n v="56.8088"/>
    <n v="0.4759"/>
  </r>
  <r>
    <s v="03-Sep-2025"/>
    <x v="2"/>
    <s v="Week1-Sep-2025"/>
    <x v="0"/>
    <s v="Q2FY26"/>
    <s v="25-Nov-2025"/>
    <s v="Tuesday"/>
    <s v="Monthly - Tuesday"/>
    <s v="Monthly - Tuesday"/>
    <s v="Month+2 Expiry"/>
    <n v="1324"/>
    <n v="2.5656"/>
    <n v="0.0552"/>
  </r>
  <r>
    <s v="03-Sep-2025"/>
    <x v="2"/>
    <s v="Week1-Sep-2025"/>
    <x v="0"/>
    <s v="Q2FY26"/>
    <s v="30-Dec-2025"/>
    <s v="Tuesday"/>
    <s v="Monthly - Tuesday"/>
    <s v="Monthly - Tuesday"/>
    <s v="Month+3 Expiry"/>
    <n v="3953"/>
    <n v="7.8925"/>
    <n v="0.1201"/>
  </r>
  <r>
    <s v="03-Sep-2025"/>
    <x v="2"/>
    <s v="Week1-Sep-2025"/>
    <x v="0"/>
    <s v="Q2FY26"/>
    <s v="31-Mar-2026"/>
    <s v="Tuesday"/>
    <s v="Monthly - Tuesday"/>
    <s v="Monthly - Tuesday"/>
    <s v="Month+6 Expiry"/>
    <n v="138"/>
    <n v="0.287"/>
    <n v="0.0049"/>
  </r>
  <r>
    <s v="03-Sep-2025"/>
    <x v="2"/>
    <s v="Week1-Sep-2025"/>
    <x v="0"/>
    <s v="Q2FY26"/>
    <s v="30-Jun-2026"/>
    <s v="Tuesday"/>
    <s v="Monthly - Tuesday"/>
    <s v="Monthly - Tuesday"/>
    <s v="Month+9 Expiry"/>
    <n v="0"/>
    <n v="0"/>
    <n v="0"/>
  </r>
  <r>
    <s v="04-Sep-2025"/>
    <x v="3"/>
    <s v="Week1-Sep-2025"/>
    <x v="0"/>
    <s v="Q2FY26"/>
    <s v="30-Sep-2025"/>
    <s v="Tuesday"/>
    <s v="Monthly - Tuesday"/>
    <s v="Monthly - Tuesday"/>
    <s v="Same Month Expiry"/>
    <n v="2537028"/>
    <n v="4848.7147"/>
    <n v="37.4147"/>
  </r>
  <r>
    <s v="04-Sep-2025"/>
    <x v="3"/>
    <s v="Week1-Sep-2025"/>
    <x v="0"/>
    <s v="Q2FY26"/>
    <s v="28-Oct-2025"/>
    <s v="Tuesday"/>
    <s v="Monthly - Tuesday"/>
    <s v="Monthly - Tuesday"/>
    <s v="Month+1 Expiry"/>
    <n v="23723"/>
    <n v="45.7728"/>
    <n v="0.4761"/>
  </r>
  <r>
    <s v="04-Sep-2025"/>
    <x v="3"/>
    <s v="Week1-Sep-2025"/>
    <x v="0"/>
    <s v="Q2FY26"/>
    <s v="25-Nov-2025"/>
    <s v="Tuesday"/>
    <s v="Monthly - Tuesday"/>
    <s v="Monthly - Tuesday"/>
    <s v="Month+2 Expiry"/>
    <n v="710"/>
    <n v="1.3714"/>
    <n v="0.0287"/>
  </r>
  <r>
    <s v="04-Sep-2025"/>
    <x v="3"/>
    <s v="Week1-Sep-2025"/>
    <x v="0"/>
    <s v="Q2FY26"/>
    <s v="30-Dec-2025"/>
    <s v="Tuesday"/>
    <s v="Monthly - Tuesday"/>
    <s v="Monthly - Tuesday"/>
    <s v="Month+3 Expiry"/>
    <n v="3065"/>
    <n v="6.0011"/>
    <n v="0.0945"/>
  </r>
  <r>
    <s v="04-Sep-2025"/>
    <x v="3"/>
    <s v="Week1-Sep-2025"/>
    <x v="0"/>
    <s v="Q2FY26"/>
    <s v="31-Mar-2026"/>
    <s v="Tuesday"/>
    <s v="Monthly - Tuesday"/>
    <s v="Monthly - Tuesday"/>
    <s v="Month+6 Expiry"/>
    <n v="92"/>
    <n v="0.1916"/>
    <n v="0.0033"/>
  </r>
  <r>
    <s v="04-Sep-2025"/>
    <x v="3"/>
    <s v="Week1-Sep-2025"/>
    <x v="0"/>
    <s v="Q2FY26"/>
    <s v="30-Jun-2026"/>
    <s v="Tuesday"/>
    <s v="Monthly - Tuesday"/>
    <s v="Monthly - Tuesday"/>
    <s v="Month+9 Expiry"/>
    <n v="0"/>
    <n v="0"/>
    <n v="0"/>
  </r>
  <r>
    <s v="05-Sep-2025"/>
    <x v="4"/>
    <s v="Week1-Sep-2025"/>
    <x v="0"/>
    <s v="Q2FY26"/>
    <s v="30-Sep-2025"/>
    <s v="Tuesday"/>
    <s v="Monthly - Tuesday"/>
    <s v="Monthly - Tuesday"/>
    <s v="Same Month Expiry"/>
    <n v="2935345"/>
    <n v="5585.8496"/>
    <n v="42.2849"/>
  </r>
  <r>
    <s v="05-Sep-2025"/>
    <x v="4"/>
    <s v="Week1-Sep-2025"/>
    <x v="0"/>
    <s v="Q2FY26"/>
    <s v="28-Oct-2025"/>
    <s v="Tuesday"/>
    <s v="Monthly - Tuesday"/>
    <s v="Monthly - Tuesday"/>
    <s v="Month+1 Expiry"/>
    <n v="33458"/>
    <n v="64.5603"/>
    <n v="0.7334000000000001"/>
  </r>
  <r>
    <s v="05-Sep-2025"/>
    <x v="4"/>
    <s v="Week1-Sep-2025"/>
    <x v="0"/>
    <s v="Q2FY26"/>
    <s v="25-Nov-2025"/>
    <s v="Tuesday"/>
    <s v="Monthly - Tuesday"/>
    <s v="Monthly - Tuesday"/>
    <s v="Month+2 Expiry"/>
    <n v="722"/>
    <n v="1.3985"/>
    <n v="0.0313"/>
  </r>
  <r>
    <s v="05-Sep-2025"/>
    <x v="4"/>
    <s v="Week1-Sep-2025"/>
    <x v="0"/>
    <s v="Q2FY26"/>
    <s v="30-Dec-2025"/>
    <s v="Tuesday"/>
    <s v="Monthly - Tuesday"/>
    <s v="Monthly - Tuesday"/>
    <s v="Month+3 Expiry"/>
    <n v="1986"/>
    <n v="3.9685"/>
    <n v="0.0618"/>
  </r>
  <r>
    <s v="05-Sep-2025"/>
    <x v="4"/>
    <s v="Week1-Sep-2025"/>
    <x v="0"/>
    <s v="Q2FY26"/>
    <s v="31-Mar-2026"/>
    <s v="Tuesday"/>
    <s v="Monthly - Tuesday"/>
    <s v="Monthly - Tuesday"/>
    <s v="Month+6 Expiry"/>
    <n v="77"/>
    <n v="0.1615"/>
    <n v="0.0021"/>
  </r>
  <r>
    <s v="05-Sep-2025"/>
    <x v="4"/>
    <s v="Week1-Sep-2025"/>
    <x v="0"/>
    <s v="Q2FY26"/>
    <s v="30-Jun-2026"/>
    <s v="Tuesday"/>
    <s v="Monthly - Tuesday"/>
    <s v="Monthly - Tuesday"/>
    <s v="Month+9 Expiry"/>
    <n v="0"/>
    <n v="0"/>
    <n v="0"/>
  </r>
  <r>
    <s v="08-Sep-2025"/>
    <x v="0"/>
    <s v="Week2-Sep-2025"/>
    <x v="0"/>
    <s v="Q2FY26"/>
    <s v="30-Sep-2025"/>
    <s v="Tuesday"/>
    <s v="Monthly - Tuesday"/>
    <s v="Monthly - Tuesday"/>
    <s v="Same Month Expiry"/>
    <n v="2772664"/>
    <n v="5289.4227"/>
    <n v="37.314"/>
  </r>
  <r>
    <s v="08-Sep-2025"/>
    <x v="0"/>
    <s v="Week2-Sep-2025"/>
    <x v="0"/>
    <s v="Q2FY26"/>
    <s v="28-Oct-2025"/>
    <s v="Tuesday"/>
    <s v="Monthly - Tuesday"/>
    <s v="Monthly - Tuesday"/>
    <s v="Month+1 Expiry"/>
    <n v="23556"/>
    <n v="45.2499"/>
    <n v="0.4635"/>
  </r>
  <r>
    <s v="08-Sep-2025"/>
    <x v="0"/>
    <s v="Week2-Sep-2025"/>
    <x v="0"/>
    <s v="Q2FY26"/>
    <s v="25-Nov-2025"/>
    <s v="Tuesday"/>
    <s v="Monthly - Tuesday"/>
    <s v="Monthly - Tuesday"/>
    <s v="Month+2 Expiry"/>
    <n v="723"/>
    <n v="1.3797"/>
    <n v="0.022"/>
  </r>
  <r>
    <s v="08-Sep-2025"/>
    <x v="0"/>
    <s v="Week2-Sep-2025"/>
    <x v="0"/>
    <s v="Q2FY26"/>
    <s v="30-Dec-2025"/>
    <s v="Tuesday"/>
    <s v="Monthly - Tuesday"/>
    <s v="Monthly - Tuesday"/>
    <s v="Month+3 Expiry"/>
    <n v="2328"/>
    <n v="4.5147"/>
    <n v="0.068"/>
  </r>
  <r>
    <s v="08-Sep-2025"/>
    <x v="0"/>
    <s v="Week2-Sep-2025"/>
    <x v="0"/>
    <s v="Q2FY26"/>
    <s v="31-Mar-2026"/>
    <s v="Tuesday"/>
    <s v="Monthly - Tuesday"/>
    <s v="Monthly - Tuesday"/>
    <s v="Month+6 Expiry"/>
    <n v="123"/>
    <n v="0.2576"/>
    <n v="0.0039"/>
  </r>
  <r>
    <s v="08-Sep-2025"/>
    <x v="0"/>
    <s v="Week2-Sep-2025"/>
    <x v="0"/>
    <s v="Q2FY26"/>
    <s v="30-Jun-2026"/>
    <s v="Tuesday"/>
    <s v="Monthly - Tuesday"/>
    <s v="Monthly - Tuesday"/>
    <s v="Month+9 Expiry"/>
    <n v="0"/>
    <n v="0"/>
    <n v="0"/>
  </r>
  <r>
    <s v="09-Sep-2025"/>
    <x v="1"/>
    <s v="Week2-Sep-2025"/>
    <x v="0"/>
    <s v="Q2FY26"/>
    <s v="30-Sep-2025"/>
    <s v="Tuesday"/>
    <s v="Monthly - Tuesday"/>
    <s v="Monthly - Tuesday"/>
    <s v="Same Month Expiry"/>
    <n v="2184553"/>
    <n v="4162.4389"/>
    <n v="29.5829"/>
  </r>
  <r>
    <s v="09-Sep-2025"/>
    <x v="1"/>
    <s v="Week2-Sep-2025"/>
    <x v="0"/>
    <s v="Q2FY26"/>
    <s v="28-Oct-2025"/>
    <s v="Tuesday"/>
    <s v="Monthly - Tuesday"/>
    <s v="Monthly - Tuesday"/>
    <s v="Month+1 Expiry"/>
    <n v="20360"/>
    <n v="39.1389"/>
    <n v="0.3146"/>
  </r>
  <r>
    <s v="09-Sep-2025"/>
    <x v="1"/>
    <s v="Week2-Sep-2025"/>
    <x v="0"/>
    <s v="Q2FY26"/>
    <s v="25-Nov-2025"/>
    <s v="Tuesday"/>
    <s v="Monthly - Tuesday"/>
    <s v="Monthly - Tuesday"/>
    <s v="Month+2 Expiry"/>
    <n v="577"/>
    <n v="1.1223"/>
    <n v="0.0139"/>
  </r>
  <r>
    <s v="09-Sep-2025"/>
    <x v="1"/>
    <s v="Week2-Sep-2025"/>
    <x v="0"/>
    <s v="Q2FY26"/>
    <s v="30-Dec-2025"/>
    <s v="Tuesday"/>
    <s v="Monthly - Tuesday"/>
    <s v="Monthly - Tuesday"/>
    <s v="Month+3 Expiry"/>
    <n v="1049"/>
    <n v="2.0595"/>
    <n v="0.031"/>
  </r>
  <r>
    <s v="09-Sep-2025"/>
    <x v="1"/>
    <s v="Week2-Sep-2025"/>
    <x v="0"/>
    <s v="Q2FY26"/>
    <s v="31-Mar-2026"/>
    <s v="Tuesday"/>
    <s v="Monthly - Tuesday"/>
    <s v="Monthly - Tuesday"/>
    <s v="Month+6 Expiry"/>
    <n v="17"/>
    <n v="0.0357"/>
    <n v="0.0005"/>
  </r>
  <r>
    <s v="09-Sep-2025"/>
    <x v="1"/>
    <s v="Week2-Sep-2025"/>
    <x v="0"/>
    <s v="Q2FY26"/>
    <s v="30-Jun-2026"/>
    <s v="Tuesday"/>
    <s v="Monthly - Tuesday"/>
    <s v="Monthly - Tuesday"/>
    <s v="Month+9 Expiry"/>
    <n v="0"/>
    <n v="0"/>
    <n v="0"/>
  </r>
  <r>
    <s v="10-Sep-2025"/>
    <x v="2"/>
    <s v="Week2-Sep-2025"/>
    <x v="0"/>
    <s v="Q2FY26"/>
    <s v="30-Sep-2025"/>
    <s v="Tuesday"/>
    <s v="Monthly - Tuesday"/>
    <s v="Monthly - Tuesday"/>
    <s v="Same Month Expiry"/>
    <n v="2977307"/>
    <n v="5695.0636"/>
    <n v="39.5422"/>
  </r>
  <r>
    <s v="10-Sep-2025"/>
    <x v="2"/>
    <s v="Week2-Sep-2025"/>
    <x v="0"/>
    <s v="Q2FY26"/>
    <s v="28-Oct-2025"/>
    <s v="Tuesday"/>
    <s v="Monthly - Tuesday"/>
    <s v="Monthly - Tuesday"/>
    <s v="Month+1 Expiry"/>
    <n v="35141"/>
    <n v="67.67749999999999"/>
    <n v="0.6271"/>
  </r>
  <r>
    <s v="10-Sep-2025"/>
    <x v="2"/>
    <s v="Week2-Sep-2025"/>
    <x v="0"/>
    <s v="Q2FY26"/>
    <s v="25-Nov-2025"/>
    <s v="Tuesday"/>
    <s v="Monthly - Tuesday"/>
    <s v="Monthly - Tuesday"/>
    <s v="Month+2 Expiry"/>
    <n v="1391"/>
    <n v="2.69"/>
    <n v="0.0326"/>
  </r>
  <r>
    <s v="10-Sep-2025"/>
    <x v="2"/>
    <s v="Week2-Sep-2025"/>
    <x v="0"/>
    <s v="Q2FY26"/>
    <s v="30-Dec-2025"/>
    <s v="Tuesday"/>
    <s v="Monthly - Tuesday"/>
    <s v="Monthly - Tuesday"/>
    <s v="Month+3 Expiry"/>
    <n v="3275"/>
    <n v="6.4037"/>
    <n v="0.1023"/>
  </r>
  <r>
    <s v="10-Sep-2025"/>
    <x v="2"/>
    <s v="Week2-Sep-2025"/>
    <x v="0"/>
    <s v="Q2FY26"/>
    <s v="31-Mar-2026"/>
    <s v="Tuesday"/>
    <s v="Monthly - Tuesday"/>
    <s v="Monthly - Tuesday"/>
    <s v="Month+6 Expiry"/>
    <n v="198"/>
    <n v="0.4174"/>
    <n v="0.0057"/>
  </r>
  <r>
    <s v="10-Sep-2025"/>
    <x v="2"/>
    <s v="Week2-Sep-2025"/>
    <x v="0"/>
    <s v="Q2FY26"/>
    <s v="30-Jun-2026"/>
    <s v="Tuesday"/>
    <s v="Monthly - Tuesday"/>
    <s v="Monthly - Tuesday"/>
    <s v="Month+9 Expiry"/>
    <n v="0"/>
    <n v="0"/>
    <n v="0"/>
  </r>
  <r>
    <s v="11-Sep-2025"/>
    <x v="3"/>
    <s v="Week2-Sep-2025"/>
    <x v="0"/>
    <s v="Q2FY26"/>
    <s v="30-Sep-2025"/>
    <s v="Tuesday"/>
    <s v="Monthly - Tuesday"/>
    <s v="Monthly - Tuesday"/>
    <s v="Same Month Expiry"/>
    <n v="2376862"/>
    <n v="4557.516"/>
    <n v="29.3358"/>
  </r>
  <r>
    <s v="11-Sep-2025"/>
    <x v="3"/>
    <s v="Week2-Sep-2025"/>
    <x v="0"/>
    <s v="Q2FY26"/>
    <s v="28-Oct-2025"/>
    <s v="Tuesday"/>
    <s v="Monthly - Tuesday"/>
    <s v="Monthly - Tuesday"/>
    <s v="Month+1 Expiry"/>
    <n v="28274"/>
    <n v="54.3677"/>
    <n v="0.4552"/>
  </r>
  <r>
    <s v="11-Sep-2025"/>
    <x v="3"/>
    <s v="Week2-Sep-2025"/>
    <x v="0"/>
    <s v="Q2FY26"/>
    <s v="25-Nov-2025"/>
    <s v="Tuesday"/>
    <s v="Monthly - Tuesday"/>
    <s v="Monthly - Tuesday"/>
    <s v="Month+2 Expiry"/>
    <n v="976"/>
    <n v="1.8798"/>
    <n v="0.0188"/>
  </r>
  <r>
    <s v="11-Sep-2025"/>
    <x v="3"/>
    <s v="Week2-Sep-2025"/>
    <x v="0"/>
    <s v="Q2FY26"/>
    <s v="30-Dec-2025"/>
    <s v="Tuesday"/>
    <s v="Monthly - Tuesday"/>
    <s v="Monthly - Tuesday"/>
    <s v="Month+3 Expiry"/>
    <n v="1450"/>
    <n v="2.833"/>
    <n v="0.0424"/>
  </r>
  <r>
    <s v="11-Sep-2025"/>
    <x v="3"/>
    <s v="Week2-Sep-2025"/>
    <x v="0"/>
    <s v="Q2FY26"/>
    <s v="31-Mar-2026"/>
    <s v="Tuesday"/>
    <s v="Monthly - Tuesday"/>
    <s v="Monthly - Tuesday"/>
    <s v="Month+6 Expiry"/>
    <n v="36"/>
    <n v="0.07630000000000001"/>
    <n v="0.0009"/>
  </r>
  <r>
    <s v="11-Sep-2025"/>
    <x v="3"/>
    <s v="Week2-Sep-2025"/>
    <x v="0"/>
    <s v="Q2FY26"/>
    <s v="30-Jun-2026"/>
    <s v="Tuesday"/>
    <s v="Monthly - Tuesday"/>
    <s v="Monthly - Tuesday"/>
    <s v="Month+9 Expiry"/>
    <n v="0"/>
    <n v="0"/>
    <n v="0"/>
  </r>
  <r>
    <s v="12-Sep-2025"/>
    <x v="4"/>
    <s v="Week2-Sep-2025"/>
    <x v="0"/>
    <s v="Q2FY26"/>
    <s v="30-Sep-2025"/>
    <s v="Tuesday"/>
    <s v="Monthly - Tuesday"/>
    <s v="Monthly - Tuesday"/>
    <s v="Same Month Expiry"/>
    <n v="2574698"/>
    <n v="4935.0399"/>
    <n v="30.7807"/>
  </r>
  <r>
    <s v="12-Sep-2025"/>
    <x v="4"/>
    <s v="Week2-Sep-2025"/>
    <x v="0"/>
    <s v="Q2FY26"/>
    <s v="28-Oct-2025"/>
    <s v="Tuesday"/>
    <s v="Monthly - Tuesday"/>
    <s v="Monthly - Tuesday"/>
    <s v="Month+1 Expiry"/>
    <n v="42978"/>
    <n v="83.00490000000001"/>
    <n v="0.5669999999999999"/>
  </r>
  <r>
    <s v="12-Sep-2025"/>
    <x v="4"/>
    <s v="Week2-Sep-2025"/>
    <x v="0"/>
    <s v="Q2FY26"/>
    <s v="25-Nov-2025"/>
    <s v="Tuesday"/>
    <s v="Monthly - Tuesday"/>
    <s v="Monthly - Tuesday"/>
    <s v="Month+2 Expiry"/>
    <n v="1864"/>
    <n v="3.559"/>
    <n v="0.0356"/>
  </r>
  <r>
    <s v="12-Sep-2025"/>
    <x v="4"/>
    <s v="Week2-Sep-2025"/>
    <x v="0"/>
    <s v="Q2FY26"/>
    <s v="30-Dec-2025"/>
    <s v="Tuesday"/>
    <s v="Monthly - Tuesday"/>
    <s v="Monthly - Tuesday"/>
    <s v="Month+3 Expiry"/>
    <n v="2649"/>
    <n v="5.2832"/>
    <n v="0.0798"/>
  </r>
  <r>
    <s v="12-Sep-2025"/>
    <x v="4"/>
    <s v="Week2-Sep-2025"/>
    <x v="0"/>
    <s v="Q2FY26"/>
    <s v="31-Mar-2026"/>
    <s v="Tuesday"/>
    <s v="Monthly - Tuesday"/>
    <s v="Monthly - Tuesday"/>
    <s v="Month+6 Expiry"/>
    <n v="35"/>
    <n v="0.0742"/>
    <n v="0.0009"/>
  </r>
  <r>
    <s v="12-Sep-2025"/>
    <x v="4"/>
    <s v="Week2-Sep-2025"/>
    <x v="0"/>
    <s v="Q2FY26"/>
    <s v="30-Jun-2026"/>
    <s v="Tuesday"/>
    <s v="Monthly - Tuesday"/>
    <s v="Monthly - Tuesday"/>
    <s v="Month+9 Expiry"/>
    <n v="0"/>
    <n v="0"/>
    <n v="0"/>
  </r>
  <r>
    <s v="15-Sep-2025"/>
    <x v="0"/>
    <s v="Week3-Sep-2025"/>
    <x v="0"/>
    <s v="Q2FY26"/>
    <s v="30-Sep-2025"/>
    <s v="Tuesday"/>
    <s v="Monthly - Tuesday"/>
    <s v="Monthly - Tuesday"/>
    <s v="Same Month Expiry"/>
    <n v="2447180"/>
    <n v="4718.6186"/>
    <n v="27.5124"/>
  </r>
  <r>
    <s v="15-Sep-2025"/>
    <x v="0"/>
    <s v="Week3-Sep-2025"/>
    <x v="0"/>
    <s v="Q2FY26"/>
    <s v="28-Oct-2025"/>
    <s v="Tuesday"/>
    <s v="Monthly - Tuesday"/>
    <s v="Monthly - Tuesday"/>
    <s v="Month+1 Expiry"/>
    <n v="49449"/>
    <n v="95.77760000000001"/>
    <n v="0.8409"/>
  </r>
  <r>
    <s v="15-Sep-2025"/>
    <x v="0"/>
    <s v="Week3-Sep-2025"/>
    <x v="0"/>
    <s v="Q2FY26"/>
    <s v="25-Nov-2025"/>
    <s v="Tuesday"/>
    <s v="Monthly - Tuesday"/>
    <s v="Monthly - Tuesday"/>
    <s v="Month+2 Expiry"/>
    <n v="2231"/>
    <n v="4.2551"/>
    <n v="0.0364"/>
  </r>
  <r>
    <s v="15-Sep-2025"/>
    <x v="0"/>
    <s v="Week3-Sep-2025"/>
    <x v="0"/>
    <s v="Q2FY26"/>
    <s v="30-Dec-2025"/>
    <s v="Tuesday"/>
    <s v="Monthly - Tuesday"/>
    <s v="Monthly - Tuesday"/>
    <s v="Month+3 Expiry"/>
    <n v="1971"/>
    <n v="3.9013"/>
    <n v="0.0613"/>
  </r>
  <r>
    <s v="15-Sep-2025"/>
    <x v="0"/>
    <s v="Week3-Sep-2025"/>
    <x v="0"/>
    <s v="Q2FY26"/>
    <s v="31-Mar-2026"/>
    <s v="Tuesday"/>
    <s v="Monthly - Tuesday"/>
    <s v="Monthly - Tuesday"/>
    <s v="Month+6 Expiry"/>
    <n v="16"/>
    <n v="0.0331"/>
    <n v="0.0008"/>
  </r>
  <r>
    <s v="15-Sep-2025"/>
    <x v="0"/>
    <s v="Week3-Sep-2025"/>
    <x v="0"/>
    <s v="Q2FY26"/>
    <s v="30-Jun-2026"/>
    <s v="Tuesday"/>
    <s v="Monthly - Tuesday"/>
    <s v="Monthly - Tuesday"/>
    <s v="Month+9 Expiry"/>
    <n v="0"/>
    <n v="0"/>
    <n v="0"/>
  </r>
  <r>
    <s v="16-Sep-2025"/>
    <x v="1"/>
    <s v="Week3-Sep-2025"/>
    <x v="0"/>
    <s v="Q2FY26"/>
    <s v="30-Sep-2025"/>
    <s v="Tuesday"/>
    <s v="Monthly - Tuesday"/>
    <s v="Monthly - Tuesday"/>
    <s v="Same Month Expiry"/>
    <n v="2920520"/>
    <n v="5633.0641"/>
    <n v="30.7542"/>
  </r>
  <r>
    <s v="16-Sep-2025"/>
    <x v="1"/>
    <s v="Week3-Sep-2025"/>
    <x v="0"/>
    <s v="Q2FY26"/>
    <s v="28-Oct-2025"/>
    <s v="Tuesday"/>
    <s v="Monthly - Tuesday"/>
    <s v="Monthly - Tuesday"/>
    <s v="Month+1 Expiry"/>
    <n v="105859"/>
    <n v="207.9988"/>
    <n v="2.0344"/>
  </r>
  <r>
    <s v="16-Sep-2025"/>
    <x v="1"/>
    <s v="Week3-Sep-2025"/>
    <x v="0"/>
    <s v="Q2FY26"/>
    <s v="25-Nov-2025"/>
    <s v="Tuesday"/>
    <s v="Monthly - Tuesday"/>
    <s v="Monthly - Tuesday"/>
    <s v="Month+2 Expiry"/>
    <n v="2986"/>
    <n v="5.7989"/>
    <n v="0.0635"/>
  </r>
  <r>
    <s v="16-Sep-2025"/>
    <x v="1"/>
    <s v="Week3-Sep-2025"/>
    <x v="0"/>
    <s v="Q2FY26"/>
    <s v="30-Dec-2025"/>
    <s v="Tuesday"/>
    <s v="Monthly - Tuesday"/>
    <s v="Monthly - Tuesday"/>
    <s v="Month+3 Expiry"/>
    <n v="2875"/>
    <n v="5.6326"/>
    <n v="0.082"/>
  </r>
  <r>
    <s v="16-Sep-2025"/>
    <x v="1"/>
    <s v="Week3-Sep-2025"/>
    <x v="0"/>
    <s v="Q2FY26"/>
    <s v="31-Mar-2026"/>
    <s v="Tuesday"/>
    <s v="Monthly - Tuesday"/>
    <s v="Monthly - Tuesday"/>
    <s v="Month+6 Expiry"/>
    <n v="24"/>
    <n v="0.0504"/>
    <n v="0.001"/>
  </r>
  <r>
    <s v="16-Sep-2025"/>
    <x v="1"/>
    <s v="Week3-Sep-2025"/>
    <x v="0"/>
    <s v="Q2FY26"/>
    <s v="30-Jun-2026"/>
    <s v="Tuesday"/>
    <s v="Monthly - Tuesday"/>
    <s v="Monthly - Tuesday"/>
    <s v="Month+9 Expiry"/>
    <n v="0"/>
    <n v="0"/>
    <n v="0"/>
  </r>
  <r>
    <s v="17-Sep-2025"/>
    <x v="2"/>
    <s v="Week3-Sep-2025"/>
    <x v="0"/>
    <s v="Q2FY26"/>
    <s v="30-Sep-2025"/>
    <s v="Tuesday"/>
    <s v="Monthly - Tuesday"/>
    <s v="Monthly - Tuesday"/>
    <s v="Same Month Expiry"/>
    <n v="3892571"/>
    <n v="7563.0427"/>
    <n v="37.891"/>
  </r>
  <r>
    <s v="17-Sep-2025"/>
    <x v="2"/>
    <s v="Week3-Sep-2025"/>
    <x v="0"/>
    <s v="Q2FY26"/>
    <s v="28-Oct-2025"/>
    <s v="Tuesday"/>
    <s v="Monthly - Tuesday"/>
    <s v="Monthly - Tuesday"/>
    <s v="Month+1 Expiry"/>
    <n v="157463"/>
    <n v="310.3593"/>
    <n v="2.7607"/>
  </r>
  <r>
    <s v="17-Sep-2025"/>
    <x v="2"/>
    <s v="Week3-Sep-2025"/>
    <x v="0"/>
    <s v="Q2FY26"/>
    <s v="25-Nov-2025"/>
    <s v="Tuesday"/>
    <s v="Monthly - Tuesday"/>
    <s v="Monthly - Tuesday"/>
    <s v="Month+2 Expiry"/>
    <n v="3342"/>
    <n v="6.4662"/>
    <n v="0.07389999999999999"/>
  </r>
  <r>
    <s v="17-Sep-2025"/>
    <x v="2"/>
    <s v="Week3-Sep-2025"/>
    <x v="0"/>
    <s v="Q2FY26"/>
    <s v="30-Dec-2025"/>
    <s v="Tuesday"/>
    <s v="Monthly - Tuesday"/>
    <s v="Monthly - Tuesday"/>
    <s v="Month+3 Expiry"/>
    <n v="4108"/>
    <n v="8.145"/>
    <n v="0.1127"/>
  </r>
  <r>
    <s v="17-Sep-2025"/>
    <x v="2"/>
    <s v="Week3-Sep-2025"/>
    <x v="0"/>
    <s v="Q2FY26"/>
    <s v="31-Mar-2026"/>
    <s v="Tuesday"/>
    <s v="Monthly - Tuesday"/>
    <s v="Monthly - Tuesday"/>
    <s v="Month+6 Expiry"/>
    <n v="70"/>
    <n v="0.1459"/>
    <n v="0.0034"/>
  </r>
  <r>
    <s v="17-Sep-2025"/>
    <x v="2"/>
    <s v="Week3-Sep-2025"/>
    <x v="0"/>
    <s v="Q2FY26"/>
    <s v="30-Jun-2026"/>
    <s v="Tuesday"/>
    <s v="Monthly - Tuesday"/>
    <s v="Monthly - Tuesday"/>
    <s v="Month+9 Expiry"/>
    <n v="0"/>
    <n v="0"/>
    <n v="0"/>
  </r>
  <r>
    <s v="18-Sep-2025"/>
    <x v="3"/>
    <s v="Week3-Sep-2025"/>
    <x v="0"/>
    <s v="Q2FY26"/>
    <s v="30-Sep-2025"/>
    <s v="Tuesday"/>
    <s v="Monthly - Tuesday"/>
    <s v="Monthly - Tuesday"/>
    <s v="Same Month Expiry"/>
    <n v="4534462"/>
    <n v="8811.864299999999"/>
    <n v="42.1655"/>
  </r>
  <r>
    <s v="18-Sep-2025"/>
    <x v="3"/>
    <s v="Week3-Sep-2025"/>
    <x v="0"/>
    <s v="Q2FY26"/>
    <s v="28-Oct-2025"/>
    <s v="Tuesday"/>
    <s v="Monthly - Tuesday"/>
    <s v="Monthly - Tuesday"/>
    <s v="Month+1 Expiry"/>
    <n v="131399"/>
    <n v="258.2649"/>
    <n v="2.2279"/>
  </r>
  <r>
    <s v="18-Sep-2025"/>
    <x v="3"/>
    <s v="Week3-Sep-2025"/>
    <x v="0"/>
    <s v="Q2FY26"/>
    <s v="25-Nov-2025"/>
    <s v="Tuesday"/>
    <s v="Monthly - Tuesday"/>
    <s v="Monthly - Tuesday"/>
    <s v="Month+2 Expiry"/>
    <n v="4016"/>
    <n v="7.785"/>
    <n v="0.0839"/>
  </r>
  <r>
    <s v="18-Sep-2025"/>
    <x v="3"/>
    <s v="Week3-Sep-2025"/>
    <x v="0"/>
    <s v="Q2FY26"/>
    <s v="30-Dec-2025"/>
    <s v="Tuesday"/>
    <s v="Monthly - Tuesday"/>
    <s v="Monthly - Tuesday"/>
    <s v="Month+3 Expiry"/>
    <n v="4726"/>
    <n v="9.3294"/>
    <n v="0.1185"/>
  </r>
  <r>
    <s v="18-Sep-2025"/>
    <x v="3"/>
    <s v="Week3-Sep-2025"/>
    <x v="0"/>
    <s v="Q2FY26"/>
    <s v="31-Mar-2026"/>
    <s v="Tuesday"/>
    <s v="Monthly - Tuesday"/>
    <s v="Monthly - Tuesday"/>
    <s v="Month+6 Expiry"/>
    <n v="155"/>
    <n v="0.3239"/>
    <n v="0.0078"/>
  </r>
  <r>
    <s v="18-Sep-2025"/>
    <x v="3"/>
    <s v="Week3-Sep-2025"/>
    <x v="0"/>
    <s v="Q2FY26"/>
    <s v="30-Jun-2026"/>
    <s v="Tuesday"/>
    <s v="Monthly - Tuesday"/>
    <s v="Monthly - Tuesday"/>
    <s v="Month+9 Expiry"/>
    <n v="0"/>
    <n v="0"/>
    <n v="0"/>
  </r>
  <r>
    <s v="19-Sep-2025"/>
    <x v="4"/>
    <s v="Week3-Sep-2025"/>
    <x v="0"/>
    <s v="Q2FY26"/>
    <s v="30-Sep-2025"/>
    <s v="Tuesday"/>
    <s v="Monthly - Tuesday"/>
    <s v="Monthly - Tuesday"/>
    <s v="Same Month Expiry"/>
    <n v="4276939"/>
    <n v="8294.0682"/>
    <n v="37.6788"/>
  </r>
  <r>
    <s v="19-Sep-2025"/>
    <x v="4"/>
    <s v="Week3-Sep-2025"/>
    <x v="0"/>
    <s v="Q2FY26"/>
    <s v="28-Oct-2025"/>
    <s v="Tuesday"/>
    <s v="Monthly - Tuesday"/>
    <s v="Monthly - Tuesday"/>
    <s v="Month+1 Expiry"/>
    <n v="95212"/>
    <n v="186.6725"/>
    <n v="1.5823"/>
  </r>
  <r>
    <s v="19-Sep-2025"/>
    <x v="4"/>
    <s v="Week3-Sep-2025"/>
    <x v="0"/>
    <s v="Q2FY26"/>
    <s v="25-Nov-2025"/>
    <s v="Tuesday"/>
    <s v="Monthly - Tuesday"/>
    <s v="Monthly - Tuesday"/>
    <s v="Month+2 Expiry"/>
    <n v="2021"/>
    <n v="3.9345"/>
    <n v="0.0393"/>
  </r>
  <r>
    <s v="19-Sep-2025"/>
    <x v="4"/>
    <s v="Week3-Sep-2025"/>
    <x v="0"/>
    <s v="Q2FY26"/>
    <s v="30-Dec-2025"/>
    <s v="Tuesday"/>
    <s v="Monthly - Tuesday"/>
    <s v="Monthly - Tuesday"/>
    <s v="Month+3 Expiry"/>
    <n v="1793"/>
    <n v="3.5728"/>
    <n v="0.0472"/>
  </r>
  <r>
    <s v="19-Sep-2025"/>
    <x v="4"/>
    <s v="Week3-Sep-2025"/>
    <x v="0"/>
    <s v="Q2FY26"/>
    <s v="31-Mar-2026"/>
    <s v="Tuesday"/>
    <s v="Monthly - Tuesday"/>
    <s v="Monthly - Tuesday"/>
    <s v="Month+6 Expiry"/>
    <n v="87"/>
    <n v="0.1816"/>
    <n v="0.0044"/>
  </r>
  <r>
    <s v="19-Sep-2025"/>
    <x v="4"/>
    <s v="Week3-Sep-2025"/>
    <x v="0"/>
    <s v="Q2FY26"/>
    <s v="30-Jun-2026"/>
    <s v="Tuesday"/>
    <s v="Monthly - Tuesday"/>
    <s v="Monthly - Tuesday"/>
    <s v="Month+9 Expiry"/>
    <n v="0"/>
    <n v="0"/>
    <n v="0"/>
  </r>
  <r>
    <s v="22-Sep-2025"/>
    <x v="0"/>
    <s v="Week4-Sep-2025"/>
    <x v="0"/>
    <s v="Q2FY26"/>
    <s v="30-Sep-2025"/>
    <s v="Tuesday"/>
    <s v="Monthly - Tuesday"/>
    <s v="Monthly - Tuesday"/>
    <s v="Same Month Expiry"/>
    <n v="4695908"/>
    <n v="9110.084500000001"/>
    <n v="38.4408"/>
  </r>
  <r>
    <s v="22-Sep-2025"/>
    <x v="0"/>
    <s v="Week4-Sep-2025"/>
    <x v="0"/>
    <s v="Q2FY26"/>
    <s v="28-Oct-2025"/>
    <s v="Tuesday"/>
    <s v="Monthly - Tuesday"/>
    <s v="Monthly - Tuesday"/>
    <s v="Month+1 Expiry"/>
    <n v="136773"/>
    <n v="267.7661"/>
    <n v="2.2623"/>
  </r>
  <r>
    <s v="22-Sep-2025"/>
    <x v="0"/>
    <s v="Week4-Sep-2025"/>
    <x v="0"/>
    <s v="Q2FY26"/>
    <s v="25-Nov-2025"/>
    <s v="Tuesday"/>
    <s v="Monthly - Tuesday"/>
    <s v="Monthly - Tuesday"/>
    <s v="Month+2 Expiry"/>
    <n v="3032"/>
    <n v="5.903"/>
    <n v="0.0595"/>
  </r>
  <r>
    <s v="22-Sep-2025"/>
    <x v="0"/>
    <s v="Week4-Sep-2025"/>
    <x v="0"/>
    <s v="Q2FY26"/>
    <s v="30-Dec-2025"/>
    <s v="Tuesday"/>
    <s v="Monthly - Tuesday"/>
    <s v="Monthly - Tuesday"/>
    <s v="Month+3 Expiry"/>
    <n v="1819"/>
    <n v="3.6093"/>
    <n v="0.0396"/>
  </r>
  <r>
    <s v="22-Sep-2025"/>
    <x v="0"/>
    <s v="Week4-Sep-2025"/>
    <x v="0"/>
    <s v="Q2FY26"/>
    <s v="31-Mar-2026"/>
    <s v="Tuesday"/>
    <s v="Monthly - Tuesday"/>
    <s v="Monthly - Tuesday"/>
    <s v="Month+6 Expiry"/>
    <n v="34"/>
    <n v="0.0703"/>
    <n v="0.0021"/>
  </r>
  <r>
    <s v="22-Sep-2025"/>
    <x v="0"/>
    <s v="Week4-Sep-2025"/>
    <x v="0"/>
    <s v="Q2FY26"/>
    <s v="30-Jun-2026"/>
    <s v="Tuesday"/>
    <s v="Monthly - Tuesday"/>
    <s v="Monthly - Tuesday"/>
    <s v="Month+9 Expiry"/>
    <n v="0"/>
    <n v="0"/>
    <n v="0"/>
  </r>
  <r>
    <s v="23-Sep-2025"/>
    <x v="1"/>
    <s v="Week4-Sep-2025"/>
    <x v="0"/>
    <s v="Q2FY26"/>
    <s v="30-Sep-2025"/>
    <s v="Tuesday"/>
    <s v="Monthly - Tuesday"/>
    <s v="Monthly - Tuesday"/>
    <s v="Same Month Expiry"/>
    <n v="5254990"/>
    <n v="10179.5141"/>
    <n v="39.7639"/>
  </r>
  <r>
    <s v="23-Sep-2025"/>
    <x v="1"/>
    <s v="Week4-Sep-2025"/>
    <x v="0"/>
    <s v="Q2FY26"/>
    <s v="28-Oct-2025"/>
    <s v="Tuesday"/>
    <s v="Monthly - Tuesday"/>
    <s v="Monthly - Tuesday"/>
    <s v="Month+1 Expiry"/>
    <n v="162251"/>
    <n v="317.6968"/>
    <n v="2.6866"/>
  </r>
  <r>
    <s v="23-Sep-2025"/>
    <x v="1"/>
    <s v="Week4-Sep-2025"/>
    <x v="0"/>
    <s v="Q2FY26"/>
    <s v="25-Nov-2025"/>
    <s v="Tuesday"/>
    <s v="Monthly - Tuesday"/>
    <s v="Monthly - Tuesday"/>
    <s v="Month+2 Expiry"/>
    <n v="3541"/>
    <n v="6.8985"/>
    <n v="0.06710000000000001"/>
  </r>
  <r>
    <s v="23-Sep-2025"/>
    <x v="1"/>
    <s v="Week4-Sep-2025"/>
    <x v="0"/>
    <s v="Q2FY26"/>
    <s v="30-Dec-2025"/>
    <s v="Tuesday"/>
    <s v="Monthly - Tuesday"/>
    <s v="Monthly - Tuesday"/>
    <s v="Month+3 Expiry"/>
    <n v="2155"/>
    <n v="4.2961"/>
    <n v="0.0549"/>
  </r>
  <r>
    <s v="23-Sep-2025"/>
    <x v="1"/>
    <s v="Week4-Sep-2025"/>
    <x v="0"/>
    <s v="Q2FY26"/>
    <s v="31-Mar-2026"/>
    <s v="Tuesday"/>
    <s v="Monthly - Tuesday"/>
    <s v="Monthly - Tuesday"/>
    <s v="Month+6 Expiry"/>
    <n v="201"/>
    <n v="0.4153"/>
    <n v="0.0124"/>
  </r>
  <r>
    <s v="23-Sep-2025"/>
    <x v="1"/>
    <s v="Week4-Sep-2025"/>
    <x v="0"/>
    <s v="Q2FY26"/>
    <s v="30-Jun-2026"/>
    <s v="Tuesday"/>
    <s v="Monthly - Tuesday"/>
    <s v="Monthly - Tuesday"/>
    <s v="Month+9 Expiry"/>
    <n v="0"/>
    <n v="0"/>
    <n v="0"/>
  </r>
  <r>
    <s v="24-Sep-2025"/>
    <x v="2"/>
    <s v="Week4-Sep-2025"/>
    <x v="0"/>
    <s v="Q2FY26"/>
    <s v="30-Sep-2025"/>
    <s v="Tuesday"/>
    <s v="Monthly - Tuesday"/>
    <s v="Monthly - Tuesday"/>
    <s v="Same Month Expiry"/>
    <n v="8230927"/>
    <n v="15880.9611"/>
    <n v="53.1202"/>
  </r>
  <r>
    <s v="24-Sep-2025"/>
    <x v="2"/>
    <s v="Week4-Sep-2025"/>
    <x v="0"/>
    <s v="Q2FY26"/>
    <s v="28-Oct-2025"/>
    <s v="Tuesday"/>
    <s v="Monthly - Tuesday"/>
    <s v="Monthly - Tuesday"/>
    <s v="Month+1 Expiry"/>
    <n v="210834"/>
    <n v="412.2724"/>
    <n v="3.5888"/>
  </r>
  <r>
    <s v="24-Sep-2025"/>
    <x v="2"/>
    <s v="Week4-Sep-2025"/>
    <x v="0"/>
    <s v="Q2FY26"/>
    <s v="25-Nov-2025"/>
    <s v="Tuesday"/>
    <s v="Monthly - Tuesday"/>
    <s v="Monthly - Tuesday"/>
    <s v="Month+2 Expiry"/>
    <n v="4862"/>
    <n v="9.464399999999999"/>
    <n v="0.08550000000000001"/>
  </r>
  <r>
    <s v="24-Sep-2025"/>
    <x v="2"/>
    <s v="Week4-Sep-2025"/>
    <x v="0"/>
    <s v="Q2FY26"/>
    <s v="30-Dec-2025"/>
    <s v="Tuesday"/>
    <s v="Monthly - Tuesday"/>
    <s v="Monthly - Tuesday"/>
    <s v="Month+3 Expiry"/>
    <n v="2084"/>
    <n v="4.1545"/>
    <n v="0.0484"/>
  </r>
  <r>
    <s v="24-Sep-2025"/>
    <x v="2"/>
    <s v="Week4-Sep-2025"/>
    <x v="0"/>
    <s v="Q2FY26"/>
    <s v="31-Mar-2026"/>
    <s v="Tuesday"/>
    <s v="Monthly - Tuesday"/>
    <s v="Monthly - Tuesday"/>
    <s v="Month+6 Expiry"/>
    <n v="100"/>
    <n v="0.2071"/>
    <n v="0.0061"/>
  </r>
  <r>
    <s v="24-Sep-2025"/>
    <x v="2"/>
    <s v="Week4-Sep-2025"/>
    <x v="0"/>
    <s v="Q2FY26"/>
    <s v="30-Jun-2026"/>
    <s v="Tuesday"/>
    <s v="Monthly - Tuesday"/>
    <s v="Monthly - Tuesday"/>
    <s v="Month+9 Expiry"/>
    <n v="0"/>
    <n v="0"/>
    <n v="0"/>
  </r>
  <r>
    <s v="25-Sep-2025"/>
    <x v="3"/>
    <s v="Week4-Sep-2025"/>
    <x v="0"/>
    <s v="Q2FY26"/>
    <s v="30-Sep-2025"/>
    <s v="Tuesday"/>
    <s v="Monthly - Tuesday"/>
    <s v="Monthly - Tuesday"/>
    <s v="Same Month Expiry"/>
    <n v="8655021"/>
    <n v="16673.168"/>
    <n v="50.6993"/>
  </r>
  <r>
    <s v="25-Sep-2025"/>
    <x v="3"/>
    <s v="Week4-Sep-2025"/>
    <x v="0"/>
    <s v="Q2FY26"/>
    <s v="28-Oct-2025"/>
    <s v="Tuesday"/>
    <s v="Monthly - Tuesday"/>
    <s v="Monthly - Tuesday"/>
    <s v="Month+1 Expiry"/>
    <n v="229999"/>
    <n v="447.3314"/>
    <n v="4.1256"/>
  </r>
  <r>
    <s v="25-Sep-2025"/>
    <x v="3"/>
    <s v="Week4-Sep-2025"/>
    <x v="0"/>
    <s v="Q2FY26"/>
    <s v="25-Nov-2025"/>
    <s v="Tuesday"/>
    <s v="Monthly - Tuesday"/>
    <s v="Monthly - Tuesday"/>
    <s v="Month+2 Expiry"/>
    <n v="4065"/>
    <n v="7.8798"/>
    <n v="0.076"/>
  </r>
  <r>
    <s v="25-Sep-2025"/>
    <x v="3"/>
    <s v="Week4-Sep-2025"/>
    <x v="0"/>
    <s v="Q2FY26"/>
    <s v="30-Dec-2025"/>
    <s v="Tuesday"/>
    <s v="Monthly - Tuesday"/>
    <s v="Monthly - Tuesday"/>
    <s v="Month+3 Expiry"/>
    <n v="1708"/>
    <n v="3.4037"/>
    <n v="0.0434"/>
  </r>
  <r>
    <s v="25-Sep-2025"/>
    <x v="3"/>
    <s v="Week4-Sep-2025"/>
    <x v="0"/>
    <s v="Q2FY26"/>
    <s v="31-Mar-2026"/>
    <s v="Tuesday"/>
    <s v="Monthly - Tuesday"/>
    <s v="Monthly - Tuesday"/>
    <s v="Month+6 Expiry"/>
    <n v="93"/>
    <n v="0.193"/>
    <n v="0.005"/>
  </r>
  <r>
    <s v="25-Sep-2025"/>
    <x v="3"/>
    <s v="Week4-Sep-2025"/>
    <x v="0"/>
    <s v="Q2FY26"/>
    <s v="30-Jun-2026"/>
    <s v="Tuesday"/>
    <s v="Monthly - Tuesday"/>
    <s v="Monthly - Tuesday"/>
    <s v="Month+9 Expiry"/>
    <n v="0"/>
    <n v="0"/>
    <n v="0"/>
  </r>
  <r>
    <s v="26-Sep-2025"/>
    <x v="4"/>
    <s v="Week4-Sep-2025"/>
    <x v="0"/>
    <s v="Q2FY26"/>
    <s v="30-Sep-2025"/>
    <s v="Tuesday"/>
    <s v="Monthly - Tuesday"/>
    <s v="Monthly - Tuesday"/>
    <s v="Same Month Expiry"/>
    <n v="15559407"/>
    <n v="29538.8334"/>
    <n v="79.79819999999999"/>
  </r>
  <r>
    <s v="26-Sep-2025"/>
    <x v="4"/>
    <s v="Week4-Sep-2025"/>
    <x v="0"/>
    <s v="Q2FY26"/>
    <s v="28-Oct-2025"/>
    <s v="Tuesday"/>
    <s v="Monthly - Tuesday"/>
    <s v="Monthly - Tuesday"/>
    <s v="Month+1 Expiry"/>
    <n v="458425"/>
    <n v="887.954"/>
    <n v="8.023899999999999"/>
  </r>
  <r>
    <s v="26-Sep-2025"/>
    <x v="4"/>
    <s v="Week4-Sep-2025"/>
    <x v="0"/>
    <s v="Q2FY26"/>
    <s v="25-Nov-2025"/>
    <s v="Tuesday"/>
    <s v="Monthly - Tuesday"/>
    <s v="Monthly - Tuesday"/>
    <s v="Month+2 Expiry"/>
    <n v="12857"/>
    <n v="25.0482"/>
    <n v="0.2656"/>
  </r>
  <r>
    <s v="26-Sep-2025"/>
    <x v="4"/>
    <s v="Week4-Sep-2025"/>
    <x v="0"/>
    <s v="Q2FY26"/>
    <s v="30-Dec-2025"/>
    <s v="Tuesday"/>
    <s v="Monthly - Tuesday"/>
    <s v="Monthly - Tuesday"/>
    <s v="Month+3 Expiry"/>
    <n v="5665"/>
    <n v="11.2906"/>
    <n v="0.1509"/>
  </r>
  <r>
    <s v="26-Sep-2025"/>
    <x v="4"/>
    <s v="Week4-Sep-2025"/>
    <x v="0"/>
    <s v="Q2FY26"/>
    <s v="31-Mar-2026"/>
    <s v="Tuesday"/>
    <s v="Monthly - Tuesday"/>
    <s v="Monthly - Tuesday"/>
    <s v="Month+6 Expiry"/>
    <n v="201"/>
    <n v="0.4206"/>
    <n v="0.0072"/>
  </r>
  <r>
    <s v="26-Sep-2025"/>
    <x v="4"/>
    <s v="Week4-Sep-2025"/>
    <x v="0"/>
    <s v="Q2FY26"/>
    <s v="30-Jun-2026"/>
    <s v="Tuesday"/>
    <s v="Monthly - Tuesday"/>
    <s v="Monthly - Tuesday"/>
    <s v="Month+9 Expiry"/>
    <n v="0"/>
    <n v="0"/>
    <n v="0"/>
  </r>
  <r>
    <s v="29-Sep-2025"/>
    <x v="0"/>
    <s v="Week5-Sep-2025"/>
    <x v="0"/>
    <s v="Q2FY26"/>
    <s v="30-Sep-2025"/>
    <s v="Tuesday"/>
    <s v="Monthly - Tuesday"/>
    <s v="Monthly - Tuesday"/>
    <s v="Same Month Expiry"/>
    <n v="27075109"/>
    <n v="51067.5075"/>
    <n v="108.0776"/>
  </r>
  <r>
    <s v="29-Sep-2025"/>
    <x v="0"/>
    <s v="Week5-Sep-2025"/>
    <x v="0"/>
    <s v="Q2FY26"/>
    <s v="28-Oct-2025"/>
    <s v="Tuesday"/>
    <s v="Monthly - Tuesday"/>
    <s v="Monthly - Tuesday"/>
    <s v="Month+1 Expiry"/>
    <n v="502600"/>
    <n v="971.2386"/>
    <n v="9.3675"/>
  </r>
  <r>
    <s v="29-Sep-2025"/>
    <x v="0"/>
    <s v="Week5-Sep-2025"/>
    <x v="0"/>
    <s v="Q2FY26"/>
    <s v="25-Nov-2025"/>
    <s v="Tuesday"/>
    <s v="Monthly - Tuesday"/>
    <s v="Monthly - Tuesday"/>
    <s v="Month+2 Expiry"/>
    <n v="9914"/>
    <n v="19.2653"/>
    <n v="0.2083"/>
  </r>
  <r>
    <s v="29-Sep-2025"/>
    <x v="0"/>
    <s v="Week5-Sep-2025"/>
    <x v="0"/>
    <s v="Q2FY26"/>
    <s v="30-Dec-2025"/>
    <s v="Tuesday"/>
    <s v="Monthly - Tuesday"/>
    <s v="Monthly - Tuesday"/>
    <s v="Month+3 Expiry"/>
    <n v="3166"/>
    <n v="6.3169"/>
    <n v="0.08459999999999999"/>
  </r>
  <r>
    <s v="29-Sep-2025"/>
    <x v="0"/>
    <s v="Week5-Sep-2025"/>
    <x v="0"/>
    <s v="Q2FY26"/>
    <s v="31-Mar-2026"/>
    <s v="Tuesday"/>
    <s v="Monthly - Tuesday"/>
    <s v="Monthly - Tuesday"/>
    <s v="Month+6 Expiry"/>
    <n v="118"/>
    <n v="0.2465"/>
    <n v="0.0041"/>
  </r>
  <r>
    <s v="29-Sep-2025"/>
    <x v="0"/>
    <s v="Week5-Sep-2025"/>
    <x v="0"/>
    <s v="Q2FY26"/>
    <s v="30-Jun-2026"/>
    <s v="Tuesday"/>
    <s v="Monthly - Tuesday"/>
    <s v="Monthly - Tuesday"/>
    <s v="Month+9 Expiry"/>
    <n v="0"/>
    <n v="0"/>
    <n v="0"/>
  </r>
  <r>
    <s v="30-Sep-2025"/>
    <x v="1"/>
    <s v="Week5-Sep-2025"/>
    <x v="0"/>
    <s v="Q2FY26"/>
    <s v="30-Sep-2025"/>
    <s v="Tuesday"/>
    <s v="Monthly - Tuesday"/>
    <s v="Monthly - Tuesday"/>
    <s v="Same Month Expiry"/>
    <n v="77935545"/>
    <n v="146734.5691"/>
    <n v="144.701"/>
  </r>
  <r>
    <s v="30-Sep-2025"/>
    <x v="1"/>
    <s v="Week5-Sep-2025"/>
    <x v="0"/>
    <s v="Q2FY26"/>
    <s v="28-Oct-2025"/>
    <s v="Tuesday"/>
    <s v="Monthly - Tuesday"/>
    <s v="Monthly - Tuesday"/>
    <s v="Month+1 Expiry"/>
    <n v="703306"/>
    <n v="1355.1977"/>
    <n v="11.7975"/>
  </r>
  <r>
    <s v="30-Sep-2025"/>
    <x v="1"/>
    <s v="Week5-Sep-2025"/>
    <x v="0"/>
    <s v="Q2FY26"/>
    <s v="25-Nov-2025"/>
    <s v="Tuesday"/>
    <s v="Monthly - Tuesday"/>
    <s v="Monthly - Tuesday"/>
    <s v="Month+2 Expiry"/>
    <n v="7401"/>
    <n v="14.3143"/>
    <n v="0.1646"/>
  </r>
  <r>
    <s v="30-Sep-2025"/>
    <x v="1"/>
    <s v="Week5-Sep-2025"/>
    <x v="0"/>
    <s v="Q2FY26"/>
    <s v="30-Dec-2025"/>
    <s v="Tuesday"/>
    <s v="Monthly - Tuesday"/>
    <s v="Monthly - Tuesday"/>
    <s v="Month+3 Expiry"/>
    <n v="2577"/>
    <n v="5.1074"/>
    <n v="0.08359999999999999"/>
  </r>
  <r>
    <s v="30-Sep-2025"/>
    <x v="1"/>
    <s v="Week5-Sep-2025"/>
    <x v="0"/>
    <s v="Q2FY26"/>
    <s v="31-Mar-2026"/>
    <s v="Tuesday"/>
    <s v="Monthly - Tuesday"/>
    <s v="Monthly - Tuesday"/>
    <s v="Month+6 Expiry"/>
    <n v="79"/>
    <n v="0.1647"/>
    <n v="0.003"/>
  </r>
  <r>
    <s v="30-Sep-2025"/>
    <x v="1"/>
    <s v="Week5-Sep-2025"/>
    <x v="0"/>
    <s v="Q2FY26"/>
    <s v="30-Jun-2026"/>
    <s v="Tuesday"/>
    <s v="Monthly - Tuesday"/>
    <s v="Monthly - Tuesday"/>
    <s v="Month+9 Expiry"/>
    <n v="0"/>
    <n v="0"/>
    <n v="0"/>
  </r>
  <r>
    <s v="01-Oct-2025"/>
    <x v="2"/>
    <s v="Week1-Oct-2025"/>
    <x v="1"/>
    <s v="Q3FY26"/>
    <s v="28-Oct-2025"/>
    <s v="Tuesday"/>
    <s v="Monthly - Tuesday"/>
    <s v="Monthly - Tuesday"/>
    <s v="Same Month Expiry"/>
    <n v="3418398"/>
    <n v="6622.703"/>
    <n v="50.3848"/>
  </r>
  <r>
    <s v="01-Oct-2025"/>
    <x v="2"/>
    <s v="Week1-Oct-2025"/>
    <x v="1"/>
    <s v="Q3FY26"/>
    <s v="25-Nov-2025"/>
    <s v="Tuesday"/>
    <s v="Monthly - Tuesday"/>
    <s v="Monthly - Tuesday"/>
    <s v="Month+1 Expiry"/>
    <n v="23611"/>
    <n v="46.0856"/>
    <n v="0.5162"/>
  </r>
  <r>
    <s v="01-Oct-2025"/>
    <x v="2"/>
    <s v="Week1-Oct-2025"/>
    <x v="1"/>
    <s v="Q3FY26"/>
    <s v="30-Dec-2025"/>
    <s v="Tuesday"/>
    <s v="Monthly - Tuesday"/>
    <s v="Monthly - Tuesday"/>
    <s v="Month+2 Expiry"/>
    <n v="6012"/>
    <n v="12.0028"/>
    <n v="0.1618"/>
  </r>
  <r>
    <s v="01-Oct-2025"/>
    <x v="2"/>
    <s v="Week1-Oct-2025"/>
    <x v="1"/>
    <s v="Q3FY26"/>
    <s v="31-Mar-2026"/>
    <s v="Tuesday"/>
    <s v="Monthly - Tuesday"/>
    <s v="Monthly - Tuesday"/>
    <s v="Month+5 Expiry"/>
    <n v="185"/>
    <n v="0.388"/>
    <n v="0.0067"/>
  </r>
  <r>
    <s v="01-Oct-2025"/>
    <x v="2"/>
    <s v="Week1-Oct-2025"/>
    <x v="1"/>
    <s v="Q3FY26"/>
    <s v="30-Jun-2026"/>
    <s v="Tuesday"/>
    <s v="Monthly - Tuesday"/>
    <s v="Monthly - Tuesday"/>
    <s v="Month+8 Expiry"/>
    <n v="0"/>
    <n v="0"/>
    <n v="0"/>
  </r>
  <r>
    <s v="01-Oct-2025"/>
    <x v="2"/>
    <s v="Week1-Oct-2025"/>
    <x v="1"/>
    <s v="Q3FY26"/>
    <s v="29-Sep-2026"/>
    <s v="Tuesday"/>
    <s v="Monthly - Tuesday"/>
    <s v="Monthly - Tuesday"/>
    <s v="Month+11 Expiry"/>
    <n v="0"/>
    <n v="0"/>
    <n v="0"/>
  </r>
  <r>
    <s v="03-Oct-2025"/>
    <x v="4"/>
    <s v="Week1-Oct-2025"/>
    <x v="1"/>
    <s v="Q3FY26"/>
    <s v="28-Oct-2025"/>
    <s v="Tuesday"/>
    <s v="Monthly - Tuesday"/>
    <s v="Monthly - Tuesday"/>
    <s v="Same Month Expiry"/>
    <n v="2480760"/>
    <n v="4817.4319"/>
    <n v="35.5973"/>
  </r>
  <r>
    <s v="03-Oct-2025"/>
    <x v="4"/>
    <s v="Week1-Oct-2025"/>
    <x v="1"/>
    <s v="Q3FY26"/>
    <s v="25-Nov-2025"/>
    <s v="Tuesday"/>
    <s v="Monthly - Tuesday"/>
    <s v="Monthly - Tuesday"/>
    <s v="Month+1 Expiry"/>
    <n v="24070"/>
    <n v="46.7797"/>
    <n v="0.4472"/>
  </r>
  <r>
    <s v="03-Oct-2025"/>
    <x v="4"/>
    <s v="Week1-Oct-2025"/>
    <x v="1"/>
    <s v="Q3FY26"/>
    <s v="30-Dec-2025"/>
    <s v="Tuesday"/>
    <s v="Monthly - Tuesday"/>
    <s v="Monthly - Tuesday"/>
    <s v="Month+2 Expiry"/>
    <n v="4540"/>
    <n v="8.964499999999999"/>
    <n v="0.1183"/>
  </r>
  <r>
    <s v="03-Oct-2025"/>
    <x v="4"/>
    <s v="Week1-Oct-2025"/>
    <x v="1"/>
    <s v="Q3FY26"/>
    <s v="31-Mar-2026"/>
    <s v="Tuesday"/>
    <s v="Monthly - Tuesday"/>
    <s v="Monthly - Tuesday"/>
    <s v="Month+5 Expiry"/>
    <n v="55"/>
    <n v="0.1144"/>
    <n v="0.0026"/>
  </r>
  <r>
    <s v="03-Oct-2025"/>
    <x v="4"/>
    <s v="Week1-Oct-2025"/>
    <x v="1"/>
    <s v="Q3FY26"/>
    <s v="30-Jun-2026"/>
    <s v="Tuesday"/>
    <s v="Monthly - Tuesday"/>
    <s v="Monthly - Tuesday"/>
    <s v="Month+8 Expiry"/>
    <n v="0"/>
    <n v="0"/>
    <n v="0"/>
  </r>
  <r>
    <s v="03-Oct-2025"/>
    <x v="4"/>
    <s v="Week1-Oct-2025"/>
    <x v="1"/>
    <s v="Q3FY26"/>
    <s v="29-Sep-2026"/>
    <s v="Tuesday"/>
    <s v="Monthly - Tuesday"/>
    <s v="Monthly - Tuesday"/>
    <s v="Month+11 Expiry"/>
    <n v="0"/>
    <n v="0"/>
    <n v="0"/>
  </r>
  <r>
    <s v="06-Oct-2025"/>
    <x v="0"/>
    <s v="Week1-Oct-2025"/>
    <x v="1"/>
    <s v="Q3FY26"/>
    <s v="28-Oct-2025"/>
    <s v="Tuesday"/>
    <s v="Monthly - Tuesday"/>
    <s v="Monthly - Tuesday"/>
    <s v="Same Month Expiry"/>
    <n v="2876686"/>
    <n v="5617.0957"/>
    <n v="36.0748"/>
  </r>
  <r>
    <s v="06-Oct-2025"/>
    <x v="0"/>
    <s v="Week1-Oct-2025"/>
    <x v="1"/>
    <s v="Q3FY26"/>
    <s v="25-Nov-2025"/>
    <s v="Tuesday"/>
    <s v="Monthly - Tuesday"/>
    <s v="Monthly - Tuesday"/>
    <s v="Month+1 Expiry"/>
    <n v="35975"/>
    <n v="70.57429999999999"/>
    <n v="0.6666"/>
  </r>
  <r>
    <s v="06-Oct-2025"/>
    <x v="0"/>
    <s v="Week1-Oct-2025"/>
    <x v="1"/>
    <s v="Q3FY26"/>
    <s v="30-Dec-2025"/>
    <s v="Tuesday"/>
    <s v="Monthly - Tuesday"/>
    <s v="Monthly - Tuesday"/>
    <s v="Month+2 Expiry"/>
    <n v="9736"/>
    <n v="19.1345"/>
    <n v="0.2422"/>
  </r>
  <r>
    <s v="06-Oct-2025"/>
    <x v="0"/>
    <s v="Week1-Oct-2025"/>
    <x v="1"/>
    <s v="Q3FY26"/>
    <s v="31-Mar-2026"/>
    <s v="Tuesday"/>
    <s v="Monthly - Tuesday"/>
    <s v="Monthly - Tuesday"/>
    <s v="Month+5 Expiry"/>
    <n v="164"/>
    <n v="0.3422"/>
    <n v="0.0081"/>
  </r>
  <r>
    <s v="06-Oct-2025"/>
    <x v="0"/>
    <s v="Week1-Oct-2025"/>
    <x v="1"/>
    <s v="Q3FY26"/>
    <s v="30-Jun-2026"/>
    <s v="Tuesday"/>
    <s v="Monthly - Tuesday"/>
    <s v="Monthly - Tuesday"/>
    <s v="Month+8 Expiry"/>
    <n v="0"/>
    <n v="0"/>
    <n v="0"/>
  </r>
  <r>
    <s v="06-Oct-2025"/>
    <x v="0"/>
    <s v="Week1-Oct-2025"/>
    <x v="1"/>
    <s v="Q3FY26"/>
    <s v="29-Sep-2026"/>
    <s v="Tuesday"/>
    <s v="Monthly - Tuesday"/>
    <s v="Monthly - Tuesday"/>
    <s v="Month+11 Expiry"/>
    <n v="0"/>
    <n v="0"/>
    <n v="0"/>
  </r>
  <r>
    <s v="07-Oct-2025"/>
    <x v="1"/>
    <s v="Week1-Oct-2025"/>
    <x v="1"/>
    <s v="Q3FY26"/>
    <s v="28-Oct-2025"/>
    <s v="Tuesday"/>
    <s v="Monthly - Tuesday"/>
    <s v="Monthly - Tuesday"/>
    <s v="Same Month Expiry"/>
    <n v="2903786"/>
    <n v="5708.1586"/>
    <n v="37.7032"/>
  </r>
  <r>
    <s v="07-Oct-2025"/>
    <x v="1"/>
    <s v="Week1-Oct-2025"/>
    <x v="1"/>
    <s v="Q3FY26"/>
    <s v="25-Nov-2025"/>
    <s v="Tuesday"/>
    <s v="Monthly - Tuesday"/>
    <s v="Monthly - Tuesday"/>
    <s v="Month+1 Expiry"/>
    <n v="40257"/>
    <n v="80.28149999999999"/>
    <n v="0.7597"/>
  </r>
  <r>
    <s v="07-Oct-2025"/>
    <x v="1"/>
    <s v="Week1-Oct-2025"/>
    <x v="1"/>
    <s v="Q3FY26"/>
    <s v="30-Dec-2025"/>
    <s v="Tuesday"/>
    <s v="Monthly - Tuesday"/>
    <s v="Monthly - Tuesday"/>
    <s v="Month+2 Expiry"/>
    <n v="6664"/>
    <n v="13.2879"/>
    <n v="0.1403"/>
  </r>
  <r>
    <s v="07-Oct-2025"/>
    <x v="1"/>
    <s v="Week1-Oct-2025"/>
    <x v="1"/>
    <s v="Q3FY26"/>
    <s v="31-Mar-2026"/>
    <s v="Tuesday"/>
    <s v="Monthly - Tuesday"/>
    <s v="Monthly - Tuesday"/>
    <s v="Month+5 Expiry"/>
    <n v="245"/>
    <n v="0.5122"/>
    <n v="0.0123"/>
  </r>
  <r>
    <s v="07-Oct-2025"/>
    <x v="1"/>
    <s v="Week1-Oct-2025"/>
    <x v="1"/>
    <s v="Q3FY26"/>
    <s v="30-Jun-2026"/>
    <s v="Tuesday"/>
    <s v="Monthly - Tuesday"/>
    <s v="Monthly - Tuesday"/>
    <s v="Month+8 Expiry"/>
    <n v="0"/>
    <n v="0"/>
    <n v="0"/>
  </r>
  <r>
    <s v="07-Oct-2025"/>
    <x v="1"/>
    <s v="Week1-Oct-2025"/>
    <x v="1"/>
    <s v="Q3FY26"/>
    <s v="29-Sep-2026"/>
    <s v="Tuesday"/>
    <s v="Monthly - Tuesday"/>
    <s v="Monthly - Tuesday"/>
    <s v="Month+11 Expiry"/>
    <n v="0"/>
    <n v="0"/>
    <n v="0"/>
  </r>
  <r>
    <s v="08-Oct-2025"/>
    <x v="2"/>
    <s v="Week2-Oct-2025"/>
    <x v="1"/>
    <s v="Q3FY26"/>
    <s v="28-Oct-2025"/>
    <s v="Tuesday"/>
    <s v="Monthly - Tuesday"/>
    <s v="Monthly - Tuesday"/>
    <s v="Same Month Expiry"/>
    <n v="3420593"/>
    <n v="6713.9899"/>
    <n v="44.2005"/>
  </r>
  <r>
    <s v="08-Oct-2025"/>
    <x v="2"/>
    <s v="Week2-Oct-2025"/>
    <x v="1"/>
    <s v="Q3FY26"/>
    <s v="25-Nov-2025"/>
    <s v="Tuesday"/>
    <s v="Monthly - Tuesday"/>
    <s v="Monthly - Tuesday"/>
    <s v="Month+1 Expiry"/>
    <n v="43425"/>
    <n v="86.4068"/>
    <n v="0.8698"/>
  </r>
  <r>
    <s v="08-Oct-2025"/>
    <x v="2"/>
    <s v="Week2-Oct-2025"/>
    <x v="1"/>
    <s v="Q3FY26"/>
    <s v="30-Dec-2025"/>
    <s v="Tuesday"/>
    <s v="Monthly - Tuesday"/>
    <s v="Monthly - Tuesday"/>
    <s v="Month+2 Expiry"/>
    <n v="4411"/>
    <n v="8.786"/>
    <n v="0.1043"/>
  </r>
  <r>
    <s v="08-Oct-2025"/>
    <x v="2"/>
    <s v="Week2-Oct-2025"/>
    <x v="1"/>
    <s v="Q3FY26"/>
    <s v="31-Mar-2026"/>
    <s v="Tuesday"/>
    <s v="Monthly - Tuesday"/>
    <s v="Monthly - Tuesday"/>
    <s v="Month+5 Expiry"/>
    <n v="119"/>
    <n v="0.2498"/>
    <n v="0.005"/>
  </r>
  <r>
    <s v="08-Oct-2025"/>
    <x v="2"/>
    <s v="Week2-Oct-2025"/>
    <x v="1"/>
    <s v="Q3FY26"/>
    <s v="30-Jun-2026"/>
    <s v="Tuesday"/>
    <s v="Monthly - Tuesday"/>
    <s v="Monthly - Tuesday"/>
    <s v="Month+8 Expiry"/>
    <n v="0"/>
    <n v="0"/>
    <n v="0"/>
  </r>
  <r>
    <s v="08-Oct-2025"/>
    <x v="2"/>
    <s v="Week2-Oct-2025"/>
    <x v="1"/>
    <s v="Q3FY26"/>
    <s v="29-Sep-2026"/>
    <s v="Tuesday"/>
    <s v="Monthly - Tuesday"/>
    <s v="Monthly - Tuesday"/>
    <s v="Month+11 Expiry"/>
    <n v="0"/>
    <n v="0"/>
    <n v="0"/>
  </r>
  <r>
    <s v="09-Oct-2025"/>
    <x v="3"/>
    <s v="Week2-Oct-2025"/>
    <x v="1"/>
    <s v="Q3FY26"/>
    <s v="28-Oct-2025"/>
    <s v="Tuesday"/>
    <s v="Monthly - Tuesday"/>
    <s v="Monthly - Tuesday"/>
    <s v="Same Month Expiry"/>
    <n v="2616312"/>
    <n v="5139.0998"/>
    <n v="34.1213"/>
  </r>
  <r>
    <s v="09-Oct-2025"/>
    <x v="3"/>
    <s v="Week2-Oct-2025"/>
    <x v="1"/>
    <s v="Q3FY26"/>
    <s v="25-Nov-2025"/>
    <s v="Tuesday"/>
    <s v="Monthly - Tuesday"/>
    <s v="Monthly - Tuesday"/>
    <s v="Month+1 Expiry"/>
    <n v="26557"/>
    <n v="52.8864"/>
    <n v="0.5274"/>
  </r>
  <r>
    <s v="09-Oct-2025"/>
    <x v="3"/>
    <s v="Week2-Oct-2025"/>
    <x v="1"/>
    <s v="Q3FY26"/>
    <s v="30-Dec-2025"/>
    <s v="Tuesday"/>
    <s v="Monthly - Tuesday"/>
    <s v="Monthly - Tuesday"/>
    <s v="Month+2 Expiry"/>
    <n v="2323"/>
    <n v="4.6176"/>
    <n v="0.0527"/>
  </r>
  <r>
    <s v="09-Oct-2025"/>
    <x v="3"/>
    <s v="Week2-Oct-2025"/>
    <x v="1"/>
    <s v="Q3FY26"/>
    <s v="31-Mar-2026"/>
    <s v="Tuesday"/>
    <s v="Monthly - Tuesday"/>
    <s v="Monthly - Tuesday"/>
    <s v="Month+5 Expiry"/>
    <n v="159"/>
    <n v="0.3311"/>
    <n v="0.007900000000000001"/>
  </r>
  <r>
    <s v="09-Oct-2025"/>
    <x v="3"/>
    <s v="Week2-Oct-2025"/>
    <x v="1"/>
    <s v="Q3FY26"/>
    <s v="30-Jun-2026"/>
    <s v="Tuesday"/>
    <s v="Monthly - Tuesday"/>
    <s v="Monthly - Tuesday"/>
    <s v="Month+8 Expiry"/>
    <n v="0"/>
    <n v="0"/>
    <n v="0"/>
  </r>
  <r>
    <s v="09-Oct-2025"/>
    <x v="3"/>
    <s v="Week2-Oct-2025"/>
    <x v="1"/>
    <s v="Q3FY26"/>
    <s v="29-Sep-2026"/>
    <s v="Tuesday"/>
    <s v="Monthly - Tuesday"/>
    <s v="Monthly - Tuesday"/>
    <s v="Month+11 Expiry"/>
    <n v="0"/>
    <n v="0"/>
    <n v="0"/>
  </r>
  <r>
    <s v="10-Oct-2025"/>
    <x v="4"/>
    <s v="Week2-Oct-2025"/>
    <x v="1"/>
    <s v="Q3FY26"/>
    <s v="28-Oct-2025"/>
    <s v="Tuesday"/>
    <s v="Monthly - Tuesday"/>
    <s v="Monthly - Tuesday"/>
    <s v="Same Month Expiry"/>
    <n v="3637423"/>
    <n v="7191.7764"/>
    <n v="42.392"/>
  </r>
  <r>
    <s v="10-Oct-2025"/>
    <x v="4"/>
    <s v="Week2-Oct-2025"/>
    <x v="1"/>
    <s v="Q3FY26"/>
    <s v="25-Nov-2025"/>
    <s v="Tuesday"/>
    <s v="Monthly - Tuesday"/>
    <s v="Monthly - Tuesday"/>
    <s v="Month+1 Expiry"/>
    <n v="66068"/>
    <n v="131.5625"/>
    <n v="1.2456"/>
  </r>
  <r>
    <s v="10-Oct-2025"/>
    <x v="4"/>
    <s v="Week2-Oct-2025"/>
    <x v="1"/>
    <s v="Q3FY26"/>
    <s v="30-Dec-2025"/>
    <s v="Tuesday"/>
    <s v="Monthly - Tuesday"/>
    <s v="Monthly - Tuesday"/>
    <s v="Month+2 Expiry"/>
    <n v="9440"/>
    <n v="18.8216"/>
    <n v="0.213"/>
  </r>
  <r>
    <s v="10-Oct-2025"/>
    <x v="4"/>
    <s v="Week2-Oct-2025"/>
    <x v="1"/>
    <s v="Q3FY26"/>
    <s v="31-Mar-2026"/>
    <s v="Tuesday"/>
    <s v="Monthly - Tuesday"/>
    <s v="Monthly - Tuesday"/>
    <s v="Month+5 Expiry"/>
    <n v="540"/>
    <n v="1.1283"/>
    <n v="0.0255"/>
  </r>
  <r>
    <s v="10-Oct-2025"/>
    <x v="4"/>
    <s v="Week2-Oct-2025"/>
    <x v="1"/>
    <s v="Q3FY26"/>
    <s v="30-Jun-2026"/>
    <s v="Tuesday"/>
    <s v="Monthly - Tuesday"/>
    <s v="Monthly - Tuesday"/>
    <s v="Month+8 Expiry"/>
    <n v="0"/>
    <n v="0"/>
    <n v="0"/>
  </r>
  <r>
    <s v="10-Oct-2025"/>
    <x v="4"/>
    <s v="Week2-Oct-2025"/>
    <x v="1"/>
    <s v="Q3FY26"/>
    <s v="29-Sep-2026"/>
    <s v="Tuesday"/>
    <s v="Monthly - Tuesday"/>
    <s v="Monthly - Tuesday"/>
    <s v="Month+11 Expiry"/>
    <n v="0"/>
    <n v="0"/>
    <n v="0"/>
  </r>
  <r>
    <s v="13-Oct-2025"/>
    <x v="0"/>
    <s v="Week2-Oct-2025"/>
    <x v="1"/>
    <s v="Q3FY26"/>
    <s v="28-Oct-2025"/>
    <s v="Tuesday"/>
    <s v="Monthly - Tuesday"/>
    <s v="Monthly - Tuesday"/>
    <s v="Same Month Expiry"/>
    <n v="3390928"/>
    <n v="6700.4335"/>
    <n v="40.9166"/>
  </r>
  <r>
    <s v="13-Oct-2025"/>
    <x v="0"/>
    <s v="Week2-Oct-2025"/>
    <x v="1"/>
    <s v="Q3FY26"/>
    <s v="25-Nov-2025"/>
    <s v="Tuesday"/>
    <s v="Monthly - Tuesday"/>
    <s v="Monthly - Tuesday"/>
    <s v="Month+1 Expiry"/>
    <n v="52287"/>
    <n v="104.2625"/>
    <n v="1.0547"/>
  </r>
  <r>
    <s v="13-Oct-2025"/>
    <x v="0"/>
    <s v="Week2-Oct-2025"/>
    <x v="1"/>
    <s v="Q3FY26"/>
    <s v="30-Dec-2025"/>
    <s v="Tuesday"/>
    <s v="Monthly - Tuesday"/>
    <s v="Monthly - Tuesday"/>
    <s v="Month+2 Expiry"/>
    <n v="10215"/>
    <n v="20.5537"/>
    <n v="0.3083"/>
  </r>
  <r>
    <s v="13-Oct-2025"/>
    <x v="0"/>
    <s v="Week2-Oct-2025"/>
    <x v="1"/>
    <s v="Q3FY26"/>
    <s v="31-Mar-2026"/>
    <s v="Tuesday"/>
    <s v="Monthly - Tuesday"/>
    <s v="Monthly - Tuesday"/>
    <s v="Month+5 Expiry"/>
    <n v="3616"/>
    <n v="7.3705"/>
    <n v="0.1388"/>
  </r>
  <r>
    <s v="13-Oct-2025"/>
    <x v="0"/>
    <s v="Week2-Oct-2025"/>
    <x v="1"/>
    <s v="Q3FY26"/>
    <s v="30-Jun-2026"/>
    <s v="Tuesday"/>
    <s v="Monthly - Tuesday"/>
    <s v="Monthly - Tuesday"/>
    <s v="Month+8 Expiry"/>
    <n v="0"/>
    <n v="0"/>
    <n v="0"/>
  </r>
  <r>
    <s v="13-Oct-2025"/>
    <x v="0"/>
    <s v="Week2-Oct-2025"/>
    <x v="1"/>
    <s v="Q3FY26"/>
    <s v="29-Sep-2026"/>
    <s v="Tuesday"/>
    <s v="Monthly - Tuesday"/>
    <s v="Monthly - Tuesday"/>
    <s v="Month+11 Expiry"/>
    <n v="0"/>
    <n v="0"/>
    <n v="0"/>
  </r>
  <r>
    <s v="14-Oct-2025"/>
    <x v="1"/>
    <s v="Week2-Oct-2025"/>
    <x v="1"/>
    <s v="Q3FY26"/>
    <s v="28-Oct-2025"/>
    <s v="Tuesday"/>
    <s v="Monthly - Tuesday"/>
    <s v="Monthly - Tuesday"/>
    <s v="Same Month Expiry"/>
    <n v="3317035"/>
    <n v="6539.17"/>
    <n v="39.3218"/>
  </r>
  <r>
    <s v="14-Oct-2025"/>
    <x v="1"/>
    <s v="Week2-Oct-2025"/>
    <x v="1"/>
    <s v="Q3FY26"/>
    <s v="25-Nov-2025"/>
    <s v="Tuesday"/>
    <s v="Monthly - Tuesday"/>
    <s v="Monthly - Tuesday"/>
    <s v="Month+1 Expiry"/>
    <n v="50425"/>
    <n v="100.4223"/>
    <n v="0.9661999999999999"/>
  </r>
  <r>
    <s v="14-Oct-2025"/>
    <x v="1"/>
    <s v="Week2-Oct-2025"/>
    <x v="1"/>
    <s v="Q3FY26"/>
    <s v="30-Dec-2025"/>
    <s v="Tuesday"/>
    <s v="Monthly - Tuesday"/>
    <s v="Monthly - Tuesday"/>
    <s v="Month+2 Expiry"/>
    <n v="4720"/>
    <n v="9.378500000000001"/>
    <n v="0.12"/>
  </r>
  <r>
    <s v="14-Oct-2025"/>
    <x v="1"/>
    <s v="Week2-Oct-2025"/>
    <x v="1"/>
    <s v="Q3FY26"/>
    <s v="31-Mar-2026"/>
    <s v="Tuesday"/>
    <s v="Monthly - Tuesday"/>
    <s v="Monthly - Tuesday"/>
    <s v="Month+5 Expiry"/>
    <n v="258"/>
    <n v="0.5346"/>
    <n v="0.0113"/>
  </r>
  <r>
    <s v="14-Oct-2025"/>
    <x v="1"/>
    <s v="Week2-Oct-2025"/>
    <x v="1"/>
    <s v="Q3FY26"/>
    <s v="30-Jun-2026"/>
    <s v="Tuesday"/>
    <s v="Monthly - Tuesday"/>
    <s v="Monthly - Tuesday"/>
    <s v="Month+8 Expiry"/>
    <n v="0"/>
    <n v="0"/>
    <n v="0"/>
  </r>
  <r>
    <s v="14-Oct-2025"/>
    <x v="1"/>
    <s v="Week2-Oct-2025"/>
    <x v="1"/>
    <s v="Q3FY26"/>
    <s v="29-Sep-2026"/>
    <s v="Tuesday"/>
    <s v="Monthly - Tuesday"/>
    <s v="Monthly - Tuesday"/>
    <s v="Month+11 Expiry"/>
    <n v="0"/>
    <n v="0"/>
    <n v="0"/>
  </r>
  <r>
    <s v="15-Oct-2025"/>
    <x v="2"/>
    <s v="Week3-Oct-2025"/>
    <x v="1"/>
    <s v="Q3FY26"/>
    <s v="28-Oct-2025"/>
    <s v="Tuesday"/>
    <s v="Monthly - Tuesday"/>
    <s v="Monthly - Tuesday"/>
    <s v="Same Month Expiry"/>
    <n v="3566936"/>
    <n v="7047.3134"/>
    <n v="39.4578"/>
  </r>
  <r>
    <s v="15-Oct-2025"/>
    <x v="2"/>
    <s v="Week3-Oct-2025"/>
    <x v="1"/>
    <s v="Q3FY26"/>
    <s v="25-Nov-2025"/>
    <s v="Tuesday"/>
    <s v="Monthly - Tuesday"/>
    <s v="Monthly - Tuesday"/>
    <s v="Month+1 Expiry"/>
    <n v="79388"/>
    <n v="158.4445"/>
    <n v="1.4318"/>
  </r>
  <r>
    <s v="15-Oct-2025"/>
    <x v="2"/>
    <s v="Week3-Oct-2025"/>
    <x v="1"/>
    <s v="Q3FY26"/>
    <s v="30-Dec-2025"/>
    <s v="Tuesday"/>
    <s v="Monthly - Tuesday"/>
    <s v="Monthly - Tuesday"/>
    <s v="Month+2 Expiry"/>
    <n v="7735"/>
    <n v="15.4627"/>
    <n v="0.2091"/>
  </r>
  <r>
    <s v="15-Oct-2025"/>
    <x v="2"/>
    <s v="Week3-Oct-2025"/>
    <x v="1"/>
    <s v="Q3FY26"/>
    <s v="31-Mar-2026"/>
    <s v="Tuesday"/>
    <s v="Monthly - Tuesday"/>
    <s v="Monthly - Tuesday"/>
    <s v="Month+5 Expiry"/>
    <n v="1158"/>
    <n v="2.3677"/>
    <n v="0.0409"/>
  </r>
  <r>
    <s v="15-Oct-2025"/>
    <x v="2"/>
    <s v="Week3-Oct-2025"/>
    <x v="1"/>
    <s v="Q3FY26"/>
    <s v="30-Jun-2026"/>
    <s v="Tuesday"/>
    <s v="Monthly - Tuesday"/>
    <s v="Monthly - Tuesday"/>
    <s v="Month+8 Expiry"/>
    <n v="0"/>
    <n v="0"/>
    <n v="0"/>
  </r>
  <r>
    <s v="15-Oct-2025"/>
    <x v="2"/>
    <s v="Week3-Oct-2025"/>
    <x v="1"/>
    <s v="Q3FY26"/>
    <s v="29-Sep-2026"/>
    <s v="Tuesday"/>
    <s v="Monthly - Tuesday"/>
    <s v="Monthly - Tuesday"/>
    <s v="Month+11 Expiry"/>
    <n v="0"/>
    <n v="0"/>
    <n v="0"/>
  </r>
  <r>
    <s v="16-Oct-2025"/>
    <x v="3"/>
    <s v="Week3-Oct-2025"/>
    <x v="1"/>
    <s v="Q3FY26"/>
    <s v="28-Oct-2025"/>
    <s v="Tuesday"/>
    <s v="Monthly - Tuesday"/>
    <s v="Monthly - Tuesday"/>
    <s v="Same Month Expiry"/>
    <n v="4449066"/>
    <n v="8836.4424"/>
    <n v="44.8338"/>
  </r>
  <r>
    <s v="16-Oct-2025"/>
    <x v="3"/>
    <s v="Week3-Oct-2025"/>
    <x v="1"/>
    <s v="Q3FY26"/>
    <s v="25-Nov-2025"/>
    <s v="Tuesday"/>
    <s v="Monthly - Tuesday"/>
    <s v="Monthly - Tuesday"/>
    <s v="Month+1 Expiry"/>
    <n v="157673"/>
    <n v="318.3044"/>
    <n v="3.2265"/>
  </r>
  <r>
    <s v="16-Oct-2025"/>
    <x v="3"/>
    <s v="Week3-Oct-2025"/>
    <x v="1"/>
    <s v="Q3FY26"/>
    <s v="30-Dec-2025"/>
    <s v="Tuesday"/>
    <s v="Monthly - Tuesday"/>
    <s v="Monthly - Tuesday"/>
    <s v="Month+2 Expiry"/>
    <n v="16458"/>
    <n v="33.2352"/>
    <n v="0.4489"/>
  </r>
  <r>
    <s v="16-Oct-2025"/>
    <x v="3"/>
    <s v="Week3-Oct-2025"/>
    <x v="1"/>
    <s v="Q3FY26"/>
    <s v="31-Mar-2026"/>
    <s v="Tuesday"/>
    <s v="Monthly - Tuesday"/>
    <s v="Monthly - Tuesday"/>
    <s v="Month+5 Expiry"/>
    <n v="836"/>
    <n v="1.7277"/>
    <n v="0.0368"/>
  </r>
  <r>
    <s v="16-Oct-2025"/>
    <x v="3"/>
    <s v="Week3-Oct-2025"/>
    <x v="1"/>
    <s v="Q3FY26"/>
    <s v="30-Jun-2026"/>
    <s v="Tuesday"/>
    <s v="Monthly - Tuesday"/>
    <s v="Monthly - Tuesday"/>
    <s v="Month+8 Expiry"/>
    <n v="0"/>
    <n v="0"/>
    <n v="0"/>
  </r>
  <r>
    <s v="16-Oct-2025"/>
    <x v="3"/>
    <s v="Week3-Oct-2025"/>
    <x v="1"/>
    <s v="Q3FY26"/>
    <s v="29-Sep-2026"/>
    <s v="Tuesday"/>
    <s v="Monthly - Tuesday"/>
    <s v="Monthly - Tuesday"/>
    <s v="Month+11 Expiry"/>
    <n v="0"/>
    <n v="0"/>
    <n v="0"/>
  </r>
  <r>
    <s v="17-Oct-2025"/>
    <x v="4"/>
    <s v="Week3-Oct-2025"/>
    <x v="1"/>
    <s v="Q3FY26"/>
    <s v="28-Oct-2025"/>
    <s v="Tuesday"/>
    <s v="Monthly - Tuesday"/>
    <s v="Monthly - Tuesday"/>
    <s v="Same Month Expiry"/>
    <n v="6181755"/>
    <n v="12374.944"/>
    <n v="65.3261"/>
  </r>
  <r>
    <s v="17-Oct-2025"/>
    <x v="4"/>
    <s v="Week3-Oct-2025"/>
    <x v="1"/>
    <s v="Q3FY26"/>
    <s v="25-Nov-2025"/>
    <s v="Tuesday"/>
    <s v="Monthly - Tuesday"/>
    <s v="Monthly - Tuesday"/>
    <s v="Month+1 Expiry"/>
    <n v="215289"/>
    <n v="438.9018"/>
    <n v="4.3731"/>
  </r>
  <r>
    <s v="17-Oct-2025"/>
    <x v="4"/>
    <s v="Week3-Oct-2025"/>
    <x v="1"/>
    <s v="Q3FY26"/>
    <s v="30-Dec-2025"/>
    <s v="Tuesday"/>
    <s v="Monthly - Tuesday"/>
    <s v="Monthly - Tuesday"/>
    <s v="Month+2 Expiry"/>
    <n v="18041"/>
    <n v="36.4124"/>
    <n v="0.4359"/>
  </r>
  <r>
    <s v="17-Oct-2025"/>
    <x v="4"/>
    <s v="Week3-Oct-2025"/>
    <x v="1"/>
    <s v="Q3FY26"/>
    <s v="31-Mar-2026"/>
    <s v="Tuesday"/>
    <s v="Monthly - Tuesday"/>
    <s v="Monthly - Tuesday"/>
    <s v="Month+5 Expiry"/>
    <n v="1090"/>
    <n v="2.2418"/>
    <n v="0.048"/>
  </r>
  <r>
    <s v="17-Oct-2025"/>
    <x v="4"/>
    <s v="Week3-Oct-2025"/>
    <x v="1"/>
    <s v="Q3FY26"/>
    <s v="30-Jun-2026"/>
    <s v="Tuesday"/>
    <s v="Monthly - Tuesday"/>
    <s v="Monthly - Tuesday"/>
    <s v="Month+8 Expiry"/>
    <n v="0"/>
    <n v="0"/>
    <n v="0"/>
  </r>
  <r>
    <s v="17-Oct-2025"/>
    <x v="4"/>
    <s v="Week3-Oct-2025"/>
    <x v="1"/>
    <s v="Q3FY26"/>
    <s v="29-Sep-2026"/>
    <s v="Tuesday"/>
    <s v="Monthly - Tuesday"/>
    <s v="Monthly - Tuesday"/>
    <s v="Month+11 Expiry"/>
    <n v="0"/>
    <n v="0"/>
    <n v="0"/>
  </r>
  <r>
    <s v="20-Oct-2025"/>
    <x v="0"/>
    <s v="Week3-Oct-2025"/>
    <x v="1"/>
    <s v="Q3FY26"/>
    <s v="28-Oct-2025"/>
    <s v="Tuesday"/>
    <s v="Monthly - Tuesday"/>
    <s v="Monthly - Tuesday"/>
    <s v="Same Month Expiry"/>
    <n v="5438752"/>
    <n v="10907.9588"/>
    <n v="44.9521"/>
  </r>
  <r>
    <s v="20-Oct-2025"/>
    <x v="0"/>
    <s v="Week3-Oct-2025"/>
    <x v="1"/>
    <s v="Q3FY26"/>
    <s v="25-Nov-2025"/>
    <s v="Tuesday"/>
    <s v="Monthly - Tuesday"/>
    <s v="Monthly - Tuesday"/>
    <s v="Month+1 Expiry"/>
    <n v="225269"/>
    <n v="459.2301"/>
    <n v="4.2267"/>
  </r>
  <r>
    <s v="20-Oct-2025"/>
    <x v="0"/>
    <s v="Week3-Oct-2025"/>
    <x v="1"/>
    <s v="Q3FY26"/>
    <s v="30-Dec-2025"/>
    <s v="Tuesday"/>
    <s v="Monthly - Tuesday"/>
    <s v="Monthly - Tuesday"/>
    <s v="Month+2 Expiry"/>
    <n v="16214"/>
    <n v="32.976"/>
    <n v="0.4325"/>
  </r>
  <r>
    <s v="20-Oct-2025"/>
    <x v="0"/>
    <s v="Week3-Oct-2025"/>
    <x v="1"/>
    <s v="Q3FY26"/>
    <s v="31-Mar-2026"/>
    <s v="Tuesday"/>
    <s v="Monthly - Tuesday"/>
    <s v="Monthly - Tuesday"/>
    <s v="Month+5 Expiry"/>
    <n v="1405"/>
    <n v="2.8831"/>
    <n v="0.0546"/>
  </r>
  <r>
    <s v="20-Oct-2025"/>
    <x v="0"/>
    <s v="Week3-Oct-2025"/>
    <x v="1"/>
    <s v="Q3FY26"/>
    <s v="30-Jun-2026"/>
    <s v="Tuesday"/>
    <s v="Monthly - Tuesday"/>
    <s v="Monthly - Tuesday"/>
    <s v="Month+8 Expiry"/>
    <n v="0"/>
    <n v="0"/>
    <n v="0"/>
  </r>
  <r>
    <s v="20-Oct-2025"/>
    <x v="0"/>
    <s v="Week3-Oct-2025"/>
    <x v="1"/>
    <s v="Q3FY26"/>
    <s v="29-Sep-2026"/>
    <s v="Tuesday"/>
    <s v="Monthly - Tuesday"/>
    <s v="Monthly - Tuesday"/>
    <s v="Month+11 Expiry"/>
    <n v="0"/>
    <n v="0"/>
    <n v="0"/>
  </r>
  <r>
    <s v="21-Oct-2025"/>
    <x v="1"/>
    <s v="Week3-Oct-2025"/>
    <x v="1"/>
    <s v="Q3FY26"/>
    <s v="28-Oct-2025"/>
    <s v="Tuesday"/>
    <s v="Monthly - Tuesday"/>
    <s v="Monthly - Tuesday"/>
    <s v="Same Month Expiry"/>
    <n v="1267899"/>
    <n v="2544.167"/>
    <n v="7.8329"/>
  </r>
  <r>
    <s v="21-Oct-2025"/>
    <x v="1"/>
    <s v="Week3-Oct-2025"/>
    <x v="1"/>
    <s v="Q3FY26"/>
    <s v="25-Nov-2025"/>
    <s v="Tuesday"/>
    <s v="Monthly - Tuesday"/>
    <s v="Monthly - Tuesday"/>
    <s v="Month+1 Expiry"/>
    <n v="35546"/>
    <n v="72.3383"/>
    <n v="0.7030999999999999"/>
  </r>
  <r>
    <s v="21-Oct-2025"/>
    <x v="1"/>
    <s v="Week3-Oct-2025"/>
    <x v="1"/>
    <s v="Q3FY26"/>
    <s v="30-Dec-2025"/>
    <s v="Tuesday"/>
    <s v="Monthly - Tuesday"/>
    <s v="Monthly - Tuesday"/>
    <s v="Month+2 Expiry"/>
    <n v="1915"/>
    <n v="3.8871"/>
    <n v="0.0479"/>
  </r>
  <r>
    <s v="21-Oct-2025"/>
    <x v="1"/>
    <s v="Week3-Oct-2025"/>
    <x v="1"/>
    <s v="Q3FY26"/>
    <s v="31-Mar-2026"/>
    <s v="Tuesday"/>
    <s v="Monthly - Tuesday"/>
    <s v="Monthly - Tuesday"/>
    <s v="Month+5 Expiry"/>
    <n v="114"/>
    <n v="0.2312"/>
    <n v="0.0036"/>
  </r>
  <r>
    <s v="21-Oct-2025"/>
    <x v="1"/>
    <s v="Week3-Oct-2025"/>
    <x v="1"/>
    <s v="Q3FY26"/>
    <s v="30-Jun-2026"/>
    <s v="Tuesday"/>
    <s v="Monthly - Tuesday"/>
    <s v="Monthly - Tuesday"/>
    <s v="Month+8 Expiry"/>
    <n v="0"/>
    <n v="0"/>
    <n v="0"/>
  </r>
  <r>
    <s v="21-Oct-2025"/>
    <x v="1"/>
    <s v="Week3-Oct-2025"/>
    <x v="1"/>
    <s v="Q3FY26"/>
    <s v="29-Sep-2026"/>
    <s v="Tuesday"/>
    <s v="Monthly - Tuesday"/>
    <s v="Monthly - Tuesday"/>
    <s v="Month+11 Expiry"/>
    <n v="0"/>
    <n v="0"/>
    <n v="0"/>
  </r>
  <r>
    <s v="23-Oct-2025"/>
    <x v="3"/>
    <s v="Week4-Oct-2025"/>
    <x v="1"/>
    <s v="Q3FY26"/>
    <s v="28-Oct-2025"/>
    <s v="Tuesday"/>
    <s v="Monthly - Tuesday"/>
    <s v="Monthly - Tuesday"/>
    <s v="Same Month Expiry"/>
    <n v="8673940"/>
    <n v="17499.2777"/>
    <n v="57.3591"/>
  </r>
  <r>
    <s v="23-Oct-2025"/>
    <x v="3"/>
    <s v="Week4-Oct-2025"/>
    <x v="1"/>
    <s v="Q3FY26"/>
    <s v="25-Nov-2025"/>
    <s v="Tuesday"/>
    <s v="Monthly - Tuesday"/>
    <s v="Monthly - Tuesday"/>
    <s v="Month+1 Expiry"/>
    <n v="395163"/>
    <n v="809.1486"/>
    <n v="8.6211"/>
  </r>
  <r>
    <s v="23-Oct-2025"/>
    <x v="3"/>
    <s v="Week4-Oct-2025"/>
    <x v="1"/>
    <s v="Q3FY26"/>
    <s v="30-Dec-2025"/>
    <s v="Tuesday"/>
    <s v="Monthly - Tuesday"/>
    <s v="Monthly - Tuesday"/>
    <s v="Month+2 Expiry"/>
    <n v="21545"/>
    <n v="43.7661"/>
    <n v="0.5750999999999999"/>
  </r>
  <r>
    <s v="23-Oct-2025"/>
    <x v="3"/>
    <s v="Week4-Oct-2025"/>
    <x v="1"/>
    <s v="Q3FY26"/>
    <s v="31-Mar-2026"/>
    <s v="Tuesday"/>
    <s v="Monthly - Tuesday"/>
    <s v="Monthly - Tuesday"/>
    <s v="Month+5 Expiry"/>
    <n v="948"/>
    <n v="1.9397"/>
    <n v="0.032"/>
  </r>
  <r>
    <s v="23-Oct-2025"/>
    <x v="3"/>
    <s v="Week4-Oct-2025"/>
    <x v="1"/>
    <s v="Q3FY26"/>
    <s v="30-Jun-2026"/>
    <s v="Tuesday"/>
    <s v="Monthly - Tuesday"/>
    <s v="Monthly - Tuesday"/>
    <s v="Month+8 Expiry"/>
    <n v="0"/>
    <n v="0"/>
    <n v="0"/>
  </r>
  <r>
    <s v="23-Oct-2025"/>
    <x v="3"/>
    <s v="Week4-Oct-2025"/>
    <x v="1"/>
    <s v="Q3FY26"/>
    <s v="29-Sep-2026"/>
    <s v="Tuesday"/>
    <s v="Monthly - Tuesday"/>
    <s v="Monthly - Tuesday"/>
    <s v="Month+11 Expiry"/>
    <n v="0"/>
    <n v="0"/>
    <n v="0"/>
  </r>
  <r>
    <s v="24-Oct-2025"/>
    <x v="4"/>
    <s v="Week4-Oct-2025"/>
    <x v="1"/>
    <s v="Q3FY26"/>
    <s v="28-Oct-2025"/>
    <s v="Tuesday"/>
    <s v="Monthly - Tuesday"/>
    <s v="Monthly - Tuesday"/>
    <s v="Same Month Expiry"/>
    <n v="15507859"/>
    <n v="31011.6741"/>
    <n v="86.9706"/>
  </r>
  <r>
    <s v="24-Oct-2025"/>
    <x v="4"/>
    <s v="Week4-Oct-2025"/>
    <x v="1"/>
    <s v="Q3FY26"/>
    <s v="25-Nov-2025"/>
    <s v="Tuesday"/>
    <s v="Monthly - Tuesday"/>
    <s v="Monthly - Tuesday"/>
    <s v="Month+1 Expiry"/>
    <n v="469846"/>
    <n v="957.1607"/>
    <n v="9.828799999999999"/>
  </r>
  <r>
    <s v="24-Oct-2025"/>
    <x v="4"/>
    <s v="Week4-Oct-2025"/>
    <x v="1"/>
    <s v="Q3FY26"/>
    <s v="30-Dec-2025"/>
    <s v="Tuesday"/>
    <s v="Monthly - Tuesday"/>
    <s v="Monthly - Tuesday"/>
    <s v="Month+2 Expiry"/>
    <n v="19045"/>
    <n v="38.9819"/>
    <n v="0.5268"/>
  </r>
  <r>
    <s v="24-Oct-2025"/>
    <x v="4"/>
    <s v="Week4-Oct-2025"/>
    <x v="1"/>
    <s v="Q3FY26"/>
    <s v="31-Mar-2026"/>
    <s v="Tuesday"/>
    <s v="Monthly - Tuesday"/>
    <s v="Monthly - Tuesday"/>
    <s v="Month+5 Expiry"/>
    <n v="868"/>
    <n v="1.7867"/>
    <n v="0.0329"/>
  </r>
  <r>
    <s v="24-Oct-2025"/>
    <x v="4"/>
    <s v="Week4-Oct-2025"/>
    <x v="1"/>
    <s v="Q3FY26"/>
    <s v="30-Jun-2026"/>
    <s v="Tuesday"/>
    <s v="Monthly - Tuesday"/>
    <s v="Monthly - Tuesday"/>
    <s v="Month+8 Expiry"/>
    <n v="0"/>
    <n v="0"/>
    <n v="0"/>
  </r>
  <r>
    <s v="24-Oct-2025"/>
    <x v="4"/>
    <s v="Week4-Oct-2025"/>
    <x v="1"/>
    <s v="Q3FY26"/>
    <s v="29-Sep-2026"/>
    <s v="Tuesday"/>
    <s v="Monthly - Tuesday"/>
    <s v="Monthly - Tuesday"/>
    <s v="Month+11 Expiry"/>
    <n v="0"/>
    <n v="0"/>
    <n v="0"/>
  </r>
  <r>
    <s v="27-Oct-2025"/>
    <x v="0"/>
    <s v="Week4-Oct-2025"/>
    <x v="1"/>
    <s v="Q3FY26"/>
    <s v="28-Oct-2025"/>
    <s v="Tuesday"/>
    <s v="Monthly - Tuesday"/>
    <s v="Monthly - Tuesday"/>
    <s v="Same Month Expiry"/>
    <n v="20633717"/>
    <n v="41419.0311"/>
    <n v="92.0924"/>
  </r>
  <r>
    <s v="27-Oct-2025"/>
    <x v="0"/>
    <s v="Week4-Oct-2025"/>
    <x v="1"/>
    <s v="Q3FY26"/>
    <s v="25-Nov-2025"/>
    <s v="Tuesday"/>
    <s v="Monthly - Tuesday"/>
    <s v="Monthly - Tuesday"/>
    <s v="Month+1 Expiry"/>
    <n v="524563"/>
    <n v="1071.4397"/>
    <n v="10.9108"/>
  </r>
  <r>
    <s v="27-Oct-2025"/>
    <x v="0"/>
    <s v="Week4-Oct-2025"/>
    <x v="1"/>
    <s v="Q3FY26"/>
    <s v="30-Dec-2025"/>
    <s v="Tuesday"/>
    <s v="Monthly - Tuesday"/>
    <s v="Monthly - Tuesday"/>
    <s v="Month+2 Expiry"/>
    <n v="19469"/>
    <n v="39.6986"/>
    <n v="0.5133"/>
  </r>
  <r>
    <s v="27-Oct-2025"/>
    <x v="0"/>
    <s v="Week4-Oct-2025"/>
    <x v="1"/>
    <s v="Q3FY26"/>
    <s v="31-Mar-2026"/>
    <s v="Tuesday"/>
    <s v="Monthly - Tuesday"/>
    <s v="Monthly - Tuesday"/>
    <s v="Month+5 Expiry"/>
    <n v="428"/>
    <n v="0.867"/>
    <n v="0.0152"/>
  </r>
  <r>
    <s v="27-Oct-2025"/>
    <x v="0"/>
    <s v="Week4-Oct-2025"/>
    <x v="1"/>
    <s v="Q3FY26"/>
    <s v="30-Jun-2026"/>
    <s v="Tuesday"/>
    <s v="Monthly - Tuesday"/>
    <s v="Monthly - Tuesday"/>
    <s v="Month+8 Expiry"/>
    <n v="0"/>
    <n v="0"/>
    <n v="0"/>
  </r>
  <r>
    <s v="27-Oct-2025"/>
    <x v="0"/>
    <s v="Week4-Oct-2025"/>
    <x v="1"/>
    <s v="Q3FY26"/>
    <s v="29-Sep-2026"/>
    <s v="Tuesday"/>
    <s v="Monthly - Tuesday"/>
    <s v="Monthly - Tuesday"/>
    <s v="Month+11 Expiry"/>
    <n v="0"/>
    <n v="0"/>
    <n v="0"/>
  </r>
  <r>
    <s v="28-Oct-2025"/>
    <x v="1"/>
    <s v="Week4-Oct-2025"/>
    <x v="1"/>
    <s v="Q3FY26"/>
    <s v="28-Oct-2025"/>
    <s v="Tuesday"/>
    <s v="Monthly - Tuesday"/>
    <s v="Monthly - Tuesday"/>
    <s v="Same Month Expiry"/>
    <n v="87083272"/>
    <n v="174516.3723"/>
    <n v="174.0738"/>
  </r>
  <r>
    <s v="28-Oct-2025"/>
    <x v="1"/>
    <s v="Week4-Oct-2025"/>
    <x v="1"/>
    <s v="Q3FY26"/>
    <s v="25-Nov-2025"/>
    <s v="Tuesday"/>
    <s v="Monthly - Tuesday"/>
    <s v="Monthly - Tuesday"/>
    <s v="Month+1 Expiry"/>
    <n v="1161369"/>
    <n v="2374.4517"/>
    <n v="22.0947"/>
  </r>
  <r>
    <s v="28-Oct-2025"/>
    <x v="1"/>
    <s v="Week4-Oct-2025"/>
    <x v="1"/>
    <s v="Q3FY26"/>
    <s v="30-Dec-2025"/>
    <s v="Tuesday"/>
    <s v="Monthly - Tuesday"/>
    <s v="Monthly - Tuesday"/>
    <s v="Month+2 Expiry"/>
    <n v="23664"/>
    <n v="48.7366"/>
    <n v="0.7335"/>
  </r>
  <r>
    <s v="28-Oct-2025"/>
    <x v="1"/>
    <s v="Week4-Oct-2025"/>
    <x v="1"/>
    <s v="Q3FY26"/>
    <s v="31-Mar-2026"/>
    <s v="Tuesday"/>
    <s v="Monthly - Tuesday"/>
    <s v="Monthly - Tuesday"/>
    <s v="Month+5 Expiry"/>
    <n v="638"/>
    <n v="1.3148"/>
    <n v="0.0254"/>
  </r>
  <r>
    <s v="28-Oct-2025"/>
    <x v="1"/>
    <s v="Week4-Oct-2025"/>
    <x v="1"/>
    <s v="Q3FY26"/>
    <s v="30-Jun-2026"/>
    <s v="Tuesday"/>
    <s v="Monthly - Tuesday"/>
    <s v="Monthly - Tuesday"/>
    <s v="Month+8 Expiry"/>
    <n v="0"/>
    <n v="0"/>
    <n v="0"/>
  </r>
  <r>
    <s v="28-Oct-2025"/>
    <x v="1"/>
    <s v="Week4-Oct-2025"/>
    <x v="1"/>
    <s v="Q3FY26"/>
    <s v="29-Sep-2026"/>
    <s v="Tuesday"/>
    <s v="Monthly - Tuesday"/>
    <s v="Monthly - Tuesday"/>
    <s v="Month+11 Expiry"/>
    <n v="0"/>
    <n v="0"/>
    <n v="0"/>
  </r>
  <r>
    <s v="29-Oct-2025"/>
    <x v="2"/>
    <s v="Week5-Oct-2025"/>
    <x v="1"/>
    <s v="Q3FY26"/>
    <s v="25-Nov-2025"/>
    <s v="Tuesday"/>
    <s v="Monthly - Tuesday"/>
    <s v="Monthly - Tuesday"/>
    <s v="Month+1 Expiry"/>
    <n v="2212302"/>
    <n v="4533.5092"/>
    <n v="39.933"/>
  </r>
  <r>
    <s v="29-Oct-2025"/>
    <x v="2"/>
    <s v="Week5-Oct-2025"/>
    <x v="1"/>
    <s v="Q3FY26"/>
    <s v="30-Dec-2025"/>
    <s v="Tuesday"/>
    <s v="Monthly - Tuesday"/>
    <s v="Monthly - Tuesday"/>
    <s v="Month+2 Expiry"/>
    <n v="24422"/>
    <n v="50.1036"/>
    <n v="0.5782"/>
  </r>
  <r>
    <s v="29-Oct-2025"/>
    <x v="2"/>
    <s v="Week5-Oct-2025"/>
    <x v="1"/>
    <s v="Q3FY26"/>
    <s v="27-Jan-2026"/>
    <s v="Tuesday"/>
    <s v="Monthly - Tuesday"/>
    <s v="Monthly - Tuesday"/>
    <s v="Month+3 Expiry"/>
    <n v="86"/>
    <n v="0.1527"/>
    <n v="0.004"/>
  </r>
  <r>
    <s v="29-Oct-2025"/>
    <x v="2"/>
    <s v="Week5-Oct-2025"/>
    <x v="1"/>
    <s v="Q3FY26"/>
    <s v="31-Mar-2026"/>
    <s v="Tuesday"/>
    <s v="Monthly - Tuesday"/>
    <s v="Monthly - Tuesday"/>
    <s v="Month+5 Expiry"/>
    <n v="550"/>
    <n v="1.1346"/>
    <n v="0.0219"/>
  </r>
  <r>
    <s v="29-Oct-2025"/>
    <x v="2"/>
    <s v="Week5-Oct-2025"/>
    <x v="1"/>
    <s v="Q3FY26"/>
    <s v="30-Jun-2026"/>
    <s v="Tuesday"/>
    <s v="Monthly - Tuesday"/>
    <s v="Monthly - Tuesday"/>
    <s v="Month+8 Expiry"/>
    <n v="0"/>
    <n v="0"/>
    <n v="0"/>
  </r>
  <r>
    <s v="29-Oct-2025"/>
    <x v="2"/>
    <s v="Week5-Oct-2025"/>
    <x v="1"/>
    <s v="Q3FY26"/>
    <s v="29-Sep-2026"/>
    <s v="Tuesday"/>
    <s v="Monthly - Tuesday"/>
    <s v="Monthly - Tuesday"/>
    <s v="Month+11 Expiry"/>
    <n v="0"/>
    <n v="0"/>
    <n v="0"/>
  </r>
  <r>
    <s v="30-Oct-2025"/>
    <x v="3"/>
    <s v="Week5-Oct-2025"/>
    <x v="1"/>
    <s v="Q3FY26"/>
    <s v="25-Nov-2025"/>
    <s v="Tuesday"/>
    <s v="Monthly - Tuesday"/>
    <s v="Monthly - Tuesday"/>
    <s v="Month+1 Expiry"/>
    <n v="1949720"/>
    <n v="3994.3844"/>
    <n v="34.4945"/>
  </r>
  <r>
    <s v="30-Oct-2025"/>
    <x v="3"/>
    <s v="Week5-Oct-2025"/>
    <x v="1"/>
    <s v="Q3FY26"/>
    <s v="30-Dec-2025"/>
    <s v="Tuesday"/>
    <s v="Monthly - Tuesday"/>
    <s v="Monthly - Tuesday"/>
    <s v="Month+2 Expiry"/>
    <n v="20662"/>
    <n v="42.1782"/>
    <n v="0.4723"/>
  </r>
  <r>
    <s v="30-Oct-2025"/>
    <x v="3"/>
    <s v="Week5-Oct-2025"/>
    <x v="1"/>
    <s v="Q3FY26"/>
    <s v="27-Jan-2026"/>
    <s v="Tuesday"/>
    <s v="Monthly - Tuesday"/>
    <s v="Monthly - Tuesday"/>
    <s v="Month+3 Expiry"/>
    <n v="292"/>
    <n v="0.5053"/>
    <n v="0.0071"/>
  </r>
  <r>
    <s v="30-Oct-2025"/>
    <x v="3"/>
    <s v="Week5-Oct-2025"/>
    <x v="1"/>
    <s v="Q3FY26"/>
    <s v="31-Mar-2026"/>
    <s v="Tuesday"/>
    <s v="Monthly - Tuesday"/>
    <s v="Monthly - Tuesday"/>
    <s v="Month+5 Expiry"/>
    <n v="1572"/>
    <n v="3.1757"/>
    <n v="0.0477"/>
  </r>
  <r>
    <s v="30-Oct-2025"/>
    <x v="3"/>
    <s v="Week5-Oct-2025"/>
    <x v="1"/>
    <s v="Q3FY26"/>
    <s v="30-Jun-2026"/>
    <s v="Tuesday"/>
    <s v="Monthly - Tuesday"/>
    <s v="Monthly - Tuesday"/>
    <s v="Month+8 Expiry"/>
    <n v="0"/>
    <n v="0"/>
    <n v="0"/>
  </r>
  <r>
    <s v="30-Oct-2025"/>
    <x v="3"/>
    <s v="Week5-Oct-2025"/>
    <x v="1"/>
    <s v="Q3FY26"/>
    <s v="29-Sep-2026"/>
    <s v="Tuesday"/>
    <s v="Monthly - Tuesday"/>
    <s v="Monthly - Tuesday"/>
    <s v="Month+11 Expiry"/>
    <n v="0"/>
    <n v="0"/>
    <n v="0"/>
  </r>
  <r>
    <s v="31-Oct-2025"/>
    <x v="4"/>
    <s v="Week5-Oct-2025"/>
    <x v="1"/>
    <s v="Q3FY26"/>
    <s v="25-Nov-2025"/>
    <s v="Tuesday"/>
    <s v="Monthly - Tuesday"/>
    <s v="Monthly - Tuesday"/>
    <s v="Month+1 Expiry"/>
    <n v="2569744"/>
    <n v="5245.7318"/>
    <n v="44.9016"/>
  </r>
  <r>
    <s v="31-Oct-2025"/>
    <x v="4"/>
    <s v="Week5-Oct-2025"/>
    <x v="1"/>
    <s v="Q3FY26"/>
    <s v="30-Dec-2025"/>
    <s v="Tuesday"/>
    <s v="Monthly - Tuesday"/>
    <s v="Monthly - Tuesday"/>
    <s v="Month+2 Expiry"/>
    <n v="30409"/>
    <n v="62.9764"/>
    <n v="0.7359"/>
  </r>
  <r>
    <s v="31-Oct-2025"/>
    <x v="4"/>
    <s v="Week5-Oct-2025"/>
    <x v="1"/>
    <s v="Q3FY26"/>
    <s v="27-Jan-2026"/>
    <s v="Tuesday"/>
    <s v="Monthly - Tuesday"/>
    <s v="Monthly - Tuesday"/>
    <s v="Month+3 Expiry"/>
    <n v="427"/>
    <n v="0.7334000000000001"/>
    <n v="0.008999999999999999"/>
  </r>
  <r>
    <s v="31-Oct-2025"/>
    <x v="4"/>
    <s v="Week5-Oct-2025"/>
    <x v="1"/>
    <s v="Q3FY26"/>
    <s v="31-Mar-2026"/>
    <s v="Tuesday"/>
    <s v="Monthly - Tuesday"/>
    <s v="Monthly - Tuesday"/>
    <s v="Month+5 Expiry"/>
    <n v="538"/>
    <n v="1.0946"/>
    <n v="0.0188"/>
  </r>
  <r>
    <s v="31-Oct-2025"/>
    <x v="4"/>
    <s v="Week5-Oct-2025"/>
    <x v="1"/>
    <s v="Q3FY26"/>
    <s v="30-Jun-2026"/>
    <s v="Tuesday"/>
    <s v="Monthly - Tuesday"/>
    <s v="Monthly - Tuesday"/>
    <s v="Month+8 Expiry"/>
    <n v="0"/>
    <n v="0"/>
    <n v="0"/>
  </r>
  <r>
    <s v="31-Oct-2025"/>
    <x v="4"/>
    <s v="Week5-Oct-2025"/>
    <x v="1"/>
    <s v="Q3FY26"/>
    <s v="29-Sep-2026"/>
    <s v="Tuesday"/>
    <s v="Monthly - Tuesday"/>
    <s v="Monthly - Tuesday"/>
    <s v="Month+11 Expiry"/>
    <n v="0"/>
    <n v="0"/>
    <n v="0"/>
  </r>
  <r>
    <s v="03-Nov-2025"/>
    <x v="0"/>
    <s v="Week1-Nov-2025"/>
    <x v="2"/>
    <s v="Q3FY26"/>
    <s v="25-Nov-2025"/>
    <s v="Tuesday"/>
    <s v="Monthly - Tuesday"/>
    <s v="Monthly - Tuesday"/>
    <s v="Same Month Expiry"/>
    <n v="2228380"/>
    <n v="4560.7056"/>
    <n v="37.6346"/>
  </r>
  <r>
    <s v="03-Nov-2025"/>
    <x v="0"/>
    <s v="Week1-Nov-2025"/>
    <x v="2"/>
    <s v="Q3FY26"/>
    <s v="30-Dec-2025"/>
    <s v="Tuesday"/>
    <s v="Monthly - Tuesday"/>
    <s v="Monthly - Tuesday"/>
    <s v="Month+1 Expiry"/>
    <n v="27468"/>
    <n v="56.4141"/>
    <n v="0.5905"/>
  </r>
  <r>
    <s v="03-Nov-2025"/>
    <x v="0"/>
    <s v="Week1-Nov-2025"/>
    <x v="2"/>
    <s v="Q3FY26"/>
    <s v="27-Jan-2026"/>
    <s v="Tuesday"/>
    <s v="Monthly - Tuesday"/>
    <s v="Monthly - Tuesday"/>
    <s v="Month+2 Expiry"/>
    <n v="351"/>
    <n v="0.6025"/>
    <n v="0.0065"/>
  </r>
  <r>
    <s v="03-Nov-2025"/>
    <x v="0"/>
    <s v="Week1-Nov-2025"/>
    <x v="2"/>
    <s v="Q3FY26"/>
    <s v="31-Mar-2026"/>
    <s v="Tuesday"/>
    <s v="Monthly - Tuesday"/>
    <s v="Monthly - Tuesday"/>
    <s v="Month+4 Expiry"/>
    <n v="474"/>
    <n v="0.9879"/>
    <n v="0.0211"/>
  </r>
  <r>
    <s v="03-Nov-2025"/>
    <x v="0"/>
    <s v="Week1-Nov-2025"/>
    <x v="2"/>
    <s v="Q3FY26"/>
    <s v="30-Jun-2026"/>
    <s v="Tuesday"/>
    <s v="Monthly - Tuesday"/>
    <s v="Monthly - Tuesday"/>
    <s v="Month+7 Expiry"/>
    <n v="0"/>
    <n v="0"/>
    <n v="0"/>
  </r>
  <r>
    <s v="03-Nov-2025"/>
    <x v="0"/>
    <s v="Week1-Nov-2025"/>
    <x v="2"/>
    <s v="Q3FY26"/>
    <s v="29-Sep-2026"/>
    <s v="Tuesday"/>
    <s v="Monthly - Tuesday"/>
    <s v="Monthly - Tuesday"/>
    <s v="Month+10 Expiry"/>
    <n v="0"/>
    <n v="0"/>
    <n v="0"/>
  </r>
  <r>
    <s v="04-Nov-2025"/>
    <x v="1"/>
    <s v="Week1-Nov-2025"/>
    <x v="2"/>
    <s v="Q3FY26"/>
    <s v="25-Nov-2025"/>
    <s v="Tuesday"/>
    <s v="Monthly - Tuesday"/>
    <s v="Monthly - Tuesday"/>
    <s v="Same Month Expiry"/>
    <n v="1994174"/>
    <n v="4075.2826"/>
    <n v="31.5015"/>
  </r>
  <r>
    <s v="04-Nov-2025"/>
    <x v="1"/>
    <s v="Week1-Nov-2025"/>
    <x v="2"/>
    <s v="Q3FY26"/>
    <s v="30-Dec-2025"/>
    <s v="Tuesday"/>
    <s v="Monthly - Tuesday"/>
    <s v="Monthly - Tuesday"/>
    <s v="Month+1 Expiry"/>
    <n v="28187"/>
    <n v="57.8767"/>
    <n v="0.5515"/>
  </r>
  <r>
    <s v="04-Nov-2025"/>
    <x v="1"/>
    <s v="Week1-Nov-2025"/>
    <x v="2"/>
    <s v="Q3FY26"/>
    <s v="27-Jan-2026"/>
    <s v="Tuesday"/>
    <s v="Monthly - Tuesday"/>
    <s v="Monthly - Tuesday"/>
    <s v="Month+2 Expiry"/>
    <n v="320"/>
    <n v="0.5482"/>
    <n v="0.0058"/>
  </r>
  <r>
    <s v="04-Nov-2025"/>
    <x v="1"/>
    <s v="Week1-Nov-2025"/>
    <x v="2"/>
    <s v="Q3FY26"/>
    <s v="31-Mar-2026"/>
    <s v="Tuesday"/>
    <s v="Monthly - Tuesday"/>
    <s v="Monthly - Tuesday"/>
    <s v="Month+4 Expiry"/>
    <n v="203"/>
    <n v="0.4164"/>
    <n v="0.008"/>
  </r>
  <r>
    <s v="04-Nov-2025"/>
    <x v="1"/>
    <s v="Week1-Nov-2025"/>
    <x v="2"/>
    <s v="Q3FY26"/>
    <s v="30-Jun-2026"/>
    <s v="Tuesday"/>
    <s v="Monthly - Tuesday"/>
    <s v="Monthly - Tuesday"/>
    <s v="Month+7 Expiry"/>
    <n v="0"/>
    <n v="0"/>
    <n v="0"/>
  </r>
  <r>
    <s v="04-Nov-2025"/>
    <x v="1"/>
    <s v="Week1-Nov-2025"/>
    <x v="2"/>
    <s v="Q3FY26"/>
    <s v="29-Sep-2026"/>
    <s v="Tuesday"/>
    <s v="Monthly - Tuesday"/>
    <s v="Monthly - Tuesday"/>
    <s v="Month+10 Expiry"/>
    <n v="0"/>
    <n v="0"/>
    <n v="0"/>
  </r>
  <r>
    <s v="06-Nov-2025"/>
    <x v="3"/>
    <s v="Week1-Nov-2025"/>
    <x v="2"/>
    <s v="Q3FY26"/>
    <s v="25-Nov-2025"/>
    <s v="Tuesday"/>
    <s v="Monthly - Tuesday"/>
    <s v="Monthly - Tuesday"/>
    <s v="Same Month Expiry"/>
    <n v="2186489"/>
    <n v="4438.1484"/>
    <n v="33.4573"/>
  </r>
  <r>
    <s v="06-Nov-2025"/>
    <x v="3"/>
    <s v="Week1-Nov-2025"/>
    <x v="2"/>
    <s v="Q3FY26"/>
    <s v="30-Dec-2025"/>
    <s v="Tuesday"/>
    <s v="Monthly - Tuesday"/>
    <s v="Monthly - Tuesday"/>
    <s v="Month+1 Expiry"/>
    <n v="38633"/>
    <n v="79.3771"/>
    <n v="0.7374000000000001"/>
  </r>
  <r>
    <s v="06-Nov-2025"/>
    <x v="3"/>
    <s v="Week1-Nov-2025"/>
    <x v="2"/>
    <s v="Q3FY26"/>
    <s v="27-Jan-2026"/>
    <s v="Tuesday"/>
    <s v="Monthly - Tuesday"/>
    <s v="Monthly - Tuesday"/>
    <s v="Month+2 Expiry"/>
    <n v="831"/>
    <n v="1.4427"/>
    <n v="0.0187"/>
  </r>
  <r>
    <s v="06-Nov-2025"/>
    <x v="3"/>
    <s v="Week1-Nov-2025"/>
    <x v="2"/>
    <s v="Q3FY26"/>
    <s v="31-Mar-2026"/>
    <s v="Tuesday"/>
    <s v="Monthly - Tuesday"/>
    <s v="Monthly - Tuesday"/>
    <s v="Month+4 Expiry"/>
    <n v="296"/>
    <n v="0.6095"/>
    <n v="0.0109"/>
  </r>
  <r>
    <s v="06-Nov-2025"/>
    <x v="3"/>
    <s v="Week1-Nov-2025"/>
    <x v="2"/>
    <s v="Q3FY26"/>
    <s v="30-Jun-2026"/>
    <s v="Tuesday"/>
    <s v="Monthly - Tuesday"/>
    <s v="Monthly - Tuesday"/>
    <s v="Month+7 Expiry"/>
    <n v="0"/>
    <n v="0"/>
    <n v="0"/>
  </r>
  <r>
    <s v="06-Nov-2025"/>
    <x v="3"/>
    <s v="Week1-Nov-2025"/>
    <x v="2"/>
    <s v="Q3FY26"/>
    <s v="29-Sep-2026"/>
    <s v="Tuesday"/>
    <s v="Monthly - Tuesday"/>
    <s v="Monthly - Tuesday"/>
    <s v="Month+10 Expiry"/>
    <n v="0"/>
    <n v="0"/>
    <n v="0"/>
  </r>
  <r>
    <s v="07-Nov-2025"/>
    <x v="4"/>
    <s v="Week1-Nov-2025"/>
    <x v="2"/>
    <s v="Q3FY26"/>
    <s v="25-Nov-2025"/>
    <s v="Tuesday"/>
    <s v="Monthly - Tuesday"/>
    <s v="Monthly - Tuesday"/>
    <s v="Same Month Expiry"/>
    <n v="3649590"/>
    <n v="7404.2229"/>
    <n v="52.7441"/>
  </r>
  <r>
    <s v="07-Nov-2025"/>
    <x v="4"/>
    <s v="Week1-Nov-2025"/>
    <x v="2"/>
    <s v="Q3FY26"/>
    <s v="30-Dec-2025"/>
    <s v="Tuesday"/>
    <s v="Monthly - Tuesday"/>
    <s v="Monthly - Tuesday"/>
    <s v="Month+1 Expiry"/>
    <n v="77834"/>
    <n v="159.4762"/>
    <n v="1.403"/>
  </r>
  <r>
    <s v="07-Nov-2025"/>
    <x v="4"/>
    <s v="Week1-Nov-2025"/>
    <x v="2"/>
    <s v="Q3FY26"/>
    <s v="27-Jan-2026"/>
    <s v="Tuesday"/>
    <s v="Monthly - Tuesday"/>
    <s v="Monthly - Tuesday"/>
    <s v="Month+2 Expiry"/>
    <n v="3310"/>
    <n v="5.6549"/>
    <n v="0.0641"/>
  </r>
  <r>
    <s v="07-Nov-2025"/>
    <x v="4"/>
    <s v="Week1-Nov-2025"/>
    <x v="2"/>
    <s v="Q3FY26"/>
    <s v="31-Mar-2026"/>
    <s v="Tuesday"/>
    <s v="Monthly - Tuesday"/>
    <s v="Monthly - Tuesday"/>
    <s v="Month+4 Expiry"/>
    <n v="695"/>
    <n v="1.4105"/>
    <n v="0.0221"/>
  </r>
  <r>
    <s v="07-Nov-2025"/>
    <x v="4"/>
    <s v="Week1-Nov-2025"/>
    <x v="2"/>
    <s v="Q3FY26"/>
    <s v="30-Jun-2026"/>
    <s v="Tuesday"/>
    <s v="Monthly - Tuesday"/>
    <s v="Monthly - Tuesday"/>
    <s v="Month+7 Expiry"/>
    <n v="0"/>
    <n v="0"/>
    <n v="0"/>
  </r>
  <r>
    <s v="07-Nov-2025"/>
    <x v="4"/>
    <s v="Week1-Nov-2025"/>
    <x v="2"/>
    <s v="Q3FY26"/>
    <s v="29-Sep-2026"/>
    <s v="Tuesday"/>
    <s v="Monthly - Tuesday"/>
    <s v="Monthly - Tuesday"/>
    <s v="Month+10 Expiry"/>
    <n v="0"/>
    <n v="0"/>
    <n v="0"/>
  </r>
  <r>
    <s v="10-Nov-2025"/>
    <x v="0"/>
    <s v="Week2-Nov-2025"/>
    <x v="2"/>
    <s v="Q3FY26"/>
    <s v="25-Nov-2025"/>
    <s v="Tuesday"/>
    <s v="Monthly - Tuesday"/>
    <s v="Monthly - Tuesday"/>
    <s v="Same Month Expiry"/>
    <n v="2241174"/>
    <n v="4558.8152"/>
    <n v="31.664"/>
  </r>
  <r>
    <s v="10-Nov-2025"/>
    <x v="0"/>
    <s v="Week2-Nov-2025"/>
    <x v="2"/>
    <s v="Q3FY26"/>
    <s v="30-Dec-2025"/>
    <s v="Tuesday"/>
    <s v="Monthly - Tuesday"/>
    <s v="Monthly - Tuesday"/>
    <s v="Month+1 Expiry"/>
    <n v="33783"/>
    <n v="68.6112"/>
    <n v="0.5643"/>
  </r>
  <r>
    <s v="10-Nov-2025"/>
    <x v="0"/>
    <s v="Week2-Nov-2025"/>
    <x v="2"/>
    <s v="Q3FY26"/>
    <s v="27-Jan-2026"/>
    <s v="Tuesday"/>
    <s v="Monthly - Tuesday"/>
    <s v="Monthly - Tuesday"/>
    <s v="Month+2 Expiry"/>
    <n v="1569"/>
    <n v="2.7335"/>
    <n v="0.0377"/>
  </r>
  <r>
    <s v="10-Nov-2025"/>
    <x v="0"/>
    <s v="Week2-Nov-2025"/>
    <x v="2"/>
    <s v="Q3FY26"/>
    <s v="31-Mar-2026"/>
    <s v="Tuesday"/>
    <s v="Monthly - Tuesday"/>
    <s v="Monthly - Tuesday"/>
    <s v="Month+4 Expiry"/>
    <n v="301"/>
    <n v="0.619"/>
    <n v="0.0106"/>
  </r>
  <r>
    <s v="10-Nov-2025"/>
    <x v="0"/>
    <s v="Week2-Nov-2025"/>
    <x v="2"/>
    <s v="Q3FY26"/>
    <s v="30-Jun-2026"/>
    <s v="Tuesday"/>
    <s v="Monthly - Tuesday"/>
    <s v="Monthly - Tuesday"/>
    <s v="Month+7 Expiry"/>
    <n v="0"/>
    <n v="0"/>
    <n v="0"/>
  </r>
  <r>
    <s v="10-Nov-2025"/>
    <x v="0"/>
    <s v="Week2-Nov-2025"/>
    <x v="2"/>
    <s v="Q3FY26"/>
    <s v="29-Sep-2026"/>
    <s v="Tuesday"/>
    <s v="Monthly - Tuesday"/>
    <s v="Monthly - Tuesday"/>
    <s v="Month+10 Expiry"/>
    <n v="0"/>
    <n v="0"/>
    <n v="0"/>
  </r>
  <r>
    <s v="11-Nov-2025"/>
    <x v="1"/>
    <s v="Week2-Nov-2025"/>
    <x v="2"/>
    <s v="Q3FY26"/>
    <s v="25-Nov-2025"/>
    <s v="Tuesday"/>
    <s v="Monthly - Tuesday"/>
    <s v="Monthly - Tuesday"/>
    <s v="Same Month Expiry"/>
    <n v="2918580"/>
    <n v="5918.5083"/>
    <n v="40.4773"/>
  </r>
  <r>
    <s v="11-Nov-2025"/>
    <x v="1"/>
    <s v="Week2-Nov-2025"/>
    <x v="2"/>
    <s v="Q3FY26"/>
    <s v="30-Dec-2025"/>
    <s v="Tuesday"/>
    <s v="Monthly - Tuesday"/>
    <s v="Monthly - Tuesday"/>
    <s v="Month+1 Expiry"/>
    <n v="52106"/>
    <n v="106.8488"/>
    <n v="1.008"/>
  </r>
  <r>
    <s v="11-Nov-2025"/>
    <x v="1"/>
    <s v="Week2-Nov-2025"/>
    <x v="2"/>
    <s v="Q3FY26"/>
    <s v="27-Jan-2026"/>
    <s v="Tuesday"/>
    <s v="Monthly - Tuesday"/>
    <s v="Monthly - Tuesday"/>
    <s v="Month+2 Expiry"/>
    <n v="2356"/>
    <n v="4.0817"/>
    <n v="0.0508"/>
  </r>
  <r>
    <s v="11-Nov-2025"/>
    <x v="1"/>
    <s v="Week2-Nov-2025"/>
    <x v="2"/>
    <s v="Q3FY26"/>
    <s v="31-Mar-2026"/>
    <s v="Tuesday"/>
    <s v="Monthly - Tuesday"/>
    <s v="Monthly - Tuesday"/>
    <s v="Month+4 Expiry"/>
    <n v="533"/>
    <n v="1.0925"/>
    <n v="0.018"/>
  </r>
  <r>
    <s v="11-Nov-2025"/>
    <x v="1"/>
    <s v="Week2-Nov-2025"/>
    <x v="2"/>
    <s v="Q3FY26"/>
    <s v="30-Jun-2026"/>
    <s v="Tuesday"/>
    <s v="Monthly - Tuesday"/>
    <s v="Monthly - Tuesday"/>
    <s v="Month+7 Expiry"/>
    <n v="0"/>
    <n v="0"/>
    <n v="0"/>
  </r>
  <r>
    <s v="11-Nov-2025"/>
    <x v="1"/>
    <s v="Week2-Nov-2025"/>
    <x v="2"/>
    <s v="Q3FY26"/>
    <s v="29-Sep-2026"/>
    <s v="Tuesday"/>
    <s v="Monthly - Tuesday"/>
    <s v="Monthly - Tuesday"/>
    <s v="Month+10 Expiry"/>
    <n v="0"/>
    <n v="0"/>
    <n v="0"/>
  </r>
  <r>
    <s v="12-Nov-2025"/>
    <x v="2"/>
    <s v="Week2-Nov-2025"/>
    <x v="2"/>
    <s v="Q3FY26"/>
    <s v="25-Nov-2025"/>
    <s v="Tuesday"/>
    <s v="Monthly - Tuesday"/>
    <s v="Monthly - Tuesday"/>
    <s v="Same Month Expiry"/>
    <n v="2822988"/>
    <n v="5744.3682"/>
    <n v="37.1654"/>
  </r>
  <r>
    <s v="12-Nov-2025"/>
    <x v="2"/>
    <s v="Week2-Nov-2025"/>
    <x v="2"/>
    <s v="Q3FY26"/>
    <s v="30-Dec-2025"/>
    <s v="Tuesday"/>
    <s v="Monthly - Tuesday"/>
    <s v="Monthly - Tuesday"/>
    <s v="Month+1 Expiry"/>
    <n v="60386"/>
    <n v="122.3852"/>
    <n v="1.043"/>
  </r>
  <r>
    <s v="12-Nov-2025"/>
    <x v="2"/>
    <s v="Week2-Nov-2025"/>
    <x v="2"/>
    <s v="Q3FY26"/>
    <s v="27-Jan-2026"/>
    <s v="Tuesday"/>
    <s v="Monthly - Tuesday"/>
    <s v="Monthly - Tuesday"/>
    <s v="Month+2 Expiry"/>
    <n v="2598"/>
    <n v="4.473"/>
    <n v="0.047"/>
  </r>
  <r>
    <s v="12-Nov-2025"/>
    <x v="2"/>
    <s v="Week2-Nov-2025"/>
    <x v="2"/>
    <s v="Q3FY26"/>
    <s v="31-Mar-2026"/>
    <s v="Tuesday"/>
    <s v="Monthly - Tuesday"/>
    <s v="Monthly - Tuesday"/>
    <s v="Month+4 Expiry"/>
    <n v="491"/>
    <n v="1.0057"/>
    <n v="0.0158"/>
  </r>
  <r>
    <s v="12-Nov-2025"/>
    <x v="2"/>
    <s v="Week2-Nov-2025"/>
    <x v="2"/>
    <s v="Q3FY26"/>
    <s v="30-Jun-2026"/>
    <s v="Tuesday"/>
    <s v="Monthly - Tuesday"/>
    <s v="Monthly - Tuesday"/>
    <s v="Month+7 Expiry"/>
    <n v="0"/>
    <n v="0"/>
    <n v="0"/>
  </r>
  <r>
    <s v="12-Nov-2025"/>
    <x v="2"/>
    <s v="Week2-Nov-2025"/>
    <x v="2"/>
    <s v="Q3FY26"/>
    <s v="29-Sep-2026"/>
    <s v="Tuesday"/>
    <s v="Monthly - Tuesday"/>
    <s v="Monthly - Tuesday"/>
    <s v="Month+10 Expiry"/>
    <n v="0"/>
    <n v="0"/>
    <n v="0"/>
  </r>
  <r>
    <s v="13-Nov-2025"/>
    <x v="3"/>
    <s v="Week2-Nov-2025"/>
    <x v="2"/>
    <s v="Q3FY26"/>
    <s v="25-Nov-2025"/>
    <s v="Tuesday"/>
    <s v="Monthly - Tuesday"/>
    <s v="Monthly - Tuesday"/>
    <s v="Same Month Expiry"/>
    <n v="3111743"/>
    <n v="6363.0503"/>
    <n v="39.5913"/>
  </r>
  <r>
    <s v="13-Nov-2025"/>
    <x v="3"/>
    <s v="Week2-Nov-2025"/>
    <x v="2"/>
    <s v="Q3FY26"/>
    <s v="30-Dec-2025"/>
    <s v="Tuesday"/>
    <s v="Monthly - Tuesday"/>
    <s v="Monthly - Tuesday"/>
    <s v="Month+1 Expiry"/>
    <n v="72337"/>
    <n v="148.7316"/>
    <n v="1.3986"/>
  </r>
  <r>
    <s v="13-Nov-2025"/>
    <x v="3"/>
    <s v="Week2-Nov-2025"/>
    <x v="2"/>
    <s v="Q3FY26"/>
    <s v="27-Jan-2026"/>
    <s v="Tuesday"/>
    <s v="Monthly - Tuesday"/>
    <s v="Monthly - Tuesday"/>
    <s v="Month+2 Expiry"/>
    <n v="4137"/>
    <n v="7.295"/>
    <n v="0.109"/>
  </r>
  <r>
    <s v="13-Nov-2025"/>
    <x v="3"/>
    <s v="Week2-Nov-2025"/>
    <x v="2"/>
    <s v="Q3FY26"/>
    <s v="31-Mar-2026"/>
    <s v="Tuesday"/>
    <s v="Monthly - Tuesday"/>
    <s v="Monthly - Tuesday"/>
    <s v="Month+4 Expiry"/>
    <n v="767"/>
    <n v="1.5644"/>
    <n v="0.023"/>
  </r>
  <r>
    <s v="13-Nov-2025"/>
    <x v="3"/>
    <s v="Week2-Nov-2025"/>
    <x v="2"/>
    <s v="Q3FY26"/>
    <s v="30-Jun-2026"/>
    <s v="Tuesday"/>
    <s v="Monthly - Tuesday"/>
    <s v="Monthly - Tuesday"/>
    <s v="Month+7 Expiry"/>
    <n v="0"/>
    <n v="0"/>
    <n v="0"/>
  </r>
  <r>
    <s v="13-Nov-2025"/>
    <x v="3"/>
    <s v="Week2-Nov-2025"/>
    <x v="2"/>
    <s v="Q3FY26"/>
    <s v="29-Sep-2026"/>
    <s v="Tuesday"/>
    <s v="Monthly - Tuesday"/>
    <s v="Monthly - Tuesday"/>
    <s v="Month+10 Expiry"/>
    <n v="0"/>
    <n v="0"/>
    <n v="0"/>
  </r>
  <r>
    <s v="14-Nov-2025"/>
    <x v="4"/>
    <s v="Week2-Nov-2025"/>
    <x v="2"/>
    <s v="Q3FY26"/>
    <s v="25-Nov-2025"/>
    <s v="Tuesday"/>
    <s v="Monthly - Tuesday"/>
    <s v="Monthly - Tuesday"/>
    <s v="Same Month Expiry"/>
    <n v="3462484"/>
    <n v="7079.805"/>
    <n v="41.4364"/>
  </r>
  <r>
    <s v="14-Nov-2025"/>
    <x v="4"/>
    <s v="Week2-Nov-2025"/>
    <x v="2"/>
    <s v="Q3FY26"/>
    <s v="30-Dec-2025"/>
    <s v="Tuesday"/>
    <s v="Monthly - Tuesday"/>
    <s v="Monthly - Tuesday"/>
    <s v="Month+1 Expiry"/>
    <n v="68514"/>
    <n v="140.8927"/>
    <n v="1.331"/>
  </r>
  <r>
    <s v="14-Nov-2025"/>
    <x v="4"/>
    <s v="Week2-Nov-2025"/>
    <x v="2"/>
    <s v="Q3FY26"/>
    <s v="27-Jan-2026"/>
    <s v="Tuesday"/>
    <s v="Monthly - Tuesday"/>
    <s v="Monthly - Tuesday"/>
    <s v="Month+2 Expiry"/>
    <n v="2813"/>
    <n v="4.9643"/>
    <n v="0.07439999999999999"/>
  </r>
  <r>
    <s v="14-Nov-2025"/>
    <x v="4"/>
    <s v="Week2-Nov-2025"/>
    <x v="2"/>
    <s v="Q3FY26"/>
    <s v="31-Mar-2026"/>
    <s v="Tuesday"/>
    <s v="Monthly - Tuesday"/>
    <s v="Monthly - Tuesday"/>
    <s v="Month+4 Expiry"/>
    <n v="740"/>
    <n v="1.5206"/>
    <n v="0.026"/>
  </r>
  <r>
    <s v="14-Nov-2025"/>
    <x v="4"/>
    <s v="Week2-Nov-2025"/>
    <x v="2"/>
    <s v="Q3FY26"/>
    <s v="30-Jun-2026"/>
    <s v="Tuesday"/>
    <s v="Monthly - Tuesday"/>
    <s v="Monthly - Tuesday"/>
    <s v="Month+7 Expiry"/>
    <n v="0"/>
    <n v="0"/>
    <n v="0"/>
  </r>
  <r>
    <s v="14-Nov-2025"/>
    <x v="4"/>
    <s v="Week2-Nov-2025"/>
    <x v="2"/>
    <s v="Q3FY26"/>
    <s v="29-Sep-2026"/>
    <s v="Tuesday"/>
    <s v="Monthly - Tuesday"/>
    <s v="Monthly - Tuesday"/>
    <s v="Month+10 Expiry"/>
    <n v="0"/>
    <n v="0"/>
    <n v="0"/>
  </r>
  <r>
    <s v="17-Nov-2025"/>
    <x v="0"/>
    <s v="Week3-Nov-2025"/>
    <x v="2"/>
    <s v="Q3FY26"/>
    <s v="25-Nov-2025"/>
    <s v="Tuesday"/>
    <s v="Monthly - Tuesday"/>
    <s v="Monthly - Tuesday"/>
    <s v="Same Month Expiry"/>
    <n v="3637020"/>
    <n v="7453.548"/>
    <n v="38.0717"/>
  </r>
  <r>
    <s v="17-Nov-2025"/>
    <x v="0"/>
    <s v="Week3-Nov-2025"/>
    <x v="2"/>
    <s v="Q3FY26"/>
    <s v="30-Dec-2025"/>
    <s v="Tuesday"/>
    <s v="Monthly - Tuesday"/>
    <s v="Monthly - Tuesday"/>
    <s v="Month+1 Expiry"/>
    <n v="156925"/>
    <n v="324.9152"/>
    <n v="3.3285"/>
  </r>
  <r>
    <s v="17-Nov-2025"/>
    <x v="0"/>
    <s v="Week3-Nov-2025"/>
    <x v="2"/>
    <s v="Q3FY26"/>
    <s v="27-Jan-2026"/>
    <s v="Tuesday"/>
    <s v="Monthly - Tuesday"/>
    <s v="Monthly - Tuesday"/>
    <s v="Month+2 Expiry"/>
    <n v="3892"/>
    <n v="6.8327"/>
    <n v="0.0891"/>
  </r>
  <r>
    <s v="17-Nov-2025"/>
    <x v="0"/>
    <s v="Week3-Nov-2025"/>
    <x v="2"/>
    <s v="Q3FY26"/>
    <s v="31-Mar-2026"/>
    <s v="Tuesday"/>
    <s v="Monthly - Tuesday"/>
    <s v="Monthly - Tuesday"/>
    <s v="Month+4 Expiry"/>
    <n v="2128"/>
    <n v="4.3969"/>
    <n v="0.0833"/>
  </r>
  <r>
    <s v="17-Nov-2025"/>
    <x v="0"/>
    <s v="Week3-Nov-2025"/>
    <x v="2"/>
    <s v="Q3FY26"/>
    <s v="30-Jun-2026"/>
    <s v="Tuesday"/>
    <s v="Monthly - Tuesday"/>
    <s v="Monthly - Tuesday"/>
    <s v="Month+7 Expiry"/>
    <n v="0"/>
    <n v="0"/>
    <n v="0"/>
  </r>
  <r>
    <s v="17-Nov-2025"/>
    <x v="0"/>
    <s v="Week3-Nov-2025"/>
    <x v="2"/>
    <s v="Q3FY26"/>
    <s v="29-Sep-2026"/>
    <s v="Tuesday"/>
    <s v="Monthly - Tuesday"/>
    <s v="Monthly - Tuesday"/>
    <s v="Month+10 Expiry"/>
    <n v="0"/>
    <n v="0"/>
    <n v="0"/>
  </r>
  <r>
    <s v="18-Nov-2025"/>
    <x v="1"/>
    <s v="Week3-Nov-2025"/>
    <x v="2"/>
    <s v="Q3FY26"/>
    <s v="25-Nov-2025"/>
    <s v="Tuesday"/>
    <s v="Monthly - Tuesday"/>
    <s v="Monthly - Tuesday"/>
    <s v="Same Month Expiry"/>
    <n v="3898075"/>
    <n v="7995.4788"/>
    <n v="37.1648"/>
  </r>
  <r>
    <s v="18-Nov-2025"/>
    <x v="1"/>
    <s v="Week3-Nov-2025"/>
    <x v="2"/>
    <s v="Q3FY26"/>
    <s v="30-Dec-2025"/>
    <s v="Tuesday"/>
    <s v="Monthly - Tuesday"/>
    <s v="Monthly - Tuesday"/>
    <s v="Month+1 Expiry"/>
    <n v="123004"/>
    <n v="254.9535"/>
    <n v="2.6882"/>
  </r>
  <r>
    <s v="18-Nov-2025"/>
    <x v="1"/>
    <s v="Week3-Nov-2025"/>
    <x v="2"/>
    <s v="Q3FY26"/>
    <s v="27-Jan-2026"/>
    <s v="Tuesday"/>
    <s v="Monthly - Tuesday"/>
    <s v="Monthly - Tuesday"/>
    <s v="Month+2 Expiry"/>
    <n v="4143"/>
    <n v="7.2995"/>
    <n v="0.0946"/>
  </r>
  <r>
    <s v="18-Nov-2025"/>
    <x v="1"/>
    <s v="Week3-Nov-2025"/>
    <x v="2"/>
    <s v="Q3FY26"/>
    <s v="31-Mar-2026"/>
    <s v="Tuesday"/>
    <s v="Monthly - Tuesday"/>
    <s v="Monthly - Tuesday"/>
    <s v="Month+4 Expiry"/>
    <n v="1542"/>
    <n v="3.1601"/>
    <n v="0.053"/>
  </r>
  <r>
    <s v="18-Nov-2025"/>
    <x v="1"/>
    <s v="Week3-Nov-2025"/>
    <x v="2"/>
    <s v="Q3FY26"/>
    <s v="30-Jun-2026"/>
    <s v="Tuesday"/>
    <s v="Monthly - Tuesday"/>
    <s v="Monthly - Tuesday"/>
    <s v="Month+7 Expiry"/>
    <n v="0"/>
    <n v="0"/>
    <n v="0"/>
  </r>
  <r>
    <s v="18-Nov-2025"/>
    <x v="1"/>
    <s v="Week3-Nov-2025"/>
    <x v="2"/>
    <s v="Q3FY26"/>
    <s v="29-Sep-2026"/>
    <s v="Tuesday"/>
    <s v="Monthly - Tuesday"/>
    <s v="Monthly - Tuesday"/>
    <s v="Month+10 Expiry"/>
    <n v="0"/>
    <n v="0"/>
    <n v="0"/>
  </r>
  <r>
    <s v="19-Nov-2025"/>
    <x v="2"/>
    <s v="Week3-Nov-2025"/>
    <x v="2"/>
    <s v="Q3FY26"/>
    <s v="25-Nov-2025"/>
    <s v="Tuesday"/>
    <s v="Monthly - Tuesday"/>
    <s v="Monthly - Tuesday"/>
    <s v="Same Month Expiry"/>
    <n v="6053709"/>
    <n v="12387.7747"/>
    <n v="50.8172"/>
  </r>
  <r>
    <s v="19-Nov-2025"/>
    <x v="2"/>
    <s v="Week3-Nov-2025"/>
    <x v="2"/>
    <s v="Q3FY26"/>
    <s v="30-Dec-2025"/>
    <s v="Tuesday"/>
    <s v="Monthly - Tuesday"/>
    <s v="Monthly - Tuesday"/>
    <s v="Month+1 Expiry"/>
    <n v="199504"/>
    <n v="415.4035"/>
    <n v="4.3255"/>
  </r>
  <r>
    <s v="19-Nov-2025"/>
    <x v="2"/>
    <s v="Week3-Nov-2025"/>
    <x v="2"/>
    <s v="Q3FY26"/>
    <s v="27-Jan-2026"/>
    <s v="Tuesday"/>
    <s v="Monthly - Tuesday"/>
    <s v="Monthly - Tuesday"/>
    <s v="Month+2 Expiry"/>
    <n v="6526"/>
    <n v="11.6014"/>
    <n v="0.1587"/>
  </r>
  <r>
    <s v="19-Nov-2025"/>
    <x v="2"/>
    <s v="Week3-Nov-2025"/>
    <x v="2"/>
    <s v="Q3FY26"/>
    <s v="31-Mar-2026"/>
    <s v="Tuesday"/>
    <s v="Monthly - Tuesday"/>
    <s v="Monthly - Tuesday"/>
    <s v="Month+4 Expiry"/>
    <n v="1988"/>
    <n v="4.2025"/>
    <n v="0.0958"/>
  </r>
  <r>
    <s v="19-Nov-2025"/>
    <x v="2"/>
    <s v="Week3-Nov-2025"/>
    <x v="2"/>
    <s v="Q3FY26"/>
    <s v="30-Jun-2026"/>
    <s v="Tuesday"/>
    <s v="Monthly - Tuesday"/>
    <s v="Monthly - Tuesday"/>
    <s v="Month+7 Expiry"/>
    <n v="0"/>
    <n v="0"/>
    <n v="0"/>
  </r>
  <r>
    <s v="19-Nov-2025"/>
    <x v="2"/>
    <s v="Week3-Nov-2025"/>
    <x v="2"/>
    <s v="Q3FY26"/>
    <s v="29-Sep-2026"/>
    <s v="Tuesday"/>
    <s v="Monthly - Tuesday"/>
    <s v="Monthly - Tuesday"/>
    <s v="Month+10 Expiry"/>
    <n v="0"/>
    <n v="0"/>
    <n v="0"/>
  </r>
  <r>
    <s v="20-Nov-2025"/>
    <x v="3"/>
    <s v="Week3-Nov-2025"/>
    <x v="2"/>
    <s v="Q3FY26"/>
    <s v="25-Nov-2025"/>
    <s v="Tuesday"/>
    <s v="Monthly - Tuesday"/>
    <s v="Monthly - Tuesday"/>
    <s v="Same Month Expiry"/>
    <n v="5656595"/>
    <n v="11582.2529"/>
    <n v="39.4398"/>
  </r>
  <r>
    <s v="20-Nov-2025"/>
    <x v="3"/>
    <s v="Week3-Nov-2025"/>
    <x v="2"/>
    <s v="Q3FY26"/>
    <s v="30-Dec-2025"/>
    <s v="Tuesday"/>
    <s v="Monthly - Tuesday"/>
    <s v="Monthly - Tuesday"/>
    <s v="Month+1 Expiry"/>
    <n v="207429"/>
    <n v="431.9024"/>
    <n v="4.7164"/>
  </r>
  <r>
    <s v="20-Nov-2025"/>
    <x v="3"/>
    <s v="Week3-Nov-2025"/>
    <x v="2"/>
    <s v="Q3FY26"/>
    <s v="27-Jan-2026"/>
    <s v="Tuesday"/>
    <s v="Monthly - Tuesday"/>
    <s v="Monthly - Tuesday"/>
    <s v="Month+2 Expiry"/>
    <n v="6413"/>
    <n v="11.4207"/>
    <n v="0.1701"/>
  </r>
  <r>
    <s v="20-Nov-2025"/>
    <x v="3"/>
    <s v="Week3-Nov-2025"/>
    <x v="2"/>
    <s v="Q3FY26"/>
    <s v="31-Mar-2026"/>
    <s v="Tuesday"/>
    <s v="Monthly - Tuesday"/>
    <s v="Monthly - Tuesday"/>
    <s v="Month+4 Expiry"/>
    <n v="3035"/>
    <n v="6.3734"/>
    <n v="0.1283"/>
  </r>
  <r>
    <s v="20-Nov-2025"/>
    <x v="3"/>
    <s v="Week3-Nov-2025"/>
    <x v="2"/>
    <s v="Q3FY26"/>
    <s v="30-Jun-2026"/>
    <s v="Tuesday"/>
    <s v="Monthly - Tuesday"/>
    <s v="Monthly - Tuesday"/>
    <s v="Month+7 Expiry"/>
    <n v="0"/>
    <n v="0"/>
    <n v="0"/>
  </r>
  <r>
    <s v="20-Nov-2025"/>
    <x v="3"/>
    <s v="Week3-Nov-2025"/>
    <x v="2"/>
    <s v="Q3FY26"/>
    <s v="29-Sep-2026"/>
    <s v="Tuesday"/>
    <s v="Monthly - Tuesday"/>
    <s v="Monthly - Tuesday"/>
    <s v="Month+10 Expiry"/>
    <n v="0"/>
    <n v="0"/>
    <n v="0"/>
  </r>
  <r>
    <s v="21-Nov-2025"/>
    <x v="4"/>
    <s v="Week3-Nov-2025"/>
    <x v="2"/>
    <s v="Q3FY26"/>
    <s v="25-Nov-2025"/>
    <s v="Tuesday"/>
    <s v="Monthly - Tuesday"/>
    <s v="Monthly - Tuesday"/>
    <s v="Same Month Expiry"/>
    <n v="10692487"/>
    <n v="21899.3047"/>
    <n v="64.9958"/>
  </r>
  <r>
    <s v="21-Nov-2025"/>
    <x v="4"/>
    <s v="Week3-Nov-2025"/>
    <x v="2"/>
    <s v="Q3FY26"/>
    <s v="30-Dec-2025"/>
    <s v="Tuesday"/>
    <s v="Monthly - Tuesday"/>
    <s v="Monthly - Tuesday"/>
    <s v="Month+1 Expiry"/>
    <n v="359705"/>
    <n v="747.1505"/>
    <n v="7.8521"/>
  </r>
  <r>
    <s v="21-Nov-2025"/>
    <x v="4"/>
    <s v="Week3-Nov-2025"/>
    <x v="2"/>
    <s v="Q3FY26"/>
    <s v="27-Jan-2026"/>
    <s v="Tuesday"/>
    <s v="Monthly - Tuesday"/>
    <s v="Monthly - Tuesday"/>
    <s v="Month+2 Expiry"/>
    <n v="9417"/>
    <n v="16.9076"/>
    <n v="0.2512"/>
  </r>
  <r>
    <s v="21-Nov-2025"/>
    <x v="4"/>
    <s v="Week3-Nov-2025"/>
    <x v="2"/>
    <s v="Q3FY26"/>
    <s v="31-Mar-2026"/>
    <s v="Tuesday"/>
    <s v="Monthly - Tuesday"/>
    <s v="Monthly - Tuesday"/>
    <s v="Month+4 Expiry"/>
    <n v="1699"/>
    <n v="3.5116"/>
    <n v="0.056"/>
  </r>
  <r>
    <s v="21-Nov-2025"/>
    <x v="4"/>
    <s v="Week3-Nov-2025"/>
    <x v="2"/>
    <s v="Q3FY26"/>
    <s v="30-Jun-2026"/>
    <s v="Tuesday"/>
    <s v="Monthly - Tuesday"/>
    <s v="Monthly - Tuesday"/>
    <s v="Month+7 Expiry"/>
    <n v="0"/>
    <n v="0"/>
    <n v="0"/>
  </r>
  <r>
    <s v="21-Nov-2025"/>
    <x v="4"/>
    <s v="Week3-Nov-2025"/>
    <x v="2"/>
    <s v="Q3FY26"/>
    <s v="29-Sep-2026"/>
    <s v="Tuesday"/>
    <s v="Monthly - Tuesday"/>
    <s v="Monthly - Tuesday"/>
    <s v="Month+10 Expiry"/>
    <n v="0"/>
    <n v="0"/>
    <n v="0"/>
  </r>
  <r>
    <s v="24-Nov-2025"/>
    <x v="0"/>
    <s v="Week4-Nov-2025"/>
    <x v="2"/>
    <s v="Q3FY26"/>
    <s v="25-Nov-2025"/>
    <s v="Tuesday"/>
    <s v="Monthly - Tuesday"/>
    <s v="Monthly - Tuesday"/>
    <s v="Same Month Expiry"/>
    <n v="19567412"/>
    <n v="40015.1014"/>
    <n v="85.8531"/>
  </r>
  <r>
    <s v="24-Nov-2025"/>
    <x v="0"/>
    <s v="Week4-Nov-2025"/>
    <x v="2"/>
    <s v="Q3FY26"/>
    <s v="30-Dec-2025"/>
    <s v="Tuesday"/>
    <s v="Monthly - Tuesday"/>
    <s v="Monthly - Tuesday"/>
    <s v="Month+1 Expiry"/>
    <n v="424184"/>
    <n v="885.0194"/>
    <n v="9.807"/>
  </r>
  <r>
    <s v="24-Nov-2025"/>
    <x v="0"/>
    <s v="Week4-Nov-2025"/>
    <x v="2"/>
    <s v="Q3FY26"/>
    <s v="27-Jan-2026"/>
    <s v="Tuesday"/>
    <s v="Monthly - Tuesday"/>
    <s v="Monthly - Tuesday"/>
    <s v="Month+2 Expiry"/>
    <n v="6842"/>
    <n v="12.2058"/>
    <n v="0.1565"/>
  </r>
  <r>
    <s v="24-Nov-2025"/>
    <x v="0"/>
    <s v="Week4-Nov-2025"/>
    <x v="2"/>
    <s v="Q3FY26"/>
    <s v="31-Mar-2026"/>
    <s v="Tuesday"/>
    <s v="Monthly - Tuesday"/>
    <s v="Monthly - Tuesday"/>
    <s v="Month+4 Expiry"/>
    <n v="1087"/>
    <n v="2.283"/>
    <n v="0.0433"/>
  </r>
  <r>
    <s v="24-Nov-2025"/>
    <x v="0"/>
    <s v="Week4-Nov-2025"/>
    <x v="2"/>
    <s v="Q3FY26"/>
    <s v="30-Jun-2026"/>
    <s v="Tuesday"/>
    <s v="Monthly - Tuesday"/>
    <s v="Monthly - Tuesday"/>
    <s v="Month+7 Expiry"/>
    <n v="0"/>
    <n v="0"/>
    <n v="0"/>
  </r>
  <r>
    <s v="24-Nov-2025"/>
    <x v="0"/>
    <s v="Week4-Nov-2025"/>
    <x v="2"/>
    <s v="Q3FY26"/>
    <s v="29-Sep-2026"/>
    <s v="Tuesday"/>
    <s v="Monthly - Tuesday"/>
    <s v="Monthly - Tuesday"/>
    <s v="Month+10 Expiry"/>
    <n v="0"/>
    <n v="0"/>
    <n v="0"/>
  </r>
  <r>
    <s v="25-Nov-2025"/>
    <x v="1"/>
    <s v="Week4-Nov-2025"/>
    <x v="2"/>
    <s v="Q3FY26"/>
    <s v="25-Nov-2025"/>
    <s v="Tuesday"/>
    <s v="Monthly - Tuesday"/>
    <s v="Monthly - Tuesday"/>
    <s v="Same Month Expiry"/>
    <n v="79305371"/>
    <n v="161746.661"/>
    <n v="151.4041"/>
  </r>
  <r>
    <s v="25-Nov-2025"/>
    <x v="1"/>
    <s v="Week4-Nov-2025"/>
    <x v="2"/>
    <s v="Q3FY26"/>
    <s v="30-Dec-2025"/>
    <s v="Tuesday"/>
    <s v="Monthly - Tuesday"/>
    <s v="Monthly - Tuesday"/>
    <s v="Month+1 Expiry"/>
    <n v="722792"/>
    <n v="1503.8093"/>
    <n v="15.2352"/>
  </r>
  <r>
    <s v="25-Nov-2025"/>
    <x v="1"/>
    <s v="Week4-Nov-2025"/>
    <x v="2"/>
    <s v="Q3FY26"/>
    <s v="27-Jan-2026"/>
    <s v="Tuesday"/>
    <s v="Monthly - Tuesday"/>
    <s v="Monthly - Tuesday"/>
    <s v="Month+2 Expiry"/>
    <n v="8387"/>
    <n v="15.0803"/>
    <n v="0.1844"/>
  </r>
  <r>
    <s v="25-Nov-2025"/>
    <x v="1"/>
    <s v="Week4-Nov-2025"/>
    <x v="2"/>
    <s v="Q3FY26"/>
    <s v="31-Mar-2026"/>
    <s v="Tuesday"/>
    <s v="Monthly - Tuesday"/>
    <s v="Monthly - Tuesday"/>
    <s v="Month+4 Expiry"/>
    <n v="919"/>
    <n v="1.9265"/>
    <n v="0.0383"/>
  </r>
  <r>
    <s v="25-Nov-2025"/>
    <x v="1"/>
    <s v="Week4-Nov-2025"/>
    <x v="2"/>
    <s v="Q3FY26"/>
    <s v="30-Jun-2026"/>
    <s v="Tuesday"/>
    <s v="Monthly - Tuesday"/>
    <s v="Monthly - Tuesday"/>
    <s v="Month+7 Expiry"/>
    <n v="0"/>
    <n v="0"/>
    <n v="0"/>
  </r>
  <r>
    <s v="25-Nov-2025"/>
    <x v="1"/>
    <s v="Week4-Nov-2025"/>
    <x v="2"/>
    <s v="Q3FY26"/>
    <s v="29-Sep-2026"/>
    <s v="Tuesday"/>
    <s v="Monthly - Tuesday"/>
    <s v="Monthly - Tuesday"/>
    <s v="Month+10 Expiry"/>
    <n v="0"/>
    <n v="0"/>
    <n v="0"/>
  </r>
  <r>
    <s v="26-Nov-2025"/>
    <x v="2"/>
    <s v="Week4-Nov-2025"/>
    <x v="2"/>
    <s v="Q3FY26"/>
    <s v="30-Dec-2025"/>
    <s v="Tuesday"/>
    <s v="Monthly - Tuesday"/>
    <s v="Monthly - Tuesday"/>
    <s v="Month+1 Expiry"/>
    <n v="2110443"/>
    <n v="4410.6045"/>
    <n v="39.1595"/>
  </r>
  <r>
    <s v="26-Nov-2025"/>
    <x v="2"/>
    <s v="Week4-Nov-2025"/>
    <x v="2"/>
    <s v="Q3FY26"/>
    <s v="27-Jan-2026"/>
    <s v="Tuesday"/>
    <s v="Monthly - Tuesday"/>
    <s v="Monthly - Tuesday"/>
    <s v="Month+2 Expiry"/>
    <n v="19811"/>
    <n v="35.6728"/>
    <n v="0.4469"/>
  </r>
  <r>
    <s v="26-Nov-2025"/>
    <x v="2"/>
    <s v="Week4-Nov-2025"/>
    <x v="2"/>
    <s v="Q3FY26"/>
    <s v="24-Feb-2026"/>
    <s v="Tuesday"/>
    <s v="Monthly - Tuesday"/>
    <s v="Monthly - Tuesday"/>
    <s v="Month+3 Expiry"/>
    <n v="159"/>
    <n v="0.28"/>
    <n v="0.0053"/>
  </r>
  <r>
    <s v="26-Nov-2025"/>
    <x v="2"/>
    <s v="Week4-Nov-2025"/>
    <x v="2"/>
    <s v="Q3FY26"/>
    <s v="31-Mar-2026"/>
    <s v="Tuesday"/>
    <s v="Monthly - Tuesday"/>
    <s v="Monthly - Tuesday"/>
    <s v="Month+4 Expiry"/>
    <n v="2433"/>
    <n v="5.0532"/>
    <n v="0.07920000000000001"/>
  </r>
  <r>
    <s v="26-Nov-2025"/>
    <x v="2"/>
    <s v="Week4-Nov-2025"/>
    <x v="2"/>
    <s v="Q3FY26"/>
    <s v="30-Jun-2026"/>
    <s v="Tuesday"/>
    <s v="Monthly - Tuesday"/>
    <s v="Monthly - Tuesday"/>
    <s v="Month+7 Expiry"/>
    <n v="0"/>
    <n v="0"/>
    <n v="0"/>
  </r>
  <r>
    <s v="26-Nov-2025"/>
    <x v="2"/>
    <s v="Week4-Nov-2025"/>
    <x v="2"/>
    <s v="Q3FY26"/>
    <s v="29-Sep-2026"/>
    <s v="Tuesday"/>
    <s v="Monthly - Tuesday"/>
    <s v="Monthly - Tuesday"/>
    <s v="Month+10 Expiry"/>
    <n v="0"/>
    <n v="0"/>
    <n v="0"/>
  </r>
  <r>
    <s v="27-Nov-2025"/>
    <x v="3"/>
    <s v="Week4-Nov-2025"/>
    <x v="2"/>
    <s v="Q3FY26"/>
    <s v="30-Dec-2025"/>
    <s v="Tuesday"/>
    <s v="Monthly - Tuesday"/>
    <s v="Monthly - Tuesday"/>
    <s v="Month+1 Expiry"/>
    <n v="2075050"/>
    <n v="4355.7078"/>
    <n v="40.5044"/>
  </r>
  <r>
    <s v="27-Nov-2025"/>
    <x v="3"/>
    <s v="Week4-Nov-2025"/>
    <x v="2"/>
    <s v="Q3FY26"/>
    <s v="27-Jan-2026"/>
    <s v="Tuesday"/>
    <s v="Monthly - Tuesday"/>
    <s v="Monthly - Tuesday"/>
    <s v="Month+2 Expiry"/>
    <n v="21635"/>
    <n v="38.7577"/>
    <n v="0.4778"/>
  </r>
  <r>
    <s v="27-Nov-2025"/>
    <x v="3"/>
    <s v="Week4-Nov-2025"/>
    <x v="2"/>
    <s v="Q3FY26"/>
    <s v="24-Feb-2026"/>
    <s v="Tuesday"/>
    <s v="Monthly - Tuesday"/>
    <s v="Monthly - Tuesday"/>
    <s v="Month+3 Expiry"/>
    <n v="263"/>
    <n v="0.4715"/>
    <n v="0.007900000000000001"/>
  </r>
  <r>
    <s v="27-Nov-2025"/>
    <x v="3"/>
    <s v="Week4-Nov-2025"/>
    <x v="2"/>
    <s v="Q3FY26"/>
    <s v="31-Mar-2026"/>
    <s v="Tuesday"/>
    <s v="Monthly - Tuesday"/>
    <s v="Monthly - Tuesday"/>
    <s v="Month+4 Expiry"/>
    <n v="1803"/>
    <n v="3.7632"/>
    <n v="0.0618"/>
  </r>
  <r>
    <s v="27-Nov-2025"/>
    <x v="3"/>
    <s v="Week4-Nov-2025"/>
    <x v="2"/>
    <s v="Q3FY26"/>
    <s v="30-Jun-2026"/>
    <s v="Tuesday"/>
    <s v="Monthly - Tuesday"/>
    <s v="Monthly - Tuesday"/>
    <s v="Month+7 Expiry"/>
    <n v="0"/>
    <n v="0"/>
    <n v="0"/>
  </r>
  <r>
    <s v="27-Nov-2025"/>
    <x v="3"/>
    <s v="Week4-Nov-2025"/>
    <x v="2"/>
    <s v="Q3FY26"/>
    <s v="29-Sep-2026"/>
    <s v="Tuesday"/>
    <s v="Monthly - Tuesday"/>
    <s v="Monthly - Tuesday"/>
    <s v="Month+10 Expiry"/>
    <n v="0"/>
    <n v="0"/>
    <n v="0"/>
  </r>
  <r>
    <s v="28-Nov-2025"/>
    <x v="4"/>
    <s v="Week4-Nov-2025"/>
    <x v="2"/>
    <s v="Q3FY26"/>
    <s v="30-Dec-2025"/>
    <s v="Tuesday"/>
    <s v="Monthly - Tuesday"/>
    <s v="Monthly - Tuesday"/>
    <s v="Month+1 Expiry"/>
    <n v="1708304"/>
    <n v="3582.4952"/>
    <n v="31.6002"/>
  </r>
  <r>
    <s v="28-Nov-2025"/>
    <x v="4"/>
    <s v="Week4-Nov-2025"/>
    <x v="2"/>
    <s v="Q3FY26"/>
    <s v="27-Jan-2026"/>
    <s v="Tuesday"/>
    <s v="Monthly - Tuesday"/>
    <s v="Monthly - Tuesday"/>
    <s v="Month+2 Expiry"/>
    <n v="15141"/>
    <n v="27.3464"/>
    <n v="0.3575"/>
  </r>
  <r>
    <s v="28-Nov-2025"/>
    <x v="4"/>
    <s v="Week4-Nov-2025"/>
    <x v="2"/>
    <s v="Q3FY26"/>
    <s v="24-Feb-2026"/>
    <s v="Tuesday"/>
    <s v="Monthly - Tuesday"/>
    <s v="Monthly - Tuesday"/>
    <s v="Month+3 Expiry"/>
    <n v="254"/>
    <n v="0.4633"/>
    <n v="0.0089"/>
  </r>
  <r>
    <s v="28-Nov-2025"/>
    <x v="4"/>
    <s v="Week4-Nov-2025"/>
    <x v="2"/>
    <s v="Q3FY26"/>
    <s v="31-Mar-2026"/>
    <s v="Tuesday"/>
    <s v="Monthly - Tuesday"/>
    <s v="Monthly - Tuesday"/>
    <s v="Month+4 Expiry"/>
    <n v="1989"/>
    <n v="4.1247"/>
    <n v="0.0582"/>
  </r>
  <r>
    <s v="28-Nov-2025"/>
    <x v="4"/>
    <s v="Week4-Nov-2025"/>
    <x v="2"/>
    <s v="Q3FY26"/>
    <s v="30-Jun-2026"/>
    <s v="Tuesday"/>
    <s v="Monthly - Tuesday"/>
    <s v="Monthly - Tuesday"/>
    <s v="Month+7 Expiry"/>
    <n v="0"/>
    <n v="0"/>
    <n v="0"/>
  </r>
  <r>
    <s v="28-Nov-2025"/>
    <x v="4"/>
    <s v="Week4-Nov-2025"/>
    <x v="2"/>
    <s v="Q3FY26"/>
    <s v="29-Sep-2026"/>
    <s v="Tuesday"/>
    <s v="Monthly - Tuesday"/>
    <s v="Monthly - Tuesday"/>
    <s v="Month+10 Expiry"/>
    <n v="0"/>
    <n v="0"/>
    <n v="0"/>
  </r>
  <r>
    <s v="01-Dec-2025"/>
    <x v="0"/>
    <s v="Week1-Dec-2025"/>
    <x v="3"/>
    <s v="Q3FY26"/>
    <s v="30-Dec-2025"/>
    <s v="Tuesday"/>
    <s v="Monthly - Tuesday"/>
    <s v="Monthly - Tuesday"/>
    <s v="Same Month Expiry"/>
    <n v="2279487"/>
    <n v="4797.7946"/>
    <n v="40.0224"/>
  </r>
  <r>
    <s v="01-Dec-2025"/>
    <x v="0"/>
    <s v="Week1-Dec-2025"/>
    <x v="3"/>
    <s v="Q3FY26"/>
    <s v="27-Jan-2026"/>
    <s v="Tuesday"/>
    <s v="Monthly - Tuesday"/>
    <s v="Monthly - Tuesday"/>
    <s v="Month+1 Expiry"/>
    <n v="24325"/>
    <n v="44.2685"/>
    <n v="0.5029"/>
  </r>
  <r>
    <s v="01-Dec-2025"/>
    <x v="0"/>
    <s v="Week1-Dec-2025"/>
    <x v="3"/>
    <s v="Q3FY26"/>
    <s v="24-Feb-2026"/>
    <s v="Tuesday"/>
    <s v="Monthly - Tuesday"/>
    <s v="Monthly - Tuesday"/>
    <s v="Month+2 Expiry"/>
    <n v="1275"/>
    <n v="2.2589"/>
    <n v="0.0274"/>
  </r>
  <r>
    <s v="01-Dec-2025"/>
    <x v="0"/>
    <s v="Week1-Dec-2025"/>
    <x v="3"/>
    <s v="Q3FY26"/>
    <s v="31-Mar-2026"/>
    <s v="Tuesday"/>
    <s v="Monthly - Tuesday"/>
    <s v="Monthly - Tuesday"/>
    <s v="Month+3 Expiry"/>
    <n v="8334"/>
    <n v="17.1655"/>
    <n v="0.2028"/>
  </r>
  <r>
    <s v="01-Dec-2025"/>
    <x v="0"/>
    <s v="Week1-Dec-2025"/>
    <x v="3"/>
    <s v="Q3FY26"/>
    <s v="30-Jun-2026"/>
    <s v="Tuesday"/>
    <s v="Monthly - Tuesday"/>
    <s v="Monthly - Tuesday"/>
    <s v="Month+6 Expiry"/>
    <n v="0"/>
    <n v="0"/>
    <n v="0"/>
  </r>
  <r>
    <s v="01-Dec-2025"/>
    <x v="0"/>
    <s v="Week1-Dec-2025"/>
    <x v="3"/>
    <s v="Q3FY26"/>
    <s v="29-Sep-2026"/>
    <s v="Tuesday"/>
    <s v="Monthly - Tuesday"/>
    <s v="Monthly - Tuesday"/>
    <s v="Month+9 Expiry"/>
    <n v="0"/>
    <n v="0"/>
    <n v="0"/>
  </r>
  <r>
    <s v="02-Dec-2025"/>
    <x v="1"/>
    <s v="Week1-Dec-2025"/>
    <x v="3"/>
    <s v="Q3FY26"/>
    <s v="30-Dec-2025"/>
    <s v="Tuesday"/>
    <s v="Monthly - Tuesday"/>
    <s v="Monthly - Tuesday"/>
    <s v="Same Month Expiry"/>
    <n v="1916768"/>
    <n v="4007.9853"/>
    <n v="34.1548"/>
  </r>
  <r>
    <s v="02-Dec-2025"/>
    <x v="1"/>
    <s v="Week1-Dec-2025"/>
    <x v="3"/>
    <s v="Q3FY26"/>
    <s v="27-Jan-2026"/>
    <s v="Tuesday"/>
    <s v="Monthly - Tuesday"/>
    <s v="Monthly - Tuesday"/>
    <s v="Month+1 Expiry"/>
    <n v="18854"/>
    <n v="34.3195"/>
    <n v="0.4161"/>
  </r>
  <r>
    <s v="02-Dec-2025"/>
    <x v="1"/>
    <s v="Week1-Dec-2025"/>
    <x v="3"/>
    <s v="Q3FY26"/>
    <s v="24-Feb-2026"/>
    <s v="Tuesday"/>
    <s v="Monthly - Tuesday"/>
    <s v="Monthly - Tuesday"/>
    <s v="Month+2 Expiry"/>
    <n v="971"/>
    <n v="1.7424"/>
    <n v="0.0222"/>
  </r>
  <r>
    <s v="02-Dec-2025"/>
    <x v="1"/>
    <s v="Week1-Dec-2025"/>
    <x v="3"/>
    <s v="Q3FY26"/>
    <s v="31-Mar-2026"/>
    <s v="Tuesday"/>
    <s v="Monthly - Tuesday"/>
    <s v="Monthly - Tuesday"/>
    <s v="Month+3 Expiry"/>
    <n v="1683"/>
    <n v="3.5467"/>
    <n v="0.0689"/>
  </r>
  <r>
    <s v="02-Dec-2025"/>
    <x v="1"/>
    <s v="Week1-Dec-2025"/>
    <x v="3"/>
    <s v="Q3FY26"/>
    <s v="30-Jun-2026"/>
    <s v="Tuesday"/>
    <s v="Monthly - Tuesday"/>
    <s v="Monthly - Tuesday"/>
    <s v="Month+6 Expiry"/>
    <n v="0"/>
    <n v="0"/>
    <n v="0"/>
  </r>
  <r>
    <s v="02-Dec-2025"/>
    <x v="1"/>
    <s v="Week1-Dec-2025"/>
    <x v="3"/>
    <s v="Q3FY26"/>
    <s v="29-Sep-2026"/>
    <s v="Tuesday"/>
    <s v="Monthly - Tuesday"/>
    <s v="Monthly - Tuesday"/>
    <s v="Month+9 Expiry"/>
    <n v="0"/>
    <n v="0"/>
    <n v="0"/>
  </r>
  <r>
    <s v="03-Dec-2025"/>
    <x v="2"/>
    <s v="Week1-Dec-2025"/>
    <x v="3"/>
    <s v="Q3FY26"/>
    <s v="30-Dec-2025"/>
    <s v="Tuesday"/>
    <s v="Monthly - Tuesday"/>
    <s v="Monthly - Tuesday"/>
    <s v="Same Month Expiry"/>
    <n v="2431052"/>
    <n v="5070.0182"/>
    <n v="40.2407"/>
  </r>
  <r>
    <s v="03-Dec-2025"/>
    <x v="2"/>
    <s v="Week1-Dec-2025"/>
    <x v="3"/>
    <s v="Q3FY26"/>
    <s v="27-Jan-2026"/>
    <s v="Tuesday"/>
    <s v="Monthly - Tuesday"/>
    <s v="Monthly - Tuesday"/>
    <s v="Month+1 Expiry"/>
    <n v="29815"/>
    <n v="54.0005"/>
    <n v="0.549"/>
  </r>
  <r>
    <s v="03-Dec-2025"/>
    <x v="2"/>
    <s v="Week1-Dec-2025"/>
    <x v="3"/>
    <s v="Q3FY26"/>
    <s v="24-Feb-2026"/>
    <s v="Tuesday"/>
    <s v="Monthly - Tuesday"/>
    <s v="Monthly - Tuesday"/>
    <s v="Month+2 Expiry"/>
    <n v="1192"/>
    <n v="2.1194"/>
    <n v="0.024"/>
  </r>
  <r>
    <s v="03-Dec-2025"/>
    <x v="2"/>
    <s v="Week1-Dec-2025"/>
    <x v="3"/>
    <s v="Q3FY26"/>
    <s v="31-Mar-2026"/>
    <s v="Tuesday"/>
    <s v="Monthly - Tuesday"/>
    <s v="Monthly - Tuesday"/>
    <s v="Month+3 Expiry"/>
    <n v="2903"/>
    <n v="6.0395"/>
    <n v="0.0977"/>
  </r>
  <r>
    <s v="03-Dec-2025"/>
    <x v="2"/>
    <s v="Week1-Dec-2025"/>
    <x v="3"/>
    <s v="Q3FY26"/>
    <s v="30-Jun-2026"/>
    <s v="Tuesday"/>
    <s v="Monthly - Tuesday"/>
    <s v="Monthly - Tuesday"/>
    <s v="Month+6 Expiry"/>
    <n v="0"/>
    <n v="0"/>
    <n v="0"/>
  </r>
  <r>
    <s v="03-Dec-2025"/>
    <x v="2"/>
    <s v="Week1-Dec-2025"/>
    <x v="3"/>
    <s v="Q3FY26"/>
    <s v="29-Sep-2026"/>
    <s v="Tuesday"/>
    <s v="Monthly - Tuesday"/>
    <s v="Monthly - Tuesday"/>
    <s v="Month+9 Expiry"/>
    <n v="0"/>
    <n v="0"/>
    <n v="0"/>
  </r>
  <r>
    <s v="04-Dec-2025"/>
    <x v="3"/>
    <s v="Week1-Dec-2025"/>
    <x v="3"/>
    <s v="Q3FY26"/>
    <s v="30-Dec-2025"/>
    <s v="Tuesday"/>
    <s v="Monthly - Tuesday"/>
    <s v="Monthly - Tuesday"/>
    <s v="Same Month Expiry"/>
    <n v="1959814"/>
    <n v="4089.3638"/>
    <n v="32.9776"/>
  </r>
  <r>
    <s v="04-Dec-2025"/>
    <x v="3"/>
    <s v="Week1-Dec-2025"/>
    <x v="3"/>
    <s v="Q3FY26"/>
    <s v="27-Jan-2026"/>
    <s v="Tuesday"/>
    <s v="Monthly - Tuesday"/>
    <s v="Monthly - Tuesday"/>
    <s v="Month+1 Expiry"/>
    <n v="16349"/>
    <n v="29.5948"/>
    <n v="0.3239"/>
  </r>
  <r>
    <s v="04-Dec-2025"/>
    <x v="3"/>
    <s v="Week1-Dec-2025"/>
    <x v="3"/>
    <s v="Q3FY26"/>
    <s v="24-Feb-2026"/>
    <s v="Tuesday"/>
    <s v="Monthly - Tuesday"/>
    <s v="Monthly - Tuesday"/>
    <s v="Month+2 Expiry"/>
    <n v="1569"/>
    <n v="2.8635"/>
    <n v="0.0336"/>
  </r>
  <r>
    <s v="04-Dec-2025"/>
    <x v="3"/>
    <s v="Week1-Dec-2025"/>
    <x v="3"/>
    <s v="Q3FY26"/>
    <s v="31-Mar-2026"/>
    <s v="Tuesday"/>
    <s v="Monthly - Tuesday"/>
    <s v="Monthly - Tuesday"/>
    <s v="Month+3 Expiry"/>
    <n v="1050"/>
    <n v="2.188"/>
    <n v="0.0351"/>
  </r>
  <r>
    <s v="04-Dec-2025"/>
    <x v="3"/>
    <s v="Week1-Dec-2025"/>
    <x v="3"/>
    <s v="Q3FY26"/>
    <s v="30-Jun-2026"/>
    <s v="Tuesday"/>
    <s v="Monthly - Tuesday"/>
    <s v="Monthly - Tuesday"/>
    <s v="Month+6 Expiry"/>
    <n v="0"/>
    <n v="0"/>
    <n v="0"/>
  </r>
  <r>
    <s v="04-Dec-2025"/>
    <x v="3"/>
    <s v="Week1-Dec-2025"/>
    <x v="3"/>
    <s v="Q3FY26"/>
    <s v="29-Sep-2026"/>
    <s v="Tuesday"/>
    <s v="Monthly - Tuesday"/>
    <s v="Monthly - Tuesday"/>
    <s v="Month+9 Expiry"/>
    <n v="0"/>
    <n v="0"/>
    <n v="0"/>
  </r>
  <r>
    <s v="05-Dec-2025"/>
    <x v="4"/>
    <s v="Week1-Dec-2025"/>
    <x v="3"/>
    <s v="Q3FY26"/>
    <s v="30-Dec-2025"/>
    <s v="Tuesday"/>
    <s v="Monthly - Tuesday"/>
    <s v="Monthly - Tuesday"/>
    <s v="Same Month Expiry"/>
    <n v="3058190"/>
    <n v="6396.9837"/>
    <n v="46.9468"/>
  </r>
  <r>
    <s v="05-Dec-2025"/>
    <x v="4"/>
    <s v="Week1-Dec-2025"/>
    <x v="3"/>
    <s v="Q3FY26"/>
    <s v="27-Jan-2026"/>
    <s v="Tuesday"/>
    <s v="Monthly - Tuesday"/>
    <s v="Monthly - Tuesday"/>
    <s v="Month+1 Expiry"/>
    <n v="53615"/>
    <n v="95.95189999999999"/>
    <n v="0.9323"/>
  </r>
  <r>
    <s v="05-Dec-2025"/>
    <x v="4"/>
    <s v="Week1-Dec-2025"/>
    <x v="3"/>
    <s v="Q3FY26"/>
    <s v="24-Feb-2026"/>
    <s v="Tuesday"/>
    <s v="Monthly - Tuesday"/>
    <s v="Monthly - Tuesday"/>
    <s v="Month+2 Expiry"/>
    <n v="1466"/>
    <n v="2.6098"/>
    <n v="0.0268"/>
  </r>
  <r>
    <s v="05-Dec-2025"/>
    <x v="4"/>
    <s v="Week1-Dec-2025"/>
    <x v="3"/>
    <s v="Q3FY26"/>
    <s v="31-Mar-2026"/>
    <s v="Tuesday"/>
    <s v="Monthly - Tuesday"/>
    <s v="Monthly - Tuesday"/>
    <s v="Month+3 Expiry"/>
    <n v="1893"/>
    <n v="3.9146"/>
    <n v="0.0492"/>
  </r>
  <r>
    <s v="05-Dec-2025"/>
    <x v="4"/>
    <s v="Week1-Dec-2025"/>
    <x v="3"/>
    <s v="Q3FY26"/>
    <s v="30-Jun-2026"/>
    <s v="Tuesday"/>
    <s v="Monthly - Tuesday"/>
    <s v="Monthly - Tuesday"/>
    <s v="Month+6 Expiry"/>
    <n v="0"/>
    <n v="0"/>
    <n v="0"/>
  </r>
  <r>
    <s v="05-Dec-2025"/>
    <x v="4"/>
    <s v="Week1-Dec-2025"/>
    <x v="3"/>
    <s v="Q3FY26"/>
    <s v="29-Sep-2026"/>
    <s v="Tuesday"/>
    <s v="Monthly - Tuesday"/>
    <s v="Monthly - Tuesday"/>
    <s v="Month+9 Expiry"/>
    <n v="0"/>
    <n v="0"/>
    <n v="0"/>
  </r>
  <r>
    <s v="08-Dec-2025"/>
    <x v="0"/>
    <s v="Week2-Dec-2025"/>
    <x v="3"/>
    <s v="Q3FY26"/>
    <s v="30-Dec-2025"/>
    <s v="Tuesday"/>
    <s v="Monthly - Tuesday"/>
    <s v="Monthly - Tuesday"/>
    <s v="Same Month Expiry"/>
    <n v="2909142"/>
    <n v="6061.2431"/>
    <n v="43.1431"/>
  </r>
  <r>
    <s v="08-Dec-2025"/>
    <x v="0"/>
    <s v="Week2-Dec-2025"/>
    <x v="3"/>
    <s v="Q3FY26"/>
    <s v="27-Jan-2026"/>
    <s v="Tuesday"/>
    <s v="Monthly - Tuesday"/>
    <s v="Monthly - Tuesday"/>
    <s v="Month+1 Expiry"/>
    <n v="58358"/>
    <n v="105.8731"/>
    <n v="1.34"/>
  </r>
  <r>
    <s v="08-Dec-2025"/>
    <x v="0"/>
    <s v="Week2-Dec-2025"/>
    <x v="3"/>
    <s v="Q3FY26"/>
    <s v="24-Feb-2026"/>
    <s v="Tuesday"/>
    <s v="Monthly - Tuesday"/>
    <s v="Monthly - Tuesday"/>
    <s v="Month+2 Expiry"/>
    <n v="2710"/>
    <n v="4.8841"/>
    <n v="0.0525"/>
  </r>
  <r>
    <s v="08-Dec-2025"/>
    <x v="0"/>
    <s v="Week2-Dec-2025"/>
    <x v="3"/>
    <s v="Q3FY26"/>
    <s v="31-Mar-2026"/>
    <s v="Tuesday"/>
    <s v="Monthly - Tuesday"/>
    <s v="Monthly - Tuesday"/>
    <s v="Month+3 Expiry"/>
    <n v="1565"/>
    <n v="3.2873"/>
    <n v="0.0564"/>
  </r>
  <r>
    <s v="08-Dec-2025"/>
    <x v="0"/>
    <s v="Week2-Dec-2025"/>
    <x v="3"/>
    <s v="Q3FY26"/>
    <s v="30-Jun-2026"/>
    <s v="Tuesday"/>
    <s v="Monthly - Tuesday"/>
    <s v="Monthly - Tuesday"/>
    <s v="Month+6 Expiry"/>
    <n v="0"/>
    <n v="0"/>
    <n v="0"/>
  </r>
  <r>
    <s v="08-Dec-2025"/>
    <x v="0"/>
    <s v="Week2-Dec-2025"/>
    <x v="3"/>
    <s v="Q3FY26"/>
    <s v="29-Sep-2026"/>
    <s v="Tuesday"/>
    <s v="Monthly - Tuesday"/>
    <s v="Monthly - Tuesday"/>
    <s v="Month+9 Expiry"/>
    <n v="0"/>
    <n v="0"/>
    <n v="0"/>
  </r>
  <r>
    <s v="09-Dec-2025"/>
    <x v="1"/>
    <s v="Week2-Dec-2025"/>
    <x v="3"/>
    <s v="Q3FY26"/>
    <s v="30-Dec-2025"/>
    <s v="Tuesday"/>
    <s v="Monthly - Tuesday"/>
    <s v="Monthly - Tuesday"/>
    <s v="Same Month Expiry"/>
    <n v="2848895"/>
    <n v="5918.9615"/>
    <n v="41.0704"/>
  </r>
  <r>
    <s v="09-Dec-2025"/>
    <x v="1"/>
    <s v="Week2-Dec-2025"/>
    <x v="3"/>
    <s v="Q3FY26"/>
    <s v="27-Jan-2026"/>
    <s v="Tuesday"/>
    <s v="Monthly - Tuesday"/>
    <s v="Monthly - Tuesday"/>
    <s v="Month+1 Expiry"/>
    <n v="69626"/>
    <n v="125.8603"/>
    <n v="1.7098"/>
  </r>
  <r>
    <s v="09-Dec-2025"/>
    <x v="1"/>
    <s v="Week2-Dec-2025"/>
    <x v="3"/>
    <s v="Q3FY26"/>
    <s v="24-Feb-2026"/>
    <s v="Tuesday"/>
    <s v="Monthly - Tuesday"/>
    <s v="Monthly - Tuesday"/>
    <s v="Month+2 Expiry"/>
    <n v="2255"/>
    <n v="3.9959"/>
    <n v="0.0418"/>
  </r>
  <r>
    <s v="09-Dec-2025"/>
    <x v="1"/>
    <s v="Week2-Dec-2025"/>
    <x v="3"/>
    <s v="Q3FY26"/>
    <s v="31-Mar-2026"/>
    <s v="Tuesday"/>
    <s v="Monthly - Tuesday"/>
    <s v="Monthly - Tuesday"/>
    <s v="Month+3 Expiry"/>
    <n v="1983"/>
    <n v="4.1555"/>
    <n v="0.0868"/>
  </r>
  <r>
    <s v="09-Dec-2025"/>
    <x v="1"/>
    <s v="Week2-Dec-2025"/>
    <x v="3"/>
    <s v="Q3FY26"/>
    <s v="30-Jun-2026"/>
    <s v="Tuesday"/>
    <s v="Monthly - Tuesday"/>
    <s v="Monthly - Tuesday"/>
    <s v="Month+6 Expiry"/>
    <n v="0"/>
    <n v="0"/>
    <n v="0"/>
  </r>
  <r>
    <s v="09-Dec-2025"/>
    <x v="1"/>
    <s v="Week2-Dec-2025"/>
    <x v="3"/>
    <s v="Q3FY26"/>
    <s v="29-Sep-2026"/>
    <s v="Tuesday"/>
    <s v="Monthly - Tuesday"/>
    <s v="Monthly - Tuesday"/>
    <s v="Month+9 Expiry"/>
    <n v="0"/>
    <n v="0"/>
    <n v="0"/>
  </r>
  <r>
    <s v="10-Dec-2025"/>
    <x v="2"/>
    <s v="Week2-Dec-2025"/>
    <x v="3"/>
    <s v="Q3FY26"/>
    <s v="30-Dec-2025"/>
    <s v="Tuesday"/>
    <s v="Monthly - Tuesday"/>
    <s v="Monthly - Tuesday"/>
    <s v="Same Month Expiry"/>
    <n v="2906344"/>
    <n v="6034.8237"/>
    <n v="41.3086"/>
  </r>
  <r>
    <s v="10-Dec-2025"/>
    <x v="2"/>
    <s v="Week2-Dec-2025"/>
    <x v="3"/>
    <s v="Q3FY26"/>
    <s v="27-Jan-2026"/>
    <s v="Tuesday"/>
    <s v="Monthly - Tuesday"/>
    <s v="Monthly - Tuesday"/>
    <s v="Month+1 Expiry"/>
    <n v="57094"/>
    <n v="103.0858"/>
    <n v="1.1903"/>
  </r>
  <r>
    <s v="10-Dec-2025"/>
    <x v="2"/>
    <s v="Week2-Dec-2025"/>
    <x v="3"/>
    <s v="Q3FY26"/>
    <s v="24-Feb-2026"/>
    <s v="Tuesday"/>
    <s v="Monthly - Tuesday"/>
    <s v="Monthly - Tuesday"/>
    <s v="Month+2 Expiry"/>
    <n v="3361"/>
    <n v="6.0274"/>
    <n v="0.0738"/>
  </r>
  <r>
    <s v="10-Dec-2025"/>
    <x v="2"/>
    <s v="Week2-Dec-2025"/>
    <x v="3"/>
    <s v="Q3FY26"/>
    <s v="31-Mar-2026"/>
    <s v="Tuesday"/>
    <s v="Monthly - Tuesday"/>
    <s v="Monthly - Tuesday"/>
    <s v="Month+3 Expiry"/>
    <n v="2156"/>
    <n v="4.4219"/>
    <n v="0.0612"/>
  </r>
  <r>
    <s v="10-Dec-2025"/>
    <x v="2"/>
    <s v="Week2-Dec-2025"/>
    <x v="3"/>
    <s v="Q3FY26"/>
    <s v="30-Jun-2026"/>
    <s v="Tuesday"/>
    <s v="Monthly - Tuesday"/>
    <s v="Monthly - Tuesday"/>
    <s v="Month+6 Expiry"/>
    <n v="0"/>
    <n v="0"/>
    <n v="0"/>
  </r>
  <r>
    <s v="10-Dec-2025"/>
    <x v="2"/>
    <s v="Week2-Dec-2025"/>
    <x v="3"/>
    <s v="Q3FY26"/>
    <s v="29-Sep-2026"/>
    <s v="Tuesday"/>
    <s v="Monthly - Tuesday"/>
    <s v="Monthly - Tuesday"/>
    <s v="Month+9 Expiry"/>
    <n v="0"/>
    <n v="0"/>
    <n v="0"/>
  </r>
  <r>
    <s v="11-Dec-2025"/>
    <x v="3"/>
    <s v="Week2-Dec-2025"/>
    <x v="3"/>
    <s v="Q3FY26"/>
    <s v="30-Dec-2025"/>
    <s v="Tuesday"/>
    <s v="Monthly - Tuesday"/>
    <s v="Monthly - Tuesday"/>
    <s v="Same Month Expiry"/>
    <n v="3034560"/>
    <n v="6294.1981"/>
    <n v="41.1379"/>
  </r>
  <r>
    <s v="11-Dec-2025"/>
    <x v="3"/>
    <s v="Week2-Dec-2025"/>
    <x v="3"/>
    <s v="Q3FY26"/>
    <s v="27-Jan-2026"/>
    <s v="Tuesday"/>
    <s v="Monthly - Tuesday"/>
    <s v="Monthly - Tuesday"/>
    <s v="Month+1 Expiry"/>
    <n v="72786"/>
    <n v="131.5861"/>
    <n v="1.6396"/>
  </r>
  <r>
    <s v="11-Dec-2025"/>
    <x v="3"/>
    <s v="Week2-Dec-2025"/>
    <x v="3"/>
    <s v="Q3FY26"/>
    <s v="24-Feb-2026"/>
    <s v="Tuesday"/>
    <s v="Monthly - Tuesday"/>
    <s v="Monthly - Tuesday"/>
    <s v="Month+2 Expiry"/>
    <n v="3137"/>
    <n v="5.6498"/>
    <n v="0.0599"/>
  </r>
  <r>
    <s v="11-Dec-2025"/>
    <x v="3"/>
    <s v="Week2-Dec-2025"/>
    <x v="3"/>
    <s v="Q3FY26"/>
    <s v="31-Mar-2026"/>
    <s v="Tuesday"/>
    <s v="Monthly - Tuesday"/>
    <s v="Monthly - Tuesday"/>
    <s v="Month+3 Expiry"/>
    <n v="1024"/>
    <n v="2.14"/>
    <n v="0.0353"/>
  </r>
  <r>
    <s v="11-Dec-2025"/>
    <x v="3"/>
    <s v="Week2-Dec-2025"/>
    <x v="3"/>
    <s v="Q3FY26"/>
    <s v="30-Jun-2026"/>
    <s v="Tuesday"/>
    <s v="Monthly - Tuesday"/>
    <s v="Monthly - Tuesday"/>
    <s v="Month+6 Expiry"/>
    <n v="0"/>
    <n v="0"/>
    <n v="0"/>
  </r>
  <r>
    <s v="11-Dec-2025"/>
    <x v="3"/>
    <s v="Week2-Dec-2025"/>
    <x v="3"/>
    <s v="Q3FY26"/>
    <s v="29-Sep-2026"/>
    <s v="Tuesday"/>
    <s v="Monthly - Tuesday"/>
    <s v="Monthly - Tuesday"/>
    <s v="Month+9 Expiry"/>
    <n v="0"/>
    <n v="0"/>
    <n v="0"/>
  </r>
  <r>
    <s v="12-Dec-2025"/>
    <x v="4"/>
    <s v="Week2-Dec-2025"/>
    <x v="3"/>
    <s v="Q3FY26"/>
    <s v="30-Dec-2025"/>
    <s v="Tuesday"/>
    <s v="Monthly - Tuesday"/>
    <s v="Monthly - Tuesday"/>
    <s v="Same Month Expiry"/>
    <n v="2840229"/>
    <n v="5898.0156"/>
    <n v="36.7417"/>
  </r>
  <r>
    <s v="12-Dec-2025"/>
    <x v="4"/>
    <s v="Week2-Dec-2025"/>
    <x v="3"/>
    <s v="Q3FY26"/>
    <s v="27-Jan-2026"/>
    <s v="Tuesday"/>
    <s v="Monthly - Tuesday"/>
    <s v="Monthly - Tuesday"/>
    <s v="Month+1 Expiry"/>
    <n v="56415"/>
    <n v="101.8547"/>
    <n v="1.1126"/>
  </r>
  <r>
    <s v="12-Dec-2025"/>
    <x v="4"/>
    <s v="Week2-Dec-2025"/>
    <x v="3"/>
    <s v="Q3FY26"/>
    <s v="24-Feb-2026"/>
    <s v="Tuesday"/>
    <s v="Monthly - Tuesday"/>
    <s v="Monthly - Tuesday"/>
    <s v="Month+2 Expiry"/>
    <n v="2244"/>
    <n v="4.0287"/>
    <n v="0.0414"/>
  </r>
  <r>
    <s v="12-Dec-2025"/>
    <x v="4"/>
    <s v="Week2-Dec-2025"/>
    <x v="3"/>
    <s v="Q3FY26"/>
    <s v="31-Mar-2026"/>
    <s v="Tuesday"/>
    <s v="Monthly - Tuesday"/>
    <s v="Monthly - Tuesday"/>
    <s v="Month+3 Expiry"/>
    <n v="557"/>
    <n v="1.1605"/>
    <n v="0.0194"/>
  </r>
  <r>
    <s v="12-Dec-2025"/>
    <x v="4"/>
    <s v="Week2-Dec-2025"/>
    <x v="3"/>
    <s v="Q3FY26"/>
    <s v="30-Jun-2026"/>
    <s v="Tuesday"/>
    <s v="Monthly - Tuesday"/>
    <s v="Monthly - Tuesday"/>
    <s v="Month+6 Expiry"/>
    <n v="0"/>
    <n v="0"/>
    <n v="0"/>
  </r>
  <r>
    <s v="12-Dec-2025"/>
    <x v="4"/>
    <s v="Week2-Dec-2025"/>
    <x v="3"/>
    <s v="Q3FY26"/>
    <s v="29-Sep-2026"/>
    <s v="Tuesday"/>
    <s v="Monthly - Tuesday"/>
    <s v="Monthly - Tuesday"/>
    <s v="Month+9 Expiry"/>
    <n v="0"/>
    <n v="0"/>
    <n v="0"/>
  </r>
  <r>
    <s v="15-Dec-2025"/>
    <x v="0"/>
    <s v="Week3-Dec-2025"/>
    <x v="3"/>
    <s v="Q3FY26"/>
    <s v="30-Dec-2025"/>
    <s v="Tuesday"/>
    <s v="Monthly - Tuesday"/>
    <s v="Monthly - Tuesday"/>
    <s v="Same Month Expiry"/>
    <n v="2655527"/>
    <n v="5520.0561"/>
    <n v="31.8478"/>
  </r>
  <r>
    <s v="15-Dec-2025"/>
    <x v="0"/>
    <s v="Week3-Dec-2025"/>
    <x v="3"/>
    <s v="Q3FY26"/>
    <s v="27-Jan-2026"/>
    <s v="Tuesday"/>
    <s v="Monthly - Tuesday"/>
    <s v="Monthly - Tuesday"/>
    <s v="Month+1 Expiry"/>
    <n v="59568"/>
    <n v="107.6115"/>
    <n v="1.1172"/>
  </r>
  <r>
    <s v="15-Dec-2025"/>
    <x v="0"/>
    <s v="Week3-Dec-2025"/>
    <x v="3"/>
    <s v="Q3FY26"/>
    <s v="24-Feb-2026"/>
    <s v="Tuesday"/>
    <s v="Monthly - Tuesday"/>
    <s v="Monthly - Tuesday"/>
    <s v="Month+2 Expiry"/>
    <n v="2465"/>
    <n v="4.4354"/>
    <n v="0.0469"/>
  </r>
  <r>
    <s v="15-Dec-2025"/>
    <x v="0"/>
    <s v="Week3-Dec-2025"/>
    <x v="3"/>
    <s v="Q3FY26"/>
    <s v="31-Mar-2026"/>
    <s v="Tuesday"/>
    <s v="Monthly - Tuesday"/>
    <s v="Monthly - Tuesday"/>
    <s v="Month+3 Expiry"/>
    <n v="634"/>
    <n v="1.3226"/>
    <n v="0.0211"/>
  </r>
  <r>
    <s v="15-Dec-2025"/>
    <x v="0"/>
    <s v="Week3-Dec-2025"/>
    <x v="3"/>
    <s v="Q3FY26"/>
    <s v="30-Jun-2026"/>
    <s v="Tuesday"/>
    <s v="Monthly - Tuesday"/>
    <s v="Monthly - Tuesday"/>
    <s v="Month+6 Expiry"/>
    <n v="0"/>
    <n v="0"/>
    <n v="0"/>
  </r>
  <r>
    <s v="15-Dec-2025"/>
    <x v="0"/>
    <s v="Week3-Dec-2025"/>
    <x v="3"/>
    <s v="Q3FY26"/>
    <s v="29-Sep-2026"/>
    <s v="Tuesday"/>
    <s v="Monthly - Tuesday"/>
    <s v="Monthly - Tuesday"/>
    <s v="Month+9 Expiry"/>
    <n v="0"/>
    <n v="0"/>
    <n v="0"/>
  </r>
  <r>
    <s v="16-Dec-2025"/>
    <x v="1"/>
    <s v="Week3-Dec-2025"/>
    <x v="3"/>
    <s v="Q3FY26"/>
    <s v="30-Dec-2025"/>
    <s v="Tuesday"/>
    <s v="Monthly - Tuesday"/>
    <s v="Monthly - Tuesday"/>
    <s v="Same Month Expiry"/>
    <n v="2787074"/>
    <n v="5781.1747"/>
    <n v="32.6153"/>
  </r>
  <r>
    <s v="16-Dec-2025"/>
    <x v="1"/>
    <s v="Week3-Dec-2025"/>
    <x v="3"/>
    <s v="Q3FY26"/>
    <s v="27-Jan-2026"/>
    <s v="Tuesday"/>
    <s v="Monthly - Tuesday"/>
    <s v="Monthly - Tuesday"/>
    <s v="Month+1 Expiry"/>
    <n v="57880"/>
    <n v="104.3718"/>
    <n v="1.1118"/>
  </r>
  <r>
    <s v="16-Dec-2025"/>
    <x v="1"/>
    <s v="Week3-Dec-2025"/>
    <x v="3"/>
    <s v="Q3FY26"/>
    <s v="24-Feb-2026"/>
    <s v="Tuesday"/>
    <s v="Monthly - Tuesday"/>
    <s v="Monthly - Tuesday"/>
    <s v="Month+2 Expiry"/>
    <n v="3458"/>
    <n v="6.2468"/>
    <n v="0.0663"/>
  </r>
  <r>
    <s v="16-Dec-2025"/>
    <x v="1"/>
    <s v="Week3-Dec-2025"/>
    <x v="3"/>
    <s v="Q3FY26"/>
    <s v="31-Mar-2026"/>
    <s v="Tuesday"/>
    <s v="Monthly - Tuesday"/>
    <s v="Monthly - Tuesday"/>
    <s v="Month+3 Expiry"/>
    <n v="1009"/>
    <n v="2.0733"/>
    <n v="0.0255"/>
  </r>
  <r>
    <s v="16-Dec-2025"/>
    <x v="1"/>
    <s v="Week3-Dec-2025"/>
    <x v="3"/>
    <s v="Q3FY26"/>
    <s v="30-Jun-2026"/>
    <s v="Tuesday"/>
    <s v="Monthly - Tuesday"/>
    <s v="Monthly - Tuesday"/>
    <s v="Month+6 Expiry"/>
    <n v="0"/>
    <n v="0"/>
    <n v="0"/>
  </r>
  <r>
    <s v="16-Dec-2025"/>
    <x v="1"/>
    <s v="Week3-Dec-2025"/>
    <x v="3"/>
    <s v="Q3FY26"/>
    <s v="29-Sep-2026"/>
    <s v="Tuesday"/>
    <s v="Monthly - Tuesday"/>
    <s v="Monthly - Tuesday"/>
    <s v="Month+9 Expiry"/>
    <n v="0"/>
    <n v="0"/>
    <n v="0"/>
  </r>
  <r>
    <s v="17-Dec-2025"/>
    <x v="2"/>
    <s v="Week3-Dec-2025"/>
    <x v="3"/>
    <s v="Q3FY26"/>
    <s v="30-Dec-2025"/>
    <s v="Tuesday"/>
    <s v="Monthly - Tuesday"/>
    <s v="Monthly - Tuesday"/>
    <s v="Same Month Expiry"/>
    <n v="3053525"/>
    <n v="6308.2953"/>
    <n v="33.4114"/>
  </r>
  <r>
    <s v="17-Dec-2025"/>
    <x v="2"/>
    <s v="Week3-Dec-2025"/>
    <x v="3"/>
    <s v="Q3FY26"/>
    <s v="27-Jan-2026"/>
    <s v="Tuesday"/>
    <s v="Monthly - Tuesday"/>
    <s v="Monthly - Tuesday"/>
    <s v="Month+1 Expiry"/>
    <n v="80732"/>
    <n v="145.3079"/>
    <n v="1.6157"/>
  </r>
  <r>
    <s v="17-Dec-2025"/>
    <x v="2"/>
    <s v="Week3-Dec-2025"/>
    <x v="3"/>
    <s v="Q3FY26"/>
    <s v="24-Feb-2026"/>
    <s v="Tuesday"/>
    <s v="Monthly - Tuesday"/>
    <s v="Monthly - Tuesday"/>
    <s v="Month+2 Expiry"/>
    <n v="3475"/>
    <n v="6.2903"/>
    <n v="0.07539999999999999"/>
  </r>
  <r>
    <s v="17-Dec-2025"/>
    <x v="2"/>
    <s v="Week3-Dec-2025"/>
    <x v="3"/>
    <s v="Q3FY26"/>
    <s v="31-Mar-2026"/>
    <s v="Tuesday"/>
    <s v="Monthly - Tuesday"/>
    <s v="Monthly - Tuesday"/>
    <s v="Month+3 Expiry"/>
    <n v="678"/>
    <n v="1.4289"/>
    <n v="0.0279"/>
  </r>
  <r>
    <s v="17-Dec-2025"/>
    <x v="2"/>
    <s v="Week3-Dec-2025"/>
    <x v="3"/>
    <s v="Q3FY26"/>
    <s v="30-Jun-2026"/>
    <s v="Tuesday"/>
    <s v="Monthly - Tuesday"/>
    <s v="Monthly - Tuesday"/>
    <s v="Month+6 Expiry"/>
    <n v="0"/>
    <n v="0"/>
    <n v="0"/>
  </r>
  <r>
    <s v="17-Dec-2025"/>
    <x v="2"/>
    <s v="Week3-Dec-2025"/>
    <x v="3"/>
    <s v="Q3FY26"/>
    <s v="29-Sep-2026"/>
    <s v="Tuesday"/>
    <s v="Monthly - Tuesday"/>
    <s v="Monthly - Tuesday"/>
    <s v="Month+9 Expiry"/>
    <n v="0"/>
    <n v="0"/>
    <n v="0"/>
  </r>
  <r>
    <s v="18-Dec-2025"/>
    <x v="3"/>
    <s v="Week3-Dec-2025"/>
    <x v="3"/>
    <s v="Q3FY26"/>
    <s v="30-Dec-2025"/>
    <s v="Tuesday"/>
    <s v="Monthly - Tuesday"/>
    <s v="Monthly - Tuesday"/>
    <s v="Same Month Expiry"/>
    <n v="3644058"/>
    <n v="7524.2513"/>
    <n v="37.3143"/>
  </r>
  <r>
    <s v="18-Dec-2025"/>
    <x v="3"/>
    <s v="Week3-Dec-2025"/>
    <x v="3"/>
    <s v="Q3FY26"/>
    <s v="27-Jan-2026"/>
    <s v="Tuesday"/>
    <s v="Monthly - Tuesday"/>
    <s v="Monthly - Tuesday"/>
    <s v="Month+1 Expiry"/>
    <n v="130966"/>
    <n v="234.5682"/>
    <n v="2.3968"/>
  </r>
  <r>
    <s v="18-Dec-2025"/>
    <x v="3"/>
    <s v="Week3-Dec-2025"/>
    <x v="3"/>
    <s v="Q3FY26"/>
    <s v="24-Feb-2026"/>
    <s v="Tuesday"/>
    <s v="Monthly - Tuesday"/>
    <s v="Monthly - Tuesday"/>
    <s v="Month+2 Expiry"/>
    <n v="3173"/>
    <n v="5.6935"/>
    <n v="0.0636"/>
  </r>
  <r>
    <s v="18-Dec-2025"/>
    <x v="3"/>
    <s v="Week3-Dec-2025"/>
    <x v="3"/>
    <s v="Q3FY26"/>
    <s v="31-Mar-2026"/>
    <s v="Tuesday"/>
    <s v="Monthly - Tuesday"/>
    <s v="Monthly - Tuesday"/>
    <s v="Month+3 Expiry"/>
    <n v="779"/>
    <n v="1.6266"/>
    <n v="0.0257"/>
  </r>
  <r>
    <s v="18-Dec-2025"/>
    <x v="3"/>
    <s v="Week3-Dec-2025"/>
    <x v="3"/>
    <s v="Q3FY26"/>
    <s v="30-Jun-2026"/>
    <s v="Tuesday"/>
    <s v="Monthly - Tuesday"/>
    <s v="Monthly - Tuesday"/>
    <s v="Month+6 Expiry"/>
    <n v="0"/>
    <n v="0"/>
    <n v="0"/>
  </r>
  <r>
    <s v="18-Dec-2025"/>
    <x v="3"/>
    <s v="Week3-Dec-2025"/>
    <x v="3"/>
    <s v="Q3FY26"/>
    <s v="29-Sep-2026"/>
    <s v="Tuesday"/>
    <s v="Monthly - Tuesday"/>
    <s v="Monthly - Tuesday"/>
    <s v="Month+9 Expiry"/>
    <n v="0"/>
    <n v="0"/>
    <n v="0"/>
  </r>
  <r>
    <s v="19-Dec-2025"/>
    <x v="4"/>
    <s v="Week3-Dec-2025"/>
    <x v="3"/>
    <s v="Q3FY26"/>
    <s v="30-Dec-2025"/>
    <s v="Tuesday"/>
    <s v="Monthly - Tuesday"/>
    <s v="Monthly - Tuesday"/>
    <s v="Same Month Expiry"/>
    <n v="3605550"/>
    <n v="7427.5734"/>
    <n v="34.7288"/>
  </r>
  <r>
    <s v="19-Dec-2025"/>
    <x v="4"/>
    <s v="Week3-Dec-2025"/>
    <x v="3"/>
    <s v="Q3FY26"/>
    <s v="27-Jan-2026"/>
    <s v="Tuesday"/>
    <s v="Monthly - Tuesday"/>
    <s v="Monthly - Tuesday"/>
    <s v="Month+1 Expiry"/>
    <n v="102550"/>
    <n v="183.857"/>
    <n v="1.8372"/>
  </r>
  <r>
    <s v="19-Dec-2025"/>
    <x v="4"/>
    <s v="Week3-Dec-2025"/>
    <x v="3"/>
    <s v="Q3FY26"/>
    <s v="24-Feb-2026"/>
    <s v="Tuesday"/>
    <s v="Monthly - Tuesday"/>
    <s v="Monthly - Tuesday"/>
    <s v="Month+2 Expiry"/>
    <n v="2940"/>
    <n v="5.2924"/>
    <n v="0.0561"/>
  </r>
  <r>
    <s v="19-Dec-2025"/>
    <x v="4"/>
    <s v="Week3-Dec-2025"/>
    <x v="3"/>
    <s v="Q3FY26"/>
    <s v="31-Mar-2026"/>
    <s v="Tuesday"/>
    <s v="Monthly - Tuesday"/>
    <s v="Monthly - Tuesday"/>
    <s v="Month+3 Expiry"/>
    <n v="614"/>
    <n v="1.2753"/>
    <n v="0.0203"/>
  </r>
  <r>
    <s v="19-Dec-2025"/>
    <x v="4"/>
    <s v="Week3-Dec-2025"/>
    <x v="3"/>
    <s v="Q3FY26"/>
    <s v="30-Jun-2026"/>
    <s v="Tuesday"/>
    <s v="Monthly - Tuesday"/>
    <s v="Monthly - Tuesday"/>
    <s v="Month+6 Expiry"/>
    <n v="0"/>
    <n v="0"/>
    <n v="0"/>
  </r>
  <r>
    <s v="19-Dec-2025"/>
    <x v="4"/>
    <s v="Week3-Dec-2025"/>
    <x v="3"/>
    <s v="Q3FY26"/>
    <s v="29-Sep-2026"/>
    <s v="Tuesday"/>
    <s v="Monthly - Tuesday"/>
    <s v="Monthly - Tuesday"/>
    <s v="Month+9 Expiry"/>
    <n v="0"/>
    <n v="0"/>
    <n v="0"/>
  </r>
  <r>
    <s v="22-Dec-2025"/>
    <x v="0"/>
    <s v="Week4-Dec-2025"/>
    <x v="3"/>
    <s v="Q3FY26"/>
    <s v="30-Dec-2025"/>
    <s v="Tuesday"/>
    <s v="Monthly - Tuesday"/>
    <s v="Monthly - Tuesday"/>
    <s v="Same Month Expiry"/>
    <n v="3028061"/>
    <n v="6235.5817"/>
    <n v="25.9656"/>
  </r>
  <r>
    <s v="22-Dec-2025"/>
    <x v="0"/>
    <s v="Week4-Dec-2025"/>
    <x v="3"/>
    <s v="Q3FY26"/>
    <s v="27-Jan-2026"/>
    <s v="Tuesday"/>
    <s v="Monthly - Tuesday"/>
    <s v="Monthly - Tuesday"/>
    <s v="Month+1 Expiry"/>
    <n v="114264"/>
    <n v="204.6945"/>
    <n v="1.867"/>
  </r>
  <r>
    <s v="22-Dec-2025"/>
    <x v="0"/>
    <s v="Week4-Dec-2025"/>
    <x v="3"/>
    <s v="Q3FY26"/>
    <s v="24-Feb-2026"/>
    <s v="Tuesday"/>
    <s v="Monthly - Tuesday"/>
    <s v="Monthly - Tuesday"/>
    <s v="Month+2 Expiry"/>
    <n v="4171"/>
    <n v="7.4309"/>
    <n v="0.0613"/>
  </r>
  <r>
    <s v="22-Dec-2025"/>
    <x v="0"/>
    <s v="Week4-Dec-2025"/>
    <x v="3"/>
    <s v="Q3FY26"/>
    <s v="31-Mar-2026"/>
    <s v="Tuesday"/>
    <s v="Monthly - Tuesday"/>
    <s v="Monthly - Tuesday"/>
    <s v="Month+3 Expiry"/>
    <n v="769"/>
    <n v="1.5935"/>
    <n v="0.0283"/>
  </r>
  <r>
    <s v="22-Dec-2025"/>
    <x v="0"/>
    <s v="Week4-Dec-2025"/>
    <x v="3"/>
    <s v="Q3FY26"/>
    <s v="30-Jun-2026"/>
    <s v="Tuesday"/>
    <s v="Monthly - Tuesday"/>
    <s v="Monthly - Tuesday"/>
    <s v="Month+6 Expiry"/>
    <n v="0"/>
    <n v="0"/>
    <n v="0"/>
  </r>
  <r>
    <s v="22-Dec-2025"/>
    <x v="0"/>
    <s v="Week4-Dec-2025"/>
    <x v="3"/>
    <s v="Q3FY26"/>
    <s v="29-Sep-2026"/>
    <s v="Tuesday"/>
    <s v="Monthly - Tuesday"/>
    <s v="Monthly - Tuesday"/>
    <s v="Month+9 Expiry"/>
    <n v="0"/>
    <n v="0"/>
    <n v="0"/>
  </r>
  <r>
    <s v="23-Dec-2025"/>
    <x v="1"/>
    <s v="Week4-Dec-2025"/>
    <x v="3"/>
    <s v="Q3FY26"/>
    <s v="30-Dec-2025"/>
    <s v="Tuesday"/>
    <s v="Monthly - Tuesday"/>
    <s v="Monthly - Tuesday"/>
    <s v="Same Month Expiry"/>
    <n v="3342654"/>
    <n v="6890.1032"/>
    <n v="23.2278"/>
  </r>
  <r>
    <s v="23-Dec-2025"/>
    <x v="1"/>
    <s v="Week4-Dec-2025"/>
    <x v="3"/>
    <s v="Q3FY26"/>
    <s v="27-Jan-2026"/>
    <s v="Tuesday"/>
    <s v="Monthly - Tuesday"/>
    <s v="Monthly - Tuesday"/>
    <s v="Month+1 Expiry"/>
    <n v="103825"/>
    <n v="186.1183"/>
    <n v="1.6578"/>
  </r>
  <r>
    <s v="23-Dec-2025"/>
    <x v="1"/>
    <s v="Week4-Dec-2025"/>
    <x v="3"/>
    <s v="Q3FY26"/>
    <s v="24-Feb-2026"/>
    <s v="Tuesday"/>
    <s v="Monthly - Tuesday"/>
    <s v="Monthly - Tuesday"/>
    <s v="Month+2 Expiry"/>
    <n v="3727"/>
    <n v="6.6414"/>
    <n v="0.06469999999999999"/>
  </r>
  <r>
    <s v="23-Dec-2025"/>
    <x v="1"/>
    <s v="Week4-Dec-2025"/>
    <x v="3"/>
    <s v="Q3FY26"/>
    <s v="31-Mar-2026"/>
    <s v="Tuesday"/>
    <s v="Monthly - Tuesday"/>
    <s v="Monthly - Tuesday"/>
    <s v="Month+3 Expiry"/>
    <n v="1528"/>
    <n v="3.1606"/>
    <n v="0.0486"/>
  </r>
  <r>
    <s v="23-Dec-2025"/>
    <x v="1"/>
    <s v="Week4-Dec-2025"/>
    <x v="3"/>
    <s v="Q3FY26"/>
    <s v="30-Jun-2026"/>
    <s v="Tuesday"/>
    <s v="Monthly - Tuesday"/>
    <s v="Monthly - Tuesday"/>
    <s v="Month+6 Expiry"/>
    <n v="0"/>
    <n v="0"/>
    <n v="0"/>
  </r>
  <r>
    <s v="23-Dec-2025"/>
    <x v="1"/>
    <s v="Week4-Dec-2025"/>
    <x v="3"/>
    <s v="Q3FY26"/>
    <s v="29-Sep-2026"/>
    <s v="Tuesday"/>
    <s v="Monthly - Tuesday"/>
    <s v="Monthly - Tuesday"/>
    <s v="Month+9 Expiry"/>
    <n v="0"/>
    <n v="0"/>
    <n v="0"/>
  </r>
  <r>
    <s v="24-Dec-2025"/>
    <x v="2"/>
    <s v="Week4-Dec-2025"/>
    <x v="3"/>
    <s v="Q3FY26"/>
    <s v="30-Dec-2025"/>
    <s v="Tuesday"/>
    <s v="Monthly - Tuesday"/>
    <s v="Monthly - Tuesday"/>
    <s v="Same Month Expiry"/>
    <n v="6051130"/>
    <n v="12460.1771"/>
    <n v="32.3745"/>
  </r>
  <r>
    <s v="24-Dec-2025"/>
    <x v="2"/>
    <s v="Week4-Dec-2025"/>
    <x v="3"/>
    <s v="Q3FY26"/>
    <s v="27-Jan-2026"/>
    <s v="Tuesday"/>
    <s v="Monthly - Tuesday"/>
    <s v="Monthly - Tuesday"/>
    <s v="Month+1 Expiry"/>
    <n v="183087"/>
    <n v="328.1066"/>
    <n v="2.9802"/>
  </r>
  <r>
    <s v="24-Dec-2025"/>
    <x v="2"/>
    <s v="Week4-Dec-2025"/>
    <x v="3"/>
    <s v="Q3FY26"/>
    <s v="24-Feb-2026"/>
    <s v="Tuesday"/>
    <s v="Monthly - Tuesday"/>
    <s v="Monthly - Tuesday"/>
    <s v="Month+2 Expiry"/>
    <n v="6487"/>
    <n v="11.6971"/>
    <n v="0.1201"/>
  </r>
  <r>
    <s v="24-Dec-2025"/>
    <x v="2"/>
    <s v="Week4-Dec-2025"/>
    <x v="3"/>
    <s v="Q3FY26"/>
    <s v="31-Mar-2026"/>
    <s v="Tuesday"/>
    <s v="Monthly - Tuesday"/>
    <s v="Monthly - Tuesday"/>
    <s v="Month+3 Expiry"/>
    <n v="1812"/>
    <n v="3.8454"/>
    <n v="0.0725"/>
  </r>
  <r>
    <s v="24-Dec-2025"/>
    <x v="2"/>
    <s v="Week4-Dec-2025"/>
    <x v="3"/>
    <s v="Q3FY26"/>
    <s v="30-Jun-2026"/>
    <s v="Tuesday"/>
    <s v="Monthly - Tuesday"/>
    <s v="Monthly - Tuesday"/>
    <s v="Month+6 Expiry"/>
    <n v="0"/>
    <n v="0"/>
    <n v="0"/>
  </r>
  <r>
    <s v="24-Dec-2025"/>
    <x v="2"/>
    <s v="Week4-Dec-2025"/>
    <x v="3"/>
    <s v="Q3FY26"/>
    <s v="29-Sep-2026"/>
    <s v="Tuesday"/>
    <s v="Monthly - Tuesday"/>
    <s v="Monthly - Tuesday"/>
    <s v="Month+9 Expiry"/>
    <n v="0"/>
    <n v="0"/>
    <n v="0"/>
  </r>
  <r>
    <s v="26-Dec-2025"/>
    <x v="4"/>
    <s v="Week4-Dec-2025"/>
    <x v="3"/>
    <s v="Q3FY26"/>
    <s v="30-Dec-2025"/>
    <s v="Tuesday"/>
    <s v="Monthly - Tuesday"/>
    <s v="Monthly - Tuesday"/>
    <s v="Same Month Expiry"/>
    <n v="9201123"/>
    <n v="18815.8161"/>
    <n v="40.2661"/>
  </r>
  <r>
    <s v="26-Dec-2025"/>
    <x v="4"/>
    <s v="Week4-Dec-2025"/>
    <x v="3"/>
    <s v="Q3FY26"/>
    <s v="27-Jan-2026"/>
    <s v="Tuesday"/>
    <s v="Monthly - Tuesday"/>
    <s v="Monthly - Tuesday"/>
    <s v="Month+1 Expiry"/>
    <n v="260010"/>
    <n v="465.4661"/>
    <n v="4.4732"/>
  </r>
  <r>
    <s v="26-Dec-2025"/>
    <x v="4"/>
    <s v="Week4-Dec-2025"/>
    <x v="3"/>
    <s v="Q3FY26"/>
    <s v="24-Feb-2026"/>
    <s v="Tuesday"/>
    <s v="Monthly - Tuesday"/>
    <s v="Monthly - Tuesday"/>
    <s v="Month+2 Expiry"/>
    <n v="10395"/>
    <n v="18.6006"/>
    <n v="0.1798"/>
  </r>
  <r>
    <s v="26-Dec-2025"/>
    <x v="4"/>
    <s v="Week4-Dec-2025"/>
    <x v="3"/>
    <s v="Q3FY26"/>
    <s v="31-Mar-2026"/>
    <s v="Tuesday"/>
    <s v="Monthly - Tuesday"/>
    <s v="Monthly - Tuesday"/>
    <s v="Month+3 Expiry"/>
    <n v="1782"/>
    <n v="3.7052"/>
    <n v="0.0594"/>
  </r>
  <r>
    <s v="26-Dec-2025"/>
    <x v="4"/>
    <s v="Week4-Dec-2025"/>
    <x v="3"/>
    <s v="Q3FY26"/>
    <s v="30-Jun-2026"/>
    <s v="Tuesday"/>
    <s v="Monthly - Tuesday"/>
    <s v="Monthly - Tuesday"/>
    <s v="Month+6 Expiry"/>
    <n v="0"/>
    <n v="0"/>
    <n v="0"/>
  </r>
  <r>
    <s v="26-Dec-2025"/>
    <x v="4"/>
    <s v="Week4-Dec-2025"/>
    <x v="3"/>
    <s v="Q3FY26"/>
    <s v="29-Sep-2026"/>
    <s v="Tuesday"/>
    <s v="Monthly - Tuesday"/>
    <s v="Monthly - Tuesday"/>
    <s v="Month+9 Expiry"/>
    <n v="0"/>
    <n v="0"/>
    <n v="0"/>
  </r>
  <r>
    <s v="29-Dec-2025"/>
    <x v="0"/>
    <s v="Week5-Dec-2025"/>
    <x v="3"/>
    <s v="Q3FY26"/>
    <s v="30-Dec-2025"/>
    <s v="Tuesday"/>
    <s v="Monthly - Tuesday"/>
    <s v="Monthly - Tuesday"/>
    <s v="Same Month Expiry"/>
    <n v="17345726"/>
    <n v="35369.2564"/>
    <n v="56.5287"/>
  </r>
  <r>
    <s v="29-Dec-2025"/>
    <x v="0"/>
    <s v="Week5-Dec-2025"/>
    <x v="3"/>
    <s v="Q3FY26"/>
    <s v="27-Jan-2026"/>
    <s v="Tuesday"/>
    <s v="Monthly - Tuesday"/>
    <s v="Monthly - Tuesday"/>
    <s v="Month+1 Expiry"/>
    <n v="363743"/>
    <n v="650.4281"/>
    <n v="6.4892"/>
  </r>
  <r>
    <s v="29-Dec-2025"/>
    <x v="0"/>
    <s v="Week5-Dec-2025"/>
    <x v="3"/>
    <s v="Q3FY26"/>
    <s v="24-Feb-2026"/>
    <s v="Tuesday"/>
    <s v="Monthly - Tuesday"/>
    <s v="Monthly - Tuesday"/>
    <s v="Month+2 Expiry"/>
    <n v="15249"/>
    <n v="27.0915"/>
    <n v="0.2339"/>
  </r>
  <r>
    <s v="29-Dec-2025"/>
    <x v="0"/>
    <s v="Week5-Dec-2025"/>
    <x v="3"/>
    <s v="Q3FY26"/>
    <s v="30-Mar-2026"/>
    <s v="Monday"/>
    <s v="Monthly - Monday"/>
    <s v="Monthly - Monday"/>
    <s v="Month+3 Expiry"/>
    <n v="4448"/>
    <n v="9.1615"/>
    <n v="0.149"/>
  </r>
  <r>
    <s v="29-Dec-2025"/>
    <x v="0"/>
    <s v="Week5-Dec-2025"/>
    <x v="3"/>
    <s v="Q3FY26"/>
    <s v="30-Jun-2026"/>
    <s v="Tuesday"/>
    <s v="Monthly - Tuesday"/>
    <s v="Monthly - Tuesday"/>
    <s v="Month+6 Expiry"/>
    <n v="0"/>
    <n v="0"/>
    <n v="0"/>
  </r>
  <r>
    <s v="29-Dec-2025"/>
    <x v="0"/>
    <s v="Week5-Dec-2025"/>
    <x v="3"/>
    <s v="Q3FY26"/>
    <s v="29-Sep-2026"/>
    <s v="Tuesday"/>
    <s v="Monthly - Tuesday"/>
    <s v="Monthly - Tuesday"/>
    <s v="Month+9 Expiry"/>
    <n v="0"/>
    <n v="0"/>
    <n v="0"/>
  </r>
  <r>
    <s v="30-Dec-2025"/>
    <x v="1"/>
    <s v="Week5-Dec-2025"/>
    <x v="3"/>
    <s v="Q3FY26"/>
    <s v="30-Dec-2025"/>
    <s v="Tuesday"/>
    <s v="Monthly - Tuesday"/>
    <s v="Monthly - Tuesday"/>
    <s v="Same Month Expiry"/>
    <n v="78603896"/>
    <n v="160321.2023"/>
    <n v="131.0123"/>
  </r>
  <r>
    <s v="30-Dec-2025"/>
    <x v="1"/>
    <s v="Week5-Dec-2025"/>
    <x v="3"/>
    <s v="Q3FY26"/>
    <s v="27-Jan-2026"/>
    <s v="Tuesday"/>
    <s v="Monthly - Tuesday"/>
    <s v="Monthly - Tuesday"/>
    <s v="Month+1 Expiry"/>
    <n v="765819"/>
    <n v="1363.3819"/>
    <n v="12.1024"/>
  </r>
  <r>
    <s v="30-Dec-2025"/>
    <x v="1"/>
    <s v="Week5-Dec-2025"/>
    <x v="3"/>
    <s v="Q3FY26"/>
    <s v="24-Feb-2026"/>
    <s v="Tuesday"/>
    <s v="Monthly - Tuesday"/>
    <s v="Monthly - Tuesday"/>
    <s v="Month+2 Expiry"/>
    <n v="12656"/>
    <n v="22.8036"/>
    <n v="0.2343"/>
  </r>
  <r>
    <s v="30-Dec-2025"/>
    <x v="1"/>
    <s v="Week5-Dec-2025"/>
    <x v="3"/>
    <s v="Q3FY26"/>
    <s v="30-Mar-2026"/>
    <s v="Monday"/>
    <s v="Monthly - Monday"/>
    <s v="Monthly - Monday"/>
    <s v="Month+3 Expiry"/>
    <n v="4061"/>
    <n v="8.429500000000001"/>
    <n v="0.1191"/>
  </r>
  <r>
    <s v="30-Dec-2025"/>
    <x v="1"/>
    <s v="Week5-Dec-2025"/>
    <x v="3"/>
    <s v="Q3FY26"/>
    <s v="30-Jun-2026"/>
    <s v="Tuesday"/>
    <s v="Monthly - Tuesday"/>
    <s v="Monthly - Tuesday"/>
    <s v="Month+6 Expiry"/>
    <n v="0"/>
    <n v="0"/>
    <n v="0"/>
  </r>
  <r>
    <s v="30-Dec-2025"/>
    <x v="1"/>
    <s v="Week5-Dec-2025"/>
    <x v="3"/>
    <s v="Q3FY26"/>
    <s v="29-Sep-2026"/>
    <s v="Tuesday"/>
    <s v="Monthly - Tuesday"/>
    <s v="Monthly - Tuesday"/>
    <s v="Month+9 Expiry"/>
    <n v="0"/>
    <n v="0"/>
    <n v="0"/>
  </r>
  <r>
    <s v="31-Dec-2025"/>
    <x v="2"/>
    <s v="Week5-Dec-2025"/>
    <x v="3"/>
    <s v="Q3FY26"/>
    <s v="27-Jan-2026"/>
    <s v="Tuesday"/>
    <s v="Monthly - Tuesday"/>
    <s v="Monthly - Tuesday"/>
    <s v="Month+1 Expiry"/>
    <n v="2192565"/>
    <n v="3925.0769"/>
    <n v="28.5819"/>
  </r>
  <r>
    <s v="31-Dec-2025"/>
    <x v="2"/>
    <s v="Week5-Dec-2025"/>
    <x v="3"/>
    <s v="Q3FY26"/>
    <s v="24-Feb-2026"/>
    <s v="Tuesday"/>
    <s v="Monthly - Tuesday"/>
    <s v="Monthly - Tuesday"/>
    <s v="Month+2 Expiry"/>
    <n v="27378"/>
    <n v="49.6313"/>
    <n v="0.4528"/>
  </r>
  <r>
    <s v="31-Dec-2025"/>
    <x v="2"/>
    <s v="Week5-Dec-2025"/>
    <x v="3"/>
    <s v="Q3FY26"/>
    <s v="30-Mar-2026"/>
    <s v="Monday"/>
    <s v="Monthly - Monday"/>
    <s v="Monthly - Monday"/>
    <s v="Month+3 Expiry"/>
    <n v="7104"/>
    <n v="12.9174"/>
    <n v="0.2014"/>
  </r>
  <r>
    <s v="31-Dec-2025"/>
    <x v="2"/>
    <s v="Week5-Dec-2025"/>
    <x v="3"/>
    <s v="Q3FY26"/>
    <s v="30-Jun-2026"/>
    <s v="Tuesday"/>
    <s v="Monthly - Tuesday"/>
    <s v="Monthly - Tuesday"/>
    <s v="Month+6 Expiry"/>
    <n v="0"/>
    <n v="0"/>
    <n v="0"/>
  </r>
  <r>
    <s v="31-Dec-2025"/>
    <x v="2"/>
    <s v="Week5-Dec-2025"/>
    <x v="3"/>
    <s v="Q3FY26"/>
    <s v="29-Sep-2026"/>
    <s v="Tuesday"/>
    <s v="Monthly - Tuesday"/>
    <s v="Monthly - Tuesday"/>
    <s v="Month+9 Expiry"/>
    <n v="0"/>
    <n v="0"/>
    <n v="0"/>
  </r>
  <r>
    <s v="31-Dec-2025"/>
    <x v="2"/>
    <s v="Week5-Dec-2025"/>
    <x v="3"/>
    <s v="Q3FY26"/>
    <s v="29-Dec-2026"/>
    <s v="Tuesday"/>
    <s v="Monthly - Tuesday"/>
    <s v="Monthly - Tuesday"/>
    <s v="Month+12 Expiry"/>
    <n v="0"/>
    <n v="0"/>
    <n v="0"/>
  </r>
  <r>
    <s v="01-Jan-2026"/>
    <x v="3"/>
    <s v="Week1-Jan-2026"/>
    <x v="4"/>
    <s v="Q4FY26"/>
    <s v="27-Jan-2026"/>
    <s v="Tuesday"/>
    <s v="Monthly - Tuesday"/>
    <s v="Monthly - Tuesday"/>
    <s v="Same Month Expiry"/>
    <n v="1218064"/>
    <n v="2177.2118"/>
    <n v="15.9139"/>
  </r>
  <r>
    <s v="01-Jan-2026"/>
    <x v="3"/>
    <s v="Week1-Jan-2026"/>
    <x v="4"/>
    <s v="Q4FY26"/>
    <s v="24-Feb-2026"/>
    <s v="Tuesday"/>
    <s v="Monthly - Tuesday"/>
    <s v="Monthly - Tuesday"/>
    <s v="Month+1 Expiry"/>
    <n v="11460"/>
    <n v="20.7034"/>
    <n v="0.2093"/>
  </r>
  <r>
    <s v="01-Jan-2026"/>
    <x v="3"/>
    <s v="Week1-Jan-2026"/>
    <x v="4"/>
    <s v="Q4FY26"/>
    <s v="30-Mar-2026"/>
    <s v="Monday"/>
    <s v="Monthly - Monday"/>
    <s v="Monthly - Monday"/>
    <s v="Month+2 Expiry"/>
    <n v="1868"/>
    <n v="3.3504"/>
    <n v="0.0403"/>
  </r>
  <r>
    <s v="01-Jan-2026"/>
    <x v="3"/>
    <s v="Week1-Jan-2026"/>
    <x v="4"/>
    <s v="Q4FY26"/>
    <s v="30-Jun-2026"/>
    <s v="Tuesday"/>
    <s v="Monthly - Tuesday"/>
    <s v="Monthly - Tuesday"/>
    <s v="Month+5 Expiry"/>
    <n v="0"/>
    <n v="0"/>
    <n v="0"/>
  </r>
  <r>
    <s v="01-Jan-2026"/>
    <x v="3"/>
    <s v="Week1-Jan-2026"/>
    <x v="4"/>
    <s v="Q4FY26"/>
    <s v="29-Sep-2026"/>
    <s v="Tuesday"/>
    <s v="Monthly - Tuesday"/>
    <s v="Monthly - Tuesday"/>
    <s v="Month+8 Expiry"/>
    <n v="0"/>
    <n v="0"/>
    <n v="0"/>
  </r>
  <r>
    <s v="01-Jan-2026"/>
    <x v="3"/>
    <s v="Week1-Jan-2026"/>
    <x v="4"/>
    <s v="Q4FY26"/>
    <s v="29-Dec-2026"/>
    <s v="Tuesday"/>
    <s v="Monthly - Tuesday"/>
    <s v="Monthly - Tuesday"/>
    <s v="Month+11 Expiry"/>
    <n v="0"/>
    <n v="0"/>
    <n v="0"/>
  </r>
  <r>
    <s v="02-Jan-2026"/>
    <x v="4"/>
    <s v="Week1-Jan-2026"/>
    <x v="4"/>
    <s v="Q4FY26"/>
    <s v="27-Jan-2026"/>
    <s v="Tuesday"/>
    <s v="Monthly - Tuesday"/>
    <s v="Monthly - Tuesday"/>
    <s v="Same Month Expiry"/>
    <n v="2233318"/>
    <n v="4015.0791"/>
    <n v="28.0359"/>
  </r>
  <r>
    <s v="02-Jan-2026"/>
    <x v="4"/>
    <s v="Week1-Jan-2026"/>
    <x v="4"/>
    <s v="Q4FY26"/>
    <s v="24-Feb-2026"/>
    <s v="Tuesday"/>
    <s v="Monthly - Tuesday"/>
    <s v="Monthly - Tuesday"/>
    <s v="Month+1 Expiry"/>
    <n v="31896"/>
    <n v="57.9701"/>
    <n v="0.576"/>
  </r>
  <r>
    <s v="02-Jan-2026"/>
    <x v="4"/>
    <s v="Week1-Jan-2026"/>
    <x v="4"/>
    <s v="Q4FY26"/>
    <s v="30-Mar-2026"/>
    <s v="Monday"/>
    <s v="Monthly - Monday"/>
    <s v="Monthly - Monday"/>
    <s v="Month+2 Expiry"/>
    <n v="6090"/>
    <n v="11.0708"/>
    <n v="0.1589"/>
  </r>
  <r>
    <s v="02-Jan-2026"/>
    <x v="4"/>
    <s v="Week1-Jan-2026"/>
    <x v="4"/>
    <s v="Q4FY26"/>
    <s v="30-Jun-2026"/>
    <s v="Tuesday"/>
    <s v="Monthly - Tuesday"/>
    <s v="Monthly - Tuesday"/>
    <s v="Month+5 Expiry"/>
    <n v="0"/>
    <n v="0"/>
    <n v="0"/>
  </r>
  <r>
    <s v="02-Jan-2026"/>
    <x v="4"/>
    <s v="Week1-Jan-2026"/>
    <x v="4"/>
    <s v="Q4FY26"/>
    <s v="29-Sep-2026"/>
    <s v="Tuesday"/>
    <s v="Monthly - Tuesday"/>
    <s v="Monthly - Tuesday"/>
    <s v="Month+8 Expiry"/>
    <n v="0"/>
    <n v="0"/>
    <n v="0"/>
  </r>
  <r>
    <s v="02-Jan-2026"/>
    <x v="4"/>
    <s v="Week1-Jan-2026"/>
    <x v="4"/>
    <s v="Q4FY26"/>
    <s v="29-Dec-2026"/>
    <s v="Tuesday"/>
    <s v="Monthly - Tuesday"/>
    <s v="Monthly - Tuesday"/>
    <s v="Month+11 Expiry"/>
    <n v="0"/>
    <n v="0"/>
    <n v="0"/>
  </r>
  <r>
    <s v="05-Jan-2026"/>
    <x v="0"/>
    <s v="Week1-Jan-2026"/>
    <x v="4"/>
    <s v="Q4FY26"/>
    <s v="27-Jan-2026"/>
    <s v="Tuesday"/>
    <s v="Monthly - Tuesday"/>
    <s v="Monthly - Tuesday"/>
    <s v="Same Month Expiry"/>
    <n v="2557337"/>
    <n v="4614.8139"/>
    <n v="31.1752"/>
  </r>
  <r>
    <s v="05-Jan-2026"/>
    <x v="0"/>
    <s v="Week1-Jan-2026"/>
    <x v="4"/>
    <s v="Q4FY26"/>
    <s v="24-Feb-2026"/>
    <s v="Tuesday"/>
    <s v="Monthly - Tuesday"/>
    <s v="Monthly - Tuesday"/>
    <s v="Month+1 Expiry"/>
    <n v="26875"/>
    <n v="48.8995"/>
    <n v="0.4874"/>
  </r>
  <r>
    <s v="05-Jan-2026"/>
    <x v="0"/>
    <s v="Week1-Jan-2026"/>
    <x v="4"/>
    <s v="Q4FY26"/>
    <s v="30-Mar-2026"/>
    <s v="Monday"/>
    <s v="Monthly - Monday"/>
    <s v="Monthly - Monday"/>
    <s v="Month+2 Expiry"/>
    <n v="6279"/>
    <n v="11.495"/>
    <n v="0.1501"/>
  </r>
  <r>
    <s v="05-Jan-2026"/>
    <x v="0"/>
    <s v="Week1-Jan-2026"/>
    <x v="4"/>
    <s v="Q4FY26"/>
    <s v="30-Jun-2026"/>
    <s v="Tuesday"/>
    <s v="Monthly - Tuesday"/>
    <s v="Monthly - Tuesday"/>
    <s v="Month+5 Expiry"/>
    <n v="0"/>
    <n v="0"/>
    <n v="0"/>
  </r>
  <r>
    <s v="05-Jan-2026"/>
    <x v="0"/>
    <s v="Week1-Jan-2026"/>
    <x v="4"/>
    <s v="Q4FY26"/>
    <s v="29-Sep-2026"/>
    <s v="Tuesday"/>
    <s v="Monthly - Tuesday"/>
    <s v="Monthly - Tuesday"/>
    <s v="Month+8 Expiry"/>
    <n v="0"/>
    <n v="0"/>
    <n v="0"/>
  </r>
  <r>
    <s v="05-Jan-2026"/>
    <x v="0"/>
    <s v="Week1-Jan-2026"/>
    <x v="4"/>
    <s v="Q4FY26"/>
    <s v="29-Dec-2026"/>
    <s v="Tuesday"/>
    <s v="Monthly - Tuesday"/>
    <s v="Monthly - Tuesday"/>
    <s v="Month+11 Expiry"/>
    <n v="0"/>
    <n v="0"/>
    <n v="0"/>
  </r>
  <r>
    <s v="06-Jan-2026"/>
    <x v="1"/>
    <s v="Week1-Jan-2026"/>
    <x v="4"/>
    <s v="Q4FY26"/>
    <s v="27-Jan-2026"/>
    <s v="Tuesday"/>
    <s v="Monthly - Tuesday"/>
    <s v="Monthly - Tuesday"/>
    <s v="Same Month Expiry"/>
    <n v="2102559"/>
    <n v="3794.1032"/>
    <n v="25.7269"/>
  </r>
  <r>
    <s v="06-Jan-2026"/>
    <x v="1"/>
    <s v="Week1-Jan-2026"/>
    <x v="4"/>
    <s v="Q4FY26"/>
    <s v="24-Feb-2026"/>
    <s v="Tuesday"/>
    <s v="Monthly - Tuesday"/>
    <s v="Monthly - Tuesday"/>
    <s v="Month+1 Expiry"/>
    <n v="27710"/>
    <n v="50.0622"/>
    <n v="0.425"/>
  </r>
  <r>
    <s v="06-Jan-2026"/>
    <x v="1"/>
    <s v="Week1-Jan-2026"/>
    <x v="4"/>
    <s v="Q4FY26"/>
    <s v="30-Mar-2026"/>
    <s v="Monday"/>
    <s v="Monthly - Monday"/>
    <s v="Monthly - Monday"/>
    <s v="Month+2 Expiry"/>
    <n v="3017"/>
    <n v="5.5017"/>
    <n v="0.06909999999999999"/>
  </r>
  <r>
    <s v="06-Jan-2026"/>
    <x v="1"/>
    <s v="Week1-Jan-2026"/>
    <x v="4"/>
    <s v="Q4FY26"/>
    <s v="30-Jun-2026"/>
    <s v="Tuesday"/>
    <s v="Monthly - Tuesday"/>
    <s v="Monthly - Tuesday"/>
    <s v="Month+5 Expiry"/>
    <n v="0"/>
    <n v="0"/>
    <n v="0"/>
  </r>
  <r>
    <s v="06-Jan-2026"/>
    <x v="1"/>
    <s v="Week1-Jan-2026"/>
    <x v="4"/>
    <s v="Q4FY26"/>
    <s v="29-Sep-2026"/>
    <s v="Tuesday"/>
    <s v="Monthly - Tuesday"/>
    <s v="Monthly - Tuesday"/>
    <s v="Month+8 Expiry"/>
    <n v="0"/>
    <n v="0"/>
    <n v="0"/>
  </r>
  <r>
    <s v="06-Jan-2026"/>
    <x v="1"/>
    <s v="Week1-Jan-2026"/>
    <x v="4"/>
    <s v="Q4FY26"/>
    <s v="29-Dec-2026"/>
    <s v="Tuesday"/>
    <s v="Monthly - Tuesday"/>
    <s v="Monthly - Tuesday"/>
    <s v="Month+11 Expiry"/>
    <n v="0"/>
    <n v="0"/>
    <n v="0"/>
  </r>
  <r>
    <s v="07-Jan-2026"/>
    <x v="2"/>
    <s v="Week1-Jan-2026"/>
    <x v="4"/>
    <s v="Q4FY26"/>
    <s v="27-Jan-2026"/>
    <s v="Tuesday"/>
    <s v="Monthly - Tuesday"/>
    <s v="Monthly - Tuesday"/>
    <s v="Same Month Expiry"/>
    <n v="2284207"/>
    <n v="4099.624"/>
    <n v="27.5345"/>
  </r>
  <r>
    <s v="07-Jan-2026"/>
    <x v="2"/>
    <s v="Week1-Jan-2026"/>
    <x v="4"/>
    <s v="Q4FY26"/>
    <s v="24-Feb-2026"/>
    <s v="Tuesday"/>
    <s v="Monthly - Tuesday"/>
    <s v="Monthly - Tuesday"/>
    <s v="Month+1 Expiry"/>
    <n v="26715"/>
    <n v="48.5207"/>
    <n v="0.4817"/>
  </r>
  <r>
    <s v="07-Jan-2026"/>
    <x v="2"/>
    <s v="Week1-Jan-2026"/>
    <x v="4"/>
    <s v="Q4FY26"/>
    <s v="30-Mar-2026"/>
    <s v="Monday"/>
    <s v="Monthly - Monday"/>
    <s v="Monthly - Monday"/>
    <s v="Month+2 Expiry"/>
    <n v="3455"/>
    <n v="6.2252"/>
    <n v="0.07439999999999999"/>
  </r>
  <r>
    <s v="07-Jan-2026"/>
    <x v="2"/>
    <s v="Week1-Jan-2026"/>
    <x v="4"/>
    <s v="Q4FY26"/>
    <s v="30-Jun-2026"/>
    <s v="Tuesday"/>
    <s v="Monthly - Tuesday"/>
    <s v="Monthly - Tuesday"/>
    <s v="Month+5 Expiry"/>
    <n v="0"/>
    <n v="0"/>
    <n v="0"/>
  </r>
  <r>
    <s v="07-Jan-2026"/>
    <x v="2"/>
    <s v="Week1-Jan-2026"/>
    <x v="4"/>
    <s v="Q4FY26"/>
    <s v="29-Sep-2026"/>
    <s v="Tuesday"/>
    <s v="Monthly - Tuesday"/>
    <s v="Monthly - Tuesday"/>
    <s v="Month+8 Expiry"/>
    <n v="0"/>
    <n v="0"/>
    <n v="0"/>
  </r>
  <r>
    <s v="07-Jan-2026"/>
    <x v="2"/>
    <s v="Week1-Jan-2026"/>
    <x v="4"/>
    <s v="Q4FY26"/>
    <s v="29-Dec-2026"/>
    <s v="Tuesday"/>
    <s v="Monthly - Tuesday"/>
    <s v="Monthly - Tuesday"/>
    <s v="Month+11 Expiry"/>
    <n v="0"/>
    <n v="0"/>
    <n v="0"/>
  </r>
  <r>
    <s v="08-Jan-2026"/>
    <x v="3"/>
    <s v="Week2-Jan-2026"/>
    <x v="4"/>
    <s v="Q4FY26"/>
    <s v="27-Jan-2026"/>
    <s v="Tuesday"/>
    <s v="Monthly - Tuesday"/>
    <s v="Monthly - Tuesday"/>
    <s v="Same Month Expiry"/>
    <n v="3139153"/>
    <n v="5616.444"/>
    <n v="36.0132"/>
  </r>
  <r>
    <s v="08-Jan-2026"/>
    <x v="3"/>
    <s v="Week2-Jan-2026"/>
    <x v="4"/>
    <s v="Q4FY26"/>
    <s v="24-Feb-2026"/>
    <s v="Tuesday"/>
    <s v="Monthly - Tuesday"/>
    <s v="Monthly - Tuesday"/>
    <s v="Month+1 Expiry"/>
    <n v="40476"/>
    <n v="73.50369999999999"/>
    <n v="0.8032"/>
  </r>
  <r>
    <s v="08-Jan-2026"/>
    <x v="3"/>
    <s v="Week2-Jan-2026"/>
    <x v="4"/>
    <s v="Q4FY26"/>
    <s v="30-Mar-2026"/>
    <s v="Monday"/>
    <s v="Monthly - Monday"/>
    <s v="Monthly - Monday"/>
    <s v="Month+2 Expiry"/>
    <n v="5459"/>
    <n v="9.8263"/>
    <n v="0.1239"/>
  </r>
  <r>
    <s v="08-Jan-2026"/>
    <x v="3"/>
    <s v="Week2-Jan-2026"/>
    <x v="4"/>
    <s v="Q4FY26"/>
    <s v="30-Jun-2026"/>
    <s v="Tuesday"/>
    <s v="Monthly - Tuesday"/>
    <s v="Monthly - Tuesday"/>
    <s v="Month+5 Expiry"/>
    <n v="0"/>
    <n v="0"/>
    <n v="0"/>
  </r>
  <r>
    <s v="08-Jan-2026"/>
    <x v="3"/>
    <s v="Week2-Jan-2026"/>
    <x v="4"/>
    <s v="Q4FY26"/>
    <s v="29-Sep-2026"/>
    <s v="Tuesday"/>
    <s v="Monthly - Tuesday"/>
    <s v="Monthly - Tuesday"/>
    <s v="Month+8 Expiry"/>
    <n v="0"/>
    <n v="0"/>
    <n v="0"/>
  </r>
  <r>
    <s v="08-Jan-2026"/>
    <x v="3"/>
    <s v="Week2-Jan-2026"/>
    <x v="4"/>
    <s v="Q4FY26"/>
    <s v="29-Dec-2026"/>
    <s v="Tuesday"/>
    <s v="Monthly - Tuesday"/>
    <s v="Monthly - Tuesday"/>
    <s v="Month+11 Expiry"/>
    <n v="0"/>
    <n v="0"/>
    <n v="0"/>
  </r>
  <r>
    <s v="09-Jan-2026"/>
    <x v="4"/>
    <s v="Week2-Jan-2026"/>
    <x v="4"/>
    <s v="Q4FY26"/>
    <s v="27-Jan-2026"/>
    <s v="Tuesday"/>
    <s v="Monthly - Tuesday"/>
    <s v="Monthly - Tuesday"/>
    <s v="Same Month Expiry"/>
    <n v="3354589"/>
    <n v="5968.3697"/>
    <n v="38.3911"/>
  </r>
  <r>
    <s v="09-Jan-2026"/>
    <x v="4"/>
    <s v="Week2-Jan-2026"/>
    <x v="4"/>
    <s v="Q4FY26"/>
    <s v="24-Feb-2026"/>
    <s v="Tuesday"/>
    <s v="Monthly - Tuesday"/>
    <s v="Monthly - Tuesday"/>
    <s v="Month+1 Expiry"/>
    <n v="50797"/>
    <n v="91.39449999999999"/>
    <n v="0.9806"/>
  </r>
  <r>
    <s v="09-Jan-2026"/>
    <x v="4"/>
    <s v="Week2-Jan-2026"/>
    <x v="4"/>
    <s v="Q4FY26"/>
    <s v="30-Mar-2026"/>
    <s v="Monday"/>
    <s v="Monthly - Monday"/>
    <s v="Monthly - Monday"/>
    <s v="Month+2 Expiry"/>
    <n v="6876"/>
    <n v="12.355"/>
    <n v="0.1439"/>
  </r>
  <r>
    <s v="09-Jan-2026"/>
    <x v="4"/>
    <s v="Week2-Jan-2026"/>
    <x v="4"/>
    <s v="Q4FY26"/>
    <s v="30-Jun-2026"/>
    <s v="Tuesday"/>
    <s v="Monthly - Tuesday"/>
    <s v="Monthly - Tuesday"/>
    <s v="Month+5 Expiry"/>
    <n v="0"/>
    <n v="0"/>
    <n v="0"/>
  </r>
  <r>
    <s v="09-Jan-2026"/>
    <x v="4"/>
    <s v="Week2-Jan-2026"/>
    <x v="4"/>
    <s v="Q4FY26"/>
    <s v="29-Sep-2026"/>
    <s v="Tuesday"/>
    <s v="Monthly - Tuesday"/>
    <s v="Monthly - Tuesday"/>
    <s v="Month+8 Expiry"/>
    <n v="0"/>
    <n v="0"/>
    <n v="0"/>
  </r>
  <r>
    <s v="09-Jan-2026"/>
    <x v="4"/>
    <s v="Week2-Jan-2026"/>
    <x v="4"/>
    <s v="Q4FY26"/>
    <s v="29-Dec-2026"/>
    <s v="Tuesday"/>
    <s v="Monthly - Tuesday"/>
    <s v="Monthly - Tuesday"/>
    <s v="Month+11 Expiry"/>
    <n v="0"/>
    <n v="0"/>
    <n v="0"/>
  </r>
  <r>
    <s v="12-Jan-2026"/>
    <x v="0"/>
    <s v="Week2-Jan-2026"/>
    <x v="4"/>
    <s v="Q4FY26"/>
    <s v="27-Jan-2026"/>
    <s v="Tuesday"/>
    <s v="Monthly - Tuesday"/>
    <s v="Monthly - Tuesday"/>
    <s v="Same Month Expiry"/>
    <n v="3762037"/>
    <n v="6674.6142"/>
    <n v="42.5627"/>
  </r>
  <r>
    <s v="12-Jan-2026"/>
    <x v="0"/>
    <s v="Week2-Jan-2026"/>
    <x v="4"/>
    <s v="Q4FY26"/>
    <s v="24-Feb-2026"/>
    <s v="Tuesday"/>
    <s v="Monthly - Tuesday"/>
    <s v="Monthly - Tuesday"/>
    <s v="Month+1 Expiry"/>
    <n v="55544"/>
    <n v="100.327"/>
    <n v="1.1241"/>
  </r>
  <r>
    <s v="12-Jan-2026"/>
    <x v="0"/>
    <s v="Week2-Jan-2026"/>
    <x v="4"/>
    <s v="Q4FY26"/>
    <s v="30-Mar-2026"/>
    <s v="Monday"/>
    <s v="Monthly - Monday"/>
    <s v="Monthly - Monday"/>
    <s v="Month+2 Expiry"/>
    <n v="7322"/>
    <n v="13.2247"/>
    <n v="0.1875"/>
  </r>
  <r>
    <s v="12-Jan-2026"/>
    <x v="0"/>
    <s v="Week2-Jan-2026"/>
    <x v="4"/>
    <s v="Q4FY26"/>
    <s v="30-Jun-2026"/>
    <s v="Tuesday"/>
    <s v="Monthly - Tuesday"/>
    <s v="Monthly - Tuesday"/>
    <s v="Month+5 Expiry"/>
    <n v="0"/>
    <n v="0"/>
    <n v="0"/>
  </r>
  <r>
    <s v="12-Jan-2026"/>
    <x v="0"/>
    <s v="Week2-Jan-2026"/>
    <x v="4"/>
    <s v="Q4FY26"/>
    <s v="29-Sep-2026"/>
    <s v="Tuesday"/>
    <s v="Monthly - Tuesday"/>
    <s v="Monthly - Tuesday"/>
    <s v="Month+8 Expiry"/>
    <n v="0"/>
    <n v="0"/>
    <n v="0"/>
  </r>
  <r>
    <s v="12-Jan-2026"/>
    <x v="0"/>
    <s v="Week2-Jan-2026"/>
    <x v="4"/>
    <s v="Q4FY26"/>
    <s v="29-Dec-2026"/>
    <s v="Tuesday"/>
    <s v="Monthly - Tuesday"/>
    <s v="Monthly - Tuesday"/>
    <s v="Month+11 Expiry"/>
    <n v="0"/>
    <n v="0"/>
    <n v="0"/>
  </r>
  <r>
    <s v="13-Jan-2026"/>
    <x v="1"/>
    <s v="Week2-Jan-2026"/>
    <x v="4"/>
    <s v="Q4FY26"/>
    <s v="27-Jan-2026"/>
    <s v="Tuesday"/>
    <s v="Monthly - Tuesday"/>
    <s v="Monthly - Tuesday"/>
    <s v="Same Month Expiry"/>
    <n v="3238380"/>
    <n v="5766.9734"/>
    <n v="37.2434"/>
  </r>
  <r>
    <s v="13-Jan-2026"/>
    <x v="1"/>
    <s v="Week2-Jan-2026"/>
    <x v="4"/>
    <s v="Q4FY26"/>
    <s v="24-Feb-2026"/>
    <s v="Tuesday"/>
    <s v="Monthly - Tuesday"/>
    <s v="Monthly - Tuesday"/>
    <s v="Month+1 Expiry"/>
    <n v="49313"/>
    <n v="89.47150000000001"/>
    <n v="0.9596"/>
  </r>
  <r>
    <s v="13-Jan-2026"/>
    <x v="1"/>
    <s v="Week2-Jan-2026"/>
    <x v="4"/>
    <s v="Q4FY26"/>
    <s v="30-Mar-2026"/>
    <s v="Monday"/>
    <s v="Monthly - Monday"/>
    <s v="Monthly - Monday"/>
    <s v="Month+2 Expiry"/>
    <n v="4454"/>
    <n v="7.9716"/>
    <n v="0.1017"/>
  </r>
  <r>
    <s v="13-Jan-2026"/>
    <x v="1"/>
    <s v="Week2-Jan-2026"/>
    <x v="4"/>
    <s v="Q4FY26"/>
    <s v="30-Jun-2026"/>
    <s v="Tuesday"/>
    <s v="Monthly - Tuesday"/>
    <s v="Monthly - Tuesday"/>
    <s v="Month+5 Expiry"/>
    <n v="0"/>
    <n v="0"/>
    <n v="0"/>
  </r>
  <r>
    <s v="13-Jan-2026"/>
    <x v="1"/>
    <s v="Week2-Jan-2026"/>
    <x v="4"/>
    <s v="Q4FY26"/>
    <s v="29-Sep-2026"/>
    <s v="Tuesday"/>
    <s v="Monthly - Tuesday"/>
    <s v="Monthly - Tuesday"/>
    <s v="Month+8 Expiry"/>
    <n v="0"/>
    <n v="0"/>
    <n v="0"/>
  </r>
  <r>
    <s v="13-Jan-2026"/>
    <x v="1"/>
    <s v="Week2-Jan-2026"/>
    <x v="4"/>
    <s v="Q4FY26"/>
    <s v="29-Dec-2026"/>
    <s v="Tuesday"/>
    <s v="Monthly - Tuesday"/>
    <s v="Monthly - Tuesday"/>
    <s v="Month+11 Expiry"/>
    <n v="0"/>
    <n v="0"/>
    <n v="0"/>
  </r>
  <r>
    <s v="14-Jan-2026"/>
    <x v="2"/>
    <s v="Week2-Jan-2026"/>
    <x v="4"/>
    <s v="Q4FY26"/>
    <s v="27-Jan-2026"/>
    <s v="Tuesday"/>
    <s v="Monthly - Tuesday"/>
    <s v="Monthly - Tuesday"/>
    <s v="Same Month Expiry"/>
    <n v="3079585"/>
    <n v="5497.3337"/>
    <n v="32.7671"/>
  </r>
  <r>
    <s v="14-Jan-2026"/>
    <x v="2"/>
    <s v="Week2-Jan-2026"/>
    <x v="4"/>
    <s v="Q4FY26"/>
    <s v="24-Feb-2026"/>
    <s v="Tuesday"/>
    <s v="Monthly - Tuesday"/>
    <s v="Monthly - Tuesday"/>
    <s v="Month+1 Expiry"/>
    <n v="39092"/>
    <n v="70.89230000000001"/>
    <n v="0.6888"/>
  </r>
  <r>
    <s v="14-Jan-2026"/>
    <x v="2"/>
    <s v="Week2-Jan-2026"/>
    <x v="4"/>
    <s v="Q4FY26"/>
    <s v="30-Mar-2026"/>
    <s v="Monday"/>
    <s v="Monthly - Monday"/>
    <s v="Monthly - Monday"/>
    <s v="Month+2 Expiry"/>
    <n v="4347"/>
    <n v="7.7901"/>
    <n v="0.09660000000000001"/>
  </r>
  <r>
    <s v="14-Jan-2026"/>
    <x v="2"/>
    <s v="Week2-Jan-2026"/>
    <x v="4"/>
    <s v="Q4FY26"/>
    <s v="30-Jun-2026"/>
    <s v="Tuesday"/>
    <s v="Monthly - Tuesday"/>
    <s v="Monthly - Tuesday"/>
    <s v="Month+5 Expiry"/>
    <n v="0"/>
    <n v="0"/>
    <n v="0"/>
  </r>
  <r>
    <s v="14-Jan-2026"/>
    <x v="2"/>
    <s v="Week2-Jan-2026"/>
    <x v="4"/>
    <s v="Q4FY26"/>
    <s v="29-Sep-2026"/>
    <s v="Tuesday"/>
    <s v="Monthly - Tuesday"/>
    <s v="Monthly - Tuesday"/>
    <s v="Month+8 Expiry"/>
    <n v="0"/>
    <n v="0"/>
    <n v="0"/>
  </r>
  <r>
    <s v="14-Jan-2026"/>
    <x v="2"/>
    <s v="Week2-Jan-2026"/>
    <x v="4"/>
    <s v="Q4FY26"/>
    <s v="29-Dec-2026"/>
    <s v="Tuesday"/>
    <s v="Monthly - Tuesday"/>
    <s v="Monthly - Tuesday"/>
    <s v="Month+11 Expiry"/>
    <n v="0"/>
    <n v="0"/>
    <n v="0"/>
  </r>
  <r>
    <s v="16-Jan-2026"/>
    <x v="4"/>
    <s v="Week3-Jan-2026"/>
    <x v="4"/>
    <s v="Q4FY26"/>
    <s v="27-Jan-2026"/>
    <s v="Tuesday"/>
    <s v="Monthly - Tuesday"/>
    <s v="Monthly - Tuesday"/>
    <s v="Same Month Expiry"/>
    <n v="4031567"/>
    <n v="7200.0263"/>
    <n v="39.0312"/>
  </r>
  <r>
    <s v="16-Jan-2026"/>
    <x v="4"/>
    <s v="Week3-Jan-2026"/>
    <x v="4"/>
    <s v="Q4FY26"/>
    <s v="24-Feb-2026"/>
    <s v="Tuesday"/>
    <s v="Monthly - Tuesday"/>
    <s v="Monthly - Tuesday"/>
    <s v="Month+1 Expiry"/>
    <n v="101397"/>
    <n v="184.1165"/>
    <n v="2.1661"/>
  </r>
  <r>
    <s v="16-Jan-2026"/>
    <x v="4"/>
    <s v="Week3-Jan-2026"/>
    <x v="4"/>
    <s v="Q4FY26"/>
    <s v="30-Mar-2026"/>
    <s v="Monday"/>
    <s v="Monthly - Monday"/>
    <s v="Monthly - Monday"/>
    <s v="Month+2 Expiry"/>
    <n v="8143"/>
    <n v="14.6256"/>
    <n v="0.2017"/>
  </r>
  <r>
    <s v="16-Jan-2026"/>
    <x v="4"/>
    <s v="Week3-Jan-2026"/>
    <x v="4"/>
    <s v="Q4FY26"/>
    <s v="30-Jun-2026"/>
    <s v="Tuesday"/>
    <s v="Monthly - Tuesday"/>
    <s v="Monthly - Tuesday"/>
    <s v="Month+5 Expiry"/>
    <n v="0"/>
    <n v="0"/>
    <n v="0"/>
  </r>
  <r>
    <s v="16-Jan-2026"/>
    <x v="4"/>
    <s v="Week3-Jan-2026"/>
    <x v="4"/>
    <s v="Q4FY26"/>
    <s v="29-Sep-2026"/>
    <s v="Tuesday"/>
    <s v="Monthly - Tuesday"/>
    <s v="Monthly - Tuesday"/>
    <s v="Month+8 Expiry"/>
    <n v="0"/>
    <n v="0"/>
    <n v="0"/>
  </r>
  <r>
    <s v="16-Jan-2026"/>
    <x v="4"/>
    <s v="Week3-Jan-2026"/>
    <x v="4"/>
    <s v="Q4FY26"/>
    <s v="29-Dec-2026"/>
    <s v="Tuesday"/>
    <s v="Monthly - Tuesday"/>
    <s v="Monthly - Tuesday"/>
    <s v="Month+11 Expiry"/>
    <n v="0"/>
    <n v="0"/>
    <n v="0"/>
  </r>
  <r>
    <s v="19-Jan-2026"/>
    <x v="0"/>
    <s v="Week3-Jan-2026"/>
    <x v="4"/>
    <s v="Q4FY26"/>
    <s v="27-Jan-2026"/>
    <s v="Tuesday"/>
    <s v="Monthly - Tuesday"/>
    <s v="Monthly - Tuesday"/>
    <s v="Same Month Expiry"/>
    <n v="4658716"/>
    <n v="8304.645500000001"/>
    <n v="36.5061"/>
  </r>
  <r>
    <s v="19-Jan-2026"/>
    <x v="0"/>
    <s v="Week3-Jan-2026"/>
    <x v="4"/>
    <s v="Q4FY26"/>
    <s v="24-Feb-2026"/>
    <s v="Tuesday"/>
    <s v="Monthly - Tuesday"/>
    <s v="Monthly - Tuesday"/>
    <s v="Month+1 Expiry"/>
    <n v="155196"/>
    <n v="282.2435"/>
    <n v="3.1913"/>
  </r>
  <r>
    <s v="19-Jan-2026"/>
    <x v="0"/>
    <s v="Week3-Jan-2026"/>
    <x v="4"/>
    <s v="Q4FY26"/>
    <s v="30-Mar-2026"/>
    <s v="Monday"/>
    <s v="Monthly - Monday"/>
    <s v="Monthly - Monday"/>
    <s v="Month+2 Expiry"/>
    <n v="7648"/>
    <n v="13.8489"/>
    <n v="0.158"/>
  </r>
  <r>
    <s v="19-Jan-2026"/>
    <x v="0"/>
    <s v="Week3-Jan-2026"/>
    <x v="4"/>
    <s v="Q4FY26"/>
    <s v="30-Jun-2026"/>
    <s v="Tuesday"/>
    <s v="Monthly - Tuesday"/>
    <s v="Monthly - Tuesday"/>
    <s v="Month+5 Expiry"/>
    <n v="0"/>
    <n v="0"/>
    <n v="0"/>
  </r>
  <r>
    <s v="19-Jan-2026"/>
    <x v="0"/>
    <s v="Week3-Jan-2026"/>
    <x v="4"/>
    <s v="Q4FY26"/>
    <s v="29-Sep-2026"/>
    <s v="Tuesday"/>
    <s v="Monthly - Tuesday"/>
    <s v="Monthly - Tuesday"/>
    <s v="Month+8 Expiry"/>
    <n v="0"/>
    <n v="0"/>
    <n v="0"/>
  </r>
  <r>
    <s v="19-Jan-2026"/>
    <x v="0"/>
    <s v="Week3-Jan-2026"/>
    <x v="4"/>
    <s v="Q4FY26"/>
    <s v="29-Dec-2026"/>
    <s v="Tuesday"/>
    <s v="Monthly - Tuesday"/>
    <s v="Monthly - Tuesday"/>
    <s v="Month+11 Expiry"/>
    <n v="0"/>
    <n v="0"/>
    <n v="0"/>
  </r>
  <r>
    <s v="20-Jan-2026"/>
    <x v="1"/>
    <s v="Week3-Jan-2026"/>
    <x v="4"/>
    <s v="Q4FY26"/>
    <s v="27-Jan-2026"/>
    <s v="Tuesday"/>
    <s v="Monthly - Tuesday"/>
    <s v="Monthly - Tuesday"/>
    <s v="Same Month Expiry"/>
    <n v="5101235"/>
    <n v="9015.57"/>
    <n v="38.4601"/>
  </r>
  <r>
    <s v="20-Jan-2026"/>
    <x v="1"/>
    <s v="Week3-Jan-2026"/>
    <x v="4"/>
    <s v="Q4FY26"/>
    <s v="24-Feb-2026"/>
    <s v="Tuesday"/>
    <s v="Monthly - Tuesday"/>
    <s v="Monthly - Tuesday"/>
    <s v="Month+1 Expiry"/>
    <n v="195951"/>
    <n v="354.9925"/>
    <n v="4.3073"/>
  </r>
  <r>
    <s v="20-Jan-2026"/>
    <x v="1"/>
    <s v="Week3-Jan-2026"/>
    <x v="4"/>
    <s v="Q4FY26"/>
    <s v="30-Mar-2026"/>
    <s v="Monday"/>
    <s v="Monthly - Monday"/>
    <s v="Monthly - Monday"/>
    <s v="Month+2 Expiry"/>
    <n v="10843"/>
    <n v="19.6779"/>
    <n v="0.2342"/>
  </r>
  <r>
    <s v="20-Jan-2026"/>
    <x v="1"/>
    <s v="Week3-Jan-2026"/>
    <x v="4"/>
    <s v="Q4FY26"/>
    <s v="30-Jun-2026"/>
    <s v="Tuesday"/>
    <s v="Monthly - Tuesday"/>
    <s v="Monthly - Tuesday"/>
    <s v="Month+5 Expiry"/>
    <n v="1"/>
    <n v="0.0019"/>
    <n v="0.0002"/>
  </r>
  <r>
    <s v="20-Jan-2026"/>
    <x v="1"/>
    <s v="Week3-Jan-2026"/>
    <x v="4"/>
    <s v="Q4FY26"/>
    <s v="29-Sep-2026"/>
    <s v="Tuesday"/>
    <s v="Monthly - Tuesday"/>
    <s v="Monthly - Tuesday"/>
    <s v="Month+8 Expiry"/>
    <n v="0"/>
    <n v="0"/>
    <n v="0"/>
  </r>
  <r>
    <s v="20-Jan-2026"/>
    <x v="1"/>
    <s v="Week3-Jan-2026"/>
    <x v="4"/>
    <s v="Q4FY26"/>
    <s v="29-Dec-2026"/>
    <s v="Tuesday"/>
    <s v="Monthly - Tuesday"/>
    <s v="Monthly - Tuesday"/>
    <s v="Month+11 Expiry"/>
    <n v="0"/>
    <n v="0"/>
    <n v="0"/>
  </r>
  <r>
    <s v="21-Jan-2026"/>
    <x v="2"/>
    <s v="Week3-Jan-2026"/>
    <x v="4"/>
    <s v="Q4FY26"/>
    <s v="27-Jan-2026"/>
    <s v="Tuesday"/>
    <s v="Monthly - Tuesday"/>
    <s v="Monthly - Tuesday"/>
    <s v="Same Month Expiry"/>
    <n v="12414213"/>
    <n v="21724.6153"/>
    <n v="84.83629999999999"/>
  </r>
  <r>
    <s v="21-Jan-2026"/>
    <x v="2"/>
    <s v="Week3-Jan-2026"/>
    <x v="4"/>
    <s v="Q4FY26"/>
    <s v="24-Feb-2026"/>
    <s v="Tuesday"/>
    <s v="Monthly - Tuesday"/>
    <s v="Monthly - Tuesday"/>
    <s v="Month+1 Expiry"/>
    <n v="372901"/>
    <n v="667.6104"/>
    <n v="7.5471"/>
  </r>
  <r>
    <s v="21-Jan-2026"/>
    <x v="2"/>
    <s v="Week3-Jan-2026"/>
    <x v="4"/>
    <s v="Q4FY26"/>
    <s v="30-Mar-2026"/>
    <s v="Monday"/>
    <s v="Monthly - Monday"/>
    <s v="Monthly - Monday"/>
    <s v="Month+2 Expiry"/>
    <n v="37571"/>
    <n v="67.33880000000001"/>
    <n v="0.9223"/>
  </r>
  <r>
    <s v="21-Jan-2026"/>
    <x v="2"/>
    <s v="Week3-Jan-2026"/>
    <x v="4"/>
    <s v="Q4FY26"/>
    <s v="30-Jun-2026"/>
    <s v="Tuesday"/>
    <s v="Monthly - Tuesday"/>
    <s v="Monthly - Tuesday"/>
    <s v="Month+5 Expiry"/>
    <n v="0"/>
    <n v="0"/>
    <n v="0"/>
  </r>
  <r>
    <s v="21-Jan-2026"/>
    <x v="2"/>
    <s v="Week3-Jan-2026"/>
    <x v="4"/>
    <s v="Q4FY26"/>
    <s v="29-Sep-2026"/>
    <s v="Tuesday"/>
    <s v="Monthly - Tuesday"/>
    <s v="Monthly - Tuesday"/>
    <s v="Month+8 Expiry"/>
    <n v="0"/>
    <n v="0"/>
    <n v="0"/>
  </r>
  <r>
    <s v="21-Jan-2026"/>
    <x v="2"/>
    <s v="Week3-Jan-2026"/>
    <x v="4"/>
    <s v="Q4FY26"/>
    <s v="29-Dec-2026"/>
    <s v="Tuesday"/>
    <s v="Monthly - Tuesday"/>
    <s v="Monthly - Tuesday"/>
    <s v="Month+11 Expiry"/>
    <n v="0"/>
    <n v="0"/>
    <n v="0"/>
  </r>
  <r>
    <s v="22-Jan-2026"/>
    <x v="3"/>
    <s v="Week4-Jan-2026"/>
    <x v="4"/>
    <s v="Q4FY26"/>
    <s v="27-Jan-2026"/>
    <s v="Tuesday"/>
    <s v="Monthly - Tuesday"/>
    <s v="Monthly - Tuesday"/>
    <s v="Same Month Expiry"/>
    <n v="9418009"/>
    <n v="16540.254"/>
    <n v="62.5835"/>
  </r>
  <r>
    <s v="22-Jan-2026"/>
    <x v="3"/>
    <s v="Week4-Jan-2026"/>
    <x v="4"/>
    <s v="Q4FY26"/>
    <s v="24-Feb-2026"/>
    <s v="Tuesday"/>
    <s v="Monthly - Tuesday"/>
    <s v="Monthly - Tuesday"/>
    <s v="Month+1 Expiry"/>
    <n v="287934"/>
    <n v="515.5237"/>
    <n v="5.984"/>
  </r>
  <r>
    <s v="22-Jan-2026"/>
    <x v="3"/>
    <s v="Week4-Jan-2026"/>
    <x v="4"/>
    <s v="Q4FY26"/>
    <s v="30-Mar-2026"/>
    <s v="Monday"/>
    <s v="Monthly - Monday"/>
    <s v="Monthly - Monday"/>
    <s v="Month+2 Expiry"/>
    <n v="19189"/>
    <n v="34.3047"/>
    <n v="0.4585"/>
  </r>
  <r>
    <s v="22-Jan-2026"/>
    <x v="3"/>
    <s v="Week4-Jan-2026"/>
    <x v="4"/>
    <s v="Q4FY26"/>
    <s v="30-Jun-2026"/>
    <s v="Tuesday"/>
    <s v="Monthly - Tuesday"/>
    <s v="Monthly - Tuesday"/>
    <s v="Month+5 Expiry"/>
    <n v="1"/>
    <n v="0.0018"/>
    <n v="0"/>
  </r>
  <r>
    <s v="22-Jan-2026"/>
    <x v="3"/>
    <s v="Week4-Jan-2026"/>
    <x v="4"/>
    <s v="Q4FY26"/>
    <s v="29-Sep-2026"/>
    <s v="Tuesday"/>
    <s v="Monthly - Tuesday"/>
    <s v="Monthly - Tuesday"/>
    <s v="Month+8 Expiry"/>
    <n v="0"/>
    <n v="0"/>
    <n v="0"/>
  </r>
  <r>
    <s v="22-Jan-2026"/>
    <x v="3"/>
    <s v="Week4-Jan-2026"/>
    <x v="4"/>
    <s v="Q4FY26"/>
    <s v="29-Dec-2026"/>
    <s v="Tuesday"/>
    <s v="Monthly - Tuesday"/>
    <s v="Monthly - Tuesday"/>
    <s v="Month+11 Expiry"/>
    <n v="0"/>
    <n v="0"/>
    <n v="0"/>
  </r>
  <r>
    <s v="23-Jan-2026"/>
    <x v="4"/>
    <s v="Week4-Jan-2026"/>
    <x v="4"/>
    <s v="Q4FY26"/>
    <s v="27-Jan-2026"/>
    <s v="Tuesday"/>
    <s v="Monthly - Tuesday"/>
    <s v="Monthly - Tuesday"/>
    <s v="Same Month Expiry"/>
    <n v="18445823"/>
    <n v="32235.9071"/>
    <n v="102.5214"/>
  </r>
  <r>
    <s v="23-Jan-2026"/>
    <x v="4"/>
    <s v="Week4-Jan-2026"/>
    <x v="4"/>
    <s v="Q4FY26"/>
    <s v="24-Feb-2026"/>
    <s v="Tuesday"/>
    <s v="Monthly - Tuesday"/>
    <s v="Monthly - Tuesday"/>
    <s v="Month+1 Expiry"/>
    <n v="391805"/>
    <n v="702.6994"/>
    <n v="9.131600000000001"/>
  </r>
  <r>
    <s v="23-Jan-2026"/>
    <x v="4"/>
    <s v="Week4-Jan-2026"/>
    <x v="4"/>
    <s v="Q4FY26"/>
    <s v="30-Mar-2026"/>
    <s v="Monday"/>
    <s v="Monthly - Monday"/>
    <s v="Monthly - Monday"/>
    <s v="Month+2 Expiry"/>
    <n v="17636"/>
    <n v="31.7874"/>
    <n v="0.5179"/>
  </r>
  <r>
    <s v="23-Jan-2026"/>
    <x v="4"/>
    <s v="Week4-Jan-2026"/>
    <x v="4"/>
    <s v="Q4FY26"/>
    <s v="30-Jun-2026"/>
    <s v="Tuesday"/>
    <s v="Monthly - Tuesday"/>
    <s v="Monthly - Tuesday"/>
    <s v="Month+5 Expiry"/>
    <n v="1"/>
    <n v="0.0018"/>
    <n v="0"/>
  </r>
  <r>
    <s v="23-Jan-2026"/>
    <x v="4"/>
    <s v="Week4-Jan-2026"/>
    <x v="4"/>
    <s v="Q4FY26"/>
    <s v="29-Sep-2026"/>
    <s v="Tuesday"/>
    <s v="Monthly - Tuesday"/>
    <s v="Monthly - Tuesday"/>
    <s v="Month+8 Expiry"/>
    <n v="0"/>
    <n v="0"/>
    <n v="0"/>
  </r>
  <r>
    <s v="23-Jan-2026"/>
    <x v="4"/>
    <s v="Week4-Jan-2026"/>
    <x v="4"/>
    <s v="Q4FY26"/>
    <s v="29-Dec-2026"/>
    <s v="Tuesday"/>
    <s v="Monthly - Tuesday"/>
    <s v="Monthly - Tuesday"/>
    <s v="Month+11 Expiry"/>
    <n v="0"/>
    <n v="0"/>
    <n v="0"/>
  </r>
  <r>
    <s v="27-Jan-2026"/>
    <x v="1"/>
    <s v="Week4-Jan-2026"/>
    <x v="4"/>
    <s v="Q4FY26"/>
    <s v="27-Jan-2026"/>
    <s v="Tuesday"/>
    <s v="Monthly - Tuesday"/>
    <s v="Monthly - Tuesday"/>
    <s v="Same Month Expiry"/>
    <n v="89044441"/>
    <n v="154787.0144"/>
    <n v="180.1661"/>
  </r>
  <r>
    <s v="27-Jan-2026"/>
    <x v="1"/>
    <s v="Week4-Jan-2026"/>
    <x v="4"/>
    <s v="Q4FY26"/>
    <s v="24-Feb-2026"/>
    <s v="Tuesday"/>
    <s v="Monthly - Tuesday"/>
    <s v="Monthly - Tuesday"/>
    <s v="Month+1 Expiry"/>
    <n v="825718"/>
    <n v="1469.6984"/>
    <n v="17.9767"/>
  </r>
  <r>
    <s v="27-Jan-2026"/>
    <x v="1"/>
    <s v="Week4-Jan-2026"/>
    <x v="4"/>
    <s v="Q4FY26"/>
    <s v="30-Mar-2026"/>
    <s v="Monday"/>
    <s v="Monthly - Monday"/>
    <s v="Monthly - Monday"/>
    <s v="Month+2 Expiry"/>
    <n v="24215"/>
    <n v="43.698"/>
    <n v="0.6173"/>
  </r>
  <r>
    <s v="27-Jan-2026"/>
    <x v="1"/>
    <s v="Week4-Jan-2026"/>
    <x v="4"/>
    <s v="Q4FY26"/>
    <s v="30-Jun-2026"/>
    <s v="Tuesday"/>
    <s v="Monthly - Tuesday"/>
    <s v="Monthly - Tuesday"/>
    <s v="Month+5 Expiry"/>
    <n v="21"/>
    <n v="0.0375"/>
    <n v="0.0007"/>
  </r>
  <r>
    <s v="27-Jan-2026"/>
    <x v="1"/>
    <s v="Week4-Jan-2026"/>
    <x v="4"/>
    <s v="Q4FY26"/>
    <s v="29-Sep-2026"/>
    <s v="Tuesday"/>
    <s v="Monthly - Tuesday"/>
    <s v="Monthly - Tuesday"/>
    <s v="Month+8 Expiry"/>
    <n v="0"/>
    <n v="0"/>
    <n v="0"/>
  </r>
  <r>
    <s v="27-Jan-2026"/>
    <x v="1"/>
    <s v="Week4-Jan-2026"/>
    <x v="4"/>
    <s v="Q4FY26"/>
    <s v="29-Dec-2026"/>
    <s v="Tuesday"/>
    <s v="Monthly - Tuesday"/>
    <s v="Monthly - Tuesday"/>
    <s v="Month+11 Expiry"/>
    <n v="0"/>
    <n v="0"/>
    <n v="0"/>
  </r>
  <r>
    <s v="28-Jan-2026"/>
    <x v="2"/>
    <s v="Week4-Jan-2026"/>
    <x v="4"/>
    <s v="Q4FY26"/>
    <s v="24-Feb-2026"/>
    <s v="Tuesday"/>
    <s v="Monthly - Tuesday"/>
    <s v="Monthly - Tuesday"/>
    <s v="Month+1 Expiry"/>
    <n v="2041946"/>
    <n v="3646.5282"/>
    <n v="38.3867"/>
  </r>
  <r>
    <s v="28-Jan-2026"/>
    <x v="2"/>
    <s v="Week4-Jan-2026"/>
    <x v="4"/>
    <s v="Q4FY26"/>
    <s v="30-Mar-2026"/>
    <s v="Monday"/>
    <s v="Monthly - Monday"/>
    <s v="Monthly - Monday"/>
    <s v="Month+2 Expiry"/>
    <n v="24716"/>
    <n v="44.2572"/>
    <n v="0.5391"/>
  </r>
  <r>
    <s v="28-Jan-2026"/>
    <x v="2"/>
    <s v="Week4-Jan-2026"/>
    <x v="4"/>
    <s v="Q4FY26"/>
    <s v="28-Apr-2026"/>
    <s v="Tuesday"/>
    <s v="Monthly - Tuesday"/>
    <s v="Monthly - Tuesday"/>
    <s v="Month+3 Expiry"/>
    <n v="159"/>
    <n v="0.2818"/>
    <n v="0.0044"/>
  </r>
  <r>
    <s v="28-Jan-2026"/>
    <x v="2"/>
    <s v="Week4-Jan-2026"/>
    <x v="4"/>
    <s v="Q4FY26"/>
    <s v="30-Jun-2026"/>
    <s v="Tuesday"/>
    <s v="Monthly - Tuesday"/>
    <s v="Monthly - Tuesday"/>
    <s v="Month+5 Expiry"/>
    <n v="14"/>
    <n v="0.025"/>
    <n v="0.0004"/>
  </r>
  <r>
    <s v="28-Jan-2026"/>
    <x v="2"/>
    <s v="Week4-Jan-2026"/>
    <x v="4"/>
    <s v="Q4FY26"/>
    <s v="29-Sep-2026"/>
    <s v="Tuesday"/>
    <s v="Monthly - Tuesday"/>
    <s v="Monthly - Tuesday"/>
    <s v="Month+8 Expiry"/>
    <n v="0"/>
    <n v="0"/>
    <n v="0"/>
  </r>
  <r>
    <s v="28-Jan-2026"/>
    <x v="2"/>
    <s v="Week4-Jan-2026"/>
    <x v="4"/>
    <s v="Q4FY26"/>
    <s v="29-Dec-2026"/>
    <s v="Tuesday"/>
    <s v="Monthly - Tuesday"/>
    <s v="Monthly - Tuesday"/>
    <s v="Month+11 Expiry"/>
    <n v="0"/>
    <n v="0"/>
    <n v="0"/>
  </r>
  <r>
    <s v="29-Jan-2026"/>
    <x v="3"/>
    <s v="Week5-Jan-2026"/>
    <x v="4"/>
    <s v="Q4FY26"/>
    <s v="24-Feb-2026"/>
    <s v="Tuesday"/>
    <s v="Monthly - Tuesday"/>
    <s v="Monthly - Tuesday"/>
    <s v="Month+1 Expiry"/>
    <n v="1883204"/>
    <n v="3374.6449"/>
    <n v="35.0425"/>
  </r>
  <r>
    <s v="29-Jan-2026"/>
    <x v="3"/>
    <s v="Week5-Jan-2026"/>
    <x v="4"/>
    <s v="Q4FY26"/>
    <s v="30-Mar-2026"/>
    <s v="Monday"/>
    <s v="Monthly - Monday"/>
    <s v="Monthly - Monday"/>
    <s v="Month+2 Expiry"/>
    <n v="27686"/>
    <n v="49.8626"/>
    <n v="0.5569"/>
  </r>
  <r>
    <s v="29-Jan-2026"/>
    <x v="3"/>
    <s v="Week5-Jan-2026"/>
    <x v="4"/>
    <s v="Q4FY26"/>
    <s v="28-Apr-2026"/>
    <s v="Tuesday"/>
    <s v="Monthly - Tuesday"/>
    <s v="Monthly - Tuesday"/>
    <s v="Month+3 Expiry"/>
    <n v="320"/>
    <n v="0.5822000000000001"/>
    <n v="0.0103"/>
  </r>
  <r>
    <s v="29-Jan-2026"/>
    <x v="3"/>
    <s v="Week5-Jan-2026"/>
    <x v="4"/>
    <s v="Q4FY26"/>
    <s v="30-Jun-2026"/>
    <s v="Tuesday"/>
    <s v="Monthly - Tuesday"/>
    <s v="Monthly - Tuesday"/>
    <s v="Month+5 Expiry"/>
    <n v="11"/>
    <n v="0.0196"/>
    <n v="0.0003"/>
  </r>
  <r>
    <s v="29-Jan-2026"/>
    <x v="3"/>
    <s v="Week5-Jan-2026"/>
    <x v="4"/>
    <s v="Q4FY26"/>
    <s v="29-Sep-2026"/>
    <s v="Tuesday"/>
    <s v="Monthly - Tuesday"/>
    <s v="Monthly - Tuesday"/>
    <s v="Month+8 Expiry"/>
    <n v="0"/>
    <n v="0"/>
    <n v="0"/>
  </r>
  <r>
    <s v="29-Jan-2026"/>
    <x v="3"/>
    <s v="Week5-Jan-2026"/>
    <x v="4"/>
    <s v="Q4FY26"/>
    <s v="29-Dec-2026"/>
    <s v="Tuesday"/>
    <s v="Monthly - Tuesday"/>
    <s v="Monthly - Tuesday"/>
    <s v="Month+11 Expiry"/>
    <n v="0"/>
    <n v="0"/>
    <n v="0"/>
  </r>
  <r>
    <s v="30-Jan-2026"/>
    <x v="4"/>
    <s v="Week5-Jan-2026"/>
    <x v="4"/>
    <s v="Q4FY26"/>
    <s v="24-Feb-2026"/>
    <s v="Tuesday"/>
    <s v="Monthly - Tuesday"/>
    <s v="Monthly - Tuesday"/>
    <s v="Month+1 Expiry"/>
    <n v="2224337"/>
    <n v="3982.4356"/>
    <n v="40.3795"/>
  </r>
  <r>
    <s v="30-Jan-2026"/>
    <x v="4"/>
    <s v="Week5-Jan-2026"/>
    <x v="4"/>
    <s v="Q4FY26"/>
    <s v="30-Mar-2026"/>
    <s v="Monday"/>
    <s v="Monthly - Monday"/>
    <s v="Monthly - Monday"/>
    <s v="Month+2 Expiry"/>
    <n v="25777"/>
    <n v="46.682"/>
    <n v="0.5952"/>
  </r>
  <r>
    <s v="30-Jan-2026"/>
    <x v="4"/>
    <s v="Week5-Jan-2026"/>
    <x v="4"/>
    <s v="Q4FY26"/>
    <s v="28-Apr-2026"/>
    <s v="Tuesday"/>
    <s v="Monthly - Tuesday"/>
    <s v="Monthly - Tuesday"/>
    <s v="Month+3 Expiry"/>
    <n v="487"/>
    <n v="0.8885"/>
    <n v="0.0175"/>
  </r>
  <r>
    <s v="30-Jan-2026"/>
    <x v="4"/>
    <s v="Week5-Jan-2026"/>
    <x v="4"/>
    <s v="Q4FY26"/>
    <s v="30-Jun-2026"/>
    <s v="Tuesday"/>
    <s v="Monthly - Tuesday"/>
    <s v="Monthly - Tuesday"/>
    <s v="Month+5 Expiry"/>
    <n v="11"/>
    <n v="0.0196"/>
    <n v="0.0003"/>
  </r>
  <r>
    <s v="30-Jan-2026"/>
    <x v="4"/>
    <s v="Week5-Jan-2026"/>
    <x v="4"/>
    <s v="Q4FY26"/>
    <s v="29-Sep-2026"/>
    <s v="Tuesday"/>
    <s v="Monthly - Tuesday"/>
    <s v="Monthly - Tuesday"/>
    <s v="Month+8 Expiry"/>
    <n v="0"/>
    <n v="0"/>
    <n v="0"/>
  </r>
  <r>
    <s v="30-Jan-2026"/>
    <x v="4"/>
    <s v="Week5-Jan-2026"/>
    <x v="4"/>
    <s v="Q4FY26"/>
    <s v="29-Dec-2026"/>
    <s v="Tuesday"/>
    <s v="Monthly - Tuesday"/>
    <s v="Monthly - Tuesday"/>
    <s v="Month+11 Expiry"/>
    <n v="0"/>
    <n v="0"/>
    <n v="0"/>
  </r>
  <r>
    <s v="01-Feb-2026"/>
    <x v="5"/>
    <s v="Week1-Feb-2026"/>
    <x v="5"/>
    <s v="Q4FY26"/>
    <s v="24-Feb-2026"/>
    <s v="Tuesday"/>
    <s v="Monthly - Tuesday"/>
    <s v="Monthly - Tuesday"/>
    <s v="Same Month Expiry"/>
    <n v="4014589"/>
    <n v="7173.3755"/>
    <n v="63.3544"/>
  </r>
  <r>
    <s v="01-Feb-2026"/>
    <x v="5"/>
    <s v="Week1-Feb-2026"/>
    <x v="5"/>
    <s v="Q4FY26"/>
    <s v="30-Mar-2026"/>
    <s v="Monday"/>
    <s v="Monthly - Monday"/>
    <s v="Monthly - Monday"/>
    <s v="Month+1 Expiry"/>
    <n v="67953"/>
    <n v="122.6479"/>
    <n v="1.5191"/>
  </r>
  <r>
    <s v="01-Feb-2026"/>
    <x v="5"/>
    <s v="Week1-Feb-2026"/>
    <x v="5"/>
    <s v="Q4FY26"/>
    <s v="28-Apr-2026"/>
    <s v="Tuesday"/>
    <s v="Monthly - Tuesday"/>
    <s v="Monthly - Tuesday"/>
    <s v="Month+2 Expiry"/>
    <n v="750"/>
    <n v="1.3668"/>
    <n v="0.026"/>
  </r>
  <r>
    <s v="01-Feb-2026"/>
    <x v="5"/>
    <s v="Week1-Feb-2026"/>
    <x v="5"/>
    <s v="Q4FY26"/>
    <s v="30-Jun-2026"/>
    <s v="Tuesday"/>
    <s v="Monthly - Tuesday"/>
    <s v="Monthly - Tuesday"/>
    <s v="Month+4 Expiry"/>
    <n v="43"/>
    <n v="0.0769"/>
    <n v="0.0014"/>
  </r>
  <r>
    <s v="01-Feb-2026"/>
    <x v="5"/>
    <s v="Week1-Feb-2026"/>
    <x v="5"/>
    <s v="Q4FY26"/>
    <s v="29-Sep-2026"/>
    <s v="Tuesday"/>
    <s v="Monthly - Tuesday"/>
    <s v="Monthly - Tuesday"/>
    <s v="Month+7 Expiry"/>
    <n v="0"/>
    <n v="0"/>
    <n v="0"/>
  </r>
  <r>
    <s v="01-Feb-2026"/>
    <x v="5"/>
    <s v="Week1-Feb-2026"/>
    <x v="5"/>
    <s v="Q4FY26"/>
    <s v="29-Dec-2026"/>
    <s v="Tuesday"/>
    <s v="Monthly - Tuesday"/>
    <s v="Monthly - Tuesday"/>
    <s v="Month+10 Expiry"/>
    <n v="0"/>
    <n v="0"/>
    <n v="0"/>
  </r>
  <r>
    <s v="02-Feb-2026"/>
    <x v="0"/>
    <s v="Week1-Feb-2026"/>
    <x v="5"/>
    <s v="Q4FY26"/>
    <s v="24-Feb-2026"/>
    <s v="Tuesday"/>
    <s v="Monthly - Tuesday"/>
    <s v="Monthly - Tuesday"/>
    <s v="Same Month Expiry"/>
    <n v="2941021"/>
    <n v="5185.9158"/>
    <n v="46.7905"/>
  </r>
  <r>
    <s v="02-Feb-2026"/>
    <x v="0"/>
    <s v="Week1-Feb-2026"/>
    <x v="5"/>
    <s v="Q4FY26"/>
    <s v="30-Mar-2026"/>
    <s v="Monday"/>
    <s v="Monthly - Monday"/>
    <s v="Monthly - Monday"/>
    <s v="Month+1 Expiry"/>
    <n v="55122"/>
    <n v="98.68040000000001"/>
    <n v="1.2341"/>
  </r>
  <r>
    <s v="02-Feb-2026"/>
    <x v="0"/>
    <s v="Week1-Feb-2026"/>
    <x v="5"/>
    <s v="Q4FY26"/>
    <s v="28-Apr-2026"/>
    <s v="Tuesday"/>
    <s v="Monthly - Tuesday"/>
    <s v="Monthly - Tuesday"/>
    <s v="Month+2 Expiry"/>
    <n v="1483"/>
    <n v="2.6798"/>
    <n v="0.0415"/>
  </r>
  <r>
    <s v="02-Feb-2026"/>
    <x v="0"/>
    <s v="Week1-Feb-2026"/>
    <x v="5"/>
    <s v="Q4FY26"/>
    <s v="30-Jun-2026"/>
    <s v="Tuesday"/>
    <s v="Monthly - Tuesday"/>
    <s v="Monthly - Tuesday"/>
    <s v="Month+4 Expiry"/>
    <n v="44"/>
    <n v="0.0789"/>
    <n v="0.0017"/>
  </r>
  <r>
    <s v="02-Feb-2026"/>
    <x v="0"/>
    <s v="Week1-Feb-2026"/>
    <x v="5"/>
    <s v="Q4FY26"/>
    <s v="29-Sep-2026"/>
    <s v="Tuesday"/>
    <s v="Monthly - Tuesday"/>
    <s v="Monthly - Tuesday"/>
    <s v="Month+7 Expiry"/>
    <n v="0"/>
    <n v="0"/>
    <n v="0"/>
  </r>
  <r>
    <s v="02-Feb-2026"/>
    <x v="0"/>
    <s v="Week1-Feb-2026"/>
    <x v="5"/>
    <s v="Q4FY26"/>
    <s v="29-Dec-2026"/>
    <s v="Tuesday"/>
    <s v="Monthly - Tuesday"/>
    <s v="Monthly - Tuesday"/>
    <s v="Month+10 Expiry"/>
    <n v="0"/>
    <n v="0"/>
    <n v="0"/>
  </r>
  <r>
    <s v="03-Feb-2026"/>
    <x v="1"/>
    <s v="Week1-Feb-2026"/>
    <x v="5"/>
    <s v="Q4FY26"/>
    <s v="24-Feb-2026"/>
    <s v="Tuesday"/>
    <s v="Monthly - Tuesday"/>
    <s v="Monthly - Tuesday"/>
    <s v="Same Month Expiry"/>
    <n v="3282380"/>
    <n v="5878.9196"/>
    <n v="51.1009"/>
  </r>
  <r>
    <s v="03-Feb-2026"/>
    <x v="1"/>
    <s v="Week1-Feb-2026"/>
    <x v="5"/>
    <s v="Q4FY26"/>
    <s v="30-Mar-2026"/>
    <s v="Monday"/>
    <s v="Monthly - Monday"/>
    <s v="Monthly - Monday"/>
    <s v="Month+1 Expiry"/>
    <n v="85238"/>
    <n v="155.3794"/>
    <n v="2.0396"/>
  </r>
  <r>
    <s v="03-Feb-2026"/>
    <x v="1"/>
    <s v="Week1-Feb-2026"/>
    <x v="5"/>
    <s v="Q4FY26"/>
    <s v="28-Apr-2026"/>
    <s v="Tuesday"/>
    <s v="Monthly - Tuesday"/>
    <s v="Monthly - Tuesday"/>
    <s v="Month+2 Expiry"/>
    <n v="1405"/>
    <n v="2.575"/>
    <n v="0.0462"/>
  </r>
  <r>
    <s v="03-Feb-2026"/>
    <x v="1"/>
    <s v="Week1-Feb-2026"/>
    <x v="5"/>
    <s v="Q4FY26"/>
    <s v="30-Jun-2026"/>
    <s v="Tuesday"/>
    <s v="Monthly - Tuesday"/>
    <s v="Monthly - Tuesday"/>
    <s v="Month+4 Expiry"/>
    <n v="40"/>
    <n v="0.0713"/>
    <n v="0.0011"/>
  </r>
  <r>
    <s v="03-Feb-2026"/>
    <x v="1"/>
    <s v="Week1-Feb-2026"/>
    <x v="5"/>
    <s v="Q4FY26"/>
    <s v="29-Sep-2026"/>
    <s v="Tuesday"/>
    <s v="Monthly - Tuesday"/>
    <s v="Monthly - Tuesday"/>
    <s v="Month+7 Expiry"/>
    <n v="0"/>
    <n v="0"/>
    <n v="0"/>
  </r>
  <r>
    <s v="03-Feb-2026"/>
    <x v="1"/>
    <s v="Week1-Feb-2026"/>
    <x v="5"/>
    <s v="Q4FY26"/>
    <s v="29-Dec-2026"/>
    <s v="Tuesday"/>
    <s v="Monthly - Tuesday"/>
    <s v="Monthly - Tuesday"/>
    <s v="Month+10 Expiry"/>
    <n v="0"/>
    <n v="0"/>
    <n v="0"/>
  </r>
  <r>
    <s v="04-Feb-2026"/>
    <x v="2"/>
    <s v="Week1-Feb-2026"/>
    <x v="5"/>
    <s v="Q4FY26"/>
    <s v="24-Feb-2026"/>
    <s v="Tuesday"/>
    <s v="Monthly - Tuesday"/>
    <s v="Monthly - Tuesday"/>
    <s v="Same Month Expiry"/>
    <n v="2276529"/>
    <n v="4097.0879"/>
    <n v="32.8248"/>
  </r>
  <r>
    <s v="04-Feb-2026"/>
    <x v="2"/>
    <s v="Week1-Feb-2026"/>
    <x v="5"/>
    <s v="Q4FY26"/>
    <s v="30-Mar-2026"/>
    <s v="Monday"/>
    <s v="Monthly - Monday"/>
    <s v="Monthly - Monday"/>
    <s v="Month+1 Expiry"/>
    <n v="44167"/>
    <n v="79.46259999999999"/>
    <n v="0.8157"/>
  </r>
  <r>
    <s v="04-Feb-2026"/>
    <x v="2"/>
    <s v="Week1-Feb-2026"/>
    <x v="5"/>
    <s v="Q4FY26"/>
    <s v="28-Apr-2026"/>
    <s v="Tuesday"/>
    <s v="Monthly - Tuesday"/>
    <s v="Monthly - Tuesday"/>
    <s v="Month+2 Expiry"/>
    <n v="1768"/>
    <n v="3.2021"/>
    <n v="0.0472"/>
  </r>
  <r>
    <s v="04-Feb-2026"/>
    <x v="2"/>
    <s v="Week1-Feb-2026"/>
    <x v="5"/>
    <s v="Q4FY26"/>
    <s v="30-Jun-2026"/>
    <s v="Tuesday"/>
    <s v="Monthly - Tuesday"/>
    <s v="Monthly - Tuesday"/>
    <s v="Month+4 Expiry"/>
    <n v="52"/>
    <n v="0.0941"/>
    <n v="0.0028"/>
  </r>
  <r>
    <s v="04-Feb-2026"/>
    <x v="2"/>
    <s v="Week1-Feb-2026"/>
    <x v="5"/>
    <s v="Q4FY26"/>
    <s v="29-Sep-2026"/>
    <s v="Tuesday"/>
    <s v="Monthly - Tuesday"/>
    <s v="Monthly - Tuesday"/>
    <s v="Month+7 Expiry"/>
    <n v="0"/>
    <n v="0"/>
    <n v="0"/>
  </r>
  <r>
    <s v="04-Feb-2026"/>
    <x v="2"/>
    <s v="Week1-Feb-2026"/>
    <x v="5"/>
    <s v="Q4FY26"/>
    <s v="29-Dec-2026"/>
    <s v="Tuesday"/>
    <s v="Monthly - Tuesday"/>
    <s v="Monthly - Tuesday"/>
    <s v="Month+10 Expiry"/>
    <n v="0"/>
    <n v="0"/>
    <n v="0"/>
  </r>
  <r>
    <s v="05-Feb-2026"/>
    <x v="3"/>
    <s v="Week1-Feb-2026"/>
    <x v="5"/>
    <s v="Q4FY26"/>
    <s v="24-Feb-2026"/>
    <s v="Tuesday"/>
    <s v="Monthly - Tuesday"/>
    <s v="Monthly - Tuesday"/>
    <s v="Same Month Expiry"/>
    <n v="1900416"/>
    <n v="3419.8134"/>
    <n v="26.5009"/>
  </r>
  <r>
    <s v="05-Feb-2026"/>
    <x v="3"/>
    <s v="Week1-Feb-2026"/>
    <x v="5"/>
    <s v="Q4FY26"/>
    <s v="30-Mar-2026"/>
    <s v="Monday"/>
    <s v="Monthly - Monday"/>
    <s v="Monthly - Monday"/>
    <s v="Month+1 Expiry"/>
    <n v="28610"/>
    <n v="52.0564"/>
    <n v="0.5356"/>
  </r>
  <r>
    <s v="05-Feb-2026"/>
    <x v="3"/>
    <s v="Week1-Feb-2026"/>
    <x v="5"/>
    <s v="Q4FY26"/>
    <s v="28-Apr-2026"/>
    <s v="Tuesday"/>
    <s v="Monthly - Tuesday"/>
    <s v="Monthly - Tuesday"/>
    <s v="Month+2 Expiry"/>
    <n v="1227"/>
    <n v="2.2219"/>
    <n v="0.0312"/>
  </r>
  <r>
    <s v="05-Feb-2026"/>
    <x v="3"/>
    <s v="Week1-Feb-2026"/>
    <x v="5"/>
    <s v="Q4FY26"/>
    <s v="30-Jun-2026"/>
    <s v="Tuesday"/>
    <s v="Monthly - Tuesday"/>
    <s v="Monthly - Tuesday"/>
    <s v="Month+4 Expiry"/>
    <n v="35"/>
    <n v="0.06279999999999999"/>
    <n v="0.0013"/>
  </r>
  <r>
    <s v="05-Feb-2026"/>
    <x v="3"/>
    <s v="Week1-Feb-2026"/>
    <x v="5"/>
    <s v="Q4FY26"/>
    <s v="29-Sep-2026"/>
    <s v="Tuesday"/>
    <s v="Monthly - Tuesday"/>
    <s v="Monthly - Tuesday"/>
    <s v="Month+7 Expiry"/>
    <n v="0"/>
    <n v="0"/>
    <n v="0"/>
  </r>
  <r>
    <s v="05-Feb-2026"/>
    <x v="3"/>
    <s v="Week1-Feb-2026"/>
    <x v="5"/>
    <s v="Q4FY26"/>
    <s v="29-Dec-2026"/>
    <s v="Tuesday"/>
    <s v="Monthly - Tuesday"/>
    <s v="Monthly - Tuesday"/>
    <s v="Month+10 Expiry"/>
    <n v="0"/>
    <n v="0"/>
    <n v="0"/>
  </r>
  <r>
    <s v="06-Feb-2026"/>
    <x v="4"/>
    <s v="Week1-Feb-2026"/>
    <x v="5"/>
    <s v="Q4FY26"/>
    <s v="24-Feb-2026"/>
    <s v="Tuesday"/>
    <s v="Monthly - Tuesday"/>
    <s v="Monthly - Tuesday"/>
    <s v="Same Month Expiry"/>
    <n v="3206221"/>
    <n v="5767.5597"/>
    <n v="40.9351"/>
  </r>
  <r>
    <s v="06-Feb-2026"/>
    <x v="4"/>
    <s v="Week1-Feb-2026"/>
    <x v="5"/>
    <s v="Q4FY26"/>
    <s v="30-Mar-2026"/>
    <s v="Monday"/>
    <s v="Monthly - Monday"/>
    <s v="Monthly - Monday"/>
    <s v="Month+1 Expiry"/>
    <n v="46668"/>
    <n v="84.7295"/>
    <n v="0.8862"/>
  </r>
  <r>
    <s v="06-Feb-2026"/>
    <x v="4"/>
    <s v="Week1-Feb-2026"/>
    <x v="5"/>
    <s v="Q4FY26"/>
    <s v="28-Apr-2026"/>
    <s v="Tuesday"/>
    <s v="Monthly - Tuesday"/>
    <s v="Monthly - Tuesday"/>
    <s v="Month+2 Expiry"/>
    <n v="2290"/>
    <n v="4.1725"/>
    <n v="0.0517"/>
  </r>
  <r>
    <s v="06-Feb-2026"/>
    <x v="4"/>
    <s v="Week1-Feb-2026"/>
    <x v="5"/>
    <s v="Q4FY26"/>
    <s v="30-Jun-2026"/>
    <s v="Tuesday"/>
    <s v="Monthly - Tuesday"/>
    <s v="Monthly - Tuesday"/>
    <s v="Month+4 Expiry"/>
    <n v="44"/>
    <n v="0.0786"/>
    <n v="0.0014"/>
  </r>
  <r>
    <s v="06-Feb-2026"/>
    <x v="4"/>
    <s v="Week1-Feb-2026"/>
    <x v="5"/>
    <s v="Q4FY26"/>
    <s v="29-Sep-2026"/>
    <s v="Tuesday"/>
    <s v="Monthly - Tuesday"/>
    <s v="Monthly - Tuesday"/>
    <s v="Month+7 Expiry"/>
    <n v="0"/>
    <n v="0"/>
    <n v="0"/>
  </r>
  <r>
    <s v="06-Feb-2026"/>
    <x v="4"/>
    <s v="Week1-Feb-2026"/>
    <x v="5"/>
    <s v="Q4FY26"/>
    <s v="29-Dec-2026"/>
    <s v="Tuesday"/>
    <s v="Monthly - Tuesday"/>
    <s v="Monthly - Tuesday"/>
    <s v="Month+10 Expiry"/>
    <n v="0"/>
    <n v="0"/>
    <n v="0"/>
  </r>
  <r>
    <s v="09-Feb-2026"/>
    <x v="0"/>
    <s v="Week2-Feb-2026"/>
    <x v="5"/>
    <s v="Q4FY26"/>
    <s v="24-Feb-2026"/>
    <s v="Tuesday"/>
    <s v="Monthly - Tuesday"/>
    <s v="Monthly - Tuesday"/>
    <s v="Same Month Expiry"/>
    <n v="2427088"/>
    <n v="4373.6501"/>
    <n v="28.0095"/>
  </r>
  <r>
    <s v="09-Feb-2026"/>
    <x v="0"/>
    <s v="Week2-Feb-2026"/>
    <x v="5"/>
    <s v="Q4FY26"/>
    <s v="30-Mar-2026"/>
    <s v="Monday"/>
    <s v="Monthly - Monday"/>
    <s v="Monthly - Monday"/>
    <s v="Month+1 Expiry"/>
    <n v="56574"/>
    <n v="102.8533"/>
    <n v="1.0963"/>
  </r>
  <r>
    <s v="09-Feb-2026"/>
    <x v="0"/>
    <s v="Week2-Feb-2026"/>
    <x v="5"/>
    <s v="Q4FY26"/>
    <s v="28-Apr-2026"/>
    <s v="Tuesday"/>
    <s v="Monthly - Tuesday"/>
    <s v="Monthly - Tuesday"/>
    <s v="Month+2 Expiry"/>
    <n v="5815"/>
    <n v="10.6526"/>
    <n v="0.1388"/>
  </r>
  <r>
    <s v="09-Feb-2026"/>
    <x v="0"/>
    <s v="Week2-Feb-2026"/>
    <x v="5"/>
    <s v="Q4FY26"/>
    <s v="30-Jun-2026"/>
    <s v="Tuesday"/>
    <s v="Monthly - Tuesday"/>
    <s v="Monthly - Tuesday"/>
    <s v="Month+4 Expiry"/>
    <n v="78"/>
    <n v="0.1405"/>
    <n v="0.0025"/>
  </r>
  <r>
    <s v="09-Feb-2026"/>
    <x v="0"/>
    <s v="Week2-Feb-2026"/>
    <x v="5"/>
    <s v="Q4FY26"/>
    <s v="29-Sep-2026"/>
    <s v="Tuesday"/>
    <s v="Monthly - Tuesday"/>
    <s v="Monthly - Tuesday"/>
    <s v="Month+7 Expiry"/>
    <n v="0"/>
    <n v="0"/>
    <n v="0"/>
  </r>
  <r>
    <s v="09-Feb-2026"/>
    <x v="0"/>
    <s v="Week2-Feb-2026"/>
    <x v="5"/>
    <s v="Q4FY26"/>
    <s v="29-Dec-2026"/>
    <s v="Tuesday"/>
    <s v="Monthly - Tuesday"/>
    <s v="Monthly - Tuesday"/>
    <s v="Month+10 Expiry"/>
    <n v="0"/>
    <n v="0"/>
    <n v="0"/>
  </r>
  <r>
    <s v="10-Feb-2026"/>
    <x v="1"/>
    <s v="Week2-Feb-2026"/>
    <x v="5"/>
    <s v="Q4FY26"/>
    <s v="24-Feb-2026"/>
    <s v="Tuesday"/>
    <s v="Monthly - Tuesday"/>
    <s v="Monthly - Tuesday"/>
    <s v="Same Month Expiry"/>
    <n v="2052558"/>
    <n v="3708.6684"/>
    <n v="22.4575"/>
  </r>
  <r>
    <s v="10-Feb-2026"/>
    <x v="1"/>
    <s v="Week2-Feb-2026"/>
    <x v="5"/>
    <s v="Q4FY26"/>
    <s v="30-Mar-2026"/>
    <s v="Monday"/>
    <s v="Monthly - Monday"/>
    <s v="Monthly - Monday"/>
    <s v="Month+1 Expiry"/>
    <n v="45749"/>
    <n v="82.7942"/>
    <n v="0.765"/>
  </r>
  <r>
    <s v="10-Feb-2026"/>
    <x v="1"/>
    <s v="Week2-Feb-2026"/>
    <x v="5"/>
    <s v="Q4FY26"/>
    <s v="28-Apr-2026"/>
    <s v="Tuesday"/>
    <s v="Monthly - Tuesday"/>
    <s v="Monthly - Tuesday"/>
    <s v="Month+2 Expiry"/>
    <n v="2784"/>
    <n v="5.1111"/>
    <n v="0.0614"/>
  </r>
  <r>
    <s v="10-Feb-2026"/>
    <x v="1"/>
    <s v="Week2-Feb-2026"/>
    <x v="5"/>
    <s v="Q4FY26"/>
    <s v="30-Jun-2026"/>
    <s v="Tuesday"/>
    <s v="Monthly - Tuesday"/>
    <s v="Monthly - Tuesday"/>
    <s v="Month+4 Expiry"/>
    <n v="72"/>
    <n v="0.1288"/>
    <n v="0.0016"/>
  </r>
  <r>
    <s v="10-Feb-2026"/>
    <x v="1"/>
    <s v="Week2-Feb-2026"/>
    <x v="5"/>
    <s v="Q4FY26"/>
    <s v="29-Sep-2026"/>
    <s v="Tuesday"/>
    <s v="Monthly - Tuesday"/>
    <s v="Monthly - Tuesday"/>
    <s v="Month+7 Expiry"/>
    <n v="0"/>
    <n v="0"/>
    <n v="0"/>
  </r>
  <r>
    <s v="10-Feb-2026"/>
    <x v="1"/>
    <s v="Week2-Feb-2026"/>
    <x v="5"/>
    <s v="Q4FY26"/>
    <s v="29-Dec-2026"/>
    <s v="Tuesday"/>
    <s v="Monthly - Tuesday"/>
    <s v="Monthly - Tuesday"/>
    <s v="Month+10 Expiry"/>
    <n v="0"/>
    <n v="0"/>
    <n v="0"/>
  </r>
  <r>
    <s v="11-Feb-2026"/>
    <x v="2"/>
    <s v="Week2-Feb-2026"/>
    <x v="5"/>
    <s v="Q4FY26"/>
    <s v="24-Feb-2026"/>
    <s v="Tuesday"/>
    <s v="Monthly - Tuesday"/>
    <s v="Monthly - Tuesday"/>
    <s v="Same Month Expiry"/>
    <n v="2490815"/>
    <n v="4505.4309"/>
    <n v="25.4859"/>
  </r>
  <r>
    <s v="11-Feb-2026"/>
    <x v="2"/>
    <s v="Week2-Feb-2026"/>
    <x v="5"/>
    <s v="Q4FY26"/>
    <s v="30-Mar-2026"/>
    <s v="Monday"/>
    <s v="Monthly - Monday"/>
    <s v="Monthly - Monday"/>
    <s v="Month+1 Expiry"/>
    <n v="48893"/>
    <n v="88.8792"/>
    <n v="0.7977"/>
  </r>
  <r>
    <s v="11-Feb-2026"/>
    <x v="2"/>
    <s v="Week2-Feb-2026"/>
    <x v="5"/>
    <s v="Q4FY26"/>
    <s v="28-Apr-2026"/>
    <s v="Tuesday"/>
    <s v="Monthly - Tuesday"/>
    <s v="Monthly - Tuesday"/>
    <s v="Month+2 Expiry"/>
    <n v="2539"/>
    <n v="4.6151"/>
    <n v="0.0506"/>
  </r>
  <r>
    <s v="11-Feb-2026"/>
    <x v="2"/>
    <s v="Week2-Feb-2026"/>
    <x v="5"/>
    <s v="Q4FY26"/>
    <s v="30-Jun-2026"/>
    <s v="Tuesday"/>
    <s v="Monthly - Tuesday"/>
    <s v="Monthly - Tuesday"/>
    <s v="Month+4 Expiry"/>
    <n v="109"/>
    <n v="0.1975"/>
    <n v="0.0028"/>
  </r>
  <r>
    <s v="11-Feb-2026"/>
    <x v="2"/>
    <s v="Week2-Feb-2026"/>
    <x v="5"/>
    <s v="Q4FY26"/>
    <s v="29-Sep-2026"/>
    <s v="Tuesday"/>
    <s v="Monthly - Tuesday"/>
    <s v="Monthly - Tuesday"/>
    <s v="Month+7 Expiry"/>
    <n v="0"/>
    <n v="0"/>
    <n v="0"/>
  </r>
  <r>
    <s v="11-Feb-2026"/>
    <x v="2"/>
    <s v="Week2-Feb-2026"/>
    <x v="5"/>
    <s v="Q4FY26"/>
    <s v="29-Dec-2026"/>
    <s v="Tuesday"/>
    <s v="Monthly - Tuesday"/>
    <s v="Monthly - Tuesday"/>
    <s v="Month+10 Expiry"/>
    <n v="0"/>
    <n v="0"/>
    <n v="0"/>
  </r>
  <r>
    <s v="12-Feb-2026"/>
    <x v="3"/>
    <s v="Week2-Feb-2026"/>
    <x v="5"/>
    <s v="Q4FY26"/>
    <s v="24-Feb-2026"/>
    <s v="Tuesday"/>
    <s v="Monthly - Tuesday"/>
    <s v="Monthly - Tuesday"/>
    <s v="Same Month Expiry"/>
    <n v="2534040"/>
    <n v="4586.6392"/>
    <n v="25.4767"/>
  </r>
  <r>
    <s v="12-Feb-2026"/>
    <x v="3"/>
    <s v="Week2-Feb-2026"/>
    <x v="5"/>
    <s v="Q4FY26"/>
    <s v="30-Mar-2026"/>
    <s v="Monday"/>
    <s v="Monthly - Monday"/>
    <s v="Monthly - Monday"/>
    <s v="Month+1 Expiry"/>
    <n v="54955"/>
    <n v="98.8479"/>
    <n v="0.8643"/>
  </r>
  <r>
    <s v="12-Feb-2026"/>
    <x v="3"/>
    <s v="Week2-Feb-2026"/>
    <x v="5"/>
    <s v="Q4FY26"/>
    <s v="28-Apr-2026"/>
    <s v="Tuesday"/>
    <s v="Monthly - Tuesday"/>
    <s v="Monthly - Tuesday"/>
    <s v="Month+2 Expiry"/>
    <n v="3366"/>
    <n v="6.1488"/>
    <n v="0.0772"/>
  </r>
  <r>
    <s v="12-Feb-2026"/>
    <x v="3"/>
    <s v="Week2-Feb-2026"/>
    <x v="5"/>
    <s v="Q4FY26"/>
    <s v="30-Jun-2026"/>
    <s v="Tuesday"/>
    <s v="Monthly - Tuesday"/>
    <s v="Monthly - Tuesday"/>
    <s v="Month+4 Expiry"/>
    <n v="59"/>
    <n v="0.1059"/>
    <n v="0.0013"/>
  </r>
  <r>
    <s v="12-Feb-2026"/>
    <x v="3"/>
    <s v="Week2-Feb-2026"/>
    <x v="5"/>
    <s v="Q4FY26"/>
    <s v="29-Sep-2026"/>
    <s v="Tuesday"/>
    <s v="Monthly - Tuesday"/>
    <s v="Monthly - Tuesday"/>
    <s v="Month+7 Expiry"/>
    <n v="0"/>
    <n v="0"/>
    <n v="0"/>
  </r>
  <r>
    <s v="12-Feb-2026"/>
    <x v="3"/>
    <s v="Week2-Feb-2026"/>
    <x v="5"/>
    <s v="Q4FY26"/>
    <s v="29-Dec-2026"/>
    <s v="Tuesday"/>
    <s v="Monthly - Tuesday"/>
    <s v="Monthly - Tuesday"/>
    <s v="Month+10 Expiry"/>
    <n v="0"/>
    <n v="0"/>
    <n v="0"/>
  </r>
  <r>
    <s v="13-Feb-2026"/>
    <x v="4"/>
    <s v="Week2-Feb-2026"/>
    <x v="5"/>
    <s v="Q4FY26"/>
    <s v="24-Feb-2026"/>
    <s v="Tuesday"/>
    <s v="Monthly - Tuesday"/>
    <s v="Monthly - Tuesday"/>
    <s v="Same Month Expiry"/>
    <n v="3531486"/>
    <n v="6349.5142"/>
    <n v="34.4765"/>
  </r>
  <r>
    <s v="13-Feb-2026"/>
    <x v="4"/>
    <s v="Week2-Feb-2026"/>
    <x v="5"/>
    <s v="Q4FY26"/>
    <s v="30-Mar-2026"/>
    <s v="Monday"/>
    <s v="Monthly - Monday"/>
    <s v="Monthly - Monday"/>
    <s v="Month+1 Expiry"/>
    <n v="102674"/>
    <n v="186.6546"/>
    <n v="1.7657"/>
  </r>
  <r>
    <s v="13-Feb-2026"/>
    <x v="4"/>
    <s v="Week2-Feb-2026"/>
    <x v="5"/>
    <s v="Q4FY26"/>
    <s v="28-Apr-2026"/>
    <s v="Tuesday"/>
    <s v="Monthly - Tuesday"/>
    <s v="Monthly - Tuesday"/>
    <s v="Month+2 Expiry"/>
    <n v="5415"/>
    <n v="9.7994"/>
    <n v="0.0975"/>
  </r>
  <r>
    <s v="13-Feb-2026"/>
    <x v="4"/>
    <s v="Week2-Feb-2026"/>
    <x v="5"/>
    <s v="Q4FY26"/>
    <s v="30-Jun-2026"/>
    <s v="Tuesday"/>
    <s v="Monthly - Tuesday"/>
    <s v="Monthly - Tuesday"/>
    <s v="Month+4 Expiry"/>
    <n v="123"/>
    <n v="0.2228"/>
    <n v="0.0034"/>
  </r>
  <r>
    <s v="13-Feb-2026"/>
    <x v="4"/>
    <s v="Week2-Feb-2026"/>
    <x v="5"/>
    <s v="Q4FY26"/>
    <s v="29-Sep-2026"/>
    <s v="Tuesday"/>
    <s v="Monthly - Tuesday"/>
    <s v="Monthly - Tuesday"/>
    <s v="Month+7 Expiry"/>
    <n v="0"/>
    <n v="0"/>
    <n v="0"/>
  </r>
  <r>
    <s v="13-Feb-2026"/>
    <x v="4"/>
    <s v="Week2-Feb-2026"/>
    <x v="5"/>
    <s v="Q4FY26"/>
    <s v="29-Dec-2026"/>
    <s v="Tuesday"/>
    <s v="Monthly - Tuesday"/>
    <s v="Monthly - Tuesday"/>
    <s v="Month+10 Expiry"/>
    <n v="0"/>
    <n v="0"/>
    <n v="0"/>
  </r>
  <r>
    <s v="16-Feb-2026"/>
    <x v="0"/>
    <s v="Week3-Feb-2026"/>
    <x v="5"/>
    <s v="Q4FY26"/>
    <s v="24-Feb-2026"/>
    <s v="Tuesday"/>
    <s v="Monthly - Tuesday"/>
    <s v="Monthly - Tuesday"/>
    <s v="Same Month Expiry"/>
    <n v="4350327"/>
    <n v="7864.8048"/>
    <n v="41.1772"/>
  </r>
  <r>
    <s v="16-Feb-2026"/>
    <x v="0"/>
    <s v="Week3-Feb-2026"/>
    <x v="5"/>
    <s v="Q4FY26"/>
    <s v="30-Mar-2026"/>
    <s v="Monday"/>
    <s v="Monthly - Monday"/>
    <s v="Monthly - Monday"/>
    <s v="Month+1 Expiry"/>
    <n v="132760"/>
    <n v="241.7946"/>
    <n v="2.4652"/>
  </r>
  <r>
    <s v="16-Feb-2026"/>
    <x v="0"/>
    <s v="Week3-Feb-2026"/>
    <x v="5"/>
    <s v="Q4FY26"/>
    <s v="28-Apr-2026"/>
    <s v="Tuesday"/>
    <s v="Monthly - Tuesday"/>
    <s v="Monthly - Tuesday"/>
    <s v="Month+2 Expiry"/>
    <n v="7394"/>
    <n v="13.5887"/>
    <n v="0.182"/>
  </r>
  <r>
    <s v="16-Feb-2026"/>
    <x v="0"/>
    <s v="Week3-Feb-2026"/>
    <x v="5"/>
    <s v="Q4FY26"/>
    <s v="30-Jun-2026"/>
    <s v="Tuesday"/>
    <s v="Monthly - Tuesday"/>
    <s v="Monthly - Tuesday"/>
    <s v="Month+4 Expiry"/>
    <n v="176"/>
    <n v="0.321"/>
    <n v="0.0055"/>
  </r>
  <r>
    <s v="16-Feb-2026"/>
    <x v="0"/>
    <s v="Week3-Feb-2026"/>
    <x v="5"/>
    <s v="Q4FY26"/>
    <s v="29-Sep-2026"/>
    <s v="Tuesday"/>
    <s v="Monthly - Tuesday"/>
    <s v="Monthly - Tuesday"/>
    <s v="Month+7 Expiry"/>
    <n v="0"/>
    <n v="0"/>
    <n v="0"/>
  </r>
  <r>
    <s v="16-Feb-2026"/>
    <x v="0"/>
    <s v="Week3-Feb-2026"/>
    <x v="5"/>
    <s v="Q4FY26"/>
    <s v="29-Dec-2026"/>
    <s v="Tuesday"/>
    <s v="Monthly - Tuesday"/>
    <s v="Monthly - Tuesday"/>
    <s v="Month+10 Expiry"/>
    <n v="0"/>
    <n v="0"/>
    <n v="0"/>
  </r>
  <r>
    <s v="17-Feb-2026"/>
    <x v="1"/>
    <s v="Week3-Feb-2026"/>
    <x v="5"/>
    <s v="Q4FY26"/>
    <s v="24-Feb-2026"/>
    <s v="Tuesday"/>
    <s v="Monthly - Tuesday"/>
    <s v="Monthly - Tuesday"/>
    <s v="Same Month Expiry"/>
    <n v="4695879"/>
    <n v="8499.4481"/>
    <n v="39.1683"/>
  </r>
  <r>
    <s v="17-Feb-2026"/>
    <x v="1"/>
    <s v="Week3-Feb-2026"/>
    <x v="5"/>
    <s v="Q4FY26"/>
    <s v="30-Mar-2026"/>
    <s v="Monday"/>
    <s v="Monthly - Monday"/>
    <s v="Monthly - Monday"/>
    <s v="Month+1 Expiry"/>
    <n v="181804"/>
    <n v="333.7069"/>
    <n v="3.6591"/>
  </r>
  <r>
    <s v="17-Feb-2026"/>
    <x v="1"/>
    <s v="Week3-Feb-2026"/>
    <x v="5"/>
    <s v="Q4FY26"/>
    <s v="28-Apr-2026"/>
    <s v="Tuesday"/>
    <s v="Monthly - Tuesday"/>
    <s v="Monthly - Tuesday"/>
    <s v="Month+2 Expiry"/>
    <n v="7836"/>
    <n v="14.4356"/>
    <n v="0.1899"/>
  </r>
  <r>
    <s v="17-Feb-2026"/>
    <x v="1"/>
    <s v="Week3-Feb-2026"/>
    <x v="5"/>
    <s v="Q4FY26"/>
    <s v="30-Jun-2026"/>
    <s v="Tuesday"/>
    <s v="Monthly - Tuesday"/>
    <s v="Monthly - Tuesday"/>
    <s v="Month+4 Expiry"/>
    <n v="205"/>
    <n v="0.3712"/>
    <n v="0.0055"/>
  </r>
  <r>
    <s v="17-Feb-2026"/>
    <x v="1"/>
    <s v="Week3-Feb-2026"/>
    <x v="5"/>
    <s v="Q4FY26"/>
    <s v="29-Sep-2026"/>
    <s v="Tuesday"/>
    <s v="Monthly - Tuesday"/>
    <s v="Monthly - Tuesday"/>
    <s v="Month+7 Expiry"/>
    <n v="0"/>
    <n v="0"/>
    <n v="0"/>
  </r>
  <r>
    <s v="17-Feb-2026"/>
    <x v="1"/>
    <s v="Week3-Feb-2026"/>
    <x v="5"/>
    <s v="Q4FY26"/>
    <s v="29-Dec-2026"/>
    <s v="Tuesday"/>
    <s v="Monthly - Tuesday"/>
    <s v="Monthly - Tuesday"/>
    <s v="Month+10 Expiry"/>
    <n v="0"/>
    <n v="0"/>
    <n v="0"/>
  </r>
  <r>
    <s v="18-Feb-2026"/>
    <x v="2"/>
    <s v="Week3-Feb-2026"/>
    <x v="5"/>
    <s v="Q4FY26"/>
    <s v="24-Feb-2026"/>
    <s v="Tuesday"/>
    <s v="Monthly - Tuesday"/>
    <s v="Monthly - Tuesday"/>
    <s v="Same Month Expiry"/>
    <n v="6187632"/>
    <n v="11201.2294"/>
    <n v="42.3843"/>
  </r>
  <r>
    <s v="18-Feb-2026"/>
    <x v="2"/>
    <s v="Week3-Feb-2026"/>
    <x v="5"/>
    <s v="Q4FY26"/>
    <s v="30-Mar-2026"/>
    <s v="Monday"/>
    <s v="Monthly - Monday"/>
    <s v="Monthly - Monday"/>
    <s v="Month+1 Expiry"/>
    <n v="238935"/>
    <n v="438.0108"/>
    <n v="4.1657"/>
  </r>
  <r>
    <s v="18-Feb-2026"/>
    <x v="2"/>
    <s v="Week3-Feb-2026"/>
    <x v="5"/>
    <s v="Q4FY26"/>
    <s v="28-Apr-2026"/>
    <s v="Tuesday"/>
    <s v="Monthly - Tuesday"/>
    <s v="Monthly - Tuesday"/>
    <s v="Month+2 Expiry"/>
    <n v="9490"/>
    <n v="17.5173"/>
    <n v="0.2504"/>
  </r>
  <r>
    <s v="18-Feb-2026"/>
    <x v="2"/>
    <s v="Week3-Feb-2026"/>
    <x v="5"/>
    <s v="Q4FY26"/>
    <s v="30-Jun-2026"/>
    <s v="Tuesday"/>
    <s v="Monthly - Tuesday"/>
    <s v="Monthly - Tuesday"/>
    <s v="Month+4 Expiry"/>
    <n v="204"/>
    <n v="0.3719"/>
    <n v="0.0074"/>
  </r>
  <r>
    <s v="18-Feb-2026"/>
    <x v="2"/>
    <s v="Week3-Feb-2026"/>
    <x v="5"/>
    <s v="Q4FY26"/>
    <s v="29-Sep-2026"/>
    <s v="Tuesday"/>
    <s v="Monthly - Tuesday"/>
    <s v="Monthly - Tuesday"/>
    <s v="Month+7 Expiry"/>
    <n v="0"/>
    <n v="0"/>
    <n v="0"/>
  </r>
  <r>
    <s v="18-Feb-2026"/>
    <x v="2"/>
    <s v="Week3-Feb-2026"/>
    <x v="5"/>
    <s v="Q4FY26"/>
    <s v="29-Dec-2026"/>
    <s v="Tuesday"/>
    <s v="Monthly - Tuesday"/>
    <s v="Monthly - Tuesday"/>
    <s v="Month+10 Expiry"/>
    <n v="0"/>
    <n v="0"/>
    <n v="0"/>
  </r>
  <r>
    <s v="19-Feb-2026"/>
    <x v="3"/>
    <s v="Week3-Feb-2026"/>
    <x v="5"/>
    <s v="Q4FY26"/>
    <s v="24-Feb-2026"/>
    <s v="Tuesday"/>
    <s v="Monthly - Tuesday"/>
    <s v="Monthly - Tuesday"/>
    <s v="Same Month Expiry"/>
    <n v="7927108"/>
    <n v="14295.3563"/>
    <n v="49.9196"/>
  </r>
  <r>
    <s v="19-Feb-2026"/>
    <x v="3"/>
    <s v="Week3-Feb-2026"/>
    <x v="5"/>
    <s v="Q4FY26"/>
    <s v="30-Mar-2026"/>
    <s v="Monday"/>
    <s v="Monthly - Monday"/>
    <s v="Monthly - Monday"/>
    <s v="Month+1 Expiry"/>
    <n v="378952"/>
    <n v="697.3663"/>
    <n v="7.4026"/>
  </r>
  <r>
    <s v="19-Feb-2026"/>
    <x v="3"/>
    <s v="Week3-Feb-2026"/>
    <x v="5"/>
    <s v="Q4FY26"/>
    <s v="28-Apr-2026"/>
    <s v="Tuesday"/>
    <s v="Monthly - Tuesday"/>
    <s v="Monthly - Tuesday"/>
    <s v="Month+2 Expiry"/>
    <n v="14971"/>
    <n v="27.5702"/>
    <n v="0.3818"/>
  </r>
  <r>
    <s v="19-Feb-2026"/>
    <x v="3"/>
    <s v="Week3-Feb-2026"/>
    <x v="5"/>
    <s v="Q4FY26"/>
    <s v="30-Jun-2026"/>
    <s v="Tuesday"/>
    <s v="Monthly - Tuesday"/>
    <s v="Monthly - Tuesday"/>
    <s v="Month+4 Expiry"/>
    <n v="352"/>
    <n v="0.6439"/>
    <n v="0.0126"/>
  </r>
  <r>
    <s v="19-Feb-2026"/>
    <x v="3"/>
    <s v="Week3-Feb-2026"/>
    <x v="5"/>
    <s v="Q4FY26"/>
    <s v="29-Sep-2026"/>
    <s v="Tuesday"/>
    <s v="Monthly - Tuesday"/>
    <s v="Monthly - Tuesday"/>
    <s v="Month+7 Expiry"/>
    <n v="0"/>
    <n v="0"/>
    <n v="0"/>
  </r>
  <r>
    <s v="19-Feb-2026"/>
    <x v="3"/>
    <s v="Week3-Feb-2026"/>
    <x v="5"/>
    <s v="Q4FY26"/>
    <s v="29-Dec-2026"/>
    <s v="Tuesday"/>
    <s v="Monthly - Tuesday"/>
    <s v="Monthly - Tuesday"/>
    <s v="Month+10 Expiry"/>
    <n v="0"/>
    <n v="0"/>
    <n v="0"/>
  </r>
  <r>
    <s v="20-Feb-2026"/>
    <x v="4"/>
    <s v="Week3-Feb-2026"/>
    <x v="5"/>
    <s v="Q4FY26"/>
    <s v="24-Feb-2026"/>
    <s v="Tuesday"/>
    <s v="Monthly - Tuesday"/>
    <s v="Monthly - Tuesday"/>
    <s v="Same Month Expiry"/>
    <n v="12680554"/>
    <n v="23027.3091"/>
    <n v="85.5929"/>
  </r>
  <r>
    <s v="20-Feb-2026"/>
    <x v="4"/>
    <s v="Week3-Feb-2026"/>
    <x v="5"/>
    <s v="Q4FY26"/>
    <s v="30-Mar-2026"/>
    <s v="Monday"/>
    <s v="Monthly - Monday"/>
    <s v="Monthly - Monday"/>
    <s v="Month+1 Expiry"/>
    <n v="408308"/>
    <n v="750.7895"/>
    <n v="8.266400000000001"/>
  </r>
  <r>
    <s v="20-Feb-2026"/>
    <x v="4"/>
    <s v="Week3-Feb-2026"/>
    <x v="5"/>
    <s v="Q4FY26"/>
    <s v="28-Apr-2026"/>
    <s v="Tuesday"/>
    <s v="Monthly - Tuesday"/>
    <s v="Monthly - Tuesday"/>
    <s v="Month+2 Expiry"/>
    <n v="11033"/>
    <n v="20.2704"/>
    <n v="0.2797"/>
  </r>
  <r>
    <s v="20-Feb-2026"/>
    <x v="4"/>
    <s v="Week3-Feb-2026"/>
    <x v="5"/>
    <s v="Q4FY26"/>
    <s v="30-Jun-2026"/>
    <s v="Tuesday"/>
    <s v="Monthly - Tuesday"/>
    <s v="Monthly - Tuesday"/>
    <s v="Month+4 Expiry"/>
    <n v="306"/>
    <n v="0.5609"/>
    <n v="0.0113"/>
  </r>
  <r>
    <s v="20-Feb-2026"/>
    <x v="4"/>
    <s v="Week3-Feb-2026"/>
    <x v="5"/>
    <s v="Q4FY26"/>
    <s v="29-Sep-2026"/>
    <s v="Tuesday"/>
    <s v="Monthly - Tuesday"/>
    <s v="Monthly - Tuesday"/>
    <s v="Month+7 Expiry"/>
    <n v="0"/>
    <n v="0"/>
    <n v="0"/>
  </r>
  <r>
    <s v="20-Feb-2026"/>
    <x v="4"/>
    <s v="Week3-Feb-2026"/>
    <x v="5"/>
    <s v="Q4FY26"/>
    <s v="29-Dec-2026"/>
    <s v="Tuesday"/>
    <s v="Monthly - Tuesday"/>
    <s v="Monthly - Tuesday"/>
    <s v="Month+10 Expiry"/>
    <n v="0"/>
    <n v="0"/>
    <n v="0"/>
  </r>
  <r>
    <s v="23-Feb-2026"/>
    <x v="0"/>
    <s v="Week4-Feb-2026"/>
    <x v="5"/>
    <s v="Q4FY26"/>
    <s v="24-Feb-2026"/>
    <s v="Tuesday"/>
    <s v="Monthly - Tuesday"/>
    <s v="Monthly - Tuesday"/>
    <s v="Same Month Expiry"/>
    <n v="18965791"/>
    <n v="34370.5432"/>
    <n v="96.6915"/>
  </r>
  <r>
    <s v="23-Feb-2026"/>
    <x v="0"/>
    <s v="Week4-Feb-2026"/>
    <x v="5"/>
    <s v="Q4FY26"/>
    <s v="30-Mar-2026"/>
    <s v="Monday"/>
    <s v="Monthly - Monday"/>
    <s v="Monthly - Monday"/>
    <s v="Month+1 Expiry"/>
    <n v="423329"/>
    <n v="780.3824"/>
    <n v="9.6454"/>
  </r>
  <r>
    <s v="23-Feb-2026"/>
    <x v="0"/>
    <s v="Week4-Feb-2026"/>
    <x v="5"/>
    <s v="Q4FY26"/>
    <s v="28-Apr-2026"/>
    <s v="Tuesday"/>
    <s v="Monthly - Tuesday"/>
    <s v="Monthly - Tuesday"/>
    <s v="Month+2 Expiry"/>
    <n v="10642"/>
    <n v="19.6311"/>
    <n v="0.2718"/>
  </r>
  <r>
    <s v="23-Feb-2026"/>
    <x v="0"/>
    <s v="Week4-Feb-2026"/>
    <x v="5"/>
    <s v="Q4FY26"/>
    <s v="30-Jun-2026"/>
    <s v="Tuesday"/>
    <s v="Monthly - Tuesday"/>
    <s v="Monthly - Tuesday"/>
    <s v="Month+4 Expiry"/>
    <n v="150"/>
    <n v="0.2747"/>
    <n v="0.006"/>
  </r>
  <r>
    <s v="23-Feb-2026"/>
    <x v="0"/>
    <s v="Week4-Feb-2026"/>
    <x v="5"/>
    <s v="Q4FY26"/>
    <s v="29-Sep-2026"/>
    <s v="Tuesday"/>
    <s v="Monthly - Tuesday"/>
    <s v="Monthly - Tuesday"/>
    <s v="Month+7 Expiry"/>
    <n v="0"/>
    <n v="0"/>
    <n v="0"/>
  </r>
  <r>
    <s v="23-Feb-2026"/>
    <x v="0"/>
    <s v="Week4-Feb-2026"/>
    <x v="5"/>
    <s v="Q4FY26"/>
    <s v="29-Dec-2026"/>
    <s v="Tuesday"/>
    <s v="Monthly - Tuesday"/>
    <s v="Monthly - Tuesday"/>
    <s v="Month+10 Expiry"/>
    <n v="0"/>
    <n v="0"/>
    <n v="0"/>
  </r>
  <r>
    <s v="24-Feb-2026"/>
    <x v="1"/>
    <s v="Week4-Feb-2026"/>
    <x v="5"/>
    <s v="Q4FY26"/>
    <s v="24-Feb-2026"/>
    <s v="Tuesday"/>
    <s v="Monthly - Tuesday"/>
    <s v="Monthly - Tuesday"/>
    <s v="Same Month Expiry"/>
    <n v="90988108"/>
    <n v="164406.7164"/>
    <n v="169.8191"/>
  </r>
  <r>
    <s v="24-Feb-2026"/>
    <x v="1"/>
    <s v="Week4-Feb-2026"/>
    <x v="5"/>
    <s v="Q4FY26"/>
    <s v="30-Mar-2026"/>
    <s v="Monday"/>
    <s v="Monthly - Monday"/>
    <s v="Monthly - Monday"/>
    <s v="Month+1 Expiry"/>
    <n v="895039"/>
    <n v="1644.1347"/>
    <n v="18.0693"/>
  </r>
  <r>
    <s v="24-Feb-2026"/>
    <x v="1"/>
    <s v="Week4-Feb-2026"/>
    <x v="5"/>
    <s v="Q4FY26"/>
    <s v="28-Apr-2026"/>
    <s v="Tuesday"/>
    <s v="Monthly - Tuesday"/>
    <s v="Monthly - Tuesday"/>
    <s v="Month+2 Expiry"/>
    <n v="15753"/>
    <n v="29.1145"/>
    <n v="0.378"/>
  </r>
  <r>
    <s v="24-Feb-2026"/>
    <x v="1"/>
    <s v="Week4-Feb-2026"/>
    <x v="5"/>
    <s v="Q4FY26"/>
    <s v="30-Jun-2026"/>
    <s v="Tuesday"/>
    <s v="Monthly - Tuesday"/>
    <s v="Monthly - Tuesday"/>
    <s v="Month+4 Expiry"/>
    <n v="268"/>
    <n v="0.4895"/>
    <n v="0.0103"/>
  </r>
  <r>
    <s v="24-Feb-2026"/>
    <x v="1"/>
    <s v="Week4-Feb-2026"/>
    <x v="5"/>
    <s v="Q4FY26"/>
    <s v="29-Sep-2026"/>
    <s v="Tuesday"/>
    <s v="Monthly - Tuesday"/>
    <s v="Monthly - Tuesday"/>
    <s v="Month+7 Expiry"/>
    <n v="0"/>
    <n v="0"/>
    <n v="0"/>
  </r>
  <r>
    <s v="24-Feb-2026"/>
    <x v="1"/>
    <s v="Week4-Feb-2026"/>
    <x v="5"/>
    <s v="Q4FY26"/>
    <s v="29-Dec-2026"/>
    <s v="Tuesday"/>
    <s v="Monthly - Tuesday"/>
    <s v="Monthly - Tuesday"/>
    <s v="Month+10 Expiry"/>
    <n v="0"/>
    <n v="0"/>
    <n v="0"/>
  </r>
  <r>
    <s v="25-Feb-2026"/>
    <x v="2"/>
    <s v="Week4-Feb-2026"/>
    <x v="5"/>
    <s v="Q4FY26"/>
    <s v="30-Mar-2026"/>
    <s v="Monday"/>
    <s v="Monthly - Monday"/>
    <s v="Monthly - Monday"/>
    <s v="Month+1 Expiry"/>
    <n v="1954093"/>
    <n v="3580.4693"/>
    <n v="35.1357"/>
  </r>
  <r>
    <s v="25-Feb-2026"/>
    <x v="2"/>
    <s v="Week4-Feb-2026"/>
    <x v="5"/>
    <s v="Q4FY26"/>
    <s v="28-Apr-2026"/>
    <s v="Tuesday"/>
    <s v="Monthly - Tuesday"/>
    <s v="Monthly - Tuesday"/>
    <s v="Month+2 Expiry"/>
    <n v="18789"/>
    <n v="34.6615"/>
    <n v="0.4379"/>
  </r>
  <r>
    <s v="25-Feb-2026"/>
    <x v="2"/>
    <s v="Week4-Feb-2026"/>
    <x v="5"/>
    <s v="Q4FY26"/>
    <s v="26-May-2026"/>
    <s v="Tuesday"/>
    <s v="Monthly - Tuesday"/>
    <s v="Monthly - Tuesday"/>
    <s v="Month+3 Expiry"/>
    <n v="370"/>
    <n v="0.6676"/>
    <n v="0.0094"/>
  </r>
  <r>
    <s v="25-Feb-2026"/>
    <x v="2"/>
    <s v="Week4-Feb-2026"/>
    <x v="5"/>
    <s v="Q4FY26"/>
    <s v="30-Jun-2026"/>
    <s v="Tuesday"/>
    <s v="Monthly - Tuesday"/>
    <s v="Monthly - Tuesday"/>
    <s v="Month+4 Expiry"/>
    <n v="242"/>
    <n v="0.4408"/>
    <n v="0.0083"/>
  </r>
  <r>
    <s v="25-Feb-2026"/>
    <x v="2"/>
    <s v="Week4-Feb-2026"/>
    <x v="5"/>
    <s v="Q4FY26"/>
    <s v="29-Sep-2026"/>
    <s v="Tuesday"/>
    <s v="Monthly - Tuesday"/>
    <s v="Monthly - Tuesday"/>
    <s v="Month+7 Expiry"/>
    <n v="0"/>
    <n v="0"/>
    <n v="0"/>
  </r>
  <r>
    <s v="25-Feb-2026"/>
    <x v="2"/>
    <s v="Week4-Feb-2026"/>
    <x v="5"/>
    <s v="Q4FY26"/>
    <s v="29-Dec-2026"/>
    <s v="Tuesday"/>
    <s v="Monthly - Tuesday"/>
    <s v="Monthly - Tuesday"/>
    <s v="Month+10 Expiry"/>
    <n v="0"/>
    <n v="0"/>
    <n v="0"/>
  </r>
  <r>
    <s v="26-Feb-2026"/>
    <x v="3"/>
    <s v="Week4-Feb-2026"/>
    <x v="5"/>
    <s v="Q4FY26"/>
    <s v="30-Mar-2026"/>
    <s v="Monday"/>
    <s v="Monthly - Monday"/>
    <s v="Monthly - Monday"/>
    <s v="Month+1 Expiry"/>
    <n v="1640894"/>
    <n v="2998.4391"/>
    <n v="29.3564"/>
  </r>
  <r>
    <s v="26-Feb-2026"/>
    <x v="3"/>
    <s v="Week4-Feb-2026"/>
    <x v="5"/>
    <s v="Q4FY26"/>
    <s v="28-Apr-2026"/>
    <s v="Tuesday"/>
    <s v="Monthly - Tuesday"/>
    <s v="Monthly - Tuesday"/>
    <s v="Month+2 Expiry"/>
    <n v="17189"/>
    <n v="31.5213"/>
    <n v="0.3677"/>
  </r>
  <r>
    <s v="26-Feb-2026"/>
    <x v="3"/>
    <s v="Week4-Feb-2026"/>
    <x v="5"/>
    <s v="Q4FY26"/>
    <s v="26-May-2026"/>
    <s v="Tuesday"/>
    <s v="Monthly - Tuesday"/>
    <s v="Monthly - Tuesday"/>
    <s v="Month+3 Expiry"/>
    <n v="936"/>
    <n v="1.7144"/>
    <n v="0.0267"/>
  </r>
  <r>
    <s v="26-Feb-2026"/>
    <x v="3"/>
    <s v="Week4-Feb-2026"/>
    <x v="5"/>
    <s v="Q4FY26"/>
    <s v="30-Jun-2026"/>
    <s v="Tuesday"/>
    <s v="Monthly - Tuesday"/>
    <s v="Monthly - Tuesday"/>
    <s v="Month+4 Expiry"/>
    <n v="186"/>
    <n v="0.3374"/>
    <n v="0.0055"/>
  </r>
  <r>
    <s v="26-Feb-2026"/>
    <x v="3"/>
    <s v="Week4-Feb-2026"/>
    <x v="5"/>
    <s v="Q4FY26"/>
    <s v="29-Sep-2026"/>
    <s v="Tuesday"/>
    <s v="Monthly - Tuesday"/>
    <s v="Monthly - Tuesday"/>
    <s v="Month+7 Expiry"/>
    <n v="0"/>
    <n v="0"/>
    <n v="0"/>
  </r>
  <r>
    <s v="26-Feb-2026"/>
    <x v="3"/>
    <s v="Week4-Feb-2026"/>
    <x v="5"/>
    <s v="Q4FY26"/>
    <s v="29-Dec-2026"/>
    <s v="Tuesday"/>
    <s v="Monthly - Tuesday"/>
    <s v="Monthly - Tuesday"/>
    <s v="Month+10 Expiry"/>
    <n v="0"/>
    <n v="0"/>
    <n v="0"/>
  </r>
  <r>
    <s v="27-Feb-2026"/>
    <x v="4"/>
    <s v="Week4-Feb-2026"/>
    <x v="5"/>
    <s v="Q4FY26"/>
    <s v="30-Mar-2026"/>
    <s v="Monday"/>
    <s v="Monthly - Monday"/>
    <s v="Monthly - Monday"/>
    <s v="Month+1 Expiry"/>
    <n v="2217864"/>
    <n v="4039.5065"/>
    <n v="38.6631"/>
  </r>
  <r>
    <s v="27-Feb-2026"/>
    <x v="4"/>
    <s v="Week4-Feb-2026"/>
    <x v="5"/>
    <s v="Q4FY26"/>
    <s v="28-Apr-2026"/>
    <s v="Tuesday"/>
    <s v="Monthly - Tuesday"/>
    <s v="Monthly - Tuesday"/>
    <s v="Month+2 Expiry"/>
    <n v="25813"/>
    <n v="47.5447"/>
    <n v="0.5774"/>
  </r>
  <r>
    <s v="27-Feb-2026"/>
    <x v="4"/>
    <s v="Week4-Feb-2026"/>
    <x v="5"/>
    <s v="Q4FY26"/>
    <s v="26-May-2026"/>
    <s v="Tuesday"/>
    <s v="Monthly - Tuesday"/>
    <s v="Monthly - Tuesday"/>
    <s v="Month+3 Expiry"/>
    <n v="2404"/>
    <n v="4.4069"/>
    <n v="0.07049999999999999"/>
  </r>
  <r>
    <s v="27-Feb-2026"/>
    <x v="4"/>
    <s v="Week4-Feb-2026"/>
    <x v="5"/>
    <s v="Q4FY26"/>
    <s v="30-Jun-2026"/>
    <s v="Tuesday"/>
    <s v="Monthly - Tuesday"/>
    <s v="Monthly - Tuesday"/>
    <s v="Month+4 Expiry"/>
    <n v="329"/>
    <n v="0.5975"/>
    <n v="0.011"/>
  </r>
  <r>
    <s v="27-Feb-2026"/>
    <x v="4"/>
    <s v="Week4-Feb-2026"/>
    <x v="5"/>
    <s v="Q4FY26"/>
    <s v="29-Sep-2026"/>
    <s v="Tuesday"/>
    <s v="Monthly - Tuesday"/>
    <s v="Monthly - Tuesday"/>
    <s v="Month+7 Expiry"/>
    <n v="0"/>
    <n v="0"/>
    <n v="0"/>
  </r>
  <r>
    <s v="27-Feb-2026"/>
    <x v="4"/>
    <s v="Week4-Feb-2026"/>
    <x v="5"/>
    <s v="Q4FY26"/>
    <s v="29-Dec-2026"/>
    <s v="Tuesday"/>
    <s v="Monthly - Tuesday"/>
    <s v="Monthly - Tuesday"/>
    <s v="Month+10 Expiry"/>
    <n v="0"/>
    <n v="0"/>
    <n v="0"/>
  </r>
  <r>
    <s v="02-Mar-2026"/>
    <x v="0"/>
    <s v="Week1-Mar-2026"/>
    <x v="6"/>
    <s v="Q4FY26"/>
    <s v="30-Mar-2026"/>
    <s v="Monday"/>
    <s v="Monthly - Monday"/>
    <s v="Monthly - Monday"/>
    <s v="Same Month Expiry"/>
    <n v="2903983"/>
    <n v="5223.728"/>
    <n v="50.5254"/>
  </r>
  <r>
    <s v="02-Mar-2026"/>
    <x v="0"/>
    <s v="Week1-Mar-2026"/>
    <x v="6"/>
    <s v="Q4FY26"/>
    <s v="28-Apr-2026"/>
    <s v="Tuesday"/>
    <s v="Monthly - Tuesday"/>
    <s v="Monthly - Tuesday"/>
    <s v="Month+1 Expiry"/>
    <n v="77490"/>
    <n v="141.3585"/>
    <n v="1.9388"/>
  </r>
  <r>
    <s v="02-Mar-2026"/>
    <x v="0"/>
    <s v="Week1-Mar-2026"/>
    <x v="6"/>
    <s v="Q4FY26"/>
    <s v="26-May-2026"/>
    <s v="Tuesday"/>
    <s v="Monthly - Tuesday"/>
    <s v="Monthly - Tuesday"/>
    <s v="Month+2 Expiry"/>
    <n v="3791"/>
    <n v="6.9307"/>
    <n v="0.1192"/>
  </r>
  <r>
    <s v="02-Mar-2026"/>
    <x v="0"/>
    <s v="Week1-Mar-2026"/>
    <x v="6"/>
    <s v="Q4FY26"/>
    <s v="30-Jun-2026"/>
    <s v="Tuesday"/>
    <s v="Monthly - Tuesday"/>
    <s v="Monthly - Tuesday"/>
    <s v="Month+3 Expiry"/>
    <n v="739"/>
    <n v="1.3464"/>
    <n v="0.0277"/>
  </r>
  <r>
    <s v="02-Mar-2026"/>
    <x v="0"/>
    <s v="Week1-Mar-2026"/>
    <x v="6"/>
    <s v="Q4FY26"/>
    <s v="29-Sep-2026"/>
    <s v="Tuesday"/>
    <s v="Monthly - Tuesday"/>
    <s v="Monthly - Tuesday"/>
    <s v="Month+6 Expiry"/>
    <n v="0"/>
    <n v="0"/>
    <n v="0"/>
  </r>
  <r>
    <s v="02-Mar-2026"/>
    <x v="0"/>
    <s v="Week1-Mar-2026"/>
    <x v="6"/>
    <s v="Q4FY26"/>
    <s v="29-Dec-2026"/>
    <s v="Tuesday"/>
    <s v="Monthly - Tuesday"/>
    <s v="Monthly - Tuesday"/>
    <s v="Month+9 Expiry"/>
    <n v="0"/>
    <n v="0"/>
    <n v="0"/>
  </r>
  <r>
    <s v="04-Mar-2026"/>
    <x v="2"/>
    <s v="Week1-Mar-2026"/>
    <x v="6"/>
    <s v="Q4FY26"/>
    <s v="30-Mar-2026"/>
    <s v="Monday"/>
    <s v="Monthly - Monday"/>
    <s v="Monthly - Monday"/>
    <s v="Same Month Expiry"/>
    <n v="2933995"/>
    <n v="5212.5291"/>
    <n v="62.5284"/>
  </r>
  <r>
    <s v="04-Mar-2026"/>
    <x v="2"/>
    <s v="Week1-Mar-2026"/>
    <x v="6"/>
    <s v="Q4FY26"/>
    <s v="28-Apr-2026"/>
    <s v="Tuesday"/>
    <s v="Monthly - Tuesday"/>
    <s v="Monthly - Tuesday"/>
    <s v="Month+1 Expiry"/>
    <n v="68047"/>
    <n v="122.8518"/>
    <n v="2.0493"/>
  </r>
  <r>
    <s v="04-Mar-2026"/>
    <x v="2"/>
    <s v="Week1-Mar-2026"/>
    <x v="6"/>
    <s v="Q4FY26"/>
    <s v="26-May-2026"/>
    <s v="Tuesday"/>
    <s v="Monthly - Tuesday"/>
    <s v="Monthly - Tuesday"/>
    <s v="Month+2 Expiry"/>
    <n v="5848"/>
    <n v="10.6803"/>
    <n v="0.2246"/>
  </r>
  <r>
    <s v="04-Mar-2026"/>
    <x v="2"/>
    <s v="Week1-Mar-2026"/>
    <x v="6"/>
    <s v="Q4FY26"/>
    <s v="30-Jun-2026"/>
    <s v="Tuesday"/>
    <s v="Monthly - Tuesday"/>
    <s v="Monthly - Tuesday"/>
    <s v="Month+3 Expiry"/>
    <n v="871"/>
    <n v="1.6056"/>
    <n v="0.0378"/>
  </r>
  <r>
    <s v="04-Mar-2026"/>
    <x v="2"/>
    <s v="Week1-Mar-2026"/>
    <x v="6"/>
    <s v="Q4FY26"/>
    <s v="29-Sep-2026"/>
    <s v="Tuesday"/>
    <s v="Monthly - Tuesday"/>
    <s v="Monthly - Tuesday"/>
    <s v="Month+6 Expiry"/>
    <n v="0"/>
    <n v="0"/>
    <n v="0"/>
  </r>
  <r>
    <s v="04-Mar-2026"/>
    <x v="2"/>
    <s v="Week1-Mar-2026"/>
    <x v="6"/>
    <s v="Q4FY26"/>
    <s v="29-Dec-2026"/>
    <s v="Tuesday"/>
    <s v="Monthly - Tuesday"/>
    <s v="Monthly - Tuesday"/>
    <s v="Month+9 Expiry"/>
    <n v="0"/>
    <n v="0"/>
    <n v="0"/>
  </r>
  <r>
    <s v="05-Mar-2026"/>
    <x v="3"/>
    <s v="Week1-Mar-2026"/>
    <x v="6"/>
    <s v="Q4FY26"/>
    <s v="30-Mar-2026"/>
    <s v="Monday"/>
    <s v="Monthly - Monday"/>
    <s v="Monthly - Monday"/>
    <s v="Same Month Expiry"/>
    <n v="2837637"/>
    <n v="5052.8977"/>
    <n v="54.1067"/>
  </r>
  <r>
    <s v="05-Mar-2026"/>
    <x v="3"/>
    <s v="Week1-Mar-2026"/>
    <x v="6"/>
    <s v="Q4FY26"/>
    <s v="28-Apr-2026"/>
    <s v="Tuesday"/>
    <s v="Monthly - Tuesday"/>
    <s v="Monthly - Tuesday"/>
    <s v="Month+1 Expiry"/>
    <n v="82730"/>
    <n v="149.9902"/>
    <n v="2.3873"/>
  </r>
  <r>
    <s v="05-Mar-2026"/>
    <x v="3"/>
    <s v="Week1-Mar-2026"/>
    <x v="6"/>
    <s v="Q4FY26"/>
    <s v="26-May-2026"/>
    <s v="Tuesday"/>
    <s v="Monthly - Tuesday"/>
    <s v="Monthly - Tuesday"/>
    <s v="Month+2 Expiry"/>
    <n v="3869"/>
    <n v="7.0822"/>
    <n v="0.1208"/>
  </r>
  <r>
    <s v="05-Mar-2026"/>
    <x v="3"/>
    <s v="Week1-Mar-2026"/>
    <x v="6"/>
    <s v="Q4FY26"/>
    <s v="30-Jun-2026"/>
    <s v="Tuesday"/>
    <s v="Monthly - Tuesday"/>
    <s v="Monthly - Tuesday"/>
    <s v="Month+3 Expiry"/>
    <n v="764"/>
    <n v="1.4061"/>
    <n v="0.0294"/>
  </r>
  <r>
    <s v="05-Mar-2026"/>
    <x v="3"/>
    <s v="Week1-Mar-2026"/>
    <x v="6"/>
    <s v="Q4FY26"/>
    <s v="29-Sep-2026"/>
    <s v="Tuesday"/>
    <s v="Monthly - Tuesday"/>
    <s v="Monthly - Tuesday"/>
    <s v="Month+6 Expiry"/>
    <n v="0"/>
    <n v="0"/>
    <n v="0"/>
  </r>
  <r>
    <s v="05-Mar-2026"/>
    <x v="3"/>
    <s v="Week1-Mar-2026"/>
    <x v="6"/>
    <s v="Q4FY26"/>
    <s v="29-Dec-2026"/>
    <s v="Tuesday"/>
    <s v="Monthly - Tuesday"/>
    <s v="Monthly - Tuesday"/>
    <s v="Month+9 Expiry"/>
    <n v="0"/>
    <n v="0"/>
    <n v="0"/>
  </r>
  <r>
    <s v="06-Mar-2026"/>
    <x v="4"/>
    <s v="Week1-Mar-2026"/>
    <x v="6"/>
    <s v="Q4FY26"/>
    <s v="30-Mar-2026"/>
    <s v="Monday"/>
    <s v="Monthly - Monday"/>
    <s v="Monthly - Monday"/>
    <s v="Same Month Expiry"/>
    <n v="2866522"/>
    <n v="5049.9653"/>
    <n v="58.5898"/>
  </r>
  <r>
    <s v="06-Mar-2026"/>
    <x v="4"/>
    <s v="Week1-Mar-2026"/>
    <x v="6"/>
    <s v="Q4FY26"/>
    <s v="28-Apr-2026"/>
    <s v="Tuesday"/>
    <s v="Monthly - Tuesday"/>
    <s v="Monthly - Tuesday"/>
    <s v="Month+1 Expiry"/>
    <n v="90120"/>
    <n v="162.8729"/>
    <n v="2.589"/>
  </r>
  <r>
    <s v="06-Mar-2026"/>
    <x v="4"/>
    <s v="Week1-Mar-2026"/>
    <x v="6"/>
    <s v="Q4FY26"/>
    <s v="26-May-2026"/>
    <s v="Tuesday"/>
    <s v="Monthly - Tuesday"/>
    <s v="Monthly - Tuesday"/>
    <s v="Month+2 Expiry"/>
    <n v="4256"/>
    <n v="7.7239"/>
    <n v="0.1535"/>
  </r>
  <r>
    <s v="06-Mar-2026"/>
    <x v="4"/>
    <s v="Week1-Mar-2026"/>
    <x v="6"/>
    <s v="Q4FY26"/>
    <s v="30-Jun-2026"/>
    <s v="Tuesday"/>
    <s v="Monthly - Tuesday"/>
    <s v="Monthly - Tuesday"/>
    <s v="Month+3 Expiry"/>
    <n v="916"/>
    <n v="1.6778"/>
    <n v="0.0331"/>
  </r>
  <r>
    <s v="06-Mar-2026"/>
    <x v="4"/>
    <s v="Week1-Mar-2026"/>
    <x v="6"/>
    <s v="Q4FY26"/>
    <s v="29-Sep-2026"/>
    <s v="Tuesday"/>
    <s v="Monthly - Tuesday"/>
    <s v="Monthly - Tuesday"/>
    <s v="Month+6 Expiry"/>
    <n v="0"/>
    <n v="0"/>
    <n v="0"/>
  </r>
  <r>
    <s v="06-Mar-2026"/>
    <x v="4"/>
    <s v="Week1-Mar-2026"/>
    <x v="6"/>
    <s v="Q4FY26"/>
    <s v="29-Dec-2026"/>
    <s v="Tuesday"/>
    <s v="Monthly - Tuesday"/>
    <s v="Monthly - Tuesday"/>
    <s v="Month+9 Expiry"/>
    <n v="0"/>
    <n v="0"/>
    <n v="0"/>
  </r>
  <r>
    <s v="09-Mar-2026"/>
    <x v="0"/>
    <s v="Week2-Mar-2026"/>
    <x v="6"/>
    <s v="Q4FY26"/>
    <s v="30-Mar-2026"/>
    <s v="Monday"/>
    <s v="Monthly - Monday"/>
    <s v="Monthly - Monday"/>
    <s v="Same Month Expiry"/>
    <n v="2888911"/>
    <n v="5001.9083"/>
    <n v="72.2641"/>
  </r>
  <r>
    <s v="09-Mar-2026"/>
    <x v="0"/>
    <s v="Week2-Mar-2026"/>
    <x v="6"/>
    <s v="Q4FY26"/>
    <s v="28-Apr-2026"/>
    <s v="Tuesday"/>
    <s v="Monthly - Tuesday"/>
    <s v="Monthly - Tuesday"/>
    <s v="Month+1 Expiry"/>
    <n v="125757"/>
    <n v="224.7017"/>
    <n v="4.2353"/>
  </r>
  <r>
    <s v="09-Mar-2026"/>
    <x v="0"/>
    <s v="Week2-Mar-2026"/>
    <x v="6"/>
    <s v="Q4FY26"/>
    <s v="26-May-2026"/>
    <s v="Tuesday"/>
    <s v="Monthly - Tuesday"/>
    <s v="Monthly - Tuesday"/>
    <s v="Month+2 Expiry"/>
    <n v="6838"/>
    <n v="12.2645"/>
    <n v="0.3072"/>
  </r>
  <r>
    <s v="09-Mar-2026"/>
    <x v="0"/>
    <s v="Week2-Mar-2026"/>
    <x v="6"/>
    <s v="Q4FY26"/>
    <s v="30-Jun-2026"/>
    <s v="Tuesday"/>
    <s v="Monthly - Tuesday"/>
    <s v="Monthly - Tuesday"/>
    <s v="Month+3 Expiry"/>
    <n v="2798"/>
    <n v="5.0152"/>
    <n v="0.1125"/>
  </r>
  <r>
    <s v="09-Mar-2026"/>
    <x v="0"/>
    <s v="Week2-Mar-2026"/>
    <x v="6"/>
    <s v="Q4FY26"/>
    <s v="29-Sep-2026"/>
    <s v="Tuesday"/>
    <s v="Monthly - Tuesday"/>
    <s v="Monthly - Tuesday"/>
    <s v="Month+6 Expiry"/>
    <n v="0"/>
    <n v="0"/>
    <n v="0"/>
  </r>
  <r>
    <s v="09-Mar-2026"/>
    <x v="0"/>
    <s v="Week2-Mar-2026"/>
    <x v="6"/>
    <s v="Q4FY26"/>
    <s v="29-Dec-2026"/>
    <s v="Tuesday"/>
    <s v="Monthly - Tuesday"/>
    <s v="Monthly - Tuesday"/>
    <s v="Month+9 Expiry"/>
    <n v="0"/>
    <n v="0"/>
    <n v="0"/>
  </r>
  <r>
    <s v="10-Mar-2026"/>
    <x v="1"/>
    <s v="Week2-Mar-2026"/>
    <x v="6"/>
    <s v="Q4FY26"/>
    <s v="30-Mar-2026"/>
    <s v="Monday"/>
    <s v="Monthly - Monday"/>
    <s v="Monthly - Monday"/>
    <s v="Same Month Expiry"/>
    <n v="2451975"/>
    <n v="4244.7377"/>
    <n v="49.3932"/>
  </r>
  <r>
    <s v="10-Mar-2026"/>
    <x v="1"/>
    <s v="Week2-Mar-2026"/>
    <x v="6"/>
    <s v="Q4FY26"/>
    <s v="28-Apr-2026"/>
    <s v="Tuesday"/>
    <s v="Monthly - Tuesday"/>
    <s v="Monthly - Tuesday"/>
    <s v="Month+1 Expiry"/>
    <n v="114144"/>
    <n v="205.5598"/>
    <n v="3.7164"/>
  </r>
  <r>
    <s v="10-Mar-2026"/>
    <x v="1"/>
    <s v="Week2-Mar-2026"/>
    <x v="6"/>
    <s v="Q4FY26"/>
    <s v="26-May-2026"/>
    <s v="Tuesday"/>
    <s v="Monthly - Tuesday"/>
    <s v="Monthly - Tuesday"/>
    <s v="Month+2 Expiry"/>
    <n v="4678"/>
    <n v="8.4331"/>
    <n v="0.1549"/>
  </r>
  <r>
    <s v="10-Mar-2026"/>
    <x v="1"/>
    <s v="Week2-Mar-2026"/>
    <x v="6"/>
    <s v="Q4FY26"/>
    <s v="30-Jun-2026"/>
    <s v="Tuesday"/>
    <s v="Monthly - Tuesday"/>
    <s v="Monthly - Tuesday"/>
    <s v="Month+3 Expiry"/>
    <n v="1351"/>
    <n v="2.4594"/>
    <n v="0.0429"/>
  </r>
  <r>
    <s v="10-Mar-2026"/>
    <x v="1"/>
    <s v="Week2-Mar-2026"/>
    <x v="6"/>
    <s v="Q4FY26"/>
    <s v="29-Sep-2026"/>
    <s v="Tuesday"/>
    <s v="Monthly - Tuesday"/>
    <s v="Monthly - Tuesday"/>
    <s v="Month+6 Expiry"/>
    <n v="0"/>
    <n v="0"/>
    <n v="0"/>
  </r>
  <r>
    <s v="10-Mar-2026"/>
    <x v="1"/>
    <s v="Week2-Mar-2026"/>
    <x v="6"/>
    <s v="Q4FY26"/>
    <s v="29-Dec-2026"/>
    <s v="Tuesday"/>
    <s v="Monthly - Tuesday"/>
    <s v="Monthly - Tuesday"/>
    <s v="Month+9 Expiry"/>
    <n v="0"/>
    <n v="0"/>
    <n v="0"/>
  </r>
  <r>
    <s v="11-Mar-2026"/>
    <x v="2"/>
    <s v="Week2-Mar-2026"/>
    <x v="6"/>
    <s v="Q4FY26"/>
    <s v="30-Mar-2026"/>
    <s v="Monday"/>
    <s v="Monthly - Monday"/>
    <s v="Monthly - Monday"/>
    <s v="Same Month Expiry"/>
    <n v="2588800"/>
    <n v="4457.8354"/>
    <n v="51.4296"/>
  </r>
  <r>
    <s v="11-Mar-2026"/>
    <x v="2"/>
    <s v="Week2-Mar-2026"/>
    <x v="6"/>
    <s v="Q4FY26"/>
    <s v="28-Apr-2026"/>
    <s v="Tuesday"/>
    <s v="Monthly - Tuesday"/>
    <s v="Monthly - Tuesday"/>
    <s v="Month+1 Expiry"/>
    <n v="138782"/>
    <n v="247.4927"/>
    <n v="4.3229"/>
  </r>
  <r>
    <s v="11-Mar-2026"/>
    <x v="2"/>
    <s v="Week2-Mar-2026"/>
    <x v="6"/>
    <s v="Q4FY26"/>
    <s v="26-May-2026"/>
    <s v="Tuesday"/>
    <s v="Monthly - Tuesday"/>
    <s v="Monthly - Tuesday"/>
    <s v="Month+2 Expiry"/>
    <n v="6964"/>
    <n v="12.5123"/>
    <n v="0.2381"/>
  </r>
  <r>
    <s v="11-Mar-2026"/>
    <x v="2"/>
    <s v="Week2-Mar-2026"/>
    <x v="6"/>
    <s v="Q4FY26"/>
    <s v="30-Jun-2026"/>
    <s v="Tuesday"/>
    <s v="Monthly - Tuesday"/>
    <s v="Monthly - Tuesday"/>
    <s v="Month+3 Expiry"/>
    <n v="1586"/>
    <n v="2.8689"/>
    <n v="0.056"/>
  </r>
  <r>
    <s v="11-Mar-2026"/>
    <x v="2"/>
    <s v="Week2-Mar-2026"/>
    <x v="6"/>
    <s v="Q4FY26"/>
    <s v="29-Sep-2026"/>
    <s v="Tuesday"/>
    <s v="Monthly - Tuesday"/>
    <s v="Monthly - Tuesday"/>
    <s v="Month+6 Expiry"/>
    <n v="0"/>
    <n v="0"/>
    <n v="0"/>
  </r>
  <r>
    <s v="11-Mar-2026"/>
    <x v="2"/>
    <s v="Week2-Mar-2026"/>
    <x v="6"/>
    <s v="Q4FY26"/>
    <s v="29-Dec-2026"/>
    <s v="Tuesday"/>
    <s v="Monthly - Tuesday"/>
    <s v="Monthly - Tuesday"/>
    <s v="Month+9 Expiry"/>
    <n v="0"/>
    <n v="0"/>
    <n v="0"/>
  </r>
  <r>
    <s v="12-Mar-2026"/>
    <x v="3"/>
    <s v="Week2-Mar-2026"/>
    <x v="6"/>
    <s v="Q4FY26"/>
    <s v="30-Mar-2026"/>
    <s v="Monday"/>
    <s v="Monthly - Monday"/>
    <s v="Monthly - Monday"/>
    <s v="Same Month Expiry"/>
    <n v="2622396"/>
    <n v="4454.5484"/>
    <n v="53.6427"/>
  </r>
  <r>
    <s v="12-Mar-2026"/>
    <x v="3"/>
    <s v="Week2-Mar-2026"/>
    <x v="6"/>
    <s v="Q4FY26"/>
    <s v="28-Apr-2026"/>
    <s v="Tuesday"/>
    <s v="Monthly - Tuesday"/>
    <s v="Monthly - Tuesday"/>
    <s v="Month+1 Expiry"/>
    <n v="116200"/>
    <n v="204.8034"/>
    <n v="3.8403"/>
  </r>
  <r>
    <s v="12-Mar-2026"/>
    <x v="3"/>
    <s v="Week2-Mar-2026"/>
    <x v="6"/>
    <s v="Q4FY26"/>
    <s v="26-May-2026"/>
    <s v="Tuesday"/>
    <s v="Monthly - Tuesday"/>
    <s v="Monthly - Tuesday"/>
    <s v="Month+2 Expiry"/>
    <n v="6475"/>
    <n v="11.3903"/>
    <n v="0.2625"/>
  </r>
  <r>
    <s v="12-Mar-2026"/>
    <x v="3"/>
    <s v="Week2-Mar-2026"/>
    <x v="6"/>
    <s v="Q4FY26"/>
    <s v="30-Jun-2026"/>
    <s v="Tuesday"/>
    <s v="Monthly - Tuesday"/>
    <s v="Monthly - Tuesday"/>
    <s v="Month+3 Expiry"/>
    <n v="1155"/>
    <n v="2.0786"/>
    <n v="0.0379"/>
  </r>
  <r>
    <s v="12-Mar-2026"/>
    <x v="3"/>
    <s v="Week2-Mar-2026"/>
    <x v="6"/>
    <s v="Q4FY26"/>
    <s v="29-Sep-2026"/>
    <s v="Tuesday"/>
    <s v="Monthly - Tuesday"/>
    <s v="Monthly - Tuesday"/>
    <s v="Month+6 Expiry"/>
    <n v="0"/>
    <n v="0"/>
    <n v="0"/>
  </r>
  <r>
    <s v="12-Mar-2026"/>
    <x v="3"/>
    <s v="Week2-Mar-2026"/>
    <x v="6"/>
    <s v="Q4FY26"/>
    <s v="29-Dec-2026"/>
    <s v="Tuesday"/>
    <s v="Monthly - Tuesday"/>
    <s v="Monthly - Tuesday"/>
    <s v="Month+9 Expiry"/>
    <n v="0"/>
    <n v="0"/>
    <n v="0"/>
  </r>
  <r>
    <s v="13-Mar-2026"/>
    <x v="4"/>
    <s v="Week2-Mar-2026"/>
    <x v="6"/>
    <s v="Q4FY26"/>
    <s v="30-Mar-2026"/>
    <s v="Monday"/>
    <s v="Monthly - Monday"/>
    <s v="Monthly - Monday"/>
    <s v="Same Month Expiry"/>
    <n v="3217131"/>
    <n v="5360.856"/>
    <n v="70.75620000000001"/>
  </r>
  <r>
    <s v="13-Mar-2026"/>
    <x v="4"/>
    <s v="Week2-Mar-2026"/>
    <x v="6"/>
    <s v="Q4FY26"/>
    <s v="28-Apr-2026"/>
    <s v="Tuesday"/>
    <s v="Monthly - Tuesday"/>
    <s v="Monthly - Tuesday"/>
    <s v="Month+1 Expiry"/>
    <n v="160765"/>
    <n v="280.4885"/>
    <n v="5.3209"/>
  </r>
  <r>
    <s v="13-Mar-2026"/>
    <x v="4"/>
    <s v="Week2-Mar-2026"/>
    <x v="6"/>
    <s v="Q4FY26"/>
    <s v="26-May-2026"/>
    <s v="Tuesday"/>
    <s v="Monthly - Tuesday"/>
    <s v="Monthly - Tuesday"/>
    <s v="Month+2 Expiry"/>
    <n v="9073"/>
    <n v="15.9569"/>
    <n v="0.3316"/>
  </r>
  <r>
    <s v="13-Mar-2026"/>
    <x v="4"/>
    <s v="Week2-Mar-2026"/>
    <x v="6"/>
    <s v="Q4FY26"/>
    <s v="30-Jun-2026"/>
    <s v="Tuesday"/>
    <s v="Monthly - Tuesday"/>
    <s v="Monthly - Tuesday"/>
    <s v="Month+3 Expiry"/>
    <n v="2729"/>
    <n v="4.9567"/>
    <n v="0.0915"/>
  </r>
  <r>
    <s v="13-Mar-2026"/>
    <x v="4"/>
    <s v="Week2-Mar-2026"/>
    <x v="6"/>
    <s v="Q4FY26"/>
    <s v="29-Sep-2026"/>
    <s v="Tuesday"/>
    <s v="Monthly - Tuesday"/>
    <s v="Monthly - Tuesday"/>
    <s v="Month+6 Expiry"/>
    <n v="0"/>
    <n v="0"/>
    <n v="0"/>
  </r>
  <r>
    <s v="13-Mar-2026"/>
    <x v="4"/>
    <s v="Week2-Mar-2026"/>
    <x v="6"/>
    <s v="Q4FY26"/>
    <s v="29-Dec-2026"/>
    <s v="Tuesday"/>
    <s v="Monthly - Tuesday"/>
    <s v="Monthly - Tuesday"/>
    <s v="Month+9 Expiry"/>
    <n v="0"/>
    <n v="0"/>
    <n v="0"/>
  </r>
  <r>
    <s v="16-Mar-2026"/>
    <x v="0"/>
    <s v="Week3-Mar-2026"/>
    <x v="6"/>
    <s v="Q4FY26"/>
    <s v="30-Mar-2026"/>
    <s v="Monday"/>
    <s v="Monthly - Monday"/>
    <s v="Monthly - Monday"/>
    <s v="Same Month Expiry"/>
    <n v="3269610"/>
    <n v="5433.5413"/>
    <n v="65.53619999999999"/>
  </r>
  <r>
    <s v="16-Mar-2026"/>
    <x v="0"/>
    <s v="Week3-Mar-2026"/>
    <x v="6"/>
    <s v="Q4FY26"/>
    <s v="28-Apr-2026"/>
    <s v="Tuesday"/>
    <s v="Monthly - Tuesday"/>
    <s v="Monthly - Tuesday"/>
    <s v="Month+1 Expiry"/>
    <n v="129880"/>
    <n v="227.4986"/>
    <n v="4.1716"/>
  </r>
  <r>
    <s v="16-Mar-2026"/>
    <x v="0"/>
    <s v="Week3-Mar-2026"/>
    <x v="6"/>
    <s v="Q4FY26"/>
    <s v="26-May-2026"/>
    <s v="Tuesday"/>
    <s v="Monthly - Tuesday"/>
    <s v="Monthly - Tuesday"/>
    <s v="Month+2 Expiry"/>
    <n v="9942"/>
    <n v="17.7425"/>
    <n v="0.4516"/>
  </r>
  <r>
    <s v="16-Mar-2026"/>
    <x v="0"/>
    <s v="Week3-Mar-2026"/>
    <x v="6"/>
    <s v="Q4FY26"/>
    <s v="30-Jun-2026"/>
    <s v="Tuesday"/>
    <s v="Monthly - Tuesday"/>
    <s v="Monthly - Tuesday"/>
    <s v="Month+3 Expiry"/>
    <n v="1452"/>
    <n v="2.6509"/>
    <n v="0.0587"/>
  </r>
  <r>
    <s v="16-Mar-2026"/>
    <x v="0"/>
    <s v="Week3-Mar-2026"/>
    <x v="6"/>
    <s v="Q4FY26"/>
    <s v="29-Sep-2026"/>
    <s v="Tuesday"/>
    <s v="Monthly - Tuesday"/>
    <s v="Monthly - Tuesday"/>
    <s v="Month+6 Expiry"/>
    <n v="0"/>
    <n v="0"/>
    <n v="0"/>
  </r>
  <r>
    <s v="16-Mar-2026"/>
    <x v="0"/>
    <s v="Week3-Mar-2026"/>
    <x v="6"/>
    <s v="Q4FY26"/>
    <s v="29-Dec-2026"/>
    <s v="Tuesday"/>
    <s v="Monthly - Tuesday"/>
    <s v="Monthly - Tuesday"/>
    <s v="Month+9 Expiry"/>
    <n v="0"/>
    <n v="0"/>
    <n v="0"/>
  </r>
  <r>
    <s v="17-Mar-2026"/>
    <x v="1"/>
    <s v="Week3-Mar-2026"/>
    <x v="6"/>
    <s v="Q4FY26"/>
    <s v="30-Mar-2026"/>
    <s v="Monday"/>
    <s v="Monthly - Monday"/>
    <s v="Monthly - Monday"/>
    <s v="Same Month Expiry"/>
    <n v="2770487"/>
    <n v="4602.2111"/>
    <n v="49.1742"/>
  </r>
  <r>
    <s v="17-Mar-2026"/>
    <x v="1"/>
    <s v="Week3-Mar-2026"/>
    <x v="6"/>
    <s v="Q4FY26"/>
    <s v="28-Apr-2026"/>
    <s v="Tuesday"/>
    <s v="Monthly - Tuesday"/>
    <s v="Monthly - Tuesday"/>
    <s v="Month+1 Expiry"/>
    <n v="153010"/>
    <n v="274.6641"/>
    <n v="5.3409"/>
  </r>
  <r>
    <s v="17-Mar-2026"/>
    <x v="1"/>
    <s v="Week3-Mar-2026"/>
    <x v="6"/>
    <s v="Q4FY26"/>
    <s v="26-May-2026"/>
    <s v="Tuesday"/>
    <s v="Monthly - Tuesday"/>
    <s v="Monthly - Tuesday"/>
    <s v="Month+2 Expiry"/>
    <n v="7194"/>
    <n v="12.6707"/>
    <n v="0.22"/>
  </r>
  <r>
    <s v="17-Mar-2026"/>
    <x v="1"/>
    <s v="Week3-Mar-2026"/>
    <x v="6"/>
    <s v="Q4FY26"/>
    <s v="30-Jun-2026"/>
    <s v="Tuesday"/>
    <s v="Monthly - Tuesday"/>
    <s v="Monthly - Tuesday"/>
    <s v="Month+3 Expiry"/>
    <n v="2282"/>
    <n v="4.164"/>
    <n v="0.151"/>
  </r>
  <r>
    <s v="17-Mar-2026"/>
    <x v="1"/>
    <s v="Week3-Mar-2026"/>
    <x v="6"/>
    <s v="Q4FY26"/>
    <s v="29-Sep-2026"/>
    <s v="Tuesday"/>
    <s v="Monthly - Tuesday"/>
    <s v="Monthly - Tuesday"/>
    <s v="Month+6 Expiry"/>
    <n v="0"/>
    <n v="0"/>
    <n v="0"/>
  </r>
  <r>
    <s v="17-Mar-2026"/>
    <x v="1"/>
    <s v="Week3-Mar-2026"/>
    <x v="6"/>
    <s v="Q4FY26"/>
    <s v="29-Dec-2026"/>
    <s v="Tuesday"/>
    <s v="Monthly - Tuesday"/>
    <s v="Monthly - Tuesday"/>
    <s v="Month+9 Expiry"/>
    <n v="0"/>
    <n v="0"/>
    <n v="0"/>
  </r>
  <r>
    <s v="18-Mar-2026"/>
    <x v="2"/>
    <s v="Week3-Mar-2026"/>
    <x v="6"/>
    <s v="Q4FY26"/>
    <s v="30-Mar-2026"/>
    <s v="Monday"/>
    <s v="Monthly - Monday"/>
    <s v="Monthly - Monday"/>
    <s v="Same Month Expiry"/>
    <n v="3507101"/>
    <n v="5850.308"/>
    <n v="49.2118"/>
  </r>
  <r>
    <s v="18-Mar-2026"/>
    <x v="2"/>
    <s v="Week3-Mar-2026"/>
    <x v="6"/>
    <s v="Q4FY26"/>
    <s v="28-Apr-2026"/>
    <s v="Tuesday"/>
    <s v="Monthly - Tuesday"/>
    <s v="Monthly - Tuesday"/>
    <s v="Month+1 Expiry"/>
    <n v="182675"/>
    <n v="327.5798"/>
    <n v="7.234"/>
  </r>
  <r>
    <s v="18-Mar-2026"/>
    <x v="2"/>
    <s v="Week3-Mar-2026"/>
    <x v="6"/>
    <s v="Q4FY26"/>
    <s v="26-May-2026"/>
    <s v="Tuesday"/>
    <s v="Monthly - Tuesday"/>
    <s v="Monthly - Tuesday"/>
    <s v="Month+2 Expiry"/>
    <n v="9872"/>
    <n v="17.3824"/>
    <n v="0.3506"/>
  </r>
  <r>
    <s v="18-Mar-2026"/>
    <x v="2"/>
    <s v="Week3-Mar-2026"/>
    <x v="6"/>
    <s v="Q4FY26"/>
    <s v="30-Jun-2026"/>
    <s v="Tuesday"/>
    <s v="Monthly - Tuesday"/>
    <s v="Monthly - Tuesday"/>
    <s v="Month+3 Expiry"/>
    <n v="2915"/>
    <n v="5.3167"/>
    <n v="0.1809"/>
  </r>
  <r>
    <s v="18-Mar-2026"/>
    <x v="2"/>
    <s v="Week3-Mar-2026"/>
    <x v="6"/>
    <s v="Q4FY26"/>
    <s v="29-Sep-2026"/>
    <s v="Tuesday"/>
    <s v="Monthly - Tuesday"/>
    <s v="Monthly - Tuesday"/>
    <s v="Month+6 Expiry"/>
    <n v="0"/>
    <n v="0"/>
    <n v="0"/>
  </r>
  <r>
    <s v="18-Mar-2026"/>
    <x v="2"/>
    <s v="Week3-Mar-2026"/>
    <x v="6"/>
    <s v="Q4FY26"/>
    <s v="29-Dec-2026"/>
    <s v="Tuesday"/>
    <s v="Monthly - Tuesday"/>
    <s v="Monthly - Tuesday"/>
    <s v="Month+9 Expiry"/>
    <n v="0"/>
    <n v="0"/>
    <n v="0"/>
  </r>
  <r>
    <s v="19-Mar-2026"/>
    <x v="3"/>
    <s v="Week3-Mar-2026"/>
    <x v="6"/>
    <s v="Q4FY26"/>
    <s v="30-Mar-2026"/>
    <s v="Monday"/>
    <s v="Monthly - Monday"/>
    <s v="Monthly - Monday"/>
    <s v="Same Month Expiry"/>
    <n v="4382804"/>
    <n v="7183.3245"/>
    <n v="66.85720000000001"/>
  </r>
  <r>
    <s v="19-Mar-2026"/>
    <x v="3"/>
    <s v="Week3-Mar-2026"/>
    <x v="6"/>
    <s v="Q4FY26"/>
    <s v="28-Apr-2026"/>
    <s v="Tuesday"/>
    <s v="Monthly - Tuesday"/>
    <s v="Monthly - Tuesday"/>
    <s v="Month+1 Expiry"/>
    <n v="211453"/>
    <n v="364.518"/>
    <n v="6.0436"/>
  </r>
  <r>
    <s v="19-Mar-2026"/>
    <x v="3"/>
    <s v="Week3-Mar-2026"/>
    <x v="6"/>
    <s v="Q4FY26"/>
    <s v="26-May-2026"/>
    <s v="Tuesday"/>
    <s v="Monthly - Tuesday"/>
    <s v="Monthly - Tuesday"/>
    <s v="Month+2 Expiry"/>
    <n v="13023"/>
    <n v="22.3078"/>
    <n v="0.4098"/>
  </r>
  <r>
    <s v="19-Mar-2026"/>
    <x v="3"/>
    <s v="Week3-Mar-2026"/>
    <x v="6"/>
    <s v="Q4FY26"/>
    <s v="30-Jun-2026"/>
    <s v="Tuesday"/>
    <s v="Monthly - Tuesday"/>
    <s v="Monthly - Tuesday"/>
    <s v="Month+3 Expiry"/>
    <n v="2651"/>
    <n v="4.7575"/>
    <n v="0.0992"/>
  </r>
  <r>
    <s v="19-Mar-2026"/>
    <x v="3"/>
    <s v="Week3-Mar-2026"/>
    <x v="6"/>
    <s v="Q4FY26"/>
    <s v="29-Sep-2026"/>
    <s v="Tuesday"/>
    <s v="Monthly - Tuesday"/>
    <s v="Monthly - Tuesday"/>
    <s v="Month+6 Expiry"/>
    <n v="0"/>
    <n v="0"/>
    <n v="0"/>
  </r>
  <r>
    <s v="19-Mar-2026"/>
    <x v="3"/>
    <s v="Week3-Mar-2026"/>
    <x v="6"/>
    <s v="Q4FY26"/>
    <s v="29-Dec-2026"/>
    <s v="Tuesday"/>
    <s v="Monthly - Tuesday"/>
    <s v="Monthly - Tuesday"/>
    <s v="Month+9 Expiry"/>
    <n v="0"/>
    <n v="0"/>
    <n v="0"/>
  </r>
  <r>
    <s v="20-Mar-2026"/>
    <x v="4"/>
    <s v="Week3-Mar-2026"/>
    <x v="6"/>
    <s v="Q4FY26"/>
    <s v="30-Mar-2026"/>
    <s v="Monday"/>
    <s v="Monthly - Monday"/>
    <s v="Monthly - Monday"/>
    <s v="Same Month Expiry"/>
    <n v="4159763"/>
    <n v="6813.4329"/>
    <n v="68.9534"/>
  </r>
  <r>
    <s v="20-Mar-2026"/>
    <x v="4"/>
    <s v="Week3-Mar-2026"/>
    <x v="6"/>
    <s v="Q4FY26"/>
    <s v="28-Apr-2026"/>
    <s v="Tuesday"/>
    <s v="Monthly - Tuesday"/>
    <s v="Monthly - Tuesday"/>
    <s v="Month+1 Expiry"/>
    <n v="164907"/>
    <n v="283.3317"/>
    <n v="5.2058"/>
  </r>
  <r>
    <s v="20-Mar-2026"/>
    <x v="4"/>
    <s v="Week3-Mar-2026"/>
    <x v="6"/>
    <s v="Q4FY26"/>
    <s v="26-May-2026"/>
    <s v="Tuesday"/>
    <s v="Monthly - Tuesday"/>
    <s v="Monthly - Tuesday"/>
    <s v="Month+2 Expiry"/>
    <n v="11759"/>
    <n v="20.389"/>
    <n v="0.3605"/>
  </r>
  <r>
    <s v="20-Mar-2026"/>
    <x v="4"/>
    <s v="Week3-Mar-2026"/>
    <x v="6"/>
    <s v="Q4FY26"/>
    <s v="30-Jun-2026"/>
    <s v="Tuesday"/>
    <s v="Monthly - Tuesday"/>
    <s v="Monthly - Tuesday"/>
    <s v="Month+3 Expiry"/>
    <n v="5460"/>
    <n v="9.9419"/>
    <n v="0.409"/>
  </r>
  <r>
    <s v="20-Mar-2026"/>
    <x v="4"/>
    <s v="Week3-Mar-2026"/>
    <x v="6"/>
    <s v="Q4FY26"/>
    <s v="29-Sep-2026"/>
    <s v="Tuesday"/>
    <s v="Monthly - Tuesday"/>
    <s v="Monthly - Tuesday"/>
    <s v="Month+6 Expiry"/>
    <n v="0"/>
    <n v="0"/>
    <n v="0"/>
  </r>
  <r>
    <s v="20-Mar-2026"/>
    <x v="4"/>
    <s v="Week3-Mar-2026"/>
    <x v="6"/>
    <s v="Q4FY26"/>
    <s v="29-Dec-2026"/>
    <s v="Tuesday"/>
    <s v="Monthly - Tuesday"/>
    <s v="Monthly - Tuesday"/>
    <s v="Month+9 Expiry"/>
    <n v="0"/>
    <n v="0"/>
    <n v="0"/>
  </r>
  <r>
    <s v="23-Mar-2026"/>
    <x v="0"/>
    <s v="Week4-Mar-2026"/>
    <x v="6"/>
    <s v="Q4FY26"/>
    <s v="30-Mar-2026"/>
    <s v="Monday"/>
    <s v="Monthly - Monday"/>
    <s v="Monthly - Monday"/>
    <s v="Same Month Expiry"/>
    <n v="4418333"/>
    <n v="7061.7503"/>
    <n v="82.38460000000001"/>
  </r>
  <r>
    <s v="23-Mar-2026"/>
    <x v="0"/>
    <s v="Week4-Mar-2026"/>
    <x v="6"/>
    <s v="Q4FY26"/>
    <s v="28-Apr-2026"/>
    <s v="Tuesday"/>
    <s v="Monthly - Tuesday"/>
    <s v="Monthly - Tuesday"/>
    <s v="Month+1 Expiry"/>
    <n v="239462"/>
    <n v="406.776"/>
    <n v="9.6424"/>
  </r>
  <r>
    <s v="23-Mar-2026"/>
    <x v="0"/>
    <s v="Week4-Mar-2026"/>
    <x v="6"/>
    <s v="Q4FY26"/>
    <s v="26-May-2026"/>
    <s v="Tuesday"/>
    <s v="Monthly - Tuesday"/>
    <s v="Monthly - Tuesday"/>
    <s v="Month+2 Expiry"/>
    <n v="17769"/>
    <n v="30.3721"/>
    <n v="0.7417"/>
  </r>
  <r>
    <s v="23-Mar-2026"/>
    <x v="0"/>
    <s v="Week4-Mar-2026"/>
    <x v="6"/>
    <s v="Q4FY26"/>
    <s v="30-Jun-2026"/>
    <s v="Tuesday"/>
    <s v="Monthly - Tuesday"/>
    <s v="Monthly - Tuesday"/>
    <s v="Month+3 Expiry"/>
    <n v="4014"/>
    <n v="7.1333"/>
    <n v="0.2071"/>
  </r>
  <r>
    <s v="23-Mar-2026"/>
    <x v="0"/>
    <s v="Week4-Mar-2026"/>
    <x v="6"/>
    <s v="Q4FY26"/>
    <s v="29-Sep-2026"/>
    <s v="Tuesday"/>
    <s v="Monthly - Tuesday"/>
    <s v="Monthly - Tuesday"/>
    <s v="Month+6 Expiry"/>
    <n v="0"/>
    <n v="0"/>
    <n v="0"/>
  </r>
  <r>
    <s v="23-Mar-2026"/>
    <x v="0"/>
    <s v="Week4-Mar-2026"/>
    <x v="6"/>
    <s v="Q4FY26"/>
    <s v="29-Dec-2026"/>
    <s v="Tuesday"/>
    <s v="Monthly - Tuesday"/>
    <s v="Monthly - Tuesday"/>
    <s v="Month+9 Expiry"/>
    <n v="0"/>
    <n v="0"/>
    <n v="0"/>
  </r>
  <r>
    <s v="24-Mar-2026"/>
    <x v="1"/>
    <s v="Week4-Mar-2026"/>
    <x v="6"/>
    <s v="Q4FY26"/>
    <s v="30-Mar-2026"/>
    <s v="Monday"/>
    <s v="Monthly - Monday"/>
    <s v="Monthly - Monday"/>
    <s v="Same Month Expiry"/>
    <n v="4968343"/>
    <n v="7941.5122"/>
    <n v="75.52"/>
  </r>
  <r>
    <s v="24-Mar-2026"/>
    <x v="1"/>
    <s v="Week4-Mar-2026"/>
    <x v="6"/>
    <s v="Q4FY26"/>
    <s v="28-Apr-2026"/>
    <s v="Tuesday"/>
    <s v="Monthly - Tuesday"/>
    <s v="Monthly - Tuesday"/>
    <s v="Month+1 Expiry"/>
    <n v="200927"/>
    <n v="338.3519"/>
    <n v="7.9712"/>
  </r>
  <r>
    <s v="24-Mar-2026"/>
    <x v="1"/>
    <s v="Week4-Mar-2026"/>
    <x v="6"/>
    <s v="Q4FY26"/>
    <s v="26-May-2026"/>
    <s v="Tuesday"/>
    <s v="Monthly - Tuesday"/>
    <s v="Monthly - Tuesday"/>
    <s v="Month+2 Expiry"/>
    <n v="11386"/>
    <n v="19.3261"/>
    <n v="0.5318000000000001"/>
  </r>
  <r>
    <s v="24-Mar-2026"/>
    <x v="1"/>
    <s v="Week4-Mar-2026"/>
    <x v="6"/>
    <s v="Q4FY26"/>
    <s v="30-Jun-2026"/>
    <s v="Tuesday"/>
    <s v="Monthly - Tuesday"/>
    <s v="Monthly - Tuesday"/>
    <s v="Month+3 Expiry"/>
    <n v="2948"/>
    <n v="5.3138"/>
    <n v="0.1862"/>
  </r>
  <r>
    <s v="24-Mar-2026"/>
    <x v="1"/>
    <s v="Week4-Mar-2026"/>
    <x v="6"/>
    <s v="Q4FY26"/>
    <s v="29-Sep-2026"/>
    <s v="Tuesday"/>
    <s v="Monthly - Tuesday"/>
    <s v="Monthly - Tuesday"/>
    <s v="Month+6 Expiry"/>
    <n v="0"/>
    <n v="0"/>
    <n v="0"/>
  </r>
  <r>
    <s v="24-Mar-2026"/>
    <x v="1"/>
    <s v="Week4-Mar-2026"/>
    <x v="6"/>
    <s v="Q4FY26"/>
    <s v="29-Dec-2026"/>
    <s v="Tuesday"/>
    <s v="Monthly - Tuesday"/>
    <s v="Monthly - Tuesday"/>
    <s v="Month+9 Expiry"/>
    <n v="0"/>
    <n v="0"/>
    <n v="0"/>
  </r>
  <r>
    <s v="25-Mar-2026"/>
    <x v="2"/>
    <s v="Week4-Mar-2026"/>
    <x v="6"/>
    <s v="Q4FY26"/>
    <s v="30-Mar-2026"/>
    <s v="Monday"/>
    <s v="Monthly - Monday"/>
    <s v="Monthly - Monday"/>
    <s v="Same Month Expiry"/>
    <n v="4979362"/>
    <n v="8068.3544"/>
    <n v="61.4995"/>
  </r>
  <r>
    <s v="25-Mar-2026"/>
    <x v="2"/>
    <s v="Week4-Mar-2026"/>
    <x v="6"/>
    <s v="Q4FY26"/>
    <s v="28-Apr-2026"/>
    <s v="Tuesday"/>
    <s v="Monthly - Tuesday"/>
    <s v="Monthly - Tuesday"/>
    <s v="Month+1 Expiry"/>
    <n v="293040"/>
    <n v="492.2111"/>
    <n v="10.2792"/>
  </r>
  <r>
    <s v="25-Mar-2026"/>
    <x v="2"/>
    <s v="Week4-Mar-2026"/>
    <x v="6"/>
    <s v="Q4FY26"/>
    <s v="26-May-2026"/>
    <s v="Tuesday"/>
    <s v="Monthly - Tuesday"/>
    <s v="Monthly - Tuesday"/>
    <s v="Month+2 Expiry"/>
    <n v="14940"/>
    <n v="25.8194"/>
    <n v="0.6824"/>
  </r>
  <r>
    <s v="25-Mar-2026"/>
    <x v="2"/>
    <s v="Week4-Mar-2026"/>
    <x v="6"/>
    <s v="Q4FY26"/>
    <s v="30-Jun-2026"/>
    <s v="Tuesday"/>
    <s v="Monthly - Tuesday"/>
    <s v="Monthly - Tuesday"/>
    <s v="Month+3 Expiry"/>
    <n v="3858"/>
    <n v="7.075"/>
    <n v="0.3026"/>
  </r>
  <r>
    <s v="25-Mar-2026"/>
    <x v="2"/>
    <s v="Week4-Mar-2026"/>
    <x v="6"/>
    <s v="Q4FY26"/>
    <s v="29-Sep-2026"/>
    <s v="Tuesday"/>
    <s v="Monthly - Tuesday"/>
    <s v="Monthly - Tuesday"/>
    <s v="Month+6 Expiry"/>
    <n v="0"/>
    <n v="0"/>
    <n v="0"/>
  </r>
  <r>
    <s v="25-Mar-2026"/>
    <x v="2"/>
    <s v="Week4-Mar-2026"/>
    <x v="6"/>
    <s v="Q4FY26"/>
    <s v="29-Dec-2026"/>
    <s v="Tuesday"/>
    <s v="Monthly - Tuesday"/>
    <s v="Monthly - Tuesday"/>
    <s v="Month+9 Expiry"/>
    <n v="0"/>
    <n v="0"/>
    <n v="0"/>
  </r>
  <r>
    <s v="27-Mar-2026"/>
    <x v="4"/>
    <s v="Week4-Mar-2026"/>
    <x v="6"/>
    <s v="Q4FY26"/>
    <s v="30-Mar-2026"/>
    <s v="Monday"/>
    <s v="Monthly - Monday"/>
    <s v="Monthly - Monday"/>
    <s v="Same Month Expiry"/>
    <n v="9232979"/>
    <n v="14675.2802"/>
    <n v="87.6283"/>
  </r>
  <r>
    <s v="27-Mar-2026"/>
    <x v="4"/>
    <s v="Week4-Mar-2026"/>
    <x v="6"/>
    <s v="Q4FY26"/>
    <s v="28-Apr-2026"/>
    <s v="Tuesday"/>
    <s v="Monthly - Tuesday"/>
    <s v="Monthly - Tuesday"/>
    <s v="Month+1 Expiry"/>
    <n v="408018"/>
    <n v="694.7443"/>
    <n v="16.8435"/>
  </r>
  <r>
    <s v="27-Mar-2026"/>
    <x v="4"/>
    <s v="Week4-Mar-2026"/>
    <x v="6"/>
    <s v="Q4FY26"/>
    <s v="26-May-2026"/>
    <s v="Tuesday"/>
    <s v="Monthly - Tuesday"/>
    <s v="Monthly - Tuesday"/>
    <s v="Month+2 Expiry"/>
    <n v="15100"/>
    <n v="25.8884"/>
    <n v="0.6586"/>
  </r>
  <r>
    <s v="27-Mar-2026"/>
    <x v="4"/>
    <s v="Week4-Mar-2026"/>
    <x v="6"/>
    <s v="Q4FY26"/>
    <s v="30-Jun-2026"/>
    <s v="Tuesday"/>
    <s v="Monthly - Tuesday"/>
    <s v="Monthly - Tuesday"/>
    <s v="Month+3 Expiry"/>
    <n v="2727"/>
    <n v="4.8915"/>
    <n v="0.1474"/>
  </r>
  <r>
    <s v="27-Mar-2026"/>
    <x v="4"/>
    <s v="Week4-Mar-2026"/>
    <x v="6"/>
    <s v="Q4FY26"/>
    <s v="29-Sep-2026"/>
    <s v="Tuesday"/>
    <s v="Monthly - Tuesday"/>
    <s v="Monthly - Tuesday"/>
    <s v="Month+6 Expiry"/>
    <n v="0"/>
    <n v="0"/>
    <n v="0"/>
  </r>
  <r>
    <s v="27-Mar-2026"/>
    <x v="4"/>
    <s v="Week4-Mar-2026"/>
    <x v="6"/>
    <s v="Q4FY26"/>
    <s v="29-Dec-2026"/>
    <s v="Tuesday"/>
    <s v="Monthly - Tuesday"/>
    <s v="Monthly - Tuesday"/>
    <s v="Month+9 Expiry"/>
    <n v="0"/>
    <n v="0"/>
    <n v="0"/>
  </r>
  <r>
    <s v="30-Mar-2026"/>
    <x v="0"/>
    <s v="Week5-Mar-2026"/>
    <x v="6"/>
    <s v="Q4FY26"/>
    <s v="30-Mar-2026"/>
    <s v="Monday"/>
    <s v="Monthly - Monday"/>
    <s v="Monthly - Monday"/>
    <s v="Same Month Expiry"/>
    <n v="74523432"/>
    <n v="113487.0323"/>
    <n v="176.447"/>
  </r>
  <r>
    <s v="30-Mar-2026"/>
    <x v="0"/>
    <s v="Week5-Mar-2026"/>
    <x v="6"/>
    <s v="Q4FY26"/>
    <s v="28-Apr-2026"/>
    <s v="Tuesday"/>
    <s v="Monthly - Tuesday"/>
    <s v="Monthly - Tuesday"/>
    <s v="Month+1 Expiry"/>
    <n v="740519"/>
    <n v="1208.5879"/>
    <n v="29.2768"/>
  </r>
  <r>
    <s v="30-Mar-2026"/>
    <x v="0"/>
    <s v="Week5-Mar-2026"/>
    <x v="6"/>
    <s v="Q4FY26"/>
    <s v="26-May-2026"/>
    <s v="Tuesday"/>
    <s v="Monthly - Tuesday"/>
    <s v="Monthly - Tuesday"/>
    <s v="Month+2 Expiry"/>
    <n v="26898"/>
    <n v="45.4277"/>
    <n v="1.2522"/>
  </r>
  <r>
    <s v="30-Mar-2026"/>
    <x v="0"/>
    <s v="Week5-Mar-2026"/>
    <x v="6"/>
    <s v="Q4FY26"/>
    <s v="30-Jun-2026"/>
    <s v="Tuesday"/>
    <s v="Monthly - Tuesday"/>
    <s v="Monthly - Tuesday"/>
    <s v="Month+3 Expiry"/>
    <n v="4799"/>
    <n v="8.3141"/>
    <n v="0.2179"/>
  </r>
  <r>
    <s v="30-Mar-2026"/>
    <x v="0"/>
    <s v="Week5-Mar-2026"/>
    <x v="6"/>
    <s v="Q4FY26"/>
    <s v="29-Sep-2026"/>
    <s v="Tuesday"/>
    <s v="Monthly - Tuesday"/>
    <s v="Monthly - Tuesday"/>
    <s v="Month+6 Expiry"/>
    <n v="0"/>
    <n v="0"/>
    <n v="0"/>
  </r>
  <r>
    <s v="30-Mar-2026"/>
    <x v="0"/>
    <s v="Week5-Mar-2026"/>
    <x v="6"/>
    <s v="Q4FY26"/>
    <s v="29-Dec-2026"/>
    <s v="Tuesday"/>
    <s v="Monthly - Tuesday"/>
    <s v="Monthly - Tuesday"/>
    <s v="Month+9 Expiry"/>
    <n v="0"/>
    <n v="0"/>
    <n v="0"/>
  </r>
  <r>
    <s v="01-Apr-2026"/>
    <x v="2"/>
    <s v="Week1-Apr-2026"/>
    <x v="7"/>
    <s v="Q1FY27"/>
    <s v="28-Apr-2026"/>
    <s v="Tuesday"/>
    <s v="Monthly - Tuesday"/>
    <s v="Monthly - Tuesday"/>
    <s v="Same Month Expiry"/>
    <n v="1701252"/>
    <n v="2768.6102"/>
    <n v="47.8962"/>
  </r>
  <r>
    <s v="01-Apr-2026"/>
    <x v="2"/>
    <s v="Week1-Apr-2026"/>
    <x v="7"/>
    <s v="Q1FY27"/>
    <s v="26-May-2026"/>
    <s v="Tuesday"/>
    <s v="Monthly - Tuesday"/>
    <s v="Monthly - Tuesday"/>
    <s v="Month+1 Expiry"/>
    <n v="25312"/>
    <n v="42.4236"/>
    <n v="1.0649"/>
  </r>
  <r>
    <s v="01-Apr-2026"/>
    <x v="2"/>
    <s v="Week1-Apr-2026"/>
    <x v="7"/>
    <s v="Q1FY27"/>
    <s v="30-Jun-2026"/>
    <s v="Tuesday"/>
    <s v="Monthly - Tuesday"/>
    <s v="Monthly - Tuesday"/>
    <s v="Month+2 Expiry"/>
    <n v="5844"/>
    <n v="10.1244"/>
    <n v="0.2426"/>
  </r>
  <r>
    <s v="01-Apr-2026"/>
    <x v="2"/>
    <s v="Week1-Apr-2026"/>
    <x v="7"/>
    <s v="Q1FY27"/>
    <s v="29-Sep-2026"/>
    <s v="Tuesday"/>
    <s v="Monthly - Tuesday"/>
    <s v="Monthly - Tuesday"/>
    <s v="Month+5 Expiry"/>
    <n v="0"/>
    <n v="0"/>
    <n v="0"/>
  </r>
  <r>
    <s v="01-Apr-2026"/>
    <x v="2"/>
    <s v="Week1-Apr-2026"/>
    <x v="7"/>
    <s v="Q1FY27"/>
    <s v="29-Dec-2026"/>
    <s v="Tuesday"/>
    <s v="Monthly - Tuesday"/>
    <s v="Monthly - Tuesday"/>
    <s v="Month+8 Expiry"/>
    <n v="0"/>
    <n v="0"/>
    <n v="0"/>
  </r>
  <r>
    <s v="01-Apr-2026"/>
    <x v="2"/>
    <s v="Week1-Apr-2026"/>
    <x v="7"/>
    <s v="Q1FY27"/>
    <s v="30-Mar-2027"/>
    <s v="Tuesday"/>
    <s v="Monthly - Tuesday"/>
    <s v="Monthly - Tuesday"/>
    <s v="Month+11 Expiry"/>
    <n v="0"/>
    <n v="0"/>
    <n v="0"/>
  </r>
  <r>
    <s v="02-Apr-2026"/>
    <x v="3"/>
    <s v="Week1-Apr-2026"/>
    <x v="7"/>
    <s v="Q1FY27"/>
    <s v="28-Apr-2026"/>
    <s v="Tuesday"/>
    <s v="Monthly - Tuesday"/>
    <s v="Monthly - Tuesday"/>
    <s v="Same Month Expiry"/>
    <n v="1780823"/>
    <n v="2860.0896"/>
    <n v="51.781"/>
  </r>
  <r>
    <s v="02-Apr-2026"/>
    <x v="3"/>
    <s v="Week1-Apr-2026"/>
    <x v="7"/>
    <s v="Q1FY27"/>
    <s v="26-May-2026"/>
    <s v="Tuesday"/>
    <s v="Monthly - Tuesday"/>
    <s v="Monthly - Tuesday"/>
    <s v="Month+1 Expiry"/>
    <n v="29372"/>
    <n v="48.6742"/>
    <n v="1.062"/>
  </r>
  <r>
    <s v="02-Apr-2026"/>
    <x v="3"/>
    <s v="Week1-Apr-2026"/>
    <x v="7"/>
    <s v="Q1FY27"/>
    <s v="30-Jun-2026"/>
    <s v="Tuesday"/>
    <s v="Monthly - Tuesday"/>
    <s v="Monthly - Tuesday"/>
    <s v="Month+2 Expiry"/>
    <n v="5892"/>
    <n v="10.229"/>
    <n v="0.3898"/>
  </r>
  <r>
    <s v="02-Apr-2026"/>
    <x v="3"/>
    <s v="Week1-Apr-2026"/>
    <x v="7"/>
    <s v="Q1FY27"/>
    <s v="29-Sep-2026"/>
    <s v="Tuesday"/>
    <s v="Monthly - Tuesday"/>
    <s v="Monthly - Tuesday"/>
    <s v="Month+5 Expiry"/>
    <n v="0"/>
    <n v="0"/>
    <n v="0"/>
  </r>
  <r>
    <s v="02-Apr-2026"/>
    <x v="3"/>
    <s v="Week1-Apr-2026"/>
    <x v="7"/>
    <s v="Q1FY27"/>
    <s v="29-Dec-2026"/>
    <s v="Tuesday"/>
    <s v="Monthly - Tuesday"/>
    <s v="Monthly - Tuesday"/>
    <s v="Month+8 Expiry"/>
    <n v="0"/>
    <n v="0"/>
    <n v="0"/>
  </r>
  <r>
    <s v="02-Apr-2026"/>
    <x v="3"/>
    <s v="Week1-Apr-2026"/>
    <x v="7"/>
    <s v="Q1FY27"/>
    <s v="30-Mar-2027"/>
    <s v="Tuesday"/>
    <s v="Monthly - Tuesday"/>
    <s v="Monthly - Tuesday"/>
    <s v="Month+11 Expiry"/>
    <n v="0"/>
    <n v="0"/>
    <n v="0"/>
  </r>
  <r>
    <s v="06-Apr-2026"/>
    <x v="0"/>
    <s v="Week1-Apr-2026"/>
    <x v="7"/>
    <s v="Q1FY27"/>
    <s v="28-Apr-2026"/>
    <s v="Tuesday"/>
    <s v="Monthly - Tuesday"/>
    <s v="Monthly - Tuesday"/>
    <s v="Same Month Expiry"/>
    <n v="1792247"/>
    <n v="2892.4876"/>
    <n v="51.2567"/>
  </r>
  <r>
    <s v="06-Apr-2026"/>
    <x v="0"/>
    <s v="Week1-Apr-2026"/>
    <x v="7"/>
    <s v="Q1FY27"/>
    <s v="26-May-2026"/>
    <s v="Tuesday"/>
    <s v="Monthly - Tuesday"/>
    <s v="Monthly - Tuesday"/>
    <s v="Month+1 Expiry"/>
    <n v="28665"/>
    <n v="47.6101"/>
    <n v="0.9415"/>
  </r>
  <r>
    <s v="06-Apr-2026"/>
    <x v="0"/>
    <s v="Week1-Apr-2026"/>
    <x v="7"/>
    <s v="Q1FY27"/>
    <s v="30-Jun-2026"/>
    <s v="Tuesday"/>
    <s v="Monthly - Tuesday"/>
    <s v="Monthly - Tuesday"/>
    <s v="Month+2 Expiry"/>
    <n v="8025"/>
    <n v="13.5914"/>
    <n v="0.3745"/>
  </r>
  <r>
    <s v="06-Apr-2026"/>
    <x v="0"/>
    <s v="Week1-Apr-2026"/>
    <x v="7"/>
    <s v="Q1FY27"/>
    <s v="29-Sep-2026"/>
    <s v="Tuesday"/>
    <s v="Monthly - Tuesday"/>
    <s v="Monthly - Tuesday"/>
    <s v="Month+5 Expiry"/>
    <n v="0"/>
    <n v="0"/>
    <n v="0"/>
  </r>
  <r>
    <s v="06-Apr-2026"/>
    <x v="0"/>
    <s v="Week1-Apr-2026"/>
    <x v="7"/>
    <s v="Q1FY27"/>
    <s v="29-Dec-2026"/>
    <s v="Tuesday"/>
    <s v="Monthly - Tuesday"/>
    <s v="Monthly - Tuesday"/>
    <s v="Month+8 Expiry"/>
    <n v="0"/>
    <n v="0"/>
    <n v="0"/>
  </r>
  <r>
    <s v="06-Apr-2026"/>
    <x v="0"/>
    <s v="Week1-Apr-2026"/>
    <x v="7"/>
    <s v="Q1FY27"/>
    <s v="30-Mar-2027"/>
    <s v="Tuesday"/>
    <s v="Monthly - Tuesday"/>
    <s v="Monthly - Tuesday"/>
    <s v="Month+11 Expiry"/>
    <n v="0"/>
    <n v="0"/>
    <n v="0"/>
  </r>
  <r>
    <s v="07-Apr-2026"/>
    <x v="1"/>
    <s v="Week1-Apr-2026"/>
    <x v="7"/>
    <s v="Q1FY27"/>
    <s v="28-Apr-2026"/>
    <s v="Tuesday"/>
    <s v="Monthly - Tuesday"/>
    <s v="Monthly - Tuesday"/>
    <s v="Same Month Expiry"/>
    <n v="1394871"/>
    <n v="2256.673"/>
    <n v="36.8649"/>
  </r>
  <r>
    <s v="07-Apr-2026"/>
    <x v="1"/>
    <s v="Week1-Apr-2026"/>
    <x v="7"/>
    <s v="Q1FY27"/>
    <s v="26-May-2026"/>
    <s v="Tuesday"/>
    <s v="Monthly - Tuesday"/>
    <s v="Monthly - Tuesday"/>
    <s v="Month+1 Expiry"/>
    <n v="23434"/>
    <n v="39.4802"/>
    <n v="0.6109"/>
  </r>
  <r>
    <s v="07-Apr-2026"/>
    <x v="1"/>
    <s v="Week1-Apr-2026"/>
    <x v="7"/>
    <s v="Q1FY27"/>
    <s v="30-Jun-2026"/>
    <s v="Tuesday"/>
    <s v="Monthly - Tuesday"/>
    <s v="Monthly - Tuesday"/>
    <s v="Month+2 Expiry"/>
    <n v="5400"/>
    <n v="9.161199999999999"/>
    <n v="0.221"/>
  </r>
  <r>
    <s v="07-Apr-2026"/>
    <x v="1"/>
    <s v="Week1-Apr-2026"/>
    <x v="7"/>
    <s v="Q1FY27"/>
    <s v="29-Sep-2026"/>
    <s v="Tuesday"/>
    <s v="Monthly - Tuesday"/>
    <s v="Monthly - Tuesday"/>
    <s v="Month+5 Expiry"/>
    <n v="0"/>
    <n v="0"/>
    <n v="0"/>
  </r>
  <r>
    <s v="07-Apr-2026"/>
    <x v="1"/>
    <s v="Week1-Apr-2026"/>
    <x v="7"/>
    <s v="Q1FY27"/>
    <s v="29-Dec-2026"/>
    <s v="Tuesday"/>
    <s v="Monthly - Tuesday"/>
    <s v="Monthly - Tuesday"/>
    <s v="Month+8 Expiry"/>
    <n v="0"/>
    <n v="0"/>
    <n v="0"/>
  </r>
  <r>
    <s v="07-Apr-2026"/>
    <x v="1"/>
    <s v="Week1-Apr-2026"/>
    <x v="7"/>
    <s v="Q1FY27"/>
    <s v="30-Mar-2027"/>
    <s v="Tuesday"/>
    <s v="Monthly - Tuesday"/>
    <s v="Monthly - Tuesday"/>
    <s v="Month+11 Expiry"/>
    <n v="0"/>
    <n v="0"/>
    <n v="0"/>
  </r>
  <r>
    <s v="08-Apr-2026"/>
    <x v="2"/>
    <s v="Week2-Apr-2026"/>
    <x v="7"/>
    <s v="Q1FY27"/>
    <s v="28-Apr-2026"/>
    <s v="Tuesday"/>
    <s v="Monthly - Tuesday"/>
    <s v="Monthly - Tuesday"/>
    <s v="Same Month Expiry"/>
    <n v="2950592"/>
    <n v="4932.6234"/>
    <n v="53.2015"/>
  </r>
  <r>
    <s v="08-Apr-2026"/>
    <x v="2"/>
    <s v="Week2-Apr-2026"/>
    <x v="7"/>
    <s v="Q1FY27"/>
    <s v="26-May-2026"/>
    <s v="Tuesday"/>
    <s v="Monthly - Tuesday"/>
    <s v="Monthly - Tuesday"/>
    <s v="Month+1 Expiry"/>
    <n v="81961"/>
    <n v="140.1505"/>
    <n v="2.5247"/>
  </r>
  <r>
    <s v="08-Apr-2026"/>
    <x v="2"/>
    <s v="Week2-Apr-2026"/>
    <x v="7"/>
    <s v="Q1FY27"/>
    <s v="30-Jun-2026"/>
    <s v="Tuesday"/>
    <s v="Monthly - Tuesday"/>
    <s v="Monthly - Tuesday"/>
    <s v="Month+2 Expiry"/>
    <n v="20085"/>
    <n v="33.586"/>
    <n v="0.6254999999999999"/>
  </r>
  <r>
    <s v="08-Apr-2026"/>
    <x v="2"/>
    <s v="Week2-Apr-2026"/>
    <x v="7"/>
    <s v="Q1FY27"/>
    <s v="29-Sep-2026"/>
    <s v="Tuesday"/>
    <s v="Monthly - Tuesday"/>
    <s v="Monthly - Tuesday"/>
    <s v="Month+5 Expiry"/>
    <n v="0"/>
    <n v="0"/>
    <n v="0"/>
  </r>
  <r>
    <s v="08-Apr-2026"/>
    <x v="2"/>
    <s v="Week2-Apr-2026"/>
    <x v="7"/>
    <s v="Q1FY27"/>
    <s v="29-Dec-2026"/>
    <s v="Tuesday"/>
    <s v="Monthly - Tuesday"/>
    <s v="Monthly - Tuesday"/>
    <s v="Month+8 Expiry"/>
    <n v="0"/>
    <n v="0"/>
    <n v="0"/>
  </r>
  <r>
    <s v="08-Apr-2026"/>
    <x v="2"/>
    <s v="Week2-Apr-2026"/>
    <x v="7"/>
    <s v="Q1FY27"/>
    <s v="30-Mar-2027"/>
    <s v="Tuesday"/>
    <s v="Monthly - Tuesday"/>
    <s v="Monthly - Tuesday"/>
    <s v="Month+11 Expiry"/>
    <n v="0"/>
    <n v="0"/>
    <n v="0"/>
  </r>
  <r>
    <s v="09-Apr-2026"/>
    <x v="3"/>
    <s v="Week2-Apr-2026"/>
    <x v="7"/>
    <s v="Q1FY27"/>
    <s v="28-Apr-2026"/>
    <s v="Tuesday"/>
    <s v="Monthly - Tuesday"/>
    <s v="Monthly - Tuesday"/>
    <s v="Same Month Expiry"/>
    <n v="2260289"/>
    <n v="3792.7789"/>
    <n v="47.6055"/>
  </r>
  <r>
    <s v="09-Apr-2026"/>
    <x v="3"/>
    <s v="Week2-Apr-2026"/>
    <x v="7"/>
    <s v="Q1FY27"/>
    <s v="26-May-2026"/>
    <s v="Tuesday"/>
    <s v="Monthly - Tuesday"/>
    <s v="Monthly - Tuesday"/>
    <s v="Month+1 Expiry"/>
    <n v="64228"/>
    <n v="109.9322"/>
    <n v="2.1218"/>
  </r>
  <r>
    <s v="09-Apr-2026"/>
    <x v="3"/>
    <s v="Week2-Apr-2026"/>
    <x v="7"/>
    <s v="Q1FY27"/>
    <s v="30-Jun-2026"/>
    <s v="Tuesday"/>
    <s v="Monthly - Tuesday"/>
    <s v="Monthly - Tuesday"/>
    <s v="Month+2 Expiry"/>
    <n v="14046"/>
    <n v="23.0288"/>
    <n v="0.4037"/>
  </r>
  <r>
    <s v="09-Apr-2026"/>
    <x v="3"/>
    <s v="Week2-Apr-2026"/>
    <x v="7"/>
    <s v="Q1FY27"/>
    <s v="29-Sep-2026"/>
    <s v="Tuesday"/>
    <s v="Monthly - Tuesday"/>
    <s v="Monthly - Tuesday"/>
    <s v="Month+5 Expiry"/>
    <n v="0"/>
    <n v="0"/>
    <n v="0"/>
  </r>
  <r>
    <s v="09-Apr-2026"/>
    <x v="3"/>
    <s v="Week2-Apr-2026"/>
    <x v="7"/>
    <s v="Q1FY27"/>
    <s v="29-Dec-2026"/>
    <s v="Tuesday"/>
    <s v="Monthly - Tuesday"/>
    <s v="Monthly - Tuesday"/>
    <s v="Month+8 Expiry"/>
    <n v="0"/>
    <n v="0"/>
    <n v="0"/>
  </r>
  <r>
    <s v="09-Apr-2026"/>
    <x v="3"/>
    <s v="Week2-Apr-2026"/>
    <x v="7"/>
    <s v="Q1FY27"/>
    <s v="30-Mar-2027"/>
    <s v="Tuesday"/>
    <s v="Monthly - Tuesday"/>
    <s v="Monthly - Tuesday"/>
    <s v="Month+11 Expiry"/>
    <n v="0"/>
    <n v="0"/>
    <n v="0"/>
  </r>
  <r>
    <s v="10-Apr-2026"/>
    <x v="4"/>
    <s v="Week2-Apr-2026"/>
    <x v="7"/>
    <s v="Q1FY27"/>
    <s v="28-Apr-2026"/>
    <s v="Tuesday"/>
    <s v="Monthly - Tuesday"/>
    <s v="Monthly - Tuesday"/>
    <s v="Same Month Expiry"/>
    <n v="2333048"/>
    <n v="3937.8099"/>
    <n v="42.2367"/>
  </r>
  <r>
    <s v="10-Apr-2026"/>
    <x v="4"/>
    <s v="Week2-Apr-2026"/>
    <x v="7"/>
    <s v="Q1FY27"/>
    <s v="26-May-2026"/>
    <s v="Tuesday"/>
    <s v="Monthly - Tuesday"/>
    <s v="Monthly - Tuesday"/>
    <s v="Month+1 Expiry"/>
    <n v="67641"/>
    <n v="116.6531"/>
    <n v="2.2397"/>
  </r>
  <r>
    <s v="10-Apr-2026"/>
    <x v="4"/>
    <s v="Week2-Apr-2026"/>
    <x v="7"/>
    <s v="Q1FY27"/>
    <s v="30-Jun-2026"/>
    <s v="Tuesday"/>
    <s v="Monthly - Tuesday"/>
    <s v="Monthly - Tuesday"/>
    <s v="Month+2 Expiry"/>
    <n v="7886"/>
    <n v="13.6757"/>
    <n v="0.2506"/>
  </r>
  <r>
    <s v="10-Apr-2026"/>
    <x v="4"/>
    <s v="Week2-Apr-2026"/>
    <x v="7"/>
    <s v="Q1FY27"/>
    <s v="29-Sep-2026"/>
    <s v="Tuesday"/>
    <s v="Monthly - Tuesday"/>
    <s v="Monthly - Tuesday"/>
    <s v="Month+5 Expiry"/>
    <n v="0"/>
    <n v="0"/>
    <n v="0"/>
  </r>
  <r>
    <s v="10-Apr-2026"/>
    <x v="4"/>
    <s v="Week2-Apr-2026"/>
    <x v="7"/>
    <s v="Q1FY27"/>
    <s v="29-Dec-2026"/>
    <s v="Tuesday"/>
    <s v="Monthly - Tuesday"/>
    <s v="Monthly - Tuesday"/>
    <s v="Month+8 Expiry"/>
    <n v="0"/>
    <n v="0"/>
    <n v="0"/>
  </r>
  <r>
    <s v="10-Apr-2026"/>
    <x v="4"/>
    <s v="Week2-Apr-2026"/>
    <x v="7"/>
    <s v="Q1FY27"/>
    <s v="30-Mar-2027"/>
    <s v="Tuesday"/>
    <s v="Monthly - Tuesday"/>
    <s v="Monthly - Tuesday"/>
    <s v="Month+11 Expiry"/>
    <n v="0"/>
    <n v="0"/>
    <n v="0"/>
  </r>
  <r>
    <s v="13-Apr-2026"/>
    <x v="0"/>
    <s v="Week2-Apr-2026"/>
    <x v="7"/>
    <s v="Q1FY27"/>
    <s v="28-Apr-2026"/>
    <s v="Tuesday"/>
    <s v="Monthly - Tuesday"/>
    <s v="Monthly - Tuesday"/>
    <s v="Same Month Expiry"/>
    <n v="2385883"/>
    <n v="4002.7958"/>
    <n v="42.8004"/>
  </r>
  <r>
    <s v="13-Apr-2026"/>
    <x v="0"/>
    <s v="Week2-Apr-2026"/>
    <x v="7"/>
    <s v="Q1FY27"/>
    <s v="26-May-2026"/>
    <s v="Tuesday"/>
    <s v="Monthly - Tuesday"/>
    <s v="Monthly - Tuesday"/>
    <s v="Month+1 Expiry"/>
    <n v="135820"/>
    <n v="239.7971"/>
    <n v="3.3326"/>
  </r>
  <r>
    <s v="13-Apr-2026"/>
    <x v="0"/>
    <s v="Week2-Apr-2026"/>
    <x v="7"/>
    <s v="Q1FY27"/>
    <s v="30-Jun-2026"/>
    <s v="Tuesday"/>
    <s v="Monthly - Tuesday"/>
    <s v="Monthly - Tuesday"/>
    <s v="Month+2 Expiry"/>
    <n v="13438"/>
    <n v="23.3437"/>
    <n v="0.396"/>
  </r>
  <r>
    <s v="13-Apr-2026"/>
    <x v="0"/>
    <s v="Week2-Apr-2026"/>
    <x v="7"/>
    <s v="Q1FY27"/>
    <s v="29-Sep-2026"/>
    <s v="Tuesday"/>
    <s v="Monthly - Tuesday"/>
    <s v="Monthly - Tuesday"/>
    <s v="Month+5 Expiry"/>
    <n v="0"/>
    <n v="0"/>
    <n v="0"/>
  </r>
  <r>
    <s v="13-Apr-2026"/>
    <x v="0"/>
    <s v="Week2-Apr-2026"/>
    <x v="7"/>
    <s v="Q1FY27"/>
    <s v="29-Dec-2026"/>
    <s v="Tuesday"/>
    <s v="Monthly - Tuesday"/>
    <s v="Monthly - Tuesday"/>
    <s v="Month+8 Expiry"/>
    <n v="0"/>
    <n v="0"/>
    <n v="0"/>
  </r>
  <r>
    <s v="13-Apr-2026"/>
    <x v="0"/>
    <s v="Week2-Apr-2026"/>
    <x v="7"/>
    <s v="Q1FY27"/>
    <s v="30-Mar-2027"/>
    <s v="Tuesday"/>
    <s v="Monthly - Tuesday"/>
    <s v="Monthly - Tuesday"/>
    <s v="Month+11 Expiry"/>
    <n v="0"/>
    <n v="0"/>
    <n v="0"/>
  </r>
  <r>
    <s v="15-Apr-2026"/>
    <x v="2"/>
    <s v="Week3-Apr-2026"/>
    <x v="7"/>
    <s v="Q1FY27"/>
    <s v="28-Apr-2026"/>
    <s v="Tuesday"/>
    <s v="Monthly - Tuesday"/>
    <s v="Monthly - Tuesday"/>
    <s v="Same Month Expiry"/>
    <n v="2656328"/>
    <n v="4481.5077"/>
    <n v="41.7455"/>
  </r>
  <r>
    <s v="15-Apr-2026"/>
    <x v="2"/>
    <s v="Week3-Apr-2026"/>
    <x v="7"/>
    <s v="Q1FY27"/>
    <s v="26-May-2026"/>
    <s v="Tuesday"/>
    <s v="Monthly - Tuesday"/>
    <s v="Monthly - Tuesday"/>
    <s v="Month+1 Expiry"/>
    <n v="147651"/>
    <n v="258.661"/>
    <n v="4.9611"/>
  </r>
  <r>
    <s v="15-Apr-2026"/>
    <x v="2"/>
    <s v="Week3-Apr-2026"/>
    <x v="7"/>
    <s v="Q1FY27"/>
    <s v="30-Jun-2026"/>
    <s v="Tuesday"/>
    <s v="Monthly - Tuesday"/>
    <s v="Monthly - Tuesday"/>
    <s v="Month+2 Expiry"/>
    <n v="12414"/>
    <n v="21.1937"/>
    <n v="0.3531"/>
  </r>
  <r>
    <s v="15-Apr-2026"/>
    <x v="2"/>
    <s v="Week3-Apr-2026"/>
    <x v="7"/>
    <s v="Q1FY27"/>
    <s v="29-Sep-2026"/>
    <s v="Tuesday"/>
    <s v="Monthly - Tuesday"/>
    <s v="Monthly - Tuesday"/>
    <s v="Month+5 Expiry"/>
    <n v="0"/>
    <n v="0"/>
    <n v="0"/>
  </r>
  <r>
    <s v="15-Apr-2026"/>
    <x v="2"/>
    <s v="Week3-Apr-2026"/>
    <x v="7"/>
    <s v="Q1FY27"/>
    <s v="29-Dec-2026"/>
    <s v="Tuesday"/>
    <s v="Monthly - Tuesday"/>
    <s v="Monthly - Tuesday"/>
    <s v="Month+8 Expiry"/>
    <n v="0"/>
    <n v="0"/>
    <n v="0"/>
  </r>
  <r>
    <s v="15-Apr-2026"/>
    <x v="2"/>
    <s v="Week3-Apr-2026"/>
    <x v="7"/>
    <s v="Q1FY27"/>
    <s v="30-Mar-2027"/>
    <s v="Tuesday"/>
    <s v="Monthly - Tuesday"/>
    <s v="Monthly - Tuesday"/>
    <s v="Month+11 Expiry"/>
    <n v="0"/>
    <n v="0"/>
    <n v="0"/>
  </r>
  <r>
    <s v="16-Apr-2026"/>
    <x v="3"/>
    <s v="Week3-Apr-2026"/>
    <x v="7"/>
    <s v="Q1FY27"/>
    <s v="28-Apr-2026"/>
    <s v="Tuesday"/>
    <s v="Monthly - Tuesday"/>
    <s v="Monthly - Tuesday"/>
    <s v="Same Month Expiry"/>
    <n v="2664316"/>
    <n v="4509.677"/>
    <n v="41.3777"/>
  </r>
  <r>
    <s v="16-Apr-2026"/>
    <x v="3"/>
    <s v="Week3-Apr-2026"/>
    <x v="7"/>
    <s v="Q1FY27"/>
    <s v="26-May-2026"/>
    <s v="Tuesday"/>
    <s v="Monthly - Tuesday"/>
    <s v="Monthly - Tuesday"/>
    <s v="Month+1 Expiry"/>
    <n v="117117"/>
    <n v="207.0371"/>
    <n v="3.2896"/>
  </r>
  <r>
    <s v="16-Apr-2026"/>
    <x v="3"/>
    <s v="Week3-Apr-2026"/>
    <x v="7"/>
    <s v="Q1FY27"/>
    <s v="30-Jun-2026"/>
    <s v="Tuesday"/>
    <s v="Monthly - Tuesday"/>
    <s v="Monthly - Tuesday"/>
    <s v="Month+2 Expiry"/>
    <n v="9648"/>
    <n v="16.7656"/>
    <n v="0.2589"/>
  </r>
  <r>
    <s v="16-Apr-2026"/>
    <x v="3"/>
    <s v="Week3-Apr-2026"/>
    <x v="7"/>
    <s v="Q1FY27"/>
    <s v="29-Sep-2026"/>
    <s v="Tuesday"/>
    <s v="Monthly - Tuesday"/>
    <s v="Monthly - Tuesday"/>
    <s v="Month+5 Expiry"/>
    <n v="0"/>
    <n v="0"/>
    <n v="0"/>
  </r>
  <r>
    <s v="16-Apr-2026"/>
    <x v="3"/>
    <s v="Week3-Apr-2026"/>
    <x v="7"/>
    <s v="Q1FY27"/>
    <s v="29-Dec-2026"/>
    <s v="Tuesday"/>
    <s v="Monthly - Tuesday"/>
    <s v="Monthly - Tuesday"/>
    <s v="Month+8 Expiry"/>
    <n v="0"/>
    <n v="0"/>
    <n v="0"/>
  </r>
  <r>
    <s v="16-Apr-2026"/>
    <x v="3"/>
    <s v="Week3-Apr-2026"/>
    <x v="7"/>
    <s v="Q1FY27"/>
    <s v="30-Mar-2027"/>
    <s v="Tuesday"/>
    <s v="Monthly - Tuesday"/>
    <s v="Monthly - Tuesday"/>
    <s v="Month+11 Expiry"/>
    <n v="0"/>
    <n v="0"/>
    <n v="0"/>
  </r>
  <r>
    <s v="17-Apr-2026"/>
    <x v="4"/>
    <s v="Week3-Apr-2026"/>
    <x v="7"/>
    <s v="Q1FY27"/>
    <s v="28-Apr-2026"/>
    <s v="Tuesday"/>
    <s v="Monthly - Tuesday"/>
    <s v="Monthly - Tuesday"/>
    <s v="Same Month Expiry"/>
    <n v="2695208"/>
    <n v="4543.2434"/>
    <n v="35.7619"/>
  </r>
  <r>
    <s v="17-Apr-2026"/>
    <x v="4"/>
    <s v="Week3-Apr-2026"/>
    <x v="7"/>
    <s v="Q1FY27"/>
    <s v="26-May-2026"/>
    <s v="Tuesday"/>
    <s v="Monthly - Tuesday"/>
    <s v="Monthly - Tuesday"/>
    <s v="Month+1 Expiry"/>
    <n v="132661"/>
    <n v="232.1285"/>
    <n v="3.1768"/>
  </r>
  <r>
    <s v="17-Apr-2026"/>
    <x v="4"/>
    <s v="Week3-Apr-2026"/>
    <x v="7"/>
    <s v="Q1FY27"/>
    <s v="30-Jun-2026"/>
    <s v="Tuesday"/>
    <s v="Monthly - Tuesday"/>
    <s v="Monthly - Tuesday"/>
    <s v="Month+2 Expiry"/>
    <n v="10165"/>
    <n v="17.4921"/>
    <n v="0.2711"/>
  </r>
  <r>
    <s v="17-Apr-2026"/>
    <x v="4"/>
    <s v="Week3-Apr-2026"/>
    <x v="7"/>
    <s v="Q1FY27"/>
    <s v="29-Sep-2026"/>
    <s v="Tuesday"/>
    <s v="Monthly - Tuesday"/>
    <s v="Monthly - Tuesday"/>
    <s v="Month+5 Expiry"/>
    <n v="0"/>
    <n v="0"/>
    <n v="0"/>
  </r>
  <r>
    <s v="17-Apr-2026"/>
    <x v="4"/>
    <s v="Week3-Apr-2026"/>
    <x v="7"/>
    <s v="Q1FY27"/>
    <s v="29-Dec-2026"/>
    <s v="Tuesday"/>
    <s v="Monthly - Tuesday"/>
    <s v="Monthly - Tuesday"/>
    <s v="Month+8 Expiry"/>
    <n v="0"/>
    <n v="0"/>
    <n v="0"/>
  </r>
  <r>
    <s v="17-Apr-2026"/>
    <x v="4"/>
    <s v="Week3-Apr-2026"/>
    <x v="7"/>
    <s v="Q1FY27"/>
    <s v="30-Mar-2027"/>
    <s v="Tuesday"/>
    <s v="Monthly - Tuesday"/>
    <s v="Monthly - Tuesday"/>
    <s v="Month+11 Expiry"/>
    <n v="0"/>
    <n v="0"/>
    <n v="0"/>
  </r>
  <r>
    <s v="20-Apr-2026"/>
    <x v="0"/>
    <s v="Week3-Apr-2026"/>
    <x v="7"/>
    <s v="Q1FY27"/>
    <s v="28-Apr-2026"/>
    <s v="Tuesday"/>
    <s v="Monthly - Tuesday"/>
    <s v="Monthly - Tuesday"/>
    <s v="Same Month Expiry"/>
    <n v="3666502"/>
    <n v="6226.2013"/>
    <n v="44.2092"/>
  </r>
  <r>
    <s v="20-Apr-2026"/>
    <x v="0"/>
    <s v="Week3-Apr-2026"/>
    <x v="7"/>
    <s v="Q1FY27"/>
    <s v="26-May-2026"/>
    <s v="Tuesday"/>
    <s v="Monthly - Tuesday"/>
    <s v="Monthly - Tuesday"/>
    <s v="Month+1 Expiry"/>
    <n v="180150"/>
    <n v="314.8038"/>
    <n v="3.9954"/>
  </r>
  <r>
    <s v="20-Apr-2026"/>
    <x v="0"/>
    <s v="Week3-Apr-2026"/>
    <x v="7"/>
    <s v="Q1FY27"/>
    <s v="30-Jun-2026"/>
    <s v="Tuesday"/>
    <s v="Monthly - Tuesday"/>
    <s v="Monthly - Tuesday"/>
    <s v="Month+2 Expiry"/>
    <n v="15269"/>
    <n v="26.7854"/>
    <n v="0.5145"/>
  </r>
  <r>
    <s v="20-Apr-2026"/>
    <x v="0"/>
    <s v="Week3-Apr-2026"/>
    <x v="7"/>
    <s v="Q1FY27"/>
    <s v="29-Sep-2026"/>
    <s v="Tuesday"/>
    <s v="Monthly - Tuesday"/>
    <s v="Monthly - Tuesday"/>
    <s v="Month+5 Expiry"/>
    <n v="0"/>
    <n v="0"/>
    <n v="0"/>
  </r>
  <r>
    <s v="20-Apr-2026"/>
    <x v="0"/>
    <s v="Week3-Apr-2026"/>
    <x v="7"/>
    <s v="Q1FY27"/>
    <s v="29-Dec-2026"/>
    <s v="Tuesday"/>
    <s v="Monthly - Tuesday"/>
    <s v="Monthly - Tuesday"/>
    <s v="Month+8 Expiry"/>
    <n v="0"/>
    <n v="0"/>
    <n v="0"/>
  </r>
  <r>
    <s v="20-Apr-2026"/>
    <x v="0"/>
    <s v="Week3-Apr-2026"/>
    <x v="7"/>
    <s v="Q1FY27"/>
    <s v="30-Mar-2027"/>
    <s v="Tuesday"/>
    <s v="Monthly - Tuesday"/>
    <s v="Monthly - Tuesday"/>
    <s v="Month+11 Expiry"/>
    <n v="0"/>
    <n v="0"/>
    <n v="0"/>
  </r>
  <r>
    <s v="21-Apr-2026"/>
    <x v="1"/>
    <s v="Week3-Apr-2026"/>
    <x v="7"/>
    <s v="Q1FY27"/>
    <s v="28-Apr-2026"/>
    <s v="Tuesday"/>
    <s v="Monthly - Tuesday"/>
    <s v="Monthly - Tuesday"/>
    <s v="Same Month Expiry"/>
    <n v="2989722"/>
    <n v="5064.6264"/>
    <n v="33.9211"/>
  </r>
  <r>
    <s v="21-Apr-2026"/>
    <x v="1"/>
    <s v="Week3-Apr-2026"/>
    <x v="7"/>
    <s v="Q1FY27"/>
    <s v="26-May-2026"/>
    <s v="Tuesday"/>
    <s v="Monthly - Tuesday"/>
    <s v="Monthly - Tuesday"/>
    <s v="Month+1 Expiry"/>
    <n v="179279"/>
    <n v="313.5534"/>
    <n v="4.1459"/>
  </r>
  <r>
    <s v="21-Apr-2026"/>
    <x v="1"/>
    <s v="Week3-Apr-2026"/>
    <x v="7"/>
    <s v="Q1FY27"/>
    <s v="30-Jun-2026"/>
    <s v="Tuesday"/>
    <s v="Monthly - Tuesday"/>
    <s v="Monthly - Tuesday"/>
    <s v="Month+2 Expiry"/>
    <n v="12233"/>
    <n v="21.1865"/>
    <n v="0.3737"/>
  </r>
  <r>
    <s v="21-Apr-2026"/>
    <x v="1"/>
    <s v="Week3-Apr-2026"/>
    <x v="7"/>
    <s v="Q1FY27"/>
    <s v="29-Sep-2026"/>
    <s v="Tuesday"/>
    <s v="Monthly - Tuesday"/>
    <s v="Monthly - Tuesday"/>
    <s v="Month+5 Expiry"/>
    <n v="0"/>
    <n v="0"/>
    <n v="0"/>
  </r>
  <r>
    <s v="21-Apr-2026"/>
    <x v="1"/>
    <s v="Week3-Apr-2026"/>
    <x v="7"/>
    <s v="Q1FY27"/>
    <s v="29-Dec-2026"/>
    <s v="Tuesday"/>
    <s v="Monthly - Tuesday"/>
    <s v="Monthly - Tuesday"/>
    <s v="Month+8 Expiry"/>
    <n v="0"/>
    <n v="0"/>
    <n v="0"/>
  </r>
  <r>
    <s v="21-Apr-2026"/>
    <x v="1"/>
    <s v="Week3-Apr-2026"/>
    <x v="7"/>
    <s v="Q1FY27"/>
    <s v="30-Mar-2027"/>
    <s v="Tuesday"/>
    <s v="Monthly - Tuesday"/>
    <s v="Monthly - Tuesday"/>
    <s v="Month+11 Expiry"/>
    <n v="0"/>
    <n v="0"/>
    <n v="0"/>
  </r>
  <r>
    <s v="22-Apr-2026"/>
    <x v="2"/>
    <s v="Week4-Apr-2026"/>
    <x v="7"/>
    <s v="Q1FY27"/>
    <s v="28-Apr-2026"/>
    <s v="Tuesday"/>
    <s v="Monthly - Tuesday"/>
    <s v="Monthly - Tuesday"/>
    <s v="Same Month Expiry"/>
    <n v="4046063"/>
    <n v="6912.3695"/>
    <n v="41.6802"/>
  </r>
  <r>
    <s v="22-Apr-2026"/>
    <x v="2"/>
    <s v="Week4-Apr-2026"/>
    <x v="7"/>
    <s v="Q1FY27"/>
    <s v="26-May-2026"/>
    <s v="Tuesday"/>
    <s v="Monthly - Tuesday"/>
    <s v="Monthly - Tuesday"/>
    <s v="Month+1 Expiry"/>
    <n v="177749"/>
    <n v="307.5002"/>
    <n v="3.9547"/>
  </r>
  <r>
    <s v="22-Apr-2026"/>
    <x v="2"/>
    <s v="Week4-Apr-2026"/>
    <x v="7"/>
    <s v="Q1FY27"/>
    <s v="30-Jun-2026"/>
    <s v="Tuesday"/>
    <s v="Monthly - Tuesday"/>
    <s v="Monthly - Tuesday"/>
    <s v="Month+2 Expiry"/>
    <n v="9273"/>
    <n v="16.1406"/>
    <n v="0.2844"/>
  </r>
  <r>
    <s v="22-Apr-2026"/>
    <x v="2"/>
    <s v="Week4-Apr-2026"/>
    <x v="7"/>
    <s v="Q1FY27"/>
    <s v="29-Sep-2026"/>
    <s v="Tuesday"/>
    <s v="Monthly - Tuesday"/>
    <s v="Monthly - Tuesday"/>
    <s v="Month+5 Expiry"/>
    <n v="31"/>
    <n v="0.0579"/>
    <n v="0.0017"/>
  </r>
  <r>
    <s v="22-Apr-2026"/>
    <x v="2"/>
    <s v="Week4-Apr-2026"/>
    <x v="7"/>
    <s v="Q1FY27"/>
    <s v="29-Dec-2026"/>
    <s v="Tuesday"/>
    <s v="Monthly - Tuesday"/>
    <s v="Monthly - Tuesday"/>
    <s v="Month+8 Expiry"/>
    <n v="0"/>
    <n v="0"/>
    <n v="0"/>
  </r>
  <r>
    <s v="22-Apr-2026"/>
    <x v="2"/>
    <s v="Week4-Apr-2026"/>
    <x v="7"/>
    <s v="Q1FY27"/>
    <s v="30-Mar-2027"/>
    <s v="Tuesday"/>
    <s v="Monthly - Tuesday"/>
    <s v="Monthly - Tuesday"/>
    <s v="Month+11 Expiry"/>
    <n v="0"/>
    <n v="0"/>
    <n v="0"/>
  </r>
  <r>
    <s v="23-Apr-2026"/>
    <x v="3"/>
    <s v="Week4-Apr-2026"/>
    <x v="7"/>
    <s v="Q1FY27"/>
    <s v="28-Apr-2026"/>
    <s v="Tuesday"/>
    <s v="Monthly - Tuesday"/>
    <s v="Monthly - Tuesday"/>
    <s v="Same Month Expiry"/>
    <n v="4408079"/>
    <n v="7509.2337"/>
    <n v="38.4919"/>
  </r>
  <r>
    <s v="23-Apr-2026"/>
    <x v="3"/>
    <s v="Week4-Apr-2026"/>
    <x v="7"/>
    <s v="Q1FY27"/>
    <s v="26-May-2026"/>
    <s v="Tuesday"/>
    <s v="Monthly - Tuesday"/>
    <s v="Monthly - Tuesday"/>
    <s v="Month+1 Expiry"/>
    <n v="223671"/>
    <n v="390.1955"/>
    <n v="5.1704"/>
  </r>
  <r>
    <s v="23-Apr-2026"/>
    <x v="3"/>
    <s v="Week4-Apr-2026"/>
    <x v="7"/>
    <s v="Q1FY27"/>
    <s v="30-Jun-2026"/>
    <s v="Tuesday"/>
    <s v="Monthly - Tuesday"/>
    <s v="Monthly - Tuesday"/>
    <s v="Month+2 Expiry"/>
    <n v="12076"/>
    <n v="21.01"/>
    <n v="0.3883"/>
  </r>
  <r>
    <s v="23-Apr-2026"/>
    <x v="3"/>
    <s v="Week4-Apr-2026"/>
    <x v="7"/>
    <s v="Q1FY27"/>
    <s v="29-Sep-2026"/>
    <s v="Tuesday"/>
    <s v="Monthly - Tuesday"/>
    <s v="Monthly - Tuesday"/>
    <s v="Month+5 Expiry"/>
    <n v="96"/>
    <n v="0.1598"/>
    <n v="0.003"/>
  </r>
  <r>
    <s v="23-Apr-2026"/>
    <x v="3"/>
    <s v="Week4-Apr-2026"/>
    <x v="7"/>
    <s v="Q1FY27"/>
    <s v="29-Dec-2026"/>
    <s v="Tuesday"/>
    <s v="Monthly - Tuesday"/>
    <s v="Monthly - Tuesday"/>
    <s v="Month+8 Expiry"/>
    <n v="0"/>
    <n v="0"/>
    <n v="0"/>
  </r>
  <r>
    <s v="23-Apr-2026"/>
    <x v="3"/>
    <s v="Week4-Apr-2026"/>
    <x v="7"/>
    <s v="Q1FY27"/>
    <s v="30-Mar-2027"/>
    <s v="Tuesday"/>
    <s v="Monthly - Tuesday"/>
    <s v="Monthly - Tuesday"/>
    <s v="Month+11 Expiry"/>
    <n v="0"/>
    <n v="0"/>
    <n v="0"/>
  </r>
  <r>
    <s v="24-Apr-2026"/>
    <x v="4"/>
    <s v="Week4-Apr-2026"/>
    <x v="7"/>
    <s v="Q1FY27"/>
    <s v="28-Apr-2026"/>
    <s v="Tuesday"/>
    <s v="Monthly - Tuesday"/>
    <s v="Monthly - Tuesday"/>
    <s v="Same Month Expiry"/>
    <n v="8502479"/>
    <n v="14358.2674"/>
    <n v="67.6904"/>
  </r>
  <r>
    <s v="24-Apr-2026"/>
    <x v="4"/>
    <s v="Week4-Apr-2026"/>
    <x v="7"/>
    <s v="Q1FY27"/>
    <s v="26-May-2026"/>
    <s v="Tuesday"/>
    <s v="Monthly - Tuesday"/>
    <s v="Monthly - Tuesday"/>
    <s v="Month+1 Expiry"/>
    <n v="225336"/>
    <n v="389.0458"/>
    <n v="5.6458"/>
  </r>
  <r>
    <s v="24-Apr-2026"/>
    <x v="4"/>
    <s v="Week4-Apr-2026"/>
    <x v="7"/>
    <s v="Q1FY27"/>
    <s v="30-Jun-2026"/>
    <s v="Tuesday"/>
    <s v="Monthly - Tuesday"/>
    <s v="Monthly - Tuesday"/>
    <s v="Month+2 Expiry"/>
    <n v="14634"/>
    <n v="25.6617"/>
    <n v="0.4283"/>
  </r>
  <r>
    <s v="24-Apr-2026"/>
    <x v="4"/>
    <s v="Week4-Apr-2026"/>
    <x v="7"/>
    <s v="Q1FY27"/>
    <s v="29-Sep-2026"/>
    <s v="Tuesday"/>
    <s v="Monthly - Tuesday"/>
    <s v="Monthly - Tuesday"/>
    <s v="Month+5 Expiry"/>
    <n v="83"/>
    <n v="0.1483"/>
    <n v="0.0029"/>
  </r>
  <r>
    <s v="24-Apr-2026"/>
    <x v="4"/>
    <s v="Week4-Apr-2026"/>
    <x v="7"/>
    <s v="Q1FY27"/>
    <s v="29-Dec-2026"/>
    <s v="Tuesday"/>
    <s v="Monthly - Tuesday"/>
    <s v="Monthly - Tuesday"/>
    <s v="Month+8 Expiry"/>
    <n v="0"/>
    <n v="0"/>
    <n v="0"/>
  </r>
  <r>
    <s v="24-Apr-2026"/>
    <x v="4"/>
    <s v="Week4-Apr-2026"/>
    <x v="7"/>
    <s v="Q1FY27"/>
    <s v="30-Mar-2027"/>
    <s v="Tuesday"/>
    <s v="Monthly - Tuesday"/>
    <s v="Monthly - Tuesday"/>
    <s v="Month+11 Expiry"/>
    <n v="0"/>
    <n v="0"/>
    <n v="0"/>
  </r>
  <r>
    <s v="27-Apr-2026"/>
    <x v="0"/>
    <s v="Week4-Apr-2026"/>
    <x v="7"/>
    <s v="Q1FY27"/>
    <s v="28-Apr-2026"/>
    <s v="Tuesday"/>
    <s v="Monthly - Tuesday"/>
    <s v="Monthly - Tuesday"/>
    <s v="Same Month Expiry"/>
    <n v="16838175"/>
    <n v="28419.917"/>
    <n v="82.2373"/>
  </r>
  <r>
    <s v="27-Apr-2026"/>
    <x v="0"/>
    <s v="Week4-Apr-2026"/>
    <x v="7"/>
    <s v="Q1FY27"/>
    <s v="26-May-2026"/>
    <s v="Tuesday"/>
    <s v="Monthly - Tuesday"/>
    <s v="Monthly - Tuesday"/>
    <s v="Month+1 Expiry"/>
    <n v="336365"/>
    <n v="579.9241"/>
    <n v="9.386200000000001"/>
  </r>
  <r>
    <s v="27-Apr-2026"/>
    <x v="0"/>
    <s v="Week4-Apr-2026"/>
    <x v="7"/>
    <s v="Q1FY27"/>
    <s v="30-Jun-2026"/>
    <s v="Tuesday"/>
    <s v="Monthly - Tuesday"/>
    <s v="Monthly - Tuesday"/>
    <s v="Month+2 Expiry"/>
    <n v="11984"/>
    <n v="20.8848"/>
    <n v="0.4446"/>
  </r>
  <r>
    <s v="27-Apr-2026"/>
    <x v="0"/>
    <s v="Week4-Apr-2026"/>
    <x v="7"/>
    <s v="Q1FY27"/>
    <s v="29-Sep-2026"/>
    <s v="Tuesday"/>
    <s v="Monthly - Tuesday"/>
    <s v="Monthly - Tuesday"/>
    <s v="Month+5 Expiry"/>
    <n v="72"/>
    <n v="0.1241"/>
    <n v="0.0023"/>
  </r>
  <r>
    <s v="27-Apr-2026"/>
    <x v="0"/>
    <s v="Week4-Apr-2026"/>
    <x v="7"/>
    <s v="Q1FY27"/>
    <s v="29-Dec-2026"/>
    <s v="Tuesday"/>
    <s v="Monthly - Tuesday"/>
    <s v="Monthly - Tuesday"/>
    <s v="Month+8 Expiry"/>
    <n v="0"/>
    <n v="0"/>
    <n v="0"/>
  </r>
  <r>
    <s v="27-Apr-2026"/>
    <x v="0"/>
    <s v="Week4-Apr-2026"/>
    <x v="7"/>
    <s v="Q1FY27"/>
    <s v="30-Mar-2027"/>
    <s v="Tuesday"/>
    <s v="Monthly - Tuesday"/>
    <s v="Monthly - Tuesday"/>
    <s v="Month+11 Expiry"/>
    <n v="0"/>
    <n v="0"/>
    <n v="0"/>
  </r>
  <r>
    <s v="28-Apr-2026"/>
    <x v="1"/>
    <s v="Week4-Apr-2026"/>
    <x v="7"/>
    <s v="Q1FY27"/>
    <s v="28-Apr-2026"/>
    <s v="Tuesday"/>
    <s v="Monthly - Tuesday"/>
    <s v="Monthly - Tuesday"/>
    <s v="Same Month Expiry"/>
    <n v="91759485"/>
    <n v="153286.2119"/>
    <n v="144.229"/>
  </r>
  <r>
    <s v="28-Apr-2026"/>
    <x v="1"/>
    <s v="Week4-Apr-2026"/>
    <x v="7"/>
    <s v="Q1FY27"/>
    <s v="26-May-2026"/>
    <s v="Tuesday"/>
    <s v="Monthly - Tuesday"/>
    <s v="Monthly - Tuesday"/>
    <s v="Month+1 Expiry"/>
    <n v="735866"/>
    <n v="1256.8362"/>
    <n v="17.0292"/>
  </r>
  <r>
    <s v="28-Apr-2026"/>
    <x v="1"/>
    <s v="Week4-Apr-2026"/>
    <x v="7"/>
    <s v="Q1FY27"/>
    <s v="30-Jun-2026"/>
    <s v="Tuesday"/>
    <s v="Monthly - Tuesday"/>
    <s v="Monthly - Tuesday"/>
    <s v="Month+2 Expiry"/>
    <n v="24881"/>
    <n v="42.8221"/>
    <n v="0.8257"/>
  </r>
  <r>
    <s v="28-Apr-2026"/>
    <x v="1"/>
    <s v="Week4-Apr-2026"/>
    <x v="7"/>
    <s v="Q1FY27"/>
    <s v="29-Sep-2026"/>
    <s v="Tuesday"/>
    <s v="Monthly - Tuesday"/>
    <s v="Monthly - Tuesday"/>
    <s v="Month+5 Expiry"/>
    <n v="85"/>
    <n v="0.145"/>
    <n v="0.0031"/>
  </r>
  <r>
    <s v="28-Apr-2026"/>
    <x v="1"/>
    <s v="Week4-Apr-2026"/>
    <x v="7"/>
    <s v="Q1FY27"/>
    <s v="29-Dec-2026"/>
    <s v="Tuesday"/>
    <s v="Monthly - Tuesday"/>
    <s v="Monthly - Tuesday"/>
    <s v="Month+8 Expiry"/>
    <n v="3"/>
    <n v="0.0054"/>
    <n v="0.0002"/>
  </r>
  <r>
    <s v="28-Apr-2026"/>
    <x v="1"/>
    <s v="Week4-Apr-2026"/>
    <x v="7"/>
    <s v="Q1FY27"/>
    <s v="30-Mar-2027"/>
    <s v="Tuesday"/>
    <s v="Monthly - Tuesday"/>
    <s v="Monthly - Tuesday"/>
    <s v="Month+11 Expiry"/>
    <n v="0"/>
    <n v="0"/>
    <n v="0"/>
  </r>
  <r>
    <s v="29-Apr-2026"/>
    <x v="2"/>
    <s v="Week5-Apr-2026"/>
    <x v="7"/>
    <s v="Q1FY27"/>
    <s v="26-May-2026"/>
    <s v="Tuesday"/>
    <s v="Monthly - Tuesday"/>
    <s v="Monthly - Tuesday"/>
    <s v="Month+1 Expiry"/>
    <n v="1895212"/>
    <n v="3228.9082"/>
    <n v="39.6797"/>
  </r>
  <r>
    <s v="29-Apr-2026"/>
    <x v="2"/>
    <s v="Week5-Apr-2026"/>
    <x v="7"/>
    <s v="Q1FY27"/>
    <s v="30-Jun-2026"/>
    <s v="Tuesday"/>
    <s v="Monthly - Tuesday"/>
    <s v="Monthly - Tuesday"/>
    <s v="Month+2 Expiry"/>
    <n v="33169"/>
    <n v="56.6535"/>
    <n v="0.8518"/>
  </r>
  <r>
    <s v="29-Apr-2026"/>
    <x v="2"/>
    <s v="Week5-Apr-2026"/>
    <x v="7"/>
    <s v="Q1FY27"/>
    <s v="28-Jul-2026"/>
    <s v="Tuesday"/>
    <s v="Monthly - Tuesday"/>
    <s v="Monthly - Tuesday"/>
    <s v="Month+3 Expiry"/>
    <n v="443"/>
    <n v="0.7538"/>
    <n v="0.0213"/>
  </r>
  <r>
    <s v="29-Apr-2026"/>
    <x v="2"/>
    <s v="Week5-Apr-2026"/>
    <x v="7"/>
    <s v="Q1FY27"/>
    <s v="29-Sep-2026"/>
    <s v="Tuesday"/>
    <s v="Monthly - Tuesday"/>
    <s v="Monthly - Tuesday"/>
    <s v="Month+5 Expiry"/>
    <n v="250"/>
    <n v="0.4429"/>
    <n v="0.0091"/>
  </r>
  <r>
    <s v="29-Apr-2026"/>
    <x v="2"/>
    <s v="Week5-Apr-2026"/>
    <x v="7"/>
    <s v="Q1FY27"/>
    <s v="29-Dec-2026"/>
    <s v="Tuesday"/>
    <s v="Monthly - Tuesday"/>
    <s v="Monthly - Tuesday"/>
    <s v="Month+8 Expiry"/>
    <n v="8"/>
    <n v="0.0114"/>
    <n v="0.0001"/>
  </r>
  <r>
    <s v="29-Apr-2026"/>
    <x v="2"/>
    <s v="Week5-Apr-2026"/>
    <x v="7"/>
    <s v="Q1FY27"/>
    <s v="30-Mar-2027"/>
    <s v="Tuesday"/>
    <s v="Monthly - Tuesday"/>
    <s v="Monthly - Tuesday"/>
    <s v="Month+11 Expiry"/>
    <n v="0"/>
    <n v="0"/>
    <n v="0"/>
  </r>
  <r>
    <s v="30-Apr-2026"/>
    <x v="3"/>
    <s v="Week5-Apr-2026"/>
    <x v="7"/>
    <s v="Q1FY27"/>
    <s v="26-May-2026"/>
    <s v="Tuesday"/>
    <s v="Monthly - Tuesday"/>
    <s v="Monthly - Tuesday"/>
    <s v="Month+1 Expiry"/>
    <n v="1712831"/>
    <n v="2877.1678"/>
    <n v="37.6604"/>
  </r>
  <r>
    <s v="30-Apr-2026"/>
    <x v="3"/>
    <s v="Week5-Apr-2026"/>
    <x v="7"/>
    <s v="Q1FY27"/>
    <s v="30-Jun-2026"/>
    <s v="Tuesday"/>
    <s v="Monthly - Tuesday"/>
    <s v="Monthly - Tuesday"/>
    <s v="Month+2 Expiry"/>
    <n v="30370"/>
    <n v="51.8274"/>
    <n v="0.8655"/>
  </r>
  <r>
    <s v="30-Apr-2026"/>
    <x v="3"/>
    <s v="Week5-Apr-2026"/>
    <x v="7"/>
    <s v="Q1FY27"/>
    <s v="28-Jul-2026"/>
    <s v="Tuesday"/>
    <s v="Monthly - Tuesday"/>
    <s v="Monthly - Tuesday"/>
    <s v="Month+3 Expiry"/>
    <n v="1064"/>
    <n v="1.7926"/>
    <n v="0.0512"/>
  </r>
  <r>
    <s v="30-Apr-2026"/>
    <x v="3"/>
    <s v="Week5-Apr-2026"/>
    <x v="7"/>
    <s v="Q1FY27"/>
    <s v="29-Sep-2026"/>
    <s v="Tuesday"/>
    <s v="Monthly - Tuesday"/>
    <s v="Monthly - Tuesday"/>
    <s v="Month+5 Expiry"/>
    <n v="389"/>
    <n v="0.6791"/>
    <n v="0.0142"/>
  </r>
  <r>
    <s v="30-Apr-2026"/>
    <x v="3"/>
    <s v="Week5-Apr-2026"/>
    <x v="7"/>
    <s v="Q1FY27"/>
    <s v="29-Dec-2026"/>
    <s v="Tuesday"/>
    <s v="Monthly - Tuesday"/>
    <s v="Monthly - Tuesday"/>
    <s v="Month+8 Expiry"/>
    <n v="0"/>
    <n v="0"/>
    <n v="0"/>
  </r>
  <r>
    <s v="30-Apr-2026"/>
    <x v="3"/>
    <s v="Week5-Apr-2026"/>
    <x v="7"/>
    <s v="Q1FY27"/>
    <s v="30-Mar-2027"/>
    <s v="Tuesday"/>
    <s v="Monthly - Tuesday"/>
    <s v="Monthly - Tuesday"/>
    <s v="Month+11 Expiry"/>
    <n v="0"/>
    <n v="0"/>
    <n v="0"/>
  </r>
  <r>
    <s v="04-May-2026"/>
    <x v="0"/>
    <s v="Week1-May-2026"/>
    <x v="8"/>
    <s v="Q1FY27"/>
    <s v="26-May-2026"/>
    <s v="Tuesday"/>
    <s v="Monthly - Tuesday"/>
    <s v="Monthly - Tuesday"/>
    <s v="Same Month Expiry"/>
    <n v="1767544"/>
    <n v="2987.0088"/>
    <n v="34.9621"/>
  </r>
  <r>
    <s v="04-May-2026"/>
    <x v="0"/>
    <s v="Week1-May-2026"/>
    <x v="8"/>
    <s v="Q1FY27"/>
    <s v="30-Jun-2026"/>
    <s v="Tuesday"/>
    <s v="Monthly - Tuesday"/>
    <s v="Monthly - Tuesday"/>
    <s v="Month+1 Expiry"/>
    <n v="33202"/>
    <n v="57.5789"/>
    <n v="0.739"/>
  </r>
  <r>
    <s v="04-May-2026"/>
    <x v="0"/>
    <s v="Week1-May-2026"/>
    <x v="8"/>
    <s v="Q1FY27"/>
    <s v="28-Jul-2026"/>
    <s v="Tuesday"/>
    <s v="Monthly - Tuesday"/>
    <s v="Monthly - Tuesday"/>
    <s v="Month+2 Expiry"/>
    <n v="1352"/>
    <n v="2.2995"/>
    <n v="0.0578"/>
  </r>
  <r>
    <s v="04-May-2026"/>
    <x v="0"/>
    <s v="Week1-May-2026"/>
    <x v="8"/>
    <s v="Q1FY27"/>
    <s v="29-Sep-2026"/>
    <s v="Tuesday"/>
    <s v="Monthly - Tuesday"/>
    <s v="Monthly - Tuesday"/>
    <s v="Month+4 Expiry"/>
    <n v="201"/>
    <n v="0.3488"/>
    <n v="0.0066"/>
  </r>
  <r>
    <s v="04-May-2026"/>
    <x v="0"/>
    <s v="Week1-May-2026"/>
    <x v="8"/>
    <s v="Q1FY27"/>
    <s v="29-Dec-2026"/>
    <s v="Tuesday"/>
    <s v="Monthly - Tuesday"/>
    <s v="Monthly - Tuesday"/>
    <s v="Month+7 Expiry"/>
    <n v="0"/>
    <n v="0"/>
    <n v="0"/>
  </r>
  <r>
    <s v="04-May-2026"/>
    <x v="0"/>
    <s v="Week1-May-2026"/>
    <x v="8"/>
    <s v="Q1FY27"/>
    <s v="30-Mar-2027"/>
    <s v="Tuesday"/>
    <s v="Monthly - Tuesday"/>
    <s v="Monthly - Tuesday"/>
    <s v="Month+10 Expiry"/>
    <n v="0"/>
    <n v="0"/>
    <n v="0"/>
  </r>
  <r>
    <s v="05-May-2026"/>
    <x v="1"/>
    <s v="Week1-May-2026"/>
    <x v="8"/>
    <s v="Q1FY27"/>
    <s v="26-May-2026"/>
    <s v="Tuesday"/>
    <s v="Monthly - Tuesday"/>
    <s v="Monthly - Tuesday"/>
    <s v="Same Month Expiry"/>
    <n v="1802314"/>
    <n v="3020.2696"/>
    <n v="35.2089"/>
  </r>
  <r>
    <s v="05-May-2026"/>
    <x v="1"/>
    <s v="Week1-May-2026"/>
    <x v="8"/>
    <s v="Q1FY27"/>
    <s v="30-Jun-2026"/>
    <s v="Tuesday"/>
    <s v="Monthly - Tuesday"/>
    <s v="Monthly - Tuesday"/>
    <s v="Month+1 Expiry"/>
    <n v="37015"/>
    <n v="63.8188"/>
    <n v="0.8058"/>
  </r>
  <r>
    <s v="05-May-2026"/>
    <x v="1"/>
    <s v="Week1-May-2026"/>
    <x v="8"/>
    <s v="Q1FY27"/>
    <s v="28-Jul-2026"/>
    <s v="Tuesday"/>
    <s v="Monthly - Tuesday"/>
    <s v="Monthly - Tuesday"/>
    <s v="Month+2 Expiry"/>
    <n v="1540"/>
    <n v="2.595"/>
    <n v="0.0568"/>
  </r>
  <r>
    <s v="05-May-2026"/>
    <x v="1"/>
    <s v="Week1-May-2026"/>
    <x v="8"/>
    <s v="Q1FY27"/>
    <s v="29-Sep-2026"/>
    <s v="Tuesday"/>
    <s v="Monthly - Tuesday"/>
    <s v="Monthly - Tuesday"/>
    <s v="Month+4 Expiry"/>
    <n v="231"/>
    <n v="0.4064"/>
    <n v="0.0083"/>
  </r>
  <r>
    <s v="05-May-2026"/>
    <x v="1"/>
    <s v="Week1-May-2026"/>
    <x v="8"/>
    <s v="Q1FY27"/>
    <s v="29-Dec-2026"/>
    <s v="Tuesday"/>
    <s v="Monthly - Tuesday"/>
    <s v="Monthly - Tuesday"/>
    <s v="Month+7 Expiry"/>
    <n v="1"/>
    <n v="0.0018"/>
    <n v="0.0001"/>
  </r>
  <r>
    <s v="05-May-2026"/>
    <x v="1"/>
    <s v="Week1-May-2026"/>
    <x v="8"/>
    <s v="Q1FY27"/>
    <s v="30-Mar-2027"/>
    <s v="Tuesday"/>
    <s v="Monthly - Tuesday"/>
    <s v="Monthly - Tuesday"/>
    <s v="Month+10 Expiry"/>
    <n v="0"/>
    <n v="0"/>
    <n v="0"/>
  </r>
  <r>
    <s v="06-May-2026"/>
    <x v="2"/>
    <s v="Week1-May-2026"/>
    <x v="8"/>
    <s v="Q1FY27"/>
    <s v="26-May-2026"/>
    <s v="Tuesday"/>
    <s v="Monthly - Tuesday"/>
    <s v="Monthly - Tuesday"/>
    <s v="Same Month Expiry"/>
    <n v="3044751"/>
    <n v="5122.9406"/>
    <n v="53.9687"/>
  </r>
  <r>
    <s v="06-May-2026"/>
    <x v="2"/>
    <s v="Week1-May-2026"/>
    <x v="8"/>
    <s v="Q1FY27"/>
    <s v="30-Jun-2026"/>
    <s v="Tuesday"/>
    <s v="Monthly - Tuesday"/>
    <s v="Monthly - Tuesday"/>
    <s v="Month+1 Expiry"/>
    <n v="86772"/>
    <n v="147.0936"/>
    <n v="1.7706"/>
  </r>
  <r>
    <s v="06-May-2026"/>
    <x v="2"/>
    <s v="Week1-May-2026"/>
    <x v="8"/>
    <s v="Q1FY27"/>
    <s v="28-Jul-2026"/>
    <s v="Tuesday"/>
    <s v="Monthly - Tuesday"/>
    <s v="Monthly - Tuesday"/>
    <s v="Month+2 Expiry"/>
    <n v="4341"/>
    <n v="7.4399"/>
    <n v="0.1787"/>
  </r>
  <r>
    <s v="06-May-2026"/>
    <x v="2"/>
    <s v="Week1-May-2026"/>
    <x v="8"/>
    <s v="Q1FY27"/>
    <s v="29-Sep-2026"/>
    <s v="Tuesday"/>
    <s v="Monthly - Tuesday"/>
    <s v="Monthly - Tuesday"/>
    <s v="Month+4 Expiry"/>
    <n v="432"/>
    <n v="0.7495000000000001"/>
    <n v="0.0169"/>
  </r>
  <r>
    <s v="06-May-2026"/>
    <x v="2"/>
    <s v="Week1-May-2026"/>
    <x v="8"/>
    <s v="Q1FY27"/>
    <s v="29-Dec-2026"/>
    <s v="Tuesday"/>
    <s v="Monthly - Tuesday"/>
    <s v="Monthly - Tuesday"/>
    <s v="Month+7 Expiry"/>
    <n v="12"/>
    <n v="0.0183"/>
    <n v="0.0005"/>
  </r>
  <r>
    <s v="06-May-2026"/>
    <x v="2"/>
    <s v="Week1-May-2026"/>
    <x v="8"/>
    <s v="Q1FY27"/>
    <s v="30-Mar-2027"/>
    <s v="Tuesday"/>
    <s v="Monthly - Tuesday"/>
    <s v="Monthly - Tuesday"/>
    <s v="Month+10 Expiry"/>
    <n v="0"/>
    <n v="0"/>
    <n v="0"/>
  </r>
  <r>
    <s v="07-May-2026"/>
    <x v="3"/>
    <s v="Week1-May-2026"/>
    <x v="8"/>
    <s v="Q1FY27"/>
    <s v="26-May-2026"/>
    <s v="Tuesday"/>
    <s v="Monthly - Tuesday"/>
    <s v="Monthly - Tuesday"/>
    <s v="Same Month Expiry"/>
    <n v="2146088"/>
    <n v="3660.7045"/>
    <n v="38.2474"/>
  </r>
  <r>
    <s v="07-May-2026"/>
    <x v="3"/>
    <s v="Week1-May-2026"/>
    <x v="8"/>
    <s v="Q1FY27"/>
    <s v="30-Jun-2026"/>
    <s v="Tuesday"/>
    <s v="Monthly - Tuesday"/>
    <s v="Monthly - Tuesday"/>
    <s v="Month+1 Expiry"/>
    <n v="40308"/>
    <n v="68.614"/>
    <n v="0.9222"/>
  </r>
  <r>
    <s v="07-May-2026"/>
    <x v="3"/>
    <s v="Week1-May-2026"/>
    <x v="8"/>
    <s v="Q1FY27"/>
    <s v="28-Jul-2026"/>
    <s v="Tuesday"/>
    <s v="Monthly - Tuesday"/>
    <s v="Monthly - Tuesday"/>
    <s v="Month+2 Expiry"/>
    <n v="2085"/>
    <n v="3.5055"/>
    <n v="0.0718"/>
  </r>
  <r>
    <s v="07-May-2026"/>
    <x v="3"/>
    <s v="Week1-May-2026"/>
    <x v="8"/>
    <s v="Q1FY27"/>
    <s v="29-Sep-2026"/>
    <s v="Tuesday"/>
    <s v="Monthly - Tuesday"/>
    <s v="Monthly - Tuesday"/>
    <s v="Month+4 Expiry"/>
    <n v="340"/>
    <n v="0.5941"/>
    <n v="0.0122"/>
  </r>
  <r>
    <s v="07-May-2026"/>
    <x v="3"/>
    <s v="Week1-May-2026"/>
    <x v="8"/>
    <s v="Q1FY27"/>
    <s v="29-Dec-2026"/>
    <s v="Tuesday"/>
    <s v="Monthly - Tuesday"/>
    <s v="Monthly - Tuesday"/>
    <s v="Month+7 Expiry"/>
    <n v="30"/>
    <n v="0.0414"/>
    <n v="0.0004"/>
  </r>
  <r>
    <s v="07-May-2026"/>
    <x v="3"/>
    <s v="Week1-May-2026"/>
    <x v="8"/>
    <s v="Q1FY27"/>
    <s v="30-Mar-2027"/>
    <s v="Tuesday"/>
    <s v="Monthly - Tuesday"/>
    <s v="Monthly - Tuesday"/>
    <s v="Month+10 Expiry"/>
    <n v="0"/>
    <n v="0"/>
    <n v="0"/>
  </r>
  <r>
    <s v="08-May-2026"/>
    <x v="4"/>
    <s v="Week2-May-2026"/>
    <x v="8"/>
    <s v="Q1FY27"/>
    <s v="26-May-2026"/>
    <s v="Tuesday"/>
    <s v="Monthly - Tuesday"/>
    <s v="Monthly - Tuesday"/>
    <s v="Same Month Expiry"/>
    <n v="2286129"/>
    <n v="3860.5966"/>
    <n v="38.7298"/>
  </r>
  <r>
    <s v="08-May-2026"/>
    <x v="4"/>
    <s v="Week2-May-2026"/>
    <x v="8"/>
    <s v="Q1FY27"/>
    <s v="30-Jun-2026"/>
    <s v="Tuesday"/>
    <s v="Monthly - Tuesday"/>
    <s v="Monthly - Tuesday"/>
    <s v="Month+1 Expiry"/>
    <n v="41757"/>
    <n v="70.85809999999999"/>
    <n v="0.9257"/>
  </r>
  <r>
    <s v="08-May-2026"/>
    <x v="4"/>
    <s v="Week2-May-2026"/>
    <x v="8"/>
    <s v="Q1FY27"/>
    <s v="28-Jul-2026"/>
    <s v="Tuesday"/>
    <s v="Monthly - Tuesday"/>
    <s v="Monthly - Tuesday"/>
    <s v="Month+2 Expiry"/>
    <n v="3861"/>
    <n v="6.6362"/>
    <n v="0.153"/>
  </r>
  <r>
    <s v="08-May-2026"/>
    <x v="4"/>
    <s v="Week2-May-2026"/>
    <x v="8"/>
    <s v="Q1FY27"/>
    <s v="29-Sep-2026"/>
    <s v="Tuesday"/>
    <s v="Monthly - Tuesday"/>
    <s v="Monthly - Tuesday"/>
    <s v="Month+4 Expiry"/>
    <n v="260"/>
    <n v="0.4532"/>
    <n v="0.0098"/>
  </r>
  <r>
    <s v="08-May-2026"/>
    <x v="4"/>
    <s v="Week2-May-2026"/>
    <x v="8"/>
    <s v="Q1FY27"/>
    <s v="29-Dec-2026"/>
    <s v="Tuesday"/>
    <s v="Monthly - Tuesday"/>
    <s v="Monthly - Tuesday"/>
    <s v="Month+7 Expiry"/>
    <n v="19"/>
    <n v="0.0258"/>
    <n v="0.0002"/>
  </r>
  <r>
    <s v="08-May-2026"/>
    <x v="4"/>
    <s v="Week2-May-2026"/>
    <x v="8"/>
    <s v="Q1FY27"/>
    <s v="30-Mar-2027"/>
    <s v="Tuesday"/>
    <s v="Monthly - Tuesday"/>
    <s v="Monthly - Tuesday"/>
    <s v="Month+10 Expiry"/>
    <n v="0"/>
    <n v="0"/>
    <n v="0"/>
  </r>
  <r>
    <s v="11-May-2026"/>
    <x v="0"/>
    <s v="Week2-May-2026"/>
    <x v="8"/>
    <s v="Q1FY27"/>
    <s v="26-May-2026"/>
    <s v="Tuesday"/>
    <s v="Monthly - Tuesday"/>
    <s v="Monthly - Tuesday"/>
    <s v="Same Month Expiry"/>
    <n v="2634472"/>
    <n v="4413.5415"/>
    <n v="43.338"/>
  </r>
  <r>
    <s v="11-May-2026"/>
    <x v="0"/>
    <s v="Week2-May-2026"/>
    <x v="8"/>
    <s v="Q1FY27"/>
    <s v="30-Jun-2026"/>
    <s v="Tuesday"/>
    <s v="Monthly - Tuesday"/>
    <s v="Monthly - Tuesday"/>
    <s v="Month+1 Expiry"/>
    <n v="64400"/>
    <n v="110.3122"/>
    <n v="1.4211"/>
  </r>
  <r>
    <s v="11-May-2026"/>
    <x v="0"/>
    <s v="Week2-May-2026"/>
    <x v="8"/>
    <s v="Q1FY27"/>
    <s v="28-Jul-2026"/>
    <s v="Tuesday"/>
    <s v="Monthly - Tuesday"/>
    <s v="Monthly - Tuesday"/>
    <s v="Month+2 Expiry"/>
    <n v="4072"/>
    <n v="6.941"/>
    <n v="0.1557"/>
  </r>
  <r>
    <s v="11-May-2026"/>
    <x v="0"/>
    <s v="Week2-May-2026"/>
    <x v="8"/>
    <s v="Q1FY27"/>
    <s v="29-Sep-2026"/>
    <s v="Tuesday"/>
    <s v="Monthly - Tuesday"/>
    <s v="Monthly - Tuesday"/>
    <s v="Month+4 Expiry"/>
    <n v="443"/>
    <n v="0.7634"/>
    <n v="0.0147"/>
  </r>
  <r>
    <s v="11-May-2026"/>
    <x v="0"/>
    <s v="Week2-May-2026"/>
    <x v="8"/>
    <s v="Q1FY27"/>
    <s v="29-Dec-2026"/>
    <s v="Tuesday"/>
    <s v="Monthly - Tuesday"/>
    <s v="Monthly - Tuesday"/>
    <s v="Month+7 Expiry"/>
    <n v="0"/>
    <n v="0"/>
    <n v="0"/>
  </r>
  <r>
    <s v="11-May-2026"/>
    <x v="0"/>
    <s v="Week2-May-2026"/>
    <x v="8"/>
    <s v="Q1FY27"/>
    <s v="30-Mar-2027"/>
    <s v="Tuesday"/>
    <s v="Monthly - Tuesday"/>
    <s v="Monthly - Tuesday"/>
    <s v="Month+10 Expiry"/>
    <n v="0"/>
    <n v="0"/>
    <n v="0"/>
  </r>
  <r>
    <s v="12-May-2026"/>
    <x v="1"/>
    <s v="Week2-May-2026"/>
    <x v="8"/>
    <s v="Q1FY27"/>
    <s v="26-May-2026"/>
    <s v="Tuesday"/>
    <s v="Monthly - Tuesday"/>
    <s v="Monthly - Tuesday"/>
    <s v="Same Month Expiry"/>
    <n v="2490093"/>
    <n v="4137.5951"/>
    <n v="41.0856"/>
  </r>
  <r>
    <s v="12-May-2026"/>
    <x v="1"/>
    <s v="Week2-May-2026"/>
    <x v="8"/>
    <s v="Q1FY27"/>
    <s v="30-Jun-2026"/>
    <s v="Tuesday"/>
    <s v="Monthly - Tuesday"/>
    <s v="Monthly - Tuesday"/>
    <s v="Month+1 Expiry"/>
    <n v="73595"/>
    <n v="124.1664"/>
    <n v="1.8205"/>
  </r>
  <r>
    <s v="12-May-2026"/>
    <x v="1"/>
    <s v="Week2-May-2026"/>
    <x v="8"/>
    <s v="Q1FY27"/>
    <s v="28-Jul-2026"/>
    <s v="Tuesday"/>
    <s v="Monthly - Tuesday"/>
    <s v="Monthly - Tuesday"/>
    <s v="Month+2 Expiry"/>
    <n v="5661"/>
    <n v="9.493499999999999"/>
    <n v="0.2291"/>
  </r>
  <r>
    <s v="12-May-2026"/>
    <x v="1"/>
    <s v="Week2-May-2026"/>
    <x v="8"/>
    <s v="Q1FY27"/>
    <s v="29-Sep-2026"/>
    <s v="Tuesday"/>
    <s v="Monthly - Tuesday"/>
    <s v="Monthly - Tuesday"/>
    <s v="Month+4 Expiry"/>
    <n v="493"/>
    <n v="0.854"/>
    <n v="0.0181"/>
  </r>
  <r>
    <s v="12-May-2026"/>
    <x v="1"/>
    <s v="Week2-May-2026"/>
    <x v="8"/>
    <s v="Q1FY27"/>
    <s v="29-Dec-2026"/>
    <s v="Tuesday"/>
    <s v="Monthly - Tuesday"/>
    <s v="Monthly - Tuesday"/>
    <s v="Month+7 Expiry"/>
    <n v="1"/>
    <n v="0.0015"/>
    <n v="0"/>
  </r>
  <r>
    <s v="12-May-2026"/>
    <x v="1"/>
    <s v="Week2-May-2026"/>
    <x v="8"/>
    <s v="Q1FY27"/>
    <s v="30-Mar-2027"/>
    <s v="Tuesday"/>
    <s v="Monthly - Tuesday"/>
    <s v="Monthly - Tuesday"/>
    <s v="Month+10 Expiry"/>
    <n v="0"/>
    <n v="0"/>
    <n v="0"/>
  </r>
  <r>
    <s v="13-May-2026"/>
    <x v="2"/>
    <s v="Week2-May-2026"/>
    <x v="8"/>
    <s v="Q1FY27"/>
    <s v="26-May-2026"/>
    <s v="Tuesday"/>
    <s v="Monthly - Tuesday"/>
    <s v="Monthly - Tuesday"/>
    <s v="Same Month Expiry"/>
    <n v="2989323"/>
    <n v="4928.5698"/>
    <n v="49.6001"/>
  </r>
  <r>
    <s v="13-May-2026"/>
    <x v="2"/>
    <s v="Week2-May-2026"/>
    <x v="8"/>
    <s v="Q1FY27"/>
    <s v="30-Jun-2026"/>
    <s v="Tuesday"/>
    <s v="Monthly - Tuesday"/>
    <s v="Monthly - Tuesday"/>
    <s v="Month+1 Expiry"/>
    <n v="79357"/>
    <n v="134.4018"/>
    <n v="1.9887"/>
  </r>
  <r>
    <s v="13-May-2026"/>
    <x v="2"/>
    <s v="Week2-May-2026"/>
    <x v="8"/>
    <s v="Q1FY27"/>
    <s v="28-Jul-2026"/>
    <s v="Tuesday"/>
    <s v="Monthly - Tuesday"/>
    <s v="Monthly - Tuesday"/>
    <s v="Month+2 Expiry"/>
    <n v="4106"/>
    <n v="6.9549"/>
    <n v="0.1749"/>
  </r>
  <r>
    <s v="13-May-2026"/>
    <x v="2"/>
    <s v="Week2-May-2026"/>
    <x v="8"/>
    <s v="Q1FY27"/>
    <s v="29-Sep-2026"/>
    <s v="Tuesday"/>
    <s v="Monthly - Tuesday"/>
    <s v="Monthly - Tuesday"/>
    <s v="Month+4 Expiry"/>
    <n v="394"/>
    <n v="0.6775"/>
    <n v="0.0133"/>
  </r>
  <r>
    <s v="13-May-2026"/>
    <x v="2"/>
    <s v="Week2-May-2026"/>
    <x v="8"/>
    <s v="Q1FY27"/>
    <s v="29-Dec-2026"/>
    <s v="Tuesday"/>
    <s v="Monthly - Tuesday"/>
    <s v="Monthly - Tuesday"/>
    <s v="Month+7 Expiry"/>
    <n v="1"/>
    <n v="0.0015"/>
    <n v="0"/>
  </r>
  <r>
    <s v="13-May-2026"/>
    <x v="2"/>
    <s v="Week2-May-2026"/>
    <x v="8"/>
    <s v="Q1FY27"/>
    <s v="30-Mar-2027"/>
    <s v="Tuesday"/>
    <s v="Monthly - Tuesday"/>
    <s v="Monthly - Tuesday"/>
    <s v="Month+10 Expiry"/>
    <n v="0"/>
    <n v="0"/>
    <n v="0"/>
  </r>
  <r>
    <s v="14-May-2026"/>
    <x v="3"/>
    <s v="Week2-May-2026"/>
    <x v="8"/>
    <s v="Q1FY27"/>
    <s v="26-May-2026"/>
    <s v="Tuesday"/>
    <s v="Monthly - Tuesday"/>
    <s v="Monthly - Tuesday"/>
    <s v="Same Month Expiry"/>
    <n v="3187916"/>
    <n v="5263.3861"/>
    <n v="48.7613"/>
  </r>
  <r>
    <s v="14-May-2026"/>
    <x v="3"/>
    <s v="Week2-May-2026"/>
    <x v="8"/>
    <s v="Q1FY27"/>
    <s v="30-Jun-2026"/>
    <s v="Tuesday"/>
    <s v="Monthly - Tuesday"/>
    <s v="Monthly - Tuesday"/>
    <s v="Month+1 Expiry"/>
    <n v="85290"/>
    <n v="144.7789"/>
    <n v="1.949"/>
  </r>
  <r>
    <s v="14-May-2026"/>
    <x v="3"/>
    <s v="Week2-May-2026"/>
    <x v="8"/>
    <s v="Q1FY27"/>
    <s v="28-Jul-2026"/>
    <s v="Tuesday"/>
    <s v="Monthly - Tuesday"/>
    <s v="Monthly - Tuesday"/>
    <s v="Month+2 Expiry"/>
    <n v="4184"/>
    <n v="7.1"/>
    <n v="0.1692"/>
  </r>
  <r>
    <s v="14-May-2026"/>
    <x v="3"/>
    <s v="Week2-May-2026"/>
    <x v="8"/>
    <s v="Q1FY27"/>
    <s v="29-Sep-2026"/>
    <s v="Tuesday"/>
    <s v="Monthly - Tuesday"/>
    <s v="Monthly - Tuesday"/>
    <s v="Month+4 Expiry"/>
    <n v="303"/>
    <n v="0.5206"/>
    <n v="0.0102"/>
  </r>
  <r>
    <s v="14-May-2026"/>
    <x v="3"/>
    <s v="Week2-May-2026"/>
    <x v="8"/>
    <s v="Q1FY27"/>
    <s v="29-Dec-2026"/>
    <s v="Tuesday"/>
    <s v="Monthly - Tuesday"/>
    <s v="Monthly - Tuesday"/>
    <s v="Month+7 Expiry"/>
    <n v="6"/>
    <n v="0.0105"/>
    <n v="0.0005999999999999999"/>
  </r>
  <r>
    <s v="14-May-2026"/>
    <x v="3"/>
    <s v="Week2-May-2026"/>
    <x v="8"/>
    <s v="Q1FY27"/>
    <s v="30-Mar-2027"/>
    <s v="Tuesday"/>
    <s v="Monthly - Tuesday"/>
    <s v="Monthly - Tuesday"/>
    <s v="Month+10 Expiry"/>
    <n v="0"/>
    <n v="0"/>
    <n v="0"/>
  </r>
  <r>
    <s v="15-May-2026"/>
    <x v="4"/>
    <s v="Week3-May-2026"/>
    <x v="8"/>
    <s v="Q1FY27"/>
    <s v="26-May-2026"/>
    <s v="Tuesday"/>
    <s v="Monthly - Tuesday"/>
    <s v="Monthly - Tuesday"/>
    <s v="Same Month Expiry"/>
    <n v="3112842"/>
    <n v="5152.468"/>
    <n v="45.8627"/>
  </r>
  <r>
    <s v="15-May-2026"/>
    <x v="4"/>
    <s v="Week3-May-2026"/>
    <x v="8"/>
    <s v="Q1FY27"/>
    <s v="30-Jun-2026"/>
    <s v="Tuesday"/>
    <s v="Monthly - Tuesday"/>
    <s v="Monthly - Tuesday"/>
    <s v="Month+1 Expiry"/>
    <n v="175767"/>
    <n v="309.4049"/>
    <n v="3.0546"/>
  </r>
  <r>
    <s v="15-May-2026"/>
    <x v="4"/>
    <s v="Week3-May-2026"/>
    <x v="8"/>
    <s v="Q1FY27"/>
    <s v="28-Jul-2026"/>
    <s v="Tuesday"/>
    <s v="Monthly - Tuesday"/>
    <s v="Monthly - Tuesday"/>
    <s v="Month+2 Expiry"/>
    <n v="5173"/>
    <n v="8.8726"/>
    <n v="0.1883"/>
  </r>
  <r>
    <s v="15-May-2026"/>
    <x v="4"/>
    <s v="Week3-May-2026"/>
    <x v="8"/>
    <s v="Q1FY27"/>
    <s v="29-Sep-2026"/>
    <s v="Tuesday"/>
    <s v="Monthly - Tuesday"/>
    <s v="Monthly - Tuesday"/>
    <s v="Month+4 Expiry"/>
    <n v="266"/>
    <n v="0.4655"/>
    <n v="0.0081"/>
  </r>
  <r>
    <s v="15-May-2026"/>
    <x v="4"/>
    <s v="Week3-May-2026"/>
    <x v="8"/>
    <s v="Q1FY27"/>
    <s v="29-Dec-2026"/>
    <s v="Tuesday"/>
    <s v="Monthly - Tuesday"/>
    <s v="Monthly - Tuesday"/>
    <s v="Month+7 Expiry"/>
    <n v="14"/>
    <n v="0.0249"/>
    <n v="0.001"/>
  </r>
  <r>
    <s v="15-May-2026"/>
    <x v="4"/>
    <s v="Week3-May-2026"/>
    <x v="8"/>
    <s v="Q1FY27"/>
    <s v="30-Mar-2027"/>
    <s v="Tuesday"/>
    <s v="Monthly - Tuesday"/>
    <s v="Monthly - Tuesday"/>
    <s v="Month+10 Expiry"/>
    <n v="0"/>
    <n v="0"/>
    <n v="0"/>
  </r>
  <r>
    <s v="18-May-2026"/>
    <x v="0"/>
    <s v="Week3-May-2026"/>
    <x v="8"/>
    <s v="Q1FY27"/>
    <s v="26-May-2026"/>
    <s v="Tuesday"/>
    <s v="Monthly - Tuesday"/>
    <s v="Monthly - Tuesday"/>
    <s v="Same Month Expiry"/>
    <n v="3798263"/>
    <n v="6225.8678"/>
    <n v="51.7975"/>
  </r>
  <r>
    <s v="18-May-2026"/>
    <x v="0"/>
    <s v="Week3-May-2026"/>
    <x v="8"/>
    <s v="Q1FY27"/>
    <s v="30-Jun-2026"/>
    <s v="Tuesday"/>
    <s v="Monthly - Tuesday"/>
    <s v="Monthly - Tuesday"/>
    <s v="Month+1 Expiry"/>
    <n v="202314"/>
    <n v="350.9397"/>
    <n v="4.7636"/>
  </r>
  <r>
    <s v="18-May-2026"/>
    <x v="0"/>
    <s v="Week3-May-2026"/>
    <x v="8"/>
    <s v="Q1FY27"/>
    <s v="28-Jul-2026"/>
    <s v="Tuesday"/>
    <s v="Monthly - Tuesday"/>
    <s v="Monthly - Tuesday"/>
    <s v="Month+2 Expiry"/>
    <n v="6807"/>
    <n v="11.5066"/>
    <n v="0.2233"/>
  </r>
  <r>
    <s v="18-May-2026"/>
    <x v="0"/>
    <s v="Week3-May-2026"/>
    <x v="8"/>
    <s v="Q1FY27"/>
    <s v="29-Sep-2026"/>
    <s v="Tuesday"/>
    <s v="Monthly - Tuesday"/>
    <s v="Monthly - Tuesday"/>
    <s v="Month+4 Expiry"/>
    <n v="464"/>
    <n v="0.798"/>
    <n v="0.0167"/>
  </r>
  <r>
    <s v="18-May-2026"/>
    <x v="0"/>
    <s v="Week3-May-2026"/>
    <x v="8"/>
    <s v="Q1FY27"/>
    <s v="29-Dec-2026"/>
    <s v="Tuesday"/>
    <s v="Monthly - Tuesday"/>
    <s v="Monthly - Tuesday"/>
    <s v="Month+7 Expiry"/>
    <n v="15"/>
    <n v="0.0254"/>
    <n v="0.0011"/>
  </r>
  <r>
    <s v="18-May-2026"/>
    <x v="0"/>
    <s v="Week3-May-2026"/>
    <x v="8"/>
    <s v="Q1FY27"/>
    <s v="30-Mar-2027"/>
    <s v="Tuesday"/>
    <s v="Monthly - Tuesday"/>
    <s v="Monthly - Tuesday"/>
    <s v="Month+10 Expiry"/>
    <n v="0"/>
    <n v="0"/>
    <n v="0"/>
  </r>
  <r>
    <s v="19-May-2026"/>
    <x v="1"/>
    <s v="Week3-May-2026"/>
    <x v="8"/>
    <s v="Q1FY27"/>
    <s v="26-May-2026"/>
    <s v="Tuesday"/>
    <s v="Monthly - Tuesday"/>
    <s v="Monthly - Tuesday"/>
    <s v="Same Month Expiry"/>
    <n v="3135913"/>
    <n v="5133.957"/>
    <n v="36.6672"/>
  </r>
  <r>
    <s v="19-May-2026"/>
    <x v="1"/>
    <s v="Week3-May-2026"/>
    <x v="8"/>
    <s v="Q1FY27"/>
    <s v="30-Jun-2026"/>
    <s v="Tuesday"/>
    <s v="Monthly - Tuesday"/>
    <s v="Monthly - Tuesday"/>
    <s v="Month+1 Expiry"/>
    <n v="149854"/>
    <n v="262.7127"/>
    <n v="3.35"/>
  </r>
  <r>
    <s v="19-May-2026"/>
    <x v="1"/>
    <s v="Week3-May-2026"/>
    <x v="8"/>
    <s v="Q1FY27"/>
    <s v="28-Jul-2026"/>
    <s v="Tuesday"/>
    <s v="Monthly - Tuesday"/>
    <s v="Monthly - Tuesday"/>
    <s v="Month+2 Expiry"/>
    <n v="2913"/>
    <n v="4.9424"/>
    <n v="0.1095"/>
  </r>
  <r>
    <s v="19-May-2026"/>
    <x v="1"/>
    <s v="Week3-May-2026"/>
    <x v="8"/>
    <s v="Q1FY27"/>
    <s v="29-Sep-2026"/>
    <s v="Tuesday"/>
    <s v="Monthly - Tuesday"/>
    <s v="Monthly - Tuesday"/>
    <s v="Month+4 Expiry"/>
    <n v="185"/>
    <n v="0.3164"/>
    <n v="0.007"/>
  </r>
  <r>
    <s v="19-May-2026"/>
    <x v="1"/>
    <s v="Week3-May-2026"/>
    <x v="8"/>
    <s v="Q1FY27"/>
    <s v="29-Dec-2026"/>
    <s v="Tuesday"/>
    <s v="Monthly - Tuesday"/>
    <s v="Monthly - Tuesday"/>
    <s v="Month+7 Expiry"/>
    <n v="26"/>
    <n v="0.043"/>
    <n v="0.0011"/>
  </r>
  <r>
    <s v="19-May-2026"/>
    <x v="1"/>
    <s v="Week3-May-2026"/>
    <x v="8"/>
    <s v="Q1FY27"/>
    <s v="30-Mar-2027"/>
    <s v="Tuesday"/>
    <s v="Monthly - Tuesday"/>
    <s v="Monthly - Tuesday"/>
    <s v="Month+10 Expiry"/>
    <n v="0"/>
    <n v="0"/>
    <n v="0"/>
  </r>
  <r>
    <s v="20-May-2026"/>
    <x v="2"/>
    <s v="Week3-May-2026"/>
    <x v="8"/>
    <s v="Q1FY27"/>
    <s v="26-May-2026"/>
    <s v="Tuesday"/>
    <s v="Monthly - Tuesday"/>
    <s v="Monthly - Tuesday"/>
    <s v="Same Month Expiry"/>
    <n v="5188850"/>
    <n v="8450.833000000001"/>
    <n v="53.3951"/>
  </r>
  <r>
    <s v="20-May-2026"/>
    <x v="2"/>
    <s v="Week3-May-2026"/>
    <x v="8"/>
    <s v="Q1FY27"/>
    <s v="30-Jun-2026"/>
    <s v="Tuesday"/>
    <s v="Monthly - Tuesday"/>
    <s v="Monthly - Tuesday"/>
    <s v="Month+1 Expiry"/>
    <n v="221112"/>
    <n v="381.0389"/>
    <n v="5.7342"/>
  </r>
  <r>
    <s v="20-May-2026"/>
    <x v="2"/>
    <s v="Week3-May-2026"/>
    <x v="8"/>
    <s v="Q1FY27"/>
    <s v="28-Jul-2026"/>
    <s v="Tuesday"/>
    <s v="Monthly - Tuesday"/>
    <s v="Monthly - Tuesday"/>
    <s v="Month+2 Expiry"/>
    <n v="6345"/>
    <n v="10.5972"/>
    <n v="0.2231"/>
  </r>
  <r>
    <s v="20-May-2026"/>
    <x v="2"/>
    <s v="Week3-May-2026"/>
    <x v="8"/>
    <s v="Q1FY27"/>
    <s v="29-Sep-2026"/>
    <s v="Tuesday"/>
    <s v="Monthly - Tuesday"/>
    <s v="Monthly - Tuesday"/>
    <s v="Month+4 Expiry"/>
    <n v="517"/>
    <n v="0.8893"/>
    <n v="0.0194"/>
  </r>
  <r>
    <s v="20-May-2026"/>
    <x v="2"/>
    <s v="Week3-May-2026"/>
    <x v="8"/>
    <s v="Q1FY27"/>
    <s v="29-Dec-2026"/>
    <s v="Tuesday"/>
    <s v="Monthly - Tuesday"/>
    <s v="Monthly - Tuesday"/>
    <s v="Month+7 Expiry"/>
    <n v="21"/>
    <n v="0.0356"/>
    <n v="0.0014"/>
  </r>
  <r>
    <s v="20-May-2026"/>
    <x v="2"/>
    <s v="Week3-May-2026"/>
    <x v="8"/>
    <s v="Q1FY27"/>
    <s v="30-Mar-2027"/>
    <s v="Tuesday"/>
    <s v="Monthly - Tuesday"/>
    <s v="Monthly - Tuesday"/>
    <s v="Month+10 Expiry"/>
    <n v="0"/>
    <n v="0"/>
    <n v="0"/>
  </r>
  <r>
    <s v="21-May-2026"/>
    <x v="3"/>
    <s v="Week3-May-2026"/>
    <x v="8"/>
    <s v="Q1FY27"/>
    <s v="26-May-2026"/>
    <s v="Tuesday"/>
    <s v="Monthly - Tuesday"/>
    <s v="Monthly - Tuesday"/>
    <s v="Same Month Expiry"/>
    <n v="5824458"/>
    <n v="9498.6651"/>
    <n v="48.5728"/>
  </r>
  <r>
    <s v="21-May-2026"/>
    <x v="3"/>
    <s v="Week3-May-2026"/>
    <x v="8"/>
    <s v="Q1FY27"/>
    <s v="30-Jun-2026"/>
    <s v="Tuesday"/>
    <s v="Monthly - Tuesday"/>
    <s v="Monthly - Tuesday"/>
    <s v="Month+1 Expiry"/>
    <n v="250807"/>
    <n v="426.7793"/>
    <n v="6.4572"/>
  </r>
  <r>
    <s v="21-May-2026"/>
    <x v="3"/>
    <s v="Week3-May-2026"/>
    <x v="8"/>
    <s v="Q1FY27"/>
    <s v="28-Jul-2026"/>
    <s v="Tuesday"/>
    <s v="Monthly - Tuesday"/>
    <s v="Monthly - Tuesday"/>
    <s v="Month+2 Expiry"/>
    <n v="6595"/>
    <n v="11.1192"/>
    <n v="0.2279"/>
  </r>
  <r>
    <s v="21-May-2026"/>
    <x v="3"/>
    <s v="Week3-May-2026"/>
    <x v="8"/>
    <s v="Q1FY27"/>
    <s v="29-Sep-2026"/>
    <s v="Tuesday"/>
    <s v="Monthly - Tuesday"/>
    <s v="Monthly - Tuesday"/>
    <s v="Month+4 Expiry"/>
    <n v="502"/>
    <n v="0.8625"/>
    <n v="0.0221"/>
  </r>
  <r>
    <s v="21-May-2026"/>
    <x v="3"/>
    <s v="Week3-May-2026"/>
    <x v="8"/>
    <s v="Q1FY27"/>
    <s v="29-Dec-2026"/>
    <s v="Tuesday"/>
    <s v="Monthly - Tuesday"/>
    <s v="Monthly - Tuesday"/>
    <s v="Month+7 Expiry"/>
    <n v="19"/>
    <n v="0.0324"/>
    <n v="0.0011"/>
  </r>
  <r>
    <s v="21-May-2026"/>
    <x v="3"/>
    <s v="Week3-May-2026"/>
    <x v="8"/>
    <s v="Q1FY27"/>
    <s v="30-Mar-2027"/>
    <s v="Tuesday"/>
    <s v="Monthly - Tuesday"/>
    <s v="Monthly - Tuesday"/>
    <s v="Month+10 Expiry"/>
    <n v="0"/>
    <n v="0"/>
    <n v="0"/>
  </r>
  <r>
    <s v="22-May-2026"/>
    <x v="4"/>
    <s v="Week4-May-2026"/>
    <x v="8"/>
    <s v="Q1FY27"/>
    <s v="26-May-2026"/>
    <s v="Tuesday"/>
    <s v="Monthly - Tuesday"/>
    <s v="Monthly - Tuesday"/>
    <s v="Same Month Expiry"/>
    <n v="9184146"/>
    <n v="15033.8902"/>
    <n v="67.343"/>
  </r>
  <r>
    <s v="22-May-2026"/>
    <x v="4"/>
    <s v="Week4-May-2026"/>
    <x v="8"/>
    <s v="Q1FY27"/>
    <s v="30-Jun-2026"/>
    <s v="Tuesday"/>
    <s v="Monthly - Tuesday"/>
    <s v="Monthly - Tuesday"/>
    <s v="Month+1 Expiry"/>
    <n v="352471"/>
    <n v="597.9001"/>
    <n v="9.773099999999999"/>
  </r>
  <r>
    <s v="22-May-2026"/>
    <x v="4"/>
    <s v="Week4-May-2026"/>
    <x v="8"/>
    <s v="Q1FY27"/>
    <s v="28-Jul-2026"/>
    <s v="Tuesday"/>
    <s v="Monthly - Tuesday"/>
    <s v="Monthly - Tuesday"/>
    <s v="Month+2 Expiry"/>
    <n v="8441"/>
    <n v="14.2495"/>
    <n v="0.2413"/>
  </r>
  <r>
    <s v="22-May-2026"/>
    <x v="4"/>
    <s v="Week4-May-2026"/>
    <x v="8"/>
    <s v="Q1FY27"/>
    <s v="29-Sep-2026"/>
    <s v="Tuesday"/>
    <s v="Monthly - Tuesday"/>
    <s v="Monthly - Tuesday"/>
    <s v="Month+4 Expiry"/>
    <n v="668"/>
    <n v="1.1576"/>
    <n v="0.0205"/>
  </r>
  <r>
    <s v="22-May-2026"/>
    <x v="4"/>
    <s v="Week4-May-2026"/>
    <x v="8"/>
    <s v="Q1FY27"/>
    <s v="29-Dec-2026"/>
    <s v="Tuesday"/>
    <s v="Monthly - Tuesday"/>
    <s v="Monthly - Tuesday"/>
    <s v="Month+7 Expiry"/>
    <n v="62"/>
    <n v="0.1105"/>
    <n v="0.0038"/>
  </r>
  <r>
    <s v="22-May-2026"/>
    <x v="4"/>
    <s v="Week4-May-2026"/>
    <x v="8"/>
    <s v="Q1FY27"/>
    <s v="30-Mar-2027"/>
    <s v="Tuesday"/>
    <s v="Monthly - Tuesday"/>
    <s v="Monthly - Tuesday"/>
    <s v="Month+10 Expiry"/>
    <n v="0"/>
    <n v="0"/>
    <n v="0"/>
  </r>
  <r>
    <s v="25-May-2026"/>
    <x v="0"/>
    <s v="Week4-May-2026"/>
    <x v="8"/>
    <s v="Q1FY27"/>
    <s v="26-May-2026"/>
    <s v="Tuesday"/>
    <s v="Monthly - Tuesday"/>
    <s v="Monthly - Tuesday"/>
    <s v="Same Month Expiry"/>
    <n v="16090631"/>
    <n v="26655.9037"/>
    <n v="79.5774"/>
  </r>
  <r>
    <s v="25-May-2026"/>
    <x v="0"/>
    <s v="Week4-May-2026"/>
    <x v="8"/>
    <s v="Q1FY27"/>
    <s v="30-Jun-2026"/>
    <s v="Tuesday"/>
    <s v="Monthly - Tuesday"/>
    <s v="Monthly - Tuesday"/>
    <s v="Month+1 Expiry"/>
    <n v="571878"/>
    <n v="962.7992"/>
    <n v="13.8522"/>
  </r>
  <r>
    <s v="25-May-2026"/>
    <x v="0"/>
    <s v="Week4-May-2026"/>
    <x v="8"/>
    <s v="Q1FY27"/>
    <s v="28-Jul-2026"/>
    <s v="Tuesday"/>
    <s v="Monthly - Tuesday"/>
    <s v="Monthly - Tuesday"/>
    <s v="Month+2 Expiry"/>
    <n v="18692"/>
    <n v="30.7746"/>
    <n v="0.4598"/>
  </r>
  <r>
    <s v="25-May-2026"/>
    <x v="0"/>
    <s v="Week4-May-2026"/>
    <x v="8"/>
    <s v="Q1FY27"/>
    <s v="29-Sep-2026"/>
    <s v="Tuesday"/>
    <s v="Monthly - Tuesday"/>
    <s v="Monthly - Tuesday"/>
    <s v="Month+4 Expiry"/>
    <n v="1803"/>
    <n v="3.1854"/>
    <n v="0.0487"/>
  </r>
  <r>
    <s v="25-May-2026"/>
    <x v="0"/>
    <s v="Week4-May-2026"/>
    <x v="8"/>
    <s v="Q1FY27"/>
    <s v="29-Dec-2026"/>
    <s v="Tuesday"/>
    <s v="Monthly - Tuesday"/>
    <s v="Monthly - Tuesday"/>
    <s v="Month+7 Expiry"/>
    <n v="50"/>
    <n v="0.0896"/>
    <n v="0.003"/>
  </r>
  <r>
    <s v="25-May-2026"/>
    <x v="0"/>
    <s v="Week4-May-2026"/>
    <x v="8"/>
    <s v="Q1FY27"/>
    <s v="30-Mar-2027"/>
    <s v="Tuesday"/>
    <s v="Monthly - Tuesday"/>
    <s v="Monthly - Tuesday"/>
    <s v="Month+10 Expiry"/>
    <n v="0"/>
    <n v="0"/>
    <n v="0"/>
  </r>
  <r>
    <s v="26-May-2026"/>
    <x v="1"/>
    <s v="Week4-May-2026"/>
    <x v="8"/>
    <s v="Q1FY27"/>
    <s v="26-May-2026"/>
    <s v="Tuesday"/>
    <s v="Monthly - Tuesday"/>
    <s v="Monthly - Tuesday"/>
    <s v="Same Month Expiry"/>
    <n v="96694212"/>
    <n v="160619.5662"/>
    <n v="176.1435"/>
  </r>
  <r>
    <s v="26-May-2026"/>
    <x v="1"/>
    <s v="Week4-May-2026"/>
    <x v="8"/>
    <s v="Q1FY27"/>
    <s v="30-Jun-2026"/>
    <s v="Tuesday"/>
    <s v="Monthly - Tuesday"/>
    <s v="Monthly - Tuesday"/>
    <s v="Month+1 Expiry"/>
    <n v="711453"/>
    <n v="1203.513"/>
    <n v="16.8689"/>
  </r>
  <r>
    <s v="26-May-2026"/>
    <x v="1"/>
    <s v="Week4-May-2026"/>
    <x v="8"/>
    <s v="Q1FY27"/>
    <s v="28-Jul-2026"/>
    <s v="Tuesday"/>
    <s v="Monthly - Tuesday"/>
    <s v="Monthly - Tuesday"/>
    <s v="Month+2 Expiry"/>
    <n v="18448"/>
    <n v="30.6715"/>
    <n v="0.3816"/>
  </r>
  <r>
    <s v="26-May-2026"/>
    <x v="1"/>
    <s v="Week4-May-2026"/>
    <x v="8"/>
    <s v="Q1FY27"/>
    <s v="29-Sep-2026"/>
    <s v="Tuesday"/>
    <s v="Monthly - Tuesday"/>
    <s v="Monthly - Tuesday"/>
    <s v="Month+4 Expiry"/>
    <n v="854"/>
    <n v="1.4827"/>
    <n v="0.0256"/>
  </r>
  <r>
    <s v="26-May-2026"/>
    <x v="1"/>
    <s v="Week4-May-2026"/>
    <x v="8"/>
    <s v="Q1FY27"/>
    <s v="29-Dec-2026"/>
    <s v="Tuesday"/>
    <s v="Monthly - Tuesday"/>
    <s v="Monthly - Tuesday"/>
    <s v="Month+7 Expiry"/>
    <n v="21"/>
    <n v="0.0363"/>
    <n v="0.0011"/>
  </r>
  <r>
    <s v="26-May-2026"/>
    <x v="1"/>
    <s v="Week4-May-2026"/>
    <x v="8"/>
    <s v="Q1FY27"/>
    <s v="30-Mar-2027"/>
    <s v="Tuesday"/>
    <s v="Monthly - Tuesday"/>
    <s v="Monthly - Tuesday"/>
    <s v="Month+10 Expiry"/>
    <n v="0"/>
    <n v="0"/>
    <n v="0"/>
  </r>
  <r>
    <s v="27-May-2026"/>
    <x v="2"/>
    <s v="Week4-May-2026"/>
    <x v="8"/>
    <s v="Q1FY27"/>
    <s v="30-Jun-2026"/>
    <s v="Tuesday"/>
    <s v="Monthly - Tuesday"/>
    <s v="Monthly - Tuesday"/>
    <s v="Month+1 Expiry"/>
    <n v="1543898"/>
    <n v="2607.9209"/>
    <n v="33.1177"/>
  </r>
  <r>
    <s v="27-May-2026"/>
    <x v="2"/>
    <s v="Week4-May-2026"/>
    <x v="8"/>
    <s v="Q1FY27"/>
    <s v="28-Jul-2026"/>
    <s v="Tuesday"/>
    <s v="Monthly - Tuesday"/>
    <s v="Monthly - Tuesday"/>
    <s v="Month+2 Expiry"/>
    <n v="20273"/>
    <n v="33.3546"/>
    <n v="0.3924"/>
  </r>
  <r>
    <s v="27-May-2026"/>
    <x v="2"/>
    <s v="Week4-May-2026"/>
    <x v="8"/>
    <s v="Q1FY27"/>
    <s v="25-Aug-2026"/>
    <s v="Tuesday"/>
    <s v="Monthly - Tuesday"/>
    <s v="Monthly - Tuesday"/>
    <s v="Month+3 Expiry"/>
    <n v="375"/>
    <n v="0.6235000000000001"/>
    <n v="0.0131"/>
  </r>
  <r>
    <s v="27-May-2026"/>
    <x v="2"/>
    <s v="Week4-May-2026"/>
    <x v="8"/>
    <s v="Q1FY27"/>
    <s v="29-Sep-2026"/>
    <s v="Tuesday"/>
    <s v="Monthly - Tuesday"/>
    <s v="Monthly - Tuesday"/>
    <s v="Month+4 Expiry"/>
    <n v="743"/>
    <n v="1.286"/>
    <n v="0.026"/>
  </r>
  <r>
    <s v="27-May-2026"/>
    <x v="2"/>
    <s v="Week4-May-2026"/>
    <x v="8"/>
    <s v="Q1FY27"/>
    <s v="29-Dec-2026"/>
    <s v="Tuesday"/>
    <s v="Monthly - Tuesday"/>
    <s v="Monthly - Tuesday"/>
    <s v="Month+7 Expiry"/>
    <n v="46"/>
    <n v="0.0775"/>
    <n v="0.0021"/>
  </r>
  <r>
    <s v="27-May-2026"/>
    <x v="2"/>
    <s v="Week4-May-2026"/>
    <x v="8"/>
    <s v="Q1FY27"/>
    <s v="30-Mar-2027"/>
    <s v="Tuesday"/>
    <s v="Monthly - Tuesday"/>
    <s v="Monthly - Tuesday"/>
    <s v="Month+10 Expiry"/>
    <n v="0"/>
    <n v="0"/>
    <n v="0"/>
  </r>
  <r>
    <s v="29-May-2026"/>
    <x v="4"/>
    <s v="Week5-May-2026"/>
    <x v="8"/>
    <s v="Q1FY27"/>
    <s v="30-Jun-2026"/>
    <s v="Tuesday"/>
    <s v="Monthly - Tuesday"/>
    <s v="Monthly - Tuesday"/>
    <s v="Month+1 Expiry"/>
    <n v="2073141"/>
    <n v="3482.1717"/>
    <n v="43.5329"/>
  </r>
  <r>
    <s v="29-May-2026"/>
    <x v="4"/>
    <s v="Week5-May-2026"/>
    <x v="8"/>
    <s v="Q1FY27"/>
    <s v="28-Jul-2026"/>
    <s v="Tuesday"/>
    <s v="Monthly - Tuesday"/>
    <s v="Monthly - Tuesday"/>
    <s v="Month+2 Expiry"/>
    <n v="28947"/>
    <n v="49.0949"/>
    <n v="0.8135"/>
  </r>
  <r>
    <s v="29-May-2026"/>
    <x v="4"/>
    <s v="Week5-May-2026"/>
    <x v="8"/>
    <s v="Q1FY27"/>
    <s v="25-Aug-2026"/>
    <s v="Tuesday"/>
    <s v="Monthly - Tuesday"/>
    <s v="Monthly - Tuesday"/>
    <s v="Month+3 Expiry"/>
    <n v="877"/>
    <n v="1.4602"/>
    <n v="0.0283"/>
  </r>
  <r>
    <s v="29-May-2026"/>
    <x v="4"/>
    <s v="Week5-May-2026"/>
    <x v="8"/>
    <s v="Q1FY27"/>
    <s v="29-Sep-2026"/>
    <s v="Tuesday"/>
    <s v="Monthly - Tuesday"/>
    <s v="Monthly - Tuesday"/>
    <s v="Month+4 Expiry"/>
    <n v="1085"/>
    <n v="1.8913"/>
    <n v="0.034"/>
  </r>
  <r>
    <s v="29-May-2026"/>
    <x v="4"/>
    <s v="Week5-May-2026"/>
    <x v="8"/>
    <s v="Q1FY27"/>
    <s v="29-Dec-2026"/>
    <s v="Tuesday"/>
    <s v="Monthly - Tuesday"/>
    <s v="Monthly - Tuesday"/>
    <s v="Month+7 Expiry"/>
    <n v="33"/>
    <n v="0.0552"/>
    <n v="0.0014"/>
  </r>
  <r>
    <s v="29-May-2026"/>
    <x v="4"/>
    <s v="Week5-May-2026"/>
    <x v="8"/>
    <s v="Q1FY27"/>
    <s v="30-Mar-2027"/>
    <s v="Tuesday"/>
    <s v="Monthly - Tuesday"/>
    <s v="Monthly - Tuesday"/>
    <s v="Month+10 Expiry"/>
    <n v="0"/>
    <n v="0"/>
    <n v="0"/>
  </r>
  <r>
    <s v="01-Jun-2026"/>
    <x v="0"/>
    <s v="Week1-Jun-2026"/>
    <x v="9"/>
    <s v="Q1FY27"/>
    <s v="30-Jun-2026"/>
    <s v="Tuesday"/>
    <s v="Monthly - Tuesday"/>
    <s v="Monthly - Tuesday"/>
    <s v="Same Month Expiry"/>
    <n v="2087116"/>
    <n v="3488.3623"/>
    <n v="41.5176"/>
  </r>
  <r>
    <s v="01-Jun-2026"/>
    <x v="0"/>
    <s v="Week1-Jun-2026"/>
    <x v="9"/>
    <s v="Q1FY27"/>
    <s v="28-Jul-2026"/>
    <s v="Tuesday"/>
    <s v="Monthly - Tuesday"/>
    <s v="Monthly - Tuesday"/>
    <s v="Month+1 Expiry"/>
    <n v="83895"/>
    <n v="147.6527"/>
    <n v="0.8716"/>
  </r>
  <r>
    <s v="01-Jun-2026"/>
    <x v="0"/>
    <s v="Week1-Jun-2026"/>
    <x v="9"/>
    <s v="Q1FY27"/>
    <s v="25-Aug-2026"/>
    <s v="Tuesday"/>
    <s v="Monthly - Tuesday"/>
    <s v="Monthly - Tuesday"/>
    <s v="Month+2 Expiry"/>
    <n v="1769"/>
    <n v="2.9685"/>
    <n v="0.07539999999999999"/>
  </r>
  <r>
    <s v="01-Jun-2026"/>
    <x v="0"/>
    <s v="Week1-Jun-2026"/>
    <x v="9"/>
    <s v="Q1FY27"/>
    <s v="29-Sep-2026"/>
    <s v="Tuesday"/>
    <s v="Monthly - Tuesday"/>
    <s v="Monthly - Tuesday"/>
    <s v="Month+3 Expiry"/>
    <n v="2500"/>
    <n v="4.4105"/>
    <n v="0.0956"/>
  </r>
  <r>
    <s v="01-Jun-2026"/>
    <x v="0"/>
    <s v="Week1-Jun-2026"/>
    <x v="9"/>
    <s v="Q1FY27"/>
    <s v="29-Dec-2026"/>
    <s v="Tuesday"/>
    <s v="Monthly - Tuesday"/>
    <s v="Monthly - Tuesday"/>
    <s v="Month+6 Expiry"/>
    <n v="33"/>
    <n v="0.0544"/>
    <n v="0.0011"/>
  </r>
  <r>
    <s v="01-Jun-2026"/>
    <x v="0"/>
    <s v="Week1-Jun-2026"/>
    <x v="9"/>
    <s v="Q1FY27"/>
    <s v="30-Mar-2027"/>
    <s v="Tuesday"/>
    <s v="Monthly - Tuesday"/>
    <s v="Monthly - Tuesday"/>
    <s v="Month+9 Expiry"/>
    <n v="0"/>
    <n v="0"/>
    <n v="0"/>
  </r>
  <r>
    <s v="02-Jun-2026"/>
    <x v="1"/>
    <s v="Week1-Jun-2026"/>
    <x v="9"/>
    <s v="Q1FY27"/>
    <s v="30-Jun-2026"/>
    <s v="Tuesday"/>
    <s v="Monthly - Tuesday"/>
    <s v="Monthly - Tuesday"/>
    <s v="Same Month Expiry"/>
    <n v="1957882"/>
    <n v="3240.4426"/>
    <n v="40.2826"/>
  </r>
  <r>
    <s v="02-Jun-2026"/>
    <x v="1"/>
    <s v="Week1-Jun-2026"/>
    <x v="9"/>
    <s v="Q1FY27"/>
    <s v="28-Jul-2026"/>
    <s v="Tuesday"/>
    <s v="Monthly - Tuesday"/>
    <s v="Monthly - Tuesday"/>
    <s v="Month+1 Expiry"/>
    <n v="39495"/>
    <n v="67.1138"/>
    <n v="0.7378"/>
  </r>
  <r>
    <s v="02-Jun-2026"/>
    <x v="1"/>
    <s v="Week1-Jun-2026"/>
    <x v="9"/>
    <s v="Q1FY27"/>
    <s v="25-Aug-2026"/>
    <s v="Tuesday"/>
    <s v="Monthly - Tuesday"/>
    <s v="Monthly - Tuesday"/>
    <s v="Month+2 Expiry"/>
    <n v="1730"/>
    <n v="2.948"/>
    <n v="0.0618"/>
  </r>
  <r>
    <s v="02-Jun-2026"/>
    <x v="1"/>
    <s v="Week1-Jun-2026"/>
    <x v="9"/>
    <s v="Q1FY27"/>
    <s v="29-Sep-2026"/>
    <s v="Tuesday"/>
    <s v="Monthly - Tuesday"/>
    <s v="Monthly - Tuesday"/>
    <s v="Month+3 Expiry"/>
    <n v="2027"/>
    <n v="3.5526"/>
    <n v="0.0706"/>
  </r>
  <r>
    <s v="02-Jun-2026"/>
    <x v="1"/>
    <s v="Week1-Jun-2026"/>
    <x v="9"/>
    <s v="Q1FY27"/>
    <s v="29-Dec-2026"/>
    <s v="Tuesday"/>
    <s v="Monthly - Tuesday"/>
    <s v="Monthly - Tuesday"/>
    <s v="Month+6 Expiry"/>
    <n v="47"/>
    <n v="0.08450000000000001"/>
    <n v="0.0019"/>
  </r>
  <r>
    <s v="02-Jun-2026"/>
    <x v="1"/>
    <s v="Week1-Jun-2026"/>
    <x v="9"/>
    <s v="Q1FY27"/>
    <s v="30-Mar-2027"/>
    <s v="Tuesday"/>
    <s v="Monthly - Tuesday"/>
    <s v="Monthly - Tuesday"/>
    <s v="Month+9 Expiry"/>
    <n v="0"/>
    <n v="0"/>
    <n v="0"/>
  </r>
  <r>
    <s v="03-Jun-2026"/>
    <x v="2"/>
    <s v="Week1-Jun-2026"/>
    <x v="9"/>
    <s v="Q1FY27"/>
    <s v="30-Jun-2026"/>
    <s v="Tuesday"/>
    <s v="Monthly - Tuesday"/>
    <s v="Monthly - Tuesday"/>
    <s v="Same Month Expiry"/>
    <n v="2574159"/>
    <n v="4270.5075"/>
    <n v="52.8291"/>
  </r>
  <r>
    <s v="03-Jun-2026"/>
    <x v="2"/>
    <s v="Week1-Jun-2026"/>
    <x v="9"/>
    <s v="Q1FY27"/>
    <s v="28-Jul-2026"/>
    <s v="Tuesday"/>
    <s v="Monthly - Tuesday"/>
    <s v="Monthly - Tuesday"/>
    <s v="Month+1 Expiry"/>
    <n v="58330"/>
    <n v="98.79600000000001"/>
    <n v="1.146"/>
  </r>
  <r>
    <s v="03-Jun-2026"/>
    <x v="2"/>
    <s v="Week1-Jun-2026"/>
    <x v="9"/>
    <s v="Q1FY27"/>
    <s v="25-Aug-2026"/>
    <s v="Tuesday"/>
    <s v="Monthly - Tuesday"/>
    <s v="Monthly - Tuesday"/>
    <s v="Month+2 Expiry"/>
    <n v="2635"/>
    <n v="4.4826"/>
    <n v="0.08450000000000001"/>
  </r>
  <r>
    <s v="03-Jun-2026"/>
    <x v="2"/>
    <s v="Week1-Jun-2026"/>
    <x v="9"/>
    <s v="Q1FY27"/>
    <s v="29-Sep-2026"/>
    <s v="Tuesday"/>
    <s v="Monthly - Tuesday"/>
    <s v="Monthly - Tuesday"/>
    <s v="Month+3 Expiry"/>
    <n v="1774"/>
    <n v="3.0948"/>
    <n v="0.0649"/>
  </r>
  <r>
    <s v="03-Jun-2026"/>
    <x v="2"/>
    <s v="Week1-Jun-2026"/>
    <x v="9"/>
    <s v="Q1FY27"/>
    <s v="29-Dec-2026"/>
    <s v="Tuesday"/>
    <s v="Monthly - Tuesday"/>
    <s v="Monthly - Tuesday"/>
    <s v="Month+6 Expiry"/>
    <n v="64"/>
    <n v="0.1145"/>
    <n v="0.0029"/>
  </r>
  <r>
    <s v="03-Jun-2026"/>
    <x v="2"/>
    <s v="Week1-Jun-2026"/>
    <x v="9"/>
    <s v="Q1FY27"/>
    <s v="30-Mar-2027"/>
    <s v="Tuesday"/>
    <s v="Monthly - Tuesday"/>
    <s v="Monthly - Tuesday"/>
    <s v="Month+9 Expiry"/>
    <n v="0"/>
    <n v="0"/>
    <n v="0"/>
  </r>
  <r>
    <s v="04-Jun-2026"/>
    <x v="3"/>
    <s v="Week1-Jun-2026"/>
    <x v="9"/>
    <s v="Q1FY27"/>
    <s v="30-Jun-2026"/>
    <s v="Tuesday"/>
    <s v="Monthly - Tuesday"/>
    <s v="Monthly - Tuesday"/>
    <s v="Same Month Expiry"/>
    <n v="1805357"/>
    <n v="3012.7035"/>
    <n v="37.8257"/>
  </r>
  <r>
    <s v="04-Jun-2026"/>
    <x v="3"/>
    <s v="Week1-Jun-2026"/>
    <x v="9"/>
    <s v="Q1FY27"/>
    <s v="28-Jul-2026"/>
    <s v="Tuesday"/>
    <s v="Monthly - Tuesday"/>
    <s v="Monthly - Tuesday"/>
    <s v="Month+1 Expiry"/>
    <n v="25161"/>
    <n v="42.7997"/>
    <n v="0.5384"/>
  </r>
  <r>
    <s v="04-Jun-2026"/>
    <x v="3"/>
    <s v="Week1-Jun-2026"/>
    <x v="9"/>
    <s v="Q1FY27"/>
    <s v="25-Aug-2026"/>
    <s v="Tuesday"/>
    <s v="Monthly - Tuesday"/>
    <s v="Monthly - Tuesday"/>
    <s v="Month+2 Expiry"/>
    <n v="1206"/>
    <n v="2.0382"/>
    <n v="0.037"/>
  </r>
  <r>
    <s v="04-Jun-2026"/>
    <x v="3"/>
    <s v="Week1-Jun-2026"/>
    <x v="9"/>
    <s v="Q1FY27"/>
    <s v="29-Sep-2026"/>
    <s v="Tuesday"/>
    <s v="Monthly - Tuesday"/>
    <s v="Monthly - Tuesday"/>
    <s v="Month+3 Expiry"/>
    <n v="995"/>
    <n v="1.7344"/>
    <n v="0.043"/>
  </r>
  <r>
    <s v="04-Jun-2026"/>
    <x v="3"/>
    <s v="Week1-Jun-2026"/>
    <x v="9"/>
    <s v="Q1FY27"/>
    <s v="29-Dec-2026"/>
    <s v="Tuesday"/>
    <s v="Monthly - Tuesday"/>
    <s v="Monthly - Tuesday"/>
    <s v="Month+6 Expiry"/>
    <n v="92"/>
    <n v="0.1694"/>
    <n v="0.0043"/>
  </r>
  <r>
    <s v="04-Jun-2026"/>
    <x v="3"/>
    <s v="Week1-Jun-2026"/>
    <x v="9"/>
    <s v="Q1FY27"/>
    <s v="30-Mar-2027"/>
    <s v="Tuesday"/>
    <s v="Monthly - Tuesday"/>
    <s v="Monthly - Tuesday"/>
    <s v="Month+9 Expiry"/>
    <n v="0"/>
    <n v="0"/>
    <n v="0"/>
  </r>
  <r>
    <s v="05-Jun-2026"/>
    <x v="4"/>
    <s v="Week1-Jun-2026"/>
    <x v="9"/>
    <s v="Q1FY27"/>
    <s v="30-Jun-2026"/>
    <s v="Tuesday"/>
    <s v="Monthly - Tuesday"/>
    <s v="Monthly - Tuesday"/>
    <s v="Same Month Expiry"/>
    <n v="2821084"/>
    <n v="4711.0052"/>
    <n v="59.1951"/>
  </r>
  <r>
    <s v="05-Jun-2026"/>
    <x v="4"/>
    <s v="Week1-Jun-2026"/>
    <x v="9"/>
    <s v="Q1FY27"/>
    <s v="28-Jul-2026"/>
    <s v="Tuesday"/>
    <s v="Monthly - Tuesday"/>
    <s v="Monthly - Tuesday"/>
    <s v="Month+1 Expiry"/>
    <n v="55903"/>
    <n v="95.0865"/>
    <n v="1.1684"/>
  </r>
  <r>
    <s v="05-Jun-2026"/>
    <x v="4"/>
    <s v="Week1-Jun-2026"/>
    <x v="9"/>
    <s v="Q1FY27"/>
    <s v="25-Aug-2026"/>
    <s v="Tuesday"/>
    <s v="Monthly - Tuesday"/>
    <s v="Monthly - Tuesday"/>
    <s v="Month+2 Expiry"/>
    <n v="1450"/>
    <n v="2.4463"/>
    <n v="0.0527"/>
  </r>
  <r>
    <s v="05-Jun-2026"/>
    <x v="4"/>
    <s v="Week1-Jun-2026"/>
    <x v="9"/>
    <s v="Q1FY27"/>
    <s v="29-Sep-2026"/>
    <s v="Tuesday"/>
    <s v="Monthly - Tuesday"/>
    <s v="Monthly - Tuesday"/>
    <s v="Month+3 Expiry"/>
    <n v="1001"/>
    <n v="1.7152"/>
    <n v="0.037"/>
  </r>
  <r>
    <s v="05-Jun-2026"/>
    <x v="4"/>
    <s v="Week1-Jun-2026"/>
    <x v="9"/>
    <s v="Q1FY27"/>
    <s v="29-Dec-2026"/>
    <s v="Tuesday"/>
    <s v="Monthly - Tuesday"/>
    <s v="Monthly - Tuesday"/>
    <s v="Month+6 Expiry"/>
    <n v="113"/>
    <n v="0.2054"/>
    <n v="0.0051"/>
  </r>
  <r>
    <s v="05-Jun-2026"/>
    <x v="4"/>
    <s v="Week1-Jun-2026"/>
    <x v="9"/>
    <s v="Q1FY27"/>
    <s v="30-Mar-2027"/>
    <s v="Tuesday"/>
    <s v="Monthly - Tuesday"/>
    <s v="Monthly - Tuesday"/>
    <s v="Month+9 Expiry"/>
    <n v="0"/>
    <n v="0"/>
    <n v="0"/>
  </r>
  <r>
    <s v="08-Jun-2026"/>
    <x v="0"/>
    <s v="Week2-Jun-2026"/>
    <x v="9"/>
    <s v="Q1FY27"/>
    <s v="30-Jun-2026"/>
    <s v="Tuesday"/>
    <s v="Monthly - Tuesday"/>
    <s v="Monthly - Tuesday"/>
    <s v="Same Month Expiry"/>
    <n v="2052438"/>
    <n v="3411.1772"/>
    <n v="42.6087"/>
  </r>
  <r>
    <s v="08-Jun-2026"/>
    <x v="0"/>
    <s v="Week2-Jun-2026"/>
    <x v="9"/>
    <s v="Q1FY27"/>
    <s v="28-Jul-2026"/>
    <s v="Tuesday"/>
    <s v="Monthly - Tuesday"/>
    <s v="Monthly - Tuesday"/>
    <s v="Month+1 Expiry"/>
    <n v="37591"/>
    <n v="64.2783"/>
    <n v="0.7258"/>
  </r>
  <r>
    <s v="08-Jun-2026"/>
    <x v="0"/>
    <s v="Week2-Jun-2026"/>
    <x v="9"/>
    <s v="Q1FY27"/>
    <s v="25-Aug-2026"/>
    <s v="Tuesday"/>
    <s v="Monthly - Tuesday"/>
    <s v="Monthly - Tuesday"/>
    <s v="Month+2 Expiry"/>
    <n v="1172"/>
    <n v="1.9858"/>
    <n v="0.0383"/>
  </r>
  <r>
    <s v="08-Jun-2026"/>
    <x v="0"/>
    <s v="Week2-Jun-2026"/>
    <x v="9"/>
    <s v="Q1FY27"/>
    <s v="29-Sep-2026"/>
    <s v="Tuesday"/>
    <s v="Monthly - Tuesday"/>
    <s v="Monthly - Tuesday"/>
    <s v="Month+3 Expiry"/>
    <n v="1104"/>
    <n v="1.9502"/>
    <n v="0.0337"/>
  </r>
  <r>
    <s v="08-Jun-2026"/>
    <x v="0"/>
    <s v="Week2-Jun-2026"/>
    <x v="9"/>
    <s v="Q1FY27"/>
    <s v="29-Dec-2026"/>
    <s v="Tuesday"/>
    <s v="Monthly - Tuesday"/>
    <s v="Monthly - Tuesday"/>
    <s v="Month+6 Expiry"/>
    <n v="37"/>
    <n v="0.0663"/>
    <n v="0.0015"/>
  </r>
  <r>
    <s v="08-Jun-2026"/>
    <x v="0"/>
    <s v="Week2-Jun-2026"/>
    <x v="9"/>
    <s v="Q1FY27"/>
    <s v="30-Mar-2027"/>
    <s v="Tuesday"/>
    <s v="Monthly - Tuesday"/>
    <s v="Monthly - Tuesday"/>
    <s v="Month+9 Expiry"/>
    <n v="0"/>
    <n v="0"/>
    <n v="0"/>
  </r>
  <r>
    <s v="09-Jun-2026"/>
    <x v="1"/>
    <s v="Week2-Jun-2026"/>
    <x v="9"/>
    <s v="Q1FY27"/>
    <s v="30-Jun-2026"/>
    <s v="Tuesday"/>
    <s v="Monthly - Tuesday"/>
    <s v="Monthly - Tuesday"/>
    <s v="Same Month Expiry"/>
    <n v="2449924"/>
    <n v="4094.747"/>
    <n v="46.0996"/>
  </r>
  <r>
    <s v="09-Jun-2026"/>
    <x v="1"/>
    <s v="Week2-Jun-2026"/>
    <x v="9"/>
    <s v="Q1FY27"/>
    <s v="28-Jul-2026"/>
    <s v="Tuesday"/>
    <s v="Monthly - Tuesday"/>
    <s v="Monthly - Tuesday"/>
    <s v="Month+1 Expiry"/>
    <n v="65975"/>
    <n v="114.0521"/>
    <n v="2.0552"/>
  </r>
  <r>
    <s v="09-Jun-2026"/>
    <x v="1"/>
    <s v="Week2-Jun-2026"/>
    <x v="9"/>
    <s v="Q1FY27"/>
    <s v="25-Aug-2026"/>
    <s v="Tuesday"/>
    <s v="Monthly - Tuesday"/>
    <s v="Monthly - Tuesday"/>
    <s v="Month+2 Expiry"/>
    <n v="2406"/>
    <n v="4.1209"/>
    <n v="0.0636"/>
  </r>
  <r>
    <s v="09-Jun-2026"/>
    <x v="1"/>
    <s v="Week2-Jun-2026"/>
    <x v="9"/>
    <s v="Q1FY27"/>
    <s v="29-Sep-2026"/>
    <s v="Tuesday"/>
    <s v="Monthly - Tuesday"/>
    <s v="Monthly - Tuesday"/>
    <s v="Month+3 Expiry"/>
    <n v="1189"/>
    <n v="2.0623"/>
    <n v="0.0406"/>
  </r>
  <r>
    <s v="09-Jun-2026"/>
    <x v="1"/>
    <s v="Week2-Jun-2026"/>
    <x v="9"/>
    <s v="Q1FY27"/>
    <s v="29-Dec-2026"/>
    <s v="Tuesday"/>
    <s v="Monthly - Tuesday"/>
    <s v="Monthly - Tuesday"/>
    <s v="Month+6 Expiry"/>
    <n v="54"/>
    <n v="0.09379999999999999"/>
    <n v="0.0023"/>
  </r>
  <r>
    <s v="09-Jun-2026"/>
    <x v="1"/>
    <s v="Week2-Jun-2026"/>
    <x v="9"/>
    <s v="Q1FY27"/>
    <s v="30-Mar-2027"/>
    <s v="Tuesday"/>
    <s v="Monthly - Tuesday"/>
    <s v="Monthly - Tuesday"/>
    <s v="Month+9 Expiry"/>
    <n v="0"/>
    <n v="0"/>
    <n v="0"/>
  </r>
  <r>
    <s v="10-Jun-2026"/>
    <x v="2"/>
    <s v="Week2-Jun-2026"/>
    <x v="9"/>
    <s v="Q1FY27"/>
    <s v="30-Jun-2026"/>
    <s v="Tuesday"/>
    <s v="Monthly - Tuesday"/>
    <s v="Monthly - Tuesday"/>
    <s v="Same Month Expiry"/>
    <n v="2183426"/>
    <n v="3670.8768"/>
    <n v="41.0808"/>
  </r>
  <r>
    <s v="10-Jun-2026"/>
    <x v="2"/>
    <s v="Week2-Jun-2026"/>
    <x v="9"/>
    <s v="Q1FY27"/>
    <s v="28-Jul-2026"/>
    <s v="Tuesday"/>
    <s v="Monthly - Tuesday"/>
    <s v="Monthly - Tuesday"/>
    <s v="Month+1 Expiry"/>
    <n v="79845"/>
    <n v="138.7255"/>
    <n v="2.2307"/>
  </r>
  <r>
    <s v="10-Jun-2026"/>
    <x v="2"/>
    <s v="Week2-Jun-2026"/>
    <x v="9"/>
    <s v="Q1FY27"/>
    <s v="25-Aug-2026"/>
    <s v="Tuesday"/>
    <s v="Monthly - Tuesday"/>
    <s v="Monthly - Tuesday"/>
    <s v="Month+2 Expiry"/>
    <n v="3055"/>
    <n v="5.2126"/>
    <n v="0.0979"/>
  </r>
  <r>
    <s v="10-Jun-2026"/>
    <x v="2"/>
    <s v="Week2-Jun-2026"/>
    <x v="9"/>
    <s v="Q1FY27"/>
    <s v="29-Sep-2026"/>
    <s v="Tuesday"/>
    <s v="Monthly - Tuesday"/>
    <s v="Monthly - Tuesday"/>
    <s v="Month+3 Expiry"/>
    <n v="1691"/>
    <n v="2.9442"/>
    <n v="0.07190000000000001"/>
  </r>
  <r>
    <s v="10-Jun-2026"/>
    <x v="2"/>
    <s v="Week2-Jun-2026"/>
    <x v="9"/>
    <s v="Q1FY27"/>
    <s v="29-Dec-2026"/>
    <s v="Tuesday"/>
    <s v="Monthly - Tuesday"/>
    <s v="Monthly - Tuesday"/>
    <s v="Month+6 Expiry"/>
    <n v="46"/>
    <n v="0.08069999999999999"/>
    <n v="0.0028"/>
  </r>
  <r>
    <s v="10-Jun-2026"/>
    <x v="2"/>
    <s v="Week2-Jun-2026"/>
    <x v="9"/>
    <s v="Q1FY27"/>
    <s v="30-Mar-2027"/>
    <s v="Tuesday"/>
    <s v="Monthly - Tuesday"/>
    <s v="Monthly - Tuesday"/>
    <s v="Month+9 Expiry"/>
    <n v="0"/>
    <n v="0"/>
    <n v="0"/>
  </r>
  <r>
    <s v="11-Jun-2026"/>
    <x v="3"/>
    <s v="Week2-Jun-2026"/>
    <x v="9"/>
    <s v="Q1FY27"/>
    <s v="30-Jun-2026"/>
    <s v="Tuesday"/>
    <s v="Monthly - Tuesday"/>
    <s v="Monthly - Tuesday"/>
    <s v="Same Month Expiry"/>
    <n v="2259732"/>
    <n v="3809.4895"/>
    <n v="40.0856"/>
  </r>
  <r>
    <s v="11-Jun-2026"/>
    <x v="3"/>
    <s v="Week2-Jun-2026"/>
    <x v="9"/>
    <s v="Q1FY27"/>
    <s v="28-Jul-2026"/>
    <s v="Tuesday"/>
    <s v="Monthly - Tuesday"/>
    <s v="Monthly - Tuesday"/>
    <s v="Month+1 Expiry"/>
    <n v="65775"/>
    <n v="114.7093"/>
    <n v="2.1794"/>
  </r>
  <r>
    <s v="11-Jun-2026"/>
    <x v="3"/>
    <s v="Week2-Jun-2026"/>
    <x v="9"/>
    <s v="Q1FY27"/>
    <s v="25-Aug-2026"/>
    <s v="Tuesday"/>
    <s v="Monthly - Tuesday"/>
    <s v="Monthly - Tuesday"/>
    <s v="Month+2 Expiry"/>
    <n v="3126"/>
    <n v="5.2956"/>
    <n v="0.0864"/>
  </r>
  <r>
    <s v="11-Jun-2026"/>
    <x v="3"/>
    <s v="Week2-Jun-2026"/>
    <x v="9"/>
    <s v="Q1FY27"/>
    <s v="29-Sep-2026"/>
    <s v="Tuesday"/>
    <s v="Monthly - Tuesday"/>
    <s v="Monthly - Tuesday"/>
    <s v="Month+3 Expiry"/>
    <n v="1332"/>
    <n v="2.3297"/>
    <n v="0.052"/>
  </r>
  <r>
    <s v="11-Jun-2026"/>
    <x v="3"/>
    <s v="Week2-Jun-2026"/>
    <x v="9"/>
    <s v="Q1FY27"/>
    <s v="29-Dec-2026"/>
    <s v="Tuesday"/>
    <s v="Monthly - Tuesday"/>
    <s v="Monthly - Tuesday"/>
    <s v="Month+6 Expiry"/>
    <n v="43"/>
    <n v="0.0741"/>
    <n v="0.0017"/>
  </r>
  <r>
    <s v="11-Jun-2026"/>
    <x v="3"/>
    <s v="Week2-Jun-2026"/>
    <x v="9"/>
    <s v="Q1FY27"/>
    <s v="30-Mar-2027"/>
    <s v="Tuesday"/>
    <s v="Monthly - Tuesday"/>
    <s v="Monthly - Tuesday"/>
    <s v="Month+9 Expiry"/>
    <n v="0"/>
    <n v="0"/>
    <n v="0"/>
  </r>
  <r>
    <s v="12-Jun-2026"/>
    <x v="4"/>
    <s v="Week2-Jun-2026"/>
    <x v="9"/>
    <s v="Q1FY27"/>
    <s v="30-Jun-2026"/>
    <s v="Tuesday"/>
    <s v="Monthly - Tuesday"/>
    <s v="Monthly - Tuesday"/>
    <s v="Same Month Expiry"/>
    <n v="3673301"/>
    <n v="6241.9112"/>
    <n v="54.5199"/>
  </r>
  <r>
    <s v="12-Jun-2026"/>
    <x v="4"/>
    <s v="Week2-Jun-2026"/>
    <x v="9"/>
    <s v="Q1FY27"/>
    <s v="28-Jul-2026"/>
    <s v="Tuesday"/>
    <s v="Monthly - Tuesday"/>
    <s v="Monthly - Tuesday"/>
    <s v="Month+1 Expiry"/>
    <n v="154892"/>
    <n v="267.9714"/>
    <n v="4.1115"/>
  </r>
  <r>
    <s v="12-Jun-2026"/>
    <x v="4"/>
    <s v="Week2-Jun-2026"/>
    <x v="9"/>
    <s v="Q1FY27"/>
    <s v="25-Aug-2026"/>
    <s v="Tuesday"/>
    <s v="Monthly - Tuesday"/>
    <s v="Monthly - Tuesday"/>
    <s v="Month+2 Expiry"/>
    <n v="6353"/>
    <n v="10.7368"/>
    <n v="0.1847"/>
  </r>
  <r>
    <s v="12-Jun-2026"/>
    <x v="4"/>
    <s v="Week2-Jun-2026"/>
    <x v="9"/>
    <s v="Q1FY27"/>
    <s v="29-Sep-2026"/>
    <s v="Tuesday"/>
    <s v="Monthly - Tuesday"/>
    <s v="Monthly - Tuesday"/>
    <s v="Month+3 Expiry"/>
    <n v="3419"/>
    <n v="5.9125"/>
    <n v="0.1085"/>
  </r>
  <r>
    <s v="12-Jun-2026"/>
    <x v="4"/>
    <s v="Week2-Jun-2026"/>
    <x v="9"/>
    <s v="Q1FY27"/>
    <s v="29-Dec-2026"/>
    <s v="Tuesday"/>
    <s v="Monthly - Tuesday"/>
    <s v="Monthly - Tuesday"/>
    <s v="Month+6 Expiry"/>
    <n v="175"/>
    <n v="0.2882"/>
    <n v="0.0062"/>
  </r>
  <r>
    <s v="12-Jun-2026"/>
    <x v="4"/>
    <s v="Week2-Jun-2026"/>
    <x v="9"/>
    <s v="Q1FY27"/>
    <s v="30-Mar-2027"/>
    <s v="Tuesday"/>
    <s v="Monthly - Tuesday"/>
    <s v="Monthly - Tuesday"/>
    <s v="Month+9 Expiry"/>
    <n v="0"/>
    <n v="0"/>
    <n v="0"/>
  </r>
  <r>
    <s v="15-Jun-2026"/>
    <x v="0"/>
    <s v="Week3-Jun-2026"/>
    <x v="9"/>
    <s v="Q1FY27"/>
    <s v="30-Jun-2026"/>
    <s v="Tuesday"/>
    <s v="Monthly - Tuesday"/>
    <s v="Monthly - Tuesday"/>
    <s v="Same Month Expiry"/>
    <n v="2832594"/>
    <n v="4873.6336"/>
    <n v="38.6703"/>
  </r>
  <r>
    <s v="15-Jun-2026"/>
    <x v="0"/>
    <s v="Week3-Jun-2026"/>
    <x v="9"/>
    <s v="Q1FY27"/>
    <s v="28-Jul-2026"/>
    <s v="Tuesday"/>
    <s v="Monthly - Tuesday"/>
    <s v="Monthly - Tuesday"/>
    <s v="Month+1 Expiry"/>
    <n v="146089"/>
    <n v="253.2281"/>
    <n v="3.1623"/>
  </r>
  <r>
    <s v="15-Jun-2026"/>
    <x v="0"/>
    <s v="Week3-Jun-2026"/>
    <x v="9"/>
    <s v="Q1FY27"/>
    <s v="25-Aug-2026"/>
    <s v="Tuesday"/>
    <s v="Monthly - Tuesday"/>
    <s v="Monthly - Tuesday"/>
    <s v="Month+2 Expiry"/>
    <n v="6355"/>
    <n v="10.8513"/>
    <n v="0.1767"/>
  </r>
  <r>
    <s v="15-Jun-2026"/>
    <x v="0"/>
    <s v="Week3-Jun-2026"/>
    <x v="9"/>
    <s v="Q1FY27"/>
    <s v="29-Sep-2026"/>
    <s v="Tuesday"/>
    <s v="Monthly - Tuesday"/>
    <s v="Monthly - Tuesday"/>
    <s v="Month+3 Expiry"/>
    <n v="2628"/>
    <n v="4.5774"/>
    <n v="0.08840000000000001"/>
  </r>
  <r>
    <s v="15-Jun-2026"/>
    <x v="0"/>
    <s v="Week3-Jun-2026"/>
    <x v="9"/>
    <s v="Q1FY27"/>
    <s v="29-Dec-2026"/>
    <s v="Tuesday"/>
    <s v="Monthly - Tuesday"/>
    <s v="Monthly - Tuesday"/>
    <s v="Month+6 Expiry"/>
    <n v="204"/>
    <n v="0.3613"/>
    <n v="0.009599999999999999"/>
  </r>
  <r>
    <s v="15-Jun-2026"/>
    <x v="0"/>
    <s v="Week3-Jun-2026"/>
    <x v="9"/>
    <s v="Q1FY27"/>
    <s v="30-Mar-2027"/>
    <s v="Tuesday"/>
    <s v="Monthly - Tuesday"/>
    <s v="Monthly - Tuesday"/>
    <s v="Month+9 Expiry"/>
    <n v="0"/>
    <n v="0"/>
    <n v="0"/>
  </r>
  <r>
    <s v="16-Jun-2026"/>
    <x v="1"/>
    <s v="Week3-Jun-2026"/>
    <x v="9"/>
    <s v="Q1FY27"/>
    <s v="30-Jun-2026"/>
    <s v="Tuesday"/>
    <s v="Monthly - Tuesday"/>
    <s v="Monthly - Tuesday"/>
    <s v="Same Month Expiry"/>
    <n v="2103004"/>
    <n v="3615.3212"/>
    <n v="27.479"/>
  </r>
  <r>
    <s v="16-Jun-2026"/>
    <x v="1"/>
    <s v="Week3-Jun-2026"/>
    <x v="9"/>
    <s v="Q1FY27"/>
    <s v="28-Jul-2026"/>
    <s v="Tuesday"/>
    <s v="Monthly - Tuesday"/>
    <s v="Monthly - Tuesday"/>
    <s v="Month+1 Expiry"/>
    <n v="83078"/>
    <n v="142.7805"/>
    <n v="1.5375"/>
  </r>
  <r>
    <s v="16-Jun-2026"/>
    <x v="1"/>
    <s v="Week3-Jun-2026"/>
    <x v="9"/>
    <s v="Q1FY27"/>
    <s v="25-Aug-2026"/>
    <s v="Tuesday"/>
    <s v="Monthly - Tuesday"/>
    <s v="Monthly - Tuesday"/>
    <s v="Month+2 Expiry"/>
    <n v="3424"/>
    <n v="5.8406"/>
    <n v="0.0896"/>
  </r>
  <r>
    <s v="16-Jun-2026"/>
    <x v="1"/>
    <s v="Week3-Jun-2026"/>
    <x v="9"/>
    <s v="Q1FY27"/>
    <s v="29-Sep-2026"/>
    <s v="Tuesday"/>
    <s v="Monthly - Tuesday"/>
    <s v="Monthly - Tuesday"/>
    <s v="Month+3 Expiry"/>
    <n v="1724"/>
    <n v="3.0796"/>
    <n v="0.0613"/>
  </r>
  <r>
    <s v="16-Jun-2026"/>
    <x v="1"/>
    <s v="Week3-Jun-2026"/>
    <x v="9"/>
    <s v="Q1FY27"/>
    <s v="29-Dec-2026"/>
    <s v="Tuesday"/>
    <s v="Monthly - Tuesday"/>
    <s v="Monthly - Tuesday"/>
    <s v="Month+6 Expiry"/>
    <n v="135"/>
    <n v="0.2397"/>
    <n v="0.0058"/>
  </r>
  <r>
    <s v="16-Jun-2026"/>
    <x v="1"/>
    <s v="Week3-Jun-2026"/>
    <x v="9"/>
    <s v="Q1FY27"/>
    <s v="30-Mar-2027"/>
    <s v="Tuesday"/>
    <s v="Monthly - Tuesday"/>
    <s v="Monthly - Tuesday"/>
    <s v="Month+9 Expiry"/>
    <n v="1"/>
    <n v="0.0019"/>
    <n v="0.0001"/>
  </r>
  <r>
    <s v="17-Jun-2026"/>
    <x v="2"/>
    <s v="Week3-Jun-2026"/>
    <x v="9"/>
    <s v="Q1FY27"/>
    <s v="30-Jun-2026"/>
    <s v="Tuesday"/>
    <s v="Monthly - Tuesday"/>
    <s v="Monthly - Tuesday"/>
    <s v="Same Month Expiry"/>
    <n v="2389751"/>
    <n v="4115.6735"/>
    <n v="29.8025"/>
  </r>
  <r>
    <s v="17-Jun-2026"/>
    <x v="2"/>
    <s v="Week3-Jun-2026"/>
    <x v="9"/>
    <s v="Q1FY27"/>
    <s v="28-Jul-2026"/>
    <s v="Tuesday"/>
    <s v="Monthly - Tuesday"/>
    <s v="Monthly - Tuesday"/>
    <s v="Month+1 Expiry"/>
    <n v="84520"/>
    <n v="145.6296"/>
    <n v="1.4996"/>
  </r>
  <r>
    <s v="17-Jun-2026"/>
    <x v="2"/>
    <s v="Week3-Jun-2026"/>
    <x v="9"/>
    <s v="Q1FY27"/>
    <s v="25-Aug-2026"/>
    <s v="Tuesday"/>
    <s v="Monthly - Tuesday"/>
    <s v="Monthly - Tuesday"/>
    <s v="Month+2 Expiry"/>
    <n v="5306"/>
    <n v="9.231999999999999"/>
    <n v="0.1603"/>
  </r>
  <r>
    <s v="17-Jun-2026"/>
    <x v="2"/>
    <s v="Week3-Jun-2026"/>
    <x v="9"/>
    <s v="Q1FY27"/>
    <s v="29-Sep-2026"/>
    <s v="Tuesday"/>
    <s v="Monthly - Tuesday"/>
    <s v="Monthly - Tuesday"/>
    <s v="Month+3 Expiry"/>
    <n v="1376"/>
    <n v="2.4394"/>
    <n v="0.044"/>
  </r>
  <r>
    <s v="17-Jun-2026"/>
    <x v="2"/>
    <s v="Week3-Jun-2026"/>
    <x v="9"/>
    <s v="Q1FY27"/>
    <s v="29-Dec-2026"/>
    <s v="Tuesday"/>
    <s v="Monthly - Tuesday"/>
    <s v="Monthly - Tuesday"/>
    <s v="Month+6 Expiry"/>
    <n v="255"/>
    <n v="0.451"/>
    <n v="0.0101"/>
  </r>
  <r>
    <s v="17-Jun-2026"/>
    <x v="2"/>
    <s v="Week3-Jun-2026"/>
    <x v="9"/>
    <s v="Q1FY27"/>
    <s v="30-Mar-2027"/>
    <s v="Tuesday"/>
    <s v="Monthly - Tuesday"/>
    <s v="Monthly - Tuesday"/>
    <s v="Month+9 Expiry"/>
    <n v="3"/>
    <n v="0.0058"/>
    <n v="0.0002"/>
  </r>
  <r>
    <s v="18-Jun-2026"/>
    <x v="3"/>
    <s v="Week3-Jun-2026"/>
    <x v="9"/>
    <s v="Q1FY27"/>
    <s v="30-Jun-2026"/>
    <s v="Tuesday"/>
    <s v="Monthly - Tuesday"/>
    <s v="Monthly - Tuesday"/>
    <s v="Same Month Expiry"/>
    <n v="2908467"/>
    <n v="5015.7319"/>
    <n v="30.853"/>
  </r>
  <r>
    <s v="18-Jun-2026"/>
    <x v="3"/>
    <s v="Week3-Jun-2026"/>
    <x v="9"/>
    <s v="Q1FY27"/>
    <s v="28-Jul-2026"/>
    <s v="Tuesday"/>
    <s v="Monthly - Tuesday"/>
    <s v="Monthly - Tuesday"/>
    <s v="Month+1 Expiry"/>
    <n v="131734"/>
    <n v="229.5376"/>
    <n v="2.3231"/>
  </r>
  <r>
    <s v="18-Jun-2026"/>
    <x v="3"/>
    <s v="Week3-Jun-2026"/>
    <x v="9"/>
    <s v="Q1FY27"/>
    <s v="25-Aug-2026"/>
    <s v="Tuesday"/>
    <s v="Monthly - Tuesday"/>
    <s v="Monthly - Tuesday"/>
    <s v="Month+2 Expiry"/>
    <n v="10641"/>
    <n v="18.5818"/>
    <n v="0.2941"/>
  </r>
  <r>
    <s v="18-Jun-2026"/>
    <x v="3"/>
    <s v="Week3-Jun-2026"/>
    <x v="9"/>
    <s v="Q1FY27"/>
    <s v="29-Sep-2026"/>
    <s v="Tuesday"/>
    <s v="Monthly - Tuesday"/>
    <s v="Monthly - Tuesday"/>
    <s v="Month+3 Expiry"/>
    <n v="1499"/>
    <n v="2.6141"/>
    <n v="0.0462"/>
  </r>
  <r>
    <s v="18-Jun-2026"/>
    <x v="3"/>
    <s v="Week3-Jun-2026"/>
    <x v="9"/>
    <s v="Q1FY27"/>
    <s v="29-Dec-2026"/>
    <s v="Tuesday"/>
    <s v="Monthly - Tuesday"/>
    <s v="Monthly - Tuesday"/>
    <s v="Month+6 Expiry"/>
    <n v="266"/>
    <n v="0.4759"/>
    <n v="0.011"/>
  </r>
  <r>
    <s v="18-Jun-2026"/>
    <x v="3"/>
    <s v="Week3-Jun-2026"/>
    <x v="9"/>
    <s v="Q1FY27"/>
    <s v="30-Mar-2027"/>
    <s v="Tuesday"/>
    <s v="Monthly - Tuesday"/>
    <s v="Monthly - Tuesday"/>
    <s v="Month+9 Expiry"/>
    <n v="0"/>
    <n v="0"/>
    <n v="0"/>
  </r>
  <r>
    <s v="19-Jun-2026"/>
    <x v="4"/>
    <s v="Week3-Jun-2026"/>
    <x v="9"/>
    <s v="Q1FY27"/>
    <s v="30-Jun-2026"/>
    <s v="Tuesday"/>
    <s v="Monthly - Tuesday"/>
    <s v="Monthly - Tuesday"/>
    <s v="Same Month Expiry"/>
    <n v="3249146"/>
    <n v="5630.6912"/>
    <n v="34.1512"/>
  </r>
  <r>
    <s v="19-Jun-2026"/>
    <x v="4"/>
    <s v="Week3-Jun-2026"/>
    <x v="9"/>
    <s v="Q1FY27"/>
    <s v="28-Jul-2026"/>
    <s v="Tuesday"/>
    <s v="Monthly - Tuesday"/>
    <s v="Monthly - Tuesday"/>
    <s v="Month+1 Expiry"/>
    <n v="125510"/>
    <n v="218.8498"/>
    <n v="2.1367"/>
  </r>
  <r>
    <s v="19-Jun-2026"/>
    <x v="4"/>
    <s v="Week3-Jun-2026"/>
    <x v="9"/>
    <s v="Q1FY27"/>
    <s v="25-Aug-2026"/>
    <s v="Tuesday"/>
    <s v="Monthly - Tuesday"/>
    <s v="Monthly - Tuesday"/>
    <s v="Month+2 Expiry"/>
    <n v="5251"/>
    <n v="9.1875"/>
    <n v="0.148"/>
  </r>
  <r>
    <s v="19-Jun-2026"/>
    <x v="4"/>
    <s v="Week3-Jun-2026"/>
    <x v="9"/>
    <s v="Q1FY27"/>
    <s v="29-Sep-2026"/>
    <s v="Tuesday"/>
    <s v="Monthly - Tuesday"/>
    <s v="Monthly - Tuesday"/>
    <s v="Month+3 Expiry"/>
    <n v="2582"/>
    <n v="4.287"/>
    <n v="0.0587"/>
  </r>
  <r>
    <s v="19-Jun-2026"/>
    <x v="4"/>
    <s v="Week3-Jun-2026"/>
    <x v="9"/>
    <s v="Q1FY27"/>
    <s v="29-Dec-2026"/>
    <s v="Tuesday"/>
    <s v="Monthly - Tuesday"/>
    <s v="Monthly - Tuesday"/>
    <s v="Month+6 Expiry"/>
    <n v="38"/>
    <n v="0.06569999999999999"/>
    <n v="0.0015"/>
  </r>
  <r>
    <s v="19-Jun-2026"/>
    <x v="4"/>
    <s v="Week3-Jun-2026"/>
    <x v="9"/>
    <s v="Q1FY27"/>
    <s v="30-Mar-2027"/>
    <s v="Tuesday"/>
    <s v="Monthly - Tuesday"/>
    <s v="Monthly - Tuesday"/>
    <s v="Month+9 Expiry"/>
    <n v="0"/>
    <n v="0"/>
    <n v="0"/>
  </r>
  <r>
    <s v="22-Jun-2026"/>
    <x v="0"/>
    <s v="Week4-Jun-2026"/>
    <x v="9"/>
    <s v="Q1FY27"/>
    <s v="30-Jun-2026"/>
    <s v="Tuesday"/>
    <s v="Monthly - Tuesday"/>
    <s v="Monthly - Tuesday"/>
    <s v="Same Month Expiry"/>
    <n v="2948751"/>
    <n v="5118.6138"/>
    <n v="24.2791"/>
  </r>
  <r>
    <s v="22-Jun-2026"/>
    <x v="0"/>
    <s v="Week4-Jun-2026"/>
    <x v="9"/>
    <s v="Q1FY27"/>
    <s v="28-Jul-2026"/>
    <s v="Tuesday"/>
    <s v="Monthly - Tuesday"/>
    <s v="Monthly - Tuesday"/>
    <s v="Month+1 Expiry"/>
    <n v="108355"/>
    <n v="188.8821"/>
    <n v="2.0009"/>
  </r>
  <r>
    <s v="22-Jun-2026"/>
    <x v="0"/>
    <s v="Week4-Jun-2026"/>
    <x v="9"/>
    <s v="Q1FY27"/>
    <s v="25-Aug-2026"/>
    <s v="Tuesday"/>
    <s v="Monthly - Tuesday"/>
    <s v="Monthly - Tuesday"/>
    <s v="Month+2 Expiry"/>
    <n v="7799"/>
    <n v="13.6616"/>
    <n v="0.2227"/>
  </r>
  <r>
    <s v="22-Jun-2026"/>
    <x v="0"/>
    <s v="Week4-Jun-2026"/>
    <x v="9"/>
    <s v="Q1FY27"/>
    <s v="29-Sep-2026"/>
    <s v="Tuesday"/>
    <s v="Monthly - Tuesday"/>
    <s v="Monthly - Tuesday"/>
    <s v="Month+3 Expiry"/>
    <n v="1375"/>
    <n v="2.3717"/>
    <n v="0.036"/>
  </r>
  <r>
    <s v="22-Jun-2026"/>
    <x v="0"/>
    <s v="Week4-Jun-2026"/>
    <x v="9"/>
    <s v="Q1FY27"/>
    <s v="29-Dec-2026"/>
    <s v="Tuesday"/>
    <s v="Monthly - Tuesday"/>
    <s v="Monthly - Tuesday"/>
    <s v="Month+6 Expiry"/>
    <n v="43"/>
    <n v="0.07389999999999999"/>
    <n v="0.0018"/>
  </r>
  <r>
    <s v="22-Jun-2026"/>
    <x v="0"/>
    <s v="Week4-Jun-2026"/>
    <x v="9"/>
    <s v="Q1FY27"/>
    <s v="30-Mar-2027"/>
    <s v="Tuesday"/>
    <s v="Monthly - Tuesday"/>
    <s v="Monthly - Tuesday"/>
    <s v="Month+9 Expiry"/>
    <n v="0"/>
    <n v="0"/>
    <n v="0"/>
  </r>
  <r>
    <s v="23-Jun-2026"/>
    <x v="1"/>
    <s v="Week4-Jun-2026"/>
    <x v="9"/>
    <s v="Q1FY27"/>
    <s v="30-Jun-2026"/>
    <s v="Tuesday"/>
    <s v="Monthly - Tuesday"/>
    <s v="Monthly - Tuesday"/>
    <s v="Same Month Expiry"/>
    <n v="5162520"/>
    <n v="8931.8146"/>
    <n v="38.0027"/>
  </r>
  <r>
    <s v="23-Jun-2026"/>
    <x v="1"/>
    <s v="Week4-Jun-2026"/>
    <x v="9"/>
    <s v="Q1FY27"/>
    <s v="28-Jul-2026"/>
    <s v="Tuesday"/>
    <s v="Monthly - Tuesday"/>
    <s v="Monthly - Tuesday"/>
    <s v="Month+1 Expiry"/>
    <n v="224292"/>
    <n v="391.7062"/>
    <n v="4.3317"/>
  </r>
  <r>
    <s v="23-Jun-2026"/>
    <x v="1"/>
    <s v="Week4-Jun-2026"/>
    <x v="9"/>
    <s v="Q1FY27"/>
    <s v="25-Aug-2026"/>
    <s v="Tuesday"/>
    <s v="Monthly - Tuesday"/>
    <s v="Monthly - Tuesday"/>
    <s v="Month+2 Expiry"/>
    <n v="8782"/>
    <n v="15.2753"/>
    <n v="0.2072"/>
  </r>
  <r>
    <s v="23-Jun-2026"/>
    <x v="1"/>
    <s v="Week4-Jun-2026"/>
    <x v="9"/>
    <s v="Q1FY27"/>
    <s v="29-Sep-2026"/>
    <s v="Tuesday"/>
    <s v="Monthly - Tuesday"/>
    <s v="Monthly - Tuesday"/>
    <s v="Month+3 Expiry"/>
    <n v="2117"/>
    <n v="3.6846"/>
    <n v="0.0515"/>
  </r>
  <r>
    <s v="23-Jun-2026"/>
    <x v="1"/>
    <s v="Week4-Jun-2026"/>
    <x v="9"/>
    <s v="Q1FY27"/>
    <s v="29-Dec-2026"/>
    <s v="Tuesday"/>
    <s v="Monthly - Tuesday"/>
    <s v="Monthly - Tuesday"/>
    <s v="Month+6 Expiry"/>
    <n v="117"/>
    <n v="0.2004"/>
    <n v="0.0042"/>
  </r>
  <r>
    <s v="23-Jun-2026"/>
    <x v="1"/>
    <s v="Week4-Jun-2026"/>
    <x v="9"/>
    <s v="Q1FY27"/>
    <s v="30-Mar-2027"/>
    <s v="Tuesday"/>
    <s v="Monthly - Tuesday"/>
    <s v="Monthly - Tuesday"/>
    <s v="Month+9 Expiry"/>
    <n v="0"/>
    <n v="0"/>
    <n v="0"/>
  </r>
  <r>
    <s v="24-Jun-2026"/>
    <x v="2"/>
    <s v="Week4-Jun-2026"/>
    <x v="9"/>
    <s v="Q1FY27"/>
    <s v="30-Jun-2026"/>
    <s v="Tuesday"/>
    <s v="Monthly - Tuesday"/>
    <s v="Monthly - Tuesday"/>
    <s v="Same Month Expiry"/>
    <n v="6810780"/>
    <n v="11826.2377"/>
    <n v="53.3621"/>
  </r>
  <r>
    <s v="24-Jun-2026"/>
    <x v="2"/>
    <s v="Week4-Jun-2026"/>
    <x v="9"/>
    <s v="Q1FY27"/>
    <s v="28-Jul-2026"/>
    <s v="Tuesday"/>
    <s v="Monthly - Tuesday"/>
    <s v="Monthly - Tuesday"/>
    <s v="Month+1 Expiry"/>
    <n v="322276"/>
    <n v="567.3855"/>
    <n v="6.7182"/>
  </r>
  <r>
    <s v="24-Jun-2026"/>
    <x v="2"/>
    <s v="Week4-Jun-2026"/>
    <x v="9"/>
    <s v="Q1FY27"/>
    <s v="25-Aug-2026"/>
    <s v="Tuesday"/>
    <s v="Monthly - Tuesday"/>
    <s v="Monthly - Tuesday"/>
    <s v="Month+2 Expiry"/>
    <n v="11399"/>
    <n v="20.1792"/>
    <n v="0.3095"/>
  </r>
  <r>
    <s v="24-Jun-2026"/>
    <x v="2"/>
    <s v="Week4-Jun-2026"/>
    <x v="9"/>
    <s v="Q1FY27"/>
    <s v="29-Sep-2026"/>
    <s v="Tuesday"/>
    <s v="Monthly - Tuesday"/>
    <s v="Monthly - Tuesday"/>
    <s v="Month+3 Expiry"/>
    <n v="1741"/>
    <n v="3.0562"/>
    <n v="0.0568"/>
  </r>
  <r>
    <s v="24-Jun-2026"/>
    <x v="2"/>
    <s v="Week4-Jun-2026"/>
    <x v="9"/>
    <s v="Q1FY27"/>
    <s v="29-Dec-2026"/>
    <s v="Tuesday"/>
    <s v="Monthly - Tuesday"/>
    <s v="Monthly - Tuesday"/>
    <s v="Month+6 Expiry"/>
    <n v="267"/>
    <n v="0.4657"/>
    <n v="0.0112"/>
  </r>
  <r>
    <s v="24-Jun-2026"/>
    <x v="2"/>
    <s v="Week4-Jun-2026"/>
    <x v="9"/>
    <s v="Q1FY27"/>
    <s v="30-Mar-2027"/>
    <s v="Tuesday"/>
    <s v="Monthly - Tuesday"/>
    <s v="Monthly - Tuesday"/>
    <s v="Month+9 Expiry"/>
    <n v="0"/>
    <n v="0"/>
    <n v="0"/>
  </r>
  <r>
    <s v="25-Jun-2026"/>
    <x v="3"/>
    <s v="Week4-Jun-2026"/>
    <x v="9"/>
    <s v="Q1FY27"/>
    <s v="30-Jun-2026"/>
    <s v="Tuesday"/>
    <s v="Monthly - Tuesday"/>
    <s v="Monthly - Tuesday"/>
    <s v="Same Month Expiry"/>
    <n v="6781654"/>
    <n v="11837.8601"/>
    <n v="39.3671"/>
  </r>
  <r>
    <s v="25-Jun-2026"/>
    <x v="3"/>
    <s v="Week4-Jun-2026"/>
    <x v="9"/>
    <s v="Q1FY27"/>
    <s v="28-Jul-2026"/>
    <s v="Tuesday"/>
    <s v="Monthly - Tuesday"/>
    <s v="Monthly - Tuesday"/>
    <s v="Month+1 Expiry"/>
    <n v="403951"/>
    <n v="713.903"/>
    <n v="8.311299999999999"/>
  </r>
  <r>
    <s v="25-Jun-2026"/>
    <x v="3"/>
    <s v="Week4-Jun-2026"/>
    <x v="9"/>
    <s v="Q1FY27"/>
    <s v="25-Aug-2026"/>
    <s v="Tuesday"/>
    <s v="Monthly - Tuesday"/>
    <s v="Monthly - Tuesday"/>
    <s v="Month+2 Expiry"/>
    <n v="16063"/>
    <n v="28.3668"/>
    <n v="0.3857"/>
  </r>
  <r>
    <s v="25-Jun-2026"/>
    <x v="3"/>
    <s v="Week4-Jun-2026"/>
    <x v="9"/>
    <s v="Q1FY27"/>
    <s v="29-Sep-2026"/>
    <s v="Tuesday"/>
    <s v="Monthly - Tuesday"/>
    <s v="Monthly - Tuesday"/>
    <s v="Month+3 Expiry"/>
    <n v="3623"/>
    <n v="6.4183"/>
    <n v="0.1102"/>
  </r>
  <r>
    <s v="25-Jun-2026"/>
    <x v="3"/>
    <s v="Week4-Jun-2026"/>
    <x v="9"/>
    <s v="Q1FY27"/>
    <s v="29-Dec-2026"/>
    <s v="Tuesday"/>
    <s v="Monthly - Tuesday"/>
    <s v="Monthly - Tuesday"/>
    <s v="Month+6 Expiry"/>
    <n v="133"/>
    <n v="0.2307"/>
    <n v="0.0051"/>
  </r>
  <r>
    <s v="25-Jun-2026"/>
    <x v="3"/>
    <s v="Week4-Jun-2026"/>
    <x v="9"/>
    <s v="Q1FY27"/>
    <s v="30-Mar-2027"/>
    <s v="Tuesday"/>
    <s v="Monthly - Tuesday"/>
    <s v="Monthly - Tuesday"/>
    <s v="Month+9 Expiry"/>
    <n v="0"/>
    <n v="0"/>
    <n v="0"/>
  </r>
  <r>
    <s v="29-Jun-2026"/>
    <x v="0"/>
    <s v="Week5-Jun-2026"/>
    <x v="9"/>
    <s v="Q1FY27"/>
    <s v="30-Jun-2026"/>
    <s v="Tuesday"/>
    <s v="Monthly - Tuesday"/>
    <s v="Monthly - Tuesday"/>
    <s v="Same Month Expiry"/>
    <n v="22572112"/>
    <n v="39225.1855"/>
    <n v="99.5258"/>
  </r>
  <r>
    <s v="29-Jun-2026"/>
    <x v="0"/>
    <s v="Week5-Jun-2026"/>
    <x v="9"/>
    <s v="Q1FY27"/>
    <s v="28-Jul-2026"/>
    <s v="Tuesday"/>
    <s v="Monthly - Tuesday"/>
    <s v="Monthly - Tuesday"/>
    <s v="Month+1 Expiry"/>
    <n v="475306"/>
    <n v="840.3784000000001"/>
    <n v="10.8086"/>
  </r>
  <r>
    <s v="29-Jun-2026"/>
    <x v="0"/>
    <s v="Week5-Jun-2026"/>
    <x v="9"/>
    <s v="Q1FY27"/>
    <s v="25-Aug-2026"/>
    <s v="Tuesday"/>
    <s v="Monthly - Tuesday"/>
    <s v="Monthly - Tuesday"/>
    <s v="Month+2 Expiry"/>
    <n v="14064"/>
    <n v="24.5363"/>
    <n v="0.3388"/>
  </r>
  <r>
    <s v="29-Jun-2026"/>
    <x v="0"/>
    <s v="Week5-Jun-2026"/>
    <x v="9"/>
    <s v="Q1FY27"/>
    <s v="29-Sep-2026"/>
    <s v="Tuesday"/>
    <s v="Monthly - Tuesday"/>
    <s v="Monthly - Tuesday"/>
    <s v="Month+3 Expiry"/>
    <n v="1399"/>
    <n v="2.4601"/>
    <n v="0.045"/>
  </r>
  <r>
    <s v="29-Jun-2026"/>
    <x v="0"/>
    <s v="Week5-Jun-2026"/>
    <x v="9"/>
    <s v="Q1FY27"/>
    <s v="29-Dec-2026"/>
    <s v="Tuesday"/>
    <s v="Monthly - Tuesday"/>
    <s v="Monthly - Tuesday"/>
    <s v="Month+6 Expiry"/>
    <n v="62"/>
    <n v="0.1069"/>
    <n v="0.0023"/>
  </r>
  <r>
    <s v="29-Jun-2026"/>
    <x v="0"/>
    <s v="Week5-Jun-2026"/>
    <x v="9"/>
    <s v="Q1FY27"/>
    <s v="30-Mar-2027"/>
    <s v="Tuesday"/>
    <s v="Monthly - Tuesday"/>
    <s v="Monthly - Tuesday"/>
    <s v="Month+9 Expiry"/>
    <n v="0"/>
    <n v="0"/>
    <n v="0"/>
  </r>
  <r>
    <s v="30-Jun-2026"/>
    <x v="1"/>
    <s v="Week5-Jun-2026"/>
    <x v="9"/>
    <s v="Q1FY27"/>
    <s v="30-Jun-2026"/>
    <s v="Tuesday"/>
    <s v="Monthly - Tuesday"/>
    <s v="Monthly - Tuesday"/>
    <s v="Same Month Expiry"/>
    <n v="90608397"/>
    <n v="156713.7945"/>
    <n v="165.7756"/>
  </r>
  <r>
    <s v="30-Jun-2026"/>
    <x v="1"/>
    <s v="Week5-Jun-2026"/>
    <x v="9"/>
    <s v="Q1FY27"/>
    <s v="28-Jul-2026"/>
    <s v="Tuesday"/>
    <s v="Monthly - Tuesday"/>
    <s v="Monthly - Tuesday"/>
    <s v="Month+1 Expiry"/>
    <n v="658052"/>
    <n v="1157.6016"/>
    <n v="14.3916"/>
  </r>
  <r>
    <s v="30-Jun-2026"/>
    <x v="1"/>
    <s v="Week5-Jun-2026"/>
    <x v="9"/>
    <s v="Q1FY27"/>
    <s v="25-Aug-2026"/>
    <s v="Tuesday"/>
    <s v="Monthly - Tuesday"/>
    <s v="Monthly - Tuesday"/>
    <s v="Month+2 Expiry"/>
    <n v="11039"/>
    <n v="19.3738"/>
    <n v="0.3173"/>
  </r>
  <r>
    <s v="30-Jun-2026"/>
    <x v="1"/>
    <s v="Week5-Jun-2026"/>
    <x v="9"/>
    <s v="Q1FY27"/>
    <s v="29-Sep-2026"/>
    <s v="Tuesday"/>
    <s v="Monthly - Tuesday"/>
    <s v="Monthly - Tuesday"/>
    <s v="Month+3 Expiry"/>
    <n v="1586"/>
    <n v="2.8343"/>
    <n v="0.0478"/>
  </r>
  <r>
    <s v="30-Jun-2026"/>
    <x v="1"/>
    <s v="Week5-Jun-2026"/>
    <x v="9"/>
    <s v="Q1FY27"/>
    <s v="29-Dec-2026"/>
    <s v="Tuesday"/>
    <s v="Monthly - Tuesday"/>
    <s v="Monthly - Tuesday"/>
    <s v="Month+6 Expiry"/>
    <n v="72"/>
    <n v="0.1286"/>
    <n v="0.0039"/>
  </r>
  <r>
    <s v="30-Jun-2026"/>
    <x v="1"/>
    <s v="Week5-Jun-2026"/>
    <x v="9"/>
    <s v="Q1FY27"/>
    <s v="30-Mar-2027"/>
    <s v="Tuesday"/>
    <s v="Monthly - Tuesday"/>
    <s v="Monthly - Tuesday"/>
    <s v="Month+9 Expiry"/>
    <n v="0"/>
    <n v="0"/>
    <n v="0"/>
  </r>
  <r>
    <s v="01-Jul-2026"/>
    <x v="2"/>
    <s v="Week1-Jul-2026"/>
    <x v="10"/>
    <s v="Q2FY27"/>
    <s v="28-Jul-2026"/>
    <s v="Tuesday"/>
    <s v="Monthly - Tuesday"/>
    <s v="Monthly - Tuesday"/>
    <s v="Same Month Expiry"/>
    <n v="1531718"/>
    <n v="2691.6388"/>
    <n v="27.7557"/>
  </r>
  <r>
    <s v="01-Jul-2026"/>
    <x v="2"/>
    <s v="Week1-Jul-2026"/>
    <x v="10"/>
    <s v="Q2FY27"/>
    <s v="25-Aug-2026"/>
    <s v="Tuesday"/>
    <s v="Monthly - Tuesday"/>
    <s v="Monthly - Tuesday"/>
    <s v="Month+1 Expiry"/>
    <n v="15430"/>
    <n v="26.6915"/>
    <n v="0.3439"/>
  </r>
  <r>
    <s v="01-Jul-2026"/>
    <x v="2"/>
    <s v="Week1-Jul-2026"/>
    <x v="10"/>
    <s v="Q2FY27"/>
    <s v="29-Sep-2026"/>
    <s v="Tuesday"/>
    <s v="Monthly - Tuesday"/>
    <s v="Monthly - Tuesday"/>
    <s v="Month+2 Expiry"/>
    <n v="3290"/>
    <n v="5.6259"/>
    <n v="0.07530000000000001"/>
  </r>
  <r>
    <s v="01-Jul-2026"/>
    <x v="2"/>
    <s v="Week1-Jul-2026"/>
    <x v="10"/>
    <s v="Q2FY27"/>
    <s v="29-Dec-2026"/>
    <s v="Tuesday"/>
    <s v="Monthly - Tuesday"/>
    <s v="Monthly - Tuesday"/>
    <s v="Month+5 Expiry"/>
    <n v="681"/>
    <n v="0.9676"/>
    <n v="0.0066"/>
  </r>
  <r>
    <s v="01-Jul-2026"/>
    <x v="2"/>
    <s v="Week1-Jul-2026"/>
    <x v="10"/>
    <s v="Q2FY27"/>
    <s v="30-Mar-2027"/>
    <s v="Tuesday"/>
    <s v="Monthly - Tuesday"/>
    <s v="Monthly - Tuesday"/>
    <s v="Month+8 Expiry"/>
    <n v="0"/>
    <n v="0"/>
    <n v="0"/>
  </r>
  <r>
    <s v="01-Jul-2026"/>
    <x v="2"/>
    <s v="Week1-Jul-2026"/>
    <x v="10"/>
    <s v="Q2FY27"/>
    <s v="29-Jun-2027"/>
    <s v="Tuesday"/>
    <s v="Monthly - Tuesday"/>
    <s v="Monthly - Tuesday"/>
    <s v="Month+11 Expiry"/>
    <n v="0"/>
    <n v="0"/>
    <n v="0"/>
  </r>
  <r>
    <s v="02-Jul-2026"/>
    <x v="3"/>
    <s v="Week1-Jul-2026"/>
    <x v="10"/>
    <s v="Q2FY27"/>
    <s v="28-Jul-2026"/>
    <s v="Tuesday"/>
    <s v="Monthly - Tuesday"/>
    <s v="Monthly - Tuesday"/>
    <s v="Same Month Expiry"/>
    <n v="1501955"/>
    <n v="2644.0387"/>
    <n v="27.0559"/>
  </r>
  <r>
    <s v="02-Jul-2026"/>
    <x v="3"/>
    <s v="Week1-Jul-2026"/>
    <x v="10"/>
    <s v="Q2FY27"/>
    <s v="25-Aug-2026"/>
    <s v="Tuesday"/>
    <s v="Monthly - Tuesday"/>
    <s v="Monthly - Tuesday"/>
    <s v="Month+1 Expiry"/>
    <n v="16533"/>
    <n v="29.1449"/>
    <n v="0.403"/>
  </r>
  <r>
    <s v="02-Jul-2026"/>
    <x v="3"/>
    <s v="Week1-Jul-2026"/>
    <x v="10"/>
    <s v="Q2FY27"/>
    <s v="29-Sep-2026"/>
    <s v="Tuesday"/>
    <s v="Monthly - Tuesday"/>
    <s v="Monthly - Tuesday"/>
    <s v="Month+2 Expiry"/>
    <n v="2461"/>
    <n v="4.1771"/>
    <n v="0.056"/>
  </r>
  <r>
    <s v="02-Jul-2026"/>
    <x v="3"/>
    <s v="Week1-Jul-2026"/>
    <x v="10"/>
    <s v="Q2FY27"/>
    <s v="29-Dec-2026"/>
    <s v="Tuesday"/>
    <s v="Monthly - Tuesday"/>
    <s v="Monthly - Tuesday"/>
    <s v="Month+5 Expiry"/>
    <n v="130"/>
    <n v="0.2233"/>
    <n v="0.0044"/>
  </r>
  <r>
    <s v="02-Jul-2026"/>
    <x v="3"/>
    <s v="Week1-Jul-2026"/>
    <x v="10"/>
    <s v="Q2FY27"/>
    <s v="30-Mar-2027"/>
    <s v="Tuesday"/>
    <s v="Monthly - Tuesday"/>
    <s v="Monthly - Tuesday"/>
    <s v="Month+8 Expiry"/>
    <n v="0"/>
    <n v="0"/>
    <n v="0"/>
  </r>
  <r>
    <s v="02-Jul-2026"/>
    <x v="3"/>
    <s v="Week1-Jul-2026"/>
    <x v="10"/>
    <s v="Q2FY27"/>
    <s v="29-Jun-2027"/>
    <s v="Tuesday"/>
    <s v="Monthly - Tuesday"/>
    <s v="Monthly - Tuesday"/>
    <s v="Month+11 Expiry"/>
    <n v="0"/>
    <n v="0"/>
    <n v="0"/>
  </r>
  <r>
    <s v="03-Jul-2026"/>
    <x v="4"/>
    <s v="Week1-Jul-2026"/>
    <x v="10"/>
    <s v="Q2FY27"/>
    <s v="28-Jul-2026"/>
    <s v="Tuesday"/>
    <s v="Monthly - Tuesday"/>
    <s v="Monthly - Tuesday"/>
    <s v="Same Month Expiry"/>
    <n v="1623313"/>
    <n v="2862.6442"/>
    <n v="28.8871"/>
  </r>
  <r>
    <s v="03-Jul-2026"/>
    <x v="4"/>
    <s v="Week1-Jul-2026"/>
    <x v="10"/>
    <s v="Q2FY27"/>
    <s v="25-Aug-2026"/>
    <s v="Tuesday"/>
    <s v="Monthly - Tuesday"/>
    <s v="Monthly - Tuesday"/>
    <s v="Month+1 Expiry"/>
    <n v="23323"/>
    <n v="40.9408"/>
    <n v="0.5841"/>
  </r>
  <r>
    <s v="03-Jul-2026"/>
    <x v="4"/>
    <s v="Week1-Jul-2026"/>
    <x v="10"/>
    <s v="Q2FY27"/>
    <s v="29-Sep-2026"/>
    <s v="Tuesday"/>
    <s v="Monthly - Tuesday"/>
    <s v="Monthly - Tuesday"/>
    <s v="Month+2 Expiry"/>
    <n v="3664"/>
    <n v="6.3765"/>
    <n v="0.1178"/>
  </r>
  <r>
    <s v="03-Jul-2026"/>
    <x v="4"/>
    <s v="Week1-Jul-2026"/>
    <x v="10"/>
    <s v="Q2FY27"/>
    <s v="29-Dec-2026"/>
    <s v="Tuesday"/>
    <s v="Monthly - Tuesday"/>
    <s v="Monthly - Tuesday"/>
    <s v="Month+5 Expiry"/>
    <n v="95"/>
    <n v="0.1641"/>
    <n v="0.0034"/>
  </r>
  <r>
    <s v="03-Jul-2026"/>
    <x v="4"/>
    <s v="Week1-Jul-2026"/>
    <x v="10"/>
    <s v="Q2FY27"/>
    <s v="30-Mar-2027"/>
    <s v="Tuesday"/>
    <s v="Monthly - Tuesday"/>
    <s v="Monthly - Tuesday"/>
    <s v="Month+8 Expiry"/>
    <n v="0"/>
    <n v="0"/>
    <n v="0"/>
  </r>
  <r>
    <s v="03-Jul-2026"/>
    <x v="4"/>
    <s v="Week1-Jul-2026"/>
    <x v="10"/>
    <s v="Q2FY27"/>
    <s v="29-Jun-2027"/>
    <s v="Tuesday"/>
    <s v="Monthly - Tuesday"/>
    <s v="Monthly - Tuesday"/>
    <s v="Month+11 Expiry"/>
    <n v="0"/>
    <n v="0"/>
    <n v="0"/>
  </r>
  <r>
    <s v="06-Jul-2026"/>
    <x v="0"/>
    <s v="Week1-Jul-2026"/>
    <x v="10"/>
    <s v="Q2FY27"/>
    <s v="28-Jul-2026"/>
    <s v="Tuesday"/>
    <s v="Monthly - Tuesday"/>
    <s v="Monthly - Tuesday"/>
    <s v="Same Month Expiry"/>
    <n v="1652760"/>
    <n v="2921.7287"/>
    <n v="25.8063"/>
  </r>
  <r>
    <s v="06-Jul-2026"/>
    <x v="0"/>
    <s v="Week1-Jul-2026"/>
    <x v="10"/>
    <s v="Q2FY27"/>
    <s v="25-Aug-2026"/>
    <s v="Tuesday"/>
    <s v="Monthly - Tuesday"/>
    <s v="Monthly - Tuesday"/>
    <s v="Month+1 Expiry"/>
    <n v="23715"/>
    <n v="41.2133"/>
    <n v="0.4671"/>
  </r>
  <r>
    <s v="06-Jul-2026"/>
    <x v="0"/>
    <s v="Week1-Jul-2026"/>
    <x v="10"/>
    <s v="Q2FY27"/>
    <s v="29-Sep-2026"/>
    <s v="Tuesday"/>
    <s v="Monthly - Tuesday"/>
    <s v="Monthly - Tuesday"/>
    <s v="Month+2 Expiry"/>
    <n v="3246"/>
    <n v="5.693"/>
    <n v="0.095"/>
  </r>
  <r>
    <s v="06-Jul-2026"/>
    <x v="0"/>
    <s v="Week1-Jul-2026"/>
    <x v="10"/>
    <s v="Q2FY27"/>
    <s v="29-Dec-2026"/>
    <s v="Tuesday"/>
    <s v="Monthly - Tuesday"/>
    <s v="Monthly - Tuesday"/>
    <s v="Month+5 Expiry"/>
    <n v="205"/>
    <n v="0.3486"/>
    <n v="0.0061"/>
  </r>
  <r>
    <s v="06-Jul-2026"/>
    <x v="0"/>
    <s v="Week1-Jul-2026"/>
    <x v="10"/>
    <s v="Q2FY27"/>
    <s v="30-Mar-2027"/>
    <s v="Tuesday"/>
    <s v="Monthly - Tuesday"/>
    <s v="Monthly - Tuesday"/>
    <s v="Month+8 Expiry"/>
    <n v="0"/>
    <n v="0"/>
    <n v="0"/>
  </r>
  <r>
    <s v="06-Jul-2026"/>
    <x v="0"/>
    <s v="Week1-Jul-2026"/>
    <x v="10"/>
    <s v="Q2FY27"/>
    <s v="29-Jun-2027"/>
    <s v="Tuesday"/>
    <s v="Monthly - Tuesday"/>
    <s v="Monthly - Tuesday"/>
    <s v="Month+11 Expiry"/>
    <n v="0"/>
    <n v="0"/>
    <n v="0"/>
  </r>
  <r>
    <s v="07-Jul-2026"/>
    <x v="1"/>
    <s v="Week1-Jul-2026"/>
    <x v="10"/>
    <s v="Q2FY27"/>
    <s v="28-Jul-2026"/>
    <s v="Tuesday"/>
    <s v="Monthly - Tuesday"/>
    <s v="Monthly - Tuesday"/>
    <s v="Same Month Expiry"/>
    <n v="1591088"/>
    <n v="2806.7101"/>
    <n v="22.7747"/>
  </r>
  <r>
    <s v="07-Jul-2026"/>
    <x v="1"/>
    <s v="Week1-Jul-2026"/>
    <x v="10"/>
    <s v="Q2FY27"/>
    <s v="25-Aug-2026"/>
    <s v="Tuesday"/>
    <s v="Monthly - Tuesday"/>
    <s v="Monthly - Tuesday"/>
    <s v="Month+1 Expiry"/>
    <n v="19016"/>
    <n v="33.4512"/>
    <n v="0.3871"/>
  </r>
  <r>
    <s v="07-Jul-2026"/>
    <x v="1"/>
    <s v="Week1-Jul-2026"/>
    <x v="10"/>
    <s v="Q2FY27"/>
    <s v="29-Sep-2026"/>
    <s v="Tuesday"/>
    <s v="Monthly - Tuesday"/>
    <s v="Monthly - Tuesday"/>
    <s v="Month+2 Expiry"/>
    <n v="2629"/>
    <n v="4.5961"/>
    <n v="0.07240000000000001"/>
  </r>
  <r>
    <s v="07-Jul-2026"/>
    <x v="1"/>
    <s v="Week1-Jul-2026"/>
    <x v="10"/>
    <s v="Q2FY27"/>
    <s v="29-Dec-2026"/>
    <s v="Tuesday"/>
    <s v="Monthly - Tuesday"/>
    <s v="Monthly - Tuesday"/>
    <s v="Month+5 Expiry"/>
    <n v="154"/>
    <n v="0.2659"/>
    <n v="0.005"/>
  </r>
  <r>
    <s v="07-Jul-2026"/>
    <x v="1"/>
    <s v="Week1-Jul-2026"/>
    <x v="10"/>
    <s v="Q2FY27"/>
    <s v="30-Mar-2027"/>
    <s v="Tuesday"/>
    <s v="Monthly - Tuesday"/>
    <s v="Monthly - Tuesday"/>
    <s v="Month+8 Expiry"/>
    <n v="0"/>
    <n v="0"/>
    <n v="0"/>
  </r>
  <r>
    <s v="07-Jul-2026"/>
    <x v="1"/>
    <s v="Week1-Jul-2026"/>
    <x v="10"/>
    <s v="Q2FY27"/>
    <s v="29-Jun-2027"/>
    <s v="Tuesday"/>
    <s v="Monthly - Tuesday"/>
    <s v="Monthly - Tuesday"/>
    <s v="Month+11 Expiry"/>
    <n v="0"/>
    <n v="0"/>
    <n v="0"/>
  </r>
  <r>
    <s v="08-Jul-2026"/>
    <x v="2"/>
    <s v="Week2-Jul-2026"/>
    <x v="10"/>
    <s v="Q2FY27"/>
    <s v="28-Jul-2026"/>
    <s v="Tuesday"/>
    <s v="Monthly - Tuesday"/>
    <s v="Monthly - Tuesday"/>
    <s v="Same Month Expiry"/>
    <n v="3176686"/>
    <n v="5530.4037"/>
    <n v="47.4274"/>
  </r>
  <r>
    <s v="08-Jul-2026"/>
    <x v="2"/>
    <s v="Week2-Jul-2026"/>
    <x v="10"/>
    <s v="Q2FY27"/>
    <s v="25-Aug-2026"/>
    <s v="Tuesday"/>
    <s v="Monthly - Tuesday"/>
    <s v="Monthly - Tuesday"/>
    <s v="Month+1 Expiry"/>
    <n v="71715"/>
    <n v="125.602"/>
    <n v="1.7156"/>
  </r>
  <r>
    <s v="08-Jul-2026"/>
    <x v="2"/>
    <s v="Week2-Jul-2026"/>
    <x v="10"/>
    <s v="Q2FY27"/>
    <s v="29-Sep-2026"/>
    <s v="Tuesday"/>
    <s v="Monthly - Tuesday"/>
    <s v="Monthly - Tuesday"/>
    <s v="Month+2 Expiry"/>
    <n v="9458"/>
    <n v="16.5237"/>
    <n v="0.2608"/>
  </r>
  <r>
    <s v="08-Jul-2026"/>
    <x v="2"/>
    <s v="Week2-Jul-2026"/>
    <x v="10"/>
    <s v="Q2FY27"/>
    <s v="29-Dec-2026"/>
    <s v="Tuesday"/>
    <s v="Monthly - Tuesday"/>
    <s v="Monthly - Tuesday"/>
    <s v="Month+5 Expiry"/>
    <n v="724"/>
    <n v="1.2332"/>
    <n v="0.0269"/>
  </r>
  <r>
    <s v="08-Jul-2026"/>
    <x v="2"/>
    <s v="Week2-Jul-2026"/>
    <x v="10"/>
    <s v="Q2FY27"/>
    <s v="30-Mar-2027"/>
    <s v="Tuesday"/>
    <s v="Monthly - Tuesday"/>
    <s v="Monthly - Tuesday"/>
    <s v="Month+8 Expiry"/>
    <n v="0"/>
    <n v="0"/>
    <n v="0"/>
  </r>
  <r>
    <s v="08-Jul-2026"/>
    <x v="2"/>
    <s v="Week2-Jul-2026"/>
    <x v="10"/>
    <s v="Q2FY27"/>
    <s v="29-Jun-2027"/>
    <s v="Tuesday"/>
    <s v="Monthly - Tuesday"/>
    <s v="Monthly - Tuesday"/>
    <s v="Month+11 Expiry"/>
    <n v="0"/>
    <n v="0"/>
    <n v="0"/>
  </r>
  <r>
    <s v="09-Jul-2026"/>
    <x v="3"/>
    <s v="Week2-Jul-2026"/>
    <x v="10"/>
    <s v="Q2FY27"/>
    <s v="28-Jul-2026"/>
    <s v="Tuesday"/>
    <s v="Monthly - Tuesday"/>
    <s v="Monthly - Tuesday"/>
    <s v="Same Month Expiry"/>
    <n v="2188933"/>
    <n v="3807.0281"/>
    <n v="32.4544"/>
  </r>
  <r>
    <s v="09-Jul-2026"/>
    <x v="3"/>
    <s v="Week2-Jul-2026"/>
    <x v="10"/>
    <s v="Q2FY27"/>
    <s v="25-Aug-2026"/>
    <s v="Tuesday"/>
    <s v="Monthly - Tuesday"/>
    <s v="Monthly - Tuesday"/>
    <s v="Month+1 Expiry"/>
    <n v="34068"/>
    <n v="59.1385"/>
    <n v="0.771"/>
  </r>
  <r>
    <s v="09-Jul-2026"/>
    <x v="3"/>
    <s v="Week2-Jul-2026"/>
    <x v="10"/>
    <s v="Q2FY27"/>
    <s v="29-Sep-2026"/>
    <s v="Tuesday"/>
    <s v="Monthly - Tuesday"/>
    <s v="Monthly - Tuesday"/>
    <s v="Month+2 Expiry"/>
    <n v="6847"/>
    <n v="12.0556"/>
    <n v="0.199"/>
  </r>
  <r>
    <s v="09-Jul-2026"/>
    <x v="3"/>
    <s v="Week2-Jul-2026"/>
    <x v="10"/>
    <s v="Q2FY27"/>
    <s v="29-Dec-2026"/>
    <s v="Tuesday"/>
    <s v="Monthly - Tuesday"/>
    <s v="Monthly - Tuesday"/>
    <s v="Month+5 Expiry"/>
    <n v="354"/>
    <n v="0.6213"/>
    <n v="0.0134"/>
  </r>
  <r>
    <s v="09-Jul-2026"/>
    <x v="3"/>
    <s v="Week2-Jul-2026"/>
    <x v="10"/>
    <s v="Q2FY27"/>
    <s v="30-Mar-2027"/>
    <s v="Tuesday"/>
    <s v="Monthly - Tuesday"/>
    <s v="Monthly - Tuesday"/>
    <s v="Month+8 Expiry"/>
    <n v="0"/>
    <n v="0"/>
    <n v="0"/>
  </r>
  <r>
    <s v="09-Jul-2026"/>
    <x v="3"/>
    <s v="Week2-Jul-2026"/>
    <x v="10"/>
    <s v="Q2FY27"/>
    <s v="29-Jun-2027"/>
    <s v="Tuesday"/>
    <s v="Monthly - Tuesday"/>
    <s v="Monthly - Tuesday"/>
    <s v="Month+11 Expiry"/>
    <n v="0"/>
    <n v="0"/>
    <n v="0"/>
  </r>
  <r>
    <s v="10-Jul-2026"/>
    <x v="4"/>
    <s v="Week2-Jul-2026"/>
    <x v="10"/>
    <s v="Q2FY27"/>
    <s v="28-Jul-2026"/>
    <s v="Tuesday"/>
    <s v="Monthly - Tuesday"/>
    <s v="Monthly - Tuesday"/>
    <s v="Same Month Expiry"/>
    <n v="2142493"/>
    <n v="3757.6859"/>
    <n v="31.0447"/>
  </r>
  <r>
    <s v="10-Jul-2026"/>
    <x v="4"/>
    <s v="Week2-Jul-2026"/>
    <x v="10"/>
    <s v="Q2FY27"/>
    <s v="25-Aug-2026"/>
    <s v="Tuesday"/>
    <s v="Monthly - Tuesday"/>
    <s v="Monthly - Tuesday"/>
    <s v="Month+1 Expiry"/>
    <n v="35759"/>
    <n v="62.6405"/>
    <n v="0.7769"/>
  </r>
  <r>
    <s v="10-Jul-2026"/>
    <x v="4"/>
    <s v="Week2-Jul-2026"/>
    <x v="10"/>
    <s v="Q2FY27"/>
    <s v="29-Sep-2026"/>
    <s v="Tuesday"/>
    <s v="Monthly - Tuesday"/>
    <s v="Monthly - Tuesday"/>
    <s v="Month+2 Expiry"/>
    <n v="4917"/>
    <n v="8.7098"/>
    <n v="0.1417"/>
  </r>
  <r>
    <s v="10-Jul-2026"/>
    <x v="4"/>
    <s v="Week2-Jul-2026"/>
    <x v="10"/>
    <s v="Q2FY27"/>
    <s v="29-Dec-2026"/>
    <s v="Tuesday"/>
    <s v="Monthly - Tuesday"/>
    <s v="Monthly - Tuesday"/>
    <s v="Month+5 Expiry"/>
    <n v="258"/>
    <n v="0.4625"/>
    <n v="0.0095"/>
  </r>
  <r>
    <s v="10-Jul-2026"/>
    <x v="4"/>
    <s v="Week2-Jul-2026"/>
    <x v="10"/>
    <s v="Q2FY27"/>
    <s v="30-Mar-2027"/>
    <s v="Tuesday"/>
    <s v="Monthly - Tuesday"/>
    <s v="Monthly - Tuesday"/>
    <s v="Month+8 Expiry"/>
    <n v="1"/>
    <n v="0.0019"/>
    <n v="0.0001"/>
  </r>
  <r>
    <s v="10-Jul-2026"/>
    <x v="4"/>
    <s v="Week2-Jul-2026"/>
    <x v="10"/>
    <s v="Q2FY27"/>
    <s v="29-Jun-2027"/>
    <s v="Tuesday"/>
    <s v="Monthly - Tuesday"/>
    <s v="Monthly - Tuesday"/>
    <s v="Month+11 Expiry"/>
    <n v="0"/>
    <n v="0"/>
    <n v="0"/>
  </r>
  <r>
    <s v="13-Jul-2026"/>
    <x v="0"/>
    <s v="Week2-Jul-2026"/>
    <x v="10"/>
    <s v="Q2FY27"/>
    <s v="28-Jul-2026"/>
    <s v="Tuesday"/>
    <s v="Monthly - Tuesday"/>
    <s v="Monthly - Tuesday"/>
    <s v="Same Month Expiry"/>
    <n v="2380345"/>
    <n v="4185.2061"/>
    <n v="33.8626"/>
  </r>
  <r>
    <s v="13-Jul-2026"/>
    <x v="0"/>
    <s v="Week2-Jul-2026"/>
    <x v="10"/>
    <s v="Q2FY27"/>
    <s v="25-Aug-2026"/>
    <s v="Tuesday"/>
    <s v="Monthly - Tuesday"/>
    <s v="Monthly - Tuesday"/>
    <s v="Month+1 Expiry"/>
    <n v="50242"/>
    <n v="87.45659999999999"/>
    <n v="1.0187"/>
  </r>
  <r>
    <s v="13-Jul-2026"/>
    <x v="0"/>
    <s v="Week2-Jul-2026"/>
    <x v="10"/>
    <s v="Q2FY27"/>
    <s v="29-Sep-2026"/>
    <s v="Tuesday"/>
    <s v="Monthly - Tuesday"/>
    <s v="Monthly - Tuesday"/>
    <s v="Month+2 Expiry"/>
    <n v="4849"/>
    <n v="8.487"/>
    <n v="0.1302"/>
  </r>
  <r>
    <s v="13-Jul-2026"/>
    <x v="0"/>
    <s v="Week2-Jul-2026"/>
    <x v="10"/>
    <s v="Q2FY27"/>
    <s v="29-Dec-2026"/>
    <s v="Tuesday"/>
    <s v="Monthly - Tuesday"/>
    <s v="Monthly - Tuesday"/>
    <s v="Month+5 Expiry"/>
    <n v="347"/>
    <n v="0.6294"/>
    <n v="0.0176"/>
  </r>
  <r>
    <s v="13-Jul-2026"/>
    <x v="0"/>
    <s v="Week2-Jul-2026"/>
    <x v="10"/>
    <s v="Q2FY27"/>
    <s v="30-Mar-2027"/>
    <s v="Tuesday"/>
    <s v="Monthly - Tuesday"/>
    <s v="Monthly - Tuesday"/>
    <s v="Month+8 Expiry"/>
    <n v="0"/>
    <n v="0"/>
    <n v="0"/>
  </r>
  <r>
    <s v="13-Jul-2026"/>
    <x v="0"/>
    <s v="Week2-Jul-2026"/>
    <x v="10"/>
    <s v="Q2FY27"/>
    <s v="29-Jun-2027"/>
    <s v="Tuesday"/>
    <s v="Monthly - Tuesday"/>
    <s v="Monthly - Tuesday"/>
    <s v="Month+11 Expiry"/>
    <n v="0"/>
    <n v="0"/>
    <n v="0"/>
  </r>
  <r>
    <s v="14-Jul-2026"/>
    <x v="1"/>
    <s v="Week2-Jul-2026"/>
    <x v="10"/>
    <s v="Q2FY27"/>
    <s v="28-Jul-2026"/>
    <s v="Tuesday"/>
    <s v="Monthly - Tuesday"/>
    <s v="Monthly - Tuesday"/>
    <s v="Same Month Expiry"/>
    <n v="2153750"/>
    <n v="3764.1958"/>
    <n v="30.7826"/>
  </r>
  <r>
    <s v="14-Jul-2026"/>
    <x v="1"/>
    <s v="Week2-Jul-2026"/>
    <x v="10"/>
    <s v="Q2FY27"/>
    <s v="25-Aug-2026"/>
    <s v="Tuesday"/>
    <s v="Monthly - Tuesday"/>
    <s v="Monthly - Tuesday"/>
    <s v="Month+1 Expiry"/>
    <n v="57610"/>
    <n v="100.9769"/>
    <n v="1.2811"/>
  </r>
  <r>
    <s v="14-Jul-2026"/>
    <x v="1"/>
    <s v="Week2-Jul-2026"/>
    <x v="10"/>
    <s v="Q2FY27"/>
    <s v="29-Sep-2026"/>
    <s v="Tuesday"/>
    <s v="Monthly - Tuesday"/>
    <s v="Monthly - Tuesday"/>
    <s v="Month+2 Expiry"/>
    <n v="6204"/>
    <n v="10.89"/>
    <n v="0.1531"/>
  </r>
  <r>
    <s v="14-Jul-2026"/>
    <x v="1"/>
    <s v="Week2-Jul-2026"/>
    <x v="10"/>
    <s v="Q2FY27"/>
    <s v="29-Dec-2026"/>
    <s v="Tuesday"/>
    <s v="Monthly - Tuesday"/>
    <s v="Monthly - Tuesday"/>
    <s v="Month+5 Expiry"/>
    <n v="286"/>
    <n v="0.5077"/>
    <n v="0.0117"/>
  </r>
  <r>
    <s v="14-Jul-2026"/>
    <x v="1"/>
    <s v="Week2-Jul-2026"/>
    <x v="10"/>
    <s v="Q2FY27"/>
    <s v="30-Mar-2027"/>
    <s v="Tuesday"/>
    <s v="Monthly - Tuesday"/>
    <s v="Monthly - Tuesday"/>
    <s v="Month+8 Expiry"/>
    <n v="0"/>
    <n v="0"/>
    <n v="0"/>
  </r>
  <r>
    <s v="14-Jul-2026"/>
    <x v="1"/>
    <s v="Week2-Jul-2026"/>
    <x v="10"/>
    <s v="Q2FY27"/>
    <s v="29-Jun-2027"/>
    <s v="Tuesday"/>
    <s v="Monthly - Tuesday"/>
    <s v="Monthly - Tuesday"/>
    <s v="Month+11 Expiry"/>
    <n v="0"/>
    <n v="0"/>
    <n v="0"/>
  </r>
  <r>
    <s v="15-Jul-2026"/>
    <x v="2"/>
    <s v="Week3-Jul-2026"/>
    <x v="10"/>
    <s v="Q2FY27"/>
    <s v="28-Jul-2026"/>
    <s v="Tuesday"/>
    <s v="Monthly - Tuesday"/>
    <s v="Monthly - Tuesday"/>
    <s v="Same Month Expiry"/>
    <n v="2730976"/>
    <n v="4775.9998"/>
    <n v="37.7578"/>
  </r>
  <r>
    <s v="15-Jul-2026"/>
    <x v="2"/>
    <s v="Week3-Jul-2026"/>
    <x v="10"/>
    <s v="Q2FY27"/>
    <s v="25-Aug-2026"/>
    <s v="Tuesday"/>
    <s v="Monthly - Tuesday"/>
    <s v="Monthly - Tuesday"/>
    <s v="Month+1 Expiry"/>
    <n v="67095"/>
    <n v="117.91"/>
    <n v="1.3605"/>
  </r>
  <r>
    <s v="15-Jul-2026"/>
    <x v="2"/>
    <s v="Week3-Jul-2026"/>
    <x v="10"/>
    <s v="Q2FY27"/>
    <s v="29-Sep-2026"/>
    <s v="Tuesday"/>
    <s v="Monthly - Tuesday"/>
    <s v="Monthly - Tuesday"/>
    <s v="Month+2 Expiry"/>
    <n v="7256"/>
    <n v="12.6785"/>
    <n v="0.1862"/>
  </r>
  <r>
    <s v="15-Jul-2026"/>
    <x v="2"/>
    <s v="Week3-Jul-2026"/>
    <x v="10"/>
    <s v="Q2FY27"/>
    <s v="29-Dec-2026"/>
    <s v="Tuesday"/>
    <s v="Monthly - Tuesday"/>
    <s v="Monthly - Tuesday"/>
    <s v="Month+5 Expiry"/>
    <n v="285"/>
    <n v="0.4926"/>
    <n v="0.0101"/>
  </r>
  <r>
    <s v="15-Jul-2026"/>
    <x v="2"/>
    <s v="Week3-Jul-2026"/>
    <x v="10"/>
    <s v="Q2FY27"/>
    <s v="30-Mar-2027"/>
    <s v="Tuesday"/>
    <s v="Monthly - Tuesday"/>
    <s v="Monthly - Tuesday"/>
    <s v="Month+8 Expiry"/>
    <n v="0"/>
    <n v="0"/>
    <n v="0"/>
  </r>
  <r>
    <s v="15-Jul-2026"/>
    <x v="2"/>
    <s v="Week3-Jul-2026"/>
    <x v="10"/>
    <s v="Q2FY27"/>
    <s v="29-Jun-2027"/>
    <s v="Tuesday"/>
    <s v="Monthly - Tuesday"/>
    <s v="Monthly - Tuesday"/>
    <s v="Month+11 Expiry"/>
    <n v="0"/>
    <n v="0"/>
    <n v="0"/>
  </r>
  <r>
    <s v="16-Jul-2026"/>
    <x v="3"/>
    <s v="Week3-Jul-2026"/>
    <x v="10"/>
    <s v="Q2FY27"/>
    <s v="28-Jul-2026"/>
    <s v="Tuesday"/>
    <s v="Monthly - Tuesday"/>
    <s v="Monthly - Tuesday"/>
    <s v="Same Month Expiry"/>
    <n v="2047625"/>
    <n v="3580.5422"/>
    <n v="26.3817"/>
  </r>
  <r>
    <s v="16-Jul-2026"/>
    <x v="3"/>
    <s v="Week3-Jul-2026"/>
    <x v="10"/>
    <s v="Q2FY27"/>
    <s v="25-Aug-2026"/>
    <s v="Tuesday"/>
    <s v="Monthly - Tuesday"/>
    <s v="Monthly - Tuesday"/>
    <s v="Month+1 Expiry"/>
    <n v="41598"/>
    <n v="72.9849"/>
    <n v="0.9424"/>
  </r>
  <r>
    <s v="16-Jul-2026"/>
    <x v="3"/>
    <s v="Week3-Jul-2026"/>
    <x v="10"/>
    <s v="Q2FY27"/>
    <s v="29-Sep-2026"/>
    <s v="Tuesday"/>
    <s v="Monthly - Tuesday"/>
    <s v="Monthly - Tuesday"/>
    <s v="Month+2 Expiry"/>
    <n v="6745"/>
    <n v="11.8747"/>
    <n v="0.1839"/>
  </r>
  <r>
    <s v="16-Jul-2026"/>
    <x v="3"/>
    <s v="Week3-Jul-2026"/>
    <x v="10"/>
    <s v="Q2FY27"/>
    <s v="29-Dec-2026"/>
    <s v="Tuesday"/>
    <s v="Monthly - Tuesday"/>
    <s v="Monthly - Tuesday"/>
    <s v="Month+5 Expiry"/>
    <n v="212"/>
    <n v="0.3723"/>
    <n v="0.0083"/>
  </r>
  <r>
    <s v="16-Jul-2026"/>
    <x v="3"/>
    <s v="Week3-Jul-2026"/>
    <x v="10"/>
    <s v="Q2FY27"/>
    <s v="30-Mar-2027"/>
    <s v="Tuesday"/>
    <s v="Monthly - Tuesday"/>
    <s v="Monthly - Tuesday"/>
    <s v="Month+8 Expiry"/>
    <n v="2"/>
    <n v="0.0039"/>
    <n v="0.0001"/>
  </r>
  <r>
    <s v="16-Jul-2026"/>
    <x v="3"/>
    <s v="Week3-Jul-2026"/>
    <x v="10"/>
    <s v="Q2FY27"/>
    <s v="29-Jun-2027"/>
    <s v="Tuesday"/>
    <s v="Monthly - Tuesday"/>
    <s v="Monthly - Tuesday"/>
    <s v="Month+11 Expiry"/>
    <n v="0"/>
    <n v="0"/>
    <n v="0"/>
  </r>
  <r>
    <s v="17-Jul-2026"/>
    <x v="4"/>
    <s v="Week3-Jul-2026"/>
    <x v="10"/>
    <s v="Q2FY27"/>
    <s v="28-Jul-2026"/>
    <s v="Tuesday"/>
    <s v="Monthly - Tuesday"/>
    <s v="Monthly - Tuesday"/>
    <s v="Same Month Expiry"/>
    <n v="3541356"/>
    <n v="6210.8686"/>
    <n v="42.6363"/>
  </r>
  <r>
    <s v="17-Jul-2026"/>
    <x v="4"/>
    <s v="Week3-Jul-2026"/>
    <x v="10"/>
    <s v="Q2FY27"/>
    <s v="25-Aug-2026"/>
    <s v="Tuesday"/>
    <s v="Monthly - Tuesday"/>
    <s v="Monthly - Tuesday"/>
    <s v="Month+1 Expiry"/>
    <n v="97657"/>
    <n v="171.7121"/>
    <n v="2.0862"/>
  </r>
  <r>
    <s v="17-Jul-2026"/>
    <x v="4"/>
    <s v="Week3-Jul-2026"/>
    <x v="10"/>
    <s v="Q2FY27"/>
    <s v="29-Sep-2026"/>
    <s v="Tuesday"/>
    <s v="Monthly - Tuesday"/>
    <s v="Monthly - Tuesday"/>
    <s v="Month+2 Expiry"/>
    <n v="9989"/>
    <n v="17.5083"/>
    <n v="0.2271"/>
  </r>
  <r>
    <s v="17-Jul-2026"/>
    <x v="4"/>
    <s v="Week3-Jul-2026"/>
    <x v="10"/>
    <s v="Q2FY27"/>
    <s v="29-Dec-2026"/>
    <s v="Tuesday"/>
    <s v="Monthly - Tuesday"/>
    <s v="Monthly - Tuesday"/>
    <s v="Month+5 Expiry"/>
    <n v="651"/>
    <n v="1.1139"/>
    <n v="0.0199"/>
  </r>
  <r>
    <s v="17-Jul-2026"/>
    <x v="4"/>
    <s v="Week3-Jul-2026"/>
    <x v="10"/>
    <s v="Q2FY27"/>
    <s v="30-Mar-2027"/>
    <s v="Tuesday"/>
    <s v="Monthly - Tuesday"/>
    <s v="Monthly - Tuesday"/>
    <s v="Month+8 Expiry"/>
    <n v="2"/>
    <n v="0.0039"/>
    <n v="0.0001"/>
  </r>
  <r>
    <s v="17-Jul-2026"/>
    <x v="4"/>
    <s v="Week3-Jul-2026"/>
    <x v="10"/>
    <s v="Q2FY27"/>
    <s v="29-Jun-2027"/>
    <s v="Tuesday"/>
    <s v="Monthly - Tuesday"/>
    <s v="Monthly - Tuesday"/>
    <s v="Month+11 Expiry"/>
    <n v="0"/>
    <n v="0"/>
    <n v="0"/>
  </r>
  <r>
    <s v="20-Jul-2026"/>
    <x v="0"/>
    <s v="Week3-Jul-2026"/>
    <x v="10"/>
    <s v="Q2FY27"/>
    <s v="28-Jul-2026"/>
    <s v="Tuesday"/>
    <s v="Monthly - Tuesday"/>
    <s v="Monthly - Tuesday"/>
    <s v="Same Month Expiry"/>
    <n v="3962266"/>
    <n v="6924.0781"/>
    <n v="39.6558"/>
  </r>
  <r>
    <s v="20-Jul-2026"/>
    <x v="0"/>
    <s v="Week3-Jul-2026"/>
    <x v="10"/>
    <s v="Q2FY27"/>
    <s v="25-Aug-2026"/>
    <s v="Tuesday"/>
    <s v="Monthly - Tuesday"/>
    <s v="Monthly - Tuesday"/>
    <s v="Month+1 Expiry"/>
    <n v="166759"/>
    <n v="293.3312"/>
    <n v="3.3772"/>
  </r>
  <r>
    <s v="20-Jul-2026"/>
    <x v="0"/>
    <s v="Week3-Jul-2026"/>
    <x v="10"/>
    <s v="Q2FY27"/>
    <s v="29-Sep-2026"/>
    <s v="Tuesday"/>
    <s v="Monthly - Tuesday"/>
    <s v="Monthly - Tuesday"/>
    <s v="Month+2 Expiry"/>
    <n v="12772"/>
    <n v="22.3625"/>
    <n v="0.328"/>
  </r>
  <r>
    <s v="20-Jul-2026"/>
    <x v="0"/>
    <s v="Week3-Jul-2026"/>
    <x v="10"/>
    <s v="Q2FY27"/>
    <s v="29-Dec-2026"/>
    <s v="Tuesday"/>
    <s v="Monthly - Tuesday"/>
    <s v="Monthly - Tuesday"/>
    <s v="Month+5 Expiry"/>
    <n v="411"/>
    <n v="0.7393"/>
    <n v="0.0171"/>
  </r>
  <r>
    <s v="20-Jul-2026"/>
    <x v="0"/>
    <s v="Week3-Jul-2026"/>
    <x v="10"/>
    <s v="Q2FY27"/>
    <s v="30-Mar-2027"/>
    <s v="Tuesday"/>
    <s v="Monthly - Tuesday"/>
    <s v="Monthly - Tuesday"/>
    <s v="Month+8 Expiry"/>
    <n v="1"/>
    <n v="0.0019"/>
    <n v="0"/>
  </r>
  <r>
    <s v="20-Jul-2026"/>
    <x v="0"/>
    <s v="Week3-Jul-2026"/>
    <x v="10"/>
    <s v="Q2FY27"/>
    <s v="29-Jun-2027"/>
    <s v="Tuesday"/>
    <s v="Monthly - Tuesday"/>
    <s v="Monthly - Tuesday"/>
    <s v="Month+11 Expiry"/>
    <n v="0"/>
    <n v="0"/>
    <n v="0"/>
  </r>
  <r>
    <s v="21-Jul-2026"/>
    <x v="1"/>
    <s v="Week3-Jul-2026"/>
    <x v="10"/>
    <s v="Q2FY27"/>
    <s v="28-Jul-2026"/>
    <s v="Tuesday"/>
    <s v="Monthly - Tuesday"/>
    <s v="Monthly - Tuesday"/>
    <s v="Same Month Expiry"/>
    <n v="2965393"/>
    <n v="5177.4295"/>
    <n v="26.1967"/>
  </r>
  <r>
    <s v="21-Jul-2026"/>
    <x v="1"/>
    <s v="Week3-Jul-2026"/>
    <x v="10"/>
    <s v="Q2FY27"/>
    <s v="25-Aug-2026"/>
    <s v="Tuesday"/>
    <s v="Monthly - Tuesday"/>
    <s v="Monthly - Tuesday"/>
    <s v="Month+1 Expiry"/>
    <n v="107181"/>
    <n v="189.3837"/>
    <n v="2.0461"/>
  </r>
  <r>
    <s v="21-Jul-2026"/>
    <x v="1"/>
    <s v="Week3-Jul-2026"/>
    <x v="10"/>
    <s v="Q2FY27"/>
    <s v="29-Sep-2026"/>
    <s v="Tuesday"/>
    <s v="Monthly - Tuesday"/>
    <s v="Monthly - Tuesday"/>
    <s v="Month+2 Expiry"/>
    <n v="10066"/>
    <n v="17.5367"/>
    <n v="0.2319"/>
  </r>
  <r>
    <s v="21-Jul-2026"/>
    <x v="1"/>
    <s v="Week3-Jul-2026"/>
    <x v="10"/>
    <s v="Q2FY27"/>
    <s v="29-Dec-2026"/>
    <s v="Tuesday"/>
    <s v="Monthly - Tuesday"/>
    <s v="Monthly - Tuesday"/>
    <s v="Month+5 Expiry"/>
    <n v="266"/>
    <n v="0.4601"/>
    <n v="0.0091"/>
  </r>
  <r>
    <s v="21-Jul-2026"/>
    <x v="1"/>
    <s v="Week3-Jul-2026"/>
    <x v="10"/>
    <s v="Q2FY27"/>
    <s v="30-Mar-2027"/>
    <s v="Tuesday"/>
    <s v="Monthly - Tuesday"/>
    <s v="Monthly - Tuesday"/>
    <s v="Month+8 Expiry"/>
    <n v="2"/>
    <n v="0.0039"/>
    <n v="0.0001"/>
  </r>
  <r>
    <s v="21-Jul-2026"/>
    <x v="1"/>
    <s v="Week3-Jul-2026"/>
    <x v="10"/>
    <s v="Q2FY27"/>
    <s v="29-Jun-2027"/>
    <s v="Tuesday"/>
    <s v="Monthly - Tuesday"/>
    <s v="Monthly - Tuesday"/>
    <s v="Month+11 Expiry"/>
    <n v="0"/>
    <n v="0"/>
    <n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3" cacheId="5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H18:I24" firstHeaderRow="1" firstDataRow="1" firstDataCol="1" rowPageCount="1" colPageCount="1"/>
  <pivotFields count="13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numFmtId="166" outline="1" subtotalTop="1" dragToRow="1" dragToCol="1" multipleItemSelectionAllowed="1" dragToPage="1" dragToData="1" dragOff="1" showAll="0" topAutoShow="1" itemPageCount="10" sortType="manual" defaultSubtotal="1">
      <items count="12">
        <item t="data" h="1" sd="1" x="0"/>
        <item t="data" h="1" sd="1" x="1"/>
        <item t="data" h="1" sd="1" x="2"/>
        <item t="data" h="1" sd="1" x="3"/>
        <item t="data" h="1" sd="1" x="4"/>
        <item t="data" h="1" sd="1" x="5"/>
        <item t="data" h="1" sd="1" x="6"/>
        <item t="data" h="1" sd="1" x="7"/>
        <item t="data" sd="1" x="8"/>
        <item t="data" h="1" sd="1" x="9"/>
        <item t="data" h="1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Items count="1">
    <i t="data" r="0" i="0"/>
  </colItems>
  <pageFields count="1">
    <pageField fld="3" hier="-1"/>
  </pageFields>
  <dataFields count="1">
    <dataField name="Sum of Premium Turnover (INR Bn)" fld="12" subtotal="sum" showDataAs="normal" baseField="0" baseItem="0" numFmtId="164"/>
  </dataFields>
  <formats count="2">
    <format action="formatting" dxfId="7">
      <pivotArea type="normal" dataOnly="1" outline="0" collapsedLevelsAreSubtotals="1" fieldPosition="0"/>
    </format>
    <format action="formatting" dxfId="6">
      <pivotArea type="normal" dataOnly="0" labelOnly="1" outline="0" fieldPosition="0">
        <references count="1">
          <reference field="3"/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2" cacheId="5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8:B24" firstHeaderRow="1" firstDataRow="1" firstDataCol="1" rowPageCount="1" colPageCount="1"/>
  <pivotFields count="13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numFmtId="166" outline="1" subtotalTop="1" dragToRow="1" dragToCol="1" multipleItemSelectionAllowed="1" dragToPage="1" dragToData="1" dragOff="1" showAll="0" topAutoShow="1" itemPageCount="10" sortType="manual" defaultSubtotal="1">
      <items count="12">
        <item t="data" h="1" sd="1" x="0"/>
        <item t="data" h="1" sd="1" x="1"/>
        <item t="data" h="1" sd="1" x="2"/>
        <item t="data" h="1" sd="1" x="3"/>
        <item t="data" h="1" sd="1" x="4"/>
        <item t="data" h="1" sd="1" x="5"/>
        <item t="data" h="1" sd="1" x="6"/>
        <item t="data" h="1" sd="1" x="7"/>
        <item t="data" sd="1" x="8"/>
        <item t="data" h="1" sd="1" x="9"/>
        <item t="data" h="1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Items count="1">
    <i t="data" r="0" i="0"/>
  </colItems>
  <pageFields count="1">
    <pageField fld="3" hier="-1"/>
  </pageFields>
  <dataFields count="1">
    <dataField name="Sum of Premium Turnover (INR Bn)" fld="12" subtotal="sum" showDataAs="normal" baseField="0" baseItem="0" numFmtId="164"/>
  </dataFields>
  <formats count="2">
    <format action="formatting" dxfId="5">
      <pivotArea type="normal" dataOnly="1" outline="0" collapsedLevelsAreSubtotals="1" fieldPosition="0"/>
    </format>
    <format action="formatting" dxfId="4">
      <pivotArea type="normal" dataOnly="0" labelOnly="1" outline="0" fieldPosition="0">
        <references count="1">
          <reference field="3"/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5" cacheId="6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J15:K21" firstHeaderRow="1" firstDataRow="1" firstDataCol="1" rowPageCount="1" colPageCount="1"/>
  <pivotFields count="13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5"/>
        <item t="data" sd="1" x="0"/>
        <item t="data" sd="1" x="1"/>
        <item t="data" sd="1" x="2"/>
        <item t="data" sd="1" x="3"/>
        <item t="data" sd="1" x="4"/>
        <item t="data" sd="1" m="1" x="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numFmtId="166" outline="1" subtotalTop="1" dragToRow="1" dragToCol="1" multipleItemSelectionAllowed="1" dragToPage="1" dragToData="1" dragOff="1" showAll="0" topAutoShow="1" itemPageCount="10" sortType="manual" defaultSubtotal="1">
      <items count="12">
        <item t="data" h="1" sd="1" x="0"/>
        <item t="data" h="1" sd="1" x="1"/>
        <item t="data" h="1" sd="1" x="2"/>
        <item t="data" h="1" sd="1" x="3"/>
        <item t="data" h="1" sd="1" x="4"/>
        <item t="data" h="1" sd="1" x="5"/>
        <item t="data" h="1" sd="1" x="6"/>
        <item t="data" h="1" sd="1" x="7"/>
        <item t="data" sd="1" x="8"/>
        <item t="data" h="1" sd="1" x="9"/>
        <item t="data" h="1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6"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Items count="1">
    <i t="data" r="0" i="0"/>
  </colItems>
  <pageFields count="1">
    <pageField fld="3" hier="-1"/>
  </pageFields>
  <dataFields count="1">
    <dataField name="Sum of Premium Turnover (INR Bn)" fld="12" subtotal="sum" showDataAs="normal" baseField="0" baseItem="0" numFmtId="164"/>
  </dataFields>
  <formats count="2">
    <format action="formatting" dxfId="3">
      <pivotArea type="normal" dataOnly="1" outline="0" collapsedLevelsAreSubtotals="1" fieldPosition="0"/>
    </format>
    <format action="formatting" dxfId="2">
      <pivotArea type="normal" dataOnly="0" labelOnly="1" outline="0" fieldPosition="0">
        <references count="1">
          <reference field="3"/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4" cacheId="6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5:B21" firstHeaderRow="1" firstDataRow="1" firstDataCol="1" rowPageCount="1" colPageCount="1"/>
  <pivotFields count="13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5"/>
        <item t="data" sd="1" x="0"/>
        <item t="data" sd="1" x="1"/>
        <item t="data" sd="1" x="2"/>
        <item t="data" sd="1" x="3"/>
        <item t="data" sd="1" x="4"/>
        <item t="data" sd="1" m="1" x="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numFmtId="166" outline="1" subtotalTop="1" dragToRow="1" dragToCol="1" multipleItemSelectionAllowed="1" dragToPage="1" dragToData="1" dragOff="1" showAll="0" topAutoShow="1" itemPageCount="10" sortType="manual" defaultSubtotal="1">
      <items count="12">
        <item t="data" h="1" sd="1" x="0"/>
        <item t="data" h="1" sd="1" x="1"/>
        <item t="data" h="1" sd="1" x="2"/>
        <item t="data" h="1" sd="1" x="3"/>
        <item t="data" h="1" sd="1" x="4"/>
        <item t="data" h="1" sd="1" x="5"/>
        <item t="data" h="1" sd="1" x="6"/>
        <item t="data" h="1" sd="1" x="7"/>
        <item t="data" sd="1" x="8"/>
        <item t="data" h="1" sd="1" x="9"/>
        <item t="data" h="1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6"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Items count="1">
    <i t="data" r="0" i="0"/>
  </colItems>
  <pageFields count="1">
    <pageField fld="3" hier="-1"/>
  </pageFields>
  <dataFields count="1">
    <dataField name="Sum of Premium Turnover (INR Bn)" fld="12" subtotal="sum" showDataAs="normal" baseField="0" baseItem="0" numFmtId="164"/>
  </dataFields>
  <formats count="2">
    <format action="formatting" dxfId="1">
      <pivotArea type="normal" dataOnly="1" outline="0" collapsedLevelsAreSubtotals="1" fieldPosition="0"/>
    </format>
    <format action="formatting" dxfId="0">
      <pivotArea type="normal" dataOnly="0" labelOnly="1" outline="0" fieldPosition="0">
        <references count="1">
          <reference field="3"/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/Relationships>
</file>

<file path=xl/worksheets/_rels/sheet16.xml.rels><Relationships xmlns="http://schemas.openxmlformats.org/package/2006/relationships"><Relationship Type="http://schemas.openxmlformats.org/officeDocument/2006/relationships/pivotTable" Target="/xl/pivotTables/pivotTable3.xml" Id="rId1" /><Relationship Type="http://schemas.openxmlformats.org/officeDocument/2006/relationships/pivotTable" Target="/xl/pivotTables/pivot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topLeftCell="A6" workbookViewId="0">
      <selection activeCell="B26" sqref="B26"/>
    </sheetView>
  </sheetViews>
  <sheetFormatPr baseColWidth="10" defaultRowHeight="16"/>
  <cols>
    <col width="28.83203125" customWidth="1" min="1" max="1"/>
    <col width="26.83203125" customWidth="1" min="2" max="7"/>
    <col width="60.83203125" customWidth="1" min="9" max="9"/>
  </cols>
  <sheetData>
    <row r="1">
      <c r="A1" s="10" t="inlineStr">
        <is>
          <t>Quality Check — Exchanges Monthly Weekly Expiry (MASTER FILE)</t>
        </is>
      </c>
    </row>
    <row r="3">
      <c r="A3" s="10" t="inlineStr">
        <is>
          <t>Exchange</t>
        </is>
      </c>
      <c r="B3" s="10" t="inlineStr">
        <is>
          <t>Sheet</t>
        </is>
      </c>
      <c r="C3" s="10" t="inlineStr">
        <is>
          <t>Data From</t>
        </is>
      </c>
      <c r="D3" s="10" t="inlineStr">
        <is>
          <t>Data To</t>
        </is>
      </c>
      <c r="E3" s="10" t="inlineStr">
        <is>
          <t>Data Rows</t>
        </is>
      </c>
      <c r="F3" s="10" t="inlineStr">
        <is>
          <t>Premium Turnover (INR Bn)</t>
        </is>
      </c>
      <c r="I3" s="10" t="inlineStr">
        <is>
          <t>Data Sources</t>
        </is>
      </c>
    </row>
    <row r="4">
      <c r="A4" t="inlineStr">
        <is>
          <t>NSE</t>
        </is>
      </c>
      <c r="B4" t="inlineStr">
        <is>
          <t>NSE - NIFTY Index Options</t>
        </is>
      </c>
      <c r="C4">
        <f>'NSE - NIFTY Index Options'!A2</f>
        <v/>
      </c>
      <c r="D4">
        <f>LOOKUP(2,1/('NSE - NIFTY Index Options'!$A$2:$A$100000&lt;&gt;""),'NSE - NIFTY Index Options'!$A$2:$A$100000)</f>
        <v/>
      </c>
      <c r="E4">
        <f>COUNTA('NSE - NIFTY Index Options'!A:A)-1</f>
        <v/>
      </c>
      <c r="F4">
        <f>SUM('NSE - NIFTY Index Options'!M:M)</f>
        <v/>
      </c>
      <c r="I4" t="inlineStr">
        <is>
          <t>NSE: F&amp;O contract-wise archives (Security-wise Price Volume data) - https://www.nseindia.com/report-detail/fo_eq_security (API: nseindia.com/api/historicalOR/foCPV, instrumentType=OPTIDX; NIFTY, BANKNIFTY, FINNIFTY, MIDCPNIFTY, NIFTYNXT50)</t>
        </is>
      </c>
    </row>
    <row r="5">
      <c r="A5" t="inlineStr">
        <is>
          <t>NSE</t>
        </is>
      </c>
      <c r="B5" t="inlineStr">
        <is>
          <t>NSE - Other Index Options</t>
        </is>
      </c>
      <c r="C5">
        <f>'NSE - Other Index Options'!A2</f>
        <v/>
      </c>
      <c r="D5">
        <f>LOOKUP(2,1/('NSE - Other Index Options'!$A$2:$A$100000&lt;&gt;""),'NSE - Other Index Options'!$A$2:$A$100000)</f>
        <v/>
      </c>
      <c r="E5">
        <f>COUNTA('NSE - Other Index Options'!A:A)-1</f>
        <v/>
      </c>
      <c r="F5">
        <f>SUM('NSE - Other Index Options'!M:M)</f>
        <v/>
      </c>
      <c r="I5" t="inlineStr">
        <is>
          <t>BSE: Derivatives historical archives - https://www.bseindia.com/markets/derivatives/derireports/derihistorical (API: api.bseindia.com/BseIndiaAPI, Product_Type=IO; SENSEX + other index options)</t>
        </is>
      </c>
    </row>
    <row r="6">
      <c r="A6" t="inlineStr">
        <is>
          <t>BSE</t>
        </is>
      </c>
      <c r="B6" t="inlineStr">
        <is>
          <t>BSE - SENSEX Index Options</t>
        </is>
      </c>
      <c r="C6">
        <f>'BSE - SENSEX Index Options'!A2</f>
        <v/>
      </c>
      <c r="D6">
        <f>LOOKUP(2,1/('BSE - SENSEX Index Options'!$A$2:$A$100000&lt;&gt;""),'BSE - SENSEX Index Options'!$A$2:$A$100000)</f>
        <v/>
      </c>
      <c r="E6">
        <f>COUNTA('BSE - SENSEX Index Options'!A:A)-1</f>
        <v/>
      </c>
      <c r="F6">
        <f>SUM('BSE - SENSEX Index Options'!M:M)</f>
        <v/>
      </c>
      <c r="I6" t="inlineStr">
        <is>
          <t>Units: raw API turnover in INR lakh, converted to INR Bn (divided by 10,000). Contracts: NSE = traded qty / market lot; BSE = as reported.</t>
        </is>
      </c>
    </row>
    <row r="7">
      <c r="A7" t="inlineStr">
        <is>
          <t>BSE</t>
        </is>
      </c>
      <c r="B7" t="inlineStr">
        <is>
          <t>BSE - Other Index Options</t>
        </is>
      </c>
      <c r="C7">
        <f>'BSE - Other Index Options'!A2</f>
        <v/>
      </c>
      <c r="D7">
        <f>LOOKUP(2,1/('BSE - Other Index Options'!$A$2:$A$100000&lt;&gt;""),'BSE - Other Index Options'!$A$2:$A$100000)</f>
        <v/>
      </c>
      <c r="E7">
        <f>COUNTA('BSE - Other Index Options'!A:A)-1</f>
        <v/>
      </c>
      <c r="F7">
        <f>SUM('BSE - Other Index Options'!M:M)</f>
        <v/>
      </c>
      <c r="I7" t="inlineStr">
        <is>
          <t>Validation: BSE daily aggregates reconciled against BSE consolidated product-wise report (0 mismatches, tolerance 0.5%); NSE verified internally (contracts x lot x underlying = notional).</t>
        </is>
      </c>
    </row>
    <row r="8">
      <c r="I8" t="inlineStr">
        <is>
          <t>Extraction scripts: nse_options_expiry.py / bse_options_expiry.py in the project's Python Files folder.</t>
        </is>
      </c>
    </row>
    <row r="9">
      <c r="A9" s="10" t="inlineStr">
        <is>
          <t>NSE data updated through:</t>
        </is>
      </c>
      <c r="B9">
        <f>IF(D4=D5,D4,"MISMATCH between NSE sheets")</f>
        <v/>
      </c>
    </row>
    <row r="10">
      <c r="A10" s="10" t="inlineStr">
        <is>
          <t>BSE data updated through:</t>
        </is>
      </c>
      <c r="B10">
        <f>IF(D6=D7,D6,"MISMATCH between BSE sheets")</f>
        <v/>
      </c>
    </row>
    <row r="11">
      <c r="A11" s="10" t="inlineStr">
        <is>
          <t>NSE &amp; BSE end dates aligned?</t>
        </is>
      </c>
      <c r="B11">
        <f>IF(B9=B10,"YES","NO — update the lagging exchange")</f>
        <v/>
      </c>
    </row>
    <row r="12">
      <c r="A12" s="10" t="inlineStr">
        <is>
          <t>Master file created:</t>
        </is>
      </c>
      <c r="B12" s="11" t="n">
        <v>46210</v>
      </c>
    </row>
    <row r="13">
      <c r="A13" s="10" t="inlineStr">
        <is>
          <t>Last data refresh:</t>
        </is>
      </c>
      <c r="B13" s="79" t="n">
        <v>46243</v>
      </c>
    </row>
    <row r="14">
      <c r="A14" s="28" t="inlineStr">
        <is>
          <t>Monthly Totals (live — populates as data is updated)</t>
        </is>
      </c>
    </row>
    <row r="15">
      <c r="A15" s="28" t="inlineStr">
        <is>
          <t>Month</t>
        </is>
      </c>
      <c r="B15" s="28" t="inlineStr">
        <is>
          <t>NSE - Number of Contracts</t>
        </is>
      </c>
      <c r="C15" s="28" t="inlineStr">
        <is>
          <t>NSE - Notional Turnover (INR Bn)</t>
        </is>
      </c>
      <c r="D15" s="28" t="inlineStr">
        <is>
          <t>NSE - Premium Turnover (INR Bn)</t>
        </is>
      </c>
      <c r="E15" s="28" t="inlineStr">
        <is>
          <t>BSE - Number of Contracts</t>
        </is>
      </c>
      <c r="F15" s="28" t="inlineStr">
        <is>
          <t>BSE - Notional Turnover (INR Bn)</t>
        </is>
      </c>
      <c r="G15" s="28" t="inlineStr">
        <is>
          <t>BSE - Premium Turnover (INR Bn)</t>
        </is>
      </c>
    </row>
    <row r="16">
      <c r="A16" s="24" t="n">
        <v>45901</v>
      </c>
      <c r="B16" s="25">
        <f>IF(SUMIFS('NSE - NIFTY Index Options'!$K:$K,'NSE - NIFTY Index Options'!$D:$D,$A16)+SUMIFS('NSE - Other Index Options'!$K:$K,'NSE - Other Index Options'!$D:$D,$A16)=0,"",SUMIFS('NSE - NIFTY Index Options'!$K:$K,'NSE - NIFTY Index Options'!$D:$D,$A16)+SUMIFS('NSE - Other Index Options'!$K:$K,'NSE - Other Index Options'!$D:$D,$A16))</f>
        <v/>
      </c>
      <c r="C16" s="26">
        <f>IF(SUMIFS('NSE - NIFTY Index Options'!$L:$L,'NSE - NIFTY Index Options'!$D:$D,$A16)+SUMIFS('NSE - Other Index Options'!$L:$L,'NSE - Other Index Options'!$D:$D,$A16)=0,"",SUMIFS('NSE - NIFTY Index Options'!$L:$L,'NSE - NIFTY Index Options'!$D:$D,$A16)+SUMIFS('NSE - Other Index Options'!$L:$L,'NSE - Other Index Options'!$D:$D,$A16))</f>
        <v/>
      </c>
      <c r="D16" s="26">
        <f>IF(SUMIFS('NSE - NIFTY Index Options'!$M:$M,'NSE - NIFTY Index Options'!$D:$D,$A16)+SUMIFS('NSE - Other Index Options'!$M:$M,'NSE - Other Index Options'!$D:$D,$A16)=0,"",SUMIFS('NSE - NIFTY Index Options'!$M:$M,'NSE - NIFTY Index Options'!$D:$D,$A16)+SUMIFS('NSE - Other Index Options'!$M:$M,'NSE - Other Index Options'!$D:$D,$A16))</f>
        <v/>
      </c>
      <c r="E16" s="25">
        <f>IF(SUMIFS('BSE - SENSEX Index Options'!$K:$K,'BSE - SENSEX Index Options'!$D:$D,$A16)+SUMIFS('BSE - Other Index Options'!$K:$K,'BSE - Other Index Options'!$D:$D,$A16)=0,"",SUMIFS('BSE - SENSEX Index Options'!$K:$K,'BSE - SENSEX Index Options'!$D:$D,$A16)+SUMIFS('BSE - Other Index Options'!$K:$K,'BSE - Other Index Options'!$D:$D,$A16))</f>
        <v/>
      </c>
      <c r="F16" s="26">
        <f>IF(SUMIFS('BSE - SENSEX Index Options'!$L:$L,'BSE - SENSEX Index Options'!$D:$D,$A16)+SUMIFS('BSE - Other Index Options'!$L:$L,'BSE - Other Index Options'!$D:$D,$A16)=0,"",SUMIFS('BSE - SENSEX Index Options'!$L:$L,'BSE - SENSEX Index Options'!$D:$D,$A16)+SUMIFS('BSE - Other Index Options'!$L:$L,'BSE - Other Index Options'!$D:$D,$A16))</f>
        <v/>
      </c>
      <c r="G16" s="26">
        <f>IF(SUMIFS('BSE - SENSEX Index Options'!$M:$M,'BSE - SENSEX Index Options'!$D:$D,$A16)+SUMIFS('BSE - Other Index Options'!$M:$M,'BSE - Other Index Options'!$D:$D,$A16)=0,"",SUMIFS('BSE - SENSEX Index Options'!$M:$M,'BSE - SENSEX Index Options'!$D:$D,$A16)+SUMIFS('BSE - Other Index Options'!$M:$M,'BSE - Other Index Options'!$D:$D,$A16))</f>
        <v/>
      </c>
    </row>
    <row r="17">
      <c r="A17" s="24" t="n">
        <v>45931</v>
      </c>
      <c r="B17" s="25">
        <f>IF(SUMIFS('NSE - NIFTY Index Options'!$K:$K,'NSE - NIFTY Index Options'!$D:$D,$A17)+SUMIFS('NSE - Other Index Options'!$K:$K,'NSE - Other Index Options'!$D:$D,$A17)=0,"",SUMIFS('NSE - NIFTY Index Options'!$K:$K,'NSE - NIFTY Index Options'!$D:$D,$A17)+SUMIFS('NSE - Other Index Options'!$K:$K,'NSE - Other Index Options'!$D:$D,$A17))</f>
        <v/>
      </c>
      <c r="C17" s="26">
        <f>IF(SUMIFS('NSE - NIFTY Index Options'!$L:$L,'NSE - NIFTY Index Options'!$D:$D,$A17)+SUMIFS('NSE - Other Index Options'!$L:$L,'NSE - Other Index Options'!$D:$D,$A17)=0,"",SUMIFS('NSE - NIFTY Index Options'!$L:$L,'NSE - NIFTY Index Options'!$D:$D,$A17)+SUMIFS('NSE - Other Index Options'!$L:$L,'NSE - Other Index Options'!$D:$D,$A17))</f>
        <v/>
      </c>
      <c r="D17" s="26">
        <f>IF(SUMIFS('NSE - NIFTY Index Options'!$M:$M,'NSE - NIFTY Index Options'!$D:$D,$A17)+SUMIFS('NSE - Other Index Options'!$M:$M,'NSE - Other Index Options'!$D:$D,$A17)=0,"",SUMIFS('NSE - NIFTY Index Options'!$M:$M,'NSE - NIFTY Index Options'!$D:$D,$A17)+SUMIFS('NSE - Other Index Options'!$M:$M,'NSE - Other Index Options'!$D:$D,$A17))</f>
        <v/>
      </c>
      <c r="E17" s="25">
        <f>IF(SUMIFS('BSE - SENSEX Index Options'!$K:$K,'BSE - SENSEX Index Options'!$D:$D,$A17)+SUMIFS('BSE - Other Index Options'!$K:$K,'BSE - Other Index Options'!$D:$D,$A17)=0,"",SUMIFS('BSE - SENSEX Index Options'!$K:$K,'BSE - SENSEX Index Options'!$D:$D,$A17)+SUMIFS('BSE - Other Index Options'!$K:$K,'BSE - Other Index Options'!$D:$D,$A17))</f>
        <v/>
      </c>
      <c r="F17" s="26">
        <f>IF(SUMIFS('BSE - SENSEX Index Options'!$L:$L,'BSE - SENSEX Index Options'!$D:$D,$A17)+SUMIFS('BSE - Other Index Options'!$L:$L,'BSE - Other Index Options'!$D:$D,$A17)=0,"",SUMIFS('BSE - SENSEX Index Options'!$L:$L,'BSE - SENSEX Index Options'!$D:$D,$A17)+SUMIFS('BSE - Other Index Options'!$L:$L,'BSE - Other Index Options'!$D:$D,$A17))</f>
        <v/>
      </c>
      <c r="G17" s="26">
        <f>IF(SUMIFS('BSE - SENSEX Index Options'!$M:$M,'BSE - SENSEX Index Options'!$D:$D,$A17)+SUMIFS('BSE - Other Index Options'!$M:$M,'BSE - Other Index Options'!$D:$D,$A17)=0,"",SUMIFS('BSE - SENSEX Index Options'!$M:$M,'BSE - SENSEX Index Options'!$D:$D,$A17)+SUMIFS('BSE - Other Index Options'!$M:$M,'BSE - Other Index Options'!$D:$D,$A17))</f>
        <v/>
      </c>
    </row>
    <row r="18">
      <c r="A18" s="24" t="n">
        <v>45962</v>
      </c>
      <c r="B18" s="25">
        <f>IF(SUMIFS('NSE - NIFTY Index Options'!$K:$K,'NSE - NIFTY Index Options'!$D:$D,$A18)+SUMIFS('NSE - Other Index Options'!$K:$K,'NSE - Other Index Options'!$D:$D,$A18)=0,"",SUMIFS('NSE - NIFTY Index Options'!$K:$K,'NSE - NIFTY Index Options'!$D:$D,$A18)+SUMIFS('NSE - Other Index Options'!$K:$K,'NSE - Other Index Options'!$D:$D,$A18))</f>
        <v/>
      </c>
      <c r="C18" s="26">
        <f>IF(SUMIFS('NSE - NIFTY Index Options'!$L:$L,'NSE - NIFTY Index Options'!$D:$D,$A18)+SUMIFS('NSE - Other Index Options'!$L:$L,'NSE - Other Index Options'!$D:$D,$A18)=0,"",SUMIFS('NSE - NIFTY Index Options'!$L:$L,'NSE - NIFTY Index Options'!$D:$D,$A18)+SUMIFS('NSE - Other Index Options'!$L:$L,'NSE - Other Index Options'!$D:$D,$A18))</f>
        <v/>
      </c>
      <c r="D18" s="26">
        <f>IF(SUMIFS('NSE - NIFTY Index Options'!$M:$M,'NSE - NIFTY Index Options'!$D:$D,$A18)+SUMIFS('NSE - Other Index Options'!$M:$M,'NSE - Other Index Options'!$D:$D,$A18)=0,"",SUMIFS('NSE - NIFTY Index Options'!$M:$M,'NSE - NIFTY Index Options'!$D:$D,$A18)+SUMIFS('NSE - Other Index Options'!$M:$M,'NSE - Other Index Options'!$D:$D,$A18))</f>
        <v/>
      </c>
      <c r="E18" s="25">
        <f>IF(SUMIFS('BSE - SENSEX Index Options'!$K:$K,'BSE - SENSEX Index Options'!$D:$D,$A18)+SUMIFS('BSE - Other Index Options'!$K:$K,'BSE - Other Index Options'!$D:$D,$A18)=0,"",SUMIFS('BSE - SENSEX Index Options'!$K:$K,'BSE - SENSEX Index Options'!$D:$D,$A18)+SUMIFS('BSE - Other Index Options'!$K:$K,'BSE - Other Index Options'!$D:$D,$A18))</f>
        <v/>
      </c>
      <c r="F18" s="26">
        <f>IF(SUMIFS('BSE - SENSEX Index Options'!$L:$L,'BSE - SENSEX Index Options'!$D:$D,$A18)+SUMIFS('BSE - Other Index Options'!$L:$L,'BSE - Other Index Options'!$D:$D,$A18)=0,"",SUMIFS('BSE - SENSEX Index Options'!$L:$L,'BSE - SENSEX Index Options'!$D:$D,$A18)+SUMIFS('BSE - Other Index Options'!$L:$L,'BSE - Other Index Options'!$D:$D,$A18))</f>
        <v/>
      </c>
      <c r="G18" s="26">
        <f>IF(SUMIFS('BSE - SENSEX Index Options'!$M:$M,'BSE - SENSEX Index Options'!$D:$D,$A18)+SUMIFS('BSE - Other Index Options'!$M:$M,'BSE - Other Index Options'!$D:$D,$A18)=0,"",SUMIFS('BSE - SENSEX Index Options'!$M:$M,'BSE - SENSEX Index Options'!$D:$D,$A18)+SUMIFS('BSE - Other Index Options'!$M:$M,'BSE - Other Index Options'!$D:$D,$A18))</f>
        <v/>
      </c>
    </row>
    <row r="19">
      <c r="A19" s="24" t="n">
        <v>45992</v>
      </c>
      <c r="B19" s="25">
        <f>IF(SUMIFS('NSE - NIFTY Index Options'!$K:$K,'NSE - NIFTY Index Options'!$D:$D,$A19)+SUMIFS('NSE - Other Index Options'!$K:$K,'NSE - Other Index Options'!$D:$D,$A19)=0,"",SUMIFS('NSE - NIFTY Index Options'!$K:$K,'NSE - NIFTY Index Options'!$D:$D,$A19)+SUMIFS('NSE - Other Index Options'!$K:$K,'NSE - Other Index Options'!$D:$D,$A19))</f>
        <v/>
      </c>
      <c r="C19" s="26">
        <f>IF(SUMIFS('NSE - NIFTY Index Options'!$L:$L,'NSE - NIFTY Index Options'!$D:$D,$A19)+SUMIFS('NSE - Other Index Options'!$L:$L,'NSE - Other Index Options'!$D:$D,$A19)=0,"",SUMIFS('NSE - NIFTY Index Options'!$L:$L,'NSE - NIFTY Index Options'!$D:$D,$A19)+SUMIFS('NSE - Other Index Options'!$L:$L,'NSE - Other Index Options'!$D:$D,$A19))</f>
        <v/>
      </c>
      <c r="D19" s="26">
        <f>IF(SUMIFS('NSE - NIFTY Index Options'!$M:$M,'NSE - NIFTY Index Options'!$D:$D,$A19)+SUMIFS('NSE - Other Index Options'!$M:$M,'NSE - Other Index Options'!$D:$D,$A19)=0,"",SUMIFS('NSE - NIFTY Index Options'!$M:$M,'NSE - NIFTY Index Options'!$D:$D,$A19)+SUMIFS('NSE - Other Index Options'!$M:$M,'NSE - Other Index Options'!$D:$D,$A19))</f>
        <v/>
      </c>
      <c r="E19" s="25">
        <f>IF(SUMIFS('BSE - SENSEX Index Options'!$K:$K,'BSE - SENSEX Index Options'!$D:$D,$A19)+SUMIFS('BSE - Other Index Options'!$K:$K,'BSE - Other Index Options'!$D:$D,$A19)=0,"",SUMIFS('BSE - SENSEX Index Options'!$K:$K,'BSE - SENSEX Index Options'!$D:$D,$A19)+SUMIFS('BSE - Other Index Options'!$K:$K,'BSE - Other Index Options'!$D:$D,$A19))</f>
        <v/>
      </c>
      <c r="F19" s="26">
        <f>IF(SUMIFS('BSE - SENSEX Index Options'!$L:$L,'BSE - SENSEX Index Options'!$D:$D,$A19)+SUMIFS('BSE - Other Index Options'!$L:$L,'BSE - Other Index Options'!$D:$D,$A19)=0,"",SUMIFS('BSE - SENSEX Index Options'!$L:$L,'BSE - SENSEX Index Options'!$D:$D,$A19)+SUMIFS('BSE - Other Index Options'!$L:$L,'BSE - Other Index Options'!$D:$D,$A19))</f>
        <v/>
      </c>
      <c r="G19" s="26">
        <f>IF(SUMIFS('BSE - SENSEX Index Options'!$M:$M,'BSE - SENSEX Index Options'!$D:$D,$A19)+SUMIFS('BSE - Other Index Options'!$M:$M,'BSE - Other Index Options'!$D:$D,$A19)=0,"",SUMIFS('BSE - SENSEX Index Options'!$M:$M,'BSE - SENSEX Index Options'!$D:$D,$A19)+SUMIFS('BSE - Other Index Options'!$M:$M,'BSE - Other Index Options'!$D:$D,$A19))</f>
        <v/>
      </c>
    </row>
    <row r="20">
      <c r="A20" s="24" t="n">
        <v>46023</v>
      </c>
      <c r="B20" s="25">
        <f>IF(SUMIFS('NSE - NIFTY Index Options'!$K:$K,'NSE - NIFTY Index Options'!$D:$D,$A20)+SUMIFS('NSE - Other Index Options'!$K:$K,'NSE - Other Index Options'!$D:$D,$A20)=0,"",SUMIFS('NSE - NIFTY Index Options'!$K:$K,'NSE - NIFTY Index Options'!$D:$D,$A20)+SUMIFS('NSE - Other Index Options'!$K:$K,'NSE - Other Index Options'!$D:$D,$A20))</f>
        <v/>
      </c>
      <c r="C20" s="26">
        <f>IF(SUMIFS('NSE - NIFTY Index Options'!$L:$L,'NSE - NIFTY Index Options'!$D:$D,$A20)+SUMIFS('NSE - Other Index Options'!$L:$L,'NSE - Other Index Options'!$D:$D,$A20)=0,"",SUMIFS('NSE - NIFTY Index Options'!$L:$L,'NSE - NIFTY Index Options'!$D:$D,$A20)+SUMIFS('NSE - Other Index Options'!$L:$L,'NSE - Other Index Options'!$D:$D,$A20))</f>
        <v/>
      </c>
      <c r="D20" s="26">
        <f>IF(SUMIFS('NSE - NIFTY Index Options'!$M:$M,'NSE - NIFTY Index Options'!$D:$D,$A20)+SUMIFS('NSE - Other Index Options'!$M:$M,'NSE - Other Index Options'!$D:$D,$A20)=0,"",SUMIFS('NSE - NIFTY Index Options'!$M:$M,'NSE - NIFTY Index Options'!$D:$D,$A20)+SUMIFS('NSE - Other Index Options'!$M:$M,'NSE - Other Index Options'!$D:$D,$A20))</f>
        <v/>
      </c>
      <c r="E20" s="25">
        <f>IF(SUMIFS('BSE - SENSEX Index Options'!$K:$K,'BSE - SENSEX Index Options'!$D:$D,$A20)+SUMIFS('BSE - Other Index Options'!$K:$K,'BSE - Other Index Options'!$D:$D,$A20)=0,"",SUMIFS('BSE - SENSEX Index Options'!$K:$K,'BSE - SENSEX Index Options'!$D:$D,$A20)+SUMIFS('BSE - Other Index Options'!$K:$K,'BSE - Other Index Options'!$D:$D,$A20))</f>
        <v/>
      </c>
      <c r="F20" s="26">
        <f>IF(SUMIFS('BSE - SENSEX Index Options'!$L:$L,'BSE - SENSEX Index Options'!$D:$D,$A20)+SUMIFS('BSE - Other Index Options'!$L:$L,'BSE - Other Index Options'!$D:$D,$A20)=0,"",SUMIFS('BSE - SENSEX Index Options'!$L:$L,'BSE - SENSEX Index Options'!$D:$D,$A20)+SUMIFS('BSE - Other Index Options'!$L:$L,'BSE - Other Index Options'!$D:$D,$A20))</f>
        <v/>
      </c>
      <c r="G20" s="26">
        <f>IF(SUMIFS('BSE - SENSEX Index Options'!$M:$M,'BSE - SENSEX Index Options'!$D:$D,$A20)+SUMIFS('BSE - Other Index Options'!$M:$M,'BSE - Other Index Options'!$D:$D,$A20)=0,"",SUMIFS('BSE - SENSEX Index Options'!$M:$M,'BSE - SENSEX Index Options'!$D:$D,$A20)+SUMIFS('BSE - Other Index Options'!$M:$M,'BSE - Other Index Options'!$D:$D,$A20))</f>
        <v/>
      </c>
    </row>
    <row r="21">
      <c r="A21" s="24" t="n">
        <v>46054</v>
      </c>
      <c r="B21" s="25">
        <f>IF(SUMIFS('NSE - NIFTY Index Options'!$K:$K,'NSE - NIFTY Index Options'!$D:$D,$A21)+SUMIFS('NSE - Other Index Options'!$K:$K,'NSE - Other Index Options'!$D:$D,$A21)=0,"",SUMIFS('NSE - NIFTY Index Options'!$K:$K,'NSE - NIFTY Index Options'!$D:$D,$A21)+SUMIFS('NSE - Other Index Options'!$K:$K,'NSE - Other Index Options'!$D:$D,$A21))</f>
        <v/>
      </c>
      <c r="C21" s="26">
        <f>IF(SUMIFS('NSE - NIFTY Index Options'!$L:$L,'NSE - NIFTY Index Options'!$D:$D,$A21)+SUMIFS('NSE - Other Index Options'!$L:$L,'NSE - Other Index Options'!$D:$D,$A21)=0,"",SUMIFS('NSE - NIFTY Index Options'!$L:$L,'NSE - NIFTY Index Options'!$D:$D,$A21)+SUMIFS('NSE - Other Index Options'!$L:$L,'NSE - Other Index Options'!$D:$D,$A21))</f>
        <v/>
      </c>
      <c r="D21" s="26">
        <f>IF(SUMIFS('NSE - NIFTY Index Options'!$M:$M,'NSE - NIFTY Index Options'!$D:$D,$A21)+SUMIFS('NSE - Other Index Options'!$M:$M,'NSE - Other Index Options'!$D:$D,$A21)=0,"",SUMIFS('NSE - NIFTY Index Options'!$M:$M,'NSE - NIFTY Index Options'!$D:$D,$A21)+SUMIFS('NSE - Other Index Options'!$M:$M,'NSE - Other Index Options'!$D:$D,$A21))</f>
        <v/>
      </c>
      <c r="E21" s="25">
        <f>IF(SUMIFS('BSE - SENSEX Index Options'!$K:$K,'BSE - SENSEX Index Options'!$D:$D,$A21)+SUMIFS('BSE - Other Index Options'!$K:$K,'BSE - Other Index Options'!$D:$D,$A21)=0,"",SUMIFS('BSE - SENSEX Index Options'!$K:$K,'BSE - SENSEX Index Options'!$D:$D,$A21)+SUMIFS('BSE - Other Index Options'!$K:$K,'BSE - Other Index Options'!$D:$D,$A21))</f>
        <v/>
      </c>
      <c r="F21" s="26">
        <f>IF(SUMIFS('BSE - SENSEX Index Options'!$L:$L,'BSE - SENSEX Index Options'!$D:$D,$A21)+SUMIFS('BSE - Other Index Options'!$L:$L,'BSE - Other Index Options'!$D:$D,$A21)=0,"",SUMIFS('BSE - SENSEX Index Options'!$L:$L,'BSE - SENSEX Index Options'!$D:$D,$A21)+SUMIFS('BSE - Other Index Options'!$L:$L,'BSE - Other Index Options'!$D:$D,$A21))</f>
        <v/>
      </c>
      <c r="G21" s="26">
        <f>IF(SUMIFS('BSE - SENSEX Index Options'!$M:$M,'BSE - SENSEX Index Options'!$D:$D,$A21)+SUMIFS('BSE - Other Index Options'!$M:$M,'BSE - Other Index Options'!$D:$D,$A21)=0,"",SUMIFS('BSE - SENSEX Index Options'!$M:$M,'BSE - SENSEX Index Options'!$D:$D,$A21)+SUMIFS('BSE - Other Index Options'!$M:$M,'BSE - Other Index Options'!$D:$D,$A21))</f>
        <v/>
      </c>
    </row>
    <row r="22">
      <c r="A22" s="24" t="n">
        <v>46082</v>
      </c>
      <c r="B22" s="25">
        <f>IF(SUMIFS('NSE - NIFTY Index Options'!$K:$K,'NSE - NIFTY Index Options'!$D:$D,$A22)+SUMIFS('NSE - Other Index Options'!$K:$K,'NSE - Other Index Options'!$D:$D,$A22)=0,"",SUMIFS('NSE - NIFTY Index Options'!$K:$K,'NSE - NIFTY Index Options'!$D:$D,$A22)+SUMIFS('NSE - Other Index Options'!$K:$K,'NSE - Other Index Options'!$D:$D,$A22))</f>
        <v/>
      </c>
      <c r="C22" s="26">
        <f>IF(SUMIFS('NSE - NIFTY Index Options'!$L:$L,'NSE - NIFTY Index Options'!$D:$D,$A22)+SUMIFS('NSE - Other Index Options'!$L:$L,'NSE - Other Index Options'!$D:$D,$A22)=0,"",SUMIFS('NSE - NIFTY Index Options'!$L:$L,'NSE - NIFTY Index Options'!$D:$D,$A22)+SUMIFS('NSE - Other Index Options'!$L:$L,'NSE - Other Index Options'!$D:$D,$A22))</f>
        <v/>
      </c>
      <c r="D22" s="26">
        <f>IF(SUMIFS('NSE - NIFTY Index Options'!$M:$M,'NSE - NIFTY Index Options'!$D:$D,$A22)+SUMIFS('NSE - Other Index Options'!$M:$M,'NSE - Other Index Options'!$D:$D,$A22)=0,"",SUMIFS('NSE - NIFTY Index Options'!$M:$M,'NSE - NIFTY Index Options'!$D:$D,$A22)+SUMIFS('NSE - Other Index Options'!$M:$M,'NSE - Other Index Options'!$D:$D,$A22))</f>
        <v/>
      </c>
      <c r="E22" s="25">
        <f>IF(SUMIFS('BSE - SENSEX Index Options'!$K:$K,'BSE - SENSEX Index Options'!$D:$D,$A22)+SUMIFS('BSE - Other Index Options'!$K:$K,'BSE - Other Index Options'!$D:$D,$A22)=0,"",SUMIFS('BSE - SENSEX Index Options'!$K:$K,'BSE - SENSEX Index Options'!$D:$D,$A22)+SUMIFS('BSE - Other Index Options'!$K:$K,'BSE - Other Index Options'!$D:$D,$A22))</f>
        <v/>
      </c>
      <c r="F22" s="26">
        <f>IF(SUMIFS('BSE - SENSEX Index Options'!$L:$L,'BSE - SENSEX Index Options'!$D:$D,$A22)+SUMIFS('BSE - Other Index Options'!$L:$L,'BSE - Other Index Options'!$D:$D,$A22)=0,"",SUMIFS('BSE - SENSEX Index Options'!$L:$L,'BSE - SENSEX Index Options'!$D:$D,$A22)+SUMIFS('BSE - Other Index Options'!$L:$L,'BSE - Other Index Options'!$D:$D,$A22))</f>
        <v/>
      </c>
      <c r="G22" s="26">
        <f>IF(SUMIFS('BSE - SENSEX Index Options'!$M:$M,'BSE - SENSEX Index Options'!$D:$D,$A22)+SUMIFS('BSE - Other Index Options'!$M:$M,'BSE - Other Index Options'!$D:$D,$A22)=0,"",SUMIFS('BSE - SENSEX Index Options'!$M:$M,'BSE - SENSEX Index Options'!$D:$D,$A22)+SUMIFS('BSE - Other Index Options'!$M:$M,'BSE - Other Index Options'!$D:$D,$A22))</f>
        <v/>
      </c>
    </row>
    <row r="23">
      <c r="A23" s="24" t="n">
        <v>46113</v>
      </c>
      <c r="B23" s="25">
        <f>IF(SUMIFS('NSE - NIFTY Index Options'!$K:$K,'NSE - NIFTY Index Options'!$D:$D,$A23)+SUMIFS('NSE - Other Index Options'!$K:$K,'NSE - Other Index Options'!$D:$D,$A23)=0,"",SUMIFS('NSE - NIFTY Index Options'!$K:$K,'NSE - NIFTY Index Options'!$D:$D,$A23)+SUMIFS('NSE - Other Index Options'!$K:$K,'NSE - Other Index Options'!$D:$D,$A23))</f>
        <v/>
      </c>
      <c r="C23" s="26">
        <f>IF(SUMIFS('NSE - NIFTY Index Options'!$L:$L,'NSE - NIFTY Index Options'!$D:$D,$A23)+SUMIFS('NSE - Other Index Options'!$L:$L,'NSE - Other Index Options'!$D:$D,$A23)=0,"",SUMIFS('NSE - NIFTY Index Options'!$L:$L,'NSE - NIFTY Index Options'!$D:$D,$A23)+SUMIFS('NSE - Other Index Options'!$L:$L,'NSE - Other Index Options'!$D:$D,$A23))</f>
        <v/>
      </c>
      <c r="D23" s="26">
        <f>IF(SUMIFS('NSE - NIFTY Index Options'!$M:$M,'NSE - NIFTY Index Options'!$D:$D,$A23)+SUMIFS('NSE - Other Index Options'!$M:$M,'NSE - Other Index Options'!$D:$D,$A23)=0,"",SUMIFS('NSE - NIFTY Index Options'!$M:$M,'NSE - NIFTY Index Options'!$D:$D,$A23)+SUMIFS('NSE - Other Index Options'!$M:$M,'NSE - Other Index Options'!$D:$D,$A23))</f>
        <v/>
      </c>
      <c r="E23" s="25">
        <f>IF(SUMIFS('BSE - SENSEX Index Options'!$K:$K,'BSE - SENSEX Index Options'!$D:$D,$A23)+SUMIFS('BSE - Other Index Options'!$K:$K,'BSE - Other Index Options'!$D:$D,$A23)=0,"",SUMIFS('BSE - SENSEX Index Options'!$K:$K,'BSE - SENSEX Index Options'!$D:$D,$A23)+SUMIFS('BSE - Other Index Options'!$K:$K,'BSE - Other Index Options'!$D:$D,$A23))</f>
        <v/>
      </c>
      <c r="F23" s="26">
        <f>IF(SUMIFS('BSE - SENSEX Index Options'!$L:$L,'BSE - SENSEX Index Options'!$D:$D,$A23)+SUMIFS('BSE - Other Index Options'!$L:$L,'BSE - Other Index Options'!$D:$D,$A23)=0,"",SUMIFS('BSE - SENSEX Index Options'!$L:$L,'BSE - SENSEX Index Options'!$D:$D,$A23)+SUMIFS('BSE - Other Index Options'!$L:$L,'BSE - Other Index Options'!$D:$D,$A23))</f>
        <v/>
      </c>
      <c r="G23" s="26">
        <f>IF(SUMIFS('BSE - SENSEX Index Options'!$M:$M,'BSE - SENSEX Index Options'!$D:$D,$A23)+SUMIFS('BSE - Other Index Options'!$M:$M,'BSE - Other Index Options'!$D:$D,$A23)=0,"",SUMIFS('BSE - SENSEX Index Options'!$M:$M,'BSE - SENSEX Index Options'!$D:$D,$A23)+SUMIFS('BSE - Other Index Options'!$M:$M,'BSE - Other Index Options'!$D:$D,$A23))</f>
        <v/>
      </c>
    </row>
    <row r="24">
      <c r="A24" s="24" t="n">
        <v>46143</v>
      </c>
      <c r="B24" s="25">
        <f>IF(SUMIFS('NSE - NIFTY Index Options'!$K:$K,'NSE - NIFTY Index Options'!$D:$D,$A24)+SUMIFS('NSE - Other Index Options'!$K:$K,'NSE - Other Index Options'!$D:$D,$A24)=0,"",SUMIFS('NSE - NIFTY Index Options'!$K:$K,'NSE - NIFTY Index Options'!$D:$D,$A24)+SUMIFS('NSE - Other Index Options'!$K:$K,'NSE - Other Index Options'!$D:$D,$A24))</f>
        <v/>
      </c>
      <c r="C24" s="26">
        <f>IF(SUMIFS('NSE - NIFTY Index Options'!$L:$L,'NSE - NIFTY Index Options'!$D:$D,$A24)+SUMIFS('NSE - Other Index Options'!$L:$L,'NSE - Other Index Options'!$D:$D,$A24)=0,"",SUMIFS('NSE - NIFTY Index Options'!$L:$L,'NSE - NIFTY Index Options'!$D:$D,$A24)+SUMIFS('NSE - Other Index Options'!$L:$L,'NSE - Other Index Options'!$D:$D,$A24))</f>
        <v/>
      </c>
      <c r="D24" s="26">
        <f>IF(SUMIFS('NSE - NIFTY Index Options'!$M:$M,'NSE - NIFTY Index Options'!$D:$D,$A24)+SUMIFS('NSE - Other Index Options'!$M:$M,'NSE - Other Index Options'!$D:$D,$A24)=0,"",SUMIFS('NSE - NIFTY Index Options'!$M:$M,'NSE - NIFTY Index Options'!$D:$D,$A24)+SUMIFS('NSE - Other Index Options'!$M:$M,'NSE - Other Index Options'!$D:$D,$A24))</f>
        <v/>
      </c>
      <c r="E24" s="25">
        <f>IF(SUMIFS('BSE - SENSEX Index Options'!$K:$K,'BSE - SENSEX Index Options'!$D:$D,$A24)+SUMIFS('BSE - Other Index Options'!$K:$K,'BSE - Other Index Options'!$D:$D,$A24)=0,"",SUMIFS('BSE - SENSEX Index Options'!$K:$K,'BSE - SENSEX Index Options'!$D:$D,$A24)+SUMIFS('BSE - Other Index Options'!$K:$K,'BSE - Other Index Options'!$D:$D,$A24))</f>
        <v/>
      </c>
      <c r="F24" s="26">
        <f>IF(SUMIFS('BSE - SENSEX Index Options'!$L:$L,'BSE - SENSEX Index Options'!$D:$D,$A24)+SUMIFS('BSE - Other Index Options'!$L:$L,'BSE - Other Index Options'!$D:$D,$A24)=0,"",SUMIFS('BSE - SENSEX Index Options'!$L:$L,'BSE - SENSEX Index Options'!$D:$D,$A24)+SUMIFS('BSE - Other Index Options'!$L:$L,'BSE - Other Index Options'!$D:$D,$A24))</f>
        <v/>
      </c>
      <c r="G24" s="26">
        <f>IF(SUMIFS('BSE - SENSEX Index Options'!$M:$M,'BSE - SENSEX Index Options'!$D:$D,$A24)+SUMIFS('BSE - Other Index Options'!$M:$M,'BSE - Other Index Options'!$D:$D,$A24)=0,"",SUMIFS('BSE - SENSEX Index Options'!$M:$M,'BSE - SENSEX Index Options'!$D:$D,$A24)+SUMIFS('BSE - Other Index Options'!$M:$M,'BSE - Other Index Options'!$D:$D,$A24))</f>
        <v/>
      </c>
    </row>
    <row r="25">
      <c r="A25" s="24" t="n">
        <v>46174</v>
      </c>
      <c r="B25" s="25">
        <f>IF(SUMIFS('NSE - NIFTY Index Options'!$K:$K,'NSE - NIFTY Index Options'!$D:$D,$A25)+SUMIFS('NSE - Other Index Options'!$K:$K,'NSE - Other Index Options'!$D:$D,$A25)=0,"",SUMIFS('NSE - NIFTY Index Options'!$K:$K,'NSE - NIFTY Index Options'!$D:$D,$A25)+SUMIFS('NSE - Other Index Options'!$K:$K,'NSE - Other Index Options'!$D:$D,$A25))</f>
        <v/>
      </c>
      <c r="C25" s="26">
        <f>IF(SUMIFS('NSE - NIFTY Index Options'!$L:$L,'NSE - NIFTY Index Options'!$D:$D,$A25)+SUMIFS('NSE - Other Index Options'!$L:$L,'NSE - Other Index Options'!$D:$D,$A25)=0,"",SUMIFS('NSE - NIFTY Index Options'!$L:$L,'NSE - NIFTY Index Options'!$D:$D,$A25)+SUMIFS('NSE - Other Index Options'!$L:$L,'NSE - Other Index Options'!$D:$D,$A25))</f>
        <v/>
      </c>
      <c r="D25" s="26">
        <f>IF(SUMIFS('NSE - NIFTY Index Options'!$M:$M,'NSE - NIFTY Index Options'!$D:$D,$A25)+SUMIFS('NSE - Other Index Options'!$M:$M,'NSE - Other Index Options'!$D:$D,$A25)=0,"",SUMIFS('NSE - NIFTY Index Options'!$M:$M,'NSE - NIFTY Index Options'!$D:$D,$A25)+SUMIFS('NSE - Other Index Options'!$M:$M,'NSE - Other Index Options'!$D:$D,$A25))</f>
        <v/>
      </c>
      <c r="E25" s="25">
        <f>IF(SUMIFS('BSE - SENSEX Index Options'!$K:$K,'BSE - SENSEX Index Options'!$D:$D,$A25)+SUMIFS('BSE - Other Index Options'!$K:$K,'BSE - Other Index Options'!$D:$D,$A25)=0,"",SUMIFS('BSE - SENSEX Index Options'!$K:$K,'BSE - SENSEX Index Options'!$D:$D,$A25)+SUMIFS('BSE - Other Index Options'!$K:$K,'BSE - Other Index Options'!$D:$D,$A25))</f>
        <v/>
      </c>
      <c r="F25" s="26">
        <f>IF(SUMIFS('BSE - SENSEX Index Options'!$L:$L,'BSE - SENSEX Index Options'!$D:$D,$A25)+SUMIFS('BSE - Other Index Options'!$L:$L,'BSE - Other Index Options'!$D:$D,$A25)=0,"",SUMIFS('BSE - SENSEX Index Options'!$L:$L,'BSE - SENSEX Index Options'!$D:$D,$A25)+SUMIFS('BSE - Other Index Options'!$L:$L,'BSE - Other Index Options'!$D:$D,$A25))</f>
        <v/>
      </c>
      <c r="G25" s="26">
        <f>IF(SUMIFS('BSE - SENSEX Index Options'!$M:$M,'BSE - SENSEX Index Options'!$D:$D,$A25)+SUMIFS('BSE - Other Index Options'!$M:$M,'BSE - Other Index Options'!$D:$D,$A25)=0,"",SUMIFS('BSE - SENSEX Index Options'!$M:$M,'BSE - SENSEX Index Options'!$D:$D,$A25)+SUMIFS('BSE - Other Index Options'!$M:$M,'BSE - Other Index Options'!$D:$D,$A25))</f>
        <v/>
      </c>
    </row>
    <row r="26">
      <c r="A26" s="24" t="n">
        <v>46204</v>
      </c>
      <c r="B26" s="25">
        <f>IF(SUMIFS('NSE - NIFTY Index Options'!$K:$K,'NSE - NIFTY Index Options'!$D:$D,$A26)+SUMIFS('NSE - Other Index Options'!$K:$K,'NSE - Other Index Options'!$D:$D,$A26)=0,"",SUMIFS('NSE - NIFTY Index Options'!$K:$K,'NSE - NIFTY Index Options'!$D:$D,$A26)+SUMIFS('NSE - Other Index Options'!$K:$K,'NSE - Other Index Options'!$D:$D,$A26))</f>
        <v/>
      </c>
      <c r="C26" s="26">
        <f>IF(SUMIFS('NSE - NIFTY Index Options'!$L:$L,'NSE - NIFTY Index Options'!$D:$D,$A26)+SUMIFS('NSE - Other Index Options'!$L:$L,'NSE - Other Index Options'!$D:$D,$A26)=0,"",SUMIFS('NSE - NIFTY Index Options'!$L:$L,'NSE - NIFTY Index Options'!$D:$D,$A26)+SUMIFS('NSE - Other Index Options'!$L:$L,'NSE - Other Index Options'!$D:$D,$A26))</f>
        <v/>
      </c>
      <c r="D26" s="26">
        <f>IF(SUMIFS('NSE - NIFTY Index Options'!$M:$M,'NSE - NIFTY Index Options'!$D:$D,$A26)+SUMIFS('NSE - Other Index Options'!$M:$M,'NSE - Other Index Options'!$D:$D,$A26)=0,"",SUMIFS('NSE - NIFTY Index Options'!$M:$M,'NSE - NIFTY Index Options'!$D:$D,$A26)+SUMIFS('NSE - Other Index Options'!$M:$M,'NSE - Other Index Options'!$D:$D,$A26))</f>
        <v/>
      </c>
      <c r="E26" s="25">
        <f>IF(SUMIFS('BSE - SENSEX Index Options'!$K:$K,'BSE - SENSEX Index Options'!$D:$D,$A26)+SUMIFS('BSE - Other Index Options'!$K:$K,'BSE - Other Index Options'!$D:$D,$A26)=0,"",SUMIFS('BSE - SENSEX Index Options'!$K:$K,'BSE - SENSEX Index Options'!$D:$D,$A26)+SUMIFS('BSE - Other Index Options'!$K:$K,'BSE - Other Index Options'!$D:$D,$A26))</f>
        <v/>
      </c>
      <c r="F26" s="26">
        <f>IF(SUMIFS('BSE - SENSEX Index Options'!$L:$L,'BSE - SENSEX Index Options'!$D:$D,$A26)+SUMIFS('BSE - Other Index Options'!$L:$L,'BSE - Other Index Options'!$D:$D,$A26)=0,"",SUMIFS('BSE - SENSEX Index Options'!$L:$L,'BSE - SENSEX Index Options'!$D:$D,$A26)+SUMIFS('BSE - Other Index Options'!$L:$L,'BSE - Other Index Options'!$D:$D,$A26))</f>
        <v/>
      </c>
      <c r="G26" s="26">
        <f>IF(SUMIFS('BSE - SENSEX Index Options'!$M:$M,'BSE - SENSEX Index Options'!$D:$D,$A26)+SUMIFS('BSE - Other Index Options'!$M:$M,'BSE - Other Index Options'!$D:$D,$A26)=0,"",SUMIFS('BSE - SENSEX Index Options'!$M:$M,'BSE - SENSEX Index Options'!$D:$D,$A26)+SUMIFS('BSE - Other Index Options'!$M:$M,'BSE - Other Index Options'!$D:$D,$A26))</f>
        <v/>
      </c>
    </row>
    <row r="27">
      <c r="A27" s="24" t="n">
        <v>46235</v>
      </c>
      <c r="B27" s="25">
        <f>IF(SUMIFS('NSE - NIFTY Index Options'!$K:$K,'NSE - NIFTY Index Options'!$D:$D,$A27)+SUMIFS('NSE - Other Index Options'!$K:$K,'NSE - Other Index Options'!$D:$D,$A27)=0,"",SUMIFS('NSE - NIFTY Index Options'!$K:$K,'NSE - NIFTY Index Options'!$D:$D,$A27)+SUMIFS('NSE - Other Index Options'!$K:$K,'NSE - Other Index Options'!$D:$D,$A27))</f>
        <v/>
      </c>
      <c r="C27" s="26">
        <f>IF(SUMIFS('NSE - NIFTY Index Options'!$L:$L,'NSE - NIFTY Index Options'!$D:$D,$A27)+SUMIFS('NSE - Other Index Options'!$L:$L,'NSE - Other Index Options'!$D:$D,$A27)=0,"",SUMIFS('NSE - NIFTY Index Options'!$L:$L,'NSE - NIFTY Index Options'!$D:$D,$A27)+SUMIFS('NSE - Other Index Options'!$L:$L,'NSE - Other Index Options'!$D:$D,$A27))</f>
        <v/>
      </c>
      <c r="D27" s="26">
        <f>IF(SUMIFS('NSE - NIFTY Index Options'!$M:$M,'NSE - NIFTY Index Options'!$D:$D,$A27)+SUMIFS('NSE - Other Index Options'!$M:$M,'NSE - Other Index Options'!$D:$D,$A27)=0,"",SUMIFS('NSE - NIFTY Index Options'!$M:$M,'NSE - NIFTY Index Options'!$D:$D,$A27)+SUMIFS('NSE - Other Index Options'!$M:$M,'NSE - Other Index Options'!$D:$D,$A27))</f>
        <v/>
      </c>
      <c r="E27" s="25">
        <f>IF(SUMIFS('BSE - SENSEX Index Options'!$K:$K,'BSE - SENSEX Index Options'!$D:$D,$A27)+SUMIFS('BSE - Other Index Options'!$K:$K,'BSE - Other Index Options'!$D:$D,$A27)=0,"",SUMIFS('BSE - SENSEX Index Options'!$K:$K,'BSE - SENSEX Index Options'!$D:$D,$A27)+SUMIFS('BSE - Other Index Options'!$K:$K,'BSE - Other Index Options'!$D:$D,$A27))</f>
        <v/>
      </c>
      <c r="F27" s="26">
        <f>IF(SUMIFS('BSE - SENSEX Index Options'!$L:$L,'BSE - SENSEX Index Options'!$D:$D,$A27)+SUMIFS('BSE - Other Index Options'!$L:$L,'BSE - Other Index Options'!$D:$D,$A27)=0,"",SUMIFS('BSE - SENSEX Index Options'!$L:$L,'BSE - SENSEX Index Options'!$D:$D,$A27)+SUMIFS('BSE - Other Index Options'!$L:$L,'BSE - Other Index Options'!$D:$D,$A27))</f>
        <v/>
      </c>
      <c r="G27" s="26">
        <f>IF(SUMIFS('BSE - SENSEX Index Options'!$M:$M,'BSE - SENSEX Index Options'!$D:$D,$A27)+SUMIFS('BSE - Other Index Options'!$M:$M,'BSE - Other Index Options'!$D:$D,$A27)=0,"",SUMIFS('BSE - SENSEX Index Options'!$M:$M,'BSE - SENSEX Index Options'!$D:$D,$A27)+SUMIFS('BSE - Other Index Options'!$M:$M,'BSE - Other Index Options'!$D:$D,$A27))</f>
        <v/>
      </c>
    </row>
    <row r="28">
      <c r="A28" s="24" t="n">
        <v>46266</v>
      </c>
      <c r="B28" s="25">
        <f>IF(SUMIFS('NSE - NIFTY Index Options'!$K:$K,'NSE - NIFTY Index Options'!$D:$D,$A28)+SUMIFS('NSE - Other Index Options'!$K:$K,'NSE - Other Index Options'!$D:$D,$A28)=0,"",SUMIFS('NSE - NIFTY Index Options'!$K:$K,'NSE - NIFTY Index Options'!$D:$D,$A28)+SUMIFS('NSE - Other Index Options'!$K:$K,'NSE - Other Index Options'!$D:$D,$A28))</f>
        <v/>
      </c>
      <c r="C28" s="26">
        <f>IF(SUMIFS('NSE - NIFTY Index Options'!$L:$L,'NSE - NIFTY Index Options'!$D:$D,$A28)+SUMIFS('NSE - Other Index Options'!$L:$L,'NSE - Other Index Options'!$D:$D,$A28)=0,"",SUMIFS('NSE - NIFTY Index Options'!$L:$L,'NSE - NIFTY Index Options'!$D:$D,$A28)+SUMIFS('NSE - Other Index Options'!$L:$L,'NSE - Other Index Options'!$D:$D,$A28))</f>
        <v/>
      </c>
      <c r="D28" s="26">
        <f>IF(SUMIFS('NSE - NIFTY Index Options'!$M:$M,'NSE - NIFTY Index Options'!$D:$D,$A28)+SUMIFS('NSE - Other Index Options'!$M:$M,'NSE - Other Index Options'!$D:$D,$A28)=0,"",SUMIFS('NSE - NIFTY Index Options'!$M:$M,'NSE - NIFTY Index Options'!$D:$D,$A28)+SUMIFS('NSE - Other Index Options'!$M:$M,'NSE - Other Index Options'!$D:$D,$A28))</f>
        <v/>
      </c>
      <c r="E28" s="25">
        <f>IF(SUMIFS('BSE - SENSEX Index Options'!$K:$K,'BSE - SENSEX Index Options'!$D:$D,$A28)+SUMIFS('BSE - Other Index Options'!$K:$K,'BSE - Other Index Options'!$D:$D,$A28)=0,"",SUMIFS('BSE - SENSEX Index Options'!$K:$K,'BSE - SENSEX Index Options'!$D:$D,$A28)+SUMIFS('BSE - Other Index Options'!$K:$K,'BSE - Other Index Options'!$D:$D,$A28))</f>
        <v/>
      </c>
      <c r="F28" s="26">
        <f>IF(SUMIFS('BSE - SENSEX Index Options'!$L:$L,'BSE - SENSEX Index Options'!$D:$D,$A28)+SUMIFS('BSE - Other Index Options'!$L:$L,'BSE - Other Index Options'!$D:$D,$A28)=0,"",SUMIFS('BSE - SENSEX Index Options'!$L:$L,'BSE - SENSEX Index Options'!$D:$D,$A28)+SUMIFS('BSE - Other Index Options'!$L:$L,'BSE - Other Index Options'!$D:$D,$A28))</f>
        <v/>
      </c>
      <c r="G28" s="26">
        <f>IF(SUMIFS('BSE - SENSEX Index Options'!$M:$M,'BSE - SENSEX Index Options'!$D:$D,$A28)+SUMIFS('BSE - Other Index Options'!$M:$M,'BSE - Other Index Options'!$D:$D,$A28)=0,"",SUMIFS('BSE - SENSEX Index Options'!$M:$M,'BSE - SENSEX Index Options'!$D:$D,$A28)+SUMIFS('BSE - Other Index Options'!$M:$M,'BSE - Other Index Options'!$D:$D,$A28))</f>
        <v/>
      </c>
    </row>
    <row r="29">
      <c r="A29" s="24" t="n">
        <v>46296</v>
      </c>
      <c r="B29" s="25">
        <f>IF(SUMIFS('NSE - NIFTY Index Options'!$K:$K,'NSE - NIFTY Index Options'!$D:$D,$A29)+SUMIFS('NSE - Other Index Options'!$K:$K,'NSE - Other Index Options'!$D:$D,$A29)=0,"",SUMIFS('NSE - NIFTY Index Options'!$K:$K,'NSE - NIFTY Index Options'!$D:$D,$A29)+SUMIFS('NSE - Other Index Options'!$K:$K,'NSE - Other Index Options'!$D:$D,$A29))</f>
        <v/>
      </c>
      <c r="C29" s="26">
        <f>IF(SUMIFS('NSE - NIFTY Index Options'!$L:$L,'NSE - NIFTY Index Options'!$D:$D,$A29)+SUMIFS('NSE - Other Index Options'!$L:$L,'NSE - Other Index Options'!$D:$D,$A29)=0,"",SUMIFS('NSE - NIFTY Index Options'!$L:$L,'NSE - NIFTY Index Options'!$D:$D,$A29)+SUMIFS('NSE - Other Index Options'!$L:$L,'NSE - Other Index Options'!$D:$D,$A29))</f>
        <v/>
      </c>
      <c r="D29" s="26">
        <f>IF(SUMIFS('NSE - NIFTY Index Options'!$M:$M,'NSE - NIFTY Index Options'!$D:$D,$A29)+SUMIFS('NSE - Other Index Options'!$M:$M,'NSE - Other Index Options'!$D:$D,$A29)=0,"",SUMIFS('NSE - NIFTY Index Options'!$M:$M,'NSE - NIFTY Index Options'!$D:$D,$A29)+SUMIFS('NSE - Other Index Options'!$M:$M,'NSE - Other Index Options'!$D:$D,$A29))</f>
        <v/>
      </c>
      <c r="E29" s="25">
        <f>IF(SUMIFS('BSE - SENSEX Index Options'!$K:$K,'BSE - SENSEX Index Options'!$D:$D,$A29)+SUMIFS('BSE - Other Index Options'!$K:$K,'BSE - Other Index Options'!$D:$D,$A29)=0,"",SUMIFS('BSE - SENSEX Index Options'!$K:$K,'BSE - SENSEX Index Options'!$D:$D,$A29)+SUMIFS('BSE - Other Index Options'!$K:$K,'BSE - Other Index Options'!$D:$D,$A29))</f>
        <v/>
      </c>
      <c r="F29" s="26">
        <f>IF(SUMIFS('BSE - SENSEX Index Options'!$L:$L,'BSE - SENSEX Index Options'!$D:$D,$A29)+SUMIFS('BSE - Other Index Options'!$L:$L,'BSE - Other Index Options'!$D:$D,$A29)=0,"",SUMIFS('BSE - SENSEX Index Options'!$L:$L,'BSE - SENSEX Index Options'!$D:$D,$A29)+SUMIFS('BSE - Other Index Options'!$L:$L,'BSE - Other Index Options'!$D:$D,$A29))</f>
        <v/>
      </c>
      <c r="G29" s="26">
        <f>IF(SUMIFS('BSE - SENSEX Index Options'!$M:$M,'BSE - SENSEX Index Options'!$D:$D,$A29)+SUMIFS('BSE - Other Index Options'!$M:$M,'BSE - Other Index Options'!$D:$D,$A29)=0,"",SUMIFS('BSE - SENSEX Index Options'!$M:$M,'BSE - SENSEX Index Options'!$D:$D,$A29)+SUMIFS('BSE - Other Index Options'!$M:$M,'BSE - Other Index Options'!$D:$D,$A29))</f>
        <v/>
      </c>
    </row>
    <row r="30">
      <c r="A30" s="24" t="n">
        <v>46327</v>
      </c>
      <c r="B30" s="25">
        <f>IF(SUMIFS('NSE - NIFTY Index Options'!$K:$K,'NSE - NIFTY Index Options'!$D:$D,$A30)+SUMIFS('NSE - Other Index Options'!$K:$K,'NSE - Other Index Options'!$D:$D,$A30)=0,"",SUMIFS('NSE - NIFTY Index Options'!$K:$K,'NSE - NIFTY Index Options'!$D:$D,$A30)+SUMIFS('NSE - Other Index Options'!$K:$K,'NSE - Other Index Options'!$D:$D,$A30))</f>
        <v/>
      </c>
      <c r="C30" s="26">
        <f>IF(SUMIFS('NSE - NIFTY Index Options'!$L:$L,'NSE - NIFTY Index Options'!$D:$D,$A30)+SUMIFS('NSE - Other Index Options'!$L:$L,'NSE - Other Index Options'!$D:$D,$A30)=0,"",SUMIFS('NSE - NIFTY Index Options'!$L:$L,'NSE - NIFTY Index Options'!$D:$D,$A30)+SUMIFS('NSE - Other Index Options'!$L:$L,'NSE - Other Index Options'!$D:$D,$A30))</f>
        <v/>
      </c>
      <c r="D30" s="26">
        <f>IF(SUMIFS('NSE - NIFTY Index Options'!$M:$M,'NSE - NIFTY Index Options'!$D:$D,$A30)+SUMIFS('NSE - Other Index Options'!$M:$M,'NSE - Other Index Options'!$D:$D,$A30)=0,"",SUMIFS('NSE - NIFTY Index Options'!$M:$M,'NSE - NIFTY Index Options'!$D:$D,$A30)+SUMIFS('NSE - Other Index Options'!$M:$M,'NSE - Other Index Options'!$D:$D,$A30))</f>
        <v/>
      </c>
      <c r="E30" s="25">
        <f>IF(SUMIFS('BSE - SENSEX Index Options'!$K:$K,'BSE - SENSEX Index Options'!$D:$D,$A30)+SUMIFS('BSE - Other Index Options'!$K:$K,'BSE - Other Index Options'!$D:$D,$A30)=0,"",SUMIFS('BSE - SENSEX Index Options'!$K:$K,'BSE - SENSEX Index Options'!$D:$D,$A30)+SUMIFS('BSE - Other Index Options'!$K:$K,'BSE - Other Index Options'!$D:$D,$A30))</f>
        <v/>
      </c>
      <c r="F30" s="26">
        <f>IF(SUMIFS('BSE - SENSEX Index Options'!$L:$L,'BSE - SENSEX Index Options'!$D:$D,$A30)+SUMIFS('BSE - Other Index Options'!$L:$L,'BSE - Other Index Options'!$D:$D,$A30)=0,"",SUMIFS('BSE - SENSEX Index Options'!$L:$L,'BSE - SENSEX Index Options'!$D:$D,$A30)+SUMIFS('BSE - Other Index Options'!$L:$L,'BSE - Other Index Options'!$D:$D,$A30))</f>
        <v/>
      </c>
      <c r="G30" s="26">
        <f>IF(SUMIFS('BSE - SENSEX Index Options'!$M:$M,'BSE - SENSEX Index Options'!$D:$D,$A30)+SUMIFS('BSE - Other Index Options'!$M:$M,'BSE - Other Index Options'!$D:$D,$A30)=0,"",SUMIFS('BSE - SENSEX Index Options'!$M:$M,'BSE - SENSEX Index Options'!$D:$D,$A30)+SUMIFS('BSE - Other Index Options'!$M:$M,'BSE - Other Index Options'!$D:$D,$A30))</f>
        <v/>
      </c>
    </row>
    <row r="31">
      <c r="A31" s="24" t="n">
        <v>46357</v>
      </c>
      <c r="B31" s="25">
        <f>IF(SUMIFS('NSE - NIFTY Index Options'!$K:$K,'NSE - NIFTY Index Options'!$D:$D,$A31)+SUMIFS('NSE - Other Index Options'!$K:$K,'NSE - Other Index Options'!$D:$D,$A31)=0,"",SUMIFS('NSE - NIFTY Index Options'!$K:$K,'NSE - NIFTY Index Options'!$D:$D,$A31)+SUMIFS('NSE - Other Index Options'!$K:$K,'NSE - Other Index Options'!$D:$D,$A31))</f>
        <v/>
      </c>
      <c r="C31" s="26">
        <f>IF(SUMIFS('NSE - NIFTY Index Options'!$L:$L,'NSE - NIFTY Index Options'!$D:$D,$A31)+SUMIFS('NSE - Other Index Options'!$L:$L,'NSE - Other Index Options'!$D:$D,$A31)=0,"",SUMIFS('NSE - NIFTY Index Options'!$L:$L,'NSE - NIFTY Index Options'!$D:$D,$A31)+SUMIFS('NSE - Other Index Options'!$L:$L,'NSE - Other Index Options'!$D:$D,$A31))</f>
        <v/>
      </c>
      <c r="D31" s="26">
        <f>IF(SUMIFS('NSE - NIFTY Index Options'!$M:$M,'NSE - NIFTY Index Options'!$D:$D,$A31)+SUMIFS('NSE - Other Index Options'!$M:$M,'NSE - Other Index Options'!$D:$D,$A31)=0,"",SUMIFS('NSE - NIFTY Index Options'!$M:$M,'NSE - NIFTY Index Options'!$D:$D,$A31)+SUMIFS('NSE - Other Index Options'!$M:$M,'NSE - Other Index Options'!$D:$D,$A31))</f>
        <v/>
      </c>
      <c r="E31" s="25">
        <f>IF(SUMIFS('BSE - SENSEX Index Options'!$K:$K,'BSE - SENSEX Index Options'!$D:$D,$A31)+SUMIFS('BSE - Other Index Options'!$K:$K,'BSE - Other Index Options'!$D:$D,$A31)=0,"",SUMIFS('BSE - SENSEX Index Options'!$K:$K,'BSE - SENSEX Index Options'!$D:$D,$A31)+SUMIFS('BSE - Other Index Options'!$K:$K,'BSE - Other Index Options'!$D:$D,$A31))</f>
        <v/>
      </c>
      <c r="F31" s="26">
        <f>IF(SUMIFS('BSE - SENSEX Index Options'!$L:$L,'BSE - SENSEX Index Options'!$D:$D,$A31)+SUMIFS('BSE - Other Index Options'!$L:$L,'BSE - Other Index Options'!$D:$D,$A31)=0,"",SUMIFS('BSE - SENSEX Index Options'!$L:$L,'BSE - SENSEX Index Options'!$D:$D,$A31)+SUMIFS('BSE - Other Index Options'!$L:$L,'BSE - Other Index Options'!$D:$D,$A31))</f>
        <v/>
      </c>
      <c r="G31" s="26">
        <f>IF(SUMIFS('BSE - SENSEX Index Options'!$M:$M,'BSE - SENSEX Index Options'!$D:$D,$A31)+SUMIFS('BSE - Other Index Options'!$M:$M,'BSE - Other Index Options'!$D:$D,$A31)=0,"",SUMIFS('BSE - SENSEX Index Options'!$M:$M,'BSE - SENSEX Index Options'!$D:$D,$A31)+SUMIFS('BSE - Other Index Options'!$M:$M,'BSE - Other Index Options'!$D:$D,$A31))</f>
        <v/>
      </c>
    </row>
    <row r="32">
      <c r="A32" s="24" t="n">
        <v>46388</v>
      </c>
      <c r="B32" s="25">
        <f>IF(SUMIFS('NSE - NIFTY Index Options'!$K:$K,'NSE - NIFTY Index Options'!$D:$D,$A32)+SUMIFS('NSE - Other Index Options'!$K:$K,'NSE - Other Index Options'!$D:$D,$A32)=0,"",SUMIFS('NSE - NIFTY Index Options'!$K:$K,'NSE - NIFTY Index Options'!$D:$D,$A32)+SUMIFS('NSE - Other Index Options'!$K:$K,'NSE - Other Index Options'!$D:$D,$A32))</f>
        <v/>
      </c>
      <c r="C32" s="26">
        <f>IF(SUMIFS('NSE - NIFTY Index Options'!$L:$L,'NSE - NIFTY Index Options'!$D:$D,$A32)+SUMIFS('NSE - Other Index Options'!$L:$L,'NSE - Other Index Options'!$D:$D,$A32)=0,"",SUMIFS('NSE - NIFTY Index Options'!$L:$L,'NSE - NIFTY Index Options'!$D:$D,$A32)+SUMIFS('NSE - Other Index Options'!$L:$L,'NSE - Other Index Options'!$D:$D,$A32))</f>
        <v/>
      </c>
      <c r="D32" s="26">
        <f>IF(SUMIFS('NSE - NIFTY Index Options'!$M:$M,'NSE - NIFTY Index Options'!$D:$D,$A32)+SUMIFS('NSE - Other Index Options'!$M:$M,'NSE - Other Index Options'!$D:$D,$A32)=0,"",SUMIFS('NSE - NIFTY Index Options'!$M:$M,'NSE - NIFTY Index Options'!$D:$D,$A32)+SUMIFS('NSE - Other Index Options'!$M:$M,'NSE - Other Index Options'!$D:$D,$A32))</f>
        <v/>
      </c>
      <c r="E32" s="25">
        <f>IF(SUMIFS('BSE - SENSEX Index Options'!$K:$K,'BSE - SENSEX Index Options'!$D:$D,$A32)+SUMIFS('BSE - Other Index Options'!$K:$K,'BSE - Other Index Options'!$D:$D,$A32)=0,"",SUMIFS('BSE - SENSEX Index Options'!$K:$K,'BSE - SENSEX Index Options'!$D:$D,$A32)+SUMIFS('BSE - Other Index Options'!$K:$K,'BSE - Other Index Options'!$D:$D,$A32))</f>
        <v/>
      </c>
      <c r="F32" s="26">
        <f>IF(SUMIFS('BSE - SENSEX Index Options'!$L:$L,'BSE - SENSEX Index Options'!$D:$D,$A32)+SUMIFS('BSE - Other Index Options'!$L:$L,'BSE - Other Index Options'!$D:$D,$A32)=0,"",SUMIFS('BSE - SENSEX Index Options'!$L:$L,'BSE - SENSEX Index Options'!$D:$D,$A32)+SUMIFS('BSE - Other Index Options'!$L:$L,'BSE - Other Index Options'!$D:$D,$A32))</f>
        <v/>
      </c>
      <c r="G32" s="26">
        <f>IF(SUMIFS('BSE - SENSEX Index Options'!$M:$M,'BSE - SENSEX Index Options'!$D:$D,$A32)+SUMIFS('BSE - Other Index Options'!$M:$M,'BSE - Other Index Options'!$D:$D,$A32)=0,"",SUMIFS('BSE - SENSEX Index Options'!$M:$M,'BSE - SENSEX Index Options'!$D:$D,$A32)+SUMIFS('BSE - Other Index Options'!$M:$M,'BSE - Other Index Options'!$D:$D,$A32))</f>
        <v/>
      </c>
    </row>
    <row r="33">
      <c r="A33" s="24" t="n">
        <v>46419</v>
      </c>
      <c r="B33" s="25">
        <f>IF(SUMIFS('NSE - NIFTY Index Options'!$K:$K,'NSE - NIFTY Index Options'!$D:$D,$A33)+SUMIFS('NSE - Other Index Options'!$K:$K,'NSE - Other Index Options'!$D:$D,$A33)=0,"",SUMIFS('NSE - NIFTY Index Options'!$K:$K,'NSE - NIFTY Index Options'!$D:$D,$A33)+SUMIFS('NSE - Other Index Options'!$K:$K,'NSE - Other Index Options'!$D:$D,$A33))</f>
        <v/>
      </c>
      <c r="C33" s="26">
        <f>IF(SUMIFS('NSE - NIFTY Index Options'!$L:$L,'NSE - NIFTY Index Options'!$D:$D,$A33)+SUMIFS('NSE - Other Index Options'!$L:$L,'NSE - Other Index Options'!$D:$D,$A33)=0,"",SUMIFS('NSE - NIFTY Index Options'!$L:$L,'NSE - NIFTY Index Options'!$D:$D,$A33)+SUMIFS('NSE - Other Index Options'!$L:$L,'NSE - Other Index Options'!$D:$D,$A33))</f>
        <v/>
      </c>
      <c r="D33" s="26">
        <f>IF(SUMIFS('NSE - NIFTY Index Options'!$M:$M,'NSE - NIFTY Index Options'!$D:$D,$A33)+SUMIFS('NSE - Other Index Options'!$M:$M,'NSE - Other Index Options'!$D:$D,$A33)=0,"",SUMIFS('NSE - NIFTY Index Options'!$M:$M,'NSE - NIFTY Index Options'!$D:$D,$A33)+SUMIFS('NSE - Other Index Options'!$M:$M,'NSE - Other Index Options'!$D:$D,$A33))</f>
        <v/>
      </c>
      <c r="E33" s="25">
        <f>IF(SUMIFS('BSE - SENSEX Index Options'!$K:$K,'BSE - SENSEX Index Options'!$D:$D,$A33)+SUMIFS('BSE - Other Index Options'!$K:$K,'BSE - Other Index Options'!$D:$D,$A33)=0,"",SUMIFS('BSE - SENSEX Index Options'!$K:$K,'BSE - SENSEX Index Options'!$D:$D,$A33)+SUMIFS('BSE - Other Index Options'!$K:$K,'BSE - Other Index Options'!$D:$D,$A33))</f>
        <v/>
      </c>
      <c r="F33" s="26">
        <f>IF(SUMIFS('BSE - SENSEX Index Options'!$L:$L,'BSE - SENSEX Index Options'!$D:$D,$A33)+SUMIFS('BSE - Other Index Options'!$L:$L,'BSE - Other Index Options'!$D:$D,$A33)=0,"",SUMIFS('BSE - SENSEX Index Options'!$L:$L,'BSE - SENSEX Index Options'!$D:$D,$A33)+SUMIFS('BSE - Other Index Options'!$L:$L,'BSE - Other Index Options'!$D:$D,$A33))</f>
        <v/>
      </c>
      <c r="G33" s="26">
        <f>IF(SUMIFS('BSE - SENSEX Index Options'!$M:$M,'BSE - SENSEX Index Options'!$D:$D,$A33)+SUMIFS('BSE - Other Index Options'!$M:$M,'BSE - Other Index Options'!$D:$D,$A33)=0,"",SUMIFS('BSE - SENSEX Index Options'!$M:$M,'BSE - SENSEX Index Options'!$D:$D,$A33)+SUMIFS('BSE - Other Index Options'!$M:$M,'BSE - Other Index Options'!$D:$D,$A33))</f>
        <v/>
      </c>
    </row>
    <row r="34">
      <c r="A34" s="24" t="n">
        <v>46447</v>
      </c>
      <c r="B34" s="25">
        <f>IF(SUMIFS('NSE - NIFTY Index Options'!$K:$K,'NSE - NIFTY Index Options'!$D:$D,$A34)+SUMIFS('NSE - Other Index Options'!$K:$K,'NSE - Other Index Options'!$D:$D,$A34)=0,"",SUMIFS('NSE - NIFTY Index Options'!$K:$K,'NSE - NIFTY Index Options'!$D:$D,$A34)+SUMIFS('NSE - Other Index Options'!$K:$K,'NSE - Other Index Options'!$D:$D,$A34))</f>
        <v/>
      </c>
      <c r="C34" s="26">
        <f>IF(SUMIFS('NSE - NIFTY Index Options'!$L:$L,'NSE - NIFTY Index Options'!$D:$D,$A34)+SUMIFS('NSE - Other Index Options'!$L:$L,'NSE - Other Index Options'!$D:$D,$A34)=0,"",SUMIFS('NSE - NIFTY Index Options'!$L:$L,'NSE - NIFTY Index Options'!$D:$D,$A34)+SUMIFS('NSE - Other Index Options'!$L:$L,'NSE - Other Index Options'!$D:$D,$A34))</f>
        <v/>
      </c>
      <c r="D34" s="26">
        <f>IF(SUMIFS('NSE - NIFTY Index Options'!$M:$M,'NSE - NIFTY Index Options'!$D:$D,$A34)+SUMIFS('NSE - Other Index Options'!$M:$M,'NSE - Other Index Options'!$D:$D,$A34)=0,"",SUMIFS('NSE - NIFTY Index Options'!$M:$M,'NSE - NIFTY Index Options'!$D:$D,$A34)+SUMIFS('NSE - Other Index Options'!$M:$M,'NSE - Other Index Options'!$D:$D,$A34))</f>
        <v/>
      </c>
      <c r="E34" s="25">
        <f>IF(SUMIFS('BSE - SENSEX Index Options'!$K:$K,'BSE - SENSEX Index Options'!$D:$D,$A34)+SUMIFS('BSE - Other Index Options'!$K:$K,'BSE - Other Index Options'!$D:$D,$A34)=0,"",SUMIFS('BSE - SENSEX Index Options'!$K:$K,'BSE - SENSEX Index Options'!$D:$D,$A34)+SUMIFS('BSE - Other Index Options'!$K:$K,'BSE - Other Index Options'!$D:$D,$A34))</f>
        <v/>
      </c>
      <c r="F34" s="26">
        <f>IF(SUMIFS('BSE - SENSEX Index Options'!$L:$L,'BSE - SENSEX Index Options'!$D:$D,$A34)+SUMIFS('BSE - Other Index Options'!$L:$L,'BSE - Other Index Options'!$D:$D,$A34)=0,"",SUMIFS('BSE - SENSEX Index Options'!$L:$L,'BSE - SENSEX Index Options'!$D:$D,$A34)+SUMIFS('BSE - Other Index Options'!$L:$L,'BSE - Other Index Options'!$D:$D,$A34))</f>
        <v/>
      </c>
      <c r="G34" s="26">
        <f>IF(SUMIFS('BSE - SENSEX Index Options'!$M:$M,'BSE - SENSEX Index Options'!$D:$D,$A34)+SUMIFS('BSE - Other Index Options'!$M:$M,'BSE - Other Index Options'!$D:$D,$A34)=0,"",SUMIFS('BSE - SENSEX Index Options'!$M:$M,'BSE - SENSEX Index Options'!$D:$D,$A34)+SUMIFS('BSE - Other Index Options'!$M:$M,'BSE - Other Index Options'!$D:$D,$A34))</f>
        <v/>
      </c>
    </row>
    <row r="35">
      <c r="A35" s="24" t="n">
        <v>46478</v>
      </c>
      <c r="B35" s="25">
        <f>IF(SUMIFS('NSE - NIFTY Index Options'!$K:$K,'NSE - NIFTY Index Options'!$D:$D,$A35)+SUMIFS('NSE - Other Index Options'!$K:$K,'NSE - Other Index Options'!$D:$D,$A35)=0,"",SUMIFS('NSE - NIFTY Index Options'!$K:$K,'NSE - NIFTY Index Options'!$D:$D,$A35)+SUMIFS('NSE - Other Index Options'!$K:$K,'NSE - Other Index Options'!$D:$D,$A35))</f>
        <v/>
      </c>
      <c r="C35" s="26">
        <f>IF(SUMIFS('NSE - NIFTY Index Options'!$L:$L,'NSE - NIFTY Index Options'!$D:$D,$A35)+SUMIFS('NSE - Other Index Options'!$L:$L,'NSE - Other Index Options'!$D:$D,$A35)=0,"",SUMIFS('NSE - NIFTY Index Options'!$L:$L,'NSE - NIFTY Index Options'!$D:$D,$A35)+SUMIFS('NSE - Other Index Options'!$L:$L,'NSE - Other Index Options'!$D:$D,$A35))</f>
        <v/>
      </c>
      <c r="D35" s="26">
        <f>IF(SUMIFS('NSE - NIFTY Index Options'!$M:$M,'NSE - NIFTY Index Options'!$D:$D,$A35)+SUMIFS('NSE - Other Index Options'!$M:$M,'NSE - Other Index Options'!$D:$D,$A35)=0,"",SUMIFS('NSE - NIFTY Index Options'!$M:$M,'NSE - NIFTY Index Options'!$D:$D,$A35)+SUMIFS('NSE - Other Index Options'!$M:$M,'NSE - Other Index Options'!$D:$D,$A35))</f>
        <v/>
      </c>
      <c r="E35" s="25">
        <f>IF(SUMIFS('BSE - SENSEX Index Options'!$K:$K,'BSE - SENSEX Index Options'!$D:$D,$A35)+SUMIFS('BSE - Other Index Options'!$K:$K,'BSE - Other Index Options'!$D:$D,$A35)=0,"",SUMIFS('BSE - SENSEX Index Options'!$K:$K,'BSE - SENSEX Index Options'!$D:$D,$A35)+SUMIFS('BSE - Other Index Options'!$K:$K,'BSE - Other Index Options'!$D:$D,$A35))</f>
        <v/>
      </c>
      <c r="F35" s="26">
        <f>IF(SUMIFS('BSE - SENSEX Index Options'!$L:$L,'BSE - SENSEX Index Options'!$D:$D,$A35)+SUMIFS('BSE - Other Index Options'!$L:$L,'BSE - Other Index Options'!$D:$D,$A35)=0,"",SUMIFS('BSE - SENSEX Index Options'!$L:$L,'BSE - SENSEX Index Options'!$D:$D,$A35)+SUMIFS('BSE - Other Index Options'!$L:$L,'BSE - Other Index Options'!$D:$D,$A35))</f>
        <v/>
      </c>
      <c r="G35" s="26">
        <f>IF(SUMIFS('BSE - SENSEX Index Options'!$M:$M,'BSE - SENSEX Index Options'!$D:$D,$A35)+SUMIFS('BSE - Other Index Options'!$M:$M,'BSE - Other Index Options'!$D:$D,$A35)=0,"",SUMIFS('BSE - SENSEX Index Options'!$M:$M,'BSE - SENSEX Index Options'!$D:$D,$A35)+SUMIFS('BSE - Other Index Options'!$M:$M,'BSE - Other Index Options'!$D:$D,$A35))</f>
        <v/>
      </c>
    </row>
    <row r="36">
      <c r="A36" s="24" t="n">
        <v>46508</v>
      </c>
      <c r="B36" s="25">
        <f>IF(SUMIFS('NSE - NIFTY Index Options'!$K:$K,'NSE - NIFTY Index Options'!$D:$D,$A36)+SUMIFS('NSE - Other Index Options'!$K:$K,'NSE - Other Index Options'!$D:$D,$A36)=0,"",SUMIFS('NSE - NIFTY Index Options'!$K:$K,'NSE - NIFTY Index Options'!$D:$D,$A36)+SUMIFS('NSE - Other Index Options'!$K:$K,'NSE - Other Index Options'!$D:$D,$A36))</f>
        <v/>
      </c>
      <c r="C36" s="26">
        <f>IF(SUMIFS('NSE - NIFTY Index Options'!$L:$L,'NSE - NIFTY Index Options'!$D:$D,$A36)+SUMIFS('NSE - Other Index Options'!$L:$L,'NSE - Other Index Options'!$D:$D,$A36)=0,"",SUMIFS('NSE - NIFTY Index Options'!$L:$L,'NSE - NIFTY Index Options'!$D:$D,$A36)+SUMIFS('NSE - Other Index Options'!$L:$L,'NSE - Other Index Options'!$D:$D,$A36))</f>
        <v/>
      </c>
      <c r="D36" s="26">
        <f>IF(SUMIFS('NSE - NIFTY Index Options'!$M:$M,'NSE - NIFTY Index Options'!$D:$D,$A36)+SUMIFS('NSE - Other Index Options'!$M:$M,'NSE - Other Index Options'!$D:$D,$A36)=0,"",SUMIFS('NSE - NIFTY Index Options'!$M:$M,'NSE - NIFTY Index Options'!$D:$D,$A36)+SUMIFS('NSE - Other Index Options'!$M:$M,'NSE - Other Index Options'!$D:$D,$A36))</f>
        <v/>
      </c>
      <c r="E36" s="25">
        <f>IF(SUMIFS('BSE - SENSEX Index Options'!$K:$K,'BSE - SENSEX Index Options'!$D:$D,$A36)+SUMIFS('BSE - Other Index Options'!$K:$K,'BSE - Other Index Options'!$D:$D,$A36)=0,"",SUMIFS('BSE - SENSEX Index Options'!$K:$K,'BSE - SENSEX Index Options'!$D:$D,$A36)+SUMIFS('BSE - Other Index Options'!$K:$K,'BSE - Other Index Options'!$D:$D,$A36))</f>
        <v/>
      </c>
      <c r="F36" s="26">
        <f>IF(SUMIFS('BSE - SENSEX Index Options'!$L:$L,'BSE - SENSEX Index Options'!$D:$D,$A36)+SUMIFS('BSE - Other Index Options'!$L:$L,'BSE - Other Index Options'!$D:$D,$A36)=0,"",SUMIFS('BSE - SENSEX Index Options'!$L:$L,'BSE - SENSEX Index Options'!$D:$D,$A36)+SUMIFS('BSE - Other Index Options'!$L:$L,'BSE - Other Index Options'!$D:$D,$A36))</f>
        <v/>
      </c>
      <c r="G36" s="26">
        <f>IF(SUMIFS('BSE - SENSEX Index Options'!$M:$M,'BSE - SENSEX Index Options'!$D:$D,$A36)+SUMIFS('BSE - Other Index Options'!$M:$M,'BSE - Other Index Options'!$D:$D,$A36)=0,"",SUMIFS('BSE - SENSEX Index Options'!$M:$M,'BSE - SENSEX Index Options'!$D:$D,$A36)+SUMIFS('BSE - Other Index Options'!$M:$M,'BSE - Other Index Options'!$D:$D,$A36))</f>
        <v/>
      </c>
    </row>
    <row r="37">
      <c r="A37" s="24" t="n">
        <v>46539</v>
      </c>
      <c r="B37" s="25">
        <f>IF(SUMIFS('NSE - NIFTY Index Options'!$K:$K,'NSE - NIFTY Index Options'!$D:$D,$A37)+SUMIFS('NSE - Other Index Options'!$K:$K,'NSE - Other Index Options'!$D:$D,$A37)=0,"",SUMIFS('NSE - NIFTY Index Options'!$K:$K,'NSE - NIFTY Index Options'!$D:$D,$A37)+SUMIFS('NSE - Other Index Options'!$K:$K,'NSE - Other Index Options'!$D:$D,$A37))</f>
        <v/>
      </c>
      <c r="C37" s="26">
        <f>IF(SUMIFS('NSE - NIFTY Index Options'!$L:$L,'NSE - NIFTY Index Options'!$D:$D,$A37)+SUMIFS('NSE - Other Index Options'!$L:$L,'NSE - Other Index Options'!$D:$D,$A37)=0,"",SUMIFS('NSE - NIFTY Index Options'!$L:$L,'NSE - NIFTY Index Options'!$D:$D,$A37)+SUMIFS('NSE - Other Index Options'!$L:$L,'NSE - Other Index Options'!$D:$D,$A37))</f>
        <v/>
      </c>
      <c r="D37" s="26">
        <f>IF(SUMIFS('NSE - NIFTY Index Options'!$M:$M,'NSE - NIFTY Index Options'!$D:$D,$A37)+SUMIFS('NSE - Other Index Options'!$M:$M,'NSE - Other Index Options'!$D:$D,$A37)=0,"",SUMIFS('NSE - NIFTY Index Options'!$M:$M,'NSE - NIFTY Index Options'!$D:$D,$A37)+SUMIFS('NSE - Other Index Options'!$M:$M,'NSE - Other Index Options'!$D:$D,$A37))</f>
        <v/>
      </c>
      <c r="E37" s="25">
        <f>IF(SUMIFS('BSE - SENSEX Index Options'!$K:$K,'BSE - SENSEX Index Options'!$D:$D,$A37)+SUMIFS('BSE - Other Index Options'!$K:$K,'BSE - Other Index Options'!$D:$D,$A37)=0,"",SUMIFS('BSE - SENSEX Index Options'!$K:$K,'BSE - SENSEX Index Options'!$D:$D,$A37)+SUMIFS('BSE - Other Index Options'!$K:$K,'BSE - Other Index Options'!$D:$D,$A37))</f>
        <v/>
      </c>
      <c r="F37" s="26">
        <f>IF(SUMIFS('BSE - SENSEX Index Options'!$L:$L,'BSE - SENSEX Index Options'!$D:$D,$A37)+SUMIFS('BSE - Other Index Options'!$L:$L,'BSE - Other Index Options'!$D:$D,$A37)=0,"",SUMIFS('BSE - SENSEX Index Options'!$L:$L,'BSE - SENSEX Index Options'!$D:$D,$A37)+SUMIFS('BSE - Other Index Options'!$L:$L,'BSE - Other Index Options'!$D:$D,$A37))</f>
        <v/>
      </c>
      <c r="G37" s="26">
        <f>IF(SUMIFS('BSE - SENSEX Index Options'!$M:$M,'BSE - SENSEX Index Options'!$D:$D,$A37)+SUMIFS('BSE - Other Index Options'!$M:$M,'BSE - Other Index Options'!$D:$D,$A37)=0,"",SUMIFS('BSE - SENSEX Index Options'!$M:$M,'BSE - SENSEX Index Options'!$D:$D,$A37)+SUMIFS('BSE - Other Index Options'!$M:$M,'BSE - Other Index Options'!$D:$D,$A37))</f>
        <v/>
      </c>
    </row>
    <row r="38">
      <c r="A38" s="24" t="n">
        <v>46569</v>
      </c>
      <c r="B38" s="25">
        <f>IF(SUMIFS('NSE - NIFTY Index Options'!$K:$K,'NSE - NIFTY Index Options'!$D:$D,$A38)+SUMIFS('NSE - Other Index Options'!$K:$K,'NSE - Other Index Options'!$D:$D,$A38)=0,"",SUMIFS('NSE - NIFTY Index Options'!$K:$K,'NSE - NIFTY Index Options'!$D:$D,$A38)+SUMIFS('NSE - Other Index Options'!$K:$K,'NSE - Other Index Options'!$D:$D,$A38))</f>
        <v/>
      </c>
      <c r="C38" s="26">
        <f>IF(SUMIFS('NSE - NIFTY Index Options'!$L:$L,'NSE - NIFTY Index Options'!$D:$D,$A38)+SUMIFS('NSE - Other Index Options'!$L:$L,'NSE - Other Index Options'!$D:$D,$A38)=0,"",SUMIFS('NSE - NIFTY Index Options'!$L:$L,'NSE - NIFTY Index Options'!$D:$D,$A38)+SUMIFS('NSE - Other Index Options'!$L:$L,'NSE - Other Index Options'!$D:$D,$A38))</f>
        <v/>
      </c>
      <c r="D38" s="26">
        <f>IF(SUMIFS('NSE - NIFTY Index Options'!$M:$M,'NSE - NIFTY Index Options'!$D:$D,$A38)+SUMIFS('NSE - Other Index Options'!$M:$M,'NSE - Other Index Options'!$D:$D,$A38)=0,"",SUMIFS('NSE - NIFTY Index Options'!$M:$M,'NSE - NIFTY Index Options'!$D:$D,$A38)+SUMIFS('NSE - Other Index Options'!$M:$M,'NSE - Other Index Options'!$D:$D,$A38))</f>
        <v/>
      </c>
      <c r="E38" s="25">
        <f>IF(SUMIFS('BSE - SENSEX Index Options'!$K:$K,'BSE - SENSEX Index Options'!$D:$D,$A38)+SUMIFS('BSE - Other Index Options'!$K:$K,'BSE - Other Index Options'!$D:$D,$A38)=0,"",SUMIFS('BSE - SENSEX Index Options'!$K:$K,'BSE - SENSEX Index Options'!$D:$D,$A38)+SUMIFS('BSE - Other Index Options'!$K:$K,'BSE - Other Index Options'!$D:$D,$A38))</f>
        <v/>
      </c>
      <c r="F38" s="26">
        <f>IF(SUMIFS('BSE - SENSEX Index Options'!$L:$L,'BSE - SENSEX Index Options'!$D:$D,$A38)+SUMIFS('BSE - Other Index Options'!$L:$L,'BSE - Other Index Options'!$D:$D,$A38)=0,"",SUMIFS('BSE - SENSEX Index Options'!$L:$L,'BSE - SENSEX Index Options'!$D:$D,$A38)+SUMIFS('BSE - Other Index Options'!$L:$L,'BSE - Other Index Options'!$D:$D,$A38))</f>
        <v/>
      </c>
      <c r="G38" s="26">
        <f>IF(SUMIFS('BSE - SENSEX Index Options'!$M:$M,'BSE - SENSEX Index Options'!$D:$D,$A38)+SUMIFS('BSE - Other Index Options'!$M:$M,'BSE - Other Index Options'!$D:$D,$A38)=0,"",SUMIFS('BSE - SENSEX Index Options'!$M:$M,'BSE - SENSEX Index Options'!$D:$D,$A38)+SUMIFS('BSE - Other Index Options'!$M:$M,'BSE - Other Index Options'!$D:$D,$A38))</f>
        <v/>
      </c>
    </row>
    <row r="39">
      <c r="A39" s="24" t="n">
        <v>46600</v>
      </c>
      <c r="B39" s="25">
        <f>IF(SUMIFS('NSE - NIFTY Index Options'!$K:$K,'NSE - NIFTY Index Options'!$D:$D,$A39)+SUMIFS('NSE - Other Index Options'!$K:$K,'NSE - Other Index Options'!$D:$D,$A39)=0,"",SUMIFS('NSE - NIFTY Index Options'!$K:$K,'NSE - NIFTY Index Options'!$D:$D,$A39)+SUMIFS('NSE - Other Index Options'!$K:$K,'NSE - Other Index Options'!$D:$D,$A39))</f>
        <v/>
      </c>
      <c r="C39" s="26">
        <f>IF(SUMIFS('NSE - NIFTY Index Options'!$L:$L,'NSE - NIFTY Index Options'!$D:$D,$A39)+SUMIFS('NSE - Other Index Options'!$L:$L,'NSE - Other Index Options'!$D:$D,$A39)=0,"",SUMIFS('NSE - NIFTY Index Options'!$L:$L,'NSE - NIFTY Index Options'!$D:$D,$A39)+SUMIFS('NSE - Other Index Options'!$L:$L,'NSE - Other Index Options'!$D:$D,$A39))</f>
        <v/>
      </c>
      <c r="D39" s="26">
        <f>IF(SUMIFS('NSE - NIFTY Index Options'!$M:$M,'NSE - NIFTY Index Options'!$D:$D,$A39)+SUMIFS('NSE - Other Index Options'!$M:$M,'NSE - Other Index Options'!$D:$D,$A39)=0,"",SUMIFS('NSE - NIFTY Index Options'!$M:$M,'NSE - NIFTY Index Options'!$D:$D,$A39)+SUMIFS('NSE - Other Index Options'!$M:$M,'NSE - Other Index Options'!$D:$D,$A39))</f>
        <v/>
      </c>
      <c r="E39" s="25">
        <f>IF(SUMIFS('BSE - SENSEX Index Options'!$K:$K,'BSE - SENSEX Index Options'!$D:$D,$A39)+SUMIFS('BSE - Other Index Options'!$K:$K,'BSE - Other Index Options'!$D:$D,$A39)=0,"",SUMIFS('BSE - SENSEX Index Options'!$K:$K,'BSE - SENSEX Index Options'!$D:$D,$A39)+SUMIFS('BSE - Other Index Options'!$K:$K,'BSE - Other Index Options'!$D:$D,$A39))</f>
        <v/>
      </c>
      <c r="F39" s="26">
        <f>IF(SUMIFS('BSE - SENSEX Index Options'!$L:$L,'BSE - SENSEX Index Options'!$D:$D,$A39)+SUMIFS('BSE - Other Index Options'!$L:$L,'BSE - Other Index Options'!$D:$D,$A39)=0,"",SUMIFS('BSE - SENSEX Index Options'!$L:$L,'BSE - SENSEX Index Options'!$D:$D,$A39)+SUMIFS('BSE - Other Index Options'!$L:$L,'BSE - Other Index Options'!$D:$D,$A39))</f>
        <v/>
      </c>
      <c r="G39" s="26">
        <f>IF(SUMIFS('BSE - SENSEX Index Options'!$M:$M,'BSE - SENSEX Index Options'!$D:$D,$A39)+SUMIFS('BSE - Other Index Options'!$M:$M,'BSE - Other Index Options'!$D:$D,$A39)=0,"",SUMIFS('BSE - SENSEX Index Options'!$M:$M,'BSE - SENSEX Index Options'!$D:$D,$A39)+SUMIFS('BSE - Other Index Options'!$M:$M,'BSE - Other Index Options'!$D:$D,$A39))</f>
        <v/>
      </c>
    </row>
    <row r="40">
      <c r="A40" s="24" t="n">
        <v>46631</v>
      </c>
      <c r="B40" s="25">
        <f>IF(SUMIFS('NSE - NIFTY Index Options'!$K:$K,'NSE - NIFTY Index Options'!$D:$D,$A40)+SUMIFS('NSE - Other Index Options'!$K:$K,'NSE - Other Index Options'!$D:$D,$A40)=0,"",SUMIFS('NSE - NIFTY Index Options'!$K:$K,'NSE - NIFTY Index Options'!$D:$D,$A40)+SUMIFS('NSE - Other Index Options'!$K:$K,'NSE - Other Index Options'!$D:$D,$A40))</f>
        <v/>
      </c>
      <c r="C40" s="26">
        <f>IF(SUMIFS('NSE - NIFTY Index Options'!$L:$L,'NSE - NIFTY Index Options'!$D:$D,$A40)+SUMIFS('NSE - Other Index Options'!$L:$L,'NSE - Other Index Options'!$D:$D,$A40)=0,"",SUMIFS('NSE - NIFTY Index Options'!$L:$L,'NSE - NIFTY Index Options'!$D:$D,$A40)+SUMIFS('NSE - Other Index Options'!$L:$L,'NSE - Other Index Options'!$D:$D,$A40))</f>
        <v/>
      </c>
      <c r="D40" s="26">
        <f>IF(SUMIFS('NSE - NIFTY Index Options'!$M:$M,'NSE - NIFTY Index Options'!$D:$D,$A40)+SUMIFS('NSE - Other Index Options'!$M:$M,'NSE - Other Index Options'!$D:$D,$A40)=0,"",SUMIFS('NSE - NIFTY Index Options'!$M:$M,'NSE - NIFTY Index Options'!$D:$D,$A40)+SUMIFS('NSE - Other Index Options'!$M:$M,'NSE - Other Index Options'!$D:$D,$A40))</f>
        <v/>
      </c>
      <c r="E40" s="25">
        <f>IF(SUMIFS('BSE - SENSEX Index Options'!$K:$K,'BSE - SENSEX Index Options'!$D:$D,$A40)+SUMIFS('BSE - Other Index Options'!$K:$K,'BSE - Other Index Options'!$D:$D,$A40)=0,"",SUMIFS('BSE - SENSEX Index Options'!$K:$K,'BSE - SENSEX Index Options'!$D:$D,$A40)+SUMIFS('BSE - Other Index Options'!$K:$K,'BSE - Other Index Options'!$D:$D,$A40))</f>
        <v/>
      </c>
      <c r="F40" s="26">
        <f>IF(SUMIFS('BSE - SENSEX Index Options'!$L:$L,'BSE - SENSEX Index Options'!$D:$D,$A40)+SUMIFS('BSE - Other Index Options'!$L:$L,'BSE - Other Index Options'!$D:$D,$A40)=0,"",SUMIFS('BSE - SENSEX Index Options'!$L:$L,'BSE - SENSEX Index Options'!$D:$D,$A40)+SUMIFS('BSE - Other Index Options'!$L:$L,'BSE - Other Index Options'!$D:$D,$A40))</f>
        <v/>
      </c>
      <c r="G40" s="26">
        <f>IF(SUMIFS('BSE - SENSEX Index Options'!$M:$M,'BSE - SENSEX Index Options'!$D:$D,$A40)+SUMIFS('BSE - Other Index Options'!$M:$M,'BSE - Other Index Options'!$D:$D,$A40)=0,"",SUMIFS('BSE - SENSEX Index Options'!$M:$M,'BSE - SENSEX Index Options'!$D:$D,$A40)+SUMIFS('BSE - Other Index Options'!$M:$M,'BSE - Other Index Options'!$D:$D,$A40))</f>
        <v/>
      </c>
    </row>
    <row r="41">
      <c r="A41" s="24" t="n">
        <v>46661</v>
      </c>
      <c r="B41" s="25">
        <f>IF(SUMIFS('NSE - NIFTY Index Options'!$K:$K,'NSE - NIFTY Index Options'!$D:$D,$A41)+SUMIFS('NSE - Other Index Options'!$K:$K,'NSE - Other Index Options'!$D:$D,$A41)=0,"",SUMIFS('NSE - NIFTY Index Options'!$K:$K,'NSE - NIFTY Index Options'!$D:$D,$A41)+SUMIFS('NSE - Other Index Options'!$K:$K,'NSE - Other Index Options'!$D:$D,$A41))</f>
        <v/>
      </c>
      <c r="C41" s="26">
        <f>IF(SUMIFS('NSE - NIFTY Index Options'!$L:$L,'NSE - NIFTY Index Options'!$D:$D,$A41)+SUMIFS('NSE - Other Index Options'!$L:$L,'NSE - Other Index Options'!$D:$D,$A41)=0,"",SUMIFS('NSE - NIFTY Index Options'!$L:$L,'NSE - NIFTY Index Options'!$D:$D,$A41)+SUMIFS('NSE - Other Index Options'!$L:$L,'NSE - Other Index Options'!$D:$D,$A41))</f>
        <v/>
      </c>
      <c r="D41" s="26">
        <f>IF(SUMIFS('NSE - NIFTY Index Options'!$M:$M,'NSE - NIFTY Index Options'!$D:$D,$A41)+SUMIFS('NSE - Other Index Options'!$M:$M,'NSE - Other Index Options'!$D:$D,$A41)=0,"",SUMIFS('NSE - NIFTY Index Options'!$M:$M,'NSE - NIFTY Index Options'!$D:$D,$A41)+SUMIFS('NSE - Other Index Options'!$M:$M,'NSE - Other Index Options'!$D:$D,$A41))</f>
        <v/>
      </c>
      <c r="E41" s="25">
        <f>IF(SUMIFS('BSE - SENSEX Index Options'!$K:$K,'BSE - SENSEX Index Options'!$D:$D,$A41)+SUMIFS('BSE - Other Index Options'!$K:$K,'BSE - Other Index Options'!$D:$D,$A41)=0,"",SUMIFS('BSE - SENSEX Index Options'!$K:$K,'BSE - SENSEX Index Options'!$D:$D,$A41)+SUMIFS('BSE - Other Index Options'!$K:$K,'BSE - Other Index Options'!$D:$D,$A41))</f>
        <v/>
      </c>
      <c r="F41" s="26">
        <f>IF(SUMIFS('BSE - SENSEX Index Options'!$L:$L,'BSE - SENSEX Index Options'!$D:$D,$A41)+SUMIFS('BSE - Other Index Options'!$L:$L,'BSE - Other Index Options'!$D:$D,$A41)=0,"",SUMIFS('BSE - SENSEX Index Options'!$L:$L,'BSE - SENSEX Index Options'!$D:$D,$A41)+SUMIFS('BSE - Other Index Options'!$L:$L,'BSE - Other Index Options'!$D:$D,$A41))</f>
        <v/>
      </c>
      <c r="G41" s="26">
        <f>IF(SUMIFS('BSE - SENSEX Index Options'!$M:$M,'BSE - SENSEX Index Options'!$D:$D,$A41)+SUMIFS('BSE - Other Index Options'!$M:$M,'BSE - Other Index Options'!$D:$D,$A41)=0,"",SUMIFS('BSE - SENSEX Index Options'!$M:$M,'BSE - SENSEX Index Options'!$D:$D,$A41)+SUMIFS('BSE - Other Index Options'!$M:$M,'BSE - Other Index Options'!$D:$D,$A41))</f>
        <v/>
      </c>
    </row>
    <row r="42">
      <c r="A42" s="24" t="n">
        <v>46692</v>
      </c>
      <c r="B42" s="25">
        <f>IF(SUMIFS('NSE - NIFTY Index Options'!$K:$K,'NSE - NIFTY Index Options'!$D:$D,$A42)+SUMIFS('NSE - Other Index Options'!$K:$K,'NSE - Other Index Options'!$D:$D,$A42)=0,"",SUMIFS('NSE - NIFTY Index Options'!$K:$K,'NSE - NIFTY Index Options'!$D:$D,$A42)+SUMIFS('NSE - Other Index Options'!$K:$K,'NSE - Other Index Options'!$D:$D,$A42))</f>
        <v/>
      </c>
      <c r="C42" s="26">
        <f>IF(SUMIFS('NSE - NIFTY Index Options'!$L:$L,'NSE - NIFTY Index Options'!$D:$D,$A42)+SUMIFS('NSE - Other Index Options'!$L:$L,'NSE - Other Index Options'!$D:$D,$A42)=0,"",SUMIFS('NSE - NIFTY Index Options'!$L:$L,'NSE - NIFTY Index Options'!$D:$D,$A42)+SUMIFS('NSE - Other Index Options'!$L:$L,'NSE - Other Index Options'!$D:$D,$A42))</f>
        <v/>
      </c>
      <c r="D42" s="26">
        <f>IF(SUMIFS('NSE - NIFTY Index Options'!$M:$M,'NSE - NIFTY Index Options'!$D:$D,$A42)+SUMIFS('NSE - Other Index Options'!$M:$M,'NSE - Other Index Options'!$D:$D,$A42)=0,"",SUMIFS('NSE - NIFTY Index Options'!$M:$M,'NSE - NIFTY Index Options'!$D:$D,$A42)+SUMIFS('NSE - Other Index Options'!$M:$M,'NSE - Other Index Options'!$D:$D,$A42))</f>
        <v/>
      </c>
      <c r="E42" s="25">
        <f>IF(SUMIFS('BSE - SENSEX Index Options'!$K:$K,'BSE - SENSEX Index Options'!$D:$D,$A42)+SUMIFS('BSE - Other Index Options'!$K:$K,'BSE - Other Index Options'!$D:$D,$A42)=0,"",SUMIFS('BSE - SENSEX Index Options'!$K:$K,'BSE - SENSEX Index Options'!$D:$D,$A42)+SUMIFS('BSE - Other Index Options'!$K:$K,'BSE - Other Index Options'!$D:$D,$A42))</f>
        <v/>
      </c>
      <c r="F42" s="26">
        <f>IF(SUMIFS('BSE - SENSEX Index Options'!$L:$L,'BSE - SENSEX Index Options'!$D:$D,$A42)+SUMIFS('BSE - Other Index Options'!$L:$L,'BSE - Other Index Options'!$D:$D,$A42)=0,"",SUMIFS('BSE - SENSEX Index Options'!$L:$L,'BSE - SENSEX Index Options'!$D:$D,$A42)+SUMIFS('BSE - Other Index Options'!$L:$L,'BSE - Other Index Options'!$D:$D,$A42))</f>
        <v/>
      </c>
      <c r="G42" s="26">
        <f>IF(SUMIFS('BSE - SENSEX Index Options'!$M:$M,'BSE - SENSEX Index Options'!$D:$D,$A42)+SUMIFS('BSE - Other Index Options'!$M:$M,'BSE - Other Index Options'!$D:$D,$A42)=0,"",SUMIFS('BSE - SENSEX Index Options'!$M:$M,'BSE - SENSEX Index Options'!$D:$D,$A42)+SUMIFS('BSE - Other Index Options'!$M:$M,'BSE - Other Index Options'!$D:$D,$A42))</f>
        <v/>
      </c>
    </row>
    <row r="43">
      <c r="A43" s="24" t="n">
        <v>46722</v>
      </c>
      <c r="B43" s="25">
        <f>IF(SUMIFS('NSE - NIFTY Index Options'!$K:$K,'NSE - NIFTY Index Options'!$D:$D,$A43)+SUMIFS('NSE - Other Index Options'!$K:$K,'NSE - Other Index Options'!$D:$D,$A43)=0,"",SUMIFS('NSE - NIFTY Index Options'!$K:$K,'NSE - NIFTY Index Options'!$D:$D,$A43)+SUMIFS('NSE - Other Index Options'!$K:$K,'NSE - Other Index Options'!$D:$D,$A43))</f>
        <v/>
      </c>
      <c r="C43" s="26">
        <f>IF(SUMIFS('NSE - NIFTY Index Options'!$L:$L,'NSE - NIFTY Index Options'!$D:$D,$A43)+SUMIFS('NSE - Other Index Options'!$L:$L,'NSE - Other Index Options'!$D:$D,$A43)=0,"",SUMIFS('NSE - NIFTY Index Options'!$L:$L,'NSE - NIFTY Index Options'!$D:$D,$A43)+SUMIFS('NSE - Other Index Options'!$L:$L,'NSE - Other Index Options'!$D:$D,$A43))</f>
        <v/>
      </c>
      <c r="D43" s="26">
        <f>IF(SUMIFS('NSE - NIFTY Index Options'!$M:$M,'NSE - NIFTY Index Options'!$D:$D,$A43)+SUMIFS('NSE - Other Index Options'!$M:$M,'NSE - Other Index Options'!$D:$D,$A43)=0,"",SUMIFS('NSE - NIFTY Index Options'!$M:$M,'NSE - NIFTY Index Options'!$D:$D,$A43)+SUMIFS('NSE - Other Index Options'!$M:$M,'NSE - Other Index Options'!$D:$D,$A43))</f>
        <v/>
      </c>
      <c r="E43" s="25">
        <f>IF(SUMIFS('BSE - SENSEX Index Options'!$K:$K,'BSE - SENSEX Index Options'!$D:$D,$A43)+SUMIFS('BSE - Other Index Options'!$K:$K,'BSE - Other Index Options'!$D:$D,$A43)=0,"",SUMIFS('BSE - SENSEX Index Options'!$K:$K,'BSE - SENSEX Index Options'!$D:$D,$A43)+SUMIFS('BSE - Other Index Options'!$K:$K,'BSE - Other Index Options'!$D:$D,$A43))</f>
        <v/>
      </c>
      <c r="F43" s="26">
        <f>IF(SUMIFS('BSE - SENSEX Index Options'!$L:$L,'BSE - SENSEX Index Options'!$D:$D,$A43)+SUMIFS('BSE - Other Index Options'!$L:$L,'BSE - Other Index Options'!$D:$D,$A43)=0,"",SUMIFS('BSE - SENSEX Index Options'!$L:$L,'BSE - SENSEX Index Options'!$D:$D,$A43)+SUMIFS('BSE - Other Index Options'!$L:$L,'BSE - Other Index Options'!$D:$D,$A43))</f>
        <v/>
      </c>
      <c r="G43" s="26">
        <f>IF(SUMIFS('BSE - SENSEX Index Options'!$M:$M,'BSE - SENSEX Index Options'!$D:$D,$A43)+SUMIFS('BSE - Other Index Options'!$M:$M,'BSE - Other Index Options'!$D:$D,$A43)=0,"",SUMIFS('BSE - SENSEX Index Options'!$M:$M,'BSE - SENSEX Index Options'!$D:$D,$A43)+SUMIFS('BSE - Other Index Options'!$M:$M,'BSE - Other Index Options'!$D:$D,$A43))</f>
        <v/>
      </c>
    </row>
    <row r="44">
      <c r="A44" s="28" t="inlineStr">
        <is>
          <t>Total</t>
        </is>
      </c>
      <c r="B44" s="29">
        <f>IF(SUM(B16:B43)=0,"",SUM(B16:B43))</f>
        <v/>
      </c>
      <c r="C44" s="30">
        <f>IF(SUM(C16:C43)=0,"",SUM(C16:C43))</f>
        <v/>
      </c>
      <c r="D44" s="30">
        <f>IF(SUM(D16:D43)=0,"",SUM(D16:D43))</f>
        <v/>
      </c>
      <c r="E44" s="29">
        <f>IF(SUM(E16:E43)=0,"",SUM(E16:E43))</f>
        <v/>
      </c>
      <c r="F44" s="30">
        <f>IF(SUM(F16:F43)=0,"",SUM(F16:F43))</f>
        <v/>
      </c>
      <c r="G44" s="30">
        <f>IF(SUM(G16:G43)=0,"",SUM(G16:G43))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topLeftCell="A6" zoomScale="125" workbookViewId="0">
      <selection activeCell="F22" activeCellId="1" sqref="F18 F22"/>
    </sheetView>
  </sheetViews>
  <sheetFormatPr baseColWidth="10" defaultColWidth="8.83203125" defaultRowHeight="16"/>
  <cols>
    <col width="26" customWidth="1" min="1" max="1"/>
    <col width="30" customWidth="1" min="2" max="2"/>
    <col width="18" customWidth="1" min="3" max="4"/>
    <col width="24" customWidth="1" min="5" max="6"/>
    <col width="18" customWidth="1" min="7" max="7"/>
  </cols>
  <sheetData>
    <row r="1" ht="18" customHeight="1">
      <c r="A1" s="50" t="inlineStr">
        <is>
          <t>DATASET OVERVIEW — NSE &amp; BSE Index Options, Expiry-wise Daily Premium Turnover</t>
        </is>
      </c>
    </row>
    <row r="2">
      <c r="A2" s="51" t="inlineStr">
        <is>
          <t>Orientation page: what this dataset contains, how it is cut, and where to find each view. All figures below are live formulas.</t>
        </is>
      </c>
    </row>
    <row r="4">
      <c r="A4" s="52" t="inlineStr">
        <is>
          <t>About the data</t>
        </is>
      </c>
    </row>
    <row r="5">
      <c r="A5" s="52" t="inlineStr">
        <is>
          <t>Granularity:</t>
        </is>
      </c>
      <c r="B5" t="inlineStr">
        <is>
          <t>One row per Trade Date × Expiry Date per sheet; calls and puts combined. Columns: dates, day names, week/month labels, expiry classifications, Contracts, Notional &amp; Premium Turnover.</t>
        </is>
      </c>
    </row>
    <row r="6">
      <c r="A6" s="52" t="inlineStr">
        <is>
          <t>Coverage:</t>
        </is>
      </c>
      <c r="B6" t="inlineStr">
        <is>
          <t>INDEX OPTIONS ONLY (no stock options, no futures). NSE: NIFTY + other indices (BANKNIFTY, FINNIFTY, MIDCPNIFTY, NIFTYNXT50). BSE: SENSEX + other BSE indices.</t>
        </is>
      </c>
    </row>
    <row r="7">
      <c r="A7" s="52" t="inlineStr">
        <is>
          <t>Period:</t>
        </is>
      </c>
      <c r="B7" t="inlineStr">
        <is>
          <t>01-Sep-2025 onwards. NSE updated through: see Quality Check B9; BSE through: Quality Check B10. Includes special Sunday sessions and Muhurat trading.</t>
        </is>
      </c>
    </row>
    <row r="8">
      <c r="A8" s="52" t="inlineStr">
        <is>
          <t>Units:</t>
        </is>
      </c>
      <c r="B8" t="inlineStr">
        <is>
          <t>Turnover in INR Bn (1 Bn = 100 crore). Raw exchange data arrives in INR lakh and is converted (÷10,000).</t>
        </is>
      </c>
    </row>
    <row r="9">
      <c r="A9" s="52" t="inlineStr">
        <is>
          <t>Expiry calendar:</t>
        </is>
      </c>
      <c r="B9" t="inlineStr">
        <is>
          <t>NSE expiries fall on Tuesday (Monday when Tuesday is a holiday). BSE expiries fall on Thursday (Wednesday when shifted). NIFTY &amp; SENSEX have weekly + monthly contracts; all other indices are monthly-only.</t>
        </is>
      </c>
    </row>
    <row r="10">
      <c r="A10" s="52" t="inlineStr">
        <is>
          <t>Expiry Type:</t>
        </is>
      </c>
      <c r="B10" t="inlineStr">
        <is>
          <t>Monthly - &lt;day&gt; if the expiry date is in the last 7 days of its month (the month's final contract), else Weekly - &lt;day&gt;.</t>
        </is>
      </c>
    </row>
    <row r="11">
      <c r="A11" s="52" t="inlineStr">
        <is>
          <t>Expiry Type 2:</t>
        </is>
      </c>
      <c r="B11" t="inlineStr">
        <is>
          <t>Same as Expiry Type, except a Monthly contract trading within 6 days of its own expiry becomes MDAW - &lt;day&gt; (Monthly acting As Weekly, i.e. the front contract of expiry week). MDAW applies only to NIFTY &amp; SENSEX; other-index sheets keep Expiry Type as-is.</t>
        </is>
      </c>
    </row>
    <row r="13">
      <c r="A13" s="52" t="inlineStr">
        <is>
          <t>Segment matrix — full period totals (live)</t>
        </is>
      </c>
    </row>
    <row r="14">
      <c r="A14" s="52" t="inlineStr">
        <is>
          <t>Exchange</t>
        </is>
      </c>
      <c r="B14" s="52" t="inlineStr">
        <is>
          <t>Sheet</t>
        </is>
      </c>
      <c r="C14" s="52" t="inlineStr">
        <is>
          <t>Expiry Type 2 Cut</t>
        </is>
      </c>
      <c r="D14" s="52" t="inlineStr">
        <is>
          <t>Contracts</t>
        </is>
      </c>
      <c r="E14" s="52" t="inlineStr">
        <is>
          <t>Notional Turnover (INR Bn)</t>
        </is>
      </c>
      <c r="F14" s="52" t="inlineStr">
        <is>
          <t>Premium Turnover (INR Bn)</t>
        </is>
      </c>
      <c r="G14" s="52" t="inlineStr">
        <is>
          <t>% of Grand Premium</t>
        </is>
      </c>
    </row>
    <row r="15">
      <c r="A15" t="inlineStr">
        <is>
          <t>NSE</t>
        </is>
      </c>
      <c r="B15" t="inlineStr">
        <is>
          <t>NIFTY Index Options</t>
        </is>
      </c>
      <c r="C15" t="inlineStr">
        <is>
          <t>Weekly</t>
        </is>
      </c>
      <c r="D15" s="25">
        <f>SUMIFS('NSE - NIFTY Index Options'!$K:$K,'NSE - NIFTY Index Options'!$I:$I,"Weekly*")</f>
        <v/>
      </c>
      <c r="E15" s="26">
        <f>SUMIFS('NSE - NIFTY Index Options'!$L:$L,'NSE - NIFTY Index Options'!$I:$I,"Weekly*")</f>
        <v/>
      </c>
      <c r="F15" s="26">
        <f>SUMIFS('NSE - NIFTY Index Options'!$M:$M,'NSE - NIFTY Index Options'!$I:$I,"Weekly*")</f>
        <v/>
      </c>
      <c r="G15" s="27">
        <f>IF($F$32=0,"",F15/$F$32)</f>
        <v/>
      </c>
    </row>
    <row r="16">
      <c r="A16" t="inlineStr">
        <is>
          <t>NSE</t>
        </is>
      </c>
      <c r="B16" t="inlineStr">
        <is>
          <t>NIFTY Index Options</t>
        </is>
      </c>
      <c r="C16" t="inlineStr">
        <is>
          <t>MDAW</t>
        </is>
      </c>
      <c r="D16" s="25">
        <f>SUMIFS('NSE - NIFTY Index Options'!$K:$K,'NSE - NIFTY Index Options'!$I:$I,"MDAW*")</f>
        <v/>
      </c>
      <c r="E16" s="26">
        <f>SUMIFS('NSE - NIFTY Index Options'!$L:$L,'NSE - NIFTY Index Options'!$I:$I,"MDAW*")</f>
        <v/>
      </c>
      <c r="F16" s="26">
        <f>SUMIFS('NSE - NIFTY Index Options'!$M:$M,'NSE - NIFTY Index Options'!$I:$I,"MDAW*")</f>
        <v/>
      </c>
      <c r="G16" s="27">
        <f>IF($F$32=0,"",F16/$F$32)</f>
        <v/>
      </c>
    </row>
    <row r="17">
      <c r="A17" t="inlineStr">
        <is>
          <t>NSE</t>
        </is>
      </c>
      <c r="B17" t="inlineStr">
        <is>
          <t>NIFTY Index Options</t>
        </is>
      </c>
      <c r="C17" t="inlineStr">
        <is>
          <t>Monthly</t>
        </is>
      </c>
      <c r="D17" s="25">
        <f>SUMIFS('NSE - NIFTY Index Options'!$K:$K,'NSE - NIFTY Index Options'!$I:$I,"Monthly*")</f>
        <v/>
      </c>
      <c r="E17" s="26">
        <f>SUMIFS('NSE - NIFTY Index Options'!$L:$L,'NSE - NIFTY Index Options'!$I:$I,"Monthly*")</f>
        <v/>
      </c>
      <c r="F17" s="26">
        <f>SUMIFS('NSE - NIFTY Index Options'!$M:$M,'NSE - NIFTY Index Options'!$I:$I,"Monthly*")</f>
        <v/>
      </c>
      <c r="G17" s="27">
        <f>IF($F$32=0,"",F17/$F$32)</f>
        <v/>
      </c>
    </row>
    <row r="18">
      <c r="A18" s="52" t="inlineStr">
        <is>
          <t>NSE</t>
        </is>
      </c>
      <c r="B18" s="52" t="inlineStr">
        <is>
          <t>NIFTY Index Options — Total</t>
        </is>
      </c>
      <c r="D18" s="53">
        <f>SUM(D15:D17)</f>
        <v/>
      </c>
      <c r="E18" s="54">
        <f>SUM(E15:E17)</f>
        <v/>
      </c>
      <c r="F18" s="54">
        <f>SUM(F15:F17)</f>
        <v/>
      </c>
      <c r="G18" s="55">
        <f>IF($F$32=0,"",F18/$F$32)</f>
        <v/>
      </c>
    </row>
    <row r="19">
      <c r="A19" t="inlineStr">
        <is>
          <t>NSE</t>
        </is>
      </c>
      <c r="B19" t="inlineStr">
        <is>
          <t>Other Index Options</t>
        </is>
      </c>
      <c r="C19" t="inlineStr">
        <is>
          <t>Weekly</t>
        </is>
      </c>
      <c r="D19" s="25">
        <f>SUMIFS('NSE - Other Index Options'!$K:$K,'NSE - Other Index Options'!$I:$I,"Weekly*")</f>
        <v/>
      </c>
      <c r="E19" s="26">
        <f>SUMIFS('NSE - Other Index Options'!$L:$L,'NSE - Other Index Options'!$I:$I,"Weekly*")</f>
        <v/>
      </c>
      <c r="F19" s="26">
        <f>SUMIFS('NSE - Other Index Options'!$M:$M,'NSE - Other Index Options'!$I:$I,"Weekly*")</f>
        <v/>
      </c>
      <c r="G19" s="27">
        <f>IF($F$32=0,"",F19/$F$32)</f>
        <v/>
      </c>
    </row>
    <row r="20">
      <c r="A20" t="inlineStr">
        <is>
          <t>NSE</t>
        </is>
      </c>
      <c r="B20" t="inlineStr">
        <is>
          <t>Other Index Options</t>
        </is>
      </c>
      <c r="C20" t="inlineStr">
        <is>
          <t>MDAW</t>
        </is>
      </c>
      <c r="D20" s="25">
        <f>SUMIFS('NSE - Other Index Options'!$K:$K,'NSE - Other Index Options'!$I:$I,"MDAW*")</f>
        <v/>
      </c>
      <c r="E20" s="26">
        <f>SUMIFS('NSE - Other Index Options'!$L:$L,'NSE - Other Index Options'!$I:$I,"MDAW*")</f>
        <v/>
      </c>
      <c r="F20" s="26">
        <f>SUMIFS('NSE - Other Index Options'!$M:$M,'NSE - Other Index Options'!$I:$I,"MDAW*")</f>
        <v/>
      </c>
      <c r="G20" s="27">
        <f>IF($F$32=0,"",F20/$F$32)</f>
        <v/>
      </c>
    </row>
    <row r="21">
      <c r="A21" t="inlineStr">
        <is>
          <t>NSE</t>
        </is>
      </c>
      <c r="B21" t="inlineStr">
        <is>
          <t>Other Index Options</t>
        </is>
      </c>
      <c r="C21" t="inlineStr">
        <is>
          <t>Monthly</t>
        </is>
      </c>
      <c r="D21" s="25">
        <f>SUMIFS('NSE - Other Index Options'!$K:$K,'NSE - Other Index Options'!$I:$I,"Monthly*")</f>
        <v/>
      </c>
      <c r="E21" s="26">
        <f>SUMIFS('NSE - Other Index Options'!$L:$L,'NSE - Other Index Options'!$I:$I,"Monthly*")</f>
        <v/>
      </c>
      <c r="F21" s="26">
        <f>SUMIFS('NSE - Other Index Options'!$M:$M,'NSE - Other Index Options'!$I:$I,"Monthly*")</f>
        <v/>
      </c>
      <c r="G21" s="27">
        <f>IF($F$32=0,"",F21/$F$32)</f>
        <v/>
      </c>
    </row>
    <row r="22">
      <c r="A22" s="52" t="inlineStr">
        <is>
          <t>NSE</t>
        </is>
      </c>
      <c r="B22" s="52" t="inlineStr">
        <is>
          <t>Other Index Options — Total</t>
        </is>
      </c>
      <c r="D22" s="53">
        <f>SUM(D19:D21)</f>
        <v/>
      </c>
      <c r="E22" s="54">
        <f>SUM(E19:E21)</f>
        <v/>
      </c>
      <c r="F22" s="54">
        <f>SUM(F19:F21)</f>
        <v/>
      </c>
      <c r="G22" s="55">
        <f>IF($F$32=0,"",F22/$F$32)</f>
        <v/>
      </c>
    </row>
    <row r="23">
      <c r="A23" t="inlineStr">
        <is>
          <t>BSE</t>
        </is>
      </c>
      <c r="B23" t="inlineStr">
        <is>
          <t>SENSEX Index Options</t>
        </is>
      </c>
      <c r="C23" t="inlineStr">
        <is>
          <t>Weekly</t>
        </is>
      </c>
      <c r="D23" s="25">
        <f>SUMIFS('BSE - SENSEX Index Options'!$K:$K,'BSE - SENSEX Index Options'!$I:$I,"Weekly*")</f>
        <v/>
      </c>
      <c r="E23" s="26">
        <f>SUMIFS('BSE - SENSEX Index Options'!$L:$L,'BSE - SENSEX Index Options'!$I:$I,"Weekly*")</f>
        <v/>
      </c>
      <c r="F23" s="26">
        <f>SUMIFS('BSE - SENSEX Index Options'!$M:$M,'BSE - SENSEX Index Options'!$I:$I,"Weekly*")</f>
        <v/>
      </c>
      <c r="G23" s="27">
        <f>IF($F$32=0,"",F23/$F$32)</f>
        <v/>
      </c>
    </row>
    <row r="24">
      <c r="A24" t="inlineStr">
        <is>
          <t>BSE</t>
        </is>
      </c>
      <c r="B24" t="inlineStr">
        <is>
          <t>SENSEX Index Options</t>
        </is>
      </c>
      <c r="C24" t="inlineStr">
        <is>
          <t>MDAW</t>
        </is>
      </c>
      <c r="D24" s="25">
        <f>SUMIFS('BSE - SENSEX Index Options'!$K:$K,'BSE - SENSEX Index Options'!$I:$I,"MDAW*")</f>
        <v/>
      </c>
      <c r="E24" s="26">
        <f>SUMIFS('BSE - SENSEX Index Options'!$L:$L,'BSE - SENSEX Index Options'!$I:$I,"MDAW*")</f>
        <v/>
      </c>
      <c r="F24" s="26">
        <f>SUMIFS('BSE - SENSEX Index Options'!$M:$M,'BSE - SENSEX Index Options'!$I:$I,"MDAW*")</f>
        <v/>
      </c>
      <c r="G24" s="27">
        <f>IF($F$32=0,"",F24/$F$32)</f>
        <v/>
      </c>
    </row>
    <row r="25">
      <c r="A25" t="inlineStr">
        <is>
          <t>BSE</t>
        </is>
      </c>
      <c r="B25" t="inlineStr">
        <is>
          <t>SENSEX Index Options</t>
        </is>
      </c>
      <c r="C25" t="inlineStr">
        <is>
          <t>Monthly</t>
        </is>
      </c>
      <c r="D25" s="25">
        <f>SUMIFS('BSE - SENSEX Index Options'!$K:$K,'BSE - SENSEX Index Options'!$I:$I,"Monthly*")</f>
        <v/>
      </c>
      <c r="E25" s="26">
        <f>SUMIFS('BSE - SENSEX Index Options'!$L:$L,'BSE - SENSEX Index Options'!$I:$I,"Monthly*")</f>
        <v/>
      </c>
      <c r="F25" s="26">
        <f>SUMIFS('BSE - SENSEX Index Options'!$M:$M,'BSE - SENSEX Index Options'!$I:$I,"Monthly*")</f>
        <v/>
      </c>
      <c r="G25" s="27">
        <f>IF($F$32=0,"",F25/$F$32)</f>
        <v/>
      </c>
    </row>
    <row r="26">
      <c r="A26" s="52" t="inlineStr">
        <is>
          <t>BSE</t>
        </is>
      </c>
      <c r="B26" s="52" t="inlineStr">
        <is>
          <t>SENSEX Index Options — Total</t>
        </is>
      </c>
      <c r="D26" s="53">
        <f>SUM(D23:D25)</f>
        <v/>
      </c>
      <c r="E26" s="54">
        <f>SUM(E23:E25)</f>
        <v/>
      </c>
      <c r="F26" s="54">
        <f>SUM(F23:F25)</f>
        <v/>
      </c>
      <c r="G26" s="55">
        <f>IF($F$32=0,"",F26/$F$32)</f>
        <v/>
      </c>
    </row>
    <row r="27">
      <c r="A27" t="inlineStr">
        <is>
          <t>BSE</t>
        </is>
      </c>
      <c r="B27" t="inlineStr">
        <is>
          <t>Other Index Options</t>
        </is>
      </c>
      <c r="C27" t="inlineStr">
        <is>
          <t>Weekly</t>
        </is>
      </c>
      <c r="D27" s="25">
        <f>SUMIFS('BSE - Other Index Options'!$K:$K,'BSE - Other Index Options'!$I:$I,"Weekly*")</f>
        <v/>
      </c>
      <c r="E27" s="26">
        <f>SUMIFS('BSE - Other Index Options'!$L:$L,'BSE - Other Index Options'!$I:$I,"Weekly*")</f>
        <v/>
      </c>
      <c r="F27" s="26">
        <f>SUMIFS('BSE - Other Index Options'!$M:$M,'BSE - Other Index Options'!$I:$I,"Weekly*")</f>
        <v/>
      </c>
      <c r="G27" s="27">
        <f>IF($F$32=0,"",F27/$F$32)</f>
        <v/>
      </c>
    </row>
    <row r="28">
      <c r="A28" t="inlineStr">
        <is>
          <t>BSE</t>
        </is>
      </c>
      <c r="B28" t="inlineStr">
        <is>
          <t>Other Index Options</t>
        </is>
      </c>
      <c r="C28" t="inlineStr">
        <is>
          <t>MDAW</t>
        </is>
      </c>
      <c r="D28" s="25">
        <f>SUMIFS('BSE - Other Index Options'!$K:$K,'BSE - Other Index Options'!$I:$I,"MDAW*")</f>
        <v/>
      </c>
      <c r="E28" s="26">
        <f>SUMIFS('BSE - Other Index Options'!$L:$L,'BSE - Other Index Options'!$I:$I,"MDAW*")</f>
        <v/>
      </c>
      <c r="F28" s="26">
        <f>SUMIFS('BSE - Other Index Options'!$M:$M,'BSE - Other Index Options'!$I:$I,"MDAW*")</f>
        <v/>
      </c>
      <c r="G28" s="27">
        <f>IF($F$32=0,"",F28/$F$32)</f>
        <v/>
      </c>
    </row>
    <row r="29">
      <c r="A29" t="inlineStr">
        <is>
          <t>BSE</t>
        </is>
      </c>
      <c r="B29" t="inlineStr">
        <is>
          <t>Other Index Options</t>
        </is>
      </c>
      <c r="C29" t="inlineStr">
        <is>
          <t>Monthly</t>
        </is>
      </c>
      <c r="D29" s="25">
        <f>SUMIFS('BSE - Other Index Options'!$K:$K,'BSE - Other Index Options'!$I:$I,"Monthly*")</f>
        <v/>
      </c>
      <c r="E29" s="26">
        <f>SUMIFS('BSE - Other Index Options'!$L:$L,'BSE - Other Index Options'!$I:$I,"Monthly*")</f>
        <v/>
      </c>
      <c r="F29" s="26">
        <f>SUMIFS('BSE - Other Index Options'!$M:$M,'BSE - Other Index Options'!$I:$I,"Monthly*")</f>
        <v/>
      </c>
      <c r="G29" s="27">
        <f>IF($F$32=0,"",F29/$F$32)</f>
        <v/>
      </c>
    </row>
    <row r="30">
      <c r="A30" s="52" t="inlineStr">
        <is>
          <t>BSE</t>
        </is>
      </c>
      <c r="B30" s="52" t="inlineStr">
        <is>
          <t>Other Index Options — Total</t>
        </is>
      </c>
      <c r="D30" s="53">
        <f>SUM(D27:D29)</f>
        <v/>
      </c>
      <c r="E30" s="54">
        <f>SUM(E27:E29)</f>
        <v/>
      </c>
      <c r="F30" s="54">
        <f>SUM(F27:F29)</f>
        <v/>
      </c>
      <c r="G30" s="55">
        <f>IF($F$32=0,"",F30/$F$32)</f>
        <v/>
      </c>
    </row>
    <row r="31">
      <c r="D31" s="25" t="n"/>
      <c r="E31" s="26" t="n"/>
      <c r="F31" s="26" t="n"/>
    </row>
    <row r="32">
      <c r="A32" s="52" t="inlineStr">
        <is>
          <t>GRAND TOTAL</t>
        </is>
      </c>
      <c r="D32" s="53">
        <f>D18+D22+D26+D30</f>
        <v/>
      </c>
      <c r="E32" s="54">
        <f>E18+E22+E26+E30</f>
        <v/>
      </c>
      <c r="F32" s="54">
        <f>F18+F22+F26+F30</f>
        <v/>
      </c>
      <c r="G32" s="55">
        <f>IF($F$32=0,"",F32/$F$32)</f>
        <v/>
      </c>
    </row>
    <row r="35">
      <c r="A35" s="52" t="inlineStr">
        <is>
          <t>Sheet guide</t>
        </is>
      </c>
    </row>
    <row r="36">
      <c r="A36" s="52" t="inlineStr">
        <is>
          <t>Quality Check</t>
        </is>
      </c>
      <c r="B36" t="inlineStr">
        <is>
          <t>Data currency per sheet, NSE/BSE alignment flag, monthly totals, data sources.</t>
        </is>
      </c>
    </row>
    <row r="37">
      <c r="A37" s="52" t="inlineStr">
        <is>
          <t>Analysis1</t>
        </is>
      </c>
      <c r="B37" t="inlineStr">
        <is>
          <t>Monthly premium by trade day (6 tables, Mon-Fri + Sunday), NSE vs BSE + market share. All expiry types.</t>
        </is>
      </c>
    </row>
    <row r="38">
      <c r="A38" s="52" t="inlineStr">
        <is>
          <t>Analysis2</t>
        </is>
      </c>
      <c r="B38" t="inlineStr">
        <is>
          <t>Same as Analysis1 but weekly-expiry contracts only.</t>
        </is>
      </c>
    </row>
    <row r="39">
      <c r="A39" s="52" t="inlineStr">
        <is>
          <t>Analysis3</t>
        </is>
      </c>
      <c r="B39" t="inlineStr">
        <is>
          <t>Week-level premium by trade day: NSE / BSE premium &amp; share matrices. All expiry types.</t>
        </is>
      </c>
    </row>
    <row r="40">
      <c r="A40" s="52" t="inlineStr">
        <is>
          <t>Analysis4</t>
        </is>
      </c>
      <c r="B40" t="inlineStr">
        <is>
          <t>Week-level matrices, Weekly + MDAW premium only.</t>
        </is>
      </c>
    </row>
    <row r="41">
      <c r="A41" s="52" t="inlineStr">
        <is>
          <t>Analysis5</t>
        </is>
      </c>
      <c r="B41" t="inlineStr">
        <is>
          <t>Week-level matrices, Monthly premium only.</t>
        </is>
      </c>
    </row>
    <row r="42">
      <c r="A42" s="52" t="inlineStr">
        <is>
          <t>Analysis6</t>
        </is>
      </c>
      <c r="B42" t="inlineStr">
        <is>
          <t>Overall monthly NSE vs BSE: three tables (All / Weekly+MDAW / Monthly).</t>
        </is>
      </c>
    </row>
    <row r="43">
      <c r="A43" s="52" t="inlineStr">
        <is>
          <t>Analysis7</t>
        </is>
      </c>
      <c r="B43" t="inlineStr">
        <is>
          <t>Overall monthly NSE vs BSE: four tables (All / Weekly / MDAW / Monthly) + composition of each cut as % of All (NSE, BSE, combined).</t>
        </is>
      </c>
    </row>
    <row r="44">
      <c r="A44" s="52" t="inlineStr">
        <is>
          <t>Analysis8</t>
        </is>
      </c>
      <c r="B44" t="inlineStr">
        <is>
          <t>Combined NSE+BSE week × day premium matrix + day-wise weekly composition + Mon+Tue / Wed+Thu / Fri grouping. All expiry types.</t>
        </is>
      </c>
    </row>
    <row r="45">
      <c r="A45" s="52" t="inlineStr">
        <is>
          <t>Analysis9</t>
        </is>
      </c>
      <c r="B45" t="inlineStr">
        <is>
          <t>Same as Analysis8 but Weekly + MDAW only.</t>
        </is>
      </c>
    </row>
    <row r="46">
      <c r="A46" s="52" t="inlineStr">
        <is>
          <t>Overall Summary / NSE Summary / BSE Summary</t>
        </is>
      </c>
      <c r="B46" t="inlineStr">
        <is>
          <t>Himank's own pivot-based summary tabs (month-filtered day-wise views).</t>
        </is>
      </c>
    </row>
    <row r="47">
      <c r="A47" s="52" t="inlineStr">
        <is>
          <t>4 data sheets</t>
        </is>
      </c>
      <c r="B47" t="inlineStr">
        <is>
          <t>Raw aggregated data (12 columns) — one per exchange × underlying group; everything above is formula-driven from these.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topLeftCell="A2" zoomScale="117" workbookViewId="0">
      <selection activeCell="J9" sqref="J9"/>
    </sheetView>
  </sheetViews>
  <sheetFormatPr baseColWidth="10" defaultColWidth="8.83203125" defaultRowHeight="16"/>
  <cols>
    <col width="28" customWidth="1" min="1" max="1"/>
    <col width="14" customWidth="1" min="2" max="8"/>
    <col width="20" customWidth="1" min="9" max="9"/>
    <col width="30" customWidth="1" min="10" max="10"/>
    <col width="22" customWidth="1" min="13" max="13"/>
    <col width="8" customWidth="1" min="14" max="14"/>
  </cols>
  <sheetData>
    <row r="1">
      <c r="A1" s="61" t="inlineStr">
        <is>
          <t>Exhibit 1 — Quarterly Premium Turnover (INR Bn) by Segment × Expiry Type 2, Q2FY26 to Q2FY27</t>
        </is>
      </c>
      <c r="J1" s="71" t="inlineStr">
        <is>
          <t>Expected trading days Q2FY27:</t>
        </is>
      </c>
      <c r="K1" t="n">
        <v>65</v>
      </c>
      <c r="M1" s="75" t="inlineStr">
        <is>
          <t>Cuts / Scope</t>
        </is>
      </c>
    </row>
    <row r="2">
      <c r="A2" s="62" t="inlineStr">
        <is>
          <t>Indian fiscal quarters (Apr-Mar FY). Q2FY26 starts Sep-2025 (dataset start); Q2FY27 is partial, live as data updates. Weekly/MDAW rows for Other Index Options are blank — those underlyings are monthly-only. All live formulas on the data sheets.</t>
        </is>
      </c>
      <c r="J2" s="71" t="inlineStr">
        <is>
          <t>Trading days elapsed (live):</t>
        </is>
      </c>
      <c r="K2">
        <f>SUMPRODUCT(('NSE - NIFTY Index Options'!$E$2:$E$9000="Q2FY27")/COUNTIFS('NSE - NIFTY Index Options'!$A$2:$A$9000,'NSE - NIFTY Index Options'!$A$2:$A$9000&amp;"",'NSE - NIFTY Index Options'!$E$2:$E$9000,'NSE - NIFTY Index Options'!$E$2:$E$9000&amp;""))</f>
        <v/>
      </c>
      <c r="M2" t="inlineStr">
        <is>
          <t>Index Options</t>
        </is>
      </c>
      <c r="N2" s="76" t="inlineStr">
        <is>
          <t>Yes</t>
        </is>
      </c>
    </row>
    <row r="3">
      <c r="J3" s="72" t="inlineStr">
        <is>
          <t>Source: NSE F&amp;O holiday calendar — 66 weekdays minus Ganesh Chaturthi (Mon 14-Sep-2026).</t>
        </is>
      </c>
      <c r="M3" t="inlineStr">
        <is>
          <t>Stock Options</t>
        </is>
      </c>
      <c r="N3" s="58" t="inlineStr">
        <is>
          <t>No</t>
        </is>
      </c>
    </row>
    <row r="4">
      <c r="A4" s="63" t="inlineStr">
        <is>
          <t>Segment</t>
        </is>
      </c>
      <c r="B4" s="63" t="inlineStr">
        <is>
          <t>Expiry Type 2</t>
        </is>
      </c>
      <c r="C4" s="64" t="inlineStr">
        <is>
          <t>Q2FY26</t>
        </is>
      </c>
      <c r="D4" s="64" t="inlineStr">
        <is>
          <t>Q3FY26</t>
        </is>
      </c>
      <c r="E4" s="64" t="inlineStr">
        <is>
          <t>Q4FY26</t>
        </is>
      </c>
      <c r="F4" s="64" t="inlineStr">
        <is>
          <t>Q1FY27</t>
        </is>
      </c>
      <c r="G4" s="64" t="inlineStr">
        <is>
          <t>Q2FY27</t>
        </is>
      </c>
      <c r="H4" s="63" t="inlineStr">
        <is>
          <t>Total</t>
        </is>
      </c>
      <c r="I4" s="71" t="inlineStr">
        <is>
          <t>Q2FY27 Implied Full Qtr</t>
        </is>
      </c>
      <c r="M4" t="inlineStr">
        <is>
          <t>Index Futures</t>
        </is>
      </c>
      <c r="N4" s="58" t="inlineStr">
        <is>
          <t>No</t>
        </is>
      </c>
    </row>
    <row r="5">
      <c r="A5" t="inlineStr">
        <is>
          <t>NIFTY Index Options (NSE)</t>
        </is>
      </c>
      <c r="B5" t="inlineStr">
        <is>
          <t>Weekly</t>
        </is>
      </c>
      <c r="C5" s="65">
        <f>IF(SUMIFS('NSE - NIFTY Index Options'!$M:$M,'NSE - NIFTY Index Options'!$E:$E,C$4,'NSE - NIFTY Index Options'!$I:$I,"Weekly*")=0,"",SUMIFS('NSE - NIFTY Index Options'!$M:$M,'NSE - NIFTY Index Options'!$E:$E,C$4,'NSE - NIFTY Index Options'!$I:$I,"Weekly*"))</f>
        <v/>
      </c>
      <c r="D5" s="65">
        <f>IF(SUMIFS('NSE - NIFTY Index Options'!$M:$M,'NSE - NIFTY Index Options'!$E:$E,D$4,'NSE - NIFTY Index Options'!$I:$I,"Weekly*")=0,"",SUMIFS('NSE - NIFTY Index Options'!$M:$M,'NSE - NIFTY Index Options'!$E:$E,D$4,'NSE - NIFTY Index Options'!$I:$I,"Weekly*"))</f>
        <v/>
      </c>
      <c r="E5" s="65">
        <f>IF(SUMIFS('NSE - NIFTY Index Options'!$M:$M,'NSE - NIFTY Index Options'!$E:$E,E$4,'NSE - NIFTY Index Options'!$I:$I,"Weekly*")=0,"",SUMIFS('NSE - NIFTY Index Options'!$M:$M,'NSE - NIFTY Index Options'!$E:$E,E$4,'NSE - NIFTY Index Options'!$I:$I,"Weekly*"))</f>
        <v/>
      </c>
      <c r="F5" s="65">
        <f>IF(SUMIFS('NSE - NIFTY Index Options'!$M:$M,'NSE - NIFTY Index Options'!$E:$E,F$4,'NSE - NIFTY Index Options'!$I:$I,"Weekly*")=0,"",SUMIFS('NSE - NIFTY Index Options'!$M:$M,'NSE - NIFTY Index Options'!$E:$E,F$4,'NSE - NIFTY Index Options'!$I:$I,"Weekly*"))</f>
        <v/>
      </c>
      <c r="G5" s="65">
        <f>IF(SUMIFS('NSE - NIFTY Index Options'!$M:$M,'NSE - NIFTY Index Options'!$E:$E,G$4,'NSE - NIFTY Index Options'!$I:$I,"Weekly*")=0,"",SUMIFS('NSE - NIFTY Index Options'!$M:$M,'NSE - NIFTY Index Options'!$E:$E,G$4,'NSE - NIFTY Index Options'!$I:$I,"Weekly*"))</f>
        <v/>
      </c>
      <c r="H5" s="65">
        <f>IF(SUM(C5:G5)=0,"",SUM(C5:G5))</f>
        <v/>
      </c>
      <c r="I5" s="26">
        <f>IF(G5="","",G5*$K$1/$K$2)</f>
        <v/>
      </c>
      <c r="M5" t="inlineStr">
        <is>
          <t>NSE</t>
        </is>
      </c>
      <c r="N5" s="76" t="inlineStr">
        <is>
          <t>Yes</t>
        </is>
      </c>
    </row>
    <row r="6">
      <c r="A6" t="inlineStr">
        <is>
          <t>NIFTY Index Options (NSE)</t>
        </is>
      </c>
      <c r="B6" t="inlineStr">
        <is>
          <t>MDAW</t>
        </is>
      </c>
      <c r="C6" s="65">
        <f>IF(SUMIFS('NSE - NIFTY Index Options'!$M:$M,'NSE - NIFTY Index Options'!$E:$E,C$4,'NSE - NIFTY Index Options'!$I:$I,"MDAW*")=0,"",SUMIFS('NSE - NIFTY Index Options'!$M:$M,'NSE - NIFTY Index Options'!$E:$E,C$4,'NSE - NIFTY Index Options'!$I:$I,"MDAW*"))</f>
        <v/>
      </c>
      <c r="D6" s="65">
        <f>IF(SUMIFS('NSE - NIFTY Index Options'!$M:$M,'NSE - NIFTY Index Options'!$E:$E,D$4,'NSE - NIFTY Index Options'!$I:$I,"MDAW*")=0,"",SUMIFS('NSE - NIFTY Index Options'!$M:$M,'NSE - NIFTY Index Options'!$E:$E,D$4,'NSE - NIFTY Index Options'!$I:$I,"MDAW*"))</f>
        <v/>
      </c>
      <c r="E6" s="65">
        <f>IF(SUMIFS('NSE - NIFTY Index Options'!$M:$M,'NSE - NIFTY Index Options'!$E:$E,E$4,'NSE - NIFTY Index Options'!$I:$I,"MDAW*")=0,"",SUMIFS('NSE - NIFTY Index Options'!$M:$M,'NSE - NIFTY Index Options'!$E:$E,E$4,'NSE - NIFTY Index Options'!$I:$I,"MDAW*"))</f>
        <v/>
      </c>
      <c r="F6" s="65">
        <f>IF(SUMIFS('NSE - NIFTY Index Options'!$M:$M,'NSE - NIFTY Index Options'!$E:$E,F$4,'NSE - NIFTY Index Options'!$I:$I,"MDAW*")=0,"",SUMIFS('NSE - NIFTY Index Options'!$M:$M,'NSE - NIFTY Index Options'!$E:$E,F$4,'NSE - NIFTY Index Options'!$I:$I,"MDAW*"))</f>
        <v/>
      </c>
      <c r="G6" s="65">
        <f>IF(SUMIFS('NSE - NIFTY Index Options'!$M:$M,'NSE - NIFTY Index Options'!$E:$E,G$4,'NSE - NIFTY Index Options'!$I:$I,"MDAW*")=0,"",SUMIFS('NSE - NIFTY Index Options'!$M:$M,'NSE - NIFTY Index Options'!$E:$E,G$4,'NSE - NIFTY Index Options'!$I:$I,"MDAW*"))</f>
        <v/>
      </c>
      <c r="H6" s="65">
        <f>IF(SUM(C6:G6)=0,"",SUM(C6:G6))</f>
        <v/>
      </c>
      <c r="I6" s="26">
        <f>IF(G6="","",G6*$K$1/$K$2)</f>
        <v/>
      </c>
      <c r="M6" t="inlineStr">
        <is>
          <t>BSE</t>
        </is>
      </c>
      <c r="N6" s="76" t="inlineStr">
        <is>
          <t>Yes</t>
        </is>
      </c>
    </row>
    <row r="7">
      <c r="A7" t="inlineStr">
        <is>
          <t>NIFTY Index Options (NSE)</t>
        </is>
      </c>
      <c r="B7" t="inlineStr">
        <is>
          <t>Monthly</t>
        </is>
      </c>
      <c r="C7" s="65">
        <f>IF(SUMIFS('NSE - NIFTY Index Options'!$M:$M,'NSE - NIFTY Index Options'!$E:$E,C$4,'NSE - NIFTY Index Options'!$I:$I,"Monthly*")=0,"",SUMIFS('NSE - NIFTY Index Options'!$M:$M,'NSE - NIFTY Index Options'!$E:$E,C$4,'NSE - NIFTY Index Options'!$I:$I,"Monthly*"))</f>
        <v/>
      </c>
      <c r="D7" s="65">
        <f>IF(SUMIFS('NSE - NIFTY Index Options'!$M:$M,'NSE - NIFTY Index Options'!$E:$E,D$4,'NSE - NIFTY Index Options'!$I:$I,"Monthly*")=0,"",SUMIFS('NSE - NIFTY Index Options'!$M:$M,'NSE - NIFTY Index Options'!$E:$E,D$4,'NSE - NIFTY Index Options'!$I:$I,"Monthly*"))</f>
        <v/>
      </c>
      <c r="E7" s="65">
        <f>IF(SUMIFS('NSE - NIFTY Index Options'!$M:$M,'NSE - NIFTY Index Options'!$E:$E,E$4,'NSE - NIFTY Index Options'!$I:$I,"Monthly*")=0,"",SUMIFS('NSE - NIFTY Index Options'!$M:$M,'NSE - NIFTY Index Options'!$E:$E,E$4,'NSE - NIFTY Index Options'!$I:$I,"Monthly*"))</f>
        <v/>
      </c>
      <c r="F7" s="65">
        <f>IF(SUMIFS('NSE - NIFTY Index Options'!$M:$M,'NSE - NIFTY Index Options'!$E:$E,F$4,'NSE - NIFTY Index Options'!$I:$I,"Monthly*")=0,"",SUMIFS('NSE - NIFTY Index Options'!$M:$M,'NSE - NIFTY Index Options'!$E:$E,F$4,'NSE - NIFTY Index Options'!$I:$I,"Monthly*"))</f>
        <v/>
      </c>
      <c r="G7" s="65">
        <f>IF(SUMIFS('NSE - NIFTY Index Options'!$M:$M,'NSE - NIFTY Index Options'!$E:$E,G$4,'NSE - NIFTY Index Options'!$I:$I,"Monthly*")=0,"",SUMIFS('NSE - NIFTY Index Options'!$M:$M,'NSE - NIFTY Index Options'!$E:$E,G$4,'NSE - NIFTY Index Options'!$I:$I,"Monthly*"))</f>
        <v/>
      </c>
      <c r="H7" s="65">
        <f>IF(SUM(C7:G7)=0,"",SUM(C7:G7))</f>
        <v/>
      </c>
      <c r="I7" s="26">
        <f>IF(G7="","",G7*$K$1/$K$2)</f>
        <v/>
      </c>
      <c r="M7" t="inlineStr">
        <is>
          <t>NIFTY Index</t>
        </is>
      </c>
      <c r="N7" s="76" t="inlineStr">
        <is>
          <t>Yes</t>
        </is>
      </c>
    </row>
    <row r="8">
      <c r="A8" s="63" t="inlineStr">
        <is>
          <t>NIFTY Index Options (NSE)</t>
        </is>
      </c>
      <c r="B8" s="63" t="inlineStr">
        <is>
          <t>Total</t>
        </is>
      </c>
      <c r="C8" s="65">
        <f>IF(SUM(C5:C7)=0,"",SUM(C5:C7))</f>
        <v/>
      </c>
      <c r="D8" s="65">
        <f>IF(SUM(D5:D7)=0,"",SUM(D5:D7))</f>
        <v/>
      </c>
      <c r="E8" s="65">
        <f>IF(SUM(E5:E7)=0,"",SUM(E5:E7))</f>
        <v/>
      </c>
      <c r="F8" s="65">
        <f>IF(SUM(F5:F7)=0,"",SUM(F5:F7))</f>
        <v/>
      </c>
      <c r="G8" s="65">
        <f>IF(SUM(G5:G7)=0,"",SUM(G5:G7))</f>
        <v/>
      </c>
      <c r="H8" s="65">
        <f>IF(SUM(H5:H7)=0,"",SUM(H5:H7))</f>
        <v/>
      </c>
      <c r="I8" s="73">
        <f>IF(G8="","",G8*$K$1/$K$2)</f>
        <v/>
      </c>
      <c r="M8" t="inlineStr">
        <is>
          <t>Other NSE Indices</t>
        </is>
      </c>
      <c r="N8" s="76" t="inlineStr">
        <is>
          <t>Yes</t>
        </is>
      </c>
    </row>
    <row r="9">
      <c r="A9" t="inlineStr">
        <is>
          <t>Other Index Options (NSE)</t>
        </is>
      </c>
      <c r="B9" t="inlineStr">
        <is>
          <t>Weekly</t>
        </is>
      </c>
      <c r="C9" s="65">
        <f>IF(SUMIFS('NSE - Other Index Options'!$M:$M,'NSE - Other Index Options'!$E:$E,C$4,'NSE - Other Index Options'!$I:$I,"Weekly*")=0,"",SUMIFS('NSE - Other Index Options'!$M:$M,'NSE - Other Index Options'!$E:$E,C$4,'NSE - Other Index Options'!$I:$I,"Weekly*"))</f>
        <v/>
      </c>
      <c r="D9" s="65">
        <f>IF(SUMIFS('NSE - Other Index Options'!$M:$M,'NSE - Other Index Options'!$E:$E,D$4,'NSE - Other Index Options'!$I:$I,"Weekly*")=0,"",SUMIFS('NSE - Other Index Options'!$M:$M,'NSE - Other Index Options'!$E:$E,D$4,'NSE - Other Index Options'!$I:$I,"Weekly*"))</f>
        <v/>
      </c>
      <c r="E9" s="65">
        <f>IF(SUMIFS('NSE - Other Index Options'!$M:$M,'NSE - Other Index Options'!$E:$E,E$4,'NSE - Other Index Options'!$I:$I,"Weekly*")=0,"",SUMIFS('NSE - Other Index Options'!$M:$M,'NSE - Other Index Options'!$E:$E,E$4,'NSE - Other Index Options'!$I:$I,"Weekly*"))</f>
        <v/>
      </c>
      <c r="F9" s="65">
        <f>IF(SUMIFS('NSE - Other Index Options'!$M:$M,'NSE - Other Index Options'!$E:$E,F$4,'NSE - Other Index Options'!$I:$I,"Weekly*")=0,"",SUMIFS('NSE - Other Index Options'!$M:$M,'NSE - Other Index Options'!$E:$E,F$4,'NSE - Other Index Options'!$I:$I,"Weekly*"))</f>
        <v/>
      </c>
      <c r="G9" s="65">
        <f>IF(SUMIFS('NSE - Other Index Options'!$M:$M,'NSE - Other Index Options'!$E:$E,G$4,'NSE - Other Index Options'!$I:$I,"Weekly*")=0,"",SUMIFS('NSE - Other Index Options'!$M:$M,'NSE - Other Index Options'!$E:$E,G$4,'NSE - Other Index Options'!$I:$I,"Weekly*"))</f>
        <v/>
      </c>
      <c r="H9" s="65">
        <f>IF(SUM(C9:G9)=0,"",SUM(C9:G9))</f>
        <v/>
      </c>
      <c r="I9" s="26">
        <f>IF(G9="","",G9*$K$1/$K$2)</f>
        <v/>
      </c>
      <c r="J9" t="inlineStr">
        <is>
          <t>/</t>
        </is>
      </c>
      <c r="M9" t="inlineStr">
        <is>
          <t>SENSEX Index</t>
        </is>
      </c>
      <c r="N9" s="76" t="inlineStr">
        <is>
          <t>Yes</t>
        </is>
      </c>
    </row>
    <row r="10">
      <c r="A10" t="inlineStr">
        <is>
          <t>Other Index Options (NSE)</t>
        </is>
      </c>
      <c r="B10" t="inlineStr">
        <is>
          <t>MDAW</t>
        </is>
      </c>
      <c r="C10" s="65">
        <f>IF(SUMIFS('NSE - Other Index Options'!$M:$M,'NSE - Other Index Options'!$E:$E,C$4,'NSE - Other Index Options'!$I:$I,"MDAW*")=0,"",SUMIFS('NSE - Other Index Options'!$M:$M,'NSE - Other Index Options'!$E:$E,C$4,'NSE - Other Index Options'!$I:$I,"MDAW*"))</f>
        <v/>
      </c>
      <c r="D10" s="65">
        <f>IF(SUMIFS('NSE - Other Index Options'!$M:$M,'NSE - Other Index Options'!$E:$E,D$4,'NSE - Other Index Options'!$I:$I,"MDAW*")=0,"",SUMIFS('NSE - Other Index Options'!$M:$M,'NSE - Other Index Options'!$E:$E,D$4,'NSE - Other Index Options'!$I:$I,"MDAW*"))</f>
        <v/>
      </c>
      <c r="E10" s="65">
        <f>IF(SUMIFS('NSE - Other Index Options'!$M:$M,'NSE - Other Index Options'!$E:$E,E$4,'NSE - Other Index Options'!$I:$I,"MDAW*")=0,"",SUMIFS('NSE - Other Index Options'!$M:$M,'NSE - Other Index Options'!$E:$E,E$4,'NSE - Other Index Options'!$I:$I,"MDAW*"))</f>
        <v/>
      </c>
      <c r="F10" s="65">
        <f>IF(SUMIFS('NSE - Other Index Options'!$M:$M,'NSE - Other Index Options'!$E:$E,F$4,'NSE - Other Index Options'!$I:$I,"MDAW*")=0,"",SUMIFS('NSE - Other Index Options'!$M:$M,'NSE - Other Index Options'!$E:$E,F$4,'NSE - Other Index Options'!$I:$I,"MDAW*"))</f>
        <v/>
      </c>
      <c r="G10" s="65">
        <f>IF(SUMIFS('NSE - Other Index Options'!$M:$M,'NSE - Other Index Options'!$E:$E,G$4,'NSE - Other Index Options'!$I:$I,"MDAW*")=0,"",SUMIFS('NSE - Other Index Options'!$M:$M,'NSE - Other Index Options'!$E:$E,G$4,'NSE - Other Index Options'!$I:$I,"MDAW*"))</f>
        <v/>
      </c>
      <c r="H10" s="65">
        <f>IF(SUM(C10:G10)=0,"",SUM(C10:G10))</f>
        <v/>
      </c>
      <c r="I10" s="26">
        <f>IF(G10="","",G10*$K$1/$K$2)</f>
        <v/>
      </c>
      <c r="M10" t="inlineStr">
        <is>
          <t>Other BSE Indices</t>
        </is>
      </c>
      <c r="N10" s="76" t="inlineStr">
        <is>
          <t>Yes</t>
        </is>
      </c>
    </row>
    <row r="11">
      <c r="A11" t="inlineStr">
        <is>
          <t>Other Index Options (NSE)</t>
        </is>
      </c>
      <c r="B11" t="inlineStr">
        <is>
          <t>Monthly</t>
        </is>
      </c>
      <c r="C11" s="65">
        <f>IF(SUMIFS('NSE - Other Index Options'!$M:$M,'NSE - Other Index Options'!$E:$E,C$4,'NSE - Other Index Options'!$I:$I,"Monthly*")=0,"",SUMIFS('NSE - Other Index Options'!$M:$M,'NSE - Other Index Options'!$E:$E,C$4,'NSE - Other Index Options'!$I:$I,"Monthly*"))</f>
        <v/>
      </c>
      <c r="D11" s="65">
        <f>IF(SUMIFS('NSE - Other Index Options'!$M:$M,'NSE - Other Index Options'!$E:$E,D$4,'NSE - Other Index Options'!$I:$I,"Monthly*")=0,"",SUMIFS('NSE - Other Index Options'!$M:$M,'NSE - Other Index Options'!$E:$E,D$4,'NSE - Other Index Options'!$I:$I,"Monthly*"))</f>
        <v/>
      </c>
      <c r="E11" s="65">
        <f>IF(SUMIFS('NSE - Other Index Options'!$M:$M,'NSE - Other Index Options'!$E:$E,E$4,'NSE - Other Index Options'!$I:$I,"Monthly*")=0,"",SUMIFS('NSE - Other Index Options'!$M:$M,'NSE - Other Index Options'!$E:$E,E$4,'NSE - Other Index Options'!$I:$I,"Monthly*"))</f>
        <v/>
      </c>
      <c r="F11" s="65">
        <f>IF(SUMIFS('NSE - Other Index Options'!$M:$M,'NSE - Other Index Options'!$E:$E,F$4,'NSE - Other Index Options'!$I:$I,"Monthly*")=0,"",SUMIFS('NSE - Other Index Options'!$M:$M,'NSE - Other Index Options'!$E:$E,F$4,'NSE - Other Index Options'!$I:$I,"Monthly*"))</f>
        <v/>
      </c>
      <c r="G11" s="65">
        <f>IF(SUMIFS('NSE - Other Index Options'!$M:$M,'NSE - Other Index Options'!$E:$E,G$4,'NSE - Other Index Options'!$I:$I,"Monthly*")=0,"",SUMIFS('NSE - Other Index Options'!$M:$M,'NSE - Other Index Options'!$E:$E,G$4,'NSE - Other Index Options'!$I:$I,"Monthly*"))</f>
        <v/>
      </c>
      <c r="H11" s="65">
        <f>IF(SUM(C11:G11)=0,"",SUM(C11:G11))</f>
        <v/>
      </c>
      <c r="I11" s="26">
        <f>IF(G11="","",G11*$K$1/$K$2)</f>
        <v/>
      </c>
      <c r="M11" t="inlineStr">
        <is>
          <t>Expiry Type 2 - Weekly</t>
        </is>
      </c>
      <c r="N11" s="76" t="inlineStr">
        <is>
          <t>Yes</t>
        </is>
      </c>
    </row>
    <row r="12">
      <c r="A12" s="63" t="inlineStr">
        <is>
          <t>Other Index Options (NSE)</t>
        </is>
      </c>
      <c r="B12" s="63" t="inlineStr">
        <is>
          <t>Total</t>
        </is>
      </c>
      <c r="C12" s="65">
        <f>IF(SUM(C9:C11)=0,"",SUM(C9:C11))</f>
        <v/>
      </c>
      <c r="D12" s="65">
        <f>IF(SUM(D9:D11)=0,"",SUM(D9:D11))</f>
        <v/>
      </c>
      <c r="E12" s="65">
        <f>IF(SUM(E9:E11)=0,"",SUM(E9:E11))</f>
        <v/>
      </c>
      <c r="F12" s="65">
        <f>IF(SUM(F9:F11)=0,"",SUM(F9:F11))</f>
        <v/>
      </c>
      <c r="G12" s="65">
        <f>IF(SUM(G9:G11)=0,"",SUM(G9:G11))</f>
        <v/>
      </c>
      <c r="H12" s="65">
        <f>IF(SUM(H9:H11)=0,"",SUM(H9:H11))</f>
        <v/>
      </c>
      <c r="I12" s="73">
        <f>IF(G12="","",G12*$K$1/$K$2)</f>
        <v/>
      </c>
      <c r="M12" t="inlineStr">
        <is>
          <t>Expiry Type 2 - MDAW</t>
        </is>
      </c>
      <c r="N12" s="76" t="inlineStr">
        <is>
          <t>Yes</t>
        </is>
      </c>
    </row>
    <row r="13">
      <c r="A13" t="inlineStr">
        <is>
          <t>SENSEX Index Options (BSE)</t>
        </is>
      </c>
      <c r="B13" t="inlineStr">
        <is>
          <t>Weekly</t>
        </is>
      </c>
      <c r="C13" s="65">
        <f>IF(SUMIFS('BSE - SENSEX Index Options'!$M:$M,'BSE - SENSEX Index Options'!$E:$E,C$4,'BSE - SENSEX Index Options'!$I:$I,"Weekly*")=0,"",SUMIFS('BSE - SENSEX Index Options'!$M:$M,'BSE - SENSEX Index Options'!$E:$E,C$4,'BSE - SENSEX Index Options'!$I:$I,"Weekly*"))</f>
        <v/>
      </c>
      <c r="D13" s="65">
        <f>IF(SUMIFS('BSE - SENSEX Index Options'!$M:$M,'BSE - SENSEX Index Options'!$E:$E,D$4,'BSE - SENSEX Index Options'!$I:$I,"Weekly*")=0,"",SUMIFS('BSE - SENSEX Index Options'!$M:$M,'BSE - SENSEX Index Options'!$E:$E,D$4,'BSE - SENSEX Index Options'!$I:$I,"Weekly*"))</f>
        <v/>
      </c>
      <c r="E13" s="65">
        <f>IF(SUMIFS('BSE - SENSEX Index Options'!$M:$M,'BSE - SENSEX Index Options'!$E:$E,E$4,'BSE - SENSEX Index Options'!$I:$I,"Weekly*")=0,"",SUMIFS('BSE - SENSEX Index Options'!$M:$M,'BSE - SENSEX Index Options'!$E:$E,E$4,'BSE - SENSEX Index Options'!$I:$I,"Weekly*"))</f>
        <v/>
      </c>
      <c r="F13" s="65">
        <f>IF(SUMIFS('BSE - SENSEX Index Options'!$M:$M,'BSE - SENSEX Index Options'!$E:$E,F$4,'BSE - SENSEX Index Options'!$I:$I,"Weekly*")=0,"",SUMIFS('BSE - SENSEX Index Options'!$M:$M,'BSE - SENSEX Index Options'!$E:$E,F$4,'BSE - SENSEX Index Options'!$I:$I,"Weekly*"))</f>
        <v/>
      </c>
      <c r="G13" s="65">
        <f>IF(SUMIFS('BSE - SENSEX Index Options'!$M:$M,'BSE - SENSEX Index Options'!$E:$E,G$4,'BSE - SENSEX Index Options'!$I:$I,"Weekly*")=0,"",SUMIFS('BSE - SENSEX Index Options'!$M:$M,'BSE - SENSEX Index Options'!$E:$E,G$4,'BSE - SENSEX Index Options'!$I:$I,"Weekly*"))</f>
        <v/>
      </c>
      <c r="H13" s="65">
        <f>IF(SUM(C13:G13)=0,"",SUM(C13:G13))</f>
        <v/>
      </c>
      <c r="I13" s="26">
        <f>IF(G13="","",G13*$K$1/$K$2)</f>
        <v/>
      </c>
      <c r="M13" t="inlineStr">
        <is>
          <t>Expiry Type 2 - Monthly</t>
        </is>
      </c>
      <c r="N13" s="76" t="inlineStr">
        <is>
          <t>Yes</t>
        </is>
      </c>
    </row>
    <row r="14">
      <c r="A14" t="inlineStr">
        <is>
          <t>SENSEX Index Options (BSE)</t>
        </is>
      </c>
      <c r="B14" t="inlineStr">
        <is>
          <t>MDAW</t>
        </is>
      </c>
      <c r="C14" s="65">
        <f>IF(SUMIFS('BSE - SENSEX Index Options'!$M:$M,'BSE - SENSEX Index Options'!$E:$E,C$4,'BSE - SENSEX Index Options'!$I:$I,"MDAW*")=0,"",SUMIFS('BSE - SENSEX Index Options'!$M:$M,'BSE - SENSEX Index Options'!$E:$E,C$4,'BSE - SENSEX Index Options'!$I:$I,"MDAW*"))</f>
        <v/>
      </c>
      <c r="D14" s="65">
        <f>IF(SUMIFS('BSE - SENSEX Index Options'!$M:$M,'BSE - SENSEX Index Options'!$E:$E,D$4,'BSE - SENSEX Index Options'!$I:$I,"MDAW*")=0,"",SUMIFS('BSE - SENSEX Index Options'!$M:$M,'BSE - SENSEX Index Options'!$E:$E,D$4,'BSE - SENSEX Index Options'!$I:$I,"MDAW*"))</f>
        <v/>
      </c>
      <c r="E14" s="65">
        <f>IF(SUMIFS('BSE - SENSEX Index Options'!$M:$M,'BSE - SENSEX Index Options'!$E:$E,E$4,'BSE - SENSEX Index Options'!$I:$I,"MDAW*")=0,"",SUMIFS('BSE - SENSEX Index Options'!$M:$M,'BSE - SENSEX Index Options'!$E:$E,E$4,'BSE - SENSEX Index Options'!$I:$I,"MDAW*"))</f>
        <v/>
      </c>
      <c r="F14" s="65">
        <f>IF(SUMIFS('BSE - SENSEX Index Options'!$M:$M,'BSE - SENSEX Index Options'!$E:$E,F$4,'BSE - SENSEX Index Options'!$I:$I,"MDAW*")=0,"",SUMIFS('BSE - SENSEX Index Options'!$M:$M,'BSE - SENSEX Index Options'!$E:$E,F$4,'BSE - SENSEX Index Options'!$I:$I,"MDAW*"))</f>
        <v/>
      </c>
      <c r="G14" s="65">
        <f>IF(SUMIFS('BSE - SENSEX Index Options'!$M:$M,'BSE - SENSEX Index Options'!$E:$E,G$4,'BSE - SENSEX Index Options'!$I:$I,"MDAW*")=0,"",SUMIFS('BSE - SENSEX Index Options'!$M:$M,'BSE - SENSEX Index Options'!$E:$E,G$4,'BSE - SENSEX Index Options'!$I:$I,"MDAW*"))</f>
        <v/>
      </c>
      <c r="H14" s="65">
        <f>IF(SUM(C14:G14)=0,"",SUM(C14:G14))</f>
        <v/>
      </c>
      <c r="I14" s="26">
        <f>IF(G14="","",G14*$K$1/$K$2)</f>
        <v/>
      </c>
    </row>
    <row r="15">
      <c r="A15" t="inlineStr">
        <is>
          <t>SENSEX Index Options (BSE)</t>
        </is>
      </c>
      <c r="B15" t="inlineStr">
        <is>
          <t>Monthly</t>
        </is>
      </c>
      <c r="C15" s="65">
        <f>IF(SUMIFS('BSE - SENSEX Index Options'!$M:$M,'BSE - SENSEX Index Options'!$E:$E,C$4,'BSE - SENSEX Index Options'!$I:$I,"Monthly*")=0,"",SUMIFS('BSE - SENSEX Index Options'!$M:$M,'BSE - SENSEX Index Options'!$E:$E,C$4,'BSE - SENSEX Index Options'!$I:$I,"Monthly*"))</f>
        <v/>
      </c>
      <c r="D15" s="65">
        <f>IF(SUMIFS('BSE - SENSEX Index Options'!$M:$M,'BSE - SENSEX Index Options'!$E:$E,D$4,'BSE - SENSEX Index Options'!$I:$I,"Monthly*")=0,"",SUMIFS('BSE - SENSEX Index Options'!$M:$M,'BSE - SENSEX Index Options'!$E:$E,D$4,'BSE - SENSEX Index Options'!$I:$I,"Monthly*"))</f>
        <v/>
      </c>
      <c r="E15" s="65">
        <f>IF(SUMIFS('BSE - SENSEX Index Options'!$M:$M,'BSE - SENSEX Index Options'!$E:$E,E$4,'BSE - SENSEX Index Options'!$I:$I,"Monthly*")=0,"",SUMIFS('BSE - SENSEX Index Options'!$M:$M,'BSE - SENSEX Index Options'!$E:$E,E$4,'BSE - SENSEX Index Options'!$I:$I,"Monthly*"))</f>
        <v/>
      </c>
      <c r="F15" s="65">
        <f>IF(SUMIFS('BSE - SENSEX Index Options'!$M:$M,'BSE - SENSEX Index Options'!$E:$E,F$4,'BSE - SENSEX Index Options'!$I:$I,"Monthly*")=0,"",SUMIFS('BSE - SENSEX Index Options'!$M:$M,'BSE - SENSEX Index Options'!$E:$E,F$4,'BSE - SENSEX Index Options'!$I:$I,"Monthly*"))</f>
        <v/>
      </c>
      <c r="G15" s="65">
        <f>IF(SUMIFS('BSE - SENSEX Index Options'!$M:$M,'BSE - SENSEX Index Options'!$E:$E,G$4,'BSE - SENSEX Index Options'!$I:$I,"Monthly*")=0,"",SUMIFS('BSE - SENSEX Index Options'!$M:$M,'BSE - SENSEX Index Options'!$E:$E,G$4,'BSE - SENSEX Index Options'!$I:$I,"Monthly*"))</f>
        <v/>
      </c>
      <c r="H15" s="65">
        <f>IF(SUM(C15:G15)=0,"",SUM(C15:G15))</f>
        <v/>
      </c>
      <c r="I15" s="26">
        <f>IF(G15="","",G15*$K$1/$K$2)</f>
        <v/>
      </c>
    </row>
    <row r="16">
      <c r="A16" s="63" t="inlineStr">
        <is>
          <t>SENSEX Index Options (BSE)</t>
        </is>
      </c>
      <c r="B16" s="63" t="inlineStr">
        <is>
          <t>Total</t>
        </is>
      </c>
      <c r="C16" s="65">
        <f>IF(SUM(C13:C15)=0,"",SUM(C13:C15))</f>
        <v/>
      </c>
      <c r="D16" s="65">
        <f>IF(SUM(D13:D15)=0,"",SUM(D13:D15))</f>
        <v/>
      </c>
      <c r="E16" s="65">
        <f>IF(SUM(E13:E15)=0,"",SUM(E13:E15))</f>
        <v/>
      </c>
      <c r="F16" s="65">
        <f>IF(SUM(F13:F15)=0,"",SUM(F13:F15))</f>
        <v/>
      </c>
      <c r="G16" s="65">
        <f>IF(SUM(G13:G15)=0,"",SUM(G13:G15))</f>
        <v/>
      </c>
      <c r="H16" s="65">
        <f>IF(SUM(H13:H15)=0,"",SUM(H13:H15))</f>
        <v/>
      </c>
      <c r="I16" s="73">
        <f>IF(G16="","",G16*$K$1/$K$2)</f>
        <v/>
      </c>
    </row>
    <row r="17">
      <c r="A17" t="inlineStr">
        <is>
          <t>Other Index Options (BSE)</t>
        </is>
      </c>
      <c r="B17" t="inlineStr">
        <is>
          <t>Weekly</t>
        </is>
      </c>
      <c r="C17" s="65">
        <f>IF(SUMIFS('BSE - Other Index Options'!$M:$M,'BSE - Other Index Options'!$E:$E,C$4,'BSE - Other Index Options'!$I:$I,"Weekly*")=0,"",SUMIFS('BSE - Other Index Options'!$M:$M,'BSE - Other Index Options'!$E:$E,C$4,'BSE - Other Index Options'!$I:$I,"Weekly*"))</f>
        <v/>
      </c>
      <c r="D17" s="65">
        <f>IF(SUMIFS('BSE - Other Index Options'!$M:$M,'BSE - Other Index Options'!$E:$E,D$4,'BSE - Other Index Options'!$I:$I,"Weekly*")=0,"",SUMIFS('BSE - Other Index Options'!$M:$M,'BSE - Other Index Options'!$E:$E,D$4,'BSE - Other Index Options'!$I:$I,"Weekly*"))</f>
        <v/>
      </c>
      <c r="E17" s="65">
        <f>IF(SUMIFS('BSE - Other Index Options'!$M:$M,'BSE - Other Index Options'!$E:$E,E$4,'BSE - Other Index Options'!$I:$I,"Weekly*")=0,"",SUMIFS('BSE - Other Index Options'!$M:$M,'BSE - Other Index Options'!$E:$E,E$4,'BSE - Other Index Options'!$I:$I,"Weekly*"))</f>
        <v/>
      </c>
      <c r="F17" s="65">
        <f>IF(SUMIFS('BSE - Other Index Options'!$M:$M,'BSE - Other Index Options'!$E:$E,F$4,'BSE - Other Index Options'!$I:$I,"Weekly*")=0,"",SUMIFS('BSE - Other Index Options'!$M:$M,'BSE - Other Index Options'!$E:$E,F$4,'BSE - Other Index Options'!$I:$I,"Weekly*"))</f>
        <v/>
      </c>
      <c r="G17" s="65">
        <f>IF(SUMIFS('BSE - Other Index Options'!$M:$M,'BSE - Other Index Options'!$E:$E,G$4,'BSE - Other Index Options'!$I:$I,"Weekly*")=0,"",SUMIFS('BSE - Other Index Options'!$M:$M,'BSE - Other Index Options'!$E:$E,G$4,'BSE - Other Index Options'!$I:$I,"Weekly*"))</f>
        <v/>
      </c>
      <c r="H17" s="65">
        <f>IF(SUM(C17:G17)=0,"",SUM(C17:G17))</f>
        <v/>
      </c>
      <c r="I17" s="26">
        <f>IF(G17="","",G17*$K$1/$K$2)</f>
        <v/>
      </c>
    </row>
    <row r="18">
      <c r="A18" t="inlineStr">
        <is>
          <t>Other Index Options (BSE)</t>
        </is>
      </c>
      <c r="B18" t="inlineStr">
        <is>
          <t>MDAW</t>
        </is>
      </c>
      <c r="C18" s="65">
        <f>IF(SUMIFS('BSE - Other Index Options'!$M:$M,'BSE - Other Index Options'!$E:$E,C$4,'BSE - Other Index Options'!$I:$I,"MDAW*")=0,"",SUMIFS('BSE - Other Index Options'!$M:$M,'BSE - Other Index Options'!$E:$E,C$4,'BSE - Other Index Options'!$I:$I,"MDAW*"))</f>
        <v/>
      </c>
      <c r="D18" s="65">
        <f>IF(SUMIFS('BSE - Other Index Options'!$M:$M,'BSE - Other Index Options'!$E:$E,D$4,'BSE - Other Index Options'!$I:$I,"MDAW*")=0,"",SUMIFS('BSE - Other Index Options'!$M:$M,'BSE - Other Index Options'!$E:$E,D$4,'BSE - Other Index Options'!$I:$I,"MDAW*"))</f>
        <v/>
      </c>
      <c r="E18" s="65">
        <f>IF(SUMIFS('BSE - Other Index Options'!$M:$M,'BSE - Other Index Options'!$E:$E,E$4,'BSE - Other Index Options'!$I:$I,"MDAW*")=0,"",SUMIFS('BSE - Other Index Options'!$M:$M,'BSE - Other Index Options'!$E:$E,E$4,'BSE - Other Index Options'!$I:$I,"MDAW*"))</f>
        <v/>
      </c>
      <c r="F18" s="65">
        <f>IF(SUMIFS('BSE - Other Index Options'!$M:$M,'BSE - Other Index Options'!$E:$E,F$4,'BSE - Other Index Options'!$I:$I,"MDAW*")=0,"",SUMIFS('BSE - Other Index Options'!$M:$M,'BSE - Other Index Options'!$E:$E,F$4,'BSE - Other Index Options'!$I:$I,"MDAW*"))</f>
        <v/>
      </c>
      <c r="G18" s="65">
        <f>IF(SUMIFS('BSE - Other Index Options'!$M:$M,'BSE - Other Index Options'!$E:$E,G$4,'BSE - Other Index Options'!$I:$I,"MDAW*")=0,"",SUMIFS('BSE - Other Index Options'!$M:$M,'BSE - Other Index Options'!$E:$E,G$4,'BSE - Other Index Options'!$I:$I,"MDAW*"))</f>
        <v/>
      </c>
      <c r="H18" s="65">
        <f>IF(SUM(C18:G18)=0,"",SUM(C18:G18))</f>
        <v/>
      </c>
      <c r="I18" s="26">
        <f>IF(G18="","",G18*$K$1/$K$2)</f>
        <v/>
      </c>
    </row>
    <row r="19">
      <c r="A19" t="inlineStr">
        <is>
          <t>Other Index Options (BSE)</t>
        </is>
      </c>
      <c r="B19" t="inlineStr">
        <is>
          <t>Monthly</t>
        </is>
      </c>
      <c r="C19" s="65">
        <f>IF(SUMIFS('BSE - Other Index Options'!$M:$M,'BSE - Other Index Options'!$E:$E,C$4,'BSE - Other Index Options'!$I:$I,"Monthly*")=0,"",SUMIFS('BSE - Other Index Options'!$M:$M,'BSE - Other Index Options'!$E:$E,C$4,'BSE - Other Index Options'!$I:$I,"Monthly*"))</f>
        <v/>
      </c>
      <c r="D19" s="65">
        <f>IF(SUMIFS('BSE - Other Index Options'!$M:$M,'BSE - Other Index Options'!$E:$E,D$4,'BSE - Other Index Options'!$I:$I,"Monthly*")=0,"",SUMIFS('BSE - Other Index Options'!$M:$M,'BSE - Other Index Options'!$E:$E,D$4,'BSE - Other Index Options'!$I:$I,"Monthly*"))</f>
        <v/>
      </c>
      <c r="E19" s="65">
        <f>IF(SUMIFS('BSE - Other Index Options'!$M:$M,'BSE - Other Index Options'!$E:$E,E$4,'BSE - Other Index Options'!$I:$I,"Monthly*")=0,"",SUMIFS('BSE - Other Index Options'!$M:$M,'BSE - Other Index Options'!$E:$E,E$4,'BSE - Other Index Options'!$I:$I,"Monthly*"))</f>
        <v/>
      </c>
      <c r="F19" s="65">
        <f>IF(SUMIFS('BSE - Other Index Options'!$M:$M,'BSE - Other Index Options'!$E:$E,F$4,'BSE - Other Index Options'!$I:$I,"Monthly*")=0,"",SUMIFS('BSE - Other Index Options'!$M:$M,'BSE - Other Index Options'!$E:$E,F$4,'BSE - Other Index Options'!$I:$I,"Monthly*"))</f>
        <v/>
      </c>
      <c r="G19" s="65">
        <f>IF(SUMIFS('BSE - Other Index Options'!$M:$M,'BSE - Other Index Options'!$E:$E,G$4,'BSE - Other Index Options'!$I:$I,"Monthly*")=0,"",SUMIFS('BSE - Other Index Options'!$M:$M,'BSE - Other Index Options'!$E:$E,G$4,'BSE - Other Index Options'!$I:$I,"Monthly*"))</f>
        <v/>
      </c>
      <c r="H19" s="65">
        <f>IF(SUM(C19:G19)=0,"",SUM(C19:G19))</f>
        <v/>
      </c>
      <c r="I19" s="26">
        <f>IF(G19="","",G19*$K$1/$K$2)</f>
        <v/>
      </c>
    </row>
    <row r="20">
      <c r="A20" s="63" t="inlineStr">
        <is>
          <t>Other Index Options (BSE)</t>
        </is>
      </c>
      <c r="B20" s="63" t="inlineStr">
        <is>
          <t>Total</t>
        </is>
      </c>
      <c r="C20" s="65">
        <f>IF(SUM(C17:C19)=0,"",SUM(C17:C19))</f>
        <v/>
      </c>
      <c r="D20" s="65">
        <f>IF(SUM(D17:D19)=0,"",SUM(D17:D19))</f>
        <v/>
      </c>
      <c r="E20" s="65">
        <f>IF(SUM(E17:E19)=0,"",SUM(E17:E19))</f>
        <v/>
      </c>
      <c r="F20" s="65">
        <f>IF(SUM(F17:F19)=0,"",SUM(F17:F19))</f>
        <v/>
      </c>
      <c r="G20" s="65">
        <f>IF(SUM(G17:G19)=0,"",SUM(G17:G19))</f>
        <v/>
      </c>
      <c r="H20" s="65">
        <f>IF(SUM(H17:H19)=0,"",SUM(H17:H19))</f>
        <v/>
      </c>
      <c r="I20" s="73">
        <f>IF(G20="","",G20*$K$1/$K$2)</f>
        <v/>
      </c>
    </row>
    <row r="21">
      <c r="C21" s="65" t="n"/>
      <c r="D21" s="65" t="n"/>
      <c r="E21" s="65" t="n"/>
      <c r="F21" s="65" t="n"/>
      <c r="G21" s="65" t="n"/>
      <c r="H21" s="65" t="n"/>
    </row>
    <row r="22">
      <c r="A22" s="63" t="inlineStr">
        <is>
          <t>NSE Total</t>
        </is>
      </c>
      <c r="C22" s="65">
        <f>IF(SUM(C8)+SUM(C12)=0,"",SUM(C8)+SUM(C12))</f>
        <v/>
      </c>
      <c r="D22" s="65">
        <f>IF(SUM(D8)+SUM(D12)=0,"",SUM(D8)+SUM(D12))</f>
        <v/>
      </c>
      <c r="E22" s="65">
        <f>IF(SUM(E8)+SUM(E12)=0,"",SUM(E8)+SUM(E12))</f>
        <v/>
      </c>
      <c r="F22" s="65">
        <f>IF(SUM(F8)+SUM(F12)=0,"",SUM(F8)+SUM(F12))</f>
        <v/>
      </c>
      <c r="G22" s="65">
        <f>IF(SUM(G8)+SUM(G12)=0,"",SUM(G8)+SUM(G12))</f>
        <v/>
      </c>
      <c r="H22" s="65">
        <f>IF(SUM(H8)+SUM(H12)=0,"",SUM(H8)+SUM(H12))</f>
        <v/>
      </c>
      <c r="I22" s="73">
        <f>IF(G22="","",G22*$K$1/$K$2)</f>
        <v/>
      </c>
    </row>
    <row r="23">
      <c r="A23" s="63" t="inlineStr">
        <is>
          <t>BSE Total</t>
        </is>
      </c>
      <c r="C23" s="65">
        <f>IF(SUM(C16)+SUM(C20)=0,"",SUM(C16)+SUM(C20))</f>
        <v/>
      </c>
      <c r="D23" s="65">
        <f>IF(SUM(D16)+SUM(D20)=0,"",SUM(D16)+SUM(D20))</f>
        <v/>
      </c>
      <c r="E23" s="65">
        <f>IF(SUM(E16)+SUM(E20)=0,"",SUM(E16)+SUM(E20))</f>
        <v/>
      </c>
      <c r="F23" s="65">
        <f>IF(SUM(F16)+SUM(F20)=0,"",SUM(F16)+SUM(F20))</f>
        <v/>
      </c>
      <c r="G23" s="65">
        <f>IF(SUM(G16)+SUM(G20)=0,"",SUM(G16)+SUM(G20))</f>
        <v/>
      </c>
      <c r="H23" s="65">
        <f>IF(SUM(H16)+SUM(H20)=0,"",SUM(H16)+SUM(H20))</f>
        <v/>
      </c>
      <c r="I23" s="73">
        <f>IF(G23="","",G23*$K$1/$K$2)</f>
        <v/>
      </c>
    </row>
    <row r="24">
      <c r="A24" s="63" t="inlineStr">
        <is>
          <t>GRAND TOTAL</t>
        </is>
      </c>
      <c r="C24" s="65">
        <f>IF(SUM(C22,C23)=0,"",SUM(C22,C23))</f>
        <v/>
      </c>
      <c r="D24" s="65">
        <f>IF(SUM(D22,D23)=0,"",SUM(D22,D23))</f>
        <v/>
      </c>
      <c r="E24" s="65">
        <f>IF(SUM(E22,E23)=0,"",SUM(E22,E23))</f>
        <v/>
      </c>
      <c r="F24" s="65">
        <f>IF(SUM(F22,F23)=0,"",SUM(F22,F23))</f>
        <v/>
      </c>
      <c r="G24" s="65">
        <f>IF(SUM(G22,G23)=0,"",SUM(G22,G23))</f>
        <v/>
      </c>
      <c r="H24" s="65">
        <f>IF(SUM(H22,H23)=0,"",SUM(H22,H23))</f>
        <v/>
      </c>
      <c r="I24" s="73">
        <f>IF(G24="","",G24*$K$1/$K$2)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tabSelected="1" workbookViewId="0">
      <selection activeCell="A1" sqref="A1"/>
    </sheetView>
  </sheetViews>
  <sheetFormatPr baseColWidth="10" defaultColWidth="8.83203125" defaultRowHeight="16"/>
  <cols>
    <col width="16" customWidth="1" min="1" max="1"/>
    <col width="14" customWidth="1" min="2" max="8"/>
    <col width="26" customWidth="1" min="10" max="10"/>
    <col width="13" customWidth="1" min="11" max="17"/>
    <col width="22" customWidth="1" min="19" max="19"/>
    <col width="8" customWidth="1" min="20" max="20"/>
  </cols>
  <sheetData>
    <row r="1">
      <c r="A1" s="66" t="inlineStr">
        <is>
          <t>Exhibit 2 — Quarterly Premium Turnover by Trade Day, WEEKLY + MDAW (Expiry Type 2), NSE vs BSE (INR Bn)</t>
        </is>
      </c>
      <c r="J1" s="71" t="inlineStr">
        <is>
          <t>Expected trading days Q2FY27:</t>
        </is>
      </c>
      <c r="K1" t="n">
        <v>65</v>
      </c>
      <c r="S1" s="75" t="inlineStr">
        <is>
          <t>Cuts / Scope</t>
        </is>
      </c>
    </row>
    <row r="2">
      <c r="A2" s="67" t="inlineStr">
        <is>
          <t>Same analysis as Analysis4 but at fiscal-quarter level (Q2FY26 = Sep-2025 start; Q2FY27 partial, live). Weekly + MDAW = weekly contracts plus monthly contracts in their final 6 days (front-week trading); Monthly excluded. All index options, both exchanges. MDAW = a monthly contract acting as the front weekly (NIFTY &amp; SENSEX only).</t>
        </is>
      </c>
      <c r="J2" s="71" t="inlineStr">
        <is>
          <t>Trading days elapsed (live):</t>
        </is>
      </c>
      <c r="K2">
        <f>SUMPRODUCT(('NSE - NIFTY Index Options'!$E$2:$E$9000="Q2FY27")/COUNTIFS('NSE - NIFTY Index Options'!$A$2:$A$9000,'NSE - NIFTY Index Options'!$A$2:$A$9000&amp;"",'NSE - NIFTY Index Options'!$E$2:$E$9000,'NSE - NIFTY Index Options'!$E$2:$E$9000&amp;""))</f>
        <v/>
      </c>
      <c r="S2" t="inlineStr">
        <is>
          <t>Index Options</t>
        </is>
      </c>
      <c r="T2" s="76" t="inlineStr">
        <is>
          <t>Yes</t>
        </is>
      </c>
    </row>
    <row r="3">
      <c r="S3" t="inlineStr">
        <is>
          <t>Stock Options</t>
        </is>
      </c>
      <c r="T3" s="58" t="inlineStr">
        <is>
          <t>No</t>
        </is>
      </c>
    </row>
    <row r="4">
      <c r="A4" s="68" t="inlineStr">
        <is>
          <t>NSE Premium Turnover (INR Bn)</t>
        </is>
      </c>
      <c r="J4" s="71" t="inlineStr">
        <is>
          <t>Q2FY27 Implied Full Quarter (Weekly + MDAW, INR Bn) = Q2FY27 × expected/elapsed days</t>
        </is>
      </c>
      <c r="S4" t="inlineStr">
        <is>
          <t>Index Futures</t>
        </is>
      </c>
      <c r="T4" s="58" t="inlineStr">
        <is>
          <t>No</t>
        </is>
      </c>
    </row>
    <row r="5">
      <c r="A5" s="68" t="inlineStr">
        <is>
          <t>Trade Quarter</t>
        </is>
      </c>
      <c r="B5" s="68" t="inlineStr">
        <is>
          <t>Monday</t>
        </is>
      </c>
      <c r="C5" s="68" t="inlineStr">
        <is>
          <t>Tuesday</t>
        </is>
      </c>
      <c r="D5" s="68" t="inlineStr">
        <is>
          <t>Wednesday</t>
        </is>
      </c>
      <c r="E5" s="68" t="inlineStr">
        <is>
          <t>Thursday</t>
        </is>
      </c>
      <c r="F5" s="68" t="inlineStr">
        <is>
          <t>Friday</t>
        </is>
      </c>
      <c r="G5" s="68" t="inlineStr">
        <is>
          <t>Sunday</t>
        </is>
      </c>
      <c r="H5" s="68" t="inlineStr">
        <is>
          <t>Total</t>
        </is>
      </c>
      <c r="J5" s="71" t="n"/>
      <c r="K5" s="71" t="inlineStr">
        <is>
          <t>Monday</t>
        </is>
      </c>
      <c r="L5" s="71" t="inlineStr">
        <is>
          <t>Tuesday</t>
        </is>
      </c>
      <c r="M5" s="71" t="inlineStr">
        <is>
          <t>Wednesday</t>
        </is>
      </c>
      <c r="N5" s="71" t="inlineStr">
        <is>
          <t>Thursday</t>
        </is>
      </c>
      <c r="O5" s="71" t="inlineStr">
        <is>
          <t>Friday</t>
        </is>
      </c>
      <c r="P5" s="71" t="inlineStr">
        <is>
          <t>Sunday</t>
        </is>
      </c>
      <c r="Q5" s="71" t="inlineStr">
        <is>
          <t>Total</t>
        </is>
      </c>
      <c r="S5" t="inlineStr">
        <is>
          <t>NSE</t>
        </is>
      </c>
      <c r="T5" s="76" t="inlineStr">
        <is>
          <t>Yes</t>
        </is>
      </c>
    </row>
    <row r="6">
      <c r="A6" t="inlineStr">
        <is>
          <t>Q2FY26</t>
        </is>
      </c>
      <c r="B6" s="26">
        <f>IF(SUMIFS('NSE - NIFTY Index Options'!$M:$M,'NSE - NIFTY Index Options'!$E:$E,$A6,'NSE - NIFTY Index Options'!$B:$B,B$5,'NSE - NIFTY Index Options'!$I:$I,"Weekly*")+SUMIFS('NSE - NIFTY Index Options'!$M:$M,'NSE - NIFTY Index Options'!$E:$E,$A6,'NSE - NIFTY Index Options'!$B:$B,B$5,'NSE - NIFTY Index Options'!$I:$I,"MDAW*")+SUMIFS('NSE - Other Index Options'!$M:$M,'NSE - Other Index Options'!$E:$E,$A6,'NSE - Other Index Options'!$B:$B,B$5,'NSE - Other Index Options'!$I:$I,"Weekly*")+SUMIFS('NSE - Other Index Options'!$M:$M,'NSE - Other Index Options'!$E:$E,$A6,'NSE - Other Index Options'!$B:$B,B$5,'NSE - Other Index Options'!$I:$I,"MDAW*")=0,"",SUMIFS('NSE - NIFTY Index Options'!$M:$M,'NSE - NIFTY Index Options'!$E:$E,$A6,'NSE - NIFTY Index Options'!$B:$B,B$5,'NSE - NIFTY Index Options'!$I:$I,"Weekly*")+SUMIFS('NSE - NIFTY Index Options'!$M:$M,'NSE - NIFTY Index Options'!$E:$E,$A6,'NSE - NIFTY Index Options'!$B:$B,B$5,'NSE - NIFTY Index Options'!$I:$I,"MDAW*")+SUMIFS('NSE - Other Index Options'!$M:$M,'NSE - Other Index Options'!$E:$E,$A6,'NSE - Other Index Options'!$B:$B,B$5,'NSE - Other Index Options'!$I:$I,"Weekly*")+SUMIFS('NSE - Other Index Options'!$M:$M,'NSE - Other Index Options'!$E:$E,$A6,'NSE - Other Index Options'!$B:$B,B$5,'NSE - Other Index Options'!$I:$I,"MDAW*"))</f>
        <v/>
      </c>
      <c r="C6" s="26">
        <f>IF(SUMIFS('NSE - NIFTY Index Options'!$M:$M,'NSE - NIFTY Index Options'!$E:$E,$A6,'NSE - NIFTY Index Options'!$B:$B,C$5,'NSE - NIFTY Index Options'!$I:$I,"Weekly*")+SUMIFS('NSE - NIFTY Index Options'!$M:$M,'NSE - NIFTY Index Options'!$E:$E,$A6,'NSE - NIFTY Index Options'!$B:$B,C$5,'NSE - NIFTY Index Options'!$I:$I,"MDAW*")+SUMIFS('NSE - Other Index Options'!$M:$M,'NSE - Other Index Options'!$E:$E,$A6,'NSE - Other Index Options'!$B:$B,C$5,'NSE - Other Index Options'!$I:$I,"Weekly*")+SUMIFS('NSE - Other Index Options'!$M:$M,'NSE - Other Index Options'!$E:$E,$A6,'NSE - Other Index Options'!$B:$B,C$5,'NSE - Other Index Options'!$I:$I,"MDAW*")=0,"",SUMIFS('NSE - NIFTY Index Options'!$M:$M,'NSE - NIFTY Index Options'!$E:$E,$A6,'NSE - NIFTY Index Options'!$B:$B,C$5,'NSE - NIFTY Index Options'!$I:$I,"Weekly*")+SUMIFS('NSE - NIFTY Index Options'!$M:$M,'NSE - NIFTY Index Options'!$E:$E,$A6,'NSE - NIFTY Index Options'!$B:$B,C$5,'NSE - NIFTY Index Options'!$I:$I,"MDAW*")+SUMIFS('NSE - Other Index Options'!$M:$M,'NSE - Other Index Options'!$E:$E,$A6,'NSE - Other Index Options'!$B:$B,C$5,'NSE - Other Index Options'!$I:$I,"Weekly*")+SUMIFS('NSE - Other Index Options'!$M:$M,'NSE - Other Index Options'!$E:$E,$A6,'NSE - Other Index Options'!$B:$B,C$5,'NSE - Other Index Options'!$I:$I,"MDAW*"))</f>
        <v/>
      </c>
      <c r="D6" s="26">
        <f>IF(SUMIFS('NSE - NIFTY Index Options'!$M:$M,'NSE - NIFTY Index Options'!$E:$E,$A6,'NSE - NIFTY Index Options'!$B:$B,D$5,'NSE - NIFTY Index Options'!$I:$I,"Weekly*")+SUMIFS('NSE - NIFTY Index Options'!$M:$M,'NSE - NIFTY Index Options'!$E:$E,$A6,'NSE - NIFTY Index Options'!$B:$B,D$5,'NSE - NIFTY Index Options'!$I:$I,"MDAW*")+SUMIFS('NSE - Other Index Options'!$M:$M,'NSE - Other Index Options'!$E:$E,$A6,'NSE - Other Index Options'!$B:$B,D$5,'NSE - Other Index Options'!$I:$I,"Weekly*")+SUMIFS('NSE - Other Index Options'!$M:$M,'NSE - Other Index Options'!$E:$E,$A6,'NSE - Other Index Options'!$B:$B,D$5,'NSE - Other Index Options'!$I:$I,"MDAW*")=0,"",SUMIFS('NSE - NIFTY Index Options'!$M:$M,'NSE - NIFTY Index Options'!$E:$E,$A6,'NSE - NIFTY Index Options'!$B:$B,D$5,'NSE - NIFTY Index Options'!$I:$I,"Weekly*")+SUMIFS('NSE - NIFTY Index Options'!$M:$M,'NSE - NIFTY Index Options'!$E:$E,$A6,'NSE - NIFTY Index Options'!$B:$B,D$5,'NSE - NIFTY Index Options'!$I:$I,"MDAW*")+SUMIFS('NSE - Other Index Options'!$M:$M,'NSE - Other Index Options'!$E:$E,$A6,'NSE - Other Index Options'!$B:$B,D$5,'NSE - Other Index Options'!$I:$I,"Weekly*")+SUMIFS('NSE - Other Index Options'!$M:$M,'NSE - Other Index Options'!$E:$E,$A6,'NSE - Other Index Options'!$B:$B,D$5,'NSE - Other Index Options'!$I:$I,"MDAW*"))</f>
        <v/>
      </c>
      <c r="E6" s="26">
        <f>IF(SUMIFS('NSE - NIFTY Index Options'!$M:$M,'NSE - NIFTY Index Options'!$E:$E,$A6,'NSE - NIFTY Index Options'!$B:$B,E$5,'NSE - NIFTY Index Options'!$I:$I,"Weekly*")+SUMIFS('NSE - NIFTY Index Options'!$M:$M,'NSE - NIFTY Index Options'!$E:$E,$A6,'NSE - NIFTY Index Options'!$B:$B,E$5,'NSE - NIFTY Index Options'!$I:$I,"MDAW*")+SUMIFS('NSE - Other Index Options'!$M:$M,'NSE - Other Index Options'!$E:$E,$A6,'NSE - Other Index Options'!$B:$B,E$5,'NSE - Other Index Options'!$I:$I,"Weekly*")+SUMIFS('NSE - Other Index Options'!$M:$M,'NSE - Other Index Options'!$E:$E,$A6,'NSE - Other Index Options'!$B:$B,E$5,'NSE - Other Index Options'!$I:$I,"MDAW*")=0,"",SUMIFS('NSE - NIFTY Index Options'!$M:$M,'NSE - NIFTY Index Options'!$E:$E,$A6,'NSE - NIFTY Index Options'!$B:$B,E$5,'NSE - NIFTY Index Options'!$I:$I,"Weekly*")+SUMIFS('NSE - NIFTY Index Options'!$M:$M,'NSE - NIFTY Index Options'!$E:$E,$A6,'NSE - NIFTY Index Options'!$B:$B,E$5,'NSE - NIFTY Index Options'!$I:$I,"MDAW*")+SUMIFS('NSE - Other Index Options'!$M:$M,'NSE - Other Index Options'!$E:$E,$A6,'NSE - Other Index Options'!$B:$B,E$5,'NSE - Other Index Options'!$I:$I,"Weekly*")+SUMIFS('NSE - Other Index Options'!$M:$M,'NSE - Other Index Options'!$E:$E,$A6,'NSE - Other Index Options'!$B:$B,E$5,'NSE - Other Index Options'!$I:$I,"MDAW*"))</f>
        <v/>
      </c>
      <c r="F6" s="26">
        <f>IF(SUMIFS('NSE - NIFTY Index Options'!$M:$M,'NSE - NIFTY Index Options'!$E:$E,$A6,'NSE - NIFTY Index Options'!$B:$B,F$5,'NSE - NIFTY Index Options'!$I:$I,"Weekly*")+SUMIFS('NSE - NIFTY Index Options'!$M:$M,'NSE - NIFTY Index Options'!$E:$E,$A6,'NSE - NIFTY Index Options'!$B:$B,F$5,'NSE - NIFTY Index Options'!$I:$I,"MDAW*")+SUMIFS('NSE - Other Index Options'!$M:$M,'NSE - Other Index Options'!$E:$E,$A6,'NSE - Other Index Options'!$B:$B,F$5,'NSE - Other Index Options'!$I:$I,"Weekly*")+SUMIFS('NSE - Other Index Options'!$M:$M,'NSE - Other Index Options'!$E:$E,$A6,'NSE - Other Index Options'!$B:$B,F$5,'NSE - Other Index Options'!$I:$I,"MDAW*")=0,"",SUMIFS('NSE - NIFTY Index Options'!$M:$M,'NSE - NIFTY Index Options'!$E:$E,$A6,'NSE - NIFTY Index Options'!$B:$B,F$5,'NSE - NIFTY Index Options'!$I:$I,"Weekly*")+SUMIFS('NSE - NIFTY Index Options'!$M:$M,'NSE - NIFTY Index Options'!$E:$E,$A6,'NSE - NIFTY Index Options'!$B:$B,F$5,'NSE - NIFTY Index Options'!$I:$I,"MDAW*")+SUMIFS('NSE - Other Index Options'!$M:$M,'NSE - Other Index Options'!$E:$E,$A6,'NSE - Other Index Options'!$B:$B,F$5,'NSE - Other Index Options'!$I:$I,"Weekly*")+SUMIFS('NSE - Other Index Options'!$M:$M,'NSE - Other Index Options'!$E:$E,$A6,'NSE - Other Index Options'!$B:$B,F$5,'NSE - Other Index Options'!$I:$I,"MDAW*"))</f>
        <v/>
      </c>
      <c r="G6" s="26">
        <f>IF(SUMIFS('NSE - NIFTY Index Options'!$M:$M,'NSE - NIFTY Index Options'!$E:$E,$A6,'NSE - NIFTY Index Options'!$B:$B,G$5,'NSE - NIFTY Index Options'!$I:$I,"Weekly*")+SUMIFS('NSE - NIFTY Index Options'!$M:$M,'NSE - NIFTY Index Options'!$E:$E,$A6,'NSE - NIFTY Index Options'!$B:$B,G$5,'NSE - NIFTY Index Options'!$I:$I,"MDAW*")+SUMIFS('NSE - Other Index Options'!$M:$M,'NSE - Other Index Options'!$E:$E,$A6,'NSE - Other Index Options'!$B:$B,G$5,'NSE - Other Index Options'!$I:$I,"Weekly*")+SUMIFS('NSE - Other Index Options'!$M:$M,'NSE - Other Index Options'!$E:$E,$A6,'NSE - Other Index Options'!$B:$B,G$5,'NSE - Other Index Options'!$I:$I,"MDAW*")=0,"",SUMIFS('NSE - NIFTY Index Options'!$M:$M,'NSE - NIFTY Index Options'!$E:$E,$A6,'NSE - NIFTY Index Options'!$B:$B,G$5,'NSE - NIFTY Index Options'!$I:$I,"Weekly*")+SUMIFS('NSE - NIFTY Index Options'!$M:$M,'NSE - NIFTY Index Options'!$E:$E,$A6,'NSE - NIFTY Index Options'!$B:$B,G$5,'NSE - NIFTY Index Options'!$I:$I,"MDAW*")+SUMIFS('NSE - Other Index Options'!$M:$M,'NSE - Other Index Options'!$E:$E,$A6,'NSE - Other Index Options'!$B:$B,G$5,'NSE - Other Index Options'!$I:$I,"Weekly*")+SUMIFS('NSE - Other Index Options'!$M:$M,'NSE - Other Index Options'!$E:$E,$A6,'NSE - Other Index Options'!$B:$B,G$5,'NSE - Other Index Options'!$I:$I,"MDAW*"))</f>
        <v/>
      </c>
      <c r="H6" s="26">
        <f>IF(SUM(B6:G6)=0,"",SUM(B6:G6))</f>
        <v/>
      </c>
      <c r="J6" s="71" t="inlineStr">
        <is>
          <t>NSE</t>
        </is>
      </c>
      <c r="K6" s="26">
        <f>IF(B10="","",B10*$K$1/$K$2)</f>
        <v/>
      </c>
      <c r="L6" s="26">
        <f>IF(C10="","",C10*$K$1/$K$2)</f>
        <v/>
      </c>
      <c r="M6" s="26">
        <f>IF(D10="","",D10*$K$1/$K$2)</f>
        <v/>
      </c>
      <c r="N6" s="26">
        <f>IF(E10="","",E10*$K$1/$K$2)</f>
        <v/>
      </c>
      <c r="O6" s="26">
        <f>IF(F10="","",F10*$K$1/$K$2)</f>
        <v/>
      </c>
      <c r="P6" s="26">
        <f>IF(G10="","",G10*$K$1/$K$2)</f>
        <v/>
      </c>
      <c r="Q6" s="26">
        <f>IF(H10="","",H10*$K$1/$K$2)</f>
        <v/>
      </c>
      <c r="S6" t="inlineStr">
        <is>
          <t>BSE</t>
        </is>
      </c>
      <c r="T6" s="76" t="inlineStr">
        <is>
          <t>Yes</t>
        </is>
      </c>
    </row>
    <row r="7">
      <c r="A7" t="inlineStr">
        <is>
          <t>Q3FY26</t>
        </is>
      </c>
      <c r="B7" s="26">
        <f>IF(SUMIFS('NSE - NIFTY Index Options'!$M:$M,'NSE - NIFTY Index Options'!$E:$E,$A7,'NSE - NIFTY Index Options'!$B:$B,B$5,'NSE - NIFTY Index Options'!$I:$I,"Weekly*")+SUMIFS('NSE - NIFTY Index Options'!$M:$M,'NSE - NIFTY Index Options'!$E:$E,$A7,'NSE - NIFTY Index Options'!$B:$B,B$5,'NSE - NIFTY Index Options'!$I:$I,"MDAW*")+SUMIFS('NSE - Other Index Options'!$M:$M,'NSE - Other Index Options'!$E:$E,$A7,'NSE - Other Index Options'!$B:$B,B$5,'NSE - Other Index Options'!$I:$I,"Weekly*")+SUMIFS('NSE - Other Index Options'!$M:$M,'NSE - Other Index Options'!$E:$E,$A7,'NSE - Other Index Options'!$B:$B,B$5,'NSE - Other Index Options'!$I:$I,"MDAW*")=0,"",SUMIFS('NSE - NIFTY Index Options'!$M:$M,'NSE - NIFTY Index Options'!$E:$E,$A7,'NSE - NIFTY Index Options'!$B:$B,B$5,'NSE - NIFTY Index Options'!$I:$I,"Weekly*")+SUMIFS('NSE - NIFTY Index Options'!$M:$M,'NSE - NIFTY Index Options'!$E:$E,$A7,'NSE - NIFTY Index Options'!$B:$B,B$5,'NSE - NIFTY Index Options'!$I:$I,"MDAW*")+SUMIFS('NSE - Other Index Options'!$M:$M,'NSE - Other Index Options'!$E:$E,$A7,'NSE - Other Index Options'!$B:$B,B$5,'NSE - Other Index Options'!$I:$I,"Weekly*")+SUMIFS('NSE - Other Index Options'!$M:$M,'NSE - Other Index Options'!$E:$E,$A7,'NSE - Other Index Options'!$B:$B,B$5,'NSE - Other Index Options'!$I:$I,"MDAW*"))</f>
        <v/>
      </c>
      <c r="C7" s="26">
        <f>IF(SUMIFS('NSE - NIFTY Index Options'!$M:$M,'NSE - NIFTY Index Options'!$E:$E,$A7,'NSE - NIFTY Index Options'!$B:$B,C$5,'NSE - NIFTY Index Options'!$I:$I,"Weekly*")+SUMIFS('NSE - NIFTY Index Options'!$M:$M,'NSE - NIFTY Index Options'!$E:$E,$A7,'NSE - NIFTY Index Options'!$B:$B,C$5,'NSE - NIFTY Index Options'!$I:$I,"MDAW*")+SUMIFS('NSE - Other Index Options'!$M:$M,'NSE - Other Index Options'!$E:$E,$A7,'NSE - Other Index Options'!$B:$B,C$5,'NSE - Other Index Options'!$I:$I,"Weekly*")+SUMIFS('NSE - Other Index Options'!$M:$M,'NSE - Other Index Options'!$E:$E,$A7,'NSE - Other Index Options'!$B:$B,C$5,'NSE - Other Index Options'!$I:$I,"MDAW*")=0,"",SUMIFS('NSE - NIFTY Index Options'!$M:$M,'NSE - NIFTY Index Options'!$E:$E,$A7,'NSE - NIFTY Index Options'!$B:$B,C$5,'NSE - NIFTY Index Options'!$I:$I,"Weekly*")+SUMIFS('NSE - NIFTY Index Options'!$M:$M,'NSE - NIFTY Index Options'!$E:$E,$A7,'NSE - NIFTY Index Options'!$B:$B,C$5,'NSE - NIFTY Index Options'!$I:$I,"MDAW*")+SUMIFS('NSE - Other Index Options'!$M:$M,'NSE - Other Index Options'!$E:$E,$A7,'NSE - Other Index Options'!$B:$B,C$5,'NSE - Other Index Options'!$I:$I,"Weekly*")+SUMIFS('NSE - Other Index Options'!$M:$M,'NSE - Other Index Options'!$E:$E,$A7,'NSE - Other Index Options'!$B:$B,C$5,'NSE - Other Index Options'!$I:$I,"MDAW*"))</f>
        <v/>
      </c>
      <c r="D7" s="26">
        <f>IF(SUMIFS('NSE - NIFTY Index Options'!$M:$M,'NSE - NIFTY Index Options'!$E:$E,$A7,'NSE - NIFTY Index Options'!$B:$B,D$5,'NSE - NIFTY Index Options'!$I:$I,"Weekly*")+SUMIFS('NSE - NIFTY Index Options'!$M:$M,'NSE - NIFTY Index Options'!$E:$E,$A7,'NSE - NIFTY Index Options'!$B:$B,D$5,'NSE - NIFTY Index Options'!$I:$I,"MDAW*")+SUMIFS('NSE - Other Index Options'!$M:$M,'NSE - Other Index Options'!$E:$E,$A7,'NSE - Other Index Options'!$B:$B,D$5,'NSE - Other Index Options'!$I:$I,"Weekly*")+SUMIFS('NSE - Other Index Options'!$M:$M,'NSE - Other Index Options'!$E:$E,$A7,'NSE - Other Index Options'!$B:$B,D$5,'NSE - Other Index Options'!$I:$I,"MDAW*")=0,"",SUMIFS('NSE - NIFTY Index Options'!$M:$M,'NSE - NIFTY Index Options'!$E:$E,$A7,'NSE - NIFTY Index Options'!$B:$B,D$5,'NSE - NIFTY Index Options'!$I:$I,"Weekly*")+SUMIFS('NSE - NIFTY Index Options'!$M:$M,'NSE - NIFTY Index Options'!$E:$E,$A7,'NSE - NIFTY Index Options'!$B:$B,D$5,'NSE - NIFTY Index Options'!$I:$I,"MDAW*")+SUMIFS('NSE - Other Index Options'!$M:$M,'NSE - Other Index Options'!$E:$E,$A7,'NSE - Other Index Options'!$B:$B,D$5,'NSE - Other Index Options'!$I:$I,"Weekly*")+SUMIFS('NSE - Other Index Options'!$M:$M,'NSE - Other Index Options'!$E:$E,$A7,'NSE - Other Index Options'!$B:$B,D$5,'NSE - Other Index Options'!$I:$I,"MDAW*"))</f>
        <v/>
      </c>
      <c r="E7" s="26">
        <f>IF(SUMIFS('NSE - NIFTY Index Options'!$M:$M,'NSE - NIFTY Index Options'!$E:$E,$A7,'NSE - NIFTY Index Options'!$B:$B,E$5,'NSE - NIFTY Index Options'!$I:$I,"Weekly*")+SUMIFS('NSE - NIFTY Index Options'!$M:$M,'NSE - NIFTY Index Options'!$E:$E,$A7,'NSE - NIFTY Index Options'!$B:$B,E$5,'NSE - NIFTY Index Options'!$I:$I,"MDAW*")+SUMIFS('NSE - Other Index Options'!$M:$M,'NSE - Other Index Options'!$E:$E,$A7,'NSE - Other Index Options'!$B:$B,E$5,'NSE - Other Index Options'!$I:$I,"Weekly*")+SUMIFS('NSE - Other Index Options'!$M:$M,'NSE - Other Index Options'!$E:$E,$A7,'NSE - Other Index Options'!$B:$B,E$5,'NSE - Other Index Options'!$I:$I,"MDAW*")=0,"",SUMIFS('NSE - NIFTY Index Options'!$M:$M,'NSE - NIFTY Index Options'!$E:$E,$A7,'NSE - NIFTY Index Options'!$B:$B,E$5,'NSE - NIFTY Index Options'!$I:$I,"Weekly*")+SUMIFS('NSE - NIFTY Index Options'!$M:$M,'NSE - NIFTY Index Options'!$E:$E,$A7,'NSE - NIFTY Index Options'!$B:$B,E$5,'NSE - NIFTY Index Options'!$I:$I,"MDAW*")+SUMIFS('NSE - Other Index Options'!$M:$M,'NSE - Other Index Options'!$E:$E,$A7,'NSE - Other Index Options'!$B:$B,E$5,'NSE - Other Index Options'!$I:$I,"Weekly*")+SUMIFS('NSE - Other Index Options'!$M:$M,'NSE - Other Index Options'!$E:$E,$A7,'NSE - Other Index Options'!$B:$B,E$5,'NSE - Other Index Options'!$I:$I,"MDAW*"))</f>
        <v/>
      </c>
      <c r="F7" s="26">
        <f>IF(SUMIFS('NSE - NIFTY Index Options'!$M:$M,'NSE - NIFTY Index Options'!$E:$E,$A7,'NSE - NIFTY Index Options'!$B:$B,F$5,'NSE - NIFTY Index Options'!$I:$I,"Weekly*")+SUMIFS('NSE - NIFTY Index Options'!$M:$M,'NSE - NIFTY Index Options'!$E:$E,$A7,'NSE - NIFTY Index Options'!$B:$B,F$5,'NSE - NIFTY Index Options'!$I:$I,"MDAW*")+SUMIFS('NSE - Other Index Options'!$M:$M,'NSE - Other Index Options'!$E:$E,$A7,'NSE - Other Index Options'!$B:$B,F$5,'NSE - Other Index Options'!$I:$I,"Weekly*")+SUMIFS('NSE - Other Index Options'!$M:$M,'NSE - Other Index Options'!$E:$E,$A7,'NSE - Other Index Options'!$B:$B,F$5,'NSE - Other Index Options'!$I:$I,"MDAW*")=0,"",SUMIFS('NSE - NIFTY Index Options'!$M:$M,'NSE - NIFTY Index Options'!$E:$E,$A7,'NSE - NIFTY Index Options'!$B:$B,F$5,'NSE - NIFTY Index Options'!$I:$I,"Weekly*")+SUMIFS('NSE - NIFTY Index Options'!$M:$M,'NSE - NIFTY Index Options'!$E:$E,$A7,'NSE - NIFTY Index Options'!$B:$B,F$5,'NSE - NIFTY Index Options'!$I:$I,"MDAW*")+SUMIFS('NSE - Other Index Options'!$M:$M,'NSE - Other Index Options'!$E:$E,$A7,'NSE - Other Index Options'!$B:$B,F$5,'NSE - Other Index Options'!$I:$I,"Weekly*")+SUMIFS('NSE - Other Index Options'!$M:$M,'NSE - Other Index Options'!$E:$E,$A7,'NSE - Other Index Options'!$B:$B,F$5,'NSE - Other Index Options'!$I:$I,"MDAW*"))</f>
        <v/>
      </c>
      <c r="G7" s="26">
        <f>IF(SUMIFS('NSE - NIFTY Index Options'!$M:$M,'NSE - NIFTY Index Options'!$E:$E,$A7,'NSE - NIFTY Index Options'!$B:$B,G$5,'NSE - NIFTY Index Options'!$I:$I,"Weekly*")+SUMIFS('NSE - NIFTY Index Options'!$M:$M,'NSE - NIFTY Index Options'!$E:$E,$A7,'NSE - NIFTY Index Options'!$B:$B,G$5,'NSE - NIFTY Index Options'!$I:$I,"MDAW*")+SUMIFS('NSE - Other Index Options'!$M:$M,'NSE - Other Index Options'!$E:$E,$A7,'NSE - Other Index Options'!$B:$B,G$5,'NSE - Other Index Options'!$I:$I,"Weekly*")+SUMIFS('NSE - Other Index Options'!$M:$M,'NSE - Other Index Options'!$E:$E,$A7,'NSE - Other Index Options'!$B:$B,G$5,'NSE - Other Index Options'!$I:$I,"MDAW*")=0,"",SUMIFS('NSE - NIFTY Index Options'!$M:$M,'NSE - NIFTY Index Options'!$E:$E,$A7,'NSE - NIFTY Index Options'!$B:$B,G$5,'NSE - NIFTY Index Options'!$I:$I,"Weekly*")+SUMIFS('NSE - NIFTY Index Options'!$M:$M,'NSE - NIFTY Index Options'!$E:$E,$A7,'NSE - NIFTY Index Options'!$B:$B,G$5,'NSE - NIFTY Index Options'!$I:$I,"MDAW*")+SUMIFS('NSE - Other Index Options'!$M:$M,'NSE - Other Index Options'!$E:$E,$A7,'NSE - Other Index Options'!$B:$B,G$5,'NSE - Other Index Options'!$I:$I,"Weekly*")+SUMIFS('NSE - Other Index Options'!$M:$M,'NSE - Other Index Options'!$E:$E,$A7,'NSE - Other Index Options'!$B:$B,G$5,'NSE - Other Index Options'!$I:$I,"MDAW*"))</f>
        <v/>
      </c>
      <c r="H7" s="26">
        <f>IF(SUM(B7:G7)=0,"",SUM(B7:G7))</f>
        <v/>
      </c>
      <c r="J7" s="71" t="inlineStr">
        <is>
          <t>BSE</t>
        </is>
      </c>
      <c r="K7" s="26">
        <f>IF(B19="","",B19*$K$1/$K$2)</f>
        <v/>
      </c>
      <c r="L7" s="26">
        <f>IF(C19="","",C19*$K$1/$K$2)</f>
        <v/>
      </c>
      <c r="M7" s="26">
        <f>IF(D19="","",D19*$K$1/$K$2)</f>
        <v/>
      </c>
      <c r="N7" s="26">
        <f>IF(E19="","",E19*$K$1/$K$2)</f>
        <v/>
      </c>
      <c r="O7" s="26">
        <f>IF(F19="","",F19*$K$1/$K$2)</f>
        <v/>
      </c>
      <c r="P7" s="26">
        <f>IF(G19="","",G19*$K$1/$K$2)</f>
        <v/>
      </c>
      <c r="Q7" s="26">
        <f>IF(H19="","",H19*$K$1/$K$2)</f>
        <v/>
      </c>
      <c r="S7" t="inlineStr">
        <is>
          <t>NIFTY Index</t>
        </is>
      </c>
      <c r="T7" s="76" t="inlineStr">
        <is>
          <t>Yes</t>
        </is>
      </c>
    </row>
    <row r="8">
      <c r="A8" t="inlineStr">
        <is>
          <t>Q4FY26</t>
        </is>
      </c>
      <c r="B8" s="26">
        <f>IF(SUMIFS('NSE - NIFTY Index Options'!$M:$M,'NSE - NIFTY Index Options'!$E:$E,$A8,'NSE - NIFTY Index Options'!$B:$B,B$5,'NSE - NIFTY Index Options'!$I:$I,"Weekly*")+SUMIFS('NSE - NIFTY Index Options'!$M:$M,'NSE - NIFTY Index Options'!$E:$E,$A8,'NSE - NIFTY Index Options'!$B:$B,B$5,'NSE - NIFTY Index Options'!$I:$I,"MDAW*")+SUMIFS('NSE - Other Index Options'!$M:$M,'NSE - Other Index Options'!$E:$E,$A8,'NSE - Other Index Options'!$B:$B,B$5,'NSE - Other Index Options'!$I:$I,"Weekly*")+SUMIFS('NSE - Other Index Options'!$M:$M,'NSE - Other Index Options'!$E:$E,$A8,'NSE - Other Index Options'!$B:$B,B$5,'NSE - Other Index Options'!$I:$I,"MDAW*")=0,"",SUMIFS('NSE - NIFTY Index Options'!$M:$M,'NSE - NIFTY Index Options'!$E:$E,$A8,'NSE - NIFTY Index Options'!$B:$B,B$5,'NSE - NIFTY Index Options'!$I:$I,"Weekly*")+SUMIFS('NSE - NIFTY Index Options'!$M:$M,'NSE - NIFTY Index Options'!$E:$E,$A8,'NSE - NIFTY Index Options'!$B:$B,B$5,'NSE - NIFTY Index Options'!$I:$I,"MDAW*")+SUMIFS('NSE - Other Index Options'!$M:$M,'NSE - Other Index Options'!$E:$E,$A8,'NSE - Other Index Options'!$B:$B,B$5,'NSE - Other Index Options'!$I:$I,"Weekly*")+SUMIFS('NSE - Other Index Options'!$M:$M,'NSE - Other Index Options'!$E:$E,$A8,'NSE - Other Index Options'!$B:$B,B$5,'NSE - Other Index Options'!$I:$I,"MDAW*"))</f>
        <v/>
      </c>
      <c r="C8" s="26">
        <f>IF(SUMIFS('NSE - NIFTY Index Options'!$M:$M,'NSE - NIFTY Index Options'!$E:$E,$A8,'NSE - NIFTY Index Options'!$B:$B,C$5,'NSE - NIFTY Index Options'!$I:$I,"Weekly*")+SUMIFS('NSE - NIFTY Index Options'!$M:$M,'NSE - NIFTY Index Options'!$E:$E,$A8,'NSE - NIFTY Index Options'!$B:$B,C$5,'NSE - NIFTY Index Options'!$I:$I,"MDAW*")+SUMIFS('NSE - Other Index Options'!$M:$M,'NSE - Other Index Options'!$E:$E,$A8,'NSE - Other Index Options'!$B:$B,C$5,'NSE - Other Index Options'!$I:$I,"Weekly*")+SUMIFS('NSE - Other Index Options'!$M:$M,'NSE - Other Index Options'!$E:$E,$A8,'NSE - Other Index Options'!$B:$B,C$5,'NSE - Other Index Options'!$I:$I,"MDAW*")=0,"",SUMIFS('NSE - NIFTY Index Options'!$M:$M,'NSE - NIFTY Index Options'!$E:$E,$A8,'NSE - NIFTY Index Options'!$B:$B,C$5,'NSE - NIFTY Index Options'!$I:$I,"Weekly*")+SUMIFS('NSE - NIFTY Index Options'!$M:$M,'NSE - NIFTY Index Options'!$E:$E,$A8,'NSE - NIFTY Index Options'!$B:$B,C$5,'NSE - NIFTY Index Options'!$I:$I,"MDAW*")+SUMIFS('NSE - Other Index Options'!$M:$M,'NSE - Other Index Options'!$E:$E,$A8,'NSE - Other Index Options'!$B:$B,C$5,'NSE - Other Index Options'!$I:$I,"Weekly*")+SUMIFS('NSE - Other Index Options'!$M:$M,'NSE - Other Index Options'!$E:$E,$A8,'NSE - Other Index Options'!$B:$B,C$5,'NSE - Other Index Options'!$I:$I,"MDAW*"))</f>
        <v/>
      </c>
      <c r="D8" s="26">
        <f>IF(SUMIFS('NSE - NIFTY Index Options'!$M:$M,'NSE - NIFTY Index Options'!$E:$E,$A8,'NSE - NIFTY Index Options'!$B:$B,D$5,'NSE - NIFTY Index Options'!$I:$I,"Weekly*")+SUMIFS('NSE - NIFTY Index Options'!$M:$M,'NSE - NIFTY Index Options'!$E:$E,$A8,'NSE - NIFTY Index Options'!$B:$B,D$5,'NSE - NIFTY Index Options'!$I:$I,"MDAW*")+SUMIFS('NSE - Other Index Options'!$M:$M,'NSE - Other Index Options'!$E:$E,$A8,'NSE - Other Index Options'!$B:$B,D$5,'NSE - Other Index Options'!$I:$I,"Weekly*")+SUMIFS('NSE - Other Index Options'!$M:$M,'NSE - Other Index Options'!$E:$E,$A8,'NSE - Other Index Options'!$B:$B,D$5,'NSE - Other Index Options'!$I:$I,"MDAW*")=0,"",SUMIFS('NSE - NIFTY Index Options'!$M:$M,'NSE - NIFTY Index Options'!$E:$E,$A8,'NSE - NIFTY Index Options'!$B:$B,D$5,'NSE - NIFTY Index Options'!$I:$I,"Weekly*")+SUMIFS('NSE - NIFTY Index Options'!$M:$M,'NSE - NIFTY Index Options'!$E:$E,$A8,'NSE - NIFTY Index Options'!$B:$B,D$5,'NSE - NIFTY Index Options'!$I:$I,"MDAW*")+SUMIFS('NSE - Other Index Options'!$M:$M,'NSE - Other Index Options'!$E:$E,$A8,'NSE - Other Index Options'!$B:$B,D$5,'NSE - Other Index Options'!$I:$I,"Weekly*")+SUMIFS('NSE - Other Index Options'!$M:$M,'NSE - Other Index Options'!$E:$E,$A8,'NSE - Other Index Options'!$B:$B,D$5,'NSE - Other Index Options'!$I:$I,"MDAW*"))</f>
        <v/>
      </c>
      <c r="E8" s="26">
        <f>IF(SUMIFS('NSE - NIFTY Index Options'!$M:$M,'NSE - NIFTY Index Options'!$E:$E,$A8,'NSE - NIFTY Index Options'!$B:$B,E$5,'NSE - NIFTY Index Options'!$I:$I,"Weekly*")+SUMIFS('NSE - NIFTY Index Options'!$M:$M,'NSE - NIFTY Index Options'!$E:$E,$A8,'NSE - NIFTY Index Options'!$B:$B,E$5,'NSE - NIFTY Index Options'!$I:$I,"MDAW*")+SUMIFS('NSE - Other Index Options'!$M:$M,'NSE - Other Index Options'!$E:$E,$A8,'NSE - Other Index Options'!$B:$B,E$5,'NSE - Other Index Options'!$I:$I,"Weekly*")+SUMIFS('NSE - Other Index Options'!$M:$M,'NSE - Other Index Options'!$E:$E,$A8,'NSE - Other Index Options'!$B:$B,E$5,'NSE - Other Index Options'!$I:$I,"MDAW*")=0,"",SUMIFS('NSE - NIFTY Index Options'!$M:$M,'NSE - NIFTY Index Options'!$E:$E,$A8,'NSE - NIFTY Index Options'!$B:$B,E$5,'NSE - NIFTY Index Options'!$I:$I,"Weekly*")+SUMIFS('NSE - NIFTY Index Options'!$M:$M,'NSE - NIFTY Index Options'!$E:$E,$A8,'NSE - NIFTY Index Options'!$B:$B,E$5,'NSE - NIFTY Index Options'!$I:$I,"MDAW*")+SUMIFS('NSE - Other Index Options'!$M:$M,'NSE - Other Index Options'!$E:$E,$A8,'NSE - Other Index Options'!$B:$B,E$5,'NSE - Other Index Options'!$I:$I,"Weekly*")+SUMIFS('NSE - Other Index Options'!$M:$M,'NSE - Other Index Options'!$E:$E,$A8,'NSE - Other Index Options'!$B:$B,E$5,'NSE - Other Index Options'!$I:$I,"MDAW*"))</f>
        <v/>
      </c>
      <c r="F8" s="26">
        <f>IF(SUMIFS('NSE - NIFTY Index Options'!$M:$M,'NSE - NIFTY Index Options'!$E:$E,$A8,'NSE - NIFTY Index Options'!$B:$B,F$5,'NSE - NIFTY Index Options'!$I:$I,"Weekly*")+SUMIFS('NSE - NIFTY Index Options'!$M:$M,'NSE - NIFTY Index Options'!$E:$E,$A8,'NSE - NIFTY Index Options'!$B:$B,F$5,'NSE - NIFTY Index Options'!$I:$I,"MDAW*")+SUMIFS('NSE - Other Index Options'!$M:$M,'NSE - Other Index Options'!$E:$E,$A8,'NSE - Other Index Options'!$B:$B,F$5,'NSE - Other Index Options'!$I:$I,"Weekly*")+SUMIFS('NSE - Other Index Options'!$M:$M,'NSE - Other Index Options'!$E:$E,$A8,'NSE - Other Index Options'!$B:$B,F$5,'NSE - Other Index Options'!$I:$I,"MDAW*")=0,"",SUMIFS('NSE - NIFTY Index Options'!$M:$M,'NSE - NIFTY Index Options'!$E:$E,$A8,'NSE - NIFTY Index Options'!$B:$B,F$5,'NSE - NIFTY Index Options'!$I:$I,"Weekly*")+SUMIFS('NSE - NIFTY Index Options'!$M:$M,'NSE - NIFTY Index Options'!$E:$E,$A8,'NSE - NIFTY Index Options'!$B:$B,F$5,'NSE - NIFTY Index Options'!$I:$I,"MDAW*")+SUMIFS('NSE - Other Index Options'!$M:$M,'NSE - Other Index Options'!$E:$E,$A8,'NSE - Other Index Options'!$B:$B,F$5,'NSE - Other Index Options'!$I:$I,"Weekly*")+SUMIFS('NSE - Other Index Options'!$M:$M,'NSE - Other Index Options'!$E:$E,$A8,'NSE - Other Index Options'!$B:$B,F$5,'NSE - Other Index Options'!$I:$I,"MDAW*"))</f>
        <v/>
      </c>
      <c r="G8" s="26">
        <f>IF(SUMIFS('NSE - NIFTY Index Options'!$M:$M,'NSE - NIFTY Index Options'!$E:$E,$A8,'NSE - NIFTY Index Options'!$B:$B,G$5,'NSE - NIFTY Index Options'!$I:$I,"Weekly*")+SUMIFS('NSE - NIFTY Index Options'!$M:$M,'NSE - NIFTY Index Options'!$E:$E,$A8,'NSE - NIFTY Index Options'!$B:$B,G$5,'NSE - NIFTY Index Options'!$I:$I,"MDAW*")+SUMIFS('NSE - Other Index Options'!$M:$M,'NSE - Other Index Options'!$E:$E,$A8,'NSE - Other Index Options'!$B:$B,G$5,'NSE - Other Index Options'!$I:$I,"Weekly*")+SUMIFS('NSE - Other Index Options'!$M:$M,'NSE - Other Index Options'!$E:$E,$A8,'NSE - Other Index Options'!$B:$B,G$5,'NSE - Other Index Options'!$I:$I,"MDAW*")=0,"",SUMIFS('NSE - NIFTY Index Options'!$M:$M,'NSE - NIFTY Index Options'!$E:$E,$A8,'NSE - NIFTY Index Options'!$B:$B,G$5,'NSE - NIFTY Index Options'!$I:$I,"Weekly*")+SUMIFS('NSE - NIFTY Index Options'!$M:$M,'NSE - NIFTY Index Options'!$E:$E,$A8,'NSE - NIFTY Index Options'!$B:$B,G$5,'NSE - NIFTY Index Options'!$I:$I,"MDAW*")+SUMIFS('NSE - Other Index Options'!$M:$M,'NSE - Other Index Options'!$E:$E,$A8,'NSE - Other Index Options'!$B:$B,G$5,'NSE - Other Index Options'!$I:$I,"Weekly*")+SUMIFS('NSE - Other Index Options'!$M:$M,'NSE - Other Index Options'!$E:$E,$A8,'NSE - Other Index Options'!$B:$B,G$5,'NSE - Other Index Options'!$I:$I,"MDAW*"))</f>
        <v/>
      </c>
      <c r="H8" s="26">
        <f>IF(SUM(B8:G8)=0,"",SUM(B8:G8))</f>
        <v/>
      </c>
      <c r="J8" s="72" t="inlineStr">
        <is>
          <t>Source: NSE F&amp;O holiday calendar — 66 weekdays minus Ganesh Chaturthi (Mon 14-Sep-2026).</t>
        </is>
      </c>
      <c r="S8" t="inlineStr">
        <is>
          <t>Other NSE Indices</t>
        </is>
      </c>
      <c r="T8" s="58" t="inlineStr">
        <is>
          <t>No</t>
        </is>
      </c>
    </row>
    <row r="9">
      <c r="A9" t="inlineStr">
        <is>
          <t>Q1FY27</t>
        </is>
      </c>
      <c r="B9" s="26">
        <f>IF(SUMIFS('NSE - NIFTY Index Options'!$M:$M,'NSE - NIFTY Index Options'!$E:$E,$A9,'NSE - NIFTY Index Options'!$B:$B,B$5,'NSE - NIFTY Index Options'!$I:$I,"Weekly*")+SUMIFS('NSE - NIFTY Index Options'!$M:$M,'NSE - NIFTY Index Options'!$E:$E,$A9,'NSE - NIFTY Index Options'!$B:$B,B$5,'NSE - NIFTY Index Options'!$I:$I,"MDAW*")+SUMIFS('NSE - Other Index Options'!$M:$M,'NSE - Other Index Options'!$E:$E,$A9,'NSE - Other Index Options'!$B:$B,B$5,'NSE - Other Index Options'!$I:$I,"Weekly*")+SUMIFS('NSE - Other Index Options'!$M:$M,'NSE - Other Index Options'!$E:$E,$A9,'NSE - Other Index Options'!$B:$B,B$5,'NSE - Other Index Options'!$I:$I,"MDAW*")=0,"",SUMIFS('NSE - NIFTY Index Options'!$M:$M,'NSE - NIFTY Index Options'!$E:$E,$A9,'NSE - NIFTY Index Options'!$B:$B,B$5,'NSE - NIFTY Index Options'!$I:$I,"Weekly*")+SUMIFS('NSE - NIFTY Index Options'!$M:$M,'NSE - NIFTY Index Options'!$E:$E,$A9,'NSE - NIFTY Index Options'!$B:$B,B$5,'NSE - NIFTY Index Options'!$I:$I,"MDAW*")+SUMIFS('NSE - Other Index Options'!$M:$M,'NSE - Other Index Options'!$E:$E,$A9,'NSE - Other Index Options'!$B:$B,B$5,'NSE - Other Index Options'!$I:$I,"Weekly*")+SUMIFS('NSE - Other Index Options'!$M:$M,'NSE - Other Index Options'!$E:$E,$A9,'NSE - Other Index Options'!$B:$B,B$5,'NSE - Other Index Options'!$I:$I,"MDAW*"))</f>
        <v/>
      </c>
      <c r="C9" s="26">
        <f>IF(SUMIFS('NSE - NIFTY Index Options'!$M:$M,'NSE - NIFTY Index Options'!$E:$E,$A9,'NSE - NIFTY Index Options'!$B:$B,C$5,'NSE - NIFTY Index Options'!$I:$I,"Weekly*")+SUMIFS('NSE - NIFTY Index Options'!$M:$M,'NSE - NIFTY Index Options'!$E:$E,$A9,'NSE - NIFTY Index Options'!$B:$B,C$5,'NSE - NIFTY Index Options'!$I:$I,"MDAW*")+SUMIFS('NSE - Other Index Options'!$M:$M,'NSE - Other Index Options'!$E:$E,$A9,'NSE - Other Index Options'!$B:$B,C$5,'NSE - Other Index Options'!$I:$I,"Weekly*")+SUMIFS('NSE - Other Index Options'!$M:$M,'NSE - Other Index Options'!$E:$E,$A9,'NSE - Other Index Options'!$B:$B,C$5,'NSE - Other Index Options'!$I:$I,"MDAW*")=0,"",SUMIFS('NSE - NIFTY Index Options'!$M:$M,'NSE - NIFTY Index Options'!$E:$E,$A9,'NSE - NIFTY Index Options'!$B:$B,C$5,'NSE - NIFTY Index Options'!$I:$I,"Weekly*")+SUMIFS('NSE - NIFTY Index Options'!$M:$M,'NSE - NIFTY Index Options'!$E:$E,$A9,'NSE - NIFTY Index Options'!$B:$B,C$5,'NSE - NIFTY Index Options'!$I:$I,"MDAW*")+SUMIFS('NSE - Other Index Options'!$M:$M,'NSE - Other Index Options'!$E:$E,$A9,'NSE - Other Index Options'!$B:$B,C$5,'NSE - Other Index Options'!$I:$I,"Weekly*")+SUMIFS('NSE - Other Index Options'!$M:$M,'NSE - Other Index Options'!$E:$E,$A9,'NSE - Other Index Options'!$B:$B,C$5,'NSE - Other Index Options'!$I:$I,"MDAW*"))</f>
        <v/>
      </c>
      <c r="D9" s="26">
        <f>IF(SUMIFS('NSE - NIFTY Index Options'!$M:$M,'NSE - NIFTY Index Options'!$E:$E,$A9,'NSE - NIFTY Index Options'!$B:$B,D$5,'NSE - NIFTY Index Options'!$I:$I,"Weekly*")+SUMIFS('NSE - NIFTY Index Options'!$M:$M,'NSE - NIFTY Index Options'!$E:$E,$A9,'NSE - NIFTY Index Options'!$B:$B,D$5,'NSE - NIFTY Index Options'!$I:$I,"MDAW*")+SUMIFS('NSE - Other Index Options'!$M:$M,'NSE - Other Index Options'!$E:$E,$A9,'NSE - Other Index Options'!$B:$B,D$5,'NSE - Other Index Options'!$I:$I,"Weekly*")+SUMIFS('NSE - Other Index Options'!$M:$M,'NSE - Other Index Options'!$E:$E,$A9,'NSE - Other Index Options'!$B:$B,D$5,'NSE - Other Index Options'!$I:$I,"MDAW*")=0,"",SUMIFS('NSE - NIFTY Index Options'!$M:$M,'NSE - NIFTY Index Options'!$E:$E,$A9,'NSE - NIFTY Index Options'!$B:$B,D$5,'NSE - NIFTY Index Options'!$I:$I,"Weekly*")+SUMIFS('NSE - NIFTY Index Options'!$M:$M,'NSE - NIFTY Index Options'!$E:$E,$A9,'NSE - NIFTY Index Options'!$B:$B,D$5,'NSE - NIFTY Index Options'!$I:$I,"MDAW*")+SUMIFS('NSE - Other Index Options'!$M:$M,'NSE - Other Index Options'!$E:$E,$A9,'NSE - Other Index Options'!$B:$B,D$5,'NSE - Other Index Options'!$I:$I,"Weekly*")+SUMIFS('NSE - Other Index Options'!$M:$M,'NSE - Other Index Options'!$E:$E,$A9,'NSE - Other Index Options'!$B:$B,D$5,'NSE - Other Index Options'!$I:$I,"MDAW*"))</f>
        <v/>
      </c>
      <c r="E9" s="26">
        <f>IF(SUMIFS('NSE - NIFTY Index Options'!$M:$M,'NSE - NIFTY Index Options'!$E:$E,$A9,'NSE - NIFTY Index Options'!$B:$B,E$5,'NSE - NIFTY Index Options'!$I:$I,"Weekly*")+SUMIFS('NSE - NIFTY Index Options'!$M:$M,'NSE - NIFTY Index Options'!$E:$E,$A9,'NSE - NIFTY Index Options'!$B:$B,E$5,'NSE - NIFTY Index Options'!$I:$I,"MDAW*")+SUMIFS('NSE - Other Index Options'!$M:$M,'NSE - Other Index Options'!$E:$E,$A9,'NSE - Other Index Options'!$B:$B,E$5,'NSE - Other Index Options'!$I:$I,"Weekly*")+SUMIFS('NSE - Other Index Options'!$M:$M,'NSE - Other Index Options'!$E:$E,$A9,'NSE - Other Index Options'!$B:$B,E$5,'NSE - Other Index Options'!$I:$I,"MDAW*")=0,"",SUMIFS('NSE - NIFTY Index Options'!$M:$M,'NSE - NIFTY Index Options'!$E:$E,$A9,'NSE - NIFTY Index Options'!$B:$B,E$5,'NSE - NIFTY Index Options'!$I:$I,"Weekly*")+SUMIFS('NSE - NIFTY Index Options'!$M:$M,'NSE - NIFTY Index Options'!$E:$E,$A9,'NSE - NIFTY Index Options'!$B:$B,E$5,'NSE - NIFTY Index Options'!$I:$I,"MDAW*")+SUMIFS('NSE - Other Index Options'!$M:$M,'NSE - Other Index Options'!$E:$E,$A9,'NSE - Other Index Options'!$B:$B,E$5,'NSE - Other Index Options'!$I:$I,"Weekly*")+SUMIFS('NSE - Other Index Options'!$M:$M,'NSE - Other Index Options'!$E:$E,$A9,'NSE - Other Index Options'!$B:$B,E$5,'NSE - Other Index Options'!$I:$I,"MDAW*"))</f>
        <v/>
      </c>
      <c r="F9" s="26">
        <f>IF(SUMIFS('NSE - NIFTY Index Options'!$M:$M,'NSE - NIFTY Index Options'!$E:$E,$A9,'NSE - NIFTY Index Options'!$B:$B,F$5,'NSE - NIFTY Index Options'!$I:$I,"Weekly*")+SUMIFS('NSE - NIFTY Index Options'!$M:$M,'NSE - NIFTY Index Options'!$E:$E,$A9,'NSE - NIFTY Index Options'!$B:$B,F$5,'NSE - NIFTY Index Options'!$I:$I,"MDAW*")+SUMIFS('NSE - Other Index Options'!$M:$M,'NSE - Other Index Options'!$E:$E,$A9,'NSE - Other Index Options'!$B:$B,F$5,'NSE - Other Index Options'!$I:$I,"Weekly*")+SUMIFS('NSE - Other Index Options'!$M:$M,'NSE - Other Index Options'!$E:$E,$A9,'NSE - Other Index Options'!$B:$B,F$5,'NSE - Other Index Options'!$I:$I,"MDAW*")=0,"",SUMIFS('NSE - NIFTY Index Options'!$M:$M,'NSE - NIFTY Index Options'!$E:$E,$A9,'NSE - NIFTY Index Options'!$B:$B,F$5,'NSE - NIFTY Index Options'!$I:$I,"Weekly*")+SUMIFS('NSE - NIFTY Index Options'!$M:$M,'NSE - NIFTY Index Options'!$E:$E,$A9,'NSE - NIFTY Index Options'!$B:$B,F$5,'NSE - NIFTY Index Options'!$I:$I,"MDAW*")+SUMIFS('NSE - Other Index Options'!$M:$M,'NSE - Other Index Options'!$E:$E,$A9,'NSE - Other Index Options'!$B:$B,F$5,'NSE - Other Index Options'!$I:$I,"Weekly*")+SUMIFS('NSE - Other Index Options'!$M:$M,'NSE - Other Index Options'!$E:$E,$A9,'NSE - Other Index Options'!$B:$B,F$5,'NSE - Other Index Options'!$I:$I,"MDAW*"))</f>
        <v/>
      </c>
      <c r="G9" s="26">
        <f>IF(SUMIFS('NSE - NIFTY Index Options'!$M:$M,'NSE - NIFTY Index Options'!$E:$E,$A9,'NSE - NIFTY Index Options'!$B:$B,G$5,'NSE - NIFTY Index Options'!$I:$I,"Weekly*")+SUMIFS('NSE - NIFTY Index Options'!$M:$M,'NSE - NIFTY Index Options'!$E:$E,$A9,'NSE - NIFTY Index Options'!$B:$B,G$5,'NSE - NIFTY Index Options'!$I:$I,"MDAW*")+SUMIFS('NSE - Other Index Options'!$M:$M,'NSE - Other Index Options'!$E:$E,$A9,'NSE - Other Index Options'!$B:$B,G$5,'NSE - Other Index Options'!$I:$I,"Weekly*")+SUMIFS('NSE - Other Index Options'!$M:$M,'NSE - Other Index Options'!$E:$E,$A9,'NSE - Other Index Options'!$B:$B,G$5,'NSE - Other Index Options'!$I:$I,"MDAW*")=0,"",SUMIFS('NSE - NIFTY Index Options'!$M:$M,'NSE - NIFTY Index Options'!$E:$E,$A9,'NSE - NIFTY Index Options'!$B:$B,G$5,'NSE - NIFTY Index Options'!$I:$I,"Weekly*")+SUMIFS('NSE - NIFTY Index Options'!$M:$M,'NSE - NIFTY Index Options'!$E:$E,$A9,'NSE - NIFTY Index Options'!$B:$B,G$5,'NSE - NIFTY Index Options'!$I:$I,"MDAW*")+SUMIFS('NSE - Other Index Options'!$M:$M,'NSE - Other Index Options'!$E:$E,$A9,'NSE - Other Index Options'!$B:$B,G$5,'NSE - Other Index Options'!$I:$I,"Weekly*")+SUMIFS('NSE - Other Index Options'!$M:$M,'NSE - Other Index Options'!$E:$E,$A9,'NSE - Other Index Options'!$B:$B,G$5,'NSE - Other Index Options'!$I:$I,"MDAW*"))</f>
        <v/>
      </c>
      <c r="H9" s="26">
        <f>IF(SUM(B9:G9)=0,"",SUM(B9:G9))</f>
        <v/>
      </c>
      <c r="S9" t="inlineStr">
        <is>
          <t>SENSEX Index</t>
        </is>
      </c>
      <c r="T9" s="76" t="inlineStr">
        <is>
          <t>Yes</t>
        </is>
      </c>
    </row>
    <row r="10">
      <c r="A10" t="inlineStr">
        <is>
          <t>Q2FY27</t>
        </is>
      </c>
      <c r="B10" s="26">
        <f>IF(SUMIFS('NSE - NIFTY Index Options'!$M:$M,'NSE - NIFTY Index Options'!$E:$E,$A10,'NSE - NIFTY Index Options'!$B:$B,B$5,'NSE - NIFTY Index Options'!$I:$I,"Weekly*")+SUMIFS('NSE - NIFTY Index Options'!$M:$M,'NSE - NIFTY Index Options'!$E:$E,$A10,'NSE - NIFTY Index Options'!$B:$B,B$5,'NSE - NIFTY Index Options'!$I:$I,"MDAW*")+SUMIFS('NSE - Other Index Options'!$M:$M,'NSE - Other Index Options'!$E:$E,$A10,'NSE - Other Index Options'!$B:$B,B$5,'NSE - Other Index Options'!$I:$I,"Weekly*")+SUMIFS('NSE - Other Index Options'!$M:$M,'NSE - Other Index Options'!$E:$E,$A10,'NSE - Other Index Options'!$B:$B,B$5,'NSE - Other Index Options'!$I:$I,"MDAW*")=0,"",SUMIFS('NSE - NIFTY Index Options'!$M:$M,'NSE - NIFTY Index Options'!$E:$E,$A10,'NSE - NIFTY Index Options'!$B:$B,B$5,'NSE - NIFTY Index Options'!$I:$I,"Weekly*")+SUMIFS('NSE - NIFTY Index Options'!$M:$M,'NSE - NIFTY Index Options'!$E:$E,$A10,'NSE - NIFTY Index Options'!$B:$B,B$5,'NSE - NIFTY Index Options'!$I:$I,"MDAW*")+SUMIFS('NSE - Other Index Options'!$M:$M,'NSE - Other Index Options'!$E:$E,$A10,'NSE - Other Index Options'!$B:$B,B$5,'NSE - Other Index Options'!$I:$I,"Weekly*")+SUMIFS('NSE - Other Index Options'!$M:$M,'NSE - Other Index Options'!$E:$E,$A10,'NSE - Other Index Options'!$B:$B,B$5,'NSE - Other Index Options'!$I:$I,"MDAW*"))</f>
        <v/>
      </c>
      <c r="C10" s="26">
        <f>IF(SUMIFS('NSE - NIFTY Index Options'!$M:$M,'NSE - NIFTY Index Options'!$E:$E,$A10,'NSE - NIFTY Index Options'!$B:$B,C$5,'NSE - NIFTY Index Options'!$I:$I,"Weekly*")+SUMIFS('NSE - NIFTY Index Options'!$M:$M,'NSE - NIFTY Index Options'!$E:$E,$A10,'NSE - NIFTY Index Options'!$B:$B,C$5,'NSE - NIFTY Index Options'!$I:$I,"MDAW*")+SUMIFS('NSE - Other Index Options'!$M:$M,'NSE - Other Index Options'!$E:$E,$A10,'NSE - Other Index Options'!$B:$B,C$5,'NSE - Other Index Options'!$I:$I,"Weekly*")+SUMIFS('NSE - Other Index Options'!$M:$M,'NSE - Other Index Options'!$E:$E,$A10,'NSE - Other Index Options'!$B:$B,C$5,'NSE - Other Index Options'!$I:$I,"MDAW*")=0,"",SUMIFS('NSE - NIFTY Index Options'!$M:$M,'NSE - NIFTY Index Options'!$E:$E,$A10,'NSE - NIFTY Index Options'!$B:$B,C$5,'NSE - NIFTY Index Options'!$I:$I,"Weekly*")+SUMIFS('NSE - NIFTY Index Options'!$M:$M,'NSE - NIFTY Index Options'!$E:$E,$A10,'NSE - NIFTY Index Options'!$B:$B,C$5,'NSE - NIFTY Index Options'!$I:$I,"MDAW*")+SUMIFS('NSE - Other Index Options'!$M:$M,'NSE - Other Index Options'!$E:$E,$A10,'NSE - Other Index Options'!$B:$B,C$5,'NSE - Other Index Options'!$I:$I,"Weekly*")+SUMIFS('NSE - Other Index Options'!$M:$M,'NSE - Other Index Options'!$E:$E,$A10,'NSE - Other Index Options'!$B:$B,C$5,'NSE - Other Index Options'!$I:$I,"MDAW*"))</f>
        <v/>
      </c>
      <c r="D10" s="26">
        <f>IF(SUMIFS('NSE - NIFTY Index Options'!$M:$M,'NSE - NIFTY Index Options'!$E:$E,$A10,'NSE - NIFTY Index Options'!$B:$B,D$5,'NSE - NIFTY Index Options'!$I:$I,"Weekly*")+SUMIFS('NSE - NIFTY Index Options'!$M:$M,'NSE - NIFTY Index Options'!$E:$E,$A10,'NSE - NIFTY Index Options'!$B:$B,D$5,'NSE - NIFTY Index Options'!$I:$I,"MDAW*")+SUMIFS('NSE - Other Index Options'!$M:$M,'NSE - Other Index Options'!$E:$E,$A10,'NSE - Other Index Options'!$B:$B,D$5,'NSE - Other Index Options'!$I:$I,"Weekly*")+SUMIFS('NSE - Other Index Options'!$M:$M,'NSE - Other Index Options'!$E:$E,$A10,'NSE - Other Index Options'!$B:$B,D$5,'NSE - Other Index Options'!$I:$I,"MDAW*")=0,"",SUMIFS('NSE - NIFTY Index Options'!$M:$M,'NSE - NIFTY Index Options'!$E:$E,$A10,'NSE - NIFTY Index Options'!$B:$B,D$5,'NSE - NIFTY Index Options'!$I:$I,"Weekly*")+SUMIFS('NSE - NIFTY Index Options'!$M:$M,'NSE - NIFTY Index Options'!$E:$E,$A10,'NSE - NIFTY Index Options'!$B:$B,D$5,'NSE - NIFTY Index Options'!$I:$I,"MDAW*")+SUMIFS('NSE - Other Index Options'!$M:$M,'NSE - Other Index Options'!$E:$E,$A10,'NSE - Other Index Options'!$B:$B,D$5,'NSE - Other Index Options'!$I:$I,"Weekly*")+SUMIFS('NSE - Other Index Options'!$M:$M,'NSE - Other Index Options'!$E:$E,$A10,'NSE - Other Index Options'!$B:$B,D$5,'NSE - Other Index Options'!$I:$I,"MDAW*"))</f>
        <v/>
      </c>
      <c r="E10" s="26">
        <f>IF(SUMIFS('NSE - NIFTY Index Options'!$M:$M,'NSE - NIFTY Index Options'!$E:$E,$A10,'NSE - NIFTY Index Options'!$B:$B,E$5,'NSE - NIFTY Index Options'!$I:$I,"Weekly*")+SUMIFS('NSE - NIFTY Index Options'!$M:$M,'NSE - NIFTY Index Options'!$E:$E,$A10,'NSE - NIFTY Index Options'!$B:$B,E$5,'NSE - NIFTY Index Options'!$I:$I,"MDAW*")+SUMIFS('NSE - Other Index Options'!$M:$M,'NSE - Other Index Options'!$E:$E,$A10,'NSE - Other Index Options'!$B:$B,E$5,'NSE - Other Index Options'!$I:$I,"Weekly*")+SUMIFS('NSE - Other Index Options'!$M:$M,'NSE - Other Index Options'!$E:$E,$A10,'NSE - Other Index Options'!$B:$B,E$5,'NSE - Other Index Options'!$I:$I,"MDAW*")=0,"",SUMIFS('NSE - NIFTY Index Options'!$M:$M,'NSE - NIFTY Index Options'!$E:$E,$A10,'NSE - NIFTY Index Options'!$B:$B,E$5,'NSE - NIFTY Index Options'!$I:$I,"Weekly*")+SUMIFS('NSE - NIFTY Index Options'!$M:$M,'NSE - NIFTY Index Options'!$E:$E,$A10,'NSE - NIFTY Index Options'!$B:$B,E$5,'NSE - NIFTY Index Options'!$I:$I,"MDAW*")+SUMIFS('NSE - Other Index Options'!$M:$M,'NSE - Other Index Options'!$E:$E,$A10,'NSE - Other Index Options'!$B:$B,E$5,'NSE - Other Index Options'!$I:$I,"Weekly*")+SUMIFS('NSE - Other Index Options'!$M:$M,'NSE - Other Index Options'!$E:$E,$A10,'NSE - Other Index Options'!$B:$B,E$5,'NSE - Other Index Options'!$I:$I,"MDAW*"))</f>
        <v/>
      </c>
      <c r="F10" s="26">
        <f>IF(SUMIFS('NSE - NIFTY Index Options'!$M:$M,'NSE - NIFTY Index Options'!$E:$E,$A10,'NSE - NIFTY Index Options'!$B:$B,F$5,'NSE - NIFTY Index Options'!$I:$I,"Weekly*")+SUMIFS('NSE - NIFTY Index Options'!$M:$M,'NSE - NIFTY Index Options'!$E:$E,$A10,'NSE - NIFTY Index Options'!$B:$B,F$5,'NSE - NIFTY Index Options'!$I:$I,"MDAW*")+SUMIFS('NSE - Other Index Options'!$M:$M,'NSE - Other Index Options'!$E:$E,$A10,'NSE - Other Index Options'!$B:$B,F$5,'NSE - Other Index Options'!$I:$I,"Weekly*")+SUMIFS('NSE - Other Index Options'!$M:$M,'NSE - Other Index Options'!$E:$E,$A10,'NSE - Other Index Options'!$B:$B,F$5,'NSE - Other Index Options'!$I:$I,"MDAW*")=0,"",SUMIFS('NSE - NIFTY Index Options'!$M:$M,'NSE - NIFTY Index Options'!$E:$E,$A10,'NSE - NIFTY Index Options'!$B:$B,F$5,'NSE - NIFTY Index Options'!$I:$I,"Weekly*")+SUMIFS('NSE - NIFTY Index Options'!$M:$M,'NSE - NIFTY Index Options'!$E:$E,$A10,'NSE - NIFTY Index Options'!$B:$B,F$5,'NSE - NIFTY Index Options'!$I:$I,"MDAW*")+SUMIFS('NSE - Other Index Options'!$M:$M,'NSE - Other Index Options'!$E:$E,$A10,'NSE - Other Index Options'!$B:$B,F$5,'NSE - Other Index Options'!$I:$I,"Weekly*")+SUMIFS('NSE - Other Index Options'!$M:$M,'NSE - Other Index Options'!$E:$E,$A10,'NSE - Other Index Options'!$B:$B,F$5,'NSE - Other Index Options'!$I:$I,"MDAW*"))</f>
        <v/>
      </c>
      <c r="G10" s="26">
        <f>IF(SUMIFS('NSE - NIFTY Index Options'!$M:$M,'NSE - NIFTY Index Options'!$E:$E,$A10,'NSE - NIFTY Index Options'!$B:$B,G$5,'NSE - NIFTY Index Options'!$I:$I,"Weekly*")+SUMIFS('NSE - NIFTY Index Options'!$M:$M,'NSE - NIFTY Index Options'!$E:$E,$A10,'NSE - NIFTY Index Options'!$B:$B,G$5,'NSE - NIFTY Index Options'!$I:$I,"MDAW*")+SUMIFS('NSE - Other Index Options'!$M:$M,'NSE - Other Index Options'!$E:$E,$A10,'NSE - Other Index Options'!$B:$B,G$5,'NSE - Other Index Options'!$I:$I,"Weekly*")+SUMIFS('NSE - Other Index Options'!$M:$M,'NSE - Other Index Options'!$E:$E,$A10,'NSE - Other Index Options'!$B:$B,G$5,'NSE - Other Index Options'!$I:$I,"MDAW*")=0,"",SUMIFS('NSE - NIFTY Index Options'!$M:$M,'NSE - NIFTY Index Options'!$E:$E,$A10,'NSE - NIFTY Index Options'!$B:$B,G$5,'NSE - NIFTY Index Options'!$I:$I,"Weekly*")+SUMIFS('NSE - NIFTY Index Options'!$M:$M,'NSE - NIFTY Index Options'!$E:$E,$A10,'NSE - NIFTY Index Options'!$B:$B,G$5,'NSE - NIFTY Index Options'!$I:$I,"MDAW*")+SUMIFS('NSE - Other Index Options'!$M:$M,'NSE - Other Index Options'!$E:$E,$A10,'NSE - Other Index Options'!$B:$B,G$5,'NSE - Other Index Options'!$I:$I,"Weekly*")+SUMIFS('NSE - Other Index Options'!$M:$M,'NSE - Other Index Options'!$E:$E,$A10,'NSE - Other Index Options'!$B:$B,G$5,'NSE - Other Index Options'!$I:$I,"MDAW*"))</f>
        <v/>
      </c>
      <c r="H10" s="26">
        <f>IF(SUM(B10:G10)=0,"",SUM(B10:G10))</f>
        <v/>
      </c>
      <c r="S10" t="inlineStr">
        <is>
          <t>Other BSE Indices</t>
        </is>
      </c>
      <c r="T10" s="58" t="inlineStr">
        <is>
          <t>No</t>
        </is>
      </c>
    </row>
    <row r="11">
      <c r="A11" s="68" t="inlineStr">
        <is>
          <t>Total</t>
        </is>
      </c>
      <c r="B11" s="69">
        <f>IF(SUM(B6:B10)=0,"",SUM(B6:B10))</f>
        <v/>
      </c>
      <c r="C11" s="69">
        <f>IF(SUM(C6:C10)=0,"",SUM(C6:C10))</f>
        <v/>
      </c>
      <c r="D11" s="69">
        <f>IF(SUM(D6:D10)=0,"",SUM(D6:D10))</f>
        <v/>
      </c>
      <c r="E11" s="69">
        <f>IF(SUM(E6:E10)=0,"",SUM(E6:E10))</f>
        <v/>
      </c>
      <c r="F11" s="69">
        <f>IF(SUM(F6:F10)=0,"",SUM(F6:F10))</f>
        <v/>
      </c>
      <c r="G11" s="69">
        <f>IF(SUM(G6:G10)=0,"",SUM(G6:G10))</f>
        <v/>
      </c>
      <c r="H11" s="69">
        <f>IF(SUM(H6:H10)=0,"",SUM(H6:H10))</f>
        <v/>
      </c>
      <c r="S11" t="inlineStr">
        <is>
          <t>Expiry Type 2 - Weekly</t>
        </is>
      </c>
      <c r="T11" s="76" t="inlineStr">
        <is>
          <t>Yes</t>
        </is>
      </c>
    </row>
    <row r="12">
      <c r="S12" t="inlineStr">
        <is>
          <t>Expiry Type 2 - MDAW</t>
        </is>
      </c>
      <c r="T12" s="76" t="inlineStr">
        <is>
          <t>Yes</t>
        </is>
      </c>
    </row>
    <row r="13">
      <c r="A13" s="68" t="inlineStr">
        <is>
          <t>BSE Premium Turnover (INR Bn)</t>
        </is>
      </c>
      <c r="S13" t="inlineStr">
        <is>
          <t>Expiry Type 2 - Monthly</t>
        </is>
      </c>
      <c r="T13" s="58" t="inlineStr">
        <is>
          <t>No</t>
        </is>
      </c>
    </row>
    <row r="14">
      <c r="A14" s="68" t="inlineStr">
        <is>
          <t>Trade Quarter</t>
        </is>
      </c>
      <c r="B14" s="68" t="inlineStr">
        <is>
          <t>Monday</t>
        </is>
      </c>
      <c r="C14" s="68" t="inlineStr">
        <is>
          <t>Tuesday</t>
        </is>
      </c>
      <c r="D14" s="68" t="inlineStr">
        <is>
          <t>Wednesday</t>
        </is>
      </c>
      <c r="E14" s="68" t="inlineStr">
        <is>
          <t>Thursday</t>
        </is>
      </c>
      <c r="F14" s="68" t="inlineStr">
        <is>
          <t>Friday</t>
        </is>
      </c>
      <c r="G14" s="68" t="inlineStr">
        <is>
          <t>Sunday</t>
        </is>
      </c>
      <c r="H14" s="68" t="inlineStr">
        <is>
          <t>Total</t>
        </is>
      </c>
    </row>
    <row r="15">
      <c r="A15" t="inlineStr">
        <is>
          <t>Q2FY26</t>
        </is>
      </c>
      <c r="B15" s="26">
        <f>IF(SUMIFS('BSE - SENSEX Index Options'!$M:$M,'BSE - SENSEX Index Options'!$E:$E,$A15,'BSE - SENSEX Index Options'!$B:$B,B$14,'BSE - SENSEX Index Options'!$I:$I,"Weekly*")+SUMIFS('BSE - SENSEX Index Options'!$M:$M,'BSE - SENSEX Index Options'!$E:$E,$A15,'BSE - SENSEX Index Options'!$B:$B,B$14,'BSE - SENSEX Index Options'!$I:$I,"MDAW*")+SUMIFS('BSE - Other Index Options'!$M:$M,'BSE - Other Index Options'!$E:$E,$A15,'BSE - Other Index Options'!$B:$B,B$14,'BSE - Other Index Options'!$I:$I,"Weekly*")+SUMIFS('BSE - Other Index Options'!$M:$M,'BSE - Other Index Options'!$E:$E,$A15,'BSE - Other Index Options'!$B:$B,B$14,'BSE - Other Index Options'!$I:$I,"MDAW*")=0,"",SUMIFS('BSE - SENSEX Index Options'!$M:$M,'BSE - SENSEX Index Options'!$E:$E,$A15,'BSE - SENSEX Index Options'!$B:$B,B$14,'BSE - SENSEX Index Options'!$I:$I,"Weekly*")+SUMIFS('BSE - SENSEX Index Options'!$M:$M,'BSE - SENSEX Index Options'!$E:$E,$A15,'BSE - SENSEX Index Options'!$B:$B,B$14,'BSE - SENSEX Index Options'!$I:$I,"MDAW*")+SUMIFS('BSE - Other Index Options'!$M:$M,'BSE - Other Index Options'!$E:$E,$A15,'BSE - Other Index Options'!$B:$B,B$14,'BSE - Other Index Options'!$I:$I,"Weekly*")+SUMIFS('BSE - Other Index Options'!$M:$M,'BSE - Other Index Options'!$E:$E,$A15,'BSE - Other Index Options'!$B:$B,B$14,'BSE - Other Index Options'!$I:$I,"MDAW*"))</f>
        <v/>
      </c>
      <c r="C15" s="26">
        <f>IF(SUMIFS('BSE - SENSEX Index Options'!$M:$M,'BSE - SENSEX Index Options'!$E:$E,$A15,'BSE - SENSEX Index Options'!$B:$B,C$14,'BSE - SENSEX Index Options'!$I:$I,"Weekly*")+SUMIFS('BSE - SENSEX Index Options'!$M:$M,'BSE - SENSEX Index Options'!$E:$E,$A15,'BSE - SENSEX Index Options'!$B:$B,C$14,'BSE - SENSEX Index Options'!$I:$I,"MDAW*")+SUMIFS('BSE - Other Index Options'!$M:$M,'BSE - Other Index Options'!$E:$E,$A15,'BSE - Other Index Options'!$B:$B,C$14,'BSE - Other Index Options'!$I:$I,"Weekly*")+SUMIFS('BSE - Other Index Options'!$M:$M,'BSE - Other Index Options'!$E:$E,$A15,'BSE - Other Index Options'!$B:$B,C$14,'BSE - Other Index Options'!$I:$I,"MDAW*")=0,"",SUMIFS('BSE - SENSEX Index Options'!$M:$M,'BSE - SENSEX Index Options'!$E:$E,$A15,'BSE - SENSEX Index Options'!$B:$B,C$14,'BSE - SENSEX Index Options'!$I:$I,"Weekly*")+SUMIFS('BSE - SENSEX Index Options'!$M:$M,'BSE - SENSEX Index Options'!$E:$E,$A15,'BSE - SENSEX Index Options'!$B:$B,C$14,'BSE - SENSEX Index Options'!$I:$I,"MDAW*")+SUMIFS('BSE - Other Index Options'!$M:$M,'BSE - Other Index Options'!$E:$E,$A15,'BSE - Other Index Options'!$B:$B,C$14,'BSE - Other Index Options'!$I:$I,"Weekly*")+SUMIFS('BSE - Other Index Options'!$M:$M,'BSE - Other Index Options'!$E:$E,$A15,'BSE - Other Index Options'!$B:$B,C$14,'BSE - Other Index Options'!$I:$I,"MDAW*"))</f>
        <v/>
      </c>
      <c r="D15" s="26">
        <f>IF(SUMIFS('BSE - SENSEX Index Options'!$M:$M,'BSE - SENSEX Index Options'!$E:$E,$A15,'BSE - SENSEX Index Options'!$B:$B,D$14,'BSE - SENSEX Index Options'!$I:$I,"Weekly*")+SUMIFS('BSE - SENSEX Index Options'!$M:$M,'BSE - SENSEX Index Options'!$E:$E,$A15,'BSE - SENSEX Index Options'!$B:$B,D$14,'BSE - SENSEX Index Options'!$I:$I,"MDAW*")+SUMIFS('BSE - Other Index Options'!$M:$M,'BSE - Other Index Options'!$E:$E,$A15,'BSE - Other Index Options'!$B:$B,D$14,'BSE - Other Index Options'!$I:$I,"Weekly*")+SUMIFS('BSE - Other Index Options'!$M:$M,'BSE - Other Index Options'!$E:$E,$A15,'BSE - Other Index Options'!$B:$B,D$14,'BSE - Other Index Options'!$I:$I,"MDAW*")=0,"",SUMIFS('BSE - SENSEX Index Options'!$M:$M,'BSE - SENSEX Index Options'!$E:$E,$A15,'BSE - SENSEX Index Options'!$B:$B,D$14,'BSE - SENSEX Index Options'!$I:$I,"Weekly*")+SUMIFS('BSE - SENSEX Index Options'!$M:$M,'BSE - SENSEX Index Options'!$E:$E,$A15,'BSE - SENSEX Index Options'!$B:$B,D$14,'BSE - SENSEX Index Options'!$I:$I,"MDAW*")+SUMIFS('BSE - Other Index Options'!$M:$M,'BSE - Other Index Options'!$E:$E,$A15,'BSE - Other Index Options'!$B:$B,D$14,'BSE - Other Index Options'!$I:$I,"Weekly*")+SUMIFS('BSE - Other Index Options'!$M:$M,'BSE - Other Index Options'!$E:$E,$A15,'BSE - Other Index Options'!$B:$B,D$14,'BSE - Other Index Options'!$I:$I,"MDAW*"))</f>
        <v/>
      </c>
      <c r="E15" s="26">
        <f>IF(SUMIFS('BSE - SENSEX Index Options'!$M:$M,'BSE - SENSEX Index Options'!$E:$E,$A15,'BSE - SENSEX Index Options'!$B:$B,E$14,'BSE - SENSEX Index Options'!$I:$I,"Weekly*")+SUMIFS('BSE - SENSEX Index Options'!$M:$M,'BSE - SENSEX Index Options'!$E:$E,$A15,'BSE - SENSEX Index Options'!$B:$B,E$14,'BSE - SENSEX Index Options'!$I:$I,"MDAW*")+SUMIFS('BSE - Other Index Options'!$M:$M,'BSE - Other Index Options'!$E:$E,$A15,'BSE - Other Index Options'!$B:$B,E$14,'BSE - Other Index Options'!$I:$I,"Weekly*")+SUMIFS('BSE - Other Index Options'!$M:$M,'BSE - Other Index Options'!$E:$E,$A15,'BSE - Other Index Options'!$B:$B,E$14,'BSE - Other Index Options'!$I:$I,"MDAW*")=0,"",SUMIFS('BSE - SENSEX Index Options'!$M:$M,'BSE - SENSEX Index Options'!$E:$E,$A15,'BSE - SENSEX Index Options'!$B:$B,E$14,'BSE - SENSEX Index Options'!$I:$I,"Weekly*")+SUMIFS('BSE - SENSEX Index Options'!$M:$M,'BSE - SENSEX Index Options'!$E:$E,$A15,'BSE - SENSEX Index Options'!$B:$B,E$14,'BSE - SENSEX Index Options'!$I:$I,"MDAW*")+SUMIFS('BSE - Other Index Options'!$M:$M,'BSE - Other Index Options'!$E:$E,$A15,'BSE - Other Index Options'!$B:$B,E$14,'BSE - Other Index Options'!$I:$I,"Weekly*")+SUMIFS('BSE - Other Index Options'!$M:$M,'BSE - Other Index Options'!$E:$E,$A15,'BSE - Other Index Options'!$B:$B,E$14,'BSE - Other Index Options'!$I:$I,"MDAW*"))</f>
        <v/>
      </c>
      <c r="F15" s="26">
        <f>IF(SUMIFS('BSE - SENSEX Index Options'!$M:$M,'BSE - SENSEX Index Options'!$E:$E,$A15,'BSE - SENSEX Index Options'!$B:$B,F$14,'BSE - SENSEX Index Options'!$I:$I,"Weekly*")+SUMIFS('BSE - SENSEX Index Options'!$M:$M,'BSE - SENSEX Index Options'!$E:$E,$A15,'BSE - SENSEX Index Options'!$B:$B,F$14,'BSE - SENSEX Index Options'!$I:$I,"MDAW*")+SUMIFS('BSE - Other Index Options'!$M:$M,'BSE - Other Index Options'!$E:$E,$A15,'BSE - Other Index Options'!$B:$B,F$14,'BSE - Other Index Options'!$I:$I,"Weekly*")+SUMIFS('BSE - Other Index Options'!$M:$M,'BSE - Other Index Options'!$E:$E,$A15,'BSE - Other Index Options'!$B:$B,F$14,'BSE - Other Index Options'!$I:$I,"MDAW*")=0,"",SUMIFS('BSE - SENSEX Index Options'!$M:$M,'BSE - SENSEX Index Options'!$E:$E,$A15,'BSE - SENSEX Index Options'!$B:$B,F$14,'BSE - SENSEX Index Options'!$I:$I,"Weekly*")+SUMIFS('BSE - SENSEX Index Options'!$M:$M,'BSE - SENSEX Index Options'!$E:$E,$A15,'BSE - SENSEX Index Options'!$B:$B,F$14,'BSE - SENSEX Index Options'!$I:$I,"MDAW*")+SUMIFS('BSE - Other Index Options'!$M:$M,'BSE - Other Index Options'!$E:$E,$A15,'BSE - Other Index Options'!$B:$B,F$14,'BSE - Other Index Options'!$I:$I,"Weekly*")+SUMIFS('BSE - Other Index Options'!$M:$M,'BSE - Other Index Options'!$E:$E,$A15,'BSE - Other Index Options'!$B:$B,F$14,'BSE - Other Index Options'!$I:$I,"MDAW*"))</f>
        <v/>
      </c>
      <c r="G15" s="26">
        <f>IF(SUMIFS('BSE - SENSEX Index Options'!$M:$M,'BSE - SENSEX Index Options'!$E:$E,$A15,'BSE - SENSEX Index Options'!$B:$B,G$14,'BSE - SENSEX Index Options'!$I:$I,"Weekly*")+SUMIFS('BSE - SENSEX Index Options'!$M:$M,'BSE - SENSEX Index Options'!$E:$E,$A15,'BSE - SENSEX Index Options'!$B:$B,G$14,'BSE - SENSEX Index Options'!$I:$I,"MDAW*")+SUMIFS('BSE - Other Index Options'!$M:$M,'BSE - Other Index Options'!$E:$E,$A15,'BSE - Other Index Options'!$B:$B,G$14,'BSE - Other Index Options'!$I:$I,"Weekly*")+SUMIFS('BSE - Other Index Options'!$M:$M,'BSE - Other Index Options'!$E:$E,$A15,'BSE - Other Index Options'!$B:$B,G$14,'BSE - Other Index Options'!$I:$I,"MDAW*")=0,"",SUMIFS('BSE - SENSEX Index Options'!$M:$M,'BSE - SENSEX Index Options'!$E:$E,$A15,'BSE - SENSEX Index Options'!$B:$B,G$14,'BSE - SENSEX Index Options'!$I:$I,"Weekly*")+SUMIFS('BSE - SENSEX Index Options'!$M:$M,'BSE - SENSEX Index Options'!$E:$E,$A15,'BSE - SENSEX Index Options'!$B:$B,G$14,'BSE - SENSEX Index Options'!$I:$I,"MDAW*")+SUMIFS('BSE - Other Index Options'!$M:$M,'BSE - Other Index Options'!$E:$E,$A15,'BSE - Other Index Options'!$B:$B,G$14,'BSE - Other Index Options'!$I:$I,"Weekly*")+SUMIFS('BSE - Other Index Options'!$M:$M,'BSE - Other Index Options'!$E:$E,$A15,'BSE - Other Index Options'!$B:$B,G$14,'BSE - Other Index Options'!$I:$I,"MDAW*"))</f>
        <v/>
      </c>
      <c r="H15" s="26">
        <f>IF(SUM(B15:G15)=0,"",SUM(B15:G15))</f>
        <v/>
      </c>
    </row>
    <row r="16">
      <c r="A16" t="inlineStr">
        <is>
          <t>Q3FY26</t>
        </is>
      </c>
      <c r="B16" s="26">
        <f>IF(SUMIFS('BSE - SENSEX Index Options'!$M:$M,'BSE - SENSEX Index Options'!$E:$E,$A16,'BSE - SENSEX Index Options'!$B:$B,B$14,'BSE - SENSEX Index Options'!$I:$I,"Weekly*")+SUMIFS('BSE - SENSEX Index Options'!$M:$M,'BSE - SENSEX Index Options'!$E:$E,$A16,'BSE - SENSEX Index Options'!$B:$B,B$14,'BSE - SENSEX Index Options'!$I:$I,"MDAW*")+SUMIFS('BSE - Other Index Options'!$M:$M,'BSE - Other Index Options'!$E:$E,$A16,'BSE - Other Index Options'!$B:$B,B$14,'BSE - Other Index Options'!$I:$I,"Weekly*")+SUMIFS('BSE - Other Index Options'!$M:$M,'BSE - Other Index Options'!$E:$E,$A16,'BSE - Other Index Options'!$B:$B,B$14,'BSE - Other Index Options'!$I:$I,"MDAW*")=0,"",SUMIFS('BSE - SENSEX Index Options'!$M:$M,'BSE - SENSEX Index Options'!$E:$E,$A16,'BSE - SENSEX Index Options'!$B:$B,B$14,'BSE - SENSEX Index Options'!$I:$I,"Weekly*")+SUMIFS('BSE - SENSEX Index Options'!$M:$M,'BSE - SENSEX Index Options'!$E:$E,$A16,'BSE - SENSEX Index Options'!$B:$B,B$14,'BSE - SENSEX Index Options'!$I:$I,"MDAW*")+SUMIFS('BSE - Other Index Options'!$M:$M,'BSE - Other Index Options'!$E:$E,$A16,'BSE - Other Index Options'!$B:$B,B$14,'BSE - Other Index Options'!$I:$I,"Weekly*")+SUMIFS('BSE - Other Index Options'!$M:$M,'BSE - Other Index Options'!$E:$E,$A16,'BSE - Other Index Options'!$B:$B,B$14,'BSE - Other Index Options'!$I:$I,"MDAW*"))</f>
        <v/>
      </c>
      <c r="C16" s="26">
        <f>IF(SUMIFS('BSE - SENSEX Index Options'!$M:$M,'BSE - SENSEX Index Options'!$E:$E,$A16,'BSE - SENSEX Index Options'!$B:$B,C$14,'BSE - SENSEX Index Options'!$I:$I,"Weekly*")+SUMIFS('BSE - SENSEX Index Options'!$M:$M,'BSE - SENSEX Index Options'!$E:$E,$A16,'BSE - SENSEX Index Options'!$B:$B,C$14,'BSE - SENSEX Index Options'!$I:$I,"MDAW*")+SUMIFS('BSE - Other Index Options'!$M:$M,'BSE - Other Index Options'!$E:$E,$A16,'BSE - Other Index Options'!$B:$B,C$14,'BSE - Other Index Options'!$I:$I,"Weekly*")+SUMIFS('BSE - Other Index Options'!$M:$M,'BSE - Other Index Options'!$E:$E,$A16,'BSE - Other Index Options'!$B:$B,C$14,'BSE - Other Index Options'!$I:$I,"MDAW*")=0,"",SUMIFS('BSE - SENSEX Index Options'!$M:$M,'BSE - SENSEX Index Options'!$E:$E,$A16,'BSE - SENSEX Index Options'!$B:$B,C$14,'BSE - SENSEX Index Options'!$I:$I,"Weekly*")+SUMIFS('BSE - SENSEX Index Options'!$M:$M,'BSE - SENSEX Index Options'!$E:$E,$A16,'BSE - SENSEX Index Options'!$B:$B,C$14,'BSE - SENSEX Index Options'!$I:$I,"MDAW*")+SUMIFS('BSE - Other Index Options'!$M:$M,'BSE - Other Index Options'!$E:$E,$A16,'BSE - Other Index Options'!$B:$B,C$14,'BSE - Other Index Options'!$I:$I,"Weekly*")+SUMIFS('BSE - Other Index Options'!$M:$M,'BSE - Other Index Options'!$E:$E,$A16,'BSE - Other Index Options'!$B:$B,C$14,'BSE - Other Index Options'!$I:$I,"MDAW*"))</f>
        <v/>
      </c>
      <c r="D16" s="26">
        <f>IF(SUMIFS('BSE - SENSEX Index Options'!$M:$M,'BSE - SENSEX Index Options'!$E:$E,$A16,'BSE - SENSEX Index Options'!$B:$B,D$14,'BSE - SENSEX Index Options'!$I:$I,"Weekly*")+SUMIFS('BSE - SENSEX Index Options'!$M:$M,'BSE - SENSEX Index Options'!$E:$E,$A16,'BSE - SENSEX Index Options'!$B:$B,D$14,'BSE - SENSEX Index Options'!$I:$I,"MDAW*")+SUMIFS('BSE - Other Index Options'!$M:$M,'BSE - Other Index Options'!$E:$E,$A16,'BSE - Other Index Options'!$B:$B,D$14,'BSE - Other Index Options'!$I:$I,"Weekly*")+SUMIFS('BSE - Other Index Options'!$M:$M,'BSE - Other Index Options'!$E:$E,$A16,'BSE - Other Index Options'!$B:$B,D$14,'BSE - Other Index Options'!$I:$I,"MDAW*")=0,"",SUMIFS('BSE - SENSEX Index Options'!$M:$M,'BSE - SENSEX Index Options'!$E:$E,$A16,'BSE - SENSEX Index Options'!$B:$B,D$14,'BSE - SENSEX Index Options'!$I:$I,"Weekly*")+SUMIFS('BSE - SENSEX Index Options'!$M:$M,'BSE - SENSEX Index Options'!$E:$E,$A16,'BSE - SENSEX Index Options'!$B:$B,D$14,'BSE - SENSEX Index Options'!$I:$I,"MDAW*")+SUMIFS('BSE - Other Index Options'!$M:$M,'BSE - Other Index Options'!$E:$E,$A16,'BSE - Other Index Options'!$B:$B,D$14,'BSE - Other Index Options'!$I:$I,"Weekly*")+SUMIFS('BSE - Other Index Options'!$M:$M,'BSE - Other Index Options'!$E:$E,$A16,'BSE - Other Index Options'!$B:$B,D$14,'BSE - Other Index Options'!$I:$I,"MDAW*"))</f>
        <v/>
      </c>
      <c r="E16" s="26">
        <f>IF(SUMIFS('BSE - SENSEX Index Options'!$M:$M,'BSE - SENSEX Index Options'!$E:$E,$A16,'BSE - SENSEX Index Options'!$B:$B,E$14,'BSE - SENSEX Index Options'!$I:$I,"Weekly*")+SUMIFS('BSE - SENSEX Index Options'!$M:$M,'BSE - SENSEX Index Options'!$E:$E,$A16,'BSE - SENSEX Index Options'!$B:$B,E$14,'BSE - SENSEX Index Options'!$I:$I,"MDAW*")+SUMIFS('BSE - Other Index Options'!$M:$M,'BSE - Other Index Options'!$E:$E,$A16,'BSE - Other Index Options'!$B:$B,E$14,'BSE - Other Index Options'!$I:$I,"Weekly*")+SUMIFS('BSE - Other Index Options'!$M:$M,'BSE - Other Index Options'!$E:$E,$A16,'BSE - Other Index Options'!$B:$B,E$14,'BSE - Other Index Options'!$I:$I,"MDAW*")=0,"",SUMIFS('BSE - SENSEX Index Options'!$M:$M,'BSE - SENSEX Index Options'!$E:$E,$A16,'BSE - SENSEX Index Options'!$B:$B,E$14,'BSE - SENSEX Index Options'!$I:$I,"Weekly*")+SUMIFS('BSE - SENSEX Index Options'!$M:$M,'BSE - SENSEX Index Options'!$E:$E,$A16,'BSE - SENSEX Index Options'!$B:$B,E$14,'BSE - SENSEX Index Options'!$I:$I,"MDAW*")+SUMIFS('BSE - Other Index Options'!$M:$M,'BSE - Other Index Options'!$E:$E,$A16,'BSE - Other Index Options'!$B:$B,E$14,'BSE - Other Index Options'!$I:$I,"Weekly*")+SUMIFS('BSE - Other Index Options'!$M:$M,'BSE - Other Index Options'!$E:$E,$A16,'BSE - Other Index Options'!$B:$B,E$14,'BSE - Other Index Options'!$I:$I,"MDAW*"))</f>
        <v/>
      </c>
      <c r="F16" s="26">
        <f>IF(SUMIFS('BSE - SENSEX Index Options'!$M:$M,'BSE - SENSEX Index Options'!$E:$E,$A16,'BSE - SENSEX Index Options'!$B:$B,F$14,'BSE - SENSEX Index Options'!$I:$I,"Weekly*")+SUMIFS('BSE - SENSEX Index Options'!$M:$M,'BSE - SENSEX Index Options'!$E:$E,$A16,'BSE - SENSEX Index Options'!$B:$B,F$14,'BSE - SENSEX Index Options'!$I:$I,"MDAW*")+SUMIFS('BSE - Other Index Options'!$M:$M,'BSE - Other Index Options'!$E:$E,$A16,'BSE - Other Index Options'!$B:$B,F$14,'BSE - Other Index Options'!$I:$I,"Weekly*")+SUMIFS('BSE - Other Index Options'!$M:$M,'BSE - Other Index Options'!$E:$E,$A16,'BSE - Other Index Options'!$B:$B,F$14,'BSE - Other Index Options'!$I:$I,"MDAW*")=0,"",SUMIFS('BSE - SENSEX Index Options'!$M:$M,'BSE - SENSEX Index Options'!$E:$E,$A16,'BSE - SENSEX Index Options'!$B:$B,F$14,'BSE - SENSEX Index Options'!$I:$I,"Weekly*")+SUMIFS('BSE - SENSEX Index Options'!$M:$M,'BSE - SENSEX Index Options'!$E:$E,$A16,'BSE - SENSEX Index Options'!$B:$B,F$14,'BSE - SENSEX Index Options'!$I:$I,"MDAW*")+SUMIFS('BSE - Other Index Options'!$M:$M,'BSE - Other Index Options'!$E:$E,$A16,'BSE - Other Index Options'!$B:$B,F$14,'BSE - Other Index Options'!$I:$I,"Weekly*")+SUMIFS('BSE - Other Index Options'!$M:$M,'BSE - Other Index Options'!$E:$E,$A16,'BSE - Other Index Options'!$B:$B,F$14,'BSE - Other Index Options'!$I:$I,"MDAW*"))</f>
        <v/>
      </c>
      <c r="G16" s="26">
        <f>IF(SUMIFS('BSE - SENSEX Index Options'!$M:$M,'BSE - SENSEX Index Options'!$E:$E,$A16,'BSE - SENSEX Index Options'!$B:$B,G$14,'BSE - SENSEX Index Options'!$I:$I,"Weekly*")+SUMIFS('BSE - SENSEX Index Options'!$M:$M,'BSE - SENSEX Index Options'!$E:$E,$A16,'BSE - SENSEX Index Options'!$B:$B,G$14,'BSE - SENSEX Index Options'!$I:$I,"MDAW*")+SUMIFS('BSE - Other Index Options'!$M:$M,'BSE - Other Index Options'!$E:$E,$A16,'BSE - Other Index Options'!$B:$B,G$14,'BSE - Other Index Options'!$I:$I,"Weekly*")+SUMIFS('BSE - Other Index Options'!$M:$M,'BSE - Other Index Options'!$E:$E,$A16,'BSE - Other Index Options'!$B:$B,G$14,'BSE - Other Index Options'!$I:$I,"MDAW*")=0,"",SUMIFS('BSE - SENSEX Index Options'!$M:$M,'BSE - SENSEX Index Options'!$E:$E,$A16,'BSE - SENSEX Index Options'!$B:$B,G$14,'BSE - SENSEX Index Options'!$I:$I,"Weekly*")+SUMIFS('BSE - SENSEX Index Options'!$M:$M,'BSE - SENSEX Index Options'!$E:$E,$A16,'BSE - SENSEX Index Options'!$B:$B,G$14,'BSE - SENSEX Index Options'!$I:$I,"MDAW*")+SUMIFS('BSE - Other Index Options'!$M:$M,'BSE - Other Index Options'!$E:$E,$A16,'BSE - Other Index Options'!$B:$B,G$14,'BSE - Other Index Options'!$I:$I,"Weekly*")+SUMIFS('BSE - Other Index Options'!$M:$M,'BSE - Other Index Options'!$E:$E,$A16,'BSE - Other Index Options'!$B:$B,G$14,'BSE - Other Index Options'!$I:$I,"MDAW*"))</f>
        <v/>
      </c>
      <c r="H16" s="26">
        <f>IF(SUM(B16:G16)=0,"",SUM(B16:G16))</f>
        <v/>
      </c>
    </row>
    <row r="17">
      <c r="A17" t="inlineStr">
        <is>
          <t>Q4FY26</t>
        </is>
      </c>
      <c r="B17" s="26">
        <f>IF(SUMIFS('BSE - SENSEX Index Options'!$M:$M,'BSE - SENSEX Index Options'!$E:$E,$A17,'BSE - SENSEX Index Options'!$B:$B,B$14,'BSE - SENSEX Index Options'!$I:$I,"Weekly*")+SUMIFS('BSE - SENSEX Index Options'!$M:$M,'BSE - SENSEX Index Options'!$E:$E,$A17,'BSE - SENSEX Index Options'!$B:$B,B$14,'BSE - SENSEX Index Options'!$I:$I,"MDAW*")+SUMIFS('BSE - Other Index Options'!$M:$M,'BSE - Other Index Options'!$E:$E,$A17,'BSE - Other Index Options'!$B:$B,B$14,'BSE - Other Index Options'!$I:$I,"Weekly*")+SUMIFS('BSE - Other Index Options'!$M:$M,'BSE - Other Index Options'!$E:$E,$A17,'BSE - Other Index Options'!$B:$B,B$14,'BSE - Other Index Options'!$I:$I,"MDAW*")=0,"",SUMIFS('BSE - SENSEX Index Options'!$M:$M,'BSE - SENSEX Index Options'!$E:$E,$A17,'BSE - SENSEX Index Options'!$B:$B,B$14,'BSE - SENSEX Index Options'!$I:$I,"Weekly*")+SUMIFS('BSE - SENSEX Index Options'!$M:$M,'BSE - SENSEX Index Options'!$E:$E,$A17,'BSE - SENSEX Index Options'!$B:$B,B$14,'BSE - SENSEX Index Options'!$I:$I,"MDAW*")+SUMIFS('BSE - Other Index Options'!$M:$M,'BSE - Other Index Options'!$E:$E,$A17,'BSE - Other Index Options'!$B:$B,B$14,'BSE - Other Index Options'!$I:$I,"Weekly*")+SUMIFS('BSE - Other Index Options'!$M:$M,'BSE - Other Index Options'!$E:$E,$A17,'BSE - Other Index Options'!$B:$B,B$14,'BSE - Other Index Options'!$I:$I,"MDAW*"))</f>
        <v/>
      </c>
      <c r="C17" s="26">
        <f>IF(SUMIFS('BSE - SENSEX Index Options'!$M:$M,'BSE - SENSEX Index Options'!$E:$E,$A17,'BSE - SENSEX Index Options'!$B:$B,C$14,'BSE - SENSEX Index Options'!$I:$I,"Weekly*")+SUMIFS('BSE - SENSEX Index Options'!$M:$M,'BSE - SENSEX Index Options'!$E:$E,$A17,'BSE - SENSEX Index Options'!$B:$B,C$14,'BSE - SENSEX Index Options'!$I:$I,"MDAW*")+SUMIFS('BSE - Other Index Options'!$M:$M,'BSE - Other Index Options'!$E:$E,$A17,'BSE - Other Index Options'!$B:$B,C$14,'BSE - Other Index Options'!$I:$I,"Weekly*")+SUMIFS('BSE - Other Index Options'!$M:$M,'BSE - Other Index Options'!$E:$E,$A17,'BSE - Other Index Options'!$B:$B,C$14,'BSE - Other Index Options'!$I:$I,"MDAW*")=0,"",SUMIFS('BSE - SENSEX Index Options'!$M:$M,'BSE - SENSEX Index Options'!$E:$E,$A17,'BSE - SENSEX Index Options'!$B:$B,C$14,'BSE - SENSEX Index Options'!$I:$I,"Weekly*")+SUMIFS('BSE - SENSEX Index Options'!$M:$M,'BSE - SENSEX Index Options'!$E:$E,$A17,'BSE - SENSEX Index Options'!$B:$B,C$14,'BSE - SENSEX Index Options'!$I:$I,"MDAW*")+SUMIFS('BSE - Other Index Options'!$M:$M,'BSE - Other Index Options'!$E:$E,$A17,'BSE - Other Index Options'!$B:$B,C$14,'BSE - Other Index Options'!$I:$I,"Weekly*")+SUMIFS('BSE - Other Index Options'!$M:$M,'BSE - Other Index Options'!$E:$E,$A17,'BSE - Other Index Options'!$B:$B,C$14,'BSE - Other Index Options'!$I:$I,"MDAW*"))</f>
        <v/>
      </c>
      <c r="D17" s="26">
        <f>IF(SUMIFS('BSE - SENSEX Index Options'!$M:$M,'BSE - SENSEX Index Options'!$E:$E,$A17,'BSE - SENSEX Index Options'!$B:$B,D$14,'BSE - SENSEX Index Options'!$I:$I,"Weekly*")+SUMIFS('BSE - SENSEX Index Options'!$M:$M,'BSE - SENSEX Index Options'!$E:$E,$A17,'BSE - SENSEX Index Options'!$B:$B,D$14,'BSE - SENSEX Index Options'!$I:$I,"MDAW*")+SUMIFS('BSE - Other Index Options'!$M:$M,'BSE - Other Index Options'!$E:$E,$A17,'BSE - Other Index Options'!$B:$B,D$14,'BSE - Other Index Options'!$I:$I,"Weekly*")+SUMIFS('BSE - Other Index Options'!$M:$M,'BSE - Other Index Options'!$E:$E,$A17,'BSE - Other Index Options'!$B:$B,D$14,'BSE - Other Index Options'!$I:$I,"MDAW*")=0,"",SUMIFS('BSE - SENSEX Index Options'!$M:$M,'BSE - SENSEX Index Options'!$E:$E,$A17,'BSE - SENSEX Index Options'!$B:$B,D$14,'BSE - SENSEX Index Options'!$I:$I,"Weekly*")+SUMIFS('BSE - SENSEX Index Options'!$M:$M,'BSE - SENSEX Index Options'!$E:$E,$A17,'BSE - SENSEX Index Options'!$B:$B,D$14,'BSE - SENSEX Index Options'!$I:$I,"MDAW*")+SUMIFS('BSE - Other Index Options'!$M:$M,'BSE - Other Index Options'!$E:$E,$A17,'BSE - Other Index Options'!$B:$B,D$14,'BSE - Other Index Options'!$I:$I,"Weekly*")+SUMIFS('BSE - Other Index Options'!$M:$M,'BSE - Other Index Options'!$E:$E,$A17,'BSE - Other Index Options'!$B:$B,D$14,'BSE - Other Index Options'!$I:$I,"MDAW*"))</f>
        <v/>
      </c>
      <c r="E17" s="26">
        <f>IF(SUMIFS('BSE - SENSEX Index Options'!$M:$M,'BSE - SENSEX Index Options'!$E:$E,$A17,'BSE - SENSEX Index Options'!$B:$B,E$14,'BSE - SENSEX Index Options'!$I:$I,"Weekly*")+SUMIFS('BSE - SENSEX Index Options'!$M:$M,'BSE - SENSEX Index Options'!$E:$E,$A17,'BSE - SENSEX Index Options'!$B:$B,E$14,'BSE - SENSEX Index Options'!$I:$I,"MDAW*")+SUMIFS('BSE - Other Index Options'!$M:$M,'BSE - Other Index Options'!$E:$E,$A17,'BSE - Other Index Options'!$B:$B,E$14,'BSE - Other Index Options'!$I:$I,"Weekly*")+SUMIFS('BSE - Other Index Options'!$M:$M,'BSE - Other Index Options'!$E:$E,$A17,'BSE - Other Index Options'!$B:$B,E$14,'BSE - Other Index Options'!$I:$I,"MDAW*")=0,"",SUMIFS('BSE - SENSEX Index Options'!$M:$M,'BSE - SENSEX Index Options'!$E:$E,$A17,'BSE - SENSEX Index Options'!$B:$B,E$14,'BSE - SENSEX Index Options'!$I:$I,"Weekly*")+SUMIFS('BSE - SENSEX Index Options'!$M:$M,'BSE - SENSEX Index Options'!$E:$E,$A17,'BSE - SENSEX Index Options'!$B:$B,E$14,'BSE - SENSEX Index Options'!$I:$I,"MDAW*")+SUMIFS('BSE - Other Index Options'!$M:$M,'BSE - Other Index Options'!$E:$E,$A17,'BSE - Other Index Options'!$B:$B,E$14,'BSE - Other Index Options'!$I:$I,"Weekly*")+SUMIFS('BSE - Other Index Options'!$M:$M,'BSE - Other Index Options'!$E:$E,$A17,'BSE - Other Index Options'!$B:$B,E$14,'BSE - Other Index Options'!$I:$I,"MDAW*"))</f>
        <v/>
      </c>
      <c r="F17" s="26">
        <f>IF(SUMIFS('BSE - SENSEX Index Options'!$M:$M,'BSE - SENSEX Index Options'!$E:$E,$A17,'BSE - SENSEX Index Options'!$B:$B,F$14,'BSE - SENSEX Index Options'!$I:$I,"Weekly*")+SUMIFS('BSE - SENSEX Index Options'!$M:$M,'BSE - SENSEX Index Options'!$E:$E,$A17,'BSE - SENSEX Index Options'!$B:$B,F$14,'BSE - SENSEX Index Options'!$I:$I,"MDAW*")+SUMIFS('BSE - Other Index Options'!$M:$M,'BSE - Other Index Options'!$E:$E,$A17,'BSE - Other Index Options'!$B:$B,F$14,'BSE - Other Index Options'!$I:$I,"Weekly*")+SUMIFS('BSE - Other Index Options'!$M:$M,'BSE - Other Index Options'!$E:$E,$A17,'BSE - Other Index Options'!$B:$B,F$14,'BSE - Other Index Options'!$I:$I,"MDAW*")=0,"",SUMIFS('BSE - SENSEX Index Options'!$M:$M,'BSE - SENSEX Index Options'!$E:$E,$A17,'BSE - SENSEX Index Options'!$B:$B,F$14,'BSE - SENSEX Index Options'!$I:$I,"Weekly*")+SUMIFS('BSE - SENSEX Index Options'!$M:$M,'BSE - SENSEX Index Options'!$E:$E,$A17,'BSE - SENSEX Index Options'!$B:$B,F$14,'BSE - SENSEX Index Options'!$I:$I,"MDAW*")+SUMIFS('BSE - Other Index Options'!$M:$M,'BSE - Other Index Options'!$E:$E,$A17,'BSE - Other Index Options'!$B:$B,F$14,'BSE - Other Index Options'!$I:$I,"Weekly*")+SUMIFS('BSE - Other Index Options'!$M:$M,'BSE - Other Index Options'!$E:$E,$A17,'BSE - Other Index Options'!$B:$B,F$14,'BSE - Other Index Options'!$I:$I,"MDAW*"))</f>
        <v/>
      </c>
      <c r="G17" s="26">
        <f>IF(SUMIFS('BSE - SENSEX Index Options'!$M:$M,'BSE - SENSEX Index Options'!$E:$E,$A17,'BSE - SENSEX Index Options'!$B:$B,G$14,'BSE - SENSEX Index Options'!$I:$I,"Weekly*")+SUMIFS('BSE - SENSEX Index Options'!$M:$M,'BSE - SENSEX Index Options'!$E:$E,$A17,'BSE - SENSEX Index Options'!$B:$B,G$14,'BSE - SENSEX Index Options'!$I:$I,"MDAW*")+SUMIFS('BSE - Other Index Options'!$M:$M,'BSE - Other Index Options'!$E:$E,$A17,'BSE - Other Index Options'!$B:$B,G$14,'BSE - Other Index Options'!$I:$I,"Weekly*")+SUMIFS('BSE - Other Index Options'!$M:$M,'BSE - Other Index Options'!$E:$E,$A17,'BSE - Other Index Options'!$B:$B,G$14,'BSE - Other Index Options'!$I:$I,"MDAW*")=0,"",SUMIFS('BSE - SENSEX Index Options'!$M:$M,'BSE - SENSEX Index Options'!$E:$E,$A17,'BSE - SENSEX Index Options'!$B:$B,G$14,'BSE - SENSEX Index Options'!$I:$I,"Weekly*")+SUMIFS('BSE - SENSEX Index Options'!$M:$M,'BSE - SENSEX Index Options'!$E:$E,$A17,'BSE - SENSEX Index Options'!$B:$B,G$14,'BSE - SENSEX Index Options'!$I:$I,"MDAW*")+SUMIFS('BSE - Other Index Options'!$M:$M,'BSE - Other Index Options'!$E:$E,$A17,'BSE - Other Index Options'!$B:$B,G$14,'BSE - Other Index Options'!$I:$I,"Weekly*")+SUMIFS('BSE - Other Index Options'!$M:$M,'BSE - Other Index Options'!$E:$E,$A17,'BSE - Other Index Options'!$B:$B,G$14,'BSE - Other Index Options'!$I:$I,"MDAW*"))</f>
        <v/>
      </c>
      <c r="H17" s="26">
        <f>IF(SUM(B17:G17)=0,"",SUM(B17:G17))</f>
        <v/>
      </c>
    </row>
    <row r="18">
      <c r="A18" t="inlineStr">
        <is>
          <t>Q1FY27</t>
        </is>
      </c>
      <c r="B18" s="26">
        <f>IF(SUMIFS('BSE - SENSEX Index Options'!$M:$M,'BSE - SENSEX Index Options'!$E:$E,$A18,'BSE - SENSEX Index Options'!$B:$B,B$14,'BSE - SENSEX Index Options'!$I:$I,"Weekly*")+SUMIFS('BSE - SENSEX Index Options'!$M:$M,'BSE - SENSEX Index Options'!$E:$E,$A18,'BSE - SENSEX Index Options'!$B:$B,B$14,'BSE - SENSEX Index Options'!$I:$I,"MDAW*")+SUMIFS('BSE - Other Index Options'!$M:$M,'BSE - Other Index Options'!$E:$E,$A18,'BSE - Other Index Options'!$B:$B,B$14,'BSE - Other Index Options'!$I:$I,"Weekly*")+SUMIFS('BSE - Other Index Options'!$M:$M,'BSE - Other Index Options'!$E:$E,$A18,'BSE - Other Index Options'!$B:$B,B$14,'BSE - Other Index Options'!$I:$I,"MDAW*")=0,"",SUMIFS('BSE - SENSEX Index Options'!$M:$M,'BSE - SENSEX Index Options'!$E:$E,$A18,'BSE - SENSEX Index Options'!$B:$B,B$14,'BSE - SENSEX Index Options'!$I:$I,"Weekly*")+SUMIFS('BSE - SENSEX Index Options'!$M:$M,'BSE - SENSEX Index Options'!$E:$E,$A18,'BSE - SENSEX Index Options'!$B:$B,B$14,'BSE - SENSEX Index Options'!$I:$I,"MDAW*")+SUMIFS('BSE - Other Index Options'!$M:$M,'BSE - Other Index Options'!$E:$E,$A18,'BSE - Other Index Options'!$B:$B,B$14,'BSE - Other Index Options'!$I:$I,"Weekly*")+SUMIFS('BSE - Other Index Options'!$M:$M,'BSE - Other Index Options'!$E:$E,$A18,'BSE - Other Index Options'!$B:$B,B$14,'BSE - Other Index Options'!$I:$I,"MDAW*"))</f>
        <v/>
      </c>
      <c r="C18" s="26">
        <f>IF(SUMIFS('BSE - SENSEX Index Options'!$M:$M,'BSE - SENSEX Index Options'!$E:$E,$A18,'BSE - SENSEX Index Options'!$B:$B,C$14,'BSE - SENSEX Index Options'!$I:$I,"Weekly*")+SUMIFS('BSE - SENSEX Index Options'!$M:$M,'BSE - SENSEX Index Options'!$E:$E,$A18,'BSE - SENSEX Index Options'!$B:$B,C$14,'BSE - SENSEX Index Options'!$I:$I,"MDAW*")+SUMIFS('BSE - Other Index Options'!$M:$M,'BSE - Other Index Options'!$E:$E,$A18,'BSE - Other Index Options'!$B:$B,C$14,'BSE - Other Index Options'!$I:$I,"Weekly*")+SUMIFS('BSE - Other Index Options'!$M:$M,'BSE - Other Index Options'!$E:$E,$A18,'BSE - Other Index Options'!$B:$B,C$14,'BSE - Other Index Options'!$I:$I,"MDAW*")=0,"",SUMIFS('BSE - SENSEX Index Options'!$M:$M,'BSE - SENSEX Index Options'!$E:$E,$A18,'BSE - SENSEX Index Options'!$B:$B,C$14,'BSE - SENSEX Index Options'!$I:$I,"Weekly*")+SUMIFS('BSE - SENSEX Index Options'!$M:$M,'BSE - SENSEX Index Options'!$E:$E,$A18,'BSE - SENSEX Index Options'!$B:$B,C$14,'BSE - SENSEX Index Options'!$I:$I,"MDAW*")+SUMIFS('BSE - Other Index Options'!$M:$M,'BSE - Other Index Options'!$E:$E,$A18,'BSE - Other Index Options'!$B:$B,C$14,'BSE - Other Index Options'!$I:$I,"Weekly*")+SUMIFS('BSE - Other Index Options'!$M:$M,'BSE - Other Index Options'!$E:$E,$A18,'BSE - Other Index Options'!$B:$B,C$14,'BSE - Other Index Options'!$I:$I,"MDAW*"))</f>
        <v/>
      </c>
      <c r="D18" s="26">
        <f>IF(SUMIFS('BSE - SENSEX Index Options'!$M:$M,'BSE - SENSEX Index Options'!$E:$E,$A18,'BSE - SENSEX Index Options'!$B:$B,D$14,'BSE - SENSEX Index Options'!$I:$I,"Weekly*")+SUMIFS('BSE - SENSEX Index Options'!$M:$M,'BSE - SENSEX Index Options'!$E:$E,$A18,'BSE - SENSEX Index Options'!$B:$B,D$14,'BSE - SENSEX Index Options'!$I:$I,"MDAW*")+SUMIFS('BSE - Other Index Options'!$M:$M,'BSE - Other Index Options'!$E:$E,$A18,'BSE - Other Index Options'!$B:$B,D$14,'BSE - Other Index Options'!$I:$I,"Weekly*")+SUMIFS('BSE - Other Index Options'!$M:$M,'BSE - Other Index Options'!$E:$E,$A18,'BSE - Other Index Options'!$B:$B,D$14,'BSE - Other Index Options'!$I:$I,"MDAW*")=0,"",SUMIFS('BSE - SENSEX Index Options'!$M:$M,'BSE - SENSEX Index Options'!$E:$E,$A18,'BSE - SENSEX Index Options'!$B:$B,D$14,'BSE - SENSEX Index Options'!$I:$I,"Weekly*")+SUMIFS('BSE - SENSEX Index Options'!$M:$M,'BSE - SENSEX Index Options'!$E:$E,$A18,'BSE - SENSEX Index Options'!$B:$B,D$14,'BSE - SENSEX Index Options'!$I:$I,"MDAW*")+SUMIFS('BSE - Other Index Options'!$M:$M,'BSE - Other Index Options'!$E:$E,$A18,'BSE - Other Index Options'!$B:$B,D$14,'BSE - Other Index Options'!$I:$I,"Weekly*")+SUMIFS('BSE - Other Index Options'!$M:$M,'BSE - Other Index Options'!$E:$E,$A18,'BSE - Other Index Options'!$B:$B,D$14,'BSE - Other Index Options'!$I:$I,"MDAW*"))</f>
        <v/>
      </c>
      <c r="E18" s="26">
        <f>IF(SUMIFS('BSE - SENSEX Index Options'!$M:$M,'BSE - SENSEX Index Options'!$E:$E,$A18,'BSE - SENSEX Index Options'!$B:$B,E$14,'BSE - SENSEX Index Options'!$I:$I,"Weekly*")+SUMIFS('BSE - SENSEX Index Options'!$M:$M,'BSE - SENSEX Index Options'!$E:$E,$A18,'BSE - SENSEX Index Options'!$B:$B,E$14,'BSE - SENSEX Index Options'!$I:$I,"MDAW*")+SUMIFS('BSE - Other Index Options'!$M:$M,'BSE - Other Index Options'!$E:$E,$A18,'BSE - Other Index Options'!$B:$B,E$14,'BSE - Other Index Options'!$I:$I,"Weekly*")+SUMIFS('BSE - Other Index Options'!$M:$M,'BSE - Other Index Options'!$E:$E,$A18,'BSE - Other Index Options'!$B:$B,E$14,'BSE - Other Index Options'!$I:$I,"MDAW*")=0,"",SUMIFS('BSE - SENSEX Index Options'!$M:$M,'BSE - SENSEX Index Options'!$E:$E,$A18,'BSE - SENSEX Index Options'!$B:$B,E$14,'BSE - SENSEX Index Options'!$I:$I,"Weekly*")+SUMIFS('BSE - SENSEX Index Options'!$M:$M,'BSE - SENSEX Index Options'!$E:$E,$A18,'BSE - SENSEX Index Options'!$B:$B,E$14,'BSE - SENSEX Index Options'!$I:$I,"MDAW*")+SUMIFS('BSE - Other Index Options'!$M:$M,'BSE - Other Index Options'!$E:$E,$A18,'BSE - Other Index Options'!$B:$B,E$14,'BSE - Other Index Options'!$I:$I,"Weekly*")+SUMIFS('BSE - Other Index Options'!$M:$M,'BSE - Other Index Options'!$E:$E,$A18,'BSE - Other Index Options'!$B:$B,E$14,'BSE - Other Index Options'!$I:$I,"MDAW*"))</f>
        <v/>
      </c>
      <c r="F18" s="26">
        <f>IF(SUMIFS('BSE - SENSEX Index Options'!$M:$M,'BSE - SENSEX Index Options'!$E:$E,$A18,'BSE - SENSEX Index Options'!$B:$B,F$14,'BSE - SENSEX Index Options'!$I:$I,"Weekly*")+SUMIFS('BSE - SENSEX Index Options'!$M:$M,'BSE - SENSEX Index Options'!$E:$E,$A18,'BSE - SENSEX Index Options'!$B:$B,F$14,'BSE - SENSEX Index Options'!$I:$I,"MDAW*")+SUMIFS('BSE - Other Index Options'!$M:$M,'BSE - Other Index Options'!$E:$E,$A18,'BSE - Other Index Options'!$B:$B,F$14,'BSE - Other Index Options'!$I:$I,"Weekly*")+SUMIFS('BSE - Other Index Options'!$M:$M,'BSE - Other Index Options'!$E:$E,$A18,'BSE - Other Index Options'!$B:$B,F$14,'BSE - Other Index Options'!$I:$I,"MDAW*")=0,"",SUMIFS('BSE - SENSEX Index Options'!$M:$M,'BSE - SENSEX Index Options'!$E:$E,$A18,'BSE - SENSEX Index Options'!$B:$B,F$14,'BSE - SENSEX Index Options'!$I:$I,"Weekly*")+SUMIFS('BSE - SENSEX Index Options'!$M:$M,'BSE - SENSEX Index Options'!$E:$E,$A18,'BSE - SENSEX Index Options'!$B:$B,F$14,'BSE - SENSEX Index Options'!$I:$I,"MDAW*")+SUMIFS('BSE - Other Index Options'!$M:$M,'BSE - Other Index Options'!$E:$E,$A18,'BSE - Other Index Options'!$B:$B,F$14,'BSE - Other Index Options'!$I:$I,"Weekly*")+SUMIFS('BSE - Other Index Options'!$M:$M,'BSE - Other Index Options'!$E:$E,$A18,'BSE - Other Index Options'!$B:$B,F$14,'BSE - Other Index Options'!$I:$I,"MDAW*"))</f>
        <v/>
      </c>
      <c r="G18" s="26">
        <f>IF(SUMIFS('BSE - SENSEX Index Options'!$M:$M,'BSE - SENSEX Index Options'!$E:$E,$A18,'BSE - SENSEX Index Options'!$B:$B,G$14,'BSE - SENSEX Index Options'!$I:$I,"Weekly*")+SUMIFS('BSE - SENSEX Index Options'!$M:$M,'BSE - SENSEX Index Options'!$E:$E,$A18,'BSE - SENSEX Index Options'!$B:$B,G$14,'BSE - SENSEX Index Options'!$I:$I,"MDAW*")+SUMIFS('BSE - Other Index Options'!$M:$M,'BSE - Other Index Options'!$E:$E,$A18,'BSE - Other Index Options'!$B:$B,G$14,'BSE - Other Index Options'!$I:$I,"Weekly*")+SUMIFS('BSE - Other Index Options'!$M:$M,'BSE - Other Index Options'!$E:$E,$A18,'BSE - Other Index Options'!$B:$B,G$14,'BSE - Other Index Options'!$I:$I,"MDAW*")=0,"",SUMIFS('BSE - SENSEX Index Options'!$M:$M,'BSE - SENSEX Index Options'!$E:$E,$A18,'BSE - SENSEX Index Options'!$B:$B,G$14,'BSE - SENSEX Index Options'!$I:$I,"Weekly*")+SUMIFS('BSE - SENSEX Index Options'!$M:$M,'BSE - SENSEX Index Options'!$E:$E,$A18,'BSE - SENSEX Index Options'!$B:$B,G$14,'BSE - SENSEX Index Options'!$I:$I,"MDAW*")+SUMIFS('BSE - Other Index Options'!$M:$M,'BSE - Other Index Options'!$E:$E,$A18,'BSE - Other Index Options'!$B:$B,G$14,'BSE - Other Index Options'!$I:$I,"Weekly*")+SUMIFS('BSE - Other Index Options'!$M:$M,'BSE - Other Index Options'!$E:$E,$A18,'BSE - Other Index Options'!$B:$B,G$14,'BSE - Other Index Options'!$I:$I,"MDAW*"))</f>
        <v/>
      </c>
      <c r="H18" s="26">
        <f>IF(SUM(B18:G18)=0,"",SUM(B18:G18))</f>
        <v/>
      </c>
    </row>
    <row r="19">
      <c r="A19" t="inlineStr">
        <is>
          <t>Q2FY27</t>
        </is>
      </c>
      <c r="B19" s="26">
        <f>IF(SUMIFS('BSE - SENSEX Index Options'!$M:$M,'BSE - SENSEX Index Options'!$E:$E,$A19,'BSE - SENSEX Index Options'!$B:$B,B$14,'BSE - SENSEX Index Options'!$I:$I,"Weekly*")+SUMIFS('BSE - SENSEX Index Options'!$M:$M,'BSE - SENSEX Index Options'!$E:$E,$A19,'BSE - SENSEX Index Options'!$B:$B,B$14,'BSE - SENSEX Index Options'!$I:$I,"MDAW*")+SUMIFS('BSE - Other Index Options'!$M:$M,'BSE - Other Index Options'!$E:$E,$A19,'BSE - Other Index Options'!$B:$B,B$14,'BSE - Other Index Options'!$I:$I,"Weekly*")+SUMIFS('BSE - Other Index Options'!$M:$M,'BSE - Other Index Options'!$E:$E,$A19,'BSE - Other Index Options'!$B:$B,B$14,'BSE - Other Index Options'!$I:$I,"MDAW*")=0,"",SUMIFS('BSE - SENSEX Index Options'!$M:$M,'BSE - SENSEX Index Options'!$E:$E,$A19,'BSE - SENSEX Index Options'!$B:$B,B$14,'BSE - SENSEX Index Options'!$I:$I,"Weekly*")+SUMIFS('BSE - SENSEX Index Options'!$M:$M,'BSE - SENSEX Index Options'!$E:$E,$A19,'BSE - SENSEX Index Options'!$B:$B,B$14,'BSE - SENSEX Index Options'!$I:$I,"MDAW*")+SUMIFS('BSE - Other Index Options'!$M:$M,'BSE - Other Index Options'!$E:$E,$A19,'BSE - Other Index Options'!$B:$B,B$14,'BSE - Other Index Options'!$I:$I,"Weekly*")+SUMIFS('BSE - Other Index Options'!$M:$M,'BSE - Other Index Options'!$E:$E,$A19,'BSE - Other Index Options'!$B:$B,B$14,'BSE - Other Index Options'!$I:$I,"MDAW*"))</f>
        <v/>
      </c>
      <c r="C19" s="26">
        <f>IF(SUMIFS('BSE - SENSEX Index Options'!$M:$M,'BSE - SENSEX Index Options'!$E:$E,$A19,'BSE - SENSEX Index Options'!$B:$B,C$14,'BSE - SENSEX Index Options'!$I:$I,"Weekly*")+SUMIFS('BSE - SENSEX Index Options'!$M:$M,'BSE - SENSEX Index Options'!$E:$E,$A19,'BSE - SENSEX Index Options'!$B:$B,C$14,'BSE - SENSEX Index Options'!$I:$I,"MDAW*")+SUMIFS('BSE - Other Index Options'!$M:$M,'BSE - Other Index Options'!$E:$E,$A19,'BSE - Other Index Options'!$B:$B,C$14,'BSE - Other Index Options'!$I:$I,"Weekly*")+SUMIFS('BSE - Other Index Options'!$M:$M,'BSE - Other Index Options'!$E:$E,$A19,'BSE - Other Index Options'!$B:$B,C$14,'BSE - Other Index Options'!$I:$I,"MDAW*")=0,"",SUMIFS('BSE - SENSEX Index Options'!$M:$M,'BSE - SENSEX Index Options'!$E:$E,$A19,'BSE - SENSEX Index Options'!$B:$B,C$14,'BSE - SENSEX Index Options'!$I:$I,"Weekly*")+SUMIFS('BSE - SENSEX Index Options'!$M:$M,'BSE - SENSEX Index Options'!$E:$E,$A19,'BSE - SENSEX Index Options'!$B:$B,C$14,'BSE - SENSEX Index Options'!$I:$I,"MDAW*")+SUMIFS('BSE - Other Index Options'!$M:$M,'BSE - Other Index Options'!$E:$E,$A19,'BSE - Other Index Options'!$B:$B,C$14,'BSE - Other Index Options'!$I:$I,"Weekly*")+SUMIFS('BSE - Other Index Options'!$M:$M,'BSE - Other Index Options'!$E:$E,$A19,'BSE - Other Index Options'!$B:$B,C$14,'BSE - Other Index Options'!$I:$I,"MDAW*"))</f>
        <v/>
      </c>
      <c r="D19" s="26">
        <f>IF(SUMIFS('BSE - SENSEX Index Options'!$M:$M,'BSE - SENSEX Index Options'!$E:$E,$A19,'BSE - SENSEX Index Options'!$B:$B,D$14,'BSE - SENSEX Index Options'!$I:$I,"Weekly*")+SUMIFS('BSE - SENSEX Index Options'!$M:$M,'BSE - SENSEX Index Options'!$E:$E,$A19,'BSE - SENSEX Index Options'!$B:$B,D$14,'BSE - SENSEX Index Options'!$I:$I,"MDAW*")+SUMIFS('BSE - Other Index Options'!$M:$M,'BSE - Other Index Options'!$E:$E,$A19,'BSE - Other Index Options'!$B:$B,D$14,'BSE - Other Index Options'!$I:$I,"Weekly*")+SUMIFS('BSE - Other Index Options'!$M:$M,'BSE - Other Index Options'!$E:$E,$A19,'BSE - Other Index Options'!$B:$B,D$14,'BSE - Other Index Options'!$I:$I,"MDAW*")=0,"",SUMIFS('BSE - SENSEX Index Options'!$M:$M,'BSE - SENSEX Index Options'!$E:$E,$A19,'BSE - SENSEX Index Options'!$B:$B,D$14,'BSE - SENSEX Index Options'!$I:$I,"Weekly*")+SUMIFS('BSE - SENSEX Index Options'!$M:$M,'BSE - SENSEX Index Options'!$E:$E,$A19,'BSE - SENSEX Index Options'!$B:$B,D$14,'BSE - SENSEX Index Options'!$I:$I,"MDAW*")+SUMIFS('BSE - Other Index Options'!$M:$M,'BSE - Other Index Options'!$E:$E,$A19,'BSE - Other Index Options'!$B:$B,D$14,'BSE - Other Index Options'!$I:$I,"Weekly*")+SUMIFS('BSE - Other Index Options'!$M:$M,'BSE - Other Index Options'!$E:$E,$A19,'BSE - Other Index Options'!$B:$B,D$14,'BSE - Other Index Options'!$I:$I,"MDAW*"))</f>
        <v/>
      </c>
      <c r="E19" s="26">
        <f>IF(SUMIFS('BSE - SENSEX Index Options'!$M:$M,'BSE - SENSEX Index Options'!$E:$E,$A19,'BSE - SENSEX Index Options'!$B:$B,E$14,'BSE - SENSEX Index Options'!$I:$I,"Weekly*")+SUMIFS('BSE - SENSEX Index Options'!$M:$M,'BSE - SENSEX Index Options'!$E:$E,$A19,'BSE - SENSEX Index Options'!$B:$B,E$14,'BSE - SENSEX Index Options'!$I:$I,"MDAW*")+SUMIFS('BSE - Other Index Options'!$M:$M,'BSE - Other Index Options'!$E:$E,$A19,'BSE - Other Index Options'!$B:$B,E$14,'BSE - Other Index Options'!$I:$I,"Weekly*")+SUMIFS('BSE - Other Index Options'!$M:$M,'BSE - Other Index Options'!$E:$E,$A19,'BSE - Other Index Options'!$B:$B,E$14,'BSE - Other Index Options'!$I:$I,"MDAW*")=0,"",SUMIFS('BSE - SENSEX Index Options'!$M:$M,'BSE - SENSEX Index Options'!$E:$E,$A19,'BSE - SENSEX Index Options'!$B:$B,E$14,'BSE - SENSEX Index Options'!$I:$I,"Weekly*")+SUMIFS('BSE - SENSEX Index Options'!$M:$M,'BSE - SENSEX Index Options'!$E:$E,$A19,'BSE - SENSEX Index Options'!$B:$B,E$14,'BSE - SENSEX Index Options'!$I:$I,"MDAW*")+SUMIFS('BSE - Other Index Options'!$M:$M,'BSE - Other Index Options'!$E:$E,$A19,'BSE - Other Index Options'!$B:$B,E$14,'BSE - Other Index Options'!$I:$I,"Weekly*")+SUMIFS('BSE - Other Index Options'!$M:$M,'BSE - Other Index Options'!$E:$E,$A19,'BSE - Other Index Options'!$B:$B,E$14,'BSE - Other Index Options'!$I:$I,"MDAW*"))</f>
        <v/>
      </c>
      <c r="F19" s="26">
        <f>IF(SUMIFS('BSE - SENSEX Index Options'!$M:$M,'BSE - SENSEX Index Options'!$E:$E,$A19,'BSE - SENSEX Index Options'!$B:$B,F$14,'BSE - SENSEX Index Options'!$I:$I,"Weekly*")+SUMIFS('BSE - SENSEX Index Options'!$M:$M,'BSE - SENSEX Index Options'!$E:$E,$A19,'BSE - SENSEX Index Options'!$B:$B,F$14,'BSE - SENSEX Index Options'!$I:$I,"MDAW*")+SUMIFS('BSE - Other Index Options'!$M:$M,'BSE - Other Index Options'!$E:$E,$A19,'BSE - Other Index Options'!$B:$B,F$14,'BSE - Other Index Options'!$I:$I,"Weekly*")+SUMIFS('BSE - Other Index Options'!$M:$M,'BSE - Other Index Options'!$E:$E,$A19,'BSE - Other Index Options'!$B:$B,F$14,'BSE - Other Index Options'!$I:$I,"MDAW*")=0,"",SUMIFS('BSE - SENSEX Index Options'!$M:$M,'BSE - SENSEX Index Options'!$E:$E,$A19,'BSE - SENSEX Index Options'!$B:$B,F$14,'BSE - SENSEX Index Options'!$I:$I,"Weekly*")+SUMIFS('BSE - SENSEX Index Options'!$M:$M,'BSE - SENSEX Index Options'!$E:$E,$A19,'BSE - SENSEX Index Options'!$B:$B,F$14,'BSE - SENSEX Index Options'!$I:$I,"MDAW*")+SUMIFS('BSE - Other Index Options'!$M:$M,'BSE - Other Index Options'!$E:$E,$A19,'BSE - Other Index Options'!$B:$B,F$14,'BSE - Other Index Options'!$I:$I,"Weekly*")+SUMIFS('BSE - Other Index Options'!$M:$M,'BSE - Other Index Options'!$E:$E,$A19,'BSE - Other Index Options'!$B:$B,F$14,'BSE - Other Index Options'!$I:$I,"MDAW*"))</f>
        <v/>
      </c>
      <c r="G19" s="26">
        <f>IF(SUMIFS('BSE - SENSEX Index Options'!$M:$M,'BSE - SENSEX Index Options'!$E:$E,$A19,'BSE - SENSEX Index Options'!$B:$B,G$14,'BSE - SENSEX Index Options'!$I:$I,"Weekly*")+SUMIFS('BSE - SENSEX Index Options'!$M:$M,'BSE - SENSEX Index Options'!$E:$E,$A19,'BSE - SENSEX Index Options'!$B:$B,G$14,'BSE - SENSEX Index Options'!$I:$I,"MDAW*")+SUMIFS('BSE - Other Index Options'!$M:$M,'BSE - Other Index Options'!$E:$E,$A19,'BSE - Other Index Options'!$B:$B,G$14,'BSE - Other Index Options'!$I:$I,"Weekly*")+SUMIFS('BSE - Other Index Options'!$M:$M,'BSE - Other Index Options'!$E:$E,$A19,'BSE - Other Index Options'!$B:$B,G$14,'BSE - Other Index Options'!$I:$I,"MDAW*")=0,"",SUMIFS('BSE - SENSEX Index Options'!$M:$M,'BSE - SENSEX Index Options'!$E:$E,$A19,'BSE - SENSEX Index Options'!$B:$B,G$14,'BSE - SENSEX Index Options'!$I:$I,"Weekly*")+SUMIFS('BSE - SENSEX Index Options'!$M:$M,'BSE - SENSEX Index Options'!$E:$E,$A19,'BSE - SENSEX Index Options'!$B:$B,G$14,'BSE - SENSEX Index Options'!$I:$I,"MDAW*")+SUMIFS('BSE - Other Index Options'!$M:$M,'BSE - Other Index Options'!$E:$E,$A19,'BSE - Other Index Options'!$B:$B,G$14,'BSE - Other Index Options'!$I:$I,"Weekly*")+SUMIFS('BSE - Other Index Options'!$M:$M,'BSE - Other Index Options'!$E:$E,$A19,'BSE - Other Index Options'!$B:$B,G$14,'BSE - Other Index Options'!$I:$I,"MDAW*"))</f>
        <v/>
      </c>
      <c r="H19" s="26">
        <f>IF(SUM(B19:G19)=0,"",SUM(B19:G19))</f>
        <v/>
      </c>
    </row>
    <row r="20">
      <c r="A20" s="68" t="inlineStr">
        <is>
          <t>Total</t>
        </is>
      </c>
      <c r="B20" s="69">
        <f>IF(SUM(B15:B19)=0,"",SUM(B15:B19))</f>
        <v/>
      </c>
      <c r="C20" s="69">
        <f>IF(SUM(C15:C19)=0,"",SUM(C15:C19))</f>
        <v/>
      </c>
      <c r="D20" s="69">
        <f>IF(SUM(D15:D19)=0,"",SUM(D15:D19))</f>
        <v/>
      </c>
      <c r="E20" s="69">
        <f>IF(SUM(E15:E19)=0,"",SUM(E15:E19))</f>
        <v/>
      </c>
      <c r="F20" s="69">
        <f>IF(SUM(F15:F19)=0,"",SUM(F15:F19))</f>
        <v/>
      </c>
      <c r="G20" s="69">
        <f>IF(SUM(G15:G19)=0,"",SUM(G15:G19))</f>
        <v/>
      </c>
      <c r="H20" s="69">
        <f>IF(SUM(H15:H19)=0,"",SUM(H15:H19))</f>
        <v/>
      </c>
    </row>
    <row r="22">
      <c r="A22" s="68" t="inlineStr">
        <is>
          <t>NSE Market Share</t>
        </is>
      </c>
    </row>
    <row r="23">
      <c r="A23" s="68" t="inlineStr">
        <is>
          <t>Trade Quarter</t>
        </is>
      </c>
      <c r="B23" s="68" t="inlineStr">
        <is>
          <t>Monday</t>
        </is>
      </c>
      <c r="C23" s="68" t="inlineStr">
        <is>
          <t>Tuesday</t>
        </is>
      </c>
      <c r="D23" s="68" t="inlineStr">
        <is>
          <t>Wednesday</t>
        </is>
      </c>
      <c r="E23" s="68" t="inlineStr">
        <is>
          <t>Thursday</t>
        </is>
      </c>
      <c r="F23" s="68" t="inlineStr">
        <is>
          <t>Friday</t>
        </is>
      </c>
      <c r="G23" s="68" t="inlineStr">
        <is>
          <t>Sunday</t>
        </is>
      </c>
      <c r="H23" s="68" t="inlineStr">
        <is>
          <t>Total</t>
        </is>
      </c>
    </row>
    <row r="24">
      <c r="A24" t="inlineStr">
        <is>
          <t>Q2FY26</t>
        </is>
      </c>
      <c r="B24" s="27">
        <f>IF(SUM(B6,B15)=0,"",SUM(B6)/SUM(B6,B15))</f>
        <v/>
      </c>
      <c r="C24" s="27">
        <f>IF(SUM(C6,C15)=0,"",SUM(C6)/SUM(C6,C15))</f>
        <v/>
      </c>
      <c r="D24" s="27">
        <f>IF(SUM(D6,D15)=0,"",SUM(D6)/SUM(D6,D15))</f>
        <v/>
      </c>
      <c r="E24" s="27">
        <f>IF(SUM(E6,E15)=0,"",SUM(E6)/SUM(E6,E15))</f>
        <v/>
      </c>
      <c r="F24" s="27">
        <f>IF(SUM(F6,F15)=0,"",SUM(F6)/SUM(F6,F15))</f>
        <v/>
      </c>
      <c r="G24" s="27">
        <f>IF(SUM(G6,G15)=0,"",SUM(G6)/SUM(G6,G15))</f>
        <v/>
      </c>
      <c r="H24" s="27">
        <f>IF(SUM(H6,H15)=0,"",SUM(H6)/SUM(H6,H15))</f>
        <v/>
      </c>
    </row>
    <row r="25">
      <c r="A25" t="inlineStr">
        <is>
          <t>Q3FY26</t>
        </is>
      </c>
      <c r="B25" s="27">
        <f>IF(SUM(B7,B16)=0,"",SUM(B7)/SUM(B7,B16))</f>
        <v/>
      </c>
      <c r="C25" s="27">
        <f>IF(SUM(C7,C16)=0,"",SUM(C7)/SUM(C7,C16))</f>
        <v/>
      </c>
      <c r="D25" s="27">
        <f>IF(SUM(D7,D16)=0,"",SUM(D7)/SUM(D7,D16))</f>
        <v/>
      </c>
      <c r="E25" s="27">
        <f>IF(SUM(E7,E16)=0,"",SUM(E7)/SUM(E7,E16))</f>
        <v/>
      </c>
      <c r="F25" s="27">
        <f>IF(SUM(F7,F16)=0,"",SUM(F7)/SUM(F7,F16))</f>
        <v/>
      </c>
      <c r="G25" s="27">
        <f>IF(SUM(G7,G16)=0,"",SUM(G7)/SUM(G7,G16))</f>
        <v/>
      </c>
      <c r="H25" s="27">
        <f>IF(SUM(H7,H16)=0,"",SUM(H7)/SUM(H7,H16))</f>
        <v/>
      </c>
    </row>
    <row r="26">
      <c r="A26" t="inlineStr">
        <is>
          <t>Q4FY26</t>
        </is>
      </c>
      <c r="B26" s="27">
        <f>IF(SUM(B8,B17)=0,"",SUM(B8)/SUM(B8,B17))</f>
        <v/>
      </c>
      <c r="C26" s="27">
        <f>IF(SUM(C8,C17)=0,"",SUM(C8)/SUM(C8,C17))</f>
        <v/>
      </c>
      <c r="D26" s="27">
        <f>IF(SUM(D8,D17)=0,"",SUM(D8)/SUM(D8,D17))</f>
        <v/>
      </c>
      <c r="E26" s="27">
        <f>IF(SUM(E8,E17)=0,"",SUM(E8)/SUM(E8,E17))</f>
        <v/>
      </c>
      <c r="F26" s="27">
        <f>IF(SUM(F8,F17)=0,"",SUM(F8)/SUM(F8,F17))</f>
        <v/>
      </c>
      <c r="G26" s="27">
        <f>IF(SUM(G8,G17)=0,"",SUM(G8)/SUM(G8,G17))</f>
        <v/>
      </c>
      <c r="H26" s="27">
        <f>IF(SUM(H8,H17)=0,"",SUM(H8)/SUM(H8,H17))</f>
        <v/>
      </c>
    </row>
    <row r="27">
      <c r="A27" t="inlineStr">
        <is>
          <t>Q1FY27</t>
        </is>
      </c>
      <c r="B27" s="27">
        <f>IF(SUM(B9,B18)=0,"",SUM(B9)/SUM(B9,B18))</f>
        <v/>
      </c>
      <c r="C27" s="27">
        <f>IF(SUM(C9,C18)=0,"",SUM(C9)/SUM(C9,C18))</f>
        <v/>
      </c>
      <c r="D27" s="27">
        <f>IF(SUM(D9,D18)=0,"",SUM(D9)/SUM(D9,D18))</f>
        <v/>
      </c>
      <c r="E27" s="27">
        <f>IF(SUM(E9,E18)=0,"",SUM(E9)/SUM(E9,E18))</f>
        <v/>
      </c>
      <c r="F27" s="27">
        <f>IF(SUM(F9,F18)=0,"",SUM(F9)/SUM(F9,F18))</f>
        <v/>
      </c>
      <c r="G27" s="27">
        <f>IF(SUM(G9,G18)=0,"",SUM(G9)/SUM(G9,G18))</f>
        <v/>
      </c>
      <c r="H27" s="27">
        <f>IF(SUM(H9,H18)=0,"",SUM(H9)/SUM(H9,H18))</f>
        <v/>
      </c>
    </row>
    <row r="28">
      <c r="A28" t="inlineStr">
        <is>
          <t>Q2FY27</t>
        </is>
      </c>
      <c r="B28" s="27">
        <f>IF(SUM(B10,B19)=0,"",SUM(B10)/SUM(B10,B19))</f>
        <v/>
      </c>
      <c r="C28" s="27">
        <f>IF(SUM(C10,C19)=0,"",SUM(C10)/SUM(C10,C19))</f>
        <v/>
      </c>
      <c r="D28" s="27">
        <f>IF(SUM(D10,D19)=0,"",SUM(D10)/SUM(D10,D19))</f>
        <v/>
      </c>
      <c r="E28" s="27">
        <f>IF(SUM(E10,E19)=0,"",SUM(E10)/SUM(E10,E19))</f>
        <v/>
      </c>
      <c r="F28" s="27">
        <f>IF(SUM(F10,F19)=0,"",SUM(F10)/SUM(F10,F19))</f>
        <v/>
      </c>
      <c r="G28" s="27">
        <f>IF(SUM(G10,G19)=0,"",SUM(G10)/SUM(G10,G19))</f>
        <v/>
      </c>
      <c r="H28" s="27">
        <f>IF(SUM(H10,H19)=0,"",SUM(H10)/SUM(H10,H19))</f>
        <v/>
      </c>
    </row>
    <row r="29">
      <c r="A29" s="68" t="inlineStr">
        <is>
          <t>Total</t>
        </is>
      </c>
      <c r="B29" s="70">
        <f>IF(SUM(B11,B20)=0,"",SUM(B11)/SUM(B11,B20))</f>
        <v/>
      </c>
      <c r="C29" s="70">
        <f>IF(SUM(C11,C20)=0,"",SUM(C11)/SUM(C11,C20))</f>
        <v/>
      </c>
      <c r="D29" s="70">
        <f>IF(SUM(D11,D20)=0,"",SUM(D11)/SUM(D11,D20))</f>
        <v/>
      </c>
      <c r="E29" s="70">
        <f>IF(SUM(E11,E20)=0,"",SUM(E11)/SUM(E11,E20))</f>
        <v/>
      </c>
      <c r="F29" s="70">
        <f>IF(SUM(F11,F20)=0,"",SUM(F11)/SUM(F11,F20))</f>
        <v/>
      </c>
      <c r="G29" s="70">
        <f>IF(SUM(G11,G20)=0,"",SUM(G11)/SUM(G11,G20))</f>
        <v/>
      </c>
      <c r="H29" s="70">
        <f>IF(SUM(H11,H20)=0,"",SUM(H11)/SUM(H11,H20))</f>
        <v/>
      </c>
    </row>
    <row r="31">
      <c r="A31" s="68" t="inlineStr">
        <is>
          <t>BSE Market Share</t>
        </is>
      </c>
    </row>
    <row r="32">
      <c r="A32" s="68" t="inlineStr">
        <is>
          <t>Trade Quarter</t>
        </is>
      </c>
      <c r="B32" s="68" t="inlineStr">
        <is>
          <t>Monday</t>
        </is>
      </c>
      <c r="C32" s="68" t="inlineStr">
        <is>
          <t>Tuesday</t>
        </is>
      </c>
      <c r="D32" s="68" t="inlineStr">
        <is>
          <t>Wednesday</t>
        </is>
      </c>
      <c r="E32" s="68" t="inlineStr">
        <is>
          <t>Thursday</t>
        </is>
      </c>
      <c r="F32" s="68" t="inlineStr">
        <is>
          <t>Friday</t>
        </is>
      </c>
      <c r="G32" s="68" t="inlineStr">
        <is>
          <t>Sunday</t>
        </is>
      </c>
      <c r="H32" s="68" t="inlineStr">
        <is>
          <t>Total</t>
        </is>
      </c>
    </row>
    <row r="33">
      <c r="A33" t="inlineStr">
        <is>
          <t>Q2FY26</t>
        </is>
      </c>
      <c r="B33" s="27">
        <f>IF(SUM(B6,B15)=0,"",SUM(B15)/SUM(B6,B15))</f>
        <v/>
      </c>
      <c r="C33" s="27">
        <f>IF(SUM(C6,C15)=0,"",SUM(C15)/SUM(C6,C15))</f>
        <v/>
      </c>
      <c r="D33" s="27">
        <f>IF(SUM(D6,D15)=0,"",SUM(D15)/SUM(D6,D15))</f>
        <v/>
      </c>
      <c r="E33" s="27">
        <f>IF(SUM(E6,E15)=0,"",SUM(E15)/SUM(E6,E15))</f>
        <v/>
      </c>
      <c r="F33" s="27">
        <f>IF(SUM(F6,F15)=0,"",SUM(F15)/SUM(F6,F15))</f>
        <v/>
      </c>
      <c r="G33" s="27">
        <f>IF(SUM(G6,G15)=0,"",SUM(G15)/SUM(G6,G15))</f>
        <v/>
      </c>
      <c r="H33" s="27">
        <f>IF(SUM(H6,H15)=0,"",SUM(H15)/SUM(H6,H15))</f>
        <v/>
      </c>
    </row>
    <row r="34">
      <c r="A34" t="inlineStr">
        <is>
          <t>Q3FY26</t>
        </is>
      </c>
      <c r="B34" s="27">
        <f>IF(SUM(B7,B16)=0,"",SUM(B16)/SUM(B7,B16))</f>
        <v/>
      </c>
      <c r="C34" s="27">
        <f>IF(SUM(C7,C16)=0,"",SUM(C16)/SUM(C7,C16))</f>
        <v/>
      </c>
      <c r="D34" s="27">
        <f>IF(SUM(D7,D16)=0,"",SUM(D16)/SUM(D7,D16))</f>
        <v/>
      </c>
      <c r="E34" s="27">
        <f>IF(SUM(E7,E16)=0,"",SUM(E16)/SUM(E7,E16))</f>
        <v/>
      </c>
      <c r="F34" s="27">
        <f>IF(SUM(F7,F16)=0,"",SUM(F16)/SUM(F7,F16))</f>
        <v/>
      </c>
      <c r="G34" s="27">
        <f>IF(SUM(G7,G16)=0,"",SUM(G16)/SUM(G7,G16))</f>
        <v/>
      </c>
      <c r="H34" s="27">
        <f>IF(SUM(H7,H16)=0,"",SUM(H16)/SUM(H7,H16))</f>
        <v/>
      </c>
    </row>
    <row r="35">
      <c r="A35" t="inlineStr">
        <is>
          <t>Q4FY26</t>
        </is>
      </c>
      <c r="B35" s="27">
        <f>IF(SUM(B8,B17)=0,"",SUM(B17)/SUM(B8,B17))</f>
        <v/>
      </c>
      <c r="C35" s="27">
        <f>IF(SUM(C8,C17)=0,"",SUM(C17)/SUM(C8,C17))</f>
        <v/>
      </c>
      <c r="D35" s="27">
        <f>IF(SUM(D8,D17)=0,"",SUM(D17)/SUM(D8,D17))</f>
        <v/>
      </c>
      <c r="E35" s="27">
        <f>IF(SUM(E8,E17)=0,"",SUM(E17)/SUM(E8,E17))</f>
        <v/>
      </c>
      <c r="F35" s="27">
        <f>IF(SUM(F8,F17)=0,"",SUM(F17)/SUM(F8,F17))</f>
        <v/>
      </c>
      <c r="G35" s="27">
        <f>IF(SUM(G8,G17)=0,"",SUM(G17)/SUM(G8,G17))</f>
        <v/>
      </c>
      <c r="H35" s="27">
        <f>IF(SUM(H8,H17)=0,"",SUM(H17)/SUM(H8,H17))</f>
        <v/>
      </c>
    </row>
    <row r="36">
      <c r="A36" t="inlineStr">
        <is>
          <t>Q1FY27</t>
        </is>
      </c>
      <c r="B36" s="27">
        <f>IF(SUM(B9,B18)=0,"",SUM(B18)/SUM(B9,B18))</f>
        <v/>
      </c>
      <c r="C36" s="27">
        <f>IF(SUM(C9,C18)=0,"",SUM(C18)/SUM(C9,C18))</f>
        <v/>
      </c>
      <c r="D36" s="27">
        <f>IF(SUM(D9,D18)=0,"",SUM(D18)/SUM(D9,D18))</f>
        <v/>
      </c>
      <c r="E36" s="27">
        <f>IF(SUM(E9,E18)=0,"",SUM(E18)/SUM(E9,E18))</f>
        <v/>
      </c>
      <c r="F36" s="27">
        <f>IF(SUM(F9,F18)=0,"",SUM(F18)/SUM(F9,F18))</f>
        <v/>
      </c>
      <c r="G36" s="27">
        <f>IF(SUM(G9,G18)=0,"",SUM(G18)/SUM(G9,G18))</f>
        <v/>
      </c>
      <c r="H36" s="27">
        <f>IF(SUM(H9,H18)=0,"",SUM(H18)/SUM(H9,H18))</f>
        <v/>
      </c>
    </row>
    <row r="37">
      <c r="A37" t="inlineStr">
        <is>
          <t>Q2FY27</t>
        </is>
      </c>
      <c r="B37" s="27">
        <f>IF(SUM(B10,B19)=0,"",SUM(B19)/SUM(B10,B19))</f>
        <v/>
      </c>
      <c r="C37" s="27">
        <f>IF(SUM(C10,C19)=0,"",SUM(C19)/SUM(C10,C19))</f>
        <v/>
      </c>
      <c r="D37" s="27">
        <f>IF(SUM(D10,D19)=0,"",SUM(D19)/SUM(D10,D19))</f>
        <v/>
      </c>
      <c r="E37" s="27">
        <f>IF(SUM(E10,E19)=0,"",SUM(E19)/SUM(E10,E19))</f>
        <v/>
      </c>
      <c r="F37" s="27">
        <f>IF(SUM(F10,F19)=0,"",SUM(F19)/SUM(F10,F19))</f>
        <v/>
      </c>
      <c r="G37" s="27">
        <f>IF(SUM(G10,G19)=0,"",SUM(G19)/SUM(G10,G19))</f>
        <v/>
      </c>
      <c r="H37" s="27">
        <f>IF(SUM(H10,H19)=0,"",SUM(H19)/SUM(H10,H19))</f>
        <v/>
      </c>
    </row>
    <row r="38">
      <c r="A38" s="68" t="inlineStr">
        <is>
          <t>Total</t>
        </is>
      </c>
      <c r="B38" s="70">
        <f>IF(SUM(B11,B20)=0,"",SUM(B20)/SUM(B11,B20))</f>
        <v/>
      </c>
      <c r="C38" s="70">
        <f>IF(SUM(C11,C20)=0,"",SUM(C20)/SUM(C11,C20))</f>
        <v/>
      </c>
      <c r="D38" s="70">
        <f>IF(SUM(D11,D20)=0,"",SUM(D20)/SUM(D11,D20))</f>
        <v/>
      </c>
      <c r="E38" s="70">
        <f>IF(SUM(E11,E20)=0,"",SUM(E20)/SUM(E11,E20))</f>
        <v/>
      </c>
      <c r="F38" s="70">
        <f>IF(SUM(F11,F20)=0,"",SUM(F20)/SUM(F11,F20))</f>
        <v/>
      </c>
      <c r="G38" s="70">
        <f>IF(SUM(G11,G20)=0,"",SUM(G20)/SUM(G11,G20))</f>
        <v/>
      </c>
      <c r="H38" s="70">
        <f>IF(SUM(H11,H20)=0,"",SUM(H20)/SUM(H11,H20))</f>
        <v/>
      </c>
    </row>
  </sheetData>
  <conditionalFormatting sqref="B24:B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3:B3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C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:C3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D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D3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:E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E3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4:F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3:F3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4:G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3:G3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4:H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3:H3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3"/>
  <sheetViews>
    <sheetView showGridLines="0" workbookViewId="0">
      <selection activeCell="C99" sqref="C99"/>
    </sheetView>
  </sheetViews>
  <sheetFormatPr baseColWidth="10" defaultColWidth="8.83203125" defaultRowHeight="16" outlineLevelRow="1"/>
  <cols>
    <col width="12" customWidth="1" min="1" max="1"/>
    <col width="30" customWidth="1" min="2" max="3"/>
    <col width="16" customWidth="1" min="4" max="5"/>
    <col width="22" customWidth="1" min="11" max="11"/>
    <col width="8" customWidth="1" min="12" max="12"/>
  </cols>
  <sheetData>
    <row r="1">
      <c r="A1" s="28" t="inlineStr">
        <is>
          <t>Premium Turnover Time Series by Trade Day — NSE vs BSE (Sep-2025 onwards, live — populates as master data is updated)</t>
        </is>
      </c>
      <c r="K1" s="28" t="inlineStr">
        <is>
          <t>Cuts / Scope</t>
        </is>
      </c>
    </row>
    <row r="2">
      <c r="A2" s="48" t="inlineStr">
        <is>
          <t>Index options premium turnover (INR Bn) per month, one table per trade day (Mon-Fri + Sunday special sessions): NSE (NIFTY + other indices) vs BSE (SENSEX + other indices) with market share. ALL expiry types. Data: NSE &amp; BSE contract-level archives, Sep-2025 onwards; live formulas — future months are blank and grouped (click + to expand).</t>
        </is>
      </c>
      <c r="K2" t="inlineStr">
        <is>
          <t>Index Options</t>
        </is>
      </c>
      <c r="L2" s="56" t="inlineStr">
        <is>
          <t>Yes</t>
        </is>
      </c>
    </row>
    <row r="3">
      <c r="A3" s="28" t="inlineStr">
        <is>
          <t>Monday Trade Day</t>
        </is>
      </c>
      <c r="K3" t="inlineStr">
        <is>
          <t>Stock Options</t>
        </is>
      </c>
      <c r="L3" s="49" t="inlineStr">
        <is>
          <t>No</t>
        </is>
      </c>
    </row>
    <row r="4">
      <c r="A4" s="28" t="inlineStr">
        <is>
          <t>Month</t>
        </is>
      </c>
      <c r="B4" s="28" t="inlineStr">
        <is>
          <t>NSE Premium Turnover (INR Bn)</t>
        </is>
      </c>
      <c r="C4" s="28" t="inlineStr">
        <is>
          <t>BSE Premium Turnover (INR Bn)</t>
        </is>
      </c>
      <c r="D4" s="28" t="inlineStr">
        <is>
          <t>NSE Market Share</t>
        </is>
      </c>
      <c r="E4" s="28" t="inlineStr">
        <is>
          <t>BSE Market Share</t>
        </is>
      </c>
      <c r="K4" t="inlineStr">
        <is>
          <t>Index Futures</t>
        </is>
      </c>
      <c r="L4" s="49" t="inlineStr">
        <is>
          <t>No</t>
        </is>
      </c>
    </row>
    <row r="5">
      <c r="A5" s="24" t="n">
        <v>45901</v>
      </c>
      <c r="B5" s="26">
        <f>IF(SUMIFS('NSE - NIFTY Index Options'!$M:$M,'NSE - NIFTY Index Options'!$D:$D,$A5,'NSE - NIFTY Index Options'!$B:$B,"Monday")+SUMIFS('NSE - Other Index Options'!$M:$M,'NSE - Other Index Options'!$D:$D,$A5,'NSE - Other Index Options'!$B:$B,"Monday")=0,"",SUMIFS('NSE - NIFTY Index Options'!$M:$M,'NSE - NIFTY Index Options'!$D:$D,$A5,'NSE - NIFTY Index Options'!$B:$B,"Monday")+SUMIFS('NSE - Other Index Options'!$M:$M,'NSE - Other Index Options'!$D:$D,$A5,'NSE - Other Index Options'!$B:$B,"Monday"))</f>
        <v/>
      </c>
      <c r="C5" s="26">
        <f>IF(SUMIFS('BSE - SENSEX Index Options'!$M:$M,'BSE - SENSEX Index Options'!$D:$D,$A5,'BSE - SENSEX Index Options'!$B:$B,"Monday")+SUMIFS('BSE - Other Index Options'!$M:$M,'BSE - Other Index Options'!$D:$D,$A5,'BSE - Other Index Options'!$B:$B,"Monday")=0,"",SUMIFS('BSE - SENSEX Index Options'!$M:$M,'BSE - SENSEX Index Options'!$D:$D,$A5,'BSE - SENSEX Index Options'!$B:$B,"Monday")+SUMIFS('BSE - Other Index Options'!$M:$M,'BSE - Other Index Options'!$D:$D,$A5,'BSE - Other Index Options'!$B:$B,"Monday"))</f>
        <v/>
      </c>
      <c r="D5" s="27">
        <f>IF(SUM(B5:C5)=0,"",SUM(B5)/SUM(B5:C5))</f>
        <v/>
      </c>
      <c r="E5" s="27">
        <f>IF(SUM(B5:C5)=0,"",SUM(C5)/SUM(B5:C5))</f>
        <v/>
      </c>
      <c r="K5" t="inlineStr">
        <is>
          <t>NSE</t>
        </is>
      </c>
      <c r="L5" s="56" t="inlineStr">
        <is>
          <t>Yes</t>
        </is>
      </c>
    </row>
    <row r="6">
      <c r="A6" s="24" t="n">
        <v>45931</v>
      </c>
      <c r="B6" s="26">
        <f>IF(SUMIFS('NSE - NIFTY Index Options'!$M:$M,'NSE - NIFTY Index Options'!$D:$D,$A6,'NSE - NIFTY Index Options'!$B:$B,"Monday")+SUMIFS('NSE - Other Index Options'!$M:$M,'NSE - Other Index Options'!$D:$D,$A6,'NSE - Other Index Options'!$B:$B,"Monday")=0,"",SUMIFS('NSE - NIFTY Index Options'!$M:$M,'NSE - NIFTY Index Options'!$D:$D,$A6,'NSE - NIFTY Index Options'!$B:$B,"Monday")+SUMIFS('NSE - Other Index Options'!$M:$M,'NSE - Other Index Options'!$D:$D,$A6,'NSE - Other Index Options'!$B:$B,"Monday"))</f>
        <v/>
      </c>
      <c r="C6" s="26">
        <f>IF(SUMIFS('BSE - SENSEX Index Options'!$M:$M,'BSE - SENSEX Index Options'!$D:$D,$A6,'BSE - SENSEX Index Options'!$B:$B,"Monday")+SUMIFS('BSE - Other Index Options'!$M:$M,'BSE - Other Index Options'!$D:$D,$A6,'BSE - Other Index Options'!$B:$B,"Monday")=0,"",SUMIFS('BSE - SENSEX Index Options'!$M:$M,'BSE - SENSEX Index Options'!$D:$D,$A6,'BSE - SENSEX Index Options'!$B:$B,"Monday")+SUMIFS('BSE - Other Index Options'!$M:$M,'BSE - Other Index Options'!$D:$D,$A6,'BSE - Other Index Options'!$B:$B,"Monday"))</f>
        <v/>
      </c>
      <c r="D6" s="27">
        <f>IF(SUM(B6:C6)=0,"",SUM(B6)/SUM(B6:C6))</f>
        <v/>
      </c>
      <c r="E6" s="27">
        <f>IF(SUM(B6:C6)=0,"",SUM(C6)/SUM(B6:C6))</f>
        <v/>
      </c>
      <c r="K6" t="inlineStr">
        <is>
          <t>BSE</t>
        </is>
      </c>
      <c r="L6" s="56" t="inlineStr">
        <is>
          <t>Yes</t>
        </is>
      </c>
    </row>
    <row r="7">
      <c r="A7" s="24" t="n">
        <v>45962</v>
      </c>
      <c r="B7" s="26">
        <f>IF(SUMIFS('NSE - NIFTY Index Options'!$M:$M,'NSE - NIFTY Index Options'!$D:$D,$A7,'NSE - NIFTY Index Options'!$B:$B,"Monday")+SUMIFS('NSE - Other Index Options'!$M:$M,'NSE - Other Index Options'!$D:$D,$A7,'NSE - Other Index Options'!$B:$B,"Monday")=0,"",SUMIFS('NSE - NIFTY Index Options'!$M:$M,'NSE - NIFTY Index Options'!$D:$D,$A7,'NSE - NIFTY Index Options'!$B:$B,"Monday")+SUMIFS('NSE - Other Index Options'!$M:$M,'NSE - Other Index Options'!$D:$D,$A7,'NSE - Other Index Options'!$B:$B,"Monday"))</f>
        <v/>
      </c>
      <c r="C7" s="26">
        <f>IF(SUMIFS('BSE - SENSEX Index Options'!$M:$M,'BSE - SENSEX Index Options'!$D:$D,$A7,'BSE - SENSEX Index Options'!$B:$B,"Monday")+SUMIFS('BSE - Other Index Options'!$M:$M,'BSE - Other Index Options'!$D:$D,$A7,'BSE - Other Index Options'!$B:$B,"Monday")=0,"",SUMIFS('BSE - SENSEX Index Options'!$M:$M,'BSE - SENSEX Index Options'!$D:$D,$A7,'BSE - SENSEX Index Options'!$B:$B,"Monday")+SUMIFS('BSE - Other Index Options'!$M:$M,'BSE - Other Index Options'!$D:$D,$A7,'BSE - Other Index Options'!$B:$B,"Monday"))</f>
        <v/>
      </c>
      <c r="D7" s="27">
        <f>IF(SUM(B7:C7)=0,"",SUM(B7)/SUM(B7:C7))</f>
        <v/>
      </c>
      <c r="E7" s="27">
        <f>IF(SUM(B7:C7)=0,"",SUM(C7)/SUM(B7:C7))</f>
        <v/>
      </c>
      <c r="K7" t="inlineStr">
        <is>
          <t>NIFTY Index</t>
        </is>
      </c>
      <c r="L7" s="56" t="inlineStr">
        <is>
          <t>Yes</t>
        </is>
      </c>
    </row>
    <row r="8">
      <c r="A8" s="24" t="n">
        <v>45992</v>
      </c>
      <c r="B8" s="26">
        <f>IF(SUMIFS('NSE - NIFTY Index Options'!$M:$M,'NSE - NIFTY Index Options'!$D:$D,$A8,'NSE - NIFTY Index Options'!$B:$B,"Monday")+SUMIFS('NSE - Other Index Options'!$M:$M,'NSE - Other Index Options'!$D:$D,$A8,'NSE - Other Index Options'!$B:$B,"Monday")=0,"",SUMIFS('NSE - NIFTY Index Options'!$M:$M,'NSE - NIFTY Index Options'!$D:$D,$A8,'NSE - NIFTY Index Options'!$B:$B,"Monday")+SUMIFS('NSE - Other Index Options'!$M:$M,'NSE - Other Index Options'!$D:$D,$A8,'NSE - Other Index Options'!$B:$B,"Monday"))</f>
        <v/>
      </c>
      <c r="C8" s="26">
        <f>IF(SUMIFS('BSE - SENSEX Index Options'!$M:$M,'BSE - SENSEX Index Options'!$D:$D,$A8,'BSE - SENSEX Index Options'!$B:$B,"Monday")+SUMIFS('BSE - Other Index Options'!$M:$M,'BSE - Other Index Options'!$D:$D,$A8,'BSE - Other Index Options'!$B:$B,"Monday")=0,"",SUMIFS('BSE - SENSEX Index Options'!$M:$M,'BSE - SENSEX Index Options'!$D:$D,$A8,'BSE - SENSEX Index Options'!$B:$B,"Monday")+SUMIFS('BSE - Other Index Options'!$M:$M,'BSE - Other Index Options'!$D:$D,$A8,'BSE - Other Index Options'!$B:$B,"Monday"))</f>
        <v/>
      </c>
      <c r="D8" s="27">
        <f>IF(SUM(B8:C8)=0,"",SUM(B8)/SUM(B8:C8))</f>
        <v/>
      </c>
      <c r="E8" s="27">
        <f>IF(SUM(B8:C8)=0,"",SUM(C8)/SUM(B8:C8))</f>
        <v/>
      </c>
      <c r="K8" t="inlineStr">
        <is>
          <t>Other NSE Indices</t>
        </is>
      </c>
      <c r="L8" s="56" t="inlineStr">
        <is>
          <t>Yes</t>
        </is>
      </c>
    </row>
    <row r="9">
      <c r="A9" s="24" t="n">
        <v>46023</v>
      </c>
      <c r="B9" s="26">
        <f>IF(SUMIFS('NSE - NIFTY Index Options'!$M:$M,'NSE - NIFTY Index Options'!$D:$D,$A9,'NSE - NIFTY Index Options'!$B:$B,"Monday")+SUMIFS('NSE - Other Index Options'!$M:$M,'NSE - Other Index Options'!$D:$D,$A9,'NSE - Other Index Options'!$B:$B,"Monday")=0,"",SUMIFS('NSE - NIFTY Index Options'!$M:$M,'NSE - NIFTY Index Options'!$D:$D,$A9,'NSE - NIFTY Index Options'!$B:$B,"Monday")+SUMIFS('NSE - Other Index Options'!$M:$M,'NSE - Other Index Options'!$D:$D,$A9,'NSE - Other Index Options'!$B:$B,"Monday"))</f>
        <v/>
      </c>
      <c r="C9" s="26">
        <f>IF(SUMIFS('BSE - SENSEX Index Options'!$M:$M,'BSE - SENSEX Index Options'!$D:$D,$A9,'BSE - SENSEX Index Options'!$B:$B,"Monday")+SUMIFS('BSE - Other Index Options'!$M:$M,'BSE - Other Index Options'!$D:$D,$A9,'BSE - Other Index Options'!$B:$B,"Monday")=0,"",SUMIFS('BSE - SENSEX Index Options'!$M:$M,'BSE - SENSEX Index Options'!$D:$D,$A9,'BSE - SENSEX Index Options'!$B:$B,"Monday")+SUMIFS('BSE - Other Index Options'!$M:$M,'BSE - Other Index Options'!$D:$D,$A9,'BSE - Other Index Options'!$B:$B,"Monday"))</f>
        <v/>
      </c>
      <c r="D9" s="27">
        <f>IF(SUM(B9:C9)=0,"",SUM(B9)/SUM(B9:C9))</f>
        <v/>
      </c>
      <c r="E9" s="27">
        <f>IF(SUM(B9:C9)=0,"",SUM(C9)/SUM(B9:C9))</f>
        <v/>
      </c>
      <c r="K9" t="inlineStr">
        <is>
          <t>SENSEX Index</t>
        </is>
      </c>
      <c r="L9" s="56" t="inlineStr">
        <is>
          <t>Yes</t>
        </is>
      </c>
    </row>
    <row r="10">
      <c r="A10" s="24" t="n">
        <v>46054</v>
      </c>
      <c r="B10" s="26">
        <f>IF(SUMIFS('NSE - NIFTY Index Options'!$M:$M,'NSE - NIFTY Index Options'!$D:$D,$A10,'NSE - NIFTY Index Options'!$B:$B,"Monday")+SUMIFS('NSE - Other Index Options'!$M:$M,'NSE - Other Index Options'!$D:$D,$A10,'NSE - Other Index Options'!$B:$B,"Monday")=0,"",SUMIFS('NSE - NIFTY Index Options'!$M:$M,'NSE - NIFTY Index Options'!$D:$D,$A10,'NSE - NIFTY Index Options'!$B:$B,"Monday")+SUMIFS('NSE - Other Index Options'!$M:$M,'NSE - Other Index Options'!$D:$D,$A10,'NSE - Other Index Options'!$B:$B,"Monday"))</f>
        <v/>
      </c>
      <c r="C10" s="26">
        <f>IF(SUMIFS('BSE - SENSEX Index Options'!$M:$M,'BSE - SENSEX Index Options'!$D:$D,$A10,'BSE - SENSEX Index Options'!$B:$B,"Monday")+SUMIFS('BSE - Other Index Options'!$M:$M,'BSE - Other Index Options'!$D:$D,$A10,'BSE - Other Index Options'!$B:$B,"Monday")=0,"",SUMIFS('BSE - SENSEX Index Options'!$M:$M,'BSE - SENSEX Index Options'!$D:$D,$A10,'BSE - SENSEX Index Options'!$B:$B,"Monday")+SUMIFS('BSE - Other Index Options'!$M:$M,'BSE - Other Index Options'!$D:$D,$A10,'BSE - Other Index Options'!$B:$B,"Monday"))</f>
        <v/>
      </c>
      <c r="D10" s="27">
        <f>IF(SUM(B10:C10)=0,"",SUM(B10)/SUM(B10:C10))</f>
        <v/>
      </c>
      <c r="E10" s="27">
        <f>IF(SUM(B10:C10)=0,"",SUM(C10)/SUM(B10:C10))</f>
        <v/>
      </c>
      <c r="K10" t="inlineStr">
        <is>
          <t>Other BSE Indices</t>
        </is>
      </c>
      <c r="L10" s="57" t="inlineStr">
        <is>
          <t>Yes</t>
        </is>
      </c>
    </row>
    <row r="11">
      <c r="A11" s="24" t="n">
        <v>46082</v>
      </c>
      <c r="B11" s="26">
        <f>IF(SUMIFS('NSE - NIFTY Index Options'!$M:$M,'NSE - NIFTY Index Options'!$D:$D,$A11,'NSE - NIFTY Index Options'!$B:$B,"Monday")+SUMIFS('NSE - Other Index Options'!$M:$M,'NSE - Other Index Options'!$D:$D,$A11,'NSE - Other Index Options'!$B:$B,"Monday")=0,"",SUMIFS('NSE - NIFTY Index Options'!$M:$M,'NSE - NIFTY Index Options'!$D:$D,$A11,'NSE - NIFTY Index Options'!$B:$B,"Monday")+SUMIFS('NSE - Other Index Options'!$M:$M,'NSE - Other Index Options'!$D:$D,$A11,'NSE - Other Index Options'!$B:$B,"Monday"))</f>
        <v/>
      </c>
      <c r="C11" s="26">
        <f>IF(SUMIFS('BSE - SENSEX Index Options'!$M:$M,'BSE - SENSEX Index Options'!$D:$D,$A11,'BSE - SENSEX Index Options'!$B:$B,"Monday")+SUMIFS('BSE - Other Index Options'!$M:$M,'BSE - Other Index Options'!$D:$D,$A11,'BSE - Other Index Options'!$B:$B,"Monday")=0,"",SUMIFS('BSE - SENSEX Index Options'!$M:$M,'BSE - SENSEX Index Options'!$D:$D,$A11,'BSE - SENSEX Index Options'!$B:$B,"Monday")+SUMIFS('BSE - Other Index Options'!$M:$M,'BSE - Other Index Options'!$D:$D,$A11,'BSE - Other Index Options'!$B:$B,"Monday"))</f>
        <v/>
      </c>
      <c r="D11" s="27">
        <f>IF(SUM(B11:C11)=0,"",SUM(B11)/SUM(B11:C11))</f>
        <v/>
      </c>
      <c r="E11" s="27">
        <f>IF(SUM(B11:C11)=0,"",SUM(C11)/SUM(B11:C11))</f>
        <v/>
      </c>
      <c r="K11" t="inlineStr">
        <is>
          <t>Expiry Type 2 - Weekly</t>
        </is>
      </c>
      <c r="L11" s="57" t="inlineStr">
        <is>
          <t>Yes</t>
        </is>
      </c>
    </row>
    <row r="12">
      <c r="A12" s="24" t="n">
        <v>46113</v>
      </c>
      <c r="B12" s="26">
        <f>IF(SUMIFS('NSE - NIFTY Index Options'!$M:$M,'NSE - NIFTY Index Options'!$D:$D,$A12,'NSE - NIFTY Index Options'!$B:$B,"Monday")+SUMIFS('NSE - Other Index Options'!$M:$M,'NSE - Other Index Options'!$D:$D,$A12,'NSE - Other Index Options'!$B:$B,"Monday")=0,"",SUMIFS('NSE - NIFTY Index Options'!$M:$M,'NSE - NIFTY Index Options'!$D:$D,$A12,'NSE - NIFTY Index Options'!$B:$B,"Monday")+SUMIFS('NSE - Other Index Options'!$M:$M,'NSE - Other Index Options'!$D:$D,$A12,'NSE - Other Index Options'!$B:$B,"Monday"))</f>
        <v/>
      </c>
      <c r="C12" s="26">
        <f>IF(SUMIFS('BSE - SENSEX Index Options'!$M:$M,'BSE - SENSEX Index Options'!$D:$D,$A12,'BSE - SENSEX Index Options'!$B:$B,"Monday")+SUMIFS('BSE - Other Index Options'!$M:$M,'BSE - Other Index Options'!$D:$D,$A12,'BSE - Other Index Options'!$B:$B,"Monday")=0,"",SUMIFS('BSE - SENSEX Index Options'!$M:$M,'BSE - SENSEX Index Options'!$D:$D,$A12,'BSE - SENSEX Index Options'!$B:$B,"Monday")+SUMIFS('BSE - Other Index Options'!$M:$M,'BSE - Other Index Options'!$D:$D,$A12,'BSE - Other Index Options'!$B:$B,"Monday"))</f>
        <v/>
      </c>
      <c r="D12" s="27">
        <f>IF(SUM(B12:C12)=0,"",SUM(B12)/SUM(B12:C12))</f>
        <v/>
      </c>
      <c r="E12" s="27">
        <f>IF(SUM(B12:C12)=0,"",SUM(C12)/SUM(B12:C12))</f>
        <v/>
      </c>
      <c r="K12" t="inlineStr">
        <is>
          <t>Expiry Type 2 - MDAW</t>
        </is>
      </c>
      <c r="L12" s="57" t="inlineStr">
        <is>
          <t>Yes</t>
        </is>
      </c>
    </row>
    <row r="13">
      <c r="A13" s="24" t="n">
        <v>46143</v>
      </c>
      <c r="B13" s="26">
        <f>IF(SUMIFS('NSE - NIFTY Index Options'!$M:$M,'NSE - NIFTY Index Options'!$D:$D,$A13,'NSE - NIFTY Index Options'!$B:$B,"Monday")+SUMIFS('NSE - Other Index Options'!$M:$M,'NSE - Other Index Options'!$D:$D,$A13,'NSE - Other Index Options'!$B:$B,"Monday")=0,"",SUMIFS('NSE - NIFTY Index Options'!$M:$M,'NSE - NIFTY Index Options'!$D:$D,$A13,'NSE - NIFTY Index Options'!$B:$B,"Monday")+SUMIFS('NSE - Other Index Options'!$M:$M,'NSE - Other Index Options'!$D:$D,$A13,'NSE - Other Index Options'!$B:$B,"Monday"))</f>
        <v/>
      </c>
      <c r="C13" s="26">
        <f>IF(SUMIFS('BSE - SENSEX Index Options'!$M:$M,'BSE - SENSEX Index Options'!$D:$D,$A13,'BSE - SENSEX Index Options'!$B:$B,"Monday")+SUMIFS('BSE - Other Index Options'!$M:$M,'BSE - Other Index Options'!$D:$D,$A13,'BSE - Other Index Options'!$B:$B,"Monday")=0,"",SUMIFS('BSE - SENSEX Index Options'!$M:$M,'BSE - SENSEX Index Options'!$D:$D,$A13,'BSE - SENSEX Index Options'!$B:$B,"Monday")+SUMIFS('BSE - Other Index Options'!$M:$M,'BSE - Other Index Options'!$D:$D,$A13,'BSE - Other Index Options'!$B:$B,"Monday"))</f>
        <v/>
      </c>
      <c r="D13" s="27">
        <f>IF(SUM(B13:C13)=0,"",SUM(B13)/SUM(B13:C13))</f>
        <v/>
      </c>
      <c r="E13" s="27">
        <f>IF(SUM(B13:C13)=0,"",SUM(C13)/SUM(B13:C13))</f>
        <v/>
      </c>
      <c r="K13" t="inlineStr">
        <is>
          <t>Expiry Type 2 - Monthly</t>
        </is>
      </c>
      <c r="L13" s="57" t="inlineStr">
        <is>
          <t>Yes</t>
        </is>
      </c>
    </row>
    <row r="14">
      <c r="A14" s="24" t="n">
        <v>46174</v>
      </c>
      <c r="B14" s="26">
        <f>IF(SUMIFS('NSE - NIFTY Index Options'!$M:$M,'NSE - NIFTY Index Options'!$D:$D,$A14,'NSE - NIFTY Index Options'!$B:$B,"Monday")+SUMIFS('NSE - Other Index Options'!$M:$M,'NSE - Other Index Options'!$D:$D,$A14,'NSE - Other Index Options'!$B:$B,"Monday")=0,"",SUMIFS('NSE - NIFTY Index Options'!$M:$M,'NSE - NIFTY Index Options'!$D:$D,$A14,'NSE - NIFTY Index Options'!$B:$B,"Monday")+SUMIFS('NSE - Other Index Options'!$M:$M,'NSE - Other Index Options'!$D:$D,$A14,'NSE - Other Index Options'!$B:$B,"Monday"))</f>
        <v/>
      </c>
      <c r="C14" s="26">
        <f>IF(SUMIFS('BSE - SENSEX Index Options'!$M:$M,'BSE - SENSEX Index Options'!$D:$D,$A14,'BSE - SENSEX Index Options'!$B:$B,"Monday")+SUMIFS('BSE - Other Index Options'!$M:$M,'BSE - Other Index Options'!$D:$D,$A14,'BSE - Other Index Options'!$B:$B,"Monday")=0,"",SUMIFS('BSE - SENSEX Index Options'!$M:$M,'BSE - SENSEX Index Options'!$D:$D,$A14,'BSE - SENSEX Index Options'!$B:$B,"Monday")+SUMIFS('BSE - Other Index Options'!$M:$M,'BSE - Other Index Options'!$D:$D,$A14,'BSE - Other Index Options'!$B:$B,"Monday"))</f>
        <v/>
      </c>
      <c r="D14" s="27">
        <f>IF(SUM(B14:C14)=0,"",SUM(B14)/SUM(B14:C14))</f>
        <v/>
      </c>
      <c r="E14" s="27">
        <f>IF(SUM(B14:C14)=0,"",SUM(C14)/SUM(B14:C14))</f>
        <v/>
      </c>
    </row>
    <row r="15">
      <c r="A15" s="24" t="n">
        <v>46204</v>
      </c>
      <c r="B15" s="26">
        <f>IF(SUMIFS('NSE - NIFTY Index Options'!$M:$M,'NSE - NIFTY Index Options'!$D:$D,$A15,'NSE - NIFTY Index Options'!$B:$B,"Monday")+SUMIFS('NSE - Other Index Options'!$M:$M,'NSE - Other Index Options'!$D:$D,$A15,'NSE - Other Index Options'!$B:$B,"Monday")=0,"",SUMIFS('NSE - NIFTY Index Options'!$M:$M,'NSE - NIFTY Index Options'!$D:$D,$A15,'NSE - NIFTY Index Options'!$B:$B,"Monday")+SUMIFS('NSE - Other Index Options'!$M:$M,'NSE - Other Index Options'!$D:$D,$A15,'NSE - Other Index Options'!$B:$B,"Monday"))</f>
        <v/>
      </c>
      <c r="C15" s="26">
        <f>IF(SUMIFS('BSE - SENSEX Index Options'!$M:$M,'BSE - SENSEX Index Options'!$D:$D,$A15,'BSE - SENSEX Index Options'!$B:$B,"Monday")+SUMIFS('BSE - Other Index Options'!$M:$M,'BSE - Other Index Options'!$D:$D,$A15,'BSE - Other Index Options'!$B:$B,"Monday")=0,"",SUMIFS('BSE - SENSEX Index Options'!$M:$M,'BSE - SENSEX Index Options'!$D:$D,$A15,'BSE - SENSEX Index Options'!$B:$B,"Monday")+SUMIFS('BSE - Other Index Options'!$M:$M,'BSE - Other Index Options'!$D:$D,$A15,'BSE - Other Index Options'!$B:$B,"Monday"))</f>
        <v/>
      </c>
      <c r="D15" s="27">
        <f>IF(SUM(B15:C15)=0,"",SUM(B15)/SUM(B15:C15))</f>
        <v/>
      </c>
      <c r="E15" s="27">
        <f>IF(SUM(B15:C15)=0,"",SUM(C15)/SUM(B15:C15))</f>
        <v/>
      </c>
    </row>
    <row r="16">
      <c r="A16" s="24" t="n">
        <v>46235</v>
      </c>
      <c r="B16" s="26">
        <f>IF(SUMIFS('NSE - NIFTY Index Options'!$M:$M,'NSE - NIFTY Index Options'!$D:$D,$A16,'NSE - NIFTY Index Options'!$B:$B,"Monday")+SUMIFS('NSE - Other Index Options'!$M:$M,'NSE - Other Index Options'!$D:$D,$A16,'NSE - Other Index Options'!$B:$B,"Monday")=0,"",SUMIFS('NSE - NIFTY Index Options'!$M:$M,'NSE - NIFTY Index Options'!$D:$D,$A16,'NSE - NIFTY Index Options'!$B:$B,"Monday")+SUMIFS('NSE - Other Index Options'!$M:$M,'NSE - Other Index Options'!$D:$D,$A16,'NSE - Other Index Options'!$B:$B,"Monday"))</f>
        <v/>
      </c>
      <c r="C16" s="26">
        <f>IF(SUMIFS('BSE - SENSEX Index Options'!$M:$M,'BSE - SENSEX Index Options'!$D:$D,$A16,'BSE - SENSEX Index Options'!$B:$B,"Monday")+SUMIFS('BSE - Other Index Options'!$M:$M,'BSE - Other Index Options'!$D:$D,$A16,'BSE - Other Index Options'!$B:$B,"Monday")=0,"",SUMIFS('BSE - SENSEX Index Options'!$M:$M,'BSE - SENSEX Index Options'!$D:$D,$A16,'BSE - SENSEX Index Options'!$B:$B,"Monday")+SUMIFS('BSE - Other Index Options'!$M:$M,'BSE - Other Index Options'!$D:$D,$A16,'BSE - Other Index Options'!$B:$B,"Monday"))</f>
        <v/>
      </c>
      <c r="D16" s="27">
        <f>IF(SUM(B16:C16)=0,"",SUM(B16)/SUM(B16:C16))</f>
        <v/>
      </c>
      <c r="E16" s="27">
        <f>IF(SUM(B16:C16)=0,"",SUM(C16)/SUM(B16:C16))</f>
        <v/>
      </c>
    </row>
    <row r="17" hidden="1" outlineLevel="1">
      <c r="A17" s="24" t="n">
        <v>46266</v>
      </c>
      <c r="B17" s="26">
        <f>IF(SUMIFS('NSE - NIFTY Index Options'!$M:$M,'NSE - NIFTY Index Options'!$D:$D,$A17,'NSE - NIFTY Index Options'!$B:$B,"Monday")+SUMIFS('NSE - Other Index Options'!$M:$M,'NSE - Other Index Options'!$D:$D,$A17,'NSE - Other Index Options'!$B:$B,"Monday")=0,"",SUMIFS('NSE - NIFTY Index Options'!$M:$M,'NSE - NIFTY Index Options'!$D:$D,$A17,'NSE - NIFTY Index Options'!$B:$B,"Monday")+SUMIFS('NSE - Other Index Options'!$M:$M,'NSE - Other Index Options'!$D:$D,$A17,'NSE - Other Index Options'!$B:$B,"Monday"))</f>
        <v/>
      </c>
      <c r="C17" s="26">
        <f>IF(SUMIFS('BSE - SENSEX Index Options'!$M:$M,'BSE - SENSEX Index Options'!$D:$D,$A17,'BSE - SENSEX Index Options'!$B:$B,"Monday")+SUMIFS('BSE - Other Index Options'!$M:$M,'BSE - Other Index Options'!$D:$D,$A17,'BSE - Other Index Options'!$B:$B,"Monday")=0,"",SUMIFS('BSE - SENSEX Index Options'!$M:$M,'BSE - SENSEX Index Options'!$D:$D,$A17,'BSE - SENSEX Index Options'!$B:$B,"Monday")+SUMIFS('BSE - Other Index Options'!$M:$M,'BSE - Other Index Options'!$D:$D,$A17,'BSE - Other Index Options'!$B:$B,"Monday"))</f>
        <v/>
      </c>
      <c r="D17" s="27">
        <f>IF(SUM(B17:C17)=0,"",SUM(B17)/SUM(B17:C17))</f>
        <v/>
      </c>
      <c r="E17" s="27">
        <f>IF(SUM(B17:C17)=0,"",SUM(C17)/SUM(B17:C17))</f>
        <v/>
      </c>
    </row>
    <row r="18" hidden="1" outlineLevel="1">
      <c r="A18" s="24" t="n">
        <v>46296</v>
      </c>
      <c r="B18" s="26">
        <f>IF(SUMIFS('NSE - NIFTY Index Options'!$M:$M,'NSE - NIFTY Index Options'!$D:$D,$A18,'NSE - NIFTY Index Options'!$B:$B,"Monday")+SUMIFS('NSE - Other Index Options'!$M:$M,'NSE - Other Index Options'!$D:$D,$A18,'NSE - Other Index Options'!$B:$B,"Monday")=0,"",SUMIFS('NSE - NIFTY Index Options'!$M:$M,'NSE - NIFTY Index Options'!$D:$D,$A18,'NSE - NIFTY Index Options'!$B:$B,"Monday")+SUMIFS('NSE - Other Index Options'!$M:$M,'NSE - Other Index Options'!$D:$D,$A18,'NSE - Other Index Options'!$B:$B,"Monday"))</f>
        <v/>
      </c>
      <c r="C18" s="26">
        <f>IF(SUMIFS('BSE - SENSEX Index Options'!$M:$M,'BSE - SENSEX Index Options'!$D:$D,$A18,'BSE - SENSEX Index Options'!$B:$B,"Monday")+SUMIFS('BSE - Other Index Options'!$M:$M,'BSE - Other Index Options'!$D:$D,$A18,'BSE - Other Index Options'!$B:$B,"Monday")=0,"",SUMIFS('BSE - SENSEX Index Options'!$M:$M,'BSE - SENSEX Index Options'!$D:$D,$A18,'BSE - SENSEX Index Options'!$B:$B,"Monday")+SUMIFS('BSE - Other Index Options'!$M:$M,'BSE - Other Index Options'!$D:$D,$A18,'BSE - Other Index Options'!$B:$B,"Monday"))</f>
        <v/>
      </c>
      <c r="D18" s="27">
        <f>IF(SUM(B18:C18)=0,"",SUM(B18)/SUM(B18:C18))</f>
        <v/>
      </c>
      <c r="E18" s="27">
        <f>IF(SUM(B18:C18)=0,"",SUM(C18)/SUM(B18:C18))</f>
        <v/>
      </c>
    </row>
    <row r="19" hidden="1" outlineLevel="1">
      <c r="A19" s="24" t="n">
        <v>46327</v>
      </c>
      <c r="B19" s="26">
        <f>IF(SUMIFS('NSE - NIFTY Index Options'!$M:$M,'NSE - NIFTY Index Options'!$D:$D,$A19,'NSE - NIFTY Index Options'!$B:$B,"Monday")+SUMIFS('NSE - Other Index Options'!$M:$M,'NSE - Other Index Options'!$D:$D,$A19,'NSE - Other Index Options'!$B:$B,"Monday")=0,"",SUMIFS('NSE - NIFTY Index Options'!$M:$M,'NSE - NIFTY Index Options'!$D:$D,$A19,'NSE - NIFTY Index Options'!$B:$B,"Monday")+SUMIFS('NSE - Other Index Options'!$M:$M,'NSE - Other Index Options'!$D:$D,$A19,'NSE - Other Index Options'!$B:$B,"Monday"))</f>
        <v/>
      </c>
      <c r="C19" s="26">
        <f>IF(SUMIFS('BSE - SENSEX Index Options'!$M:$M,'BSE - SENSEX Index Options'!$D:$D,$A19,'BSE - SENSEX Index Options'!$B:$B,"Monday")+SUMIFS('BSE - Other Index Options'!$M:$M,'BSE - Other Index Options'!$D:$D,$A19,'BSE - Other Index Options'!$B:$B,"Monday")=0,"",SUMIFS('BSE - SENSEX Index Options'!$M:$M,'BSE - SENSEX Index Options'!$D:$D,$A19,'BSE - SENSEX Index Options'!$B:$B,"Monday")+SUMIFS('BSE - Other Index Options'!$M:$M,'BSE - Other Index Options'!$D:$D,$A19,'BSE - Other Index Options'!$B:$B,"Monday"))</f>
        <v/>
      </c>
      <c r="D19" s="27">
        <f>IF(SUM(B19:C19)=0,"",SUM(B19)/SUM(B19:C19))</f>
        <v/>
      </c>
      <c r="E19" s="27">
        <f>IF(SUM(B19:C19)=0,"",SUM(C19)/SUM(B19:C19))</f>
        <v/>
      </c>
    </row>
    <row r="20" hidden="1" outlineLevel="1">
      <c r="A20" s="24" t="n">
        <v>46357</v>
      </c>
      <c r="B20" s="26">
        <f>IF(SUMIFS('NSE - NIFTY Index Options'!$M:$M,'NSE - NIFTY Index Options'!$D:$D,$A20,'NSE - NIFTY Index Options'!$B:$B,"Monday")+SUMIFS('NSE - Other Index Options'!$M:$M,'NSE - Other Index Options'!$D:$D,$A20,'NSE - Other Index Options'!$B:$B,"Monday")=0,"",SUMIFS('NSE - NIFTY Index Options'!$M:$M,'NSE - NIFTY Index Options'!$D:$D,$A20,'NSE - NIFTY Index Options'!$B:$B,"Monday")+SUMIFS('NSE - Other Index Options'!$M:$M,'NSE - Other Index Options'!$D:$D,$A20,'NSE - Other Index Options'!$B:$B,"Monday"))</f>
        <v/>
      </c>
      <c r="C20" s="26">
        <f>IF(SUMIFS('BSE - SENSEX Index Options'!$M:$M,'BSE - SENSEX Index Options'!$D:$D,$A20,'BSE - SENSEX Index Options'!$B:$B,"Monday")+SUMIFS('BSE - Other Index Options'!$M:$M,'BSE - Other Index Options'!$D:$D,$A20,'BSE - Other Index Options'!$B:$B,"Monday")=0,"",SUMIFS('BSE - SENSEX Index Options'!$M:$M,'BSE - SENSEX Index Options'!$D:$D,$A20,'BSE - SENSEX Index Options'!$B:$B,"Monday")+SUMIFS('BSE - Other Index Options'!$M:$M,'BSE - Other Index Options'!$D:$D,$A20,'BSE - Other Index Options'!$B:$B,"Monday"))</f>
        <v/>
      </c>
      <c r="D20" s="27">
        <f>IF(SUM(B20:C20)=0,"",SUM(B20)/SUM(B20:C20))</f>
        <v/>
      </c>
      <c r="E20" s="27">
        <f>IF(SUM(B20:C20)=0,"",SUM(C20)/SUM(B20:C20))</f>
        <v/>
      </c>
    </row>
    <row r="21" hidden="1" outlineLevel="1">
      <c r="A21" s="24" t="n">
        <v>46388</v>
      </c>
      <c r="B21" s="26">
        <f>IF(SUMIFS('NSE - NIFTY Index Options'!$M:$M,'NSE - NIFTY Index Options'!$D:$D,$A21,'NSE - NIFTY Index Options'!$B:$B,"Monday")+SUMIFS('NSE - Other Index Options'!$M:$M,'NSE - Other Index Options'!$D:$D,$A21,'NSE - Other Index Options'!$B:$B,"Monday")=0,"",SUMIFS('NSE - NIFTY Index Options'!$M:$M,'NSE - NIFTY Index Options'!$D:$D,$A21,'NSE - NIFTY Index Options'!$B:$B,"Monday")+SUMIFS('NSE - Other Index Options'!$M:$M,'NSE - Other Index Options'!$D:$D,$A21,'NSE - Other Index Options'!$B:$B,"Monday"))</f>
        <v/>
      </c>
      <c r="C21" s="26">
        <f>IF(SUMIFS('BSE - SENSEX Index Options'!$M:$M,'BSE - SENSEX Index Options'!$D:$D,$A21,'BSE - SENSEX Index Options'!$B:$B,"Monday")+SUMIFS('BSE - Other Index Options'!$M:$M,'BSE - Other Index Options'!$D:$D,$A21,'BSE - Other Index Options'!$B:$B,"Monday")=0,"",SUMIFS('BSE - SENSEX Index Options'!$M:$M,'BSE - SENSEX Index Options'!$D:$D,$A21,'BSE - SENSEX Index Options'!$B:$B,"Monday")+SUMIFS('BSE - Other Index Options'!$M:$M,'BSE - Other Index Options'!$D:$D,$A21,'BSE - Other Index Options'!$B:$B,"Monday"))</f>
        <v/>
      </c>
      <c r="D21" s="27">
        <f>IF(SUM(B21:C21)=0,"",SUM(B21)/SUM(B21:C21))</f>
        <v/>
      </c>
      <c r="E21" s="27">
        <f>IF(SUM(B21:C21)=0,"",SUM(C21)/SUM(B21:C21))</f>
        <v/>
      </c>
    </row>
    <row r="22" hidden="1" outlineLevel="1">
      <c r="A22" s="24" t="n">
        <v>46419</v>
      </c>
      <c r="B22" s="26">
        <f>IF(SUMIFS('NSE - NIFTY Index Options'!$M:$M,'NSE - NIFTY Index Options'!$D:$D,$A22,'NSE - NIFTY Index Options'!$B:$B,"Monday")+SUMIFS('NSE - Other Index Options'!$M:$M,'NSE - Other Index Options'!$D:$D,$A22,'NSE - Other Index Options'!$B:$B,"Monday")=0,"",SUMIFS('NSE - NIFTY Index Options'!$M:$M,'NSE - NIFTY Index Options'!$D:$D,$A22,'NSE - NIFTY Index Options'!$B:$B,"Monday")+SUMIFS('NSE - Other Index Options'!$M:$M,'NSE - Other Index Options'!$D:$D,$A22,'NSE - Other Index Options'!$B:$B,"Monday"))</f>
        <v/>
      </c>
      <c r="C22" s="26">
        <f>IF(SUMIFS('BSE - SENSEX Index Options'!$M:$M,'BSE - SENSEX Index Options'!$D:$D,$A22,'BSE - SENSEX Index Options'!$B:$B,"Monday")+SUMIFS('BSE - Other Index Options'!$M:$M,'BSE - Other Index Options'!$D:$D,$A22,'BSE - Other Index Options'!$B:$B,"Monday")=0,"",SUMIFS('BSE - SENSEX Index Options'!$M:$M,'BSE - SENSEX Index Options'!$D:$D,$A22,'BSE - SENSEX Index Options'!$B:$B,"Monday")+SUMIFS('BSE - Other Index Options'!$M:$M,'BSE - Other Index Options'!$D:$D,$A22,'BSE - Other Index Options'!$B:$B,"Monday"))</f>
        <v/>
      </c>
      <c r="D22" s="27">
        <f>IF(SUM(B22:C22)=0,"",SUM(B22)/SUM(B22:C22))</f>
        <v/>
      </c>
      <c r="E22" s="27">
        <f>IF(SUM(B22:C22)=0,"",SUM(C22)/SUM(B22:C22))</f>
        <v/>
      </c>
    </row>
    <row r="23" hidden="1" outlineLevel="1">
      <c r="A23" s="24" t="n">
        <v>46447</v>
      </c>
      <c r="B23" s="26">
        <f>IF(SUMIFS('NSE - NIFTY Index Options'!$M:$M,'NSE - NIFTY Index Options'!$D:$D,$A23,'NSE - NIFTY Index Options'!$B:$B,"Monday")+SUMIFS('NSE - Other Index Options'!$M:$M,'NSE - Other Index Options'!$D:$D,$A23,'NSE - Other Index Options'!$B:$B,"Monday")=0,"",SUMIFS('NSE - NIFTY Index Options'!$M:$M,'NSE - NIFTY Index Options'!$D:$D,$A23,'NSE - NIFTY Index Options'!$B:$B,"Monday")+SUMIFS('NSE - Other Index Options'!$M:$M,'NSE - Other Index Options'!$D:$D,$A23,'NSE - Other Index Options'!$B:$B,"Monday"))</f>
        <v/>
      </c>
      <c r="C23" s="26">
        <f>IF(SUMIFS('BSE - SENSEX Index Options'!$M:$M,'BSE - SENSEX Index Options'!$D:$D,$A23,'BSE - SENSEX Index Options'!$B:$B,"Monday")+SUMIFS('BSE - Other Index Options'!$M:$M,'BSE - Other Index Options'!$D:$D,$A23,'BSE - Other Index Options'!$B:$B,"Monday")=0,"",SUMIFS('BSE - SENSEX Index Options'!$M:$M,'BSE - SENSEX Index Options'!$D:$D,$A23,'BSE - SENSEX Index Options'!$B:$B,"Monday")+SUMIFS('BSE - Other Index Options'!$M:$M,'BSE - Other Index Options'!$D:$D,$A23,'BSE - Other Index Options'!$B:$B,"Monday"))</f>
        <v/>
      </c>
      <c r="D23" s="27">
        <f>IF(SUM(B23:C23)=0,"",SUM(B23)/SUM(B23:C23))</f>
        <v/>
      </c>
      <c r="E23" s="27">
        <f>IF(SUM(B23:C23)=0,"",SUM(C23)/SUM(B23:C23))</f>
        <v/>
      </c>
    </row>
    <row r="24" hidden="1" outlineLevel="1">
      <c r="A24" s="24" t="n">
        <v>46478</v>
      </c>
      <c r="B24" s="26">
        <f>IF(SUMIFS('NSE - NIFTY Index Options'!$M:$M,'NSE - NIFTY Index Options'!$D:$D,$A24,'NSE - NIFTY Index Options'!$B:$B,"Monday")+SUMIFS('NSE - Other Index Options'!$M:$M,'NSE - Other Index Options'!$D:$D,$A24,'NSE - Other Index Options'!$B:$B,"Monday")=0,"",SUMIFS('NSE - NIFTY Index Options'!$M:$M,'NSE - NIFTY Index Options'!$D:$D,$A24,'NSE - NIFTY Index Options'!$B:$B,"Monday")+SUMIFS('NSE - Other Index Options'!$M:$M,'NSE - Other Index Options'!$D:$D,$A24,'NSE - Other Index Options'!$B:$B,"Monday"))</f>
        <v/>
      </c>
      <c r="C24" s="26">
        <f>IF(SUMIFS('BSE - SENSEX Index Options'!$M:$M,'BSE - SENSEX Index Options'!$D:$D,$A24,'BSE - SENSEX Index Options'!$B:$B,"Monday")+SUMIFS('BSE - Other Index Options'!$M:$M,'BSE - Other Index Options'!$D:$D,$A24,'BSE - Other Index Options'!$B:$B,"Monday")=0,"",SUMIFS('BSE - SENSEX Index Options'!$M:$M,'BSE - SENSEX Index Options'!$D:$D,$A24,'BSE - SENSEX Index Options'!$B:$B,"Monday")+SUMIFS('BSE - Other Index Options'!$M:$M,'BSE - Other Index Options'!$D:$D,$A24,'BSE - Other Index Options'!$B:$B,"Monday"))</f>
        <v/>
      </c>
      <c r="D24" s="27">
        <f>IF(SUM(B24:C24)=0,"",SUM(B24)/SUM(B24:C24))</f>
        <v/>
      </c>
      <c r="E24" s="27">
        <f>IF(SUM(B24:C24)=0,"",SUM(C24)/SUM(B24:C24))</f>
        <v/>
      </c>
    </row>
    <row r="25" hidden="1" outlineLevel="1">
      <c r="A25" s="24" t="n">
        <v>46508</v>
      </c>
      <c r="B25" s="26">
        <f>IF(SUMIFS('NSE - NIFTY Index Options'!$M:$M,'NSE - NIFTY Index Options'!$D:$D,$A25,'NSE - NIFTY Index Options'!$B:$B,"Monday")+SUMIFS('NSE - Other Index Options'!$M:$M,'NSE - Other Index Options'!$D:$D,$A25,'NSE - Other Index Options'!$B:$B,"Monday")=0,"",SUMIFS('NSE - NIFTY Index Options'!$M:$M,'NSE - NIFTY Index Options'!$D:$D,$A25,'NSE - NIFTY Index Options'!$B:$B,"Monday")+SUMIFS('NSE - Other Index Options'!$M:$M,'NSE - Other Index Options'!$D:$D,$A25,'NSE - Other Index Options'!$B:$B,"Monday"))</f>
        <v/>
      </c>
      <c r="C25" s="26">
        <f>IF(SUMIFS('BSE - SENSEX Index Options'!$M:$M,'BSE - SENSEX Index Options'!$D:$D,$A25,'BSE - SENSEX Index Options'!$B:$B,"Monday")+SUMIFS('BSE - Other Index Options'!$M:$M,'BSE - Other Index Options'!$D:$D,$A25,'BSE - Other Index Options'!$B:$B,"Monday")=0,"",SUMIFS('BSE - SENSEX Index Options'!$M:$M,'BSE - SENSEX Index Options'!$D:$D,$A25,'BSE - SENSEX Index Options'!$B:$B,"Monday")+SUMIFS('BSE - Other Index Options'!$M:$M,'BSE - Other Index Options'!$D:$D,$A25,'BSE - Other Index Options'!$B:$B,"Monday"))</f>
        <v/>
      </c>
      <c r="D25" s="27">
        <f>IF(SUM(B25:C25)=0,"",SUM(B25)/SUM(B25:C25))</f>
        <v/>
      </c>
      <c r="E25" s="27">
        <f>IF(SUM(B25:C25)=0,"",SUM(C25)/SUM(B25:C25))</f>
        <v/>
      </c>
    </row>
    <row r="26" hidden="1" outlineLevel="1">
      <c r="A26" s="24" t="n">
        <v>46539</v>
      </c>
      <c r="B26" s="26">
        <f>IF(SUMIFS('NSE - NIFTY Index Options'!$M:$M,'NSE - NIFTY Index Options'!$D:$D,$A26,'NSE - NIFTY Index Options'!$B:$B,"Monday")+SUMIFS('NSE - Other Index Options'!$M:$M,'NSE - Other Index Options'!$D:$D,$A26,'NSE - Other Index Options'!$B:$B,"Monday")=0,"",SUMIFS('NSE - NIFTY Index Options'!$M:$M,'NSE - NIFTY Index Options'!$D:$D,$A26,'NSE - NIFTY Index Options'!$B:$B,"Monday")+SUMIFS('NSE - Other Index Options'!$M:$M,'NSE - Other Index Options'!$D:$D,$A26,'NSE - Other Index Options'!$B:$B,"Monday"))</f>
        <v/>
      </c>
      <c r="C26" s="26">
        <f>IF(SUMIFS('BSE - SENSEX Index Options'!$M:$M,'BSE - SENSEX Index Options'!$D:$D,$A26,'BSE - SENSEX Index Options'!$B:$B,"Monday")+SUMIFS('BSE - Other Index Options'!$M:$M,'BSE - Other Index Options'!$D:$D,$A26,'BSE - Other Index Options'!$B:$B,"Monday")=0,"",SUMIFS('BSE - SENSEX Index Options'!$M:$M,'BSE - SENSEX Index Options'!$D:$D,$A26,'BSE - SENSEX Index Options'!$B:$B,"Monday")+SUMIFS('BSE - Other Index Options'!$M:$M,'BSE - Other Index Options'!$D:$D,$A26,'BSE - Other Index Options'!$B:$B,"Monday"))</f>
        <v/>
      </c>
      <c r="D26" s="27">
        <f>IF(SUM(B26:C26)=0,"",SUM(B26)/SUM(B26:C26))</f>
        <v/>
      </c>
      <c r="E26" s="27">
        <f>IF(SUM(B26:C26)=0,"",SUM(C26)/SUM(B26:C26))</f>
        <v/>
      </c>
    </row>
    <row r="27" hidden="1" outlineLevel="1">
      <c r="A27" s="24" t="n">
        <v>46569</v>
      </c>
      <c r="B27" s="26">
        <f>IF(SUMIFS('NSE - NIFTY Index Options'!$M:$M,'NSE - NIFTY Index Options'!$D:$D,$A27,'NSE - NIFTY Index Options'!$B:$B,"Monday")+SUMIFS('NSE - Other Index Options'!$M:$M,'NSE - Other Index Options'!$D:$D,$A27,'NSE - Other Index Options'!$B:$B,"Monday")=0,"",SUMIFS('NSE - NIFTY Index Options'!$M:$M,'NSE - NIFTY Index Options'!$D:$D,$A27,'NSE - NIFTY Index Options'!$B:$B,"Monday")+SUMIFS('NSE - Other Index Options'!$M:$M,'NSE - Other Index Options'!$D:$D,$A27,'NSE - Other Index Options'!$B:$B,"Monday"))</f>
        <v/>
      </c>
      <c r="C27" s="26">
        <f>IF(SUMIFS('BSE - SENSEX Index Options'!$M:$M,'BSE - SENSEX Index Options'!$D:$D,$A27,'BSE - SENSEX Index Options'!$B:$B,"Monday")+SUMIFS('BSE - Other Index Options'!$M:$M,'BSE - Other Index Options'!$D:$D,$A27,'BSE - Other Index Options'!$B:$B,"Monday")=0,"",SUMIFS('BSE - SENSEX Index Options'!$M:$M,'BSE - SENSEX Index Options'!$D:$D,$A27,'BSE - SENSEX Index Options'!$B:$B,"Monday")+SUMIFS('BSE - Other Index Options'!$M:$M,'BSE - Other Index Options'!$D:$D,$A27,'BSE - Other Index Options'!$B:$B,"Monday"))</f>
        <v/>
      </c>
      <c r="D27" s="27">
        <f>IF(SUM(B27:C27)=0,"",SUM(B27)/SUM(B27:C27))</f>
        <v/>
      </c>
      <c r="E27" s="27">
        <f>IF(SUM(B27:C27)=0,"",SUM(C27)/SUM(B27:C27))</f>
        <v/>
      </c>
    </row>
    <row r="28" hidden="1" outlineLevel="1">
      <c r="A28" s="24" t="n">
        <v>46600</v>
      </c>
      <c r="B28" s="26">
        <f>IF(SUMIFS('NSE - NIFTY Index Options'!$M:$M,'NSE - NIFTY Index Options'!$D:$D,$A28,'NSE - NIFTY Index Options'!$B:$B,"Monday")+SUMIFS('NSE - Other Index Options'!$M:$M,'NSE - Other Index Options'!$D:$D,$A28,'NSE - Other Index Options'!$B:$B,"Monday")=0,"",SUMIFS('NSE - NIFTY Index Options'!$M:$M,'NSE - NIFTY Index Options'!$D:$D,$A28,'NSE - NIFTY Index Options'!$B:$B,"Monday")+SUMIFS('NSE - Other Index Options'!$M:$M,'NSE - Other Index Options'!$D:$D,$A28,'NSE - Other Index Options'!$B:$B,"Monday"))</f>
        <v/>
      </c>
      <c r="C28" s="26">
        <f>IF(SUMIFS('BSE - SENSEX Index Options'!$M:$M,'BSE - SENSEX Index Options'!$D:$D,$A28,'BSE - SENSEX Index Options'!$B:$B,"Monday")+SUMIFS('BSE - Other Index Options'!$M:$M,'BSE - Other Index Options'!$D:$D,$A28,'BSE - Other Index Options'!$B:$B,"Monday")=0,"",SUMIFS('BSE - SENSEX Index Options'!$M:$M,'BSE - SENSEX Index Options'!$D:$D,$A28,'BSE - SENSEX Index Options'!$B:$B,"Monday")+SUMIFS('BSE - Other Index Options'!$M:$M,'BSE - Other Index Options'!$D:$D,$A28,'BSE - Other Index Options'!$B:$B,"Monday"))</f>
        <v/>
      </c>
      <c r="D28" s="27">
        <f>IF(SUM(B28:C28)=0,"",SUM(B28)/SUM(B28:C28))</f>
        <v/>
      </c>
      <c r="E28" s="27">
        <f>IF(SUM(B28:C28)=0,"",SUM(C28)/SUM(B28:C28))</f>
        <v/>
      </c>
    </row>
    <row r="29" hidden="1" outlineLevel="1">
      <c r="A29" s="24" t="n">
        <v>46631</v>
      </c>
      <c r="B29" s="26">
        <f>IF(SUMIFS('NSE - NIFTY Index Options'!$M:$M,'NSE - NIFTY Index Options'!$D:$D,$A29,'NSE - NIFTY Index Options'!$B:$B,"Monday")+SUMIFS('NSE - Other Index Options'!$M:$M,'NSE - Other Index Options'!$D:$D,$A29,'NSE - Other Index Options'!$B:$B,"Monday")=0,"",SUMIFS('NSE - NIFTY Index Options'!$M:$M,'NSE - NIFTY Index Options'!$D:$D,$A29,'NSE - NIFTY Index Options'!$B:$B,"Monday")+SUMIFS('NSE - Other Index Options'!$M:$M,'NSE - Other Index Options'!$D:$D,$A29,'NSE - Other Index Options'!$B:$B,"Monday"))</f>
        <v/>
      </c>
      <c r="C29" s="26">
        <f>IF(SUMIFS('BSE - SENSEX Index Options'!$M:$M,'BSE - SENSEX Index Options'!$D:$D,$A29,'BSE - SENSEX Index Options'!$B:$B,"Monday")+SUMIFS('BSE - Other Index Options'!$M:$M,'BSE - Other Index Options'!$D:$D,$A29,'BSE - Other Index Options'!$B:$B,"Monday")=0,"",SUMIFS('BSE - SENSEX Index Options'!$M:$M,'BSE - SENSEX Index Options'!$D:$D,$A29,'BSE - SENSEX Index Options'!$B:$B,"Monday")+SUMIFS('BSE - Other Index Options'!$M:$M,'BSE - Other Index Options'!$D:$D,$A29,'BSE - Other Index Options'!$B:$B,"Monday"))</f>
        <v/>
      </c>
      <c r="D29" s="27">
        <f>IF(SUM(B29:C29)=0,"",SUM(B29)/SUM(B29:C29))</f>
        <v/>
      </c>
      <c r="E29" s="27">
        <f>IF(SUM(B29:C29)=0,"",SUM(C29)/SUM(B29:C29))</f>
        <v/>
      </c>
    </row>
    <row r="30" hidden="1" outlineLevel="1">
      <c r="A30" s="24" t="n">
        <v>46661</v>
      </c>
      <c r="B30" s="26">
        <f>IF(SUMIFS('NSE - NIFTY Index Options'!$M:$M,'NSE - NIFTY Index Options'!$D:$D,$A30,'NSE - NIFTY Index Options'!$B:$B,"Monday")+SUMIFS('NSE - Other Index Options'!$M:$M,'NSE - Other Index Options'!$D:$D,$A30,'NSE - Other Index Options'!$B:$B,"Monday")=0,"",SUMIFS('NSE - NIFTY Index Options'!$M:$M,'NSE - NIFTY Index Options'!$D:$D,$A30,'NSE - NIFTY Index Options'!$B:$B,"Monday")+SUMIFS('NSE - Other Index Options'!$M:$M,'NSE - Other Index Options'!$D:$D,$A30,'NSE - Other Index Options'!$B:$B,"Monday"))</f>
        <v/>
      </c>
      <c r="C30" s="26">
        <f>IF(SUMIFS('BSE - SENSEX Index Options'!$M:$M,'BSE - SENSEX Index Options'!$D:$D,$A30,'BSE - SENSEX Index Options'!$B:$B,"Monday")+SUMIFS('BSE - Other Index Options'!$M:$M,'BSE - Other Index Options'!$D:$D,$A30,'BSE - Other Index Options'!$B:$B,"Monday")=0,"",SUMIFS('BSE - SENSEX Index Options'!$M:$M,'BSE - SENSEX Index Options'!$D:$D,$A30,'BSE - SENSEX Index Options'!$B:$B,"Monday")+SUMIFS('BSE - Other Index Options'!$M:$M,'BSE - Other Index Options'!$D:$D,$A30,'BSE - Other Index Options'!$B:$B,"Monday"))</f>
        <v/>
      </c>
      <c r="D30" s="27">
        <f>IF(SUM(B30:C30)=0,"",SUM(B30)/SUM(B30:C30))</f>
        <v/>
      </c>
      <c r="E30" s="27">
        <f>IF(SUM(B30:C30)=0,"",SUM(C30)/SUM(B30:C30))</f>
        <v/>
      </c>
    </row>
    <row r="31" hidden="1" outlineLevel="1">
      <c r="A31" s="24" t="n">
        <v>46692</v>
      </c>
      <c r="B31" s="26">
        <f>IF(SUMIFS('NSE - NIFTY Index Options'!$M:$M,'NSE - NIFTY Index Options'!$D:$D,$A31,'NSE - NIFTY Index Options'!$B:$B,"Monday")+SUMIFS('NSE - Other Index Options'!$M:$M,'NSE - Other Index Options'!$D:$D,$A31,'NSE - Other Index Options'!$B:$B,"Monday")=0,"",SUMIFS('NSE - NIFTY Index Options'!$M:$M,'NSE - NIFTY Index Options'!$D:$D,$A31,'NSE - NIFTY Index Options'!$B:$B,"Monday")+SUMIFS('NSE - Other Index Options'!$M:$M,'NSE - Other Index Options'!$D:$D,$A31,'NSE - Other Index Options'!$B:$B,"Monday"))</f>
        <v/>
      </c>
      <c r="C31" s="26">
        <f>IF(SUMIFS('BSE - SENSEX Index Options'!$M:$M,'BSE - SENSEX Index Options'!$D:$D,$A31,'BSE - SENSEX Index Options'!$B:$B,"Monday")+SUMIFS('BSE - Other Index Options'!$M:$M,'BSE - Other Index Options'!$D:$D,$A31,'BSE - Other Index Options'!$B:$B,"Monday")=0,"",SUMIFS('BSE - SENSEX Index Options'!$M:$M,'BSE - SENSEX Index Options'!$D:$D,$A31,'BSE - SENSEX Index Options'!$B:$B,"Monday")+SUMIFS('BSE - Other Index Options'!$M:$M,'BSE - Other Index Options'!$D:$D,$A31,'BSE - Other Index Options'!$B:$B,"Monday"))</f>
        <v/>
      </c>
      <c r="D31" s="27">
        <f>IF(SUM(B31:C31)=0,"",SUM(B31)/SUM(B31:C31))</f>
        <v/>
      </c>
      <c r="E31" s="27">
        <f>IF(SUM(B31:C31)=0,"",SUM(C31)/SUM(B31:C31))</f>
        <v/>
      </c>
    </row>
    <row r="32" hidden="1" outlineLevel="1">
      <c r="A32" s="24" t="n">
        <v>46722</v>
      </c>
      <c r="B32" s="26">
        <f>IF(SUMIFS('NSE - NIFTY Index Options'!$M:$M,'NSE - NIFTY Index Options'!$D:$D,$A32,'NSE - NIFTY Index Options'!$B:$B,"Monday")+SUMIFS('NSE - Other Index Options'!$M:$M,'NSE - Other Index Options'!$D:$D,$A32,'NSE - Other Index Options'!$B:$B,"Monday")=0,"",SUMIFS('NSE - NIFTY Index Options'!$M:$M,'NSE - NIFTY Index Options'!$D:$D,$A32,'NSE - NIFTY Index Options'!$B:$B,"Monday")+SUMIFS('NSE - Other Index Options'!$M:$M,'NSE - Other Index Options'!$D:$D,$A32,'NSE - Other Index Options'!$B:$B,"Monday"))</f>
        <v/>
      </c>
      <c r="C32" s="26">
        <f>IF(SUMIFS('BSE - SENSEX Index Options'!$M:$M,'BSE - SENSEX Index Options'!$D:$D,$A32,'BSE - SENSEX Index Options'!$B:$B,"Monday")+SUMIFS('BSE - Other Index Options'!$M:$M,'BSE - Other Index Options'!$D:$D,$A32,'BSE - Other Index Options'!$B:$B,"Monday")=0,"",SUMIFS('BSE - SENSEX Index Options'!$M:$M,'BSE - SENSEX Index Options'!$D:$D,$A32,'BSE - SENSEX Index Options'!$B:$B,"Monday")+SUMIFS('BSE - Other Index Options'!$M:$M,'BSE - Other Index Options'!$D:$D,$A32,'BSE - Other Index Options'!$B:$B,"Monday"))</f>
        <v/>
      </c>
      <c r="D32" s="27">
        <f>IF(SUM(B32:C32)=0,"",SUM(B32)/SUM(B32:C32))</f>
        <v/>
      </c>
      <c r="E32" s="27">
        <f>IF(SUM(B32:C32)=0,"",SUM(C32)/SUM(B32:C32))</f>
        <v/>
      </c>
    </row>
    <row r="33" collapsed="1">
      <c r="A33" s="28" t="inlineStr">
        <is>
          <t>Total</t>
        </is>
      </c>
      <c r="B33" s="30">
        <f>IF(SUM(B5:B32)=0,"",SUM(B5:B32))</f>
        <v/>
      </c>
      <c r="C33" s="30">
        <f>IF(SUM(C5:C32)=0,"",SUM(C5:C32))</f>
        <v/>
      </c>
      <c r="D33" s="31">
        <f>IF(SUM(B33:C33)=0,"",SUM(B33)/SUM(B33:C33))</f>
        <v/>
      </c>
      <c r="E33" s="31">
        <f>IF(SUM(B33:C33)=0,"",SUM(C33)/SUM(B33:C33))</f>
        <v/>
      </c>
    </row>
    <row r="35">
      <c r="A35" s="28" t="inlineStr">
        <is>
          <t>Tuesday Trade Day</t>
        </is>
      </c>
    </row>
    <row r="36">
      <c r="A36" s="28" t="inlineStr">
        <is>
          <t>Month</t>
        </is>
      </c>
      <c r="B36" s="28" t="inlineStr">
        <is>
          <t>NSE Premium Turnover (INR Bn)</t>
        </is>
      </c>
      <c r="C36" s="28" t="inlineStr">
        <is>
          <t>BSE Premium Turnover (INR Bn)</t>
        </is>
      </c>
      <c r="D36" s="28" t="inlineStr">
        <is>
          <t>NSE Market Share</t>
        </is>
      </c>
      <c r="E36" s="28" t="inlineStr">
        <is>
          <t>BSE Market Share</t>
        </is>
      </c>
    </row>
    <row r="37">
      <c r="A37" s="24" t="n">
        <v>45901</v>
      </c>
      <c r="B37" s="26">
        <f>IF(SUMIFS('NSE - NIFTY Index Options'!$M:$M,'NSE - NIFTY Index Options'!$D:$D,$A37,'NSE - NIFTY Index Options'!$B:$B,"Tuesday")+SUMIFS('NSE - Other Index Options'!$M:$M,'NSE - Other Index Options'!$D:$D,$A37,'NSE - Other Index Options'!$B:$B,"Tuesday")=0,"",SUMIFS('NSE - NIFTY Index Options'!$M:$M,'NSE - NIFTY Index Options'!$D:$D,$A37,'NSE - NIFTY Index Options'!$B:$B,"Tuesday")+SUMIFS('NSE - Other Index Options'!$M:$M,'NSE - Other Index Options'!$D:$D,$A37,'NSE - Other Index Options'!$B:$B,"Tuesday"))</f>
        <v/>
      </c>
      <c r="C37" s="26">
        <f>IF(SUMIFS('BSE - SENSEX Index Options'!$M:$M,'BSE - SENSEX Index Options'!$D:$D,$A37,'BSE - SENSEX Index Options'!$B:$B,"Tuesday")+SUMIFS('BSE - Other Index Options'!$M:$M,'BSE - Other Index Options'!$D:$D,$A37,'BSE - Other Index Options'!$B:$B,"Tuesday")=0,"",SUMIFS('BSE - SENSEX Index Options'!$M:$M,'BSE - SENSEX Index Options'!$D:$D,$A37,'BSE - SENSEX Index Options'!$B:$B,"Tuesday")+SUMIFS('BSE - Other Index Options'!$M:$M,'BSE - Other Index Options'!$D:$D,$A37,'BSE - Other Index Options'!$B:$B,"Tuesday"))</f>
        <v/>
      </c>
      <c r="D37" s="27">
        <f>IF(SUM(B37:C37)=0,"",SUM(B37)/SUM(B37:C37))</f>
        <v/>
      </c>
      <c r="E37" s="27">
        <f>IF(SUM(B37:C37)=0,"",SUM(C37)/SUM(B37:C37))</f>
        <v/>
      </c>
    </row>
    <row r="38">
      <c r="A38" s="24" t="n">
        <v>45931</v>
      </c>
      <c r="B38" s="26">
        <f>IF(SUMIFS('NSE - NIFTY Index Options'!$M:$M,'NSE - NIFTY Index Options'!$D:$D,$A38,'NSE - NIFTY Index Options'!$B:$B,"Tuesday")+SUMIFS('NSE - Other Index Options'!$M:$M,'NSE - Other Index Options'!$D:$D,$A38,'NSE - Other Index Options'!$B:$B,"Tuesday")=0,"",SUMIFS('NSE - NIFTY Index Options'!$M:$M,'NSE - NIFTY Index Options'!$D:$D,$A38,'NSE - NIFTY Index Options'!$B:$B,"Tuesday")+SUMIFS('NSE - Other Index Options'!$M:$M,'NSE - Other Index Options'!$D:$D,$A38,'NSE - Other Index Options'!$B:$B,"Tuesday"))</f>
        <v/>
      </c>
      <c r="C38" s="26">
        <f>IF(SUMIFS('BSE - SENSEX Index Options'!$M:$M,'BSE - SENSEX Index Options'!$D:$D,$A38,'BSE - SENSEX Index Options'!$B:$B,"Tuesday")+SUMIFS('BSE - Other Index Options'!$M:$M,'BSE - Other Index Options'!$D:$D,$A38,'BSE - Other Index Options'!$B:$B,"Tuesday")=0,"",SUMIFS('BSE - SENSEX Index Options'!$M:$M,'BSE - SENSEX Index Options'!$D:$D,$A38,'BSE - SENSEX Index Options'!$B:$B,"Tuesday")+SUMIFS('BSE - Other Index Options'!$M:$M,'BSE - Other Index Options'!$D:$D,$A38,'BSE - Other Index Options'!$B:$B,"Tuesday"))</f>
        <v/>
      </c>
      <c r="D38" s="27">
        <f>IF(SUM(B38:C38)=0,"",SUM(B38)/SUM(B38:C38))</f>
        <v/>
      </c>
      <c r="E38" s="27">
        <f>IF(SUM(B38:C38)=0,"",SUM(C38)/SUM(B38:C38))</f>
        <v/>
      </c>
    </row>
    <row r="39">
      <c r="A39" s="24" t="n">
        <v>45962</v>
      </c>
      <c r="B39" s="26">
        <f>IF(SUMIFS('NSE - NIFTY Index Options'!$M:$M,'NSE - NIFTY Index Options'!$D:$D,$A39,'NSE - NIFTY Index Options'!$B:$B,"Tuesday")+SUMIFS('NSE - Other Index Options'!$M:$M,'NSE - Other Index Options'!$D:$D,$A39,'NSE - Other Index Options'!$B:$B,"Tuesday")=0,"",SUMIFS('NSE - NIFTY Index Options'!$M:$M,'NSE - NIFTY Index Options'!$D:$D,$A39,'NSE - NIFTY Index Options'!$B:$B,"Tuesday")+SUMIFS('NSE - Other Index Options'!$M:$M,'NSE - Other Index Options'!$D:$D,$A39,'NSE - Other Index Options'!$B:$B,"Tuesday"))</f>
        <v/>
      </c>
      <c r="C39" s="26">
        <f>IF(SUMIFS('BSE - SENSEX Index Options'!$M:$M,'BSE - SENSEX Index Options'!$D:$D,$A39,'BSE - SENSEX Index Options'!$B:$B,"Tuesday")+SUMIFS('BSE - Other Index Options'!$M:$M,'BSE - Other Index Options'!$D:$D,$A39,'BSE - Other Index Options'!$B:$B,"Tuesday")=0,"",SUMIFS('BSE - SENSEX Index Options'!$M:$M,'BSE - SENSEX Index Options'!$D:$D,$A39,'BSE - SENSEX Index Options'!$B:$B,"Tuesday")+SUMIFS('BSE - Other Index Options'!$M:$M,'BSE - Other Index Options'!$D:$D,$A39,'BSE - Other Index Options'!$B:$B,"Tuesday"))</f>
        <v/>
      </c>
      <c r="D39" s="27">
        <f>IF(SUM(B39:C39)=0,"",SUM(B39)/SUM(B39:C39))</f>
        <v/>
      </c>
      <c r="E39" s="27">
        <f>IF(SUM(B39:C39)=0,"",SUM(C39)/SUM(B39:C39))</f>
        <v/>
      </c>
    </row>
    <row r="40">
      <c r="A40" s="24" t="n">
        <v>45992</v>
      </c>
      <c r="B40" s="26">
        <f>IF(SUMIFS('NSE - NIFTY Index Options'!$M:$M,'NSE - NIFTY Index Options'!$D:$D,$A40,'NSE - NIFTY Index Options'!$B:$B,"Tuesday")+SUMIFS('NSE - Other Index Options'!$M:$M,'NSE - Other Index Options'!$D:$D,$A40,'NSE - Other Index Options'!$B:$B,"Tuesday")=0,"",SUMIFS('NSE - NIFTY Index Options'!$M:$M,'NSE - NIFTY Index Options'!$D:$D,$A40,'NSE - NIFTY Index Options'!$B:$B,"Tuesday")+SUMIFS('NSE - Other Index Options'!$M:$M,'NSE - Other Index Options'!$D:$D,$A40,'NSE - Other Index Options'!$B:$B,"Tuesday"))</f>
        <v/>
      </c>
      <c r="C40" s="26">
        <f>IF(SUMIFS('BSE - SENSEX Index Options'!$M:$M,'BSE - SENSEX Index Options'!$D:$D,$A40,'BSE - SENSEX Index Options'!$B:$B,"Tuesday")+SUMIFS('BSE - Other Index Options'!$M:$M,'BSE - Other Index Options'!$D:$D,$A40,'BSE - Other Index Options'!$B:$B,"Tuesday")=0,"",SUMIFS('BSE - SENSEX Index Options'!$M:$M,'BSE - SENSEX Index Options'!$D:$D,$A40,'BSE - SENSEX Index Options'!$B:$B,"Tuesday")+SUMIFS('BSE - Other Index Options'!$M:$M,'BSE - Other Index Options'!$D:$D,$A40,'BSE - Other Index Options'!$B:$B,"Tuesday"))</f>
        <v/>
      </c>
      <c r="D40" s="27">
        <f>IF(SUM(B40:C40)=0,"",SUM(B40)/SUM(B40:C40))</f>
        <v/>
      </c>
      <c r="E40" s="27">
        <f>IF(SUM(B40:C40)=0,"",SUM(C40)/SUM(B40:C40))</f>
        <v/>
      </c>
    </row>
    <row r="41">
      <c r="A41" s="24" t="n">
        <v>46023</v>
      </c>
      <c r="B41" s="26">
        <f>IF(SUMIFS('NSE - NIFTY Index Options'!$M:$M,'NSE - NIFTY Index Options'!$D:$D,$A41,'NSE - NIFTY Index Options'!$B:$B,"Tuesday")+SUMIFS('NSE - Other Index Options'!$M:$M,'NSE - Other Index Options'!$D:$D,$A41,'NSE - Other Index Options'!$B:$B,"Tuesday")=0,"",SUMIFS('NSE - NIFTY Index Options'!$M:$M,'NSE - NIFTY Index Options'!$D:$D,$A41,'NSE - NIFTY Index Options'!$B:$B,"Tuesday")+SUMIFS('NSE - Other Index Options'!$M:$M,'NSE - Other Index Options'!$D:$D,$A41,'NSE - Other Index Options'!$B:$B,"Tuesday"))</f>
        <v/>
      </c>
      <c r="C41" s="26">
        <f>IF(SUMIFS('BSE - SENSEX Index Options'!$M:$M,'BSE - SENSEX Index Options'!$D:$D,$A41,'BSE - SENSEX Index Options'!$B:$B,"Tuesday")+SUMIFS('BSE - Other Index Options'!$M:$M,'BSE - Other Index Options'!$D:$D,$A41,'BSE - Other Index Options'!$B:$B,"Tuesday")=0,"",SUMIFS('BSE - SENSEX Index Options'!$M:$M,'BSE - SENSEX Index Options'!$D:$D,$A41,'BSE - SENSEX Index Options'!$B:$B,"Tuesday")+SUMIFS('BSE - Other Index Options'!$M:$M,'BSE - Other Index Options'!$D:$D,$A41,'BSE - Other Index Options'!$B:$B,"Tuesday"))</f>
        <v/>
      </c>
      <c r="D41" s="27">
        <f>IF(SUM(B41:C41)=0,"",SUM(B41)/SUM(B41:C41))</f>
        <v/>
      </c>
      <c r="E41" s="27">
        <f>IF(SUM(B41:C41)=0,"",SUM(C41)/SUM(B41:C41))</f>
        <v/>
      </c>
    </row>
    <row r="42">
      <c r="A42" s="24" t="n">
        <v>46054</v>
      </c>
      <c r="B42" s="26">
        <f>IF(SUMIFS('NSE - NIFTY Index Options'!$M:$M,'NSE - NIFTY Index Options'!$D:$D,$A42,'NSE - NIFTY Index Options'!$B:$B,"Tuesday")+SUMIFS('NSE - Other Index Options'!$M:$M,'NSE - Other Index Options'!$D:$D,$A42,'NSE - Other Index Options'!$B:$B,"Tuesday")=0,"",SUMIFS('NSE - NIFTY Index Options'!$M:$M,'NSE - NIFTY Index Options'!$D:$D,$A42,'NSE - NIFTY Index Options'!$B:$B,"Tuesday")+SUMIFS('NSE - Other Index Options'!$M:$M,'NSE - Other Index Options'!$D:$D,$A42,'NSE - Other Index Options'!$B:$B,"Tuesday"))</f>
        <v/>
      </c>
      <c r="C42" s="26">
        <f>IF(SUMIFS('BSE - SENSEX Index Options'!$M:$M,'BSE - SENSEX Index Options'!$D:$D,$A42,'BSE - SENSEX Index Options'!$B:$B,"Tuesday")+SUMIFS('BSE - Other Index Options'!$M:$M,'BSE - Other Index Options'!$D:$D,$A42,'BSE - Other Index Options'!$B:$B,"Tuesday")=0,"",SUMIFS('BSE - SENSEX Index Options'!$M:$M,'BSE - SENSEX Index Options'!$D:$D,$A42,'BSE - SENSEX Index Options'!$B:$B,"Tuesday")+SUMIFS('BSE - Other Index Options'!$M:$M,'BSE - Other Index Options'!$D:$D,$A42,'BSE - Other Index Options'!$B:$B,"Tuesday"))</f>
        <v/>
      </c>
      <c r="D42" s="27">
        <f>IF(SUM(B42:C42)=0,"",SUM(B42)/SUM(B42:C42))</f>
        <v/>
      </c>
      <c r="E42" s="27">
        <f>IF(SUM(B42:C42)=0,"",SUM(C42)/SUM(B42:C42))</f>
        <v/>
      </c>
    </row>
    <row r="43">
      <c r="A43" s="24" t="n">
        <v>46082</v>
      </c>
      <c r="B43" s="26">
        <f>IF(SUMIFS('NSE - NIFTY Index Options'!$M:$M,'NSE - NIFTY Index Options'!$D:$D,$A43,'NSE - NIFTY Index Options'!$B:$B,"Tuesday")+SUMIFS('NSE - Other Index Options'!$M:$M,'NSE - Other Index Options'!$D:$D,$A43,'NSE - Other Index Options'!$B:$B,"Tuesday")=0,"",SUMIFS('NSE - NIFTY Index Options'!$M:$M,'NSE - NIFTY Index Options'!$D:$D,$A43,'NSE - NIFTY Index Options'!$B:$B,"Tuesday")+SUMIFS('NSE - Other Index Options'!$M:$M,'NSE - Other Index Options'!$D:$D,$A43,'NSE - Other Index Options'!$B:$B,"Tuesday"))</f>
        <v/>
      </c>
      <c r="C43" s="26">
        <f>IF(SUMIFS('BSE - SENSEX Index Options'!$M:$M,'BSE - SENSEX Index Options'!$D:$D,$A43,'BSE - SENSEX Index Options'!$B:$B,"Tuesday")+SUMIFS('BSE - Other Index Options'!$M:$M,'BSE - Other Index Options'!$D:$D,$A43,'BSE - Other Index Options'!$B:$B,"Tuesday")=0,"",SUMIFS('BSE - SENSEX Index Options'!$M:$M,'BSE - SENSEX Index Options'!$D:$D,$A43,'BSE - SENSEX Index Options'!$B:$B,"Tuesday")+SUMIFS('BSE - Other Index Options'!$M:$M,'BSE - Other Index Options'!$D:$D,$A43,'BSE - Other Index Options'!$B:$B,"Tuesday"))</f>
        <v/>
      </c>
      <c r="D43" s="27">
        <f>IF(SUM(B43:C43)=0,"",SUM(B43)/SUM(B43:C43))</f>
        <v/>
      </c>
      <c r="E43" s="27">
        <f>IF(SUM(B43:C43)=0,"",SUM(C43)/SUM(B43:C43))</f>
        <v/>
      </c>
    </row>
    <row r="44">
      <c r="A44" s="24" t="n">
        <v>46113</v>
      </c>
      <c r="B44" s="26">
        <f>IF(SUMIFS('NSE - NIFTY Index Options'!$M:$M,'NSE - NIFTY Index Options'!$D:$D,$A44,'NSE - NIFTY Index Options'!$B:$B,"Tuesday")+SUMIFS('NSE - Other Index Options'!$M:$M,'NSE - Other Index Options'!$D:$D,$A44,'NSE - Other Index Options'!$B:$B,"Tuesday")=0,"",SUMIFS('NSE - NIFTY Index Options'!$M:$M,'NSE - NIFTY Index Options'!$D:$D,$A44,'NSE - NIFTY Index Options'!$B:$B,"Tuesday")+SUMIFS('NSE - Other Index Options'!$M:$M,'NSE - Other Index Options'!$D:$D,$A44,'NSE - Other Index Options'!$B:$B,"Tuesday"))</f>
        <v/>
      </c>
      <c r="C44" s="26">
        <f>IF(SUMIFS('BSE - SENSEX Index Options'!$M:$M,'BSE - SENSEX Index Options'!$D:$D,$A44,'BSE - SENSEX Index Options'!$B:$B,"Tuesday")+SUMIFS('BSE - Other Index Options'!$M:$M,'BSE - Other Index Options'!$D:$D,$A44,'BSE - Other Index Options'!$B:$B,"Tuesday")=0,"",SUMIFS('BSE - SENSEX Index Options'!$M:$M,'BSE - SENSEX Index Options'!$D:$D,$A44,'BSE - SENSEX Index Options'!$B:$B,"Tuesday")+SUMIFS('BSE - Other Index Options'!$M:$M,'BSE - Other Index Options'!$D:$D,$A44,'BSE - Other Index Options'!$B:$B,"Tuesday"))</f>
        <v/>
      </c>
      <c r="D44" s="27">
        <f>IF(SUM(B44:C44)=0,"",SUM(B44)/SUM(B44:C44))</f>
        <v/>
      </c>
      <c r="E44" s="27">
        <f>IF(SUM(B44:C44)=0,"",SUM(C44)/SUM(B44:C44))</f>
        <v/>
      </c>
    </row>
    <row r="45">
      <c r="A45" s="24" t="n">
        <v>46143</v>
      </c>
      <c r="B45" s="26">
        <f>IF(SUMIFS('NSE - NIFTY Index Options'!$M:$M,'NSE - NIFTY Index Options'!$D:$D,$A45,'NSE - NIFTY Index Options'!$B:$B,"Tuesday")+SUMIFS('NSE - Other Index Options'!$M:$M,'NSE - Other Index Options'!$D:$D,$A45,'NSE - Other Index Options'!$B:$B,"Tuesday")=0,"",SUMIFS('NSE - NIFTY Index Options'!$M:$M,'NSE - NIFTY Index Options'!$D:$D,$A45,'NSE - NIFTY Index Options'!$B:$B,"Tuesday")+SUMIFS('NSE - Other Index Options'!$M:$M,'NSE - Other Index Options'!$D:$D,$A45,'NSE - Other Index Options'!$B:$B,"Tuesday"))</f>
        <v/>
      </c>
      <c r="C45" s="26">
        <f>IF(SUMIFS('BSE - SENSEX Index Options'!$M:$M,'BSE - SENSEX Index Options'!$D:$D,$A45,'BSE - SENSEX Index Options'!$B:$B,"Tuesday")+SUMIFS('BSE - Other Index Options'!$M:$M,'BSE - Other Index Options'!$D:$D,$A45,'BSE - Other Index Options'!$B:$B,"Tuesday")=0,"",SUMIFS('BSE - SENSEX Index Options'!$M:$M,'BSE - SENSEX Index Options'!$D:$D,$A45,'BSE - SENSEX Index Options'!$B:$B,"Tuesday")+SUMIFS('BSE - Other Index Options'!$M:$M,'BSE - Other Index Options'!$D:$D,$A45,'BSE - Other Index Options'!$B:$B,"Tuesday"))</f>
        <v/>
      </c>
      <c r="D45" s="27">
        <f>IF(SUM(B45:C45)=0,"",SUM(B45)/SUM(B45:C45))</f>
        <v/>
      </c>
      <c r="E45" s="27">
        <f>IF(SUM(B45:C45)=0,"",SUM(C45)/SUM(B45:C45))</f>
        <v/>
      </c>
    </row>
    <row r="46">
      <c r="A46" s="24" t="n">
        <v>46174</v>
      </c>
      <c r="B46" s="26">
        <f>IF(SUMIFS('NSE - NIFTY Index Options'!$M:$M,'NSE - NIFTY Index Options'!$D:$D,$A46,'NSE - NIFTY Index Options'!$B:$B,"Tuesday")+SUMIFS('NSE - Other Index Options'!$M:$M,'NSE - Other Index Options'!$D:$D,$A46,'NSE - Other Index Options'!$B:$B,"Tuesday")=0,"",SUMIFS('NSE - NIFTY Index Options'!$M:$M,'NSE - NIFTY Index Options'!$D:$D,$A46,'NSE - NIFTY Index Options'!$B:$B,"Tuesday")+SUMIFS('NSE - Other Index Options'!$M:$M,'NSE - Other Index Options'!$D:$D,$A46,'NSE - Other Index Options'!$B:$B,"Tuesday"))</f>
        <v/>
      </c>
      <c r="C46" s="26">
        <f>IF(SUMIFS('BSE - SENSEX Index Options'!$M:$M,'BSE - SENSEX Index Options'!$D:$D,$A46,'BSE - SENSEX Index Options'!$B:$B,"Tuesday")+SUMIFS('BSE - Other Index Options'!$M:$M,'BSE - Other Index Options'!$D:$D,$A46,'BSE - Other Index Options'!$B:$B,"Tuesday")=0,"",SUMIFS('BSE - SENSEX Index Options'!$M:$M,'BSE - SENSEX Index Options'!$D:$D,$A46,'BSE - SENSEX Index Options'!$B:$B,"Tuesday")+SUMIFS('BSE - Other Index Options'!$M:$M,'BSE - Other Index Options'!$D:$D,$A46,'BSE - Other Index Options'!$B:$B,"Tuesday"))</f>
        <v/>
      </c>
      <c r="D46" s="27">
        <f>IF(SUM(B46:C46)=0,"",SUM(B46)/SUM(B46:C46))</f>
        <v/>
      </c>
      <c r="E46" s="27">
        <f>IF(SUM(B46:C46)=0,"",SUM(C46)/SUM(B46:C46))</f>
        <v/>
      </c>
    </row>
    <row r="47">
      <c r="A47" s="24" t="n">
        <v>46204</v>
      </c>
      <c r="B47" s="26">
        <f>IF(SUMIFS('NSE - NIFTY Index Options'!$M:$M,'NSE - NIFTY Index Options'!$D:$D,$A47,'NSE - NIFTY Index Options'!$B:$B,"Tuesday")+SUMIFS('NSE - Other Index Options'!$M:$M,'NSE - Other Index Options'!$D:$D,$A47,'NSE - Other Index Options'!$B:$B,"Tuesday")=0,"",SUMIFS('NSE - NIFTY Index Options'!$M:$M,'NSE - NIFTY Index Options'!$D:$D,$A47,'NSE - NIFTY Index Options'!$B:$B,"Tuesday")+SUMIFS('NSE - Other Index Options'!$M:$M,'NSE - Other Index Options'!$D:$D,$A47,'NSE - Other Index Options'!$B:$B,"Tuesday"))</f>
        <v/>
      </c>
      <c r="C47" s="26">
        <f>IF(SUMIFS('BSE - SENSEX Index Options'!$M:$M,'BSE - SENSEX Index Options'!$D:$D,$A47,'BSE - SENSEX Index Options'!$B:$B,"Tuesday")+SUMIFS('BSE - Other Index Options'!$M:$M,'BSE - Other Index Options'!$D:$D,$A47,'BSE - Other Index Options'!$B:$B,"Tuesday")=0,"",SUMIFS('BSE - SENSEX Index Options'!$M:$M,'BSE - SENSEX Index Options'!$D:$D,$A47,'BSE - SENSEX Index Options'!$B:$B,"Tuesday")+SUMIFS('BSE - Other Index Options'!$M:$M,'BSE - Other Index Options'!$D:$D,$A47,'BSE - Other Index Options'!$B:$B,"Tuesday"))</f>
        <v/>
      </c>
      <c r="D47" s="27">
        <f>IF(SUM(B47:C47)=0,"",SUM(B47)/SUM(B47:C47))</f>
        <v/>
      </c>
      <c r="E47" s="27">
        <f>IF(SUM(B47:C47)=0,"",SUM(C47)/SUM(B47:C47))</f>
        <v/>
      </c>
    </row>
    <row r="48">
      <c r="A48" s="24" t="n">
        <v>46235</v>
      </c>
      <c r="B48" s="26">
        <f>IF(SUMIFS('NSE - NIFTY Index Options'!$M:$M,'NSE - NIFTY Index Options'!$D:$D,$A48,'NSE - NIFTY Index Options'!$B:$B,"Tuesday")+SUMIFS('NSE - Other Index Options'!$M:$M,'NSE - Other Index Options'!$D:$D,$A48,'NSE - Other Index Options'!$B:$B,"Tuesday")=0,"",SUMIFS('NSE - NIFTY Index Options'!$M:$M,'NSE - NIFTY Index Options'!$D:$D,$A48,'NSE - NIFTY Index Options'!$B:$B,"Tuesday")+SUMIFS('NSE - Other Index Options'!$M:$M,'NSE - Other Index Options'!$D:$D,$A48,'NSE - Other Index Options'!$B:$B,"Tuesday"))</f>
        <v/>
      </c>
      <c r="C48" s="26">
        <f>IF(SUMIFS('BSE - SENSEX Index Options'!$M:$M,'BSE - SENSEX Index Options'!$D:$D,$A48,'BSE - SENSEX Index Options'!$B:$B,"Tuesday")+SUMIFS('BSE - Other Index Options'!$M:$M,'BSE - Other Index Options'!$D:$D,$A48,'BSE - Other Index Options'!$B:$B,"Tuesday")=0,"",SUMIFS('BSE - SENSEX Index Options'!$M:$M,'BSE - SENSEX Index Options'!$D:$D,$A48,'BSE - SENSEX Index Options'!$B:$B,"Tuesday")+SUMIFS('BSE - Other Index Options'!$M:$M,'BSE - Other Index Options'!$D:$D,$A48,'BSE - Other Index Options'!$B:$B,"Tuesday"))</f>
        <v/>
      </c>
      <c r="D48" s="27">
        <f>IF(SUM(B48:C48)=0,"",SUM(B48)/SUM(B48:C48))</f>
        <v/>
      </c>
      <c r="E48" s="27">
        <f>IF(SUM(B48:C48)=0,"",SUM(C48)/SUM(B48:C48))</f>
        <v/>
      </c>
    </row>
    <row r="49" hidden="1" outlineLevel="1">
      <c r="A49" s="24" t="n">
        <v>46266</v>
      </c>
      <c r="B49" s="26">
        <f>IF(SUMIFS('NSE - NIFTY Index Options'!$M:$M,'NSE - NIFTY Index Options'!$D:$D,$A49,'NSE - NIFTY Index Options'!$B:$B,"Tuesday")+SUMIFS('NSE - Other Index Options'!$M:$M,'NSE - Other Index Options'!$D:$D,$A49,'NSE - Other Index Options'!$B:$B,"Tuesday")=0,"",SUMIFS('NSE - NIFTY Index Options'!$M:$M,'NSE - NIFTY Index Options'!$D:$D,$A49,'NSE - NIFTY Index Options'!$B:$B,"Tuesday")+SUMIFS('NSE - Other Index Options'!$M:$M,'NSE - Other Index Options'!$D:$D,$A49,'NSE - Other Index Options'!$B:$B,"Tuesday"))</f>
        <v/>
      </c>
      <c r="C49" s="26">
        <f>IF(SUMIFS('BSE - SENSEX Index Options'!$M:$M,'BSE - SENSEX Index Options'!$D:$D,$A49,'BSE - SENSEX Index Options'!$B:$B,"Tuesday")+SUMIFS('BSE - Other Index Options'!$M:$M,'BSE - Other Index Options'!$D:$D,$A49,'BSE - Other Index Options'!$B:$B,"Tuesday")=0,"",SUMIFS('BSE - SENSEX Index Options'!$M:$M,'BSE - SENSEX Index Options'!$D:$D,$A49,'BSE - SENSEX Index Options'!$B:$B,"Tuesday")+SUMIFS('BSE - Other Index Options'!$M:$M,'BSE - Other Index Options'!$D:$D,$A49,'BSE - Other Index Options'!$B:$B,"Tuesday"))</f>
        <v/>
      </c>
      <c r="D49" s="27">
        <f>IF(SUM(B49:C49)=0,"",SUM(B49)/SUM(B49:C49))</f>
        <v/>
      </c>
      <c r="E49" s="27">
        <f>IF(SUM(B49:C49)=0,"",SUM(C49)/SUM(B49:C49))</f>
        <v/>
      </c>
    </row>
    <row r="50" hidden="1" outlineLevel="1">
      <c r="A50" s="24" t="n">
        <v>46296</v>
      </c>
      <c r="B50" s="26">
        <f>IF(SUMIFS('NSE - NIFTY Index Options'!$M:$M,'NSE - NIFTY Index Options'!$D:$D,$A50,'NSE - NIFTY Index Options'!$B:$B,"Tuesday")+SUMIFS('NSE - Other Index Options'!$M:$M,'NSE - Other Index Options'!$D:$D,$A50,'NSE - Other Index Options'!$B:$B,"Tuesday")=0,"",SUMIFS('NSE - NIFTY Index Options'!$M:$M,'NSE - NIFTY Index Options'!$D:$D,$A50,'NSE - NIFTY Index Options'!$B:$B,"Tuesday")+SUMIFS('NSE - Other Index Options'!$M:$M,'NSE - Other Index Options'!$D:$D,$A50,'NSE - Other Index Options'!$B:$B,"Tuesday"))</f>
        <v/>
      </c>
      <c r="C50" s="26">
        <f>IF(SUMIFS('BSE - SENSEX Index Options'!$M:$M,'BSE - SENSEX Index Options'!$D:$D,$A50,'BSE - SENSEX Index Options'!$B:$B,"Tuesday")+SUMIFS('BSE - Other Index Options'!$M:$M,'BSE - Other Index Options'!$D:$D,$A50,'BSE - Other Index Options'!$B:$B,"Tuesday")=0,"",SUMIFS('BSE - SENSEX Index Options'!$M:$M,'BSE - SENSEX Index Options'!$D:$D,$A50,'BSE - SENSEX Index Options'!$B:$B,"Tuesday")+SUMIFS('BSE - Other Index Options'!$M:$M,'BSE - Other Index Options'!$D:$D,$A50,'BSE - Other Index Options'!$B:$B,"Tuesday"))</f>
        <v/>
      </c>
      <c r="D50" s="27">
        <f>IF(SUM(B50:C50)=0,"",SUM(B50)/SUM(B50:C50))</f>
        <v/>
      </c>
      <c r="E50" s="27">
        <f>IF(SUM(B50:C50)=0,"",SUM(C50)/SUM(B50:C50))</f>
        <v/>
      </c>
    </row>
    <row r="51" hidden="1" outlineLevel="1">
      <c r="A51" s="24" t="n">
        <v>46327</v>
      </c>
      <c r="B51" s="26">
        <f>IF(SUMIFS('NSE - NIFTY Index Options'!$M:$M,'NSE - NIFTY Index Options'!$D:$D,$A51,'NSE - NIFTY Index Options'!$B:$B,"Tuesday")+SUMIFS('NSE - Other Index Options'!$M:$M,'NSE - Other Index Options'!$D:$D,$A51,'NSE - Other Index Options'!$B:$B,"Tuesday")=0,"",SUMIFS('NSE - NIFTY Index Options'!$M:$M,'NSE - NIFTY Index Options'!$D:$D,$A51,'NSE - NIFTY Index Options'!$B:$B,"Tuesday")+SUMIFS('NSE - Other Index Options'!$M:$M,'NSE - Other Index Options'!$D:$D,$A51,'NSE - Other Index Options'!$B:$B,"Tuesday"))</f>
        <v/>
      </c>
      <c r="C51" s="26">
        <f>IF(SUMIFS('BSE - SENSEX Index Options'!$M:$M,'BSE - SENSEX Index Options'!$D:$D,$A51,'BSE - SENSEX Index Options'!$B:$B,"Tuesday")+SUMIFS('BSE - Other Index Options'!$M:$M,'BSE - Other Index Options'!$D:$D,$A51,'BSE - Other Index Options'!$B:$B,"Tuesday")=0,"",SUMIFS('BSE - SENSEX Index Options'!$M:$M,'BSE - SENSEX Index Options'!$D:$D,$A51,'BSE - SENSEX Index Options'!$B:$B,"Tuesday")+SUMIFS('BSE - Other Index Options'!$M:$M,'BSE - Other Index Options'!$D:$D,$A51,'BSE - Other Index Options'!$B:$B,"Tuesday"))</f>
        <v/>
      </c>
      <c r="D51" s="27">
        <f>IF(SUM(B51:C51)=0,"",SUM(B51)/SUM(B51:C51))</f>
        <v/>
      </c>
      <c r="E51" s="27">
        <f>IF(SUM(B51:C51)=0,"",SUM(C51)/SUM(B51:C51))</f>
        <v/>
      </c>
    </row>
    <row r="52" hidden="1" outlineLevel="1">
      <c r="A52" s="24" t="n">
        <v>46357</v>
      </c>
      <c r="B52" s="26">
        <f>IF(SUMIFS('NSE - NIFTY Index Options'!$M:$M,'NSE - NIFTY Index Options'!$D:$D,$A52,'NSE - NIFTY Index Options'!$B:$B,"Tuesday")+SUMIFS('NSE - Other Index Options'!$M:$M,'NSE - Other Index Options'!$D:$D,$A52,'NSE - Other Index Options'!$B:$B,"Tuesday")=0,"",SUMIFS('NSE - NIFTY Index Options'!$M:$M,'NSE - NIFTY Index Options'!$D:$D,$A52,'NSE - NIFTY Index Options'!$B:$B,"Tuesday")+SUMIFS('NSE - Other Index Options'!$M:$M,'NSE - Other Index Options'!$D:$D,$A52,'NSE - Other Index Options'!$B:$B,"Tuesday"))</f>
        <v/>
      </c>
      <c r="C52" s="26">
        <f>IF(SUMIFS('BSE - SENSEX Index Options'!$M:$M,'BSE - SENSEX Index Options'!$D:$D,$A52,'BSE - SENSEX Index Options'!$B:$B,"Tuesday")+SUMIFS('BSE - Other Index Options'!$M:$M,'BSE - Other Index Options'!$D:$D,$A52,'BSE - Other Index Options'!$B:$B,"Tuesday")=0,"",SUMIFS('BSE - SENSEX Index Options'!$M:$M,'BSE - SENSEX Index Options'!$D:$D,$A52,'BSE - SENSEX Index Options'!$B:$B,"Tuesday")+SUMIFS('BSE - Other Index Options'!$M:$M,'BSE - Other Index Options'!$D:$D,$A52,'BSE - Other Index Options'!$B:$B,"Tuesday"))</f>
        <v/>
      </c>
      <c r="D52" s="27">
        <f>IF(SUM(B52:C52)=0,"",SUM(B52)/SUM(B52:C52))</f>
        <v/>
      </c>
      <c r="E52" s="27">
        <f>IF(SUM(B52:C52)=0,"",SUM(C52)/SUM(B52:C52))</f>
        <v/>
      </c>
    </row>
    <row r="53" hidden="1" outlineLevel="1">
      <c r="A53" s="24" t="n">
        <v>46388</v>
      </c>
      <c r="B53" s="26">
        <f>IF(SUMIFS('NSE - NIFTY Index Options'!$M:$M,'NSE - NIFTY Index Options'!$D:$D,$A53,'NSE - NIFTY Index Options'!$B:$B,"Tuesday")+SUMIFS('NSE - Other Index Options'!$M:$M,'NSE - Other Index Options'!$D:$D,$A53,'NSE - Other Index Options'!$B:$B,"Tuesday")=0,"",SUMIFS('NSE - NIFTY Index Options'!$M:$M,'NSE - NIFTY Index Options'!$D:$D,$A53,'NSE - NIFTY Index Options'!$B:$B,"Tuesday")+SUMIFS('NSE - Other Index Options'!$M:$M,'NSE - Other Index Options'!$D:$D,$A53,'NSE - Other Index Options'!$B:$B,"Tuesday"))</f>
        <v/>
      </c>
      <c r="C53" s="26">
        <f>IF(SUMIFS('BSE - SENSEX Index Options'!$M:$M,'BSE - SENSEX Index Options'!$D:$D,$A53,'BSE - SENSEX Index Options'!$B:$B,"Tuesday")+SUMIFS('BSE - Other Index Options'!$M:$M,'BSE - Other Index Options'!$D:$D,$A53,'BSE - Other Index Options'!$B:$B,"Tuesday")=0,"",SUMIFS('BSE - SENSEX Index Options'!$M:$M,'BSE - SENSEX Index Options'!$D:$D,$A53,'BSE - SENSEX Index Options'!$B:$B,"Tuesday")+SUMIFS('BSE - Other Index Options'!$M:$M,'BSE - Other Index Options'!$D:$D,$A53,'BSE - Other Index Options'!$B:$B,"Tuesday"))</f>
        <v/>
      </c>
      <c r="D53" s="27">
        <f>IF(SUM(B53:C53)=0,"",SUM(B53)/SUM(B53:C53))</f>
        <v/>
      </c>
      <c r="E53" s="27">
        <f>IF(SUM(B53:C53)=0,"",SUM(C53)/SUM(B53:C53))</f>
        <v/>
      </c>
    </row>
    <row r="54" hidden="1" outlineLevel="1">
      <c r="A54" s="24" t="n">
        <v>46419</v>
      </c>
      <c r="B54" s="26">
        <f>IF(SUMIFS('NSE - NIFTY Index Options'!$M:$M,'NSE - NIFTY Index Options'!$D:$D,$A54,'NSE - NIFTY Index Options'!$B:$B,"Tuesday")+SUMIFS('NSE - Other Index Options'!$M:$M,'NSE - Other Index Options'!$D:$D,$A54,'NSE - Other Index Options'!$B:$B,"Tuesday")=0,"",SUMIFS('NSE - NIFTY Index Options'!$M:$M,'NSE - NIFTY Index Options'!$D:$D,$A54,'NSE - NIFTY Index Options'!$B:$B,"Tuesday")+SUMIFS('NSE - Other Index Options'!$M:$M,'NSE - Other Index Options'!$D:$D,$A54,'NSE - Other Index Options'!$B:$B,"Tuesday"))</f>
        <v/>
      </c>
      <c r="C54" s="26">
        <f>IF(SUMIFS('BSE - SENSEX Index Options'!$M:$M,'BSE - SENSEX Index Options'!$D:$D,$A54,'BSE - SENSEX Index Options'!$B:$B,"Tuesday")+SUMIFS('BSE - Other Index Options'!$M:$M,'BSE - Other Index Options'!$D:$D,$A54,'BSE - Other Index Options'!$B:$B,"Tuesday")=0,"",SUMIFS('BSE - SENSEX Index Options'!$M:$M,'BSE - SENSEX Index Options'!$D:$D,$A54,'BSE - SENSEX Index Options'!$B:$B,"Tuesday")+SUMIFS('BSE - Other Index Options'!$M:$M,'BSE - Other Index Options'!$D:$D,$A54,'BSE - Other Index Options'!$B:$B,"Tuesday"))</f>
        <v/>
      </c>
      <c r="D54" s="27">
        <f>IF(SUM(B54:C54)=0,"",SUM(B54)/SUM(B54:C54))</f>
        <v/>
      </c>
      <c r="E54" s="27">
        <f>IF(SUM(B54:C54)=0,"",SUM(C54)/SUM(B54:C54))</f>
        <v/>
      </c>
    </row>
    <row r="55" hidden="1" outlineLevel="1">
      <c r="A55" s="24" t="n">
        <v>46447</v>
      </c>
      <c r="B55" s="26">
        <f>IF(SUMIFS('NSE - NIFTY Index Options'!$M:$M,'NSE - NIFTY Index Options'!$D:$D,$A55,'NSE - NIFTY Index Options'!$B:$B,"Tuesday")+SUMIFS('NSE - Other Index Options'!$M:$M,'NSE - Other Index Options'!$D:$D,$A55,'NSE - Other Index Options'!$B:$B,"Tuesday")=0,"",SUMIFS('NSE - NIFTY Index Options'!$M:$M,'NSE - NIFTY Index Options'!$D:$D,$A55,'NSE - NIFTY Index Options'!$B:$B,"Tuesday")+SUMIFS('NSE - Other Index Options'!$M:$M,'NSE - Other Index Options'!$D:$D,$A55,'NSE - Other Index Options'!$B:$B,"Tuesday"))</f>
        <v/>
      </c>
      <c r="C55" s="26">
        <f>IF(SUMIFS('BSE - SENSEX Index Options'!$M:$M,'BSE - SENSEX Index Options'!$D:$D,$A55,'BSE - SENSEX Index Options'!$B:$B,"Tuesday")+SUMIFS('BSE - Other Index Options'!$M:$M,'BSE - Other Index Options'!$D:$D,$A55,'BSE - Other Index Options'!$B:$B,"Tuesday")=0,"",SUMIFS('BSE - SENSEX Index Options'!$M:$M,'BSE - SENSEX Index Options'!$D:$D,$A55,'BSE - SENSEX Index Options'!$B:$B,"Tuesday")+SUMIFS('BSE - Other Index Options'!$M:$M,'BSE - Other Index Options'!$D:$D,$A55,'BSE - Other Index Options'!$B:$B,"Tuesday"))</f>
        <v/>
      </c>
      <c r="D55" s="27">
        <f>IF(SUM(B55:C55)=0,"",SUM(B55)/SUM(B55:C55))</f>
        <v/>
      </c>
      <c r="E55" s="27">
        <f>IF(SUM(B55:C55)=0,"",SUM(C55)/SUM(B55:C55))</f>
        <v/>
      </c>
    </row>
    <row r="56" hidden="1" outlineLevel="1">
      <c r="A56" s="24" t="n">
        <v>46478</v>
      </c>
      <c r="B56" s="26">
        <f>IF(SUMIFS('NSE - NIFTY Index Options'!$M:$M,'NSE - NIFTY Index Options'!$D:$D,$A56,'NSE - NIFTY Index Options'!$B:$B,"Tuesday")+SUMIFS('NSE - Other Index Options'!$M:$M,'NSE - Other Index Options'!$D:$D,$A56,'NSE - Other Index Options'!$B:$B,"Tuesday")=0,"",SUMIFS('NSE - NIFTY Index Options'!$M:$M,'NSE - NIFTY Index Options'!$D:$D,$A56,'NSE - NIFTY Index Options'!$B:$B,"Tuesday")+SUMIFS('NSE - Other Index Options'!$M:$M,'NSE - Other Index Options'!$D:$D,$A56,'NSE - Other Index Options'!$B:$B,"Tuesday"))</f>
        <v/>
      </c>
      <c r="C56" s="26">
        <f>IF(SUMIFS('BSE - SENSEX Index Options'!$M:$M,'BSE - SENSEX Index Options'!$D:$D,$A56,'BSE - SENSEX Index Options'!$B:$B,"Tuesday")+SUMIFS('BSE - Other Index Options'!$M:$M,'BSE - Other Index Options'!$D:$D,$A56,'BSE - Other Index Options'!$B:$B,"Tuesday")=0,"",SUMIFS('BSE - SENSEX Index Options'!$M:$M,'BSE - SENSEX Index Options'!$D:$D,$A56,'BSE - SENSEX Index Options'!$B:$B,"Tuesday")+SUMIFS('BSE - Other Index Options'!$M:$M,'BSE - Other Index Options'!$D:$D,$A56,'BSE - Other Index Options'!$B:$B,"Tuesday"))</f>
        <v/>
      </c>
      <c r="D56" s="27">
        <f>IF(SUM(B56:C56)=0,"",SUM(B56)/SUM(B56:C56))</f>
        <v/>
      </c>
      <c r="E56" s="27">
        <f>IF(SUM(B56:C56)=0,"",SUM(C56)/SUM(B56:C56))</f>
        <v/>
      </c>
    </row>
    <row r="57" hidden="1" outlineLevel="1">
      <c r="A57" s="24" t="n">
        <v>46508</v>
      </c>
      <c r="B57" s="26">
        <f>IF(SUMIFS('NSE - NIFTY Index Options'!$M:$M,'NSE - NIFTY Index Options'!$D:$D,$A57,'NSE - NIFTY Index Options'!$B:$B,"Tuesday")+SUMIFS('NSE - Other Index Options'!$M:$M,'NSE - Other Index Options'!$D:$D,$A57,'NSE - Other Index Options'!$B:$B,"Tuesday")=0,"",SUMIFS('NSE - NIFTY Index Options'!$M:$M,'NSE - NIFTY Index Options'!$D:$D,$A57,'NSE - NIFTY Index Options'!$B:$B,"Tuesday")+SUMIFS('NSE - Other Index Options'!$M:$M,'NSE - Other Index Options'!$D:$D,$A57,'NSE - Other Index Options'!$B:$B,"Tuesday"))</f>
        <v/>
      </c>
      <c r="C57" s="26">
        <f>IF(SUMIFS('BSE - SENSEX Index Options'!$M:$M,'BSE - SENSEX Index Options'!$D:$D,$A57,'BSE - SENSEX Index Options'!$B:$B,"Tuesday")+SUMIFS('BSE - Other Index Options'!$M:$M,'BSE - Other Index Options'!$D:$D,$A57,'BSE - Other Index Options'!$B:$B,"Tuesday")=0,"",SUMIFS('BSE - SENSEX Index Options'!$M:$M,'BSE - SENSEX Index Options'!$D:$D,$A57,'BSE - SENSEX Index Options'!$B:$B,"Tuesday")+SUMIFS('BSE - Other Index Options'!$M:$M,'BSE - Other Index Options'!$D:$D,$A57,'BSE - Other Index Options'!$B:$B,"Tuesday"))</f>
        <v/>
      </c>
      <c r="D57" s="27">
        <f>IF(SUM(B57:C57)=0,"",SUM(B57)/SUM(B57:C57))</f>
        <v/>
      </c>
      <c r="E57" s="27">
        <f>IF(SUM(B57:C57)=0,"",SUM(C57)/SUM(B57:C57))</f>
        <v/>
      </c>
    </row>
    <row r="58" hidden="1" outlineLevel="1">
      <c r="A58" s="24" t="n">
        <v>46539</v>
      </c>
      <c r="B58" s="26">
        <f>IF(SUMIFS('NSE - NIFTY Index Options'!$M:$M,'NSE - NIFTY Index Options'!$D:$D,$A58,'NSE - NIFTY Index Options'!$B:$B,"Tuesday")+SUMIFS('NSE - Other Index Options'!$M:$M,'NSE - Other Index Options'!$D:$D,$A58,'NSE - Other Index Options'!$B:$B,"Tuesday")=0,"",SUMIFS('NSE - NIFTY Index Options'!$M:$M,'NSE - NIFTY Index Options'!$D:$D,$A58,'NSE - NIFTY Index Options'!$B:$B,"Tuesday")+SUMIFS('NSE - Other Index Options'!$M:$M,'NSE - Other Index Options'!$D:$D,$A58,'NSE - Other Index Options'!$B:$B,"Tuesday"))</f>
        <v/>
      </c>
      <c r="C58" s="26">
        <f>IF(SUMIFS('BSE - SENSEX Index Options'!$M:$M,'BSE - SENSEX Index Options'!$D:$D,$A58,'BSE - SENSEX Index Options'!$B:$B,"Tuesday")+SUMIFS('BSE - Other Index Options'!$M:$M,'BSE - Other Index Options'!$D:$D,$A58,'BSE - Other Index Options'!$B:$B,"Tuesday")=0,"",SUMIFS('BSE - SENSEX Index Options'!$M:$M,'BSE - SENSEX Index Options'!$D:$D,$A58,'BSE - SENSEX Index Options'!$B:$B,"Tuesday")+SUMIFS('BSE - Other Index Options'!$M:$M,'BSE - Other Index Options'!$D:$D,$A58,'BSE - Other Index Options'!$B:$B,"Tuesday"))</f>
        <v/>
      </c>
      <c r="D58" s="27">
        <f>IF(SUM(B58:C58)=0,"",SUM(B58)/SUM(B58:C58))</f>
        <v/>
      </c>
      <c r="E58" s="27">
        <f>IF(SUM(B58:C58)=0,"",SUM(C58)/SUM(B58:C58))</f>
        <v/>
      </c>
    </row>
    <row r="59" hidden="1" outlineLevel="1">
      <c r="A59" s="24" t="n">
        <v>46569</v>
      </c>
      <c r="B59" s="26">
        <f>IF(SUMIFS('NSE - NIFTY Index Options'!$M:$M,'NSE - NIFTY Index Options'!$D:$D,$A59,'NSE - NIFTY Index Options'!$B:$B,"Tuesday")+SUMIFS('NSE - Other Index Options'!$M:$M,'NSE - Other Index Options'!$D:$D,$A59,'NSE - Other Index Options'!$B:$B,"Tuesday")=0,"",SUMIFS('NSE - NIFTY Index Options'!$M:$M,'NSE - NIFTY Index Options'!$D:$D,$A59,'NSE - NIFTY Index Options'!$B:$B,"Tuesday")+SUMIFS('NSE - Other Index Options'!$M:$M,'NSE - Other Index Options'!$D:$D,$A59,'NSE - Other Index Options'!$B:$B,"Tuesday"))</f>
        <v/>
      </c>
      <c r="C59" s="26">
        <f>IF(SUMIFS('BSE - SENSEX Index Options'!$M:$M,'BSE - SENSEX Index Options'!$D:$D,$A59,'BSE - SENSEX Index Options'!$B:$B,"Tuesday")+SUMIFS('BSE - Other Index Options'!$M:$M,'BSE - Other Index Options'!$D:$D,$A59,'BSE - Other Index Options'!$B:$B,"Tuesday")=0,"",SUMIFS('BSE - SENSEX Index Options'!$M:$M,'BSE - SENSEX Index Options'!$D:$D,$A59,'BSE - SENSEX Index Options'!$B:$B,"Tuesday")+SUMIFS('BSE - Other Index Options'!$M:$M,'BSE - Other Index Options'!$D:$D,$A59,'BSE - Other Index Options'!$B:$B,"Tuesday"))</f>
        <v/>
      </c>
      <c r="D59" s="27">
        <f>IF(SUM(B59:C59)=0,"",SUM(B59)/SUM(B59:C59))</f>
        <v/>
      </c>
      <c r="E59" s="27">
        <f>IF(SUM(B59:C59)=0,"",SUM(C59)/SUM(B59:C59))</f>
        <v/>
      </c>
    </row>
    <row r="60" hidden="1" outlineLevel="1">
      <c r="A60" s="24" t="n">
        <v>46600</v>
      </c>
      <c r="B60" s="26">
        <f>IF(SUMIFS('NSE - NIFTY Index Options'!$M:$M,'NSE - NIFTY Index Options'!$D:$D,$A60,'NSE - NIFTY Index Options'!$B:$B,"Tuesday")+SUMIFS('NSE - Other Index Options'!$M:$M,'NSE - Other Index Options'!$D:$D,$A60,'NSE - Other Index Options'!$B:$B,"Tuesday")=0,"",SUMIFS('NSE - NIFTY Index Options'!$M:$M,'NSE - NIFTY Index Options'!$D:$D,$A60,'NSE - NIFTY Index Options'!$B:$B,"Tuesday")+SUMIFS('NSE - Other Index Options'!$M:$M,'NSE - Other Index Options'!$D:$D,$A60,'NSE - Other Index Options'!$B:$B,"Tuesday"))</f>
        <v/>
      </c>
      <c r="C60" s="26">
        <f>IF(SUMIFS('BSE - SENSEX Index Options'!$M:$M,'BSE - SENSEX Index Options'!$D:$D,$A60,'BSE - SENSEX Index Options'!$B:$B,"Tuesday")+SUMIFS('BSE - Other Index Options'!$M:$M,'BSE - Other Index Options'!$D:$D,$A60,'BSE - Other Index Options'!$B:$B,"Tuesday")=0,"",SUMIFS('BSE - SENSEX Index Options'!$M:$M,'BSE - SENSEX Index Options'!$D:$D,$A60,'BSE - SENSEX Index Options'!$B:$B,"Tuesday")+SUMIFS('BSE - Other Index Options'!$M:$M,'BSE - Other Index Options'!$D:$D,$A60,'BSE - Other Index Options'!$B:$B,"Tuesday"))</f>
        <v/>
      </c>
      <c r="D60" s="27">
        <f>IF(SUM(B60:C60)=0,"",SUM(B60)/SUM(B60:C60))</f>
        <v/>
      </c>
      <c r="E60" s="27">
        <f>IF(SUM(B60:C60)=0,"",SUM(C60)/SUM(B60:C60))</f>
        <v/>
      </c>
    </row>
    <row r="61" hidden="1" outlineLevel="1">
      <c r="A61" s="24" t="n">
        <v>46631</v>
      </c>
      <c r="B61" s="26">
        <f>IF(SUMIFS('NSE - NIFTY Index Options'!$M:$M,'NSE - NIFTY Index Options'!$D:$D,$A61,'NSE - NIFTY Index Options'!$B:$B,"Tuesday")+SUMIFS('NSE - Other Index Options'!$M:$M,'NSE - Other Index Options'!$D:$D,$A61,'NSE - Other Index Options'!$B:$B,"Tuesday")=0,"",SUMIFS('NSE - NIFTY Index Options'!$M:$M,'NSE - NIFTY Index Options'!$D:$D,$A61,'NSE - NIFTY Index Options'!$B:$B,"Tuesday")+SUMIFS('NSE - Other Index Options'!$M:$M,'NSE - Other Index Options'!$D:$D,$A61,'NSE - Other Index Options'!$B:$B,"Tuesday"))</f>
        <v/>
      </c>
      <c r="C61" s="26">
        <f>IF(SUMIFS('BSE - SENSEX Index Options'!$M:$M,'BSE - SENSEX Index Options'!$D:$D,$A61,'BSE - SENSEX Index Options'!$B:$B,"Tuesday")+SUMIFS('BSE - Other Index Options'!$M:$M,'BSE - Other Index Options'!$D:$D,$A61,'BSE - Other Index Options'!$B:$B,"Tuesday")=0,"",SUMIFS('BSE - SENSEX Index Options'!$M:$M,'BSE - SENSEX Index Options'!$D:$D,$A61,'BSE - SENSEX Index Options'!$B:$B,"Tuesday")+SUMIFS('BSE - Other Index Options'!$M:$M,'BSE - Other Index Options'!$D:$D,$A61,'BSE - Other Index Options'!$B:$B,"Tuesday"))</f>
        <v/>
      </c>
      <c r="D61" s="27">
        <f>IF(SUM(B61:C61)=0,"",SUM(B61)/SUM(B61:C61))</f>
        <v/>
      </c>
      <c r="E61" s="27">
        <f>IF(SUM(B61:C61)=0,"",SUM(C61)/SUM(B61:C61))</f>
        <v/>
      </c>
    </row>
    <row r="62" hidden="1" outlineLevel="1">
      <c r="A62" s="24" t="n">
        <v>46661</v>
      </c>
      <c r="B62" s="26">
        <f>IF(SUMIFS('NSE - NIFTY Index Options'!$M:$M,'NSE - NIFTY Index Options'!$D:$D,$A62,'NSE - NIFTY Index Options'!$B:$B,"Tuesday")+SUMIFS('NSE - Other Index Options'!$M:$M,'NSE - Other Index Options'!$D:$D,$A62,'NSE - Other Index Options'!$B:$B,"Tuesday")=0,"",SUMIFS('NSE - NIFTY Index Options'!$M:$M,'NSE - NIFTY Index Options'!$D:$D,$A62,'NSE - NIFTY Index Options'!$B:$B,"Tuesday")+SUMIFS('NSE - Other Index Options'!$M:$M,'NSE - Other Index Options'!$D:$D,$A62,'NSE - Other Index Options'!$B:$B,"Tuesday"))</f>
        <v/>
      </c>
      <c r="C62" s="26">
        <f>IF(SUMIFS('BSE - SENSEX Index Options'!$M:$M,'BSE - SENSEX Index Options'!$D:$D,$A62,'BSE - SENSEX Index Options'!$B:$B,"Tuesday")+SUMIFS('BSE - Other Index Options'!$M:$M,'BSE - Other Index Options'!$D:$D,$A62,'BSE - Other Index Options'!$B:$B,"Tuesday")=0,"",SUMIFS('BSE - SENSEX Index Options'!$M:$M,'BSE - SENSEX Index Options'!$D:$D,$A62,'BSE - SENSEX Index Options'!$B:$B,"Tuesday")+SUMIFS('BSE - Other Index Options'!$M:$M,'BSE - Other Index Options'!$D:$D,$A62,'BSE - Other Index Options'!$B:$B,"Tuesday"))</f>
        <v/>
      </c>
      <c r="D62" s="27">
        <f>IF(SUM(B62:C62)=0,"",SUM(B62)/SUM(B62:C62))</f>
        <v/>
      </c>
      <c r="E62" s="27">
        <f>IF(SUM(B62:C62)=0,"",SUM(C62)/SUM(B62:C62))</f>
        <v/>
      </c>
    </row>
    <row r="63" hidden="1" outlineLevel="1">
      <c r="A63" s="24" t="n">
        <v>46692</v>
      </c>
      <c r="B63" s="26">
        <f>IF(SUMIFS('NSE - NIFTY Index Options'!$M:$M,'NSE - NIFTY Index Options'!$D:$D,$A63,'NSE - NIFTY Index Options'!$B:$B,"Tuesday")+SUMIFS('NSE - Other Index Options'!$M:$M,'NSE - Other Index Options'!$D:$D,$A63,'NSE - Other Index Options'!$B:$B,"Tuesday")=0,"",SUMIFS('NSE - NIFTY Index Options'!$M:$M,'NSE - NIFTY Index Options'!$D:$D,$A63,'NSE - NIFTY Index Options'!$B:$B,"Tuesday")+SUMIFS('NSE - Other Index Options'!$M:$M,'NSE - Other Index Options'!$D:$D,$A63,'NSE - Other Index Options'!$B:$B,"Tuesday"))</f>
        <v/>
      </c>
      <c r="C63" s="26">
        <f>IF(SUMIFS('BSE - SENSEX Index Options'!$M:$M,'BSE - SENSEX Index Options'!$D:$D,$A63,'BSE - SENSEX Index Options'!$B:$B,"Tuesday")+SUMIFS('BSE - Other Index Options'!$M:$M,'BSE - Other Index Options'!$D:$D,$A63,'BSE - Other Index Options'!$B:$B,"Tuesday")=0,"",SUMIFS('BSE - SENSEX Index Options'!$M:$M,'BSE - SENSEX Index Options'!$D:$D,$A63,'BSE - SENSEX Index Options'!$B:$B,"Tuesday")+SUMIFS('BSE - Other Index Options'!$M:$M,'BSE - Other Index Options'!$D:$D,$A63,'BSE - Other Index Options'!$B:$B,"Tuesday"))</f>
        <v/>
      </c>
      <c r="D63" s="27">
        <f>IF(SUM(B63:C63)=0,"",SUM(B63)/SUM(B63:C63))</f>
        <v/>
      </c>
      <c r="E63" s="27">
        <f>IF(SUM(B63:C63)=0,"",SUM(C63)/SUM(B63:C63))</f>
        <v/>
      </c>
    </row>
    <row r="64" hidden="1" outlineLevel="1">
      <c r="A64" s="24" t="n">
        <v>46722</v>
      </c>
      <c r="B64" s="26">
        <f>IF(SUMIFS('NSE - NIFTY Index Options'!$M:$M,'NSE - NIFTY Index Options'!$D:$D,$A64,'NSE - NIFTY Index Options'!$B:$B,"Tuesday")+SUMIFS('NSE - Other Index Options'!$M:$M,'NSE - Other Index Options'!$D:$D,$A64,'NSE - Other Index Options'!$B:$B,"Tuesday")=0,"",SUMIFS('NSE - NIFTY Index Options'!$M:$M,'NSE - NIFTY Index Options'!$D:$D,$A64,'NSE - NIFTY Index Options'!$B:$B,"Tuesday")+SUMIFS('NSE - Other Index Options'!$M:$M,'NSE - Other Index Options'!$D:$D,$A64,'NSE - Other Index Options'!$B:$B,"Tuesday"))</f>
        <v/>
      </c>
      <c r="C64" s="26">
        <f>IF(SUMIFS('BSE - SENSEX Index Options'!$M:$M,'BSE - SENSEX Index Options'!$D:$D,$A64,'BSE - SENSEX Index Options'!$B:$B,"Tuesday")+SUMIFS('BSE - Other Index Options'!$M:$M,'BSE - Other Index Options'!$D:$D,$A64,'BSE - Other Index Options'!$B:$B,"Tuesday")=0,"",SUMIFS('BSE - SENSEX Index Options'!$M:$M,'BSE - SENSEX Index Options'!$D:$D,$A64,'BSE - SENSEX Index Options'!$B:$B,"Tuesday")+SUMIFS('BSE - Other Index Options'!$M:$M,'BSE - Other Index Options'!$D:$D,$A64,'BSE - Other Index Options'!$B:$B,"Tuesday"))</f>
        <v/>
      </c>
      <c r="D64" s="27">
        <f>IF(SUM(B64:C64)=0,"",SUM(B64)/SUM(B64:C64))</f>
        <v/>
      </c>
      <c r="E64" s="27">
        <f>IF(SUM(B64:C64)=0,"",SUM(C64)/SUM(B64:C64))</f>
        <v/>
      </c>
    </row>
    <row r="65" collapsed="1">
      <c r="A65" s="28" t="inlineStr">
        <is>
          <t>Total</t>
        </is>
      </c>
      <c r="B65" s="30">
        <f>IF(SUM(B37:B64)=0,"",SUM(B37:B64))</f>
        <v/>
      </c>
      <c r="C65" s="30">
        <f>IF(SUM(C37:C64)=0,"",SUM(C37:C64))</f>
        <v/>
      </c>
      <c r="D65" s="31">
        <f>IF(SUM(B65:C65)=0,"",SUM(B65)/SUM(B65:C65))</f>
        <v/>
      </c>
      <c r="E65" s="31">
        <f>IF(SUM(B65:C65)=0,"",SUM(C65)/SUM(B65:C65))</f>
        <v/>
      </c>
    </row>
    <row r="67">
      <c r="A67" s="28" t="inlineStr">
        <is>
          <t>Wednesday Trade Day</t>
        </is>
      </c>
    </row>
    <row r="68">
      <c r="A68" s="28" t="inlineStr">
        <is>
          <t>Month</t>
        </is>
      </c>
      <c r="B68" s="28" t="inlineStr">
        <is>
          <t>NSE Premium Turnover (INR Bn)</t>
        </is>
      </c>
      <c r="C68" s="28" t="inlineStr">
        <is>
          <t>BSE Premium Turnover (INR Bn)</t>
        </is>
      </c>
      <c r="D68" s="28" t="inlineStr">
        <is>
          <t>NSE Market Share</t>
        </is>
      </c>
      <c r="E68" s="28" t="inlineStr">
        <is>
          <t>BSE Market Share</t>
        </is>
      </c>
    </row>
    <row r="69">
      <c r="A69" s="24" t="n">
        <v>45901</v>
      </c>
      <c r="B69" s="26">
        <f>IF(SUMIFS('NSE - NIFTY Index Options'!$M:$M,'NSE - NIFTY Index Options'!$D:$D,$A69,'NSE - NIFTY Index Options'!$B:$B,"Wednesday")+SUMIFS('NSE - Other Index Options'!$M:$M,'NSE - Other Index Options'!$D:$D,$A69,'NSE - Other Index Options'!$B:$B,"Wednesday")=0,"",SUMIFS('NSE - NIFTY Index Options'!$M:$M,'NSE - NIFTY Index Options'!$D:$D,$A69,'NSE - NIFTY Index Options'!$B:$B,"Wednesday")+SUMIFS('NSE - Other Index Options'!$M:$M,'NSE - Other Index Options'!$D:$D,$A69,'NSE - Other Index Options'!$B:$B,"Wednesday"))</f>
        <v/>
      </c>
      <c r="C69" s="26">
        <f>IF(SUMIFS('BSE - SENSEX Index Options'!$M:$M,'BSE - SENSEX Index Options'!$D:$D,$A69,'BSE - SENSEX Index Options'!$B:$B,"Wednesday")+SUMIFS('BSE - Other Index Options'!$M:$M,'BSE - Other Index Options'!$D:$D,$A69,'BSE - Other Index Options'!$B:$B,"Wednesday")=0,"",SUMIFS('BSE - SENSEX Index Options'!$M:$M,'BSE - SENSEX Index Options'!$D:$D,$A69,'BSE - SENSEX Index Options'!$B:$B,"Wednesday")+SUMIFS('BSE - Other Index Options'!$M:$M,'BSE - Other Index Options'!$D:$D,$A69,'BSE - Other Index Options'!$B:$B,"Wednesday"))</f>
        <v/>
      </c>
      <c r="D69" s="27">
        <f>IF(SUM(B69:C69)=0,"",SUM(B69)/SUM(B69:C69))</f>
        <v/>
      </c>
      <c r="E69" s="27">
        <f>IF(SUM(B69:C69)=0,"",SUM(C69)/SUM(B69:C69))</f>
        <v/>
      </c>
    </row>
    <row r="70">
      <c r="A70" s="24" t="n">
        <v>45931</v>
      </c>
      <c r="B70" s="26">
        <f>IF(SUMIFS('NSE - NIFTY Index Options'!$M:$M,'NSE - NIFTY Index Options'!$D:$D,$A70,'NSE - NIFTY Index Options'!$B:$B,"Wednesday")+SUMIFS('NSE - Other Index Options'!$M:$M,'NSE - Other Index Options'!$D:$D,$A70,'NSE - Other Index Options'!$B:$B,"Wednesday")=0,"",SUMIFS('NSE - NIFTY Index Options'!$M:$M,'NSE - NIFTY Index Options'!$D:$D,$A70,'NSE - NIFTY Index Options'!$B:$B,"Wednesday")+SUMIFS('NSE - Other Index Options'!$M:$M,'NSE - Other Index Options'!$D:$D,$A70,'NSE - Other Index Options'!$B:$B,"Wednesday"))</f>
        <v/>
      </c>
      <c r="C70" s="26">
        <f>IF(SUMIFS('BSE - SENSEX Index Options'!$M:$M,'BSE - SENSEX Index Options'!$D:$D,$A70,'BSE - SENSEX Index Options'!$B:$B,"Wednesday")+SUMIFS('BSE - Other Index Options'!$M:$M,'BSE - Other Index Options'!$D:$D,$A70,'BSE - Other Index Options'!$B:$B,"Wednesday")=0,"",SUMIFS('BSE - SENSEX Index Options'!$M:$M,'BSE - SENSEX Index Options'!$D:$D,$A70,'BSE - SENSEX Index Options'!$B:$B,"Wednesday")+SUMIFS('BSE - Other Index Options'!$M:$M,'BSE - Other Index Options'!$D:$D,$A70,'BSE - Other Index Options'!$B:$B,"Wednesday"))</f>
        <v/>
      </c>
      <c r="D70" s="27">
        <f>IF(SUM(B70:C70)=0,"",SUM(B70)/SUM(B70:C70))</f>
        <v/>
      </c>
      <c r="E70" s="27">
        <f>IF(SUM(B70:C70)=0,"",SUM(C70)/SUM(B70:C70))</f>
        <v/>
      </c>
    </row>
    <row r="71">
      <c r="A71" s="24" t="n">
        <v>45962</v>
      </c>
      <c r="B71" s="26">
        <f>IF(SUMIFS('NSE - NIFTY Index Options'!$M:$M,'NSE - NIFTY Index Options'!$D:$D,$A71,'NSE - NIFTY Index Options'!$B:$B,"Wednesday")+SUMIFS('NSE - Other Index Options'!$M:$M,'NSE - Other Index Options'!$D:$D,$A71,'NSE - Other Index Options'!$B:$B,"Wednesday")=0,"",SUMIFS('NSE - NIFTY Index Options'!$M:$M,'NSE - NIFTY Index Options'!$D:$D,$A71,'NSE - NIFTY Index Options'!$B:$B,"Wednesday")+SUMIFS('NSE - Other Index Options'!$M:$M,'NSE - Other Index Options'!$D:$D,$A71,'NSE - Other Index Options'!$B:$B,"Wednesday"))</f>
        <v/>
      </c>
      <c r="C71" s="26">
        <f>IF(SUMIFS('BSE - SENSEX Index Options'!$M:$M,'BSE - SENSEX Index Options'!$D:$D,$A71,'BSE - SENSEX Index Options'!$B:$B,"Wednesday")+SUMIFS('BSE - Other Index Options'!$M:$M,'BSE - Other Index Options'!$D:$D,$A71,'BSE - Other Index Options'!$B:$B,"Wednesday")=0,"",SUMIFS('BSE - SENSEX Index Options'!$M:$M,'BSE - SENSEX Index Options'!$D:$D,$A71,'BSE - SENSEX Index Options'!$B:$B,"Wednesday")+SUMIFS('BSE - Other Index Options'!$M:$M,'BSE - Other Index Options'!$D:$D,$A71,'BSE - Other Index Options'!$B:$B,"Wednesday"))</f>
        <v/>
      </c>
      <c r="D71" s="27">
        <f>IF(SUM(B71:C71)=0,"",SUM(B71)/SUM(B71:C71))</f>
        <v/>
      </c>
      <c r="E71" s="27">
        <f>IF(SUM(B71:C71)=0,"",SUM(C71)/SUM(B71:C71))</f>
        <v/>
      </c>
    </row>
    <row r="72">
      <c r="A72" s="24" t="n">
        <v>45992</v>
      </c>
      <c r="B72" s="26">
        <f>IF(SUMIFS('NSE - NIFTY Index Options'!$M:$M,'NSE - NIFTY Index Options'!$D:$D,$A72,'NSE - NIFTY Index Options'!$B:$B,"Wednesday")+SUMIFS('NSE - Other Index Options'!$M:$M,'NSE - Other Index Options'!$D:$D,$A72,'NSE - Other Index Options'!$B:$B,"Wednesday")=0,"",SUMIFS('NSE - NIFTY Index Options'!$M:$M,'NSE - NIFTY Index Options'!$D:$D,$A72,'NSE - NIFTY Index Options'!$B:$B,"Wednesday")+SUMIFS('NSE - Other Index Options'!$M:$M,'NSE - Other Index Options'!$D:$D,$A72,'NSE - Other Index Options'!$B:$B,"Wednesday"))</f>
        <v/>
      </c>
      <c r="C72" s="26">
        <f>IF(SUMIFS('BSE - SENSEX Index Options'!$M:$M,'BSE - SENSEX Index Options'!$D:$D,$A72,'BSE - SENSEX Index Options'!$B:$B,"Wednesday")+SUMIFS('BSE - Other Index Options'!$M:$M,'BSE - Other Index Options'!$D:$D,$A72,'BSE - Other Index Options'!$B:$B,"Wednesday")=0,"",SUMIFS('BSE - SENSEX Index Options'!$M:$M,'BSE - SENSEX Index Options'!$D:$D,$A72,'BSE - SENSEX Index Options'!$B:$B,"Wednesday")+SUMIFS('BSE - Other Index Options'!$M:$M,'BSE - Other Index Options'!$D:$D,$A72,'BSE - Other Index Options'!$B:$B,"Wednesday"))</f>
        <v/>
      </c>
      <c r="D72" s="27">
        <f>IF(SUM(B72:C72)=0,"",SUM(B72)/SUM(B72:C72))</f>
        <v/>
      </c>
      <c r="E72" s="27">
        <f>IF(SUM(B72:C72)=0,"",SUM(C72)/SUM(B72:C72))</f>
        <v/>
      </c>
    </row>
    <row r="73">
      <c r="A73" s="24" t="n">
        <v>46023</v>
      </c>
      <c r="B73" s="26">
        <f>IF(SUMIFS('NSE - NIFTY Index Options'!$M:$M,'NSE - NIFTY Index Options'!$D:$D,$A73,'NSE - NIFTY Index Options'!$B:$B,"Wednesday")+SUMIFS('NSE - Other Index Options'!$M:$M,'NSE - Other Index Options'!$D:$D,$A73,'NSE - Other Index Options'!$B:$B,"Wednesday")=0,"",SUMIFS('NSE - NIFTY Index Options'!$M:$M,'NSE - NIFTY Index Options'!$D:$D,$A73,'NSE - NIFTY Index Options'!$B:$B,"Wednesday")+SUMIFS('NSE - Other Index Options'!$M:$M,'NSE - Other Index Options'!$D:$D,$A73,'NSE - Other Index Options'!$B:$B,"Wednesday"))</f>
        <v/>
      </c>
      <c r="C73" s="26">
        <f>IF(SUMIFS('BSE - SENSEX Index Options'!$M:$M,'BSE - SENSEX Index Options'!$D:$D,$A73,'BSE - SENSEX Index Options'!$B:$B,"Wednesday")+SUMIFS('BSE - Other Index Options'!$M:$M,'BSE - Other Index Options'!$D:$D,$A73,'BSE - Other Index Options'!$B:$B,"Wednesday")=0,"",SUMIFS('BSE - SENSEX Index Options'!$M:$M,'BSE - SENSEX Index Options'!$D:$D,$A73,'BSE - SENSEX Index Options'!$B:$B,"Wednesday")+SUMIFS('BSE - Other Index Options'!$M:$M,'BSE - Other Index Options'!$D:$D,$A73,'BSE - Other Index Options'!$B:$B,"Wednesday"))</f>
        <v/>
      </c>
      <c r="D73" s="27">
        <f>IF(SUM(B73:C73)=0,"",SUM(B73)/SUM(B73:C73))</f>
        <v/>
      </c>
      <c r="E73" s="27">
        <f>IF(SUM(B73:C73)=0,"",SUM(C73)/SUM(B73:C73))</f>
        <v/>
      </c>
    </row>
    <row r="74">
      <c r="A74" s="24" t="n">
        <v>46054</v>
      </c>
      <c r="B74" s="26">
        <f>IF(SUMIFS('NSE - NIFTY Index Options'!$M:$M,'NSE - NIFTY Index Options'!$D:$D,$A74,'NSE - NIFTY Index Options'!$B:$B,"Wednesday")+SUMIFS('NSE - Other Index Options'!$M:$M,'NSE - Other Index Options'!$D:$D,$A74,'NSE - Other Index Options'!$B:$B,"Wednesday")=0,"",SUMIFS('NSE - NIFTY Index Options'!$M:$M,'NSE - NIFTY Index Options'!$D:$D,$A74,'NSE - NIFTY Index Options'!$B:$B,"Wednesday")+SUMIFS('NSE - Other Index Options'!$M:$M,'NSE - Other Index Options'!$D:$D,$A74,'NSE - Other Index Options'!$B:$B,"Wednesday"))</f>
        <v/>
      </c>
      <c r="C74" s="26">
        <f>IF(SUMIFS('BSE - SENSEX Index Options'!$M:$M,'BSE - SENSEX Index Options'!$D:$D,$A74,'BSE - SENSEX Index Options'!$B:$B,"Wednesday")+SUMIFS('BSE - Other Index Options'!$M:$M,'BSE - Other Index Options'!$D:$D,$A74,'BSE - Other Index Options'!$B:$B,"Wednesday")=0,"",SUMIFS('BSE - SENSEX Index Options'!$M:$M,'BSE - SENSEX Index Options'!$D:$D,$A74,'BSE - SENSEX Index Options'!$B:$B,"Wednesday")+SUMIFS('BSE - Other Index Options'!$M:$M,'BSE - Other Index Options'!$D:$D,$A74,'BSE - Other Index Options'!$B:$B,"Wednesday"))</f>
        <v/>
      </c>
      <c r="D74" s="27">
        <f>IF(SUM(B74:C74)=0,"",SUM(B74)/SUM(B74:C74))</f>
        <v/>
      </c>
      <c r="E74" s="27">
        <f>IF(SUM(B74:C74)=0,"",SUM(C74)/SUM(B74:C74))</f>
        <v/>
      </c>
    </row>
    <row r="75">
      <c r="A75" s="24" t="n">
        <v>46082</v>
      </c>
      <c r="B75" s="26">
        <f>IF(SUMIFS('NSE - NIFTY Index Options'!$M:$M,'NSE - NIFTY Index Options'!$D:$D,$A75,'NSE - NIFTY Index Options'!$B:$B,"Wednesday")+SUMIFS('NSE - Other Index Options'!$M:$M,'NSE - Other Index Options'!$D:$D,$A75,'NSE - Other Index Options'!$B:$B,"Wednesday")=0,"",SUMIFS('NSE - NIFTY Index Options'!$M:$M,'NSE - NIFTY Index Options'!$D:$D,$A75,'NSE - NIFTY Index Options'!$B:$B,"Wednesday")+SUMIFS('NSE - Other Index Options'!$M:$M,'NSE - Other Index Options'!$D:$D,$A75,'NSE - Other Index Options'!$B:$B,"Wednesday"))</f>
        <v/>
      </c>
      <c r="C75" s="26">
        <f>IF(SUMIFS('BSE - SENSEX Index Options'!$M:$M,'BSE - SENSEX Index Options'!$D:$D,$A75,'BSE - SENSEX Index Options'!$B:$B,"Wednesday")+SUMIFS('BSE - Other Index Options'!$M:$M,'BSE - Other Index Options'!$D:$D,$A75,'BSE - Other Index Options'!$B:$B,"Wednesday")=0,"",SUMIFS('BSE - SENSEX Index Options'!$M:$M,'BSE - SENSEX Index Options'!$D:$D,$A75,'BSE - SENSEX Index Options'!$B:$B,"Wednesday")+SUMIFS('BSE - Other Index Options'!$M:$M,'BSE - Other Index Options'!$D:$D,$A75,'BSE - Other Index Options'!$B:$B,"Wednesday"))</f>
        <v/>
      </c>
      <c r="D75" s="27">
        <f>IF(SUM(B75:C75)=0,"",SUM(B75)/SUM(B75:C75))</f>
        <v/>
      </c>
      <c r="E75" s="27">
        <f>IF(SUM(B75:C75)=0,"",SUM(C75)/SUM(B75:C75))</f>
        <v/>
      </c>
    </row>
    <row r="76">
      <c r="A76" s="24" t="n">
        <v>46113</v>
      </c>
      <c r="B76" s="26">
        <f>IF(SUMIFS('NSE - NIFTY Index Options'!$M:$M,'NSE - NIFTY Index Options'!$D:$D,$A76,'NSE - NIFTY Index Options'!$B:$B,"Wednesday")+SUMIFS('NSE - Other Index Options'!$M:$M,'NSE - Other Index Options'!$D:$D,$A76,'NSE - Other Index Options'!$B:$B,"Wednesday")=0,"",SUMIFS('NSE - NIFTY Index Options'!$M:$M,'NSE - NIFTY Index Options'!$D:$D,$A76,'NSE - NIFTY Index Options'!$B:$B,"Wednesday")+SUMIFS('NSE - Other Index Options'!$M:$M,'NSE - Other Index Options'!$D:$D,$A76,'NSE - Other Index Options'!$B:$B,"Wednesday"))</f>
        <v/>
      </c>
      <c r="C76" s="26">
        <f>IF(SUMIFS('BSE - SENSEX Index Options'!$M:$M,'BSE - SENSEX Index Options'!$D:$D,$A76,'BSE - SENSEX Index Options'!$B:$B,"Wednesday")+SUMIFS('BSE - Other Index Options'!$M:$M,'BSE - Other Index Options'!$D:$D,$A76,'BSE - Other Index Options'!$B:$B,"Wednesday")=0,"",SUMIFS('BSE - SENSEX Index Options'!$M:$M,'BSE - SENSEX Index Options'!$D:$D,$A76,'BSE - SENSEX Index Options'!$B:$B,"Wednesday")+SUMIFS('BSE - Other Index Options'!$M:$M,'BSE - Other Index Options'!$D:$D,$A76,'BSE - Other Index Options'!$B:$B,"Wednesday"))</f>
        <v/>
      </c>
      <c r="D76" s="27">
        <f>IF(SUM(B76:C76)=0,"",SUM(B76)/SUM(B76:C76))</f>
        <v/>
      </c>
      <c r="E76" s="27">
        <f>IF(SUM(B76:C76)=0,"",SUM(C76)/SUM(B76:C76))</f>
        <v/>
      </c>
    </row>
    <row r="77">
      <c r="A77" s="24" t="n">
        <v>46143</v>
      </c>
      <c r="B77" s="26">
        <f>IF(SUMIFS('NSE - NIFTY Index Options'!$M:$M,'NSE - NIFTY Index Options'!$D:$D,$A77,'NSE - NIFTY Index Options'!$B:$B,"Wednesday")+SUMIFS('NSE - Other Index Options'!$M:$M,'NSE - Other Index Options'!$D:$D,$A77,'NSE - Other Index Options'!$B:$B,"Wednesday")=0,"",SUMIFS('NSE - NIFTY Index Options'!$M:$M,'NSE - NIFTY Index Options'!$D:$D,$A77,'NSE - NIFTY Index Options'!$B:$B,"Wednesday")+SUMIFS('NSE - Other Index Options'!$M:$M,'NSE - Other Index Options'!$D:$D,$A77,'NSE - Other Index Options'!$B:$B,"Wednesday"))</f>
        <v/>
      </c>
      <c r="C77" s="26">
        <f>IF(SUMIFS('BSE - SENSEX Index Options'!$M:$M,'BSE - SENSEX Index Options'!$D:$D,$A77,'BSE - SENSEX Index Options'!$B:$B,"Wednesday")+SUMIFS('BSE - Other Index Options'!$M:$M,'BSE - Other Index Options'!$D:$D,$A77,'BSE - Other Index Options'!$B:$B,"Wednesday")=0,"",SUMIFS('BSE - SENSEX Index Options'!$M:$M,'BSE - SENSEX Index Options'!$D:$D,$A77,'BSE - SENSEX Index Options'!$B:$B,"Wednesday")+SUMIFS('BSE - Other Index Options'!$M:$M,'BSE - Other Index Options'!$D:$D,$A77,'BSE - Other Index Options'!$B:$B,"Wednesday"))</f>
        <v/>
      </c>
      <c r="D77" s="27">
        <f>IF(SUM(B77:C77)=0,"",SUM(B77)/SUM(B77:C77))</f>
        <v/>
      </c>
      <c r="E77" s="27">
        <f>IF(SUM(B77:C77)=0,"",SUM(C77)/SUM(B77:C77))</f>
        <v/>
      </c>
    </row>
    <row r="78">
      <c r="A78" s="24" t="n">
        <v>46174</v>
      </c>
      <c r="B78" s="26">
        <f>IF(SUMIFS('NSE - NIFTY Index Options'!$M:$M,'NSE - NIFTY Index Options'!$D:$D,$A78,'NSE - NIFTY Index Options'!$B:$B,"Wednesday")+SUMIFS('NSE - Other Index Options'!$M:$M,'NSE - Other Index Options'!$D:$D,$A78,'NSE - Other Index Options'!$B:$B,"Wednesday")=0,"",SUMIFS('NSE - NIFTY Index Options'!$M:$M,'NSE - NIFTY Index Options'!$D:$D,$A78,'NSE - NIFTY Index Options'!$B:$B,"Wednesday")+SUMIFS('NSE - Other Index Options'!$M:$M,'NSE - Other Index Options'!$D:$D,$A78,'NSE - Other Index Options'!$B:$B,"Wednesday"))</f>
        <v/>
      </c>
      <c r="C78" s="26">
        <f>IF(SUMIFS('BSE - SENSEX Index Options'!$M:$M,'BSE - SENSEX Index Options'!$D:$D,$A78,'BSE - SENSEX Index Options'!$B:$B,"Wednesday")+SUMIFS('BSE - Other Index Options'!$M:$M,'BSE - Other Index Options'!$D:$D,$A78,'BSE - Other Index Options'!$B:$B,"Wednesday")=0,"",SUMIFS('BSE - SENSEX Index Options'!$M:$M,'BSE - SENSEX Index Options'!$D:$D,$A78,'BSE - SENSEX Index Options'!$B:$B,"Wednesday")+SUMIFS('BSE - Other Index Options'!$M:$M,'BSE - Other Index Options'!$D:$D,$A78,'BSE - Other Index Options'!$B:$B,"Wednesday"))</f>
        <v/>
      </c>
      <c r="D78" s="27">
        <f>IF(SUM(B78:C78)=0,"",SUM(B78)/SUM(B78:C78))</f>
        <v/>
      </c>
      <c r="E78" s="27">
        <f>IF(SUM(B78:C78)=0,"",SUM(C78)/SUM(B78:C78))</f>
        <v/>
      </c>
    </row>
    <row r="79">
      <c r="A79" s="24" t="n">
        <v>46204</v>
      </c>
      <c r="B79" s="26">
        <f>IF(SUMIFS('NSE - NIFTY Index Options'!$M:$M,'NSE - NIFTY Index Options'!$D:$D,$A79,'NSE - NIFTY Index Options'!$B:$B,"Wednesday")+SUMIFS('NSE - Other Index Options'!$M:$M,'NSE - Other Index Options'!$D:$D,$A79,'NSE - Other Index Options'!$B:$B,"Wednesday")=0,"",SUMIFS('NSE - NIFTY Index Options'!$M:$M,'NSE - NIFTY Index Options'!$D:$D,$A79,'NSE - NIFTY Index Options'!$B:$B,"Wednesday")+SUMIFS('NSE - Other Index Options'!$M:$M,'NSE - Other Index Options'!$D:$D,$A79,'NSE - Other Index Options'!$B:$B,"Wednesday"))</f>
        <v/>
      </c>
      <c r="C79" s="26">
        <f>IF(SUMIFS('BSE - SENSEX Index Options'!$M:$M,'BSE - SENSEX Index Options'!$D:$D,$A79,'BSE - SENSEX Index Options'!$B:$B,"Wednesday")+SUMIFS('BSE - Other Index Options'!$M:$M,'BSE - Other Index Options'!$D:$D,$A79,'BSE - Other Index Options'!$B:$B,"Wednesday")=0,"",SUMIFS('BSE - SENSEX Index Options'!$M:$M,'BSE - SENSEX Index Options'!$D:$D,$A79,'BSE - SENSEX Index Options'!$B:$B,"Wednesday")+SUMIFS('BSE - Other Index Options'!$M:$M,'BSE - Other Index Options'!$D:$D,$A79,'BSE - Other Index Options'!$B:$B,"Wednesday"))</f>
        <v/>
      </c>
      <c r="D79" s="27">
        <f>IF(SUM(B79:C79)=0,"",SUM(B79)/SUM(B79:C79))</f>
        <v/>
      </c>
      <c r="E79" s="27">
        <f>IF(SUM(B79:C79)=0,"",SUM(C79)/SUM(B79:C79))</f>
        <v/>
      </c>
    </row>
    <row r="80">
      <c r="A80" s="24" t="n">
        <v>46235</v>
      </c>
      <c r="B80" s="26">
        <f>IF(SUMIFS('NSE - NIFTY Index Options'!$M:$M,'NSE - NIFTY Index Options'!$D:$D,$A80,'NSE - NIFTY Index Options'!$B:$B,"Wednesday")+SUMIFS('NSE - Other Index Options'!$M:$M,'NSE - Other Index Options'!$D:$D,$A80,'NSE - Other Index Options'!$B:$B,"Wednesday")=0,"",SUMIFS('NSE - NIFTY Index Options'!$M:$M,'NSE - NIFTY Index Options'!$D:$D,$A80,'NSE - NIFTY Index Options'!$B:$B,"Wednesday")+SUMIFS('NSE - Other Index Options'!$M:$M,'NSE - Other Index Options'!$D:$D,$A80,'NSE - Other Index Options'!$B:$B,"Wednesday"))</f>
        <v/>
      </c>
      <c r="C80" s="26">
        <f>IF(SUMIFS('BSE - SENSEX Index Options'!$M:$M,'BSE - SENSEX Index Options'!$D:$D,$A80,'BSE - SENSEX Index Options'!$B:$B,"Wednesday")+SUMIFS('BSE - Other Index Options'!$M:$M,'BSE - Other Index Options'!$D:$D,$A80,'BSE - Other Index Options'!$B:$B,"Wednesday")=0,"",SUMIFS('BSE - SENSEX Index Options'!$M:$M,'BSE - SENSEX Index Options'!$D:$D,$A80,'BSE - SENSEX Index Options'!$B:$B,"Wednesday")+SUMIFS('BSE - Other Index Options'!$M:$M,'BSE - Other Index Options'!$D:$D,$A80,'BSE - Other Index Options'!$B:$B,"Wednesday"))</f>
        <v/>
      </c>
      <c r="D80" s="27">
        <f>IF(SUM(B80:C80)=0,"",SUM(B80)/SUM(B80:C80))</f>
        <v/>
      </c>
      <c r="E80" s="27">
        <f>IF(SUM(B80:C80)=0,"",SUM(C80)/SUM(B80:C80))</f>
        <v/>
      </c>
    </row>
    <row r="81" hidden="1" outlineLevel="1">
      <c r="A81" s="24" t="n">
        <v>46266</v>
      </c>
      <c r="B81" s="26">
        <f>IF(SUMIFS('NSE - NIFTY Index Options'!$M:$M,'NSE - NIFTY Index Options'!$D:$D,$A81,'NSE - NIFTY Index Options'!$B:$B,"Wednesday")+SUMIFS('NSE - Other Index Options'!$M:$M,'NSE - Other Index Options'!$D:$D,$A81,'NSE - Other Index Options'!$B:$B,"Wednesday")=0,"",SUMIFS('NSE - NIFTY Index Options'!$M:$M,'NSE - NIFTY Index Options'!$D:$D,$A81,'NSE - NIFTY Index Options'!$B:$B,"Wednesday")+SUMIFS('NSE - Other Index Options'!$M:$M,'NSE - Other Index Options'!$D:$D,$A81,'NSE - Other Index Options'!$B:$B,"Wednesday"))</f>
        <v/>
      </c>
      <c r="C81" s="26">
        <f>IF(SUMIFS('BSE - SENSEX Index Options'!$M:$M,'BSE - SENSEX Index Options'!$D:$D,$A81,'BSE - SENSEX Index Options'!$B:$B,"Wednesday")+SUMIFS('BSE - Other Index Options'!$M:$M,'BSE - Other Index Options'!$D:$D,$A81,'BSE - Other Index Options'!$B:$B,"Wednesday")=0,"",SUMIFS('BSE - SENSEX Index Options'!$M:$M,'BSE - SENSEX Index Options'!$D:$D,$A81,'BSE - SENSEX Index Options'!$B:$B,"Wednesday")+SUMIFS('BSE - Other Index Options'!$M:$M,'BSE - Other Index Options'!$D:$D,$A81,'BSE - Other Index Options'!$B:$B,"Wednesday"))</f>
        <v/>
      </c>
      <c r="D81" s="27">
        <f>IF(SUM(B81:C81)=0,"",SUM(B81)/SUM(B81:C81))</f>
        <v/>
      </c>
      <c r="E81" s="27">
        <f>IF(SUM(B81:C81)=0,"",SUM(C81)/SUM(B81:C81))</f>
        <v/>
      </c>
    </row>
    <row r="82" hidden="1" outlineLevel="1">
      <c r="A82" s="24" t="n">
        <v>46296</v>
      </c>
      <c r="B82" s="26">
        <f>IF(SUMIFS('NSE - NIFTY Index Options'!$M:$M,'NSE - NIFTY Index Options'!$D:$D,$A82,'NSE - NIFTY Index Options'!$B:$B,"Wednesday")+SUMIFS('NSE - Other Index Options'!$M:$M,'NSE - Other Index Options'!$D:$D,$A82,'NSE - Other Index Options'!$B:$B,"Wednesday")=0,"",SUMIFS('NSE - NIFTY Index Options'!$M:$M,'NSE - NIFTY Index Options'!$D:$D,$A82,'NSE - NIFTY Index Options'!$B:$B,"Wednesday")+SUMIFS('NSE - Other Index Options'!$M:$M,'NSE - Other Index Options'!$D:$D,$A82,'NSE - Other Index Options'!$B:$B,"Wednesday"))</f>
        <v/>
      </c>
      <c r="C82" s="26">
        <f>IF(SUMIFS('BSE - SENSEX Index Options'!$M:$M,'BSE - SENSEX Index Options'!$D:$D,$A82,'BSE - SENSEX Index Options'!$B:$B,"Wednesday")+SUMIFS('BSE - Other Index Options'!$M:$M,'BSE - Other Index Options'!$D:$D,$A82,'BSE - Other Index Options'!$B:$B,"Wednesday")=0,"",SUMIFS('BSE - SENSEX Index Options'!$M:$M,'BSE - SENSEX Index Options'!$D:$D,$A82,'BSE - SENSEX Index Options'!$B:$B,"Wednesday")+SUMIFS('BSE - Other Index Options'!$M:$M,'BSE - Other Index Options'!$D:$D,$A82,'BSE - Other Index Options'!$B:$B,"Wednesday"))</f>
        <v/>
      </c>
      <c r="D82" s="27">
        <f>IF(SUM(B82:C82)=0,"",SUM(B82)/SUM(B82:C82))</f>
        <v/>
      </c>
      <c r="E82" s="27">
        <f>IF(SUM(B82:C82)=0,"",SUM(C82)/SUM(B82:C82))</f>
        <v/>
      </c>
    </row>
    <row r="83" hidden="1" outlineLevel="1">
      <c r="A83" s="24" t="n">
        <v>46327</v>
      </c>
      <c r="B83" s="26">
        <f>IF(SUMIFS('NSE - NIFTY Index Options'!$M:$M,'NSE - NIFTY Index Options'!$D:$D,$A83,'NSE - NIFTY Index Options'!$B:$B,"Wednesday")+SUMIFS('NSE - Other Index Options'!$M:$M,'NSE - Other Index Options'!$D:$D,$A83,'NSE - Other Index Options'!$B:$B,"Wednesday")=0,"",SUMIFS('NSE - NIFTY Index Options'!$M:$M,'NSE - NIFTY Index Options'!$D:$D,$A83,'NSE - NIFTY Index Options'!$B:$B,"Wednesday")+SUMIFS('NSE - Other Index Options'!$M:$M,'NSE - Other Index Options'!$D:$D,$A83,'NSE - Other Index Options'!$B:$B,"Wednesday"))</f>
        <v/>
      </c>
      <c r="C83" s="26">
        <f>IF(SUMIFS('BSE - SENSEX Index Options'!$M:$M,'BSE - SENSEX Index Options'!$D:$D,$A83,'BSE - SENSEX Index Options'!$B:$B,"Wednesday")+SUMIFS('BSE - Other Index Options'!$M:$M,'BSE - Other Index Options'!$D:$D,$A83,'BSE - Other Index Options'!$B:$B,"Wednesday")=0,"",SUMIFS('BSE - SENSEX Index Options'!$M:$M,'BSE - SENSEX Index Options'!$D:$D,$A83,'BSE - SENSEX Index Options'!$B:$B,"Wednesday")+SUMIFS('BSE - Other Index Options'!$M:$M,'BSE - Other Index Options'!$D:$D,$A83,'BSE - Other Index Options'!$B:$B,"Wednesday"))</f>
        <v/>
      </c>
      <c r="D83" s="27">
        <f>IF(SUM(B83:C83)=0,"",SUM(B83)/SUM(B83:C83))</f>
        <v/>
      </c>
      <c r="E83" s="27">
        <f>IF(SUM(B83:C83)=0,"",SUM(C83)/SUM(B83:C83))</f>
        <v/>
      </c>
    </row>
    <row r="84" hidden="1" outlineLevel="1">
      <c r="A84" s="24" t="n">
        <v>46357</v>
      </c>
      <c r="B84" s="26">
        <f>IF(SUMIFS('NSE - NIFTY Index Options'!$M:$M,'NSE - NIFTY Index Options'!$D:$D,$A84,'NSE - NIFTY Index Options'!$B:$B,"Wednesday")+SUMIFS('NSE - Other Index Options'!$M:$M,'NSE - Other Index Options'!$D:$D,$A84,'NSE - Other Index Options'!$B:$B,"Wednesday")=0,"",SUMIFS('NSE - NIFTY Index Options'!$M:$M,'NSE - NIFTY Index Options'!$D:$D,$A84,'NSE - NIFTY Index Options'!$B:$B,"Wednesday")+SUMIFS('NSE - Other Index Options'!$M:$M,'NSE - Other Index Options'!$D:$D,$A84,'NSE - Other Index Options'!$B:$B,"Wednesday"))</f>
        <v/>
      </c>
      <c r="C84" s="26">
        <f>IF(SUMIFS('BSE - SENSEX Index Options'!$M:$M,'BSE - SENSEX Index Options'!$D:$D,$A84,'BSE - SENSEX Index Options'!$B:$B,"Wednesday")+SUMIFS('BSE - Other Index Options'!$M:$M,'BSE - Other Index Options'!$D:$D,$A84,'BSE - Other Index Options'!$B:$B,"Wednesday")=0,"",SUMIFS('BSE - SENSEX Index Options'!$M:$M,'BSE - SENSEX Index Options'!$D:$D,$A84,'BSE - SENSEX Index Options'!$B:$B,"Wednesday")+SUMIFS('BSE - Other Index Options'!$M:$M,'BSE - Other Index Options'!$D:$D,$A84,'BSE - Other Index Options'!$B:$B,"Wednesday"))</f>
        <v/>
      </c>
      <c r="D84" s="27">
        <f>IF(SUM(B84:C84)=0,"",SUM(B84)/SUM(B84:C84))</f>
        <v/>
      </c>
      <c r="E84" s="27">
        <f>IF(SUM(B84:C84)=0,"",SUM(C84)/SUM(B84:C84))</f>
        <v/>
      </c>
    </row>
    <row r="85" hidden="1" outlineLevel="1">
      <c r="A85" s="24" t="n">
        <v>46388</v>
      </c>
      <c r="B85" s="26">
        <f>IF(SUMIFS('NSE - NIFTY Index Options'!$M:$M,'NSE - NIFTY Index Options'!$D:$D,$A85,'NSE - NIFTY Index Options'!$B:$B,"Wednesday")+SUMIFS('NSE - Other Index Options'!$M:$M,'NSE - Other Index Options'!$D:$D,$A85,'NSE - Other Index Options'!$B:$B,"Wednesday")=0,"",SUMIFS('NSE - NIFTY Index Options'!$M:$M,'NSE - NIFTY Index Options'!$D:$D,$A85,'NSE - NIFTY Index Options'!$B:$B,"Wednesday")+SUMIFS('NSE - Other Index Options'!$M:$M,'NSE - Other Index Options'!$D:$D,$A85,'NSE - Other Index Options'!$B:$B,"Wednesday"))</f>
        <v/>
      </c>
      <c r="C85" s="26">
        <f>IF(SUMIFS('BSE - SENSEX Index Options'!$M:$M,'BSE - SENSEX Index Options'!$D:$D,$A85,'BSE - SENSEX Index Options'!$B:$B,"Wednesday")+SUMIFS('BSE - Other Index Options'!$M:$M,'BSE - Other Index Options'!$D:$D,$A85,'BSE - Other Index Options'!$B:$B,"Wednesday")=0,"",SUMIFS('BSE - SENSEX Index Options'!$M:$M,'BSE - SENSEX Index Options'!$D:$D,$A85,'BSE - SENSEX Index Options'!$B:$B,"Wednesday")+SUMIFS('BSE - Other Index Options'!$M:$M,'BSE - Other Index Options'!$D:$D,$A85,'BSE - Other Index Options'!$B:$B,"Wednesday"))</f>
        <v/>
      </c>
      <c r="D85" s="27">
        <f>IF(SUM(B85:C85)=0,"",SUM(B85)/SUM(B85:C85))</f>
        <v/>
      </c>
      <c r="E85" s="27">
        <f>IF(SUM(B85:C85)=0,"",SUM(C85)/SUM(B85:C85))</f>
        <v/>
      </c>
    </row>
    <row r="86" hidden="1" outlineLevel="1">
      <c r="A86" s="24" t="n">
        <v>46419</v>
      </c>
      <c r="B86" s="26">
        <f>IF(SUMIFS('NSE - NIFTY Index Options'!$M:$M,'NSE - NIFTY Index Options'!$D:$D,$A86,'NSE - NIFTY Index Options'!$B:$B,"Wednesday")+SUMIFS('NSE - Other Index Options'!$M:$M,'NSE - Other Index Options'!$D:$D,$A86,'NSE - Other Index Options'!$B:$B,"Wednesday")=0,"",SUMIFS('NSE - NIFTY Index Options'!$M:$M,'NSE - NIFTY Index Options'!$D:$D,$A86,'NSE - NIFTY Index Options'!$B:$B,"Wednesday")+SUMIFS('NSE - Other Index Options'!$M:$M,'NSE - Other Index Options'!$D:$D,$A86,'NSE - Other Index Options'!$B:$B,"Wednesday"))</f>
        <v/>
      </c>
      <c r="C86" s="26">
        <f>IF(SUMIFS('BSE - SENSEX Index Options'!$M:$M,'BSE - SENSEX Index Options'!$D:$D,$A86,'BSE - SENSEX Index Options'!$B:$B,"Wednesday")+SUMIFS('BSE - Other Index Options'!$M:$M,'BSE - Other Index Options'!$D:$D,$A86,'BSE - Other Index Options'!$B:$B,"Wednesday")=0,"",SUMIFS('BSE - SENSEX Index Options'!$M:$M,'BSE - SENSEX Index Options'!$D:$D,$A86,'BSE - SENSEX Index Options'!$B:$B,"Wednesday")+SUMIFS('BSE - Other Index Options'!$M:$M,'BSE - Other Index Options'!$D:$D,$A86,'BSE - Other Index Options'!$B:$B,"Wednesday"))</f>
        <v/>
      </c>
      <c r="D86" s="27">
        <f>IF(SUM(B86:C86)=0,"",SUM(B86)/SUM(B86:C86))</f>
        <v/>
      </c>
      <c r="E86" s="27">
        <f>IF(SUM(B86:C86)=0,"",SUM(C86)/SUM(B86:C86))</f>
        <v/>
      </c>
    </row>
    <row r="87" hidden="1" outlineLevel="1">
      <c r="A87" s="24" t="n">
        <v>46447</v>
      </c>
      <c r="B87" s="26">
        <f>IF(SUMIFS('NSE - NIFTY Index Options'!$M:$M,'NSE - NIFTY Index Options'!$D:$D,$A87,'NSE - NIFTY Index Options'!$B:$B,"Wednesday")+SUMIFS('NSE - Other Index Options'!$M:$M,'NSE - Other Index Options'!$D:$D,$A87,'NSE - Other Index Options'!$B:$B,"Wednesday")=0,"",SUMIFS('NSE - NIFTY Index Options'!$M:$M,'NSE - NIFTY Index Options'!$D:$D,$A87,'NSE - NIFTY Index Options'!$B:$B,"Wednesday")+SUMIFS('NSE - Other Index Options'!$M:$M,'NSE - Other Index Options'!$D:$D,$A87,'NSE - Other Index Options'!$B:$B,"Wednesday"))</f>
        <v/>
      </c>
      <c r="C87" s="26">
        <f>IF(SUMIFS('BSE - SENSEX Index Options'!$M:$M,'BSE - SENSEX Index Options'!$D:$D,$A87,'BSE - SENSEX Index Options'!$B:$B,"Wednesday")+SUMIFS('BSE - Other Index Options'!$M:$M,'BSE - Other Index Options'!$D:$D,$A87,'BSE - Other Index Options'!$B:$B,"Wednesday")=0,"",SUMIFS('BSE - SENSEX Index Options'!$M:$M,'BSE - SENSEX Index Options'!$D:$D,$A87,'BSE - SENSEX Index Options'!$B:$B,"Wednesday")+SUMIFS('BSE - Other Index Options'!$M:$M,'BSE - Other Index Options'!$D:$D,$A87,'BSE - Other Index Options'!$B:$B,"Wednesday"))</f>
        <v/>
      </c>
      <c r="D87" s="27">
        <f>IF(SUM(B87:C87)=0,"",SUM(B87)/SUM(B87:C87))</f>
        <v/>
      </c>
      <c r="E87" s="27">
        <f>IF(SUM(B87:C87)=0,"",SUM(C87)/SUM(B87:C87))</f>
        <v/>
      </c>
    </row>
    <row r="88" hidden="1" outlineLevel="1">
      <c r="A88" s="24" t="n">
        <v>46478</v>
      </c>
      <c r="B88" s="26">
        <f>IF(SUMIFS('NSE - NIFTY Index Options'!$M:$M,'NSE - NIFTY Index Options'!$D:$D,$A88,'NSE - NIFTY Index Options'!$B:$B,"Wednesday")+SUMIFS('NSE - Other Index Options'!$M:$M,'NSE - Other Index Options'!$D:$D,$A88,'NSE - Other Index Options'!$B:$B,"Wednesday")=0,"",SUMIFS('NSE - NIFTY Index Options'!$M:$M,'NSE - NIFTY Index Options'!$D:$D,$A88,'NSE - NIFTY Index Options'!$B:$B,"Wednesday")+SUMIFS('NSE - Other Index Options'!$M:$M,'NSE - Other Index Options'!$D:$D,$A88,'NSE - Other Index Options'!$B:$B,"Wednesday"))</f>
        <v/>
      </c>
      <c r="C88" s="26">
        <f>IF(SUMIFS('BSE - SENSEX Index Options'!$M:$M,'BSE - SENSEX Index Options'!$D:$D,$A88,'BSE - SENSEX Index Options'!$B:$B,"Wednesday")+SUMIFS('BSE - Other Index Options'!$M:$M,'BSE - Other Index Options'!$D:$D,$A88,'BSE - Other Index Options'!$B:$B,"Wednesday")=0,"",SUMIFS('BSE - SENSEX Index Options'!$M:$M,'BSE - SENSEX Index Options'!$D:$D,$A88,'BSE - SENSEX Index Options'!$B:$B,"Wednesday")+SUMIFS('BSE - Other Index Options'!$M:$M,'BSE - Other Index Options'!$D:$D,$A88,'BSE - Other Index Options'!$B:$B,"Wednesday"))</f>
        <v/>
      </c>
      <c r="D88" s="27">
        <f>IF(SUM(B88:C88)=0,"",SUM(B88)/SUM(B88:C88))</f>
        <v/>
      </c>
      <c r="E88" s="27">
        <f>IF(SUM(B88:C88)=0,"",SUM(C88)/SUM(B88:C88))</f>
        <v/>
      </c>
    </row>
    <row r="89" hidden="1" outlineLevel="1">
      <c r="A89" s="24" t="n">
        <v>46508</v>
      </c>
      <c r="B89" s="26">
        <f>IF(SUMIFS('NSE - NIFTY Index Options'!$M:$M,'NSE - NIFTY Index Options'!$D:$D,$A89,'NSE - NIFTY Index Options'!$B:$B,"Wednesday")+SUMIFS('NSE - Other Index Options'!$M:$M,'NSE - Other Index Options'!$D:$D,$A89,'NSE - Other Index Options'!$B:$B,"Wednesday")=0,"",SUMIFS('NSE - NIFTY Index Options'!$M:$M,'NSE - NIFTY Index Options'!$D:$D,$A89,'NSE - NIFTY Index Options'!$B:$B,"Wednesday")+SUMIFS('NSE - Other Index Options'!$M:$M,'NSE - Other Index Options'!$D:$D,$A89,'NSE - Other Index Options'!$B:$B,"Wednesday"))</f>
        <v/>
      </c>
      <c r="C89" s="26">
        <f>IF(SUMIFS('BSE - SENSEX Index Options'!$M:$M,'BSE - SENSEX Index Options'!$D:$D,$A89,'BSE - SENSEX Index Options'!$B:$B,"Wednesday")+SUMIFS('BSE - Other Index Options'!$M:$M,'BSE - Other Index Options'!$D:$D,$A89,'BSE - Other Index Options'!$B:$B,"Wednesday")=0,"",SUMIFS('BSE - SENSEX Index Options'!$M:$M,'BSE - SENSEX Index Options'!$D:$D,$A89,'BSE - SENSEX Index Options'!$B:$B,"Wednesday")+SUMIFS('BSE - Other Index Options'!$M:$M,'BSE - Other Index Options'!$D:$D,$A89,'BSE - Other Index Options'!$B:$B,"Wednesday"))</f>
        <v/>
      </c>
      <c r="D89" s="27">
        <f>IF(SUM(B89:C89)=0,"",SUM(B89)/SUM(B89:C89))</f>
        <v/>
      </c>
      <c r="E89" s="27">
        <f>IF(SUM(B89:C89)=0,"",SUM(C89)/SUM(B89:C89))</f>
        <v/>
      </c>
    </row>
    <row r="90" hidden="1" outlineLevel="1">
      <c r="A90" s="24" t="n">
        <v>46539</v>
      </c>
      <c r="B90" s="26">
        <f>IF(SUMIFS('NSE - NIFTY Index Options'!$M:$M,'NSE - NIFTY Index Options'!$D:$D,$A90,'NSE - NIFTY Index Options'!$B:$B,"Wednesday")+SUMIFS('NSE - Other Index Options'!$M:$M,'NSE - Other Index Options'!$D:$D,$A90,'NSE - Other Index Options'!$B:$B,"Wednesday")=0,"",SUMIFS('NSE - NIFTY Index Options'!$M:$M,'NSE - NIFTY Index Options'!$D:$D,$A90,'NSE - NIFTY Index Options'!$B:$B,"Wednesday")+SUMIFS('NSE - Other Index Options'!$M:$M,'NSE - Other Index Options'!$D:$D,$A90,'NSE - Other Index Options'!$B:$B,"Wednesday"))</f>
        <v/>
      </c>
      <c r="C90" s="26">
        <f>IF(SUMIFS('BSE - SENSEX Index Options'!$M:$M,'BSE - SENSEX Index Options'!$D:$D,$A90,'BSE - SENSEX Index Options'!$B:$B,"Wednesday")+SUMIFS('BSE - Other Index Options'!$M:$M,'BSE - Other Index Options'!$D:$D,$A90,'BSE - Other Index Options'!$B:$B,"Wednesday")=0,"",SUMIFS('BSE - SENSEX Index Options'!$M:$M,'BSE - SENSEX Index Options'!$D:$D,$A90,'BSE - SENSEX Index Options'!$B:$B,"Wednesday")+SUMIFS('BSE - Other Index Options'!$M:$M,'BSE - Other Index Options'!$D:$D,$A90,'BSE - Other Index Options'!$B:$B,"Wednesday"))</f>
        <v/>
      </c>
      <c r="D90" s="27">
        <f>IF(SUM(B90:C90)=0,"",SUM(B90)/SUM(B90:C90))</f>
        <v/>
      </c>
      <c r="E90" s="27">
        <f>IF(SUM(B90:C90)=0,"",SUM(C90)/SUM(B90:C90))</f>
        <v/>
      </c>
    </row>
    <row r="91" hidden="1" outlineLevel="1">
      <c r="A91" s="24" t="n">
        <v>46569</v>
      </c>
      <c r="B91" s="26">
        <f>IF(SUMIFS('NSE - NIFTY Index Options'!$M:$M,'NSE - NIFTY Index Options'!$D:$D,$A91,'NSE - NIFTY Index Options'!$B:$B,"Wednesday")+SUMIFS('NSE - Other Index Options'!$M:$M,'NSE - Other Index Options'!$D:$D,$A91,'NSE - Other Index Options'!$B:$B,"Wednesday")=0,"",SUMIFS('NSE - NIFTY Index Options'!$M:$M,'NSE - NIFTY Index Options'!$D:$D,$A91,'NSE - NIFTY Index Options'!$B:$B,"Wednesday")+SUMIFS('NSE - Other Index Options'!$M:$M,'NSE - Other Index Options'!$D:$D,$A91,'NSE - Other Index Options'!$B:$B,"Wednesday"))</f>
        <v/>
      </c>
      <c r="C91" s="26">
        <f>IF(SUMIFS('BSE - SENSEX Index Options'!$M:$M,'BSE - SENSEX Index Options'!$D:$D,$A91,'BSE - SENSEX Index Options'!$B:$B,"Wednesday")+SUMIFS('BSE - Other Index Options'!$M:$M,'BSE - Other Index Options'!$D:$D,$A91,'BSE - Other Index Options'!$B:$B,"Wednesday")=0,"",SUMIFS('BSE - SENSEX Index Options'!$M:$M,'BSE - SENSEX Index Options'!$D:$D,$A91,'BSE - SENSEX Index Options'!$B:$B,"Wednesday")+SUMIFS('BSE - Other Index Options'!$M:$M,'BSE - Other Index Options'!$D:$D,$A91,'BSE - Other Index Options'!$B:$B,"Wednesday"))</f>
        <v/>
      </c>
      <c r="D91" s="27">
        <f>IF(SUM(B91:C91)=0,"",SUM(B91)/SUM(B91:C91))</f>
        <v/>
      </c>
      <c r="E91" s="27">
        <f>IF(SUM(B91:C91)=0,"",SUM(C91)/SUM(B91:C91))</f>
        <v/>
      </c>
    </row>
    <row r="92" hidden="1" outlineLevel="1">
      <c r="A92" s="24" t="n">
        <v>46600</v>
      </c>
      <c r="B92" s="26">
        <f>IF(SUMIFS('NSE - NIFTY Index Options'!$M:$M,'NSE - NIFTY Index Options'!$D:$D,$A92,'NSE - NIFTY Index Options'!$B:$B,"Wednesday")+SUMIFS('NSE - Other Index Options'!$M:$M,'NSE - Other Index Options'!$D:$D,$A92,'NSE - Other Index Options'!$B:$B,"Wednesday")=0,"",SUMIFS('NSE - NIFTY Index Options'!$M:$M,'NSE - NIFTY Index Options'!$D:$D,$A92,'NSE - NIFTY Index Options'!$B:$B,"Wednesday")+SUMIFS('NSE - Other Index Options'!$M:$M,'NSE - Other Index Options'!$D:$D,$A92,'NSE - Other Index Options'!$B:$B,"Wednesday"))</f>
        <v/>
      </c>
      <c r="C92" s="26">
        <f>IF(SUMIFS('BSE - SENSEX Index Options'!$M:$M,'BSE - SENSEX Index Options'!$D:$D,$A92,'BSE - SENSEX Index Options'!$B:$B,"Wednesday")+SUMIFS('BSE - Other Index Options'!$M:$M,'BSE - Other Index Options'!$D:$D,$A92,'BSE - Other Index Options'!$B:$B,"Wednesday")=0,"",SUMIFS('BSE - SENSEX Index Options'!$M:$M,'BSE - SENSEX Index Options'!$D:$D,$A92,'BSE - SENSEX Index Options'!$B:$B,"Wednesday")+SUMIFS('BSE - Other Index Options'!$M:$M,'BSE - Other Index Options'!$D:$D,$A92,'BSE - Other Index Options'!$B:$B,"Wednesday"))</f>
        <v/>
      </c>
      <c r="D92" s="27">
        <f>IF(SUM(B92:C92)=0,"",SUM(B92)/SUM(B92:C92))</f>
        <v/>
      </c>
      <c r="E92" s="27">
        <f>IF(SUM(B92:C92)=0,"",SUM(C92)/SUM(B92:C92))</f>
        <v/>
      </c>
    </row>
    <row r="93" hidden="1" outlineLevel="1">
      <c r="A93" s="24" t="n">
        <v>46631</v>
      </c>
      <c r="B93" s="26">
        <f>IF(SUMIFS('NSE - NIFTY Index Options'!$M:$M,'NSE - NIFTY Index Options'!$D:$D,$A93,'NSE - NIFTY Index Options'!$B:$B,"Wednesday")+SUMIFS('NSE - Other Index Options'!$M:$M,'NSE - Other Index Options'!$D:$D,$A93,'NSE - Other Index Options'!$B:$B,"Wednesday")=0,"",SUMIFS('NSE - NIFTY Index Options'!$M:$M,'NSE - NIFTY Index Options'!$D:$D,$A93,'NSE - NIFTY Index Options'!$B:$B,"Wednesday")+SUMIFS('NSE - Other Index Options'!$M:$M,'NSE - Other Index Options'!$D:$D,$A93,'NSE - Other Index Options'!$B:$B,"Wednesday"))</f>
        <v/>
      </c>
      <c r="C93" s="26">
        <f>IF(SUMIFS('BSE - SENSEX Index Options'!$M:$M,'BSE - SENSEX Index Options'!$D:$D,$A93,'BSE - SENSEX Index Options'!$B:$B,"Wednesday")+SUMIFS('BSE - Other Index Options'!$M:$M,'BSE - Other Index Options'!$D:$D,$A93,'BSE - Other Index Options'!$B:$B,"Wednesday")=0,"",SUMIFS('BSE - SENSEX Index Options'!$M:$M,'BSE - SENSEX Index Options'!$D:$D,$A93,'BSE - SENSEX Index Options'!$B:$B,"Wednesday")+SUMIFS('BSE - Other Index Options'!$M:$M,'BSE - Other Index Options'!$D:$D,$A93,'BSE - Other Index Options'!$B:$B,"Wednesday"))</f>
        <v/>
      </c>
      <c r="D93" s="27">
        <f>IF(SUM(B93:C93)=0,"",SUM(B93)/SUM(B93:C93))</f>
        <v/>
      </c>
      <c r="E93" s="27">
        <f>IF(SUM(B93:C93)=0,"",SUM(C93)/SUM(B93:C93))</f>
        <v/>
      </c>
    </row>
    <row r="94" hidden="1" outlineLevel="1">
      <c r="A94" s="24" t="n">
        <v>46661</v>
      </c>
      <c r="B94" s="26">
        <f>IF(SUMIFS('NSE - NIFTY Index Options'!$M:$M,'NSE - NIFTY Index Options'!$D:$D,$A94,'NSE - NIFTY Index Options'!$B:$B,"Wednesday")+SUMIFS('NSE - Other Index Options'!$M:$M,'NSE - Other Index Options'!$D:$D,$A94,'NSE - Other Index Options'!$B:$B,"Wednesday")=0,"",SUMIFS('NSE - NIFTY Index Options'!$M:$M,'NSE - NIFTY Index Options'!$D:$D,$A94,'NSE - NIFTY Index Options'!$B:$B,"Wednesday")+SUMIFS('NSE - Other Index Options'!$M:$M,'NSE - Other Index Options'!$D:$D,$A94,'NSE - Other Index Options'!$B:$B,"Wednesday"))</f>
        <v/>
      </c>
      <c r="C94" s="26">
        <f>IF(SUMIFS('BSE - SENSEX Index Options'!$M:$M,'BSE - SENSEX Index Options'!$D:$D,$A94,'BSE - SENSEX Index Options'!$B:$B,"Wednesday")+SUMIFS('BSE - Other Index Options'!$M:$M,'BSE - Other Index Options'!$D:$D,$A94,'BSE - Other Index Options'!$B:$B,"Wednesday")=0,"",SUMIFS('BSE - SENSEX Index Options'!$M:$M,'BSE - SENSEX Index Options'!$D:$D,$A94,'BSE - SENSEX Index Options'!$B:$B,"Wednesday")+SUMIFS('BSE - Other Index Options'!$M:$M,'BSE - Other Index Options'!$D:$D,$A94,'BSE - Other Index Options'!$B:$B,"Wednesday"))</f>
        <v/>
      </c>
      <c r="D94" s="27">
        <f>IF(SUM(B94:C94)=0,"",SUM(B94)/SUM(B94:C94))</f>
        <v/>
      </c>
      <c r="E94" s="27">
        <f>IF(SUM(B94:C94)=0,"",SUM(C94)/SUM(B94:C94))</f>
        <v/>
      </c>
    </row>
    <row r="95" hidden="1" outlineLevel="1">
      <c r="A95" s="24" t="n">
        <v>46692</v>
      </c>
      <c r="B95" s="26">
        <f>IF(SUMIFS('NSE - NIFTY Index Options'!$M:$M,'NSE - NIFTY Index Options'!$D:$D,$A95,'NSE - NIFTY Index Options'!$B:$B,"Wednesday")+SUMIFS('NSE - Other Index Options'!$M:$M,'NSE - Other Index Options'!$D:$D,$A95,'NSE - Other Index Options'!$B:$B,"Wednesday")=0,"",SUMIFS('NSE - NIFTY Index Options'!$M:$M,'NSE - NIFTY Index Options'!$D:$D,$A95,'NSE - NIFTY Index Options'!$B:$B,"Wednesday")+SUMIFS('NSE - Other Index Options'!$M:$M,'NSE - Other Index Options'!$D:$D,$A95,'NSE - Other Index Options'!$B:$B,"Wednesday"))</f>
        <v/>
      </c>
      <c r="C95" s="26">
        <f>IF(SUMIFS('BSE - SENSEX Index Options'!$M:$M,'BSE - SENSEX Index Options'!$D:$D,$A95,'BSE - SENSEX Index Options'!$B:$B,"Wednesday")+SUMIFS('BSE - Other Index Options'!$M:$M,'BSE - Other Index Options'!$D:$D,$A95,'BSE - Other Index Options'!$B:$B,"Wednesday")=0,"",SUMIFS('BSE - SENSEX Index Options'!$M:$M,'BSE - SENSEX Index Options'!$D:$D,$A95,'BSE - SENSEX Index Options'!$B:$B,"Wednesday")+SUMIFS('BSE - Other Index Options'!$M:$M,'BSE - Other Index Options'!$D:$D,$A95,'BSE - Other Index Options'!$B:$B,"Wednesday"))</f>
        <v/>
      </c>
      <c r="D95" s="27">
        <f>IF(SUM(B95:C95)=0,"",SUM(B95)/SUM(B95:C95))</f>
        <v/>
      </c>
      <c r="E95" s="27">
        <f>IF(SUM(B95:C95)=0,"",SUM(C95)/SUM(B95:C95))</f>
        <v/>
      </c>
    </row>
    <row r="96" hidden="1" outlineLevel="1">
      <c r="A96" s="24" t="n">
        <v>46722</v>
      </c>
      <c r="B96" s="26">
        <f>IF(SUMIFS('NSE - NIFTY Index Options'!$M:$M,'NSE - NIFTY Index Options'!$D:$D,$A96,'NSE - NIFTY Index Options'!$B:$B,"Wednesday")+SUMIFS('NSE - Other Index Options'!$M:$M,'NSE - Other Index Options'!$D:$D,$A96,'NSE - Other Index Options'!$B:$B,"Wednesday")=0,"",SUMIFS('NSE - NIFTY Index Options'!$M:$M,'NSE - NIFTY Index Options'!$D:$D,$A96,'NSE - NIFTY Index Options'!$B:$B,"Wednesday")+SUMIFS('NSE - Other Index Options'!$M:$M,'NSE - Other Index Options'!$D:$D,$A96,'NSE - Other Index Options'!$B:$B,"Wednesday"))</f>
        <v/>
      </c>
      <c r="C96" s="26">
        <f>IF(SUMIFS('BSE - SENSEX Index Options'!$M:$M,'BSE - SENSEX Index Options'!$D:$D,$A96,'BSE - SENSEX Index Options'!$B:$B,"Wednesday")+SUMIFS('BSE - Other Index Options'!$M:$M,'BSE - Other Index Options'!$D:$D,$A96,'BSE - Other Index Options'!$B:$B,"Wednesday")=0,"",SUMIFS('BSE - SENSEX Index Options'!$M:$M,'BSE - SENSEX Index Options'!$D:$D,$A96,'BSE - SENSEX Index Options'!$B:$B,"Wednesday")+SUMIFS('BSE - Other Index Options'!$M:$M,'BSE - Other Index Options'!$D:$D,$A96,'BSE - Other Index Options'!$B:$B,"Wednesday"))</f>
        <v/>
      </c>
      <c r="D96" s="27">
        <f>IF(SUM(B96:C96)=0,"",SUM(B96)/SUM(B96:C96))</f>
        <v/>
      </c>
      <c r="E96" s="27">
        <f>IF(SUM(B96:C96)=0,"",SUM(C96)/SUM(B96:C96))</f>
        <v/>
      </c>
    </row>
    <row r="97" collapsed="1">
      <c r="A97" s="28" t="inlineStr">
        <is>
          <t>Total</t>
        </is>
      </c>
      <c r="B97" s="30">
        <f>IF(SUM(B69:B96)=0,"",SUM(B69:B96))</f>
        <v/>
      </c>
      <c r="C97" s="30">
        <f>IF(SUM(C69:C96)=0,"",SUM(C69:C96))</f>
        <v/>
      </c>
      <c r="D97" s="31">
        <f>IF(SUM(B97:C97)=0,"",SUM(B97)/SUM(B97:C97))</f>
        <v/>
      </c>
      <c r="E97" s="31">
        <f>IF(SUM(B97:C97)=0,"",SUM(C97)/SUM(B97:C97))</f>
        <v/>
      </c>
    </row>
    <row r="99">
      <c r="A99" s="28" t="inlineStr">
        <is>
          <t>Thursday Trade Day</t>
        </is>
      </c>
    </row>
    <row r="100">
      <c r="A100" s="28" t="inlineStr">
        <is>
          <t>Month</t>
        </is>
      </c>
      <c r="B100" s="28" t="inlineStr">
        <is>
          <t>NSE Premium Turnover (INR Bn)</t>
        </is>
      </c>
      <c r="C100" s="28" t="inlineStr">
        <is>
          <t>BSE Premium Turnover (INR Bn)</t>
        </is>
      </c>
      <c r="D100" s="28" t="inlineStr">
        <is>
          <t>NSE Market Share</t>
        </is>
      </c>
      <c r="E100" s="28" t="inlineStr">
        <is>
          <t>BSE Market Share</t>
        </is>
      </c>
    </row>
    <row r="101">
      <c r="A101" s="24" t="n">
        <v>45901</v>
      </c>
      <c r="B101" s="26">
        <f>IF(SUMIFS('NSE - NIFTY Index Options'!$M:$M,'NSE - NIFTY Index Options'!$D:$D,$A101,'NSE - NIFTY Index Options'!$B:$B,"Thursday")+SUMIFS('NSE - Other Index Options'!$M:$M,'NSE - Other Index Options'!$D:$D,$A101,'NSE - Other Index Options'!$B:$B,"Thursday")=0,"",SUMIFS('NSE - NIFTY Index Options'!$M:$M,'NSE - NIFTY Index Options'!$D:$D,$A101,'NSE - NIFTY Index Options'!$B:$B,"Thursday")+SUMIFS('NSE - Other Index Options'!$M:$M,'NSE - Other Index Options'!$D:$D,$A101,'NSE - Other Index Options'!$B:$B,"Thursday"))</f>
        <v/>
      </c>
      <c r="C101" s="26">
        <f>IF(SUMIFS('BSE - SENSEX Index Options'!$M:$M,'BSE - SENSEX Index Options'!$D:$D,$A101,'BSE - SENSEX Index Options'!$B:$B,"Thursday")+SUMIFS('BSE - Other Index Options'!$M:$M,'BSE - Other Index Options'!$D:$D,$A101,'BSE - Other Index Options'!$B:$B,"Thursday")=0,"",SUMIFS('BSE - SENSEX Index Options'!$M:$M,'BSE - SENSEX Index Options'!$D:$D,$A101,'BSE - SENSEX Index Options'!$B:$B,"Thursday")+SUMIFS('BSE - Other Index Options'!$M:$M,'BSE - Other Index Options'!$D:$D,$A101,'BSE - Other Index Options'!$B:$B,"Thursday"))</f>
        <v/>
      </c>
      <c r="D101" s="27">
        <f>IF(SUM(B101:C101)=0,"",SUM(B101)/SUM(B101:C101))</f>
        <v/>
      </c>
      <c r="E101" s="27">
        <f>IF(SUM(B101:C101)=0,"",SUM(C101)/SUM(B101:C101))</f>
        <v/>
      </c>
    </row>
    <row r="102">
      <c r="A102" s="24" t="n">
        <v>45931</v>
      </c>
      <c r="B102" s="26">
        <f>IF(SUMIFS('NSE - NIFTY Index Options'!$M:$M,'NSE - NIFTY Index Options'!$D:$D,$A102,'NSE - NIFTY Index Options'!$B:$B,"Thursday")+SUMIFS('NSE - Other Index Options'!$M:$M,'NSE - Other Index Options'!$D:$D,$A102,'NSE - Other Index Options'!$B:$B,"Thursday")=0,"",SUMIFS('NSE - NIFTY Index Options'!$M:$M,'NSE - NIFTY Index Options'!$D:$D,$A102,'NSE - NIFTY Index Options'!$B:$B,"Thursday")+SUMIFS('NSE - Other Index Options'!$M:$M,'NSE - Other Index Options'!$D:$D,$A102,'NSE - Other Index Options'!$B:$B,"Thursday"))</f>
        <v/>
      </c>
      <c r="C102" s="26">
        <f>IF(SUMIFS('BSE - SENSEX Index Options'!$M:$M,'BSE - SENSEX Index Options'!$D:$D,$A102,'BSE - SENSEX Index Options'!$B:$B,"Thursday")+SUMIFS('BSE - Other Index Options'!$M:$M,'BSE - Other Index Options'!$D:$D,$A102,'BSE - Other Index Options'!$B:$B,"Thursday")=0,"",SUMIFS('BSE - SENSEX Index Options'!$M:$M,'BSE - SENSEX Index Options'!$D:$D,$A102,'BSE - SENSEX Index Options'!$B:$B,"Thursday")+SUMIFS('BSE - Other Index Options'!$M:$M,'BSE - Other Index Options'!$D:$D,$A102,'BSE - Other Index Options'!$B:$B,"Thursday"))</f>
        <v/>
      </c>
      <c r="D102" s="27">
        <f>IF(SUM(B102:C102)=0,"",SUM(B102)/SUM(B102:C102))</f>
        <v/>
      </c>
      <c r="E102" s="27">
        <f>IF(SUM(B102:C102)=0,"",SUM(C102)/SUM(B102:C102))</f>
        <v/>
      </c>
    </row>
    <row r="103">
      <c r="A103" s="24" t="n">
        <v>45962</v>
      </c>
      <c r="B103" s="26">
        <f>IF(SUMIFS('NSE - NIFTY Index Options'!$M:$M,'NSE - NIFTY Index Options'!$D:$D,$A103,'NSE - NIFTY Index Options'!$B:$B,"Thursday")+SUMIFS('NSE - Other Index Options'!$M:$M,'NSE - Other Index Options'!$D:$D,$A103,'NSE - Other Index Options'!$B:$B,"Thursday")=0,"",SUMIFS('NSE - NIFTY Index Options'!$M:$M,'NSE - NIFTY Index Options'!$D:$D,$A103,'NSE - NIFTY Index Options'!$B:$B,"Thursday")+SUMIFS('NSE - Other Index Options'!$M:$M,'NSE - Other Index Options'!$D:$D,$A103,'NSE - Other Index Options'!$B:$B,"Thursday"))</f>
        <v/>
      </c>
      <c r="C103" s="26">
        <f>IF(SUMIFS('BSE - SENSEX Index Options'!$M:$M,'BSE - SENSEX Index Options'!$D:$D,$A103,'BSE - SENSEX Index Options'!$B:$B,"Thursday")+SUMIFS('BSE - Other Index Options'!$M:$M,'BSE - Other Index Options'!$D:$D,$A103,'BSE - Other Index Options'!$B:$B,"Thursday")=0,"",SUMIFS('BSE - SENSEX Index Options'!$M:$M,'BSE - SENSEX Index Options'!$D:$D,$A103,'BSE - SENSEX Index Options'!$B:$B,"Thursday")+SUMIFS('BSE - Other Index Options'!$M:$M,'BSE - Other Index Options'!$D:$D,$A103,'BSE - Other Index Options'!$B:$B,"Thursday"))</f>
        <v/>
      </c>
      <c r="D103" s="27">
        <f>IF(SUM(B103:C103)=0,"",SUM(B103)/SUM(B103:C103))</f>
        <v/>
      </c>
      <c r="E103" s="27">
        <f>IF(SUM(B103:C103)=0,"",SUM(C103)/SUM(B103:C103))</f>
        <v/>
      </c>
    </row>
    <row r="104">
      <c r="A104" s="24" t="n">
        <v>45992</v>
      </c>
      <c r="B104" s="26">
        <f>IF(SUMIFS('NSE - NIFTY Index Options'!$M:$M,'NSE - NIFTY Index Options'!$D:$D,$A104,'NSE - NIFTY Index Options'!$B:$B,"Thursday")+SUMIFS('NSE - Other Index Options'!$M:$M,'NSE - Other Index Options'!$D:$D,$A104,'NSE - Other Index Options'!$B:$B,"Thursday")=0,"",SUMIFS('NSE - NIFTY Index Options'!$M:$M,'NSE - NIFTY Index Options'!$D:$D,$A104,'NSE - NIFTY Index Options'!$B:$B,"Thursday")+SUMIFS('NSE - Other Index Options'!$M:$M,'NSE - Other Index Options'!$D:$D,$A104,'NSE - Other Index Options'!$B:$B,"Thursday"))</f>
        <v/>
      </c>
      <c r="C104" s="26">
        <f>IF(SUMIFS('BSE - SENSEX Index Options'!$M:$M,'BSE - SENSEX Index Options'!$D:$D,$A104,'BSE - SENSEX Index Options'!$B:$B,"Thursday")+SUMIFS('BSE - Other Index Options'!$M:$M,'BSE - Other Index Options'!$D:$D,$A104,'BSE - Other Index Options'!$B:$B,"Thursday")=0,"",SUMIFS('BSE - SENSEX Index Options'!$M:$M,'BSE - SENSEX Index Options'!$D:$D,$A104,'BSE - SENSEX Index Options'!$B:$B,"Thursday")+SUMIFS('BSE - Other Index Options'!$M:$M,'BSE - Other Index Options'!$D:$D,$A104,'BSE - Other Index Options'!$B:$B,"Thursday"))</f>
        <v/>
      </c>
      <c r="D104" s="27">
        <f>IF(SUM(B104:C104)=0,"",SUM(B104)/SUM(B104:C104))</f>
        <v/>
      </c>
      <c r="E104" s="27">
        <f>IF(SUM(B104:C104)=0,"",SUM(C104)/SUM(B104:C104))</f>
        <v/>
      </c>
    </row>
    <row r="105">
      <c r="A105" s="24" t="n">
        <v>46023</v>
      </c>
      <c r="B105" s="26">
        <f>IF(SUMIFS('NSE - NIFTY Index Options'!$M:$M,'NSE - NIFTY Index Options'!$D:$D,$A105,'NSE - NIFTY Index Options'!$B:$B,"Thursday")+SUMIFS('NSE - Other Index Options'!$M:$M,'NSE - Other Index Options'!$D:$D,$A105,'NSE - Other Index Options'!$B:$B,"Thursday")=0,"",SUMIFS('NSE - NIFTY Index Options'!$M:$M,'NSE - NIFTY Index Options'!$D:$D,$A105,'NSE - NIFTY Index Options'!$B:$B,"Thursday")+SUMIFS('NSE - Other Index Options'!$M:$M,'NSE - Other Index Options'!$D:$D,$A105,'NSE - Other Index Options'!$B:$B,"Thursday"))</f>
        <v/>
      </c>
      <c r="C105" s="26">
        <f>IF(SUMIFS('BSE - SENSEX Index Options'!$M:$M,'BSE - SENSEX Index Options'!$D:$D,$A105,'BSE - SENSEX Index Options'!$B:$B,"Thursday")+SUMIFS('BSE - Other Index Options'!$M:$M,'BSE - Other Index Options'!$D:$D,$A105,'BSE - Other Index Options'!$B:$B,"Thursday")=0,"",SUMIFS('BSE - SENSEX Index Options'!$M:$M,'BSE - SENSEX Index Options'!$D:$D,$A105,'BSE - SENSEX Index Options'!$B:$B,"Thursday")+SUMIFS('BSE - Other Index Options'!$M:$M,'BSE - Other Index Options'!$D:$D,$A105,'BSE - Other Index Options'!$B:$B,"Thursday"))</f>
        <v/>
      </c>
      <c r="D105" s="27">
        <f>IF(SUM(B105:C105)=0,"",SUM(B105)/SUM(B105:C105))</f>
        <v/>
      </c>
      <c r="E105" s="27">
        <f>IF(SUM(B105:C105)=0,"",SUM(C105)/SUM(B105:C105))</f>
        <v/>
      </c>
    </row>
    <row r="106">
      <c r="A106" s="24" t="n">
        <v>46054</v>
      </c>
      <c r="B106" s="26">
        <f>IF(SUMIFS('NSE - NIFTY Index Options'!$M:$M,'NSE - NIFTY Index Options'!$D:$D,$A106,'NSE - NIFTY Index Options'!$B:$B,"Thursday")+SUMIFS('NSE - Other Index Options'!$M:$M,'NSE - Other Index Options'!$D:$D,$A106,'NSE - Other Index Options'!$B:$B,"Thursday")=0,"",SUMIFS('NSE - NIFTY Index Options'!$M:$M,'NSE - NIFTY Index Options'!$D:$D,$A106,'NSE - NIFTY Index Options'!$B:$B,"Thursday")+SUMIFS('NSE - Other Index Options'!$M:$M,'NSE - Other Index Options'!$D:$D,$A106,'NSE - Other Index Options'!$B:$B,"Thursday"))</f>
        <v/>
      </c>
      <c r="C106" s="26">
        <f>IF(SUMIFS('BSE - SENSEX Index Options'!$M:$M,'BSE - SENSEX Index Options'!$D:$D,$A106,'BSE - SENSEX Index Options'!$B:$B,"Thursday")+SUMIFS('BSE - Other Index Options'!$M:$M,'BSE - Other Index Options'!$D:$D,$A106,'BSE - Other Index Options'!$B:$B,"Thursday")=0,"",SUMIFS('BSE - SENSEX Index Options'!$M:$M,'BSE - SENSEX Index Options'!$D:$D,$A106,'BSE - SENSEX Index Options'!$B:$B,"Thursday")+SUMIFS('BSE - Other Index Options'!$M:$M,'BSE - Other Index Options'!$D:$D,$A106,'BSE - Other Index Options'!$B:$B,"Thursday"))</f>
        <v/>
      </c>
      <c r="D106" s="27">
        <f>IF(SUM(B106:C106)=0,"",SUM(B106)/SUM(B106:C106))</f>
        <v/>
      </c>
      <c r="E106" s="27">
        <f>IF(SUM(B106:C106)=0,"",SUM(C106)/SUM(B106:C106))</f>
        <v/>
      </c>
    </row>
    <row r="107">
      <c r="A107" s="24" t="n">
        <v>46082</v>
      </c>
      <c r="B107" s="26">
        <f>IF(SUMIFS('NSE - NIFTY Index Options'!$M:$M,'NSE - NIFTY Index Options'!$D:$D,$A107,'NSE - NIFTY Index Options'!$B:$B,"Thursday")+SUMIFS('NSE - Other Index Options'!$M:$M,'NSE - Other Index Options'!$D:$D,$A107,'NSE - Other Index Options'!$B:$B,"Thursday")=0,"",SUMIFS('NSE - NIFTY Index Options'!$M:$M,'NSE - NIFTY Index Options'!$D:$D,$A107,'NSE - NIFTY Index Options'!$B:$B,"Thursday")+SUMIFS('NSE - Other Index Options'!$M:$M,'NSE - Other Index Options'!$D:$D,$A107,'NSE - Other Index Options'!$B:$B,"Thursday"))</f>
        <v/>
      </c>
      <c r="C107" s="26">
        <f>IF(SUMIFS('BSE - SENSEX Index Options'!$M:$M,'BSE - SENSEX Index Options'!$D:$D,$A107,'BSE - SENSEX Index Options'!$B:$B,"Thursday")+SUMIFS('BSE - Other Index Options'!$M:$M,'BSE - Other Index Options'!$D:$D,$A107,'BSE - Other Index Options'!$B:$B,"Thursday")=0,"",SUMIFS('BSE - SENSEX Index Options'!$M:$M,'BSE - SENSEX Index Options'!$D:$D,$A107,'BSE - SENSEX Index Options'!$B:$B,"Thursday")+SUMIFS('BSE - Other Index Options'!$M:$M,'BSE - Other Index Options'!$D:$D,$A107,'BSE - Other Index Options'!$B:$B,"Thursday"))</f>
        <v/>
      </c>
      <c r="D107" s="27">
        <f>IF(SUM(B107:C107)=0,"",SUM(B107)/SUM(B107:C107))</f>
        <v/>
      </c>
      <c r="E107" s="27">
        <f>IF(SUM(B107:C107)=0,"",SUM(C107)/SUM(B107:C107))</f>
        <v/>
      </c>
    </row>
    <row r="108">
      <c r="A108" s="24" t="n">
        <v>46113</v>
      </c>
      <c r="B108" s="26">
        <f>IF(SUMIFS('NSE - NIFTY Index Options'!$M:$M,'NSE - NIFTY Index Options'!$D:$D,$A108,'NSE - NIFTY Index Options'!$B:$B,"Thursday")+SUMIFS('NSE - Other Index Options'!$M:$M,'NSE - Other Index Options'!$D:$D,$A108,'NSE - Other Index Options'!$B:$B,"Thursday")=0,"",SUMIFS('NSE - NIFTY Index Options'!$M:$M,'NSE - NIFTY Index Options'!$D:$D,$A108,'NSE - NIFTY Index Options'!$B:$B,"Thursday")+SUMIFS('NSE - Other Index Options'!$M:$M,'NSE - Other Index Options'!$D:$D,$A108,'NSE - Other Index Options'!$B:$B,"Thursday"))</f>
        <v/>
      </c>
      <c r="C108" s="26">
        <f>IF(SUMIFS('BSE - SENSEX Index Options'!$M:$M,'BSE - SENSEX Index Options'!$D:$D,$A108,'BSE - SENSEX Index Options'!$B:$B,"Thursday")+SUMIFS('BSE - Other Index Options'!$M:$M,'BSE - Other Index Options'!$D:$D,$A108,'BSE - Other Index Options'!$B:$B,"Thursday")=0,"",SUMIFS('BSE - SENSEX Index Options'!$M:$M,'BSE - SENSEX Index Options'!$D:$D,$A108,'BSE - SENSEX Index Options'!$B:$B,"Thursday")+SUMIFS('BSE - Other Index Options'!$M:$M,'BSE - Other Index Options'!$D:$D,$A108,'BSE - Other Index Options'!$B:$B,"Thursday"))</f>
        <v/>
      </c>
      <c r="D108" s="27">
        <f>IF(SUM(B108:C108)=0,"",SUM(B108)/SUM(B108:C108))</f>
        <v/>
      </c>
      <c r="E108" s="27">
        <f>IF(SUM(B108:C108)=0,"",SUM(C108)/SUM(B108:C108))</f>
        <v/>
      </c>
    </row>
    <row r="109">
      <c r="A109" s="24" t="n">
        <v>46143</v>
      </c>
      <c r="B109" s="26">
        <f>IF(SUMIFS('NSE - NIFTY Index Options'!$M:$M,'NSE - NIFTY Index Options'!$D:$D,$A109,'NSE - NIFTY Index Options'!$B:$B,"Thursday")+SUMIFS('NSE - Other Index Options'!$M:$M,'NSE - Other Index Options'!$D:$D,$A109,'NSE - Other Index Options'!$B:$B,"Thursday")=0,"",SUMIFS('NSE - NIFTY Index Options'!$M:$M,'NSE - NIFTY Index Options'!$D:$D,$A109,'NSE - NIFTY Index Options'!$B:$B,"Thursday")+SUMIFS('NSE - Other Index Options'!$M:$M,'NSE - Other Index Options'!$D:$D,$A109,'NSE - Other Index Options'!$B:$B,"Thursday"))</f>
        <v/>
      </c>
      <c r="C109" s="26">
        <f>IF(SUMIFS('BSE - SENSEX Index Options'!$M:$M,'BSE - SENSEX Index Options'!$D:$D,$A109,'BSE - SENSEX Index Options'!$B:$B,"Thursday")+SUMIFS('BSE - Other Index Options'!$M:$M,'BSE - Other Index Options'!$D:$D,$A109,'BSE - Other Index Options'!$B:$B,"Thursday")=0,"",SUMIFS('BSE - SENSEX Index Options'!$M:$M,'BSE - SENSEX Index Options'!$D:$D,$A109,'BSE - SENSEX Index Options'!$B:$B,"Thursday")+SUMIFS('BSE - Other Index Options'!$M:$M,'BSE - Other Index Options'!$D:$D,$A109,'BSE - Other Index Options'!$B:$B,"Thursday"))</f>
        <v/>
      </c>
      <c r="D109" s="27">
        <f>IF(SUM(B109:C109)=0,"",SUM(B109)/SUM(B109:C109))</f>
        <v/>
      </c>
      <c r="E109" s="27">
        <f>IF(SUM(B109:C109)=0,"",SUM(C109)/SUM(B109:C109))</f>
        <v/>
      </c>
    </row>
    <row r="110">
      <c r="A110" s="24" t="n">
        <v>46174</v>
      </c>
      <c r="B110" s="26">
        <f>IF(SUMIFS('NSE - NIFTY Index Options'!$M:$M,'NSE - NIFTY Index Options'!$D:$D,$A110,'NSE - NIFTY Index Options'!$B:$B,"Thursday")+SUMIFS('NSE - Other Index Options'!$M:$M,'NSE - Other Index Options'!$D:$D,$A110,'NSE - Other Index Options'!$B:$B,"Thursday")=0,"",SUMIFS('NSE - NIFTY Index Options'!$M:$M,'NSE - NIFTY Index Options'!$D:$D,$A110,'NSE - NIFTY Index Options'!$B:$B,"Thursday")+SUMIFS('NSE - Other Index Options'!$M:$M,'NSE - Other Index Options'!$D:$D,$A110,'NSE - Other Index Options'!$B:$B,"Thursday"))</f>
        <v/>
      </c>
      <c r="C110" s="26">
        <f>IF(SUMIFS('BSE - SENSEX Index Options'!$M:$M,'BSE - SENSEX Index Options'!$D:$D,$A110,'BSE - SENSEX Index Options'!$B:$B,"Thursday")+SUMIFS('BSE - Other Index Options'!$M:$M,'BSE - Other Index Options'!$D:$D,$A110,'BSE - Other Index Options'!$B:$B,"Thursday")=0,"",SUMIFS('BSE - SENSEX Index Options'!$M:$M,'BSE - SENSEX Index Options'!$D:$D,$A110,'BSE - SENSEX Index Options'!$B:$B,"Thursday")+SUMIFS('BSE - Other Index Options'!$M:$M,'BSE - Other Index Options'!$D:$D,$A110,'BSE - Other Index Options'!$B:$B,"Thursday"))</f>
        <v/>
      </c>
      <c r="D110" s="27">
        <f>IF(SUM(B110:C110)=0,"",SUM(B110)/SUM(B110:C110))</f>
        <v/>
      </c>
      <c r="E110" s="27">
        <f>IF(SUM(B110:C110)=0,"",SUM(C110)/SUM(B110:C110))</f>
        <v/>
      </c>
    </row>
    <row r="111">
      <c r="A111" s="24" t="n">
        <v>46204</v>
      </c>
      <c r="B111" s="26">
        <f>IF(SUMIFS('NSE - NIFTY Index Options'!$M:$M,'NSE - NIFTY Index Options'!$D:$D,$A111,'NSE - NIFTY Index Options'!$B:$B,"Thursday")+SUMIFS('NSE - Other Index Options'!$M:$M,'NSE - Other Index Options'!$D:$D,$A111,'NSE - Other Index Options'!$B:$B,"Thursday")=0,"",SUMIFS('NSE - NIFTY Index Options'!$M:$M,'NSE - NIFTY Index Options'!$D:$D,$A111,'NSE - NIFTY Index Options'!$B:$B,"Thursday")+SUMIFS('NSE - Other Index Options'!$M:$M,'NSE - Other Index Options'!$D:$D,$A111,'NSE - Other Index Options'!$B:$B,"Thursday"))</f>
        <v/>
      </c>
      <c r="C111" s="26">
        <f>IF(SUMIFS('BSE - SENSEX Index Options'!$M:$M,'BSE - SENSEX Index Options'!$D:$D,$A111,'BSE - SENSEX Index Options'!$B:$B,"Thursday")+SUMIFS('BSE - Other Index Options'!$M:$M,'BSE - Other Index Options'!$D:$D,$A111,'BSE - Other Index Options'!$B:$B,"Thursday")=0,"",SUMIFS('BSE - SENSEX Index Options'!$M:$M,'BSE - SENSEX Index Options'!$D:$D,$A111,'BSE - SENSEX Index Options'!$B:$B,"Thursday")+SUMIFS('BSE - Other Index Options'!$M:$M,'BSE - Other Index Options'!$D:$D,$A111,'BSE - Other Index Options'!$B:$B,"Thursday"))</f>
        <v/>
      </c>
      <c r="D111" s="27">
        <f>IF(SUM(B111:C111)=0,"",SUM(B111)/SUM(B111:C111))</f>
        <v/>
      </c>
      <c r="E111" s="27">
        <f>IF(SUM(B111:C111)=0,"",SUM(C111)/SUM(B111:C111))</f>
        <v/>
      </c>
    </row>
    <row r="112">
      <c r="A112" s="24" t="n">
        <v>46235</v>
      </c>
      <c r="B112" s="26">
        <f>IF(SUMIFS('NSE - NIFTY Index Options'!$M:$M,'NSE - NIFTY Index Options'!$D:$D,$A112,'NSE - NIFTY Index Options'!$B:$B,"Thursday")+SUMIFS('NSE - Other Index Options'!$M:$M,'NSE - Other Index Options'!$D:$D,$A112,'NSE - Other Index Options'!$B:$B,"Thursday")=0,"",SUMIFS('NSE - NIFTY Index Options'!$M:$M,'NSE - NIFTY Index Options'!$D:$D,$A112,'NSE - NIFTY Index Options'!$B:$B,"Thursday")+SUMIFS('NSE - Other Index Options'!$M:$M,'NSE - Other Index Options'!$D:$D,$A112,'NSE - Other Index Options'!$B:$B,"Thursday"))</f>
        <v/>
      </c>
      <c r="C112" s="26">
        <f>IF(SUMIFS('BSE - SENSEX Index Options'!$M:$M,'BSE - SENSEX Index Options'!$D:$D,$A112,'BSE - SENSEX Index Options'!$B:$B,"Thursday")+SUMIFS('BSE - Other Index Options'!$M:$M,'BSE - Other Index Options'!$D:$D,$A112,'BSE - Other Index Options'!$B:$B,"Thursday")=0,"",SUMIFS('BSE - SENSEX Index Options'!$M:$M,'BSE - SENSEX Index Options'!$D:$D,$A112,'BSE - SENSEX Index Options'!$B:$B,"Thursday")+SUMIFS('BSE - Other Index Options'!$M:$M,'BSE - Other Index Options'!$D:$D,$A112,'BSE - Other Index Options'!$B:$B,"Thursday"))</f>
        <v/>
      </c>
      <c r="D112" s="27">
        <f>IF(SUM(B112:C112)=0,"",SUM(B112)/SUM(B112:C112))</f>
        <v/>
      </c>
      <c r="E112" s="27">
        <f>IF(SUM(B112:C112)=0,"",SUM(C112)/SUM(B112:C112))</f>
        <v/>
      </c>
    </row>
    <row r="113" hidden="1" outlineLevel="1">
      <c r="A113" s="24" t="n">
        <v>46266</v>
      </c>
      <c r="B113" s="26">
        <f>IF(SUMIFS('NSE - NIFTY Index Options'!$M:$M,'NSE - NIFTY Index Options'!$D:$D,$A113,'NSE - NIFTY Index Options'!$B:$B,"Thursday")+SUMIFS('NSE - Other Index Options'!$M:$M,'NSE - Other Index Options'!$D:$D,$A113,'NSE - Other Index Options'!$B:$B,"Thursday")=0,"",SUMIFS('NSE - NIFTY Index Options'!$M:$M,'NSE - NIFTY Index Options'!$D:$D,$A113,'NSE - NIFTY Index Options'!$B:$B,"Thursday")+SUMIFS('NSE - Other Index Options'!$M:$M,'NSE - Other Index Options'!$D:$D,$A113,'NSE - Other Index Options'!$B:$B,"Thursday"))</f>
        <v/>
      </c>
      <c r="C113" s="26">
        <f>IF(SUMIFS('BSE - SENSEX Index Options'!$M:$M,'BSE - SENSEX Index Options'!$D:$D,$A113,'BSE - SENSEX Index Options'!$B:$B,"Thursday")+SUMIFS('BSE - Other Index Options'!$M:$M,'BSE - Other Index Options'!$D:$D,$A113,'BSE - Other Index Options'!$B:$B,"Thursday")=0,"",SUMIFS('BSE - SENSEX Index Options'!$M:$M,'BSE - SENSEX Index Options'!$D:$D,$A113,'BSE - SENSEX Index Options'!$B:$B,"Thursday")+SUMIFS('BSE - Other Index Options'!$M:$M,'BSE - Other Index Options'!$D:$D,$A113,'BSE - Other Index Options'!$B:$B,"Thursday"))</f>
        <v/>
      </c>
      <c r="D113" s="27">
        <f>IF(SUM(B113:C113)=0,"",SUM(B113)/SUM(B113:C113))</f>
        <v/>
      </c>
      <c r="E113" s="27">
        <f>IF(SUM(B113:C113)=0,"",SUM(C113)/SUM(B113:C113))</f>
        <v/>
      </c>
    </row>
    <row r="114" hidden="1" outlineLevel="1">
      <c r="A114" s="24" t="n">
        <v>46296</v>
      </c>
      <c r="B114" s="26">
        <f>IF(SUMIFS('NSE - NIFTY Index Options'!$M:$M,'NSE - NIFTY Index Options'!$D:$D,$A114,'NSE - NIFTY Index Options'!$B:$B,"Thursday")+SUMIFS('NSE - Other Index Options'!$M:$M,'NSE - Other Index Options'!$D:$D,$A114,'NSE - Other Index Options'!$B:$B,"Thursday")=0,"",SUMIFS('NSE - NIFTY Index Options'!$M:$M,'NSE - NIFTY Index Options'!$D:$D,$A114,'NSE - NIFTY Index Options'!$B:$B,"Thursday")+SUMIFS('NSE - Other Index Options'!$M:$M,'NSE - Other Index Options'!$D:$D,$A114,'NSE - Other Index Options'!$B:$B,"Thursday"))</f>
        <v/>
      </c>
      <c r="C114" s="26">
        <f>IF(SUMIFS('BSE - SENSEX Index Options'!$M:$M,'BSE - SENSEX Index Options'!$D:$D,$A114,'BSE - SENSEX Index Options'!$B:$B,"Thursday")+SUMIFS('BSE - Other Index Options'!$M:$M,'BSE - Other Index Options'!$D:$D,$A114,'BSE - Other Index Options'!$B:$B,"Thursday")=0,"",SUMIFS('BSE - SENSEX Index Options'!$M:$M,'BSE - SENSEX Index Options'!$D:$D,$A114,'BSE - SENSEX Index Options'!$B:$B,"Thursday")+SUMIFS('BSE - Other Index Options'!$M:$M,'BSE - Other Index Options'!$D:$D,$A114,'BSE - Other Index Options'!$B:$B,"Thursday"))</f>
        <v/>
      </c>
      <c r="D114" s="27">
        <f>IF(SUM(B114:C114)=0,"",SUM(B114)/SUM(B114:C114))</f>
        <v/>
      </c>
      <c r="E114" s="27">
        <f>IF(SUM(B114:C114)=0,"",SUM(C114)/SUM(B114:C114))</f>
        <v/>
      </c>
    </row>
    <row r="115" hidden="1" outlineLevel="1">
      <c r="A115" s="24" t="n">
        <v>46327</v>
      </c>
      <c r="B115" s="26">
        <f>IF(SUMIFS('NSE - NIFTY Index Options'!$M:$M,'NSE - NIFTY Index Options'!$D:$D,$A115,'NSE - NIFTY Index Options'!$B:$B,"Thursday")+SUMIFS('NSE - Other Index Options'!$M:$M,'NSE - Other Index Options'!$D:$D,$A115,'NSE - Other Index Options'!$B:$B,"Thursday")=0,"",SUMIFS('NSE - NIFTY Index Options'!$M:$M,'NSE - NIFTY Index Options'!$D:$D,$A115,'NSE - NIFTY Index Options'!$B:$B,"Thursday")+SUMIFS('NSE - Other Index Options'!$M:$M,'NSE - Other Index Options'!$D:$D,$A115,'NSE - Other Index Options'!$B:$B,"Thursday"))</f>
        <v/>
      </c>
      <c r="C115" s="26">
        <f>IF(SUMIFS('BSE - SENSEX Index Options'!$M:$M,'BSE - SENSEX Index Options'!$D:$D,$A115,'BSE - SENSEX Index Options'!$B:$B,"Thursday")+SUMIFS('BSE - Other Index Options'!$M:$M,'BSE - Other Index Options'!$D:$D,$A115,'BSE - Other Index Options'!$B:$B,"Thursday")=0,"",SUMIFS('BSE - SENSEX Index Options'!$M:$M,'BSE - SENSEX Index Options'!$D:$D,$A115,'BSE - SENSEX Index Options'!$B:$B,"Thursday")+SUMIFS('BSE - Other Index Options'!$M:$M,'BSE - Other Index Options'!$D:$D,$A115,'BSE - Other Index Options'!$B:$B,"Thursday"))</f>
        <v/>
      </c>
      <c r="D115" s="27">
        <f>IF(SUM(B115:C115)=0,"",SUM(B115)/SUM(B115:C115))</f>
        <v/>
      </c>
      <c r="E115" s="27">
        <f>IF(SUM(B115:C115)=0,"",SUM(C115)/SUM(B115:C115))</f>
        <v/>
      </c>
    </row>
    <row r="116" hidden="1" outlineLevel="1">
      <c r="A116" s="24" t="n">
        <v>46357</v>
      </c>
      <c r="B116" s="26">
        <f>IF(SUMIFS('NSE - NIFTY Index Options'!$M:$M,'NSE - NIFTY Index Options'!$D:$D,$A116,'NSE - NIFTY Index Options'!$B:$B,"Thursday")+SUMIFS('NSE - Other Index Options'!$M:$M,'NSE - Other Index Options'!$D:$D,$A116,'NSE - Other Index Options'!$B:$B,"Thursday")=0,"",SUMIFS('NSE - NIFTY Index Options'!$M:$M,'NSE - NIFTY Index Options'!$D:$D,$A116,'NSE - NIFTY Index Options'!$B:$B,"Thursday")+SUMIFS('NSE - Other Index Options'!$M:$M,'NSE - Other Index Options'!$D:$D,$A116,'NSE - Other Index Options'!$B:$B,"Thursday"))</f>
        <v/>
      </c>
      <c r="C116" s="26">
        <f>IF(SUMIFS('BSE - SENSEX Index Options'!$M:$M,'BSE - SENSEX Index Options'!$D:$D,$A116,'BSE - SENSEX Index Options'!$B:$B,"Thursday")+SUMIFS('BSE - Other Index Options'!$M:$M,'BSE - Other Index Options'!$D:$D,$A116,'BSE - Other Index Options'!$B:$B,"Thursday")=0,"",SUMIFS('BSE - SENSEX Index Options'!$M:$M,'BSE - SENSEX Index Options'!$D:$D,$A116,'BSE - SENSEX Index Options'!$B:$B,"Thursday")+SUMIFS('BSE - Other Index Options'!$M:$M,'BSE - Other Index Options'!$D:$D,$A116,'BSE - Other Index Options'!$B:$B,"Thursday"))</f>
        <v/>
      </c>
      <c r="D116" s="27">
        <f>IF(SUM(B116:C116)=0,"",SUM(B116)/SUM(B116:C116))</f>
        <v/>
      </c>
      <c r="E116" s="27">
        <f>IF(SUM(B116:C116)=0,"",SUM(C116)/SUM(B116:C116))</f>
        <v/>
      </c>
    </row>
    <row r="117" hidden="1" outlineLevel="1">
      <c r="A117" s="24" t="n">
        <v>46388</v>
      </c>
      <c r="B117" s="26">
        <f>IF(SUMIFS('NSE - NIFTY Index Options'!$M:$M,'NSE - NIFTY Index Options'!$D:$D,$A117,'NSE - NIFTY Index Options'!$B:$B,"Thursday")+SUMIFS('NSE - Other Index Options'!$M:$M,'NSE - Other Index Options'!$D:$D,$A117,'NSE - Other Index Options'!$B:$B,"Thursday")=0,"",SUMIFS('NSE - NIFTY Index Options'!$M:$M,'NSE - NIFTY Index Options'!$D:$D,$A117,'NSE - NIFTY Index Options'!$B:$B,"Thursday")+SUMIFS('NSE - Other Index Options'!$M:$M,'NSE - Other Index Options'!$D:$D,$A117,'NSE - Other Index Options'!$B:$B,"Thursday"))</f>
        <v/>
      </c>
      <c r="C117" s="26">
        <f>IF(SUMIFS('BSE - SENSEX Index Options'!$M:$M,'BSE - SENSEX Index Options'!$D:$D,$A117,'BSE - SENSEX Index Options'!$B:$B,"Thursday")+SUMIFS('BSE - Other Index Options'!$M:$M,'BSE - Other Index Options'!$D:$D,$A117,'BSE - Other Index Options'!$B:$B,"Thursday")=0,"",SUMIFS('BSE - SENSEX Index Options'!$M:$M,'BSE - SENSEX Index Options'!$D:$D,$A117,'BSE - SENSEX Index Options'!$B:$B,"Thursday")+SUMIFS('BSE - Other Index Options'!$M:$M,'BSE - Other Index Options'!$D:$D,$A117,'BSE - Other Index Options'!$B:$B,"Thursday"))</f>
        <v/>
      </c>
      <c r="D117" s="27">
        <f>IF(SUM(B117:C117)=0,"",SUM(B117)/SUM(B117:C117))</f>
        <v/>
      </c>
      <c r="E117" s="27">
        <f>IF(SUM(B117:C117)=0,"",SUM(C117)/SUM(B117:C117))</f>
        <v/>
      </c>
    </row>
    <row r="118" hidden="1" outlineLevel="1">
      <c r="A118" s="24" t="n">
        <v>46419</v>
      </c>
      <c r="B118" s="26">
        <f>IF(SUMIFS('NSE - NIFTY Index Options'!$M:$M,'NSE - NIFTY Index Options'!$D:$D,$A118,'NSE - NIFTY Index Options'!$B:$B,"Thursday")+SUMIFS('NSE - Other Index Options'!$M:$M,'NSE - Other Index Options'!$D:$D,$A118,'NSE - Other Index Options'!$B:$B,"Thursday")=0,"",SUMIFS('NSE - NIFTY Index Options'!$M:$M,'NSE - NIFTY Index Options'!$D:$D,$A118,'NSE - NIFTY Index Options'!$B:$B,"Thursday")+SUMIFS('NSE - Other Index Options'!$M:$M,'NSE - Other Index Options'!$D:$D,$A118,'NSE - Other Index Options'!$B:$B,"Thursday"))</f>
        <v/>
      </c>
      <c r="C118" s="26">
        <f>IF(SUMIFS('BSE - SENSEX Index Options'!$M:$M,'BSE - SENSEX Index Options'!$D:$D,$A118,'BSE - SENSEX Index Options'!$B:$B,"Thursday")+SUMIFS('BSE - Other Index Options'!$M:$M,'BSE - Other Index Options'!$D:$D,$A118,'BSE - Other Index Options'!$B:$B,"Thursday")=0,"",SUMIFS('BSE - SENSEX Index Options'!$M:$M,'BSE - SENSEX Index Options'!$D:$D,$A118,'BSE - SENSEX Index Options'!$B:$B,"Thursday")+SUMIFS('BSE - Other Index Options'!$M:$M,'BSE - Other Index Options'!$D:$D,$A118,'BSE - Other Index Options'!$B:$B,"Thursday"))</f>
        <v/>
      </c>
      <c r="D118" s="27">
        <f>IF(SUM(B118:C118)=0,"",SUM(B118)/SUM(B118:C118))</f>
        <v/>
      </c>
      <c r="E118" s="27">
        <f>IF(SUM(B118:C118)=0,"",SUM(C118)/SUM(B118:C118))</f>
        <v/>
      </c>
    </row>
    <row r="119" hidden="1" outlineLevel="1">
      <c r="A119" s="24" t="n">
        <v>46447</v>
      </c>
      <c r="B119" s="26">
        <f>IF(SUMIFS('NSE - NIFTY Index Options'!$M:$M,'NSE - NIFTY Index Options'!$D:$D,$A119,'NSE - NIFTY Index Options'!$B:$B,"Thursday")+SUMIFS('NSE - Other Index Options'!$M:$M,'NSE - Other Index Options'!$D:$D,$A119,'NSE - Other Index Options'!$B:$B,"Thursday")=0,"",SUMIFS('NSE - NIFTY Index Options'!$M:$M,'NSE - NIFTY Index Options'!$D:$D,$A119,'NSE - NIFTY Index Options'!$B:$B,"Thursday")+SUMIFS('NSE - Other Index Options'!$M:$M,'NSE - Other Index Options'!$D:$D,$A119,'NSE - Other Index Options'!$B:$B,"Thursday"))</f>
        <v/>
      </c>
      <c r="C119" s="26">
        <f>IF(SUMIFS('BSE - SENSEX Index Options'!$M:$M,'BSE - SENSEX Index Options'!$D:$D,$A119,'BSE - SENSEX Index Options'!$B:$B,"Thursday")+SUMIFS('BSE - Other Index Options'!$M:$M,'BSE - Other Index Options'!$D:$D,$A119,'BSE - Other Index Options'!$B:$B,"Thursday")=0,"",SUMIFS('BSE - SENSEX Index Options'!$M:$M,'BSE - SENSEX Index Options'!$D:$D,$A119,'BSE - SENSEX Index Options'!$B:$B,"Thursday")+SUMIFS('BSE - Other Index Options'!$M:$M,'BSE - Other Index Options'!$D:$D,$A119,'BSE - Other Index Options'!$B:$B,"Thursday"))</f>
        <v/>
      </c>
      <c r="D119" s="27">
        <f>IF(SUM(B119:C119)=0,"",SUM(B119)/SUM(B119:C119))</f>
        <v/>
      </c>
      <c r="E119" s="27">
        <f>IF(SUM(B119:C119)=0,"",SUM(C119)/SUM(B119:C119))</f>
        <v/>
      </c>
    </row>
    <row r="120" hidden="1" outlineLevel="1">
      <c r="A120" s="24" t="n">
        <v>46478</v>
      </c>
      <c r="B120" s="26">
        <f>IF(SUMIFS('NSE - NIFTY Index Options'!$M:$M,'NSE - NIFTY Index Options'!$D:$D,$A120,'NSE - NIFTY Index Options'!$B:$B,"Thursday")+SUMIFS('NSE - Other Index Options'!$M:$M,'NSE - Other Index Options'!$D:$D,$A120,'NSE - Other Index Options'!$B:$B,"Thursday")=0,"",SUMIFS('NSE - NIFTY Index Options'!$M:$M,'NSE - NIFTY Index Options'!$D:$D,$A120,'NSE - NIFTY Index Options'!$B:$B,"Thursday")+SUMIFS('NSE - Other Index Options'!$M:$M,'NSE - Other Index Options'!$D:$D,$A120,'NSE - Other Index Options'!$B:$B,"Thursday"))</f>
        <v/>
      </c>
      <c r="C120" s="26">
        <f>IF(SUMIFS('BSE - SENSEX Index Options'!$M:$M,'BSE - SENSEX Index Options'!$D:$D,$A120,'BSE - SENSEX Index Options'!$B:$B,"Thursday")+SUMIFS('BSE - Other Index Options'!$M:$M,'BSE - Other Index Options'!$D:$D,$A120,'BSE - Other Index Options'!$B:$B,"Thursday")=0,"",SUMIFS('BSE - SENSEX Index Options'!$M:$M,'BSE - SENSEX Index Options'!$D:$D,$A120,'BSE - SENSEX Index Options'!$B:$B,"Thursday")+SUMIFS('BSE - Other Index Options'!$M:$M,'BSE - Other Index Options'!$D:$D,$A120,'BSE - Other Index Options'!$B:$B,"Thursday"))</f>
        <v/>
      </c>
      <c r="D120" s="27">
        <f>IF(SUM(B120:C120)=0,"",SUM(B120)/SUM(B120:C120))</f>
        <v/>
      </c>
      <c r="E120" s="27">
        <f>IF(SUM(B120:C120)=0,"",SUM(C120)/SUM(B120:C120))</f>
        <v/>
      </c>
    </row>
    <row r="121" hidden="1" outlineLevel="1">
      <c r="A121" s="24" t="n">
        <v>46508</v>
      </c>
      <c r="B121" s="26">
        <f>IF(SUMIFS('NSE - NIFTY Index Options'!$M:$M,'NSE - NIFTY Index Options'!$D:$D,$A121,'NSE - NIFTY Index Options'!$B:$B,"Thursday")+SUMIFS('NSE - Other Index Options'!$M:$M,'NSE - Other Index Options'!$D:$D,$A121,'NSE - Other Index Options'!$B:$B,"Thursday")=0,"",SUMIFS('NSE - NIFTY Index Options'!$M:$M,'NSE - NIFTY Index Options'!$D:$D,$A121,'NSE - NIFTY Index Options'!$B:$B,"Thursday")+SUMIFS('NSE - Other Index Options'!$M:$M,'NSE - Other Index Options'!$D:$D,$A121,'NSE - Other Index Options'!$B:$B,"Thursday"))</f>
        <v/>
      </c>
      <c r="C121" s="26">
        <f>IF(SUMIFS('BSE - SENSEX Index Options'!$M:$M,'BSE - SENSEX Index Options'!$D:$D,$A121,'BSE - SENSEX Index Options'!$B:$B,"Thursday")+SUMIFS('BSE - Other Index Options'!$M:$M,'BSE - Other Index Options'!$D:$D,$A121,'BSE - Other Index Options'!$B:$B,"Thursday")=0,"",SUMIFS('BSE - SENSEX Index Options'!$M:$M,'BSE - SENSEX Index Options'!$D:$D,$A121,'BSE - SENSEX Index Options'!$B:$B,"Thursday")+SUMIFS('BSE - Other Index Options'!$M:$M,'BSE - Other Index Options'!$D:$D,$A121,'BSE - Other Index Options'!$B:$B,"Thursday"))</f>
        <v/>
      </c>
      <c r="D121" s="27">
        <f>IF(SUM(B121:C121)=0,"",SUM(B121)/SUM(B121:C121))</f>
        <v/>
      </c>
      <c r="E121" s="27">
        <f>IF(SUM(B121:C121)=0,"",SUM(C121)/SUM(B121:C121))</f>
        <v/>
      </c>
    </row>
    <row r="122" hidden="1" outlineLevel="1">
      <c r="A122" s="24" t="n">
        <v>46539</v>
      </c>
      <c r="B122" s="26">
        <f>IF(SUMIFS('NSE - NIFTY Index Options'!$M:$M,'NSE - NIFTY Index Options'!$D:$D,$A122,'NSE - NIFTY Index Options'!$B:$B,"Thursday")+SUMIFS('NSE - Other Index Options'!$M:$M,'NSE - Other Index Options'!$D:$D,$A122,'NSE - Other Index Options'!$B:$B,"Thursday")=0,"",SUMIFS('NSE - NIFTY Index Options'!$M:$M,'NSE - NIFTY Index Options'!$D:$D,$A122,'NSE - NIFTY Index Options'!$B:$B,"Thursday")+SUMIFS('NSE - Other Index Options'!$M:$M,'NSE - Other Index Options'!$D:$D,$A122,'NSE - Other Index Options'!$B:$B,"Thursday"))</f>
        <v/>
      </c>
      <c r="C122" s="26">
        <f>IF(SUMIFS('BSE - SENSEX Index Options'!$M:$M,'BSE - SENSEX Index Options'!$D:$D,$A122,'BSE - SENSEX Index Options'!$B:$B,"Thursday")+SUMIFS('BSE - Other Index Options'!$M:$M,'BSE - Other Index Options'!$D:$D,$A122,'BSE - Other Index Options'!$B:$B,"Thursday")=0,"",SUMIFS('BSE - SENSEX Index Options'!$M:$M,'BSE - SENSEX Index Options'!$D:$D,$A122,'BSE - SENSEX Index Options'!$B:$B,"Thursday")+SUMIFS('BSE - Other Index Options'!$M:$M,'BSE - Other Index Options'!$D:$D,$A122,'BSE - Other Index Options'!$B:$B,"Thursday"))</f>
        <v/>
      </c>
      <c r="D122" s="27">
        <f>IF(SUM(B122:C122)=0,"",SUM(B122)/SUM(B122:C122))</f>
        <v/>
      </c>
      <c r="E122" s="27">
        <f>IF(SUM(B122:C122)=0,"",SUM(C122)/SUM(B122:C122))</f>
        <v/>
      </c>
    </row>
    <row r="123" hidden="1" outlineLevel="1">
      <c r="A123" s="24" t="n">
        <v>46569</v>
      </c>
      <c r="B123" s="26">
        <f>IF(SUMIFS('NSE - NIFTY Index Options'!$M:$M,'NSE - NIFTY Index Options'!$D:$D,$A123,'NSE - NIFTY Index Options'!$B:$B,"Thursday")+SUMIFS('NSE - Other Index Options'!$M:$M,'NSE - Other Index Options'!$D:$D,$A123,'NSE - Other Index Options'!$B:$B,"Thursday")=0,"",SUMIFS('NSE - NIFTY Index Options'!$M:$M,'NSE - NIFTY Index Options'!$D:$D,$A123,'NSE - NIFTY Index Options'!$B:$B,"Thursday")+SUMIFS('NSE - Other Index Options'!$M:$M,'NSE - Other Index Options'!$D:$D,$A123,'NSE - Other Index Options'!$B:$B,"Thursday"))</f>
        <v/>
      </c>
      <c r="C123" s="26">
        <f>IF(SUMIFS('BSE - SENSEX Index Options'!$M:$M,'BSE - SENSEX Index Options'!$D:$D,$A123,'BSE - SENSEX Index Options'!$B:$B,"Thursday")+SUMIFS('BSE - Other Index Options'!$M:$M,'BSE - Other Index Options'!$D:$D,$A123,'BSE - Other Index Options'!$B:$B,"Thursday")=0,"",SUMIFS('BSE - SENSEX Index Options'!$M:$M,'BSE - SENSEX Index Options'!$D:$D,$A123,'BSE - SENSEX Index Options'!$B:$B,"Thursday")+SUMIFS('BSE - Other Index Options'!$M:$M,'BSE - Other Index Options'!$D:$D,$A123,'BSE - Other Index Options'!$B:$B,"Thursday"))</f>
        <v/>
      </c>
      <c r="D123" s="27">
        <f>IF(SUM(B123:C123)=0,"",SUM(B123)/SUM(B123:C123))</f>
        <v/>
      </c>
      <c r="E123" s="27">
        <f>IF(SUM(B123:C123)=0,"",SUM(C123)/SUM(B123:C123))</f>
        <v/>
      </c>
    </row>
    <row r="124" hidden="1" outlineLevel="1">
      <c r="A124" s="24" t="n">
        <v>46600</v>
      </c>
      <c r="B124" s="26">
        <f>IF(SUMIFS('NSE - NIFTY Index Options'!$M:$M,'NSE - NIFTY Index Options'!$D:$D,$A124,'NSE - NIFTY Index Options'!$B:$B,"Thursday")+SUMIFS('NSE - Other Index Options'!$M:$M,'NSE - Other Index Options'!$D:$D,$A124,'NSE - Other Index Options'!$B:$B,"Thursday")=0,"",SUMIFS('NSE - NIFTY Index Options'!$M:$M,'NSE - NIFTY Index Options'!$D:$D,$A124,'NSE - NIFTY Index Options'!$B:$B,"Thursday")+SUMIFS('NSE - Other Index Options'!$M:$M,'NSE - Other Index Options'!$D:$D,$A124,'NSE - Other Index Options'!$B:$B,"Thursday"))</f>
        <v/>
      </c>
      <c r="C124" s="26">
        <f>IF(SUMIFS('BSE - SENSEX Index Options'!$M:$M,'BSE - SENSEX Index Options'!$D:$D,$A124,'BSE - SENSEX Index Options'!$B:$B,"Thursday")+SUMIFS('BSE - Other Index Options'!$M:$M,'BSE - Other Index Options'!$D:$D,$A124,'BSE - Other Index Options'!$B:$B,"Thursday")=0,"",SUMIFS('BSE - SENSEX Index Options'!$M:$M,'BSE - SENSEX Index Options'!$D:$D,$A124,'BSE - SENSEX Index Options'!$B:$B,"Thursday")+SUMIFS('BSE - Other Index Options'!$M:$M,'BSE - Other Index Options'!$D:$D,$A124,'BSE - Other Index Options'!$B:$B,"Thursday"))</f>
        <v/>
      </c>
      <c r="D124" s="27">
        <f>IF(SUM(B124:C124)=0,"",SUM(B124)/SUM(B124:C124))</f>
        <v/>
      </c>
      <c r="E124" s="27">
        <f>IF(SUM(B124:C124)=0,"",SUM(C124)/SUM(B124:C124))</f>
        <v/>
      </c>
    </row>
    <row r="125" hidden="1" outlineLevel="1">
      <c r="A125" s="24" t="n">
        <v>46631</v>
      </c>
      <c r="B125" s="26">
        <f>IF(SUMIFS('NSE - NIFTY Index Options'!$M:$M,'NSE - NIFTY Index Options'!$D:$D,$A125,'NSE - NIFTY Index Options'!$B:$B,"Thursday")+SUMIFS('NSE - Other Index Options'!$M:$M,'NSE - Other Index Options'!$D:$D,$A125,'NSE - Other Index Options'!$B:$B,"Thursday")=0,"",SUMIFS('NSE - NIFTY Index Options'!$M:$M,'NSE - NIFTY Index Options'!$D:$D,$A125,'NSE - NIFTY Index Options'!$B:$B,"Thursday")+SUMIFS('NSE - Other Index Options'!$M:$M,'NSE - Other Index Options'!$D:$D,$A125,'NSE - Other Index Options'!$B:$B,"Thursday"))</f>
        <v/>
      </c>
      <c r="C125" s="26">
        <f>IF(SUMIFS('BSE - SENSEX Index Options'!$M:$M,'BSE - SENSEX Index Options'!$D:$D,$A125,'BSE - SENSEX Index Options'!$B:$B,"Thursday")+SUMIFS('BSE - Other Index Options'!$M:$M,'BSE - Other Index Options'!$D:$D,$A125,'BSE - Other Index Options'!$B:$B,"Thursday")=0,"",SUMIFS('BSE - SENSEX Index Options'!$M:$M,'BSE - SENSEX Index Options'!$D:$D,$A125,'BSE - SENSEX Index Options'!$B:$B,"Thursday")+SUMIFS('BSE - Other Index Options'!$M:$M,'BSE - Other Index Options'!$D:$D,$A125,'BSE - Other Index Options'!$B:$B,"Thursday"))</f>
        <v/>
      </c>
      <c r="D125" s="27">
        <f>IF(SUM(B125:C125)=0,"",SUM(B125)/SUM(B125:C125))</f>
        <v/>
      </c>
      <c r="E125" s="27">
        <f>IF(SUM(B125:C125)=0,"",SUM(C125)/SUM(B125:C125))</f>
        <v/>
      </c>
    </row>
    <row r="126" hidden="1" outlineLevel="1">
      <c r="A126" s="24" t="n">
        <v>46661</v>
      </c>
      <c r="B126" s="26">
        <f>IF(SUMIFS('NSE - NIFTY Index Options'!$M:$M,'NSE - NIFTY Index Options'!$D:$D,$A126,'NSE - NIFTY Index Options'!$B:$B,"Thursday")+SUMIFS('NSE - Other Index Options'!$M:$M,'NSE - Other Index Options'!$D:$D,$A126,'NSE - Other Index Options'!$B:$B,"Thursday")=0,"",SUMIFS('NSE - NIFTY Index Options'!$M:$M,'NSE - NIFTY Index Options'!$D:$D,$A126,'NSE - NIFTY Index Options'!$B:$B,"Thursday")+SUMIFS('NSE - Other Index Options'!$M:$M,'NSE - Other Index Options'!$D:$D,$A126,'NSE - Other Index Options'!$B:$B,"Thursday"))</f>
        <v/>
      </c>
      <c r="C126" s="26">
        <f>IF(SUMIFS('BSE - SENSEX Index Options'!$M:$M,'BSE - SENSEX Index Options'!$D:$D,$A126,'BSE - SENSEX Index Options'!$B:$B,"Thursday")+SUMIFS('BSE - Other Index Options'!$M:$M,'BSE - Other Index Options'!$D:$D,$A126,'BSE - Other Index Options'!$B:$B,"Thursday")=0,"",SUMIFS('BSE - SENSEX Index Options'!$M:$M,'BSE - SENSEX Index Options'!$D:$D,$A126,'BSE - SENSEX Index Options'!$B:$B,"Thursday")+SUMIFS('BSE - Other Index Options'!$M:$M,'BSE - Other Index Options'!$D:$D,$A126,'BSE - Other Index Options'!$B:$B,"Thursday"))</f>
        <v/>
      </c>
      <c r="D126" s="27">
        <f>IF(SUM(B126:C126)=0,"",SUM(B126)/SUM(B126:C126))</f>
        <v/>
      </c>
      <c r="E126" s="27">
        <f>IF(SUM(B126:C126)=0,"",SUM(C126)/SUM(B126:C126))</f>
        <v/>
      </c>
    </row>
    <row r="127" hidden="1" outlineLevel="1">
      <c r="A127" s="24" t="n">
        <v>46692</v>
      </c>
      <c r="B127" s="26">
        <f>IF(SUMIFS('NSE - NIFTY Index Options'!$M:$M,'NSE - NIFTY Index Options'!$D:$D,$A127,'NSE - NIFTY Index Options'!$B:$B,"Thursday")+SUMIFS('NSE - Other Index Options'!$M:$M,'NSE - Other Index Options'!$D:$D,$A127,'NSE - Other Index Options'!$B:$B,"Thursday")=0,"",SUMIFS('NSE - NIFTY Index Options'!$M:$M,'NSE - NIFTY Index Options'!$D:$D,$A127,'NSE - NIFTY Index Options'!$B:$B,"Thursday")+SUMIFS('NSE - Other Index Options'!$M:$M,'NSE - Other Index Options'!$D:$D,$A127,'NSE - Other Index Options'!$B:$B,"Thursday"))</f>
        <v/>
      </c>
      <c r="C127" s="26">
        <f>IF(SUMIFS('BSE - SENSEX Index Options'!$M:$M,'BSE - SENSEX Index Options'!$D:$D,$A127,'BSE - SENSEX Index Options'!$B:$B,"Thursday")+SUMIFS('BSE - Other Index Options'!$M:$M,'BSE - Other Index Options'!$D:$D,$A127,'BSE - Other Index Options'!$B:$B,"Thursday")=0,"",SUMIFS('BSE - SENSEX Index Options'!$M:$M,'BSE - SENSEX Index Options'!$D:$D,$A127,'BSE - SENSEX Index Options'!$B:$B,"Thursday")+SUMIFS('BSE - Other Index Options'!$M:$M,'BSE - Other Index Options'!$D:$D,$A127,'BSE - Other Index Options'!$B:$B,"Thursday"))</f>
        <v/>
      </c>
      <c r="D127" s="27">
        <f>IF(SUM(B127:C127)=0,"",SUM(B127)/SUM(B127:C127))</f>
        <v/>
      </c>
      <c r="E127" s="27">
        <f>IF(SUM(B127:C127)=0,"",SUM(C127)/SUM(B127:C127))</f>
        <v/>
      </c>
    </row>
    <row r="128" hidden="1" outlineLevel="1">
      <c r="A128" s="24" t="n">
        <v>46722</v>
      </c>
      <c r="B128" s="26">
        <f>IF(SUMIFS('NSE - NIFTY Index Options'!$M:$M,'NSE - NIFTY Index Options'!$D:$D,$A128,'NSE - NIFTY Index Options'!$B:$B,"Thursday")+SUMIFS('NSE - Other Index Options'!$M:$M,'NSE - Other Index Options'!$D:$D,$A128,'NSE - Other Index Options'!$B:$B,"Thursday")=0,"",SUMIFS('NSE - NIFTY Index Options'!$M:$M,'NSE - NIFTY Index Options'!$D:$D,$A128,'NSE - NIFTY Index Options'!$B:$B,"Thursday")+SUMIFS('NSE - Other Index Options'!$M:$M,'NSE - Other Index Options'!$D:$D,$A128,'NSE - Other Index Options'!$B:$B,"Thursday"))</f>
        <v/>
      </c>
      <c r="C128" s="26">
        <f>IF(SUMIFS('BSE - SENSEX Index Options'!$M:$M,'BSE - SENSEX Index Options'!$D:$D,$A128,'BSE - SENSEX Index Options'!$B:$B,"Thursday")+SUMIFS('BSE - Other Index Options'!$M:$M,'BSE - Other Index Options'!$D:$D,$A128,'BSE - Other Index Options'!$B:$B,"Thursday")=0,"",SUMIFS('BSE - SENSEX Index Options'!$M:$M,'BSE - SENSEX Index Options'!$D:$D,$A128,'BSE - SENSEX Index Options'!$B:$B,"Thursday")+SUMIFS('BSE - Other Index Options'!$M:$M,'BSE - Other Index Options'!$D:$D,$A128,'BSE - Other Index Options'!$B:$B,"Thursday"))</f>
        <v/>
      </c>
      <c r="D128" s="27">
        <f>IF(SUM(B128:C128)=0,"",SUM(B128)/SUM(B128:C128))</f>
        <v/>
      </c>
      <c r="E128" s="27">
        <f>IF(SUM(B128:C128)=0,"",SUM(C128)/SUM(B128:C128))</f>
        <v/>
      </c>
    </row>
    <row r="129" collapsed="1">
      <c r="A129" s="28" t="inlineStr">
        <is>
          <t>Total</t>
        </is>
      </c>
      <c r="B129" s="30">
        <f>IF(SUM(B101:B128)=0,"",SUM(B101:B128))</f>
        <v/>
      </c>
      <c r="C129" s="30">
        <f>IF(SUM(C101:C128)=0,"",SUM(C101:C128))</f>
        <v/>
      </c>
      <c r="D129" s="31">
        <f>IF(SUM(B129:C129)=0,"",SUM(B129)/SUM(B129:C129))</f>
        <v/>
      </c>
      <c r="E129" s="31">
        <f>IF(SUM(B129:C129)=0,"",SUM(C129)/SUM(B129:C129))</f>
        <v/>
      </c>
    </row>
    <row r="131">
      <c r="A131" s="28" t="inlineStr">
        <is>
          <t>Friday Trade Day</t>
        </is>
      </c>
    </row>
    <row r="132">
      <c r="A132" s="28" t="inlineStr">
        <is>
          <t>Month</t>
        </is>
      </c>
      <c r="B132" s="28" t="inlineStr">
        <is>
          <t>NSE Premium Turnover (INR Bn)</t>
        </is>
      </c>
      <c r="C132" s="28" t="inlineStr">
        <is>
          <t>BSE Premium Turnover (INR Bn)</t>
        </is>
      </c>
      <c r="D132" s="28" t="inlineStr">
        <is>
          <t>NSE Market Share</t>
        </is>
      </c>
      <c r="E132" s="28" t="inlineStr">
        <is>
          <t>BSE Market Share</t>
        </is>
      </c>
    </row>
    <row r="133">
      <c r="A133" s="24" t="n">
        <v>45901</v>
      </c>
      <c r="B133" s="26">
        <f>IF(SUMIFS('NSE - NIFTY Index Options'!$M:$M,'NSE - NIFTY Index Options'!$D:$D,$A133,'NSE - NIFTY Index Options'!$B:$B,"Friday")+SUMIFS('NSE - Other Index Options'!$M:$M,'NSE - Other Index Options'!$D:$D,$A133,'NSE - Other Index Options'!$B:$B,"Friday")=0,"",SUMIFS('NSE - NIFTY Index Options'!$M:$M,'NSE - NIFTY Index Options'!$D:$D,$A133,'NSE - NIFTY Index Options'!$B:$B,"Friday")+SUMIFS('NSE - Other Index Options'!$M:$M,'NSE - Other Index Options'!$D:$D,$A133,'NSE - Other Index Options'!$B:$B,"Friday"))</f>
        <v/>
      </c>
      <c r="C133" s="26">
        <f>IF(SUMIFS('BSE - SENSEX Index Options'!$M:$M,'BSE - SENSEX Index Options'!$D:$D,$A133,'BSE - SENSEX Index Options'!$B:$B,"Friday")+SUMIFS('BSE - Other Index Options'!$M:$M,'BSE - Other Index Options'!$D:$D,$A133,'BSE - Other Index Options'!$B:$B,"Friday")=0,"",SUMIFS('BSE - SENSEX Index Options'!$M:$M,'BSE - SENSEX Index Options'!$D:$D,$A133,'BSE - SENSEX Index Options'!$B:$B,"Friday")+SUMIFS('BSE - Other Index Options'!$M:$M,'BSE - Other Index Options'!$D:$D,$A133,'BSE - Other Index Options'!$B:$B,"Friday"))</f>
        <v/>
      </c>
      <c r="D133" s="27">
        <f>IF(SUM(B133:C133)=0,"",SUM(B133)/SUM(B133:C133))</f>
        <v/>
      </c>
      <c r="E133" s="27">
        <f>IF(SUM(B133:C133)=0,"",SUM(C133)/SUM(B133:C133))</f>
        <v/>
      </c>
    </row>
    <row r="134">
      <c r="A134" s="24" t="n">
        <v>45931</v>
      </c>
      <c r="B134" s="26">
        <f>IF(SUMIFS('NSE - NIFTY Index Options'!$M:$M,'NSE - NIFTY Index Options'!$D:$D,$A134,'NSE - NIFTY Index Options'!$B:$B,"Friday")+SUMIFS('NSE - Other Index Options'!$M:$M,'NSE - Other Index Options'!$D:$D,$A134,'NSE - Other Index Options'!$B:$B,"Friday")=0,"",SUMIFS('NSE - NIFTY Index Options'!$M:$M,'NSE - NIFTY Index Options'!$D:$D,$A134,'NSE - NIFTY Index Options'!$B:$B,"Friday")+SUMIFS('NSE - Other Index Options'!$M:$M,'NSE - Other Index Options'!$D:$D,$A134,'NSE - Other Index Options'!$B:$B,"Friday"))</f>
        <v/>
      </c>
      <c r="C134" s="26">
        <f>IF(SUMIFS('BSE - SENSEX Index Options'!$M:$M,'BSE - SENSEX Index Options'!$D:$D,$A134,'BSE - SENSEX Index Options'!$B:$B,"Friday")+SUMIFS('BSE - Other Index Options'!$M:$M,'BSE - Other Index Options'!$D:$D,$A134,'BSE - Other Index Options'!$B:$B,"Friday")=0,"",SUMIFS('BSE - SENSEX Index Options'!$M:$M,'BSE - SENSEX Index Options'!$D:$D,$A134,'BSE - SENSEX Index Options'!$B:$B,"Friday")+SUMIFS('BSE - Other Index Options'!$M:$M,'BSE - Other Index Options'!$D:$D,$A134,'BSE - Other Index Options'!$B:$B,"Friday"))</f>
        <v/>
      </c>
      <c r="D134" s="27">
        <f>IF(SUM(B134:C134)=0,"",SUM(B134)/SUM(B134:C134))</f>
        <v/>
      </c>
      <c r="E134" s="27">
        <f>IF(SUM(B134:C134)=0,"",SUM(C134)/SUM(B134:C134))</f>
        <v/>
      </c>
    </row>
    <row r="135">
      <c r="A135" s="24" t="n">
        <v>45962</v>
      </c>
      <c r="B135" s="26">
        <f>IF(SUMIFS('NSE - NIFTY Index Options'!$M:$M,'NSE - NIFTY Index Options'!$D:$D,$A135,'NSE - NIFTY Index Options'!$B:$B,"Friday")+SUMIFS('NSE - Other Index Options'!$M:$M,'NSE - Other Index Options'!$D:$D,$A135,'NSE - Other Index Options'!$B:$B,"Friday")=0,"",SUMIFS('NSE - NIFTY Index Options'!$M:$M,'NSE - NIFTY Index Options'!$D:$D,$A135,'NSE - NIFTY Index Options'!$B:$B,"Friday")+SUMIFS('NSE - Other Index Options'!$M:$M,'NSE - Other Index Options'!$D:$D,$A135,'NSE - Other Index Options'!$B:$B,"Friday"))</f>
        <v/>
      </c>
      <c r="C135" s="26">
        <f>IF(SUMIFS('BSE - SENSEX Index Options'!$M:$M,'BSE - SENSEX Index Options'!$D:$D,$A135,'BSE - SENSEX Index Options'!$B:$B,"Friday")+SUMIFS('BSE - Other Index Options'!$M:$M,'BSE - Other Index Options'!$D:$D,$A135,'BSE - Other Index Options'!$B:$B,"Friday")=0,"",SUMIFS('BSE - SENSEX Index Options'!$M:$M,'BSE - SENSEX Index Options'!$D:$D,$A135,'BSE - SENSEX Index Options'!$B:$B,"Friday")+SUMIFS('BSE - Other Index Options'!$M:$M,'BSE - Other Index Options'!$D:$D,$A135,'BSE - Other Index Options'!$B:$B,"Friday"))</f>
        <v/>
      </c>
      <c r="D135" s="27">
        <f>IF(SUM(B135:C135)=0,"",SUM(B135)/SUM(B135:C135))</f>
        <v/>
      </c>
      <c r="E135" s="27">
        <f>IF(SUM(B135:C135)=0,"",SUM(C135)/SUM(B135:C135))</f>
        <v/>
      </c>
    </row>
    <row r="136">
      <c r="A136" s="24" t="n">
        <v>45992</v>
      </c>
      <c r="B136" s="26">
        <f>IF(SUMIFS('NSE - NIFTY Index Options'!$M:$M,'NSE - NIFTY Index Options'!$D:$D,$A136,'NSE - NIFTY Index Options'!$B:$B,"Friday")+SUMIFS('NSE - Other Index Options'!$M:$M,'NSE - Other Index Options'!$D:$D,$A136,'NSE - Other Index Options'!$B:$B,"Friday")=0,"",SUMIFS('NSE - NIFTY Index Options'!$M:$M,'NSE - NIFTY Index Options'!$D:$D,$A136,'NSE - NIFTY Index Options'!$B:$B,"Friday")+SUMIFS('NSE - Other Index Options'!$M:$M,'NSE - Other Index Options'!$D:$D,$A136,'NSE - Other Index Options'!$B:$B,"Friday"))</f>
        <v/>
      </c>
      <c r="C136" s="26">
        <f>IF(SUMIFS('BSE - SENSEX Index Options'!$M:$M,'BSE - SENSEX Index Options'!$D:$D,$A136,'BSE - SENSEX Index Options'!$B:$B,"Friday")+SUMIFS('BSE - Other Index Options'!$M:$M,'BSE - Other Index Options'!$D:$D,$A136,'BSE - Other Index Options'!$B:$B,"Friday")=0,"",SUMIFS('BSE - SENSEX Index Options'!$M:$M,'BSE - SENSEX Index Options'!$D:$D,$A136,'BSE - SENSEX Index Options'!$B:$B,"Friday")+SUMIFS('BSE - Other Index Options'!$M:$M,'BSE - Other Index Options'!$D:$D,$A136,'BSE - Other Index Options'!$B:$B,"Friday"))</f>
        <v/>
      </c>
      <c r="D136" s="27">
        <f>IF(SUM(B136:C136)=0,"",SUM(B136)/SUM(B136:C136))</f>
        <v/>
      </c>
      <c r="E136" s="27">
        <f>IF(SUM(B136:C136)=0,"",SUM(C136)/SUM(B136:C136))</f>
        <v/>
      </c>
    </row>
    <row r="137">
      <c r="A137" s="24" t="n">
        <v>46023</v>
      </c>
      <c r="B137" s="26">
        <f>IF(SUMIFS('NSE - NIFTY Index Options'!$M:$M,'NSE - NIFTY Index Options'!$D:$D,$A137,'NSE - NIFTY Index Options'!$B:$B,"Friday")+SUMIFS('NSE - Other Index Options'!$M:$M,'NSE - Other Index Options'!$D:$D,$A137,'NSE - Other Index Options'!$B:$B,"Friday")=0,"",SUMIFS('NSE - NIFTY Index Options'!$M:$M,'NSE - NIFTY Index Options'!$D:$D,$A137,'NSE - NIFTY Index Options'!$B:$B,"Friday")+SUMIFS('NSE - Other Index Options'!$M:$M,'NSE - Other Index Options'!$D:$D,$A137,'NSE - Other Index Options'!$B:$B,"Friday"))</f>
        <v/>
      </c>
      <c r="C137" s="26">
        <f>IF(SUMIFS('BSE - SENSEX Index Options'!$M:$M,'BSE - SENSEX Index Options'!$D:$D,$A137,'BSE - SENSEX Index Options'!$B:$B,"Friday")+SUMIFS('BSE - Other Index Options'!$M:$M,'BSE - Other Index Options'!$D:$D,$A137,'BSE - Other Index Options'!$B:$B,"Friday")=0,"",SUMIFS('BSE - SENSEX Index Options'!$M:$M,'BSE - SENSEX Index Options'!$D:$D,$A137,'BSE - SENSEX Index Options'!$B:$B,"Friday")+SUMIFS('BSE - Other Index Options'!$M:$M,'BSE - Other Index Options'!$D:$D,$A137,'BSE - Other Index Options'!$B:$B,"Friday"))</f>
        <v/>
      </c>
      <c r="D137" s="27">
        <f>IF(SUM(B137:C137)=0,"",SUM(B137)/SUM(B137:C137))</f>
        <v/>
      </c>
      <c r="E137" s="27">
        <f>IF(SUM(B137:C137)=0,"",SUM(C137)/SUM(B137:C137))</f>
        <v/>
      </c>
    </row>
    <row r="138">
      <c r="A138" s="24" t="n">
        <v>46054</v>
      </c>
      <c r="B138" s="26">
        <f>IF(SUMIFS('NSE - NIFTY Index Options'!$M:$M,'NSE - NIFTY Index Options'!$D:$D,$A138,'NSE - NIFTY Index Options'!$B:$B,"Friday")+SUMIFS('NSE - Other Index Options'!$M:$M,'NSE - Other Index Options'!$D:$D,$A138,'NSE - Other Index Options'!$B:$B,"Friday")=0,"",SUMIFS('NSE - NIFTY Index Options'!$M:$M,'NSE - NIFTY Index Options'!$D:$D,$A138,'NSE - NIFTY Index Options'!$B:$B,"Friday")+SUMIFS('NSE - Other Index Options'!$M:$M,'NSE - Other Index Options'!$D:$D,$A138,'NSE - Other Index Options'!$B:$B,"Friday"))</f>
        <v/>
      </c>
      <c r="C138" s="26">
        <f>IF(SUMIFS('BSE - SENSEX Index Options'!$M:$M,'BSE - SENSEX Index Options'!$D:$D,$A138,'BSE - SENSEX Index Options'!$B:$B,"Friday")+SUMIFS('BSE - Other Index Options'!$M:$M,'BSE - Other Index Options'!$D:$D,$A138,'BSE - Other Index Options'!$B:$B,"Friday")=0,"",SUMIFS('BSE - SENSEX Index Options'!$M:$M,'BSE - SENSEX Index Options'!$D:$D,$A138,'BSE - SENSEX Index Options'!$B:$B,"Friday")+SUMIFS('BSE - Other Index Options'!$M:$M,'BSE - Other Index Options'!$D:$D,$A138,'BSE - Other Index Options'!$B:$B,"Friday"))</f>
        <v/>
      </c>
      <c r="D138" s="27">
        <f>IF(SUM(B138:C138)=0,"",SUM(B138)/SUM(B138:C138))</f>
        <v/>
      </c>
      <c r="E138" s="27">
        <f>IF(SUM(B138:C138)=0,"",SUM(C138)/SUM(B138:C138))</f>
        <v/>
      </c>
    </row>
    <row r="139">
      <c r="A139" s="24" t="n">
        <v>46082</v>
      </c>
      <c r="B139" s="26">
        <f>IF(SUMIFS('NSE - NIFTY Index Options'!$M:$M,'NSE - NIFTY Index Options'!$D:$D,$A139,'NSE - NIFTY Index Options'!$B:$B,"Friday")+SUMIFS('NSE - Other Index Options'!$M:$M,'NSE - Other Index Options'!$D:$D,$A139,'NSE - Other Index Options'!$B:$B,"Friday")=0,"",SUMIFS('NSE - NIFTY Index Options'!$M:$M,'NSE - NIFTY Index Options'!$D:$D,$A139,'NSE - NIFTY Index Options'!$B:$B,"Friday")+SUMIFS('NSE - Other Index Options'!$M:$M,'NSE - Other Index Options'!$D:$D,$A139,'NSE - Other Index Options'!$B:$B,"Friday"))</f>
        <v/>
      </c>
      <c r="C139" s="26">
        <f>IF(SUMIFS('BSE - SENSEX Index Options'!$M:$M,'BSE - SENSEX Index Options'!$D:$D,$A139,'BSE - SENSEX Index Options'!$B:$B,"Friday")+SUMIFS('BSE - Other Index Options'!$M:$M,'BSE - Other Index Options'!$D:$D,$A139,'BSE - Other Index Options'!$B:$B,"Friday")=0,"",SUMIFS('BSE - SENSEX Index Options'!$M:$M,'BSE - SENSEX Index Options'!$D:$D,$A139,'BSE - SENSEX Index Options'!$B:$B,"Friday")+SUMIFS('BSE - Other Index Options'!$M:$M,'BSE - Other Index Options'!$D:$D,$A139,'BSE - Other Index Options'!$B:$B,"Friday"))</f>
        <v/>
      </c>
      <c r="D139" s="27">
        <f>IF(SUM(B139:C139)=0,"",SUM(B139)/SUM(B139:C139))</f>
        <v/>
      </c>
      <c r="E139" s="27">
        <f>IF(SUM(B139:C139)=0,"",SUM(C139)/SUM(B139:C139))</f>
        <v/>
      </c>
    </row>
    <row r="140">
      <c r="A140" s="24" t="n">
        <v>46113</v>
      </c>
      <c r="B140" s="26">
        <f>IF(SUMIFS('NSE - NIFTY Index Options'!$M:$M,'NSE - NIFTY Index Options'!$D:$D,$A140,'NSE - NIFTY Index Options'!$B:$B,"Friday")+SUMIFS('NSE - Other Index Options'!$M:$M,'NSE - Other Index Options'!$D:$D,$A140,'NSE - Other Index Options'!$B:$B,"Friday")=0,"",SUMIFS('NSE - NIFTY Index Options'!$M:$M,'NSE - NIFTY Index Options'!$D:$D,$A140,'NSE - NIFTY Index Options'!$B:$B,"Friday")+SUMIFS('NSE - Other Index Options'!$M:$M,'NSE - Other Index Options'!$D:$D,$A140,'NSE - Other Index Options'!$B:$B,"Friday"))</f>
        <v/>
      </c>
      <c r="C140" s="26">
        <f>IF(SUMIFS('BSE - SENSEX Index Options'!$M:$M,'BSE - SENSEX Index Options'!$D:$D,$A140,'BSE - SENSEX Index Options'!$B:$B,"Friday")+SUMIFS('BSE - Other Index Options'!$M:$M,'BSE - Other Index Options'!$D:$D,$A140,'BSE - Other Index Options'!$B:$B,"Friday")=0,"",SUMIFS('BSE - SENSEX Index Options'!$M:$M,'BSE - SENSEX Index Options'!$D:$D,$A140,'BSE - SENSEX Index Options'!$B:$B,"Friday")+SUMIFS('BSE - Other Index Options'!$M:$M,'BSE - Other Index Options'!$D:$D,$A140,'BSE - Other Index Options'!$B:$B,"Friday"))</f>
        <v/>
      </c>
      <c r="D140" s="27">
        <f>IF(SUM(B140:C140)=0,"",SUM(B140)/SUM(B140:C140))</f>
        <v/>
      </c>
      <c r="E140" s="27">
        <f>IF(SUM(B140:C140)=0,"",SUM(C140)/SUM(B140:C140))</f>
        <v/>
      </c>
    </row>
    <row r="141">
      <c r="A141" s="24" t="n">
        <v>46143</v>
      </c>
      <c r="B141" s="26">
        <f>IF(SUMIFS('NSE - NIFTY Index Options'!$M:$M,'NSE - NIFTY Index Options'!$D:$D,$A141,'NSE - NIFTY Index Options'!$B:$B,"Friday")+SUMIFS('NSE - Other Index Options'!$M:$M,'NSE - Other Index Options'!$D:$D,$A141,'NSE - Other Index Options'!$B:$B,"Friday")=0,"",SUMIFS('NSE - NIFTY Index Options'!$M:$M,'NSE - NIFTY Index Options'!$D:$D,$A141,'NSE - NIFTY Index Options'!$B:$B,"Friday")+SUMIFS('NSE - Other Index Options'!$M:$M,'NSE - Other Index Options'!$D:$D,$A141,'NSE - Other Index Options'!$B:$B,"Friday"))</f>
        <v/>
      </c>
      <c r="C141" s="26">
        <f>IF(SUMIFS('BSE - SENSEX Index Options'!$M:$M,'BSE - SENSEX Index Options'!$D:$D,$A141,'BSE - SENSEX Index Options'!$B:$B,"Friday")+SUMIFS('BSE - Other Index Options'!$M:$M,'BSE - Other Index Options'!$D:$D,$A141,'BSE - Other Index Options'!$B:$B,"Friday")=0,"",SUMIFS('BSE - SENSEX Index Options'!$M:$M,'BSE - SENSEX Index Options'!$D:$D,$A141,'BSE - SENSEX Index Options'!$B:$B,"Friday")+SUMIFS('BSE - Other Index Options'!$M:$M,'BSE - Other Index Options'!$D:$D,$A141,'BSE - Other Index Options'!$B:$B,"Friday"))</f>
        <v/>
      </c>
      <c r="D141" s="27">
        <f>IF(SUM(B141:C141)=0,"",SUM(B141)/SUM(B141:C141))</f>
        <v/>
      </c>
      <c r="E141" s="27">
        <f>IF(SUM(B141:C141)=0,"",SUM(C141)/SUM(B141:C141))</f>
        <v/>
      </c>
    </row>
    <row r="142">
      <c r="A142" s="24" t="n">
        <v>46174</v>
      </c>
      <c r="B142" s="26">
        <f>IF(SUMIFS('NSE - NIFTY Index Options'!$M:$M,'NSE - NIFTY Index Options'!$D:$D,$A142,'NSE - NIFTY Index Options'!$B:$B,"Friday")+SUMIFS('NSE - Other Index Options'!$M:$M,'NSE - Other Index Options'!$D:$D,$A142,'NSE - Other Index Options'!$B:$B,"Friday")=0,"",SUMIFS('NSE - NIFTY Index Options'!$M:$M,'NSE - NIFTY Index Options'!$D:$D,$A142,'NSE - NIFTY Index Options'!$B:$B,"Friday")+SUMIFS('NSE - Other Index Options'!$M:$M,'NSE - Other Index Options'!$D:$D,$A142,'NSE - Other Index Options'!$B:$B,"Friday"))</f>
        <v/>
      </c>
      <c r="C142" s="26">
        <f>IF(SUMIFS('BSE - SENSEX Index Options'!$M:$M,'BSE - SENSEX Index Options'!$D:$D,$A142,'BSE - SENSEX Index Options'!$B:$B,"Friday")+SUMIFS('BSE - Other Index Options'!$M:$M,'BSE - Other Index Options'!$D:$D,$A142,'BSE - Other Index Options'!$B:$B,"Friday")=0,"",SUMIFS('BSE - SENSEX Index Options'!$M:$M,'BSE - SENSEX Index Options'!$D:$D,$A142,'BSE - SENSEX Index Options'!$B:$B,"Friday")+SUMIFS('BSE - Other Index Options'!$M:$M,'BSE - Other Index Options'!$D:$D,$A142,'BSE - Other Index Options'!$B:$B,"Friday"))</f>
        <v/>
      </c>
      <c r="D142" s="27">
        <f>IF(SUM(B142:C142)=0,"",SUM(B142)/SUM(B142:C142))</f>
        <v/>
      </c>
      <c r="E142" s="27">
        <f>IF(SUM(B142:C142)=0,"",SUM(C142)/SUM(B142:C142))</f>
        <v/>
      </c>
    </row>
    <row r="143">
      <c r="A143" s="24" t="n">
        <v>46204</v>
      </c>
      <c r="B143" s="26">
        <f>IF(SUMIFS('NSE - NIFTY Index Options'!$M:$M,'NSE - NIFTY Index Options'!$D:$D,$A143,'NSE - NIFTY Index Options'!$B:$B,"Friday")+SUMIFS('NSE - Other Index Options'!$M:$M,'NSE - Other Index Options'!$D:$D,$A143,'NSE - Other Index Options'!$B:$B,"Friday")=0,"",SUMIFS('NSE - NIFTY Index Options'!$M:$M,'NSE - NIFTY Index Options'!$D:$D,$A143,'NSE - NIFTY Index Options'!$B:$B,"Friday")+SUMIFS('NSE - Other Index Options'!$M:$M,'NSE - Other Index Options'!$D:$D,$A143,'NSE - Other Index Options'!$B:$B,"Friday"))</f>
        <v/>
      </c>
      <c r="C143" s="26">
        <f>IF(SUMIFS('BSE - SENSEX Index Options'!$M:$M,'BSE - SENSEX Index Options'!$D:$D,$A143,'BSE - SENSEX Index Options'!$B:$B,"Friday")+SUMIFS('BSE - Other Index Options'!$M:$M,'BSE - Other Index Options'!$D:$D,$A143,'BSE - Other Index Options'!$B:$B,"Friday")=0,"",SUMIFS('BSE - SENSEX Index Options'!$M:$M,'BSE - SENSEX Index Options'!$D:$D,$A143,'BSE - SENSEX Index Options'!$B:$B,"Friday")+SUMIFS('BSE - Other Index Options'!$M:$M,'BSE - Other Index Options'!$D:$D,$A143,'BSE - Other Index Options'!$B:$B,"Friday"))</f>
        <v/>
      </c>
      <c r="D143" s="27">
        <f>IF(SUM(B143:C143)=0,"",SUM(B143)/SUM(B143:C143))</f>
        <v/>
      </c>
      <c r="E143" s="27">
        <f>IF(SUM(B143:C143)=0,"",SUM(C143)/SUM(B143:C143))</f>
        <v/>
      </c>
    </row>
    <row r="144">
      <c r="A144" s="24" t="n">
        <v>46235</v>
      </c>
      <c r="B144" s="26">
        <f>IF(SUMIFS('NSE - NIFTY Index Options'!$M:$M,'NSE - NIFTY Index Options'!$D:$D,$A144,'NSE - NIFTY Index Options'!$B:$B,"Friday")+SUMIFS('NSE - Other Index Options'!$M:$M,'NSE - Other Index Options'!$D:$D,$A144,'NSE - Other Index Options'!$B:$B,"Friday")=0,"",SUMIFS('NSE - NIFTY Index Options'!$M:$M,'NSE - NIFTY Index Options'!$D:$D,$A144,'NSE - NIFTY Index Options'!$B:$B,"Friday")+SUMIFS('NSE - Other Index Options'!$M:$M,'NSE - Other Index Options'!$D:$D,$A144,'NSE - Other Index Options'!$B:$B,"Friday"))</f>
        <v/>
      </c>
      <c r="C144" s="26">
        <f>IF(SUMIFS('BSE - SENSEX Index Options'!$M:$M,'BSE - SENSEX Index Options'!$D:$D,$A144,'BSE - SENSEX Index Options'!$B:$B,"Friday")+SUMIFS('BSE - Other Index Options'!$M:$M,'BSE - Other Index Options'!$D:$D,$A144,'BSE - Other Index Options'!$B:$B,"Friday")=0,"",SUMIFS('BSE - SENSEX Index Options'!$M:$M,'BSE - SENSEX Index Options'!$D:$D,$A144,'BSE - SENSEX Index Options'!$B:$B,"Friday")+SUMIFS('BSE - Other Index Options'!$M:$M,'BSE - Other Index Options'!$D:$D,$A144,'BSE - Other Index Options'!$B:$B,"Friday"))</f>
        <v/>
      </c>
      <c r="D144" s="27">
        <f>IF(SUM(B144:C144)=0,"",SUM(B144)/SUM(B144:C144))</f>
        <v/>
      </c>
      <c r="E144" s="27">
        <f>IF(SUM(B144:C144)=0,"",SUM(C144)/SUM(B144:C144))</f>
        <v/>
      </c>
    </row>
    <row r="145" hidden="1" outlineLevel="1">
      <c r="A145" s="24" t="n">
        <v>46266</v>
      </c>
      <c r="B145" s="26">
        <f>IF(SUMIFS('NSE - NIFTY Index Options'!$M:$M,'NSE - NIFTY Index Options'!$D:$D,$A145,'NSE - NIFTY Index Options'!$B:$B,"Friday")+SUMIFS('NSE - Other Index Options'!$M:$M,'NSE - Other Index Options'!$D:$D,$A145,'NSE - Other Index Options'!$B:$B,"Friday")=0,"",SUMIFS('NSE - NIFTY Index Options'!$M:$M,'NSE - NIFTY Index Options'!$D:$D,$A145,'NSE - NIFTY Index Options'!$B:$B,"Friday")+SUMIFS('NSE - Other Index Options'!$M:$M,'NSE - Other Index Options'!$D:$D,$A145,'NSE - Other Index Options'!$B:$B,"Friday"))</f>
        <v/>
      </c>
      <c r="C145" s="26">
        <f>IF(SUMIFS('BSE - SENSEX Index Options'!$M:$M,'BSE - SENSEX Index Options'!$D:$D,$A145,'BSE - SENSEX Index Options'!$B:$B,"Friday")+SUMIFS('BSE - Other Index Options'!$M:$M,'BSE - Other Index Options'!$D:$D,$A145,'BSE - Other Index Options'!$B:$B,"Friday")=0,"",SUMIFS('BSE - SENSEX Index Options'!$M:$M,'BSE - SENSEX Index Options'!$D:$D,$A145,'BSE - SENSEX Index Options'!$B:$B,"Friday")+SUMIFS('BSE - Other Index Options'!$M:$M,'BSE - Other Index Options'!$D:$D,$A145,'BSE - Other Index Options'!$B:$B,"Friday"))</f>
        <v/>
      </c>
      <c r="D145" s="27">
        <f>IF(SUM(B145:C145)=0,"",SUM(B145)/SUM(B145:C145))</f>
        <v/>
      </c>
      <c r="E145" s="27">
        <f>IF(SUM(B145:C145)=0,"",SUM(C145)/SUM(B145:C145))</f>
        <v/>
      </c>
    </row>
    <row r="146" hidden="1" outlineLevel="1">
      <c r="A146" s="24" t="n">
        <v>46296</v>
      </c>
      <c r="B146" s="26">
        <f>IF(SUMIFS('NSE - NIFTY Index Options'!$M:$M,'NSE - NIFTY Index Options'!$D:$D,$A146,'NSE - NIFTY Index Options'!$B:$B,"Friday")+SUMIFS('NSE - Other Index Options'!$M:$M,'NSE - Other Index Options'!$D:$D,$A146,'NSE - Other Index Options'!$B:$B,"Friday")=0,"",SUMIFS('NSE - NIFTY Index Options'!$M:$M,'NSE - NIFTY Index Options'!$D:$D,$A146,'NSE - NIFTY Index Options'!$B:$B,"Friday")+SUMIFS('NSE - Other Index Options'!$M:$M,'NSE - Other Index Options'!$D:$D,$A146,'NSE - Other Index Options'!$B:$B,"Friday"))</f>
        <v/>
      </c>
      <c r="C146" s="26">
        <f>IF(SUMIFS('BSE - SENSEX Index Options'!$M:$M,'BSE - SENSEX Index Options'!$D:$D,$A146,'BSE - SENSEX Index Options'!$B:$B,"Friday")+SUMIFS('BSE - Other Index Options'!$M:$M,'BSE - Other Index Options'!$D:$D,$A146,'BSE - Other Index Options'!$B:$B,"Friday")=0,"",SUMIFS('BSE - SENSEX Index Options'!$M:$M,'BSE - SENSEX Index Options'!$D:$D,$A146,'BSE - SENSEX Index Options'!$B:$B,"Friday")+SUMIFS('BSE - Other Index Options'!$M:$M,'BSE - Other Index Options'!$D:$D,$A146,'BSE - Other Index Options'!$B:$B,"Friday"))</f>
        <v/>
      </c>
      <c r="D146" s="27">
        <f>IF(SUM(B146:C146)=0,"",SUM(B146)/SUM(B146:C146))</f>
        <v/>
      </c>
      <c r="E146" s="27">
        <f>IF(SUM(B146:C146)=0,"",SUM(C146)/SUM(B146:C146))</f>
        <v/>
      </c>
    </row>
    <row r="147" hidden="1" outlineLevel="1">
      <c r="A147" s="24" t="n">
        <v>46327</v>
      </c>
      <c r="B147" s="26">
        <f>IF(SUMIFS('NSE - NIFTY Index Options'!$M:$M,'NSE - NIFTY Index Options'!$D:$D,$A147,'NSE - NIFTY Index Options'!$B:$B,"Friday")+SUMIFS('NSE - Other Index Options'!$M:$M,'NSE - Other Index Options'!$D:$D,$A147,'NSE - Other Index Options'!$B:$B,"Friday")=0,"",SUMIFS('NSE - NIFTY Index Options'!$M:$M,'NSE - NIFTY Index Options'!$D:$D,$A147,'NSE - NIFTY Index Options'!$B:$B,"Friday")+SUMIFS('NSE - Other Index Options'!$M:$M,'NSE - Other Index Options'!$D:$D,$A147,'NSE - Other Index Options'!$B:$B,"Friday"))</f>
        <v/>
      </c>
      <c r="C147" s="26">
        <f>IF(SUMIFS('BSE - SENSEX Index Options'!$M:$M,'BSE - SENSEX Index Options'!$D:$D,$A147,'BSE - SENSEX Index Options'!$B:$B,"Friday")+SUMIFS('BSE - Other Index Options'!$M:$M,'BSE - Other Index Options'!$D:$D,$A147,'BSE - Other Index Options'!$B:$B,"Friday")=0,"",SUMIFS('BSE - SENSEX Index Options'!$M:$M,'BSE - SENSEX Index Options'!$D:$D,$A147,'BSE - SENSEX Index Options'!$B:$B,"Friday")+SUMIFS('BSE - Other Index Options'!$M:$M,'BSE - Other Index Options'!$D:$D,$A147,'BSE - Other Index Options'!$B:$B,"Friday"))</f>
        <v/>
      </c>
      <c r="D147" s="27">
        <f>IF(SUM(B147:C147)=0,"",SUM(B147)/SUM(B147:C147))</f>
        <v/>
      </c>
      <c r="E147" s="27">
        <f>IF(SUM(B147:C147)=0,"",SUM(C147)/SUM(B147:C147))</f>
        <v/>
      </c>
    </row>
    <row r="148" hidden="1" outlineLevel="1">
      <c r="A148" s="24" t="n">
        <v>46357</v>
      </c>
      <c r="B148" s="26">
        <f>IF(SUMIFS('NSE - NIFTY Index Options'!$M:$M,'NSE - NIFTY Index Options'!$D:$D,$A148,'NSE - NIFTY Index Options'!$B:$B,"Friday")+SUMIFS('NSE - Other Index Options'!$M:$M,'NSE - Other Index Options'!$D:$D,$A148,'NSE - Other Index Options'!$B:$B,"Friday")=0,"",SUMIFS('NSE - NIFTY Index Options'!$M:$M,'NSE - NIFTY Index Options'!$D:$D,$A148,'NSE - NIFTY Index Options'!$B:$B,"Friday")+SUMIFS('NSE - Other Index Options'!$M:$M,'NSE - Other Index Options'!$D:$D,$A148,'NSE - Other Index Options'!$B:$B,"Friday"))</f>
        <v/>
      </c>
      <c r="C148" s="26">
        <f>IF(SUMIFS('BSE - SENSEX Index Options'!$M:$M,'BSE - SENSEX Index Options'!$D:$D,$A148,'BSE - SENSEX Index Options'!$B:$B,"Friday")+SUMIFS('BSE - Other Index Options'!$M:$M,'BSE - Other Index Options'!$D:$D,$A148,'BSE - Other Index Options'!$B:$B,"Friday")=0,"",SUMIFS('BSE - SENSEX Index Options'!$M:$M,'BSE - SENSEX Index Options'!$D:$D,$A148,'BSE - SENSEX Index Options'!$B:$B,"Friday")+SUMIFS('BSE - Other Index Options'!$M:$M,'BSE - Other Index Options'!$D:$D,$A148,'BSE - Other Index Options'!$B:$B,"Friday"))</f>
        <v/>
      </c>
      <c r="D148" s="27">
        <f>IF(SUM(B148:C148)=0,"",SUM(B148)/SUM(B148:C148))</f>
        <v/>
      </c>
      <c r="E148" s="27">
        <f>IF(SUM(B148:C148)=0,"",SUM(C148)/SUM(B148:C148))</f>
        <v/>
      </c>
    </row>
    <row r="149" hidden="1" outlineLevel="1">
      <c r="A149" s="24" t="n">
        <v>46388</v>
      </c>
      <c r="B149" s="26">
        <f>IF(SUMIFS('NSE - NIFTY Index Options'!$M:$M,'NSE - NIFTY Index Options'!$D:$D,$A149,'NSE - NIFTY Index Options'!$B:$B,"Friday")+SUMIFS('NSE - Other Index Options'!$M:$M,'NSE - Other Index Options'!$D:$D,$A149,'NSE - Other Index Options'!$B:$B,"Friday")=0,"",SUMIFS('NSE - NIFTY Index Options'!$M:$M,'NSE - NIFTY Index Options'!$D:$D,$A149,'NSE - NIFTY Index Options'!$B:$B,"Friday")+SUMIFS('NSE - Other Index Options'!$M:$M,'NSE - Other Index Options'!$D:$D,$A149,'NSE - Other Index Options'!$B:$B,"Friday"))</f>
        <v/>
      </c>
      <c r="C149" s="26">
        <f>IF(SUMIFS('BSE - SENSEX Index Options'!$M:$M,'BSE - SENSEX Index Options'!$D:$D,$A149,'BSE - SENSEX Index Options'!$B:$B,"Friday")+SUMIFS('BSE - Other Index Options'!$M:$M,'BSE - Other Index Options'!$D:$D,$A149,'BSE - Other Index Options'!$B:$B,"Friday")=0,"",SUMIFS('BSE - SENSEX Index Options'!$M:$M,'BSE - SENSEX Index Options'!$D:$D,$A149,'BSE - SENSEX Index Options'!$B:$B,"Friday")+SUMIFS('BSE - Other Index Options'!$M:$M,'BSE - Other Index Options'!$D:$D,$A149,'BSE - Other Index Options'!$B:$B,"Friday"))</f>
        <v/>
      </c>
      <c r="D149" s="27">
        <f>IF(SUM(B149:C149)=0,"",SUM(B149)/SUM(B149:C149))</f>
        <v/>
      </c>
      <c r="E149" s="27">
        <f>IF(SUM(B149:C149)=0,"",SUM(C149)/SUM(B149:C149))</f>
        <v/>
      </c>
    </row>
    <row r="150" hidden="1" outlineLevel="1">
      <c r="A150" s="24" t="n">
        <v>46419</v>
      </c>
      <c r="B150" s="26">
        <f>IF(SUMIFS('NSE - NIFTY Index Options'!$M:$M,'NSE - NIFTY Index Options'!$D:$D,$A150,'NSE - NIFTY Index Options'!$B:$B,"Friday")+SUMIFS('NSE - Other Index Options'!$M:$M,'NSE - Other Index Options'!$D:$D,$A150,'NSE - Other Index Options'!$B:$B,"Friday")=0,"",SUMIFS('NSE - NIFTY Index Options'!$M:$M,'NSE - NIFTY Index Options'!$D:$D,$A150,'NSE - NIFTY Index Options'!$B:$B,"Friday")+SUMIFS('NSE - Other Index Options'!$M:$M,'NSE - Other Index Options'!$D:$D,$A150,'NSE - Other Index Options'!$B:$B,"Friday"))</f>
        <v/>
      </c>
      <c r="C150" s="26">
        <f>IF(SUMIFS('BSE - SENSEX Index Options'!$M:$M,'BSE - SENSEX Index Options'!$D:$D,$A150,'BSE - SENSEX Index Options'!$B:$B,"Friday")+SUMIFS('BSE - Other Index Options'!$M:$M,'BSE - Other Index Options'!$D:$D,$A150,'BSE - Other Index Options'!$B:$B,"Friday")=0,"",SUMIFS('BSE - SENSEX Index Options'!$M:$M,'BSE - SENSEX Index Options'!$D:$D,$A150,'BSE - SENSEX Index Options'!$B:$B,"Friday")+SUMIFS('BSE - Other Index Options'!$M:$M,'BSE - Other Index Options'!$D:$D,$A150,'BSE - Other Index Options'!$B:$B,"Friday"))</f>
        <v/>
      </c>
      <c r="D150" s="27">
        <f>IF(SUM(B150:C150)=0,"",SUM(B150)/SUM(B150:C150))</f>
        <v/>
      </c>
      <c r="E150" s="27">
        <f>IF(SUM(B150:C150)=0,"",SUM(C150)/SUM(B150:C150))</f>
        <v/>
      </c>
    </row>
    <row r="151" hidden="1" outlineLevel="1">
      <c r="A151" s="24" t="n">
        <v>46447</v>
      </c>
      <c r="B151" s="26">
        <f>IF(SUMIFS('NSE - NIFTY Index Options'!$M:$M,'NSE - NIFTY Index Options'!$D:$D,$A151,'NSE - NIFTY Index Options'!$B:$B,"Friday")+SUMIFS('NSE - Other Index Options'!$M:$M,'NSE - Other Index Options'!$D:$D,$A151,'NSE - Other Index Options'!$B:$B,"Friday")=0,"",SUMIFS('NSE - NIFTY Index Options'!$M:$M,'NSE - NIFTY Index Options'!$D:$D,$A151,'NSE - NIFTY Index Options'!$B:$B,"Friday")+SUMIFS('NSE - Other Index Options'!$M:$M,'NSE - Other Index Options'!$D:$D,$A151,'NSE - Other Index Options'!$B:$B,"Friday"))</f>
        <v/>
      </c>
      <c r="C151" s="26">
        <f>IF(SUMIFS('BSE - SENSEX Index Options'!$M:$M,'BSE - SENSEX Index Options'!$D:$D,$A151,'BSE - SENSEX Index Options'!$B:$B,"Friday")+SUMIFS('BSE - Other Index Options'!$M:$M,'BSE - Other Index Options'!$D:$D,$A151,'BSE - Other Index Options'!$B:$B,"Friday")=0,"",SUMIFS('BSE - SENSEX Index Options'!$M:$M,'BSE - SENSEX Index Options'!$D:$D,$A151,'BSE - SENSEX Index Options'!$B:$B,"Friday")+SUMIFS('BSE - Other Index Options'!$M:$M,'BSE - Other Index Options'!$D:$D,$A151,'BSE - Other Index Options'!$B:$B,"Friday"))</f>
        <v/>
      </c>
      <c r="D151" s="27">
        <f>IF(SUM(B151:C151)=0,"",SUM(B151)/SUM(B151:C151))</f>
        <v/>
      </c>
      <c r="E151" s="27">
        <f>IF(SUM(B151:C151)=0,"",SUM(C151)/SUM(B151:C151))</f>
        <v/>
      </c>
    </row>
    <row r="152" hidden="1" outlineLevel="1">
      <c r="A152" s="24" t="n">
        <v>46478</v>
      </c>
      <c r="B152" s="26">
        <f>IF(SUMIFS('NSE - NIFTY Index Options'!$M:$M,'NSE - NIFTY Index Options'!$D:$D,$A152,'NSE - NIFTY Index Options'!$B:$B,"Friday")+SUMIFS('NSE - Other Index Options'!$M:$M,'NSE - Other Index Options'!$D:$D,$A152,'NSE - Other Index Options'!$B:$B,"Friday")=0,"",SUMIFS('NSE - NIFTY Index Options'!$M:$M,'NSE - NIFTY Index Options'!$D:$D,$A152,'NSE - NIFTY Index Options'!$B:$B,"Friday")+SUMIFS('NSE - Other Index Options'!$M:$M,'NSE - Other Index Options'!$D:$D,$A152,'NSE - Other Index Options'!$B:$B,"Friday"))</f>
        <v/>
      </c>
      <c r="C152" s="26">
        <f>IF(SUMIFS('BSE - SENSEX Index Options'!$M:$M,'BSE - SENSEX Index Options'!$D:$D,$A152,'BSE - SENSEX Index Options'!$B:$B,"Friday")+SUMIFS('BSE - Other Index Options'!$M:$M,'BSE - Other Index Options'!$D:$D,$A152,'BSE - Other Index Options'!$B:$B,"Friday")=0,"",SUMIFS('BSE - SENSEX Index Options'!$M:$M,'BSE - SENSEX Index Options'!$D:$D,$A152,'BSE - SENSEX Index Options'!$B:$B,"Friday")+SUMIFS('BSE - Other Index Options'!$M:$M,'BSE - Other Index Options'!$D:$D,$A152,'BSE - Other Index Options'!$B:$B,"Friday"))</f>
        <v/>
      </c>
      <c r="D152" s="27">
        <f>IF(SUM(B152:C152)=0,"",SUM(B152)/SUM(B152:C152))</f>
        <v/>
      </c>
      <c r="E152" s="27">
        <f>IF(SUM(B152:C152)=0,"",SUM(C152)/SUM(B152:C152))</f>
        <v/>
      </c>
    </row>
    <row r="153" hidden="1" outlineLevel="1">
      <c r="A153" s="24" t="n">
        <v>46508</v>
      </c>
      <c r="B153" s="26">
        <f>IF(SUMIFS('NSE - NIFTY Index Options'!$M:$M,'NSE - NIFTY Index Options'!$D:$D,$A153,'NSE - NIFTY Index Options'!$B:$B,"Friday")+SUMIFS('NSE - Other Index Options'!$M:$M,'NSE - Other Index Options'!$D:$D,$A153,'NSE - Other Index Options'!$B:$B,"Friday")=0,"",SUMIFS('NSE - NIFTY Index Options'!$M:$M,'NSE - NIFTY Index Options'!$D:$D,$A153,'NSE - NIFTY Index Options'!$B:$B,"Friday")+SUMIFS('NSE - Other Index Options'!$M:$M,'NSE - Other Index Options'!$D:$D,$A153,'NSE - Other Index Options'!$B:$B,"Friday"))</f>
        <v/>
      </c>
      <c r="C153" s="26">
        <f>IF(SUMIFS('BSE - SENSEX Index Options'!$M:$M,'BSE - SENSEX Index Options'!$D:$D,$A153,'BSE - SENSEX Index Options'!$B:$B,"Friday")+SUMIFS('BSE - Other Index Options'!$M:$M,'BSE - Other Index Options'!$D:$D,$A153,'BSE - Other Index Options'!$B:$B,"Friday")=0,"",SUMIFS('BSE - SENSEX Index Options'!$M:$M,'BSE - SENSEX Index Options'!$D:$D,$A153,'BSE - SENSEX Index Options'!$B:$B,"Friday")+SUMIFS('BSE - Other Index Options'!$M:$M,'BSE - Other Index Options'!$D:$D,$A153,'BSE - Other Index Options'!$B:$B,"Friday"))</f>
        <v/>
      </c>
      <c r="D153" s="27">
        <f>IF(SUM(B153:C153)=0,"",SUM(B153)/SUM(B153:C153))</f>
        <v/>
      </c>
      <c r="E153" s="27">
        <f>IF(SUM(B153:C153)=0,"",SUM(C153)/SUM(B153:C153))</f>
        <v/>
      </c>
    </row>
    <row r="154" hidden="1" outlineLevel="1">
      <c r="A154" s="24" t="n">
        <v>46539</v>
      </c>
      <c r="B154" s="26">
        <f>IF(SUMIFS('NSE - NIFTY Index Options'!$M:$M,'NSE - NIFTY Index Options'!$D:$D,$A154,'NSE - NIFTY Index Options'!$B:$B,"Friday")+SUMIFS('NSE - Other Index Options'!$M:$M,'NSE - Other Index Options'!$D:$D,$A154,'NSE - Other Index Options'!$B:$B,"Friday")=0,"",SUMIFS('NSE - NIFTY Index Options'!$M:$M,'NSE - NIFTY Index Options'!$D:$D,$A154,'NSE - NIFTY Index Options'!$B:$B,"Friday")+SUMIFS('NSE - Other Index Options'!$M:$M,'NSE - Other Index Options'!$D:$D,$A154,'NSE - Other Index Options'!$B:$B,"Friday"))</f>
        <v/>
      </c>
      <c r="C154" s="26">
        <f>IF(SUMIFS('BSE - SENSEX Index Options'!$M:$M,'BSE - SENSEX Index Options'!$D:$D,$A154,'BSE - SENSEX Index Options'!$B:$B,"Friday")+SUMIFS('BSE - Other Index Options'!$M:$M,'BSE - Other Index Options'!$D:$D,$A154,'BSE - Other Index Options'!$B:$B,"Friday")=0,"",SUMIFS('BSE - SENSEX Index Options'!$M:$M,'BSE - SENSEX Index Options'!$D:$D,$A154,'BSE - SENSEX Index Options'!$B:$B,"Friday")+SUMIFS('BSE - Other Index Options'!$M:$M,'BSE - Other Index Options'!$D:$D,$A154,'BSE - Other Index Options'!$B:$B,"Friday"))</f>
        <v/>
      </c>
      <c r="D154" s="27">
        <f>IF(SUM(B154:C154)=0,"",SUM(B154)/SUM(B154:C154))</f>
        <v/>
      </c>
      <c r="E154" s="27">
        <f>IF(SUM(B154:C154)=0,"",SUM(C154)/SUM(B154:C154))</f>
        <v/>
      </c>
    </row>
    <row r="155" hidden="1" outlineLevel="1">
      <c r="A155" s="24" t="n">
        <v>46569</v>
      </c>
      <c r="B155" s="26">
        <f>IF(SUMIFS('NSE - NIFTY Index Options'!$M:$M,'NSE - NIFTY Index Options'!$D:$D,$A155,'NSE - NIFTY Index Options'!$B:$B,"Friday")+SUMIFS('NSE - Other Index Options'!$M:$M,'NSE - Other Index Options'!$D:$D,$A155,'NSE - Other Index Options'!$B:$B,"Friday")=0,"",SUMIFS('NSE - NIFTY Index Options'!$M:$M,'NSE - NIFTY Index Options'!$D:$D,$A155,'NSE - NIFTY Index Options'!$B:$B,"Friday")+SUMIFS('NSE - Other Index Options'!$M:$M,'NSE - Other Index Options'!$D:$D,$A155,'NSE - Other Index Options'!$B:$B,"Friday"))</f>
        <v/>
      </c>
      <c r="C155" s="26">
        <f>IF(SUMIFS('BSE - SENSEX Index Options'!$M:$M,'BSE - SENSEX Index Options'!$D:$D,$A155,'BSE - SENSEX Index Options'!$B:$B,"Friday")+SUMIFS('BSE - Other Index Options'!$M:$M,'BSE - Other Index Options'!$D:$D,$A155,'BSE - Other Index Options'!$B:$B,"Friday")=0,"",SUMIFS('BSE - SENSEX Index Options'!$M:$M,'BSE - SENSEX Index Options'!$D:$D,$A155,'BSE - SENSEX Index Options'!$B:$B,"Friday")+SUMIFS('BSE - Other Index Options'!$M:$M,'BSE - Other Index Options'!$D:$D,$A155,'BSE - Other Index Options'!$B:$B,"Friday"))</f>
        <v/>
      </c>
      <c r="D155" s="27">
        <f>IF(SUM(B155:C155)=0,"",SUM(B155)/SUM(B155:C155))</f>
        <v/>
      </c>
      <c r="E155" s="27">
        <f>IF(SUM(B155:C155)=0,"",SUM(C155)/SUM(B155:C155))</f>
        <v/>
      </c>
    </row>
    <row r="156" hidden="1" outlineLevel="1">
      <c r="A156" s="24" t="n">
        <v>46600</v>
      </c>
      <c r="B156" s="26">
        <f>IF(SUMIFS('NSE - NIFTY Index Options'!$M:$M,'NSE - NIFTY Index Options'!$D:$D,$A156,'NSE - NIFTY Index Options'!$B:$B,"Friday")+SUMIFS('NSE - Other Index Options'!$M:$M,'NSE - Other Index Options'!$D:$D,$A156,'NSE - Other Index Options'!$B:$B,"Friday")=0,"",SUMIFS('NSE - NIFTY Index Options'!$M:$M,'NSE - NIFTY Index Options'!$D:$D,$A156,'NSE - NIFTY Index Options'!$B:$B,"Friday")+SUMIFS('NSE - Other Index Options'!$M:$M,'NSE - Other Index Options'!$D:$D,$A156,'NSE - Other Index Options'!$B:$B,"Friday"))</f>
        <v/>
      </c>
      <c r="C156" s="26">
        <f>IF(SUMIFS('BSE - SENSEX Index Options'!$M:$M,'BSE - SENSEX Index Options'!$D:$D,$A156,'BSE - SENSEX Index Options'!$B:$B,"Friday")+SUMIFS('BSE - Other Index Options'!$M:$M,'BSE - Other Index Options'!$D:$D,$A156,'BSE - Other Index Options'!$B:$B,"Friday")=0,"",SUMIFS('BSE - SENSEX Index Options'!$M:$M,'BSE - SENSEX Index Options'!$D:$D,$A156,'BSE - SENSEX Index Options'!$B:$B,"Friday")+SUMIFS('BSE - Other Index Options'!$M:$M,'BSE - Other Index Options'!$D:$D,$A156,'BSE - Other Index Options'!$B:$B,"Friday"))</f>
        <v/>
      </c>
      <c r="D156" s="27">
        <f>IF(SUM(B156:C156)=0,"",SUM(B156)/SUM(B156:C156))</f>
        <v/>
      </c>
      <c r="E156" s="27">
        <f>IF(SUM(B156:C156)=0,"",SUM(C156)/SUM(B156:C156))</f>
        <v/>
      </c>
    </row>
    <row r="157" hidden="1" outlineLevel="1">
      <c r="A157" s="24" t="n">
        <v>46631</v>
      </c>
      <c r="B157" s="26">
        <f>IF(SUMIFS('NSE - NIFTY Index Options'!$M:$M,'NSE - NIFTY Index Options'!$D:$D,$A157,'NSE - NIFTY Index Options'!$B:$B,"Friday")+SUMIFS('NSE - Other Index Options'!$M:$M,'NSE - Other Index Options'!$D:$D,$A157,'NSE - Other Index Options'!$B:$B,"Friday")=0,"",SUMIFS('NSE - NIFTY Index Options'!$M:$M,'NSE - NIFTY Index Options'!$D:$D,$A157,'NSE - NIFTY Index Options'!$B:$B,"Friday")+SUMIFS('NSE - Other Index Options'!$M:$M,'NSE - Other Index Options'!$D:$D,$A157,'NSE - Other Index Options'!$B:$B,"Friday"))</f>
        <v/>
      </c>
      <c r="C157" s="26">
        <f>IF(SUMIFS('BSE - SENSEX Index Options'!$M:$M,'BSE - SENSEX Index Options'!$D:$D,$A157,'BSE - SENSEX Index Options'!$B:$B,"Friday")+SUMIFS('BSE - Other Index Options'!$M:$M,'BSE - Other Index Options'!$D:$D,$A157,'BSE - Other Index Options'!$B:$B,"Friday")=0,"",SUMIFS('BSE - SENSEX Index Options'!$M:$M,'BSE - SENSEX Index Options'!$D:$D,$A157,'BSE - SENSEX Index Options'!$B:$B,"Friday")+SUMIFS('BSE - Other Index Options'!$M:$M,'BSE - Other Index Options'!$D:$D,$A157,'BSE - Other Index Options'!$B:$B,"Friday"))</f>
        <v/>
      </c>
      <c r="D157" s="27">
        <f>IF(SUM(B157:C157)=0,"",SUM(B157)/SUM(B157:C157))</f>
        <v/>
      </c>
      <c r="E157" s="27">
        <f>IF(SUM(B157:C157)=0,"",SUM(C157)/SUM(B157:C157))</f>
        <v/>
      </c>
    </row>
    <row r="158" hidden="1" outlineLevel="1">
      <c r="A158" s="24" t="n">
        <v>46661</v>
      </c>
      <c r="B158" s="26">
        <f>IF(SUMIFS('NSE - NIFTY Index Options'!$M:$M,'NSE - NIFTY Index Options'!$D:$D,$A158,'NSE - NIFTY Index Options'!$B:$B,"Friday")+SUMIFS('NSE - Other Index Options'!$M:$M,'NSE - Other Index Options'!$D:$D,$A158,'NSE - Other Index Options'!$B:$B,"Friday")=0,"",SUMIFS('NSE - NIFTY Index Options'!$M:$M,'NSE - NIFTY Index Options'!$D:$D,$A158,'NSE - NIFTY Index Options'!$B:$B,"Friday")+SUMIFS('NSE - Other Index Options'!$M:$M,'NSE - Other Index Options'!$D:$D,$A158,'NSE - Other Index Options'!$B:$B,"Friday"))</f>
        <v/>
      </c>
      <c r="C158" s="26">
        <f>IF(SUMIFS('BSE - SENSEX Index Options'!$M:$M,'BSE - SENSEX Index Options'!$D:$D,$A158,'BSE - SENSEX Index Options'!$B:$B,"Friday")+SUMIFS('BSE - Other Index Options'!$M:$M,'BSE - Other Index Options'!$D:$D,$A158,'BSE - Other Index Options'!$B:$B,"Friday")=0,"",SUMIFS('BSE - SENSEX Index Options'!$M:$M,'BSE - SENSEX Index Options'!$D:$D,$A158,'BSE - SENSEX Index Options'!$B:$B,"Friday")+SUMIFS('BSE - Other Index Options'!$M:$M,'BSE - Other Index Options'!$D:$D,$A158,'BSE - Other Index Options'!$B:$B,"Friday"))</f>
        <v/>
      </c>
      <c r="D158" s="27">
        <f>IF(SUM(B158:C158)=0,"",SUM(B158)/SUM(B158:C158))</f>
        <v/>
      </c>
      <c r="E158" s="27">
        <f>IF(SUM(B158:C158)=0,"",SUM(C158)/SUM(B158:C158))</f>
        <v/>
      </c>
    </row>
    <row r="159" hidden="1" outlineLevel="1">
      <c r="A159" s="24" t="n">
        <v>46692</v>
      </c>
      <c r="B159" s="26">
        <f>IF(SUMIFS('NSE - NIFTY Index Options'!$M:$M,'NSE - NIFTY Index Options'!$D:$D,$A159,'NSE - NIFTY Index Options'!$B:$B,"Friday")+SUMIFS('NSE - Other Index Options'!$M:$M,'NSE - Other Index Options'!$D:$D,$A159,'NSE - Other Index Options'!$B:$B,"Friday")=0,"",SUMIFS('NSE - NIFTY Index Options'!$M:$M,'NSE - NIFTY Index Options'!$D:$D,$A159,'NSE - NIFTY Index Options'!$B:$B,"Friday")+SUMIFS('NSE - Other Index Options'!$M:$M,'NSE - Other Index Options'!$D:$D,$A159,'NSE - Other Index Options'!$B:$B,"Friday"))</f>
        <v/>
      </c>
      <c r="C159" s="26">
        <f>IF(SUMIFS('BSE - SENSEX Index Options'!$M:$M,'BSE - SENSEX Index Options'!$D:$D,$A159,'BSE - SENSEX Index Options'!$B:$B,"Friday")+SUMIFS('BSE - Other Index Options'!$M:$M,'BSE - Other Index Options'!$D:$D,$A159,'BSE - Other Index Options'!$B:$B,"Friday")=0,"",SUMIFS('BSE - SENSEX Index Options'!$M:$M,'BSE - SENSEX Index Options'!$D:$D,$A159,'BSE - SENSEX Index Options'!$B:$B,"Friday")+SUMIFS('BSE - Other Index Options'!$M:$M,'BSE - Other Index Options'!$D:$D,$A159,'BSE - Other Index Options'!$B:$B,"Friday"))</f>
        <v/>
      </c>
      <c r="D159" s="27">
        <f>IF(SUM(B159:C159)=0,"",SUM(B159)/SUM(B159:C159))</f>
        <v/>
      </c>
      <c r="E159" s="27">
        <f>IF(SUM(B159:C159)=0,"",SUM(C159)/SUM(B159:C159))</f>
        <v/>
      </c>
    </row>
    <row r="160" hidden="1" outlineLevel="1">
      <c r="A160" s="24" t="n">
        <v>46722</v>
      </c>
      <c r="B160" s="26">
        <f>IF(SUMIFS('NSE - NIFTY Index Options'!$M:$M,'NSE - NIFTY Index Options'!$D:$D,$A160,'NSE - NIFTY Index Options'!$B:$B,"Friday")+SUMIFS('NSE - Other Index Options'!$M:$M,'NSE - Other Index Options'!$D:$D,$A160,'NSE - Other Index Options'!$B:$B,"Friday")=0,"",SUMIFS('NSE - NIFTY Index Options'!$M:$M,'NSE - NIFTY Index Options'!$D:$D,$A160,'NSE - NIFTY Index Options'!$B:$B,"Friday")+SUMIFS('NSE - Other Index Options'!$M:$M,'NSE - Other Index Options'!$D:$D,$A160,'NSE - Other Index Options'!$B:$B,"Friday"))</f>
        <v/>
      </c>
      <c r="C160" s="26">
        <f>IF(SUMIFS('BSE - SENSEX Index Options'!$M:$M,'BSE - SENSEX Index Options'!$D:$D,$A160,'BSE - SENSEX Index Options'!$B:$B,"Friday")+SUMIFS('BSE - Other Index Options'!$M:$M,'BSE - Other Index Options'!$D:$D,$A160,'BSE - Other Index Options'!$B:$B,"Friday")=0,"",SUMIFS('BSE - SENSEX Index Options'!$M:$M,'BSE - SENSEX Index Options'!$D:$D,$A160,'BSE - SENSEX Index Options'!$B:$B,"Friday")+SUMIFS('BSE - Other Index Options'!$M:$M,'BSE - Other Index Options'!$D:$D,$A160,'BSE - Other Index Options'!$B:$B,"Friday"))</f>
        <v/>
      </c>
      <c r="D160" s="27">
        <f>IF(SUM(B160:C160)=0,"",SUM(B160)/SUM(B160:C160))</f>
        <v/>
      </c>
      <c r="E160" s="27">
        <f>IF(SUM(B160:C160)=0,"",SUM(C160)/SUM(B160:C160))</f>
        <v/>
      </c>
    </row>
    <row r="161" collapsed="1">
      <c r="A161" s="28" t="inlineStr">
        <is>
          <t>Total</t>
        </is>
      </c>
      <c r="B161" s="30">
        <f>IF(SUM(B133:B160)=0,"",SUM(B133:B160))</f>
        <v/>
      </c>
      <c r="C161" s="30">
        <f>IF(SUM(C133:C160)=0,"",SUM(C133:C160))</f>
        <v/>
      </c>
      <c r="D161" s="31">
        <f>IF(SUM(B161:C161)=0,"",SUM(B161)/SUM(B161:C161))</f>
        <v/>
      </c>
      <c r="E161" s="31">
        <f>IF(SUM(B161:C161)=0,"",SUM(C161)/SUM(B161:C161))</f>
        <v/>
      </c>
    </row>
    <row r="163">
      <c r="A163" s="28" t="inlineStr">
        <is>
          <t>Sunday Trade Day</t>
        </is>
      </c>
    </row>
    <row r="164">
      <c r="A164" s="28" t="inlineStr">
        <is>
          <t>Month</t>
        </is>
      </c>
      <c r="B164" s="28" t="inlineStr">
        <is>
          <t>NSE Premium Turnover (INR Bn)</t>
        </is>
      </c>
      <c r="C164" s="28" t="inlineStr">
        <is>
          <t>BSE Premium Turnover (INR Bn)</t>
        </is>
      </c>
      <c r="D164" s="28" t="inlineStr">
        <is>
          <t>NSE Market Share</t>
        </is>
      </c>
      <c r="E164" s="28" t="inlineStr">
        <is>
          <t>BSE Market Share</t>
        </is>
      </c>
    </row>
    <row r="165">
      <c r="A165" s="24" t="n">
        <v>45901</v>
      </c>
      <c r="B165" s="26">
        <f>IF(SUMIFS('NSE - NIFTY Index Options'!$M:$M,'NSE - NIFTY Index Options'!$D:$D,$A165,'NSE - NIFTY Index Options'!$B:$B,"Sunday")+SUMIFS('NSE - Other Index Options'!$M:$M,'NSE - Other Index Options'!$D:$D,$A165,'NSE - Other Index Options'!$B:$B,"Sunday")=0,"",SUMIFS('NSE - NIFTY Index Options'!$M:$M,'NSE - NIFTY Index Options'!$D:$D,$A165,'NSE - NIFTY Index Options'!$B:$B,"Sunday")+SUMIFS('NSE - Other Index Options'!$M:$M,'NSE - Other Index Options'!$D:$D,$A165,'NSE - Other Index Options'!$B:$B,"Sunday"))</f>
        <v/>
      </c>
      <c r="C165" s="26">
        <f>IF(SUMIFS('BSE - SENSEX Index Options'!$M:$M,'BSE - SENSEX Index Options'!$D:$D,$A165,'BSE - SENSEX Index Options'!$B:$B,"Sunday")+SUMIFS('BSE - Other Index Options'!$M:$M,'BSE - Other Index Options'!$D:$D,$A165,'BSE - Other Index Options'!$B:$B,"Sunday")=0,"",SUMIFS('BSE - SENSEX Index Options'!$M:$M,'BSE - SENSEX Index Options'!$D:$D,$A165,'BSE - SENSEX Index Options'!$B:$B,"Sunday")+SUMIFS('BSE - Other Index Options'!$M:$M,'BSE - Other Index Options'!$D:$D,$A165,'BSE - Other Index Options'!$B:$B,"Sunday"))</f>
        <v/>
      </c>
      <c r="D165" s="27">
        <f>IF(SUM(B165:C165)=0,"",SUM(B165)/SUM(B165:C165))</f>
        <v/>
      </c>
      <c r="E165" s="27">
        <f>IF(SUM(B165:C165)=0,"",SUM(C165)/SUM(B165:C165))</f>
        <v/>
      </c>
    </row>
    <row r="166">
      <c r="A166" s="24" t="n">
        <v>45931</v>
      </c>
      <c r="B166" s="26">
        <f>IF(SUMIFS('NSE - NIFTY Index Options'!$M:$M,'NSE - NIFTY Index Options'!$D:$D,$A166,'NSE - NIFTY Index Options'!$B:$B,"Sunday")+SUMIFS('NSE - Other Index Options'!$M:$M,'NSE - Other Index Options'!$D:$D,$A166,'NSE - Other Index Options'!$B:$B,"Sunday")=0,"",SUMIFS('NSE - NIFTY Index Options'!$M:$M,'NSE - NIFTY Index Options'!$D:$D,$A166,'NSE - NIFTY Index Options'!$B:$B,"Sunday")+SUMIFS('NSE - Other Index Options'!$M:$M,'NSE - Other Index Options'!$D:$D,$A166,'NSE - Other Index Options'!$B:$B,"Sunday"))</f>
        <v/>
      </c>
      <c r="C166" s="26">
        <f>IF(SUMIFS('BSE - SENSEX Index Options'!$M:$M,'BSE - SENSEX Index Options'!$D:$D,$A166,'BSE - SENSEX Index Options'!$B:$B,"Sunday")+SUMIFS('BSE - Other Index Options'!$M:$M,'BSE - Other Index Options'!$D:$D,$A166,'BSE - Other Index Options'!$B:$B,"Sunday")=0,"",SUMIFS('BSE - SENSEX Index Options'!$M:$M,'BSE - SENSEX Index Options'!$D:$D,$A166,'BSE - SENSEX Index Options'!$B:$B,"Sunday")+SUMIFS('BSE - Other Index Options'!$M:$M,'BSE - Other Index Options'!$D:$D,$A166,'BSE - Other Index Options'!$B:$B,"Sunday"))</f>
        <v/>
      </c>
      <c r="D166" s="27">
        <f>IF(SUM(B166:C166)=0,"",SUM(B166)/SUM(B166:C166))</f>
        <v/>
      </c>
      <c r="E166" s="27">
        <f>IF(SUM(B166:C166)=0,"",SUM(C166)/SUM(B166:C166))</f>
        <v/>
      </c>
    </row>
    <row r="167">
      <c r="A167" s="24" t="n">
        <v>45962</v>
      </c>
      <c r="B167" s="26">
        <f>IF(SUMIFS('NSE - NIFTY Index Options'!$M:$M,'NSE - NIFTY Index Options'!$D:$D,$A167,'NSE - NIFTY Index Options'!$B:$B,"Sunday")+SUMIFS('NSE - Other Index Options'!$M:$M,'NSE - Other Index Options'!$D:$D,$A167,'NSE - Other Index Options'!$B:$B,"Sunday")=0,"",SUMIFS('NSE - NIFTY Index Options'!$M:$M,'NSE - NIFTY Index Options'!$D:$D,$A167,'NSE - NIFTY Index Options'!$B:$B,"Sunday")+SUMIFS('NSE - Other Index Options'!$M:$M,'NSE - Other Index Options'!$D:$D,$A167,'NSE - Other Index Options'!$B:$B,"Sunday"))</f>
        <v/>
      </c>
      <c r="C167" s="26">
        <f>IF(SUMIFS('BSE - SENSEX Index Options'!$M:$M,'BSE - SENSEX Index Options'!$D:$D,$A167,'BSE - SENSEX Index Options'!$B:$B,"Sunday")+SUMIFS('BSE - Other Index Options'!$M:$M,'BSE - Other Index Options'!$D:$D,$A167,'BSE - Other Index Options'!$B:$B,"Sunday")=0,"",SUMIFS('BSE - SENSEX Index Options'!$M:$M,'BSE - SENSEX Index Options'!$D:$D,$A167,'BSE - SENSEX Index Options'!$B:$B,"Sunday")+SUMIFS('BSE - Other Index Options'!$M:$M,'BSE - Other Index Options'!$D:$D,$A167,'BSE - Other Index Options'!$B:$B,"Sunday"))</f>
        <v/>
      </c>
      <c r="D167" s="27">
        <f>IF(SUM(B167:C167)=0,"",SUM(B167)/SUM(B167:C167))</f>
        <v/>
      </c>
      <c r="E167" s="27">
        <f>IF(SUM(B167:C167)=0,"",SUM(C167)/SUM(B167:C167))</f>
        <v/>
      </c>
    </row>
    <row r="168">
      <c r="A168" s="24" t="n">
        <v>45992</v>
      </c>
      <c r="B168" s="26">
        <f>IF(SUMIFS('NSE - NIFTY Index Options'!$M:$M,'NSE - NIFTY Index Options'!$D:$D,$A168,'NSE - NIFTY Index Options'!$B:$B,"Sunday")+SUMIFS('NSE - Other Index Options'!$M:$M,'NSE - Other Index Options'!$D:$D,$A168,'NSE - Other Index Options'!$B:$B,"Sunday")=0,"",SUMIFS('NSE - NIFTY Index Options'!$M:$M,'NSE - NIFTY Index Options'!$D:$D,$A168,'NSE - NIFTY Index Options'!$B:$B,"Sunday")+SUMIFS('NSE - Other Index Options'!$M:$M,'NSE - Other Index Options'!$D:$D,$A168,'NSE - Other Index Options'!$B:$B,"Sunday"))</f>
        <v/>
      </c>
      <c r="C168" s="26">
        <f>IF(SUMIFS('BSE - SENSEX Index Options'!$M:$M,'BSE - SENSEX Index Options'!$D:$D,$A168,'BSE - SENSEX Index Options'!$B:$B,"Sunday")+SUMIFS('BSE - Other Index Options'!$M:$M,'BSE - Other Index Options'!$D:$D,$A168,'BSE - Other Index Options'!$B:$B,"Sunday")=0,"",SUMIFS('BSE - SENSEX Index Options'!$M:$M,'BSE - SENSEX Index Options'!$D:$D,$A168,'BSE - SENSEX Index Options'!$B:$B,"Sunday")+SUMIFS('BSE - Other Index Options'!$M:$M,'BSE - Other Index Options'!$D:$D,$A168,'BSE - Other Index Options'!$B:$B,"Sunday"))</f>
        <v/>
      </c>
      <c r="D168" s="27">
        <f>IF(SUM(B168:C168)=0,"",SUM(B168)/SUM(B168:C168))</f>
        <v/>
      </c>
      <c r="E168" s="27">
        <f>IF(SUM(B168:C168)=0,"",SUM(C168)/SUM(B168:C168))</f>
        <v/>
      </c>
    </row>
    <row r="169">
      <c r="A169" s="24" t="n">
        <v>46023</v>
      </c>
      <c r="B169" s="26">
        <f>IF(SUMIFS('NSE - NIFTY Index Options'!$M:$M,'NSE - NIFTY Index Options'!$D:$D,$A169,'NSE - NIFTY Index Options'!$B:$B,"Sunday")+SUMIFS('NSE - Other Index Options'!$M:$M,'NSE - Other Index Options'!$D:$D,$A169,'NSE - Other Index Options'!$B:$B,"Sunday")=0,"",SUMIFS('NSE - NIFTY Index Options'!$M:$M,'NSE - NIFTY Index Options'!$D:$D,$A169,'NSE - NIFTY Index Options'!$B:$B,"Sunday")+SUMIFS('NSE - Other Index Options'!$M:$M,'NSE - Other Index Options'!$D:$D,$A169,'NSE - Other Index Options'!$B:$B,"Sunday"))</f>
        <v/>
      </c>
      <c r="C169" s="26">
        <f>IF(SUMIFS('BSE - SENSEX Index Options'!$M:$M,'BSE - SENSEX Index Options'!$D:$D,$A169,'BSE - SENSEX Index Options'!$B:$B,"Sunday")+SUMIFS('BSE - Other Index Options'!$M:$M,'BSE - Other Index Options'!$D:$D,$A169,'BSE - Other Index Options'!$B:$B,"Sunday")=0,"",SUMIFS('BSE - SENSEX Index Options'!$M:$M,'BSE - SENSEX Index Options'!$D:$D,$A169,'BSE - SENSEX Index Options'!$B:$B,"Sunday")+SUMIFS('BSE - Other Index Options'!$M:$M,'BSE - Other Index Options'!$D:$D,$A169,'BSE - Other Index Options'!$B:$B,"Sunday"))</f>
        <v/>
      </c>
      <c r="D169" s="27">
        <f>IF(SUM(B169:C169)=0,"",SUM(B169)/SUM(B169:C169))</f>
        <v/>
      </c>
      <c r="E169" s="27">
        <f>IF(SUM(B169:C169)=0,"",SUM(C169)/SUM(B169:C169))</f>
        <v/>
      </c>
    </row>
    <row r="170">
      <c r="A170" s="24" t="n">
        <v>46054</v>
      </c>
      <c r="B170" s="26">
        <f>IF(SUMIFS('NSE - NIFTY Index Options'!$M:$M,'NSE - NIFTY Index Options'!$D:$D,$A170,'NSE - NIFTY Index Options'!$B:$B,"Sunday")+SUMIFS('NSE - Other Index Options'!$M:$M,'NSE - Other Index Options'!$D:$D,$A170,'NSE - Other Index Options'!$B:$B,"Sunday")=0,"",SUMIFS('NSE - NIFTY Index Options'!$M:$M,'NSE - NIFTY Index Options'!$D:$D,$A170,'NSE - NIFTY Index Options'!$B:$B,"Sunday")+SUMIFS('NSE - Other Index Options'!$M:$M,'NSE - Other Index Options'!$D:$D,$A170,'NSE - Other Index Options'!$B:$B,"Sunday"))</f>
        <v/>
      </c>
      <c r="C170" s="26">
        <f>IF(SUMIFS('BSE - SENSEX Index Options'!$M:$M,'BSE - SENSEX Index Options'!$D:$D,$A170,'BSE - SENSEX Index Options'!$B:$B,"Sunday")+SUMIFS('BSE - Other Index Options'!$M:$M,'BSE - Other Index Options'!$D:$D,$A170,'BSE - Other Index Options'!$B:$B,"Sunday")=0,"",SUMIFS('BSE - SENSEX Index Options'!$M:$M,'BSE - SENSEX Index Options'!$D:$D,$A170,'BSE - SENSEX Index Options'!$B:$B,"Sunday")+SUMIFS('BSE - Other Index Options'!$M:$M,'BSE - Other Index Options'!$D:$D,$A170,'BSE - Other Index Options'!$B:$B,"Sunday"))</f>
        <v/>
      </c>
      <c r="D170" s="27">
        <f>IF(SUM(B170:C170)=0,"",SUM(B170)/SUM(B170:C170))</f>
        <v/>
      </c>
      <c r="E170" s="27">
        <f>IF(SUM(B170:C170)=0,"",SUM(C170)/SUM(B170:C170))</f>
        <v/>
      </c>
    </row>
    <row r="171">
      <c r="A171" s="24" t="n">
        <v>46082</v>
      </c>
      <c r="B171" s="26">
        <f>IF(SUMIFS('NSE - NIFTY Index Options'!$M:$M,'NSE - NIFTY Index Options'!$D:$D,$A171,'NSE - NIFTY Index Options'!$B:$B,"Sunday")+SUMIFS('NSE - Other Index Options'!$M:$M,'NSE - Other Index Options'!$D:$D,$A171,'NSE - Other Index Options'!$B:$B,"Sunday")=0,"",SUMIFS('NSE - NIFTY Index Options'!$M:$M,'NSE - NIFTY Index Options'!$D:$D,$A171,'NSE - NIFTY Index Options'!$B:$B,"Sunday")+SUMIFS('NSE - Other Index Options'!$M:$M,'NSE - Other Index Options'!$D:$D,$A171,'NSE - Other Index Options'!$B:$B,"Sunday"))</f>
        <v/>
      </c>
      <c r="C171" s="26">
        <f>IF(SUMIFS('BSE - SENSEX Index Options'!$M:$M,'BSE - SENSEX Index Options'!$D:$D,$A171,'BSE - SENSEX Index Options'!$B:$B,"Sunday")+SUMIFS('BSE - Other Index Options'!$M:$M,'BSE - Other Index Options'!$D:$D,$A171,'BSE - Other Index Options'!$B:$B,"Sunday")=0,"",SUMIFS('BSE - SENSEX Index Options'!$M:$M,'BSE - SENSEX Index Options'!$D:$D,$A171,'BSE - SENSEX Index Options'!$B:$B,"Sunday")+SUMIFS('BSE - Other Index Options'!$M:$M,'BSE - Other Index Options'!$D:$D,$A171,'BSE - Other Index Options'!$B:$B,"Sunday"))</f>
        <v/>
      </c>
      <c r="D171" s="27">
        <f>IF(SUM(B171:C171)=0,"",SUM(B171)/SUM(B171:C171))</f>
        <v/>
      </c>
      <c r="E171" s="27">
        <f>IF(SUM(B171:C171)=0,"",SUM(C171)/SUM(B171:C171))</f>
        <v/>
      </c>
    </row>
    <row r="172">
      <c r="A172" s="24" t="n">
        <v>46113</v>
      </c>
      <c r="B172" s="26">
        <f>IF(SUMIFS('NSE - NIFTY Index Options'!$M:$M,'NSE - NIFTY Index Options'!$D:$D,$A172,'NSE - NIFTY Index Options'!$B:$B,"Sunday")+SUMIFS('NSE - Other Index Options'!$M:$M,'NSE - Other Index Options'!$D:$D,$A172,'NSE - Other Index Options'!$B:$B,"Sunday")=0,"",SUMIFS('NSE - NIFTY Index Options'!$M:$M,'NSE - NIFTY Index Options'!$D:$D,$A172,'NSE - NIFTY Index Options'!$B:$B,"Sunday")+SUMIFS('NSE - Other Index Options'!$M:$M,'NSE - Other Index Options'!$D:$D,$A172,'NSE - Other Index Options'!$B:$B,"Sunday"))</f>
        <v/>
      </c>
      <c r="C172" s="26">
        <f>IF(SUMIFS('BSE - SENSEX Index Options'!$M:$M,'BSE - SENSEX Index Options'!$D:$D,$A172,'BSE - SENSEX Index Options'!$B:$B,"Sunday")+SUMIFS('BSE - Other Index Options'!$M:$M,'BSE - Other Index Options'!$D:$D,$A172,'BSE - Other Index Options'!$B:$B,"Sunday")=0,"",SUMIFS('BSE - SENSEX Index Options'!$M:$M,'BSE - SENSEX Index Options'!$D:$D,$A172,'BSE - SENSEX Index Options'!$B:$B,"Sunday")+SUMIFS('BSE - Other Index Options'!$M:$M,'BSE - Other Index Options'!$D:$D,$A172,'BSE - Other Index Options'!$B:$B,"Sunday"))</f>
        <v/>
      </c>
      <c r="D172" s="27">
        <f>IF(SUM(B172:C172)=0,"",SUM(B172)/SUM(B172:C172))</f>
        <v/>
      </c>
      <c r="E172" s="27">
        <f>IF(SUM(B172:C172)=0,"",SUM(C172)/SUM(B172:C172))</f>
        <v/>
      </c>
    </row>
    <row r="173">
      <c r="A173" s="24" t="n">
        <v>46143</v>
      </c>
      <c r="B173" s="26">
        <f>IF(SUMIFS('NSE - NIFTY Index Options'!$M:$M,'NSE - NIFTY Index Options'!$D:$D,$A173,'NSE - NIFTY Index Options'!$B:$B,"Sunday")+SUMIFS('NSE - Other Index Options'!$M:$M,'NSE - Other Index Options'!$D:$D,$A173,'NSE - Other Index Options'!$B:$B,"Sunday")=0,"",SUMIFS('NSE - NIFTY Index Options'!$M:$M,'NSE - NIFTY Index Options'!$D:$D,$A173,'NSE - NIFTY Index Options'!$B:$B,"Sunday")+SUMIFS('NSE - Other Index Options'!$M:$M,'NSE - Other Index Options'!$D:$D,$A173,'NSE - Other Index Options'!$B:$B,"Sunday"))</f>
        <v/>
      </c>
      <c r="C173" s="26">
        <f>IF(SUMIFS('BSE - SENSEX Index Options'!$M:$M,'BSE - SENSEX Index Options'!$D:$D,$A173,'BSE - SENSEX Index Options'!$B:$B,"Sunday")+SUMIFS('BSE - Other Index Options'!$M:$M,'BSE - Other Index Options'!$D:$D,$A173,'BSE - Other Index Options'!$B:$B,"Sunday")=0,"",SUMIFS('BSE - SENSEX Index Options'!$M:$M,'BSE - SENSEX Index Options'!$D:$D,$A173,'BSE - SENSEX Index Options'!$B:$B,"Sunday")+SUMIFS('BSE - Other Index Options'!$M:$M,'BSE - Other Index Options'!$D:$D,$A173,'BSE - Other Index Options'!$B:$B,"Sunday"))</f>
        <v/>
      </c>
      <c r="D173" s="27">
        <f>IF(SUM(B173:C173)=0,"",SUM(B173)/SUM(B173:C173))</f>
        <v/>
      </c>
      <c r="E173" s="27">
        <f>IF(SUM(B173:C173)=0,"",SUM(C173)/SUM(B173:C173))</f>
        <v/>
      </c>
    </row>
    <row r="174">
      <c r="A174" s="24" t="n">
        <v>46174</v>
      </c>
      <c r="B174" s="26">
        <f>IF(SUMIFS('NSE - NIFTY Index Options'!$M:$M,'NSE - NIFTY Index Options'!$D:$D,$A174,'NSE - NIFTY Index Options'!$B:$B,"Sunday")+SUMIFS('NSE - Other Index Options'!$M:$M,'NSE - Other Index Options'!$D:$D,$A174,'NSE - Other Index Options'!$B:$B,"Sunday")=0,"",SUMIFS('NSE - NIFTY Index Options'!$M:$M,'NSE - NIFTY Index Options'!$D:$D,$A174,'NSE - NIFTY Index Options'!$B:$B,"Sunday")+SUMIFS('NSE - Other Index Options'!$M:$M,'NSE - Other Index Options'!$D:$D,$A174,'NSE - Other Index Options'!$B:$B,"Sunday"))</f>
        <v/>
      </c>
      <c r="C174" s="26">
        <f>IF(SUMIFS('BSE - SENSEX Index Options'!$M:$M,'BSE - SENSEX Index Options'!$D:$D,$A174,'BSE - SENSEX Index Options'!$B:$B,"Sunday")+SUMIFS('BSE - Other Index Options'!$M:$M,'BSE - Other Index Options'!$D:$D,$A174,'BSE - Other Index Options'!$B:$B,"Sunday")=0,"",SUMIFS('BSE - SENSEX Index Options'!$M:$M,'BSE - SENSEX Index Options'!$D:$D,$A174,'BSE - SENSEX Index Options'!$B:$B,"Sunday")+SUMIFS('BSE - Other Index Options'!$M:$M,'BSE - Other Index Options'!$D:$D,$A174,'BSE - Other Index Options'!$B:$B,"Sunday"))</f>
        <v/>
      </c>
      <c r="D174" s="27">
        <f>IF(SUM(B174:C174)=0,"",SUM(B174)/SUM(B174:C174))</f>
        <v/>
      </c>
      <c r="E174" s="27">
        <f>IF(SUM(B174:C174)=0,"",SUM(C174)/SUM(B174:C174))</f>
        <v/>
      </c>
    </row>
    <row r="175">
      <c r="A175" s="24" t="n">
        <v>46204</v>
      </c>
      <c r="B175" s="26">
        <f>IF(SUMIFS('NSE - NIFTY Index Options'!$M:$M,'NSE - NIFTY Index Options'!$D:$D,$A175,'NSE - NIFTY Index Options'!$B:$B,"Sunday")+SUMIFS('NSE - Other Index Options'!$M:$M,'NSE - Other Index Options'!$D:$D,$A175,'NSE - Other Index Options'!$B:$B,"Sunday")=0,"",SUMIFS('NSE - NIFTY Index Options'!$M:$M,'NSE - NIFTY Index Options'!$D:$D,$A175,'NSE - NIFTY Index Options'!$B:$B,"Sunday")+SUMIFS('NSE - Other Index Options'!$M:$M,'NSE - Other Index Options'!$D:$D,$A175,'NSE - Other Index Options'!$B:$B,"Sunday"))</f>
        <v/>
      </c>
      <c r="C175" s="26">
        <f>IF(SUMIFS('BSE - SENSEX Index Options'!$M:$M,'BSE - SENSEX Index Options'!$D:$D,$A175,'BSE - SENSEX Index Options'!$B:$B,"Sunday")+SUMIFS('BSE - Other Index Options'!$M:$M,'BSE - Other Index Options'!$D:$D,$A175,'BSE - Other Index Options'!$B:$B,"Sunday")=0,"",SUMIFS('BSE - SENSEX Index Options'!$M:$M,'BSE - SENSEX Index Options'!$D:$D,$A175,'BSE - SENSEX Index Options'!$B:$B,"Sunday")+SUMIFS('BSE - Other Index Options'!$M:$M,'BSE - Other Index Options'!$D:$D,$A175,'BSE - Other Index Options'!$B:$B,"Sunday"))</f>
        <v/>
      </c>
      <c r="D175" s="27">
        <f>IF(SUM(B175:C175)=0,"",SUM(B175)/SUM(B175:C175))</f>
        <v/>
      </c>
      <c r="E175" s="27">
        <f>IF(SUM(B175:C175)=0,"",SUM(C175)/SUM(B175:C175))</f>
        <v/>
      </c>
    </row>
    <row r="176">
      <c r="A176" s="24" t="n">
        <v>46235</v>
      </c>
      <c r="B176" s="26">
        <f>IF(SUMIFS('NSE - NIFTY Index Options'!$M:$M,'NSE - NIFTY Index Options'!$D:$D,$A176,'NSE - NIFTY Index Options'!$B:$B,"Sunday")+SUMIFS('NSE - Other Index Options'!$M:$M,'NSE - Other Index Options'!$D:$D,$A176,'NSE - Other Index Options'!$B:$B,"Sunday")=0,"",SUMIFS('NSE - NIFTY Index Options'!$M:$M,'NSE - NIFTY Index Options'!$D:$D,$A176,'NSE - NIFTY Index Options'!$B:$B,"Sunday")+SUMIFS('NSE - Other Index Options'!$M:$M,'NSE - Other Index Options'!$D:$D,$A176,'NSE - Other Index Options'!$B:$B,"Sunday"))</f>
        <v/>
      </c>
      <c r="C176" s="26">
        <f>IF(SUMIFS('BSE - SENSEX Index Options'!$M:$M,'BSE - SENSEX Index Options'!$D:$D,$A176,'BSE - SENSEX Index Options'!$B:$B,"Sunday")+SUMIFS('BSE - Other Index Options'!$M:$M,'BSE - Other Index Options'!$D:$D,$A176,'BSE - Other Index Options'!$B:$B,"Sunday")=0,"",SUMIFS('BSE - SENSEX Index Options'!$M:$M,'BSE - SENSEX Index Options'!$D:$D,$A176,'BSE - SENSEX Index Options'!$B:$B,"Sunday")+SUMIFS('BSE - Other Index Options'!$M:$M,'BSE - Other Index Options'!$D:$D,$A176,'BSE - Other Index Options'!$B:$B,"Sunday"))</f>
        <v/>
      </c>
      <c r="D176" s="27">
        <f>IF(SUM(B176:C176)=0,"",SUM(B176)/SUM(B176:C176))</f>
        <v/>
      </c>
      <c r="E176" s="27">
        <f>IF(SUM(B176:C176)=0,"",SUM(C176)/SUM(B176:C176))</f>
        <v/>
      </c>
    </row>
    <row r="177" hidden="1" outlineLevel="1">
      <c r="A177" s="24" t="n">
        <v>46266</v>
      </c>
      <c r="B177" s="26">
        <f>IF(SUMIFS('NSE - NIFTY Index Options'!$M:$M,'NSE - NIFTY Index Options'!$D:$D,$A177,'NSE - NIFTY Index Options'!$B:$B,"Sunday")+SUMIFS('NSE - Other Index Options'!$M:$M,'NSE - Other Index Options'!$D:$D,$A177,'NSE - Other Index Options'!$B:$B,"Sunday")=0,"",SUMIFS('NSE - NIFTY Index Options'!$M:$M,'NSE - NIFTY Index Options'!$D:$D,$A177,'NSE - NIFTY Index Options'!$B:$B,"Sunday")+SUMIFS('NSE - Other Index Options'!$M:$M,'NSE - Other Index Options'!$D:$D,$A177,'NSE - Other Index Options'!$B:$B,"Sunday"))</f>
        <v/>
      </c>
      <c r="C177" s="26">
        <f>IF(SUMIFS('BSE - SENSEX Index Options'!$M:$M,'BSE - SENSEX Index Options'!$D:$D,$A177,'BSE - SENSEX Index Options'!$B:$B,"Sunday")+SUMIFS('BSE - Other Index Options'!$M:$M,'BSE - Other Index Options'!$D:$D,$A177,'BSE - Other Index Options'!$B:$B,"Sunday")=0,"",SUMIFS('BSE - SENSEX Index Options'!$M:$M,'BSE - SENSEX Index Options'!$D:$D,$A177,'BSE - SENSEX Index Options'!$B:$B,"Sunday")+SUMIFS('BSE - Other Index Options'!$M:$M,'BSE - Other Index Options'!$D:$D,$A177,'BSE - Other Index Options'!$B:$B,"Sunday"))</f>
        <v/>
      </c>
      <c r="D177" s="27">
        <f>IF(SUM(B177:C177)=0,"",SUM(B177)/SUM(B177:C177))</f>
        <v/>
      </c>
      <c r="E177" s="27">
        <f>IF(SUM(B177:C177)=0,"",SUM(C177)/SUM(B177:C177))</f>
        <v/>
      </c>
    </row>
    <row r="178" hidden="1" outlineLevel="1">
      <c r="A178" s="24" t="n">
        <v>46296</v>
      </c>
      <c r="B178" s="26">
        <f>IF(SUMIFS('NSE - NIFTY Index Options'!$M:$M,'NSE - NIFTY Index Options'!$D:$D,$A178,'NSE - NIFTY Index Options'!$B:$B,"Sunday")+SUMIFS('NSE - Other Index Options'!$M:$M,'NSE - Other Index Options'!$D:$D,$A178,'NSE - Other Index Options'!$B:$B,"Sunday")=0,"",SUMIFS('NSE - NIFTY Index Options'!$M:$M,'NSE - NIFTY Index Options'!$D:$D,$A178,'NSE - NIFTY Index Options'!$B:$B,"Sunday")+SUMIFS('NSE - Other Index Options'!$M:$M,'NSE - Other Index Options'!$D:$D,$A178,'NSE - Other Index Options'!$B:$B,"Sunday"))</f>
        <v/>
      </c>
      <c r="C178" s="26">
        <f>IF(SUMIFS('BSE - SENSEX Index Options'!$M:$M,'BSE - SENSEX Index Options'!$D:$D,$A178,'BSE - SENSEX Index Options'!$B:$B,"Sunday")+SUMIFS('BSE - Other Index Options'!$M:$M,'BSE - Other Index Options'!$D:$D,$A178,'BSE - Other Index Options'!$B:$B,"Sunday")=0,"",SUMIFS('BSE - SENSEX Index Options'!$M:$M,'BSE - SENSEX Index Options'!$D:$D,$A178,'BSE - SENSEX Index Options'!$B:$B,"Sunday")+SUMIFS('BSE - Other Index Options'!$M:$M,'BSE - Other Index Options'!$D:$D,$A178,'BSE - Other Index Options'!$B:$B,"Sunday"))</f>
        <v/>
      </c>
      <c r="D178" s="27">
        <f>IF(SUM(B178:C178)=0,"",SUM(B178)/SUM(B178:C178))</f>
        <v/>
      </c>
      <c r="E178" s="27">
        <f>IF(SUM(B178:C178)=0,"",SUM(C178)/SUM(B178:C178))</f>
        <v/>
      </c>
    </row>
    <row r="179" hidden="1" outlineLevel="1">
      <c r="A179" s="24" t="n">
        <v>46327</v>
      </c>
      <c r="B179" s="26">
        <f>IF(SUMIFS('NSE - NIFTY Index Options'!$M:$M,'NSE - NIFTY Index Options'!$D:$D,$A179,'NSE - NIFTY Index Options'!$B:$B,"Sunday")+SUMIFS('NSE - Other Index Options'!$M:$M,'NSE - Other Index Options'!$D:$D,$A179,'NSE - Other Index Options'!$B:$B,"Sunday")=0,"",SUMIFS('NSE - NIFTY Index Options'!$M:$M,'NSE - NIFTY Index Options'!$D:$D,$A179,'NSE - NIFTY Index Options'!$B:$B,"Sunday")+SUMIFS('NSE - Other Index Options'!$M:$M,'NSE - Other Index Options'!$D:$D,$A179,'NSE - Other Index Options'!$B:$B,"Sunday"))</f>
        <v/>
      </c>
      <c r="C179" s="26">
        <f>IF(SUMIFS('BSE - SENSEX Index Options'!$M:$M,'BSE - SENSEX Index Options'!$D:$D,$A179,'BSE - SENSEX Index Options'!$B:$B,"Sunday")+SUMIFS('BSE - Other Index Options'!$M:$M,'BSE - Other Index Options'!$D:$D,$A179,'BSE - Other Index Options'!$B:$B,"Sunday")=0,"",SUMIFS('BSE - SENSEX Index Options'!$M:$M,'BSE - SENSEX Index Options'!$D:$D,$A179,'BSE - SENSEX Index Options'!$B:$B,"Sunday")+SUMIFS('BSE - Other Index Options'!$M:$M,'BSE - Other Index Options'!$D:$D,$A179,'BSE - Other Index Options'!$B:$B,"Sunday"))</f>
        <v/>
      </c>
      <c r="D179" s="27">
        <f>IF(SUM(B179:C179)=0,"",SUM(B179)/SUM(B179:C179))</f>
        <v/>
      </c>
      <c r="E179" s="27">
        <f>IF(SUM(B179:C179)=0,"",SUM(C179)/SUM(B179:C179))</f>
        <v/>
      </c>
    </row>
    <row r="180" hidden="1" outlineLevel="1">
      <c r="A180" s="24" t="n">
        <v>46357</v>
      </c>
      <c r="B180" s="26">
        <f>IF(SUMIFS('NSE - NIFTY Index Options'!$M:$M,'NSE - NIFTY Index Options'!$D:$D,$A180,'NSE - NIFTY Index Options'!$B:$B,"Sunday")+SUMIFS('NSE - Other Index Options'!$M:$M,'NSE - Other Index Options'!$D:$D,$A180,'NSE - Other Index Options'!$B:$B,"Sunday")=0,"",SUMIFS('NSE - NIFTY Index Options'!$M:$M,'NSE - NIFTY Index Options'!$D:$D,$A180,'NSE - NIFTY Index Options'!$B:$B,"Sunday")+SUMIFS('NSE - Other Index Options'!$M:$M,'NSE - Other Index Options'!$D:$D,$A180,'NSE - Other Index Options'!$B:$B,"Sunday"))</f>
        <v/>
      </c>
      <c r="C180" s="26">
        <f>IF(SUMIFS('BSE - SENSEX Index Options'!$M:$M,'BSE - SENSEX Index Options'!$D:$D,$A180,'BSE - SENSEX Index Options'!$B:$B,"Sunday")+SUMIFS('BSE - Other Index Options'!$M:$M,'BSE - Other Index Options'!$D:$D,$A180,'BSE - Other Index Options'!$B:$B,"Sunday")=0,"",SUMIFS('BSE - SENSEX Index Options'!$M:$M,'BSE - SENSEX Index Options'!$D:$D,$A180,'BSE - SENSEX Index Options'!$B:$B,"Sunday")+SUMIFS('BSE - Other Index Options'!$M:$M,'BSE - Other Index Options'!$D:$D,$A180,'BSE - Other Index Options'!$B:$B,"Sunday"))</f>
        <v/>
      </c>
      <c r="D180" s="27">
        <f>IF(SUM(B180:C180)=0,"",SUM(B180)/SUM(B180:C180))</f>
        <v/>
      </c>
      <c r="E180" s="27">
        <f>IF(SUM(B180:C180)=0,"",SUM(C180)/SUM(B180:C180))</f>
        <v/>
      </c>
    </row>
    <row r="181" hidden="1" outlineLevel="1">
      <c r="A181" s="24" t="n">
        <v>46388</v>
      </c>
      <c r="B181" s="26">
        <f>IF(SUMIFS('NSE - NIFTY Index Options'!$M:$M,'NSE - NIFTY Index Options'!$D:$D,$A181,'NSE - NIFTY Index Options'!$B:$B,"Sunday")+SUMIFS('NSE - Other Index Options'!$M:$M,'NSE - Other Index Options'!$D:$D,$A181,'NSE - Other Index Options'!$B:$B,"Sunday")=0,"",SUMIFS('NSE - NIFTY Index Options'!$M:$M,'NSE - NIFTY Index Options'!$D:$D,$A181,'NSE - NIFTY Index Options'!$B:$B,"Sunday")+SUMIFS('NSE - Other Index Options'!$M:$M,'NSE - Other Index Options'!$D:$D,$A181,'NSE - Other Index Options'!$B:$B,"Sunday"))</f>
        <v/>
      </c>
      <c r="C181" s="26">
        <f>IF(SUMIFS('BSE - SENSEX Index Options'!$M:$M,'BSE - SENSEX Index Options'!$D:$D,$A181,'BSE - SENSEX Index Options'!$B:$B,"Sunday")+SUMIFS('BSE - Other Index Options'!$M:$M,'BSE - Other Index Options'!$D:$D,$A181,'BSE - Other Index Options'!$B:$B,"Sunday")=0,"",SUMIFS('BSE - SENSEX Index Options'!$M:$M,'BSE - SENSEX Index Options'!$D:$D,$A181,'BSE - SENSEX Index Options'!$B:$B,"Sunday")+SUMIFS('BSE - Other Index Options'!$M:$M,'BSE - Other Index Options'!$D:$D,$A181,'BSE - Other Index Options'!$B:$B,"Sunday"))</f>
        <v/>
      </c>
      <c r="D181" s="27">
        <f>IF(SUM(B181:C181)=0,"",SUM(B181)/SUM(B181:C181))</f>
        <v/>
      </c>
      <c r="E181" s="27">
        <f>IF(SUM(B181:C181)=0,"",SUM(C181)/SUM(B181:C181))</f>
        <v/>
      </c>
    </row>
    <row r="182" hidden="1" outlineLevel="1">
      <c r="A182" s="24" t="n">
        <v>46419</v>
      </c>
      <c r="B182" s="26">
        <f>IF(SUMIFS('NSE - NIFTY Index Options'!$M:$M,'NSE - NIFTY Index Options'!$D:$D,$A182,'NSE - NIFTY Index Options'!$B:$B,"Sunday")+SUMIFS('NSE - Other Index Options'!$M:$M,'NSE - Other Index Options'!$D:$D,$A182,'NSE - Other Index Options'!$B:$B,"Sunday")=0,"",SUMIFS('NSE - NIFTY Index Options'!$M:$M,'NSE - NIFTY Index Options'!$D:$D,$A182,'NSE - NIFTY Index Options'!$B:$B,"Sunday")+SUMIFS('NSE - Other Index Options'!$M:$M,'NSE - Other Index Options'!$D:$D,$A182,'NSE - Other Index Options'!$B:$B,"Sunday"))</f>
        <v/>
      </c>
      <c r="C182" s="26">
        <f>IF(SUMIFS('BSE - SENSEX Index Options'!$M:$M,'BSE - SENSEX Index Options'!$D:$D,$A182,'BSE - SENSEX Index Options'!$B:$B,"Sunday")+SUMIFS('BSE - Other Index Options'!$M:$M,'BSE - Other Index Options'!$D:$D,$A182,'BSE - Other Index Options'!$B:$B,"Sunday")=0,"",SUMIFS('BSE - SENSEX Index Options'!$M:$M,'BSE - SENSEX Index Options'!$D:$D,$A182,'BSE - SENSEX Index Options'!$B:$B,"Sunday")+SUMIFS('BSE - Other Index Options'!$M:$M,'BSE - Other Index Options'!$D:$D,$A182,'BSE - Other Index Options'!$B:$B,"Sunday"))</f>
        <v/>
      </c>
      <c r="D182" s="27">
        <f>IF(SUM(B182:C182)=0,"",SUM(B182)/SUM(B182:C182))</f>
        <v/>
      </c>
      <c r="E182" s="27">
        <f>IF(SUM(B182:C182)=0,"",SUM(C182)/SUM(B182:C182))</f>
        <v/>
      </c>
    </row>
    <row r="183" hidden="1" outlineLevel="1">
      <c r="A183" s="24" t="n">
        <v>46447</v>
      </c>
      <c r="B183" s="26">
        <f>IF(SUMIFS('NSE - NIFTY Index Options'!$M:$M,'NSE - NIFTY Index Options'!$D:$D,$A183,'NSE - NIFTY Index Options'!$B:$B,"Sunday")+SUMIFS('NSE - Other Index Options'!$M:$M,'NSE - Other Index Options'!$D:$D,$A183,'NSE - Other Index Options'!$B:$B,"Sunday")=0,"",SUMIFS('NSE - NIFTY Index Options'!$M:$M,'NSE - NIFTY Index Options'!$D:$D,$A183,'NSE - NIFTY Index Options'!$B:$B,"Sunday")+SUMIFS('NSE - Other Index Options'!$M:$M,'NSE - Other Index Options'!$D:$D,$A183,'NSE - Other Index Options'!$B:$B,"Sunday"))</f>
        <v/>
      </c>
      <c r="C183" s="26">
        <f>IF(SUMIFS('BSE - SENSEX Index Options'!$M:$M,'BSE - SENSEX Index Options'!$D:$D,$A183,'BSE - SENSEX Index Options'!$B:$B,"Sunday")+SUMIFS('BSE - Other Index Options'!$M:$M,'BSE - Other Index Options'!$D:$D,$A183,'BSE - Other Index Options'!$B:$B,"Sunday")=0,"",SUMIFS('BSE - SENSEX Index Options'!$M:$M,'BSE - SENSEX Index Options'!$D:$D,$A183,'BSE - SENSEX Index Options'!$B:$B,"Sunday")+SUMIFS('BSE - Other Index Options'!$M:$M,'BSE - Other Index Options'!$D:$D,$A183,'BSE - Other Index Options'!$B:$B,"Sunday"))</f>
        <v/>
      </c>
      <c r="D183" s="27">
        <f>IF(SUM(B183:C183)=0,"",SUM(B183)/SUM(B183:C183))</f>
        <v/>
      </c>
      <c r="E183" s="27">
        <f>IF(SUM(B183:C183)=0,"",SUM(C183)/SUM(B183:C183))</f>
        <v/>
      </c>
    </row>
    <row r="184" hidden="1" outlineLevel="1">
      <c r="A184" s="24" t="n">
        <v>46478</v>
      </c>
      <c r="B184" s="26">
        <f>IF(SUMIFS('NSE - NIFTY Index Options'!$M:$M,'NSE - NIFTY Index Options'!$D:$D,$A184,'NSE - NIFTY Index Options'!$B:$B,"Sunday")+SUMIFS('NSE - Other Index Options'!$M:$M,'NSE - Other Index Options'!$D:$D,$A184,'NSE - Other Index Options'!$B:$B,"Sunday")=0,"",SUMIFS('NSE - NIFTY Index Options'!$M:$M,'NSE - NIFTY Index Options'!$D:$D,$A184,'NSE - NIFTY Index Options'!$B:$B,"Sunday")+SUMIFS('NSE - Other Index Options'!$M:$M,'NSE - Other Index Options'!$D:$D,$A184,'NSE - Other Index Options'!$B:$B,"Sunday"))</f>
        <v/>
      </c>
      <c r="C184" s="26">
        <f>IF(SUMIFS('BSE - SENSEX Index Options'!$M:$M,'BSE - SENSEX Index Options'!$D:$D,$A184,'BSE - SENSEX Index Options'!$B:$B,"Sunday")+SUMIFS('BSE - Other Index Options'!$M:$M,'BSE - Other Index Options'!$D:$D,$A184,'BSE - Other Index Options'!$B:$B,"Sunday")=0,"",SUMIFS('BSE - SENSEX Index Options'!$M:$M,'BSE - SENSEX Index Options'!$D:$D,$A184,'BSE - SENSEX Index Options'!$B:$B,"Sunday")+SUMIFS('BSE - Other Index Options'!$M:$M,'BSE - Other Index Options'!$D:$D,$A184,'BSE - Other Index Options'!$B:$B,"Sunday"))</f>
        <v/>
      </c>
      <c r="D184" s="27">
        <f>IF(SUM(B184:C184)=0,"",SUM(B184)/SUM(B184:C184))</f>
        <v/>
      </c>
      <c r="E184" s="27">
        <f>IF(SUM(B184:C184)=0,"",SUM(C184)/SUM(B184:C184))</f>
        <v/>
      </c>
    </row>
    <row r="185" hidden="1" outlineLevel="1">
      <c r="A185" s="24" t="n">
        <v>46508</v>
      </c>
      <c r="B185" s="26">
        <f>IF(SUMIFS('NSE - NIFTY Index Options'!$M:$M,'NSE - NIFTY Index Options'!$D:$D,$A185,'NSE - NIFTY Index Options'!$B:$B,"Sunday")+SUMIFS('NSE - Other Index Options'!$M:$M,'NSE - Other Index Options'!$D:$D,$A185,'NSE - Other Index Options'!$B:$B,"Sunday")=0,"",SUMIFS('NSE - NIFTY Index Options'!$M:$M,'NSE - NIFTY Index Options'!$D:$D,$A185,'NSE - NIFTY Index Options'!$B:$B,"Sunday")+SUMIFS('NSE - Other Index Options'!$M:$M,'NSE - Other Index Options'!$D:$D,$A185,'NSE - Other Index Options'!$B:$B,"Sunday"))</f>
        <v/>
      </c>
      <c r="C185" s="26">
        <f>IF(SUMIFS('BSE - SENSEX Index Options'!$M:$M,'BSE - SENSEX Index Options'!$D:$D,$A185,'BSE - SENSEX Index Options'!$B:$B,"Sunday")+SUMIFS('BSE - Other Index Options'!$M:$M,'BSE - Other Index Options'!$D:$D,$A185,'BSE - Other Index Options'!$B:$B,"Sunday")=0,"",SUMIFS('BSE - SENSEX Index Options'!$M:$M,'BSE - SENSEX Index Options'!$D:$D,$A185,'BSE - SENSEX Index Options'!$B:$B,"Sunday")+SUMIFS('BSE - Other Index Options'!$M:$M,'BSE - Other Index Options'!$D:$D,$A185,'BSE - Other Index Options'!$B:$B,"Sunday"))</f>
        <v/>
      </c>
      <c r="D185" s="27">
        <f>IF(SUM(B185:C185)=0,"",SUM(B185)/SUM(B185:C185))</f>
        <v/>
      </c>
      <c r="E185" s="27">
        <f>IF(SUM(B185:C185)=0,"",SUM(C185)/SUM(B185:C185))</f>
        <v/>
      </c>
    </row>
    <row r="186" hidden="1" outlineLevel="1">
      <c r="A186" s="24" t="n">
        <v>46539</v>
      </c>
      <c r="B186" s="26">
        <f>IF(SUMIFS('NSE - NIFTY Index Options'!$M:$M,'NSE - NIFTY Index Options'!$D:$D,$A186,'NSE - NIFTY Index Options'!$B:$B,"Sunday")+SUMIFS('NSE - Other Index Options'!$M:$M,'NSE - Other Index Options'!$D:$D,$A186,'NSE - Other Index Options'!$B:$B,"Sunday")=0,"",SUMIFS('NSE - NIFTY Index Options'!$M:$M,'NSE - NIFTY Index Options'!$D:$D,$A186,'NSE - NIFTY Index Options'!$B:$B,"Sunday")+SUMIFS('NSE - Other Index Options'!$M:$M,'NSE - Other Index Options'!$D:$D,$A186,'NSE - Other Index Options'!$B:$B,"Sunday"))</f>
        <v/>
      </c>
      <c r="C186" s="26">
        <f>IF(SUMIFS('BSE - SENSEX Index Options'!$M:$M,'BSE - SENSEX Index Options'!$D:$D,$A186,'BSE - SENSEX Index Options'!$B:$B,"Sunday")+SUMIFS('BSE - Other Index Options'!$M:$M,'BSE - Other Index Options'!$D:$D,$A186,'BSE - Other Index Options'!$B:$B,"Sunday")=0,"",SUMIFS('BSE - SENSEX Index Options'!$M:$M,'BSE - SENSEX Index Options'!$D:$D,$A186,'BSE - SENSEX Index Options'!$B:$B,"Sunday")+SUMIFS('BSE - Other Index Options'!$M:$M,'BSE - Other Index Options'!$D:$D,$A186,'BSE - Other Index Options'!$B:$B,"Sunday"))</f>
        <v/>
      </c>
      <c r="D186" s="27">
        <f>IF(SUM(B186:C186)=0,"",SUM(B186)/SUM(B186:C186))</f>
        <v/>
      </c>
      <c r="E186" s="27">
        <f>IF(SUM(B186:C186)=0,"",SUM(C186)/SUM(B186:C186))</f>
        <v/>
      </c>
    </row>
    <row r="187" hidden="1" outlineLevel="1">
      <c r="A187" s="24" t="n">
        <v>46569</v>
      </c>
      <c r="B187" s="26">
        <f>IF(SUMIFS('NSE - NIFTY Index Options'!$M:$M,'NSE - NIFTY Index Options'!$D:$D,$A187,'NSE - NIFTY Index Options'!$B:$B,"Sunday")+SUMIFS('NSE - Other Index Options'!$M:$M,'NSE - Other Index Options'!$D:$D,$A187,'NSE - Other Index Options'!$B:$B,"Sunday")=0,"",SUMIFS('NSE - NIFTY Index Options'!$M:$M,'NSE - NIFTY Index Options'!$D:$D,$A187,'NSE - NIFTY Index Options'!$B:$B,"Sunday")+SUMIFS('NSE - Other Index Options'!$M:$M,'NSE - Other Index Options'!$D:$D,$A187,'NSE - Other Index Options'!$B:$B,"Sunday"))</f>
        <v/>
      </c>
      <c r="C187" s="26">
        <f>IF(SUMIFS('BSE - SENSEX Index Options'!$M:$M,'BSE - SENSEX Index Options'!$D:$D,$A187,'BSE - SENSEX Index Options'!$B:$B,"Sunday")+SUMIFS('BSE - Other Index Options'!$M:$M,'BSE - Other Index Options'!$D:$D,$A187,'BSE - Other Index Options'!$B:$B,"Sunday")=0,"",SUMIFS('BSE - SENSEX Index Options'!$M:$M,'BSE - SENSEX Index Options'!$D:$D,$A187,'BSE - SENSEX Index Options'!$B:$B,"Sunday")+SUMIFS('BSE - Other Index Options'!$M:$M,'BSE - Other Index Options'!$D:$D,$A187,'BSE - Other Index Options'!$B:$B,"Sunday"))</f>
        <v/>
      </c>
      <c r="D187" s="27">
        <f>IF(SUM(B187:C187)=0,"",SUM(B187)/SUM(B187:C187))</f>
        <v/>
      </c>
      <c r="E187" s="27">
        <f>IF(SUM(B187:C187)=0,"",SUM(C187)/SUM(B187:C187))</f>
        <v/>
      </c>
    </row>
    <row r="188" hidden="1" outlineLevel="1">
      <c r="A188" s="24" t="n">
        <v>46600</v>
      </c>
      <c r="B188" s="26">
        <f>IF(SUMIFS('NSE - NIFTY Index Options'!$M:$M,'NSE - NIFTY Index Options'!$D:$D,$A188,'NSE - NIFTY Index Options'!$B:$B,"Sunday")+SUMIFS('NSE - Other Index Options'!$M:$M,'NSE - Other Index Options'!$D:$D,$A188,'NSE - Other Index Options'!$B:$B,"Sunday")=0,"",SUMIFS('NSE - NIFTY Index Options'!$M:$M,'NSE - NIFTY Index Options'!$D:$D,$A188,'NSE - NIFTY Index Options'!$B:$B,"Sunday")+SUMIFS('NSE - Other Index Options'!$M:$M,'NSE - Other Index Options'!$D:$D,$A188,'NSE - Other Index Options'!$B:$B,"Sunday"))</f>
        <v/>
      </c>
      <c r="C188" s="26">
        <f>IF(SUMIFS('BSE - SENSEX Index Options'!$M:$M,'BSE - SENSEX Index Options'!$D:$D,$A188,'BSE - SENSEX Index Options'!$B:$B,"Sunday")+SUMIFS('BSE - Other Index Options'!$M:$M,'BSE - Other Index Options'!$D:$D,$A188,'BSE - Other Index Options'!$B:$B,"Sunday")=0,"",SUMIFS('BSE - SENSEX Index Options'!$M:$M,'BSE - SENSEX Index Options'!$D:$D,$A188,'BSE - SENSEX Index Options'!$B:$B,"Sunday")+SUMIFS('BSE - Other Index Options'!$M:$M,'BSE - Other Index Options'!$D:$D,$A188,'BSE - Other Index Options'!$B:$B,"Sunday"))</f>
        <v/>
      </c>
      <c r="D188" s="27">
        <f>IF(SUM(B188:C188)=0,"",SUM(B188)/SUM(B188:C188))</f>
        <v/>
      </c>
      <c r="E188" s="27">
        <f>IF(SUM(B188:C188)=0,"",SUM(C188)/SUM(B188:C188))</f>
        <v/>
      </c>
    </row>
    <row r="189" hidden="1" outlineLevel="1">
      <c r="A189" s="24" t="n">
        <v>46631</v>
      </c>
      <c r="B189" s="26">
        <f>IF(SUMIFS('NSE - NIFTY Index Options'!$M:$M,'NSE - NIFTY Index Options'!$D:$D,$A189,'NSE - NIFTY Index Options'!$B:$B,"Sunday")+SUMIFS('NSE - Other Index Options'!$M:$M,'NSE - Other Index Options'!$D:$D,$A189,'NSE - Other Index Options'!$B:$B,"Sunday")=0,"",SUMIFS('NSE - NIFTY Index Options'!$M:$M,'NSE - NIFTY Index Options'!$D:$D,$A189,'NSE - NIFTY Index Options'!$B:$B,"Sunday")+SUMIFS('NSE - Other Index Options'!$M:$M,'NSE - Other Index Options'!$D:$D,$A189,'NSE - Other Index Options'!$B:$B,"Sunday"))</f>
        <v/>
      </c>
      <c r="C189" s="26">
        <f>IF(SUMIFS('BSE - SENSEX Index Options'!$M:$M,'BSE - SENSEX Index Options'!$D:$D,$A189,'BSE - SENSEX Index Options'!$B:$B,"Sunday")+SUMIFS('BSE - Other Index Options'!$M:$M,'BSE - Other Index Options'!$D:$D,$A189,'BSE - Other Index Options'!$B:$B,"Sunday")=0,"",SUMIFS('BSE - SENSEX Index Options'!$M:$M,'BSE - SENSEX Index Options'!$D:$D,$A189,'BSE - SENSEX Index Options'!$B:$B,"Sunday")+SUMIFS('BSE - Other Index Options'!$M:$M,'BSE - Other Index Options'!$D:$D,$A189,'BSE - Other Index Options'!$B:$B,"Sunday"))</f>
        <v/>
      </c>
      <c r="D189" s="27">
        <f>IF(SUM(B189:C189)=0,"",SUM(B189)/SUM(B189:C189))</f>
        <v/>
      </c>
      <c r="E189" s="27">
        <f>IF(SUM(B189:C189)=0,"",SUM(C189)/SUM(B189:C189))</f>
        <v/>
      </c>
    </row>
    <row r="190" hidden="1" outlineLevel="1">
      <c r="A190" s="24" t="n">
        <v>46661</v>
      </c>
      <c r="B190" s="26">
        <f>IF(SUMIFS('NSE - NIFTY Index Options'!$M:$M,'NSE - NIFTY Index Options'!$D:$D,$A190,'NSE - NIFTY Index Options'!$B:$B,"Sunday")+SUMIFS('NSE - Other Index Options'!$M:$M,'NSE - Other Index Options'!$D:$D,$A190,'NSE - Other Index Options'!$B:$B,"Sunday")=0,"",SUMIFS('NSE - NIFTY Index Options'!$M:$M,'NSE - NIFTY Index Options'!$D:$D,$A190,'NSE - NIFTY Index Options'!$B:$B,"Sunday")+SUMIFS('NSE - Other Index Options'!$M:$M,'NSE - Other Index Options'!$D:$D,$A190,'NSE - Other Index Options'!$B:$B,"Sunday"))</f>
        <v/>
      </c>
      <c r="C190" s="26">
        <f>IF(SUMIFS('BSE - SENSEX Index Options'!$M:$M,'BSE - SENSEX Index Options'!$D:$D,$A190,'BSE - SENSEX Index Options'!$B:$B,"Sunday")+SUMIFS('BSE - Other Index Options'!$M:$M,'BSE - Other Index Options'!$D:$D,$A190,'BSE - Other Index Options'!$B:$B,"Sunday")=0,"",SUMIFS('BSE - SENSEX Index Options'!$M:$M,'BSE - SENSEX Index Options'!$D:$D,$A190,'BSE - SENSEX Index Options'!$B:$B,"Sunday")+SUMIFS('BSE - Other Index Options'!$M:$M,'BSE - Other Index Options'!$D:$D,$A190,'BSE - Other Index Options'!$B:$B,"Sunday"))</f>
        <v/>
      </c>
      <c r="D190" s="27">
        <f>IF(SUM(B190:C190)=0,"",SUM(B190)/SUM(B190:C190))</f>
        <v/>
      </c>
      <c r="E190" s="27">
        <f>IF(SUM(B190:C190)=0,"",SUM(C190)/SUM(B190:C190))</f>
        <v/>
      </c>
    </row>
    <row r="191" hidden="1" outlineLevel="1">
      <c r="A191" s="24" t="n">
        <v>46692</v>
      </c>
      <c r="B191" s="26">
        <f>IF(SUMIFS('NSE - NIFTY Index Options'!$M:$M,'NSE - NIFTY Index Options'!$D:$D,$A191,'NSE - NIFTY Index Options'!$B:$B,"Sunday")+SUMIFS('NSE - Other Index Options'!$M:$M,'NSE - Other Index Options'!$D:$D,$A191,'NSE - Other Index Options'!$B:$B,"Sunday")=0,"",SUMIFS('NSE - NIFTY Index Options'!$M:$M,'NSE - NIFTY Index Options'!$D:$D,$A191,'NSE - NIFTY Index Options'!$B:$B,"Sunday")+SUMIFS('NSE - Other Index Options'!$M:$M,'NSE - Other Index Options'!$D:$D,$A191,'NSE - Other Index Options'!$B:$B,"Sunday"))</f>
        <v/>
      </c>
      <c r="C191" s="26">
        <f>IF(SUMIFS('BSE - SENSEX Index Options'!$M:$M,'BSE - SENSEX Index Options'!$D:$D,$A191,'BSE - SENSEX Index Options'!$B:$B,"Sunday")+SUMIFS('BSE - Other Index Options'!$M:$M,'BSE - Other Index Options'!$D:$D,$A191,'BSE - Other Index Options'!$B:$B,"Sunday")=0,"",SUMIFS('BSE - SENSEX Index Options'!$M:$M,'BSE - SENSEX Index Options'!$D:$D,$A191,'BSE - SENSEX Index Options'!$B:$B,"Sunday")+SUMIFS('BSE - Other Index Options'!$M:$M,'BSE - Other Index Options'!$D:$D,$A191,'BSE - Other Index Options'!$B:$B,"Sunday"))</f>
        <v/>
      </c>
      <c r="D191" s="27">
        <f>IF(SUM(B191:C191)=0,"",SUM(B191)/SUM(B191:C191))</f>
        <v/>
      </c>
      <c r="E191" s="27">
        <f>IF(SUM(B191:C191)=0,"",SUM(C191)/SUM(B191:C191))</f>
        <v/>
      </c>
    </row>
    <row r="192" hidden="1" outlineLevel="1">
      <c r="A192" s="24" t="n">
        <v>46722</v>
      </c>
      <c r="B192" s="26">
        <f>IF(SUMIFS('NSE - NIFTY Index Options'!$M:$M,'NSE - NIFTY Index Options'!$D:$D,$A192,'NSE - NIFTY Index Options'!$B:$B,"Sunday")+SUMIFS('NSE - Other Index Options'!$M:$M,'NSE - Other Index Options'!$D:$D,$A192,'NSE - Other Index Options'!$B:$B,"Sunday")=0,"",SUMIFS('NSE - NIFTY Index Options'!$M:$M,'NSE - NIFTY Index Options'!$D:$D,$A192,'NSE - NIFTY Index Options'!$B:$B,"Sunday")+SUMIFS('NSE - Other Index Options'!$M:$M,'NSE - Other Index Options'!$D:$D,$A192,'NSE - Other Index Options'!$B:$B,"Sunday"))</f>
        <v/>
      </c>
      <c r="C192" s="26">
        <f>IF(SUMIFS('BSE - SENSEX Index Options'!$M:$M,'BSE - SENSEX Index Options'!$D:$D,$A192,'BSE - SENSEX Index Options'!$B:$B,"Sunday")+SUMIFS('BSE - Other Index Options'!$M:$M,'BSE - Other Index Options'!$D:$D,$A192,'BSE - Other Index Options'!$B:$B,"Sunday")=0,"",SUMIFS('BSE - SENSEX Index Options'!$M:$M,'BSE - SENSEX Index Options'!$D:$D,$A192,'BSE - SENSEX Index Options'!$B:$B,"Sunday")+SUMIFS('BSE - Other Index Options'!$M:$M,'BSE - Other Index Options'!$D:$D,$A192,'BSE - Other Index Options'!$B:$B,"Sunday"))</f>
        <v/>
      </c>
      <c r="D192" s="27">
        <f>IF(SUM(B192:C192)=0,"",SUM(B192)/SUM(B192:C192))</f>
        <v/>
      </c>
      <c r="E192" s="27">
        <f>IF(SUM(B192:C192)=0,"",SUM(C192)/SUM(B192:C192))</f>
        <v/>
      </c>
    </row>
    <row r="193" collapsed="1">
      <c r="A193" s="28" t="inlineStr">
        <is>
          <t>Total</t>
        </is>
      </c>
      <c r="B193" s="30">
        <f>IF(SUM(B165:B192)=0,"",SUM(B165:B192))</f>
        <v/>
      </c>
      <c r="C193" s="30">
        <f>IF(SUM(C165:C192)=0,"",SUM(C165:C192))</f>
        <v/>
      </c>
      <c r="D193" s="31">
        <f>IF(SUM(B193:C193)=0,"",SUM(B193)/SUM(B193:C193))</f>
        <v/>
      </c>
      <c r="E193" s="31">
        <f>IF(SUM(B193:C193)=0,"",SUM(C193)/SUM(B193:C193))</f>
        <v/>
      </c>
    </row>
  </sheetData>
  <conditionalFormatting sqref="D5:D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D6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D9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1:D1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3:D16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5:D19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7:E6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9:E9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1:E1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3:E16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5:E19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3"/>
  <sheetViews>
    <sheetView showGridLines="0" workbookViewId="0">
      <selection activeCell="A1" sqref="A1"/>
    </sheetView>
  </sheetViews>
  <sheetFormatPr baseColWidth="10" defaultColWidth="8.83203125" defaultRowHeight="16" outlineLevelRow="1"/>
  <cols>
    <col width="12" customWidth="1" min="1" max="1"/>
    <col width="30" customWidth="1" min="2" max="3"/>
    <col width="16" customWidth="1" min="4" max="5"/>
    <col width="22" customWidth="1" min="11" max="11"/>
    <col width="8" customWidth="1" min="12" max="12"/>
  </cols>
  <sheetData>
    <row r="1">
      <c r="A1" s="28" t="inlineStr">
        <is>
          <t>Premium Turnover Time Series by Trade Day — NSE vs BSE, WEEKLY expiries only (Sep-2025 onwards, live — populates as master data is updated)</t>
        </is>
      </c>
      <c r="K1" s="28" t="inlineStr">
        <is>
          <t>Cuts / Scope</t>
        </is>
      </c>
    </row>
    <row r="2">
      <c r="A2" s="48" t="inlineStr">
        <is>
          <t>Same layout as Analysis1 (monthly premium by trade day, NSE vs BSE, INR Bn) but WEEKLY EXPIRIES ONLY (Expiry Type = Weekly); monthly-expiry contracts are excluded. Live formulas; future months grouped.</t>
        </is>
      </c>
      <c r="K2" t="inlineStr">
        <is>
          <t>Index Options</t>
        </is>
      </c>
      <c r="L2" s="56" t="inlineStr">
        <is>
          <t>Yes</t>
        </is>
      </c>
    </row>
    <row r="3">
      <c r="A3" s="28" t="inlineStr">
        <is>
          <t>Monday Trade Day</t>
        </is>
      </c>
      <c r="K3" t="inlineStr">
        <is>
          <t>Stock Options</t>
        </is>
      </c>
      <c r="L3" s="49" t="inlineStr">
        <is>
          <t>No</t>
        </is>
      </c>
    </row>
    <row r="4">
      <c r="A4" s="28" t="inlineStr">
        <is>
          <t>Month</t>
        </is>
      </c>
      <c r="B4" s="28" t="inlineStr">
        <is>
          <t>NSE Premium Turnover (INR Bn)</t>
        </is>
      </c>
      <c r="C4" s="28" t="inlineStr">
        <is>
          <t>BSE Premium Turnover (INR Bn)</t>
        </is>
      </c>
      <c r="D4" s="28" t="inlineStr">
        <is>
          <t>NSE Market Share</t>
        </is>
      </c>
      <c r="E4" s="28" t="inlineStr">
        <is>
          <t>BSE Market Share</t>
        </is>
      </c>
      <c r="K4" t="inlineStr">
        <is>
          <t>Index Futures</t>
        </is>
      </c>
      <c r="L4" s="49" t="inlineStr">
        <is>
          <t>No</t>
        </is>
      </c>
    </row>
    <row r="5">
      <c r="A5" s="24" t="n">
        <v>45901</v>
      </c>
      <c r="B5" s="26">
        <f>IF(SUMIFS('NSE - NIFTY Index Options'!$M:$M,'NSE - NIFTY Index Options'!$D:$D,$A5,'NSE - NIFTY Index Options'!$B:$B,"Monday",'NSE - NIFTY Index Options'!$H:$H,"Weekly*")+SUMIFS('NSE - Other Index Options'!$M:$M,'NSE - Other Index Options'!$D:$D,$A5,'NSE - Other Index Options'!$B:$B,"Monday",'NSE - Other Index Options'!$H:$H,"Weekly*")=0,"",SUMIFS('NSE - NIFTY Index Options'!$M:$M,'NSE - NIFTY Index Options'!$D:$D,$A5,'NSE - NIFTY Index Options'!$B:$B,"Monday",'NSE - NIFTY Index Options'!$H:$H,"Weekly*")+SUMIFS('NSE - Other Index Options'!$M:$M,'NSE - Other Index Options'!$D:$D,$A5,'NSE - Other Index Options'!$B:$B,"Monday",'NSE - Other Index Options'!$H:$H,"Weekly*"))</f>
        <v/>
      </c>
      <c r="C5" s="26">
        <f>IF(SUMIFS('BSE - SENSEX Index Options'!$M:$M,'BSE - SENSEX Index Options'!$D:$D,$A5,'BSE - SENSEX Index Options'!$B:$B,"Monday",'BSE - SENSEX Index Options'!$H:$H,"Weekly*")+SUMIFS('BSE - Other Index Options'!$M:$M,'BSE - Other Index Options'!$D:$D,$A5,'BSE - Other Index Options'!$B:$B,"Monday",'BSE - Other Index Options'!$H:$H,"Weekly*")=0,"",SUMIFS('BSE - SENSEX Index Options'!$M:$M,'BSE - SENSEX Index Options'!$D:$D,$A5,'BSE - SENSEX Index Options'!$B:$B,"Monday",'BSE - SENSEX Index Options'!$H:$H,"Weekly*")+SUMIFS('BSE - Other Index Options'!$M:$M,'BSE - Other Index Options'!$D:$D,$A5,'BSE - Other Index Options'!$B:$B,"Monday",'BSE - Other Index Options'!$H:$H,"Weekly*"))</f>
        <v/>
      </c>
      <c r="D5" s="27">
        <f>IF(SUM(B5:C5)=0,"",SUM(B5)/SUM(B5:C5))</f>
        <v/>
      </c>
      <c r="E5" s="27">
        <f>IF(SUM(B5:C5)=0,"",SUM(C5)/SUM(B5:C5))</f>
        <v/>
      </c>
      <c r="K5" t="inlineStr">
        <is>
          <t>NSE</t>
        </is>
      </c>
      <c r="L5" s="56" t="inlineStr">
        <is>
          <t>Yes</t>
        </is>
      </c>
    </row>
    <row r="6">
      <c r="A6" s="24" t="n">
        <v>45931</v>
      </c>
      <c r="B6" s="26">
        <f>IF(SUMIFS('NSE - NIFTY Index Options'!$M:$M,'NSE - NIFTY Index Options'!$D:$D,$A6,'NSE - NIFTY Index Options'!$B:$B,"Monday",'NSE - NIFTY Index Options'!$H:$H,"Weekly*")+SUMIFS('NSE - Other Index Options'!$M:$M,'NSE - Other Index Options'!$D:$D,$A6,'NSE - Other Index Options'!$B:$B,"Monday",'NSE - Other Index Options'!$H:$H,"Weekly*")=0,"",SUMIFS('NSE - NIFTY Index Options'!$M:$M,'NSE - NIFTY Index Options'!$D:$D,$A6,'NSE - NIFTY Index Options'!$B:$B,"Monday",'NSE - NIFTY Index Options'!$H:$H,"Weekly*")+SUMIFS('NSE - Other Index Options'!$M:$M,'NSE - Other Index Options'!$D:$D,$A6,'NSE - Other Index Options'!$B:$B,"Monday",'NSE - Other Index Options'!$H:$H,"Weekly*"))</f>
        <v/>
      </c>
      <c r="C6" s="26">
        <f>IF(SUMIFS('BSE - SENSEX Index Options'!$M:$M,'BSE - SENSEX Index Options'!$D:$D,$A6,'BSE - SENSEX Index Options'!$B:$B,"Monday",'BSE - SENSEX Index Options'!$H:$H,"Weekly*")+SUMIFS('BSE - Other Index Options'!$M:$M,'BSE - Other Index Options'!$D:$D,$A6,'BSE - Other Index Options'!$B:$B,"Monday",'BSE - Other Index Options'!$H:$H,"Weekly*")=0,"",SUMIFS('BSE - SENSEX Index Options'!$M:$M,'BSE - SENSEX Index Options'!$D:$D,$A6,'BSE - SENSEX Index Options'!$B:$B,"Monday",'BSE - SENSEX Index Options'!$H:$H,"Weekly*")+SUMIFS('BSE - Other Index Options'!$M:$M,'BSE - Other Index Options'!$D:$D,$A6,'BSE - Other Index Options'!$B:$B,"Monday",'BSE - Other Index Options'!$H:$H,"Weekly*"))</f>
        <v/>
      </c>
      <c r="D6" s="27">
        <f>IF(SUM(B6:C6)=0,"",SUM(B6)/SUM(B6:C6))</f>
        <v/>
      </c>
      <c r="E6" s="27">
        <f>IF(SUM(B6:C6)=0,"",SUM(C6)/SUM(B6:C6))</f>
        <v/>
      </c>
      <c r="K6" t="inlineStr">
        <is>
          <t>BSE</t>
        </is>
      </c>
      <c r="L6" s="56" t="inlineStr">
        <is>
          <t>Yes</t>
        </is>
      </c>
    </row>
    <row r="7">
      <c r="A7" s="24" t="n">
        <v>45962</v>
      </c>
      <c r="B7" s="26">
        <f>IF(SUMIFS('NSE - NIFTY Index Options'!$M:$M,'NSE - NIFTY Index Options'!$D:$D,$A7,'NSE - NIFTY Index Options'!$B:$B,"Monday",'NSE - NIFTY Index Options'!$H:$H,"Weekly*")+SUMIFS('NSE - Other Index Options'!$M:$M,'NSE - Other Index Options'!$D:$D,$A7,'NSE - Other Index Options'!$B:$B,"Monday",'NSE - Other Index Options'!$H:$H,"Weekly*")=0,"",SUMIFS('NSE - NIFTY Index Options'!$M:$M,'NSE - NIFTY Index Options'!$D:$D,$A7,'NSE - NIFTY Index Options'!$B:$B,"Monday",'NSE - NIFTY Index Options'!$H:$H,"Weekly*")+SUMIFS('NSE - Other Index Options'!$M:$M,'NSE - Other Index Options'!$D:$D,$A7,'NSE - Other Index Options'!$B:$B,"Monday",'NSE - Other Index Options'!$H:$H,"Weekly*"))</f>
        <v/>
      </c>
      <c r="C7" s="26">
        <f>IF(SUMIFS('BSE - SENSEX Index Options'!$M:$M,'BSE - SENSEX Index Options'!$D:$D,$A7,'BSE - SENSEX Index Options'!$B:$B,"Monday",'BSE - SENSEX Index Options'!$H:$H,"Weekly*")+SUMIFS('BSE - Other Index Options'!$M:$M,'BSE - Other Index Options'!$D:$D,$A7,'BSE - Other Index Options'!$B:$B,"Monday",'BSE - Other Index Options'!$H:$H,"Weekly*")=0,"",SUMIFS('BSE - SENSEX Index Options'!$M:$M,'BSE - SENSEX Index Options'!$D:$D,$A7,'BSE - SENSEX Index Options'!$B:$B,"Monday",'BSE - SENSEX Index Options'!$H:$H,"Weekly*")+SUMIFS('BSE - Other Index Options'!$M:$M,'BSE - Other Index Options'!$D:$D,$A7,'BSE - Other Index Options'!$B:$B,"Monday",'BSE - Other Index Options'!$H:$H,"Weekly*"))</f>
        <v/>
      </c>
      <c r="D7" s="27">
        <f>IF(SUM(B7:C7)=0,"",SUM(B7)/SUM(B7:C7))</f>
        <v/>
      </c>
      <c r="E7" s="27">
        <f>IF(SUM(B7:C7)=0,"",SUM(C7)/SUM(B7:C7))</f>
        <v/>
      </c>
      <c r="K7" t="inlineStr">
        <is>
          <t>NIFTY Index</t>
        </is>
      </c>
      <c r="L7" s="56" t="inlineStr">
        <is>
          <t>Yes</t>
        </is>
      </c>
    </row>
    <row r="8">
      <c r="A8" s="24" t="n">
        <v>45992</v>
      </c>
      <c r="B8" s="26">
        <f>IF(SUMIFS('NSE - NIFTY Index Options'!$M:$M,'NSE - NIFTY Index Options'!$D:$D,$A8,'NSE - NIFTY Index Options'!$B:$B,"Monday",'NSE - NIFTY Index Options'!$H:$H,"Weekly*")+SUMIFS('NSE - Other Index Options'!$M:$M,'NSE - Other Index Options'!$D:$D,$A8,'NSE - Other Index Options'!$B:$B,"Monday",'NSE - Other Index Options'!$H:$H,"Weekly*")=0,"",SUMIFS('NSE - NIFTY Index Options'!$M:$M,'NSE - NIFTY Index Options'!$D:$D,$A8,'NSE - NIFTY Index Options'!$B:$B,"Monday",'NSE - NIFTY Index Options'!$H:$H,"Weekly*")+SUMIFS('NSE - Other Index Options'!$M:$M,'NSE - Other Index Options'!$D:$D,$A8,'NSE - Other Index Options'!$B:$B,"Monday",'NSE - Other Index Options'!$H:$H,"Weekly*"))</f>
        <v/>
      </c>
      <c r="C8" s="26">
        <f>IF(SUMIFS('BSE - SENSEX Index Options'!$M:$M,'BSE - SENSEX Index Options'!$D:$D,$A8,'BSE - SENSEX Index Options'!$B:$B,"Monday",'BSE - SENSEX Index Options'!$H:$H,"Weekly*")+SUMIFS('BSE - Other Index Options'!$M:$M,'BSE - Other Index Options'!$D:$D,$A8,'BSE - Other Index Options'!$B:$B,"Monday",'BSE - Other Index Options'!$H:$H,"Weekly*")=0,"",SUMIFS('BSE - SENSEX Index Options'!$M:$M,'BSE - SENSEX Index Options'!$D:$D,$A8,'BSE - SENSEX Index Options'!$B:$B,"Monday",'BSE - SENSEX Index Options'!$H:$H,"Weekly*")+SUMIFS('BSE - Other Index Options'!$M:$M,'BSE - Other Index Options'!$D:$D,$A8,'BSE - Other Index Options'!$B:$B,"Monday",'BSE - Other Index Options'!$H:$H,"Weekly*"))</f>
        <v/>
      </c>
      <c r="D8" s="27">
        <f>IF(SUM(B8:C8)=0,"",SUM(B8)/SUM(B8:C8))</f>
        <v/>
      </c>
      <c r="E8" s="27">
        <f>IF(SUM(B8:C8)=0,"",SUM(C8)/SUM(B8:C8))</f>
        <v/>
      </c>
      <c r="K8" t="inlineStr">
        <is>
          <t>Other NSE Indices</t>
        </is>
      </c>
      <c r="L8" s="56" t="inlineStr">
        <is>
          <t>No</t>
        </is>
      </c>
    </row>
    <row r="9">
      <c r="A9" s="24" t="n">
        <v>46023</v>
      </c>
      <c r="B9" s="26">
        <f>IF(SUMIFS('NSE - NIFTY Index Options'!$M:$M,'NSE - NIFTY Index Options'!$D:$D,$A9,'NSE - NIFTY Index Options'!$B:$B,"Monday",'NSE - NIFTY Index Options'!$H:$H,"Weekly*")+SUMIFS('NSE - Other Index Options'!$M:$M,'NSE - Other Index Options'!$D:$D,$A9,'NSE - Other Index Options'!$B:$B,"Monday",'NSE - Other Index Options'!$H:$H,"Weekly*")=0,"",SUMIFS('NSE - NIFTY Index Options'!$M:$M,'NSE - NIFTY Index Options'!$D:$D,$A9,'NSE - NIFTY Index Options'!$B:$B,"Monday",'NSE - NIFTY Index Options'!$H:$H,"Weekly*")+SUMIFS('NSE - Other Index Options'!$M:$M,'NSE - Other Index Options'!$D:$D,$A9,'NSE - Other Index Options'!$B:$B,"Monday",'NSE - Other Index Options'!$H:$H,"Weekly*"))</f>
        <v/>
      </c>
      <c r="C9" s="26">
        <f>IF(SUMIFS('BSE - SENSEX Index Options'!$M:$M,'BSE - SENSEX Index Options'!$D:$D,$A9,'BSE - SENSEX Index Options'!$B:$B,"Monday",'BSE - SENSEX Index Options'!$H:$H,"Weekly*")+SUMIFS('BSE - Other Index Options'!$M:$M,'BSE - Other Index Options'!$D:$D,$A9,'BSE - Other Index Options'!$B:$B,"Monday",'BSE - Other Index Options'!$H:$H,"Weekly*")=0,"",SUMIFS('BSE - SENSEX Index Options'!$M:$M,'BSE - SENSEX Index Options'!$D:$D,$A9,'BSE - SENSEX Index Options'!$B:$B,"Monday",'BSE - SENSEX Index Options'!$H:$H,"Weekly*")+SUMIFS('BSE - Other Index Options'!$M:$M,'BSE - Other Index Options'!$D:$D,$A9,'BSE - Other Index Options'!$B:$B,"Monday",'BSE - Other Index Options'!$H:$H,"Weekly*"))</f>
        <v/>
      </c>
      <c r="D9" s="27">
        <f>IF(SUM(B9:C9)=0,"",SUM(B9)/SUM(B9:C9))</f>
        <v/>
      </c>
      <c r="E9" s="27">
        <f>IF(SUM(B9:C9)=0,"",SUM(C9)/SUM(B9:C9))</f>
        <v/>
      </c>
      <c r="K9" t="inlineStr">
        <is>
          <t>SENSEX Index</t>
        </is>
      </c>
      <c r="L9" s="56" t="inlineStr">
        <is>
          <t>Yes</t>
        </is>
      </c>
    </row>
    <row r="10">
      <c r="A10" s="24" t="n">
        <v>46054</v>
      </c>
      <c r="B10" s="26">
        <f>IF(SUMIFS('NSE - NIFTY Index Options'!$M:$M,'NSE - NIFTY Index Options'!$D:$D,$A10,'NSE - NIFTY Index Options'!$B:$B,"Monday",'NSE - NIFTY Index Options'!$H:$H,"Weekly*")+SUMIFS('NSE - Other Index Options'!$M:$M,'NSE - Other Index Options'!$D:$D,$A10,'NSE - Other Index Options'!$B:$B,"Monday",'NSE - Other Index Options'!$H:$H,"Weekly*")=0,"",SUMIFS('NSE - NIFTY Index Options'!$M:$M,'NSE - NIFTY Index Options'!$D:$D,$A10,'NSE - NIFTY Index Options'!$B:$B,"Monday",'NSE - NIFTY Index Options'!$H:$H,"Weekly*")+SUMIFS('NSE - Other Index Options'!$M:$M,'NSE - Other Index Options'!$D:$D,$A10,'NSE - Other Index Options'!$B:$B,"Monday",'NSE - Other Index Options'!$H:$H,"Weekly*"))</f>
        <v/>
      </c>
      <c r="C10" s="26">
        <f>IF(SUMIFS('BSE - SENSEX Index Options'!$M:$M,'BSE - SENSEX Index Options'!$D:$D,$A10,'BSE - SENSEX Index Options'!$B:$B,"Monday",'BSE - SENSEX Index Options'!$H:$H,"Weekly*")+SUMIFS('BSE - Other Index Options'!$M:$M,'BSE - Other Index Options'!$D:$D,$A10,'BSE - Other Index Options'!$B:$B,"Monday",'BSE - Other Index Options'!$H:$H,"Weekly*")=0,"",SUMIFS('BSE - SENSEX Index Options'!$M:$M,'BSE - SENSEX Index Options'!$D:$D,$A10,'BSE - SENSEX Index Options'!$B:$B,"Monday",'BSE - SENSEX Index Options'!$H:$H,"Weekly*")+SUMIFS('BSE - Other Index Options'!$M:$M,'BSE - Other Index Options'!$D:$D,$A10,'BSE - Other Index Options'!$B:$B,"Monday",'BSE - Other Index Options'!$H:$H,"Weekly*"))</f>
        <v/>
      </c>
      <c r="D10" s="27">
        <f>IF(SUM(B10:C10)=0,"",SUM(B10)/SUM(B10:C10))</f>
        <v/>
      </c>
      <c r="E10" s="27">
        <f>IF(SUM(B10:C10)=0,"",SUM(C10)/SUM(B10:C10))</f>
        <v/>
      </c>
      <c r="K10" t="inlineStr">
        <is>
          <t>Other BSE Indices</t>
        </is>
      </c>
      <c r="L10" s="57" t="inlineStr">
        <is>
          <t>No</t>
        </is>
      </c>
    </row>
    <row r="11">
      <c r="A11" s="24" t="n">
        <v>46082</v>
      </c>
      <c r="B11" s="26">
        <f>IF(SUMIFS('NSE - NIFTY Index Options'!$M:$M,'NSE - NIFTY Index Options'!$D:$D,$A11,'NSE - NIFTY Index Options'!$B:$B,"Monday",'NSE - NIFTY Index Options'!$H:$H,"Weekly*")+SUMIFS('NSE - Other Index Options'!$M:$M,'NSE - Other Index Options'!$D:$D,$A11,'NSE - Other Index Options'!$B:$B,"Monday",'NSE - Other Index Options'!$H:$H,"Weekly*")=0,"",SUMIFS('NSE - NIFTY Index Options'!$M:$M,'NSE - NIFTY Index Options'!$D:$D,$A11,'NSE - NIFTY Index Options'!$B:$B,"Monday",'NSE - NIFTY Index Options'!$H:$H,"Weekly*")+SUMIFS('NSE - Other Index Options'!$M:$M,'NSE - Other Index Options'!$D:$D,$A11,'NSE - Other Index Options'!$B:$B,"Monday",'NSE - Other Index Options'!$H:$H,"Weekly*"))</f>
        <v/>
      </c>
      <c r="C11" s="26">
        <f>IF(SUMIFS('BSE - SENSEX Index Options'!$M:$M,'BSE - SENSEX Index Options'!$D:$D,$A11,'BSE - SENSEX Index Options'!$B:$B,"Monday",'BSE - SENSEX Index Options'!$H:$H,"Weekly*")+SUMIFS('BSE - Other Index Options'!$M:$M,'BSE - Other Index Options'!$D:$D,$A11,'BSE - Other Index Options'!$B:$B,"Monday",'BSE - Other Index Options'!$H:$H,"Weekly*")=0,"",SUMIFS('BSE - SENSEX Index Options'!$M:$M,'BSE - SENSEX Index Options'!$D:$D,$A11,'BSE - SENSEX Index Options'!$B:$B,"Monday",'BSE - SENSEX Index Options'!$H:$H,"Weekly*")+SUMIFS('BSE - Other Index Options'!$M:$M,'BSE - Other Index Options'!$D:$D,$A11,'BSE - Other Index Options'!$B:$B,"Monday",'BSE - Other Index Options'!$H:$H,"Weekly*"))</f>
        <v/>
      </c>
      <c r="D11" s="27">
        <f>IF(SUM(B11:C11)=0,"",SUM(B11)/SUM(B11:C11))</f>
        <v/>
      </c>
      <c r="E11" s="27">
        <f>IF(SUM(B11:C11)=0,"",SUM(C11)/SUM(B11:C11))</f>
        <v/>
      </c>
      <c r="K11" t="inlineStr">
        <is>
          <t>Expiry Type 2 - Weekly</t>
        </is>
      </c>
      <c r="L11" s="57" t="inlineStr">
        <is>
          <t>Yes</t>
        </is>
      </c>
    </row>
    <row r="12">
      <c r="A12" s="24" t="n">
        <v>46113</v>
      </c>
      <c r="B12" s="26">
        <f>IF(SUMIFS('NSE - NIFTY Index Options'!$M:$M,'NSE - NIFTY Index Options'!$D:$D,$A12,'NSE - NIFTY Index Options'!$B:$B,"Monday",'NSE - NIFTY Index Options'!$H:$H,"Weekly*")+SUMIFS('NSE - Other Index Options'!$M:$M,'NSE - Other Index Options'!$D:$D,$A12,'NSE - Other Index Options'!$B:$B,"Monday",'NSE - Other Index Options'!$H:$H,"Weekly*")=0,"",SUMIFS('NSE - NIFTY Index Options'!$M:$M,'NSE - NIFTY Index Options'!$D:$D,$A12,'NSE - NIFTY Index Options'!$B:$B,"Monday",'NSE - NIFTY Index Options'!$H:$H,"Weekly*")+SUMIFS('NSE - Other Index Options'!$M:$M,'NSE - Other Index Options'!$D:$D,$A12,'NSE - Other Index Options'!$B:$B,"Monday",'NSE - Other Index Options'!$H:$H,"Weekly*"))</f>
        <v/>
      </c>
      <c r="C12" s="26">
        <f>IF(SUMIFS('BSE - SENSEX Index Options'!$M:$M,'BSE - SENSEX Index Options'!$D:$D,$A12,'BSE - SENSEX Index Options'!$B:$B,"Monday",'BSE - SENSEX Index Options'!$H:$H,"Weekly*")+SUMIFS('BSE - Other Index Options'!$M:$M,'BSE - Other Index Options'!$D:$D,$A12,'BSE - Other Index Options'!$B:$B,"Monday",'BSE - Other Index Options'!$H:$H,"Weekly*")=0,"",SUMIFS('BSE - SENSEX Index Options'!$M:$M,'BSE - SENSEX Index Options'!$D:$D,$A12,'BSE - SENSEX Index Options'!$B:$B,"Monday",'BSE - SENSEX Index Options'!$H:$H,"Weekly*")+SUMIFS('BSE - Other Index Options'!$M:$M,'BSE - Other Index Options'!$D:$D,$A12,'BSE - Other Index Options'!$B:$B,"Monday",'BSE - Other Index Options'!$H:$H,"Weekly*"))</f>
        <v/>
      </c>
      <c r="D12" s="27">
        <f>IF(SUM(B12:C12)=0,"",SUM(B12)/SUM(B12:C12))</f>
        <v/>
      </c>
      <c r="E12" s="27">
        <f>IF(SUM(B12:C12)=0,"",SUM(C12)/SUM(B12:C12))</f>
        <v/>
      </c>
      <c r="K12" t="inlineStr">
        <is>
          <t>Expiry Type 2 - MDAW</t>
        </is>
      </c>
      <c r="L12" s="58" t="inlineStr">
        <is>
          <t>No</t>
        </is>
      </c>
    </row>
    <row r="13">
      <c r="A13" s="24" t="n">
        <v>46143</v>
      </c>
      <c r="B13" s="26">
        <f>IF(SUMIFS('NSE - NIFTY Index Options'!$M:$M,'NSE - NIFTY Index Options'!$D:$D,$A13,'NSE - NIFTY Index Options'!$B:$B,"Monday",'NSE - NIFTY Index Options'!$H:$H,"Weekly*")+SUMIFS('NSE - Other Index Options'!$M:$M,'NSE - Other Index Options'!$D:$D,$A13,'NSE - Other Index Options'!$B:$B,"Monday",'NSE - Other Index Options'!$H:$H,"Weekly*")=0,"",SUMIFS('NSE - NIFTY Index Options'!$M:$M,'NSE - NIFTY Index Options'!$D:$D,$A13,'NSE - NIFTY Index Options'!$B:$B,"Monday",'NSE - NIFTY Index Options'!$H:$H,"Weekly*")+SUMIFS('NSE - Other Index Options'!$M:$M,'NSE - Other Index Options'!$D:$D,$A13,'NSE - Other Index Options'!$B:$B,"Monday",'NSE - Other Index Options'!$H:$H,"Weekly*"))</f>
        <v/>
      </c>
      <c r="C13" s="26">
        <f>IF(SUMIFS('BSE - SENSEX Index Options'!$M:$M,'BSE - SENSEX Index Options'!$D:$D,$A13,'BSE - SENSEX Index Options'!$B:$B,"Monday",'BSE - SENSEX Index Options'!$H:$H,"Weekly*")+SUMIFS('BSE - Other Index Options'!$M:$M,'BSE - Other Index Options'!$D:$D,$A13,'BSE - Other Index Options'!$B:$B,"Monday",'BSE - Other Index Options'!$H:$H,"Weekly*")=0,"",SUMIFS('BSE - SENSEX Index Options'!$M:$M,'BSE - SENSEX Index Options'!$D:$D,$A13,'BSE - SENSEX Index Options'!$B:$B,"Monday",'BSE - SENSEX Index Options'!$H:$H,"Weekly*")+SUMIFS('BSE - Other Index Options'!$M:$M,'BSE - Other Index Options'!$D:$D,$A13,'BSE - Other Index Options'!$B:$B,"Monday",'BSE - Other Index Options'!$H:$H,"Weekly*"))</f>
        <v/>
      </c>
      <c r="D13" s="27">
        <f>IF(SUM(B13:C13)=0,"",SUM(B13)/SUM(B13:C13))</f>
        <v/>
      </c>
      <c r="E13" s="27">
        <f>IF(SUM(B13:C13)=0,"",SUM(C13)/SUM(B13:C13))</f>
        <v/>
      </c>
      <c r="K13" t="inlineStr">
        <is>
          <t>Expiry Type 2 - Monthly</t>
        </is>
      </c>
      <c r="L13" s="58" t="inlineStr">
        <is>
          <t>No</t>
        </is>
      </c>
    </row>
    <row r="14">
      <c r="A14" s="24" t="n">
        <v>46174</v>
      </c>
      <c r="B14" s="26">
        <f>IF(SUMIFS('NSE - NIFTY Index Options'!$M:$M,'NSE - NIFTY Index Options'!$D:$D,$A14,'NSE - NIFTY Index Options'!$B:$B,"Monday",'NSE - NIFTY Index Options'!$H:$H,"Weekly*")+SUMIFS('NSE - Other Index Options'!$M:$M,'NSE - Other Index Options'!$D:$D,$A14,'NSE - Other Index Options'!$B:$B,"Monday",'NSE - Other Index Options'!$H:$H,"Weekly*")=0,"",SUMIFS('NSE - NIFTY Index Options'!$M:$M,'NSE - NIFTY Index Options'!$D:$D,$A14,'NSE - NIFTY Index Options'!$B:$B,"Monday",'NSE - NIFTY Index Options'!$H:$H,"Weekly*")+SUMIFS('NSE - Other Index Options'!$M:$M,'NSE - Other Index Options'!$D:$D,$A14,'NSE - Other Index Options'!$B:$B,"Monday",'NSE - Other Index Options'!$H:$H,"Weekly*"))</f>
        <v/>
      </c>
      <c r="C14" s="26">
        <f>IF(SUMIFS('BSE - SENSEX Index Options'!$M:$M,'BSE - SENSEX Index Options'!$D:$D,$A14,'BSE - SENSEX Index Options'!$B:$B,"Monday",'BSE - SENSEX Index Options'!$H:$H,"Weekly*")+SUMIFS('BSE - Other Index Options'!$M:$M,'BSE - Other Index Options'!$D:$D,$A14,'BSE - Other Index Options'!$B:$B,"Monday",'BSE - Other Index Options'!$H:$H,"Weekly*")=0,"",SUMIFS('BSE - SENSEX Index Options'!$M:$M,'BSE - SENSEX Index Options'!$D:$D,$A14,'BSE - SENSEX Index Options'!$B:$B,"Monday",'BSE - SENSEX Index Options'!$H:$H,"Weekly*")+SUMIFS('BSE - Other Index Options'!$M:$M,'BSE - Other Index Options'!$D:$D,$A14,'BSE - Other Index Options'!$B:$B,"Monday",'BSE - Other Index Options'!$H:$H,"Weekly*"))</f>
        <v/>
      </c>
      <c r="D14" s="27">
        <f>IF(SUM(B14:C14)=0,"",SUM(B14)/SUM(B14:C14))</f>
        <v/>
      </c>
      <c r="E14" s="27">
        <f>IF(SUM(B14:C14)=0,"",SUM(C14)/SUM(B14:C14))</f>
        <v/>
      </c>
    </row>
    <row r="15">
      <c r="A15" s="24" t="n">
        <v>46204</v>
      </c>
      <c r="B15" s="26">
        <f>IF(SUMIFS('NSE - NIFTY Index Options'!$M:$M,'NSE - NIFTY Index Options'!$D:$D,$A15,'NSE - NIFTY Index Options'!$B:$B,"Monday",'NSE - NIFTY Index Options'!$H:$H,"Weekly*")+SUMIFS('NSE - Other Index Options'!$M:$M,'NSE - Other Index Options'!$D:$D,$A15,'NSE - Other Index Options'!$B:$B,"Monday",'NSE - Other Index Options'!$H:$H,"Weekly*")=0,"",SUMIFS('NSE - NIFTY Index Options'!$M:$M,'NSE - NIFTY Index Options'!$D:$D,$A15,'NSE - NIFTY Index Options'!$B:$B,"Monday",'NSE - NIFTY Index Options'!$H:$H,"Weekly*")+SUMIFS('NSE - Other Index Options'!$M:$M,'NSE - Other Index Options'!$D:$D,$A15,'NSE - Other Index Options'!$B:$B,"Monday",'NSE - Other Index Options'!$H:$H,"Weekly*"))</f>
        <v/>
      </c>
      <c r="C15" s="26">
        <f>IF(SUMIFS('BSE - SENSEX Index Options'!$M:$M,'BSE - SENSEX Index Options'!$D:$D,$A15,'BSE - SENSEX Index Options'!$B:$B,"Monday",'BSE - SENSEX Index Options'!$H:$H,"Weekly*")+SUMIFS('BSE - Other Index Options'!$M:$M,'BSE - Other Index Options'!$D:$D,$A15,'BSE - Other Index Options'!$B:$B,"Monday",'BSE - Other Index Options'!$H:$H,"Weekly*")=0,"",SUMIFS('BSE - SENSEX Index Options'!$M:$M,'BSE - SENSEX Index Options'!$D:$D,$A15,'BSE - SENSEX Index Options'!$B:$B,"Monday",'BSE - SENSEX Index Options'!$H:$H,"Weekly*")+SUMIFS('BSE - Other Index Options'!$M:$M,'BSE - Other Index Options'!$D:$D,$A15,'BSE - Other Index Options'!$B:$B,"Monday",'BSE - Other Index Options'!$H:$H,"Weekly*"))</f>
        <v/>
      </c>
      <c r="D15" s="27">
        <f>IF(SUM(B15:C15)=0,"",SUM(B15)/SUM(B15:C15))</f>
        <v/>
      </c>
      <c r="E15" s="27">
        <f>IF(SUM(B15:C15)=0,"",SUM(C15)/SUM(B15:C15))</f>
        <v/>
      </c>
    </row>
    <row r="16">
      <c r="A16" s="24" t="n">
        <v>46235</v>
      </c>
      <c r="B16" s="26">
        <f>IF(SUMIFS('NSE - NIFTY Index Options'!$M:$M,'NSE - NIFTY Index Options'!$D:$D,$A16,'NSE - NIFTY Index Options'!$B:$B,"Monday",'NSE - NIFTY Index Options'!$H:$H,"Weekly*")+SUMIFS('NSE - Other Index Options'!$M:$M,'NSE - Other Index Options'!$D:$D,$A16,'NSE - Other Index Options'!$B:$B,"Monday",'NSE - Other Index Options'!$H:$H,"Weekly*")=0,"",SUMIFS('NSE - NIFTY Index Options'!$M:$M,'NSE - NIFTY Index Options'!$D:$D,$A16,'NSE - NIFTY Index Options'!$B:$B,"Monday",'NSE - NIFTY Index Options'!$H:$H,"Weekly*")+SUMIFS('NSE - Other Index Options'!$M:$M,'NSE - Other Index Options'!$D:$D,$A16,'NSE - Other Index Options'!$B:$B,"Monday",'NSE - Other Index Options'!$H:$H,"Weekly*"))</f>
        <v/>
      </c>
      <c r="C16" s="26">
        <f>IF(SUMIFS('BSE - SENSEX Index Options'!$M:$M,'BSE - SENSEX Index Options'!$D:$D,$A16,'BSE - SENSEX Index Options'!$B:$B,"Monday",'BSE - SENSEX Index Options'!$H:$H,"Weekly*")+SUMIFS('BSE - Other Index Options'!$M:$M,'BSE - Other Index Options'!$D:$D,$A16,'BSE - Other Index Options'!$B:$B,"Monday",'BSE - Other Index Options'!$H:$H,"Weekly*")=0,"",SUMIFS('BSE - SENSEX Index Options'!$M:$M,'BSE - SENSEX Index Options'!$D:$D,$A16,'BSE - SENSEX Index Options'!$B:$B,"Monday",'BSE - SENSEX Index Options'!$H:$H,"Weekly*")+SUMIFS('BSE - Other Index Options'!$M:$M,'BSE - Other Index Options'!$D:$D,$A16,'BSE - Other Index Options'!$B:$B,"Monday",'BSE - Other Index Options'!$H:$H,"Weekly*"))</f>
        <v/>
      </c>
      <c r="D16" s="27">
        <f>IF(SUM(B16:C16)=0,"",SUM(B16)/SUM(B16:C16))</f>
        <v/>
      </c>
      <c r="E16" s="27">
        <f>IF(SUM(B16:C16)=0,"",SUM(C16)/SUM(B16:C16))</f>
        <v/>
      </c>
    </row>
    <row r="17" hidden="1" outlineLevel="1">
      <c r="A17" s="24" t="n">
        <v>46266</v>
      </c>
      <c r="B17" s="26">
        <f>IF(SUMIFS('NSE - NIFTY Index Options'!$M:$M,'NSE - NIFTY Index Options'!$D:$D,$A17,'NSE - NIFTY Index Options'!$B:$B,"Monday",'NSE - NIFTY Index Options'!$H:$H,"Weekly*")+SUMIFS('NSE - Other Index Options'!$M:$M,'NSE - Other Index Options'!$D:$D,$A17,'NSE - Other Index Options'!$B:$B,"Monday",'NSE - Other Index Options'!$H:$H,"Weekly*")=0,"",SUMIFS('NSE - NIFTY Index Options'!$M:$M,'NSE - NIFTY Index Options'!$D:$D,$A17,'NSE - NIFTY Index Options'!$B:$B,"Monday",'NSE - NIFTY Index Options'!$H:$H,"Weekly*")+SUMIFS('NSE - Other Index Options'!$M:$M,'NSE - Other Index Options'!$D:$D,$A17,'NSE - Other Index Options'!$B:$B,"Monday",'NSE - Other Index Options'!$H:$H,"Weekly*"))</f>
        <v/>
      </c>
      <c r="C17" s="26">
        <f>IF(SUMIFS('BSE - SENSEX Index Options'!$M:$M,'BSE - SENSEX Index Options'!$D:$D,$A17,'BSE - SENSEX Index Options'!$B:$B,"Monday",'BSE - SENSEX Index Options'!$H:$H,"Weekly*")+SUMIFS('BSE - Other Index Options'!$M:$M,'BSE - Other Index Options'!$D:$D,$A17,'BSE - Other Index Options'!$B:$B,"Monday",'BSE - Other Index Options'!$H:$H,"Weekly*")=0,"",SUMIFS('BSE - SENSEX Index Options'!$M:$M,'BSE - SENSEX Index Options'!$D:$D,$A17,'BSE - SENSEX Index Options'!$B:$B,"Monday",'BSE - SENSEX Index Options'!$H:$H,"Weekly*")+SUMIFS('BSE - Other Index Options'!$M:$M,'BSE - Other Index Options'!$D:$D,$A17,'BSE - Other Index Options'!$B:$B,"Monday",'BSE - Other Index Options'!$H:$H,"Weekly*"))</f>
        <v/>
      </c>
      <c r="D17" s="27">
        <f>IF(SUM(B17:C17)=0,"",SUM(B17)/SUM(B17:C17))</f>
        <v/>
      </c>
      <c r="E17" s="27">
        <f>IF(SUM(B17:C17)=0,"",SUM(C17)/SUM(B17:C17))</f>
        <v/>
      </c>
    </row>
    <row r="18" hidden="1" outlineLevel="1">
      <c r="A18" s="24" t="n">
        <v>46296</v>
      </c>
      <c r="B18" s="26">
        <f>IF(SUMIFS('NSE - NIFTY Index Options'!$M:$M,'NSE - NIFTY Index Options'!$D:$D,$A18,'NSE - NIFTY Index Options'!$B:$B,"Monday",'NSE - NIFTY Index Options'!$H:$H,"Weekly*")+SUMIFS('NSE - Other Index Options'!$M:$M,'NSE - Other Index Options'!$D:$D,$A18,'NSE - Other Index Options'!$B:$B,"Monday",'NSE - Other Index Options'!$H:$H,"Weekly*")=0,"",SUMIFS('NSE - NIFTY Index Options'!$M:$M,'NSE - NIFTY Index Options'!$D:$D,$A18,'NSE - NIFTY Index Options'!$B:$B,"Monday",'NSE - NIFTY Index Options'!$H:$H,"Weekly*")+SUMIFS('NSE - Other Index Options'!$M:$M,'NSE - Other Index Options'!$D:$D,$A18,'NSE - Other Index Options'!$B:$B,"Monday",'NSE - Other Index Options'!$H:$H,"Weekly*"))</f>
        <v/>
      </c>
      <c r="C18" s="26">
        <f>IF(SUMIFS('BSE - SENSEX Index Options'!$M:$M,'BSE - SENSEX Index Options'!$D:$D,$A18,'BSE - SENSEX Index Options'!$B:$B,"Monday",'BSE - SENSEX Index Options'!$H:$H,"Weekly*")+SUMIFS('BSE - Other Index Options'!$M:$M,'BSE - Other Index Options'!$D:$D,$A18,'BSE - Other Index Options'!$B:$B,"Monday",'BSE - Other Index Options'!$H:$H,"Weekly*")=0,"",SUMIFS('BSE - SENSEX Index Options'!$M:$M,'BSE - SENSEX Index Options'!$D:$D,$A18,'BSE - SENSEX Index Options'!$B:$B,"Monday",'BSE - SENSEX Index Options'!$H:$H,"Weekly*")+SUMIFS('BSE - Other Index Options'!$M:$M,'BSE - Other Index Options'!$D:$D,$A18,'BSE - Other Index Options'!$B:$B,"Monday",'BSE - Other Index Options'!$H:$H,"Weekly*"))</f>
        <v/>
      </c>
      <c r="D18" s="27">
        <f>IF(SUM(B18:C18)=0,"",SUM(B18)/SUM(B18:C18))</f>
        <v/>
      </c>
      <c r="E18" s="27">
        <f>IF(SUM(B18:C18)=0,"",SUM(C18)/SUM(B18:C18))</f>
        <v/>
      </c>
    </row>
    <row r="19" hidden="1" outlineLevel="1">
      <c r="A19" s="24" t="n">
        <v>46327</v>
      </c>
      <c r="B19" s="26">
        <f>IF(SUMIFS('NSE - NIFTY Index Options'!$M:$M,'NSE - NIFTY Index Options'!$D:$D,$A19,'NSE - NIFTY Index Options'!$B:$B,"Monday",'NSE - NIFTY Index Options'!$H:$H,"Weekly*")+SUMIFS('NSE - Other Index Options'!$M:$M,'NSE - Other Index Options'!$D:$D,$A19,'NSE - Other Index Options'!$B:$B,"Monday",'NSE - Other Index Options'!$H:$H,"Weekly*")=0,"",SUMIFS('NSE - NIFTY Index Options'!$M:$M,'NSE - NIFTY Index Options'!$D:$D,$A19,'NSE - NIFTY Index Options'!$B:$B,"Monday",'NSE - NIFTY Index Options'!$H:$H,"Weekly*")+SUMIFS('NSE - Other Index Options'!$M:$M,'NSE - Other Index Options'!$D:$D,$A19,'NSE - Other Index Options'!$B:$B,"Monday",'NSE - Other Index Options'!$H:$H,"Weekly*"))</f>
        <v/>
      </c>
      <c r="C19" s="26">
        <f>IF(SUMIFS('BSE - SENSEX Index Options'!$M:$M,'BSE - SENSEX Index Options'!$D:$D,$A19,'BSE - SENSEX Index Options'!$B:$B,"Monday",'BSE - SENSEX Index Options'!$H:$H,"Weekly*")+SUMIFS('BSE - Other Index Options'!$M:$M,'BSE - Other Index Options'!$D:$D,$A19,'BSE - Other Index Options'!$B:$B,"Monday",'BSE - Other Index Options'!$H:$H,"Weekly*")=0,"",SUMIFS('BSE - SENSEX Index Options'!$M:$M,'BSE - SENSEX Index Options'!$D:$D,$A19,'BSE - SENSEX Index Options'!$B:$B,"Monday",'BSE - SENSEX Index Options'!$H:$H,"Weekly*")+SUMIFS('BSE - Other Index Options'!$M:$M,'BSE - Other Index Options'!$D:$D,$A19,'BSE - Other Index Options'!$B:$B,"Monday",'BSE - Other Index Options'!$H:$H,"Weekly*"))</f>
        <v/>
      </c>
      <c r="D19" s="27">
        <f>IF(SUM(B19:C19)=0,"",SUM(B19)/SUM(B19:C19))</f>
        <v/>
      </c>
      <c r="E19" s="27">
        <f>IF(SUM(B19:C19)=0,"",SUM(C19)/SUM(B19:C19))</f>
        <v/>
      </c>
    </row>
    <row r="20" hidden="1" outlineLevel="1">
      <c r="A20" s="24" t="n">
        <v>46357</v>
      </c>
      <c r="B20" s="26">
        <f>IF(SUMIFS('NSE - NIFTY Index Options'!$M:$M,'NSE - NIFTY Index Options'!$D:$D,$A20,'NSE - NIFTY Index Options'!$B:$B,"Monday",'NSE - NIFTY Index Options'!$H:$H,"Weekly*")+SUMIFS('NSE - Other Index Options'!$M:$M,'NSE - Other Index Options'!$D:$D,$A20,'NSE - Other Index Options'!$B:$B,"Monday",'NSE - Other Index Options'!$H:$H,"Weekly*")=0,"",SUMIFS('NSE - NIFTY Index Options'!$M:$M,'NSE - NIFTY Index Options'!$D:$D,$A20,'NSE - NIFTY Index Options'!$B:$B,"Monday",'NSE - NIFTY Index Options'!$H:$H,"Weekly*")+SUMIFS('NSE - Other Index Options'!$M:$M,'NSE - Other Index Options'!$D:$D,$A20,'NSE - Other Index Options'!$B:$B,"Monday",'NSE - Other Index Options'!$H:$H,"Weekly*"))</f>
        <v/>
      </c>
      <c r="C20" s="26">
        <f>IF(SUMIFS('BSE - SENSEX Index Options'!$M:$M,'BSE - SENSEX Index Options'!$D:$D,$A20,'BSE - SENSEX Index Options'!$B:$B,"Monday",'BSE - SENSEX Index Options'!$H:$H,"Weekly*")+SUMIFS('BSE - Other Index Options'!$M:$M,'BSE - Other Index Options'!$D:$D,$A20,'BSE - Other Index Options'!$B:$B,"Monday",'BSE - Other Index Options'!$H:$H,"Weekly*")=0,"",SUMIFS('BSE - SENSEX Index Options'!$M:$M,'BSE - SENSEX Index Options'!$D:$D,$A20,'BSE - SENSEX Index Options'!$B:$B,"Monday",'BSE - SENSEX Index Options'!$H:$H,"Weekly*")+SUMIFS('BSE - Other Index Options'!$M:$M,'BSE - Other Index Options'!$D:$D,$A20,'BSE - Other Index Options'!$B:$B,"Monday",'BSE - Other Index Options'!$H:$H,"Weekly*"))</f>
        <v/>
      </c>
      <c r="D20" s="27">
        <f>IF(SUM(B20:C20)=0,"",SUM(B20)/SUM(B20:C20))</f>
        <v/>
      </c>
      <c r="E20" s="27">
        <f>IF(SUM(B20:C20)=0,"",SUM(C20)/SUM(B20:C20))</f>
        <v/>
      </c>
    </row>
    <row r="21" hidden="1" outlineLevel="1">
      <c r="A21" s="24" t="n">
        <v>46388</v>
      </c>
      <c r="B21" s="26">
        <f>IF(SUMIFS('NSE - NIFTY Index Options'!$M:$M,'NSE - NIFTY Index Options'!$D:$D,$A21,'NSE - NIFTY Index Options'!$B:$B,"Monday",'NSE - NIFTY Index Options'!$H:$H,"Weekly*")+SUMIFS('NSE - Other Index Options'!$M:$M,'NSE - Other Index Options'!$D:$D,$A21,'NSE - Other Index Options'!$B:$B,"Monday",'NSE - Other Index Options'!$H:$H,"Weekly*")=0,"",SUMIFS('NSE - NIFTY Index Options'!$M:$M,'NSE - NIFTY Index Options'!$D:$D,$A21,'NSE - NIFTY Index Options'!$B:$B,"Monday",'NSE - NIFTY Index Options'!$H:$H,"Weekly*")+SUMIFS('NSE - Other Index Options'!$M:$M,'NSE - Other Index Options'!$D:$D,$A21,'NSE - Other Index Options'!$B:$B,"Monday",'NSE - Other Index Options'!$H:$H,"Weekly*"))</f>
        <v/>
      </c>
      <c r="C21" s="26">
        <f>IF(SUMIFS('BSE - SENSEX Index Options'!$M:$M,'BSE - SENSEX Index Options'!$D:$D,$A21,'BSE - SENSEX Index Options'!$B:$B,"Monday",'BSE - SENSEX Index Options'!$H:$H,"Weekly*")+SUMIFS('BSE - Other Index Options'!$M:$M,'BSE - Other Index Options'!$D:$D,$A21,'BSE - Other Index Options'!$B:$B,"Monday",'BSE - Other Index Options'!$H:$H,"Weekly*")=0,"",SUMIFS('BSE - SENSEX Index Options'!$M:$M,'BSE - SENSEX Index Options'!$D:$D,$A21,'BSE - SENSEX Index Options'!$B:$B,"Monday",'BSE - SENSEX Index Options'!$H:$H,"Weekly*")+SUMIFS('BSE - Other Index Options'!$M:$M,'BSE - Other Index Options'!$D:$D,$A21,'BSE - Other Index Options'!$B:$B,"Monday",'BSE - Other Index Options'!$H:$H,"Weekly*"))</f>
        <v/>
      </c>
      <c r="D21" s="27">
        <f>IF(SUM(B21:C21)=0,"",SUM(B21)/SUM(B21:C21))</f>
        <v/>
      </c>
      <c r="E21" s="27">
        <f>IF(SUM(B21:C21)=0,"",SUM(C21)/SUM(B21:C21))</f>
        <v/>
      </c>
    </row>
    <row r="22" hidden="1" outlineLevel="1">
      <c r="A22" s="24" t="n">
        <v>46419</v>
      </c>
      <c r="B22" s="26">
        <f>IF(SUMIFS('NSE - NIFTY Index Options'!$M:$M,'NSE - NIFTY Index Options'!$D:$D,$A22,'NSE - NIFTY Index Options'!$B:$B,"Monday",'NSE - NIFTY Index Options'!$H:$H,"Weekly*")+SUMIFS('NSE - Other Index Options'!$M:$M,'NSE - Other Index Options'!$D:$D,$A22,'NSE - Other Index Options'!$B:$B,"Monday",'NSE - Other Index Options'!$H:$H,"Weekly*")=0,"",SUMIFS('NSE - NIFTY Index Options'!$M:$M,'NSE - NIFTY Index Options'!$D:$D,$A22,'NSE - NIFTY Index Options'!$B:$B,"Monday",'NSE - NIFTY Index Options'!$H:$H,"Weekly*")+SUMIFS('NSE - Other Index Options'!$M:$M,'NSE - Other Index Options'!$D:$D,$A22,'NSE - Other Index Options'!$B:$B,"Monday",'NSE - Other Index Options'!$H:$H,"Weekly*"))</f>
        <v/>
      </c>
      <c r="C22" s="26">
        <f>IF(SUMIFS('BSE - SENSEX Index Options'!$M:$M,'BSE - SENSEX Index Options'!$D:$D,$A22,'BSE - SENSEX Index Options'!$B:$B,"Monday",'BSE - SENSEX Index Options'!$H:$H,"Weekly*")+SUMIFS('BSE - Other Index Options'!$M:$M,'BSE - Other Index Options'!$D:$D,$A22,'BSE - Other Index Options'!$B:$B,"Monday",'BSE - Other Index Options'!$H:$H,"Weekly*")=0,"",SUMIFS('BSE - SENSEX Index Options'!$M:$M,'BSE - SENSEX Index Options'!$D:$D,$A22,'BSE - SENSEX Index Options'!$B:$B,"Monday",'BSE - SENSEX Index Options'!$H:$H,"Weekly*")+SUMIFS('BSE - Other Index Options'!$M:$M,'BSE - Other Index Options'!$D:$D,$A22,'BSE - Other Index Options'!$B:$B,"Monday",'BSE - Other Index Options'!$H:$H,"Weekly*"))</f>
        <v/>
      </c>
      <c r="D22" s="27">
        <f>IF(SUM(B22:C22)=0,"",SUM(B22)/SUM(B22:C22))</f>
        <v/>
      </c>
      <c r="E22" s="27">
        <f>IF(SUM(B22:C22)=0,"",SUM(C22)/SUM(B22:C22))</f>
        <v/>
      </c>
    </row>
    <row r="23" hidden="1" outlineLevel="1">
      <c r="A23" s="24" t="n">
        <v>46447</v>
      </c>
      <c r="B23" s="26">
        <f>IF(SUMIFS('NSE - NIFTY Index Options'!$M:$M,'NSE - NIFTY Index Options'!$D:$D,$A23,'NSE - NIFTY Index Options'!$B:$B,"Monday",'NSE - NIFTY Index Options'!$H:$H,"Weekly*")+SUMIFS('NSE - Other Index Options'!$M:$M,'NSE - Other Index Options'!$D:$D,$A23,'NSE - Other Index Options'!$B:$B,"Monday",'NSE - Other Index Options'!$H:$H,"Weekly*")=0,"",SUMIFS('NSE - NIFTY Index Options'!$M:$M,'NSE - NIFTY Index Options'!$D:$D,$A23,'NSE - NIFTY Index Options'!$B:$B,"Monday",'NSE - NIFTY Index Options'!$H:$H,"Weekly*")+SUMIFS('NSE - Other Index Options'!$M:$M,'NSE - Other Index Options'!$D:$D,$A23,'NSE - Other Index Options'!$B:$B,"Monday",'NSE - Other Index Options'!$H:$H,"Weekly*"))</f>
        <v/>
      </c>
      <c r="C23" s="26">
        <f>IF(SUMIFS('BSE - SENSEX Index Options'!$M:$M,'BSE - SENSEX Index Options'!$D:$D,$A23,'BSE - SENSEX Index Options'!$B:$B,"Monday",'BSE - SENSEX Index Options'!$H:$H,"Weekly*")+SUMIFS('BSE - Other Index Options'!$M:$M,'BSE - Other Index Options'!$D:$D,$A23,'BSE - Other Index Options'!$B:$B,"Monday",'BSE - Other Index Options'!$H:$H,"Weekly*")=0,"",SUMIFS('BSE - SENSEX Index Options'!$M:$M,'BSE - SENSEX Index Options'!$D:$D,$A23,'BSE - SENSEX Index Options'!$B:$B,"Monday",'BSE - SENSEX Index Options'!$H:$H,"Weekly*")+SUMIFS('BSE - Other Index Options'!$M:$M,'BSE - Other Index Options'!$D:$D,$A23,'BSE - Other Index Options'!$B:$B,"Monday",'BSE - Other Index Options'!$H:$H,"Weekly*"))</f>
        <v/>
      </c>
      <c r="D23" s="27">
        <f>IF(SUM(B23:C23)=0,"",SUM(B23)/SUM(B23:C23))</f>
        <v/>
      </c>
      <c r="E23" s="27">
        <f>IF(SUM(B23:C23)=0,"",SUM(C23)/SUM(B23:C23))</f>
        <v/>
      </c>
    </row>
    <row r="24" hidden="1" outlineLevel="1">
      <c r="A24" s="24" t="n">
        <v>46478</v>
      </c>
      <c r="B24" s="26">
        <f>IF(SUMIFS('NSE - NIFTY Index Options'!$M:$M,'NSE - NIFTY Index Options'!$D:$D,$A24,'NSE - NIFTY Index Options'!$B:$B,"Monday",'NSE - NIFTY Index Options'!$H:$H,"Weekly*")+SUMIFS('NSE - Other Index Options'!$M:$M,'NSE - Other Index Options'!$D:$D,$A24,'NSE - Other Index Options'!$B:$B,"Monday",'NSE - Other Index Options'!$H:$H,"Weekly*")=0,"",SUMIFS('NSE - NIFTY Index Options'!$M:$M,'NSE - NIFTY Index Options'!$D:$D,$A24,'NSE - NIFTY Index Options'!$B:$B,"Monday",'NSE - NIFTY Index Options'!$H:$H,"Weekly*")+SUMIFS('NSE - Other Index Options'!$M:$M,'NSE - Other Index Options'!$D:$D,$A24,'NSE - Other Index Options'!$B:$B,"Monday",'NSE - Other Index Options'!$H:$H,"Weekly*"))</f>
        <v/>
      </c>
      <c r="C24" s="26">
        <f>IF(SUMIFS('BSE - SENSEX Index Options'!$M:$M,'BSE - SENSEX Index Options'!$D:$D,$A24,'BSE - SENSEX Index Options'!$B:$B,"Monday",'BSE - SENSEX Index Options'!$H:$H,"Weekly*")+SUMIFS('BSE - Other Index Options'!$M:$M,'BSE - Other Index Options'!$D:$D,$A24,'BSE - Other Index Options'!$B:$B,"Monday",'BSE - Other Index Options'!$H:$H,"Weekly*")=0,"",SUMIFS('BSE - SENSEX Index Options'!$M:$M,'BSE - SENSEX Index Options'!$D:$D,$A24,'BSE - SENSEX Index Options'!$B:$B,"Monday",'BSE - SENSEX Index Options'!$H:$H,"Weekly*")+SUMIFS('BSE - Other Index Options'!$M:$M,'BSE - Other Index Options'!$D:$D,$A24,'BSE - Other Index Options'!$B:$B,"Monday",'BSE - Other Index Options'!$H:$H,"Weekly*"))</f>
        <v/>
      </c>
      <c r="D24" s="27">
        <f>IF(SUM(B24:C24)=0,"",SUM(B24)/SUM(B24:C24))</f>
        <v/>
      </c>
      <c r="E24" s="27">
        <f>IF(SUM(B24:C24)=0,"",SUM(C24)/SUM(B24:C24))</f>
        <v/>
      </c>
    </row>
    <row r="25" hidden="1" outlineLevel="1">
      <c r="A25" s="24" t="n">
        <v>46508</v>
      </c>
      <c r="B25" s="26">
        <f>IF(SUMIFS('NSE - NIFTY Index Options'!$M:$M,'NSE - NIFTY Index Options'!$D:$D,$A25,'NSE - NIFTY Index Options'!$B:$B,"Monday",'NSE - NIFTY Index Options'!$H:$H,"Weekly*")+SUMIFS('NSE - Other Index Options'!$M:$M,'NSE - Other Index Options'!$D:$D,$A25,'NSE - Other Index Options'!$B:$B,"Monday",'NSE - Other Index Options'!$H:$H,"Weekly*")=0,"",SUMIFS('NSE - NIFTY Index Options'!$M:$M,'NSE - NIFTY Index Options'!$D:$D,$A25,'NSE - NIFTY Index Options'!$B:$B,"Monday",'NSE - NIFTY Index Options'!$H:$H,"Weekly*")+SUMIFS('NSE - Other Index Options'!$M:$M,'NSE - Other Index Options'!$D:$D,$A25,'NSE - Other Index Options'!$B:$B,"Monday",'NSE - Other Index Options'!$H:$H,"Weekly*"))</f>
        <v/>
      </c>
      <c r="C25" s="26">
        <f>IF(SUMIFS('BSE - SENSEX Index Options'!$M:$M,'BSE - SENSEX Index Options'!$D:$D,$A25,'BSE - SENSEX Index Options'!$B:$B,"Monday",'BSE - SENSEX Index Options'!$H:$H,"Weekly*")+SUMIFS('BSE - Other Index Options'!$M:$M,'BSE - Other Index Options'!$D:$D,$A25,'BSE - Other Index Options'!$B:$B,"Monday",'BSE - Other Index Options'!$H:$H,"Weekly*")=0,"",SUMIFS('BSE - SENSEX Index Options'!$M:$M,'BSE - SENSEX Index Options'!$D:$D,$A25,'BSE - SENSEX Index Options'!$B:$B,"Monday",'BSE - SENSEX Index Options'!$H:$H,"Weekly*")+SUMIFS('BSE - Other Index Options'!$M:$M,'BSE - Other Index Options'!$D:$D,$A25,'BSE - Other Index Options'!$B:$B,"Monday",'BSE - Other Index Options'!$H:$H,"Weekly*"))</f>
        <v/>
      </c>
      <c r="D25" s="27">
        <f>IF(SUM(B25:C25)=0,"",SUM(B25)/SUM(B25:C25))</f>
        <v/>
      </c>
      <c r="E25" s="27">
        <f>IF(SUM(B25:C25)=0,"",SUM(C25)/SUM(B25:C25))</f>
        <v/>
      </c>
    </row>
    <row r="26" hidden="1" outlineLevel="1">
      <c r="A26" s="24" t="n">
        <v>46539</v>
      </c>
      <c r="B26" s="26">
        <f>IF(SUMIFS('NSE - NIFTY Index Options'!$M:$M,'NSE - NIFTY Index Options'!$D:$D,$A26,'NSE - NIFTY Index Options'!$B:$B,"Monday",'NSE - NIFTY Index Options'!$H:$H,"Weekly*")+SUMIFS('NSE - Other Index Options'!$M:$M,'NSE - Other Index Options'!$D:$D,$A26,'NSE - Other Index Options'!$B:$B,"Monday",'NSE - Other Index Options'!$H:$H,"Weekly*")=0,"",SUMIFS('NSE - NIFTY Index Options'!$M:$M,'NSE - NIFTY Index Options'!$D:$D,$A26,'NSE - NIFTY Index Options'!$B:$B,"Monday",'NSE - NIFTY Index Options'!$H:$H,"Weekly*")+SUMIFS('NSE - Other Index Options'!$M:$M,'NSE - Other Index Options'!$D:$D,$A26,'NSE - Other Index Options'!$B:$B,"Monday",'NSE - Other Index Options'!$H:$H,"Weekly*"))</f>
        <v/>
      </c>
      <c r="C26" s="26">
        <f>IF(SUMIFS('BSE - SENSEX Index Options'!$M:$M,'BSE - SENSEX Index Options'!$D:$D,$A26,'BSE - SENSEX Index Options'!$B:$B,"Monday",'BSE - SENSEX Index Options'!$H:$H,"Weekly*")+SUMIFS('BSE - Other Index Options'!$M:$M,'BSE - Other Index Options'!$D:$D,$A26,'BSE - Other Index Options'!$B:$B,"Monday",'BSE - Other Index Options'!$H:$H,"Weekly*")=0,"",SUMIFS('BSE - SENSEX Index Options'!$M:$M,'BSE - SENSEX Index Options'!$D:$D,$A26,'BSE - SENSEX Index Options'!$B:$B,"Monday",'BSE - SENSEX Index Options'!$H:$H,"Weekly*")+SUMIFS('BSE - Other Index Options'!$M:$M,'BSE - Other Index Options'!$D:$D,$A26,'BSE - Other Index Options'!$B:$B,"Monday",'BSE - Other Index Options'!$H:$H,"Weekly*"))</f>
        <v/>
      </c>
      <c r="D26" s="27">
        <f>IF(SUM(B26:C26)=0,"",SUM(B26)/SUM(B26:C26))</f>
        <v/>
      </c>
      <c r="E26" s="27">
        <f>IF(SUM(B26:C26)=0,"",SUM(C26)/SUM(B26:C26))</f>
        <v/>
      </c>
    </row>
    <row r="27" hidden="1" outlineLevel="1">
      <c r="A27" s="24" t="n">
        <v>46569</v>
      </c>
      <c r="B27" s="26">
        <f>IF(SUMIFS('NSE - NIFTY Index Options'!$M:$M,'NSE - NIFTY Index Options'!$D:$D,$A27,'NSE - NIFTY Index Options'!$B:$B,"Monday",'NSE - NIFTY Index Options'!$H:$H,"Weekly*")+SUMIFS('NSE - Other Index Options'!$M:$M,'NSE - Other Index Options'!$D:$D,$A27,'NSE - Other Index Options'!$B:$B,"Monday",'NSE - Other Index Options'!$H:$H,"Weekly*")=0,"",SUMIFS('NSE - NIFTY Index Options'!$M:$M,'NSE - NIFTY Index Options'!$D:$D,$A27,'NSE - NIFTY Index Options'!$B:$B,"Monday",'NSE - NIFTY Index Options'!$H:$H,"Weekly*")+SUMIFS('NSE - Other Index Options'!$M:$M,'NSE - Other Index Options'!$D:$D,$A27,'NSE - Other Index Options'!$B:$B,"Monday",'NSE - Other Index Options'!$H:$H,"Weekly*"))</f>
        <v/>
      </c>
      <c r="C27" s="26">
        <f>IF(SUMIFS('BSE - SENSEX Index Options'!$M:$M,'BSE - SENSEX Index Options'!$D:$D,$A27,'BSE - SENSEX Index Options'!$B:$B,"Monday",'BSE - SENSEX Index Options'!$H:$H,"Weekly*")+SUMIFS('BSE - Other Index Options'!$M:$M,'BSE - Other Index Options'!$D:$D,$A27,'BSE - Other Index Options'!$B:$B,"Monday",'BSE - Other Index Options'!$H:$H,"Weekly*")=0,"",SUMIFS('BSE - SENSEX Index Options'!$M:$M,'BSE - SENSEX Index Options'!$D:$D,$A27,'BSE - SENSEX Index Options'!$B:$B,"Monday",'BSE - SENSEX Index Options'!$H:$H,"Weekly*")+SUMIFS('BSE - Other Index Options'!$M:$M,'BSE - Other Index Options'!$D:$D,$A27,'BSE - Other Index Options'!$B:$B,"Monday",'BSE - Other Index Options'!$H:$H,"Weekly*"))</f>
        <v/>
      </c>
      <c r="D27" s="27">
        <f>IF(SUM(B27:C27)=0,"",SUM(B27)/SUM(B27:C27))</f>
        <v/>
      </c>
      <c r="E27" s="27">
        <f>IF(SUM(B27:C27)=0,"",SUM(C27)/SUM(B27:C27))</f>
        <v/>
      </c>
    </row>
    <row r="28" hidden="1" outlineLevel="1">
      <c r="A28" s="24" t="n">
        <v>46600</v>
      </c>
      <c r="B28" s="26">
        <f>IF(SUMIFS('NSE - NIFTY Index Options'!$M:$M,'NSE - NIFTY Index Options'!$D:$D,$A28,'NSE - NIFTY Index Options'!$B:$B,"Monday",'NSE - NIFTY Index Options'!$H:$H,"Weekly*")+SUMIFS('NSE - Other Index Options'!$M:$M,'NSE - Other Index Options'!$D:$D,$A28,'NSE - Other Index Options'!$B:$B,"Monday",'NSE - Other Index Options'!$H:$H,"Weekly*")=0,"",SUMIFS('NSE - NIFTY Index Options'!$M:$M,'NSE - NIFTY Index Options'!$D:$D,$A28,'NSE - NIFTY Index Options'!$B:$B,"Monday",'NSE - NIFTY Index Options'!$H:$H,"Weekly*")+SUMIFS('NSE - Other Index Options'!$M:$M,'NSE - Other Index Options'!$D:$D,$A28,'NSE - Other Index Options'!$B:$B,"Monday",'NSE - Other Index Options'!$H:$H,"Weekly*"))</f>
        <v/>
      </c>
      <c r="C28" s="26">
        <f>IF(SUMIFS('BSE - SENSEX Index Options'!$M:$M,'BSE - SENSEX Index Options'!$D:$D,$A28,'BSE - SENSEX Index Options'!$B:$B,"Monday",'BSE - SENSEX Index Options'!$H:$H,"Weekly*")+SUMIFS('BSE - Other Index Options'!$M:$M,'BSE - Other Index Options'!$D:$D,$A28,'BSE - Other Index Options'!$B:$B,"Monday",'BSE - Other Index Options'!$H:$H,"Weekly*")=0,"",SUMIFS('BSE - SENSEX Index Options'!$M:$M,'BSE - SENSEX Index Options'!$D:$D,$A28,'BSE - SENSEX Index Options'!$B:$B,"Monday",'BSE - SENSEX Index Options'!$H:$H,"Weekly*")+SUMIFS('BSE - Other Index Options'!$M:$M,'BSE - Other Index Options'!$D:$D,$A28,'BSE - Other Index Options'!$B:$B,"Monday",'BSE - Other Index Options'!$H:$H,"Weekly*"))</f>
        <v/>
      </c>
      <c r="D28" s="27">
        <f>IF(SUM(B28:C28)=0,"",SUM(B28)/SUM(B28:C28))</f>
        <v/>
      </c>
      <c r="E28" s="27">
        <f>IF(SUM(B28:C28)=0,"",SUM(C28)/SUM(B28:C28))</f>
        <v/>
      </c>
    </row>
    <row r="29" hidden="1" outlineLevel="1">
      <c r="A29" s="24" t="n">
        <v>46631</v>
      </c>
      <c r="B29" s="26">
        <f>IF(SUMIFS('NSE - NIFTY Index Options'!$M:$M,'NSE - NIFTY Index Options'!$D:$D,$A29,'NSE - NIFTY Index Options'!$B:$B,"Monday",'NSE - NIFTY Index Options'!$H:$H,"Weekly*")+SUMIFS('NSE - Other Index Options'!$M:$M,'NSE - Other Index Options'!$D:$D,$A29,'NSE - Other Index Options'!$B:$B,"Monday",'NSE - Other Index Options'!$H:$H,"Weekly*")=0,"",SUMIFS('NSE - NIFTY Index Options'!$M:$M,'NSE - NIFTY Index Options'!$D:$D,$A29,'NSE - NIFTY Index Options'!$B:$B,"Monday",'NSE - NIFTY Index Options'!$H:$H,"Weekly*")+SUMIFS('NSE - Other Index Options'!$M:$M,'NSE - Other Index Options'!$D:$D,$A29,'NSE - Other Index Options'!$B:$B,"Monday",'NSE - Other Index Options'!$H:$H,"Weekly*"))</f>
        <v/>
      </c>
      <c r="C29" s="26">
        <f>IF(SUMIFS('BSE - SENSEX Index Options'!$M:$M,'BSE - SENSEX Index Options'!$D:$D,$A29,'BSE - SENSEX Index Options'!$B:$B,"Monday",'BSE - SENSEX Index Options'!$H:$H,"Weekly*")+SUMIFS('BSE - Other Index Options'!$M:$M,'BSE - Other Index Options'!$D:$D,$A29,'BSE - Other Index Options'!$B:$B,"Monday",'BSE - Other Index Options'!$H:$H,"Weekly*")=0,"",SUMIFS('BSE - SENSEX Index Options'!$M:$M,'BSE - SENSEX Index Options'!$D:$D,$A29,'BSE - SENSEX Index Options'!$B:$B,"Monday",'BSE - SENSEX Index Options'!$H:$H,"Weekly*")+SUMIFS('BSE - Other Index Options'!$M:$M,'BSE - Other Index Options'!$D:$D,$A29,'BSE - Other Index Options'!$B:$B,"Monday",'BSE - Other Index Options'!$H:$H,"Weekly*"))</f>
        <v/>
      </c>
      <c r="D29" s="27">
        <f>IF(SUM(B29:C29)=0,"",SUM(B29)/SUM(B29:C29))</f>
        <v/>
      </c>
      <c r="E29" s="27">
        <f>IF(SUM(B29:C29)=0,"",SUM(C29)/SUM(B29:C29))</f>
        <v/>
      </c>
    </row>
    <row r="30" hidden="1" outlineLevel="1">
      <c r="A30" s="24" t="n">
        <v>46661</v>
      </c>
      <c r="B30" s="26">
        <f>IF(SUMIFS('NSE - NIFTY Index Options'!$M:$M,'NSE - NIFTY Index Options'!$D:$D,$A30,'NSE - NIFTY Index Options'!$B:$B,"Monday",'NSE - NIFTY Index Options'!$H:$H,"Weekly*")+SUMIFS('NSE - Other Index Options'!$M:$M,'NSE - Other Index Options'!$D:$D,$A30,'NSE - Other Index Options'!$B:$B,"Monday",'NSE - Other Index Options'!$H:$H,"Weekly*")=0,"",SUMIFS('NSE - NIFTY Index Options'!$M:$M,'NSE - NIFTY Index Options'!$D:$D,$A30,'NSE - NIFTY Index Options'!$B:$B,"Monday",'NSE - NIFTY Index Options'!$H:$H,"Weekly*")+SUMIFS('NSE - Other Index Options'!$M:$M,'NSE - Other Index Options'!$D:$D,$A30,'NSE - Other Index Options'!$B:$B,"Monday",'NSE - Other Index Options'!$H:$H,"Weekly*"))</f>
        <v/>
      </c>
      <c r="C30" s="26">
        <f>IF(SUMIFS('BSE - SENSEX Index Options'!$M:$M,'BSE - SENSEX Index Options'!$D:$D,$A30,'BSE - SENSEX Index Options'!$B:$B,"Monday",'BSE - SENSEX Index Options'!$H:$H,"Weekly*")+SUMIFS('BSE - Other Index Options'!$M:$M,'BSE - Other Index Options'!$D:$D,$A30,'BSE - Other Index Options'!$B:$B,"Monday",'BSE - Other Index Options'!$H:$H,"Weekly*")=0,"",SUMIFS('BSE - SENSEX Index Options'!$M:$M,'BSE - SENSEX Index Options'!$D:$D,$A30,'BSE - SENSEX Index Options'!$B:$B,"Monday",'BSE - SENSEX Index Options'!$H:$H,"Weekly*")+SUMIFS('BSE - Other Index Options'!$M:$M,'BSE - Other Index Options'!$D:$D,$A30,'BSE - Other Index Options'!$B:$B,"Monday",'BSE - Other Index Options'!$H:$H,"Weekly*"))</f>
        <v/>
      </c>
      <c r="D30" s="27">
        <f>IF(SUM(B30:C30)=0,"",SUM(B30)/SUM(B30:C30))</f>
        <v/>
      </c>
      <c r="E30" s="27">
        <f>IF(SUM(B30:C30)=0,"",SUM(C30)/SUM(B30:C30))</f>
        <v/>
      </c>
    </row>
    <row r="31" hidden="1" outlineLevel="1">
      <c r="A31" s="24" t="n">
        <v>46692</v>
      </c>
      <c r="B31" s="26">
        <f>IF(SUMIFS('NSE - NIFTY Index Options'!$M:$M,'NSE - NIFTY Index Options'!$D:$D,$A31,'NSE - NIFTY Index Options'!$B:$B,"Monday",'NSE - NIFTY Index Options'!$H:$H,"Weekly*")+SUMIFS('NSE - Other Index Options'!$M:$M,'NSE - Other Index Options'!$D:$D,$A31,'NSE - Other Index Options'!$B:$B,"Monday",'NSE - Other Index Options'!$H:$H,"Weekly*")=0,"",SUMIFS('NSE - NIFTY Index Options'!$M:$M,'NSE - NIFTY Index Options'!$D:$D,$A31,'NSE - NIFTY Index Options'!$B:$B,"Monday",'NSE - NIFTY Index Options'!$H:$H,"Weekly*")+SUMIFS('NSE - Other Index Options'!$M:$M,'NSE - Other Index Options'!$D:$D,$A31,'NSE - Other Index Options'!$B:$B,"Monday",'NSE - Other Index Options'!$H:$H,"Weekly*"))</f>
        <v/>
      </c>
      <c r="C31" s="26">
        <f>IF(SUMIFS('BSE - SENSEX Index Options'!$M:$M,'BSE - SENSEX Index Options'!$D:$D,$A31,'BSE - SENSEX Index Options'!$B:$B,"Monday",'BSE - SENSEX Index Options'!$H:$H,"Weekly*")+SUMIFS('BSE - Other Index Options'!$M:$M,'BSE - Other Index Options'!$D:$D,$A31,'BSE - Other Index Options'!$B:$B,"Monday",'BSE - Other Index Options'!$H:$H,"Weekly*")=0,"",SUMIFS('BSE - SENSEX Index Options'!$M:$M,'BSE - SENSEX Index Options'!$D:$D,$A31,'BSE - SENSEX Index Options'!$B:$B,"Monday",'BSE - SENSEX Index Options'!$H:$H,"Weekly*")+SUMIFS('BSE - Other Index Options'!$M:$M,'BSE - Other Index Options'!$D:$D,$A31,'BSE - Other Index Options'!$B:$B,"Monday",'BSE - Other Index Options'!$H:$H,"Weekly*"))</f>
        <v/>
      </c>
      <c r="D31" s="27">
        <f>IF(SUM(B31:C31)=0,"",SUM(B31)/SUM(B31:C31))</f>
        <v/>
      </c>
      <c r="E31" s="27">
        <f>IF(SUM(B31:C31)=0,"",SUM(C31)/SUM(B31:C31))</f>
        <v/>
      </c>
    </row>
    <row r="32" hidden="1" outlineLevel="1">
      <c r="A32" s="24" t="n">
        <v>46722</v>
      </c>
      <c r="B32" s="26">
        <f>IF(SUMIFS('NSE - NIFTY Index Options'!$M:$M,'NSE - NIFTY Index Options'!$D:$D,$A32,'NSE - NIFTY Index Options'!$B:$B,"Monday",'NSE - NIFTY Index Options'!$H:$H,"Weekly*")+SUMIFS('NSE - Other Index Options'!$M:$M,'NSE - Other Index Options'!$D:$D,$A32,'NSE - Other Index Options'!$B:$B,"Monday",'NSE - Other Index Options'!$H:$H,"Weekly*")=0,"",SUMIFS('NSE - NIFTY Index Options'!$M:$M,'NSE - NIFTY Index Options'!$D:$D,$A32,'NSE - NIFTY Index Options'!$B:$B,"Monday",'NSE - NIFTY Index Options'!$H:$H,"Weekly*")+SUMIFS('NSE - Other Index Options'!$M:$M,'NSE - Other Index Options'!$D:$D,$A32,'NSE - Other Index Options'!$B:$B,"Monday",'NSE - Other Index Options'!$H:$H,"Weekly*"))</f>
        <v/>
      </c>
      <c r="C32" s="26">
        <f>IF(SUMIFS('BSE - SENSEX Index Options'!$M:$M,'BSE - SENSEX Index Options'!$D:$D,$A32,'BSE - SENSEX Index Options'!$B:$B,"Monday",'BSE - SENSEX Index Options'!$H:$H,"Weekly*")+SUMIFS('BSE - Other Index Options'!$M:$M,'BSE - Other Index Options'!$D:$D,$A32,'BSE - Other Index Options'!$B:$B,"Monday",'BSE - Other Index Options'!$H:$H,"Weekly*")=0,"",SUMIFS('BSE - SENSEX Index Options'!$M:$M,'BSE - SENSEX Index Options'!$D:$D,$A32,'BSE - SENSEX Index Options'!$B:$B,"Monday",'BSE - SENSEX Index Options'!$H:$H,"Weekly*")+SUMIFS('BSE - Other Index Options'!$M:$M,'BSE - Other Index Options'!$D:$D,$A32,'BSE - Other Index Options'!$B:$B,"Monday",'BSE - Other Index Options'!$H:$H,"Weekly*"))</f>
        <v/>
      </c>
      <c r="D32" s="27">
        <f>IF(SUM(B32:C32)=0,"",SUM(B32)/SUM(B32:C32))</f>
        <v/>
      </c>
      <c r="E32" s="27">
        <f>IF(SUM(B32:C32)=0,"",SUM(C32)/SUM(B32:C32))</f>
        <v/>
      </c>
    </row>
    <row r="33" collapsed="1">
      <c r="A33" s="28" t="inlineStr">
        <is>
          <t>Total</t>
        </is>
      </c>
      <c r="B33" s="30">
        <f>IF(SUM(B5:B32)=0,"",SUM(B5:B32))</f>
        <v/>
      </c>
      <c r="C33" s="30">
        <f>IF(SUM(C5:C32)=0,"",SUM(C5:C32))</f>
        <v/>
      </c>
      <c r="D33" s="31">
        <f>IF(SUM(B33:C33)=0,"",SUM(B33)/SUM(B33:C33))</f>
        <v/>
      </c>
      <c r="E33" s="31">
        <f>IF(SUM(B33:C33)=0,"",SUM(C33)/SUM(B33:C33))</f>
        <v/>
      </c>
    </row>
    <row r="35">
      <c r="A35" s="28" t="inlineStr">
        <is>
          <t>Tuesday Trade Day</t>
        </is>
      </c>
    </row>
    <row r="36">
      <c r="A36" s="28" t="inlineStr">
        <is>
          <t>Month</t>
        </is>
      </c>
      <c r="B36" s="28" t="inlineStr">
        <is>
          <t>NSE Premium Turnover (INR Bn)</t>
        </is>
      </c>
      <c r="C36" s="28" t="inlineStr">
        <is>
          <t>BSE Premium Turnover (INR Bn)</t>
        </is>
      </c>
      <c r="D36" s="28" t="inlineStr">
        <is>
          <t>NSE Market Share</t>
        </is>
      </c>
      <c r="E36" s="28" t="inlineStr">
        <is>
          <t>BSE Market Share</t>
        </is>
      </c>
    </row>
    <row r="37">
      <c r="A37" s="24" t="n">
        <v>45901</v>
      </c>
      <c r="B37" s="26">
        <f>IF(SUMIFS('NSE - NIFTY Index Options'!$M:$M,'NSE - NIFTY Index Options'!$D:$D,$A37,'NSE - NIFTY Index Options'!$B:$B,"Tuesday",'NSE - NIFTY Index Options'!$H:$H,"Weekly*")+SUMIFS('NSE - Other Index Options'!$M:$M,'NSE - Other Index Options'!$D:$D,$A37,'NSE - Other Index Options'!$B:$B,"Tuesday",'NSE - Other Index Options'!$H:$H,"Weekly*")=0,"",SUMIFS('NSE - NIFTY Index Options'!$M:$M,'NSE - NIFTY Index Options'!$D:$D,$A37,'NSE - NIFTY Index Options'!$B:$B,"Tuesday",'NSE - NIFTY Index Options'!$H:$H,"Weekly*")+SUMIFS('NSE - Other Index Options'!$M:$M,'NSE - Other Index Options'!$D:$D,$A37,'NSE - Other Index Options'!$B:$B,"Tuesday",'NSE - Other Index Options'!$H:$H,"Weekly*"))</f>
        <v/>
      </c>
      <c r="C37" s="26">
        <f>IF(SUMIFS('BSE - SENSEX Index Options'!$M:$M,'BSE - SENSEX Index Options'!$D:$D,$A37,'BSE - SENSEX Index Options'!$B:$B,"Tuesday",'BSE - SENSEX Index Options'!$H:$H,"Weekly*")+SUMIFS('BSE - Other Index Options'!$M:$M,'BSE - Other Index Options'!$D:$D,$A37,'BSE - Other Index Options'!$B:$B,"Tuesday",'BSE - Other Index Options'!$H:$H,"Weekly*")=0,"",SUMIFS('BSE - SENSEX Index Options'!$M:$M,'BSE - SENSEX Index Options'!$D:$D,$A37,'BSE - SENSEX Index Options'!$B:$B,"Tuesday",'BSE - SENSEX Index Options'!$H:$H,"Weekly*")+SUMIFS('BSE - Other Index Options'!$M:$M,'BSE - Other Index Options'!$D:$D,$A37,'BSE - Other Index Options'!$B:$B,"Tuesday",'BSE - Other Index Options'!$H:$H,"Weekly*"))</f>
        <v/>
      </c>
      <c r="D37" s="27">
        <f>IF(SUM(B37:C37)=0,"",SUM(B37)/SUM(B37:C37))</f>
        <v/>
      </c>
      <c r="E37" s="27">
        <f>IF(SUM(B37:C37)=0,"",SUM(C37)/SUM(B37:C37))</f>
        <v/>
      </c>
    </row>
    <row r="38">
      <c r="A38" s="24" t="n">
        <v>45931</v>
      </c>
      <c r="B38" s="26">
        <f>IF(SUMIFS('NSE - NIFTY Index Options'!$M:$M,'NSE - NIFTY Index Options'!$D:$D,$A38,'NSE - NIFTY Index Options'!$B:$B,"Tuesday",'NSE - NIFTY Index Options'!$H:$H,"Weekly*")+SUMIFS('NSE - Other Index Options'!$M:$M,'NSE - Other Index Options'!$D:$D,$A38,'NSE - Other Index Options'!$B:$B,"Tuesday",'NSE - Other Index Options'!$H:$H,"Weekly*")=0,"",SUMIFS('NSE - NIFTY Index Options'!$M:$M,'NSE - NIFTY Index Options'!$D:$D,$A38,'NSE - NIFTY Index Options'!$B:$B,"Tuesday",'NSE - NIFTY Index Options'!$H:$H,"Weekly*")+SUMIFS('NSE - Other Index Options'!$M:$M,'NSE - Other Index Options'!$D:$D,$A38,'NSE - Other Index Options'!$B:$B,"Tuesday",'NSE - Other Index Options'!$H:$H,"Weekly*"))</f>
        <v/>
      </c>
      <c r="C38" s="26">
        <f>IF(SUMIFS('BSE - SENSEX Index Options'!$M:$M,'BSE - SENSEX Index Options'!$D:$D,$A38,'BSE - SENSEX Index Options'!$B:$B,"Tuesday",'BSE - SENSEX Index Options'!$H:$H,"Weekly*")+SUMIFS('BSE - Other Index Options'!$M:$M,'BSE - Other Index Options'!$D:$D,$A38,'BSE - Other Index Options'!$B:$B,"Tuesday",'BSE - Other Index Options'!$H:$H,"Weekly*")=0,"",SUMIFS('BSE - SENSEX Index Options'!$M:$M,'BSE - SENSEX Index Options'!$D:$D,$A38,'BSE - SENSEX Index Options'!$B:$B,"Tuesday",'BSE - SENSEX Index Options'!$H:$H,"Weekly*")+SUMIFS('BSE - Other Index Options'!$M:$M,'BSE - Other Index Options'!$D:$D,$A38,'BSE - Other Index Options'!$B:$B,"Tuesday",'BSE - Other Index Options'!$H:$H,"Weekly*"))</f>
        <v/>
      </c>
      <c r="D38" s="27">
        <f>IF(SUM(B38:C38)=0,"",SUM(B38)/SUM(B38:C38))</f>
        <v/>
      </c>
      <c r="E38" s="27">
        <f>IF(SUM(B38:C38)=0,"",SUM(C38)/SUM(B38:C38))</f>
        <v/>
      </c>
    </row>
    <row r="39">
      <c r="A39" s="24" t="n">
        <v>45962</v>
      </c>
      <c r="B39" s="26">
        <f>IF(SUMIFS('NSE - NIFTY Index Options'!$M:$M,'NSE - NIFTY Index Options'!$D:$D,$A39,'NSE - NIFTY Index Options'!$B:$B,"Tuesday",'NSE - NIFTY Index Options'!$H:$H,"Weekly*")+SUMIFS('NSE - Other Index Options'!$M:$M,'NSE - Other Index Options'!$D:$D,$A39,'NSE - Other Index Options'!$B:$B,"Tuesday",'NSE - Other Index Options'!$H:$H,"Weekly*")=0,"",SUMIFS('NSE - NIFTY Index Options'!$M:$M,'NSE - NIFTY Index Options'!$D:$D,$A39,'NSE - NIFTY Index Options'!$B:$B,"Tuesday",'NSE - NIFTY Index Options'!$H:$H,"Weekly*")+SUMIFS('NSE - Other Index Options'!$M:$M,'NSE - Other Index Options'!$D:$D,$A39,'NSE - Other Index Options'!$B:$B,"Tuesday",'NSE - Other Index Options'!$H:$H,"Weekly*"))</f>
        <v/>
      </c>
      <c r="C39" s="26">
        <f>IF(SUMIFS('BSE - SENSEX Index Options'!$M:$M,'BSE - SENSEX Index Options'!$D:$D,$A39,'BSE - SENSEX Index Options'!$B:$B,"Tuesday",'BSE - SENSEX Index Options'!$H:$H,"Weekly*")+SUMIFS('BSE - Other Index Options'!$M:$M,'BSE - Other Index Options'!$D:$D,$A39,'BSE - Other Index Options'!$B:$B,"Tuesday",'BSE - Other Index Options'!$H:$H,"Weekly*")=0,"",SUMIFS('BSE - SENSEX Index Options'!$M:$M,'BSE - SENSEX Index Options'!$D:$D,$A39,'BSE - SENSEX Index Options'!$B:$B,"Tuesday",'BSE - SENSEX Index Options'!$H:$H,"Weekly*")+SUMIFS('BSE - Other Index Options'!$M:$M,'BSE - Other Index Options'!$D:$D,$A39,'BSE - Other Index Options'!$B:$B,"Tuesday",'BSE - Other Index Options'!$H:$H,"Weekly*"))</f>
        <v/>
      </c>
      <c r="D39" s="27">
        <f>IF(SUM(B39:C39)=0,"",SUM(B39)/SUM(B39:C39))</f>
        <v/>
      </c>
      <c r="E39" s="27">
        <f>IF(SUM(B39:C39)=0,"",SUM(C39)/SUM(B39:C39))</f>
        <v/>
      </c>
    </row>
    <row r="40">
      <c r="A40" s="24" t="n">
        <v>45992</v>
      </c>
      <c r="B40" s="26">
        <f>IF(SUMIFS('NSE - NIFTY Index Options'!$M:$M,'NSE - NIFTY Index Options'!$D:$D,$A40,'NSE - NIFTY Index Options'!$B:$B,"Tuesday",'NSE - NIFTY Index Options'!$H:$H,"Weekly*")+SUMIFS('NSE - Other Index Options'!$M:$M,'NSE - Other Index Options'!$D:$D,$A40,'NSE - Other Index Options'!$B:$B,"Tuesday",'NSE - Other Index Options'!$H:$H,"Weekly*")=0,"",SUMIFS('NSE - NIFTY Index Options'!$M:$M,'NSE - NIFTY Index Options'!$D:$D,$A40,'NSE - NIFTY Index Options'!$B:$B,"Tuesday",'NSE - NIFTY Index Options'!$H:$H,"Weekly*")+SUMIFS('NSE - Other Index Options'!$M:$M,'NSE - Other Index Options'!$D:$D,$A40,'NSE - Other Index Options'!$B:$B,"Tuesday",'NSE - Other Index Options'!$H:$H,"Weekly*"))</f>
        <v/>
      </c>
      <c r="C40" s="26">
        <f>IF(SUMIFS('BSE - SENSEX Index Options'!$M:$M,'BSE - SENSEX Index Options'!$D:$D,$A40,'BSE - SENSEX Index Options'!$B:$B,"Tuesday",'BSE - SENSEX Index Options'!$H:$H,"Weekly*")+SUMIFS('BSE - Other Index Options'!$M:$M,'BSE - Other Index Options'!$D:$D,$A40,'BSE - Other Index Options'!$B:$B,"Tuesday",'BSE - Other Index Options'!$H:$H,"Weekly*")=0,"",SUMIFS('BSE - SENSEX Index Options'!$M:$M,'BSE - SENSEX Index Options'!$D:$D,$A40,'BSE - SENSEX Index Options'!$B:$B,"Tuesday",'BSE - SENSEX Index Options'!$H:$H,"Weekly*")+SUMIFS('BSE - Other Index Options'!$M:$M,'BSE - Other Index Options'!$D:$D,$A40,'BSE - Other Index Options'!$B:$B,"Tuesday",'BSE - Other Index Options'!$H:$H,"Weekly*"))</f>
        <v/>
      </c>
      <c r="D40" s="27">
        <f>IF(SUM(B40:C40)=0,"",SUM(B40)/SUM(B40:C40))</f>
        <v/>
      </c>
      <c r="E40" s="27">
        <f>IF(SUM(B40:C40)=0,"",SUM(C40)/SUM(B40:C40))</f>
        <v/>
      </c>
    </row>
    <row r="41">
      <c r="A41" s="24" t="n">
        <v>46023</v>
      </c>
      <c r="B41" s="26">
        <f>IF(SUMIFS('NSE - NIFTY Index Options'!$M:$M,'NSE - NIFTY Index Options'!$D:$D,$A41,'NSE - NIFTY Index Options'!$B:$B,"Tuesday",'NSE - NIFTY Index Options'!$H:$H,"Weekly*")+SUMIFS('NSE - Other Index Options'!$M:$M,'NSE - Other Index Options'!$D:$D,$A41,'NSE - Other Index Options'!$B:$B,"Tuesday",'NSE - Other Index Options'!$H:$H,"Weekly*")=0,"",SUMIFS('NSE - NIFTY Index Options'!$M:$M,'NSE - NIFTY Index Options'!$D:$D,$A41,'NSE - NIFTY Index Options'!$B:$B,"Tuesday",'NSE - NIFTY Index Options'!$H:$H,"Weekly*")+SUMIFS('NSE - Other Index Options'!$M:$M,'NSE - Other Index Options'!$D:$D,$A41,'NSE - Other Index Options'!$B:$B,"Tuesday",'NSE - Other Index Options'!$H:$H,"Weekly*"))</f>
        <v/>
      </c>
      <c r="C41" s="26">
        <f>IF(SUMIFS('BSE - SENSEX Index Options'!$M:$M,'BSE - SENSEX Index Options'!$D:$D,$A41,'BSE - SENSEX Index Options'!$B:$B,"Tuesday",'BSE - SENSEX Index Options'!$H:$H,"Weekly*")+SUMIFS('BSE - Other Index Options'!$M:$M,'BSE - Other Index Options'!$D:$D,$A41,'BSE - Other Index Options'!$B:$B,"Tuesday",'BSE - Other Index Options'!$H:$H,"Weekly*")=0,"",SUMIFS('BSE - SENSEX Index Options'!$M:$M,'BSE - SENSEX Index Options'!$D:$D,$A41,'BSE - SENSEX Index Options'!$B:$B,"Tuesday",'BSE - SENSEX Index Options'!$H:$H,"Weekly*")+SUMIFS('BSE - Other Index Options'!$M:$M,'BSE - Other Index Options'!$D:$D,$A41,'BSE - Other Index Options'!$B:$B,"Tuesday",'BSE - Other Index Options'!$H:$H,"Weekly*"))</f>
        <v/>
      </c>
      <c r="D41" s="27">
        <f>IF(SUM(B41:C41)=0,"",SUM(B41)/SUM(B41:C41))</f>
        <v/>
      </c>
      <c r="E41" s="27">
        <f>IF(SUM(B41:C41)=0,"",SUM(C41)/SUM(B41:C41))</f>
        <v/>
      </c>
    </row>
    <row r="42">
      <c r="A42" s="24" t="n">
        <v>46054</v>
      </c>
      <c r="B42" s="26">
        <f>IF(SUMIFS('NSE - NIFTY Index Options'!$M:$M,'NSE - NIFTY Index Options'!$D:$D,$A42,'NSE - NIFTY Index Options'!$B:$B,"Tuesday",'NSE - NIFTY Index Options'!$H:$H,"Weekly*")+SUMIFS('NSE - Other Index Options'!$M:$M,'NSE - Other Index Options'!$D:$D,$A42,'NSE - Other Index Options'!$B:$B,"Tuesday",'NSE - Other Index Options'!$H:$H,"Weekly*")=0,"",SUMIFS('NSE - NIFTY Index Options'!$M:$M,'NSE - NIFTY Index Options'!$D:$D,$A42,'NSE - NIFTY Index Options'!$B:$B,"Tuesday",'NSE - NIFTY Index Options'!$H:$H,"Weekly*")+SUMIFS('NSE - Other Index Options'!$M:$M,'NSE - Other Index Options'!$D:$D,$A42,'NSE - Other Index Options'!$B:$B,"Tuesday",'NSE - Other Index Options'!$H:$H,"Weekly*"))</f>
        <v/>
      </c>
      <c r="C42" s="26">
        <f>IF(SUMIFS('BSE - SENSEX Index Options'!$M:$M,'BSE - SENSEX Index Options'!$D:$D,$A42,'BSE - SENSEX Index Options'!$B:$B,"Tuesday",'BSE - SENSEX Index Options'!$H:$H,"Weekly*")+SUMIFS('BSE - Other Index Options'!$M:$M,'BSE - Other Index Options'!$D:$D,$A42,'BSE - Other Index Options'!$B:$B,"Tuesday",'BSE - Other Index Options'!$H:$H,"Weekly*")=0,"",SUMIFS('BSE - SENSEX Index Options'!$M:$M,'BSE - SENSEX Index Options'!$D:$D,$A42,'BSE - SENSEX Index Options'!$B:$B,"Tuesday",'BSE - SENSEX Index Options'!$H:$H,"Weekly*")+SUMIFS('BSE - Other Index Options'!$M:$M,'BSE - Other Index Options'!$D:$D,$A42,'BSE - Other Index Options'!$B:$B,"Tuesday",'BSE - Other Index Options'!$H:$H,"Weekly*"))</f>
        <v/>
      </c>
      <c r="D42" s="27">
        <f>IF(SUM(B42:C42)=0,"",SUM(B42)/SUM(B42:C42))</f>
        <v/>
      </c>
      <c r="E42" s="27">
        <f>IF(SUM(B42:C42)=0,"",SUM(C42)/SUM(B42:C42))</f>
        <v/>
      </c>
    </row>
    <row r="43">
      <c r="A43" s="24" t="n">
        <v>46082</v>
      </c>
      <c r="B43" s="26">
        <f>IF(SUMIFS('NSE - NIFTY Index Options'!$M:$M,'NSE - NIFTY Index Options'!$D:$D,$A43,'NSE - NIFTY Index Options'!$B:$B,"Tuesday",'NSE - NIFTY Index Options'!$H:$H,"Weekly*")+SUMIFS('NSE - Other Index Options'!$M:$M,'NSE - Other Index Options'!$D:$D,$A43,'NSE - Other Index Options'!$B:$B,"Tuesday",'NSE - Other Index Options'!$H:$H,"Weekly*")=0,"",SUMIFS('NSE - NIFTY Index Options'!$M:$M,'NSE - NIFTY Index Options'!$D:$D,$A43,'NSE - NIFTY Index Options'!$B:$B,"Tuesday",'NSE - NIFTY Index Options'!$H:$H,"Weekly*")+SUMIFS('NSE - Other Index Options'!$M:$M,'NSE - Other Index Options'!$D:$D,$A43,'NSE - Other Index Options'!$B:$B,"Tuesday",'NSE - Other Index Options'!$H:$H,"Weekly*"))</f>
        <v/>
      </c>
      <c r="C43" s="26">
        <f>IF(SUMIFS('BSE - SENSEX Index Options'!$M:$M,'BSE - SENSEX Index Options'!$D:$D,$A43,'BSE - SENSEX Index Options'!$B:$B,"Tuesday",'BSE - SENSEX Index Options'!$H:$H,"Weekly*")+SUMIFS('BSE - Other Index Options'!$M:$M,'BSE - Other Index Options'!$D:$D,$A43,'BSE - Other Index Options'!$B:$B,"Tuesday",'BSE - Other Index Options'!$H:$H,"Weekly*")=0,"",SUMIFS('BSE - SENSEX Index Options'!$M:$M,'BSE - SENSEX Index Options'!$D:$D,$A43,'BSE - SENSEX Index Options'!$B:$B,"Tuesday",'BSE - SENSEX Index Options'!$H:$H,"Weekly*")+SUMIFS('BSE - Other Index Options'!$M:$M,'BSE - Other Index Options'!$D:$D,$A43,'BSE - Other Index Options'!$B:$B,"Tuesday",'BSE - Other Index Options'!$H:$H,"Weekly*"))</f>
        <v/>
      </c>
      <c r="D43" s="27">
        <f>IF(SUM(B43:C43)=0,"",SUM(B43)/SUM(B43:C43))</f>
        <v/>
      </c>
      <c r="E43" s="27">
        <f>IF(SUM(B43:C43)=0,"",SUM(C43)/SUM(B43:C43))</f>
        <v/>
      </c>
    </row>
    <row r="44">
      <c r="A44" s="24" t="n">
        <v>46113</v>
      </c>
      <c r="B44" s="26">
        <f>IF(SUMIFS('NSE - NIFTY Index Options'!$M:$M,'NSE - NIFTY Index Options'!$D:$D,$A44,'NSE - NIFTY Index Options'!$B:$B,"Tuesday",'NSE - NIFTY Index Options'!$H:$H,"Weekly*")+SUMIFS('NSE - Other Index Options'!$M:$M,'NSE - Other Index Options'!$D:$D,$A44,'NSE - Other Index Options'!$B:$B,"Tuesday",'NSE - Other Index Options'!$H:$H,"Weekly*")=0,"",SUMIFS('NSE - NIFTY Index Options'!$M:$M,'NSE - NIFTY Index Options'!$D:$D,$A44,'NSE - NIFTY Index Options'!$B:$B,"Tuesday",'NSE - NIFTY Index Options'!$H:$H,"Weekly*")+SUMIFS('NSE - Other Index Options'!$M:$M,'NSE - Other Index Options'!$D:$D,$A44,'NSE - Other Index Options'!$B:$B,"Tuesday",'NSE - Other Index Options'!$H:$H,"Weekly*"))</f>
        <v/>
      </c>
      <c r="C44" s="26">
        <f>IF(SUMIFS('BSE - SENSEX Index Options'!$M:$M,'BSE - SENSEX Index Options'!$D:$D,$A44,'BSE - SENSEX Index Options'!$B:$B,"Tuesday",'BSE - SENSEX Index Options'!$H:$H,"Weekly*")+SUMIFS('BSE - Other Index Options'!$M:$M,'BSE - Other Index Options'!$D:$D,$A44,'BSE - Other Index Options'!$B:$B,"Tuesday",'BSE - Other Index Options'!$H:$H,"Weekly*")=0,"",SUMIFS('BSE - SENSEX Index Options'!$M:$M,'BSE - SENSEX Index Options'!$D:$D,$A44,'BSE - SENSEX Index Options'!$B:$B,"Tuesday",'BSE - SENSEX Index Options'!$H:$H,"Weekly*")+SUMIFS('BSE - Other Index Options'!$M:$M,'BSE - Other Index Options'!$D:$D,$A44,'BSE - Other Index Options'!$B:$B,"Tuesday",'BSE - Other Index Options'!$H:$H,"Weekly*"))</f>
        <v/>
      </c>
      <c r="D44" s="27">
        <f>IF(SUM(B44:C44)=0,"",SUM(B44)/SUM(B44:C44))</f>
        <v/>
      </c>
      <c r="E44" s="27">
        <f>IF(SUM(B44:C44)=0,"",SUM(C44)/SUM(B44:C44))</f>
        <v/>
      </c>
    </row>
    <row r="45">
      <c r="A45" s="24" t="n">
        <v>46143</v>
      </c>
      <c r="B45" s="26">
        <f>IF(SUMIFS('NSE - NIFTY Index Options'!$M:$M,'NSE - NIFTY Index Options'!$D:$D,$A45,'NSE - NIFTY Index Options'!$B:$B,"Tuesday",'NSE - NIFTY Index Options'!$H:$H,"Weekly*")+SUMIFS('NSE - Other Index Options'!$M:$M,'NSE - Other Index Options'!$D:$D,$A45,'NSE - Other Index Options'!$B:$B,"Tuesday",'NSE - Other Index Options'!$H:$H,"Weekly*")=0,"",SUMIFS('NSE - NIFTY Index Options'!$M:$M,'NSE - NIFTY Index Options'!$D:$D,$A45,'NSE - NIFTY Index Options'!$B:$B,"Tuesday",'NSE - NIFTY Index Options'!$H:$H,"Weekly*")+SUMIFS('NSE - Other Index Options'!$M:$M,'NSE - Other Index Options'!$D:$D,$A45,'NSE - Other Index Options'!$B:$B,"Tuesday",'NSE - Other Index Options'!$H:$H,"Weekly*"))</f>
        <v/>
      </c>
      <c r="C45" s="26">
        <f>IF(SUMIFS('BSE - SENSEX Index Options'!$M:$M,'BSE - SENSEX Index Options'!$D:$D,$A45,'BSE - SENSEX Index Options'!$B:$B,"Tuesday",'BSE - SENSEX Index Options'!$H:$H,"Weekly*")+SUMIFS('BSE - Other Index Options'!$M:$M,'BSE - Other Index Options'!$D:$D,$A45,'BSE - Other Index Options'!$B:$B,"Tuesday",'BSE - Other Index Options'!$H:$H,"Weekly*")=0,"",SUMIFS('BSE - SENSEX Index Options'!$M:$M,'BSE - SENSEX Index Options'!$D:$D,$A45,'BSE - SENSEX Index Options'!$B:$B,"Tuesday",'BSE - SENSEX Index Options'!$H:$H,"Weekly*")+SUMIFS('BSE - Other Index Options'!$M:$M,'BSE - Other Index Options'!$D:$D,$A45,'BSE - Other Index Options'!$B:$B,"Tuesday",'BSE - Other Index Options'!$H:$H,"Weekly*"))</f>
        <v/>
      </c>
      <c r="D45" s="27">
        <f>IF(SUM(B45:C45)=0,"",SUM(B45)/SUM(B45:C45))</f>
        <v/>
      </c>
      <c r="E45" s="27">
        <f>IF(SUM(B45:C45)=0,"",SUM(C45)/SUM(B45:C45))</f>
        <v/>
      </c>
    </row>
    <row r="46">
      <c r="A46" s="24" t="n">
        <v>46174</v>
      </c>
      <c r="B46" s="26">
        <f>IF(SUMIFS('NSE - NIFTY Index Options'!$M:$M,'NSE - NIFTY Index Options'!$D:$D,$A46,'NSE - NIFTY Index Options'!$B:$B,"Tuesday",'NSE - NIFTY Index Options'!$H:$H,"Weekly*")+SUMIFS('NSE - Other Index Options'!$M:$M,'NSE - Other Index Options'!$D:$D,$A46,'NSE - Other Index Options'!$B:$B,"Tuesday",'NSE - Other Index Options'!$H:$H,"Weekly*")=0,"",SUMIFS('NSE - NIFTY Index Options'!$M:$M,'NSE - NIFTY Index Options'!$D:$D,$A46,'NSE - NIFTY Index Options'!$B:$B,"Tuesday",'NSE - NIFTY Index Options'!$H:$H,"Weekly*")+SUMIFS('NSE - Other Index Options'!$M:$M,'NSE - Other Index Options'!$D:$D,$A46,'NSE - Other Index Options'!$B:$B,"Tuesday",'NSE - Other Index Options'!$H:$H,"Weekly*"))</f>
        <v/>
      </c>
      <c r="C46" s="26">
        <f>IF(SUMIFS('BSE - SENSEX Index Options'!$M:$M,'BSE - SENSEX Index Options'!$D:$D,$A46,'BSE - SENSEX Index Options'!$B:$B,"Tuesday",'BSE - SENSEX Index Options'!$H:$H,"Weekly*")+SUMIFS('BSE - Other Index Options'!$M:$M,'BSE - Other Index Options'!$D:$D,$A46,'BSE - Other Index Options'!$B:$B,"Tuesday",'BSE - Other Index Options'!$H:$H,"Weekly*")=0,"",SUMIFS('BSE - SENSEX Index Options'!$M:$M,'BSE - SENSEX Index Options'!$D:$D,$A46,'BSE - SENSEX Index Options'!$B:$B,"Tuesday",'BSE - SENSEX Index Options'!$H:$H,"Weekly*")+SUMIFS('BSE - Other Index Options'!$M:$M,'BSE - Other Index Options'!$D:$D,$A46,'BSE - Other Index Options'!$B:$B,"Tuesday",'BSE - Other Index Options'!$H:$H,"Weekly*"))</f>
        <v/>
      </c>
      <c r="D46" s="27">
        <f>IF(SUM(B46:C46)=0,"",SUM(B46)/SUM(B46:C46))</f>
        <v/>
      </c>
      <c r="E46" s="27">
        <f>IF(SUM(B46:C46)=0,"",SUM(C46)/SUM(B46:C46))</f>
        <v/>
      </c>
    </row>
    <row r="47">
      <c r="A47" s="24" t="n">
        <v>46204</v>
      </c>
      <c r="B47" s="26">
        <f>IF(SUMIFS('NSE - NIFTY Index Options'!$M:$M,'NSE - NIFTY Index Options'!$D:$D,$A47,'NSE - NIFTY Index Options'!$B:$B,"Tuesday",'NSE - NIFTY Index Options'!$H:$H,"Weekly*")+SUMIFS('NSE - Other Index Options'!$M:$M,'NSE - Other Index Options'!$D:$D,$A47,'NSE - Other Index Options'!$B:$B,"Tuesday",'NSE - Other Index Options'!$H:$H,"Weekly*")=0,"",SUMIFS('NSE - NIFTY Index Options'!$M:$M,'NSE - NIFTY Index Options'!$D:$D,$A47,'NSE - NIFTY Index Options'!$B:$B,"Tuesday",'NSE - NIFTY Index Options'!$H:$H,"Weekly*")+SUMIFS('NSE - Other Index Options'!$M:$M,'NSE - Other Index Options'!$D:$D,$A47,'NSE - Other Index Options'!$B:$B,"Tuesday",'NSE - Other Index Options'!$H:$H,"Weekly*"))</f>
        <v/>
      </c>
      <c r="C47" s="26">
        <f>IF(SUMIFS('BSE - SENSEX Index Options'!$M:$M,'BSE - SENSEX Index Options'!$D:$D,$A47,'BSE - SENSEX Index Options'!$B:$B,"Tuesday",'BSE - SENSEX Index Options'!$H:$H,"Weekly*")+SUMIFS('BSE - Other Index Options'!$M:$M,'BSE - Other Index Options'!$D:$D,$A47,'BSE - Other Index Options'!$B:$B,"Tuesday",'BSE - Other Index Options'!$H:$H,"Weekly*")=0,"",SUMIFS('BSE - SENSEX Index Options'!$M:$M,'BSE - SENSEX Index Options'!$D:$D,$A47,'BSE - SENSEX Index Options'!$B:$B,"Tuesday",'BSE - SENSEX Index Options'!$H:$H,"Weekly*")+SUMIFS('BSE - Other Index Options'!$M:$M,'BSE - Other Index Options'!$D:$D,$A47,'BSE - Other Index Options'!$B:$B,"Tuesday",'BSE - Other Index Options'!$H:$H,"Weekly*"))</f>
        <v/>
      </c>
      <c r="D47" s="27">
        <f>IF(SUM(B47:C47)=0,"",SUM(B47)/SUM(B47:C47))</f>
        <v/>
      </c>
      <c r="E47" s="27">
        <f>IF(SUM(B47:C47)=0,"",SUM(C47)/SUM(B47:C47))</f>
        <v/>
      </c>
    </row>
    <row r="48">
      <c r="A48" s="24" t="n">
        <v>46235</v>
      </c>
      <c r="B48" s="26">
        <f>IF(SUMIFS('NSE - NIFTY Index Options'!$M:$M,'NSE - NIFTY Index Options'!$D:$D,$A48,'NSE - NIFTY Index Options'!$B:$B,"Tuesday",'NSE - NIFTY Index Options'!$H:$H,"Weekly*")+SUMIFS('NSE - Other Index Options'!$M:$M,'NSE - Other Index Options'!$D:$D,$A48,'NSE - Other Index Options'!$B:$B,"Tuesday",'NSE - Other Index Options'!$H:$H,"Weekly*")=0,"",SUMIFS('NSE - NIFTY Index Options'!$M:$M,'NSE - NIFTY Index Options'!$D:$D,$A48,'NSE - NIFTY Index Options'!$B:$B,"Tuesday",'NSE - NIFTY Index Options'!$H:$H,"Weekly*")+SUMIFS('NSE - Other Index Options'!$M:$M,'NSE - Other Index Options'!$D:$D,$A48,'NSE - Other Index Options'!$B:$B,"Tuesday",'NSE - Other Index Options'!$H:$H,"Weekly*"))</f>
        <v/>
      </c>
      <c r="C48" s="26">
        <f>IF(SUMIFS('BSE - SENSEX Index Options'!$M:$M,'BSE - SENSEX Index Options'!$D:$D,$A48,'BSE - SENSEX Index Options'!$B:$B,"Tuesday",'BSE - SENSEX Index Options'!$H:$H,"Weekly*")+SUMIFS('BSE - Other Index Options'!$M:$M,'BSE - Other Index Options'!$D:$D,$A48,'BSE - Other Index Options'!$B:$B,"Tuesday",'BSE - Other Index Options'!$H:$H,"Weekly*")=0,"",SUMIFS('BSE - SENSEX Index Options'!$M:$M,'BSE - SENSEX Index Options'!$D:$D,$A48,'BSE - SENSEX Index Options'!$B:$B,"Tuesday",'BSE - SENSEX Index Options'!$H:$H,"Weekly*")+SUMIFS('BSE - Other Index Options'!$M:$M,'BSE - Other Index Options'!$D:$D,$A48,'BSE - Other Index Options'!$B:$B,"Tuesday",'BSE - Other Index Options'!$H:$H,"Weekly*"))</f>
        <v/>
      </c>
      <c r="D48" s="27">
        <f>IF(SUM(B48:C48)=0,"",SUM(B48)/SUM(B48:C48))</f>
        <v/>
      </c>
      <c r="E48" s="27">
        <f>IF(SUM(B48:C48)=0,"",SUM(C48)/SUM(B48:C48))</f>
        <v/>
      </c>
    </row>
    <row r="49" hidden="1" outlineLevel="1">
      <c r="A49" s="24" t="n">
        <v>46266</v>
      </c>
      <c r="B49" s="26">
        <f>IF(SUMIFS('NSE - NIFTY Index Options'!$M:$M,'NSE - NIFTY Index Options'!$D:$D,$A49,'NSE - NIFTY Index Options'!$B:$B,"Tuesday",'NSE - NIFTY Index Options'!$H:$H,"Weekly*")+SUMIFS('NSE - Other Index Options'!$M:$M,'NSE - Other Index Options'!$D:$D,$A49,'NSE - Other Index Options'!$B:$B,"Tuesday",'NSE - Other Index Options'!$H:$H,"Weekly*")=0,"",SUMIFS('NSE - NIFTY Index Options'!$M:$M,'NSE - NIFTY Index Options'!$D:$D,$A49,'NSE - NIFTY Index Options'!$B:$B,"Tuesday",'NSE - NIFTY Index Options'!$H:$H,"Weekly*")+SUMIFS('NSE - Other Index Options'!$M:$M,'NSE - Other Index Options'!$D:$D,$A49,'NSE - Other Index Options'!$B:$B,"Tuesday",'NSE - Other Index Options'!$H:$H,"Weekly*"))</f>
        <v/>
      </c>
      <c r="C49" s="26">
        <f>IF(SUMIFS('BSE - SENSEX Index Options'!$M:$M,'BSE - SENSEX Index Options'!$D:$D,$A49,'BSE - SENSEX Index Options'!$B:$B,"Tuesday",'BSE - SENSEX Index Options'!$H:$H,"Weekly*")+SUMIFS('BSE - Other Index Options'!$M:$M,'BSE - Other Index Options'!$D:$D,$A49,'BSE - Other Index Options'!$B:$B,"Tuesday",'BSE - Other Index Options'!$H:$H,"Weekly*")=0,"",SUMIFS('BSE - SENSEX Index Options'!$M:$M,'BSE - SENSEX Index Options'!$D:$D,$A49,'BSE - SENSEX Index Options'!$B:$B,"Tuesday",'BSE - SENSEX Index Options'!$H:$H,"Weekly*")+SUMIFS('BSE - Other Index Options'!$M:$M,'BSE - Other Index Options'!$D:$D,$A49,'BSE - Other Index Options'!$B:$B,"Tuesday",'BSE - Other Index Options'!$H:$H,"Weekly*"))</f>
        <v/>
      </c>
      <c r="D49" s="27">
        <f>IF(SUM(B49:C49)=0,"",SUM(B49)/SUM(B49:C49))</f>
        <v/>
      </c>
      <c r="E49" s="27">
        <f>IF(SUM(B49:C49)=0,"",SUM(C49)/SUM(B49:C49))</f>
        <v/>
      </c>
    </row>
    <row r="50" hidden="1" outlineLevel="1">
      <c r="A50" s="24" t="n">
        <v>46296</v>
      </c>
      <c r="B50" s="26">
        <f>IF(SUMIFS('NSE - NIFTY Index Options'!$M:$M,'NSE - NIFTY Index Options'!$D:$D,$A50,'NSE - NIFTY Index Options'!$B:$B,"Tuesday",'NSE - NIFTY Index Options'!$H:$H,"Weekly*")+SUMIFS('NSE - Other Index Options'!$M:$M,'NSE - Other Index Options'!$D:$D,$A50,'NSE - Other Index Options'!$B:$B,"Tuesday",'NSE - Other Index Options'!$H:$H,"Weekly*")=0,"",SUMIFS('NSE - NIFTY Index Options'!$M:$M,'NSE - NIFTY Index Options'!$D:$D,$A50,'NSE - NIFTY Index Options'!$B:$B,"Tuesday",'NSE - NIFTY Index Options'!$H:$H,"Weekly*")+SUMIFS('NSE - Other Index Options'!$M:$M,'NSE - Other Index Options'!$D:$D,$A50,'NSE - Other Index Options'!$B:$B,"Tuesday",'NSE - Other Index Options'!$H:$H,"Weekly*"))</f>
        <v/>
      </c>
      <c r="C50" s="26">
        <f>IF(SUMIFS('BSE - SENSEX Index Options'!$M:$M,'BSE - SENSEX Index Options'!$D:$D,$A50,'BSE - SENSEX Index Options'!$B:$B,"Tuesday",'BSE - SENSEX Index Options'!$H:$H,"Weekly*")+SUMIFS('BSE - Other Index Options'!$M:$M,'BSE - Other Index Options'!$D:$D,$A50,'BSE - Other Index Options'!$B:$B,"Tuesday",'BSE - Other Index Options'!$H:$H,"Weekly*")=0,"",SUMIFS('BSE - SENSEX Index Options'!$M:$M,'BSE - SENSEX Index Options'!$D:$D,$A50,'BSE - SENSEX Index Options'!$B:$B,"Tuesday",'BSE - SENSEX Index Options'!$H:$H,"Weekly*")+SUMIFS('BSE - Other Index Options'!$M:$M,'BSE - Other Index Options'!$D:$D,$A50,'BSE - Other Index Options'!$B:$B,"Tuesday",'BSE - Other Index Options'!$H:$H,"Weekly*"))</f>
        <v/>
      </c>
      <c r="D50" s="27">
        <f>IF(SUM(B50:C50)=0,"",SUM(B50)/SUM(B50:C50))</f>
        <v/>
      </c>
      <c r="E50" s="27">
        <f>IF(SUM(B50:C50)=0,"",SUM(C50)/SUM(B50:C50))</f>
        <v/>
      </c>
    </row>
    <row r="51" hidden="1" outlineLevel="1">
      <c r="A51" s="24" t="n">
        <v>46327</v>
      </c>
      <c r="B51" s="26">
        <f>IF(SUMIFS('NSE - NIFTY Index Options'!$M:$M,'NSE - NIFTY Index Options'!$D:$D,$A51,'NSE - NIFTY Index Options'!$B:$B,"Tuesday",'NSE - NIFTY Index Options'!$H:$H,"Weekly*")+SUMIFS('NSE - Other Index Options'!$M:$M,'NSE - Other Index Options'!$D:$D,$A51,'NSE - Other Index Options'!$B:$B,"Tuesday",'NSE - Other Index Options'!$H:$H,"Weekly*")=0,"",SUMIFS('NSE - NIFTY Index Options'!$M:$M,'NSE - NIFTY Index Options'!$D:$D,$A51,'NSE - NIFTY Index Options'!$B:$B,"Tuesday",'NSE - NIFTY Index Options'!$H:$H,"Weekly*")+SUMIFS('NSE - Other Index Options'!$M:$M,'NSE - Other Index Options'!$D:$D,$A51,'NSE - Other Index Options'!$B:$B,"Tuesday",'NSE - Other Index Options'!$H:$H,"Weekly*"))</f>
        <v/>
      </c>
      <c r="C51" s="26">
        <f>IF(SUMIFS('BSE - SENSEX Index Options'!$M:$M,'BSE - SENSEX Index Options'!$D:$D,$A51,'BSE - SENSEX Index Options'!$B:$B,"Tuesday",'BSE - SENSEX Index Options'!$H:$H,"Weekly*")+SUMIFS('BSE - Other Index Options'!$M:$M,'BSE - Other Index Options'!$D:$D,$A51,'BSE - Other Index Options'!$B:$B,"Tuesday",'BSE - Other Index Options'!$H:$H,"Weekly*")=0,"",SUMIFS('BSE - SENSEX Index Options'!$M:$M,'BSE - SENSEX Index Options'!$D:$D,$A51,'BSE - SENSEX Index Options'!$B:$B,"Tuesday",'BSE - SENSEX Index Options'!$H:$H,"Weekly*")+SUMIFS('BSE - Other Index Options'!$M:$M,'BSE - Other Index Options'!$D:$D,$A51,'BSE - Other Index Options'!$B:$B,"Tuesday",'BSE - Other Index Options'!$H:$H,"Weekly*"))</f>
        <v/>
      </c>
      <c r="D51" s="27">
        <f>IF(SUM(B51:C51)=0,"",SUM(B51)/SUM(B51:C51))</f>
        <v/>
      </c>
      <c r="E51" s="27">
        <f>IF(SUM(B51:C51)=0,"",SUM(C51)/SUM(B51:C51))</f>
        <v/>
      </c>
    </row>
    <row r="52" hidden="1" outlineLevel="1">
      <c r="A52" s="24" t="n">
        <v>46357</v>
      </c>
      <c r="B52" s="26">
        <f>IF(SUMIFS('NSE - NIFTY Index Options'!$M:$M,'NSE - NIFTY Index Options'!$D:$D,$A52,'NSE - NIFTY Index Options'!$B:$B,"Tuesday",'NSE - NIFTY Index Options'!$H:$H,"Weekly*")+SUMIFS('NSE - Other Index Options'!$M:$M,'NSE - Other Index Options'!$D:$D,$A52,'NSE - Other Index Options'!$B:$B,"Tuesday",'NSE - Other Index Options'!$H:$H,"Weekly*")=0,"",SUMIFS('NSE - NIFTY Index Options'!$M:$M,'NSE - NIFTY Index Options'!$D:$D,$A52,'NSE - NIFTY Index Options'!$B:$B,"Tuesday",'NSE - NIFTY Index Options'!$H:$H,"Weekly*")+SUMIFS('NSE - Other Index Options'!$M:$M,'NSE - Other Index Options'!$D:$D,$A52,'NSE - Other Index Options'!$B:$B,"Tuesday",'NSE - Other Index Options'!$H:$H,"Weekly*"))</f>
        <v/>
      </c>
      <c r="C52" s="26">
        <f>IF(SUMIFS('BSE - SENSEX Index Options'!$M:$M,'BSE - SENSEX Index Options'!$D:$D,$A52,'BSE - SENSEX Index Options'!$B:$B,"Tuesday",'BSE - SENSEX Index Options'!$H:$H,"Weekly*")+SUMIFS('BSE - Other Index Options'!$M:$M,'BSE - Other Index Options'!$D:$D,$A52,'BSE - Other Index Options'!$B:$B,"Tuesday",'BSE - Other Index Options'!$H:$H,"Weekly*")=0,"",SUMIFS('BSE - SENSEX Index Options'!$M:$M,'BSE - SENSEX Index Options'!$D:$D,$A52,'BSE - SENSEX Index Options'!$B:$B,"Tuesday",'BSE - SENSEX Index Options'!$H:$H,"Weekly*")+SUMIFS('BSE - Other Index Options'!$M:$M,'BSE - Other Index Options'!$D:$D,$A52,'BSE - Other Index Options'!$B:$B,"Tuesday",'BSE - Other Index Options'!$H:$H,"Weekly*"))</f>
        <v/>
      </c>
      <c r="D52" s="27">
        <f>IF(SUM(B52:C52)=0,"",SUM(B52)/SUM(B52:C52))</f>
        <v/>
      </c>
      <c r="E52" s="27">
        <f>IF(SUM(B52:C52)=0,"",SUM(C52)/SUM(B52:C52))</f>
        <v/>
      </c>
    </row>
    <row r="53" hidden="1" outlineLevel="1">
      <c r="A53" s="24" t="n">
        <v>46388</v>
      </c>
      <c r="B53" s="26">
        <f>IF(SUMIFS('NSE - NIFTY Index Options'!$M:$M,'NSE - NIFTY Index Options'!$D:$D,$A53,'NSE - NIFTY Index Options'!$B:$B,"Tuesday",'NSE - NIFTY Index Options'!$H:$H,"Weekly*")+SUMIFS('NSE - Other Index Options'!$M:$M,'NSE - Other Index Options'!$D:$D,$A53,'NSE - Other Index Options'!$B:$B,"Tuesday",'NSE - Other Index Options'!$H:$H,"Weekly*")=0,"",SUMIFS('NSE - NIFTY Index Options'!$M:$M,'NSE - NIFTY Index Options'!$D:$D,$A53,'NSE - NIFTY Index Options'!$B:$B,"Tuesday",'NSE - NIFTY Index Options'!$H:$H,"Weekly*")+SUMIFS('NSE - Other Index Options'!$M:$M,'NSE - Other Index Options'!$D:$D,$A53,'NSE - Other Index Options'!$B:$B,"Tuesday",'NSE - Other Index Options'!$H:$H,"Weekly*"))</f>
        <v/>
      </c>
      <c r="C53" s="26">
        <f>IF(SUMIFS('BSE - SENSEX Index Options'!$M:$M,'BSE - SENSEX Index Options'!$D:$D,$A53,'BSE - SENSEX Index Options'!$B:$B,"Tuesday",'BSE - SENSEX Index Options'!$H:$H,"Weekly*")+SUMIFS('BSE - Other Index Options'!$M:$M,'BSE - Other Index Options'!$D:$D,$A53,'BSE - Other Index Options'!$B:$B,"Tuesday",'BSE - Other Index Options'!$H:$H,"Weekly*")=0,"",SUMIFS('BSE - SENSEX Index Options'!$M:$M,'BSE - SENSEX Index Options'!$D:$D,$A53,'BSE - SENSEX Index Options'!$B:$B,"Tuesday",'BSE - SENSEX Index Options'!$H:$H,"Weekly*")+SUMIFS('BSE - Other Index Options'!$M:$M,'BSE - Other Index Options'!$D:$D,$A53,'BSE - Other Index Options'!$B:$B,"Tuesday",'BSE - Other Index Options'!$H:$H,"Weekly*"))</f>
        <v/>
      </c>
      <c r="D53" s="27">
        <f>IF(SUM(B53:C53)=0,"",SUM(B53)/SUM(B53:C53))</f>
        <v/>
      </c>
      <c r="E53" s="27">
        <f>IF(SUM(B53:C53)=0,"",SUM(C53)/SUM(B53:C53))</f>
        <v/>
      </c>
    </row>
    <row r="54" hidden="1" outlineLevel="1">
      <c r="A54" s="24" t="n">
        <v>46419</v>
      </c>
      <c r="B54" s="26">
        <f>IF(SUMIFS('NSE - NIFTY Index Options'!$M:$M,'NSE - NIFTY Index Options'!$D:$D,$A54,'NSE - NIFTY Index Options'!$B:$B,"Tuesday",'NSE - NIFTY Index Options'!$H:$H,"Weekly*")+SUMIFS('NSE - Other Index Options'!$M:$M,'NSE - Other Index Options'!$D:$D,$A54,'NSE - Other Index Options'!$B:$B,"Tuesday",'NSE - Other Index Options'!$H:$H,"Weekly*")=0,"",SUMIFS('NSE - NIFTY Index Options'!$M:$M,'NSE - NIFTY Index Options'!$D:$D,$A54,'NSE - NIFTY Index Options'!$B:$B,"Tuesday",'NSE - NIFTY Index Options'!$H:$H,"Weekly*")+SUMIFS('NSE - Other Index Options'!$M:$M,'NSE - Other Index Options'!$D:$D,$A54,'NSE - Other Index Options'!$B:$B,"Tuesday",'NSE - Other Index Options'!$H:$H,"Weekly*"))</f>
        <v/>
      </c>
      <c r="C54" s="26">
        <f>IF(SUMIFS('BSE - SENSEX Index Options'!$M:$M,'BSE - SENSEX Index Options'!$D:$D,$A54,'BSE - SENSEX Index Options'!$B:$B,"Tuesday",'BSE - SENSEX Index Options'!$H:$H,"Weekly*")+SUMIFS('BSE - Other Index Options'!$M:$M,'BSE - Other Index Options'!$D:$D,$A54,'BSE - Other Index Options'!$B:$B,"Tuesday",'BSE - Other Index Options'!$H:$H,"Weekly*")=0,"",SUMIFS('BSE - SENSEX Index Options'!$M:$M,'BSE - SENSEX Index Options'!$D:$D,$A54,'BSE - SENSEX Index Options'!$B:$B,"Tuesday",'BSE - SENSEX Index Options'!$H:$H,"Weekly*")+SUMIFS('BSE - Other Index Options'!$M:$M,'BSE - Other Index Options'!$D:$D,$A54,'BSE - Other Index Options'!$B:$B,"Tuesday",'BSE - Other Index Options'!$H:$H,"Weekly*"))</f>
        <v/>
      </c>
      <c r="D54" s="27">
        <f>IF(SUM(B54:C54)=0,"",SUM(B54)/SUM(B54:C54))</f>
        <v/>
      </c>
      <c r="E54" s="27">
        <f>IF(SUM(B54:C54)=0,"",SUM(C54)/SUM(B54:C54))</f>
        <v/>
      </c>
    </row>
    <row r="55" hidden="1" outlineLevel="1">
      <c r="A55" s="24" t="n">
        <v>46447</v>
      </c>
      <c r="B55" s="26">
        <f>IF(SUMIFS('NSE - NIFTY Index Options'!$M:$M,'NSE - NIFTY Index Options'!$D:$D,$A55,'NSE - NIFTY Index Options'!$B:$B,"Tuesday",'NSE - NIFTY Index Options'!$H:$H,"Weekly*")+SUMIFS('NSE - Other Index Options'!$M:$M,'NSE - Other Index Options'!$D:$D,$A55,'NSE - Other Index Options'!$B:$B,"Tuesday",'NSE - Other Index Options'!$H:$H,"Weekly*")=0,"",SUMIFS('NSE - NIFTY Index Options'!$M:$M,'NSE - NIFTY Index Options'!$D:$D,$A55,'NSE - NIFTY Index Options'!$B:$B,"Tuesday",'NSE - NIFTY Index Options'!$H:$H,"Weekly*")+SUMIFS('NSE - Other Index Options'!$M:$M,'NSE - Other Index Options'!$D:$D,$A55,'NSE - Other Index Options'!$B:$B,"Tuesday",'NSE - Other Index Options'!$H:$H,"Weekly*"))</f>
        <v/>
      </c>
      <c r="C55" s="26">
        <f>IF(SUMIFS('BSE - SENSEX Index Options'!$M:$M,'BSE - SENSEX Index Options'!$D:$D,$A55,'BSE - SENSEX Index Options'!$B:$B,"Tuesday",'BSE - SENSEX Index Options'!$H:$H,"Weekly*")+SUMIFS('BSE - Other Index Options'!$M:$M,'BSE - Other Index Options'!$D:$D,$A55,'BSE - Other Index Options'!$B:$B,"Tuesday",'BSE - Other Index Options'!$H:$H,"Weekly*")=0,"",SUMIFS('BSE - SENSEX Index Options'!$M:$M,'BSE - SENSEX Index Options'!$D:$D,$A55,'BSE - SENSEX Index Options'!$B:$B,"Tuesday",'BSE - SENSEX Index Options'!$H:$H,"Weekly*")+SUMIFS('BSE - Other Index Options'!$M:$M,'BSE - Other Index Options'!$D:$D,$A55,'BSE - Other Index Options'!$B:$B,"Tuesday",'BSE - Other Index Options'!$H:$H,"Weekly*"))</f>
        <v/>
      </c>
      <c r="D55" s="27">
        <f>IF(SUM(B55:C55)=0,"",SUM(B55)/SUM(B55:C55))</f>
        <v/>
      </c>
      <c r="E55" s="27">
        <f>IF(SUM(B55:C55)=0,"",SUM(C55)/SUM(B55:C55))</f>
        <v/>
      </c>
    </row>
    <row r="56" hidden="1" outlineLevel="1">
      <c r="A56" s="24" t="n">
        <v>46478</v>
      </c>
      <c r="B56" s="26">
        <f>IF(SUMIFS('NSE - NIFTY Index Options'!$M:$M,'NSE - NIFTY Index Options'!$D:$D,$A56,'NSE - NIFTY Index Options'!$B:$B,"Tuesday",'NSE - NIFTY Index Options'!$H:$H,"Weekly*")+SUMIFS('NSE - Other Index Options'!$M:$M,'NSE - Other Index Options'!$D:$D,$A56,'NSE - Other Index Options'!$B:$B,"Tuesday",'NSE - Other Index Options'!$H:$H,"Weekly*")=0,"",SUMIFS('NSE - NIFTY Index Options'!$M:$M,'NSE - NIFTY Index Options'!$D:$D,$A56,'NSE - NIFTY Index Options'!$B:$B,"Tuesday",'NSE - NIFTY Index Options'!$H:$H,"Weekly*")+SUMIFS('NSE - Other Index Options'!$M:$M,'NSE - Other Index Options'!$D:$D,$A56,'NSE - Other Index Options'!$B:$B,"Tuesday",'NSE - Other Index Options'!$H:$H,"Weekly*"))</f>
        <v/>
      </c>
      <c r="C56" s="26">
        <f>IF(SUMIFS('BSE - SENSEX Index Options'!$M:$M,'BSE - SENSEX Index Options'!$D:$D,$A56,'BSE - SENSEX Index Options'!$B:$B,"Tuesday",'BSE - SENSEX Index Options'!$H:$H,"Weekly*")+SUMIFS('BSE - Other Index Options'!$M:$M,'BSE - Other Index Options'!$D:$D,$A56,'BSE - Other Index Options'!$B:$B,"Tuesday",'BSE - Other Index Options'!$H:$H,"Weekly*")=0,"",SUMIFS('BSE - SENSEX Index Options'!$M:$M,'BSE - SENSEX Index Options'!$D:$D,$A56,'BSE - SENSEX Index Options'!$B:$B,"Tuesday",'BSE - SENSEX Index Options'!$H:$H,"Weekly*")+SUMIFS('BSE - Other Index Options'!$M:$M,'BSE - Other Index Options'!$D:$D,$A56,'BSE - Other Index Options'!$B:$B,"Tuesday",'BSE - Other Index Options'!$H:$H,"Weekly*"))</f>
        <v/>
      </c>
      <c r="D56" s="27">
        <f>IF(SUM(B56:C56)=0,"",SUM(B56)/SUM(B56:C56))</f>
        <v/>
      </c>
      <c r="E56" s="27">
        <f>IF(SUM(B56:C56)=0,"",SUM(C56)/SUM(B56:C56))</f>
        <v/>
      </c>
    </row>
    <row r="57" hidden="1" outlineLevel="1">
      <c r="A57" s="24" t="n">
        <v>46508</v>
      </c>
      <c r="B57" s="26">
        <f>IF(SUMIFS('NSE - NIFTY Index Options'!$M:$M,'NSE - NIFTY Index Options'!$D:$D,$A57,'NSE - NIFTY Index Options'!$B:$B,"Tuesday",'NSE - NIFTY Index Options'!$H:$H,"Weekly*")+SUMIFS('NSE - Other Index Options'!$M:$M,'NSE - Other Index Options'!$D:$D,$A57,'NSE - Other Index Options'!$B:$B,"Tuesday",'NSE - Other Index Options'!$H:$H,"Weekly*")=0,"",SUMIFS('NSE - NIFTY Index Options'!$M:$M,'NSE - NIFTY Index Options'!$D:$D,$A57,'NSE - NIFTY Index Options'!$B:$B,"Tuesday",'NSE - NIFTY Index Options'!$H:$H,"Weekly*")+SUMIFS('NSE - Other Index Options'!$M:$M,'NSE - Other Index Options'!$D:$D,$A57,'NSE - Other Index Options'!$B:$B,"Tuesday",'NSE - Other Index Options'!$H:$H,"Weekly*"))</f>
        <v/>
      </c>
      <c r="C57" s="26">
        <f>IF(SUMIFS('BSE - SENSEX Index Options'!$M:$M,'BSE - SENSEX Index Options'!$D:$D,$A57,'BSE - SENSEX Index Options'!$B:$B,"Tuesday",'BSE - SENSEX Index Options'!$H:$H,"Weekly*")+SUMIFS('BSE - Other Index Options'!$M:$M,'BSE - Other Index Options'!$D:$D,$A57,'BSE - Other Index Options'!$B:$B,"Tuesday",'BSE - Other Index Options'!$H:$H,"Weekly*")=0,"",SUMIFS('BSE - SENSEX Index Options'!$M:$M,'BSE - SENSEX Index Options'!$D:$D,$A57,'BSE - SENSEX Index Options'!$B:$B,"Tuesday",'BSE - SENSEX Index Options'!$H:$H,"Weekly*")+SUMIFS('BSE - Other Index Options'!$M:$M,'BSE - Other Index Options'!$D:$D,$A57,'BSE - Other Index Options'!$B:$B,"Tuesday",'BSE - Other Index Options'!$H:$H,"Weekly*"))</f>
        <v/>
      </c>
      <c r="D57" s="27">
        <f>IF(SUM(B57:C57)=0,"",SUM(B57)/SUM(B57:C57))</f>
        <v/>
      </c>
      <c r="E57" s="27">
        <f>IF(SUM(B57:C57)=0,"",SUM(C57)/SUM(B57:C57))</f>
        <v/>
      </c>
    </row>
    <row r="58" hidden="1" outlineLevel="1">
      <c r="A58" s="24" t="n">
        <v>46539</v>
      </c>
      <c r="B58" s="26">
        <f>IF(SUMIFS('NSE - NIFTY Index Options'!$M:$M,'NSE - NIFTY Index Options'!$D:$D,$A58,'NSE - NIFTY Index Options'!$B:$B,"Tuesday",'NSE - NIFTY Index Options'!$H:$H,"Weekly*")+SUMIFS('NSE - Other Index Options'!$M:$M,'NSE - Other Index Options'!$D:$D,$A58,'NSE - Other Index Options'!$B:$B,"Tuesday",'NSE - Other Index Options'!$H:$H,"Weekly*")=0,"",SUMIFS('NSE - NIFTY Index Options'!$M:$M,'NSE - NIFTY Index Options'!$D:$D,$A58,'NSE - NIFTY Index Options'!$B:$B,"Tuesday",'NSE - NIFTY Index Options'!$H:$H,"Weekly*")+SUMIFS('NSE - Other Index Options'!$M:$M,'NSE - Other Index Options'!$D:$D,$A58,'NSE - Other Index Options'!$B:$B,"Tuesday",'NSE - Other Index Options'!$H:$H,"Weekly*"))</f>
        <v/>
      </c>
      <c r="C58" s="26">
        <f>IF(SUMIFS('BSE - SENSEX Index Options'!$M:$M,'BSE - SENSEX Index Options'!$D:$D,$A58,'BSE - SENSEX Index Options'!$B:$B,"Tuesday",'BSE - SENSEX Index Options'!$H:$H,"Weekly*")+SUMIFS('BSE - Other Index Options'!$M:$M,'BSE - Other Index Options'!$D:$D,$A58,'BSE - Other Index Options'!$B:$B,"Tuesday",'BSE - Other Index Options'!$H:$H,"Weekly*")=0,"",SUMIFS('BSE - SENSEX Index Options'!$M:$M,'BSE - SENSEX Index Options'!$D:$D,$A58,'BSE - SENSEX Index Options'!$B:$B,"Tuesday",'BSE - SENSEX Index Options'!$H:$H,"Weekly*")+SUMIFS('BSE - Other Index Options'!$M:$M,'BSE - Other Index Options'!$D:$D,$A58,'BSE - Other Index Options'!$B:$B,"Tuesday",'BSE - Other Index Options'!$H:$H,"Weekly*"))</f>
        <v/>
      </c>
      <c r="D58" s="27">
        <f>IF(SUM(B58:C58)=0,"",SUM(B58)/SUM(B58:C58))</f>
        <v/>
      </c>
      <c r="E58" s="27">
        <f>IF(SUM(B58:C58)=0,"",SUM(C58)/SUM(B58:C58))</f>
        <v/>
      </c>
    </row>
    <row r="59" hidden="1" outlineLevel="1">
      <c r="A59" s="24" t="n">
        <v>46569</v>
      </c>
      <c r="B59" s="26">
        <f>IF(SUMIFS('NSE - NIFTY Index Options'!$M:$M,'NSE - NIFTY Index Options'!$D:$D,$A59,'NSE - NIFTY Index Options'!$B:$B,"Tuesday",'NSE - NIFTY Index Options'!$H:$H,"Weekly*")+SUMIFS('NSE - Other Index Options'!$M:$M,'NSE - Other Index Options'!$D:$D,$A59,'NSE - Other Index Options'!$B:$B,"Tuesday",'NSE - Other Index Options'!$H:$H,"Weekly*")=0,"",SUMIFS('NSE - NIFTY Index Options'!$M:$M,'NSE - NIFTY Index Options'!$D:$D,$A59,'NSE - NIFTY Index Options'!$B:$B,"Tuesday",'NSE - NIFTY Index Options'!$H:$H,"Weekly*")+SUMIFS('NSE - Other Index Options'!$M:$M,'NSE - Other Index Options'!$D:$D,$A59,'NSE - Other Index Options'!$B:$B,"Tuesday",'NSE - Other Index Options'!$H:$H,"Weekly*"))</f>
        <v/>
      </c>
      <c r="C59" s="26">
        <f>IF(SUMIFS('BSE - SENSEX Index Options'!$M:$M,'BSE - SENSEX Index Options'!$D:$D,$A59,'BSE - SENSEX Index Options'!$B:$B,"Tuesday",'BSE - SENSEX Index Options'!$H:$H,"Weekly*")+SUMIFS('BSE - Other Index Options'!$M:$M,'BSE - Other Index Options'!$D:$D,$A59,'BSE - Other Index Options'!$B:$B,"Tuesday",'BSE - Other Index Options'!$H:$H,"Weekly*")=0,"",SUMIFS('BSE - SENSEX Index Options'!$M:$M,'BSE - SENSEX Index Options'!$D:$D,$A59,'BSE - SENSEX Index Options'!$B:$B,"Tuesday",'BSE - SENSEX Index Options'!$H:$H,"Weekly*")+SUMIFS('BSE - Other Index Options'!$M:$M,'BSE - Other Index Options'!$D:$D,$A59,'BSE - Other Index Options'!$B:$B,"Tuesday",'BSE - Other Index Options'!$H:$H,"Weekly*"))</f>
        <v/>
      </c>
      <c r="D59" s="27">
        <f>IF(SUM(B59:C59)=0,"",SUM(B59)/SUM(B59:C59))</f>
        <v/>
      </c>
      <c r="E59" s="27">
        <f>IF(SUM(B59:C59)=0,"",SUM(C59)/SUM(B59:C59))</f>
        <v/>
      </c>
    </row>
    <row r="60" hidden="1" outlineLevel="1">
      <c r="A60" s="24" t="n">
        <v>46600</v>
      </c>
      <c r="B60" s="26">
        <f>IF(SUMIFS('NSE - NIFTY Index Options'!$M:$M,'NSE - NIFTY Index Options'!$D:$D,$A60,'NSE - NIFTY Index Options'!$B:$B,"Tuesday",'NSE - NIFTY Index Options'!$H:$H,"Weekly*")+SUMIFS('NSE - Other Index Options'!$M:$M,'NSE - Other Index Options'!$D:$D,$A60,'NSE - Other Index Options'!$B:$B,"Tuesday",'NSE - Other Index Options'!$H:$H,"Weekly*")=0,"",SUMIFS('NSE - NIFTY Index Options'!$M:$M,'NSE - NIFTY Index Options'!$D:$D,$A60,'NSE - NIFTY Index Options'!$B:$B,"Tuesday",'NSE - NIFTY Index Options'!$H:$H,"Weekly*")+SUMIFS('NSE - Other Index Options'!$M:$M,'NSE - Other Index Options'!$D:$D,$A60,'NSE - Other Index Options'!$B:$B,"Tuesday",'NSE - Other Index Options'!$H:$H,"Weekly*"))</f>
        <v/>
      </c>
      <c r="C60" s="26">
        <f>IF(SUMIFS('BSE - SENSEX Index Options'!$M:$M,'BSE - SENSEX Index Options'!$D:$D,$A60,'BSE - SENSEX Index Options'!$B:$B,"Tuesday",'BSE - SENSEX Index Options'!$H:$H,"Weekly*")+SUMIFS('BSE - Other Index Options'!$M:$M,'BSE - Other Index Options'!$D:$D,$A60,'BSE - Other Index Options'!$B:$B,"Tuesday",'BSE - Other Index Options'!$H:$H,"Weekly*")=0,"",SUMIFS('BSE - SENSEX Index Options'!$M:$M,'BSE - SENSEX Index Options'!$D:$D,$A60,'BSE - SENSEX Index Options'!$B:$B,"Tuesday",'BSE - SENSEX Index Options'!$H:$H,"Weekly*")+SUMIFS('BSE - Other Index Options'!$M:$M,'BSE - Other Index Options'!$D:$D,$A60,'BSE - Other Index Options'!$B:$B,"Tuesday",'BSE - Other Index Options'!$H:$H,"Weekly*"))</f>
        <v/>
      </c>
      <c r="D60" s="27">
        <f>IF(SUM(B60:C60)=0,"",SUM(B60)/SUM(B60:C60))</f>
        <v/>
      </c>
      <c r="E60" s="27">
        <f>IF(SUM(B60:C60)=0,"",SUM(C60)/SUM(B60:C60))</f>
        <v/>
      </c>
    </row>
    <row r="61" hidden="1" outlineLevel="1">
      <c r="A61" s="24" t="n">
        <v>46631</v>
      </c>
      <c r="B61" s="26">
        <f>IF(SUMIFS('NSE - NIFTY Index Options'!$M:$M,'NSE - NIFTY Index Options'!$D:$D,$A61,'NSE - NIFTY Index Options'!$B:$B,"Tuesday",'NSE - NIFTY Index Options'!$H:$H,"Weekly*")+SUMIFS('NSE - Other Index Options'!$M:$M,'NSE - Other Index Options'!$D:$D,$A61,'NSE - Other Index Options'!$B:$B,"Tuesday",'NSE - Other Index Options'!$H:$H,"Weekly*")=0,"",SUMIFS('NSE - NIFTY Index Options'!$M:$M,'NSE - NIFTY Index Options'!$D:$D,$A61,'NSE - NIFTY Index Options'!$B:$B,"Tuesday",'NSE - NIFTY Index Options'!$H:$H,"Weekly*")+SUMIFS('NSE - Other Index Options'!$M:$M,'NSE - Other Index Options'!$D:$D,$A61,'NSE - Other Index Options'!$B:$B,"Tuesday",'NSE - Other Index Options'!$H:$H,"Weekly*"))</f>
        <v/>
      </c>
      <c r="C61" s="26">
        <f>IF(SUMIFS('BSE - SENSEX Index Options'!$M:$M,'BSE - SENSEX Index Options'!$D:$D,$A61,'BSE - SENSEX Index Options'!$B:$B,"Tuesday",'BSE - SENSEX Index Options'!$H:$H,"Weekly*")+SUMIFS('BSE - Other Index Options'!$M:$M,'BSE - Other Index Options'!$D:$D,$A61,'BSE - Other Index Options'!$B:$B,"Tuesday",'BSE - Other Index Options'!$H:$H,"Weekly*")=0,"",SUMIFS('BSE - SENSEX Index Options'!$M:$M,'BSE - SENSEX Index Options'!$D:$D,$A61,'BSE - SENSEX Index Options'!$B:$B,"Tuesday",'BSE - SENSEX Index Options'!$H:$H,"Weekly*")+SUMIFS('BSE - Other Index Options'!$M:$M,'BSE - Other Index Options'!$D:$D,$A61,'BSE - Other Index Options'!$B:$B,"Tuesday",'BSE - Other Index Options'!$H:$H,"Weekly*"))</f>
        <v/>
      </c>
      <c r="D61" s="27">
        <f>IF(SUM(B61:C61)=0,"",SUM(B61)/SUM(B61:C61))</f>
        <v/>
      </c>
      <c r="E61" s="27">
        <f>IF(SUM(B61:C61)=0,"",SUM(C61)/SUM(B61:C61))</f>
        <v/>
      </c>
    </row>
    <row r="62" hidden="1" outlineLevel="1">
      <c r="A62" s="24" t="n">
        <v>46661</v>
      </c>
      <c r="B62" s="26">
        <f>IF(SUMIFS('NSE - NIFTY Index Options'!$M:$M,'NSE - NIFTY Index Options'!$D:$D,$A62,'NSE - NIFTY Index Options'!$B:$B,"Tuesday",'NSE - NIFTY Index Options'!$H:$H,"Weekly*")+SUMIFS('NSE - Other Index Options'!$M:$M,'NSE - Other Index Options'!$D:$D,$A62,'NSE - Other Index Options'!$B:$B,"Tuesday",'NSE - Other Index Options'!$H:$H,"Weekly*")=0,"",SUMIFS('NSE - NIFTY Index Options'!$M:$M,'NSE - NIFTY Index Options'!$D:$D,$A62,'NSE - NIFTY Index Options'!$B:$B,"Tuesday",'NSE - NIFTY Index Options'!$H:$H,"Weekly*")+SUMIFS('NSE - Other Index Options'!$M:$M,'NSE - Other Index Options'!$D:$D,$A62,'NSE - Other Index Options'!$B:$B,"Tuesday",'NSE - Other Index Options'!$H:$H,"Weekly*"))</f>
        <v/>
      </c>
      <c r="C62" s="26">
        <f>IF(SUMIFS('BSE - SENSEX Index Options'!$M:$M,'BSE - SENSEX Index Options'!$D:$D,$A62,'BSE - SENSEX Index Options'!$B:$B,"Tuesday",'BSE - SENSEX Index Options'!$H:$H,"Weekly*")+SUMIFS('BSE - Other Index Options'!$M:$M,'BSE - Other Index Options'!$D:$D,$A62,'BSE - Other Index Options'!$B:$B,"Tuesday",'BSE - Other Index Options'!$H:$H,"Weekly*")=0,"",SUMIFS('BSE - SENSEX Index Options'!$M:$M,'BSE - SENSEX Index Options'!$D:$D,$A62,'BSE - SENSEX Index Options'!$B:$B,"Tuesday",'BSE - SENSEX Index Options'!$H:$H,"Weekly*")+SUMIFS('BSE - Other Index Options'!$M:$M,'BSE - Other Index Options'!$D:$D,$A62,'BSE - Other Index Options'!$B:$B,"Tuesday",'BSE - Other Index Options'!$H:$H,"Weekly*"))</f>
        <v/>
      </c>
      <c r="D62" s="27">
        <f>IF(SUM(B62:C62)=0,"",SUM(B62)/SUM(B62:C62))</f>
        <v/>
      </c>
      <c r="E62" s="27">
        <f>IF(SUM(B62:C62)=0,"",SUM(C62)/SUM(B62:C62))</f>
        <v/>
      </c>
    </row>
    <row r="63" hidden="1" outlineLevel="1">
      <c r="A63" s="24" t="n">
        <v>46692</v>
      </c>
      <c r="B63" s="26">
        <f>IF(SUMIFS('NSE - NIFTY Index Options'!$M:$M,'NSE - NIFTY Index Options'!$D:$D,$A63,'NSE - NIFTY Index Options'!$B:$B,"Tuesday",'NSE - NIFTY Index Options'!$H:$H,"Weekly*")+SUMIFS('NSE - Other Index Options'!$M:$M,'NSE - Other Index Options'!$D:$D,$A63,'NSE - Other Index Options'!$B:$B,"Tuesday",'NSE - Other Index Options'!$H:$H,"Weekly*")=0,"",SUMIFS('NSE - NIFTY Index Options'!$M:$M,'NSE - NIFTY Index Options'!$D:$D,$A63,'NSE - NIFTY Index Options'!$B:$B,"Tuesday",'NSE - NIFTY Index Options'!$H:$H,"Weekly*")+SUMIFS('NSE - Other Index Options'!$M:$M,'NSE - Other Index Options'!$D:$D,$A63,'NSE - Other Index Options'!$B:$B,"Tuesday",'NSE - Other Index Options'!$H:$H,"Weekly*"))</f>
        <v/>
      </c>
      <c r="C63" s="26">
        <f>IF(SUMIFS('BSE - SENSEX Index Options'!$M:$M,'BSE - SENSEX Index Options'!$D:$D,$A63,'BSE - SENSEX Index Options'!$B:$B,"Tuesday",'BSE - SENSEX Index Options'!$H:$H,"Weekly*")+SUMIFS('BSE - Other Index Options'!$M:$M,'BSE - Other Index Options'!$D:$D,$A63,'BSE - Other Index Options'!$B:$B,"Tuesday",'BSE - Other Index Options'!$H:$H,"Weekly*")=0,"",SUMIFS('BSE - SENSEX Index Options'!$M:$M,'BSE - SENSEX Index Options'!$D:$D,$A63,'BSE - SENSEX Index Options'!$B:$B,"Tuesday",'BSE - SENSEX Index Options'!$H:$H,"Weekly*")+SUMIFS('BSE - Other Index Options'!$M:$M,'BSE - Other Index Options'!$D:$D,$A63,'BSE - Other Index Options'!$B:$B,"Tuesday",'BSE - Other Index Options'!$H:$H,"Weekly*"))</f>
        <v/>
      </c>
      <c r="D63" s="27">
        <f>IF(SUM(B63:C63)=0,"",SUM(B63)/SUM(B63:C63))</f>
        <v/>
      </c>
      <c r="E63" s="27">
        <f>IF(SUM(B63:C63)=0,"",SUM(C63)/SUM(B63:C63))</f>
        <v/>
      </c>
    </row>
    <row r="64" hidden="1" outlineLevel="1">
      <c r="A64" s="24" t="n">
        <v>46722</v>
      </c>
      <c r="B64" s="26">
        <f>IF(SUMIFS('NSE - NIFTY Index Options'!$M:$M,'NSE - NIFTY Index Options'!$D:$D,$A64,'NSE - NIFTY Index Options'!$B:$B,"Tuesday",'NSE - NIFTY Index Options'!$H:$H,"Weekly*")+SUMIFS('NSE - Other Index Options'!$M:$M,'NSE - Other Index Options'!$D:$D,$A64,'NSE - Other Index Options'!$B:$B,"Tuesday",'NSE - Other Index Options'!$H:$H,"Weekly*")=0,"",SUMIFS('NSE - NIFTY Index Options'!$M:$M,'NSE - NIFTY Index Options'!$D:$D,$A64,'NSE - NIFTY Index Options'!$B:$B,"Tuesday",'NSE - NIFTY Index Options'!$H:$H,"Weekly*")+SUMIFS('NSE - Other Index Options'!$M:$M,'NSE - Other Index Options'!$D:$D,$A64,'NSE - Other Index Options'!$B:$B,"Tuesday",'NSE - Other Index Options'!$H:$H,"Weekly*"))</f>
        <v/>
      </c>
      <c r="C64" s="26">
        <f>IF(SUMIFS('BSE - SENSEX Index Options'!$M:$M,'BSE - SENSEX Index Options'!$D:$D,$A64,'BSE - SENSEX Index Options'!$B:$B,"Tuesday",'BSE - SENSEX Index Options'!$H:$H,"Weekly*")+SUMIFS('BSE - Other Index Options'!$M:$M,'BSE - Other Index Options'!$D:$D,$A64,'BSE - Other Index Options'!$B:$B,"Tuesday",'BSE - Other Index Options'!$H:$H,"Weekly*")=0,"",SUMIFS('BSE - SENSEX Index Options'!$M:$M,'BSE - SENSEX Index Options'!$D:$D,$A64,'BSE - SENSEX Index Options'!$B:$B,"Tuesday",'BSE - SENSEX Index Options'!$H:$H,"Weekly*")+SUMIFS('BSE - Other Index Options'!$M:$M,'BSE - Other Index Options'!$D:$D,$A64,'BSE - Other Index Options'!$B:$B,"Tuesday",'BSE - Other Index Options'!$H:$H,"Weekly*"))</f>
        <v/>
      </c>
      <c r="D64" s="27">
        <f>IF(SUM(B64:C64)=0,"",SUM(B64)/SUM(B64:C64))</f>
        <v/>
      </c>
      <c r="E64" s="27">
        <f>IF(SUM(B64:C64)=0,"",SUM(C64)/SUM(B64:C64))</f>
        <v/>
      </c>
    </row>
    <row r="65" collapsed="1">
      <c r="A65" s="28" t="inlineStr">
        <is>
          <t>Total</t>
        </is>
      </c>
      <c r="B65" s="30">
        <f>IF(SUM(B37:B64)=0,"",SUM(B37:B64))</f>
        <v/>
      </c>
      <c r="C65" s="30">
        <f>IF(SUM(C37:C64)=0,"",SUM(C37:C64))</f>
        <v/>
      </c>
      <c r="D65" s="31">
        <f>IF(SUM(B65:C65)=0,"",SUM(B65)/SUM(B65:C65))</f>
        <v/>
      </c>
      <c r="E65" s="31">
        <f>IF(SUM(B65:C65)=0,"",SUM(C65)/SUM(B65:C65))</f>
        <v/>
      </c>
    </row>
    <row r="67">
      <c r="A67" s="28" t="inlineStr">
        <is>
          <t>Wednesday Trade Day</t>
        </is>
      </c>
    </row>
    <row r="68">
      <c r="A68" s="28" t="inlineStr">
        <is>
          <t>Month</t>
        </is>
      </c>
      <c r="B68" s="28" t="inlineStr">
        <is>
          <t>NSE Premium Turnover (INR Bn)</t>
        </is>
      </c>
      <c r="C68" s="28" t="inlineStr">
        <is>
          <t>BSE Premium Turnover (INR Bn)</t>
        </is>
      </c>
      <c r="D68" s="28" t="inlineStr">
        <is>
          <t>NSE Market Share</t>
        </is>
      </c>
      <c r="E68" s="28" t="inlineStr">
        <is>
          <t>BSE Market Share</t>
        </is>
      </c>
    </row>
    <row r="69">
      <c r="A69" s="24" t="n">
        <v>45901</v>
      </c>
      <c r="B69" s="26">
        <f>IF(SUMIFS('NSE - NIFTY Index Options'!$M:$M,'NSE - NIFTY Index Options'!$D:$D,$A69,'NSE - NIFTY Index Options'!$B:$B,"Wednesday",'NSE - NIFTY Index Options'!$H:$H,"Weekly*")+SUMIFS('NSE - Other Index Options'!$M:$M,'NSE - Other Index Options'!$D:$D,$A69,'NSE - Other Index Options'!$B:$B,"Wednesday",'NSE - Other Index Options'!$H:$H,"Weekly*")=0,"",SUMIFS('NSE - NIFTY Index Options'!$M:$M,'NSE - NIFTY Index Options'!$D:$D,$A69,'NSE - NIFTY Index Options'!$B:$B,"Wednesday",'NSE - NIFTY Index Options'!$H:$H,"Weekly*")+SUMIFS('NSE - Other Index Options'!$M:$M,'NSE - Other Index Options'!$D:$D,$A69,'NSE - Other Index Options'!$B:$B,"Wednesday",'NSE - Other Index Options'!$H:$H,"Weekly*"))</f>
        <v/>
      </c>
      <c r="C69" s="26">
        <f>IF(SUMIFS('BSE - SENSEX Index Options'!$M:$M,'BSE - SENSEX Index Options'!$D:$D,$A69,'BSE - SENSEX Index Options'!$B:$B,"Wednesday",'BSE - SENSEX Index Options'!$H:$H,"Weekly*")+SUMIFS('BSE - Other Index Options'!$M:$M,'BSE - Other Index Options'!$D:$D,$A69,'BSE - Other Index Options'!$B:$B,"Wednesday",'BSE - Other Index Options'!$H:$H,"Weekly*")=0,"",SUMIFS('BSE - SENSEX Index Options'!$M:$M,'BSE - SENSEX Index Options'!$D:$D,$A69,'BSE - SENSEX Index Options'!$B:$B,"Wednesday",'BSE - SENSEX Index Options'!$H:$H,"Weekly*")+SUMIFS('BSE - Other Index Options'!$M:$M,'BSE - Other Index Options'!$D:$D,$A69,'BSE - Other Index Options'!$B:$B,"Wednesday",'BSE - Other Index Options'!$H:$H,"Weekly*"))</f>
        <v/>
      </c>
      <c r="D69" s="27">
        <f>IF(SUM(B69:C69)=0,"",SUM(B69)/SUM(B69:C69))</f>
        <v/>
      </c>
      <c r="E69" s="27">
        <f>IF(SUM(B69:C69)=0,"",SUM(C69)/SUM(B69:C69))</f>
        <v/>
      </c>
    </row>
    <row r="70">
      <c r="A70" s="24" t="n">
        <v>45931</v>
      </c>
      <c r="B70" s="26">
        <f>IF(SUMIFS('NSE - NIFTY Index Options'!$M:$M,'NSE - NIFTY Index Options'!$D:$D,$A70,'NSE - NIFTY Index Options'!$B:$B,"Wednesday",'NSE - NIFTY Index Options'!$H:$H,"Weekly*")+SUMIFS('NSE - Other Index Options'!$M:$M,'NSE - Other Index Options'!$D:$D,$A70,'NSE - Other Index Options'!$B:$B,"Wednesday",'NSE - Other Index Options'!$H:$H,"Weekly*")=0,"",SUMIFS('NSE - NIFTY Index Options'!$M:$M,'NSE - NIFTY Index Options'!$D:$D,$A70,'NSE - NIFTY Index Options'!$B:$B,"Wednesday",'NSE - NIFTY Index Options'!$H:$H,"Weekly*")+SUMIFS('NSE - Other Index Options'!$M:$M,'NSE - Other Index Options'!$D:$D,$A70,'NSE - Other Index Options'!$B:$B,"Wednesday",'NSE - Other Index Options'!$H:$H,"Weekly*"))</f>
        <v/>
      </c>
      <c r="C70" s="26">
        <f>IF(SUMIFS('BSE - SENSEX Index Options'!$M:$M,'BSE - SENSEX Index Options'!$D:$D,$A70,'BSE - SENSEX Index Options'!$B:$B,"Wednesday",'BSE - SENSEX Index Options'!$H:$H,"Weekly*")+SUMIFS('BSE - Other Index Options'!$M:$M,'BSE - Other Index Options'!$D:$D,$A70,'BSE - Other Index Options'!$B:$B,"Wednesday",'BSE - Other Index Options'!$H:$H,"Weekly*")=0,"",SUMIFS('BSE - SENSEX Index Options'!$M:$M,'BSE - SENSEX Index Options'!$D:$D,$A70,'BSE - SENSEX Index Options'!$B:$B,"Wednesday",'BSE - SENSEX Index Options'!$H:$H,"Weekly*")+SUMIFS('BSE - Other Index Options'!$M:$M,'BSE - Other Index Options'!$D:$D,$A70,'BSE - Other Index Options'!$B:$B,"Wednesday",'BSE - Other Index Options'!$H:$H,"Weekly*"))</f>
        <v/>
      </c>
      <c r="D70" s="27">
        <f>IF(SUM(B70:C70)=0,"",SUM(B70)/SUM(B70:C70))</f>
        <v/>
      </c>
      <c r="E70" s="27">
        <f>IF(SUM(B70:C70)=0,"",SUM(C70)/SUM(B70:C70))</f>
        <v/>
      </c>
    </row>
    <row r="71">
      <c r="A71" s="24" t="n">
        <v>45962</v>
      </c>
      <c r="B71" s="26">
        <f>IF(SUMIFS('NSE - NIFTY Index Options'!$M:$M,'NSE - NIFTY Index Options'!$D:$D,$A71,'NSE - NIFTY Index Options'!$B:$B,"Wednesday",'NSE - NIFTY Index Options'!$H:$H,"Weekly*")+SUMIFS('NSE - Other Index Options'!$M:$M,'NSE - Other Index Options'!$D:$D,$A71,'NSE - Other Index Options'!$B:$B,"Wednesday",'NSE - Other Index Options'!$H:$H,"Weekly*")=0,"",SUMIFS('NSE - NIFTY Index Options'!$M:$M,'NSE - NIFTY Index Options'!$D:$D,$A71,'NSE - NIFTY Index Options'!$B:$B,"Wednesday",'NSE - NIFTY Index Options'!$H:$H,"Weekly*")+SUMIFS('NSE - Other Index Options'!$M:$M,'NSE - Other Index Options'!$D:$D,$A71,'NSE - Other Index Options'!$B:$B,"Wednesday",'NSE - Other Index Options'!$H:$H,"Weekly*"))</f>
        <v/>
      </c>
      <c r="C71" s="26">
        <f>IF(SUMIFS('BSE - SENSEX Index Options'!$M:$M,'BSE - SENSEX Index Options'!$D:$D,$A71,'BSE - SENSEX Index Options'!$B:$B,"Wednesday",'BSE - SENSEX Index Options'!$H:$H,"Weekly*")+SUMIFS('BSE - Other Index Options'!$M:$M,'BSE - Other Index Options'!$D:$D,$A71,'BSE - Other Index Options'!$B:$B,"Wednesday",'BSE - Other Index Options'!$H:$H,"Weekly*")=0,"",SUMIFS('BSE - SENSEX Index Options'!$M:$M,'BSE - SENSEX Index Options'!$D:$D,$A71,'BSE - SENSEX Index Options'!$B:$B,"Wednesday",'BSE - SENSEX Index Options'!$H:$H,"Weekly*")+SUMIFS('BSE - Other Index Options'!$M:$M,'BSE - Other Index Options'!$D:$D,$A71,'BSE - Other Index Options'!$B:$B,"Wednesday",'BSE - Other Index Options'!$H:$H,"Weekly*"))</f>
        <v/>
      </c>
      <c r="D71" s="27">
        <f>IF(SUM(B71:C71)=0,"",SUM(B71)/SUM(B71:C71))</f>
        <v/>
      </c>
      <c r="E71" s="27">
        <f>IF(SUM(B71:C71)=0,"",SUM(C71)/SUM(B71:C71))</f>
        <v/>
      </c>
    </row>
    <row r="72">
      <c r="A72" s="24" t="n">
        <v>45992</v>
      </c>
      <c r="B72" s="26">
        <f>IF(SUMIFS('NSE - NIFTY Index Options'!$M:$M,'NSE - NIFTY Index Options'!$D:$D,$A72,'NSE - NIFTY Index Options'!$B:$B,"Wednesday",'NSE - NIFTY Index Options'!$H:$H,"Weekly*")+SUMIFS('NSE - Other Index Options'!$M:$M,'NSE - Other Index Options'!$D:$D,$A72,'NSE - Other Index Options'!$B:$B,"Wednesday",'NSE - Other Index Options'!$H:$H,"Weekly*")=0,"",SUMIFS('NSE - NIFTY Index Options'!$M:$M,'NSE - NIFTY Index Options'!$D:$D,$A72,'NSE - NIFTY Index Options'!$B:$B,"Wednesday",'NSE - NIFTY Index Options'!$H:$H,"Weekly*")+SUMIFS('NSE - Other Index Options'!$M:$M,'NSE - Other Index Options'!$D:$D,$A72,'NSE - Other Index Options'!$B:$B,"Wednesday",'NSE - Other Index Options'!$H:$H,"Weekly*"))</f>
        <v/>
      </c>
      <c r="C72" s="26">
        <f>IF(SUMIFS('BSE - SENSEX Index Options'!$M:$M,'BSE - SENSEX Index Options'!$D:$D,$A72,'BSE - SENSEX Index Options'!$B:$B,"Wednesday",'BSE - SENSEX Index Options'!$H:$H,"Weekly*")+SUMIFS('BSE - Other Index Options'!$M:$M,'BSE - Other Index Options'!$D:$D,$A72,'BSE - Other Index Options'!$B:$B,"Wednesday",'BSE - Other Index Options'!$H:$H,"Weekly*")=0,"",SUMIFS('BSE - SENSEX Index Options'!$M:$M,'BSE - SENSEX Index Options'!$D:$D,$A72,'BSE - SENSEX Index Options'!$B:$B,"Wednesday",'BSE - SENSEX Index Options'!$H:$H,"Weekly*")+SUMIFS('BSE - Other Index Options'!$M:$M,'BSE - Other Index Options'!$D:$D,$A72,'BSE - Other Index Options'!$B:$B,"Wednesday",'BSE - Other Index Options'!$H:$H,"Weekly*"))</f>
        <v/>
      </c>
      <c r="D72" s="27">
        <f>IF(SUM(B72:C72)=0,"",SUM(B72)/SUM(B72:C72))</f>
        <v/>
      </c>
      <c r="E72" s="27">
        <f>IF(SUM(B72:C72)=0,"",SUM(C72)/SUM(B72:C72))</f>
        <v/>
      </c>
    </row>
    <row r="73">
      <c r="A73" s="24" t="n">
        <v>46023</v>
      </c>
      <c r="B73" s="26">
        <f>IF(SUMIFS('NSE - NIFTY Index Options'!$M:$M,'NSE - NIFTY Index Options'!$D:$D,$A73,'NSE - NIFTY Index Options'!$B:$B,"Wednesday",'NSE - NIFTY Index Options'!$H:$H,"Weekly*")+SUMIFS('NSE - Other Index Options'!$M:$M,'NSE - Other Index Options'!$D:$D,$A73,'NSE - Other Index Options'!$B:$B,"Wednesday",'NSE - Other Index Options'!$H:$H,"Weekly*")=0,"",SUMIFS('NSE - NIFTY Index Options'!$M:$M,'NSE - NIFTY Index Options'!$D:$D,$A73,'NSE - NIFTY Index Options'!$B:$B,"Wednesday",'NSE - NIFTY Index Options'!$H:$H,"Weekly*")+SUMIFS('NSE - Other Index Options'!$M:$M,'NSE - Other Index Options'!$D:$D,$A73,'NSE - Other Index Options'!$B:$B,"Wednesday",'NSE - Other Index Options'!$H:$H,"Weekly*"))</f>
        <v/>
      </c>
      <c r="C73" s="26">
        <f>IF(SUMIFS('BSE - SENSEX Index Options'!$M:$M,'BSE - SENSEX Index Options'!$D:$D,$A73,'BSE - SENSEX Index Options'!$B:$B,"Wednesday",'BSE - SENSEX Index Options'!$H:$H,"Weekly*")+SUMIFS('BSE - Other Index Options'!$M:$M,'BSE - Other Index Options'!$D:$D,$A73,'BSE - Other Index Options'!$B:$B,"Wednesday",'BSE - Other Index Options'!$H:$H,"Weekly*")=0,"",SUMIFS('BSE - SENSEX Index Options'!$M:$M,'BSE - SENSEX Index Options'!$D:$D,$A73,'BSE - SENSEX Index Options'!$B:$B,"Wednesday",'BSE - SENSEX Index Options'!$H:$H,"Weekly*")+SUMIFS('BSE - Other Index Options'!$M:$M,'BSE - Other Index Options'!$D:$D,$A73,'BSE - Other Index Options'!$B:$B,"Wednesday",'BSE - Other Index Options'!$H:$H,"Weekly*"))</f>
        <v/>
      </c>
      <c r="D73" s="27">
        <f>IF(SUM(B73:C73)=0,"",SUM(B73)/SUM(B73:C73))</f>
        <v/>
      </c>
      <c r="E73" s="27">
        <f>IF(SUM(B73:C73)=0,"",SUM(C73)/SUM(B73:C73))</f>
        <v/>
      </c>
    </row>
    <row r="74">
      <c r="A74" s="24" t="n">
        <v>46054</v>
      </c>
      <c r="B74" s="26">
        <f>IF(SUMIFS('NSE - NIFTY Index Options'!$M:$M,'NSE - NIFTY Index Options'!$D:$D,$A74,'NSE - NIFTY Index Options'!$B:$B,"Wednesday",'NSE - NIFTY Index Options'!$H:$H,"Weekly*")+SUMIFS('NSE - Other Index Options'!$M:$M,'NSE - Other Index Options'!$D:$D,$A74,'NSE - Other Index Options'!$B:$B,"Wednesday",'NSE - Other Index Options'!$H:$H,"Weekly*")=0,"",SUMIFS('NSE - NIFTY Index Options'!$M:$M,'NSE - NIFTY Index Options'!$D:$D,$A74,'NSE - NIFTY Index Options'!$B:$B,"Wednesday",'NSE - NIFTY Index Options'!$H:$H,"Weekly*")+SUMIFS('NSE - Other Index Options'!$M:$M,'NSE - Other Index Options'!$D:$D,$A74,'NSE - Other Index Options'!$B:$B,"Wednesday",'NSE - Other Index Options'!$H:$H,"Weekly*"))</f>
        <v/>
      </c>
      <c r="C74" s="26">
        <f>IF(SUMIFS('BSE - SENSEX Index Options'!$M:$M,'BSE - SENSEX Index Options'!$D:$D,$A74,'BSE - SENSEX Index Options'!$B:$B,"Wednesday",'BSE - SENSEX Index Options'!$H:$H,"Weekly*")+SUMIFS('BSE - Other Index Options'!$M:$M,'BSE - Other Index Options'!$D:$D,$A74,'BSE - Other Index Options'!$B:$B,"Wednesday",'BSE - Other Index Options'!$H:$H,"Weekly*")=0,"",SUMIFS('BSE - SENSEX Index Options'!$M:$M,'BSE - SENSEX Index Options'!$D:$D,$A74,'BSE - SENSEX Index Options'!$B:$B,"Wednesday",'BSE - SENSEX Index Options'!$H:$H,"Weekly*")+SUMIFS('BSE - Other Index Options'!$M:$M,'BSE - Other Index Options'!$D:$D,$A74,'BSE - Other Index Options'!$B:$B,"Wednesday",'BSE - Other Index Options'!$H:$H,"Weekly*"))</f>
        <v/>
      </c>
      <c r="D74" s="27">
        <f>IF(SUM(B74:C74)=0,"",SUM(B74)/SUM(B74:C74))</f>
        <v/>
      </c>
      <c r="E74" s="27">
        <f>IF(SUM(B74:C74)=0,"",SUM(C74)/SUM(B74:C74))</f>
        <v/>
      </c>
    </row>
    <row r="75">
      <c r="A75" s="24" t="n">
        <v>46082</v>
      </c>
      <c r="B75" s="26">
        <f>IF(SUMIFS('NSE - NIFTY Index Options'!$M:$M,'NSE - NIFTY Index Options'!$D:$D,$A75,'NSE - NIFTY Index Options'!$B:$B,"Wednesday",'NSE - NIFTY Index Options'!$H:$H,"Weekly*")+SUMIFS('NSE - Other Index Options'!$M:$M,'NSE - Other Index Options'!$D:$D,$A75,'NSE - Other Index Options'!$B:$B,"Wednesday",'NSE - Other Index Options'!$H:$H,"Weekly*")=0,"",SUMIFS('NSE - NIFTY Index Options'!$M:$M,'NSE - NIFTY Index Options'!$D:$D,$A75,'NSE - NIFTY Index Options'!$B:$B,"Wednesday",'NSE - NIFTY Index Options'!$H:$H,"Weekly*")+SUMIFS('NSE - Other Index Options'!$M:$M,'NSE - Other Index Options'!$D:$D,$A75,'NSE - Other Index Options'!$B:$B,"Wednesday",'NSE - Other Index Options'!$H:$H,"Weekly*"))</f>
        <v/>
      </c>
      <c r="C75" s="26">
        <f>IF(SUMIFS('BSE - SENSEX Index Options'!$M:$M,'BSE - SENSEX Index Options'!$D:$D,$A75,'BSE - SENSEX Index Options'!$B:$B,"Wednesday",'BSE - SENSEX Index Options'!$H:$H,"Weekly*")+SUMIFS('BSE - Other Index Options'!$M:$M,'BSE - Other Index Options'!$D:$D,$A75,'BSE - Other Index Options'!$B:$B,"Wednesday",'BSE - Other Index Options'!$H:$H,"Weekly*")=0,"",SUMIFS('BSE - SENSEX Index Options'!$M:$M,'BSE - SENSEX Index Options'!$D:$D,$A75,'BSE - SENSEX Index Options'!$B:$B,"Wednesday",'BSE - SENSEX Index Options'!$H:$H,"Weekly*")+SUMIFS('BSE - Other Index Options'!$M:$M,'BSE - Other Index Options'!$D:$D,$A75,'BSE - Other Index Options'!$B:$B,"Wednesday",'BSE - Other Index Options'!$H:$H,"Weekly*"))</f>
        <v/>
      </c>
      <c r="D75" s="27">
        <f>IF(SUM(B75:C75)=0,"",SUM(B75)/SUM(B75:C75))</f>
        <v/>
      </c>
      <c r="E75" s="27">
        <f>IF(SUM(B75:C75)=0,"",SUM(C75)/SUM(B75:C75))</f>
        <v/>
      </c>
    </row>
    <row r="76">
      <c r="A76" s="24" t="n">
        <v>46113</v>
      </c>
      <c r="B76" s="26">
        <f>IF(SUMIFS('NSE - NIFTY Index Options'!$M:$M,'NSE - NIFTY Index Options'!$D:$D,$A76,'NSE - NIFTY Index Options'!$B:$B,"Wednesday",'NSE - NIFTY Index Options'!$H:$H,"Weekly*")+SUMIFS('NSE - Other Index Options'!$M:$M,'NSE - Other Index Options'!$D:$D,$A76,'NSE - Other Index Options'!$B:$B,"Wednesday",'NSE - Other Index Options'!$H:$H,"Weekly*")=0,"",SUMIFS('NSE - NIFTY Index Options'!$M:$M,'NSE - NIFTY Index Options'!$D:$D,$A76,'NSE - NIFTY Index Options'!$B:$B,"Wednesday",'NSE - NIFTY Index Options'!$H:$H,"Weekly*")+SUMIFS('NSE - Other Index Options'!$M:$M,'NSE - Other Index Options'!$D:$D,$A76,'NSE - Other Index Options'!$B:$B,"Wednesday",'NSE - Other Index Options'!$H:$H,"Weekly*"))</f>
        <v/>
      </c>
      <c r="C76" s="26">
        <f>IF(SUMIFS('BSE - SENSEX Index Options'!$M:$M,'BSE - SENSEX Index Options'!$D:$D,$A76,'BSE - SENSEX Index Options'!$B:$B,"Wednesday",'BSE - SENSEX Index Options'!$H:$H,"Weekly*")+SUMIFS('BSE - Other Index Options'!$M:$M,'BSE - Other Index Options'!$D:$D,$A76,'BSE - Other Index Options'!$B:$B,"Wednesday",'BSE - Other Index Options'!$H:$H,"Weekly*")=0,"",SUMIFS('BSE - SENSEX Index Options'!$M:$M,'BSE - SENSEX Index Options'!$D:$D,$A76,'BSE - SENSEX Index Options'!$B:$B,"Wednesday",'BSE - SENSEX Index Options'!$H:$H,"Weekly*")+SUMIFS('BSE - Other Index Options'!$M:$M,'BSE - Other Index Options'!$D:$D,$A76,'BSE - Other Index Options'!$B:$B,"Wednesday",'BSE - Other Index Options'!$H:$H,"Weekly*"))</f>
        <v/>
      </c>
      <c r="D76" s="27">
        <f>IF(SUM(B76:C76)=0,"",SUM(B76)/SUM(B76:C76))</f>
        <v/>
      </c>
      <c r="E76" s="27">
        <f>IF(SUM(B76:C76)=0,"",SUM(C76)/SUM(B76:C76))</f>
        <v/>
      </c>
    </row>
    <row r="77">
      <c r="A77" s="24" t="n">
        <v>46143</v>
      </c>
      <c r="B77" s="26">
        <f>IF(SUMIFS('NSE - NIFTY Index Options'!$M:$M,'NSE - NIFTY Index Options'!$D:$D,$A77,'NSE - NIFTY Index Options'!$B:$B,"Wednesday",'NSE - NIFTY Index Options'!$H:$H,"Weekly*")+SUMIFS('NSE - Other Index Options'!$M:$M,'NSE - Other Index Options'!$D:$D,$A77,'NSE - Other Index Options'!$B:$B,"Wednesday",'NSE - Other Index Options'!$H:$H,"Weekly*")=0,"",SUMIFS('NSE - NIFTY Index Options'!$M:$M,'NSE - NIFTY Index Options'!$D:$D,$A77,'NSE - NIFTY Index Options'!$B:$B,"Wednesday",'NSE - NIFTY Index Options'!$H:$H,"Weekly*")+SUMIFS('NSE - Other Index Options'!$M:$M,'NSE - Other Index Options'!$D:$D,$A77,'NSE - Other Index Options'!$B:$B,"Wednesday",'NSE - Other Index Options'!$H:$H,"Weekly*"))</f>
        <v/>
      </c>
      <c r="C77" s="26">
        <f>IF(SUMIFS('BSE - SENSEX Index Options'!$M:$M,'BSE - SENSEX Index Options'!$D:$D,$A77,'BSE - SENSEX Index Options'!$B:$B,"Wednesday",'BSE - SENSEX Index Options'!$H:$H,"Weekly*")+SUMIFS('BSE - Other Index Options'!$M:$M,'BSE - Other Index Options'!$D:$D,$A77,'BSE - Other Index Options'!$B:$B,"Wednesday",'BSE - Other Index Options'!$H:$H,"Weekly*")=0,"",SUMIFS('BSE - SENSEX Index Options'!$M:$M,'BSE - SENSEX Index Options'!$D:$D,$A77,'BSE - SENSEX Index Options'!$B:$B,"Wednesday",'BSE - SENSEX Index Options'!$H:$H,"Weekly*")+SUMIFS('BSE - Other Index Options'!$M:$M,'BSE - Other Index Options'!$D:$D,$A77,'BSE - Other Index Options'!$B:$B,"Wednesday",'BSE - Other Index Options'!$H:$H,"Weekly*"))</f>
        <v/>
      </c>
      <c r="D77" s="27">
        <f>IF(SUM(B77:C77)=0,"",SUM(B77)/SUM(B77:C77))</f>
        <v/>
      </c>
      <c r="E77" s="27">
        <f>IF(SUM(B77:C77)=0,"",SUM(C77)/SUM(B77:C77))</f>
        <v/>
      </c>
    </row>
    <row r="78">
      <c r="A78" s="24" t="n">
        <v>46174</v>
      </c>
      <c r="B78" s="26">
        <f>IF(SUMIFS('NSE - NIFTY Index Options'!$M:$M,'NSE - NIFTY Index Options'!$D:$D,$A78,'NSE - NIFTY Index Options'!$B:$B,"Wednesday",'NSE - NIFTY Index Options'!$H:$H,"Weekly*")+SUMIFS('NSE - Other Index Options'!$M:$M,'NSE - Other Index Options'!$D:$D,$A78,'NSE - Other Index Options'!$B:$B,"Wednesday",'NSE - Other Index Options'!$H:$H,"Weekly*")=0,"",SUMIFS('NSE - NIFTY Index Options'!$M:$M,'NSE - NIFTY Index Options'!$D:$D,$A78,'NSE - NIFTY Index Options'!$B:$B,"Wednesday",'NSE - NIFTY Index Options'!$H:$H,"Weekly*")+SUMIFS('NSE - Other Index Options'!$M:$M,'NSE - Other Index Options'!$D:$D,$A78,'NSE - Other Index Options'!$B:$B,"Wednesday",'NSE - Other Index Options'!$H:$H,"Weekly*"))</f>
        <v/>
      </c>
      <c r="C78" s="26">
        <f>IF(SUMIFS('BSE - SENSEX Index Options'!$M:$M,'BSE - SENSEX Index Options'!$D:$D,$A78,'BSE - SENSEX Index Options'!$B:$B,"Wednesday",'BSE - SENSEX Index Options'!$H:$H,"Weekly*")+SUMIFS('BSE - Other Index Options'!$M:$M,'BSE - Other Index Options'!$D:$D,$A78,'BSE - Other Index Options'!$B:$B,"Wednesday",'BSE - Other Index Options'!$H:$H,"Weekly*")=0,"",SUMIFS('BSE - SENSEX Index Options'!$M:$M,'BSE - SENSEX Index Options'!$D:$D,$A78,'BSE - SENSEX Index Options'!$B:$B,"Wednesday",'BSE - SENSEX Index Options'!$H:$H,"Weekly*")+SUMIFS('BSE - Other Index Options'!$M:$M,'BSE - Other Index Options'!$D:$D,$A78,'BSE - Other Index Options'!$B:$B,"Wednesday",'BSE - Other Index Options'!$H:$H,"Weekly*"))</f>
        <v/>
      </c>
      <c r="D78" s="27">
        <f>IF(SUM(B78:C78)=0,"",SUM(B78)/SUM(B78:C78))</f>
        <v/>
      </c>
      <c r="E78" s="27">
        <f>IF(SUM(B78:C78)=0,"",SUM(C78)/SUM(B78:C78))</f>
        <v/>
      </c>
    </row>
    <row r="79">
      <c r="A79" s="24" t="n">
        <v>46204</v>
      </c>
      <c r="B79" s="26">
        <f>IF(SUMIFS('NSE - NIFTY Index Options'!$M:$M,'NSE - NIFTY Index Options'!$D:$D,$A79,'NSE - NIFTY Index Options'!$B:$B,"Wednesday",'NSE - NIFTY Index Options'!$H:$H,"Weekly*")+SUMIFS('NSE - Other Index Options'!$M:$M,'NSE - Other Index Options'!$D:$D,$A79,'NSE - Other Index Options'!$B:$B,"Wednesday",'NSE - Other Index Options'!$H:$H,"Weekly*")=0,"",SUMIFS('NSE - NIFTY Index Options'!$M:$M,'NSE - NIFTY Index Options'!$D:$D,$A79,'NSE - NIFTY Index Options'!$B:$B,"Wednesday",'NSE - NIFTY Index Options'!$H:$H,"Weekly*")+SUMIFS('NSE - Other Index Options'!$M:$M,'NSE - Other Index Options'!$D:$D,$A79,'NSE - Other Index Options'!$B:$B,"Wednesday",'NSE - Other Index Options'!$H:$H,"Weekly*"))</f>
        <v/>
      </c>
      <c r="C79" s="26">
        <f>IF(SUMIFS('BSE - SENSEX Index Options'!$M:$M,'BSE - SENSEX Index Options'!$D:$D,$A79,'BSE - SENSEX Index Options'!$B:$B,"Wednesday",'BSE - SENSEX Index Options'!$H:$H,"Weekly*")+SUMIFS('BSE - Other Index Options'!$M:$M,'BSE - Other Index Options'!$D:$D,$A79,'BSE - Other Index Options'!$B:$B,"Wednesday",'BSE - Other Index Options'!$H:$H,"Weekly*")=0,"",SUMIFS('BSE - SENSEX Index Options'!$M:$M,'BSE - SENSEX Index Options'!$D:$D,$A79,'BSE - SENSEX Index Options'!$B:$B,"Wednesday",'BSE - SENSEX Index Options'!$H:$H,"Weekly*")+SUMIFS('BSE - Other Index Options'!$M:$M,'BSE - Other Index Options'!$D:$D,$A79,'BSE - Other Index Options'!$B:$B,"Wednesday",'BSE - Other Index Options'!$H:$H,"Weekly*"))</f>
        <v/>
      </c>
      <c r="D79" s="27">
        <f>IF(SUM(B79:C79)=0,"",SUM(B79)/SUM(B79:C79))</f>
        <v/>
      </c>
      <c r="E79" s="27">
        <f>IF(SUM(B79:C79)=0,"",SUM(C79)/SUM(B79:C79))</f>
        <v/>
      </c>
    </row>
    <row r="80">
      <c r="A80" s="24" t="n">
        <v>46235</v>
      </c>
      <c r="B80" s="26">
        <f>IF(SUMIFS('NSE - NIFTY Index Options'!$M:$M,'NSE - NIFTY Index Options'!$D:$D,$A80,'NSE - NIFTY Index Options'!$B:$B,"Wednesday",'NSE - NIFTY Index Options'!$H:$H,"Weekly*")+SUMIFS('NSE - Other Index Options'!$M:$M,'NSE - Other Index Options'!$D:$D,$A80,'NSE - Other Index Options'!$B:$B,"Wednesday",'NSE - Other Index Options'!$H:$H,"Weekly*")=0,"",SUMIFS('NSE - NIFTY Index Options'!$M:$M,'NSE - NIFTY Index Options'!$D:$D,$A80,'NSE - NIFTY Index Options'!$B:$B,"Wednesday",'NSE - NIFTY Index Options'!$H:$H,"Weekly*")+SUMIFS('NSE - Other Index Options'!$M:$M,'NSE - Other Index Options'!$D:$D,$A80,'NSE - Other Index Options'!$B:$B,"Wednesday",'NSE - Other Index Options'!$H:$H,"Weekly*"))</f>
        <v/>
      </c>
      <c r="C80" s="26">
        <f>IF(SUMIFS('BSE - SENSEX Index Options'!$M:$M,'BSE - SENSEX Index Options'!$D:$D,$A80,'BSE - SENSEX Index Options'!$B:$B,"Wednesday",'BSE - SENSEX Index Options'!$H:$H,"Weekly*")+SUMIFS('BSE - Other Index Options'!$M:$M,'BSE - Other Index Options'!$D:$D,$A80,'BSE - Other Index Options'!$B:$B,"Wednesday",'BSE - Other Index Options'!$H:$H,"Weekly*")=0,"",SUMIFS('BSE - SENSEX Index Options'!$M:$M,'BSE - SENSEX Index Options'!$D:$D,$A80,'BSE - SENSEX Index Options'!$B:$B,"Wednesday",'BSE - SENSEX Index Options'!$H:$H,"Weekly*")+SUMIFS('BSE - Other Index Options'!$M:$M,'BSE - Other Index Options'!$D:$D,$A80,'BSE - Other Index Options'!$B:$B,"Wednesday",'BSE - Other Index Options'!$H:$H,"Weekly*"))</f>
        <v/>
      </c>
      <c r="D80" s="27">
        <f>IF(SUM(B80:C80)=0,"",SUM(B80)/SUM(B80:C80))</f>
        <v/>
      </c>
      <c r="E80" s="27">
        <f>IF(SUM(B80:C80)=0,"",SUM(C80)/SUM(B80:C80))</f>
        <v/>
      </c>
    </row>
    <row r="81" hidden="1" outlineLevel="1">
      <c r="A81" s="24" t="n">
        <v>46266</v>
      </c>
      <c r="B81" s="26">
        <f>IF(SUMIFS('NSE - NIFTY Index Options'!$M:$M,'NSE - NIFTY Index Options'!$D:$D,$A81,'NSE - NIFTY Index Options'!$B:$B,"Wednesday",'NSE - NIFTY Index Options'!$H:$H,"Weekly*")+SUMIFS('NSE - Other Index Options'!$M:$M,'NSE - Other Index Options'!$D:$D,$A81,'NSE - Other Index Options'!$B:$B,"Wednesday",'NSE - Other Index Options'!$H:$H,"Weekly*")=0,"",SUMIFS('NSE - NIFTY Index Options'!$M:$M,'NSE - NIFTY Index Options'!$D:$D,$A81,'NSE - NIFTY Index Options'!$B:$B,"Wednesday",'NSE - NIFTY Index Options'!$H:$H,"Weekly*")+SUMIFS('NSE - Other Index Options'!$M:$M,'NSE - Other Index Options'!$D:$D,$A81,'NSE - Other Index Options'!$B:$B,"Wednesday",'NSE - Other Index Options'!$H:$H,"Weekly*"))</f>
        <v/>
      </c>
      <c r="C81" s="26">
        <f>IF(SUMIFS('BSE - SENSEX Index Options'!$M:$M,'BSE - SENSEX Index Options'!$D:$D,$A81,'BSE - SENSEX Index Options'!$B:$B,"Wednesday",'BSE - SENSEX Index Options'!$H:$H,"Weekly*")+SUMIFS('BSE - Other Index Options'!$M:$M,'BSE - Other Index Options'!$D:$D,$A81,'BSE - Other Index Options'!$B:$B,"Wednesday",'BSE - Other Index Options'!$H:$H,"Weekly*")=0,"",SUMIFS('BSE - SENSEX Index Options'!$M:$M,'BSE - SENSEX Index Options'!$D:$D,$A81,'BSE - SENSEX Index Options'!$B:$B,"Wednesday",'BSE - SENSEX Index Options'!$H:$H,"Weekly*")+SUMIFS('BSE - Other Index Options'!$M:$M,'BSE - Other Index Options'!$D:$D,$A81,'BSE - Other Index Options'!$B:$B,"Wednesday",'BSE - Other Index Options'!$H:$H,"Weekly*"))</f>
        <v/>
      </c>
      <c r="D81" s="27">
        <f>IF(SUM(B81:C81)=0,"",SUM(B81)/SUM(B81:C81))</f>
        <v/>
      </c>
      <c r="E81" s="27">
        <f>IF(SUM(B81:C81)=0,"",SUM(C81)/SUM(B81:C81))</f>
        <v/>
      </c>
    </row>
    <row r="82" hidden="1" outlineLevel="1">
      <c r="A82" s="24" t="n">
        <v>46296</v>
      </c>
      <c r="B82" s="26">
        <f>IF(SUMIFS('NSE - NIFTY Index Options'!$M:$M,'NSE - NIFTY Index Options'!$D:$D,$A82,'NSE - NIFTY Index Options'!$B:$B,"Wednesday",'NSE - NIFTY Index Options'!$H:$H,"Weekly*")+SUMIFS('NSE - Other Index Options'!$M:$M,'NSE - Other Index Options'!$D:$D,$A82,'NSE - Other Index Options'!$B:$B,"Wednesday",'NSE - Other Index Options'!$H:$H,"Weekly*")=0,"",SUMIFS('NSE - NIFTY Index Options'!$M:$M,'NSE - NIFTY Index Options'!$D:$D,$A82,'NSE - NIFTY Index Options'!$B:$B,"Wednesday",'NSE - NIFTY Index Options'!$H:$H,"Weekly*")+SUMIFS('NSE - Other Index Options'!$M:$M,'NSE - Other Index Options'!$D:$D,$A82,'NSE - Other Index Options'!$B:$B,"Wednesday",'NSE - Other Index Options'!$H:$H,"Weekly*"))</f>
        <v/>
      </c>
      <c r="C82" s="26">
        <f>IF(SUMIFS('BSE - SENSEX Index Options'!$M:$M,'BSE - SENSEX Index Options'!$D:$D,$A82,'BSE - SENSEX Index Options'!$B:$B,"Wednesday",'BSE - SENSEX Index Options'!$H:$H,"Weekly*")+SUMIFS('BSE - Other Index Options'!$M:$M,'BSE - Other Index Options'!$D:$D,$A82,'BSE - Other Index Options'!$B:$B,"Wednesday",'BSE - Other Index Options'!$H:$H,"Weekly*")=0,"",SUMIFS('BSE - SENSEX Index Options'!$M:$M,'BSE - SENSEX Index Options'!$D:$D,$A82,'BSE - SENSEX Index Options'!$B:$B,"Wednesday",'BSE - SENSEX Index Options'!$H:$H,"Weekly*")+SUMIFS('BSE - Other Index Options'!$M:$M,'BSE - Other Index Options'!$D:$D,$A82,'BSE - Other Index Options'!$B:$B,"Wednesday",'BSE - Other Index Options'!$H:$H,"Weekly*"))</f>
        <v/>
      </c>
      <c r="D82" s="27">
        <f>IF(SUM(B82:C82)=0,"",SUM(B82)/SUM(B82:C82))</f>
        <v/>
      </c>
      <c r="E82" s="27">
        <f>IF(SUM(B82:C82)=0,"",SUM(C82)/SUM(B82:C82))</f>
        <v/>
      </c>
    </row>
    <row r="83" hidden="1" outlineLevel="1">
      <c r="A83" s="24" t="n">
        <v>46327</v>
      </c>
      <c r="B83" s="26">
        <f>IF(SUMIFS('NSE - NIFTY Index Options'!$M:$M,'NSE - NIFTY Index Options'!$D:$D,$A83,'NSE - NIFTY Index Options'!$B:$B,"Wednesday",'NSE - NIFTY Index Options'!$H:$H,"Weekly*")+SUMIFS('NSE - Other Index Options'!$M:$M,'NSE - Other Index Options'!$D:$D,$A83,'NSE - Other Index Options'!$B:$B,"Wednesday",'NSE - Other Index Options'!$H:$H,"Weekly*")=0,"",SUMIFS('NSE - NIFTY Index Options'!$M:$M,'NSE - NIFTY Index Options'!$D:$D,$A83,'NSE - NIFTY Index Options'!$B:$B,"Wednesday",'NSE - NIFTY Index Options'!$H:$H,"Weekly*")+SUMIFS('NSE - Other Index Options'!$M:$M,'NSE - Other Index Options'!$D:$D,$A83,'NSE - Other Index Options'!$B:$B,"Wednesday",'NSE - Other Index Options'!$H:$H,"Weekly*"))</f>
        <v/>
      </c>
      <c r="C83" s="26">
        <f>IF(SUMIFS('BSE - SENSEX Index Options'!$M:$M,'BSE - SENSEX Index Options'!$D:$D,$A83,'BSE - SENSEX Index Options'!$B:$B,"Wednesday",'BSE - SENSEX Index Options'!$H:$H,"Weekly*")+SUMIFS('BSE - Other Index Options'!$M:$M,'BSE - Other Index Options'!$D:$D,$A83,'BSE - Other Index Options'!$B:$B,"Wednesday",'BSE - Other Index Options'!$H:$H,"Weekly*")=0,"",SUMIFS('BSE - SENSEX Index Options'!$M:$M,'BSE - SENSEX Index Options'!$D:$D,$A83,'BSE - SENSEX Index Options'!$B:$B,"Wednesday",'BSE - SENSEX Index Options'!$H:$H,"Weekly*")+SUMIFS('BSE - Other Index Options'!$M:$M,'BSE - Other Index Options'!$D:$D,$A83,'BSE - Other Index Options'!$B:$B,"Wednesday",'BSE - Other Index Options'!$H:$H,"Weekly*"))</f>
        <v/>
      </c>
      <c r="D83" s="27">
        <f>IF(SUM(B83:C83)=0,"",SUM(B83)/SUM(B83:C83))</f>
        <v/>
      </c>
      <c r="E83" s="27">
        <f>IF(SUM(B83:C83)=0,"",SUM(C83)/SUM(B83:C83))</f>
        <v/>
      </c>
    </row>
    <row r="84" hidden="1" outlineLevel="1">
      <c r="A84" s="24" t="n">
        <v>46357</v>
      </c>
      <c r="B84" s="26">
        <f>IF(SUMIFS('NSE - NIFTY Index Options'!$M:$M,'NSE - NIFTY Index Options'!$D:$D,$A84,'NSE - NIFTY Index Options'!$B:$B,"Wednesday",'NSE - NIFTY Index Options'!$H:$H,"Weekly*")+SUMIFS('NSE - Other Index Options'!$M:$M,'NSE - Other Index Options'!$D:$D,$A84,'NSE - Other Index Options'!$B:$B,"Wednesday",'NSE - Other Index Options'!$H:$H,"Weekly*")=0,"",SUMIFS('NSE - NIFTY Index Options'!$M:$M,'NSE - NIFTY Index Options'!$D:$D,$A84,'NSE - NIFTY Index Options'!$B:$B,"Wednesday",'NSE - NIFTY Index Options'!$H:$H,"Weekly*")+SUMIFS('NSE - Other Index Options'!$M:$M,'NSE - Other Index Options'!$D:$D,$A84,'NSE - Other Index Options'!$B:$B,"Wednesday",'NSE - Other Index Options'!$H:$H,"Weekly*"))</f>
        <v/>
      </c>
      <c r="C84" s="26">
        <f>IF(SUMIFS('BSE - SENSEX Index Options'!$M:$M,'BSE - SENSEX Index Options'!$D:$D,$A84,'BSE - SENSEX Index Options'!$B:$B,"Wednesday",'BSE - SENSEX Index Options'!$H:$H,"Weekly*")+SUMIFS('BSE - Other Index Options'!$M:$M,'BSE - Other Index Options'!$D:$D,$A84,'BSE - Other Index Options'!$B:$B,"Wednesday",'BSE - Other Index Options'!$H:$H,"Weekly*")=0,"",SUMIFS('BSE - SENSEX Index Options'!$M:$M,'BSE - SENSEX Index Options'!$D:$D,$A84,'BSE - SENSEX Index Options'!$B:$B,"Wednesday",'BSE - SENSEX Index Options'!$H:$H,"Weekly*")+SUMIFS('BSE - Other Index Options'!$M:$M,'BSE - Other Index Options'!$D:$D,$A84,'BSE - Other Index Options'!$B:$B,"Wednesday",'BSE - Other Index Options'!$H:$H,"Weekly*"))</f>
        <v/>
      </c>
      <c r="D84" s="27">
        <f>IF(SUM(B84:C84)=0,"",SUM(B84)/SUM(B84:C84))</f>
        <v/>
      </c>
      <c r="E84" s="27">
        <f>IF(SUM(B84:C84)=0,"",SUM(C84)/SUM(B84:C84))</f>
        <v/>
      </c>
    </row>
    <row r="85" hidden="1" outlineLevel="1">
      <c r="A85" s="24" t="n">
        <v>46388</v>
      </c>
      <c r="B85" s="26">
        <f>IF(SUMIFS('NSE - NIFTY Index Options'!$M:$M,'NSE - NIFTY Index Options'!$D:$D,$A85,'NSE - NIFTY Index Options'!$B:$B,"Wednesday",'NSE - NIFTY Index Options'!$H:$H,"Weekly*")+SUMIFS('NSE - Other Index Options'!$M:$M,'NSE - Other Index Options'!$D:$D,$A85,'NSE - Other Index Options'!$B:$B,"Wednesday",'NSE - Other Index Options'!$H:$H,"Weekly*")=0,"",SUMIFS('NSE - NIFTY Index Options'!$M:$M,'NSE - NIFTY Index Options'!$D:$D,$A85,'NSE - NIFTY Index Options'!$B:$B,"Wednesday",'NSE - NIFTY Index Options'!$H:$H,"Weekly*")+SUMIFS('NSE - Other Index Options'!$M:$M,'NSE - Other Index Options'!$D:$D,$A85,'NSE - Other Index Options'!$B:$B,"Wednesday",'NSE - Other Index Options'!$H:$H,"Weekly*"))</f>
        <v/>
      </c>
      <c r="C85" s="26">
        <f>IF(SUMIFS('BSE - SENSEX Index Options'!$M:$M,'BSE - SENSEX Index Options'!$D:$D,$A85,'BSE - SENSEX Index Options'!$B:$B,"Wednesday",'BSE - SENSEX Index Options'!$H:$H,"Weekly*")+SUMIFS('BSE - Other Index Options'!$M:$M,'BSE - Other Index Options'!$D:$D,$A85,'BSE - Other Index Options'!$B:$B,"Wednesday",'BSE - Other Index Options'!$H:$H,"Weekly*")=0,"",SUMIFS('BSE - SENSEX Index Options'!$M:$M,'BSE - SENSEX Index Options'!$D:$D,$A85,'BSE - SENSEX Index Options'!$B:$B,"Wednesday",'BSE - SENSEX Index Options'!$H:$H,"Weekly*")+SUMIFS('BSE - Other Index Options'!$M:$M,'BSE - Other Index Options'!$D:$D,$A85,'BSE - Other Index Options'!$B:$B,"Wednesday",'BSE - Other Index Options'!$H:$H,"Weekly*"))</f>
        <v/>
      </c>
      <c r="D85" s="27">
        <f>IF(SUM(B85:C85)=0,"",SUM(B85)/SUM(B85:C85))</f>
        <v/>
      </c>
      <c r="E85" s="27">
        <f>IF(SUM(B85:C85)=0,"",SUM(C85)/SUM(B85:C85))</f>
        <v/>
      </c>
    </row>
    <row r="86" hidden="1" outlineLevel="1">
      <c r="A86" s="24" t="n">
        <v>46419</v>
      </c>
      <c r="B86" s="26">
        <f>IF(SUMIFS('NSE - NIFTY Index Options'!$M:$M,'NSE - NIFTY Index Options'!$D:$D,$A86,'NSE - NIFTY Index Options'!$B:$B,"Wednesday",'NSE - NIFTY Index Options'!$H:$H,"Weekly*")+SUMIFS('NSE - Other Index Options'!$M:$M,'NSE - Other Index Options'!$D:$D,$A86,'NSE - Other Index Options'!$B:$B,"Wednesday",'NSE - Other Index Options'!$H:$H,"Weekly*")=0,"",SUMIFS('NSE - NIFTY Index Options'!$M:$M,'NSE - NIFTY Index Options'!$D:$D,$A86,'NSE - NIFTY Index Options'!$B:$B,"Wednesday",'NSE - NIFTY Index Options'!$H:$H,"Weekly*")+SUMIFS('NSE - Other Index Options'!$M:$M,'NSE - Other Index Options'!$D:$D,$A86,'NSE - Other Index Options'!$B:$B,"Wednesday",'NSE - Other Index Options'!$H:$H,"Weekly*"))</f>
        <v/>
      </c>
      <c r="C86" s="26">
        <f>IF(SUMIFS('BSE - SENSEX Index Options'!$M:$M,'BSE - SENSEX Index Options'!$D:$D,$A86,'BSE - SENSEX Index Options'!$B:$B,"Wednesday",'BSE - SENSEX Index Options'!$H:$H,"Weekly*")+SUMIFS('BSE - Other Index Options'!$M:$M,'BSE - Other Index Options'!$D:$D,$A86,'BSE - Other Index Options'!$B:$B,"Wednesday",'BSE - Other Index Options'!$H:$H,"Weekly*")=0,"",SUMIFS('BSE - SENSEX Index Options'!$M:$M,'BSE - SENSEX Index Options'!$D:$D,$A86,'BSE - SENSEX Index Options'!$B:$B,"Wednesday",'BSE - SENSEX Index Options'!$H:$H,"Weekly*")+SUMIFS('BSE - Other Index Options'!$M:$M,'BSE - Other Index Options'!$D:$D,$A86,'BSE - Other Index Options'!$B:$B,"Wednesday",'BSE - Other Index Options'!$H:$H,"Weekly*"))</f>
        <v/>
      </c>
      <c r="D86" s="27">
        <f>IF(SUM(B86:C86)=0,"",SUM(B86)/SUM(B86:C86))</f>
        <v/>
      </c>
      <c r="E86" s="27">
        <f>IF(SUM(B86:C86)=0,"",SUM(C86)/SUM(B86:C86))</f>
        <v/>
      </c>
    </row>
    <row r="87" hidden="1" outlineLevel="1">
      <c r="A87" s="24" t="n">
        <v>46447</v>
      </c>
      <c r="B87" s="26">
        <f>IF(SUMIFS('NSE - NIFTY Index Options'!$M:$M,'NSE - NIFTY Index Options'!$D:$D,$A87,'NSE - NIFTY Index Options'!$B:$B,"Wednesday",'NSE - NIFTY Index Options'!$H:$H,"Weekly*")+SUMIFS('NSE - Other Index Options'!$M:$M,'NSE - Other Index Options'!$D:$D,$A87,'NSE - Other Index Options'!$B:$B,"Wednesday",'NSE - Other Index Options'!$H:$H,"Weekly*")=0,"",SUMIFS('NSE - NIFTY Index Options'!$M:$M,'NSE - NIFTY Index Options'!$D:$D,$A87,'NSE - NIFTY Index Options'!$B:$B,"Wednesday",'NSE - NIFTY Index Options'!$H:$H,"Weekly*")+SUMIFS('NSE - Other Index Options'!$M:$M,'NSE - Other Index Options'!$D:$D,$A87,'NSE - Other Index Options'!$B:$B,"Wednesday",'NSE - Other Index Options'!$H:$H,"Weekly*"))</f>
        <v/>
      </c>
      <c r="C87" s="26">
        <f>IF(SUMIFS('BSE - SENSEX Index Options'!$M:$M,'BSE - SENSEX Index Options'!$D:$D,$A87,'BSE - SENSEX Index Options'!$B:$B,"Wednesday",'BSE - SENSEX Index Options'!$H:$H,"Weekly*")+SUMIFS('BSE - Other Index Options'!$M:$M,'BSE - Other Index Options'!$D:$D,$A87,'BSE - Other Index Options'!$B:$B,"Wednesday",'BSE - Other Index Options'!$H:$H,"Weekly*")=0,"",SUMIFS('BSE - SENSEX Index Options'!$M:$M,'BSE - SENSEX Index Options'!$D:$D,$A87,'BSE - SENSEX Index Options'!$B:$B,"Wednesday",'BSE - SENSEX Index Options'!$H:$H,"Weekly*")+SUMIFS('BSE - Other Index Options'!$M:$M,'BSE - Other Index Options'!$D:$D,$A87,'BSE - Other Index Options'!$B:$B,"Wednesday",'BSE - Other Index Options'!$H:$H,"Weekly*"))</f>
        <v/>
      </c>
      <c r="D87" s="27">
        <f>IF(SUM(B87:C87)=0,"",SUM(B87)/SUM(B87:C87))</f>
        <v/>
      </c>
      <c r="E87" s="27">
        <f>IF(SUM(B87:C87)=0,"",SUM(C87)/SUM(B87:C87))</f>
        <v/>
      </c>
    </row>
    <row r="88" hidden="1" outlineLevel="1">
      <c r="A88" s="24" t="n">
        <v>46478</v>
      </c>
      <c r="B88" s="26">
        <f>IF(SUMIFS('NSE - NIFTY Index Options'!$M:$M,'NSE - NIFTY Index Options'!$D:$D,$A88,'NSE - NIFTY Index Options'!$B:$B,"Wednesday",'NSE - NIFTY Index Options'!$H:$H,"Weekly*")+SUMIFS('NSE - Other Index Options'!$M:$M,'NSE - Other Index Options'!$D:$D,$A88,'NSE - Other Index Options'!$B:$B,"Wednesday",'NSE - Other Index Options'!$H:$H,"Weekly*")=0,"",SUMIFS('NSE - NIFTY Index Options'!$M:$M,'NSE - NIFTY Index Options'!$D:$D,$A88,'NSE - NIFTY Index Options'!$B:$B,"Wednesday",'NSE - NIFTY Index Options'!$H:$H,"Weekly*")+SUMIFS('NSE - Other Index Options'!$M:$M,'NSE - Other Index Options'!$D:$D,$A88,'NSE - Other Index Options'!$B:$B,"Wednesday",'NSE - Other Index Options'!$H:$H,"Weekly*"))</f>
        <v/>
      </c>
      <c r="C88" s="26">
        <f>IF(SUMIFS('BSE - SENSEX Index Options'!$M:$M,'BSE - SENSEX Index Options'!$D:$D,$A88,'BSE - SENSEX Index Options'!$B:$B,"Wednesday",'BSE - SENSEX Index Options'!$H:$H,"Weekly*")+SUMIFS('BSE - Other Index Options'!$M:$M,'BSE - Other Index Options'!$D:$D,$A88,'BSE - Other Index Options'!$B:$B,"Wednesday",'BSE - Other Index Options'!$H:$H,"Weekly*")=0,"",SUMIFS('BSE - SENSEX Index Options'!$M:$M,'BSE - SENSEX Index Options'!$D:$D,$A88,'BSE - SENSEX Index Options'!$B:$B,"Wednesday",'BSE - SENSEX Index Options'!$H:$H,"Weekly*")+SUMIFS('BSE - Other Index Options'!$M:$M,'BSE - Other Index Options'!$D:$D,$A88,'BSE - Other Index Options'!$B:$B,"Wednesday",'BSE - Other Index Options'!$H:$H,"Weekly*"))</f>
        <v/>
      </c>
      <c r="D88" s="27">
        <f>IF(SUM(B88:C88)=0,"",SUM(B88)/SUM(B88:C88))</f>
        <v/>
      </c>
      <c r="E88" s="27">
        <f>IF(SUM(B88:C88)=0,"",SUM(C88)/SUM(B88:C88))</f>
        <v/>
      </c>
    </row>
    <row r="89" hidden="1" outlineLevel="1">
      <c r="A89" s="24" t="n">
        <v>46508</v>
      </c>
      <c r="B89" s="26">
        <f>IF(SUMIFS('NSE - NIFTY Index Options'!$M:$M,'NSE - NIFTY Index Options'!$D:$D,$A89,'NSE - NIFTY Index Options'!$B:$B,"Wednesday",'NSE - NIFTY Index Options'!$H:$H,"Weekly*")+SUMIFS('NSE - Other Index Options'!$M:$M,'NSE - Other Index Options'!$D:$D,$A89,'NSE - Other Index Options'!$B:$B,"Wednesday",'NSE - Other Index Options'!$H:$H,"Weekly*")=0,"",SUMIFS('NSE - NIFTY Index Options'!$M:$M,'NSE - NIFTY Index Options'!$D:$D,$A89,'NSE - NIFTY Index Options'!$B:$B,"Wednesday",'NSE - NIFTY Index Options'!$H:$H,"Weekly*")+SUMIFS('NSE - Other Index Options'!$M:$M,'NSE - Other Index Options'!$D:$D,$A89,'NSE - Other Index Options'!$B:$B,"Wednesday",'NSE - Other Index Options'!$H:$H,"Weekly*"))</f>
        <v/>
      </c>
      <c r="C89" s="26">
        <f>IF(SUMIFS('BSE - SENSEX Index Options'!$M:$M,'BSE - SENSEX Index Options'!$D:$D,$A89,'BSE - SENSEX Index Options'!$B:$B,"Wednesday",'BSE - SENSEX Index Options'!$H:$H,"Weekly*")+SUMIFS('BSE - Other Index Options'!$M:$M,'BSE - Other Index Options'!$D:$D,$A89,'BSE - Other Index Options'!$B:$B,"Wednesday",'BSE - Other Index Options'!$H:$H,"Weekly*")=0,"",SUMIFS('BSE - SENSEX Index Options'!$M:$M,'BSE - SENSEX Index Options'!$D:$D,$A89,'BSE - SENSEX Index Options'!$B:$B,"Wednesday",'BSE - SENSEX Index Options'!$H:$H,"Weekly*")+SUMIFS('BSE - Other Index Options'!$M:$M,'BSE - Other Index Options'!$D:$D,$A89,'BSE - Other Index Options'!$B:$B,"Wednesday",'BSE - Other Index Options'!$H:$H,"Weekly*"))</f>
        <v/>
      </c>
      <c r="D89" s="27">
        <f>IF(SUM(B89:C89)=0,"",SUM(B89)/SUM(B89:C89))</f>
        <v/>
      </c>
      <c r="E89" s="27">
        <f>IF(SUM(B89:C89)=0,"",SUM(C89)/SUM(B89:C89))</f>
        <v/>
      </c>
    </row>
    <row r="90" hidden="1" outlineLevel="1">
      <c r="A90" s="24" t="n">
        <v>46539</v>
      </c>
      <c r="B90" s="26">
        <f>IF(SUMIFS('NSE - NIFTY Index Options'!$M:$M,'NSE - NIFTY Index Options'!$D:$D,$A90,'NSE - NIFTY Index Options'!$B:$B,"Wednesday",'NSE - NIFTY Index Options'!$H:$H,"Weekly*")+SUMIFS('NSE - Other Index Options'!$M:$M,'NSE - Other Index Options'!$D:$D,$A90,'NSE - Other Index Options'!$B:$B,"Wednesday",'NSE - Other Index Options'!$H:$H,"Weekly*")=0,"",SUMIFS('NSE - NIFTY Index Options'!$M:$M,'NSE - NIFTY Index Options'!$D:$D,$A90,'NSE - NIFTY Index Options'!$B:$B,"Wednesday",'NSE - NIFTY Index Options'!$H:$H,"Weekly*")+SUMIFS('NSE - Other Index Options'!$M:$M,'NSE - Other Index Options'!$D:$D,$A90,'NSE - Other Index Options'!$B:$B,"Wednesday",'NSE - Other Index Options'!$H:$H,"Weekly*"))</f>
        <v/>
      </c>
      <c r="C90" s="26">
        <f>IF(SUMIFS('BSE - SENSEX Index Options'!$M:$M,'BSE - SENSEX Index Options'!$D:$D,$A90,'BSE - SENSEX Index Options'!$B:$B,"Wednesday",'BSE - SENSEX Index Options'!$H:$H,"Weekly*")+SUMIFS('BSE - Other Index Options'!$M:$M,'BSE - Other Index Options'!$D:$D,$A90,'BSE - Other Index Options'!$B:$B,"Wednesday",'BSE - Other Index Options'!$H:$H,"Weekly*")=0,"",SUMIFS('BSE - SENSEX Index Options'!$M:$M,'BSE - SENSEX Index Options'!$D:$D,$A90,'BSE - SENSEX Index Options'!$B:$B,"Wednesday",'BSE - SENSEX Index Options'!$H:$H,"Weekly*")+SUMIFS('BSE - Other Index Options'!$M:$M,'BSE - Other Index Options'!$D:$D,$A90,'BSE - Other Index Options'!$B:$B,"Wednesday",'BSE - Other Index Options'!$H:$H,"Weekly*"))</f>
        <v/>
      </c>
      <c r="D90" s="27">
        <f>IF(SUM(B90:C90)=0,"",SUM(B90)/SUM(B90:C90))</f>
        <v/>
      </c>
      <c r="E90" s="27">
        <f>IF(SUM(B90:C90)=0,"",SUM(C90)/SUM(B90:C90))</f>
        <v/>
      </c>
    </row>
    <row r="91" hidden="1" outlineLevel="1">
      <c r="A91" s="24" t="n">
        <v>46569</v>
      </c>
      <c r="B91" s="26">
        <f>IF(SUMIFS('NSE - NIFTY Index Options'!$M:$M,'NSE - NIFTY Index Options'!$D:$D,$A91,'NSE - NIFTY Index Options'!$B:$B,"Wednesday",'NSE - NIFTY Index Options'!$H:$H,"Weekly*")+SUMIFS('NSE - Other Index Options'!$M:$M,'NSE - Other Index Options'!$D:$D,$A91,'NSE - Other Index Options'!$B:$B,"Wednesday",'NSE - Other Index Options'!$H:$H,"Weekly*")=0,"",SUMIFS('NSE - NIFTY Index Options'!$M:$M,'NSE - NIFTY Index Options'!$D:$D,$A91,'NSE - NIFTY Index Options'!$B:$B,"Wednesday",'NSE - NIFTY Index Options'!$H:$H,"Weekly*")+SUMIFS('NSE - Other Index Options'!$M:$M,'NSE - Other Index Options'!$D:$D,$A91,'NSE - Other Index Options'!$B:$B,"Wednesday",'NSE - Other Index Options'!$H:$H,"Weekly*"))</f>
        <v/>
      </c>
      <c r="C91" s="26">
        <f>IF(SUMIFS('BSE - SENSEX Index Options'!$M:$M,'BSE - SENSEX Index Options'!$D:$D,$A91,'BSE - SENSEX Index Options'!$B:$B,"Wednesday",'BSE - SENSEX Index Options'!$H:$H,"Weekly*")+SUMIFS('BSE - Other Index Options'!$M:$M,'BSE - Other Index Options'!$D:$D,$A91,'BSE - Other Index Options'!$B:$B,"Wednesday",'BSE - Other Index Options'!$H:$H,"Weekly*")=0,"",SUMIFS('BSE - SENSEX Index Options'!$M:$M,'BSE - SENSEX Index Options'!$D:$D,$A91,'BSE - SENSEX Index Options'!$B:$B,"Wednesday",'BSE - SENSEX Index Options'!$H:$H,"Weekly*")+SUMIFS('BSE - Other Index Options'!$M:$M,'BSE - Other Index Options'!$D:$D,$A91,'BSE - Other Index Options'!$B:$B,"Wednesday",'BSE - Other Index Options'!$H:$H,"Weekly*"))</f>
        <v/>
      </c>
      <c r="D91" s="27">
        <f>IF(SUM(B91:C91)=0,"",SUM(B91)/SUM(B91:C91))</f>
        <v/>
      </c>
      <c r="E91" s="27">
        <f>IF(SUM(B91:C91)=0,"",SUM(C91)/SUM(B91:C91))</f>
        <v/>
      </c>
    </row>
    <row r="92" hidden="1" outlineLevel="1">
      <c r="A92" s="24" t="n">
        <v>46600</v>
      </c>
      <c r="B92" s="26">
        <f>IF(SUMIFS('NSE - NIFTY Index Options'!$M:$M,'NSE - NIFTY Index Options'!$D:$D,$A92,'NSE - NIFTY Index Options'!$B:$B,"Wednesday",'NSE - NIFTY Index Options'!$H:$H,"Weekly*")+SUMIFS('NSE - Other Index Options'!$M:$M,'NSE - Other Index Options'!$D:$D,$A92,'NSE - Other Index Options'!$B:$B,"Wednesday",'NSE - Other Index Options'!$H:$H,"Weekly*")=0,"",SUMIFS('NSE - NIFTY Index Options'!$M:$M,'NSE - NIFTY Index Options'!$D:$D,$A92,'NSE - NIFTY Index Options'!$B:$B,"Wednesday",'NSE - NIFTY Index Options'!$H:$H,"Weekly*")+SUMIFS('NSE - Other Index Options'!$M:$M,'NSE - Other Index Options'!$D:$D,$A92,'NSE - Other Index Options'!$B:$B,"Wednesday",'NSE - Other Index Options'!$H:$H,"Weekly*"))</f>
        <v/>
      </c>
      <c r="C92" s="26">
        <f>IF(SUMIFS('BSE - SENSEX Index Options'!$M:$M,'BSE - SENSEX Index Options'!$D:$D,$A92,'BSE - SENSEX Index Options'!$B:$B,"Wednesday",'BSE - SENSEX Index Options'!$H:$H,"Weekly*")+SUMIFS('BSE - Other Index Options'!$M:$M,'BSE - Other Index Options'!$D:$D,$A92,'BSE - Other Index Options'!$B:$B,"Wednesday",'BSE - Other Index Options'!$H:$H,"Weekly*")=0,"",SUMIFS('BSE - SENSEX Index Options'!$M:$M,'BSE - SENSEX Index Options'!$D:$D,$A92,'BSE - SENSEX Index Options'!$B:$B,"Wednesday",'BSE - SENSEX Index Options'!$H:$H,"Weekly*")+SUMIFS('BSE - Other Index Options'!$M:$M,'BSE - Other Index Options'!$D:$D,$A92,'BSE - Other Index Options'!$B:$B,"Wednesday",'BSE - Other Index Options'!$H:$H,"Weekly*"))</f>
        <v/>
      </c>
      <c r="D92" s="27">
        <f>IF(SUM(B92:C92)=0,"",SUM(B92)/SUM(B92:C92))</f>
        <v/>
      </c>
      <c r="E92" s="27">
        <f>IF(SUM(B92:C92)=0,"",SUM(C92)/SUM(B92:C92))</f>
        <v/>
      </c>
    </row>
    <row r="93" hidden="1" outlineLevel="1">
      <c r="A93" s="24" t="n">
        <v>46631</v>
      </c>
      <c r="B93" s="26">
        <f>IF(SUMIFS('NSE - NIFTY Index Options'!$M:$M,'NSE - NIFTY Index Options'!$D:$D,$A93,'NSE - NIFTY Index Options'!$B:$B,"Wednesday",'NSE - NIFTY Index Options'!$H:$H,"Weekly*")+SUMIFS('NSE - Other Index Options'!$M:$M,'NSE - Other Index Options'!$D:$D,$A93,'NSE - Other Index Options'!$B:$B,"Wednesday",'NSE - Other Index Options'!$H:$H,"Weekly*")=0,"",SUMIFS('NSE - NIFTY Index Options'!$M:$M,'NSE - NIFTY Index Options'!$D:$D,$A93,'NSE - NIFTY Index Options'!$B:$B,"Wednesday",'NSE - NIFTY Index Options'!$H:$H,"Weekly*")+SUMIFS('NSE - Other Index Options'!$M:$M,'NSE - Other Index Options'!$D:$D,$A93,'NSE - Other Index Options'!$B:$B,"Wednesday",'NSE - Other Index Options'!$H:$H,"Weekly*"))</f>
        <v/>
      </c>
      <c r="C93" s="26">
        <f>IF(SUMIFS('BSE - SENSEX Index Options'!$M:$M,'BSE - SENSEX Index Options'!$D:$D,$A93,'BSE - SENSEX Index Options'!$B:$B,"Wednesday",'BSE - SENSEX Index Options'!$H:$H,"Weekly*")+SUMIFS('BSE - Other Index Options'!$M:$M,'BSE - Other Index Options'!$D:$D,$A93,'BSE - Other Index Options'!$B:$B,"Wednesday",'BSE - Other Index Options'!$H:$H,"Weekly*")=0,"",SUMIFS('BSE - SENSEX Index Options'!$M:$M,'BSE - SENSEX Index Options'!$D:$D,$A93,'BSE - SENSEX Index Options'!$B:$B,"Wednesday",'BSE - SENSEX Index Options'!$H:$H,"Weekly*")+SUMIFS('BSE - Other Index Options'!$M:$M,'BSE - Other Index Options'!$D:$D,$A93,'BSE - Other Index Options'!$B:$B,"Wednesday",'BSE - Other Index Options'!$H:$H,"Weekly*"))</f>
        <v/>
      </c>
      <c r="D93" s="27">
        <f>IF(SUM(B93:C93)=0,"",SUM(B93)/SUM(B93:C93))</f>
        <v/>
      </c>
      <c r="E93" s="27">
        <f>IF(SUM(B93:C93)=0,"",SUM(C93)/SUM(B93:C93))</f>
        <v/>
      </c>
    </row>
    <row r="94" hidden="1" outlineLevel="1">
      <c r="A94" s="24" t="n">
        <v>46661</v>
      </c>
      <c r="B94" s="26">
        <f>IF(SUMIFS('NSE - NIFTY Index Options'!$M:$M,'NSE - NIFTY Index Options'!$D:$D,$A94,'NSE - NIFTY Index Options'!$B:$B,"Wednesday",'NSE - NIFTY Index Options'!$H:$H,"Weekly*")+SUMIFS('NSE - Other Index Options'!$M:$M,'NSE - Other Index Options'!$D:$D,$A94,'NSE - Other Index Options'!$B:$B,"Wednesday",'NSE - Other Index Options'!$H:$H,"Weekly*")=0,"",SUMIFS('NSE - NIFTY Index Options'!$M:$M,'NSE - NIFTY Index Options'!$D:$D,$A94,'NSE - NIFTY Index Options'!$B:$B,"Wednesday",'NSE - NIFTY Index Options'!$H:$H,"Weekly*")+SUMIFS('NSE - Other Index Options'!$M:$M,'NSE - Other Index Options'!$D:$D,$A94,'NSE - Other Index Options'!$B:$B,"Wednesday",'NSE - Other Index Options'!$H:$H,"Weekly*"))</f>
        <v/>
      </c>
      <c r="C94" s="26">
        <f>IF(SUMIFS('BSE - SENSEX Index Options'!$M:$M,'BSE - SENSEX Index Options'!$D:$D,$A94,'BSE - SENSEX Index Options'!$B:$B,"Wednesday",'BSE - SENSEX Index Options'!$H:$H,"Weekly*")+SUMIFS('BSE - Other Index Options'!$M:$M,'BSE - Other Index Options'!$D:$D,$A94,'BSE - Other Index Options'!$B:$B,"Wednesday",'BSE - Other Index Options'!$H:$H,"Weekly*")=0,"",SUMIFS('BSE - SENSEX Index Options'!$M:$M,'BSE - SENSEX Index Options'!$D:$D,$A94,'BSE - SENSEX Index Options'!$B:$B,"Wednesday",'BSE - SENSEX Index Options'!$H:$H,"Weekly*")+SUMIFS('BSE - Other Index Options'!$M:$M,'BSE - Other Index Options'!$D:$D,$A94,'BSE - Other Index Options'!$B:$B,"Wednesday",'BSE - Other Index Options'!$H:$H,"Weekly*"))</f>
        <v/>
      </c>
      <c r="D94" s="27">
        <f>IF(SUM(B94:C94)=0,"",SUM(B94)/SUM(B94:C94))</f>
        <v/>
      </c>
      <c r="E94" s="27">
        <f>IF(SUM(B94:C94)=0,"",SUM(C94)/SUM(B94:C94))</f>
        <v/>
      </c>
    </row>
    <row r="95" hidden="1" outlineLevel="1">
      <c r="A95" s="24" t="n">
        <v>46692</v>
      </c>
      <c r="B95" s="26">
        <f>IF(SUMIFS('NSE - NIFTY Index Options'!$M:$M,'NSE - NIFTY Index Options'!$D:$D,$A95,'NSE - NIFTY Index Options'!$B:$B,"Wednesday",'NSE - NIFTY Index Options'!$H:$H,"Weekly*")+SUMIFS('NSE - Other Index Options'!$M:$M,'NSE - Other Index Options'!$D:$D,$A95,'NSE - Other Index Options'!$B:$B,"Wednesday",'NSE - Other Index Options'!$H:$H,"Weekly*")=0,"",SUMIFS('NSE - NIFTY Index Options'!$M:$M,'NSE - NIFTY Index Options'!$D:$D,$A95,'NSE - NIFTY Index Options'!$B:$B,"Wednesday",'NSE - NIFTY Index Options'!$H:$H,"Weekly*")+SUMIFS('NSE - Other Index Options'!$M:$M,'NSE - Other Index Options'!$D:$D,$A95,'NSE - Other Index Options'!$B:$B,"Wednesday",'NSE - Other Index Options'!$H:$H,"Weekly*"))</f>
        <v/>
      </c>
      <c r="C95" s="26">
        <f>IF(SUMIFS('BSE - SENSEX Index Options'!$M:$M,'BSE - SENSEX Index Options'!$D:$D,$A95,'BSE - SENSEX Index Options'!$B:$B,"Wednesday",'BSE - SENSEX Index Options'!$H:$H,"Weekly*")+SUMIFS('BSE - Other Index Options'!$M:$M,'BSE - Other Index Options'!$D:$D,$A95,'BSE - Other Index Options'!$B:$B,"Wednesday",'BSE - Other Index Options'!$H:$H,"Weekly*")=0,"",SUMIFS('BSE - SENSEX Index Options'!$M:$M,'BSE - SENSEX Index Options'!$D:$D,$A95,'BSE - SENSEX Index Options'!$B:$B,"Wednesday",'BSE - SENSEX Index Options'!$H:$H,"Weekly*")+SUMIFS('BSE - Other Index Options'!$M:$M,'BSE - Other Index Options'!$D:$D,$A95,'BSE - Other Index Options'!$B:$B,"Wednesday",'BSE - Other Index Options'!$H:$H,"Weekly*"))</f>
        <v/>
      </c>
      <c r="D95" s="27">
        <f>IF(SUM(B95:C95)=0,"",SUM(B95)/SUM(B95:C95))</f>
        <v/>
      </c>
      <c r="E95" s="27">
        <f>IF(SUM(B95:C95)=0,"",SUM(C95)/SUM(B95:C95))</f>
        <v/>
      </c>
    </row>
    <row r="96" hidden="1" outlineLevel="1">
      <c r="A96" s="24" t="n">
        <v>46722</v>
      </c>
      <c r="B96" s="26">
        <f>IF(SUMIFS('NSE - NIFTY Index Options'!$M:$M,'NSE - NIFTY Index Options'!$D:$D,$A96,'NSE - NIFTY Index Options'!$B:$B,"Wednesday",'NSE - NIFTY Index Options'!$H:$H,"Weekly*")+SUMIFS('NSE - Other Index Options'!$M:$M,'NSE - Other Index Options'!$D:$D,$A96,'NSE - Other Index Options'!$B:$B,"Wednesday",'NSE - Other Index Options'!$H:$H,"Weekly*")=0,"",SUMIFS('NSE - NIFTY Index Options'!$M:$M,'NSE - NIFTY Index Options'!$D:$D,$A96,'NSE - NIFTY Index Options'!$B:$B,"Wednesday",'NSE - NIFTY Index Options'!$H:$H,"Weekly*")+SUMIFS('NSE - Other Index Options'!$M:$M,'NSE - Other Index Options'!$D:$D,$A96,'NSE - Other Index Options'!$B:$B,"Wednesday",'NSE - Other Index Options'!$H:$H,"Weekly*"))</f>
        <v/>
      </c>
      <c r="C96" s="26">
        <f>IF(SUMIFS('BSE - SENSEX Index Options'!$M:$M,'BSE - SENSEX Index Options'!$D:$D,$A96,'BSE - SENSEX Index Options'!$B:$B,"Wednesday",'BSE - SENSEX Index Options'!$H:$H,"Weekly*")+SUMIFS('BSE - Other Index Options'!$M:$M,'BSE - Other Index Options'!$D:$D,$A96,'BSE - Other Index Options'!$B:$B,"Wednesday",'BSE - Other Index Options'!$H:$H,"Weekly*")=0,"",SUMIFS('BSE - SENSEX Index Options'!$M:$M,'BSE - SENSEX Index Options'!$D:$D,$A96,'BSE - SENSEX Index Options'!$B:$B,"Wednesday",'BSE - SENSEX Index Options'!$H:$H,"Weekly*")+SUMIFS('BSE - Other Index Options'!$M:$M,'BSE - Other Index Options'!$D:$D,$A96,'BSE - Other Index Options'!$B:$B,"Wednesday",'BSE - Other Index Options'!$H:$H,"Weekly*"))</f>
        <v/>
      </c>
      <c r="D96" s="27">
        <f>IF(SUM(B96:C96)=0,"",SUM(B96)/SUM(B96:C96))</f>
        <v/>
      </c>
      <c r="E96" s="27">
        <f>IF(SUM(B96:C96)=0,"",SUM(C96)/SUM(B96:C96))</f>
        <v/>
      </c>
    </row>
    <row r="97" collapsed="1">
      <c r="A97" s="28" t="inlineStr">
        <is>
          <t>Total</t>
        </is>
      </c>
      <c r="B97" s="30">
        <f>IF(SUM(B69:B96)=0,"",SUM(B69:B96))</f>
        <v/>
      </c>
      <c r="C97" s="30">
        <f>IF(SUM(C69:C96)=0,"",SUM(C69:C96))</f>
        <v/>
      </c>
      <c r="D97" s="31">
        <f>IF(SUM(B97:C97)=0,"",SUM(B97)/SUM(B97:C97))</f>
        <v/>
      </c>
      <c r="E97" s="31">
        <f>IF(SUM(B97:C97)=0,"",SUM(C97)/SUM(B97:C97))</f>
        <v/>
      </c>
    </row>
    <row r="99">
      <c r="A99" s="28" t="inlineStr">
        <is>
          <t>Thursday Trade Day</t>
        </is>
      </c>
    </row>
    <row r="100">
      <c r="A100" s="28" t="inlineStr">
        <is>
          <t>Month</t>
        </is>
      </c>
      <c r="B100" s="28" t="inlineStr">
        <is>
          <t>NSE Premium Turnover (INR Bn)</t>
        </is>
      </c>
      <c r="C100" s="28" t="inlineStr">
        <is>
          <t>BSE Premium Turnover (INR Bn)</t>
        </is>
      </c>
      <c r="D100" s="28" t="inlineStr">
        <is>
          <t>NSE Market Share</t>
        </is>
      </c>
      <c r="E100" s="28" t="inlineStr">
        <is>
          <t>BSE Market Share</t>
        </is>
      </c>
    </row>
    <row r="101">
      <c r="A101" s="24" t="n">
        <v>45901</v>
      </c>
      <c r="B101" s="26">
        <f>IF(SUMIFS('NSE - NIFTY Index Options'!$M:$M,'NSE - NIFTY Index Options'!$D:$D,$A101,'NSE - NIFTY Index Options'!$B:$B,"Thursday",'NSE - NIFTY Index Options'!$H:$H,"Weekly*")+SUMIFS('NSE - Other Index Options'!$M:$M,'NSE - Other Index Options'!$D:$D,$A101,'NSE - Other Index Options'!$B:$B,"Thursday",'NSE - Other Index Options'!$H:$H,"Weekly*")=0,"",SUMIFS('NSE - NIFTY Index Options'!$M:$M,'NSE - NIFTY Index Options'!$D:$D,$A101,'NSE - NIFTY Index Options'!$B:$B,"Thursday",'NSE - NIFTY Index Options'!$H:$H,"Weekly*")+SUMIFS('NSE - Other Index Options'!$M:$M,'NSE - Other Index Options'!$D:$D,$A101,'NSE - Other Index Options'!$B:$B,"Thursday",'NSE - Other Index Options'!$H:$H,"Weekly*"))</f>
        <v/>
      </c>
      <c r="C101" s="26">
        <f>IF(SUMIFS('BSE - SENSEX Index Options'!$M:$M,'BSE - SENSEX Index Options'!$D:$D,$A101,'BSE - SENSEX Index Options'!$B:$B,"Thursday",'BSE - SENSEX Index Options'!$H:$H,"Weekly*")+SUMIFS('BSE - Other Index Options'!$M:$M,'BSE - Other Index Options'!$D:$D,$A101,'BSE - Other Index Options'!$B:$B,"Thursday",'BSE - Other Index Options'!$H:$H,"Weekly*")=0,"",SUMIFS('BSE - SENSEX Index Options'!$M:$M,'BSE - SENSEX Index Options'!$D:$D,$A101,'BSE - SENSEX Index Options'!$B:$B,"Thursday",'BSE - SENSEX Index Options'!$H:$H,"Weekly*")+SUMIFS('BSE - Other Index Options'!$M:$M,'BSE - Other Index Options'!$D:$D,$A101,'BSE - Other Index Options'!$B:$B,"Thursday",'BSE - Other Index Options'!$H:$H,"Weekly*"))</f>
        <v/>
      </c>
      <c r="D101" s="27">
        <f>IF(SUM(B101:C101)=0,"",SUM(B101)/SUM(B101:C101))</f>
        <v/>
      </c>
      <c r="E101" s="27">
        <f>IF(SUM(B101:C101)=0,"",SUM(C101)/SUM(B101:C101))</f>
        <v/>
      </c>
    </row>
    <row r="102">
      <c r="A102" s="24" t="n">
        <v>45931</v>
      </c>
      <c r="B102" s="26">
        <f>IF(SUMIFS('NSE - NIFTY Index Options'!$M:$M,'NSE - NIFTY Index Options'!$D:$D,$A102,'NSE - NIFTY Index Options'!$B:$B,"Thursday",'NSE - NIFTY Index Options'!$H:$H,"Weekly*")+SUMIFS('NSE - Other Index Options'!$M:$M,'NSE - Other Index Options'!$D:$D,$A102,'NSE - Other Index Options'!$B:$B,"Thursday",'NSE - Other Index Options'!$H:$H,"Weekly*")=0,"",SUMIFS('NSE - NIFTY Index Options'!$M:$M,'NSE - NIFTY Index Options'!$D:$D,$A102,'NSE - NIFTY Index Options'!$B:$B,"Thursday",'NSE - NIFTY Index Options'!$H:$H,"Weekly*")+SUMIFS('NSE - Other Index Options'!$M:$M,'NSE - Other Index Options'!$D:$D,$A102,'NSE - Other Index Options'!$B:$B,"Thursday",'NSE - Other Index Options'!$H:$H,"Weekly*"))</f>
        <v/>
      </c>
      <c r="C102" s="26">
        <f>IF(SUMIFS('BSE - SENSEX Index Options'!$M:$M,'BSE - SENSEX Index Options'!$D:$D,$A102,'BSE - SENSEX Index Options'!$B:$B,"Thursday",'BSE - SENSEX Index Options'!$H:$H,"Weekly*")+SUMIFS('BSE - Other Index Options'!$M:$M,'BSE - Other Index Options'!$D:$D,$A102,'BSE - Other Index Options'!$B:$B,"Thursday",'BSE - Other Index Options'!$H:$H,"Weekly*")=0,"",SUMIFS('BSE - SENSEX Index Options'!$M:$M,'BSE - SENSEX Index Options'!$D:$D,$A102,'BSE - SENSEX Index Options'!$B:$B,"Thursday",'BSE - SENSEX Index Options'!$H:$H,"Weekly*")+SUMIFS('BSE - Other Index Options'!$M:$M,'BSE - Other Index Options'!$D:$D,$A102,'BSE - Other Index Options'!$B:$B,"Thursday",'BSE - Other Index Options'!$H:$H,"Weekly*"))</f>
        <v/>
      </c>
      <c r="D102" s="27">
        <f>IF(SUM(B102:C102)=0,"",SUM(B102)/SUM(B102:C102))</f>
        <v/>
      </c>
      <c r="E102" s="27">
        <f>IF(SUM(B102:C102)=0,"",SUM(C102)/SUM(B102:C102))</f>
        <v/>
      </c>
    </row>
    <row r="103">
      <c r="A103" s="24" t="n">
        <v>45962</v>
      </c>
      <c r="B103" s="26">
        <f>IF(SUMIFS('NSE - NIFTY Index Options'!$M:$M,'NSE - NIFTY Index Options'!$D:$D,$A103,'NSE - NIFTY Index Options'!$B:$B,"Thursday",'NSE - NIFTY Index Options'!$H:$H,"Weekly*")+SUMIFS('NSE - Other Index Options'!$M:$M,'NSE - Other Index Options'!$D:$D,$A103,'NSE - Other Index Options'!$B:$B,"Thursday",'NSE - Other Index Options'!$H:$H,"Weekly*")=0,"",SUMIFS('NSE - NIFTY Index Options'!$M:$M,'NSE - NIFTY Index Options'!$D:$D,$A103,'NSE - NIFTY Index Options'!$B:$B,"Thursday",'NSE - NIFTY Index Options'!$H:$H,"Weekly*")+SUMIFS('NSE - Other Index Options'!$M:$M,'NSE - Other Index Options'!$D:$D,$A103,'NSE - Other Index Options'!$B:$B,"Thursday",'NSE - Other Index Options'!$H:$H,"Weekly*"))</f>
        <v/>
      </c>
      <c r="C103" s="26">
        <f>IF(SUMIFS('BSE - SENSEX Index Options'!$M:$M,'BSE - SENSEX Index Options'!$D:$D,$A103,'BSE - SENSEX Index Options'!$B:$B,"Thursday",'BSE - SENSEX Index Options'!$H:$H,"Weekly*")+SUMIFS('BSE - Other Index Options'!$M:$M,'BSE - Other Index Options'!$D:$D,$A103,'BSE - Other Index Options'!$B:$B,"Thursday",'BSE - Other Index Options'!$H:$H,"Weekly*")=0,"",SUMIFS('BSE - SENSEX Index Options'!$M:$M,'BSE - SENSEX Index Options'!$D:$D,$A103,'BSE - SENSEX Index Options'!$B:$B,"Thursday",'BSE - SENSEX Index Options'!$H:$H,"Weekly*")+SUMIFS('BSE - Other Index Options'!$M:$M,'BSE - Other Index Options'!$D:$D,$A103,'BSE - Other Index Options'!$B:$B,"Thursday",'BSE - Other Index Options'!$H:$H,"Weekly*"))</f>
        <v/>
      </c>
      <c r="D103" s="27">
        <f>IF(SUM(B103:C103)=0,"",SUM(B103)/SUM(B103:C103))</f>
        <v/>
      </c>
      <c r="E103" s="27">
        <f>IF(SUM(B103:C103)=0,"",SUM(C103)/SUM(B103:C103))</f>
        <v/>
      </c>
    </row>
    <row r="104">
      <c r="A104" s="24" t="n">
        <v>45992</v>
      </c>
      <c r="B104" s="26">
        <f>IF(SUMIFS('NSE - NIFTY Index Options'!$M:$M,'NSE - NIFTY Index Options'!$D:$D,$A104,'NSE - NIFTY Index Options'!$B:$B,"Thursday",'NSE - NIFTY Index Options'!$H:$H,"Weekly*")+SUMIFS('NSE - Other Index Options'!$M:$M,'NSE - Other Index Options'!$D:$D,$A104,'NSE - Other Index Options'!$B:$B,"Thursday",'NSE - Other Index Options'!$H:$H,"Weekly*")=0,"",SUMIFS('NSE - NIFTY Index Options'!$M:$M,'NSE - NIFTY Index Options'!$D:$D,$A104,'NSE - NIFTY Index Options'!$B:$B,"Thursday",'NSE - NIFTY Index Options'!$H:$H,"Weekly*")+SUMIFS('NSE - Other Index Options'!$M:$M,'NSE - Other Index Options'!$D:$D,$A104,'NSE - Other Index Options'!$B:$B,"Thursday",'NSE - Other Index Options'!$H:$H,"Weekly*"))</f>
        <v/>
      </c>
      <c r="C104" s="26">
        <f>IF(SUMIFS('BSE - SENSEX Index Options'!$M:$M,'BSE - SENSEX Index Options'!$D:$D,$A104,'BSE - SENSEX Index Options'!$B:$B,"Thursday",'BSE - SENSEX Index Options'!$H:$H,"Weekly*")+SUMIFS('BSE - Other Index Options'!$M:$M,'BSE - Other Index Options'!$D:$D,$A104,'BSE - Other Index Options'!$B:$B,"Thursday",'BSE - Other Index Options'!$H:$H,"Weekly*")=0,"",SUMIFS('BSE - SENSEX Index Options'!$M:$M,'BSE - SENSEX Index Options'!$D:$D,$A104,'BSE - SENSEX Index Options'!$B:$B,"Thursday",'BSE - SENSEX Index Options'!$H:$H,"Weekly*")+SUMIFS('BSE - Other Index Options'!$M:$M,'BSE - Other Index Options'!$D:$D,$A104,'BSE - Other Index Options'!$B:$B,"Thursday",'BSE - Other Index Options'!$H:$H,"Weekly*"))</f>
        <v/>
      </c>
      <c r="D104" s="27">
        <f>IF(SUM(B104:C104)=0,"",SUM(B104)/SUM(B104:C104))</f>
        <v/>
      </c>
      <c r="E104" s="27">
        <f>IF(SUM(B104:C104)=0,"",SUM(C104)/SUM(B104:C104))</f>
        <v/>
      </c>
    </row>
    <row r="105">
      <c r="A105" s="24" t="n">
        <v>46023</v>
      </c>
      <c r="B105" s="26">
        <f>IF(SUMIFS('NSE - NIFTY Index Options'!$M:$M,'NSE - NIFTY Index Options'!$D:$D,$A105,'NSE - NIFTY Index Options'!$B:$B,"Thursday",'NSE - NIFTY Index Options'!$H:$H,"Weekly*")+SUMIFS('NSE - Other Index Options'!$M:$M,'NSE - Other Index Options'!$D:$D,$A105,'NSE - Other Index Options'!$B:$B,"Thursday",'NSE - Other Index Options'!$H:$H,"Weekly*")=0,"",SUMIFS('NSE - NIFTY Index Options'!$M:$M,'NSE - NIFTY Index Options'!$D:$D,$A105,'NSE - NIFTY Index Options'!$B:$B,"Thursday",'NSE - NIFTY Index Options'!$H:$H,"Weekly*")+SUMIFS('NSE - Other Index Options'!$M:$M,'NSE - Other Index Options'!$D:$D,$A105,'NSE - Other Index Options'!$B:$B,"Thursday",'NSE - Other Index Options'!$H:$H,"Weekly*"))</f>
        <v/>
      </c>
      <c r="C105" s="26">
        <f>IF(SUMIFS('BSE - SENSEX Index Options'!$M:$M,'BSE - SENSEX Index Options'!$D:$D,$A105,'BSE - SENSEX Index Options'!$B:$B,"Thursday",'BSE - SENSEX Index Options'!$H:$H,"Weekly*")+SUMIFS('BSE - Other Index Options'!$M:$M,'BSE - Other Index Options'!$D:$D,$A105,'BSE - Other Index Options'!$B:$B,"Thursday",'BSE - Other Index Options'!$H:$H,"Weekly*")=0,"",SUMIFS('BSE - SENSEX Index Options'!$M:$M,'BSE - SENSEX Index Options'!$D:$D,$A105,'BSE - SENSEX Index Options'!$B:$B,"Thursday",'BSE - SENSEX Index Options'!$H:$H,"Weekly*")+SUMIFS('BSE - Other Index Options'!$M:$M,'BSE - Other Index Options'!$D:$D,$A105,'BSE - Other Index Options'!$B:$B,"Thursday",'BSE - Other Index Options'!$H:$H,"Weekly*"))</f>
        <v/>
      </c>
      <c r="D105" s="27">
        <f>IF(SUM(B105:C105)=0,"",SUM(B105)/SUM(B105:C105))</f>
        <v/>
      </c>
      <c r="E105" s="27">
        <f>IF(SUM(B105:C105)=0,"",SUM(C105)/SUM(B105:C105))</f>
        <v/>
      </c>
    </row>
    <row r="106">
      <c r="A106" s="24" t="n">
        <v>46054</v>
      </c>
      <c r="B106" s="26">
        <f>IF(SUMIFS('NSE - NIFTY Index Options'!$M:$M,'NSE - NIFTY Index Options'!$D:$D,$A106,'NSE - NIFTY Index Options'!$B:$B,"Thursday",'NSE - NIFTY Index Options'!$H:$H,"Weekly*")+SUMIFS('NSE - Other Index Options'!$M:$M,'NSE - Other Index Options'!$D:$D,$A106,'NSE - Other Index Options'!$B:$B,"Thursday",'NSE - Other Index Options'!$H:$H,"Weekly*")=0,"",SUMIFS('NSE - NIFTY Index Options'!$M:$M,'NSE - NIFTY Index Options'!$D:$D,$A106,'NSE - NIFTY Index Options'!$B:$B,"Thursday",'NSE - NIFTY Index Options'!$H:$H,"Weekly*")+SUMIFS('NSE - Other Index Options'!$M:$M,'NSE - Other Index Options'!$D:$D,$A106,'NSE - Other Index Options'!$B:$B,"Thursday",'NSE - Other Index Options'!$H:$H,"Weekly*"))</f>
        <v/>
      </c>
      <c r="C106" s="26">
        <f>IF(SUMIFS('BSE - SENSEX Index Options'!$M:$M,'BSE - SENSEX Index Options'!$D:$D,$A106,'BSE - SENSEX Index Options'!$B:$B,"Thursday",'BSE - SENSEX Index Options'!$H:$H,"Weekly*")+SUMIFS('BSE - Other Index Options'!$M:$M,'BSE - Other Index Options'!$D:$D,$A106,'BSE - Other Index Options'!$B:$B,"Thursday",'BSE - Other Index Options'!$H:$H,"Weekly*")=0,"",SUMIFS('BSE - SENSEX Index Options'!$M:$M,'BSE - SENSEX Index Options'!$D:$D,$A106,'BSE - SENSEX Index Options'!$B:$B,"Thursday",'BSE - SENSEX Index Options'!$H:$H,"Weekly*")+SUMIFS('BSE - Other Index Options'!$M:$M,'BSE - Other Index Options'!$D:$D,$A106,'BSE - Other Index Options'!$B:$B,"Thursday",'BSE - Other Index Options'!$H:$H,"Weekly*"))</f>
        <v/>
      </c>
      <c r="D106" s="27">
        <f>IF(SUM(B106:C106)=0,"",SUM(B106)/SUM(B106:C106))</f>
        <v/>
      </c>
      <c r="E106" s="27">
        <f>IF(SUM(B106:C106)=0,"",SUM(C106)/SUM(B106:C106))</f>
        <v/>
      </c>
    </row>
    <row r="107">
      <c r="A107" s="24" t="n">
        <v>46082</v>
      </c>
      <c r="B107" s="26">
        <f>IF(SUMIFS('NSE - NIFTY Index Options'!$M:$M,'NSE - NIFTY Index Options'!$D:$D,$A107,'NSE - NIFTY Index Options'!$B:$B,"Thursday",'NSE - NIFTY Index Options'!$H:$H,"Weekly*")+SUMIFS('NSE - Other Index Options'!$M:$M,'NSE - Other Index Options'!$D:$D,$A107,'NSE - Other Index Options'!$B:$B,"Thursday",'NSE - Other Index Options'!$H:$H,"Weekly*")=0,"",SUMIFS('NSE - NIFTY Index Options'!$M:$M,'NSE - NIFTY Index Options'!$D:$D,$A107,'NSE - NIFTY Index Options'!$B:$B,"Thursday",'NSE - NIFTY Index Options'!$H:$H,"Weekly*")+SUMIFS('NSE - Other Index Options'!$M:$M,'NSE - Other Index Options'!$D:$D,$A107,'NSE - Other Index Options'!$B:$B,"Thursday",'NSE - Other Index Options'!$H:$H,"Weekly*"))</f>
        <v/>
      </c>
      <c r="C107" s="26">
        <f>IF(SUMIFS('BSE - SENSEX Index Options'!$M:$M,'BSE - SENSEX Index Options'!$D:$D,$A107,'BSE - SENSEX Index Options'!$B:$B,"Thursday",'BSE - SENSEX Index Options'!$H:$H,"Weekly*")+SUMIFS('BSE - Other Index Options'!$M:$M,'BSE - Other Index Options'!$D:$D,$A107,'BSE - Other Index Options'!$B:$B,"Thursday",'BSE - Other Index Options'!$H:$H,"Weekly*")=0,"",SUMIFS('BSE - SENSEX Index Options'!$M:$M,'BSE - SENSEX Index Options'!$D:$D,$A107,'BSE - SENSEX Index Options'!$B:$B,"Thursday",'BSE - SENSEX Index Options'!$H:$H,"Weekly*")+SUMIFS('BSE - Other Index Options'!$M:$M,'BSE - Other Index Options'!$D:$D,$A107,'BSE - Other Index Options'!$B:$B,"Thursday",'BSE - Other Index Options'!$H:$H,"Weekly*"))</f>
        <v/>
      </c>
      <c r="D107" s="27">
        <f>IF(SUM(B107:C107)=0,"",SUM(B107)/SUM(B107:C107))</f>
        <v/>
      </c>
      <c r="E107" s="27">
        <f>IF(SUM(B107:C107)=0,"",SUM(C107)/SUM(B107:C107))</f>
        <v/>
      </c>
    </row>
    <row r="108">
      <c r="A108" s="24" t="n">
        <v>46113</v>
      </c>
      <c r="B108" s="26">
        <f>IF(SUMIFS('NSE - NIFTY Index Options'!$M:$M,'NSE - NIFTY Index Options'!$D:$D,$A108,'NSE - NIFTY Index Options'!$B:$B,"Thursday",'NSE - NIFTY Index Options'!$H:$H,"Weekly*")+SUMIFS('NSE - Other Index Options'!$M:$M,'NSE - Other Index Options'!$D:$D,$A108,'NSE - Other Index Options'!$B:$B,"Thursday",'NSE - Other Index Options'!$H:$H,"Weekly*")=0,"",SUMIFS('NSE - NIFTY Index Options'!$M:$M,'NSE - NIFTY Index Options'!$D:$D,$A108,'NSE - NIFTY Index Options'!$B:$B,"Thursday",'NSE - NIFTY Index Options'!$H:$H,"Weekly*")+SUMIFS('NSE - Other Index Options'!$M:$M,'NSE - Other Index Options'!$D:$D,$A108,'NSE - Other Index Options'!$B:$B,"Thursday",'NSE - Other Index Options'!$H:$H,"Weekly*"))</f>
        <v/>
      </c>
      <c r="C108" s="26">
        <f>IF(SUMIFS('BSE - SENSEX Index Options'!$M:$M,'BSE - SENSEX Index Options'!$D:$D,$A108,'BSE - SENSEX Index Options'!$B:$B,"Thursday",'BSE - SENSEX Index Options'!$H:$H,"Weekly*")+SUMIFS('BSE - Other Index Options'!$M:$M,'BSE - Other Index Options'!$D:$D,$A108,'BSE - Other Index Options'!$B:$B,"Thursday",'BSE - Other Index Options'!$H:$H,"Weekly*")=0,"",SUMIFS('BSE - SENSEX Index Options'!$M:$M,'BSE - SENSEX Index Options'!$D:$D,$A108,'BSE - SENSEX Index Options'!$B:$B,"Thursday",'BSE - SENSEX Index Options'!$H:$H,"Weekly*")+SUMIFS('BSE - Other Index Options'!$M:$M,'BSE - Other Index Options'!$D:$D,$A108,'BSE - Other Index Options'!$B:$B,"Thursday",'BSE - Other Index Options'!$H:$H,"Weekly*"))</f>
        <v/>
      </c>
      <c r="D108" s="27">
        <f>IF(SUM(B108:C108)=0,"",SUM(B108)/SUM(B108:C108))</f>
        <v/>
      </c>
      <c r="E108" s="27">
        <f>IF(SUM(B108:C108)=0,"",SUM(C108)/SUM(B108:C108))</f>
        <v/>
      </c>
    </row>
    <row r="109">
      <c r="A109" s="24" t="n">
        <v>46143</v>
      </c>
      <c r="B109" s="26">
        <f>IF(SUMIFS('NSE - NIFTY Index Options'!$M:$M,'NSE - NIFTY Index Options'!$D:$D,$A109,'NSE - NIFTY Index Options'!$B:$B,"Thursday",'NSE - NIFTY Index Options'!$H:$H,"Weekly*")+SUMIFS('NSE - Other Index Options'!$M:$M,'NSE - Other Index Options'!$D:$D,$A109,'NSE - Other Index Options'!$B:$B,"Thursday",'NSE - Other Index Options'!$H:$H,"Weekly*")=0,"",SUMIFS('NSE - NIFTY Index Options'!$M:$M,'NSE - NIFTY Index Options'!$D:$D,$A109,'NSE - NIFTY Index Options'!$B:$B,"Thursday",'NSE - NIFTY Index Options'!$H:$H,"Weekly*")+SUMIFS('NSE - Other Index Options'!$M:$M,'NSE - Other Index Options'!$D:$D,$A109,'NSE - Other Index Options'!$B:$B,"Thursday",'NSE - Other Index Options'!$H:$H,"Weekly*"))</f>
        <v/>
      </c>
      <c r="C109" s="26">
        <f>IF(SUMIFS('BSE - SENSEX Index Options'!$M:$M,'BSE - SENSEX Index Options'!$D:$D,$A109,'BSE - SENSEX Index Options'!$B:$B,"Thursday",'BSE - SENSEX Index Options'!$H:$H,"Weekly*")+SUMIFS('BSE - Other Index Options'!$M:$M,'BSE - Other Index Options'!$D:$D,$A109,'BSE - Other Index Options'!$B:$B,"Thursday",'BSE - Other Index Options'!$H:$H,"Weekly*")=0,"",SUMIFS('BSE - SENSEX Index Options'!$M:$M,'BSE - SENSEX Index Options'!$D:$D,$A109,'BSE - SENSEX Index Options'!$B:$B,"Thursday",'BSE - SENSEX Index Options'!$H:$H,"Weekly*")+SUMIFS('BSE - Other Index Options'!$M:$M,'BSE - Other Index Options'!$D:$D,$A109,'BSE - Other Index Options'!$B:$B,"Thursday",'BSE - Other Index Options'!$H:$H,"Weekly*"))</f>
        <v/>
      </c>
      <c r="D109" s="27">
        <f>IF(SUM(B109:C109)=0,"",SUM(B109)/SUM(B109:C109))</f>
        <v/>
      </c>
      <c r="E109" s="27">
        <f>IF(SUM(B109:C109)=0,"",SUM(C109)/SUM(B109:C109))</f>
        <v/>
      </c>
    </row>
    <row r="110">
      <c r="A110" s="24" t="n">
        <v>46174</v>
      </c>
      <c r="B110" s="26">
        <f>IF(SUMIFS('NSE - NIFTY Index Options'!$M:$M,'NSE - NIFTY Index Options'!$D:$D,$A110,'NSE - NIFTY Index Options'!$B:$B,"Thursday",'NSE - NIFTY Index Options'!$H:$H,"Weekly*")+SUMIFS('NSE - Other Index Options'!$M:$M,'NSE - Other Index Options'!$D:$D,$A110,'NSE - Other Index Options'!$B:$B,"Thursday",'NSE - Other Index Options'!$H:$H,"Weekly*")=0,"",SUMIFS('NSE - NIFTY Index Options'!$M:$M,'NSE - NIFTY Index Options'!$D:$D,$A110,'NSE - NIFTY Index Options'!$B:$B,"Thursday",'NSE - NIFTY Index Options'!$H:$H,"Weekly*")+SUMIFS('NSE - Other Index Options'!$M:$M,'NSE - Other Index Options'!$D:$D,$A110,'NSE - Other Index Options'!$B:$B,"Thursday",'NSE - Other Index Options'!$H:$H,"Weekly*"))</f>
        <v/>
      </c>
      <c r="C110" s="26">
        <f>IF(SUMIFS('BSE - SENSEX Index Options'!$M:$M,'BSE - SENSEX Index Options'!$D:$D,$A110,'BSE - SENSEX Index Options'!$B:$B,"Thursday",'BSE - SENSEX Index Options'!$H:$H,"Weekly*")+SUMIFS('BSE - Other Index Options'!$M:$M,'BSE - Other Index Options'!$D:$D,$A110,'BSE - Other Index Options'!$B:$B,"Thursday",'BSE - Other Index Options'!$H:$H,"Weekly*")=0,"",SUMIFS('BSE - SENSEX Index Options'!$M:$M,'BSE - SENSEX Index Options'!$D:$D,$A110,'BSE - SENSEX Index Options'!$B:$B,"Thursday",'BSE - SENSEX Index Options'!$H:$H,"Weekly*")+SUMIFS('BSE - Other Index Options'!$M:$M,'BSE - Other Index Options'!$D:$D,$A110,'BSE - Other Index Options'!$B:$B,"Thursday",'BSE - Other Index Options'!$H:$H,"Weekly*"))</f>
        <v/>
      </c>
      <c r="D110" s="27">
        <f>IF(SUM(B110:C110)=0,"",SUM(B110)/SUM(B110:C110))</f>
        <v/>
      </c>
      <c r="E110" s="27">
        <f>IF(SUM(B110:C110)=0,"",SUM(C110)/SUM(B110:C110))</f>
        <v/>
      </c>
    </row>
    <row r="111">
      <c r="A111" s="24" t="n">
        <v>46204</v>
      </c>
      <c r="B111" s="26">
        <f>IF(SUMIFS('NSE - NIFTY Index Options'!$M:$M,'NSE - NIFTY Index Options'!$D:$D,$A111,'NSE - NIFTY Index Options'!$B:$B,"Thursday",'NSE - NIFTY Index Options'!$H:$H,"Weekly*")+SUMIFS('NSE - Other Index Options'!$M:$M,'NSE - Other Index Options'!$D:$D,$A111,'NSE - Other Index Options'!$B:$B,"Thursday",'NSE - Other Index Options'!$H:$H,"Weekly*")=0,"",SUMIFS('NSE - NIFTY Index Options'!$M:$M,'NSE - NIFTY Index Options'!$D:$D,$A111,'NSE - NIFTY Index Options'!$B:$B,"Thursday",'NSE - NIFTY Index Options'!$H:$H,"Weekly*")+SUMIFS('NSE - Other Index Options'!$M:$M,'NSE - Other Index Options'!$D:$D,$A111,'NSE - Other Index Options'!$B:$B,"Thursday",'NSE - Other Index Options'!$H:$H,"Weekly*"))</f>
        <v/>
      </c>
      <c r="C111" s="26">
        <f>IF(SUMIFS('BSE - SENSEX Index Options'!$M:$M,'BSE - SENSEX Index Options'!$D:$D,$A111,'BSE - SENSEX Index Options'!$B:$B,"Thursday",'BSE - SENSEX Index Options'!$H:$H,"Weekly*")+SUMIFS('BSE - Other Index Options'!$M:$M,'BSE - Other Index Options'!$D:$D,$A111,'BSE - Other Index Options'!$B:$B,"Thursday",'BSE - Other Index Options'!$H:$H,"Weekly*")=0,"",SUMIFS('BSE - SENSEX Index Options'!$M:$M,'BSE - SENSEX Index Options'!$D:$D,$A111,'BSE - SENSEX Index Options'!$B:$B,"Thursday",'BSE - SENSEX Index Options'!$H:$H,"Weekly*")+SUMIFS('BSE - Other Index Options'!$M:$M,'BSE - Other Index Options'!$D:$D,$A111,'BSE - Other Index Options'!$B:$B,"Thursday",'BSE - Other Index Options'!$H:$H,"Weekly*"))</f>
        <v/>
      </c>
      <c r="D111" s="27">
        <f>IF(SUM(B111:C111)=0,"",SUM(B111)/SUM(B111:C111))</f>
        <v/>
      </c>
      <c r="E111" s="27">
        <f>IF(SUM(B111:C111)=0,"",SUM(C111)/SUM(B111:C111))</f>
        <v/>
      </c>
    </row>
    <row r="112">
      <c r="A112" s="24" t="n">
        <v>46235</v>
      </c>
      <c r="B112" s="26">
        <f>IF(SUMIFS('NSE - NIFTY Index Options'!$M:$M,'NSE - NIFTY Index Options'!$D:$D,$A112,'NSE - NIFTY Index Options'!$B:$B,"Thursday",'NSE - NIFTY Index Options'!$H:$H,"Weekly*")+SUMIFS('NSE - Other Index Options'!$M:$M,'NSE - Other Index Options'!$D:$D,$A112,'NSE - Other Index Options'!$B:$B,"Thursday",'NSE - Other Index Options'!$H:$H,"Weekly*")=0,"",SUMIFS('NSE - NIFTY Index Options'!$M:$M,'NSE - NIFTY Index Options'!$D:$D,$A112,'NSE - NIFTY Index Options'!$B:$B,"Thursday",'NSE - NIFTY Index Options'!$H:$H,"Weekly*")+SUMIFS('NSE - Other Index Options'!$M:$M,'NSE - Other Index Options'!$D:$D,$A112,'NSE - Other Index Options'!$B:$B,"Thursday",'NSE - Other Index Options'!$H:$H,"Weekly*"))</f>
        <v/>
      </c>
      <c r="C112" s="26">
        <f>IF(SUMIFS('BSE - SENSEX Index Options'!$M:$M,'BSE - SENSEX Index Options'!$D:$D,$A112,'BSE - SENSEX Index Options'!$B:$B,"Thursday",'BSE - SENSEX Index Options'!$H:$H,"Weekly*")+SUMIFS('BSE - Other Index Options'!$M:$M,'BSE - Other Index Options'!$D:$D,$A112,'BSE - Other Index Options'!$B:$B,"Thursday",'BSE - Other Index Options'!$H:$H,"Weekly*")=0,"",SUMIFS('BSE - SENSEX Index Options'!$M:$M,'BSE - SENSEX Index Options'!$D:$D,$A112,'BSE - SENSEX Index Options'!$B:$B,"Thursday",'BSE - SENSEX Index Options'!$H:$H,"Weekly*")+SUMIFS('BSE - Other Index Options'!$M:$M,'BSE - Other Index Options'!$D:$D,$A112,'BSE - Other Index Options'!$B:$B,"Thursday",'BSE - Other Index Options'!$H:$H,"Weekly*"))</f>
        <v/>
      </c>
      <c r="D112" s="27">
        <f>IF(SUM(B112:C112)=0,"",SUM(B112)/SUM(B112:C112))</f>
        <v/>
      </c>
      <c r="E112" s="27">
        <f>IF(SUM(B112:C112)=0,"",SUM(C112)/SUM(B112:C112))</f>
        <v/>
      </c>
    </row>
    <row r="113" hidden="1" outlineLevel="1">
      <c r="A113" s="24" t="n">
        <v>46266</v>
      </c>
      <c r="B113" s="26">
        <f>IF(SUMIFS('NSE - NIFTY Index Options'!$M:$M,'NSE - NIFTY Index Options'!$D:$D,$A113,'NSE - NIFTY Index Options'!$B:$B,"Thursday",'NSE - NIFTY Index Options'!$H:$H,"Weekly*")+SUMIFS('NSE - Other Index Options'!$M:$M,'NSE - Other Index Options'!$D:$D,$A113,'NSE - Other Index Options'!$B:$B,"Thursday",'NSE - Other Index Options'!$H:$H,"Weekly*")=0,"",SUMIFS('NSE - NIFTY Index Options'!$M:$M,'NSE - NIFTY Index Options'!$D:$D,$A113,'NSE - NIFTY Index Options'!$B:$B,"Thursday",'NSE - NIFTY Index Options'!$H:$H,"Weekly*")+SUMIFS('NSE - Other Index Options'!$M:$M,'NSE - Other Index Options'!$D:$D,$A113,'NSE - Other Index Options'!$B:$B,"Thursday",'NSE - Other Index Options'!$H:$H,"Weekly*"))</f>
        <v/>
      </c>
      <c r="C113" s="26">
        <f>IF(SUMIFS('BSE - SENSEX Index Options'!$M:$M,'BSE - SENSEX Index Options'!$D:$D,$A113,'BSE - SENSEX Index Options'!$B:$B,"Thursday",'BSE - SENSEX Index Options'!$H:$H,"Weekly*")+SUMIFS('BSE - Other Index Options'!$M:$M,'BSE - Other Index Options'!$D:$D,$A113,'BSE - Other Index Options'!$B:$B,"Thursday",'BSE - Other Index Options'!$H:$H,"Weekly*")=0,"",SUMIFS('BSE - SENSEX Index Options'!$M:$M,'BSE - SENSEX Index Options'!$D:$D,$A113,'BSE - SENSEX Index Options'!$B:$B,"Thursday",'BSE - SENSEX Index Options'!$H:$H,"Weekly*")+SUMIFS('BSE - Other Index Options'!$M:$M,'BSE - Other Index Options'!$D:$D,$A113,'BSE - Other Index Options'!$B:$B,"Thursday",'BSE - Other Index Options'!$H:$H,"Weekly*"))</f>
        <v/>
      </c>
      <c r="D113" s="27">
        <f>IF(SUM(B113:C113)=0,"",SUM(B113)/SUM(B113:C113))</f>
        <v/>
      </c>
      <c r="E113" s="27">
        <f>IF(SUM(B113:C113)=0,"",SUM(C113)/SUM(B113:C113))</f>
        <v/>
      </c>
    </row>
    <row r="114" hidden="1" outlineLevel="1">
      <c r="A114" s="24" t="n">
        <v>46296</v>
      </c>
      <c r="B114" s="26">
        <f>IF(SUMIFS('NSE - NIFTY Index Options'!$M:$M,'NSE - NIFTY Index Options'!$D:$D,$A114,'NSE - NIFTY Index Options'!$B:$B,"Thursday",'NSE - NIFTY Index Options'!$H:$H,"Weekly*")+SUMIFS('NSE - Other Index Options'!$M:$M,'NSE - Other Index Options'!$D:$D,$A114,'NSE - Other Index Options'!$B:$B,"Thursday",'NSE - Other Index Options'!$H:$H,"Weekly*")=0,"",SUMIFS('NSE - NIFTY Index Options'!$M:$M,'NSE - NIFTY Index Options'!$D:$D,$A114,'NSE - NIFTY Index Options'!$B:$B,"Thursday",'NSE - NIFTY Index Options'!$H:$H,"Weekly*")+SUMIFS('NSE - Other Index Options'!$M:$M,'NSE - Other Index Options'!$D:$D,$A114,'NSE - Other Index Options'!$B:$B,"Thursday",'NSE - Other Index Options'!$H:$H,"Weekly*"))</f>
        <v/>
      </c>
      <c r="C114" s="26">
        <f>IF(SUMIFS('BSE - SENSEX Index Options'!$M:$M,'BSE - SENSEX Index Options'!$D:$D,$A114,'BSE - SENSEX Index Options'!$B:$B,"Thursday",'BSE - SENSEX Index Options'!$H:$H,"Weekly*")+SUMIFS('BSE - Other Index Options'!$M:$M,'BSE - Other Index Options'!$D:$D,$A114,'BSE - Other Index Options'!$B:$B,"Thursday",'BSE - Other Index Options'!$H:$H,"Weekly*")=0,"",SUMIFS('BSE - SENSEX Index Options'!$M:$M,'BSE - SENSEX Index Options'!$D:$D,$A114,'BSE - SENSEX Index Options'!$B:$B,"Thursday",'BSE - SENSEX Index Options'!$H:$H,"Weekly*")+SUMIFS('BSE - Other Index Options'!$M:$M,'BSE - Other Index Options'!$D:$D,$A114,'BSE - Other Index Options'!$B:$B,"Thursday",'BSE - Other Index Options'!$H:$H,"Weekly*"))</f>
        <v/>
      </c>
      <c r="D114" s="27">
        <f>IF(SUM(B114:C114)=0,"",SUM(B114)/SUM(B114:C114))</f>
        <v/>
      </c>
      <c r="E114" s="27">
        <f>IF(SUM(B114:C114)=0,"",SUM(C114)/SUM(B114:C114))</f>
        <v/>
      </c>
    </row>
    <row r="115" hidden="1" outlineLevel="1">
      <c r="A115" s="24" t="n">
        <v>46327</v>
      </c>
      <c r="B115" s="26">
        <f>IF(SUMIFS('NSE - NIFTY Index Options'!$M:$M,'NSE - NIFTY Index Options'!$D:$D,$A115,'NSE - NIFTY Index Options'!$B:$B,"Thursday",'NSE - NIFTY Index Options'!$H:$H,"Weekly*")+SUMIFS('NSE - Other Index Options'!$M:$M,'NSE - Other Index Options'!$D:$D,$A115,'NSE - Other Index Options'!$B:$B,"Thursday",'NSE - Other Index Options'!$H:$H,"Weekly*")=0,"",SUMIFS('NSE - NIFTY Index Options'!$M:$M,'NSE - NIFTY Index Options'!$D:$D,$A115,'NSE - NIFTY Index Options'!$B:$B,"Thursday",'NSE - NIFTY Index Options'!$H:$H,"Weekly*")+SUMIFS('NSE - Other Index Options'!$M:$M,'NSE - Other Index Options'!$D:$D,$A115,'NSE - Other Index Options'!$B:$B,"Thursday",'NSE - Other Index Options'!$H:$H,"Weekly*"))</f>
        <v/>
      </c>
      <c r="C115" s="26">
        <f>IF(SUMIFS('BSE - SENSEX Index Options'!$M:$M,'BSE - SENSEX Index Options'!$D:$D,$A115,'BSE - SENSEX Index Options'!$B:$B,"Thursday",'BSE - SENSEX Index Options'!$H:$H,"Weekly*")+SUMIFS('BSE - Other Index Options'!$M:$M,'BSE - Other Index Options'!$D:$D,$A115,'BSE - Other Index Options'!$B:$B,"Thursday",'BSE - Other Index Options'!$H:$H,"Weekly*")=0,"",SUMIFS('BSE - SENSEX Index Options'!$M:$M,'BSE - SENSEX Index Options'!$D:$D,$A115,'BSE - SENSEX Index Options'!$B:$B,"Thursday",'BSE - SENSEX Index Options'!$H:$H,"Weekly*")+SUMIFS('BSE - Other Index Options'!$M:$M,'BSE - Other Index Options'!$D:$D,$A115,'BSE - Other Index Options'!$B:$B,"Thursday",'BSE - Other Index Options'!$H:$H,"Weekly*"))</f>
        <v/>
      </c>
      <c r="D115" s="27">
        <f>IF(SUM(B115:C115)=0,"",SUM(B115)/SUM(B115:C115))</f>
        <v/>
      </c>
      <c r="E115" s="27">
        <f>IF(SUM(B115:C115)=0,"",SUM(C115)/SUM(B115:C115))</f>
        <v/>
      </c>
    </row>
    <row r="116" hidden="1" outlineLevel="1">
      <c r="A116" s="24" t="n">
        <v>46357</v>
      </c>
      <c r="B116" s="26">
        <f>IF(SUMIFS('NSE - NIFTY Index Options'!$M:$M,'NSE - NIFTY Index Options'!$D:$D,$A116,'NSE - NIFTY Index Options'!$B:$B,"Thursday",'NSE - NIFTY Index Options'!$H:$H,"Weekly*")+SUMIFS('NSE - Other Index Options'!$M:$M,'NSE - Other Index Options'!$D:$D,$A116,'NSE - Other Index Options'!$B:$B,"Thursday",'NSE - Other Index Options'!$H:$H,"Weekly*")=0,"",SUMIFS('NSE - NIFTY Index Options'!$M:$M,'NSE - NIFTY Index Options'!$D:$D,$A116,'NSE - NIFTY Index Options'!$B:$B,"Thursday",'NSE - NIFTY Index Options'!$H:$H,"Weekly*")+SUMIFS('NSE - Other Index Options'!$M:$M,'NSE - Other Index Options'!$D:$D,$A116,'NSE - Other Index Options'!$B:$B,"Thursday",'NSE - Other Index Options'!$H:$H,"Weekly*"))</f>
        <v/>
      </c>
      <c r="C116" s="26">
        <f>IF(SUMIFS('BSE - SENSEX Index Options'!$M:$M,'BSE - SENSEX Index Options'!$D:$D,$A116,'BSE - SENSEX Index Options'!$B:$B,"Thursday",'BSE - SENSEX Index Options'!$H:$H,"Weekly*")+SUMIFS('BSE - Other Index Options'!$M:$M,'BSE - Other Index Options'!$D:$D,$A116,'BSE - Other Index Options'!$B:$B,"Thursday",'BSE - Other Index Options'!$H:$H,"Weekly*")=0,"",SUMIFS('BSE - SENSEX Index Options'!$M:$M,'BSE - SENSEX Index Options'!$D:$D,$A116,'BSE - SENSEX Index Options'!$B:$B,"Thursday",'BSE - SENSEX Index Options'!$H:$H,"Weekly*")+SUMIFS('BSE - Other Index Options'!$M:$M,'BSE - Other Index Options'!$D:$D,$A116,'BSE - Other Index Options'!$B:$B,"Thursday",'BSE - Other Index Options'!$H:$H,"Weekly*"))</f>
        <v/>
      </c>
      <c r="D116" s="27">
        <f>IF(SUM(B116:C116)=0,"",SUM(B116)/SUM(B116:C116))</f>
        <v/>
      </c>
      <c r="E116" s="27">
        <f>IF(SUM(B116:C116)=0,"",SUM(C116)/SUM(B116:C116))</f>
        <v/>
      </c>
    </row>
    <row r="117" hidden="1" outlineLevel="1">
      <c r="A117" s="24" t="n">
        <v>46388</v>
      </c>
      <c r="B117" s="26">
        <f>IF(SUMIFS('NSE - NIFTY Index Options'!$M:$M,'NSE - NIFTY Index Options'!$D:$D,$A117,'NSE - NIFTY Index Options'!$B:$B,"Thursday",'NSE - NIFTY Index Options'!$H:$H,"Weekly*")+SUMIFS('NSE - Other Index Options'!$M:$M,'NSE - Other Index Options'!$D:$D,$A117,'NSE - Other Index Options'!$B:$B,"Thursday",'NSE - Other Index Options'!$H:$H,"Weekly*")=0,"",SUMIFS('NSE - NIFTY Index Options'!$M:$M,'NSE - NIFTY Index Options'!$D:$D,$A117,'NSE - NIFTY Index Options'!$B:$B,"Thursday",'NSE - NIFTY Index Options'!$H:$H,"Weekly*")+SUMIFS('NSE - Other Index Options'!$M:$M,'NSE - Other Index Options'!$D:$D,$A117,'NSE - Other Index Options'!$B:$B,"Thursday",'NSE - Other Index Options'!$H:$H,"Weekly*"))</f>
        <v/>
      </c>
      <c r="C117" s="26">
        <f>IF(SUMIFS('BSE - SENSEX Index Options'!$M:$M,'BSE - SENSEX Index Options'!$D:$D,$A117,'BSE - SENSEX Index Options'!$B:$B,"Thursday",'BSE - SENSEX Index Options'!$H:$H,"Weekly*")+SUMIFS('BSE - Other Index Options'!$M:$M,'BSE - Other Index Options'!$D:$D,$A117,'BSE - Other Index Options'!$B:$B,"Thursday",'BSE - Other Index Options'!$H:$H,"Weekly*")=0,"",SUMIFS('BSE - SENSEX Index Options'!$M:$M,'BSE - SENSEX Index Options'!$D:$D,$A117,'BSE - SENSEX Index Options'!$B:$B,"Thursday",'BSE - SENSEX Index Options'!$H:$H,"Weekly*")+SUMIFS('BSE - Other Index Options'!$M:$M,'BSE - Other Index Options'!$D:$D,$A117,'BSE - Other Index Options'!$B:$B,"Thursday",'BSE - Other Index Options'!$H:$H,"Weekly*"))</f>
        <v/>
      </c>
      <c r="D117" s="27">
        <f>IF(SUM(B117:C117)=0,"",SUM(B117)/SUM(B117:C117))</f>
        <v/>
      </c>
      <c r="E117" s="27">
        <f>IF(SUM(B117:C117)=0,"",SUM(C117)/SUM(B117:C117))</f>
        <v/>
      </c>
    </row>
    <row r="118" hidden="1" outlineLevel="1">
      <c r="A118" s="24" t="n">
        <v>46419</v>
      </c>
      <c r="B118" s="26">
        <f>IF(SUMIFS('NSE - NIFTY Index Options'!$M:$M,'NSE - NIFTY Index Options'!$D:$D,$A118,'NSE - NIFTY Index Options'!$B:$B,"Thursday",'NSE - NIFTY Index Options'!$H:$H,"Weekly*")+SUMIFS('NSE - Other Index Options'!$M:$M,'NSE - Other Index Options'!$D:$D,$A118,'NSE - Other Index Options'!$B:$B,"Thursday",'NSE - Other Index Options'!$H:$H,"Weekly*")=0,"",SUMIFS('NSE - NIFTY Index Options'!$M:$M,'NSE - NIFTY Index Options'!$D:$D,$A118,'NSE - NIFTY Index Options'!$B:$B,"Thursday",'NSE - NIFTY Index Options'!$H:$H,"Weekly*")+SUMIFS('NSE - Other Index Options'!$M:$M,'NSE - Other Index Options'!$D:$D,$A118,'NSE - Other Index Options'!$B:$B,"Thursday",'NSE - Other Index Options'!$H:$H,"Weekly*"))</f>
        <v/>
      </c>
      <c r="C118" s="26">
        <f>IF(SUMIFS('BSE - SENSEX Index Options'!$M:$M,'BSE - SENSEX Index Options'!$D:$D,$A118,'BSE - SENSEX Index Options'!$B:$B,"Thursday",'BSE - SENSEX Index Options'!$H:$H,"Weekly*")+SUMIFS('BSE - Other Index Options'!$M:$M,'BSE - Other Index Options'!$D:$D,$A118,'BSE - Other Index Options'!$B:$B,"Thursday",'BSE - Other Index Options'!$H:$H,"Weekly*")=0,"",SUMIFS('BSE - SENSEX Index Options'!$M:$M,'BSE - SENSEX Index Options'!$D:$D,$A118,'BSE - SENSEX Index Options'!$B:$B,"Thursday",'BSE - SENSEX Index Options'!$H:$H,"Weekly*")+SUMIFS('BSE - Other Index Options'!$M:$M,'BSE - Other Index Options'!$D:$D,$A118,'BSE - Other Index Options'!$B:$B,"Thursday",'BSE - Other Index Options'!$H:$H,"Weekly*"))</f>
        <v/>
      </c>
      <c r="D118" s="27">
        <f>IF(SUM(B118:C118)=0,"",SUM(B118)/SUM(B118:C118))</f>
        <v/>
      </c>
      <c r="E118" s="27">
        <f>IF(SUM(B118:C118)=0,"",SUM(C118)/SUM(B118:C118))</f>
        <v/>
      </c>
    </row>
    <row r="119" hidden="1" outlineLevel="1">
      <c r="A119" s="24" t="n">
        <v>46447</v>
      </c>
      <c r="B119" s="26">
        <f>IF(SUMIFS('NSE - NIFTY Index Options'!$M:$M,'NSE - NIFTY Index Options'!$D:$D,$A119,'NSE - NIFTY Index Options'!$B:$B,"Thursday",'NSE - NIFTY Index Options'!$H:$H,"Weekly*")+SUMIFS('NSE - Other Index Options'!$M:$M,'NSE - Other Index Options'!$D:$D,$A119,'NSE - Other Index Options'!$B:$B,"Thursday",'NSE - Other Index Options'!$H:$H,"Weekly*")=0,"",SUMIFS('NSE - NIFTY Index Options'!$M:$M,'NSE - NIFTY Index Options'!$D:$D,$A119,'NSE - NIFTY Index Options'!$B:$B,"Thursday",'NSE - NIFTY Index Options'!$H:$H,"Weekly*")+SUMIFS('NSE - Other Index Options'!$M:$M,'NSE - Other Index Options'!$D:$D,$A119,'NSE - Other Index Options'!$B:$B,"Thursday",'NSE - Other Index Options'!$H:$H,"Weekly*"))</f>
        <v/>
      </c>
      <c r="C119" s="26">
        <f>IF(SUMIFS('BSE - SENSEX Index Options'!$M:$M,'BSE - SENSEX Index Options'!$D:$D,$A119,'BSE - SENSEX Index Options'!$B:$B,"Thursday",'BSE - SENSEX Index Options'!$H:$H,"Weekly*")+SUMIFS('BSE - Other Index Options'!$M:$M,'BSE - Other Index Options'!$D:$D,$A119,'BSE - Other Index Options'!$B:$B,"Thursday",'BSE - Other Index Options'!$H:$H,"Weekly*")=0,"",SUMIFS('BSE - SENSEX Index Options'!$M:$M,'BSE - SENSEX Index Options'!$D:$D,$A119,'BSE - SENSEX Index Options'!$B:$B,"Thursday",'BSE - SENSEX Index Options'!$H:$H,"Weekly*")+SUMIFS('BSE - Other Index Options'!$M:$M,'BSE - Other Index Options'!$D:$D,$A119,'BSE - Other Index Options'!$B:$B,"Thursday",'BSE - Other Index Options'!$H:$H,"Weekly*"))</f>
        <v/>
      </c>
      <c r="D119" s="27">
        <f>IF(SUM(B119:C119)=0,"",SUM(B119)/SUM(B119:C119))</f>
        <v/>
      </c>
      <c r="E119" s="27">
        <f>IF(SUM(B119:C119)=0,"",SUM(C119)/SUM(B119:C119))</f>
        <v/>
      </c>
    </row>
    <row r="120" hidden="1" outlineLevel="1">
      <c r="A120" s="24" t="n">
        <v>46478</v>
      </c>
      <c r="B120" s="26">
        <f>IF(SUMIFS('NSE - NIFTY Index Options'!$M:$M,'NSE - NIFTY Index Options'!$D:$D,$A120,'NSE - NIFTY Index Options'!$B:$B,"Thursday",'NSE - NIFTY Index Options'!$H:$H,"Weekly*")+SUMIFS('NSE - Other Index Options'!$M:$M,'NSE - Other Index Options'!$D:$D,$A120,'NSE - Other Index Options'!$B:$B,"Thursday",'NSE - Other Index Options'!$H:$H,"Weekly*")=0,"",SUMIFS('NSE - NIFTY Index Options'!$M:$M,'NSE - NIFTY Index Options'!$D:$D,$A120,'NSE - NIFTY Index Options'!$B:$B,"Thursday",'NSE - NIFTY Index Options'!$H:$H,"Weekly*")+SUMIFS('NSE - Other Index Options'!$M:$M,'NSE - Other Index Options'!$D:$D,$A120,'NSE - Other Index Options'!$B:$B,"Thursday",'NSE - Other Index Options'!$H:$H,"Weekly*"))</f>
        <v/>
      </c>
      <c r="C120" s="26">
        <f>IF(SUMIFS('BSE - SENSEX Index Options'!$M:$M,'BSE - SENSEX Index Options'!$D:$D,$A120,'BSE - SENSEX Index Options'!$B:$B,"Thursday",'BSE - SENSEX Index Options'!$H:$H,"Weekly*")+SUMIFS('BSE - Other Index Options'!$M:$M,'BSE - Other Index Options'!$D:$D,$A120,'BSE - Other Index Options'!$B:$B,"Thursday",'BSE - Other Index Options'!$H:$H,"Weekly*")=0,"",SUMIFS('BSE - SENSEX Index Options'!$M:$M,'BSE - SENSEX Index Options'!$D:$D,$A120,'BSE - SENSEX Index Options'!$B:$B,"Thursday",'BSE - SENSEX Index Options'!$H:$H,"Weekly*")+SUMIFS('BSE - Other Index Options'!$M:$M,'BSE - Other Index Options'!$D:$D,$A120,'BSE - Other Index Options'!$B:$B,"Thursday",'BSE - Other Index Options'!$H:$H,"Weekly*"))</f>
        <v/>
      </c>
      <c r="D120" s="27">
        <f>IF(SUM(B120:C120)=0,"",SUM(B120)/SUM(B120:C120))</f>
        <v/>
      </c>
      <c r="E120" s="27">
        <f>IF(SUM(B120:C120)=0,"",SUM(C120)/SUM(B120:C120))</f>
        <v/>
      </c>
    </row>
    <row r="121" hidden="1" outlineLevel="1">
      <c r="A121" s="24" t="n">
        <v>46508</v>
      </c>
      <c r="B121" s="26">
        <f>IF(SUMIFS('NSE - NIFTY Index Options'!$M:$M,'NSE - NIFTY Index Options'!$D:$D,$A121,'NSE - NIFTY Index Options'!$B:$B,"Thursday",'NSE - NIFTY Index Options'!$H:$H,"Weekly*")+SUMIFS('NSE - Other Index Options'!$M:$M,'NSE - Other Index Options'!$D:$D,$A121,'NSE - Other Index Options'!$B:$B,"Thursday",'NSE - Other Index Options'!$H:$H,"Weekly*")=0,"",SUMIFS('NSE - NIFTY Index Options'!$M:$M,'NSE - NIFTY Index Options'!$D:$D,$A121,'NSE - NIFTY Index Options'!$B:$B,"Thursday",'NSE - NIFTY Index Options'!$H:$H,"Weekly*")+SUMIFS('NSE - Other Index Options'!$M:$M,'NSE - Other Index Options'!$D:$D,$A121,'NSE - Other Index Options'!$B:$B,"Thursday",'NSE - Other Index Options'!$H:$H,"Weekly*"))</f>
        <v/>
      </c>
      <c r="C121" s="26">
        <f>IF(SUMIFS('BSE - SENSEX Index Options'!$M:$M,'BSE - SENSEX Index Options'!$D:$D,$A121,'BSE - SENSEX Index Options'!$B:$B,"Thursday",'BSE - SENSEX Index Options'!$H:$H,"Weekly*")+SUMIFS('BSE - Other Index Options'!$M:$M,'BSE - Other Index Options'!$D:$D,$A121,'BSE - Other Index Options'!$B:$B,"Thursday",'BSE - Other Index Options'!$H:$H,"Weekly*")=0,"",SUMIFS('BSE - SENSEX Index Options'!$M:$M,'BSE - SENSEX Index Options'!$D:$D,$A121,'BSE - SENSEX Index Options'!$B:$B,"Thursday",'BSE - SENSEX Index Options'!$H:$H,"Weekly*")+SUMIFS('BSE - Other Index Options'!$M:$M,'BSE - Other Index Options'!$D:$D,$A121,'BSE - Other Index Options'!$B:$B,"Thursday",'BSE - Other Index Options'!$H:$H,"Weekly*"))</f>
        <v/>
      </c>
      <c r="D121" s="27">
        <f>IF(SUM(B121:C121)=0,"",SUM(B121)/SUM(B121:C121))</f>
        <v/>
      </c>
      <c r="E121" s="27">
        <f>IF(SUM(B121:C121)=0,"",SUM(C121)/SUM(B121:C121))</f>
        <v/>
      </c>
    </row>
    <row r="122" hidden="1" outlineLevel="1">
      <c r="A122" s="24" t="n">
        <v>46539</v>
      </c>
      <c r="B122" s="26">
        <f>IF(SUMIFS('NSE - NIFTY Index Options'!$M:$M,'NSE - NIFTY Index Options'!$D:$D,$A122,'NSE - NIFTY Index Options'!$B:$B,"Thursday",'NSE - NIFTY Index Options'!$H:$H,"Weekly*")+SUMIFS('NSE - Other Index Options'!$M:$M,'NSE - Other Index Options'!$D:$D,$A122,'NSE - Other Index Options'!$B:$B,"Thursday",'NSE - Other Index Options'!$H:$H,"Weekly*")=0,"",SUMIFS('NSE - NIFTY Index Options'!$M:$M,'NSE - NIFTY Index Options'!$D:$D,$A122,'NSE - NIFTY Index Options'!$B:$B,"Thursday",'NSE - NIFTY Index Options'!$H:$H,"Weekly*")+SUMIFS('NSE - Other Index Options'!$M:$M,'NSE - Other Index Options'!$D:$D,$A122,'NSE - Other Index Options'!$B:$B,"Thursday",'NSE - Other Index Options'!$H:$H,"Weekly*"))</f>
        <v/>
      </c>
      <c r="C122" s="26">
        <f>IF(SUMIFS('BSE - SENSEX Index Options'!$M:$M,'BSE - SENSEX Index Options'!$D:$D,$A122,'BSE - SENSEX Index Options'!$B:$B,"Thursday",'BSE - SENSEX Index Options'!$H:$H,"Weekly*")+SUMIFS('BSE - Other Index Options'!$M:$M,'BSE - Other Index Options'!$D:$D,$A122,'BSE - Other Index Options'!$B:$B,"Thursday",'BSE - Other Index Options'!$H:$H,"Weekly*")=0,"",SUMIFS('BSE - SENSEX Index Options'!$M:$M,'BSE - SENSEX Index Options'!$D:$D,$A122,'BSE - SENSEX Index Options'!$B:$B,"Thursday",'BSE - SENSEX Index Options'!$H:$H,"Weekly*")+SUMIFS('BSE - Other Index Options'!$M:$M,'BSE - Other Index Options'!$D:$D,$A122,'BSE - Other Index Options'!$B:$B,"Thursday",'BSE - Other Index Options'!$H:$H,"Weekly*"))</f>
        <v/>
      </c>
      <c r="D122" s="27">
        <f>IF(SUM(B122:C122)=0,"",SUM(B122)/SUM(B122:C122))</f>
        <v/>
      </c>
      <c r="E122" s="27">
        <f>IF(SUM(B122:C122)=0,"",SUM(C122)/SUM(B122:C122))</f>
        <v/>
      </c>
    </row>
    <row r="123" hidden="1" outlineLevel="1">
      <c r="A123" s="24" t="n">
        <v>46569</v>
      </c>
      <c r="B123" s="26">
        <f>IF(SUMIFS('NSE - NIFTY Index Options'!$M:$M,'NSE - NIFTY Index Options'!$D:$D,$A123,'NSE - NIFTY Index Options'!$B:$B,"Thursday",'NSE - NIFTY Index Options'!$H:$H,"Weekly*")+SUMIFS('NSE - Other Index Options'!$M:$M,'NSE - Other Index Options'!$D:$D,$A123,'NSE - Other Index Options'!$B:$B,"Thursday",'NSE - Other Index Options'!$H:$H,"Weekly*")=0,"",SUMIFS('NSE - NIFTY Index Options'!$M:$M,'NSE - NIFTY Index Options'!$D:$D,$A123,'NSE - NIFTY Index Options'!$B:$B,"Thursday",'NSE - NIFTY Index Options'!$H:$H,"Weekly*")+SUMIFS('NSE - Other Index Options'!$M:$M,'NSE - Other Index Options'!$D:$D,$A123,'NSE - Other Index Options'!$B:$B,"Thursday",'NSE - Other Index Options'!$H:$H,"Weekly*"))</f>
        <v/>
      </c>
      <c r="C123" s="26">
        <f>IF(SUMIFS('BSE - SENSEX Index Options'!$M:$M,'BSE - SENSEX Index Options'!$D:$D,$A123,'BSE - SENSEX Index Options'!$B:$B,"Thursday",'BSE - SENSEX Index Options'!$H:$H,"Weekly*")+SUMIFS('BSE - Other Index Options'!$M:$M,'BSE - Other Index Options'!$D:$D,$A123,'BSE - Other Index Options'!$B:$B,"Thursday",'BSE - Other Index Options'!$H:$H,"Weekly*")=0,"",SUMIFS('BSE - SENSEX Index Options'!$M:$M,'BSE - SENSEX Index Options'!$D:$D,$A123,'BSE - SENSEX Index Options'!$B:$B,"Thursday",'BSE - SENSEX Index Options'!$H:$H,"Weekly*")+SUMIFS('BSE - Other Index Options'!$M:$M,'BSE - Other Index Options'!$D:$D,$A123,'BSE - Other Index Options'!$B:$B,"Thursday",'BSE - Other Index Options'!$H:$H,"Weekly*"))</f>
        <v/>
      </c>
      <c r="D123" s="27">
        <f>IF(SUM(B123:C123)=0,"",SUM(B123)/SUM(B123:C123))</f>
        <v/>
      </c>
      <c r="E123" s="27">
        <f>IF(SUM(B123:C123)=0,"",SUM(C123)/SUM(B123:C123))</f>
        <v/>
      </c>
    </row>
    <row r="124" hidden="1" outlineLevel="1">
      <c r="A124" s="24" t="n">
        <v>46600</v>
      </c>
      <c r="B124" s="26">
        <f>IF(SUMIFS('NSE - NIFTY Index Options'!$M:$M,'NSE - NIFTY Index Options'!$D:$D,$A124,'NSE - NIFTY Index Options'!$B:$B,"Thursday",'NSE - NIFTY Index Options'!$H:$H,"Weekly*")+SUMIFS('NSE - Other Index Options'!$M:$M,'NSE - Other Index Options'!$D:$D,$A124,'NSE - Other Index Options'!$B:$B,"Thursday",'NSE - Other Index Options'!$H:$H,"Weekly*")=0,"",SUMIFS('NSE - NIFTY Index Options'!$M:$M,'NSE - NIFTY Index Options'!$D:$D,$A124,'NSE - NIFTY Index Options'!$B:$B,"Thursday",'NSE - NIFTY Index Options'!$H:$H,"Weekly*")+SUMIFS('NSE - Other Index Options'!$M:$M,'NSE - Other Index Options'!$D:$D,$A124,'NSE - Other Index Options'!$B:$B,"Thursday",'NSE - Other Index Options'!$H:$H,"Weekly*"))</f>
        <v/>
      </c>
      <c r="C124" s="26">
        <f>IF(SUMIFS('BSE - SENSEX Index Options'!$M:$M,'BSE - SENSEX Index Options'!$D:$D,$A124,'BSE - SENSEX Index Options'!$B:$B,"Thursday",'BSE - SENSEX Index Options'!$H:$H,"Weekly*")+SUMIFS('BSE - Other Index Options'!$M:$M,'BSE - Other Index Options'!$D:$D,$A124,'BSE - Other Index Options'!$B:$B,"Thursday",'BSE - Other Index Options'!$H:$H,"Weekly*")=0,"",SUMIFS('BSE - SENSEX Index Options'!$M:$M,'BSE - SENSEX Index Options'!$D:$D,$A124,'BSE - SENSEX Index Options'!$B:$B,"Thursday",'BSE - SENSEX Index Options'!$H:$H,"Weekly*")+SUMIFS('BSE - Other Index Options'!$M:$M,'BSE - Other Index Options'!$D:$D,$A124,'BSE - Other Index Options'!$B:$B,"Thursday",'BSE - Other Index Options'!$H:$H,"Weekly*"))</f>
        <v/>
      </c>
      <c r="D124" s="27">
        <f>IF(SUM(B124:C124)=0,"",SUM(B124)/SUM(B124:C124))</f>
        <v/>
      </c>
      <c r="E124" s="27">
        <f>IF(SUM(B124:C124)=0,"",SUM(C124)/SUM(B124:C124))</f>
        <v/>
      </c>
    </row>
    <row r="125" hidden="1" outlineLevel="1">
      <c r="A125" s="24" t="n">
        <v>46631</v>
      </c>
      <c r="B125" s="26">
        <f>IF(SUMIFS('NSE - NIFTY Index Options'!$M:$M,'NSE - NIFTY Index Options'!$D:$D,$A125,'NSE - NIFTY Index Options'!$B:$B,"Thursday",'NSE - NIFTY Index Options'!$H:$H,"Weekly*")+SUMIFS('NSE - Other Index Options'!$M:$M,'NSE - Other Index Options'!$D:$D,$A125,'NSE - Other Index Options'!$B:$B,"Thursday",'NSE - Other Index Options'!$H:$H,"Weekly*")=0,"",SUMIFS('NSE - NIFTY Index Options'!$M:$M,'NSE - NIFTY Index Options'!$D:$D,$A125,'NSE - NIFTY Index Options'!$B:$B,"Thursday",'NSE - NIFTY Index Options'!$H:$H,"Weekly*")+SUMIFS('NSE - Other Index Options'!$M:$M,'NSE - Other Index Options'!$D:$D,$A125,'NSE - Other Index Options'!$B:$B,"Thursday",'NSE - Other Index Options'!$H:$H,"Weekly*"))</f>
        <v/>
      </c>
      <c r="C125" s="26">
        <f>IF(SUMIFS('BSE - SENSEX Index Options'!$M:$M,'BSE - SENSEX Index Options'!$D:$D,$A125,'BSE - SENSEX Index Options'!$B:$B,"Thursday",'BSE - SENSEX Index Options'!$H:$H,"Weekly*")+SUMIFS('BSE - Other Index Options'!$M:$M,'BSE - Other Index Options'!$D:$D,$A125,'BSE - Other Index Options'!$B:$B,"Thursday",'BSE - Other Index Options'!$H:$H,"Weekly*")=0,"",SUMIFS('BSE - SENSEX Index Options'!$M:$M,'BSE - SENSEX Index Options'!$D:$D,$A125,'BSE - SENSEX Index Options'!$B:$B,"Thursday",'BSE - SENSEX Index Options'!$H:$H,"Weekly*")+SUMIFS('BSE - Other Index Options'!$M:$M,'BSE - Other Index Options'!$D:$D,$A125,'BSE - Other Index Options'!$B:$B,"Thursday",'BSE - Other Index Options'!$H:$H,"Weekly*"))</f>
        <v/>
      </c>
      <c r="D125" s="27">
        <f>IF(SUM(B125:C125)=0,"",SUM(B125)/SUM(B125:C125))</f>
        <v/>
      </c>
      <c r="E125" s="27">
        <f>IF(SUM(B125:C125)=0,"",SUM(C125)/SUM(B125:C125))</f>
        <v/>
      </c>
    </row>
    <row r="126" hidden="1" outlineLevel="1">
      <c r="A126" s="24" t="n">
        <v>46661</v>
      </c>
      <c r="B126" s="26">
        <f>IF(SUMIFS('NSE - NIFTY Index Options'!$M:$M,'NSE - NIFTY Index Options'!$D:$D,$A126,'NSE - NIFTY Index Options'!$B:$B,"Thursday",'NSE - NIFTY Index Options'!$H:$H,"Weekly*")+SUMIFS('NSE - Other Index Options'!$M:$M,'NSE - Other Index Options'!$D:$D,$A126,'NSE - Other Index Options'!$B:$B,"Thursday",'NSE - Other Index Options'!$H:$H,"Weekly*")=0,"",SUMIFS('NSE - NIFTY Index Options'!$M:$M,'NSE - NIFTY Index Options'!$D:$D,$A126,'NSE - NIFTY Index Options'!$B:$B,"Thursday",'NSE - NIFTY Index Options'!$H:$H,"Weekly*")+SUMIFS('NSE - Other Index Options'!$M:$M,'NSE - Other Index Options'!$D:$D,$A126,'NSE - Other Index Options'!$B:$B,"Thursday",'NSE - Other Index Options'!$H:$H,"Weekly*"))</f>
        <v/>
      </c>
      <c r="C126" s="26">
        <f>IF(SUMIFS('BSE - SENSEX Index Options'!$M:$M,'BSE - SENSEX Index Options'!$D:$D,$A126,'BSE - SENSEX Index Options'!$B:$B,"Thursday",'BSE - SENSEX Index Options'!$H:$H,"Weekly*")+SUMIFS('BSE - Other Index Options'!$M:$M,'BSE - Other Index Options'!$D:$D,$A126,'BSE - Other Index Options'!$B:$B,"Thursday",'BSE - Other Index Options'!$H:$H,"Weekly*")=0,"",SUMIFS('BSE - SENSEX Index Options'!$M:$M,'BSE - SENSEX Index Options'!$D:$D,$A126,'BSE - SENSEX Index Options'!$B:$B,"Thursday",'BSE - SENSEX Index Options'!$H:$H,"Weekly*")+SUMIFS('BSE - Other Index Options'!$M:$M,'BSE - Other Index Options'!$D:$D,$A126,'BSE - Other Index Options'!$B:$B,"Thursday",'BSE - Other Index Options'!$H:$H,"Weekly*"))</f>
        <v/>
      </c>
      <c r="D126" s="27">
        <f>IF(SUM(B126:C126)=0,"",SUM(B126)/SUM(B126:C126))</f>
        <v/>
      </c>
      <c r="E126" s="27">
        <f>IF(SUM(B126:C126)=0,"",SUM(C126)/SUM(B126:C126))</f>
        <v/>
      </c>
    </row>
    <row r="127" hidden="1" outlineLevel="1">
      <c r="A127" s="24" t="n">
        <v>46692</v>
      </c>
      <c r="B127" s="26">
        <f>IF(SUMIFS('NSE - NIFTY Index Options'!$M:$M,'NSE - NIFTY Index Options'!$D:$D,$A127,'NSE - NIFTY Index Options'!$B:$B,"Thursday",'NSE - NIFTY Index Options'!$H:$H,"Weekly*")+SUMIFS('NSE - Other Index Options'!$M:$M,'NSE - Other Index Options'!$D:$D,$A127,'NSE - Other Index Options'!$B:$B,"Thursday",'NSE - Other Index Options'!$H:$H,"Weekly*")=0,"",SUMIFS('NSE - NIFTY Index Options'!$M:$M,'NSE - NIFTY Index Options'!$D:$D,$A127,'NSE - NIFTY Index Options'!$B:$B,"Thursday",'NSE - NIFTY Index Options'!$H:$H,"Weekly*")+SUMIFS('NSE - Other Index Options'!$M:$M,'NSE - Other Index Options'!$D:$D,$A127,'NSE - Other Index Options'!$B:$B,"Thursday",'NSE - Other Index Options'!$H:$H,"Weekly*"))</f>
        <v/>
      </c>
      <c r="C127" s="26">
        <f>IF(SUMIFS('BSE - SENSEX Index Options'!$M:$M,'BSE - SENSEX Index Options'!$D:$D,$A127,'BSE - SENSEX Index Options'!$B:$B,"Thursday",'BSE - SENSEX Index Options'!$H:$H,"Weekly*")+SUMIFS('BSE - Other Index Options'!$M:$M,'BSE - Other Index Options'!$D:$D,$A127,'BSE - Other Index Options'!$B:$B,"Thursday",'BSE - Other Index Options'!$H:$H,"Weekly*")=0,"",SUMIFS('BSE - SENSEX Index Options'!$M:$M,'BSE - SENSEX Index Options'!$D:$D,$A127,'BSE - SENSEX Index Options'!$B:$B,"Thursday",'BSE - SENSEX Index Options'!$H:$H,"Weekly*")+SUMIFS('BSE - Other Index Options'!$M:$M,'BSE - Other Index Options'!$D:$D,$A127,'BSE - Other Index Options'!$B:$B,"Thursday",'BSE - Other Index Options'!$H:$H,"Weekly*"))</f>
        <v/>
      </c>
      <c r="D127" s="27">
        <f>IF(SUM(B127:C127)=0,"",SUM(B127)/SUM(B127:C127))</f>
        <v/>
      </c>
      <c r="E127" s="27">
        <f>IF(SUM(B127:C127)=0,"",SUM(C127)/SUM(B127:C127))</f>
        <v/>
      </c>
    </row>
    <row r="128" hidden="1" outlineLevel="1">
      <c r="A128" s="24" t="n">
        <v>46722</v>
      </c>
      <c r="B128" s="26">
        <f>IF(SUMIFS('NSE - NIFTY Index Options'!$M:$M,'NSE - NIFTY Index Options'!$D:$D,$A128,'NSE - NIFTY Index Options'!$B:$B,"Thursday",'NSE - NIFTY Index Options'!$H:$H,"Weekly*")+SUMIFS('NSE - Other Index Options'!$M:$M,'NSE - Other Index Options'!$D:$D,$A128,'NSE - Other Index Options'!$B:$B,"Thursday",'NSE - Other Index Options'!$H:$H,"Weekly*")=0,"",SUMIFS('NSE - NIFTY Index Options'!$M:$M,'NSE - NIFTY Index Options'!$D:$D,$A128,'NSE - NIFTY Index Options'!$B:$B,"Thursday",'NSE - NIFTY Index Options'!$H:$H,"Weekly*")+SUMIFS('NSE - Other Index Options'!$M:$M,'NSE - Other Index Options'!$D:$D,$A128,'NSE - Other Index Options'!$B:$B,"Thursday",'NSE - Other Index Options'!$H:$H,"Weekly*"))</f>
        <v/>
      </c>
      <c r="C128" s="26">
        <f>IF(SUMIFS('BSE - SENSEX Index Options'!$M:$M,'BSE - SENSEX Index Options'!$D:$D,$A128,'BSE - SENSEX Index Options'!$B:$B,"Thursday",'BSE - SENSEX Index Options'!$H:$H,"Weekly*")+SUMIFS('BSE - Other Index Options'!$M:$M,'BSE - Other Index Options'!$D:$D,$A128,'BSE - Other Index Options'!$B:$B,"Thursday",'BSE - Other Index Options'!$H:$H,"Weekly*")=0,"",SUMIFS('BSE - SENSEX Index Options'!$M:$M,'BSE - SENSEX Index Options'!$D:$D,$A128,'BSE - SENSEX Index Options'!$B:$B,"Thursday",'BSE - SENSEX Index Options'!$H:$H,"Weekly*")+SUMIFS('BSE - Other Index Options'!$M:$M,'BSE - Other Index Options'!$D:$D,$A128,'BSE - Other Index Options'!$B:$B,"Thursday",'BSE - Other Index Options'!$H:$H,"Weekly*"))</f>
        <v/>
      </c>
      <c r="D128" s="27">
        <f>IF(SUM(B128:C128)=0,"",SUM(B128)/SUM(B128:C128))</f>
        <v/>
      </c>
      <c r="E128" s="27">
        <f>IF(SUM(B128:C128)=0,"",SUM(C128)/SUM(B128:C128))</f>
        <v/>
      </c>
    </row>
    <row r="129" collapsed="1">
      <c r="A129" s="28" t="inlineStr">
        <is>
          <t>Total</t>
        </is>
      </c>
      <c r="B129" s="30">
        <f>IF(SUM(B101:B128)=0,"",SUM(B101:B128))</f>
        <v/>
      </c>
      <c r="C129" s="30">
        <f>IF(SUM(C101:C128)=0,"",SUM(C101:C128))</f>
        <v/>
      </c>
      <c r="D129" s="31">
        <f>IF(SUM(B129:C129)=0,"",SUM(B129)/SUM(B129:C129))</f>
        <v/>
      </c>
      <c r="E129" s="31">
        <f>IF(SUM(B129:C129)=0,"",SUM(C129)/SUM(B129:C129))</f>
        <v/>
      </c>
    </row>
    <row r="131">
      <c r="A131" s="28" t="inlineStr">
        <is>
          <t>Friday Trade Day</t>
        </is>
      </c>
    </row>
    <row r="132">
      <c r="A132" s="28" t="inlineStr">
        <is>
          <t>Month</t>
        </is>
      </c>
      <c r="B132" s="28" t="inlineStr">
        <is>
          <t>NSE Premium Turnover (INR Bn)</t>
        </is>
      </c>
      <c r="C132" s="28" t="inlineStr">
        <is>
          <t>BSE Premium Turnover (INR Bn)</t>
        </is>
      </c>
      <c r="D132" s="28" t="inlineStr">
        <is>
          <t>NSE Market Share</t>
        </is>
      </c>
      <c r="E132" s="28" t="inlineStr">
        <is>
          <t>BSE Market Share</t>
        </is>
      </c>
    </row>
    <row r="133">
      <c r="A133" s="24" t="n">
        <v>45901</v>
      </c>
      <c r="B133" s="26">
        <f>IF(SUMIFS('NSE - NIFTY Index Options'!$M:$M,'NSE - NIFTY Index Options'!$D:$D,$A133,'NSE - NIFTY Index Options'!$B:$B,"Friday",'NSE - NIFTY Index Options'!$H:$H,"Weekly*")+SUMIFS('NSE - Other Index Options'!$M:$M,'NSE - Other Index Options'!$D:$D,$A133,'NSE - Other Index Options'!$B:$B,"Friday",'NSE - Other Index Options'!$H:$H,"Weekly*")=0,"",SUMIFS('NSE - NIFTY Index Options'!$M:$M,'NSE - NIFTY Index Options'!$D:$D,$A133,'NSE - NIFTY Index Options'!$B:$B,"Friday",'NSE - NIFTY Index Options'!$H:$H,"Weekly*")+SUMIFS('NSE - Other Index Options'!$M:$M,'NSE - Other Index Options'!$D:$D,$A133,'NSE - Other Index Options'!$B:$B,"Friday",'NSE - Other Index Options'!$H:$H,"Weekly*"))</f>
        <v/>
      </c>
      <c r="C133" s="26">
        <f>IF(SUMIFS('BSE - SENSEX Index Options'!$M:$M,'BSE - SENSEX Index Options'!$D:$D,$A133,'BSE - SENSEX Index Options'!$B:$B,"Friday",'BSE - SENSEX Index Options'!$H:$H,"Weekly*")+SUMIFS('BSE - Other Index Options'!$M:$M,'BSE - Other Index Options'!$D:$D,$A133,'BSE - Other Index Options'!$B:$B,"Friday",'BSE - Other Index Options'!$H:$H,"Weekly*")=0,"",SUMIFS('BSE - SENSEX Index Options'!$M:$M,'BSE - SENSEX Index Options'!$D:$D,$A133,'BSE - SENSEX Index Options'!$B:$B,"Friday",'BSE - SENSEX Index Options'!$H:$H,"Weekly*")+SUMIFS('BSE - Other Index Options'!$M:$M,'BSE - Other Index Options'!$D:$D,$A133,'BSE - Other Index Options'!$B:$B,"Friday",'BSE - Other Index Options'!$H:$H,"Weekly*"))</f>
        <v/>
      </c>
      <c r="D133" s="27">
        <f>IF(SUM(B133:C133)=0,"",SUM(B133)/SUM(B133:C133))</f>
        <v/>
      </c>
      <c r="E133" s="27">
        <f>IF(SUM(B133:C133)=0,"",SUM(C133)/SUM(B133:C133))</f>
        <v/>
      </c>
    </row>
    <row r="134">
      <c r="A134" s="24" t="n">
        <v>45931</v>
      </c>
      <c r="B134" s="26">
        <f>IF(SUMIFS('NSE - NIFTY Index Options'!$M:$M,'NSE - NIFTY Index Options'!$D:$D,$A134,'NSE - NIFTY Index Options'!$B:$B,"Friday",'NSE - NIFTY Index Options'!$H:$H,"Weekly*")+SUMIFS('NSE - Other Index Options'!$M:$M,'NSE - Other Index Options'!$D:$D,$A134,'NSE - Other Index Options'!$B:$B,"Friday",'NSE - Other Index Options'!$H:$H,"Weekly*")=0,"",SUMIFS('NSE - NIFTY Index Options'!$M:$M,'NSE - NIFTY Index Options'!$D:$D,$A134,'NSE - NIFTY Index Options'!$B:$B,"Friday",'NSE - NIFTY Index Options'!$H:$H,"Weekly*")+SUMIFS('NSE - Other Index Options'!$M:$M,'NSE - Other Index Options'!$D:$D,$A134,'NSE - Other Index Options'!$B:$B,"Friday",'NSE - Other Index Options'!$H:$H,"Weekly*"))</f>
        <v/>
      </c>
      <c r="C134" s="26">
        <f>IF(SUMIFS('BSE - SENSEX Index Options'!$M:$M,'BSE - SENSEX Index Options'!$D:$D,$A134,'BSE - SENSEX Index Options'!$B:$B,"Friday",'BSE - SENSEX Index Options'!$H:$H,"Weekly*")+SUMIFS('BSE - Other Index Options'!$M:$M,'BSE - Other Index Options'!$D:$D,$A134,'BSE - Other Index Options'!$B:$B,"Friday",'BSE - Other Index Options'!$H:$H,"Weekly*")=0,"",SUMIFS('BSE - SENSEX Index Options'!$M:$M,'BSE - SENSEX Index Options'!$D:$D,$A134,'BSE - SENSEX Index Options'!$B:$B,"Friday",'BSE - SENSEX Index Options'!$H:$H,"Weekly*")+SUMIFS('BSE - Other Index Options'!$M:$M,'BSE - Other Index Options'!$D:$D,$A134,'BSE - Other Index Options'!$B:$B,"Friday",'BSE - Other Index Options'!$H:$H,"Weekly*"))</f>
        <v/>
      </c>
      <c r="D134" s="27">
        <f>IF(SUM(B134:C134)=0,"",SUM(B134)/SUM(B134:C134))</f>
        <v/>
      </c>
      <c r="E134" s="27">
        <f>IF(SUM(B134:C134)=0,"",SUM(C134)/SUM(B134:C134))</f>
        <v/>
      </c>
    </row>
    <row r="135">
      <c r="A135" s="24" t="n">
        <v>45962</v>
      </c>
      <c r="B135" s="26">
        <f>IF(SUMIFS('NSE - NIFTY Index Options'!$M:$M,'NSE - NIFTY Index Options'!$D:$D,$A135,'NSE - NIFTY Index Options'!$B:$B,"Friday",'NSE - NIFTY Index Options'!$H:$H,"Weekly*")+SUMIFS('NSE - Other Index Options'!$M:$M,'NSE - Other Index Options'!$D:$D,$A135,'NSE - Other Index Options'!$B:$B,"Friday",'NSE - Other Index Options'!$H:$H,"Weekly*")=0,"",SUMIFS('NSE - NIFTY Index Options'!$M:$M,'NSE - NIFTY Index Options'!$D:$D,$A135,'NSE - NIFTY Index Options'!$B:$B,"Friday",'NSE - NIFTY Index Options'!$H:$H,"Weekly*")+SUMIFS('NSE - Other Index Options'!$M:$M,'NSE - Other Index Options'!$D:$D,$A135,'NSE - Other Index Options'!$B:$B,"Friday",'NSE - Other Index Options'!$H:$H,"Weekly*"))</f>
        <v/>
      </c>
      <c r="C135" s="26">
        <f>IF(SUMIFS('BSE - SENSEX Index Options'!$M:$M,'BSE - SENSEX Index Options'!$D:$D,$A135,'BSE - SENSEX Index Options'!$B:$B,"Friday",'BSE - SENSEX Index Options'!$H:$H,"Weekly*")+SUMIFS('BSE - Other Index Options'!$M:$M,'BSE - Other Index Options'!$D:$D,$A135,'BSE - Other Index Options'!$B:$B,"Friday",'BSE - Other Index Options'!$H:$H,"Weekly*")=0,"",SUMIFS('BSE - SENSEX Index Options'!$M:$M,'BSE - SENSEX Index Options'!$D:$D,$A135,'BSE - SENSEX Index Options'!$B:$B,"Friday",'BSE - SENSEX Index Options'!$H:$H,"Weekly*")+SUMIFS('BSE - Other Index Options'!$M:$M,'BSE - Other Index Options'!$D:$D,$A135,'BSE - Other Index Options'!$B:$B,"Friday",'BSE - Other Index Options'!$H:$H,"Weekly*"))</f>
        <v/>
      </c>
      <c r="D135" s="27">
        <f>IF(SUM(B135:C135)=0,"",SUM(B135)/SUM(B135:C135))</f>
        <v/>
      </c>
      <c r="E135" s="27">
        <f>IF(SUM(B135:C135)=0,"",SUM(C135)/SUM(B135:C135))</f>
        <v/>
      </c>
    </row>
    <row r="136">
      <c r="A136" s="24" t="n">
        <v>45992</v>
      </c>
      <c r="B136" s="26">
        <f>IF(SUMIFS('NSE - NIFTY Index Options'!$M:$M,'NSE - NIFTY Index Options'!$D:$D,$A136,'NSE - NIFTY Index Options'!$B:$B,"Friday",'NSE - NIFTY Index Options'!$H:$H,"Weekly*")+SUMIFS('NSE - Other Index Options'!$M:$M,'NSE - Other Index Options'!$D:$D,$A136,'NSE - Other Index Options'!$B:$B,"Friday",'NSE - Other Index Options'!$H:$H,"Weekly*")=0,"",SUMIFS('NSE - NIFTY Index Options'!$M:$M,'NSE - NIFTY Index Options'!$D:$D,$A136,'NSE - NIFTY Index Options'!$B:$B,"Friday",'NSE - NIFTY Index Options'!$H:$H,"Weekly*")+SUMIFS('NSE - Other Index Options'!$M:$M,'NSE - Other Index Options'!$D:$D,$A136,'NSE - Other Index Options'!$B:$B,"Friday",'NSE - Other Index Options'!$H:$H,"Weekly*"))</f>
        <v/>
      </c>
      <c r="C136" s="26">
        <f>IF(SUMIFS('BSE - SENSEX Index Options'!$M:$M,'BSE - SENSEX Index Options'!$D:$D,$A136,'BSE - SENSEX Index Options'!$B:$B,"Friday",'BSE - SENSEX Index Options'!$H:$H,"Weekly*")+SUMIFS('BSE - Other Index Options'!$M:$M,'BSE - Other Index Options'!$D:$D,$A136,'BSE - Other Index Options'!$B:$B,"Friday",'BSE - Other Index Options'!$H:$H,"Weekly*")=0,"",SUMIFS('BSE - SENSEX Index Options'!$M:$M,'BSE - SENSEX Index Options'!$D:$D,$A136,'BSE - SENSEX Index Options'!$B:$B,"Friday",'BSE - SENSEX Index Options'!$H:$H,"Weekly*")+SUMIFS('BSE - Other Index Options'!$M:$M,'BSE - Other Index Options'!$D:$D,$A136,'BSE - Other Index Options'!$B:$B,"Friday",'BSE - Other Index Options'!$H:$H,"Weekly*"))</f>
        <v/>
      </c>
      <c r="D136" s="27">
        <f>IF(SUM(B136:C136)=0,"",SUM(B136)/SUM(B136:C136))</f>
        <v/>
      </c>
      <c r="E136" s="27">
        <f>IF(SUM(B136:C136)=0,"",SUM(C136)/SUM(B136:C136))</f>
        <v/>
      </c>
    </row>
    <row r="137">
      <c r="A137" s="24" t="n">
        <v>46023</v>
      </c>
      <c r="B137" s="26">
        <f>IF(SUMIFS('NSE - NIFTY Index Options'!$M:$M,'NSE - NIFTY Index Options'!$D:$D,$A137,'NSE - NIFTY Index Options'!$B:$B,"Friday",'NSE - NIFTY Index Options'!$H:$H,"Weekly*")+SUMIFS('NSE - Other Index Options'!$M:$M,'NSE - Other Index Options'!$D:$D,$A137,'NSE - Other Index Options'!$B:$B,"Friday",'NSE - Other Index Options'!$H:$H,"Weekly*")=0,"",SUMIFS('NSE - NIFTY Index Options'!$M:$M,'NSE - NIFTY Index Options'!$D:$D,$A137,'NSE - NIFTY Index Options'!$B:$B,"Friday",'NSE - NIFTY Index Options'!$H:$H,"Weekly*")+SUMIFS('NSE - Other Index Options'!$M:$M,'NSE - Other Index Options'!$D:$D,$A137,'NSE - Other Index Options'!$B:$B,"Friday",'NSE - Other Index Options'!$H:$H,"Weekly*"))</f>
        <v/>
      </c>
      <c r="C137" s="26">
        <f>IF(SUMIFS('BSE - SENSEX Index Options'!$M:$M,'BSE - SENSEX Index Options'!$D:$D,$A137,'BSE - SENSEX Index Options'!$B:$B,"Friday",'BSE - SENSEX Index Options'!$H:$H,"Weekly*")+SUMIFS('BSE - Other Index Options'!$M:$M,'BSE - Other Index Options'!$D:$D,$A137,'BSE - Other Index Options'!$B:$B,"Friday",'BSE - Other Index Options'!$H:$H,"Weekly*")=0,"",SUMIFS('BSE - SENSEX Index Options'!$M:$M,'BSE - SENSEX Index Options'!$D:$D,$A137,'BSE - SENSEX Index Options'!$B:$B,"Friday",'BSE - SENSEX Index Options'!$H:$H,"Weekly*")+SUMIFS('BSE - Other Index Options'!$M:$M,'BSE - Other Index Options'!$D:$D,$A137,'BSE - Other Index Options'!$B:$B,"Friday",'BSE - Other Index Options'!$H:$H,"Weekly*"))</f>
        <v/>
      </c>
      <c r="D137" s="27">
        <f>IF(SUM(B137:C137)=0,"",SUM(B137)/SUM(B137:C137))</f>
        <v/>
      </c>
      <c r="E137" s="27">
        <f>IF(SUM(B137:C137)=0,"",SUM(C137)/SUM(B137:C137))</f>
        <v/>
      </c>
    </row>
    <row r="138">
      <c r="A138" s="24" t="n">
        <v>46054</v>
      </c>
      <c r="B138" s="26">
        <f>IF(SUMIFS('NSE - NIFTY Index Options'!$M:$M,'NSE - NIFTY Index Options'!$D:$D,$A138,'NSE - NIFTY Index Options'!$B:$B,"Friday",'NSE - NIFTY Index Options'!$H:$H,"Weekly*")+SUMIFS('NSE - Other Index Options'!$M:$M,'NSE - Other Index Options'!$D:$D,$A138,'NSE - Other Index Options'!$B:$B,"Friday",'NSE - Other Index Options'!$H:$H,"Weekly*")=0,"",SUMIFS('NSE - NIFTY Index Options'!$M:$M,'NSE - NIFTY Index Options'!$D:$D,$A138,'NSE - NIFTY Index Options'!$B:$B,"Friday",'NSE - NIFTY Index Options'!$H:$H,"Weekly*")+SUMIFS('NSE - Other Index Options'!$M:$M,'NSE - Other Index Options'!$D:$D,$A138,'NSE - Other Index Options'!$B:$B,"Friday",'NSE - Other Index Options'!$H:$H,"Weekly*"))</f>
        <v/>
      </c>
      <c r="C138" s="26">
        <f>IF(SUMIFS('BSE - SENSEX Index Options'!$M:$M,'BSE - SENSEX Index Options'!$D:$D,$A138,'BSE - SENSEX Index Options'!$B:$B,"Friday",'BSE - SENSEX Index Options'!$H:$H,"Weekly*")+SUMIFS('BSE - Other Index Options'!$M:$M,'BSE - Other Index Options'!$D:$D,$A138,'BSE - Other Index Options'!$B:$B,"Friday",'BSE - Other Index Options'!$H:$H,"Weekly*")=0,"",SUMIFS('BSE - SENSEX Index Options'!$M:$M,'BSE - SENSEX Index Options'!$D:$D,$A138,'BSE - SENSEX Index Options'!$B:$B,"Friday",'BSE - SENSEX Index Options'!$H:$H,"Weekly*")+SUMIFS('BSE - Other Index Options'!$M:$M,'BSE - Other Index Options'!$D:$D,$A138,'BSE - Other Index Options'!$B:$B,"Friday",'BSE - Other Index Options'!$H:$H,"Weekly*"))</f>
        <v/>
      </c>
      <c r="D138" s="27">
        <f>IF(SUM(B138:C138)=0,"",SUM(B138)/SUM(B138:C138))</f>
        <v/>
      </c>
      <c r="E138" s="27">
        <f>IF(SUM(B138:C138)=0,"",SUM(C138)/SUM(B138:C138))</f>
        <v/>
      </c>
    </row>
    <row r="139">
      <c r="A139" s="24" t="n">
        <v>46082</v>
      </c>
      <c r="B139" s="26">
        <f>IF(SUMIFS('NSE - NIFTY Index Options'!$M:$M,'NSE - NIFTY Index Options'!$D:$D,$A139,'NSE - NIFTY Index Options'!$B:$B,"Friday",'NSE - NIFTY Index Options'!$H:$H,"Weekly*")+SUMIFS('NSE - Other Index Options'!$M:$M,'NSE - Other Index Options'!$D:$D,$A139,'NSE - Other Index Options'!$B:$B,"Friday",'NSE - Other Index Options'!$H:$H,"Weekly*")=0,"",SUMIFS('NSE - NIFTY Index Options'!$M:$M,'NSE - NIFTY Index Options'!$D:$D,$A139,'NSE - NIFTY Index Options'!$B:$B,"Friday",'NSE - NIFTY Index Options'!$H:$H,"Weekly*")+SUMIFS('NSE - Other Index Options'!$M:$M,'NSE - Other Index Options'!$D:$D,$A139,'NSE - Other Index Options'!$B:$B,"Friday",'NSE - Other Index Options'!$H:$H,"Weekly*"))</f>
        <v/>
      </c>
      <c r="C139" s="26">
        <f>IF(SUMIFS('BSE - SENSEX Index Options'!$M:$M,'BSE - SENSEX Index Options'!$D:$D,$A139,'BSE - SENSEX Index Options'!$B:$B,"Friday",'BSE - SENSEX Index Options'!$H:$H,"Weekly*")+SUMIFS('BSE - Other Index Options'!$M:$M,'BSE - Other Index Options'!$D:$D,$A139,'BSE - Other Index Options'!$B:$B,"Friday",'BSE - Other Index Options'!$H:$H,"Weekly*")=0,"",SUMIFS('BSE - SENSEX Index Options'!$M:$M,'BSE - SENSEX Index Options'!$D:$D,$A139,'BSE - SENSEX Index Options'!$B:$B,"Friday",'BSE - SENSEX Index Options'!$H:$H,"Weekly*")+SUMIFS('BSE - Other Index Options'!$M:$M,'BSE - Other Index Options'!$D:$D,$A139,'BSE - Other Index Options'!$B:$B,"Friday",'BSE - Other Index Options'!$H:$H,"Weekly*"))</f>
        <v/>
      </c>
      <c r="D139" s="27">
        <f>IF(SUM(B139:C139)=0,"",SUM(B139)/SUM(B139:C139))</f>
        <v/>
      </c>
      <c r="E139" s="27">
        <f>IF(SUM(B139:C139)=0,"",SUM(C139)/SUM(B139:C139))</f>
        <v/>
      </c>
    </row>
    <row r="140">
      <c r="A140" s="24" t="n">
        <v>46113</v>
      </c>
      <c r="B140" s="26">
        <f>IF(SUMIFS('NSE - NIFTY Index Options'!$M:$M,'NSE - NIFTY Index Options'!$D:$D,$A140,'NSE - NIFTY Index Options'!$B:$B,"Friday",'NSE - NIFTY Index Options'!$H:$H,"Weekly*")+SUMIFS('NSE - Other Index Options'!$M:$M,'NSE - Other Index Options'!$D:$D,$A140,'NSE - Other Index Options'!$B:$B,"Friday",'NSE - Other Index Options'!$H:$H,"Weekly*")=0,"",SUMIFS('NSE - NIFTY Index Options'!$M:$M,'NSE - NIFTY Index Options'!$D:$D,$A140,'NSE - NIFTY Index Options'!$B:$B,"Friday",'NSE - NIFTY Index Options'!$H:$H,"Weekly*")+SUMIFS('NSE - Other Index Options'!$M:$M,'NSE - Other Index Options'!$D:$D,$A140,'NSE - Other Index Options'!$B:$B,"Friday",'NSE - Other Index Options'!$H:$H,"Weekly*"))</f>
        <v/>
      </c>
      <c r="C140" s="26">
        <f>IF(SUMIFS('BSE - SENSEX Index Options'!$M:$M,'BSE - SENSEX Index Options'!$D:$D,$A140,'BSE - SENSEX Index Options'!$B:$B,"Friday",'BSE - SENSEX Index Options'!$H:$H,"Weekly*")+SUMIFS('BSE - Other Index Options'!$M:$M,'BSE - Other Index Options'!$D:$D,$A140,'BSE - Other Index Options'!$B:$B,"Friday",'BSE - Other Index Options'!$H:$H,"Weekly*")=0,"",SUMIFS('BSE - SENSEX Index Options'!$M:$M,'BSE - SENSEX Index Options'!$D:$D,$A140,'BSE - SENSEX Index Options'!$B:$B,"Friday",'BSE - SENSEX Index Options'!$H:$H,"Weekly*")+SUMIFS('BSE - Other Index Options'!$M:$M,'BSE - Other Index Options'!$D:$D,$A140,'BSE - Other Index Options'!$B:$B,"Friday",'BSE - Other Index Options'!$H:$H,"Weekly*"))</f>
        <v/>
      </c>
      <c r="D140" s="27">
        <f>IF(SUM(B140:C140)=0,"",SUM(B140)/SUM(B140:C140))</f>
        <v/>
      </c>
      <c r="E140" s="27">
        <f>IF(SUM(B140:C140)=0,"",SUM(C140)/SUM(B140:C140))</f>
        <v/>
      </c>
    </row>
    <row r="141">
      <c r="A141" s="24" t="n">
        <v>46143</v>
      </c>
      <c r="B141" s="26">
        <f>IF(SUMIFS('NSE - NIFTY Index Options'!$M:$M,'NSE - NIFTY Index Options'!$D:$D,$A141,'NSE - NIFTY Index Options'!$B:$B,"Friday",'NSE - NIFTY Index Options'!$H:$H,"Weekly*")+SUMIFS('NSE - Other Index Options'!$M:$M,'NSE - Other Index Options'!$D:$D,$A141,'NSE - Other Index Options'!$B:$B,"Friday",'NSE - Other Index Options'!$H:$H,"Weekly*")=0,"",SUMIFS('NSE - NIFTY Index Options'!$M:$M,'NSE - NIFTY Index Options'!$D:$D,$A141,'NSE - NIFTY Index Options'!$B:$B,"Friday",'NSE - NIFTY Index Options'!$H:$H,"Weekly*")+SUMIFS('NSE - Other Index Options'!$M:$M,'NSE - Other Index Options'!$D:$D,$A141,'NSE - Other Index Options'!$B:$B,"Friday",'NSE - Other Index Options'!$H:$H,"Weekly*"))</f>
        <v/>
      </c>
      <c r="C141" s="26">
        <f>IF(SUMIFS('BSE - SENSEX Index Options'!$M:$M,'BSE - SENSEX Index Options'!$D:$D,$A141,'BSE - SENSEX Index Options'!$B:$B,"Friday",'BSE - SENSEX Index Options'!$H:$H,"Weekly*")+SUMIFS('BSE - Other Index Options'!$M:$M,'BSE - Other Index Options'!$D:$D,$A141,'BSE - Other Index Options'!$B:$B,"Friday",'BSE - Other Index Options'!$H:$H,"Weekly*")=0,"",SUMIFS('BSE - SENSEX Index Options'!$M:$M,'BSE - SENSEX Index Options'!$D:$D,$A141,'BSE - SENSEX Index Options'!$B:$B,"Friday",'BSE - SENSEX Index Options'!$H:$H,"Weekly*")+SUMIFS('BSE - Other Index Options'!$M:$M,'BSE - Other Index Options'!$D:$D,$A141,'BSE - Other Index Options'!$B:$B,"Friday",'BSE - Other Index Options'!$H:$H,"Weekly*"))</f>
        <v/>
      </c>
      <c r="D141" s="27">
        <f>IF(SUM(B141:C141)=0,"",SUM(B141)/SUM(B141:C141))</f>
        <v/>
      </c>
      <c r="E141" s="27">
        <f>IF(SUM(B141:C141)=0,"",SUM(C141)/SUM(B141:C141))</f>
        <v/>
      </c>
    </row>
    <row r="142">
      <c r="A142" s="24" t="n">
        <v>46174</v>
      </c>
      <c r="B142" s="26">
        <f>IF(SUMIFS('NSE - NIFTY Index Options'!$M:$M,'NSE - NIFTY Index Options'!$D:$D,$A142,'NSE - NIFTY Index Options'!$B:$B,"Friday",'NSE - NIFTY Index Options'!$H:$H,"Weekly*")+SUMIFS('NSE - Other Index Options'!$M:$M,'NSE - Other Index Options'!$D:$D,$A142,'NSE - Other Index Options'!$B:$B,"Friday",'NSE - Other Index Options'!$H:$H,"Weekly*")=0,"",SUMIFS('NSE - NIFTY Index Options'!$M:$M,'NSE - NIFTY Index Options'!$D:$D,$A142,'NSE - NIFTY Index Options'!$B:$B,"Friday",'NSE - NIFTY Index Options'!$H:$H,"Weekly*")+SUMIFS('NSE - Other Index Options'!$M:$M,'NSE - Other Index Options'!$D:$D,$A142,'NSE - Other Index Options'!$B:$B,"Friday",'NSE - Other Index Options'!$H:$H,"Weekly*"))</f>
        <v/>
      </c>
      <c r="C142" s="26">
        <f>IF(SUMIFS('BSE - SENSEX Index Options'!$M:$M,'BSE - SENSEX Index Options'!$D:$D,$A142,'BSE - SENSEX Index Options'!$B:$B,"Friday",'BSE - SENSEX Index Options'!$H:$H,"Weekly*")+SUMIFS('BSE - Other Index Options'!$M:$M,'BSE - Other Index Options'!$D:$D,$A142,'BSE - Other Index Options'!$B:$B,"Friday",'BSE - Other Index Options'!$H:$H,"Weekly*")=0,"",SUMIFS('BSE - SENSEX Index Options'!$M:$M,'BSE - SENSEX Index Options'!$D:$D,$A142,'BSE - SENSEX Index Options'!$B:$B,"Friday",'BSE - SENSEX Index Options'!$H:$H,"Weekly*")+SUMIFS('BSE - Other Index Options'!$M:$M,'BSE - Other Index Options'!$D:$D,$A142,'BSE - Other Index Options'!$B:$B,"Friday",'BSE - Other Index Options'!$H:$H,"Weekly*"))</f>
        <v/>
      </c>
      <c r="D142" s="27">
        <f>IF(SUM(B142:C142)=0,"",SUM(B142)/SUM(B142:C142))</f>
        <v/>
      </c>
      <c r="E142" s="27">
        <f>IF(SUM(B142:C142)=0,"",SUM(C142)/SUM(B142:C142))</f>
        <v/>
      </c>
    </row>
    <row r="143">
      <c r="A143" s="24" t="n">
        <v>46204</v>
      </c>
      <c r="B143" s="26">
        <f>IF(SUMIFS('NSE - NIFTY Index Options'!$M:$M,'NSE - NIFTY Index Options'!$D:$D,$A143,'NSE - NIFTY Index Options'!$B:$B,"Friday",'NSE - NIFTY Index Options'!$H:$H,"Weekly*")+SUMIFS('NSE - Other Index Options'!$M:$M,'NSE - Other Index Options'!$D:$D,$A143,'NSE - Other Index Options'!$B:$B,"Friday",'NSE - Other Index Options'!$H:$H,"Weekly*")=0,"",SUMIFS('NSE - NIFTY Index Options'!$M:$M,'NSE - NIFTY Index Options'!$D:$D,$A143,'NSE - NIFTY Index Options'!$B:$B,"Friday",'NSE - NIFTY Index Options'!$H:$H,"Weekly*")+SUMIFS('NSE - Other Index Options'!$M:$M,'NSE - Other Index Options'!$D:$D,$A143,'NSE - Other Index Options'!$B:$B,"Friday",'NSE - Other Index Options'!$H:$H,"Weekly*"))</f>
        <v/>
      </c>
      <c r="C143" s="26">
        <f>IF(SUMIFS('BSE - SENSEX Index Options'!$M:$M,'BSE - SENSEX Index Options'!$D:$D,$A143,'BSE - SENSEX Index Options'!$B:$B,"Friday",'BSE - SENSEX Index Options'!$H:$H,"Weekly*")+SUMIFS('BSE - Other Index Options'!$M:$M,'BSE - Other Index Options'!$D:$D,$A143,'BSE - Other Index Options'!$B:$B,"Friday",'BSE - Other Index Options'!$H:$H,"Weekly*")=0,"",SUMIFS('BSE - SENSEX Index Options'!$M:$M,'BSE - SENSEX Index Options'!$D:$D,$A143,'BSE - SENSEX Index Options'!$B:$B,"Friday",'BSE - SENSEX Index Options'!$H:$H,"Weekly*")+SUMIFS('BSE - Other Index Options'!$M:$M,'BSE - Other Index Options'!$D:$D,$A143,'BSE - Other Index Options'!$B:$B,"Friday",'BSE - Other Index Options'!$H:$H,"Weekly*"))</f>
        <v/>
      </c>
      <c r="D143" s="27">
        <f>IF(SUM(B143:C143)=0,"",SUM(B143)/SUM(B143:C143))</f>
        <v/>
      </c>
      <c r="E143" s="27">
        <f>IF(SUM(B143:C143)=0,"",SUM(C143)/SUM(B143:C143))</f>
        <v/>
      </c>
    </row>
    <row r="144">
      <c r="A144" s="24" t="n">
        <v>46235</v>
      </c>
      <c r="B144" s="26">
        <f>IF(SUMIFS('NSE - NIFTY Index Options'!$M:$M,'NSE - NIFTY Index Options'!$D:$D,$A144,'NSE - NIFTY Index Options'!$B:$B,"Friday",'NSE - NIFTY Index Options'!$H:$H,"Weekly*")+SUMIFS('NSE - Other Index Options'!$M:$M,'NSE - Other Index Options'!$D:$D,$A144,'NSE - Other Index Options'!$B:$B,"Friday",'NSE - Other Index Options'!$H:$H,"Weekly*")=0,"",SUMIFS('NSE - NIFTY Index Options'!$M:$M,'NSE - NIFTY Index Options'!$D:$D,$A144,'NSE - NIFTY Index Options'!$B:$B,"Friday",'NSE - NIFTY Index Options'!$H:$H,"Weekly*")+SUMIFS('NSE - Other Index Options'!$M:$M,'NSE - Other Index Options'!$D:$D,$A144,'NSE - Other Index Options'!$B:$B,"Friday",'NSE - Other Index Options'!$H:$H,"Weekly*"))</f>
        <v/>
      </c>
      <c r="C144" s="26">
        <f>IF(SUMIFS('BSE - SENSEX Index Options'!$M:$M,'BSE - SENSEX Index Options'!$D:$D,$A144,'BSE - SENSEX Index Options'!$B:$B,"Friday",'BSE - SENSEX Index Options'!$H:$H,"Weekly*")+SUMIFS('BSE - Other Index Options'!$M:$M,'BSE - Other Index Options'!$D:$D,$A144,'BSE - Other Index Options'!$B:$B,"Friday",'BSE - Other Index Options'!$H:$H,"Weekly*")=0,"",SUMIFS('BSE - SENSEX Index Options'!$M:$M,'BSE - SENSEX Index Options'!$D:$D,$A144,'BSE - SENSEX Index Options'!$B:$B,"Friday",'BSE - SENSEX Index Options'!$H:$H,"Weekly*")+SUMIFS('BSE - Other Index Options'!$M:$M,'BSE - Other Index Options'!$D:$D,$A144,'BSE - Other Index Options'!$B:$B,"Friday",'BSE - Other Index Options'!$H:$H,"Weekly*"))</f>
        <v/>
      </c>
      <c r="D144" s="27">
        <f>IF(SUM(B144:C144)=0,"",SUM(B144)/SUM(B144:C144))</f>
        <v/>
      </c>
      <c r="E144" s="27">
        <f>IF(SUM(B144:C144)=0,"",SUM(C144)/SUM(B144:C144))</f>
        <v/>
      </c>
    </row>
    <row r="145" hidden="1" outlineLevel="1">
      <c r="A145" s="24" t="n">
        <v>46266</v>
      </c>
      <c r="B145" s="26">
        <f>IF(SUMIFS('NSE - NIFTY Index Options'!$M:$M,'NSE - NIFTY Index Options'!$D:$D,$A145,'NSE - NIFTY Index Options'!$B:$B,"Friday",'NSE - NIFTY Index Options'!$H:$H,"Weekly*")+SUMIFS('NSE - Other Index Options'!$M:$M,'NSE - Other Index Options'!$D:$D,$A145,'NSE - Other Index Options'!$B:$B,"Friday",'NSE - Other Index Options'!$H:$H,"Weekly*")=0,"",SUMIFS('NSE - NIFTY Index Options'!$M:$M,'NSE - NIFTY Index Options'!$D:$D,$A145,'NSE - NIFTY Index Options'!$B:$B,"Friday",'NSE - NIFTY Index Options'!$H:$H,"Weekly*")+SUMIFS('NSE - Other Index Options'!$M:$M,'NSE - Other Index Options'!$D:$D,$A145,'NSE - Other Index Options'!$B:$B,"Friday",'NSE - Other Index Options'!$H:$H,"Weekly*"))</f>
        <v/>
      </c>
      <c r="C145" s="26">
        <f>IF(SUMIFS('BSE - SENSEX Index Options'!$M:$M,'BSE - SENSEX Index Options'!$D:$D,$A145,'BSE - SENSEX Index Options'!$B:$B,"Friday",'BSE - SENSEX Index Options'!$H:$H,"Weekly*")+SUMIFS('BSE - Other Index Options'!$M:$M,'BSE - Other Index Options'!$D:$D,$A145,'BSE - Other Index Options'!$B:$B,"Friday",'BSE - Other Index Options'!$H:$H,"Weekly*")=0,"",SUMIFS('BSE - SENSEX Index Options'!$M:$M,'BSE - SENSEX Index Options'!$D:$D,$A145,'BSE - SENSEX Index Options'!$B:$B,"Friday",'BSE - SENSEX Index Options'!$H:$H,"Weekly*")+SUMIFS('BSE - Other Index Options'!$M:$M,'BSE - Other Index Options'!$D:$D,$A145,'BSE - Other Index Options'!$B:$B,"Friday",'BSE - Other Index Options'!$H:$H,"Weekly*"))</f>
        <v/>
      </c>
      <c r="D145" s="27">
        <f>IF(SUM(B145:C145)=0,"",SUM(B145)/SUM(B145:C145))</f>
        <v/>
      </c>
      <c r="E145" s="27">
        <f>IF(SUM(B145:C145)=0,"",SUM(C145)/SUM(B145:C145))</f>
        <v/>
      </c>
    </row>
    <row r="146" hidden="1" outlineLevel="1">
      <c r="A146" s="24" t="n">
        <v>46296</v>
      </c>
      <c r="B146" s="26">
        <f>IF(SUMIFS('NSE - NIFTY Index Options'!$M:$M,'NSE - NIFTY Index Options'!$D:$D,$A146,'NSE - NIFTY Index Options'!$B:$B,"Friday",'NSE - NIFTY Index Options'!$H:$H,"Weekly*")+SUMIFS('NSE - Other Index Options'!$M:$M,'NSE - Other Index Options'!$D:$D,$A146,'NSE - Other Index Options'!$B:$B,"Friday",'NSE - Other Index Options'!$H:$H,"Weekly*")=0,"",SUMIFS('NSE - NIFTY Index Options'!$M:$M,'NSE - NIFTY Index Options'!$D:$D,$A146,'NSE - NIFTY Index Options'!$B:$B,"Friday",'NSE - NIFTY Index Options'!$H:$H,"Weekly*")+SUMIFS('NSE - Other Index Options'!$M:$M,'NSE - Other Index Options'!$D:$D,$A146,'NSE - Other Index Options'!$B:$B,"Friday",'NSE - Other Index Options'!$H:$H,"Weekly*"))</f>
        <v/>
      </c>
      <c r="C146" s="26">
        <f>IF(SUMIFS('BSE - SENSEX Index Options'!$M:$M,'BSE - SENSEX Index Options'!$D:$D,$A146,'BSE - SENSEX Index Options'!$B:$B,"Friday",'BSE - SENSEX Index Options'!$H:$H,"Weekly*")+SUMIFS('BSE - Other Index Options'!$M:$M,'BSE - Other Index Options'!$D:$D,$A146,'BSE - Other Index Options'!$B:$B,"Friday",'BSE - Other Index Options'!$H:$H,"Weekly*")=0,"",SUMIFS('BSE - SENSEX Index Options'!$M:$M,'BSE - SENSEX Index Options'!$D:$D,$A146,'BSE - SENSEX Index Options'!$B:$B,"Friday",'BSE - SENSEX Index Options'!$H:$H,"Weekly*")+SUMIFS('BSE - Other Index Options'!$M:$M,'BSE - Other Index Options'!$D:$D,$A146,'BSE - Other Index Options'!$B:$B,"Friday",'BSE - Other Index Options'!$H:$H,"Weekly*"))</f>
        <v/>
      </c>
      <c r="D146" s="27">
        <f>IF(SUM(B146:C146)=0,"",SUM(B146)/SUM(B146:C146))</f>
        <v/>
      </c>
      <c r="E146" s="27">
        <f>IF(SUM(B146:C146)=0,"",SUM(C146)/SUM(B146:C146))</f>
        <v/>
      </c>
    </row>
    <row r="147" hidden="1" outlineLevel="1">
      <c r="A147" s="24" t="n">
        <v>46327</v>
      </c>
      <c r="B147" s="26">
        <f>IF(SUMIFS('NSE - NIFTY Index Options'!$M:$M,'NSE - NIFTY Index Options'!$D:$D,$A147,'NSE - NIFTY Index Options'!$B:$B,"Friday",'NSE - NIFTY Index Options'!$H:$H,"Weekly*")+SUMIFS('NSE - Other Index Options'!$M:$M,'NSE - Other Index Options'!$D:$D,$A147,'NSE - Other Index Options'!$B:$B,"Friday",'NSE - Other Index Options'!$H:$H,"Weekly*")=0,"",SUMIFS('NSE - NIFTY Index Options'!$M:$M,'NSE - NIFTY Index Options'!$D:$D,$A147,'NSE - NIFTY Index Options'!$B:$B,"Friday",'NSE - NIFTY Index Options'!$H:$H,"Weekly*")+SUMIFS('NSE - Other Index Options'!$M:$M,'NSE - Other Index Options'!$D:$D,$A147,'NSE - Other Index Options'!$B:$B,"Friday",'NSE - Other Index Options'!$H:$H,"Weekly*"))</f>
        <v/>
      </c>
      <c r="C147" s="26">
        <f>IF(SUMIFS('BSE - SENSEX Index Options'!$M:$M,'BSE - SENSEX Index Options'!$D:$D,$A147,'BSE - SENSEX Index Options'!$B:$B,"Friday",'BSE - SENSEX Index Options'!$H:$H,"Weekly*")+SUMIFS('BSE - Other Index Options'!$M:$M,'BSE - Other Index Options'!$D:$D,$A147,'BSE - Other Index Options'!$B:$B,"Friday",'BSE - Other Index Options'!$H:$H,"Weekly*")=0,"",SUMIFS('BSE - SENSEX Index Options'!$M:$M,'BSE - SENSEX Index Options'!$D:$D,$A147,'BSE - SENSEX Index Options'!$B:$B,"Friday",'BSE - SENSEX Index Options'!$H:$H,"Weekly*")+SUMIFS('BSE - Other Index Options'!$M:$M,'BSE - Other Index Options'!$D:$D,$A147,'BSE - Other Index Options'!$B:$B,"Friday",'BSE - Other Index Options'!$H:$H,"Weekly*"))</f>
        <v/>
      </c>
      <c r="D147" s="27">
        <f>IF(SUM(B147:C147)=0,"",SUM(B147)/SUM(B147:C147))</f>
        <v/>
      </c>
      <c r="E147" s="27">
        <f>IF(SUM(B147:C147)=0,"",SUM(C147)/SUM(B147:C147))</f>
        <v/>
      </c>
    </row>
    <row r="148" hidden="1" outlineLevel="1">
      <c r="A148" s="24" t="n">
        <v>46357</v>
      </c>
      <c r="B148" s="26">
        <f>IF(SUMIFS('NSE - NIFTY Index Options'!$M:$M,'NSE - NIFTY Index Options'!$D:$D,$A148,'NSE - NIFTY Index Options'!$B:$B,"Friday",'NSE - NIFTY Index Options'!$H:$H,"Weekly*")+SUMIFS('NSE - Other Index Options'!$M:$M,'NSE - Other Index Options'!$D:$D,$A148,'NSE - Other Index Options'!$B:$B,"Friday",'NSE - Other Index Options'!$H:$H,"Weekly*")=0,"",SUMIFS('NSE - NIFTY Index Options'!$M:$M,'NSE - NIFTY Index Options'!$D:$D,$A148,'NSE - NIFTY Index Options'!$B:$B,"Friday",'NSE - NIFTY Index Options'!$H:$H,"Weekly*")+SUMIFS('NSE - Other Index Options'!$M:$M,'NSE - Other Index Options'!$D:$D,$A148,'NSE - Other Index Options'!$B:$B,"Friday",'NSE - Other Index Options'!$H:$H,"Weekly*"))</f>
        <v/>
      </c>
      <c r="C148" s="26">
        <f>IF(SUMIFS('BSE - SENSEX Index Options'!$M:$M,'BSE - SENSEX Index Options'!$D:$D,$A148,'BSE - SENSEX Index Options'!$B:$B,"Friday",'BSE - SENSEX Index Options'!$H:$H,"Weekly*")+SUMIFS('BSE - Other Index Options'!$M:$M,'BSE - Other Index Options'!$D:$D,$A148,'BSE - Other Index Options'!$B:$B,"Friday",'BSE - Other Index Options'!$H:$H,"Weekly*")=0,"",SUMIFS('BSE - SENSEX Index Options'!$M:$M,'BSE - SENSEX Index Options'!$D:$D,$A148,'BSE - SENSEX Index Options'!$B:$B,"Friday",'BSE - SENSEX Index Options'!$H:$H,"Weekly*")+SUMIFS('BSE - Other Index Options'!$M:$M,'BSE - Other Index Options'!$D:$D,$A148,'BSE - Other Index Options'!$B:$B,"Friday",'BSE - Other Index Options'!$H:$H,"Weekly*"))</f>
        <v/>
      </c>
      <c r="D148" s="27">
        <f>IF(SUM(B148:C148)=0,"",SUM(B148)/SUM(B148:C148))</f>
        <v/>
      </c>
      <c r="E148" s="27">
        <f>IF(SUM(B148:C148)=0,"",SUM(C148)/SUM(B148:C148))</f>
        <v/>
      </c>
    </row>
    <row r="149" hidden="1" outlineLevel="1">
      <c r="A149" s="24" t="n">
        <v>46388</v>
      </c>
      <c r="B149" s="26">
        <f>IF(SUMIFS('NSE - NIFTY Index Options'!$M:$M,'NSE - NIFTY Index Options'!$D:$D,$A149,'NSE - NIFTY Index Options'!$B:$B,"Friday",'NSE - NIFTY Index Options'!$H:$H,"Weekly*")+SUMIFS('NSE - Other Index Options'!$M:$M,'NSE - Other Index Options'!$D:$D,$A149,'NSE - Other Index Options'!$B:$B,"Friday",'NSE - Other Index Options'!$H:$H,"Weekly*")=0,"",SUMIFS('NSE - NIFTY Index Options'!$M:$M,'NSE - NIFTY Index Options'!$D:$D,$A149,'NSE - NIFTY Index Options'!$B:$B,"Friday",'NSE - NIFTY Index Options'!$H:$H,"Weekly*")+SUMIFS('NSE - Other Index Options'!$M:$M,'NSE - Other Index Options'!$D:$D,$A149,'NSE - Other Index Options'!$B:$B,"Friday",'NSE - Other Index Options'!$H:$H,"Weekly*"))</f>
        <v/>
      </c>
      <c r="C149" s="26">
        <f>IF(SUMIFS('BSE - SENSEX Index Options'!$M:$M,'BSE - SENSEX Index Options'!$D:$D,$A149,'BSE - SENSEX Index Options'!$B:$B,"Friday",'BSE - SENSEX Index Options'!$H:$H,"Weekly*")+SUMIFS('BSE - Other Index Options'!$M:$M,'BSE - Other Index Options'!$D:$D,$A149,'BSE - Other Index Options'!$B:$B,"Friday",'BSE - Other Index Options'!$H:$H,"Weekly*")=0,"",SUMIFS('BSE - SENSEX Index Options'!$M:$M,'BSE - SENSEX Index Options'!$D:$D,$A149,'BSE - SENSEX Index Options'!$B:$B,"Friday",'BSE - SENSEX Index Options'!$H:$H,"Weekly*")+SUMIFS('BSE - Other Index Options'!$M:$M,'BSE - Other Index Options'!$D:$D,$A149,'BSE - Other Index Options'!$B:$B,"Friday",'BSE - Other Index Options'!$H:$H,"Weekly*"))</f>
        <v/>
      </c>
      <c r="D149" s="27">
        <f>IF(SUM(B149:C149)=0,"",SUM(B149)/SUM(B149:C149))</f>
        <v/>
      </c>
      <c r="E149" s="27">
        <f>IF(SUM(B149:C149)=0,"",SUM(C149)/SUM(B149:C149))</f>
        <v/>
      </c>
    </row>
    <row r="150" hidden="1" outlineLevel="1">
      <c r="A150" s="24" t="n">
        <v>46419</v>
      </c>
      <c r="B150" s="26">
        <f>IF(SUMIFS('NSE - NIFTY Index Options'!$M:$M,'NSE - NIFTY Index Options'!$D:$D,$A150,'NSE - NIFTY Index Options'!$B:$B,"Friday",'NSE - NIFTY Index Options'!$H:$H,"Weekly*")+SUMIFS('NSE - Other Index Options'!$M:$M,'NSE - Other Index Options'!$D:$D,$A150,'NSE - Other Index Options'!$B:$B,"Friday",'NSE - Other Index Options'!$H:$H,"Weekly*")=0,"",SUMIFS('NSE - NIFTY Index Options'!$M:$M,'NSE - NIFTY Index Options'!$D:$D,$A150,'NSE - NIFTY Index Options'!$B:$B,"Friday",'NSE - NIFTY Index Options'!$H:$H,"Weekly*")+SUMIFS('NSE - Other Index Options'!$M:$M,'NSE - Other Index Options'!$D:$D,$A150,'NSE - Other Index Options'!$B:$B,"Friday",'NSE - Other Index Options'!$H:$H,"Weekly*"))</f>
        <v/>
      </c>
      <c r="C150" s="26">
        <f>IF(SUMIFS('BSE - SENSEX Index Options'!$M:$M,'BSE - SENSEX Index Options'!$D:$D,$A150,'BSE - SENSEX Index Options'!$B:$B,"Friday",'BSE - SENSEX Index Options'!$H:$H,"Weekly*")+SUMIFS('BSE - Other Index Options'!$M:$M,'BSE - Other Index Options'!$D:$D,$A150,'BSE - Other Index Options'!$B:$B,"Friday",'BSE - Other Index Options'!$H:$H,"Weekly*")=0,"",SUMIFS('BSE - SENSEX Index Options'!$M:$M,'BSE - SENSEX Index Options'!$D:$D,$A150,'BSE - SENSEX Index Options'!$B:$B,"Friday",'BSE - SENSEX Index Options'!$H:$H,"Weekly*")+SUMIFS('BSE - Other Index Options'!$M:$M,'BSE - Other Index Options'!$D:$D,$A150,'BSE - Other Index Options'!$B:$B,"Friday",'BSE - Other Index Options'!$H:$H,"Weekly*"))</f>
        <v/>
      </c>
      <c r="D150" s="27">
        <f>IF(SUM(B150:C150)=0,"",SUM(B150)/SUM(B150:C150))</f>
        <v/>
      </c>
      <c r="E150" s="27">
        <f>IF(SUM(B150:C150)=0,"",SUM(C150)/SUM(B150:C150))</f>
        <v/>
      </c>
    </row>
    <row r="151" hidden="1" outlineLevel="1">
      <c r="A151" s="24" t="n">
        <v>46447</v>
      </c>
      <c r="B151" s="26">
        <f>IF(SUMIFS('NSE - NIFTY Index Options'!$M:$M,'NSE - NIFTY Index Options'!$D:$D,$A151,'NSE - NIFTY Index Options'!$B:$B,"Friday",'NSE - NIFTY Index Options'!$H:$H,"Weekly*")+SUMIFS('NSE - Other Index Options'!$M:$M,'NSE - Other Index Options'!$D:$D,$A151,'NSE - Other Index Options'!$B:$B,"Friday",'NSE - Other Index Options'!$H:$H,"Weekly*")=0,"",SUMIFS('NSE - NIFTY Index Options'!$M:$M,'NSE - NIFTY Index Options'!$D:$D,$A151,'NSE - NIFTY Index Options'!$B:$B,"Friday",'NSE - NIFTY Index Options'!$H:$H,"Weekly*")+SUMIFS('NSE - Other Index Options'!$M:$M,'NSE - Other Index Options'!$D:$D,$A151,'NSE - Other Index Options'!$B:$B,"Friday",'NSE - Other Index Options'!$H:$H,"Weekly*"))</f>
        <v/>
      </c>
      <c r="C151" s="26">
        <f>IF(SUMIFS('BSE - SENSEX Index Options'!$M:$M,'BSE - SENSEX Index Options'!$D:$D,$A151,'BSE - SENSEX Index Options'!$B:$B,"Friday",'BSE - SENSEX Index Options'!$H:$H,"Weekly*")+SUMIFS('BSE - Other Index Options'!$M:$M,'BSE - Other Index Options'!$D:$D,$A151,'BSE - Other Index Options'!$B:$B,"Friday",'BSE - Other Index Options'!$H:$H,"Weekly*")=0,"",SUMIFS('BSE - SENSEX Index Options'!$M:$M,'BSE - SENSEX Index Options'!$D:$D,$A151,'BSE - SENSEX Index Options'!$B:$B,"Friday",'BSE - SENSEX Index Options'!$H:$H,"Weekly*")+SUMIFS('BSE - Other Index Options'!$M:$M,'BSE - Other Index Options'!$D:$D,$A151,'BSE - Other Index Options'!$B:$B,"Friday",'BSE - Other Index Options'!$H:$H,"Weekly*"))</f>
        <v/>
      </c>
      <c r="D151" s="27">
        <f>IF(SUM(B151:C151)=0,"",SUM(B151)/SUM(B151:C151))</f>
        <v/>
      </c>
      <c r="E151" s="27">
        <f>IF(SUM(B151:C151)=0,"",SUM(C151)/SUM(B151:C151))</f>
        <v/>
      </c>
    </row>
    <row r="152" hidden="1" outlineLevel="1">
      <c r="A152" s="24" t="n">
        <v>46478</v>
      </c>
      <c r="B152" s="26">
        <f>IF(SUMIFS('NSE - NIFTY Index Options'!$M:$M,'NSE - NIFTY Index Options'!$D:$D,$A152,'NSE - NIFTY Index Options'!$B:$B,"Friday",'NSE - NIFTY Index Options'!$H:$H,"Weekly*")+SUMIFS('NSE - Other Index Options'!$M:$M,'NSE - Other Index Options'!$D:$D,$A152,'NSE - Other Index Options'!$B:$B,"Friday",'NSE - Other Index Options'!$H:$H,"Weekly*")=0,"",SUMIFS('NSE - NIFTY Index Options'!$M:$M,'NSE - NIFTY Index Options'!$D:$D,$A152,'NSE - NIFTY Index Options'!$B:$B,"Friday",'NSE - NIFTY Index Options'!$H:$H,"Weekly*")+SUMIFS('NSE - Other Index Options'!$M:$M,'NSE - Other Index Options'!$D:$D,$A152,'NSE - Other Index Options'!$B:$B,"Friday",'NSE - Other Index Options'!$H:$H,"Weekly*"))</f>
        <v/>
      </c>
      <c r="C152" s="26">
        <f>IF(SUMIFS('BSE - SENSEX Index Options'!$M:$M,'BSE - SENSEX Index Options'!$D:$D,$A152,'BSE - SENSEX Index Options'!$B:$B,"Friday",'BSE - SENSEX Index Options'!$H:$H,"Weekly*")+SUMIFS('BSE - Other Index Options'!$M:$M,'BSE - Other Index Options'!$D:$D,$A152,'BSE - Other Index Options'!$B:$B,"Friday",'BSE - Other Index Options'!$H:$H,"Weekly*")=0,"",SUMIFS('BSE - SENSEX Index Options'!$M:$M,'BSE - SENSEX Index Options'!$D:$D,$A152,'BSE - SENSEX Index Options'!$B:$B,"Friday",'BSE - SENSEX Index Options'!$H:$H,"Weekly*")+SUMIFS('BSE - Other Index Options'!$M:$M,'BSE - Other Index Options'!$D:$D,$A152,'BSE - Other Index Options'!$B:$B,"Friday",'BSE - Other Index Options'!$H:$H,"Weekly*"))</f>
        <v/>
      </c>
      <c r="D152" s="27">
        <f>IF(SUM(B152:C152)=0,"",SUM(B152)/SUM(B152:C152))</f>
        <v/>
      </c>
      <c r="E152" s="27">
        <f>IF(SUM(B152:C152)=0,"",SUM(C152)/SUM(B152:C152))</f>
        <v/>
      </c>
    </row>
    <row r="153" hidden="1" outlineLevel="1">
      <c r="A153" s="24" t="n">
        <v>46508</v>
      </c>
      <c r="B153" s="26">
        <f>IF(SUMIFS('NSE - NIFTY Index Options'!$M:$M,'NSE - NIFTY Index Options'!$D:$D,$A153,'NSE - NIFTY Index Options'!$B:$B,"Friday",'NSE - NIFTY Index Options'!$H:$H,"Weekly*")+SUMIFS('NSE - Other Index Options'!$M:$M,'NSE - Other Index Options'!$D:$D,$A153,'NSE - Other Index Options'!$B:$B,"Friday",'NSE - Other Index Options'!$H:$H,"Weekly*")=0,"",SUMIFS('NSE - NIFTY Index Options'!$M:$M,'NSE - NIFTY Index Options'!$D:$D,$A153,'NSE - NIFTY Index Options'!$B:$B,"Friday",'NSE - NIFTY Index Options'!$H:$H,"Weekly*")+SUMIFS('NSE - Other Index Options'!$M:$M,'NSE - Other Index Options'!$D:$D,$A153,'NSE - Other Index Options'!$B:$B,"Friday",'NSE - Other Index Options'!$H:$H,"Weekly*"))</f>
        <v/>
      </c>
      <c r="C153" s="26">
        <f>IF(SUMIFS('BSE - SENSEX Index Options'!$M:$M,'BSE - SENSEX Index Options'!$D:$D,$A153,'BSE - SENSEX Index Options'!$B:$B,"Friday",'BSE - SENSEX Index Options'!$H:$H,"Weekly*")+SUMIFS('BSE - Other Index Options'!$M:$M,'BSE - Other Index Options'!$D:$D,$A153,'BSE - Other Index Options'!$B:$B,"Friday",'BSE - Other Index Options'!$H:$H,"Weekly*")=0,"",SUMIFS('BSE - SENSEX Index Options'!$M:$M,'BSE - SENSEX Index Options'!$D:$D,$A153,'BSE - SENSEX Index Options'!$B:$B,"Friday",'BSE - SENSEX Index Options'!$H:$H,"Weekly*")+SUMIFS('BSE - Other Index Options'!$M:$M,'BSE - Other Index Options'!$D:$D,$A153,'BSE - Other Index Options'!$B:$B,"Friday",'BSE - Other Index Options'!$H:$H,"Weekly*"))</f>
        <v/>
      </c>
      <c r="D153" s="27">
        <f>IF(SUM(B153:C153)=0,"",SUM(B153)/SUM(B153:C153))</f>
        <v/>
      </c>
      <c r="E153" s="27">
        <f>IF(SUM(B153:C153)=0,"",SUM(C153)/SUM(B153:C153))</f>
        <v/>
      </c>
    </row>
    <row r="154" hidden="1" outlineLevel="1">
      <c r="A154" s="24" t="n">
        <v>46539</v>
      </c>
      <c r="B154" s="26">
        <f>IF(SUMIFS('NSE - NIFTY Index Options'!$M:$M,'NSE - NIFTY Index Options'!$D:$D,$A154,'NSE - NIFTY Index Options'!$B:$B,"Friday",'NSE - NIFTY Index Options'!$H:$H,"Weekly*")+SUMIFS('NSE - Other Index Options'!$M:$M,'NSE - Other Index Options'!$D:$D,$A154,'NSE - Other Index Options'!$B:$B,"Friday",'NSE - Other Index Options'!$H:$H,"Weekly*")=0,"",SUMIFS('NSE - NIFTY Index Options'!$M:$M,'NSE - NIFTY Index Options'!$D:$D,$A154,'NSE - NIFTY Index Options'!$B:$B,"Friday",'NSE - NIFTY Index Options'!$H:$H,"Weekly*")+SUMIFS('NSE - Other Index Options'!$M:$M,'NSE - Other Index Options'!$D:$D,$A154,'NSE - Other Index Options'!$B:$B,"Friday",'NSE - Other Index Options'!$H:$H,"Weekly*"))</f>
        <v/>
      </c>
      <c r="C154" s="26">
        <f>IF(SUMIFS('BSE - SENSEX Index Options'!$M:$M,'BSE - SENSEX Index Options'!$D:$D,$A154,'BSE - SENSEX Index Options'!$B:$B,"Friday",'BSE - SENSEX Index Options'!$H:$H,"Weekly*")+SUMIFS('BSE - Other Index Options'!$M:$M,'BSE - Other Index Options'!$D:$D,$A154,'BSE - Other Index Options'!$B:$B,"Friday",'BSE - Other Index Options'!$H:$H,"Weekly*")=0,"",SUMIFS('BSE - SENSEX Index Options'!$M:$M,'BSE - SENSEX Index Options'!$D:$D,$A154,'BSE - SENSEX Index Options'!$B:$B,"Friday",'BSE - SENSEX Index Options'!$H:$H,"Weekly*")+SUMIFS('BSE - Other Index Options'!$M:$M,'BSE - Other Index Options'!$D:$D,$A154,'BSE - Other Index Options'!$B:$B,"Friday",'BSE - Other Index Options'!$H:$H,"Weekly*"))</f>
        <v/>
      </c>
      <c r="D154" s="27">
        <f>IF(SUM(B154:C154)=0,"",SUM(B154)/SUM(B154:C154))</f>
        <v/>
      </c>
      <c r="E154" s="27">
        <f>IF(SUM(B154:C154)=0,"",SUM(C154)/SUM(B154:C154))</f>
        <v/>
      </c>
    </row>
    <row r="155" hidden="1" outlineLevel="1">
      <c r="A155" s="24" t="n">
        <v>46569</v>
      </c>
      <c r="B155" s="26">
        <f>IF(SUMIFS('NSE - NIFTY Index Options'!$M:$M,'NSE - NIFTY Index Options'!$D:$D,$A155,'NSE - NIFTY Index Options'!$B:$B,"Friday",'NSE - NIFTY Index Options'!$H:$H,"Weekly*")+SUMIFS('NSE - Other Index Options'!$M:$M,'NSE - Other Index Options'!$D:$D,$A155,'NSE - Other Index Options'!$B:$B,"Friday",'NSE - Other Index Options'!$H:$H,"Weekly*")=0,"",SUMIFS('NSE - NIFTY Index Options'!$M:$M,'NSE - NIFTY Index Options'!$D:$D,$A155,'NSE - NIFTY Index Options'!$B:$B,"Friday",'NSE - NIFTY Index Options'!$H:$H,"Weekly*")+SUMIFS('NSE - Other Index Options'!$M:$M,'NSE - Other Index Options'!$D:$D,$A155,'NSE - Other Index Options'!$B:$B,"Friday",'NSE - Other Index Options'!$H:$H,"Weekly*"))</f>
        <v/>
      </c>
      <c r="C155" s="26">
        <f>IF(SUMIFS('BSE - SENSEX Index Options'!$M:$M,'BSE - SENSEX Index Options'!$D:$D,$A155,'BSE - SENSEX Index Options'!$B:$B,"Friday",'BSE - SENSEX Index Options'!$H:$H,"Weekly*")+SUMIFS('BSE - Other Index Options'!$M:$M,'BSE - Other Index Options'!$D:$D,$A155,'BSE - Other Index Options'!$B:$B,"Friday",'BSE - Other Index Options'!$H:$H,"Weekly*")=0,"",SUMIFS('BSE - SENSEX Index Options'!$M:$M,'BSE - SENSEX Index Options'!$D:$D,$A155,'BSE - SENSEX Index Options'!$B:$B,"Friday",'BSE - SENSEX Index Options'!$H:$H,"Weekly*")+SUMIFS('BSE - Other Index Options'!$M:$M,'BSE - Other Index Options'!$D:$D,$A155,'BSE - Other Index Options'!$B:$B,"Friday",'BSE - Other Index Options'!$H:$H,"Weekly*"))</f>
        <v/>
      </c>
      <c r="D155" s="27">
        <f>IF(SUM(B155:C155)=0,"",SUM(B155)/SUM(B155:C155))</f>
        <v/>
      </c>
      <c r="E155" s="27">
        <f>IF(SUM(B155:C155)=0,"",SUM(C155)/SUM(B155:C155))</f>
        <v/>
      </c>
    </row>
    <row r="156" hidden="1" outlineLevel="1">
      <c r="A156" s="24" t="n">
        <v>46600</v>
      </c>
      <c r="B156" s="26">
        <f>IF(SUMIFS('NSE - NIFTY Index Options'!$M:$M,'NSE - NIFTY Index Options'!$D:$D,$A156,'NSE - NIFTY Index Options'!$B:$B,"Friday",'NSE - NIFTY Index Options'!$H:$H,"Weekly*")+SUMIFS('NSE - Other Index Options'!$M:$M,'NSE - Other Index Options'!$D:$D,$A156,'NSE - Other Index Options'!$B:$B,"Friday",'NSE - Other Index Options'!$H:$H,"Weekly*")=0,"",SUMIFS('NSE - NIFTY Index Options'!$M:$M,'NSE - NIFTY Index Options'!$D:$D,$A156,'NSE - NIFTY Index Options'!$B:$B,"Friday",'NSE - NIFTY Index Options'!$H:$H,"Weekly*")+SUMIFS('NSE - Other Index Options'!$M:$M,'NSE - Other Index Options'!$D:$D,$A156,'NSE - Other Index Options'!$B:$B,"Friday",'NSE - Other Index Options'!$H:$H,"Weekly*"))</f>
        <v/>
      </c>
      <c r="C156" s="26">
        <f>IF(SUMIFS('BSE - SENSEX Index Options'!$M:$M,'BSE - SENSEX Index Options'!$D:$D,$A156,'BSE - SENSEX Index Options'!$B:$B,"Friday",'BSE - SENSEX Index Options'!$H:$H,"Weekly*")+SUMIFS('BSE - Other Index Options'!$M:$M,'BSE - Other Index Options'!$D:$D,$A156,'BSE - Other Index Options'!$B:$B,"Friday",'BSE - Other Index Options'!$H:$H,"Weekly*")=0,"",SUMIFS('BSE - SENSEX Index Options'!$M:$M,'BSE - SENSEX Index Options'!$D:$D,$A156,'BSE - SENSEX Index Options'!$B:$B,"Friday",'BSE - SENSEX Index Options'!$H:$H,"Weekly*")+SUMIFS('BSE - Other Index Options'!$M:$M,'BSE - Other Index Options'!$D:$D,$A156,'BSE - Other Index Options'!$B:$B,"Friday",'BSE - Other Index Options'!$H:$H,"Weekly*"))</f>
        <v/>
      </c>
      <c r="D156" s="27">
        <f>IF(SUM(B156:C156)=0,"",SUM(B156)/SUM(B156:C156))</f>
        <v/>
      </c>
      <c r="E156" s="27">
        <f>IF(SUM(B156:C156)=0,"",SUM(C156)/SUM(B156:C156))</f>
        <v/>
      </c>
    </row>
    <row r="157" hidden="1" outlineLevel="1">
      <c r="A157" s="24" t="n">
        <v>46631</v>
      </c>
      <c r="B157" s="26">
        <f>IF(SUMIFS('NSE - NIFTY Index Options'!$M:$M,'NSE - NIFTY Index Options'!$D:$D,$A157,'NSE - NIFTY Index Options'!$B:$B,"Friday",'NSE - NIFTY Index Options'!$H:$H,"Weekly*")+SUMIFS('NSE - Other Index Options'!$M:$M,'NSE - Other Index Options'!$D:$D,$A157,'NSE - Other Index Options'!$B:$B,"Friday",'NSE - Other Index Options'!$H:$H,"Weekly*")=0,"",SUMIFS('NSE - NIFTY Index Options'!$M:$M,'NSE - NIFTY Index Options'!$D:$D,$A157,'NSE - NIFTY Index Options'!$B:$B,"Friday",'NSE - NIFTY Index Options'!$H:$H,"Weekly*")+SUMIFS('NSE - Other Index Options'!$M:$M,'NSE - Other Index Options'!$D:$D,$A157,'NSE - Other Index Options'!$B:$B,"Friday",'NSE - Other Index Options'!$H:$H,"Weekly*"))</f>
        <v/>
      </c>
      <c r="C157" s="26">
        <f>IF(SUMIFS('BSE - SENSEX Index Options'!$M:$M,'BSE - SENSEX Index Options'!$D:$D,$A157,'BSE - SENSEX Index Options'!$B:$B,"Friday",'BSE - SENSEX Index Options'!$H:$H,"Weekly*")+SUMIFS('BSE - Other Index Options'!$M:$M,'BSE - Other Index Options'!$D:$D,$A157,'BSE - Other Index Options'!$B:$B,"Friday",'BSE - Other Index Options'!$H:$H,"Weekly*")=0,"",SUMIFS('BSE - SENSEX Index Options'!$M:$M,'BSE - SENSEX Index Options'!$D:$D,$A157,'BSE - SENSEX Index Options'!$B:$B,"Friday",'BSE - SENSEX Index Options'!$H:$H,"Weekly*")+SUMIFS('BSE - Other Index Options'!$M:$M,'BSE - Other Index Options'!$D:$D,$A157,'BSE - Other Index Options'!$B:$B,"Friday",'BSE - Other Index Options'!$H:$H,"Weekly*"))</f>
        <v/>
      </c>
      <c r="D157" s="27">
        <f>IF(SUM(B157:C157)=0,"",SUM(B157)/SUM(B157:C157))</f>
        <v/>
      </c>
      <c r="E157" s="27">
        <f>IF(SUM(B157:C157)=0,"",SUM(C157)/SUM(B157:C157))</f>
        <v/>
      </c>
    </row>
    <row r="158" hidden="1" outlineLevel="1">
      <c r="A158" s="24" t="n">
        <v>46661</v>
      </c>
      <c r="B158" s="26">
        <f>IF(SUMIFS('NSE - NIFTY Index Options'!$M:$M,'NSE - NIFTY Index Options'!$D:$D,$A158,'NSE - NIFTY Index Options'!$B:$B,"Friday",'NSE - NIFTY Index Options'!$H:$H,"Weekly*")+SUMIFS('NSE - Other Index Options'!$M:$M,'NSE - Other Index Options'!$D:$D,$A158,'NSE - Other Index Options'!$B:$B,"Friday",'NSE - Other Index Options'!$H:$H,"Weekly*")=0,"",SUMIFS('NSE - NIFTY Index Options'!$M:$M,'NSE - NIFTY Index Options'!$D:$D,$A158,'NSE - NIFTY Index Options'!$B:$B,"Friday",'NSE - NIFTY Index Options'!$H:$H,"Weekly*")+SUMIFS('NSE - Other Index Options'!$M:$M,'NSE - Other Index Options'!$D:$D,$A158,'NSE - Other Index Options'!$B:$B,"Friday",'NSE - Other Index Options'!$H:$H,"Weekly*"))</f>
        <v/>
      </c>
      <c r="C158" s="26">
        <f>IF(SUMIFS('BSE - SENSEX Index Options'!$M:$M,'BSE - SENSEX Index Options'!$D:$D,$A158,'BSE - SENSEX Index Options'!$B:$B,"Friday",'BSE - SENSEX Index Options'!$H:$H,"Weekly*")+SUMIFS('BSE - Other Index Options'!$M:$M,'BSE - Other Index Options'!$D:$D,$A158,'BSE - Other Index Options'!$B:$B,"Friday",'BSE - Other Index Options'!$H:$H,"Weekly*")=0,"",SUMIFS('BSE - SENSEX Index Options'!$M:$M,'BSE - SENSEX Index Options'!$D:$D,$A158,'BSE - SENSEX Index Options'!$B:$B,"Friday",'BSE - SENSEX Index Options'!$H:$H,"Weekly*")+SUMIFS('BSE - Other Index Options'!$M:$M,'BSE - Other Index Options'!$D:$D,$A158,'BSE - Other Index Options'!$B:$B,"Friday",'BSE - Other Index Options'!$H:$H,"Weekly*"))</f>
        <v/>
      </c>
      <c r="D158" s="27">
        <f>IF(SUM(B158:C158)=0,"",SUM(B158)/SUM(B158:C158))</f>
        <v/>
      </c>
      <c r="E158" s="27">
        <f>IF(SUM(B158:C158)=0,"",SUM(C158)/SUM(B158:C158))</f>
        <v/>
      </c>
    </row>
    <row r="159" hidden="1" outlineLevel="1">
      <c r="A159" s="24" t="n">
        <v>46692</v>
      </c>
      <c r="B159" s="26">
        <f>IF(SUMIFS('NSE - NIFTY Index Options'!$M:$M,'NSE - NIFTY Index Options'!$D:$D,$A159,'NSE - NIFTY Index Options'!$B:$B,"Friday",'NSE - NIFTY Index Options'!$H:$H,"Weekly*")+SUMIFS('NSE - Other Index Options'!$M:$M,'NSE - Other Index Options'!$D:$D,$A159,'NSE - Other Index Options'!$B:$B,"Friday",'NSE - Other Index Options'!$H:$H,"Weekly*")=0,"",SUMIFS('NSE - NIFTY Index Options'!$M:$M,'NSE - NIFTY Index Options'!$D:$D,$A159,'NSE - NIFTY Index Options'!$B:$B,"Friday",'NSE - NIFTY Index Options'!$H:$H,"Weekly*")+SUMIFS('NSE - Other Index Options'!$M:$M,'NSE - Other Index Options'!$D:$D,$A159,'NSE - Other Index Options'!$B:$B,"Friday",'NSE - Other Index Options'!$H:$H,"Weekly*"))</f>
        <v/>
      </c>
      <c r="C159" s="26">
        <f>IF(SUMIFS('BSE - SENSEX Index Options'!$M:$M,'BSE - SENSEX Index Options'!$D:$D,$A159,'BSE - SENSEX Index Options'!$B:$B,"Friday",'BSE - SENSEX Index Options'!$H:$H,"Weekly*")+SUMIFS('BSE - Other Index Options'!$M:$M,'BSE - Other Index Options'!$D:$D,$A159,'BSE - Other Index Options'!$B:$B,"Friday",'BSE - Other Index Options'!$H:$H,"Weekly*")=0,"",SUMIFS('BSE - SENSEX Index Options'!$M:$M,'BSE - SENSEX Index Options'!$D:$D,$A159,'BSE - SENSEX Index Options'!$B:$B,"Friday",'BSE - SENSEX Index Options'!$H:$H,"Weekly*")+SUMIFS('BSE - Other Index Options'!$M:$M,'BSE - Other Index Options'!$D:$D,$A159,'BSE - Other Index Options'!$B:$B,"Friday",'BSE - Other Index Options'!$H:$H,"Weekly*"))</f>
        <v/>
      </c>
      <c r="D159" s="27">
        <f>IF(SUM(B159:C159)=0,"",SUM(B159)/SUM(B159:C159))</f>
        <v/>
      </c>
      <c r="E159" s="27">
        <f>IF(SUM(B159:C159)=0,"",SUM(C159)/SUM(B159:C159))</f>
        <v/>
      </c>
    </row>
    <row r="160" hidden="1" outlineLevel="1">
      <c r="A160" s="24" t="n">
        <v>46722</v>
      </c>
      <c r="B160" s="26">
        <f>IF(SUMIFS('NSE - NIFTY Index Options'!$M:$M,'NSE - NIFTY Index Options'!$D:$D,$A160,'NSE - NIFTY Index Options'!$B:$B,"Friday",'NSE - NIFTY Index Options'!$H:$H,"Weekly*")+SUMIFS('NSE - Other Index Options'!$M:$M,'NSE - Other Index Options'!$D:$D,$A160,'NSE - Other Index Options'!$B:$B,"Friday",'NSE - Other Index Options'!$H:$H,"Weekly*")=0,"",SUMIFS('NSE - NIFTY Index Options'!$M:$M,'NSE - NIFTY Index Options'!$D:$D,$A160,'NSE - NIFTY Index Options'!$B:$B,"Friday",'NSE - NIFTY Index Options'!$H:$H,"Weekly*")+SUMIFS('NSE - Other Index Options'!$M:$M,'NSE - Other Index Options'!$D:$D,$A160,'NSE - Other Index Options'!$B:$B,"Friday",'NSE - Other Index Options'!$H:$H,"Weekly*"))</f>
        <v/>
      </c>
      <c r="C160" s="26">
        <f>IF(SUMIFS('BSE - SENSEX Index Options'!$M:$M,'BSE - SENSEX Index Options'!$D:$D,$A160,'BSE - SENSEX Index Options'!$B:$B,"Friday",'BSE - SENSEX Index Options'!$H:$H,"Weekly*")+SUMIFS('BSE - Other Index Options'!$M:$M,'BSE - Other Index Options'!$D:$D,$A160,'BSE - Other Index Options'!$B:$B,"Friday",'BSE - Other Index Options'!$H:$H,"Weekly*")=0,"",SUMIFS('BSE - SENSEX Index Options'!$M:$M,'BSE - SENSEX Index Options'!$D:$D,$A160,'BSE - SENSEX Index Options'!$B:$B,"Friday",'BSE - SENSEX Index Options'!$H:$H,"Weekly*")+SUMIFS('BSE - Other Index Options'!$M:$M,'BSE - Other Index Options'!$D:$D,$A160,'BSE - Other Index Options'!$B:$B,"Friday",'BSE - Other Index Options'!$H:$H,"Weekly*"))</f>
        <v/>
      </c>
      <c r="D160" s="27">
        <f>IF(SUM(B160:C160)=0,"",SUM(B160)/SUM(B160:C160))</f>
        <v/>
      </c>
      <c r="E160" s="27">
        <f>IF(SUM(B160:C160)=0,"",SUM(C160)/SUM(B160:C160))</f>
        <v/>
      </c>
    </row>
    <row r="161" collapsed="1">
      <c r="A161" s="28" t="inlineStr">
        <is>
          <t>Total</t>
        </is>
      </c>
      <c r="B161" s="30">
        <f>IF(SUM(B133:B160)=0,"",SUM(B133:B160))</f>
        <v/>
      </c>
      <c r="C161" s="30">
        <f>IF(SUM(C133:C160)=0,"",SUM(C133:C160))</f>
        <v/>
      </c>
      <c r="D161" s="31">
        <f>IF(SUM(B161:C161)=0,"",SUM(B161)/SUM(B161:C161))</f>
        <v/>
      </c>
      <c r="E161" s="31">
        <f>IF(SUM(B161:C161)=0,"",SUM(C161)/SUM(B161:C161))</f>
        <v/>
      </c>
    </row>
    <row r="163">
      <c r="A163" s="28" t="inlineStr">
        <is>
          <t>Sunday Trade Day</t>
        </is>
      </c>
    </row>
    <row r="164">
      <c r="A164" s="28" t="inlineStr">
        <is>
          <t>Month</t>
        </is>
      </c>
      <c r="B164" s="28" t="inlineStr">
        <is>
          <t>NSE Premium Turnover (INR Bn)</t>
        </is>
      </c>
      <c r="C164" s="28" t="inlineStr">
        <is>
          <t>BSE Premium Turnover (INR Bn)</t>
        </is>
      </c>
      <c r="D164" s="28" t="inlineStr">
        <is>
          <t>NSE Market Share</t>
        </is>
      </c>
      <c r="E164" s="28" t="inlineStr">
        <is>
          <t>BSE Market Share</t>
        </is>
      </c>
    </row>
    <row r="165">
      <c r="A165" s="24" t="n">
        <v>45901</v>
      </c>
      <c r="B165" s="26">
        <f>IF(SUMIFS('NSE - NIFTY Index Options'!$M:$M,'NSE - NIFTY Index Options'!$D:$D,$A165,'NSE - NIFTY Index Options'!$B:$B,"Sunday",'NSE - NIFTY Index Options'!$H:$H,"Weekly*")+SUMIFS('NSE - Other Index Options'!$M:$M,'NSE - Other Index Options'!$D:$D,$A165,'NSE - Other Index Options'!$B:$B,"Sunday",'NSE - Other Index Options'!$H:$H,"Weekly*")=0,"",SUMIFS('NSE - NIFTY Index Options'!$M:$M,'NSE - NIFTY Index Options'!$D:$D,$A165,'NSE - NIFTY Index Options'!$B:$B,"Sunday",'NSE - NIFTY Index Options'!$H:$H,"Weekly*")+SUMIFS('NSE - Other Index Options'!$M:$M,'NSE - Other Index Options'!$D:$D,$A165,'NSE - Other Index Options'!$B:$B,"Sunday",'NSE - Other Index Options'!$H:$H,"Weekly*"))</f>
        <v/>
      </c>
      <c r="C165" s="26">
        <f>IF(SUMIFS('BSE - SENSEX Index Options'!$M:$M,'BSE - SENSEX Index Options'!$D:$D,$A165,'BSE - SENSEX Index Options'!$B:$B,"Sunday",'BSE - SENSEX Index Options'!$H:$H,"Weekly*")+SUMIFS('BSE - Other Index Options'!$M:$M,'BSE - Other Index Options'!$D:$D,$A165,'BSE - Other Index Options'!$B:$B,"Sunday",'BSE - Other Index Options'!$H:$H,"Weekly*")=0,"",SUMIFS('BSE - SENSEX Index Options'!$M:$M,'BSE - SENSEX Index Options'!$D:$D,$A165,'BSE - SENSEX Index Options'!$B:$B,"Sunday",'BSE - SENSEX Index Options'!$H:$H,"Weekly*")+SUMIFS('BSE - Other Index Options'!$M:$M,'BSE - Other Index Options'!$D:$D,$A165,'BSE - Other Index Options'!$B:$B,"Sunday",'BSE - Other Index Options'!$H:$H,"Weekly*"))</f>
        <v/>
      </c>
      <c r="D165" s="27">
        <f>IF(SUM(B165:C165)=0,"",SUM(B165)/SUM(B165:C165))</f>
        <v/>
      </c>
      <c r="E165" s="27">
        <f>IF(SUM(B165:C165)=0,"",SUM(C165)/SUM(B165:C165))</f>
        <v/>
      </c>
    </row>
    <row r="166">
      <c r="A166" s="24" t="n">
        <v>45931</v>
      </c>
      <c r="B166" s="26">
        <f>IF(SUMIFS('NSE - NIFTY Index Options'!$M:$M,'NSE - NIFTY Index Options'!$D:$D,$A166,'NSE - NIFTY Index Options'!$B:$B,"Sunday",'NSE - NIFTY Index Options'!$H:$H,"Weekly*")+SUMIFS('NSE - Other Index Options'!$M:$M,'NSE - Other Index Options'!$D:$D,$A166,'NSE - Other Index Options'!$B:$B,"Sunday",'NSE - Other Index Options'!$H:$H,"Weekly*")=0,"",SUMIFS('NSE - NIFTY Index Options'!$M:$M,'NSE - NIFTY Index Options'!$D:$D,$A166,'NSE - NIFTY Index Options'!$B:$B,"Sunday",'NSE - NIFTY Index Options'!$H:$H,"Weekly*")+SUMIFS('NSE - Other Index Options'!$M:$M,'NSE - Other Index Options'!$D:$D,$A166,'NSE - Other Index Options'!$B:$B,"Sunday",'NSE - Other Index Options'!$H:$H,"Weekly*"))</f>
        <v/>
      </c>
      <c r="C166" s="26">
        <f>IF(SUMIFS('BSE - SENSEX Index Options'!$M:$M,'BSE - SENSEX Index Options'!$D:$D,$A166,'BSE - SENSEX Index Options'!$B:$B,"Sunday",'BSE - SENSEX Index Options'!$H:$H,"Weekly*")+SUMIFS('BSE - Other Index Options'!$M:$M,'BSE - Other Index Options'!$D:$D,$A166,'BSE - Other Index Options'!$B:$B,"Sunday",'BSE - Other Index Options'!$H:$H,"Weekly*")=0,"",SUMIFS('BSE - SENSEX Index Options'!$M:$M,'BSE - SENSEX Index Options'!$D:$D,$A166,'BSE - SENSEX Index Options'!$B:$B,"Sunday",'BSE - SENSEX Index Options'!$H:$H,"Weekly*")+SUMIFS('BSE - Other Index Options'!$M:$M,'BSE - Other Index Options'!$D:$D,$A166,'BSE - Other Index Options'!$B:$B,"Sunday",'BSE - Other Index Options'!$H:$H,"Weekly*"))</f>
        <v/>
      </c>
      <c r="D166" s="27">
        <f>IF(SUM(B166:C166)=0,"",SUM(B166)/SUM(B166:C166))</f>
        <v/>
      </c>
      <c r="E166" s="27">
        <f>IF(SUM(B166:C166)=0,"",SUM(C166)/SUM(B166:C166))</f>
        <v/>
      </c>
    </row>
    <row r="167">
      <c r="A167" s="24" t="n">
        <v>45962</v>
      </c>
      <c r="B167" s="26">
        <f>IF(SUMIFS('NSE - NIFTY Index Options'!$M:$M,'NSE - NIFTY Index Options'!$D:$D,$A167,'NSE - NIFTY Index Options'!$B:$B,"Sunday",'NSE - NIFTY Index Options'!$H:$H,"Weekly*")+SUMIFS('NSE - Other Index Options'!$M:$M,'NSE - Other Index Options'!$D:$D,$A167,'NSE - Other Index Options'!$B:$B,"Sunday",'NSE - Other Index Options'!$H:$H,"Weekly*")=0,"",SUMIFS('NSE - NIFTY Index Options'!$M:$M,'NSE - NIFTY Index Options'!$D:$D,$A167,'NSE - NIFTY Index Options'!$B:$B,"Sunday",'NSE - NIFTY Index Options'!$H:$H,"Weekly*")+SUMIFS('NSE - Other Index Options'!$M:$M,'NSE - Other Index Options'!$D:$D,$A167,'NSE - Other Index Options'!$B:$B,"Sunday",'NSE - Other Index Options'!$H:$H,"Weekly*"))</f>
        <v/>
      </c>
      <c r="C167" s="26">
        <f>IF(SUMIFS('BSE - SENSEX Index Options'!$M:$M,'BSE - SENSEX Index Options'!$D:$D,$A167,'BSE - SENSEX Index Options'!$B:$B,"Sunday",'BSE - SENSEX Index Options'!$H:$H,"Weekly*")+SUMIFS('BSE - Other Index Options'!$M:$M,'BSE - Other Index Options'!$D:$D,$A167,'BSE - Other Index Options'!$B:$B,"Sunday",'BSE - Other Index Options'!$H:$H,"Weekly*")=0,"",SUMIFS('BSE - SENSEX Index Options'!$M:$M,'BSE - SENSEX Index Options'!$D:$D,$A167,'BSE - SENSEX Index Options'!$B:$B,"Sunday",'BSE - SENSEX Index Options'!$H:$H,"Weekly*")+SUMIFS('BSE - Other Index Options'!$M:$M,'BSE - Other Index Options'!$D:$D,$A167,'BSE - Other Index Options'!$B:$B,"Sunday",'BSE - Other Index Options'!$H:$H,"Weekly*"))</f>
        <v/>
      </c>
      <c r="D167" s="27">
        <f>IF(SUM(B167:C167)=0,"",SUM(B167)/SUM(B167:C167))</f>
        <v/>
      </c>
      <c r="E167" s="27">
        <f>IF(SUM(B167:C167)=0,"",SUM(C167)/SUM(B167:C167))</f>
        <v/>
      </c>
    </row>
    <row r="168">
      <c r="A168" s="24" t="n">
        <v>45992</v>
      </c>
      <c r="B168" s="26">
        <f>IF(SUMIFS('NSE - NIFTY Index Options'!$M:$M,'NSE - NIFTY Index Options'!$D:$D,$A168,'NSE - NIFTY Index Options'!$B:$B,"Sunday",'NSE - NIFTY Index Options'!$H:$H,"Weekly*")+SUMIFS('NSE - Other Index Options'!$M:$M,'NSE - Other Index Options'!$D:$D,$A168,'NSE - Other Index Options'!$B:$B,"Sunday",'NSE - Other Index Options'!$H:$H,"Weekly*")=0,"",SUMIFS('NSE - NIFTY Index Options'!$M:$M,'NSE - NIFTY Index Options'!$D:$D,$A168,'NSE - NIFTY Index Options'!$B:$B,"Sunday",'NSE - NIFTY Index Options'!$H:$H,"Weekly*")+SUMIFS('NSE - Other Index Options'!$M:$M,'NSE - Other Index Options'!$D:$D,$A168,'NSE - Other Index Options'!$B:$B,"Sunday",'NSE - Other Index Options'!$H:$H,"Weekly*"))</f>
        <v/>
      </c>
      <c r="C168" s="26">
        <f>IF(SUMIFS('BSE - SENSEX Index Options'!$M:$M,'BSE - SENSEX Index Options'!$D:$D,$A168,'BSE - SENSEX Index Options'!$B:$B,"Sunday",'BSE - SENSEX Index Options'!$H:$H,"Weekly*")+SUMIFS('BSE - Other Index Options'!$M:$M,'BSE - Other Index Options'!$D:$D,$A168,'BSE - Other Index Options'!$B:$B,"Sunday",'BSE - Other Index Options'!$H:$H,"Weekly*")=0,"",SUMIFS('BSE - SENSEX Index Options'!$M:$M,'BSE - SENSEX Index Options'!$D:$D,$A168,'BSE - SENSEX Index Options'!$B:$B,"Sunday",'BSE - SENSEX Index Options'!$H:$H,"Weekly*")+SUMIFS('BSE - Other Index Options'!$M:$M,'BSE - Other Index Options'!$D:$D,$A168,'BSE - Other Index Options'!$B:$B,"Sunday",'BSE - Other Index Options'!$H:$H,"Weekly*"))</f>
        <v/>
      </c>
      <c r="D168" s="27">
        <f>IF(SUM(B168:C168)=0,"",SUM(B168)/SUM(B168:C168))</f>
        <v/>
      </c>
      <c r="E168" s="27">
        <f>IF(SUM(B168:C168)=0,"",SUM(C168)/SUM(B168:C168))</f>
        <v/>
      </c>
    </row>
    <row r="169">
      <c r="A169" s="24" t="n">
        <v>46023</v>
      </c>
      <c r="B169" s="26">
        <f>IF(SUMIFS('NSE - NIFTY Index Options'!$M:$M,'NSE - NIFTY Index Options'!$D:$D,$A169,'NSE - NIFTY Index Options'!$B:$B,"Sunday",'NSE - NIFTY Index Options'!$H:$H,"Weekly*")+SUMIFS('NSE - Other Index Options'!$M:$M,'NSE - Other Index Options'!$D:$D,$A169,'NSE - Other Index Options'!$B:$B,"Sunday",'NSE - Other Index Options'!$H:$H,"Weekly*")=0,"",SUMIFS('NSE - NIFTY Index Options'!$M:$M,'NSE - NIFTY Index Options'!$D:$D,$A169,'NSE - NIFTY Index Options'!$B:$B,"Sunday",'NSE - NIFTY Index Options'!$H:$H,"Weekly*")+SUMIFS('NSE - Other Index Options'!$M:$M,'NSE - Other Index Options'!$D:$D,$A169,'NSE - Other Index Options'!$B:$B,"Sunday",'NSE - Other Index Options'!$H:$H,"Weekly*"))</f>
        <v/>
      </c>
      <c r="C169" s="26">
        <f>IF(SUMIFS('BSE - SENSEX Index Options'!$M:$M,'BSE - SENSEX Index Options'!$D:$D,$A169,'BSE - SENSEX Index Options'!$B:$B,"Sunday",'BSE - SENSEX Index Options'!$H:$H,"Weekly*")+SUMIFS('BSE - Other Index Options'!$M:$M,'BSE - Other Index Options'!$D:$D,$A169,'BSE - Other Index Options'!$B:$B,"Sunday",'BSE - Other Index Options'!$H:$H,"Weekly*")=0,"",SUMIFS('BSE - SENSEX Index Options'!$M:$M,'BSE - SENSEX Index Options'!$D:$D,$A169,'BSE - SENSEX Index Options'!$B:$B,"Sunday",'BSE - SENSEX Index Options'!$H:$H,"Weekly*")+SUMIFS('BSE - Other Index Options'!$M:$M,'BSE - Other Index Options'!$D:$D,$A169,'BSE - Other Index Options'!$B:$B,"Sunday",'BSE - Other Index Options'!$H:$H,"Weekly*"))</f>
        <v/>
      </c>
      <c r="D169" s="27">
        <f>IF(SUM(B169:C169)=0,"",SUM(B169)/SUM(B169:C169))</f>
        <v/>
      </c>
      <c r="E169" s="27">
        <f>IF(SUM(B169:C169)=0,"",SUM(C169)/SUM(B169:C169))</f>
        <v/>
      </c>
    </row>
    <row r="170">
      <c r="A170" s="24" t="n">
        <v>46054</v>
      </c>
      <c r="B170" s="26">
        <f>IF(SUMIFS('NSE - NIFTY Index Options'!$M:$M,'NSE - NIFTY Index Options'!$D:$D,$A170,'NSE - NIFTY Index Options'!$B:$B,"Sunday",'NSE - NIFTY Index Options'!$H:$H,"Weekly*")+SUMIFS('NSE - Other Index Options'!$M:$M,'NSE - Other Index Options'!$D:$D,$A170,'NSE - Other Index Options'!$B:$B,"Sunday",'NSE - Other Index Options'!$H:$H,"Weekly*")=0,"",SUMIFS('NSE - NIFTY Index Options'!$M:$M,'NSE - NIFTY Index Options'!$D:$D,$A170,'NSE - NIFTY Index Options'!$B:$B,"Sunday",'NSE - NIFTY Index Options'!$H:$H,"Weekly*")+SUMIFS('NSE - Other Index Options'!$M:$M,'NSE - Other Index Options'!$D:$D,$A170,'NSE - Other Index Options'!$B:$B,"Sunday",'NSE - Other Index Options'!$H:$H,"Weekly*"))</f>
        <v/>
      </c>
      <c r="C170" s="26">
        <f>IF(SUMIFS('BSE - SENSEX Index Options'!$M:$M,'BSE - SENSEX Index Options'!$D:$D,$A170,'BSE - SENSEX Index Options'!$B:$B,"Sunday",'BSE - SENSEX Index Options'!$H:$H,"Weekly*")+SUMIFS('BSE - Other Index Options'!$M:$M,'BSE - Other Index Options'!$D:$D,$A170,'BSE - Other Index Options'!$B:$B,"Sunday",'BSE - Other Index Options'!$H:$H,"Weekly*")=0,"",SUMIFS('BSE - SENSEX Index Options'!$M:$M,'BSE - SENSEX Index Options'!$D:$D,$A170,'BSE - SENSEX Index Options'!$B:$B,"Sunday",'BSE - SENSEX Index Options'!$H:$H,"Weekly*")+SUMIFS('BSE - Other Index Options'!$M:$M,'BSE - Other Index Options'!$D:$D,$A170,'BSE - Other Index Options'!$B:$B,"Sunday",'BSE - Other Index Options'!$H:$H,"Weekly*"))</f>
        <v/>
      </c>
      <c r="D170" s="27">
        <f>IF(SUM(B170:C170)=0,"",SUM(B170)/SUM(B170:C170))</f>
        <v/>
      </c>
      <c r="E170" s="27">
        <f>IF(SUM(B170:C170)=0,"",SUM(C170)/SUM(B170:C170))</f>
        <v/>
      </c>
    </row>
    <row r="171">
      <c r="A171" s="24" t="n">
        <v>46082</v>
      </c>
      <c r="B171" s="26">
        <f>IF(SUMIFS('NSE - NIFTY Index Options'!$M:$M,'NSE - NIFTY Index Options'!$D:$D,$A171,'NSE - NIFTY Index Options'!$B:$B,"Sunday",'NSE - NIFTY Index Options'!$H:$H,"Weekly*")+SUMIFS('NSE - Other Index Options'!$M:$M,'NSE - Other Index Options'!$D:$D,$A171,'NSE - Other Index Options'!$B:$B,"Sunday",'NSE - Other Index Options'!$H:$H,"Weekly*")=0,"",SUMIFS('NSE - NIFTY Index Options'!$M:$M,'NSE - NIFTY Index Options'!$D:$D,$A171,'NSE - NIFTY Index Options'!$B:$B,"Sunday",'NSE - NIFTY Index Options'!$H:$H,"Weekly*")+SUMIFS('NSE - Other Index Options'!$M:$M,'NSE - Other Index Options'!$D:$D,$A171,'NSE - Other Index Options'!$B:$B,"Sunday",'NSE - Other Index Options'!$H:$H,"Weekly*"))</f>
        <v/>
      </c>
      <c r="C171" s="26">
        <f>IF(SUMIFS('BSE - SENSEX Index Options'!$M:$M,'BSE - SENSEX Index Options'!$D:$D,$A171,'BSE - SENSEX Index Options'!$B:$B,"Sunday",'BSE - SENSEX Index Options'!$H:$H,"Weekly*")+SUMIFS('BSE - Other Index Options'!$M:$M,'BSE - Other Index Options'!$D:$D,$A171,'BSE - Other Index Options'!$B:$B,"Sunday",'BSE - Other Index Options'!$H:$H,"Weekly*")=0,"",SUMIFS('BSE - SENSEX Index Options'!$M:$M,'BSE - SENSEX Index Options'!$D:$D,$A171,'BSE - SENSEX Index Options'!$B:$B,"Sunday",'BSE - SENSEX Index Options'!$H:$H,"Weekly*")+SUMIFS('BSE - Other Index Options'!$M:$M,'BSE - Other Index Options'!$D:$D,$A171,'BSE - Other Index Options'!$B:$B,"Sunday",'BSE - Other Index Options'!$H:$H,"Weekly*"))</f>
        <v/>
      </c>
      <c r="D171" s="27">
        <f>IF(SUM(B171:C171)=0,"",SUM(B171)/SUM(B171:C171))</f>
        <v/>
      </c>
      <c r="E171" s="27">
        <f>IF(SUM(B171:C171)=0,"",SUM(C171)/SUM(B171:C171))</f>
        <v/>
      </c>
    </row>
    <row r="172">
      <c r="A172" s="24" t="n">
        <v>46113</v>
      </c>
      <c r="B172" s="26">
        <f>IF(SUMIFS('NSE - NIFTY Index Options'!$M:$M,'NSE - NIFTY Index Options'!$D:$D,$A172,'NSE - NIFTY Index Options'!$B:$B,"Sunday",'NSE - NIFTY Index Options'!$H:$H,"Weekly*")+SUMIFS('NSE - Other Index Options'!$M:$M,'NSE - Other Index Options'!$D:$D,$A172,'NSE - Other Index Options'!$B:$B,"Sunday",'NSE - Other Index Options'!$H:$H,"Weekly*")=0,"",SUMIFS('NSE - NIFTY Index Options'!$M:$M,'NSE - NIFTY Index Options'!$D:$D,$A172,'NSE - NIFTY Index Options'!$B:$B,"Sunday",'NSE - NIFTY Index Options'!$H:$H,"Weekly*")+SUMIFS('NSE - Other Index Options'!$M:$M,'NSE - Other Index Options'!$D:$D,$A172,'NSE - Other Index Options'!$B:$B,"Sunday",'NSE - Other Index Options'!$H:$H,"Weekly*"))</f>
        <v/>
      </c>
      <c r="C172" s="26">
        <f>IF(SUMIFS('BSE - SENSEX Index Options'!$M:$M,'BSE - SENSEX Index Options'!$D:$D,$A172,'BSE - SENSEX Index Options'!$B:$B,"Sunday",'BSE - SENSEX Index Options'!$H:$H,"Weekly*")+SUMIFS('BSE - Other Index Options'!$M:$M,'BSE - Other Index Options'!$D:$D,$A172,'BSE - Other Index Options'!$B:$B,"Sunday",'BSE - Other Index Options'!$H:$H,"Weekly*")=0,"",SUMIFS('BSE - SENSEX Index Options'!$M:$M,'BSE - SENSEX Index Options'!$D:$D,$A172,'BSE - SENSEX Index Options'!$B:$B,"Sunday",'BSE - SENSEX Index Options'!$H:$H,"Weekly*")+SUMIFS('BSE - Other Index Options'!$M:$M,'BSE - Other Index Options'!$D:$D,$A172,'BSE - Other Index Options'!$B:$B,"Sunday",'BSE - Other Index Options'!$H:$H,"Weekly*"))</f>
        <v/>
      </c>
      <c r="D172" s="27">
        <f>IF(SUM(B172:C172)=0,"",SUM(B172)/SUM(B172:C172))</f>
        <v/>
      </c>
      <c r="E172" s="27">
        <f>IF(SUM(B172:C172)=0,"",SUM(C172)/SUM(B172:C172))</f>
        <v/>
      </c>
    </row>
    <row r="173">
      <c r="A173" s="24" t="n">
        <v>46143</v>
      </c>
      <c r="B173" s="26">
        <f>IF(SUMIFS('NSE - NIFTY Index Options'!$M:$M,'NSE - NIFTY Index Options'!$D:$D,$A173,'NSE - NIFTY Index Options'!$B:$B,"Sunday",'NSE - NIFTY Index Options'!$H:$H,"Weekly*")+SUMIFS('NSE - Other Index Options'!$M:$M,'NSE - Other Index Options'!$D:$D,$A173,'NSE - Other Index Options'!$B:$B,"Sunday",'NSE - Other Index Options'!$H:$H,"Weekly*")=0,"",SUMIFS('NSE - NIFTY Index Options'!$M:$M,'NSE - NIFTY Index Options'!$D:$D,$A173,'NSE - NIFTY Index Options'!$B:$B,"Sunday",'NSE - NIFTY Index Options'!$H:$H,"Weekly*")+SUMIFS('NSE - Other Index Options'!$M:$M,'NSE - Other Index Options'!$D:$D,$A173,'NSE - Other Index Options'!$B:$B,"Sunday",'NSE - Other Index Options'!$H:$H,"Weekly*"))</f>
        <v/>
      </c>
      <c r="C173" s="26">
        <f>IF(SUMIFS('BSE - SENSEX Index Options'!$M:$M,'BSE - SENSEX Index Options'!$D:$D,$A173,'BSE - SENSEX Index Options'!$B:$B,"Sunday",'BSE - SENSEX Index Options'!$H:$H,"Weekly*")+SUMIFS('BSE - Other Index Options'!$M:$M,'BSE - Other Index Options'!$D:$D,$A173,'BSE - Other Index Options'!$B:$B,"Sunday",'BSE - Other Index Options'!$H:$H,"Weekly*")=0,"",SUMIFS('BSE - SENSEX Index Options'!$M:$M,'BSE - SENSEX Index Options'!$D:$D,$A173,'BSE - SENSEX Index Options'!$B:$B,"Sunday",'BSE - SENSEX Index Options'!$H:$H,"Weekly*")+SUMIFS('BSE - Other Index Options'!$M:$M,'BSE - Other Index Options'!$D:$D,$A173,'BSE - Other Index Options'!$B:$B,"Sunday",'BSE - Other Index Options'!$H:$H,"Weekly*"))</f>
        <v/>
      </c>
      <c r="D173" s="27">
        <f>IF(SUM(B173:C173)=0,"",SUM(B173)/SUM(B173:C173))</f>
        <v/>
      </c>
      <c r="E173" s="27">
        <f>IF(SUM(B173:C173)=0,"",SUM(C173)/SUM(B173:C173))</f>
        <v/>
      </c>
    </row>
    <row r="174">
      <c r="A174" s="24" t="n">
        <v>46174</v>
      </c>
      <c r="B174" s="26">
        <f>IF(SUMIFS('NSE - NIFTY Index Options'!$M:$M,'NSE - NIFTY Index Options'!$D:$D,$A174,'NSE - NIFTY Index Options'!$B:$B,"Sunday",'NSE - NIFTY Index Options'!$H:$H,"Weekly*")+SUMIFS('NSE - Other Index Options'!$M:$M,'NSE - Other Index Options'!$D:$D,$A174,'NSE - Other Index Options'!$B:$B,"Sunday",'NSE - Other Index Options'!$H:$H,"Weekly*")=0,"",SUMIFS('NSE - NIFTY Index Options'!$M:$M,'NSE - NIFTY Index Options'!$D:$D,$A174,'NSE - NIFTY Index Options'!$B:$B,"Sunday",'NSE - NIFTY Index Options'!$H:$H,"Weekly*")+SUMIFS('NSE - Other Index Options'!$M:$M,'NSE - Other Index Options'!$D:$D,$A174,'NSE - Other Index Options'!$B:$B,"Sunday",'NSE - Other Index Options'!$H:$H,"Weekly*"))</f>
        <v/>
      </c>
      <c r="C174" s="26">
        <f>IF(SUMIFS('BSE - SENSEX Index Options'!$M:$M,'BSE - SENSEX Index Options'!$D:$D,$A174,'BSE - SENSEX Index Options'!$B:$B,"Sunday",'BSE - SENSEX Index Options'!$H:$H,"Weekly*")+SUMIFS('BSE - Other Index Options'!$M:$M,'BSE - Other Index Options'!$D:$D,$A174,'BSE - Other Index Options'!$B:$B,"Sunday",'BSE - Other Index Options'!$H:$H,"Weekly*")=0,"",SUMIFS('BSE - SENSEX Index Options'!$M:$M,'BSE - SENSEX Index Options'!$D:$D,$A174,'BSE - SENSEX Index Options'!$B:$B,"Sunday",'BSE - SENSEX Index Options'!$H:$H,"Weekly*")+SUMIFS('BSE - Other Index Options'!$M:$M,'BSE - Other Index Options'!$D:$D,$A174,'BSE - Other Index Options'!$B:$B,"Sunday",'BSE - Other Index Options'!$H:$H,"Weekly*"))</f>
        <v/>
      </c>
      <c r="D174" s="27">
        <f>IF(SUM(B174:C174)=0,"",SUM(B174)/SUM(B174:C174))</f>
        <v/>
      </c>
      <c r="E174" s="27">
        <f>IF(SUM(B174:C174)=0,"",SUM(C174)/SUM(B174:C174))</f>
        <v/>
      </c>
    </row>
    <row r="175">
      <c r="A175" s="24" t="n">
        <v>46204</v>
      </c>
      <c r="B175" s="26">
        <f>IF(SUMIFS('NSE - NIFTY Index Options'!$M:$M,'NSE - NIFTY Index Options'!$D:$D,$A175,'NSE - NIFTY Index Options'!$B:$B,"Sunday",'NSE - NIFTY Index Options'!$H:$H,"Weekly*")+SUMIFS('NSE - Other Index Options'!$M:$M,'NSE - Other Index Options'!$D:$D,$A175,'NSE - Other Index Options'!$B:$B,"Sunday",'NSE - Other Index Options'!$H:$H,"Weekly*")=0,"",SUMIFS('NSE - NIFTY Index Options'!$M:$M,'NSE - NIFTY Index Options'!$D:$D,$A175,'NSE - NIFTY Index Options'!$B:$B,"Sunday",'NSE - NIFTY Index Options'!$H:$H,"Weekly*")+SUMIFS('NSE - Other Index Options'!$M:$M,'NSE - Other Index Options'!$D:$D,$A175,'NSE - Other Index Options'!$B:$B,"Sunday",'NSE - Other Index Options'!$H:$H,"Weekly*"))</f>
        <v/>
      </c>
      <c r="C175" s="26">
        <f>IF(SUMIFS('BSE - SENSEX Index Options'!$M:$M,'BSE - SENSEX Index Options'!$D:$D,$A175,'BSE - SENSEX Index Options'!$B:$B,"Sunday",'BSE - SENSEX Index Options'!$H:$H,"Weekly*")+SUMIFS('BSE - Other Index Options'!$M:$M,'BSE - Other Index Options'!$D:$D,$A175,'BSE - Other Index Options'!$B:$B,"Sunday",'BSE - Other Index Options'!$H:$H,"Weekly*")=0,"",SUMIFS('BSE - SENSEX Index Options'!$M:$M,'BSE - SENSEX Index Options'!$D:$D,$A175,'BSE - SENSEX Index Options'!$B:$B,"Sunday",'BSE - SENSEX Index Options'!$H:$H,"Weekly*")+SUMIFS('BSE - Other Index Options'!$M:$M,'BSE - Other Index Options'!$D:$D,$A175,'BSE - Other Index Options'!$B:$B,"Sunday",'BSE - Other Index Options'!$H:$H,"Weekly*"))</f>
        <v/>
      </c>
      <c r="D175" s="27">
        <f>IF(SUM(B175:C175)=0,"",SUM(B175)/SUM(B175:C175))</f>
        <v/>
      </c>
      <c r="E175" s="27">
        <f>IF(SUM(B175:C175)=0,"",SUM(C175)/SUM(B175:C175))</f>
        <v/>
      </c>
    </row>
    <row r="176">
      <c r="A176" s="24" t="n">
        <v>46235</v>
      </c>
      <c r="B176" s="26">
        <f>IF(SUMIFS('NSE - NIFTY Index Options'!$M:$M,'NSE - NIFTY Index Options'!$D:$D,$A176,'NSE - NIFTY Index Options'!$B:$B,"Sunday",'NSE - NIFTY Index Options'!$H:$H,"Weekly*")+SUMIFS('NSE - Other Index Options'!$M:$M,'NSE - Other Index Options'!$D:$D,$A176,'NSE - Other Index Options'!$B:$B,"Sunday",'NSE - Other Index Options'!$H:$H,"Weekly*")=0,"",SUMIFS('NSE - NIFTY Index Options'!$M:$M,'NSE - NIFTY Index Options'!$D:$D,$A176,'NSE - NIFTY Index Options'!$B:$B,"Sunday",'NSE - NIFTY Index Options'!$H:$H,"Weekly*")+SUMIFS('NSE - Other Index Options'!$M:$M,'NSE - Other Index Options'!$D:$D,$A176,'NSE - Other Index Options'!$B:$B,"Sunday",'NSE - Other Index Options'!$H:$H,"Weekly*"))</f>
        <v/>
      </c>
      <c r="C176" s="26">
        <f>IF(SUMIFS('BSE - SENSEX Index Options'!$M:$M,'BSE - SENSEX Index Options'!$D:$D,$A176,'BSE - SENSEX Index Options'!$B:$B,"Sunday",'BSE - SENSEX Index Options'!$H:$H,"Weekly*")+SUMIFS('BSE - Other Index Options'!$M:$M,'BSE - Other Index Options'!$D:$D,$A176,'BSE - Other Index Options'!$B:$B,"Sunday",'BSE - Other Index Options'!$H:$H,"Weekly*")=0,"",SUMIFS('BSE - SENSEX Index Options'!$M:$M,'BSE - SENSEX Index Options'!$D:$D,$A176,'BSE - SENSEX Index Options'!$B:$B,"Sunday",'BSE - SENSEX Index Options'!$H:$H,"Weekly*")+SUMIFS('BSE - Other Index Options'!$M:$M,'BSE - Other Index Options'!$D:$D,$A176,'BSE - Other Index Options'!$B:$B,"Sunday",'BSE - Other Index Options'!$H:$H,"Weekly*"))</f>
        <v/>
      </c>
      <c r="D176" s="27">
        <f>IF(SUM(B176:C176)=0,"",SUM(B176)/SUM(B176:C176))</f>
        <v/>
      </c>
      <c r="E176" s="27">
        <f>IF(SUM(B176:C176)=0,"",SUM(C176)/SUM(B176:C176))</f>
        <v/>
      </c>
    </row>
    <row r="177" hidden="1" outlineLevel="1">
      <c r="A177" s="24" t="n">
        <v>46266</v>
      </c>
      <c r="B177" s="26">
        <f>IF(SUMIFS('NSE - NIFTY Index Options'!$M:$M,'NSE - NIFTY Index Options'!$D:$D,$A177,'NSE - NIFTY Index Options'!$B:$B,"Sunday",'NSE - NIFTY Index Options'!$H:$H,"Weekly*")+SUMIFS('NSE - Other Index Options'!$M:$M,'NSE - Other Index Options'!$D:$D,$A177,'NSE - Other Index Options'!$B:$B,"Sunday",'NSE - Other Index Options'!$H:$H,"Weekly*")=0,"",SUMIFS('NSE - NIFTY Index Options'!$M:$M,'NSE - NIFTY Index Options'!$D:$D,$A177,'NSE - NIFTY Index Options'!$B:$B,"Sunday",'NSE - NIFTY Index Options'!$H:$H,"Weekly*")+SUMIFS('NSE - Other Index Options'!$M:$M,'NSE - Other Index Options'!$D:$D,$A177,'NSE - Other Index Options'!$B:$B,"Sunday",'NSE - Other Index Options'!$H:$H,"Weekly*"))</f>
        <v/>
      </c>
      <c r="C177" s="26">
        <f>IF(SUMIFS('BSE - SENSEX Index Options'!$M:$M,'BSE - SENSEX Index Options'!$D:$D,$A177,'BSE - SENSEX Index Options'!$B:$B,"Sunday",'BSE - SENSEX Index Options'!$H:$H,"Weekly*")+SUMIFS('BSE - Other Index Options'!$M:$M,'BSE - Other Index Options'!$D:$D,$A177,'BSE - Other Index Options'!$B:$B,"Sunday",'BSE - Other Index Options'!$H:$H,"Weekly*")=0,"",SUMIFS('BSE - SENSEX Index Options'!$M:$M,'BSE - SENSEX Index Options'!$D:$D,$A177,'BSE - SENSEX Index Options'!$B:$B,"Sunday",'BSE - SENSEX Index Options'!$H:$H,"Weekly*")+SUMIFS('BSE - Other Index Options'!$M:$M,'BSE - Other Index Options'!$D:$D,$A177,'BSE - Other Index Options'!$B:$B,"Sunday",'BSE - Other Index Options'!$H:$H,"Weekly*"))</f>
        <v/>
      </c>
      <c r="D177" s="27">
        <f>IF(SUM(B177:C177)=0,"",SUM(B177)/SUM(B177:C177))</f>
        <v/>
      </c>
      <c r="E177" s="27">
        <f>IF(SUM(B177:C177)=0,"",SUM(C177)/SUM(B177:C177))</f>
        <v/>
      </c>
    </row>
    <row r="178" hidden="1" outlineLevel="1">
      <c r="A178" s="24" t="n">
        <v>46296</v>
      </c>
      <c r="B178" s="26">
        <f>IF(SUMIFS('NSE - NIFTY Index Options'!$M:$M,'NSE - NIFTY Index Options'!$D:$D,$A178,'NSE - NIFTY Index Options'!$B:$B,"Sunday",'NSE - NIFTY Index Options'!$H:$H,"Weekly*")+SUMIFS('NSE - Other Index Options'!$M:$M,'NSE - Other Index Options'!$D:$D,$A178,'NSE - Other Index Options'!$B:$B,"Sunday",'NSE - Other Index Options'!$H:$H,"Weekly*")=0,"",SUMIFS('NSE - NIFTY Index Options'!$M:$M,'NSE - NIFTY Index Options'!$D:$D,$A178,'NSE - NIFTY Index Options'!$B:$B,"Sunday",'NSE - NIFTY Index Options'!$H:$H,"Weekly*")+SUMIFS('NSE - Other Index Options'!$M:$M,'NSE - Other Index Options'!$D:$D,$A178,'NSE - Other Index Options'!$B:$B,"Sunday",'NSE - Other Index Options'!$H:$H,"Weekly*"))</f>
        <v/>
      </c>
      <c r="C178" s="26">
        <f>IF(SUMIFS('BSE - SENSEX Index Options'!$M:$M,'BSE - SENSEX Index Options'!$D:$D,$A178,'BSE - SENSEX Index Options'!$B:$B,"Sunday",'BSE - SENSEX Index Options'!$H:$H,"Weekly*")+SUMIFS('BSE - Other Index Options'!$M:$M,'BSE - Other Index Options'!$D:$D,$A178,'BSE - Other Index Options'!$B:$B,"Sunday",'BSE - Other Index Options'!$H:$H,"Weekly*")=0,"",SUMIFS('BSE - SENSEX Index Options'!$M:$M,'BSE - SENSEX Index Options'!$D:$D,$A178,'BSE - SENSEX Index Options'!$B:$B,"Sunday",'BSE - SENSEX Index Options'!$H:$H,"Weekly*")+SUMIFS('BSE - Other Index Options'!$M:$M,'BSE - Other Index Options'!$D:$D,$A178,'BSE - Other Index Options'!$B:$B,"Sunday",'BSE - Other Index Options'!$H:$H,"Weekly*"))</f>
        <v/>
      </c>
      <c r="D178" s="27">
        <f>IF(SUM(B178:C178)=0,"",SUM(B178)/SUM(B178:C178))</f>
        <v/>
      </c>
      <c r="E178" s="27">
        <f>IF(SUM(B178:C178)=0,"",SUM(C178)/SUM(B178:C178))</f>
        <v/>
      </c>
    </row>
    <row r="179" hidden="1" outlineLevel="1">
      <c r="A179" s="24" t="n">
        <v>46327</v>
      </c>
      <c r="B179" s="26">
        <f>IF(SUMIFS('NSE - NIFTY Index Options'!$M:$M,'NSE - NIFTY Index Options'!$D:$D,$A179,'NSE - NIFTY Index Options'!$B:$B,"Sunday",'NSE - NIFTY Index Options'!$H:$H,"Weekly*")+SUMIFS('NSE - Other Index Options'!$M:$M,'NSE - Other Index Options'!$D:$D,$A179,'NSE - Other Index Options'!$B:$B,"Sunday",'NSE - Other Index Options'!$H:$H,"Weekly*")=0,"",SUMIFS('NSE - NIFTY Index Options'!$M:$M,'NSE - NIFTY Index Options'!$D:$D,$A179,'NSE - NIFTY Index Options'!$B:$B,"Sunday",'NSE - NIFTY Index Options'!$H:$H,"Weekly*")+SUMIFS('NSE - Other Index Options'!$M:$M,'NSE - Other Index Options'!$D:$D,$A179,'NSE - Other Index Options'!$B:$B,"Sunday",'NSE - Other Index Options'!$H:$H,"Weekly*"))</f>
        <v/>
      </c>
      <c r="C179" s="26">
        <f>IF(SUMIFS('BSE - SENSEX Index Options'!$M:$M,'BSE - SENSEX Index Options'!$D:$D,$A179,'BSE - SENSEX Index Options'!$B:$B,"Sunday",'BSE - SENSEX Index Options'!$H:$H,"Weekly*")+SUMIFS('BSE - Other Index Options'!$M:$M,'BSE - Other Index Options'!$D:$D,$A179,'BSE - Other Index Options'!$B:$B,"Sunday",'BSE - Other Index Options'!$H:$H,"Weekly*")=0,"",SUMIFS('BSE - SENSEX Index Options'!$M:$M,'BSE - SENSEX Index Options'!$D:$D,$A179,'BSE - SENSEX Index Options'!$B:$B,"Sunday",'BSE - SENSEX Index Options'!$H:$H,"Weekly*")+SUMIFS('BSE - Other Index Options'!$M:$M,'BSE - Other Index Options'!$D:$D,$A179,'BSE - Other Index Options'!$B:$B,"Sunday",'BSE - Other Index Options'!$H:$H,"Weekly*"))</f>
        <v/>
      </c>
      <c r="D179" s="27">
        <f>IF(SUM(B179:C179)=0,"",SUM(B179)/SUM(B179:C179))</f>
        <v/>
      </c>
      <c r="E179" s="27">
        <f>IF(SUM(B179:C179)=0,"",SUM(C179)/SUM(B179:C179))</f>
        <v/>
      </c>
    </row>
    <row r="180" hidden="1" outlineLevel="1">
      <c r="A180" s="24" t="n">
        <v>46357</v>
      </c>
      <c r="B180" s="26">
        <f>IF(SUMIFS('NSE - NIFTY Index Options'!$M:$M,'NSE - NIFTY Index Options'!$D:$D,$A180,'NSE - NIFTY Index Options'!$B:$B,"Sunday",'NSE - NIFTY Index Options'!$H:$H,"Weekly*")+SUMIFS('NSE - Other Index Options'!$M:$M,'NSE - Other Index Options'!$D:$D,$A180,'NSE - Other Index Options'!$B:$B,"Sunday",'NSE - Other Index Options'!$H:$H,"Weekly*")=0,"",SUMIFS('NSE - NIFTY Index Options'!$M:$M,'NSE - NIFTY Index Options'!$D:$D,$A180,'NSE - NIFTY Index Options'!$B:$B,"Sunday",'NSE - NIFTY Index Options'!$H:$H,"Weekly*")+SUMIFS('NSE - Other Index Options'!$M:$M,'NSE - Other Index Options'!$D:$D,$A180,'NSE - Other Index Options'!$B:$B,"Sunday",'NSE - Other Index Options'!$H:$H,"Weekly*"))</f>
        <v/>
      </c>
      <c r="C180" s="26">
        <f>IF(SUMIFS('BSE - SENSEX Index Options'!$M:$M,'BSE - SENSEX Index Options'!$D:$D,$A180,'BSE - SENSEX Index Options'!$B:$B,"Sunday",'BSE - SENSEX Index Options'!$H:$H,"Weekly*")+SUMIFS('BSE - Other Index Options'!$M:$M,'BSE - Other Index Options'!$D:$D,$A180,'BSE - Other Index Options'!$B:$B,"Sunday",'BSE - Other Index Options'!$H:$H,"Weekly*")=0,"",SUMIFS('BSE - SENSEX Index Options'!$M:$M,'BSE - SENSEX Index Options'!$D:$D,$A180,'BSE - SENSEX Index Options'!$B:$B,"Sunday",'BSE - SENSEX Index Options'!$H:$H,"Weekly*")+SUMIFS('BSE - Other Index Options'!$M:$M,'BSE - Other Index Options'!$D:$D,$A180,'BSE - Other Index Options'!$B:$B,"Sunday",'BSE - Other Index Options'!$H:$H,"Weekly*"))</f>
        <v/>
      </c>
      <c r="D180" s="27">
        <f>IF(SUM(B180:C180)=0,"",SUM(B180)/SUM(B180:C180))</f>
        <v/>
      </c>
      <c r="E180" s="27">
        <f>IF(SUM(B180:C180)=0,"",SUM(C180)/SUM(B180:C180))</f>
        <v/>
      </c>
    </row>
    <row r="181" hidden="1" outlineLevel="1">
      <c r="A181" s="24" t="n">
        <v>46388</v>
      </c>
      <c r="B181" s="26">
        <f>IF(SUMIFS('NSE - NIFTY Index Options'!$M:$M,'NSE - NIFTY Index Options'!$D:$D,$A181,'NSE - NIFTY Index Options'!$B:$B,"Sunday",'NSE - NIFTY Index Options'!$H:$H,"Weekly*")+SUMIFS('NSE - Other Index Options'!$M:$M,'NSE - Other Index Options'!$D:$D,$A181,'NSE - Other Index Options'!$B:$B,"Sunday",'NSE - Other Index Options'!$H:$H,"Weekly*")=0,"",SUMIFS('NSE - NIFTY Index Options'!$M:$M,'NSE - NIFTY Index Options'!$D:$D,$A181,'NSE - NIFTY Index Options'!$B:$B,"Sunday",'NSE - NIFTY Index Options'!$H:$H,"Weekly*")+SUMIFS('NSE - Other Index Options'!$M:$M,'NSE - Other Index Options'!$D:$D,$A181,'NSE - Other Index Options'!$B:$B,"Sunday",'NSE - Other Index Options'!$H:$H,"Weekly*"))</f>
        <v/>
      </c>
      <c r="C181" s="26">
        <f>IF(SUMIFS('BSE - SENSEX Index Options'!$M:$M,'BSE - SENSEX Index Options'!$D:$D,$A181,'BSE - SENSEX Index Options'!$B:$B,"Sunday",'BSE - SENSEX Index Options'!$H:$H,"Weekly*")+SUMIFS('BSE - Other Index Options'!$M:$M,'BSE - Other Index Options'!$D:$D,$A181,'BSE - Other Index Options'!$B:$B,"Sunday",'BSE - Other Index Options'!$H:$H,"Weekly*")=0,"",SUMIFS('BSE - SENSEX Index Options'!$M:$M,'BSE - SENSEX Index Options'!$D:$D,$A181,'BSE - SENSEX Index Options'!$B:$B,"Sunday",'BSE - SENSEX Index Options'!$H:$H,"Weekly*")+SUMIFS('BSE - Other Index Options'!$M:$M,'BSE - Other Index Options'!$D:$D,$A181,'BSE - Other Index Options'!$B:$B,"Sunday",'BSE - Other Index Options'!$H:$H,"Weekly*"))</f>
        <v/>
      </c>
      <c r="D181" s="27">
        <f>IF(SUM(B181:C181)=0,"",SUM(B181)/SUM(B181:C181))</f>
        <v/>
      </c>
      <c r="E181" s="27">
        <f>IF(SUM(B181:C181)=0,"",SUM(C181)/SUM(B181:C181))</f>
        <v/>
      </c>
    </row>
    <row r="182" hidden="1" outlineLevel="1">
      <c r="A182" s="24" t="n">
        <v>46419</v>
      </c>
      <c r="B182" s="26">
        <f>IF(SUMIFS('NSE - NIFTY Index Options'!$M:$M,'NSE - NIFTY Index Options'!$D:$D,$A182,'NSE - NIFTY Index Options'!$B:$B,"Sunday",'NSE - NIFTY Index Options'!$H:$H,"Weekly*")+SUMIFS('NSE - Other Index Options'!$M:$M,'NSE - Other Index Options'!$D:$D,$A182,'NSE - Other Index Options'!$B:$B,"Sunday",'NSE - Other Index Options'!$H:$H,"Weekly*")=0,"",SUMIFS('NSE - NIFTY Index Options'!$M:$M,'NSE - NIFTY Index Options'!$D:$D,$A182,'NSE - NIFTY Index Options'!$B:$B,"Sunday",'NSE - NIFTY Index Options'!$H:$H,"Weekly*")+SUMIFS('NSE - Other Index Options'!$M:$M,'NSE - Other Index Options'!$D:$D,$A182,'NSE - Other Index Options'!$B:$B,"Sunday",'NSE - Other Index Options'!$H:$H,"Weekly*"))</f>
        <v/>
      </c>
      <c r="C182" s="26">
        <f>IF(SUMIFS('BSE - SENSEX Index Options'!$M:$M,'BSE - SENSEX Index Options'!$D:$D,$A182,'BSE - SENSEX Index Options'!$B:$B,"Sunday",'BSE - SENSEX Index Options'!$H:$H,"Weekly*")+SUMIFS('BSE - Other Index Options'!$M:$M,'BSE - Other Index Options'!$D:$D,$A182,'BSE - Other Index Options'!$B:$B,"Sunday",'BSE - Other Index Options'!$H:$H,"Weekly*")=0,"",SUMIFS('BSE - SENSEX Index Options'!$M:$M,'BSE - SENSEX Index Options'!$D:$D,$A182,'BSE - SENSEX Index Options'!$B:$B,"Sunday",'BSE - SENSEX Index Options'!$H:$H,"Weekly*")+SUMIFS('BSE - Other Index Options'!$M:$M,'BSE - Other Index Options'!$D:$D,$A182,'BSE - Other Index Options'!$B:$B,"Sunday",'BSE - Other Index Options'!$H:$H,"Weekly*"))</f>
        <v/>
      </c>
      <c r="D182" s="27">
        <f>IF(SUM(B182:C182)=0,"",SUM(B182)/SUM(B182:C182))</f>
        <v/>
      </c>
      <c r="E182" s="27">
        <f>IF(SUM(B182:C182)=0,"",SUM(C182)/SUM(B182:C182))</f>
        <v/>
      </c>
    </row>
    <row r="183" hidden="1" outlineLevel="1">
      <c r="A183" s="24" t="n">
        <v>46447</v>
      </c>
      <c r="B183" s="26">
        <f>IF(SUMIFS('NSE - NIFTY Index Options'!$M:$M,'NSE - NIFTY Index Options'!$D:$D,$A183,'NSE - NIFTY Index Options'!$B:$B,"Sunday",'NSE - NIFTY Index Options'!$H:$H,"Weekly*")+SUMIFS('NSE - Other Index Options'!$M:$M,'NSE - Other Index Options'!$D:$D,$A183,'NSE - Other Index Options'!$B:$B,"Sunday",'NSE - Other Index Options'!$H:$H,"Weekly*")=0,"",SUMIFS('NSE - NIFTY Index Options'!$M:$M,'NSE - NIFTY Index Options'!$D:$D,$A183,'NSE - NIFTY Index Options'!$B:$B,"Sunday",'NSE - NIFTY Index Options'!$H:$H,"Weekly*")+SUMIFS('NSE - Other Index Options'!$M:$M,'NSE - Other Index Options'!$D:$D,$A183,'NSE - Other Index Options'!$B:$B,"Sunday",'NSE - Other Index Options'!$H:$H,"Weekly*"))</f>
        <v/>
      </c>
      <c r="C183" s="26">
        <f>IF(SUMIFS('BSE - SENSEX Index Options'!$M:$M,'BSE - SENSEX Index Options'!$D:$D,$A183,'BSE - SENSEX Index Options'!$B:$B,"Sunday",'BSE - SENSEX Index Options'!$H:$H,"Weekly*")+SUMIFS('BSE - Other Index Options'!$M:$M,'BSE - Other Index Options'!$D:$D,$A183,'BSE - Other Index Options'!$B:$B,"Sunday",'BSE - Other Index Options'!$H:$H,"Weekly*")=0,"",SUMIFS('BSE - SENSEX Index Options'!$M:$M,'BSE - SENSEX Index Options'!$D:$D,$A183,'BSE - SENSEX Index Options'!$B:$B,"Sunday",'BSE - SENSEX Index Options'!$H:$H,"Weekly*")+SUMIFS('BSE - Other Index Options'!$M:$M,'BSE - Other Index Options'!$D:$D,$A183,'BSE - Other Index Options'!$B:$B,"Sunday",'BSE - Other Index Options'!$H:$H,"Weekly*"))</f>
        <v/>
      </c>
      <c r="D183" s="27">
        <f>IF(SUM(B183:C183)=0,"",SUM(B183)/SUM(B183:C183))</f>
        <v/>
      </c>
      <c r="E183" s="27">
        <f>IF(SUM(B183:C183)=0,"",SUM(C183)/SUM(B183:C183))</f>
        <v/>
      </c>
    </row>
    <row r="184" hidden="1" outlineLevel="1">
      <c r="A184" s="24" t="n">
        <v>46478</v>
      </c>
      <c r="B184" s="26">
        <f>IF(SUMIFS('NSE - NIFTY Index Options'!$M:$M,'NSE - NIFTY Index Options'!$D:$D,$A184,'NSE - NIFTY Index Options'!$B:$B,"Sunday",'NSE - NIFTY Index Options'!$H:$H,"Weekly*")+SUMIFS('NSE - Other Index Options'!$M:$M,'NSE - Other Index Options'!$D:$D,$A184,'NSE - Other Index Options'!$B:$B,"Sunday",'NSE - Other Index Options'!$H:$H,"Weekly*")=0,"",SUMIFS('NSE - NIFTY Index Options'!$M:$M,'NSE - NIFTY Index Options'!$D:$D,$A184,'NSE - NIFTY Index Options'!$B:$B,"Sunday",'NSE - NIFTY Index Options'!$H:$H,"Weekly*")+SUMIFS('NSE - Other Index Options'!$M:$M,'NSE - Other Index Options'!$D:$D,$A184,'NSE - Other Index Options'!$B:$B,"Sunday",'NSE - Other Index Options'!$H:$H,"Weekly*"))</f>
        <v/>
      </c>
      <c r="C184" s="26">
        <f>IF(SUMIFS('BSE - SENSEX Index Options'!$M:$M,'BSE - SENSEX Index Options'!$D:$D,$A184,'BSE - SENSEX Index Options'!$B:$B,"Sunday",'BSE - SENSEX Index Options'!$H:$H,"Weekly*")+SUMIFS('BSE - Other Index Options'!$M:$M,'BSE - Other Index Options'!$D:$D,$A184,'BSE - Other Index Options'!$B:$B,"Sunday",'BSE - Other Index Options'!$H:$H,"Weekly*")=0,"",SUMIFS('BSE - SENSEX Index Options'!$M:$M,'BSE - SENSEX Index Options'!$D:$D,$A184,'BSE - SENSEX Index Options'!$B:$B,"Sunday",'BSE - SENSEX Index Options'!$H:$H,"Weekly*")+SUMIFS('BSE - Other Index Options'!$M:$M,'BSE - Other Index Options'!$D:$D,$A184,'BSE - Other Index Options'!$B:$B,"Sunday",'BSE - Other Index Options'!$H:$H,"Weekly*"))</f>
        <v/>
      </c>
      <c r="D184" s="27">
        <f>IF(SUM(B184:C184)=0,"",SUM(B184)/SUM(B184:C184))</f>
        <v/>
      </c>
      <c r="E184" s="27">
        <f>IF(SUM(B184:C184)=0,"",SUM(C184)/SUM(B184:C184))</f>
        <v/>
      </c>
    </row>
    <row r="185" hidden="1" outlineLevel="1">
      <c r="A185" s="24" t="n">
        <v>46508</v>
      </c>
      <c r="B185" s="26">
        <f>IF(SUMIFS('NSE - NIFTY Index Options'!$M:$M,'NSE - NIFTY Index Options'!$D:$D,$A185,'NSE - NIFTY Index Options'!$B:$B,"Sunday",'NSE - NIFTY Index Options'!$H:$H,"Weekly*")+SUMIFS('NSE - Other Index Options'!$M:$M,'NSE - Other Index Options'!$D:$D,$A185,'NSE - Other Index Options'!$B:$B,"Sunday",'NSE - Other Index Options'!$H:$H,"Weekly*")=0,"",SUMIFS('NSE - NIFTY Index Options'!$M:$M,'NSE - NIFTY Index Options'!$D:$D,$A185,'NSE - NIFTY Index Options'!$B:$B,"Sunday",'NSE - NIFTY Index Options'!$H:$H,"Weekly*")+SUMIFS('NSE - Other Index Options'!$M:$M,'NSE - Other Index Options'!$D:$D,$A185,'NSE - Other Index Options'!$B:$B,"Sunday",'NSE - Other Index Options'!$H:$H,"Weekly*"))</f>
        <v/>
      </c>
      <c r="C185" s="26">
        <f>IF(SUMIFS('BSE - SENSEX Index Options'!$M:$M,'BSE - SENSEX Index Options'!$D:$D,$A185,'BSE - SENSEX Index Options'!$B:$B,"Sunday",'BSE - SENSEX Index Options'!$H:$H,"Weekly*")+SUMIFS('BSE - Other Index Options'!$M:$M,'BSE - Other Index Options'!$D:$D,$A185,'BSE - Other Index Options'!$B:$B,"Sunday",'BSE - Other Index Options'!$H:$H,"Weekly*")=0,"",SUMIFS('BSE - SENSEX Index Options'!$M:$M,'BSE - SENSEX Index Options'!$D:$D,$A185,'BSE - SENSEX Index Options'!$B:$B,"Sunday",'BSE - SENSEX Index Options'!$H:$H,"Weekly*")+SUMIFS('BSE - Other Index Options'!$M:$M,'BSE - Other Index Options'!$D:$D,$A185,'BSE - Other Index Options'!$B:$B,"Sunday",'BSE - Other Index Options'!$H:$H,"Weekly*"))</f>
        <v/>
      </c>
      <c r="D185" s="27">
        <f>IF(SUM(B185:C185)=0,"",SUM(B185)/SUM(B185:C185))</f>
        <v/>
      </c>
      <c r="E185" s="27">
        <f>IF(SUM(B185:C185)=0,"",SUM(C185)/SUM(B185:C185))</f>
        <v/>
      </c>
    </row>
    <row r="186" hidden="1" outlineLevel="1">
      <c r="A186" s="24" t="n">
        <v>46539</v>
      </c>
      <c r="B186" s="26">
        <f>IF(SUMIFS('NSE - NIFTY Index Options'!$M:$M,'NSE - NIFTY Index Options'!$D:$D,$A186,'NSE - NIFTY Index Options'!$B:$B,"Sunday",'NSE - NIFTY Index Options'!$H:$H,"Weekly*")+SUMIFS('NSE - Other Index Options'!$M:$M,'NSE - Other Index Options'!$D:$D,$A186,'NSE - Other Index Options'!$B:$B,"Sunday",'NSE - Other Index Options'!$H:$H,"Weekly*")=0,"",SUMIFS('NSE - NIFTY Index Options'!$M:$M,'NSE - NIFTY Index Options'!$D:$D,$A186,'NSE - NIFTY Index Options'!$B:$B,"Sunday",'NSE - NIFTY Index Options'!$H:$H,"Weekly*")+SUMIFS('NSE - Other Index Options'!$M:$M,'NSE - Other Index Options'!$D:$D,$A186,'NSE - Other Index Options'!$B:$B,"Sunday",'NSE - Other Index Options'!$H:$H,"Weekly*"))</f>
        <v/>
      </c>
      <c r="C186" s="26">
        <f>IF(SUMIFS('BSE - SENSEX Index Options'!$M:$M,'BSE - SENSEX Index Options'!$D:$D,$A186,'BSE - SENSEX Index Options'!$B:$B,"Sunday",'BSE - SENSEX Index Options'!$H:$H,"Weekly*")+SUMIFS('BSE - Other Index Options'!$M:$M,'BSE - Other Index Options'!$D:$D,$A186,'BSE - Other Index Options'!$B:$B,"Sunday",'BSE - Other Index Options'!$H:$H,"Weekly*")=0,"",SUMIFS('BSE - SENSEX Index Options'!$M:$M,'BSE - SENSEX Index Options'!$D:$D,$A186,'BSE - SENSEX Index Options'!$B:$B,"Sunday",'BSE - SENSEX Index Options'!$H:$H,"Weekly*")+SUMIFS('BSE - Other Index Options'!$M:$M,'BSE - Other Index Options'!$D:$D,$A186,'BSE - Other Index Options'!$B:$B,"Sunday",'BSE - Other Index Options'!$H:$H,"Weekly*"))</f>
        <v/>
      </c>
      <c r="D186" s="27">
        <f>IF(SUM(B186:C186)=0,"",SUM(B186)/SUM(B186:C186))</f>
        <v/>
      </c>
      <c r="E186" s="27">
        <f>IF(SUM(B186:C186)=0,"",SUM(C186)/SUM(B186:C186))</f>
        <v/>
      </c>
    </row>
    <row r="187" hidden="1" outlineLevel="1">
      <c r="A187" s="24" t="n">
        <v>46569</v>
      </c>
      <c r="B187" s="26">
        <f>IF(SUMIFS('NSE - NIFTY Index Options'!$M:$M,'NSE - NIFTY Index Options'!$D:$D,$A187,'NSE - NIFTY Index Options'!$B:$B,"Sunday",'NSE - NIFTY Index Options'!$H:$H,"Weekly*")+SUMIFS('NSE - Other Index Options'!$M:$M,'NSE - Other Index Options'!$D:$D,$A187,'NSE - Other Index Options'!$B:$B,"Sunday",'NSE - Other Index Options'!$H:$H,"Weekly*")=0,"",SUMIFS('NSE - NIFTY Index Options'!$M:$M,'NSE - NIFTY Index Options'!$D:$D,$A187,'NSE - NIFTY Index Options'!$B:$B,"Sunday",'NSE - NIFTY Index Options'!$H:$H,"Weekly*")+SUMIFS('NSE - Other Index Options'!$M:$M,'NSE - Other Index Options'!$D:$D,$A187,'NSE - Other Index Options'!$B:$B,"Sunday",'NSE - Other Index Options'!$H:$H,"Weekly*"))</f>
        <v/>
      </c>
      <c r="C187" s="26">
        <f>IF(SUMIFS('BSE - SENSEX Index Options'!$M:$M,'BSE - SENSEX Index Options'!$D:$D,$A187,'BSE - SENSEX Index Options'!$B:$B,"Sunday",'BSE - SENSEX Index Options'!$H:$H,"Weekly*")+SUMIFS('BSE - Other Index Options'!$M:$M,'BSE - Other Index Options'!$D:$D,$A187,'BSE - Other Index Options'!$B:$B,"Sunday",'BSE - Other Index Options'!$H:$H,"Weekly*")=0,"",SUMIFS('BSE - SENSEX Index Options'!$M:$M,'BSE - SENSEX Index Options'!$D:$D,$A187,'BSE - SENSEX Index Options'!$B:$B,"Sunday",'BSE - SENSEX Index Options'!$H:$H,"Weekly*")+SUMIFS('BSE - Other Index Options'!$M:$M,'BSE - Other Index Options'!$D:$D,$A187,'BSE - Other Index Options'!$B:$B,"Sunday",'BSE - Other Index Options'!$H:$H,"Weekly*"))</f>
        <v/>
      </c>
      <c r="D187" s="27">
        <f>IF(SUM(B187:C187)=0,"",SUM(B187)/SUM(B187:C187))</f>
        <v/>
      </c>
      <c r="E187" s="27">
        <f>IF(SUM(B187:C187)=0,"",SUM(C187)/SUM(B187:C187))</f>
        <v/>
      </c>
    </row>
    <row r="188" hidden="1" outlineLevel="1">
      <c r="A188" s="24" t="n">
        <v>46600</v>
      </c>
      <c r="B188" s="26">
        <f>IF(SUMIFS('NSE - NIFTY Index Options'!$M:$M,'NSE - NIFTY Index Options'!$D:$D,$A188,'NSE - NIFTY Index Options'!$B:$B,"Sunday",'NSE - NIFTY Index Options'!$H:$H,"Weekly*")+SUMIFS('NSE - Other Index Options'!$M:$M,'NSE - Other Index Options'!$D:$D,$A188,'NSE - Other Index Options'!$B:$B,"Sunday",'NSE - Other Index Options'!$H:$H,"Weekly*")=0,"",SUMIFS('NSE - NIFTY Index Options'!$M:$M,'NSE - NIFTY Index Options'!$D:$D,$A188,'NSE - NIFTY Index Options'!$B:$B,"Sunday",'NSE - NIFTY Index Options'!$H:$H,"Weekly*")+SUMIFS('NSE - Other Index Options'!$M:$M,'NSE - Other Index Options'!$D:$D,$A188,'NSE - Other Index Options'!$B:$B,"Sunday",'NSE - Other Index Options'!$H:$H,"Weekly*"))</f>
        <v/>
      </c>
      <c r="C188" s="26">
        <f>IF(SUMIFS('BSE - SENSEX Index Options'!$M:$M,'BSE - SENSEX Index Options'!$D:$D,$A188,'BSE - SENSEX Index Options'!$B:$B,"Sunday",'BSE - SENSEX Index Options'!$H:$H,"Weekly*")+SUMIFS('BSE - Other Index Options'!$M:$M,'BSE - Other Index Options'!$D:$D,$A188,'BSE - Other Index Options'!$B:$B,"Sunday",'BSE - Other Index Options'!$H:$H,"Weekly*")=0,"",SUMIFS('BSE - SENSEX Index Options'!$M:$M,'BSE - SENSEX Index Options'!$D:$D,$A188,'BSE - SENSEX Index Options'!$B:$B,"Sunday",'BSE - SENSEX Index Options'!$H:$H,"Weekly*")+SUMIFS('BSE - Other Index Options'!$M:$M,'BSE - Other Index Options'!$D:$D,$A188,'BSE - Other Index Options'!$B:$B,"Sunday",'BSE - Other Index Options'!$H:$H,"Weekly*"))</f>
        <v/>
      </c>
      <c r="D188" s="27">
        <f>IF(SUM(B188:C188)=0,"",SUM(B188)/SUM(B188:C188))</f>
        <v/>
      </c>
      <c r="E188" s="27">
        <f>IF(SUM(B188:C188)=0,"",SUM(C188)/SUM(B188:C188))</f>
        <v/>
      </c>
    </row>
    <row r="189" hidden="1" outlineLevel="1">
      <c r="A189" s="24" t="n">
        <v>46631</v>
      </c>
      <c r="B189" s="26">
        <f>IF(SUMIFS('NSE - NIFTY Index Options'!$M:$M,'NSE - NIFTY Index Options'!$D:$D,$A189,'NSE - NIFTY Index Options'!$B:$B,"Sunday",'NSE - NIFTY Index Options'!$H:$H,"Weekly*")+SUMIFS('NSE - Other Index Options'!$M:$M,'NSE - Other Index Options'!$D:$D,$A189,'NSE - Other Index Options'!$B:$B,"Sunday",'NSE - Other Index Options'!$H:$H,"Weekly*")=0,"",SUMIFS('NSE - NIFTY Index Options'!$M:$M,'NSE - NIFTY Index Options'!$D:$D,$A189,'NSE - NIFTY Index Options'!$B:$B,"Sunday",'NSE - NIFTY Index Options'!$H:$H,"Weekly*")+SUMIFS('NSE - Other Index Options'!$M:$M,'NSE - Other Index Options'!$D:$D,$A189,'NSE - Other Index Options'!$B:$B,"Sunday",'NSE - Other Index Options'!$H:$H,"Weekly*"))</f>
        <v/>
      </c>
      <c r="C189" s="26">
        <f>IF(SUMIFS('BSE - SENSEX Index Options'!$M:$M,'BSE - SENSEX Index Options'!$D:$D,$A189,'BSE - SENSEX Index Options'!$B:$B,"Sunday",'BSE - SENSEX Index Options'!$H:$H,"Weekly*")+SUMIFS('BSE - Other Index Options'!$M:$M,'BSE - Other Index Options'!$D:$D,$A189,'BSE - Other Index Options'!$B:$B,"Sunday",'BSE - Other Index Options'!$H:$H,"Weekly*")=0,"",SUMIFS('BSE - SENSEX Index Options'!$M:$M,'BSE - SENSEX Index Options'!$D:$D,$A189,'BSE - SENSEX Index Options'!$B:$B,"Sunday",'BSE - SENSEX Index Options'!$H:$H,"Weekly*")+SUMIFS('BSE - Other Index Options'!$M:$M,'BSE - Other Index Options'!$D:$D,$A189,'BSE - Other Index Options'!$B:$B,"Sunday",'BSE - Other Index Options'!$H:$H,"Weekly*"))</f>
        <v/>
      </c>
      <c r="D189" s="27">
        <f>IF(SUM(B189:C189)=0,"",SUM(B189)/SUM(B189:C189))</f>
        <v/>
      </c>
      <c r="E189" s="27">
        <f>IF(SUM(B189:C189)=0,"",SUM(C189)/SUM(B189:C189))</f>
        <v/>
      </c>
    </row>
    <row r="190" hidden="1" outlineLevel="1">
      <c r="A190" s="24" t="n">
        <v>46661</v>
      </c>
      <c r="B190" s="26">
        <f>IF(SUMIFS('NSE - NIFTY Index Options'!$M:$M,'NSE - NIFTY Index Options'!$D:$D,$A190,'NSE - NIFTY Index Options'!$B:$B,"Sunday",'NSE - NIFTY Index Options'!$H:$H,"Weekly*")+SUMIFS('NSE - Other Index Options'!$M:$M,'NSE - Other Index Options'!$D:$D,$A190,'NSE - Other Index Options'!$B:$B,"Sunday",'NSE - Other Index Options'!$H:$H,"Weekly*")=0,"",SUMIFS('NSE - NIFTY Index Options'!$M:$M,'NSE - NIFTY Index Options'!$D:$D,$A190,'NSE - NIFTY Index Options'!$B:$B,"Sunday",'NSE - NIFTY Index Options'!$H:$H,"Weekly*")+SUMIFS('NSE - Other Index Options'!$M:$M,'NSE - Other Index Options'!$D:$D,$A190,'NSE - Other Index Options'!$B:$B,"Sunday",'NSE - Other Index Options'!$H:$H,"Weekly*"))</f>
        <v/>
      </c>
      <c r="C190" s="26">
        <f>IF(SUMIFS('BSE - SENSEX Index Options'!$M:$M,'BSE - SENSEX Index Options'!$D:$D,$A190,'BSE - SENSEX Index Options'!$B:$B,"Sunday",'BSE - SENSEX Index Options'!$H:$H,"Weekly*")+SUMIFS('BSE - Other Index Options'!$M:$M,'BSE - Other Index Options'!$D:$D,$A190,'BSE - Other Index Options'!$B:$B,"Sunday",'BSE - Other Index Options'!$H:$H,"Weekly*")=0,"",SUMIFS('BSE - SENSEX Index Options'!$M:$M,'BSE - SENSEX Index Options'!$D:$D,$A190,'BSE - SENSEX Index Options'!$B:$B,"Sunday",'BSE - SENSEX Index Options'!$H:$H,"Weekly*")+SUMIFS('BSE - Other Index Options'!$M:$M,'BSE - Other Index Options'!$D:$D,$A190,'BSE - Other Index Options'!$B:$B,"Sunday",'BSE - Other Index Options'!$H:$H,"Weekly*"))</f>
        <v/>
      </c>
      <c r="D190" s="27">
        <f>IF(SUM(B190:C190)=0,"",SUM(B190)/SUM(B190:C190))</f>
        <v/>
      </c>
      <c r="E190" s="27">
        <f>IF(SUM(B190:C190)=0,"",SUM(C190)/SUM(B190:C190))</f>
        <v/>
      </c>
    </row>
    <row r="191" hidden="1" outlineLevel="1">
      <c r="A191" s="24" t="n">
        <v>46692</v>
      </c>
      <c r="B191" s="26">
        <f>IF(SUMIFS('NSE - NIFTY Index Options'!$M:$M,'NSE - NIFTY Index Options'!$D:$D,$A191,'NSE - NIFTY Index Options'!$B:$B,"Sunday",'NSE - NIFTY Index Options'!$H:$H,"Weekly*")+SUMIFS('NSE - Other Index Options'!$M:$M,'NSE - Other Index Options'!$D:$D,$A191,'NSE - Other Index Options'!$B:$B,"Sunday",'NSE - Other Index Options'!$H:$H,"Weekly*")=0,"",SUMIFS('NSE - NIFTY Index Options'!$M:$M,'NSE - NIFTY Index Options'!$D:$D,$A191,'NSE - NIFTY Index Options'!$B:$B,"Sunday",'NSE - NIFTY Index Options'!$H:$H,"Weekly*")+SUMIFS('NSE - Other Index Options'!$M:$M,'NSE - Other Index Options'!$D:$D,$A191,'NSE - Other Index Options'!$B:$B,"Sunday",'NSE - Other Index Options'!$H:$H,"Weekly*"))</f>
        <v/>
      </c>
      <c r="C191" s="26">
        <f>IF(SUMIFS('BSE - SENSEX Index Options'!$M:$M,'BSE - SENSEX Index Options'!$D:$D,$A191,'BSE - SENSEX Index Options'!$B:$B,"Sunday",'BSE - SENSEX Index Options'!$H:$H,"Weekly*")+SUMIFS('BSE - Other Index Options'!$M:$M,'BSE - Other Index Options'!$D:$D,$A191,'BSE - Other Index Options'!$B:$B,"Sunday",'BSE - Other Index Options'!$H:$H,"Weekly*")=0,"",SUMIFS('BSE - SENSEX Index Options'!$M:$M,'BSE - SENSEX Index Options'!$D:$D,$A191,'BSE - SENSEX Index Options'!$B:$B,"Sunday",'BSE - SENSEX Index Options'!$H:$H,"Weekly*")+SUMIFS('BSE - Other Index Options'!$M:$M,'BSE - Other Index Options'!$D:$D,$A191,'BSE - Other Index Options'!$B:$B,"Sunday",'BSE - Other Index Options'!$H:$H,"Weekly*"))</f>
        <v/>
      </c>
      <c r="D191" s="27">
        <f>IF(SUM(B191:C191)=0,"",SUM(B191)/SUM(B191:C191))</f>
        <v/>
      </c>
      <c r="E191" s="27">
        <f>IF(SUM(B191:C191)=0,"",SUM(C191)/SUM(B191:C191))</f>
        <v/>
      </c>
    </row>
    <row r="192" hidden="1" outlineLevel="1">
      <c r="A192" s="24" t="n">
        <v>46722</v>
      </c>
      <c r="B192" s="26">
        <f>IF(SUMIFS('NSE - NIFTY Index Options'!$M:$M,'NSE - NIFTY Index Options'!$D:$D,$A192,'NSE - NIFTY Index Options'!$B:$B,"Sunday",'NSE - NIFTY Index Options'!$H:$H,"Weekly*")+SUMIFS('NSE - Other Index Options'!$M:$M,'NSE - Other Index Options'!$D:$D,$A192,'NSE - Other Index Options'!$B:$B,"Sunday",'NSE - Other Index Options'!$H:$H,"Weekly*")=0,"",SUMIFS('NSE - NIFTY Index Options'!$M:$M,'NSE - NIFTY Index Options'!$D:$D,$A192,'NSE - NIFTY Index Options'!$B:$B,"Sunday",'NSE - NIFTY Index Options'!$H:$H,"Weekly*")+SUMIFS('NSE - Other Index Options'!$M:$M,'NSE - Other Index Options'!$D:$D,$A192,'NSE - Other Index Options'!$B:$B,"Sunday",'NSE - Other Index Options'!$H:$H,"Weekly*"))</f>
        <v/>
      </c>
      <c r="C192" s="26">
        <f>IF(SUMIFS('BSE - SENSEX Index Options'!$M:$M,'BSE - SENSEX Index Options'!$D:$D,$A192,'BSE - SENSEX Index Options'!$B:$B,"Sunday",'BSE - SENSEX Index Options'!$H:$H,"Weekly*")+SUMIFS('BSE - Other Index Options'!$M:$M,'BSE - Other Index Options'!$D:$D,$A192,'BSE - Other Index Options'!$B:$B,"Sunday",'BSE - Other Index Options'!$H:$H,"Weekly*")=0,"",SUMIFS('BSE - SENSEX Index Options'!$M:$M,'BSE - SENSEX Index Options'!$D:$D,$A192,'BSE - SENSEX Index Options'!$B:$B,"Sunday",'BSE - SENSEX Index Options'!$H:$H,"Weekly*")+SUMIFS('BSE - Other Index Options'!$M:$M,'BSE - Other Index Options'!$D:$D,$A192,'BSE - Other Index Options'!$B:$B,"Sunday",'BSE - Other Index Options'!$H:$H,"Weekly*"))</f>
        <v/>
      </c>
      <c r="D192" s="27">
        <f>IF(SUM(B192:C192)=0,"",SUM(B192)/SUM(B192:C192))</f>
        <v/>
      </c>
      <c r="E192" s="27">
        <f>IF(SUM(B192:C192)=0,"",SUM(C192)/SUM(B192:C192))</f>
        <v/>
      </c>
    </row>
    <row r="193" collapsed="1">
      <c r="A193" s="28" t="inlineStr">
        <is>
          <t>Total</t>
        </is>
      </c>
      <c r="B193" s="30">
        <f>IF(SUM(B165:B192)=0,"",SUM(B165:B192))</f>
        <v/>
      </c>
      <c r="C193" s="30">
        <f>IF(SUM(C165:C192)=0,"",SUM(C165:C192))</f>
        <v/>
      </c>
      <c r="D193" s="31">
        <f>IF(SUM(B193:C193)=0,"",SUM(B193)/SUM(B193:C193))</f>
        <v/>
      </c>
      <c r="E193" s="31">
        <f>IF(SUM(B193:C193)=0,"",SUM(C193)/SUM(B193:C193))</f>
        <v/>
      </c>
    </row>
  </sheetData>
  <conditionalFormatting sqref="D5:D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D6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D9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1:D1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3:D16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5:D19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7:E6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9:E9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1:E1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3:E16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5:E19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72"/>
  <sheetViews>
    <sheetView showGridLines="0" workbookViewId="0">
      <selection activeCell="A2" sqref="A2"/>
    </sheetView>
  </sheetViews>
  <sheetFormatPr baseColWidth="10" defaultColWidth="8.83203125" defaultRowHeight="16" outlineLevelRow="1"/>
  <cols>
    <col width="20" customWidth="1" min="1" max="1"/>
    <col width="16" customWidth="1" min="2" max="8"/>
    <col width="22" customWidth="1" min="11" max="11"/>
    <col width="8" customWidth="1" min="12" max="12"/>
  </cols>
  <sheetData>
    <row r="1">
      <c r="A1" s="28" t="inlineStr">
        <is>
          <t>Weekly Time Series by Trade Day — NSE vs BSE Premium Turnover &amp; Market Share (Sep-2025 onwards, live)</t>
        </is>
      </c>
      <c r="K1" s="28" t="inlineStr">
        <is>
          <t>Cuts / Scope</t>
        </is>
      </c>
    </row>
    <row r="2">
      <c r="A2" s="48" t="inlineStr">
        <is>
          <t>Week-level view (rows = Trade Week-Month-Year, Week1 = days 1-7 of the month): four matrices — NSE premium (INR Bn), BSE premium, NSE market share, BSE market share — split by trade day. ALL expiry types. Live; future weeks grouped.</t>
        </is>
      </c>
      <c r="K2" t="inlineStr">
        <is>
          <t>Index Options</t>
        </is>
      </c>
      <c r="L2" s="56" t="inlineStr">
        <is>
          <t>Yes</t>
        </is>
      </c>
    </row>
    <row r="3">
      <c r="A3" s="28" t="inlineStr">
        <is>
          <t>NSE Premium Turnover (INR Bn)</t>
        </is>
      </c>
      <c r="K3" t="inlineStr">
        <is>
          <t>Stock Options</t>
        </is>
      </c>
      <c r="L3" s="49" t="inlineStr">
        <is>
          <t>No</t>
        </is>
      </c>
    </row>
    <row r="4">
      <c r="A4" s="28" t="inlineStr">
        <is>
          <t>Trade Week-Month-Year</t>
        </is>
      </c>
      <c r="B4" s="28" t="inlineStr">
        <is>
          <t>Monday</t>
        </is>
      </c>
      <c r="C4" s="28" t="inlineStr">
        <is>
          <t>Tuesday</t>
        </is>
      </c>
      <c r="D4" s="28" t="inlineStr">
        <is>
          <t>Wednesday</t>
        </is>
      </c>
      <c r="E4" s="28" t="inlineStr">
        <is>
          <t>Thursday</t>
        </is>
      </c>
      <c r="F4" s="28" t="inlineStr">
        <is>
          <t>Friday</t>
        </is>
      </c>
      <c r="G4" s="28" t="inlineStr">
        <is>
          <t>Sunday</t>
        </is>
      </c>
      <c r="H4" s="28" t="inlineStr">
        <is>
          <t>Total</t>
        </is>
      </c>
      <c r="K4" t="inlineStr">
        <is>
          <t>Index Futures</t>
        </is>
      </c>
      <c r="L4" s="49" t="inlineStr">
        <is>
          <t>No</t>
        </is>
      </c>
    </row>
    <row r="5">
      <c r="A5" t="inlineStr">
        <is>
          <t>Week1-Sep-2025</t>
        </is>
      </c>
      <c r="B5" s="26">
        <f>IF(SUMIFS('NSE - NIFTY Index Options'!$M:$M,'NSE - NIFTY Index Options'!$C:$C,$A5,'NSE - NIFTY Index Options'!$B:$B,B$4)+SUMIFS('NSE - Other Index Options'!$M:$M,'NSE - Other Index Options'!$C:$C,$A5,'NSE - Other Index Options'!$B:$B,B$4)=0,"",SUMIFS('NSE - NIFTY Index Options'!$M:$M,'NSE - NIFTY Index Options'!$C:$C,$A5,'NSE - NIFTY Index Options'!$B:$B,B$4)+SUMIFS('NSE - Other Index Options'!$M:$M,'NSE - Other Index Options'!$C:$C,$A5,'NSE - Other Index Options'!$B:$B,B$4))</f>
        <v/>
      </c>
      <c r="C5" s="26">
        <f>IF(SUMIFS('NSE - NIFTY Index Options'!$M:$M,'NSE - NIFTY Index Options'!$C:$C,$A5,'NSE - NIFTY Index Options'!$B:$B,C$4)+SUMIFS('NSE - Other Index Options'!$M:$M,'NSE - Other Index Options'!$C:$C,$A5,'NSE - Other Index Options'!$B:$B,C$4)=0,"",SUMIFS('NSE - NIFTY Index Options'!$M:$M,'NSE - NIFTY Index Options'!$C:$C,$A5,'NSE - NIFTY Index Options'!$B:$B,C$4)+SUMIFS('NSE - Other Index Options'!$M:$M,'NSE - Other Index Options'!$C:$C,$A5,'NSE - Other Index Options'!$B:$B,C$4))</f>
        <v/>
      </c>
      <c r="D5" s="26">
        <f>IF(SUMIFS('NSE - NIFTY Index Options'!$M:$M,'NSE - NIFTY Index Options'!$C:$C,$A5,'NSE - NIFTY Index Options'!$B:$B,D$4)+SUMIFS('NSE - Other Index Options'!$M:$M,'NSE - Other Index Options'!$C:$C,$A5,'NSE - Other Index Options'!$B:$B,D$4)=0,"",SUMIFS('NSE - NIFTY Index Options'!$M:$M,'NSE - NIFTY Index Options'!$C:$C,$A5,'NSE - NIFTY Index Options'!$B:$B,D$4)+SUMIFS('NSE - Other Index Options'!$M:$M,'NSE - Other Index Options'!$C:$C,$A5,'NSE - Other Index Options'!$B:$B,D$4))</f>
        <v/>
      </c>
      <c r="E5" s="26">
        <f>IF(SUMIFS('NSE - NIFTY Index Options'!$M:$M,'NSE - NIFTY Index Options'!$C:$C,$A5,'NSE - NIFTY Index Options'!$B:$B,E$4)+SUMIFS('NSE - Other Index Options'!$M:$M,'NSE - Other Index Options'!$C:$C,$A5,'NSE - Other Index Options'!$B:$B,E$4)=0,"",SUMIFS('NSE - NIFTY Index Options'!$M:$M,'NSE - NIFTY Index Options'!$C:$C,$A5,'NSE - NIFTY Index Options'!$B:$B,E$4)+SUMIFS('NSE - Other Index Options'!$M:$M,'NSE - Other Index Options'!$C:$C,$A5,'NSE - Other Index Options'!$B:$B,E$4))</f>
        <v/>
      </c>
      <c r="F5" s="26">
        <f>IF(SUMIFS('NSE - NIFTY Index Options'!$M:$M,'NSE - NIFTY Index Options'!$C:$C,$A5,'NSE - NIFTY Index Options'!$B:$B,F$4)+SUMIFS('NSE - Other Index Options'!$M:$M,'NSE - Other Index Options'!$C:$C,$A5,'NSE - Other Index Options'!$B:$B,F$4)=0,"",SUMIFS('NSE - NIFTY Index Options'!$M:$M,'NSE - NIFTY Index Options'!$C:$C,$A5,'NSE - NIFTY Index Options'!$B:$B,F$4)+SUMIFS('NSE - Other Index Options'!$M:$M,'NSE - Other Index Options'!$C:$C,$A5,'NSE - Other Index Options'!$B:$B,F$4))</f>
        <v/>
      </c>
      <c r="G5" s="26">
        <f>IF(SUMIFS('NSE - NIFTY Index Options'!$M:$M,'NSE - NIFTY Index Options'!$C:$C,$A5,'NSE - NIFTY Index Options'!$B:$B,G$4)+SUMIFS('NSE - Other Index Options'!$M:$M,'NSE - Other Index Options'!$C:$C,$A5,'NSE - Other Index Options'!$B:$B,G$4)=0,"",SUMIFS('NSE - NIFTY Index Options'!$M:$M,'NSE - NIFTY Index Options'!$C:$C,$A5,'NSE - NIFTY Index Options'!$B:$B,G$4)+SUMIFS('NSE - Other Index Options'!$M:$M,'NSE - Other Index Options'!$C:$C,$A5,'NSE - Other Index Options'!$B:$B,G$4))</f>
        <v/>
      </c>
      <c r="H5" s="26">
        <f>IF(SUM(B5:G5)=0,"",SUM(B5:G5))</f>
        <v/>
      </c>
      <c r="K5" t="inlineStr">
        <is>
          <t>NSE</t>
        </is>
      </c>
      <c r="L5" s="56" t="inlineStr">
        <is>
          <t>Yes</t>
        </is>
      </c>
    </row>
    <row r="6">
      <c r="A6" t="inlineStr">
        <is>
          <t>Week2-Sep-2025</t>
        </is>
      </c>
      <c r="B6" s="26">
        <f>IF(SUMIFS('NSE - NIFTY Index Options'!$M:$M,'NSE - NIFTY Index Options'!$C:$C,$A6,'NSE - NIFTY Index Options'!$B:$B,B$4)+SUMIFS('NSE - Other Index Options'!$M:$M,'NSE - Other Index Options'!$C:$C,$A6,'NSE - Other Index Options'!$B:$B,B$4)=0,"",SUMIFS('NSE - NIFTY Index Options'!$M:$M,'NSE - NIFTY Index Options'!$C:$C,$A6,'NSE - NIFTY Index Options'!$B:$B,B$4)+SUMIFS('NSE - Other Index Options'!$M:$M,'NSE - Other Index Options'!$C:$C,$A6,'NSE - Other Index Options'!$B:$B,B$4))</f>
        <v/>
      </c>
      <c r="C6" s="26">
        <f>IF(SUMIFS('NSE - NIFTY Index Options'!$M:$M,'NSE - NIFTY Index Options'!$C:$C,$A6,'NSE - NIFTY Index Options'!$B:$B,C$4)+SUMIFS('NSE - Other Index Options'!$M:$M,'NSE - Other Index Options'!$C:$C,$A6,'NSE - Other Index Options'!$B:$B,C$4)=0,"",SUMIFS('NSE - NIFTY Index Options'!$M:$M,'NSE - NIFTY Index Options'!$C:$C,$A6,'NSE - NIFTY Index Options'!$B:$B,C$4)+SUMIFS('NSE - Other Index Options'!$M:$M,'NSE - Other Index Options'!$C:$C,$A6,'NSE - Other Index Options'!$B:$B,C$4))</f>
        <v/>
      </c>
      <c r="D6" s="26">
        <f>IF(SUMIFS('NSE - NIFTY Index Options'!$M:$M,'NSE - NIFTY Index Options'!$C:$C,$A6,'NSE - NIFTY Index Options'!$B:$B,D$4)+SUMIFS('NSE - Other Index Options'!$M:$M,'NSE - Other Index Options'!$C:$C,$A6,'NSE - Other Index Options'!$B:$B,D$4)=0,"",SUMIFS('NSE - NIFTY Index Options'!$M:$M,'NSE - NIFTY Index Options'!$C:$C,$A6,'NSE - NIFTY Index Options'!$B:$B,D$4)+SUMIFS('NSE - Other Index Options'!$M:$M,'NSE - Other Index Options'!$C:$C,$A6,'NSE - Other Index Options'!$B:$B,D$4))</f>
        <v/>
      </c>
      <c r="E6" s="26">
        <f>IF(SUMIFS('NSE - NIFTY Index Options'!$M:$M,'NSE - NIFTY Index Options'!$C:$C,$A6,'NSE - NIFTY Index Options'!$B:$B,E$4)+SUMIFS('NSE - Other Index Options'!$M:$M,'NSE - Other Index Options'!$C:$C,$A6,'NSE - Other Index Options'!$B:$B,E$4)=0,"",SUMIFS('NSE - NIFTY Index Options'!$M:$M,'NSE - NIFTY Index Options'!$C:$C,$A6,'NSE - NIFTY Index Options'!$B:$B,E$4)+SUMIFS('NSE - Other Index Options'!$M:$M,'NSE - Other Index Options'!$C:$C,$A6,'NSE - Other Index Options'!$B:$B,E$4))</f>
        <v/>
      </c>
      <c r="F6" s="26">
        <f>IF(SUMIFS('NSE - NIFTY Index Options'!$M:$M,'NSE - NIFTY Index Options'!$C:$C,$A6,'NSE - NIFTY Index Options'!$B:$B,F$4)+SUMIFS('NSE - Other Index Options'!$M:$M,'NSE - Other Index Options'!$C:$C,$A6,'NSE - Other Index Options'!$B:$B,F$4)=0,"",SUMIFS('NSE - NIFTY Index Options'!$M:$M,'NSE - NIFTY Index Options'!$C:$C,$A6,'NSE - NIFTY Index Options'!$B:$B,F$4)+SUMIFS('NSE - Other Index Options'!$M:$M,'NSE - Other Index Options'!$C:$C,$A6,'NSE - Other Index Options'!$B:$B,F$4))</f>
        <v/>
      </c>
      <c r="G6" s="26">
        <f>IF(SUMIFS('NSE - NIFTY Index Options'!$M:$M,'NSE - NIFTY Index Options'!$C:$C,$A6,'NSE - NIFTY Index Options'!$B:$B,G$4)+SUMIFS('NSE - Other Index Options'!$M:$M,'NSE - Other Index Options'!$C:$C,$A6,'NSE - Other Index Options'!$B:$B,G$4)=0,"",SUMIFS('NSE - NIFTY Index Options'!$M:$M,'NSE - NIFTY Index Options'!$C:$C,$A6,'NSE - NIFTY Index Options'!$B:$B,G$4)+SUMIFS('NSE - Other Index Options'!$M:$M,'NSE - Other Index Options'!$C:$C,$A6,'NSE - Other Index Options'!$B:$B,G$4))</f>
        <v/>
      </c>
      <c r="H6" s="26">
        <f>IF(SUM(B6:G6)=0,"",SUM(B6:G6))</f>
        <v/>
      </c>
      <c r="K6" t="inlineStr">
        <is>
          <t>BSE</t>
        </is>
      </c>
      <c r="L6" s="56" t="inlineStr">
        <is>
          <t>Yes</t>
        </is>
      </c>
    </row>
    <row r="7">
      <c r="A7" t="inlineStr">
        <is>
          <t>Week3-Sep-2025</t>
        </is>
      </c>
      <c r="B7" s="26">
        <f>IF(SUMIFS('NSE - NIFTY Index Options'!$M:$M,'NSE - NIFTY Index Options'!$C:$C,$A7,'NSE - NIFTY Index Options'!$B:$B,B$4)+SUMIFS('NSE - Other Index Options'!$M:$M,'NSE - Other Index Options'!$C:$C,$A7,'NSE - Other Index Options'!$B:$B,B$4)=0,"",SUMIFS('NSE - NIFTY Index Options'!$M:$M,'NSE - NIFTY Index Options'!$C:$C,$A7,'NSE - NIFTY Index Options'!$B:$B,B$4)+SUMIFS('NSE - Other Index Options'!$M:$M,'NSE - Other Index Options'!$C:$C,$A7,'NSE - Other Index Options'!$B:$B,B$4))</f>
        <v/>
      </c>
      <c r="C7" s="26">
        <f>IF(SUMIFS('NSE - NIFTY Index Options'!$M:$M,'NSE - NIFTY Index Options'!$C:$C,$A7,'NSE - NIFTY Index Options'!$B:$B,C$4)+SUMIFS('NSE - Other Index Options'!$M:$M,'NSE - Other Index Options'!$C:$C,$A7,'NSE - Other Index Options'!$B:$B,C$4)=0,"",SUMIFS('NSE - NIFTY Index Options'!$M:$M,'NSE - NIFTY Index Options'!$C:$C,$A7,'NSE - NIFTY Index Options'!$B:$B,C$4)+SUMIFS('NSE - Other Index Options'!$M:$M,'NSE - Other Index Options'!$C:$C,$A7,'NSE - Other Index Options'!$B:$B,C$4))</f>
        <v/>
      </c>
      <c r="D7" s="26">
        <f>IF(SUMIFS('NSE - NIFTY Index Options'!$M:$M,'NSE - NIFTY Index Options'!$C:$C,$A7,'NSE - NIFTY Index Options'!$B:$B,D$4)+SUMIFS('NSE - Other Index Options'!$M:$M,'NSE - Other Index Options'!$C:$C,$A7,'NSE - Other Index Options'!$B:$B,D$4)=0,"",SUMIFS('NSE - NIFTY Index Options'!$M:$M,'NSE - NIFTY Index Options'!$C:$C,$A7,'NSE - NIFTY Index Options'!$B:$B,D$4)+SUMIFS('NSE - Other Index Options'!$M:$M,'NSE - Other Index Options'!$C:$C,$A7,'NSE - Other Index Options'!$B:$B,D$4))</f>
        <v/>
      </c>
      <c r="E7" s="26">
        <f>IF(SUMIFS('NSE - NIFTY Index Options'!$M:$M,'NSE - NIFTY Index Options'!$C:$C,$A7,'NSE - NIFTY Index Options'!$B:$B,E$4)+SUMIFS('NSE - Other Index Options'!$M:$M,'NSE - Other Index Options'!$C:$C,$A7,'NSE - Other Index Options'!$B:$B,E$4)=0,"",SUMIFS('NSE - NIFTY Index Options'!$M:$M,'NSE - NIFTY Index Options'!$C:$C,$A7,'NSE - NIFTY Index Options'!$B:$B,E$4)+SUMIFS('NSE - Other Index Options'!$M:$M,'NSE - Other Index Options'!$C:$C,$A7,'NSE - Other Index Options'!$B:$B,E$4))</f>
        <v/>
      </c>
      <c r="F7" s="26">
        <f>IF(SUMIFS('NSE - NIFTY Index Options'!$M:$M,'NSE - NIFTY Index Options'!$C:$C,$A7,'NSE - NIFTY Index Options'!$B:$B,F$4)+SUMIFS('NSE - Other Index Options'!$M:$M,'NSE - Other Index Options'!$C:$C,$A7,'NSE - Other Index Options'!$B:$B,F$4)=0,"",SUMIFS('NSE - NIFTY Index Options'!$M:$M,'NSE - NIFTY Index Options'!$C:$C,$A7,'NSE - NIFTY Index Options'!$B:$B,F$4)+SUMIFS('NSE - Other Index Options'!$M:$M,'NSE - Other Index Options'!$C:$C,$A7,'NSE - Other Index Options'!$B:$B,F$4))</f>
        <v/>
      </c>
      <c r="G7" s="26">
        <f>IF(SUMIFS('NSE - NIFTY Index Options'!$M:$M,'NSE - NIFTY Index Options'!$C:$C,$A7,'NSE - NIFTY Index Options'!$B:$B,G$4)+SUMIFS('NSE - Other Index Options'!$M:$M,'NSE - Other Index Options'!$C:$C,$A7,'NSE - Other Index Options'!$B:$B,G$4)=0,"",SUMIFS('NSE - NIFTY Index Options'!$M:$M,'NSE - NIFTY Index Options'!$C:$C,$A7,'NSE - NIFTY Index Options'!$B:$B,G$4)+SUMIFS('NSE - Other Index Options'!$M:$M,'NSE - Other Index Options'!$C:$C,$A7,'NSE - Other Index Options'!$B:$B,G$4))</f>
        <v/>
      </c>
      <c r="H7" s="26">
        <f>IF(SUM(B7:G7)=0,"",SUM(B7:G7))</f>
        <v/>
      </c>
      <c r="K7" t="inlineStr">
        <is>
          <t>NIFTY Index</t>
        </is>
      </c>
      <c r="L7" s="56" t="inlineStr">
        <is>
          <t>Yes</t>
        </is>
      </c>
    </row>
    <row r="8">
      <c r="A8" t="inlineStr">
        <is>
          <t>Week4-Sep-2025</t>
        </is>
      </c>
      <c r="B8" s="26">
        <f>IF(SUMIFS('NSE - NIFTY Index Options'!$M:$M,'NSE - NIFTY Index Options'!$C:$C,$A8,'NSE - NIFTY Index Options'!$B:$B,B$4)+SUMIFS('NSE - Other Index Options'!$M:$M,'NSE - Other Index Options'!$C:$C,$A8,'NSE - Other Index Options'!$B:$B,B$4)=0,"",SUMIFS('NSE - NIFTY Index Options'!$M:$M,'NSE - NIFTY Index Options'!$C:$C,$A8,'NSE - NIFTY Index Options'!$B:$B,B$4)+SUMIFS('NSE - Other Index Options'!$M:$M,'NSE - Other Index Options'!$C:$C,$A8,'NSE - Other Index Options'!$B:$B,B$4))</f>
        <v/>
      </c>
      <c r="C8" s="26">
        <f>IF(SUMIFS('NSE - NIFTY Index Options'!$M:$M,'NSE - NIFTY Index Options'!$C:$C,$A8,'NSE - NIFTY Index Options'!$B:$B,C$4)+SUMIFS('NSE - Other Index Options'!$M:$M,'NSE - Other Index Options'!$C:$C,$A8,'NSE - Other Index Options'!$B:$B,C$4)=0,"",SUMIFS('NSE - NIFTY Index Options'!$M:$M,'NSE - NIFTY Index Options'!$C:$C,$A8,'NSE - NIFTY Index Options'!$B:$B,C$4)+SUMIFS('NSE - Other Index Options'!$M:$M,'NSE - Other Index Options'!$C:$C,$A8,'NSE - Other Index Options'!$B:$B,C$4))</f>
        <v/>
      </c>
      <c r="D8" s="26">
        <f>IF(SUMIFS('NSE - NIFTY Index Options'!$M:$M,'NSE - NIFTY Index Options'!$C:$C,$A8,'NSE - NIFTY Index Options'!$B:$B,D$4)+SUMIFS('NSE - Other Index Options'!$M:$M,'NSE - Other Index Options'!$C:$C,$A8,'NSE - Other Index Options'!$B:$B,D$4)=0,"",SUMIFS('NSE - NIFTY Index Options'!$M:$M,'NSE - NIFTY Index Options'!$C:$C,$A8,'NSE - NIFTY Index Options'!$B:$B,D$4)+SUMIFS('NSE - Other Index Options'!$M:$M,'NSE - Other Index Options'!$C:$C,$A8,'NSE - Other Index Options'!$B:$B,D$4))</f>
        <v/>
      </c>
      <c r="E8" s="26">
        <f>IF(SUMIFS('NSE - NIFTY Index Options'!$M:$M,'NSE - NIFTY Index Options'!$C:$C,$A8,'NSE - NIFTY Index Options'!$B:$B,E$4)+SUMIFS('NSE - Other Index Options'!$M:$M,'NSE - Other Index Options'!$C:$C,$A8,'NSE - Other Index Options'!$B:$B,E$4)=0,"",SUMIFS('NSE - NIFTY Index Options'!$M:$M,'NSE - NIFTY Index Options'!$C:$C,$A8,'NSE - NIFTY Index Options'!$B:$B,E$4)+SUMIFS('NSE - Other Index Options'!$M:$M,'NSE - Other Index Options'!$C:$C,$A8,'NSE - Other Index Options'!$B:$B,E$4))</f>
        <v/>
      </c>
      <c r="F8" s="26">
        <f>IF(SUMIFS('NSE - NIFTY Index Options'!$M:$M,'NSE - NIFTY Index Options'!$C:$C,$A8,'NSE - NIFTY Index Options'!$B:$B,F$4)+SUMIFS('NSE - Other Index Options'!$M:$M,'NSE - Other Index Options'!$C:$C,$A8,'NSE - Other Index Options'!$B:$B,F$4)=0,"",SUMIFS('NSE - NIFTY Index Options'!$M:$M,'NSE - NIFTY Index Options'!$C:$C,$A8,'NSE - NIFTY Index Options'!$B:$B,F$4)+SUMIFS('NSE - Other Index Options'!$M:$M,'NSE - Other Index Options'!$C:$C,$A8,'NSE - Other Index Options'!$B:$B,F$4))</f>
        <v/>
      </c>
      <c r="G8" s="26">
        <f>IF(SUMIFS('NSE - NIFTY Index Options'!$M:$M,'NSE - NIFTY Index Options'!$C:$C,$A8,'NSE - NIFTY Index Options'!$B:$B,G$4)+SUMIFS('NSE - Other Index Options'!$M:$M,'NSE - Other Index Options'!$C:$C,$A8,'NSE - Other Index Options'!$B:$B,G$4)=0,"",SUMIFS('NSE - NIFTY Index Options'!$M:$M,'NSE - NIFTY Index Options'!$C:$C,$A8,'NSE - NIFTY Index Options'!$B:$B,G$4)+SUMIFS('NSE - Other Index Options'!$M:$M,'NSE - Other Index Options'!$C:$C,$A8,'NSE - Other Index Options'!$B:$B,G$4))</f>
        <v/>
      </c>
      <c r="H8" s="26">
        <f>IF(SUM(B8:G8)=0,"",SUM(B8:G8))</f>
        <v/>
      </c>
      <c r="K8" t="inlineStr">
        <is>
          <t>Other NSE Indices</t>
        </is>
      </c>
      <c r="L8" s="56" t="inlineStr">
        <is>
          <t>Yes</t>
        </is>
      </c>
    </row>
    <row r="9">
      <c r="A9" t="inlineStr">
        <is>
          <t>Week5-Sep-2025</t>
        </is>
      </c>
      <c r="B9" s="26">
        <f>IF(SUMIFS('NSE - NIFTY Index Options'!$M:$M,'NSE - NIFTY Index Options'!$C:$C,$A9,'NSE - NIFTY Index Options'!$B:$B,B$4)+SUMIFS('NSE - Other Index Options'!$M:$M,'NSE - Other Index Options'!$C:$C,$A9,'NSE - Other Index Options'!$B:$B,B$4)=0,"",SUMIFS('NSE - NIFTY Index Options'!$M:$M,'NSE - NIFTY Index Options'!$C:$C,$A9,'NSE - NIFTY Index Options'!$B:$B,B$4)+SUMIFS('NSE - Other Index Options'!$M:$M,'NSE - Other Index Options'!$C:$C,$A9,'NSE - Other Index Options'!$B:$B,B$4))</f>
        <v/>
      </c>
      <c r="C9" s="26">
        <f>IF(SUMIFS('NSE - NIFTY Index Options'!$M:$M,'NSE - NIFTY Index Options'!$C:$C,$A9,'NSE - NIFTY Index Options'!$B:$B,C$4)+SUMIFS('NSE - Other Index Options'!$M:$M,'NSE - Other Index Options'!$C:$C,$A9,'NSE - Other Index Options'!$B:$B,C$4)=0,"",SUMIFS('NSE - NIFTY Index Options'!$M:$M,'NSE - NIFTY Index Options'!$C:$C,$A9,'NSE - NIFTY Index Options'!$B:$B,C$4)+SUMIFS('NSE - Other Index Options'!$M:$M,'NSE - Other Index Options'!$C:$C,$A9,'NSE - Other Index Options'!$B:$B,C$4))</f>
        <v/>
      </c>
      <c r="D9" s="26">
        <f>IF(SUMIFS('NSE - NIFTY Index Options'!$M:$M,'NSE - NIFTY Index Options'!$C:$C,$A9,'NSE - NIFTY Index Options'!$B:$B,D$4)+SUMIFS('NSE - Other Index Options'!$M:$M,'NSE - Other Index Options'!$C:$C,$A9,'NSE - Other Index Options'!$B:$B,D$4)=0,"",SUMIFS('NSE - NIFTY Index Options'!$M:$M,'NSE - NIFTY Index Options'!$C:$C,$A9,'NSE - NIFTY Index Options'!$B:$B,D$4)+SUMIFS('NSE - Other Index Options'!$M:$M,'NSE - Other Index Options'!$C:$C,$A9,'NSE - Other Index Options'!$B:$B,D$4))</f>
        <v/>
      </c>
      <c r="E9" s="26">
        <f>IF(SUMIFS('NSE - NIFTY Index Options'!$M:$M,'NSE - NIFTY Index Options'!$C:$C,$A9,'NSE - NIFTY Index Options'!$B:$B,E$4)+SUMIFS('NSE - Other Index Options'!$M:$M,'NSE - Other Index Options'!$C:$C,$A9,'NSE - Other Index Options'!$B:$B,E$4)=0,"",SUMIFS('NSE - NIFTY Index Options'!$M:$M,'NSE - NIFTY Index Options'!$C:$C,$A9,'NSE - NIFTY Index Options'!$B:$B,E$4)+SUMIFS('NSE - Other Index Options'!$M:$M,'NSE - Other Index Options'!$C:$C,$A9,'NSE - Other Index Options'!$B:$B,E$4))</f>
        <v/>
      </c>
      <c r="F9" s="26">
        <f>IF(SUMIFS('NSE - NIFTY Index Options'!$M:$M,'NSE - NIFTY Index Options'!$C:$C,$A9,'NSE - NIFTY Index Options'!$B:$B,F$4)+SUMIFS('NSE - Other Index Options'!$M:$M,'NSE - Other Index Options'!$C:$C,$A9,'NSE - Other Index Options'!$B:$B,F$4)=0,"",SUMIFS('NSE - NIFTY Index Options'!$M:$M,'NSE - NIFTY Index Options'!$C:$C,$A9,'NSE - NIFTY Index Options'!$B:$B,F$4)+SUMIFS('NSE - Other Index Options'!$M:$M,'NSE - Other Index Options'!$C:$C,$A9,'NSE - Other Index Options'!$B:$B,F$4))</f>
        <v/>
      </c>
      <c r="G9" s="26">
        <f>IF(SUMIFS('NSE - NIFTY Index Options'!$M:$M,'NSE - NIFTY Index Options'!$C:$C,$A9,'NSE - NIFTY Index Options'!$B:$B,G$4)+SUMIFS('NSE - Other Index Options'!$M:$M,'NSE - Other Index Options'!$C:$C,$A9,'NSE - Other Index Options'!$B:$B,G$4)=0,"",SUMIFS('NSE - NIFTY Index Options'!$M:$M,'NSE - NIFTY Index Options'!$C:$C,$A9,'NSE - NIFTY Index Options'!$B:$B,G$4)+SUMIFS('NSE - Other Index Options'!$M:$M,'NSE - Other Index Options'!$C:$C,$A9,'NSE - Other Index Options'!$B:$B,G$4))</f>
        <v/>
      </c>
      <c r="H9" s="26">
        <f>IF(SUM(B9:G9)=0,"",SUM(B9:G9))</f>
        <v/>
      </c>
      <c r="K9" t="inlineStr">
        <is>
          <t>SENSEX Index</t>
        </is>
      </c>
      <c r="L9" s="56" t="inlineStr">
        <is>
          <t>Yes</t>
        </is>
      </c>
    </row>
    <row r="10">
      <c r="A10" t="inlineStr">
        <is>
          <t>Week1-Oct-2025</t>
        </is>
      </c>
      <c r="B10" s="26">
        <f>IF(SUMIFS('NSE - NIFTY Index Options'!$M:$M,'NSE - NIFTY Index Options'!$C:$C,$A10,'NSE - NIFTY Index Options'!$B:$B,B$4)+SUMIFS('NSE - Other Index Options'!$M:$M,'NSE - Other Index Options'!$C:$C,$A10,'NSE - Other Index Options'!$B:$B,B$4)=0,"",SUMIFS('NSE - NIFTY Index Options'!$M:$M,'NSE - NIFTY Index Options'!$C:$C,$A10,'NSE - NIFTY Index Options'!$B:$B,B$4)+SUMIFS('NSE - Other Index Options'!$M:$M,'NSE - Other Index Options'!$C:$C,$A10,'NSE - Other Index Options'!$B:$B,B$4))</f>
        <v/>
      </c>
      <c r="C10" s="26">
        <f>IF(SUMIFS('NSE - NIFTY Index Options'!$M:$M,'NSE - NIFTY Index Options'!$C:$C,$A10,'NSE - NIFTY Index Options'!$B:$B,C$4)+SUMIFS('NSE - Other Index Options'!$M:$M,'NSE - Other Index Options'!$C:$C,$A10,'NSE - Other Index Options'!$B:$B,C$4)=0,"",SUMIFS('NSE - NIFTY Index Options'!$M:$M,'NSE - NIFTY Index Options'!$C:$C,$A10,'NSE - NIFTY Index Options'!$B:$B,C$4)+SUMIFS('NSE - Other Index Options'!$M:$M,'NSE - Other Index Options'!$C:$C,$A10,'NSE - Other Index Options'!$B:$B,C$4))</f>
        <v/>
      </c>
      <c r="D10" s="26">
        <f>IF(SUMIFS('NSE - NIFTY Index Options'!$M:$M,'NSE - NIFTY Index Options'!$C:$C,$A10,'NSE - NIFTY Index Options'!$B:$B,D$4)+SUMIFS('NSE - Other Index Options'!$M:$M,'NSE - Other Index Options'!$C:$C,$A10,'NSE - Other Index Options'!$B:$B,D$4)=0,"",SUMIFS('NSE - NIFTY Index Options'!$M:$M,'NSE - NIFTY Index Options'!$C:$C,$A10,'NSE - NIFTY Index Options'!$B:$B,D$4)+SUMIFS('NSE - Other Index Options'!$M:$M,'NSE - Other Index Options'!$C:$C,$A10,'NSE - Other Index Options'!$B:$B,D$4))</f>
        <v/>
      </c>
      <c r="E10" s="26">
        <f>IF(SUMIFS('NSE - NIFTY Index Options'!$M:$M,'NSE - NIFTY Index Options'!$C:$C,$A10,'NSE - NIFTY Index Options'!$B:$B,E$4)+SUMIFS('NSE - Other Index Options'!$M:$M,'NSE - Other Index Options'!$C:$C,$A10,'NSE - Other Index Options'!$B:$B,E$4)=0,"",SUMIFS('NSE - NIFTY Index Options'!$M:$M,'NSE - NIFTY Index Options'!$C:$C,$A10,'NSE - NIFTY Index Options'!$B:$B,E$4)+SUMIFS('NSE - Other Index Options'!$M:$M,'NSE - Other Index Options'!$C:$C,$A10,'NSE - Other Index Options'!$B:$B,E$4))</f>
        <v/>
      </c>
      <c r="F10" s="26">
        <f>IF(SUMIFS('NSE - NIFTY Index Options'!$M:$M,'NSE - NIFTY Index Options'!$C:$C,$A10,'NSE - NIFTY Index Options'!$B:$B,F$4)+SUMIFS('NSE - Other Index Options'!$M:$M,'NSE - Other Index Options'!$C:$C,$A10,'NSE - Other Index Options'!$B:$B,F$4)=0,"",SUMIFS('NSE - NIFTY Index Options'!$M:$M,'NSE - NIFTY Index Options'!$C:$C,$A10,'NSE - NIFTY Index Options'!$B:$B,F$4)+SUMIFS('NSE - Other Index Options'!$M:$M,'NSE - Other Index Options'!$C:$C,$A10,'NSE - Other Index Options'!$B:$B,F$4))</f>
        <v/>
      </c>
      <c r="G10" s="26">
        <f>IF(SUMIFS('NSE - NIFTY Index Options'!$M:$M,'NSE - NIFTY Index Options'!$C:$C,$A10,'NSE - NIFTY Index Options'!$B:$B,G$4)+SUMIFS('NSE - Other Index Options'!$M:$M,'NSE - Other Index Options'!$C:$C,$A10,'NSE - Other Index Options'!$B:$B,G$4)=0,"",SUMIFS('NSE - NIFTY Index Options'!$M:$M,'NSE - NIFTY Index Options'!$C:$C,$A10,'NSE - NIFTY Index Options'!$B:$B,G$4)+SUMIFS('NSE - Other Index Options'!$M:$M,'NSE - Other Index Options'!$C:$C,$A10,'NSE - Other Index Options'!$B:$B,G$4))</f>
        <v/>
      </c>
      <c r="H10" s="26">
        <f>IF(SUM(B10:G10)=0,"",SUM(B10:G10))</f>
        <v/>
      </c>
      <c r="K10" t="inlineStr">
        <is>
          <t>Other BSE Indices</t>
        </is>
      </c>
      <c r="L10" s="57" t="inlineStr">
        <is>
          <t>Yes</t>
        </is>
      </c>
    </row>
    <row r="11">
      <c r="A11" t="inlineStr">
        <is>
          <t>Week2-Oct-2025</t>
        </is>
      </c>
      <c r="B11" s="26">
        <f>IF(SUMIFS('NSE - NIFTY Index Options'!$M:$M,'NSE - NIFTY Index Options'!$C:$C,$A11,'NSE - NIFTY Index Options'!$B:$B,B$4)+SUMIFS('NSE - Other Index Options'!$M:$M,'NSE - Other Index Options'!$C:$C,$A11,'NSE - Other Index Options'!$B:$B,B$4)=0,"",SUMIFS('NSE - NIFTY Index Options'!$M:$M,'NSE - NIFTY Index Options'!$C:$C,$A11,'NSE - NIFTY Index Options'!$B:$B,B$4)+SUMIFS('NSE - Other Index Options'!$M:$M,'NSE - Other Index Options'!$C:$C,$A11,'NSE - Other Index Options'!$B:$B,B$4))</f>
        <v/>
      </c>
      <c r="C11" s="26">
        <f>IF(SUMIFS('NSE - NIFTY Index Options'!$M:$M,'NSE - NIFTY Index Options'!$C:$C,$A11,'NSE - NIFTY Index Options'!$B:$B,C$4)+SUMIFS('NSE - Other Index Options'!$M:$M,'NSE - Other Index Options'!$C:$C,$A11,'NSE - Other Index Options'!$B:$B,C$4)=0,"",SUMIFS('NSE - NIFTY Index Options'!$M:$M,'NSE - NIFTY Index Options'!$C:$C,$A11,'NSE - NIFTY Index Options'!$B:$B,C$4)+SUMIFS('NSE - Other Index Options'!$M:$M,'NSE - Other Index Options'!$C:$C,$A11,'NSE - Other Index Options'!$B:$B,C$4))</f>
        <v/>
      </c>
      <c r="D11" s="26">
        <f>IF(SUMIFS('NSE - NIFTY Index Options'!$M:$M,'NSE - NIFTY Index Options'!$C:$C,$A11,'NSE - NIFTY Index Options'!$B:$B,D$4)+SUMIFS('NSE - Other Index Options'!$M:$M,'NSE - Other Index Options'!$C:$C,$A11,'NSE - Other Index Options'!$B:$B,D$4)=0,"",SUMIFS('NSE - NIFTY Index Options'!$M:$M,'NSE - NIFTY Index Options'!$C:$C,$A11,'NSE - NIFTY Index Options'!$B:$B,D$4)+SUMIFS('NSE - Other Index Options'!$M:$M,'NSE - Other Index Options'!$C:$C,$A11,'NSE - Other Index Options'!$B:$B,D$4))</f>
        <v/>
      </c>
      <c r="E11" s="26">
        <f>IF(SUMIFS('NSE - NIFTY Index Options'!$M:$M,'NSE - NIFTY Index Options'!$C:$C,$A11,'NSE - NIFTY Index Options'!$B:$B,E$4)+SUMIFS('NSE - Other Index Options'!$M:$M,'NSE - Other Index Options'!$C:$C,$A11,'NSE - Other Index Options'!$B:$B,E$4)=0,"",SUMIFS('NSE - NIFTY Index Options'!$M:$M,'NSE - NIFTY Index Options'!$C:$C,$A11,'NSE - NIFTY Index Options'!$B:$B,E$4)+SUMIFS('NSE - Other Index Options'!$M:$M,'NSE - Other Index Options'!$C:$C,$A11,'NSE - Other Index Options'!$B:$B,E$4))</f>
        <v/>
      </c>
      <c r="F11" s="26">
        <f>IF(SUMIFS('NSE - NIFTY Index Options'!$M:$M,'NSE - NIFTY Index Options'!$C:$C,$A11,'NSE - NIFTY Index Options'!$B:$B,F$4)+SUMIFS('NSE - Other Index Options'!$M:$M,'NSE - Other Index Options'!$C:$C,$A11,'NSE - Other Index Options'!$B:$B,F$4)=0,"",SUMIFS('NSE - NIFTY Index Options'!$M:$M,'NSE - NIFTY Index Options'!$C:$C,$A11,'NSE - NIFTY Index Options'!$B:$B,F$4)+SUMIFS('NSE - Other Index Options'!$M:$M,'NSE - Other Index Options'!$C:$C,$A11,'NSE - Other Index Options'!$B:$B,F$4))</f>
        <v/>
      </c>
      <c r="G11" s="26">
        <f>IF(SUMIFS('NSE - NIFTY Index Options'!$M:$M,'NSE - NIFTY Index Options'!$C:$C,$A11,'NSE - NIFTY Index Options'!$B:$B,G$4)+SUMIFS('NSE - Other Index Options'!$M:$M,'NSE - Other Index Options'!$C:$C,$A11,'NSE - Other Index Options'!$B:$B,G$4)=0,"",SUMIFS('NSE - NIFTY Index Options'!$M:$M,'NSE - NIFTY Index Options'!$C:$C,$A11,'NSE - NIFTY Index Options'!$B:$B,G$4)+SUMIFS('NSE - Other Index Options'!$M:$M,'NSE - Other Index Options'!$C:$C,$A11,'NSE - Other Index Options'!$B:$B,G$4))</f>
        <v/>
      </c>
      <c r="H11" s="26">
        <f>IF(SUM(B11:G11)=0,"",SUM(B11:G11))</f>
        <v/>
      </c>
      <c r="K11" t="inlineStr">
        <is>
          <t>Expiry Type 2 - Weekly</t>
        </is>
      </c>
      <c r="L11" s="57" t="inlineStr">
        <is>
          <t>Yes</t>
        </is>
      </c>
    </row>
    <row r="12">
      <c r="A12" t="inlineStr">
        <is>
          <t>Week3-Oct-2025</t>
        </is>
      </c>
      <c r="B12" s="26">
        <f>IF(SUMIFS('NSE - NIFTY Index Options'!$M:$M,'NSE - NIFTY Index Options'!$C:$C,$A12,'NSE - NIFTY Index Options'!$B:$B,B$4)+SUMIFS('NSE - Other Index Options'!$M:$M,'NSE - Other Index Options'!$C:$C,$A12,'NSE - Other Index Options'!$B:$B,B$4)=0,"",SUMIFS('NSE - NIFTY Index Options'!$M:$M,'NSE - NIFTY Index Options'!$C:$C,$A12,'NSE - NIFTY Index Options'!$B:$B,B$4)+SUMIFS('NSE - Other Index Options'!$M:$M,'NSE - Other Index Options'!$C:$C,$A12,'NSE - Other Index Options'!$B:$B,B$4))</f>
        <v/>
      </c>
      <c r="C12" s="26">
        <f>IF(SUMIFS('NSE - NIFTY Index Options'!$M:$M,'NSE - NIFTY Index Options'!$C:$C,$A12,'NSE - NIFTY Index Options'!$B:$B,C$4)+SUMIFS('NSE - Other Index Options'!$M:$M,'NSE - Other Index Options'!$C:$C,$A12,'NSE - Other Index Options'!$B:$B,C$4)=0,"",SUMIFS('NSE - NIFTY Index Options'!$M:$M,'NSE - NIFTY Index Options'!$C:$C,$A12,'NSE - NIFTY Index Options'!$B:$B,C$4)+SUMIFS('NSE - Other Index Options'!$M:$M,'NSE - Other Index Options'!$C:$C,$A12,'NSE - Other Index Options'!$B:$B,C$4))</f>
        <v/>
      </c>
      <c r="D12" s="26">
        <f>IF(SUMIFS('NSE - NIFTY Index Options'!$M:$M,'NSE - NIFTY Index Options'!$C:$C,$A12,'NSE - NIFTY Index Options'!$B:$B,D$4)+SUMIFS('NSE - Other Index Options'!$M:$M,'NSE - Other Index Options'!$C:$C,$A12,'NSE - Other Index Options'!$B:$B,D$4)=0,"",SUMIFS('NSE - NIFTY Index Options'!$M:$M,'NSE - NIFTY Index Options'!$C:$C,$A12,'NSE - NIFTY Index Options'!$B:$B,D$4)+SUMIFS('NSE - Other Index Options'!$M:$M,'NSE - Other Index Options'!$C:$C,$A12,'NSE - Other Index Options'!$B:$B,D$4))</f>
        <v/>
      </c>
      <c r="E12" s="26">
        <f>IF(SUMIFS('NSE - NIFTY Index Options'!$M:$M,'NSE - NIFTY Index Options'!$C:$C,$A12,'NSE - NIFTY Index Options'!$B:$B,E$4)+SUMIFS('NSE - Other Index Options'!$M:$M,'NSE - Other Index Options'!$C:$C,$A12,'NSE - Other Index Options'!$B:$B,E$4)=0,"",SUMIFS('NSE - NIFTY Index Options'!$M:$M,'NSE - NIFTY Index Options'!$C:$C,$A12,'NSE - NIFTY Index Options'!$B:$B,E$4)+SUMIFS('NSE - Other Index Options'!$M:$M,'NSE - Other Index Options'!$C:$C,$A12,'NSE - Other Index Options'!$B:$B,E$4))</f>
        <v/>
      </c>
      <c r="F12" s="26">
        <f>IF(SUMIFS('NSE - NIFTY Index Options'!$M:$M,'NSE - NIFTY Index Options'!$C:$C,$A12,'NSE - NIFTY Index Options'!$B:$B,F$4)+SUMIFS('NSE - Other Index Options'!$M:$M,'NSE - Other Index Options'!$C:$C,$A12,'NSE - Other Index Options'!$B:$B,F$4)=0,"",SUMIFS('NSE - NIFTY Index Options'!$M:$M,'NSE - NIFTY Index Options'!$C:$C,$A12,'NSE - NIFTY Index Options'!$B:$B,F$4)+SUMIFS('NSE - Other Index Options'!$M:$M,'NSE - Other Index Options'!$C:$C,$A12,'NSE - Other Index Options'!$B:$B,F$4))</f>
        <v/>
      </c>
      <c r="G12" s="26">
        <f>IF(SUMIFS('NSE - NIFTY Index Options'!$M:$M,'NSE - NIFTY Index Options'!$C:$C,$A12,'NSE - NIFTY Index Options'!$B:$B,G$4)+SUMIFS('NSE - Other Index Options'!$M:$M,'NSE - Other Index Options'!$C:$C,$A12,'NSE - Other Index Options'!$B:$B,G$4)=0,"",SUMIFS('NSE - NIFTY Index Options'!$M:$M,'NSE - NIFTY Index Options'!$C:$C,$A12,'NSE - NIFTY Index Options'!$B:$B,G$4)+SUMIFS('NSE - Other Index Options'!$M:$M,'NSE - Other Index Options'!$C:$C,$A12,'NSE - Other Index Options'!$B:$B,G$4))</f>
        <v/>
      </c>
      <c r="H12" s="26">
        <f>IF(SUM(B12:G12)=0,"",SUM(B12:G12))</f>
        <v/>
      </c>
      <c r="K12" t="inlineStr">
        <is>
          <t>Expiry Type 2 - MDAW</t>
        </is>
      </c>
      <c r="L12" s="57" t="inlineStr">
        <is>
          <t>Yes</t>
        </is>
      </c>
    </row>
    <row r="13">
      <c r="A13" t="inlineStr">
        <is>
          <t>Week4-Oct-2025</t>
        </is>
      </c>
      <c r="B13" s="26">
        <f>IF(SUMIFS('NSE - NIFTY Index Options'!$M:$M,'NSE - NIFTY Index Options'!$C:$C,$A13,'NSE - NIFTY Index Options'!$B:$B,B$4)+SUMIFS('NSE - Other Index Options'!$M:$M,'NSE - Other Index Options'!$C:$C,$A13,'NSE - Other Index Options'!$B:$B,B$4)=0,"",SUMIFS('NSE - NIFTY Index Options'!$M:$M,'NSE - NIFTY Index Options'!$C:$C,$A13,'NSE - NIFTY Index Options'!$B:$B,B$4)+SUMIFS('NSE - Other Index Options'!$M:$M,'NSE - Other Index Options'!$C:$C,$A13,'NSE - Other Index Options'!$B:$B,B$4))</f>
        <v/>
      </c>
      <c r="C13" s="26">
        <f>IF(SUMIFS('NSE - NIFTY Index Options'!$M:$M,'NSE - NIFTY Index Options'!$C:$C,$A13,'NSE - NIFTY Index Options'!$B:$B,C$4)+SUMIFS('NSE - Other Index Options'!$M:$M,'NSE - Other Index Options'!$C:$C,$A13,'NSE - Other Index Options'!$B:$B,C$4)=0,"",SUMIFS('NSE - NIFTY Index Options'!$M:$M,'NSE - NIFTY Index Options'!$C:$C,$A13,'NSE - NIFTY Index Options'!$B:$B,C$4)+SUMIFS('NSE - Other Index Options'!$M:$M,'NSE - Other Index Options'!$C:$C,$A13,'NSE - Other Index Options'!$B:$B,C$4))</f>
        <v/>
      </c>
      <c r="D13" s="26">
        <f>IF(SUMIFS('NSE - NIFTY Index Options'!$M:$M,'NSE - NIFTY Index Options'!$C:$C,$A13,'NSE - NIFTY Index Options'!$B:$B,D$4)+SUMIFS('NSE - Other Index Options'!$M:$M,'NSE - Other Index Options'!$C:$C,$A13,'NSE - Other Index Options'!$B:$B,D$4)=0,"",SUMIFS('NSE - NIFTY Index Options'!$M:$M,'NSE - NIFTY Index Options'!$C:$C,$A13,'NSE - NIFTY Index Options'!$B:$B,D$4)+SUMIFS('NSE - Other Index Options'!$M:$M,'NSE - Other Index Options'!$C:$C,$A13,'NSE - Other Index Options'!$B:$B,D$4))</f>
        <v/>
      </c>
      <c r="E13" s="26">
        <f>IF(SUMIFS('NSE - NIFTY Index Options'!$M:$M,'NSE - NIFTY Index Options'!$C:$C,$A13,'NSE - NIFTY Index Options'!$B:$B,E$4)+SUMIFS('NSE - Other Index Options'!$M:$M,'NSE - Other Index Options'!$C:$C,$A13,'NSE - Other Index Options'!$B:$B,E$4)=0,"",SUMIFS('NSE - NIFTY Index Options'!$M:$M,'NSE - NIFTY Index Options'!$C:$C,$A13,'NSE - NIFTY Index Options'!$B:$B,E$4)+SUMIFS('NSE - Other Index Options'!$M:$M,'NSE - Other Index Options'!$C:$C,$A13,'NSE - Other Index Options'!$B:$B,E$4))</f>
        <v/>
      </c>
      <c r="F13" s="26">
        <f>IF(SUMIFS('NSE - NIFTY Index Options'!$M:$M,'NSE - NIFTY Index Options'!$C:$C,$A13,'NSE - NIFTY Index Options'!$B:$B,F$4)+SUMIFS('NSE - Other Index Options'!$M:$M,'NSE - Other Index Options'!$C:$C,$A13,'NSE - Other Index Options'!$B:$B,F$4)=0,"",SUMIFS('NSE - NIFTY Index Options'!$M:$M,'NSE - NIFTY Index Options'!$C:$C,$A13,'NSE - NIFTY Index Options'!$B:$B,F$4)+SUMIFS('NSE - Other Index Options'!$M:$M,'NSE - Other Index Options'!$C:$C,$A13,'NSE - Other Index Options'!$B:$B,F$4))</f>
        <v/>
      </c>
      <c r="G13" s="26">
        <f>IF(SUMIFS('NSE - NIFTY Index Options'!$M:$M,'NSE - NIFTY Index Options'!$C:$C,$A13,'NSE - NIFTY Index Options'!$B:$B,G$4)+SUMIFS('NSE - Other Index Options'!$M:$M,'NSE - Other Index Options'!$C:$C,$A13,'NSE - Other Index Options'!$B:$B,G$4)=0,"",SUMIFS('NSE - NIFTY Index Options'!$M:$M,'NSE - NIFTY Index Options'!$C:$C,$A13,'NSE - NIFTY Index Options'!$B:$B,G$4)+SUMIFS('NSE - Other Index Options'!$M:$M,'NSE - Other Index Options'!$C:$C,$A13,'NSE - Other Index Options'!$B:$B,G$4))</f>
        <v/>
      </c>
      <c r="H13" s="26">
        <f>IF(SUM(B13:G13)=0,"",SUM(B13:G13))</f>
        <v/>
      </c>
      <c r="K13" t="inlineStr">
        <is>
          <t>Expiry Type 2 - Monthly</t>
        </is>
      </c>
      <c r="L13" s="57" t="inlineStr">
        <is>
          <t>Yes</t>
        </is>
      </c>
    </row>
    <row r="14">
      <c r="A14" t="inlineStr">
        <is>
          <t>Week5-Oct-2025</t>
        </is>
      </c>
      <c r="B14" s="26">
        <f>IF(SUMIFS('NSE - NIFTY Index Options'!$M:$M,'NSE - NIFTY Index Options'!$C:$C,$A14,'NSE - NIFTY Index Options'!$B:$B,B$4)+SUMIFS('NSE - Other Index Options'!$M:$M,'NSE - Other Index Options'!$C:$C,$A14,'NSE - Other Index Options'!$B:$B,B$4)=0,"",SUMIFS('NSE - NIFTY Index Options'!$M:$M,'NSE - NIFTY Index Options'!$C:$C,$A14,'NSE - NIFTY Index Options'!$B:$B,B$4)+SUMIFS('NSE - Other Index Options'!$M:$M,'NSE - Other Index Options'!$C:$C,$A14,'NSE - Other Index Options'!$B:$B,B$4))</f>
        <v/>
      </c>
      <c r="C14" s="26">
        <f>IF(SUMIFS('NSE - NIFTY Index Options'!$M:$M,'NSE - NIFTY Index Options'!$C:$C,$A14,'NSE - NIFTY Index Options'!$B:$B,C$4)+SUMIFS('NSE - Other Index Options'!$M:$M,'NSE - Other Index Options'!$C:$C,$A14,'NSE - Other Index Options'!$B:$B,C$4)=0,"",SUMIFS('NSE - NIFTY Index Options'!$M:$M,'NSE - NIFTY Index Options'!$C:$C,$A14,'NSE - NIFTY Index Options'!$B:$B,C$4)+SUMIFS('NSE - Other Index Options'!$M:$M,'NSE - Other Index Options'!$C:$C,$A14,'NSE - Other Index Options'!$B:$B,C$4))</f>
        <v/>
      </c>
      <c r="D14" s="26">
        <f>IF(SUMIFS('NSE - NIFTY Index Options'!$M:$M,'NSE - NIFTY Index Options'!$C:$C,$A14,'NSE - NIFTY Index Options'!$B:$B,D$4)+SUMIFS('NSE - Other Index Options'!$M:$M,'NSE - Other Index Options'!$C:$C,$A14,'NSE - Other Index Options'!$B:$B,D$4)=0,"",SUMIFS('NSE - NIFTY Index Options'!$M:$M,'NSE - NIFTY Index Options'!$C:$C,$A14,'NSE - NIFTY Index Options'!$B:$B,D$4)+SUMIFS('NSE - Other Index Options'!$M:$M,'NSE - Other Index Options'!$C:$C,$A14,'NSE - Other Index Options'!$B:$B,D$4))</f>
        <v/>
      </c>
      <c r="E14" s="26">
        <f>IF(SUMIFS('NSE - NIFTY Index Options'!$M:$M,'NSE - NIFTY Index Options'!$C:$C,$A14,'NSE - NIFTY Index Options'!$B:$B,E$4)+SUMIFS('NSE - Other Index Options'!$M:$M,'NSE - Other Index Options'!$C:$C,$A14,'NSE - Other Index Options'!$B:$B,E$4)=0,"",SUMIFS('NSE - NIFTY Index Options'!$M:$M,'NSE - NIFTY Index Options'!$C:$C,$A14,'NSE - NIFTY Index Options'!$B:$B,E$4)+SUMIFS('NSE - Other Index Options'!$M:$M,'NSE - Other Index Options'!$C:$C,$A14,'NSE - Other Index Options'!$B:$B,E$4))</f>
        <v/>
      </c>
      <c r="F14" s="26">
        <f>IF(SUMIFS('NSE - NIFTY Index Options'!$M:$M,'NSE - NIFTY Index Options'!$C:$C,$A14,'NSE - NIFTY Index Options'!$B:$B,F$4)+SUMIFS('NSE - Other Index Options'!$M:$M,'NSE - Other Index Options'!$C:$C,$A14,'NSE - Other Index Options'!$B:$B,F$4)=0,"",SUMIFS('NSE - NIFTY Index Options'!$M:$M,'NSE - NIFTY Index Options'!$C:$C,$A14,'NSE - NIFTY Index Options'!$B:$B,F$4)+SUMIFS('NSE - Other Index Options'!$M:$M,'NSE - Other Index Options'!$C:$C,$A14,'NSE - Other Index Options'!$B:$B,F$4))</f>
        <v/>
      </c>
      <c r="G14" s="26">
        <f>IF(SUMIFS('NSE - NIFTY Index Options'!$M:$M,'NSE - NIFTY Index Options'!$C:$C,$A14,'NSE - NIFTY Index Options'!$B:$B,G$4)+SUMIFS('NSE - Other Index Options'!$M:$M,'NSE - Other Index Options'!$C:$C,$A14,'NSE - Other Index Options'!$B:$B,G$4)=0,"",SUMIFS('NSE - NIFTY Index Options'!$M:$M,'NSE - NIFTY Index Options'!$C:$C,$A14,'NSE - NIFTY Index Options'!$B:$B,G$4)+SUMIFS('NSE - Other Index Options'!$M:$M,'NSE - Other Index Options'!$C:$C,$A14,'NSE - Other Index Options'!$B:$B,G$4))</f>
        <v/>
      </c>
      <c r="H14" s="26">
        <f>IF(SUM(B14:G14)=0,"",SUM(B14:G14))</f>
        <v/>
      </c>
    </row>
    <row r="15">
      <c r="A15" t="inlineStr">
        <is>
          <t>Week1-Nov-2025</t>
        </is>
      </c>
      <c r="B15" s="26">
        <f>IF(SUMIFS('NSE - NIFTY Index Options'!$M:$M,'NSE - NIFTY Index Options'!$C:$C,$A15,'NSE - NIFTY Index Options'!$B:$B,B$4)+SUMIFS('NSE - Other Index Options'!$M:$M,'NSE - Other Index Options'!$C:$C,$A15,'NSE - Other Index Options'!$B:$B,B$4)=0,"",SUMIFS('NSE - NIFTY Index Options'!$M:$M,'NSE - NIFTY Index Options'!$C:$C,$A15,'NSE - NIFTY Index Options'!$B:$B,B$4)+SUMIFS('NSE - Other Index Options'!$M:$M,'NSE - Other Index Options'!$C:$C,$A15,'NSE - Other Index Options'!$B:$B,B$4))</f>
        <v/>
      </c>
      <c r="C15" s="26">
        <f>IF(SUMIFS('NSE - NIFTY Index Options'!$M:$M,'NSE - NIFTY Index Options'!$C:$C,$A15,'NSE - NIFTY Index Options'!$B:$B,C$4)+SUMIFS('NSE - Other Index Options'!$M:$M,'NSE - Other Index Options'!$C:$C,$A15,'NSE - Other Index Options'!$B:$B,C$4)=0,"",SUMIFS('NSE - NIFTY Index Options'!$M:$M,'NSE - NIFTY Index Options'!$C:$C,$A15,'NSE - NIFTY Index Options'!$B:$B,C$4)+SUMIFS('NSE - Other Index Options'!$M:$M,'NSE - Other Index Options'!$C:$C,$A15,'NSE - Other Index Options'!$B:$B,C$4))</f>
        <v/>
      </c>
      <c r="D15" s="26">
        <f>IF(SUMIFS('NSE - NIFTY Index Options'!$M:$M,'NSE - NIFTY Index Options'!$C:$C,$A15,'NSE - NIFTY Index Options'!$B:$B,D$4)+SUMIFS('NSE - Other Index Options'!$M:$M,'NSE - Other Index Options'!$C:$C,$A15,'NSE - Other Index Options'!$B:$B,D$4)=0,"",SUMIFS('NSE - NIFTY Index Options'!$M:$M,'NSE - NIFTY Index Options'!$C:$C,$A15,'NSE - NIFTY Index Options'!$B:$B,D$4)+SUMIFS('NSE - Other Index Options'!$M:$M,'NSE - Other Index Options'!$C:$C,$A15,'NSE - Other Index Options'!$B:$B,D$4))</f>
        <v/>
      </c>
      <c r="E15" s="26">
        <f>IF(SUMIFS('NSE - NIFTY Index Options'!$M:$M,'NSE - NIFTY Index Options'!$C:$C,$A15,'NSE - NIFTY Index Options'!$B:$B,E$4)+SUMIFS('NSE - Other Index Options'!$M:$M,'NSE - Other Index Options'!$C:$C,$A15,'NSE - Other Index Options'!$B:$B,E$4)=0,"",SUMIFS('NSE - NIFTY Index Options'!$M:$M,'NSE - NIFTY Index Options'!$C:$C,$A15,'NSE - NIFTY Index Options'!$B:$B,E$4)+SUMIFS('NSE - Other Index Options'!$M:$M,'NSE - Other Index Options'!$C:$C,$A15,'NSE - Other Index Options'!$B:$B,E$4))</f>
        <v/>
      </c>
      <c r="F15" s="26">
        <f>IF(SUMIFS('NSE - NIFTY Index Options'!$M:$M,'NSE - NIFTY Index Options'!$C:$C,$A15,'NSE - NIFTY Index Options'!$B:$B,F$4)+SUMIFS('NSE - Other Index Options'!$M:$M,'NSE - Other Index Options'!$C:$C,$A15,'NSE - Other Index Options'!$B:$B,F$4)=0,"",SUMIFS('NSE - NIFTY Index Options'!$M:$M,'NSE - NIFTY Index Options'!$C:$C,$A15,'NSE - NIFTY Index Options'!$B:$B,F$4)+SUMIFS('NSE - Other Index Options'!$M:$M,'NSE - Other Index Options'!$C:$C,$A15,'NSE - Other Index Options'!$B:$B,F$4))</f>
        <v/>
      </c>
      <c r="G15" s="26">
        <f>IF(SUMIFS('NSE - NIFTY Index Options'!$M:$M,'NSE - NIFTY Index Options'!$C:$C,$A15,'NSE - NIFTY Index Options'!$B:$B,G$4)+SUMIFS('NSE - Other Index Options'!$M:$M,'NSE - Other Index Options'!$C:$C,$A15,'NSE - Other Index Options'!$B:$B,G$4)=0,"",SUMIFS('NSE - NIFTY Index Options'!$M:$M,'NSE - NIFTY Index Options'!$C:$C,$A15,'NSE - NIFTY Index Options'!$B:$B,G$4)+SUMIFS('NSE - Other Index Options'!$M:$M,'NSE - Other Index Options'!$C:$C,$A15,'NSE - Other Index Options'!$B:$B,G$4))</f>
        <v/>
      </c>
      <c r="H15" s="26">
        <f>IF(SUM(B15:G15)=0,"",SUM(B15:G15))</f>
        <v/>
      </c>
    </row>
    <row r="16">
      <c r="A16" t="inlineStr">
        <is>
          <t>Week2-Nov-2025</t>
        </is>
      </c>
      <c r="B16" s="26">
        <f>IF(SUMIFS('NSE - NIFTY Index Options'!$M:$M,'NSE - NIFTY Index Options'!$C:$C,$A16,'NSE - NIFTY Index Options'!$B:$B,B$4)+SUMIFS('NSE - Other Index Options'!$M:$M,'NSE - Other Index Options'!$C:$C,$A16,'NSE - Other Index Options'!$B:$B,B$4)=0,"",SUMIFS('NSE - NIFTY Index Options'!$M:$M,'NSE - NIFTY Index Options'!$C:$C,$A16,'NSE - NIFTY Index Options'!$B:$B,B$4)+SUMIFS('NSE - Other Index Options'!$M:$M,'NSE - Other Index Options'!$C:$C,$A16,'NSE - Other Index Options'!$B:$B,B$4))</f>
        <v/>
      </c>
      <c r="C16" s="26">
        <f>IF(SUMIFS('NSE - NIFTY Index Options'!$M:$M,'NSE - NIFTY Index Options'!$C:$C,$A16,'NSE - NIFTY Index Options'!$B:$B,C$4)+SUMIFS('NSE - Other Index Options'!$M:$M,'NSE - Other Index Options'!$C:$C,$A16,'NSE - Other Index Options'!$B:$B,C$4)=0,"",SUMIFS('NSE - NIFTY Index Options'!$M:$M,'NSE - NIFTY Index Options'!$C:$C,$A16,'NSE - NIFTY Index Options'!$B:$B,C$4)+SUMIFS('NSE - Other Index Options'!$M:$M,'NSE - Other Index Options'!$C:$C,$A16,'NSE - Other Index Options'!$B:$B,C$4))</f>
        <v/>
      </c>
      <c r="D16" s="26">
        <f>IF(SUMIFS('NSE - NIFTY Index Options'!$M:$M,'NSE - NIFTY Index Options'!$C:$C,$A16,'NSE - NIFTY Index Options'!$B:$B,D$4)+SUMIFS('NSE - Other Index Options'!$M:$M,'NSE - Other Index Options'!$C:$C,$A16,'NSE - Other Index Options'!$B:$B,D$4)=0,"",SUMIFS('NSE - NIFTY Index Options'!$M:$M,'NSE - NIFTY Index Options'!$C:$C,$A16,'NSE - NIFTY Index Options'!$B:$B,D$4)+SUMIFS('NSE - Other Index Options'!$M:$M,'NSE - Other Index Options'!$C:$C,$A16,'NSE - Other Index Options'!$B:$B,D$4))</f>
        <v/>
      </c>
      <c r="E16" s="26">
        <f>IF(SUMIFS('NSE - NIFTY Index Options'!$M:$M,'NSE - NIFTY Index Options'!$C:$C,$A16,'NSE - NIFTY Index Options'!$B:$B,E$4)+SUMIFS('NSE - Other Index Options'!$M:$M,'NSE - Other Index Options'!$C:$C,$A16,'NSE - Other Index Options'!$B:$B,E$4)=0,"",SUMIFS('NSE - NIFTY Index Options'!$M:$M,'NSE - NIFTY Index Options'!$C:$C,$A16,'NSE - NIFTY Index Options'!$B:$B,E$4)+SUMIFS('NSE - Other Index Options'!$M:$M,'NSE - Other Index Options'!$C:$C,$A16,'NSE - Other Index Options'!$B:$B,E$4))</f>
        <v/>
      </c>
      <c r="F16" s="26">
        <f>IF(SUMIFS('NSE - NIFTY Index Options'!$M:$M,'NSE - NIFTY Index Options'!$C:$C,$A16,'NSE - NIFTY Index Options'!$B:$B,F$4)+SUMIFS('NSE - Other Index Options'!$M:$M,'NSE - Other Index Options'!$C:$C,$A16,'NSE - Other Index Options'!$B:$B,F$4)=0,"",SUMIFS('NSE - NIFTY Index Options'!$M:$M,'NSE - NIFTY Index Options'!$C:$C,$A16,'NSE - NIFTY Index Options'!$B:$B,F$4)+SUMIFS('NSE - Other Index Options'!$M:$M,'NSE - Other Index Options'!$C:$C,$A16,'NSE - Other Index Options'!$B:$B,F$4))</f>
        <v/>
      </c>
      <c r="G16" s="26">
        <f>IF(SUMIFS('NSE - NIFTY Index Options'!$M:$M,'NSE - NIFTY Index Options'!$C:$C,$A16,'NSE - NIFTY Index Options'!$B:$B,G$4)+SUMIFS('NSE - Other Index Options'!$M:$M,'NSE - Other Index Options'!$C:$C,$A16,'NSE - Other Index Options'!$B:$B,G$4)=0,"",SUMIFS('NSE - NIFTY Index Options'!$M:$M,'NSE - NIFTY Index Options'!$C:$C,$A16,'NSE - NIFTY Index Options'!$B:$B,G$4)+SUMIFS('NSE - Other Index Options'!$M:$M,'NSE - Other Index Options'!$C:$C,$A16,'NSE - Other Index Options'!$B:$B,G$4))</f>
        <v/>
      </c>
      <c r="H16" s="26">
        <f>IF(SUM(B16:G16)=0,"",SUM(B16:G16))</f>
        <v/>
      </c>
    </row>
    <row r="17">
      <c r="A17" t="inlineStr">
        <is>
          <t>Week3-Nov-2025</t>
        </is>
      </c>
      <c r="B17" s="26">
        <f>IF(SUMIFS('NSE - NIFTY Index Options'!$M:$M,'NSE - NIFTY Index Options'!$C:$C,$A17,'NSE - NIFTY Index Options'!$B:$B,B$4)+SUMIFS('NSE - Other Index Options'!$M:$M,'NSE - Other Index Options'!$C:$C,$A17,'NSE - Other Index Options'!$B:$B,B$4)=0,"",SUMIFS('NSE - NIFTY Index Options'!$M:$M,'NSE - NIFTY Index Options'!$C:$C,$A17,'NSE - NIFTY Index Options'!$B:$B,B$4)+SUMIFS('NSE - Other Index Options'!$M:$M,'NSE - Other Index Options'!$C:$C,$A17,'NSE - Other Index Options'!$B:$B,B$4))</f>
        <v/>
      </c>
      <c r="C17" s="26">
        <f>IF(SUMIFS('NSE - NIFTY Index Options'!$M:$M,'NSE - NIFTY Index Options'!$C:$C,$A17,'NSE - NIFTY Index Options'!$B:$B,C$4)+SUMIFS('NSE - Other Index Options'!$M:$M,'NSE - Other Index Options'!$C:$C,$A17,'NSE - Other Index Options'!$B:$B,C$4)=0,"",SUMIFS('NSE - NIFTY Index Options'!$M:$M,'NSE - NIFTY Index Options'!$C:$C,$A17,'NSE - NIFTY Index Options'!$B:$B,C$4)+SUMIFS('NSE - Other Index Options'!$M:$M,'NSE - Other Index Options'!$C:$C,$A17,'NSE - Other Index Options'!$B:$B,C$4))</f>
        <v/>
      </c>
      <c r="D17" s="26">
        <f>IF(SUMIFS('NSE - NIFTY Index Options'!$M:$M,'NSE - NIFTY Index Options'!$C:$C,$A17,'NSE - NIFTY Index Options'!$B:$B,D$4)+SUMIFS('NSE - Other Index Options'!$M:$M,'NSE - Other Index Options'!$C:$C,$A17,'NSE - Other Index Options'!$B:$B,D$4)=0,"",SUMIFS('NSE - NIFTY Index Options'!$M:$M,'NSE - NIFTY Index Options'!$C:$C,$A17,'NSE - NIFTY Index Options'!$B:$B,D$4)+SUMIFS('NSE - Other Index Options'!$M:$M,'NSE - Other Index Options'!$C:$C,$A17,'NSE - Other Index Options'!$B:$B,D$4))</f>
        <v/>
      </c>
      <c r="E17" s="26">
        <f>IF(SUMIFS('NSE - NIFTY Index Options'!$M:$M,'NSE - NIFTY Index Options'!$C:$C,$A17,'NSE - NIFTY Index Options'!$B:$B,E$4)+SUMIFS('NSE - Other Index Options'!$M:$M,'NSE - Other Index Options'!$C:$C,$A17,'NSE - Other Index Options'!$B:$B,E$4)=0,"",SUMIFS('NSE - NIFTY Index Options'!$M:$M,'NSE - NIFTY Index Options'!$C:$C,$A17,'NSE - NIFTY Index Options'!$B:$B,E$4)+SUMIFS('NSE - Other Index Options'!$M:$M,'NSE - Other Index Options'!$C:$C,$A17,'NSE - Other Index Options'!$B:$B,E$4))</f>
        <v/>
      </c>
      <c r="F17" s="26">
        <f>IF(SUMIFS('NSE - NIFTY Index Options'!$M:$M,'NSE - NIFTY Index Options'!$C:$C,$A17,'NSE - NIFTY Index Options'!$B:$B,F$4)+SUMIFS('NSE - Other Index Options'!$M:$M,'NSE - Other Index Options'!$C:$C,$A17,'NSE - Other Index Options'!$B:$B,F$4)=0,"",SUMIFS('NSE - NIFTY Index Options'!$M:$M,'NSE - NIFTY Index Options'!$C:$C,$A17,'NSE - NIFTY Index Options'!$B:$B,F$4)+SUMIFS('NSE - Other Index Options'!$M:$M,'NSE - Other Index Options'!$C:$C,$A17,'NSE - Other Index Options'!$B:$B,F$4))</f>
        <v/>
      </c>
      <c r="G17" s="26">
        <f>IF(SUMIFS('NSE - NIFTY Index Options'!$M:$M,'NSE - NIFTY Index Options'!$C:$C,$A17,'NSE - NIFTY Index Options'!$B:$B,G$4)+SUMIFS('NSE - Other Index Options'!$M:$M,'NSE - Other Index Options'!$C:$C,$A17,'NSE - Other Index Options'!$B:$B,G$4)=0,"",SUMIFS('NSE - NIFTY Index Options'!$M:$M,'NSE - NIFTY Index Options'!$C:$C,$A17,'NSE - NIFTY Index Options'!$B:$B,G$4)+SUMIFS('NSE - Other Index Options'!$M:$M,'NSE - Other Index Options'!$C:$C,$A17,'NSE - Other Index Options'!$B:$B,G$4))</f>
        <v/>
      </c>
      <c r="H17" s="26">
        <f>IF(SUM(B17:G17)=0,"",SUM(B17:G17))</f>
        <v/>
      </c>
    </row>
    <row r="18">
      <c r="A18" t="inlineStr">
        <is>
          <t>Week4-Nov-2025</t>
        </is>
      </c>
      <c r="B18" s="26">
        <f>IF(SUMIFS('NSE - NIFTY Index Options'!$M:$M,'NSE - NIFTY Index Options'!$C:$C,$A18,'NSE - NIFTY Index Options'!$B:$B,B$4)+SUMIFS('NSE - Other Index Options'!$M:$M,'NSE - Other Index Options'!$C:$C,$A18,'NSE - Other Index Options'!$B:$B,B$4)=0,"",SUMIFS('NSE - NIFTY Index Options'!$M:$M,'NSE - NIFTY Index Options'!$C:$C,$A18,'NSE - NIFTY Index Options'!$B:$B,B$4)+SUMIFS('NSE - Other Index Options'!$M:$M,'NSE - Other Index Options'!$C:$C,$A18,'NSE - Other Index Options'!$B:$B,B$4))</f>
        <v/>
      </c>
      <c r="C18" s="26">
        <f>IF(SUMIFS('NSE - NIFTY Index Options'!$M:$M,'NSE - NIFTY Index Options'!$C:$C,$A18,'NSE - NIFTY Index Options'!$B:$B,C$4)+SUMIFS('NSE - Other Index Options'!$M:$M,'NSE - Other Index Options'!$C:$C,$A18,'NSE - Other Index Options'!$B:$B,C$4)=0,"",SUMIFS('NSE - NIFTY Index Options'!$M:$M,'NSE - NIFTY Index Options'!$C:$C,$A18,'NSE - NIFTY Index Options'!$B:$B,C$4)+SUMIFS('NSE - Other Index Options'!$M:$M,'NSE - Other Index Options'!$C:$C,$A18,'NSE - Other Index Options'!$B:$B,C$4))</f>
        <v/>
      </c>
      <c r="D18" s="26">
        <f>IF(SUMIFS('NSE - NIFTY Index Options'!$M:$M,'NSE - NIFTY Index Options'!$C:$C,$A18,'NSE - NIFTY Index Options'!$B:$B,D$4)+SUMIFS('NSE - Other Index Options'!$M:$M,'NSE - Other Index Options'!$C:$C,$A18,'NSE - Other Index Options'!$B:$B,D$4)=0,"",SUMIFS('NSE - NIFTY Index Options'!$M:$M,'NSE - NIFTY Index Options'!$C:$C,$A18,'NSE - NIFTY Index Options'!$B:$B,D$4)+SUMIFS('NSE - Other Index Options'!$M:$M,'NSE - Other Index Options'!$C:$C,$A18,'NSE - Other Index Options'!$B:$B,D$4))</f>
        <v/>
      </c>
      <c r="E18" s="26">
        <f>IF(SUMIFS('NSE - NIFTY Index Options'!$M:$M,'NSE - NIFTY Index Options'!$C:$C,$A18,'NSE - NIFTY Index Options'!$B:$B,E$4)+SUMIFS('NSE - Other Index Options'!$M:$M,'NSE - Other Index Options'!$C:$C,$A18,'NSE - Other Index Options'!$B:$B,E$4)=0,"",SUMIFS('NSE - NIFTY Index Options'!$M:$M,'NSE - NIFTY Index Options'!$C:$C,$A18,'NSE - NIFTY Index Options'!$B:$B,E$4)+SUMIFS('NSE - Other Index Options'!$M:$M,'NSE - Other Index Options'!$C:$C,$A18,'NSE - Other Index Options'!$B:$B,E$4))</f>
        <v/>
      </c>
      <c r="F18" s="26">
        <f>IF(SUMIFS('NSE - NIFTY Index Options'!$M:$M,'NSE - NIFTY Index Options'!$C:$C,$A18,'NSE - NIFTY Index Options'!$B:$B,F$4)+SUMIFS('NSE - Other Index Options'!$M:$M,'NSE - Other Index Options'!$C:$C,$A18,'NSE - Other Index Options'!$B:$B,F$4)=0,"",SUMIFS('NSE - NIFTY Index Options'!$M:$M,'NSE - NIFTY Index Options'!$C:$C,$A18,'NSE - NIFTY Index Options'!$B:$B,F$4)+SUMIFS('NSE - Other Index Options'!$M:$M,'NSE - Other Index Options'!$C:$C,$A18,'NSE - Other Index Options'!$B:$B,F$4))</f>
        <v/>
      </c>
      <c r="G18" s="26">
        <f>IF(SUMIFS('NSE - NIFTY Index Options'!$M:$M,'NSE - NIFTY Index Options'!$C:$C,$A18,'NSE - NIFTY Index Options'!$B:$B,G$4)+SUMIFS('NSE - Other Index Options'!$M:$M,'NSE - Other Index Options'!$C:$C,$A18,'NSE - Other Index Options'!$B:$B,G$4)=0,"",SUMIFS('NSE - NIFTY Index Options'!$M:$M,'NSE - NIFTY Index Options'!$C:$C,$A18,'NSE - NIFTY Index Options'!$B:$B,G$4)+SUMIFS('NSE - Other Index Options'!$M:$M,'NSE - Other Index Options'!$C:$C,$A18,'NSE - Other Index Options'!$B:$B,G$4))</f>
        <v/>
      </c>
      <c r="H18" s="26">
        <f>IF(SUM(B18:G18)=0,"",SUM(B18:G18))</f>
        <v/>
      </c>
    </row>
    <row r="19">
      <c r="A19" t="inlineStr">
        <is>
          <t>Week5-Nov-2025</t>
        </is>
      </c>
      <c r="B19" s="26">
        <f>IF(SUMIFS('NSE - NIFTY Index Options'!$M:$M,'NSE - NIFTY Index Options'!$C:$C,$A19,'NSE - NIFTY Index Options'!$B:$B,B$4)+SUMIFS('NSE - Other Index Options'!$M:$M,'NSE - Other Index Options'!$C:$C,$A19,'NSE - Other Index Options'!$B:$B,B$4)=0,"",SUMIFS('NSE - NIFTY Index Options'!$M:$M,'NSE - NIFTY Index Options'!$C:$C,$A19,'NSE - NIFTY Index Options'!$B:$B,B$4)+SUMIFS('NSE - Other Index Options'!$M:$M,'NSE - Other Index Options'!$C:$C,$A19,'NSE - Other Index Options'!$B:$B,B$4))</f>
        <v/>
      </c>
      <c r="C19" s="26">
        <f>IF(SUMIFS('NSE - NIFTY Index Options'!$M:$M,'NSE - NIFTY Index Options'!$C:$C,$A19,'NSE - NIFTY Index Options'!$B:$B,C$4)+SUMIFS('NSE - Other Index Options'!$M:$M,'NSE - Other Index Options'!$C:$C,$A19,'NSE - Other Index Options'!$B:$B,C$4)=0,"",SUMIFS('NSE - NIFTY Index Options'!$M:$M,'NSE - NIFTY Index Options'!$C:$C,$A19,'NSE - NIFTY Index Options'!$B:$B,C$4)+SUMIFS('NSE - Other Index Options'!$M:$M,'NSE - Other Index Options'!$C:$C,$A19,'NSE - Other Index Options'!$B:$B,C$4))</f>
        <v/>
      </c>
      <c r="D19" s="26">
        <f>IF(SUMIFS('NSE - NIFTY Index Options'!$M:$M,'NSE - NIFTY Index Options'!$C:$C,$A19,'NSE - NIFTY Index Options'!$B:$B,D$4)+SUMIFS('NSE - Other Index Options'!$M:$M,'NSE - Other Index Options'!$C:$C,$A19,'NSE - Other Index Options'!$B:$B,D$4)=0,"",SUMIFS('NSE - NIFTY Index Options'!$M:$M,'NSE - NIFTY Index Options'!$C:$C,$A19,'NSE - NIFTY Index Options'!$B:$B,D$4)+SUMIFS('NSE - Other Index Options'!$M:$M,'NSE - Other Index Options'!$C:$C,$A19,'NSE - Other Index Options'!$B:$B,D$4))</f>
        <v/>
      </c>
      <c r="E19" s="26">
        <f>IF(SUMIFS('NSE - NIFTY Index Options'!$M:$M,'NSE - NIFTY Index Options'!$C:$C,$A19,'NSE - NIFTY Index Options'!$B:$B,E$4)+SUMIFS('NSE - Other Index Options'!$M:$M,'NSE - Other Index Options'!$C:$C,$A19,'NSE - Other Index Options'!$B:$B,E$4)=0,"",SUMIFS('NSE - NIFTY Index Options'!$M:$M,'NSE - NIFTY Index Options'!$C:$C,$A19,'NSE - NIFTY Index Options'!$B:$B,E$4)+SUMIFS('NSE - Other Index Options'!$M:$M,'NSE - Other Index Options'!$C:$C,$A19,'NSE - Other Index Options'!$B:$B,E$4))</f>
        <v/>
      </c>
      <c r="F19" s="26">
        <f>IF(SUMIFS('NSE - NIFTY Index Options'!$M:$M,'NSE - NIFTY Index Options'!$C:$C,$A19,'NSE - NIFTY Index Options'!$B:$B,F$4)+SUMIFS('NSE - Other Index Options'!$M:$M,'NSE - Other Index Options'!$C:$C,$A19,'NSE - Other Index Options'!$B:$B,F$4)=0,"",SUMIFS('NSE - NIFTY Index Options'!$M:$M,'NSE - NIFTY Index Options'!$C:$C,$A19,'NSE - NIFTY Index Options'!$B:$B,F$4)+SUMIFS('NSE - Other Index Options'!$M:$M,'NSE - Other Index Options'!$C:$C,$A19,'NSE - Other Index Options'!$B:$B,F$4))</f>
        <v/>
      </c>
      <c r="G19" s="26">
        <f>IF(SUMIFS('NSE - NIFTY Index Options'!$M:$M,'NSE - NIFTY Index Options'!$C:$C,$A19,'NSE - NIFTY Index Options'!$B:$B,G$4)+SUMIFS('NSE - Other Index Options'!$M:$M,'NSE - Other Index Options'!$C:$C,$A19,'NSE - Other Index Options'!$B:$B,G$4)=0,"",SUMIFS('NSE - NIFTY Index Options'!$M:$M,'NSE - NIFTY Index Options'!$C:$C,$A19,'NSE - NIFTY Index Options'!$B:$B,G$4)+SUMIFS('NSE - Other Index Options'!$M:$M,'NSE - Other Index Options'!$C:$C,$A19,'NSE - Other Index Options'!$B:$B,G$4))</f>
        <v/>
      </c>
      <c r="H19" s="26">
        <f>IF(SUM(B19:G19)=0,"",SUM(B19:G19))</f>
        <v/>
      </c>
    </row>
    <row r="20">
      <c r="A20" t="inlineStr">
        <is>
          <t>Week1-Dec-2025</t>
        </is>
      </c>
      <c r="B20" s="26">
        <f>IF(SUMIFS('NSE - NIFTY Index Options'!$M:$M,'NSE - NIFTY Index Options'!$C:$C,$A20,'NSE - NIFTY Index Options'!$B:$B,B$4)+SUMIFS('NSE - Other Index Options'!$M:$M,'NSE - Other Index Options'!$C:$C,$A20,'NSE - Other Index Options'!$B:$B,B$4)=0,"",SUMIFS('NSE - NIFTY Index Options'!$M:$M,'NSE - NIFTY Index Options'!$C:$C,$A20,'NSE - NIFTY Index Options'!$B:$B,B$4)+SUMIFS('NSE - Other Index Options'!$M:$M,'NSE - Other Index Options'!$C:$C,$A20,'NSE - Other Index Options'!$B:$B,B$4))</f>
        <v/>
      </c>
      <c r="C20" s="26">
        <f>IF(SUMIFS('NSE - NIFTY Index Options'!$M:$M,'NSE - NIFTY Index Options'!$C:$C,$A20,'NSE - NIFTY Index Options'!$B:$B,C$4)+SUMIFS('NSE - Other Index Options'!$M:$M,'NSE - Other Index Options'!$C:$C,$A20,'NSE - Other Index Options'!$B:$B,C$4)=0,"",SUMIFS('NSE - NIFTY Index Options'!$M:$M,'NSE - NIFTY Index Options'!$C:$C,$A20,'NSE - NIFTY Index Options'!$B:$B,C$4)+SUMIFS('NSE - Other Index Options'!$M:$M,'NSE - Other Index Options'!$C:$C,$A20,'NSE - Other Index Options'!$B:$B,C$4))</f>
        <v/>
      </c>
      <c r="D20" s="26">
        <f>IF(SUMIFS('NSE - NIFTY Index Options'!$M:$M,'NSE - NIFTY Index Options'!$C:$C,$A20,'NSE - NIFTY Index Options'!$B:$B,D$4)+SUMIFS('NSE - Other Index Options'!$M:$M,'NSE - Other Index Options'!$C:$C,$A20,'NSE - Other Index Options'!$B:$B,D$4)=0,"",SUMIFS('NSE - NIFTY Index Options'!$M:$M,'NSE - NIFTY Index Options'!$C:$C,$A20,'NSE - NIFTY Index Options'!$B:$B,D$4)+SUMIFS('NSE - Other Index Options'!$M:$M,'NSE - Other Index Options'!$C:$C,$A20,'NSE - Other Index Options'!$B:$B,D$4))</f>
        <v/>
      </c>
      <c r="E20" s="26">
        <f>IF(SUMIFS('NSE - NIFTY Index Options'!$M:$M,'NSE - NIFTY Index Options'!$C:$C,$A20,'NSE - NIFTY Index Options'!$B:$B,E$4)+SUMIFS('NSE - Other Index Options'!$M:$M,'NSE - Other Index Options'!$C:$C,$A20,'NSE - Other Index Options'!$B:$B,E$4)=0,"",SUMIFS('NSE - NIFTY Index Options'!$M:$M,'NSE - NIFTY Index Options'!$C:$C,$A20,'NSE - NIFTY Index Options'!$B:$B,E$4)+SUMIFS('NSE - Other Index Options'!$M:$M,'NSE - Other Index Options'!$C:$C,$A20,'NSE - Other Index Options'!$B:$B,E$4))</f>
        <v/>
      </c>
      <c r="F20" s="26">
        <f>IF(SUMIFS('NSE - NIFTY Index Options'!$M:$M,'NSE - NIFTY Index Options'!$C:$C,$A20,'NSE - NIFTY Index Options'!$B:$B,F$4)+SUMIFS('NSE - Other Index Options'!$M:$M,'NSE - Other Index Options'!$C:$C,$A20,'NSE - Other Index Options'!$B:$B,F$4)=0,"",SUMIFS('NSE - NIFTY Index Options'!$M:$M,'NSE - NIFTY Index Options'!$C:$C,$A20,'NSE - NIFTY Index Options'!$B:$B,F$4)+SUMIFS('NSE - Other Index Options'!$M:$M,'NSE - Other Index Options'!$C:$C,$A20,'NSE - Other Index Options'!$B:$B,F$4))</f>
        <v/>
      </c>
      <c r="G20" s="26">
        <f>IF(SUMIFS('NSE - NIFTY Index Options'!$M:$M,'NSE - NIFTY Index Options'!$C:$C,$A20,'NSE - NIFTY Index Options'!$B:$B,G$4)+SUMIFS('NSE - Other Index Options'!$M:$M,'NSE - Other Index Options'!$C:$C,$A20,'NSE - Other Index Options'!$B:$B,G$4)=0,"",SUMIFS('NSE - NIFTY Index Options'!$M:$M,'NSE - NIFTY Index Options'!$C:$C,$A20,'NSE - NIFTY Index Options'!$B:$B,G$4)+SUMIFS('NSE - Other Index Options'!$M:$M,'NSE - Other Index Options'!$C:$C,$A20,'NSE - Other Index Options'!$B:$B,G$4))</f>
        <v/>
      </c>
      <c r="H20" s="26">
        <f>IF(SUM(B20:G20)=0,"",SUM(B20:G20))</f>
        <v/>
      </c>
    </row>
    <row r="21">
      <c r="A21" t="inlineStr">
        <is>
          <t>Week2-Dec-2025</t>
        </is>
      </c>
      <c r="B21" s="26">
        <f>IF(SUMIFS('NSE - NIFTY Index Options'!$M:$M,'NSE - NIFTY Index Options'!$C:$C,$A21,'NSE - NIFTY Index Options'!$B:$B,B$4)+SUMIFS('NSE - Other Index Options'!$M:$M,'NSE - Other Index Options'!$C:$C,$A21,'NSE - Other Index Options'!$B:$B,B$4)=0,"",SUMIFS('NSE - NIFTY Index Options'!$M:$M,'NSE - NIFTY Index Options'!$C:$C,$A21,'NSE - NIFTY Index Options'!$B:$B,B$4)+SUMIFS('NSE - Other Index Options'!$M:$M,'NSE - Other Index Options'!$C:$C,$A21,'NSE - Other Index Options'!$B:$B,B$4))</f>
        <v/>
      </c>
      <c r="C21" s="26">
        <f>IF(SUMIFS('NSE - NIFTY Index Options'!$M:$M,'NSE - NIFTY Index Options'!$C:$C,$A21,'NSE - NIFTY Index Options'!$B:$B,C$4)+SUMIFS('NSE - Other Index Options'!$M:$M,'NSE - Other Index Options'!$C:$C,$A21,'NSE - Other Index Options'!$B:$B,C$4)=0,"",SUMIFS('NSE - NIFTY Index Options'!$M:$M,'NSE - NIFTY Index Options'!$C:$C,$A21,'NSE - NIFTY Index Options'!$B:$B,C$4)+SUMIFS('NSE - Other Index Options'!$M:$M,'NSE - Other Index Options'!$C:$C,$A21,'NSE - Other Index Options'!$B:$B,C$4))</f>
        <v/>
      </c>
      <c r="D21" s="26">
        <f>IF(SUMIFS('NSE - NIFTY Index Options'!$M:$M,'NSE - NIFTY Index Options'!$C:$C,$A21,'NSE - NIFTY Index Options'!$B:$B,D$4)+SUMIFS('NSE - Other Index Options'!$M:$M,'NSE - Other Index Options'!$C:$C,$A21,'NSE - Other Index Options'!$B:$B,D$4)=0,"",SUMIFS('NSE - NIFTY Index Options'!$M:$M,'NSE - NIFTY Index Options'!$C:$C,$A21,'NSE - NIFTY Index Options'!$B:$B,D$4)+SUMIFS('NSE - Other Index Options'!$M:$M,'NSE - Other Index Options'!$C:$C,$A21,'NSE - Other Index Options'!$B:$B,D$4))</f>
        <v/>
      </c>
      <c r="E21" s="26">
        <f>IF(SUMIFS('NSE - NIFTY Index Options'!$M:$M,'NSE - NIFTY Index Options'!$C:$C,$A21,'NSE - NIFTY Index Options'!$B:$B,E$4)+SUMIFS('NSE - Other Index Options'!$M:$M,'NSE - Other Index Options'!$C:$C,$A21,'NSE - Other Index Options'!$B:$B,E$4)=0,"",SUMIFS('NSE - NIFTY Index Options'!$M:$M,'NSE - NIFTY Index Options'!$C:$C,$A21,'NSE - NIFTY Index Options'!$B:$B,E$4)+SUMIFS('NSE - Other Index Options'!$M:$M,'NSE - Other Index Options'!$C:$C,$A21,'NSE - Other Index Options'!$B:$B,E$4))</f>
        <v/>
      </c>
      <c r="F21" s="26">
        <f>IF(SUMIFS('NSE - NIFTY Index Options'!$M:$M,'NSE - NIFTY Index Options'!$C:$C,$A21,'NSE - NIFTY Index Options'!$B:$B,F$4)+SUMIFS('NSE - Other Index Options'!$M:$M,'NSE - Other Index Options'!$C:$C,$A21,'NSE - Other Index Options'!$B:$B,F$4)=0,"",SUMIFS('NSE - NIFTY Index Options'!$M:$M,'NSE - NIFTY Index Options'!$C:$C,$A21,'NSE - NIFTY Index Options'!$B:$B,F$4)+SUMIFS('NSE - Other Index Options'!$M:$M,'NSE - Other Index Options'!$C:$C,$A21,'NSE - Other Index Options'!$B:$B,F$4))</f>
        <v/>
      </c>
      <c r="G21" s="26">
        <f>IF(SUMIFS('NSE - NIFTY Index Options'!$M:$M,'NSE - NIFTY Index Options'!$C:$C,$A21,'NSE - NIFTY Index Options'!$B:$B,G$4)+SUMIFS('NSE - Other Index Options'!$M:$M,'NSE - Other Index Options'!$C:$C,$A21,'NSE - Other Index Options'!$B:$B,G$4)=0,"",SUMIFS('NSE - NIFTY Index Options'!$M:$M,'NSE - NIFTY Index Options'!$C:$C,$A21,'NSE - NIFTY Index Options'!$B:$B,G$4)+SUMIFS('NSE - Other Index Options'!$M:$M,'NSE - Other Index Options'!$C:$C,$A21,'NSE - Other Index Options'!$B:$B,G$4))</f>
        <v/>
      </c>
      <c r="H21" s="26">
        <f>IF(SUM(B21:G21)=0,"",SUM(B21:G21))</f>
        <v/>
      </c>
    </row>
    <row r="22">
      <c r="A22" t="inlineStr">
        <is>
          <t>Week3-Dec-2025</t>
        </is>
      </c>
      <c r="B22" s="26">
        <f>IF(SUMIFS('NSE - NIFTY Index Options'!$M:$M,'NSE - NIFTY Index Options'!$C:$C,$A22,'NSE - NIFTY Index Options'!$B:$B,B$4)+SUMIFS('NSE - Other Index Options'!$M:$M,'NSE - Other Index Options'!$C:$C,$A22,'NSE - Other Index Options'!$B:$B,B$4)=0,"",SUMIFS('NSE - NIFTY Index Options'!$M:$M,'NSE - NIFTY Index Options'!$C:$C,$A22,'NSE - NIFTY Index Options'!$B:$B,B$4)+SUMIFS('NSE - Other Index Options'!$M:$M,'NSE - Other Index Options'!$C:$C,$A22,'NSE - Other Index Options'!$B:$B,B$4))</f>
        <v/>
      </c>
      <c r="C22" s="26">
        <f>IF(SUMIFS('NSE - NIFTY Index Options'!$M:$M,'NSE - NIFTY Index Options'!$C:$C,$A22,'NSE - NIFTY Index Options'!$B:$B,C$4)+SUMIFS('NSE - Other Index Options'!$M:$M,'NSE - Other Index Options'!$C:$C,$A22,'NSE - Other Index Options'!$B:$B,C$4)=0,"",SUMIFS('NSE - NIFTY Index Options'!$M:$M,'NSE - NIFTY Index Options'!$C:$C,$A22,'NSE - NIFTY Index Options'!$B:$B,C$4)+SUMIFS('NSE - Other Index Options'!$M:$M,'NSE - Other Index Options'!$C:$C,$A22,'NSE - Other Index Options'!$B:$B,C$4))</f>
        <v/>
      </c>
      <c r="D22" s="26">
        <f>IF(SUMIFS('NSE - NIFTY Index Options'!$M:$M,'NSE - NIFTY Index Options'!$C:$C,$A22,'NSE - NIFTY Index Options'!$B:$B,D$4)+SUMIFS('NSE - Other Index Options'!$M:$M,'NSE - Other Index Options'!$C:$C,$A22,'NSE - Other Index Options'!$B:$B,D$4)=0,"",SUMIFS('NSE - NIFTY Index Options'!$M:$M,'NSE - NIFTY Index Options'!$C:$C,$A22,'NSE - NIFTY Index Options'!$B:$B,D$4)+SUMIFS('NSE - Other Index Options'!$M:$M,'NSE - Other Index Options'!$C:$C,$A22,'NSE - Other Index Options'!$B:$B,D$4))</f>
        <v/>
      </c>
      <c r="E22" s="26">
        <f>IF(SUMIFS('NSE - NIFTY Index Options'!$M:$M,'NSE - NIFTY Index Options'!$C:$C,$A22,'NSE - NIFTY Index Options'!$B:$B,E$4)+SUMIFS('NSE - Other Index Options'!$M:$M,'NSE - Other Index Options'!$C:$C,$A22,'NSE - Other Index Options'!$B:$B,E$4)=0,"",SUMIFS('NSE - NIFTY Index Options'!$M:$M,'NSE - NIFTY Index Options'!$C:$C,$A22,'NSE - NIFTY Index Options'!$B:$B,E$4)+SUMIFS('NSE - Other Index Options'!$M:$M,'NSE - Other Index Options'!$C:$C,$A22,'NSE - Other Index Options'!$B:$B,E$4))</f>
        <v/>
      </c>
      <c r="F22" s="26">
        <f>IF(SUMIFS('NSE - NIFTY Index Options'!$M:$M,'NSE - NIFTY Index Options'!$C:$C,$A22,'NSE - NIFTY Index Options'!$B:$B,F$4)+SUMIFS('NSE - Other Index Options'!$M:$M,'NSE - Other Index Options'!$C:$C,$A22,'NSE - Other Index Options'!$B:$B,F$4)=0,"",SUMIFS('NSE - NIFTY Index Options'!$M:$M,'NSE - NIFTY Index Options'!$C:$C,$A22,'NSE - NIFTY Index Options'!$B:$B,F$4)+SUMIFS('NSE - Other Index Options'!$M:$M,'NSE - Other Index Options'!$C:$C,$A22,'NSE - Other Index Options'!$B:$B,F$4))</f>
        <v/>
      </c>
      <c r="G22" s="26">
        <f>IF(SUMIFS('NSE - NIFTY Index Options'!$M:$M,'NSE - NIFTY Index Options'!$C:$C,$A22,'NSE - NIFTY Index Options'!$B:$B,G$4)+SUMIFS('NSE - Other Index Options'!$M:$M,'NSE - Other Index Options'!$C:$C,$A22,'NSE - Other Index Options'!$B:$B,G$4)=0,"",SUMIFS('NSE - NIFTY Index Options'!$M:$M,'NSE - NIFTY Index Options'!$C:$C,$A22,'NSE - NIFTY Index Options'!$B:$B,G$4)+SUMIFS('NSE - Other Index Options'!$M:$M,'NSE - Other Index Options'!$C:$C,$A22,'NSE - Other Index Options'!$B:$B,G$4))</f>
        <v/>
      </c>
      <c r="H22" s="26">
        <f>IF(SUM(B22:G22)=0,"",SUM(B22:G22))</f>
        <v/>
      </c>
    </row>
    <row r="23">
      <c r="A23" t="inlineStr">
        <is>
          <t>Week4-Dec-2025</t>
        </is>
      </c>
      <c r="B23" s="26">
        <f>IF(SUMIFS('NSE - NIFTY Index Options'!$M:$M,'NSE - NIFTY Index Options'!$C:$C,$A23,'NSE - NIFTY Index Options'!$B:$B,B$4)+SUMIFS('NSE - Other Index Options'!$M:$M,'NSE - Other Index Options'!$C:$C,$A23,'NSE - Other Index Options'!$B:$B,B$4)=0,"",SUMIFS('NSE - NIFTY Index Options'!$M:$M,'NSE - NIFTY Index Options'!$C:$C,$A23,'NSE - NIFTY Index Options'!$B:$B,B$4)+SUMIFS('NSE - Other Index Options'!$M:$M,'NSE - Other Index Options'!$C:$C,$A23,'NSE - Other Index Options'!$B:$B,B$4))</f>
        <v/>
      </c>
      <c r="C23" s="26">
        <f>IF(SUMIFS('NSE - NIFTY Index Options'!$M:$M,'NSE - NIFTY Index Options'!$C:$C,$A23,'NSE - NIFTY Index Options'!$B:$B,C$4)+SUMIFS('NSE - Other Index Options'!$M:$M,'NSE - Other Index Options'!$C:$C,$A23,'NSE - Other Index Options'!$B:$B,C$4)=0,"",SUMIFS('NSE - NIFTY Index Options'!$M:$M,'NSE - NIFTY Index Options'!$C:$C,$A23,'NSE - NIFTY Index Options'!$B:$B,C$4)+SUMIFS('NSE - Other Index Options'!$M:$M,'NSE - Other Index Options'!$C:$C,$A23,'NSE - Other Index Options'!$B:$B,C$4))</f>
        <v/>
      </c>
      <c r="D23" s="26">
        <f>IF(SUMIFS('NSE - NIFTY Index Options'!$M:$M,'NSE - NIFTY Index Options'!$C:$C,$A23,'NSE - NIFTY Index Options'!$B:$B,D$4)+SUMIFS('NSE - Other Index Options'!$M:$M,'NSE - Other Index Options'!$C:$C,$A23,'NSE - Other Index Options'!$B:$B,D$4)=0,"",SUMIFS('NSE - NIFTY Index Options'!$M:$M,'NSE - NIFTY Index Options'!$C:$C,$A23,'NSE - NIFTY Index Options'!$B:$B,D$4)+SUMIFS('NSE - Other Index Options'!$M:$M,'NSE - Other Index Options'!$C:$C,$A23,'NSE - Other Index Options'!$B:$B,D$4))</f>
        <v/>
      </c>
      <c r="E23" s="26">
        <f>IF(SUMIFS('NSE - NIFTY Index Options'!$M:$M,'NSE - NIFTY Index Options'!$C:$C,$A23,'NSE - NIFTY Index Options'!$B:$B,E$4)+SUMIFS('NSE - Other Index Options'!$M:$M,'NSE - Other Index Options'!$C:$C,$A23,'NSE - Other Index Options'!$B:$B,E$4)=0,"",SUMIFS('NSE - NIFTY Index Options'!$M:$M,'NSE - NIFTY Index Options'!$C:$C,$A23,'NSE - NIFTY Index Options'!$B:$B,E$4)+SUMIFS('NSE - Other Index Options'!$M:$M,'NSE - Other Index Options'!$C:$C,$A23,'NSE - Other Index Options'!$B:$B,E$4))</f>
        <v/>
      </c>
      <c r="F23" s="26">
        <f>IF(SUMIFS('NSE - NIFTY Index Options'!$M:$M,'NSE - NIFTY Index Options'!$C:$C,$A23,'NSE - NIFTY Index Options'!$B:$B,F$4)+SUMIFS('NSE - Other Index Options'!$M:$M,'NSE - Other Index Options'!$C:$C,$A23,'NSE - Other Index Options'!$B:$B,F$4)=0,"",SUMIFS('NSE - NIFTY Index Options'!$M:$M,'NSE - NIFTY Index Options'!$C:$C,$A23,'NSE - NIFTY Index Options'!$B:$B,F$4)+SUMIFS('NSE - Other Index Options'!$M:$M,'NSE - Other Index Options'!$C:$C,$A23,'NSE - Other Index Options'!$B:$B,F$4))</f>
        <v/>
      </c>
      <c r="G23" s="26">
        <f>IF(SUMIFS('NSE - NIFTY Index Options'!$M:$M,'NSE - NIFTY Index Options'!$C:$C,$A23,'NSE - NIFTY Index Options'!$B:$B,G$4)+SUMIFS('NSE - Other Index Options'!$M:$M,'NSE - Other Index Options'!$C:$C,$A23,'NSE - Other Index Options'!$B:$B,G$4)=0,"",SUMIFS('NSE - NIFTY Index Options'!$M:$M,'NSE - NIFTY Index Options'!$C:$C,$A23,'NSE - NIFTY Index Options'!$B:$B,G$4)+SUMIFS('NSE - Other Index Options'!$M:$M,'NSE - Other Index Options'!$C:$C,$A23,'NSE - Other Index Options'!$B:$B,G$4))</f>
        <v/>
      </c>
      <c r="H23" s="26">
        <f>IF(SUM(B23:G23)=0,"",SUM(B23:G23))</f>
        <v/>
      </c>
    </row>
    <row r="24">
      <c r="A24" t="inlineStr">
        <is>
          <t>Week5-Dec-2025</t>
        </is>
      </c>
      <c r="B24" s="26">
        <f>IF(SUMIFS('NSE - NIFTY Index Options'!$M:$M,'NSE - NIFTY Index Options'!$C:$C,$A24,'NSE - NIFTY Index Options'!$B:$B,B$4)+SUMIFS('NSE - Other Index Options'!$M:$M,'NSE - Other Index Options'!$C:$C,$A24,'NSE - Other Index Options'!$B:$B,B$4)=0,"",SUMIFS('NSE - NIFTY Index Options'!$M:$M,'NSE - NIFTY Index Options'!$C:$C,$A24,'NSE - NIFTY Index Options'!$B:$B,B$4)+SUMIFS('NSE - Other Index Options'!$M:$M,'NSE - Other Index Options'!$C:$C,$A24,'NSE - Other Index Options'!$B:$B,B$4))</f>
        <v/>
      </c>
      <c r="C24" s="26">
        <f>IF(SUMIFS('NSE - NIFTY Index Options'!$M:$M,'NSE - NIFTY Index Options'!$C:$C,$A24,'NSE - NIFTY Index Options'!$B:$B,C$4)+SUMIFS('NSE - Other Index Options'!$M:$M,'NSE - Other Index Options'!$C:$C,$A24,'NSE - Other Index Options'!$B:$B,C$4)=0,"",SUMIFS('NSE - NIFTY Index Options'!$M:$M,'NSE - NIFTY Index Options'!$C:$C,$A24,'NSE - NIFTY Index Options'!$B:$B,C$4)+SUMIFS('NSE - Other Index Options'!$M:$M,'NSE - Other Index Options'!$C:$C,$A24,'NSE - Other Index Options'!$B:$B,C$4))</f>
        <v/>
      </c>
      <c r="D24" s="26">
        <f>IF(SUMIFS('NSE - NIFTY Index Options'!$M:$M,'NSE - NIFTY Index Options'!$C:$C,$A24,'NSE - NIFTY Index Options'!$B:$B,D$4)+SUMIFS('NSE - Other Index Options'!$M:$M,'NSE - Other Index Options'!$C:$C,$A24,'NSE - Other Index Options'!$B:$B,D$4)=0,"",SUMIFS('NSE - NIFTY Index Options'!$M:$M,'NSE - NIFTY Index Options'!$C:$C,$A24,'NSE - NIFTY Index Options'!$B:$B,D$4)+SUMIFS('NSE - Other Index Options'!$M:$M,'NSE - Other Index Options'!$C:$C,$A24,'NSE - Other Index Options'!$B:$B,D$4))</f>
        <v/>
      </c>
      <c r="E24" s="26">
        <f>IF(SUMIFS('NSE - NIFTY Index Options'!$M:$M,'NSE - NIFTY Index Options'!$C:$C,$A24,'NSE - NIFTY Index Options'!$B:$B,E$4)+SUMIFS('NSE - Other Index Options'!$M:$M,'NSE - Other Index Options'!$C:$C,$A24,'NSE - Other Index Options'!$B:$B,E$4)=0,"",SUMIFS('NSE - NIFTY Index Options'!$M:$M,'NSE - NIFTY Index Options'!$C:$C,$A24,'NSE - NIFTY Index Options'!$B:$B,E$4)+SUMIFS('NSE - Other Index Options'!$M:$M,'NSE - Other Index Options'!$C:$C,$A24,'NSE - Other Index Options'!$B:$B,E$4))</f>
        <v/>
      </c>
      <c r="F24" s="26">
        <f>IF(SUMIFS('NSE - NIFTY Index Options'!$M:$M,'NSE - NIFTY Index Options'!$C:$C,$A24,'NSE - NIFTY Index Options'!$B:$B,F$4)+SUMIFS('NSE - Other Index Options'!$M:$M,'NSE - Other Index Options'!$C:$C,$A24,'NSE - Other Index Options'!$B:$B,F$4)=0,"",SUMIFS('NSE - NIFTY Index Options'!$M:$M,'NSE - NIFTY Index Options'!$C:$C,$A24,'NSE - NIFTY Index Options'!$B:$B,F$4)+SUMIFS('NSE - Other Index Options'!$M:$M,'NSE - Other Index Options'!$C:$C,$A24,'NSE - Other Index Options'!$B:$B,F$4))</f>
        <v/>
      </c>
      <c r="G24" s="26">
        <f>IF(SUMIFS('NSE - NIFTY Index Options'!$M:$M,'NSE - NIFTY Index Options'!$C:$C,$A24,'NSE - NIFTY Index Options'!$B:$B,G$4)+SUMIFS('NSE - Other Index Options'!$M:$M,'NSE - Other Index Options'!$C:$C,$A24,'NSE - Other Index Options'!$B:$B,G$4)=0,"",SUMIFS('NSE - NIFTY Index Options'!$M:$M,'NSE - NIFTY Index Options'!$C:$C,$A24,'NSE - NIFTY Index Options'!$B:$B,G$4)+SUMIFS('NSE - Other Index Options'!$M:$M,'NSE - Other Index Options'!$C:$C,$A24,'NSE - Other Index Options'!$B:$B,G$4))</f>
        <v/>
      </c>
      <c r="H24" s="26">
        <f>IF(SUM(B24:G24)=0,"",SUM(B24:G24))</f>
        <v/>
      </c>
    </row>
    <row r="25">
      <c r="A25" t="inlineStr">
        <is>
          <t>Week1-Jan-2026</t>
        </is>
      </c>
      <c r="B25" s="26">
        <f>IF(SUMIFS('NSE - NIFTY Index Options'!$M:$M,'NSE - NIFTY Index Options'!$C:$C,$A25,'NSE - NIFTY Index Options'!$B:$B,B$4)+SUMIFS('NSE - Other Index Options'!$M:$M,'NSE - Other Index Options'!$C:$C,$A25,'NSE - Other Index Options'!$B:$B,B$4)=0,"",SUMIFS('NSE - NIFTY Index Options'!$M:$M,'NSE - NIFTY Index Options'!$C:$C,$A25,'NSE - NIFTY Index Options'!$B:$B,B$4)+SUMIFS('NSE - Other Index Options'!$M:$M,'NSE - Other Index Options'!$C:$C,$A25,'NSE - Other Index Options'!$B:$B,B$4))</f>
        <v/>
      </c>
      <c r="C25" s="26">
        <f>IF(SUMIFS('NSE - NIFTY Index Options'!$M:$M,'NSE - NIFTY Index Options'!$C:$C,$A25,'NSE - NIFTY Index Options'!$B:$B,C$4)+SUMIFS('NSE - Other Index Options'!$M:$M,'NSE - Other Index Options'!$C:$C,$A25,'NSE - Other Index Options'!$B:$B,C$4)=0,"",SUMIFS('NSE - NIFTY Index Options'!$M:$M,'NSE - NIFTY Index Options'!$C:$C,$A25,'NSE - NIFTY Index Options'!$B:$B,C$4)+SUMIFS('NSE - Other Index Options'!$M:$M,'NSE - Other Index Options'!$C:$C,$A25,'NSE - Other Index Options'!$B:$B,C$4))</f>
        <v/>
      </c>
      <c r="D25" s="26">
        <f>IF(SUMIFS('NSE - NIFTY Index Options'!$M:$M,'NSE - NIFTY Index Options'!$C:$C,$A25,'NSE - NIFTY Index Options'!$B:$B,D$4)+SUMIFS('NSE - Other Index Options'!$M:$M,'NSE - Other Index Options'!$C:$C,$A25,'NSE - Other Index Options'!$B:$B,D$4)=0,"",SUMIFS('NSE - NIFTY Index Options'!$M:$M,'NSE - NIFTY Index Options'!$C:$C,$A25,'NSE - NIFTY Index Options'!$B:$B,D$4)+SUMIFS('NSE - Other Index Options'!$M:$M,'NSE - Other Index Options'!$C:$C,$A25,'NSE - Other Index Options'!$B:$B,D$4))</f>
        <v/>
      </c>
      <c r="E25" s="26">
        <f>IF(SUMIFS('NSE - NIFTY Index Options'!$M:$M,'NSE - NIFTY Index Options'!$C:$C,$A25,'NSE - NIFTY Index Options'!$B:$B,E$4)+SUMIFS('NSE - Other Index Options'!$M:$M,'NSE - Other Index Options'!$C:$C,$A25,'NSE - Other Index Options'!$B:$B,E$4)=0,"",SUMIFS('NSE - NIFTY Index Options'!$M:$M,'NSE - NIFTY Index Options'!$C:$C,$A25,'NSE - NIFTY Index Options'!$B:$B,E$4)+SUMIFS('NSE - Other Index Options'!$M:$M,'NSE - Other Index Options'!$C:$C,$A25,'NSE - Other Index Options'!$B:$B,E$4))</f>
        <v/>
      </c>
      <c r="F25" s="26">
        <f>IF(SUMIFS('NSE - NIFTY Index Options'!$M:$M,'NSE - NIFTY Index Options'!$C:$C,$A25,'NSE - NIFTY Index Options'!$B:$B,F$4)+SUMIFS('NSE - Other Index Options'!$M:$M,'NSE - Other Index Options'!$C:$C,$A25,'NSE - Other Index Options'!$B:$B,F$4)=0,"",SUMIFS('NSE - NIFTY Index Options'!$M:$M,'NSE - NIFTY Index Options'!$C:$C,$A25,'NSE - NIFTY Index Options'!$B:$B,F$4)+SUMIFS('NSE - Other Index Options'!$M:$M,'NSE - Other Index Options'!$C:$C,$A25,'NSE - Other Index Options'!$B:$B,F$4))</f>
        <v/>
      </c>
      <c r="G25" s="26">
        <f>IF(SUMIFS('NSE - NIFTY Index Options'!$M:$M,'NSE - NIFTY Index Options'!$C:$C,$A25,'NSE - NIFTY Index Options'!$B:$B,G$4)+SUMIFS('NSE - Other Index Options'!$M:$M,'NSE - Other Index Options'!$C:$C,$A25,'NSE - Other Index Options'!$B:$B,G$4)=0,"",SUMIFS('NSE - NIFTY Index Options'!$M:$M,'NSE - NIFTY Index Options'!$C:$C,$A25,'NSE - NIFTY Index Options'!$B:$B,G$4)+SUMIFS('NSE - Other Index Options'!$M:$M,'NSE - Other Index Options'!$C:$C,$A25,'NSE - Other Index Options'!$B:$B,G$4))</f>
        <v/>
      </c>
      <c r="H25" s="26">
        <f>IF(SUM(B25:G25)=0,"",SUM(B25:G25))</f>
        <v/>
      </c>
    </row>
    <row r="26">
      <c r="A26" t="inlineStr">
        <is>
          <t>Week2-Jan-2026</t>
        </is>
      </c>
      <c r="B26" s="26">
        <f>IF(SUMIFS('NSE - NIFTY Index Options'!$M:$M,'NSE - NIFTY Index Options'!$C:$C,$A26,'NSE - NIFTY Index Options'!$B:$B,B$4)+SUMIFS('NSE - Other Index Options'!$M:$M,'NSE - Other Index Options'!$C:$C,$A26,'NSE - Other Index Options'!$B:$B,B$4)=0,"",SUMIFS('NSE - NIFTY Index Options'!$M:$M,'NSE - NIFTY Index Options'!$C:$C,$A26,'NSE - NIFTY Index Options'!$B:$B,B$4)+SUMIFS('NSE - Other Index Options'!$M:$M,'NSE - Other Index Options'!$C:$C,$A26,'NSE - Other Index Options'!$B:$B,B$4))</f>
        <v/>
      </c>
      <c r="C26" s="26">
        <f>IF(SUMIFS('NSE - NIFTY Index Options'!$M:$M,'NSE - NIFTY Index Options'!$C:$C,$A26,'NSE - NIFTY Index Options'!$B:$B,C$4)+SUMIFS('NSE - Other Index Options'!$M:$M,'NSE - Other Index Options'!$C:$C,$A26,'NSE - Other Index Options'!$B:$B,C$4)=0,"",SUMIFS('NSE - NIFTY Index Options'!$M:$M,'NSE - NIFTY Index Options'!$C:$C,$A26,'NSE - NIFTY Index Options'!$B:$B,C$4)+SUMIFS('NSE - Other Index Options'!$M:$M,'NSE - Other Index Options'!$C:$C,$A26,'NSE - Other Index Options'!$B:$B,C$4))</f>
        <v/>
      </c>
      <c r="D26" s="26">
        <f>IF(SUMIFS('NSE - NIFTY Index Options'!$M:$M,'NSE - NIFTY Index Options'!$C:$C,$A26,'NSE - NIFTY Index Options'!$B:$B,D$4)+SUMIFS('NSE - Other Index Options'!$M:$M,'NSE - Other Index Options'!$C:$C,$A26,'NSE - Other Index Options'!$B:$B,D$4)=0,"",SUMIFS('NSE - NIFTY Index Options'!$M:$M,'NSE - NIFTY Index Options'!$C:$C,$A26,'NSE - NIFTY Index Options'!$B:$B,D$4)+SUMIFS('NSE - Other Index Options'!$M:$M,'NSE - Other Index Options'!$C:$C,$A26,'NSE - Other Index Options'!$B:$B,D$4))</f>
        <v/>
      </c>
      <c r="E26" s="26">
        <f>IF(SUMIFS('NSE - NIFTY Index Options'!$M:$M,'NSE - NIFTY Index Options'!$C:$C,$A26,'NSE - NIFTY Index Options'!$B:$B,E$4)+SUMIFS('NSE - Other Index Options'!$M:$M,'NSE - Other Index Options'!$C:$C,$A26,'NSE - Other Index Options'!$B:$B,E$4)=0,"",SUMIFS('NSE - NIFTY Index Options'!$M:$M,'NSE - NIFTY Index Options'!$C:$C,$A26,'NSE - NIFTY Index Options'!$B:$B,E$4)+SUMIFS('NSE - Other Index Options'!$M:$M,'NSE - Other Index Options'!$C:$C,$A26,'NSE - Other Index Options'!$B:$B,E$4))</f>
        <v/>
      </c>
      <c r="F26" s="26">
        <f>IF(SUMIFS('NSE - NIFTY Index Options'!$M:$M,'NSE - NIFTY Index Options'!$C:$C,$A26,'NSE - NIFTY Index Options'!$B:$B,F$4)+SUMIFS('NSE - Other Index Options'!$M:$M,'NSE - Other Index Options'!$C:$C,$A26,'NSE - Other Index Options'!$B:$B,F$4)=0,"",SUMIFS('NSE - NIFTY Index Options'!$M:$M,'NSE - NIFTY Index Options'!$C:$C,$A26,'NSE - NIFTY Index Options'!$B:$B,F$4)+SUMIFS('NSE - Other Index Options'!$M:$M,'NSE - Other Index Options'!$C:$C,$A26,'NSE - Other Index Options'!$B:$B,F$4))</f>
        <v/>
      </c>
      <c r="G26" s="26">
        <f>IF(SUMIFS('NSE - NIFTY Index Options'!$M:$M,'NSE - NIFTY Index Options'!$C:$C,$A26,'NSE - NIFTY Index Options'!$B:$B,G$4)+SUMIFS('NSE - Other Index Options'!$M:$M,'NSE - Other Index Options'!$C:$C,$A26,'NSE - Other Index Options'!$B:$B,G$4)=0,"",SUMIFS('NSE - NIFTY Index Options'!$M:$M,'NSE - NIFTY Index Options'!$C:$C,$A26,'NSE - NIFTY Index Options'!$B:$B,G$4)+SUMIFS('NSE - Other Index Options'!$M:$M,'NSE - Other Index Options'!$C:$C,$A26,'NSE - Other Index Options'!$B:$B,G$4))</f>
        <v/>
      </c>
      <c r="H26" s="26">
        <f>IF(SUM(B26:G26)=0,"",SUM(B26:G26))</f>
        <v/>
      </c>
    </row>
    <row r="27">
      <c r="A27" t="inlineStr">
        <is>
          <t>Week3-Jan-2026</t>
        </is>
      </c>
      <c r="B27" s="26">
        <f>IF(SUMIFS('NSE - NIFTY Index Options'!$M:$M,'NSE - NIFTY Index Options'!$C:$C,$A27,'NSE - NIFTY Index Options'!$B:$B,B$4)+SUMIFS('NSE - Other Index Options'!$M:$M,'NSE - Other Index Options'!$C:$C,$A27,'NSE - Other Index Options'!$B:$B,B$4)=0,"",SUMIFS('NSE - NIFTY Index Options'!$M:$M,'NSE - NIFTY Index Options'!$C:$C,$A27,'NSE - NIFTY Index Options'!$B:$B,B$4)+SUMIFS('NSE - Other Index Options'!$M:$M,'NSE - Other Index Options'!$C:$C,$A27,'NSE - Other Index Options'!$B:$B,B$4))</f>
        <v/>
      </c>
      <c r="C27" s="26">
        <f>IF(SUMIFS('NSE - NIFTY Index Options'!$M:$M,'NSE - NIFTY Index Options'!$C:$C,$A27,'NSE - NIFTY Index Options'!$B:$B,C$4)+SUMIFS('NSE - Other Index Options'!$M:$M,'NSE - Other Index Options'!$C:$C,$A27,'NSE - Other Index Options'!$B:$B,C$4)=0,"",SUMIFS('NSE - NIFTY Index Options'!$M:$M,'NSE - NIFTY Index Options'!$C:$C,$A27,'NSE - NIFTY Index Options'!$B:$B,C$4)+SUMIFS('NSE - Other Index Options'!$M:$M,'NSE - Other Index Options'!$C:$C,$A27,'NSE - Other Index Options'!$B:$B,C$4))</f>
        <v/>
      </c>
      <c r="D27" s="26">
        <f>IF(SUMIFS('NSE - NIFTY Index Options'!$M:$M,'NSE - NIFTY Index Options'!$C:$C,$A27,'NSE - NIFTY Index Options'!$B:$B,D$4)+SUMIFS('NSE - Other Index Options'!$M:$M,'NSE - Other Index Options'!$C:$C,$A27,'NSE - Other Index Options'!$B:$B,D$4)=0,"",SUMIFS('NSE - NIFTY Index Options'!$M:$M,'NSE - NIFTY Index Options'!$C:$C,$A27,'NSE - NIFTY Index Options'!$B:$B,D$4)+SUMIFS('NSE - Other Index Options'!$M:$M,'NSE - Other Index Options'!$C:$C,$A27,'NSE - Other Index Options'!$B:$B,D$4))</f>
        <v/>
      </c>
      <c r="E27" s="26">
        <f>IF(SUMIFS('NSE - NIFTY Index Options'!$M:$M,'NSE - NIFTY Index Options'!$C:$C,$A27,'NSE - NIFTY Index Options'!$B:$B,E$4)+SUMIFS('NSE - Other Index Options'!$M:$M,'NSE - Other Index Options'!$C:$C,$A27,'NSE - Other Index Options'!$B:$B,E$4)=0,"",SUMIFS('NSE - NIFTY Index Options'!$M:$M,'NSE - NIFTY Index Options'!$C:$C,$A27,'NSE - NIFTY Index Options'!$B:$B,E$4)+SUMIFS('NSE - Other Index Options'!$M:$M,'NSE - Other Index Options'!$C:$C,$A27,'NSE - Other Index Options'!$B:$B,E$4))</f>
        <v/>
      </c>
      <c r="F27" s="26">
        <f>IF(SUMIFS('NSE - NIFTY Index Options'!$M:$M,'NSE - NIFTY Index Options'!$C:$C,$A27,'NSE - NIFTY Index Options'!$B:$B,F$4)+SUMIFS('NSE - Other Index Options'!$M:$M,'NSE - Other Index Options'!$C:$C,$A27,'NSE - Other Index Options'!$B:$B,F$4)=0,"",SUMIFS('NSE - NIFTY Index Options'!$M:$M,'NSE - NIFTY Index Options'!$C:$C,$A27,'NSE - NIFTY Index Options'!$B:$B,F$4)+SUMIFS('NSE - Other Index Options'!$M:$M,'NSE - Other Index Options'!$C:$C,$A27,'NSE - Other Index Options'!$B:$B,F$4))</f>
        <v/>
      </c>
      <c r="G27" s="26">
        <f>IF(SUMIFS('NSE - NIFTY Index Options'!$M:$M,'NSE - NIFTY Index Options'!$C:$C,$A27,'NSE - NIFTY Index Options'!$B:$B,G$4)+SUMIFS('NSE - Other Index Options'!$M:$M,'NSE - Other Index Options'!$C:$C,$A27,'NSE - Other Index Options'!$B:$B,G$4)=0,"",SUMIFS('NSE - NIFTY Index Options'!$M:$M,'NSE - NIFTY Index Options'!$C:$C,$A27,'NSE - NIFTY Index Options'!$B:$B,G$4)+SUMIFS('NSE - Other Index Options'!$M:$M,'NSE - Other Index Options'!$C:$C,$A27,'NSE - Other Index Options'!$B:$B,G$4))</f>
        <v/>
      </c>
      <c r="H27" s="26">
        <f>IF(SUM(B27:G27)=0,"",SUM(B27:G27))</f>
        <v/>
      </c>
    </row>
    <row r="28">
      <c r="A28" t="inlineStr">
        <is>
          <t>Week4-Jan-2026</t>
        </is>
      </c>
      <c r="B28" s="26">
        <f>IF(SUMIFS('NSE - NIFTY Index Options'!$M:$M,'NSE - NIFTY Index Options'!$C:$C,$A28,'NSE - NIFTY Index Options'!$B:$B,B$4)+SUMIFS('NSE - Other Index Options'!$M:$M,'NSE - Other Index Options'!$C:$C,$A28,'NSE - Other Index Options'!$B:$B,B$4)=0,"",SUMIFS('NSE - NIFTY Index Options'!$M:$M,'NSE - NIFTY Index Options'!$C:$C,$A28,'NSE - NIFTY Index Options'!$B:$B,B$4)+SUMIFS('NSE - Other Index Options'!$M:$M,'NSE - Other Index Options'!$C:$C,$A28,'NSE - Other Index Options'!$B:$B,B$4))</f>
        <v/>
      </c>
      <c r="C28" s="26">
        <f>IF(SUMIFS('NSE - NIFTY Index Options'!$M:$M,'NSE - NIFTY Index Options'!$C:$C,$A28,'NSE - NIFTY Index Options'!$B:$B,C$4)+SUMIFS('NSE - Other Index Options'!$M:$M,'NSE - Other Index Options'!$C:$C,$A28,'NSE - Other Index Options'!$B:$B,C$4)=0,"",SUMIFS('NSE - NIFTY Index Options'!$M:$M,'NSE - NIFTY Index Options'!$C:$C,$A28,'NSE - NIFTY Index Options'!$B:$B,C$4)+SUMIFS('NSE - Other Index Options'!$M:$M,'NSE - Other Index Options'!$C:$C,$A28,'NSE - Other Index Options'!$B:$B,C$4))</f>
        <v/>
      </c>
      <c r="D28" s="26">
        <f>IF(SUMIFS('NSE - NIFTY Index Options'!$M:$M,'NSE - NIFTY Index Options'!$C:$C,$A28,'NSE - NIFTY Index Options'!$B:$B,D$4)+SUMIFS('NSE - Other Index Options'!$M:$M,'NSE - Other Index Options'!$C:$C,$A28,'NSE - Other Index Options'!$B:$B,D$4)=0,"",SUMIFS('NSE - NIFTY Index Options'!$M:$M,'NSE - NIFTY Index Options'!$C:$C,$A28,'NSE - NIFTY Index Options'!$B:$B,D$4)+SUMIFS('NSE - Other Index Options'!$M:$M,'NSE - Other Index Options'!$C:$C,$A28,'NSE - Other Index Options'!$B:$B,D$4))</f>
        <v/>
      </c>
      <c r="E28" s="26">
        <f>IF(SUMIFS('NSE - NIFTY Index Options'!$M:$M,'NSE - NIFTY Index Options'!$C:$C,$A28,'NSE - NIFTY Index Options'!$B:$B,E$4)+SUMIFS('NSE - Other Index Options'!$M:$M,'NSE - Other Index Options'!$C:$C,$A28,'NSE - Other Index Options'!$B:$B,E$4)=0,"",SUMIFS('NSE - NIFTY Index Options'!$M:$M,'NSE - NIFTY Index Options'!$C:$C,$A28,'NSE - NIFTY Index Options'!$B:$B,E$4)+SUMIFS('NSE - Other Index Options'!$M:$M,'NSE - Other Index Options'!$C:$C,$A28,'NSE - Other Index Options'!$B:$B,E$4))</f>
        <v/>
      </c>
      <c r="F28" s="26">
        <f>IF(SUMIFS('NSE - NIFTY Index Options'!$M:$M,'NSE - NIFTY Index Options'!$C:$C,$A28,'NSE - NIFTY Index Options'!$B:$B,F$4)+SUMIFS('NSE - Other Index Options'!$M:$M,'NSE - Other Index Options'!$C:$C,$A28,'NSE - Other Index Options'!$B:$B,F$4)=0,"",SUMIFS('NSE - NIFTY Index Options'!$M:$M,'NSE - NIFTY Index Options'!$C:$C,$A28,'NSE - NIFTY Index Options'!$B:$B,F$4)+SUMIFS('NSE - Other Index Options'!$M:$M,'NSE - Other Index Options'!$C:$C,$A28,'NSE - Other Index Options'!$B:$B,F$4))</f>
        <v/>
      </c>
      <c r="G28" s="26">
        <f>IF(SUMIFS('NSE - NIFTY Index Options'!$M:$M,'NSE - NIFTY Index Options'!$C:$C,$A28,'NSE - NIFTY Index Options'!$B:$B,G$4)+SUMIFS('NSE - Other Index Options'!$M:$M,'NSE - Other Index Options'!$C:$C,$A28,'NSE - Other Index Options'!$B:$B,G$4)=0,"",SUMIFS('NSE - NIFTY Index Options'!$M:$M,'NSE - NIFTY Index Options'!$C:$C,$A28,'NSE - NIFTY Index Options'!$B:$B,G$4)+SUMIFS('NSE - Other Index Options'!$M:$M,'NSE - Other Index Options'!$C:$C,$A28,'NSE - Other Index Options'!$B:$B,G$4))</f>
        <v/>
      </c>
      <c r="H28" s="26">
        <f>IF(SUM(B28:G28)=0,"",SUM(B28:G28))</f>
        <v/>
      </c>
    </row>
    <row r="29">
      <c r="A29" t="inlineStr">
        <is>
          <t>Week5-Jan-2026</t>
        </is>
      </c>
      <c r="B29" s="26">
        <f>IF(SUMIFS('NSE - NIFTY Index Options'!$M:$M,'NSE - NIFTY Index Options'!$C:$C,$A29,'NSE - NIFTY Index Options'!$B:$B,B$4)+SUMIFS('NSE - Other Index Options'!$M:$M,'NSE - Other Index Options'!$C:$C,$A29,'NSE - Other Index Options'!$B:$B,B$4)=0,"",SUMIFS('NSE - NIFTY Index Options'!$M:$M,'NSE - NIFTY Index Options'!$C:$C,$A29,'NSE - NIFTY Index Options'!$B:$B,B$4)+SUMIFS('NSE - Other Index Options'!$M:$M,'NSE - Other Index Options'!$C:$C,$A29,'NSE - Other Index Options'!$B:$B,B$4))</f>
        <v/>
      </c>
      <c r="C29" s="26">
        <f>IF(SUMIFS('NSE - NIFTY Index Options'!$M:$M,'NSE - NIFTY Index Options'!$C:$C,$A29,'NSE - NIFTY Index Options'!$B:$B,C$4)+SUMIFS('NSE - Other Index Options'!$M:$M,'NSE - Other Index Options'!$C:$C,$A29,'NSE - Other Index Options'!$B:$B,C$4)=0,"",SUMIFS('NSE - NIFTY Index Options'!$M:$M,'NSE - NIFTY Index Options'!$C:$C,$A29,'NSE - NIFTY Index Options'!$B:$B,C$4)+SUMIFS('NSE - Other Index Options'!$M:$M,'NSE - Other Index Options'!$C:$C,$A29,'NSE - Other Index Options'!$B:$B,C$4))</f>
        <v/>
      </c>
      <c r="D29" s="26">
        <f>IF(SUMIFS('NSE - NIFTY Index Options'!$M:$M,'NSE - NIFTY Index Options'!$C:$C,$A29,'NSE - NIFTY Index Options'!$B:$B,D$4)+SUMIFS('NSE - Other Index Options'!$M:$M,'NSE - Other Index Options'!$C:$C,$A29,'NSE - Other Index Options'!$B:$B,D$4)=0,"",SUMIFS('NSE - NIFTY Index Options'!$M:$M,'NSE - NIFTY Index Options'!$C:$C,$A29,'NSE - NIFTY Index Options'!$B:$B,D$4)+SUMIFS('NSE - Other Index Options'!$M:$M,'NSE - Other Index Options'!$C:$C,$A29,'NSE - Other Index Options'!$B:$B,D$4))</f>
        <v/>
      </c>
      <c r="E29" s="26">
        <f>IF(SUMIFS('NSE - NIFTY Index Options'!$M:$M,'NSE - NIFTY Index Options'!$C:$C,$A29,'NSE - NIFTY Index Options'!$B:$B,E$4)+SUMIFS('NSE - Other Index Options'!$M:$M,'NSE - Other Index Options'!$C:$C,$A29,'NSE - Other Index Options'!$B:$B,E$4)=0,"",SUMIFS('NSE - NIFTY Index Options'!$M:$M,'NSE - NIFTY Index Options'!$C:$C,$A29,'NSE - NIFTY Index Options'!$B:$B,E$4)+SUMIFS('NSE - Other Index Options'!$M:$M,'NSE - Other Index Options'!$C:$C,$A29,'NSE - Other Index Options'!$B:$B,E$4))</f>
        <v/>
      </c>
      <c r="F29" s="26">
        <f>IF(SUMIFS('NSE - NIFTY Index Options'!$M:$M,'NSE - NIFTY Index Options'!$C:$C,$A29,'NSE - NIFTY Index Options'!$B:$B,F$4)+SUMIFS('NSE - Other Index Options'!$M:$M,'NSE - Other Index Options'!$C:$C,$A29,'NSE - Other Index Options'!$B:$B,F$4)=0,"",SUMIFS('NSE - NIFTY Index Options'!$M:$M,'NSE - NIFTY Index Options'!$C:$C,$A29,'NSE - NIFTY Index Options'!$B:$B,F$4)+SUMIFS('NSE - Other Index Options'!$M:$M,'NSE - Other Index Options'!$C:$C,$A29,'NSE - Other Index Options'!$B:$B,F$4))</f>
        <v/>
      </c>
      <c r="G29" s="26">
        <f>IF(SUMIFS('NSE - NIFTY Index Options'!$M:$M,'NSE - NIFTY Index Options'!$C:$C,$A29,'NSE - NIFTY Index Options'!$B:$B,G$4)+SUMIFS('NSE - Other Index Options'!$M:$M,'NSE - Other Index Options'!$C:$C,$A29,'NSE - Other Index Options'!$B:$B,G$4)=0,"",SUMIFS('NSE - NIFTY Index Options'!$M:$M,'NSE - NIFTY Index Options'!$C:$C,$A29,'NSE - NIFTY Index Options'!$B:$B,G$4)+SUMIFS('NSE - Other Index Options'!$M:$M,'NSE - Other Index Options'!$C:$C,$A29,'NSE - Other Index Options'!$B:$B,G$4))</f>
        <v/>
      </c>
      <c r="H29" s="26">
        <f>IF(SUM(B29:G29)=0,"",SUM(B29:G29))</f>
        <v/>
      </c>
    </row>
    <row r="30">
      <c r="A30" t="inlineStr">
        <is>
          <t>Week1-Feb-2026</t>
        </is>
      </c>
      <c r="B30" s="26">
        <f>IF(SUMIFS('NSE - NIFTY Index Options'!$M:$M,'NSE - NIFTY Index Options'!$C:$C,$A30,'NSE - NIFTY Index Options'!$B:$B,B$4)+SUMIFS('NSE - Other Index Options'!$M:$M,'NSE - Other Index Options'!$C:$C,$A30,'NSE - Other Index Options'!$B:$B,B$4)=0,"",SUMIFS('NSE - NIFTY Index Options'!$M:$M,'NSE - NIFTY Index Options'!$C:$C,$A30,'NSE - NIFTY Index Options'!$B:$B,B$4)+SUMIFS('NSE - Other Index Options'!$M:$M,'NSE - Other Index Options'!$C:$C,$A30,'NSE - Other Index Options'!$B:$B,B$4))</f>
        <v/>
      </c>
      <c r="C30" s="26">
        <f>IF(SUMIFS('NSE - NIFTY Index Options'!$M:$M,'NSE - NIFTY Index Options'!$C:$C,$A30,'NSE - NIFTY Index Options'!$B:$B,C$4)+SUMIFS('NSE - Other Index Options'!$M:$M,'NSE - Other Index Options'!$C:$C,$A30,'NSE - Other Index Options'!$B:$B,C$4)=0,"",SUMIFS('NSE - NIFTY Index Options'!$M:$M,'NSE - NIFTY Index Options'!$C:$C,$A30,'NSE - NIFTY Index Options'!$B:$B,C$4)+SUMIFS('NSE - Other Index Options'!$M:$M,'NSE - Other Index Options'!$C:$C,$A30,'NSE - Other Index Options'!$B:$B,C$4))</f>
        <v/>
      </c>
      <c r="D30" s="26">
        <f>IF(SUMIFS('NSE - NIFTY Index Options'!$M:$M,'NSE - NIFTY Index Options'!$C:$C,$A30,'NSE - NIFTY Index Options'!$B:$B,D$4)+SUMIFS('NSE - Other Index Options'!$M:$M,'NSE - Other Index Options'!$C:$C,$A30,'NSE - Other Index Options'!$B:$B,D$4)=0,"",SUMIFS('NSE - NIFTY Index Options'!$M:$M,'NSE - NIFTY Index Options'!$C:$C,$A30,'NSE - NIFTY Index Options'!$B:$B,D$4)+SUMIFS('NSE - Other Index Options'!$M:$M,'NSE - Other Index Options'!$C:$C,$A30,'NSE - Other Index Options'!$B:$B,D$4))</f>
        <v/>
      </c>
      <c r="E30" s="26">
        <f>IF(SUMIFS('NSE - NIFTY Index Options'!$M:$M,'NSE - NIFTY Index Options'!$C:$C,$A30,'NSE - NIFTY Index Options'!$B:$B,E$4)+SUMIFS('NSE - Other Index Options'!$M:$M,'NSE - Other Index Options'!$C:$C,$A30,'NSE - Other Index Options'!$B:$B,E$4)=0,"",SUMIFS('NSE - NIFTY Index Options'!$M:$M,'NSE - NIFTY Index Options'!$C:$C,$A30,'NSE - NIFTY Index Options'!$B:$B,E$4)+SUMIFS('NSE - Other Index Options'!$M:$M,'NSE - Other Index Options'!$C:$C,$A30,'NSE - Other Index Options'!$B:$B,E$4))</f>
        <v/>
      </c>
      <c r="F30" s="26">
        <f>IF(SUMIFS('NSE - NIFTY Index Options'!$M:$M,'NSE - NIFTY Index Options'!$C:$C,$A30,'NSE - NIFTY Index Options'!$B:$B,F$4)+SUMIFS('NSE - Other Index Options'!$M:$M,'NSE - Other Index Options'!$C:$C,$A30,'NSE - Other Index Options'!$B:$B,F$4)=0,"",SUMIFS('NSE - NIFTY Index Options'!$M:$M,'NSE - NIFTY Index Options'!$C:$C,$A30,'NSE - NIFTY Index Options'!$B:$B,F$4)+SUMIFS('NSE - Other Index Options'!$M:$M,'NSE - Other Index Options'!$C:$C,$A30,'NSE - Other Index Options'!$B:$B,F$4))</f>
        <v/>
      </c>
      <c r="G30" s="26">
        <f>IF(SUMIFS('NSE - NIFTY Index Options'!$M:$M,'NSE - NIFTY Index Options'!$C:$C,$A30,'NSE - NIFTY Index Options'!$B:$B,G$4)+SUMIFS('NSE - Other Index Options'!$M:$M,'NSE - Other Index Options'!$C:$C,$A30,'NSE - Other Index Options'!$B:$B,G$4)=0,"",SUMIFS('NSE - NIFTY Index Options'!$M:$M,'NSE - NIFTY Index Options'!$C:$C,$A30,'NSE - NIFTY Index Options'!$B:$B,G$4)+SUMIFS('NSE - Other Index Options'!$M:$M,'NSE - Other Index Options'!$C:$C,$A30,'NSE - Other Index Options'!$B:$B,G$4))</f>
        <v/>
      </c>
      <c r="H30" s="26">
        <f>IF(SUM(B30:G30)=0,"",SUM(B30:G30))</f>
        <v/>
      </c>
    </row>
    <row r="31">
      <c r="A31" t="inlineStr">
        <is>
          <t>Week2-Feb-2026</t>
        </is>
      </c>
      <c r="B31" s="26">
        <f>IF(SUMIFS('NSE - NIFTY Index Options'!$M:$M,'NSE - NIFTY Index Options'!$C:$C,$A31,'NSE - NIFTY Index Options'!$B:$B,B$4)+SUMIFS('NSE - Other Index Options'!$M:$M,'NSE - Other Index Options'!$C:$C,$A31,'NSE - Other Index Options'!$B:$B,B$4)=0,"",SUMIFS('NSE - NIFTY Index Options'!$M:$M,'NSE - NIFTY Index Options'!$C:$C,$A31,'NSE - NIFTY Index Options'!$B:$B,B$4)+SUMIFS('NSE - Other Index Options'!$M:$M,'NSE - Other Index Options'!$C:$C,$A31,'NSE - Other Index Options'!$B:$B,B$4))</f>
        <v/>
      </c>
      <c r="C31" s="26">
        <f>IF(SUMIFS('NSE - NIFTY Index Options'!$M:$M,'NSE - NIFTY Index Options'!$C:$C,$A31,'NSE - NIFTY Index Options'!$B:$B,C$4)+SUMIFS('NSE - Other Index Options'!$M:$M,'NSE - Other Index Options'!$C:$C,$A31,'NSE - Other Index Options'!$B:$B,C$4)=0,"",SUMIFS('NSE - NIFTY Index Options'!$M:$M,'NSE - NIFTY Index Options'!$C:$C,$A31,'NSE - NIFTY Index Options'!$B:$B,C$4)+SUMIFS('NSE - Other Index Options'!$M:$M,'NSE - Other Index Options'!$C:$C,$A31,'NSE - Other Index Options'!$B:$B,C$4))</f>
        <v/>
      </c>
      <c r="D31" s="26">
        <f>IF(SUMIFS('NSE - NIFTY Index Options'!$M:$M,'NSE - NIFTY Index Options'!$C:$C,$A31,'NSE - NIFTY Index Options'!$B:$B,D$4)+SUMIFS('NSE - Other Index Options'!$M:$M,'NSE - Other Index Options'!$C:$C,$A31,'NSE - Other Index Options'!$B:$B,D$4)=0,"",SUMIFS('NSE - NIFTY Index Options'!$M:$M,'NSE - NIFTY Index Options'!$C:$C,$A31,'NSE - NIFTY Index Options'!$B:$B,D$4)+SUMIFS('NSE - Other Index Options'!$M:$M,'NSE - Other Index Options'!$C:$C,$A31,'NSE - Other Index Options'!$B:$B,D$4))</f>
        <v/>
      </c>
      <c r="E31" s="26">
        <f>IF(SUMIFS('NSE - NIFTY Index Options'!$M:$M,'NSE - NIFTY Index Options'!$C:$C,$A31,'NSE - NIFTY Index Options'!$B:$B,E$4)+SUMIFS('NSE - Other Index Options'!$M:$M,'NSE - Other Index Options'!$C:$C,$A31,'NSE - Other Index Options'!$B:$B,E$4)=0,"",SUMIFS('NSE - NIFTY Index Options'!$M:$M,'NSE - NIFTY Index Options'!$C:$C,$A31,'NSE - NIFTY Index Options'!$B:$B,E$4)+SUMIFS('NSE - Other Index Options'!$M:$M,'NSE - Other Index Options'!$C:$C,$A31,'NSE - Other Index Options'!$B:$B,E$4))</f>
        <v/>
      </c>
      <c r="F31" s="26">
        <f>IF(SUMIFS('NSE - NIFTY Index Options'!$M:$M,'NSE - NIFTY Index Options'!$C:$C,$A31,'NSE - NIFTY Index Options'!$B:$B,F$4)+SUMIFS('NSE - Other Index Options'!$M:$M,'NSE - Other Index Options'!$C:$C,$A31,'NSE - Other Index Options'!$B:$B,F$4)=0,"",SUMIFS('NSE - NIFTY Index Options'!$M:$M,'NSE - NIFTY Index Options'!$C:$C,$A31,'NSE - NIFTY Index Options'!$B:$B,F$4)+SUMIFS('NSE - Other Index Options'!$M:$M,'NSE - Other Index Options'!$C:$C,$A31,'NSE - Other Index Options'!$B:$B,F$4))</f>
        <v/>
      </c>
      <c r="G31" s="26">
        <f>IF(SUMIFS('NSE - NIFTY Index Options'!$M:$M,'NSE - NIFTY Index Options'!$C:$C,$A31,'NSE - NIFTY Index Options'!$B:$B,G$4)+SUMIFS('NSE - Other Index Options'!$M:$M,'NSE - Other Index Options'!$C:$C,$A31,'NSE - Other Index Options'!$B:$B,G$4)=0,"",SUMIFS('NSE - NIFTY Index Options'!$M:$M,'NSE - NIFTY Index Options'!$C:$C,$A31,'NSE - NIFTY Index Options'!$B:$B,G$4)+SUMIFS('NSE - Other Index Options'!$M:$M,'NSE - Other Index Options'!$C:$C,$A31,'NSE - Other Index Options'!$B:$B,G$4))</f>
        <v/>
      </c>
      <c r="H31" s="26">
        <f>IF(SUM(B31:G31)=0,"",SUM(B31:G31))</f>
        <v/>
      </c>
    </row>
    <row r="32">
      <c r="A32" t="inlineStr">
        <is>
          <t>Week3-Feb-2026</t>
        </is>
      </c>
      <c r="B32" s="26">
        <f>IF(SUMIFS('NSE - NIFTY Index Options'!$M:$M,'NSE - NIFTY Index Options'!$C:$C,$A32,'NSE - NIFTY Index Options'!$B:$B,B$4)+SUMIFS('NSE - Other Index Options'!$M:$M,'NSE - Other Index Options'!$C:$C,$A32,'NSE - Other Index Options'!$B:$B,B$4)=0,"",SUMIFS('NSE - NIFTY Index Options'!$M:$M,'NSE - NIFTY Index Options'!$C:$C,$A32,'NSE - NIFTY Index Options'!$B:$B,B$4)+SUMIFS('NSE - Other Index Options'!$M:$M,'NSE - Other Index Options'!$C:$C,$A32,'NSE - Other Index Options'!$B:$B,B$4))</f>
        <v/>
      </c>
      <c r="C32" s="26">
        <f>IF(SUMIFS('NSE - NIFTY Index Options'!$M:$M,'NSE - NIFTY Index Options'!$C:$C,$A32,'NSE - NIFTY Index Options'!$B:$B,C$4)+SUMIFS('NSE - Other Index Options'!$M:$M,'NSE - Other Index Options'!$C:$C,$A32,'NSE - Other Index Options'!$B:$B,C$4)=0,"",SUMIFS('NSE - NIFTY Index Options'!$M:$M,'NSE - NIFTY Index Options'!$C:$C,$A32,'NSE - NIFTY Index Options'!$B:$B,C$4)+SUMIFS('NSE - Other Index Options'!$M:$M,'NSE - Other Index Options'!$C:$C,$A32,'NSE - Other Index Options'!$B:$B,C$4))</f>
        <v/>
      </c>
      <c r="D32" s="26">
        <f>IF(SUMIFS('NSE - NIFTY Index Options'!$M:$M,'NSE - NIFTY Index Options'!$C:$C,$A32,'NSE - NIFTY Index Options'!$B:$B,D$4)+SUMIFS('NSE - Other Index Options'!$M:$M,'NSE - Other Index Options'!$C:$C,$A32,'NSE - Other Index Options'!$B:$B,D$4)=0,"",SUMIFS('NSE - NIFTY Index Options'!$M:$M,'NSE - NIFTY Index Options'!$C:$C,$A32,'NSE - NIFTY Index Options'!$B:$B,D$4)+SUMIFS('NSE - Other Index Options'!$M:$M,'NSE - Other Index Options'!$C:$C,$A32,'NSE - Other Index Options'!$B:$B,D$4))</f>
        <v/>
      </c>
      <c r="E32" s="26">
        <f>IF(SUMIFS('NSE - NIFTY Index Options'!$M:$M,'NSE - NIFTY Index Options'!$C:$C,$A32,'NSE - NIFTY Index Options'!$B:$B,E$4)+SUMIFS('NSE - Other Index Options'!$M:$M,'NSE - Other Index Options'!$C:$C,$A32,'NSE - Other Index Options'!$B:$B,E$4)=0,"",SUMIFS('NSE - NIFTY Index Options'!$M:$M,'NSE - NIFTY Index Options'!$C:$C,$A32,'NSE - NIFTY Index Options'!$B:$B,E$4)+SUMIFS('NSE - Other Index Options'!$M:$M,'NSE - Other Index Options'!$C:$C,$A32,'NSE - Other Index Options'!$B:$B,E$4))</f>
        <v/>
      </c>
      <c r="F32" s="26">
        <f>IF(SUMIFS('NSE - NIFTY Index Options'!$M:$M,'NSE - NIFTY Index Options'!$C:$C,$A32,'NSE - NIFTY Index Options'!$B:$B,F$4)+SUMIFS('NSE - Other Index Options'!$M:$M,'NSE - Other Index Options'!$C:$C,$A32,'NSE - Other Index Options'!$B:$B,F$4)=0,"",SUMIFS('NSE - NIFTY Index Options'!$M:$M,'NSE - NIFTY Index Options'!$C:$C,$A32,'NSE - NIFTY Index Options'!$B:$B,F$4)+SUMIFS('NSE - Other Index Options'!$M:$M,'NSE - Other Index Options'!$C:$C,$A32,'NSE - Other Index Options'!$B:$B,F$4))</f>
        <v/>
      </c>
      <c r="G32" s="26">
        <f>IF(SUMIFS('NSE - NIFTY Index Options'!$M:$M,'NSE - NIFTY Index Options'!$C:$C,$A32,'NSE - NIFTY Index Options'!$B:$B,G$4)+SUMIFS('NSE - Other Index Options'!$M:$M,'NSE - Other Index Options'!$C:$C,$A32,'NSE - Other Index Options'!$B:$B,G$4)=0,"",SUMIFS('NSE - NIFTY Index Options'!$M:$M,'NSE - NIFTY Index Options'!$C:$C,$A32,'NSE - NIFTY Index Options'!$B:$B,G$4)+SUMIFS('NSE - Other Index Options'!$M:$M,'NSE - Other Index Options'!$C:$C,$A32,'NSE - Other Index Options'!$B:$B,G$4))</f>
        <v/>
      </c>
      <c r="H32" s="26">
        <f>IF(SUM(B32:G32)=0,"",SUM(B32:G32))</f>
        <v/>
      </c>
    </row>
    <row r="33">
      <c r="A33" t="inlineStr">
        <is>
          <t>Week4-Feb-2026</t>
        </is>
      </c>
      <c r="B33" s="26">
        <f>IF(SUMIFS('NSE - NIFTY Index Options'!$M:$M,'NSE - NIFTY Index Options'!$C:$C,$A33,'NSE - NIFTY Index Options'!$B:$B,B$4)+SUMIFS('NSE - Other Index Options'!$M:$M,'NSE - Other Index Options'!$C:$C,$A33,'NSE - Other Index Options'!$B:$B,B$4)=0,"",SUMIFS('NSE - NIFTY Index Options'!$M:$M,'NSE - NIFTY Index Options'!$C:$C,$A33,'NSE - NIFTY Index Options'!$B:$B,B$4)+SUMIFS('NSE - Other Index Options'!$M:$M,'NSE - Other Index Options'!$C:$C,$A33,'NSE - Other Index Options'!$B:$B,B$4))</f>
        <v/>
      </c>
      <c r="C33" s="26">
        <f>IF(SUMIFS('NSE - NIFTY Index Options'!$M:$M,'NSE - NIFTY Index Options'!$C:$C,$A33,'NSE - NIFTY Index Options'!$B:$B,C$4)+SUMIFS('NSE - Other Index Options'!$M:$M,'NSE - Other Index Options'!$C:$C,$A33,'NSE - Other Index Options'!$B:$B,C$4)=0,"",SUMIFS('NSE - NIFTY Index Options'!$M:$M,'NSE - NIFTY Index Options'!$C:$C,$A33,'NSE - NIFTY Index Options'!$B:$B,C$4)+SUMIFS('NSE - Other Index Options'!$M:$M,'NSE - Other Index Options'!$C:$C,$A33,'NSE - Other Index Options'!$B:$B,C$4))</f>
        <v/>
      </c>
      <c r="D33" s="26">
        <f>IF(SUMIFS('NSE - NIFTY Index Options'!$M:$M,'NSE - NIFTY Index Options'!$C:$C,$A33,'NSE - NIFTY Index Options'!$B:$B,D$4)+SUMIFS('NSE - Other Index Options'!$M:$M,'NSE - Other Index Options'!$C:$C,$A33,'NSE - Other Index Options'!$B:$B,D$4)=0,"",SUMIFS('NSE - NIFTY Index Options'!$M:$M,'NSE - NIFTY Index Options'!$C:$C,$A33,'NSE - NIFTY Index Options'!$B:$B,D$4)+SUMIFS('NSE - Other Index Options'!$M:$M,'NSE - Other Index Options'!$C:$C,$A33,'NSE - Other Index Options'!$B:$B,D$4))</f>
        <v/>
      </c>
      <c r="E33" s="26">
        <f>IF(SUMIFS('NSE - NIFTY Index Options'!$M:$M,'NSE - NIFTY Index Options'!$C:$C,$A33,'NSE - NIFTY Index Options'!$B:$B,E$4)+SUMIFS('NSE - Other Index Options'!$M:$M,'NSE - Other Index Options'!$C:$C,$A33,'NSE - Other Index Options'!$B:$B,E$4)=0,"",SUMIFS('NSE - NIFTY Index Options'!$M:$M,'NSE - NIFTY Index Options'!$C:$C,$A33,'NSE - NIFTY Index Options'!$B:$B,E$4)+SUMIFS('NSE - Other Index Options'!$M:$M,'NSE - Other Index Options'!$C:$C,$A33,'NSE - Other Index Options'!$B:$B,E$4))</f>
        <v/>
      </c>
      <c r="F33" s="26">
        <f>IF(SUMIFS('NSE - NIFTY Index Options'!$M:$M,'NSE - NIFTY Index Options'!$C:$C,$A33,'NSE - NIFTY Index Options'!$B:$B,F$4)+SUMIFS('NSE - Other Index Options'!$M:$M,'NSE - Other Index Options'!$C:$C,$A33,'NSE - Other Index Options'!$B:$B,F$4)=0,"",SUMIFS('NSE - NIFTY Index Options'!$M:$M,'NSE - NIFTY Index Options'!$C:$C,$A33,'NSE - NIFTY Index Options'!$B:$B,F$4)+SUMIFS('NSE - Other Index Options'!$M:$M,'NSE - Other Index Options'!$C:$C,$A33,'NSE - Other Index Options'!$B:$B,F$4))</f>
        <v/>
      </c>
      <c r="G33" s="26">
        <f>IF(SUMIFS('NSE - NIFTY Index Options'!$M:$M,'NSE - NIFTY Index Options'!$C:$C,$A33,'NSE - NIFTY Index Options'!$B:$B,G$4)+SUMIFS('NSE - Other Index Options'!$M:$M,'NSE - Other Index Options'!$C:$C,$A33,'NSE - Other Index Options'!$B:$B,G$4)=0,"",SUMIFS('NSE - NIFTY Index Options'!$M:$M,'NSE - NIFTY Index Options'!$C:$C,$A33,'NSE - NIFTY Index Options'!$B:$B,G$4)+SUMIFS('NSE - Other Index Options'!$M:$M,'NSE - Other Index Options'!$C:$C,$A33,'NSE - Other Index Options'!$B:$B,G$4))</f>
        <v/>
      </c>
      <c r="H33" s="26">
        <f>IF(SUM(B33:G33)=0,"",SUM(B33:G33))</f>
        <v/>
      </c>
    </row>
    <row r="34">
      <c r="A34" t="inlineStr">
        <is>
          <t>Week1-Mar-2026</t>
        </is>
      </c>
      <c r="B34" s="26">
        <f>IF(SUMIFS('NSE - NIFTY Index Options'!$M:$M,'NSE - NIFTY Index Options'!$C:$C,$A34,'NSE - NIFTY Index Options'!$B:$B,B$4)+SUMIFS('NSE - Other Index Options'!$M:$M,'NSE - Other Index Options'!$C:$C,$A34,'NSE - Other Index Options'!$B:$B,B$4)=0,"",SUMIFS('NSE - NIFTY Index Options'!$M:$M,'NSE - NIFTY Index Options'!$C:$C,$A34,'NSE - NIFTY Index Options'!$B:$B,B$4)+SUMIFS('NSE - Other Index Options'!$M:$M,'NSE - Other Index Options'!$C:$C,$A34,'NSE - Other Index Options'!$B:$B,B$4))</f>
        <v/>
      </c>
      <c r="C34" s="26">
        <f>IF(SUMIFS('NSE - NIFTY Index Options'!$M:$M,'NSE - NIFTY Index Options'!$C:$C,$A34,'NSE - NIFTY Index Options'!$B:$B,C$4)+SUMIFS('NSE - Other Index Options'!$M:$M,'NSE - Other Index Options'!$C:$C,$A34,'NSE - Other Index Options'!$B:$B,C$4)=0,"",SUMIFS('NSE - NIFTY Index Options'!$M:$M,'NSE - NIFTY Index Options'!$C:$C,$A34,'NSE - NIFTY Index Options'!$B:$B,C$4)+SUMIFS('NSE - Other Index Options'!$M:$M,'NSE - Other Index Options'!$C:$C,$A34,'NSE - Other Index Options'!$B:$B,C$4))</f>
        <v/>
      </c>
      <c r="D34" s="26">
        <f>IF(SUMIFS('NSE - NIFTY Index Options'!$M:$M,'NSE - NIFTY Index Options'!$C:$C,$A34,'NSE - NIFTY Index Options'!$B:$B,D$4)+SUMIFS('NSE - Other Index Options'!$M:$M,'NSE - Other Index Options'!$C:$C,$A34,'NSE - Other Index Options'!$B:$B,D$4)=0,"",SUMIFS('NSE - NIFTY Index Options'!$M:$M,'NSE - NIFTY Index Options'!$C:$C,$A34,'NSE - NIFTY Index Options'!$B:$B,D$4)+SUMIFS('NSE - Other Index Options'!$M:$M,'NSE - Other Index Options'!$C:$C,$A34,'NSE - Other Index Options'!$B:$B,D$4))</f>
        <v/>
      </c>
      <c r="E34" s="26">
        <f>IF(SUMIFS('NSE - NIFTY Index Options'!$M:$M,'NSE - NIFTY Index Options'!$C:$C,$A34,'NSE - NIFTY Index Options'!$B:$B,E$4)+SUMIFS('NSE - Other Index Options'!$M:$M,'NSE - Other Index Options'!$C:$C,$A34,'NSE - Other Index Options'!$B:$B,E$4)=0,"",SUMIFS('NSE - NIFTY Index Options'!$M:$M,'NSE - NIFTY Index Options'!$C:$C,$A34,'NSE - NIFTY Index Options'!$B:$B,E$4)+SUMIFS('NSE - Other Index Options'!$M:$M,'NSE - Other Index Options'!$C:$C,$A34,'NSE - Other Index Options'!$B:$B,E$4))</f>
        <v/>
      </c>
      <c r="F34" s="26">
        <f>IF(SUMIFS('NSE - NIFTY Index Options'!$M:$M,'NSE - NIFTY Index Options'!$C:$C,$A34,'NSE - NIFTY Index Options'!$B:$B,F$4)+SUMIFS('NSE - Other Index Options'!$M:$M,'NSE - Other Index Options'!$C:$C,$A34,'NSE - Other Index Options'!$B:$B,F$4)=0,"",SUMIFS('NSE - NIFTY Index Options'!$M:$M,'NSE - NIFTY Index Options'!$C:$C,$A34,'NSE - NIFTY Index Options'!$B:$B,F$4)+SUMIFS('NSE - Other Index Options'!$M:$M,'NSE - Other Index Options'!$C:$C,$A34,'NSE - Other Index Options'!$B:$B,F$4))</f>
        <v/>
      </c>
      <c r="G34" s="26">
        <f>IF(SUMIFS('NSE - NIFTY Index Options'!$M:$M,'NSE - NIFTY Index Options'!$C:$C,$A34,'NSE - NIFTY Index Options'!$B:$B,G$4)+SUMIFS('NSE - Other Index Options'!$M:$M,'NSE - Other Index Options'!$C:$C,$A34,'NSE - Other Index Options'!$B:$B,G$4)=0,"",SUMIFS('NSE - NIFTY Index Options'!$M:$M,'NSE - NIFTY Index Options'!$C:$C,$A34,'NSE - NIFTY Index Options'!$B:$B,G$4)+SUMIFS('NSE - Other Index Options'!$M:$M,'NSE - Other Index Options'!$C:$C,$A34,'NSE - Other Index Options'!$B:$B,G$4))</f>
        <v/>
      </c>
      <c r="H34" s="26">
        <f>IF(SUM(B34:G34)=0,"",SUM(B34:G34))</f>
        <v/>
      </c>
    </row>
    <row r="35">
      <c r="A35" t="inlineStr">
        <is>
          <t>Week2-Mar-2026</t>
        </is>
      </c>
      <c r="B35" s="26">
        <f>IF(SUMIFS('NSE - NIFTY Index Options'!$M:$M,'NSE - NIFTY Index Options'!$C:$C,$A35,'NSE - NIFTY Index Options'!$B:$B,B$4)+SUMIFS('NSE - Other Index Options'!$M:$M,'NSE - Other Index Options'!$C:$C,$A35,'NSE - Other Index Options'!$B:$B,B$4)=0,"",SUMIFS('NSE - NIFTY Index Options'!$M:$M,'NSE - NIFTY Index Options'!$C:$C,$A35,'NSE - NIFTY Index Options'!$B:$B,B$4)+SUMIFS('NSE - Other Index Options'!$M:$M,'NSE - Other Index Options'!$C:$C,$A35,'NSE - Other Index Options'!$B:$B,B$4))</f>
        <v/>
      </c>
      <c r="C35" s="26">
        <f>IF(SUMIFS('NSE - NIFTY Index Options'!$M:$M,'NSE - NIFTY Index Options'!$C:$C,$A35,'NSE - NIFTY Index Options'!$B:$B,C$4)+SUMIFS('NSE - Other Index Options'!$M:$M,'NSE - Other Index Options'!$C:$C,$A35,'NSE - Other Index Options'!$B:$B,C$4)=0,"",SUMIFS('NSE - NIFTY Index Options'!$M:$M,'NSE - NIFTY Index Options'!$C:$C,$A35,'NSE - NIFTY Index Options'!$B:$B,C$4)+SUMIFS('NSE - Other Index Options'!$M:$M,'NSE - Other Index Options'!$C:$C,$A35,'NSE - Other Index Options'!$B:$B,C$4))</f>
        <v/>
      </c>
      <c r="D35" s="26">
        <f>IF(SUMIFS('NSE - NIFTY Index Options'!$M:$M,'NSE - NIFTY Index Options'!$C:$C,$A35,'NSE - NIFTY Index Options'!$B:$B,D$4)+SUMIFS('NSE - Other Index Options'!$M:$M,'NSE - Other Index Options'!$C:$C,$A35,'NSE - Other Index Options'!$B:$B,D$4)=0,"",SUMIFS('NSE - NIFTY Index Options'!$M:$M,'NSE - NIFTY Index Options'!$C:$C,$A35,'NSE - NIFTY Index Options'!$B:$B,D$4)+SUMIFS('NSE - Other Index Options'!$M:$M,'NSE - Other Index Options'!$C:$C,$A35,'NSE - Other Index Options'!$B:$B,D$4))</f>
        <v/>
      </c>
      <c r="E35" s="26">
        <f>IF(SUMIFS('NSE - NIFTY Index Options'!$M:$M,'NSE - NIFTY Index Options'!$C:$C,$A35,'NSE - NIFTY Index Options'!$B:$B,E$4)+SUMIFS('NSE - Other Index Options'!$M:$M,'NSE - Other Index Options'!$C:$C,$A35,'NSE - Other Index Options'!$B:$B,E$4)=0,"",SUMIFS('NSE - NIFTY Index Options'!$M:$M,'NSE - NIFTY Index Options'!$C:$C,$A35,'NSE - NIFTY Index Options'!$B:$B,E$4)+SUMIFS('NSE - Other Index Options'!$M:$M,'NSE - Other Index Options'!$C:$C,$A35,'NSE - Other Index Options'!$B:$B,E$4))</f>
        <v/>
      </c>
      <c r="F35" s="26">
        <f>IF(SUMIFS('NSE - NIFTY Index Options'!$M:$M,'NSE - NIFTY Index Options'!$C:$C,$A35,'NSE - NIFTY Index Options'!$B:$B,F$4)+SUMIFS('NSE - Other Index Options'!$M:$M,'NSE - Other Index Options'!$C:$C,$A35,'NSE - Other Index Options'!$B:$B,F$4)=0,"",SUMIFS('NSE - NIFTY Index Options'!$M:$M,'NSE - NIFTY Index Options'!$C:$C,$A35,'NSE - NIFTY Index Options'!$B:$B,F$4)+SUMIFS('NSE - Other Index Options'!$M:$M,'NSE - Other Index Options'!$C:$C,$A35,'NSE - Other Index Options'!$B:$B,F$4))</f>
        <v/>
      </c>
      <c r="G35" s="26">
        <f>IF(SUMIFS('NSE - NIFTY Index Options'!$M:$M,'NSE - NIFTY Index Options'!$C:$C,$A35,'NSE - NIFTY Index Options'!$B:$B,G$4)+SUMIFS('NSE - Other Index Options'!$M:$M,'NSE - Other Index Options'!$C:$C,$A35,'NSE - Other Index Options'!$B:$B,G$4)=0,"",SUMIFS('NSE - NIFTY Index Options'!$M:$M,'NSE - NIFTY Index Options'!$C:$C,$A35,'NSE - NIFTY Index Options'!$B:$B,G$4)+SUMIFS('NSE - Other Index Options'!$M:$M,'NSE - Other Index Options'!$C:$C,$A35,'NSE - Other Index Options'!$B:$B,G$4))</f>
        <v/>
      </c>
      <c r="H35" s="26">
        <f>IF(SUM(B35:G35)=0,"",SUM(B35:G35))</f>
        <v/>
      </c>
    </row>
    <row r="36">
      <c r="A36" t="inlineStr">
        <is>
          <t>Week3-Mar-2026</t>
        </is>
      </c>
      <c r="B36" s="26">
        <f>IF(SUMIFS('NSE - NIFTY Index Options'!$M:$M,'NSE - NIFTY Index Options'!$C:$C,$A36,'NSE - NIFTY Index Options'!$B:$B,B$4)+SUMIFS('NSE - Other Index Options'!$M:$M,'NSE - Other Index Options'!$C:$C,$A36,'NSE - Other Index Options'!$B:$B,B$4)=0,"",SUMIFS('NSE - NIFTY Index Options'!$M:$M,'NSE - NIFTY Index Options'!$C:$C,$A36,'NSE - NIFTY Index Options'!$B:$B,B$4)+SUMIFS('NSE - Other Index Options'!$M:$M,'NSE - Other Index Options'!$C:$C,$A36,'NSE - Other Index Options'!$B:$B,B$4))</f>
        <v/>
      </c>
      <c r="C36" s="26">
        <f>IF(SUMIFS('NSE - NIFTY Index Options'!$M:$M,'NSE - NIFTY Index Options'!$C:$C,$A36,'NSE - NIFTY Index Options'!$B:$B,C$4)+SUMIFS('NSE - Other Index Options'!$M:$M,'NSE - Other Index Options'!$C:$C,$A36,'NSE - Other Index Options'!$B:$B,C$4)=0,"",SUMIFS('NSE - NIFTY Index Options'!$M:$M,'NSE - NIFTY Index Options'!$C:$C,$A36,'NSE - NIFTY Index Options'!$B:$B,C$4)+SUMIFS('NSE - Other Index Options'!$M:$M,'NSE - Other Index Options'!$C:$C,$A36,'NSE - Other Index Options'!$B:$B,C$4))</f>
        <v/>
      </c>
      <c r="D36" s="26">
        <f>IF(SUMIFS('NSE - NIFTY Index Options'!$M:$M,'NSE - NIFTY Index Options'!$C:$C,$A36,'NSE - NIFTY Index Options'!$B:$B,D$4)+SUMIFS('NSE - Other Index Options'!$M:$M,'NSE - Other Index Options'!$C:$C,$A36,'NSE - Other Index Options'!$B:$B,D$4)=0,"",SUMIFS('NSE - NIFTY Index Options'!$M:$M,'NSE - NIFTY Index Options'!$C:$C,$A36,'NSE - NIFTY Index Options'!$B:$B,D$4)+SUMIFS('NSE - Other Index Options'!$M:$M,'NSE - Other Index Options'!$C:$C,$A36,'NSE - Other Index Options'!$B:$B,D$4))</f>
        <v/>
      </c>
      <c r="E36" s="26">
        <f>IF(SUMIFS('NSE - NIFTY Index Options'!$M:$M,'NSE - NIFTY Index Options'!$C:$C,$A36,'NSE - NIFTY Index Options'!$B:$B,E$4)+SUMIFS('NSE - Other Index Options'!$M:$M,'NSE - Other Index Options'!$C:$C,$A36,'NSE - Other Index Options'!$B:$B,E$4)=0,"",SUMIFS('NSE - NIFTY Index Options'!$M:$M,'NSE - NIFTY Index Options'!$C:$C,$A36,'NSE - NIFTY Index Options'!$B:$B,E$4)+SUMIFS('NSE - Other Index Options'!$M:$M,'NSE - Other Index Options'!$C:$C,$A36,'NSE - Other Index Options'!$B:$B,E$4))</f>
        <v/>
      </c>
      <c r="F36" s="26">
        <f>IF(SUMIFS('NSE - NIFTY Index Options'!$M:$M,'NSE - NIFTY Index Options'!$C:$C,$A36,'NSE - NIFTY Index Options'!$B:$B,F$4)+SUMIFS('NSE - Other Index Options'!$M:$M,'NSE - Other Index Options'!$C:$C,$A36,'NSE - Other Index Options'!$B:$B,F$4)=0,"",SUMIFS('NSE - NIFTY Index Options'!$M:$M,'NSE - NIFTY Index Options'!$C:$C,$A36,'NSE - NIFTY Index Options'!$B:$B,F$4)+SUMIFS('NSE - Other Index Options'!$M:$M,'NSE - Other Index Options'!$C:$C,$A36,'NSE - Other Index Options'!$B:$B,F$4))</f>
        <v/>
      </c>
      <c r="G36" s="26">
        <f>IF(SUMIFS('NSE - NIFTY Index Options'!$M:$M,'NSE - NIFTY Index Options'!$C:$C,$A36,'NSE - NIFTY Index Options'!$B:$B,G$4)+SUMIFS('NSE - Other Index Options'!$M:$M,'NSE - Other Index Options'!$C:$C,$A36,'NSE - Other Index Options'!$B:$B,G$4)=0,"",SUMIFS('NSE - NIFTY Index Options'!$M:$M,'NSE - NIFTY Index Options'!$C:$C,$A36,'NSE - NIFTY Index Options'!$B:$B,G$4)+SUMIFS('NSE - Other Index Options'!$M:$M,'NSE - Other Index Options'!$C:$C,$A36,'NSE - Other Index Options'!$B:$B,G$4))</f>
        <v/>
      </c>
      <c r="H36" s="26">
        <f>IF(SUM(B36:G36)=0,"",SUM(B36:G36))</f>
        <v/>
      </c>
    </row>
    <row r="37">
      <c r="A37" t="inlineStr">
        <is>
          <t>Week4-Mar-2026</t>
        </is>
      </c>
      <c r="B37" s="26">
        <f>IF(SUMIFS('NSE - NIFTY Index Options'!$M:$M,'NSE - NIFTY Index Options'!$C:$C,$A37,'NSE - NIFTY Index Options'!$B:$B,B$4)+SUMIFS('NSE - Other Index Options'!$M:$M,'NSE - Other Index Options'!$C:$C,$A37,'NSE - Other Index Options'!$B:$B,B$4)=0,"",SUMIFS('NSE - NIFTY Index Options'!$M:$M,'NSE - NIFTY Index Options'!$C:$C,$A37,'NSE - NIFTY Index Options'!$B:$B,B$4)+SUMIFS('NSE - Other Index Options'!$M:$M,'NSE - Other Index Options'!$C:$C,$A37,'NSE - Other Index Options'!$B:$B,B$4))</f>
        <v/>
      </c>
      <c r="C37" s="26">
        <f>IF(SUMIFS('NSE - NIFTY Index Options'!$M:$M,'NSE - NIFTY Index Options'!$C:$C,$A37,'NSE - NIFTY Index Options'!$B:$B,C$4)+SUMIFS('NSE - Other Index Options'!$M:$M,'NSE - Other Index Options'!$C:$C,$A37,'NSE - Other Index Options'!$B:$B,C$4)=0,"",SUMIFS('NSE - NIFTY Index Options'!$M:$M,'NSE - NIFTY Index Options'!$C:$C,$A37,'NSE - NIFTY Index Options'!$B:$B,C$4)+SUMIFS('NSE - Other Index Options'!$M:$M,'NSE - Other Index Options'!$C:$C,$A37,'NSE - Other Index Options'!$B:$B,C$4))</f>
        <v/>
      </c>
      <c r="D37" s="26">
        <f>IF(SUMIFS('NSE - NIFTY Index Options'!$M:$M,'NSE - NIFTY Index Options'!$C:$C,$A37,'NSE - NIFTY Index Options'!$B:$B,D$4)+SUMIFS('NSE - Other Index Options'!$M:$M,'NSE - Other Index Options'!$C:$C,$A37,'NSE - Other Index Options'!$B:$B,D$4)=0,"",SUMIFS('NSE - NIFTY Index Options'!$M:$M,'NSE - NIFTY Index Options'!$C:$C,$A37,'NSE - NIFTY Index Options'!$B:$B,D$4)+SUMIFS('NSE - Other Index Options'!$M:$M,'NSE - Other Index Options'!$C:$C,$A37,'NSE - Other Index Options'!$B:$B,D$4))</f>
        <v/>
      </c>
      <c r="E37" s="26">
        <f>IF(SUMIFS('NSE - NIFTY Index Options'!$M:$M,'NSE - NIFTY Index Options'!$C:$C,$A37,'NSE - NIFTY Index Options'!$B:$B,E$4)+SUMIFS('NSE - Other Index Options'!$M:$M,'NSE - Other Index Options'!$C:$C,$A37,'NSE - Other Index Options'!$B:$B,E$4)=0,"",SUMIFS('NSE - NIFTY Index Options'!$M:$M,'NSE - NIFTY Index Options'!$C:$C,$A37,'NSE - NIFTY Index Options'!$B:$B,E$4)+SUMIFS('NSE - Other Index Options'!$M:$M,'NSE - Other Index Options'!$C:$C,$A37,'NSE - Other Index Options'!$B:$B,E$4))</f>
        <v/>
      </c>
      <c r="F37" s="26">
        <f>IF(SUMIFS('NSE - NIFTY Index Options'!$M:$M,'NSE - NIFTY Index Options'!$C:$C,$A37,'NSE - NIFTY Index Options'!$B:$B,F$4)+SUMIFS('NSE - Other Index Options'!$M:$M,'NSE - Other Index Options'!$C:$C,$A37,'NSE - Other Index Options'!$B:$B,F$4)=0,"",SUMIFS('NSE - NIFTY Index Options'!$M:$M,'NSE - NIFTY Index Options'!$C:$C,$A37,'NSE - NIFTY Index Options'!$B:$B,F$4)+SUMIFS('NSE - Other Index Options'!$M:$M,'NSE - Other Index Options'!$C:$C,$A37,'NSE - Other Index Options'!$B:$B,F$4))</f>
        <v/>
      </c>
      <c r="G37" s="26">
        <f>IF(SUMIFS('NSE - NIFTY Index Options'!$M:$M,'NSE - NIFTY Index Options'!$C:$C,$A37,'NSE - NIFTY Index Options'!$B:$B,G$4)+SUMIFS('NSE - Other Index Options'!$M:$M,'NSE - Other Index Options'!$C:$C,$A37,'NSE - Other Index Options'!$B:$B,G$4)=0,"",SUMIFS('NSE - NIFTY Index Options'!$M:$M,'NSE - NIFTY Index Options'!$C:$C,$A37,'NSE - NIFTY Index Options'!$B:$B,G$4)+SUMIFS('NSE - Other Index Options'!$M:$M,'NSE - Other Index Options'!$C:$C,$A37,'NSE - Other Index Options'!$B:$B,G$4))</f>
        <v/>
      </c>
      <c r="H37" s="26">
        <f>IF(SUM(B37:G37)=0,"",SUM(B37:G37))</f>
        <v/>
      </c>
    </row>
    <row r="38">
      <c r="A38" t="inlineStr">
        <is>
          <t>Week5-Mar-2026</t>
        </is>
      </c>
      <c r="B38" s="26">
        <f>IF(SUMIFS('NSE - NIFTY Index Options'!$M:$M,'NSE - NIFTY Index Options'!$C:$C,$A38,'NSE - NIFTY Index Options'!$B:$B,B$4)+SUMIFS('NSE - Other Index Options'!$M:$M,'NSE - Other Index Options'!$C:$C,$A38,'NSE - Other Index Options'!$B:$B,B$4)=0,"",SUMIFS('NSE - NIFTY Index Options'!$M:$M,'NSE - NIFTY Index Options'!$C:$C,$A38,'NSE - NIFTY Index Options'!$B:$B,B$4)+SUMIFS('NSE - Other Index Options'!$M:$M,'NSE - Other Index Options'!$C:$C,$A38,'NSE - Other Index Options'!$B:$B,B$4))</f>
        <v/>
      </c>
      <c r="C38" s="26">
        <f>IF(SUMIFS('NSE - NIFTY Index Options'!$M:$M,'NSE - NIFTY Index Options'!$C:$C,$A38,'NSE - NIFTY Index Options'!$B:$B,C$4)+SUMIFS('NSE - Other Index Options'!$M:$M,'NSE - Other Index Options'!$C:$C,$A38,'NSE - Other Index Options'!$B:$B,C$4)=0,"",SUMIFS('NSE - NIFTY Index Options'!$M:$M,'NSE - NIFTY Index Options'!$C:$C,$A38,'NSE - NIFTY Index Options'!$B:$B,C$4)+SUMIFS('NSE - Other Index Options'!$M:$M,'NSE - Other Index Options'!$C:$C,$A38,'NSE - Other Index Options'!$B:$B,C$4))</f>
        <v/>
      </c>
      <c r="D38" s="26">
        <f>IF(SUMIFS('NSE - NIFTY Index Options'!$M:$M,'NSE - NIFTY Index Options'!$C:$C,$A38,'NSE - NIFTY Index Options'!$B:$B,D$4)+SUMIFS('NSE - Other Index Options'!$M:$M,'NSE - Other Index Options'!$C:$C,$A38,'NSE - Other Index Options'!$B:$B,D$4)=0,"",SUMIFS('NSE - NIFTY Index Options'!$M:$M,'NSE - NIFTY Index Options'!$C:$C,$A38,'NSE - NIFTY Index Options'!$B:$B,D$4)+SUMIFS('NSE - Other Index Options'!$M:$M,'NSE - Other Index Options'!$C:$C,$A38,'NSE - Other Index Options'!$B:$B,D$4))</f>
        <v/>
      </c>
      <c r="E38" s="26">
        <f>IF(SUMIFS('NSE - NIFTY Index Options'!$M:$M,'NSE - NIFTY Index Options'!$C:$C,$A38,'NSE - NIFTY Index Options'!$B:$B,E$4)+SUMIFS('NSE - Other Index Options'!$M:$M,'NSE - Other Index Options'!$C:$C,$A38,'NSE - Other Index Options'!$B:$B,E$4)=0,"",SUMIFS('NSE - NIFTY Index Options'!$M:$M,'NSE - NIFTY Index Options'!$C:$C,$A38,'NSE - NIFTY Index Options'!$B:$B,E$4)+SUMIFS('NSE - Other Index Options'!$M:$M,'NSE - Other Index Options'!$C:$C,$A38,'NSE - Other Index Options'!$B:$B,E$4))</f>
        <v/>
      </c>
      <c r="F38" s="26">
        <f>IF(SUMIFS('NSE - NIFTY Index Options'!$M:$M,'NSE - NIFTY Index Options'!$C:$C,$A38,'NSE - NIFTY Index Options'!$B:$B,F$4)+SUMIFS('NSE - Other Index Options'!$M:$M,'NSE - Other Index Options'!$C:$C,$A38,'NSE - Other Index Options'!$B:$B,F$4)=0,"",SUMIFS('NSE - NIFTY Index Options'!$M:$M,'NSE - NIFTY Index Options'!$C:$C,$A38,'NSE - NIFTY Index Options'!$B:$B,F$4)+SUMIFS('NSE - Other Index Options'!$M:$M,'NSE - Other Index Options'!$C:$C,$A38,'NSE - Other Index Options'!$B:$B,F$4))</f>
        <v/>
      </c>
      <c r="G38" s="26">
        <f>IF(SUMIFS('NSE - NIFTY Index Options'!$M:$M,'NSE - NIFTY Index Options'!$C:$C,$A38,'NSE - NIFTY Index Options'!$B:$B,G$4)+SUMIFS('NSE - Other Index Options'!$M:$M,'NSE - Other Index Options'!$C:$C,$A38,'NSE - Other Index Options'!$B:$B,G$4)=0,"",SUMIFS('NSE - NIFTY Index Options'!$M:$M,'NSE - NIFTY Index Options'!$C:$C,$A38,'NSE - NIFTY Index Options'!$B:$B,G$4)+SUMIFS('NSE - Other Index Options'!$M:$M,'NSE - Other Index Options'!$C:$C,$A38,'NSE - Other Index Options'!$B:$B,G$4))</f>
        <v/>
      </c>
      <c r="H38" s="26">
        <f>IF(SUM(B38:G38)=0,"",SUM(B38:G38))</f>
        <v/>
      </c>
    </row>
    <row r="39">
      <c r="A39" t="inlineStr">
        <is>
          <t>Week1-Apr-2026</t>
        </is>
      </c>
      <c r="B39" s="26">
        <f>IF(SUMIFS('NSE - NIFTY Index Options'!$M:$M,'NSE - NIFTY Index Options'!$C:$C,$A39,'NSE - NIFTY Index Options'!$B:$B,B$4)+SUMIFS('NSE - Other Index Options'!$M:$M,'NSE - Other Index Options'!$C:$C,$A39,'NSE - Other Index Options'!$B:$B,B$4)=0,"",SUMIFS('NSE - NIFTY Index Options'!$M:$M,'NSE - NIFTY Index Options'!$C:$C,$A39,'NSE - NIFTY Index Options'!$B:$B,B$4)+SUMIFS('NSE - Other Index Options'!$M:$M,'NSE - Other Index Options'!$C:$C,$A39,'NSE - Other Index Options'!$B:$B,B$4))</f>
        <v/>
      </c>
      <c r="C39" s="26">
        <f>IF(SUMIFS('NSE - NIFTY Index Options'!$M:$M,'NSE - NIFTY Index Options'!$C:$C,$A39,'NSE - NIFTY Index Options'!$B:$B,C$4)+SUMIFS('NSE - Other Index Options'!$M:$M,'NSE - Other Index Options'!$C:$C,$A39,'NSE - Other Index Options'!$B:$B,C$4)=0,"",SUMIFS('NSE - NIFTY Index Options'!$M:$M,'NSE - NIFTY Index Options'!$C:$C,$A39,'NSE - NIFTY Index Options'!$B:$B,C$4)+SUMIFS('NSE - Other Index Options'!$M:$M,'NSE - Other Index Options'!$C:$C,$A39,'NSE - Other Index Options'!$B:$B,C$4))</f>
        <v/>
      </c>
      <c r="D39" s="26">
        <f>IF(SUMIFS('NSE - NIFTY Index Options'!$M:$M,'NSE - NIFTY Index Options'!$C:$C,$A39,'NSE - NIFTY Index Options'!$B:$B,D$4)+SUMIFS('NSE - Other Index Options'!$M:$M,'NSE - Other Index Options'!$C:$C,$A39,'NSE - Other Index Options'!$B:$B,D$4)=0,"",SUMIFS('NSE - NIFTY Index Options'!$M:$M,'NSE - NIFTY Index Options'!$C:$C,$A39,'NSE - NIFTY Index Options'!$B:$B,D$4)+SUMIFS('NSE - Other Index Options'!$M:$M,'NSE - Other Index Options'!$C:$C,$A39,'NSE - Other Index Options'!$B:$B,D$4))</f>
        <v/>
      </c>
      <c r="E39" s="26">
        <f>IF(SUMIFS('NSE - NIFTY Index Options'!$M:$M,'NSE - NIFTY Index Options'!$C:$C,$A39,'NSE - NIFTY Index Options'!$B:$B,E$4)+SUMIFS('NSE - Other Index Options'!$M:$M,'NSE - Other Index Options'!$C:$C,$A39,'NSE - Other Index Options'!$B:$B,E$4)=0,"",SUMIFS('NSE - NIFTY Index Options'!$M:$M,'NSE - NIFTY Index Options'!$C:$C,$A39,'NSE - NIFTY Index Options'!$B:$B,E$4)+SUMIFS('NSE - Other Index Options'!$M:$M,'NSE - Other Index Options'!$C:$C,$A39,'NSE - Other Index Options'!$B:$B,E$4))</f>
        <v/>
      </c>
      <c r="F39" s="26">
        <f>IF(SUMIFS('NSE - NIFTY Index Options'!$M:$M,'NSE - NIFTY Index Options'!$C:$C,$A39,'NSE - NIFTY Index Options'!$B:$B,F$4)+SUMIFS('NSE - Other Index Options'!$M:$M,'NSE - Other Index Options'!$C:$C,$A39,'NSE - Other Index Options'!$B:$B,F$4)=0,"",SUMIFS('NSE - NIFTY Index Options'!$M:$M,'NSE - NIFTY Index Options'!$C:$C,$A39,'NSE - NIFTY Index Options'!$B:$B,F$4)+SUMIFS('NSE - Other Index Options'!$M:$M,'NSE - Other Index Options'!$C:$C,$A39,'NSE - Other Index Options'!$B:$B,F$4))</f>
        <v/>
      </c>
      <c r="G39" s="26">
        <f>IF(SUMIFS('NSE - NIFTY Index Options'!$M:$M,'NSE - NIFTY Index Options'!$C:$C,$A39,'NSE - NIFTY Index Options'!$B:$B,G$4)+SUMIFS('NSE - Other Index Options'!$M:$M,'NSE - Other Index Options'!$C:$C,$A39,'NSE - Other Index Options'!$B:$B,G$4)=0,"",SUMIFS('NSE - NIFTY Index Options'!$M:$M,'NSE - NIFTY Index Options'!$C:$C,$A39,'NSE - NIFTY Index Options'!$B:$B,G$4)+SUMIFS('NSE - Other Index Options'!$M:$M,'NSE - Other Index Options'!$C:$C,$A39,'NSE - Other Index Options'!$B:$B,G$4))</f>
        <v/>
      </c>
      <c r="H39" s="26">
        <f>IF(SUM(B39:G39)=0,"",SUM(B39:G39))</f>
        <v/>
      </c>
    </row>
    <row r="40">
      <c r="A40" t="inlineStr">
        <is>
          <t>Week2-Apr-2026</t>
        </is>
      </c>
      <c r="B40" s="26">
        <f>IF(SUMIFS('NSE - NIFTY Index Options'!$M:$M,'NSE - NIFTY Index Options'!$C:$C,$A40,'NSE - NIFTY Index Options'!$B:$B,B$4)+SUMIFS('NSE - Other Index Options'!$M:$M,'NSE - Other Index Options'!$C:$C,$A40,'NSE - Other Index Options'!$B:$B,B$4)=0,"",SUMIFS('NSE - NIFTY Index Options'!$M:$M,'NSE - NIFTY Index Options'!$C:$C,$A40,'NSE - NIFTY Index Options'!$B:$B,B$4)+SUMIFS('NSE - Other Index Options'!$M:$M,'NSE - Other Index Options'!$C:$C,$A40,'NSE - Other Index Options'!$B:$B,B$4))</f>
        <v/>
      </c>
      <c r="C40" s="26">
        <f>IF(SUMIFS('NSE - NIFTY Index Options'!$M:$M,'NSE - NIFTY Index Options'!$C:$C,$A40,'NSE - NIFTY Index Options'!$B:$B,C$4)+SUMIFS('NSE - Other Index Options'!$M:$M,'NSE - Other Index Options'!$C:$C,$A40,'NSE - Other Index Options'!$B:$B,C$4)=0,"",SUMIFS('NSE - NIFTY Index Options'!$M:$M,'NSE - NIFTY Index Options'!$C:$C,$A40,'NSE - NIFTY Index Options'!$B:$B,C$4)+SUMIFS('NSE - Other Index Options'!$M:$M,'NSE - Other Index Options'!$C:$C,$A40,'NSE - Other Index Options'!$B:$B,C$4))</f>
        <v/>
      </c>
      <c r="D40" s="26">
        <f>IF(SUMIFS('NSE - NIFTY Index Options'!$M:$M,'NSE - NIFTY Index Options'!$C:$C,$A40,'NSE - NIFTY Index Options'!$B:$B,D$4)+SUMIFS('NSE - Other Index Options'!$M:$M,'NSE - Other Index Options'!$C:$C,$A40,'NSE - Other Index Options'!$B:$B,D$4)=0,"",SUMIFS('NSE - NIFTY Index Options'!$M:$M,'NSE - NIFTY Index Options'!$C:$C,$A40,'NSE - NIFTY Index Options'!$B:$B,D$4)+SUMIFS('NSE - Other Index Options'!$M:$M,'NSE - Other Index Options'!$C:$C,$A40,'NSE - Other Index Options'!$B:$B,D$4))</f>
        <v/>
      </c>
      <c r="E40" s="26">
        <f>IF(SUMIFS('NSE - NIFTY Index Options'!$M:$M,'NSE - NIFTY Index Options'!$C:$C,$A40,'NSE - NIFTY Index Options'!$B:$B,E$4)+SUMIFS('NSE - Other Index Options'!$M:$M,'NSE - Other Index Options'!$C:$C,$A40,'NSE - Other Index Options'!$B:$B,E$4)=0,"",SUMIFS('NSE - NIFTY Index Options'!$M:$M,'NSE - NIFTY Index Options'!$C:$C,$A40,'NSE - NIFTY Index Options'!$B:$B,E$4)+SUMIFS('NSE - Other Index Options'!$M:$M,'NSE - Other Index Options'!$C:$C,$A40,'NSE - Other Index Options'!$B:$B,E$4))</f>
        <v/>
      </c>
      <c r="F40" s="26">
        <f>IF(SUMIFS('NSE - NIFTY Index Options'!$M:$M,'NSE - NIFTY Index Options'!$C:$C,$A40,'NSE - NIFTY Index Options'!$B:$B,F$4)+SUMIFS('NSE - Other Index Options'!$M:$M,'NSE - Other Index Options'!$C:$C,$A40,'NSE - Other Index Options'!$B:$B,F$4)=0,"",SUMIFS('NSE - NIFTY Index Options'!$M:$M,'NSE - NIFTY Index Options'!$C:$C,$A40,'NSE - NIFTY Index Options'!$B:$B,F$4)+SUMIFS('NSE - Other Index Options'!$M:$M,'NSE - Other Index Options'!$C:$C,$A40,'NSE - Other Index Options'!$B:$B,F$4))</f>
        <v/>
      </c>
      <c r="G40" s="26">
        <f>IF(SUMIFS('NSE - NIFTY Index Options'!$M:$M,'NSE - NIFTY Index Options'!$C:$C,$A40,'NSE - NIFTY Index Options'!$B:$B,G$4)+SUMIFS('NSE - Other Index Options'!$M:$M,'NSE - Other Index Options'!$C:$C,$A40,'NSE - Other Index Options'!$B:$B,G$4)=0,"",SUMIFS('NSE - NIFTY Index Options'!$M:$M,'NSE - NIFTY Index Options'!$C:$C,$A40,'NSE - NIFTY Index Options'!$B:$B,G$4)+SUMIFS('NSE - Other Index Options'!$M:$M,'NSE - Other Index Options'!$C:$C,$A40,'NSE - Other Index Options'!$B:$B,G$4))</f>
        <v/>
      </c>
      <c r="H40" s="26">
        <f>IF(SUM(B40:G40)=0,"",SUM(B40:G40))</f>
        <v/>
      </c>
    </row>
    <row r="41">
      <c r="A41" t="inlineStr">
        <is>
          <t>Week3-Apr-2026</t>
        </is>
      </c>
      <c r="B41" s="26">
        <f>IF(SUMIFS('NSE - NIFTY Index Options'!$M:$M,'NSE - NIFTY Index Options'!$C:$C,$A41,'NSE - NIFTY Index Options'!$B:$B,B$4)+SUMIFS('NSE - Other Index Options'!$M:$M,'NSE - Other Index Options'!$C:$C,$A41,'NSE - Other Index Options'!$B:$B,B$4)=0,"",SUMIFS('NSE - NIFTY Index Options'!$M:$M,'NSE - NIFTY Index Options'!$C:$C,$A41,'NSE - NIFTY Index Options'!$B:$B,B$4)+SUMIFS('NSE - Other Index Options'!$M:$M,'NSE - Other Index Options'!$C:$C,$A41,'NSE - Other Index Options'!$B:$B,B$4))</f>
        <v/>
      </c>
      <c r="C41" s="26">
        <f>IF(SUMIFS('NSE - NIFTY Index Options'!$M:$M,'NSE - NIFTY Index Options'!$C:$C,$A41,'NSE - NIFTY Index Options'!$B:$B,C$4)+SUMIFS('NSE - Other Index Options'!$M:$M,'NSE - Other Index Options'!$C:$C,$A41,'NSE - Other Index Options'!$B:$B,C$4)=0,"",SUMIFS('NSE - NIFTY Index Options'!$M:$M,'NSE - NIFTY Index Options'!$C:$C,$A41,'NSE - NIFTY Index Options'!$B:$B,C$4)+SUMIFS('NSE - Other Index Options'!$M:$M,'NSE - Other Index Options'!$C:$C,$A41,'NSE - Other Index Options'!$B:$B,C$4))</f>
        <v/>
      </c>
      <c r="D41" s="26">
        <f>IF(SUMIFS('NSE - NIFTY Index Options'!$M:$M,'NSE - NIFTY Index Options'!$C:$C,$A41,'NSE - NIFTY Index Options'!$B:$B,D$4)+SUMIFS('NSE - Other Index Options'!$M:$M,'NSE - Other Index Options'!$C:$C,$A41,'NSE - Other Index Options'!$B:$B,D$4)=0,"",SUMIFS('NSE - NIFTY Index Options'!$M:$M,'NSE - NIFTY Index Options'!$C:$C,$A41,'NSE - NIFTY Index Options'!$B:$B,D$4)+SUMIFS('NSE - Other Index Options'!$M:$M,'NSE - Other Index Options'!$C:$C,$A41,'NSE - Other Index Options'!$B:$B,D$4))</f>
        <v/>
      </c>
      <c r="E41" s="26">
        <f>IF(SUMIFS('NSE - NIFTY Index Options'!$M:$M,'NSE - NIFTY Index Options'!$C:$C,$A41,'NSE - NIFTY Index Options'!$B:$B,E$4)+SUMIFS('NSE - Other Index Options'!$M:$M,'NSE - Other Index Options'!$C:$C,$A41,'NSE - Other Index Options'!$B:$B,E$4)=0,"",SUMIFS('NSE - NIFTY Index Options'!$M:$M,'NSE - NIFTY Index Options'!$C:$C,$A41,'NSE - NIFTY Index Options'!$B:$B,E$4)+SUMIFS('NSE - Other Index Options'!$M:$M,'NSE - Other Index Options'!$C:$C,$A41,'NSE - Other Index Options'!$B:$B,E$4))</f>
        <v/>
      </c>
      <c r="F41" s="26">
        <f>IF(SUMIFS('NSE - NIFTY Index Options'!$M:$M,'NSE - NIFTY Index Options'!$C:$C,$A41,'NSE - NIFTY Index Options'!$B:$B,F$4)+SUMIFS('NSE - Other Index Options'!$M:$M,'NSE - Other Index Options'!$C:$C,$A41,'NSE - Other Index Options'!$B:$B,F$4)=0,"",SUMIFS('NSE - NIFTY Index Options'!$M:$M,'NSE - NIFTY Index Options'!$C:$C,$A41,'NSE - NIFTY Index Options'!$B:$B,F$4)+SUMIFS('NSE - Other Index Options'!$M:$M,'NSE - Other Index Options'!$C:$C,$A41,'NSE - Other Index Options'!$B:$B,F$4))</f>
        <v/>
      </c>
      <c r="G41" s="26">
        <f>IF(SUMIFS('NSE - NIFTY Index Options'!$M:$M,'NSE - NIFTY Index Options'!$C:$C,$A41,'NSE - NIFTY Index Options'!$B:$B,G$4)+SUMIFS('NSE - Other Index Options'!$M:$M,'NSE - Other Index Options'!$C:$C,$A41,'NSE - Other Index Options'!$B:$B,G$4)=0,"",SUMIFS('NSE - NIFTY Index Options'!$M:$M,'NSE - NIFTY Index Options'!$C:$C,$A41,'NSE - NIFTY Index Options'!$B:$B,G$4)+SUMIFS('NSE - Other Index Options'!$M:$M,'NSE - Other Index Options'!$C:$C,$A41,'NSE - Other Index Options'!$B:$B,G$4))</f>
        <v/>
      </c>
      <c r="H41" s="26">
        <f>IF(SUM(B41:G41)=0,"",SUM(B41:G41))</f>
        <v/>
      </c>
    </row>
    <row r="42">
      <c r="A42" t="inlineStr">
        <is>
          <t>Week4-Apr-2026</t>
        </is>
      </c>
      <c r="B42" s="26">
        <f>IF(SUMIFS('NSE - NIFTY Index Options'!$M:$M,'NSE - NIFTY Index Options'!$C:$C,$A42,'NSE - NIFTY Index Options'!$B:$B,B$4)+SUMIFS('NSE - Other Index Options'!$M:$M,'NSE - Other Index Options'!$C:$C,$A42,'NSE - Other Index Options'!$B:$B,B$4)=0,"",SUMIFS('NSE - NIFTY Index Options'!$M:$M,'NSE - NIFTY Index Options'!$C:$C,$A42,'NSE - NIFTY Index Options'!$B:$B,B$4)+SUMIFS('NSE - Other Index Options'!$M:$M,'NSE - Other Index Options'!$C:$C,$A42,'NSE - Other Index Options'!$B:$B,B$4))</f>
        <v/>
      </c>
      <c r="C42" s="26">
        <f>IF(SUMIFS('NSE - NIFTY Index Options'!$M:$M,'NSE - NIFTY Index Options'!$C:$C,$A42,'NSE - NIFTY Index Options'!$B:$B,C$4)+SUMIFS('NSE - Other Index Options'!$M:$M,'NSE - Other Index Options'!$C:$C,$A42,'NSE - Other Index Options'!$B:$B,C$4)=0,"",SUMIFS('NSE - NIFTY Index Options'!$M:$M,'NSE - NIFTY Index Options'!$C:$C,$A42,'NSE - NIFTY Index Options'!$B:$B,C$4)+SUMIFS('NSE - Other Index Options'!$M:$M,'NSE - Other Index Options'!$C:$C,$A42,'NSE - Other Index Options'!$B:$B,C$4))</f>
        <v/>
      </c>
      <c r="D42" s="26">
        <f>IF(SUMIFS('NSE - NIFTY Index Options'!$M:$M,'NSE - NIFTY Index Options'!$C:$C,$A42,'NSE - NIFTY Index Options'!$B:$B,D$4)+SUMIFS('NSE - Other Index Options'!$M:$M,'NSE - Other Index Options'!$C:$C,$A42,'NSE - Other Index Options'!$B:$B,D$4)=0,"",SUMIFS('NSE - NIFTY Index Options'!$M:$M,'NSE - NIFTY Index Options'!$C:$C,$A42,'NSE - NIFTY Index Options'!$B:$B,D$4)+SUMIFS('NSE - Other Index Options'!$M:$M,'NSE - Other Index Options'!$C:$C,$A42,'NSE - Other Index Options'!$B:$B,D$4))</f>
        <v/>
      </c>
      <c r="E42" s="26">
        <f>IF(SUMIFS('NSE - NIFTY Index Options'!$M:$M,'NSE - NIFTY Index Options'!$C:$C,$A42,'NSE - NIFTY Index Options'!$B:$B,E$4)+SUMIFS('NSE - Other Index Options'!$M:$M,'NSE - Other Index Options'!$C:$C,$A42,'NSE - Other Index Options'!$B:$B,E$4)=0,"",SUMIFS('NSE - NIFTY Index Options'!$M:$M,'NSE - NIFTY Index Options'!$C:$C,$A42,'NSE - NIFTY Index Options'!$B:$B,E$4)+SUMIFS('NSE - Other Index Options'!$M:$M,'NSE - Other Index Options'!$C:$C,$A42,'NSE - Other Index Options'!$B:$B,E$4))</f>
        <v/>
      </c>
      <c r="F42" s="26">
        <f>IF(SUMIFS('NSE - NIFTY Index Options'!$M:$M,'NSE - NIFTY Index Options'!$C:$C,$A42,'NSE - NIFTY Index Options'!$B:$B,F$4)+SUMIFS('NSE - Other Index Options'!$M:$M,'NSE - Other Index Options'!$C:$C,$A42,'NSE - Other Index Options'!$B:$B,F$4)=0,"",SUMIFS('NSE - NIFTY Index Options'!$M:$M,'NSE - NIFTY Index Options'!$C:$C,$A42,'NSE - NIFTY Index Options'!$B:$B,F$4)+SUMIFS('NSE - Other Index Options'!$M:$M,'NSE - Other Index Options'!$C:$C,$A42,'NSE - Other Index Options'!$B:$B,F$4))</f>
        <v/>
      </c>
      <c r="G42" s="26">
        <f>IF(SUMIFS('NSE - NIFTY Index Options'!$M:$M,'NSE - NIFTY Index Options'!$C:$C,$A42,'NSE - NIFTY Index Options'!$B:$B,G$4)+SUMIFS('NSE - Other Index Options'!$M:$M,'NSE - Other Index Options'!$C:$C,$A42,'NSE - Other Index Options'!$B:$B,G$4)=0,"",SUMIFS('NSE - NIFTY Index Options'!$M:$M,'NSE - NIFTY Index Options'!$C:$C,$A42,'NSE - NIFTY Index Options'!$B:$B,G$4)+SUMIFS('NSE - Other Index Options'!$M:$M,'NSE - Other Index Options'!$C:$C,$A42,'NSE - Other Index Options'!$B:$B,G$4))</f>
        <v/>
      </c>
      <c r="H42" s="26">
        <f>IF(SUM(B42:G42)=0,"",SUM(B42:G42))</f>
        <v/>
      </c>
    </row>
    <row r="43">
      <c r="A43" t="inlineStr">
        <is>
          <t>Week5-Apr-2026</t>
        </is>
      </c>
      <c r="B43" s="26">
        <f>IF(SUMIFS('NSE - NIFTY Index Options'!$M:$M,'NSE - NIFTY Index Options'!$C:$C,$A43,'NSE - NIFTY Index Options'!$B:$B,B$4)+SUMIFS('NSE - Other Index Options'!$M:$M,'NSE - Other Index Options'!$C:$C,$A43,'NSE - Other Index Options'!$B:$B,B$4)=0,"",SUMIFS('NSE - NIFTY Index Options'!$M:$M,'NSE - NIFTY Index Options'!$C:$C,$A43,'NSE - NIFTY Index Options'!$B:$B,B$4)+SUMIFS('NSE - Other Index Options'!$M:$M,'NSE - Other Index Options'!$C:$C,$A43,'NSE - Other Index Options'!$B:$B,B$4))</f>
        <v/>
      </c>
      <c r="C43" s="26">
        <f>IF(SUMIFS('NSE - NIFTY Index Options'!$M:$M,'NSE - NIFTY Index Options'!$C:$C,$A43,'NSE - NIFTY Index Options'!$B:$B,C$4)+SUMIFS('NSE - Other Index Options'!$M:$M,'NSE - Other Index Options'!$C:$C,$A43,'NSE - Other Index Options'!$B:$B,C$4)=0,"",SUMIFS('NSE - NIFTY Index Options'!$M:$M,'NSE - NIFTY Index Options'!$C:$C,$A43,'NSE - NIFTY Index Options'!$B:$B,C$4)+SUMIFS('NSE - Other Index Options'!$M:$M,'NSE - Other Index Options'!$C:$C,$A43,'NSE - Other Index Options'!$B:$B,C$4))</f>
        <v/>
      </c>
      <c r="D43" s="26">
        <f>IF(SUMIFS('NSE - NIFTY Index Options'!$M:$M,'NSE - NIFTY Index Options'!$C:$C,$A43,'NSE - NIFTY Index Options'!$B:$B,D$4)+SUMIFS('NSE - Other Index Options'!$M:$M,'NSE - Other Index Options'!$C:$C,$A43,'NSE - Other Index Options'!$B:$B,D$4)=0,"",SUMIFS('NSE - NIFTY Index Options'!$M:$M,'NSE - NIFTY Index Options'!$C:$C,$A43,'NSE - NIFTY Index Options'!$B:$B,D$4)+SUMIFS('NSE - Other Index Options'!$M:$M,'NSE - Other Index Options'!$C:$C,$A43,'NSE - Other Index Options'!$B:$B,D$4))</f>
        <v/>
      </c>
      <c r="E43" s="26">
        <f>IF(SUMIFS('NSE - NIFTY Index Options'!$M:$M,'NSE - NIFTY Index Options'!$C:$C,$A43,'NSE - NIFTY Index Options'!$B:$B,E$4)+SUMIFS('NSE - Other Index Options'!$M:$M,'NSE - Other Index Options'!$C:$C,$A43,'NSE - Other Index Options'!$B:$B,E$4)=0,"",SUMIFS('NSE - NIFTY Index Options'!$M:$M,'NSE - NIFTY Index Options'!$C:$C,$A43,'NSE - NIFTY Index Options'!$B:$B,E$4)+SUMIFS('NSE - Other Index Options'!$M:$M,'NSE - Other Index Options'!$C:$C,$A43,'NSE - Other Index Options'!$B:$B,E$4))</f>
        <v/>
      </c>
      <c r="F43" s="26">
        <f>IF(SUMIFS('NSE - NIFTY Index Options'!$M:$M,'NSE - NIFTY Index Options'!$C:$C,$A43,'NSE - NIFTY Index Options'!$B:$B,F$4)+SUMIFS('NSE - Other Index Options'!$M:$M,'NSE - Other Index Options'!$C:$C,$A43,'NSE - Other Index Options'!$B:$B,F$4)=0,"",SUMIFS('NSE - NIFTY Index Options'!$M:$M,'NSE - NIFTY Index Options'!$C:$C,$A43,'NSE - NIFTY Index Options'!$B:$B,F$4)+SUMIFS('NSE - Other Index Options'!$M:$M,'NSE - Other Index Options'!$C:$C,$A43,'NSE - Other Index Options'!$B:$B,F$4))</f>
        <v/>
      </c>
      <c r="G43" s="26">
        <f>IF(SUMIFS('NSE - NIFTY Index Options'!$M:$M,'NSE - NIFTY Index Options'!$C:$C,$A43,'NSE - NIFTY Index Options'!$B:$B,G$4)+SUMIFS('NSE - Other Index Options'!$M:$M,'NSE - Other Index Options'!$C:$C,$A43,'NSE - Other Index Options'!$B:$B,G$4)=0,"",SUMIFS('NSE - NIFTY Index Options'!$M:$M,'NSE - NIFTY Index Options'!$C:$C,$A43,'NSE - NIFTY Index Options'!$B:$B,G$4)+SUMIFS('NSE - Other Index Options'!$M:$M,'NSE - Other Index Options'!$C:$C,$A43,'NSE - Other Index Options'!$B:$B,G$4))</f>
        <v/>
      </c>
      <c r="H43" s="26">
        <f>IF(SUM(B43:G43)=0,"",SUM(B43:G43))</f>
        <v/>
      </c>
    </row>
    <row r="44">
      <c r="A44" t="inlineStr">
        <is>
          <t>Week1-May-2026</t>
        </is>
      </c>
      <c r="B44" s="26">
        <f>IF(SUMIFS('NSE - NIFTY Index Options'!$M:$M,'NSE - NIFTY Index Options'!$C:$C,$A44,'NSE - NIFTY Index Options'!$B:$B,B$4)+SUMIFS('NSE - Other Index Options'!$M:$M,'NSE - Other Index Options'!$C:$C,$A44,'NSE - Other Index Options'!$B:$B,B$4)=0,"",SUMIFS('NSE - NIFTY Index Options'!$M:$M,'NSE - NIFTY Index Options'!$C:$C,$A44,'NSE - NIFTY Index Options'!$B:$B,B$4)+SUMIFS('NSE - Other Index Options'!$M:$M,'NSE - Other Index Options'!$C:$C,$A44,'NSE - Other Index Options'!$B:$B,B$4))</f>
        <v/>
      </c>
      <c r="C44" s="26">
        <f>IF(SUMIFS('NSE - NIFTY Index Options'!$M:$M,'NSE - NIFTY Index Options'!$C:$C,$A44,'NSE - NIFTY Index Options'!$B:$B,C$4)+SUMIFS('NSE - Other Index Options'!$M:$M,'NSE - Other Index Options'!$C:$C,$A44,'NSE - Other Index Options'!$B:$B,C$4)=0,"",SUMIFS('NSE - NIFTY Index Options'!$M:$M,'NSE - NIFTY Index Options'!$C:$C,$A44,'NSE - NIFTY Index Options'!$B:$B,C$4)+SUMIFS('NSE - Other Index Options'!$M:$M,'NSE - Other Index Options'!$C:$C,$A44,'NSE - Other Index Options'!$B:$B,C$4))</f>
        <v/>
      </c>
      <c r="D44" s="26">
        <f>IF(SUMIFS('NSE - NIFTY Index Options'!$M:$M,'NSE - NIFTY Index Options'!$C:$C,$A44,'NSE - NIFTY Index Options'!$B:$B,D$4)+SUMIFS('NSE - Other Index Options'!$M:$M,'NSE - Other Index Options'!$C:$C,$A44,'NSE - Other Index Options'!$B:$B,D$4)=0,"",SUMIFS('NSE - NIFTY Index Options'!$M:$M,'NSE - NIFTY Index Options'!$C:$C,$A44,'NSE - NIFTY Index Options'!$B:$B,D$4)+SUMIFS('NSE - Other Index Options'!$M:$M,'NSE - Other Index Options'!$C:$C,$A44,'NSE - Other Index Options'!$B:$B,D$4))</f>
        <v/>
      </c>
      <c r="E44" s="26">
        <f>IF(SUMIFS('NSE - NIFTY Index Options'!$M:$M,'NSE - NIFTY Index Options'!$C:$C,$A44,'NSE - NIFTY Index Options'!$B:$B,E$4)+SUMIFS('NSE - Other Index Options'!$M:$M,'NSE - Other Index Options'!$C:$C,$A44,'NSE - Other Index Options'!$B:$B,E$4)=0,"",SUMIFS('NSE - NIFTY Index Options'!$M:$M,'NSE - NIFTY Index Options'!$C:$C,$A44,'NSE - NIFTY Index Options'!$B:$B,E$4)+SUMIFS('NSE - Other Index Options'!$M:$M,'NSE - Other Index Options'!$C:$C,$A44,'NSE - Other Index Options'!$B:$B,E$4))</f>
        <v/>
      </c>
      <c r="F44" s="26">
        <f>IF(SUMIFS('NSE - NIFTY Index Options'!$M:$M,'NSE - NIFTY Index Options'!$C:$C,$A44,'NSE - NIFTY Index Options'!$B:$B,F$4)+SUMIFS('NSE - Other Index Options'!$M:$M,'NSE - Other Index Options'!$C:$C,$A44,'NSE - Other Index Options'!$B:$B,F$4)=0,"",SUMIFS('NSE - NIFTY Index Options'!$M:$M,'NSE - NIFTY Index Options'!$C:$C,$A44,'NSE - NIFTY Index Options'!$B:$B,F$4)+SUMIFS('NSE - Other Index Options'!$M:$M,'NSE - Other Index Options'!$C:$C,$A44,'NSE - Other Index Options'!$B:$B,F$4))</f>
        <v/>
      </c>
      <c r="G44" s="26">
        <f>IF(SUMIFS('NSE - NIFTY Index Options'!$M:$M,'NSE - NIFTY Index Options'!$C:$C,$A44,'NSE - NIFTY Index Options'!$B:$B,G$4)+SUMIFS('NSE - Other Index Options'!$M:$M,'NSE - Other Index Options'!$C:$C,$A44,'NSE - Other Index Options'!$B:$B,G$4)=0,"",SUMIFS('NSE - NIFTY Index Options'!$M:$M,'NSE - NIFTY Index Options'!$C:$C,$A44,'NSE - NIFTY Index Options'!$B:$B,G$4)+SUMIFS('NSE - Other Index Options'!$M:$M,'NSE - Other Index Options'!$C:$C,$A44,'NSE - Other Index Options'!$B:$B,G$4))</f>
        <v/>
      </c>
      <c r="H44" s="26">
        <f>IF(SUM(B44:G44)=0,"",SUM(B44:G44))</f>
        <v/>
      </c>
    </row>
    <row r="45">
      <c r="A45" t="inlineStr">
        <is>
          <t>Week2-May-2026</t>
        </is>
      </c>
      <c r="B45" s="26">
        <f>IF(SUMIFS('NSE - NIFTY Index Options'!$M:$M,'NSE - NIFTY Index Options'!$C:$C,$A45,'NSE - NIFTY Index Options'!$B:$B,B$4)+SUMIFS('NSE - Other Index Options'!$M:$M,'NSE - Other Index Options'!$C:$C,$A45,'NSE - Other Index Options'!$B:$B,B$4)=0,"",SUMIFS('NSE - NIFTY Index Options'!$M:$M,'NSE - NIFTY Index Options'!$C:$C,$A45,'NSE - NIFTY Index Options'!$B:$B,B$4)+SUMIFS('NSE - Other Index Options'!$M:$M,'NSE - Other Index Options'!$C:$C,$A45,'NSE - Other Index Options'!$B:$B,B$4))</f>
        <v/>
      </c>
      <c r="C45" s="26">
        <f>IF(SUMIFS('NSE - NIFTY Index Options'!$M:$M,'NSE - NIFTY Index Options'!$C:$C,$A45,'NSE - NIFTY Index Options'!$B:$B,C$4)+SUMIFS('NSE - Other Index Options'!$M:$M,'NSE - Other Index Options'!$C:$C,$A45,'NSE - Other Index Options'!$B:$B,C$4)=0,"",SUMIFS('NSE - NIFTY Index Options'!$M:$M,'NSE - NIFTY Index Options'!$C:$C,$A45,'NSE - NIFTY Index Options'!$B:$B,C$4)+SUMIFS('NSE - Other Index Options'!$M:$M,'NSE - Other Index Options'!$C:$C,$A45,'NSE - Other Index Options'!$B:$B,C$4))</f>
        <v/>
      </c>
      <c r="D45" s="26">
        <f>IF(SUMIFS('NSE - NIFTY Index Options'!$M:$M,'NSE - NIFTY Index Options'!$C:$C,$A45,'NSE - NIFTY Index Options'!$B:$B,D$4)+SUMIFS('NSE - Other Index Options'!$M:$M,'NSE - Other Index Options'!$C:$C,$A45,'NSE - Other Index Options'!$B:$B,D$4)=0,"",SUMIFS('NSE - NIFTY Index Options'!$M:$M,'NSE - NIFTY Index Options'!$C:$C,$A45,'NSE - NIFTY Index Options'!$B:$B,D$4)+SUMIFS('NSE - Other Index Options'!$M:$M,'NSE - Other Index Options'!$C:$C,$A45,'NSE - Other Index Options'!$B:$B,D$4))</f>
        <v/>
      </c>
      <c r="E45" s="26">
        <f>IF(SUMIFS('NSE - NIFTY Index Options'!$M:$M,'NSE - NIFTY Index Options'!$C:$C,$A45,'NSE - NIFTY Index Options'!$B:$B,E$4)+SUMIFS('NSE - Other Index Options'!$M:$M,'NSE - Other Index Options'!$C:$C,$A45,'NSE - Other Index Options'!$B:$B,E$4)=0,"",SUMIFS('NSE - NIFTY Index Options'!$M:$M,'NSE - NIFTY Index Options'!$C:$C,$A45,'NSE - NIFTY Index Options'!$B:$B,E$4)+SUMIFS('NSE - Other Index Options'!$M:$M,'NSE - Other Index Options'!$C:$C,$A45,'NSE - Other Index Options'!$B:$B,E$4))</f>
        <v/>
      </c>
      <c r="F45" s="26">
        <f>IF(SUMIFS('NSE - NIFTY Index Options'!$M:$M,'NSE - NIFTY Index Options'!$C:$C,$A45,'NSE - NIFTY Index Options'!$B:$B,F$4)+SUMIFS('NSE - Other Index Options'!$M:$M,'NSE - Other Index Options'!$C:$C,$A45,'NSE - Other Index Options'!$B:$B,F$4)=0,"",SUMIFS('NSE - NIFTY Index Options'!$M:$M,'NSE - NIFTY Index Options'!$C:$C,$A45,'NSE - NIFTY Index Options'!$B:$B,F$4)+SUMIFS('NSE - Other Index Options'!$M:$M,'NSE - Other Index Options'!$C:$C,$A45,'NSE - Other Index Options'!$B:$B,F$4))</f>
        <v/>
      </c>
      <c r="G45" s="26">
        <f>IF(SUMIFS('NSE - NIFTY Index Options'!$M:$M,'NSE - NIFTY Index Options'!$C:$C,$A45,'NSE - NIFTY Index Options'!$B:$B,G$4)+SUMIFS('NSE - Other Index Options'!$M:$M,'NSE - Other Index Options'!$C:$C,$A45,'NSE - Other Index Options'!$B:$B,G$4)=0,"",SUMIFS('NSE - NIFTY Index Options'!$M:$M,'NSE - NIFTY Index Options'!$C:$C,$A45,'NSE - NIFTY Index Options'!$B:$B,G$4)+SUMIFS('NSE - Other Index Options'!$M:$M,'NSE - Other Index Options'!$C:$C,$A45,'NSE - Other Index Options'!$B:$B,G$4))</f>
        <v/>
      </c>
      <c r="H45" s="26">
        <f>IF(SUM(B45:G45)=0,"",SUM(B45:G45))</f>
        <v/>
      </c>
    </row>
    <row r="46">
      <c r="A46" t="inlineStr">
        <is>
          <t>Week3-May-2026</t>
        </is>
      </c>
      <c r="B46" s="26">
        <f>IF(SUMIFS('NSE - NIFTY Index Options'!$M:$M,'NSE - NIFTY Index Options'!$C:$C,$A46,'NSE - NIFTY Index Options'!$B:$B,B$4)+SUMIFS('NSE - Other Index Options'!$M:$M,'NSE - Other Index Options'!$C:$C,$A46,'NSE - Other Index Options'!$B:$B,B$4)=0,"",SUMIFS('NSE - NIFTY Index Options'!$M:$M,'NSE - NIFTY Index Options'!$C:$C,$A46,'NSE - NIFTY Index Options'!$B:$B,B$4)+SUMIFS('NSE - Other Index Options'!$M:$M,'NSE - Other Index Options'!$C:$C,$A46,'NSE - Other Index Options'!$B:$B,B$4))</f>
        <v/>
      </c>
      <c r="C46" s="26">
        <f>IF(SUMIFS('NSE - NIFTY Index Options'!$M:$M,'NSE - NIFTY Index Options'!$C:$C,$A46,'NSE - NIFTY Index Options'!$B:$B,C$4)+SUMIFS('NSE - Other Index Options'!$M:$M,'NSE - Other Index Options'!$C:$C,$A46,'NSE - Other Index Options'!$B:$B,C$4)=0,"",SUMIFS('NSE - NIFTY Index Options'!$M:$M,'NSE - NIFTY Index Options'!$C:$C,$A46,'NSE - NIFTY Index Options'!$B:$B,C$4)+SUMIFS('NSE - Other Index Options'!$M:$M,'NSE - Other Index Options'!$C:$C,$A46,'NSE - Other Index Options'!$B:$B,C$4))</f>
        <v/>
      </c>
      <c r="D46" s="26">
        <f>IF(SUMIFS('NSE - NIFTY Index Options'!$M:$M,'NSE - NIFTY Index Options'!$C:$C,$A46,'NSE - NIFTY Index Options'!$B:$B,D$4)+SUMIFS('NSE - Other Index Options'!$M:$M,'NSE - Other Index Options'!$C:$C,$A46,'NSE - Other Index Options'!$B:$B,D$4)=0,"",SUMIFS('NSE - NIFTY Index Options'!$M:$M,'NSE - NIFTY Index Options'!$C:$C,$A46,'NSE - NIFTY Index Options'!$B:$B,D$4)+SUMIFS('NSE - Other Index Options'!$M:$M,'NSE - Other Index Options'!$C:$C,$A46,'NSE - Other Index Options'!$B:$B,D$4))</f>
        <v/>
      </c>
      <c r="E46" s="26">
        <f>IF(SUMIFS('NSE - NIFTY Index Options'!$M:$M,'NSE - NIFTY Index Options'!$C:$C,$A46,'NSE - NIFTY Index Options'!$B:$B,E$4)+SUMIFS('NSE - Other Index Options'!$M:$M,'NSE - Other Index Options'!$C:$C,$A46,'NSE - Other Index Options'!$B:$B,E$4)=0,"",SUMIFS('NSE - NIFTY Index Options'!$M:$M,'NSE - NIFTY Index Options'!$C:$C,$A46,'NSE - NIFTY Index Options'!$B:$B,E$4)+SUMIFS('NSE - Other Index Options'!$M:$M,'NSE - Other Index Options'!$C:$C,$A46,'NSE - Other Index Options'!$B:$B,E$4))</f>
        <v/>
      </c>
      <c r="F46" s="26">
        <f>IF(SUMIFS('NSE - NIFTY Index Options'!$M:$M,'NSE - NIFTY Index Options'!$C:$C,$A46,'NSE - NIFTY Index Options'!$B:$B,F$4)+SUMIFS('NSE - Other Index Options'!$M:$M,'NSE - Other Index Options'!$C:$C,$A46,'NSE - Other Index Options'!$B:$B,F$4)=0,"",SUMIFS('NSE - NIFTY Index Options'!$M:$M,'NSE - NIFTY Index Options'!$C:$C,$A46,'NSE - NIFTY Index Options'!$B:$B,F$4)+SUMIFS('NSE - Other Index Options'!$M:$M,'NSE - Other Index Options'!$C:$C,$A46,'NSE - Other Index Options'!$B:$B,F$4))</f>
        <v/>
      </c>
      <c r="G46" s="26">
        <f>IF(SUMIFS('NSE - NIFTY Index Options'!$M:$M,'NSE - NIFTY Index Options'!$C:$C,$A46,'NSE - NIFTY Index Options'!$B:$B,G$4)+SUMIFS('NSE - Other Index Options'!$M:$M,'NSE - Other Index Options'!$C:$C,$A46,'NSE - Other Index Options'!$B:$B,G$4)=0,"",SUMIFS('NSE - NIFTY Index Options'!$M:$M,'NSE - NIFTY Index Options'!$C:$C,$A46,'NSE - NIFTY Index Options'!$B:$B,G$4)+SUMIFS('NSE - Other Index Options'!$M:$M,'NSE - Other Index Options'!$C:$C,$A46,'NSE - Other Index Options'!$B:$B,G$4))</f>
        <v/>
      </c>
      <c r="H46" s="26">
        <f>IF(SUM(B46:G46)=0,"",SUM(B46:G46))</f>
        <v/>
      </c>
    </row>
    <row r="47">
      <c r="A47" t="inlineStr">
        <is>
          <t>Week4-May-2026</t>
        </is>
      </c>
      <c r="B47" s="26">
        <f>IF(SUMIFS('NSE - NIFTY Index Options'!$M:$M,'NSE - NIFTY Index Options'!$C:$C,$A47,'NSE - NIFTY Index Options'!$B:$B,B$4)+SUMIFS('NSE - Other Index Options'!$M:$M,'NSE - Other Index Options'!$C:$C,$A47,'NSE - Other Index Options'!$B:$B,B$4)=0,"",SUMIFS('NSE - NIFTY Index Options'!$M:$M,'NSE - NIFTY Index Options'!$C:$C,$A47,'NSE - NIFTY Index Options'!$B:$B,B$4)+SUMIFS('NSE - Other Index Options'!$M:$M,'NSE - Other Index Options'!$C:$C,$A47,'NSE - Other Index Options'!$B:$B,B$4))</f>
        <v/>
      </c>
      <c r="C47" s="26">
        <f>IF(SUMIFS('NSE - NIFTY Index Options'!$M:$M,'NSE - NIFTY Index Options'!$C:$C,$A47,'NSE - NIFTY Index Options'!$B:$B,C$4)+SUMIFS('NSE - Other Index Options'!$M:$M,'NSE - Other Index Options'!$C:$C,$A47,'NSE - Other Index Options'!$B:$B,C$4)=0,"",SUMIFS('NSE - NIFTY Index Options'!$M:$M,'NSE - NIFTY Index Options'!$C:$C,$A47,'NSE - NIFTY Index Options'!$B:$B,C$4)+SUMIFS('NSE - Other Index Options'!$M:$M,'NSE - Other Index Options'!$C:$C,$A47,'NSE - Other Index Options'!$B:$B,C$4))</f>
        <v/>
      </c>
      <c r="D47" s="26">
        <f>IF(SUMIFS('NSE - NIFTY Index Options'!$M:$M,'NSE - NIFTY Index Options'!$C:$C,$A47,'NSE - NIFTY Index Options'!$B:$B,D$4)+SUMIFS('NSE - Other Index Options'!$M:$M,'NSE - Other Index Options'!$C:$C,$A47,'NSE - Other Index Options'!$B:$B,D$4)=0,"",SUMIFS('NSE - NIFTY Index Options'!$M:$M,'NSE - NIFTY Index Options'!$C:$C,$A47,'NSE - NIFTY Index Options'!$B:$B,D$4)+SUMIFS('NSE - Other Index Options'!$M:$M,'NSE - Other Index Options'!$C:$C,$A47,'NSE - Other Index Options'!$B:$B,D$4))</f>
        <v/>
      </c>
      <c r="E47" s="26">
        <f>IF(SUMIFS('NSE - NIFTY Index Options'!$M:$M,'NSE - NIFTY Index Options'!$C:$C,$A47,'NSE - NIFTY Index Options'!$B:$B,E$4)+SUMIFS('NSE - Other Index Options'!$M:$M,'NSE - Other Index Options'!$C:$C,$A47,'NSE - Other Index Options'!$B:$B,E$4)=0,"",SUMIFS('NSE - NIFTY Index Options'!$M:$M,'NSE - NIFTY Index Options'!$C:$C,$A47,'NSE - NIFTY Index Options'!$B:$B,E$4)+SUMIFS('NSE - Other Index Options'!$M:$M,'NSE - Other Index Options'!$C:$C,$A47,'NSE - Other Index Options'!$B:$B,E$4))</f>
        <v/>
      </c>
      <c r="F47" s="26">
        <f>IF(SUMIFS('NSE - NIFTY Index Options'!$M:$M,'NSE - NIFTY Index Options'!$C:$C,$A47,'NSE - NIFTY Index Options'!$B:$B,F$4)+SUMIFS('NSE - Other Index Options'!$M:$M,'NSE - Other Index Options'!$C:$C,$A47,'NSE - Other Index Options'!$B:$B,F$4)=0,"",SUMIFS('NSE - NIFTY Index Options'!$M:$M,'NSE - NIFTY Index Options'!$C:$C,$A47,'NSE - NIFTY Index Options'!$B:$B,F$4)+SUMIFS('NSE - Other Index Options'!$M:$M,'NSE - Other Index Options'!$C:$C,$A47,'NSE - Other Index Options'!$B:$B,F$4))</f>
        <v/>
      </c>
      <c r="G47" s="26">
        <f>IF(SUMIFS('NSE - NIFTY Index Options'!$M:$M,'NSE - NIFTY Index Options'!$C:$C,$A47,'NSE - NIFTY Index Options'!$B:$B,G$4)+SUMIFS('NSE - Other Index Options'!$M:$M,'NSE - Other Index Options'!$C:$C,$A47,'NSE - Other Index Options'!$B:$B,G$4)=0,"",SUMIFS('NSE - NIFTY Index Options'!$M:$M,'NSE - NIFTY Index Options'!$C:$C,$A47,'NSE - NIFTY Index Options'!$B:$B,G$4)+SUMIFS('NSE - Other Index Options'!$M:$M,'NSE - Other Index Options'!$C:$C,$A47,'NSE - Other Index Options'!$B:$B,G$4))</f>
        <v/>
      </c>
      <c r="H47" s="26">
        <f>IF(SUM(B47:G47)=0,"",SUM(B47:G47))</f>
        <v/>
      </c>
    </row>
    <row r="48">
      <c r="A48" t="inlineStr">
        <is>
          <t>Week5-May-2026</t>
        </is>
      </c>
      <c r="B48" s="26">
        <f>IF(SUMIFS('NSE - NIFTY Index Options'!$M:$M,'NSE - NIFTY Index Options'!$C:$C,$A48,'NSE - NIFTY Index Options'!$B:$B,B$4)+SUMIFS('NSE - Other Index Options'!$M:$M,'NSE - Other Index Options'!$C:$C,$A48,'NSE - Other Index Options'!$B:$B,B$4)=0,"",SUMIFS('NSE - NIFTY Index Options'!$M:$M,'NSE - NIFTY Index Options'!$C:$C,$A48,'NSE - NIFTY Index Options'!$B:$B,B$4)+SUMIFS('NSE - Other Index Options'!$M:$M,'NSE - Other Index Options'!$C:$C,$A48,'NSE - Other Index Options'!$B:$B,B$4))</f>
        <v/>
      </c>
      <c r="C48" s="26">
        <f>IF(SUMIFS('NSE - NIFTY Index Options'!$M:$M,'NSE - NIFTY Index Options'!$C:$C,$A48,'NSE - NIFTY Index Options'!$B:$B,C$4)+SUMIFS('NSE - Other Index Options'!$M:$M,'NSE - Other Index Options'!$C:$C,$A48,'NSE - Other Index Options'!$B:$B,C$4)=0,"",SUMIFS('NSE - NIFTY Index Options'!$M:$M,'NSE - NIFTY Index Options'!$C:$C,$A48,'NSE - NIFTY Index Options'!$B:$B,C$4)+SUMIFS('NSE - Other Index Options'!$M:$M,'NSE - Other Index Options'!$C:$C,$A48,'NSE - Other Index Options'!$B:$B,C$4))</f>
        <v/>
      </c>
      <c r="D48" s="26">
        <f>IF(SUMIFS('NSE - NIFTY Index Options'!$M:$M,'NSE - NIFTY Index Options'!$C:$C,$A48,'NSE - NIFTY Index Options'!$B:$B,D$4)+SUMIFS('NSE - Other Index Options'!$M:$M,'NSE - Other Index Options'!$C:$C,$A48,'NSE - Other Index Options'!$B:$B,D$4)=0,"",SUMIFS('NSE - NIFTY Index Options'!$M:$M,'NSE - NIFTY Index Options'!$C:$C,$A48,'NSE - NIFTY Index Options'!$B:$B,D$4)+SUMIFS('NSE - Other Index Options'!$M:$M,'NSE - Other Index Options'!$C:$C,$A48,'NSE - Other Index Options'!$B:$B,D$4))</f>
        <v/>
      </c>
      <c r="E48" s="26">
        <f>IF(SUMIFS('NSE - NIFTY Index Options'!$M:$M,'NSE - NIFTY Index Options'!$C:$C,$A48,'NSE - NIFTY Index Options'!$B:$B,E$4)+SUMIFS('NSE - Other Index Options'!$M:$M,'NSE - Other Index Options'!$C:$C,$A48,'NSE - Other Index Options'!$B:$B,E$4)=0,"",SUMIFS('NSE - NIFTY Index Options'!$M:$M,'NSE - NIFTY Index Options'!$C:$C,$A48,'NSE - NIFTY Index Options'!$B:$B,E$4)+SUMIFS('NSE - Other Index Options'!$M:$M,'NSE - Other Index Options'!$C:$C,$A48,'NSE - Other Index Options'!$B:$B,E$4))</f>
        <v/>
      </c>
      <c r="F48" s="26">
        <f>IF(SUMIFS('NSE - NIFTY Index Options'!$M:$M,'NSE - NIFTY Index Options'!$C:$C,$A48,'NSE - NIFTY Index Options'!$B:$B,F$4)+SUMIFS('NSE - Other Index Options'!$M:$M,'NSE - Other Index Options'!$C:$C,$A48,'NSE - Other Index Options'!$B:$B,F$4)=0,"",SUMIFS('NSE - NIFTY Index Options'!$M:$M,'NSE - NIFTY Index Options'!$C:$C,$A48,'NSE - NIFTY Index Options'!$B:$B,F$4)+SUMIFS('NSE - Other Index Options'!$M:$M,'NSE - Other Index Options'!$C:$C,$A48,'NSE - Other Index Options'!$B:$B,F$4))</f>
        <v/>
      </c>
      <c r="G48" s="26">
        <f>IF(SUMIFS('NSE - NIFTY Index Options'!$M:$M,'NSE - NIFTY Index Options'!$C:$C,$A48,'NSE - NIFTY Index Options'!$B:$B,G$4)+SUMIFS('NSE - Other Index Options'!$M:$M,'NSE - Other Index Options'!$C:$C,$A48,'NSE - Other Index Options'!$B:$B,G$4)=0,"",SUMIFS('NSE - NIFTY Index Options'!$M:$M,'NSE - NIFTY Index Options'!$C:$C,$A48,'NSE - NIFTY Index Options'!$B:$B,G$4)+SUMIFS('NSE - Other Index Options'!$M:$M,'NSE - Other Index Options'!$C:$C,$A48,'NSE - Other Index Options'!$B:$B,G$4))</f>
        <v/>
      </c>
      <c r="H48" s="26">
        <f>IF(SUM(B48:G48)=0,"",SUM(B48:G48))</f>
        <v/>
      </c>
    </row>
    <row r="49">
      <c r="A49" t="inlineStr">
        <is>
          <t>Week1-Jun-2026</t>
        </is>
      </c>
      <c r="B49" s="26">
        <f>IF(SUMIFS('NSE - NIFTY Index Options'!$M:$M,'NSE - NIFTY Index Options'!$C:$C,$A49,'NSE - NIFTY Index Options'!$B:$B,B$4)+SUMIFS('NSE - Other Index Options'!$M:$M,'NSE - Other Index Options'!$C:$C,$A49,'NSE - Other Index Options'!$B:$B,B$4)=0,"",SUMIFS('NSE - NIFTY Index Options'!$M:$M,'NSE - NIFTY Index Options'!$C:$C,$A49,'NSE - NIFTY Index Options'!$B:$B,B$4)+SUMIFS('NSE - Other Index Options'!$M:$M,'NSE - Other Index Options'!$C:$C,$A49,'NSE - Other Index Options'!$B:$B,B$4))</f>
        <v/>
      </c>
      <c r="C49" s="26">
        <f>IF(SUMIFS('NSE - NIFTY Index Options'!$M:$M,'NSE - NIFTY Index Options'!$C:$C,$A49,'NSE - NIFTY Index Options'!$B:$B,C$4)+SUMIFS('NSE - Other Index Options'!$M:$M,'NSE - Other Index Options'!$C:$C,$A49,'NSE - Other Index Options'!$B:$B,C$4)=0,"",SUMIFS('NSE - NIFTY Index Options'!$M:$M,'NSE - NIFTY Index Options'!$C:$C,$A49,'NSE - NIFTY Index Options'!$B:$B,C$4)+SUMIFS('NSE - Other Index Options'!$M:$M,'NSE - Other Index Options'!$C:$C,$A49,'NSE - Other Index Options'!$B:$B,C$4))</f>
        <v/>
      </c>
      <c r="D49" s="26">
        <f>IF(SUMIFS('NSE - NIFTY Index Options'!$M:$M,'NSE - NIFTY Index Options'!$C:$C,$A49,'NSE - NIFTY Index Options'!$B:$B,D$4)+SUMIFS('NSE - Other Index Options'!$M:$M,'NSE - Other Index Options'!$C:$C,$A49,'NSE - Other Index Options'!$B:$B,D$4)=0,"",SUMIFS('NSE - NIFTY Index Options'!$M:$M,'NSE - NIFTY Index Options'!$C:$C,$A49,'NSE - NIFTY Index Options'!$B:$B,D$4)+SUMIFS('NSE - Other Index Options'!$M:$M,'NSE - Other Index Options'!$C:$C,$A49,'NSE - Other Index Options'!$B:$B,D$4))</f>
        <v/>
      </c>
      <c r="E49" s="26">
        <f>IF(SUMIFS('NSE - NIFTY Index Options'!$M:$M,'NSE - NIFTY Index Options'!$C:$C,$A49,'NSE - NIFTY Index Options'!$B:$B,E$4)+SUMIFS('NSE - Other Index Options'!$M:$M,'NSE - Other Index Options'!$C:$C,$A49,'NSE - Other Index Options'!$B:$B,E$4)=0,"",SUMIFS('NSE - NIFTY Index Options'!$M:$M,'NSE - NIFTY Index Options'!$C:$C,$A49,'NSE - NIFTY Index Options'!$B:$B,E$4)+SUMIFS('NSE - Other Index Options'!$M:$M,'NSE - Other Index Options'!$C:$C,$A49,'NSE - Other Index Options'!$B:$B,E$4))</f>
        <v/>
      </c>
      <c r="F49" s="26">
        <f>IF(SUMIFS('NSE - NIFTY Index Options'!$M:$M,'NSE - NIFTY Index Options'!$C:$C,$A49,'NSE - NIFTY Index Options'!$B:$B,F$4)+SUMIFS('NSE - Other Index Options'!$M:$M,'NSE - Other Index Options'!$C:$C,$A49,'NSE - Other Index Options'!$B:$B,F$4)=0,"",SUMIFS('NSE - NIFTY Index Options'!$M:$M,'NSE - NIFTY Index Options'!$C:$C,$A49,'NSE - NIFTY Index Options'!$B:$B,F$4)+SUMIFS('NSE - Other Index Options'!$M:$M,'NSE - Other Index Options'!$C:$C,$A49,'NSE - Other Index Options'!$B:$B,F$4))</f>
        <v/>
      </c>
      <c r="G49" s="26">
        <f>IF(SUMIFS('NSE - NIFTY Index Options'!$M:$M,'NSE - NIFTY Index Options'!$C:$C,$A49,'NSE - NIFTY Index Options'!$B:$B,G$4)+SUMIFS('NSE - Other Index Options'!$M:$M,'NSE - Other Index Options'!$C:$C,$A49,'NSE - Other Index Options'!$B:$B,G$4)=0,"",SUMIFS('NSE - NIFTY Index Options'!$M:$M,'NSE - NIFTY Index Options'!$C:$C,$A49,'NSE - NIFTY Index Options'!$B:$B,G$4)+SUMIFS('NSE - Other Index Options'!$M:$M,'NSE - Other Index Options'!$C:$C,$A49,'NSE - Other Index Options'!$B:$B,G$4))</f>
        <v/>
      </c>
      <c r="H49" s="26">
        <f>IF(SUM(B49:G49)=0,"",SUM(B49:G49))</f>
        <v/>
      </c>
    </row>
    <row r="50">
      <c r="A50" t="inlineStr">
        <is>
          <t>Week2-Jun-2026</t>
        </is>
      </c>
      <c r="B50" s="26">
        <f>IF(SUMIFS('NSE - NIFTY Index Options'!$M:$M,'NSE - NIFTY Index Options'!$C:$C,$A50,'NSE - NIFTY Index Options'!$B:$B,B$4)+SUMIFS('NSE - Other Index Options'!$M:$M,'NSE - Other Index Options'!$C:$C,$A50,'NSE - Other Index Options'!$B:$B,B$4)=0,"",SUMIFS('NSE - NIFTY Index Options'!$M:$M,'NSE - NIFTY Index Options'!$C:$C,$A50,'NSE - NIFTY Index Options'!$B:$B,B$4)+SUMIFS('NSE - Other Index Options'!$M:$M,'NSE - Other Index Options'!$C:$C,$A50,'NSE - Other Index Options'!$B:$B,B$4))</f>
        <v/>
      </c>
      <c r="C50" s="26">
        <f>IF(SUMIFS('NSE - NIFTY Index Options'!$M:$M,'NSE - NIFTY Index Options'!$C:$C,$A50,'NSE - NIFTY Index Options'!$B:$B,C$4)+SUMIFS('NSE - Other Index Options'!$M:$M,'NSE - Other Index Options'!$C:$C,$A50,'NSE - Other Index Options'!$B:$B,C$4)=0,"",SUMIFS('NSE - NIFTY Index Options'!$M:$M,'NSE - NIFTY Index Options'!$C:$C,$A50,'NSE - NIFTY Index Options'!$B:$B,C$4)+SUMIFS('NSE - Other Index Options'!$M:$M,'NSE - Other Index Options'!$C:$C,$A50,'NSE - Other Index Options'!$B:$B,C$4))</f>
        <v/>
      </c>
      <c r="D50" s="26">
        <f>IF(SUMIFS('NSE - NIFTY Index Options'!$M:$M,'NSE - NIFTY Index Options'!$C:$C,$A50,'NSE - NIFTY Index Options'!$B:$B,D$4)+SUMIFS('NSE - Other Index Options'!$M:$M,'NSE - Other Index Options'!$C:$C,$A50,'NSE - Other Index Options'!$B:$B,D$4)=0,"",SUMIFS('NSE - NIFTY Index Options'!$M:$M,'NSE - NIFTY Index Options'!$C:$C,$A50,'NSE - NIFTY Index Options'!$B:$B,D$4)+SUMIFS('NSE - Other Index Options'!$M:$M,'NSE - Other Index Options'!$C:$C,$A50,'NSE - Other Index Options'!$B:$B,D$4))</f>
        <v/>
      </c>
      <c r="E50" s="26">
        <f>IF(SUMIFS('NSE - NIFTY Index Options'!$M:$M,'NSE - NIFTY Index Options'!$C:$C,$A50,'NSE - NIFTY Index Options'!$B:$B,E$4)+SUMIFS('NSE - Other Index Options'!$M:$M,'NSE - Other Index Options'!$C:$C,$A50,'NSE - Other Index Options'!$B:$B,E$4)=0,"",SUMIFS('NSE - NIFTY Index Options'!$M:$M,'NSE - NIFTY Index Options'!$C:$C,$A50,'NSE - NIFTY Index Options'!$B:$B,E$4)+SUMIFS('NSE - Other Index Options'!$M:$M,'NSE - Other Index Options'!$C:$C,$A50,'NSE - Other Index Options'!$B:$B,E$4))</f>
        <v/>
      </c>
      <c r="F50" s="26">
        <f>IF(SUMIFS('NSE - NIFTY Index Options'!$M:$M,'NSE - NIFTY Index Options'!$C:$C,$A50,'NSE - NIFTY Index Options'!$B:$B,F$4)+SUMIFS('NSE - Other Index Options'!$M:$M,'NSE - Other Index Options'!$C:$C,$A50,'NSE - Other Index Options'!$B:$B,F$4)=0,"",SUMIFS('NSE - NIFTY Index Options'!$M:$M,'NSE - NIFTY Index Options'!$C:$C,$A50,'NSE - NIFTY Index Options'!$B:$B,F$4)+SUMIFS('NSE - Other Index Options'!$M:$M,'NSE - Other Index Options'!$C:$C,$A50,'NSE - Other Index Options'!$B:$B,F$4))</f>
        <v/>
      </c>
      <c r="G50" s="26">
        <f>IF(SUMIFS('NSE - NIFTY Index Options'!$M:$M,'NSE - NIFTY Index Options'!$C:$C,$A50,'NSE - NIFTY Index Options'!$B:$B,G$4)+SUMIFS('NSE - Other Index Options'!$M:$M,'NSE - Other Index Options'!$C:$C,$A50,'NSE - Other Index Options'!$B:$B,G$4)=0,"",SUMIFS('NSE - NIFTY Index Options'!$M:$M,'NSE - NIFTY Index Options'!$C:$C,$A50,'NSE - NIFTY Index Options'!$B:$B,G$4)+SUMIFS('NSE - Other Index Options'!$M:$M,'NSE - Other Index Options'!$C:$C,$A50,'NSE - Other Index Options'!$B:$B,G$4))</f>
        <v/>
      </c>
      <c r="H50" s="26">
        <f>IF(SUM(B50:G50)=0,"",SUM(B50:G50))</f>
        <v/>
      </c>
    </row>
    <row r="51">
      <c r="A51" t="inlineStr">
        <is>
          <t>Week3-Jun-2026</t>
        </is>
      </c>
      <c r="B51" s="26">
        <f>IF(SUMIFS('NSE - NIFTY Index Options'!$M:$M,'NSE - NIFTY Index Options'!$C:$C,$A51,'NSE - NIFTY Index Options'!$B:$B,B$4)+SUMIFS('NSE - Other Index Options'!$M:$M,'NSE - Other Index Options'!$C:$C,$A51,'NSE - Other Index Options'!$B:$B,B$4)=0,"",SUMIFS('NSE - NIFTY Index Options'!$M:$M,'NSE - NIFTY Index Options'!$C:$C,$A51,'NSE - NIFTY Index Options'!$B:$B,B$4)+SUMIFS('NSE - Other Index Options'!$M:$M,'NSE - Other Index Options'!$C:$C,$A51,'NSE - Other Index Options'!$B:$B,B$4))</f>
        <v/>
      </c>
      <c r="C51" s="26">
        <f>IF(SUMIFS('NSE - NIFTY Index Options'!$M:$M,'NSE - NIFTY Index Options'!$C:$C,$A51,'NSE - NIFTY Index Options'!$B:$B,C$4)+SUMIFS('NSE - Other Index Options'!$M:$M,'NSE - Other Index Options'!$C:$C,$A51,'NSE - Other Index Options'!$B:$B,C$4)=0,"",SUMIFS('NSE - NIFTY Index Options'!$M:$M,'NSE - NIFTY Index Options'!$C:$C,$A51,'NSE - NIFTY Index Options'!$B:$B,C$4)+SUMIFS('NSE - Other Index Options'!$M:$M,'NSE - Other Index Options'!$C:$C,$A51,'NSE - Other Index Options'!$B:$B,C$4))</f>
        <v/>
      </c>
      <c r="D51" s="26">
        <f>IF(SUMIFS('NSE - NIFTY Index Options'!$M:$M,'NSE - NIFTY Index Options'!$C:$C,$A51,'NSE - NIFTY Index Options'!$B:$B,D$4)+SUMIFS('NSE - Other Index Options'!$M:$M,'NSE - Other Index Options'!$C:$C,$A51,'NSE - Other Index Options'!$B:$B,D$4)=0,"",SUMIFS('NSE - NIFTY Index Options'!$M:$M,'NSE - NIFTY Index Options'!$C:$C,$A51,'NSE - NIFTY Index Options'!$B:$B,D$4)+SUMIFS('NSE - Other Index Options'!$M:$M,'NSE - Other Index Options'!$C:$C,$A51,'NSE - Other Index Options'!$B:$B,D$4))</f>
        <v/>
      </c>
      <c r="E51" s="26">
        <f>IF(SUMIFS('NSE - NIFTY Index Options'!$M:$M,'NSE - NIFTY Index Options'!$C:$C,$A51,'NSE - NIFTY Index Options'!$B:$B,E$4)+SUMIFS('NSE - Other Index Options'!$M:$M,'NSE - Other Index Options'!$C:$C,$A51,'NSE - Other Index Options'!$B:$B,E$4)=0,"",SUMIFS('NSE - NIFTY Index Options'!$M:$M,'NSE - NIFTY Index Options'!$C:$C,$A51,'NSE - NIFTY Index Options'!$B:$B,E$4)+SUMIFS('NSE - Other Index Options'!$M:$M,'NSE - Other Index Options'!$C:$C,$A51,'NSE - Other Index Options'!$B:$B,E$4))</f>
        <v/>
      </c>
      <c r="F51" s="26">
        <f>IF(SUMIFS('NSE - NIFTY Index Options'!$M:$M,'NSE - NIFTY Index Options'!$C:$C,$A51,'NSE - NIFTY Index Options'!$B:$B,F$4)+SUMIFS('NSE - Other Index Options'!$M:$M,'NSE - Other Index Options'!$C:$C,$A51,'NSE - Other Index Options'!$B:$B,F$4)=0,"",SUMIFS('NSE - NIFTY Index Options'!$M:$M,'NSE - NIFTY Index Options'!$C:$C,$A51,'NSE - NIFTY Index Options'!$B:$B,F$4)+SUMIFS('NSE - Other Index Options'!$M:$M,'NSE - Other Index Options'!$C:$C,$A51,'NSE - Other Index Options'!$B:$B,F$4))</f>
        <v/>
      </c>
      <c r="G51" s="26">
        <f>IF(SUMIFS('NSE - NIFTY Index Options'!$M:$M,'NSE - NIFTY Index Options'!$C:$C,$A51,'NSE - NIFTY Index Options'!$B:$B,G$4)+SUMIFS('NSE - Other Index Options'!$M:$M,'NSE - Other Index Options'!$C:$C,$A51,'NSE - Other Index Options'!$B:$B,G$4)=0,"",SUMIFS('NSE - NIFTY Index Options'!$M:$M,'NSE - NIFTY Index Options'!$C:$C,$A51,'NSE - NIFTY Index Options'!$B:$B,G$4)+SUMIFS('NSE - Other Index Options'!$M:$M,'NSE - Other Index Options'!$C:$C,$A51,'NSE - Other Index Options'!$B:$B,G$4))</f>
        <v/>
      </c>
      <c r="H51" s="26">
        <f>IF(SUM(B51:G51)=0,"",SUM(B51:G51))</f>
        <v/>
      </c>
    </row>
    <row r="52">
      <c r="A52" t="inlineStr">
        <is>
          <t>Week4-Jun-2026</t>
        </is>
      </c>
      <c r="B52" s="26">
        <f>IF(SUMIFS('NSE - NIFTY Index Options'!$M:$M,'NSE - NIFTY Index Options'!$C:$C,$A52,'NSE - NIFTY Index Options'!$B:$B,B$4)+SUMIFS('NSE - Other Index Options'!$M:$M,'NSE - Other Index Options'!$C:$C,$A52,'NSE - Other Index Options'!$B:$B,B$4)=0,"",SUMIFS('NSE - NIFTY Index Options'!$M:$M,'NSE - NIFTY Index Options'!$C:$C,$A52,'NSE - NIFTY Index Options'!$B:$B,B$4)+SUMIFS('NSE - Other Index Options'!$M:$M,'NSE - Other Index Options'!$C:$C,$A52,'NSE - Other Index Options'!$B:$B,B$4))</f>
        <v/>
      </c>
      <c r="C52" s="26">
        <f>IF(SUMIFS('NSE - NIFTY Index Options'!$M:$M,'NSE - NIFTY Index Options'!$C:$C,$A52,'NSE - NIFTY Index Options'!$B:$B,C$4)+SUMIFS('NSE - Other Index Options'!$M:$M,'NSE - Other Index Options'!$C:$C,$A52,'NSE - Other Index Options'!$B:$B,C$4)=0,"",SUMIFS('NSE - NIFTY Index Options'!$M:$M,'NSE - NIFTY Index Options'!$C:$C,$A52,'NSE - NIFTY Index Options'!$B:$B,C$4)+SUMIFS('NSE - Other Index Options'!$M:$M,'NSE - Other Index Options'!$C:$C,$A52,'NSE - Other Index Options'!$B:$B,C$4))</f>
        <v/>
      </c>
      <c r="D52" s="26">
        <f>IF(SUMIFS('NSE - NIFTY Index Options'!$M:$M,'NSE - NIFTY Index Options'!$C:$C,$A52,'NSE - NIFTY Index Options'!$B:$B,D$4)+SUMIFS('NSE - Other Index Options'!$M:$M,'NSE - Other Index Options'!$C:$C,$A52,'NSE - Other Index Options'!$B:$B,D$4)=0,"",SUMIFS('NSE - NIFTY Index Options'!$M:$M,'NSE - NIFTY Index Options'!$C:$C,$A52,'NSE - NIFTY Index Options'!$B:$B,D$4)+SUMIFS('NSE - Other Index Options'!$M:$M,'NSE - Other Index Options'!$C:$C,$A52,'NSE - Other Index Options'!$B:$B,D$4))</f>
        <v/>
      </c>
      <c r="E52" s="26">
        <f>IF(SUMIFS('NSE - NIFTY Index Options'!$M:$M,'NSE - NIFTY Index Options'!$C:$C,$A52,'NSE - NIFTY Index Options'!$B:$B,E$4)+SUMIFS('NSE - Other Index Options'!$M:$M,'NSE - Other Index Options'!$C:$C,$A52,'NSE - Other Index Options'!$B:$B,E$4)=0,"",SUMIFS('NSE - NIFTY Index Options'!$M:$M,'NSE - NIFTY Index Options'!$C:$C,$A52,'NSE - NIFTY Index Options'!$B:$B,E$4)+SUMIFS('NSE - Other Index Options'!$M:$M,'NSE - Other Index Options'!$C:$C,$A52,'NSE - Other Index Options'!$B:$B,E$4))</f>
        <v/>
      </c>
      <c r="F52" s="26">
        <f>IF(SUMIFS('NSE - NIFTY Index Options'!$M:$M,'NSE - NIFTY Index Options'!$C:$C,$A52,'NSE - NIFTY Index Options'!$B:$B,F$4)+SUMIFS('NSE - Other Index Options'!$M:$M,'NSE - Other Index Options'!$C:$C,$A52,'NSE - Other Index Options'!$B:$B,F$4)=0,"",SUMIFS('NSE - NIFTY Index Options'!$M:$M,'NSE - NIFTY Index Options'!$C:$C,$A52,'NSE - NIFTY Index Options'!$B:$B,F$4)+SUMIFS('NSE - Other Index Options'!$M:$M,'NSE - Other Index Options'!$C:$C,$A52,'NSE - Other Index Options'!$B:$B,F$4))</f>
        <v/>
      </c>
      <c r="G52" s="26">
        <f>IF(SUMIFS('NSE - NIFTY Index Options'!$M:$M,'NSE - NIFTY Index Options'!$C:$C,$A52,'NSE - NIFTY Index Options'!$B:$B,G$4)+SUMIFS('NSE - Other Index Options'!$M:$M,'NSE - Other Index Options'!$C:$C,$A52,'NSE - Other Index Options'!$B:$B,G$4)=0,"",SUMIFS('NSE - NIFTY Index Options'!$M:$M,'NSE - NIFTY Index Options'!$C:$C,$A52,'NSE - NIFTY Index Options'!$B:$B,G$4)+SUMIFS('NSE - Other Index Options'!$M:$M,'NSE - Other Index Options'!$C:$C,$A52,'NSE - Other Index Options'!$B:$B,G$4))</f>
        <v/>
      </c>
      <c r="H52" s="26">
        <f>IF(SUM(B52:G52)=0,"",SUM(B52:G52))</f>
        <v/>
      </c>
    </row>
    <row r="53">
      <c r="A53" t="inlineStr">
        <is>
          <t>Week5-Jun-2026</t>
        </is>
      </c>
      <c r="B53" s="26">
        <f>IF(SUMIFS('NSE - NIFTY Index Options'!$M:$M,'NSE - NIFTY Index Options'!$C:$C,$A53,'NSE - NIFTY Index Options'!$B:$B,B$4)+SUMIFS('NSE - Other Index Options'!$M:$M,'NSE - Other Index Options'!$C:$C,$A53,'NSE - Other Index Options'!$B:$B,B$4)=0,"",SUMIFS('NSE - NIFTY Index Options'!$M:$M,'NSE - NIFTY Index Options'!$C:$C,$A53,'NSE - NIFTY Index Options'!$B:$B,B$4)+SUMIFS('NSE - Other Index Options'!$M:$M,'NSE - Other Index Options'!$C:$C,$A53,'NSE - Other Index Options'!$B:$B,B$4))</f>
        <v/>
      </c>
      <c r="C53" s="26">
        <f>IF(SUMIFS('NSE - NIFTY Index Options'!$M:$M,'NSE - NIFTY Index Options'!$C:$C,$A53,'NSE - NIFTY Index Options'!$B:$B,C$4)+SUMIFS('NSE - Other Index Options'!$M:$M,'NSE - Other Index Options'!$C:$C,$A53,'NSE - Other Index Options'!$B:$B,C$4)=0,"",SUMIFS('NSE - NIFTY Index Options'!$M:$M,'NSE - NIFTY Index Options'!$C:$C,$A53,'NSE - NIFTY Index Options'!$B:$B,C$4)+SUMIFS('NSE - Other Index Options'!$M:$M,'NSE - Other Index Options'!$C:$C,$A53,'NSE - Other Index Options'!$B:$B,C$4))</f>
        <v/>
      </c>
      <c r="D53" s="26">
        <f>IF(SUMIFS('NSE - NIFTY Index Options'!$M:$M,'NSE - NIFTY Index Options'!$C:$C,$A53,'NSE - NIFTY Index Options'!$B:$B,D$4)+SUMIFS('NSE - Other Index Options'!$M:$M,'NSE - Other Index Options'!$C:$C,$A53,'NSE - Other Index Options'!$B:$B,D$4)=0,"",SUMIFS('NSE - NIFTY Index Options'!$M:$M,'NSE - NIFTY Index Options'!$C:$C,$A53,'NSE - NIFTY Index Options'!$B:$B,D$4)+SUMIFS('NSE - Other Index Options'!$M:$M,'NSE - Other Index Options'!$C:$C,$A53,'NSE - Other Index Options'!$B:$B,D$4))</f>
        <v/>
      </c>
      <c r="E53" s="26">
        <f>IF(SUMIFS('NSE - NIFTY Index Options'!$M:$M,'NSE - NIFTY Index Options'!$C:$C,$A53,'NSE - NIFTY Index Options'!$B:$B,E$4)+SUMIFS('NSE - Other Index Options'!$M:$M,'NSE - Other Index Options'!$C:$C,$A53,'NSE - Other Index Options'!$B:$B,E$4)=0,"",SUMIFS('NSE - NIFTY Index Options'!$M:$M,'NSE - NIFTY Index Options'!$C:$C,$A53,'NSE - NIFTY Index Options'!$B:$B,E$4)+SUMIFS('NSE - Other Index Options'!$M:$M,'NSE - Other Index Options'!$C:$C,$A53,'NSE - Other Index Options'!$B:$B,E$4))</f>
        <v/>
      </c>
      <c r="F53" s="26">
        <f>IF(SUMIFS('NSE - NIFTY Index Options'!$M:$M,'NSE - NIFTY Index Options'!$C:$C,$A53,'NSE - NIFTY Index Options'!$B:$B,F$4)+SUMIFS('NSE - Other Index Options'!$M:$M,'NSE - Other Index Options'!$C:$C,$A53,'NSE - Other Index Options'!$B:$B,F$4)=0,"",SUMIFS('NSE - NIFTY Index Options'!$M:$M,'NSE - NIFTY Index Options'!$C:$C,$A53,'NSE - NIFTY Index Options'!$B:$B,F$4)+SUMIFS('NSE - Other Index Options'!$M:$M,'NSE - Other Index Options'!$C:$C,$A53,'NSE - Other Index Options'!$B:$B,F$4))</f>
        <v/>
      </c>
      <c r="G53" s="26">
        <f>IF(SUMIFS('NSE - NIFTY Index Options'!$M:$M,'NSE - NIFTY Index Options'!$C:$C,$A53,'NSE - NIFTY Index Options'!$B:$B,G$4)+SUMIFS('NSE - Other Index Options'!$M:$M,'NSE - Other Index Options'!$C:$C,$A53,'NSE - Other Index Options'!$B:$B,G$4)=0,"",SUMIFS('NSE - NIFTY Index Options'!$M:$M,'NSE - NIFTY Index Options'!$C:$C,$A53,'NSE - NIFTY Index Options'!$B:$B,G$4)+SUMIFS('NSE - Other Index Options'!$M:$M,'NSE - Other Index Options'!$C:$C,$A53,'NSE - Other Index Options'!$B:$B,G$4))</f>
        <v/>
      </c>
      <c r="H53" s="26">
        <f>IF(SUM(B53:G53)=0,"",SUM(B53:G53))</f>
        <v/>
      </c>
    </row>
    <row r="54">
      <c r="A54" t="inlineStr">
        <is>
          <t>Week1-Jul-2026</t>
        </is>
      </c>
      <c r="B54" s="26">
        <f>IF(SUMIFS('NSE - NIFTY Index Options'!$M:$M,'NSE - NIFTY Index Options'!$C:$C,$A54,'NSE - NIFTY Index Options'!$B:$B,B$4)+SUMIFS('NSE - Other Index Options'!$M:$M,'NSE - Other Index Options'!$C:$C,$A54,'NSE - Other Index Options'!$B:$B,B$4)=0,"",SUMIFS('NSE - NIFTY Index Options'!$M:$M,'NSE - NIFTY Index Options'!$C:$C,$A54,'NSE - NIFTY Index Options'!$B:$B,B$4)+SUMIFS('NSE - Other Index Options'!$M:$M,'NSE - Other Index Options'!$C:$C,$A54,'NSE - Other Index Options'!$B:$B,B$4))</f>
        <v/>
      </c>
      <c r="C54" s="26">
        <f>IF(SUMIFS('NSE - NIFTY Index Options'!$M:$M,'NSE - NIFTY Index Options'!$C:$C,$A54,'NSE - NIFTY Index Options'!$B:$B,C$4)+SUMIFS('NSE - Other Index Options'!$M:$M,'NSE - Other Index Options'!$C:$C,$A54,'NSE - Other Index Options'!$B:$B,C$4)=0,"",SUMIFS('NSE - NIFTY Index Options'!$M:$M,'NSE - NIFTY Index Options'!$C:$C,$A54,'NSE - NIFTY Index Options'!$B:$B,C$4)+SUMIFS('NSE - Other Index Options'!$M:$M,'NSE - Other Index Options'!$C:$C,$A54,'NSE - Other Index Options'!$B:$B,C$4))</f>
        <v/>
      </c>
      <c r="D54" s="26">
        <f>IF(SUMIFS('NSE - NIFTY Index Options'!$M:$M,'NSE - NIFTY Index Options'!$C:$C,$A54,'NSE - NIFTY Index Options'!$B:$B,D$4)+SUMIFS('NSE - Other Index Options'!$M:$M,'NSE - Other Index Options'!$C:$C,$A54,'NSE - Other Index Options'!$B:$B,D$4)=0,"",SUMIFS('NSE - NIFTY Index Options'!$M:$M,'NSE - NIFTY Index Options'!$C:$C,$A54,'NSE - NIFTY Index Options'!$B:$B,D$4)+SUMIFS('NSE - Other Index Options'!$M:$M,'NSE - Other Index Options'!$C:$C,$A54,'NSE - Other Index Options'!$B:$B,D$4))</f>
        <v/>
      </c>
      <c r="E54" s="26">
        <f>IF(SUMIFS('NSE - NIFTY Index Options'!$M:$M,'NSE - NIFTY Index Options'!$C:$C,$A54,'NSE - NIFTY Index Options'!$B:$B,E$4)+SUMIFS('NSE - Other Index Options'!$M:$M,'NSE - Other Index Options'!$C:$C,$A54,'NSE - Other Index Options'!$B:$B,E$4)=0,"",SUMIFS('NSE - NIFTY Index Options'!$M:$M,'NSE - NIFTY Index Options'!$C:$C,$A54,'NSE - NIFTY Index Options'!$B:$B,E$4)+SUMIFS('NSE - Other Index Options'!$M:$M,'NSE - Other Index Options'!$C:$C,$A54,'NSE - Other Index Options'!$B:$B,E$4))</f>
        <v/>
      </c>
      <c r="F54" s="26">
        <f>IF(SUMIFS('NSE - NIFTY Index Options'!$M:$M,'NSE - NIFTY Index Options'!$C:$C,$A54,'NSE - NIFTY Index Options'!$B:$B,F$4)+SUMIFS('NSE - Other Index Options'!$M:$M,'NSE - Other Index Options'!$C:$C,$A54,'NSE - Other Index Options'!$B:$B,F$4)=0,"",SUMIFS('NSE - NIFTY Index Options'!$M:$M,'NSE - NIFTY Index Options'!$C:$C,$A54,'NSE - NIFTY Index Options'!$B:$B,F$4)+SUMIFS('NSE - Other Index Options'!$M:$M,'NSE - Other Index Options'!$C:$C,$A54,'NSE - Other Index Options'!$B:$B,F$4))</f>
        <v/>
      </c>
      <c r="G54" s="26">
        <f>IF(SUMIFS('NSE - NIFTY Index Options'!$M:$M,'NSE - NIFTY Index Options'!$C:$C,$A54,'NSE - NIFTY Index Options'!$B:$B,G$4)+SUMIFS('NSE - Other Index Options'!$M:$M,'NSE - Other Index Options'!$C:$C,$A54,'NSE - Other Index Options'!$B:$B,G$4)=0,"",SUMIFS('NSE - NIFTY Index Options'!$M:$M,'NSE - NIFTY Index Options'!$C:$C,$A54,'NSE - NIFTY Index Options'!$B:$B,G$4)+SUMIFS('NSE - Other Index Options'!$M:$M,'NSE - Other Index Options'!$C:$C,$A54,'NSE - Other Index Options'!$B:$B,G$4))</f>
        <v/>
      </c>
      <c r="H54" s="26">
        <f>IF(SUM(B54:G54)=0,"",SUM(B54:G54))</f>
        <v/>
      </c>
    </row>
    <row r="55">
      <c r="A55" t="inlineStr">
        <is>
          <t>Week2-Jul-2026</t>
        </is>
      </c>
      <c r="B55" s="26">
        <f>IF(SUMIFS('NSE - NIFTY Index Options'!$M:$M,'NSE - NIFTY Index Options'!$C:$C,$A55,'NSE - NIFTY Index Options'!$B:$B,B$4)+SUMIFS('NSE - Other Index Options'!$M:$M,'NSE - Other Index Options'!$C:$C,$A55,'NSE - Other Index Options'!$B:$B,B$4)=0,"",SUMIFS('NSE - NIFTY Index Options'!$M:$M,'NSE - NIFTY Index Options'!$C:$C,$A55,'NSE - NIFTY Index Options'!$B:$B,B$4)+SUMIFS('NSE - Other Index Options'!$M:$M,'NSE - Other Index Options'!$C:$C,$A55,'NSE - Other Index Options'!$B:$B,B$4))</f>
        <v/>
      </c>
      <c r="C55" s="26">
        <f>IF(SUMIFS('NSE - NIFTY Index Options'!$M:$M,'NSE - NIFTY Index Options'!$C:$C,$A55,'NSE - NIFTY Index Options'!$B:$B,C$4)+SUMIFS('NSE - Other Index Options'!$M:$M,'NSE - Other Index Options'!$C:$C,$A55,'NSE - Other Index Options'!$B:$B,C$4)=0,"",SUMIFS('NSE - NIFTY Index Options'!$M:$M,'NSE - NIFTY Index Options'!$C:$C,$A55,'NSE - NIFTY Index Options'!$B:$B,C$4)+SUMIFS('NSE - Other Index Options'!$M:$M,'NSE - Other Index Options'!$C:$C,$A55,'NSE - Other Index Options'!$B:$B,C$4))</f>
        <v/>
      </c>
      <c r="D55" s="26">
        <f>IF(SUMIFS('NSE - NIFTY Index Options'!$M:$M,'NSE - NIFTY Index Options'!$C:$C,$A55,'NSE - NIFTY Index Options'!$B:$B,D$4)+SUMIFS('NSE - Other Index Options'!$M:$M,'NSE - Other Index Options'!$C:$C,$A55,'NSE - Other Index Options'!$B:$B,D$4)=0,"",SUMIFS('NSE - NIFTY Index Options'!$M:$M,'NSE - NIFTY Index Options'!$C:$C,$A55,'NSE - NIFTY Index Options'!$B:$B,D$4)+SUMIFS('NSE - Other Index Options'!$M:$M,'NSE - Other Index Options'!$C:$C,$A55,'NSE - Other Index Options'!$B:$B,D$4))</f>
        <v/>
      </c>
      <c r="E55" s="26">
        <f>IF(SUMIFS('NSE - NIFTY Index Options'!$M:$M,'NSE - NIFTY Index Options'!$C:$C,$A55,'NSE - NIFTY Index Options'!$B:$B,E$4)+SUMIFS('NSE - Other Index Options'!$M:$M,'NSE - Other Index Options'!$C:$C,$A55,'NSE - Other Index Options'!$B:$B,E$4)=0,"",SUMIFS('NSE - NIFTY Index Options'!$M:$M,'NSE - NIFTY Index Options'!$C:$C,$A55,'NSE - NIFTY Index Options'!$B:$B,E$4)+SUMIFS('NSE - Other Index Options'!$M:$M,'NSE - Other Index Options'!$C:$C,$A55,'NSE - Other Index Options'!$B:$B,E$4))</f>
        <v/>
      </c>
      <c r="F55" s="26">
        <f>IF(SUMIFS('NSE - NIFTY Index Options'!$M:$M,'NSE - NIFTY Index Options'!$C:$C,$A55,'NSE - NIFTY Index Options'!$B:$B,F$4)+SUMIFS('NSE - Other Index Options'!$M:$M,'NSE - Other Index Options'!$C:$C,$A55,'NSE - Other Index Options'!$B:$B,F$4)=0,"",SUMIFS('NSE - NIFTY Index Options'!$M:$M,'NSE - NIFTY Index Options'!$C:$C,$A55,'NSE - NIFTY Index Options'!$B:$B,F$4)+SUMIFS('NSE - Other Index Options'!$M:$M,'NSE - Other Index Options'!$C:$C,$A55,'NSE - Other Index Options'!$B:$B,F$4))</f>
        <v/>
      </c>
      <c r="G55" s="26">
        <f>IF(SUMIFS('NSE - NIFTY Index Options'!$M:$M,'NSE - NIFTY Index Options'!$C:$C,$A55,'NSE - NIFTY Index Options'!$B:$B,G$4)+SUMIFS('NSE - Other Index Options'!$M:$M,'NSE - Other Index Options'!$C:$C,$A55,'NSE - Other Index Options'!$B:$B,G$4)=0,"",SUMIFS('NSE - NIFTY Index Options'!$M:$M,'NSE - NIFTY Index Options'!$C:$C,$A55,'NSE - NIFTY Index Options'!$B:$B,G$4)+SUMIFS('NSE - Other Index Options'!$M:$M,'NSE - Other Index Options'!$C:$C,$A55,'NSE - Other Index Options'!$B:$B,G$4))</f>
        <v/>
      </c>
      <c r="H55" s="26">
        <f>IF(SUM(B55:G55)=0,"",SUM(B55:G55))</f>
        <v/>
      </c>
    </row>
    <row r="56">
      <c r="A56" t="inlineStr">
        <is>
          <t>Week3-Jul-2026</t>
        </is>
      </c>
      <c r="B56" s="26">
        <f>IF(SUMIFS('NSE - NIFTY Index Options'!$M:$M,'NSE - NIFTY Index Options'!$C:$C,$A56,'NSE - NIFTY Index Options'!$B:$B,B$4)+SUMIFS('NSE - Other Index Options'!$M:$M,'NSE - Other Index Options'!$C:$C,$A56,'NSE - Other Index Options'!$B:$B,B$4)=0,"",SUMIFS('NSE - NIFTY Index Options'!$M:$M,'NSE - NIFTY Index Options'!$C:$C,$A56,'NSE - NIFTY Index Options'!$B:$B,B$4)+SUMIFS('NSE - Other Index Options'!$M:$M,'NSE - Other Index Options'!$C:$C,$A56,'NSE - Other Index Options'!$B:$B,B$4))</f>
        <v/>
      </c>
      <c r="C56" s="26">
        <f>IF(SUMIFS('NSE - NIFTY Index Options'!$M:$M,'NSE - NIFTY Index Options'!$C:$C,$A56,'NSE - NIFTY Index Options'!$B:$B,C$4)+SUMIFS('NSE - Other Index Options'!$M:$M,'NSE - Other Index Options'!$C:$C,$A56,'NSE - Other Index Options'!$B:$B,C$4)=0,"",SUMIFS('NSE - NIFTY Index Options'!$M:$M,'NSE - NIFTY Index Options'!$C:$C,$A56,'NSE - NIFTY Index Options'!$B:$B,C$4)+SUMIFS('NSE - Other Index Options'!$M:$M,'NSE - Other Index Options'!$C:$C,$A56,'NSE - Other Index Options'!$B:$B,C$4))</f>
        <v/>
      </c>
      <c r="D56" s="26">
        <f>IF(SUMIFS('NSE - NIFTY Index Options'!$M:$M,'NSE - NIFTY Index Options'!$C:$C,$A56,'NSE - NIFTY Index Options'!$B:$B,D$4)+SUMIFS('NSE - Other Index Options'!$M:$M,'NSE - Other Index Options'!$C:$C,$A56,'NSE - Other Index Options'!$B:$B,D$4)=0,"",SUMIFS('NSE - NIFTY Index Options'!$M:$M,'NSE - NIFTY Index Options'!$C:$C,$A56,'NSE - NIFTY Index Options'!$B:$B,D$4)+SUMIFS('NSE - Other Index Options'!$M:$M,'NSE - Other Index Options'!$C:$C,$A56,'NSE - Other Index Options'!$B:$B,D$4))</f>
        <v/>
      </c>
      <c r="E56" s="26">
        <f>IF(SUMIFS('NSE - NIFTY Index Options'!$M:$M,'NSE - NIFTY Index Options'!$C:$C,$A56,'NSE - NIFTY Index Options'!$B:$B,E$4)+SUMIFS('NSE - Other Index Options'!$M:$M,'NSE - Other Index Options'!$C:$C,$A56,'NSE - Other Index Options'!$B:$B,E$4)=0,"",SUMIFS('NSE - NIFTY Index Options'!$M:$M,'NSE - NIFTY Index Options'!$C:$C,$A56,'NSE - NIFTY Index Options'!$B:$B,E$4)+SUMIFS('NSE - Other Index Options'!$M:$M,'NSE - Other Index Options'!$C:$C,$A56,'NSE - Other Index Options'!$B:$B,E$4))</f>
        <v/>
      </c>
      <c r="F56" s="26">
        <f>IF(SUMIFS('NSE - NIFTY Index Options'!$M:$M,'NSE - NIFTY Index Options'!$C:$C,$A56,'NSE - NIFTY Index Options'!$B:$B,F$4)+SUMIFS('NSE - Other Index Options'!$M:$M,'NSE - Other Index Options'!$C:$C,$A56,'NSE - Other Index Options'!$B:$B,F$4)=0,"",SUMIFS('NSE - NIFTY Index Options'!$M:$M,'NSE - NIFTY Index Options'!$C:$C,$A56,'NSE - NIFTY Index Options'!$B:$B,F$4)+SUMIFS('NSE - Other Index Options'!$M:$M,'NSE - Other Index Options'!$C:$C,$A56,'NSE - Other Index Options'!$B:$B,F$4))</f>
        <v/>
      </c>
      <c r="G56" s="26">
        <f>IF(SUMIFS('NSE - NIFTY Index Options'!$M:$M,'NSE - NIFTY Index Options'!$C:$C,$A56,'NSE - NIFTY Index Options'!$B:$B,G$4)+SUMIFS('NSE - Other Index Options'!$M:$M,'NSE - Other Index Options'!$C:$C,$A56,'NSE - Other Index Options'!$B:$B,G$4)=0,"",SUMIFS('NSE - NIFTY Index Options'!$M:$M,'NSE - NIFTY Index Options'!$C:$C,$A56,'NSE - NIFTY Index Options'!$B:$B,G$4)+SUMIFS('NSE - Other Index Options'!$M:$M,'NSE - Other Index Options'!$C:$C,$A56,'NSE - Other Index Options'!$B:$B,G$4))</f>
        <v/>
      </c>
      <c r="H56" s="26">
        <f>IF(SUM(B56:G56)=0,"",SUM(B56:G56))</f>
        <v/>
      </c>
    </row>
    <row r="57">
      <c r="A57" t="inlineStr">
        <is>
          <t>Week4-Jul-2026</t>
        </is>
      </c>
      <c r="B57" s="26">
        <f>IF(SUMIFS('NSE - NIFTY Index Options'!$M:$M,'NSE - NIFTY Index Options'!$C:$C,$A57,'NSE - NIFTY Index Options'!$B:$B,B$4)+SUMIFS('NSE - Other Index Options'!$M:$M,'NSE - Other Index Options'!$C:$C,$A57,'NSE - Other Index Options'!$B:$B,B$4)=0,"",SUMIFS('NSE - NIFTY Index Options'!$M:$M,'NSE - NIFTY Index Options'!$C:$C,$A57,'NSE - NIFTY Index Options'!$B:$B,B$4)+SUMIFS('NSE - Other Index Options'!$M:$M,'NSE - Other Index Options'!$C:$C,$A57,'NSE - Other Index Options'!$B:$B,B$4))</f>
        <v/>
      </c>
      <c r="C57" s="26">
        <f>IF(SUMIFS('NSE - NIFTY Index Options'!$M:$M,'NSE - NIFTY Index Options'!$C:$C,$A57,'NSE - NIFTY Index Options'!$B:$B,C$4)+SUMIFS('NSE - Other Index Options'!$M:$M,'NSE - Other Index Options'!$C:$C,$A57,'NSE - Other Index Options'!$B:$B,C$4)=0,"",SUMIFS('NSE - NIFTY Index Options'!$M:$M,'NSE - NIFTY Index Options'!$C:$C,$A57,'NSE - NIFTY Index Options'!$B:$B,C$4)+SUMIFS('NSE - Other Index Options'!$M:$M,'NSE - Other Index Options'!$C:$C,$A57,'NSE - Other Index Options'!$B:$B,C$4))</f>
        <v/>
      </c>
      <c r="D57" s="26">
        <f>IF(SUMIFS('NSE - NIFTY Index Options'!$M:$M,'NSE - NIFTY Index Options'!$C:$C,$A57,'NSE - NIFTY Index Options'!$B:$B,D$4)+SUMIFS('NSE - Other Index Options'!$M:$M,'NSE - Other Index Options'!$C:$C,$A57,'NSE - Other Index Options'!$B:$B,D$4)=0,"",SUMIFS('NSE - NIFTY Index Options'!$M:$M,'NSE - NIFTY Index Options'!$C:$C,$A57,'NSE - NIFTY Index Options'!$B:$B,D$4)+SUMIFS('NSE - Other Index Options'!$M:$M,'NSE - Other Index Options'!$C:$C,$A57,'NSE - Other Index Options'!$B:$B,D$4))</f>
        <v/>
      </c>
      <c r="E57" s="26">
        <f>IF(SUMIFS('NSE - NIFTY Index Options'!$M:$M,'NSE - NIFTY Index Options'!$C:$C,$A57,'NSE - NIFTY Index Options'!$B:$B,E$4)+SUMIFS('NSE - Other Index Options'!$M:$M,'NSE - Other Index Options'!$C:$C,$A57,'NSE - Other Index Options'!$B:$B,E$4)=0,"",SUMIFS('NSE - NIFTY Index Options'!$M:$M,'NSE - NIFTY Index Options'!$C:$C,$A57,'NSE - NIFTY Index Options'!$B:$B,E$4)+SUMIFS('NSE - Other Index Options'!$M:$M,'NSE - Other Index Options'!$C:$C,$A57,'NSE - Other Index Options'!$B:$B,E$4))</f>
        <v/>
      </c>
      <c r="F57" s="26">
        <f>IF(SUMIFS('NSE - NIFTY Index Options'!$M:$M,'NSE - NIFTY Index Options'!$C:$C,$A57,'NSE - NIFTY Index Options'!$B:$B,F$4)+SUMIFS('NSE - Other Index Options'!$M:$M,'NSE - Other Index Options'!$C:$C,$A57,'NSE - Other Index Options'!$B:$B,F$4)=0,"",SUMIFS('NSE - NIFTY Index Options'!$M:$M,'NSE - NIFTY Index Options'!$C:$C,$A57,'NSE - NIFTY Index Options'!$B:$B,F$4)+SUMIFS('NSE - Other Index Options'!$M:$M,'NSE - Other Index Options'!$C:$C,$A57,'NSE - Other Index Options'!$B:$B,F$4))</f>
        <v/>
      </c>
      <c r="G57" s="26">
        <f>IF(SUMIFS('NSE - NIFTY Index Options'!$M:$M,'NSE - NIFTY Index Options'!$C:$C,$A57,'NSE - NIFTY Index Options'!$B:$B,G$4)+SUMIFS('NSE - Other Index Options'!$M:$M,'NSE - Other Index Options'!$C:$C,$A57,'NSE - Other Index Options'!$B:$B,G$4)=0,"",SUMIFS('NSE - NIFTY Index Options'!$M:$M,'NSE - NIFTY Index Options'!$C:$C,$A57,'NSE - NIFTY Index Options'!$B:$B,G$4)+SUMIFS('NSE - Other Index Options'!$M:$M,'NSE - Other Index Options'!$C:$C,$A57,'NSE - Other Index Options'!$B:$B,G$4))</f>
        <v/>
      </c>
      <c r="H57" s="26">
        <f>IF(SUM(B57:G57)=0,"",SUM(B57:G57))</f>
        <v/>
      </c>
    </row>
    <row r="58">
      <c r="A58" t="inlineStr">
        <is>
          <t>Week5-Jul-2026</t>
        </is>
      </c>
      <c r="B58" s="26">
        <f>IF(SUMIFS('NSE - NIFTY Index Options'!$M:$M,'NSE - NIFTY Index Options'!$C:$C,$A58,'NSE - NIFTY Index Options'!$B:$B,B$4)+SUMIFS('NSE - Other Index Options'!$M:$M,'NSE - Other Index Options'!$C:$C,$A58,'NSE - Other Index Options'!$B:$B,B$4)=0,"",SUMIFS('NSE - NIFTY Index Options'!$M:$M,'NSE - NIFTY Index Options'!$C:$C,$A58,'NSE - NIFTY Index Options'!$B:$B,B$4)+SUMIFS('NSE - Other Index Options'!$M:$M,'NSE - Other Index Options'!$C:$C,$A58,'NSE - Other Index Options'!$B:$B,B$4))</f>
        <v/>
      </c>
      <c r="C58" s="26">
        <f>IF(SUMIFS('NSE - NIFTY Index Options'!$M:$M,'NSE - NIFTY Index Options'!$C:$C,$A58,'NSE - NIFTY Index Options'!$B:$B,C$4)+SUMIFS('NSE - Other Index Options'!$M:$M,'NSE - Other Index Options'!$C:$C,$A58,'NSE - Other Index Options'!$B:$B,C$4)=0,"",SUMIFS('NSE - NIFTY Index Options'!$M:$M,'NSE - NIFTY Index Options'!$C:$C,$A58,'NSE - NIFTY Index Options'!$B:$B,C$4)+SUMIFS('NSE - Other Index Options'!$M:$M,'NSE - Other Index Options'!$C:$C,$A58,'NSE - Other Index Options'!$B:$B,C$4))</f>
        <v/>
      </c>
      <c r="D58" s="26">
        <f>IF(SUMIFS('NSE - NIFTY Index Options'!$M:$M,'NSE - NIFTY Index Options'!$C:$C,$A58,'NSE - NIFTY Index Options'!$B:$B,D$4)+SUMIFS('NSE - Other Index Options'!$M:$M,'NSE - Other Index Options'!$C:$C,$A58,'NSE - Other Index Options'!$B:$B,D$4)=0,"",SUMIFS('NSE - NIFTY Index Options'!$M:$M,'NSE - NIFTY Index Options'!$C:$C,$A58,'NSE - NIFTY Index Options'!$B:$B,D$4)+SUMIFS('NSE - Other Index Options'!$M:$M,'NSE - Other Index Options'!$C:$C,$A58,'NSE - Other Index Options'!$B:$B,D$4))</f>
        <v/>
      </c>
      <c r="E58" s="26">
        <f>IF(SUMIFS('NSE - NIFTY Index Options'!$M:$M,'NSE - NIFTY Index Options'!$C:$C,$A58,'NSE - NIFTY Index Options'!$B:$B,E$4)+SUMIFS('NSE - Other Index Options'!$M:$M,'NSE - Other Index Options'!$C:$C,$A58,'NSE - Other Index Options'!$B:$B,E$4)=0,"",SUMIFS('NSE - NIFTY Index Options'!$M:$M,'NSE - NIFTY Index Options'!$C:$C,$A58,'NSE - NIFTY Index Options'!$B:$B,E$4)+SUMIFS('NSE - Other Index Options'!$M:$M,'NSE - Other Index Options'!$C:$C,$A58,'NSE - Other Index Options'!$B:$B,E$4))</f>
        <v/>
      </c>
      <c r="F58" s="26">
        <f>IF(SUMIFS('NSE - NIFTY Index Options'!$M:$M,'NSE - NIFTY Index Options'!$C:$C,$A58,'NSE - NIFTY Index Options'!$B:$B,F$4)+SUMIFS('NSE - Other Index Options'!$M:$M,'NSE - Other Index Options'!$C:$C,$A58,'NSE - Other Index Options'!$B:$B,F$4)=0,"",SUMIFS('NSE - NIFTY Index Options'!$M:$M,'NSE - NIFTY Index Options'!$C:$C,$A58,'NSE - NIFTY Index Options'!$B:$B,F$4)+SUMIFS('NSE - Other Index Options'!$M:$M,'NSE - Other Index Options'!$C:$C,$A58,'NSE - Other Index Options'!$B:$B,F$4))</f>
        <v/>
      </c>
      <c r="G58" s="26">
        <f>IF(SUMIFS('NSE - NIFTY Index Options'!$M:$M,'NSE - NIFTY Index Options'!$C:$C,$A58,'NSE - NIFTY Index Options'!$B:$B,G$4)+SUMIFS('NSE - Other Index Options'!$M:$M,'NSE - Other Index Options'!$C:$C,$A58,'NSE - Other Index Options'!$B:$B,G$4)=0,"",SUMIFS('NSE - NIFTY Index Options'!$M:$M,'NSE - NIFTY Index Options'!$C:$C,$A58,'NSE - NIFTY Index Options'!$B:$B,G$4)+SUMIFS('NSE - Other Index Options'!$M:$M,'NSE - Other Index Options'!$C:$C,$A58,'NSE - Other Index Options'!$B:$B,G$4))</f>
        <v/>
      </c>
      <c r="H58" s="26">
        <f>IF(SUM(B58:G58)=0,"",SUM(B58:G58))</f>
        <v/>
      </c>
    </row>
    <row r="59">
      <c r="A59" t="inlineStr">
        <is>
          <t>Week1-Aug-2026</t>
        </is>
      </c>
      <c r="B59" s="26">
        <f>IF(SUMIFS('NSE - NIFTY Index Options'!$M:$M,'NSE - NIFTY Index Options'!$C:$C,$A59,'NSE - NIFTY Index Options'!$B:$B,B$4)+SUMIFS('NSE - Other Index Options'!$M:$M,'NSE - Other Index Options'!$C:$C,$A59,'NSE - Other Index Options'!$B:$B,B$4)=0,"",SUMIFS('NSE - NIFTY Index Options'!$M:$M,'NSE - NIFTY Index Options'!$C:$C,$A59,'NSE - NIFTY Index Options'!$B:$B,B$4)+SUMIFS('NSE - Other Index Options'!$M:$M,'NSE - Other Index Options'!$C:$C,$A59,'NSE - Other Index Options'!$B:$B,B$4))</f>
        <v/>
      </c>
      <c r="C59" s="26">
        <f>IF(SUMIFS('NSE - NIFTY Index Options'!$M:$M,'NSE - NIFTY Index Options'!$C:$C,$A59,'NSE - NIFTY Index Options'!$B:$B,C$4)+SUMIFS('NSE - Other Index Options'!$M:$M,'NSE - Other Index Options'!$C:$C,$A59,'NSE - Other Index Options'!$B:$B,C$4)=0,"",SUMIFS('NSE - NIFTY Index Options'!$M:$M,'NSE - NIFTY Index Options'!$C:$C,$A59,'NSE - NIFTY Index Options'!$B:$B,C$4)+SUMIFS('NSE - Other Index Options'!$M:$M,'NSE - Other Index Options'!$C:$C,$A59,'NSE - Other Index Options'!$B:$B,C$4))</f>
        <v/>
      </c>
      <c r="D59" s="26">
        <f>IF(SUMIFS('NSE - NIFTY Index Options'!$M:$M,'NSE - NIFTY Index Options'!$C:$C,$A59,'NSE - NIFTY Index Options'!$B:$B,D$4)+SUMIFS('NSE - Other Index Options'!$M:$M,'NSE - Other Index Options'!$C:$C,$A59,'NSE - Other Index Options'!$B:$B,D$4)=0,"",SUMIFS('NSE - NIFTY Index Options'!$M:$M,'NSE - NIFTY Index Options'!$C:$C,$A59,'NSE - NIFTY Index Options'!$B:$B,D$4)+SUMIFS('NSE - Other Index Options'!$M:$M,'NSE - Other Index Options'!$C:$C,$A59,'NSE - Other Index Options'!$B:$B,D$4))</f>
        <v/>
      </c>
      <c r="E59" s="26">
        <f>IF(SUMIFS('NSE - NIFTY Index Options'!$M:$M,'NSE - NIFTY Index Options'!$C:$C,$A59,'NSE - NIFTY Index Options'!$B:$B,E$4)+SUMIFS('NSE - Other Index Options'!$M:$M,'NSE - Other Index Options'!$C:$C,$A59,'NSE - Other Index Options'!$B:$B,E$4)=0,"",SUMIFS('NSE - NIFTY Index Options'!$M:$M,'NSE - NIFTY Index Options'!$C:$C,$A59,'NSE - NIFTY Index Options'!$B:$B,E$4)+SUMIFS('NSE - Other Index Options'!$M:$M,'NSE - Other Index Options'!$C:$C,$A59,'NSE - Other Index Options'!$B:$B,E$4))</f>
        <v/>
      </c>
      <c r="F59" s="26">
        <f>IF(SUMIFS('NSE - NIFTY Index Options'!$M:$M,'NSE - NIFTY Index Options'!$C:$C,$A59,'NSE - NIFTY Index Options'!$B:$B,F$4)+SUMIFS('NSE - Other Index Options'!$M:$M,'NSE - Other Index Options'!$C:$C,$A59,'NSE - Other Index Options'!$B:$B,F$4)=0,"",SUMIFS('NSE - NIFTY Index Options'!$M:$M,'NSE - NIFTY Index Options'!$C:$C,$A59,'NSE - NIFTY Index Options'!$B:$B,F$4)+SUMIFS('NSE - Other Index Options'!$M:$M,'NSE - Other Index Options'!$C:$C,$A59,'NSE - Other Index Options'!$B:$B,F$4))</f>
        <v/>
      </c>
      <c r="G59" s="26">
        <f>IF(SUMIFS('NSE - NIFTY Index Options'!$M:$M,'NSE - NIFTY Index Options'!$C:$C,$A59,'NSE - NIFTY Index Options'!$B:$B,G$4)+SUMIFS('NSE - Other Index Options'!$M:$M,'NSE - Other Index Options'!$C:$C,$A59,'NSE - Other Index Options'!$B:$B,G$4)=0,"",SUMIFS('NSE - NIFTY Index Options'!$M:$M,'NSE - NIFTY Index Options'!$C:$C,$A59,'NSE - NIFTY Index Options'!$B:$B,G$4)+SUMIFS('NSE - Other Index Options'!$M:$M,'NSE - Other Index Options'!$C:$C,$A59,'NSE - Other Index Options'!$B:$B,G$4))</f>
        <v/>
      </c>
      <c r="H59" s="26">
        <f>IF(SUM(B59:G59)=0,"",SUM(B59:G59))</f>
        <v/>
      </c>
    </row>
    <row r="60" hidden="1" outlineLevel="1">
      <c r="A60" t="inlineStr">
        <is>
          <t>Week2-Aug-2026</t>
        </is>
      </c>
      <c r="B60" s="26">
        <f>IF(SUMIFS('NSE - NIFTY Index Options'!$M:$M,'NSE - NIFTY Index Options'!$C:$C,$A60,'NSE - NIFTY Index Options'!$B:$B,B$4)+SUMIFS('NSE - Other Index Options'!$M:$M,'NSE - Other Index Options'!$C:$C,$A60,'NSE - Other Index Options'!$B:$B,B$4)=0,"",SUMIFS('NSE - NIFTY Index Options'!$M:$M,'NSE - NIFTY Index Options'!$C:$C,$A60,'NSE - NIFTY Index Options'!$B:$B,B$4)+SUMIFS('NSE - Other Index Options'!$M:$M,'NSE - Other Index Options'!$C:$C,$A60,'NSE - Other Index Options'!$B:$B,B$4))</f>
        <v/>
      </c>
      <c r="C60" s="26">
        <f>IF(SUMIFS('NSE - NIFTY Index Options'!$M:$M,'NSE - NIFTY Index Options'!$C:$C,$A60,'NSE - NIFTY Index Options'!$B:$B,C$4)+SUMIFS('NSE - Other Index Options'!$M:$M,'NSE - Other Index Options'!$C:$C,$A60,'NSE - Other Index Options'!$B:$B,C$4)=0,"",SUMIFS('NSE - NIFTY Index Options'!$M:$M,'NSE - NIFTY Index Options'!$C:$C,$A60,'NSE - NIFTY Index Options'!$B:$B,C$4)+SUMIFS('NSE - Other Index Options'!$M:$M,'NSE - Other Index Options'!$C:$C,$A60,'NSE - Other Index Options'!$B:$B,C$4))</f>
        <v/>
      </c>
      <c r="D60" s="26">
        <f>IF(SUMIFS('NSE - NIFTY Index Options'!$M:$M,'NSE - NIFTY Index Options'!$C:$C,$A60,'NSE - NIFTY Index Options'!$B:$B,D$4)+SUMIFS('NSE - Other Index Options'!$M:$M,'NSE - Other Index Options'!$C:$C,$A60,'NSE - Other Index Options'!$B:$B,D$4)=0,"",SUMIFS('NSE - NIFTY Index Options'!$M:$M,'NSE - NIFTY Index Options'!$C:$C,$A60,'NSE - NIFTY Index Options'!$B:$B,D$4)+SUMIFS('NSE - Other Index Options'!$M:$M,'NSE - Other Index Options'!$C:$C,$A60,'NSE - Other Index Options'!$B:$B,D$4))</f>
        <v/>
      </c>
      <c r="E60" s="26">
        <f>IF(SUMIFS('NSE - NIFTY Index Options'!$M:$M,'NSE - NIFTY Index Options'!$C:$C,$A60,'NSE - NIFTY Index Options'!$B:$B,E$4)+SUMIFS('NSE - Other Index Options'!$M:$M,'NSE - Other Index Options'!$C:$C,$A60,'NSE - Other Index Options'!$B:$B,E$4)=0,"",SUMIFS('NSE - NIFTY Index Options'!$M:$M,'NSE - NIFTY Index Options'!$C:$C,$A60,'NSE - NIFTY Index Options'!$B:$B,E$4)+SUMIFS('NSE - Other Index Options'!$M:$M,'NSE - Other Index Options'!$C:$C,$A60,'NSE - Other Index Options'!$B:$B,E$4))</f>
        <v/>
      </c>
      <c r="F60" s="26">
        <f>IF(SUMIFS('NSE - NIFTY Index Options'!$M:$M,'NSE - NIFTY Index Options'!$C:$C,$A60,'NSE - NIFTY Index Options'!$B:$B,F$4)+SUMIFS('NSE - Other Index Options'!$M:$M,'NSE - Other Index Options'!$C:$C,$A60,'NSE - Other Index Options'!$B:$B,F$4)=0,"",SUMIFS('NSE - NIFTY Index Options'!$M:$M,'NSE - NIFTY Index Options'!$C:$C,$A60,'NSE - NIFTY Index Options'!$B:$B,F$4)+SUMIFS('NSE - Other Index Options'!$M:$M,'NSE - Other Index Options'!$C:$C,$A60,'NSE - Other Index Options'!$B:$B,F$4))</f>
        <v/>
      </c>
      <c r="G60" s="26">
        <f>IF(SUMIFS('NSE - NIFTY Index Options'!$M:$M,'NSE - NIFTY Index Options'!$C:$C,$A60,'NSE - NIFTY Index Options'!$B:$B,G$4)+SUMIFS('NSE - Other Index Options'!$M:$M,'NSE - Other Index Options'!$C:$C,$A60,'NSE - Other Index Options'!$B:$B,G$4)=0,"",SUMIFS('NSE - NIFTY Index Options'!$M:$M,'NSE - NIFTY Index Options'!$C:$C,$A60,'NSE - NIFTY Index Options'!$B:$B,G$4)+SUMIFS('NSE - Other Index Options'!$M:$M,'NSE - Other Index Options'!$C:$C,$A60,'NSE - Other Index Options'!$B:$B,G$4))</f>
        <v/>
      </c>
      <c r="H60" s="26">
        <f>IF(SUM(B60:G60)=0,"",SUM(B60:G60))</f>
        <v/>
      </c>
    </row>
    <row r="61" hidden="1" outlineLevel="1">
      <c r="A61" t="inlineStr">
        <is>
          <t>Week3-Aug-2026</t>
        </is>
      </c>
      <c r="B61" s="26">
        <f>IF(SUMIFS('NSE - NIFTY Index Options'!$M:$M,'NSE - NIFTY Index Options'!$C:$C,$A61,'NSE - NIFTY Index Options'!$B:$B,B$4)+SUMIFS('NSE - Other Index Options'!$M:$M,'NSE - Other Index Options'!$C:$C,$A61,'NSE - Other Index Options'!$B:$B,B$4)=0,"",SUMIFS('NSE - NIFTY Index Options'!$M:$M,'NSE - NIFTY Index Options'!$C:$C,$A61,'NSE - NIFTY Index Options'!$B:$B,B$4)+SUMIFS('NSE - Other Index Options'!$M:$M,'NSE - Other Index Options'!$C:$C,$A61,'NSE - Other Index Options'!$B:$B,B$4))</f>
        <v/>
      </c>
      <c r="C61" s="26">
        <f>IF(SUMIFS('NSE - NIFTY Index Options'!$M:$M,'NSE - NIFTY Index Options'!$C:$C,$A61,'NSE - NIFTY Index Options'!$B:$B,C$4)+SUMIFS('NSE - Other Index Options'!$M:$M,'NSE - Other Index Options'!$C:$C,$A61,'NSE - Other Index Options'!$B:$B,C$4)=0,"",SUMIFS('NSE - NIFTY Index Options'!$M:$M,'NSE - NIFTY Index Options'!$C:$C,$A61,'NSE - NIFTY Index Options'!$B:$B,C$4)+SUMIFS('NSE - Other Index Options'!$M:$M,'NSE - Other Index Options'!$C:$C,$A61,'NSE - Other Index Options'!$B:$B,C$4))</f>
        <v/>
      </c>
      <c r="D61" s="26">
        <f>IF(SUMIFS('NSE - NIFTY Index Options'!$M:$M,'NSE - NIFTY Index Options'!$C:$C,$A61,'NSE - NIFTY Index Options'!$B:$B,D$4)+SUMIFS('NSE - Other Index Options'!$M:$M,'NSE - Other Index Options'!$C:$C,$A61,'NSE - Other Index Options'!$B:$B,D$4)=0,"",SUMIFS('NSE - NIFTY Index Options'!$M:$M,'NSE - NIFTY Index Options'!$C:$C,$A61,'NSE - NIFTY Index Options'!$B:$B,D$4)+SUMIFS('NSE - Other Index Options'!$M:$M,'NSE - Other Index Options'!$C:$C,$A61,'NSE - Other Index Options'!$B:$B,D$4))</f>
        <v/>
      </c>
      <c r="E61" s="26">
        <f>IF(SUMIFS('NSE - NIFTY Index Options'!$M:$M,'NSE - NIFTY Index Options'!$C:$C,$A61,'NSE - NIFTY Index Options'!$B:$B,E$4)+SUMIFS('NSE - Other Index Options'!$M:$M,'NSE - Other Index Options'!$C:$C,$A61,'NSE - Other Index Options'!$B:$B,E$4)=0,"",SUMIFS('NSE - NIFTY Index Options'!$M:$M,'NSE - NIFTY Index Options'!$C:$C,$A61,'NSE - NIFTY Index Options'!$B:$B,E$4)+SUMIFS('NSE - Other Index Options'!$M:$M,'NSE - Other Index Options'!$C:$C,$A61,'NSE - Other Index Options'!$B:$B,E$4))</f>
        <v/>
      </c>
      <c r="F61" s="26">
        <f>IF(SUMIFS('NSE - NIFTY Index Options'!$M:$M,'NSE - NIFTY Index Options'!$C:$C,$A61,'NSE - NIFTY Index Options'!$B:$B,F$4)+SUMIFS('NSE - Other Index Options'!$M:$M,'NSE - Other Index Options'!$C:$C,$A61,'NSE - Other Index Options'!$B:$B,F$4)=0,"",SUMIFS('NSE - NIFTY Index Options'!$M:$M,'NSE - NIFTY Index Options'!$C:$C,$A61,'NSE - NIFTY Index Options'!$B:$B,F$4)+SUMIFS('NSE - Other Index Options'!$M:$M,'NSE - Other Index Options'!$C:$C,$A61,'NSE - Other Index Options'!$B:$B,F$4))</f>
        <v/>
      </c>
      <c r="G61" s="26">
        <f>IF(SUMIFS('NSE - NIFTY Index Options'!$M:$M,'NSE - NIFTY Index Options'!$C:$C,$A61,'NSE - NIFTY Index Options'!$B:$B,G$4)+SUMIFS('NSE - Other Index Options'!$M:$M,'NSE - Other Index Options'!$C:$C,$A61,'NSE - Other Index Options'!$B:$B,G$4)=0,"",SUMIFS('NSE - NIFTY Index Options'!$M:$M,'NSE - NIFTY Index Options'!$C:$C,$A61,'NSE - NIFTY Index Options'!$B:$B,G$4)+SUMIFS('NSE - Other Index Options'!$M:$M,'NSE - Other Index Options'!$C:$C,$A61,'NSE - Other Index Options'!$B:$B,G$4))</f>
        <v/>
      </c>
      <c r="H61" s="26">
        <f>IF(SUM(B61:G61)=0,"",SUM(B61:G61))</f>
        <v/>
      </c>
    </row>
    <row r="62" hidden="1" outlineLevel="1">
      <c r="A62" t="inlineStr">
        <is>
          <t>Week4-Aug-2026</t>
        </is>
      </c>
      <c r="B62" s="26">
        <f>IF(SUMIFS('NSE - NIFTY Index Options'!$M:$M,'NSE - NIFTY Index Options'!$C:$C,$A62,'NSE - NIFTY Index Options'!$B:$B,B$4)+SUMIFS('NSE - Other Index Options'!$M:$M,'NSE - Other Index Options'!$C:$C,$A62,'NSE - Other Index Options'!$B:$B,B$4)=0,"",SUMIFS('NSE - NIFTY Index Options'!$M:$M,'NSE - NIFTY Index Options'!$C:$C,$A62,'NSE - NIFTY Index Options'!$B:$B,B$4)+SUMIFS('NSE - Other Index Options'!$M:$M,'NSE - Other Index Options'!$C:$C,$A62,'NSE - Other Index Options'!$B:$B,B$4))</f>
        <v/>
      </c>
      <c r="C62" s="26">
        <f>IF(SUMIFS('NSE - NIFTY Index Options'!$M:$M,'NSE - NIFTY Index Options'!$C:$C,$A62,'NSE - NIFTY Index Options'!$B:$B,C$4)+SUMIFS('NSE - Other Index Options'!$M:$M,'NSE - Other Index Options'!$C:$C,$A62,'NSE - Other Index Options'!$B:$B,C$4)=0,"",SUMIFS('NSE - NIFTY Index Options'!$M:$M,'NSE - NIFTY Index Options'!$C:$C,$A62,'NSE - NIFTY Index Options'!$B:$B,C$4)+SUMIFS('NSE - Other Index Options'!$M:$M,'NSE - Other Index Options'!$C:$C,$A62,'NSE - Other Index Options'!$B:$B,C$4))</f>
        <v/>
      </c>
      <c r="D62" s="26">
        <f>IF(SUMIFS('NSE - NIFTY Index Options'!$M:$M,'NSE - NIFTY Index Options'!$C:$C,$A62,'NSE - NIFTY Index Options'!$B:$B,D$4)+SUMIFS('NSE - Other Index Options'!$M:$M,'NSE - Other Index Options'!$C:$C,$A62,'NSE - Other Index Options'!$B:$B,D$4)=0,"",SUMIFS('NSE - NIFTY Index Options'!$M:$M,'NSE - NIFTY Index Options'!$C:$C,$A62,'NSE - NIFTY Index Options'!$B:$B,D$4)+SUMIFS('NSE - Other Index Options'!$M:$M,'NSE - Other Index Options'!$C:$C,$A62,'NSE - Other Index Options'!$B:$B,D$4))</f>
        <v/>
      </c>
      <c r="E62" s="26">
        <f>IF(SUMIFS('NSE - NIFTY Index Options'!$M:$M,'NSE - NIFTY Index Options'!$C:$C,$A62,'NSE - NIFTY Index Options'!$B:$B,E$4)+SUMIFS('NSE - Other Index Options'!$M:$M,'NSE - Other Index Options'!$C:$C,$A62,'NSE - Other Index Options'!$B:$B,E$4)=0,"",SUMIFS('NSE - NIFTY Index Options'!$M:$M,'NSE - NIFTY Index Options'!$C:$C,$A62,'NSE - NIFTY Index Options'!$B:$B,E$4)+SUMIFS('NSE - Other Index Options'!$M:$M,'NSE - Other Index Options'!$C:$C,$A62,'NSE - Other Index Options'!$B:$B,E$4))</f>
        <v/>
      </c>
      <c r="F62" s="26">
        <f>IF(SUMIFS('NSE - NIFTY Index Options'!$M:$M,'NSE - NIFTY Index Options'!$C:$C,$A62,'NSE - NIFTY Index Options'!$B:$B,F$4)+SUMIFS('NSE - Other Index Options'!$M:$M,'NSE - Other Index Options'!$C:$C,$A62,'NSE - Other Index Options'!$B:$B,F$4)=0,"",SUMIFS('NSE - NIFTY Index Options'!$M:$M,'NSE - NIFTY Index Options'!$C:$C,$A62,'NSE - NIFTY Index Options'!$B:$B,F$4)+SUMIFS('NSE - Other Index Options'!$M:$M,'NSE - Other Index Options'!$C:$C,$A62,'NSE - Other Index Options'!$B:$B,F$4))</f>
        <v/>
      </c>
      <c r="G62" s="26">
        <f>IF(SUMIFS('NSE - NIFTY Index Options'!$M:$M,'NSE - NIFTY Index Options'!$C:$C,$A62,'NSE - NIFTY Index Options'!$B:$B,G$4)+SUMIFS('NSE - Other Index Options'!$M:$M,'NSE - Other Index Options'!$C:$C,$A62,'NSE - Other Index Options'!$B:$B,G$4)=0,"",SUMIFS('NSE - NIFTY Index Options'!$M:$M,'NSE - NIFTY Index Options'!$C:$C,$A62,'NSE - NIFTY Index Options'!$B:$B,G$4)+SUMIFS('NSE - Other Index Options'!$M:$M,'NSE - Other Index Options'!$C:$C,$A62,'NSE - Other Index Options'!$B:$B,G$4))</f>
        <v/>
      </c>
      <c r="H62" s="26">
        <f>IF(SUM(B62:G62)=0,"",SUM(B62:G62))</f>
        <v/>
      </c>
    </row>
    <row r="63" hidden="1" outlineLevel="1">
      <c r="A63" t="inlineStr">
        <is>
          <t>Week5-Aug-2026</t>
        </is>
      </c>
      <c r="B63" s="26">
        <f>IF(SUMIFS('NSE - NIFTY Index Options'!$M:$M,'NSE - NIFTY Index Options'!$C:$C,$A63,'NSE - NIFTY Index Options'!$B:$B,B$4)+SUMIFS('NSE - Other Index Options'!$M:$M,'NSE - Other Index Options'!$C:$C,$A63,'NSE - Other Index Options'!$B:$B,B$4)=0,"",SUMIFS('NSE - NIFTY Index Options'!$M:$M,'NSE - NIFTY Index Options'!$C:$C,$A63,'NSE - NIFTY Index Options'!$B:$B,B$4)+SUMIFS('NSE - Other Index Options'!$M:$M,'NSE - Other Index Options'!$C:$C,$A63,'NSE - Other Index Options'!$B:$B,B$4))</f>
        <v/>
      </c>
      <c r="C63" s="26">
        <f>IF(SUMIFS('NSE - NIFTY Index Options'!$M:$M,'NSE - NIFTY Index Options'!$C:$C,$A63,'NSE - NIFTY Index Options'!$B:$B,C$4)+SUMIFS('NSE - Other Index Options'!$M:$M,'NSE - Other Index Options'!$C:$C,$A63,'NSE - Other Index Options'!$B:$B,C$4)=0,"",SUMIFS('NSE - NIFTY Index Options'!$M:$M,'NSE - NIFTY Index Options'!$C:$C,$A63,'NSE - NIFTY Index Options'!$B:$B,C$4)+SUMIFS('NSE - Other Index Options'!$M:$M,'NSE - Other Index Options'!$C:$C,$A63,'NSE - Other Index Options'!$B:$B,C$4))</f>
        <v/>
      </c>
      <c r="D63" s="26">
        <f>IF(SUMIFS('NSE - NIFTY Index Options'!$M:$M,'NSE - NIFTY Index Options'!$C:$C,$A63,'NSE - NIFTY Index Options'!$B:$B,D$4)+SUMIFS('NSE - Other Index Options'!$M:$M,'NSE - Other Index Options'!$C:$C,$A63,'NSE - Other Index Options'!$B:$B,D$4)=0,"",SUMIFS('NSE - NIFTY Index Options'!$M:$M,'NSE - NIFTY Index Options'!$C:$C,$A63,'NSE - NIFTY Index Options'!$B:$B,D$4)+SUMIFS('NSE - Other Index Options'!$M:$M,'NSE - Other Index Options'!$C:$C,$A63,'NSE - Other Index Options'!$B:$B,D$4))</f>
        <v/>
      </c>
      <c r="E63" s="26">
        <f>IF(SUMIFS('NSE - NIFTY Index Options'!$M:$M,'NSE - NIFTY Index Options'!$C:$C,$A63,'NSE - NIFTY Index Options'!$B:$B,E$4)+SUMIFS('NSE - Other Index Options'!$M:$M,'NSE - Other Index Options'!$C:$C,$A63,'NSE - Other Index Options'!$B:$B,E$4)=0,"",SUMIFS('NSE - NIFTY Index Options'!$M:$M,'NSE - NIFTY Index Options'!$C:$C,$A63,'NSE - NIFTY Index Options'!$B:$B,E$4)+SUMIFS('NSE - Other Index Options'!$M:$M,'NSE - Other Index Options'!$C:$C,$A63,'NSE - Other Index Options'!$B:$B,E$4))</f>
        <v/>
      </c>
      <c r="F63" s="26">
        <f>IF(SUMIFS('NSE - NIFTY Index Options'!$M:$M,'NSE - NIFTY Index Options'!$C:$C,$A63,'NSE - NIFTY Index Options'!$B:$B,F$4)+SUMIFS('NSE - Other Index Options'!$M:$M,'NSE - Other Index Options'!$C:$C,$A63,'NSE - Other Index Options'!$B:$B,F$4)=0,"",SUMIFS('NSE - NIFTY Index Options'!$M:$M,'NSE - NIFTY Index Options'!$C:$C,$A63,'NSE - NIFTY Index Options'!$B:$B,F$4)+SUMIFS('NSE - Other Index Options'!$M:$M,'NSE - Other Index Options'!$C:$C,$A63,'NSE - Other Index Options'!$B:$B,F$4))</f>
        <v/>
      </c>
      <c r="G63" s="26">
        <f>IF(SUMIFS('NSE - NIFTY Index Options'!$M:$M,'NSE - NIFTY Index Options'!$C:$C,$A63,'NSE - NIFTY Index Options'!$B:$B,G$4)+SUMIFS('NSE - Other Index Options'!$M:$M,'NSE - Other Index Options'!$C:$C,$A63,'NSE - Other Index Options'!$B:$B,G$4)=0,"",SUMIFS('NSE - NIFTY Index Options'!$M:$M,'NSE - NIFTY Index Options'!$C:$C,$A63,'NSE - NIFTY Index Options'!$B:$B,G$4)+SUMIFS('NSE - Other Index Options'!$M:$M,'NSE - Other Index Options'!$C:$C,$A63,'NSE - Other Index Options'!$B:$B,G$4))</f>
        <v/>
      </c>
      <c r="H63" s="26">
        <f>IF(SUM(B63:G63)=0,"",SUM(B63:G63))</f>
        <v/>
      </c>
    </row>
    <row r="64" hidden="1" outlineLevel="1">
      <c r="A64" t="inlineStr">
        <is>
          <t>Week1-Sep-2026</t>
        </is>
      </c>
      <c r="B64" s="26">
        <f>IF(SUMIFS('NSE - NIFTY Index Options'!$M:$M,'NSE - NIFTY Index Options'!$C:$C,$A64,'NSE - NIFTY Index Options'!$B:$B,B$4)+SUMIFS('NSE - Other Index Options'!$M:$M,'NSE - Other Index Options'!$C:$C,$A64,'NSE - Other Index Options'!$B:$B,B$4)=0,"",SUMIFS('NSE - NIFTY Index Options'!$M:$M,'NSE - NIFTY Index Options'!$C:$C,$A64,'NSE - NIFTY Index Options'!$B:$B,B$4)+SUMIFS('NSE - Other Index Options'!$M:$M,'NSE - Other Index Options'!$C:$C,$A64,'NSE - Other Index Options'!$B:$B,B$4))</f>
        <v/>
      </c>
      <c r="C64" s="26">
        <f>IF(SUMIFS('NSE - NIFTY Index Options'!$M:$M,'NSE - NIFTY Index Options'!$C:$C,$A64,'NSE - NIFTY Index Options'!$B:$B,C$4)+SUMIFS('NSE - Other Index Options'!$M:$M,'NSE - Other Index Options'!$C:$C,$A64,'NSE - Other Index Options'!$B:$B,C$4)=0,"",SUMIFS('NSE - NIFTY Index Options'!$M:$M,'NSE - NIFTY Index Options'!$C:$C,$A64,'NSE - NIFTY Index Options'!$B:$B,C$4)+SUMIFS('NSE - Other Index Options'!$M:$M,'NSE - Other Index Options'!$C:$C,$A64,'NSE - Other Index Options'!$B:$B,C$4))</f>
        <v/>
      </c>
      <c r="D64" s="26">
        <f>IF(SUMIFS('NSE - NIFTY Index Options'!$M:$M,'NSE - NIFTY Index Options'!$C:$C,$A64,'NSE - NIFTY Index Options'!$B:$B,D$4)+SUMIFS('NSE - Other Index Options'!$M:$M,'NSE - Other Index Options'!$C:$C,$A64,'NSE - Other Index Options'!$B:$B,D$4)=0,"",SUMIFS('NSE - NIFTY Index Options'!$M:$M,'NSE - NIFTY Index Options'!$C:$C,$A64,'NSE - NIFTY Index Options'!$B:$B,D$4)+SUMIFS('NSE - Other Index Options'!$M:$M,'NSE - Other Index Options'!$C:$C,$A64,'NSE - Other Index Options'!$B:$B,D$4))</f>
        <v/>
      </c>
      <c r="E64" s="26">
        <f>IF(SUMIFS('NSE - NIFTY Index Options'!$M:$M,'NSE - NIFTY Index Options'!$C:$C,$A64,'NSE - NIFTY Index Options'!$B:$B,E$4)+SUMIFS('NSE - Other Index Options'!$M:$M,'NSE - Other Index Options'!$C:$C,$A64,'NSE - Other Index Options'!$B:$B,E$4)=0,"",SUMIFS('NSE - NIFTY Index Options'!$M:$M,'NSE - NIFTY Index Options'!$C:$C,$A64,'NSE - NIFTY Index Options'!$B:$B,E$4)+SUMIFS('NSE - Other Index Options'!$M:$M,'NSE - Other Index Options'!$C:$C,$A64,'NSE - Other Index Options'!$B:$B,E$4))</f>
        <v/>
      </c>
      <c r="F64" s="26">
        <f>IF(SUMIFS('NSE - NIFTY Index Options'!$M:$M,'NSE - NIFTY Index Options'!$C:$C,$A64,'NSE - NIFTY Index Options'!$B:$B,F$4)+SUMIFS('NSE - Other Index Options'!$M:$M,'NSE - Other Index Options'!$C:$C,$A64,'NSE - Other Index Options'!$B:$B,F$4)=0,"",SUMIFS('NSE - NIFTY Index Options'!$M:$M,'NSE - NIFTY Index Options'!$C:$C,$A64,'NSE - NIFTY Index Options'!$B:$B,F$4)+SUMIFS('NSE - Other Index Options'!$M:$M,'NSE - Other Index Options'!$C:$C,$A64,'NSE - Other Index Options'!$B:$B,F$4))</f>
        <v/>
      </c>
      <c r="G64" s="26">
        <f>IF(SUMIFS('NSE - NIFTY Index Options'!$M:$M,'NSE - NIFTY Index Options'!$C:$C,$A64,'NSE - NIFTY Index Options'!$B:$B,G$4)+SUMIFS('NSE - Other Index Options'!$M:$M,'NSE - Other Index Options'!$C:$C,$A64,'NSE - Other Index Options'!$B:$B,G$4)=0,"",SUMIFS('NSE - NIFTY Index Options'!$M:$M,'NSE - NIFTY Index Options'!$C:$C,$A64,'NSE - NIFTY Index Options'!$B:$B,G$4)+SUMIFS('NSE - Other Index Options'!$M:$M,'NSE - Other Index Options'!$C:$C,$A64,'NSE - Other Index Options'!$B:$B,G$4))</f>
        <v/>
      </c>
      <c r="H64" s="26">
        <f>IF(SUM(B64:G64)=0,"",SUM(B64:G64))</f>
        <v/>
      </c>
    </row>
    <row r="65" hidden="1" outlineLevel="1">
      <c r="A65" t="inlineStr">
        <is>
          <t>Week2-Sep-2026</t>
        </is>
      </c>
      <c r="B65" s="26">
        <f>IF(SUMIFS('NSE - NIFTY Index Options'!$M:$M,'NSE - NIFTY Index Options'!$C:$C,$A65,'NSE - NIFTY Index Options'!$B:$B,B$4)+SUMIFS('NSE - Other Index Options'!$M:$M,'NSE - Other Index Options'!$C:$C,$A65,'NSE - Other Index Options'!$B:$B,B$4)=0,"",SUMIFS('NSE - NIFTY Index Options'!$M:$M,'NSE - NIFTY Index Options'!$C:$C,$A65,'NSE - NIFTY Index Options'!$B:$B,B$4)+SUMIFS('NSE - Other Index Options'!$M:$M,'NSE - Other Index Options'!$C:$C,$A65,'NSE - Other Index Options'!$B:$B,B$4))</f>
        <v/>
      </c>
      <c r="C65" s="26">
        <f>IF(SUMIFS('NSE - NIFTY Index Options'!$M:$M,'NSE - NIFTY Index Options'!$C:$C,$A65,'NSE - NIFTY Index Options'!$B:$B,C$4)+SUMIFS('NSE - Other Index Options'!$M:$M,'NSE - Other Index Options'!$C:$C,$A65,'NSE - Other Index Options'!$B:$B,C$4)=0,"",SUMIFS('NSE - NIFTY Index Options'!$M:$M,'NSE - NIFTY Index Options'!$C:$C,$A65,'NSE - NIFTY Index Options'!$B:$B,C$4)+SUMIFS('NSE - Other Index Options'!$M:$M,'NSE - Other Index Options'!$C:$C,$A65,'NSE - Other Index Options'!$B:$B,C$4))</f>
        <v/>
      </c>
      <c r="D65" s="26">
        <f>IF(SUMIFS('NSE - NIFTY Index Options'!$M:$M,'NSE - NIFTY Index Options'!$C:$C,$A65,'NSE - NIFTY Index Options'!$B:$B,D$4)+SUMIFS('NSE - Other Index Options'!$M:$M,'NSE - Other Index Options'!$C:$C,$A65,'NSE - Other Index Options'!$B:$B,D$4)=0,"",SUMIFS('NSE - NIFTY Index Options'!$M:$M,'NSE - NIFTY Index Options'!$C:$C,$A65,'NSE - NIFTY Index Options'!$B:$B,D$4)+SUMIFS('NSE - Other Index Options'!$M:$M,'NSE - Other Index Options'!$C:$C,$A65,'NSE - Other Index Options'!$B:$B,D$4))</f>
        <v/>
      </c>
      <c r="E65" s="26">
        <f>IF(SUMIFS('NSE - NIFTY Index Options'!$M:$M,'NSE - NIFTY Index Options'!$C:$C,$A65,'NSE - NIFTY Index Options'!$B:$B,E$4)+SUMIFS('NSE - Other Index Options'!$M:$M,'NSE - Other Index Options'!$C:$C,$A65,'NSE - Other Index Options'!$B:$B,E$4)=0,"",SUMIFS('NSE - NIFTY Index Options'!$M:$M,'NSE - NIFTY Index Options'!$C:$C,$A65,'NSE - NIFTY Index Options'!$B:$B,E$4)+SUMIFS('NSE - Other Index Options'!$M:$M,'NSE - Other Index Options'!$C:$C,$A65,'NSE - Other Index Options'!$B:$B,E$4))</f>
        <v/>
      </c>
      <c r="F65" s="26">
        <f>IF(SUMIFS('NSE - NIFTY Index Options'!$M:$M,'NSE - NIFTY Index Options'!$C:$C,$A65,'NSE - NIFTY Index Options'!$B:$B,F$4)+SUMIFS('NSE - Other Index Options'!$M:$M,'NSE - Other Index Options'!$C:$C,$A65,'NSE - Other Index Options'!$B:$B,F$4)=0,"",SUMIFS('NSE - NIFTY Index Options'!$M:$M,'NSE - NIFTY Index Options'!$C:$C,$A65,'NSE - NIFTY Index Options'!$B:$B,F$4)+SUMIFS('NSE - Other Index Options'!$M:$M,'NSE - Other Index Options'!$C:$C,$A65,'NSE - Other Index Options'!$B:$B,F$4))</f>
        <v/>
      </c>
      <c r="G65" s="26">
        <f>IF(SUMIFS('NSE - NIFTY Index Options'!$M:$M,'NSE - NIFTY Index Options'!$C:$C,$A65,'NSE - NIFTY Index Options'!$B:$B,G$4)+SUMIFS('NSE - Other Index Options'!$M:$M,'NSE - Other Index Options'!$C:$C,$A65,'NSE - Other Index Options'!$B:$B,G$4)=0,"",SUMIFS('NSE - NIFTY Index Options'!$M:$M,'NSE - NIFTY Index Options'!$C:$C,$A65,'NSE - NIFTY Index Options'!$B:$B,G$4)+SUMIFS('NSE - Other Index Options'!$M:$M,'NSE - Other Index Options'!$C:$C,$A65,'NSE - Other Index Options'!$B:$B,G$4))</f>
        <v/>
      </c>
      <c r="H65" s="26">
        <f>IF(SUM(B65:G65)=0,"",SUM(B65:G65))</f>
        <v/>
      </c>
    </row>
    <row r="66" hidden="1" outlineLevel="1">
      <c r="A66" t="inlineStr">
        <is>
          <t>Week3-Sep-2026</t>
        </is>
      </c>
      <c r="B66" s="26">
        <f>IF(SUMIFS('NSE - NIFTY Index Options'!$M:$M,'NSE - NIFTY Index Options'!$C:$C,$A66,'NSE - NIFTY Index Options'!$B:$B,B$4)+SUMIFS('NSE - Other Index Options'!$M:$M,'NSE - Other Index Options'!$C:$C,$A66,'NSE - Other Index Options'!$B:$B,B$4)=0,"",SUMIFS('NSE - NIFTY Index Options'!$M:$M,'NSE - NIFTY Index Options'!$C:$C,$A66,'NSE - NIFTY Index Options'!$B:$B,B$4)+SUMIFS('NSE - Other Index Options'!$M:$M,'NSE - Other Index Options'!$C:$C,$A66,'NSE - Other Index Options'!$B:$B,B$4))</f>
        <v/>
      </c>
      <c r="C66" s="26">
        <f>IF(SUMIFS('NSE - NIFTY Index Options'!$M:$M,'NSE - NIFTY Index Options'!$C:$C,$A66,'NSE - NIFTY Index Options'!$B:$B,C$4)+SUMIFS('NSE - Other Index Options'!$M:$M,'NSE - Other Index Options'!$C:$C,$A66,'NSE - Other Index Options'!$B:$B,C$4)=0,"",SUMIFS('NSE - NIFTY Index Options'!$M:$M,'NSE - NIFTY Index Options'!$C:$C,$A66,'NSE - NIFTY Index Options'!$B:$B,C$4)+SUMIFS('NSE - Other Index Options'!$M:$M,'NSE - Other Index Options'!$C:$C,$A66,'NSE - Other Index Options'!$B:$B,C$4))</f>
        <v/>
      </c>
      <c r="D66" s="26">
        <f>IF(SUMIFS('NSE - NIFTY Index Options'!$M:$M,'NSE - NIFTY Index Options'!$C:$C,$A66,'NSE - NIFTY Index Options'!$B:$B,D$4)+SUMIFS('NSE - Other Index Options'!$M:$M,'NSE - Other Index Options'!$C:$C,$A66,'NSE - Other Index Options'!$B:$B,D$4)=0,"",SUMIFS('NSE - NIFTY Index Options'!$M:$M,'NSE - NIFTY Index Options'!$C:$C,$A66,'NSE - NIFTY Index Options'!$B:$B,D$4)+SUMIFS('NSE - Other Index Options'!$M:$M,'NSE - Other Index Options'!$C:$C,$A66,'NSE - Other Index Options'!$B:$B,D$4))</f>
        <v/>
      </c>
      <c r="E66" s="26">
        <f>IF(SUMIFS('NSE - NIFTY Index Options'!$M:$M,'NSE - NIFTY Index Options'!$C:$C,$A66,'NSE - NIFTY Index Options'!$B:$B,E$4)+SUMIFS('NSE - Other Index Options'!$M:$M,'NSE - Other Index Options'!$C:$C,$A66,'NSE - Other Index Options'!$B:$B,E$4)=0,"",SUMIFS('NSE - NIFTY Index Options'!$M:$M,'NSE - NIFTY Index Options'!$C:$C,$A66,'NSE - NIFTY Index Options'!$B:$B,E$4)+SUMIFS('NSE - Other Index Options'!$M:$M,'NSE - Other Index Options'!$C:$C,$A66,'NSE - Other Index Options'!$B:$B,E$4))</f>
        <v/>
      </c>
      <c r="F66" s="26">
        <f>IF(SUMIFS('NSE - NIFTY Index Options'!$M:$M,'NSE - NIFTY Index Options'!$C:$C,$A66,'NSE - NIFTY Index Options'!$B:$B,F$4)+SUMIFS('NSE - Other Index Options'!$M:$M,'NSE - Other Index Options'!$C:$C,$A66,'NSE - Other Index Options'!$B:$B,F$4)=0,"",SUMIFS('NSE - NIFTY Index Options'!$M:$M,'NSE - NIFTY Index Options'!$C:$C,$A66,'NSE - NIFTY Index Options'!$B:$B,F$4)+SUMIFS('NSE - Other Index Options'!$M:$M,'NSE - Other Index Options'!$C:$C,$A66,'NSE - Other Index Options'!$B:$B,F$4))</f>
        <v/>
      </c>
      <c r="G66" s="26">
        <f>IF(SUMIFS('NSE - NIFTY Index Options'!$M:$M,'NSE - NIFTY Index Options'!$C:$C,$A66,'NSE - NIFTY Index Options'!$B:$B,G$4)+SUMIFS('NSE - Other Index Options'!$M:$M,'NSE - Other Index Options'!$C:$C,$A66,'NSE - Other Index Options'!$B:$B,G$4)=0,"",SUMIFS('NSE - NIFTY Index Options'!$M:$M,'NSE - NIFTY Index Options'!$C:$C,$A66,'NSE - NIFTY Index Options'!$B:$B,G$4)+SUMIFS('NSE - Other Index Options'!$M:$M,'NSE - Other Index Options'!$C:$C,$A66,'NSE - Other Index Options'!$B:$B,G$4))</f>
        <v/>
      </c>
      <c r="H66" s="26">
        <f>IF(SUM(B66:G66)=0,"",SUM(B66:G66))</f>
        <v/>
      </c>
    </row>
    <row r="67" hidden="1" outlineLevel="1">
      <c r="A67" t="inlineStr">
        <is>
          <t>Week4-Sep-2026</t>
        </is>
      </c>
      <c r="B67" s="26">
        <f>IF(SUMIFS('NSE - NIFTY Index Options'!$M:$M,'NSE - NIFTY Index Options'!$C:$C,$A67,'NSE - NIFTY Index Options'!$B:$B,B$4)+SUMIFS('NSE - Other Index Options'!$M:$M,'NSE - Other Index Options'!$C:$C,$A67,'NSE - Other Index Options'!$B:$B,B$4)=0,"",SUMIFS('NSE - NIFTY Index Options'!$M:$M,'NSE - NIFTY Index Options'!$C:$C,$A67,'NSE - NIFTY Index Options'!$B:$B,B$4)+SUMIFS('NSE - Other Index Options'!$M:$M,'NSE - Other Index Options'!$C:$C,$A67,'NSE - Other Index Options'!$B:$B,B$4))</f>
        <v/>
      </c>
      <c r="C67" s="26">
        <f>IF(SUMIFS('NSE - NIFTY Index Options'!$M:$M,'NSE - NIFTY Index Options'!$C:$C,$A67,'NSE - NIFTY Index Options'!$B:$B,C$4)+SUMIFS('NSE - Other Index Options'!$M:$M,'NSE - Other Index Options'!$C:$C,$A67,'NSE - Other Index Options'!$B:$B,C$4)=0,"",SUMIFS('NSE - NIFTY Index Options'!$M:$M,'NSE - NIFTY Index Options'!$C:$C,$A67,'NSE - NIFTY Index Options'!$B:$B,C$4)+SUMIFS('NSE - Other Index Options'!$M:$M,'NSE - Other Index Options'!$C:$C,$A67,'NSE - Other Index Options'!$B:$B,C$4))</f>
        <v/>
      </c>
      <c r="D67" s="26">
        <f>IF(SUMIFS('NSE - NIFTY Index Options'!$M:$M,'NSE - NIFTY Index Options'!$C:$C,$A67,'NSE - NIFTY Index Options'!$B:$B,D$4)+SUMIFS('NSE - Other Index Options'!$M:$M,'NSE - Other Index Options'!$C:$C,$A67,'NSE - Other Index Options'!$B:$B,D$4)=0,"",SUMIFS('NSE - NIFTY Index Options'!$M:$M,'NSE - NIFTY Index Options'!$C:$C,$A67,'NSE - NIFTY Index Options'!$B:$B,D$4)+SUMIFS('NSE - Other Index Options'!$M:$M,'NSE - Other Index Options'!$C:$C,$A67,'NSE - Other Index Options'!$B:$B,D$4))</f>
        <v/>
      </c>
      <c r="E67" s="26">
        <f>IF(SUMIFS('NSE - NIFTY Index Options'!$M:$M,'NSE - NIFTY Index Options'!$C:$C,$A67,'NSE - NIFTY Index Options'!$B:$B,E$4)+SUMIFS('NSE - Other Index Options'!$M:$M,'NSE - Other Index Options'!$C:$C,$A67,'NSE - Other Index Options'!$B:$B,E$4)=0,"",SUMIFS('NSE - NIFTY Index Options'!$M:$M,'NSE - NIFTY Index Options'!$C:$C,$A67,'NSE - NIFTY Index Options'!$B:$B,E$4)+SUMIFS('NSE - Other Index Options'!$M:$M,'NSE - Other Index Options'!$C:$C,$A67,'NSE - Other Index Options'!$B:$B,E$4))</f>
        <v/>
      </c>
      <c r="F67" s="26">
        <f>IF(SUMIFS('NSE - NIFTY Index Options'!$M:$M,'NSE - NIFTY Index Options'!$C:$C,$A67,'NSE - NIFTY Index Options'!$B:$B,F$4)+SUMIFS('NSE - Other Index Options'!$M:$M,'NSE - Other Index Options'!$C:$C,$A67,'NSE - Other Index Options'!$B:$B,F$4)=0,"",SUMIFS('NSE - NIFTY Index Options'!$M:$M,'NSE - NIFTY Index Options'!$C:$C,$A67,'NSE - NIFTY Index Options'!$B:$B,F$4)+SUMIFS('NSE - Other Index Options'!$M:$M,'NSE - Other Index Options'!$C:$C,$A67,'NSE - Other Index Options'!$B:$B,F$4))</f>
        <v/>
      </c>
      <c r="G67" s="26">
        <f>IF(SUMIFS('NSE - NIFTY Index Options'!$M:$M,'NSE - NIFTY Index Options'!$C:$C,$A67,'NSE - NIFTY Index Options'!$B:$B,G$4)+SUMIFS('NSE - Other Index Options'!$M:$M,'NSE - Other Index Options'!$C:$C,$A67,'NSE - Other Index Options'!$B:$B,G$4)=0,"",SUMIFS('NSE - NIFTY Index Options'!$M:$M,'NSE - NIFTY Index Options'!$C:$C,$A67,'NSE - NIFTY Index Options'!$B:$B,G$4)+SUMIFS('NSE - Other Index Options'!$M:$M,'NSE - Other Index Options'!$C:$C,$A67,'NSE - Other Index Options'!$B:$B,G$4))</f>
        <v/>
      </c>
      <c r="H67" s="26">
        <f>IF(SUM(B67:G67)=0,"",SUM(B67:G67))</f>
        <v/>
      </c>
    </row>
    <row r="68" hidden="1" outlineLevel="1">
      <c r="A68" t="inlineStr">
        <is>
          <t>Week5-Sep-2026</t>
        </is>
      </c>
      <c r="B68" s="26">
        <f>IF(SUMIFS('NSE - NIFTY Index Options'!$M:$M,'NSE - NIFTY Index Options'!$C:$C,$A68,'NSE - NIFTY Index Options'!$B:$B,B$4)+SUMIFS('NSE - Other Index Options'!$M:$M,'NSE - Other Index Options'!$C:$C,$A68,'NSE - Other Index Options'!$B:$B,B$4)=0,"",SUMIFS('NSE - NIFTY Index Options'!$M:$M,'NSE - NIFTY Index Options'!$C:$C,$A68,'NSE - NIFTY Index Options'!$B:$B,B$4)+SUMIFS('NSE - Other Index Options'!$M:$M,'NSE - Other Index Options'!$C:$C,$A68,'NSE - Other Index Options'!$B:$B,B$4))</f>
        <v/>
      </c>
      <c r="C68" s="26">
        <f>IF(SUMIFS('NSE - NIFTY Index Options'!$M:$M,'NSE - NIFTY Index Options'!$C:$C,$A68,'NSE - NIFTY Index Options'!$B:$B,C$4)+SUMIFS('NSE - Other Index Options'!$M:$M,'NSE - Other Index Options'!$C:$C,$A68,'NSE - Other Index Options'!$B:$B,C$4)=0,"",SUMIFS('NSE - NIFTY Index Options'!$M:$M,'NSE - NIFTY Index Options'!$C:$C,$A68,'NSE - NIFTY Index Options'!$B:$B,C$4)+SUMIFS('NSE - Other Index Options'!$M:$M,'NSE - Other Index Options'!$C:$C,$A68,'NSE - Other Index Options'!$B:$B,C$4))</f>
        <v/>
      </c>
      <c r="D68" s="26">
        <f>IF(SUMIFS('NSE - NIFTY Index Options'!$M:$M,'NSE - NIFTY Index Options'!$C:$C,$A68,'NSE - NIFTY Index Options'!$B:$B,D$4)+SUMIFS('NSE - Other Index Options'!$M:$M,'NSE - Other Index Options'!$C:$C,$A68,'NSE - Other Index Options'!$B:$B,D$4)=0,"",SUMIFS('NSE - NIFTY Index Options'!$M:$M,'NSE - NIFTY Index Options'!$C:$C,$A68,'NSE - NIFTY Index Options'!$B:$B,D$4)+SUMIFS('NSE - Other Index Options'!$M:$M,'NSE - Other Index Options'!$C:$C,$A68,'NSE - Other Index Options'!$B:$B,D$4))</f>
        <v/>
      </c>
      <c r="E68" s="26">
        <f>IF(SUMIFS('NSE - NIFTY Index Options'!$M:$M,'NSE - NIFTY Index Options'!$C:$C,$A68,'NSE - NIFTY Index Options'!$B:$B,E$4)+SUMIFS('NSE - Other Index Options'!$M:$M,'NSE - Other Index Options'!$C:$C,$A68,'NSE - Other Index Options'!$B:$B,E$4)=0,"",SUMIFS('NSE - NIFTY Index Options'!$M:$M,'NSE - NIFTY Index Options'!$C:$C,$A68,'NSE - NIFTY Index Options'!$B:$B,E$4)+SUMIFS('NSE - Other Index Options'!$M:$M,'NSE - Other Index Options'!$C:$C,$A68,'NSE - Other Index Options'!$B:$B,E$4))</f>
        <v/>
      </c>
      <c r="F68" s="26">
        <f>IF(SUMIFS('NSE - NIFTY Index Options'!$M:$M,'NSE - NIFTY Index Options'!$C:$C,$A68,'NSE - NIFTY Index Options'!$B:$B,F$4)+SUMIFS('NSE - Other Index Options'!$M:$M,'NSE - Other Index Options'!$C:$C,$A68,'NSE - Other Index Options'!$B:$B,F$4)=0,"",SUMIFS('NSE - NIFTY Index Options'!$M:$M,'NSE - NIFTY Index Options'!$C:$C,$A68,'NSE - NIFTY Index Options'!$B:$B,F$4)+SUMIFS('NSE - Other Index Options'!$M:$M,'NSE - Other Index Options'!$C:$C,$A68,'NSE - Other Index Options'!$B:$B,F$4))</f>
        <v/>
      </c>
      <c r="G68" s="26">
        <f>IF(SUMIFS('NSE - NIFTY Index Options'!$M:$M,'NSE - NIFTY Index Options'!$C:$C,$A68,'NSE - NIFTY Index Options'!$B:$B,G$4)+SUMIFS('NSE - Other Index Options'!$M:$M,'NSE - Other Index Options'!$C:$C,$A68,'NSE - Other Index Options'!$B:$B,G$4)=0,"",SUMIFS('NSE - NIFTY Index Options'!$M:$M,'NSE - NIFTY Index Options'!$C:$C,$A68,'NSE - NIFTY Index Options'!$B:$B,G$4)+SUMIFS('NSE - Other Index Options'!$M:$M,'NSE - Other Index Options'!$C:$C,$A68,'NSE - Other Index Options'!$B:$B,G$4))</f>
        <v/>
      </c>
      <c r="H68" s="26">
        <f>IF(SUM(B68:G68)=0,"",SUM(B68:G68))</f>
        <v/>
      </c>
    </row>
    <row r="69" hidden="1" outlineLevel="1">
      <c r="A69" t="inlineStr">
        <is>
          <t>Week1-Oct-2026</t>
        </is>
      </c>
      <c r="B69" s="26">
        <f>IF(SUMIFS('NSE - NIFTY Index Options'!$M:$M,'NSE - NIFTY Index Options'!$C:$C,$A69,'NSE - NIFTY Index Options'!$B:$B,B$4)+SUMIFS('NSE - Other Index Options'!$M:$M,'NSE - Other Index Options'!$C:$C,$A69,'NSE - Other Index Options'!$B:$B,B$4)=0,"",SUMIFS('NSE - NIFTY Index Options'!$M:$M,'NSE - NIFTY Index Options'!$C:$C,$A69,'NSE - NIFTY Index Options'!$B:$B,B$4)+SUMIFS('NSE - Other Index Options'!$M:$M,'NSE - Other Index Options'!$C:$C,$A69,'NSE - Other Index Options'!$B:$B,B$4))</f>
        <v/>
      </c>
      <c r="C69" s="26">
        <f>IF(SUMIFS('NSE - NIFTY Index Options'!$M:$M,'NSE - NIFTY Index Options'!$C:$C,$A69,'NSE - NIFTY Index Options'!$B:$B,C$4)+SUMIFS('NSE - Other Index Options'!$M:$M,'NSE - Other Index Options'!$C:$C,$A69,'NSE - Other Index Options'!$B:$B,C$4)=0,"",SUMIFS('NSE - NIFTY Index Options'!$M:$M,'NSE - NIFTY Index Options'!$C:$C,$A69,'NSE - NIFTY Index Options'!$B:$B,C$4)+SUMIFS('NSE - Other Index Options'!$M:$M,'NSE - Other Index Options'!$C:$C,$A69,'NSE - Other Index Options'!$B:$B,C$4))</f>
        <v/>
      </c>
      <c r="D69" s="26">
        <f>IF(SUMIFS('NSE - NIFTY Index Options'!$M:$M,'NSE - NIFTY Index Options'!$C:$C,$A69,'NSE - NIFTY Index Options'!$B:$B,D$4)+SUMIFS('NSE - Other Index Options'!$M:$M,'NSE - Other Index Options'!$C:$C,$A69,'NSE - Other Index Options'!$B:$B,D$4)=0,"",SUMIFS('NSE - NIFTY Index Options'!$M:$M,'NSE - NIFTY Index Options'!$C:$C,$A69,'NSE - NIFTY Index Options'!$B:$B,D$4)+SUMIFS('NSE - Other Index Options'!$M:$M,'NSE - Other Index Options'!$C:$C,$A69,'NSE - Other Index Options'!$B:$B,D$4))</f>
        <v/>
      </c>
      <c r="E69" s="26">
        <f>IF(SUMIFS('NSE - NIFTY Index Options'!$M:$M,'NSE - NIFTY Index Options'!$C:$C,$A69,'NSE - NIFTY Index Options'!$B:$B,E$4)+SUMIFS('NSE - Other Index Options'!$M:$M,'NSE - Other Index Options'!$C:$C,$A69,'NSE - Other Index Options'!$B:$B,E$4)=0,"",SUMIFS('NSE - NIFTY Index Options'!$M:$M,'NSE - NIFTY Index Options'!$C:$C,$A69,'NSE - NIFTY Index Options'!$B:$B,E$4)+SUMIFS('NSE - Other Index Options'!$M:$M,'NSE - Other Index Options'!$C:$C,$A69,'NSE - Other Index Options'!$B:$B,E$4))</f>
        <v/>
      </c>
      <c r="F69" s="26">
        <f>IF(SUMIFS('NSE - NIFTY Index Options'!$M:$M,'NSE - NIFTY Index Options'!$C:$C,$A69,'NSE - NIFTY Index Options'!$B:$B,F$4)+SUMIFS('NSE - Other Index Options'!$M:$M,'NSE - Other Index Options'!$C:$C,$A69,'NSE - Other Index Options'!$B:$B,F$4)=0,"",SUMIFS('NSE - NIFTY Index Options'!$M:$M,'NSE - NIFTY Index Options'!$C:$C,$A69,'NSE - NIFTY Index Options'!$B:$B,F$4)+SUMIFS('NSE - Other Index Options'!$M:$M,'NSE - Other Index Options'!$C:$C,$A69,'NSE - Other Index Options'!$B:$B,F$4))</f>
        <v/>
      </c>
      <c r="G69" s="26">
        <f>IF(SUMIFS('NSE - NIFTY Index Options'!$M:$M,'NSE - NIFTY Index Options'!$C:$C,$A69,'NSE - NIFTY Index Options'!$B:$B,G$4)+SUMIFS('NSE - Other Index Options'!$M:$M,'NSE - Other Index Options'!$C:$C,$A69,'NSE - Other Index Options'!$B:$B,G$4)=0,"",SUMIFS('NSE - NIFTY Index Options'!$M:$M,'NSE - NIFTY Index Options'!$C:$C,$A69,'NSE - NIFTY Index Options'!$B:$B,G$4)+SUMIFS('NSE - Other Index Options'!$M:$M,'NSE - Other Index Options'!$C:$C,$A69,'NSE - Other Index Options'!$B:$B,G$4))</f>
        <v/>
      </c>
      <c r="H69" s="26">
        <f>IF(SUM(B69:G69)=0,"",SUM(B69:G69))</f>
        <v/>
      </c>
    </row>
    <row r="70" hidden="1" outlineLevel="1">
      <c r="A70" t="inlineStr">
        <is>
          <t>Week2-Oct-2026</t>
        </is>
      </c>
      <c r="B70" s="26">
        <f>IF(SUMIFS('NSE - NIFTY Index Options'!$M:$M,'NSE - NIFTY Index Options'!$C:$C,$A70,'NSE - NIFTY Index Options'!$B:$B,B$4)+SUMIFS('NSE - Other Index Options'!$M:$M,'NSE - Other Index Options'!$C:$C,$A70,'NSE - Other Index Options'!$B:$B,B$4)=0,"",SUMIFS('NSE - NIFTY Index Options'!$M:$M,'NSE - NIFTY Index Options'!$C:$C,$A70,'NSE - NIFTY Index Options'!$B:$B,B$4)+SUMIFS('NSE - Other Index Options'!$M:$M,'NSE - Other Index Options'!$C:$C,$A70,'NSE - Other Index Options'!$B:$B,B$4))</f>
        <v/>
      </c>
      <c r="C70" s="26">
        <f>IF(SUMIFS('NSE - NIFTY Index Options'!$M:$M,'NSE - NIFTY Index Options'!$C:$C,$A70,'NSE - NIFTY Index Options'!$B:$B,C$4)+SUMIFS('NSE - Other Index Options'!$M:$M,'NSE - Other Index Options'!$C:$C,$A70,'NSE - Other Index Options'!$B:$B,C$4)=0,"",SUMIFS('NSE - NIFTY Index Options'!$M:$M,'NSE - NIFTY Index Options'!$C:$C,$A70,'NSE - NIFTY Index Options'!$B:$B,C$4)+SUMIFS('NSE - Other Index Options'!$M:$M,'NSE - Other Index Options'!$C:$C,$A70,'NSE - Other Index Options'!$B:$B,C$4))</f>
        <v/>
      </c>
      <c r="D70" s="26">
        <f>IF(SUMIFS('NSE - NIFTY Index Options'!$M:$M,'NSE - NIFTY Index Options'!$C:$C,$A70,'NSE - NIFTY Index Options'!$B:$B,D$4)+SUMIFS('NSE - Other Index Options'!$M:$M,'NSE - Other Index Options'!$C:$C,$A70,'NSE - Other Index Options'!$B:$B,D$4)=0,"",SUMIFS('NSE - NIFTY Index Options'!$M:$M,'NSE - NIFTY Index Options'!$C:$C,$A70,'NSE - NIFTY Index Options'!$B:$B,D$4)+SUMIFS('NSE - Other Index Options'!$M:$M,'NSE - Other Index Options'!$C:$C,$A70,'NSE - Other Index Options'!$B:$B,D$4))</f>
        <v/>
      </c>
      <c r="E70" s="26">
        <f>IF(SUMIFS('NSE - NIFTY Index Options'!$M:$M,'NSE - NIFTY Index Options'!$C:$C,$A70,'NSE - NIFTY Index Options'!$B:$B,E$4)+SUMIFS('NSE - Other Index Options'!$M:$M,'NSE - Other Index Options'!$C:$C,$A70,'NSE - Other Index Options'!$B:$B,E$4)=0,"",SUMIFS('NSE - NIFTY Index Options'!$M:$M,'NSE - NIFTY Index Options'!$C:$C,$A70,'NSE - NIFTY Index Options'!$B:$B,E$4)+SUMIFS('NSE - Other Index Options'!$M:$M,'NSE - Other Index Options'!$C:$C,$A70,'NSE - Other Index Options'!$B:$B,E$4))</f>
        <v/>
      </c>
      <c r="F70" s="26">
        <f>IF(SUMIFS('NSE - NIFTY Index Options'!$M:$M,'NSE - NIFTY Index Options'!$C:$C,$A70,'NSE - NIFTY Index Options'!$B:$B,F$4)+SUMIFS('NSE - Other Index Options'!$M:$M,'NSE - Other Index Options'!$C:$C,$A70,'NSE - Other Index Options'!$B:$B,F$4)=0,"",SUMIFS('NSE - NIFTY Index Options'!$M:$M,'NSE - NIFTY Index Options'!$C:$C,$A70,'NSE - NIFTY Index Options'!$B:$B,F$4)+SUMIFS('NSE - Other Index Options'!$M:$M,'NSE - Other Index Options'!$C:$C,$A70,'NSE - Other Index Options'!$B:$B,F$4))</f>
        <v/>
      </c>
      <c r="G70" s="26">
        <f>IF(SUMIFS('NSE - NIFTY Index Options'!$M:$M,'NSE - NIFTY Index Options'!$C:$C,$A70,'NSE - NIFTY Index Options'!$B:$B,G$4)+SUMIFS('NSE - Other Index Options'!$M:$M,'NSE - Other Index Options'!$C:$C,$A70,'NSE - Other Index Options'!$B:$B,G$4)=0,"",SUMIFS('NSE - NIFTY Index Options'!$M:$M,'NSE - NIFTY Index Options'!$C:$C,$A70,'NSE - NIFTY Index Options'!$B:$B,G$4)+SUMIFS('NSE - Other Index Options'!$M:$M,'NSE - Other Index Options'!$C:$C,$A70,'NSE - Other Index Options'!$B:$B,G$4))</f>
        <v/>
      </c>
      <c r="H70" s="26">
        <f>IF(SUM(B70:G70)=0,"",SUM(B70:G70))</f>
        <v/>
      </c>
    </row>
    <row r="71" hidden="1" outlineLevel="1">
      <c r="A71" t="inlineStr">
        <is>
          <t>Week3-Oct-2026</t>
        </is>
      </c>
      <c r="B71" s="26">
        <f>IF(SUMIFS('NSE - NIFTY Index Options'!$M:$M,'NSE - NIFTY Index Options'!$C:$C,$A71,'NSE - NIFTY Index Options'!$B:$B,B$4)+SUMIFS('NSE - Other Index Options'!$M:$M,'NSE - Other Index Options'!$C:$C,$A71,'NSE - Other Index Options'!$B:$B,B$4)=0,"",SUMIFS('NSE - NIFTY Index Options'!$M:$M,'NSE - NIFTY Index Options'!$C:$C,$A71,'NSE - NIFTY Index Options'!$B:$B,B$4)+SUMIFS('NSE - Other Index Options'!$M:$M,'NSE - Other Index Options'!$C:$C,$A71,'NSE - Other Index Options'!$B:$B,B$4))</f>
        <v/>
      </c>
      <c r="C71" s="26">
        <f>IF(SUMIFS('NSE - NIFTY Index Options'!$M:$M,'NSE - NIFTY Index Options'!$C:$C,$A71,'NSE - NIFTY Index Options'!$B:$B,C$4)+SUMIFS('NSE - Other Index Options'!$M:$M,'NSE - Other Index Options'!$C:$C,$A71,'NSE - Other Index Options'!$B:$B,C$4)=0,"",SUMIFS('NSE - NIFTY Index Options'!$M:$M,'NSE - NIFTY Index Options'!$C:$C,$A71,'NSE - NIFTY Index Options'!$B:$B,C$4)+SUMIFS('NSE - Other Index Options'!$M:$M,'NSE - Other Index Options'!$C:$C,$A71,'NSE - Other Index Options'!$B:$B,C$4))</f>
        <v/>
      </c>
      <c r="D71" s="26">
        <f>IF(SUMIFS('NSE - NIFTY Index Options'!$M:$M,'NSE - NIFTY Index Options'!$C:$C,$A71,'NSE - NIFTY Index Options'!$B:$B,D$4)+SUMIFS('NSE - Other Index Options'!$M:$M,'NSE - Other Index Options'!$C:$C,$A71,'NSE - Other Index Options'!$B:$B,D$4)=0,"",SUMIFS('NSE - NIFTY Index Options'!$M:$M,'NSE - NIFTY Index Options'!$C:$C,$A71,'NSE - NIFTY Index Options'!$B:$B,D$4)+SUMIFS('NSE - Other Index Options'!$M:$M,'NSE - Other Index Options'!$C:$C,$A71,'NSE - Other Index Options'!$B:$B,D$4))</f>
        <v/>
      </c>
      <c r="E71" s="26">
        <f>IF(SUMIFS('NSE - NIFTY Index Options'!$M:$M,'NSE - NIFTY Index Options'!$C:$C,$A71,'NSE - NIFTY Index Options'!$B:$B,E$4)+SUMIFS('NSE - Other Index Options'!$M:$M,'NSE - Other Index Options'!$C:$C,$A71,'NSE - Other Index Options'!$B:$B,E$4)=0,"",SUMIFS('NSE - NIFTY Index Options'!$M:$M,'NSE - NIFTY Index Options'!$C:$C,$A71,'NSE - NIFTY Index Options'!$B:$B,E$4)+SUMIFS('NSE - Other Index Options'!$M:$M,'NSE - Other Index Options'!$C:$C,$A71,'NSE - Other Index Options'!$B:$B,E$4))</f>
        <v/>
      </c>
      <c r="F71" s="26">
        <f>IF(SUMIFS('NSE - NIFTY Index Options'!$M:$M,'NSE - NIFTY Index Options'!$C:$C,$A71,'NSE - NIFTY Index Options'!$B:$B,F$4)+SUMIFS('NSE - Other Index Options'!$M:$M,'NSE - Other Index Options'!$C:$C,$A71,'NSE - Other Index Options'!$B:$B,F$4)=0,"",SUMIFS('NSE - NIFTY Index Options'!$M:$M,'NSE - NIFTY Index Options'!$C:$C,$A71,'NSE - NIFTY Index Options'!$B:$B,F$4)+SUMIFS('NSE - Other Index Options'!$M:$M,'NSE - Other Index Options'!$C:$C,$A71,'NSE - Other Index Options'!$B:$B,F$4))</f>
        <v/>
      </c>
      <c r="G71" s="26">
        <f>IF(SUMIFS('NSE - NIFTY Index Options'!$M:$M,'NSE - NIFTY Index Options'!$C:$C,$A71,'NSE - NIFTY Index Options'!$B:$B,G$4)+SUMIFS('NSE - Other Index Options'!$M:$M,'NSE - Other Index Options'!$C:$C,$A71,'NSE - Other Index Options'!$B:$B,G$4)=0,"",SUMIFS('NSE - NIFTY Index Options'!$M:$M,'NSE - NIFTY Index Options'!$C:$C,$A71,'NSE - NIFTY Index Options'!$B:$B,G$4)+SUMIFS('NSE - Other Index Options'!$M:$M,'NSE - Other Index Options'!$C:$C,$A71,'NSE - Other Index Options'!$B:$B,G$4))</f>
        <v/>
      </c>
      <c r="H71" s="26">
        <f>IF(SUM(B71:G71)=0,"",SUM(B71:G71))</f>
        <v/>
      </c>
    </row>
    <row r="72" hidden="1" outlineLevel="1">
      <c r="A72" t="inlineStr">
        <is>
          <t>Week4-Oct-2026</t>
        </is>
      </c>
      <c r="B72" s="26">
        <f>IF(SUMIFS('NSE - NIFTY Index Options'!$M:$M,'NSE - NIFTY Index Options'!$C:$C,$A72,'NSE - NIFTY Index Options'!$B:$B,B$4)+SUMIFS('NSE - Other Index Options'!$M:$M,'NSE - Other Index Options'!$C:$C,$A72,'NSE - Other Index Options'!$B:$B,B$4)=0,"",SUMIFS('NSE - NIFTY Index Options'!$M:$M,'NSE - NIFTY Index Options'!$C:$C,$A72,'NSE - NIFTY Index Options'!$B:$B,B$4)+SUMIFS('NSE - Other Index Options'!$M:$M,'NSE - Other Index Options'!$C:$C,$A72,'NSE - Other Index Options'!$B:$B,B$4))</f>
        <v/>
      </c>
      <c r="C72" s="26">
        <f>IF(SUMIFS('NSE - NIFTY Index Options'!$M:$M,'NSE - NIFTY Index Options'!$C:$C,$A72,'NSE - NIFTY Index Options'!$B:$B,C$4)+SUMIFS('NSE - Other Index Options'!$M:$M,'NSE - Other Index Options'!$C:$C,$A72,'NSE - Other Index Options'!$B:$B,C$4)=0,"",SUMIFS('NSE - NIFTY Index Options'!$M:$M,'NSE - NIFTY Index Options'!$C:$C,$A72,'NSE - NIFTY Index Options'!$B:$B,C$4)+SUMIFS('NSE - Other Index Options'!$M:$M,'NSE - Other Index Options'!$C:$C,$A72,'NSE - Other Index Options'!$B:$B,C$4))</f>
        <v/>
      </c>
      <c r="D72" s="26">
        <f>IF(SUMIFS('NSE - NIFTY Index Options'!$M:$M,'NSE - NIFTY Index Options'!$C:$C,$A72,'NSE - NIFTY Index Options'!$B:$B,D$4)+SUMIFS('NSE - Other Index Options'!$M:$M,'NSE - Other Index Options'!$C:$C,$A72,'NSE - Other Index Options'!$B:$B,D$4)=0,"",SUMIFS('NSE - NIFTY Index Options'!$M:$M,'NSE - NIFTY Index Options'!$C:$C,$A72,'NSE - NIFTY Index Options'!$B:$B,D$4)+SUMIFS('NSE - Other Index Options'!$M:$M,'NSE - Other Index Options'!$C:$C,$A72,'NSE - Other Index Options'!$B:$B,D$4))</f>
        <v/>
      </c>
      <c r="E72" s="26">
        <f>IF(SUMIFS('NSE - NIFTY Index Options'!$M:$M,'NSE - NIFTY Index Options'!$C:$C,$A72,'NSE - NIFTY Index Options'!$B:$B,E$4)+SUMIFS('NSE - Other Index Options'!$M:$M,'NSE - Other Index Options'!$C:$C,$A72,'NSE - Other Index Options'!$B:$B,E$4)=0,"",SUMIFS('NSE - NIFTY Index Options'!$M:$M,'NSE - NIFTY Index Options'!$C:$C,$A72,'NSE - NIFTY Index Options'!$B:$B,E$4)+SUMIFS('NSE - Other Index Options'!$M:$M,'NSE - Other Index Options'!$C:$C,$A72,'NSE - Other Index Options'!$B:$B,E$4))</f>
        <v/>
      </c>
      <c r="F72" s="26">
        <f>IF(SUMIFS('NSE - NIFTY Index Options'!$M:$M,'NSE - NIFTY Index Options'!$C:$C,$A72,'NSE - NIFTY Index Options'!$B:$B,F$4)+SUMIFS('NSE - Other Index Options'!$M:$M,'NSE - Other Index Options'!$C:$C,$A72,'NSE - Other Index Options'!$B:$B,F$4)=0,"",SUMIFS('NSE - NIFTY Index Options'!$M:$M,'NSE - NIFTY Index Options'!$C:$C,$A72,'NSE - NIFTY Index Options'!$B:$B,F$4)+SUMIFS('NSE - Other Index Options'!$M:$M,'NSE - Other Index Options'!$C:$C,$A72,'NSE - Other Index Options'!$B:$B,F$4))</f>
        <v/>
      </c>
      <c r="G72" s="26">
        <f>IF(SUMIFS('NSE - NIFTY Index Options'!$M:$M,'NSE - NIFTY Index Options'!$C:$C,$A72,'NSE - NIFTY Index Options'!$B:$B,G$4)+SUMIFS('NSE - Other Index Options'!$M:$M,'NSE - Other Index Options'!$C:$C,$A72,'NSE - Other Index Options'!$B:$B,G$4)=0,"",SUMIFS('NSE - NIFTY Index Options'!$M:$M,'NSE - NIFTY Index Options'!$C:$C,$A72,'NSE - NIFTY Index Options'!$B:$B,G$4)+SUMIFS('NSE - Other Index Options'!$M:$M,'NSE - Other Index Options'!$C:$C,$A72,'NSE - Other Index Options'!$B:$B,G$4))</f>
        <v/>
      </c>
      <c r="H72" s="26">
        <f>IF(SUM(B72:G72)=0,"",SUM(B72:G72))</f>
        <v/>
      </c>
    </row>
    <row r="73" hidden="1" outlineLevel="1">
      <c r="A73" t="inlineStr">
        <is>
          <t>Week5-Oct-2026</t>
        </is>
      </c>
      <c r="B73" s="26">
        <f>IF(SUMIFS('NSE - NIFTY Index Options'!$M:$M,'NSE - NIFTY Index Options'!$C:$C,$A73,'NSE - NIFTY Index Options'!$B:$B,B$4)+SUMIFS('NSE - Other Index Options'!$M:$M,'NSE - Other Index Options'!$C:$C,$A73,'NSE - Other Index Options'!$B:$B,B$4)=0,"",SUMIFS('NSE - NIFTY Index Options'!$M:$M,'NSE - NIFTY Index Options'!$C:$C,$A73,'NSE - NIFTY Index Options'!$B:$B,B$4)+SUMIFS('NSE - Other Index Options'!$M:$M,'NSE - Other Index Options'!$C:$C,$A73,'NSE - Other Index Options'!$B:$B,B$4))</f>
        <v/>
      </c>
      <c r="C73" s="26">
        <f>IF(SUMIFS('NSE - NIFTY Index Options'!$M:$M,'NSE - NIFTY Index Options'!$C:$C,$A73,'NSE - NIFTY Index Options'!$B:$B,C$4)+SUMIFS('NSE - Other Index Options'!$M:$M,'NSE - Other Index Options'!$C:$C,$A73,'NSE - Other Index Options'!$B:$B,C$4)=0,"",SUMIFS('NSE - NIFTY Index Options'!$M:$M,'NSE - NIFTY Index Options'!$C:$C,$A73,'NSE - NIFTY Index Options'!$B:$B,C$4)+SUMIFS('NSE - Other Index Options'!$M:$M,'NSE - Other Index Options'!$C:$C,$A73,'NSE - Other Index Options'!$B:$B,C$4))</f>
        <v/>
      </c>
      <c r="D73" s="26">
        <f>IF(SUMIFS('NSE - NIFTY Index Options'!$M:$M,'NSE - NIFTY Index Options'!$C:$C,$A73,'NSE - NIFTY Index Options'!$B:$B,D$4)+SUMIFS('NSE - Other Index Options'!$M:$M,'NSE - Other Index Options'!$C:$C,$A73,'NSE - Other Index Options'!$B:$B,D$4)=0,"",SUMIFS('NSE - NIFTY Index Options'!$M:$M,'NSE - NIFTY Index Options'!$C:$C,$A73,'NSE - NIFTY Index Options'!$B:$B,D$4)+SUMIFS('NSE - Other Index Options'!$M:$M,'NSE - Other Index Options'!$C:$C,$A73,'NSE - Other Index Options'!$B:$B,D$4))</f>
        <v/>
      </c>
      <c r="E73" s="26">
        <f>IF(SUMIFS('NSE - NIFTY Index Options'!$M:$M,'NSE - NIFTY Index Options'!$C:$C,$A73,'NSE - NIFTY Index Options'!$B:$B,E$4)+SUMIFS('NSE - Other Index Options'!$M:$M,'NSE - Other Index Options'!$C:$C,$A73,'NSE - Other Index Options'!$B:$B,E$4)=0,"",SUMIFS('NSE - NIFTY Index Options'!$M:$M,'NSE - NIFTY Index Options'!$C:$C,$A73,'NSE - NIFTY Index Options'!$B:$B,E$4)+SUMIFS('NSE - Other Index Options'!$M:$M,'NSE - Other Index Options'!$C:$C,$A73,'NSE - Other Index Options'!$B:$B,E$4))</f>
        <v/>
      </c>
      <c r="F73" s="26">
        <f>IF(SUMIFS('NSE - NIFTY Index Options'!$M:$M,'NSE - NIFTY Index Options'!$C:$C,$A73,'NSE - NIFTY Index Options'!$B:$B,F$4)+SUMIFS('NSE - Other Index Options'!$M:$M,'NSE - Other Index Options'!$C:$C,$A73,'NSE - Other Index Options'!$B:$B,F$4)=0,"",SUMIFS('NSE - NIFTY Index Options'!$M:$M,'NSE - NIFTY Index Options'!$C:$C,$A73,'NSE - NIFTY Index Options'!$B:$B,F$4)+SUMIFS('NSE - Other Index Options'!$M:$M,'NSE - Other Index Options'!$C:$C,$A73,'NSE - Other Index Options'!$B:$B,F$4))</f>
        <v/>
      </c>
      <c r="G73" s="26">
        <f>IF(SUMIFS('NSE - NIFTY Index Options'!$M:$M,'NSE - NIFTY Index Options'!$C:$C,$A73,'NSE - NIFTY Index Options'!$B:$B,G$4)+SUMIFS('NSE - Other Index Options'!$M:$M,'NSE - Other Index Options'!$C:$C,$A73,'NSE - Other Index Options'!$B:$B,G$4)=0,"",SUMIFS('NSE - NIFTY Index Options'!$M:$M,'NSE - NIFTY Index Options'!$C:$C,$A73,'NSE - NIFTY Index Options'!$B:$B,G$4)+SUMIFS('NSE - Other Index Options'!$M:$M,'NSE - Other Index Options'!$C:$C,$A73,'NSE - Other Index Options'!$B:$B,G$4))</f>
        <v/>
      </c>
      <c r="H73" s="26">
        <f>IF(SUM(B73:G73)=0,"",SUM(B73:G73))</f>
        <v/>
      </c>
    </row>
    <row r="74" hidden="1" outlineLevel="1">
      <c r="A74" t="inlineStr">
        <is>
          <t>Week1-Nov-2026</t>
        </is>
      </c>
      <c r="B74" s="26">
        <f>IF(SUMIFS('NSE - NIFTY Index Options'!$M:$M,'NSE - NIFTY Index Options'!$C:$C,$A74,'NSE - NIFTY Index Options'!$B:$B,B$4)+SUMIFS('NSE - Other Index Options'!$M:$M,'NSE - Other Index Options'!$C:$C,$A74,'NSE - Other Index Options'!$B:$B,B$4)=0,"",SUMIFS('NSE - NIFTY Index Options'!$M:$M,'NSE - NIFTY Index Options'!$C:$C,$A74,'NSE - NIFTY Index Options'!$B:$B,B$4)+SUMIFS('NSE - Other Index Options'!$M:$M,'NSE - Other Index Options'!$C:$C,$A74,'NSE - Other Index Options'!$B:$B,B$4))</f>
        <v/>
      </c>
      <c r="C74" s="26">
        <f>IF(SUMIFS('NSE - NIFTY Index Options'!$M:$M,'NSE - NIFTY Index Options'!$C:$C,$A74,'NSE - NIFTY Index Options'!$B:$B,C$4)+SUMIFS('NSE - Other Index Options'!$M:$M,'NSE - Other Index Options'!$C:$C,$A74,'NSE - Other Index Options'!$B:$B,C$4)=0,"",SUMIFS('NSE - NIFTY Index Options'!$M:$M,'NSE - NIFTY Index Options'!$C:$C,$A74,'NSE - NIFTY Index Options'!$B:$B,C$4)+SUMIFS('NSE - Other Index Options'!$M:$M,'NSE - Other Index Options'!$C:$C,$A74,'NSE - Other Index Options'!$B:$B,C$4))</f>
        <v/>
      </c>
      <c r="D74" s="26">
        <f>IF(SUMIFS('NSE - NIFTY Index Options'!$M:$M,'NSE - NIFTY Index Options'!$C:$C,$A74,'NSE - NIFTY Index Options'!$B:$B,D$4)+SUMIFS('NSE - Other Index Options'!$M:$M,'NSE - Other Index Options'!$C:$C,$A74,'NSE - Other Index Options'!$B:$B,D$4)=0,"",SUMIFS('NSE - NIFTY Index Options'!$M:$M,'NSE - NIFTY Index Options'!$C:$C,$A74,'NSE - NIFTY Index Options'!$B:$B,D$4)+SUMIFS('NSE - Other Index Options'!$M:$M,'NSE - Other Index Options'!$C:$C,$A74,'NSE - Other Index Options'!$B:$B,D$4))</f>
        <v/>
      </c>
      <c r="E74" s="26">
        <f>IF(SUMIFS('NSE - NIFTY Index Options'!$M:$M,'NSE - NIFTY Index Options'!$C:$C,$A74,'NSE - NIFTY Index Options'!$B:$B,E$4)+SUMIFS('NSE - Other Index Options'!$M:$M,'NSE - Other Index Options'!$C:$C,$A74,'NSE - Other Index Options'!$B:$B,E$4)=0,"",SUMIFS('NSE - NIFTY Index Options'!$M:$M,'NSE - NIFTY Index Options'!$C:$C,$A74,'NSE - NIFTY Index Options'!$B:$B,E$4)+SUMIFS('NSE - Other Index Options'!$M:$M,'NSE - Other Index Options'!$C:$C,$A74,'NSE - Other Index Options'!$B:$B,E$4))</f>
        <v/>
      </c>
      <c r="F74" s="26">
        <f>IF(SUMIFS('NSE - NIFTY Index Options'!$M:$M,'NSE - NIFTY Index Options'!$C:$C,$A74,'NSE - NIFTY Index Options'!$B:$B,F$4)+SUMIFS('NSE - Other Index Options'!$M:$M,'NSE - Other Index Options'!$C:$C,$A74,'NSE - Other Index Options'!$B:$B,F$4)=0,"",SUMIFS('NSE - NIFTY Index Options'!$M:$M,'NSE - NIFTY Index Options'!$C:$C,$A74,'NSE - NIFTY Index Options'!$B:$B,F$4)+SUMIFS('NSE - Other Index Options'!$M:$M,'NSE - Other Index Options'!$C:$C,$A74,'NSE - Other Index Options'!$B:$B,F$4))</f>
        <v/>
      </c>
      <c r="G74" s="26">
        <f>IF(SUMIFS('NSE - NIFTY Index Options'!$M:$M,'NSE - NIFTY Index Options'!$C:$C,$A74,'NSE - NIFTY Index Options'!$B:$B,G$4)+SUMIFS('NSE - Other Index Options'!$M:$M,'NSE - Other Index Options'!$C:$C,$A74,'NSE - Other Index Options'!$B:$B,G$4)=0,"",SUMIFS('NSE - NIFTY Index Options'!$M:$M,'NSE - NIFTY Index Options'!$C:$C,$A74,'NSE - NIFTY Index Options'!$B:$B,G$4)+SUMIFS('NSE - Other Index Options'!$M:$M,'NSE - Other Index Options'!$C:$C,$A74,'NSE - Other Index Options'!$B:$B,G$4))</f>
        <v/>
      </c>
      <c r="H74" s="26">
        <f>IF(SUM(B74:G74)=0,"",SUM(B74:G74))</f>
        <v/>
      </c>
    </row>
    <row r="75" hidden="1" outlineLevel="1">
      <c r="A75" t="inlineStr">
        <is>
          <t>Week2-Nov-2026</t>
        </is>
      </c>
      <c r="B75" s="26">
        <f>IF(SUMIFS('NSE - NIFTY Index Options'!$M:$M,'NSE - NIFTY Index Options'!$C:$C,$A75,'NSE - NIFTY Index Options'!$B:$B,B$4)+SUMIFS('NSE - Other Index Options'!$M:$M,'NSE - Other Index Options'!$C:$C,$A75,'NSE - Other Index Options'!$B:$B,B$4)=0,"",SUMIFS('NSE - NIFTY Index Options'!$M:$M,'NSE - NIFTY Index Options'!$C:$C,$A75,'NSE - NIFTY Index Options'!$B:$B,B$4)+SUMIFS('NSE - Other Index Options'!$M:$M,'NSE - Other Index Options'!$C:$C,$A75,'NSE - Other Index Options'!$B:$B,B$4))</f>
        <v/>
      </c>
      <c r="C75" s="26">
        <f>IF(SUMIFS('NSE - NIFTY Index Options'!$M:$M,'NSE - NIFTY Index Options'!$C:$C,$A75,'NSE - NIFTY Index Options'!$B:$B,C$4)+SUMIFS('NSE - Other Index Options'!$M:$M,'NSE - Other Index Options'!$C:$C,$A75,'NSE - Other Index Options'!$B:$B,C$4)=0,"",SUMIFS('NSE - NIFTY Index Options'!$M:$M,'NSE - NIFTY Index Options'!$C:$C,$A75,'NSE - NIFTY Index Options'!$B:$B,C$4)+SUMIFS('NSE - Other Index Options'!$M:$M,'NSE - Other Index Options'!$C:$C,$A75,'NSE - Other Index Options'!$B:$B,C$4))</f>
        <v/>
      </c>
      <c r="D75" s="26">
        <f>IF(SUMIFS('NSE - NIFTY Index Options'!$M:$M,'NSE - NIFTY Index Options'!$C:$C,$A75,'NSE - NIFTY Index Options'!$B:$B,D$4)+SUMIFS('NSE - Other Index Options'!$M:$M,'NSE - Other Index Options'!$C:$C,$A75,'NSE - Other Index Options'!$B:$B,D$4)=0,"",SUMIFS('NSE - NIFTY Index Options'!$M:$M,'NSE - NIFTY Index Options'!$C:$C,$A75,'NSE - NIFTY Index Options'!$B:$B,D$4)+SUMIFS('NSE - Other Index Options'!$M:$M,'NSE - Other Index Options'!$C:$C,$A75,'NSE - Other Index Options'!$B:$B,D$4))</f>
        <v/>
      </c>
      <c r="E75" s="26">
        <f>IF(SUMIFS('NSE - NIFTY Index Options'!$M:$M,'NSE - NIFTY Index Options'!$C:$C,$A75,'NSE - NIFTY Index Options'!$B:$B,E$4)+SUMIFS('NSE - Other Index Options'!$M:$M,'NSE - Other Index Options'!$C:$C,$A75,'NSE - Other Index Options'!$B:$B,E$4)=0,"",SUMIFS('NSE - NIFTY Index Options'!$M:$M,'NSE - NIFTY Index Options'!$C:$C,$A75,'NSE - NIFTY Index Options'!$B:$B,E$4)+SUMIFS('NSE - Other Index Options'!$M:$M,'NSE - Other Index Options'!$C:$C,$A75,'NSE - Other Index Options'!$B:$B,E$4))</f>
        <v/>
      </c>
      <c r="F75" s="26">
        <f>IF(SUMIFS('NSE - NIFTY Index Options'!$M:$M,'NSE - NIFTY Index Options'!$C:$C,$A75,'NSE - NIFTY Index Options'!$B:$B,F$4)+SUMIFS('NSE - Other Index Options'!$M:$M,'NSE - Other Index Options'!$C:$C,$A75,'NSE - Other Index Options'!$B:$B,F$4)=0,"",SUMIFS('NSE - NIFTY Index Options'!$M:$M,'NSE - NIFTY Index Options'!$C:$C,$A75,'NSE - NIFTY Index Options'!$B:$B,F$4)+SUMIFS('NSE - Other Index Options'!$M:$M,'NSE - Other Index Options'!$C:$C,$A75,'NSE - Other Index Options'!$B:$B,F$4))</f>
        <v/>
      </c>
      <c r="G75" s="26">
        <f>IF(SUMIFS('NSE - NIFTY Index Options'!$M:$M,'NSE - NIFTY Index Options'!$C:$C,$A75,'NSE - NIFTY Index Options'!$B:$B,G$4)+SUMIFS('NSE - Other Index Options'!$M:$M,'NSE - Other Index Options'!$C:$C,$A75,'NSE - Other Index Options'!$B:$B,G$4)=0,"",SUMIFS('NSE - NIFTY Index Options'!$M:$M,'NSE - NIFTY Index Options'!$C:$C,$A75,'NSE - NIFTY Index Options'!$B:$B,G$4)+SUMIFS('NSE - Other Index Options'!$M:$M,'NSE - Other Index Options'!$C:$C,$A75,'NSE - Other Index Options'!$B:$B,G$4))</f>
        <v/>
      </c>
      <c r="H75" s="26">
        <f>IF(SUM(B75:G75)=0,"",SUM(B75:G75))</f>
        <v/>
      </c>
    </row>
    <row r="76" hidden="1" outlineLevel="1">
      <c r="A76" t="inlineStr">
        <is>
          <t>Week3-Nov-2026</t>
        </is>
      </c>
      <c r="B76" s="26">
        <f>IF(SUMIFS('NSE - NIFTY Index Options'!$M:$M,'NSE - NIFTY Index Options'!$C:$C,$A76,'NSE - NIFTY Index Options'!$B:$B,B$4)+SUMIFS('NSE - Other Index Options'!$M:$M,'NSE - Other Index Options'!$C:$C,$A76,'NSE - Other Index Options'!$B:$B,B$4)=0,"",SUMIFS('NSE - NIFTY Index Options'!$M:$M,'NSE - NIFTY Index Options'!$C:$C,$A76,'NSE - NIFTY Index Options'!$B:$B,B$4)+SUMIFS('NSE - Other Index Options'!$M:$M,'NSE - Other Index Options'!$C:$C,$A76,'NSE - Other Index Options'!$B:$B,B$4))</f>
        <v/>
      </c>
      <c r="C76" s="26">
        <f>IF(SUMIFS('NSE - NIFTY Index Options'!$M:$M,'NSE - NIFTY Index Options'!$C:$C,$A76,'NSE - NIFTY Index Options'!$B:$B,C$4)+SUMIFS('NSE - Other Index Options'!$M:$M,'NSE - Other Index Options'!$C:$C,$A76,'NSE - Other Index Options'!$B:$B,C$4)=0,"",SUMIFS('NSE - NIFTY Index Options'!$M:$M,'NSE - NIFTY Index Options'!$C:$C,$A76,'NSE - NIFTY Index Options'!$B:$B,C$4)+SUMIFS('NSE - Other Index Options'!$M:$M,'NSE - Other Index Options'!$C:$C,$A76,'NSE - Other Index Options'!$B:$B,C$4))</f>
        <v/>
      </c>
      <c r="D76" s="26">
        <f>IF(SUMIFS('NSE - NIFTY Index Options'!$M:$M,'NSE - NIFTY Index Options'!$C:$C,$A76,'NSE - NIFTY Index Options'!$B:$B,D$4)+SUMIFS('NSE - Other Index Options'!$M:$M,'NSE - Other Index Options'!$C:$C,$A76,'NSE - Other Index Options'!$B:$B,D$4)=0,"",SUMIFS('NSE - NIFTY Index Options'!$M:$M,'NSE - NIFTY Index Options'!$C:$C,$A76,'NSE - NIFTY Index Options'!$B:$B,D$4)+SUMIFS('NSE - Other Index Options'!$M:$M,'NSE - Other Index Options'!$C:$C,$A76,'NSE - Other Index Options'!$B:$B,D$4))</f>
        <v/>
      </c>
      <c r="E76" s="26">
        <f>IF(SUMIFS('NSE - NIFTY Index Options'!$M:$M,'NSE - NIFTY Index Options'!$C:$C,$A76,'NSE - NIFTY Index Options'!$B:$B,E$4)+SUMIFS('NSE - Other Index Options'!$M:$M,'NSE - Other Index Options'!$C:$C,$A76,'NSE - Other Index Options'!$B:$B,E$4)=0,"",SUMIFS('NSE - NIFTY Index Options'!$M:$M,'NSE - NIFTY Index Options'!$C:$C,$A76,'NSE - NIFTY Index Options'!$B:$B,E$4)+SUMIFS('NSE - Other Index Options'!$M:$M,'NSE - Other Index Options'!$C:$C,$A76,'NSE - Other Index Options'!$B:$B,E$4))</f>
        <v/>
      </c>
      <c r="F76" s="26">
        <f>IF(SUMIFS('NSE - NIFTY Index Options'!$M:$M,'NSE - NIFTY Index Options'!$C:$C,$A76,'NSE - NIFTY Index Options'!$B:$B,F$4)+SUMIFS('NSE - Other Index Options'!$M:$M,'NSE - Other Index Options'!$C:$C,$A76,'NSE - Other Index Options'!$B:$B,F$4)=0,"",SUMIFS('NSE - NIFTY Index Options'!$M:$M,'NSE - NIFTY Index Options'!$C:$C,$A76,'NSE - NIFTY Index Options'!$B:$B,F$4)+SUMIFS('NSE - Other Index Options'!$M:$M,'NSE - Other Index Options'!$C:$C,$A76,'NSE - Other Index Options'!$B:$B,F$4))</f>
        <v/>
      </c>
      <c r="G76" s="26">
        <f>IF(SUMIFS('NSE - NIFTY Index Options'!$M:$M,'NSE - NIFTY Index Options'!$C:$C,$A76,'NSE - NIFTY Index Options'!$B:$B,G$4)+SUMIFS('NSE - Other Index Options'!$M:$M,'NSE - Other Index Options'!$C:$C,$A76,'NSE - Other Index Options'!$B:$B,G$4)=0,"",SUMIFS('NSE - NIFTY Index Options'!$M:$M,'NSE - NIFTY Index Options'!$C:$C,$A76,'NSE - NIFTY Index Options'!$B:$B,G$4)+SUMIFS('NSE - Other Index Options'!$M:$M,'NSE - Other Index Options'!$C:$C,$A76,'NSE - Other Index Options'!$B:$B,G$4))</f>
        <v/>
      </c>
      <c r="H76" s="26">
        <f>IF(SUM(B76:G76)=0,"",SUM(B76:G76))</f>
        <v/>
      </c>
    </row>
    <row r="77" hidden="1" outlineLevel="1">
      <c r="A77" t="inlineStr">
        <is>
          <t>Week4-Nov-2026</t>
        </is>
      </c>
      <c r="B77" s="26">
        <f>IF(SUMIFS('NSE - NIFTY Index Options'!$M:$M,'NSE - NIFTY Index Options'!$C:$C,$A77,'NSE - NIFTY Index Options'!$B:$B,B$4)+SUMIFS('NSE - Other Index Options'!$M:$M,'NSE - Other Index Options'!$C:$C,$A77,'NSE - Other Index Options'!$B:$B,B$4)=0,"",SUMIFS('NSE - NIFTY Index Options'!$M:$M,'NSE - NIFTY Index Options'!$C:$C,$A77,'NSE - NIFTY Index Options'!$B:$B,B$4)+SUMIFS('NSE - Other Index Options'!$M:$M,'NSE - Other Index Options'!$C:$C,$A77,'NSE - Other Index Options'!$B:$B,B$4))</f>
        <v/>
      </c>
      <c r="C77" s="26">
        <f>IF(SUMIFS('NSE - NIFTY Index Options'!$M:$M,'NSE - NIFTY Index Options'!$C:$C,$A77,'NSE - NIFTY Index Options'!$B:$B,C$4)+SUMIFS('NSE - Other Index Options'!$M:$M,'NSE - Other Index Options'!$C:$C,$A77,'NSE - Other Index Options'!$B:$B,C$4)=0,"",SUMIFS('NSE - NIFTY Index Options'!$M:$M,'NSE - NIFTY Index Options'!$C:$C,$A77,'NSE - NIFTY Index Options'!$B:$B,C$4)+SUMIFS('NSE - Other Index Options'!$M:$M,'NSE - Other Index Options'!$C:$C,$A77,'NSE - Other Index Options'!$B:$B,C$4))</f>
        <v/>
      </c>
      <c r="D77" s="26">
        <f>IF(SUMIFS('NSE - NIFTY Index Options'!$M:$M,'NSE - NIFTY Index Options'!$C:$C,$A77,'NSE - NIFTY Index Options'!$B:$B,D$4)+SUMIFS('NSE - Other Index Options'!$M:$M,'NSE - Other Index Options'!$C:$C,$A77,'NSE - Other Index Options'!$B:$B,D$4)=0,"",SUMIFS('NSE - NIFTY Index Options'!$M:$M,'NSE - NIFTY Index Options'!$C:$C,$A77,'NSE - NIFTY Index Options'!$B:$B,D$4)+SUMIFS('NSE - Other Index Options'!$M:$M,'NSE - Other Index Options'!$C:$C,$A77,'NSE - Other Index Options'!$B:$B,D$4))</f>
        <v/>
      </c>
      <c r="E77" s="26">
        <f>IF(SUMIFS('NSE - NIFTY Index Options'!$M:$M,'NSE - NIFTY Index Options'!$C:$C,$A77,'NSE - NIFTY Index Options'!$B:$B,E$4)+SUMIFS('NSE - Other Index Options'!$M:$M,'NSE - Other Index Options'!$C:$C,$A77,'NSE - Other Index Options'!$B:$B,E$4)=0,"",SUMIFS('NSE - NIFTY Index Options'!$M:$M,'NSE - NIFTY Index Options'!$C:$C,$A77,'NSE - NIFTY Index Options'!$B:$B,E$4)+SUMIFS('NSE - Other Index Options'!$M:$M,'NSE - Other Index Options'!$C:$C,$A77,'NSE - Other Index Options'!$B:$B,E$4))</f>
        <v/>
      </c>
      <c r="F77" s="26">
        <f>IF(SUMIFS('NSE - NIFTY Index Options'!$M:$M,'NSE - NIFTY Index Options'!$C:$C,$A77,'NSE - NIFTY Index Options'!$B:$B,F$4)+SUMIFS('NSE - Other Index Options'!$M:$M,'NSE - Other Index Options'!$C:$C,$A77,'NSE - Other Index Options'!$B:$B,F$4)=0,"",SUMIFS('NSE - NIFTY Index Options'!$M:$M,'NSE - NIFTY Index Options'!$C:$C,$A77,'NSE - NIFTY Index Options'!$B:$B,F$4)+SUMIFS('NSE - Other Index Options'!$M:$M,'NSE - Other Index Options'!$C:$C,$A77,'NSE - Other Index Options'!$B:$B,F$4))</f>
        <v/>
      </c>
      <c r="G77" s="26">
        <f>IF(SUMIFS('NSE - NIFTY Index Options'!$M:$M,'NSE - NIFTY Index Options'!$C:$C,$A77,'NSE - NIFTY Index Options'!$B:$B,G$4)+SUMIFS('NSE - Other Index Options'!$M:$M,'NSE - Other Index Options'!$C:$C,$A77,'NSE - Other Index Options'!$B:$B,G$4)=0,"",SUMIFS('NSE - NIFTY Index Options'!$M:$M,'NSE - NIFTY Index Options'!$C:$C,$A77,'NSE - NIFTY Index Options'!$B:$B,G$4)+SUMIFS('NSE - Other Index Options'!$M:$M,'NSE - Other Index Options'!$C:$C,$A77,'NSE - Other Index Options'!$B:$B,G$4))</f>
        <v/>
      </c>
      <c r="H77" s="26">
        <f>IF(SUM(B77:G77)=0,"",SUM(B77:G77))</f>
        <v/>
      </c>
    </row>
    <row r="78" hidden="1" outlineLevel="1">
      <c r="A78" t="inlineStr">
        <is>
          <t>Week5-Nov-2026</t>
        </is>
      </c>
      <c r="B78" s="26">
        <f>IF(SUMIFS('NSE - NIFTY Index Options'!$M:$M,'NSE - NIFTY Index Options'!$C:$C,$A78,'NSE - NIFTY Index Options'!$B:$B,B$4)+SUMIFS('NSE - Other Index Options'!$M:$M,'NSE - Other Index Options'!$C:$C,$A78,'NSE - Other Index Options'!$B:$B,B$4)=0,"",SUMIFS('NSE - NIFTY Index Options'!$M:$M,'NSE - NIFTY Index Options'!$C:$C,$A78,'NSE - NIFTY Index Options'!$B:$B,B$4)+SUMIFS('NSE - Other Index Options'!$M:$M,'NSE - Other Index Options'!$C:$C,$A78,'NSE - Other Index Options'!$B:$B,B$4))</f>
        <v/>
      </c>
      <c r="C78" s="26">
        <f>IF(SUMIFS('NSE - NIFTY Index Options'!$M:$M,'NSE - NIFTY Index Options'!$C:$C,$A78,'NSE - NIFTY Index Options'!$B:$B,C$4)+SUMIFS('NSE - Other Index Options'!$M:$M,'NSE - Other Index Options'!$C:$C,$A78,'NSE - Other Index Options'!$B:$B,C$4)=0,"",SUMIFS('NSE - NIFTY Index Options'!$M:$M,'NSE - NIFTY Index Options'!$C:$C,$A78,'NSE - NIFTY Index Options'!$B:$B,C$4)+SUMIFS('NSE - Other Index Options'!$M:$M,'NSE - Other Index Options'!$C:$C,$A78,'NSE - Other Index Options'!$B:$B,C$4))</f>
        <v/>
      </c>
      <c r="D78" s="26">
        <f>IF(SUMIFS('NSE - NIFTY Index Options'!$M:$M,'NSE - NIFTY Index Options'!$C:$C,$A78,'NSE - NIFTY Index Options'!$B:$B,D$4)+SUMIFS('NSE - Other Index Options'!$M:$M,'NSE - Other Index Options'!$C:$C,$A78,'NSE - Other Index Options'!$B:$B,D$4)=0,"",SUMIFS('NSE - NIFTY Index Options'!$M:$M,'NSE - NIFTY Index Options'!$C:$C,$A78,'NSE - NIFTY Index Options'!$B:$B,D$4)+SUMIFS('NSE - Other Index Options'!$M:$M,'NSE - Other Index Options'!$C:$C,$A78,'NSE - Other Index Options'!$B:$B,D$4))</f>
        <v/>
      </c>
      <c r="E78" s="26">
        <f>IF(SUMIFS('NSE - NIFTY Index Options'!$M:$M,'NSE - NIFTY Index Options'!$C:$C,$A78,'NSE - NIFTY Index Options'!$B:$B,E$4)+SUMIFS('NSE - Other Index Options'!$M:$M,'NSE - Other Index Options'!$C:$C,$A78,'NSE - Other Index Options'!$B:$B,E$4)=0,"",SUMIFS('NSE - NIFTY Index Options'!$M:$M,'NSE - NIFTY Index Options'!$C:$C,$A78,'NSE - NIFTY Index Options'!$B:$B,E$4)+SUMIFS('NSE - Other Index Options'!$M:$M,'NSE - Other Index Options'!$C:$C,$A78,'NSE - Other Index Options'!$B:$B,E$4))</f>
        <v/>
      </c>
      <c r="F78" s="26">
        <f>IF(SUMIFS('NSE - NIFTY Index Options'!$M:$M,'NSE - NIFTY Index Options'!$C:$C,$A78,'NSE - NIFTY Index Options'!$B:$B,F$4)+SUMIFS('NSE - Other Index Options'!$M:$M,'NSE - Other Index Options'!$C:$C,$A78,'NSE - Other Index Options'!$B:$B,F$4)=0,"",SUMIFS('NSE - NIFTY Index Options'!$M:$M,'NSE - NIFTY Index Options'!$C:$C,$A78,'NSE - NIFTY Index Options'!$B:$B,F$4)+SUMIFS('NSE - Other Index Options'!$M:$M,'NSE - Other Index Options'!$C:$C,$A78,'NSE - Other Index Options'!$B:$B,F$4))</f>
        <v/>
      </c>
      <c r="G78" s="26">
        <f>IF(SUMIFS('NSE - NIFTY Index Options'!$M:$M,'NSE - NIFTY Index Options'!$C:$C,$A78,'NSE - NIFTY Index Options'!$B:$B,G$4)+SUMIFS('NSE - Other Index Options'!$M:$M,'NSE - Other Index Options'!$C:$C,$A78,'NSE - Other Index Options'!$B:$B,G$4)=0,"",SUMIFS('NSE - NIFTY Index Options'!$M:$M,'NSE - NIFTY Index Options'!$C:$C,$A78,'NSE - NIFTY Index Options'!$B:$B,G$4)+SUMIFS('NSE - Other Index Options'!$M:$M,'NSE - Other Index Options'!$C:$C,$A78,'NSE - Other Index Options'!$B:$B,G$4))</f>
        <v/>
      </c>
      <c r="H78" s="26">
        <f>IF(SUM(B78:G78)=0,"",SUM(B78:G78))</f>
        <v/>
      </c>
    </row>
    <row r="79" hidden="1" outlineLevel="1">
      <c r="A79" t="inlineStr">
        <is>
          <t>Week1-Dec-2026</t>
        </is>
      </c>
      <c r="B79" s="26">
        <f>IF(SUMIFS('NSE - NIFTY Index Options'!$M:$M,'NSE - NIFTY Index Options'!$C:$C,$A79,'NSE - NIFTY Index Options'!$B:$B,B$4)+SUMIFS('NSE - Other Index Options'!$M:$M,'NSE - Other Index Options'!$C:$C,$A79,'NSE - Other Index Options'!$B:$B,B$4)=0,"",SUMIFS('NSE - NIFTY Index Options'!$M:$M,'NSE - NIFTY Index Options'!$C:$C,$A79,'NSE - NIFTY Index Options'!$B:$B,B$4)+SUMIFS('NSE - Other Index Options'!$M:$M,'NSE - Other Index Options'!$C:$C,$A79,'NSE - Other Index Options'!$B:$B,B$4))</f>
        <v/>
      </c>
      <c r="C79" s="26">
        <f>IF(SUMIFS('NSE - NIFTY Index Options'!$M:$M,'NSE - NIFTY Index Options'!$C:$C,$A79,'NSE - NIFTY Index Options'!$B:$B,C$4)+SUMIFS('NSE - Other Index Options'!$M:$M,'NSE - Other Index Options'!$C:$C,$A79,'NSE - Other Index Options'!$B:$B,C$4)=0,"",SUMIFS('NSE - NIFTY Index Options'!$M:$M,'NSE - NIFTY Index Options'!$C:$C,$A79,'NSE - NIFTY Index Options'!$B:$B,C$4)+SUMIFS('NSE - Other Index Options'!$M:$M,'NSE - Other Index Options'!$C:$C,$A79,'NSE - Other Index Options'!$B:$B,C$4))</f>
        <v/>
      </c>
      <c r="D79" s="26">
        <f>IF(SUMIFS('NSE - NIFTY Index Options'!$M:$M,'NSE - NIFTY Index Options'!$C:$C,$A79,'NSE - NIFTY Index Options'!$B:$B,D$4)+SUMIFS('NSE - Other Index Options'!$M:$M,'NSE - Other Index Options'!$C:$C,$A79,'NSE - Other Index Options'!$B:$B,D$4)=0,"",SUMIFS('NSE - NIFTY Index Options'!$M:$M,'NSE - NIFTY Index Options'!$C:$C,$A79,'NSE - NIFTY Index Options'!$B:$B,D$4)+SUMIFS('NSE - Other Index Options'!$M:$M,'NSE - Other Index Options'!$C:$C,$A79,'NSE - Other Index Options'!$B:$B,D$4))</f>
        <v/>
      </c>
      <c r="E79" s="26">
        <f>IF(SUMIFS('NSE - NIFTY Index Options'!$M:$M,'NSE - NIFTY Index Options'!$C:$C,$A79,'NSE - NIFTY Index Options'!$B:$B,E$4)+SUMIFS('NSE - Other Index Options'!$M:$M,'NSE - Other Index Options'!$C:$C,$A79,'NSE - Other Index Options'!$B:$B,E$4)=0,"",SUMIFS('NSE - NIFTY Index Options'!$M:$M,'NSE - NIFTY Index Options'!$C:$C,$A79,'NSE - NIFTY Index Options'!$B:$B,E$4)+SUMIFS('NSE - Other Index Options'!$M:$M,'NSE - Other Index Options'!$C:$C,$A79,'NSE - Other Index Options'!$B:$B,E$4))</f>
        <v/>
      </c>
      <c r="F79" s="26">
        <f>IF(SUMIFS('NSE - NIFTY Index Options'!$M:$M,'NSE - NIFTY Index Options'!$C:$C,$A79,'NSE - NIFTY Index Options'!$B:$B,F$4)+SUMIFS('NSE - Other Index Options'!$M:$M,'NSE - Other Index Options'!$C:$C,$A79,'NSE - Other Index Options'!$B:$B,F$4)=0,"",SUMIFS('NSE - NIFTY Index Options'!$M:$M,'NSE - NIFTY Index Options'!$C:$C,$A79,'NSE - NIFTY Index Options'!$B:$B,F$4)+SUMIFS('NSE - Other Index Options'!$M:$M,'NSE - Other Index Options'!$C:$C,$A79,'NSE - Other Index Options'!$B:$B,F$4))</f>
        <v/>
      </c>
      <c r="G79" s="26">
        <f>IF(SUMIFS('NSE - NIFTY Index Options'!$M:$M,'NSE - NIFTY Index Options'!$C:$C,$A79,'NSE - NIFTY Index Options'!$B:$B,G$4)+SUMIFS('NSE - Other Index Options'!$M:$M,'NSE - Other Index Options'!$C:$C,$A79,'NSE - Other Index Options'!$B:$B,G$4)=0,"",SUMIFS('NSE - NIFTY Index Options'!$M:$M,'NSE - NIFTY Index Options'!$C:$C,$A79,'NSE - NIFTY Index Options'!$B:$B,G$4)+SUMIFS('NSE - Other Index Options'!$M:$M,'NSE - Other Index Options'!$C:$C,$A79,'NSE - Other Index Options'!$B:$B,G$4))</f>
        <v/>
      </c>
      <c r="H79" s="26">
        <f>IF(SUM(B79:G79)=0,"",SUM(B79:G79))</f>
        <v/>
      </c>
    </row>
    <row r="80" hidden="1" outlineLevel="1">
      <c r="A80" t="inlineStr">
        <is>
          <t>Week2-Dec-2026</t>
        </is>
      </c>
      <c r="B80" s="26">
        <f>IF(SUMIFS('NSE - NIFTY Index Options'!$M:$M,'NSE - NIFTY Index Options'!$C:$C,$A80,'NSE - NIFTY Index Options'!$B:$B,B$4)+SUMIFS('NSE - Other Index Options'!$M:$M,'NSE - Other Index Options'!$C:$C,$A80,'NSE - Other Index Options'!$B:$B,B$4)=0,"",SUMIFS('NSE - NIFTY Index Options'!$M:$M,'NSE - NIFTY Index Options'!$C:$C,$A80,'NSE - NIFTY Index Options'!$B:$B,B$4)+SUMIFS('NSE - Other Index Options'!$M:$M,'NSE - Other Index Options'!$C:$C,$A80,'NSE - Other Index Options'!$B:$B,B$4))</f>
        <v/>
      </c>
      <c r="C80" s="26">
        <f>IF(SUMIFS('NSE - NIFTY Index Options'!$M:$M,'NSE - NIFTY Index Options'!$C:$C,$A80,'NSE - NIFTY Index Options'!$B:$B,C$4)+SUMIFS('NSE - Other Index Options'!$M:$M,'NSE - Other Index Options'!$C:$C,$A80,'NSE - Other Index Options'!$B:$B,C$4)=0,"",SUMIFS('NSE - NIFTY Index Options'!$M:$M,'NSE - NIFTY Index Options'!$C:$C,$A80,'NSE - NIFTY Index Options'!$B:$B,C$4)+SUMIFS('NSE - Other Index Options'!$M:$M,'NSE - Other Index Options'!$C:$C,$A80,'NSE - Other Index Options'!$B:$B,C$4))</f>
        <v/>
      </c>
      <c r="D80" s="26">
        <f>IF(SUMIFS('NSE - NIFTY Index Options'!$M:$M,'NSE - NIFTY Index Options'!$C:$C,$A80,'NSE - NIFTY Index Options'!$B:$B,D$4)+SUMIFS('NSE - Other Index Options'!$M:$M,'NSE - Other Index Options'!$C:$C,$A80,'NSE - Other Index Options'!$B:$B,D$4)=0,"",SUMIFS('NSE - NIFTY Index Options'!$M:$M,'NSE - NIFTY Index Options'!$C:$C,$A80,'NSE - NIFTY Index Options'!$B:$B,D$4)+SUMIFS('NSE - Other Index Options'!$M:$M,'NSE - Other Index Options'!$C:$C,$A80,'NSE - Other Index Options'!$B:$B,D$4))</f>
        <v/>
      </c>
      <c r="E80" s="26">
        <f>IF(SUMIFS('NSE - NIFTY Index Options'!$M:$M,'NSE - NIFTY Index Options'!$C:$C,$A80,'NSE - NIFTY Index Options'!$B:$B,E$4)+SUMIFS('NSE - Other Index Options'!$M:$M,'NSE - Other Index Options'!$C:$C,$A80,'NSE - Other Index Options'!$B:$B,E$4)=0,"",SUMIFS('NSE - NIFTY Index Options'!$M:$M,'NSE - NIFTY Index Options'!$C:$C,$A80,'NSE - NIFTY Index Options'!$B:$B,E$4)+SUMIFS('NSE - Other Index Options'!$M:$M,'NSE - Other Index Options'!$C:$C,$A80,'NSE - Other Index Options'!$B:$B,E$4))</f>
        <v/>
      </c>
      <c r="F80" s="26">
        <f>IF(SUMIFS('NSE - NIFTY Index Options'!$M:$M,'NSE - NIFTY Index Options'!$C:$C,$A80,'NSE - NIFTY Index Options'!$B:$B,F$4)+SUMIFS('NSE - Other Index Options'!$M:$M,'NSE - Other Index Options'!$C:$C,$A80,'NSE - Other Index Options'!$B:$B,F$4)=0,"",SUMIFS('NSE - NIFTY Index Options'!$M:$M,'NSE - NIFTY Index Options'!$C:$C,$A80,'NSE - NIFTY Index Options'!$B:$B,F$4)+SUMIFS('NSE - Other Index Options'!$M:$M,'NSE - Other Index Options'!$C:$C,$A80,'NSE - Other Index Options'!$B:$B,F$4))</f>
        <v/>
      </c>
      <c r="G80" s="26">
        <f>IF(SUMIFS('NSE - NIFTY Index Options'!$M:$M,'NSE - NIFTY Index Options'!$C:$C,$A80,'NSE - NIFTY Index Options'!$B:$B,G$4)+SUMIFS('NSE - Other Index Options'!$M:$M,'NSE - Other Index Options'!$C:$C,$A80,'NSE - Other Index Options'!$B:$B,G$4)=0,"",SUMIFS('NSE - NIFTY Index Options'!$M:$M,'NSE - NIFTY Index Options'!$C:$C,$A80,'NSE - NIFTY Index Options'!$B:$B,G$4)+SUMIFS('NSE - Other Index Options'!$M:$M,'NSE - Other Index Options'!$C:$C,$A80,'NSE - Other Index Options'!$B:$B,G$4))</f>
        <v/>
      </c>
      <c r="H80" s="26">
        <f>IF(SUM(B80:G80)=0,"",SUM(B80:G80))</f>
        <v/>
      </c>
    </row>
    <row r="81" hidden="1" outlineLevel="1">
      <c r="A81" t="inlineStr">
        <is>
          <t>Week3-Dec-2026</t>
        </is>
      </c>
      <c r="B81" s="26">
        <f>IF(SUMIFS('NSE - NIFTY Index Options'!$M:$M,'NSE - NIFTY Index Options'!$C:$C,$A81,'NSE - NIFTY Index Options'!$B:$B,B$4)+SUMIFS('NSE - Other Index Options'!$M:$M,'NSE - Other Index Options'!$C:$C,$A81,'NSE - Other Index Options'!$B:$B,B$4)=0,"",SUMIFS('NSE - NIFTY Index Options'!$M:$M,'NSE - NIFTY Index Options'!$C:$C,$A81,'NSE - NIFTY Index Options'!$B:$B,B$4)+SUMIFS('NSE - Other Index Options'!$M:$M,'NSE - Other Index Options'!$C:$C,$A81,'NSE - Other Index Options'!$B:$B,B$4))</f>
        <v/>
      </c>
      <c r="C81" s="26">
        <f>IF(SUMIFS('NSE - NIFTY Index Options'!$M:$M,'NSE - NIFTY Index Options'!$C:$C,$A81,'NSE - NIFTY Index Options'!$B:$B,C$4)+SUMIFS('NSE - Other Index Options'!$M:$M,'NSE - Other Index Options'!$C:$C,$A81,'NSE - Other Index Options'!$B:$B,C$4)=0,"",SUMIFS('NSE - NIFTY Index Options'!$M:$M,'NSE - NIFTY Index Options'!$C:$C,$A81,'NSE - NIFTY Index Options'!$B:$B,C$4)+SUMIFS('NSE - Other Index Options'!$M:$M,'NSE - Other Index Options'!$C:$C,$A81,'NSE - Other Index Options'!$B:$B,C$4))</f>
        <v/>
      </c>
      <c r="D81" s="26">
        <f>IF(SUMIFS('NSE - NIFTY Index Options'!$M:$M,'NSE - NIFTY Index Options'!$C:$C,$A81,'NSE - NIFTY Index Options'!$B:$B,D$4)+SUMIFS('NSE - Other Index Options'!$M:$M,'NSE - Other Index Options'!$C:$C,$A81,'NSE - Other Index Options'!$B:$B,D$4)=0,"",SUMIFS('NSE - NIFTY Index Options'!$M:$M,'NSE - NIFTY Index Options'!$C:$C,$A81,'NSE - NIFTY Index Options'!$B:$B,D$4)+SUMIFS('NSE - Other Index Options'!$M:$M,'NSE - Other Index Options'!$C:$C,$A81,'NSE - Other Index Options'!$B:$B,D$4))</f>
        <v/>
      </c>
      <c r="E81" s="26">
        <f>IF(SUMIFS('NSE - NIFTY Index Options'!$M:$M,'NSE - NIFTY Index Options'!$C:$C,$A81,'NSE - NIFTY Index Options'!$B:$B,E$4)+SUMIFS('NSE - Other Index Options'!$M:$M,'NSE - Other Index Options'!$C:$C,$A81,'NSE - Other Index Options'!$B:$B,E$4)=0,"",SUMIFS('NSE - NIFTY Index Options'!$M:$M,'NSE - NIFTY Index Options'!$C:$C,$A81,'NSE - NIFTY Index Options'!$B:$B,E$4)+SUMIFS('NSE - Other Index Options'!$M:$M,'NSE - Other Index Options'!$C:$C,$A81,'NSE - Other Index Options'!$B:$B,E$4))</f>
        <v/>
      </c>
      <c r="F81" s="26">
        <f>IF(SUMIFS('NSE - NIFTY Index Options'!$M:$M,'NSE - NIFTY Index Options'!$C:$C,$A81,'NSE - NIFTY Index Options'!$B:$B,F$4)+SUMIFS('NSE - Other Index Options'!$M:$M,'NSE - Other Index Options'!$C:$C,$A81,'NSE - Other Index Options'!$B:$B,F$4)=0,"",SUMIFS('NSE - NIFTY Index Options'!$M:$M,'NSE - NIFTY Index Options'!$C:$C,$A81,'NSE - NIFTY Index Options'!$B:$B,F$4)+SUMIFS('NSE - Other Index Options'!$M:$M,'NSE - Other Index Options'!$C:$C,$A81,'NSE - Other Index Options'!$B:$B,F$4))</f>
        <v/>
      </c>
      <c r="G81" s="26">
        <f>IF(SUMIFS('NSE - NIFTY Index Options'!$M:$M,'NSE - NIFTY Index Options'!$C:$C,$A81,'NSE - NIFTY Index Options'!$B:$B,G$4)+SUMIFS('NSE - Other Index Options'!$M:$M,'NSE - Other Index Options'!$C:$C,$A81,'NSE - Other Index Options'!$B:$B,G$4)=0,"",SUMIFS('NSE - NIFTY Index Options'!$M:$M,'NSE - NIFTY Index Options'!$C:$C,$A81,'NSE - NIFTY Index Options'!$B:$B,G$4)+SUMIFS('NSE - Other Index Options'!$M:$M,'NSE - Other Index Options'!$C:$C,$A81,'NSE - Other Index Options'!$B:$B,G$4))</f>
        <v/>
      </c>
      <c r="H81" s="26">
        <f>IF(SUM(B81:G81)=0,"",SUM(B81:G81))</f>
        <v/>
      </c>
    </row>
    <row r="82" hidden="1" outlineLevel="1">
      <c r="A82" t="inlineStr">
        <is>
          <t>Week4-Dec-2026</t>
        </is>
      </c>
      <c r="B82" s="26">
        <f>IF(SUMIFS('NSE - NIFTY Index Options'!$M:$M,'NSE - NIFTY Index Options'!$C:$C,$A82,'NSE - NIFTY Index Options'!$B:$B,B$4)+SUMIFS('NSE - Other Index Options'!$M:$M,'NSE - Other Index Options'!$C:$C,$A82,'NSE - Other Index Options'!$B:$B,B$4)=0,"",SUMIFS('NSE - NIFTY Index Options'!$M:$M,'NSE - NIFTY Index Options'!$C:$C,$A82,'NSE - NIFTY Index Options'!$B:$B,B$4)+SUMIFS('NSE - Other Index Options'!$M:$M,'NSE - Other Index Options'!$C:$C,$A82,'NSE - Other Index Options'!$B:$B,B$4))</f>
        <v/>
      </c>
      <c r="C82" s="26">
        <f>IF(SUMIFS('NSE - NIFTY Index Options'!$M:$M,'NSE - NIFTY Index Options'!$C:$C,$A82,'NSE - NIFTY Index Options'!$B:$B,C$4)+SUMIFS('NSE - Other Index Options'!$M:$M,'NSE - Other Index Options'!$C:$C,$A82,'NSE - Other Index Options'!$B:$B,C$4)=0,"",SUMIFS('NSE - NIFTY Index Options'!$M:$M,'NSE - NIFTY Index Options'!$C:$C,$A82,'NSE - NIFTY Index Options'!$B:$B,C$4)+SUMIFS('NSE - Other Index Options'!$M:$M,'NSE - Other Index Options'!$C:$C,$A82,'NSE - Other Index Options'!$B:$B,C$4))</f>
        <v/>
      </c>
      <c r="D82" s="26">
        <f>IF(SUMIFS('NSE - NIFTY Index Options'!$M:$M,'NSE - NIFTY Index Options'!$C:$C,$A82,'NSE - NIFTY Index Options'!$B:$B,D$4)+SUMIFS('NSE - Other Index Options'!$M:$M,'NSE - Other Index Options'!$C:$C,$A82,'NSE - Other Index Options'!$B:$B,D$4)=0,"",SUMIFS('NSE - NIFTY Index Options'!$M:$M,'NSE - NIFTY Index Options'!$C:$C,$A82,'NSE - NIFTY Index Options'!$B:$B,D$4)+SUMIFS('NSE - Other Index Options'!$M:$M,'NSE - Other Index Options'!$C:$C,$A82,'NSE - Other Index Options'!$B:$B,D$4))</f>
        <v/>
      </c>
      <c r="E82" s="26">
        <f>IF(SUMIFS('NSE - NIFTY Index Options'!$M:$M,'NSE - NIFTY Index Options'!$C:$C,$A82,'NSE - NIFTY Index Options'!$B:$B,E$4)+SUMIFS('NSE - Other Index Options'!$M:$M,'NSE - Other Index Options'!$C:$C,$A82,'NSE - Other Index Options'!$B:$B,E$4)=0,"",SUMIFS('NSE - NIFTY Index Options'!$M:$M,'NSE - NIFTY Index Options'!$C:$C,$A82,'NSE - NIFTY Index Options'!$B:$B,E$4)+SUMIFS('NSE - Other Index Options'!$M:$M,'NSE - Other Index Options'!$C:$C,$A82,'NSE - Other Index Options'!$B:$B,E$4))</f>
        <v/>
      </c>
      <c r="F82" s="26">
        <f>IF(SUMIFS('NSE - NIFTY Index Options'!$M:$M,'NSE - NIFTY Index Options'!$C:$C,$A82,'NSE - NIFTY Index Options'!$B:$B,F$4)+SUMIFS('NSE - Other Index Options'!$M:$M,'NSE - Other Index Options'!$C:$C,$A82,'NSE - Other Index Options'!$B:$B,F$4)=0,"",SUMIFS('NSE - NIFTY Index Options'!$M:$M,'NSE - NIFTY Index Options'!$C:$C,$A82,'NSE - NIFTY Index Options'!$B:$B,F$4)+SUMIFS('NSE - Other Index Options'!$M:$M,'NSE - Other Index Options'!$C:$C,$A82,'NSE - Other Index Options'!$B:$B,F$4))</f>
        <v/>
      </c>
      <c r="G82" s="26">
        <f>IF(SUMIFS('NSE - NIFTY Index Options'!$M:$M,'NSE - NIFTY Index Options'!$C:$C,$A82,'NSE - NIFTY Index Options'!$B:$B,G$4)+SUMIFS('NSE - Other Index Options'!$M:$M,'NSE - Other Index Options'!$C:$C,$A82,'NSE - Other Index Options'!$B:$B,G$4)=0,"",SUMIFS('NSE - NIFTY Index Options'!$M:$M,'NSE - NIFTY Index Options'!$C:$C,$A82,'NSE - NIFTY Index Options'!$B:$B,G$4)+SUMIFS('NSE - Other Index Options'!$M:$M,'NSE - Other Index Options'!$C:$C,$A82,'NSE - Other Index Options'!$B:$B,G$4))</f>
        <v/>
      </c>
      <c r="H82" s="26">
        <f>IF(SUM(B82:G82)=0,"",SUM(B82:G82))</f>
        <v/>
      </c>
    </row>
    <row r="83" hidden="1" outlineLevel="1">
      <c r="A83" t="inlineStr">
        <is>
          <t>Week5-Dec-2026</t>
        </is>
      </c>
      <c r="B83" s="26">
        <f>IF(SUMIFS('NSE - NIFTY Index Options'!$M:$M,'NSE - NIFTY Index Options'!$C:$C,$A83,'NSE - NIFTY Index Options'!$B:$B,B$4)+SUMIFS('NSE - Other Index Options'!$M:$M,'NSE - Other Index Options'!$C:$C,$A83,'NSE - Other Index Options'!$B:$B,B$4)=0,"",SUMIFS('NSE - NIFTY Index Options'!$M:$M,'NSE - NIFTY Index Options'!$C:$C,$A83,'NSE - NIFTY Index Options'!$B:$B,B$4)+SUMIFS('NSE - Other Index Options'!$M:$M,'NSE - Other Index Options'!$C:$C,$A83,'NSE - Other Index Options'!$B:$B,B$4))</f>
        <v/>
      </c>
      <c r="C83" s="26">
        <f>IF(SUMIFS('NSE - NIFTY Index Options'!$M:$M,'NSE - NIFTY Index Options'!$C:$C,$A83,'NSE - NIFTY Index Options'!$B:$B,C$4)+SUMIFS('NSE - Other Index Options'!$M:$M,'NSE - Other Index Options'!$C:$C,$A83,'NSE - Other Index Options'!$B:$B,C$4)=0,"",SUMIFS('NSE - NIFTY Index Options'!$M:$M,'NSE - NIFTY Index Options'!$C:$C,$A83,'NSE - NIFTY Index Options'!$B:$B,C$4)+SUMIFS('NSE - Other Index Options'!$M:$M,'NSE - Other Index Options'!$C:$C,$A83,'NSE - Other Index Options'!$B:$B,C$4))</f>
        <v/>
      </c>
      <c r="D83" s="26">
        <f>IF(SUMIFS('NSE - NIFTY Index Options'!$M:$M,'NSE - NIFTY Index Options'!$C:$C,$A83,'NSE - NIFTY Index Options'!$B:$B,D$4)+SUMIFS('NSE - Other Index Options'!$M:$M,'NSE - Other Index Options'!$C:$C,$A83,'NSE - Other Index Options'!$B:$B,D$4)=0,"",SUMIFS('NSE - NIFTY Index Options'!$M:$M,'NSE - NIFTY Index Options'!$C:$C,$A83,'NSE - NIFTY Index Options'!$B:$B,D$4)+SUMIFS('NSE - Other Index Options'!$M:$M,'NSE - Other Index Options'!$C:$C,$A83,'NSE - Other Index Options'!$B:$B,D$4))</f>
        <v/>
      </c>
      <c r="E83" s="26">
        <f>IF(SUMIFS('NSE - NIFTY Index Options'!$M:$M,'NSE - NIFTY Index Options'!$C:$C,$A83,'NSE - NIFTY Index Options'!$B:$B,E$4)+SUMIFS('NSE - Other Index Options'!$M:$M,'NSE - Other Index Options'!$C:$C,$A83,'NSE - Other Index Options'!$B:$B,E$4)=0,"",SUMIFS('NSE - NIFTY Index Options'!$M:$M,'NSE - NIFTY Index Options'!$C:$C,$A83,'NSE - NIFTY Index Options'!$B:$B,E$4)+SUMIFS('NSE - Other Index Options'!$M:$M,'NSE - Other Index Options'!$C:$C,$A83,'NSE - Other Index Options'!$B:$B,E$4))</f>
        <v/>
      </c>
      <c r="F83" s="26">
        <f>IF(SUMIFS('NSE - NIFTY Index Options'!$M:$M,'NSE - NIFTY Index Options'!$C:$C,$A83,'NSE - NIFTY Index Options'!$B:$B,F$4)+SUMIFS('NSE - Other Index Options'!$M:$M,'NSE - Other Index Options'!$C:$C,$A83,'NSE - Other Index Options'!$B:$B,F$4)=0,"",SUMIFS('NSE - NIFTY Index Options'!$M:$M,'NSE - NIFTY Index Options'!$C:$C,$A83,'NSE - NIFTY Index Options'!$B:$B,F$4)+SUMIFS('NSE - Other Index Options'!$M:$M,'NSE - Other Index Options'!$C:$C,$A83,'NSE - Other Index Options'!$B:$B,F$4))</f>
        <v/>
      </c>
      <c r="G83" s="26">
        <f>IF(SUMIFS('NSE - NIFTY Index Options'!$M:$M,'NSE - NIFTY Index Options'!$C:$C,$A83,'NSE - NIFTY Index Options'!$B:$B,G$4)+SUMIFS('NSE - Other Index Options'!$M:$M,'NSE - Other Index Options'!$C:$C,$A83,'NSE - Other Index Options'!$B:$B,G$4)=0,"",SUMIFS('NSE - NIFTY Index Options'!$M:$M,'NSE - NIFTY Index Options'!$C:$C,$A83,'NSE - NIFTY Index Options'!$B:$B,G$4)+SUMIFS('NSE - Other Index Options'!$M:$M,'NSE - Other Index Options'!$C:$C,$A83,'NSE - Other Index Options'!$B:$B,G$4))</f>
        <v/>
      </c>
      <c r="H83" s="26">
        <f>IF(SUM(B83:G83)=0,"",SUM(B83:G83))</f>
        <v/>
      </c>
    </row>
    <row r="84" hidden="1" outlineLevel="1">
      <c r="A84" t="inlineStr">
        <is>
          <t>Week1-Jan-2027</t>
        </is>
      </c>
      <c r="B84" s="26">
        <f>IF(SUMIFS('NSE - NIFTY Index Options'!$M:$M,'NSE - NIFTY Index Options'!$C:$C,$A84,'NSE - NIFTY Index Options'!$B:$B,B$4)+SUMIFS('NSE - Other Index Options'!$M:$M,'NSE - Other Index Options'!$C:$C,$A84,'NSE - Other Index Options'!$B:$B,B$4)=0,"",SUMIFS('NSE - NIFTY Index Options'!$M:$M,'NSE - NIFTY Index Options'!$C:$C,$A84,'NSE - NIFTY Index Options'!$B:$B,B$4)+SUMIFS('NSE - Other Index Options'!$M:$M,'NSE - Other Index Options'!$C:$C,$A84,'NSE - Other Index Options'!$B:$B,B$4))</f>
        <v/>
      </c>
      <c r="C84" s="26">
        <f>IF(SUMIFS('NSE - NIFTY Index Options'!$M:$M,'NSE - NIFTY Index Options'!$C:$C,$A84,'NSE - NIFTY Index Options'!$B:$B,C$4)+SUMIFS('NSE - Other Index Options'!$M:$M,'NSE - Other Index Options'!$C:$C,$A84,'NSE - Other Index Options'!$B:$B,C$4)=0,"",SUMIFS('NSE - NIFTY Index Options'!$M:$M,'NSE - NIFTY Index Options'!$C:$C,$A84,'NSE - NIFTY Index Options'!$B:$B,C$4)+SUMIFS('NSE - Other Index Options'!$M:$M,'NSE - Other Index Options'!$C:$C,$A84,'NSE - Other Index Options'!$B:$B,C$4))</f>
        <v/>
      </c>
      <c r="D84" s="26">
        <f>IF(SUMIFS('NSE - NIFTY Index Options'!$M:$M,'NSE - NIFTY Index Options'!$C:$C,$A84,'NSE - NIFTY Index Options'!$B:$B,D$4)+SUMIFS('NSE - Other Index Options'!$M:$M,'NSE - Other Index Options'!$C:$C,$A84,'NSE - Other Index Options'!$B:$B,D$4)=0,"",SUMIFS('NSE - NIFTY Index Options'!$M:$M,'NSE - NIFTY Index Options'!$C:$C,$A84,'NSE - NIFTY Index Options'!$B:$B,D$4)+SUMIFS('NSE - Other Index Options'!$M:$M,'NSE - Other Index Options'!$C:$C,$A84,'NSE - Other Index Options'!$B:$B,D$4))</f>
        <v/>
      </c>
      <c r="E84" s="26">
        <f>IF(SUMIFS('NSE - NIFTY Index Options'!$M:$M,'NSE - NIFTY Index Options'!$C:$C,$A84,'NSE - NIFTY Index Options'!$B:$B,E$4)+SUMIFS('NSE - Other Index Options'!$M:$M,'NSE - Other Index Options'!$C:$C,$A84,'NSE - Other Index Options'!$B:$B,E$4)=0,"",SUMIFS('NSE - NIFTY Index Options'!$M:$M,'NSE - NIFTY Index Options'!$C:$C,$A84,'NSE - NIFTY Index Options'!$B:$B,E$4)+SUMIFS('NSE - Other Index Options'!$M:$M,'NSE - Other Index Options'!$C:$C,$A84,'NSE - Other Index Options'!$B:$B,E$4))</f>
        <v/>
      </c>
      <c r="F84" s="26">
        <f>IF(SUMIFS('NSE - NIFTY Index Options'!$M:$M,'NSE - NIFTY Index Options'!$C:$C,$A84,'NSE - NIFTY Index Options'!$B:$B,F$4)+SUMIFS('NSE - Other Index Options'!$M:$M,'NSE - Other Index Options'!$C:$C,$A84,'NSE - Other Index Options'!$B:$B,F$4)=0,"",SUMIFS('NSE - NIFTY Index Options'!$M:$M,'NSE - NIFTY Index Options'!$C:$C,$A84,'NSE - NIFTY Index Options'!$B:$B,F$4)+SUMIFS('NSE - Other Index Options'!$M:$M,'NSE - Other Index Options'!$C:$C,$A84,'NSE - Other Index Options'!$B:$B,F$4))</f>
        <v/>
      </c>
      <c r="G84" s="26">
        <f>IF(SUMIFS('NSE - NIFTY Index Options'!$M:$M,'NSE - NIFTY Index Options'!$C:$C,$A84,'NSE - NIFTY Index Options'!$B:$B,G$4)+SUMIFS('NSE - Other Index Options'!$M:$M,'NSE - Other Index Options'!$C:$C,$A84,'NSE - Other Index Options'!$B:$B,G$4)=0,"",SUMIFS('NSE - NIFTY Index Options'!$M:$M,'NSE - NIFTY Index Options'!$C:$C,$A84,'NSE - NIFTY Index Options'!$B:$B,G$4)+SUMIFS('NSE - Other Index Options'!$M:$M,'NSE - Other Index Options'!$C:$C,$A84,'NSE - Other Index Options'!$B:$B,G$4))</f>
        <v/>
      </c>
      <c r="H84" s="26">
        <f>IF(SUM(B84:G84)=0,"",SUM(B84:G84))</f>
        <v/>
      </c>
    </row>
    <row r="85" hidden="1" outlineLevel="1">
      <c r="A85" t="inlineStr">
        <is>
          <t>Week2-Jan-2027</t>
        </is>
      </c>
      <c r="B85" s="26">
        <f>IF(SUMIFS('NSE - NIFTY Index Options'!$M:$M,'NSE - NIFTY Index Options'!$C:$C,$A85,'NSE - NIFTY Index Options'!$B:$B,B$4)+SUMIFS('NSE - Other Index Options'!$M:$M,'NSE - Other Index Options'!$C:$C,$A85,'NSE - Other Index Options'!$B:$B,B$4)=0,"",SUMIFS('NSE - NIFTY Index Options'!$M:$M,'NSE - NIFTY Index Options'!$C:$C,$A85,'NSE - NIFTY Index Options'!$B:$B,B$4)+SUMIFS('NSE - Other Index Options'!$M:$M,'NSE - Other Index Options'!$C:$C,$A85,'NSE - Other Index Options'!$B:$B,B$4))</f>
        <v/>
      </c>
      <c r="C85" s="26">
        <f>IF(SUMIFS('NSE - NIFTY Index Options'!$M:$M,'NSE - NIFTY Index Options'!$C:$C,$A85,'NSE - NIFTY Index Options'!$B:$B,C$4)+SUMIFS('NSE - Other Index Options'!$M:$M,'NSE - Other Index Options'!$C:$C,$A85,'NSE - Other Index Options'!$B:$B,C$4)=0,"",SUMIFS('NSE - NIFTY Index Options'!$M:$M,'NSE - NIFTY Index Options'!$C:$C,$A85,'NSE - NIFTY Index Options'!$B:$B,C$4)+SUMIFS('NSE - Other Index Options'!$M:$M,'NSE - Other Index Options'!$C:$C,$A85,'NSE - Other Index Options'!$B:$B,C$4))</f>
        <v/>
      </c>
      <c r="D85" s="26">
        <f>IF(SUMIFS('NSE - NIFTY Index Options'!$M:$M,'NSE - NIFTY Index Options'!$C:$C,$A85,'NSE - NIFTY Index Options'!$B:$B,D$4)+SUMIFS('NSE - Other Index Options'!$M:$M,'NSE - Other Index Options'!$C:$C,$A85,'NSE - Other Index Options'!$B:$B,D$4)=0,"",SUMIFS('NSE - NIFTY Index Options'!$M:$M,'NSE - NIFTY Index Options'!$C:$C,$A85,'NSE - NIFTY Index Options'!$B:$B,D$4)+SUMIFS('NSE - Other Index Options'!$M:$M,'NSE - Other Index Options'!$C:$C,$A85,'NSE - Other Index Options'!$B:$B,D$4))</f>
        <v/>
      </c>
      <c r="E85" s="26">
        <f>IF(SUMIFS('NSE - NIFTY Index Options'!$M:$M,'NSE - NIFTY Index Options'!$C:$C,$A85,'NSE - NIFTY Index Options'!$B:$B,E$4)+SUMIFS('NSE - Other Index Options'!$M:$M,'NSE - Other Index Options'!$C:$C,$A85,'NSE - Other Index Options'!$B:$B,E$4)=0,"",SUMIFS('NSE - NIFTY Index Options'!$M:$M,'NSE - NIFTY Index Options'!$C:$C,$A85,'NSE - NIFTY Index Options'!$B:$B,E$4)+SUMIFS('NSE - Other Index Options'!$M:$M,'NSE - Other Index Options'!$C:$C,$A85,'NSE - Other Index Options'!$B:$B,E$4))</f>
        <v/>
      </c>
      <c r="F85" s="26">
        <f>IF(SUMIFS('NSE - NIFTY Index Options'!$M:$M,'NSE - NIFTY Index Options'!$C:$C,$A85,'NSE - NIFTY Index Options'!$B:$B,F$4)+SUMIFS('NSE - Other Index Options'!$M:$M,'NSE - Other Index Options'!$C:$C,$A85,'NSE - Other Index Options'!$B:$B,F$4)=0,"",SUMIFS('NSE - NIFTY Index Options'!$M:$M,'NSE - NIFTY Index Options'!$C:$C,$A85,'NSE - NIFTY Index Options'!$B:$B,F$4)+SUMIFS('NSE - Other Index Options'!$M:$M,'NSE - Other Index Options'!$C:$C,$A85,'NSE - Other Index Options'!$B:$B,F$4))</f>
        <v/>
      </c>
      <c r="G85" s="26">
        <f>IF(SUMIFS('NSE - NIFTY Index Options'!$M:$M,'NSE - NIFTY Index Options'!$C:$C,$A85,'NSE - NIFTY Index Options'!$B:$B,G$4)+SUMIFS('NSE - Other Index Options'!$M:$M,'NSE - Other Index Options'!$C:$C,$A85,'NSE - Other Index Options'!$B:$B,G$4)=0,"",SUMIFS('NSE - NIFTY Index Options'!$M:$M,'NSE - NIFTY Index Options'!$C:$C,$A85,'NSE - NIFTY Index Options'!$B:$B,G$4)+SUMIFS('NSE - Other Index Options'!$M:$M,'NSE - Other Index Options'!$C:$C,$A85,'NSE - Other Index Options'!$B:$B,G$4))</f>
        <v/>
      </c>
      <c r="H85" s="26">
        <f>IF(SUM(B85:G85)=0,"",SUM(B85:G85))</f>
        <v/>
      </c>
    </row>
    <row r="86" hidden="1" outlineLevel="1">
      <c r="A86" t="inlineStr">
        <is>
          <t>Week3-Jan-2027</t>
        </is>
      </c>
      <c r="B86" s="26">
        <f>IF(SUMIFS('NSE - NIFTY Index Options'!$M:$M,'NSE - NIFTY Index Options'!$C:$C,$A86,'NSE - NIFTY Index Options'!$B:$B,B$4)+SUMIFS('NSE - Other Index Options'!$M:$M,'NSE - Other Index Options'!$C:$C,$A86,'NSE - Other Index Options'!$B:$B,B$4)=0,"",SUMIFS('NSE - NIFTY Index Options'!$M:$M,'NSE - NIFTY Index Options'!$C:$C,$A86,'NSE - NIFTY Index Options'!$B:$B,B$4)+SUMIFS('NSE - Other Index Options'!$M:$M,'NSE - Other Index Options'!$C:$C,$A86,'NSE - Other Index Options'!$B:$B,B$4))</f>
        <v/>
      </c>
      <c r="C86" s="26">
        <f>IF(SUMIFS('NSE - NIFTY Index Options'!$M:$M,'NSE - NIFTY Index Options'!$C:$C,$A86,'NSE - NIFTY Index Options'!$B:$B,C$4)+SUMIFS('NSE - Other Index Options'!$M:$M,'NSE - Other Index Options'!$C:$C,$A86,'NSE - Other Index Options'!$B:$B,C$4)=0,"",SUMIFS('NSE - NIFTY Index Options'!$M:$M,'NSE - NIFTY Index Options'!$C:$C,$A86,'NSE - NIFTY Index Options'!$B:$B,C$4)+SUMIFS('NSE - Other Index Options'!$M:$M,'NSE - Other Index Options'!$C:$C,$A86,'NSE - Other Index Options'!$B:$B,C$4))</f>
        <v/>
      </c>
      <c r="D86" s="26">
        <f>IF(SUMIFS('NSE - NIFTY Index Options'!$M:$M,'NSE - NIFTY Index Options'!$C:$C,$A86,'NSE - NIFTY Index Options'!$B:$B,D$4)+SUMIFS('NSE - Other Index Options'!$M:$M,'NSE - Other Index Options'!$C:$C,$A86,'NSE - Other Index Options'!$B:$B,D$4)=0,"",SUMIFS('NSE - NIFTY Index Options'!$M:$M,'NSE - NIFTY Index Options'!$C:$C,$A86,'NSE - NIFTY Index Options'!$B:$B,D$4)+SUMIFS('NSE - Other Index Options'!$M:$M,'NSE - Other Index Options'!$C:$C,$A86,'NSE - Other Index Options'!$B:$B,D$4))</f>
        <v/>
      </c>
      <c r="E86" s="26">
        <f>IF(SUMIFS('NSE - NIFTY Index Options'!$M:$M,'NSE - NIFTY Index Options'!$C:$C,$A86,'NSE - NIFTY Index Options'!$B:$B,E$4)+SUMIFS('NSE - Other Index Options'!$M:$M,'NSE - Other Index Options'!$C:$C,$A86,'NSE - Other Index Options'!$B:$B,E$4)=0,"",SUMIFS('NSE - NIFTY Index Options'!$M:$M,'NSE - NIFTY Index Options'!$C:$C,$A86,'NSE - NIFTY Index Options'!$B:$B,E$4)+SUMIFS('NSE - Other Index Options'!$M:$M,'NSE - Other Index Options'!$C:$C,$A86,'NSE - Other Index Options'!$B:$B,E$4))</f>
        <v/>
      </c>
      <c r="F86" s="26">
        <f>IF(SUMIFS('NSE - NIFTY Index Options'!$M:$M,'NSE - NIFTY Index Options'!$C:$C,$A86,'NSE - NIFTY Index Options'!$B:$B,F$4)+SUMIFS('NSE - Other Index Options'!$M:$M,'NSE - Other Index Options'!$C:$C,$A86,'NSE - Other Index Options'!$B:$B,F$4)=0,"",SUMIFS('NSE - NIFTY Index Options'!$M:$M,'NSE - NIFTY Index Options'!$C:$C,$A86,'NSE - NIFTY Index Options'!$B:$B,F$4)+SUMIFS('NSE - Other Index Options'!$M:$M,'NSE - Other Index Options'!$C:$C,$A86,'NSE - Other Index Options'!$B:$B,F$4))</f>
        <v/>
      </c>
      <c r="G86" s="26">
        <f>IF(SUMIFS('NSE - NIFTY Index Options'!$M:$M,'NSE - NIFTY Index Options'!$C:$C,$A86,'NSE - NIFTY Index Options'!$B:$B,G$4)+SUMIFS('NSE - Other Index Options'!$M:$M,'NSE - Other Index Options'!$C:$C,$A86,'NSE - Other Index Options'!$B:$B,G$4)=0,"",SUMIFS('NSE - NIFTY Index Options'!$M:$M,'NSE - NIFTY Index Options'!$C:$C,$A86,'NSE - NIFTY Index Options'!$B:$B,G$4)+SUMIFS('NSE - Other Index Options'!$M:$M,'NSE - Other Index Options'!$C:$C,$A86,'NSE - Other Index Options'!$B:$B,G$4))</f>
        <v/>
      </c>
      <c r="H86" s="26">
        <f>IF(SUM(B86:G86)=0,"",SUM(B86:G86))</f>
        <v/>
      </c>
    </row>
    <row r="87" hidden="1" outlineLevel="1">
      <c r="A87" t="inlineStr">
        <is>
          <t>Week4-Jan-2027</t>
        </is>
      </c>
      <c r="B87" s="26">
        <f>IF(SUMIFS('NSE - NIFTY Index Options'!$M:$M,'NSE - NIFTY Index Options'!$C:$C,$A87,'NSE - NIFTY Index Options'!$B:$B,B$4)+SUMIFS('NSE - Other Index Options'!$M:$M,'NSE - Other Index Options'!$C:$C,$A87,'NSE - Other Index Options'!$B:$B,B$4)=0,"",SUMIFS('NSE - NIFTY Index Options'!$M:$M,'NSE - NIFTY Index Options'!$C:$C,$A87,'NSE - NIFTY Index Options'!$B:$B,B$4)+SUMIFS('NSE - Other Index Options'!$M:$M,'NSE - Other Index Options'!$C:$C,$A87,'NSE - Other Index Options'!$B:$B,B$4))</f>
        <v/>
      </c>
      <c r="C87" s="26">
        <f>IF(SUMIFS('NSE - NIFTY Index Options'!$M:$M,'NSE - NIFTY Index Options'!$C:$C,$A87,'NSE - NIFTY Index Options'!$B:$B,C$4)+SUMIFS('NSE - Other Index Options'!$M:$M,'NSE - Other Index Options'!$C:$C,$A87,'NSE - Other Index Options'!$B:$B,C$4)=0,"",SUMIFS('NSE - NIFTY Index Options'!$M:$M,'NSE - NIFTY Index Options'!$C:$C,$A87,'NSE - NIFTY Index Options'!$B:$B,C$4)+SUMIFS('NSE - Other Index Options'!$M:$M,'NSE - Other Index Options'!$C:$C,$A87,'NSE - Other Index Options'!$B:$B,C$4))</f>
        <v/>
      </c>
      <c r="D87" s="26">
        <f>IF(SUMIFS('NSE - NIFTY Index Options'!$M:$M,'NSE - NIFTY Index Options'!$C:$C,$A87,'NSE - NIFTY Index Options'!$B:$B,D$4)+SUMIFS('NSE - Other Index Options'!$M:$M,'NSE - Other Index Options'!$C:$C,$A87,'NSE - Other Index Options'!$B:$B,D$4)=0,"",SUMIFS('NSE - NIFTY Index Options'!$M:$M,'NSE - NIFTY Index Options'!$C:$C,$A87,'NSE - NIFTY Index Options'!$B:$B,D$4)+SUMIFS('NSE - Other Index Options'!$M:$M,'NSE - Other Index Options'!$C:$C,$A87,'NSE - Other Index Options'!$B:$B,D$4))</f>
        <v/>
      </c>
      <c r="E87" s="26">
        <f>IF(SUMIFS('NSE - NIFTY Index Options'!$M:$M,'NSE - NIFTY Index Options'!$C:$C,$A87,'NSE - NIFTY Index Options'!$B:$B,E$4)+SUMIFS('NSE - Other Index Options'!$M:$M,'NSE - Other Index Options'!$C:$C,$A87,'NSE - Other Index Options'!$B:$B,E$4)=0,"",SUMIFS('NSE - NIFTY Index Options'!$M:$M,'NSE - NIFTY Index Options'!$C:$C,$A87,'NSE - NIFTY Index Options'!$B:$B,E$4)+SUMIFS('NSE - Other Index Options'!$M:$M,'NSE - Other Index Options'!$C:$C,$A87,'NSE - Other Index Options'!$B:$B,E$4))</f>
        <v/>
      </c>
      <c r="F87" s="26">
        <f>IF(SUMIFS('NSE - NIFTY Index Options'!$M:$M,'NSE - NIFTY Index Options'!$C:$C,$A87,'NSE - NIFTY Index Options'!$B:$B,F$4)+SUMIFS('NSE - Other Index Options'!$M:$M,'NSE - Other Index Options'!$C:$C,$A87,'NSE - Other Index Options'!$B:$B,F$4)=0,"",SUMIFS('NSE - NIFTY Index Options'!$M:$M,'NSE - NIFTY Index Options'!$C:$C,$A87,'NSE - NIFTY Index Options'!$B:$B,F$4)+SUMIFS('NSE - Other Index Options'!$M:$M,'NSE - Other Index Options'!$C:$C,$A87,'NSE - Other Index Options'!$B:$B,F$4))</f>
        <v/>
      </c>
      <c r="G87" s="26">
        <f>IF(SUMIFS('NSE - NIFTY Index Options'!$M:$M,'NSE - NIFTY Index Options'!$C:$C,$A87,'NSE - NIFTY Index Options'!$B:$B,G$4)+SUMIFS('NSE - Other Index Options'!$M:$M,'NSE - Other Index Options'!$C:$C,$A87,'NSE - Other Index Options'!$B:$B,G$4)=0,"",SUMIFS('NSE - NIFTY Index Options'!$M:$M,'NSE - NIFTY Index Options'!$C:$C,$A87,'NSE - NIFTY Index Options'!$B:$B,G$4)+SUMIFS('NSE - Other Index Options'!$M:$M,'NSE - Other Index Options'!$C:$C,$A87,'NSE - Other Index Options'!$B:$B,G$4))</f>
        <v/>
      </c>
      <c r="H87" s="26">
        <f>IF(SUM(B87:G87)=0,"",SUM(B87:G87))</f>
        <v/>
      </c>
    </row>
    <row r="88" hidden="1" outlineLevel="1">
      <c r="A88" t="inlineStr">
        <is>
          <t>Week5-Jan-2027</t>
        </is>
      </c>
      <c r="B88" s="26">
        <f>IF(SUMIFS('NSE - NIFTY Index Options'!$M:$M,'NSE - NIFTY Index Options'!$C:$C,$A88,'NSE - NIFTY Index Options'!$B:$B,B$4)+SUMIFS('NSE - Other Index Options'!$M:$M,'NSE - Other Index Options'!$C:$C,$A88,'NSE - Other Index Options'!$B:$B,B$4)=0,"",SUMIFS('NSE - NIFTY Index Options'!$M:$M,'NSE - NIFTY Index Options'!$C:$C,$A88,'NSE - NIFTY Index Options'!$B:$B,B$4)+SUMIFS('NSE - Other Index Options'!$M:$M,'NSE - Other Index Options'!$C:$C,$A88,'NSE - Other Index Options'!$B:$B,B$4))</f>
        <v/>
      </c>
      <c r="C88" s="26">
        <f>IF(SUMIFS('NSE - NIFTY Index Options'!$M:$M,'NSE - NIFTY Index Options'!$C:$C,$A88,'NSE - NIFTY Index Options'!$B:$B,C$4)+SUMIFS('NSE - Other Index Options'!$M:$M,'NSE - Other Index Options'!$C:$C,$A88,'NSE - Other Index Options'!$B:$B,C$4)=0,"",SUMIFS('NSE - NIFTY Index Options'!$M:$M,'NSE - NIFTY Index Options'!$C:$C,$A88,'NSE - NIFTY Index Options'!$B:$B,C$4)+SUMIFS('NSE - Other Index Options'!$M:$M,'NSE - Other Index Options'!$C:$C,$A88,'NSE - Other Index Options'!$B:$B,C$4))</f>
        <v/>
      </c>
      <c r="D88" s="26">
        <f>IF(SUMIFS('NSE - NIFTY Index Options'!$M:$M,'NSE - NIFTY Index Options'!$C:$C,$A88,'NSE - NIFTY Index Options'!$B:$B,D$4)+SUMIFS('NSE - Other Index Options'!$M:$M,'NSE - Other Index Options'!$C:$C,$A88,'NSE - Other Index Options'!$B:$B,D$4)=0,"",SUMIFS('NSE - NIFTY Index Options'!$M:$M,'NSE - NIFTY Index Options'!$C:$C,$A88,'NSE - NIFTY Index Options'!$B:$B,D$4)+SUMIFS('NSE - Other Index Options'!$M:$M,'NSE - Other Index Options'!$C:$C,$A88,'NSE - Other Index Options'!$B:$B,D$4))</f>
        <v/>
      </c>
      <c r="E88" s="26">
        <f>IF(SUMIFS('NSE - NIFTY Index Options'!$M:$M,'NSE - NIFTY Index Options'!$C:$C,$A88,'NSE - NIFTY Index Options'!$B:$B,E$4)+SUMIFS('NSE - Other Index Options'!$M:$M,'NSE - Other Index Options'!$C:$C,$A88,'NSE - Other Index Options'!$B:$B,E$4)=0,"",SUMIFS('NSE - NIFTY Index Options'!$M:$M,'NSE - NIFTY Index Options'!$C:$C,$A88,'NSE - NIFTY Index Options'!$B:$B,E$4)+SUMIFS('NSE - Other Index Options'!$M:$M,'NSE - Other Index Options'!$C:$C,$A88,'NSE - Other Index Options'!$B:$B,E$4))</f>
        <v/>
      </c>
      <c r="F88" s="26">
        <f>IF(SUMIFS('NSE - NIFTY Index Options'!$M:$M,'NSE - NIFTY Index Options'!$C:$C,$A88,'NSE - NIFTY Index Options'!$B:$B,F$4)+SUMIFS('NSE - Other Index Options'!$M:$M,'NSE - Other Index Options'!$C:$C,$A88,'NSE - Other Index Options'!$B:$B,F$4)=0,"",SUMIFS('NSE - NIFTY Index Options'!$M:$M,'NSE - NIFTY Index Options'!$C:$C,$A88,'NSE - NIFTY Index Options'!$B:$B,F$4)+SUMIFS('NSE - Other Index Options'!$M:$M,'NSE - Other Index Options'!$C:$C,$A88,'NSE - Other Index Options'!$B:$B,F$4))</f>
        <v/>
      </c>
      <c r="G88" s="26">
        <f>IF(SUMIFS('NSE - NIFTY Index Options'!$M:$M,'NSE - NIFTY Index Options'!$C:$C,$A88,'NSE - NIFTY Index Options'!$B:$B,G$4)+SUMIFS('NSE - Other Index Options'!$M:$M,'NSE - Other Index Options'!$C:$C,$A88,'NSE - Other Index Options'!$B:$B,G$4)=0,"",SUMIFS('NSE - NIFTY Index Options'!$M:$M,'NSE - NIFTY Index Options'!$C:$C,$A88,'NSE - NIFTY Index Options'!$B:$B,G$4)+SUMIFS('NSE - Other Index Options'!$M:$M,'NSE - Other Index Options'!$C:$C,$A88,'NSE - Other Index Options'!$B:$B,G$4))</f>
        <v/>
      </c>
      <c r="H88" s="26">
        <f>IF(SUM(B88:G88)=0,"",SUM(B88:G88))</f>
        <v/>
      </c>
    </row>
    <row r="89" hidden="1" outlineLevel="1">
      <c r="A89" t="inlineStr">
        <is>
          <t>Week1-Feb-2027</t>
        </is>
      </c>
      <c r="B89" s="26">
        <f>IF(SUMIFS('NSE - NIFTY Index Options'!$M:$M,'NSE - NIFTY Index Options'!$C:$C,$A89,'NSE - NIFTY Index Options'!$B:$B,B$4)+SUMIFS('NSE - Other Index Options'!$M:$M,'NSE - Other Index Options'!$C:$C,$A89,'NSE - Other Index Options'!$B:$B,B$4)=0,"",SUMIFS('NSE - NIFTY Index Options'!$M:$M,'NSE - NIFTY Index Options'!$C:$C,$A89,'NSE - NIFTY Index Options'!$B:$B,B$4)+SUMIFS('NSE - Other Index Options'!$M:$M,'NSE - Other Index Options'!$C:$C,$A89,'NSE - Other Index Options'!$B:$B,B$4))</f>
        <v/>
      </c>
      <c r="C89" s="26">
        <f>IF(SUMIFS('NSE - NIFTY Index Options'!$M:$M,'NSE - NIFTY Index Options'!$C:$C,$A89,'NSE - NIFTY Index Options'!$B:$B,C$4)+SUMIFS('NSE - Other Index Options'!$M:$M,'NSE - Other Index Options'!$C:$C,$A89,'NSE - Other Index Options'!$B:$B,C$4)=0,"",SUMIFS('NSE - NIFTY Index Options'!$M:$M,'NSE - NIFTY Index Options'!$C:$C,$A89,'NSE - NIFTY Index Options'!$B:$B,C$4)+SUMIFS('NSE - Other Index Options'!$M:$M,'NSE - Other Index Options'!$C:$C,$A89,'NSE - Other Index Options'!$B:$B,C$4))</f>
        <v/>
      </c>
      <c r="D89" s="26">
        <f>IF(SUMIFS('NSE - NIFTY Index Options'!$M:$M,'NSE - NIFTY Index Options'!$C:$C,$A89,'NSE - NIFTY Index Options'!$B:$B,D$4)+SUMIFS('NSE - Other Index Options'!$M:$M,'NSE - Other Index Options'!$C:$C,$A89,'NSE - Other Index Options'!$B:$B,D$4)=0,"",SUMIFS('NSE - NIFTY Index Options'!$M:$M,'NSE - NIFTY Index Options'!$C:$C,$A89,'NSE - NIFTY Index Options'!$B:$B,D$4)+SUMIFS('NSE - Other Index Options'!$M:$M,'NSE - Other Index Options'!$C:$C,$A89,'NSE - Other Index Options'!$B:$B,D$4))</f>
        <v/>
      </c>
      <c r="E89" s="26">
        <f>IF(SUMIFS('NSE - NIFTY Index Options'!$M:$M,'NSE - NIFTY Index Options'!$C:$C,$A89,'NSE - NIFTY Index Options'!$B:$B,E$4)+SUMIFS('NSE - Other Index Options'!$M:$M,'NSE - Other Index Options'!$C:$C,$A89,'NSE - Other Index Options'!$B:$B,E$4)=0,"",SUMIFS('NSE - NIFTY Index Options'!$M:$M,'NSE - NIFTY Index Options'!$C:$C,$A89,'NSE - NIFTY Index Options'!$B:$B,E$4)+SUMIFS('NSE - Other Index Options'!$M:$M,'NSE - Other Index Options'!$C:$C,$A89,'NSE - Other Index Options'!$B:$B,E$4))</f>
        <v/>
      </c>
      <c r="F89" s="26">
        <f>IF(SUMIFS('NSE - NIFTY Index Options'!$M:$M,'NSE - NIFTY Index Options'!$C:$C,$A89,'NSE - NIFTY Index Options'!$B:$B,F$4)+SUMIFS('NSE - Other Index Options'!$M:$M,'NSE - Other Index Options'!$C:$C,$A89,'NSE - Other Index Options'!$B:$B,F$4)=0,"",SUMIFS('NSE - NIFTY Index Options'!$M:$M,'NSE - NIFTY Index Options'!$C:$C,$A89,'NSE - NIFTY Index Options'!$B:$B,F$4)+SUMIFS('NSE - Other Index Options'!$M:$M,'NSE - Other Index Options'!$C:$C,$A89,'NSE - Other Index Options'!$B:$B,F$4))</f>
        <v/>
      </c>
      <c r="G89" s="26">
        <f>IF(SUMIFS('NSE - NIFTY Index Options'!$M:$M,'NSE - NIFTY Index Options'!$C:$C,$A89,'NSE - NIFTY Index Options'!$B:$B,G$4)+SUMIFS('NSE - Other Index Options'!$M:$M,'NSE - Other Index Options'!$C:$C,$A89,'NSE - Other Index Options'!$B:$B,G$4)=0,"",SUMIFS('NSE - NIFTY Index Options'!$M:$M,'NSE - NIFTY Index Options'!$C:$C,$A89,'NSE - NIFTY Index Options'!$B:$B,G$4)+SUMIFS('NSE - Other Index Options'!$M:$M,'NSE - Other Index Options'!$C:$C,$A89,'NSE - Other Index Options'!$B:$B,G$4))</f>
        <v/>
      </c>
      <c r="H89" s="26">
        <f>IF(SUM(B89:G89)=0,"",SUM(B89:G89))</f>
        <v/>
      </c>
    </row>
    <row r="90" hidden="1" outlineLevel="1">
      <c r="A90" t="inlineStr">
        <is>
          <t>Week2-Feb-2027</t>
        </is>
      </c>
      <c r="B90" s="26">
        <f>IF(SUMIFS('NSE - NIFTY Index Options'!$M:$M,'NSE - NIFTY Index Options'!$C:$C,$A90,'NSE - NIFTY Index Options'!$B:$B,B$4)+SUMIFS('NSE - Other Index Options'!$M:$M,'NSE - Other Index Options'!$C:$C,$A90,'NSE - Other Index Options'!$B:$B,B$4)=0,"",SUMIFS('NSE - NIFTY Index Options'!$M:$M,'NSE - NIFTY Index Options'!$C:$C,$A90,'NSE - NIFTY Index Options'!$B:$B,B$4)+SUMIFS('NSE - Other Index Options'!$M:$M,'NSE - Other Index Options'!$C:$C,$A90,'NSE - Other Index Options'!$B:$B,B$4))</f>
        <v/>
      </c>
      <c r="C90" s="26">
        <f>IF(SUMIFS('NSE - NIFTY Index Options'!$M:$M,'NSE - NIFTY Index Options'!$C:$C,$A90,'NSE - NIFTY Index Options'!$B:$B,C$4)+SUMIFS('NSE - Other Index Options'!$M:$M,'NSE - Other Index Options'!$C:$C,$A90,'NSE - Other Index Options'!$B:$B,C$4)=0,"",SUMIFS('NSE - NIFTY Index Options'!$M:$M,'NSE - NIFTY Index Options'!$C:$C,$A90,'NSE - NIFTY Index Options'!$B:$B,C$4)+SUMIFS('NSE - Other Index Options'!$M:$M,'NSE - Other Index Options'!$C:$C,$A90,'NSE - Other Index Options'!$B:$B,C$4))</f>
        <v/>
      </c>
      <c r="D90" s="26">
        <f>IF(SUMIFS('NSE - NIFTY Index Options'!$M:$M,'NSE - NIFTY Index Options'!$C:$C,$A90,'NSE - NIFTY Index Options'!$B:$B,D$4)+SUMIFS('NSE - Other Index Options'!$M:$M,'NSE - Other Index Options'!$C:$C,$A90,'NSE - Other Index Options'!$B:$B,D$4)=0,"",SUMIFS('NSE - NIFTY Index Options'!$M:$M,'NSE - NIFTY Index Options'!$C:$C,$A90,'NSE - NIFTY Index Options'!$B:$B,D$4)+SUMIFS('NSE - Other Index Options'!$M:$M,'NSE - Other Index Options'!$C:$C,$A90,'NSE - Other Index Options'!$B:$B,D$4))</f>
        <v/>
      </c>
      <c r="E90" s="26">
        <f>IF(SUMIFS('NSE - NIFTY Index Options'!$M:$M,'NSE - NIFTY Index Options'!$C:$C,$A90,'NSE - NIFTY Index Options'!$B:$B,E$4)+SUMIFS('NSE - Other Index Options'!$M:$M,'NSE - Other Index Options'!$C:$C,$A90,'NSE - Other Index Options'!$B:$B,E$4)=0,"",SUMIFS('NSE - NIFTY Index Options'!$M:$M,'NSE - NIFTY Index Options'!$C:$C,$A90,'NSE - NIFTY Index Options'!$B:$B,E$4)+SUMIFS('NSE - Other Index Options'!$M:$M,'NSE - Other Index Options'!$C:$C,$A90,'NSE - Other Index Options'!$B:$B,E$4))</f>
        <v/>
      </c>
      <c r="F90" s="26">
        <f>IF(SUMIFS('NSE - NIFTY Index Options'!$M:$M,'NSE - NIFTY Index Options'!$C:$C,$A90,'NSE - NIFTY Index Options'!$B:$B,F$4)+SUMIFS('NSE - Other Index Options'!$M:$M,'NSE - Other Index Options'!$C:$C,$A90,'NSE - Other Index Options'!$B:$B,F$4)=0,"",SUMIFS('NSE - NIFTY Index Options'!$M:$M,'NSE - NIFTY Index Options'!$C:$C,$A90,'NSE - NIFTY Index Options'!$B:$B,F$4)+SUMIFS('NSE - Other Index Options'!$M:$M,'NSE - Other Index Options'!$C:$C,$A90,'NSE - Other Index Options'!$B:$B,F$4))</f>
        <v/>
      </c>
      <c r="G90" s="26">
        <f>IF(SUMIFS('NSE - NIFTY Index Options'!$M:$M,'NSE - NIFTY Index Options'!$C:$C,$A90,'NSE - NIFTY Index Options'!$B:$B,G$4)+SUMIFS('NSE - Other Index Options'!$M:$M,'NSE - Other Index Options'!$C:$C,$A90,'NSE - Other Index Options'!$B:$B,G$4)=0,"",SUMIFS('NSE - NIFTY Index Options'!$M:$M,'NSE - NIFTY Index Options'!$C:$C,$A90,'NSE - NIFTY Index Options'!$B:$B,G$4)+SUMIFS('NSE - Other Index Options'!$M:$M,'NSE - Other Index Options'!$C:$C,$A90,'NSE - Other Index Options'!$B:$B,G$4))</f>
        <v/>
      </c>
      <c r="H90" s="26">
        <f>IF(SUM(B90:G90)=0,"",SUM(B90:G90))</f>
        <v/>
      </c>
    </row>
    <row r="91" hidden="1" outlineLevel="1">
      <c r="A91" t="inlineStr">
        <is>
          <t>Week3-Feb-2027</t>
        </is>
      </c>
      <c r="B91" s="26">
        <f>IF(SUMIFS('NSE - NIFTY Index Options'!$M:$M,'NSE - NIFTY Index Options'!$C:$C,$A91,'NSE - NIFTY Index Options'!$B:$B,B$4)+SUMIFS('NSE - Other Index Options'!$M:$M,'NSE - Other Index Options'!$C:$C,$A91,'NSE - Other Index Options'!$B:$B,B$4)=0,"",SUMIFS('NSE - NIFTY Index Options'!$M:$M,'NSE - NIFTY Index Options'!$C:$C,$A91,'NSE - NIFTY Index Options'!$B:$B,B$4)+SUMIFS('NSE - Other Index Options'!$M:$M,'NSE - Other Index Options'!$C:$C,$A91,'NSE - Other Index Options'!$B:$B,B$4))</f>
        <v/>
      </c>
      <c r="C91" s="26">
        <f>IF(SUMIFS('NSE - NIFTY Index Options'!$M:$M,'NSE - NIFTY Index Options'!$C:$C,$A91,'NSE - NIFTY Index Options'!$B:$B,C$4)+SUMIFS('NSE - Other Index Options'!$M:$M,'NSE - Other Index Options'!$C:$C,$A91,'NSE - Other Index Options'!$B:$B,C$4)=0,"",SUMIFS('NSE - NIFTY Index Options'!$M:$M,'NSE - NIFTY Index Options'!$C:$C,$A91,'NSE - NIFTY Index Options'!$B:$B,C$4)+SUMIFS('NSE - Other Index Options'!$M:$M,'NSE - Other Index Options'!$C:$C,$A91,'NSE - Other Index Options'!$B:$B,C$4))</f>
        <v/>
      </c>
      <c r="D91" s="26">
        <f>IF(SUMIFS('NSE - NIFTY Index Options'!$M:$M,'NSE - NIFTY Index Options'!$C:$C,$A91,'NSE - NIFTY Index Options'!$B:$B,D$4)+SUMIFS('NSE - Other Index Options'!$M:$M,'NSE - Other Index Options'!$C:$C,$A91,'NSE - Other Index Options'!$B:$B,D$4)=0,"",SUMIFS('NSE - NIFTY Index Options'!$M:$M,'NSE - NIFTY Index Options'!$C:$C,$A91,'NSE - NIFTY Index Options'!$B:$B,D$4)+SUMIFS('NSE - Other Index Options'!$M:$M,'NSE - Other Index Options'!$C:$C,$A91,'NSE - Other Index Options'!$B:$B,D$4))</f>
        <v/>
      </c>
      <c r="E91" s="26">
        <f>IF(SUMIFS('NSE - NIFTY Index Options'!$M:$M,'NSE - NIFTY Index Options'!$C:$C,$A91,'NSE - NIFTY Index Options'!$B:$B,E$4)+SUMIFS('NSE - Other Index Options'!$M:$M,'NSE - Other Index Options'!$C:$C,$A91,'NSE - Other Index Options'!$B:$B,E$4)=0,"",SUMIFS('NSE - NIFTY Index Options'!$M:$M,'NSE - NIFTY Index Options'!$C:$C,$A91,'NSE - NIFTY Index Options'!$B:$B,E$4)+SUMIFS('NSE - Other Index Options'!$M:$M,'NSE - Other Index Options'!$C:$C,$A91,'NSE - Other Index Options'!$B:$B,E$4))</f>
        <v/>
      </c>
      <c r="F91" s="26">
        <f>IF(SUMIFS('NSE - NIFTY Index Options'!$M:$M,'NSE - NIFTY Index Options'!$C:$C,$A91,'NSE - NIFTY Index Options'!$B:$B,F$4)+SUMIFS('NSE - Other Index Options'!$M:$M,'NSE - Other Index Options'!$C:$C,$A91,'NSE - Other Index Options'!$B:$B,F$4)=0,"",SUMIFS('NSE - NIFTY Index Options'!$M:$M,'NSE - NIFTY Index Options'!$C:$C,$A91,'NSE - NIFTY Index Options'!$B:$B,F$4)+SUMIFS('NSE - Other Index Options'!$M:$M,'NSE - Other Index Options'!$C:$C,$A91,'NSE - Other Index Options'!$B:$B,F$4))</f>
        <v/>
      </c>
      <c r="G91" s="26">
        <f>IF(SUMIFS('NSE - NIFTY Index Options'!$M:$M,'NSE - NIFTY Index Options'!$C:$C,$A91,'NSE - NIFTY Index Options'!$B:$B,G$4)+SUMIFS('NSE - Other Index Options'!$M:$M,'NSE - Other Index Options'!$C:$C,$A91,'NSE - Other Index Options'!$B:$B,G$4)=0,"",SUMIFS('NSE - NIFTY Index Options'!$M:$M,'NSE - NIFTY Index Options'!$C:$C,$A91,'NSE - NIFTY Index Options'!$B:$B,G$4)+SUMIFS('NSE - Other Index Options'!$M:$M,'NSE - Other Index Options'!$C:$C,$A91,'NSE - Other Index Options'!$B:$B,G$4))</f>
        <v/>
      </c>
      <c r="H91" s="26">
        <f>IF(SUM(B91:G91)=0,"",SUM(B91:G91))</f>
        <v/>
      </c>
    </row>
    <row r="92" hidden="1" outlineLevel="1">
      <c r="A92" t="inlineStr">
        <is>
          <t>Week4-Feb-2027</t>
        </is>
      </c>
      <c r="B92" s="26">
        <f>IF(SUMIFS('NSE - NIFTY Index Options'!$M:$M,'NSE - NIFTY Index Options'!$C:$C,$A92,'NSE - NIFTY Index Options'!$B:$B,B$4)+SUMIFS('NSE - Other Index Options'!$M:$M,'NSE - Other Index Options'!$C:$C,$A92,'NSE - Other Index Options'!$B:$B,B$4)=0,"",SUMIFS('NSE - NIFTY Index Options'!$M:$M,'NSE - NIFTY Index Options'!$C:$C,$A92,'NSE - NIFTY Index Options'!$B:$B,B$4)+SUMIFS('NSE - Other Index Options'!$M:$M,'NSE - Other Index Options'!$C:$C,$A92,'NSE - Other Index Options'!$B:$B,B$4))</f>
        <v/>
      </c>
      <c r="C92" s="26">
        <f>IF(SUMIFS('NSE - NIFTY Index Options'!$M:$M,'NSE - NIFTY Index Options'!$C:$C,$A92,'NSE - NIFTY Index Options'!$B:$B,C$4)+SUMIFS('NSE - Other Index Options'!$M:$M,'NSE - Other Index Options'!$C:$C,$A92,'NSE - Other Index Options'!$B:$B,C$4)=0,"",SUMIFS('NSE - NIFTY Index Options'!$M:$M,'NSE - NIFTY Index Options'!$C:$C,$A92,'NSE - NIFTY Index Options'!$B:$B,C$4)+SUMIFS('NSE - Other Index Options'!$M:$M,'NSE - Other Index Options'!$C:$C,$A92,'NSE - Other Index Options'!$B:$B,C$4))</f>
        <v/>
      </c>
      <c r="D92" s="26">
        <f>IF(SUMIFS('NSE - NIFTY Index Options'!$M:$M,'NSE - NIFTY Index Options'!$C:$C,$A92,'NSE - NIFTY Index Options'!$B:$B,D$4)+SUMIFS('NSE - Other Index Options'!$M:$M,'NSE - Other Index Options'!$C:$C,$A92,'NSE - Other Index Options'!$B:$B,D$4)=0,"",SUMIFS('NSE - NIFTY Index Options'!$M:$M,'NSE - NIFTY Index Options'!$C:$C,$A92,'NSE - NIFTY Index Options'!$B:$B,D$4)+SUMIFS('NSE - Other Index Options'!$M:$M,'NSE - Other Index Options'!$C:$C,$A92,'NSE - Other Index Options'!$B:$B,D$4))</f>
        <v/>
      </c>
      <c r="E92" s="26">
        <f>IF(SUMIFS('NSE - NIFTY Index Options'!$M:$M,'NSE - NIFTY Index Options'!$C:$C,$A92,'NSE - NIFTY Index Options'!$B:$B,E$4)+SUMIFS('NSE - Other Index Options'!$M:$M,'NSE - Other Index Options'!$C:$C,$A92,'NSE - Other Index Options'!$B:$B,E$4)=0,"",SUMIFS('NSE - NIFTY Index Options'!$M:$M,'NSE - NIFTY Index Options'!$C:$C,$A92,'NSE - NIFTY Index Options'!$B:$B,E$4)+SUMIFS('NSE - Other Index Options'!$M:$M,'NSE - Other Index Options'!$C:$C,$A92,'NSE - Other Index Options'!$B:$B,E$4))</f>
        <v/>
      </c>
      <c r="F92" s="26">
        <f>IF(SUMIFS('NSE - NIFTY Index Options'!$M:$M,'NSE - NIFTY Index Options'!$C:$C,$A92,'NSE - NIFTY Index Options'!$B:$B,F$4)+SUMIFS('NSE - Other Index Options'!$M:$M,'NSE - Other Index Options'!$C:$C,$A92,'NSE - Other Index Options'!$B:$B,F$4)=0,"",SUMIFS('NSE - NIFTY Index Options'!$M:$M,'NSE - NIFTY Index Options'!$C:$C,$A92,'NSE - NIFTY Index Options'!$B:$B,F$4)+SUMIFS('NSE - Other Index Options'!$M:$M,'NSE - Other Index Options'!$C:$C,$A92,'NSE - Other Index Options'!$B:$B,F$4))</f>
        <v/>
      </c>
      <c r="G92" s="26">
        <f>IF(SUMIFS('NSE - NIFTY Index Options'!$M:$M,'NSE - NIFTY Index Options'!$C:$C,$A92,'NSE - NIFTY Index Options'!$B:$B,G$4)+SUMIFS('NSE - Other Index Options'!$M:$M,'NSE - Other Index Options'!$C:$C,$A92,'NSE - Other Index Options'!$B:$B,G$4)=0,"",SUMIFS('NSE - NIFTY Index Options'!$M:$M,'NSE - NIFTY Index Options'!$C:$C,$A92,'NSE - NIFTY Index Options'!$B:$B,G$4)+SUMIFS('NSE - Other Index Options'!$M:$M,'NSE - Other Index Options'!$C:$C,$A92,'NSE - Other Index Options'!$B:$B,G$4))</f>
        <v/>
      </c>
      <c r="H92" s="26">
        <f>IF(SUM(B92:G92)=0,"",SUM(B92:G92))</f>
        <v/>
      </c>
    </row>
    <row r="93" hidden="1" outlineLevel="1">
      <c r="A93" t="inlineStr">
        <is>
          <t>Week1-Mar-2027</t>
        </is>
      </c>
      <c r="B93" s="26">
        <f>IF(SUMIFS('NSE - NIFTY Index Options'!$M:$M,'NSE - NIFTY Index Options'!$C:$C,$A93,'NSE - NIFTY Index Options'!$B:$B,B$4)+SUMIFS('NSE - Other Index Options'!$M:$M,'NSE - Other Index Options'!$C:$C,$A93,'NSE - Other Index Options'!$B:$B,B$4)=0,"",SUMIFS('NSE - NIFTY Index Options'!$M:$M,'NSE - NIFTY Index Options'!$C:$C,$A93,'NSE - NIFTY Index Options'!$B:$B,B$4)+SUMIFS('NSE - Other Index Options'!$M:$M,'NSE - Other Index Options'!$C:$C,$A93,'NSE - Other Index Options'!$B:$B,B$4))</f>
        <v/>
      </c>
      <c r="C93" s="26">
        <f>IF(SUMIFS('NSE - NIFTY Index Options'!$M:$M,'NSE - NIFTY Index Options'!$C:$C,$A93,'NSE - NIFTY Index Options'!$B:$B,C$4)+SUMIFS('NSE - Other Index Options'!$M:$M,'NSE - Other Index Options'!$C:$C,$A93,'NSE - Other Index Options'!$B:$B,C$4)=0,"",SUMIFS('NSE - NIFTY Index Options'!$M:$M,'NSE - NIFTY Index Options'!$C:$C,$A93,'NSE - NIFTY Index Options'!$B:$B,C$4)+SUMIFS('NSE - Other Index Options'!$M:$M,'NSE - Other Index Options'!$C:$C,$A93,'NSE - Other Index Options'!$B:$B,C$4))</f>
        <v/>
      </c>
      <c r="D93" s="26">
        <f>IF(SUMIFS('NSE - NIFTY Index Options'!$M:$M,'NSE - NIFTY Index Options'!$C:$C,$A93,'NSE - NIFTY Index Options'!$B:$B,D$4)+SUMIFS('NSE - Other Index Options'!$M:$M,'NSE - Other Index Options'!$C:$C,$A93,'NSE - Other Index Options'!$B:$B,D$4)=0,"",SUMIFS('NSE - NIFTY Index Options'!$M:$M,'NSE - NIFTY Index Options'!$C:$C,$A93,'NSE - NIFTY Index Options'!$B:$B,D$4)+SUMIFS('NSE - Other Index Options'!$M:$M,'NSE - Other Index Options'!$C:$C,$A93,'NSE - Other Index Options'!$B:$B,D$4))</f>
        <v/>
      </c>
      <c r="E93" s="26">
        <f>IF(SUMIFS('NSE - NIFTY Index Options'!$M:$M,'NSE - NIFTY Index Options'!$C:$C,$A93,'NSE - NIFTY Index Options'!$B:$B,E$4)+SUMIFS('NSE - Other Index Options'!$M:$M,'NSE - Other Index Options'!$C:$C,$A93,'NSE - Other Index Options'!$B:$B,E$4)=0,"",SUMIFS('NSE - NIFTY Index Options'!$M:$M,'NSE - NIFTY Index Options'!$C:$C,$A93,'NSE - NIFTY Index Options'!$B:$B,E$4)+SUMIFS('NSE - Other Index Options'!$M:$M,'NSE - Other Index Options'!$C:$C,$A93,'NSE - Other Index Options'!$B:$B,E$4))</f>
        <v/>
      </c>
      <c r="F93" s="26">
        <f>IF(SUMIFS('NSE - NIFTY Index Options'!$M:$M,'NSE - NIFTY Index Options'!$C:$C,$A93,'NSE - NIFTY Index Options'!$B:$B,F$4)+SUMIFS('NSE - Other Index Options'!$M:$M,'NSE - Other Index Options'!$C:$C,$A93,'NSE - Other Index Options'!$B:$B,F$4)=0,"",SUMIFS('NSE - NIFTY Index Options'!$M:$M,'NSE - NIFTY Index Options'!$C:$C,$A93,'NSE - NIFTY Index Options'!$B:$B,F$4)+SUMIFS('NSE - Other Index Options'!$M:$M,'NSE - Other Index Options'!$C:$C,$A93,'NSE - Other Index Options'!$B:$B,F$4))</f>
        <v/>
      </c>
      <c r="G93" s="26">
        <f>IF(SUMIFS('NSE - NIFTY Index Options'!$M:$M,'NSE - NIFTY Index Options'!$C:$C,$A93,'NSE - NIFTY Index Options'!$B:$B,G$4)+SUMIFS('NSE - Other Index Options'!$M:$M,'NSE - Other Index Options'!$C:$C,$A93,'NSE - Other Index Options'!$B:$B,G$4)=0,"",SUMIFS('NSE - NIFTY Index Options'!$M:$M,'NSE - NIFTY Index Options'!$C:$C,$A93,'NSE - NIFTY Index Options'!$B:$B,G$4)+SUMIFS('NSE - Other Index Options'!$M:$M,'NSE - Other Index Options'!$C:$C,$A93,'NSE - Other Index Options'!$B:$B,G$4))</f>
        <v/>
      </c>
      <c r="H93" s="26">
        <f>IF(SUM(B93:G93)=0,"",SUM(B93:G93))</f>
        <v/>
      </c>
    </row>
    <row r="94" hidden="1" outlineLevel="1">
      <c r="A94" t="inlineStr">
        <is>
          <t>Week2-Mar-2027</t>
        </is>
      </c>
      <c r="B94" s="26">
        <f>IF(SUMIFS('NSE - NIFTY Index Options'!$M:$M,'NSE - NIFTY Index Options'!$C:$C,$A94,'NSE - NIFTY Index Options'!$B:$B,B$4)+SUMIFS('NSE - Other Index Options'!$M:$M,'NSE - Other Index Options'!$C:$C,$A94,'NSE - Other Index Options'!$B:$B,B$4)=0,"",SUMIFS('NSE - NIFTY Index Options'!$M:$M,'NSE - NIFTY Index Options'!$C:$C,$A94,'NSE - NIFTY Index Options'!$B:$B,B$4)+SUMIFS('NSE - Other Index Options'!$M:$M,'NSE - Other Index Options'!$C:$C,$A94,'NSE - Other Index Options'!$B:$B,B$4))</f>
        <v/>
      </c>
      <c r="C94" s="26">
        <f>IF(SUMIFS('NSE - NIFTY Index Options'!$M:$M,'NSE - NIFTY Index Options'!$C:$C,$A94,'NSE - NIFTY Index Options'!$B:$B,C$4)+SUMIFS('NSE - Other Index Options'!$M:$M,'NSE - Other Index Options'!$C:$C,$A94,'NSE - Other Index Options'!$B:$B,C$4)=0,"",SUMIFS('NSE - NIFTY Index Options'!$M:$M,'NSE - NIFTY Index Options'!$C:$C,$A94,'NSE - NIFTY Index Options'!$B:$B,C$4)+SUMIFS('NSE - Other Index Options'!$M:$M,'NSE - Other Index Options'!$C:$C,$A94,'NSE - Other Index Options'!$B:$B,C$4))</f>
        <v/>
      </c>
      <c r="D94" s="26">
        <f>IF(SUMIFS('NSE - NIFTY Index Options'!$M:$M,'NSE - NIFTY Index Options'!$C:$C,$A94,'NSE - NIFTY Index Options'!$B:$B,D$4)+SUMIFS('NSE - Other Index Options'!$M:$M,'NSE - Other Index Options'!$C:$C,$A94,'NSE - Other Index Options'!$B:$B,D$4)=0,"",SUMIFS('NSE - NIFTY Index Options'!$M:$M,'NSE - NIFTY Index Options'!$C:$C,$A94,'NSE - NIFTY Index Options'!$B:$B,D$4)+SUMIFS('NSE - Other Index Options'!$M:$M,'NSE - Other Index Options'!$C:$C,$A94,'NSE - Other Index Options'!$B:$B,D$4))</f>
        <v/>
      </c>
      <c r="E94" s="26">
        <f>IF(SUMIFS('NSE - NIFTY Index Options'!$M:$M,'NSE - NIFTY Index Options'!$C:$C,$A94,'NSE - NIFTY Index Options'!$B:$B,E$4)+SUMIFS('NSE - Other Index Options'!$M:$M,'NSE - Other Index Options'!$C:$C,$A94,'NSE - Other Index Options'!$B:$B,E$4)=0,"",SUMIFS('NSE - NIFTY Index Options'!$M:$M,'NSE - NIFTY Index Options'!$C:$C,$A94,'NSE - NIFTY Index Options'!$B:$B,E$4)+SUMIFS('NSE - Other Index Options'!$M:$M,'NSE - Other Index Options'!$C:$C,$A94,'NSE - Other Index Options'!$B:$B,E$4))</f>
        <v/>
      </c>
      <c r="F94" s="26">
        <f>IF(SUMIFS('NSE - NIFTY Index Options'!$M:$M,'NSE - NIFTY Index Options'!$C:$C,$A94,'NSE - NIFTY Index Options'!$B:$B,F$4)+SUMIFS('NSE - Other Index Options'!$M:$M,'NSE - Other Index Options'!$C:$C,$A94,'NSE - Other Index Options'!$B:$B,F$4)=0,"",SUMIFS('NSE - NIFTY Index Options'!$M:$M,'NSE - NIFTY Index Options'!$C:$C,$A94,'NSE - NIFTY Index Options'!$B:$B,F$4)+SUMIFS('NSE - Other Index Options'!$M:$M,'NSE - Other Index Options'!$C:$C,$A94,'NSE - Other Index Options'!$B:$B,F$4))</f>
        <v/>
      </c>
      <c r="G94" s="26">
        <f>IF(SUMIFS('NSE - NIFTY Index Options'!$M:$M,'NSE - NIFTY Index Options'!$C:$C,$A94,'NSE - NIFTY Index Options'!$B:$B,G$4)+SUMIFS('NSE - Other Index Options'!$M:$M,'NSE - Other Index Options'!$C:$C,$A94,'NSE - Other Index Options'!$B:$B,G$4)=0,"",SUMIFS('NSE - NIFTY Index Options'!$M:$M,'NSE - NIFTY Index Options'!$C:$C,$A94,'NSE - NIFTY Index Options'!$B:$B,G$4)+SUMIFS('NSE - Other Index Options'!$M:$M,'NSE - Other Index Options'!$C:$C,$A94,'NSE - Other Index Options'!$B:$B,G$4))</f>
        <v/>
      </c>
      <c r="H94" s="26">
        <f>IF(SUM(B94:G94)=0,"",SUM(B94:G94))</f>
        <v/>
      </c>
    </row>
    <row r="95" hidden="1" outlineLevel="1">
      <c r="A95" t="inlineStr">
        <is>
          <t>Week3-Mar-2027</t>
        </is>
      </c>
      <c r="B95" s="26">
        <f>IF(SUMIFS('NSE - NIFTY Index Options'!$M:$M,'NSE - NIFTY Index Options'!$C:$C,$A95,'NSE - NIFTY Index Options'!$B:$B,B$4)+SUMIFS('NSE - Other Index Options'!$M:$M,'NSE - Other Index Options'!$C:$C,$A95,'NSE - Other Index Options'!$B:$B,B$4)=0,"",SUMIFS('NSE - NIFTY Index Options'!$M:$M,'NSE - NIFTY Index Options'!$C:$C,$A95,'NSE - NIFTY Index Options'!$B:$B,B$4)+SUMIFS('NSE - Other Index Options'!$M:$M,'NSE - Other Index Options'!$C:$C,$A95,'NSE - Other Index Options'!$B:$B,B$4))</f>
        <v/>
      </c>
      <c r="C95" s="26">
        <f>IF(SUMIFS('NSE - NIFTY Index Options'!$M:$M,'NSE - NIFTY Index Options'!$C:$C,$A95,'NSE - NIFTY Index Options'!$B:$B,C$4)+SUMIFS('NSE - Other Index Options'!$M:$M,'NSE - Other Index Options'!$C:$C,$A95,'NSE - Other Index Options'!$B:$B,C$4)=0,"",SUMIFS('NSE - NIFTY Index Options'!$M:$M,'NSE - NIFTY Index Options'!$C:$C,$A95,'NSE - NIFTY Index Options'!$B:$B,C$4)+SUMIFS('NSE - Other Index Options'!$M:$M,'NSE - Other Index Options'!$C:$C,$A95,'NSE - Other Index Options'!$B:$B,C$4))</f>
        <v/>
      </c>
      <c r="D95" s="26">
        <f>IF(SUMIFS('NSE - NIFTY Index Options'!$M:$M,'NSE - NIFTY Index Options'!$C:$C,$A95,'NSE - NIFTY Index Options'!$B:$B,D$4)+SUMIFS('NSE - Other Index Options'!$M:$M,'NSE - Other Index Options'!$C:$C,$A95,'NSE - Other Index Options'!$B:$B,D$4)=0,"",SUMIFS('NSE - NIFTY Index Options'!$M:$M,'NSE - NIFTY Index Options'!$C:$C,$A95,'NSE - NIFTY Index Options'!$B:$B,D$4)+SUMIFS('NSE - Other Index Options'!$M:$M,'NSE - Other Index Options'!$C:$C,$A95,'NSE - Other Index Options'!$B:$B,D$4))</f>
        <v/>
      </c>
      <c r="E95" s="26">
        <f>IF(SUMIFS('NSE - NIFTY Index Options'!$M:$M,'NSE - NIFTY Index Options'!$C:$C,$A95,'NSE - NIFTY Index Options'!$B:$B,E$4)+SUMIFS('NSE - Other Index Options'!$M:$M,'NSE - Other Index Options'!$C:$C,$A95,'NSE - Other Index Options'!$B:$B,E$4)=0,"",SUMIFS('NSE - NIFTY Index Options'!$M:$M,'NSE - NIFTY Index Options'!$C:$C,$A95,'NSE - NIFTY Index Options'!$B:$B,E$4)+SUMIFS('NSE - Other Index Options'!$M:$M,'NSE - Other Index Options'!$C:$C,$A95,'NSE - Other Index Options'!$B:$B,E$4))</f>
        <v/>
      </c>
      <c r="F95" s="26">
        <f>IF(SUMIFS('NSE - NIFTY Index Options'!$M:$M,'NSE - NIFTY Index Options'!$C:$C,$A95,'NSE - NIFTY Index Options'!$B:$B,F$4)+SUMIFS('NSE - Other Index Options'!$M:$M,'NSE - Other Index Options'!$C:$C,$A95,'NSE - Other Index Options'!$B:$B,F$4)=0,"",SUMIFS('NSE - NIFTY Index Options'!$M:$M,'NSE - NIFTY Index Options'!$C:$C,$A95,'NSE - NIFTY Index Options'!$B:$B,F$4)+SUMIFS('NSE - Other Index Options'!$M:$M,'NSE - Other Index Options'!$C:$C,$A95,'NSE - Other Index Options'!$B:$B,F$4))</f>
        <v/>
      </c>
      <c r="G95" s="26">
        <f>IF(SUMIFS('NSE - NIFTY Index Options'!$M:$M,'NSE - NIFTY Index Options'!$C:$C,$A95,'NSE - NIFTY Index Options'!$B:$B,G$4)+SUMIFS('NSE - Other Index Options'!$M:$M,'NSE - Other Index Options'!$C:$C,$A95,'NSE - Other Index Options'!$B:$B,G$4)=0,"",SUMIFS('NSE - NIFTY Index Options'!$M:$M,'NSE - NIFTY Index Options'!$C:$C,$A95,'NSE - NIFTY Index Options'!$B:$B,G$4)+SUMIFS('NSE - Other Index Options'!$M:$M,'NSE - Other Index Options'!$C:$C,$A95,'NSE - Other Index Options'!$B:$B,G$4))</f>
        <v/>
      </c>
      <c r="H95" s="26">
        <f>IF(SUM(B95:G95)=0,"",SUM(B95:G95))</f>
        <v/>
      </c>
    </row>
    <row r="96" hidden="1" outlineLevel="1">
      <c r="A96" t="inlineStr">
        <is>
          <t>Week4-Mar-2027</t>
        </is>
      </c>
      <c r="B96" s="26">
        <f>IF(SUMIFS('NSE - NIFTY Index Options'!$M:$M,'NSE - NIFTY Index Options'!$C:$C,$A96,'NSE - NIFTY Index Options'!$B:$B,B$4)+SUMIFS('NSE - Other Index Options'!$M:$M,'NSE - Other Index Options'!$C:$C,$A96,'NSE - Other Index Options'!$B:$B,B$4)=0,"",SUMIFS('NSE - NIFTY Index Options'!$M:$M,'NSE - NIFTY Index Options'!$C:$C,$A96,'NSE - NIFTY Index Options'!$B:$B,B$4)+SUMIFS('NSE - Other Index Options'!$M:$M,'NSE - Other Index Options'!$C:$C,$A96,'NSE - Other Index Options'!$B:$B,B$4))</f>
        <v/>
      </c>
      <c r="C96" s="26">
        <f>IF(SUMIFS('NSE - NIFTY Index Options'!$M:$M,'NSE - NIFTY Index Options'!$C:$C,$A96,'NSE - NIFTY Index Options'!$B:$B,C$4)+SUMIFS('NSE - Other Index Options'!$M:$M,'NSE - Other Index Options'!$C:$C,$A96,'NSE - Other Index Options'!$B:$B,C$4)=0,"",SUMIFS('NSE - NIFTY Index Options'!$M:$M,'NSE - NIFTY Index Options'!$C:$C,$A96,'NSE - NIFTY Index Options'!$B:$B,C$4)+SUMIFS('NSE - Other Index Options'!$M:$M,'NSE - Other Index Options'!$C:$C,$A96,'NSE - Other Index Options'!$B:$B,C$4))</f>
        <v/>
      </c>
      <c r="D96" s="26">
        <f>IF(SUMIFS('NSE - NIFTY Index Options'!$M:$M,'NSE - NIFTY Index Options'!$C:$C,$A96,'NSE - NIFTY Index Options'!$B:$B,D$4)+SUMIFS('NSE - Other Index Options'!$M:$M,'NSE - Other Index Options'!$C:$C,$A96,'NSE - Other Index Options'!$B:$B,D$4)=0,"",SUMIFS('NSE - NIFTY Index Options'!$M:$M,'NSE - NIFTY Index Options'!$C:$C,$A96,'NSE - NIFTY Index Options'!$B:$B,D$4)+SUMIFS('NSE - Other Index Options'!$M:$M,'NSE - Other Index Options'!$C:$C,$A96,'NSE - Other Index Options'!$B:$B,D$4))</f>
        <v/>
      </c>
      <c r="E96" s="26">
        <f>IF(SUMIFS('NSE - NIFTY Index Options'!$M:$M,'NSE - NIFTY Index Options'!$C:$C,$A96,'NSE - NIFTY Index Options'!$B:$B,E$4)+SUMIFS('NSE - Other Index Options'!$M:$M,'NSE - Other Index Options'!$C:$C,$A96,'NSE - Other Index Options'!$B:$B,E$4)=0,"",SUMIFS('NSE - NIFTY Index Options'!$M:$M,'NSE - NIFTY Index Options'!$C:$C,$A96,'NSE - NIFTY Index Options'!$B:$B,E$4)+SUMIFS('NSE - Other Index Options'!$M:$M,'NSE - Other Index Options'!$C:$C,$A96,'NSE - Other Index Options'!$B:$B,E$4))</f>
        <v/>
      </c>
      <c r="F96" s="26">
        <f>IF(SUMIFS('NSE - NIFTY Index Options'!$M:$M,'NSE - NIFTY Index Options'!$C:$C,$A96,'NSE - NIFTY Index Options'!$B:$B,F$4)+SUMIFS('NSE - Other Index Options'!$M:$M,'NSE - Other Index Options'!$C:$C,$A96,'NSE - Other Index Options'!$B:$B,F$4)=0,"",SUMIFS('NSE - NIFTY Index Options'!$M:$M,'NSE - NIFTY Index Options'!$C:$C,$A96,'NSE - NIFTY Index Options'!$B:$B,F$4)+SUMIFS('NSE - Other Index Options'!$M:$M,'NSE - Other Index Options'!$C:$C,$A96,'NSE - Other Index Options'!$B:$B,F$4))</f>
        <v/>
      </c>
      <c r="G96" s="26">
        <f>IF(SUMIFS('NSE - NIFTY Index Options'!$M:$M,'NSE - NIFTY Index Options'!$C:$C,$A96,'NSE - NIFTY Index Options'!$B:$B,G$4)+SUMIFS('NSE - Other Index Options'!$M:$M,'NSE - Other Index Options'!$C:$C,$A96,'NSE - Other Index Options'!$B:$B,G$4)=0,"",SUMIFS('NSE - NIFTY Index Options'!$M:$M,'NSE - NIFTY Index Options'!$C:$C,$A96,'NSE - NIFTY Index Options'!$B:$B,G$4)+SUMIFS('NSE - Other Index Options'!$M:$M,'NSE - Other Index Options'!$C:$C,$A96,'NSE - Other Index Options'!$B:$B,G$4))</f>
        <v/>
      </c>
      <c r="H96" s="26">
        <f>IF(SUM(B96:G96)=0,"",SUM(B96:G96))</f>
        <v/>
      </c>
    </row>
    <row r="97" hidden="1" outlineLevel="1">
      <c r="A97" t="inlineStr">
        <is>
          <t>Week5-Mar-2027</t>
        </is>
      </c>
      <c r="B97" s="26">
        <f>IF(SUMIFS('NSE - NIFTY Index Options'!$M:$M,'NSE - NIFTY Index Options'!$C:$C,$A97,'NSE - NIFTY Index Options'!$B:$B,B$4)+SUMIFS('NSE - Other Index Options'!$M:$M,'NSE - Other Index Options'!$C:$C,$A97,'NSE - Other Index Options'!$B:$B,B$4)=0,"",SUMIFS('NSE - NIFTY Index Options'!$M:$M,'NSE - NIFTY Index Options'!$C:$C,$A97,'NSE - NIFTY Index Options'!$B:$B,B$4)+SUMIFS('NSE - Other Index Options'!$M:$M,'NSE - Other Index Options'!$C:$C,$A97,'NSE - Other Index Options'!$B:$B,B$4))</f>
        <v/>
      </c>
      <c r="C97" s="26">
        <f>IF(SUMIFS('NSE - NIFTY Index Options'!$M:$M,'NSE - NIFTY Index Options'!$C:$C,$A97,'NSE - NIFTY Index Options'!$B:$B,C$4)+SUMIFS('NSE - Other Index Options'!$M:$M,'NSE - Other Index Options'!$C:$C,$A97,'NSE - Other Index Options'!$B:$B,C$4)=0,"",SUMIFS('NSE - NIFTY Index Options'!$M:$M,'NSE - NIFTY Index Options'!$C:$C,$A97,'NSE - NIFTY Index Options'!$B:$B,C$4)+SUMIFS('NSE - Other Index Options'!$M:$M,'NSE - Other Index Options'!$C:$C,$A97,'NSE - Other Index Options'!$B:$B,C$4))</f>
        <v/>
      </c>
      <c r="D97" s="26">
        <f>IF(SUMIFS('NSE - NIFTY Index Options'!$M:$M,'NSE - NIFTY Index Options'!$C:$C,$A97,'NSE - NIFTY Index Options'!$B:$B,D$4)+SUMIFS('NSE - Other Index Options'!$M:$M,'NSE - Other Index Options'!$C:$C,$A97,'NSE - Other Index Options'!$B:$B,D$4)=0,"",SUMIFS('NSE - NIFTY Index Options'!$M:$M,'NSE - NIFTY Index Options'!$C:$C,$A97,'NSE - NIFTY Index Options'!$B:$B,D$4)+SUMIFS('NSE - Other Index Options'!$M:$M,'NSE - Other Index Options'!$C:$C,$A97,'NSE - Other Index Options'!$B:$B,D$4))</f>
        <v/>
      </c>
      <c r="E97" s="26">
        <f>IF(SUMIFS('NSE - NIFTY Index Options'!$M:$M,'NSE - NIFTY Index Options'!$C:$C,$A97,'NSE - NIFTY Index Options'!$B:$B,E$4)+SUMIFS('NSE - Other Index Options'!$M:$M,'NSE - Other Index Options'!$C:$C,$A97,'NSE - Other Index Options'!$B:$B,E$4)=0,"",SUMIFS('NSE - NIFTY Index Options'!$M:$M,'NSE - NIFTY Index Options'!$C:$C,$A97,'NSE - NIFTY Index Options'!$B:$B,E$4)+SUMIFS('NSE - Other Index Options'!$M:$M,'NSE - Other Index Options'!$C:$C,$A97,'NSE - Other Index Options'!$B:$B,E$4))</f>
        <v/>
      </c>
      <c r="F97" s="26">
        <f>IF(SUMIFS('NSE - NIFTY Index Options'!$M:$M,'NSE - NIFTY Index Options'!$C:$C,$A97,'NSE - NIFTY Index Options'!$B:$B,F$4)+SUMIFS('NSE - Other Index Options'!$M:$M,'NSE - Other Index Options'!$C:$C,$A97,'NSE - Other Index Options'!$B:$B,F$4)=0,"",SUMIFS('NSE - NIFTY Index Options'!$M:$M,'NSE - NIFTY Index Options'!$C:$C,$A97,'NSE - NIFTY Index Options'!$B:$B,F$4)+SUMIFS('NSE - Other Index Options'!$M:$M,'NSE - Other Index Options'!$C:$C,$A97,'NSE - Other Index Options'!$B:$B,F$4))</f>
        <v/>
      </c>
      <c r="G97" s="26">
        <f>IF(SUMIFS('NSE - NIFTY Index Options'!$M:$M,'NSE - NIFTY Index Options'!$C:$C,$A97,'NSE - NIFTY Index Options'!$B:$B,G$4)+SUMIFS('NSE - Other Index Options'!$M:$M,'NSE - Other Index Options'!$C:$C,$A97,'NSE - Other Index Options'!$B:$B,G$4)=0,"",SUMIFS('NSE - NIFTY Index Options'!$M:$M,'NSE - NIFTY Index Options'!$C:$C,$A97,'NSE - NIFTY Index Options'!$B:$B,G$4)+SUMIFS('NSE - Other Index Options'!$M:$M,'NSE - Other Index Options'!$C:$C,$A97,'NSE - Other Index Options'!$B:$B,G$4))</f>
        <v/>
      </c>
      <c r="H97" s="26">
        <f>IF(SUM(B97:G97)=0,"",SUM(B97:G97))</f>
        <v/>
      </c>
    </row>
    <row r="98" hidden="1" outlineLevel="1">
      <c r="A98" t="inlineStr">
        <is>
          <t>Week1-Apr-2027</t>
        </is>
      </c>
      <c r="B98" s="26">
        <f>IF(SUMIFS('NSE - NIFTY Index Options'!$M:$M,'NSE - NIFTY Index Options'!$C:$C,$A98,'NSE - NIFTY Index Options'!$B:$B,B$4)+SUMIFS('NSE - Other Index Options'!$M:$M,'NSE - Other Index Options'!$C:$C,$A98,'NSE - Other Index Options'!$B:$B,B$4)=0,"",SUMIFS('NSE - NIFTY Index Options'!$M:$M,'NSE - NIFTY Index Options'!$C:$C,$A98,'NSE - NIFTY Index Options'!$B:$B,B$4)+SUMIFS('NSE - Other Index Options'!$M:$M,'NSE - Other Index Options'!$C:$C,$A98,'NSE - Other Index Options'!$B:$B,B$4))</f>
        <v/>
      </c>
      <c r="C98" s="26">
        <f>IF(SUMIFS('NSE - NIFTY Index Options'!$M:$M,'NSE - NIFTY Index Options'!$C:$C,$A98,'NSE - NIFTY Index Options'!$B:$B,C$4)+SUMIFS('NSE - Other Index Options'!$M:$M,'NSE - Other Index Options'!$C:$C,$A98,'NSE - Other Index Options'!$B:$B,C$4)=0,"",SUMIFS('NSE - NIFTY Index Options'!$M:$M,'NSE - NIFTY Index Options'!$C:$C,$A98,'NSE - NIFTY Index Options'!$B:$B,C$4)+SUMIFS('NSE - Other Index Options'!$M:$M,'NSE - Other Index Options'!$C:$C,$A98,'NSE - Other Index Options'!$B:$B,C$4))</f>
        <v/>
      </c>
      <c r="D98" s="26">
        <f>IF(SUMIFS('NSE - NIFTY Index Options'!$M:$M,'NSE - NIFTY Index Options'!$C:$C,$A98,'NSE - NIFTY Index Options'!$B:$B,D$4)+SUMIFS('NSE - Other Index Options'!$M:$M,'NSE - Other Index Options'!$C:$C,$A98,'NSE - Other Index Options'!$B:$B,D$4)=0,"",SUMIFS('NSE - NIFTY Index Options'!$M:$M,'NSE - NIFTY Index Options'!$C:$C,$A98,'NSE - NIFTY Index Options'!$B:$B,D$4)+SUMIFS('NSE - Other Index Options'!$M:$M,'NSE - Other Index Options'!$C:$C,$A98,'NSE - Other Index Options'!$B:$B,D$4))</f>
        <v/>
      </c>
      <c r="E98" s="26">
        <f>IF(SUMIFS('NSE - NIFTY Index Options'!$M:$M,'NSE - NIFTY Index Options'!$C:$C,$A98,'NSE - NIFTY Index Options'!$B:$B,E$4)+SUMIFS('NSE - Other Index Options'!$M:$M,'NSE - Other Index Options'!$C:$C,$A98,'NSE - Other Index Options'!$B:$B,E$4)=0,"",SUMIFS('NSE - NIFTY Index Options'!$M:$M,'NSE - NIFTY Index Options'!$C:$C,$A98,'NSE - NIFTY Index Options'!$B:$B,E$4)+SUMIFS('NSE - Other Index Options'!$M:$M,'NSE - Other Index Options'!$C:$C,$A98,'NSE - Other Index Options'!$B:$B,E$4))</f>
        <v/>
      </c>
      <c r="F98" s="26">
        <f>IF(SUMIFS('NSE - NIFTY Index Options'!$M:$M,'NSE - NIFTY Index Options'!$C:$C,$A98,'NSE - NIFTY Index Options'!$B:$B,F$4)+SUMIFS('NSE - Other Index Options'!$M:$M,'NSE - Other Index Options'!$C:$C,$A98,'NSE - Other Index Options'!$B:$B,F$4)=0,"",SUMIFS('NSE - NIFTY Index Options'!$M:$M,'NSE - NIFTY Index Options'!$C:$C,$A98,'NSE - NIFTY Index Options'!$B:$B,F$4)+SUMIFS('NSE - Other Index Options'!$M:$M,'NSE - Other Index Options'!$C:$C,$A98,'NSE - Other Index Options'!$B:$B,F$4))</f>
        <v/>
      </c>
      <c r="G98" s="26">
        <f>IF(SUMIFS('NSE - NIFTY Index Options'!$M:$M,'NSE - NIFTY Index Options'!$C:$C,$A98,'NSE - NIFTY Index Options'!$B:$B,G$4)+SUMIFS('NSE - Other Index Options'!$M:$M,'NSE - Other Index Options'!$C:$C,$A98,'NSE - Other Index Options'!$B:$B,G$4)=0,"",SUMIFS('NSE - NIFTY Index Options'!$M:$M,'NSE - NIFTY Index Options'!$C:$C,$A98,'NSE - NIFTY Index Options'!$B:$B,G$4)+SUMIFS('NSE - Other Index Options'!$M:$M,'NSE - Other Index Options'!$C:$C,$A98,'NSE - Other Index Options'!$B:$B,G$4))</f>
        <v/>
      </c>
      <c r="H98" s="26">
        <f>IF(SUM(B98:G98)=0,"",SUM(B98:G98))</f>
        <v/>
      </c>
    </row>
    <row r="99" hidden="1" outlineLevel="1">
      <c r="A99" t="inlineStr">
        <is>
          <t>Week2-Apr-2027</t>
        </is>
      </c>
      <c r="B99" s="26">
        <f>IF(SUMIFS('NSE - NIFTY Index Options'!$M:$M,'NSE - NIFTY Index Options'!$C:$C,$A99,'NSE - NIFTY Index Options'!$B:$B,B$4)+SUMIFS('NSE - Other Index Options'!$M:$M,'NSE - Other Index Options'!$C:$C,$A99,'NSE - Other Index Options'!$B:$B,B$4)=0,"",SUMIFS('NSE - NIFTY Index Options'!$M:$M,'NSE - NIFTY Index Options'!$C:$C,$A99,'NSE - NIFTY Index Options'!$B:$B,B$4)+SUMIFS('NSE - Other Index Options'!$M:$M,'NSE - Other Index Options'!$C:$C,$A99,'NSE - Other Index Options'!$B:$B,B$4))</f>
        <v/>
      </c>
      <c r="C99" s="26">
        <f>IF(SUMIFS('NSE - NIFTY Index Options'!$M:$M,'NSE - NIFTY Index Options'!$C:$C,$A99,'NSE - NIFTY Index Options'!$B:$B,C$4)+SUMIFS('NSE - Other Index Options'!$M:$M,'NSE - Other Index Options'!$C:$C,$A99,'NSE - Other Index Options'!$B:$B,C$4)=0,"",SUMIFS('NSE - NIFTY Index Options'!$M:$M,'NSE - NIFTY Index Options'!$C:$C,$A99,'NSE - NIFTY Index Options'!$B:$B,C$4)+SUMIFS('NSE - Other Index Options'!$M:$M,'NSE - Other Index Options'!$C:$C,$A99,'NSE - Other Index Options'!$B:$B,C$4))</f>
        <v/>
      </c>
      <c r="D99" s="26">
        <f>IF(SUMIFS('NSE - NIFTY Index Options'!$M:$M,'NSE - NIFTY Index Options'!$C:$C,$A99,'NSE - NIFTY Index Options'!$B:$B,D$4)+SUMIFS('NSE - Other Index Options'!$M:$M,'NSE - Other Index Options'!$C:$C,$A99,'NSE - Other Index Options'!$B:$B,D$4)=0,"",SUMIFS('NSE - NIFTY Index Options'!$M:$M,'NSE - NIFTY Index Options'!$C:$C,$A99,'NSE - NIFTY Index Options'!$B:$B,D$4)+SUMIFS('NSE - Other Index Options'!$M:$M,'NSE - Other Index Options'!$C:$C,$A99,'NSE - Other Index Options'!$B:$B,D$4))</f>
        <v/>
      </c>
      <c r="E99" s="26">
        <f>IF(SUMIFS('NSE - NIFTY Index Options'!$M:$M,'NSE - NIFTY Index Options'!$C:$C,$A99,'NSE - NIFTY Index Options'!$B:$B,E$4)+SUMIFS('NSE - Other Index Options'!$M:$M,'NSE - Other Index Options'!$C:$C,$A99,'NSE - Other Index Options'!$B:$B,E$4)=0,"",SUMIFS('NSE - NIFTY Index Options'!$M:$M,'NSE - NIFTY Index Options'!$C:$C,$A99,'NSE - NIFTY Index Options'!$B:$B,E$4)+SUMIFS('NSE - Other Index Options'!$M:$M,'NSE - Other Index Options'!$C:$C,$A99,'NSE - Other Index Options'!$B:$B,E$4))</f>
        <v/>
      </c>
      <c r="F99" s="26">
        <f>IF(SUMIFS('NSE - NIFTY Index Options'!$M:$M,'NSE - NIFTY Index Options'!$C:$C,$A99,'NSE - NIFTY Index Options'!$B:$B,F$4)+SUMIFS('NSE - Other Index Options'!$M:$M,'NSE - Other Index Options'!$C:$C,$A99,'NSE - Other Index Options'!$B:$B,F$4)=0,"",SUMIFS('NSE - NIFTY Index Options'!$M:$M,'NSE - NIFTY Index Options'!$C:$C,$A99,'NSE - NIFTY Index Options'!$B:$B,F$4)+SUMIFS('NSE - Other Index Options'!$M:$M,'NSE - Other Index Options'!$C:$C,$A99,'NSE - Other Index Options'!$B:$B,F$4))</f>
        <v/>
      </c>
      <c r="G99" s="26">
        <f>IF(SUMIFS('NSE - NIFTY Index Options'!$M:$M,'NSE - NIFTY Index Options'!$C:$C,$A99,'NSE - NIFTY Index Options'!$B:$B,G$4)+SUMIFS('NSE - Other Index Options'!$M:$M,'NSE - Other Index Options'!$C:$C,$A99,'NSE - Other Index Options'!$B:$B,G$4)=0,"",SUMIFS('NSE - NIFTY Index Options'!$M:$M,'NSE - NIFTY Index Options'!$C:$C,$A99,'NSE - NIFTY Index Options'!$B:$B,G$4)+SUMIFS('NSE - Other Index Options'!$M:$M,'NSE - Other Index Options'!$C:$C,$A99,'NSE - Other Index Options'!$B:$B,G$4))</f>
        <v/>
      </c>
      <c r="H99" s="26">
        <f>IF(SUM(B99:G99)=0,"",SUM(B99:G99))</f>
        <v/>
      </c>
    </row>
    <row r="100" hidden="1" outlineLevel="1">
      <c r="A100" t="inlineStr">
        <is>
          <t>Week3-Apr-2027</t>
        </is>
      </c>
      <c r="B100" s="26">
        <f>IF(SUMIFS('NSE - NIFTY Index Options'!$M:$M,'NSE - NIFTY Index Options'!$C:$C,$A100,'NSE - NIFTY Index Options'!$B:$B,B$4)+SUMIFS('NSE - Other Index Options'!$M:$M,'NSE - Other Index Options'!$C:$C,$A100,'NSE - Other Index Options'!$B:$B,B$4)=0,"",SUMIFS('NSE - NIFTY Index Options'!$M:$M,'NSE - NIFTY Index Options'!$C:$C,$A100,'NSE - NIFTY Index Options'!$B:$B,B$4)+SUMIFS('NSE - Other Index Options'!$M:$M,'NSE - Other Index Options'!$C:$C,$A100,'NSE - Other Index Options'!$B:$B,B$4))</f>
        <v/>
      </c>
      <c r="C100" s="26">
        <f>IF(SUMIFS('NSE - NIFTY Index Options'!$M:$M,'NSE - NIFTY Index Options'!$C:$C,$A100,'NSE - NIFTY Index Options'!$B:$B,C$4)+SUMIFS('NSE - Other Index Options'!$M:$M,'NSE - Other Index Options'!$C:$C,$A100,'NSE - Other Index Options'!$B:$B,C$4)=0,"",SUMIFS('NSE - NIFTY Index Options'!$M:$M,'NSE - NIFTY Index Options'!$C:$C,$A100,'NSE - NIFTY Index Options'!$B:$B,C$4)+SUMIFS('NSE - Other Index Options'!$M:$M,'NSE - Other Index Options'!$C:$C,$A100,'NSE - Other Index Options'!$B:$B,C$4))</f>
        <v/>
      </c>
      <c r="D100" s="26">
        <f>IF(SUMIFS('NSE - NIFTY Index Options'!$M:$M,'NSE - NIFTY Index Options'!$C:$C,$A100,'NSE - NIFTY Index Options'!$B:$B,D$4)+SUMIFS('NSE - Other Index Options'!$M:$M,'NSE - Other Index Options'!$C:$C,$A100,'NSE - Other Index Options'!$B:$B,D$4)=0,"",SUMIFS('NSE - NIFTY Index Options'!$M:$M,'NSE - NIFTY Index Options'!$C:$C,$A100,'NSE - NIFTY Index Options'!$B:$B,D$4)+SUMIFS('NSE - Other Index Options'!$M:$M,'NSE - Other Index Options'!$C:$C,$A100,'NSE - Other Index Options'!$B:$B,D$4))</f>
        <v/>
      </c>
      <c r="E100" s="26">
        <f>IF(SUMIFS('NSE - NIFTY Index Options'!$M:$M,'NSE - NIFTY Index Options'!$C:$C,$A100,'NSE - NIFTY Index Options'!$B:$B,E$4)+SUMIFS('NSE - Other Index Options'!$M:$M,'NSE - Other Index Options'!$C:$C,$A100,'NSE - Other Index Options'!$B:$B,E$4)=0,"",SUMIFS('NSE - NIFTY Index Options'!$M:$M,'NSE - NIFTY Index Options'!$C:$C,$A100,'NSE - NIFTY Index Options'!$B:$B,E$4)+SUMIFS('NSE - Other Index Options'!$M:$M,'NSE - Other Index Options'!$C:$C,$A100,'NSE - Other Index Options'!$B:$B,E$4))</f>
        <v/>
      </c>
      <c r="F100" s="26">
        <f>IF(SUMIFS('NSE - NIFTY Index Options'!$M:$M,'NSE - NIFTY Index Options'!$C:$C,$A100,'NSE - NIFTY Index Options'!$B:$B,F$4)+SUMIFS('NSE - Other Index Options'!$M:$M,'NSE - Other Index Options'!$C:$C,$A100,'NSE - Other Index Options'!$B:$B,F$4)=0,"",SUMIFS('NSE - NIFTY Index Options'!$M:$M,'NSE - NIFTY Index Options'!$C:$C,$A100,'NSE - NIFTY Index Options'!$B:$B,F$4)+SUMIFS('NSE - Other Index Options'!$M:$M,'NSE - Other Index Options'!$C:$C,$A100,'NSE - Other Index Options'!$B:$B,F$4))</f>
        <v/>
      </c>
      <c r="G100" s="26">
        <f>IF(SUMIFS('NSE - NIFTY Index Options'!$M:$M,'NSE - NIFTY Index Options'!$C:$C,$A100,'NSE - NIFTY Index Options'!$B:$B,G$4)+SUMIFS('NSE - Other Index Options'!$M:$M,'NSE - Other Index Options'!$C:$C,$A100,'NSE - Other Index Options'!$B:$B,G$4)=0,"",SUMIFS('NSE - NIFTY Index Options'!$M:$M,'NSE - NIFTY Index Options'!$C:$C,$A100,'NSE - NIFTY Index Options'!$B:$B,G$4)+SUMIFS('NSE - Other Index Options'!$M:$M,'NSE - Other Index Options'!$C:$C,$A100,'NSE - Other Index Options'!$B:$B,G$4))</f>
        <v/>
      </c>
      <c r="H100" s="26">
        <f>IF(SUM(B100:G100)=0,"",SUM(B100:G100))</f>
        <v/>
      </c>
    </row>
    <row r="101" hidden="1" outlineLevel="1">
      <c r="A101" t="inlineStr">
        <is>
          <t>Week4-Apr-2027</t>
        </is>
      </c>
      <c r="B101" s="26">
        <f>IF(SUMIFS('NSE - NIFTY Index Options'!$M:$M,'NSE - NIFTY Index Options'!$C:$C,$A101,'NSE - NIFTY Index Options'!$B:$B,B$4)+SUMIFS('NSE - Other Index Options'!$M:$M,'NSE - Other Index Options'!$C:$C,$A101,'NSE - Other Index Options'!$B:$B,B$4)=0,"",SUMIFS('NSE - NIFTY Index Options'!$M:$M,'NSE - NIFTY Index Options'!$C:$C,$A101,'NSE - NIFTY Index Options'!$B:$B,B$4)+SUMIFS('NSE - Other Index Options'!$M:$M,'NSE - Other Index Options'!$C:$C,$A101,'NSE - Other Index Options'!$B:$B,B$4))</f>
        <v/>
      </c>
      <c r="C101" s="26">
        <f>IF(SUMIFS('NSE - NIFTY Index Options'!$M:$M,'NSE - NIFTY Index Options'!$C:$C,$A101,'NSE - NIFTY Index Options'!$B:$B,C$4)+SUMIFS('NSE - Other Index Options'!$M:$M,'NSE - Other Index Options'!$C:$C,$A101,'NSE - Other Index Options'!$B:$B,C$4)=0,"",SUMIFS('NSE - NIFTY Index Options'!$M:$M,'NSE - NIFTY Index Options'!$C:$C,$A101,'NSE - NIFTY Index Options'!$B:$B,C$4)+SUMIFS('NSE - Other Index Options'!$M:$M,'NSE - Other Index Options'!$C:$C,$A101,'NSE - Other Index Options'!$B:$B,C$4))</f>
        <v/>
      </c>
      <c r="D101" s="26">
        <f>IF(SUMIFS('NSE - NIFTY Index Options'!$M:$M,'NSE - NIFTY Index Options'!$C:$C,$A101,'NSE - NIFTY Index Options'!$B:$B,D$4)+SUMIFS('NSE - Other Index Options'!$M:$M,'NSE - Other Index Options'!$C:$C,$A101,'NSE - Other Index Options'!$B:$B,D$4)=0,"",SUMIFS('NSE - NIFTY Index Options'!$M:$M,'NSE - NIFTY Index Options'!$C:$C,$A101,'NSE - NIFTY Index Options'!$B:$B,D$4)+SUMIFS('NSE - Other Index Options'!$M:$M,'NSE - Other Index Options'!$C:$C,$A101,'NSE - Other Index Options'!$B:$B,D$4))</f>
        <v/>
      </c>
      <c r="E101" s="26">
        <f>IF(SUMIFS('NSE - NIFTY Index Options'!$M:$M,'NSE - NIFTY Index Options'!$C:$C,$A101,'NSE - NIFTY Index Options'!$B:$B,E$4)+SUMIFS('NSE - Other Index Options'!$M:$M,'NSE - Other Index Options'!$C:$C,$A101,'NSE - Other Index Options'!$B:$B,E$4)=0,"",SUMIFS('NSE - NIFTY Index Options'!$M:$M,'NSE - NIFTY Index Options'!$C:$C,$A101,'NSE - NIFTY Index Options'!$B:$B,E$4)+SUMIFS('NSE - Other Index Options'!$M:$M,'NSE - Other Index Options'!$C:$C,$A101,'NSE - Other Index Options'!$B:$B,E$4))</f>
        <v/>
      </c>
      <c r="F101" s="26">
        <f>IF(SUMIFS('NSE - NIFTY Index Options'!$M:$M,'NSE - NIFTY Index Options'!$C:$C,$A101,'NSE - NIFTY Index Options'!$B:$B,F$4)+SUMIFS('NSE - Other Index Options'!$M:$M,'NSE - Other Index Options'!$C:$C,$A101,'NSE - Other Index Options'!$B:$B,F$4)=0,"",SUMIFS('NSE - NIFTY Index Options'!$M:$M,'NSE - NIFTY Index Options'!$C:$C,$A101,'NSE - NIFTY Index Options'!$B:$B,F$4)+SUMIFS('NSE - Other Index Options'!$M:$M,'NSE - Other Index Options'!$C:$C,$A101,'NSE - Other Index Options'!$B:$B,F$4))</f>
        <v/>
      </c>
      <c r="G101" s="26">
        <f>IF(SUMIFS('NSE - NIFTY Index Options'!$M:$M,'NSE - NIFTY Index Options'!$C:$C,$A101,'NSE - NIFTY Index Options'!$B:$B,G$4)+SUMIFS('NSE - Other Index Options'!$M:$M,'NSE - Other Index Options'!$C:$C,$A101,'NSE - Other Index Options'!$B:$B,G$4)=0,"",SUMIFS('NSE - NIFTY Index Options'!$M:$M,'NSE - NIFTY Index Options'!$C:$C,$A101,'NSE - NIFTY Index Options'!$B:$B,G$4)+SUMIFS('NSE - Other Index Options'!$M:$M,'NSE - Other Index Options'!$C:$C,$A101,'NSE - Other Index Options'!$B:$B,G$4))</f>
        <v/>
      </c>
      <c r="H101" s="26">
        <f>IF(SUM(B101:G101)=0,"",SUM(B101:G101))</f>
        <v/>
      </c>
    </row>
    <row r="102" hidden="1" outlineLevel="1">
      <c r="A102" t="inlineStr">
        <is>
          <t>Week5-Apr-2027</t>
        </is>
      </c>
      <c r="B102" s="26">
        <f>IF(SUMIFS('NSE - NIFTY Index Options'!$M:$M,'NSE - NIFTY Index Options'!$C:$C,$A102,'NSE - NIFTY Index Options'!$B:$B,B$4)+SUMIFS('NSE - Other Index Options'!$M:$M,'NSE - Other Index Options'!$C:$C,$A102,'NSE - Other Index Options'!$B:$B,B$4)=0,"",SUMIFS('NSE - NIFTY Index Options'!$M:$M,'NSE - NIFTY Index Options'!$C:$C,$A102,'NSE - NIFTY Index Options'!$B:$B,B$4)+SUMIFS('NSE - Other Index Options'!$M:$M,'NSE - Other Index Options'!$C:$C,$A102,'NSE - Other Index Options'!$B:$B,B$4))</f>
        <v/>
      </c>
      <c r="C102" s="26">
        <f>IF(SUMIFS('NSE - NIFTY Index Options'!$M:$M,'NSE - NIFTY Index Options'!$C:$C,$A102,'NSE - NIFTY Index Options'!$B:$B,C$4)+SUMIFS('NSE - Other Index Options'!$M:$M,'NSE - Other Index Options'!$C:$C,$A102,'NSE - Other Index Options'!$B:$B,C$4)=0,"",SUMIFS('NSE - NIFTY Index Options'!$M:$M,'NSE - NIFTY Index Options'!$C:$C,$A102,'NSE - NIFTY Index Options'!$B:$B,C$4)+SUMIFS('NSE - Other Index Options'!$M:$M,'NSE - Other Index Options'!$C:$C,$A102,'NSE - Other Index Options'!$B:$B,C$4))</f>
        <v/>
      </c>
      <c r="D102" s="26">
        <f>IF(SUMIFS('NSE - NIFTY Index Options'!$M:$M,'NSE - NIFTY Index Options'!$C:$C,$A102,'NSE - NIFTY Index Options'!$B:$B,D$4)+SUMIFS('NSE - Other Index Options'!$M:$M,'NSE - Other Index Options'!$C:$C,$A102,'NSE - Other Index Options'!$B:$B,D$4)=0,"",SUMIFS('NSE - NIFTY Index Options'!$M:$M,'NSE - NIFTY Index Options'!$C:$C,$A102,'NSE - NIFTY Index Options'!$B:$B,D$4)+SUMIFS('NSE - Other Index Options'!$M:$M,'NSE - Other Index Options'!$C:$C,$A102,'NSE - Other Index Options'!$B:$B,D$4))</f>
        <v/>
      </c>
      <c r="E102" s="26">
        <f>IF(SUMIFS('NSE - NIFTY Index Options'!$M:$M,'NSE - NIFTY Index Options'!$C:$C,$A102,'NSE - NIFTY Index Options'!$B:$B,E$4)+SUMIFS('NSE - Other Index Options'!$M:$M,'NSE - Other Index Options'!$C:$C,$A102,'NSE - Other Index Options'!$B:$B,E$4)=0,"",SUMIFS('NSE - NIFTY Index Options'!$M:$M,'NSE - NIFTY Index Options'!$C:$C,$A102,'NSE - NIFTY Index Options'!$B:$B,E$4)+SUMIFS('NSE - Other Index Options'!$M:$M,'NSE - Other Index Options'!$C:$C,$A102,'NSE - Other Index Options'!$B:$B,E$4))</f>
        <v/>
      </c>
      <c r="F102" s="26">
        <f>IF(SUMIFS('NSE - NIFTY Index Options'!$M:$M,'NSE - NIFTY Index Options'!$C:$C,$A102,'NSE - NIFTY Index Options'!$B:$B,F$4)+SUMIFS('NSE - Other Index Options'!$M:$M,'NSE - Other Index Options'!$C:$C,$A102,'NSE - Other Index Options'!$B:$B,F$4)=0,"",SUMIFS('NSE - NIFTY Index Options'!$M:$M,'NSE - NIFTY Index Options'!$C:$C,$A102,'NSE - NIFTY Index Options'!$B:$B,F$4)+SUMIFS('NSE - Other Index Options'!$M:$M,'NSE - Other Index Options'!$C:$C,$A102,'NSE - Other Index Options'!$B:$B,F$4))</f>
        <v/>
      </c>
      <c r="G102" s="26">
        <f>IF(SUMIFS('NSE - NIFTY Index Options'!$M:$M,'NSE - NIFTY Index Options'!$C:$C,$A102,'NSE - NIFTY Index Options'!$B:$B,G$4)+SUMIFS('NSE - Other Index Options'!$M:$M,'NSE - Other Index Options'!$C:$C,$A102,'NSE - Other Index Options'!$B:$B,G$4)=0,"",SUMIFS('NSE - NIFTY Index Options'!$M:$M,'NSE - NIFTY Index Options'!$C:$C,$A102,'NSE - NIFTY Index Options'!$B:$B,G$4)+SUMIFS('NSE - Other Index Options'!$M:$M,'NSE - Other Index Options'!$C:$C,$A102,'NSE - Other Index Options'!$B:$B,G$4))</f>
        <v/>
      </c>
      <c r="H102" s="26">
        <f>IF(SUM(B102:G102)=0,"",SUM(B102:G102))</f>
        <v/>
      </c>
    </row>
    <row r="103" hidden="1" outlineLevel="1">
      <c r="A103" t="inlineStr">
        <is>
          <t>Week1-May-2027</t>
        </is>
      </c>
      <c r="B103" s="26">
        <f>IF(SUMIFS('NSE - NIFTY Index Options'!$M:$M,'NSE - NIFTY Index Options'!$C:$C,$A103,'NSE - NIFTY Index Options'!$B:$B,B$4)+SUMIFS('NSE - Other Index Options'!$M:$M,'NSE - Other Index Options'!$C:$C,$A103,'NSE - Other Index Options'!$B:$B,B$4)=0,"",SUMIFS('NSE - NIFTY Index Options'!$M:$M,'NSE - NIFTY Index Options'!$C:$C,$A103,'NSE - NIFTY Index Options'!$B:$B,B$4)+SUMIFS('NSE - Other Index Options'!$M:$M,'NSE - Other Index Options'!$C:$C,$A103,'NSE - Other Index Options'!$B:$B,B$4))</f>
        <v/>
      </c>
      <c r="C103" s="26">
        <f>IF(SUMIFS('NSE - NIFTY Index Options'!$M:$M,'NSE - NIFTY Index Options'!$C:$C,$A103,'NSE - NIFTY Index Options'!$B:$B,C$4)+SUMIFS('NSE - Other Index Options'!$M:$M,'NSE - Other Index Options'!$C:$C,$A103,'NSE - Other Index Options'!$B:$B,C$4)=0,"",SUMIFS('NSE - NIFTY Index Options'!$M:$M,'NSE - NIFTY Index Options'!$C:$C,$A103,'NSE - NIFTY Index Options'!$B:$B,C$4)+SUMIFS('NSE - Other Index Options'!$M:$M,'NSE - Other Index Options'!$C:$C,$A103,'NSE - Other Index Options'!$B:$B,C$4))</f>
        <v/>
      </c>
      <c r="D103" s="26">
        <f>IF(SUMIFS('NSE - NIFTY Index Options'!$M:$M,'NSE - NIFTY Index Options'!$C:$C,$A103,'NSE - NIFTY Index Options'!$B:$B,D$4)+SUMIFS('NSE - Other Index Options'!$M:$M,'NSE - Other Index Options'!$C:$C,$A103,'NSE - Other Index Options'!$B:$B,D$4)=0,"",SUMIFS('NSE - NIFTY Index Options'!$M:$M,'NSE - NIFTY Index Options'!$C:$C,$A103,'NSE - NIFTY Index Options'!$B:$B,D$4)+SUMIFS('NSE - Other Index Options'!$M:$M,'NSE - Other Index Options'!$C:$C,$A103,'NSE - Other Index Options'!$B:$B,D$4))</f>
        <v/>
      </c>
      <c r="E103" s="26">
        <f>IF(SUMIFS('NSE - NIFTY Index Options'!$M:$M,'NSE - NIFTY Index Options'!$C:$C,$A103,'NSE - NIFTY Index Options'!$B:$B,E$4)+SUMIFS('NSE - Other Index Options'!$M:$M,'NSE - Other Index Options'!$C:$C,$A103,'NSE - Other Index Options'!$B:$B,E$4)=0,"",SUMIFS('NSE - NIFTY Index Options'!$M:$M,'NSE - NIFTY Index Options'!$C:$C,$A103,'NSE - NIFTY Index Options'!$B:$B,E$4)+SUMIFS('NSE - Other Index Options'!$M:$M,'NSE - Other Index Options'!$C:$C,$A103,'NSE - Other Index Options'!$B:$B,E$4))</f>
        <v/>
      </c>
      <c r="F103" s="26">
        <f>IF(SUMIFS('NSE - NIFTY Index Options'!$M:$M,'NSE - NIFTY Index Options'!$C:$C,$A103,'NSE - NIFTY Index Options'!$B:$B,F$4)+SUMIFS('NSE - Other Index Options'!$M:$M,'NSE - Other Index Options'!$C:$C,$A103,'NSE - Other Index Options'!$B:$B,F$4)=0,"",SUMIFS('NSE - NIFTY Index Options'!$M:$M,'NSE - NIFTY Index Options'!$C:$C,$A103,'NSE - NIFTY Index Options'!$B:$B,F$4)+SUMIFS('NSE - Other Index Options'!$M:$M,'NSE - Other Index Options'!$C:$C,$A103,'NSE - Other Index Options'!$B:$B,F$4))</f>
        <v/>
      </c>
      <c r="G103" s="26">
        <f>IF(SUMIFS('NSE - NIFTY Index Options'!$M:$M,'NSE - NIFTY Index Options'!$C:$C,$A103,'NSE - NIFTY Index Options'!$B:$B,G$4)+SUMIFS('NSE - Other Index Options'!$M:$M,'NSE - Other Index Options'!$C:$C,$A103,'NSE - Other Index Options'!$B:$B,G$4)=0,"",SUMIFS('NSE - NIFTY Index Options'!$M:$M,'NSE - NIFTY Index Options'!$C:$C,$A103,'NSE - NIFTY Index Options'!$B:$B,G$4)+SUMIFS('NSE - Other Index Options'!$M:$M,'NSE - Other Index Options'!$C:$C,$A103,'NSE - Other Index Options'!$B:$B,G$4))</f>
        <v/>
      </c>
      <c r="H103" s="26">
        <f>IF(SUM(B103:G103)=0,"",SUM(B103:G103))</f>
        <v/>
      </c>
    </row>
    <row r="104" hidden="1" outlineLevel="1">
      <c r="A104" t="inlineStr">
        <is>
          <t>Week2-May-2027</t>
        </is>
      </c>
      <c r="B104" s="26">
        <f>IF(SUMIFS('NSE - NIFTY Index Options'!$M:$M,'NSE - NIFTY Index Options'!$C:$C,$A104,'NSE - NIFTY Index Options'!$B:$B,B$4)+SUMIFS('NSE - Other Index Options'!$M:$M,'NSE - Other Index Options'!$C:$C,$A104,'NSE - Other Index Options'!$B:$B,B$4)=0,"",SUMIFS('NSE - NIFTY Index Options'!$M:$M,'NSE - NIFTY Index Options'!$C:$C,$A104,'NSE - NIFTY Index Options'!$B:$B,B$4)+SUMIFS('NSE - Other Index Options'!$M:$M,'NSE - Other Index Options'!$C:$C,$A104,'NSE - Other Index Options'!$B:$B,B$4))</f>
        <v/>
      </c>
      <c r="C104" s="26">
        <f>IF(SUMIFS('NSE - NIFTY Index Options'!$M:$M,'NSE - NIFTY Index Options'!$C:$C,$A104,'NSE - NIFTY Index Options'!$B:$B,C$4)+SUMIFS('NSE - Other Index Options'!$M:$M,'NSE - Other Index Options'!$C:$C,$A104,'NSE - Other Index Options'!$B:$B,C$4)=0,"",SUMIFS('NSE - NIFTY Index Options'!$M:$M,'NSE - NIFTY Index Options'!$C:$C,$A104,'NSE - NIFTY Index Options'!$B:$B,C$4)+SUMIFS('NSE - Other Index Options'!$M:$M,'NSE - Other Index Options'!$C:$C,$A104,'NSE - Other Index Options'!$B:$B,C$4))</f>
        <v/>
      </c>
      <c r="D104" s="26">
        <f>IF(SUMIFS('NSE - NIFTY Index Options'!$M:$M,'NSE - NIFTY Index Options'!$C:$C,$A104,'NSE - NIFTY Index Options'!$B:$B,D$4)+SUMIFS('NSE - Other Index Options'!$M:$M,'NSE - Other Index Options'!$C:$C,$A104,'NSE - Other Index Options'!$B:$B,D$4)=0,"",SUMIFS('NSE - NIFTY Index Options'!$M:$M,'NSE - NIFTY Index Options'!$C:$C,$A104,'NSE - NIFTY Index Options'!$B:$B,D$4)+SUMIFS('NSE - Other Index Options'!$M:$M,'NSE - Other Index Options'!$C:$C,$A104,'NSE - Other Index Options'!$B:$B,D$4))</f>
        <v/>
      </c>
      <c r="E104" s="26">
        <f>IF(SUMIFS('NSE - NIFTY Index Options'!$M:$M,'NSE - NIFTY Index Options'!$C:$C,$A104,'NSE - NIFTY Index Options'!$B:$B,E$4)+SUMIFS('NSE - Other Index Options'!$M:$M,'NSE - Other Index Options'!$C:$C,$A104,'NSE - Other Index Options'!$B:$B,E$4)=0,"",SUMIFS('NSE - NIFTY Index Options'!$M:$M,'NSE - NIFTY Index Options'!$C:$C,$A104,'NSE - NIFTY Index Options'!$B:$B,E$4)+SUMIFS('NSE - Other Index Options'!$M:$M,'NSE - Other Index Options'!$C:$C,$A104,'NSE - Other Index Options'!$B:$B,E$4))</f>
        <v/>
      </c>
      <c r="F104" s="26">
        <f>IF(SUMIFS('NSE - NIFTY Index Options'!$M:$M,'NSE - NIFTY Index Options'!$C:$C,$A104,'NSE - NIFTY Index Options'!$B:$B,F$4)+SUMIFS('NSE - Other Index Options'!$M:$M,'NSE - Other Index Options'!$C:$C,$A104,'NSE - Other Index Options'!$B:$B,F$4)=0,"",SUMIFS('NSE - NIFTY Index Options'!$M:$M,'NSE - NIFTY Index Options'!$C:$C,$A104,'NSE - NIFTY Index Options'!$B:$B,F$4)+SUMIFS('NSE - Other Index Options'!$M:$M,'NSE - Other Index Options'!$C:$C,$A104,'NSE - Other Index Options'!$B:$B,F$4))</f>
        <v/>
      </c>
      <c r="G104" s="26">
        <f>IF(SUMIFS('NSE - NIFTY Index Options'!$M:$M,'NSE - NIFTY Index Options'!$C:$C,$A104,'NSE - NIFTY Index Options'!$B:$B,G$4)+SUMIFS('NSE - Other Index Options'!$M:$M,'NSE - Other Index Options'!$C:$C,$A104,'NSE - Other Index Options'!$B:$B,G$4)=0,"",SUMIFS('NSE - NIFTY Index Options'!$M:$M,'NSE - NIFTY Index Options'!$C:$C,$A104,'NSE - NIFTY Index Options'!$B:$B,G$4)+SUMIFS('NSE - Other Index Options'!$M:$M,'NSE - Other Index Options'!$C:$C,$A104,'NSE - Other Index Options'!$B:$B,G$4))</f>
        <v/>
      </c>
      <c r="H104" s="26">
        <f>IF(SUM(B104:G104)=0,"",SUM(B104:G104))</f>
        <v/>
      </c>
    </row>
    <row r="105" hidden="1" outlineLevel="1">
      <c r="A105" t="inlineStr">
        <is>
          <t>Week3-May-2027</t>
        </is>
      </c>
      <c r="B105" s="26">
        <f>IF(SUMIFS('NSE - NIFTY Index Options'!$M:$M,'NSE - NIFTY Index Options'!$C:$C,$A105,'NSE - NIFTY Index Options'!$B:$B,B$4)+SUMIFS('NSE - Other Index Options'!$M:$M,'NSE - Other Index Options'!$C:$C,$A105,'NSE - Other Index Options'!$B:$B,B$4)=0,"",SUMIFS('NSE - NIFTY Index Options'!$M:$M,'NSE - NIFTY Index Options'!$C:$C,$A105,'NSE - NIFTY Index Options'!$B:$B,B$4)+SUMIFS('NSE - Other Index Options'!$M:$M,'NSE - Other Index Options'!$C:$C,$A105,'NSE - Other Index Options'!$B:$B,B$4))</f>
        <v/>
      </c>
      <c r="C105" s="26">
        <f>IF(SUMIFS('NSE - NIFTY Index Options'!$M:$M,'NSE - NIFTY Index Options'!$C:$C,$A105,'NSE - NIFTY Index Options'!$B:$B,C$4)+SUMIFS('NSE - Other Index Options'!$M:$M,'NSE - Other Index Options'!$C:$C,$A105,'NSE - Other Index Options'!$B:$B,C$4)=0,"",SUMIFS('NSE - NIFTY Index Options'!$M:$M,'NSE - NIFTY Index Options'!$C:$C,$A105,'NSE - NIFTY Index Options'!$B:$B,C$4)+SUMIFS('NSE - Other Index Options'!$M:$M,'NSE - Other Index Options'!$C:$C,$A105,'NSE - Other Index Options'!$B:$B,C$4))</f>
        <v/>
      </c>
      <c r="D105" s="26">
        <f>IF(SUMIFS('NSE - NIFTY Index Options'!$M:$M,'NSE - NIFTY Index Options'!$C:$C,$A105,'NSE - NIFTY Index Options'!$B:$B,D$4)+SUMIFS('NSE - Other Index Options'!$M:$M,'NSE - Other Index Options'!$C:$C,$A105,'NSE - Other Index Options'!$B:$B,D$4)=0,"",SUMIFS('NSE - NIFTY Index Options'!$M:$M,'NSE - NIFTY Index Options'!$C:$C,$A105,'NSE - NIFTY Index Options'!$B:$B,D$4)+SUMIFS('NSE - Other Index Options'!$M:$M,'NSE - Other Index Options'!$C:$C,$A105,'NSE - Other Index Options'!$B:$B,D$4))</f>
        <v/>
      </c>
      <c r="E105" s="26">
        <f>IF(SUMIFS('NSE - NIFTY Index Options'!$M:$M,'NSE - NIFTY Index Options'!$C:$C,$A105,'NSE - NIFTY Index Options'!$B:$B,E$4)+SUMIFS('NSE - Other Index Options'!$M:$M,'NSE - Other Index Options'!$C:$C,$A105,'NSE - Other Index Options'!$B:$B,E$4)=0,"",SUMIFS('NSE - NIFTY Index Options'!$M:$M,'NSE - NIFTY Index Options'!$C:$C,$A105,'NSE - NIFTY Index Options'!$B:$B,E$4)+SUMIFS('NSE - Other Index Options'!$M:$M,'NSE - Other Index Options'!$C:$C,$A105,'NSE - Other Index Options'!$B:$B,E$4))</f>
        <v/>
      </c>
      <c r="F105" s="26">
        <f>IF(SUMIFS('NSE - NIFTY Index Options'!$M:$M,'NSE - NIFTY Index Options'!$C:$C,$A105,'NSE - NIFTY Index Options'!$B:$B,F$4)+SUMIFS('NSE - Other Index Options'!$M:$M,'NSE - Other Index Options'!$C:$C,$A105,'NSE - Other Index Options'!$B:$B,F$4)=0,"",SUMIFS('NSE - NIFTY Index Options'!$M:$M,'NSE - NIFTY Index Options'!$C:$C,$A105,'NSE - NIFTY Index Options'!$B:$B,F$4)+SUMIFS('NSE - Other Index Options'!$M:$M,'NSE - Other Index Options'!$C:$C,$A105,'NSE - Other Index Options'!$B:$B,F$4))</f>
        <v/>
      </c>
      <c r="G105" s="26">
        <f>IF(SUMIFS('NSE - NIFTY Index Options'!$M:$M,'NSE - NIFTY Index Options'!$C:$C,$A105,'NSE - NIFTY Index Options'!$B:$B,G$4)+SUMIFS('NSE - Other Index Options'!$M:$M,'NSE - Other Index Options'!$C:$C,$A105,'NSE - Other Index Options'!$B:$B,G$4)=0,"",SUMIFS('NSE - NIFTY Index Options'!$M:$M,'NSE - NIFTY Index Options'!$C:$C,$A105,'NSE - NIFTY Index Options'!$B:$B,G$4)+SUMIFS('NSE - Other Index Options'!$M:$M,'NSE - Other Index Options'!$C:$C,$A105,'NSE - Other Index Options'!$B:$B,G$4))</f>
        <v/>
      </c>
      <c r="H105" s="26">
        <f>IF(SUM(B105:G105)=0,"",SUM(B105:G105))</f>
        <v/>
      </c>
    </row>
    <row r="106" hidden="1" outlineLevel="1">
      <c r="A106" t="inlineStr">
        <is>
          <t>Week4-May-2027</t>
        </is>
      </c>
      <c r="B106" s="26">
        <f>IF(SUMIFS('NSE - NIFTY Index Options'!$M:$M,'NSE - NIFTY Index Options'!$C:$C,$A106,'NSE - NIFTY Index Options'!$B:$B,B$4)+SUMIFS('NSE - Other Index Options'!$M:$M,'NSE - Other Index Options'!$C:$C,$A106,'NSE - Other Index Options'!$B:$B,B$4)=0,"",SUMIFS('NSE - NIFTY Index Options'!$M:$M,'NSE - NIFTY Index Options'!$C:$C,$A106,'NSE - NIFTY Index Options'!$B:$B,B$4)+SUMIFS('NSE - Other Index Options'!$M:$M,'NSE - Other Index Options'!$C:$C,$A106,'NSE - Other Index Options'!$B:$B,B$4))</f>
        <v/>
      </c>
      <c r="C106" s="26">
        <f>IF(SUMIFS('NSE - NIFTY Index Options'!$M:$M,'NSE - NIFTY Index Options'!$C:$C,$A106,'NSE - NIFTY Index Options'!$B:$B,C$4)+SUMIFS('NSE - Other Index Options'!$M:$M,'NSE - Other Index Options'!$C:$C,$A106,'NSE - Other Index Options'!$B:$B,C$4)=0,"",SUMIFS('NSE - NIFTY Index Options'!$M:$M,'NSE - NIFTY Index Options'!$C:$C,$A106,'NSE - NIFTY Index Options'!$B:$B,C$4)+SUMIFS('NSE - Other Index Options'!$M:$M,'NSE - Other Index Options'!$C:$C,$A106,'NSE - Other Index Options'!$B:$B,C$4))</f>
        <v/>
      </c>
      <c r="D106" s="26">
        <f>IF(SUMIFS('NSE - NIFTY Index Options'!$M:$M,'NSE - NIFTY Index Options'!$C:$C,$A106,'NSE - NIFTY Index Options'!$B:$B,D$4)+SUMIFS('NSE - Other Index Options'!$M:$M,'NSE - Other Index Options'!$C:$C,$A106,'NSE - Other Index Options'!$B:$B,D$4)=0,"",SUMIFS('NSE - NIFTY Index Options'!$M:$M,'NSE - NIFTY Index Options'!$C:$C,$A106,'NSE - NIFTY Index Options'!$B:$B,D$4)+SUMIFS('NSE - Other Index Options'!$M:$M,'NSE - Other Index Options'!$C:$C,$A106,'NSE - Other Index Options'!$B:$B,D$4))</f>
        <v/>
      </c>
      <c r="E106" s="26">
        <f>IF(SUMIFS('NSE - NIFTY Index Options'!$M:$M,'NSE - NIFTY Index Options'!$C:$C,$A106,'NSE - NIFTY Index Options'!$B:$B,E$4)+SUMIFS('NSE - Other Index Options'!$M:$M,'NSE - Other Index Options'!$C:$C,$A106,'NSE - Other Index Options'!$B:$B,E$4)=0,"",SUMIFS('NSE - NIFTY Index Options'!$M:$M,'NSE - NIFTY Index Options'!$C:$C,$A106,'NSE - NIFTY Index Options'!$B:$B,E$4)+SUMIFS('NSE - Other Index Options'!$M:$M,'NSE - Other Index Options'!$C:$C,$A106,'NSE - Other Index Options'!$B:$B,E$4))</f>
        <v/>
      </c>
      <c r="F106" s="26">
        <f>IF(SUMIFS('NSE - NIFTY Index Options'!$M:$M,'NSE - NIFTY Index Options'!$C:$C,$A106,'NSE - NIFTY Index Options'!$B:$B,F$4)+SUMIFS('NSE - Other Index Options'!$M:$M,'NSE - Other Index Options'!$C:$C,$A106,'NSE - Other Index Options'!$B:$B,F$4)=0,"",SUMIFS('NSE - NIFTY Index Options'!$M:$M,'NSE - NIFTY Index Options'!$C:$C,$A106,'NSE - NIFTY Index Options'!$B:$B,F$4)+SUMIFS('NSE - Other Index Options'!$M:$M,'NSE - Other Index Options'!$C:$C,$A106,'NSE - Other Index Options'!$B:$B,F$4))</f>
        <v/>
      </c>
      <c r="G106" s="26">
        <f>IF(SUMIFS('NSE - NIFTY Index Options'!$M:$M,'NSE - NIFTY Index Options'!$C:$C,$A106,'NSE - NIFTY Index Options'!$B:$B,G$4)+SUMIFS('NSE - Other Index Options'!$M:$M,'NSE - Other Index Options'!$C:$C,$A106,'NSE - Other Index Options'!$B:$B,G$4)=0,"",SUMIFS('NSE - NIFTY Index Options'!$M:$M,'NSE - NIFTY Index Options'!$C:$C,$A106,'NSE - NIFTY Index Options'!$B:$B,G$4)+SUMIFS('NSE - Other Index Options'!$M:$M,'NSE - Other Index Options'!$C:$C,$A106,'NSE - Other Index Options'!$B:$B,G$4))</f>
        <v/>
      </c>
      <c r="H106" s="26">
        <f>IF(SUM(B106:G106)=0,"",SUM(B106:G106))</f>
        <v/>
      </c>
    </row>
    <row r="107" hidden="1" outlineLevel="1">
      <c r="A107" t="inlineStr">
        <is>
          <t>Week5-May-2027</t>
        </is>
      </c>
      <c r="B107" s="26">
        <f>IF(SUMIFS('NSE - NIFTY Index Options'!$M:$M,'NSE - NIFTY Index Options'!$C:$C,$A107,'NSE - NIFTY Index Options'!$B:$B,B$4)+SUMIFS('NSE - Other Index Options'!$M:$M,'NSE - Other Index Options'!$C:$C,$A107,'NSE - Other Index Options'!$B:$B,B$4)=0,"",SUMIFS('NSE - NIFTY Index Options'!$M:$M,'NSE - NIFTY Index Options'!$C:$C,$A107,'NSE - NIFTY Index Options'!$B:$B,B$4)+SUMIFS('NSE - Other Index Options'!$M:$M,'NSE - Other Index Options'!$C:$C,$A107,'NSE - Other Index Options'!$B:$B,B$4))</f>
        <v/>
      </c>
      <c r="C107" s="26">
        <f>IF(SUMIFS('NSE - NIFTY Index Options'!$M:$M,'NSE - NIFTY Index Options'!$C:$C,$A107,'NSE - NIFTY Index Options'!$B:$B,C$4)+SUMIFS('NSE - Other Index Options'!$M:$M,'NSE - Other Index Options'!$C:$C,$A107,'NSE - Other Index Options'!$B:$B,C$4)=0,"",SUMIFS('NSE - NIFTY Index Options'!$M:$M,'NSE - NIFTY Index Options'!$C:$C,$A107,'NSE - NIFTY Index Options'!$B:$B,C$4)+SUMIFS('NSE - Other Index Options'!$M:$M,'NSE - Other Index Options'!$C:$C,$A107,'NSE - Other Index Options'!$B:$B,C$4))</f>
        <v/>
      </c>
      <c r="D107" s="26">
        <f>IF(SUMIFS('NSE - NIFTY Index Options'!$M:$M,'NSE - NIFTY Index Options'!$C:$C,$A107,'NSE - NIFTY Index Options'!$B:$B,D$4)+SUMIFS('NSE - Other Index Options'!$M:$M,'NSE - Other Index Options'!$C:$C,$A107,'NSE - Other Index Options'!$B:$B,D$4)=0,"",SUMIFS('NSE - NIFTY Index Options'!$M:$M,'NSE - NIFTY Index Options'!$C:$C,$A107,'NSE - NIFTY Index Options'!$B:$B,D$4)+SUMIFS('NSE - Other Index Options'!$M:$M,'NSE - Other Index Options'!$C:$C,$A107,'NSE - Other Index Options'!$B:$B,D$4))</f>
        <v/>
      </c>
      <c r="E107" s="26">
        <f>IF(SUMIFS('NSE - NIFTY Index Options'!$M:$M,'NSE - NIFTY Index Options'!$C:$C,$A107,'NSE - NIFTY Index Options'!$B:$B,E$4)+SUMIFS('NSE - Other Index Options'!$M:$M,'NSE - Other Index Options'!$C:$C,$A107,'NSE - Other Index Options'!$B:$B,E$4)=0,"",SUMIFS('NSE - NIFTY Index Options'!$M:$M,'NSE - NIFTY Index Options'!$C:$C,$A107,'NSE - NIFTY Index Options'!$B:$B,E$4)+SUMIFS('NSE - Other Index Options'!$M:$M,'NSE - Other Index Options'!$C:$C,$A107,'NSE - Other Index Options'!$B:$B,E$4))</f>
        <v/>
      </c>
      <c r="F107" s="26">
        <f>IF(SUMIFS('NSE - NIFTY Index Options'!$M:$M,'NSE - NIFTY Index Options'!$C:$C,$A107,'NSE - NIFTY Index Options'!$B:$B,F$4)+SUMIFS('NSE - Other Index Options'!$M:$M,'NSE - Other Index Options'!$C:$C,$A107,'NSE - Other Index Options'!$B:$B,F$4)=0,"",SUMIFS('NSE - NIFTY Index Options'!$M:$M,'NSE - NIFTY Index Options'!$C:$C,$A107,'NSE - NIFTY Index Options'!$B:$B,F$4)+SUMIFS('NSE - Other Index Options'!$M:$M,'NSE - Other Index Options'!$C:$C,$A107,'NSE - Other Index Options'!$B:$B,F$4))</f>
        <v/>
      </c>
      <c r="G107" s="26">
        <f>IF(SUMIFS('NSE - NIFTY Index Options'!$M:$M,'NSE - NIFTY Index Options'!$C:$C,$A107,'NSE - NIFTY Index Options'!$B:$B,G$4)+SUMIFS('NSE - Other Index Options'!$M:$M,'NSE - Other Index Options'!$C:$C,$A107,'NSE - Other Index Options'!$B:$B,G$4)=0,"",SUMIFS('NSE - NIFTY Index Options'!$M:$M,'NSE - NIFTY Index Options'!$C:$C,$A107,'NSE - NIFTY Index Options'!$B:$B,G$4)+SUMIFS('NSE - Other Index Options'!$M:$M,'NSE - Other Index Options'!$C:$C,$A107,'NSE - Other Index Options'!$B:$B,G$4))</f>
        <v/>
      </c>
      <c r="H107" s="26">
        <f>IF(SUM(B107:G107)=0,"",SUM(B107:G107))</f>
        <v/>
      </c>
    </row>
    <row r="108" hidden="1" outlineLevel="1">
      <c r="A108" t="inlineStr">
        <is>
          <t>Week1-Jun-2027</t>
        </is>
      </c>
      <c r="B108" s="26">
        <f>IF(SUMIFS('NSE - NIFTY Index Options'!$M:$M,'NSE - NIFTY Index Options'!$C:$C,$A108,'NSE - NIFTY Index Options'!$B:$B,B$4)+SUMIFS('NSE - Other Index Options'!$M:$M,'NSE - Other Index Options'!$C:$C,$A108,'NSE - Other Index Options'!$B:$B,B$4)=0,"",SUMIFS('NSE - NIFTY Index Options'!$M:$M,'NSE - NIFTY Index Options'!$C:$C,$A108,'NSE - NIFTY Index Options'!$B:$B,B$4)+SUMIFS('NSE - Other Index Options'!$M:$M,'NSE - Other Index Options'!$C:$C,$A108,'NSE - Other Index Options'!$B:$B,B$4))</f>
        <v/>
      </c>
      <c r="C108" s="26">
        <f>IF(SUMIFS('NSE - NIFTY Index Options'!$M:$M,'NSE - NIFTY Index Options'!$C:$C,$A108,'NSE - NIFTY Index Options'!$B:$B,C$4)+SUMIFS('NSE - Other Index Options'!$M:$M,'NSE - Other Index Options'!$C:$C,$A108,'NSE - Other Index Options'!$B:$B,C$4)=0,"",SUMIFS('NSE - NIFTY Index Options'!$M:$M,'NSE - NIFTY Index Options'!$C:$C,$A108,'NSE - NIFTY Index Options'!$B:$B,C$4)+SUMIFS('NSE - Other Index Options'!$M:$M,'NSE - Other Index Options'!$C:$C,$A108,'NSE - Other Index Options'!$B:$B,C$4))</f>
        <v/>
      </c>
      <c r="D108" s="26">
        <f>IF(SUMIFS('NSE - NIFTY Index Options'!$M:$M,'NSE - NIFTY Index Options'!$C:$C,$A108,'NSE - NIFTY Index Options'!$B:$B,D$4)+SUMIFS('NSE - Other Index Options'!$M:$M,'NSE - Other Index Options'!$C:$C,$A108,'NSE - Other Index Options'!$B:$B,D$4)=0,"",SUMIFS('NSE - NIFTY Index Options'!$M:$M,'NSE - NIFTY Index Options'!$C:$C,$A108,'NSE - NIFTY Index Options'!$B:$B,D$4)+SUMIFS('NSE - Other Index Options'!$M:$M,'NSE - Other Index Options'!$C:$C,$A108,'NSE - Other Index Options'!$B:$B,D$4))</f>
        <v/>
      </c>
      <c r="E108" s="26">
        <f>IF(SUMIFS('NSE - NIFTY Index Options'!$M:$M,'NSE - NIFTY Index Options'!$C:$C,$A108,'NSE - NIFTY Index Options'!$B:$B,E$4)+SUMIFS('NSE - Other Index Options'!$M:$M,'NSE - Other Index Options'!$C:$C,$A108,'NSE - Other Index Options'!$B:$B,E$4)=0,"",SUMIFS('NSE - NIFTY Index Options'!$M:$M,'NSE - NIFTY Index Options'!$C:$C,$A108,'NSE - NIFTY Index Options'!$B:$B,E$4)+SUMIFS('NSE - Other Index Options'!$M:$M,'NSE - Other Index Options'!$C:$C,$A108,'NSE - Other Index Options'!$B:$B,E$4))</f>
        <v/>
      </c>
      <c r="F108" s="26">
        <f>IF(SUMIFS('NSE - NIFTY Index Options'!$M:$M,'NSE - NIFTY Index Options'!$C:$C,$A108,'NSE - NIFTY Index Options'!$B:$B,F$4)+SUMIFS('NSE - Other Index Options'!$M:$M,'NSE - Other Index Options'!$C:$C,$A108,'NSE - Other Index Options'!$B:$B,F$4)=0,"",SUMIFS('NSE - NIFTY Index Options'!$M:$M,'NSE - NIFTY Index Options'!$C:$C,$A108,'NSE - NIFTY Index Options'!$B:$B,F$4)+SUMIFS('NSE - Other Index Options'!$M:$M,'NSE - Other Index Options'!$C:$C,$A108,'NSE - Other Index Options'!$B:$B,F$4))</f>
        <v/>
      </c>
      <c r="G108" s="26">
        <f>IF(SUMIFS('NSE - NIFTY Index Options'!$M:$M,'NSE - NIFTY Index Options'!$C:$C,$A108,'NSE - NIFTY Index Options'!$B:$B,G$4)+SUMIFS('NSE - Other Index Options'!$M:$M,'NSE - Other Index Options'!$C:$C,$A108,'NSE - Other Index Options'!$B:$B,G$4)=0,"",SUMIFS('NSE - NIFTY Index Options'!$M:$M,'NSE - NIFTY Index Options'!$C:$C,$A108,'NSE - NIFTY Index Options'!$B:$B,G$4)+SUMIFS('NSE - Other Index Options'!$M:$M,'NSE - Other Index Options'!$C:$C,$A108,'NSE - Other Index Options'!$B:$B,G$4))</f>
        <v/>
      </c>
      <c r="H108" s="26">
        <f>IF(SUM(B108:G108)=0,"",SUM(B108:G108))</f>
        <v/>
      </c>
    </row>
    <row r="109" hidden="1" outlineLevel="1">
      <c r="A109" t="inlineStr">
        <is>
          <t>Week2-Jun-2027</t>
        </is>
      </c>
      <c r="B109" s="26">
        <f>IF(SUMIFS('NSE - NIFTY Index Options'!$M:$M,'NSE - NIFTY Index Options'!$C:$C,$A109,'NSE - NIFTY Index Options'!$B:$B,B$4)+SUMIFS('NSE - Other Index Options'!$M:$M,'NSE - Other Index Options'!$C:$C,$A109,'NSE - Other Index Options'!$B:$B,B$4)=0,"",SUMIFS('NSE - NIFTY Index Options'!$M:$M,'NSE - NIFTY Index Options'!$C:$C,$A109,'NSE - NIFTY Index Options'!$B:$B,B$4)+SUMIFS('NSE - Other Index Options'!$M:$M,'NSE - Other Index Options'!$C:$C,$A109,'NSE - Other Index Options'!$B:$B,B$4))</f>
        <v/>
      </c>
      <c r="C109" s="26">
        <f>IF(SUMIFS('NSE - NIFTY Index Options'!$M:$M,'NSE - NIFTY Index Options'!$C:$C,$A109,'NSE - NIFTY Index Options'!$B:$B,C$4)+SUMIFS('NSE - Other Index Options'!$M:$M,'NSE - Other Index Options'!$C:$C,$A109,'NSE - Other Index Options'!$B:$B,C$4)=0,"",SUMIFS('NSE - NIFTY Index Options'!$M:$M,'NSE - NIFTY Index Options'!$C:$C,$A109,'NSE - NIFTY Index Options'!$B:$B,C$4)+SUMIFS('NSE - Other Index Options'!$M:$M,'NSE - Other Index Options'!$C:$C,$A109,'NSE - Other Index Options'!$B:$B,C$4))</f>
        <v/>
      </c>
      <c r="D109" s="26">
        <f>IF(SUMIFS('NSE - NIFTY Index Options'!$M:$M,'NSE - NIFTY Index Options'!$C:$C,$A109,'NSE - NIFTY Index Options'!$B:$B,D$4)+SUMIFS('NSE - Other Index Options'!$M:$M,'NSE - Other Index Options'!$C:$C,$A109,'NSE - Other Index Options'!$B:$B,D$4)=0,"",SUMIFS('NSE - NIFTY Index Options'!$M:$M,'NSE - NIFTY Index Options'!$C:$C,$A109,'NSE - NIFTY Index Options'!$B:$B,D$4)+SUMIFS('NSE - Other Index Options'!$M:$M,'NSE - Other Index Options'!$C:$C,$A109,'NSE - Other Index Options'!$B:$B,D$4))</f>
        <v/>
      </c>
      <c r="E109" s="26">
        <f>IF(SUMIFS('NSE - NIFTY Index Options'!$M:$M,'NSE - NIFTY Index Options'!$C:$C,$A109,'NSE - NIFTY Index Options'!$B:$B,E$4)+SUMIFS('NSE - Other Index Options'!$M:$M,'NSE - Other Index Options'!$C:$C,$A109,'NSE - Other Index Options'!$B:$B,E$4)=0,"",SUMIFS('NSE - NIFTY Index Options'!$M:$M,'NSE - NIFTY Index Options'!$C:$C,$A109,'NSE - NIFTY Index Options'!$B:$B,E$4)+SUMIFS('NSE - Other Index Options'!$M:$M,'NSE - Other Index Options'!$C:$C,$A109,'NSE - Other Index Options'!$B:$B,E$4))</f>
        <v/>
      </c>
      <c r="F109" s="26">
        <f>IF(SUMIFS('NSE - NIFTY Index Options'!$M:$M,'NSE - NIFTY Index Options'!$C:$C,$A109,'NSE - NIFTY Index Options'!$B:$B,F$4)+SUMIFS('NSE - Other Index Options'!$M:$M,'NSE - Other Index Options'!$C:$C,$A109,'NSE - Other Index Options'!$B:$B,F$4)=0,"",SUMIFS('NSE - NIFTY Index Options'!$M:$M,'NSE - NIFTY Index Options'!$C:$C,$A109,'NSE - NIFTY Index Options'!$B:$B,F$4)+SUMIFS('NSE - Other Index Options'!$M:$M,'NSE - Other Index Options'!$C:$C,$A109,'NSE - Other Index Options'!$B:$B,F$4))</f>
        <v/>
      </c>
      <c r="G109" s="26">
        <f>IF(SUMIFS('NSE - NIFTY Index Options'!$M:$M,'NSE - NIFTY Index Options'!$C:$C,$A109,'NSE - NIFTY Index Options'!$B:$B,G$4)+SUMIFS('NSE - Other Index Options'!$M:$M,'NSE - Other Index Options'!$C:$C,$A109,'NSE - Other Index Options'!$B:$B,G$4)=0,"",SUMIFS('NSE - NIFTY Index Options'!$M:$M,'NSE - NIFTY Index Options'!$C:$C,$A109,'NSE - NIFTY Index Options'!$B:$B,G$4)+SUMIFS('NSE - Other Index Options'!$M:$M,'NSE - Other Index Options'!$C:$C,$A109,'NSE - Other Index Options'!$B:$B,G$4))</f>
        <v/>
      </c>
      <c r="H109" s="26">
        <f>IF(SUM(B109:G109)=0,"",SUM(B109:G109))</f>
        <v/>
      </c>
    </row>
    <row r="110" hidden="1" outlineLevel="1">
      <c r="A110" t="inlineStr">
        <is>
          <t>Week3-Jun-2027</t>
        </is>
      </c>
      <c r="B110" s="26">
        <f>IF(SUMIFS('NSE - NIFTY Index Options'!$M:$M,'NSE - NIFTY Index Options'!$C:$C,$A110,'NSE - NIFTY Index Options'!$B:$B,B$4)+SUMIFS('NSE - Other Index Options'!$M:$M,'NSE - Other Index Options'!$C:$C,$A110,'NSE - Other Index Options'!$B:$B,B$4)=0,"",SUMIFS('NSE - NIFTY Index Options'!$M:$M,'NSE - NIFTY Index Options'!$C:$C,$A110,'NSE - NIFTY Index Options'!$B:$B,B$4)+SUMIFS('NSE - Other Index Options'!$M:$M,'NSE - Other Index Options'!$C:$C,$A110,'NSE - Other Index Options'!$B:$B,B$4))</f>
        <v/>
      </c>
      <c r="C110" s="26">
        <f>IF(SUMIFS('NSE - NIFTY Index Options'!$M:$M,'NSE - NIFTY Index Options'!$C:$C,$A110,'NSE - NIFTY Index Options'!$B:$B,C$4)+SUMIFS('NSE - Other Index Options'!$M:$M,'NSE - Other Index Options'!$C:$C,$A110,'NSE - Other Index Options'!$B:$B,C$4)=0,"",SUMIFS('NSE - NIFTY Index Options'!$M:$M,'NSE - NIFTY Index Options'!$C:$C,$A110,'NSE - NIFTY Index Options'!$B:$B,C$4)+SUMIFS('NSE - Other Index Options'!$M:$M,'NSE - Other Index Options'!$C:$C,$A110,'NSE - Other Index Options'!$B:$B,C$4))</f>
        <v/>
      </c>
      <c r="D110" s="26">
        <f>IF(SUMIFS('NSE - NIFTY Index Options'!$M:$M,'NSE - NIFTY Index Options'!$C:$C,$A110,'NSE - NIFTY Index Options'!$B:$B,D$4)+SUMIFS('NSE - Other Index Options'!$M:$M,'NSE - Other Index Options'!$C:$C,$A110,'NSE - Other Index Options'!$B:$B,D$4)=0,"",SUMIFS('NSE - NIFTY Index Options'!$M:$M,'NSE - NIFTY Index Options'!$C:$C,$A110,'NSE - NIFTY Index Options'!$B:$B,D$4)+SUMIFS('NSE - Other Index Options'!$M:$M,'NSE - Other Index Options'!$C:$C,$A110,'NSE - Other Index Options'!$B:$B,D$4))</f>
        <v/>
      </c>
      <c r="E110" s="26">
        <f>IF(SUMIFS('NSE - NIFTY Index Options'!$M:$M,'NSE - NIFTY Index Options'!$C:$C,$A110,'NSE - NIFTY Index Options'!$B:$B,E$4)+SUMIFS('NSE - Other Index Options'!$M:$M,'NSE - Other Index Options'!$C:$C,$A110,'NSE - Other Index Options'!$B:$B,E$4)=0,"",SUMIFS('NSE - NIFTY Index Options'!$M:$M,'NSE - NIFTY Index Options'!$C:$C,$A110,'NSE - NIFTY Index Options'!$B:$B,E$4)+SUMIFS('NSE - Other Index Options'!$M:$M,'NSE - Other Index Options'!$C:$C,$A110,'NSE - Other Index Options'!$B:$B,E$4))</f>
        <v/>
      </c>
      <c r="F110" s="26">
        <f>IF(SUMIFS('NSE - NIFTY Index Options'!$M:$M,'NSE - NIFTY Index Options'!$C:$C,$A110,'NSE - NIFTY Index Options'!$B:$B,F$4)+SUMIFS('NSE - Other Index Options'!$M:$M,'NSE - Other Index Options'!$C:$C,$A110,'NSE - Other Index Options'!$B:$B,F$4)=0,"",SUMIFS('NSE - NIFTY Index Options'!$M:$M,'NSE - NIFTY Index Options'!$C:$C,$A110,'NSE - NIFTY Index Options'!$B:$B,F$4)+SUMIFS('NSE - Other Index Options'!$M:$M,'NSE - Other Index Options'!$C:$C,$A110,'NSE - Other Index Options'!$B:$B,F$4))</f>
        <v/>
      </c>
      <c r="G110" s="26">
        <f>IF(SUMIFS('NSE - NIFTY Index Options'!$M:$M,'NSE - NIFTY Index Options'!$C:$C,$A110,'NSE - NIFTY Index Options'!$B:$B,G$4)+SUMIFS('NSE - Other Index Options'!$M:$M,'NSE - Other Index Options'!$C:$C,$A110,'NSE - Other Index Options'!$B:$B,G$4)=0,"",SUMIFS('NSE - NIFTY Index Options'!$M:$M,'NSE - NIFTY Index Options'!$C:$C,$A110,'NSE - NIFTY Index Options'!$B:$B,G$4)+SUMIFS('NSE - Other Index Options'!$M:$M,'NSE - Other Index Options'!$C:$C,$A110,'NSE - Other Index Options'!$B:$B,G$4))</f>
        <v/>
      </c>
      <c r="H110" s="26">
        <f>IF(SUM(B110:G110)=0,"",SUM(B110:G110))</f>
        <v/>
      </c>
    </row>
    <row r="111" hidden="1" outlineLevel="1">
      <c r="A111" t="inlineStr">
        <is>
          <t>Week4-Jun-2027</t>
        </is>
      </c>
      <c r="B111" s="26">
        <f>IF(SUMIFS('NSE - NIFTY Index Options'!$M:$M,'NSE - NIFTY Index Options'!$C:$C,$A111,'NSE - NIFTY Index Options'!$B:$B,B$4)+SUMIFS('NSE - Other Index Options'!$M:$M,'NSE - Other Index Options'!$C:$C,$A111,'NSE - Other Index Options'!$B:$B,B$4)=0,"",SUMIFS('NSE - NIFTY Index Options'!$M:$M,'NSE - NIFTY Index Options'!$C:$C,$A111,'NSE - NIFTY Index Options'!$B:$B,B$4)+SUMIFS('NSE - Other Index Options'!$M:$M,'NSE - Other Index Options'!$C:$C,$A111,'NSE - Other Index Options'!$B:$B,B$4))</f>
        <v/>
      </c>
      <c r="C111" s="26">
        <f>IF(SUMIFS('NSE - NIFTY Index Options'!$M:$M,'NSE - NIFTY Index Options'!$C:$C,$A111,'NSE - NIFTY Index Options'!$B:$B,C$4)+SUMIFS('NSE - Other Index Options'!$M:$M,'NSE - Other Index Options'!$C:$C,$A111,'NSE - Other Index Options'!$B:$B,C$4)=0,"",SUMIFS('NSE - NIFTY Index Options'!$M:$M,'NSE - NIFTY Index Options'!$C:$C,$A111,'NSE - NIFTY Index Options'!$B:$B,C$4)+SUMIFS('NSE - Other Index Options'!$M:$M,'NSE - Other Index Options'!$C:$C,$A111,'NSE - Other Index Options'!$B:$B,C$4))</f>
        <v/>
      </c>
      <c r="D111" s="26">
        <f>IF(SUMIFS('NSE - NIFTY Index Options'!$M:$M,'NSE - NIFTY Index Options'!$C:$C,$A111,'NSE - NIFTY Index Options'!$B:$B,D$4)+SUMIFS('NSE - Other Index Options'!$M:$M,'NSE - Other Index Options'!$C:$C,$A111,'NSE - Other Index Options'!$B:$B,D$4)=0,"",SUMIFS('NSE - NIFTY Index Options'!$M:$M,'NSE - NIFTY Index Options'!$C:$C,$A111,'NSE - NIFTY Index Options'!$B:$B,D$4)+SUMIFS('NSE - Other Index Options'!$M:$M,'NSE - Other Index Options'!$C:$C,$A111,'NSE - Other Index Options'!$B:$B,D$4))</f>
        <v/>
      </c>
      <c r="E111" s="26">
        <f>IF(SUMIFS('NSE - NIFTY Index Options'!$M:$M,'NSE - NIFTY Index Options'!$C:$C,$A111,'NSE - NIFTY Index Options'!$B:$B,E$4)+SUMIFS('NSE - Other Index Options'!$M:$M,'NSE - Other Index Options'!$C:$C,$A111,'NSE - Other Index Options'!$B:$B,E$4)=0,"",SUMIFS('NSE - NIFTY Index Options'!$M:$M,'NSE - NIFTY Index Options'!$C:$C,$A111,'NSE - NIFTY Index Options'!$B:$B,E$4)+SUMIFS('NSE - Other Index Options'!$M:$M,'NSE - Other Index Options'!$C:$C,$A111,'NSE - Other Index Options'!$B:$B,E$4))</f>
        <v/>
      </c>
      <c r="F111" s="26">
        <f>IF(SUMIFS('NSE - NIFTY Index Options'!$M:$M,'NSE - NIFTY Index Options'!$C:$C,$A111,'NSE - NIFTY Index Options'!$B:$B,F$4)+SUMIFS('NSE - Other Index Options'!$M:$M,'NSE - Other Index Options'!$C:$C,$A111,'NSE - Other Index Options'!$B:$B,F$4)=0,"",SUMIFS('NSE - NIFTY Index Options'!$M:$M,'NSE - NIFTY Index Options'!$C:$C,$A111,'NSE - NIFTY Index Options'!$B:$B,F$4)+SUMIFS('NSE - Other Index Options'!$M:$M,'NSE - Other Index Options'!$C:$C,$A111,'NSE - Other Index Options'!$B:$B,F$4))</f>
        <v/>
      </c>
      <c r="G111" s="26">
        <f>IF(SUMIFS('NSE - NIFTY Index Options'!$M:$M,'NSE - NIFTY Index Options'!$C:$C,$A111,'NSE - NIFTY Index Options'!$B:$B,G$4)+SUMIFS('NSE - Other Index Options'!$M:$M,'NSE - Other Index Options'!$C:$C,$A111,'NSE - Other Index Options'!$B:$B,G$4)=0,"",SUMIFS('NSE - NIFTY Index Options'!$M:$M,'NSE - NIFTY Index Options'!$C:$C,$A111,'NSE - NIFTY Index Options'!$B:$B,G$4)+SUMIFS('NSE - Other Index Options'!$M:$M,'NSE - Other Index Options'!$C:$C,$A111,'NSE - Other Index Options'!$B:$B,G$4))</f>
        <v/>
      </c>
      <c r="H111" s="26">
        <f>IF(SUM(B111:G111)=0,"",SUM(B111:G111))</f>
        <v/>
      </c>
    </row>
    <row r="112" hidden="1" outlineLevel="1">
      <c r="A112" t="inlineStr">
        <is>
          <t>Week5-Jun-2027</t>
        </is>
      </c>
      <c r="B112" s="26">
        <f>IF(SUMIFS('NSE - NIFTY Index Options'!$M:$M,'NSE - NIFTY Index Options'!$C:$C,$A112,'NSE - NIFTY Index Options'!$B:$B,B$4)+SUMIFS('NSE - Other Index Options'!$M:$M,'NSE - Other Index Options'!$C:$C,$A112,'NSE - Other Index Options'!$B:$B,B$4)=0,"",SUMIFS('NSE - NIFTY Index Options'!$M:$M,'NSE - NIFTY Index Options'!$C:$C,$A112,'NSE - NIFTY Index Options'!$B:$B,B$4)+SUMIFS('NSE - Other Index Options'!$M:$M,'NSE - Other Index Options'!$C:$C,$A112,'NSE - Other Index Options'!$B:$B,B$4))</f>
        <v/>
      </c>
      <c r="C112" s="26">
        <f>IF(SUMIFS('NSE - NIFTY Index Options'!$M:$M,'NSE - NIFTY Index Options'!$C:$C,$A112,'NSE - NIFTY Index Options'!$B:$B,C$4)+SUMIFS('NSE - Other Index Options'!$M:$M,'NSE - Other Index Options'!$C:$C,$A112,'NSE - Other Index Options'!$B:$B,C$4)=0,"",SUMIFS('NSE - NIFTY Index Options'!$M:$M,'NSE - NIFTY Index Options'!$C:$C,$A112,'NSE - NIFTY Index Options'!$B:$B,C$4)+SUMIFS('NSE - Other Index Options'!$M:$M,'NSE - Other Index Options'!$C:$C,$A112,'NSE - Other Index Options'!$B:$B,C$4))</f>
        <v/>
      </c>
      <c r="D112" s="26">
        <f>IF(SUMIFS('NSE - NIFTY Index Options'!$M:$M,'NSE - NIFTY Index Options'!$C:$C,$A112,'NSE - NIFTY Index Options'!$B:$B,D$4)+SUMIFS('NSE - Other Index Options'!$M:$M,'NSE - Other Index Options'!$C:$C,$A112,'NSE - Other Index Options'!$B:$B,D$4)=0,"",SUMIFS('NSE - NIFTY Index Options'!$M:$M,'NSE - NIFTY Index Options'!$C:$C,$A112,'NSE - NIFTY Index Options'!$B:$B,D$4)+SUMIFS('NSE - Other Index Options'!$M:$M,'NSE - Other Index Options'!$C:$C,$A112,'NSE - Other Index Options'!$B:$B,D$4))</f>
        <v/>
      </c>
      <c r="E112" s="26">
        <f>IF(SUMIFS('NSE - NIFTY Index Options'!$M:$M,'NSE - NIFTY Index Options'!$C:$C,$A112,'NSE - NIFTY Index Options'!$B:$B,E$4)+SUMIFS('NSE - Other Index Options'!$M:$M,'NSE - Other Index Options'!$C:$C,$A112,'NSE - Other Index Options'!$B:$B,E$4)=0,"",SUMIFS('NSE - NIFTY Index Options'!$M:$M,'NSE - NIFTY Index Options'!$C:$C,$A112,'NSE - NIFTY Index Options'!$B:$B,E$4)+SUMIFS('NSE - Other Index Options'!$M:$M,'NSE - Other Index Options'!$C:$C,$A112,'NSE - Other Index Options'!$B:$B,E$4))</f>
        <v/>
      </c>
      <c r="F112" s="26">
        <f>IF(SUMIFS('NSE - NIFTY Index Options'!$M:$M,'NSE - NIFTY Index Options'!$C:$C,$A112,'NSE - NIFTY Index Options'!$B:$B,F$4)+SUMIFS('NSE - Other Index Options'!$M:$M,'NSE - Other Index Options'!$C:$C,$A112,'NSE - Other Index Options'!$B:$B,F$4)=0,"",SUMIFS('NSE - NIFTY Index Options'!$M:$M,'NSE - NIFTY Index Options'!$C:$C,$A112,'NSE - NIFTY Index Options'!$B:$B,F$4)+SUMIFS('NSE - Other Index Options'!$M:$M,'NSE - Other Index Options'!$C:$C,$A112,'NSE - Other Index Options'!$B:$B,F$4))</f>
        <v/>
      </c>
      <c r="G112" s="26">
        <f>IF(SUMIFS('NSE - NIFTY Index Options'!$M:$M,'NSE - NIFTY Index Options'!$C:$C,$A112,'NSE - NIFTY Index Options'!$B:$B,G$4)+SUMIFS('NSE - Other Index Options'!$M:$M,'NSE - Other Index Options'!$C:$C,$A112,'NSE - Other Index Options'!$B:$B,G$4)=0,"",SUMIFS('NSE - NIFTY Index Options'!$M:$M,'NSE - NIFTY Index Options'!$C:$C,$A112,'NSE - NIFTY Index Options'!$B:$B,G$4)+SUMIFS('NSE - Other Index Options'!$M:$M,'NSE - Other Index Options'!$C:$C,$A112,'NSE - Other Index Options'!$B:$B,G$4))</f>
        <v/>
      </c>
      <c r="H112" s="26">
        <f>IF(SUM(B112:G112)=0,"",SUM(B112:G112))</f>
        <v/>
      </c>
    </row>
    <row r="113" hidden="1" outlineLevel="1">
      <c r="A113" t="inlineStr">
        <is>
          <t>Week1-Jul-2027</t>
        </is>
      </c>
      <c r="B113" s="26">
        <f>IF(SUMIFS('NSE - NIFTY Index Options'!$M:$M,'NSE - NIFTY Index Options'!$C:$C,$A113,'NSE - NIFTY Index Options'!$B:$B,B$4)+SUMIFS('NSE - Other Index Options'!$M:$M,'NSE - Other Index Options'!$C:$C,$A113,'NSE - Other Index Options'!$B:$B,B$4)=0,"",SUMIFS('NSE - NIFTY Index Options'!$M:$M,'NSE - NIFTY Index Options'!$C:$C,$A113,'NSE - NIFTY Index Options'!$B:$B,B$4)+SUMIFS('NSE - Other Index Options'!$M:$M,'NSE - Other Index Options'!$C:$C,$A113,'NSE - Other Index Options'!$B:$B,B$4))</f>
        <v/>
      </c>
      <c r="C113" s="26">
        <f>IF(SUMIFS('NSE - NIFTY Index Options'!$M:$M,'NSE - NIFTY Index Options'!$C:$C,$A113,'NSE - NIFTY Index Options'!$B:$B,C$4)+SUMIFS('NSE - Other Index Options'!$M:$M,'NSE - Other Index Options'!$C:$C,$A113,'NSE - Other Index Options'!$B:$B,C$4)=0,"",SUMIFS('NSE - NIFTY Index Options'!$M:$M,'NSE - NIFTY Index Options'!$C:$C,$A113,'NSE - NIFTY Index Options'!$B:$B,C$4)+SUMIFS('NSE - Other Index Options'!$M:$M,'NSE - Other Index Options'!$C:$C,$A113,'NSE - Other Index Options'!$B:$B,C$4))</f>
        <v/>
      </c>
      <c r="D113" s="26">
        <f>IF(SUMIFS('NSE - NIFTY Index Options'!$M:$M,'NSE - NIFTY Index Options'!$C:$C,$A113,'NSE - NIFTY Index Options'!$B:$B,D$4)+SUMIFS('NSE - Other Index Options'!$M:$M,'NSE - Other Index Options'!$C:$C,$A113,'NSE - Other Index Options'!$B:$B,D$4)=0,"",SUMIFS('NSE - NIFTY Index Options'!$M:$M,'NSE - NIFTY Index Options'!$C:$C,$A113,'NSE - NIFTY Index Options'!$B:$B,D$4)+SUMIFS('NSE - Other Index Options'!$M:$M,'NSE - Other Index Options'!$C:$C,$A113,'NSE - Other Index Options'!$B:$B,D$4))</f>
        <v/>
      </c>
      <c r="E113" s="26">
        <f>IF(SUMIFS('NSE - NIFTY Index Options'!$M:$M,'NSE - NIFTY Index Options'!$C:$C,$A113,'NSE - NIFTY Index Options'!$B:$B,E$4)+SUMIFS('NSE - Other Index Options'!$M:$M,'NSE - Other Index Options'!$C:$C,$A113,'NSE - Other Index Options'!$B:$B,E$4)=0,"",SUMIFS('NSE - NIFTY Index Options'!$M:$M,'NSE - NIFTY Index Options'!$C:$C,$A113,'NSE - NIFTY Index Options'!$B:$B,E$4)+SUMIFS('NSE - Other Index Options'!$M:$M,'NSE - Other Index Options'!$C:$C,$A113,'NSE - Other Index Options'!$B:$B,E$4))</f>
        <v/>
      </c>
      <c r="F113" s="26">
        <f>IF(SUMIFS('NSE - NIFTY Index Options'!$M:$M,'NSE - NIFTY Index Options'!$C:$C,$A113,'NSE - NIFTY Index Options'!$B:$B,F$4)+SUMIFS('NSE - Other Index Options'!$M:$M,'NSE - Other Index Options'!$C:$C,$A113,'NSE - Other Index Options'!$B:$B,F$4)=0,"",SUMIFS('NSE - NIFTY Index Options'!$M:$M,'NSE - NIFTY Index Options'!$C:$C,$A113,'NSE - NIFTY Index Options'!$B:$B,F$4)+SUMIFS('NSE - Other Index Options'!$M:$M,'NSE - Other Index Options'!$C:$C,$A113,'NSE - Other Index Options'!$B:$B,F$4))</f>
        <v/>
      </c>
      <c r="G113" s="26">
        <f>IF(SUMIFS('NSE - NIFTY Index Options'!$M:$M,'NSE - NIFTY Index Options'!$C:$C,$A113,'NSE - NIFTY Index Options'!$B:$B,G$4)+SUMIFS('NSE - Other Index Options'!$M:$M,'NSE - Other Index Options'!$C:$C,$A113,'NSE - Other Index Options'!$B:$B,G$4)=0,"",SUMIFS('NSE - NIFTY Index Options'!$M:$M,'NSE - NIFTY Index Options'!$C:$C,$A113,'NSE - NIFTY Index Options'!$B:$B,G$4)+SUMIFS('NSE - Other Index Options'!$M:$M,'NSE - Other Index Options'!$C:$C,$A113,'NSE - Other Index Options'!$B:$B,G$4))</f>
        <v/>
      </c>
      <c r="H113" s="26">
        <f>IF(SUM(B113:G113)=0,"",SUM(B113:G113))</f>
        <v/>
      </c>
    </row>
    <row r="114" hidden="1" outlineLevel="1">
      <c r="A114" t="inlineStr">
        <is>
          <t>Week2-Jul-2027</t>
        </is>
      </c>
      <c r="B114" s="26">
        <f>IF(SUMIFS('NSE - NIFTY Index Options'!$M:$M,'NSE - NIFTY Index Options'!$C:$C,$A114,'NSE - NIFTY Index Options'!$B:$B,B$4)+SUMIFS('NSE - Other Index Options'!$M:$M,'NSE - Other Index Options'!$C:$C,$A114,'NSE - Other Index Options'!$B:$B,B$4)=0,"",SUMIFS('NSE - NIFTY Index Options'!$M:$M,'NSE - NIFTY Index Options'!$C:$C,$A114,'NSE - NIFTY Index Options'!$B:$B,B$4)+SUMIFS('NSE - Other Index Options'!$M:$M,'NSE - Other Index Options'!$C:$C,$A114,'NSE - Other Index Options'!$B:$B,B$4))</f>
        <v/>
      </c>
      <c r="C114" s="26">
        <f>IF(SUMIFS('NSE - NIFTY Index Options'!$M:$M,'NSE - NIFTY Index Options'!$C:$C,$A114,'NSE - NIFTY Index Options'!$B:$B,C$4)+SUMIFS('NSE - Other Index Options'!$M:$M,'NSE - Other Index Options'!$C:$C,$A114,'NSE - Other Index Options'!$B:$B,C$4)=0,"",SUMIFS('NSE - NIFTY Index Options'!$M:$M,'NSE - NIFTY Index Options'!$C:$C,$A114,'NSE - NIFTY Index Options'!$B:$B,C$4)+SUMIFS('NSE - Other Index Options'!$M:$M,'NSE - Other Index Options'!$C:$C,$A114,'NSE - Other Index Options'!$B:$B,C$4))</f>
        <v/>
      </c>
      <c r="D114" s="26">
        <f>IF(SUMIFS('NSE - NIFTY Index Options'!$M:$M,'NSE - NIFTY Index Options'!$C:$C,$A114,'NSE - NIFTY Index Options'!$B:$B,D$4)+SUMIFS('NSE - Other Index Options'!$M:$M,'NSE - Other Index Options'!$C:$C,$A114,'NSE - Other Index Options'!$B:$B,D$4)=0,"",SUMIFS('NSE - NIFTY Index Options'!$M:$M,'NSE - NIFTY Index Options'!$C:$C,$A114,'NSE - NIFTY Index Options'!$B:$B,D$4)+SUMIFS('NSE - Other Index Options'!$M:$M,'NSE - Other Index Options'!$C:$C,$A114,'NSE - Other Index Options'!$B:$B,D$4))</f>
        <v/>
      </c>
      <c r="E114" s="26">
        <f>IF(SUMIFS('NSE - NIFTY Index Options'!$M:$M,'NSE - NIFTY Index Options'!$C:$C,$A114,'NSE - NIFTY Index Options'!$B:$B,E$4)+SUMIFS('NSE - Other Index Options'!$M:$M,'NSE - Other Index Options'!$C:$C,$A114,'NSE - Other Index Options'!$B:$B,E$4)=0,"",SUMIFS('NSE - NIFTY Index Options'!$M:$M,'NSE - NIFTY Index Options'!$C:$C,$A114,'NSE - NIFTY Index Options'!$B:$B,E$4)+SUMIFS('NSE - Other Index Options'!$M:$M,'NSE - Other Index Options'!$C:$C,$A114,'NSE - Other Index Options'!$B:$B,E$4))</f>
        <v/>
      </c>
      <c r="F114" s="26">
        <f>IF(SUMIFS('NSE - NIFTY Index Options'!$M:$M,'NSE - NIFTY Index Options'!$C:$C,$A114,'NSE - NIFTY Index Options'!$B:$B,F$4)+SUMIFS('NSE - Other Index Options'!$M:$M,'NSE - Other Index Options'!$C:$C,$A114,'NSE - Other Index Options'!$B:$B,F$4)=0,"",SUMIFS('NSE - NIFTY Index Options'!$M:$M,'NSE - NIFTY Index Options'!$C:$C,$A114,'NSE - NIFTY Index Options'!$B:$B,F$4)+SUMIFS('NSE - Other Index Options'!$M:$M,'NSE - Other Index Options'!$C:$C,$A114,'NSE - Other Index Options'!$B:$B,F$4))</f>
        <v/>
      </c>
      <c r="G114" s="26">
        <f>IF(SUMIFS('NSE - NIFTY Index Options'!$M:$M,'NSE - NIFTY Index Options'!$C:$C,$A114,'NSE - NIFTY Index Options'!$B:$B,G$4)+SUMIFS('NSE - Other Index Options'!$M:$M,'NSE - Other Index Options'!$C:$C,$A114,'NSE - Other Index Options'!$B:$B,G$4)=0,"",SUMIFS('NSE - NIFTY Index Options'!$M:$M,'NSE - NIFTY Index Options'!$C:$C,$A114,'NSE - NIFTY Index Options'!$B:$B,G$4)+SUMIFS('NSE - Other Index Options'!$M:$M,'NSE - Other Index Options'!$C:$C,$A114,'NSE - Other Index Options'!$B:$B,G$4))</f>
        <v/>
      </c>
      <c r="H114" s="26">
        <f>IF(SUM(B114:G114)=0,"",SUM(B114:G114))</f>
        <v/>
      </c>
    </row>
    <row r="115" hidden="1" outlineLevel="1">
      <c r="A115" t="inlineStr">
        <is>
          <t>Week3-Jul-2027</t>
        </is>
      </c>
      <c r="B115" s="26">
        <f>IF(SUMIFS('NSE - NIFTY Index Options'!$M:$M,'NSE - NIFTY Index Options'!$C:$C,$A115,'NSE - NIFTY Index Options'!$B:$B,B$4)+SUMIFS('NSE - Other Index Options'!$M:$M,'NSE - Other Index Options'!$C:$C,$A115,'NSE - Other Index Options'!$B:$B,B$4)=0,"",SUMIFS('NSE - NIFTY Index Options'!$M:$M,'NSE - NIFTY Index Options'!$C:$C,$A115,'NSE - NIFTY Index Options'!$B:$B,B$4)+SUMIFS('NSE - Other Index Options'!$M:$M,'NSE - Other Index Options'!$C:$C,$A115,'NSE - Other Index Options'!$B:$B,B$4))</f>
        <v/>
      </c>
      <c r="C115" s="26">
        <f>IF(SUMIFS('NSE - NIFTY Index Options'!$M:$M,'NSE - NIFTY Index Options'!$C:$C,$A115,'NSE - NIFTY Index Options'!$B:$B,C$4)+SUMIFS('NSE - Other Index Options'!$M:$M,'NSE - Other Index Options'!$C:$C,$A115,'NSE - Other Index Options'!$B:$B,C$4)=0,"",SUMIFS('NSE - NIFTY Index Options'!$M:$M,'NSE - NIFTY Index Options'!$C:$C,$A115,'NSE - NIFTY Index Options'!$B:$B,C$4)+SUMIFS('NSE - Other Index Options'!$M:$M,'NSE - Other Index Options'!$C:$C,$A115,'NSE - Other Index Options'!$B:$B,C$4))</f>
        <v/>
      </c>
      <c r="D115" s="26">
        <f>IF(SUMIFS('NSE - NIFTY Index Options'!$M:$M,'NSE - NIFTY Index Options'!$C:$C,$A115,'NSE - NIFTY Index Options'!$B:$B,D$4)+SUMIFS('NSE - Other Index Options'!$M:$M,'NSE - Other Index Options'!$C:$C,$A115,'NSE - Other Index Options'!$B:$B,D$4)=0,"",SUMIFS('NSE - NIFTY Index Options'!$M:$M,'NSE - NIFTY Index Options'!$C:$C,$A115,'NSE - NIFTY Index Options'!$B:$B,D$4)+SUMIFS('NSE - Other Index Options'!$M:$M,'NSE - Other Index Options'!$C:$C,$A115,'NSE - Other Index Options'!$B:$B,D$4))</f>
        <v/>
      </c>
      <c r="E115" s="26">
        <f>IF(SUMIFS('NSE - NIFTY Index Options'!$M:$M,'NSE - NIFTY Index Options'!$C:$C,$A115,'NSE - NIFTY Index Options'!$B:$B,E$4)+SUMIFS('NSE - Other Index Options'!$M:$M,'NSE - Other Index Options'!$C:$C,$A115,'NSE - Other Index Options'!$B:$B,E$4)=0,"",SUMIFS('NSE - NIFTY Index Options'!$M:$M,'NSE - NIFTY Index Options'!$C:$C,$A115,'NSE - NIFTY Index Options'!$B:$B,E$4)+SUMIFS('NSE - Other Index Options'!$M:$M,'NSE - Other Index Options'!$C:$C,$A115,'NSE - Other Index Options'!$B:$B,E$4))</f>
        <v/>
      </c>
      <c r="F115" s="26">
        <f>IF(SUMIFS('NSE - NIFTY Index Options'!$M:$M,'NSE - NIFTY Index Options'!$C:$C,$A115,'NSE - NIFTY Index Options'!$B:$B,F$4)+SUMIFS('NSE - Other Index Options'!$M:$M,'NSE - Other Index Options'!$C:$C,$A115,'NSE - Other Index Options'!$B:$B,F$4)=0,"",SUMIFS('NSE - NIFTY Index Options'!$M:$M,'NSE - NIFTY Index Options'!$C:$C,$A115,'NSE - NIFTY Index Options'!$B:$B,F$4)+SUMIFS('NSE - Other Index Options'!$M:$M,'NSE - Other Index Options'!$C:$C,$A115,'NSE - Other Index Options'!$B:$B,F$4))</f>
        <v/>
      </c>
      <c r="G115" s="26">
        <f>IF(SUMIFS('NSE - NIFTY Index Options'!$M:$M,'NSE - NIFTY Index Options'!$C:$C,$A115,'NSE - NIFTY Index Options'!$B:$B,G$4)+SUMIFS('NSE - Other Index Options'!$M:$M,'NSE - Other Index Options'!$C:$C,$A115,'NSE - Other Index Options'!$B:$B,G$4)=0,"",SUMIFS('NSE - NIFTY Index Options'!$M:$M,'NSE - NIFTY Index Options'!$C:$C,$A115,'NSE - NIFTY Index Options'!$B:$B,G$4)+SUMIFS('NSE - Other Index Options'!$M:$M,'NSE - Other Index Options'!$C:$C,$A115,'NSE - Other Index Options'!$B:$B,G$4))</f>
        <v/>
      </c>
      <c r="H115" s="26">
        <f>IF(SUM(B115:G115)=0,"",SUM(B115:G115))</f>
        <v/>
      </c>
    </row>
    <row r="116" hidden="1" outlineLevel="1">
      <c r="A116" t="inlineStr">
        <is>
          <t>Week4-Jul-2027</t>
        </is>
      </c>
      <c r="B116" s="26">
        <f>IF(SUMIFS('NSE - NIFTY Index Options'!$M:$M,'NSE - NIFTY Index Options'!$C:$C,$A116,'NSE - NIFTY Index Options'!$B:$B,B$4)+SUMIFS('NSE - Other Index Options'!$M:$M,'NSE - Other Index Options'!$C:$C,$A116,'NSE - Other Index Options'!$B:$B,B$4)=0,"",SUMIFS('NSE - NIFTY Index Options'!$M:$M,'NSE - NIFTY Index Options'!$C:$C,$A116,'NSE - NIFTY Index Options'!$B:$B,B$4)+SUMIFS('NSE - Other Index Options'!$M:$M,'NSE - Other Index Options'!$C:$C,$A116,'NSE - Other Index Options'!$B:$B,B$4))</f>
        <v/>
      </c>
      <c r="C116" s="26">
        <f>IF(SUMIFS('NSE - NIFTY Index Options'!$M:$M,'NSE - NIFTY Index Options'!$C:$C,$A116,'NSE - NIFTY Index Options'!$B:$B,C$4)+SUMIFS('NSE - Other Index Options'!$M:$M,'NSE - Other Index Options'!$C:$C,$A116,'NSE - Other Index Options'!$B:$B,C$4)=0,"",SUMIFS('NSE - NIFTY Index Options'!$M:$M,'NSE - NIFTY Index Options'!$C:$C,$A116,'NSE - NIFTY Index Options'!$B:$B,C$4)+SUMIFS('NSE - Other Index Options'!$M:$M,'NSE - Other Index Options'!$C:$C,$A116,'NSE - Other Index Options'!$B:$B,C$4))</f>
        <v/>
      </c>
      <c r="D116" s="26">
        <f>IF(SUMIFS('NSE - NIFTY Index Options'!$M:$M,'NSE - NIFTY Index Options'!$C:$C,$A116,'NSE - NIFTY Index Options'!$B:$B,D$4)+SUMIFS('NSE - Other Index Options'!$M:$M,'NSE - Other Index Options'!$C:$C,$A116,'NSE - Other Index Options'!$B:$B,D$4)=0,"",SUMIFS('NSE - NIFTY Index Options'!$M:$M,'NSE - NIFTY Index Options'!$C:$C,$A116,'NSE - NIFTY Index Options'!$B:$B,D$4)+SUMIFS('NSE - Other Index Options'!$M:$M,'NSE - Other Index Options'!$C:$C,$A116,'NSE - Other Index Options'!$B:$B,D$4))</f>
        <v/>
      </c>
      <c r="E116" s="26">
        <f>IF(SUMIFS('NSE - NIFTY Index Options'!$M:$M,'NSE - NIFTY Index Options'!$C:$C,$A116,'NSE - NIFTY Index Options'!$B:$B,E$4)+SUMIFS('NSE - Other Index Options'!$M:$M,'NSE - Other Index Options'!$C:$C,$A116,'NSE - Other Index Options'!$B:$B,E$4)=0,"",SUMIFS('NSE - NIFTY Index Options'!$M:$M,'NSE - NIFTY Index Options'!$C:$C,$A116,'NSE - NIFTY Index Options'!$B:$B,E$4)+SUMIFS('NSE - Other Index Options'!$M:$M,'NSE - Other Index Options'!$C:$C,$A116,'NSE - Other Index Options'!$B:$B,E$4))</f>
        <v/>
      </c>
      <c r="F116" s="26">
        <f>IF(SUMIFS('NSE - NIFTY Index Options'!$M:$M,'NSE - NIFTY Index Options'!$C:$C,$A116,'NSE - NIFTY Index Options'!$B:$B,F$4)+SUMIFS('NSE - Other Index Options'!$M:$M,'NSE - Other Index Options'!$C:$C,$A116,'NSE - Other Index Options'!$B:$B,F$4)=0,"",SUMIFS('NSE - NIFTY Index Options'!$M:$M,'NSE - NIFTY Index Options'!$C:$C,$A116,'NSE - NIFTY Index Options'!$B:$B,F$4)+SUMIFS('NSE - Other Index Options'!$M:$M,'NSE - Other Index Options'!$C:$C,$A116,'NSE - Other Index Options'!$B:$B,F$4))</f>
        <v/>
      </c>
      <c r="G116" s="26">
        <f>IF(SUMIFS('NSE - NIFTY Index Options'!$M:$M,'NSE - NIFTY Index Options'!$C:$C,$A116,'NSE - NIFTY Index Options'!$B:$B,G$4)+SUMIFS('NSE - Other Index Options'!$M:$M,'NSE - Other Index Options'!$C:$C,$A116,'NSE - Other Index Options'!$B:$B,G$4)=0,"",SUMIFS('NSE - NIFTY Index Options'!$M:$M,'NSE - NIFTY Index Options'!$C:$C,$A116,'NSE - NIFTY Index Options'!$B:$B,G$4)+SUMIFS('NSE - Other Index Options'!$M:$M,'NSE - Other Index Options'!$C:$C,$A116,'NSE - Other Index Options'!$B:$B,G$4))</f>
        <v/>
      </c>
      <c r="H116" s="26">
        <f>IF(SUM(B116:G116)=0,"",SUM(B116:G116))</f>
        <v/>
      </c>
    </row>
    <row r="117" hidden="1" outlineLevel="1">
      <c r="A117" t="inlineStr">
        <is>
          <t>Week5-Jul-2027</t>
        </is>
      </c>
      <c r="B117" s="26">
        <f>IF(SUMIFS('NSE - NIFTY Index Options'!$M:$M,'NSE - NIFTY Index Options'!$C:$C,$A117,'NSE - NIFTY Index Options'!$B:$B,B$4)+SUMIFS('NSE - Other Index Options'!$M:$M,'NSE - Other Index Options'!$C:$C,$A117,'NSE - Other Index Options'!$B:$B,B$4)=0,"",SUMIFS('NSE - NIFTY Index Options'!$M:$M,'NSE - NIFTY Index Options'!$C:$C,$A117,'NSE - NIFTY Index Options'!$B:$B,B$4)+SUMIFS('NSE - Other Index Options'!$M:$M,'NSE - Other Index Options'!$C:$C,$A117,'NSE - Other Index Options'!$B:$B,B$4))</f>
        <v/>
      </c>
      <c r="C117" s="26">
        <f>IF(SUMIFS('NSE - NIFTY Index Options'!$M:$M,'NSE - NIFTY Index Options'!$C:$C,$A117,'NSE - NIFTY Index Options'!$B:$B,C$4)+SUMIFS('NSE - Other Index Options'!$M:$M,'NSE - Other Index Options'!$C:$C,$A117,'NSE - Other Index Options'!$B:$B,C$4)=0,"",SUMIFS('NSE - NIFTY Index Options'!$M:$M,'NSE - NIFTY Index Options'!$C:$C,$A117,'NSE - NIFTY Index Options'!$B:$B,C$4)+SUMIFS('NSE - Other Index Options'!$M:$M,'NSE - Other Index Options'!$C:$C,$A117,'NSE - Other Index Options'!$B:$B,C$4))</f>
        <v/>
      </c>
      <c r="D117" s="26">
        <f>IF(SUMIFS('NSE - NIFTY Index Options'!$M:$M,'NSE - NIFTY Index Options'!$C:$C,$A117,'NSE - NIFTY Index Options'!$B:$B,D$4)+SUMIFS('NSE - Other Index Options'!$M:$M,'NSE - Other Index Options'!$C:$C,$A117,'NSE - Other Index Options'!$B:$B,D$4)=0,"",SUMIFS('NSE - NIFTY Index Options'!$M:$M,'NSE - NIFTY Index Options'!$C:$C,$A117,'NSE - NIFTY Index Options'!$B:$B,D$4)+SUMIFS('NSE - Other Index Options'!$M:$M,'NSE - Other Index Options'!$C:$C,$A117,'NSE - Other Index Options'!$B:$B,D$4))</f>
        <v/>
      </c>
      <c r="E117" s="26">
        <f>IF(SUMIFS('NSE - NIFTY Index Options'!$M:$M,'NSE - NIFTY Index Options'!$C:$C,$A117,'NSE - NIFTY Index Options'!$B:$B,E$4)+SUMIFS('NSE - Other Index Options'!$M:$M,'NSE - Other Index Options'!$C:$C,$A117,'NSE - Other Index Options'!$B:$B,E$4)=0,"",SUMIFS('NSE - NIFTY Index Options'!$M:$M,'NSE - NIFTY Index Options'!$C:$C,$A117,'NSE - NIFTY Index Options'!$B:$B,E$4)+SUMIFS('NSE - Other Index Options'!$M:$M,'NSE - Other Index Options'!$C:$C,$A117,'NSE - Other Index Options'!$B:$B,E$4))</f>
        <v/>
      </c>
      <c r="F117" s="26">
        <f>IF(SUMIFS('NSE - NIFTY Index Options'!$M:$M,'NSE - NIFTY Index Options'!$C:$C,$A117,'NSE - NIFTY Index Options'!$B:$B,F$4)+SUMIFS('NSE - Other Index Options'!$M:$M,'NSE - Other Index Options'!$C:$C,$A117,'NSE - Other Index Options'!$B:$B,F$4)=0,"",SUMIFS('NSE - NIFTY Index Options'!$M:$M,'NSE - NIFTY Index Options'!$C:$C,$A117,'NSE - NIFTY Index Options'!$B:$B,F$4)+SUMIFS('NSE - Other Index Options'!$M:$M,'NSE - Other Index Options'!$C:$C,$A117,'NSE - Other Index Options'!$B:$B,F$4))</f>
        <v/>
      </c>
      <c r="G117" s="26">
        <f>IF(SUMIFS('NSE - NIFTY Index Options'!$M:$M,'NSE - NIFTY Index Options'!$C:$C,$A117,'NSE - NIFTY Index Options'!$B:$B,G$4)+SUMIFS('NSE - Other Index Options'!$M:$M,'NSE - Other Index Options'!$C:$C,$A117,'NSE - Other Index Options'!$B:$B,G$4)=0,"",SUMIFS('NSE - NIFTY Index Options'!$M:$M,'NSE - NIFTY Index Options'!$C:$C,$A117,'NSE - NIFTY Index Options'!$B:$B,G$4)+SUMIFS('NSE - Other Index Options'!$M:$M,'NSE - Other Index Options'!$C:$C,$A117,'NSE - Other Index Options'!$B:$B,G$4))</f>
        <v/>
      </c>
      <c r="H117" s="26">
        <f>IF(SUM(B117:G117)=0,"",SUM(B117:G117))</f>
        <v/>
      </c>
    </row>
    <row r="118" hidden="1" outlineLevel="1">
      <c r="A118" t="inlineStr">
        <is>
          <t>Week1-Aug-2027</t>
        </is>
      </c>
      <c r="B118" s="26">
        <f>IF(SUMIFS('NSE - NIFTY Index Options'!$M:$M,'NSE - NIFTY Index Options'!$C:$C,$A118,'NSE - NIFTY Index Options'!$B:$B,B$4)+SUMIFS('NSE - Other Index Options'!$M:$M,'NSE - Other Index Options'!$C:$C,$A118,'NSE - Other Index Options'!$B:$B,B$4)=0,"",SUMIFS('NSE - NIFTY Index Options'!$M:$M,'NSE - NIFTY Index Options'!$C:$C,$A118,'NSE - NIFTY Index Options'!$B:$B,B$4)+SUMIFS('NSE - Other Index Options'!$M:$M,'NSE - Other Index Options'!$C:$C,$A118,'NSE - Other Index Options'!$B:$B,B$4))</f>
        <v/>
      </c>
      <c r="C118" s="26">
        <f>IF(SUMIFS('NSE - NIFTY Index Options'!$M:$M,'NSE - NIFTY Index Options'!$C:$C,$A118,'NSE - NIFTY Index Options'!$B:$B,C$4)+SUMIFS('NSE - Other Index Options'!$M:$M,'NSE - Other Index Options'!$C:$C,$A118,'NSE - Other Index Options'!$B:$B,C$4)=0,"",SUMIFS('NSE - NIFTY Index Options'!$M:$M,'NSE - NIFTY Index Options'!$C:$C,$A118,'NSE - NIFTY Index Options'!$B:$B,C$4)+SUMIFS('NSE - Other Index Options'!$M:$M,'NSE - Other Index Options'!$C:$C,$A118,'NSE - Other Index Options'!$B:$B,C$4))</f>
        <v/>
      </c>
      <c r="D118" s="26">
        <f>IF(SUMIFS('NSE - NIFTY Index Options'!$M:$M,'NSE - NIFTY Index Options'!$C:$C,$A118,'NSE - NIFTY Index Options'!$B:$B,D$4)+SUMIFS('NSE - Other Index Options'!$M:$M,'NSE - Other Index Options'!$C:$C,$A118,'NSE - Other Index Options'!$B:$B,D$4)=0,"",SUMIFS('NSE - NIFTY Index Options'!$M:$M,'NSE - NIFTY Index Options'!$C:$C,$A118,'NSE - NIFTY Index Options'!$B:$B,D$4)+SUMIFS('NSE - Other Index Options'!$M:$M,'NSE - Other Index Options'!$C:$C,$A118,'NSE - Other Index Options'!$B:$B,D$4))</f>
        <v/>
      </c>
      <c r="E118" s="26">
        <f>IF(SUMIFS('NSE - NIFTY Index Options'!$M:$M,'NSE - NIFTY Index Options'!$C:$C,$A118,'NSE - NIFTY Index Options'!$B:$B,E$4)+SUMIFS('NSE - Other Index Options'!$M:$M,'NSE - Other Index Options'!$C:$C,$A118,'NSE - Other Index Options'!$B:$B,E$4)=0,"",SUMIFS('NSE - NIFTY Index Options'!$M:$M,'NSE - NIFTY Index Options'!$C:$C,$A118,'NSE - NIFTY Index Options'!$B:$B,E$4)+SUMIFS('NSE - Other Index Options'!$M:$M,'NSE - Other Index Options'!$C:$C,$A118,'NSE - Other Index Options'!$B:$B,E$4))</f>
        <v/>
      </c>
      <c r="F118" s="26">
        <f>IF(SUMIFS('NSE - NIFTY Index Options'!$M:$M,'NSE - NIFTY Index Options'!$C:$C,$A118,'NSE - NIFTY Index Options'!$B:$B,F$4)+SUMIFS('NSE - Other Index Options'!$M:$M,'NSE - Other Index Options'!$C:$C,$A118,'NSE - Other Index Options'!$B:$B,F$4)=0,"",SUMIFS('NSE - NIFTY Index Options'!$M:$M,'NSE - NIFTY Index Options'!$C:$C,$A118,'NSE - NIFTY Index Options'!$B:$B,F$4)+SUMIFS('NSE - Other Index Options'!$M:$M,'NSE - Other Index Options'!$C:$C,$A118,'NSE - Other Index Options'!$B:$B,F$4))</f>
        <v/>
      </c>
      <c r="G118" s="26">
        <f>IF(SUMIFS('NSE - NIFTY Index Options'!$M:$M,'NSE - NIFTY Index Options'!$C:$C,$A118,'NSE - NIFTY Index Options'!$B:$B,G$4)+SUMIFS('NSE - Other Index Options'!$M:$M,'NSE - Other Index Options'!$C:$C,$A118,'NSE - Other Index Options'!$B:$B,G$4)=0,"",SUMIFS('NSE - NIFTY Index Options'!$M:$M,'NSE - NIFTY Index Options'!$C:$C,$A118,'NSE - NIFTY Index Options'!$B:$B,G$4)+SUMIFS('NSE - Other Index Options'!$M:$M,'NSE - Other Index Options'!$C:$C,$A118,'NSE - Other Index Options'!$B:$B,G$4))</f>
        <v/>
      </c>
      <c r="H118" s="26">
        <f>IF(SUM(B118:G118)=0,"",SUM(B118:G118))</f>
        <v/>
      </c>
    </row>
    <row r="119" hidden="1" outlineLevel="1">
      <c r="A119" t="inlineStr">
        <is>
          <t>Week2-Aug-2027</t>
        </is>
      </c>
      <c r="B119" s="26">
        <f>IF(SUMIFS('NSE - NIFTY Index Options'!$M:$M,'NSE - NIFTY Index Options'!$C:$C,$A119,'NSE - NIFTY Index Options'!$B:$B,B$4)+SUMIFS('NSE - Other Index Options'!$M:$M,'NSE - Other Index Options'!$C:$C,$A119,'NSE - Other Index Options'!$B:$B,B$4)=0,"",SUMIFS('NSE - NIFTY Index Options'!$M:$M,'NSE - NIFTY Index Options'!$C:$C,$A119,'NSE - NIFTY Index Options'!$B:$B,B$4)+SUMIFS('NSE - Other Index Options'!$M:$M,'NSE - Other Index Options'!$C:$C,$A119,'NSE - Other Index Options'!$B:$B,B$4))</f>
        <v/>
      </c>
      <c r="C119" s="26">
        <f>IF(SUMIFS('NSE - NIFTY Index Options'!$M:$M,'NSE - NIFTY Index Options'!$C:$C,$A119,'NSE - NIFTY Index Options'!$B:$B,C$4)+SUMIFS('NSE - Other Index Options'!$M:$M,'NSE - Other Index Options'!$C:$C,$A119,'NSE - Other Index Options'!$B:$B,C$4)=0,"",SUMIFS('NSE - NIFTY Index Options'!$M:$M,'NSE - NIFTY Index Options'!$C:$C,$A119,'NSE - NIFTY Index Options'!$B:$B,C$4)+SUMIFS('NSE - Other Index Options'!$M:$M,'NSE - Other Index Options'!$C:$C,$A119,'NSE - Other Index Options'!$B:$B,C$4))</f>
        <v/>
      </c>
      <c r="D119" s="26">
        <f>IF(SUMIFS('NSE - NIFTY Index Options'!$M:$M,'NSE - NIFTY Index Options'!$C:$C,$A119,'NSE - NIFTY Index Options'!$B:$B,D$4)+SUMIFS('NSE - Other Index Options'!$M:$M,'NSE - Other Index Options'!$C:$C,$A119,'NSE - Other Index Options'!$B:$B,D$4)=0,"",SUMIFS('NSE - NIFTY Index Options'!$M:$M,'NSE - NIFTY Index Options'!$C:$C,$A119,'NSE - NIFTY Index Options'!$B:$B,D$4)+SUMIFS('NSE - Other Index Options'!$M:$M,'NSE - Other Index Options'!$C:$C,$A119,'NSE - Other Index Options'!$B:$B,D$4))</f>
        <v/>
      </c>
      <c r="E119" s="26">
        <f>IF(SUMIFS('NSE - NIFTY Index Options'!$M:$M,'NSE - NIFTY Index Options'!$C:$C,$A119,'NSE - NIFTY Index Options'!$B:$B,E$4)+SUMIFS('NSE - Other Index Options'!$M:$M,'NSE - Other Index Options'!$C:$C,$A119,'NSE - Other Index Options'!$B:$B,E$4)=0,"",SUMIFS('NSE - NIFTY Index Options'!$M:$M,'NSE - NIFTY Index Options'!$C:$C,$A119,'NSE - NIFTY Index Options'!$B:$B,E$4)+SUMIFS('NSE - Other Index Options'!$M:$M,'NSE - Other Index Options'!$C:$C,$A119,'NSE - Other Index Options'!$B:$B,E$4))</f>
        <v/>
      </c>
      <c r="F119" s="26">
        <f>IF(SUMIFS('NSE - NIFTY Index Options'!$M:$M,'NSE - NIFTY Index Options'!$C:$C,$A119,'NSE - NIFTY Index Options'!$B:$B,F$4)+SUMIFS('NSE - Other Index Options'!$M:$M,'NSE - Other Index Options'!$C:$C,$A119,'NSE - Other Index Options'!$B:$B,F$4)=0,"",SUMIFS('NSE - NIFTY Index Options'!$M:$M,'NSE - NIFTY Index Options'!$C:$C,$A119,'NSE - NIFTY Index Options'!$B:$B,F$4)+SUMIFS('NSE - Other Index Options'!$M:$M,'NSE - Other Index Options'!$C:$C,$A119,'NSE - Other Index Options'!$B:$B,F$4))</f>
        <v/>
      </c>
      <c r="G119" s="26">
        <f>IF(SUMIFS('NSE - NIFTY Index Options'!$M:$M,'NSE - NIFTY Index Options'!$C:$C,$A119,'NSE - NIFTY Index Options'!$B:$B,G$4)+SUMIFS('NSE - Other Index Options'!$M:$M,'NSE - Other Index Options'!$C:$C,$A119,'NSE - Other Index Options'!$B:$B,G$4)=0,"",SUMIFS('NSE - NIFTY Index Options'!$M:$M,'NSE - NIFTY Index Options'!$C:$C,$A119,'NSE - NIFTY Index Options'!$B:$B,G$4)+SUMIFS('NSE - Other Index Options'!$M:$M,'NSE - Other Index Options'!$C:$C,$A119,'NSE - Other Index Options'!$B:$B,G$4))</f>
        <v/>
      </c>
      <c r="H119" s="26">
        <f>IF(SUM(B119:G119)=0,"",SUM(B119:G119))</f>
        <v/>
      </c>
    </row>
    <row r="120" hidden="1" outlineLevel="1">
      <c r="A120" t="inlineStr">
        <is>
          <t>Week3-Aug-2027</t>
        </is>
      </c>
      <c r="B120" s="26">
        <f>IF(SUMIFS('NSE - NIFTY Index Options'!$M:$M,'NSE - NIFTY Index Options'!$C:$C,$A120,'NSE - NIFTY Index Options'!$B:$B,B$4)+SUMIFS('NSE - Other Index Options'!$M:$M,'NSE - Other Index Options'!$C:$C,$A120,'NSE - Other Index Options'!$B:$B,B$4)=0,"",SUMIFS('NSE - NIFTY Index Options'!$M:$M,'NSE - NIFTY Index Options'!$C:$C,$A120,'NSE - NIFTY Index Options'!$B:$B,B$4)+SUMIFS('NSE - Other Index Options'!$M:$M,'NSE - Other Index Options'!$C:$C,$A120,'NSE - Other Index Options'!$B:$B,B$4))</f>
        <v/>
      </c>
      <c r="C120" s="26">
        <f>IF(SUMIFS('NSE - NIFTY Index Options'!$M:$M,'NSE - NIFTY Index Options'!$C:$C,$A120,'NSE - NIFTY Index Options'!$B:$B,C$4)+SUMIFS('NSE - Other Index Options'!$M:$M,'NSE - Other Index Options'!$C:$C,$A120,'NSE - Other Index Options'!$B:$B,C$4)=0,"",SUMIFS('NSE - NIFTY Index Options'!$M:$M,'NSE - NIFTY Index Options'!$C:$C,$A120,'NSE - NIFTY Index Options'!$B:$B,C$4)+SUMIFS('NSE - Other Index Options'!$M:$M,'NSE - Other Index Options'!$C:$C,$A120,'NSE - Other Index Options'!$B:$B,C$4))</f>
        <v/>
      </c>
      <c r="D120" s="26">
        <f>IF(SUMIFS('NSE - NIFTY Index Options'!$M:$M,'NSE - NIFTY Index Options'!$C:$C,$A120,'NSE - NIFTY Index Options'!$B:$B,D$4)+SUMIFS('NSE - Other Index Options'!$M:$M,'NSE - Other Index Options'!$C:$C,$A120,'NSE - Other Index Options'!$B:$B,D$4)=0,"",SUMIFS('NSE - NIFTY Index Options'!$M:$M,'NSE - NIFTY Index Options'!$C:$C,$A120,'NSE - NIFTY Index Options'!$B:$B,D$4)+SUMIFS('NSE - Other Index Options'!$M:$M,'NSE - Other Index Options'!$C:$C,$A120,'NSE - Other Index Options'!$B:$B,D$4))</f>
        <v/>
      </c>
      <c r="E120" s="26">
        <f>IF(SUMIFS('NSE - NIFTY Index Options'!$M:$M,'NSE - NIFTY Index Options'!$C:$C,$A120,'NSE - NIFTY Index Options'!$B:$B,E$4)+SUMIFS('NSE - Other Index Options'!$M:$M,'NSE - Other Index Options'!$C:$C,$A120,'NSE - Other Index Options'!$B:$B,E$4)=0,"",SUMIFS('NSE - NIFTY Index Options'!$M:$M,'NSE - NIFTY Index Options'!$C:$C,$A120,'NSE - NIFTY Index Options'!$B:$B,E$4)+SUMIFS('NSE - Other Index Options'!$M:$M,'NSE - Other Index Options'!$C:$C,$A120,'NSE - Other Index Options'!$B:$B,E$4))</f>
        <v/>
      </c>
      <c r="F120" s="26">
        <f>IF(SUMIFS('NSE - NIFTY Index Options'!$M:$M,'NSE - NIFTY Index Options'!$C:$C,$A120,'NSE - NIFTY Index Options'!$B:$B,F$4)+SUMIFS('NSE - Other Index Options'!$M:$M,'NSE - Other Index Options'!$C:$C,$A120,'NSE - Other Index Options'!$B:$B,F$4)=0,"",SUMIFS('NSE - NIFTY Index Options'!$M:$M,'NSE - NIFTY Index Options'!$C:$C,$A120,'NSE - NIFTY Index Options'!$B:$B,F$4)+SUMIFS('NSE - Other Index Options'!$M:$M,'NSE - Other Index Options'!$C:$C,$A120,'NSE - Other Index Options'!$B:$B,F$4))</f>
        <v/>
      </c>
      <c r="G120" s="26">
        <f>IF(SUMIFS('NSE - NIFTY Index Options'!$M:$M,'NSE - NIFTY Index Options'!$C:$C,$A120,'NSE - NIFTY Index Options'!$B:$B,G$4)+SUMIFS('NSE - Other Index Options'!$M:$M,'NSE - Other Index Options'!$C:$C,$A120,'NSE - Other Index Options'!$B:$B,G$4)=0,"",SUMIFS('NSE - NIFTY Index Options'!$M:$M,'NSE - NIFTY Index Options'!$C:$C,$A120,'NSE - NIFTY Index Options'!$B:$B,G$4)+SUMIFS('NSE - Other Index Options'!$M:$M,'NSE - Other Index Options'!$C:$C,$A120,'NSE - Other Index Options'!$B:$B,G$4))</f>
        <v/>
      </c>
      <c r="H120" s="26">
        <f>IF(SUM(B120:G120)=0,"",SUM(B120:G120))</f>
        <v/>
      </c>
    </row>
    <row r="121" hidden="1" outlineLevel="1">
      <c r="A121" t="inlineStr">
        <is>
          <t>Week4-Aug-2027</t>
        </is>
      </c>
      <c r="B121" s="26">
        <f>IF(SUMIFS('NSE - NIFTY Index Options'!$M:$M,'NSE - NIFTY Index Options'!$C:$C,$A121,'NSE - NIFTY Index Options'!$B:$B,B$4)+SUMIFS('NSE - Other Index Options'!$M:$M,'NSE - Other Index Options'!$C:$C,$A121,'NSE - Other Index Options'!$B:$B,B$4)=0,"",SUMIFS('NSE - NIFTY Index Options'!$M:$M,'NSE - NIFTY Index Options'!$C:$C,$A121,'NSE - NIFTY Index Options'!$B:$B,B$4)+SUMIFS('NSE - Other Index Options'!$M:$M,'NSE - Other Index Options'!$C:$C,$A121,'NSE - Other Index Options'!$B:$B,B$4))</f>
        <v/>
      </c>
      <c r="C121" s="26">
        <f>IF(SUMIFS('NSE - NIFTY Index Options'!$M:$M,'NSE - NIFTY Index Options'!$C:$C,$A121,'NSE - NIFTY Index Options'!$B:$B,C$4)+SUMIFS('NSE - Other Index Options'!$M:$M,'NSE - Other Index Options'!$C:$C,$A121,'NSE - Other Index Options'!$B:$B,C$4)=0,"",SUMIFS('NSE - NIFTY Index Options'!$M:$M,'NSE - NIFTY Index Options'!$C:$C,$A121,'NSE - NIFTY Index Options'!$B:$B,C$4)+SUMIFS('NSE - Other Index Options'!$M:$M,'NSE - Other Index Options'!$C:$C,$A121,'NSE - Other Index Options'!$B:$B,C$4))</f>
        <v/>
      </c>
      <c r="D121" s="26">
        <f>IF(SUMIFS('NSE - NIFTY Index Options'!$M:$M,'NSE - NIFTY Index Options'!$C:$C,$A121,'NSE - NIFTY Index Options'!$B:$B,D$4)+SUMIFS('NSE - Other Index Options'!$M:$M,'NSE - Other Index Options'!$C:$C,$A121,'NSE - Other Index Options'!$B:$B,D$4)=0,"",SUMIFS('NSE - NIFTY Index Options'!$M:$M,'NSE - NIFTY Index Options'!$C:$C,$A121,'NSE - NIFTY Index Options'!$B:$B,D$4)+SUMIFS('NSE - Other Index Options'!$M:$M,'NSE - Other Index Options'!$C:$C,$A121,'NSE - Other Index Options'!$B:$B,D$4))</f>
        <v/>
      </c>
      <c r="E121" s="26">
        <f>IF(SUMIFS('NSE - NIFTY Index Options'!$M:$M,'NSE - NIFTY Index Options'!$C:$C,$A121,'NSE - NIFTY Index Options'!$B:$B,E$4)+SUMIFS('NSE - Other Index Options'!$M:$M,'NSE - Other Index Options'!$C:$C,$A121,'NSE - Other Index Options'!$B:$B,E$4)=0,"",SUMIFS('NSE - NIFTY Index Options'!$M:$M,'NSE - NIFTY Index Options'!$C:$C,$A121,'NSE - NIFTY Index Options'!$B:$B,E$4)+SUMIFS('NSE - Other Index Options'!$M:$M,'NSE - Other Index Options'!$C:$C,$A121,'NSE - Other Index Options'!$B:$B,E$4))</f>
        <v/>
      </c>
      <c r="F121" s="26">
        <f>IF(SUMIFS('NSE - NIFTY Index Options'!$M:$M,'NSE - NIFTY Index Options'!$C:$C,$A121,'NSE - NIFTY Index Options'!$B:$B,F$4)+SUMIFS('NSE - Other Index Options'!$M:$M,'NSE - Other Index Options'!$C:$C,$A121,'NSE - Other Index Options'!$B:$B,F$4)=0,"",SUMIFS('NSE - NIFTY Index Options'!$M:$M,'NSE - NIFTY Index Options'!$C:$C,$A121,'NSE - NIFTY Index Options'!$B:$B,F$4)+SUMIFS('NSE - Other Index Options'!$M:$M,'NSE - Other Index Options'!$C:$C,$A121,'NSE - Other Index Options'!$B:$B,F$4))</f>
        <v/>
      </c>
      <c r="G121" s="26">
        <f>IF(SUMIFS('NSE - NIFTY Index Options'!$M:$M,'NSE - NIFTY Index Options'!$C:$C,$A121,'NSE - NIFTY Index Options'!$B:$B,G$4)+SUMIFS('NSE - Other Index Options'!$M:$M,'NSE - Other Index Options'!$C:$C,$A121,'NSE - Other Index Options'!$B:$B,G$4)=0,"",SUMIFS('NSE - NIFTY Index Options'!$M:$M,'NSE - NIFTY Index Options'!$C:$C,$A121,'NSE - NIFTY Index Options'!$B:$B,G$4)+SUMIFS('NSE - Other Index Options'!$M:$M,'NSE - Other Index Options'!$C:$C,$A121,'NSE - Other Index Options'!$B:$B,G$4))</f>
        <v/>
      </c>
      <c r="H121" s="26">
        <f>IF(SUM(B121:G121)=0,"",SUM(B121:G121))</f>
        <v/>
      </c>
    </row>
    <row r="122" hidden="1" outlineLevel="1">
      <c r="A122" t="inlineStr">
        <is>
          <t>Week5-Aug-2027</t>
        </is>
      </c>
      <c r="B122" s="26">
        <f>IF(SUMIFS('NSE - NIFTY Index Options'!$M:$M,'NSE - NIFTY Index Options'!$C:$C,$A122,'NSE - NIFTY Index Options'!$B:$B,B$4)+SUMIFS('NSE - Other Index Options'!$M:$M,'NSE - Other Index Options'!$C:$C,$A122,'NSE - Other Index Options'!$B:$B,B$4)=0,"",SUMIFS('NSE - NIFTY Index Options'!$M:$M,'NSE - NIFTY Index Options'!$C:$C,$A122,'NSE - NIFTY Index Options'!$B:$B,B$4)+SUMIFS('NSE - Other Index Options'!$M:$M,'NSE - Other Index Options'!$C:$C,$A122,'NSE - Other Index Options'!$B:$B,B$4))</f>
        <v/>
      </c>
      <c r="C122" s="26">
        <f>IF(SUMIFS('NSE - NIFTY Index Options'!$M:$M,'NSE - NIFTY Index Options'!$C:$C,$A122,'NSE - NIFTY Index Options'!$B:$B,C$4)+SUMIFS('NSE - Other Index Options'!$M:$M,'NSE - Other Index Options'!$C:$C,$A122,'NSE - Other Index Options'!$B:$B,C$4)=0,"",SUMIFS('NSE - NIFTY Index Options'!$M:$M,'NSE - NIFTY Index Options'!$C:$C,$A122,'NSE - NIFTY Index Options'!$B:$B,C$4)+SUMIFS('NSE - Other Index Options'!$M:$M,'NSE - Other Index Options'!$C:$C,$A122,'NSE - Other Index Options'!$B:$B,C$4))</f>
        <v/>
      </c>
      <c r="D122" s="26">
        <f>IF(SUMIFS('NSE - NIFTY Index Options'!$M:$M,'NSE - NIFTY Index Options'!$C:$C,$A122,'NSE - NIFTY Index Options'!$B:$B,D$4)+SUMIFS('NSE - Other Index Options'!$M:$M,'NSE - Other Index Options'!$C:$C,$A122,'NSE - Other Index Options'!$B:$B,D$4)=0,"",SUMIFS('NSE - NIFTY Index Options'!$M:$M,'NSE - NIFTY Index Options'!$C:$C,$A122,'NSE - NIFTY Index Options'!$B:$B,D$4)+SUMIFS('NSE - Other Index Options'!$M:$M,'NSE - Other Index Options'!$C:$C,$A122,'NSE - Other Index Options'!$B:$B,D$4))</f>
        <v/>
      </c>
      <c r="E122" s="26">
        <f>IF(SUMIFS('NSE - NIFTY Index Options'!$M:$M,'NSE - NIFTY Index Options'!$C:$C,$A122,'NSE - NIFTY Index Options'!$B:$B,E$4)+SUMIFS('NSE - Other Index Options'!$M:$M,'NSE - Other Index Options'!$C:$C,$A122,'NSE - Other Index Options'!$B:$B,E$4)=0,"",SUMIFS('NSE - NIFTY Index Options'!$M:$M,'NSE - NIFTY Index Options'!$C:$C,$A122,'NSE - NIFTY Index Options'!$B:$B,E$4)+SUMIFS('NSE - Other Index Options'!$M:$M,'NSE - Other Index Options'!$C:$C,$A122,'NSE - Other Index Options'!$B:$B,E$4))</f>
        <v/>
      </c>
      <c r="F122" s="26">
        <f>IF(SUMIFS('NSE - NIFTY Index Options'!$M:$M,'NSE - NIFTY Index Options'!$C:$C,$A122,'NSE - NIFTY Index Options'!$B:$B,F$4)+SUMIFS('NSE - Other Index Options'!$M:$M,'NSE - Other Index Options'!$C:$C,$A122,'NSE - Other Index Options'!$B:$B,F$4)=0,"",SUMIFS('NSE - NIFTY Index Options'!$M:$M,'NSE - NIFTY Index Options'!$C:$C,$A122,'NSE - NIFTY Index Options'!$B:$B,F$4)+SUMIFS('NSE - Other Index Options'!$M:$M,'NSE - Other Index Options'!$C:$C,$A122,'NSE - Other Index Options'!$B:$B,F$4))</f>
        <v/>
      </c>
      <c r="G122" s="26">
        <f>IF(SUMIFS('NSE - NIFTY Index Options'!$M:$M,'NSE - NIFTY Index Options'!$C:$C,$A122,'NSE - NIFTY Index Options'!$B:$B,G$4)+SUMIFS('NSE - Other Index Options'!$M:$M,'NSE - Other Index Options'!$C:$C,$A122,'NSE - Other Index Options'!$B:$B,G$4)=0,"",SUMIFS('NSE - NIFTY Index Options'!$M:$M,'NSE - NIFTY Index Options'!$C:$C,$A122,'NSE - NIFTY Index Options'!$B:$B,G$4)+SUMIFS('NSE - Other Index Options'!$M:$M,'NSE - Other Index Options'!$C:$C,$A122,'NSE - Other Index Options'!$B:$B,G$4))</f>
        <v/>
      </c>
      <c r="H122" s="26">
        <f>IF(SUM(B122:G122)=0,"",SUM(B122:G122))</f>
        <v/>
      </c>
    </row>
    <row r="123" hidden="1" outlineLevel="1">
      <c r="A123" t="inlineStr">
        <is>
          <t>Week1-Sep-2027</t>
        </is>
      </c>
      <c r="B123" s="26">
        <f>IF(SUMIFS('NSE - NIFTY Index Options'!$M:$M,'NSE - NIFTY Index Options'!$C:$C,$A123,'NSE - NIFTY Index Options'!$B:$B,B$4)+SUMIFS('NSE - Other Index Options'!$M:$M,'NSE - Other Index Options'!$C:$C,$A123,'NSE - Other Index Options'!$B:$B,B$4)=0,"",SUMIFS('NSE - NIFTY Index Options'!$M:$M,'NSE - NIFTY Index Options'!$C:$C,$A123,'NSE - NIFTY Index Options'!$B:$B,B$4)+SUMIFS('NSE - Other Index Options'!$M:$M,'NSE - Other Index Options'!$C:$C,$A123,'NSE - Other Index Options'!$B:$B,B$4))</f>
        <v/>
      </c>
      <c r="C123" s="26">
        <f>IF(SUMIFS('NSE - NIFTY Index Options'!$M:$M,'NSE - NIFTY Index Options'!$C:$C,$A123,'NSE - NIFTY Index Options'!$B:$B,C$4)+SUMIFS('NSE - Other Index Options'!$M:$M,'NSE - Other Index Options'!$C:$C,$A123,'NSE - Other Index Options'!$B:$B,C$4)=0,"",SUMIFS('NSE - NIFTY Index Options'!$M:$M,'NSE - NIFTY Index Options'!$C:$C,$A123,'NSE - NIFTY Index Options'!$B:$B,C$4)+SUMIFS('NSE - Other Index Options'!$M:$M,'NSE - Other Index Options'!$C:$C,$A123,'NSE - Other Index Options'!$B:$B,C$4))</f>
        <v/>
      </c>
      <c r="D123" s="26">
        <f>IF(SUMIFS('NSE - NIFTY Index Options'!$M:$M,'NSE - NIFTY Index Options'!$C:$C,$A123,'NSE - NIFTY Index Options'!$B:$B,D$4)+SUMIFS('NSE - Other Index Options'!$M:$M,'NSE - Other Index Options'!$C:$C,$A123,'NSE - Other Index Options'!$B:$B,D$4)=0,"",SUMIFS('NSE - NIFTY Index Options'!$M:$M,'NSE - NIFTY Index Options'!$C:$C,$A123,'NSE - NIFTY Index Options'!$B:$B,D$4)+SUMIFS('NSE - Other Index Options'!$M:$M,'NSE - Other Index Options'!$C:$C,$A123,'NSE - Other Index Options'!$B:$B,D$4))</f>
        <v/>
      </c>
      <c r="E123" s="26">
        <f>IF(SUMIFS('NSE - NIFTY Index Options'!$M:$M,'NSE - NIFTY Index Options'!$C:$C,$A123,'NSE - NIFTY Index Options'!$B:$B,E$4)+SUMIFS('NSE - Other Index Options'!$M:$M,'NSE - Other Index Options'!$C:$C,$A123,'NSE - Other Index Options'!$B:$B,E$4)=0,"",SUMIFS('NSE - NIFTY Index Options'!$M:$M,'NSE - NIFTY Index Options'!$C:$C,$A123,'NSE - NIFTY Index Options'!$B:$B,E$4)+SUMIFS('NSE - Other Index Options'!$M:$M,'NSE - Other Index Options'!$C:$C,$A123,'NSE - Other Index Options'!$B:$B,E$4))</f>
        <v/>
      </c>
      <c r="F123" s="26">
        <f>IF(SUMIFS('NSE - NIFTY Index Options'!$M:$M,'NSE - NIFTY Index Options'!$C:$C,$A123,'NSE - NIFTY Index Options'!$B:$B,F$4)+SUMIFS('NSE - Other Index Options'!$M:$M,'NSE - Other Index Options'!$C:$C,$A123,'NSE - Other Index Options'!$B:$B,F$4)=0,"",SUMIFS('NSE - NIFTY Index Options'!$M:$M,'NSE - NIFTY Index Options'!$C:$C,$A123,'NSE - NIFTY Index Options'!$B:$B,F$4)+SUMIFS('NSE - Other Index Options'!$M:$M,'NSE - Other Index Options'!$C:$C,$A123,'NSE - Other Index Options'!$B:$B,F$4))</f>
        <v/>
      </c>
      <c r="G123" s="26">
        <f>IF(SUMIFS('NSE - NIFTY Index Options'!$M:$M,'NSE - NIFTY Index Options'!$C:$C,$A123,'NSE - NIFTY Index Options'!$B:$B,G$4)+SUMIFS('NSE - Other Index Options'!$M:$M,'NSE - Other Index Options'!$C:$C,$A123,'NSE - Other Index Options'!$B:$B,G$4)=0,"",SUMIFS('NSE - NIFTY Index Options'!$M:$M,'NSE - NIFTY Index Options'!$C:$C,$A123,'NSE - NIFTY Index Options'!$B:$B,G$4)+SUMIFS('NSE - Other Index Options'!$M:$M,'NSE - Other Index Options'!$C:$C,$A123,'NSE - Other Index Options'!$B:$B,G$4))</f>
        <v/>
      </c>
      <c r="H123" s="26">
        <f>IF(SUM(B123:G123)=0,"",SUM(B123:G123))</f>
        <v/>
      </c>
    </row>
    <row r="124" hidden="1" outlineLevel="1">
      <c r="A124" t="inlineStr">
        <is>
          <t>Week2-Sep-2027</t>
        </is>
      </c>
      <c r="B124" s="26">
        <f>IF(SUMIFS('NSE - NIFTY Index Options'!$M:$M,'NSE - NIFTY Index Options'!$C:$C,$A124,'NSE - NIFTY Index Options'!$B:$B,B$4)+SUMIFS('NSE - Other Index Options'!$M:$M,'NSE - Other Index Options'!$C:$C,$A124,'NSE - Other Index Options'!$B:$B,B$4)=0,"",SUMIFS('NSE - NIFTY Index Options'!$M:$M,'NSE - NIFTY Index Options'!$C:$C,$A124,'NSE - NIFTY Index Options'!$B:$B,B$4)+SUMIFS('NSE - Other Index Options'!$M:$M,'NSE - Other Index Options'!$C:$C,$A124,'NSE - Other Index Options'!$B:$B,B$4))</f>
        <v/>
      </c>
      <c r="C124" s="26">
        <f>IF(SUMIFS('NSE - NIFTY Index Options'!$M:$M,'NSE - NIFTY Index Options'!$C:$C,$A124,'NSE - NIFTY Index Options'!$B:$B,C$4)+SUMIFS('NSE - Other Index Options'!$M:$M,'NSE - Other Index Options'!$C:$C,$A124,'NSE - Other Index Options'!$B:$B,C$4)=0,"",SUMIFS('NSE - NIFTY Index Options'!$M:$M,'NSE - NIFTY Index Options'!$C:$C,$A124,'NSE - NIFTY Index Options'!$B:$B,C$4)+SUMIFS('NSE - Other Index Options'!$M:$M,'NSE - Other Index Options'!$C:$C,$A124,'NSE - Other Index Options'!$B:$B,C$4))</f>
        <v/>
      </c>
      <c r="D124" s="26">
        <f>IF(SUMIFS('NSE - NIFTY Index Options'!$M:$M,'NSE - NIFTY Index Options'!$C:$C,$A124,'NSE - NIFTY Index Options'!$B:$B,D$4)+SUMIFS('NSE - Other Index Options'!$M:$M,'NSE - Other Index Options'!$C:$C,$A124,'NSE - Other Index Options'!$B:$B,D$4)=0,"",SUMIFS('NSE - NIFTY Index Options'!$M:$M,'NSE - NIFTY Index Options'!$C:$C,$A124,'NSE - NIFTY Index Options'!$B:$B,D$4)+SUMIFS('NSE - Other Index Options'!$M:$M,'NSE - Other Index Options'!$C:$C,$A124,'NSE - Other Index Options'!$B:$B,D$4))</f>
        <v/>
      </c>
      <c r="E124" s="26">
        <f>IF(SUMIFS('NSE - NIFTY Index Options'!$M:$M,'NSE - NIFTY Index Options'!$C:$C,$A124,'NSE - NIFTY Index Options'!$B:$B,E$4)+SUMIFS('NSE - Other Index Options'!$M:$M,'NSE - Other Index Options'!$C:$C,$A124,'NSE - Other Index Options'!$B:$B,E$4)=0,"",SUMIFS('NSE - NIFTY Index Options'!$M:$M,'NSE - NIFTY Index Options'!$C:$C,$A124,'NSE - NIFTY Index Options'!$B:$B,E$4)+SUMIFS('NSE - Other Index Options'!$M:$M,'NSE - Other Index Options'!$C:$C,$A124,'NSE - Other Index Options'!$B:$B,E$4))</f>
        <v/>
      </c>
      <c r="F124" s="26">
        <f>IF(SUMIFS('NSE - NIFTY Index Options'!$M:$M,'NSE - NIFTY Index Options'!$C:$C,$A124,'NSE - NIFTY Index Options'!$B:$B,F$4)+SUMIFS('NSE - Other Index Options'!$M:$M,'NSE - Other Index Options'!$C:$C,$A124,'NSE - Other Index Options'!$B:$B,F$4)=0,"",SUMIFS('NSE - NIFTY Index Options'!$M:$M,'NSE - NIFTY Index Options'!$C:$C,$A124,'NSE - NIFTY Index Options'!$B:$B,F$4)+SUMIFS('NSE - Other Index Options'!$M:$M,'NSE - Other Index Options'!$C:$C,$A124,'NSE - Other Index Options'!$B:$B,F$4))</f>
        <v/>
      </c>
      <c r="G124" s="26">
        <f>IF(SUMIFS('NSE - NIFTY Index Options'!$M:$M,'NSE - NIFTY Index Options'!$C:$C,$A124,'NSE - NIFTY Index Options'!$B:$B,G$4)+SUMIFS('NSE - Other Index Options'!$M:$M,'NSE - Other Index Options'!$C:$C,$A124,'NSE - Other Index Options'!$B:$B,G$4)=0,"",SUMIFS('NSE - NIFTY Index Options'!$M:$M,'NSE - NIFTY Index Options'!$C:$C,$A124,'NSE - NIFTY Index Options'!$B:$B,G$4)+SUMIFS('NSE - Other Index Options'!$M:$M,'NSE - Other Index Options'!$C:$C,$A124,'NSE - Other Index Options'!$B:$B,G$4))</f>
        <v/>
      </c>
      <c r="H124" s="26">
        <f>IF(SUM(B124:G124)=0,"",SUM(B124:G124))</f>
        <v/>
      </c>
    </row>
    <row r="125" hidden="1" outlineLevel="1">
      <c r="A125" t="inlineStr">
        <is>
          <t>Week3-Sep-2027</t>
        </is>
      </c>
      <c r="B125" s="26">
        <f>IF(SUMIFS('NSE - NIFTY Index Options'!$M:$M,'NSE - NIFTY Index Options'!$C:$C,$A125,'NSE - NIFTY Index Options'!$B:$B,B$4)+SUMIFS('NSE - Other Index Options'!$M:$M,'NSE - Other Index Options'!$C:$C,$A125,'NSE - Other Index Options'!$B:$B,B$4)=0,"",SUMIFS('NSE - NIFTY Index Options'!$M:$M,'NSE - NIFTY Index Options'!$C:$C,$A125,'NSE - NIFTY Index Options'!$B:$B,B$4)+SUMIFS('NSE - Other Index Options'!$M:$M,'NSE - Other Index Options'!$C:$C,$A125,'NSE - Other Index Options'!$B:$B,B$4))</f>
        <v/>
      </c>
      <c r="C125" s="26">
        <f>IF(SUMIFS('NSE - NIFTY Index Options'!$M:$M,'NSE - NIFTY Index Options'!$C:$C,$A125,'NSE - NIFTY Index Options'!$B:$B,C$4)+SUMIFS('NSE - Other Index Options'!$M:$M,'NSE - Other Index Options'!$C:$C,$A125,'NSE - Other Index Options'!$B:$B,C$4)=0,"",SUMIFS('NSE - NIFTY Index Options'!$M:$M,'NSE - NIFTY Index Options'!$C:$C,$A125,'NSE - NIFTY Index Options'!$B:$B,C$4)+SUMIFS('NSE - Other Index Options'!$M:$M,'NSE - Other Index Options'!$C:$C,$A125,'NSE - Other Index Options'!$B:$B,C$4))</f>
        <v/>
      </c>
      <c r="D125" s="26">
        <f>IF(SUMIFS('NSE - NIFTY Index Options'!$M:$M,'NSE - NIFTY Index Options'!$C:$C,$A125,'NSE - NIFTY Index Options'!$B:$B,D$4)+SUMIFS('NSE - Other Index Options'!$M:$M,'NSE - Other Index Options'!$C:$C,$A125,'NSE - Other Index Options'!$B:$B,D$4)=0,"",SUMIFS('NSE - NIFTY Index Options'!$M:$M,'NSE - NIFTY Index Options'!$C:$C,$A125,'NSE - NIFTY Index Options'!$B:$B,D$4)+SUMIFS('NSE - Other Index Options'!$M:$M,'NSE - Other Index Options'!$C:$C,$A125,'NSE - Other Index Options'!$B:$B,D$4))</f>
        <v/>
      </c>
      <c r="E125" s="26">
        <f>IF(SUMIFS('NSE - NIFTY Index Options'!$M:$M,'NSE - NIFTY Index Options'!$C:$C,$A125,'NSE - NIFTY Index Options'!$B:$B,E$4)+SUMIFS('NSE - Other Index Options'!$M:$M,'NSE - Other Index Options'!$C:$C,$A125,'NSE - Other Index Options'!$B:$B,E$4)=0,"",SUMIFS('NSE - NIFTY Index Options'!$M:$M,'NSE - NIFTY Index Options'!$C:$C,$A125,'NSE - NIFTY Index Options'!$B:$B,E$4)+SUMIFS('NSE - Other Index Options'!$M:$M,'NSE - Other Index Options'!$C:$C,$A125,'NSE - Other Index Options'!$B:$B,E$4))</f>
        <v/>
      </c>
      <c r="F125" s="26">
        <f>IF(SUMIFS('NSE - NIFTY Index Options'!$M:$M,'NSE - NIFTY Index Options'!$C:$C,$A125,'NSE - NIFTY Index Options'!$B:$B,F$4)+SUMIFS('NSE - Other Index Options'!$M:$M,'NSE - Other Index Options'!$C:$C,$A125,'NSE - Other Index Options'!$B:$B,F$4)=0,"",SUMIFS('NSE - NIFTY Index Options'!$M:$M,'NSE - NIFTY Index Options'!$C:$C,$A125,'NSE - NIFTY Index Options'!$B:$B,F$4)+SUMIFS('NSE - Other Index Options'!$M:$M,'NSE - Other Index Options'!$C:$C,$A125,'NSE - Other Index Options'!$B:$B,F$4))</f>
        <v/>
      </c>
      <c r="G125" s="26">
        <f>IF(SUMIFS('NSE - NIFTY Index Options'!$M:$M,'NSE - NIFTY Index Options'!$C:$C,$A125,'NSE - NIFTY Index Options'!$B:$B,G$4)+SUMIFS('NSE - Other Index Options'!$M:$M,'NSE - Other Index Options'!$C:$C,$A125,'NSE - Other Index Options'!$B:$B,G$4)=0,"",SUMIFS('NSE - NIFTY Index Options'!$M:$M,'NSE - NIFTY Index Options'!$C:$C,$A125,'NSE - NIFTY Index Options'!$B:$B,G$4)+SUMIFS('NSE - Other Index Options'!$M:$M,'NSE - Other Index Options'!$C:$C,$A125,'NSE - Other Index Options'!$B:$B,G$4))</f>
        <v/>
      </c>
      <c r="H125" s="26">
        <f>IF(SUM(B125:G125)=0,"",SUM(B125:G125))</f>
        <v/>
      </c>
    </row>
    <row r="126" hidden="1" outlineLevel="1">
      <c r="A126" t="inlineStr">
        <is>
          <t>Week4-Sep-2027</t>
        </is>
      </c>
      <c r="B126" s="26">
        <f>IF(SUMIFS('NSE - NIFTY Index Options'!$M:$M,'NSE - NIFTY Index Options'!$C:$C,$A126,'NSE - NIFTY Index Options'!$B:$B,B$4)+SUMIFS('NSE - Other Index Options'!$M:$M,'NSE - Other Index Options'!$C:$C,$A126,'NSE - Other Index Options'!$B:$B,B$4)=0,"",SUMIFS('NSE - NIFTY Index Options'!$M:$M,'NSE - NIFTY Index Options'!$C:$C,$A126,'NSE - NIFTY Index Options'!$B:$B,B$4)+SUMIFS('NSE - Other Index Options'!$M:$M,'NSE - Other Index Options'!$C:$C,$A126,'NSE - Other Index Options'!$B:$B,B$4))</f>
        <v/>
      </c>
      <c r="C126" s="26">
        <f>IF(SUMIFS('NSE - NIFTY Index Options'!$M:$M,'NSE - NIFTY Index Options'!$C:$C,$A126,'NSE - NIFTY Index Options'!$B:$B,C$4)+SUMIFS('NSE - Other Index Options'!$M:$M,'NSE - Other Index Options'!$C:$C,$A126,'NSE - Other Index Options'!$B:$B,C$4)=0,"",SUMIFS('NSE - NIFTY Index Options'!$M:$M,'NSE - NIFTY Index Options'!$C:$C,$A126,'NSE - NIFTY Index Options'!$B:$B,C$4)+SUMIFS('NSE - Other Index Options'!$M:$M,'NSE - Other Index Options'!$C:$C,$A126,'NSE - Other Index Options'!$B:$B,C$4))</f>
        <v/>
      </c>
      <c r="D126" s="26">
        <f>IF(SUMIFS('NSE - NIFTY Index Options'!$M:$M,'NSE - NIFTY Index Options'!$C:$C,$A126,'NSE - NIFTY Index Options'!$B:$B,D$4)+SUMIFS('NSE - Other Index Options'!$M:$M,'NSE - Other Index Options'!$C:$C,$A126,'NSE - Other Index Options'!$B:$B,D$4)=0,"",SUMIFS('NSE - NIFTY Index Options'!$M:$M,'NSE - NIFTY Index Options'!$C:$C,$A126,'NSE - NIFTY Index Options'!$B:$B,D$4)+SUMIFS('NSE - Other Index Options'!$M:$M,'NSE - Other Index Options'!$C:$C,$A126,'NSE - Other Index Options'!$B:$B,D$4))</f>
        <v/>
      </c>
      <c r="E126" s="26">
        <f>IF(SUMIFS('NSE - NIFTY Index Options'!$M:$M,'NSE - NIFTY Index Options'!$C:$C,$A126,'NSE - NIFTY Index Options'!$B:$B,E$4)+SUMIFS('NSE - Other Index Options'!$M:$M,'NSE - Other Index Options'!$C:$C,$A126,'NSE - Other Index Options'!$B:$B,E$4)=0,"",SUMIFS('NSE - NIFTY Index Options'!$M:$M,'NSE - NIFTY Index Options'!$C:$C,$A126,'NSE - NIFTY Index Options'!$B:$B,E$4)+SUMIFS('NSE - Other Index Options'!$M:$M,'NSE - Other Index Options'!$C:$C,$A126,'NSE - Other Index Options'!$B:$B,E$4))</f>
        <v/>
      </c>
      <c r="F126" s="26">
        <f>IF(SUMIFS('NSE - NIFTY Index Options'!$M:$M,'NSE - NIFTY Index Options'!$C:$C,$A126,'NSE - NIFTY Index Options'!$B:$B,F$4)+SUMIFS('NSE - Other Index Options'!$M:$M,'NSE - Other Index Options'!$C:$C,$A126,'NSE - Other Index Options'!$B:$B,F$4)=0,"",SUMIFS('NSE - NIFTY Index Options'!$M:$M,'NSE - NIFTY Index Options'!$C:$C,$A126,'NSE - NIFTY Index Options'!$B:$B,F$4)+SUMIFS('NSE - Other Index Options'!$M:$M,'NSE - Other Index Options'!$C:$C,$A126,'NSE - Other Index Options'!$B:$B,F$4))</f>
        <v/>
      </c>
      <c r="G126" s="26">
        <f>IF(SUMIFS('NSE - NIFTY Index Options'!$M:$M,'NSE - NIFTY Index Options'!$C:$C,$A126,'NSE - NIFTY Index Options'!$B:$B,G$4)+SUMIFS('NSE - Other Index Options'!$M:$M,'NSE - Other Index Options'!$C:$C,$A126,'NSE - Other Index Options'!$B:$B,G$4)=0,"",SUMIFS('NSE - NIFTY Index Options'!$M:$M,'NSE - NIFTY Index Options'!$C:$C,$A126,'NSE - NIFTY Index Options'!$B:$B,G$4)+SUMIFS('NSE - Other Index Options'!$M:$M,'NSE - Other Index Options'!$C:$C,$A126,'NSE - Other Index Options'!$B:$B,G$4))</f>
        <v/>
      </c>
      <c r="H126" s="26">
        <f>IF(SUM(B126:G126)=0,"",SUM(B126:G126))</f>
        <v/>
      </c>
    </row>
    <row r="127" hidden="1" outlineLevel="1">
      <c r="A127" t="inlineStr">
        <is>
          <t>Week5-Sep-2027</t>
        </is>
      </c>
      <c r="B127" s="26">
        <f>IF(SUMIFS('NSE - NIFTY Index Options'!$M:$M,'NSE - NIFTY Index Options'!$C:$C,$A127,'NSE - NIFTY Index Options'!$B:$B,B$4)+SUMIFS('NSE - Other Index Options'!$M:$M,'NSE - Other Index Options'!$C:$C,$A127,'NSE - Other Index Options'!$B:$B,B$4)=0,"",SUMIFS('NSE - NIFTY Index Options'!$M:$M,'NSE - NIFTY Index Options'!$C:$C,$A127,'NSE - NIFTY Index Options'!$B:$B,B$4)+SUMIFS('NSE - Other Index Options'!$M:$M,'NSE - Other Index Options'!$C:$C,$A127,'NSE - Other Index Options'!$B:$B,B$4))</f>
        <v/>
      </c>
      <c r="C127" s="26">
        <f>IF(SUMIFS('NSE - NIFTY Index Options'!$M:$M,'NSE - NIFTY Index Options'!$C:$C,$A127,'NSE - NIFTY Index Options'!$B:$B,C$4)+SUMIFS('NSE - Other Index Options'!$M:$M,'NSE - Other Index Options'!$C:$C,$A127,'NSE - Other Index Options'!$B:$B,C$4)=0,"",SUMIFS('NSE - NIFTY Index Options'!$M:$M,'NSE - NIFTY Index Options'!$C:$C,$A127,'NSE - NIFTY Index Options'!$B:$B,C$4)+SUMIFS('NSE - Other Index Options'!$M:$M,'NSE - Other Index Options'!$C:$C,$A127,'NSE - Other Index Options'!$B:$B,C$4))</f>
        <v/>
      </c>
      <c r="D127" s="26">
        <f>IF(SUMIFS('NSE - NIFTY Index Options'!$M:$M,'NSE - NIFTY Index Options'!$C:$C,$A127,'NSE - NIFTY Index Options'!$B:$B,D$4)+SUMIFS('NSE - Other Index Options'!$M:$M,'NSE - Other Index Options'!$C:$C,$A127,'NSE - Other Index Options'!$B:$B,D$4)=0,"",SUMIFS('NSE - NIFTY Index Options'!$M:$M,'NSE - NIFTY Index Options'!$C:$C,$A127,'NSE - NIFTY Index Options'!$B:$B,D$4)+SUMIFS('NSE - Other Index Options'!$M:$M,'NSE - Other Index Options'!$C:$C,$A127,'NSE - Other Index Options'!$B:$B,D$4))</f>
        <v/>
      </c>
      <c r="E127" s="26">
        <f>IF(SUMIFS('NSE - NIFTY Index Options'!$M:$M,'NSE - NIFTY Index Options'!$C:$C,$A127,'NSE - NIFTY Index Options'!$B:$B,E$4)+SUMIFS('NSE - Other Index Options'!$M:$M,'NSE - Other Index Options'!$C:$C,$A127,'NSE - Other Index Options'!$B:$B,E$4)=0,"",SUMIFS('NSE - NIFTY Index Options'!$M:$M,'NSE - NIFTY Index Options'!$C:$C,$A127,'NSE - NIFTY Index Options'!$B:$B,E$4)+SUMIFS('NSE - Other Index Options'!$M:$M,'NSE - Other Index Options'!$C:$C,$A127,'NSE - Other Index Options'!$B:$B,E$4))</f>
        <v/>
      </c>
      <c r="F127" s="26">
        <f>IF(SUMIFS('NSE - NIFTY Index Options'!$M:$M,'NSE - NIFTY Index Options'!$C:$C,$A127,'NSE - NIFTY Index Options'!$B:$B,F$4)+SUMIFS('NSE - Other Index Options'!$M:$M,'NSE - Other Index Options'!$C:$C,$A127,'NSE - Other Index Options'!$B:$B,F$4)=0,"",SUMIFS('NSE - NIFTY Index Options'!$M:$M,'NSE - NIFTY Index Options'!$C:$C,$A127,'NSE - NIFTY Index Options'!$B:$B,F$4)+SUMIFS('NSE - Other Index Options'!$M:$M,'NSE - Other Index Options'!$C:$C,$A127,'NSE - Other Index Options'!$B:$B,F$4))</f>
        <v/>
      </c>
      <c r="G127" s="26">
        <f>IF(SUMIFS('NSE - NIFTY Index Options'!$M:$M,'NSE - NIFTY Index Options'!$C:$C,$A127,'NSE - NIFTY Index Options'!$B:$B,G$4)+SUMIFS('NSE - Other Index Options'!$M:$M,'NSE - Other Index Options'!$C:$C,$A127,'NSE - Other Index Options'!$B:$B,G$4)=0,"",SUMIFS('NSE - NIFTY Index Options'!$M:$M,'NSE - NIFTY Index Options'!$C:$C,$A127,'NSE - NIFTY Index Options'!$B:$B,G$4)+SUMIFS('NSE - Other Index Options'!$M:$M,'NSE - Other Index Options'!$C:$C,$A127,'NSE - Other Index Options'!$B:$B,G$4))</f>
        <v/>
      </c>
      <c r="H127" s="26">
        <f>IF(SUM(B127:G127)=0,"",SUM(B127:G127))</f>
        <v/>
      </c>
    </row>
    <row r="128" hidden="1" outlineLevel="1">
      <c r="A128" t="inlineStr">
        <is>
          <t>Week1-Oct-2027</t>
        </is>
      </c>
      <c r="B128" s="26">
        <f>IF(SUMIFS('NSE - NIFTY Index Options'!$M:$M,'NSE - NIFTY Index Options'!$C:$C,$A128,'NSE - NIFTY Index Options'!$B:$B,B$4)+SUMIFS('NSE - Other Index Options'!$M:$M,'NSE - Other Index Options'!$C:$C,$A128,'NSE - Other Index Options'!$B:$B,B$4)=0,"",SUMIFS('NSE - NIFTY Index Options'!$M:$M,'NSE - NIFTY Index Options'!$C:$C,$A128,'NSE - NIFTY Index Options'!$B:$B,B$4)+SUMIFS('NSE - Other Index Options'!$M:$M,'NSE - Other Index Options'!$C:$C,$A128,'NSE - Other Index Options'!$B:$B,B$4))</f>
        <v/>
      </c>
      <c r="C128" s="26">
        <f>IF(SUMIFS('NSE - NIFTY Index Options'!$M:$M,'NSE - NIFTY Index Options'!$C:$C,$A128,'NSE - NIFTY Index Options'!$B:$B,C$4)+SUMIFS('NSE - Other Index Options'!$M:$M,'NSE - Other Index Options'!$C:$C,$A128,'NSE - Other Index Options'!$B:$B,C$4)=0,"",SUMIFS('NSE - NIFTY Index Options'!$M:$M,'NSE - NIFTY Index Options'!$C:$C,$A128,'NSE - NIFTY Index Options'!$B:$B,C$4)+SUMIFS('NSE - Other Index Options'!$M:$M,'NSE - Other Index Options'!$C:$C,$A128,'NSE - Other Index Options'!$B:$B,C$4))</f>
        <v/>
      </c>
      <c r="D128" s="26">
        <f>IF(SUMIFS('NSE - NIFTY Index Options'!$M:$M,'NSE - NIFTY Index Options'!$C:$C,$A128,'NSE - NIFTY Index Options'!$B:$B,D$4)+SUMIFS('NSE - Other Index Options'!$M:$M,'NSE - Other Index Options'!$C:$C,$A128,'NSE - Other Index Options'!$B:$B,D$4)=0,"",SUMIFS('NSE - NIFTY Index Options'!$M:$M,'NSE - NIFTY Index Options'!$C:$C,$A128,'NSE - NIFTY Index Options'!$B:$B,D$4)+SUMIFS('NSE - Other Index Options'!$M:$M,'NSE - Other Index Options'!$C:$C,$A128,'NSE - Other Index Options'!$B:$B,D$4))</f>
        <v/>
      </c>
      <c r="E128" s="26">
        <f>IF(SUMIFS('NSE - NIFTY Index Options'!$M:$M,'NSE - NIFTY Index Options'!$C:$C,$A128,'NSE - NIFTY Index Options'!$B:$B,E$4)+SUMIFS('NSE - Other Index Options'!$M:$M,'NSE - Other Index Options'!$C:$C,$A128,'NSE - Other Index Options'!$B:$B,E$4)=0,"",SUMIFS('NSE - NIFTY Index Options'!$M:$M,'NSE - NIFTY Index Options'!$C:$C,$A128,'NSE - NIFTY Index Options'!$B:$B,E$4)+SUMIFS('NSE - Other Index Options'!$M:$M,'NSE - Other Index Options'!$C:$C,$A128,'NSE - Other Index Options'!$B:$B,E$4))</f>
        <v/>
      </c>
      <c r="F128" s="26">
        <f>IF(SUMIFS('NSE - NIFTY Index Options'!$M:$M,'NSE - NIFTY Index Options'!$C:$C,$A128,'NSE - NIFTY Index Options'!$B:$B,F$4)+SUMIFS('NSE - Other Index Options'!$M:$M,'NSE - Other Index Options'!$C:$C,$A128,'NSE - Other Index Options'!$B:$B,F$4)=0,"",SUMIFS('NSE - NIFTY Index Options'!$M:$M,'NSE - NIFTY Index Options'!$C:$C,$A128,'NSE - NIFTY Index Options'!$B:$B,F$4)+SUMIFS('NSE - Other Index Options'!$M:$M,'NSE - Other Index Options'!$C:$C,$A128,'NSE - Other Index Options'!$B:$B,F$4))</f>
        <v/>
      </c>
      <c r="G128" s="26">
        <f>IF(SUMIFS('NSE - NIFTY Index Options'!$M:$M,'NSE - NIFTY Index Options'!$C:$C,$A128,'NSE - NIFTY Index Options'!$B:$B,G$4)+SUMIFS('NSE - Other Index Options'!$M:$M,'NSE - Other Index Options'!$C:$C,$A128,'NSE - Other Index Options'!$B:$B,G$4)=0,"",SUMIFS('NSE - NIFTY Index Options'!$M:$M,'NSE - NIFTY Index Options'!$C:$C,$A128,'NSE - NIFTY Index Options'!$B:$B,G$4)+SUMIFS('NSE - Other Index Options'!$M:$M,'NSE - Other Index Options'!$C:$C,$A128,'NSE - Other Index Options'!$B:$B,G$4))</f>
        <v/>
      </c>
      <c r="H128" s="26">
        <f>IF(SUM(B128:G128)=0,"",SUM(B128:G128))</f>
        <v/>
      </c>
    </row>
    <row r="129" hidden="1" outlineLevel="1">
      <c r="A129" t="inlineStr">
        <is>
          <t>Week2-Oct-2027</t>
        </is>
      </c>
      <c r="B129" s="26">
        <f>IF(SUMIFS('NSE - NIFTY Index Options'!$M:$M,'NSE - NIFTY Index Options'!$C:$C,$A129,'NSE - NIFTY Index Options'!$B:$B,B$4)+SUMIFS('NSE - Other Index Options'!$M:$M,'NSE - Other Index Options'!$C:$C,$A129,'NSE - Other Index Options'!$B:$B,B$4)=0,"",SUMIFS('NSE - NIFTY Index Options'!$M:$M,'NSE - NIFTY Index Options'!$C:$C,$A129,'NSE - NIFTY Index Options'!$B:$B,B$4)+SUMIFS('NSE - Other Index Options'!$M:$M,'NSE - Other Index Options'!$C:$C,$A129,'NSE - Other Index Options'!$B:$B,B$4))</f>
        <v/>
      </c>
      <c r="C129" s="26">
        <f>IF(SUMIFS('NSE - NIFTY Index Options'!$M:$M,'NSE - NIFTY Index Options'!$C:$C,$A129,'NSE - NIFTY Index Options'!$B:$B,C$4)+SUMIFS('NSE - Other Index Options'!$M:$M,'NSE - Other Index Options'!$C:$C,$A129,'NSE - Other Index Options'!$B:$B,C$4)=0,"",SUMIFS('NSE - NIFTY Index Options'!$M:$M,'NSE - NIFTY Index Options'!$C:$C,$A129,'NSE - NIFTY Index Options'!$B:$B,C$4)+SUMIFS('NSE - Other Index Options'!$M:$M,'NSE - Other Index Options'!$C:$C,$A129,'NSE - Other Index Options'!$B:$B,C$4))</f>
        <v/>
      </c>
      <c r="D129" s="26">
        <f>IF(SUMIFS('NSE - NIFTY Index Options'!$M:$M,'NSE - NIFTY Index Options'!$C:$C,$A129,'NSE - NIFTY Index Options'!$B:$B,D$4)+SUMIFS('NSE - Other Index Options'!$M:$M,'NSE - Other Index Options'!$C:$C,$A129,'NSE - Other Index Options'!$B:$B,D$4)=0,"",SUMIFS('NSE - NIFTY Index Options'!$M:$M,'NSE - NIFTY Index Options'!$C:$C,$A129,'NSE - NIFTY Index Options'!$B:$B,D$4)+SUMIFS('NSE - Other Index Options'!$M:$M,'NSE - Other Index Options'!$C:$C,$A129,'NSE - Other Index Options'!$B:$B,D$4))</f>
        <v/>
      </c>
      <c r="E129" s="26">
        <f>IF(SUMIFS('NSE - NIFTY Index Options'!$M:$M,'NSE - NIFTY Index Options'!$C:$C,$A129,'NSE - NIFTY Index Options'!$B:$B,E$4)+SUMIFS('NSE - Other Index Options'!$M:$M,'NSE - Other Index Options'!$C:$C,$A129,'NSE - Other Index Options'!$B:$B,E$4)=0,"",SUMIFS('NSE - NIFTY Index Options'!$M:$M,'NSE - NIFTY Index Options'!$C:$C,$A129,'NSE - NIFTY Index Options'!$B:$B,E$4)+SUMIFS('NSE - Other Index Options'!$M:$M,'NSE - Other Index Options'!$C:$C,$A129,'NSE - Other Index Options'!$B:$B,E$4))</f>
        <v/>
      </c>
      <c r="F129" s="26">
        <f>IF(SUMIFS('NSE - NIFTY Index Options'!$M:$M,'NSE - NIFTY Index Options'!$C:$C,$A129,'NSE - NIFTY Index Options'!$B:$B,F$4)+SUMIFS('NSE - Other Index Options'!$M:$M,'NSE - Other Index Options'!$C:$C,$A129,'NSE - Other Index Options'!$B:$B,F$4)=0,"",SUMIFS('NSE - NIFTY Index Options'!$M:$M,'NSE - NIFTY Index Options'!$C:$C,$A129,'NSE - NIFTY Index Options'!$B:$B,F$4)+SUMIFS('NSE - Other Index Options'!$M:$M,'NSE - Other Index Options'!$C:$C,$A129,'NSE - Other Index Options'!$B:$B,F$4))</f>
        <v/>
      </c>
      <c r="G129" s="26">
        <f>IF(SUMIFS('NSE - NIFTY Index Options'!$M:$M,'NSE - NIFTY Index Options'!$C:$C,$A129,'NSE - NIFTY Index Options'!$B:$B,G$4)+SUMIFS('NSE - Other Index Options'!$M:$M,'NSE - Other Index Options'!$C:$C,$A129,'NSE - Other Index Options'!$B:$B,G$4)=0,"",SUMIFS('NSE - NIFTY Index Options'!$M:$M,'NSE - NIFTY Index Options'!$C:$C,$A129,'NSE - NIFTY Index Options'!$B:$B,G$4)+SUMIFS('NSE - Other Index Options'!$M:$M,'NSE - Other Index Options'!$C:$C,$A129,'NSE - Other Index Options'!$B:$B,G$4))</f>
        <v/>
      </c>
      <c r="H129" s="26">
        <f>IF(SUM(B129:G129)=0,"",SUM(B129:G129))</f>
        <v/>
      </c>
    </row>
    <row r="130" hidden="1" outlineLevel="1">
      <c r="A130" t="inlineStr">
        <is>
          <t>Week3-Oct-2027</t>
        </is>
      </c>
      <c r="B130" s="26">
        <f>IF(SUMIFS('NSE - NIFTY Index Options'!$M:$M,'NSE - NIFTY Index Options'!$C:$C,$A130,'NSE - NIFTY Index Options'!$B:$B,B$4)+SUMIFS('NSE - Other Index Options'!$M:$M,'NSE - Other Index Options'!$C:$C,$A130,'NSE - Other Index Options'!$B:$B,B$4)=0,"",SUMIFS('NSE - NIFTY Index Options'!$M:$M,'NSE - NIFTY Index Options'!$C:$C,$A130,'NSE - NIFTY Index Options'!$B:$B,B$4)+SUMIFS('NSE - Other Index Options'!$M:$M,'NSE - Other Index Options'!$C:$C,$A130,'NSE - Other Index Options'!$B:$B,B$4))</f>
        <v/>
      </c>
      <c r="C130" s="26">
        <f>IF(SUMIFS('NSE - NIFTY Index Options'!$M:$M,'NSE - NIFTY Index Options'!$C:$C,$A130,'NSE - NIFTY Index Options'!$B:$B,C$4)+SUMIFS('NSE - Other Index Options'!$M:$M,'NSE - Other Index Options'!$C:$C,$A130,'NSE - Other Index Options'!$B:$B,C$4)=0,"",SUMIFS('NSE - NIFTY Index Options'!$M:$M,'NSE - NIFTY Index Options'!$C:$C,$A130,'NSE - NIFTY Index Options'!$B:$B,C$4)+SUMIFS('NSE - Other Index Options'!$M:$M,'NSE - Other Index Options'!$C:$C,$A130,'NSE - Other Index Options'!$B:$B,C$4))</f>
        <v/>
      </c>
      <c r="D130" s="26">
        <f>IF(SUMIFS('NSE - NIFTY Index Options'!$M:$M,'NSE - NIFTY Index Options'!$C:$C,$A130,'NSE - NIFTY Index Options'!$B:$B,D$4)+SUMIFS('NSE - Other Index Options'!$M:$M,'NSE - Other Index Options'!$C:$C,$A130,'NSE - Other Index Options'!$B:$B,D$4)=0,"",SUMIFS('NSE - NIFTY Index Options'!$M:$M,'NSE - NIFTY Index Options'!$C:$C,$A130,'NSE - NIFTY Index Options'!$B:$B,D$4)+SUMIFS('NSE - Other Index Options'!$M:$M,'NSE - Other Index Options'!$C:$C,$A130,'NSE - Other Index Options'!$B:$B,D$4))</f>
        <v/>
      </c>
      <c r="E130" s="26">
        <f>IF(SUMIFS('NSE - NIFTY Index Options'!$M:$M,'NSE - NIFTY Index Options'!$C:$C,$A130,'NSE - NIFTY Index Options'!$B:$B,E$4)+SUMIFS('NSE - Other Index Options'!$M:$M,'NSE - Other Index Options'!$C:$C,$A130,'NSE - Other Index Options'!$B:$B,E$4)=0,"",SUMIFS('NSE - NIFTY Index Options'!$M:$M,'NSE - NIFTY Index Options'!$C:$C,$A130,'NSE - NIFTY Index Options'!$B:$B,E$4)+SUMIFS('NSE - Other Index Options'!$M:$M,'NSE - Other Index Options'!$C:$C,$A130,'NSE - Other Index Options'!$B:$B,E$4))</f>
        <v/>
      </c>
      <c r="F130" s="26">
        <f>IF(SUMIFS('NSE - NIFTY Index Options'!$M:$M,'NSE - NIFTY Index Options'!$C:$C,$A130,'NSE - NIFTY Index Options'!$B:$B,F$4)+SUMIFS('NSE - Other Index Options'!$M:$M,'NSE - Other Index Options'!$C:$C,$A130,'NSE - Other Index Options'!$B:$B,F$4)=0,"",SUMIFS('NSE - NIFTY Index Options'!$M:$M,'NSE - NIFTY Index Options'!$C:$C,$A130,'NSE - NIFTY Index Options'!$B:$B,F$4)+SUMIFS('NSE - Other Index Options'!$M:$M,'NSE - Other Index Options'!$C:$C,$A130,'NSE - Other Index Options'!$B:$B,F$4))</f>
        <v/>
      </c>
      <c r="G130" s="26">
        <f>IF(SUMIFS('NSE - NIFTY Index Options'!$M:$M,'NSE - NIFTY Index Options'!$C:$C,$A130,'NSE - NIFTY Index Options'!$B:$B,G$4)+SUMIFS('NSE - Other Index Options'!$M:$M,'NSE - Other Index Options'!$C:$C,$A130,'NSE - Other Index Options'!$B:$B,G$4)=0,"",SUMIFS('NSE - NIFTY Index Options'!$M:$M,'NSE - NIFTY Index Options'!$C:$C,$A130,'NSE - NIFTY Index Options'!$B:$B,G$4)+SUMIFS('NSE - Other Index Options'!$M:$M,'NSE - Other Index Options'!$C:$C,$A130,'NSE - Other Index Options'!$B:$B,G$4))</f>
        <v/>
      </c>
      <c r="H130" s="26">
        <f>IF(SUM(B130:G130)=0,"",SUM(B130:G130))</f>
        <v/>
      </c>
    </row>
    <row r="131" hidden="1" outlineLevel="1">
      <c r="A131" t="inlineStr">
        <is>
          <t>Week4-Oct-2027</t>
        </is>
      </c>
      <c r="B131" s="26">
        <f>IF(SUMIFS('NSE - NIFTY Index Options'!$M:$M,'NSE - NIFTY Index Options'!$C:$C,$A131,'NSE - NIFTY Index Options'!$B:$B,B$4)+SUMIFS('NSE - Other Index Options'!$M:$M,'NSE - Other Index Options'!$C:$C,$A131,'NSE - Other Index Options'!$B:$B,B$4)=0,"",SUMIFS('NSE - NIFTY Index Options'!$M:$M,'NSE - NIFTY Index Options'!$C:$C,$A131,'NSE - NIFTY Index Options'!$B:$B,B$4)+SUMIFS('NSE - Other Index Options'!$M:$M,'NSE - Other Index Options'!$C:$C,$A131,'NSE - Other Index Options'!$B:$B,B$4))</f>
        <v/>
      </c>
      <c r="C131" s="26">
        <f>IF(SUMIFS('NSE - NIFTY Index Options'!$M:$M,'NSE - NIFTY Index Options'!$C:$C,$A131,'NSE - NIFTY Index Options'!$B:$B,C$4)+SUMIFS('NSE - Other Index Options'!$M:$M,'NSE - Other Index Options'!$C:$C,$A131,'NSE - Other Index Options'!$B:$B,C$4)=0,"",SUMIFS('NSE - NIFTY Index Options'!$M:$M,'NSE - NIFTY Index Options'!$C:$C,$A131,'NSE - NIFTY Index Options'!$B:$B,C$4)+SUMIFS('NSE - Other Index Options'!$M:$M,'NSE - Other Index Options'!$C:$C,$A131,'NSE - Other Index Options'!$B:$B,C$4))</f>
        <v/>
      </c>
      <c r="D131" s="26">
        <f>IF(SUMIFS('NSE - NIFTY Index Options'!$M:$M,'NSE - NIFTY Index Options'!$C:$C,$A131,'NSE - NIFTY Index Options'!$B:$B,D$4)+SUMIFS('NSE - Other Index Options'!$M:$M,'NSE - Other Index Options'!$C:$C,$A131,'NSE - Other Index Options'!$B:$B,D$4)=0,"",SUMIFS('NSE - NIFTY Index Options'!$M:$M,'NSE - NIFTY Index Options'!$C:$C,$A131,'NSE - NIFTY Index Options'!$B:$B,D$4)+SUMIFS('NSE - Other Index Options'!$M:$M,'NSE - Other Index Options'!$C:$C,$A131,'NSE - Other Index Options'!$B:$B,D$4))</f>
        <v/>
      </c>
      <c r="E131" s="26">
        <f>IF(SUMIFS('NSE - NIFTY Index Options'!$M:$M,'NSE - NIFTY Index Options'!$C:$C,$A131,'NSE - NIFTY Index Options'!$B:$B,E$4)+SUMIFS('NSE - Other Index Options'!$M:$M,'NSE - Other Index Options'!$C:$C,$A131,'NSE - Other Index Options'!$B:$B,E$4)=0,"",SUMIFS('NSE - NIFTY Index Options'!$M:$M,'NSE - NIFTY Index Options'!$C:$C,$A131,'NSE - NIFTY Index Options'!$B:$B,E$4)+SUMIFS('NSE - Other Index Options'!$M:$M,'NSE - Other Index Options'!$C:$C,$A131,'NSE - Other Index Options'!$B:$B,E$4))</f>
        <v/>
      </c>
      <c r="F131" s="26">
        <f>IF(SUMIFS('NSE - NIFTY Index Options'!$M:$M,'NSE - NIFTY Index Options'!$C:$C,$A131,'NSE - NIFTY Index Options'!$B:$B,F$4)+SUMIFS('NSE - Other Index Options'!$M:$M,'NSE - Other Index Options'!$C:$C,$A131,'NSE - Other Index Options'!$B:$B,F$4)=0,"",SUMIFS('NSE - NIFTY Index Options'!$M:$M,'NSE - NIFTY Index Options'!$C:$C,$A131,'NSE - NIFTY Index Options'!$B:$B,F$4)+SUMIFS('NSE - Other Index Options'!$M:$M,'NSE - Other Index Options'!$C:$C,$A131,'NSE - Other Index Options'!$B:$B,F$4))</f>
        <v/>
      </c>
      <c r="G131" s="26">
        <f>IF(SUMIFS('NSE - NIFTY Index Options'!$M:$M,'NSE - NIFTY Index Options'!$C:$C,$A131,'NSE - NIFTY Index Options'!$B:$B,G$4)+SUMIFS('NSE - Other Index Options'!$M:$M,'NSE - Other Index Options'!$C:$C,$A131,'NSE - Other Index Options'!$B:$B,G$4)=0,"",SUMIFS('NSE - NIFTY Index Options'!$M:$M,'NSE - NIFTY Index Options'!$C:$C,$A131,'NSE - NIFTY Index Options'!$B:$B,G$4)+SUMIFS('NSE - Other Index Options'!$M:$M,'NSE - Other Index Options'!$C:$C,$A131,'NSE - Other Index Options'!$B:$B,G$4))</f>
        <v/>
      </c>
      <c r="H131" s="26">
        <f>IF(SUM(B131:G131)=0,"",SUM(B131:G131))</f>
        <v/>
      </c>
    </row>
    <row r="132" hidden="1" outlineLevel="1">
      <c r="A132" t="inlineStr">
        <is>
          <t>Week5-Oct-2027</t>
        </is>
      </c>
      <c r="B132" s="26">
        <f>IF(SUMIFS('NSE - NIFTY Index Options'!$M:$M,'NSE - NIFTY Index Options'!$C:$C,$A132,'NSE - NIFTY Index Options'!$B:$B,B$4)+SUMIFS('NSE - Other Index Options'!$M:$M,'NSE - Other Index Options'!$C:$C,$A132,'NSE - Other Index Options'!$B:$B,B$4)=0,"",SUMIFS('NSE - NIFTY Index Options'!$M:$M,'NSE - NIFTY Index Options'!$C:$C,$A132,'NSE - NIFTY Index Options'!$B:$B,B$4)+SUMIFS('NSE - Other Index Options'!$M:$M,'NSE - Other Index Options'!$C:$C,$A132,'NSE - Other Index Options'!$B:$B,B$4))</f>
        <v/>
      </c>
      <c r="C132" s="26">
        <f>IF(SUMIFS('NSE - NIFTY Index Options'!$M:$M,'NSE - NIFTY Index Options'!$C:$C,$A132,'NSE - NIFTY Index Options'!$B:$B,C$4)+SUMIFS('NSE - Other Index Options'!$M:$M,'NSE - Other Index Options'!$C:$C,$A132,'NSE - Other Index Options'!$B:$B,C$4)=0,"",SUMIFS('NSE - NIFTY Index Options'!$M:$M,'NSE - NIFTY Index Options'!$C:$C,$A132,'NSE - NIFTY Index Options'!$B:$B,C$4)+SUMIFS('NSE - Other Index Options'!$M:$M,'NSE - Other Index Options'!$C:$C,$A132,'NSE - Other Index Options'!$B:$B,C$4))</f>
        <v/>
      </c>
      <c r="D132" s="26">
        <f>IF(SUMIFS('NSE - NIFTY Index Options'!$M:$M,'NSE - NIFTY Index Options'!$C:$C,$A132,'NSE - NIFTY Index Options'!$B:$B,D$4)+SUMIFS('NSE - Other Index Options'!$M:$M,'NSE - Other Index Options'!$C:$C,$A132,'NSE - Other Index Options'!$B:$B,D$4)=0,"",SUMIFS('NSE - NIFTY Index Options'!$M:$M,'NSE - NIFTY Index Options'!$C:$C,$A132,'NSE - NIFTY Index Options'!$B:$B,D$4)+SUMIFS('NSE - Other Index Options'!$M:$M,'NSE - Other Index Options'!$C:$C,$A132,'NSE - Other Index Options'!$B:$B,D$4))</f>
        <v/>
      </c>
      <c r="E132" s="26">
        <f>IF(SUMIFS('NSE - NIFTY Index Options'!$M:$M,'NSE - NIFTY Index Options'!$C:$C,$A132,'NSE - NIFTY Index Options'!$B:$B,E$4)+SUMIFS('NSE - Other Index Options'!$M:$M,'NSE - Other Index Options'!$C:$C,$A132,'NSE - Other Index Options'!$B:$B,E$4)=0,"",SUMIFS('NSE - NIFTY Index Options'!$M:$M,'NSE - NIFTY Index Options'!$C:$C,$A132,'NSE - NIFTY Index Options'!$B:$B,E$4)+SUMIFS('NSE - Other Index Options'!$M:$M,'NSE - Other Index Options'!$C:$C,$A132,'NSE - Other Index Options'!$B:$B,E$4))</f>
        <v/>
      </c>
      <c r="F132" s="26">
        <f>IF(SUMIFS('NSE - NIFTY Index Options'!$M:$M,'NSE - NIFTY Index Options'!$C:$C,$A132,'NSE - NIFTY Index Options'!$B:$B,F$4)+SUMIFS('NSE - Other Index Options'!$M:$M,'NSE - Other Index Options'!$C:$C,$A132,'NSE - Other Index Options'!$B:$B,F$4)=0,"",SUMIFS('NSE - NIFTY Index Options'!$M:$M,'NSE - NIFTY Index Options'!$C:$C,$A132,'NSE - NIFTY Index Options'!$B:$B,F$4)+SUMIFS('NSE - Other Index Options'!$M:$M,'NSE - Other Index Options'!$C:$C,$A132,'NSE - Other Index Options'!$B:$B,F$4))</f>
        <v/>
      </c>
      <c r="G132" s="26">
        <f>IF(SUMIFS('NSE - NIFTY Index Options'!$M:$M,'NSE - NIFTY Index Options'!$C:$C,$A132,'NSE - NIFTY Index Options'!$B:$B,G$4)+SUMIFS('NSE - Other Index Options'!$M:$M,'NSE - Other Index Options'!$C:$C,$A132,'NSE - Other Index Options'!$B:$B,G$4)=0,"",SUMIFS('NSE - NIFTY Index Options'!$M:$M,'NSE - NIFTY Index Options'!$C:$C,$A132,'NSE - NIFTY Index Options'!$B:$B,G$4)+SUMIFS('NSE - Other Index Options'!$M:$M,'NSE - Other Index Options'!$C:$C,$A132,'NSE - Other Index Options'!$B:$B,G$4))</f>
        <v/>
      </c>
      <c r="H132" s="26">
        <f>IF(SUM(B132:G132)=0,"",SUM(B132:G132))</f>
        <v/>
      </c>
    </row>
    <row r="133" hidden="1" outlineLevel="1">
      <c r="A133" t="inlineStr">
        <is>
          <t>Week1-Nov-2027</t>
        </is>
      </c>
      <c r="B133" s="26">
        <f>IF(SUMIFS('NSE - NIFTY Index Options'!$M:$M,'NSE - NIFTY Index Options'!$C:$C,$A133,'NSE - NIFTY Index Options'!$B:$B,B$4)+SUMIFS('NSE - Other Index Options'!$M:$M,'NSE - Other Index Options'!$C:$C,$A133,'NSE - Other Index Options'!$B:$B,B$4)=0,"",SUMIFS('NSE - NIFTY Index Options'!$M:$M,'NSE - NIFTY Index Options'!$C:$C,$A133,'NSE - NIFTY Index Options'!$B:$B,B$4)+SUMIFS('NSE - Other Index Options'!$M:$M,'NSE - Other Index Options'!$C:$C,$A133,'NSE - Other Index Options'!$B:$B,B$4))</f>
        <v/>
      </c>
      <c r="C133" s="26">
        <f>IF(SUMIFS('NSE - NIFTY Index Options'!$M:$M,'NSE - NIFTY Index Options'!$C:$C,$A133,'NSE - NIFTY Index Options'!$B:$B,C$4)+SUMIFS('NSE - Other Index Options'!$M:$M,'NSE - Other Index Options'!$C:$C,$A133,'NSE - Other Index Options'!$B:$B,C$4)=0,"",SUMIFS('NSE - NIFTY Index Options'!$M:$M,'NSE - NIFTY Index Options'!$C:$C,$A133,'NSE - NIFTY Index Options'!$B:$B,C$4)+SUMIFS('NSE - Other Index Options'!$M:$M,'NSE - Other Index Options'!$C:$C,$A133,'NSE - Other Index Options'!$B:$B,C$4))</f>
        <v/>
      </c>
      <c r="D133" s="26">
        <f>IF(SUMIFS('NSE - NIFTY Index Options'!$M:$M,'NSE - NIFTY Index Options'!$C:$C,$A133,'NSE - NIFTY Index Options'!$B:$B,D$4)+SUMIFS('NSE - Other Index Options'!$M:$M,'NSE - Other Index Options'!$C:$C,$A133,'NSE - Other Index Options'!$B:$B,D$4)=0,"",SUMIFS('NSE - NIFTY Index Options'!$M:$M,'NSE - NIFTY Index Options'!$C:$C,$A133,'NSE - NIFTY Index Options'!$B:$B,D$4)+SUMIFS('NSE - Other Index Options'!$M:$M,'NSE - Other Index Options'!$C:$C,$A133,'NSE - Other Index Options'!$B:$B,D$4))</f>
        <v/>
      </c>
      <c r="E133" s="26">
        <f>IF(SUMIFS('NSE - NIFTY Index Options'!$M:$M,'NSE - NIFTY Index Options'!$C:$C,$A133,'NSE - NIFTY Index Options'!$B:$B,E$4)+SUMIFS('NSE - Other Index Options'!$M:$M,'NSE - Other Index Options'!$C:$C,$A133,'NSE - Other Index Options'!$B:$B,E$4)=0,"",SUMIFS('NSE - NIFTY Index Options'!$M:$M,'NSE - NIFTY Index Options'!$C:$C,$A133,'NSE - NIFTY Index Options'!$B:$B,E$4)+SUMIFS('NSE - Other Index Options'!$M:$M,'NSE - Other Index Options'!$C:$C,$A133,'NSE - Other Index Options'!$B:$B,E$4))</f>
        <v/>
      </c>
      <c r="F133" s="26">
        <f>IF(SUMIFS('NSE - NIFTY Index Options'!$M:$M,'NSE - NIFTY Index Options'!$C:$C,$A133,'NSE - NIFTY Index Options'!$B:$B,F$4)+SUMIFS('NSE - Other Index Options'!$M:$M,'NSE - Other Index Options'!$C:$C,$A133,'NSE - Other Index Options'!$B:$B,F$4)=0,"",SUMIFS('NSE - NIFTY Index Options'!$M:$M,'NSE - NIFTY Index Options'!$C:$C,$A133,'NSE - NIFTY Index Options'!$B:$B,F$4)+SUMIFS('NSE - Other Index Options'!$M:$M,'NSE - Other Index Options'!$C:$C,$A133,'NSE - Other Index Options'!$B:$B,F$4))</f>
        <v/>
      </c>
      <c r="G133" s="26">
        <f>IF(SUMIFS('NSE - NIFTY Index Options'!$M:$M,'NSE - NIFTY Index Options'!$C:$C,$A133,'NSE - NIFTY Index Options'!$B:$B,G$4)+SUMIFS('NSE - Other Index Options'!$M:$M,'NSE - Other Index Options'!$C:$C,$A133,'NSE - Other Index Options'!$B:$B,G$4)=0,"",SUMIFS('NSE - NIFTY Index Options'!$M:$M,'NSE - NIFTY Index Options'!$C:$C,$A133,'NSE - NIFTY Index Options'!$B:$B,G$4)+SUMIFS('NSE - Other Index Options'!$M:$M,'NSE - Other Index Options'!$C:$C,$A133,'NSE - Other Index Options'!$B:$B,G$4))</f>
        <v/>
      </c>
      <c r="H133" s="26">
        <f>IF(SUM(B133:G133)=0,"",SUM(B133:G133))</f>
        <v/>
      </c>
    </row>
    <row r="134" hidden="1" outlineLevel="1">
      <c r="A134" t="inlineStr">
        <is>
          <t>Week2-Nov-2027</t>
        </is>
      </c>
      <c r="B134" s="26">
        <f>IF(SUMIFS('NSE - NIFTY Index Options'!$M:$M,'NSE - NIFTY Index Options'!$C:$C,$A134,'NSE - NIFTY Index Options'!$B:$B,B$4)+SUMIFS('NSE - Other Index Options'!$M:$M,'NSE - Other Index Options'!$C:$C,$A134,'NSE - Other Index Options'!$B:$B,B$4)=0,"",SUMIFS('NSE - NIFTY Index Options'!$M:$M,'NSE - NIFTY Index Options'!$C:$C,$A134,'NSE - NIFTY Index Options'!$B:$B,B$4)+SUMIFS('NSE - Other Index Options'!$M:$M,'NSE - Other Index Options'!$C:$C,$A134,'NSE - Other Index Options'!$B:$B,B$4))</f>
        <v/>
      </c>
      <c r="C134" s="26">
        <f>IF(SUMIFS('NSE - NIFTY Index Options'!$M:$M,'NSE - NIFTY Index Options'!$C:$C,$A134,'NSE - NIFTY Index Options'!$B:$B,C$4)+SUMIFS('NSE - Other Index Options'!$M:$M,'NSE - Other Index Options'!$C:$C,$A134,'NSE - Other Index Options'!$B:$B,C$4)=0,"",SUMIFS('NSE - NIFTY Index Options'!$M:$M,'NSE - NIFTY Index Options'!$C:$C,$A134,'NSE - NIFTY Index Options'!$B:$B,C$4)+SUMIFS('NSE - Other Index Options'!$M:$M,'NSE - Other Index Options'!$C:$C,$A134,'NSE - Other Index Options'!$B:$B,C$4))</f>
        <v/>
      </c>
      <c r="D134" s="26">
        <f>IF(SUMIFS('NSE - NIFTY Index Options'!$M:$M,'NSE - NIFTY Index Options'!$C:$C,$A134,'NSE - NIFTY Index Options'!$B:$B,D$4)+SUMIFS('NSE - Other Index Options'!$M:$M,'NSE - Other Index Options'!$C:$C,$A134,'NSE - Other Index Options'!$B:$B,D$4)=0,"",SUMIFS('NSE - NIFTY Index Options'!$M:$M,'NSE - NIFTY Index Options'!$C:$C,$A134,'NSE - NIFTY Index Options'!$B:$B,D$4)+SUMIFS('NSE - Other Index Options'!$M:$M,'NSE - Other Index Options'!$C:$C,$A134,'NSE - Other Index Options'!$B:$B,D$4))</f>
        <v/>
      </c>
      <c r="E134" s="26">
        <f>IF(SUMIFS('NSE - NIFTY Index Options'!$M:$M,'NSE - NIFTY Index Options'!$C:$C,$A134,'NSE - NIFTY Index Options'!$B:$B,E$4)+SUMIFS('NSE - Other Index Options'!$M:$M,'NSE - Other Index Options'!$C:$C,$A134,'NSE - Other Index Options'!$B:$B,E$4)=0,"",SUMIFS('NSE - NIFTY Index Options'!$M:$M,'NSE - NIFTY Index Options'!$C:$C,$A134,'NSE - NIFTY Index Options'!$B:$B,E$4)+SUMIFS('NSE - Other Index Options'!$M:$M,'NSE - Other Index Options'!$C:$C,$A134,'NSE - Other Index Options'!$B:$B,E$4))</f>
        <v/>
      </c>
      <c r="F134" s="26">
        <f>IF(SUMIFS('NSE - NIFTY Index Options'!$M:$M,'NSE - NIFTY Index Options'!$C:$C,$A134,'NSE - NIFTY Index Options'!$B:$B,F$4)+SUMIFS('NSE - Other Index Options'!$M:$M,'NSE - Other Index Options'!$C:$C,$A134,'NSE - Other Index Options'!$B:$B,F$4)=0,"",SUMIFS('NSE - NIFTY Index Options'!$M:$M,'NSE - NIFTY Index Options'!$C:$C,$A134,'NSE - NIFTY Index Options'!$B:$B,F$4)+SUMIFS('NSE - Other Index Options'!$M:$M,'NSE - Other Index Options'!$C:$C,$A134,'NSE - Other Index Options'!$B:$B,F$4))</f>
        <v/>
      </c>
      <c r="G134" s="26">
        <f>IF(SUMIFS('NSE - NIFTY Index Options'!$M:$M,'NSE - NIFTY Index Options'!$C:$C,$A134,'NSE - NIFTY Index Options'!$B:$B,G$4)+SUMIFS('NSE - Other Index Options'!$M:$M,'NSE - Other Index Options'!$C:$C,$A134,'NSE - Other Index Options'!$B:$B,G$4)=0,"",SUMIFS('NSE - NIFTY Index Options'!$M:$M,'NSE - NIFTY Index Options'!$C:$C,$A134,'NSE - NIFTY Index Options'!$B:$B,G$4)+SUMIFS('NSE - Other Index Options'!$M:$M,'NSE - Other Index Options'!$C:$C,$A134,'NSE - Other Index Options'!$B:$B,G$4))</f>
        <v/>
      </c>
      <c r="H134" s="26">
        <f>IF(SUM(B134:G134)=0,"",SUM(B134:G134))</f>
        <v/>
      </c>
    </row>
    <row r="135" hidden="1" outlineLevel="1">
      <c r="A135" t="inlineStr">
        <is>
          <t>Week3-Nov-2027</t>
        </is>
      </c>
      <c r="B135" s="26">
        <f>IF(SUMIFS('NSE - NIFTY Index Options'!$M:$M,'NSE - NIFTY Index Options'!$C:$C,$A135,'NSE - NIFTY Index Options'!$B:$B,B$4)+SUMIFS('NSE - Other Index Options'!$M:$M,'NSE - Other Index Options'!$C:$C,$A135,'NSE - Other Index Options'!$B:$B,B$4)=0,"",SUMIFS('NSE - NIFTY Index Options'!$M:$M,'NSE - NIFTY Index Options'!$C:$C,$A135,'NSE - NIFTY Index Options'!$B:$B,B$4)+SUMIFS('NSE - Other Index Options'!$M:$M,'NSE - Other Index Options'!$C:$C,$A135,'NSE - Other Index Options'!$B:$B,B$4))</f>
        <v/>
      </c>
      <c r="C135" s="26">
        <f>IF(SUMIFS('NSE - NIFTY Index Options'!$M:$M,'NSE - NIFTY Index Options'!$C:$C,$A135,'NSE - NIFTY Index Options'!$B:$B,C$4)+SUMIFS('NSE - Other Index Options'!$M:$M,'NSE - Other Index Options'!$C:$C,$A135,'NSE - Other Index Options'!$B:$B,C$4)=0,"",SUMIFS('NSE - NIFTY Index Options'!$M:$M,'NSE - NIFTY Index Options'!$C:$C,$A135,'NSE - NIFTY Index Options'!$B:$B,C$4)+SUMIFS('NSE - Other Index Options'!$M:$M,'NSE - Other Index Options'!$C:$C,$A135,'NSE - Other Index Options'!$B:$B,C$4))</f>
        <v/>
      </c>
      <c r="D135" s="26">
        <f>IF(SUMIFS('NSE - NIFTY Index Options'!$M:$M,'NSE - NIFTY Index Options'!$C:$C,$A135,'NSE - NIFTY Index Options'!$B:$B,D$4)+SUMIFS('NSE - Other Index Options'!$M:$M,'NSE - Other Index Options'!$C:$C,$A135,'NSE - Other Index Options'!$B:$B,D$4)=0,"",SUMIFS('NSE - NIFTY Index Options'!$M:$M,'NSE - NIFTY Index Options'!$C:$C,$A135,'NSE - NIFTY Index Options'!$B:$B,D$4)+SUMIFS('NSE - Other Index Options'!$M:$M,'NSE - Other Index Options'!$C:$C,$A135,'NSE - Other Index Options'!$B:$B,D$4))</f>
        <v/>
      </c>
      <c r="E135" s="26">
        <f>IF(SUMIFS('NSE - NIFTY Index Options'!$M:$M,'NSE - NIFTY Index Options'!$C:$C,$A135,'NSE - NIFTY Index Options'!$B:$B,E$4)+SUMIFS('NSE - Other Index Options'!$M:$M,'NSE - Other Index Options'!$C:$C,$A135,'NSE - Other Index Options'!$B:$B,E$4)=0,"",SUMIFS('NSE - NIFTY Index Options'!$M:$M,'NSE - NIFTY Index Options'!$C:$C,$A135,'NSE - NIFTY Index Options'!$B:$B,E$4)+SUMIFS('NSE - Other Index Options'!$M:$M,'NSE - Other Index Options'!$C:$C,$A135,'NSE - Other Index Options'!$B:$B,E$4))</f>
        <v/>
      </c>
      <c r="F135" s="26">
        <f>IF(SUMIFS('NSE - NIFTY Index Options'!$M:$M,'NSE - NIFTY Index Options'!$C:$C,$A135,'NSE - NIFTY Index Options'!$B:$B,F$4)+SUMIFS('NSE - Other Index Options'!$M:$M,'NSE - Other Index Options'!$C:$C,$A135,'NSE - Other Index Options'!$B:$B,F$4)=0,"",SUMIFS('NSE - NIFTY Index Options'!$M:$M,'NSE - NIFTY Index Options'!$C:$C,$A135,'NSE - NIFTY Index Options'!$B:$B,F$4)+SUMIFS('NSE - Other Index Options'!$M:$M,'NSE - Other Index Options'!$C:$C,$A135,'NSE - Other Index Options'!$B:$B,F$4))</f>
        <v/>
      </c>
      <c r="G135" s="26">
        <f>IF(SUMIFS('NSE - NIFTY Index Options'!$M:$M,'NSE - NIFTY Index Options'!$C:$C,$A135,'NSE - NIFTY Index Options'!$B:$B,G$4)+SUMIFS('NSE - Other Index Options'!$M:$M,'NSE - Other Index Options'!$C:$C,$A135,'NSE - Other Index Options'!$B:$B,G$4)=0,"",SUMIFS('NSE - NIFTY Index Options'!$M:$M,'NSE - NIFTY Index Options'!$C:$C,$A135,'NSE - NIFTY Index Options'!$B:$B,G$4)+SUMIFS('NSE - Other Index Options'!$M:$M,'NSE - Other Index Options'!$C:$C,$A135,'NSE - Other Index Options'!$B:$B,G$4))</f>
        <v/>
      </c>
      <c r="H135" s="26">
        <f>IF(SUM(B135:G135)=0,"",SUM(B135:G135))</f>
        <v/>
      </c>
    </row>
    <row r="136" hidden="1" outlineLevel="1">
      <c r="A136" t="inlineStr">
        <is>
          <t>Week4-Nov-2027</t>
        </is>
      </c>
      <c r="B136" s="26">
        <f>IF(SUMIFS('NSE - NIFTY Index Options'!$M:$M,'NSE - NIFTY Index Options'!$C:$C,$A136,'NSE - NIFTY Index Options'!$B:$B,B$4)+SUMIFS('NSE - Other Index Options'!$M:$M,'NSE - Other Index Options'!$C:$C,$A136,'NSE - Other Index Options'!$B:$B,B$4)=0,"",SUMIFS('NSE - NIFTY Index Options'!$M:$M,'NSE - NIFTY Index Options'!$C:$C,$A136,'NSE - NIFTY Index Options'!$B:$B,B$4)+SUMIFS('NSE - Other Index Options'!$M:$M,'NSE - Other Index Options'!$C:$C,$A136,'NSE - Other Index Options'!$B:$B,B$4))</f>
        <v/>
      </c>
      <c r="C136" s="26">
        <f>IF(SUMIFS('NSE - NIFTY Index Options'!$M:$M,'NSE - NIFTY Index Options'!$C:$C,$A136,'NSE - NIFTY Index Options'!$B:$B,C$4)+SUMIFS('NSE - Other Index Options'!$M:$M,'NSE - Other Index Options'!$C:$C,$A136,'NSE - Other Index Options'!$B:$B,C$4)=0,"",SUMIFS('NSE - NIFTY Index Options'!$M:$M,'NSE - NIFTY Index Options'!$C:$C,$A136,'NSE - NIFTY Index Options'!$B:$B,C$4)+SUMIFS('NSE - Other Index Options'!$M:$M,'NSE - Other Index Options'!$C:$C,$A136,'NSE - Other Index Options'!$B:$B,C$4))</f>
        <v/>
      </c>
      <c r="D136" s="26">
        <f>IF(SUMIFS('NSE - NIFTY Index Options'!$M:$M,'NSE - NIFTY Index Options'!$C:$C,$A136,'NSE - NIFTY Index Options'!$B:$B,D$4)+SUMIFS('NSE - Other Index Options'!$M:$M,'NSE - Other Index Options'!$C:$C,$A136,'NSE - Other Index Options'!$B:$B,D$4)=0,"",SUMIFS('NSE - NIFTY Index Options'!$M:$M,'NSE - NIFTY Index Options'!$C:$C,$A136,'NSE - NIFTY Index Options'!$B:$B,D$4)+SUMIFS('NSE - Other Index Options'!$M:$M,'NSE - Other Index Options'!$C:$C,$A136,'NSE - Other Index Options'!$B:$B,D$4))</f>
        <v/>
      </c>
      <c r="E136" s="26">
        <f>IF(SUMIFS('NSE - NIFTY Index Options'!$M:$M,'NSE - NIFTY Index Options'!$C:$C,$A136,'NSE - NIFTY Index Options'!$B:$B,E$4)+SUMIFS('NSE - Other Index Options'!$M:$M,'NSE - Other Index Options'!$C:$C,$A136,'NSE - Other Index Options'!$B:$B,E$4)=0,"",SUMIFS('NSE - NIFTY Index Options'!$M:$M,'NSE - NIFTY Index Options'!$C:$C,$A136,'NSE - NIFTY Index Options'!$B:$B,E$4)+SUMIFS('NSE - Other Index Options'!$M:$M,'NSE - Other Index Options'!$C:$C,$A136,'NSE - Other Index Options'!$B:$B,E$4))</f>
        <v/>
      </c>
      <c r="F136" s="26">
        <f>IF(SUMIFS('NSE - NIFTY Index Options'!$M:$M,'NSE - NIFTY Index Options'!$C:$C,$A136,'NSE - NIFTY Index Options'!$B:$B,F$4)+SUMIFS('NSE - Other Index Options'!$M:$M,'NSE - Other Index Options'!$C:$C,$A136,'NSE - Other Index Options'!$B:$B,F$4)=0,"",SUMIFS('NSE - NIFTY Index Options'!$M:$M,'NSE - NIFTY Index Options'!$C:$C,$A136,'NSE - NIFTY Index Options'!$B:$B,F$4)+SUMIFS('NSE - Other Index Options'!$M:$M,'NSE - Other Index Options'!$C:$C,$A136,'NSE - Other Index Options'!$B:$B,F$4))</f>
        <v/>
      </c>
      <c r="G136" s="26">
        <f>IF(SUMIFS('NSE - NIFTY Index Options'!$M:$M,'NSE - NIFTY Index Options'!$C:$C,$A136,'NSE - NIFTY Index Options'!$B:$B,G$4)+SUMIFS('NSE - Other Index Options'!$M:$M,'NSE - Other Index Options'!$C:$C,$A136,'NSE - Other Index Options'!$B:$B,G$4)=0,"",SUMIFS('NSE - NIFTY Index Options'!$M:$M,'NSE - NIFTY Index Options'!$C:$C,$A136,'NSE - NIFTY Index Options'!$B:$B,G$4)+SUMIFS('NSE - Other Index Options'!$M:$M,'NSE - Other Index Options'!$C:$C,$A136,'NSE - Other Index Options'!$B:$B,G$4))</f>
        <v/>
      </c>
      <c r="H136" s="26">
        <f>IF(SUM(B136:G136)=0,"",SUM(B136:G136))</f>
        <v/>
      </c>
    </row>
    <row r="137" hidden="1" outlineLevel="1">
      <c r="A137" t="inlineStr">
        <is>
          <t>Week5-Nov-2027</t>
        </is>
      </c>
      <c r="B137" s="26">
        <f>IF(SUMIFS('NSE - NIFTY Index Options'!$M:$M,'NSE - NIFTY Index Options'!$C:$C,$A137,'NSE - NIFTY Index Options'!$B:$B,B$4)+SUMIFS('NSE - Other Index Options'!$M:$M,'NSE - Other Index Options'!$C:$C,$A137,'NSE - Other Index Options'!$B:$B,B$4)=0,"",SUMIFS('NSE - NIFTY Index Options'!$M:$M,'NSE - NIFTY Index Options'!$C:$C,$A137,'NSE - NIFTY Index Options'!$B:$B,B$4)+SUMIFS('NSE - Other Index Options'!$M:$M,'NSE - Other Index Options'!$C:$C,$A137,'NSE - Other Index Options'!$B:$B,B$4))</f>
        <v/>
      </c>
      <c r="C137" s="26">
        <f>IF(SUMIFS('NSE - NIFTY Index Options'!$M:$M,'NSE - NIFTY Index Options'!$C:$C,$A137,'NSE - NIFTY Index Options'!$B:$B,C$4)+SUMIFS('NSE - Other Index Options'!$M:$M,'NSE - Other Index Options'!$C:$C,$A137,'NSE - Other Index Options'!$B:$B,C$4)=0,"",SUMIFS('NSE - NIFTY Index Options'!$M:$M,'NSE - NIFTY Index Options'!$C:$C,$A137,'NSE - NIFTY Index Options'!$B:$B,C$4)+SUMIFS('NSE - Other Index Options'!$M:$M,'NSE - Other Index Options'!$C:$C,$A137,'NSE - Other Index Options'!$B:$B,C$4))</f>
        <v/>
      </c>
      <c r="D137" s="26">
        <f>IF(SUMIFS('NSE - NIFTY Index Options'!$M:$M,'NSE - NIFTY Index Options'!$C:$C,$A137,'NSE - NIFTY Index Options'!$B:$B,D$4)+SUMIFS('NSE - Other Index Options'!$M:$M,'NSE - Other Index Options'!$C:$C,$A137,'NSE - Other Index Options'!$B:$B,D$4)=0,"",SUMIFS('NSE - NIFTY Index Options'!$M:$M,'NSE - NIFTY Index Options'!$C:$C,$A137,'NSE - NIFTY Index Options'!$B:$B,D$4)+SUMIFS('NSE - Other Index Options'!$M:$M,'NSE - Other Index Options'!$C:$C,$A137,'NSE - Other Index Options'!$B:$B,D$4))</f>
        <v/>
      </c>
      <c r="E137" s="26">
        <f>IF(SUMIFS('NSE - NIFTY Index Options'!$M:$M,'NSE - NIFTY Index Options'!$C:$C,$A137,'NSE - NIFTY Index Options'!$B:$B,E$4)+SUMIFS('NSE - Other Index Options'!$M:$M,'NSE - Other Index Options'!$C:$C,$A137,'NSE - Other Index Options'!$B:$B,E$4)=0,"",SUMIFS('NSE - NIFTY Index Options'!$M:$M,'NSE - NIFTY Index Options'!$C:$C,$A137,'NSE - NIFTY Index Options'!$B:$B,E$4)+SUMIFS('NSE - Other Index Options'!$M:$M,'NSE - Other Index Options'!$C:$C,$A137,'NSE - Other Index Options'!$B:$B,E$4))</f>
        <v/>
      </c>
      <c r="F137" s="26">
        <f>IF(SUMIFS('NSE - NIFTY Index Options'!$M:$M,'NSE - NIFTY Index Options'!$C:$C,$A137,'NSE - NIFTY Index Options'!$B:$B,F$4)+SUMIFS('NSE - Other Index Options'!$M:$M,'NSE - Other Index Options'!$C:$C,$A137,'NSE - Other Index Options'!$B:$B,F$4)=0,"",SUMIFS('NSE - NIFTY Index Options'!$M:$M,'NSE - NIFTY Index Options'!$C:$C,$A137,'NSE - NIFTY Index Options'!$B:$B,F$4)+SUMIFS('NSE - Other Index Options'!$M:$M,'NSE - Other Index Options'!$C:$C,$A137,'NSE - Other Index Options'!$B:$B,F$4))</f>
        <v/>
      </c>
      <c r="G137" s="26">
        <f>IF(SUMIFS('NSE - NIFTY Index Options'!$M:$M,'NSE - NIFTY Index Options'!$C:$C,$A137,'NSE - NIFTY Index Options'!$B:$B,G$4)+SUMIFS('NSE - Other Index Options'!$M:$M,'NSE - Other Index Options'!$C:$C,$A137,'NSE - Other Index Options'!$B:$B,G$4)=0,"",SUMIFS('NSE - NIFTY Index Options'!$M:$M,'NSE - NIFTY Index Options'!$C:$C,$A137,'NSE - NIFTY Index Options'!$B:$B,G$4)+SUMIFS('NSE - Other Index Options'!$M:$M,'NSE - Other Index Options'!$C:$C,$A137,'NSE - Other Index Options'!$B:$B,G$4))</f>
        <v/>
      </c>
      <c r="H137" s="26">
        <f>IF(SUM(B137:G137)=0,"",SUM(B137:G137))</f>
        <v/>
      </c>
    </row>
    <row r="138" hidden="1" outlineLevel="1">
      <c r="A138" t="inlineStr">
        <is>
          <t>Week1-Dec-2027</t>
        </is>
      </c>
      <c r="B138" s="26">
        <f>IF(SUMIFS('NSE - NIFTY Index Options'!$M:$M,'NSE - NIFTY Index Options'!$C:$C,$A138,'NSE - NIFTY Index Options'!$B:$B,B$4)+SUMIFS('NSE - Other Index Options'!$M:$M,'NSE - Other Index Options'!$C:$C,$A138,'NSE - Other Index Options'!$B:$B,B$4)=0,"",SUMIFS('NSE - NIFTY Index Options'!$M:$M,'NSE - NIFTY Index Options'!$C:$C,$A138,'NSE - NIFTY Index Options'!$B:$B,B$4)+SUMIFS('NSE - Other Index Options'!$M:$M,'NSE - Other Index Options'!$C:$C,$A138,'NSE - Other Index Options'!$B:$B,B$4))</f>
        <v/>
      </c>
      <c r="C138" s="26">
        <f>IF(SUMIFS('NSE - NIFTY Index Options'!$M:$M,'NSE - NIFTY Index Options'!$C:$C,$A138,'NSE - NIFTY Index Options'!$B:$B,C$4)+SUMIFS('NSE - Other Index Options'!$M:$M,'NSE - Other Index Options'!$C:$C,$A138,'NSE - Other Index Options'!$B:$B,C$4)=0,"",SUMIFS('NSE - NIFTY Index Options'!$M:$M,'NSE - NIFTY Index Options'!$C:$C,$A138,'NSE - NIFTY Index Options'!$B:$B,C$4)+SUMIFS('NSE - Other Index Options'!$M:$M,'NSE - Other Index Options'!$C:$C,$A138,'NSE - Other Index Options'!$B:$B,C$4))</f>
        <v/>
      </c>
      <c r="D138" s="26">
        <f>IF(SUMIFS('NSE - NIFTY Index Options'!$M:$M,'NSE - NIFTY Index Options'!$C:$C,$A138,'NSE - NIFTY Index Options'!$B:$B,D$4)+SUMIFS('NSE - Other Index Options'!$M:$M,'NSE - Other Index Options'!$C:$C,$A138,'NSE - Other Index Options'!$B:$B,D$4)=0,"",SUMIFS('NSE - NIFTY Index Options'!$M:$M,'NSE - NIFTY Index Options'!$C:$C,$A138,'NSE - NIFTY Index Options'!$B:$B,D$4)+SUMIFS('NSE - Other Index Options'!$M:$M,'NSE - Other Index Options'!$C:$C,$A138,'NSE - Other Index Options'!$B:$B,D$4))</f>
        <v/>
      </c>
      <c r="E138" s="26">
        <f>IF(SUMIFS('NSE - NIFTY Index Options'!$M:$M,'NSE - NIFTY Index Options'!$C:$C,$A138,'NSE - NIFTY Index Options'!$B:$B,E$4)+SUMIFS('NSE - Other Index Options'!$M:$M,'NSE - Other Index Options'!$C:$C,$A138,'NSE - Other Index Options'!$B:$B,E$4)=0,"",SUMIFS('NSE - NIFTY Index Options'!$M:$M,'NSE - NIFTY Index Options'!$C:$C,$A138,'NSE - NIFTY Index Options'!$B:$B,E$4)+SUMIFS('NSE - Other Index Options'!$M:$M,'NSE - Other Index Options'!$C:$C,$A138,'NSE - Other Index Options'!$B:$B,E$4))</f>
        <v/>
      </c>
      <c r="F138" s="26">
        <f>IF(SUMIFS('NSE - NIFTY Index Options'!$M:$M,'NSE - NIFTY Index Options'!$C:$C,$A138,'NSE - NIFTY Index Options'!$B:$B,F$4)+SUMIFS('NSE - Other Index Options'!$M:$M,'NSE - Other Index Options'!$C:$C,$A138,'NSE - Other Index Options'!$B:$B,F$4)=0,"",SUMIFS('NSE - NIFTY Index Options'!$M:$M,'NSE - NIFTY Index Options'!$C:$C,$A138,'NSE - NIFTY Index Options'!$B:$B,F$4)+SUMIFS('NSE - Other Index Options'!$M:$M,'NSE - Other Index Options'!$C:$C,$A138,'NSE - Other Index Options'!$B:$B,F$4))</f>
        <v/>
      </c>
      <c r="G138" s="26">
        <f>IF(SUMIFS('NSE - NIFTY Index Options'!$M:$M,'NSE - NIFTY Index Options'!$C:$C,$A138,'NSE - NIFTY Index Options'!$B:$B,G$4)+SUMIFS('NSE - Other Index Options'!$M:$M,'NSE - Other Index Options'!$C:$C,$A138,'NSE - Other Index Options'!$B:$B,G$4)=0,"",SUMIFS('NSE - NIFTY Index Options'!$M:$M,'NSE - NIFTY Index Options'!$C:$C,$A138,'NSE - NIFTY Index Options'!$B:$B,G$4)+SUMIFS('NSE - Other Index Options'!$M:$M,'NSE - Other Index Options'!$C:$C,$A138,'NSE - Other Index Options'!$B:$B,G$4))</f>
        <v/>
      </c>
      <c r="H138" s="26">
        <f>IF(SUM(B138:G138)=0,"",SUM(B138:G138))</f>
        <v/>
      </c>
    </row>
    <row r="139" hidden="1" outlineLevel="1">
      <c r="A139" t="inlineStr">
        <is>
          <t>Week2-Dec-2027</t>
        </is>
      </c>
      <c r="B139" s="26">
        <f>IF(SUMIFS('NSE - NIFTY Index Options'!$M:$M,'NSE - NIFTY Index Options'!$C:$C,$A139,'NSE - NIFTY Index Options'!$B:$B,B$4)+SUMIFS('NSE - Other Index Options'!$M:$M,'NSE - Other Index Options'!$C:$C,$A139,'NSE - Other Index Options'!$B:$B,B$4)=0,"",SUMIFS('NSE - NIFTY Index Options'!$M:$M,'NSE - NIFTY Index Options'!$C:$C,$A139,'NSE - NIFTY Index Options'!$B:$B,B$4)+SUMIFS('NSE - Other Index Options'!$M:$M,'NSE - Other Index Options'!$C:$C,$A139,'NSE - Other Index Options'!$B:$B,B$4))</f>
        <v/>
      </c>
      <c r="C139" s="26">
        <f>IF(SUMIFS('NSE - NIFTY Index Options'!$M:$M,'NSE - NIFTY Index Options'!$C:$C,$A139,'NSE - NIFTY Index Options'!$B:$B,C$4)+SUMIFS('NSE - Other Index Options'!$M:$M,'NSE - Other Index Options'!$C:$C,$A139,'NSE - Other Index Options'!$B:$B,C$4)=0,"",SUMIFS('NSE - NIFTY Index Options'!$M:$M,'NSE - NIFTY Index Options'!$C:$C,$A139,'NSE - NIFTY Index Options'!$B:$B,C$4)+SUMIFS('NSE - Other Index Options'!$M:$M,'NSE - Other Index Options'!$C:$C,$A139,'NSE - Other Index Options'!$B:$B,C$4))</f>
        <v/>
      </c>
      <c r="D139" s="26">
        <f>IF(SUMIFS('NSE - NIFTY Index Options'!$M:$M,'NSE - NIFTY Index Options'!$C:$C,$A139,'NSE - NIFTY Index Options'!$B:$B,D$4)+SUMIFS('NSE - Other Index Options'!$M:$M,'NSE - Other Index Options'!$C:$C,$A139,'NSE - Other Index Options'!$B:$B,D$4)=0,"",SUMIFS('NSE - NIFTY Index Options'!$M:$M,'NSE - NIFTY Index Options'!$C:$C,$A139,'NSE - NIFTY Index Options'!$B:$B,D$4)+SUMIFS('NSE - Other Index Options'!$M:$M,'NSE - Other Index Options'!$C:$C,$A139,'NSE - Other Index Options'!$B:$B,D$4))</f>
        <v/>
      </c>
      <c r="E139" s="26">
        <f>IF(SUMIFS('NSE - NIFTY Index Options'!$M:$M,'NSE - NIFTY Index Options'!$C:$C,$A139,'NSE - NIFTY Index Options'!$B:$B,E$4)+SUMIFS('NSE - Other Index Options'!$M:$M,'NSE - Other Index Options'!$C:$C,$A139,'NSE - Other Index Options'!$B:$B,E$4)=0,"",SUMIFS('NSE - NIFTY Index Options'!$M:$M,'NSE - NIFTY Index Options'!$C:$C,$A139,'NSE - NIFTY Index Options'!$B:$B,E$4)+SUMIFS('NSE - Other Index Options'!$M:$M,'NSE - Other Index Options'!$C:$C,$A139,'NSE - Other Index Options'!$B:$B,E$4))</f>
        <v/>
      </c>
      <c r="F139" s="26">
        <f>IF(SUMIFS('NSE - NIFTY Index Options'!$M:$M,'NSE - NIFTY Index Options'!$C:$C,$A139,'NSE - NIFTY Index Options'!$B:$B,F$4)+SUMIFS('NSE - Other Index Options'!$M:$M,'NSE - Other Index Options'!$C:$C,$A139,'NSE - Other Index Options'!$B:$B,F$4)=0,"",SUMIFS('NSE - NIFTY Index Options'!$M:$M,'NSE - NIFTY Index Options'!$C:$C,$A139,'NSE - NIFTY Index Options'!$B:$B,F$4)+SUMIFS('NSE - Other Index Options'!$M:$M,'NSE - Other Index Options'!$C:$C,$A139,'NSE - Other Index Options'!$B:$B,F$4))</f>
        <v/>
      </c>
      <c r="G139" s="26">
        <f>IF(SUMIFS('NSE - NIFTY Index Options'!$M:$M,'NSE - NIFTY Index Options'!$C:$C,$A139,'NSE - NIFTY Index Options'!$B:$B,G$4)+SUMIFS('NSE - Other Index Options'!$M:$M,'NSE - Other Index Options'!$C:$C,$A139,'NSE - Other Index Options'!$B:$B,G$4)=0,"",SUMIFS('NSE - NIFTY Index Options'!$M:$M,'NSE - NIFTY Index Options'!$C:$C,$A139,'NSE - NIFTY Index Options'!$B:$B,G$4)+SUMIFS('NSE - Other Index Options'!$M:$M,'NSE - Other Index Options'!$C:$C,$A139,'NSE - Other Index Options'!$B:$B,G$4))</f>
        <v/>
      </c>
      <c r="H139" s="26">
        <f>IF(SUM(B139:G139)=0,"",SUM(B139:G139))</f>
        <v/>
      </c>
    </row>
    <row r="140" hidden="1" outlineLevel="1">
      <c r="A140" t="inlineStr">
        <is>
          <t>Week3-Dec-2027</t>
        </is>
      </c>
      <c r="B140" s="26">
        <f>IF(SUMIFS('NSE - NIFTY Index Options'!$M:$M,'NSE - NIFTY Index Options'!$C:$C,$A140,'NSE - NIFTY Index Options'!$B:$B,B$4)+SUMIFS('NSE - Other Index Options'!$M:$M,'NSE - Other Index Options'!$C:$C,$A140,'NSE - Other Index Options'!$B:$B,B$4)=0,"",SUMIFS('NSE - NIFTY Index Options'!$M:$M,'NSE - NIFTY Index Options'!$C:$C,$A140,'NSE - NIFTY Index Options'!$B:$B,B$4)+SUMIFS('NSE - Other Index Options'!$M:$M,'NSE - Other Index Options'!$C:$C,$A140,'NSE - Other Index Options'!$B:$B,B$4))</f>
        <v/>
      </c>
      <c r="C140" s="26">
        <f>IF(SUMIFS('NSE - NIFTY Index Options'!$M:$M,'NSE - NIFTY Index Options'!$C:$C,$A140,'NSE - NIFTY Index Options'!$B:$B,C$4)+SUMIFS('NSE - Other Index Options'!$M:$M,'NSE - Other Index Options'!$C:$C,$A140,'NSE - Other Index Options'!$B:$B,C$4)=0,"",SUMIFS('NSE - NIFTY Index Options'!$M:$M,'NSE - NIFTY Index Options'!$C:$C,$A140,'NSE - NIFTY Index Options'!$B:$B,C$4)+SUMIFS('NSE - Other Index Options'!$M:$M,'NSE - Other Index Options'!$C:$C,$A140,'NSE - Other Index Options'!$B:$B,C$4))</f>
        <v/>
      </c>
      <c r="D140" s="26">
        <f>IF(SUMIFS('NSE - NIFTY Index Options'!$M:$M,'NSE - NIFTY Index Options'!$C:$C,$A140,'NSE - NIFTY Index Options'!$B:$B,D$4)+SUMIFS('NSE - Other Index Options'!$M:$M,'NSE - Other Index Options'!$C:$C,$A140,'NSE - Other Index Options'!$B:$B,D$4)=0,"",SUMIFS('NSE - NIFTY Index Options'!$M:$M,'NSE - NIFTY Index Options'!$C:$C,$A140,'NSE - NIFTY Index Options'!$B:$B,D$4)+SUMIFS('NSE - Other Index Options'!$M:$M,'NSE - Other Index Options'!$C:$C,$A140,'NSE - Other Index Options'!$B:$B,D$4))</f>
        <v/>
      </c>
      <c r="E140" s="26">
        <f>IF(SUMIFS('NSE - NIFTY Index Options'!$M:$M,'NSE - NIFTY Index Options'!$C:$C,$A140,'NSE - NIFTY Index Options'!$B:$B,E$4)+SUMIFS('NSE - Other Index Options'!$M:$M,'NSE - Other Index Options'!$C:$C,$A140,'NSE - Other Index Options'!$B:$B,E$4)=0,"",SUMIFS('NSE - NIFTY Index Options'!$M:$M,'NSE - NIFTY Index Options'!$C:$C,$A140,'NSE - NIFTY Index Options'!$B:$B,E$4)+SUMIFS('NSE - Other Index Options'!$M:$M,'NSE - Other Index Options'!$C:$C,$A140,'NSE - Other Index Options'!$B:$B,E$4))</f>
        <v/>
      </c>
      <c r="F140" s="26">
        <f>IF(SUMIFS('NSE - NIFTY Index Options'!$M:$M,'NSE - NIFTY Index Options'!$C:$C,$A140,'NSE - NIFTY Index Options'!$B:$B,F$4)+SUMIFS('NSE - Other Index Options'!$M:$M,'NSE - Other Index Options'!$C:$C,$A140,'NSE - Other Index Options'!$B:$B,F$4)=0,"",SUMIFS('NSE - NIFTY Index Options'!$M:$M,'NSE - NIFTY Index Options'!$C:$C,$A140,'NSE - NIFTY Index Options'!$B:$B,F$4)+SUMIFS('NSE - Other Index Options'!$M:$M,'NSE - Other Index Options'!$C:$C,$A140,'NSE - Other Index Options'!$B:$B,F$4))</f>
        <v/>
      </c>
      <c r="G140" s="26">
        <f>IF(SUMIFS('NSE - NIFTY Index Options'!$M:$M,'NSE - NIFTY Index Options'!$C:$C,$A140,'NSE - NIFTY Index Options'!$B:$B,G$4)+SUMIFS('NSE - Other Index Options'!$M:$M,'NSE - Other Index Options'!$C:$C,$A140,'NSE - Other Index Options'!$B:$B,G$4)=0,"",SUMIFS('NSE - NIFTY Index Options'!$M:$M,'NSE - NIFTY Index Options'!$C:$C,$A140,'NSE - NIFTY Index Options'!$B:$B,G$4)+SUMIFS('NSE - Other Index Options'!$M:$M,'NSE - Other Index Options'!$C:$C,$A140,'NSE - Other Index Options'!$B:$B,G$4))</f>
        <v/>
      </c>
      <c r="H140" s="26">
        <f>IF(SUM(B140:G140)=0,"",SUM(B140:G140))</f>
        <v/>
      </c>
    </row>
    <row r="141" hidden="1" outlineLevel="1">
      <c r="A141" t="inlineStr">
        <is>
          <t>Week4-Dec-2027</t>
        </is>
      </c>
      <c r="B141" s="26">
        <f>IF(SUMIFS('NSE - NIFTY Index Options'!$M:$M,'NSE - NIFTY Index Options'!$C:$C,$A141,'NSE - NIFTY Index Options'!$B:$B,B$4)+SUMIFS('NSE - Other Index Options'!$M:$M,'NSE - Other Index Options'!$C:$C,$A141,'NSE - Other Index Options'!$B:$B,B$4)=0,"",SUMIFS('NSE - NIFTY Index Options'!$M:$M,'NSE - NIFTY Index Options'!$C:$C,$A141,'NSE - NIFTY Index Options'!$B:$B,B$4)+SUMIFS('NSE - Other Index Options'!$M:$M,'NSE - Other Index Options'!$C:$C,$A141,'NSE - Other Index Options'!$B:$B,B$4))</f>
        <v/>
      </c>
      <c r="C141" s="26">
        <f>IF(SUMIFS('NSE - NIFTY Index Options'!$M:$M,'NSE - NIFTY Index Options'!$C:$C,$A141,'NSE - NIFTY Index Options'!$B:$B,C$4)+SUMIFS('NSE - Other Index Options'!$M:$M,'NSE - Other Index Options'!$C:$C,$A141,'NSE - Other Index Options'!$B:$B,C$4)=0,"",SUMIFS('NSE - NIFTY Index Options'!$M:$M,'NSE - NIFTY Index Options'!$C:$C,$A141,'NSE - NIFTY Index Options'!$B:$B,C$4)+SUMIFS('NSE - Other Index Options'!$M:$M,'NSE - Other Index Options'!$C:$C,$A141,'NSE - Other Index Options'!$B:$B,C$4))</f>
        <v/>
      </c>
      <c r="D141" s="26">
        <f>IF(SUMIFS('NSE - NIFTY Index Options'!$M:$M,'NSE - NIFTY Index Options'!$C:$C,$A141,'NSE - NIFTY Index Options'!$B:$B,D$4)+SUMIFS('NSE - Other Index Options'!$M:$M,'NSE - Other Index Options'!$C:$C,$A141,'NSE - Other Index Options'!$B:$B,D$4)=0,"",SUMIFS('NSE - NIFTY Index Options'!$M:$M,'NSE - NIFTY Index Options'!$C:$C,$A141,'NSE - NIFTY Index Options'!$B:$B,D$4)+SUMIFS('NSE - Other Index Options'!$M:$M,'NSE - Other Index Options'!$C:$C,$A141,'NSE - Other Index Options'!$B:$B,D$4))</f>
        <v/>
      </c>
      <c r="E141" s="26">
        <f>IF(SUMIFS('NSE - NIFTY Index Options'!$M:$M,'NSE - NIFTY Index Options'!$C:$C,$A141,'NSE - NIFTY Index Options'!$B:$B,E$4)+SUMIFS('NSE - Other Index Options'!$M:$M,'NSE - Other Index Options'!$C:$C,$A141,'NSE - Other Index Options'!$B:$B,E$4)=0,"",SUMIFS('NSE - NIFTY Index Options'!$M:$M,'NSE - NIFTY Index Options'!$C:$C,$A141,'NSE - NIFTY Index Options'!$B:$B,E$4)+SUMIFS('NSE - Other Index Options'!$M:$M,'NSE - Other Index Options'!$C:$C,$A141,'NSE - Other Index Options'!$B:$B,E$4))</f>
        <v/>
      </c>
      <c r="F141" s="26">
        <f>IF(SUMIFS('NSE - NIFTY Index Options'!$M:$M,'NSE - NIFTY Index Options'!$C:$C,$A141,'NSE - NIFTY Index Options'!$B:$B,F$4)+SUMIFS('NSE - Other Index Options'!$M:$M,'NSE - Other Index Options'!$C:$C,$A141,'NSE - Other Index Options'!$B:$B,F$4)=0,"",SUMIFS('NSE - NIFTY Index Options'!$M:$M,'NSE - NIFTY Index Options'!$C:$C,$A141,'NSE - NIFTY Index Options'!$B:$B,F$4)+SUMIFS('NSE - Other Index Options'!$M:$M,'NSE - Other Index Options'!$C:$C,$A141,'NSE - Other Index Options'!$B:$B,F$4))</f>
        <v/>
      </c>
      <c r="G141" s="26">
        <f>IF(SUMIFS('NSE - NIFTY Index Options'!$M:$M,'NSE - NIFTY Index Options'!$C:$C,$A141,'NSE - NIFTY Index Options'!$B:$B,G$4)+SUMIFS('NSE - Other Index Options'!$M:$M,'NSE - Other Index Options'!$C:$C,$A141,'NSE - Other Index Options'!$B:$B,G$4)=0,"",SUMIFS('NSE - NIFTY Index Options'!$M:$M,'NSE - NIFTY Index Options'!$C:$C,$A141,'NSE - NIFTY Index Options'!$B:$B,G$4)+SUMIFS('NSE - Other Index Options'!$M:$M,'NSE - Other Index Options'!$C:$C,$A141,'NSE - Other Index Options'!$B:$B,G$4))</f>
        <v/>
      </c>
      <c r="H141" s="26">
        <f>IF(SUM(B141:G141)=0,"",SUM(B141:G141))</f>
        <v/>
      </c>
    </row>
    <row r="142" hidden="1" outlineLevel="1">
      <c r="A142" t="inlineStr">
        <is>
          <t>Week5-Dec-2027</t>
        </is>
      </c>
      <c r="B142" s="26">
        <f>IF(SUMIFS('NSE - NIFTY Index Options'!$M:$M,'NSE - NIFTY Index Options'!$C:$C,$A142,'NSE - NIFTY Index Options'!$B:$B,B$4)+SUMIFS('NSE - Other Index Options'!$M:$M,'NSE - Other Index Options'!$C:$C,$A142,'NSE - Other Index Options'!$B:$B,B$4)=0,"",SUMIFS('NSE - NIFTY Index Options'!$M:$M,'NSE - NIFTY Index Options'!$C:$C,$A142,'NSE - NIFTY Index Options'!$B:$B,B$4)+SUMIFS('NSE - Other Index Options'!$M:$M,'NSE - Other Index Options'!$C:$C,$A142,'NSE - Other Index Options'!$B:$B,B$4))</f>
        <v/>
      </c>
      <c r="C142" s="26">
        <f>IF(SUMIFS('NSE - NIFTY Index Options'!$M:$M,'NSE - NIFTY Index Options'!$C:$C,$A142,'NSE - NIFTY Index Options'!$B:$B,C$4)+SUMIFS('NSE - Other Index Options'!$M:$M,'NSE - Other Index Options'!$C:$C,$A142,'NSE - Other Index Options'!$B:$B,C$4)=0,"",SUMIFS('NSE - NIFTY Index Options'!$M:$M,'NSE - NIFTY Index Options'!$C:$C,$A142,'NSE - NIFTY Index Options'!$B:$B,C$4)+SUMIFS('NSE - Other Index Options'!$M:$M,'NSE - Other Index Options'!$C:$C,$A142,'NSE - Other Index Options'!$B:$B,C$4))</f>
        <v/>
      </c>
      <c r="D142" s="26">
        <f>IF(SUMIFS('NSE - NIFTY Index Options'!$M:$M,'NSE - NIFTY Index Options'!$C:$C,$A142,'NSE - NIFTY Index Options'!$B:$B,D$4)+SUMIFS('NSE - Other Index Options'!$M:$M,'NSE - Other Index Options'!$C:$C,$A142,'NSE - Other Index Options'!$B:$B,D$4)=0,"",SUMIFS('NSE - NIFTY Index Options'!$M:$M,'NSE - NIFTY Index Options'!$C:$C,$A142,'NSE - NIFTY Index Options'!$B:$B,D$4)+SUMIFS('NSE - Other Index Options'!$M:$M,'NSE - Other Index Options'!$C:$C,$A142,'NSE - Other Index Options'!$B:$B,D$4))</f>
        <v/>
      </c>
      <c r="E142" s="26">
        <f>IF(SUMIFS('NSE - NIFTY Index Options'!$M:$M,'NSE - NIFTY Index Options'!$C:$C,$A142,'NSE - NIFTY Index Options'!$B:$B,E$4)+SUMIFS('NSE - Other Index Options'!$M:$M,'NSE - Other Index Options'!$C:$C,$A142,'NSE - Other Index Options'!$B:$B,E$4)=0,"",SUMIFS('NSE - NIFTY Index Options'!$M:$M,'NSE - NIFTY Index Options'!$C:$C,$A142,'NSE - NIFTY Index Options'!$B:$B,E$4)+SUMIFS('NSE - Other Index Options'!$M:$M,'NSE - Other Index Options'!$C:$C,$A142,'NSE - Other Index Options'!$B:$B,E$4))</f>
        <v/>
      </c>
      <c r="F142" s="26">
        <f>IF(SUMIFS('NSE - NIFTY Index Options'!$M:$M,'NSE - NIFTY Index Options'!$C:$C,$A142,'NSE - NIFTY Index Options'!$B:$B,F$4)+SUMIFS('NSE - Other Index Options'!$M:$M,'NSE - Other Index Options'!$C:$C,$A142,'NSE - Other Index Options'!$B:$B,F$4)=0,"",SUMIFS('NSE - NIFTY Index Options'!$M:$M,'NSE - NIFTY Index Options'!$C:$C,$A142,'NSE - NIFTY Index Options'!$B:$B,F$4)+SUMIFS('NSE - Other Index Options'!$M:$M,'NSE - Other Index Options'!$C:$C,$A142,'NSE - Other Index Options'!$B:$B,F$4))</f>
        <v/>
      </c>
      <c r="G142" s="26">
        <f>IF(SUMIFS('NSE - NIFTY Index Options'!$M:$M,'NSE - NIFTY Index Options'!$C:$C,$A142,'NSE - NIFTY Index Options'!$B:$B,G$4)+SUMIFS('NSE - Other Index Options'!$M:$M,'NSE - Other Index Options'!$C:$C,$A142,'NSE - Other Index Options'!$B:$B,G$4)=0,"",SUMIFS('NSE - NIFTY Index Options'!$M:$M,'NSE - NIFTY Index Options'!$C:$C,$A142,'NSE - NIFTY Index Options'!$B:$B,G$4)+SUMIFS('NSE - Other Index Options'!$M:$M,'NSE - Other Index Options'!$C:$C,$A142,'NSE - Other Index Options'!$B:$B,G$4))</f>
        <v/>
      </c>
      <c r="H142" s="26">
        <f>IF(SUM(B142:G142)=0,"",SUM(B142:G142))</f>
        <v/>
      </c>
    </row>
    <row r="143" collapsed="1">
      <c r="A143" s="28" t="inlineStr">
        <is>
          <t>Total</t>
        </is>
      </c>
      <c r="B143" s="30">
        <f>IF(SUM(B5:B142)=0,"",SUM(B5:B142))</f>
        <v/>
      </c>
      <c r="C143" s="30">
        <f>IF(SUM(C5:C142)=0,"",SUM(C5:C142))</f>
        <v/>
      </c>
      <c r="D143" s="30">
        <f>IF(SUM(D5:D142)=0,"",SUM(D5:D142))</f>
        <v/>
      </c>
      <c r="E143" s="30">
        <f>IF(SUM(E5:E142)=0,"",SUM(E5:E142))</f>
        <v/>
      </c>
      <c r="F143" s="30">
        <f>IF(SUM(F5:F142)=0,"",SUM(F5:F142))</f>
        <v/>
      </c>
      <c r="G143" s="30">
        <f>IF(SUM(G5:G142)=0,"",SUM(G5:G142))</f>
        <v/>
      </c>
      <c r="H143" s="30">
        <f>IF(SUM(H5:H142)=0,"",SUM(H5:H142))</f>
        <v/>
      </c>
    </row>
    <row r="146">
      <c r="A146" s="28" t="inlineStr">
        <is>
          <t>BSE Premium Turnover (INR Bn)</t>
        </is>
      </c>
    </row>
    <row r="147">
      <c r="A147" s="28" t="inlineStr">
        <is>
          <t>Trade Week-Month-Year</t>
        </is>
      </c>
      <c r="B147" s="28" t="inlineStr">
        <is>
          <t>Monday</t>
        </is>
      </c>
      <c r="C147" s="28" t="inlineStr">
        <is>
          <t>Tuesday</t>
        </is>
      </c>
      <c r="D147" s="28" t="inlineStr">
        <is>
          <t>Wednesday</t>
        </is>
      </c>
      <c r="E147" s="28" t="inlineStr">
        <is>
          <t>Thursday</t>
        </is>
      </c>
      <c r="F147" s="28" t="inlineStr">
        <is>
          <t>Friday</t>
        </is>
      </c>
      <c r="G147" s="28" t="inlineStr">
        <is>
          <t>Sunday</t>
        </is>
      </c>
      <c r="H147" s="28" t="inlineStr">
        <is>
          <t>Total</t>
        </is>
      </c>
    </row>
    <row r="148">
      <c r="A148" t="inlineStr">
        <is>
          <t>Week1-Sep-2025</t>
        </is>
      </c>
      <c r="B148" s="26">
        <f>IF(SUMIFS('BSE - SENSEX Index Options'!$M:$M,'BSE - SENSEX Index Options'!$C:$C,$A148,'BSE - SENSEX Index Options'!$B:$B,B$147)+SUMIFS('BSE - Other Index Options'!$M:$M,'BSE - Other Index Options'!$C:$C,$A148,'BSE - Other Index Options'!$B:$B,B$147)=0,"",SUMIFS('BSE - SENSEX Index Options'!$M:$M,'BSE - SENSEX Index Options'!$C:$C,$A148,'BSE - SENSEX Index Options'!$B:$B,B$147)+SUMIFS('BSE - Other Index Options'!$M:$M,'BSE - Other Index Options'!$C:$C,$A148,'BSE - Other Index Options'!$B:$B,B$147))</f>
        <v/>
      </c>
      <c r="C148" s="26">
        <f>IF(SUMIFS('BSE - SENSEX Index Options'!$M:$M,'BSE - SENSEX Index Options'!$C:$C,$A148,'BSE - SENSEX Index Options'!$B:$B,C$147)+SUMIFS('BSE - Other Index Options'!$M:$M,'BSE - Other Index Options'!$C:$C,$A148,'BSE - Other Index Options'!$B:$B,C$147)=0,"",SUMIFS('BSE - SENSEX Index Options'!$M:$M,'BSE - SENSEX Index Options'!$C:$C,$A148,'BSE - SENSEX Index Options'!$B:$B,C$147)+SUMIFS('BSE - Other Index Options'!$M:$M,'BSE - Other Index Options'!$C:$C,$A148,'BSE - Other Index Options'!$B:$B,C$147))</f>
        <v/>
      </c>
      <c r="D148" s="26">
        <f>IF(SUMIFS('BSE - SENSEX Index Options'!$M:$M,'BSE - SENSEX Index Options'!$C:$C,$A148,'BSE - SENSEX Index Options'!$B:$B,D$147)+SUMIFS('BSE - Other Index Options'!$M:$M,'BSE - Other Index Options'!$C:$C,$A148,'BSE - Other Index Options'!$B:$B,D$147)=0,"",SUMIFS('BSE - SENSEX Index Options'!$M:$M,'BSE - SENSEX Index Options'!$C:$C,$A148,'BSE - SENSEX Index Options'!$B:$B,D$147)+SUMIFS('BSE - Other Index Options'!$M:$M,'BSE - Other Index Options'!$C:$C,$A148,'BSE - Other Index Options'!$B:$B,D$147))</f>
        <v/>
      </c>
      <c r="E148" s="26">
        <f>IF(SUMIFS('BSE - SENSEX Index Options'!$M:$M,'BSE - SENSEX Index Options'!$C:$C,$A148,'BSE - SENSEX Index Options'!$B:$B,E$147)+SUMIFS('BSE - Other Index Options'!$M:$M,'BSE - Other Index Options'!$C:$C,$A148,'BSE - Other Index Options'!$B:$B,E$147)=0,"",SUMIFS('BSE - SENSEX Index Options'!$M:$M,'BSE - SENSEX Index Options'!$C:$C,$A148,'BSE - SENSEX Index Options'!$B:$B,E$147)+SUMIFS('BSE - Other Index Options'!$M:$M,'BSE - Other Index Options'!$C:$C,$A148,'BSE - Other Index Options'!$B:$B,E$147))</f>
        <v/>
      </c>
      <c r="F148" s="26">
        <f>IF(SUMIFS('BSE - SENSEX Index Options'!$M:$M,'BSE - SENSEX Index Options'!$C:$C,$A148,'BSE - SENSEX Index Options'!$B:$B,F$147)+SUMIFS('BSE - Other Index Options'!$M:$M,'BSE - Other Index Options'!$C:$C,$A148,'BSE - Other Index Options'!$B:$B,F$147)=0,"",SUMIFS('BSE - SENSEX Index Options'!$M:$M,'BSE - SENSEX Index Options'!$C:$C,$A148,'BSE - SENSEX Index Options'!$B:$B,F$147)+SUMIFS('BSE - Other Index Options'!$M:$M,'BSE - Other Index Options'!$C:$C,$A148,'BSE - Other Index Options'!$B:$B,F$147))</f>
        <v/>
      </c>
      <c r="G148" s="26">
        <f>IF(SUMIFS('BSE - SENSEX Index Options'!$M:$M,'BSE - SENSEX Index Options'!$C:$C,$A148,'BSE - SENSEX Index Options'!$B:$B,G$147)+SUMIFS('BSE - Other Index Options'!$M:$M,'BSE - Other Index Options'!$C:$C,$A148,'BSE - Other Index Options'!$B:$B,G$147)=0,"",SUMIFS('BSE - SENSEX Index Options'!$M:$M,'BSE - SENSEX Index Options'!$C:$C,$A148,'BSE - SENSEX Index Options'!$B:$B,G$147)+SUMIFS('BSE - Other Index Options'!$M:$M,'BSE - Other Index Options'!$C:$C,$A148,'BSE - Other Index Options'!$B:$B,G$147))</f>
        <v/>
      </c>
      <c r="H148" s="26">
        <f>IF(SUM(B148:G148)=0,"",SUM(B148:G148))</f>
        <v/>
      </c>
    </row>
    <row r="149">
      <c r="A149" t="inlineStr">
        <is>
          <t>Week2-Sep-2025</t>
        </is>
      </c>
      <c r="B149" s="26">
        <f>IF(SUMIFS('BSE - SENSEX Index Options'!$M:$M,'BSE - SENSEX Index Options'!$C:$C,$A149,'BSE - SENSEX Index Options'!$B:$B,B$147)+SUMIFS('BSE - Other Index Options'!$M:$M,'BSE - Other Index Options'!$C:$C,$A149,'BSE - Other Index Options'!$B:$B,B$147)=0,"",SUMIFS('BSE - SENSEX Index Options'!$M:$M,'BSE - SENSEX Index Options'!$C:$C,$A149,'BSE - SENSEX Index Options'!$B:$B,B$147)+SUMIFS('BSE - Other Index Options'!$M:$M,'BSE - Other Index Options'!$C:$C,$A149,'BSE - Other Index Options'!$B:$B,B$147))</f>
        <v/>
      </c>
      <c r="C149" s="26">
        <f>IF(SUMIFS('BSE - SENSEX Index Options'!$M:$M,'BSE - SENSEX Index Options'!$C:$C,$A149,'BSE - SENSEX Index Options'!$B:$B,C$147)+SUMIFS('BSE - Other Index Options'!$M:$M,'BSE - Other Index Options'!$C:$C,$A149,'BSE - Other Index Options'!$B:$B,C$147)=0,"",SUMIFS('BSE - SENSEX Index Options'!$M:$M,'BSE - SENSEX Index Options'!$C:$C,$A149,'BSE - SENSEX Index Options'!$B:$B,C$147)+SUMIFS('BSE - Other Index Options'!$M:$M,'BSE - Other Index Options'!$C:$C,$A149,'BSE - Other Index Options'!$B:$B,C$147))</f>
        <v/>
      </c>
      <c r="D149" s="26">
        <f>IF(SUMIFS('BSE - SENSEX Index Options'!$M:$M,'BSE - SENSEX Index Options'!$C:$C,$A149,'BSE - SENSEX Index Options'!$B:$B,D$147)+SUMIFS('BSE - Other Index Options'!$M:$M,'BSE - Other Index Options'!$C:$C,$A149,'BSE - Other Index Options'!$B:$B,D$147)=0,"",SUMIFS('BSE - SENSEX Index Options'!$M:$M,'BSE - SENSEX Index Options'!$C:$C,$A149,'BSE - SENSEX Index Options'!$B:$B,D$147)+SUMIFS('BSE - Other Index Options'!$M:$M,'BSE - Other Index Options'!$C:$C,$A149,'BSE - Other Index Options'!$B:$B,D$147))</f>
        <v/>
      </c>
      <c r="E149" s="26">
        <f>IF(SUMIFS('BSE - SENSEX Index Options'!$M:$M,'BSE - SENSEX Index Options'!$C:$C,$A149,'BSE - SENSEX Index Options'!$B:$B,E$147)+SUMIFS('BSE - Other Index Options'!$M:$M,'BSE - Other Index Options'!$C:$C,$A149,'BSE - Other Index Options'!$B:$B,E$147)=0,"",SUMIFS('BSE - SENSEX Index Options'!$M:$M,'BSE - SENSEX Index Options'!$C:$C,$A149,'BSE - SENSEX Index Options'!$B:$B,E$147)+SUMIFS('BSE - Other Index Options'!$M:$M,'BSE - Other Index Options'!$C:$C,$A149,'BSE - Other Index Options'!$B:$B,E$147))</f>
        <v/>
      </c>
      <c r="F149" s="26">
        <f>IF(SUMIFS('BSE - SENSEX Index Options'!$M:$M,'BSE - SENSEX Index Options'!$C:$C,$A149,'BSE - SENSEX Index Options'!$B:$B,F$147)+SUMIFS('BSE - Other Index Options'!$M:$M,'BSE - Other Index Options'!$C:$C,$A149,'BSE - Other Index Options'!$B:$B,F$147)=0,"",SUMIFS('BSE - SENSEX Index Options'!$M:$M,'BSE - SENSEX Index Options'!$C:$C,$A149,'BSE - SENSEX Index Options'!$B:$B,F$147)+SUMIFS('BSE - Other Index Options'!$M:$M,'BSE - Other Index Options'!$C:$C,$A149,'BSE - Other Index Options'!$B:$B,F$147))</f>
        <v/>
      </c>
      <c r="G149" s="26">
        <f>IF(SUMIFS('BSE - SENSEX Index Options'!$M:$M,'BSE - SENSEX Index Options'!$C:$C,$A149,'BSE - SENSEX Index Options'!$B:$B,G$147)+SUMIFS('BSE - Other Index Options'!$M:$M,'BSE - Other Index Options'!$C:$C,$A149,'BSE - Other Index Options'!$B:$B,G$147)=0,"",SUMIFS('BSE - SENSEX Index Options'!$M:$M,'BSE - SENSEX Index Options'!$C:$C,$A149,'BSE - SENSEX Index Options'!$B:$B,G$147)+SUMIFS('BSE - Other Index Options'!$M:$M,'BSE - Other Index Options'!$C:$C,$A149,'BSE - Other Index Options'!$B:$B,G$147))</f>
        <v/>
      </c>
      <c r="H149" s="26">
        <f>IF(SUM(B149:G149)=0,"",SUM(B149:G149))</f>
        <v/>
      </c>
    </row>
    <row r="150">
      <c r="A150" t="inlineStr">
        <is>
          <t>Week3-Sep-2025</t>
        </is>
      </c>
      <c r="B150" s="26">
        <f>IF(SUMIFS('BSE - SENSEX Index Options'!$M:$M,'BSE - SENSEX Index Options'!$C:$C,$A150,'BSE - SENSEX Index Options'!$B:$B,B$147)+SUMIFS('BSE - Other Index Options'!$M:$M,'BSE - Other Index Options'!$C:$C,$A150,'BSE - Other Index Options'!$B:$B,B$147)=0,"",SUMIFS('BSE - SENSEX Index Options'!$M:$M,'BSE - SENSEX Index Options'!$C:$C,$A150,'BSE - SENSEX Index Options'!$B:$B,B$147)+SUMIFS('BSE - Other Index Options'!$M:$M,'BSE - Other Index Options'!$C:$C,$A150,'BSE - Other Index Options'!$B:$B,B$147))</f>
        <v/>
      </c>
      <c r="C150" s="26">
        <f>IF(SUMIFS('BSE - SENSEX Index Options'!$M:$M,'BSE - SENSEX Index Options'!$C:$C,$A150,'BSE - SENSEX Index Options'!$B:$B,C$147)+SUMIFS('BSE - Other Index Options'!$M:$M,'BSE - Other Index Options'!$C:$C,$A150,'BSE - Other Index Options'!$B:$B,C$147)=0,"",SUMIFS('BSE - SENSEX Index Options'!$M:$M,'BSE - SENSEX Index Options'!$C:$C,$A150,'BSE - SENSEX Index Options'!$B:$B,C$147)+SUMIFS('BSE - Other Index Options'!$M:$M,'BSE - Other Index Options'!$C:$C,$A150,'BSE - Other Index Options'!$B:$B,C$147))</f>
        <v/>
      </c>
      <c r="D150" s="26">
        <f>IF(SUMIFS('BSE - SENSEX Index Options'!$M:$M,'BSE - SENSEX Index Options'!$C:$C,$A150,'BSE - SENSEX Index Options'!$B:$B,D$147)+SUMIFS('BSE - Other Index Options'!$M:$M,'BSE - Other Index Options'!$C:$C,$A150,'BSE - Other Index Options'!$B:$B,D$147)=0,"",SUMIFS('BSE - SENSEX Index Options'!$M:$M,'BSE - SENSEX Index Options'!$C:$C,$A150,'BSE - SENSEX Index Options'!$B:$B,D$147)+SUMIFS('BSE - Other Index Options'!$M:$M,'BSE - Other Index Options'!$C:$C,$A150,'BSE - Other Index Options'!$B:$B,D$147))</f>
        <v/>
      </c>
      <c r="E150" s="26">
        <f>IF(SUMIFS('BSE - SENSEX Index Options'!$M:$M,'BSE - SENSEX Index Options'!$C:$C,$A150,'BSE - SENSEX Index Options'!$B:$B,E$147)+SUMIFS('BSE - Other Index Options'!$M:$M,'BSE - Other Index Options'!$C:$C,$A150,'BSE - Other Index Options'!$B:$B,E$147)=0,"",SUMIFS('BSE - SENSEX Index Options'!$M:$M,'BSE - SENSEX Index Options'!$C:$C,$A150,'BSE - SENSEX Index Options'!$B:$B,E$147)+SUMIFS('BSE - Other Index Options'!$M:$M,'BSE - Other Index Options'!$C:$C,$A150,'BSE - Other Index Options'!$B:$B,E$147))</f>
        <v/>
      </c>
      <c r="F150" s="26">
        <f>IF(SUMIFS('BSE - SENSEX Index Options'!$M:$M,'BSE - SENSEX Index Options'!$C:$C,$A150,'BSE - SENSEX Index Options'!$B:$B,F$147)+SUMIFS('BSE - Other Index Options'!$M:$M,'BSE - Other Index Options'!$C:$C,$A150,'BSE - Other Index Options'!$B:$B,F$147)=0,"",SUMIFS('BSE - SENSEX Index Options'!$M:$M,'BSE - SENSEX Index Options'!$C:$C,$A150,'BSE - SENSEX Index Options'!$B:$B,F$147)+SUMIFS('BSE - Other Index Options'!$M:$M,'BSE - Other Index Options'!$C:$C,$A150,'BSE - Other Index Options'!$B:$B,F$147))</f>
        <v/>
      </c>
      <c r="G150" s="26">
        <f>IF(SUMIFS('BSE - SENSEX Index Options'!$M:$M,'BSE - SENSEX Index Options'!$C:$C,$A150,'BSE - SENSEX Index Options'!$B:$B,G$147)+SUMIFS('BSE - Other Index Options'!$M:$M,'BSE - Other Index Options'!$C:$C,$A150,'BSE - Other Index Options'!$B:$B,G$147)=0,"",SUMIFS('BSE - SENSEX Index Options'!$M:$M,'BSE - SENSEX Index Options'!$C:$C,$A150,'BSE - SENSEX Index Options'!$B:$B,G$147)+SUMIFS('BSE - Other Index Options'!$M:$M,'BSE - Other Index Options'!$C:$C,$A150,'BSE - Other Index Options'!$B:$B,G$147))</f>
        <v/>
      </c>
      <c r="H150" s="26">
        <f>IF(SUM(B150:G150)=0,"",SUM(B150:G150))</f>
        <v/>
      </c>
    </row>
    <row r="151">
      <c r="A151" t="inlineStr">
        <is>
          <t>Week4-Sep-2025</t>
        </is>
      </c>
      <c r="B151" s="26">
        <f>IF(SUMIFS('BSE - SENSEX Index Options'!$M:$M,'BSE - SENSEX Index Options'!$C:$C,$A151,'BSE - SENSEX Index Options'!$B:$B,B$147)+SUMIFS('BSE - Other Index Options'!$M:$M,'BSE - Other Index Options'!$C:$C,$A151,'BSE - Other Index Options'!$B:$B,B$147)=0,"",SUMIFS('BSE - SENSEX Index Options'!$M:$M,'BSE - SENSEX Index Options'!$C:$C,$A151,'BSE - SENSEX Index Options'!$B:$B,B$147)+SUMIFS('BSE - Other Index Options'!$M:$M,'BSE - Other Index Options'!$C:$C,$A151,'BSE - Other Index Options'!$B:$B,B$147))</f>
        <v/>
      </c>
      <c r="C151" s="26">
        <f>IF(SUMIFS('BSE - SENSEX Index Options'!$M:$M,'BSE - SENSEX Index Options'!$C:$C,$A151,'BSE - SENSEX Index Options'!$B:$B,C$147)+SUMIFS('BSE - Other Index Options'!$M:$M,'BSE - Other Index Options'!$C:$C,$A151,'BSE - Other Index Options'!$B:$B,C$147)=0,"",SUMIFS('BSE - SENSEX Index Options'!$M:$M,'BSE - SENSEX Index Options'!$C:$C,$A151,'BSE - SENSEX Index Options'!$B:$B,C$147)+SUMIFS('BSE - Other Index Options'!$M:$M,'BSE - Other Index Options'!$C:$C,$A151,'BSE - Other Index Options'!$B:$B,C$147))</f>
        <v/>
      </c>
      <c r="D151" s="26">
        <f>IF(SUMIFS('BSE - SENSEX Index Options'!$M:$M,'BSE - SENSEX Index Options'!$C:$C,$A151,'BSE - SENSEX Index Options'!$B:$B,D$147)+SUMIFS('BSE - Other Index Options'!$M:$M,'BSE - Other Index Options'!$C:$C,$A151,'BSE - Other Index Options'!$B:$B,D$147)=0,"",SUMIFS('BSE - SENSEX Index Options'!$M:$M,'BSE - SENSEX Index Options'!$C:$C,$A151,'BSE - SENSEX Index Options'!$B:$B,D$147)+SUMIFS('BSE - Other Index Options'!$M:$M,'BSE - Other Index Options'!$C:$C,$A151,'BSE - Other Index Options'!$B:$B,D$147))</f>
        <v/>
      </c>
      <c r="E151" s="26">
        <f>IF(SUMIFS('BSE - SENSEX Index Options'!$M:$M,'BSE - SENSEX Index Options'!$C:$C,$A151,'BSE - SENSEX Index Options'!$B:$B,E$147)+SUMIFS('BSE - Other Index Options'!$M:$M,'BSE - Other Index Options'!$C:$C,$A151,'BSE - Other Index Options'!$B:$B,E$147)=0,"",SUMIFS('BSE - SENSEX Index Options'!$M:$M,'BSE - SENSEX Index Options'!$C:$C,$A151,'BSE - SENSEX Index Options'!$B:$B,E$147)+SUMIFS('BSE - Other Index Options'!$M:$M,'BSE - Other Index Options'!$C:$C,$A151,'BSE - Other Index Options'!$B:$B,E$147))</f>
        <v/>
      </c>
      <c r="F151" s="26">
        <f>IF(SUMIFS('BSE - SENSEX Index Options'!$M:$M,'BSE - SENSEX Index Options'!$C:$C,$A151,'BSE - SENSEX Index Options'!$B:$B,F$147)+SUMIFS('BSE - Other Index Options'!$M:$M,'BSE - Other Index Options'!$C:$C,$A151,'BSE - Other Index Options'!$B:$B,F$147)=0,"",SUMIFS('BSE - SENSEX Index Options'!$M:$M,'BSE - SENSEX Index Options'!$C:$C,$A151,'BSE - SENSEX Index Options'!$B:$B,F$147)+SUMIFS('BSE - Other Index Options'!$M:$M,'BSE - Other Index Options'!$C:$C,$A151,'BSE - Other Index Options'!$B:$B,F$147))</f>
        <v/>
      </c>
      <c r="G151" s="26">
        <f>IF(SUMIFS('BSE - SENSEX Index Options'!$M:$M,'BSE - SENSEX Index Options'!$C:$C,$A151,'BSE - SENSEX Index Options'!$B:$B,G$147)+SUMIFS('BSE - Other Index Options'!$M:$M,'BSE - Other Index Options'!$C:$C,$A151,'BSE - Other Index Options'!$B:$B,G$147)=0,"",SUMIFS('BSE - SENSEX Index Options'!$M:$M,'BSE - SENSEX Index Options'!$C:$C,$A151,'BSE - SENSEX Index Options'!$B:$B,G$147)+SUMIFS('BSE - Other Index Options'!$M:$M,'BSE - Other Index Options'!$C:$C,$A151,'BSE - Other Index Options'!$B:$B,G$147))</f>
        <v/>
      </c>
      <c r="H151" s="26">
        <f>IF(SUM(B151:G151)=0,"",SUM(B151:G151))</f>
        <v/>
      </c>
    </row>
    <row r="152">
      <c r="A152" t="inlineStr">
        <is>
          <t>Week5-Sep-2025</t>
        </is>
      </c>
      <c r="B152" s="26">
        <f>IF(SUMIFS('BSE - SENSEX Index Options'!$M:$M,'BSE - SENSEX Index Options'!$C:$C,$A152,'BSE - SENSEX Index Options'!$B:$B,B$147)+SUMIFS('BSE - Other Index Options'!$M:$M,'BSE - Other Index Options'!$C:$C,$A152,'BSE - Other Index Options'!$B:$B,B$147)=0,"",SUMIFS('BSE - SENSEX Index Options'!$M:$M,'BSE - SENSEX Index Options'!$C:$C,$A152,'BSE - SENSEX Index Options'!$B:$B,B$147)+SUMIFS('BSE - Other Index Options'!$M:$M,'BSE - Other Index Options'!$C:$C,$A152,'BSE - Other Index Options'!$B:$B,B$147))</f>
        <v/>
      </c>
      <c r="C152" s="26">
        <f>IF(SUMIFS('BSE - SENSEX Index Options'!$M:$M,'BSE - SENSEX Index Options'!$C:$C,$A152,'BSE - SENSEX Index Options'!$B:$B,C$147)+SUMIFS('BSE - Other Index Options'!$M:$M,'BSE - Other Index Options'!$C:$C,$A152,'BSE - Other Index Options'!$B:$B,C$147)=0,"",SUMIFS('BSE - SENSEX Index Options'!$M:$M,'BSE - SENSEX Index Options'!$C:$C,$A152,'BSE - SENSEX Index Options'!$B:$B,C$147)+SUMIFS('BSE - Other Index Options'!$M:$M,'BSE - Other Index Options'!$C:$C,$A152,'BSE - Other Index Options'!$B:$B,C$147))</f>
        <v/>
      </c>
      <c r="D152" s="26">
        <f>IF(SUMIFS('BSE - SENSEX Index Options'!$M:$M,'BSE - SENSEX Index Options'!$C:$C,$A152,'BSE - SENSEX Index Options'!$B:$B,D$147)+SUMIFS('BSE - Other Index Options'!$M:$M,'BSE - Other Index Options'!$C:$C,$A152,'BSE - Other Index Options'!$B:$B,D$147)=0,"",SUMIFS('BSE - SENSEX Index Options'!$M:$M,'BSE - SENSEX Index Options'!$C:$C,$A152,'BSE - SENSEX Index Options'!$B:$B,D$147)+SUMIFS('BSE - Other Index Options'!$M:$M,'BSE - Other Index Options'!$C:$C,$A152,'BSE - Other Index Options'!$B:$B,D$147))</f>
        <v/>
      </c>
      <c r="E152" s="26">
        <f>IF(SUMIFS('BSE - SENSEX Index Options'!$M:$M,'BSE - SENSEX Index Options'!$C:$C,$A152,'BSE - SENSEX Index Options'!$B:$B,E$147)+SUMIFS('BSE - Other Index Options'!$M:$M,'BSE - Other Index Options'!$C:$C,$A152,'BSE - Other Index Options'!$B:$B,E$147)=0,"",SUMIFS('BSE - SENSEX Index Options'!$M:$M,'BSE - SENSEX Index Options'!$C:$C,$A152,'BSE - SENSEX Index Options'!$B:$B,E$147)+SUMIFS('BSE - Other Index Options'!$M:$M,'BSE - Other Index Options'!$C:$C,$A152,'BSE - Other Index Options'!$B:$B,E$147))</f>
        <v/>
      </c>
      <c r="F152" s="26">
        <f>IF(SUMIFS('BSE - SENSEX Index Options'!$M:$M,'BSE - SENSEX Index Options'!$C:$C,$A152,'BSE - SENSEX Index Options'!$B:$B,F$147)+SUMIFS('BSE - Other Index Options'!$M:$M,'BSE - Other Index Options'!$C:$C,$A152,'BSE - Other Index Options'!$B:$B,F$147)=0,"",SUMIFS('BSE - SENSEX Index Options'!$M:$M,'BSE - SENSEX Index Options'!$C:$C,$A152,'BSE - SENSEX Index Options'!$B:$B,F$147)+SUMIFS('BSE - Other Index Options'!$M:$M,'BSE - Other Index Options'!$C:$C,$A152,'BSE - Other Index Options'!$B:$B,F$147))</f>
        <v/>
      </c>
      <c r="G152" s="26">
        <f>IF(SUMIFS('BSE - SENSEX Index Options'!$M:$M,'BSE - SENSEX Index Options'!$C:$C,$A152,'BSE - SENSEX Index Options'!$B:$B,G$147)+SUMIFS('BSE - Other Index Options'!$M:$M,'BSE - Other Index Options'!$C:$C,$A152,'BSE - Other Index Options'!$B:$B,G$147)=0,"",SUMIFS('BSE - SENSEX Index Options'!$M:$M,'BSE - SENSEX Index Options'!$C:$C,$A152,'BSE - SENSEX Index Options'!$B:$B,G$147)+SUMIFS('BSE - Other Index Options'!$M:$M,'BSE - Other Index Options'!$C:$C,$A152,'BSE - Other Index Options'!$B:$B,G$147))</f>
        <v/>
      </c>
      <c r="H152" s="26">
        <f>IF(SUM(B152:G152)=0,"",SUM(B152:G152))</f>
        <v/>
      </c>
    </row>
    <row r="153">
      <c r="A153" t="inlineStr">
        <is>
          <t>Week1-Oct-2025</t>
        </is>
      </c>
      <c r="B153" s="26">
        <f>IF(SUMIFS('BSE - SENSEX Index Options'!$M:$M,'BSE - SENSEX Index Options'!$C:$C,$A153,'BSE - SENSEX Index Options'!$B:$B,B$147)+SUMIFS('BSE - Other Index Options'!$M:$M,'BSE - Other Index Options'!$C:$C,$A153,'BSE - Other Index Options'!$B:$B,B$147)=0,"",SUMIFS('BSE - SENSEX Index Options'!$M:$M,'BSE - SENSEX Index Options'!$C:$C,$A153,'BSE - SENSEX Index Options'!$B:$B,B$147)+SUMIFS('BSE - Other Index Options'!$M:$M,'BSE - Other Index Options'!$C:$C,$A153,'BSE - Other Index Options'!$B:$B,B$147))</f>
        <v/>
      </c>
      <c r="C153" s="26">
        <f>IF(SUMIFS('BSE - SENSEX Index Options'!$M:$M,'BSE - SENSEX Index Options'!$C:$C,$A153,'BSE - SENSEX Index Options'!$B:$B,C$147)+SUMIFS('BSE - Other Index Options'!$M:$M,'BSE - Other Index Options'!$C:$C,$A153,'BSE - Other Index Options'!$B:$B,C$147)=0,"",SUMIFS('BSE - SENSEX Index Options'!$M:$M,'BSE - SENSEX Index Options'!$C:$C,$A153,'BSE - SENSEX Index Options'!$B:$B,C$147)+SUMIFS('BSE - Other Index Options'!$M:$M,'BSE - Other Index Options'!$C:$C,$A153,'BSE - Other Index Options'!$B:$B,C$147))</f>
        <v/>
      </c>
      <c r="D153" s="26">
        <f>IF(SUMIFS('BSE - SENSEX Index Options'!$M:$M,'BSE - SENSEX Index Options'!$C:$C,$A153,'BSE - SENSEX Index Options'!$B:$B,D$147)+SUMIFS('BSE - Other Index Options'!$M:$M,'BSE - Other Index Options'!$C:$C,$A153,'BSE - Other Index Options'!$B:$B,D$147)=0,"",SUMIFS('BSE - SENSEX Index Options'!$M:$M,'BSE - SENSEX Index Options'!$C:$C,$A153,'BSE - SENSEX Index Options'!$B:$B,D$147)+SUMIFS('BSE - Other Index Options'!$M:$M,'BSE - Other Index Options'!$C:$C,$A153,'BSE - Other Index Options'!$B:$B,D$147))</f>
        <v/>
      </c>
      <c r="E153" s="26">
        <f>IF(SUMIFS('BSE - SENSEX Index Options'!$M:$M,'BSE - SENSEX Index Options'!$C:$C,$A153,'BSE - SENSEX Index Options'!$B:$B,E$147)+SUMIFS('BSE - Other Index Options'!$M:$M,'BSE - Other Index Options'!$C:$C,$A153,'BSE - Other Index Options'!$B:$B,E$147)=0,"",SUMIFS('BSE - SENSEX Index Options'!$M:$M,'BSE - SENSEX Index Options'!$C:$C,$A153,'BSE - SENSEX Index Options'!$B:$B,E$147)+SUMIFS('BSE - Other Index Options'!$M:$M,'BSE - Other Index Options'!$C:$C,$A153,'BSE - Other Index Options'!$B:$B,E$147))</f>
        <v/>
      </c>
      <c r="F153" s="26">
        <f>IF(SUMIFS('BSE - SENSEX Index Options'!$M:$M,'BSE - SENSEX Index Options'!$C:$C,$A153,'BSE - SENSEX Index Options'!$B:$B,F$147)+SUMIFS('BSE - Other Index Options'!$M:$M,'BSE - Other Index Options'!$C:$C,$A153,'BSE - Other Index Options'!$B:$B,F$147)=0,"",SUMIFS('BSE - SENSEX Index Options'!$M:$M,'BSE - SENSEX Index Options'!$C:$C,$A153,'BSE - SENSEX Index Options'!$B:$B,F$147)+SUMIFS('BSE - Other Index Options'!$M:$M,'BSE - Other Index Options'!$C:$C,$A153,'BSE - Other Index Options'!$B:$B,F$147))</f>
        <v/>
      </c>
      <c r="G153" s="26">
        <f>IF(SUMIFS('BSE - SENSEX Index Options'!$M:$M,'BSE - SENSEX Index Options'!$C:$C,$A153,'BSE - SENSEX Index Options'!$B:$B,G$147)+SUMIFS('BSE - Other Index Options'!$M:$M,'BSE - Other Index Options'!$C:$C,$A153,'BSE - Other Index Options'!$B:$B,G$147)=0,"",SUMIFS('BSE - SENSEX Index Options'!$M:$M,'BSE - SENSEX Index Options'!$C:$C,$A153,'BSE - SENSEX Index Options'!$B:$B,G$147)+SUMIFS('BSE - Other Index Options'!$M:$M,'BSE - Other Index Options'!$C:$C,$A153,'BSE - Other Index Options'!$B:$B,G$147))</f>
        <v/>
      </c>
      <c r="H153" s="26">
        <f>IF(SUM(B153:G153)=0,"",SUM(B153:G153))</f>
        <v/>
      </c>
    </row>
    <row r="154">
      <c r="A154" t="inlineStr">
        <is>
          <t>Week2-Oct-2025</t>
        </is>
      </c>
      <c r="B154" s="26">
        <f>IF(SUMIFS('BSE - SENSEX Index Options'!$M:$M,'BSE - SENSEX Index Options'!$C:$C,$A154,'BSE - SENSEX Index Options'!$B:$B,B$147)+SUMIFS('BSE - Other Index Options'!$M:$M,'BSE - Other Index Options'!$C:$C,$A154,'BSE - Other Index Options'!$B:$B,B$147)=0,"",SUMIFS('BSE - SENSEX Index Options'!$M:$M,'BSE - SENSEX Index Options'!$C:$C,$A154,'BSE - SENSEX Index Options'!$B:$B,B$147)+SUMIFS('BSE - Other Index Options'!$M:$M,'BSE - Other Index Options'!$C:$C,$A154,'BSE - Other Index Options'!$B:$B,B$147))</f>
        <v/>
      </c>
      <c r="C154" s="26">
        <f>IF(SUMIFS('BSE - SENSEX Index Options'!$M:$M,'BSE - SENSEX Index Options'!$C:$C,$A154,'BSE - SENSEX Index Options'!$B:$B,C$147)+SUMIFS('BSE - Other Index Options'!$M:$M,'BSE - Other Index Options'!$C:$C,$A154,'BSE - Other Index Options'!$B:$B,C$147)=0,"",SUMIFS('BSE - SENSEX Index Options'!$M:$M,'BSE - SENSEX Index Options'!$C:$C,$A154,'BSE - SENSEX Index Options'!$B:$B,C$147)+SUMIFS('BSE - Other Index Options'!$M:$M,'BSE - Other Index Options'!$C:$C,$A154,'BSE - Other Index Options'!$B:$B,C$147))</f>
        <v/>
      </c>
      <c r="D154" s="26">
        <f>IF(SUMIFS('BSE - SENSEX Index Options'!$M:$M,'BSE - SENSEX Index Options'!$C:$C,$A154,'BSE - SENSEX Index Options'!$B:$B,D$147)+SUMIFS('BSE - Other Index Options'!$M:$M,'BSE - Other Index Options'!$C:$C,$A154,'BSE - Other Index Options'!$B:$B,D$147)=0,"",SUMIFS('BSE - SENSEX Index Options'!$M:$M,'BSE - SENSEX Index Options'!$C:$C,$A154,'BSE - SENSEX Index Options'!$B:$B,D$147)+SUMIFS('BSE - Other Index Options'!$M:$M,'BSE - Other Index Options'!$C:$C,$A154,'BSE - Other Index Options'!$B:$B,D$147))</f>
        <v/>
      </c>
      <c r="E154" s="26">
        <f>IF(SUMIFS('BSE - SENSEX Index Options'!$M:$M,'BSE - SENSEX Index Options'!$C:$C,$A154,'BSE - SENSEX Index Options'!$B:$B,E$147)+SUMIFS('BSE - Other Index Options'!$M:$M,'BSE - Other Index Options'!$C:$C,$A154,'BSE - Other Index Options'!$B:$B,E$147)=0,"",SUMIFS('BSE - SENSEX Index Options'!$M:$M,'BSE - SENSEX Index Options'!$C:$C,$A154,'BSE - SENSEX Index Options'!$B:$B,E$147)+SUMIFS('BSE - Other Index Options'!$M:$M,'BSE - Other Index Options'!$C:$C,$A154,'BSE - Other Index Options'!$B:$B,E$147))</f>
        <v/>
      </c>
      <c r="F154" s="26">
        <f>IF(SUMIFS('BSE - SENSEX Index Options'!$M:$M,'BSE - SENSEX Index Options'!$C:$C,$A154,'BSE - SENSEX Index Options'!$B:$B,F$147)+SUMIFS('BSE - Other Index Options'!$M:$M,'BSE - Other Index Options'!$C:$C,$A154,'BSE - Other Index Options'!$B:$B,F$147)=0,"",SUMIFS('BSE - SENSEX Index Options'!$M:$M,'BSE - SENSEX Index Options'!$C:$C,$A154,'BSE - SENSEX Index Options'!$B:$B,F$147)+SUMIFS('BSE - Other Index Options'!$M:$M,'BSE - Other Index Options'!$C:$C,$A154,'BSE - Other Index Options'!$B:$B,F$147))</f>
        <v/>
      </c>
      <c r="G154" s="26">
        <f>IF(SUMIFS('BSE - SENSEX Index Options'!$M:$M,'BSE - SENSEX Index Options'!$C:$C,$A154,'BSE - SENSEX Index Options'!$B:$B,G$147)+SUMIFS('BSE - Other Index Options'!$M:$M,'BSE - Other Index Options'!$C:$C,$A154,'BSE - Other Index Options'!$B:$B,G$147)=0,"",SUMIFS('BSE - SENSEX Index Options'!$M:$M,'BSE - SENSEX Index Options'!$C:$C,$A154,'BSE - SENSEX Index Options'!$B:$B,G$147)+SUMIFS('BSE - Other Index Options'!$M:$M,'BSE - Other Index Options'!$C:$C,$A154,'BSE - Other Index Options'!$B:$B,G$147))</f>
        <v/>
      </c>
      <c r="H154" s="26">
        <f>IF(SUM(B154:G154)=0,"",SUM(B154:G154))</f>
        <v/>
      </c>
    </row>
    <row r="155">
      <c r="A155" t="inlineStr">
        <is>
          <t>Week3-Oct-2025</t>
        </is>
      </c>
      <c r="B155" s="26">
        <f>IF(SUMIFS('BSE - SENSEX Index Options'!$M:$M,'BSE - SENSEX Index Options'!$C:$C,$A155,'BSE - SENSEX Index Options'!$B:$B,B$147)+SUMIFS('BSE - Other Index Options'!$M:$M,'BSE - Other Index Options'!$C:$C,$A155,'BSE - Other Index Options'!$B:$B,B$147)=0,"",SUMIFS('BSE - SENSEX Index Options'!$M:$M,'BSE - SENSEX Index Options'!$C:$C,$A155,'BSE - SENSEX Index Options'!$B:$B,B$147)+SUMIFS('BSE - Other Index Options'!$M:$M,'BSE - Other Index Options'!$C:$C,$A155,'BSE - Other Index Options'!$B:$B,B$147))</f>
        <v/>
      </c>
      <c r="C155" s="26">
        <f>IF(SUMIFS('BSE - SENSEX Index Options'!$M:$M,'BSE - SENSEX Index Options'!$C:$C,$A155,'BSE - SENSEX Index Options'!$B:$B,C$147)+SUMIFS('BSE - Other Index Options'!$M:$M,'BSE - Other Index Options'!$C:$C,$A155,'BSE - Other Index Options'!$B:$B,C$147)=0,"",SUMIFS('BSE - SENSEX Index Options'!$M:$M,'BSE - SENSEX Index Options'!$C:$C,$A155,'BSE - SENSEX Index Options'!$B:$B,C$147)+SUMIFS('BSE - Other Index Options'!$M:$M,'BSE - Other Index Options'!$C:$C,$A155,'BSE - Other Index Options'!$B:$B,C$147))</f>
        <v/>
      </c>
      <c r="D155" s="26">
        <f>IF(SUMIFS('BSE - SENSEX Index Options'!$M:$M,'BSE - SENSEX Index Options'!$C:$C,$A155,'BSE - SENSEX Index Options'!$B:$B,D$147)+SUMIFS('BSE - Other Index Options'!$M:$M,'BSE - Other Index Options'!$C:$C,$A155,'BSE - Other Index Options'!$B:$B,D$147)=0,"",SUMIFS('BSE - SENSEX Index Options'!$M:$M,'BSE - SENSEX Index Options'!$C:$C,$A155,'BSE - SENSEX Index Options'!$B:$B,D$147)+SUMIFS('BSE - Other Index Options'!$M:$M,'BSE - Other Index Options'!$C:$C,$A155,'BSE - Other Index Options'!$B:$B,D$147))</f>
        <v/>
      </c>
      <c r="E155" s="26">
        <f>IF(SUMIFS('BSE - SENSEX Index Options'!$M:$M,'BSE - SENSEX Index Options'!$C:$C,$A155,'BSE - SENSEX Index Options'!$B:$B,E$147)+SUMIFS('BSE - Other Index Options'!$M:$M,'BSE - Other Index Options'!$C:$C,$A155,'BSE - Other Index Options'!$B:$B,E$147)=0,"",SUMIFS('BSE - SENSEX Index Options'!$M:$M,'BSE - SENSEX Index Options'!$C:$C,$A155,'BSE - SENSEX Index Options'!$B:$B,E$147)+SUMIFS('BSE - Other Index Options'!$M:$M,'BSE - Other Index Options'!$C:$C,$A155,'BSE - Other Index Options'!$B:$B,E$147))</f>
        <v/>
      </c>
      <c r="F155" s="26">
        <f>IF(SUMIFS('BSE - SENSEX Index Options'!$M:$M,'BSE - SENSEX Index Options'!$C:$C,$A155,'BSE - SENSEX Index Options'!$B:$B,F$147)+SUMIFS('BSE - Other Index Options'!$M:$M,'BSE - Other Index Options'!$C:$C,$A155,'BSE - Other Index Options'!$B:$B,F$147)=0,"",SUMIFS('BSE - SENSEX Index Options'!$M:$M,'BSE - SENSEX Index Options'!$C:$C,$A155,'BSE - SENSEX Index Options'!$B:$B,F$147)+SUMIFS('BSE - Other Index Options'!$M:$M,'BSE - Other Index Options'!$C:$C,$A155,'BSE - Other Index Options'!$B:$B,F$147))</f>
        <v/>
      </c>
      <c r="G155" s="26">
        <f>IF(SUMIFS('BSE - SENSEX Index Options'!$M:$M,'BSE - SENSEX Index Options'!$C:$C,$A155,'BSE - SENSEX Index Options'!$B:$B,G$147)+SUMIFS('BSE - Other Index Options'!$M:$M,'BSE - Other Index Options'!$C:$C,$A155,'BSE - Other Index Options'!$B:$B,G$147)=0,"",SUMIFS('BSE - SENSEX Index Options'!$M:$M,'BSE - SENSEX Index Options'!$C:$C,$A155,'BSE - SENSEX Index Options'!$B:$B,G$147)+SUMIFS('BSE - Other Index Options'!$M:$M,'BSE - Other Index Options'!$C:$C,$A155,'BSE - Other Index Options'!$B:$B,G$147))</f>
        <v/>
      </c>
      <c r="H155" s="26">
        <f>IF(SUM(B155:G155)=0,"",SUM(B155:G155))</f>
        <v/>
      </c>
    </row>
    <row r="156">
      <c r="A156" t="inlineStr">
        <is>
          <t>Week4-Oct-2025</t>
        </is>
      </c>
      <c r="B156" s="26">
        <f>IF(SUMIFS('BSE - SENSEX Index Options'!$M:$M,'BSE - SENSEX Index Options'!$C:$C,$A156,'BSE - SENSEX Index Options'!$B:$B,B$147)+SUMIFS('BSE - Other Index Options'!$M:$M,'BSE - Other Index Options'!$C:$C,$A156,'BSE - Other Index Options'!$B:$B,B$147)=0,"",SUMIFS('BSE - SENSEX Index Options'!$M:$M,'BSE - SENSEX Index Options'!$C:$C,$A156,'BSE - SENSEX Index Options'!$B:$B,B$147)+SUMIFS('BSE - Other Index Options'!$M:$M,'BSE - Other Index Options'!$C:$C,$A156,'BSE - Other Index Options'!$B:$B,B$147))</f>
        <v/>
      </c>
      <c r="C156" s="26">
        <f>IF(SUMIFS('BSE - SENSEX Index Options'!$M:$M,'BSE - SENSEX Index Options'!$C:$C,$A156,'BSE - SENSEX Index Options'!$B:$B,C$147)+SUMIFS('BSE - Other Index Options'!$M:$M,'BSE - Other Index Options'!$C:$C,$A156,'BSE - Other Index Options'!$B:$B,C$147)=0,"",SUMIFS('BSE - SENSEX Index Options'!$M:$M,'BSE - SENSEX Index Options'!$C:$C,$A156,'BSE - SENSEX Index Options'!$B:$B,C$147)+SUMIFS('BSE - Other Index Options'!$M:$M,'BSE - Other Index Options'!$C:$C,$A156,'BSE - Other Index Options'!$B:$B,C$147))</f>
        <v/>
      </c>
      <c r="D156" s="26">
        <f>IF(SUMIFS('BSE - SENSEX Index Options'!$M:$M,'BSE - SENSEX Index Options'!$C:$C,$A156,'BSE - SENSEX Index Options'!$B:$B,D$147)+SUMIFS('BSE - Other Index Options'!$M:$M,'BSE - Other Index Options'!$C:$C,$A156,'BSE - Other Index Options'!$B:$B,D$147)=0,"",SUMIFS('BSE - SENSEX Index Options'!$M:$M,'BSE - SENSEX Index Options'!$C:$C,$A156,'BSE - SENSEX Index Options'!$B:$B,D$147)+SUMIFS('BSE - Other Index Options'!$M:$M,'BSE - Other Index Options'!$C:$C,$A156,'BSE - Other Index Options'!$B:$B,D$147))</f>
        <v/>
      </c>
      <c r="E156" s="26">
        <f>IF(SUMIFS('BSE - SENSEX Index Options'!$M:$M,'BSE - SENSEX Index Options'!$C:$C,$A156,'BSE - SENSEX Index Options'!$B:$B,E$147)+SUMIFS('BSE - Other Index Options'!$M:$M,'BSE - Other Index Options'!$C:$C,$A156,'BSE - Other Index Options'!$B:$B,E$147)=0,"",SUMIFS('BSE - SENSEX Index Options'!$M:$M,'BSE - SENSEX Index Options'!$C:$C,$A156,'BSE - SENSEX Index Options'!$B:$B,E$147)+SUMIFS('BSE - Other Index Options'!$M:$M,'BSE - Other Index Options'!$C:$C,$A156,'BSE - Other Index Options'!$B:$B,E$147))</f>
        <v/>
      </c>
      <c r="F156" s="26">
        <f>IF(SUMIFS('BSE - SENSEX Index Options'!$M:$M,'BSE - SENSEX Index Options'!$C:$C,$A156,'BSE - SENSEX Index Options'!$B:$B,F$147)+SUMIFS('BSE - Other Index Options'!$M:$M,'BSE - Other Index Options'!$C:$C,$A156,'BSE - Other Index Options'!$B:$B,F$147)=0,"",SUMIFS('BSE - SENSEX Index Options'!$M:$M,'BSE - SENSEX Index Options'!$C:$C,$A156,'BSE - SENSEX Index Options'!$B:$B,F$147)+SUMIFS('BSE - Other Index Options'!$M:$M,'BSE - Other Index Options'!$C:$C,$A156,'BSE - Other Index Options'!$B:$B,F$147))</f>
        <v/>
      </c>
      <c r="G156" s="26">
        <f>IF(SUMIFS('BSE - SENSEX Index Options'!$M:$M,'BSE - SENSEX Index Options'!$C:$C,$A156,'BSE - SENSEX Index Options'!$B:$B,G$147)+SUMIFS('BSE - Other Index Options'!$M:$M,'BSE - Other Index Options'!$C:$C,$A156,'BSE - Other Index Options'!$B:$B,G$147)=0,"",SUMIFS('BSE - SENSEX Index Options'!$M:$M,'BSE - SENSEX Index Options'!$C:$C,$A156,'BSE - SENSEX Index Options'!$B:$B,G$147)+SUMIFS('BSE - Other Index Options'!$M:$M,'BSE - Other Index Options'!$C:$C,$A156,'BSE - Other Index Options'!$B:$B,G$147))</f>
        <v/>
      </c>
      <c r="H156" s="26">
        <f>IF(SUM(B156:G156)=0,"",SUM(B156:G156))</f>
        <v/>
      </c>
    </row>
    <row r="157">
      <c r="A157" t="inlineStr">
        <is>
          <t>Week5-Oct-2025</t>
        </is>
      </c>
      <c r="B157" s="26">
        <f>IF(SUMIFS('BSE - SENSEX Index Options'!$M:$M,'BSE - SENSEX Index Options'!$C:$C,$A157,'BSE - SENSEX Index Options'!$B:$B,B$147)+SUMIFS('BSE - Other Index Options'!$M:$M,'BSE - Other Index Options'!$C:$C,$A157,'BSE - Other Index Options'!$B:$B,B$147)=0,"",SUMIFS('BSE - SENSEX Index Options'!$M:$M,'BSE - SENSEX Index Options'!$C:$C,$A157,'BSE - SENSEX Index Options'!$B:$B,B$147)+SUMIFS('BSE - Other Index Options'!$M:$M,'BSE - Other Index Options'!$C:$C,$A157,'BSE - Other Index Options'!$B:$B,B$147))</f>
        <v/>
      </c>
      <c r="C157" s="26">
        <f>IF(SUMIFS('BSE - SENSEX Index Options'!$M:$M,'BSE - SENSEX Index Options'!$C:$C,$A157,'BSE - SENSEX Index Options'!$B:$B,C$147)+SUMIFS('BSE - Other Index Options'!$M:$M,'BSE - Other Index Options'!$C:$C,$A157,'BSE - Other Index Options'!$B:$B,C$147)=0,"",SUMIFS('BSE - SENSEX Index Options'!$M:$M,'BSE - SENSEX Index Options'!$C:$C,$A157,'BSE - SENSEX Index Options'!$B:$B,C$147)+SUMIFS('BSE - Other Index Options'!$M:$M,'BSE - Other Index Options'!$C:$C,$A157,'BSE - Other Index Options'!$B:$B,C$147))</f>
        <v/>
      </c>
      <c r="D157" s="26">
        <f>IF(SUMIFS('BSE - SENSEX Index Options'!$M:$M,'BSE - SENSEX Index Options'!$C:$C,$A157,'BSE - SENSEX Index Options'!$B:$B,D$147)+SUMIFS('BSE - Other Index Options'!$M:$M,'BSE - Other Index Options'!$C:$C,$A157,'BSE - Other Index Options'!$B:$B,D$147)=0,"",SUMIFS('BSE - SENSEX Index Options'!$M:$M,'BSE - SENSEX Index Options'!$C:$C,$A157,'BSE - SENSEX Index Options'!$B:$B,D$147)+SUMIFS('BSE - Other Index Options'!$M:$M,'BSE - Other Index Options'!$C:$C,$A157,'BSE - Other Index Options'!$B:$B,D$147))</f>
        <v/>
      </c>
      <c r="E157" s="26">
        <f>IF(SUMIFS('BSE - SENSEX Index Options'!$M:$M,'BSE - SENSEX Index Options'!$C:$C,$A157,'BSE - SENSEX Index Options'!$B:$B,E$147)+SUMIFS('BSE - Other Index Options'!$M:$M,'BSE - Other Index Options'!$C:$C,$A157,'BSE - Other Index Options'!$B:$B,E$147)=0,"",SUMIFS('BSE - SENSEX Index Options'!$M:$M,'BSE - SENSEX Index Options'!$C:$C,$A157,'BSE - SENSEX Index Options'!$B:$B,E$147)+SUMIFS('BSE - Other Index Options'!$M:$M,'BSE - Other Index Options'!$C:$C,$A157,'BSE - Other Index Options'!$B:$B,E$147))</f>
        <v/>
      </c>
      <c r="F157" s="26">
        <f>IF(SUMIFS('BSE - SENSEX Index Options'!$M:$M,'BSE - SENSEX Index Options'!$C:$C,$A157,'BSE - SENSEX Index Options'!$B:$B,F$147)+SUMIFS('BSE - Other Index Options'!$M:$M,'BSE - Other Index Options'!$C:$C,$A157,'BSE - Other Index Options'!$B:$B,F$147)=0,"",SUMIFS('BSE - SENSEX Index Options'!$M:$M,'BSE - SENSEX Index Options'!$C:$C,$A157,'BSE - SENSEX Index Options'!$B:$B,F$147)+SUMIFS('BSE - Other Index Options'!$M:$M,'BSE - Other Index Options'!$C:$C,$A157,'BSE - Other Index Options'!$B:$B,F$147))</f>
        <v/>
      </c>
      <c r="G157" s="26">
        <f>IF(SUMIFS('BSE - SENSEX Index Options'!$M:$M,'BSE - SENSEX Index Options'!$C:$C,$A157,'BSE - SENSEX Index Options'!$B:$B,G$147)+SUMIFS('BSE - Other Index Options'!$M:$M,'BSE - Other Index Options'!$C:$C,$A157,'BSE - Other Index Options'!$B:$B,G$147)=0,"",SUMIFS('BSE - SENSEX Index Options'!$M:$M,'BSE - SENSEX Index Options'!$C:$C,$A157,'BSE - SENSEX Index Options'!$B:$B,G$147)+SUMIFS('BSE - Other Index Options'!$M:$M,'BSE - Other Index Options'!$C:$C,$A157,'BSE - Other Index Options'!$B:$B,G$147))</f>
        <v/>
      </c>
      <c r="H157" s="26">
        <f>IF(SUM(B157:G157)=0,"",SUM(B157:G157))</f>
        <v/>
      </c>
    </row>
    <row r="158">
      <c r="A158" t="inlineStr">
        <is>
          <t>Week1-Nov-2025</t>
        </is>
      </c>
      <c r="B158" s="26">
        <f>IF(SUMIFS('BSE - SENSEX Index Options'!$M:$M,'BSE - SENSEX Index Options'!$C:$C,$A158,'BSE - SENSEX Index Options'!$B:$B,B$147)+SUMIFS('BSE - Other Index Options'!$M:$M,'BSE - Other Index Options'!$C:$C,$A158,'BSE - Other Index Options'!$B:$B,B$147)=0,"",SUMIFS('BSE - SENSEX Index Options'!$M:$M,'BSE - SENSEX Index Options'!$C:$C,$A158,'BSE - SENSEX Index Options'!$B:$B,B$147)+SUMIFS('BSE - Other Index Options'!$M:$M,'BSE - Other Index Options'!$C:$C,$A158,'BSE - Other Index Options'!$B:$B,B$147))</f>
        <v/>
      </c>
      <c r="C158" s="26">
        <f>IF(SUMIFS('BSE - SENSEX Index Options'!$M:$M,'BSE - SENSEX Index Options'!$C:$C,$A158,'BSE - SENSEX Index Options'!$B:$B,C$147)+SUMIFS('BSE - Other Index Options'!$M:$M,'BSE - Other Index Options'!$C:$C,$A158,'BSE - Other Index Options'!$B:$B,C$147)=0,"",SUMIFS('BSE - SENSEX Index Options'!$M:$M,'BSE - SENSEX Index Options'!$C:$C,$A158,'BSE - SENSEX Index Options'!$B:$B,C$147)+SUMIFS('BSE - Other Index Options'!$M:$M,'BSE - Other Index Options'!$C:$C,$A158,'BSE - Other Index Options'!$B:$B,C$147))</f>
        <v/>
      </c>
      <c r="D158" s="26">
        <f>IF(SUMIFS('BSE - SENSEX Index Options'!$M:$M,'BSE - SENSEX Index Options'!$C:$C,$A158,'BSE - SENSEX Index Options'!$B:$B,D$147)+SUMIFS('BSE - Other Index Options'!$M:$M,'BSE - Other Index Options'!$C:$C,$A158,'BSE - Other Index Options'!$B:$B,D$147)=0,"",SUMIFS('BSE - SENSEX Index Options'!$M:$M,'BSE - SENSEX Index Options'!$C:$C,$A158,'BSE - SENSEX Index Options'!$B:$B,D$147)+SUMIFS('BSE - Other Index Options'!$M:$M,'BSE - Other Index Options'!$C:$C,$A158,'BSE - Other Index Options'!$B:$B,D$147))</f>
        <v/>
      </c>
      <c r="E158" s="26">
        <f>IF(SUMIFS('BSE - SENSEX Index Options'!$M:$M,'BSE - SENSEX Index Options'!$C:$C,$A158,'BSE - SENSEX Index Options'!$B:$B,E$147)+SUMIFS('BSE - Other Index Options'!$M:$M,'BSE - Other Index Options'!$C:$C,$A158,'BSE - Other Index Options'!$B:$B,E$147)=0,"",SUMIFS('BSE - SENSEX Index Options'!$M:$M,'BSE - SENSEX Index Options'!$C:$C,$A158,'BSE - SENSEX Index Options'!$B:$B,E$147)+SUMIFS('BSE - Other Index Options'!$M:$M,'BSE - Other Index Options'!$C:$C,$A158,'BSE - Other Index Options'!$B:$B,E$147))</f>
        <v/>
      </c>
      <c r="F158" s="26">
        <f>IF(SUMIFS('BSE - SENSEX Index Options'!$M:$M,'BSE - SENSEX Index Options'!$C:$C,$A158,'BSE - SENSEX Index Options'!$B:$B,F$147)+SUMIFS('BSE - Other Index Options'!$M:$M,'BSE - Other Index Options'!$C:$C,$A158,'BSE - Other Index Options'!$B:$B,F$147)=0,"",SUMIFS('BSE - SENSEX Index Options'!$M:$M,'BSE - SENSEX Index Options'!$C:$C,$A158,'BSE - SENSEX Index Options'!$B:$B,F$147)+SUMIFS('BSE - Other Index Options'!$M:$M,'BSE - Other Index Options'!$C:$C,$A158,'BSE - Other Index Options'!$B:$B,F$147))</f>
        <v/>
      </c>
      <c r="G158" s="26">
        <f>IF(SUMIFS('BSE - SENSEX Index Options'!$M:$M,'BSE - SENSEX Index Options'!$C:$C,$A158,'BSE - SENSEX Index Options'!$B:$B,G$147)+SUMIFS('BSE - Other Index Options'!$M:$M,'BSE - Other Index Options'!$C:$C,$A158,'BSE - Other Index Options'!$B:$B,G$147)=0,"",SUMIFS('BSE - SENSEX Index Options'!$M:$M,'BSE - SENSEX Index Options'!$C:$C,$A158,'BSE - SENSEX Index Options'!$B:$B,G$147)+SUMIFS('BSE - Other Index Options'!$M:$M,'BSE - Other Index Options'!$C:$C,$A158,'BSE - Other Index Options'!$B:$B,G$147))</f>
        <v/>
      </c>
      <c r="H158" s="26">
        <f>IF(SUM(B158:G158)=0,"",SUM(B158:G158))</f>
        <v/>
      </c>
    </row>
    <row r="159">
      <c r="A159" t="inlineStr">
        <is>
          <t>Week2-Nov-2025</t>
        </is>
      </c>
      <c r="B159" s="26">
        <f>IF(SUMIFS('BSE - SENSEX Index Options'!$M:$M,'BSE - SENSEX Index Options'!$C:$C,$A159,'BSE - SENSEX Index Options'!$B:$B,B$147)+SUMIFS('BSE - Other Index Options'!$M:$M,'BSE - Other Index Options'!$C:$C,$A159,'BSE - Other Index Options'!$B:$B,B$147)=0,"",SUMIFS('BSE - SENSEX Index Options'!$M:$M,'BSE - SENSEX Index Options'!$C:$C,$A159,'BSE - SENSEX Index Options'!$B:$B,B$147)+SUMIFS('BSE - Other Index Options'!$M:$M,'BSE - Other Index Options'!$C:$C,$A159,'BSE - Other Index Options'!$B:$B,B$147))</f>
        <v/>
      </c>
      <c r="C159" s="26">
        <f>IF(SUMIFS('BSE - SENSEX Index Options'!$M:$M,'BSE - SENSEX Index Options'!$C:$C,$A159,'BSE - SENSEX Index Options'!$B:$B,C$147)+SUMIFS('BSE - Other Index Options'!$M:$M,'BSE - Other Index Options'!$C:$C,$A159,'BSE - Other Index Options'!$B:$B,C$147)=0,"",SUMIFS('BSE - SENSEX Index Options'!$M:$M,'BSE - SENSEX Index Options'!$C:$C,$A159,'BSE - SENSEX Index Options'!$B:$B,C$147)+SUMIFS('BSE - Other Index Options'!$M:$M,'BSE - Other Index Options'!$C:$C,$A159,'BSE - Other Index Options'!$B:$B,C$147))</f>
        <v/>
      </c>
      <c r="D159" s="26">
        <f>IF(SUMIFS('BSE - SENSEX Index Options'!$M:$M,'BSE - SENSEX Index Options'!$C:$C,$A159,'BSE - SENSEX Index Options'!$B:$B,D$147)+SUMIFS('BSE - Other Index Options'!$M:$M,'BSE - Other Index Options'!$C:$C,$A159,'BSE - Other Index Options'!$B:$B,D$147)=0,"",SUMIFS('BSE - SENSEX Index Options'!$M:$M,'BSE - SENSEX Index Options'!$C:$C,$A159,'BSE - SENSEX Index Options'!$B:$B,D$147)+SUMIFS('BSE - Other Index Options'!$M:$M,'BSE - Other Index Options'!$C:$C,$A159,'BSE - Other Index Options'!$B:$B,D$147))</f>
        <v/>
      </c>
      <c r="E159" s="26">
        <f>IF(SUMIFS('BSE - SENSEX Index Options'!$M:$M,'BSE - SENSEX Index Options'!$C:$C,$A159,'BSE - SENSEX Index Options'!$B:$B,E$147)+SUMIFS('BSE - Other Index Options'!$M:$M,'BSE - Other Index Options'!$C:$C,$A159,'BSE - Other Index Options'!$B:$B,E$147)=0,"",SUMIFS('BSE - SENSEX Index Options'!$M:$M,'BSE - SENSEX Index Options'!$C:$C,$A159,'BSE - SENSEX Index Options'!$B:$B,E$147)+SUMIFS('BSE - Other Index Options'!$M:$M,'BSE - Other Index Options'!$C:$C,$A159,'BSE - Other Index Options'!$B:$B,E$147))</f>
        <v/>
      </c>
      <c r="F159" s="26">
        <f>IF(SUMIFS('BSE - SENSEX Index Options'!$M:$M,'BSE - SENSEX Index Options'!$C:$C,$A159,'BSE - SENSEX Index Options'!$B:$B,F$147)+SUMIFS('BSE - Other Index Options'!$M:$M,'BSE - Other Index Options'!$C:$C,$A159,'BSE - Other Index Options'!$B:$B,F$147)=0,"",SUMIFS('BSE - SENSEX Index Options'!$M:$M,'BSE - SENSEX Index Options'!$C:$C,$A159,'BSE - SENSEX Index Options'!$B:$B,F$147)+SUMIFS('BSE - Other Index Options'!$M:$M,'BSE - Other Index Options'!$C:$C,$A159,'BSE - Other Index Options'!$B:$B,F$147))</f>
        <v/>
      </c>
      <c r="G159" s="26">
        <f>IF(SUMIFS('BSE - SENSEX Index Options'!$M:$M,'BSE - SENSEX Index Options'!$C:$C,$A159,'BSE - SENSEX Index Options'!$B:$B,G$147)+SUMIFS('BSE - Other Index Options'!$M:$M,'BSE - Other Index Options'!$C:$C,$A159,'BSE - Other Index Options'!$B:$B,G$147)=0,"",SUMIFS('BSE - SENSEX Index Options'!$M:$M,'BSE - SENSEX Index Options'!$C:$C,$A159,'BSE - SENSEX Index Options'!$B:$B,G$147)+SUMIFS('BSE - Other Index Options'!$M:$M,'BSE - Other Index Options'!$C:$C,$A159,'BSE - Other Index Options'!$B:$B,G$147))</f>
        <v/>
      </c>
      <c r="H159" s="26">
        <f>IF(SUM(B159:G159)=0,"",SUM(B159:G159))</f>
        <v/>
      </c>
    </row>
    <row r="160">
      <c r="A160" t="inlineStr">
        <is>
          <t>Week3-Nov-2025</t>
        </is>
      </c>
      <c r="B160" s="26">
        <f>IF(SUMIFS('BSE - SENSEX Index Options'!$M:$M,'BSE - SENSEX Index Options'!$C:$C,$A160,'BSE - SENSEX Index Options'!$B:$B,B$147)+SUMIFS('BSE - Other Index Options'!$M:$M,'BSE - Other Index Options'!$C:$C,$A160,'BSE - Other Index Options'!$B:$B,B$147)=0,"",SUMIFS('BSE - SENSEX Index Options'!$M:$M,'BSE - SENSEX Index Options'!$C:$C,$A160,'BSE - SENSEX Index Options'!$B:$B,B$147)+SUMIFS('BSE - Other Index Options'!$M:$M,'BSE - Other Index Options'!$C:$C,$A160,'BSE - Other Index Options'!$B:$B,B$147))</f>
        <v/>
      </c>
      <c r="C160" s="26">
        <f>IF(SUMIFS('BSE - SENSEX Index Options'!$M:$M,'BSE - SENSEX Index Options'!$C:$C,$A160,'BSE - SENSEX Index Options'!$B:$B,C$147)+SUMIFS('BSE - Other Index Options'!$M:$M,'BSE - Other Index Options'!$C:$C,$A160,'BSE - Other Index Options'!$B:$B,C$147)=0,"",SUMIFS('BSE - SENSEX Index Options'!$M:$M,'BSE - SENSEX Index Options'!$C:$C,$A160,'BSE - SENSEX Index Options'!$B:$B,C$147)+SUMIFS('BSE - Other Index Options'!$M:$M,'BSE - Other Index Options'!$C:$C,$A160,'BSE - Other Index Options'!$B:$B,C$147))</f>
        <v/>
      </c>
      <c r="D160" s="26">
        <f>IF(SUMIFS('BSE - SENSEX Index Options'!$M:$M,'BSE - SENSEX Index Options'!$C:$C,$A160,'BSE - SENSEX Index Options'!$B:$B,D$147)+SUMIFS('BSE - Other Index Options'!$M:$M,'BSE - Other Index Options'!$C:$C,$A160,'BSE - Other Index Options'!$B:$B,D$147)=0,"",SUMIFS('BSE - SENSEX Index Options'!$M:$M,'BSE - SENSEX Index Options'!$C:$C,$A160,'BSE - SENSEX Index Options'!$B:$B,D$147)+SUMIFS('BSE - Other Index Options'!$M:$M,'BSE - Other Index Options'!$C:$C,$A160,'BSE - Other Index Options'!$B:$B,D$147))</f>
        <v/>
      </c>
      <c r="E160" s="26">
        <f>IF(SUMIFS('BSE - SENSEX Index Options'!$M:$M,'BSE - SENSEX Index Options'!$C:$C,$A160,'BSE - SENSEX Index Options'!$B:$B,E$147)+SUMIFS('BSE - Other Index Options'!$M:$M,'BSE - Other Index Options'!$C:$C,$A160,'BSE - Other Index Options'!$B:$B,E$147)=0,"",SUMIFS('BSE - SENSEX Index Options'!$M:$M,'BSE - SENSEX Index Options'!$C:$C,$A160,'BSE - SENSEX Index Options'!$B:$B,E$147)+SUMIFS('BSE - Other Index Options'!$M:$M,'BSE - Other Index Options'!$C:$C,$A160,'BSE - Other Index Options'!$B:$B,E$147))</f>
        <v/>
      </c>
      <c r="F160" s="26">
        <f>IF(SUMIFS('BSE - SENSEX Index Options'!$M:$M,'BSE - SENSEX Index Options'!$C:$C,$A160,'BSE - SENSEX Index Options'!$B:$B,F$147)+SUMIFS('BSE - Other Index Options'!$M:$M,'BSE - Other Index Options'!$C:$C,$A160,'BSE - Other Index Options'!$B:$B,F$147)=0,"",SUMIFS('BSE - SENSEX Index Options'!$M:$M,'BSE - SENSEX Index Options'!$C:$C,$A160,'BSE - SENSEX Index Options'!$B:$B,F$147)+SUMIFS('BSE - Other Index Options'!$M:$M,'BSE - Other Index Options'!$C:$C,$A160,'BSE - Other Index Options'!$B:$B,F$147))</f>
        <v/>
      </c>
      <c r="G160" s="26">
        <f>IF(SUMIFS('BSE - SENSEX Index Options'!$M:$M,'BSE - SENSEX Index Options'!$C:$C,$A160,'BSE - SENSEX Index Options'!$B:$B,G$147)+SUMIFS('BSE - Other Index Options'!$M:$M,'BSE - Other Index Options'!$C:$C,$A160,'BSE - Other Index Options'!$B:$B,G$147)=0,"",SUMIFS('BSE - SENSEX Index Options'!$M:$M,'BSE - SENSEX Index Options'!$C:$C,$A160,'BSE - SENSEX Index Options'!$B:$B,G$147)+SUMIFS('BSE - Other Index Options'!$M:$M,'BSE - Other Index Options'!$C:$C,$A160,'BSE - Other Index Options'!$B:$B,G$147))</f>
        <v/>
      </c>
      <c r="H160" s="26">
        <f>IF(SUM(B160:G160)=0,"",SUM(B160:G160))</f>
        <v/>
      </c>
    </row>
    <row r="161">
      <c r="A161" t="inlineStr">
        <is>
          <t>Week4-Nov-2025</t>
        </is>
      </c>
      <c r="B161" s="26">
        <f>IF(SUMIFS('BSE - SENSEX Index Options'!$M:$M,'BSE - SENSEX Index Options'!$C:$C,$A161,'BSE - SENSEX Index Options'!$B:$B,B$147)+SUMIFS('BSE - Other Index Options'!$M:$M,'BSE - Other Index Options'!$C:$C,$A161,'BSE - Other Index Options'!$B:$B,B$147)=0,"",SUMIFS('BSE - SENSEX Index Options'!$M:$M,'BSE - SENSEX Index Options'!$C:$C,$A161,'BSE - SENSEX Index Options'!$B:$B,B$147)+SUMIFS('BSE - Other Index Options'!$M:$M,'BSE - Other Index Options'!$C:$C,$A161,'BSE - Other Index Options'!$B:$B,B$147))</f>
        <v/>
      </c>
      <c r="C161" s="26">
        <f>IF(SUMIFS('BSE - SENSEX Index Options'!$M:$M,'BSE - SENSEX Index Options'!$C:$C,$A161,'BSE - SENSEX Index Options'!$B:$B,C$147)+SUMIFS('BSE - Other Index Options'!$M:$M,'BSE - Other Index Options'!$C:$C,$A161,'BSE - Other Index Options'!$B:$B,C$147)=0,"",SUMIFS('BSE - SENSEX Index Options'!$M:$M,'BSE - SENSEX Index Options'!$C:$C,$A161,'BSE - SENSEX Index Options'!$B:$B,C$147)+SUMIFS('BSE - Other Index Options'!$M:$M,'BSE - Other Index Options'!$C:$C,$A161,'BSE - Other Index Options'!$B:$B,C$147))</f>
        <v/>
      </c>
      <c r="D161" s="26">
        <f>IF(SUMIFS('BSE - SENSEX Index Options'!$M:$M,'BSE - SENSEX Index Options'!$C:$C,$A161,'BSE - SENSEX Index Options'!$B:$B,D$147)+SUMIFS('BSE - Other Index Options'!$M:$M,'BSE - Other Index Options'!$C:$C,$A161,'BSE - Other Index Options'!$B:$B,D$147)=0,"",SUMIFS('BSE - SENSEX Index Options'!$M:$M,'BSE - SENSEX Index Options'!$C:$C,$A161,'BSE - SENSEX Index Options'!$B:$B,D$147)+SUMIFS('BSE - Other Index Options'!$M:$M,'BSE - Other Index Options'!$C:$C,$A161,'BSE - Other Index Options'!$B:$B,D$147))</f>
        <v/>
      </c>
      <c r="E161" s="26">
        <f>IF(SUMIFS('BSE - SENSEX Index Options'!$M:$M,'BSE - SENSEX Index Options'!$C:$C,$A161,'BSE - SENSEX Index Options'!$B:$B,E$147)+SUMIFS('BSE - Other Index Options'!$M:$M,'BSE - Other Index Options'!$C:$C,$A161,'BSE - Other Index Options'!$B:$B,E$147)=0,"",SUMIFS('BSE - SENSEX Index Options'!$M:$M,'BSE - SENSEX Index Options'!$C:$C,$A161,'BSE - SENSEX Index Options'!$B:$B,E$147)+SUMIFS('BSE - Other Index Options'!$M:$M,'BSE - Other Index Options'!$C:$C,$A161,'BSE - Other Index Options'!$B:$B,E$147))</f>
        <v/>
      </c>
      <c r="F161" s="26">
        <f>IF(SUMIFS('BSE - SENSEX Index Options'!$M:$M,'BSE - SENSEX Index Options'!$C:$C,$A161,'BSE - SENSEX Index Options'!$B:$B,F$147)+SUMIFS('BSE - Other Index Options'!$M:$M,'BSE - Other Index Options'!$C:$C,$A161,'BSE - Other Index Options'!$B:$B,F$147)=0,"",SUMIFS('BSE - SENSEX Index Options'!$M:$M,'BSE - SENSEX Index Options'!$C:$C,$A161,'BSE - SENSEX Index Options'!$B:$B,F$147)+SUMIFS('BSE - Other Index Options'!$M:$M,'BSE - Other Index Options'!$C:$C,$A161,'BSE - Other Index Options'!$B:$B,F$147))</f>
        <v/>
      </c>
      <c r="G161" s="26">
        <f>IF(SUMIFS('BSE - SENSEX Index Options'!$M:$M,'BSE - SENSEX Index Options'!$C:$C,$A161,'BSE - SENSEX Index Options'!$B:$B,G$147)+SUMIFS('BSE - Other Index Options'!$M:$M,'BSE - Other Index Options'!$C:$C,$A161,'BSE - Other Index Options'!$B:$B,G$147)=0,"",SUMIFS('BSE - SENSEX Index Options'!$M:$M,'BSE - SENSEX Index Options'!$C:$C,$A161,'BSE - SENSEX Index Options'!$B:$B,G$147)+SUMIFS('BSE - Other Index Options'!$M:$M,'BSE - Other Index Options'!$C:$C,$A161,'BSE - Other Index Options'!$B:$B,G$147))</f>
        <v/>
      </c>
      <c r="H161" s="26">
        <f>IF(SUM(B161:G161)=0,"",SUM(B161:G161))</f>
        <v/>
      </c>
    </row>
    <row r="162">
      <c r="A162" t="inlineStr">
        <is>
          <t>Week5-Nov-2025</t>
        </is>
      </c>
      <c r="B162" s="26">
        <f>IF(SUMIFS('BSE - SENSEX Index Options'!$M:$M,'BSE - SENSEX Index Options'!$C:$C,$A162,'BSE - SENSEX Index Options'!$B:$B,B$147)+SUMIFS('BSE - Other Index Options'!$M:$M,'BSE - Other Index Options'!$C:$C,$A162,'BSE - Other Index Options'!$B:$B,B$147)=0,"",SUMIFS('BSE - SENSEX Index Options'!$M:$M,'BSE - SENSEX Index Options'!$C:$C,$A162,'BSE - SENSEX Index Options'!$B:$B,B$147)+SUMIFS('BSE - Other Index Options'!$M:$M,'BSE - Other Index Options'!$C:$C,$A162,'BSE - Other Index Options'!$B:$B,B$147))</f>
        <v/>
      </c>
      <c r="C162" s="26">
        <f>IF(SUMIFS('BSE - SENSEX Index Options'!$M:$M,'BSE - SENSEX Index Options'!$C:$C,$A162,'BSE - SENSEX Index Options'!$B:$B,C$147)+SUMIFS('BSE - Other Index Options'!$M:$M,'BSE - Other Index Options'!$C:$C,$A162,'BSE - Other Index Options'!$B:$B,C$147)=0,"",SUMIFS('BSE - SENSEX Index Options'!$M:$M,'BSE - SENSEX Index Options'!$C:$C,$A162,'BSE - SENSEX Index Options'!$B:$B,C$147)+SUMIFS('BSE - Other Index Options'!$M:$M,'BSE - Other Index Options'!$C:$C,$A162,'BSE - Other Index Options'!$B:$B,C$147))</f>
        <v/>
      </c>
      <c r="D162" s="26">
        <f>IF(SUMIFS('BSE - SENSEX Index Options'!$M:$M,'BSE - SENSEX Index Options'!$C:$C,$A162,'BSE - SENSEX Index Options'!$B:$B,D$147)+SUMIFS('BSE - Other Index Options'!$M:$M,'BSE - Other Index Options'!$C:$C,$A162,'BSE - Other Index Options'!$B:$B,D$147)=0,"",SUMIFS('BSE - SENSEX Index Options'!$M:$M,'BSE - SENSEX Index Options'!$C:$C,$A162,'BSE - SENSEX Index Options'!$B:$B,D$147)+SUMIFS('BSE - Other Index Options'!$M:$M,'BSE - Other Index Options'!$C:$C,$A162,'BSE - Other Index Options'!$B:$B,D$147))</f>
        <v/>
      </c>
      <c r="E162" s="26">
        <f>IF(SUMIFS('BSE - SENSEX Index Options'!$M:$M,'BSE - SENSEX Index Options'!$C:$C,$A162,'BSE - SENSEX Index Options'!$B:$B,E$147)+SUMIFS('BSE - Other Index Options'!$M:$M,'BSE - Other Index Options'!$C:$C,$A162,'BSE - Other Index Options'!$B:$B,E$147)=0,"",SUMIFS('BSE - SENSEX Index Options'!$M:$M,'BSE - SENSEX Index Options'!$C:$C,$A162,'BSE - SENSEX Index Options'!$B:$B,E$147)+SUMIFS('BSE - Other Index Options'!$M:$M,'BSE - Other Index Options'!$C:$C,$A162,'BSE - Other Index Options'!$B:$B,E$147))</f>
        <v/>
      </c>
      <c r="F162" s="26">
        <f>IF(SUMIFS('BSE - SENSEX Index Options'!$M:$M,'BSE - SENSEX Index Options'!$C:$C,$A162,'BSE - SENSEX Index Options'!$B:$B,F$147)+SUMIFS('BSE - Other Index Options'!$M:$M,'BSE - Other Index Options'!$C:$C,$A162,'BSE - Other Index Options'!$B:$B,F$147)=0,"",SUMIFS('BSE - SENSEX Index Options'!$M:$M,'BSE - SENSEX Index Options'!$C:$C,$A162,'BSE - SENSEX Index Options'!$B:$B,F$147)+SUMIFS('BSE - Other Index Options'!$M:$M,'BSE - Other Index Options'!$C:$C,$A162,'BSE - Other Index Options'!$B:$B,F$147))</f>
        <v/>
      </c>
      <c r="G162" s="26">
        <f>IF(SUMIFS('BSE - SENSEX Index Options'!$M:$M,'BSE - SENSEX Index Options'!$C:$C,$A162,'BSE - SENSEX Index Options'!$B:$B,G$147)+SUMIFS('BSE - Other Index Options'!$M:$M,'BSE - Other Index Options'!$C:$C,$A162,'BSE - Other Index Options'!$B:$B,G$147)=0,"",SUMIFS('BSE - SENSEX Index Options'!$M:$M,'BSE - SENSEX Index Options'!$C:$C,$A162,'BSE - SENSEX Index Options'!$B:$B,G$147)+SUMIFS('BSE - Other Index Options'!$M:$M,'BSE - Other Index Options'!$C:$C,$A162,'BSE - Other Index Options'!$B:$B,G$147))</f>
        <v/>
      </c>
      <c r="H162" s="26">
        <f>IF(SUM(B162:G162)=0,"",SUM(B162:G162))</f>
        <v/>
      </c>
    </row>
    <row r="163">
      <c r="A163" t="inlineStr">
        <is>
          <t>Week1-Dec-2025</t>
        </is>
      </c>
      <c r="B163" s="26">
        <f>IF(SUMIFS('BSE - SENSEX Index Options'!$M:$M,'BSE - SENSEX Index Options'!$C:$C,$A163,'BSE - SENSEX Index Options'!$B:$B,B$147)+SUMIFS('BSE - Other Index Options'!$M:$M,'BSE - Other Index Options'!$C:$C,$A163,'BSE - Other Index Options'!$B:$B,B$147)=0,"",SUMIFS('BSE - SENSEX Index Options'!$M:$M,'BSE - SENSEX Index Options'!$C:$C,$A163,'BSE - SENSEX Index Options'!$B:$B,B$147)+SUMIFS('BSE - Other Index Options'!$M:$M,'BSE - Other Index Options'!$C:$C,$A163,'BSE - Other Index Options'!$B:$B,B$147))</f>
        <v/>
      </c>
      <c r="C163" s="26">
        <f>IF(SUMIFS('BSE - SENSEX Index Options'!$M:$M,'BSE - SENSEX Index Options'!$C:$C,$A163,'BSE - SENSEX Index Options'!$B:$B,C$147)+SUMIFS('BSE - Other Index Options'!$M:$M,'BSE - Other Index Options'!$C:$C,$A163,'BSE - Other Index Options'!$B:$B,C$147)=0,"",SUMIFS('BSE - SENSEX Index Options'!$M:$M,'BSE - SENSEX Index Options'!$C:$C,$A163,'BSE - SENSEX Index Options'!$B:$B,C$147)+SUMIFS('BSE - Other Index Options'!$M:$M,'BSE - Other Index Options'!$C:$C,$A163,'BSE - Other Index Options'!$B:$B,C$147))</f>
        <v/>
      </c>
      <c r="D163" s="26">
        <f>IF(SUMIFS('BSE - SENSEX Index Options'!$M:$M,'BSE - SENSEX Index Options'!$C:$C,$A163,'BSE - SENSEX Index Options'!$B:$B,D$147)+SUMIFS('BSE - Other Index Options'!$M:$M,'BSE - Other Index Options'!$C:$C,$A163,'BSE - Other Index Options'!$B:$B,D$147)=0,"",SUMIFS('BSE - SENSEX Index Options'!$M:$M,'BSE - SENSEX Index Options'!$C:$C,$A163,'BSE - SENSEX Index Options'!$B:$B,D$147)+SUMIFS('BSE - Other Index Options'!$M:$M,'BSE - Other Index Options'!$C:$C,$A163,'BSE - Other Index Options'!$B:$B,D$147))</f>
        <v/>
      </c>
      <c r="E163" s="26">
        <f>IF(SUMIFS('BSE - SENSEX Index Options'!$M:$M,'BSE - SENSEX Index Options'!$C:$C,$A163,'BSE - SENSEX Index Options'!$B:$B,E$147)+SUMIFS('BSE - Other Index Options'!$M:$M,'BSE - Other Index Options'!$C:$C,$A163,'BSE - Other Index Options'!$B:$B,E$147)=0,"",SUMIFS('BSE - SENSEX Index Options'!$M:$M,'BSE - SENSEX Index Options'!$C:$C,$A163,'BSE - SENSEX Index Options'!$B:$B,E$147)+SUMIFS('BSE - Other Index Options'!$M:$M,'BSE - Other Index Options'!$C:$C,$A163,'BSE - Other Index Options'!$B:$B,E$147))</f>
        <v/>
      </c>
      <c r="F163" s="26">
        <f>IF(SUMIFS('BSE - SENSEX Index Options'!$M:$M,'BSE - SENSEX Index Options'!$C:$C,$A163,'BSE - SENSEX Index Options'!$B:$B,F$147)+SUMIFS('BSE - Other Index Options'!$M:$M,'BSE - Other Index Options'!$C:$C,$A163,'BSE - Other Index Options'!$B:$B,F$147)=0,"",SUMIFS('BSE - SENSEX Index Options'!$M:$M,'BSE - SENSEX Index Options'!$C:$C,$A163,'BSE - SENSEX Index Options'!$B:$B,F$147)+SUMIFS('BSE - Other Index Options'!$M:$M,'BSE - Other Index Options'!$C:$C,$A163,'BSE - Other Index Options'!$B:$B,F$147))</f>
        <v/>
      </c>
      <c r="G163" s="26">
        <f>IF(SUMIFS('BSE - SENSEX Index Options'!$M:$M,'BSE - SENSEX Index Options'!$C:$C,$A163,'BSE - SENSEX Index Options'!$B:$B,G$147)+SUMIFS('BSE - Other Index Options'!$M:$M,'BSE - Other Index Options'!$C:$C,$A163,'BSE - Other Index Options'!$B:$B,G$147)=0,"",SUMIFS('BSE - SENSEX Index Options'!$M:$M,'BSE - SENSEX Index Options'!$C:$C,$A163,'BSE - SENSEX Index Options'!$B:$B,G$147)+SUMIFS('BSE - Other Index Options'!$M:$M,'BSE - Other Index Options'!$C:$C,$A163,'BSE - Other Index Options'!$B:$B,G$147))</f>
        <v/>
      </c>
      <c r="H163" s="26">
        <f>IF(SUM(B163:G163)=0,"",SUM(B163:G163))</f>
        <v/>
      </c>
    </row>
    <row r="164">
      <c r="A164" t="inlineStr">
        <is>
          <t>Week2-Dec-2025</t>
        </is>
      </c>
      <c r="B164" s="26">
        <f>IF(SUMIFS('BSE - SENSEX Index Options'!$M:$M,'BSE - SENSEX Index Options'!$C:$C,$A164,'BSE - SENSEX Index Options'!$B:$B,B$147)+SUMIFS('BSE - Other Index Options'!$M:$M,'BSE - Other Index Options'!$C:$C,$A164,'BSE - Other Index Options'!$B:$B,B$147)=0,"",SUMIFS('BSE - SENSEX Index Options'!$M:$M,'BSE - SENSEX Index Options'!$C:$C,$A164,'BSE - SENSEX Index Options'!$B:$B,B$147)+SUMIFS('BSE - Other Index Options'!$M:$M,'BSE - Other Index Options'!$C:$C,$A164,'BSE - Other Index Options'!$B:$B,B$147))</f>
        <v/>
      </c>
      <c r="C164" s="26">
        <f>IF(SUMIFS('BSE - SENSEX Index Options'!$M:$M,'BSE - SENSEX Index Options'!$C:$C,$A164,'BSE - SENSEX Index Options'!$B:$B,C$147)+SUMIFS('BSE - Other Index Options'!$M:$M,'BSE - Other Index Options'!$C:$C,$A164,'BSE - Other Index Options'!$B:$B,C$147)=0,"",SUMIFS('BSE - SENSEX Index Options'!$M:$M,'BSE - SENSEX Index Options'!$C:$C,$A164,'BSE - SENSEX Index Options'!$B:$B,C$147)+SUMIFS('BSE - Other Index Options'!$M:$M,'BSE - Other Index Options'!$C:$C,$A164,'BSE - Other Index Options'!$B:$B,C$147))</f>
        <v/>
      </c>
      <c r="D164" s="26">
        <f>IF(SUMIFS('BSE - SENSEX Index Options'!$M:$M,'BSE - SENSEX Index Options'!$C:$C,$A164,'BSE - SENSEX Index Options'!$B:$B,D$147)+SUMIFS('BSE - Other Index Options'!$M:$M,'BSE - Other Index Options'!$C:$C,$A164,'BSE - Other Index Options'!$B:$B,D$147)=0,"",SUMIFS('BSE - SENSEX Index Options'!$M:$M,'BSE - SENSEX Index Options'!$C:$C,$A164,'BSE - SENSEX Index Options'!$B:$B,D$147)+SUMIFS('BSE - Other Index Options'!$M:$M,'BSE - Other Index Options'!$C:$C,$A164,'BSE - Other Index Options'!$B:$B,D$147))</f>
        <v/>
      </c>
      <c r="E164" s="26">
        <f>IF(SUMIFS('BSE - SENSEX Index Options'!$M:$M,'BSE - SENSEX Index Options'!$C:$C,$A164,'BSE - SENSEX Index Options'!$B:$B,E$147)+SUMIFS('BSE - Other Index Options'!$M:$M,'BSE - Other Index Options'!$C:$C,$A164,'BSE - Other Index Options'!$B:$B,E$147)=0,"",SUMIFS('BSE - SENSEX Index Options'!$M:$M,'BSE - SENSEX Index Options'!$C:$C,$A164,'BSE - SENSEX Index Options'!$B:$B,E$147)+SUMIFS('BSE - Other Index Options'!$M:$M,'BSE - Other Index Options'!$C:$C,$A164,'BSE - Other Index Options'!$B:$B,E$147))</f>
        <v/>
      </c>
      <c r="F164" s="26">
        <f>IF(SUMIFS('BSE - SENSEX Index Options'!$M:$M,'BSE - SENSEX Index Options'!$C:$C,$A164,'BSE - SENSEX Index Options'!$B:$B,F$147)+SUMIFS('BSE - Other Index Options'!$M:$M,'BSE - Other Index Options'!$C:$C,$A164,'BSE - Other Index Options'!$B:$B,F$147)=0,"",SUMIFS('BSE - SENSEX Index Options'!$M:$M,'BSE - SENSEX Index Options'!$C:$C,$A164,'BSE - SENSEX Index Options'!$B:$B,F$147)+SUMIFS('BSE - Other Index Options'!$M:$M,'BSE - Other Index Options'!$C:$C,$A164,'BSE - Other Index Options'!$B:$B,F$147))</f>
        <v/>
      </c>
      <c r="G164" s="26">
        <f>IF(SUMIFS('BSE - SENSEX Index Options'!$M:$M,'BSE - SENSEX Index Options'!$C:$C,$A164,'BSE - SENSEX Index Options'!$B:$B,G$147)+SUMIFS('BSE - Other Index Options'!$M:$M,'BSE - Other Index Options'!$C:$C,$A164,'BSE - Other Index Options'!$B:$B,G$147)=0,"",SUMIFS('BSE - SENSEX Index Options'!$M:$M,'BSE - SENSEX Index Options'!$C:$C,$A164,'BSE - SENSEX Index Options'!$B:$B,G$147)+SUMIFS('BSE - Other Index Options'!$M:$M,'BSE - Other Index Options'!$C:$C,$A164,'BSE - Other Index Options'!$B:$B,G$147))</f>
        <v/>
      </c>
      <c r="H164" s="26">
        <f>IF(SUM(B164:G164)=0,"",SUM(B164:G164))</f>
        <v/>
      </c>
    </row>
    <row r="165">
      <c r="A165" t="inlineStr">
        <is>
          <t>Week3-Dec-2025</t>
        </is>
      </c>
      <c r="B165" s="26">
        <f>IF(SUMIFS('BSE - SENSEX Index Options'!$M:$M,'BSE - SENSEX Index Options'!$C:$C,$A165,'BSE - SENSEX Index Options'!$B:$B,B$147)+SUMIFS('BSE - Other Index Options'!$M:$M,'BSE - Other Index Options'!$C:$C,$A165,'BSE - Other Index Options'!$B:$B,B$147)=0,"",SUMIFS('BSE - SENSEX Index Options'!$M:$M,'BSE - SENSEX Index Options'!$C:$C,$A165,'BSE - SENSEX Index Options'!$B:$B,B$147)+SUMIFS('BSE - Other Index Options'!$M:$M,'BSE - Other Index Options'!$C:$C,$A165,'BSE - Other Index Options'!$B:$B,B$147))</f>
        <v/>
      </c>
      <c r="C165" s="26">
        <f>IF(SUMIFS('BSE - SENSEX Index Options'!$M:$M,'BSE - SENSEX Index Options'!$C:$C,$A165,'BSE - SENSEX Index Options'!$B:$B,C$147)+SUMIFS('BSE - Other Index Options'!$M:$M,'BSE - Other Index Options'!$C:$C,$A165,'BSE - Other Index Options'!$B:$B,C$147)=0,"",SUMIFS('BSE - SENSEX Index Options'!$M:$M,'BSE - SENSEX Index Options'!$C:$C,$A165,'BSE - SENSEX Index Options'!$B:$B,C$147)+SUMIFS('BSE - Other Index Options'!$M:$M,'BSE - Other Index Options'!$C:$C,$A165,'BSE - Other Index Options'!$B:$B,C$147))</f>
        <v/>
      </c>
      <c r="D165" s="26">
        <f>IF(SUMIFS('BSE - SENSEX Index Options'!$M:$M,'BSE - SENSEX Index Options'!$C:$C,$A165,'BSE - SENSEX Index Options'!$B:$B,D$147)+SUMIFS('BSE - Other Index Options'!$M:$M,'BSE - Other Index Options'!$C:$C,$A165,'BSE - Other Index Options'!$B:$B,D$147)=0,"",SUMIFS('BSE - SENSEX Index Options'!$M:$M,'BSE - SENSEX Index Options'!$C:$C,$A165,'BSE - SENSEX Index Options'!$B:$B,D$147)+SUMIFS('BSE - Other Index Options'!$M:$M,'BSE - Other Index Options'!$C:$C,$A165,'BSE - Other Index Options'!$B:$B,D$147))</f>
        <v/>
      </c>
      <c r="E165" s="26">
        <f>IF(SUMIFS('BSE - SENSEX Index Options'!$M:$M,'BSE - SENSEX Index Options'!$C:$C,$A165,'BSE - SENSEX Index Options'!$B:$B,E$147)+SUMIFS('BSE - Other Index Options'!$M:$M,'BSE - Other Index Options'!$C:$C,$A165,'BSE - Other Index Options'!$B:$B,E$147)=0,"",SUMIFS('BSE - SENSEX Index Options'!$M:$M,'BSE - SENSEX Index Options'!$C:$C,$A165,'BSE - SENSEX Index Options'!$B:$B,E$147)+SUMIFS('BSE - Other Index Options'!$M:$M,'BSE - Other Index Options'!$C:$C,$A165,'BSE - Other Index Options'!$B:$B,E$147))</f>
        <v/>
      </c>
      <c r="F165" s="26">
        <f>IF(SUMIFS('BSE - SENSEX Index Options'!$M:$M,'BSE - SENSEX Index Options'!$C:$C,$A165,'BSE - SENSEX Index Options'!$B:$B,F$147)+SUMIFS('BSE - Other Index Options'!$M:$M,'BSE - Other Index Options'!$C:$C,$A165,'BSE - Other Index Options'!$B:$B,F$147)=0,"",SUMIFS('BSE - SENSEX Index Options'!$M:$M,'BSE - SENSEX Index Options'!$C:$C,$A165,'BSE - SENSEX Index Options'!$B:$B,F$147)+SUMIFS('BSE - Other Index Options'!$M:$M,'BSE - Other Index Options'!$C:$C,$A165,'BSE - Other Index Options'!$B:$B,F$147))</f>
        <v/>
      </c>
      <c r="G165" s="26">
        <f>IF(SUMIFS('BSE - SENSEX Index Options'!$M:$M,'BSE - SENSEX Index Options'!$C:$C,$A165,'BSE - SENSEX Index Options'!$B:$B,G$147)+SUMIFS('BSE - Other Index Options'!$M:$M,'BSE - Other Index Options'!$C:$C,$A165,'BSE - Other Index Options'!$B:$B,G$147)=0,"",SUMIFS('BSE - SENSEX Index Options'!$M:$M,'BSE - SENSEX Index Options'!$C:$C,$A165,'BSE - SENSEX Index Options'!$B:$B,G$147)+SUMIFS('BSE - Other Index Options'!$M:$M,'BSE - Other Index Options'!$C:$C,$A165,'BSE - Other Index Options'!$B:$B,G$147))</f>
        <v/>
      </c>
      <c r="H165" s="26">
        <f>IF(SUM(B165:G165)=0,"",SUM(B165:G165))</f>
        <v/>
      </c>
    </row>
    <row r="166">
      <c r="A166" t="inlineStr">
        <is>
          <t>Week4-Dec-2025</t>
        </is>
      </c>
      <c r="B166" s="26">
        <f>IF(SUMIFS('BSE - SENSEX Index Options'!$M:$M,'BSE - SENSEX Index Options'!$C:$C,$A166,'BSE - SENSEX Index Options'!$B:$B,B$147)+SUMIFS('BSE - Other Index Options'!$M:$M,'BSE - Other Index Options'!$C:$C,$A166,'BSE - Other Index Options'!$B:$B,B$147)=0,"",SUMIFS('BSE - SENSEX Index Options'!$M:$M,'BSE - SENSEX Index Options'!$C:$C,$A166,'BSE - SENSEX Index Options'!$B:$B,B$147)+SUMIFS('BSE - Other Index Options'!$M:$M,'BSE - Other Index Options'!$C:$C,$A166,'BSE - Other Index Options'!$B:$B,B$147))</f>
        <v/>
      </c>
      <c r="C166" s="26">
        <f>IF(SUMIFS('BSE - SENSEX Index Options'!$M:$M,'BSE - SENSEX Index Options'!$C:$C,$A166,'BSE - SENSEX Index Options'!$B:$B,C$147)+SUMIFS('BSE - Other Index Options'!$M:$M,'BSE - Other Index Options'!$C:$C,$A166,'BSE - Other Index Options'!$B:$B,C$147)=0,"",SUMIFS('BSE - SENSEX Index Options'!$M:$M,'BSE - SENSEX Index Options'!$C:$C,$A166,'BSE - SENSEX Index Options'!$B:$B,C$147)+SUMIFS('BSE - Other Index Options'!$M:$M,'BSE - Other Index Options'!$C:$C,$A166,'BSE - Other Index Options'!$B:$B,C$147))</f>
        <v/>
      </c>
      <c r="D166" s="26">
        <f>IF(SUMIFS('BSE - SENSEX Index Options'!$M:$M,'BSE - SENSEX Index Options'!$C:$C,$A166,'BSE - SENSEX Index Options'!$B:$B,D$147)+SUMIFS('BSE - Other Index Options'!$M:$M,'BSE - Other Index Options'!$C:$C,$A166,'BSE - Other Index Options'!$B:$B,D$147)=0,"",SUMIFS('BSE - SENSEX Index Options'!$M:$M,'BSE - SENSEX Index Options'!$C:$C,$A166,'BSE - SENSEX Index Options'!$B:$B,D$147)+SUMIFS('BSE - Other Index Options'!$M:$M,'BSE - Other Index Options'!$C:$C,$A166,'BSE - Other Index Options'!$B:$B,D$147))</f>
        <v/>
      </c>
      <c r="E166" s="26">
        <f>IF(SUMIFS('BSE - SENSEX Index Options'!$M:$M,'BSE - SENSEX Index Options'!$C:$C,$A166,'BSE - SENSEX Index Options'!$B:$B,E$147)+SUMIFS('BSE - Other Index Options'!$M:$M,'BSE - Other Index Options'!$C:$C,$A166,'BSE - Other Index Options'!$B:$B,E$147)=0,"",SUMIFS('BSE - SENSEX Index Options'!$M:$M,'BSE - SENSEX Index Options'!$C:$C,$A166,'BSE - SENSEX Index Options'!$B:$B,E$147)+SUMIFS('BSE - Other Index Options'!$M:$M,'BSE - Other Index Options'!$C:$C,$A166,'BSE - Other Index Options'!$B:$B,E$147))</f>
        <v/>
      </c>
      <c r="F166" s="26">
        <f>IF(SUMIFS('BSE - SENSEX Index Options'!$M:$M,'BSE - SENSEX Index Options'!$C:$C,$A166,'BSE - SENSEX Index Options'!$B:$B,F$147)+SUMIFS('BSE - Other Index Options'!$M:$M,'BSE - Other Index Options'!$C:$C,$A166,'BSE - Other Index Options'!$B:$B,F$147)=0,"",SUMIFS('BSE - SENSEX Index Options'!$M:$M,'BSE - SENSEX Index Options'!$C:$C,$A166,'BSE - SENSEX Index Options'!$B:$B,F$147)+SUMIFS('BSE - Other Index Options'!$M:$M,'BSE - Other Index Options'!$C:$C,$A166,'BSE - Other Index Options'!$B:$B,F$147))</f>
        <v/>
      </c>
      <c r="G166" s="26">
        <f>IF(SUMIFS('BSE - SENSEX Index Options'!$M:$M,'BSE - SENSEX Index Options'!$C:$C,$A166,'BSE - SENSEX Index Options'!$B:$B,G$147)+SUMIFS('BSE - Other Index Options'!$M:$M,'BSE - Other Index Options'!$C:$C,$A166,'BSE - Other Index Options'!$B:$B,G$147)=0,"",SUMIFS('BSE - SENSEX Index Options'!$M:$M,'BSE - SENSEX Index Options'!$C:$C,$A166,'BSE - SENSEX Index Options'!$B:$B,G$147)+SUMIFS('BSE - Other Index Options'!$M:$M,'BSE - Other Index Options'!$C:$C,$A166,'BSE - Other Index Options'!$B:$B,G$147))</f>
        <v/>
      </c>
      <c r="H166" s="26">
        <f>IF(SUM(B166:G166)=0,"",SUM(B166:G166))</f>
        <v/>
      </c>
    </row>
    <row r="167">
      <c r="A167" t="inlineStr">
        <is>
          <t>Week5-Dec-2025</t>
        </is>
      </c>
      <c r="B167" s="26">
        <f>IF(SUMIFS('BSE - SENSEX Index Options'!$M:$M,'BSE - SENSEX Index Options'!$C:$C,$A167,'BSE - SENSEX Index Options'!$B:$B,B$147)+SUMIFS('BSE - Other Index Options'!$M:$M,'BSE - Other Index Options'!$C:$C,$A167,'BSE - Other Index Options'!$B:$B,B$147)=0,"",SUMIFS('BSE - SENSEX Index Options'!$M:$M,'BSE - SENSEX Index Options'!$C:$C,$A167,'BSE - SENSEX Index Options'!$B:$B,B$147)+SUMIFS('BSE - Other Index Options'!$M:$M,'BSE - Other Index Options'!$C:$C,$A167,'BSE - Other Index Options'!$B:$B,B$147))</f>
        <v/>
      </c>
      <c r="C167" s="26">
        <f>IF(SUMIFS('BSE - SENSEX Index Options'!$M:$M,'BSE - SENSEX Index Options'!$C:$C,$A167,'BSE - SENSEX Index Options'!$B:$B,C$147)+SUMIFS('BSE - Other Index Options'!$M:$M,'BSE - Other Index Options'!$C:$C,$A167,'BSE - Other Index Options'!$B:$B,C$147)=0,"",SUMIFS('BSE - SENSEX Index Options'!$M:$M,'BSE - SENSEX Index Options'!$C:$C,$A167,'BSE - SENSEX Index Options'!$B:$B,C$147)+SUMIFS('BSE - Other Index Options'!$M:$M,'BSE - Other Index Options'!$C:$C,$A167,'BSE - Other Index Options'!$B:$B,C$147))</f>
        <v/>
      </c>
      <c r="D167" s="26">
        <f>IF(SUMIFS('BSE - SENSEX Index Options'!$M:$M,'BSE - SENSEX Index Options'!$C:$C,$A167,'BSE - SENSEX Index Options'!$B:$B,D$147)+SUMIFS('BSE - Other Index Options'!$M:$M,'BSE - Other Index Options'!$C:$C,$A167,'BSE - Other Index Options'!$B:$B,D$147)=0,"",SUMIFS('BSE - SENSEX Index Options'!$M:$M,'BSE - SENSEX Index Options'!$C:$C,$A167,'BSE - SENSEX Index Options'!$B:$B,D$147)+SUMIFS('BSE - Other Index Options'!$M:$M,'BSE - Other Index Options'!$C:$C,$A167,'BSE - Other Index Options'!$B:$B,D$147))</f>
        <v/>
      </c>
      <c r="E167" s="26">
        <f>IF(SUMIFS('BSE - SENSEX Index Options'!$M:$M,'BSE - SENSEX Index Options'!$C:$C,$A167,'BSE - SENSEX Index Options'!$B:$B,E$147)+SUMIFS('BSE - Other Index Options'!$M:$M,'BSE - Other Index Options'!$C:$C,$A167,'BSE - Other Index Options'!$B:$B,E$147)=0,"",SUMIFS('BSE - SENSEX Index Options'!$M:$M,'BSE - SENSEX Index Options'!$C:$C,$A167,'BSE - SENSEX Index Options'!$B:$B,E$147)+SUMIFS('BSE - Other Index Options'!$M:$M,'BSE - Other Index Options'!$C:$C,$A167,'BSE - Other Index Options'!$B:$B,E$147))</f>
        <v/>
      </c>
      <c r="F167" s="26">
        <f>IF(SUMIFS('BSE - SENSEX Index Options'!$M:$M,'BSE - SENSEX Index Options'!$C:$C,$A167,'BSE - SENSEX Index Options'!$B:$B,F$147)+SUMIFS('BSE - Other Index Options'!$M:$M,'BSE - Other Index Options'!$C:$C,$A167,'BSE - Other Index Options'!$B:$B,F$147)=0,"",SUMIFS('BSE - SENSEX Index Options'!$M:$M,'BSE - SENSEX Index Options'!$C:$C,$A167,'BSE - SENSEX Index Options'!$B:$B,F$147)+SUMIFS('BSE - Other Index Options'!$M:$M,'BSE - Other Index Options'!$C:$C,$A167,'BSE - Other Index Options'!$B:$B,F$147))</f>
        <v/>
      </c>
      <c r="G167" s="26">
        <f>IF(SUMIFS('BSE - SENSEX Index Options'!$M:$M,'BSE - SENSEX Index Options'!$C:$C,$A167,'BSE - SENSEX Index Options'!$B:$B,G$147)+SUMIFS('BSE - Other Index Options'!$M:$M,'BSE - Other Index Options'!$C:$C,$A167,'BSE - Other Index Options'!$B:$B,G$147)=0,"",SUMIFS('BSE - SENSEX Index Options'!$M:$M,'BSE - SENSEX Index Options'!$C:$C,$A167,'BSE - SENSEX Index Options'!$B:$B,G$147)+SUMIFS('BSE - Other Index Options'!$M:$M,'BSE - Other Index Options'!$C:$C,$A167,'BSE - Other Index Options'!$B:$B,G$147))</f>
        <v/>
      </c>
      <c r="H167" s="26">
        <f>IF(SUM(B167:G167)=0,"",SUM(B167:G167))</f>
        <v/>
      </c>
    </row>
    <row r="168">
      <c r="A168" t="inlineStr">
        <is>
          <t>Week1-Jan-2026</t>
        </is>
      </c>
      <c r="B168" s="26">
        <f>IF(SUMIFS('BSE - SENSEX Index Options'!$M:$M,'BSE - SENSEX Index Options'!$C:$C,$A168,'BSE - SENSEX Index Options'!$B:$B,B$147)+SUMIFS('BSE - Other Index Options'!$M:$M,'BSE - Other Index Options'!$C:$C,$A168,'BSE - Other Index Options'!$B:$B,B$147)=0,"",SUMIFS('BSE - SENSEX Index Options'!$M:$M,'BSE - SENSEX Index Options'!$C:$C,$A168,'BSE - SENSEX Index Options'!$B:$B,B$147)+SUMIFS('BSE - Other Index Options'!$M:$M,'BSE - Other Index Options'!$C:$C,$A168,'BSE - Other Index Options'!$B:$B,B$147))</f>
        <v/>
      </c>
      <c r="C168" s="26">
        <f>IF(SUMIFS('BSE - SENSEX Index Options'!$M:$M,'BSE - SENSEX Index Options'!$C:$C,$A168,'BSE - SENSEX Index Options'!$B:$B,C$147)+SUMIFS('BSE - Other Index Options'!$M:$M,'BSE - Other Index Options'!$C:$C,$A168,'BSE - Other Index Options'!$B:$B,C$147)=0,"",SUMIFS('BSE - SENSEX Index Options'!$M:$M,'BSE - SENSEX Index Options'!$C:$C,$A168,'BSE - SENSEX Index Options'!$B:$B,C$147)+SUMIFS('BSE - Other Index Options'!$M:$M,'BSE - Other Index Options'!$C:$C,$A168,'BSE - Other Index Options'!$B:$B,C$147))</f>
        <v/>
      </c>
      <c r="D168" s="26">
        <f>IF(SUMIFS('BSE - SENSEX Index Options'!$M:$M,'BSE - SENSEX Index Options'!$C:$C,$A168,'BSE - SENSEX Index Options'!$B:$B,D$147)+SUMIFS('BSE - Other Index Options'!$M:$M,'BSE - Other Index Options'!$C:$C,$A168,'BSE - Other Index Options'!$B:$B,D$147)=0,"",SUMIFS('BSE - SENSEX Index Options'!$M:$M,'BSE - SENSEX Index Options'!$C:$C,$A168,'BSE - SENSEX Index Options'!$B:$B,D$147)+SUMIFS('BSE - Other Index Options'!$M:$M,'BSE - Other Index Options'!$C:$C,$A168,'BSE - Other Index Options'!$B:$B,D$147))</f>
        <v/>
      </c>
      <c r="E168" s="26">
        <f>IF(SUMIFS('BSE - SENSEX Index Options'!$M:$M,'BSE - SENSEX Index Options'!$C:$C,$A168,'BSE - SENSEX Index Options'!$B:$B,E$147)+SUMIFS('BSE - Other Index Options'!$M:$M,'BSE - Other Index Options'!$C:$C,$A168,'BSE - Other Index Options'!$B:$B,E$147)=0,"",SUMIFS('BSE - SENSEX Index Options'!$M:$M,'BSE - SENSEX Index Options'!$C:$C,$A168,'BSE - SENSEX Index Options'!$B:$B,E$147)+SUMIFS('BSE - Other Index Options'!$M:$M,'BSE - Other Index Options'!$C:$C,$A168,'BSE - Other Index Options'!$B:$B,E$147))</f>
        <v/>
      </c>
      <c r="F168" s="26">
        <f>IF(SUMIFS('BSE - SENSEX Index Options'!$M:$M,'BSE - SENSEX Index Options'!$C:$C,$A168,'BSE - SENSEX Index Options'!$B:$B,F$147)+SUMIFS('BSE - Other Index Options'!$M:$M,'BSE - Other Index Options'!$C:$C,$A168,'BSE - Other Index Options'!$B:$B,F$147)=0,"",SUMIFS('BSE - SENSEX Index Options'!$M:$M,'BSE - SENSEX Index Options'!$C:$C,$A168,'BSE - SENSEX Index Options'!$B:$B,F$147)+SUMIFS('BSE - Other Index Options'!$M:$M,'BSE - Other Index Options'!$C:$C,$A168,'BSE - Other Index Options'!$B:$B,F$147))</f>
        <v/>
      </c>
      <c r="G168" s="26">
        <f>IF(SUMIFS('BSE - SENSEX Index Options'!$M:$M,'BSE - SENSEX Index Options'!$C:$C,$A168,'BSE - SENSEX Index Options'!$B:$B,G$147)+SUMIFS('BSE - Other Index Options'!$M:$M,'BSE - Other Index Options'!$C:$C,$A168,'BSE - Other Index Options'!$B:$B,G$147)=0,"",SUMIFS('BSE - SENSEX Index Options'!$M:$M,'BSE - SENSEX Index Options'!$C:$C,$A168,'BSE - SENSEX Index Options'!$B:$B,G$147)+SUMIFS('BSE - Other Index Options'!$M:$M,'BSE - Other Index Options'!$C:$C,$A168,'BSE - Other Index Options'!$B:$B,G$147))</f>
        <v/>
      </c>
      <c r="H168" s="26">
        <f>IF(SUM(B168:G168)=0,"",SUM(B168:G168))</f>
        <v/>
      </c>
    </row>
    <row r="169">
      <c r="A169" t="inlineStr">
        <is>
          <t>Week2-Jan-2026</t>
        </is>
      </c>
      <c r="B169" s="26">
        <f>IF(SUMIFS('BSE - SENSEX Index Options'!$M:$M,'BSE - SENSEX Index Options'!$C:$C,$A169,'BSE - SENSEX Index Options'!$B:$B,B$147)+SUMIFS('BSE - Other Index Options'!$M:$M,'BSE - Other Index Options'!$C:$C,$A169,'BSE - Other Index Options'!$B:$B,B$147)=0,"",SUMIFS('BSE - SENSEX Index Options'!$M:$M,'BSE - SENSEX Index Options'!$C:$C,$A169,'BSE - SENSEX Index Options'!$B:$B,B$147)+SUMIFS('BSE - Other Index Options'!$M:$M,'BSE - Other Index Options'!$C:$C,$A169,'BSE - Other Index Options'!$B:$B,B$147))</f>
        <v/>
      </c>
      <c r="C169" s="26">
        <f>IF(SUMIFS('BSE - SENSEX Index Options'!$M:$M,'BSE - SENSEX Index Options'!$C:$C,$A169,'BSE - SENSEX Index Options'!$B:$B,C$147)+SUMIFS('BSE - Other Index Options'!$M:$M,'BSE - Other Index Options'!$C:$C,$A169,'BSE - Other Index Options'!$B:$B,C$147)=0,"",SUMIFS('BSE - SENSEX Index Options'!$M:$M,'BSE - SENSEX Index Options'!$C:$C,$A169,'BSE - SENSEX Index Options'!$B:$B,C$147)+SUMIFS('BSE - Other Index Options'!$M:$M,'BSE - Other Index Options'!$C:$C,$A169,'BSE - Other Index Options'!$B:$B,C$147))</f>
        <v/>
      </c>
      <c r="D169" s="26">
        <f>IF(SUMIFS('BSE - SENSEX Index Options'!$M:$M,'BSE - SENSEX Index Options'!$C:$C,$A169,'BSE - SENSEX Index Options'!$B:$B,D$147)+SUMIFS('BSE - Other Index Options'!$M:$M,'BSE - Other Index Options'!$C:$C,$A169,'BSE - Other Index Options'!$B:$B,D$147)=0,"",SUMIFS('BSE - SENSEX Index Options'!$M:$M,'BSE - SENSEX Index Options'!$C:$C,$A169,'BSE - SENSEX Index Options'!$B:$B,D$147)+SUMIFS('BSE - Other Index Options'!$M:$M,'BSE - Other Index Options'!$C:$C,$A169,'BSE - Other Index Options'!$B:$B,D$147))</f>
        <v/>
      </c>
      <c r="E169" s="26">
        <f>IF(SUMIFS('BSE - SENSEX Index Options'!$M:$M,'BSE - SENSEX Index Options'!$C:$C,$A169,'BSE - SENSEX Index Options'!$B:$B,E$147)+SUMIFS('BSE - Other Index Options'!$M:$M,'BSE - Other Index Options'!$C:$C,$A169,'BSE - Other Index Options'!$B:$B,E$147)=0,"",SUMIFS('BSE - SENSEX Index Options'!$M:$M,'BSE - SENSEX Index Options'!$C:$C,$A169,'BSE - SENSEX Index Options'!$B:$B,E$147)+SUMIFS('BSE - Other Index Options'!$M:$M,'BSE - Other Index Options'!$C:$C,$A169,'BSE - Other Index Options'!$B:$B,E$147))</f>
        <v/>
      </c>
      <c r="F169" s="26">
        <f>IF(SUMIFS('BSE - SENSEX Index Options'!$M:$M,'BSE - SENSEX Index Options'!$C:$C,$A169,'BSE - SENSEX Index Options'!$B:$B,F$147)+SUMIFS('BSE - Other Index Options'!$M:$M,'BSE - Other Index Options'!$C:$C,$A169,'BSE - Other Index Options'!$B:$B,F$147)=0,"",SUMIFS('BSE - SENSEX Index Options'!$M:$M,'BSE - SENSEX Index Options'!$C:$C,$A169,'BSE - SENSEX Index Options'!$B:$B,F$147)+SUMIFS('BSE - Other Index Options'!$M:$M,'BSE - Other Index Options'!$C:$C,$A169,'BSE - Other Index Options'!$B:$B,F$147))</f>
        <v/>
      </c>
      <c r="G169" s="26">
        <f>IF(SUMIFS('BSE - SENSEX Index Options'!$M:$M,'BSE - SENSEX Index Options'!$C:$C,$A169,'BSE - SENSEX Index Options'!$B:$B,G$147)+SUMIFS('BSE - Other Index Options'!$M:$M,'BSE - Other Index Options'!$C:$C,$A169,'BSE - Other Index Options'!$B:$B,G$147)=0,"",SUMIFS('BSE - SENSEX Index Options'!$M:$M,'BSE - SENSEX Index Options'!$C:$C,$A169,'BSE - SENSEX Index Options'!$B:$B,G$147)+SUMIFS('BSE - Other Index Options'!$M:$M,'BSE - Other Index Options'!$C:$C,$A169,'BSE - Other Index Options'!$B:$B,G$147))</f>
        <v/>
      </c>
      <c r="H169" s="26">
        <f>IF(SUM(B169:G169)=0,"",SUM(B169:G169))</f>
        <v/>
      </c>
    </row>
    <row r="170">
      <c r="A170" t="inlineStr">
        <is>
          <t>Week3-Jan-2026</t>
        </is>
      </c>
      <c r="B170" s="26">
        <f>IF(SUMIFS('BSE - SENSEX Index Options'!$M:$M,'BSE - SENSEX Index Options'!$C:$C,$A170,'BSE - SENSEX Index Options'!$B:$B,B$147)+SUMIFS('BSE - Other Index Options'!$M:$M,'BSE - Other Index Options'!$C:$C,$A170,'BSE - Other Index Options'!$B:$B,B$147)=0,"",SUMIFS('BSE - SENSEX Index Options'!$M:$M,'BSE - SENSEX Index Options'!$C:$C,$A170,'BSE - SENSEX Index Options'!$B:$B,B$147)+SUMIFS('BSE - Other Index Options'!$M:$M,'BSE - Other Index Options'!$C:$C,$A170,'BSE - Other Index Options'!$B:$B,B$147))</f>
        <v/>
      </c>
      <c r="C170" s="26">
        <f>IF(SUMIFS('BSE - SENSEX Index Options'!$M:$M,'BSE - SENSEX Index Options'!$C:$C,$A170,'BSE - SENSEX Index Options'!$B:$B,C$147)+SUMIFS('BSE - Other Index Options'!$M:$M,'BSE - Other Index Options'!$C:$C,$A170,'BSE - Other Index Options'!$B:$B,C$147)=0,"",SUMIFS('BSE - SENSEX Index Options'!$M:$M,'BSE - SENSEX Index Options'!$C:$C,$A170,'BSE - SENSEX Index Options'!$B:$B,C$147)+SUMIFS('BSE - Other Index Options'!$M:$M,'BSE - Other Index Options'!$C:$C,$A170,'BSE - Other Index Options'!$B:$B,C$147))</f>
        <v/>
      </c>
      <c r="D170" s="26">
        <f>IF(SUMIFS('BSE - SENSEX Index Options'!$M:$M,'BSE - SENSEX Index Options'!$C:$C,$A170,'BSE - SENSEX Index Options'!$B:$B,D$147)+SUMIFS('BSE - Other Index Options'!$M:$M,'BSE - Other Index Options'!$C:$C,$A170,'BSE - Other Index Options'!$B:$B,D$147)=0,"",SUMIFS('BSE - SENSEX Index Options'!$M:$M,'BSE - SENSEX Index Options'!$C:$C,$A170,'BSE - SENSEX Index Options'!$B:$B,D$147)+SUMIFS('BSE - Other Index Options'!$M:$M,'BSE - Other Index Options'!$C:$C,$A170,'BSE - Other Index Options'!$B:$B,D$147))</f>
        <v/>
      </c>
      <c r="E170" s="26">
        <f>IF(SUMIFS('BSE - SENSEX Index Options'!$M:$M,'BSE - SENSEX Index Options'!$C:$C,$A170,'BSE - SENSEX Index Options'!$B:$B,E$147)+SUMIFS('BSE - Other Index Options'!$M:$M,'BSE - Other Index Options'!$C:$C,$A170,'BSE - Other Index Options'!$B:$B,E$147)=0,"",SUMIFS('BSE - SENSEX Index Options'!$M:$M,'BSE - SENSEX Index Options'!$C:$C,$A170,'BSE - SENSEX Index Options'!$B:$B,E$147)+SUMIFS('BSE - Other Index Options'!$M:$M,'BSE - Other Index Options'!$C:$C,$A170,'BSE - Other Index Options'!$B:$B,E$147))</f>
        <v/>
      </c>
      <c r="F170" s="26">
        <f>IF(SUMIFS('BSE - SENSEX Index Options'!$M:$M,'BSE - SENSEX Index Options'!$C:$C,$A170,'BSE - SENSEX Index Options'!$B:$B,F$147)+SUMIFS('BSE - Other Index Options'!$M:$M,'BSE - Other Index Options'!$C:$C,$A170,'BSE - Other Index Options'!$B:$B,F$147)=0,"",SUMIFS('BSE - SENSEX Index Options'!$M:$M,'BSE - SENSEX Index Options'!$C:$C,$A170,'BSE - SENSEX Index Options'!$B:$B,F$147)+SUMIFS('BSE - Other Index Options'!$M:$M,'BSE - Other Index Options'!$C:$C,$A170,'BSE - Other Index Options'!$B:$B,F$147))</f>
        <v/>
      </c>
      <c r="G170" s="26">
        <f>IF(SUMIFS('BSE - SENSEX Index Options'!$M:$M,'BSE - SENSEX Index Options'!$C:$C,$A170,'BSE - SENSEX Index Options'!$B:$B,G$147)+SUMIFS('BSE - Other Index Options'!$M:$M,'BSE - Other Index Options'!$C:$C,$A170,'BSE - Other Index Options'!$B:$B,G$147)=0,"",SUMIFS('BSE - SENSEX Index Options'!$M:$M,'BSE - SENSEX Index Options'!$C:$C,$A170,'BSE - SENSEX Index Options'!$B:$B,G$147)+SUMIFS('BSE - Other Index Options'!$M:$M,'BSE - Other Index Options'!$C:$C,$A170,'BSE - Other Index Options'!$B:$B,G$147))</f>
        <v/>
      </c>
      <c r="H170" s="26">
        <f>IF(SUM(B170:G170)=0,"",SUM(B170:G170))</f>
        <v/>
      </c>
    </row>
    <row r="171">
      <c r="A171" t="inlineStr">
        <is>
          <t>Week4-Jan-2026</t>
        </is>
      </c>
      <c r="B171" s="26">
        <f>IF(SUMIFS('BSE - SENSEX Index Options'!$M:$M,'BSE - SENSEX Index Options'!$C:$C,$A171,'BSE - SENSEX Index Options'!$B:$B,B$147)+SUMIFS('BSE - Other Index Options'!$M:$M,'BSE - Other Index Options'!$C:$C,$A171,'BSE - Other Index Options'!$B:$B,B$147)=0,"",SUMIFS('BSE - SENSEX Index Options'!$M:$M,'BSE - SENSEX Index Options'!$C:$C,$A171,'BSE - SENSEX Index Options'!$B:$B,B$147)+SUMIFS('BSE - Other Index Options'!$M:$M,'BSE - Other Index Options'!$C:$C,$A171,'BSE - Other Index Options'!$B:$B,B$147))</f>
        <v/>
      </c>
      <c r="C171" s="26">
        <f>IF(SUMIFS('BSE - SENSEX Index Options'!$M:$M,'BSE - SENSEX Index Options'!$C:$C,$A171,'BSE - SENSEX Index Options'!$B:$B,C$147)+SUMIFS('BSE - Other Index Options'!$M:$M,'BSE - Other Index Options'!$C:$C,$A171,'BSE - Other Index Options'!$B:$B,C$147)=0,"",SUMIFS('BSE - SENSEX Index Options'!$M:$M,'BSE - SENSEX Index Options'!$C:$C,$A171,'BSE - SENSEX Index Options'!$B:$B,C$147)+SUMIFS('BSE - Other Index Options'!$M:$M,'BSE - Other Index Options'!$C:$C,$A171,'BSE - Other Index Options'!$B:$B,C$147))</f>
        <v/>
      </c>
      <c r="D171" s="26">
        <f>IF(SUMIFS('BSE - SENSEX Index Options'!$M:$M,'BSE - SENSEX Index Options'!$C:$C,$A171,'BSE - SENSEX Index Options'!$B:$B,D$147)+SUMIFS('BSE - Other Index Options'!$M:$M,'BSE - Other Index Options'!$C:$C,$A171,'BSE - Other Index Options'!$B:$B,D$147)=0,"",SUMIFS('BSE - SENSEX Index Options'!$M:$M,'BSE - SENSEX Index Options'!$C:$C,$A171,'BSE - SENSEX Index Options'!$B:$B,D$147)+SUMIFS('BSE - Other Index Options'!$M:$M,'BSE - Other Index Options'!$C:$C,$A171,'BSE - Other Index Options'!$B:$B,D$147))</f>
        <v/>
      </c>
      <c r="E171" s="26">
        <f>IF(SUMIFS('BSE - SENSEX Index Options'!$M:$M,'BSE - SENSEX Index Options'!$C:$C,$A171,'BSE - SENSEX Index Options'!$B:$B,E$147)+SUMIFS('BSE - Other Index Options'!$M:$M,'BSE - Other Index Options'!$C:$C,$A171,'BSE - Other Index Options'!$B:$B,E$147)=0,"",SUMIFS('BSE - SENSEX Index Options'!$M:$M,'BSE - SENSEX Index Options'!$C:$C,$A171,'BSE - SENSEX Index Options'!$B:$B,E$147)+SUMIFS('BSE - Other Index Options'!$M:$M,'BSE - Other Index Options'!$C:$C,$A171,'BSE - Other Index Options'!$B:$B,E$147))</f>
        <v/>
      </c>
      <c r="F171" s="26">
        <f>IF(SUMIFS('BSE - SENSEX Index Options'!$M:$M,'BSE - SENSEX Index Options'!$C:$C,$A171,'BSE - SENSEX Index Options'!$B:$B,F$147)+SUMIFS('BSE - Other Index Options'!$M:$M,'BSE - Other Index Options'!$C:$C,$A171,'BSE - Other Index Options'!$B:$B,F$147)=0,"",SUMIFS('BSE - SENSEX Index Options'!$M:$M,'BSE - SENSEX Index Options'!$C:$C,$A171,'BSE - SENSEX Index Options'!$B:$B,F$147)+SUMIFS('BSE - Other Index Options'!$M:$M,'BSE - Other Index Options'!$C:$C,$A171,'BSE - Other Index Options'!$B:$B,F$147))</f>
        <v/>
      </c>
      <c r="G171" s="26">
        <f>IF(SUMIFS('BSE - SENSEX Index Options'!$M:$M,'BSE - SENSEX Index Options'!$C:$C,$A171,'BSE - SENSEX Index Options'!$B:$B,G$147)+SUMIFS('BSE - Other Index Options'!$M:$M,'BSE - Other Index Options'!$C:$C,$A171,'BSE - Other Index Options'!$B:$B,G$147)=0,"",SUMIFS('BSE - SENSEX Index Options'!$M:$M,'BSE - SENSEX Index Options'!$C:$C,$A171,'BSE - SENSEX Index Options'!$B:$B,G$147)+SUMIFS('BSE - Other Index Options'!$M:$M,'BSE - Other Index Options'!$C:$C,$A171,'BSE - Other Index Options'!$B:$B,G$147))</f>
        <v/>
      </c>
      <c r="H171" s="26">
        <f>IF(SUM(B171:G171)=0,"",SUM(B171:G171))</f>
        <v/>
      </c>
    </row>
    <row r="172">
      <c r="A172" t="inlineStr">
        <is>
          <t>Week5-Jan-2026</t>
        </is>
      </c>
      <c r="B172" s="26">
        <f>IF(SUMIFS('BSE - SENSEX Index Options'!$M:$M,'BSE - SENSEX Index Options'!$C:$C,$A172,'BSE - SENSEX Index Options'!$B:$B,B$147)+SUMIFS('BSE - Other Index Options'!$M:$M,'BSE - Other Index Options'!$C:$C,$A172,'BSE - Other Index Options'!$B:$B,B$147)=0,"",SUMIFS('BSE - SENSEX Index Options'!$M:$M,'BSE - SENSEX Index Options'!$C:$C,$A172,'BSE - SENSEX Index Options'!$B:$B,B$147)+SUMIFS('BSE - Other Index Options'!$M:$M,'BSE - Other Index Options'!$C:$C,$A172,'BSE - Other Index Options'!$B:$B,B$147))</f>
        <v/>
      </c>
      <c r="C172" s="26">
        <f>IF(SUMIFS('BSE - SENSEX Index Options'!$M:$M,'BSE - SENSEX Index Options'!$C:$C,$A172,'BSE - SENSEX Index Options'!$B:$B,C$147)+SUMIFS('BSE - Other Index Options'!$M:$M,'BSE - Other Index Options'!$C:$C,$A172,'BSE - Other Index Options'!$B:$B,C$147)=0,"",SUMIFS('BSE - SENSEX Index Options'!$M:$M,'BSE - SENSEX Index Options'!$C:$C,$A172,'BSE - SENSEX Index Options'!$B:$B,C$147)+SUMIFS('BSE - Other Index Options'!$M:$M,'BSE - Other Index Options'!$C:$C,$A172,'BSE - Other Index Options'!$B:$B,C$147))</f>
        <v/>
      </c>
      <c r="D172" s="26">
        <f>IF(SUMIFS('BSE - SENSEX Index Options'!$M:$M,'BSE - SENSEX Index Options'!$C:$C,$A172,'BSE - SENSEX Index Options'!$B:$B,D$147)+SUMIFS('BSE - Other Index Options'!$M:$M,'BSE - Other Index Options'!$C:$C,$A172,'BSE - Other Index Options'!$B:$B,D$147)=0,"",SUMIFS('BSE - SENSEX Index Options'!$M:$M,'BSE - SENSEX Index Options'!$C:$C,$A172,'BSE - SENSEX Index Options'!$B:$B,D$147)+SUMIFS('BSE - Other Index Options'!$M:$M,'BSE - Other Index Options'!$C:$C,$A172,'BSE - Other Index Options'!$B:$B,D$147))</f>
        <v/>
      </c>
      <c r="E172" s="26">
        <f>IF(SUMIFS('BSE - SENSEX Index Options'!$M:$M,'BSE - SENSEX Index Options'!$C:$C,$A172,'BSE - SENSEX Index Options'!$B:$B,E$147)+SUMIFS('BSE - Other Index Options'!$M:$M,'BSE - Other Index Options'!$C:$C,$A172,'BSE - Other Index Options'!$B:$B,E$147)=0,"",SUMIFS('BSE - SENSEX Index Options'!$M:$M,'BSE - SENSEX Index Options'!$C:$C,$A172,'BSE - SENSEX Index Options'!$B:$B,E$147)+SUMIFS('BSE - Other Index Options'!$M:$M,'BSE - Other Index Options'!$C:$C,$A172,'BSE - Other Index Options'!$B:$B,E$147))</f>
        <v/>
      </c>
      <c r="F172" s="26">
        <f>IF(SUMIFS('BSE - SENSEX Index Options'!$M:$M,'BSE - SENSEX Index Options'!$C:$C,$A172,'BSE - SENSEX Index Options'!$B:$B,F$147)+SUMIFS('BSE - Other Index Options'!$M:$M,'BSE - Other Index Options'!$C:$C,$A172,'BSE - Other Index Options'!$B:$B,F$147)=0,"",SUMIFS('BSE - SENSEX Index Options'!$M:$M,'BSE - SENSEX Index Options'!$C:$C,$A172,'BSE - SENSEX Index Options'!$B:$B,F$147)+SUMIFS('BSE - Other Index Options'!$M:$M,'BSE - Other Index Options'!$C:$C,$A172,'BSE - Other Index Options'!$B:$B,F$147))</f>
        <v/>
      </c>
      <c r="G172" s="26">
        <f>IF(SUMIFS('BSE - SENSEX Index Options'!$M:$M,'BSE - SENSEX Index Options'!$C:$C,$A172,'BSE - SENSEX Index Options'!$B:$B,G$147)+SUMIFS('BSE - Other Index Options'!$M:$M,'BSE - Other Index Options'!$C:$C,$A172,'BSE - Other Index Options'!$B:$B,G$147)=0,"",SUMIFS('BSE - SENSEX Index Options'!$M:$M,'BSE - SENSEX Index Options'!$C:$C,$A172,'BSE - SENSEX Index Options'!$B:$B,G$147)+SUMIFS('BSE - Other Index Options'!$M:$M,'BSE - Other Index Options'!$C:$C,$A172,'BSE - Other Index Options'!$B:$B,G$147))</f>
        <v/>
      </c>
      <c r="H172" s="26">
        <f>IF(SUM(B172:G172)=0,"",SUM(B172:G172))</f>
        <v/>
      </c>
    </row>
    <row r="173">
      <c r="A173" t="inlineStr">
        <is>
          <t>Week1-Feb-2026</t>
        </is>
      </c>
      <c r="B173" s="26">
        <f>IF(SUMIFS('BSE - SENSEX Index Options'!$M:$M,'BSE - SENSEX Index Options'!$C:$C,$A173,'BSE - SENSEX Index Options'!$B:$B,B$147)+SUMIFS('BSE - Other Index Options'!$M:$M,'BSE - Other Index Options'!$C:$C,$A173,'BSE - Other Index Options'!$B:$B,B$147)=0,"",SUMIFS('BSE - SENSEX Index Options'!$M:$M,'BSE - SENSEX Index Options'!$C:$C,$A173,'BSE - SENSEX Index Options'!$B:$B,B$147)+SUMIFS('BSE - Other Index Options'!$M:$M,'BSE - Other Index Options'!$C:$C,$A173,'BSE - Other Index Options'!$B:$B,B$147))</f>
        <v/>
      </c>
      <c r="C173" s="26">
        <f>IF(SUMIFS('BSE - SENSEX Index Options'!$M:$M,'BSE - SENSEX Index Options'!$C:$C,$A173,'BSE - SENSEX Index Options'!$B:$B,C$147)+SUMIFS('BSE - Other Index Options'!$M:$M,'BSE - Other Index Options'!$C:$C,$A173,'BSE - Other Index Options'!$B:$B,C$147)=0,"",SUMIFS('BSE - SENSEX Index Options'!$M:$M,'BSE - SENSEX Index Options'!$C:$C,$A173,'BSE - SENSEX Index Options'!$B:$B,C$147)+SUMIFS('BSE - Other Index Options'!$M:$M,'BSE - Other Index Options'!$C:$C,$A173,'BSE - Other Index Options'!$B:$B,C$147))</f>
        <v/>
      </c>
      <c r="D173" s="26">
        <f>IF(SUMIFS('BSE - SENSEX Index Options'!$M:$M,'BSE - SENSEX Index Options'!$C:$C,$A173,'BSE - SENSEX Index Options'!$B:$B,D$147)+SUMIFS('BSE - Other Index Options'!$M:$M,'BSE - Other Index Options'!$C:$C,$A173,'BSE - Other Index Options'!$B:$B,D$147)=0,"",SUMIFS('BSE - SENSEX Index Options'!$M:$M,'BSE - SENSEX Index Options'!$C:$C,$A173,'BSE - SENSEX Index Options'!$B:$B,D$147)+SUMIFS('BSE - Other Index Options'!$M:$M,'BSE - Other Index Options'!$C:$C,$A173,'BSE - Other Index Options'!$B:$B,D$147))</f>
        <v/>
      </c>
      <c r="E173" s="26">
        <f>IF(SUMIFS('BSE - SENSEX Index Options'!$M:$M,'BSE - SENSEX Index Options'!$C:$C,$A173,'BSE - SENSEX Index Options'!$B:$B,E$147)+SUMIFS('BSE - Other Index Options'!$M:$M,'BSE - Other Index Options'!$C:$C,$A173,'BSE - Other Index Options'!$B:$B,E$147)=0,"",SUMIFS('BSE - SENSEX Index Options'!$M:$M,'BSE - SENSEX Index Options'!$C:$C,$A173,'BSE - SENSEX Index Options'!$B:$B,E$147)+SUMIFS('BSE - Other Index Options'!$M:$M,'BSE - Other Index Options'!$C:$C,$A173,'BSE - Other Index Options'!$B:$B,E$147))</f>
        <v/>
      </c>
      <c r="F173" s="26">
        <f>IF(SUMIFS('BSE - SENSEX Index Options'!$M:$M,'BSE - SENSEX Index Options'!$C:$C,$A173,'BSE - SENSEX Index Options'!$B:$B,F$147)+SUMIFS('BSE - Other Index Options'!$M:$M,'BSE - Other Index Options'!$C:$C,$A173,'BSE - Other Index Options'!$B:$B,F$147)=0,"",SUMIFS('BSE - SENSEX Index Options'!$M:$M,'BSE - SENSEX Index Options'!$C:$C,$A173,'BSE - SENSEX Index Options'!$B:$B,F$147)+SUMIFS('BSE - Other Index Options'!$M:$M,'BSE - Other Index Options'!$C:$C,$A173,'BSE - Other Index Options'!$B:$B,F$147))</f>
        <v/>
      </c>
      <c r="G173" s="26">
        <f>IF(SUMIFS('BSE - SENSEX Index Options'!$M:$M,'BSE - SENSEX Index Options'!$C:$C,$A173,'BSE - SENSEX Index Options'!$B:$B,G$147)+SUMIFS('BSE - Other Index Options'!$M:$M,'BSE - Other Index Options'!$C:$C,$A173,'BSE - Other Index Options'!$B:$B,G$147)=0,"",SUMIFS('BSE - SENSEX Index Options'!$M:$M,'BSE - SENSEX Index Options'!$C:$C,$A173,'BSE - SENSEX Index Options'!$B:$B,G$147)+SUMIFS('BSE - Other Index Options'!$M:$M,'BSE - Other Index Options'!$C:$C,$A173,'BSE - Other Index Options'!$B:$B,G$147))</f>
        <v/>
      </c>
      <c r="H173" s="26">
        <f>IF(SUM(B173:G173)=0,"",SUM(B173:G173))</f>
        <v/>
      </c>
    </row>
    <row r="174">
      <c r="A174" t="inlineStr">
        <is>
          <t>Week2-Feb-2026</t>
        </is>
      </c>
      <c r="B174" s="26">
        <f>IF(SUMIFS('BSE - SENSEX Index Options'!$M:$M,'BSE - SENSEX Index Options'!$C:$C,$A174,'BSE - SENSEX Index Options'!$B:$B,B$147)+SUMIFS('BSE - Other Index Options'!$M:$M,'BSE - Other Index Options'!$C:$C,$A174,'BSE - Other Index Options'!$B:$B,B$147)=0,"",SUMIFS('BSE - SENSEX Index Options'!$M:$M,'BSE - SENSEX Index Options'!$C:$C,$A174,'BSE - SENSEX Index Options'!$B:$B,B$147)+SUMIFS('BSE - Other Index Options'!$M:$M,'BSE - Other Index Options'!$C:$C,$A174,'BSE - Other Index Options'!$B:$B,B$147))</f>
        <v/>
      </c>
      <c r="C174" s="26">
        <f>IF(SUMIFS('BSE - SENSEX Index Options'!$M:$M,'BSE - SENSEX Index Options'!$C:$C,$A174,'BSE - SENSEX Index Options'!$B:$B,C$147)+SUMIFS('BSE - Other Index Options'!$M:$M,'BSE - Other Index Options'!$C:$C,$A174,'BSE - Other Index Options'!$B:$B,C$147)=0,"",SUMIFS('BSE - SENSEX Index Options'!$M:$M,'BSE - SENSEX Index Options'!$C:$C,$A174,'BSE - SENSEX Index Options'!$B:$B,C$147)+SUMIFS('BSE - Other Index Options'!$M:$M,'BSE - Other Index Options'!$C:$C,$A174,'BSE - Other Index Options'!$B:$B,C$147))</f>
        <v/>
      </c>
      <c r="D174" s="26">
        <f>IF(SUMIFS('BSE - SENSEX Index Options'!$M:$M,'BSE - SENSEX Index Options'!$C:$C,$A174,'BSE - SENSEX Index Options'!$B:$B,D$147)+SUMIFS('BSE - Other Index Options'!$M:$M,'BSE - Other Index Options'!$C:$C,$A174,'BSE - Other Index Options'!$B:$B,D$147)=0,"",SUMIFS('BSE - SENSEX Index Options'!$M:$M,'BSE - SENSEX Index Options'!$C:$C,$A174,'BSE - SENSEX Index Options'!$B:$B,D$147)+SUMIFS('BSE - Other Index Options'!$M:$M,'BSE - Other Index Options'!$C:$C,$A174,'BSE - Other Index Options'!$B:$B,D$147))</f>
        <v/>
      </c>
      <c r="E174" s="26">
        <f>IF(SUMIFS('BSE - SENSEX Index Options'!$M:$M,'BSE - SENSEX Index Options'!$C:$C,$A174,'BSE - SENSEX Index Options'!$B:$B,E$147)+SUMIFS('BSE - Other Index Options'!$M:$M,'BSE - Other Index Options'!$C:$C,$A174,'BSE - Other Index Options'!$B:$B,E$147)=0,"",SUMIFS('BSE - SENSEX Index Options'!$M:$M,'BSE - SENSEX Index Options'!$C:$C,$A174,'BSE - SENSEX Index Options'!$B:$B,E$147)+SUMIFS('BSE - Other Index Options'!$M:$M,'BSE - Other Index Options'!$C:$C,$A174,'BSE - Other Index Options'!$B:$B,E$147))</f>
        <v/>
      </c>
      <c r="F174" s="26">
        <f>IF(SUMIFS('BSE - SENSEX Index Options'!$M:$M,'BSE - SENSEX Index Options'!$C:$C,$A174,'BSE - SENSEX Index Options'!$B:$B,F$147)+SUMIFS('BSE - Other Index Options'!$M:$M,'BSE - Other Index Options'!$C:$C,$A174,'BSE - Other Index Options'!$B:$B,F$147)=0,"",SUMIFS('BSE - SENSEX Index Options'!$M:$M,'BSE - SENSEX Index Options'!$C:$C,$A174,'BSE - SENSEX Index Options'!$B:$B,F$147)+SUMIFS('BSE - Other Index Options'!$M:$M,'BSE - Other Index Options'!$C:$C,$A174,'BSE - Other Index Options'!$B:$B,F$147))</f>
        <v/>
      </c>
      <c r="G174" s="26">
        <f>IF(SUMIFS('BSE - SENSEX Index Options'!$M:$M,'BSE - SENSEX Index Options'!$C:$C,$A174,'BSE - SENSEX Index Options'!$B:$B,G$147)+SUMIFS('BSE - Other Index Options'!$M:$M,'BSE - Other Index Options'!$C:$C,$A174,'BSE - Other Index Options'!$B:$B,G$147)=0,"",SUMIFS('BSE - SENSEX Index Options'!$M:$M,'BSE - SENSEX Index Options'!$C:$C,$A174,'BSE - SENSEX Index Options'!$B:$B,G$147)+SUMIFS('BSE - Other Index Options'!$M:$M,'BSE - Other Index Options'!$C:$C,$A174,'BSE - Other Index Options'!$B:$B,G$147))</f>
        <v/>
      </c>
      <c r="H174" s="26">
        <f>IF(SUM(B174:G174)=0,"",SUM(B174:G174))</f>
        <v/>
      </c>
    </row>
    <row r="175">
      <c r="A175" t="inlineStr">
        <is>
          <t>Week3-Feb-2026</t>
        </is>
      </c>
      <c r="B175" s="26">
        <f>IF(SUMIFS('BSE - SENSEX Index Options'!$M:$M,'BSE - SENSEX Index Options'!$C:$C,$A175,'BSE - SENSEX Index Options'!$B:$B,B$147)+SUMIFS('BSE - Other Index Options'!$M:$M,'BSE - Other Index Options'!$C:$C,$A175,'BSE - Other Index Options'!$B:$B,B$147)=0,"",SUMIFS('BSE - SENSEX Index Options'!$M:$M,'BSE - SENSEX Index Options'!$C:$C,$A175,'BSE - SENSEX Index Options'!$B:$B,B$147)+SUMIFS('BSE - Other Index Options'!$M:$M,'BSE - Other Index Options'!$C:$C,$A175,'BSE - Other Index Options'!$B:$B,B$147))</f>
        <v/>
      </c>
      <c r="C175" s="26">
        <f>IF(SUMIFS('BSE - SENSEX Index Options'!$M:$M,'BSE - SENSEX Index Options'!$C:$C,$A175,'BSE - SENSEX Index Options'!$B:$B,C$147)+SUMIFS('BSE - Other Index Options'!$M:$M,'BSE - Other Index Options'!$C:$C,$A175,'BSE - Other Index Options'!$B:$B,C$147)=0,"",SUMIFS('BSE - SENSEX Index Options'!$M:$M,'BSE - SENSEX Index Options'!$C:$C,$A175,'BSE - SENSEX Index Options'!$B:$B,C$147)+SUMIFS('BSE - Other Index Options'!$M:$M,'BSE - Other Index Options'!$C:$C,$A175,'BSE - Other Index Options'!$B:$B,C$147))</f>
        <v/>
      </c>
      <c r="D175" s="26">
        <f>IF(SUMIFS('BSE - SENSEX Index Options'!$M:$M,'BSE - SENSEX Index Options'!$C:$C,$A175,'BSE - SENSEX Index Options'!$B:$B,D$147)+SUMIFS('BSE - Other Index Options'!$M:$M,'BSE - Other Index Options'!$C:$C,$A175,'BSE - Other Index Options'!$B:$B,D$147)=0,"",SUMIFS('BSE - SENSEX Index Options'!$M:$M,'BSE - SENSEX Index Options'!$C:$C,$A175,'BSE - SENSEX Index Options'!$B:$B,D$147)+SUMIFS('BSE - Other Index Options'!$M:$M,'BSE - Other Index Options'!$C:$C,$A175,'BSE - Other Index Options'!$B:$B,D$147))</f>
        <v/>
      </c>
      <c r="E175" s="26">
        <f>IF(SUMIFS('BSE - SENSEX Index Options'!$M:$M,'BSE - SENSEX Index Options'!$C:$C,$A175,'BSE - SENSEX Index Options'!$B:$B,E$147)+SUMIFS('BSE - Other Index Options'!$M:$M,'BSE - Other Index Options'!$C:$C,$A175,'BSE - Other Index Options'!$B:$B,E$147)=0,"",SUMIFS('BSE - SENSEX Index Options'!$M:$M,'BSE - SENSEX Index Options'!$C:$C,$A175,'BSE - SENSEX Index Options'!$B:$B,E$147)+SUMIFS('BSE - Other Index Options'!$M:$M,'BSE - Other Index Options'!$C:$C,$A175,'BSE - Other Index Options'!$B:$B,E$147))</f>
        <v/>
      </c>
      <c r="F175" s="26">
        <f>IF(SUMIFS('BSE - SENSEX Index Options'!$M:$M,'BSE - SENSEX Index Options'!$C:$C,$A175,'BSE - SENSEX Index Options'!$B:$B,F$147)+SUMIFS('BSE - Other Index Options'!$M:$M,'BSE - Other Index Options'!$C:$C,$A175,'BSE - Other Index Options'!$B:$B,F$147)=0,"",SUMIFS('BSE - SENSEX Index Options'!$M:$M,'BSE - SENSEX Index Options'!$C:$C,$A175,'BSE - SENSEX Index Options'!$B:$B,F$147)+SUMIFS('BSE - Other Index Options'!$M:$M,'BSE - Other Index Options'!$C:$C,$A175,'BSE - Other Index Options'!$B:$B,F$147))</f>
        <v/>
      </c>
      <c r="G175" s="26">
        <f>IF(SUMIFS('BSE - SENSEX Index Options'!$M:$M,'BSE - SENSEX Index Options'!$C:$C,$A175,'BSE - SENSEX Index Options'!$B:$B,G$147)+SUMIFS('BSE - Other Index Options'!$M:$M,'BSE - Other Index Options'!$C:$C,$A175,'BSE - Other Index Options'!$B:$B,G$147)=0,"",SUMIFS('BSE - SENSEX Index Options'!$M:$M,'BSE - SENSEX Index Options'!$C:$C,$A175,'BSE - SENSEX Index Options'!$B:$B,G$147)+SUMIFS('BSE - Other Index Options'!$M:$M,'BSE - Other Index Options'!$C:$C,$A175,'BSE - Other Index Options'!$B:$B,G$147))</f>
        <v/>
      </c>
      <c r="H175" s="26">
        <f>IF(SUM(B175:G175)=0,"",SUM(B175:G175))</f>
        <v/>
      </c>
    </row>
    <row r="176">
      <c r="A176" t="inlineStr">
        <is>
          <t>Week4-Feb-2026</t>
        </is>
      </c>
      <c r="B176" s="26">
        <f>IF(SUMIFS('BSE - SENSEX Index Options'!$M:$M,'BSE - SENSEX Index Options'!$C:$C,$A176,'BSE - SENSEX Index Options'!$B:$B,B$147)+SUMIFS('BSE - Other Index Options'!$M:$M,'BSE - Other Index Options'!$C:$C,$A176,'BSE - Other Index Options'!$B:$B,B$147)=0,"",SUMIFS('BSE - SENSEX Index Options'!$M:$M,'BSE - SENSEX Index Options'!$C:$C,$A176,'BSE - SENSEX Index Options'!$B:$B,B$147)+SUMIFS('BSE - Other Index Options'!$M:$M,'BSE - Other Index Options'!$C:$C,$A176,'BSE - Other Index Options'!$B:$B,B$147))</f>
        <v/>
      </c>
      <c r="C176" s="26">
        <f>IF(SUMIFS('BSE - SENSEX Index Options'!$M:$M,'BSE - SENSEX Index Options'!$C:$C,$A176,'BSE - SENSEX Index Options'!$B:$B,C$147)+SUMIFS('BSE - Other Index Options'!$M:$M,'BSE - Other Index Options'!$C:$C,$A176,'BSE - Other Index Options'!$B:$B,C$147)=0,"",SUMIFS('BSE - SENSEX Index Options'!$M:$M,'BSE - SENSEX Index Options'!$C:$C,$A176,'BSE - SENSEX Index Options'!$B:$B,C$147)+SUMIFS('BSE - Other Index Options'!$M:$M,'BSE - Other Index Options'!$C:$C,$A176,'BSE - Other Index Options'!$B:$B,C$147))</f>
        <v/>
      </c>
      <c r="D176" s="26">
        <f>IF(SUMIFS('BSE - SENSEX Index Options'!$M:$M,'BSE - SENSEX Index Options'!$C:$C,$A176,'BSE - SENSEX Index Options'!$B:$B,D$147)+SUMIFS('BSE - Other Index Options'!$M:$M,'BSE - Other Index Options'!$C:$C,$A176,'BSE - Other Index Options'!$B:$B,D$147)=0,"",SUMIFS('BSE - SENSEX Index Options'!$M:$M,'BSE - SENSEX Index Options'!$C:$C,$A176,'BSE - SENSEX Index Options'!$B:$B,D$147)+SUMIFS('BSE - Other Index Options'!$M:$M,'BSE - Other Index Options'!$C:$C,$A176,'BSE - Other Index Options'!$B:$B,D$147))</f>
        <v/>
      </c>
      <c r="E176" s="26">
        <f>IF(SUMIFS('BSE - SENSEX Index Options'!$M:$M,'BSE - SENSEX Index Options'!$C:$C,$A176,'BSE - SENSEX Index Options'!$B:$B,E$147)+SUMIFS('BSE - Other Index Options'!$M:$M,'BSE - Other Index Options'!$C:$C,$A176,'BSE - Other Index Options'!$B:$B,E$147)=0,"",SUMIFS('BSE - SENSEX Index Options'!$M:$M,'BSE - SENSEX Index Options'!$C:$C,$A176,'BSE - SENSEX Index Options'!$B:$B,E$147)+SUMIFS('BSE - Other Index Options'!$M:$M,'BSE - Other Index Options'!$C:$C,$A176,'BSE - Other Index Options'!$B:$B,E$147))</f>
        <v/>
      </c>
      <c r="F176" s="26">
        <f>IF(SUMIFS('BSE - SENSEX Index Options'!$M:$M,'BSE - SENSEX Index Options'!$C:$C,$A176,'BSE - SENSEX Index Options'!$B:$B,F$147)+SUMIFS('BSE - Other Index Options'!$M:$M,'BSE - Other Index Options'!$C:$C,$A176,'BSE - Other Index Options'!$B:$B,F$147)=0,"",SUMIFS('BSE - SENSEX Index Options'!$M:$M,'BSE - SENSEX Index Options'!$C:$C,$A176,'BSE - SENSEX Index Options'!$B:$B,F$147)+SUMIFS('BSE - Other Index Options'!$M:$M,'BSE - Other Index Options'!$C:$C,$A176,'BSE - Other Index Options'!$B:$B,F$147))</f>
        <v/>
      </c>
      <c r="G176" s="26">
        <f>IF(SUMIFS('BSE - SENSEX Index Options'!$M:$M,'BSE - SENSEX Index Options'!$C:$C,$A176,'BSE - SENSEX Index Options'!$B:$B,G$147)+SUMIFS('BSE - Other Index Options'!$M:$M,'BSE - Other Index Options'!$C:$C,$A176,'BSE - Other Index Options'!$B:$B,G$147)=0,"",SUMIFS('BSE - SENSEX Index Options'!$M:$M,'BSE - SENSEX Index Options'!$C:$C,$A176,'BSE - SENSEX Index Options'!$B:$B,G$147)+SUMIFS('BSE - Other Index Options'!$M:$M,'BSE - Other Index Options'!$C:$C,$A176,'BSE - Other Index Options'!$B:$B,G$147))</f>
        <v/>
      </c>
      <c r="H176" s="26">
        <f>IF(SUM(B176:G176)=0,"",SUM(B176:G176))</f>
        <v/>
      </c>
    </row>
    <row r="177">
      <c r="A177" t="inlineStr">
        <is>
          <t>Week1-Mar-2026</t>
        </is>
      </c>
      <c r="B177" s="26">
        <f>IF(SUMIFS('BSE - SENSEX Index Options'!$M:$M,'BSE - SENSEX Index Options'!$C:$C,$A177,'BSE - SENSEX Index Options'!$B:$B,B$147)+SUMIFS('BSE - Other Index Options'!$M:$M,'BSE - Other Index Options'!$C:$C,$A177,'BSE - Other Index Options'!$B:$B,B$147)=0,"",SUMIFS('BSE - SENSEX Index Options'!$M:$M,'BSE - SENSEX Index Options'!$C:$C,$A177,'BSE - SENSEX Index Options'!$B:$B,B$147)+SUMIFS('BSE - Other Index Options'!$M:$M,'BSE - Other Index Options'!$C:$C,$A177,'BSE - Other Index Options'!$B:$B,B$147))</f>
        <v/>
      </c>
      <c r="C177" s="26">
        <f>IF(SUMIFS('BSE - SENSEX Index Options'!$M:$M,'BSE - SENSEX Index Options'!$C:$C,$A177,'BSE - SENSEX Index Options'!$B:$B,C$147)+SUMIFS('BSE - Other Index Options'!$M:$M,'BSE - Other Index Options'!$C:$C,$A177,'BSE - Other Index Options'!$B:$B,C$147)=0,"",SUMIFS('BSE - SENSEX Index Options'!$M:$M,'BSE - SENSEX Index Options'!$C:$C,$A177,'BSE - SENSEX Index Options'!$B:$B,C$147)+SUMIFS('BSE - Other Index Options'!$M:$M,'BSE - Other Index Options'!$C:$C,$A177,'BSE - Other Index Options'!$B:$B,C$147))</f>
        <v/>
      </c>
      <c r="D177" s="26">
        <f>IF(SUMIFS('BSE - SENSEX Index Options'!$M:$M,'BSE - SENSEX Index Options'!$C:$C,$A177,'BSE - SENSEX Index Options'!$B:$B,D$147)+SUMIFS('BSE - Other Index Options'!$M:$M,'BSE - Other Index Options'!$C:$C,$A177,'BSE - Other Index Options'!$B:$B,D$147)=0,"",SUMIFS('BSE - SENSEX Index Options'!$M:$M,'BSE - SENSEX Index Options'!$C:$C,$A177,'BSE - SENSEX Index Options'!$B:$B,D$147)+SUMIFS('BSE - Other Index Options'!$M:$M,'BSE - Other Index Options'!$C:$C,$A177,'BSE - Other Index Options'!$B:$B,D$147))</f>
        <v/>
      </c>
      <c r="E177" s="26">
        <f>IF(SUMIFS('BSE - SENSEX Index Options'!$M:$M,'BSE - SENSEX Index Options'!$C:$C,$A177,'BSE - SENSEX Index Options'!$B:$B,E$147)+SUMIFS('BSE - Other Index Options'!$M:$M,'BSE - Other Index Options'!$C:$C,$A177,'BSE - Other Index Options'!$B:$B,E$147)=0,"",SUMIFS('BSE - SENSEX Index Options'!$M:$M,'BSE - SENSEX Index Options'!$C:$C,$A177,'BSE - SENSEX Index Options'!$B:$B,E$147)+SUMIFS('BSE - Other Index Options'!$M:$M,'BSE - Other Index Options'!$C:$C,$A177,'BSE - Other Index Options'!$B:$B,E$147))</f>
        <v/>
      </c>
      <c r="F177" s="26">
        <f>IF(SUMIFS('BSE - SENSEX Index Options'!$M:$M,'BSE - SENSEX Index Options'!$C:$C,$A177,'BSE - SENSEX Index Options'!$B:$B,F$147)+SUMIFS('BSE - Other Index Options'!$M:$M,'BSE - Other Index Options'!$C:$C,$A177,'BSE - Other Index Options'!$B:$B,F$147)=0,"",SUMIFS('BSE - SENSEX Index Options'!$M:$M,'BSE - SENSEX Index Options'!$C:$C,$A177,'BSE - SENSEX Index Options'!$B:$B,F$147)+SUMIFS('BSE - Other Index Options'!$M:$M,'BSE - Other Index Options'!$C:$C,$A177,'BSE - Other Index Options'!$B:$B,F$147))</f>
        <v/>
      </c>
      <c r="G177" s="26">
        <f>IF(SUMIFS('BSE - SENSEX Index Options'!$M:$M,'BSE - SENSEX Index Options'!$C:$C,$A177,'BSE - SENSEX Index Options'!$B:$B,G$147)+SUMIFS('BSE - Other Index Options'!$M:$M,'BSE - Other Index Options'!$C:$C,$A177,'BSE - Other Index Options'!$B:$B,G$147)=0,"",SUMIFS('BSE - SENSEX Index Options'!$M:$M,'BSE - SENSEX Index Options'!$C:$C,$A177,'BSE - SENSEX Index Options'!$B:$B,G$147)+SUMIFS('BSE - Other Index Options'!$M:$M,'BSE - Other Index Options'!$C:$C,$A177,'BSE - Other Index Options'!$B:$B,G$147))</f>
        <v/>
      </c>
      <c r="H177" s="26">
        <f>IF(SUM(B177:G177)=0,"",SUM(B177:G177))</f>
        <v/>
      </c>
    </row>
    <row r="178">
      <c r="A178" t="inlineStr">
        <is>
          <t>Week2-Mar-2026</t>
        </is>
      </c>
      <c r="B178" s="26">
        <f>IF(SUMIFS('BSE - SENSEX Index Options'!$M:$M,'BSE - SENSEX Index Options'!$C:$C,$A178,'BSE - SENSEX Index Options'!$B:$B,B$147)+SUMIFS('BSE - Other Index Options'!$M:$M,'BSE - Other Index Options'!$C:$C,$A178,'BSE - Other Index Options'!$B:$B,B$147)=0,"",SUMIFS('BSE - SENSEX Index Options'!$M:$M,'BSE - SENSEX Index Options'!$C:$C,$A178,'BSE - SENSEX Index Options'!$B:$B,B$147)+SUMIFS('BSE - Other Index Options'!$M:$M,'BSE - Other Index Options'!$C:$C,$A178,'BSE - Other Index Options'!$B:$B,B$147))</f>
        <v/>
      </c>
      <c r="C178" s="26">
        <f>IF(SUMIFS('BSE - SENSEX Index Options'!$M:$M,'BSE - SENSEX Index Options'!$C:$C,$A178,'BSE - SENSEX Index Options'!$B:$B,C$147)+SUMIFS('BSE - Other Index Options'!$M:$M,'BSE - Other Index Options'!$C:$C,$A178,'BSE - Other Index Options'!$B:$B,C$147)=0,"",SUMIFS('BSE - SENSEX Index Options'!$M:$M,'BSE - SENSEX Index Options'!$C:$C,$A178,'BSE - SENSEX Index Options'!$B:$B,C$147)+SUMIFS('BSE - Other Index Options'!$M:$M,'BSE - Other Index Options'!$C:$C,$A178,'BSE - Other Index Options'!$B:$B,C$147))</f>
        <v/>
      </c>
      <c r="D178" s="26">
        <f>IF(SUMIFS('BSE - SENSEX Index Options'!$M:$M,'BSE - SENSEX Index Options'!$C:$C,$A178,'BSE - SENSEX Index Options'!$B:$B,D$147)+SUMIFS('BSE - Other Index Options'!$M:$M,'BSE - Other Index Options'!$C:$C,$A178,'BSE - Other Index Options'!$B:$B,D$147)=0,"",SUMIFS('BSE - SENSEX Index Options'!$M:$M,'BSE - SENSEX Index Options'!$C:$C,$A178,'BSE - SENSEX Index Options'!$B:$B,D$147)+SUMIFS('BSE - Other Index Options'!$M:$M,'BSE - Other Index Options'!$C:$C,$A178,'BSE - Other Index Options'!$B:$B,D$147))</f>
        <v/>
      </c>
      <c r="E178" s="26">
        <f>IF(SUMIFS('BSE - SENSEX Index Options'!$M:$M,'BSE - SENSEX Index Options'!$C:$C,$A178,'BSE - SENSEX Index Options'!$B:$B,E$147)+SUMIFS('BSE - Other Index Options'!$M:$M,'BSE - Other Index Options'!$C:$C,$A178,'BSE - Other Index Options'!$B:$B,E$147)=0,"",SUMIFS('BSE - SENSEX Index Options'!$M:$M,'BSE - SENSEX Index Options'!$C:$C,$A178,'BSE - SENSEX Index Options'!$B:$B,E$147)+SUMIFS('BSE - Other Index Options'!$M:$M,'BSE - Other Index Options'!$C:$C,$A178,'BSE - Other Index Options'!$B:$B,E$147))</f>
        <v/>
      </c>
      <c r="F178" s="26">
        <f>IF(SUMIFS('BSE - SENSEX Index Options'!$M:$M,'BSE - SENSEX Index Options'!$C:$C,$A178,'BSE - SENSEX Index Options'!$B:$B,F$147)+SUMIFS('BSE - Other Index Options'!$M:$M,'BSE - Other Index Options'!$C:$C,$A178,'BSE - Other Index Options'!$B:$B,F$147)=0,"",SUMIFS('BSE - SENSEX Index Options'!$M:$M,'BSE - SENSEX Index Options'!$C:$C,$A178,'BSE - SENSEX Index Options'!$B:$B,F$147)+SUMIFS('BSE - Other Index Options'!$M:$M,'BSE - Other Index Options'!$C:$C,$A178,'BSE - Other Index Options'!$B:$B,F$147))</f>
        <v/>
      </c>
      <c r="G178" s="26">
        <f>IF(SUMIFS('BSE - SENSEX Index Options'!$M:$M,'BSE - SENSEX Index Options'!$C:$C,$A178,'BSE - SENSEX Index Options'!$B:$B,G$147)+SUMIFS('BSE - Other Index Options'!$M:$M,'BSE - Other Index Options'!$C:$C,$A178,'BSE - Other Index Options'!$B:$B,G$147)=0,"",SUMIFS('BSE - SENSEX Index Options'!$M:$M,'BSE - SENSEX Index Options'!$C:$C,$A178,'BSE - SENSEX Index Options'!$B:$B,G$147)+SUMIFS('BSE - Other Index Options'!$M:$M,'BSE - Other Index Options'!$C:$C,$A178,'BSE - Other Index Options'!$B:$B,G$147))</f>
        <v/>
      </c>
      <c r="H178" s="26">
        <f>IF(SUM(B178:G178)=0,"",SUM(B178:G178))</f>
        <v/>
      </c>
    </row>
    <row r="179">
      <c r="A179" t="inlineStr">
        <is>
          <t>Week3-Mar-2026</t>
        </is>
      </c>
      <c r="B179" s="26">
        <f>IF(SUMIFS('BSE - SENSEX Index Options'!$M:$M,'BSE - SENSEX Index Options'!$C:$C,$A179,'BSE - SENSEX Index Options'!$B:$B,B$147)+SUMIFS('BSE - Other Index Options'!$M:$M,'BSE - Other Index Options'!$C:$C,$A179,'BSE - Other Index Options'!$B:$B,B$147)=0,"",SUMIFS('BSE - SENSEX Index Options'!$M:$M,'BSE - SENSEX Index Options'!$C:$C,$A179,'BSE - SENSEX Index Options'!$B:$B,B$147)+SUMIFS('BSE - Other Index Options'!$M:$M,'BSE - Other Index Options'!$C:$C,$A179,'BSE - Other Index Options'!$B:$B,B$147))</f>
        <v/>
      </c>
      <c r="C179" s="26">
        <f>IF(SUMIFS('BSE - SENSEX Index Options'!$M:$M,'BSE - SENSEX Index Options'!$C:$C,$A179,'BSE - SENSEX Index Options'!$B:$B,C$147)+SUMIFS('BSE - Other Index Options'!$M:$M,'BSE - Other Index Options'!$C:$C,$A179,'BSE - Other Index Options'!$B:$B,C$147)=0,"",SUMIFS('BSE - SENSEX Index Options'!$M:$M,'BSE - SENSEX Index Options'!$C:$C,$A179,'BSE - SENSEX Index Options'!$B:$B,C$147)+SUMIFS('BSE - Other Index Options'!$M:$M,'BSE - Other Index Options'!$C:$C,$A179,'BSE - Other Index Options'!$B:$B,C$147))</f>
        <v/>
      </c>
      <c r="D179" s="26">
        <f>IF(SUMIFS('BSE - SENSEX Index Options'!$M:$M,'BSE - SENSEX Index Options'!$C:$C,$A179,'BSE - SENSEX Index Options'!$B:$B,D$147)+SUMIFS('BSE - Other Index Options'!$M:$M,'BSE - Other Index Options'!$C:$C,$A179,'BSE - Other Index Options'!$B:$B,D$147)=0,"",SUMIFS('BSE - SENSEX Index Options'!$M:$M,'BSE - SENSEX Index Options'!$C:$C,$A179,'BSE - SENSEX Index Options'!$B:$B,D$147)+SUMIFS('BSE - Other Index Options'!$M:$M,'BSE - Other Index Options'!$C:$C,$A179,'BSE - Other Index Options'!$B:$B,D$147))</f>
        <v/>
      </c>
      <c r="E179" s="26">
        <f>IF(SUMIFS('BSE - SENSEX Index Options'!$M:$M,'BSE - SENSEX Index Options'!$C:$C,$A179,'BSE - SENSEX Index Options'!$B:$B,E$147)+SUMIFS('BSE - Other Index Options'!$M:$M,'BSE - Other Index Options'!$C:$C,$A179,'BSE - Other Index Options'!$B:$B,E$147)=0,"",SUMIFS('BSE - SENSEX Index Options'!$M:$M,'BSE - SENSEX Index Options'!$C:$C,$A179,'BSE - SENSEX Index Options'!$B:$B,E$147)+SUMIFS('BSE - Other Index Options'!$M:$M,'BSE - Other Index Options'!$C:$C,$A179,'BSE - Other Index Options'!$B:$B,E$147))</f>
        <v/>
      </c>
      <c r="F179" s="26">
        <f>IF(SUMIFS('BSE - SENSEX Index Options'!$M:$M,'BSE - SENSEX Index Options'!$C:$C,$A179,'BSE - SENSEX Index Options'!$B:$B,F$147)+SUMIFS('BSE - Other Index Options'!$M:$M,'BSE - Other Index Options'!$C:$C,$A179,'BSE - Other Index Options'!$B:$B,F$147)=0,"",SUMIFS('BSE - SENSEX Index Options'!$M:$M,'BSE - SENSEX Index Options'!$C:$C,$A179,'BSE - SENSEX Index Options'!$B:$B,F$147)+SUMIFS('BSE - Other Index Options'!$M:$M,'BSE - Other Index Options'!$C:$C,$A179,'BSE - Other Index Options'!$B:$B,F$147))</f>
        <v/>
      </c>
      <c r="G179" s="26">
        <f>IF(SUMIFS('BSE - SENSEX Index Options'!$M:$M,'BSE - SENSEX Index Options'!$C:$C,$A179,'BSE - SENSEX Index Options'!$B:$B,G$147)+SUMIFS('BSE - Other Index Options'!$M:$M,'BSE - Other Index Options'!$C:$C,$A179,'BSE - Other Index Options'!$B:$B,G$147)=0,"",SUMIFS('BSE - SENSEX Index Options'!$M:$M,'BSE - SENSEX Index Options'!$C:$C,$A179,'BSE - SENSEX Index Options'!$B:$B,G$147)+SUMIFS('BSE - Other Index Options'!$M:$M,'BSE - Other Index Options'!$C:$C,$A179,'BSE - Other Index Options'!$B:$B,G$147))</f>
        <v/>
      </c>
      <c r="H179" s="26">
        <f>IF(SUM(B179:G179)=0,"",SUM(B179:G179))</f>
        <v/>
      </c>
    </row>
    <row r="180">
      <c r="A180" t="inlineStr">
        <is>
          <t>Week4-Mar-2026</t>
        </is>
      </c>
      <c r="B180" s="26">
        <f>IF(SUMIFS('BSE - SENSEX Index Options'!$M:$M,'BSE - SENSEX Index Options'!$C:$C,$A180,'BSE - SENSEX Index Options'!$B:$B,B$147)+SUMIFS('BSE - Other Index Options'!$M:$M,'BSE - Other Index Options'!$C:$C,$A180,'BSE - Other Index Options'!$B:$B,B$147)=0,"",SUMIFS('BSE - SENSEX Index Options'!$M:$M,'BSE - SENSEX Index Options'!$C:$C,$A180,'BSE - SENSEX Index Options'!$B:$B,B$147)+SUMIFS('BSE - Other Index Options'!$M:$M,'BSE - Other Index Options'!$C:$C,$A180,'BSE - Other Index Options'!$B:$B,B$147))</f>
        <v/>
      </c>
      <c r="C180" s="26">
        <f>IF(SUMIFS('BSE - SENSEX Index Options'!$M:$M,'BSE - SENSEX Index Options'!$C:$C,$A180,'BSE - SENSEX Index Options'!$B:$B,C$147)+SUMIFS('BSE - Other Index Options'!$M:$M,'BSE - Other Index Options'!$C:$C,$A180,'BSE - Other Index Options'!$B:$B,C$147)=0,"",SUMIFS('BSE - SENSEX Index Options'!$M:$M,'BSE - SENSEX Index Options'!$C:$C,$A180,'BSE - SENSEX Index Options'!$B:$B,C$147)+SUMIFS('BSE - Other Index Options'!$M:$M,'BSE - Other Index Options'!$C:$C,$A180,'BSE - Other Index Options'!$B:$B,C$147))</f>
        <v/>
      </c>
      <c r="D180" s="26">
        <f>IF(SUMIFS('BSE - SENSEX Index Options'!$M:$M,'BSE - SENSEX Index Options'!$C:$C,$A180,'BSE - SENSEX Index Options'!$B:$B,D$147)+SUMIFS('BSE - Other Index Options'!$M:$M,'BSE - Other Index Options'!$C:$C,$A180,'BSE - Other Index Options'!$B:$B,D$147)=0,"",SUMIFS('BSE - SENSEX Index Options'!$M:$M,'BSE - SENSEX Index Options'!$C:$C,$A180,'BSE - SENSEX Index Options'!$B:$B,D$147)+SUMIFS('BSE - Other Index Options'!$M:$M,'BSE - Other Index Options'!$C:$C,$A180,'BSE - Other Index Options'!$B:$B,D$147))</f>
        <v/>
      </c>
      <c r="E180" s="26">
        <f>IF(SUMIFS('BSE - SENSEX Index Options'!$M:$M,'BSE - SENSEX Index Options'!$C:$C,$A180,'BSE - SENSEX Index Options'!$B:$B,E$147)+SUMIFS('BSE - Other Index Options'!$M:$M,'BSE - Other Index Options'!$C:$C,$A180,'BSE - Other Index Options'!$B:$B,E$147)=0,"",SUMIFS('BSE - SENSEX Index Options'!$M:$M,'BSE - SENSEX Index Options'!$C:$C,$A180,'BSE - SENSEX Index Options'!$B:$B,E$147)+SUMIFS('BSE - Other Index Options'!$M:$M,'BSE - Other Index Options'!$C:$C,$A180,'BSE - Other Index Options'!$B:$B,E$147))</f>
        <v/>
      </c>
      <c r="F180" s="26">
        <f>IF(SUMIFS('BSE - SENSEX Index Options'!$M:$M,'BSE - SENSEX Index Options'!$C:$C,$A180,'BSE - SENSEX Index Options'!$B:$B,F$147)+SUMIFS('BSE - Other Index Options'!$M:$M,'BSE - Other Index Options'!$C:$C,$A180,'BSE - Other Index Options'!$B:$B,F$147)=0,"",SUMIFS('BSE - SENSEX Index Options'!$M:$M,'BSE - SENSEX Index Options'!$C:$C,$A180,'BSE - SENSEX Index Options'!$B:$B,F$147)+SUMIFS('BSE - Other Index Options'!$M:$M,'BSE - Other Index Options'!$C:$C,$A180,'BSE - Other Index Options'!$B:$B,F$147))</f>
        <v/>
      </c>
      <c r="G180" s="26">
        <f>IF(SUMIFS('BSE - SENSEX Index Options'!$M:$M,'BSE - SENSEX Index Options'!$C:$C,$A180,'BSE - SENSEX Index Options'!$B:$B,G$147)+SUMIFS('BSE - Other Index Options'!$M:$M,'BSE - Other Index Options'!$C:$C,$A180,'BSE - Other Index Options'!$B:$B,G$147)=0,"",SUMIFS('BSE - SENSEX Index Options'!$M:$M,'BSE - SENSEX Index Options'!$C:$C,$A180,'BSE - SENSEX Index Options'!$B:$B,G$147)+SUMIFS('BSE - Other Index Options'!$M:$M,'BSE - Other Index Options'!$C:$C,$A180,'BSE - Other Index Options'!$B:$B,G$147))</f>
        <v/>
      </c>
      <c r="H180" s="26">
        <f>IF(SUM(B180:G180)=0,"",SUM(B180:G180))</f>
        <v/>
      </c>
    </row>
    <row r="181">
      <c r="A181" t="inlineStr">
        <is>
          <t>Week5-Mar-2026</t>
        </is>
      </c>
      <c r="B181" s="26">
        <f>IF(SUMIFS('BSE - SENSEX Index Options'!$M:$M,'BSE - SENSEX Index Options'!$C:$C,$A181,'BSE - SENSEX Index Options'!$B:$B,B$147)+SUMIFS('BSE - Other Index Options'!$M:$M,'BSE - Other Index Options'!$C:$C,$A181,'BSE - Other Index Options'!$B:$B,B$147)=0,"",SUMIFS('BSE - SENSEX Index Options'!$M:$M,'BSE - SENSEX Index Options'!$C:$C,$A181,'BSE - SENSEX Index Options'!$B:$B,B$147)+SUMIFS('BSE - Other Index Options'!$M:$M,'BSE - Other Index Options'!$C:$C,$A181,'BSE - Other Index Options'!$B:$B,B$147))</f>
        <v/>
      </c>
      <c r="C181" s="26">
        <f>IF(SUMIFS('BSE - SENSEX Index Options'!$M:$M,'BSE - SENSEX Index Options'!$C:$C,$A181,'BSE - SENSEX Index Options'!$B:$B,C$147)+SUMIFS('BSE - Other Index Options'!$M:$M,'BSE - Other Index Options'!$C:$C,$A181,'BSE - Other Index Options'!$B:$B,C$147)=0,"",SUMIFS('BSE - SENSEX Index Options'!$M:$M,'BSE - SENSEX Index Options'!$C:$C,$A181,'BSE - SENSEX Index Options'!$B:$B,C$147)+SUMIFS('BSE - Other Index Options'!$M:$M,'BSE - Other Index Options'!$C:$C,$A181,'BSE - Other Index Options'!$B:$B,C$147))</f>
        <v/>
      </c>
      <c r="D181" s="26">
        <f>IF(SUMIFS('BSE - SENSEX Index Options'!$M:$M,'BSE - SENSEX Index Options'!$C:$C,$A181,'BSE - SENSEX Index Options'!$B:$B,D$147)+SUMIFS('BSE - Other Index Options'!$M:$M,'BSE - Other Index Options'!$C:$C,$A181,'BSE - Other Index Options'!$B:$B,D$147)=0,"",SUMIFS('BSE - SENSEX Index Options'!$M:$M,'BSE - SENSEX Index Options'!$C:$C,$A181,'BSE - SENSEX Index Options'!$B:$B,D$147)+SUMIFS('BSE - Other Index Options'!$M:$M,'BSE - Other Index Options'!$C:$C,$A181,'BSE - Other Index Options'!$B:$B,D$147))</f>
        <v/>
      </c>
      <c r="E181" s="26">
        <f>IF(SUMIFS('BSE - SENSEX Index Options'!$M:$M,'BSE - SENSEX Index Options'!$C:$C,$A181,'BSE - SENSEX Index Options'!$B:$B,E$147)+SUMIFS('BSE - Other Index Options'!$M:$M,'BSE - Other Index Options'!$C:$C,$A181,'BSE - Other Index Options'!$B:$B,E$147)=0,"",SUMIFS('BSE - SENSEX Index Options'!$M:$M,'BSE - SENSEX Index Options'!$C:$C,$A181,'BSE - SENSEX Index Options'!$B:$B,E$147)+SUMIFS('BSE - Other Index Options'!$M:$M,'BSE - Other Index Options'!$C:$C,$A181,'BSE - Other Index Options'!$B:$B,E$147))</f>
        <v/>
      </c>
      <c r="F181" s="26">
        <f>IF(SUMIFS('BSE - SENSEX Index Options'!$M:$M,'BSE - SENSEX Index Options'!$C:$C,$A181,'BSE - SENSEX Index Options'!$B:$B,F$147)+SUMIFS('BSE - Other Index Options'!$M:$M,'BSE - Other Index Options'!$C:$C,$A181,'BSE - Other Index Options'!$B:$B,F$147)=0,"",SUMIFS('BSE - SENSEX Index Options'!$M:$M,'BSE - SENSEX Index Options'!$C:$C,$A181,'BSE - SENSEX Index Options'!$B:$B,F$147)+SUMIFS('BSE - Other Index Options'!$M:$M,'BSE - Other Index Options'!$C:$C,$A181,'BSE - Other Index Options'!$B:$B,F$147))</f>
        <v/>
      </c>
      <c r="G181" s="26">
        <f>IF(SUMIFS('BSE - SENSEX Index Options'!$M:$M,'BSE - SENSEX Index Options'!$C:$C,$A181,'BSE - SENSEX Index Options'!$B:$B,G$147)+SUMIFS('BSE - Other Index Options'!$M:$M,'BSE - Other Index Options'!$C:$C,$A181,'BSE - Other Index Options'!$B:$B,G$147)=0,"",SUMIFS('BSE - SENSEX Index Options'!$M:$M,'BSE - SENSEX Index Options'!$C:$C,$A181,'BSE - SENSEX Index Options'!$B:$B,G$147)+SUMIFS('BSE - Other Index Options'!$M:$M,'BSE - Other Index Options'!$C:$C,$A181,'BSE - Other Index Options'!$B:$B,G$147))</f>
        <v/>
      </c>
      <c r="H181" s="26">
        <f>IF(SUM(B181:G181)=0,"",SUM(B181:G181))</f>
        <v/>
      </c>
    </row>
    <row r="182">
      <c r="A182" t="inlineStr">
        <is>
          <t>Week1-Apr-2026</t>
        </is>
      </c>
      <c r="B182" s="26">
        <f>IF(SUMIFS('BSE - SENSEX Index Options'!$M:$M,'BSE - SENSEX Index Options'!$C:$C,$A182,'BSE - SENSEX Index Options'!$B:$B,B$147)+SUMIFS('BSE - Other Index Options'!$M:$M,'BSE - Other Index Options'!$C:$C,$A182,'BSE - Other Index Options'!$B:$B,B$147)=0,"",SUMIFS('BSE - SENSEX Index Options'!$M:$M,'BSE - SENSEX Index Options'!$C:$C,$A182,'BSE - SENSEX Index Options'!$B:$B,B$147)+SUMIFS('BSE - Other Index Options'!$M:$M,'BSE - Other Index Options'!$C:$C,$A182,'BSE - Other Index Options'!$B:$B,B$147))</f>
        <v/>
      </c>
      <c r="C182" s="26">
        <f>IF(SUMIFS('BSE - SENSEX Index Options'!$M:$M,'BSE - SENSEX Index Options'!$C:$C,$A182,'BSE - SENSEX Index Options'!$B:$B,C$147)+SUMIFS('BSE - Other Index Options'!$M:$M,'BSE - Other Index Options'!$C:$C,$A182,'BSE - Other Index Options'!$B:$B,C$147)=0,"",SUMIFS('BSE - SENSEX Index Options'!$M:$M,'BSE - SENSEX Index Options'!$C:$C,$A182,'BSE - SENSEX Index Options'!$B:$B,C$147)+SUMIFS('BSE - Other Index Options'!$M:$M,'BSE - Other Index Options'!$C:$C,$A182,'BSE - Other Index Options'!$B:$B,C$147))</f>
        <v/>
      </c>
      <c r="D182" s="26">
        <f>IF(SUMIFS('BSE - SENSEX Index Options'!$M:$M,'BSE - SENSEX Index Options'!$C:$C,$A182,'BSE - SENSEX Index Options'!$B:$B,D$147)+SUMIFS('BSE - Other Index Options'!$M:$M,'BSE - Other Index Options'!$C:$C,$A182,'BSE - Other Index Options'!$B:$B,D$147)=0,"",SUMIFS('BSE - SENSEX Index Options'!$M:$M,'BSE - SENSEX Index Options'!$C:$C,$A182,'BSE - SENSEX Index Options'!$B:$B,D$147)+SUMIFS('BSE - Other Index Options'!$M:$M,'BSE - Other Index Options'!$C:$C,$A182,'BSE - Other Index Options'!$B:$B,D$147))</f>
        <v/>
      </c>
      <c r="E182" s="26">
        <f>IF(SUMIFS('BSE - SENSEX Index Options'!$M:$M,'BSE - SENSEX Index Options'!$C:$C,$A182,'BSE - SENSEX Index Options'!$B:$B,E$147)+SUMIFS('BSE - Other Index Options'!$M:$M,'BSE - Other Index Options'!$C:$C,$A182,'BSE - Other Index Options'!$B:$B,E$147)=0,"",SUMIFS('BSE - SENSEX Index Options'!$M:$M,'BSE - SENSEX Index Options'!$C:$C,$A182,'BSE - SENSEX Index Options'!$B:$B,E$147)+SUMIFS('BSE - Other Index Options'!$M:$M,'BSE - Other Index Options'!$C:$C,$A182,'BSE - Other Index Options'!$B:$B,E$147))</f>
        <v/>
      </c>
      <c r="F182" s="26">
        <f>IF(SUMIFS('BSE - SENSEX Index Options'!$M:$M,'BSE - SENSEX Index Options'!$C:$C,$A182,'BSE - SENSEX Index Options'!$B:$B,F$147)+SUMIFS('BSE - Other Index Options'!$M:$M,'BSE - Other Index Options'!$C:$C,$A182,'BSE - Other Index Options'!$B:$B,F$147)=0,"",SUMIFS('BSE - SENSEX Index Options'!$M:$M,'BSE - SENSEX Index Options'!$C:$C,$A182,'BSE - SENSEX Index Options'!$B:$B,F$147)+SUMIFS('BSE - Other Index Options'!$M:$M,'BSE - Other Index Options'!$C:$C,$A182,'BSE - Other Index Options'!$B:$B,F$147))</f>
        <v/>
      </c>
      <c r="G182" s="26">
        <f>IF(SUMIFS('BSE - SENSEX Index Options'!$M:$M,'BSE - SENSEX Index Options'!$C:$C,$A182,'BSE - SENSEX Index Options'!$B:$B,G$147)+SUMIFS('BSE - Other Index Options'!$M:$M,'BSE - Other Index Options'!$C:$C,$A182,'BSE - Other Index Options'!$B:$B,G$147)=0,"",SUMIFS('BSE - SENSEX Index Options'!$M:$M,'BSE - SENSEX Index Options'!$C:$C,$A182,'BSE - SENSEX Index Options'!$B:$B,G$147)+SUMIFS('BSE - Other Index Options'!$M:$M,'BSE - Other Index Options'!$C:$C,$A182,'BSE - Other Index Options'!$B:$B,G$147))</f>
        <v/>
      </c>
      <c r="H182" s="26">
        <f>IF(SUM(B182:G182)=0,"",SUM(B182:G182))</f>
        <v/>
      </c>
    </row>
    <row r="183">
      <c r="A183" t="inlineStr">
        <is>
          <t>Week2-Apr-2026</t>
        </is>
      </c>
      <c r="B183" s="26">
        <f>IF(SUMIFS('BSE - SENSEX Index Options'!$M:$M,'BSE - SENSEX Index Options'!$C:$C,$A183,'BSE - SENSEX Index Options'!$B:$B,B$147)+SUMIFS('BSE - Other Index Options'!$M:$M,'BSE - Other Index Options'!$C:$C,$A183,'BSE - Other Index Options'!$B:$B,B$147)=0,"",SUMIFS('BSE - SENSEX Index Options'!$M:$M,'BSE - SENSEX Index Options'!$C:$C,$A183,'BSE - SENSEX Index Options'!$B:$B,B$147)+SUMIFS('BSE - Other Index Options'!$M:$M,'BSE - Other Index Options'!$C:$C,$A183,'BSE - Other Index Options'!$B:$B,B$147))</f>
        <v/>
      </c>
      <c r="C183" s="26">
        <f>IF(SUMIFS('BSE - SENSEX Index Options'!$M:$M,'BSE - SENSEX Index Options'!$C:$C,$A183,'BSE - SENSEX Index Options'!$B:$B,C$147)+SUMIFS('BSE - Other Index Options'!$M:$M,'BSE - Other Index Options'!$C:$C,$A183,'BSE - Other Index Options'!$B:$B,C$147)=0,"",SUMIFS('BSE - SENSEX Index Options'!$M:$M,'BSE - SENSEX Index Options'!$C:$C,$A183,'BSE - SENSEX Index Options'!$B:$B,C$147)+SUMIFS('BSE - Other Index Options'!$M:$M,'BSE - Other Index Options'!$C:$C,$A183,'BSE - Other Index Options'!$B:$B,C$147))</f>
        <v/>
      </c>
      <c r="D183" s="26">
        <f>IF(SUMIFS('BSE - SENSEX Index Options'!$M:$M,'BSE - SENSEX Index Options'!$C:$C,$A183,'BSE - SENSEX Index Options'!$B:$B,D$147)+SUMIFS('BSE - Other Index Options'!$M:$M,'BSE - Other Index Options'!$C:$C,$A183,'BSE - Other Index Options'!$B:$B,D$147)=0,"",SUMIFS('BSE - SENSEX Index Options'!$M:$M,'BSE - SENSEX Index Options'!$C:$C,$A183,'BSE - SENSEX Index Options'!$B:$B,D$147)+SUMIFS('BSE - Other Index Options'!$M:$M,'BSE - Other Index Options'!$C:$C,$A183,'BSE - Other Index Options'!$B:$B,D$147))</f>
        <v/>
      </c>
      <c r="E183" s="26">
        <f>IF(SUMIFS('BSE - SENSEX Index Options'!$M:$M,'BSE - SENSEX Index Options'!$C:$C,$A183,'BSE - SENSEX Index Options'!$B:$B,E$147)+SUMIFS('BSE - Other Index Options'!$M:$M,'BSE - Other Index Options'!$C:$C,$A183,'BSE - Other Index Options'!$B:$B,E$147)=0,"",SUMIFS('BSE - SENSEX Index Options'!$M:$M,'BSE - SENSEX Index Options'!$C:$C,$A183,'BSE - SENSEX Index Options'!$B:$B,E$147)+SUMIFS('BSE - Other Index Options'!$M:$M,'BSE - Other Index Options'!$C:$C,$A183,'BSE - Other Index Options'!$B:$B,E$147))</f>
        <v/>
      </c>
      <c r="F183" s="26">
        <f>IF(SUMIFS('BSE - SENSEX Index Options'!$M:$M,'BSE - SENSEX Index Options'!$C:$C,$A183,'BSE - SENSEX Index Options'!$B:$B,F$147)+SUMIFS('BSE - Other Index Options'!$M:$M,'BSE - Other Index Options'!$C:$C,$A183,'BSE - Other Index Options'!$B:$B,F$147)=0,"",SUMIFS('BSE - SENSEX Index Options'!$M:$M,'BSE - SENSEX Index Options'!$C:$C,$A183,'BSE - SENSEX Index Options'!$B:$B,F$147)+SUMIFS('BSE - Other Index Options'!$M:$M,'BSE - Other Index Options'!$C:$C,$A183,'BSE - Other Index Options'!$B:$B,F$147))</f>
        <v/>
      </c>
      <c r="G183" s="26">
        <f>IF(SUMIFS('BSE - SENSEX Index Options'!$M:$M,'BSE - SENSEX Index Options'!$C:$C,$A183,'BSE - SENSEX Index Options'!$B:$B,G$147)+SUMIFS('BSE - Other Index Options'!$M:$M,'BSE - Other Index Options'!$C:$C,$A183,'BSE - Other Index Options'!$B:$B,G$147)=0,"",SUMIFS('BSE - SENSEX Index Options'!$M:$M,'BSE - SENSEX Index Options'!$C:$C,$A183,'BSE - SENSEX Index Options'!$B:$B,G$147)+SUMIFS('BSE - Other Index Options'!$M:$M,'BSE - Other Index Options'!$C:$C,$A183,'BSE - Other Index Options'!$B:$B,G$147))</f>
        <v/>
      </c>
      <c r="H183" s="26">
        <f>IF(SUM(B183:G183)=0,"",SUM(B183:G183))</f>
        <v/>
      </c>
    </row>
    <row r="184">
      <c r="A184" t="inlineStr">
        <is>
          <t>Week3-Apr-2026</t>
        </is>
      </c>
      <c r="B184" s="26">
        <f>IF(SUMIFS('BSE - SENSEX Index Options'!$M:$M,'BSE - SENSEX Index Options'!$C:$C,$A184,'BSE - SENSEX Index Options'!$B:$B,B$147)+SUMIFS('BSE - Other Index Options'!$M:$M,'BSE - Other Index Options'!$C:$C,$A184,'BSE - Other Index Options'!$B:$B,B$147)=0,"",SUMIFS('BSE - SENSEX Index Options'!$M:$M,'BSE - SENSEX Index Options'!$C:$C,$A184,'BSE - SENSEX Index Options'!$B:$B,B$147)+SUMIFS('BSE - Other Index Options'!$M:$M,'BSE - Other Index Options'!$C:$C,$A184,'BSE - Other Index Options'!$B:$B,B$147))</f>
        <v/>
      </c>
      <c r="C184" s="26">
        <f>IF(SUMIFS('BSE - SENSEX Index Options'!$M:$M,'BSE - SENSEX Index Options'!$C:$C,$A184,'BSE - SENSEX Index Options'!$B:$B,C$147)+SUMIFS('BSE - Other Index Options'!$M:$M,'BSE - Other Index Options'!$C:$C,$A184,'BSE - Other Index Options'!$B:$B,C$147)=0,"",SUMIFS('BSE - SENSEX Index Options'!$M:$M,'BSE - SENSEX Index Options'!$C:$C,$A184,'BSE - SENSEX Index Options'!$B:$B,C$147)+SUMIFS('BSE - Other Index Options'!$M:$M,'BSE - Other Index Options'!$C:$C,$A184,'BSE - Other Index Options'!$B:$B,C$147))</f>
        <v/>
      </c>
      <c r="D184" s="26">
        <f>IF(SUMIFS('BSE - SENSEX Index Options'!$M:$M,'BSE - SENSEX Index Options'!$C:$C,$A184,'BSE - SENSEX Index Options'!$B:$B,D$147)+SUMIFS('BSE - Other Index Options'!$M:$M,'BSE - Other Index Options'!$C:$C,$A184,'BSE - Other Index Options'!$B:$B,D$147)=0,"",SUMIFS('BSE - SENSEX Index Options'!$M:$M,'BSE - SENSEX Index Options'!$C:$C,$A184,'BSE - SENSEX Index Options'!$B:$B,D$147)+SUMIFS('BSE - Other Index Options'!$M:$M,'BSE - Other Index Options'!$C:$C,$A184,'BSE - Other Index Options'!$B:$B,D$147))</f>
        <v/>
      </c>
      <c r="E184" s="26">
        <f>IF(SUMIFS('BSE - SENSEX Index Options'!$M:$M,'BSE - SENSEX Index Options'!$C:$C,$A184,'BSE - SENSEX Index Options'!$B:$B,E$147)+SUMIFS('BSE - Other Index Options'!$M:$M,'BSE - Other Index Options'!$C:$C,$A184,'BSE - Other Index Options'!$B:$B,E$147)=0,"",SUMIFS('BSE - SENSEX Index Options'!$M:$M,'BSE - SENSEX Index Options'!$C:$C,$A184,'BSE - SENSEX Index Options'!$B:$B,E$147)+SUMIFS('BSE - Other Index Options'!$M:$M,'BSE - Other Index Options'!$C:$C,$A184,'BSE - Other Index Options'!$B:$B,E$147))</f>
        <v/>
      </c>
      <c r="F184" s="26">
        <f>IF(SUMIFS('BSE - SENSEX Index Options'!$M:$M,'BSE - SENSEX Index Options'!$C:$C,$A184,'BSE - SENSEX Index Options'!$B:$B,F$147)+SUMIFS('BSE - Other Index Options'!$M:$M,'BSE - Other Index Options'!$C:$C,$A184,'BSE - Other Index Options'!$B:$B,F$147)=0,"",SUMIFS('BSE - SENSEX Index Options'!$M:$M,'BSE - SENSEX Index Options'!$C:$C,$A184,'BSE - SENSEX Index Options'!$B:$B,F$147)+SUMIFS('BSE - Other Index Options'!$M:$M,'BSE - Other Index Options'!$C:$C,$A184,'BSE - Other Index Options'!$B:$B,F$147))</f>
        <v/>
      </c>
      <c r="G184" s="26">
        <f>IF(SUMIFS('BSE - SENSEX Index Options'!$M:$M,'BSE - SENSEX Index Options'!$C:$C,$A184,'BSE - SENSEX Index Options'!$B:$B,G$147)+SUMIFS('BSE - Other Index Options'!$M:$M,'BSE - Other Index Options'!$C:$C,$A184,'BSE - Other Index Options'!$B:$B,G$147)=0,"",SUMIFS('BSE - SENSEX Index Options'!$M:$M,'BSE - SENSEX Index Options'!$C:$C,$A184,'BSE - SENSEX Index Options'!$B:$B,G$147)+SUMIFS('BSE - Other Index Options'!$M:$M,'BSE - Other Index Options'!$C:$C,$A184,'BSE - Other Index Options'!$B:$B,G$147))</f>
        <v/>
      </c>
      <c r="H184" s="26">
        <f>IF(SUM(B184:G184)=0,"",SUM(B184:G184))</f>
        <v/>
      </c>
    </row>
    <row r="185">
      <c r="A185" t="inlineStr">
        <is>
          <t>Week4-Apr-2026</t>
        </is>
      </c>
      <c r="B185" s="26">
        <f>IF(SUMIFS('BSE - SENSEX Index Options'!$M:$M,'BSE - SENSEX Index Options'!$C:$C,$A185,'BSE - SENSEX Index Options'!$B:$B,B$147)+SUMIFS('BSE - Other Index Options'!$M:$M,'BSE - Other Index Options'!$C:$C,$A185,'BSE - Other Index Options'!$B:$B,B$147)=0,"",SUMIFS('BSE - SENSEX Index Options'!$M:$M,'BSE - SENSEX Index Options'!$C:$C,$A185,'BSE - SENSEX Index Options'!$B:$B,B$147)+SUMIFS('BSE - Other Index Options'!$M:$M,'BSE - Other Index Options'!$C:$C,$A185,'BSE - Other Index Options'!$B:$B,B$147))</f>
        <v/>
      </c>
      <c r="C185" s="26">
        <f>IF(SUMIFS('BSE - SENSEX Index Options'!$M:$M,'BSE - SENSEX Index Options'!$C:$C,$A185,'BSE - SENSEX Index Options'!$B:$B,C$147)+SUMIFS('BSE - Other Index Options'!$M:$M,'BSE - Other Index Options'!$C:$C,$A185,'BSE - Other Index Options'!$B:$B,C$147)=0,"",SUMIFS('BSE - SENSEX Index Options'!$M:$M,'BSE - SENSEX Index Options'!$C:$C,$A185,'BSE - SENSEX Index Options'!$B:$B,C$147)+SUMIFS('BSE - Other Index Options'!$M:$M,'BSE - Other Index Options'!$C:$C,$A185,'BSE - Other Index Options'!$B:$B,C$147))</f>
        <v/>
      </c>
      <c r="D185" s="26">
        <f>IF(SUMIFS('BSE - SENSEX Index Options'!$M:$M,'BSE - SENSEX Index Options'!$C:$C,$A185,'BSE - SENSEX Index Options'!$B:$B,D$147)+SUMIFS('BSE - Other Index Options'!$M:$M,'BSE - Other Index Options'!$C:$C,$A185,'BSE - Other Index Options'!$B:$B,D$147)=0,"",SUMIFS('BSE - SENSEX Index Options'!$M:$M,'BSE - SENSEX Index Options'!$C:$C,$A185,'BSE - SENSEX Index Options'!$B:$B,D$147)+SUMIFS('BSE - Other Index Options'!$M:$M,'BSE - Other Index Options'!$C:$C,$A185,'BSE - Other Index Options'!$B:$B,D$147))</f>
        <v/>
      </c>
      <c r="E185" s="26">
        <f>IF(SUMIFS('BSE - SENSEX Index Options'!$M:$M,'BSE - SENSEX Index Options'!$C:$C,$A185,'BSE - SENSEX Index Options'!$B:$B,E$147)+SUMIFS('BSE - Other Index Options'!$M:$M,'BSE - Other Index Options'!$C:$C,$A185,'BSE - Other Index Options'!$B:$B,E$147)=0,"",SUMIFS('BSE - SENSEX Index Options'!$M:$M,'BSE - SENSEX Index Options'!$C:$C,$A185,'BSE - SENSEX Index Options'!$B:$B,E$147)+SUMIFS('BSE - Other Index Options'!$M:$M,'BSE - Other Index Options'!$C:$C,$A185,'BSE - Other Index Options'!$B:$B,E$147))</f>
        <v/>
      </c>
      <c r="F185" s="26">
        <f>IF(SUMIFS('BSE - SENSEX Index Options'!$M:$M,'BSE - SENSEX Index Options'!$C:$C,$A185,'BSE - SENSEX Index Options'!$B:$B,F$147)+SUMIFS('BSE - Other Index Options'!$M:$M,'BSE - Other Index Options'!$C:$C,$A185,'BSE - Other Index Options'!$B:$B,F$147)=0,"",SUMIFS('BSE - SENSEX Index Options'!$M:$M,'BSE - SENSEX Index Options'!$C:$C,$A185,'BSE - SENSEX Index Options'!$B:$B,F$147)+SUMIFS('BSE - Other Index Options'!$M:$M,'BSE - Other Index Options'!$C:$C,$A185,'BSE - Other Index Options'!$B:$B,F$147))</f>
        <v/>
      </c>
      <c r="G185" s="26">
        <f>IF(SUMIFS('BSE - SENSEX Index Options'!$M:$M,'BSE - SENSEX Index Options'!$C:$C,$A185,'BSE - SENSEX Index Options'!$B:$B,G$147)+SUMIFS('BSE - Other Index Options'!$M:$M,'BSE - Other Index Options'!$C:$C,$A185,'BSE - Other Index Options'!$B:$B,G$147)=0,"",SUMIFS('BSE - SENSEX Index Options'!$M:$M,'BSE - SENSEX Index Options'!$C:$C,$A185,'BSE - SENSEX Index Options'!$B:$B,G$147)+SUMIFS('BSE - Other Index Options'!$M:$M,'BSE - Other Index Options'!$C:$C,$A185,'BSE - Other Index Options'!$B:$B,G$147))</f>
        <v/>
      </c>
      <c r="H185" s="26">
        <f>IF(SUM(B185:G185)=0,"",SUM(B185:G185))</f>
        <v/>
      </c>
    </row>
    <row r="186">
      <c r="A186" t="inlineStr">
        <is>
          <t>Week5-Apr-2026</t>
        </is>
      </c>
      <c r="B186" s="26">
        <f>IF(SUMIFS('BSE - SENSEX Index Options'!$M:$M,'BSE - SENSEX Index Options'!$C:$C,$A186,'BSE - SENSEX Index Options'!$B:$B,B$147)+SUMIFS('BSE - Other Index Options'!$M:$M,'BSE - Other Index Options'!$C:$C,$A186,'BSE - Other Index Options'!$B:$B,B$147)=0,"",SUMIFS('BSE - SENSEX Index Options'!$M:$M,'BSE - SENSEX Index Options'!$C:$C,$A186,'BSE - SENSEX Index Options'!$B:$B,B$147)+SUMIFS('BSE - Other Index Options'!$M:$M,'BSE - Other Index Options'!$C:$C,$A186,'BSE - Other Index Options'!$B:$B,B$147))</f>
        <v/>
      </c>
      <c r="C186" s="26">
        <f>IF(SUMIFS('BSE - SENSEX Index Options'!$M:$M,'BSE - SENSEX Index Options'!$C:$C,$A186,'BSE - SENSEX Index Options'!$B:$B,C$147)+SUMIFS('BSE - Other Index Options'!$M:$M,'BSE - Other Index Options'!$C:$C,$A186,'BSE - Other Index Options'!$B:$B,C$147)=0,"",SUMIFS('BSE - SENSEX Index Options'!$M:$M,'BSE - SENSEX Index Options'!$C:$C,$A186,'BSE - SENSEX Index Options'!$B:$B,C$147)+SUMIFS('BSE - Other Index Options'!$M:$M,'BSE - Other Index Options'!$C:$C,$A186,'BSE - Other Index Options'!$B:$B,C$147))</f>
        <v/>
      </c>
      <c r="D186" s="26">
        <f>IF(SUMIFS('BSE - SENSEX Index Options'!$M:$M,'BSE - SENSEX Index Options'!$C:$C,$A186,'BSE - SENSEX Index Options'!$B:$B,D$147)+SUMIFS('BSE - Other Index Options'!$M:$M,'BSE - Other Index Options'!$C:$C,$A186,'BSE - Other Index Options'!$B:$B,D$147)=0,"",SUMIFS('BSE - SENSEX Index Options'!$M:$M,'BSE - SENSEX Index Options'!$C:$C,$A186,'BSE - SENSEX Index Options'!$B:$B,D$147)+SUMIFS('BSE - Other Index Options'!$M:$M,'BSE - Other Index Options'!$C:$C,$A186,'BSE - Other Index Options'!$B:$B,D$147))</f>
        <v/>
      </c>
      <c r="E186" s="26">
        <f>IF(SUMIFS('BSE - SENSEX Index Options'!$M:$M,'BSE - SENSEX Index Options'!$C:$C,$A186,'BSE - SENSEX Index Options'!$B:$B,E$147)+SUMIFS('BSE - Other Index Options'!$M:$M,'BSE - Other Index Options'!$C:$C,$A186,'BSE - Other Index Options'!$B:$B,E$147)=0,"",SUMIFS('BSE - SENSEX Index Options'!$M:$M,'BSE - SENSEX Index Options'!$C:$C,$A186,'BSE - SENSEX Index Options'!$B:$B,E$147)+SUMIFS('BSE - Other Index Options'!$M:$M,'BSE - Other Index Options'!$C:$C,$A186,'BSE - Other Index Options'!$B:$B,E$147))</f>
        <v/>
      </c>
      <c r="F186" s="26">
        <f>IF(SUMIFS('BSE - SENSEX Index Options'!$M:$M,'BSE - SENSEX Index Options'!$C:$C,$A186,'BSE - SENSEX Index Options'!$B:$B,F$147)+SUMIFS('BSE - Other Index Options'!$M:$M,'BSE - Other Index Options'!$C:$C,$A186,'BSE - Other Index Options'!$B:$B,F$147)=0,"",SUMIFS('BSE - SENSEX Index Options'!$M:$M,'BSE - SENSEX Index Options'!$C:$C,$A186,'BSE - SENSEX Index Options'!$B:$B,F$147)+SUMIFS('BSE - Other Index Options'!$M:$M,'BSE - Other Index Options'!$C:$C,$A186,'BSE - Other Index Options'!$B:$B,F$147))</f>
        <v/>
      </c>
      <c r="G186" s="26">
        <f>IF(SUMIFS('BSE - SENSEX Index Options'!$M:$M,'BSE - SENSEX Index Options'!$C:$C,$A186,'BSE - SENSEX Index Options'!$B:$B,G$147)+SUMIFS('BSE - Other Index Options'!$M:$M,'BSE - Other Index Options'!$C:$C,$A186,'BSE - Other Index Options'!$B:$B,G$147)=0,"",SUMIFS('BSE - SENSEX Index Options'!$M:$M,'BSE - SENSEX Index Options'!$C:$C,$A186,'BSE - SENSEX Index Options'!$B:$B,G$147)+SUMIFS('BSE - Other Index Options'!$M:$M,'BSE - Other Index Options'!$C:$C,$A186,'BSE - Other Index Options'!$B:$B,G$147))</f>
        <v/>
      </c>
      <c r="H186" s="26">
        <f>IF(SUM(B186:G186)=0,"",SUM(B186:G186))</f>
        <v/>
      </c>
    </row>
    <row r="187">
      <c r="A187" t="inlineStr">
        <is>
          <t>Week1-May-2026</t>
        </is>
      </c>
      <c r="B187" s="26">
        <f>IF(SUMIFS('BSE - SENSEX Index Options'!$M:$M,'BSE - SENSEX Index Options'!$C:$C,$A187,'BSE - SENSEX Index Options'!$B:$B,B$147)+SUMIFS('BSE - Other Index Options'!$M:$M,'BSE - Other Index Options'!$C:$C,$A187,'BSE - Other Index Options'!$B:$B,B$147)=0,"",SUMIFS('BSE - SENSEX Index Options'!$M:$M,'BSE - SENSEX Index Options'!$C:$C,$A187,'BSE - SENSEX Index Options'!$B:$B,B$147)+SUMIFS('BSE - Other Index Options'!$M:$M,'BSE - Other Index Options'!$C:$C,$A187,'BSE - Other Index Options'!$B:$B,B$147))</f>
        <v/>
      </c>
      <c r="C187" s="26">
        <f>IF(SUMIFS('BSE - SENSEX Index Options'!$M:$M,'BSE - SENSEX Index Options'!$C:$C,$A187,'BSE - SENSEX Index Options'!$B:$B,C$147)+SUMIFS('BSE - Other Index Options'!$M:$M,'BSE - Other Index Options'!$C:$C,$A187,'BSE - Other Index Options'!$B:$B,C$147)=0,"",SUMIFS('BSE - SENSEX Index Options'!$M:$M,'BSE - SENSEX Index Options'!$C:$C,$A187,'BSE - SENSEX Index Options'!$B:$B,C$147)+SUMIFS('BSE - Other Index Options'!$M:$M,'BSE - Other Index Options'!$C:$C,$A187,'BSE - Other Index Options'!$B:$B,C$147))</f>
        <v/>
      </c>
      <c r="D187" s="26">
        <f>IF(SUMIFS('BSE - SENSEX Index Options'!$M:$M,'BSE - SENSEX Index Options'!$C:$C,$A187,'BSE - SENSEX Index Options'!$B:$B,D$147)+SUMIFS('BSE - Other Index Options'!$M:$M,'BSE - Other Index Options'!$C:$C,$A187,'BSE - Other Index Options'!$B:$B,D$147)=0,"",SUMIFS('BSE - SENSEX Index Options'!$M:$M,'BSE - SENSEX Index Options'!$C:$C,$A187,'BSE - SENSEX Index Options'!$B:$B,D$147)+SUMIFS('BSE - Other Index Options'!$M:$M,'BSE - Other Index Options'!$C:$C,$A187,'BSE - Other Index Options'!$B:$B,D$147))</f>
        <v/>
      </c>
      <c r="E187" s="26">
        <f>IF(SUMIFS('BSE - SENSEX Index Options'!$M:$M,'BSE - SENSEX Index Options'!$C:$C,$A187,'BSE - SENSEX Index Options'!$B:$B,E$147)+SUMIFS('BSE - Other Index Options'!$M:$M,'BSE - Other Index Options'!$C:$C,$A187,'BSE - Other Index Options'!$B:$B,E$147)=0,"",SUMIFS('BSE - SENSEX Index Options'!$M:$M,'BSE - SENSEX Index Options'!$C:$C,$A187,'BSE - SENSEX Index Options'!$B:$B,E$147)+SUMIFS('BSE - Other Index Options'!$M:$M,'BSE - Other Index Options'!$C:$C,$A187,'BSE - Other Index Options'!$B:$B,E$147))</f>
        <v/>
      </c>
      <c r="F187" s="26">
        <f>IF(SUMIFS('BSE - SENSEX Index Options'!$M:$M,'BSE - SENSEX Index Options'!$C:$C,$A187,'BSE - SENSEX Index Options'!$B:$B,F$147)+SUMIFS('BSE - Other Index Options'!$M:$M,'BSE - Other Index Options'!$C:$C,$A187,'BSE - Other Index Options'!$B:$B,F$147)=0,"",SUMIFS('BSE - SENSEX Index Options'!$M:$M,'BSE - SENSEX Index Options'!$C:$C,$A187,'BSE - SENSEX Index Options'!$B:$B,F$147)+SUMIFS('BSE - Other Index Options'!$M:$M,'BSE - Other Index Options'!$C:$C,$A187,'BSE - Other Index Options'!$B:$B,F$147))</f>
        <v/>
      </c>
      <c r="G187" s="26">
        <f>IF(SUMIFS('BSE - SENSEX Index Options'!$M:$M,'BSE - SENSEX Index Options'!$C:$C,$A187,'BSE - SENSEX Index Options'!$B:$B,G$147)+SUMIFS('BSE - Other Index Options'!$M:$M,'BSE - Other Index Options'!$C:$C,$A187,'BSE - Other Index Options'!$B:$B,G$147)=0,"",SUMIFS('BSE - SENSEX Index Options'!$M:$M,'BSE - SENSEX Index Options'!$C:$C,$A187,'BSE - SENSEX Index Options'!$B:$B,G$147)+SUMIFS('BSE - Other Index Options'!$M:$M,'BSE - Other Index Options'!$C:$C,$A187,'BSE - Other Index Options'!$B:$B,G$147))</f>
        <v/>
      </c>
      <c r="H187" s="26">
        <f>IF(SUM(B187:G187)=0,"",SUM(B187:G187))</f>
        <v/>
      </c>
    </row>
    <row r="188">
      <c r="A188" t="inlineStr">
        <is>
          <t>Week2-May-2026</t>
        </is>
      </c>
      <c r="B188" s="26">
        <f>IF(SUMIFS('BSE - SENSEX Index Options'!$M:$M,'BSE - SENSEX Index Options'!$C:$C,$A188,'BSE - SENSEX Index Options'!$B:$B,B$147)+SUMIFS('BSE - Other Index Options'!$M:$M,'BSE - Other Index Options'!$C:$C,$A188,'BSE - Other Index Options'!$B:$B,B$147)=0,"",SUMIFS('BSE - SENSEX Index Options'!$M:$M,'BSE - SENSEX Index Options'!$C:$C,$A188,'BSE - SENSEX Index Options'!$B:$B,B$147)+SUMIFS('BSE - Other Index Options'!$M:$M,'BSE - Other Index Options'!$C:$C,$A188,'BSE - Other Index Options'!$B:$B,B$147))</f>
        <v/>
      </c>
      <c r="C188" s="26">
        <f>IF(SUMIFS('BSE - SENSEX Index Options'!$M:$M,'BSE - SENSEX Index Options'!$C:$C,$A188,'BSE - SENSEX Index Options'!$B:$B,C$147)+SUMIFS('BSE - Other Index Options'!$M:$M,'BSE - Other Index Options'!$C:$C,$A188,'BSE - Other Index Options'!$B:$B,C$147)=0,"",SUMIFS('BSE - SENSEX Index Options'!$M:$M,'BSE - SENSEX Index Options'!$C:$C,$A188,'BSE - SENSEX Index Options'!$B:$B,C$147)+SUMIFS('BSE - Other Index Options'!$M:$M,'BSE - Other Index Options'!$C:$C,$A188,'BSE - Other Index Options'!$B:$B,C$147))</f>
        <v/>
      </c>
      <c r="D188" s="26">
        <f>IF(SUMIFS('BSE - SENSEX Index Options'!$M:$M,'BSE - SENSEX Index Options'!$C:$C,$A188,'BSE - SENSEX Index Options'!$B:$B,D$147)+SUMIFS('BSE - Other Index Options'!$M:$M,'BSE - Other Index Options'!$C:$C,$A188,'BSE - Other Index Options'!$B:$B,D$147)=0,"",SUMIFS('BSE - SENSEX Index Options'!$M:$M,'BSE - SENSEX Index Options'!$C:$C,$A188,'BSE - SENSEX Index Options'!$B:$B,D$147)+SUMIFS('BSE - Other Index Options'!$M:$M,'BSE - Other Index Options'!$C:$C,$A188,'BSE - Other Index Options'!$B:$B,D$147))</f>
        <v/>
      </c>
      <c r="E188" s="26">
        <f>IF(SUMIFS('BSE - SENSEX Index Options'!$M:$M,'BSE - SENSEX Index Options'!$C:$C,$A188,'BSE - SENSEX Index Options'!$B:$B,E$147)+SUMIFS('BSE - Other Index Options'!$M:$M,'BSE - Other Index Options'!$C:$C,$A188,'BSE - Other Index Options'!$B:$B,E$147)=0,"",SUMIFS('BSE - SENSEX Index Options'!$M:$M,'BSE - SENSEX Index Options'!$C:$C,$A188,'BSE - SENSEX Index Options'!$B:$B,E$147)+SUMIFS('BSE - Other Index Options'!$M:$M,'BSE - Other Index Options'!$C:$C,$A188,'BSE - Other Index Options'!$B:$B,E$147))</f>
        <v/>
      </c>
      <c r="F188" s="26">
        <f>IF(SUMIFS('BSE - SENSEX Index Options'!$M:$M,'BSE - SENSEX Index Options'!$C:$C,$A188,'BSE - SENSEX Index Options'!$B:$B,F$147)+SUMIFS('BSE - Other Index Options'!$M:$M,'BSE - Other Index Options'!$C:$C,$A188,'BSE - Other Index Options'!$B:$B,F$147)=0,"",SUMIFS('BSE - SENSEX Index Options'!$M:$M,'BSE - SENSEX Index Options'!$C:$C,$A188,'BSE - SENSEX Index Options'!$B:$B,F$147)+SUMIFS('BSE - Other Index Options'!$M:$M,'BSE - Other Index Options'!$C:$C,$A188,'BSE - Other Index Options'!$B:$B,F$147))</f>
        <v/>
      </c>
      <c r="G188" s="26">
        <f>IF(SUMIFS('BSE - SENSEX Index Options'!$M:$M,'BSE - SENSEX Index Options'!$C:$C,$A188,'BSE - SENSEX Index Options'!$B:$B,G$147)+SUMIFS('BSE - Other Index Options'!$M:$M,'BSE - Other Index Options'!$C:$C,$A188,'BSE - Other Index Options'!$B:$B,G$147)=0,"",SUMIFS('BSE - SENSEX Index Options'!$M:$M,'BSE - SENSEX Index Options'!$C:$C,$A188,'BSE - SENSEX Index Options'!$B:$B,G$147)+SUMIFS('BSE - Other Index Options'!$M:$M,'BSE - Other Index Options'!$C:$C,$A188,'BSE - Other Index Options'!$B:$B,G$147))</f>
        <v/>
      </c>
      <c r="H188" s="26">
        <f>IF(SUM(B188:G188)=0,"",SUM(B188:G188))</f>
        <v/>
      </c>
    </row>
    <row r="189">
      <c r="A189" t="inlineStr">
        <is>
          <t>Week3-May-2026</t>
        </is>
      </c>
      <c r="B189" s="26">
        <f>IF(SUMIFS('BSE - SENSEX Index Options'!$M:$M,'BSE - SENSEX Index Options'!$C:$C,$A189,'BSE - SENSEX Index Options'!$B:$B,B$147)+SUMIFS('BSE - Other Index Options'!$M:$M,'BSE - Other Index Options'!$C:$C,$A189,'BSE - Other Index Options'!$B:$B,B$147)=0,"",SUMIFS('BSE - SENSEX Index Options'!$M:$M,'BSE - SENSEX Index Options'!$C:$C,$A189,'BSE - SENSEX Index Options'!$B:$B,B$147)+SUMIFS('BSE - Other Index Options'!$M:$M,'BSE - Other Index Options'!$C:$C,$A189,'BSE - Other Index Options'!$B:$B,B$147))</f>
        <v/>
      </c>
      <c r="C189" s="26">
        <f>IF(SUMIFS('BSE - SENSEX Index Options'!$M:$M,'BSE - SENSEX Index Options'!$C:$C,$A189,'BSE - SENSEX Index Options'!$B:$B,C$147)+SUMIFS('BSE - Other Index Options'!$M:$M,'BSE - Other Index Options'!$C:$C,$A189,'BSE - Other Index Options'!$B:$B,C$147)=0,"",SUMIFS('BSE - SENSEX Index Options'!$M:$M,'BSE - SENSEX Index Options'!$C:$C,$A189,'BSE - SENSEX Index Options'!$B:$B,C$147)+SUMIFS('BSE - Other Index Options'!$M:$M,'BSE - Other Index Options'!$C:$C,$A189,'BSE - Other Index Options'!$B:$B,C$147))</f>
        <v/>
      </c>
      <c r="D189" s="26">
        <f>IF(SUMIFS('BSE - SENSEX Index Options'!$M:$M,'BSE - SENSEX Index Options'!$C:$C,$A189,'BSE - SENSEX Index Options'!$B:$B,D$147)+SUMIFS('BSE - Other Index Options'!$M:$M,'BSE - Other Index Options'!$C:$C,$A189,'BSE - Other Index Options'!$B:$B,D$147)=0,"",SUMIFS('BSE - SENSEX Index Options'!$M:$M,'BSE - SENSEX Index Options'!$C:$C,$A189,'BSE - SENSEX Index Options'!$B:$B,D$147)+SUMIFS('BSE - Other Index Options'!$M:$M,'BSE - Other Index Options'!$C:$C,$A189,'BSE - Other Index Options'!$B:$B,D$147))</f>
        <v/>
      </c>
      <c r="E189" s="26">
        <f>IF(SUMIFS('BSE - SENSEX Index Options'!$M:$M,'BSE - SENSEX Index Options'!$C:$C,$A189,'BSE - SENSEX Index Options'!$B:$B,E$147)+SUMIFS('BSE - Other Index Options'!$M:$M,'BSE - Other Index Options'!$C:$C,$A189,'BSE - Other Index Options'!$B:$B,E$147)=0,"",SUMIFS('BSE - SENSEX Index Options'!$M:$M,'BSE - SENSEX Index Options'!$C:$C,$A189,'BSE - SENSEX Index Options'!$B:$B,E$147)+SUMIFS('BSE - Other Index Options'!$M:$M,'BSE - Other Index Options'!$C:$C,$A189,'BSE - Other Index Options'!$B:$B,E$147))</f>
        <v/>
      </c>
      <c r="F189" s="26">
        <f>IF(SUMIFS('BSE - SENSEX Index Options'!$M:$M,'BSE - SENSEX Index Options'!$C:$C,$A189,'BSE - SENSEX Index Options'!$B:$B,F$147)+SUMIFS('BSE - Other Index Options'!$M:$M,'BSE - Other Index Options'!$C:$C,$A189,'BSE - Other Index Options'!$B:$B,F$147)=0,"",SUMIFS('BSE - SENSEX Index Options'!$M:$M,'BSE - SENSEX Index Options'!$C:$C,$A189,'BSE - SENSEX Index Options'!$B:$B,F$147)+SUMIFS('BSE - Other Index Options'!$M:$M,'BSE - Other Index Options'!$C:$C,$A189,'BSE - Other Index Options'!$B:$B,F$147))</f>
        <v/>
      </c>
      <c r="G189" s="26">
        <f>IF(SUMIFS('BSE - SENSEX Index Options'!$M:$M,'BSE - SENSEX Index Options'!$C:$C,$A189,'BSE - SENSEX Index Options'!$B:$B,G$147)+SUMIFS('BSE - Other Index Options'!$M:$M,'BSE - Other Index Options'!$C:$C,$A189,'BSE - Other Index Options'!$B:$B,G$147)=0,"",SUMIFS('BSE - SENSEX Index Options'!$M:$M,'BSE - SENSEX Index Options'!$C:$C,$A189,'BSE - SENSEX Index Options'!$B:$B,G$147)+SUMIFS('BSE - Other Index Options'!$M:$M,'BSE - Other Index Options'!$C:$C,$A189,'BSE - Other Index Options'!$B:$B,G$147))</f>
        <v/>
      </c>
      <c r="H189" s="26">
        <f>IF(SUM(B189:G189)=0,"",SUM(B189:G189))</f>
        <v/>
      </c>
    </row>
    <row r="190">
      <c r="A190" t="inlineStr">
        <is>
          <t>Week4-May-2026</t>
        </is>
      </c>
      <c r="B190" s="26">
        <f>IF(SUMIFS('BSE - SENSEX Index Options'!$M:$M,'BSE - SENSEX Index Options'!$C:$C,$A190,'BSE - SENSEX Index Options'!$B:$B,B$147)+SUMIFS('BSE - Other Index Options'!$M:$M,'BSE - Other Index Options'!$C:$C,$A190,'BSE - Other Index Options'!$B:$B,B$147)=0,"",SUMIFS('BSE - SENSEX Index Options'!$M:$M,'BSE - SENSEX Index Options'!$C:$C,$A190,'BSE - SENSEX Index Options'!$B:$B,B$147)+SUMIFS('BSE - Other Index Options'!$M:$M,'BSE - Other Index Options'!$C:$C,$A190,'BSE - Other Index Options'!$B:$B,B$147))</f>
        <v/>
      </c>
      <c r="C190" s="26">
        <f>IF(SUMIFS('BSE - SENSEX Index Options'!$M:$M,'BSE - SENSEX Index Options'!$C:$C,$A190,'BSE - SENSEX Index Options'!$B:$B,C$147)+SUMIFS('BSE - Other Index Options'!$M:$M,'BSE - Other Index Options'!$C:$C,$A190,'BSE - Other Index Options'!$B:$B,C$147)=0,"",SUMIFS('BSE - SENSEX Index Options'!$M:$M,'BSE - SENSEX Index Options'!$C:$C,$A190,'BSE - SENSEX Index Options'!$B:$B,C$147)+SUMIFS('BSE - Other Index Options'!$M:$M,'BSE - Other Index Options'!$C:$C,$A190,'BSE - Other Index Options'!$B:$B,C$147))</f>
        <v/>
      </c>
      <c r="D190" s="26">
        <f>IF(SUMIFS('BSE - SENSEX Index Options'!$M:$M,'BSE - SENSEX Index Options'!$C:$C,$A190,'BSE - SENSEX Index Options'!$B:$B,D$147)+SUMIFS('BSE - Other Index Options'!$M:$M,'BSE - Other Index Options'!$C:$C,$A190,'BSE - Other Index Options'!$B:$B,D$147)=0,"",SUMIFS('BSE - SENSEX Index Options'!$M:$M,'BSE - SENSEX Index Options'!$C:$C,$A190,'BSE - SENSEX Index Options'!$B:$B,D$147)+SUMIFS('BSE - Other Index Options'!$M:$M,'BSE - Other Index Options'!$C:$C,$A190,'BSE - Other Index Options'!$B:$B,D$147))</f>
        <v/>
      </c>
      <c r="E190" s="26">
        <f>IF(SUMIFS('BSE - SENSEX Index Options'!$M:$M,'BSE - SENSEX Index Options'!$C:$C,$A190,'BSE - SENSEX Index Options'!$B:$B,E$147)+SUMIFS('BSE - Other Index Options'!$M:$M,'BSE - Other Index Options'!$C:$C,$A190,'BSE - Other Index Options'!$B:$B,E$147)=0,"",SUMIFS('BSE - SENSEX Index Options'!$M:$M,'BSE - SENSEX Index Options'!$C:$C,$A190,'BSE - SENSEX Index Options'!$B:$B,E$147)+SUMIFS('BSE - Other Index Options'!$M:$M,'BSE - Other Index Options'!$C:$C,$A190,'BSE - Other Index Options'!$B:$B,E$147))</f>
        <v/>
      </c>
      <c r="F190" s="26">
        <f>IF(SUMIFS('BSE - SENSEX Index Options'!$M:$M,'BSE - SENSEX Index Options'!$C:$C,$A190,'BSE - SENSEX Index Options'!$B:$B,F$147)+SUMIFS('BSE - Other Index Options'!$M:$M,'BSE - Other Index Options'!$C:$C,$A190,'BSE - Other Index Options'!$B:$B,F$147)=0,"",SUMIFS('BSE - SENSEX Index Options'!$M:$M,'BSE - SENSEX Index Options'!$C:$C,$A190,'BSE - SENSEX Index Options'!$B:$B,F$147)+SUMIFS('BSE - Other Index Options'!$M:$M,'BSE - Other Index Options'!$C:$C,$A190,'BSE - Other Index Options'!$B:$B,F$147))</f>
        <v/>
      </c>
      <c r="G190" s="26">
        <f>IF(SUMIFS('BSE - SENSEX Index Options'!$M:$M,'BSE - SENSEX Index Options'!$C:$C,$A190,'BSE - SENSEX Index Options'!$B:$B,G$147)+SUMIFS('BSE - Other Index Options'!$M:$M,'BSE - Other Index Options'!$C:$C,$A190,'BSE - Other Index Options'!$B:$B,G$147)=0,"",SUMIFS('BSE - SENSEX Index Options'!$M:$M,'BSE - SENSEX Index Options'!$C:$C,$A190,'BSE - SENSEX Index Options'!$B:$B,G$147)+SUMIFS('BSE - Other Index Options'!$M:$M,'BSE - Other Index Options'!$C:$C,$A190,'BSE - Other Index Options'!$B:$B,G$147))</f>
        <v/>
      </c>
      <c r="H190" s="26">
        <f>IF(SUM(B190:G190)=0,"",SUM(B190:G190))</f>
        <v/>
      </c>
    </row>
    <row r="191">
      <c r="A191" t="inlineStr">
        <is>
          <t>Week5-May-2026</t>
        </is>
      </c>
      <c r="B191" s="26">
        <f>IF(SUMIFS('BSE - SENSEX Index Options'!$M:$M,'BSE - SENSEX Index Options'!$C:$C,$A191,'BSE - SENSEX Index Options'!$B:$B,B$147)+SUMIFS('BSE - Other Index Options'!$M:$M,'BSE - Other Index Options'!$C:$C,$A191,'BSE - Other Index Options'!$B:$B,B$147)=0,"",SUMIFS('BSE - SENSEX Index Options'!$M:$M,'BSE - SENSEX Index Options'!$C:$C,$A191,'BSE - SENSEX Index Options'!$B:$B,B$147)+SUMIFS('BSE - Other Index Options'!$M:$M,'BSE - Other Index Options'!$C:$C,$A191,'BSE - Other Index Options'!$B:$B,B$147))</f>
        <v/>
      </c>
      <c r="C191" s="26">
        <f>IF(SUMIFS('BSE - SENSEX Index Options'!$M:$M,'BSE - SENSEX Index Options'!$C:$C,$A191,'BSE - SENSEX Index Options'!$B:$B,C$147)+SUMIFS('BSE - Other Index Options'!$M:$M,'BSE - Other Index Options'!$C:$C,$A191,'BSE - Other Index Options'!$B:$B,C$147)=0,"",SUMIFS('BSE - SENSEX Index Options'!$M:$M,'BSE - SENSEX Index Options'!$C:$C,$A191,'BSE - SENSEX Index Options'!$B:$B,C$147)+SUMIFS('BSE - Other Index Options'!$M:$M,'BSE - Other Index Options'!$C:$C,$A191,'BSE - Other Index Options'!$B:$B,C$147))</f>
        <v/>
      </c>
      <c r="D191" s="26">
        <f>IF(SUMIFS('BSE - SENSEX Index Options'!$M:$M,'BSE - SENSEX Index Options'!$C:$C,$A191,'BSE - SENSEX Index Options'!$B:$B,D$147)+SUMIFS('BSE - Other Index Options'!$M:$M,'BSE - Other Index Options'!$C:$C,$A191,'BSE - Other Index Options'!$B:$B,D$147)=0,"",SUMIFS('BSE - SENSEX Index Options'!$M:$M,'BSE - SENSEX Index Options'!$C:$C,$A191,'BSE - SENSEX Index Options'!$B:$B,D$147)+SUMIFS('BSE - Other Index Options'!$M:$M,'BSE - Other Index Options'!$C:$C,$A191,'BSE - Other Index Options'!$B:$B,D$147))</f>
        <v/>
      </c>
      <c r="E191" s="26">
        <f>IF(SUMIFS('BSE - SENSEX Index Options'!$M:$M,'BSE - SENSEX Index Options'!$C:$C,$A191,'BSE - SENSEX Index Options'!$B:$B,E$147)+SUMIFS('BSE - Other Index Options'!$M:$M,'BSE - Other Index Options'!$C:$C,$A191,'BSE - Other Index Options'!$B:$B,E$147)=0,"",SUMIFS('BSE - SENSEX Index Options'!$M:$M,'BSE - SENSEX Index Options'!$C:$C,$A191,'BSE - SENSEX Index Options'!$B:$B,E$147)+SUMIFS('BSE - Other Index Options'!$M:$M,'BSE - Other Index Options'!$C:$C,$A191,'BSE - Other Index Options'!$B:$B,E$147))</f>
        <v/>
      </c>
      <c r="F191" s="26">
        <f>IF(SUMIFS('BSE - SENSEX Index Options'!$M:$M,'BSE - SENSEX Index Options'!$C:$C,$A191,'BSE - SENSEX Index Options'!$B:$B,F$147)+SUMIFS('BSE - Other Index Options'!$M:$M,'BSE - Other Index Options'!$C:$C,$A191,'BSE - Other Index Options'!$B:$B,F$147)=0,"",SUMIFS('BSE - SENSEX Index Options'!$M:$M,'BSE - SENSEX Index Options'!$C:$C,$A191,'BSE - SENSEX Index Options'!$B:$B,F$147)+SUMIFS('BSE - Other Index Options'!$M:$M,'BSE - Other Index Options'!$C:$C,$A191,'BSE - Other Index Options'!$B:$B,F$147))</f>
        <v/>
      </c>
      <c r="G191" s="26">
        <f>IF(SUMIFS('BSE - SENSEX Index Options'!$M:$M,'BSE - SENSEX Index Options'!$C:$C,$A191,'BSE - SENSEX Index Options'!$B:$B,G$147)+SUMIFS('BSE - Other Index Options'!$M:$M,'BSE - Other Index Options'!$C:$C,$A191,'BSE - Other Index Options'!$B:$B,G$147)=0,"",SUMIFS('BSE - SENSEX Index Options'!$M:$M,'BSE - SENSEX Index Options'!$C:$C,$A191,'BSE - SENSEX Index Options'!$B:$B,G$147)+SUMIFS('BSE - Other Index Options'!$M:$M,'BSE - Other Index Options'!$C:$C,$A191,'BSE - Other Index Options'!$B:$B,G$147))</f>
        <v/>
      </c>
      <c r="H191" s="26">
        <f>IF(SUM(B191:G191)=0,"",SUM(B191:G191))</f>
        <v/>
      </c>
    </row>
    <row r="192">
      <c r="A192" t="inlineStr">
        <is>
          <t>Week1-Jun-2026</t>
        </is>
      </c>
      <c r="B192" s="26">
        <f>IF(SUMIFS('BSE - SENSEX Index Options'!$M:$M,'BSE - SENSEX Index Options'!$C:$C,$A192,'BSE - SENSEX Index Options'!$B:$B,B$147)+SUMIFS('BSE - Other Index Options'!$M:$M,'BSE - Other Index Options'!$C:$C,$A192,'BSE - Other Index Options'!$B:$B,B$147)=0,"",SUMIFS('BSE - SENSEX Index Options'!$M:$M,'BSE - SENSEX Index Options'!$C:$C,$A192,'BSE - SENSEX Index Options'!$B:$B,B$147)+SUMIFS('BSE - Other Index Options'!$M:$M,'BSE - Other Index Options'!$C:$C,$A192,'BSE - Other Index Options'!$B:$B,B$147))</f>
        <v/>
      </c>
      <c r="C192" s="26">
        <f>IF(SUMIFS('BSE - SENSEX Index Options'!$M:$M,'BSE - SENSEX Index Options'!$C:$C,$A192,'BSE - SENSEX Index Options'!$B:$B,C$147)+SUMIFS('BSE - Other Index Options'!$M:$M,'BSE - Other Index Options'!$C:$C,$A192,'BSE - Other Index Options'!$B:$B,C$147)=0,"",SUMIFS('BSE - SENSEX Index Options'!$M:$M,'BSE - SENSEX Index Options'!$C:$C,$A192,'BSE - SENSEX Index Options'!$B:$B,C$147)+SUMIFS('BSE - Other Index Options'!$M:$M,'BSE - Other Index Options'!$C:$C,$A192,'BSE - Other Index Options'!$B:$B,C$147))</f>
        <v/>
      </c>
      <c r="D192" s="26">
        <f>IF(SUMIFS('BSE - SENSEX Index Options'!$M:$M,'BSE - SENSEX Index Options'!$C:$C,$A192,'BSE - SENSEX Index Options'!$B:$B,D$147)+SUMIFS('BSE - Other Index Options'!$M:$M,'BSE - Other Index Options'!$C:$C,$A192,'BSE - Other Index Options'!$B:$B,D$147)=0,"",SUMIFS('BSE - SENSEX Index Options'!$M:$M,'BSE - SENSEX Index Options'!$C:$C,$A192,'BSE - SENSEX Index Options'!$B:$B,D$147)+SUMIFS('BSE - Other Index Options'!$M:$M,'BSE - Other Index Options'!$C:$C,$A192,'BSE - Other Index Options'!$B:$B,D$147))</f>
        <v/>
      </c>
      <c r="E192" s="26">
        <f>IF(SUMIFS('BSE - SENSEX Index Options'!$M:$M,'BSE - SENSEX Index Options'!$C:$C,$A192,'BSE - SENSEX Index Options'!$B:$B,E$147)+SUMIFS('BSE - Other Index Options'!$M:$M,'BSE - Other Index Options'!$C:$C,$A192,'BSE - Other Index Options'!$B:$B,E$147)=0,"",SUMIFS('BSE - SENSEX Index Options'!$M:$M,'BSE - SENSEX Index Options'!$C:$C,$A192,'BSE - SENSEX Index Options'!$B:$B,E$147)+SUMIFS('BSE - Other Index Options'!$M:$M,'BSE - Other Index Options'!$C:$C,$A192,'BSE - Other Index Options'!$B:$B,E$147))</f>
        <v/>
      </c>
      <c r="F192" s="26">
        <f>IF(SUMIFS('BSE - SENSEX Index Options'!$M:$M,'BSE - SENSEX Index Options'!$C:$C,$A192,'BSE - SENSEX Index Options'!$B:$B,F$147)+SUMIFS('BSE - Other Index Options'!$M:$M,'BSE - Other Index Options'!$C:$C,$A192,'BSE - Other Index Options'!$B:$B,F$147)=0,"",SUMIFS('BSE - SENSEX Index Options'!$M:$M,'BSE - SENSEX Index Options'!$C:$C,$A192,'BSE - SENSEX Index Options'!$B:$B,F$147)+SUMIFS('BSE - Other Index Options'!$M:$M,'BSE - Other Index Options'!$C:$C,$A192,'BSE - Other Index Options'!$B:$B,F$147))</f>
        <v/>
      </c>
      <c r="G192" s="26">
        <f>IF(SUMIFS('BSE - SENSEX Index Options'!$M:$M,'BSE - SENSEX Index Options'!$C:$C,$A192,'BSE - SENSEX Index Options'!$B:$B,G$147)+SUMIFS('BSE - Other Index Options'!$M:$M,'BSE - Other Index Options'!$C:$C,$A192,'BSE - Other Index Options'!$B:$B,G$147)=0,"",SUMIFS('BSE - SENSEX Index Options'!$M:$M,'BSE - SENSEX Index Options'!$C:$C,$A192,'BSE - SENSEX Index Options'!$B:$B,G$147)+SUMIFS('BSE - Other Index Options'!$M:$M,'BSE - Other Index Options'!$C:$C,$A192,'BSE - Other Index Options'!$B:$B,G$147))</f>
        <v/>
      </c>
      <c r="H192" s="26">
        <f>IF(SUM(B192:G192)=0,"",SUM(B192:G192))</f>
        <v/>
      </c>
    </row>
    <row r="193">
      <c r="A193" t="inlineStr">
        <is>
          <t>Week2-Jun-2026</t>
        </is>
      </c>
      <c r="B193" s="26">
        <f>IF(SUMIFS('BSE - SENSEX Index Options'!$M:$M,'BSE - SENSEX Index Options'!$C:$C,$A193,'BSE - SENSEX Index Options'!$B:$B,B$147)+SUMIFS('BSE - Other Index Options'!$M:$M,'BSE - Other Index Options'!$C:$C,$A193,'BSE - Other Index Options'!$B:$B,B$147)=0,"",SUMIFS('BSE - SENSEX Index Options'!$M:$M,'BSE - SENSEX Index Options'!$C:$C,$A193,'BSE - SENSEX Index Options'!$B:$B,B$147)+SUMIFS('BSE - Other Index Options'!$M:$M,'BSE - Other Index Options'!$C:$C,$A193,'BSE - Other Index Options'!$B:$B,B$147))</f>
        <v/>
      </c>
      <c r="C193" s="26">
        <f>IF(SUMIFS('BSE - SENSEX Index Options'!$M:$M,'BSE - SENSEX Index Options'!$C:$C,$A193,'BSE - SENSEX Index Options'!$B:$B,C$147)+SUMIFS('BSE - Other Index Options'!$M:$M,'BSE - Other Index Options'!$C:$C,$A193,'BSE - Other Index Options'!$B:$B,C$147)=0,"",SUMIFS('BSE - SENSEX Index Options'!$M:$M,'BSE - SENSEX Index Options'!$C:$C,$A193,'BSE - SENSEX Index Options'!$B:$B,C$147)+SUMIFS('BSE - Other Index Options'!$M:$M,'BSE - Other Index Options'!$C:$C,$A193,'BSE - Other Index Options'!$B:$B,C$147))</f>
        <v/>
      </c>
      <c r="D193" s="26">
        <f>IF(SUMIFS('BSE - SENSEX Index Options'!$M:$M,'BSE - SENSEX Index Options'!$C:$C,$A193,'BSE - SENSEX Index Options'!$B:$B,D$147)+SUMIFS('BSE - Other Index Options'!$M:$M,'BSE - Other Index Options'!$C:$C,$A193,'BSE - Other Index Options'!$B:$B,D$147)=0,"",SUMIFS('BSE - SENSEX Index Options'!$M:$M,'BSE - SENSEX Index Options'!$C:$C,$A193,'BSE - SENSEX Index Options'!$B:$B,D$147)+SUMIFS('BSE - Other Index Options'!$M:$M,'BSE - Other Index Options'!$C:$C,$A193,'BSE - Other Index Options'!$B:$B,D$147))</f>
        <v/>
      </c>
      <c r="E193" s="26">
        <f>IF(SUMIFS('BSE - SENSEX Index Options'!$M:$M,'BSE - SENSEX Index Options'!$C:$C,$A193,'BSE - SENSEX Index Options'!$B:$B,E$147)+SUMIFS('BSE - Other Index Options'!$M:$M,'BSE - Other Index Options'!$C:$C,$A193,'BSE - Other Index Options'!$B:$B,E$147)=0,"",SUMIFS('BSE - SENSEX Index Options'!$M:$M,'BSE - SENSEX Index Options'!$C:$C,$A193,'BSE - SENSEX Index Options'!$B:$B,E$147)+SUMIFS('BSE - Other Index Options'!$M:$M,'BSE - Other Index Options'!$C:$C,$A193,'BSE - Other Index Options'!$B:$B,E$147))</f>
        <v/>
      </c>
      <c r="F193" s="26">
        <f>IF(SUMIFS('BSE - SENSEX Index Options'!$M:$M,'BSE - SENSEX Index Options'!$C:$C,$A193,'BSE - SENSEX Index Options'!$B:$B,F$147)+SUMIFS('BSE - Other Index Options'!$M:$M,'BSE - Other Index Options'!$C:$C,$A193,'BSE - Other Index Options'!$B:$B,F$147)=0,"",SUMIFS('BSE - SENSEX Index Options'!$M:$M,'BSE - SENSEX Index Options'!$C:$C,$A193,'BSE - SENSEX Index Options'!$B:$B,F$147)+SUMIFS('BSE - Other Index Options'!$M:$M,'BSE - Other Index Options'!$C:$C,$A193,'BSE - Other Index Options'!$B:$B,F$147))</f>
        <v/>
      </c>
      <c r="G193" s="26">
        <f>IF(SUMIFS('BSE - SENSEX Index Options'!$M:$M,'BSE - SENSEX Index Options'!$C:$C,$A193,'BSE - SENSEX Index Options'!$B:$B,G$147)+SUMIFS('BSE - Other Index Options'!$M:$M,'BSE - Other Index Options'!$C:$C,$A193,'BSE - Other Index Options'!$B:$B,G$147)=0,"",SUMIFS('BSE - SENSEX Index Options'!$M:$M,'BSE - SENSEX Index Options'!$C:$C,$A193,'BSE - SENSEX Index Options'!$B:$B,G$147)+SUMIFS('BSE - Other Index Options'!$M:$M,'BSE - Other Index Options'!$C:$C,$A193,'BSE - Other Index Options'!$B:$B,G$147))</f>
        <v/>
      </c>
      <c r="H193" s="26">
        <f>IF(SUM(B193:G193)=0,"",SUM(B193:G193))</f>
        <v/>
      </c>
    </row>
    <row r="194">
      <c r="A194" t="inlineStr">
        <is>
          <t>Week3-Jun-2026</t>
        </is>
      </c>
      <c r="B194" s="26">
        <f>IF(SUMIFS('BSE - SENSEX Index Options'!$M:$M,'BSE - SENSEX Index Options'!$C:$C,$A194,'BSE - SENSEX Index Options'!$B:$B,B$147)+SUMIFS('BSE - Other Index Options'!$M:$M,'BSE - Other Index Options'!$C:$C,$A194,'BSE - Other Index Options'!$B:$B,B$147)=0,"",SUMIFS('BSE - SENSEX Index Options'!$M:$M,'BSE - SENSEX Index Options'!$C:$C,$A194,'BSE - SENSEX Index Options'!$B:$B,B$147)+SUMIFS('BSE - Other Index Options'!$M:$M,'BSE - Other Index Options'!$C:$C,$A194,'BSE - Other Index Options'!$B:$B,B$147))</f>
        <v/>
      </c>
      <c r="C194" s="26">
        <f>IF(SUMIFS('BSE - SENSEX Index Options'!$M:$M,'BSE - SENSEX Index Options'!$C:$C,$A194,'BSE - SENSEX Index Options'!$B:$B,C$147)+SUMIFS('BSE - Other Index Options'!$M:$M,'BSE - Other Index Options'!$C:$C,$A194,'BSE - Other Index Options'!$B:$B,C$147)=0,"",SUMIFS('BSE - SENSEX Index Options'!$M:$M,'BSE - SENSEX Index Options'!$C:$C,$A194,'BSE - SENSEX Index Options'!$B:$B,C$147)+SUMIFS('BSE - Other Index Options'!$M:$M,'BSE - Other Index Options'!$C:$C,$A194,'BSE - Other Index Options'!$B:$B,C$147))</f>
        <v/>
      </c>
      <c r="D194" s="26">
        <f>IF(SUMIFS('BSE - SENSEX Index Options'!$M:$M,'BSE - SENSEX Index Options'!$C:$C,$A194,'BSE - SENSEX Index Options'!$B:$B,D$147)+SUMIFS('BSE - Other Index Options'!$M:$M,'BSE - Other Index Options'!$C:$C,$A194,'BSE - Other Index Options'!$B:$B,D$147)=0,"",SUMIFS('BSE - SENSEX Index Options'!$M:$M,'BSE - SENSEX Index Options'!$C:$C,$A194,'BSE - SENSEX Index Options'!$B:$B,D$147)+SUMIFS('BSE - Other Index Options'!$M:$M,'BSE - Other Index Options'!$C:$C,$A194,'BSE - Other Index Options'!$B:$B,D$147))</f>
        <v/>
      </c>
      <c r="E194" s="26">
        <f>IF(SUMIFS('BSE - SENSEX Index Options'!$M:$M,'BSE - SENSEX Index Options'!$C:$C,$A194,'BSE - SENSEX Index Options'!$B:$B,E$147)+SUMIFS('BSE - Other Index Options'!$M:$M,'BSE - Other Index Options'!$C:$C,$A194,'BSE - Other Index Options'!$B:$B,E$147)=0,"",SUMIFS('BSE - SENSEX Index Options'!$M:$M,'BSE - SENSEX Index Options'!$C:$C,$A194,'BSE - SENSEX Index Options'!$B:$B,E$147)+SUMIFS('BSE - Other Index Options'!$M:$M,'BSE - Other Index Options'!$C:$C,$A194,'BSE - Other Index Options'!$B:$B,E$147))</f>
        <v/>
      </c>
      <c r="F194" s="26">
        <f>IF(SUMIFS('BSE - SENSEX Index Options'!$M:$M,'BSE - SENSEX Index Options'!$C:$C,$A194,'BSE - SENSEX Index Options'!$B:$B,F$147)+SUMIFS('BSE - Other Index Options'!$M:$M,'BSE - Other Index Options'!$C:$C,$A194,'BSE - Other Index Options'!$B:$B,F$147)=0,"",SUMIFS('BSE - SENSEX Index Options'!$M:$M,'BSE - SENSEX Index Options'!$C:$C,$A194,'BSE - SENSEX Index Options'!$B:$B,F$147)+SUMIFS('BSE - Other Index Options'!$M:$M,'BSE - Other Index Options'!$C:$C,$A194,'BSE - Other Index Options'!$B:$B,F$147))</f>
        <v/>
      </c>
      <c r="G194" s="26">
        <f>IF(SUMIFS('BSE - SENSEX Index Options'!$M:$M,'BSE - SENSEX Index Options'!$C:$C,$A194,'BSE - SENSEX Index Options'!$B:$B,G$147)+SUMIFS('BSE - Other Index Options'!$M:$M,'BSE - Other Index Options'!$C:$C,$A194,'BSE - Other Index Options'!$B:$B,G$147)=0,"",SUMIFS('BSE - SENSEX Index Options'!$M:$M,'BSE - SENSEX Index Options'!$C:$C,$A194,'BSE - SENSEX Index Options'!$B:$B,G$147)+SUMIFS('BSE - Other Index Options'!$M:$M,'BSE - Other Index Options'!$C:$C,$A194,'BSE - Other Index Options'!$B:$B,G$147))</f>
        <v/>
      </c>
      <c r="H194" s="26">
        <f>IF(SUM(B194:G194)=0,"",SUM(B194:G194))</f>
        <v/>
      </c>
    </row>
    <row r="195">
      <c r="A195" t="inlineStr">
        <is>
          <t>Week4-Jun-2026</t>
        </is>
      </c>
      <c r="B195" s="26">
        <f>IF(SUMIFS('BSE - SENSEX Index Options'!$M:$M,'BSE - SENSEX Index Options'!$C:$C,$A195,'BSE - SENSEX Index Options'!$B:$B,B$147)+SUMIFS('BSE - Other Index Options'!$M:$M,'BSE - Other Index Options'!$C:$C,$A195,'BSE - Other Index Options'!$B:$B,B$147)=0,"",SUMIFS('BSE - SENSEX Index Options'!$M:$M,'BSE - SENSEX Index Options'!$C:$C,$A195,'BSE - SENSEX Index Options'!$B:$B,B$147)+SUMIFS('BSE - Other Index Options'!$M:$M,'BSE - Other Index Options'!$C:$C,$A195,'BSE - Other Index Options'!$B:$B,B$147))</f>
        <v/>
      </c>
      <c r="C195" s="26">
        <f>IF(SUMIFS('BSE - SENSEX Index Options'!$M:$M,'BSE - SENSEX Index Options'!$C:$C,$A195,'BSE - SENSEX Index Options'!$B:$B,C$147)+SUMIFS('BSE - Other Index Options'!$M:$M,'BSE - Other Index Options'!$C:$C,$A195,'BSE - Other Index Options'!$B:$B,C$147)=0,"",SUMIFS('BSE - SENSEX Index Options'!$M:$M,'BSE - SENSEX Index Options'!$C:$C,$A195,'BSE - SENSEX Index Options'!$B:$B,C$147)+SUMIFS('BSE - Other Index Options'!$M:$M,'BSE - Other Index Options'!$C:$C,$A195,'BSE - Other Index Options'!$B:$B,C$147))</f>
        <v/>
      </c>
      <c r="D195" s="26">
        <f>IF(SUMIFS('BSE - SENSEX Index Options'!$M:$M,'BSE - SENSEX Index Options'!$C:$C,$A195,'BSE - SENSEX Index Options'!$B:$B,D$147)+SUMIFS('BSE - Other Index Options'!$M:$M,'BSE - Other Index Options'!$C:$C,$A195,'BSE - Other Index Options'!$B:$B,D$147)=0,"",SUMIFS('BSE - SENSEX Index Options'!$M:$M,'BSE - SENSEX Index Options'!$C:$C,$A195,'BSE - SENSEX Index Options'!$B:$B,D$147)+SUMIFS('BSE - Other Index Options'!$M:$M,'BSE - Other Index Options'!$C:$C,$A195,'BSE - Other Index Options'!$B:$B,D$147))</f>
        <v/>
      </c>
      <c r="E195" s="26">
        <f>IF(SUMIFS('BSE - SENSEX Index Options'!$M:$M,'BSE - SENSEX Index Options'!$C:$C,$A195,'BSE - SENSEX Index Options'!$B:$B,E$147)+SUMIFS('BSE - Other Index Options'!$M:$M,'BSE - Other Index Options'!$C:$C,$A195,'BSE - Other Index Options'!$B:$B,E$147)=0,"",SUMIFS('BSE - SENSEX Index Options'!$M:$M,'BSE - SENSEX Index Options'!$C:$C,$A195,'BSE - SENSEX Index Options'!$B:$B,E$147)+SUMIFS('BSE - Other Index Options'!$M:$M,'BSE - Other Index Options'!$C:$C,$A195,'BSE - Other Index Options'!$B:$B,E$147))</f>
        <v/>
      </c>
      <c r="F195" s="26">
        <f>IF(SUMIFS('BSE - SENSEX Index Options'!$M:$M,'BSE - SENSEX Index Options'!$C:$C,$A195,'BSE - SENSEX Index Options'!$B:$B,F$147)+SUMIFS('BSE - Other Index Options'!$M:$M,'BSE - Other Index Options'!$C:$C,$A195,'BSE - Other Index Options'!$B:$B,F$147)=0,"",SUMIFS('BSE - SENSEX Index Options'!$M:$M,'BSE - SENSEX Index Options'!$C:$C,$A195,'BSE - SENSEX Index Options'!$B:$B,F$147)+SUMIFS('BSE - Other Index Options'!$M:$M,'BSE - Other Index Options'!$C:$C,$A195,'BSE - Other Index Options'!$B:$B,F$147))</f>
        <v/>
      </c>
      <c r="G195" s="26">
        <f>IF(SUMIFS('BSE - SENSEX Index Options'!$M:$M,'BSE - SENSEX Index Options'!$C:$C,$A195,'BSE - SENSEX Index Options'!$B:$B,G$147)+SUMIFS('BSE - Other Index Options'!$M:$M,'BSE - Other Index Options'!$C:$C,$A195,'BSE - Other Index Options'!$B:$B,G$147)=0,"",SUMIFS('BSE - SENSEX Index Options'!$M:$M,'BSE - SENSEX Index Options'!$C:$C,$A195,'BSE - SENSEX Index Options'!$B:$B,G$147)+SUMIFS('BSE - Other Index Options'!$M:$M,'BSE - Other Index Options'!$C:$C,$A195,'BSE - Other Index Options'!$B:$B,G$147))</f>
        <v/>
      </c>
      <c r="H195" s="26">
        <f>IF(SUM(B195:G195)=0,"",SUM(B195:G195))</f>
        <v/>
      </c>
    </row>
    <row r="196">
      <c r="A196" t="inlineStr">
        <is>
          <t>Week5-Jun-2026</t>
        </is>
      </c>
      <c r="B196" s="26">
        <f>IF(SUMIFS('BSE - SENSEX Index Options'!$M:$M,'BSE - SENSEX Index Options'!$C:$C,$A196,'BSE - SENSEX Index Options'!$B:$B,B$147)+SUMIFS('BSE - Other Index Options'!$M:$M,'BSE - Other Index Options'!$C:$C,$A196,'BSE - Other Index Options'!$B:$B,B$147)=0,"",SUMIFS('BSE - SENSEX Index Options'!$M:$M,'BSE - SENSEX Index Options'!$C:$C,$A196,'BSE - SENSEX Index Options'!$B:$B,B$147)+SUMIFS('BSE - Other Index Options'!$M:$M,'BSE - Other Index Options'!$C:$C,$A196,'BSE - Other Index Options'!$B:$B,B$147))</f>
        <v/>
      </c>
      <c r="C196" s="26">
        <f>IF(SUMIFS('BSE - SENSEX Index Options'!$M:$M,'BSE - SENSEX Index Options'!$C:$C,$A196,'BSE - SENSEX Index Options'!$B:$B,C$147)+SUMIFS('BSE - Other Index Options'!$M:$M,'BSE - Other Index Options'!$C:$C,$A196,'BSE - Other Index Options'!$B:$B,C$147)=0,"",SUMIFS('BSE - SENSEX Index Options'!$M:$M,'BSE - SENSEX Index Options'!$C:$C,$A196,'BSE - SENSEX Index Options'!$B:$B,C$147)+SUMIFS('BSE - Other Index Options'!$M:$M,'BSE - Other Index Options'!$C:$C,$A196,'BSE - Other Index Options'!$B:$B,C$147))</f>
        <v/>
      </c>
      <c r="D196" s="26">
        <f>IF(SUMIFS('BSE - SENSEX Index Options'!$M:$M,'BSE - SENSEX Index Options'!$C:$C,$A196,'BSE - SENSEX Index Options'!$B:$B,D$147)+SUMIFS('BSE - Other Index Options'!$M:$M,'BSE - Other Index Options'!$C:$C,$A196,'BSE - Other Index Options'!$B:$B,D$147)=0,"",SUMIFS('BSE - SENSEX Index Options'!$M:$M,'BSE - SENSEX Index Options'!$C:$C,$A196,'BSE - SENSEX Index Options'!$B:$B,D$147)+SUMIFS('BSE - Other Index Options'!$M:$M,'BSE - Other Index Options'!$C:$C,$A196,'BSE - Other Index Options'!$B:$B,D$147))</f>
        <v/>
      </c>
      <c r="E196" s="26">
        <f>IF(SUMIFS('BSE - SENSEX Index Options'!$M:$M,'BSE - SENSEX Index Options'!$C:$C,$A196,'BSE - SENSEX Index Options'!$B:$B,E$147)+SUMIFS('BSE - Other Index Options'!$M:$M,'BSE - Other Index Options'!$C:$C,$A196,'BSE - Other Index Options'!$B:$B,E$147)=0,"",SUMIFS('BSE - SENSEX Index Options'!$M:$M,'BSE - SENSEX Index Options'!$C:$C,$A196,'BSE - SENSEX Index Options'!$B:$B,E$147)+SUMIFS('BSE - Other Index Options'!$M:$M,'BSE - Other Index Options'!$C:$C,$A196,'BSE - Other Index Options'!$B:$B,E$147))</f>
        <v/>
      </c>
      <c r="F196" s="26">
        <f>IF(SUMIFS('BSE - SENSEX Index Options'!$M:$M,'BSE - SENSEX Index Options'!$C:$C,$A196,'BSE - SENSEX Index Options'!$B:$B,F$147)+SUMIFS('BSE - Other Index Options'!$M:$M,'BSE - Other Index Options'!$C:$C,$A196,'BSE - Other Index Options'!$B:$B,F$147)=0,"",SUMIFS('BSE - SENSEX Index Options'!$M:$M,'BSE - SENSEX Index Options'!$C:$C,$A196,'BSE - SENSEX Index Options'!$B:$B,F$147)+SUMIFS('BSE - Other Index Options'!$M:$M,'BSE - Other Index Options'!$C:$C,$A196,'BSE - Other Index Options'!$B:$B,F$147))</f>
        <v/>
      </c>
      <c r="G196" s="26">
        <f>IF(SUMIFS('BSE - SENSEX Index Options'!$M:$M,'BSE - SENSEX Index Options'!$C:$C,$A196,'BSE - SENSEX Index Options'!$B:$B,G$147)+SUMIFS('BSE - Other Index Options'!$M:$M,'BSE - Other Index Options'!$C:$C,$A196,'BSE - Other Index Options'!$B:$B,G$147)=0,"",SUMIFS('BSE - SENSEX Index Options'!$M:$M,'BSE - SENSEX Index Options'!$C:$C,$A196,'BSE - SENSEX Index Options'!$B:$B,G$147)+SUMIFS('BSE - Other Index Options'!$M:$M,'BSE - Other Index Options'!$C:$C,$A196,'BSE - Other Index Options'!$B:$B,G$147))</f>
        <v/>
      </c>
      <c r="H196" s="26">
        <f>IF(SUM(B196:G196)=0,"",SUM(B196:G196))</f>
        <v/>
      </c>
    </row>
    <row r="197">
      <c r="A197" t="inlineStr">
        <is>
          <t>Week1-Jul-2026</t>
        </is>
      </c>
      <c r="B197" s="26">
        <f>IF(SUMIFS('BSE - SENSEX Index Options'!$M:$M,'BSE - SENSEX Index Options'!$C:$C,$A197,'BSE - SENSEX Index Options'!$B:$B,B$147)+SUMIFS('BSE - Other Index Options'!$M:$M,'BSE - Other Index Options'!$C:$C,$A197,'BSE - Other Index Options'!$B:$B,B$147)=0,"",SUMIFS('BSE - SENSEX Index Options'!$M:$M,'BSE - SENSEX Index Options'!$C:$C,$A197,'BSE - SENSEX Index Options'!$B:$B,B$147)+SUMIFS('BSE - Other Index Options'!$M:$M,'BSE - Other Index Options'!$C:$C,$A197,'BSE - Other Index Options'!$B:$B,B$147))</f>
        <v/>
      </c>
      <c r="C197" s="26">
        <f>IF(SUMIFS('BSE - SENSEX Index Options'!$M:$M,'BSE - SENSEX Index Options'!$C:$C,$A197,'BSE - SENSEX Index Options'!$B:$B,C$147)+SUMIFS('BSE - Other Index Options'!$M:$M,'BSE - Other Index Options'!$C:$C,$A197,'BSE - Other Index Options'!$B:$B,C$147)=0,"",SUMIFS('BSE - SENSEX Index Options'!$M:$M,'BSE - SENSEX Index Options'!$C:$C,$A197,'BSE - SENSEX Index Options'!$B:$B,C$147)+SUMIFS('BSE - Other Index Options'!$M:$M,'BSE - Other Index Options'!$C:$C,$A197,'BSE - Other Index Options'!$B:$B,C$147))</f>
        <v/>
      </c>
      <c r="D197" s="26">
        <f>IF(SUMIFS('BSE - SENSEX Index Options'!$M:$M,'BSE - SENSEX Index Options'!$C:$C,$A197,'BSE - SENSEX Index Options'!$B:$B,D$147)+SUMIFS('BSE - Other Index Options'!$M:$M,'BSE - Other Index Options'!$C:$C,$A197,'BSE - Other Index Options'!$B:$B,D$147)=0,"",SUMIFS('BSE - SENSEX Index Options'!$M:$M,'BSE - SENSEX Index Options'!$C:$C,$A197,'BSE - SENSEX Index Options'!$B:$B,D$147)+SUMIFS('BSE - Other Index Options'!$M:$M,'BSE - Other Index Options'!$C:$C,$A197,'BSE - Other Index Options'!$B:$B,D$147))</f>
        <v/>
      </c>
      <c r="E197" s="26">
        <f>IF(SUMIFS('BSE - SENSEX Index Options'!$M:$M,'BSE - SENSEX Index Options'!$C:$C,$A197,'BSE - SENSEX Index Options'!$B:$B,E$147)+SUMIFS('BSE - Other Index Options'!$M:$M,'BSE - Other Index Options'!$C:$C,$A197,'BSE - Other Index Options'!$B:$B,E$147)=0,"",SUMIFS('BSE - SENSEX Index Options'!$M:$M,'BSE - SENSEX Index Options'!$C:$C,$A197,'BSE - SENSEX Index Options'!$B:$B,E$147)+SUMIFS('BSE - Other Index Options'!$M:$M,'BSE - Other Index Options'!$C:$C,$A197,'BSE - Other Index Options'!$B:$B,E$147))</f>
        <v/>
      </c>
      <c r="F197" s="26">
        <f>IF(SUMIFS('BSE - SENSEX Index Options'!$M:$M,'BSE - SENSEX Index Options'!$C:$C,$A197,'BSE - SENSEX Index Options'!$B:$B,F$147)+SUMIFS('BSE - Other Index Options'!$M:$M,'BSE - Other Index Options'!$C:$C,$A197,'BSE - Other Index Options'!$B:$B,F$147)=0,"",SUMIFS('BSE - SENSEX Index Options'!$M:$M,'BSE - SENSEX Index Options'!$C:$C,$A197,'BSE - SENSEX Index Options'!$B:$B,F$147)+SUMIFS('BSE - Other Index Options'!$M:$M,'BSE - Other Index Options'!$C:$C,$A197,'BSE - Other Index Options'!$B:$B,F$147))</f>
        <v/>
      </c>
      <c r="G197" s="26">
        <f>IF(SUMIFS('BSE - SENSEX Index Options'!$M:$M,'BSE - SENSEX Index Options'!$C:$C,$A197,'BSE - SENSEX Index Options'!$B:$B,G$147)+SUMIFS('BSE - Other Index Options'!$M:$M,'BSE - Other Index Options'!$C:$C,$A197,'BSE - Other Index Options'!$B:$B,G$147)=0,"",SUMIFS('BSE - SENSEX Index Options'!$M:$M,'BSE - SENSEX Index Options'!$C:$C,$A197,'BSE - SENSEX Index Options'!$B:$B,G$147)+SUMIFS('BSE - Other Index Options'!$M:$M,'BSE - Other Index Options'!$C:$C,$A197,'BSE - Other Index Options'!$B:$B,G$147))</f>
        <v/>
      </c>
      <c r="H197" s="26">
        <f>IF(SUM(B197:G197)=0,"",SUM(B197:G197))</f>
        <v/>
      </c>
    </row>
    <row r="198">
      <c r="A198" t="inlineStr">
        <is>
          <t>Week2-Jul-2026</t>
        </is>
      </c>
      <c r="B198" s="26">
        <f>IF(SUMIFS('BSE - SENSEX Index Options'!$M:$M,'BSE - SENSEX Index Options'!$C:$C,$A198,'BSE - SENSEX Index Options'!$B:$B,B$147)+SUMIFS('BSE - Other Index Options'!$M:$M,'BSE - Other Index Options'!$C:$C,$A198,'BSE - Other Index Options'!$B:$B,B$147)=0,"",SUMIFS('BSE - SENSEX Index Options'!$M:$M,'BSE - SENSEX Index Options'!$C:$C,$A198,'BSE - SENSEX Index Options'!$B:$B,B$147)+SUMIFS('BSE - Other Index Options'!$M:$M,'BSE - Other Index Options'!$C:$C,$A198,'BSE - Other Index Options'!$B:$B,B$147))</f>
        <v/>
      </c>
      <c r="C198" s="26">
        <f>IF(SUMIFS('BSE - SENSEX Index Options'!$M:$M,'BSE - SENSEX Index Options'!$C:$C,$A198,'BSE - SENSEX Index Options'!$B:$B,C$147)+SUMIFS('BSE - Other Index Options'!$M:$M,'BSE - Other Index Options'!$C:$C,$A198,'BSE - Other Index Options'!$B:$B,C$147)=0,"",SUMIFS('BSE - SENSEX Index Options'!$M:$M,'BSE - SENSEX Index Options'!$C:$C,$A198,'BSE - SENSEX Index Options'!$B:$B,C$147)+SUMIFS('BSE - Other Index Options'!$M:$M,'BSE - Other Index Options'!$C:$C,$A198,'BSE - Other Index Options'!$B:$B,C$147))</f>
        <v/>
      </c>
      <c r="D198" s="26">
        <f>IF(SUMIFS('BSE - SENSEX Index Options'!$M:$M,'BSE - SENSEX Index Options'!$C:$C,$A198,'BSE - SENSEX Index Options'!$B:$B,D$147)+SUMIFS('BSE - Other Index Options'!$M:$M,'BSE - Other Index Options'!$C:$C,$A198,'BSE - Other Index Options'!$B:$B,D$147)=0,"",SUMIFS('BSE - SENSEX Index Options'!$M:$M,'BSE - SENSEX Index Options'!$C:$C,$A198,'BSE - SENSEX Index Options'!$B:$B,D$147)+SUMIFS('BSE - Other Index Options'!$M:$M,'BSE - Other Index Options'!$C:$C,$A198,'BSE - Other Index Options'!$B:$B,D$147))</f>
        <v/>
      </c>
      <c r="E198" s="26">
        <f>IF(SUMIFS('BSE - SENSEX Index Options'!$M:$M,'BSE - SENSEX Index Options'!$C:$C,$A198,'BSE - SENSEX Index Options'!$B:$B,E$147)+SUMIFS('BSE - Other Index Options'!$M:$M,'BSE - Other Index Options'!$C:$C,$A198,'BSE - Other Index Options'!$B:$B,E$147)=0,"",SUMIFS('BSE - SENSEX Index Options'!$M:$M,'BSE - SENSEX Index Options'!$C:$C,$A198,'BSE - SENSEX Index Options'!$B:$B,E$147)+SUMIFS('BSE - Other Index Options'!$M:$M,'BSE - Other Index Options'!$C:$C,$A198,'BSE - Other Index Options'!$B:$B,E$147))</f>
        <v/>
      </c>
      <c r="F198" s="26">
        <f>IF(SUMIFS('BSE - SENSEX Index Options'!$M:$M,'BSE - SENSEX Index Options'!$C:$C,$A198,'BSE - SENSEX Index Options'!$B:$B,F$147)+SUMIFS('BSE - Other Index Options'!$M:$M,'BSE - Other Index Options'!$C:$C,$A198,'BSE - Other Index Options'!$B:$B,F$147)=0,"",SUMIFS('BSE - SENSEX Index Options'!$M:$M,'BSE - SENSEX Index Options'!$C:$C,$A198,'BSE - SENSEX Index Options'!$B:$B,F$147)+SUMIFS('BSE - Other Index Options'!$M:$M,'BSE - Other Index Options'!$C:$C,$A198,'BSE - Other Index Options'!$B:$B,F$147))</f>
        <v/>
      </c>
      <c r="G198" s="26">
        <f>IF(SUMIFS('BSE - SENSEX Index Options'!$M:$M,'BSE - SENSEX Index Options'!$C:$C,$A198,'BSE - SENSEX Index Options'!$B:$B,G$147)+SUMIFS('BSE - Other Index Options'!$M:$M,'BSE - Other Index Options'!$C:$C,$A198,'BSE - Other Index Options'!$B:$B,G$147)=0,"",SUMIFS('BSE - SENSEX Index Options'!$M:$M,'BSE - SENSEX Index Options'!$C:$C,$A198,'BSE - SENSEX Index Options'!$B:$B,G$147)+SUMIFS('BSE - Other Index Options'!$M:$M,'BSE - Other Index Options'!$C:$C,$A198,'BSE - Other Index Options'!$B:$B,G$147))</f>
        <v/>
      </c>
      <c r="H198" s="26">
        <f>IF(SUM(B198:G198)=0,"",SUM(B198:G198))</f>
        <v/>
      </c>
    </row>
    <row r="199">
      <c r="A199" t="inlineStr">
        <is>
          <t>Week3-Jul-2026</t>
        </is>
      </c>
      <c r="B199" s="26">
        <f>IF(SUMIFS('BSE - SENSEX Index Options'!$M:$M,'BSE - SENSEX Index Options'!$C:$C,$A199,'BSE - SENSEX Index Options'!$B:$B,B$147)+SUMIFS('BSE - Other Index Options'!$M:$M,'BSE - Other Index Options'!$C:$C,$A199,'BSE - Other Index Options'!$B:$B,B$147)=0,"",SUMIFS('BSE - SENSEX Index Options'!$M:$M,'BSE - SENSEX Index Options'!$C:$C,$A199,'BSE - SENSEX Index Options'!$B:$B,B$147)+SUMIFS('BSE - Other Index Options'!$M:$M,'BSE - Other Index Options'!$C:$C,$A199,'BSE - Other Index Options'!$B:$B,B$147))</f>
        <v/>
      </c>
      <c r="C199" s="26">
        <f>IF(SUMIFS('BSE - SENSEX Index Options'!$M:$M,'BSE - SENSEX Index Options'!$C:$C,$A199,'BSE - SENSEX Index Options'!$B:$B,C$147)+SUMIFS('BSE - Other Index Options'!$M:$M,'BSE - Other Index Options'!$C:$C,$A199,'BSE - Other Index Options'!$B:$B,C$147)=0,"",SUMIFS('BSE - SENSEX Index Options'!$M:$M,'BSE - SENSEX Index Options'!$C:$C,$A199,'BSE - SENSEX Index Options'!$B:$B,C$147)+SUMIFS('BSE - Other Index Options'!$M:$M,'BSE - Other Index Options'!$C:$C,$A199,'BSE - Other Index Options'!$B:$B,C$147))</f>
        <v/>
      </c>
      <c r="D199" s="26">
        <f>IF(SUMIFS('BSE - SENSEX Index Options'!$M:$M,'BSE - SENSEX Index Options'!$C:$C,$A199,'BSE - SENSEX Index Options'!$B:$B,D$147)+SUMIFS('BSE - Other Index Options'!$M:$M,'BSE - Other Index Options'!$C:$C,$A199,'BSE - Other Index Options'!$B:$B,D$147)=0,"",SUMIFS('BSE - SENSEX Index Options'!$M:$M,'BSE - SENSEX Index Options'!$C:$C,$A199,'BSE - SENSEX Index Options'!$B:$B,D$147)+SUMIFS('BSE - Other Index Options'!$M:$M,'BSE - Other Index Options'!$C:$C,$A199,'BSE - Other Index Options'!$B:$B,D$147))</f>
        <v/>
      </c>
      <c r="E199" s="26">
        <f>IF(SUMIFS('BSE - SENSEX Index Options'!$M:$M,'BSE - SENSEX Index Options'!$C:$C,$A199,'BSE - SENSEX Index Options'!$B:$B,E$147)+SUMIFS('BSE - Other Index Options'!$M:$M,'BSE - Other Index Options'!$C:$C,$A199,'BSE - Other Index Options'!$B:$B,E$147)=0,"",SUMIFS('BSE - SENSEX Index Options'!$M:$M,'BSE - SENSEX Index Options'!$C:$C,$A199,'BSE - SENSEX Index Options'!$B:$B,E$147)+SUMIFS('BSE - Other Index Options'!$M:$M,'BSE - Other Index Options'!$C:$C,$A199,'BSE - Other Index Options'!$B:$B,E$147))</f>
        <v/>
      </c>
      <c r="F199" s="26">
        <f>IF(SUMIFS('BSE - SENSEX Index Options'!$M:$M,'BSE - SENSEX Index Options'!$C:$C,$A199,'BSE - SENSEX Index Options'!$B:$B,F$147)+SUMIFS('BSE - Other Index Options'!$M:$M,'BSE - Other Index Options'!$C:$C,$A199,'BSE - Other Index Options'!$B:$B,F$147)=0,"",SUMIFS('BSE - SENSEX Index Options'!$M:$M,'BSE - SENSEX Index Options'!$C:$C,$A199,'BSE - SENSEX Index Options'!$B:$B,F$147)+SUMIFS('BSE - Other Index Options'!$M:$M,'BSE - Other Index Options'!$C:$C,$A199,'BSE - Other Index Options'!$B:$B,F$147))</f>
        <v/>
      </c>
      <c r="G199" s="26">
        <f>IF(SUMIFS('BSE - SENSEX Index Options'!$M:$M,'BSE - SENSEX Index Options'!$C:$C,$A199,'BSE - SENSEX Index Options'!$B:$B,G$147)+SUMIFS('BSE - Other Index Options'!$M:$M,'BSE - Other Index Options'!$C:$C,$A199,'BSE - Other Index Options'!$B:$B,G$147)=0,"",SUMIFS('BSE - SENSEX Index Options'!$M:$M,'BSE - SENSEX Index Options'!$C:$C,$A199,'BSE - SENSEX Index Options'!$B:$B,G$147)+SUMIFS('BSE - Other Index Options'!$M:$M,'BSE - Other Index Options'!$C:$C,$A199,'BSE - Other Index Options'!$B:$B,G$147))</f>
        <v/>
      </c>
      <c r="H199" s="26">
        <f>IF(SUM(B199:G199)=0,"",SUM(B199:G199))</f>
        <v/>
      </c>
    </row>
    <row r="200">
      <c r="A200" t="inlineStr">
        <is>
          <t>Week4-Jul-2026</t>
        </is>
      </c>
      <c r="B200" s="26">
        <f>IF(SUMIFS('BSE - SENSEX Index Options'!$M:$M,'BSE - SENSEX Index Options'!$C:$C,$A200,'BSE - SENSEX Index Options'!$B:$B,B$147)+SUMIFS('BSE - Other Index Options'!$M:$M,'BSE - Other Index Options'!$C:$C,$A200,'BSE - Other Index Options'!$B:$B,B$147)=0,"",SUMIFS('BSE - SENSEX Index Options'!$M:$M,'BSE - SENSEX Index Options'!$C:$C,$A200,'BSE - SENSEX Index Options'!$B:$B,B$147)+SUMIFS('BSE - Other Index Options'!$M:$M,'BSE - Other Index Options'!$C:$C,$A200,'BSE - Other Index Options'!$B:$B,B$147))</f>
        <v/>
      </c>
      <c r="C200" s="26">
        <f>IF(SUMIFS('BSE - SENSEX Index Options'!$M:$M,'BSE - SENSEX Index Options'!$C:$C,$A200,'BSE - SENSEX Index Options'!$B:$B,C$147)+SUMIFS('BSE - Other Index Options'!$M:$M,'BSE - Other Index Options'!$C:$C,$A200,'BSE - Other Index Options'!$B:$B,C$147)=0,"",SUMIFS('BSE - SENSEX Index Options'!$M:$M,'BSE - SENSEX Index Options'!$C:$C,$A200,'BSE - SENSEX Index Options'!$B:$B,C$147)+SUMIFS('BSE - Other Index Options'!$M:$M,'BSE - Other Index Options'!$C:$C,$A200,'BSE - Other Index Options'!$B:$B,C$147))</f>
        <v/>
      </c>
      <c r="D200" s="26">
        <f>IF(SUMIFS('BSE - SENSEX Index Options'!$M:$M,'BSE - SENSEX Index Options'!$C:$C,$A200,'BSE - SENSEX Index Options'!$B:$B,D$147)+SUMIFS('BSE - Other Index Options'!$M:$M,'BSE - Other Index Options'!$C:$C,$A200,'BSE - Other Index Options'!$B:$B,D$147)=0,"",SUMIFS('BSE - SENSEX Index Options'!$M:$M,'BSE - SENSEX Index Options'!$C:$C,$A200,'BSE - SENSEX Index Options'!$B:$B,D$147)+SUMIFS('BSE - Other Index Options'!$M:$M,'BSE - Other Index Options'!$C:$C,$A200,'BSE - Other Index Options'!$B:$B,D$147))</f>
        <v/>
      </c>
      <c r="E200" s="26">
        <f>IF(SUMIFS('BSE - SENSEX Index Options'!$M:$M,'BSE - SENSEX Index Options'!$C:$C,$A200,'BSE - SENSEX Index Options'!$B:$B,E$147)+SUMIFS('BSE - Other Index Options'!$M:$M,'BSE - Other Index Options'!$C:$C,$A200,'BSE - Other Index Options'!$B:$B,E$147)=0,"",SUMIFS('BSE - SENSEX Index Options'!$M:$M,'BSE - SENSEX Index Options'!$C:$C,$A200,'BSE - SENSEX Index Options'!$B:$B,E$147)+SUMIFS('BSE - Other Index Options'!$M:$M,'BSE - Other Index Options'!$C:$C,$A200,'BSE - Other Index Options'!$B:$B,E$147))</f>
        <v/>
      </c>
      <c r="F200" s="26">
        <f>IF(SUMIFS('BSE - SENSEX Index Options'!$M:$M,'BSE - SENSEX Index Options'!$C:$C,$A200,'BSE - SENSEX Index Options'!$B:$B,F$147)+SUMIFS('BSE - Other Index Options'!$M:$M,'BSE - Other Index Options'!$C:$C,$A200,'BSE - Other Index Options'!$B:$B,F$147)=0,"",SUMIFS('BSE - SENSEX Index Options'!$M:$M,'BSE - SENSEX Index Options'!$C:$C,$A200,'BSE - SENSEX Index Options'!$B:$B,F$147)+SUMIFS('BSE - Other Index Options'!$M:$M,'BSE - Other Index Options'!$C:$C,$A200,'BSE - Other Index Options'!$B:$B,F$147))</f>
        <v/>
      </c>
      <c r="G200" s="26">
        <f>IF(SUMIFS('BSE - SENSEX Index Options'!$M:$M,'BSE - SENSEX Index Options'!$C:$C,$A200,'BSE - SENSEX Index Options'!$B:$B,G$147)+SUMIFS('BSE - Other Index Options'!$M:$M,'BSE - Other Index Options'!$C:$C,$A200,'BSE - Other Index Options'!$B:$B,G$147)=0,"",SUMIFS('BSE - SENSEX Index Options'!$M:$M,'BSE - SENSEX Index Options'!$C:$C,$A200,'BSE - SENSEX Index Options'!$B:$B,G$147)+SUMIFS('BSE - Other Index Options'!$M:$M,'BSE - Other Index Options'!$C:$C,$A200,'BSE - Other Index Options'!$B:$B,G$147))</f>
        <v/>
      </c>
      <c r="H200" s="26">
        <f>IF(SUM(B200:G200)=0,"",SUM(B200:G200))</f>
        <v/>
      </c>
    </row>
    <row r="201">
      <c r="A201" t="inlineStr">
        <is>
          <t>Week5-Jul-2026</t>
        </is>
      </c>
      <c r="B201" s="26">
        <f>IF(SUMIFS('BSE - SENSEX Index Options'!$M:$M,'BSE - SENSEX Index Options'!$C:$C,$A201,'BSE - SENSEX Index Options'!$B:$B,B$147)+SUMIFS('BSE - Other Index Options'!$M:$M,'BSE - Other Index Options'!$C:$C,$A201,'BSE - Other Index Options'!$B:$B,B$147)=0,"",SUMIFS('BSE - SENSEX Index Options'!$M:$M,'BSE - SENSEX Index Options'!$C:$C,$A201,'BSE - SENSEX Index Options'!$B:$B,B$147)+SUMIFS('BSE - Other Index Options'!$M:$M,'BSE - Other Index Options'!$C:$C,$A201,'BSE - Other Index Options'!$B:$B,B$147))</f>
        <v/>
      </c>
      <c r="C201" s="26">
        <f>IF(SUMIFS('BSE - SENSEX Index Options'!$M:$M,'BSE - SENSEX Index Options'!$C:$C,$A201,'BSE - SENSEX Index Options'!$B:$B,C$147)+SUMIFS('BSE - Other Index Options'!$M:$M,'BSE - Other Index Options'!$C:$C,$A201,'BSE - Other Index Options'!$B:$B,C$147)=0,"",SUMIFS('BSE - SENSEX Index Options'!$M:$M,'BSE - SENSEX Index Options'!$C:$C,$A201,'BSE - SENSEX Index Options'!$B:$B,C$147)+SUMIFS('BSE - Other Index Options'!$M:$M,'BSE - Other Index Options'!$C:$C,$A201,'BSE - Other Index Options'!$B:$B,C$147))</f>
        <v/>
      </c>
      <c r="D201" s="26">
        <f>IF(SUMIFS('BSE - SENSEX Index Options'!$M:$M,'BSE - SENSEX Index Options'!$C:$C,$A201,'BSE - SENSEX Index Options'!$B:$B,D$147)+SUMIFS('BSE - Other Index Options'!$M:$M,'BSE - Other Index Options'!$C:$C,$A201,'BSE - Other Index Options'!$B:$B,D$147)=0,"",SUMIFS('BSE - SENSEX Index Options'!$M:$M,'BSE - SENSEX Index Options'!$C:$C,$A201,'BSE - SENSEX Index Options'!$B:$B,D$147)+SUMIFS('BSE - Other Index Options'!$M:$M,'BSE - Other Index Options'!$C:$C,$A201,'BSE - Other Index Options'!$B:$B,D$147))</f>
        <v/>
      </c>
      <c r="E201" s="26">
        <f>IF(SUMIFS('BSE - SENSEX Index Options'!$M:$M,'BSE - SENSEX Index Options'!$C:$C,$A201,'BSE - SENSEX Index Options'!$B:$B,E$147)+SUMIFS('BSE - Other Index Options'!$M:$M,'BSE - Other Index Options'!$C:$C,$A201,'BSE - Other Index Options'!$B:$B,E$147)=0,"",SUMIFS('BSE - SENSEX Index Options'!$M:$M,'BSE - SENSEX Index Options'!$C:$C,$A201,'BSE - SENSEX Index Options'!$B:$B,E$147)+SUMIFS('BSE - Other Index Options'!$M:$M,'BSE - Other Index Options'!$C:$C,$A201,'BSE - Other Index Options'!$B:$B,E$147))</f>
        <v/>
      </c>
      <c r="F201" s="26">
        <f>IF(SUMIFS('BSE - SENSEX Index Options'!$M:$M,'BSE - SENSEX Index Options'!$C:$C,$A201,'BSE - SENSEX Index Options'!$B:$B,F$147)+SUMIFS('BSE - Other Index Options'!$M:$M,'BSE - Other Index Options'!$C:$C,$A201,'BSE - Other Index Options'!$B:$B,F$147)=0,"",SUMIFS('BSE - SENSEX Index Options'!$M:$M,'BSE - SENSEX Index Options'!$C:$C,$A201,'BSE - SENSEX Index Options'!$B:$B,F$147)+SUMIFS('BSE - Other Index Options'!$M:$M,'BSE - Other Index Options'!$C:$C,$A201,'BSE - Other Index Options'!$B:$B,F$147))</f>
        <v/>
      </c>
      <c r="G201" s="26">
        <f>IF(SUMIFS('BSE - SENSEX Index Options'!$M:$M,'BSE - SENSEX Index Options'!$C:$C,$A201,'BSE - SENSEX Index Options'!$B:$B,G$147)+SUMIFS('BSE - Other Index Options'!$M:$M,'BSE - Other Index Options'!$C:$C,$A201,'BSE - Other Index Options'!$B:$B,G$147)=0,"",SUMIFS('BSE - SENSEX Index Options'!$M:$M,'BSE - SENSEX Index Options'!$C:$C,$A201,'BSE - SENSEX Index Options'!$B:$B,G$147)+SUMIFS('BSE - Other Index Options'!$M:$M,'BSE - Other Index Options'!$C:$C,$A201,'BSE - Other Index Options'!$B:$B,G$147))</f>
        <v/>
      </c>
      <c r="H201" s="26">
        <f>IF(SUM(B201:G201)=0,"",SUM(B201:G201))</f>
        <v/>
      </c>
    </row>
    <row r="202">
      <c r="A202" t="inlineStr">
        <is>
          <t>Week1-Aug-2026</t>
        </is>
      </c>
      <c r="B202" s="26">
        <f>IF(SUMIFS('BSE - SENSEX Index Options'!$M:$M,'BSE - SENSEX Index Options'!$C:$C,$A202,'BSE - SENSEX Index Options'!$B:$B,B$147)+SUMIFS('BSE - Other Index Options'!$M:$M,'BSE - Other Index Options'!$C:$C,$A202,'BSE - Other Index Options'!$B:$B,B$147)=0,"",SUMIFS('BSE - SENSEX Index Options'!$M:$M,'BSE - SENSEX Index Options'!$C:$C,$A202,'BSE - SENSEX Index Options'!$B:$B,B$147)+SUMIFS('BSE - Other Index Options'!$M:$M,'BSE - Other Index Options'!$C:$C,$A202,'BSE - Other Index Options'!$B:$B,B$147))</f>
        <v/>
      </c>
      <c r="C202" s="26">
        <f>IF(SUMIFS('BSE - SENSEX Index Options'!$M:$M,'BSE - SENSEX Index Options'!$C:$C,$A202,'BSE - SENSEX Index Options'!$B:$B,C$147)+SUMIFS('BSE - Other Index Options'!$M:$M,'BSE - Other Index Options'!$C:$C,$A202,'BSE - Other Index Options'!$B:$B,C$147)=0,"",SUMIFS('BSE - SENSEX Index Options'!$M:$M,'BSE - SENSEX Index Options'!$C:$C,$A202,'BSE - SENSEX Index Options'!$B:$B,C$147)+SUMIFS('BSE - Other Index Options'!$M:$M,'BSE - Other Index Options'!$C:$C,$A202,'BSE - Other Index Options'!$B:$B,C$147))</f>
        <v/>
      </c>
      <c r="D202" s="26">
        <f>IF(SUMIFS('BSE - SENSEX Index Options'!$M:$M,'BSE - SENSEX Index Options'!$C:$C,$A202,'BSE - SENSEX Index Options'!$B:$B,D$147)+SUMIFS('BSE - Other Index Options'!$M:$M,'BSE - Other Index Options'!$C:$C,$A202,'BSE - Other Index Options'!$B:$B,D$147)=0,"",SUMIFS('BSE - SENSEX Index Options'!$M:$M,'BSE - SENSEX Index Options'!$C:$C,$A202,'BSE - SENSEX Index Options'!$B:$B,D$147)+SUMIFS('BSE - Other Index Options'!$M:$M,'BSE - Other Index Options'!$C:$C,$A202,'BSE - Other Index Options'!$B:$B,D$147))</f>
        <v/>
      </c>
      <c r="E202" s="26">
        <f>IF(SUMIFS('BSE - SENSEX Index Options'!$M:$M,'BSE - SENSEX Index Options'!$C:$C,$A202,'BSE - SENSEX Index Options'!$B:$B,E$147)+SUMIFS('BSE - Other Index Options'!$M:$M,'BSE - Other Index Options'!$C:$C,$A202,'BSE - Other Index Options'!$B:$B,E$147)=0,"",SUMIFS('BSE - SENSEX Index Options'!$M:$M,'BSE - SENSEX Index Options'!$C:$C,$A202,'BSE - SENSEX Index Options'!$B:$B,E$147)+SUMIFS('BSE - Other Index Options'!$M:$M,'BSE - Other Index Options'!$C:$C,$A202,'BSE - Other Index Options'!$B:$B,E$147))</f>
        <v/>
      </c>
      <c r="F202" s="26">
        <f>IF(SUMIFS('BSE - SENSEX Index Options'!$M:$M,'BSE - SENSEX Index Options'!$C:$C,$A202,'BSE - SENSEX Index Options'!$B:$B,F$147)+SUMIFS('BSE - Other Index Options'!$M:$M,'BSE - Other Index Options'!$C:$C,$A202,'BSE - Other Index Options'!$B:$B,F$147)=0,"",SUMIFS('BSE - SENSEX Index Options'!$M:$M,'BSE - SENSEX Index Options'!$C:$C,$A202,'BSE - SENSEX Index Options'!$B:$B,F$147)+SUMIFS('BSE - Other Index Options'!$M:$M,'BSE - Other Index Options'!$C:$C,$A202,'BSE - Other Index Options'!$B:$B,F$147))</f>
        <v/>
      </c>
      <c r="G202" s="26">
        <f>IF(SUMIFS('BSE - SENSEX Index Options'!$M:$M,'BSE - SENSEX Index Options'!$C:$C,$A202,'BSE - SENSEX Index Options'!$B:$B,G$147)+SUMIFS('BSE - Other Index Options'!$M:$M,'BSE - Other Index Options'!$C:$C,$A202,'BSE - Other Index Options'!$B:$B,G$147)=0,"",SUMIFS('BSE - SENSEX Index Options'!$M:$M,'BSE - SENSEX Index Options'!$C:$C,$A202,'BSE - SENSEX Index Options'!$B:$B,G$147)+SUMIFS('BSE - Other Index Options'!$M:$M,'BSE - Other Index Options'!$C:$C,$A202,'BSE - Other Index Options'!$B:$B,G$147))</f>
        <v/>
      </c>
      <c r="H202" s="26">
        <f>IF(SUM(B202:G202)=0,"",SUM(B202:G202))</f>
        <v/>
      </c>
    </row>
    <row r="203" hidden="1" outlineLevel="1">
      <c r="A203" t="inlineStr">
        <is>
          <t>Week2-Aug-2026</t>
        </is>
      </c>
      <c r="B203" s="26">
        <f>IF(SUMIFS('BSE - SENSEX Index Options'!$M:$M,'BSE - SENSEX Index Options'!$C:$C,$A203,'BSE - SENSEX Index Options'!$B:$B,B$147)+SUMIFS('BSE - Other Index Options'!$M:$M,'BSE - Other Index Options'!$C:$C,$A203,'BSE - Other Index Options'!$B:$B,B$147)=0,"",SUMIFS('BSE - SENSEX Index Options'!$M:$M,'BSE - SENSEX Index Options'!$C:$C,$A203,'BSE - SENSEX Index Options'!$B:$B,B$147)+SUMIFS('BSE - Other Index Options'!$M:$M,'BSE - Other Index Options'!$C:$C,$A203,'BSE - Other Index Options'!$B:$B,B$147))</f>
        <v/>
      </c>
      <c r="C203" s="26">
        <f>IF(SUMIFS('BSE - SENSEX Index Options'!$M:$M,'BSE - SENSEX Index Options'!$C:$C,$A203,'BSE - SENSEX Index Options'!$B:$B,C$147)+SUMIFS('BSE - Other Index Options'!$M:$M,'BSE - Other Index Options'!$C:$C,$A203,'BSE - Other Index Options'!$B:$B,C$147)=0,"",SUMIFS('BSE - SENSEX Index Options'!$M:$M,'BSE - SENSEX Index Options'!$C:$C,$A203,'BSE - SENSEX Index Options'!$B:$B,C$147)+SUMIFS('BSE - Other Index Options'!$M:$M,'BSE - Other Index Options'!$C:$C,$A203,'BSE - Other Index Options'!$B:$B,C$147))</f>
        <v/>
      </c>
      <c r="D203" s="26">
        <f>IF(SUMIFS('BSE - SENSEX Index Options'!$M:$M,'BSE - SENSEX Index Options'!$C:$C,$A203,'BSE - SENSEX Index Options'!$B:$B,D$147)+SUMIFS('BSE - Other Index Options'!$M:$M,'BSE - Other Index Options'!$C:$C,$A203,'BSE - Other Index Options'!$B:$B,D$147)=0,"",SUMIFS('BSE - SENSEX Index Options'!$M:$M,'BSE - SENSEX Index Options'!$C:$C,$A203,'BSE - SENSEX Index Options'!$B:$B,D$147)+SUMIFS('BSE - Other Index Options'!$M:$M,'BSE - Other Index Options'!$C:$C,$A203,'BSE - Other Index Options'!$B:$B,D$147))</f>
        <v/>
      </c>
      <c r="E203" s="26">
        <f>IF(SUMIFS('BSE - SENSEX Index Options'!$M:$M,'BSE - SENSEX Index Options'!$C:$C,$A203,'BSE - SENSEX Index Options'!$B:$B,E$147)+SUMIFS('BSE - Other Index Options'!$M:$M,'BSE - Other Index Options'!$C:$C,$A203,'BSE - Other Index Options'!$B:$B,E$147)=0,"",SUMIFS('BSE - SENSEX Index Options'!$M:$M,'BSE - SENSEX Index Options'!$C:$C,$A203,'BSE - SENSEX Index Options'!$B:$B,E$147)+SUMIFS('BSE - Other Index Options'!$M:$M,'BSE - Other Index Options'!$C:$C,$A203,'BSE - Other Index Options'!$B:$B,E$147))</f>
        <v/>
      </c>
      <c r="F203" s="26">
        <f>IF(SUMIFS('BSE - SENSEX Index Options'!$M:$M,'BSE - SENSEX Index Options'!$C:$C,$A203,'BSE - SENSEX Index Options'!$B:$B,F$147)+SUMIFS('BSE - Other Index Options'!$M:$M,'BSE - Other Index Options'!$C:$C,$A203,'BSE - Other Index Options'!$B:$B,F$147)=0,"",SUMIFS('BSE - SENSEX Index Options'!$M:$M,'BSE - SENSEX Index Options'!$C:$C,$A203,'BSE - SENSEX Index Options'!$B:$B,F$147)+SUMIFS('BSE - Other Index Options'!$M:$M,'BSE - Other Index Options'!$C:$C,$A203,'BSE - Other Index Options'!$B:$B,F$147))</f>
        <v/>
      </c>
      <c r="G203" s="26">
        <f>IF(SUMIFS('BSE - SENSEX Index Options'!$M:$M,'BSE - SENSEX Index Options'!$C:$C,$A203,'BSE - SENSEX Index Options'!$B:$B,G$147)+SUMIFS('BSE - Other Index Options'!$M:$M,'BSE - Other Index Options'!$C:$C,$A203,'BSE - Other Index Options'!$B:$B,G$147)=0,"",SUMIFS('BSE - SENSEX Index Options'!$M:$M,'BSE - SENSEX Index Options'!$C:$C,$A203,'BSE - SENSEX Index Options'!$B:$B,G$147)+SUMIFS('BSE - Other Index Options'!$M:$M,'BSE - Other Index Options'!$C:$C,$A203,'BSE - Other Index Options'!$B:$B,G$147))</f>
        <v/>
      </c>
      <c r="H203" s="26">
        <f>IF(SUM(B203:G203)=0,"",SUM(B203:G203))</f>
        <v/>
      </c>
    </row>
    <row r="204" hidden="1" outlineLevel="1">
      <c r="A204" t="inlineStr">
        <is>
          <t>Week3-Aug-2026</t>
        </is>
      </c>
      <c r="B204" s="26">
        <f>IF(SUMIFS('BSE - SENSEX Index Options'!$M:$M,'BSE - SENSEX Index Options'!$C:$C,$A204,'BSE - SENSEX Index Options'!$B:$B,B$147)+SUMIFS('BSE - Other Index Options'!$M:$M,'BSE - Other Index Options'!$C:$C,$A204,'BSE - Other Index Options'!$B:$B,B$147)=0,"",SUMIFS('BSE - SENSEX Index Options'!$M:$M,'BSE - SENSEX Index Options'!$C:$C,$A204,'BSE - SENSEX Index Options'!$B:$B,B$147)+SUMIFS('BSE - Other Index Options'!$M:$M,'BSE - Other Index Options'!$C:$C,$A204,'BSE - Other Index Options'!$B:$B,B$147))</f>
        <v/>
      </c>
      <c r="C204" s="26">
        <f>IF(SUMIFS('BSE - SENSEX Index Options'!$M:$M,'BSE - SENSEX Index Options'!$C:$C,$A204,'BSE - SENSEX Index Options'!$B:$B,C$147)+SUMIFS('BSE - Other Index Options'!$M:$M,'BSE - Other Index Options'!$C:$C,$A204,'BSE - Other Index Options'!$B:$B,C$147)=0,"",SUMIFS('BSE - SENSEX Index Options'!$M:$M,'BSE - SENSEX Index Options'!$C:$C,$A204,'BSE - SENSEX Index Options'!$B:$B,C$147)+SUMIFS('BSE - Other Index Options'!$M:$M,'BSE - Other Index Options'!$C:$C,$A204,'BSE - Other Index Options'!$B:$B,C$147))</f>
        <v/>
      </c>
      <c r="D204" s="26">
        <f>IF(SUMIFS('BSE - SENSEX Index Options'!$M:$M,'BSE - SENSEX Index Options'!$C:$C,$A204,'BSE - SENSEX Index Options'!$B:$B,D$147)+SUMIFS('BSE - Other Index Options'!$M:$M,'BSE - Other Index Options'!$C:$C,$A204,'BSE - Other Index Options'!$B:$B,D$147)=0,"",SUMIFS('BSE - SENSEX Index Options'!$M:$M,'BSE - SENSEX Index Options'!$C:$C,$A204,'BSE - SENSEX Index Options'!$B:$B,D$147)+SUMIFS('BSE - Other Index Options'!$M:$M,'BSE - Other Index Options'!$C:$C,$A204,'BSE - Other Index Options'!$B:$B,D$147))</f>
        <v/>
      </c>
      <c r="E204" s="26">
        <f>IF(SUMIFS('BSE - SENSEX Index Options'!$M:$M,'BSE - SENSEX Index Options'!$C:$C,$A204,'BSE - SENSEX Index Options'!$B:$B,E$147)+SUMIFS('BSE - Other Index Options'!$M:$M,'BSE - Other Index Options'!$C:$C,$A204,'BSE - Other Index Options'!$B:$B,E$147)=0,"",SUMIFS('BSE - SENSEX Index Options'!$M:$M,'BSE - SENSEX Index Options'!$C:$C,$A204,'BSE - SENSEX Index Options'!$B:$B,E$147)+SUMIFS('BSE - Other Index Options'!$M:$M,'BSE - Other Index Options'!$C:$C,$A204,'BSE - Other Index Options'!$B:$B,E$147))</f>
        <v/>
      </c>
      <c r="F204" s="26">
        <f>IF(SUMIFS('BSE - SENSEX Index Options'!$M:$M,'BSE - SENSEX Index Options'!$C:$C,$A204,'BSE - SENSEX Index Options'!$B:$B,F$147)+SUMIFS('BSE - Other Index Options'!$M:$M,'BSE - Other Index Options'!$C:$C,$A204,'BSE - Other Index Options'!$B:$B,F$147)=0,"",SUMIFS('BSE - SENSEX Index Options'!$M:$M,'BSE - SENSEX Index Options'!$C:$C,$A204,'BSE - SENSEX Index Options'!$B:$B,F$147)+SUMIFS('BSE - Other Index Options'!$M:$M,'BSE - Other Index Options'!$C:$C,$A204,'BSE - Other Index Options'!$B:$B,F$147))</f>
        <v/>
      </c>
      <c r="G204" s="26">
        <f>IF(SUMIFS('BSE - SENSEX Index Options'!$M:$M,'BSE - SENSEX Index Options'!$C:$C,$A204,'BSE - SENSEX Index Options'!$B:$B,G$147)+SUMIFS('BSE - Other Index Options'!$M:$M,'BSE - Other Index Options'!$C:$C,$A204,'BSE - Other Index Options'!$B:$B,G$147)=0,"",SUMIFS('BSE - SENSEX Index Options'!$M:$M,'BSE - SENSEX Index Options'!$C:$C,$A204,'BSE - SENSEX Index Options'!$B:$B,G$147)+SUMIFS('BSE - Other Index Options'!$M:$M,'BSE - Other Index Options'!$C:$C,$A204,'BSE - Other Index Options'!$B:$B,G$147))</f>
        <v/>
      </c>
      <c r="H204" s="26">
        <f>IF(SUM(B204:G204)=0,"",SUM(B204:G204))</f>
        <v/>
      </c>
    </row>
    <row r="205" hidden="1" outlineLevel="1">
      <c r="A205" t="inlineStr">
        <is>
          <t>Week4-Aug-2026</t>
        </is>
      </c>
      <c r="B205" s="26">
        <f>IF(SUMIFS('BSE - SENSEX Index Options'!$M:$M,'BSE - SENSEX Index Options'!$C:$C,$A205,'BSE - SENSEX Index Options'!$B:$B,B$147)+SUMIFS('BSE - Other Index Options'!$M:$M,'BSE - Other Index Options'!$C:$C,$A205,'BSE - Other Index Options'!$B:$B,B$147)=0,"",SUMIFS('BSE - SENSEX Index Options'!$M:$M,'BSE - SENSEX Index Options'!$C:$C,$A205,'BSE - SENSEX Index Options'!$B:$B,B$147)+SUMIFS('BSE - Other Index Options'!$M:$M,'BSE - Other Index Options'!$C:$C,$A205,'BSE - Other Index Options'!$B:$B,B$147))</f>
        <v/>
      </c>
      <c r="C205" s="26">
        <f>IF(SUMIFS('BSE - SENSEX Index Options'!$M:$M,'BSE - SENSEX Index Options'!$C:$C,$A205,'BSE - SENSEX Index Options'!$B:$B,C$147)+SUMIFS('BSE - Other Index Options'!$M:$M,'BSE - Other Index Options'!$C:$C,$A205,'BSE - Other Index Options'!$B:$B,C$147)=0,"",SUMIFS('BSE - SENSEX Index Options'!$M:$M,'BSE - SENSEX Index Options'!$C:$C,$A205,'BSE - SENSEX Index Options'!$B:$B,C$147)+SUMIFS('BSE - Other Index Options'!$M:$M,'BSE - Other Index Options'!$C:$C,$A205,'BSE - Other Index Options'!$B:$B,C$147))</f>
        <v/>
      </c>
      <c r="D205" s="26">
        <f>IF(SUMIFS('BSE - SENSEX Index Options'!$M:$M,'BSE - SENSEX Index Options'!$C:$C,$A205,'BSE - SENSEX Index Options'!$B:$B,D$147)+SUMIFS('BSE - Other Index Options'!$M:$M,'BSE - Other Index Options'!$C:$C,$A205,'BSE - Other Index Options'!$B:$B,D$147)=0,"",SUMIFS('BSE - SENSEX Index Options'!$M:$M,'BSE - SENSEX Index Options'!$C:$C,$A205,'BSE - SENSEX Index Options'!$B:$B,D$147)+SUMIFS('BSE - Other Index Options'!$M:$M,'BSE - Other Index Options'!$C:$C,$A205,'BSE - Other Index Options'!$B:$B,D$147))</f>
        <v/>
      </c>
      <c r="E205" s="26">
        <f>IF(SUMIFS('BSE - SENSEX Index Options'!$M:$M,'BSE - SENSEX Index Options'!$C:$C,$A205,'BSE - SENSEX Index Options'!$B:$B,E$147)+SUMIFS('BSE - Other Index Options'!$M:$M,'BSE - Other Index Options'!$C:$C,$A205,'BSE - Other Index Options'!$B:$B,E$147)=0,"",SUMIFS('BSE - SENSEX Index Options'!$M:$M,'BSE - SENSEX Index Options'!$C:$C,$A205,'BSE - SENSEX Index Options'!$B:$B,E$147)+SUMIFS('BSE - Other Index Options'!$M:$M,'BSE - Other Index Options'!$C:$C,$A205,'BSE - Other Index Options'!$B:$B,E$147))</f>
        <v/>
      </c>
      <c r="F205" s="26">
        <f>IF(SUMIFS('BSE - SENSEX Index Options'!$M:$M,'BSE - SENSEX Index Options'!$C:$C,$A205,'BSE - SENSEX Index Options'!$B:$B,F$147)+SUMIFS('BSE - Other Index Options'!$M:$M,'BSE - Other Index Options'!$C:$C,$A205,'BSE - Other Index Options'!$B:$B,F$147)=0,"",SUMIFS('BSE - SENSEX Index Options'!$M:$M,'BSE - SENSEX Index Options'!$C:$C,$A205,'BSE - SENSEX Index Options'!$B:$B,F$147)+SUMIFS('BSE - Other Index Options'!$M:$M,'BSE - Other Index Options'!$C:$C,$A205,'BSE - Other Index Options'!$B:$B,F$147))</f>
        <v/>
      </c>
      <c r="G205" s="26">
        <f>IF(SUMIFS('BSE - SENSEX Index Options'!$M:$M,'BSE - SENSEX Index Options'!$C:$C,$A205,'BSE - SENSEX Index Options'!$B:$B,G$147)+SUMIFS('BSE - Other Index Options'!$M:$M,'BSE - Other Index Options'!$C:$C,$A205,'BSE - Other Index Options'!$B:$B,G$147)=0,"",SUMIFS('BSE - SENSEX Index Options'!$M:$M,'BSE - SENSEX Index Options'!$C:$C,$A205,'BSE - SENSEX Index Options'!$B:$B,G$147)+SUMIFS('BSE - Other Index Options'!$M:$M,'BSE - Other Index Options'!$C:$C,$A205,'BSE - Other Index Options'!$B:$B,G$147))</f>
        <v/>
      </c>
      <c r="H205" s="26">
        <f>IF(SUM(B205:G205)=0,"",SUM(B205:G205))</f>
        <v/>
      </c>
    </row>
    <row r="206" hidden="1" outlineLevel="1">
      <c r="A206" t="inlineStr">
        <is>
          <t>Week5-Aug-2026</t>
        </is>
      </c>
      <c r="B206" s="26">
        <f>IF(SUMIFS('BSE - SENSEX Index Options'!$M:$M,'BSE - SENSEX Index Options'!$C:$C,$A206,'BSE - SENSEX Index Options'!$B:$B,B$147)+SUMIFS('BSE - Other Index Options'!$M:$M,'BSE - Other Index Options'!$C:$C,$A206,'BSE - Other Index Options'!$B:$B,B$147)=0,"",SUMIFS('BSE - SENSEX Index Options'!$M:$M,'BSE - SENSEX Index Options'!$C:$C,$A206,'BSE - SENSEX Index Options'!$B:$B,B$147)+SUMIFS('BSE - Other Index Options'!$M:$M,'BSE - Other Index Options'!$C:$C,$A206,'BSE - Other Index Options'!$B:$B,B$147))</f>
        <v/>
      </c>
      <c r="C206" s="26">
        <f>IF(SUMIFS('BSE - SENSEX Index Options'!$M:$M,'BSE - SENSEX Index Options'!$C:$C,$A206,'BSE - SENSEX Index Options'!$B:$B,C$147)+SUMIFS('BSE - Other Index Options'!$M:$M,'BSE - Other Index Options'!$C:$C,$A206,'BSE - Other Index Options'!$B:$B,C$147)=0,"",SUMIFS('BSE - SENSEX Index Options'!$M:$M,'BSE - SENSEX Index Options'!$C:$C,$A206,'BSE - SENSEX Index Options'!$B:$B,C$147)+SUMIFS('BSE - Other Index Options'!$M:$M,'BSE - Other Index Options'!$C:$C,$A206,'BSE - Other Index Options'!$B:$B,C$147))</f>
        <v/>
      </c>
      <c r="D206" s="26">
        <f>IF(SUMIFS('BSE - SENSEX Index Options'!$M:$M,'BSE - SENSEX Index Options'!$C:$C,$A206,'BSE - SENSEX Index Options'!$B:$B,D$147)+SUMIFS('BSE - Other Index Options'!$M:$M,'BSE - Other Index Options'!$C:$C,$A206,'BSE - Other Index Options'!$B:$B,D$147)=0,"",SUMIFS('BSE - SENSEX Index Options'!$M:$M,'BSE - SENSEX Index Options'!$C:$C,$A206,'BSE - SENSEX Index Options'!$B:$B,D$147)+SUMIFS('BSE - Other Index Options'!$M:$M,'BSE - Other Index Options'!$C:$C,$A206,'BSE - Other Index Options'!$B:$B,D$147))</f>
        <v/>
      </c>
      <c r="E206" s="26">
        <f>IF(SUMIFS('BSE - SENSEX Index Options'!$M:$M,'BSE - SENSEX Index Options'!$C:$C,$A206,'BSE - SENSEX Index Options'!$B:$B,E$147)+SUMIFS('BSE - Other Index Options'!$M:$M,'BSE - Other Index Options'!$C:$C,$A206,'BSE - Other Index Options'!$B:$B,E$147)=0,"",SUMIFS('BSE - SENSEX Index Options'!$M:$M,'BSE - SENSEX Index Options'!$C:$C,$A206,'BSE - SENSEX Index Options'!$B:$B,E$147)+SUMIFS('BSE - Other Index Options'!$M:$M,'BSE - Other Index Options'!$C:$C,$A206,'BSE - Other Index Options'!$B:$B,E$147))</f>
        <v/>
      </c>
      <c r="F206" s="26">
        <f>IF(SUMIFS('BSE - SENSEX Index Options'!$M:$M,'BSE - SENSEX Index Options'!$C:$C,$A206,'BSE - SENSEX Index Options'!$B:$B,F$147)+SUMIFS('BSE - Other Index Options'!$M:$M,'BSE - Other Index Options'!$C:$C,$A206,'BSE - Other Index Options'!$B:$B,F$147)=0,"",SUMIFS('BSE - SENSEX Index Options'!$M:$M,'BSE - SENSEX Index Options'!$C:$C,$A206,'BSE - SENSEX Index Options'!$B:$B,F$147)+SUMIFS('BSE - Other Index Options'!$M:$M,'BSE - Other Index Options'!$C:$C,$A206,'BSE - Other Index Options'!$B:$B,F$147))</f>
        <v/>
      </c>
      <c r="G206" s="26">
        <f>IF(SUMIFS('BSE - SENSEX Index Options'!$M:$M,'BSE - SENSEX Index Options'!$C:$C,$A206,'BSE - SENSEX Index Options'!$B:$B,G$147)+SUMIFS('BSE - Other Index Options'!$M:$M,'BSE - Other Index Options'!$C:$C,$A206,'BSE - Other Index Options'!$B:$B,G$147)=0,"",SUMIFS('BSE - SENSEX Index Options'!$M:$M,'BSE - SENSEX Index Options'!$C:$C,$A206,'BSE - SENSEX Index Options'!$B:$B,G$147)+SUMIFS('BSE - Other Index Options'!$M:$M,'BSE - Other Index Options'!$C:$C,$A206,'BSE - Other Index Options'!$B:$B,G$147))</f>
        <v/>
      </c>
      <c r="H206" s="26">
        <f>IF(SUM(B206:G206)=0,"",SUM(B206:G206))</f>
        <v/>
      </c>
    </row>
    <row r="207" hidden="1" outlineLevel="1">
      <c r="A207" t="inlineStr">
        <is>
          <t>Week1-Sep-2026</t>
        </is>
      </c>
      <c r="B207" s="26">
        <f>IF(SUMIFS('BSE - SENSEX Index Options'!$M:$M,'BSE - SENSEX Index Options'!$C:$C,$A207,'BSE - SENSEX Index Options'!$B:$B,B$147)+SUMIFS('BSE - Other Index Options'!$M:$M,'BSE - Other Index Options'!$C:$C,$A207,'BSE - Other Index Options'!$B:$B,B$147)=0,"",SUMIFS('BSE - SENSEX Index Options'!$M:$M,'BSE - SENSEX Index Options'!$C:$C,$A207,'BSE - SENSEX Index Options'!$B:$B,B$147)+SUMIFS('BSE - Other Index Options'!$M:$M,'BSE - Other Index Options'!$C:$C,$A207,'BSE - Other Index Options'!$B:$B,B$147))</f>
        <v/>
      </c>
      <c r="C207" s="26">
        <f>IF(SUMIFS('BSE - SENSEX Index Options'!$M:$M,'BSE - SENSEX Index Options'!$C:$C,$A207,'BSE - SENSEX Index Options'!$B:$B,C$147)+SUMIFS('BSE - Other Index Options'!$M:$M,'BSE - Other Index Options'!$C:$C,$A207,'BSE - Other Index Options'!$B:$B,C$147)=0,"",SUMIFS('BSE - SENSEX Index Options'!$M:$M,'BSE - SENSEX Index Options'!$C:$C,$A207,'BSE - SENSEX Index Options'!$B:$B,C$147)+SUMIFS('BSE - Other Index Options'!$M:$M,'BSE - Other Index Options'!$C:$C,$A207,'BSE - Other Index Options'!$B:$B,C$147))</f>
        <v/>
      </c>
      <c r="D207" s="26">
        <f>IF(SUMIFS('BSE - SENSEX Index Options'!$M:$M,'BSE - SENSEX Index Options'!$C:$C,$A207,'BSE - SENSEX Index Options'!$B:$B,D$147)+SUMIFS('BSE - Other Index Options'!$M:$M,'BSE - Other Index Options'!$C:$C,$A207,'BSE - Other Index Options'!$B:$B,D$147)=0,"",SUMIFS('BSE - SENSEX Index Options'!$M:$M,'BSE - SENSEX Index Options'!$C:$C,$A207,'BSE - SENSEX Index Options'!$B:$B,D$147)+SUMIFS('BSE - Other Index Options'!$M:$M,'BSE - Other Index Options'!$C:$C,$A207,'BSE - Other Index Options'!$B:$B,D$147))</f>
        <v/>
      </c>
      <c r="E207" s="26">
        <f>IF(SUMIFS('BSE - SENSEX Index Options'!$M:$M,'BSE - SENSEX Index Options'!$C:$C,$A207,'BSE - SENSEX Index Options'!$B:$B,E$147)+SUMIFS('BSE - Other Index Options'!$M:$M,'BSE - Other Index Options'!$C:$C,$A207,'BSE - Other Index Options'!$B:$B,E$147)=0,"",SUMIFS('BSE - SENSEX Index Options'!$M:$M,'BSE - SENSEX Index Options'!$C:$C,$A207,'BSE - SENSEX Index Options'!$B:$B,E$147)+SUMIFS('BSE - Other Index Options'!$M:$M,'BSE - Other Index Options'!$C:$C,$A207,'BSE - Other Index Options'!$B:$B,E$147))</f>
        <v/>
      </c>
      <c r="F207" s="26">
        <f>IF(SUMIFS('BSE - SENSEX Index Options'!$M:$M,'BSE - SENSEX Index Options'!$C:$C,$A207,'BSE - SENSEX Index Options'!$B:$B,F$147)+SUMIFS('BSE - Other Index Options'!$M:$M,'BSE - Other Index Options'!$C:$C,$A207,'BSE - Other Index Options'!$B:$B,F$147)=0,"",SUMIFS('BSE - SENSEX Index Options'!$M:$M,'BSE - SENSEX Index Options'!$C:$C,$A207,'BSE - SENSEX Index Options'!$B:$B,F$147)+SUMIFS('BSE - Other Index Options'!$M:$M,'BSE - Other Index Options'!$C:$C,$A207,'BSE - Other Index Options'!$B:$B,F$147))</f>
        <v/>
      </c>
      <c r="G207" s="26">
        <f>IF(SUMIFS('BSE - SENSEX Index Options'!$M:$M,'BSE - SENSEX Index Options'!$C:$C,$A207,'BSE - SENSEX Index Options'!$B:$B,G$147)+SUMIFS('BSE - Other Index Options'!$M:$M,'BSE - Other Index Options'!$C:$C,$A207,'BSE - Other Index Options'!$B:$B,G$147)=0,"",SUMIFS('BSE - SENSEX Index Options'!$M:$M,'BSE - SENSEX Index Options'!$C:$C,$A207,'BSE - SENSEX Index Options'!$B:$B,G$147)+SUMIFS('BSE - Other Index Options'!$M:$M,'BSE - Other Index Options'!$C:$C,$A207,'BSE - Other Index Options'!$B:$B,G$147))</f>
        <v/>
      </c>
      <c r="H207" s="26">
        <f>IF(SUM(B207:G207)=0,"",SUM(B207:G207))</f>
        <v/>
      </c>
    </row>
    <row r="208" hidden="1" outlineLevel="1">
      <c r="A208" t="inlineStr">
        <is>
          <t>Week2-Sep-2026</t>
        </is>
      </c>
      <c r="B208" s="26">
        <f>IF(SUMIFS('BSE - SENSEX Index Options'!$M:$M,'BSE - SENSEX Index Options'!$C:$C,$A208,'BSE - SENSEX Index Options'!$B:$B,B$147)+SUMIFS('BSE - Other Index Options'!$M:$M,'BSE - Other Index Options'!$C:$C,$A208,'BSE - Other Index Options'!$B:$B,B$147)=0,"",SUMIFS('BSE - SENSEX Index Options'!$M:$M,'BSE - SENSEX Index Options'!$C:$C,$A208,'BSE - SENSEX Index Options'!$B:$B,B$147)+SUMIFS('BSE - Other Index Options'!$M:$M,'BSE - Other Index Options'!$C:$C,$A208,'BSE - Other Index Options'!$B:$B,B$147))</f>
        <v/>
      </c>
      <c r="C208" s="26">
        <f>IF(SUMIFS('BSE - SENSEX Index Options'!$M:$M,'BSE - SENSEX Index Options'!$C:$C,$A208,'BSE - SENSEX Index Options'!$B:$B,C$147)+SUMIFS('BSE - Other Index Options'!$M:$M,'BSE - Other Index Options'!$C:$C,$A208,'BSE - Other Index Options'!$B:$B,C$147)=0,"",SUMIFS('BSE - SENSEX Index Options'!$M:$M,'BSE - SENSEX Index Options'!$C:$C,$A208,'BSE - SENSEX Index Options'!$B:$B,C$147)+SUMIFS('BSE - Other Index Options'!$M:$M,'BSE - Other Index Options'!$C:$C,$A208,'BSE - Other Index Options'!$B:$B,C$147))</f>
        <v/>
      </c>
      <c r="D208" s="26">
        <f>IF(SUMIFS('BSE - SENSEX Index Options'!$M:$M,'BSE - SENSEX Index Options'!$C:$C,$A208,'BSE - SENSEX Index Options'!$B:$B,D$147)+SUMIFS('BSE - Other Index Options'!$M:$M,'BSE - Other Index Options'!$C:$C,$A208,'BSE - Other Index Options'!$B:$B,D$147)=0,"",SUMIFS('BSE - SENSEX Index Options'!$M:$M,'BSE - SENSEX Index Options'!$C:$C,$A208,'BSE - SENSEX Index Options'!$B:$B,D$147)+SUMIFS('BSE - Other Index Options'!$M:$M,'BSE - Other Index Options'!$C:$C,$A208,'BSE - Other Index Options'!$B:$B,D$147))</f>
        <v/>
      </c>
      <c r="E208" s="26">
        <f>IF(SUMIFS('BSE - SENSEX Index Options'!$M:$M,'BSE - SENSEX Index Options'!$C:$C,$A208,'BSE - SENSEX Index Options'!$B:$B,E$147)+SUMIFS('BSE - Other Index Options'!$M:$M,'BSE - Other Index Options'!$C:$C,$A208,'BSE - Other Index Options'!$B:$B,E$147)=0,"",SUMIFS('BSE - SENSEX Index Options'!$M:$M,'BSE - SENSEX Index Options'!$C:$C,$A208,'BSE - SENSEX Index Options'!$B:$B,E$147)+SUMIFS('BSE - Other Index Options'!$M:$M,'BSE - Other Index Options'!$C:$C,$A208,'BSE - Other Index Options'!$B:$B,E$147))</f>
        <v/>
      </c>
      <c r="F208" s="26">
        <f>IF(SUMIFS('BSE - SENSEX Index Options'!$M:$M,'BSE - SENSEX Index Options'!$C:$C,$A208,'BSE - SENSEX Index Options'!$B:$B,F$147)+SUMIFS('BSE - Other Index Options'!$M:$M,'BSE - Other Index Options'!$C:$C,$A208,'BSE - Other Index Options'!$B:$B,F$147)=0,"",SUMIFS('BSE - SENSEX Index Options'!$M:$M,'BSE - SENSEX Index Options'!$C:$C,$A208,'BSE - SENSEX Index Options'!$B:$B,F$147)+SUMIFS('BSE - Other Index Options'!$M:$M,'BSE - Other Index Options'!$C:$C,$A208,'BSE - Other Index Options'!$B:$B,F$147))</f>
        <v/>
      </c>
      <c r="G208" s="26">
        <f>IF(SUMIFS('BSE - SENSEX Index Options'!$M:$M,'BSE - SENSEX Index Options'!$C:$C,$A208,'BSE - SENSEX Index Options'!$B:$B,G$147)+SUMIFS('BSE - Other Index Options'!$M:$M,'BSE - Other Index Options'!$C:$C,$A208,'BSE - Other Index Options'!$B:$B,G$147)=0,"",SUMIFS('BSE - SENSEX Index Options'!$M:$M,'BSE - SENSEX Index Options'!$C:$C,$A208,'BSE - SENSEX Index Options'!$B:$B,G$147)+SUMIFS('BSE - Other Index Options'!$M:$M,'BSE - Other Index Options'!$C:$C,$A208,'BSE - Other Index Options'!$B:$B,G$147))</f>
        <v/>
      </c>
      <c r="H208" s="26">
        <f>IF(SUM(B208:G208)=0,"",SUM(B208:G208))</f>
        <v/>
      </c>
    </row>
    <row r="209" hidden="1" outlineLevel="1">
      <c r="A209" t="inlineStr">
        <is>
          <t>Week3-Sep-2026</t>
        </is>
      </c>
      <c r="B209" s="26">
        <f>IF(SUMIFS('BSE - SENSEX Index Options'!$M:$M,'BSE - SENSEX Index Options'!$C:$C,$A209,'BSE - SENSEX Index Options'!$B:$B,B$147)+SUMIFS('BSE - Other Index Options'!$M:$M,'BSE - Other Index Options'!$C:$C,$A209,'BSE - Other Index Options'!$B:$B,B$147)=0,"",SUMIFS('BSE - SENSEX Index Options'!$M:$M,'BSE - SENSEX Index Options'!$C:$C,$A209,'BSE - SENSEX Index Options'!$B:$B,B$147)+SUMIFS('BSE - Other Index Options'!$M:$M,'BSE - Other Index Options'!$C:$C,$A209,'BSE - Other Index Options'!$B:$B,B$147))</f>
        <v/>
      </c>
      <c r="C209" s="26">
        <f>IF(SUMIFS('BSE - SENSEX Index Options'!$M:$M,'BSE - SENSEX Index Options'!$C:$C,$A209,'BSE - SENSEX Index Options'!$B:$B,C$147)+SUMIFS('BSE - Other Index Options'!$M:$M,'BSE - Other Index Options'!$C:$C,$A209,'BSE - Other Index Options'!$B:$B,C$147)=0,"",SUMIFS('BSE - SENSEX Index Options'!$M:$M,'BSE - SENSEX Index Options'!$C:$C,$A209,'BSE - SENSEX Index Options'!$B:$B,C$147)+SUMIFS('BSE - Other Index Options'!$M:$M,'BSE - Other Index Options'!$C:$C,$A209,'BSE - Other Index Options'!$B:$B,C$147))</f>
        <v/>
      </c>
      <c r="D209" s="26">
        <f>IF(SUMIFS('BSE - SENSEX Index Options'!$M:$M,'BSE - SENSEX Index Options'!$C:$C,$A209,'BSE - SENSEX Index Options'!$B:$B,D$147)+SUMIFS('BSE - Other Index Options'!$M:$M,'BSE - Other Index Options'!$C:$C,$A209,'BSE - Other Index Options'!$B:$B,D$147)=0,"",SUMIFS('BSE - SENSEX Index Options'!$M:$M,'BSE - SENSEX Index Options'!$C:$C,$A209,'BSE - SENSEX Index Options'!$B:$B,D$147)+SUMIFS('BSE - Other Index Options'!$M:$M,'BSE - Other Index Options'!$C:$C,$A209,'BSE - Other Index Options'!$B:$B,D$147))</f>
        <v/>
      </c>
      <c r="E209" s="26">
        <f>IF(SUMIFS('BSE - SENSEX Index Options'!$M:$M,'BSE - SENSEX Index Options'!$C:$C,$A209,'BSE - SENSEX Index Options'!$B:$B,E$147)+SUMIFS('BSE - Other Index Options'!$M:$M,'BSE - Other Index Options'!$C:$C,$A209,'BSE - Other Index Options'!$B:$B,E$147)=0,"",SUMIFS('BSE - SENSEX Index Options'!$M:$M,'BSE - SENSEX Index Options'!$C:$C,$A209,'BSE - SENSEX Index Options'!$B:$B,E$147)+SUMIFS('BSE - Other Index Options'!$M:$M,'BSE - Other Index Options'!$C:$C,$A209,'BSE - Other Index Options'!$B:$B,E$147))</f>
        <v/>
      </c>
      <c r="F209" s="26">
        <f>IF(SUMIFS('BSE - SENSEX Index Options'!$M:$M,'BSE - SENSEX Index Options'!$C:$C,$A209,'BSE - SENSEX Index Options'!$B:$B,F$147)+SUMIFS('BSE - Other Index Options'!$M:$M,'BSE - Other Index Options'!$C:$C,$A209,'BSE - Other Index Options'!$B:$B,F$147)=0,"",SUMIFS('BSE - SENSEX Index Options'!$M:$M,'BSE - SENSEX Index Options'!$C:$C,$A209,'BSE - SENSEX Index Options'!$B:$B,F$147)+SUMIFS('BSE - Other Index Options'!$M:$M,'BSE - Other Index Options'!$C:$C,$A209,'BSE - Other Index Options'!$B:$B,F$147))</f>
        <v/>
      </c>
      <c r="G209" s="26">
        <f>IF(SUMIFS('BSE - SENSEX Index Options'!$M:$M,'BSE - SENSEX Index Options'!$C:$C,$A209,'BSE - SENSEX Index Options'!$B:$B,G$147)+SUMIFS('BSE - Other Index Options'!$M:$M,'BSE - Other Index Options'!$C:$C,$A209,'BSE - Other Index Options'!$B:$B,G$147)=0,"",SUMIFS('BSE - SENSEX Index Options'!$M:$M,'BSE - SENSEX Index Options'!$C:$C,$A209,'BSE - SENSEX Index Options'!$B:$B,G$147)+SUMIFS('BSE - Other Index Options'!$M:$M,'BSE - Other Index Options'!$C:$C,$A209,'BSE - Other Index Options'!$B:$B,G$147))</f>
        <v/>
      </c>
      <c r="H209" s="26">
        <f>IF(SUM(B209:G209)=0,"",SUM(B209:G209))</f>
        <v/>
      </c>
    </row>
    <row r="210" hidden="1" outlineLevel="1">
      <c r="A210" t="inlineStr">
        <is>
          <t>Week4-Sep-2026</t>
        </is>
      </c>
      <c r="B210" s="26">
        <f>IF(SUMIFS('BSE - SENSEX Index Options'!$M:$M,'BSE - SENSEX Index Options'!$C:$C,$A210,'BSE - SENSEX Index Options'!$B:$B,B$147)+SUMIFS('BSE - Other Index Options'!$M:$M,'BSE - Other Index Options'!$C:$C,$A210,'BSE - Other Index Options'!$B:$B,B$147)=0,"",SUMIFS('BSE - SENSEX Index Options'!$M:$M,'BSE - SENSEX Index Options'!$C:$C,$A210,'BSE - SENSEX Index Options'!$B:$B,B$147)+SUMIFS('BSE - Other Index Options'!$M:$M,'BSE - Other Index Options'!$C:$C,$A210,'BSE - Other Index Options'!$B:$B,B$147))</f>
        <v/>
      </c>
      <c r="C210" s="26">
        <f>IF(SUMIFS('BSE - SENSEX Index Options'!$M:$M,'BSE - SENSEX Index Options'!$C:$C,$A210,'BSE - SENSEX Index Options'!$B:$B,C$147)+SUMIFS('BSE - Other Index Options'!$M:$M,'BSE - Other Index Options'!$C:$C,$A210,'BSE - Other Index Options'!$B:$B,C$147)=0,"",SUMIFS('BSE - SENSEX Index Options'!$M:$M,'BSE - SENSEX Index Options'!$C:$C,$A210,'BSE - SENSEX Index Options'!$B:$B,C$147)+SUMIFS('BSE - Other Index Options'!$M:$M,'BSE - Other Index Options'!$C:$C,$A210,'BSE - Other Index Options'!$B:$B,C$147))</f>
        <v/>
      </c>
      <c r="D210" s="26">
        <f>IF(SUMIFS('BSE - SENSEX Index Options'!$M:$M,'BSE - SENSEX Index Options'!$C:$C,$A210,'BSE - SENSEX Index Options'!$B:$B,D$147)+SUMIFS('BSE - Other Index Options'!$M:$M,'BSE - Other Index Options'!$C:$C,$A210,'BSE - Other Index Options'!$B:$B,D$147)=0,"",SUMIFS('BSE - SENSEX Index Options'!$M:$M,'BSE - SENSEX Index Options'!$C:$C,$A210,'BSE - SENSEX Index Options'!$B:$B,D$147)+SUMIFS('BSE - Other Index Options'!$M:$M,'BSE - Other Index Options'!$C:$C,$A210,'BSE - Other Index Options'!$B:$B,D$147))</f>
        <v/>
      </c>
      <c r="E210" s="26">
        <f>IF(SUMIFS('BSE - SENSEX Index Options'!$M:$M,'BSE - SENSEX Index Options'!$C:$C,$A210,'BSE - SENSEX Index Options'!$B:$B,E$147)+SUMIFS('BSE - Other Index Options'!$M:$M,'BSE - Other Index Options'!$C:$C,$A210,'BSE - Other Index Options'!$B:$B,E$147)=0,"",SUMIFS('BSE - SENSEX Index Options'!$M:$M,'BSE - SENSEX Index Options'!$C:$C,$A210,'BSE - SENSEX Index Options'!$B:$B,E$147)+SUMIFS('BSE - Other Index Options'!$M:$M,'BSE - Other Index Options'!$C:$C,$A210,'BSE - Other Index Options'!$B:$B,E$147))</f>
        <v/>
      </c>
      <c r="F210" s="26">
        <f>IF(SUMIFS('BSE - SENSEX Index Options'!$M:$M,'BSE - SENSEX Index Options'!$C:$C,$A210,'BSE - SENSEX Index Options'!$B:$B,F$147)+SUMIFS('BSE - Other Index Options'!$M:$M,'BSE - Other Index Options'!$C:$C,$A210,'BSE - Other Index Options'!$B:$B,F$147)=0,"",SUMIFS('BSE - SENSEX Index Options'!$M:$M,'BSE - SENSEX Index Options'!$C:$C,$A210,'BSE - SENSEX Index Options'!$B:$B,F$147)+SUMIFS('BSE - Other Index Options'!$M:$M,'BSE - Other Index Options'!$C:$C,$A210,'BSE - Other Index Options'!$B:$B,F$147))</f>
        <v/>
      </c>
      <c r="G210" s="26">
        <f>IF(SUMIFS('BSE - SENSEX Index Options'!$M:$M,'BSE - SENSEX Index Options'!$C:$C,$A210,'BSE - SENSEX Index Options'!$B:$B,G$147)+SUMIFS('BSE - Other Index Options'!$M:$M,'BSE - Other Index Options'!$C:$C,$A210,'BSE - Other Index Options'!$B:$B,G$147)=0,"",SUMIFS('BSE - SENSEX Index Options'!$M:$M,'BSE - SENSEX Index Options'!$C:$C,$A210,'BSE - SENSEX Index Options'!$B:$B,G$147)+SUMIFS('BSE - Other Index Options'!$M:$M,'BSE - Other Index Options'!$C:$C,$A210,'BSE - Other Index Options'!$B:$B,G$147))</f>
        <v/>
      </c>
      <c r="H210" s="26">
        <f>IF(SUM(B210:G210)=0,"",SUM(B210:G210))</f>
        <v/>
      </c>
    </row>
    <row r="211" hidden="1" outlineLevel="1">
      <c r="A211" t="inlineStr">
        <is>
          <t>Week5-Sep-2026</t>
        </is>
      </c>
      <c r="B211" s="26">
        <f>IF(SUMIFS('BSE - SENSEX Index Options'!$M:$M,'BSE - SENSEX Index Options'!$C:$C,$A211,'BSE - SENSEX Index Options'!$B:$B,B$147)+SUMIFS('BSE - Other Index Options'!$M:$M,'BSE - Other Index Options'!$C:$C,$A211,'BSE - Other Index Options'!$B:$B,B$147)=0,"",SUMIFS('BSE - SENSEX Index Options'!$M:$M,'BSE - SENSEX Index Options'!$C:$C,$A211,'BSE - SENSEX Index Options'!$B:$B,B$147)+SUMIFS('BSE - Other Index Options'!$M:$M,'BSE - Other Index Options'!$C:$C,$A211,'BSE - Other Index Options'!$B:$B,B$147))</f>
        <v/>
      </c>
      <c r="C211" s="26">
        <f>IF(SUMIFS('BSE - SENSEX Index Options'!$M:$M,'BSE - SENSEX Index Options'!$C:$C,$A211,'BSE - SENSEX Index Options'!$B:$B,C$147)+SUMIFS('BSE - Other Index Options'!$M:$M,'BSE - Other Index Options'!$C:$C,$A211,'BSE - Other Index Options'!$B:$B,C$147)=0,"",SUMIFS('BSE - SENSEX Index Options'!$M:$M,'BSE - SENSEX Index Options'!$C:$C,$A211,'BSE - SENSEX Index Options'!$B:$B,C$147)+SUMIFS('BSE - Other Index Options'!$M:$M,'BSE - Other Index Options'!$C:$C,$A211,'BSE - Other Index Options'!$B:$B,C$147))</f>
        <v/>
      </c>
      <c r="D211" s="26">
        <f>IF(SUMIFS('BSE - SENSEX Index Options'!$M:$M,'BSE - SENSEX Index Options'!$C:$C,$A211,'BSE - SENSEX Index Options'!$B:$B,D$147)+SUMIFS('BSE - Other Index Options'!$M:$M,'BSE - Other Index Options'!$C:$C,$A211,'BSE - Other Index Options'!$B:$B,D$147)=0,"",SUMIFS('BSE - SENSEX Index Options'!$M:$M,'BSE - SENSEX Index Options'!$C:$C,$A211,'BSE - SENSEX Index Options'!$B:$B,D$147)+SUMIFS('BSE - Other Index Options'!$M:$M,'BSE - Other Index Options'!$C:$C,$A211,'BSE - Other Index Options'!$B:$B,D$147))</f>
        <v/>
      </c>
      <c r="E211" s="26">
        <f>IF(SUMIFS('BSE - SENSEX Index Options'!$M:$M,'BSE - SENSEX Index Options'!$C:$C,$A211,'BSE - SENSEX Index Options'!$B:$B,E$147)+SUMIFS('BSE - Other Index Options'!$M:$M,'BSE - Other Index Options'!$C:$C,$A211,'BSE - Other Index Options'!$B:$B,E$147)=0,"",SUMIFS('BSE - SENSEX Index Options'!$M:$M,'BSE - SENSEX Index Options'!$C:$C,$A211,'BSE - SENSEX Index Options'!$B:$B,E$147)+SUMIFS('BSE - Other Index Options'!$M:$M,'BSE - Other Index Options'!$C:$C,$A211,'BSE - Other Index Options'!$B:$B,E$147))</f>
        <v/>
      </c>
      <c r="F211" s="26">
        <f>IF(SUMIFS('BSE - SENSEX Index Options'!$M:$M,'BSE - SENSEX Index Options'!$C:$C,$A211,'BSE - SENSEX Index Options'!$B:$B,F$147)+SUMIFS('BSE - Other Index Options'!$M:$M,'BSE - Other Index Options'!$C:$C,$A211,'BSE - Other Index Options'!$B:$B,F$147)=0,"",SUMIFS('BSE - SENSEX Index Options'!$M:$M,'BSE - SENSEX Index Options'!$C:$C,$A211,'BSE - SENSEX Index Options'!$B:$B,F$147)+SUMIFS('BSE - Other Index Options'!$M:$M,'BSE - Other Index Options'!$C:$C,$A211,'BSE - Other Index Options'!$B:$B,F$147))</f>
        <v/>
      </c>
      <c r="G211" s="26">
        <f>IF(SUMIFS('BSE - SENSEX Index Options'!$M:$M,'BSE - SENSEX Index Options'!$C:$C,$A211,'BSE - SENSEX Index Options'!$B:$B,G$147)+SUMIFS('BSE - Other Index Options'!$M:$M,'BSE - Other Index Options'!$C:$C,$A211,'BSE - Other Index Options'!$B:$B,G$147)=0,"",SUMIFS('BSE - SENSEX Index Options'!$M:$M,'BSE - SENSEX Index Options'!$C:$C,$A211,'BSE - SENSEX Index Options'!$B:$B,G$147)+SUMIFS('BSE - Other Index Options'!$M:$M,'BSE - Other Index Options'!$C:$C,$A211,'BSE - Other Index Options'!$B:$B,G$147))</f>
        <v/>
      </c>
      <c r="H211" s="26">
        <f>IF(SUM(B211:G211)=0,"",SUM(B211:G211))</f>
        <v/>
      </c>
    </row>
    <row r="212" hidden="1" outlineLevel="1">
      <c r="A212" t="inlineStr">
        <is>
          <t>Week1-Oct-2026</t>
        </is>
      </c>
      <c r="B212" s="26">
        <f>IF(SUMIFS('BSE - SENSEX Index Options'!$M:$M,'BSE - SENSEX Index Options'!$C:$C,$A212,'BSE - SENSEX Index Options'!$B:$B,B$147)+SUMIFS('BSE - Other Index Options'!$M:$M,'BSE - Other Index Options'!$C:$C,$A212,'BSE - Other Index Options'!$B:$B,B$147)=0,"",SUMIFS('BSE - SENSEX Index Options'!$M:$M,'BSE - SENSEX Index Options'!$C:$C,$A212,'BSE - SENSEX Index Options'!$B:$B,B$147)+SUMIFS('BSE - Other Index Options'!$M:$M,'BSE - Other Index Options'!$C:$C,$A212,'BSE - Other Index Options'!$B:$B,B$147))</f>
        <v/>
      </c>
      <c r="C212" s="26">
        <f>IF(SUMIFS('BSE - SENSEX Index Options'!$M:$M,'BSE - SENSEX Index Options'!$C:$C,$A212,'BSE - SENSEX Index Options'!$B:$B,C$147)+SUMIFS('BSE - Other Index Options'!$M:$M,'BSE - Other Index Options'!$C:$C,$A212,'BSE - Other Index Options'!$B:$B,C$147)=0,"",SUMIFS('BSE - SENSEX Index Options'!$M:$M,'BSE - SENSEX Index Options'!$C:$C,$A212,'BSE - SENSEX Index Options'!$B:$B,C$147)+SUMIFS('BSE - Other Index Options'!$M:$M,'BSE - Other Index Options'!$C:$C,$A212,'BSE - Other Index Options'!$B:$B,C$147))</f>
        <v/>
      </c>
      <c r="D212" s="26">
        <f>IF(SUMIFS('BSE - SENSEX Index Options'!$M:$M,'BSE - SENSEX Index Options'!$C:$C,$A212,'BSE - SENSEX Index Options'!$B:$B,D$147)+SUMIFS('BSE - Other Index Options'!$M:$M,'BSE - Other Index Options'!$C:$C,$A212,'BSE - Other Index Options'!$B:$B,D$147)=0,"",SUMIFS('BSE - SENSEX Index Options'!$M:$M,'BSE - SENSEX Index Options'!$C:$C,$A212,'BSE - SENSEX Index Options'!$B:$B,D$147)+SUMIFS('BSE - Other Index Options'!$M:$M,'BSE - Other Index Options'!$C:$C,$A212,'BSE - Other Index Options'!$B:$B,D$147))</f>
        <v/>
      </c>
      <c r="E212" s="26">
        <f>IF(SUMIFS('BSE - SENSEX Index Options'!$M:$M,'BSE - SENSEX Index Options'!$C:$C,$A212,'BSE - SENSEX Index Options'!$B:$B,E$147)+SUMIFS('BSE - Other Index Options'!$M:$M,'BSE - Other Index Options'!$C:$C,$A212,'BSE - Other Index Options'!$B:$B,E$147)=0,"",SUMIFS('BSE - SENSEX Index Options'!$M:$M,'BSE - SENSEX Index Options'!$C:$C,$A212,'BSE - SENSEX Index Options'!$B:$B,E$147)+SUMIFS('BSE - Other Index Options'!$M:$M,'BSE - Other Index Options'!$C:$C,$A212,'BSE - Other Index Options'!$B:$B,E$147))</f>
        <v/>
      </c>
      <c r="F212" s="26">
        <f>IF(SUMIFS('BSE - SENSEX Index Options'!$M:$M,'BSE - SENSEX Index Options'!$C:$C,$A212,'BSE - SENSEX Index Options'!$B:$B,F$147)+SUMIFS('BSE - Other Index Options'!$M:$M,'BSE - Other Index Options'!$C:$C,$A212,'BSE - Other Index Options'!$B:$B,F$147)=0,"",SUMIFS('BSE - SENSEX Index Options'!$M:$M,'BSE - SENSEX Index Options'!$C:$C,$A212,'BSE - SENSEX Index Options'!$B:$B,F$147)+SUMIFS('BSE - Other Index Options'!$M:$M,'BSE - Other Index Options'!$C:$C,$A212,'BSE - Other Index Options'!$B:$B,F$147))</f>
        <v/>
      </c>
      <c r="G212" s="26">
        <f>IF(SUMIFS('BSE - SENSEX Index Options'!$M:$M,'BSE - SENSEX Index Options'!$C:$C,$A212,'BSE - SENSEX Index Options'!$B:$B,G$147)+SUMIFS('BSE - Other Index Options'!$M:$M,'BSE - Other Index Options'!$C:$C,$A212,'BSE - Other Index Options'!$B:$B,G$147)=0,"",SUMIFS('BSE - SENSEX Index Options'!$M:$M,'BSE - SENSEX Index Options'!$C:$C,$A212,'BSE - SENSEX Index Options'!$B:$B,G$147)+SUMIFS('BSE - Other Index Options'!$M:$M,'BSE - Other Index Options'!$C:$C,$A212,'BSE - Other Index Options'!$B:$B,G$147))</f>
        <v/>
      </c>
      <c r="H212" s="26">
        <f>IF(SUM(B212:G212)=0,"",SUM(B212:G212))</f>
        <v/>
      </c>
    </row>
    <row r="213" hidden="1" outlineLevel="1">
      <c r="A213" t="inlineStr">
        <is>
          <t>Week2-Oct-2026</t>
        </is>
      </c>
      <c r="B213" s="26">
        <f>IF(SUMIFS('BSE - SENSEX Index Options'!$M:$M,'BSE - SENSEX Index Options'!$C:$C,$A213,'BSE - SENSEX Index Options'!$B:$B,B$147)+SUMIFS('BSE - Other Index Options'!$M:$M,'BSE - Other Index Options'!$C:$C,$A213,'BSE - Other Index Options'!$B:$B,B$147)=0,"",SUMIFS('BSE - SENSEX Index Options'!$M:$M,'BSE - SENSEX Index Options'!$C:$C,$A213,'BSE - SENSEX Index Options'!$B:$B,B$147)+SUMIFS('BSE - Other Index Options'!$M:$M,'BSE - Other Index Options'!$C:$C,$A213,'BSE - Other Index Options'!$B:$B,B$147))</f>
        <v/>
      </c>
      <c r="C213" s="26">
        <f>IF(SUMIFS('BSE - SENSEX Index Options'!$M:$M,'BSE - SENSEX Index Options'!$C:$C,$A213,'BSE - SENSEX Index Options'!$B:$B,C$147)+SUMIFS('BSE - Other Index Options'!$M:$M,'BSE - Other Index Options'!$C:$C,$A213,'BSE - Other Index Options'!$B:$B,C$147)=0,"",SUMIFS('BSE - SENSEX Index Options'!$M:$M,'BSE - SENSEX Index Options'!$C:$C,$A213,'BSE - SENSEX Index Options'!$B:$B,C$147)+SUMIFS('BSE - Other Index Options'!$M:$M,'BSE - Other Index Options'!$C:$C,$A213,'BSE - Other Index Options'!$B:$B,C$147))</f>
        <v/>
      </c>
      <c r="D213" s="26">
        <f>IF(SUMIFS('BSE - SENSEX Index Options'!$M:$M,'BSE - SENSEX Index Options'!$C:$C,$A213,'BSE - SENSEX Index Options'!$B:$B,D$147)+SUMIFS('BSE - Other Index Options'!$M:$M,'BSE - Other Index Options'!$C:$C,$A213,'BSE - Other Index Options'!$B:$B,D$147)=0,"",SUMIFS('BSE - SENSEX Index Options'!$M:$M,'BSE - SENSEX Index Options'!$C:$C,$A213,'BSE - SENSEX Index Options'!$B:$B,D$147)+SUMIFS('BSE - Other Index Options'!$M:$M,'BSE - Other Index Options'!$C:$C,$A213,'BSE - Other Index Options'!$B:$B,D$147))</f>
        <v/>
      </c>
      <c r="E213" s="26">
        <f>IF(SUMIFS('BSE - SENSEX Index Options'!$M:$M,'BSE - SENSEX Index Options'!$C:$C,$A213,'BSE - SENSEX Index Options'!$B:$B,E$147)+SUMIFS('BSE - Other Index Options'!$M:$M,'BSE - Other Index Options'!$C:$C,$A213,'BSE - Other Index Options'!$B:$B,E$147)=0,"",SUMIFS('BSE - SENSEX Index Options'!$M:$M,'BSE - SENSEX Index Options'!$C:$C,$A213,'BSE - SENSEX Index Options'!$B:$B,E$147)+SUMIFS('BSE - Other Index Options'!$M:$M,'BSE - Other Index Options'!$C:$C,$A213,'BSE - Other Index Options'!$B:$B,E$147))</f>
        <v/>
      </c>
      <c r="F213" s="26">
        <f>IF(SUMIFS('BSE - SENSEX Index Options'!$M:$M,'BSE - SENSEX Index Options'!$C:$C,$A213,'BSE - SENSEX Index Options'!$B:$B,F$147)+SUMIFS('BSE - Other Index Options'!$M:$M,'BSE - Other Index Options'!$C:$C,$A213,'BSE - Other Index Options'!$B:$B,F$147)=0,"",SUMIFS('BSE - SENSEX Index Options'!$M:$M,'BSE - SENSEX Index Options'!$C:$C,$A213,'BSE - SENSEX Index Options'!$B:$B,F$147)+SUMIFS('BSE - Other Index Options'!$M:$M,'BSE - Other Index Options'!$C:$C,$A213,'BSE - Other Index Options'!$B:$B,F$147))</f>
        <v/>
      </c>
      <c r="G213" s="26">
        <f>IF(SUMIFS('BSE - SENSEX Index Options'!$M:$M,'BSE - SENSEX Index Options'!$C:$C,$A213,'BSE - SENSEX Index Options'!$B:$B,G$147)+SUMIFS('BSE - Other Index Options'!$M:$M,'BSE - Other Index Options'!$C:$C,$A213,'BSE - Other Index Options'!$B:$B,G$147)=0,"",SUMIFS('BSE - SENSEX Index Options'!$M:$M,'BSE - SENSEX Index Options'!$C:$C,$A213,'BSE - SENSEX Index Options'!$B:$B,G$147)+SUMIFS('BSE - Other Index Options'!$M:$M,'BSE - Other Index Options'!$C:$C,$A213,'BSE - Other Index Options'!$B:$B,G$147))</f>
        <v/>
      </c>
      <c r="H213" s="26">
        <f>IF(SUM(B213:G213)=0,"",SUM(B213:G213))</f>
        <v/>
      </c>
    </row>
    <row r="214" hidden="1" outlineLevel="1">
      <c r="A214" t="inlineStr">
        <is>
          <t>Week3-Oct-2026</t>
        </is>
      </c>
      <c r="B214" s="26">
        <f>IF(SUMIFS('BSE - SENSEX Index Options'!$M:$M,'BSE - SENSEX Index Options'!$C:$C,$A214,'BSE - SENSEX Index Options'!$B:$B,B$147)+SUMIFS('BSE - Other Index Options'!$M:$M,'BSE - Other Index Options'!$C:$C,$A214,'BSE - Other Index Options'!$B:$B,B$147)=0,"",SUMIFS('BSE - SENSEX Index Options'!$M:$M,'BSE - SENSEX Index Options'!$C:$C,$A214,'BSE - SENSEX Index Options'!$B:$B,B$147)+SUMIFS('BSE - Other Index Options'!$M:$M,'BSE - Other Index Options'!$C:$C,$A214,'BSE - Other Index Options'!$B:$B,B$147))</f>
        <v/>
      </c>
      <c r="C214" s="26">
        <f>IF(SUMIFS('BSE - SENSEX Index Options'!$M:$M,'BSE - SENSEX Index Options'!$C:$C,$A214,'BSE - SENSEX Index Options'!$B:$B,C$147)+SUMIFS('BSE - Other Index Options'!$M:$M,'BSE - Other Index Options'!$C:$C,$A214,'BSE - Other Index Options'!$B:$B,C$147)=0,"",SUMIFS('BSE - SENSEX Index Options'!$M:$M,'BSE - SENSEX Index Options'!$C:$C,$A214,'BSE - SENSEX Index Options'!$B:$B,C$147)+SUMIFS('BSE - Other Index Options'!$M:$M,'BSE - Other Index Options'!$C:$C,$A214,'BSE - Other Index Options'!$B:$B,C$147))</f>
        <v/>
      </c>
      <c r="D214" s="26">
        <f>IF(SUMIFS('BSE - SENSEX Index Options'!$M:$M,'BSE - SENSEX Index Options'!$C:$C,$A214,'BSE - SENSEX Index Options'!$B:$B,D$147)+SUMIFS('BSE - Other Index Options'!$M:$M,'BSE - Other Index Options'!$C:$C,$A214,'BSE - Other Index Options'!$B:$B,D$147)=0,"",SUMIFS('BSE - SENSEX Index Options'!$M:$M,'BSE - SENSEX Index Options'!$C:$C,$A214,'BSE - SENSEX Index Options'!$B:$B,D$147)+SUMIFS('BSE - Other Index Options'!$M:$M,'BSE - Other Index Options'!$C:$C,$A214,'BSE - Other Index Options'!$B:$B,D$147))</f>
        <v/>
      </c>
      <c r="E214" s="26">
        <f>IF(SUMIFS('BSE - SENSEX Index Options'!$M:$M,'BSE - SENSEX Index Options'!$C:$C,$A214,'BSE - SENSEX Index Options'!$B:$B,E$147)+SUMIFS('BSE - Other Index Options'!$M:$M,'BSE - Other Index Options'!$C:$C,$A214,'BSE - Other Index Options'!$B:$B,E$147)=0,"",SUMIFS('BSE - SENSEX Index Options'!$M:$M,'BSE - SENSEX Index Options'!$C:$C,$A214,'BSE - SENSEX Index Options'!$B:$B,E$147)+SUMIFS('BSE - Other Index Options'!$M:$M,'BSE - Other Index Options'!$C:$C,$A214,'BSE - Other Index Options'!$B:$B,E$147))</f>
        <v/>
      </c>
      <c r="F214" s="26">
        <f>IF(SUMIFS('BSE - SENSEX Index Options'!$M:$M,'BSE - SENSEX Index Options'!$C:$C,$A214,'BSE - SENSEX Index Options'!$B:$B,F$147)+SUMIFS('BSE - Other Index Options'!$M:$M,'BSE - Other Index Options'!$C:$C,$A214,'BSE - Other Index Options'!$B:$B,F$147)=0,"",SUMIFS('BSE - SENSEX Index Options'!$M:$M,'BSE - SENSEX Index Options'!$C:$C,$A214,'BSE - SENSEX Index Options'!$B:$B,F$147)+SUMIFS('BSE - Other Index Options'!$M:$M,'BSE - Other Index Options'!$C:$C,$A214,'BSE - Other Index Options'!$B:$B,F$147))</f>
        <v/>
      </c>
      <c r="G214" s="26">
        <f>IF(SUMIFS('BSE - SENSEX Index Options'!$M:$M,'BSE - SENSEX Index Options'!$C:$C,$A214,'BSE - SENSEX Index Options'!$B:$B,G$147)+SUMIFS('BSE - Other Index Options'!$M:$M,'BSE - Other Index Options'!$C:$C,$A214,'BSE - Other Index Options'!$B:$B,G$147)=0,"",SUMIFS('BSE - SENSEX Index Options'!$M:$M,'BSE - SENSEX Index Options'!$C:$C,$A214,'BSE - SENSEX Index Options'!$B:$B,G$147)+SUMIFS('BSE - Other Index Options'!$M:$M,'BSE - Other Index Options'!$C:$C,$A214,'BSE - Other Index Options'!$B:$B,G$147))</f>
        <v/>
      </c>
      <c r="H214" s="26">
        <f>IF(SUM(B214:G214)=0,"",SUM(B214:G214))</f>
        <v/>
      </c>
    </row>
    <row r="215" hidden="1" outlineLevel="1">
      <c r="A215" t="inlineStr">
        <is>
          <t>Week4-Oct-2026</t>
        </is>
      </c>
      <c r="B215" s="26">
        <f>IF(SUMIFS('BSE - SENSEX Index Options'!$M:$M,'BSE - SENSEX Index Options'!$C:$C,$A215,'BSE - SENSEX Index Options'!$B:$B,B$147)+SUMIFS('BSE - Other Index Options'!$M:$M,'BSE - Other Index Options'!$C:$C,$A215,'BSE - Other Index Options'!$B:$B,B$147)=0,"",SUMIFS('BSE - SENSEX Index Options'!$M:$M,'BSE - SENSEX Index Options'!$C:$C,$A215,'BSE - SENSEX Index Options'!$B:$B,B$147)+SUMIFS('BSE - Other Index Options'!$M:$M,'BSE - Other Index Options'!$C:$C,$A215,'BSE - Other Index Options'!$B:$B,B$147))</f>
        <v/>
      </c>
      <c r="C215" s="26">
        <f>IF(SUMIFS('BSE - SENSEX Index Options'!$M:$M,'BSE - SENSEX Index Options'!$C:$C,$A215,'BSE - SENSEX Index Options'!$B:$B,C$147)+SUMIFS('BSE - Other Index Options'!$M:$M,'BSE - Other Index Options'!$C:$C,$A215,'BSE - Other Index Options'!$B:$B,C$147)=0,"",SUMIFS('BSE - SENSEX Index Options'!$M:$M,'BSE - SENSEX Index Options'!$C:$C,$A215,'BSE - SENSEX Index Options'!$B:$B,C$147)+SUMIFS('BSE - Other Index Options'!$M:$M,'BSE - Other Index Options'!$C:$C,$A215,'BSE - Other Index Options'!$B:$B,C$147))</f>
        <v/>
      </c>
      <c r="D215" s="26">
        <f>IF(SUMIFS('BSE - SENSEX Index Options'!$M:$M,'BSE - SENSEX Index Options'!$C:$C,$A215,'BSE - SENSEX Index Options'!$B:$B,D$147)+SUMIFS('BSE - Other Index Options'!$M:$M,'BSE - Other Index Options'!$C:$C,$A215,'BSE - Other Index Options'!$B:$B,D$147)=0,"",SUMIFS('BSE - SENSEX Index Options'!$M:$M,'BSE - SENSEX Index Options'!$C:$C,$A215,'BSE - SENSEX Index Options'!$B:$B,D$147)+SUMIFS('BSE - Other Index Options'!$M:$M,'BSE - Other Index Options'!$C:$C,$A215,'BSE - Other Index Options'!$B:$B,D$147))</f>
        <v/>
      </c>
      <c r="E215" s="26">
        <f>IF(SUMIFS('BSE - SENSEX Index Options'!$M:$M,'BSE - SENSEX Index Options'!$C:$C,$A215,'BSE - SENSEX Index Options'!$B:$B,E$147)+SUMIFS('BSE - Other Index Options'!$M:$M,'BSE - Other Index Options'!$C:$C,$A215,'BSE - Other Index Options'!$B:$B,E$147)=0,"",SUMIFS('BSE - SENSEX Index Options'!$M:$M,'BSE - SENSEX Index Options'!$C:$C,$A215,'BSE - SENSEX Index Options'!$B:$B,E$147)+SUMIFS('BSE - Other Index Options'!$M:$M,'BSE - Other Index Options'!$C:$C,$A215,'BSE - Other Index Options'!$B:$B,E$147))</f>
        <v/>
      </c>
      <c r="F215" s="26">
        <f>IF(SUMIFS('BSE - SENSEX Index Options'!$M:$M,'BSE - SENSEX Index Options'!$C:$C,$A215,'BSE - SENSEX Index Options'!$B:$B,F$147)+SUMIFS('BSE - Other Index Options'!$M:$M,'BSE - Other Index Options'!$C:$C,$A215,'BSE - Other Index Options'!$B:$B,F$147)=0,"",SUMIFS('BSE - SENSEX Index Options'!$M:$M,'BSE - SENSEX Index Options'!$C:$C,$A215,'BSE - SENSEX Index Options'!$B:$B,F$147)+SUMIFS('BSE - Other Index Options'!$M:$M,'BSE - Other Index Options'!$C:$C,$A215,'BSE - Other Index Options'!$B:$B,F$147))</f>
        <v/>
      </c>
      <c r="G215" s="26">
        <f>IF(SUMIFS('BSE - SENSEX Index Options'!$M:$M,'BSE - SENSEX Index Options'!$C:$C,$A215,'BSE - SENSEX Index Options'!$B:$B,G$147)+SUMIFS('BSE - Other Index Options'!$M:$M,'BSE - Other Index Options'!$C:$C,$A215,'BSE - Other Index Options'!$B:$B,G$147)=0,"",SUMIFS('BSE - SENSEX Index Options'!$M:$M,'BSE - SENSEX Index Options'!$C:$C,$A215,'BSE - SENSEX Index Options'!$B:$B,G$147)+SUMIFS('BSE - Other Index Options'!$M:$M,'BSE - Other Index Options'!$C:$C,$A215,'BSE - Other Index Options'!$B:$B,G$147))</f>
        <v/>
      </c>
      <c r="H215" s="26">
        <f>IF(SUM(B215:G215)=0,"",SUM(B215:G215))</f>
        <v/>
      </c>
    </row>
    <row r="216" hidden="1" outlineLevel="1">
      <c r="A216" t="inlineStr">
        <is>
          <t>Week5-Oct-2026</t>
        </is>
      </c>
      <c r="B216" s="26">
        <f>IF(SUMIFS('BSE - SENSEX Index Options'!$M:$M,'BSE - SENSEX Index Options'!$C:$C,$A216,'BSE - SENSEX Index Options'!$B:$B,B$147)+SUMIFS('BSE - Other Index Options'!$M:$M,'BSE - Other Index Options'!$C:$C,$A216,'BSE - Other Index Options'!$B:$B,B$147)=0,"",SUMIFS('BSE - SENSEX Index Options'!$M:$M,'BSE - SENSEX Index Options'!$C:$C,$A216,'BSE - SENSEX Index Options'!$B:$B,B$147)+SUMIFS('BSE - Other Index Options'!$M:$M,'BSE - Other Index Options'!$C:$C,$A216,'BSE - Other Index Options'!$B:$B,B$147))</f>
        <v/>
      </c>
      <c r="C216" s="26">
        <f>IF(SUMIFS('BSE - SENSEX Index Options'!$M:$M,'BSE - SENSEX Index Options'!$C:$C,$A216,'BSE - SENSEX Index Options'!$B:$B,C$147)+SUMIFS('BSE - Other Index Options'!$M:$M,'BSE - Other Index Options'!$C:$C,$A216,'BSE - Other Index Options'!$B:$B,C$147)=0,"",SUMIFS('BSE - SENSEX Index Options'!$M:$M,'BSE - SENSEX Index Options'!$C:$C,$A216,'BSE - SENSEX Index Options'!$B:$B,C$147)+SUMIFS('BSE - Other Index Options'!$M:$M,'BSE - Other Index Options'!$C:$C,$A216,'BSE - Other Index Options'!$B:$B,C$147))</f>
        <v/>
      </c>
      <c r="D216" s="26">
        <f>IF(SUMIFS('BSE - SENSEX Index Options'!$M:$M,'BSE - SENSEX Index Options'!$C:$C,$A216,'BSE - SENSEX Index Options'!$B:$B,D$147)+SUMIFS('BSE - Other Index Options'!$M:$M,'BSE - Other Index Options'!$C:$C,$A216,'BSE - Other Index Options'!$B:$B,D$147)=0,"",SUMIFS('BSE - SENSEX Index Options'!$M:$M,'BSE - SENSEX Index Options'!$C:$C,$A216,'BSE - SENSEX Index Options'!$B:$B,D$147)+SUMIFS('BSE - Other Index Options'!$M:$M,'BSE - Other Index Options'!$C:$C,$A216,'BSE - Other Index Options'!$B:$B,D$147))</f>
        <v/>
      </c>
      <c r="E216" s="26">
        <f>IF(SUMIFS('BSE - SENSEX Index Options'!$M:$M,'BSE - SENSEX Index Options'!$C:$C,$A216,'BSE - SENSEX Index Options'!$B:$B,E$147)+SUMIFS('BSE - Other Index Options'!$M:$M,'BSE - Other Index Options'!$C:$C,$A216,'BSE - Other Index Options'!$B:$B,E$147)=0,"",SUMIFS('BSE - SENSEX Index Options'!$M:$M,'BSE - SENSEX Index Options'!$C:$C,$A216,'BSE - SENSEX Index Options'!$B:$B,E$147)+SUMIFS('BSE - Other Index Options'!$M:$M,'BSE - Other Index Options'!$C:$C,$A216,'BSE - Other Index Options'!$B:$B,E$147))</f>
        <v/>
      </c>
      <c r="F216" s="26">
        <f>IF(SUMIFS('BSE - SENSEX Index Options'!$M:$M,'BSE - SENSEX Index Options'!$C:$C,$A216,'BSE - SENSEX Index Options'!$B:$B,F$147)+SUMIFS('BSE - Other Index Options'!$M:$M,'BSE - Other Index Options'!$C:$C,$A216,'BSE - Other Index Options'!$B:$B,F$147)=0,"",SUMIFS('BSE - SENSEX Index Options'!$M:$M,'BSE - SENSEX Index Options'!$C:$C,$A216,'BSE - SENSEX Index Options'!$B:$B,F$147)+SUMIFS('BSE - Other Index Options'!$M:$M,'BSE - Other Index Options'!$C:$C,$A216,'BSE - Other Index Options'!$B:$B,F$147))</f>
        <v/>
      </c>
      <c r="G216" s="26">
        <f>IF(SUMIFS('BSE - SENSEX Index Options'!$M:$M,'BSE - SENSEX Index Options'!$C:$C,$A216,'BSE - SENSEX Index Options'!$B:$B,G$147)+SUMIFS('BSE - Other Index Options'!$M:$M,'BSE - Other Index Options'!$C:$C,$A216,'BSE - Other Index Options'!$B:$B,G$147)=0,"",SUMIFS('BSE - SENSEX Index Options'!$M:$M,'BSE - SENSEX Index Options'!$C:$C,$A216,'BSE - SENSEX Index Options'!$B:$B,G$147)+SUMIFS('BSE - Other Index Options'!$M:$M,'BSE - Other Index Options'!$C:$C,$A216,'BSE - Other Index Options'!$B:$B,G$147))</f>
        <v/>
      </c>
      <c r="H216" s="26">
        <f>IF(SUM(B216:G216)=0,"",SUM(B216:G216))</f>
        <v/>
      </c>
    </row>
    <row r="217" hidden="1" outlineLevel="1">
      <c r="A217" t="inlineStr">
        <is>
          <t>Week1-Nov-2026</t>
        </is>
      </c>
      <c r="B217" s="26">
        <f>IF(SUMIFS('BSE - SENSEX Index Options'!$M:$M,'BSE - SENSEX Index Options'!$C:$C,$A217,'BSE - SENSEX Index Options'!$B:$B,B$147)+SUMIFS('BSE - Other Index Options'!$M:$M,'BSE - Other Index Options'!$C:$C,$A217,'BSE - Other Index Options'!$B:$B,B$147)=0,"",SUMIFS('BSE - SENSEX Index Options'!$M:$M,'BSE - SENSEX Index Options'!$C:$C,$A217,'BSE - SENSEX Index Options'!$B:$B,B$147)+SUMIFS('BSE - Other Index Options'!$M:$M,'BSE - Other Index Options'!$C:$C,$A217,'BSE - Other Index Options'!$B:$B,B$147))</f>
        <v/>
      </c>
      <c r="C217" s="26">
        <f>IF(SUMIFS('BSE - SENSEX Index Options'!$M:$M,'BSE - SENSEX Index Options'!$C:$C,$A217,'BSE - SENSEX Index Options'!$B:$B,C$147)+SUMIFS('BSE - Other Index Options'!$M:$M,'BSE - Other Index Options'!$C:$C,$A217,'BSE - Other Index Options'!$B:$B,C$147)=0,"",SUMIFS('BSE - SENSEX Index Options'!$M:$M,'BSE - SENSEX Index Options'!$C:$C,$A217,'BSE - SENSEX Index Options'!$B:$B,C$147)+SUMIFS('BSE - Other Index Options'!$M:$M,'BSE - Other Index Options'!$C:$C,$A217,'BSE - Other Index Options'!$B:$B,C$147))</f>
        <v/>
      </c>
      <c r="D217" s="26">
        <f>IF(SUMIFS('BSE - SENSEX Index Options'!$M:$M,'BSE - SENSEX Index Options'!$C:$C,$A217,'BSE - SENSEX Index Options'!$B:$B,D$147)+SUMIFS('BSE - Other Index Options'!$M:$M,'BSE - Other Index Options'!$C:$C,$A217,'BSE - Other Index Options'!$B:$B,D$147)=0,"",SUMIFS('BSE - SENSEX Index Options'!$M:$M,'BSE - SENSEX Index Options'!$C:$C,$A217,'BSE - SENSEX Index Options'!$B:$B,D$147)+SUMIFS('BSE - Other Index Options'!$M:$M,'BSE - Other Index Options'!$C:$C,$A217,'BSE - Other Index Options'!$B:$B,D$147))</f>
        <v/>
      </c>
      <c r="E217" s="26">
        <f>IF(SUMIFS('BSE - SENSEX Index Options'!$M:$M,'BSE - SENSEX Index Options'!$C:$C,$A217,'BSE - SENSEX Index Options'!$B:$B,E$147)+SUMIFS('BSE - Other Index Options'!$M:$M,'BSE - Other Index Options'!$C:$C,$A217,'BSE - Other Index Options'!$B:$B,E$147)=0,"",SUMIFS('BSE - SENSEX Index Options'!$M:$M,'BSE - SENSEX Index Options'!$C:$C,$A217,'BSE - SENSEX Index Options'!$B:$B,E$147)+SUMIFS('BSE - Other Index Options'!$M:$M,'BSE - Other Index Options'!$C:$C,$A217,'BSE - Other Index Options'!$B:$B,E$147))</f>
        <v/>
      </c>
      <c r="F217" s="26">
        <f>IF(SUMIFS('BSE - SENSEX Index Options'!$M:$M,'BSE - SENSEX Index Options'!$C:$C,$A217,'BSE - SENSEX Index Options'!$B:$B,F$147)+SUMIFS('BSE - Other Index Options'!$M:$M,'BSE - Other Index Options'!$C:$C,$A217,'BSE - Other Index Options'!$B:$B,F$147)=0,"",SUMIFS('BSE - SENSEX Index Options'!$M:$M,'BSE - SENSEX Index Options'!$C:$C,$A217,'BSE - SENSEX Index Options'!$B:$B,F$147)+SUMIFS('BSE - Other Index Options'!$M:$M,'BSE - Other Index Options'!$C:$C,$A217,'BSE - Other Index Options'!$B:$B,F$147))</f>
        <v/>
      </c>
      <c r="G217" s="26">
        <f>IF(SUMIFS('BSE - SENSEX Index Options'!$M:$M,'BSE - SENSEX Index Options'!$C:$C,$A217,'BSE - SENSEX Index Options'!$B:$B,G$147)+SUMIFS('BSE - Other Index Options'!$M:$M,'BSE - Other Index Options'!$C:$C,$A217,'BSE - Other Index Options'!$B:$B,G$147)=0,"",SUMIFS('BSE - SENSEX Index Options'!$M:$M,'BSE - SENSEX Index Options'!$C:$C,$A217,'BSE - SENSEX Index Options'!$B:$B,G$147)+SUMIFS('BSE - Other Index Options'!$M:$M,'BSE - Other Index Options'!$C:$C,$A217,'BSE - Other Index Options'!$B:$B,G$147))</f>
        <v/>
      </c>
      <c r="H217" s="26">
        <f>IF(SUM(B217:G217)=0,"",SUM(B217:G217))</f>
        <v/>
      </c>
    </row>
    <row r="218" hidden="1" outlineLevel="1">
      <c r="A218" t="inlineStr">
        <is>
          <t>Week2-Nov-2026</t>
        </is>
      </c>
      <c r="B218" s="26">
        <f>IF(SUMIFS('BSE - SENSEX Index Options'!$M:$M,'BSE - SENSEX Index Options'!$C:$C,$A218,'BSE - SENSEX Index Options'!$B:$B,B$147)+SUMIFS('BSE - Other Index Options'!$M:$M,'BSE - Other Index Options'!$C:$C,$A218,'BSE - Other Index Options'!$B:$B,B$147)=0,"",SUMIFS('BSE - SENSEX Index Options'!$M:$M,'BSE - SENSEX Index Options'!$C:$C,$A218,'BSE - SENSEX Index Options'!$B:$B,B$147)+SUMIFS('BSE - Other Index Options'!$M:$M,'BSE - Other Index Options'!$C:$C,$A218,'BSE - Other Index Options'!$B:$B,B$147))</f>
        <v/>
      </c>
      <c r="C218" s="26">
        <f>IF(SUMIFS('BSE - SENSEX Index Options'!$M:$M,'BSE - SENSEX Index Options'!$C:$C,$A218,'BSE - SENSEX Index Options'!$B:$B,C$147)+SUMIFS('BSE - Other Index Options'!$M:$M,'BSE - Other Index Options'!$C:$C,$A218,'BSE - Other Index Options'!$B:$B,C$147)=0,"",SUMIFS('BSE - SENSEX Index Options'!$M:$M,'BSE - SENSEX Index Options'!$C:$C,$A218,'BSE - SENSEX Index Options'!$B:$B,C$147)+SUMIFS('BSE - Other Index Options'!$M:$M,'BSE - Other Index Options'!$C:$C,$A218,'BSE - Other Index Options'!$B:$B,C$147))</f>
        <v/>
      </c>
      <c r="D218" s="26">
        <f>IF(SUMIFS('BSE - SENSEX Index Options'!$M:$M,'BSE - SENSEX Index Options'!$C:$C,$A218,'BSE - SENSEX Index Options'!$B:$B,D$147)+SUMIFS('BSE - Other Index Options'!$M:$M,'BSE - Other Index Options'!$C:$C,$A218,'BSE - Other Index Options'!$B:$B,D$147)=0,"",SUMIFS('BSE - SENSEX Index Options'!$M:$M,'BSE - SENSEX Index Options'!$C:$C,$A218,'BSE - SENSEX Index Options'!$B:$B,D$147)+SUMIFS('BSE - Other Index Options'!$M:$M,'BSE - Other Index Options'!$C:$C,$A218,'BSE - Other Index Options'!$B:$B,D$147))</f>
        <v/>
      </c>
      <c r="E218" s="26">
        <f>IF(SUMIFS('BSE - SENSEX Index Options'!$M:$M,'BSE - SENSEX Index Options'!$C:$C,$A218,'BSE - SENSEX Index Options'!$B:$B,E$147)+SUMIFS('BSE - Other Index Options'!$M:$M,'BSE - Other Index Options'!$C:$C,$A218,'BSE - Other Index Options'!$B:$B,E$147)=0,"",SUMIFS('BSE - SENSEX Index Options'!$M:$M,'BSE - SENSEX Index Options'!$C:$C,$A218,'BSE - SENSEX Index Options'!$B:$B,E$147)+SUMIFS('BSE - Other Index Options'!$M:$M,'BSE - Other Index Options'!$C:$C,$A218,'BSE - Other Index Options'!$B:$B,E$147))</f>
        <v/>
      </c>
      <c r="F218" s="26">
        <f>IF(SUMIFS('BSE - SENSEX Index Options'!$M:$M,'BSE - SENSEX Index Options'!$C:$C,$A218,'BSE - SENSEX Index Options'!$B:$B,F$147)+SUMIFS('BSE - Other Index Options'!$M:$M,'BSE - Other Index Options'!$C:$C,$A218,'BSE - Other Index Options'!$B:$B,F$147)=0,"",SUMIFS('BSE - SENSEX Index Options'!$M:$M,'BSE - SENSEX Index Options'!$C:$C,$A218,'BSE - SENSEX Index Options'!$B:$B,F$147)+SUMIFS('BSE - Other Index Options'!$M:$M,'BSE - Other Index Options'!$C:$C,$A218,'BSE - Other Index Options'!$B:$B,F$147))</f>
        <v/>
      </c>
      <c r="G218" s="26">
        <f>IF(SUMIFS('BSE - SENSEX Index Options'!$M:$M,'BSE - SENSEX Index Options'!$C:$C,$A218,'BSE - SENSEX Index Options'!$B:$B,G$147)+SUMIFS('BSE - Other Index Options'!$M:$M,'BSE - Other Index Options'!$C:$C,$A218,'BSE - Other Index Options'!$B:$B,G$147)=0,"",SUMIFS('BSE - SENSEX Index Options'!$M:$M,'BSE - SENSEX Index Options'!$C:$C,$A218,'BSE - SENSEX Index Options'!$B:$B,G$147)+SUMIFS('BSE - Other Index Options'!$M:$M,'BSE - Other Index Options'!$C:$C,$A218,'BSE - Other Index Options'!$B:$B,G$147))</f>
        <v/>
      </c>
      <c r="H218" s="26">
        <f>IF(SUM(B218:G218)=0,"",SUM(B218:G218))</f>
        <v/>
      </c>
    </row>
    <row r="219" hidden="1" outlineLevel="1">
      <c r="A219" t="inlineStr">
        <is>
          <t>Week3-Nov-2026</t>
        </is>
      </c>
      <c r="B219" s="26">
        <f>IF(SUMIFS('BSE - SENSEX Index Options'!$M:$M,'BSE - SENSEX Index Options'!$C:$C,$A219,'BSE - SENSEX Index Options'!$B:$B,B$147)+SUMIFS('BSE - Other Index Options'!$M:$M,'BSE - Other Index Options'!$C:$C,$A219,'BSE - Other Index Options'!$B:$B,B$147)=0,"",SUMIFS('BSE - SENSEX Index Options'!$M:$M,'BSE - SENSEX Index Options'!$C:$C,$A219,'BSE - SENSEX Index Options'!$B:$B,B$147)+SUMIFS('BSE - Other Index Options'!$M:$M,'BSE - Other Index Options'!$C:$C,$A219,'BSE - Other Index Options'!$B:$B,B$147))</f>
        <v/>
      </c>
      <c r="C219" s="26">
        <f>IF(SUMIFS('BSE - SENSEX Index Options'!$M:$M,'BSE - SENSEX Index Options'!$C:$C,$A219,'BSE - SENSEX Index Options'!$B:$B,C$147)+SUMIFS('BSE - Other Index Options'!$M:$M,'BSE - Other Index Options'!$C:$C,$A219,'BSE - Other Index Options'!$B:$B,C$147)=0,"",SUMIFS('BSE - SENSEX Index Options'!$M:$M,'BSE - SENSEX Index Options'!$C:$C,$A219,'BSE - SENSEX Index Options'!$B:$B,C$147)+SUMIFS('BSE - Other Index Options'!$M:$M,'BSE - Other Index Options'!$C:$C,$A219,'BSE - Other Index Options'!$B:$B,C$147))</f>
        <v/>
      </c>
      <c r="D219" s="26">
        <f>IF(SUMIFS('BSE - SENSEX Index Options'!$M:$M,'BSE - SENSEX Index Options'!$C:$C,$A219,'BSE - SENSEX Index Options'!$B:$B,D$147)+SUMIFS('BSE - Other Index Options'!$M:$M,'BSE - Other Index Options'!$C:$C,$A219,'BSE - Other Index Options'!$B:$B,D$147)=0,"",SUMIFS('BSE - SENSEX Index Options'!$M:$M,'BSE - SENSEX Index Options'!$C:$C,$A219,'BSE - SENSEX Index Options'!$B:$B,D$147)+SUMIFS('BSE - Other Index Options'!$M:$M,'BSE - Other Index Options'!$C:$C,$A219,'BSE - Other Index Options'!$B:$B,D$147))</f>
        <v/>
      </c>
      <c r="E219" s="26">
        <f>IF(SUMIFS('BSE - SENSEX Index Options'!$M:$M,'BSE - SENSEX Index Options'!$C:$C,$A219,'BSE - SENSEX Index Options'!$B:$B,E$147)+SUMIFS('BSE - Other Index Options'!$M:$M,'BSE - Other Index Options'!$C:$C,$A219,'BSE - Other Index Options'!$B:$B,E$147)=0,"",SUMIFS('BSE - SENSEX Index Options'!$M:$M,'BSE - SENSEX Index Options'!$C:$C,$A219,'BSE - SENSEX Index Options'!$B:$B,E$147)+SUMIFS('BSE - Other Index Options'!$M:$M,'BSE - Other Index Options'!$C:$C,$A219,'BSE - Other Index Options'!$B:$B,E$147))</f>
        <v/>
      </c>
      <c r="F219" s="26">
        <f>IF(SUMIFS('BSE - SENSEX Index Options'!$M:$M,'BSE - SENSEX Index Options'!$C:$C,$A219,'BSE - SENSEX Index Options'!$B:$B,F$147)+SUMIFS('BSE - Other Index Options'!$M:$M,'BSE - Other Index Options'!$C:$C,$A219,'BSE - Other Index Options'!$B:$B,F$147)=0,"",SUMIFS('BSE - SENSEX Index Options'!$M:$M,'BSE - SENSEX Index Options'!$C:$C,$A219,'BSE - SENSEX Index Options'!$B:$B,F$147)+SUMIFS('BSE - Other Index Options'!$M:$M,'BSE - Other Index Options'!$C:$C,$A219,'BSE - Other Index Options'!$B:$B,F$147))</f>
        <v/>
      </c>
      <c r="G219" s="26">
        <f>IF(SUMIFS('BSE - SENSEX Index Options'!$M:$M,'BSE - SENSEX Index Options'!$C:$C,$A219,'BSE - SENSEX Index Options'!$B:$B,G$147)+SUMIFS('BSE - Other Index Options'!$M:$M,'BSE - Other Index Options'!$C:$C,$A219,'BSE - Other Index Options'!$B:$B,G$147)=0,"",SUMIFS('BSE - SENSEX Index Options'!$M:$M,'BSE - SENSEX Index Options'!$C:$C,$A219,'BSE - SENSEX Index Options'!$B:$B,G$147)+SUMIFS('BSE - Other Index Options'!$M:$M,'BSE - Other Index Options'!$C:$C,$A219,'BSE - Other Index Options'!$B:$B,G$147))</f>
        <v/>
      </c>
      <c r="H219" s="26">
        <f>IF(SUM(B219:G219)=0,"",SUM(B219:G219))</f>
        <v/>
      </c>
    </row>
    <row r="220" hidden="1" outlineLevel="1">
      <c r="A220" t="inlineStr">
        <is>
          <t>Week4-Nov-2026</t>
        </is>
      </c>
      <c r="B220" s="26">
        <f>IF(SUMIFS('BSE - SENSEX Index Options'!$M:$M,'BSE - SENSEX Index Options'!$C:$C,$A220,'BSE - SENSEX Index Options'!$B:$B,B$147)+SUMIFS('BSE - Other Index Options'!$M:$M,'BSE - Other Index Options'!$C:$C,$A220,'BSE - Other Index Options'!$B:$B,B$147)=0,"",SUMIFS('BSE - SENSEX Index Options'!$M:$M,'BSE - SENSEX Index Options'!$C:$C,$A220,'BSE - SENSEX Index Options'!$B:$B,B$147)+SUMIFS('BSE - Other Index Options'!$M:$M,'BSE - Other Index Options'!$C:$C,$A220,'BSE - Other Index Options'!$B:$B,B$147))</f>
        <v/>
      </c>
      <c r="C220" s="26">
        <f>IF(SUMIFS('BSE - SENSEX Index Options'!$M:$M,'BSE - SENSEX Index Options'!$C:$C,$A220,'BSE - SENSEX Index Options'!$B:$B,C$147)+SUMIFS('BSE - Other Index Options'!$M:$M,'BSE - Other Index Options'!$C:$C,$A220,'BSE - Other Index Options'!$B:$B,C$147)=0,"",SUMIFS('BSE - SENSEX Index Options'!$M:$M,'BSE - SENSEX Index Options'!$C:$C,$A220,'BSE - SENSEX Index Options'!$B:$B,C$147)+SUMIFS('BSE - Other Index Options'!$M:$M,'BSE - Other Index Options'!$C:$C,$A220,'BSE - Other Index Options'!$B:$B,C$147))</f>
        <v/>
      </c>
      <c r="D220" s="26">
        <f>IF(SUMIFS('BSE - SENSEX Index Options'!$M:$M,'BSE - SENSEX Index Options'!$C:$C,$A220,'BSE - SENSEX Index Options'!$B:$B,D$147)+SUMIFS('BSE - Other Index Options'!$M:$M,'BSE - Other Index Options'!$C:$C,$A220,'BSE - Other Index Options'!$B:$B,D$147)=0,"",SUMIFS('BSE - SENSEX Index Options'!$M:$M,'BSE - SENSEX Index Options'!$C:$C,$A220,'BSE - SENSEX Index Options'!$B:$B,D$147)+SUMIFS('BSE - Other Index Options'!$M:$M,'BSE - Other Index Options'!$C:$C,$A220,'BSE - Other Index Options'!$B:$B,D$147))</f>
        <v/>
      </c>
      <c r="E220" s="26">
        <f>IF(SUMIFS('BSE - SENSEX Index Options'!$M:$M,'BSE - SENSEX Index Options'!$C:$C,$A220,'BSE - SENSEX Index Options'!$B:$B,E$147)+SUMIFS('BSE - Other Index Options'!$M:$M,'BSE - Other Index Options'!$C:$C,$A220,'BSE - Other Index Options'!$B:$B,E$147)=0,"",SUMIFS('BSE - SENSEX Index Options'!$M:$M,'BSE - SENSEX Index Options'!$C:$C,$A220,'BSE - SENSEX Index Options'!$B:$B,E$147)+SUMIFS('BSE - Other Index Options'!$M:$M,'BSE - Other Index Options'!$C:$C,$A220,'BSE - Other Index Options'!$B:$B,E$147))</f>
        <v/>
      </c>
      <c r="F220" s="26">
        <f>IF(SUMIFS('BSE - SENSEX Index Options'!$M:$M,'BSE - SENSEX Index Options'!$C:$C,$A220,'BSE - SENSEX Index Options'!$B:$B,F$147)+SUMIFS('BSE - Other Index Options'!$M:$M,'BSE - Other Index Options'!$C:$C,$A220,'BSE - Other Index Options'!$B:$B,F$147)=0,"",SUMIFS('BSE - SENSEX Index Options'!$M:$M,'BSE - SENSEX Index Options'!$C:$C,$A220,'BSE - SENSEX Index Options'!$B:$B,F$147)+SUMIFS('BSE - Other Index Options'!$M:$M,'BSE - Other Index Options'!$C:$C,$A220,'BSE - Other Index Options'!$B:$B,F$147))</f>
        <v/>
      </c>
      <c r="G220" s="26">
        <f>IF(SUMIFS('BSE - SENSEX Index Options'!$M:$M,'BSE - SENSEX Index Options'!$C:$C,$A220,'BSE - SENSEX Index Options'!$B:$B,G$147)+SUMIFS('BSE - Other Index Options'!$M:$M,'BSE - Other Index Options'!$C:$C,$A220,'BSE - Other Index Options'!$B:$B,G$147)=0,"",SUMIFS('BSE - SENSEX Index Options'!$M:$M,'BSE - SENSEX Index Options'!$C:$C,$A220,'BSE - SENSEX Index Options'!$B:$B,G$147)+SUMIFS('BSE - Other Index Options'!$M:$M,'BSE - Other Index Options'!$C:$C,$A220,'BSE - Other Index Options'!$B:$B,G$147))</f>
        <v/>
      </c>
      <c r="H220" s="26">
        <f>IF(SUM(B220:G220)=0,"",SUM(B220:G220))</f>
        <v/>
      </c>
    </row>
    <row r="221" hidden="1" outlineLevel="1">
      <c r="A221" t="inlineStr">
        <is>
          <t>Week5-Nov-2026</t>
        </is>
      </c>
      <c r="B221" s="26">
        <f>IF(SUMIFS('BSE - SENSEX Index Options'!$M:$M,'BSE - SENSEX Index Options'!$C:$C,$A221,'BSE - SENSEX Index Options'!$B:$B,B$147)+SUMIFS('BSE - Other Index Options'!$M:$M,'BSE - Other Index Options'!$C:$C,$A221,'BSE - Other Index Options'!$B:$B,B$147)=0,"",SUMIFS('BSE - SENSEX Index Options'!$M:$M,'BSE - SENSEX Index Options'!$C:$C,$A221,'BSE - SENSEX Index Options'!$B:$B,B$147)+SUMIFS('BSE - Other Index Options'!$M:$M,'BSE - Other Index Options'!$C:$C,$A221,'BSE - Other Index Options'!$B:$B,B$147))</f>
        <v/>
      </c>
      <c r="C221" s="26">
        <f>IF(SUMIFS('BSE - SENSEX Index Options'!$M:$M,'BSE - SENSEX Index Options'!$C:$C,$A221,'BSE - SENSEX Index Options'!$B:$B,C$147)+SUMIFS('BSE - Other Index Options'!$M:$M,'BSE - Other Index Options'!$C:$C,$A221,'BSE - Other Index Options'!$B:$B,C$147)=0,"",SUMIFS('BSE - SENSEX Index Options'!$M:$M,'BSE - SENSEX Index Options'!$C:$C,$A221,'BSE - SENSEX Index Options'!$B:$B,C$147)+SUMIFS('BSE - Other Index Options'!$M:$M,'BSE - Other Index Options'!$C:$C,$A221,'BSE - Other Index Options'!$B:$B,C$147))</f>
        <v/>
      </c>
      <c r="D221" s="26">
        <f>IF(SUMIFS('BSE - SENSEX Index Options'!$M:$M,'BSE - SENSEX Index Options'!$C:$C,$A221,'BSE - SENSEX Index Options'!$B:$B,D$147)+SUMIFS('BSE - Other Index Options'!$M:$M,'BSE - Other Index Options'!$C:$C,$A221,'BSE - Other Index Options'!$B:$B,D$147)=0,"",SUMIFS('BSE - SENSEX Index Options'!$M:$M,'BSE - SENSEX Index Options'!$C:$C,$A221,'BSE - SENSEX Index Options'!$B:$B,D$147)+SUMIFS('BSE - Other Index Options'!$M:$M,'BSE - Other Index Options'!$C:$C,$A221,'BSE - Other Index Options'!$B:$B,D$147))</f>
        <v/>
      </c>
      <c r="E221" s="26">
        <f>IF(SUMIFS('BSE - SENSEX Index Options'!$M:$M,'BSE - SENSEX Index Options'!$C:$C,$A221,'BSE - SENSEX Index Options'!$B:$B,E$147)+SUMIFS('BSE - Other Index Options'!$M:$M,'BSE - Other Index Options'!$C:$C,$A221,'BSE - Other Index Options'!$B:$B,E$147)=0,"",SUMIFS('BSE - SENSEX Index Options'!$M:$M,'BSE - SENSEX Index Options'!$C:$C,$A221,'BSE - SENSEX Index Options'!$B:$B,E$147)+SUMIFS('BSE - Other Index Options'!$M:$M,'BSE - Other Index Options'!$C:$C,$A221,'BSE - Other Index Options'!$B:$B,E$147))</f>
        <v/>
      </c>
      <c r="F221" s="26">
        <f>IF(SUMIFS('BSE - SENSEX Index Options'!$M:$M,'BSE - SENSEX Index Options'!$C:$C,$A221,'BSE - SENSEX Index Options'!$B:$B,F$147)+SUMIFS('BSE - Other Index Options'!$M:$M,'BSE - Other Index Options'!$C:$C,$A221,'BSE - Other Index Options'!$B:$B,F$147)=0,"",SUMIFS('BSE - SENSEX Index Options'!$M:$M,'BSE - SENSEX Index Options'!$C:$C,$A221,'BSE - SENSEX Index Options'!$B:$B,F$147)+SUMIFS('BSE - Other Index Options'!$M:$M,'BSE - Other Index Options'!$C:$C,$A221,'BSE - Other Index Options'!$B:$B,F$147))</f>
        <v/>
      </c>
      <c r="G221" s="26">
        <f>IF(SUMIFS('BSE - SENSEX Index Options'!$M:$M,'BSE - SENSEX Index Options'!$C:$C,$A221,'BSE - SENSEX Index Options'!$B:$B,G$147)+SUMIFS('BSE - Other Index Options'!$M:$M,'BSE - Other Index Options'!$C:$C,$A221,'BSE - Other Index Options'!$B:$B,G$147)=0,"",SUMIFS('BSE - SENSEX Index Options'!$M:$M,'BSE - SENSEX Index Options'!$C:$C,$A221,'BSE - SENSEX Index Options'!$B:$B,G$147)+SUMIFS('BSE - Other Index Options'!$M:$M,'BSE - Other Index Options'!$C:$C,$A221,'BSE - Other Index Options'!$B:$B,G$147))</f>
        <v/>
      </c>
      <c r="H221" s="26">
        <f>IF(SUM(B221:G221)=0,"",SUM(B221:G221))</f>
        <v/>
      </c>
    </row>
    <row r="222" hidden="1" outlineLevel="1">
      <c r="A222" t="inlineStr">
        <is>
          <t>Week1-Dec-2026</t>
        </is>
      </c>
      <c r="B222" s="26">
        <f>IF(SUMIFS('BSE - SENSEX Index Options'!$M:$M,'BSE - SENSEX Index Options'!$C:$C,$A222,'BSE - SENSEX Index Options'!$B:$B,B$147)+SUMIFS('BSE - Other Index Options'!$M:$M,'BSE - Other Index Options'!$C:$C,$A222,'BSE - Other Index Options'!$B:$B,B$147)=0,"",SUMIFS('BSE - SENSEX Index Options'!$M:$M,'BSE - SENSEX Index Options'!$C:$C,$A222,'BSE - SENSEX Index Options'!$B:$B,B$147)+SUMIFS('BSE - Other Index Options'!$M:$M,'BSE - Other Index Options'!$C:$C,$A222,'BSE - Other Index Options'!$B:$B,B$147))</f>
        <v/>
      </c>
      <c r="C222" s="26">
        <f>IF(SUMIFS('BSE - SENSEX Index Options'!$M:$M,'BSE - SENSEX Index Options'!$C:$C,$A222,'BSE - SENSEX Index Options'!$B:$B,C$147)+SUMIFS('BSE - Other Index Options'!$M:$M,'BSE - Other Index Options'!$C:$C,$A222,'BSE - Other Index Options'!$B:$B,C$147)=0,"",SUMIFS('BSE - SENSEX Index Options'!$M:$M,'BSE - SENSEX Index Options'!$C:$C,$A222,'BSE - SENSEX Index Options'!$B:$B,C$147)+SUMIFS('BSE - Other Index Options'!$M:$M,'BSE - Other Index Options'!$C:$C,$A222,'BSE - Other Index Options'!$B:$B,C$147))</f>
        <v/>
      </c>
      <c r="D222" s="26">
        <f>IF(SUMIFS('BSE - SENSEX Index Options'!$M:$M,'BSE - SENSEX Index Options'!$C:$C,$A222,'BSE - SENSEX Index Options'!$B:$B,D$147)+SUMIFS('BSE - Other Index Options'!$M:$M,'BSE - Other Index Options'!$C:$C,$A222,'BSE - Other Index Options'!$B:$B,D$147)=0,"",SUMIFS('BSE - SENSEX Index Options'!$M:$M,'BSE - SENSEX Index Options'!$C:$C,$A222,'BSE - SENSEX Index Options'!$B:$B,D$147)+SUMIFS('BSE - Other Index Options'!$M:$M,'BSE - Other Index Options'!$C:$C,$A222,'BSE - Other Index Options'!$B:$B,D$147))</f>
        <v/>
      </c>
      <c r="E222" s="26">
        <f>IF(SUMIFS('BSE - SENSEX Index Options'!$M:$M,'BSE - SENSEX Index Options'!$C:$C,$A222,'BSE - SENSEX Index Options'!$B:$B,E$147)+SUMIFS('BSE - Other Index Options'!$M:$M,'BSE - Other Index Options'!$C:$C,$A222,'BSE - Other Index Options'!$B:$B,E$147)=0,"",SUMIFS('BSE - SENSEX Index Options'!$M:$M,'BSE - SENSEX Index Options'!$C:$C,$A222,'BSE - SENSEX Index Options'!$B:$B,E$147)+SUMIFS('BSE - Other Index Options'!$M:$M,'BSE - Other Index Options'!$C:$C,$A222,'BSE - Other Index Options'!$B:$B,E$147))</f>
        <v/>
      </c>
      <c r="F222" s="26">
        <f>IF(SUMIFS('BSE - SENSEX Index Options'!$M:$M,'BSE - SENSEX Index Options'!$C:$C,$A222,'BSE - SENSEX Index Options'!$B:$B,F$147)+SUMIFS('BSE - Other Index Options'!$M:$M,'BSE - Other Index Options'!$C:$C,$A222,'BSE - Other Index Options'!$B:$B,F$147)=0,"",SUMIFS('BSE - SENSEX Index Options'!$M:$M,'BSE - SENSEX Index Options'!$C:$C,$A222,'BSE - SENSEX Index Options'!$B:$B,F$147)+SUMIFS('BSE - Other Index Options'!$M:$M,'BSE - Other Index Options'!$C:$C,$A222,'BSE - Other Index Options'!$B:$B,F$147))</f>
        <v/>
      </c>
      <c r="G222" s="26">
        <f>IF(SUMIFS('BSE - SENSEX Index Options'!$M:$M,'BSE - SENSEX Index Options'!$C:$C,$A222,'BSE - SENSEX Index Options'!$B:$B,G$147)+SUMIFS('BSE - Other Index Options'!$M:$M,'BSE - Other Index Options'!$C:$C,$A222,'BSE - Other Index Options'!$B:$B,G$147)=0,"",SUMIFS('BSE - SENSEX Index Options'!$M:$M,'BSE - SENSEX Index Options'!$C:$C,$A222,'BSE - SENSEX Index Options'!$B:$B,G$147)+SUMIFS('BSE - Other Index Options'!$M:$M,'BSE - Other Index Options'!$C:$C,$A222,'BSE - Other Index Options'!$B:$B,G$147))</f>
        <v/>
      </c>
      <c r="H222" s="26">
        <f>IF(SUM(B222:G222)=0,"",SUM(B222:G222))</f>
        <v/>
      </c>
    </row>
    <row r="223" hidden="1" outlineLevel="1">
      <c r="A223" t="inlineStr">
        <is>
          <t>Week2-Dec-2026</t>
        </is>
      </c>
      <c r="B223" s="26">
        <f>IF(SUMIFS('BSE - SENSEX Index Options'!$M:$M,'BSE - SENSEX Index Options'!$C:$C,$A223,'BSE - SENSEX Index Options'!$B:$B,B$147)+SUMIFS('BSE - Other Index Options'!$M:$M,'BSE - Other Index Options'!$C:$C,$A223,'BSE - Other Index Options'!$B:$B,B$147)=0,"",SUMIFS('BSE - SENSEX Index Options'!$M:$M,'BSE - SENSEX Index Options'!$C:$C,$A223,'BSE - SENSEX Index Options'!$B:$B,B$147)+SUMIFS('BSE - Other Index Options'!$M:$M,'BSE - Other Index Options'!$C:$C,$A223,'BSE - Other Index Options'!$B:$B,B$147))</f>
        <v/>
      </c>
      <c r="C223" s="26">
        <f>IF(SUMIFS('BSE - SENSEX Index Options'!$M:$M,'BSE - SENSEX Index Options'!$C:$C,$A223,'BSE - SENSEX Index Options'!$B:$B,C$147)+SUMIFS('BSE - Other Index Options'!$M:$M,'BSE - Other Index Options'!$C:$C,$A223,'BSE - Other Index Options'!$B:$B,C$147)=0,"",SUMIFS('BSE - SENSEX Index Options'!$M:$M,'BSE - SENSEX Index Options'!$C:$C,$A223,'BSE - SENSEX Index Options'!$B:$B,C$147)+SUMIFS('BSE - Other Index Options'!$M:$M,'BSE - Other Index Options'!$C:$C,$A223,'BSE - Other Index Options'!$B:$B,C$147))</f>
        <v/>
      </c>
      <c r="D223" s="26">
        <f>IF(SUMIFS('BSE - SENSEX Index Options'!$M:$M,'BSE - SENSEX Index Options'!$C:$C,$A223,'BSE - SENSEX Index Options'!$B:$B,D$147)+SUMIFS('BSE - Other Index Options'!$M:$M,'BSE - Other Index Options'!$C:$C,$A223,'BSE - Other Index Options'!$B:$B,D$147)=0,"",SUMIFS('BSE - SENSEX Index Options'!$M:$M,'BSE - SENSEX Index Options'!$C:$C,$A223,'BSE - SENSEX Index Options'!$B:$B,D$147)+SUMIFS('BSE - Other Index Options'!$M:$M,'BSE - Other Index Options'!$C:$C,$A223,'BSE - Other Index Options'!$B:$B,D$147))</f>
        <v/>
      </c>
      <c r="E223" s="26">
        <f>IF(SUMIFS('BSE - SENSEX Index Options'!$M:$M,'BSE - SENSEX Index Options'!$C:$C,$A223,'BSE - SENSEX Index Options'!$B:$B,E$147)+SUMIFS('BSE - Other Index Options'!$M:$M,'BSE - Other Index Options'!$C:$C,$A223,'BSE - Other Index Options'!$B:$B,E$147)=0,"",SUMIFS('BSE - SENSEX Index Options'!$M:$M,'BSE - SENSEX Index Options'!$C:$C,$A223,'BSE - SENSEX Index Options'!$B:$B,E$147)+SUMIFS('BSE - Other Index Options'!$M:$M,'BSE - Other Index Options'!$C:$C,$A223,'BSE - Other Index Options'!$B:$B,E$147))</f>
        <v/>
      </c>
      <c r="F223" s="26">
        <f>IF(SUMIFS('BSE - SENSEX Index Options'!$M:$M,'BSE - SENSEX Index Options'!$C:$C,$A223,'BSE - SENSEX Index Options'!$B:$B,F$147)+SUMIFS('BSE - Other Index Options'!$M:$M,'BSE - Other Index Options'!$C:$C,$A223,'BSE - Other Index Options'!$B:$B,F$147)=0,"",SUMIFS('BSE - SENSEX Index Options'!$M:$M,'BSE - SENSEX Index Options'!$C:$C,$A223,'BSE - SENSEX Index Options'!$B:$B,F$147)+SUMIFS('BSE - Other Index Options'!$M:$M,'BSE - Other Index Options'!$C:$C,$A223,'BSE - Other Index Options'!$B:$B,F$147))</f>
        <v/>
      </c>
      <c r="G223" s="26">
        <f>IF(SUMIFS('BSE - SENSEX Index Options'!$M:$M,'BSE - SENSEX Index Options'!$C:$C,$A223,'BSE - SENSEX Index Options'!$B:$B,G$147)+SUMIFS('BSE - Other Index Options'!$M:$M,'BSE - Other Index Options'!$C:$C,$A223,'BSE - Other Index Options'!$B:$B,G$147)=0,"",SUMIFS('BSE - SENSEX Index Options'!$M:$M,'BSE - SENSEX Index Options'!$C:$C,$A223,'BSE - SENSEX Index Options'!$B:$B,G$147)+SUMIFS('BSE - Other Index Options'!$M:$M,'BSE - Other Index Options'!$C:$C,$A223,'BSE - Other Index Options'!$B:$B,G$147))</f>
        <v/>
      </c>
      <c r="H223" s="26">
        <f>IF(SUM(B223:G223)=0,"",SUM(B223:G223))</f>
        <v/>
      </c>
    </row>
    <row r="224" hidden="1" outlineLevel="1">
      <c r="A224" t="inlineStr">
        <is>
          <t>Week3-Dec-2026</t>
        </is>
      </c>
      <c r="B224" s="26">
        <f>IF(SUMIFS('BSE - SENSEX Index Options'!$M:$M,'BSE - SENSEX Index Options'!$C:$C,$A224,'BSE - SENSEX Index Options'!$B:$B,B$147)+SUMIFS('BSE - Other Index Options'!$M:$M,'BSE - Other Index Options'!$C:$C,$A224,'BSE - Other Index Options'!$B:$B,B$147)=0,"",SUMIFS('BSE - SENSEX Index Options'!$M:$M,'BSE - SENSEX Index Options'!$C:$C,$A224,'BSE - SENSEX Index Options'!$B:$B,B$147)+SUMIFS('BSE - Other Index Options'!$M:$M,'BSE - Other Index Options'!$C:$C,$A224,'BSE - Other Index Options'!$B:$B,B$147))</f>
        <v/>
      </c>
      <c r="C224" s="26">
        <f>IF(SUMIFS('BSE - SENSEX Index Options'!$M:$M,'BSE - SENSEX Index Options'!$C:$C,$A224,'BSE - SENSEX Index Options'!$B:$B,C$147)+SUMIFS('BSE - Other Index Options'!$M:$M,'BSE - Other Index Options'!$C:$C,$A224,'BSE - Other Index Options'!$B:$B,C$147)=0,"",SUMIFS('BSE - SENSEX Index Options'!$M:$M,'BSE - SENSEX Index Options'!$C:$C,$A224,'BSE - SENSEX Index Options'!$B:$B,C$147)+SUMIFS('BSE - Other Index Options'!$M:$M,'BSE - Other Index Options'!$C:$C,$A224,'BSE - Other Index Options'!$B:$B,C$147))</f>
        <v/>
      </c>
      <c r="D224" s="26">
        <f>IF(SUMIFS('BSE - SENSEX Index Options'!$M:$M,'BSE - SENSEX Index Options'!$C:$C,$A224,'BSE - SENSEX Index Options'!$B:$B,D$147)+SUMIFS('BSE - Other Index Options'!$M:$M,'BSE - Other Index Options'!$C:$C,$A224,'BSE - Other Index Options'!$B:$B,D$147)=0,"",SUMIFS('BSE - SENSEX Index Options'!$M:$M,'BSE - SENSEX Index Options'!$C:$C,$A224,'BSE - SENSEX Index Options'!$B:$B,D$147)+SUMIFS('BSE - Other Index Options'!$M:$M,'BSE - Other Index Options'!$C:$C,$A224,'BSE - Other Index Options'!$B:$B,D$147))</f>
        <v/>
      </c>
      <c r="E224" s="26">
        <f>IF(SUMIFS('BSE - SENSEX Index Options'!$M:$M,'BSE - SENSEX Index Options'!$C:$C,$A224,'BSE - SENSEX Index Options'!$B:$B,E$147)+SUMIFS('BSE - Other Index Options'!$M:$M,'BSE - Other Index Options'!$C:$C,$A224,'BSE - Other Index Options'!$B:$B,E$147)=0,"",SUMIFS('BSE - SENSEX Index Options'!$M:$M,'BSE - SENSEX Index Options'!$C:$C,$A224,'BSE - SENSEX Index Options'!$B:$B,E$147)+SUMIFS('BSE - Other Index Options'!$M:$M,'BSE - Other Index Options'!$C:$C,$A224,'BSE - Other Index Options'!$B:$B,E$147))</f>
        <v/>
      </c>
      <c r="F224" s="26">
        <f>IF(SUMIFS('BSE - SENSEX Index Options'!$M:$M,'BSE - SENSEX Index Options'!$C:$C,$A224,'BSE - SENSEX Index Options'!$B:$B,F$147)+SUMIFS('BSE - Other Index Options'!$M:$M,'BSE - Other Index Options'!$C:$C,$A224,'BSE - Other Index Options'!$B:$B,F$147)=0,"",SUMIFS('BSE - SENSEX Index Options'!$M:$M,'BSE - SENSEX Index Options'!$C:$C,$A224,'BSE - SENSEX Index Options'!$B:$B,F$147)+SUMIFS('BSE - Other Index Options'!$M:$M,'BSE - Other Index Options'!$C:$C,$A224,'BSE - Other Index Options'!$B:$B,F$147))</f>
        <v/>
      </c>
      <c r="G224" s="26">
        <f>IF(SUMIFS('BSE - SENSEX Index Options'!$M:$M,'BSE - SENSEX Index Options'!$C:$C,$A224,'BSE - SENSEX Index Options'!$B:$B,G$147)+SUMIFS('BSE - Other Index Options'!$M:$M,'BSE - Other Index Options'!$C:$C,$A224,'BSE - Other Index Options'!$B:$B,G$147)=0,"",SUMIFS('BSE - SENSEX Index Options'!$M:$M,'BSE - SENSEX Index Options'!$C:$C,$A224,'BSE - SENSEX Index Options'!$B:$B,G$147)+SUMIFS('BSE - Other Index Options'!$M:$M,'BSE - Other Index Options'!$C:$C,$A224,'BSE - Other Index Options'!$B:$B,G$147))</f>
        <v/>
      </c>
      <c r="H224" s="26">
        <f>IF(SUM(B224:G224)=0,"",SUM(B224:G224))</f>
        <v/>
      </c>
    </row>
    <row r="225" hidden="1" outlineLevel="1">
      <c r="A225" t="inlineStr">
        <is>
          <t>Week4-Dec-2026</t>
        </is>
      </c>
      <c r="B225" s="26">
        <f>IF(SUMIFS('BSE - SENSEX Index Options'!$M:$M,'BSE - SENSEX Index Options'!$C:$C,$A225,'BSE - SENSEX Index Options'!$B:$B,B$147)+SUMIFS('BSE - Other Index Options'!$M:$M,'BSE - Other Index Options'!$C:$C,$A225,'BSE - Other Index Options'!$B:$B,B$147)=0,"",SUMIFS('BSE - SENSEX Index Options'!$M:$M,'BSE - SENSEX Index Options'!$C:$C,$A225,'BSE - SENSEX Index Options'!$B:$B,B$147)+SUMIFS('BSE - Other Index Options'!$M:$M,'BSE - Other Index Options'!$C:$C,$A225,'BSE - Other Index Options'!$B:$B,B$147))</f>
        <v/>
      </c>
      <c r="C225" s="26">
        <f>IF(SUMIFS('BSE - SENSEX Index Options'!$M:$M,'BSE - SENSEX Index Options'!$C:$C,$A225,'BSE - SENSEX Index Options'!$B:$B,C$147)+SUMIFS('BSE - Other Index Options'!$M:$M,'BSE - Other Index Options'!$C:$C,$A225,'BSE - Other Index Options'!$B:$B,C$147)=0,"",SUMIFS('BSE - SENSEX Index Options'!$M:$M,'BSE - SENSEX Index Options'!$C:$C,$A225,'BSE - SENSEX Index Options'!$B:$B,C$147)+SUMIFS('BSE - Other Index Options'!$M:$M,'BSE - Other Index Options'!$C:$C,$A225,'BSE - Other Index Options'!$B:$B,C$147))</f>
        <v/>
      </c>
      <c r="D225" s="26">
        <f>IF(SUMIFS('BSE - SENSEX Index Options'!$M:$M,'BSE - SENSEX Index Options'!$C:$C,$A225,'BSE - SENSEX Index Options'!$B:$B,D$147)+SUMIFS('BSE - Other Index Options'!$M:$M,'BSE - Other Index Options'!$C:$C,$A225,'BSE - Other Index Options'!$B:$B,D$147)=0,"",SUMIFS('BSE - SENSEX Index Options'!$M:$M,'BSE - SENSEX Index Options'!$C:$C,$A225,'BSE - SENSEX Index Options'!$B:$B,D$147)+SUMIFS('BSE - Other Index Options'!$M:$M,'BSE - Other Index Options'!$C:$C,$A225,'BSE - Other Index Options'!$B:$B,D$147))</f>
        <v/>
      </c>
      <c r="E225" s="26">
        <f>IF(SUMIFS('BSE - SENSEX Index Options'!$M:$M,'BSE - SENSEX Index Options'!$C:$C,$A225,'BSE - SENSEX Index Options'!$B:$B,E$147)+SUMIFS('BSE - Other Index Options'!$M:$M,'BSE - Other Index Options'!$C:$C,$A225,'BSE - Other Index Options'!$B:$B,E$147)=0,"",SUMIFS('BSE - SENSEX Index Options'!$M:$M,'BSE - SENSEX Index Options'!$C:$C,$A225,'BSE - SENSEX Index Options'!$B:$B,E$147)+SUMIFS('BSE - Other Index Options'!$M:$M,'BSE - Other Index Options'!$C:$C,$A225,'BSE - Other Index Options'!$B:$B,E$147))</f>
        <v/>
      </c>
      <c r="F225" s="26">
        <f>IF(SUMIFS('BSE - SENSEX Index Options'!$M:$M,'BSE - SENSEX Index Options'!$C:$C,$A225,'BSE - SENSEX Index Options'!$B:$B,F$147)+SUMIFS('BSE - Other Index Options'!$M:$M,'BSE - Other Index Options'!$C:$C,$A225,'BSE - Other Index Options'!$B:$B,F$147)=0,"",SUMIFS('BSE - SENSEX Index Options'!$M:$M,'BSE - SENSEX Index Options'!$C:$C,$A225,'BSE - SENSEX Index Options'!$B:$B,F$147)+SUMIFS('BSE - Other Index Options'!$M:$M,'BSE - Other Index Options'!$C:$C,$A225,'BSE - Other Index Options'!$B:$B,F$147))</f>
        <v/>
      </c>
      <c r="G225" s="26">
        <f>IF(SUMIFS('BSE - SENSEX Index Options'!$M:$M,'BSE - SENSEX Index Options'!$C:$C,$A225,'BSE - SENSEX Index Options'!$B:$B,G$147)+SUMIFS('BSE - Other Index Options'!$M:$M,'BSE - Other Index Options'!$C:$C,$A225,'BSE - Other Index Options'!$B:$B,G$147)=0,"",SUMIFS('BSE - SENSEX Index Options'!$M:$M,'BSE - SENSEX Index Options'!$C:$C,$A225,'BSE - SENSEX Index Options'!$B:$B,G$147)+SUMIFS('BSE - Other Index Options'!$M:$M,'BSE - Other Index Options'!$C:$C,$A225,'BSE - Other Index Options'!$B:$B,G$147))</f>
        <v/>
      </c>
      <c r="H225" s="26">
        <f>IF(SUM(B225:G225)=0,"",SUM(B225:G225))</f>
        <v/>
      </c>
    </row>
    <row r="226" hidden="1" outlineLevel="1">
      <c r="A226" t="inlineStr">
        <is>
          <t>Week5-Dec-2026</t>
        </is>
      </c>
      <c r="B226" s="26">
        <f>IF(SUMIFS('BSE - SENSEX Index Options'!$M:$M,'BSE - SENSEX Index Options'!$C:$C,$A226,'BSE - SENSEX Index Options'!$B:$B,B$147)+SUMIFS('BSE - Other Index Options'!$M:$M,'BSE - Other Index Options'!$C:$C,$A226,'BSE - Other Index Options'!$B:$B,B$147)=0,"",SUMIFS('BSE - SENSEX Index Options'!$M:$M,'BSE - SENSEX Index Options'!$C:$C,$A226,'BSE - SENSEX Index Options'!$B:$B,B$147)+SUMIFS('BSE - Other Index Options'!$M:$M,'BSE - Other Index Options'!$C:$C,$A226,'BSE - Other Index Options'!$B:$B,B$147))</f>
        <v/>
      </c>
      <c r="C226" s="26">
        <f>IF(SUMIFS('BSE - SENSEX Index Options'!$M:$M,'BSE - SENSEX Index Options'!$C:$C,$A226,'BSE - SENSEX Index Options'!$B:$B,C$147)+SUMIFS('BSE - Other Index Options'!$M:$M,'BSE - Other Index Options'!$C:$C,$A226,'BSE - Other Index Options'!$B:$B,C$147)=0,"",SUMIFS('BSE - SENSEX Index Options'!$M:$M,'BSE - SENSEX Index Options'!$C:$C,$A226,'BSE - SENSEX Index Options'!$B:$B,C$147)+SUMIFS('BSE - Other Index Options'!$M:$M,'BSE - Other Index Options'!$C:$C,$A226,'BSE - Other Index Options'!$B:$B,C$147))</f>
        <v/>
      </c>
      <c r="D226" s="26">
        <f>IF(SUMIFS('BSE - SENSEX Index Options'!$M:$M,'BSE - SENSEX Index Options'!$C:$C,$A226,'BSE - SENSEX Index Options'!$B:$B,D$147)+SUMIFS('BSE - Other Index Options'!$M:$M,'BSE - Other Index Options'!$C:$C,$A226,'BSE - Other Index Options'!$B:$B,D$147)=0,"",SUMIFS('BSE - SENSEX Index Options'!$M:$M,'BSE - SENSEX Index Options'!$C:$C,$A226,'BSE - SENSEX Index Options'!$B:$B,D$147)+SUMIFS('BSE - Other Index Options'!$M:$M,'BSE - Other Index Options'!$C:$C,$A226,'BSE - Other Index Options'!$B:$B,D$147))</f>
        <v/>
      </c>
      <c r="E226" s="26">
        <f>IF(SUMIFS('BSE - SENSEX Index Options'!$M:$M,'BSE - SENSEX Index Options'!$C:$C,$A226,'BSE - SENSEX Index Options'!$B:$B,E$147)+SUMIFS('BSE - Other Index Options'!$M:$M,'BSE - Other Index Options'!$C:$C,$A226,'BSE - Other Index Options'!$B:$B,E$147)=0,"",SUMIFS('BSE - SENSEX Index Options'!$M:$M,'BSE - SENSEX Index Options'!$C:$C,$A226,'BSE - SENSEX Index Options'!$B:$B,E$147)+SUMIFS('BSE - Other Index Options'!$M:$M,'BSE - Other Index Options'!$C:$C,$A226,'BSE - Other Index Options'!$B:$B,E$147))</f>
        <v/>
      </c>
      <c r="F226" s="26">
        <f>IF(SUMIFS('BSE - SENSEX Index Options'!$M:$M,'BSE - SENSEX Index Options'!$C:$C,$A226,'BSE - SENSEX Index Options'!$B:$B,F$147)+SUMIFS('BSE - Other Index Options'!$M:$M,'BSE - Other Index Options'!$C:$C,$A226,'BSE - Other Index Options'!$B:$B,F$147)=0,"",SUMIFS('BSE - SENSEX Index Options'!$M:$M,'BSE - SENSEX Index Options'!$C:$C,$A226,'BSE - SENSEX Index Options'!$B:$B,F$147)+SUMIFS('BSE - Other Index Options'!$M:$M,'BSE - Other Index Options'!$C:$C,$A226,'BSE - Other Index Options'!$B:$B,F$147))</f>
        <v/>
      </c>
      <c r="G226" s="26">
        <f>IF(SUMIFS('BSE - SENSEX Index Options'!$M:$M,'BSE - SENSEX Index Options'!$C:$C,$A226,'BSE - SENSEX Index Options'!$B:$B,G$147)+SUMIFS('BSE - Other Index Options'!$M:$M,'BSE - Other Index Options'!$C:$C,$A226,'BSE - Other Index Options'!$B:$B,G$147)=0,"",SUMIFS('BSE - SENSEX Index Options'!$M:$M,'BSE - SENSEX Index Options'!$C:$C,$A226,'BSE - SENSEX Index Options'!$B:$B,G$147)+SUMIFS('BSE - Other Index Options'!$M:$M,'BSE - Other Index Options'!$C:$C,$A226,'BSE - Other Index Options'!$B:$B,G$147))</f>
        <v/>
      </c>
      <c r="H226" s="26">
        <f>IF(SUM(B226:G226)=0,"",SUM(B226:G226))</f>
        <v/>
      </c>
    </row>
    <row r="227" hidden="1" outlineLevel="1">
      <c r="A227" t="inlineStr">
        <is>
          <t>Week1-Jan-2027</t>
        </is>
      </c>
      <c r="B227" s="26">
        <f>IF(SUMIFS('BSE - SENSEX Index Options'!$M:$M,'BSE - SENSEX Index Options'!$C:$C,$A227,'BSE - SENSEX Index Options'!$B:$B,B$147)+SUMIFS('BSE - Other Index Options'!$M:$M,'BSE - Other Index Options'!$C:$C,$A227,'BSE - Other Index Options'!$B:$B,B$147)=0,"",SUMIFS('BSE - SENSEX Index Options'!$M:$M,'BSE - SENSEX Index Options'!$C:$C,$A227,'BSE - SENSEX Index Options'!$B:$B,B$147)+SUMIFS('BSE - Other Index Options'!$M:$M,'BSE - Other Index Options'!$C:$C,$A227,'BSE - Other Index Options'!$B:$B,B$147))</f>
        <v/>
      </c>
      <c r="C227" s="26">
        <f>IF(SUMIFS('BSE - SENSEX Index Options'!$M:$M,'BSE - SENSEX Index Options'!$C:$C,$A227,'BSE - SENSEX Index Options'!$B:$B,C$147)+SUMIFS('BSE - Other Index Options'!$M:$M,'BSE - Other Index Options'!$C:$C,$A227,'BSE - Other Index Options'!$B:$B,C$147)=0,"",SUMIFS('BSE - SENSEX Index Options'!$M:$M,'BSE - SENSEX Index Options'!$C:$C,$A227,'BSE - SENSEX Index Options'!$B:$B,C$147)+SUMIFS('BSE - Other Index Options'!$M:$M,'BSE - Other Index Options'!$C:$C,$A227,'BSE - Other Index Options'!$B:$B,C$147))</f>
        <v/>
      </c>
      <c r="D227" s="26">
        <f>IF(SUMIFS('BSE - SENSEX Index Options'!$M:$M,'BSE - SENSEX Index Options'!$C:$C,$A227,'BSE - SENSEX Index Options'!$B:$B,D$147)+SUMIFS('BSE - Other Index Options'!$M:$M,'BSE - Other Index Options'!$C:$C,$A227,'BSE - Other Index Options'!$B:$B,D$147)=0,"",SUMIFS('BSE - SENSEX Index Options'!$M:$M,'BSE - SENSEX Index Options'!$C:$C,$A227,'BSE - SENSEX Index Options'!$B:$B,D$147)+SUMIFS('BSE - Other Index Options'!$M:$M,'BSE - Other Index Options'!$C:$C,$A227,'BSE - Other Index Options'!$B:$B,D$147))</f>
        <v/>
      </c>
      <c r="E227" s="26">
        <f>IF(SUMIFS('BSE - SENSEX Index Options'!$M:$M,'BSE - SENSEX Index Options'!$C:$C,$A227,'BSE - SENSEX Index Options'!$B:$B,E$147)+SUMIFS('BSE - Other Index Options'!$M:$M,'BSE - Other Index Options'!$C:$C,$A227,'BSE - Other Index Options'!$B:$B,E$147)=0,"",SUMIFS('BSE - SENSEX Index Options'!$M:$M,'BSE - SENSEX Index Options'!$C:$C,$A227,'BSE - SENSEX Index Options'!$B:$B,E$147)+SUMIFS('BSE - Other Index Options'!$M:$M,'BSE - Other Index Options'!$C:$C,$A227,'BSE - Other Index Options'!$B:$B,E$147))</f>
        <v/>
      </c>
      <c r="F227" s="26">
        <f>IF(SUMIFS('BSE - SENSEX Index Options'!$M:$M,'BSE - SENSEX Index Options'!$C:$C,$A227,'BSE - SENSEX Index Options'!$B:$B,F$147)+SUMIFS('BSE - Other Index Options'!$M:$M,'BSE - Other Index Options'!$C:$C,$A227,'BSE - Other Index Options'!$B:$B,F$147)=0,"",SUMIFS('BSE - SENSEX Index Options'!$M:$M,'BSE - SENSEX Index Options'!$C:$C,$A227,'BSE - SENSEX Index Options'!$B:$B,F$147)+SUMIFS('BSE - Other Index Options'!$M:$M,'BSE - Other Index Options'!$C:$C,$A227,'BSE - Other Index Options'!$B:$B,F$147))</f>
        <v/>
      </c>
      <c r="G227" s="26">
        <f>IF(SUMIFS('BSE - SENSEX Index Options'!$M:$M,'BSE - SENSEX Index Options'!$C:$C,$A227,'BSE - SENSEX Index Options'!$B:$B,G$147)+SUMIFS('BSE - Other Index Options'!$M:$M,'BSE - Other Index Options'!$C:$C,$A227,'BSE - Other Index Options'!$B:$B,G$147)=0,"",SUMIFS('BSE - SENSEX Index Options'!$M:$M,'BSE - SENSEX Index Options'!$C:$C,$A227,'BSE - SENSEX Index Options'!$B:$B,G$147)+SUMIFS('BSE - Other Index Options'!$M:$M,'BSE - Other Index Options'!$C:$C,$A227,'BSE - Other Index Options'!$B:$B,G$147))</f>
        <v/>
      </c>
      <c r="H227" s="26">
        <f>IF(SUM(B227:G227)=0,"",SUM(B227:G227))</f>
        <v/>
      </c>
    </row>
    <row r="228" hidden="1" outlineLevel="1">
      <c r="A228" t="inlineStr">
        <is>
          <t>Week2-Jan-2027</t>
        </is>
      </c>
      <c r="B228" s="26">
        <f>IF(SUMIFS('BSE - SENSEX Index Options'!$M:$M,'BSE - SENSEX Index Options'!$C:$C,$A228,'BSE - SENSEX Index Options'!$B:$B,B$147)+SUMIFS('BSE - Other Index Options'!$M:$M,'BSE - Other Index Options'!$C:$C,$A228,'BSE - Other Index Options'!$B:$B,B$147)=0,"",SUMIFS('BSE - SENSEX Index Options'!$M:$M,'BSE - SENSEX Index Options'!$C:$C,$A228,'BSE - SENSEX Index Options'!$B:$B,B$147)+SUMIFS('BSE - Other Index Options'!$M:$M,'BSE - Other Index Options'!$C:$C,$A228,'BSE - Other Index Options'!$B:$B,B$147))</f>
        <v/>
      </c>
      <c r="C228" s="26">
        <f>IF(SUMIFS('BSE - SENSEX Index Options'!$M:$M,'BSE - SENSEX Index Options'!$C:$C,$A228,'BSE - SENSEX Index Options'!$B:$B,C$147)+SUMIFS('BSE - Other Index Options'!$M:$M,'BSE - Other Index Options'!$C:$C,$A228,'BSE - Other Index Options'!$B:$B,C$147)=0,"",SUMIFS('BSE - SENSEX Index Options'!$M:$M,'BSE - SENSEX Index Options'!$C:$C,$A228,'BSE - SENSEX Index Options'!$B:$B,C$147)+SUMIFS('BSE - Other Index Options'!$M:$M,'BSE - Other Index Options'!$C:$C,$A228,'BSE - Other Index Options'!$B:$B,C$147))</f>
        <v/>
      </c>
      <c r="D228" s="26">
        <f>IF(SUMIFS('BSE - SENSEX Index Options'!$M:$M,'BSE - SENSEX Index Options'!$C:$C,$A228,'BSE - SENSEX Index Options'!$B:$B,D$147)+SUMIFS('BSE - Other Index Options'!$M:$M,'BSE - Other Index Options'!$C:$C,$A228,'BSE - Other Index Options'!$B:$B,D$147)=0,"",SUMIFS('BSE - SENSEX Index Options'!$M:$M,'BSE - SENSEX Index Options'!$C:$C,$A228,'BSE - SENSEX Index Options'!$B:$B,D$147)+SUMIFS('BSE - Other Index Options'!$M:$M,'BSE - Other Index Options'!$C:$C,$A228,'BSE - Other Index Options'!$B:$B,D$147))</f>
        <v/>
      </c>
      <c r="E228" s="26">
        <f>IF(SUMIFS('BSE - SENSEX Index Options'!$M:$M,'BSE - SENSEX Index Options'!$C:$C,$A228,'BSE - SENSEX Index Options'!$B:$B,E$147)+SUMIFS('BSE - Other Index Options'!$M:$M,'BSE - Other Index Options'!$C:$C,$A228,'BSE - Other Index Options'!$B:$B,E$147)=0,"",SUMIFS('BSE - SENSEX Index Options'!$M:$M,'BSE - SENSEX Index Options'!$C:$C,$A228,'BSE - SENSEX Index Options'!$B:$B,E$147)+SUMIFS('BSE - Other Index Options'!$M:$M,'BSE - Other Index Options'!$C:$C,$A228,'BSE - Other Index Options'!$B:$B,E$147))</f>
        <v/>
      </c>
      <c r="F228" s="26">
        <f>IF(SUMIFS('BSE - SENSEX Index Options'!$M:$M,'BSE - SENSEX Index Options'!$C:$C,$A228,'BSE - SENSEX Index Options'!$B:$B,F$147)+SUMIFS('BSE - Other Index Options'!$M:$M,'BSE - Other Index Options'!$C:$C,$A228,'BSE - Other Index Options'!$B:$B,F$147)=0,"",SUMIFS('BSE - SENSEX Index Options'!$M:$M,'BSE - SENSEX Index Options'!$C:$C,$A228,'BSE - SENSEX Index Options'!$B:$B,F$147)+SUMIFS('BSE - Other Index Options'!$M:$M,'BSE - Other Index Options'!$C:$C,$A228,'BSE - Other Index Options'!$B:$B,F$147))</f>
        <v/>
      </c>
      <c r="G228" s="26">
        <f>IF(SUMIFS('BSE - SENSEX Index Options'!$M:$M,'BSE - SENSEX Index Options'!$C:$C,$A228,'BSE - SENSEX Index Options'!$B:$B,G$147)+SUMIFS('BSE - Other Index Options'!$M:$M,'BSE - Other Index Options'!$C:$C,$A228,'BSE - Other Index Options'!$B:$B,G$147)=0,"",SUMIFS('BSE - SENSEX Index Options'!$M:$M,'BSE - SENSEX Index Options'!$C:$C,$A228,'BSE - SENSEX Index Options'!$B:$B,G$147)+SUMIFS('BSE - Other Index Options'!$M:$M,'BSE - Other Index Options'!$C:$C,$A228,'BSE - Other Index Options'!$B:$B,G$147))</f>
        <v/>
      </c>
      <c r="H228" s="26">
        <f>IF(SUM(B228:G228)=0,"",SUM(B228:G228))</f>
        <v/>
      </c>
    </row>
    <row r="229" hidden="1" outlineLevel="1">
      <c r="A229" t="inlineStr">
        <is>
          <t>Week3-Jan-2027</t>
        </is>
      </c>
      <c r="B229" s="26">
        <f>IF(SUMIFS('BSE - SENSEX Index Options'!$M:$M,'BSE - SENSEX Index Options'!$C:$C,$A229,'BSE - SENSEX Index Options'!$B:$B,B$147)+SUMIFS('BSE - Other Index Options'!$M:$M,'BSE - Other Index Options'!$C:$C,$A229,'BSE - Other Index Options'!$B:$B,B$147)=0,"",SUMIFS('BSE - SENSEX Index Options'!$M:$M,'BSE - SENSEX Index Options'!$C:$C,$A229,'BSE - SENSEX Index Options'!$B:$B,B$147)+SUMIFS('BSE - Other Index Options'!$M:$M,'BSE - Other Index Options'!$C:$C,$A229,'BSE - Other Index Options'!$B:$B,B$147))</f>
        <v/>
      </c>
      <c r="C229" s="26">
        <f>IF(SUMIFS('BSE - SENSEX Index Options'!$M:$M,'BSE - SENSEX Index Options'!$C:$C,$A229,'BSE - SENSEX Index Options'!$B:$B,C$147)+SUMIFS('BSE - Other Index Options'!$M:$M,'BSE - Other Index Options'!$C:$C,$A229,'BSE - Other Index Options'!$B:$B,C$147)=0,"",SUMIFS('BSE - SENSEX Index Options'!$M:$M,'BSE - SENSEX Index Options'!$C:$C,$A229,'BSE - SENSEX Index Options'!$B:$B,C$147)+SUMIFS('BSE - Other Index Options'!$M:$M,'BSE - Other Index Options'!$C:$C,$A229,'BSE - Other Index Options'!$B:$B,C$147))</f>
        <v/>
      </c>
      <c r="D229" s="26">
        <f>IF(SUMIFS('BSE - SENSEX Index Options'!$M:$M,'BSE - SENSEX Index Options'!$C:$C,$A229,'BSE - SENSEX Index Options'!$B:$B,D$147)+SUMIFS('BSE - Other Index Options'!$M:$M,'BSE - Other Index Options'!$C:$C,$A229,'BSE - Other Index Options'!$B:$B,D$147)=0,"",SUMIFS('BSE - SENSEX Index Options'!$M:$M,'BSE - SENSEX Index Options'!$C:$C,$A229,'BSE - SENSEX Index Options'!$B:$B,D$147)+SUMIFS('BSE - Other Index Options'!$M:$M,'BSE - Other Index Options'!$C:$C,$A229,'BSE - Other Index Options'!$B:$B,D$147))</f>
        <v/>
      </c>
      <c r="E229" s="26">
        <f>IF(SUMIFS('BSE - SENSEX Index Options'!$M:$M,'BSE - SENSEX Index Options'!$C:$C,$A229,'BSE - SENSEX Index Options'!$B:$B,E$147)+SUMIFS('BSE - Other Index Options'!$M:$M,'BSE - Other Index Options'!$C:$C,$A229,'BSE - Other Index Options'!$B:$B,E$147)=0,"",SUMIFS('BSE - SENSEX Index Options'!$M:$M,'BSE - SENSEX Index Options'!$C:$C,$A229,'BSE - SENSEX Index Options'!$B:$B,E$147)+SUMIFS('BSE - Other Index Options'!$M:$M,'BSE - Other Index Options'!$C:$C,$A229,'BSE - Other Index Options'!$B:$B,E$147))</f>
        <v/>
      </c>
      <c r="F229" s="26">
        <f>IF(SUMIFS('BSE - SENSEX Index Options'!$M:$M,'BSE - SENSEX Index Options'!$C:$C,$A229,'BSE - SENSEX Index Options'!$B:$B,F$147)+SUMIFS('BSE - Other Index Options'!$M:$M,'BSE - Other Index Options'!$C:$C,$A229,'BSE - Other Index Options'!$B:$B,F$147)=0,"",SUMIFS('BSE - SENSEX Index Options'!$M:$M,'BSE - SENSEX Index Options'!$C:$C,$A229,'BSE - SENSEX Index Options'!$B:$B,F$147)+SUMIFS('BSE - Other Index Options'!$M:$M,'BSE - Other Index Options'!$C:$C,$A229,'BSE - Other Index Options'!$B:$B,F$147))</f>
        <v/>
      </c>
      <c r="G229" s="26">
        <f>IF(SUMIFS('BSE - SENSEX Index Options'!$M:$M,'BSE - SENSEX Index Options'!$C:$C,$A229,'BSE - SENSEX Index Options'!$B:$B,G$147)+SUMIFS('BSE - Other Index Options'!$M:$M,'BSE - Other Index Options'!$C:$C,$A229,'BSE - Other Index Options'!$B:$B,G$147)=0,"",SUMIFS('BSE - SENSEX Index Options'!$M:$M,'BSE - SENSEX Index Options'!$C:$C,$A229,'BSE - SENSEX Index Options'!$B:$B,G$147)+SUMIFS('BSE - Other Index Options'!$M:$M,'BSE - Other Index Options'!$C:$C,$A229,'BSE - Other Index Options'!$B:$B,G$147))</f>
        <v/>
      </c>
      <c r="H229" s="26">
        <f>IF(SUM(B229:G229)=0,"",SUM(B229:G229))</f>
        <v/>
      </c>
    </row>
    <row r="230" hidden="1" outlineLevel="1">
      <c r="A230" t="inlineStr">
        <is>
          <t>Week4-Jan-2027</t>
        </is>
      </c>
      <c r="B230" s="26">
        <f>IF(SUMIFS('BSE - SENSEX Index Options'!$M:$M,'BSE - SENSEX Index Options'!$C:$C,$A230,'BSE - SENSEX Index Options'!$B:$B,B$147)+SUMIFS('BSE - Other Index Options'!$M:$M,'BSE - Other Index Options'!$C:$C,$A230,'BSE - Other Index Options'!$B:$B,B$147)=0,"",SUMIFS('BSE - SENSEX Index Options'!$M:$M,'BSE - SENSEX Index Options'!$C:$C,$A230,'BSE - SENSEX Index Options'!$B:$B,B$147)+SUMIFS('BSE - Other Index Options'!$M:$M,'BSE - Other Index Options'!$C:$C,$A230,'BSE - Other Index Options'!$B:$B,B$147))</f>
        <v/>
      </c>
      <c r="C230" s="26">
        <f>IF(SUMIFS('BSE - SENSEX Index Options'!$M:$M,'BSE - SENSEX Index Options'!$C:$C,$A230,'BSE - SENSEX Index Options'!$B:$B,C$147)+SUMIFS('BSE - Other Index Options'!$M:$M,'BSE - Other Index Options'!$C:$C,$A230,'BSE - Other Index Options'!$B:$B,C$147)=0,"",SUMIFS('BSE - SENSEX Index Options'!$M:$M,'BSE - SENSEX Index Options'!$C:$C,$A230,'BSE - SENSEX Index Options'!$B:$B,C$147)+SUMIFS('BSE - Other Index Options'!$M:$M,'BSE - Other Index Options'!$C:$C,$A230,'BSE - Other Index Options'!$B:$B,C$147))</f>
        <v/>
      </c>
      <c r="D230" s="26">
        <f>IF(SUMIFS('BSE - SENSEX Index Options'!$M:$M,'BSE - SENSEX Index Options'!$C:$C,$A230,'BSE - SENSEX Index Options'!$B:$B,D$147)+SUMIFS('BSE - Other Index Options'!$M:$M,'BSE - Other Index Options'!$C:$C,$A230,'BSE - Other Index Options'!$B:$B,D$147)=0,"",SUMIFS('BSE - SENSEX Index Options'!$M:$M,'BSE - SENSEX Index Options'!$C:$C,$A230,'BSE - SENSEX Index Options'!$B:$B,D$147)+SUMIFS('BSE - Other Index Options'!$M:$M,'BSE - Other Index Options'!$C:$C,$A230,'BSE - Other Index Options'!$B:$B,D$147))</f>
        <v/>
      </c>
      <c r="E230" s="26">
        <f>IF(SUMIFS('BSE - SENSEX Index Options'!$M:$M,'BSE - SENSEX Index Options'!$C:$C,$A230,'BSE - SENSEX Index Options'!$B:$B,E$147)+SUMIFS('BSE - Other Index Options'!$M:$M,'BSE - Other Index Options'!$C:$C,$A230,'BSE - Other Index Options'!$B:$B,E$147)=0,"",SUMIFS('BSE - SENSEX Index Options'!$M:$M,'BSE - SENSEX Index Options'!$C:$C,$A230,'BSE - SENSEX Index Options'!$B:$B,E$147)+SUMIFS('BSE - Other Index Options'!$M:$M,'BSE - Other Index Options'!$C:$C,$A230,'BSE - Other Index Options'!$B:$B,E$147))</f>
        <v/>
      </c>
      <c r="F230" s="26">
        <f>IF(SUMIFS('BSE - SENSEX Index Options'!$M:$M,'BSE - SENSEX Index Options'!$C:$C,$A230,'BSE - SENSEX Index Options'!$B:$B,F$147)+SUMIFS('BSE - Other Index Options'!$M:$M,'BSE - Other Index Options'!$C:$C,$A230,'BSE - Other Index Options'!$B:$B,F$147)=0,"",SUMIFS('BSE - SENSEX Index Options'!$M:$M,'BSE - SENSEX Index Options'!$C:$C,$A230,'BSE - SENSEX Index Options'!$B:$B,F$147)+SUMIFS('BSE - Other Index Options'!$M:$M,'BSE - Other Index Options'!$C:$C,$A230,'BSE - Other Index Options'!$B:$B,F$147))</f>
        <v/>
      </c>
      <c r="G230" s="26">
        <f>IF(SUMIFS('BSE - SENSEX Index Options'!$M:$M,'BSE - SENSEX Index Options'!$C:$C,$A230,'BSE - SENSEX Index Options'!$B:$B,G$147)+SUMIFS('BSE - Other Index Options'!$M:$M,'BSE - Other Index Options'!$C:$C,$A230,'BSE - Other Index Options'!$B:$B,G$147)=0,"",SUMIFS('BSE - SENSEX Index Options'!$M:$M,'BSE - SENSEX Index Options'!$C:$C,$A230,'BSE - SENSEX Index Options'!$B:$B,G$147)+SUMIFS('BSE - Other Index Options'!$M:$M,'BSE - Other Index Options'!$C:$C,$A230,'BSE - Other Index Options'!$B:$B,G$147))</f>
        <v/>
      </c>
      <c r="H230" s="26">
        <f>IF(SUM(B230:G230)=0,"",SUM(B230:G230))</f>
        <v/>
      </c>
    </row>
    <row r="231" hidden="1" outlineLevel="1">
      <c r="A231" t="inlineStr">
        <is>
          <t>Week5-Jan-2027</t>
        </is>
      </c>
      <c r="B231" s="26">
        <f>IF(SUMIFS('BSE - SENSEX Index Options'!$M:$M,'BSE - SENSEX Index Options'!$C:$C,$A231,'BSE - SENSEX Index Options'!$B:$B,B$147)+SUMIFS('BSE - Other Index Options'!$M:$M,'BSE - Other Index Options'!$C:$C,$A231,'BSE - Other Index Options'!$B:$B,B$147)=0,"",SUMIFS('BSE - SENSEX Index Options'!$M:$M,'BSE - SENSEX Index Options'!$C:$C,$A231,'BSE - SENSEX Index Options'!$B:$B,B$147)+SUMIFS('BSE - Other Index Options'!$M:$M,'BSE - Other Index Options'!$C:$C,$A231,'BSE - Other Index Options'!$B:$B,B$147))</f>
        <v/>
      </c>
      <c r="C231" s="26">
        <f>IF(SUMIFS('BSE - SENSEX Index Options'!$M:$M,'BSE - SENSEX Index Options'!$C:$C,$A231,'BSE - SENSEX Index Options'!$B:$B,C$147)+SUMIFS('BSE - Other Index Options'!$M:$M,'BSE - Other Index Options'!$C:$C,$A231,'BSE - Other Index Options'!$B:$B,C$147)=0,"",SUMIFS('BSE - SENSEX Index Options'!$M:$M,'BSE - SENSEX Index Options'!$C:$C,$A231,'BSE - SENSEX Index Options'!$B:$B,C$147)+SUMIFS('BSE - Other Index Options'!$M:$M,'BSE - Other Index Options'!$C:$C,$A231,'BSE - Other Index Options'!$B:$B,C$147))</f>
        <v/>
      </c>
      <c r="D231" s="26">
        <f>IF(SUMIFS('BSE - SENSEX Index Options'!$M:$M,'BSE - SENSEX Index Options'!$C:$C,$A231,'BSE - SENSEX Index Options'!$B:$B,D$147)+SUMIFS('BSE - Other Index Options'!$M:$M,'BSE - Other Index Options'!$C:$C,$A231,'BSE - Other Index Options'!$B:$B,D$147)=0,"",SUMIFS('BSE - SENSEX Index Options'!$M:$M,'BSE - SENSEX Index Options'!$C:$C,$A231,'BSE - SENSEX Index Options'!$B:$B,D$147)+SUMIFS('BSE - Other Index Options'!$M:$M,'BSE - Other Index Options'!$C:$C,$A231,'BSE - Other Index Options'!$B:$B,D$147))</f>
        <v/>
      </c>
      <c r="E231" s="26">
        <f>IF(SUMIFS('BSE - SENSEX Index Options'!$M:$M,'BSE - SENSEX Index Options'!$C:$C,$A231,'BSE - SENSEX Index Options'!$B:$B,E$147)+SUMIFS('BSE - Other Index Options'!$M:$M,'BSE - Other Index Options'!$C:$C,$A231,'BSE - Other Index Options'!$B:$B,E$147)=0,"",SUMIFS('BSE - SENSEX Index Options'!$M:$M,'BSE - SENSEX Index Options'!$C:$C,$A231,'BSE - SENSEX Index Options'!$B:$B,E$147)+SUMIFS('BSE - Other Index Options'!$M:$M,'BSE - Other Index Options'!$C:$C,$A231,'BSE - Other Index Options'!$B:$B,E$147))</f>
        <v/>
      </c>
      <c r="F231" s="26">
        <f>IF(SUMIFS('BSE - SENSEX Index Options'!$M:$M,'BSE - SENSEX Index Options'!$C:$C,$A231,'BSE - SENSEX Index Options'!$B:$B,F$147)+SUMIFS('BSE - Other Index Options'!$M:$M,'BSE - Other Index Options'!$C:$C,$A231,'BSE - Other Index Options'!$B:$B,F$147)=0,"",SUMIFS('BSE - SENSEX Index Options'!$M:$M,'BSE - SENSEX Index Options'!$C:$C,$A231,'BSE - SENSEX Index Options'!$B:$B,F$147)+SUMIFS('BSE - Other Index Options'!$M:$M,'BSE - Other Index Options'!$C:$C,$A231,'BSE - Other Index Options'!$B:$B,F$147))</f>
        <v/>
      </c>
      <c r="G231" s="26">
        <f>IF(SUMIFS('BSE - SENSEX Index Options'!$M:$M,'BSE - SENSEX Index Options'!$C:$C,$A231,'BSE - SENSEX Index Options'!$B:$B,G$147)+SUMIFS('BSE - Other Index Options'!$M:$M,'BSE - Other Index Options'!$C:$C,$A231,'BSE - Other Index Options'!$B:$B,G$147)=0,"",SUMIFS('BSE - SENSEX Index Options'!$M:$M,'BSE - SENSEX Index Options'!$C:$C,$A231,'BSE - SENSEX Index Options'!$B:$B,G$147)+SUMIFS('BSE - Other Index Options'!$M:$M,'BSE - Other Index Options'!$C:$C,$A231,'BSE - Other Index Options'!$B:$B,G$147))</f>
        <v/>
      </c>
      <c r="H231" s="26">
        <f>IF(SUM(B231:G231)=0,"",SUM(B231:G231))</f>
        <v/>
      </c>
    </row>
    <row r="232" hidden="1" outlineLevel="1">
      <c r="A232" t="inlineStr">
        <is>
          <t>Week1-Feb-2027</t>
        </is>
      </c>
      <c r="B232" s="26">
        <f>IF(SUMIFS('BSE - SENSEX Index Options'!$M:$M,'BSE - SENSEX Index Options'!$C:$C,$A232,'BSE - SENSEX Index Options'!$B:$B,B$147)+SUMIFS('BSE - Other Index Options'!$M:$M,'BSE - Other Index Options'!$C:$C,$A232,'BSE - Other Index Options'!$B:$B,B$147)=0,"",SUMIFS('BSE - SENSEX Index Options'!$M:$M,'BSE - SENSEX Index Options'!$C:$C,$A232,'BSE - SENSEX Index Options'!$B:$B,B$147)+SUMIFS('BSE - Other Index Options'!$M:$M,'BSE - Other Index Options'!$C:$C,$A232,'BSE - Other Index Options'!$B:$B,B$147))</f>
        <v/>
      </c>
      <c r="C232" s="26">
        <f>IF(SUMIFS('BSE - SENSEX Index Options'!$M:$M,'BSE - SENSEX Index Options'!$C:$C,$A232,'BSE - SENSEX Index Options'!$B:$B,C$147)+SUMIFS('BSE - Other Index Options'!$M:$M,'BSE - Other Index Options'!$C:$C,$A232,'BSE - Other Index Options'!$B:$B,C$147)=0,"",SUMIFS('BSE - SENSEX Index Options'!$M:$M,'BSE - SENSEX Index Options'!$C:$C,$A232,'BSE - SENSEX Index Options'!$B:$B,C$147)+SUMIFS('BSE - Other Index Options'!$M:$M,'BSE - Other Index Options'!$C:$C,$A232,'BSE - Other Index Options'!$B:$B,C$147))</f>
        <v/>
      </c>
      <c r="D232" s="26">
        <f>IF(SUMIFS('BSE - SENSEX Index Options'!$M:$M,'BSE - SENSEX Index Options'!$C:$C,$A232,'BSE - SENSEX Index Options'!$B:$B,D$147)+SUMIFS('BSE - Other Index Options'!$M:$M,'BSE - Other Index Options'!$C:$C,$A232,'BSE - Other Index Options'!$B:$B,D$147)=0,"",SUMIFS('BSE - SENSEX Index Options'!$M:$M,'BSE - SENSEX Index Options'!$C:$C,$A232,'BSE - SENSEX Index Options'!$B:$B,D$147)+SUMIFS('BSE - Other Index Options'!$M:$M,'BSE - Other Index Options'!$C:$C,$A232,'BSE - Other Index Options'!$B:$B,D$147))</f>
        <v/>
      </c>
      <c r="E232" s="26">
        <f>IF(SUMIFS('BSE - SENSEX Index Options'!$M:$M,'BSE - SENSEX Index Options'!$C:$C,$A232,'BSE - SENSEX Index Options'!$B:$B,E$147)+SUMIFS('BSE - Other Index Options'!$M:$M,'BSE - Other Index Options'!$C:$C,$A232,'BSE - Other Index Options'!$B:$B,E$147)=0,"",SUMIFS('BSE - SENSEX Index Options'!$M:$M,'BSE - SENSEX Index Options'!$C:$C,$A232,'BSE - SENSEX Index Options'!$B:$B,E$147)+SUMIFS('BSE - Other Index Options'!$M:$M,'BSE - Other Index Options'!$C:$C,$A232,'BSE - Other Index Options'!$B:$B,E$147))</f>
        <v/>
      </c>
      <c r="F232" s="26">
        <f>IF(SUMIFS('BSE - SENSEX Index Options'!$M:$M,'BSE - SENSEX Index Options'!$C:$C,$A232,'BSE - SENSEX Index Options'!$B:$B,F$147)+SUMIFS('BSE - Other Index Options'!$M:$M,'BSE - Other Index Options'!$C:$C,$A232,'BSE - Other Index Options'!$B:$B,F$147)=0,"",SUMIFS('BSE - SENSEX Index Options'!$M:$M,'BSE - SENSEX Index Options'!$C:$C,$A232,'BSE - SENSEX Index Options'!$B:$B,F$147)+SUMIFS('BSE - Other Index Options'!$M:$M,'BSE - Other Index Options'!$C:$C,$A232,'BSE - Other Index Options'!$B:$B,F$147))</f>
        <v/>
      </c>
      <c r="G232" s="26">
        <f>IF(SUMIFS('BSE - SENSEX Index Options'!$M:$M,'BSE - SENSEX Index Options'!$C:$C,$A232,'BSE - SENSEX Index Options'!$B:$B,G$147)+SUMIFS('BSE - Other Index Options'!$M:$M,'BSE - Other Index Options'!$C:$C,$A232,'BSE - Other Index Options'!$B:$B,G$147)=0,"",SUMIFS('BSE - SENSEX Index Options'!$M:$M,'BSE - SENSEX Index Options'!$C:$C,$A232,'BSE - SENSEX Index Options'!$B:$B,G$147)+SUMIFS('BSE - Other Index Options'!$M:$M,'BSE - Other Index Options'!$C:$C,$A232,'BSE - Other Index Options'!$B:$B,G$147))</f>
        <v/>
      </c>
      <c r="H232" s="26">
        <f>IF(SUM(B232:G232)=0,"",SUM(B232:G232))</f>
        <v/>
      </c>
    </row>
    <row r="233" hidden="1" outlineLevel="1">
      <c r="A233" t="inlineStr">
        <is>
          <t>Week2-Feb-2027</t>
        </is>
      </c>
      <c r="B233" s="26">
        <f>IF(SUMIFS('BSE - SENSEX Index Options'!$M:$M,'BSE - SENSEX Index Options'!$C:$C,$A233,'BSE - SENSEX Index Options'!$B:$B,B$147)+SUMIFS('BSE - Other Index Options'!$M:$M,'BSE - Other Index Options'!$C:$C,$A233,'BSE - Other Index Options'!$B:$B,B$147)=0,"",SUMIFS('BSE - SENSEX Index Options'!$M:$M,'BSE - SENSEX Index Options'!$C:$C,$A233,'BSE - SENSEX Index Options'!$B:$B,B$147)+SUMIFS('BSE - Other Index Options'!$M:$M,'BSE - Other Index Options'!$C:$C,$A233,'BSE - Other Index Options'!$B:$B,B$147))</f>
        <v/>
      </c>
      <c r="C233" s="26">
        <f>IF(SUMIFS('BSE - SENSEX Index Options'!$M:$M,'BSE - SENSEX Index Options'!$C:$C,$A233,'BSE - SENSEX Index Options'!$B:$B,C$147)+SUMIFS('BSE - Other Index Options'!$M:$M,'BSE - Other Index Options'!$C:$C,$A233,'BSE - Other Index Options'!$B:$B,C$147)=0,"",SUMIFS('BSE - SENSEX Index Options'!$M:$M,'BSE - SENSEX Index Options'!$C:$C,$A233,'BSE - SENSEX Index Options'!$B:$B,C$147)+SUMIFS('BSE - Other Index Options'!$M:$M,'BSE - Other Index Options'!$C:$C,$A233,'BSE - Other Index Options'!$B:$B,C$147))</f>
        <v/>
      </c>
      <c r="D233" s="26">
        <f>IF(SUMIFS('BSE - SENSEX Index Options'!$M:$M,'BSE - SENSEX Index Options'!$C:$C,$A233,'BSE - SENSEX Index Options'!$B:$B,D$147)+SUMIFS('BSE - Other Index Options'!$M:$M,'BSE - Other Index Options'!$C:$C,$A233,'BSE - Other Index Options'!$B:$B,D$147)=0,"",SUMIFS('BSE - SENSEX Index Options'!$M:$M,'BSE - SENSEX Index Options'!$C:$C,$A233,'BSE - SENSEX Index Options'!$B:$B,D$147)+SUMIFS('BSE - Other Index Options'!$M:$M,'BSE - Other Index Options'!$C:$C,$A233,'BSE - Other Index Options'!$B:$B,D$147))</f>
        <v/>
      </c>
      <c r="E233" s="26">
        <f>IF(SUMIFS('BSE - SENSEX Index Options'!$M:$M,'BSE - SENSEX Index Options'!$C:$C,$A233,'BSE - SENSEX Index Options'!$B:$B,E$147)+SUMIFS('BSE - Other Index Options'!$M:$M,'BSE - Other Index Options'!$C:$C,$A233,'BSE - Other Index Options'!$B:$B,E$147)=0,"",SUMIFS('BSE - SENSEX Index Options'!$M:$M,'BSE - SENSEX Index Options'!$C:$C,$A233,'BSE - SENSEX Index Options'!$B:$B,E$147)+SUMIFS('BSE - Other Index Options'!$M:$M,'BSE - Other Index Options'!$C:$C,$A233,'BSE - Other Index Options'!$B:$B,E$147))</f>
        <v/>
      </c>
      <c r="F233" s="26">
        <f>IF(SUMIFS('BSE - SENSEX Index Options'!$M:$M,'BSE - SENSEX Index Options'!$C:$C,$A233,'BSE - SENSEX Index Options'!$B:$B,F$147)+SUMIFS('BSE - Other Index Options'!$M:$M,'BSE - Other Index Options'!$C:$C,$A233,'BSE - Other Index Options'!$B:$B,F$147)=0,"",SUMIFS('BSE - SENSEX Index Options'!$M:$M,'BSE - SENSEX Index Options'!$C:$C,$A233,'BSE - SENSEX Index Options'!$B:$B,F$147)+SUMIFS('BSE - Other Index Options'!$M:$M,'BSE - Other Index Options'!$C:$C,$A233,'BSE - Other Index Options'!$B:$B,F$147))</f>
        <v/>
      </c>
      <c r="G233" s="26">
        <f>IF(SUMIFS('BSE - SENSEX Index Options'!$M:$M,'BSE - SENSEX Index Options'!$C:$C,$A233,'BSE - SENSEX Index Options'!$B:$B,G$147)+SUMIFS('BSE - Other Index Options'!$M:$M,'BSE - Other Index Options'!$C:$C,$A233,'BSE - Other Index Options'!$B:$B,G$147)=0,"",SUMIFS('BSE - SENSEX Index Options'!$M:$M,'BSE - SENSEX Index Options'!$C:$C,$A233,'BSE - SENSEX Index Options'!$B:$B,G$147)+SUMIFS('BSE - Other Index Options'!$M:$M,'BSE - Other Index Options'!$C:$C,$A233,'BSE - Other Index Options'!$B:$B,G$147))</f>
        <v/>
      </c>
      <c r="H233" s="26">
        <f>IF(SUM(B233:G233)=0,"",SUM(B233:G233))</f>
        <v/>
      </c>
    </row>
    <row r="234" hidden="1" outlineLevel="1">
      <c r="A234" t="inlineStr">
        <is>
          <t>Week3-Feb-2027</t>
        </is>
      </c>
      <c r="B234" s="26">
        <f>IF(SUMIFS('BSE - SENSEX Index Options'!$M:$M,'BSE - SENSEX Index Options'!$C:$C,$A234,'BSE - SENSEX Index Options'!$B:$B,B$147)+SUMIFS('BSE - Other Index Options'!$M:$M,'BSE - Other Index Options'!$C:$C,$A234,'BSE - Other Index Options'!$B:$B,B$147)=0,"",SUMIFS('BSE - SENSEX Index Options'!$M:$M,'BSE - SENSEX Index Options'!$C:$C,$A234,'BSE - SENSEX Index Options'!$B:$B,B$147)+SUMIFS('BSE - Other Index Options'!$M:$M,'BSE - Other Index Options'!$C:$C,$A234,'BSE - Other Index Options'!$B:$B,B$147))</f>
        <v/>
      </c>
      <c r="C234" s="26">
        <f>IF(SUMIFS('BSE - SENSEX Index Options'!$M:$M,'BSE - SENSEX Index Options'!$C:$C,$A234,'BSE - SENSEX Index Options'!$B:$B,C$147)+SUMIFS('BSE - Other Index Options'!$M:$M,'BSE - Other Index Options'!$C:$C,$A234,'BSE - Other Index Options'!$B:$B,C$147)=0,"",SUMIFS('BSE - SENSEX Index Options'!$M:$M,'BSE - SENSEX Index Options'!$C:$C,$A234,'BSE - SENSEX Index Options'!$B:$B,C$147)+SUMIFS('BSE - Other Index Options'!$M:$M,'BSE - Other Index Options'!$C:$C,$A234,'BSE - Other Index Options'!$B:$B,C$147))</f>
        <v/>
      </c>
      <c r="D234" s="26">
        <f>IF(SUMIFS('BSE - SENSEX Index Options'!$M:$M,'BSE - SENSEX Index Options'!$C:$C,$A234,'BSE - SENSEX Index Options'!$B:$B,D$147)+SUMIFS('BSE - Other Index Options'!$M:$M,'BSE - Other Index Options'!$C:$C,$A234,'BSE - Other Index Options'!$B:$B,D$147)=0,"",SUMIFS('BSE - SENSEX Index Options'!$M:$M,'BSE - SENSEX Index Options'!$C:$C,$A234,'BSE - SENSEX Index Options'!$B:$B,D$147)+SUMIFS('BSE - Other Index Options'!$M:$M,'BSE - Other Index Options'!$C:$C,$A234,'BSE - Other Index Options'!$B:$B,D$147))</f>
        <v/>
      </c>
      <c r="E234" s="26">
        <f>IF(SUMIFS('BSE - SENSEX Index Options'!$M:$M,'BSE - SENSEX Index Options'!$C:$C,$A234,'BSE - SENSEX Index Options'!$B:$B,E$147)+SUMIFS('BSE - Other Index Options'!$M:$M,'BSE - Other Index Options'!$C:$C,$A234,'BSE - Other Index Options'!$B:$B,E$147)=0,"",SUMIFS('BSE - SENSEX Index Options'!$M:$M,'BSE - SENSEX Index Options'!$C:$C,$A234,'BSE - SENSEX Index Options'!$B:$B,E$147)+SUMIFS('BSE - Other Index Options'!$M:$M,'BSE - Other Index Options'!$C:$C,$A234,'BSE - Other Index Options'!$B:$B,E$147))</f>
        <v/>
      </c>
      <c r="F234" s="26">
        <f>IF(SUMIFS('BSE - SENSEX Index Options'!$M:$M,'BSE - SENSEX Index Options'!$C:$C,$A234,'BSE - SENSEX Index Options'!$B:$B,F$147)+SUMIFS('BSE - Other Index Options'!$M:$M,'BSE - Other Index Options'!$C:$C,$A234,'BSE - Other Index Options'!$B:$B,F$147)=0,"",SUMIFS('BSE - SENSEX Index Options'!$M:$M,'BSE - SENSEX Index Options'!$C:$C,$A234,'BSE - SENSEX Index Options'!$B:$B,F$147)+SUMIFS('BSE - Other Index Options'!$M:$M,'BSE - Other Index Options'!$C:$C,$A234,'BSE - Other Index Options'!$B:$B,F$147))</f>
        <v/>
      </c>
      <c r="G234" s="26">
        <f>IF(SUMIFS('BSE - SENSEX Index Options'!$M:$M,'BSE - SENSEX Index Options'!$C:$C,$A234,'BSE - SENSEX Index Options'!$B:$B,G$147)+SUMIFS('BSE - Other Index Options'!$M:$M,'BSE - Other Index Options'!$C:$C,$A234,'BSE - Other Index Options'!$B:$B,G$147)=0,"",SUMIFS('BSE - SENSEX Index Options'!$M:$M,'BSE - SENSEX Index Options'!$C:$C,$A234,'BSE - SENSEX Index Options'!$B:$B,G$147)+SUMIFS('BSE - Other Index Options'!$M:$M,'BSE - Other Index Options'!$C:$C,$A234,'BSE - Other Index Options'!$B:$B,G$147))</f>
        <v/>
      </c>
      <c r="H234" s="26">
        <f>IF(SUM(B234:G234)=0,"",SUM(B234:G234))</f>
        <v/>
      </c>
    </row>
    <row r="235" hidden="1" outlineLevel="1">
      <c r="A235" t="inlineStr">
        <is>
          <t>Week4-Feb-2027</t>
        </is>
      </c>
      <c r="B235" s="26">
        <f>IF(SUMIFS('BSE - SENSEX Index Options'!$M:$M,'BSE - SENSEX Index Options'!$C:$C,$A235,'BSE - SENSEX Index Options'!$B:$B,B$147)+SUMIFS('BSE - Other Index Options'!$M:$M,'BSE - Other Index Options'!$C:$C,$A235,'BSE - Other Index Options'!$B:$B,B$147)=0,"",SUMIFS('BSE - SENSEX Index Options'!$M:$M,'BSE - SENSEX Index Options'!$C:$C,$A235,'BSE - SENSEX Index Options'!$B:$B,B$147)+SUMIFS('BSE - Other Index Options'!$M:$M,'BSE - Other Index Options'!$C:$C,$A235,'BSE - Other Index Options'!$B:$B,B$147))</f>
        <v/>
      </c>
      <c r="C235" s="26">
        <f>IF(SUMIFS('BSE - SENSEX Index Options'!$M:$M,'BSE - SENSEX Index Options'!$C:$C,$A235,'BSE - SENSEX Index Options'!$B:$B,C$147)+SUMIFS('BSE - Other Index Options'!$M:$M,'BSE - Other Index Options'!$C:$C,$A235,'BSE - Other Index Options'!$B:$B,C$147)=0,"",SUMIFS('BSE - SENSEX Index Options'!$M:$M,'BSE - SENSEX Index Options'!$C:$C,$A235,'BSE - SENSEX Index Options'!$B:$B,C$147)+SUMIFS('BSE - Other Index Options'!$M:$M,'BSE - Other Index Options'!$C:$C,$A235,'BSE - Other Index Options'!$B:$B,C$147))</f>
        <v/>
      </c>
      <c r="D235" s="26">
        <f>IF(SUMIFS('BSE - SENSEX Index Options'!$M:$M,'BSE - SENSEX Index Options'!$C:$C,$A235,'BSE - SENSEX Index Options'!$B:$B,D$147)+SUMIFS('BSE - Other Index Options'!$M:$M,'BSE - Other Index Options'!$C:$C,$A235,'BSE - Other Index Options'!$B:$B,D$147)=0,"",SUMIFS('BSE - SENSEX Index Options'!$M:$M,'BSE - SENSEX Index Options'!$C:$C,$A235,'BSE - SENSEX Index Options'!$B:$B,D$147)+SUMIFS('BSE - Other Index Options'!$M:$M,'BSE - Other Index Options'!$C:$C,$A235,'BSE - Other Index Options'!$B:$B,D$147))</f>
        <v/>
      </c>
      <c r="E235" s="26">
        <f>IF(SUMIFS('BSE - SENSEX Index Options'!$M:$M,'BSE - SENSEX Index Options'!$C:$C,$A235,'BSE - SENSEX Index Options'!$B:$B,E$147)+SUMIFS('BSE - Other Index Options'!$M:$M,'BSE - Other Index Options'!$C:$C,$A235,'BSE - Other Index Options'!$B:$B,E$147)=0,"",SUMIFS('BSE - SENSEX Index Options'!$M:$M,'BSE - SENSEX Index Options'!$C:$C,$A235,'BSE - SENSEX Index Options'!$B:$B,E$147)+SUMIFS('BSE - Other Index Options'!$M:$M,'BSE - Other Index Options'!$C:$C,$A235,'BSE - Other Index Options'!$B:$B,E$147))</f>
        <v/>
      </c>
      <c r="F235" s="26">
        <f>IF(SUMIFS('BSE - SENSEX Index Options'!$M:$M,'BSE - SENSEX Index Options'!$C:$C,$A235,'BSE - SENSEX Index Options'!$B:$B,F$147)+SUMIFS('BSE - Other Index Options'!$M:$M,'BSE - Other Index Options'!$C:$C,$A235,'BSE - Other Index Options'!$B:$B,F$147)=0,"",SUMIFS('BSE - SENSEX Index Options'!$M:$M,'BSE - SENSEX Index Options'!$C:$C,$A235,'BSE - SENSEX Index Options'!$B:$B,F$147)+SUMIFS('BSE - Other Index Options'!$M:$M,'BSE - Other Index Options'!$C:$C,$A235,'BSE - Other Index Options'!$B:$B,F$147))</f>
        <v/>
      </c>
      <c r="G235" s="26">
        <f>IF(SUMIFS('BSE - SENSEX Index Options'!$M:$M,'BSE - SENSEX Index Options'!$C:$C,$A235,'BSE - SENSEX Index Options'!$B:$B,G$147)+SUMIFS('BSE - Other Index Options'!$M:$M,'BSE - Other Index Options'!$C:$C,$A235,'BSE - Other Index Options'!$B:$B,G$147)=0,"",SUMIFS('BSE - SENSEX Index Options'!$M:$M,'BSE - SENSEX Index Options'!$C:$C,$A235,'BSE - SENSEX Index Options'!$B:$B,G$147)+SUMIFS('BSE - Other Index Options'!$M:$M,'BSE - Other Index Options'!$C:$C,$A235,'BSE - Other Index Options'!$B:$B,G$147))</f>
        <v/>
      </c>
      <c r="H235" s="26">
        <f>IF(SUM(B235:G235)=0,"",SUM(B235:G235))</f>
        <v/>
      </c>
    </row>
    <row r="236" hidden="1" outlineLevel="1">
      <c r="A236" t="inlineStr">
        <is>
          <t>Week1-Mar-2027</t>
        </is>
      </c>
      <c r="B236" s="26">
        <f>IF(SUMIFS('BSE - SENSEX Index Options'!$M:$M,'BSE - SENSEX Index Options'!$C:$C,$A236,'BSE - SENSEX Index Options'!$B:$B,B$147)+SUMIFS('BSE - Other Index Options'!$M:$M,'BSE - Other Index Options'!$C:$C,$A236,'BSE - Other Index Options'!$B:$B,B$147)=0,"",SUMIFS('BSE - SENSEX Index Options'!$M:$M,'BSE - SENSEX Index Options'!$C:$C,$A236,'BSE - SENSEX Index Options'!$B:$B,B$147)+SUMIFS('BSE - Other Index Options'!$M:$M,'BSE - Other Index Options'!$C:$C,$A236,'BSE - Other Index Options'!$B:$B,B$147))</f>
        <v/>
      </c>
      <c r="C236" s="26">
        <f>IF(SUMIFS('BSE - SENSEX Index Options'!$M:$M,'BSE - SENSEX Index Options'!$C:$C,$A236,'BSE - SENSEX Index Options'!$B:$B,C$147)+SUMIFS('BSE - Other Index Options'!$M:$M,'BSE - Other Index Options'!$C:$C,$A236,'BSE - Other Index Options'!$B:$B,C$147)=0,"",SUMIFS('BSE - SENSEX Index Options'!$M:$M,'BSE - SENSEX Index Options'!$C:$C,$A236,'BSE - SENSEX Index Options'!$B:$B,C$147)+SUMIFS('BSE - Other Index Options'!$M:$M,'BSE - Other Index Options'!$C:$C,$A236,'BSE - Other Index Options'!$B:$B,C$147))</f>
        <v/>
      </c>
      <c r="D236" s="26">
        <f>IF(SUMIFS('BSE - SENSEX Index Options'!$M:$M,'BSE - SENSEX Index Options'!$C:$C,$A236,'BSE - SENSEX Index Options'!$B:$B,D$147)+SUMIFS('BSE - Other Index Options'!$M:$M,'BSE - Other Index Options'!$C:$C,$A236,'BSE - Other Index Options'!$B:$B,D$147)=0,"",SUMIFS('BSE - SENSEX Index Options'!$M:$M,'BSE - SENSEX Index Options'!$C:$C,$A236,'BSE - SENSEX Index Options'!$B:$B,D$147)+SUMIFS('BSE - Other Index Options'!$M:$M,'BSE - Other Index Options'!$C:$C,$A236,'BSE - Other Index Options'!$B:$B,D$147))</f>
        <v/>
      </c>
      <c r="E236" s="26">
        <f>IF(SUMIFS('BSE - SENSEX Index Options'!$M:$M,'BSE - SENSEX Index Options'!$C:$C,$A236,'BSE - SENSEX Index Options'!$B:$B,E$147)+SUMIFS('BSE - Other Index Options'!$M:$M,'BSE - Other Index Options'!$C:$C,$A236,'BSE - Other Index Options'!$B:$B,E$147)=0,"",SUMIFS('BSE - SENSEX Index Options'!$M:$M,'BSE - SENSEX Index Options'!$C:$C,$A236,'BSE - SENSEX Index Options'!$B:$B,E$147)+SUMIFS('BSE - Other Index Options'!$M:$M,'BSE - Other Index Options'!$C:$C,$A236,'BSE - Other Index Options'!$B:$B,E$147))</f>
        <v/>
      </c>
      <c r="F236" s="26">
        <f>IF(SUMIFS('BSE - SENSEX Index Options'!$M:$M,'BSE - SENSEX Index Options'!$C:$C,$A236,'BSE - SENSEX Index Options'!$B:$B,F$147)+SUMIFS('BSE - Other Index Options'!$M:$M,'BSE - Other Index Options'!$C:$C,$A236,'BSE - Other Index Options'!$B:$B,F$147)=0,"",SUMIFS('BSE - SENSEX Index Options'!$M:$M,'BSE - SENSEX Index Options'!$C:$C,$A236,'BSE - SENSEX Index Options'!$B:$B,F$147)+SUMIFS('BSE - Other Index Options'!$M:$M,'BSE - Other Index Options'!$C:$C,$A236,'BSE - Other Index Options'!$B:$B,F$147))</f>
        <v/>
      </c>
      <c r="G236" s="26">
        <f>IF(SUMIFS('BSE - SENSEX Index Options'!$M:$M,'BSE - SENSEX Index Options'!$C:$C,$A236,'BSE - SENSEX Index Options'!$B:$B,G$147)+SUMIFS('BSE - Other Index Options'!$M:$M,'BSE - Other Index Options'!$C:$C,$A236,'BSE - Other Index Options'!$B:$B,G$147)=0,"",SUMIFS('BSE - SENSEX Index Options'!$M:$M,'BSE - SENSEX Index Options'!$C:$C,$A236,'BSE - SENSEX Index Options'!$B:$B,G$147)+SUMIFS('BSE - Other Index Options'!$M:$M,'BSE - Other Index Options'!$C:$C,$A236,'BSE - Other Index Options'!$B:$B,G$147))</f>
        <v/>
      </c>
      <c r="H236" s="26">
        <f>IF(SUM(B236:G236)=0,"",SUM(B236:G236))</f>
        <v/>
      </c>
    </row>
    <row r="237" hidden="1" outlineLevel="1">
      <c r="A237" t="inlineStr">
        <is>
          <t>Week2-Mar-2027</t>
        </is>
      </c>
      <c r="B237" s="26">
        <f>IF(SUMIFS('BSE - SENSEX Index Options'!$M:$M,'BSE - SENSEX Index Options'!$C:$C,$A237,'BSE - SENSEX Index Options'!$B:$B,B$147)+SUMIFS('BSE - Other Index Options'!$M:$M,'BSE - Other Index Options'!$C:$C,$A237,'BSE - Other Index Options'!$B:$B,B$147)=0,"",SUMIFS('BSE - SENSEX Index Options'!$M:$M,'BSE - SENSEX Index Options'!$C:$C,$A237,'BSE - SENSEX Index Options'!$B:$B,B$147)+SUMIFS('BSE - Other Index Options'!$M:$M,'BSE - Other Index Options'!$C:$C,$A237,'BSE - Other Index Options'!$B:$B,B$147))</f>
        <v/>
      </c>
      <c r="C237" s="26">
        <f>IF(SUMIFS('BSE - SENSEX Index Options'!$M:$M,'BSE - SENSEX Index Options'!$C:$C,$A237,'BSE - SENSEX Index Options'!$B:$B,C$147)+SUMIFS('BSE - Other Index Options'!$M:$M,'BSE - Other Index Options'!$C:$C,$A237,'BSE - Other Index Options'!$B:$B,C$147)=0,"",SUMIFS('BSE - SENSEX Index Options'!$M:$M,'BSE - SENSEX Index Options'!$C:$C,$A237,'BSE - SENSEX Index Options'!$B:$B,C$147)+SUMIFS('BSE - Other Index Options'!$M:$M,'BSE - Other Index Options'!$C:$C,$A237,'BSE - Other Index Options'!$B:$B,C$147))</f>
        <v/>
      </c>
      <c r="D237" s="26">
        <f>IF(SUMIFS('BSE - SENSEX Index Options'!$M:$M,'BSE - SENSEX Index Options'!$C:$C,$A237,'BSE - SENSEX Index Options'!$B:$B,D$147)+SUMIFS('BSE - Other Index Options'!$M:$M,'BSE - Other Index Options'!$C:$C,$A237,'BSE - Other Index Options'!$B:$B,D$147)=0,"",SUMIFS('BSE - SENSEX Index Options'!$M:$M,'BSE - SENSEX Index Options'!$C:$C,$A237,'BSE - SENSEX Index Options'!$B:$B,D$147)+SUMIFS('BSE - Other Index Options'!$M:$M,'BSE - Other Index Options'!$C:$C,$A237,'BSE - Other Index Options'!$B:$B,D$147))</f>
        <v/>
      </c>
      <c r="E237" s="26">
        <f>IF(SUMIFS('BSE - SENSEX Index Options'!$M:$M,'BSE - SENSEX Index Options'!$C:$C,$A237,'BSE - SENSEX Index Options'!$B:$B,E$147)+SUMIFS('BSE - Other Index Options'!$M:$M,'BSE - Other Index Options'!$C:$C,$A237,'BSE - Other Index Options'!$B:$B,E$147)=0,"",SUMIFS('BSE - SENSEX Index Options'!$M:$M,'BSE - SENSEX Index Options'!$C:$C,$A237,'BSE - SENSEX Index Options'!$B:$B,E$147)+SUMIFS('BSE - Other Index Options'!$M:$M,'BSE - Other Index Options'!$C:$C,$A237,'BSE - Other Index Options'!$B:$B,E$147))</f>
        <v/>
      </c>
      <c r="F237" s="26">
        <f>IF(SUMIFS('BSE - SENSEX Index Options'!$M:$M,'BSE - SENSEX Index Options'!$C:$C,$A237,'BSE - SENSEX Index Options'!$B:$B,F$147)+SUMIFS('BSE - Other Index Options'!$M:$M,'BSE - Other Index Options'!$C:$C,$A237,'BSE - Other Index Options'!$B:$B,F$147)=0,"",SUMIFS('BSE - SENSEX Index Options'!$M:$M,'BSE - SENSEX Index Options'!$C:$C,$A237,'BSE - SENSEX Index Options'!$B:$B,F$147)+SUMIFS('BSE - Other Index Options'!$M:$M,'BSE - Other Index Options'!$C:$C,$A237,'BSE - Other Index Options'!$B:$B,F$147))</f>
        <v/>
      </c>
      <c r="G237" s="26">
        <f>IF(SUMIFS('BSE - SENSEX Index Options'!$M:$M,'BSE - SENSEX Index Options'!$C:$C,$A237,'BSE - SENSEX Index Options'!$B:$B,G$147)+SUMIFS('BSE - Other Index Options'!$M:$M,'BSE - Other Index Options'!$C:$C,$A237,'BSE - Other Index Options'!$B:$B,G$147)=0,"",SUMIFS('BSE - SENSEX Index Options'!$M:$M,'BSE - SENSEX Index Options'!$C:$C,$A237,'BSE - SENSEX Index Options'!$B:$B,G$147)+SUMIFS('BSE - Other Index Options'!$M:$M,'BSE - Other Index Options'!$C:$C,$A237,'BSE - Other Index Options'!$B:$B,G$147))</f>
        <v/>
      </c>
      <c r="H237" s="26">
        <f>IF(SUM(B237:G237)=0,"",SUM(B237:G237))</f>
        <v/>
      </c>
    </row>
    <row r="238" hidden="1" outlineLevel="1">
      <c r="A238" t="inlineStr">
        <is>
          <t>Week3-Mar-2027</t>
        </is>
      </c>
      <c r="B238" s="26">
        <f>IF(SUMIFS('BSE - SENSEX Index Options'!$M:$M,'BSE - SENSEX Index Options'!$C:$C,$A238,'BSE - SENSEX Index Options'!$B:$B,B$147)+SUMIFS('BSE - Other Index Options'!$M:$M,'BSE - Other Index Options'!$C:$C,$A238,'BSE - Other Index Options'!$B:$B,B$147)=0,"",SUMIFS('BSE - SENSEX Index Options'!$M:$M,'BSE - SENSEX Index Options'!$C:$C,$A238,'BSE - SENSEX Index Options'!$B:$B,B$147)+SUMIFS('BSE - Other Index Options'!$M:$M,'BSE - Other Index Options'!$C:$C,$A238,'BSE - Other Index Options'!$B:$B,B$147))</f>
        <v/>
      </c>
      <c r="C238" s="26">
        <f>IF(SUMIFS('BSE - SENSEX Index Options'!$M:$M,'BSE - SENSEX Index Options'!$C:$C,$A238,'BSE - SENSEX Index Options'!$B:$B,C$147)+SUMIFS('BSE - Other Index Options'!$M:$M,'BSE - Other Index Options'!$C:$C,$A238,'BSE - Other Index Options'!$B:$B,C$147)=0,"",SUMIFS('BSE - SENSEX Index Options'!$M:$M,'BSE - SENSEX Index Options'!$C:$C,$A238,'BSE - SENSEX Index Options'!$B:$B,C$147)+SUMIFS('BSE - Other Index Options'!$M:$M,'BSE - Other Index Options'!$C:$C,$A238,'BSE - Other Index Options'!$B:$B,C$147))</f>
        <v/>
      </c>
      <c r="D238" s="26">
        <f>IF(SUMIFS('BSE - SENSEX Index Options'!$M:$M,'BSE - SENSEX Index Options'!$C:$C,$A238,'BSE - SENSEX Index Options'!$B:$B,D$147)+SUMIFS('BSE - Other Index Options'!$M:$M,'BSE - Other Index Options'!$C:$C,$A238,'BSE - Other Index Options'!$B:$B,D$147)=0,"",SUMIFS('BSE - SENSEX Index Options'!$M:$M,'BSE - SENSEX Index Options'!$C:$C,$A238,'BSE - SENSEX Index Options'!$B:$B,D$147)+SUMIFS('BSE - Other Index Options'!$M:$M,'BSE - Other Index Options'!$C:$C,$A238,'BSE - Other Index Options'!$B:$B,D$147))</f>
        <v/>
      </c>
      <c r="E238" s="26">
        <f>IF(SUMIFS('BSE - SENSEX Index Options'!$M:$M,'BSE - SENSEX Index Options'!$C:$C,$A238,'BSE - SENSEX Index Options'!$B:$B,E$147)+SUMIFS('BSE - Other Index Options'!$M:$M,'BSE - Other Index Options'!$C:$C,$A238,'BSE - Other Index Options'!$B:$B,E$147)=0,"",SUMIFS('BSE - SENSEX Index Options'!$M:$M,'BSE - SENSEX Index Options'!$C:$C,$A238,'BSE - SENSEX Index Options'!$B:$B,E$147)+SUMIFS('BSE - Other Index Options'!$M:$M,'BSE - Other Index Options'!$C:$C,$A238,'BSE - Other Index Options'!$B:$B,E$147))</f>
        <v/>
      </c>
      <c r="F238" s="26">
        <f>IF(SUMIFS('BSE - SENSEX Index Options'!$M:$M,'BSE - SENSEX Index Options'!$C:$C,$A238,'BSE - SENSEX Index Options'!$B:$B,F$147)+SUMIFS('BSE - Other Index Options'!$M:$M,'BSE - Other Index Options'!$C:$C,$A238,'BSE - Other Index Options'!$B:$B,F$147)=0,"",SUMIFS('BSE - SENSEX Index Options'!$M:$M,'BSE - SENSEX Index Options'!$C:$C,$A238,'BSE - SENSEX Index Options'!$B:$B,F$147)+SUMIFS('BSE - Other Index Options'!$M:$M,'BSE - Other Index Options'!$C:$C,$A238,'BSE - Other Index Options'!$B:$B,F$147))</f>
        <v/>
      </c>
      <c r="G238" s="26">
        <f>IF(SUMIFS('BSE - SENSEX Index Options'!$M:$M,'BSE - SENSEX Index Options'!$C:$C,$A238,'BSE - SENSEX Index Options'!$B:$B,G$147)+SUMIFS('BSE - Other Index Options'!$M:$M,'BSE - Other Index Options'!$C:$C,$A238,'BSE - Other Index Options'!$B:$B,G$147)=0,"",SUMIFS('BSE - SENSEX Index Options'!$M:$M,'BSE - SENSEX Index Options'!$C:$C,$A238,'BSE - SENSEX Index Options'!$B:$B,G$147)+SUMIFS('BSE - Other Index Options'!$M:$M,'BSE - Other Index Options'!$C:$C,$A238,'BSE - Other Index Options'!$B:$B,G$147))</f>
        <v/>
      </c>
      <c r="H238" s="26">
        <f>IF(SUM(B238:G238)=0,"",SUM(B238:G238))</f>
        <v/>
      </c>
    </row>
    <row r="239" hidden="1" outlineLevel="1">
      <c r="A239" t="inlineStr">
        <is>
          <t>Week4-Mar-2027</t>
        </is>
      </c>
      <c r="B239" s="26">
        <f>IF(SUMIFS('BSE - SENSEX Index Options'!$M:$M,'BSE - SENSEX Index Options'!$C:$C,$A239,'BSE - SENSEX Index Options'!$B:$B,B$147)+SUMIFS('BSE - Other Index Options'!$M:$M,'BSE - Other Index Options'!$C:$C,$A239,'BSE - Other Index Options'!$B:$B,B$147)=0,"",SUMIFS('BSE - SENSEX Index Options'!$M:$M,'BSE - SENSEX Index Options'!$C:$C,$A239,'BSE - SENSEX Index Options'!$B:$B,B$147)+SUMIFS('BSE - Other Index Options'!$M:$M,'BSE - Other Index Options'!$C:$C,$A239,'BSE - Other Index Options'!$B:$B,B$147))</f>
        <v/>
      </c>
      <c r="C239" s="26">
        <f>IF(SUMIFS('BSE - SENSEX Index Options'!$M:$M,'BSE - SENSEX Index Options'!$C:$C,$A239,'BSE - SENSEX Index Options'!$B:$B,C$147)+SUMIFS('BSE - Other Index Options'!$M:$M,'BSE - Other Index Options'!$C:$C,$A239,'BSE - Other Index Options'!$B:$B,C$147)=0,"",SUMIFS('BSE - SENSEX Index Options'!$M:$M,'BSE - SENSEX Index Options'!$C:$C,$A239,'BSE - SENSEX Index Options'!$B:$B,C$147)+SUMIFS('BSE - Other Index Options'!$M:$M,'BSE - Other Index Options'!$C:$C,$A239,'BSE - Other Index Options'!$B:$B,C$147))</f>
        <v/>
      </c>
      <c r="D239" s="26">
        <f>IF(SUMIFS('BSE - SENSEX Index Options'!$M:$M,'BSE - SENSEX Index Options'!$C:$C,$A239,'BSE - SENSEX Index Options'!$B:$B,D$147)+SUMIFS('BSE - Other Index Options'!$M:$M,'BSE - Other Index Options'!$C:$C,$A239,'BSE - Other Index Options'!$B:$B,D$147)=0,"",SUMIFS('BSE - SENSEX Index Options'!$M:$M,'BSE - SENSEX Index Options'!$C:$C,$A239,'BSE - SENSEX Index Options'!$B:$B,D$147)+SUMIFS('BSE - Other Index Options'!$M:$M,'BSE - Other Index Options'!$C:$C,$A239,'BSE - Other Index Options'!$B:$B,D$147))</f>
        <v/>
      </c>
      <c r="E239" s="26">
        <f>IF(SUMIFS('BSE - SENSEX Index Options'!$M:$M,'BSE - SENSEX Index Options'!$C:$C,$A239,'BSE - SENSEX Index Options'!$B:$B,E$147)+SUMIFS('BSE - Other Index Options'!$M:$M,'BSE - Other Index Options'!$C:$C,$A239,'BSE - Other Index Options'!$B:$B,E$147)=0,"",SUMIFS('BSE - SENSEX Index Options'!$M:$M,'BSE - SENSEX Index Options'!$C:$C,$A239,'BSE - SENSEX Index Options'!$B:$B,E$147)+SUMIFS('BSE - Other Index Options'!$M:$M,'BSE - Other Index Options'!$C:$C,$A239,'BSE - Other Index Options'!$B:$B,E$147))</f>
        <v/>
      </c>
      <c r="F239" s="26">
        <f>IF(SUMIFS('BSE - SENSEX Index Options'!$M:$M,'BSE - SENSEX Index Options'!$C:$C,$A239,'BSE - SENSEX Index Options'!$B:$B,F$147)+SUMIFS('BSE - Other Index Options'!$M:$M,'BSE - Other Index Options'!$C:$C,$A239,'BSE - Other Index Options'!$B:$B,F$147)=0,"",SUMIFS('BSE - SENSEX Index Options'!$M:$M,'BSE - SENSEX Index Options'!$C:$C,$A239,'BSE - SENSEX Index Options'!$B:$B,F$147)+SUMIFS('BSE - Other Index Options'!$M:$M,'BSE - Other Index Options'!$C:$C,$A239,'BSE - Other Index Options'!$B:$B,F$147))</f>
        <v/>
      </c>
      <c r="G239" s="26">
        <f>IF(SUMIFS('BSE - SENSEX Index Options'!$M:$M,'BSE - SENSEX Index Options'!$C:$C,$A239,'BSE - SENSEX Index Options'!$B:$B,G$147)+SUMIFS('BSE - Other Index Options'!$M:$M,'BSE - Other Index Options'!$C:$C,$A239,'BSE - Other Index Options'!$B:$B,G$147)=0,"",SUMIFS('BSE - SENSEX Index Options'!$M:$M,'BSE - SENSEX Index Options'!$C:$C,$A239,'BSE - SENSEX Index Options'!$B:$B,G$147)+SUMIFS('BSE - Other Index Options'!$M:$M,'BSE - Other Index Options'!$C:$C,$A239,'BSE - Other Index Options'!$B:$B,G$147))</f>
        <v/>
      </c>
      <c r="H239" s="26">
        <f>IF(SUM(B239:G239)=0,"",SUM(B239:G239))</f>
        <v/>
      </c>
    </row>
    <row r="240" hidden="1" outlineLevel="1">
      <c r="A240" t="inlineStr">
        <is>
          <t>Week5-Mar-2027</t>
        </is>
      </c>
      <c r="B240" s="26">
        <f>IF(SUMIFS('BSE - SENSEX Index Options'!$M:$M,'BSE - SENSEX Index Options'!$C:$C,$A240,'BSE - SENSEX Index Options'!$B:$B,B$147)+SUMIFS('BSE - Other Index Options'!$M:$M,'BSE - Other Index Options'!$C:$C,$A240,'BSE - Other Index Options'!$B:$B,B$147)=0,"",SUMIFS('BSE - SENSEX Index Options'!$M:$M,'BSE - SENSEX Index Options'!$C:$C,$A240,'BSE - SENSEX Index Options'!$B:$B,B$147)+SUMIFS('BSE - Other Index Options'!$M:$M,'BSE - Other Index Options'!$C:$C,$A240,'BSE - Other Index Options'!$B:$B,B$147))</f>
        <v/>
      </c>
      <c r="C240" s="26">
        <f>IF(SUMIFS('BSE - SENSEX Index Options'!$M:$M,'BSE - SENSEX Index Options'!$C:$C,$A240,'BSE - SENSEX Index Options'!$B:$B,C$147)+SUMIFS('BSE - Other Index Options'!$M:$M,'BSE - Other Index Options'!$C:$C,$A240,'BSE - Other Index Options'!$B:$B,C$147)=0,"",SUMIFS('BSE - SENSEX Index Options'!$M:$M,'BSE - SENSEX Index Options'!$C:$C,$A240,'BSE - SENSEX Index Options'!$B:$B,C$147)+SUMIFS('BSE - Other Index Options'!$M:$M,'BSE - Other Index Options'!$C:$C,$A240,'BSE - Other Index Options'!$B:$B,C$147))</f>
        <v/>
      </c>
      <c r="D240" s="26">
        <f>IF(SUMIFS('BSE - SENSEX Index Options'!$M:$M,'BSE - SENSEX Index Options'!$C:$C,$A240,'BSE - SENSEX Index Options'!$B:$B,D$147)+SUMIFS('BSE - Other Index Options'!$M:$M,'BSE - Other Index Options'!$C:$C,$A240,'BSE - Other Index Options'!$B:$B,D$147)=0,"",SUMIFS('BSE - SENSEX Index Options'!$M:$M,'BSE - SENSEX Index Options'!$C:$C,$A240,'BSE - SENSEX Index Options'!$B:$B,D$147)+SUMIFS('BSE - Other Index Options'!$M:$M,'BSE - Other Index Options'!$C:$C,$A240,'BSE - Other Index Options'!$B:$B,D$147))</f>
        <v/>
      </c>
      <c r="E240" s="26">
        <f>IF(SUMIFS('BSE - SENSEX Index Options'!$M:$M,'BSE - SENSEX Index Options'!$C:$C,$A240,'BSE - SENSEX Index Options'!$B:$B,E$147)+SUMIFS('BSE - Other Index Options'!$M:$M,'BSE - Other Index Options'!$C:$C,$A240,'BSE - Other Index Options'!$B:$B,E$147)=0,"",SUMIFS('BSE - SENSEX Index Options'!$M:$M,'BSE - SENSEX Index Options'!$C:$C,$A240,'BSE - SENSEX Index Options'!$B:$B,E$147)+SUMIFS('BSE - Other Index Options'!$M:$M,'BSE - Other Index Options'!$C:$C,$A240,'BSE - Other Index Options'!$B:$B,E$147))</f>
        <v/>
      </c>
      <c r="F240" s="26">
        <f>IF(SUMIFS('BSE - SENSEX Index Options'!$M:$M,'BSE - SENSEX Index Options'!$C:$C,$A240,'BSE - SENSEX Index Options'!$B:$B,F$147)+SUMIFS('BSE - Other Index Options'!$M:$M,'BSE - Other Index Options'!$C:$C,$A240,'BSE - Other Index Options'!$B:$B,F$147)=0,"",SUMIFS('BSE - SENSEX Index Options'!$M:$M,'BSE - SENSEX Index Options'!$C:$C,$A240,'BSE - SENSEX Index Options'!$B:$B,F$147)+SUMIFS('BSE - Other Index Options'!$M:$M,'BSE - Other Index Options'!$C:$C,$A240,'BSE - Other Index Options'!$B:$B,F$147))</f>
        <v/>
      </c>
      <c r="G240" s="26">
        <f>IF(SUMIFS('BSE - SENSEX Index Options'!$M:$M,'BSE - SENSEX Index Options'!$C:$C,$A240,'BSE - SENSEX Index Options'!$B:$B,G$147)+SUMIFS('BSE - Other Index Options'!$M:$M,'BSE - Other Index Options'!$C:$C,$A240,'BSE - Other Index Options'!$B:$B,G$147)=0,"",SUMIFS('BSE - SENSEX Index Options'!$M:$M,'BSE - SENSEX Index Options'!$C:$C,$A240,'BSE - SENSEX Index Options'!$B:$B,G$147)+SUMIFS('BSE - Other Index Options'!$M:$M,'BSE - Other Index Options'!$C:$C,$A240,'BSE - Other Index Options'!$B:$B,G$147))</f>
        <v/>
      </c>
      <c r="H240" s="26">
        <f>IF(SUM(B240:G240)=0,"",SUM(B240:G240))</f>
        <v/>
      </c>
    </row>
    <row r="241" hidden="1" outlineLevel="1">
      <c r="A241" t="inlineStr">
        <is>
          <t>Week1-Apr-2027</t>
        </is>
      </c>
      <c r="B241" s="26">
        <f>IF(SUMIFS('BSE - SENSEX Index Options'!$M:$M,'BSE - SENSEX Index Options'!$C:$C,$A241,'BSE - SENSEX Index Options'!$B:$B,B$147)+SUMIFS('BSE - Other Index Options'!$M:$M,'BSE - Other Index Options'!$C:$C,$A241,'BSE - Other Index Options'!$B:$B,B$147)=0,"",SUMIFS('BSE - SENSEX Index Options'!$M:$M,'BSE - SENSEX Index Options'!$C:$C,$A241,'BSE - SENSEX Index Options'!$B:$B,B$147)+SUMIFS('BSE - Other Index Options'!$M:$M,'BSE - Other Index Options'!$C:$C,$A241,'BSE - Other Index Options'!$B:$B,B$147))</f>
        <v/>
      </c>
      <c r="C241" s="26">
        <f>IF(SUMIFS('BSE - SENSEX Index Options'!$M:$M,'BSE - SENSEX Index Options'!$C:$C,$A241,'BSE - SENSEX Index Options'!$B:$B,C$147)+SUMIFS('BSE - Other Index Options'!$M:$M,'BSE - Other Index Options'!$C:$C,$A241,'BSE - Other Index Options'!$B:$B,C$147)=0,"",SUMIFS('BSE - SENSEX Index Options'!$M:$M,'BSE - SENSEX Index Options'!$C:$C,$A241,'BSE - SENSEX Index Options'!$B:$B,C$147)+SUMIFS('BSE - Other Index Options'!$M:$M,'BSE - Other Index Options'!$C:$C,$A241,'BSE - Other Index Options'!$B:$B,C$147))</f>
        <v/>
      </c>
      <c r="D241" s="26">
        <f>IF(SUMIFS('BSE - SENSEX Index Options'!$M:$M,'BSE - SENSEX Index Options'!$C:$C,$A241,'BSE - SENSEX Index Options'!$B:$B,D$147)+SUMIFS('BSE - Other Index Options'!$M:$M,'BSE - Other Index Options'!$C:$C,$A241,'BSE - Other Index Options'!$B:$B,D$147)=0,"",SUMIFS('BSE - SENSEX Index Options'!$M:$M,'BSE - SENSEX Index Options'!$C:$C,$A241,'BSE - SENSEX Index Options'!$B:$B,D$147)+SUMIFS('BSE - Other Index Options'!$M:$M,'BSE - Other Index Options'!$C:$C,$A241,'BSE - Other Index Options'!$B:$B,D$147))</f>
        <v/>
      </c>
      <c r="E241" s="26">
        <f>IF(SUMIFS('BSE - SENSEX Index Options'!$M:$M,'BSE - SENSEX Index Options'!$C:$C,$A241,'BSE - SENSEX Index Options'!$B:$B,E$147)+SUMIFS('BSE - Other Index Options'!$M:$M,'BSE - Other Index Options'!$C:$C,$A241,'BSE - Other Index Options'!$B:$B,E$147)=0,"",SUMIFS('BSE - SENSEX Index Options'!$M:$M,'BSE - SENSEX Index Options'!$C:$C,$A241,'BSE - SENSEX Index Options'!$B:$B,E$147)+SUMIFS('BSE - Other Index Options'!$M:$M,'BSE - Other Index Options'!$C:$C,$A241,'BSE - Other Index Options'!$B:$B,E$147))</f>
        <v/>
      </c>
      <c r="F241" s="26">
        <f>IF(SUMIFS('BSE - SENSEX Index Options'!$M:$M,'BSE - SENSEX Index Options'!$C:$C,$A241,'BSE - SENSEX Index Options'!$B:$B,F$147)+SUMIFS('BSE - Other Index Options'!$M:$M,'BSE - Other Index Options'!$C:$C,$A241,'BSE - Other Index Options'!$B:$B,F$147)=0,"",SUMIFS('BSE - SENSEX Index Options'!$M:$M,'BSE - SENSEX Index Options'!$C:$C,$A241,'BSE - SENSEX Index Options'!$B:$B,F$147)+SUMIFS('BSE - Other Index Options'!$M:$M,'BSE - Other Index Options'!$C:$C,$A241,'BSE - Other Index Options'!$B:$B,F$147))</f>
        <v/>
      </c>
      <c r="G241" s="26">
        <f>IF(SUMIFS('BSE - SENSEX Index Options'!$M:$M,'BSE - SENSEX Index Options'!$C:$C,$A241,'BSE - SENSEX Index Options'!$B:$B,G$147)+SUMIFS('BSE - Other Index Options'!$M:$M,'BSE - Other Index Options'!$C:$C,$A241,'BSE - Other Index Options'!$B:$B,G$147)=0,"",SUMIFS('BSE - SENSEX Index Options'!$M:$M,'BSE - SENSEX Index Options'!$C:$C,$A241,'BSE - SENSEX Index Options'!$B:$B,G$147)+SUMIFS('BSE - Other Index Options'!$M:$M,'BSE - Other Index Options'!$C:$C,$A241,'BSE - Other Index Options'!$B:$B,G$147))</f>
        <v/>
      </c>
      <c r="H241" s="26">
        <f>IF(SUM(B241:G241)=0,"",SUM(B241:G241))</f>
        <v/>
      </c>
    </row>
    <row r="242" hidden="1" outlineLevel="1">
      <c r="A242" t="inlineStr">
        <is>
          <t>Week2-Apr-2027</t>
        </is>
      </c>
      <c r="B242" s="26">
        <f>IF(SUMIFS('BSE - SENSEX Index Options'!$M:$M,'BSE - SENSEX Index Options'!$C:$C,$A242,'BSE - SENSEX Index Options'!$B:$B,B$147)+SUMIFS('BSE - Other Index Options'!$M:$M,'BSE - Other Index Options'!$C:$C,$A242,'BSE - Other Index Options'!$B:$B,B$147)=0,"",SUMIFS('BSE - SENSEX Index Options'!$M:$M,'BSE - SENSEX Index Options'!$C:$C,$A242,'BSE - SENSEX Index Options'!$B:$B,B$147)+SUMIFS('BSE - Other Index Options'!$M:$M,'BSE - Other Index Options'!$C:$C,$A242,'BSE - Other Index Options'!$B:$B,B$147))</f>
        <v/>
      </c>
      <c r="C242" s="26">
        <f>IF(SUMIFS('BSE - SENSEX Index Options'!$M:$M,'BSE - SENSEX Index Options'!$C:$C,$A242,'BSE - SENSEX Index Options'!$B:$B,C$147)+SUMIFS('BSE - Other Index Options'!$M:$M,'BSE - Other Index Options'!$C:$C,$A242,'BSE - Other Index Options'!$B:$B,C$147)=0,"",SUMIFS('BSE - SENSEX Index Options'!$M:$M,'BSE - SENSEX Index Options'!$C:$C,$A242,'BSE - SENSEX Index Options'!$B:$B,C$147)+SUMIFS('BSE - Other Index Options'!$M:$M,'BSE - Other Index Options'!$C:$C,$A242,'BSE - Other Index Options'!$B:$B,C$147))</f>
        <v/>
      </c>
      <c r="D242" s="26">
        <f>IF(SUMIFS('BSE - SENSEX Index Options'!$M:$M,'BSE - SENSEX Index Options'!$C:$C,$A242,'BSE - SENSEX Index Options'!$B:$B,D$147)+SUMIFS('BSE - Other Index Options'!$M:$M,'BSE - Other Index Options'!$C:$C,$A242,'BSE - Other Index Options'!$B:$B,D$147)=0,"",SUMIFS('BSE - SENSEX Index Options'!$M:$M,'BSE - SENSEX Index Options'!$C:$C,$A242,'BSE - SENSEX Index Options'!$B:$B,D$147)+SUMIFS('BSE - Other Index Options'!$M:$M,'BSE - Other Index Options'!$C:$C,$A242,'BSE - Other Index Options'!$B:$B,D$147))</f>
        <v/>
      </c>
      <c r="E242" s="26">
        <f>IF(SUMIFS('BSE - SENSEX Index Options'!$M:$M,'BSE - SENSEX Index Options'!$C:$C,$A242,'BSE - SENSEX Index Options'!$B:$B,E$147)+SUMIFS('BSE - Other Index Options'!$M:$M,'BSE - Other Index Options'!$C:$C,$A242,'BSE - Other Index Options'!$B:$B,E$147)=0,"",SUMIFS('BSE - SENSEX Index Options'!$M:$M,'BSE - SENSEX Index Options'!$C:$C,$A242,'BSE - SENSEX Index Options'!$B:$B,E$147)+SUMIFS('BSE - Other Index Options'!$M:$M,'BSE - Other Index Options'!$C:$C,$A242,'BSE - Other Index Options'!$B:$B,E$147))</f>
        <v/>
      </c>
      <c r="F242" s="26">
        <f>IF(SUMIFS('BSE - SENSEX Index Options'!$M:$M,'BSE - SENSEX Index Options'!$C:$C,$A242,'BSE - SENSEX Index Options'!$B:$B,F$147)+SUMIFS('BSE - Other Index Options'!$M:$M,'BSE - Other Index Options'!$C:$C,$A242,'BSE - Other Index Options'!$B:$B,F$147)=0,"",SUMIFS('BSE - SENSEX Index Options'!$M:$M,'BSE - SENSEX Index Options'!$C:$C,$A242,'BSE - SENSEX Index Options'!$B:$B,F$147)+SUMIFS('BSE - Other Index Options'!$M:$M,'BSE - Other Index Options'!$C:$C,$A242,'BSE - Other Index Options'!$B:$B,F$147))</f>
        <v/>
      </c>
      <c r="G242" s="26">
        <f>IF(SUMIFS('BSE - SENSEX Index Options'!$M:$M,'BSE - SENSEX Index Options'!$C:$C,$A242,'BSE - SENSEX Index Options'!$B:$B,G$147)+SUMIFS('BSE - Other Index Options'!$M:$M,'BSE - Other Index Options'!$C:$C,$A242,'BSE - Other Index Options'!$B:$B,G$147)=0,"",SUMIFS('BSE - SENSEX Index Options'!$M:$M,'BSE - SENSEX Index Options'!$C:$C,$A242,'BSE - SENSEX Index Options'!$B:$B,G$147)+SUMIFS('BSE - Other Index Options'!$M:$M,'BSE - Other Index Options'!$C:$C,$A242,'BSE - Other Index Options'!$B:$B,G$147))</f>
        <v/>
      </c>
      <c r="H242" s="26">
        <f>IF(SUM(B242:G242)=0,"",SUM(B242:G242))</f>
        <v/>
      </c>
    </row>
    <row r="243" hidden="1" outlineLevel="1">
      <c r="A243" t="inlineStr">
        <is>
          <t>Week3-Apr-2027</t>
        </is>
      </c>
      <c r="B243" s="26">
        <f>IF(SUMIFS('BSE - SENSEX Index Options'!$M:$M,'BSE - SENSEX Index Options'!$C:$C,$A243,'BSE - SENSEX Index Options'!$B:$B,B$147)+SUMIFS('BSE - Other Index Options'!$M:$M,'BSE - Other Index Options'!$C:$C,$A243,'BSE - Other Index Options'!$B:$B,B$147)=0,"",SUMIFS('BSE - SENSEX Index Options'!$M:$M,'BSE - SENSEX Index Options'!$C:$C,$A243,'BSE - SENSEX Index Options'!$B:$B,B$147)+SUMIFS('BSE - Other Index Options'!$M:$M,'BSE - Other Index Options'!$C:$C,$A243,'BSE - Other Index Options'!$B:$B,B$147))</f>
        <v/>
      </c>
      <c r="C243" s="26">
        <f>IF(SUMIFS('BSE - SENSEX Index Options'!$M:$M,'BSE - SENSEX Index Options'!$C:$C,$A243,'BSE - SENSEX Index Options'!$B:$B,C$147)+SUMIFS('BSE - Other Index Options'!$M:$M,'BSE - Other Index Options'!$C:$C,$A243,'BSE - Other Index Options'!$B:$B,C$147)=0,"",SUMIFS('BSE - SENSEX Index Options'!$M:$M,'BSE - SENSEX Index Options'!$C:$C,$A243,'BSE - SENSEX Index Options'!$B:$B,C$147)+SUMIFS('BSE - Other Index Options'!$M:$M,'BSE - Other Index Options'!$C:$C,$A243,'BSE - Other Index Options'!$B:$B,C$147))</f>
        <v/>
      </c>
      <c r="D243" s="26">
        <f>IF(SUMIFS('BSE - SENSEX Index Options'!$M:$M,'BSE - SENSEX Index Options'!$C:$C,$A243,'BSE - SENSEX Index Options'!$B:$B,D$147)+SUMIFS('BSE - Other Index Options'!$M:$M,'BSE - Other Index Options'!$C:$C,$A243,'BSE - Other Index Options'!$B:$B,D$147)=0,"",SUMIFS('BSE - SENSEX Index Options'!$M:$M,'BSE - SENSEX Index Options'!$C:$C,$A243,'BSE - SENSEX Index Options'!$B:$B,D$147)+SUMIFS('BSE - Other Index Options'!$M:$M,'BSE - Other Index Options'!$C:$C,$A243,'BSE - Other Index Options'!$B:$B,D$147))</f>
        <v/>
      </c>
      <c r="E243" s="26">
        <f>IF(SUMIFS('BSE - SENSEX Index Options'!$M:$M,'BSE - SENSEX Index Options'!$C:$C,$A243,'BSE - SENSEX Index Options'!$B:$B,E$147)+SUMIFS('BSE - Other Index Options'!$M:$M,'BSE - Other Index Options'!$C:$C,$A243,'BSE - Other Index Options'!$B:$B,E$147)=0,"",SUMIFS('BSE - SENSEX Index Options'!$M:$M,'BSE - SENSEX Index Options'!$C:$C,$A243,'BSE - SENSEX Index Options'!$B:$B,E$147)+SUMIFS('BSE - Other Index Options'!$M:$M,'BSE - Other Index Options'!$C:$C,$A243,'BSE - Other Index Options'!$B:$B,E$147))</f>
        <v/>
      </c>
      <c r="F243" s="26">
        <f>IF(SUMIFS('BSE - SENSEX Index Options'!$M:$M,'BSE - SENSEX Index Options'!$C:$C,$A243,'BSE - SENSEX Index Options'!$B:$B,F$147)+SUMIFS('BSE - Other Index Options'!$M:$M,'BSE - Other Index Options'!$C:$C,$A243,'BSE - Other Index Options'!$B:$B,F$147)=0,"",SUMIFS('BSE - SENSEX Index Options'!$M:$M,'BSE - SENSEX Index Options'!$C:$C,$A243,'BSE - SENSEX Index Options'!$B:$B,F$147)+SUMIFS('BSE - Other Index Options'!$M:$M,'BSE - Other Index Options'!$C:$C,$A243,'BSE - Other Index Options'!$B:$B,F$147))</f>
        <v/>
      </c>
      <c r="G243" s="26">
        <f>IF(SUMIFS('BSE - SENSEX Index Options'!$M:$M,'BSE - SENSEX Index Options'!$C:$C,$A243,'BSE - SENSEX Index Options'!$B:$B,G$147)+SUMIFS('BSE - Other Index Options'!$M:$M,'BSE - Other Index Options'!$C:$C,$A243,'BSE - Other Index Options'!$B:$B,G$147)=0,"",SUMIFS('BSE - SENSEX Index Options'!$M:$M,'BSE - SENSEX Index Options'!$C:$C,$A243,'BSE - SENSEX Index Options'!$B:$B,G$147)+SUMIFS('BSE - Other Index Options'!$M:$M,'BSE - Other Index Options'!$C:$C,$A243,'BSE - Other Index Options'!$B:$B,G$147))</f>
        <v/>
      </c>
      <c r="H243" s="26">
        <f>IF(SUM(B243:G243)=0,"",SUM(B243:G243))</f>
        <v/>
      </c>
    </row>
    <row r="244" hidden="1" outlineLevel="1">
      <c r="A244" t="inlineStr">
        <is>
          <t>Week4-Apr-2027</t>
        </is>
      </c>
      <c r="B244" s="26">
        <f>IF(SUMIFS('BSE - SENSEX Index Options'!$M:$M,'BSE - SENSEX Index Options'!$C:$C,$A244,'BSE - SENSEX Index Options'!$B:$B,B$147)+SUMIFS('BSE - Other Index Options'!$M:$M,'BSE - Other Index Options'!$C:$C,$A244,'BSE - Other Index Options'!$B:$B,B$147)=0,"",SUMIFS('BSE - SENSEX Index Options'!$M:$M,'BSE - SENSEX Index Options'!$C:$C,$A244,'BSE - SENSEX Index Options'!$B:$B,B$147)+SUMIFS('BSE - Other Index Options'!$M:$M,'BSE - Other Index Options'!$C:$C,$A244,'BSE - Other Index Options'!$B:$B,B$147))</f>
        <v/>
      </c>
      <c r="C244" s="26">
        <f>IF(SUMIFS('BSE - SENSEX Index Options'!$M:$M,'BSE - SENSEX Index Options'!$C:$C,$A244,'BSE - SENSEX Index Options'!$B:$B,C$147)+SUMIFS('BSE - Other Index Options'!$M:$M,'BSE - Other Index Options'!$C:$C,$A244,'BSE - Other Index Options'!$B:$B,C$147)=0,"",SUMIFS('BSE - SENSEX Index Options'!$M:$M,'BSE - SENSEX Index Options'!$C:$C,$A244,'BSE - SENSEX Index Options'!$B:$B,C$147)+SUMIFS('BSE - Other Index Options'!$M:$M,'BSE - Other Index Options'!$C:$C,$A244,'BSE - Other Index Options'!$B:$B,C$147))</f>
        <v/>
      </c>
      <c r="D244" s="26">
        <f>IF(SUMIFS('BSE - SENSEX Index Options'!$M:$M,'BSE - SENSEX Index Options'!$C:$C,$A244,'BSE - SENSEX Index Options'!$B:$B,D$147)+SUMIFS('BSE - Other Index Options'!$M:$M,'BSE - Other Index Options'!$C:$C,$A244,'BSE - Other Index Options'!$B:$B,D$147)=0,"",SUMIFS('BSE - SENSEX Index Options'!$M:$M,'BSE - SENSEX Index Options'!$C:$C,$A244,'BSE - SENSEX Index Options'!$B:$B,D$147)+SUMIFS('BSE - Other Index Options'!$M:$M,'BSE - Other Index Options'!$C:$C,$A244,'BSE - Other Index Options'!$B:$B,D$147))</f>
        <v/>
      </c>
      <c r="E244" s="26">
        <f>IF(SUMIFS('BSE - SENSEX Index Options'!$M:$M,'BSE - SENSEX Index Options'!$C:$C,$A244,'BSE - SENSEX Index Options'!$B:$B,E$147)+SUMIFS('BSE - Other Index Options'!$M:$M,'BSE - Other Index Options'!$C:$C,$A244,'BSE - Other Index Options'!$B:$B,E$147)=0,"",SUMIFS('BSE - SENSEX Index Options'!$M:$M,'BSE - SENSEX Index Options'!$C:$C,$A244,'BSE - SENSEX Index Options'!$B:$B,E$147)+SUMIFS('BSE - Other Index Options'!$M:$M,'BSE - Other Index Options'!$C:$C,$A244,'BSE - Other Index Options'!$B:$B,E$147))</f>
        <v/>
      </c>
      <c r="F244" s="26">
        <f>IF(SUMIFS('BSE - SENSEX Index Options'!$M:$M,'BSE - SENSEX Index Options'!$C:$C,$A244,'BSE - SENSEX Index Options'!$B:$B,F$147)+SUMIFS('BSE - Other Index Options'!$M:$M,'BSE - Other Index Options'!$C:$C,$A244,'BSE - Other Index Options'!$B:$B,F$147)=0,"",SUMIFS('BSE - SENSEX Index Options'!$M:$M,'BSE - SENSEX Index Options'!$C:$C,$A244,'BSE - SENSEX Index Options'!$B:$B,F$147)+SUMIFS('BSE - Other Index Options'!$M:$M,'BSE - Other Index Options'!$C:$C,$A244,'BSE - Other Index Options'!$B:$B,F$147))</f>
        <v/>
      </c>
      <c r="G244" s="26">
        <f>IF(SUMIFS('BSE - SENSEX Index Options'!$M:$M,'BSE - SENSEX Index Options'!$C:$C,$A244,'BSE - SENSEX Index Options'!$B:$B,G$147)+SUMIFS('BSE - Other Index Options'!$M:$M,'BSE - Other Index Options'!$C:$C,$A244,'BSE - Other Index Options'!$B:$B,G$147)=0,"",SUMIFS('BSE - SENSEX Index Options'!$M:$M,'BSE - SENSEX Index Options'!$C:$C,$A244,'BSE - SENSEX Index Options'!$B:$B,G$147)+SUMIFS('BSE - Other Index Options'!$M:$M,'BSE - Other Index Options'!$C:$C,$A244,'BSE - Other Index Options'!$B:$B,G$147))</f>
        <v/>
      </c>
      <c r="H244" s="26">
        <f>IF(SUM(B244:G244)=0,"",SUM(B244:G244))</f>
        <v/>
      </c>
    </row>
    <row r="245" hidden="1" outlineLevel="1">
      <c r="A245" t="inlineStr">
        <is>
          <t>Week5-Apr-2027</t>
        </is>
      </c>
      <c r="B245" s="26">
        <f>IF(SUMIFS('BSE - SENSEX Index Options'!$M:$M,'BSE - SENSEX Index Options'!$C:$C,$A245,'BSE - SENSEX Index Options'!$B:$B,B$147)+SUMIFS('BSE - Other Index Options'!$M:$M,'BSE - Other Index Options'!$C:$C,$A245,'BSE - Other Index Options'!$B:$B,B$147)=0,"",SUMIFS('BSE - SENSEX Index Options'!$M:$M,'BSE - SENSEX Index Options'!$C:$C,$A245,'BSE - SENSEX Index Options'!$B:$B,B$147)+SUMIFS('BSE - Other Index Options'!$M:$M,'BSE - Other Index Options'!$C:$C,$A245,'BSE - Other Index Options'!$B:$B,B$147))</f>
        <v/>
      </c>
      <c r="C245" s="26">
        <f>IF(SUMIFS('BSE - SENSEX Index Options'!$M:$M,'BSE - SENSEX Index Options'!$C:$C,$A245,'BSE - SENSEX Index Options'!$B:$B,C$147)+SUMIFS('BSE - Other Index Options'!$M:$M,'BSE - Other Index Options'!$C:$C,$A245,'BSE - Other Index Options'!$B:$B,C$147)=0,"",SUMIFS('BSE - SENSEX Index Options'!$M:$M,'BSE - SENSEX Index Options'!$C:$C,$A245,'BSE - SENSEX Index Options'!$B:$B,C$147)+SUMIFS('BSE - Other Index Options'!$M:$M,'BSE - Other Index Options'!$C:$C,$A245,'BSE - Other Index Options'!$B:$B,C$147))</f>
        <v/>
      </c>
      <c r="D245" s="26">
        <f>IF(SUMIFS('BSE - SENSEX Index Options'!$M:$M,'BSE - SENSEX Index Options'!$C:$C,$A245,'BSE - SENSEX Index Options'!$B:$B,D$147)+SUMIFS('BSE - Other Index Options'!$M:$M,'BSE - Other Index Options'!$C:$C,$A245,'BSE - Other Index Options'!$B:$B,D$147)=0,"",SUMIFS('BSE - SENSEX Index Options'!$M:$M,'BSE - SENSEX Index Options'!$C:$C,$A245,'BSE - SENSEX Index Options'!$B:$B,D$147)+SUMIFS('BSE - Other Index Options'!$M:$M,'BSE - Other Index Options'!$C:$C,$A245,'BSE - Other Index Options'!$B:$B,D$147))</f>
        <v/>
      </c>
      <c r="E245" s="26">
        <f>IF(SUMIFS('BSE - SENSEX Index Options'!$M:$M,'BSE - SENSEX Index Options'!$C:$C,$A245,'BSE - SENSEX Index Options'!$B:$B,E$147)+SUMIFS('BSE - Other Index Options'!$M:$M,'BSE - Other Index Options'!$C:$C,$A245,'BSE - Other Index Options'!$B:$B,E$147)=0,"",SUMIFS('BSE - SENSEX Index Options'!$M:$M,'BSE - SENSEX Index Options'!$C:$C,$A245,'BSE - SENSEX Index Options'!$B:$B,E$147)+SUMIFS('BSE - Other Index Options'!$M:$M,'BSE - Other Index Options'!$C:$C,$A245,'BSE - Other Index Options'!$B:$B,E$147))</f>
        <v/>
      </c>
      <c r="F245" s="26">
        <f>IF(SUMIFS('BSE - SENSEX Index Options'!$M:$M,'BSE - SENSEX Index Options'!$C:$C,$A245,'BSE - SENSEX Index Options'!$B:$B,F$147)+SUMIFS('BSE - Other Index Options'!$M:$M,'BSE - Other Index Options'!$C:$C,$A245,'BSE - Other Index Options'!$B:$B,F$147)=0,"",SUMIFS('BSE - SENSEX Index Options'!$M:$M,'BSE - SENSEX Index Options'!$C:$C,$A245,'BSE - SENSEX Index Options'!$B:$B,F$147)+SUMIFS('BSE - Other Index Options'!$M:$M,'BSE - Other Index Options'!$C:$C,$A245,'BSE - Other Index Options'!$B:$B,F$147))</f>
        <v/>
      </c>
      <c r="G245" s="26">
        <f>IF(SUMIFS('BSE - SENSEX Index Options'!$M:$M,'BSE - SENSEX Index Options'!$C:$C,$A245,'BSE - SENSEX Index Options'!$B:$B,G$147)+SUMIFS('BSE - Other Index Options'!$M:$M,'BSE - Other Index Options'!$C:$C,$A245,'BSE - Other Index Options'!$B:$B,G$147)=0,"",SUMIFS('BSE - SENSEX Index Options'!$M:$M,'BSE - SENSEX Index Options'!$C:$C,$A245,'BSE - SENSEX Index Options'!$B:$B,G$147)+SUMIFS('BSE - Other Index Options'!$M:$M,'BSE - Other Index Options'!$C:$C,$A245,'BSE - Other Index Options'!$B:$B,G$147))</f>
        <v/>
      </c>
      <c r="H245" s="26">
        <f>IF(SUM(B245:G245)=0,"",SUM(B245:G245))</f>
        <v/>
      </c>
    </row>
    <row r="246" hidden="1" outlineLevel="1">
      <c r="A246" t="inlineStr">
        <is>
          <t>Week1-May-2027</t>
        </is>
      </c>
      <c r="B246" s="26">
        <f>IF(SUMIFS('BSE - SENSEX Index Options'!$M:$M,'BSE - SENSEX Index Options'!$C:$C,$A246,'BSE - SENSEX Index Options'!$B:$B,B$147)+SUMIFS('BSE - Other Index Options'!$M:$M,'BSE - Other Index Options'!$C:$C,$A246,'BSE - Other Index Options'!$B:$B,B$147)=0,"",SUMIFS('BSE - SENSEX Index Options'!$M:$M,'BSE - SENSEX Index Options'!$C:$C,$A246,'BSE - SENSEX Index Options'!$B:$B,B$147)+SUMIFS('BSE - Other Index Options'!$M:$M,'BSE - Other Index Options'!$C:$C,$A246,'BSE - Other Index Options'!$B:$B,B$147))</f>
        <v/>
      </c>
      <c r="C246" s="26">
        <f>IF(SUMIFS('BSE - SENSEX Index Options'!$M:$M,'BSE - SENSEX Index Options'!$C:$C,$A246,'BSE - SENSEX Index Options'!$B:$B,C$147)+SUMIFS('BSE - Other Index Options'!$M:$M,'BSE - Other Index Options'!$C:$C,$A246,'BSE - Other Index Options'!$B:$B,C$147)=0,"",SUMIFS('BSE - SENSEX Index Options'!$M:$M,'BSE - SENSEX Index Options'!$C:$C,$A246,'BSE - SENSEX Index Options'!$B:$B,C$147)+SUMIFS('BSE - Other Index Options'!$M:$M,'BSE - Other Index Options'!$C:$C,$A246,'BSE - Other Index Options'!$B:$B,C$147))</f>
        <v/>
      </c>
      <c r="D246" s="26">
        <f>IF(SUMIFS('BSE - SENSEX Index Options'!$M:$M,'BSE - SENSEX Index Options'!$C:$C,$A246,'BSE - SENSEX Index Options'!$B:$B,D$147)+SUMIFS('BSE - Other Index Options'!$M:$M,'BSE - Other Index Options'!$C:$C,$A246,'BSE - Other Index Options'!$B:$B,D$147)=0,"",SUMIFS('BSE - SENSEX Index Options'!$M:$M,'BSE - SENSEX Index Options'!$C:$C,$A246,'BSE - SENSEX Index Options'!$B:$B,D$147)+SUMIFS('BSE - Other Index Options'!$M:$M,'BSE - Other Index Options'!$C:$C,$A246,'BSE - Other Index Options'!$B:$B,D$147))</f>
        <v/>
      </c>
      <c r="E246" s="26">
        <f>IF(SUMIFS('BSE - SENSEX Index Options'!$M:$M,'BSE - SENSEX Index Options'!$C:$C,$A246,'BSE - SENSEX Index Options'!$B:$B,E$147)+SUMIFS('BSE - Other Index Options'!$M:$M,'BSE - Other Index Options'!$C:$C,$A246,'BSE - Other Index Options'!$B:$B,E$147)=0,"",SUMIFS('BSE - SENSEX Index Options'!$M:$M,'BSE - SENSEX Index Options'!$C:$C,$A246,'BSE - SENSEX Index Options'!$B:$B,E$147)+SUMIFS('BSE - Other Index Options'!$M:$M,'BSE - Other Index Options'!$C:$C,$A246,'BSE - Other Index Options'!$B:$B,E$147))</f>
        <v/>
      </c>
      <c r="F246" s="26">
        <f>IF(SUMIFS('BSE - SENSEX Index Options'!$M:$M,'BSE - SENSEX Index Options'!$C:$C,$A246,'BSE - SENSEX Index Options'!$B:$B,F$147)+SUMIFS('BSE - Other Index Options'!$M:$M,'BSE - Other Index Options'!$C:$C,$A246,'BSE - Other Index Options'!$B:$B,F$147)=0,"",SUMIFS('BSE - SENSEX Index Options'!$M:$M,'BSE - SENSEX Index Options'!$C:$C,$A246,'BSE - SENSEX Index Options'!$B:$B,F$147)+SUMIFS('BSE - Other Index Options'!$M:$M,'BSE - Other Index Options'!$C:$C,$A246,'BSE - Other Index Options'!$B:$B,F$147))</f>
        <v/>
      </c>
      <c r="G246" s="26">
        <f>IF(SUMIFS('BSE - SENSEX Index Options'!$M:$M,'BSE - SENSEX Index Options'!$C:$C,$A246,'BSE - SENSEX Index Options'!$B:$B,G$147)+SUMIFS('BSE - Other Index Options'!$M:$M,'BSE - Other Index Options'!$C:$C,$A246,'BSE - Other Index Options'!$B:$B,G$147)=0,"",SUMIFS('BSE - SENSEX Index Options'!$M:$M,'BSE - SENSEX Index Options'!$C:$C,$A246,'BSE - SENSEX Index Options'!$B:$B,G$147)+SUMIFS('BSE - Other Index Options'!$M:$M,'BSE - Other Index Options'!$C:$C,$A246,'BSE - Other Index Options'!$B:$B,G$147))</f>
        <v/>
      </c>
      <c r="H246" s="26">
        <f>IF(SUM(B246:G246)=0,"",SUM(B246:G246))</f>
        <v/>
      </c>
    </row>
    <row r="247" hidden="1" outlineLevel="1">
      <c r="A247" t="inlineStr">
        <is>
          <t>Week2-May-2027</t>
        </is>
      </c>
      <c r="B247" s="26">
        <f>IF(SUMIFS('BSE - SENSEX Index Options'!$M:$M,'BSE - SENSEX Index Options'!$C:$C,$A247,'BSE - SENSEX Index Options'!$B:$B,B$147)+SUMIFS('BSE - Other Index Options'!$M:$M,'BSE - Other Index Options'!$C:$C,$A247,'BSE - Other Index Options'!$B:$B,B$147)=0,"",SUMIFS('BSE - SENSEX Index Options'!$M:$M,'BSE - SENSEX Index Options'!$C:$C,$A247,'BSE - SENSEX Index Options'!$B:$B,B$147)+SUMIFS('BSE - Other Index Options'!$M:$M,'BSE - Other Index Options'!$C:$C,$A247,'BSE - Other Index Options'!$B:$B,B$147))</f>
        <v/>
      </c>
      <c r="C247" s="26">
        <f>IF(SUMIFS('BSE - SENSEX Index Options'!$M:$M,'BSE - SENSEX Index Options'!$C:$C,$A247,'BSE - SENSEX Index Options'!$B:$B,C$147)+SUMIFS('BSE - Other Index Options'!$M:$M,'BSE - Other Index Options'!$C:$C,$A247,'BSE - Other Index Options'!$B:$B,C$147)=0,"",SUMIFS('BSE - SENSEX Index Options'!$M:$M,'BSE - SENSEX Index Options'!$C:$C,$A247,'BSE - SENSEX Index Options'!$B:$B,C$147)+SUMIFS('BSE - Other Index Options'!$M:$M,'BSE - Other Index Options'!$C:$C,$A247,'BSE - Other Index Options'!$B:$B,C$147))</f>
        <v/>
      </c>
      <c r="D247" s="26">
        <f>IF(SUMIFS('BSE - SENSEX Index Options'!$M:$M,'BSE - SENSEX Index Options'!$C:$C,$A247,'BSE - SENSEX Index Options'!$B:$B,D$147)+SUMIFS('BSE - Other Index Options'!$M:$M,'BSE - Other Index Options'!$C:$C,$A247,'BSE - Other Index Options'!$B:$B,D$147)=0,"",SUMIFS('BSE - SENSEX Index Options'!$M:$M,'BSE - SENSEX Index Options'!$C:$C,$A247,'BSE - SENSEX Index Options'!$B:$B,D$147)+SUMIFS('BSE - Other Index Options'!$M:$M,'BSE - Other Index Options'!$C:$C,$A247,'BSE - Other Index Options'!$B:$B,D$147))</f>
        <v/>
      </c>
      <c r="E247" s="26">
        <f>IF(SUMIFS('BSE - SENSEX Index Options'!$M:$M,'BSE - SENSEX Index Options'!$C:$C,$A247,'BSE - SENSEX Index Options'!$B:$B,E$147)+SUMIFS('BSE - Other Index Options'!$M:$M,'BSE - Other Index Options'!$C:$C,$A247,'BSE - Other Index Options'!$B:$B,E$147)=0,"",SUMIFS('BSE - SENSEX Index Options'!$M:$M,'BSE - SENSEX Index Options'!$C:$C,$A247,'BSE - SENSEX Index Options'!$B:$B,E$147)+SUMIFS('BSE - Other Index Options'!$M:$M,'BSE - Other Index Options'!$C:$C,$A247,'BSE - Other Index Options'!$B:$B,E$147))</f>
        <v/>
      </c>
      <c r="F247" s="26">
        <f>IF(SUMIFS('BSE - SENSEX Index Options'!$M:$M,'BSE - SENSEX Index Options'!$C:$C,$A247,'BSE - SENSEX Index Options'!$B:$B,F$147)+SUMIFS('BSE - Other Index Options'!$M:$M,'BSE - Other Index Options'!$C:$C,$A247,'BSE - Other Index Options'!$B:$B,F$147)=0,"",SUMIFS('BSE - SENSEX Index Options'!$M:$M,'BSE - SENSEX Index Options'!$C:$C,$A247,'BSE - SENSEX Index Options'!$B:$B,F$147)+SUMIFS('BSE - Other Index Options'!$M:$M,'BSE - Other Index Options'!$C:$C,$A247,'BSE - Other Index Options'!$B:$B,F$147))</f>
        <v/>
      </c>
      <c r="G247" s="26">
        <f>IF(SUMIFS('BSE - SENSEX Index Options'!$M:$M,'BSE - SENSEX Index Options'!$C:$C,$A247,'BSE - SENSEX Index Options'!$B:$B,G$147)+SUMIFS('BSE - Other Index Options'!$M:$M,'BSE - Other Index Options'!$C:$C,$A247,'BSE - Other Index Options'!$B:$B,G$147)=0,"",SUMIFS('BSE - SENSEX Index Options'!$M:$M,'BSE - SENSEX Index Options'!$C:$C,$A247,'BSE - SENSEX Index Options'!$B:$B,G$147)+SUMIFS('BSE - Other Index Options'!$M:$M,'BSE - Other Index Options'!$C:$C,$A247,'BSE - Other Index Options'!$B:$B,G$147))</f>
        <v/>
      </c>
      <c r="H247" s="26">
        <f>IF(SUM(B247:G247)=0,"",SUM(B247:G247))</f>
        <v/>
      </c>
    </row>
    <row r="248" hidden="1" outlineLevel="1">
      <c r="A248" t="inlineStr">
        <is>
          <t>Week3-May-2027</t>
        </is>
      </c>
      <c r="B248" s="26">
        <f>IF(SUMIFS('BSE - SENSEX Index Options'!$M:$M,'BSE - SENSEX Index Options'!$C:$C,$A248,'BSE - SENSEX Index Options'!$B:$B,B$147)+SUMIFS('BSE - Other Index Options'!$M:$M,'BSE - Other Index Options'!$C:$C,$A248,'BSE - Other Index Options'!$B:$B,B$147)=0,"",SUMIFS('BSE - SENSEX Index Options'!$M:$M,'BSE - SENSEX Index Options'!$C:$C,$A248,'BSE - SENSEX Index Options'!$B:$B,B$147)+SUMIFS('BSE - Other Index Options'!$M:$M,'BSE - Other Index Options'!$C:$C,$A248,'BSE - Other Index Options'!$B:$B,B$147))</f>
        <v/>
      </c>
      <c r="C248" s="26">
        <f>IF(SUMIFS('BSE - SENSEX Index Options'!$M:$M,'BSE - SENSEX Index Options'!$C:$C,$A248,'BSE - SENSEX Index Options'!$B:$B,C$147)+SUMIFS('BSE - Other Index Options'!$M:$M,'BSE - Other Index Options'!$C:$C,$A248,'BSE - Other Index Options'!$B:$B,C$147)=0,"",SUMIFS('BSE - SENSEX Index Options'!$M:$M,'BSE - SENSEX Index Options'!$C:$C,$A248,'BSE - SENSEX Index Options'!$B:$B,C$147)+SUMIFS('BSE - Other Index Options'!$M:$M,'BSE - Other Index Options'!$C:$C,$A248,'BSE - Other Index Options'!$B:$B,C$147))</f>
        <v/>
      </c>
      <c r="D248" s="26">
        <f>IF(SUMIFS('BSE - SENSEX Index Options'!$M:$M,'BSE - SENSEX Index Options'!$C:$C,$A248,'BSE - SENSEX Index Options'!$B:$B,D$147)+SUMIFS('BSE - Other Index Options'!$M:$M,'BSE - Other Index Options'!$C:$C,$A248,'BSE - Other Index Options'!$B:$B,D$147)=0,"",SUMIFS('BSE - SENSEX Index Options'!$M:$M,'BSE - SENSEX Index Options'!$C:$C,$A248,'BSE - SENSEX Index Options'!$B:$B,D$147)+SUMIFS('BSE - Other Index Options'!$M:$M,'BSE - Other Index Options'!$C:$C,$A248,'BSE - Other Index Options'!$B:$B,D$147))</f>
        <v/>
      </c>
      <c r="E248" s="26">
        <f>IF(SUMIFS('BSE - SENSEX Index Options'!$M:$M,'BSE - SENSEX Index Options'!$C:$C,$A248,'BSE - SENSEX Index Options'!$B:$B,E$147)+SUMIFS('BSE - Other Index Options'!$M:$M,'BSE - Other Index Options'!$C:$C,$A248,'BSE - Other Index Options'!$B:$B,E$147)=0,"",SUMIFS('BSE - SENSEX Index Options'!$M:$M,'BSE - SENSEX Index Options'!$C:$C,$A248,'BSE - SENSEX Index Options'!$B:$B,E$147)+SUMIFS('BSE - Other Index Options'!$M:$M,'BSE - Other Index Options'!$C:$C,$A248,'BSE - Other Index Options'!$B:$B,E$147))</f>
        <v/>
      </c>
      <c r="F248" s="26">
        <f>IF(SUMIFS('BSE - SENSEX Index Options'!$M:$M,'BSE - SENSEX Index Options'!$C:$C,$A248,'BSE - SENSEX Index Options'!$B:$B,F$147)+SUMIFS('BSE - Other Index Options'!$M:$M,'BSE - Other Index Options'!$C:$C,$A248,'BSE - Other Index Options'!$B:$B,F$147)=0,"",SUMIFS('BSE - SENSEX Index Options'!$M:$M,'BSE - SENSEX Index Options'!$C:$C,$A248,'BSE - SENSEX Index Options'!$B:$B,F$147)+SUMIFS('BSE - Other Index Options'!$M:$M,'BSE - Other Index Options'!$C:$C,$A248,'BSE - Other Index Options'!$B:$B,F$147))</f>
        <v/>
      </c>
      <c r="G248" s="26">
        <f>IF(SUMIFS('BSE - SENSEX Index Options'!$M:$M,'BSE - SENSEX Index Options'!$C:$C,$A248,'BSE - SENSEX Index Options'!$B:$B,G$147)+SUMIFS('BSE - Other Index Options'!$M:$M,'BSE - Other Index Options'!$C:$C,$A248,'BSE - Other Index Options'!$B:$B,G$147)=0,"",SUMIFS('BSE - SENSEX Index Options'!$M:$M,'BSE - SENSEX Index Options'!$C:$C,$A248,'BSE - SENSEX Index Options'!$B:$B,G$147)+SUMIFS('BSE - Other Index Options'!$M:$M,'BSE - Other Index Options'!$C:$C,$A248,'BSE - Other Index Options'!$B:$B,G$147))</f>
        <v/>
      </c>
      <c r="H248" s="26">
        <f>IF(SUM(B248:G248)=0,"",SUM(B248:G248))</f>
        <v/>
      </c>
    </row>
    <row r="249" hidden="1" outlineLevel="1">
      <c r="A249" t="inlineStr">
        <is>
          <t>Week4-May-2027</t>
        </is>
      </c>
      <c r="B249" s="26">
        <f>IF(SUMIFS('BSE - SENSEX Index Options'!$M:$M,'BSE - SENSEX Index Options'!$C:$C,$A249,'BSE - SENSEX Index Options'!$B:$B,B$147)+SUMIFS('BSE - Other Index Options'!$M:$M,'BSE - Other Index Options'!$C:$C,$A249,'BSE - Other Index Options'!$B:$B,B$147)=0,"",SUMIFS('BSE - SENSEX Index Options'!$M:$M,'BSE - SENSEX Index Options'!$C:$C,$A249,'BSE - SENSEX Index Options'!$B:$B,B$147)+SUMIFS('BSE - Other Index Options'!$M:$M,'BSE - Other Index Options'!$C:$C,$A249,'BSE - Other Index Options'!$B:$B,B$147))</f>
        <v/>
      </c>
      <c r="C249" s="26">
        <f>IF(SUMIFS('BSE - SENSEX Index Options'!$M:$M,'BSE - SENSEX Index Options'!$C:$C,$A249,'BSE - SENSEX Index Options'!$B:$B,C$147)+SUMIFS('BSE - Other Index Options'!$M:$M,'BSE - Other Index Options'!$C:$C,$A249,'BSE - Other Index Options'!$B:$B,C$147)=0,"",SUMIFS('BSE - SENSEX Index Options'!$M:$M,'BSE - SENSEX Index Options'!$C:$C,$A249,'BSE - SENSEX Index Options'!$B:$B,C$147)+SUMIFS('BSE - Other Index Options'!$M:$M,'BSE - Other Index Options'!$C:$C,$A249,'BSE - Other Index Options'!$B:$B,C$147))</f>
        <v/>
      </c>
      <c r="D249" s="26">
        <f>IF(SUMIFS('BSE - SENSEX Index Options'!$M:$M,'BSE - SENSEX Index Options'!$C:$C,$A249,'BSE - SENSEX Index Options'!$B:$B,D$147)+SUMIFS('BSE - Other Index Options'!$M:$M,'BSE - Other Index Options'!$C:$C,$A249,'BSE - Other Index Options'!$B:$B,D$147)=0,"",SUMIFS('BSE - SENSEX Index Options'!$M:$M,'BSE - SENSEX Index Options'!$C:$C,$A249,'BSE - SENSEX Index Options'!$B:$B,D$147)+SUMIFS('BSE - Other Index Options'!$M:$M,'BSE - Other Index Options'!$C:$C,$A249,'BSE - Other Index Options'!$B:$B,D$147))</f>
        <v/>
      </c>
      <c r="E249" s="26">
        <f>IF(SUMIFS('BSE - SENSEX Index Options'!$M:$M,'BSE - SENSEX Index Options'!$C:$C,$A249,'BSE - SENSEX Index Options'!$B:$B,E$147)+SUMIFS('BSE - Other Index Options'!$M:$M,'BSE - Other Index Options'!$C:$C,$A249,'BSE - Other Index Options'!$B:$B,E$147)=0,"",SUMIFS('BSE - SENSEX Index Options'!$M:$M,'BSE - SENSEX Index Options'!$C:$C,$A249,'BSE - SENSEX Index Options'!$B:$B,E$147)+SUMIFS('BSE - Other Index Options'!$M:$M,'BSE - Other Index Options'!$C:$C,$A249,'BSE - Other Index Options'!$B:$B,E$147))</f>
        <v/>
      </c>
      <c r="F249" s="26">
        <f>IF(SUMIFS('BSE - SENSEX Index Options'!$M:$M,'BSE - SENSEX Index Options'!$C:$C,$A249,'BSE - SENSEX Index Options'!$B:$B,F$147)+SUMIFS('BSE - Other Index Options'!$M:$M,'BSE - Other Index Options'!$C:$C,$A249,'BSE - Other Index Options'!$B:$B,F$147)=0,"",SUMIFS('BSE - SENSEX Index Options'!$M:$M,'BSE - SENSEX Index Options'!$C:$C,$A249,'BSE - SENSEX Index Options'!$B:$B,F$147)+SUMIFS('BSE - Other Index Options'!$M:$M,'BSE - Other Index Options'!$C:$C,$A249,'BSE - Other Index Options'!$B:$B,F$147))</f>
        <v/>
      </c>
      <c r="G249" s="26">
        <f>IF(SUMIFS('BSE - SENSEX Index Options'!$M:$M,'BSE - SENSEX Index Options'!$C:$C,$A249,'BSE - SENSEX Index Options'!$B:$B,G$147)+SUMIFS('BSE - Other Index Options'!$M:$M,'BSE - Other Index Options'!$C:$C,$A249,'BSE - Other Index Options'!$B:$B,G$147)=0,"",SUMIFS('BSE - SENSEX Index Options'!$M:$M,'BSE - SENSEX Index Options'!$C:$C,$A249,'BSE - SENSEX Index Options'!$B:$B,G$147)+SUMIFS('BSE - Other Index Options'!$M:$M,'BSE - Other Index Options'!$C:$C,$A249,'BSE - Other Index Options'!$B:$B,G$147))</f>
        <v/>
      </c>
      <c r="H249" s="26">
        <f>IF(SUM(B249:G249)=0,"",SUM(B249:G249))</f>
        <v/>
      </c>
    </row>
    <row r="250" hidden="1" outlineLevel="1">
      <c r="A250" t="inlineStr">
        <is>
          <t>Week5-May-2027</t>
        </is>
      </c>
      <c r="B250" s="26">
        <f>IF(SUMIFS('BSE - SENSEX Index Options'!$M:$M,'BSE - SENSEX Index Options'!$C:$C,$A250,'BSE - SENSEX Index Options'!$B:$B,B$147)+SUMIFS('BSE - Other Index Options'!$M:$M,'BSE - Other Index Options'!$C:$C,$A250,'BSE - Other Index Options'!$B:$B,B$147)=0,"",SUMIFS('BSE - SENSEX Index Options'!$M:$M,'BSE - SENSEX Index Options'!$C:$C,$A250,'BSE - SENSEX Index Options'!$B:$B,B$147)+SUMIFS('BSE - Other Index Options'!$M:$M,'BSE - Other Index Options'!$C:$C,$A250,'BSE - Other Index Options'!$B:$B,B$147))</f>
        <v/>
      </c>
      <c r="C250" s="26">
        <f>IF(SUMIFS('BSE - SENSEX Index Options'!$M:$M,'BSE - SENSEX Index Options'!$C:$C,$A250,'BSE - SENSEX Index Options'!$B:$B,C$147)+SUMIFS('BSE - Other Index Options'!$M:$M,'BSE - Other Index Options'!$C:$C,$A250,'BSE - Other Index Options'!$B:$B,C$147)=0,"",SUMIFS('BSE - SENSEX Index Options'!$M:$M,'BSE - SENSEX Index Options'!$C:$C,$A250,'BSE - SENSEX Index Options'!$B:$B,C$147)+SUMIFS('BSE - Other Index Options'!$M:$M,'BSE - Other Index Options'!$C:$C,$A250,'BSE - Other Index Options'!$B:$B,C$147))</f>
        <v/>
      </c>
      <c r="D250" s="26">
        <f>IF(SUMIFS('BSE - SENSEX Index Options'!$M:$M,'BSE - SENSEX Index Options'!$C:$C,$A250,'BSE - SENSEX Index Options'!$B:$B,D$147)+SUMIFS('BSE - Other Index Options'!$M:$M,'BSE - Other Index Options'!$C:$C,$A250,'BSE - Other Index Options'!$B:$B,D$147)=0,"",SUMIFS('BSE - SENSEX Index Options'!$M:$M,'BSE - SENSEX Index Options'!$C:$C,$A250,'BSE - SENSEX Index Options'!$B:$B,D$147)+SUMIFS('BSE - Other Index Options'!$M:$M,'BSE - Other Index Options'!$C:$C,$A250,'BSE - Other Index Options'!$B:$B,D$147))</f>
        <v/>
      </c>
      <c r="E250" s="26">
        <f>IF(SUMIFS('BSE - SENSEX Index Options'!$M:$M,'BSE - SENSEX Index Options'!$C:$C,$A250,'BSE - SENSEX Index Options'!$B:$B,E$147)+SUMIFS('BSE - Other Index Options'!$M:$M,'BSE - Other Index Options'!$C:$C,$A250,'BSE - Other Index Options'!$B:$B,E$147)=0,"",SUMIFS('BSE - SENSEX Index Options'!$M:$M,'BSE - SENSEX Index Options'!$C:$C,$A250,'BSE - SENSEX Index Options'!$B:$B,E$147)+SUMIFS('BSE - Other Index Options'!$M:$M,'BSE - Other Index Options'!$C:$C,$A250,'BSE - Other Index Options'!$B:$B,E$147))</f>
        <v/>
      </c>
      <c r="F250" s="26">
        <f>IF(SUMIFS('BSE - SENSEX Index Options'!$M:$M,'BSE - SENSEX Index Options'!$C:$C,$A250,'BSE - SENSEX Index Options'!$B:$B,F$147)+SUMIFS('BSE - Other Index Options'!$M:$M,'BSE - Other Index Options'!$C:$C,$A250,'BSE - Other Index Options'!$B:$B,F$147)=0,"",SUMIFS('BSE - SENSEX Index Options'!$M:$M,'BSE - SENSEX Index Options'!$C:$C,$A250,'BSE - SENSEX Index Options'!$B:$B,F$147)+SUMIFS('BSE - Other Index Options'!$M:$M,'BSE - Other Index Options'!$C:$C,$A250,'BSE - Other Index Options'!$B:$B,F$147))</f>
        <v/>
      </c>
      <c r="G250" s="26">
        <f>IF(SUMIFS('BSE - SENSEX Index Options'!$M:$M,'BSE - SENSEX Index Options'!$C:$C,$A250,'BSE - SENSEX Index Options'!$B:$B,G$147)+SUMIFS('BSE - Other Index Options'!$M:$M,'BSE - Other Index Options'!$C:$C,$A250,'BSE - Other Index Options'!$B:$B,G$147)=0,"",SUMIFS('BSE - SENSEX Index Options'!$M:$M,'BSE - SENSEX Index Options'!$C:$C,$A250,'BSE - SENSEX Index Options'!$B:$B,G$147)+SUMIFS('BSE - Other Index Options'!$M:$M,'BSE - Other Index Options'!$C:$C,$A250,'BSE - Other Index Options'!$B:$B,G$147))</f>
        <v/>
      </c>
      <c r="H250" s="26">
        <f>IF(SUM(B250:G250)=0,"",SUM(B250:G250))</f>
        <v/>
      </c>
    </row>
    <row r="251" hidden="1" outlineLevel="1">
      <c r="A251" t="inlineStr">
        <is>
          <t>Week1-Jun-2027</t>
        </is>
      </c>
      <c r="B251" s="26">
        <f>IF(SUMIFS('BSE - SENSEX Index Options'!$M:$M,'BSE - SENSEX Index Options'!$C:$C,$A251,'BSE - SENSEX Index Options'!$B:$B,B$147)+SUMIFS('BSE - Other Index Options'!$M:$M,'BSE - Other Index Options'!$C:$C,$A251,'BSE - Other Index Options'!$B:$B,B$147)=0,"",SUMIFS('BSE - SENSEX Index Options'!$M:$M,'BSE - SENSEX Index Options'!$C:$C,$A251,'BSE - SENSEX Index Options'!$B:$B,B$147)+SUMIFS('BSE - Other Index Options'!$M:$M,'BSE - Other Index Options'!$C:$C,$A251,'BSE - Other Index Options'!$B:$B,B$147))</f>
        <v/>
      </c>
      <c r="C251" s="26">
        <f>IF(SUMIFS('BSE - SENSEX Index Options'!$M:$M,'BSE - SENSEX Index Options'!$C:$C,$A251,'BSE - SENSEX Index Options'!$B:$B,C$147)+SUMIFS('BSE - Other Index Options'!$M:$M,'BSE - Other Index Options'!$C:$C,$A251,'BSE - Other Index Options'!$B:$B,C$147)=0,"",SUMIFS('BSE - SENSEX Index Options'!$M:$M,'BSE - SENSEX Index Options'!$C:$C,$A251,'BSE - SENSEX Index Options'!$B:$B,C$147)+SUMIFS('BSE - Other Index Options'!$M:$M,'BSE - Other Index Options'!$C:$C,$A251,'BSE - Other Index Options'!$B:$B,C$147))</f>
        <v/>
      </c>
      <c r="D251" s="26">
        <f>IF(SUMIFS('BSE - SENSEX Index Options'!$M:$M,'BSE - SENSEX Index Options'!$C:$C,$A251,'BSE - SENSEX Index Options'!$B:$B,D$147)+SUMIFS('BSE - Other Index Options'!$M:$M,'BSE - Other Index Options'!$C:$C,$A251,'BSE - Other Index Options'!$B:$B,D$147)=0,"",SUMIFS('BSE - SENSEX Index Options'!$M:$M,'BSE - SENSEX Index Options'!$C:$C,$A251,'BSE - SENSEX Index Options'!$B:$B,D$147)+SUMIFS('BSE - Other Index Options'!$M:$M,'BSE - Other Index Options'!$C:$C,$A251,'BSE - Other Index Options'!$B:$B,D$147))</f>
        <v/>
      </c>
      <c r="E251" s="26">
        <f>IF(SUMIFS('BSE - SENSEX Index Options'!$M:$M,'BSE - SENSEX Index Options'!$C:$C,$A251,'BSE - SENSEX Index Options'!$B:$B,E$147)+SUMIFS('BSE - Other Index Options'!$M:$M,'BSE - Other Index Options'!$C:$C,$A251,'BSE - Other Index Options'!$B:$B,E$147)=0,"",SUMIFS('BSE - SENSEX Index Options'!$M:$M,'BSE - SENSEX Index Options'!$C:$C,$A251,'BSE - SENSEX Index Options'!$B:$B,E$147)+SUMIFS('BSE - Other Index Options'!$M:$M,'BSE - Other Index Options'!$C:$C,$A251,'BSE - Other Index Options'!$B:$B,E$147))</f>
        <v/>
      </c>
      <c r="F251" s="26">
        <f>IF(SUMIFS('BSE - SENSEX Index Options'!$M:$M,'BSE - SENSEX Index Options'!$C:$C,$A251,'BSE - SENSEX Index Options'!$B:$B,F$147)+SUMIFS('BSE - Other Index Options'!$M:$M,'BSE - Other Index Options'!$C:$C,$A251,'BSE - Other Index Options'!$B:$B,F$147)=0,"",SUMIFS('BSE - SENSEX Index Options'!$M:$M,'BSE - SENSEX Index Options'!$C:$C,$A251,'BSE - SENSEX Index Options'!$B:$B,F$147)+SUMIFS('BSE - Other Index Options'!$M:$M,'BSE - Other Index Options'!$C:$C,$A251,'BSE - Other Index Options'!$B:$B,F$147))</f>
        <v/>
      </c>
      <c r="G251" s="26">
        <f>IF(SUMIFS('BSE - SENSEX Index Options'!$M:$M,'BSE - SENSEX Index Options'!$C:$C,$A251,'BSE - SENSEX Index Options'!$B:$B,G$147)+SUMIFS('BSE - Other Index Options'!$M:$M,'BSE - Other Index Options'!$C:$C,$A251,'BSE - Other Index Options'!$B:$B,G$147)=0,"",SUMIFS('BSE - SENSEX Index Options'!$M:$M,'BSE - SENSEX Index Options'!$C:$C,$A251,'BSE - SENSEX Index Options'!$B:$B,G$147)+SUMIFS('BSE - Other Index Options'!$M:$M,'BSE - Other Index Options'!$C:$C,$A251,'BSE - Other Index Options'!$B:$B,G$147))</f>
        <v/>
      </c>
      <c r="H251" s="26">
        <f>IF(SUM(B251:G251)=0,"",SUM(B251:G251))</f>
        <v/>
      </c>
    </row>
    <row r="252" hidden="1" outlineLevel="1">
      <c r="A252" t="inlineStr">
        <is>
          <t>Week2-Jun-2027</t>
        </is>
      </c>
      <c r="B252" s="26">
        <f>IF(SUMIFS('BSE - SENSEX Index Options'!$M:$M,'BSE - SENSEX Index Options'!$C:$C,$A252,'BSE - SENSEX Index Options'!$B:$B,B$147)+SUMIFS('BSE - Other Index Options'!$M:$M,'BSE - Other Index Options'!$C:$C,$A252,'BSE - Other Index Options'!$B:$B,B$147)=0,"",SUMIFS('BSE - SENSEX Index Options'!$M:$M,'BSE - SENSEX Index Options'!$C:$C,$A252,'BSE - SENSEX Index Options'!$B:$B,B$147)+SUMIFS('BSE - Other Index Options'!$M:$M,'BSE - Other Index Options'!$C:$C,$A252,'BSE - Other Index Options'!$B:$B,B$147))</f>
        <v/>
      </c>
      <c r="C252" s="26">
        <f>IF(SUMIFS('BSE - SENSEX Index Options'!$M:$M,'BSE - SENSEX Index Options'!$C:$C,$A252,'BSE - SENSEX Index Options'!$B:$B,C$147)+SUMIFS('BSE - Other Index Options'!$M:$M,'BSE - Other Index Options'!$C:$C,$A252,'BSE - Other Index Options'!$B:$B,C$147)=0,"",SUMIFS('BSE - SENSEX Index Options'!$M:$M,'BSE - SENSEX Index Options'!$C:$C,$A252,'BSE - SENSEX Index Options'!$B:$B,C$147)+SUMIFS('BSE - Other Index Options'!$M:$M,'BSE - Other Index Options'!$C:$C,$A252,'BSE - Other Index Options'!$B:$B,C$147))</f>
        <v/>
      </c>
      <c r="D252" s="26">
        <f>IF(SUMIFS('BSE - SENSEX Index Options'!$M:$M,'BSE - SENSEX Index Options'!$C:$C,$A252,'BSE - SENSEX Index Options'!$B:$B,D$147)+SUMIFS('BSE - Other Index Options'!$M:$M,'BSE - Other Index Options'!$C:$C,$A252,'BSE - Other Index Options'!$B:$B,D$147)=0,"",SUMIFS('BSE - SENSEX Index Options'!$M:$M,'BSE - SENSEX Index Options'!$C:$C,$A252,'BSE - SENSEX Index Options'!$B:$B,D$147)+SUMIFS('BSE - Other Index Options'!$M:$M,'BSE - Other Index Options'!$C:$C,$A252,'BSE - Other Index Options'!$B:$B,D$147))</f>
        <v/>
      </c>
      <c r="E252" s="26">
        <f>IF(SUMIFS('BSE - SENSEX Index Options'!$M:$M,'BSE - SENSEX Index Options'!$C:$C,$A252,'BSE - SENSEX Index Options'!$B:$B,E$147)+SUMIFS('BSE - Other Index Options'!$M:$M,'BSE - Other Index Options'!$C:$C,$A252,'BSE - Other Index Options'!$B:$B,E$147)=0,"",SUMIFS('BSE - SENSEX Index Options'!$M:$M,'BSE - SENSEX Index Options'!$C:$C,$A252,'BSE - SENSEX Index Options'!$B:$B,E$147)+SUMIFS('BSE - Other Index Options'!$M:$M,'BSE - Other Index Options'!$C:$C,$A252,'BSE - Other Index Options'!$B:$B,E$147))</f>
        <v/>
      </c>
      <c r="F252" s="26">
        <f>IF(SUMIFS('BSE - SENSEX Index Options'!$M:$M,'BSE - SENSEX Index Options'!$C:$C,$A252,'BSE - SENSEX Index Options'!$B:$B,F$147)+SUMIFS('BSE - Other Index Options'!$M:$M,'BSE - Other Index Options'!$C:$C,$A252,'BSE - Other Index Options'!$B:$B,F$147)=0,"",SUMIFS('BSE - SENSEX Index Options'!$M:$M,'BSE - SENSEX Index Options'!$C:$C,$A252,'BSE - SENSEX Index Options'!$B:$B,F$147)+SUMIFS('BSE - Other Index Options'!$M:$M,'BSE - Other Index Options'!$C:$C,$A252,'BSE - Other Index Options'!$B:$B,F$147))</f>
        <v/>
      </c>
      <c r="G252" s="26">
        <f>IF(SUMIFS('BSE - SENSEX Index Options'!$M:$M,'BSE - SENSEX Index Options'!$C:$C,$A252,'BSE - SENSEX Index Options'!$B:$B,G$147)+SUMIFS('BSE - Other Index Options'!$M:$M,'BSE - Other Index Options'!$C:$C,$A252,'BSE - Other Index Options'!$B:$B,G$147)=0,"",SUMIFS('BSE - SENSEX Index Options'!$M:$M,'BSE - SENSEX Index Options'!$C:$C,$A252,'BSE - SENSEX Index Options'!$B:$B,G$147)+SUMIFS('BSE - Other Index Options'!$M:$M,'BSE - Other Index Options'!$C:$C,$A252,'BSE - Other Index Options'!$B:$B,G$147))</f>
        <v/>
      </c>
      <c r="H252" s="26">
        <f>IF(SUM(B252:G252)=0,"",SUM(B252:G252))</f>
        <v/>
      </c>
    </row>
    <row r="253" hidden="1" outlineLevel="1">
      <c r="A253" t="inlineStr">
        <is>
          <t>Week3-Jun-2027</t>
        </is>
      </c>
      <c r="B253" s="26">
        <f>IF(SUMIFS('BSE - SENSEX Index Options'!$M:$M,'BSE - SENSEX Index Options'!$C:$C,$A253,'BSE - SENSEX Index Options'!$B:$B,B$147)+SUMIFS('BSE - Other Index Options'!$M:$M,'BSE - Other Index Options'!$C:$C,$A253,'BSE - Other Index Options'!$B:$B,B$147)=0,"",SUMIFS('BSE - SENSEX Index Options'!$M:$M,'BSE - SENSEX Index Options'!$C:$C,$A253,'BSE - SENSEX Index Options'!$B:$B,B$147)+SUMIFS('BSE - Other Index Options'!$M:$M,'BSE - Other Index Options'!$C:$C,$A253,'BSE - Other Index Options'!$B:$B,B$147))</f>
        <v/>
      </c>
      <c r="C253" s="26">
        <f>IF(SUMIFS('BSE - SENSEX Index Options'!$M:$M,'BSE - SENSEX Index Options'!$C:$C,$A253,'BSE - SENSEX Index Options'!$B:$B,C$147)+SUMIFS('BSE - Other Index Options'!$M:$M,'BSE - Other Index Options'!$C:$C,$A253,'BSE - Other Index Options'!$B:$B,C$147)=0,"",SUMIFS('BSE - SENSEX Index Options'!$M:$M,'BSE - SENSEX Index Options'!$C:$C,$A253,'BSE - SENSEX Index Options'!$B:$B,C$147)+SUMIFS('BSE - Other Index Options'!$M:$M,'BSE - Other Index Options'!$C:$C,$A253,'BSE - Other Index Options'!$B:$B,C$147))</f>
        <v/>
      </c>
      <c r="D253" s="26">
        <f>IF(SUMIFS('BSE - SENSEX Index Options'!$M:$M,'BSE - SENSEX Index Options'!$C:$C,$A253,'BSE - SENSEX Index Options'!$B:$B,D$147)+SUMIFS('BSE - Other Index Options'!$M:$M,'BSE - Other Index Options'!$C:$C,$A253,'BSE - Other Index Options'!$B:$B,D$147)=0,"",SUMIFS('BSE - SENSEX Index Options'!$M:$M,'BSE - SENSEX Index Options'!$C:$C,$A253,'BSE - SENSEX Index Options'!$B:$B,D$147)+SUMIFS('BSE - Other Index Options'!$M:$M,'BSE - Other Index Options'!$C:$C,$A253,'BSE - Other Index Options'!$B:$B,D$147))</f>
        <v/>
      </c>
      <c r="E253" s="26">
        <f>IF(SUMIFS('BSE - SENSEX Index Options'!$M:$M,'BSE - SENSEX Index Options'!$C:$C,$A253,'BSE - SENSEX Index Options'!$B:$B,E$147)+SUMIFS('BSE - Other Index Options'!$M:$M,'BSE - Other Index Options'!$C:$C,$A253,'BSE - Other Index Options'!$B:$B,E$147)=0,"",SUMIFS('BSE - SENSEX Index Options'!$M:$M,'BSE - SENSEX Index Options'!$C:$C,$A253,'BSE - SENSEX Index Options'!$B:$B,E$147)+SUMIFS('BSE - Other Index Options'!$M:$M,'BSE - Other Index Options'!$C:$C,$A253,'BSE - Other Index Options'!$B:$B,E$147))</f>
        <v/>
      </c>
      <c r="F253" s="26">
        <f>IF(SUMIFS('BSE - SENSEX Index Options'!$M:$M,'BSE - SENSEX Index Options'!$C:$C,$A253,'BSE - SENSEX Index Options'!$B:$B,F$147)+SUMIFS('BSE - Other Index Options'!$M:$M,'BSE - Other Index Options'!$C:$C,$A253,'BSE - Other Index Options'!$B:$B,F$147)=0,"",SUMIFS('BSE - SENSEX Index Options'!$M:$M,'BSE - SENSEX Index Options'!$C:$C,$A253,'BSE - SENSEX Index Options'!$B:$B,F$147)+SUMIFS('BSE - Other Index Options'!$M:$M,'BSE - Other Index Options'!$C:$C,$A253,'BSE - Other Index Options'!$B:$B,F$147))</f>
        <v/>
      </c>
      <c r="G253" s="26">
        <f>IF(SUMIFS('BSE - SENSEX Index Options'!$M:$M,'BSE - SENSEX Index Options'!$C:$C,$A253,'BSE - SENSEX Index Options'!$B:$B,G$147)+SUMIFS('BSE - Other Index Options'!$M:$M,'BSE - Other Index Options'!$C:$C,$A253,'BSE - Other Index Options'!$B:$B,G$147)=0,"",SUMIFS('BSE - SENSEX Index Options'!$M:$M,'BSE - SENSEX Index Options'!$C:$C,$A253,'BSE - SENSEX Index Options'!$B:$B,G$147)+SUMIFS('BSE - Other Index Options'!$M:$M,'BSE - Other Index Options'!$C:$C,$A253,'BSE - Other Index Options'!$B:$B,G$147))</f>
        <v/>
      </c>
      <c r="H253" s="26">
        <f>IF(SUM(B253:G253)=0,"",SUM(B253:G253))</f>
        <v/>
      </c>
    </row>
    <row r="254" hidden="1" outlineLevel="1">
      <c r="A254" t="inlineStr">
        <is>
          <t>Week4-Jun-2027</t>
        </is>
      </c>
      <c r="B254" s="26">
        <f>IF(SUMIFS('BSE - SENSEX Index Options'!$M:$M,'BSE - SENSEX Index Options'!$C:$C,$A254,'BSE - SENSEX Index Options'!$B:$B,B$147)+SUMIFS('BSE - Other Index Options'!$M:$M,'BSE - Other Index Options'!$C:$C,$A254,'BSE - Other Index Options'!$B:$B,B$147)=0,"",SUMIFS('BSE - SENSEX Index Options'!$M:$M,'BSE - SENSEX Index Options'!$C:$C,$A254,'BSE - SENSEX Index Options'!$B:$B,B$147)+SUMIFS('BSE - Other Index Options'!$M:$M,'BSE - Other Index Options'!$C:$C,$A254,'BSE - Other Index Options'!$B:$B,B$147))</f>
        <v/>
      </c>
      <c r="C254" s="26">
        <f>IF(SUMIFS('BSE - SENSEX Index Options'!$M:$M,'BSE - SENSEX Index Options'!$C:$C,$A254,'BSE - SENSEX Index Options'!$B:$B,C$147)+SUMIFS('BSE - Other Index Options'!$M:$M,'BSE - Other Index Options'!$C:$C,$A254,'BSE - Other Index Options'!$B:$B,C$147)=0,"",SUMIFS('BSE - SENSEX Index Options'!$M:$M,'BSE - SENSEX Index Options'!$C:$C,$A254,'BSE - SENSEX Index Options'!$B:$B,C$147)+SUMIFS('BSE - Other Index Options'!$M:$M,'BSE - Other Index Options'!$C:$C,$A254,'BSE - Other Index Options'!$B:$B,C$147))</f>
        <v/>
      </c>
      <c r="D254" s="26">
        <f>IF(SUMIFS('BSE - SENSEX Index Options'!$M:$M,'BSE - SENSEX Index Options'!$C:$C,$A254,'BSE - SENSEX Index Options'!$B:$B,D$147)+SUMIFS('BSE - Other Index Options'!$M:$M,'BSE - Other Index Options'!$C:$C,$A254,'BSE - Other Index Options'!$B:$B,D$147)=0,"",SUMIFS('BSE - SENSEX Index Options'!$M:$M,'BSE - SENSEX Index Options'!$C:$C,$A254,'BSE - SENSEX Index Options'!$B:$B,D$147)+SUMIFS('BSE - Other Index Options'!$M:$M,'BSE - Other Index Options'!$C:$C,$A254,'BSE - Other Index Options'!$B:$B,D$147))</f>
        <v/>
      </c>
      <c r="E254" s="26">
        <f>IF(SUMIFS('BSE - SENSEX Index Options'!$M:$M,'BSE - SENSEX Index Options'!$C:$C,$A254,'BSE - SENSEX Index Options'!$B:$B,E$147)+SUMIFS('BSE - Other Index Options'!$M:$M,'BSE - Other Index Options'!$C:$C,$A254,'BSE - Other Index Options'!$B:$B,E$147)=0,"",SUMIFS('BSE - SENSEX Index Options'!$M:$M,'BSE - SENSEX Index Options'!$C:$C,$A254,'BSE - SENSEX Index Options'!$B:$B,E$147)+SUMIFS('BSE - Other Index Options'!$M:$M,'BSE - Other Index Options'!$C:$C,$A254,'BSE - Other Index Options'!$B:$B,E$147))</f>
        <v/>
      </c>
      <c r="F254" s="26">
        <f>IF(SUMIFS('BSE - SENSEX Index Options'!$M:$M,'BSE - SENSEX Index Options'!$C:$C,$A254,'BSE - SENSEX Index Options'!$B:$B,F$147)+SUMIFS('BSE - Other Index Options'!$M:$M,'BSE - Other Index Options'!$C:$C,$A254,'BSE - Other Index Options'!$B:$B,F$147)=0,"",SUMIFS('BSE - SENSEX Index Options'!$M:$M,'BSE - SENSEX Index Options'!$C:$C,$A254,'BSE - SENSEX Index Options'!$B:$B,F$147)+SUMIFS('BSE - Other Index Options'!$M:$M,'BSE - Other Index Options'!$C:$C,$A254,'BSE - Other Index Options'!$B:$B,F$147))</f>
        <v/>
      </c>
      <c r="G254" s="26">
        <f>IF(SUMIFS('BSE - SENSEX Index Options'!$M:$M,'BSE - SENSEX Index Options'!$C:$C,$A254,'BSE - SENSEX Index Options'!$B:$B,G$147)+SUMIFS('BSE - Other Index Options'!$M:$M,'BSE - Other Index Options'!$C:$C,$A254,'BSE - Other Index Options'!$B:$B,G$147)=0,"",SUMIFS('BSE - SENSEX Index Options'!$M:$M,'BSE - SENSEX Index Options'!$C:$C,$A254,'BSE - SENSEX Index Options'!$B:$B,G$147)+SUMIFS('BSE - Other Index Options'!$M:$M,'BSE - Other Index Options'!$C:$C,$A254,'BSE - Other Index Options'!$B:$B,G$147))</f>
        <v/>
      </c>
      <c r="H254" s="26">
        <f>IF(SUM(B254:G254)=0,"",SUM(B254:G254))</f>
        <v/>
      </c>
    </row>
    <row r="255" hidden="1" outlineLevel="1">
      <c r="A255" t="inlineStr">
        <is>
          <t>Week5-Jun-2027</t>
        </is>
      </c>
      <c r="B255" s="26">
        <f>IF(SUMIFS('BSE - SENSEX Index Options'!$M:$M,'BSE - SENSEX Index Options'!$C:$C,$A255,'BSE - SENSEX Index Options'!$B:$B,B$147)+SUMIFS('BSE - Other Index Options'!$M:$M,'BSE - Other Index Options'!$C:$C,$A255,'BSE - Other Index Options'!$B:$B,B$147)=0,"",SUMIFS('BSE - SENSEX Index Options'!$M:$M,'BSE - SENSEX Index Options'!$C:$C,$A255,'BSE - SENSEX Index Options'!$B:$B,B$147)+SUMIFS('BSE - Other Index Options'!$M:$M,'BSE - Other Index Options'!$C:$C,$A255,'BSE - Other Index Options'!$B:$B,B$147))</f>
        <v/>
      </c>
      <c r="C255" s="26">
        <f>IF(SUMIFS('BSE - SENSEX Index Options'!$M:$M,'BSE - SENSEX Index Options'!$C:$C,$A255,'BSE - SENSEX Index Options'!$B:$B,C$147)+SUMIFS('BSE - Other Index Options'!$M:$M,'BSE - Other Index Options'!$C:$C,$A255,'BSE - Other Index Options'!$B:$B,C$147)=0,"",SUMIFS('BSE - SENSEX Index Options'!$M:$M,'BSE - SENSEX Index Options'!$C:$C,$A255,'BSE - SENSEX Index Options'!$B:$B,C$147)+SUMIFS('BSE - Other Index Options'!$M:$M,'BSE - Other Index Options'!$C:$C,$A255,'BSE - Other Index Options'!$B:$B,C$147))</f>
        <v/>
      </c>
      <c r="D255" s="26">
        <f>IF(SUMIFS('BSE - SENSEX Index Options'!$M:$M,'BSE - SENSEX Index Options'!$C:$C,$A255,'BSE - SENSEX Index Options'!$B:$B,D$147)+SUMIFS('BSE - Other Index Options'!$M:$M,'BSE - Other Index Options'!$C:$C,$A255,'BSE - Other Index Options'!$B:$B,D$147)=0,"",SUMIFS('BSE - SENSEX Index Options'!$M:$M,'BSE - SENSEX Index Options'!$C:$C,$A255,'BSE - SENSEX Index Options'!$B:$B,D$147)+SUMIFS('BSE - Other Index Options'!$M:$M,'BSE - Other Index Options'!$C:$C,$A255,'BSE - Other Index Options'!$B:$B,D$147))</f>
        <v/>
      </c>
      <c r="E255" s="26">
        <f>IF(SUMIFS('BSE - SENSEX Index Options'!$M:$M,'BSE - SENSEX Index Options'!$C:$C,$A255,'BSE - SENSEX Index Options'!$B:$B,E$147)+SUMIFS('BSE - Other Index Options'!$M:$M,'BSE - Other Index Options'!$C:$C,$A255,'BSE - Other Index Options'!$B:$B,E$147)=0,"",SUMIFS('BSE - SENSEX Index Options'!$M:$M,'BSE - SENSEX Index Options'!$C:$C,$A255,'BSE - SENSEX Index Options'!$B:$B,E$147)+SUMIFS('BSE - Other Index Options'!$M:$M,'BSE - Other Index Options'!$C:$C,$A255,'BSE - Other Index Options'!$B:$B,E$147))</f>
        <v/>
      </c>
      <c r="F255" s="26">
        <f>IF(SUMIFS('BSE - SENSEX Index Options'!$M:$M,'BSE - SENSEX Index Options'!$C:$C,$A255,'BSE - SENSEX Index Options'!$B:$B,F$147)+SUMIFS('BSE - Other Index Options'!$M:$M,'BSE - Other Index Options'!$C:$C,$A255,'BSE - Other Index Options'!$B:$B,F$147)=0,"",SUMIFS('BSE - SENSEX Index Options'!$M:$M,'BSE - SENSEX Index Options'!$C:$C,$A255,'BSE - SENSEX Index Options'!$B:$B,F$147)+SUMIFS('BSE - Other Index Options'!$M:$M,'BSE - Other Index Options'!$C:$C,$A255,'BSE - Other Index Options'!$B:$B,F$147))</f>
        <v/>
      </c>
      <c r="G255" s="26">
        <f>IF(SUMIFS('BSE - SENSEX Index Options'!$M:$M,'BSE - SENSEX Index Options'!$C:$C,$A255,'BSE - SENSEX Index Options'!$B:$B,G$147)+SUMIFS('BSE - Other Index Options'!$M:$M,'BSE - Other Index Options'!$C:$C,$A255,'BSE - Other Index Options'!$B:$B,G$147)=0,"",SUMIFS('BSE - SENSEX Index Options'!$M:$M,'BSE - SENSEX Index Options'!$C:$C,$A255,'BSE - SENSEX Index Options'!$B:$B,G$147)+SUMIFS('BSE - Other Index Options'!$M:$M,'BSE - Other Index Options'!$C:$C,$A255,'BSE - Other Index Options'!$B:$B,G$147))</f>
        <v/>
      </c>
      <c r="H255" s="26">
        <f>IF(SUM(B255:G255)=0,"",SUM(B255:G255))</f>
        <v/>
      </c>
    </row>
    <row r="256" hidden="1" outlineLevel="1">
      <c r="A256" t="inlineStr">
        <is>
          <t>Week1-Jul-2027</t>
        </is>
      </c>
      <c r="B256" s="26">
        <f>IF(SUMIFS('BSE - SENSEX Index Options'!$M:$M,'BSE - SENSEX Index Options'!$C:$C,$A256,'BSE - SENSEX Index Options'!$B:$B,B$147)+SUMIFS('BSE - Other Index Options'!$M:$M,'BSE - Other Index Options'!$C:$C,$A256,'BSE - Other Index Options'!$B:$B,B$147)=0,"",SUMIFS('BSE - SENSEX Index Options'!$M:$M,'BSE - SENSEX Index Options'!$C:$C,$A256,'BSE - SENSEX Index Options'!$B:$B,B$147)+SUMIFS('BSE - Other Index Options'!$M:$M,'BSE - Other Index Options'!$C:$C,$A256,'BSE - Other Index Options'!$B:$B,B$147))</f>
        <v/>
      </c>
      <c r="C256" s="26">
        <f>IF(SUMIFS('BSE - SENSEX Index Options'!$M:$M,'BSE - SENSEX Index Options'!$C:$C,$A256,'BSE - SENSEX Index Options'!$B:$B,C$147)+SUMIFS('BSE - Other Index Options'!$M:$M,'BSE - Other Index Options'!$C:$C,$A256,'BSE - Other Index Options'!$B:$B,C$147)=0,"",SUMIFS('BSE - SENSEX Index Options'!$M:$M,'BSE - SENSEX Index Options'!$C:$C,$A256,'BSE - SENSEX Index Options'!$B:$B,C$147)+SUMIFS('BSE - Other Index Options'!$M:$M,'BSE - Other Index Options'!$C:$C,$A256,'BSE - Other Index Options'!$B:$B,C$147))</f>
        <v/>
      </c>
      <c r="D256" s="26">
        <f>IF(SUMIFS('BSE - SENSEX Index Options'!$M:$M,'BSE - SENSEX Index Options'!$C:$C,$A256,'BSE - SENSEX Index Options'!$B:$B,D$147)+SUMIFS('BSE - Other Index Options'!$M:$M,'BSE - Other Index Options'!$C:$C,$A256,'BSE - Other Index Options'!$B:$B,D$147)=0,"",SUMIFS('BSE - SENSEX Index Options'!$M:$M,'BSE - SENSEX Index Options'!$C:$C,$A256,'BSE - SENSEX Index Options'!$B:$B,D$147)+SUMIFS('BSE - Other Index Options'!$M:$M,'BSE - Other Index Options'!$C:$C,$A256,'BSE - Other Index Options'!$B:$B,D$147))</f>
        <v/>
      </c>
      <c r="E256" s="26">
        <f>IF(SUMIFS('BSE - SENSEX Index Options'!$M:$M,'BSE - SENSEX Index Options'!$C:$C,$A256,'BSE - SENSEX Index Options'!$B:$B,E$147)+SUMIFS('BSE - Other Index Options'!$M:$M,'BSE - Other Index Options'!$C:$C,$A256,'BSE - Other Index Options'!$B:$B,E$147)=0,"",SUMIFS('BSE - SENSEX Index Options'!$M:$M,'BSE - SENSEX Index Options'!$C:$C,$A256,'BSE - SENSEX Index Options'!$B:$B,E$147)+SUMIFS('BSE - Other Index Options'!$M:$M,'BSE - Other Index Options'!$C:$C,$A256,'BSE - Other Index Options'!$B:$B,E$147))</f>
        <v/>
      </c>
      <c r="F256" s="26">
        <f>IF(SUMIFS('BSE - SENSEX Index Options'!$M:$M,'BSE - SENSEX Index Options'!$C:$C,$A256,'BSE - SENSEX Index Options'!$B:$B,F$147)+SUMIFS('BSE - Other Index Options'!$M:$M,'BSE - Other Index Options'!$C:$C,$A256,'BSE - Other Index Options'!$B:$B,F$147)=0,"",SUMIFS('BSE - SENSEX Index Options'!$M:$M,'BSE - SENSEX Index Options'!$C:$C,$A256,'BSE - SENSEX Index Options'!$B:$B,F$147)+SUMIFS('BSE - Other Index Options'!$M:$M,'BSE - Other Index Options'!$C:$C,$A256,'BSE - Other Index Options'!$B:$B,F$147))</f>
        <v/>
      </c>
      <c r="G256" s="26">
        <f>IF(SUMIFS('BSE - SENSEX Index Options'!$M:$M,'BSE - SENSEX Index Options'!$C:$C,$A256,'BSE - SENSEX Index Options'!$B:$B,G$147)+SUMIFS('BSE - Other Index Options'!$M:$M,'BSE - Other Index Options'!$C:$C,$A256,'BSE - Other Index Options'!$B:$B,G$147)=0,"",SUMIFS('BSE - SENSEX Index Options'!$M:$M,'BSE - SENSEX Index Options'!$C:$C,$A256,'BSE - SENSEX Index Options'!$B:$B,G$147)+SUMIFS('BSE - Other Index Options'!$M:$M,'BSE - Other Index Options'!$C:$C,$A256,'BSE - Other Index Options'!$B:$B,G$147))</f>
        <v/>
      </c>
      <c r="H256" s="26">
        <f>IF(SUM(B256:G256)=0,"",SUM(B256:G256))</f>
        <v/>
      </c>
    </row>
    <row r="257" hidden="1" outlineLevel="1">
      <c r="A257" t="inlineStr">
        <is>
          <t>Week2-Jul-2027</t>
        </is>
      </c>
      <c r="B257" s="26">
        <f>IF(SUMIFS('BSE - SENSEX Index Options'!$M:$M,'BSE - SENSEX Index Options'!$C:$C,$A257,'BSE - SENSEX Index Options'!$B:$B,B$147)+SUMIFS('BSE - Other Index Options'!$M:$M,'BSE - Other Index Options'!$C:$C,$A257,'BSE - Other Index Options'!$B:$B,B$147)=0,"",SUMIFS('BSE - SENSEX Index Options'!$M:$M,'BSE - SENSEX Index Options'!$C:$C,$A257,'BSE - SENSEX Index Options'!$B:$B,B$147)+SUMIFS('BSE - Other Index Options'!$M:$M,'BSE - Other Index Options'!$C:$C,$A257,'BSE - Other Index Options'!$B:$B,B$147))</f>
        <v/>
      </c>
      <c r="C257" s="26">
        <f>IF(SUMIFS('BSE - SENSEX Index Options'!$M:$M,'BSE - SENSEX Index Options'!$C:$C,$A257,'BSE - SENSEX Index Options'!$B:$B,C$147)+SUMIFS('BSE - Other Index Options'!$M:$M,'BSE - Other Index Options'!$C:$C,$A257,'BSE - Other Index Options'!$B:$B,C$147)=0,"",SUMIFS('BSE - SENSEX Index Options'!$M:$M,'BSE - SENSEX Index Options'!$C:$C,$A257,'BSE - SENSEX Index Options'!$B:$B,C$147)+SUMIFS('BSE - Other Index Options'!$M:$M,'BSE - Other Index Options'!$C:$C,$A257,'BSE - Other Index Options'!$B:$B,C$147))</f>
        <v/>
      </c>
      <c r="D257" s="26">
        <f>IF(SUMIFS('BSE - SENSEX Index Options'!$M:$M,'BSE - SENSEX Index Options'!$C:$C,$A257,'BSE - SENSEX Index Options'!$B:$B,D$147)+SUMIFS('BSE - Other Index Options'!$M:$M,'BSE - Other Index Options'!$C:$C,$A257,'BSE - Other Index Options'!$B:$B,D$147)=0,"",SUMIFS('BSE - SENSEX Index Options'!$M:$M,'BSE - SENSEX Index Options'!$C:$C,$A257,'BSE - SENSEX Index Options'!$B:$B,D$147)+SUMIFS('BSE - Other Index Options'!$M:$M,'BSE - Other Index Options'!$C:$C,$A257,'BSE - Other Index Options'!$B:$B,D$147))</f>
        <v/>
      </c>
      <c r="E257" s="26">
        <f>IF(SUMIFS('BSE - SENSEX Index Options'!$M:$M,'BSE - SENSEX Index Options'!$C:$C,$A257,'BSE - SENSEX Index Options'!$B:$B,E$147)+SUMIFS('BSE - Other Index Options'!$M:$M,'BSE - Other Index Options'!$C:$C,$A257,'BSE - Other Index Options'!$B:$B,E$147)=0,"",SUMIFS('BSE - SENSEX Index Options'!$M:$M,'BSE - SENSEX Index Options'!$C:$C,$A257,'BSE - SENSEX Index Options'!$B:$B,E$147)+SUMIFS('BSE - Other Index Options'!$M:$M,'BSE - Other Index Options'!$C:$C,$A257,'BSE - Other Index Options'!$B:$B,E$147))</f>
        <v/>
      </c>
      <c r="F257" s="26">
        <f>IF(SUMIFS('BSE - SENSEX Index Options'!$M:$M,'BSE - SENSEX Index Options'!$C:$C,$A257,'BSE - SENSEX Index Options'!$B:$B,F$147)+SUMIFS('BSE - Other Index Options'!$M:$M,'BSE - Other Index Options'!$C:$C,$A257,'BSE - Other Index Options'!$B:$B,F$147)=0,"",SUMIFS('BSE - SENSEX Index Options'!$M:$M,'BSE - SENSEX Index Options'!$C:$C,$A257,'BSE - SENSEX Index Options'!$B:$B,F$147)+SUMIFS('BSE - Other Index Options'!$M:$M,'BSE - Other Index Options'!$C:$C,$A257,'BSE - Other Index Options'!$B:$B,F$147))</f>
        <v/>
      </c>
      <c r="G257" s="26">
        <f>IF(SUMIFS('BSE - SENSEX Index Options'!$M:$M,'BSE - SENSEX Index Options'!$C:$C,$A257,'BSE - SENSEX Index Options'!$B:$B,G$147)+SUMIFS('BSE - Other Index Options'!$M:$M,'BSE - Other Index Options'!$C:$C,$A257,'BSE - Other Index Options'!$B:$B,G$147)=0,"",SUMIFS('BSE - SENSEX Index Options'!$M:$M,'BSE - SENSEX Index Options'!$C:$C,$A257,'BSE - SENSEX Index Options'!$B:$B,G$147)+SUMIFS('BSE - Other Index Options'!$M:$M,'BSE - Other Index Options'!$C:$C,$A257,'BSE - Other Index Options'!$B:$B,G$147))</f>
        <v/>
      </c>
      <c r="H257" s="26">
        <f>IF(SUM(B257:G257)=0,"",SUM(B257:G257))</f>
        <v/>
      </c>
    </row>
    <row r="258" hidden="1" outlineLevel="1">
      <c r="A258" t="inlineStr">
        <is>
          <t>Week3-Jul-2027</t>
        </is>
      </c>
      <c r="B258" s="26">
        <f>IF(SUMIFS('BSE - SENSEX Index Options'!$M:$M,'BSE - SENSEX Index Options'!$C:$C,$A258,'BSE - SENSEX Index Options'!$B:$B,B$147)+SUMIFS('BSE - Other Index Options'!$M:$M,'BSE - Other Index Options'!$C:$C,$A258,'BSE - Other Index Options'!$B:$B,B$147)=0,"",SUMIFS('BSE - SENSEX Index Options'!$M:$M,'BSE - SENSEX Index Options'!$C:$C,$A258,'BSE - SENSEX Index Options'!$B:$B,B$147)+SUMIFS('BSE - Other Index Options'!$M:$M,'BSE - Other Index Options'!$C:$C,$A258,'BSE - Other Index Options'!$B:$B,B$147))</f>
        <v/>
      </c>
      <c r="C258" s="26">
        <f>IF(SUMIFS('BSE - SENSEX Index Options'!$M:$M,'BSE - SENSEX Index Options'!$C:$C,$A258,'BSE - SENSEX Index Options'!$B:$B,C$147)+SUMIFS('BSE - Other Index Options'!$M:$M,'BSE - Other Index Options'!$C:$C,$A258,'BSE - Other Index Options'!$B:$B,C$147)=0,"",SUMIFS('BSE - SENSEX Index Options'!$M:$M,'BSE - SENSEX Index Options'!$C:$C,$A258,'BSE - SENSEX Index Options'!$B:$B,C$147)+SUMIFS('BSE - Other Index Options'!$M:$M,'BSE - Other Index Options'!$C:$C,$A258,'BSE - Other Index Options'!$B:$B,C$147))</f>
        <v/>
      </c>
      <c r="D258" s="26">
        <f>IF(SUMIFS('BSE - SENSEX Index Options'!$M:$M,'BSE - SENSEX Index Options'!$C:$C,$A258,'BSE - SENSEX Index Options'!$B:$B,D$147)+SUMIFS('BSE - Other Index Options'!$M:$M,'BSE - Other Index Options'!$C:$C,$A258,'BSE - Other Index Options'!$B:$B,D$147)=0,"",SUMIFS('BSE - SENSEX Index Options'!$M:$M,'BSE - SENSEX Index Options'!$C:$C,$A258,'BSE - SENSEX Index Options'!$B:$B,D$147)+SUMIFS('BSE - Other Index Options'!$M:$M,'BSE - Other Index Options'!$C:$C,$A258,'BSE - Other Index Options'!$B:$B,D$147))</f>
        <v/>
      </c>
      <c r="E258" s="26">
        <f>IF(SUMIFS('BSE - SENSEX Index Options'!$M:$M,'BSE - SENSEX Index Options'!$C:$C,$A258,'BSE - SENSEX Index Options'!$B:$B,E$147)+SUMIFS('BSE - Other Index Options'!$M:$M,'BSE - Other Index Options'!$C:$C,$A258,'BSE - Other Index Options'!$B:$B,E$147)=0,"",SUMIFS('BSE - SENSEX Index Options'!$M:$M,'BSE - SENSEX Index Options'!$C:$C,$A258,'BSE - SENSEX Index Options'!$B:$B,E$147)+SUMIFS('BSE - Other Index Options'!$M:$M,'BSE - Other Index Options'!$C:$C,$A258,'BSE - Other Index Options'!$B:$B,E$147))</f>
        <v/>
      </c>
      <c r="F258" s="26">
        <f>IF(SUMIFS('BSE - SENSEX Index Options'!$M:$M,'BSE - SENSEX Index Options'!$C:$C,$A258,'BSE - SENSEX Index Options'!$B:$B,F$147)+SUMIFS('BSE - Other Index Options'!$M:$M,'BSE - Other Index Options'!$C:$C,$A258,'BSE - Other Index Options'!$B:$B,F$147)=0,"",SUMIFS('BSE - SENSEX Index Options'!$M:$M,'BSE - SENSEX Index Options'!$C:$C,$A258,'BSE - SENSEX Index Options'!$B:$B,F$147)+SUMIFS('BSE - Other Index Options'!$M:$M,'BSE - Other Index Options'!$C:$C,$A258,'BSE - Other Index Options'!$B:$B,F$147))</f>
        <v/>
      </c>
      <c r="G258" s="26">
        <f>IF(SUMIFS('BSE - SENSEX Index Options'!$M:$M,'BSE - SENSEX Index Options'!$C:$C,$A258,'BSE - SENSEX Index Options'!$B:$B,G$147)+SUMIFS('BSE - Other Index Options'!$M:$M,'BSE - Other Index Options'!$C:$C,$A258,'BSE - Other Index Options'!$B:$B,G$147)=0,"",SUMIFS('BSE - SENSEX Index Options'!$M:$M,'BSE - SENSEX Index Options'!$C:$C,$A258,'BSE - SENSEX Index Options'!$B:$B,G$147)+SUMIFS('BSE - Other Index Options'!$M:$M,'BSE - Other Index Options'!$C:$C,$A258,'BSE - Other Index Options'!$B:$B,G$147))</f>
        <v/>
      </c>
      <c r="H258" s="26">
        <f>IF(SUM(B258:G258)=0,"",SUM(B258:G258))</f>
        <v/>
      </c>
    </row>
    <row r="259" hidden="1" outlineLevel="1">
      <c r="A259" t="inlineStr">
        <is>
          <t>Week4-Jul-2027</t>
        </is>
      </c>
      <c r="B259" s="26">
        <f>IF(SUMIFS('BSE - SENSEX Index Options'!$M:$M,'BSE - SENSEX Index Options'!$C:$C,$A259,'BSE - SENSEX Index Options'!$B:$B,B$147)+SUMIFS('BSE - Other Index Options'!$M:$M,'BSE - Other Index Options'!$C:$C,$A259,'BSE - Other Index Options'!$B:$B,B$147)=0,"",SUMIFS('BSE - SENSEX Index Options'!$M:$M,'BSE - SENSEX Index Options'!$C:$C,$A259,'BSE - SENSEX Index Options'!$B:$B,B$147)+SUMIFS('BSE - Other Index Options'!$M:$M,'BSE - Other Index Options'!$C:$C,$A259,'BSE - Other Index Options'!$B:$B,B$147))</f>
        <v/>
      </c>
      <c r="C259" s="26">
        <f>IF(SUMIFS('BSE - SENSEX Index Options'!$M:$M,'BSE - SENSEX Index Options'!$C:$C,$A259,'BSE - SENSEX Index Options'!$B:$B,C$147)+SUMIFS('BSE - Other Index Options'!$M:$M,'BSE - Other Index Options'!$C:$C,$A259,'BSE - Other Index Options'!$B:$B,C$147)=0,"",SUMIFS('BSE - SENSEX Index Options'!$M:$M,'BSE - SENSEX Index Options'!$C:$C,$A259,'BSE - SENSEX Index Options'!$B:$B,C$147)+SUMIFS('BSE - Other Index Options'!$M:$M,'BSE - Other Index Options'!$C:$C,$A259,'BSE - Other Index Options'!$B:$B,C$147))</f>
        <v/>
      </c>
      <c r="D259" s="26">
        <f>IF(SUMIFS('BSE - SENSEX Index Options'!$M:$M,'BSE - SENSEX Index Options'!$C:$C,$A259,'BSE - SENSEX Index Options'!$B:$B,D$147)+SUMIFS('BSE - Other Index Options'!$M:$M,'BSE - Other Index Options'!$C:$C,$A259,'BSE - Other Index Options'!$B:$B,D$147)=0,"",SUMIFS('BSE - SENSEX Index Options'!$M:$M,'BSE - SENSEX Index Options'!$C:$C,$A259,'BSE - SENSEX Index Options'!$B:$B,D$147)+SUMIFS('BSE - Other Index Options'!$M:$M,'BSE - Other Index Options'!$C:$C,$A259,'BSE - Other Index Options'!$B:$B,D$147))</f>
        <v/>
      </c>
      <c r="E259" s="26">
        <f>IF(SUMIFS('BSE - SENSEX Index Options'!$M:$M,'BSE - SENSEX Index Options'!$C:$C,$A259,'BSE - SENSEX Index Options'!$B:$B,E$147)+SUMIFS('BSE - Other Index Options'!$M:$M,'BSE - Other Index Options'!$C:$C,$A259,'BSE - Other Index Options'!$B:$B,E$147)=0,"",SUMIFS('BSE - SENSEX Index Options'!$M:$M,'BSE - SENSEX Index Options'!$C:$C,$A259,'BSE - SENSEX Index Options'!$B:$B,E$147)+SUMIFS('BSE - Other Index Options'!$M:$M,'BSE - Other Index Options'!$C:$C,$A259,'BSE - Other Index Options'!$B:$B,E$147))</f>
        <v/>
      </c>
      <c r="F259" s="26">
        <f>IF(SUMIFS('BSE - SENSEX Index Options'!$M:$M,'BSE - SENSEX Index Options'!$C:$C,$A259,'BSE - SENSEX Index Options'!$B:$B,F$147)+SUMIFS('BSE - Other Index Options'!$M:$M,'BSE - Other Index Options'!$C:$C,$A259,'BSE - Other Index Options'!$B:$B,F$147)=0,"",SUMIFS('BSE - SENSEX Index Options'!$M:$M,'BSE - SENSEX Index Options'!$C:$C,$A259,'BSE - SENSEX Index Options'!$B:$B,F$147)+SUMIFS('BSE - Other Index Options'!$M:$M,'BSE - Other Index Options'!$C:$C,$A259,'BSE - Other Index Options'!$B:$B,F$147))</f>
        <v/>
      </c>
      <c r="G259" s="26">
        <f>IF(SUMIFS('BSE - SENSEX Index Options'!$M:$M,'BSE - SENSEX Index Options'!$C:$C,$A259,'BSE - SENSEX Index Options'!$B:$B,G$147)+SUMIFS('BSE - Other Index Options'!$M:$M,'BSE - Other Index Options'!$C:$C,$A259,'BSE - Other Index Options'!$B:$B,G$147)=0,"",SUMIFS('BSE - SENSEX Index Options'!$M:$M,'BSE - SENSEX Index Options'!$C:$C,$A259,'BSE - SENSEX Index Options'!$B:$B,G$147)+SUMIFS('BSE - Other Index Options'!$M:$M,'BSE - Other Index Options'!$C:$C,$A259,'BSE - Other Index Options'!$B:$B,G$147))</f>
        <v/>
      </c>
      <c r="H259" s="26">
        <f>IF(SUM(B259:G259)=0,"",SUM(B259:G259))</f>
        <v/>
      </c>
    </row>
    <row r="260" hidden="1" outlineLevel="1">
      <c r="A260" t="inlineStr">
        <is>
          <t>Week5-Jul-2027</t>
        </is>
      </c>
      <c r="B260" s="26">
        <f>IF(SUMIFS('BSE - SENSEX Index Options'!$M:$M,'BSE - SENSEX Index Options'!$C:$C,$A260,'BSE - SENSEX Index Options'!$B:$B,B$147)+SUMIFS('BSE - Other Index Options'!$M:$M,'BSE - Other Index Options'!$C:$C,$A260,'BSE - Other Index Options'!$B:$B,B$147)=0,"",SUMIFS('BSE - SENSEX Index Options'!$M:$M,'BSE - SENSEX Index Options'!$C:$C,$A260,'BSE - SENSEX Index Options'!$B:$B,B$147)+SUMIFS('BSE - Other Index Options'!$M:$M,'BSE - Other Index Options'!$C:$C,$A260,'BSE - Other Index Options'!$B:$B,B$147))</f>
        <v/>
      </c>
      <c r="C260" s="26">
        <f>IF(SUMIFS('BSE - SENSEX Index Options'!$M:$M,'BSE - SENSEX Index Options'!$C:$C,$A260,'BSE - SENSEX Index Options'!$B:$B,C$147)+SUMIFS('BSE - Other Index Options'!$M:$M,'BSE - Other Index Options'!$C:$C,$A260,'BSE - Other Index Options'!$B:$B,C$147)=0,"",SUMIFS('BSE - SENSEX Index Options'!$M:$M,'BSE - SENSEX Index Options'!$C:$C,$A260,'BSE - SENSEX Index Options'!$B:$B,C$147)+SUMIFS('BSE - Other Index Options'!$M:$M,'BSE - Other Index Options'!$C:$C,$A260,'BSE - Other Index Options'!$B:$B,C$147))</f>
        <v/>
      </c>
      <c r="D260" s="26">
        <f>IF(SUMIFS('BSE - SENSEX Index Options'!$M:$M,'BSE - SENSEX Index Options'!$C:$C,$A260,'BSE - SENSEX Index Options'!$B:$B,D$147)+SUMIFS('BSE - Other Index Options'!$M:$M,'BSE - Other Index Options'!$C:$C,$A260,'BSE - Other Index Options'!$B:$B,D$147)=0,"",SUMIFS('BSE - SENSEX Index Options'!$M:$M,'BSE - SENSEX Index Options'!$C:$C,$A260,'BSE - SENSEX Index Options'!$B:$B,D$147)+SUMIFS('BSE - Other Index Options'!$M:$M,'BSE - Other Index Options'!$C:$C,$A260,'BSE - Other Index Options'!$B:$B,D$147))</f>
        <v/>
      </c>
      <c r="E260" s="26">
        <f>IF(SUMIFS('BSE - SENSEX Index Options'!$M:$M,'BSE - SENSEX Index Options'!$C:$C,$A260,'BSE - SENSEX Index Options'!$B:$B,E$147)+SUMIFS('BSE - Other Index Options'!$M:$M,'BSE - Other Index Options'!$C:$C,$A260,'BSE - Other Index Options'!$B:$B,E$147)=0,"",SUMIFS('BSE - SENSEX Index Options'!$M:$M,'BSE - SENSEX Index Options'!$C:$C,$A260,'BSE - SENSEX Index Options'!$B:$B,E$147)+SUMIFS('BSE - Other Index Options'!$M:$M,'BSE - Other Index Options'!$C:$C,$A260,'BSE - Other Index Options'!$B:$B,E$147))</f>
        <v/>
      </c>
      <c r="F260" s="26">
        <f>IF(SUMIFS('BSE - SENSEX Index Options'!$M:$M,'BSE - SENSEX Index Options'!$C:$C,$A260,'BSE - SENSEX Index Options'!$B:$B,F$147)+SUMIFS('BSE - Other Index Options'!$M:$M,'BSE - Other Index Options'!$C:$C,$A260,'BSE - Other Index Options'!$B:$B,F$147)=0,"",SUMIFS('BSE - SENSEX Index Options'!$M:$M,'BSE - SENSEX Index Options'!$C:$C,$A260,'BSE - SENSEX Index Options'!$B:$B,F$147)+SUMIFS('BSE - Other Index Options'!$M:$M,'BSE - Other Index Options'!$C:$C,$A260,'BSE - Other Index Options'!$B:$B,F$147))</f>
        <v/>
      </c>
      <c r="G260" s="26">
        <f>IF(SUMIFS('BSE - SENSEX Index Options'!$M:$M,'BSE - SENSEX Index Options'!$C:$C,$A260,'BSE - SENSEX Index Options'!$B:$B,G$147)+SUMIFS('BSE - Other Index Options'!$M:$M,'BSE - Other Index Options'!$C:$C,$A260,'BSE - Other Index Options'!$B:$B,G$147)=0,"",SUMIFS('BSE - SENSEX Index Options'!$M:$M,'BSE - SENSEX Index Options'!$C:$C,$A260,'BSE - SENSEX Index Options'!$B:$B,G$147)+SUMIFS('BSE - Other Index Options'!$M:$M,'BSE - Other Index Options'!$C:$C,$A260,'BSE - Other Index Options'!$B:$B,G$147))</f>
        <v/>
      </c>
      <c r="H260" s="26">
        <f>IF(SUM(B260:G260)=0,"",SUM(B260:G260))</f>
        <v/>
      </c>
    </row>
    <row r="261" hidden="1" outlineLevel="1">
      <c r="A261" t="inlineStr">
        <is>
          <t>Week1-Aug-2027</t>
        </is>
      </c>
      <c r="B261" s="26">
        <f>IF(SUMIFS('BSE - SENSEX Index Options'!$M:$M,'BSE - SENSEX Index Options'!$C:$C,$A261,'BSE - SENSEX Index Options'!$B:$B,B$147)+SUMIFS('BSE - Other Index Options'!$M:$M,'BSE - Other Index Options'!$C:$C,$A261,'BSE - Other Index Options'!$B:$B,B$147)=0,"",SUMIFS('BSE - SENSEX Index Options'!$M:$M,'BSE - SENSEX Index Options'!$C:$C,$A261,'BSE - SENSEX Index Options'!$B:$B,B$147)+SUMIFS('BSE - Other Index Options'!$M:$M,'BSE - Other Index Options'!$C:$C,$A261,'BSE - Other Index Options'!$B:$B,B$147))</f>
        <v/>
      </c>
      <c r="C261" s="26">
        <f>IF(SUMIFS('BSE - SENSEX Index Options'!$M:$M,'BSE - SENSEX Index Options'!$C:$C,$A261,'BSE - SENSEX Index Options'!$B:$B,C$147)+SUMIFS('BSE - Other Index Options'!$M:$M,'BSE - Other Index Options'!$C:$C,$A261,'BSE - Other Index Options'!$B:$B,C$147)=0,"",SUMIFS('BSE - SENSEX Index Options'!$M:$M,'BSE - SENSEX Index Options'!$C:$C,$A261,'BSE - SENSEX Index Options'!$B:$B,C$147)+SUMIFS('BSE - Other Index Options'!$M:$M,'BSE - Other Index Options'!$C:$C,$A261,'BSE - Other Index Options'!$B:$B,C$147))</f>
        <v/>
      </c>
      <c r="D261" s="26">
        <f>IF(SUMIFS('BSE - SENSEX Index Options'!$M:$M,'BSE - SENSEX Index Options'!$C:$C,$A261,'BSE - SENSEX Index Options'!$B:$B,D$147)+SUMIFS('BSE - Other Index Options'!$M:$M,'BSE - Other Index Options'!$C:$C,$A261,'BSE - Other Index Options'!$B:$B,D$147)=0,"",SUMIFS('BSE - SENSEX Index Options'!$M:$M,'BSE - SENSEX Index Options'!$C:$C,$A261,'BSE - SENSEX Index Options'!$B:$B,D$147)+SUMIFS('BSE - Other Index Options'!$M:$M,'BSE - Other Index Options'!$C:$C,$A261,'BSE - Other Index Options'!$B:$B,D$147))</f>
        <v/>
      </c>
      <c r="E261" s="26">
        <f>IF(SUMIFS('BSE - SENSEX Index Options'!$M:$M,'BSE - SENSEX Index Options'!$C:$C,$A261,'BSE - SENSEX Index Options'!$B:$B,E$147)+SUMIFS('BSE - Other Index Options'!$M:$M,'BSE - Other Index Options'!$C:$C,$A261,'BSE - Other Index Options'!$B:$B,E$147)=0,"",SUMIFS('BSE - SENSEX Index Options'!$M:$M,'BSE - SENSEX Index Options'!$C:$C,$A261,'BSE - SENSEX Index Options'!$B:$B,E$147)+SUMIFS('BSE - Other Index Options'!$M:$M,'BSE - Other Index Options'!$C:$C,$A261,'BSE - Other Index Options'!$B:$B,E$147))</f>
        <v/>
      </c>
      <c r="F261" s="26">
        <f>IF(SUMIFS('BSE - SENSEX Index Options'!$M:$M,'BSE - SENSEX Index Options'!$C:$C,$A261,'BSE - SENSEX Index Options'!$B:$B,F$147)+SUMIFS('BSE - Other Index Options'!$M:$M,'BSE - Other Index Options'!$C:$C,$A261,'BSE - Other Index Options'!$B:$B,F$147)=0,"",SUMIFS('BSE - SENSEX Index Options'!$M:$M,'BSE - SENSEX Index Options'!$C:$C,$A261,'BSE - SENSEX Index Options'!$B:$B,F$147)+SUMIFS('BSE - Other Index Options'!$M:$M,'BSE - Other Index Options'!$C:$C,$A261,'BSE - Other Index Options'!$B:$B,F$147))</f>
        <v/>
      </c>
      <c r="G261" s="26">
        <f>IF(SUMIFS('BSE - SENSEX Index Options'!$M:$M,'BSE - SENSEX Index Options'!$C:$C,$A261,'BSE - SENSEX Index Options'!$B:$B,G$147)+SUMIFS('BSE - Other Index Options'!$M:$M,'BSE - Other Index Options'!$C:$C,$A261,'BSE - Other Index Options'!$B:$B,G$147)=0,"",SUMIFS('BSE - SENSEX Index Options'!$M:$M,'BSE - SENSEX Index Options'!$C:$C,$A261,'BSE - SENSEX Index Options'!$B:$B,G$147)+SUMIFS('BSE - Other Index Options'!$M:$M,'BSE - Other Index Options'!$C:$C,$A261,'BSE - Other Index Options'!$B:$B,G$147))</f>
        <v/>
      </c>
      <c r="H261" s="26">
        <f>IF(SUM(B261:G261)=0,"",SUM(B261:G261))</f>
        <v/>
      </c>
    </row>
    <row r="262" hidden="1" outlineLevel="1">
      <c r="A262" t="inlineStr">
        <is>
          <t>Week2-Aug-2027</t>
        </is>
      </c>
      <c r="B262" s="26">
        <f>IF(SUMIFS('BSE - SENSEX Index Options'!$M:$M,'BSE - SENSEX Index Options'!$C:$C,$A262,'BSE - SENSEX Index Options'!$B:$B,B$147)+SUMIFS('BSE - Other Index Options'!$M:$M,'BSE - Other Index Options'!$C:$C,$A262,'BSE - Other Index Options'!$B:$B,B$147)=0,"",SUMIFS('BSE - SENSEX Index Options'!$M:$M,'BSE - SENSEX Index Options'!$C:$C,$A262,'BSE - SENSEX Index Options'!$B:$B,B$147)+SUMIFS('BSE - Other Index Options'!$M:$M,'BSE - Other Index Options'!$C:$C,$A262,'BSE - Other Index Options'!$B:$B,B$147))</f>
        <v/>
      </c>
      <c r="C262" s="26">
        <f>IF(SUMIFS('BSE - SENSEX Index Options'!$M:$M,'BSE - SENSEX Index Options'!$C:$C,$A262,'BSE - SENSEX Index Options'!$B:$B,C$147)+SUMIFS('BSE - Other Index Options'!$M:$M,'BSE - Other Index Options'!$C:$C,$A262,'BSE - Other Index Options'!$B:$B,C$147)=0,"",SUMIFS('BSE - SENSEX Index Options'!$M:$M,'BSE - SENSEX Index Options'!$C:$C,$A262,'BSE - SENSEX Index Options'!$B:$B,C$147)+SUMIFS('BSE - Other Index Options'!$M:$M,'BSE - Other Index Options'!$C:$C,$A262,'BSE - Other Index Options'!$B:$B,C$147))</f>
        <v/>
      </c>
      <c r="D262" s="26">
        <f>IF(SUMIFS('BSE - SENSEX Index Options'!$M:$M,'BSE - SENSEX Index Options'!$C:$C,$A262,'BSE - SENSEX Index Options'!$B:$B,D$147)+SUMIFS('BSE - Other Index Options'!$M:$M,'BSE - Other Index Options'!$C:$C,$A262,'BSE - Other Index Options'!$B:$B,D$147)=0,"",SUMIFS('BSE - SENSEX Index Options'!$M:$M,'BSE - SENSEX Index Options'!$C:$C,$A262,'BSE - SENSEX Index Options'!$B:$B,D$147)+SUMIFS('BSE - Other Index Options'!$M:$M,'BSE - Other Index Options'!$C:$C,$A262,'BSE - Other Index Options'!$B:$B,D$147))</f>
        <v/>
      </c>
      <c r="E262" s="26">
        <f>IF(SUMIFS('BSE - SENSEX Index Options'!$M:$M,'BSE - SENSEX Index Options'!$C:$C,$A262,'BSE - SENSEX Index Options'!$B:$B,E$147)+SUMIFS('BSE - Other Index Options'!$M:$M,'BSE - Other Index Options'!$C:$C,$A262,'BSE - Other Index Options'!$B:$B,E$147)=0,"",SUMIFS('BSE - SENSEX Index Options'!$M:$M,'BSE - SENSEX Index Options'!$C:$C,$A262,'BSE - SENSEX Index Options'!$B:$B,E$147)+SUMIFS('BSE - Other Index Options'!$M:$M,'BSE - Other Index Options'!$C:$C,$A262,'BSE - Other Index Options'!$B:$B,E$147))</f>
        <v/>
      </c>
      <c r="F262" s="26">
        <f>IF(SUMIFS('BSE - SENSEX Index Options'!$M:$M,'BSE - SENSEX Index Options'!$C:$C,$A262,'BSE - SENSEX Index Options'!$B:$B,F$147)+SUMIFS('BSE - Other Index Options'!$M:$M,'BSE - Other Index Options'!$C:$C,$A262,'BSE - Other Index Options'!$B:$B,F$147)=0,"",SUMIFS('BSE - SENSEX Index Options'!$M:$M,'BSE - SENSEX Index Options'!$C:$C,$A262,'BSE - SENSEX Index Options'!$B:$B,F$147)+SUMIFS('BSE - Other Index Options'!$M:$M,'BSE - Other Index Options'!$C:$C,$A262,'BSE - Other Index Options'!$B:$B,F$147))</f>
        <v/>
      </c>
      <c r="G262" s="26">
        <f>IF(SUMIFS('BSE - SENSEX Index Options'!$M:$M,'BSE - SENSEX Index Options'!$C:$C,$A262,'BSE - SENSEX Index Options'!$B:$B,G$147)+SUMIFS('BSE - Other Index Options'!$M:$M,'BSE - Other Index Options'!$C:$C,$A262,'BSE - Other Index Options'!$B:$B,G$147)=0,"",SUMIFS('BSE - SENSEX Index Options'!$M:$M,'BSE - SENSEX Index Options'!$C:$C,$A262,'BSE - SENSEX Index Options'!$B:$B,G$147)+SUMIFS('BSE - Other Index Options'!$M:$M,'BSE - Other Index Options'!$C:$C,$A262,'BSE - Other Index Options'!$B:$B,G$147))</f>
        <v/>
      </c>
      <c r="H262" s="26">
        <f>IF(SUM(B262:G262)=0,"",SUM(B262:G262))</f>
        <v/>
      </c>
    </row>
    <row r="263" hidden="1" outlineLevel="1">
      <c r="A263" t="inlineStr">
        <is>
          <t>Week3-Aug-2027</t>
        </is>
      </c>
      <c r="B263" s="26">
        <f>IF(SUMIFS('BSE - SENSEX Index Options'!$M:$M,'BSE - SENSEX Index Options'!$C:$C,$A263,'BSE - SENSEX Index Options'!$B:$B,B$147)+SUMIFS('BSE - Other Index Options'!$M:$M,'BSE - Other Index Options'!$C:$C,$A263,'BSE - Other Index Options'!$B:$B,B$147)=0,"",SUMIFS('BSE - SENSEX Index Options'!$M:$M,'BSE - SENSEX Index Options'!$C:$C,$A263,'BSE - SENSEX Index Options'!$B:$B,B$147)+SUMIFS('BSE - Other Index Options'!$M:$M,'BSE - Other Index Options'!$C:$C,$A263,'BSE - Other Index Options'!$B:$B,B$147))</f>
        <v/>
      </c>
      <c r="C263" s="26">
        <f>IF(SUMIFS('BSE - SENSEX Index Options'!$M:$M,'BSE - SENSEX Index Options'!$C:$C,$A263,'BSE - SENSEX Index Options'!$B:$B,C$147)+SUMIFS('BSE - Other Index Options'!$M:$M,'BSE - Other Index Options'!$C:$C,$A263,'BSE - Other Index Options'!$B:$B,C$147)=0,"",SUMIFS('BSE - SENSEX Index Options'!$M:$M,'BSE - SENSEX Index Options'!$C:$C,$A263,'BSE - SENSEX Index Options'!$B:$B,C$147)+SUMIFS('BSE - Other Index Options'!$M:$M,'BSE - Other Index Options'!$C:$C,$A263,'BSE - Other Index Options'!$B:$B,C$147))</f>
        <v/>
      </c>
      <c r="D263" s="26">
        <f>IF(SUMIFS('BSE - SENSEX Index Options'!$M:$M,'BSE - SENSEX Index Options'!$C:$C,$A263,'BSE - SENSEX Index Options'!$B:$B,D$147)+SUMIFS('BSE - Other Index Options'!$M:$M,'BSE - Other Index Options'!$C:$C,$A263,'BSE - Other Index Options'!$B:$B,D$147)=0,"",SUMIFS('BSE - SENSEX Index Options'!$M:$M,'BSE - SENSEX Index Options'!$C:$C,$A263,'BSE - SENSEX Index Options'!$B:$B,D$147)+SUMIFS('BSE - Other Index Options'!$M:$M,'BSE - Other Index Options'!$C:$C,$A263,'BSE - Other Index Options'!$B:$B,D$147))</f>
        <v/>
      </c>
      <c r="E263" s="26">
        <f>IF(SUMIFS('BSE - SENSEX Index Options'!$M:$M,'BSE - SENSEX Index Options'!$C:$C,$A263,'BSE - SENSEX Index Options'!$B:$B,E$147)+SUMIFS('BSE - Other Index Options'!$M:$M,'BSE - Other Index Options'!$C:$C,$A263,'BSE - Other Index Options'!$B:$B,E$147)=0,"",SUMIFS('BSE - SENSEX Index Options'!$M:$M,'BSE - SENSEX Index Options'!$C:$C,$A263,'BSE - SENSEX Index Options'!$B:$B,E$147)+SUMIFS('BSE - Other Index Options'!$M:$M,'BSE - Other Index Options'!$C:$C,$A263,'BSE - Other Index Options'!$B:$B,E$147))</f>
        <v/>
      </c>
      <c r="F263" s="26">
        <f>IF(SUMIFS('BSE - SENSEX Index Options'!$M:$M,'BSE - SENSEX Index Options'!$C:$C,$A263,'BSE - SENSEX Index Options'!$B:$B,F$147)+SUMIFS('BSE - Other Index Options'!$M:$M,'BSE - Other Index Options'!$C:$C,$A263,'BSE - Other Index Options'!$B:$B,F$147)=0,"",SUMIFS('BSE - SENSEX Index Options'!$M:$M,'BSE - SENSEX Index Options'!$C:$C,$A263,'BSE - SENSEX Index Options'!$B:$B,F$147)+SUMIFS('BSE - Other Index Options'!$M:$M,'BSE - Other Index Options'!$C:$C,$A263,'BSE - Other Index Options'!$B:$B,F$147))</f>
        <v/>
      </c>
      <c r="G263" s="26">
        <f>IF(SUMIFS('BSE - SENSEX Index Options'!$M:$M,'BSE - SENSEX Index Options'!$C:$C,$A263,'BSE - SENSEX Index Options'!$B:$B,G$147)+SUMIFS('BSE - Other Index Options'!$M:$M,'BSE - Other Index Options'!$C:$C,$A263,'BSE - Other Index Options'!$B:$B,G$147)=0,"",SUMIFS('BSE - SENSEX Index Options'!$M:$M,'BSE - SENSEX Index Options'!$C:$C,$A263,'BSE - SENSEX Index Options'!$B:$B,G$147)+SUMIFS('BSE - Other Index Options'!$M:$M,'BSE - Other Index Options'!$C:$C,$A263,'BSE - Other Index Options'!$B:$B,G$147))</f>
        <v/>
      </c>
      <c r="H263" s="26">
        <f>IF(SUM(B263:G263)=0,"",SUM(B263:G263))</f>
        <v/>
      </c>
    </row>
    <row r="264" hidden="1" outlineLevel="1">
      <c r="A264" t="inlineStr">
        <is>
          <t>Week4-Aug-2027</t>
        </is>
      </c>
      <c r="B264" s="26">
        <f>IF(SUMIFS('BSE - SENSEX Index Options'!$M:$M,'BSE - SENSEX Index Options'!$C:$C,$A264,'BSE - SENSEX Index Options'!$B:$B,B$147)+SUMIFS('BSE - Other Index Options'!$M:$M,'BSE - Other Index Options'!$C:$C,$A264,'BSE - Other Index Options'!$B:$B,B$147)=0,"",SUMIFS('BSE - SENSEX Index Options'!$M:$M,'BSE - SENSEX Index Options'!$C:$C,$A264,'BSE - SENSEX Index Options'!$B:$B,B$147)+SUMIFS('BSE - Other Index Options'!$M:$M,'BSE - Other Index Options'!$C:$C,$A264,'BSE - Other Index Options'!$B:$B,B$147))</f>
        <v/>
      </c>
      <c r="C264" s="26">
        <f>IF(SUMIFS('BSE - SENSEX Index Options'!$M:$M,'BSE - SENSEX Index Options'!$C:$C,$A264,'BSE - SENSEX Index Options'!$B:$B,C$147)+SUMIFS('BSE - Other Index Options'!$M:$M,'BSE - Other Index Options'!$C:$C,$A264,'BSE - Other Index Options'!$B:$B,C$147)=0,"",SUMIFS('BSE - SENSEX Index Options'!$M:$M,'BSE - SENSEX Index Options'!$C:$C,$A264,'BSE - SENSEX Index Options'!$B:$B,C$147)+SUMIFS('BSE - Other Index Options'!$M:$M,'BSE - Other Index Options'!$C:$C,$A264,'BSE - Other Index Options'!$B:$B,C$147))</f>
        <v/>
      </c>
      <c r="D264" s="26">
        <f>IF(SUMIFS('BSE - SENSEX Index Options'!$M:$M,'BSE - SENSEX Index Options'!$C:$C,$A264,'BSE - SENSEX Index Options'!$B:$B,D$147)+SUMIFS('BSE - Other Index Options'!$M:$M,'BSE - Other Index Options'!$C:$C,$A264,'BSE - Other Index Options'!$B:$B,D$147)=0,"",SUMIFS('BSE - SENSEX Index Options'!$M:$M,'BSE - SENSEX Index Options'!$C:$C,$A264,'BSE - SENSEX Index Options'!$B:$B,D$147)+SUMIFS('BSE - Other Index Options'!$M:$M,'BSE - Other Index Options'!$C:$C,$A264,'BSE - Other Index Options'!$B:$B,D$147))</f>
        <v/>
      </c>
      <c r="E264" s="26">
        <f>IF(SUMIFS('BSE - SENSEX Index Options'!$M:$M,'BSE - SENSEX Index Options'!$C:$C,$A264,'BSE - SENSEX Index Options'!$B:$B,E$147)+SUMIFS('BSE - Other Index Options'!$M:$M,'BSE - Other Index Options'!$C:$C,$A264,'BSE - Other Index Options'!$B:$B,E$147)=0,"",SUMIFS('BSE - SENSEX Index Options'!$M:$M,'BSE - SENSEX Index Options'!$C:$C,$A264,'BSE - SENSEX Index Options'!$B:$B,E$147)+SUMIFS('BSE - Other Index Options'!$M:$M,'BSE - Other Index Options'!$C:$C,$A264,'BSE - Other Index Options'!$B:$B,E$147))</f>
        <v/>
      </c>
      <c r="F264" s="26">
        <f>IF(SUMIFS('BSE - SENSEX Index Options'!$M:$M,'BSE - SENSEX Index Options'!$C:$C,$A264,'BSE - SENSEX Index Options'!$B:$B,F$147)+SUMIFS('BSE - Other Index Options'!$M:$M,'BSE - Other Index Options'!$C:$C,$A264,'BSE - Other Index Options'!$B:$B,F$147)=0,"",SUMIFS('BSE - SENSEX Index Options'!$M:$M,'BSE - SENSEX Index Options'!$C:$C,$A264,'BSE - SENSEX Index Options'!$B:$B,F$147)+SUMIFS('BSE - Other Index Options'!$M:$M,'BSE - Other Index Options'!$C:$C,$A264,'BSE - Other Index Options'!$B:$B,F$147))</f>
        <v/>
      </c>
      <c r="G264" s="26">
        <f>IF(SUMIFS('BSE - SENSEX Index Options'!$M:$M,'BSE - SENSEX Index Options'!$C:$C,$A264,'BSE - SENSEX Index Options'!$B:$B,G$147)+SUMIFS('BSE - Other Index Options'!$M:$M,'BSE - Other Index Options'!$C:$C,$A264,'BSE - Other Index Options'!$B:$B,G$147)=0,"",SUMIFS('BSE - SENSEX Index Options'!$M:$M,'BSE - SENSEX Index Options'!$C:$C,$A264,'BSE - SENSEX Index Options'!$B:$B,G$147)+SUMIFS('BSE - Other Index Options'!$M:$M,'BSE - Other Index Options'!$C:$C,$A264,'BSE - Other Index Options'!$B:$B,G$147))</f>
        <v/>
      </c>
      <c r="H264" s="26">
        <f>IF(SUM(B264:G264)=0,"",SUM(B264:G264))</f>
        <v/>
      </c>
    </row>
    <row r="265" hidden="1" outlineLevel="1">
      <c r="A265" t="inlineStr">
        <is>
          <t>Week5-Aug-2027</t>
        </is>
      </c>
      <c r="B265" s="26">
        <f>IF(SUMIFS('BSE - SENSEX Index Options'!$M:$M,'BSE - SENSEX Index Options'!$C:$C,$A265,'BSE - SENSEX Index Options'!$B:$B,B$147)+SUMIFS('BSE - Other Index Options'!$M:$M,'BSE - Other Index Options'!$C:$C,$A265,'BSE - Other Index Options'!$B:$B,B$147)=0,"",SUMIFS('BSE - SENSEX Index Options'!$M:$M,'BSE - SENSEX Index Options'!$C:$C,$A265,'BSE - SENSEX Index Options'!$B:$B,B$147)+SUMIFS('BSE - Other Index Options'!$M:$M,'BSE - Other Index Options'!$C:$C,$A265,'BSE - Other Index Options'!$B:$B,B$147))</f>
        <v/>
      </c>
      <c r="C265" s="26">
        <f>IF(SUMIFS('BSE - SENSEX Index Options'!$M:$M,'BSE - SENSEX Index Options'!$C:$C,$A265,'BSE - SENSEX Index Options'!$B:$B,C$147)+SUMIFS('BSE - Other Index Options'!$M:$M,'BSE - Other Index Options'!$C:$C,$A265,'BSE - Other Index Options'!$B:$B,C$147)=0,"",SUMIFS('BSE - SENSEX Index Options'!$M:$M,'BSE - SENSEX Index Options'!$C:$C,$A265,'BSE - SENSEX Index Options'!$B:$B,C$147)+SUMIFS('BSE - Other Index Options'!$M:$M,'BSE - Other Index Options'!$C:$C,$A265,'BSE - Other Index Options'!$B:$B,C$147))</f>
        <v/>
      </c>
      <c r="D265" s="26">
        <f>IF(SUMIFS('BSE - SENSEX Index Options'!$M:$M,'BSE - SENSEX Index Options'!$C:$C,$A265,'BSE - SENSEX Index Options'!$B:$B,D$147)+SUMIFS('BSE - Other Index Options'!$M:$M,'BSE - Other Index Options'!$C:$C,$A265,'BSE - Other Index Options'!$B:$B,D$147)=0,"",SUMIFS('BSE - SENSEX Index Options'!$M:$M,'BSE - SENSEX Index Options'!$C:$C,$A265,'BSE - SENSEX Index Options'!$B:$B,D$147)+SUMIFS('BSE - Other Index Options'!$M:$M,'BSE - Other Index Options'!$C:$C,$A265,'BSE - Other Index Options'!$B:$B,D$147))</f>
        <v/>
      </c>
      <c r="E265" s="26">
        <f>IF(SUMIFS('BSE - SENSEX Index Options'!$M:$M,'BSE - SENSEX Index Options'!$C:$C,$A265,'BSE - SENSEX Index Options'!$B:$B,E$147)+SUMIFS('BSE - Other Index Options'!$M:$M,'BSE - Other Index Options'!$C:$C,$A265,'BSE - Other Index Options'!$B:$B,E$147)=0,"",SUMIFS('BSE - SENSEX Index Options'!$M:$M,'BSE - SENSEX Index Options'!$C:$C,$A265,'BSE - SENSEX Index Options'!$B:$B,E$147)+SUMIFS('BSE - Other Index Options'!$M:$M,'BSE - Other Index Options'!$C:$C,$A265,'BSE - Other Index Options'!$B:$B,E$147))</f>
        <v/>
      </c>
      <c r="F265" s="26">
        <f>IF(SUMIFS('BSE - SENSEX Index Options'!$M:$M,'BSE - SENSEX Index Options'!$C:$C,$A265,'BSE - SENSEX Index Options'!$B:$B,F$147)+SUMIFS('BSE - Other Index Options'!$M:$M,'BSE - Other Index Options'!$C:$C,$A265,'BSE - Other Index Options'!$B:$B,F$147)=0,"",SUMIFS('BSE - SENSEX Index Options'!$M:$M,'BSE - SENSEX Index Options'!$C:$C,$A265,'BSE - SENSEX Index Options'!$B:$B,F$147)+SUMIFS('BSE - Other Index Options'!$M:$M,'BSE - Other Index Options'!$C:$C,$A265,'BSE - Other Index Options'!$B:$B,F$147))</f>
        <v/>
      </c>
      <c r="G265" s="26">
        <f>IF(SUMIFS('BSE - SENSEX Index Options'!$M:$M,'BSE - SENSEX Index Options'!$C:$C,$A265,'BSE - SENSEX Index Options'!$B:$B,G$147)+SUMIFS('BSE - Other Index Options'!$M:$M,'BSE - Other Index Options'!$C:$C,$A265,'BSE - Other Index Options'!$B:$B,G$147)=0,"",SUMIFS('BSE - SENSEX Index Options'!$M:$M,'BSE - SENSEX Index Options'!$C:$C,$A265,'BSE - SENSEX Index Options'!$B:$B,G$147)+SUMIFS('BSE - Other Index Options'!$M:$M,'BSE - Other Index Options'!$C:$C,$A265,'BSE - Other Index Options'!$B:$B,G$147))</f>
        <v/>
      </c>
      <c r="H265" s="26">
        <f>IF(SUM(B265:G265)=0,"",SUM(B265:G265))</f>
        <v/>
      </c>
    </row>
    <row r="266" hidden="1" outlineLevel="1">
      <c r="A266" t="inlineStr">
        <is>
          <t>Week1-Sep-2027</t>
        </is>
      </c>
      <c r="B266" s="26">
        <f>IF(SUMIFS('BSE - SENSEX Index Options'!$M:$M,'BSE - SENSEX Index Options'!$C:$C,$A266,'BSE - SENSEX Index Options'!$B:$B,B$147)+SUMIFS('BSE - Other Index Options'!$M:$M,'BSE - Other Index Options'!$C:$C,$A266,'BSE - Other Index Options'!$B:$B,B$147)=0,"",SUMIFS('BSE - SENSEX Index Options'!$M:$M,'BSE - SENSEX Index Options'!$C:$C,$A266,'BSE - SENSEX Index Options'!$B:$B,B$147)+SUMIFS('BSE - Other Index Options'!$M:$M,'BSE - Other Index Options'!$C:$C,$A266,'BSE - Other Index Options'!$B:$B,B$147))</f>
        <v/>
      </c>
      <c r="C266" s="26">
        <f>IF(SUMIFS('BSE - SENSEX Index Options'!$M:$M,'BSE - SENSEX Index Options'!$C:$C,$A266,'BSE - SENSEX Index Options'!$B:$B,C$147)+SUMIFS('BSE - Other Index Options'!$M:$M,'BSE - Other Index Options'!$C:$C,$A266,'BSE - Other Index Options'!$B:$B,C$147)=0,"",SUMIFS('BSE - SENSEX Index Options'!$M:$M,'BSE - SENSEX Index Options'!$C:$C,$A266,'BSE - SENSEX Index Options'!$B:$B,C$147)+SUMIFS('BSE - Other Index Options'!$M:$M,'BSE - Other Index Options'!$C:$C,$A266,'BSE - Other Index Options'!$B:$B,C$147))</f>
        <v/>
      </c>
      <c r="D266" s="26">
        <f>IF(SUMIFS('BSE - SENSEX Index Options'!$M:$M,'BSE - SENSEX Index Options'!$C:$C,$A266,'BSE - SENSEX Index Options'!$B:$B,D$147)+SUMIFS('BSE - Other Index Options'!$M:$M,'BSE - Other Index Options'!$C:$C,$A266,'BSE - Other Index Options'!$B:$B,D$147)=0,"",SUMIFS('BSE - SENSEX Index Options'!$M:$M,'BSE - SENSEX Index Options'!$C:$C,$A266,'BSE - SENSEX Index Options'!$B:$B,D$147)+SUMIFS('BSE - Other Index Options'!$M:$M,'BSE - Other Index Options'!$C:$C,$A266,'BSE - Other Index Options'!$B:$B,D$147))</f>
        <v/>
      </c>
      <c r="E266" s="26">
        <f>IF(SUMIFS('BSE - SENSEX Index Options'!$M:$M,'BSE - SENSEX Index Options'!$C:$C,$A266,'BSE - SENSEX Index Options'!$B:$B,E$147)+SUMIFS('BSE - Other Index Options'!$M:$M,'BSE - Other Index Options'!$C:$C,$A266,'BSE - Other Index Options'!$B:$B,E$147)=0,"",SUMIFS('BSE - SENSEX Index Options'!$M:$M,'BSE - SENSEX Index Options'!$C:$C,$A266,'BSE - SENSEX Index Options'!$B:$B,E$147)+SUMIFS('BSE - Other Index Options'!$M:$M,'BSE - Other Index Options'!$C:$C,$A266,'BSE - Other Index Options'!$B:$B,E$147))</f>
        <v/>
      </c>
      <c r="F266" s="26">
        <f>IF(SUMIFS('BSE - SENSEX Index Options'!$M:$M,'BSE - SENSEX Index Options'!$C:$C,$A266,'BSE - SENSEX Index Options'!$B:$B,F$147)+SUMIFS('BSE - Other Index Options'!$M:$M,'BSE - Other Index Options'!$C:$C,$A266,'BSE - Other Index Options'!$B:$B,F$147)=0,"",SUMIFS('BSE - SENSEX Index Options'!$M:$M,'BSE - SENSEX Index Options'!$C:$C,$A266,'BSE - SENSEX Index Options'!$B:$B,F$147)+SUMIFS('BSE - Other Index Options'!$M:$M,'BSE - Other Index Options'!$C:$C,$A266,'BSE - Other Index Options'!$B:$B,F$147))</f>
        <v/>
      </c>
      <c r="G266" s="26">
        <f>IF(SUMIFS('BSE - SENSEX Index Options'!$M:$M,'BSE - SENSEX Index Options'!$C:$C,$A266,'BSE - SENSEX Index Options'!$B:$B,G$147)+SUMIFS('BSE - Other Index Options'!$M:$M,'BSE - Other Index Options'!$C:$C,$A266,'BSE - Other Index Options'!$B:$B,G$147)=0,"",SUMIFS('BSE - SENSEX Index Options'!$M:$M,'BSE - SENSEX Index Options'!$C:$C,$A266,'BSE - SENSEX Index Options'!$B:$B,G$147)+SUMIFS('BSE - Other Index Options'!$M:$M,'BSE - Other Index Options'!$C:$C,$A266,'BSE - Other Index Options'!$B:$B,G$147))</f>
        <v/>
      </c>
      <c r="H266" s="26">
        <f>IF(SUM(B266:G266)=0,"",SUM(B266:G266))</f>
        <v/>
      </c>
    </row>
    <row r="267" hidden="1" outlineLevel="1">
      <c r="A267" t="inlineStr">
        <is>
          <t>Week2-Sep-2027</t>
        </is>
      </c>
      <c r="B267" s="26">
        <f>IF(SUMIFS('BSE - SENSEX Index Options'!$M:$M,'BSE - SENSEX Index Options'!$C:$C,$A267,'BSE - SENSEX Index Options'!$B:$B,B$147)+SUMIFS('BSE - Other Index Options'!$M:$M,'BSE - Other Index Options'!$C:$C,$A267,'BSE - Other Index Options'!$B:$B,B$147)=0,"",SUMIFS('BSE - SENSEX Index Options'!$M:$M,'BSE - SENSEX Index Options'!$C:$C,$A267,'BSE - SENSEX Index Options'!$B:$B,B$147)+SUMIFS('BSE - Other Index Options'!$M:$M,'BSE - Other Index Options'!$C:$C,$A267,'BSE - Other Index Options'!$B:$B,B$147))</f>
        <v/>
      </c>
      <c r="C267" s="26">
        <f>IF(SUMIFS('BSE - SENSEX Index Options'!$M:$M,'BSE - SENSEX Index Options'!$C:$C,$A267,'BSE - SENSEX Index Options'!$B:$B,C$147)+SUMIFS('BSE - Other Index Options'!$M:$M,'BSE - Other Index Options'!$C:$C,$A267,'BSE - Other Index Options'!$B:$B,C$147)=0,"",SUMIFS('BSE - SENSEX Index Options'!$M:$M,'BSE - SENSEX Index Options'!$C:$C,$A267,'BSE - SENSEX Index Options'!$B:$B,C$147)+SUMIFS('BSE - Other Index Options'!$M:$M,'BSE - Other Index Options'!$C:$C,$A267,'BSE - Other Index Options'!$B:$B,C$147))</f>
        <v/>
      </c>
      <c r="D267" s="26">
        <f>IF(SUMIFS('BSE - SENSEX Index Options'!$M:$M,'BSE - SENSEX Index Options'!$C:$C,$A267,'BSE - SENSEX Index Options'!$B:$B,D$147)+SUMIFS('BSE - Other Index Options'!$M:$M,'BSE - Other Index Options'!$C:$C,$A267,'BSE - Other Index Options'!$B:$B,D$147)=0,"",SUMIFS('BSE - SENSEX Index Options'!$M:$M,'BSE - SENSEX Index Options'!$C:$C,$A267,'BSE - SENSEX Index Options'!$B:$B,D$147)+SUMIFS('BSE - Other Index Options'!$M:$M,'BSE - Other Index Options'!$C:$C,$A267,'BSE - Other Index Options'!$B:$B,D$147))</f>
        <v/>
      </c>
      <c r="E267" s="26">
        <f>IF(SUMIFS('BSE - SENSEX Index Options'!$M:$M,'BSE - SENSEX Index Options'!$C:$C,$A267,'BSE - SENSEX Index Options'!$B:$B,E$147)+SUMIFS('BSE - Other Index Options'!$M:$M,'BSE - Other Index Options'!$C:$C,$A267,'BSE - Other Index Options'!$B:$B,E$147)=0,"",SUMIFS('BSE - SENSEX Index Options'!$M:$M,'BSE - SENSEX Index Options'!$C:$C,$A267,'BSE - SENSEX Index Options'!$B:$B,E$147)+SUMIFS('BSE - Other Index Options'!$M:$M,'BSE - Other Index Options'!$C:$C,$A267,'BSE - Other Index Options'!$B:$B,E$147))</f>
        <v/>
      </c>
      <c r="F267" s="26">
        <f>IF(SUMIFS('BSE - SENSEX Index Options'!$M:$M,'BSE - SENSEX Index Options'!$C:$C,$A267,'BSE - SENSEX Index Options'!$B:$B,F$147)+SUMIFS('BSE - Other Index Options'!$M:$M,'BSE - Other Index Options'!$C:$C,$A267,'BSE - Other Index Options'!$B:$B,F$147)=0,"",SUMIFS('BSE - SENSEX Index Options'!$M:$M,'BSE - SENSEX Index Options'!$C:$C,$A267,'BSE - SENSEX Index Options'!$B:$B,F$147)+SUMIFS('BSE - Other Index Options'!$M:$M,'BSE - Other Index Options'!$C:$C,$A267,'BSE - Other Index Options'!$B:$B,F$147))</f>
        <v/>
      </c>
      <c r="G267" s="26">
        <f>IF(SUMIFS('BSE - SENSEX Index Options'!$M:$M,'BSE - SENSEX Index Options'!$C:$C,$A267,'BSE - SENSEX Index Options'!$B:$B,G$147)+SUMIFS('BSE - Other Index Options'!$M:$M,'BSE - Other Index Options'!$C:$C,$A267,'BSE - Other Index Options'!$B:$B,G$147)=0,"",SUMIFS('BSE - SENSEX Index Options'!$M:$M,'BSE - SENSEX Index Options'!$C:$C,$A267,'BSE - SENSEX Index Options'!$B:$B,G$147)+SUMIFS('BSE - Other Index Options'!$M:$M,'BSE - Other Index Options'!$C:$C,$A267,'BSE - Other Index Options'!$B:$B,G$147))</f>
        <v/>
      </c>
      <c r="H267" s="26">
        <f>IF(SUM(B267:G267)=0,"",SUM(B267:G267))</f>
        <v/>
      </c>
    </row>
    <row r="268" hidden="1" outlineLevel="1">
      <c r="A268" t="inlineStr">
        <is>
          <t>Week3-Sep-2027</t>
        </is>
      </c>
      <c r="B268" s="26">
        <f>IF(SUMIFS('BSE - SENSEX Index Options'!$M:$M,'BSE - SENSEX Index Options'!$C:$C,$A268,'BSE - SENSEX Index Options'!$B:$B,B$147)+SUMIFS('BSE - Other Index Options'!$M:$M,'BSE - Other Index Options'!$C:$C,$A268,'BSE - Other Index Options'!$B:$B,B$147)=0,"",SUMIFS('BSE - SENSEX Index Options'!$M:$M,'BSE - SENSEX Index Options'!$C:$C,$A268,'BSE - SENSEX Index Options'!$B:$B,B$147)+SUMIFS('BSE - Other Index Options'!$M:$M,'BSE - Other Index Options'!$C:$C,$A268,'BSE - Other Index Options'!$B:$B,B$147))</f>
        <v/>
      </c>
      <c r="C268" s="26">
        <f>IF(SUMIFS('BSE - SENSEX Index Options'!$M:$M,'BSE - SENSEX Index Options'!$C:$C,$A268,'BSE - SENSEX Index Options'!$B:$B,C$147)+SUMIFS('BSE - Other Index Options'!$M:$M,'BSE - Other Index Options'!$C:$C,$A268,'BSE - Other Index Options'!$B:$B,C$147)=0,"",SUMIFS('BSE - SENSEX Index Options'!$M:$M,'BSE - SENSEX Index Options'!$C:$C,$A268,'BSE - SENSEX Index Options'!$B:$B,C$147)+SUMIFS('BSE - Other Index Options'!$M:$M,'BSE - Other Index Options'!$C:$C,$A268,'BSE - Other Index Options'!$B:$B,C$147))</f>
        <v/>
      </c>
      <c r="D268" s="26">
        <f>IF(SUMIFS('BSE - SENSEX Index Options'!$M:$M,'BSE - SENSEX Index Options'!$C:$C,$A268,'BSE - SENSEX Index Options'!$B:$B,D$147)+SUMIFS('BSE - Other Index Options'!$M:$M,'BSE - Other Index Options'!$C:$C,$A268,'BSE - Other Index Options'!$B:$B,D$147)=0,"",SUMIFS('BSE - SENSEX Index Options'!$M:$M,'BSE - SENSEX Index Options'!$C:$C,$A268,'BSE - SENSEX Index Options'!$B:$B,D$147)+SUMIFS('BSE - Other Index Options'!$M:$M,'BSE - Other Index Options'!$C:$C,$A268,'BSE - Other Index Options'!$B:$B,D$147))</f>
        <v/>
      </c>
      <c r="E268" s="26">
        <f>IF(SUMIFS('BSE - SENSEX Index Options'!$M:$M,'BSE - SENSEX Index Options'!$C:$C,$A268,'BSE - SENSEX Index Options'!$B:$B,E$147)+SUMIFS('BSE - Other Index Options'!$M:$M,'BSE - Other Index Options'!$C:$C,$A268,'BSE - Other Index Options'!$B:$B,E$147)=0,"",SUMIFS('BSE - SENSEX Index Options'!$M:$M,'BSE - SENSEX Index Options'!$C:$C,$A268,'BSE - SENSEX Index Options'!$B:$B,E$147)+SUMIFS('BSE - Other Index Options'!$M:$M,'BSE - Other Index Options'!$C:$C,$A268,'BSE - Other Index Options'!$B:$B,E$147))</f>
        <v/>
      </c>
      <c r="F268" s="26">
        <f>IF(SUMIFS('BSE - SENSEX Index Options'!$M:$M,'BSE - SENSEX Index Options'!$C:$C,$A268,'BSE - SENSEX Index Options'!$B:$B,F$147)+SUMIFS('BSE - Other Index Options'!$M:$M,'BSE - Other Index Options'!$C:$C,$A268,'BSE - Other Index Options'!$B:$B,F$147)=0,"",SUMIFS('BSE - SENSEX Index Options'!$M:$M,'BSE - SENSEX Index Options'!$C:$C,$A268,'BSE - SENSEX Index Options'!$B:$B,F$147)+SUMIFS('BSE - Other Index Options'!$M:$M,'BSE - Other Index Options'!$C:$C,$A268,'BSE - Other Index Options'!$B:$B,F$147))</f>
        <v/>
      </c>
      <c r="G268" s="26">
        <f>IF(SUMIFS('BSE - SENSEX Index Options'!$M:$M,'BSE - SENSEX Index Options'!$C:$C,$A268,'BSE - SENSEX Index Options'!$B:$B,G$147)+SUMIFS('BSE - Other Index Options'!$M:$M,'BSE - Other Index Options'!$C:$C,$A268,'BSE - Other Index Options'!$B:$B,G$147)=0,"",SUMIFS('BSE - SENSEX Index Options'!$M:$M,'BSE - SENSEX Index Options'!$C:$C,$A268,'BSE - SENSEX Index Options'!$B:$B,G$147)+SUMIFS('BSE - Other Index Options'!$M:$M,'BSE - Other Index Options'!$C:$C,$A268,'BSE - Other Index Options'!$B:$B,G$147))</f>
        <v/>
      </c>
      <c r="H268" s="26">
        <f>IF(SUM(B268:G268)=0,"",SUM(B268:G268))</f>
        <v/>
      </c>
    </row>
    <row r="269" hidden="1" outlineLevel="1">
      <c r="A269" t="inlineStr">
        <is>
          <t>Week4-Sep-2027</t>
        </is>
      </c>
      <c r="B269" s="26">
        <f>IF(SUMIFS('BSE - SENSEX Index Options'!$M:$M,'BSE - SENSEX Index Options'!$C:$C,$A269,'BSE - SENSEX Index Options'!$B:$B,B$147)+SUMIFS('BSE - Other Index Options'!$M:$M,'BSE - Other Index Options'!$C:$C,$A269,'BSE - Other Index Options'!$B:$B,B$147)=0,"",SUMIFS('BSE - SENSEX Index Options'!$M:$M,'BSE - SENSEX Index Options'!$C:$C,$A269,'BSE - SENSEX Index Options'!$B:$B,B$147)+SUMIFS('BSE - Other Index Options'!$M:$M,'BSE - Other Index Options'!$C:$C,$A269,'BSE - Other Index Options'!$B:$B,B$147))</f>
        <v/>
      </c>
      <c r="C269" s="26">
        <f>IF(SUMIFS('BSE - SENSEX Index Options'!$M:$M,'BSE - SENSEX Index Options'!$C:$C,$A269,'BSE - SENSEX Index Options'!$B:$B,C$147)+SUMIFS('BSE - Other Index Options'!$M:$M,'BSE - Other Index Options'!$C:$C,$A269,'BSE - Other Index Options'!$B:$B,C$147)=0,"",SUMIFS('BSE - SENSEX Index Options'!$M:$M,'BSE - SENSEX Index Options'!$C:$C,$A269,'BSE - SENSEX Index Options'!$B:$B,C$147)+SUMIFS('BSE - Other Index Options'!$M:$M,'BSE - Other Index Options'!$C:$C,$A269,'BSE - Other Index Options'!$B:$B,C$147))</f>
        <v/>
      </c>
      <c r="D269" s="26">
        <f>IF(SUMIFS('BSE - SENSEX Index Options'!$M:$M,'BSE - SENSEX Index Options'!$C:$C,$A269,'BSE - SENSEX Index Options'!$B:$B,D$147)+SUMIFS('BSE - Other Index Options'!$M:$M,'BSE - Other Index Options'!$C:$C,$A269,'BSE - Other Index Options'!$B:$B,D$147)=0,"",SUMIFS('BSE - SENSEX Index Options'!$M:$M,'BSE - SENSEX Index Options'!$C:$C,$A269,'BSE - SENSEX Index Options'!$B:$B,D$147)+SUMIFS('BSE - Other Index Options'!$M:$M,'BSE - Other Index Options'!$C:$C,$A269,'BSE - Other Index Options'!$B:$B,D$147))</f>
        <v/>
      </c>
      <c r="E269" s="26">
        <f>IF(SUMIFS('BSE - SENSEX Index Options'!$M:$M,'BSE - SENSEX Index Options'!$C:$C,$A269,'BSE - SENSEX Index Options'!$B:$B,E$147)+SUMIFS('BSE - Other Index Options'!$M:$M,'BSE - Other Index Options'!$C:$C,$A269,'BSE - Other Index Options'!$B:$B,E$147)=0,"",SUMIFS('BSE - SENSEX Index Options'!$M:$M,'BSE - SENSEX Index Options'!$C:$C,$A269,'BSE - SENSEX Index Options'!$B:$B,E$147)+SUMIFS('BSE - Other Index Options'!$M:$M,'BSE - Other Index Options'!$C:$C,$A269,'BSE - Other Index Options'!$B:$B,E$147))</f>
        <v/>
      </c>
      <c r="F269" s="26">
        <f>IF(SUMIFS('BSE - SENSEX Index Options'!$M:$M,'BSE - SENSEX Index Options'!$C:$C,$A269,'BSE - SENSEX Index Options'!$B:$B,F$147)+SUMIFS('BSE - Other Index Options'!$M:$M,'BSE - Other Index Options'!$C:$C,$A269,'BSE - Other Index Options'!$B:$B,F$147)=0,"",SUMIFS('BSE - SENSEX Index Options'!$M:$M,'BSE - SENSEX Index Options'!$C:$C,$A269,'BSE - SENSEX Index Options'!$B:$B,F$147)+SUMIFS('BSE - Other Index Options'!$M:$M,'BSE - Other Index Options'!$C:$C,$A269,'BSE - Other Index Options'!$B:$B,F$147))</f>
        <v/>
      </c>
      <c r="G269" s="26">
        <f>IF(SUMIFS('BSE - SENSEX Index Options'!$M:$M,'BSE - SENSEX Index Options'!$C:$C,$A269,'BSE - SENSEX Index Options'!$B:$B,G$147)+SUMIFS('BSE - Other Index Options'!$M:$M,'BSE - Other Index Options'!$C:$C,$A269,'BSE - Other Index Options'!$B:$B,G$147)=0,"",SUMIFS('BSE - SENSEX Index Options'!$M:$M,'BSE - SENSEX Index Options'!$C:$C,$A269,'BSE - SENSEX Index Options'!$B:$B,G$147)+SUMIFS('BSE - Other Index Options'!$M:$M,'BSE - Other Index Options'!$C:$C,$A269,'BSE - Other Index Options'!$B:$B,G$147))</f>
        <v/>
      </c>
      <c r="H269" s="26">
        <f>IF(SUM(B269:G269)=0,"",SUM(B269:G269))</f>
        <v/>
      </c>
    </row>
    <row r="270" hidden="1" outlineLevel="1">
      <c r="A270" t="inlineStr">
        <is>
          <t>Week5-Sep-2027</t>
        </is>
      </c>
      <c r="B270" s="26">
        <f>IF(SUMIFS('BSE - SENSEX Index Options'!$M:$M,'BSE - SENSEX Index Options'!$C:$C,$A270,'BSE - SENSEX Index Options'!$B:$B,B$147)+SUMIFS('BSE - Other Index Options'!$M:$M,'BSE - Other Index Options'!$C:$C,$A270,'BSE - Other Index Options'!$B:$B,B$147)=0,"",SUMIFS('BSE - SENSEX Index Options'!$M:$M,'BSE - SENSEX Index Options'!$C:$C,$A270,'BSE - SENSEX Index Options'!$B:$B,B$147)+SUMIFS('BSE - Other Index Options'!$M:$M,'BSE - Other Index Options'!$C:$C,$A270,'BSE - Other Index Options'!$B:$B,B$147))</f>
        <v/>
      </c>
      <c r="C270" s="26">
        <f>IF(SUMIFS('BSE - SENSEX Index Options'!$M:$M,'BSE - SENSEX Index Options'!$C:$C,$A270,'BSE - SENSEX Index Options'!$B:$B,C$147)+SUMIFS('BSE - Other Index Options'!$M:$M,'BSE - Other Index Options'!$C:$C,$A270,'BSE - Other Index Options'!$B:$B,C$147)=0,"",SUMIFS('BSE - SENSEX Index Options'!$M:$M,'BSE - SENSEX Index Options'!$C:$C,$A270,'BSE - SENSEX Index Options'!$B:$B,C$147)+SUMIFS('BSE - Other Index Options'!$M:$M,'BSE - Other Index Options'!$C:$C,$A270,'BSE - Other Index Options'!$B:$B,C$147))</f>
        <v/>
      </c>
      <c r="D270" s="26">
        <f>IF(SUMIFS('BSE - SENSEX Index Options'!$M:$M,'BSE - SENSEX Index Options'!$C:$C,$A270,'BSE - SENSEX Index Options'!$B:$B,D$147)+SUMIFS('BSE - Other Index Options'!$M:$M,'BSE - Other Index Options'!$C:$C,$A270,'BSE - Other Index Options'!$B:$B,D$147)=0,"",SUMIFS('BSE - SENSEX Index Options'!$M:$M,'BSE - SENSEX Index Options'!$C:$C,$A270,'BSE - SENSEX Index Options'!$B:$B,D$147)+SUMIFS('BSE - Other Index Options'!$M:$M,'BSE - Other Index Options'!$C:$C,$A270,'BSE - Other Index Options'!$B:$B,D$147))</f>
        <v/>
      </c>
      <c r="E270" s="26">
        <f>IF(SUMIFS('BSE - SENSEX Index Options'!$M:$M,'BSE - SENSEX Index Options'!$C:$C,$A270,'BSE - SENSEX Index Options'!$B:$B,E$147)+SUMIFS('BSE - Other Index Options'!$M:$M,'BSE - Other Index Options'!$C:$C,$A270,'BSE - Other Index Options'!$B:$B,E$147)=0,"",SUMIFS('BSE - SENSEX Index Options'!$M:$M,'BSE - SENSEX Index Options'!$C:$C,$A270,'BSE - SENSEX Index Options'!$B:$B,E$147)+SUMIFS('BSE - Other Index Options'!$M:$M,'BSE - Other Index Options'!$C:$C,$A270,'BSE - Other Index Options'!$B:$B,E$147))</f>
        <v/>
      </c>
      <c r="F270" s="26">
        <f>IF(SUMIFS('BSE - SENSEX Index Options'!$M:$M,'BSE - SENSEX Index Options'!$C:$C,$A270,'BSE - SENSEX Index Options'!$B:$B,F$147)+SUMIFS('BSE - Other Index Options'!$M:$M,'BSE - Other Index Options'!$C:$C,$A270,'BSE - Other Index Options'!$B:$B,F$147)=0,"",SUMIFS('BSE - SENSEX Index Options'!$M:$M,'BSE - SENSEX Index Options'!$C:$C,$A270,'BSE - SENSEX Index Options'!$B:$B,F$147)+SUMIFS('BSE - Other Index Options'!$M:$M,'BSE - Other Index Options'!$C:$C,$A270,'BSE - Other Index Options'!$B:$B,F$147))</f>
        <v/>
      </c>
      <c r="G270" s="26">
        <f>IF(SUMIFS('BSE - SENSEX Index Options'!$M:$M,'BSE - SENSEX Index Options'!$C:$C,$A270,'BSE - SENSEX Index Options'!$B:$B,G$147)+SUMIFS('BSE - Other Index Options'!$M:$M,'BSE - Other Index Options'!$C:$C,$A270,'BSE - Other Index Options'!$B:$B,G$147)=0,"",SUMIFS('BSE - SENSEX Index Options'!$M:$M,'BSE - SENSEX Index Options'!$C:$C,$A270,'BSE - SENSEX Index Options'!$B:$B,G$147)+SUMIFS('BSE - Other Index Options'!$M:$M,'BSE - Other Index Options'!$C:$C,$A270,'BSE - Other Index Options'!$B:$B,G$147))</f>
        <v/>
      </c>
      <c r="H270" s="26">
        <f>IF(SUM(B270:G270)=0,"",SUM(B270:G270))</f>
        <v/>
      </c>
    </row>
    <row r="271" hidden="1" outlineLevel="1">
      <c r="A271" t="inlineStr">
        <is>
          <t>Week1-Oct-2027</t>
        </is>
      </c>
      <c r="B271" s="26">
        <f>IF(SUMIFS('BSE - SENSEX Index Options'!$M:$M,'BSE - SENSEX Index Options'!$C:$C,$A271,'BSE - SENSEX Index Options'!$B:$B,B$147)+SUMIFS('BSE - Other Index Options'!$M:$M,'BSE - Other Index Options'!$C:$C,$A271,'BSE - Other Index Options'!$B:$B,B$147)=0,"",SUMIFS('BSE - SENSEX Index Options'!$M:$M,'BSE - SENSEX Index Options'!$C:$C,$A271,'BSE - SENSEX Index Options'!$B:$B,B$147)+SUMIFS('BSE - Other Index Options'!$M:$M,'BSE - Other Index Options'!$C:$C,$A271,'BSE - Other Index Options'!$B:$B,B$147))</f>
        <v/>
      </c>
      <c r="C271" s="26">
        <f>IF(SUMIFS('BSE - SENSEX Index Options'!$M:$M,'BSE - SENSEX Index Options'!$C:$C,$A271,'BSE - SENSEX Index Options'!$B:$B,C$147)+SUMIFS('BSE - Other Index Options'!$M:$M,'BSE - Other Index Options'!$C:$C,$A271,'BSE - Other Index Options'!$B:$B,C$147)=0,"",SUMIFS('BSE - SENSEX Index Options'!$M:$M,'BSE - SENSEX Index Options'!$C:$C,$A271,'BSE - SENSEX Index Options'!$B:$B,C$147)+SUMIFS('BSE - Other Index Options'!$M:$M,'BSE - Other Index Options'!$C:$C,$A271,'BSE - Other Index Options'!$B:$B,C$147))</f>
        <v/>
      </c>
      <c r="D271" s="26">
        <f>IF(SUMIFS('BSE - SENSEX Index Options'!$M:$M,'BSE - SENSEX Index Options'!$C:$C,$A271,'BSE - SENSEX Index Options'!$B:$B,D$147)+SUMIFS('BSE - Other Index Options'!$M:$M,'BSE - Other Index Options'!$C:$C,$A271,'BSE - Other Index Options'!$B:$B,D$147)=0,"",SUMIFS('BSE - SENSEX Index Options'!$M:$M,'BSE - SENSEX Index Options'!$C:$C,$A271,'BSE - SENSEX Index Options'!$B:$B,D$147)+SUMIFS('BSE - Other Index Options'!$M:$M,'BSE - Other Index Options'!$C:$C,$A271,'BSE - Other Index Options'!$B:$B,D$147))</f>
        <v/>
      </c>
      <c r="E271" s="26">
        <f>IF(SUMIFS('BSE - SENSEX Index Options'!$M:$M,'BSE - SENSEX Index Options'!$C:$C,$A271,'BSE - SENSEX Index Options'!$B:$B,E$147)+SUMIFS('BSE - Other Index Options'!$M:$M,'BSE - Other Index Options'!$C:$C,$A271,'BSE - Other Index Options'!$B:$B,E$147)=0,"",SUMIFS('BSE - SENSEX Index Options'!$M:$M,'BSE - SENSEX Index Options'!$C:$C,$A271,'BSE - SENSEX Index Options'!$B:$B,E$147)+SUMIFS('BSE - Other Index Options'!$M:$M,'BSE - Other Index Options'!$C:$C,$A271,'BSE - Other Index Options'!$B:$B,E$147))</f>
        <v/>
      </c>
      <c r="F271" s="26">
        <f>IF(SUMIFS('BSE - SENSEX Index Options'!$M:$M,'BSE - SENSEX Index Options'!$C:$C,$A271,'BSE - SENSEX Index Options'!$B:$B,F$147)+SUMIFS('BSE - Other Index Options'!$M:$M,'BSE - Other Index Options'!$C:$C,$A271,'BSE - Other Index Options'!$B:$B,F$147)=0,"",SUMIFS('BSE - SENSEX Index Options'!$M:$M,'BSE - SENSEX Index Options'!$C:$C,$A271,'BSE - SENSEX Index Options'!$B:$B,F$147)+SUMIFS('BSE - Other Index Options'!$M:$M,'BSE - Other Index Options'!$C:$C,$A271,'BSE - Other Index Options'!$B:$B,F$147))</f>
        <v/>
      </c>
      <c r="G271" s="26">
        <f>IF(SUMIFS('BSE - SENSEX Index Options'!$M:$M,'BSE - SENSEX Index Options'!$C:$C,$A271,'BSE - SENSEX Index Options'!$B:$B,G$147)+SUMIFS('BSE - Other Index Options'!$M:$M,'BSE - Other Index Options'!$C:$C,$A271,'BSE - Other Index Options'!$B:$B,G$147)=0,"",SUMIFS('BSE - SENSEX Index Options'!$M:$M,'BSE - SENSEX Index Options'!$C:$C,$A271,'BSE - SENSEX Index Options'!$B:$B,G$147)+SUMIFS('BSE - Other Index Options'!$M:$M,'BSE - Other Index Options'!$C:$C,$A271,'BSE - Other Index Options'!$B:$B,G$147))</f>
        <v/>
      </c>
      <c r="H271" s="26">
        <f>IF(SUM(B271:G271)=0,"",SUM(B271:G271))</f>
        <v/>
      </c>
    </row>
    <row r="272" hidden="1" outlineLevel="1">
      <c r="A272" t="inlineStr">
        <is>
          <t>Week2-Oct-2027</t>
        </is>
      </c>
      <c r="B272" s="26">
        <f>IF(SUMIFS('BSE - SENSEX Index Options'!$M:$M,'BSE - SENSEX Index Options'!$C:$C,$A272,'BSE - SENSEX Index Options'!$B:$B,B$147)+SUMIFS('BSE - Other Index Options'!$M:$M,'BSE - Other Index Options'!$C:$C,$A272,'BSE - Other Index Options'!$B:$B,B$147)=0,"",SUMIFS('BSE - SENSEX Index Options'!$M:$M,'BSE - SENSEX Index Options'!$C:$C,$A272,'BSE - SENSEX Index Options'!$B:$B,B$147)+SUMIFS('BSE - Other Index Options'!$M:$M,'BSE - Other Index Options'!$C:$C,$A272,'BSE - Other Index Options'!$B:$B,B$147))</f>
        <v/>
      </c>
      <c r="C272" s="26">
        <f>IF(SUMIFS('BSE - SENSEX Index Options'!$M:$M,'BSE - SENSEX Index Options'!$C:$C,$A272,'BSE - SENSEX Index Options'!$B:$B,C$147)+SUMIFS('BSE - Other Index Options'!$M:$M,'BSE - Other Index Options'!$C:$C,$A272,'BSE - Other Index Options'!$B:$B,C$147)=0,"",SUMIFS('BSE - SENSEX Index Options'!$M:$M,'BSE - SENSEX Index Options'!$C:$C,$A272,'BSE - SENSEX Index Options'!$B:$B,C$147)+SUMIFS('BSE - Other Index Options'!$M:$M,'BSE - Other Index Options'!$C:$C,$A272,'BSE - Other Index Options'!$B:$B,C$147))</f>
        <v/>
      </c>
      <c r="D272" s="26">
        <f>IF(SUMIFS('BSE - SENSEX Index Options'!$M:$M,'BSE - SENSEX Index Options'!$C:$C,$A272,'BSE - SENSEX Index Options'!$B:$B,D$147)+SUMIFS('BSE - Other Index Options'!$M:$M,'BSE - Other Index Options'!$C:$C,$A272,'BSE - Other Index Options'!$B:$B,D$147)=0,"",SUMIFS('BSE - SENSEX Index Options'!$M:$M,'BSE - SENSEX Index Options'!$C:$C,$A272,'BSE - SENSEX Index Options'!$B:$B,D$147)+SUMIFS('BSE - Other Index Options'!$M:$M,'BSE - Other Index Options'!$C:$C,$A272,'BSE - Other Index Options'!$B:$B,D$147))</f>
        <v/>
      </c>
      <c r="E272" s="26">
        <f>IF(SUMIFS('BSE - SENSEX Index Options'!$M:$M,'BSE - SENSEX Index Options'!$C:$C,$A272,'BSE - SENSEX Index Options'!$B:$B,E$147)+SUMIFS('BSE - Other Index Options'!$M:$M,'BSE - Other Index Options'!$C:$C,$A272,'BSE - Other Index Options'!$B:$B,E$147)=0,"",SUMIFS('BSE - SENSEX Index Options'!$M:$M,'BSE - SENSEX Index Options'!$C:$C,$A272,'BSE - SENSEX Index Options'!$B:$B,E$147)+SUMIFS('BSE - Other Index Options'!$M:$M,'BSE - Other Index Options'!$C:$C,$A272,'BSE - Other Index Options'!$B:$B,E$147))</f>
        <v/>
      </c>
      <c r="F272" s="26">
        <f>IF(SUMIFS('BSE - SENSEX Index Options'!$M:$M,'BSE - SENSEX Index Options'!$C:$C,$A272,'BSE - SENSEX Index Options'!$B:$B,F$147)+SUMIFS('BSE - Other Index Options'!$M:$M,'BSE - Other Index Options'!$C:$C,$A272,'BSE - Other Index Options'!$B:$B,F$147)=0,"",SUMIFS('BSE - SENSEX Index Options'!$M:$M,'BSE - SENSEX Index Options'!$C:$C,$A272,'BSE - SENSEX Index Options'!$B:$B,F$147)+SUMIFS('BSE - Other Index Options'!$M:$M,'BSE - Other Index Options'!$C:$C,$A272,'BSE - Other Index Options'!$B:$B,F$147))</f>
        <v/>
      </c>
      <c r="G272" s="26">
        <f>IF(SUMIFS('BSE - SENSEX Index Options'!$M:$M,'BSE - SENSEX Index Options'!$C:$C,$A272,'BSE - SENSEX Index Options'!$B:$B,G$147)+SUMIFS('BSE - Other Index Options'!$M:$M,'BSE - Other Index Options'!$C:$C,$A272,'BSE - Other Index Options'!$B:$B,G$147)=0,"",SUMIFS('BSE - SENSEX Index Options'!$M:$M,'BSE - SENSEX Index Options'!$C:$C,$A272,'BSE - SENSEX Index Options'!$B:$B,G$147)+SUMIFS('BSE - Other Index Options'!$M:$M,'BSE - Other Index Options'!$C:$C,$A272,'BSE - Other Index Options'!$B:$B,G$147))</f>
        <v/>
      </c>
      <c r="H272" s="26">
        <f>IF(SUM(B272:G272)=0,"",SUM(B272:G272))</f>
        <v/>
      </c>
    </row>
    <row r="273" hidden="1" outlineLevel="1">
      <c r="A273" t="inlineStr">
        <is>
          <t>Week3-Oct-2027</t>
        </is>
      </c>
      <c r="B273" s="26">
        <f>IF(SUMIFS('BSE - SENSEX Index Options'!$M:$M,'BSE - SENSEX Index Options'!$C:$C,$A273,'BSE - SENSEX Index Options'!$B:$B,B$147)+SUMIFS('BSE - Other Index Options'!$M:$M,'BSE - Other Index Options'!$C:$C,$A273,'BSE - Other Index Options'!$B:$B,B$147)=0,"",SUMIFS('BSE - SENSEX Index Options'!$M:$M,'BSE - SENSEX Index Options'!$C:$C,$A273,'BSE - SENSEX Index Options'!$B:$B,B$147)+SUMIFS('BSE - Other Index Options'!$M:$M,'BSE - Other Index Options'!$C:$C,$A273,'BSE - Other Index Options'!$B:$B,B$147))</f>
        <v/>
      </c>
      <c r="C273" s="26">
        <f>IF(SUMIFS('BSE - SENSEX Index Options'!$M:$M,'BSE - SENSEX Index Options'!$C:$C,$A273,'BSE - SENSEX Index Options'!$B:$B,C$147)+SUMIFS('BSE - Other Index Options'!$M:$M,'BSE - Other Index Options'!$C:$C,$A273,'BSE - Other Index Options'!$B:$B,C$147)=0,"",SUMIFS('BSE - SENSEX Index Options'!$M:$M,'BSE - SENSEX Index Options'!$C:$C,$A273,'BSE - SENSEX Index Options'!$B:$B,C$147)+SUMIFS('BSE - Other Index Options'!$M:$M,'BSE - Other Index Options'!$C:$C,$A273,'BSE - Other Index Options'!$B:$B,C$147))</f>
        <v/>
      </c>
      <c r="D273" s="26">
        <f>IF(SUMIFS('BSE - SENSEX Index Options'!$M:$M,'BSE - SENSEX Index Options'!$C:$C,$A273,'BSE - SENSEX Index Options'!$B:$B,D$147)+SUMIFS('BSE - Other Index Options'!$M:$M,'BSE - Other Index Options'!$C:$C,$A273,'BSE - Other Index Options'!$B:$B,D$147)=0,"",SUMIFS('BSE - SENSEX Index Options'!$M:$M,'BSE - SENSEX Index Options'!$C:$C,$A273,'BSE - SENSEX Index Options'!$B:$B,D$147)+SUMIFS('BSE - Other Index Options'!$M:$M,'BSE - Other Index Options'!$C:$C,$A273,'BSE - Other Index Options'!$B:$B,D$147))</f>
        <v/>
      </c>
      <c r="E273" s="26">
        <f>IF(SUMIFS('BSE - SENSEX Index Options'!$M:$M,'BSE - SENSEX Index Options'!$C:$C,$A273,'BSE - SENSEX Index Options'!$B:$B,E$147)+SUMIFS('BSE - Other Index Options'!$M:$M,'BSE - Other Index Options'!$C:$C,$A273,'BSE - Other Index Options'!$B:$B,E$147)=0,"",SUMIFS('BSE - SENSEX Index Options'!$M:$M,'BSE - SENSEX Index Options'!$C:$C,$A273,'BSE - SENSEX Index Options'!$B:$B,E$147)+SUMIFS('BSE - Other Index Options'!$M:$M,'BSE - Other Index Options'!$C:$C,$A273,'BSE - Other Index Options'!$B:$B,E$147))</f>
        <v/>
      </c>
      <c r="F273" s="26">
        <f>IF(SUMIFS('BSE - SENSEX Index Options'!$M:$M,'BSE - SENSEX Index Options'!$C:$C,$A273,'BSE - SENSEX Index Options'!$B:$B,F$147)+SUMIFS('BSE - Other Index Options'!$M:$M,'BSE - Other Index Options'!$C:$C,$A273,'BSE - Other Index Options'!$B:$B,F$147)=0,"",SUMIFS('BSE - SENSEX Index Options'!$M:$M,'BSE - SENSEX Index Options'!$C:$C,$A273,'BSE - SENSEX Index Options'!$B:$B,F$147)+SUMIFS('BSE - Other Index Options'!$M:$M,'BSE - Other Index Options'!$C:$C,$A273,'BSE - Other Index Options'!$B:$B,F$147))</f>
        <v/>
      </c>
      <c r="G273" s="26">
        <f>IF(SUMIFS('BSE - SENSEX Index Options'!$M:$M,'BSE - SENSEX Index Options'!$C:$C,$A273,'BSE - SENSEX Index Options'!$B:$B,G$147)+SUMIFS('BSE - Other Index Options'!$M:$M,'BSE - Other Index Options'!$C:$C,$A273,'BSE - Other Index Options'!$B:$B,G$147)=0,"",SUMIFS('BSE - SENSEX Index Options'!$M:$M,'BSE - SENSEX Index Options'!$C:$C,$A273,'BSE - SENSEX Index Options'!$B:$B,G$147)+SUMIFS('BSE - Other Index Options'!$M:$M,'BSE - Other Index Options'!$C:$C,$A273,'BSE - Other Index Options'!$B:$B,G$147))</f>
        <v/>
      </c>
      <c r="H273" s="26">
        <f>IF(SUM(B273:G273)=0,"",SUM(B273:G273))</f>
        <v/>
      </c>
    </row>
    <row r="274" hidden="1" outlineLevel="1">
      <c r="A274" t="inlineStr">
        <is>
          <t>Week4-Oct-2027</t>
        </is>
      </c>
      <c r="B274" s="26">
        <f>IF(SUMIFS('BSE - SENSEX Index Options'!$M:$M,'BSE - SENSEX Index Options'!$C:$C,$A274,'BSE - SENSEX Index Options'!$B:$B,B$147)+SUMIFS('BSE - Other Index Options'!$M:$M,'BSE - Other Index Options'!$C:$C,$A274,'BSE - Other Index Options'!$B:$B,B$147)=0,"",SUMIFS('BSE - SENSEX Index Options'!$M:$M,'BSE - SENSEX Index Options'!$C:$C,$A274,'BSE - SENSEX Index Options'!$B:$B,B$147)+SUMIFS('BSE - Other Index Options'!$M:$M,'BSE - Other Index Options'!$C:$C,$A274,'BSE - Other Index Options'!$B:$B,B$147))</f>
        <v/>
      </c>
      <c r="C274" s="26">
        <f>IF(SUMIFS('BSE - SENSEX Index Options'!$M:$M,'BSE - SENSEX Index Options'!$C:$C,$A274,'BSE - SENSEX Index Options'!$B:$B,C$147)+SUMIFS('BSE - Other Index Options'!$M:$M,'BSE - Other Index Options'!$C:$C,$A274,'BSE - Other Index Options'!$B:$B,C$147)=0,"",SUMIFS('BSE - SENSEX Index Options'!$M:$M,'BSE - SENSEX Index Options'!$C:$C,$A274,'BSE - SENSEX Index Options'!$B:$B,C$147)+SUMIFS('BSE - Other Index Options'!$M:$M,'BSE - Other Index Options'!$C:$C,$A274,'BSE - Other Index Options'!$B:$B,C$147))</f>
        <v/>
      </c>
      <c r="D274" s="26">
        <f>IF(SUMIFS('BSE - SENSEX Index Options'!$M:$M,'BSE - SENSEX Index Options'!$C:$C,$A274,'BSE - SENSEX Index Options'!$B:$B,D$147)+SUMIFS('BSE - Other Index Options'!$M:$M,'BSE - Other Index Options'!$C:$C,$A274,'BSE - Other Index Options'!$B:$B,D$147)=0,"",SUMIFS('BSE - SENSEX Index Options'!$M:$M,'BSE - SENSEX Index Options'!$C:$C,$A274,'BSE - SENSEX Index Options'!$B:$B,D$147)+SUMIFS('BSE - Other Index Options'!$M:$M,'BSE - Other Index Options'!$C:$C,$A274,'BSE - Other Index Options'!$B:$B,D$147))</f>
        <v/>
      </c>
      <c r="E274" s="26">
        <f>IF(SUMIFS('BSE - SENSEX Index Options'!$M:$M,'BSE - SENSEX Index Options'!$C:$C,$A274,'BSE - SENSEX Index Options'!$B:$B,E$147)+SUMIFS('BSE - Other Index Options'!$M:$M,'BSE - Other Index Options'!$C:$C,$A274,'BSE - Other Index Options'!$B:$B,E$147)=0,"",SUMIFS('BSE - SENSEX Index Options'!$M:$M,'BSE - SENSEX Index Options'!$C:$C,$A274,'BSE - SENSEX Index Options'!$B:$B,E$147)+SUMIFS('BSE - Other Index Options'!$M:$M,'BSE - Other Index Options'!$C:$C,$A274,'BSE - Other Index Options'!$B:$B,E$147))</f>
        <v/>
      </c>
      <c r="F274" s="26">
        <f>IF(SUMIFS('BSE - SENSEX Index Options'!$M:$M,'BSE - SENSEX Index Options'!$C:$C,$A274,'BSE - SENSEX Index Options'!$B:$B,F$147)+SUMIFS('BSE - Other Index Options'!$M:$M,'BSE - Other Index Options'!$C:$C,$A274,'BSE - Other Index Options'!$B:$B,F$147)=0,"",SUMIFS('BSE - SENSEX Index Options'!$M:$M,'BSE - SENSEX Index Options'!$C:$C,$A274,'BSE - SENSEX Index Options'!$B:$B,F$147)+SUMIFS('BSE - Other Index Options'!$M:$M,'BSE - Other Index Options'!$C:$C,$A274,'BSE - Other Index Options'!$B:$B,F$147))</f>
        <v/>
      </c>
      <c r="G274" s="26">
        <f>IF(SUMIFS('BSE - SENSEX Index Options'!$M:$M,'BSE - SENSEX Index Options'!$C:$C,$A274,'BSE - SENSEX Index Options'!$B:$B,G$147)+SUMIFS('BSE - Other Index Options'!$M:$M,'BSE - Other Index Options'!$C:$C,$A274,'BSE - Other Index Options'!$B:$B,G$147)=0,"",SUMIFS('BSE - SENSEX Index Options'!$M:$M,'BSE - SENSEX Index Options'!$C:$C,$A274,'BSE - SENSEX Index Options'!$B:$B,G$147)+SUMIFS('BSE - Other Index Options'!$M:$M,'BSE - Other Index Options'!$C:$C,$A274,'BSE - Other Index Options'!$B:$B,G$147))</f>
        <v/>
      </c>
      <c r="H274" s="26">
        <f>IF(SUM(B274:G274)=0,"",SUM(B274:G274))</f>
        <v/>
      </c>
    </row>
    <row r="275" hidden="1" outlineLevel="1">
      <c r="A275" t="inlineStr">
        <is>
          <t>Week5-Oct-2027</t>
        </is>
      </c>
      <c r="B275" s="26">
        <f>IF(SUMIFS('BSE - SENSEX Index Options'!$M:$M,'BSE - SENSEX Index Options'!$C:$C,$A275,'BSE - SENSEX Index Options'!$B:$B,B$147)+SUMIFS('BSE - Other Index Options'!$M:$M,'BSE - Other Index Options'!$C:$C,$A275,'BSE - Other Index Options'!$B:$B,B$147)=0,"",SUMIFS('BSE - SENSEX Index Options'!$M:$M,'BSE - SENSEX Index Options'!$C:$C,$A275,'BSE - SENSEX Index Options'!$B:$B,B$147)+SUMIFS('BSE - Other Index Options'!$M:$M,'BSE - Other Index Options'!$C:$C,$A275,'BSE - Other Index Options'!$B:$B,B$147))</f>
        <v/>
      </c>
      <c r="C275" s="26">
        <f>IF(SUMIFS('BSE - SENSEX Index Options'!$M:$M,'BSE - SENSEX Index Options'!$C:$C,$A275,'BSE - SENSEX Index Options'!$B:$B,C$147)+SUMIFS('BSE - Other Index Options'!$M:$M,'BSE - Other Index Options'!$C:$C,$A275,'BSE - Other Index Options'!$B:$B,C$147)=0,"",SUMIFS('BSE - SENSEX Index Options'!$M:$M,'BSE - SENSEX Index Options'!$C:$C,$A275,'BSE - SENSEX Index Options'!$B:$B,C$147)+SUMIFS('BSE - Other Index Options'!$M:$M,'BSE - Other Index Options'!$C:$C,$A275,'BSE - Other Index Options'!$B:$B,C$147))</f>
        <v/>
      </c>
      <c r="D275" s="26">
        <f>IF(SUMIFS('BSE - SENSEX Index Options'!$M:$M,'BSE - SENSEX Index Options'!$C:$C,$A275,'BSE - SENSEX Index Options'!$B:$B,D$147)+SUMIFS('BSE - Other Index Options'!$M:$M,'BSE - Other Index Options'!$C:$C,$A275,'BSE - Other Index Options'!$B:$B,D$147)=0,"",SUMIFS('BSE - SENSEX Index Options'!$M:$M,'BSE - SENSEX Index Options'!$C:$C,$A275,'BSE - SENSEX Index Options'!$B:$B,D$147)+SUMIFS('BSE - Other Index Options'!$M:$M,'BSE - Other Index Options'!$C:$C,$A275,'BSE - Other Index Options'!$B:$B,D$147))</f>
        <v/>
      </c>
      <c r="E275" s="26">
        <f>IF(SUMIFS('BSE - SENSEX Index Options'!$M:$M,'BSE - SENSEX Index Options'!$C:$C,$A275,'BSE - SENSEX Index Options'!$B:$B,E$147)+SUMIFS('BSE - Other Index Options'!$M:$M,'BSE - Other Index Options'!$C:$C,$A275,'BSE - Other Index Options'!$B:$B,E$147)=0,"",SUMIFS('BSE - SENSEX Index Options'!$M:$M,'BSE - SENSEX Index Options'!$C:$C,$A275,'BSE - SENSEX Index Options'!$B:$B,E$147)+SUMIFS('BSE - Other Index Options'!$M:$M,'BSE - Other Index Options'!$C:$C,$A275,'BSE - Other Index Options'!$B:$B,E$147))</f>
        <v/>
      </c>
      <c r="F275" s="26">
        <f>IF(SUMIFS('BSE - SENSEX Index Options'!$M:$M,'BSE - SENSEX Index Options'!$C:$C,$A275,'BSE - SENSEX Index Options'!$B:$B,F$147)+SUMIFS('BSE - Other Index Options'!$M:$M,'BSE - Other Index Options'!$C:$C,$A275,'BSE - Other Index Options'!$B:$B,F$147)=0,"",SUMIFS('BSE - SENSEX Index Options'!$M:$M,'BSE - SENSEX Index Options'!$C:$C,$A275,'BSE - SENSEX Index Options'!$B:$B,F$147)+SUMIFS('BSE - Other Index Options'!$M:$M,'BSE - Other Index Options'!$C:$C,$A275,'BSE - Other Index Options'!$B:$B,F$147))</f>
        <v/>
      </c>
      <c r="G275" s="26">
        <f>IF(SUMIFS('BSE - SENSEX Index Options'!$M:$M,'BSE - SENSEX Index Options'!$C:$C,$A275,'BSE - SENSEX Index Options'!$B:$B,G$147)+SUMIFS('BSE - Other Index Options'!$M:$M,'BSE - Other Index Options'!$C:$C,$A275,'BSE - Other Index Options'!$B:$B,G$147)=0,"",SUMIFS('BSE - SENSEX Index Options'!$M:$M,'BSE - SENSEX Index Options'!$C:$C,$A275,'BSE - SENSEX Index Options'!$B:$B,G$147)+SUMIFS('BSE - Other Index Options'!$M:$M,'BSE - Other Index Options'!$C:$C,$A275,'BSE - Other Index Options'!$B:$B,G$147))</f>
        <v/>
      </c>
      <c r="H275" s="26">
        <f>IF(SUM(B275:G275)=0,"",SUM(B275:G275))</f>
        <v/>
      </c>
    </row>
    <row r="276" hidden="1" outlineLevel="1">
      <c r="A276" t="inlineStr">
        <is>
          <t>Week1-Nov-2027</t>
        </is>
      </c>
      <c r="B276" s="26">
        <f>IF(SUMIFS('BSE - SENSEX Index Options'!$M:$M,'BSE - SENSEX Index Options'!$C:$C,$A276,'BSE - SENSEX Index Options'!$B:$B,B$147)+SUMIFS('BSE - Other Index Options'!$M:$M,'BSE - Other Index Options'!$C:$C,$A276,'BSE - Other Index Options'!$B:$B,B$147)=0,"",SUMIFS('BSE - SENSEX Index Options'!$M:$M,'BSE - SENSEX Index Options'!$C:$C,$A276,'BSE - SENSEX Index Options'!$B:$B,B$147)+SUMIFS('BSE - Other Index Options'!$M:$M,'BSE - Other Index Options'!$C:$C,$A276,'BSE - Other Index Options'!$B:$B,B$147))</f>
        <v/>
      </c>
      <c r="C276" s="26">
        <f>IF(SUMIFS('BSE - SENSEX Index Options'!$M:$M,'BSE - SENSEX Index Options'!$C:$C,$A276,'BSE - SENSEX Index Options'!$B:$B,C$147)+SUMIFS('BSE - Other Index Options'!$M:$M,'BSE - Other Index Options'!$C:$C,$A276,'BSE - Other Index Options'!$B:$B,C$147)=0,"",SUMIFS('BSE - SENSEX Index Options'!$M:$M,'BSE - SENSEX Index Options'!$C:$C,$A276,'BSE - SENSEX Index Options'!$B:$B,C$147)+SUMIFS('BSE - Other Index Options'!$M:$M,'BSE - Other Index Options'!$C:$C,$A276,'BSE - Other Index Options'!$B:$B,C$147))</f>
        <v/>
      </c>
      <c r="D276" s="26">
        <f>IF(SUMIFS('BSE - SENSEX Index Options'!$M:$M,'BSE - SENSEX Index Options'!$C:$C,$A276,'BSE - SENSEX Index Options'!$B:$B,D$147)+SUMIFS('BSE - Other Index Options'!$M:$M,'BSE - Other Index Options'!$C:$C,$A276,'BSE - Other Index Options'!$B:$B,D$147)=0,"",SUMIFS('BSE - SENSEX Index Options'!$M:$M,'BSE - SENSEX Index Options'!$C:$C,$A276,'BSE - SENSEX Index Options'!$B:$B,D$147)+SUMIFS('BSE - Other Index Options'!$M:$M,'BSE - Other Index Options'!$C:$C,$A276,'BSE - Other Index Options'!$B:$B,D$147))</f>
        <v/>
      </c>
      <c r="E276" s="26">
        <f>IF(SUMIFS('BSE - SENSEX Index Options'!$M:$M,'BSE - SENSEX Index Options'!$C:$C,$A276,'BSE - SENSEX Index Options'!$B:$B,E$147)+SUMIFS('BSE - Other Index Options'!$M:$M,'BSE - Other Index Options'!$C:$C,$A276,'BSE - Other Index Options'!$B:$B,E$147)=0,"",SUMIFS('BSE - SENSEX Index Options'!$M:$M,'BSE - SENSEX Index Options'!$C:$C,$A276,'BSE - SENSEX Index Options'!$B:$B,E$147)+SUMIFS('BSE - Other Index Options'!$M:$M,'BSE - Other Index Options'!$C:$C,$A276,'BSE - Other Index Options'!$B:$B,E$147))</f>
        <v/>
      </c>
      <c r="F276" s="26">
        <f>IF(SUMIFS('BSE - SENSEX Index Options'!$M:$M,'BSE - SENSEX Index Options'!$C:$C,$A276,'BSE - SENSEX Index Options'!$B:$B,F$147)+SUMIFS('BSE - Other Index Options'!$M:$M,'BSE - Other Index Options'!$C:$C,$A276,'BSE - Other Index Options'!$B:$B,F$147)=0,"",SUMIFS('BSE - SENSEX Index Options'!$M:$M,'BSE - SENSEX Index Options'!$C:$C,$A276,'BSE - SENSEX Index Options'!$B:$B,F$147)+SUMIFS('BSE - Other Index Options'!$M:$M,'BSE - Other Index Options'!$C:$C,$A276,'BSE - Other Index Options'!$B:$B,F$147))</f>
        <v/>
      </c>
      <c r="G276" s="26">
        <f>IF(SUMIFS('BSE - SENSEX Index Options'!$M:$M,'BSE - SENSEX Index Options'!$C:$C,$A276,'BSE - SENSEX Index Options'!$B:$B,G$147)+SUMIFS('BSE - Other Index Options'!$M:$M,'BSE - Other Index Options'!$C:$C,$A276,'BSE - Other Index Options'!$B:$B,G$147)=0,"",SUMIFS('BSE - SENSEX Index Options'!$M:$M,'BSE - SENSEX Index Options'!$C:$C,$A276,'BSE - SENSEX Index Options'!$B:$B,G$147)+SUMIFS('BSE - Other Index Options'!$M:$M,'BSE - Other Index Options'!$C:$C,$A276,'BSE - Other Index Options'!$B:$B,G$147))</f>
        <v/>
      </c>
      <c r="H276" s="26">
        <f>IF(SUM(B276:G276)=0,"",SUM(B276:G276))</f>
        <v/>
      </c>
    </row>
    <row r="277" hidden="1" outlineLevel="1">
      <c r="A277" t="inlineStr">
        <is>
          <t>Week2-Nov-2027</t>
        </is>
      </c>
      <c r="B277" s="26">
        <f>IF(SUMIFS('BSE - SENSEX Index Options'!$M:$M,'BSE - SENSEX Index Options'!$C:$C,$A277,'BSE - SENSEX Index Options'!$B:$B,B$147)+SUMIFS('BSE - Other Index Options'!$M:$M,'BSE - Other Index Options'!$C:$C,$A277,'BSE - Other Index Options'!$B:$B,B$147)=0,"",SUMIFS('BSE - SENSEX Index Options'!$M:$M,'BSE - SENSEX Index Options'!$C:$C,$A277,'BSE - SENSEX Index Options'!$B:$B,B$147)+SUMIFS('BSE - Other Index Options'!$M:$M,'BSE - Other Index Options'!$C:$C,$A277,'BSE - Other Index Options'!$B:$B,B$147))</f>
        <v/>
      </c>
      <c r="C277" s="26">
        <f>IF(SUMIFS('BSE - SENSEX Index Options'!$M:$M,'BSE - SENSEX Index Options'!$C:$C,$A277,'BSE - SENSEX Index Options'!$B:$B,C$147)+SUMIFS('BSE - Other Index Options'!$M:$M,'BSE - Other Index Options'!$C:$C,$A277,'BSE - Other Index Options'!$B:$B,C$147)=0,"",SUMIFS('BSE - SENSEX Index Options'!$M:$M,'BSE - SENSEX Index Options'!$C:$C,$A277,'BSE - SENSEX Index Options'!$B:$B,C$147)+SUMIFS('BSE - Other Index Options'!$M:$M,'BSE - Other Index Options'!$C:$C,$A277,'BSE - Other Index Options'!$B:$B,C$147))</f>
        <v/>
      </c>
      <c r="D277" s="26">
        <f>IF(SUMIFS('BSE - SENSEX Index Options'!$M:$M,'BSE - SENSEX Index Options'!$C:$C,$A277,'BSE - SENSEX Index Options'!$B:$B,D$147)+SUMIFS('BSE - Other Index Options'!$M:$M,'BSE - Other Index Options'!$C:$C,$A277,'BSE - Other Index Options'!$B:$B,D$147)=0,"",SUMIFS('BSE - SENSEX Index Options'!$M:$M,'BSE - SENSEX Index Options'!$C:$C,$A277,'BSE - SENSEX Index Options'!$B:$B,D$147)+SUMIFS('BSE - Other Index Options'!$M:$M,'BSE - Other Index Options'!$C:$C,$A277,'BSE - Other Index Options'!$B:$B,D$147))</f>
        <v/>
      </c>
      <c r="E277" s="26">
        <f>IF(SUMIFS('BSE - SENSEX Index Options'!$M:$M,'BSE - SENSEX Index Options'!$C:$C,$A277,'BSE - SENSEX Index Options'!$B:$B,E$147)+SUMIFS('BSE - Other Index Options'!$M:$M,'BSE - Other Index Options'!$C:$C,$A277,'BSE - Other Index Options'!$B:$B,E$147)=0,"",SUMIFS('BSE - SENSEX Index Options'!$M:$M,'BSE - SENSEX Index Options'!$C:$C,$A277,'BSE - SENSEX Index Options'!$B:$B,E$147)+SUMIFS('BSE - Other Index Options'!$M:$M,'BSE - Other Index Options'!$C:$C,$A277,'BSE - Other Index Options'!$B:$B,E$147))</f>
        <v/>
      </c>
      <c r="F277" s="26">
        <f>IF(SUMIFS('BSE - SENSEX Index Options'!$M:$M,'BSE - SENSEX Index Options'!$C:$C,$A277,'BSE - SENSEX Index Options'!$B:$B,F$147)+SUMIFS('BSE - Other Index Options'!$M:$M,'BSE - Other Index Options'!$C:$C,$A277,'BSE - Other Index Options'!$B:$B,F$147)=0,"",SUMIFS('BSE - SENSEX Index Options'!$M:$M,'BSE - SENSEX Index Options'!$C:$C,$A277,'BSE - SENSEX Index Options'!$B:$B,F$147)+SUMIFS('BSE - Other Index Options'!$M:$M,'BSE - Other Index Options'!$C:$C,$A277,'BSE - Other Index Options'!$B:$B,F$147))</f>
        <v/>
      </c>
      <c r="G277" s="26">
        <f>IF(SUMIFS('BSE - SENSEX Index Options'!$M:$M,'BSE - SENSEX Index Options'!$C:$C,$A277,'BSE - SENSEX Index Options'!$B:$B,G$147)+SUMIFS('BSE - Other Index Options'!$M:$M,'BSE - Other Index Options'!$C:$C,$A277,'BSE - Other Index Options'!$B:$B,G$147)=0,"",SUMIFS('BSE - SENSEX Index Options'!$M:$M,'BSE - SENSEX Index Options'!$C:$C,$A277,'BSE - SENSEX Index Options'!$B:$B,G$147)+SUMIFS('BSE - Other Index Options'!$M:$M,'BSE - Other Index Options'!$C:$C,$A277,'BSE - Other Index Options'!$B:$B,G$147))</f>
        <v/>
      </c>
      <c r="H277" s="26">
        <f>IF(SUM(B277:G277)=0,"",SUM(B277:G277))</f>
        <v/>
      </c>
    </row>
    <row r="278" hidden="1" outlineLevel="1">
      <c r="A278" t="inlineStr">
        <is>
          <t>Week3-Nov-2027</t>
        </is>
      </c>
      <c r="B278" s="26">
        <f>IF(SUMIFS('BSE - SENSEX Index Options'!$M:$M,'BSE - SENSEX Index Options'!$C:$C,$A278,'BSE - SENSEX Index Options'!$B:$B,B$147)+SUMIFS('BSE - Other Index Options'!$M:$M,'BSE - Other Index Options'!$C:$C,$A278,'BSE - Other Index Options'!$B:$B,B$147)=0,"",SUMIFS('BSE - SENSEX Index Options'!$M:$M,'BSE - SENSEX Index Options'!$C:$C,$A278,'BSE - SENSEX Index Options'!$B:$B,B$147)+SUMIFS('BSE - Other Index Options'!$M:$M,'BSE - Other Index Options'!$C:$C,$A278,'BSE - Other Index Options'!$B:$B,B$147))</f>
        <v/>
      </c>
      <c r="C278" s="26">
        <f>IF(SUMIFS('BSE - SENSEX Index Options'!$M:$M,'BSE - SENSEX Index Options'!$C:$C,$A278,'BSE - SENSEX Index Options'!$B:$B,C$147)+SUMIFS('BSE - Other Index Options'!$M:$M,'BSE - Other Index Options'!$C:$C,$A278,'BSE - Other Index Options'!$B:$B,C$147)=0,"",SUMIFS('BSE - SENSEX Index Options'!$M:$M,'BSE - SENSEX Index Options'!$C:$C,$A278,'BSE - SENSEX Index Options'!$B:$B,C$147)+SUMIFS('BSE - Other Index Options'!$M:$M,'BSE - Other Index Options'!$C:$C,$A278,'BSE - Other Index Options'!$B:$B,C$147))</f>
        <v/>
      </c>
      <c r="D278" s="26">
        <f>IF(SUMIFS('BSE - SENSEX Index Options'!$M:$M,'BSE - SENSEX Index Options'!$C:$C,$A278,'BSE - SENSEX Index Options'!$B:$B,D$147)+SUMIFS('BSE - Other Index Options'!$M:$M,'BSE - Other Index Options'!$C:$C,$A278,'BSE - Other Index Options'!$B:$B,D$147)=0,"",SUMIFS('BSE - SENSEX Index Options'!$M:$M,'BSE - SENSEX Index Options'!$C:$C,$A278,'BSE - SENSEX Index Options'!$B:$B,D$147)+SUMIFS('BSE - Other Index Options'!$M:$M,'BSE - Other Index Options'!$C:$C,$A278,'BSE - Other Index Options'!$B:$B,D$147))</f>
        <v/>
      </c>
      <c r="E278" s="26">
        <f>IF(SUMIFS('BSE - SENSEX Index Options'!$M:$M,'BSE - SENSEX Index Options'!$C:$C,$A278,'BSE - SENSEX Index Options'!$B:$B,E$147)+SUMIFS('BSE - Other Index Options'!$M:$M,'BSE - Other Index Options'!$C:$C,$A278,'BSE - Other Index Options'!$B:$B,E$147)=0,"",SUMIFS('BSE - SENSEX Index Options'!$M:$M,'BSE - SENSEX Index Options'!$C:$C,$A278,'BSE - SENSEX Index Options'!$B:$B,E$147)+SUMIFS('BSE - Other Index Options'!$M:$M,'BSE - Other Index Options'!$C:$C,$A278,'BSE - Other Index Options'!$B:$B,E$147))</f>
        <v/>
      </c>
      <c r="F278" s="26">
        <f>IF(SUMIFS('BSE - SENSEX Index Options'!$M:$M,'BSE - SENSEX Index Options'!$C:$C,$A278,'BSE - SENSEX Index Options'!$B:$B,F$147)+SUMIFS('BSE - Other Index Options'!$M:$M,'BSE - Other Index Options'!$C:$C,$A278,'BSE - Other Index Options'!$B:$B,F$147)=0,"",SUMIFS('BSE - SENSEX Index Options'!$M:$M,'BSE - SENSEX Index Options'!$C:$C,$A278,'BSE - SENSEX Index Options'!$B:$B,F$147)+SUMIFS('BSE - Other Index Options'!$M:$M,'BSE - Other Index Options'!$C:$C,$A278,'BSE - Other Index Options'!$B:$B,F$147))</f>
        <v/>
      </c>
      <c r="G278" s="26">
        <f>IF(SUMIFS('BSE - SENSEX Index Options'!$M:$M,'BSE - SENSEX Index Options'!$C:$C,$A278,'BSE - SENSEX Index Options'!$B:$B,G$147)+SUMIFS('BSE - Other Index Options'!$M:$M,'BSE - Other Index Options'!$C:$C,$A278,'BSE - Other Index Options'!$B:$B,G$147)=0,"",SUMIFS('BSE - SENSEX Index Options'!$M:$M,'BSE - SENSEX Index Options'!$C:$C,$A278,'BSE - SENSEX Index Options'!$B:$B,G$147)+SUMIFS('BSE - Other Index Options'!$M:$M,'BSE - Other Index Options'!$C:$C,$A278,'BSE - Other Index Options'!$B:$B,G$147))</f>
        <v/>
      </c>
      <c r="H278" s="26">
        <f>IF(SUM(B278:G278)=0,"",SUM(B278:G278))</f>
        <v/>
      </c>
    </row>
    <row r="279" hidden="1" outlineLevel="1">
      <c r="A279" t="inlineStr">
        <is>
          <t>Week4-Nov-2027</t>
        </is>
      </c>
      <c r="B279" s="26">
        <f>IF(SUMIFS('BSE - SENSEX Index Options'!$M:$M,'BSE - SENSEX Index Options'!$C:$C,$A279,'BSE - SENSEX Index Options'!$B:$B,B$147)+SUMIFS('BSE - Other Index Options'!$M:$M,'BSE - Other Index Options'!$C:$C,$A279,'BSE - Other Index Options'!$B:$B,B$147)=0,"",SUMIFS('BSE - SENSEX Index Options'!$M:$M,'BSE - SENSEX Index Options'!$C:$C,$A279,'BSE - SENSEX Index Options'!$B:$B,B$147)+SUMIFS('BSE - Other Index Options'!$M:$M,'BSE - Other Index Options'!$C:$C,$A279,'BSE - Other Index Options'!$B:$B,B$147))</f>
        <v/>
      </c>
      <c r="C279" s="26">
        <f>IF(SUMIFS('BSE - SENSEX Index Options'!$M:$M,'BSE - SENSEX Index Options'!$C:$C,$A279,'BSE - SENSEX Index Options'!$B:$B,C$147)+SUMIFS('BSE - Other Index Options'!$M:$M,'BSE - Other Index Options'!$C:$C,$A279,'BSE - Other Index Options'!$B:$B,C$147)=0,"",SUMIFS('BSE - SENSEX Index Options'!$M:$M,'BSE - SENSEX Index Options'!$C:$C,$A279,'BSE - SENSEX Index Options'!$B:$B,C$147)+SUMIFS('BSE - Other Index Options'!$M:$M,'BSE - Other Index Options'!$C:$C,$A279,'BSE - Other Index Options'!$B:$B,C$147))</f>
        <v/>
      </c>
      <c r="D279" s="26">
        <f>IF(SUMIFS('BSE - SENSEX Index Options'!$M:$M,'BSE - SENSEX Index Options'!$C:$C,$A279,'BSE - SENSEX Index Options'!$B:$B,D$147)+SUMIFS('BSE - Other Index Options'!$M:$M,'BSE - Other Index Options'!$C:$C,$A279,'BSE - Other Index Options'!$B:$B,D$147)=0,"",SUMIFS('BSE - SENSEX Index Options'!$M:$M,'BSE - SENSEX Index Options'!$C:$C,$A279,'BSE - SENSEX Index Options'!$B:$B,D$147)+SUMIFS('BSE - Other Index Options'!$M:$M,'BSE - Other Index Options'!$C:$C,$A279,'BSE - Other Index Options'!$B:$B,D$147))</f>
        <v/>
      </c>
      <c r="E279" s="26">
        <f>IF(SUMIFS('BSE - SENSEX Index Options'!$M:$M,'BSE - SENSEX Index Options'!$C:$C,$A279,'BSE - SENSEX Index Options'!$B:$B,E$147)+SUMIFS('BSE - Other Index Options'!$M:$M,'BSE - Other Index Options'!$C:$C,$A279,'BSE - Other Index Options'!$B:$B,E$147)=0,"",SUMIFS('BSE - SENSEX Index Options'!$M:$M,'BSE - SENSEX Index Options'!$C:$C,$A279,'BSE - SENSEX Index Options'!$B:$B,E$147)+SUMIFS('BSE - Other Index Options'!$M:$M,'BSE - Other Index Options'!$C:$C,$A279,'BSE - Other Index Options'!$B:$B,E$147))</f>
        <v/>
      </c>
      <c r="F279" s="26">
        <f>IF(SUMIFS('BSE - SENSEX Index Options'!$M:$M,'BSE - SENSEX Index Options'!$C:$C,$A279,'BSE - SENSEX Index Options'!$B:$B,F$147)+SUMIFS('BSE - Other Index Options'!$M:$M,'BSE - Other Index Options'!$C:$C,$A279,'BSE - Other Index Options'!$B:$B,F$147)=0,"",SUMIFS('BSE - SENSEX Index Options'!$M:$M,'BSE - SENSEX Index Options'!$C:$C,$A279,'BSE - SENSEX Index Options'!$B:$B,F$147)+SUMIFS('BSE - Other Index Options'!$M:$M,'BSE - Other Index Options'!$C:$C,$A279,'BSE - Other Index Options'!$B:$B,F$147))</f>
        <v/>
      </c>
      <c r="G279" s="26">
        <f>IF(SUMIFS('BSE - SENSEX Index Options'!$M:$M,'BSE - SENSEX Index Options'!$C:$C,$A279,'BSE - SENSEX Index Options'!$B:$B,G$147)+SUMIFS('BSE - Other Index Options'!$M:$M,'BSE - Other Index Options'!$C:$C,$A279,'BSE - Other Index Options'!$B:$B,G$147)=0,"",SUMIFS('BSE - SENSEX Index Options'!$M:$M,'BSE - SENSEX Index Options'!$C:$C,$A279,'BSE - SENSEX Index Options'!$B:$B,G$147)+SUMIFS('BSE - Other Index Options'!$M:$M,'BSE - Other Index Options'!$C:$C,$A279,'BSE - Other Index Options'!$B:$B,G$147))</f>
        <v/>
      </c>
      <c r="H279" s="26">
        <f>IF(SUM(B279:G279)=0,"",SUM(B279:G279))</f>
        <v/>
      </c>
    </row>
    <row r="280" hidden="1" outlineLevel="1">
      <c r="A280" t="inlineStr">
        <is>
          <t>Week5-Nov-2027</t>
        </is>
      </c>
      <c r="B280" s="26">
        <f>IF(SUMIFS('BSE - SENSEX Index Options'!$M:$M,'BSE - SENSEX Index Options'!$C:$C,$A280,'BSE - SENSEX Index Options'!$B:$B,B$147)+SUMIFS('BSE - Other Index Options'!$M:$M,'BSE - Other Index Options'!$C:$C,$A280,'BSE - Other Index Options'!$B:$B,B$147)=0,"",SUMIFS('BSE - SENSEX Index Options'!$M:$M,'BSE - SENSEX Index Options'!$C:$C,$A280,'BSE - SENSEX Index Options'!$B:$B,B$147)+SUMIFS('BSE - Other Index Options'!$M:$M,'BSE - Other Index Options'!$C:$C,$A280,'BSE - Other Index Options'!$B:$B,B$147))</f>
        <v/>
      </c>
      <c r="C280" s="26">
        <f>IF(SUMIFS('BSE - SENSEX Index Options'!$M:$M,'BSE - SENSEX Index Options'!$C:$C,$A280,'BSE - SENSEX Index Options'!$B:$B,C$147)+SUMIFS('BSE - Other Index Options'!$M:$M,'BSE - Other Index Options'!$C:$C,$A280,'BSE - Other Index Options'!$B:$B,C$147)=0,"",SUMIFS('BSE - SENSEX Index Options'!$M:$M,'BSE - SENSEX Index Options'!$C:$C,$A280,'BSE - SENSEX Index Options'!$B:$B,C$147)+SUMIFS('BSE - Other Index Options'!$M:$M,'BSE - Other Index Options'!$C:$C,$A280,'BSE - Other Index Options'!$B:$B,C$147))</f>
        <v/>
      </c>
      <c r="D280" s="26">
        <f>IF(SUMIFS('BSE - SENSEX Index Options'!$M:$M,'BSE - SENSEX Index Options'!$C:$C,$A280,'BSE - SENSEX Index Options'!$B:$B,D$147)+SUMIFS('BSE - Other Index Options'!$M:$M,'BSE - Other Index Options'!$C:$C,$A280,'BSE - Other Index Options'!$B:$B,D$147)=0,"",SUMIFS('BSE - SENSEX Index Options'!$M:$M,'BSE - SENSEX Index Options'!$C:$C,$A280,'BSE - SENSEX Index Options'!$B:$B,D$147)+SUMIFS('BSE - Other Index Options'!$M:$M,'BSE - Other Index Options'!$C:$C,$A280,'BSE - Other Index Options'!$B:$B,D$147))</f>
        <v/>
      </c>
      <c r="E280" s="26">
        <f>IF(SUMIFS('BSE - SENSEX Index Options'!$M:$M,'BSE - SENSEX Index Options'!$C:$C,$A280,'BSE - SENSEX Index Options'!$B:$B,E$147)+SUMIFS('BSE - Other Index Options'!$M:$M,'BSE - Other Index Options'!$C:$C,$A280,'BSE - Other Index Options'!$B:$B,E$147)=0,"",SUMIFS('BSE - SENSEX Index Options'!$M:$M,'BSE - SENSEX Index Options'!$C:$C,$A280,'BSE - SENSEX Index Options'!$B:$B,E$147)+SUMIFS('BSE - Other Index Options'!$M:$M,'BSE - Other Index Options'!$C:$C,$A280,'BSE - Other Index Options'!$B:$B,E$147))</f>
        <v/>
      </c>
      <c r="F280" s="26">
        <f>IF(SUMIFS('BSE - SENSEX Index Options'!$M:$M,'BSE - SENSEX Index Options'!$C:$C,$A280,'BSE - SENSEX Index Options'!$B:$B,F$147)+SUMIFS('BSE - Other Index Options'!$M:$M,'BSE - Other Index Options'!$C:$C,$A280,'BSE - Other Index Options'!$B:$B,F$147)=0,"",SUMIFS('BSE - SENSEX Index Options'!$M:$M,'BSE - SENSEX Index Options'!$C:$C,$A280,'BSE - SENSEX Index Options'!$B:$B,F$147)+SUMIFS('BSE - Other Index Options'!$M:$M,'BSE - Other Index Options'!$C:$C,$A280,'BSE - Other Index Options'!$B:$B,F$147))</f>
        <v/>
      </c>
      <c r="G280" s="26">
        <f>IF(SUMIFS('BSE - SENSEX Index Options'!$M:$M,'BSE - SENSEX Index Options'!$C:$C,$A280,'BSE - SENSEX Index Options'!$B:$B,G$147)+SUMIFS('BSE - Other Index Options'!$M:$M,'BSE - Other Index Options'!$C:$C,$A280,'BSE - Other Index Options'!$B:$B,G$147)=0,"",SUMIFS('BSE - SENSEX Index Options'!$M:$M,'BSE - SENSEX Index Options'!$C:$C,$A280,'BSE - SENSEX Index Options'!$B:$B,G$147)+SUMIFS('BSE - Other Index Options'!$M:$M,'BSE - Other Index Options'!$C:$C,$A280,'BSE - Other Index Options'!$B:$B,G$147))</f>
        <v/>
      </c>
      <c r="H280" s="26">
        <f>IF(SUM(B280:G280)=0,"",SUM(B280:G280))</f>
        <v/>
      </c>
    </row>
    <row r="281" hidden="1" outlineLevel="1">
      <c r="A281" t="inlineStr">
        <is>
          <t>Week1-Dec-2027</t>
        </is>
      </c>
      <c r="B281" s="26">
        <f>IF(SUMIFS('BSE - SENSEX Index Options'!$M:$M,'BSE - SENSEX Index Options'!$C:$C,$A281,'BSE - SENSEX Index Options'!$B:$B,B$147)+SUMIFS('BSE - Other Index Options'!$M:$M,'BSE - Other Index Options'!$C:$C,$A281,'BSE - Other Index Options'!$B:$B,B$147)=0,"",SUMIFS('BSE - SENSEX Index Options'!$M:$M,'BSE - SENSEX Index Options'!$C:$C,$A281,'BSE - SENSEX Index Options'!$B:$B,B$147)+SUMIFS('BSE - Other Index Options'!$M:$M,'BSE - Other Index Options'!$C:$C,$A281,'BSE - Other Index Options'!$B:$B,B$147))</f>
        <v/>
      </c>
      <c r="C281" s="26">
        <f>IF(SUMIFS('BSE - SENSEX Index Options'!$M:$M,'BSE - SENSEX Index Options'!$C:$C,$A281,'BSE - SENSEX Index Options'!$B:$B,C$147)+SUMIFS('BSE - Other Index Options'!$M:$M,'BSE - Other Index Options'!$C:$C,$A281,'BSE - Other Index Options'!$B:$B,C$147)=0,"",SUMIFS('BSE - SENSEX Index Options'!$M:$M,'BSE - SENSEX Index Options'!$C:$C,$A281,'BSE - SENSEX Index Options'!$B:$B,C$147)+SUMIFS('BSE - Other Index Options'!$M:$M,'BSE - Other Index Options'!$C:$C,$A281,'BSE - Other Index Options'!$B:$B,C$147))</f>
        <v/>
      </c>
      <c r="D281" s="26">
        <f>IF(SUMIFS('BSE - SENSEX Index Options'!$M:$M,'BSE - SENSEX Index Options'!$C:$C,$A281,'BSE - SENSEX Index Options'!$B:$B,D$147)+SUMIFS('BSE - Other Index Options'!$M:$M,'BSE - Other Index Options'!$C:$C,$A281,'BSE - Other Index Options'!$B:$B,D$147)=0,"",SUMIFS('BSE - SENSEX Index Options'!$M:$M,'BSE - SENSEX Index Options'!$C:$C,$A281,'BSE - SENSEX Index Options'!$B:$B,D$147)+SUMIFS('BSE - Other Index Options'!$M:$M,'BSE - Other Index Options'!$C:$C,$A281,'BSE - Other Index Options'!$B:$B,D$147))</f>
        <v/>
      </c>
      <c r="E281" s="26">
        <f>IF(SUMIFS('BSE - SENSEX Index Options'!$M:$M,'BSE - SENSEX Index Options'!$C:$C,$A281,'BSE - SENSEX Index Options'!$B:$B,E$147)+SUMIFS('BSE - Other Index Options'!$M:$M,'BSE - Other Index Options'!$C:$C,$A281,'BSE - Other Index Options'!$B:$B,E$147)=0,"",SUMIFS('BSE - SENSEX Index Options'!$M:$M,'BSE - SENSEX Index Options'!$C:$C,$A281,'BSE - SENSEX Index Options'!$B:$B,E$147)+SUMIFS('BSE - Other Index Options'!$M:$M,'BSE - Other Index Options'!$C:$C,$A281,'BSE - Other Index Options'!$B:$B,E$147))</f>
        <v/>
      </c>
      <c r="F281" s="26">
        <f>IF(SUMIFS('BSE - SENSEX Index Options'!$M:$M,'BSE - SENSEX Index Options'!$C:$C,$A281,'BSE - SENSEX Index Options'!$B:$B,F$147)+SUMIFS('BSE - Other Index Options'!$M:$M,'BSE - Other Index Options'!$C:$C,$A281,'BSE - Other Index Options'!$B:$B,F$147)=0,"",SUMIFS('BSE - SENSEX Index Options'!$M:$M,'BSE - SENSEX Index Options'!$C:$C,$A281,'BSE - SENSEX Index Options'!$B:$B,F$147)+SUMIFS('BSE - Other Index Options'!$M:$M,'BSE - Other Index Options'!$C:$C,$A281,'BSE - Other Index Options'!$B:$B,F$147))</f>
        <v/>
      </c>
      <c r="G281" s="26">
        <f>IF(SUMIFS('BSE - SENSEX Index Options'!$M:$M,'BSE - SENSEX Index Options'!$C:$C,$A281,'BSE - SENSEX Index Options'!$B:$B,G$147)+SUMIFS('BSE - Other Index Options'!$M:$M,'BSE - Other Index Options'!$C:$C,$A281,'BSE - Other Index Options'!$B:$B,G$147)=0,"",SUMIFS('BSE - SENSEX Index Options'!$M:$M,'BSE - SENSEX Index Options'!$C:$C,$A281,'BSE - SENSEX Index Options'!$B:$B,G$147)+SUMIFS('BSE - Other Index Options'!$M:$M,'BSE - Other Index Options'!$C:$C,$A281,'BSE - Other Index Options'!$B:$B,G$147))</f>
        <v/>
      </c>
      <c r="H281" s="26">
        <f>IF(SUM(B281:G281)=0,"",SUM(B281:G281))</f>
        <v/>
      </c>
    </row>
    <row r="282" hidden="1" outlineLevel="1">
      <c r="A282" t="inlineStr">
        <is>
          <t>Week2-Dec-2027</t>
        </is>
      </c>
      <c r="B282" s="26">
        <f>IF(SUMIFS('BSE - SENSEX Index Options'!$M:$M,'BSE - SENSEX Index Options'!$C:$C,$A282,'BSE - SENSEX Index Options'!$B:$B,B$147)+SUMIFS('BSE - Other Index Options'!$M:$M,'BSE - Other Index Options'!$C:$C,$A282,'BSE - Other Index Options'!$B:$B,B$147)=0,"",SUMIFS('BSE - SENSEX Index Options'!$M:$M,'BSE - SENSEX Index Options'!$C:$C,$A282,'BSE - SENSEX Index Options'!$B:$B,B$147)+SUMIFS('BSE - Other Index Options'!$M:$M,'BSE - Other Index Options'!$C:$C,$A282,'BSE - Other Index Options'!$B:$B,B$147))</f>
        <v/>
      </c>
      <c r="C282" s="26">
        <f>IF(SUMIFS('BSE - SENSEX Index Options'!$M:$M,'BSE - SENSEX Index Options'!$C:$C,$A282,'BSE - SENSEX Index Options'!$B:$B,C$147)+SUMIFS('BSE - Other Index Options'!$M:$M,'BSE - Other Index Options'!$C:$C,$A282,'BSE - Other Index Options'!$B:$B,C$147)=0,"",SUMIFS('BSE - SENSEX Index Options'!$M:$M,'BSE - SENSEX Index Options'!$C:$C,$A282,'BSE - SENSEX Index Options'!$B:$B,C$147)+SUMIFS('BSE - Other Index Options'!$M:$M,'BSE - Other Index Options'!$C:$C,$A282,'BSE - Other Index Options'!$B:$B,C$147))</f>
        <v/>
      </c>
      <c r="D282" s="26">
        <f>IF(SUMIFS('BSE - SENSEX Index Options'!$M:$M,'BSE - SENSEX Index Options'!$C:$C,$A282,'BSE - SENSEX Index Options'!$B:$B,D$147)+SUMIFS('BSE - Other Index Options'!$M:$M,'BSE - Other Index Options'!$C:$C,$A282,'BSE - Other Index Options'!$B:$B,D$147)=0,"",SUMIFS('BSE - SENSEX Index Options'!$M:$M,'BSE - SENSEX Index Options'!$C:$C,$A282,'BSE - SENSEX Index Options'!$B:$B,D$147)+SUMIFS('BSE - Other Index Options'!$M:$M,'BSE - Other Index Options'!$C:$C,$A282,'BSE - Other Index Options'!$B:$B,D$147))</f>
        <v/>
      </c>
      <c r="E282" s="26">
        <f>IF(SUMIFS('BSE - SENSEX Index Options'!$M:$M,'BSE - SENSEX Index Options'!$C:$C,$A282,'BSE - SENSEX Index Options'!$B:$B,E$147)+SUMIFS('BSE - Other Index Options'!$M:$M,'BSE - Other Index Options'!$C:$C,$A282,'BSE - Other Index Options'!$B:$B,E$147)=0,"",SUMIFS('BSE - SENSEX Index Options'!$M:$M,'BSE - SENSEX Index Options'!$C:$C,$A282,'BSE - SENSEX Index Options'!$B:$B,E$147)+SUMIFS('BSE - Other Index Options'!$M:$M,'BSE - Other Index Options'!$C:$C,$A282,'BSE - Other Index Options'!$B:$B,E$147))</f>
        <v/>
      </c>
      <c r="F282" s="26">
        <f>IF(SUMIFS('BSE - SENSEX Index Options'!$M:$M,'BSE - SENSEX Index Options'!$C:$C,$A282,'BSE - SENSEX Index Options'!$B:$B,F$147)+SUMIFS('BSE - Other Index Options'!$M:$M,'BSE - Other Index Options'!$C:$C,$A282,'BSE - Other Index Options'!$B:$B,F$147)=0,"",SUMIFS('BSE - SENSEX Index Options'!$M:$M,'BSE - SENSEX Index Options'!$C:$C,$A282,'BSE - SENSEX Index Options'!$B:$B,F$147)+SUMIFS('BSE - Other Index Options'!$M:$M,'BSE - Other Index Options'!$C:$C,$A282,'BSE - Other Index Options'!$B:$B,F$147))</f>
        <v/>
      </c>
      <c r="G282" s="26">
        <f>IF(SUMIFS('BSE - SENSEX Index Options'!$M:$M,'BSE - SENSEX Index Options'!$C:$C,$A282,'BSE - SENSEX Index Options'!$B:$B,G$147)+SUMIFS('BSE - Other Index Options'!$M:$M,'BSE - Other Index Options'!$C:$C,$A282,'BSE - Other Index Options'!$B:$B,G$147)=0,"",SUMIFS('BSE - SENSEX Index Options'!$M:$M,'BSE - SENSEX Index Options'!$C:$C,$A282,'BSE - SENSEX Index Options'!$B:$B,G$147)+SUMIFS('BSE - Other Index Options'!$M:$M,'BSE - Other Index Options'!$C:$C,$A282,'BSE - Other Index Options'!$B:$B,G$147))</f>
        <v/>
      </c>
      <c r="H282" s="26">
        <f>IF(SUM(B282:G282)=0,"",SUM(B282:G282))</f>
        <v/>
      </c>
    </row>
    <row r="283" hidden="1" outlineLevel="1">
      <c r="A283" t="inlineStr">
        <is>
          <t>Week3-Dec-2027</t>
        </is>
      </c>
      <c r="B283" s="26">
        <f>IF(SUMIFS('BSE - SENSEX Index Options'!$M:$M,'BSE - SENSEX Index Options'!$C:$C,$A283,'BSE - SENSEX Index Options'!$B:$B,B$147)+SUMIFS('BSE - Other Index Options'!$M:$M,'BSE - Other Index Options'!$C:$C,$A283,'BSE - Other Index Options'!$B:$B,B$147)=0,"",SUMIFS('BSE - SENSEX Index Options'!$M:$M,'BSE - SENSEX Index Options'!$C:$C,$A283,'BSE - SENSEX Index Options'!$B:$B,B$147)+SUMIFS('BSE - Other Index Options'!$M:$M,'BSE - Other Index Options'!$C:$C,$A283,'BSE - Other Index Options'!$B:$B,B$147))</f>
        <v/>
      </c>
      <c r="C283" s="26">
        <f>IF(SUMIFS('BSE - SENSEX Index Options'!$M:$M,'BSE - SENSEX Index Options'!$C:$C,$A283,'BSE - SENSEX Index Options'!$B:$B,C$147)+SUMIFS('BSE - Other Index Options'!$M:$M,'BSE - Other Index Options'!$C:$C,$A283,'BSE - Other Index Options'!$B:$B,C$147)=0,"",SUMIFS('BSE - SENSEX Index Options'!$M:$M,'BSE - SENSEX Index Options'!$C:$C,$A283,'BSE - SENSEX Index Options'!$B:$B,C$147)+SUMIFS('BSE - Other Index Options'!$M:$M,'BSE - Other Index Options'!$C:$C,$A283,'BSE - Other Index Options'!$B:$B,C$147))</f>
        <v/>
      </c>
      <c r="D283" s="26">
        <f>IF(SUMIFS('BSE - SENSEX Index Options'!$M:$M,'BSE - SENSEX Index Options'!$C:$C,$A283,'BSE - SENSEX Index Options'!$B:$B,D$147)+SUMIFS('BSE - Other Index Options'!$M:$M,'BSE - Other Index Options'!$C:$C,$A283,'BSE - Other Index Options'!$B:$B,D$147)=0,"",SUMIFS('BSE - SENSEX Index Options'!$M:$M,'BSE - SENSEX Index Options'!$C:$C,$A283,'BSE - SENSEX Index Options'!$B:$B,D$147)+SUMIFS('BSE - Other Index Options'!$M:$M,'BSE - Other Index Options'!$C:$C,$A283,'BSE - Other Index Options'!$B:$B,D$147))</f>
        <v/>
      </c>
      <c r="E283" s="26">
        <f>IF(SUMIFS('BSE - SENSEX Index Options'!$M:$M,'BSE - SENSEX Index Options'!$C:$C,$A283,'BSE - SENSEX Index Options'!$B:$B,E$147)+SUMIFS('BSE - Other Index Options'!$M:$M,'BSE - Other Index Options'!$C:$C,$A283,'BSE - Other Index Options'!$B:$B,E$147)=0,"",SUMIFS('BSE - SENSEX Index Options'!$M:$M,'BSE - SENSEX Index Options'!$C:$C,$A283,'BSE - SENSEX Index Options'!$B:$B,E$147)+SUMIFS('BSE - Other Index Options'!$M:$M,'BSE - Other Index Options'!$C:$C,$A283,'BSE - Other Index Options'!$B:$B,E$147))</f>
        <v/>
      </c>
      <c r="F283" s="26">
        <f>IF(SUMIFS('BSE - SENSEX Index Options'!$M:$M,'BSE - SENSEX Index Options'!$C:$C,$A283,'BSE - SENSEX Index Options'!$B:$B,F$147)+SUMIFS('BSE - Other Index Options'!$M:$M,'BSE - Other Index Options'!$C:$C,$A283,'BSE - Other Index Options'!$B:$B,F$147)=0,"",SUMIFS('BSE - SENSEX Index Options'!$M:$M,'BSE - SENSEX Index Options'!$C:$C,$A283,'BSE - SENSEX Index Options'!$B:$B,F$147)+SUMIFS('BSE - Other Index Options'!$M:$M,'BSE - Other Index Options'!$C:$C,$A283,'BSE - Other Index Options'!$B:$B,F$147))</f>
        <v/>
      </c>
      <c r="G283" s="26">
        <f>IF(SUMIFS('BSE - SENSEX Index Options'!$M:$M,'BSE - SENSEX Index Options'!$C:$C,$A283,'BSE - SENSEX Index Options'!$B:$B,G$147)+SUMIFS('BSE - Other Index Options'!$M:$M,'BSE - Other Index Options'!$C:$C,$A283,'BSE - Other Index Options'!$B:$B,G$147)=0,"",SUMIFS('BSE - SENSEX Index Options'!$M:$M,'BSE - SENSEX Index Options'!$C:$C,$A283,'BSE - SENSEX Index Options'!$B:$B,G$147)+SUMIFS('BSE - Other Index Options'!$M:$M,'BSE - Other Index Options'!$C:$C,$A283,'BSE - Other Index Options'!$B:$B,G$147))</f>
        <v/>
      </c>
      <c r="H283" s="26">
        <f>IF(SUM(B283:G283)=0,"",SUM(B283:G283))</f>
        <v/>
      </c>
    </row>
    <row r="284" hidden="1" outlineLevel="1">
      <c r="A284" t="inlineStr">
        <is>
          <t>Week4-Dec-2027</t>
        </is>
      </c>
      <c r="B284" s="26">
        <f>IF(SUMIFS('BSE - SENSEX Index Options'!$M:$M,'BSE - SENSEX Index Options'!$C:$C,$A284,'BSE - SENSEX Index Options'!$B:$B,B$147)+SUMIFS('BSE - Other Index Options'!$M:$M,'BSE - Other Index Options'!$C:$C,$A284,'BSE - Other Index Options'!$B:$B,B$147)=0,"",SUMIFS('BSE - SENSEX Index Options'!$M:$M,'BSE - SENSEX Index Options'!$C:$C,$A284,'BSE - SENSEX Index Options'!$B:$B,B$147)+SUMIFS('BSE - Other Index Options'!$M:$M,'BSE - Other Index Options'!$C:$C,$A284,'BSE - Other Index Options'!$B:$B,B$147))</f>
        <v/>
      </c>
      <c r="C284" s="26">
        <f>IF(SUMIFS('BSE - SENSEX Index Options'!$M:$M,'BSE - SENSEX Index Options'!$C:$C,$A284,'BSE - SENSEX Index Options'!$B:$B,C$147)+SUMIFS('BSE - Other Index Options'!$M:$M,'BSE - Other Index Options'!$C:$C,$A284,'BSE - Other Index Options'!$B:$B,C$147)=0,"",SUMIFS('BSE - SENSEX Index Options'!$M:$M,'BSE - SENSEX Index Options'!$C:$C,$A284,'BSE - SENSEX Index Options'!$B:$B,C$147)+SUMIFS('BSE - Other Index Options'!$M:$M,'BSE - Other Index Options'!$C:$C,$A284,'BSE - Other Index Options'!$B:$B,C$147))</f>
        <v/>
      </c>
      <c r="D284" s="26">
        <f>IF(SUMIFS('BSE - SENSEX Index Options'!$M:$M,'BSE - SENSEX Index Options'!$C:$C,$A284,'BSE - SENSEX Index Options'!$B:$B,D$147)+SUMIFS('BSE - Other Index Options'!$M:$M,'BSE - Other Index Options'!$C:$C,$A284,'BSE - Other Index Options'!$B:$B,D$147)=0,"",SUMIFS('BSE - SENSEX Index Options'!$M:$M,'BSE - SENSEX Index Options'!$C:$C,$A284,'BSE - SENSEX Index Options'!$B:$B,D$147)+SUMIFS('BSE - Other Index Options'!$M:$M,'BSE - Other Index Options'!$C:$C,$A284,'BSE - Other Index Options'!$B:$B,D$147))</f>
        <v/>
      </c>
      <c r="E284" s="26">
        <f>IF(SUMIFS('BSE - SENSEX Index Options'!$M:$M,'BSE - SENSEX Index Options'!$C:$C,$A284,'BSE - SENSEX Index Options'!$B:$B,E$147)+SUMIFS('BSE - Other Index Options'!$M:$M,'BSE - Other Index Options'!$C:$C,$A284,'BSE - Other Index Options'!$B:$B,E$147)=0,"",SUMIFS('BSE - SENSEX Index Options'!$M:$M,'BSE - SENSEX Index Options'!$C:$C,$A284,'BSE - SENSEX Index Options'!$B:$B,E$147)+SUMIFS('BSE - Other Index Options'!$M:$M,'BSE - Other Index Options'!$C:$C,$A284,'BSE - Other Index Options'!$B:$B,E$147))</f>
        <v/>
      </c>
      <c r="F284" s="26">
        <f>IF(SUMIFS('BSE - SENSEX Index Options'!$M:$M,'BSE - SENSEX Index Options'!$C:$C,$A284,'BSE - SENSEX Index Options'!$B:$B,F$147)+SUMIFS('BSE - Other Index Options'!$M:$M,'BSE - Other Index Options'!$C:$C,$A284,'BSE - Other Index Options'!$B:$B,F$147)=0,"",SUMIFS('BSE - SENSEX Index Options'!$M:$M,'BSE - SENSEX Index Options'!$C:$C,$A284,'BSE - SENSEX Index Options'!$B:$B,F$147)+SUMIFS('BSE - Other Index Options'!$M:$M,'BSE - Other Index Options'!$C:$C,$A284,'BSE - Other Index Options'!$B:$B,F$147))</f>
        <v/>
      </c>
      <c r="G284" s="26">
        <f>IF(SUMIFS('BSE - SENSEX Index Options'!$M:$M,'BSE - SENSEX Index Options'!$C:$C,$A284,'BSE - SENSEX Index Options'!$B:$B,G$147)+SUMIFS('BSE - Other Index Options'!$M:$M,'BSE - Other Index Options'!$C:$C,$A284,'BSE - Other Index Options'!$B:$B,G$147)=0,"",SUMIFS('BSE - SENSEX Index Options'!$M:$M,'BSE - SENSEX Index Options'!$C:$C,$A284,'BSE - SENSEX Index Options'!$B:$B,G$147)+SUMIFS('BSE - Other Index Options'!$M:$M,'BSE - Other Index Options'!$C:$C,$A284,'BSE - Other Index Options'!$B:$B,G$147))</f>
        <v/>
      </c>
      <c r="H284" s="26">
        <f>IF(SUM(B284:G284)=0,"",SUM(B284:G284))</f>
        <v/>
      </c>
    </row>
    <row r="285" hidden="1" outlineLevel="1">
      <c r="A285" t="inlineStr">
        <is>
          <t>Week5-Dec-2027</t>
        </is>
      </c>
      <c r="B285" s="26">
        <f>IF(SUMIFS('BSE - SENSEX Index Options'!$M:$M,'BSE - SENSEX Index Options'!$C:$C,$A285,'BSE - SENSEX Index Options'!$B:$B,B$147)+SUMIFS('BSE - Other Index Options'!$M:$M,'BSE - Other Index Options'!$C:$C,$A285,'BSE - Other Index Options'!$B:$B,B$147)=0,"",SUMIFS('BSE - SENSEX Index Options'!$M:$M,'BSE - SENSEX Index Options'!$C:$C,$A285,'BSE - SENSEX Index Options'!$B:$B,B$147)+SUMIFS('BSE - Other Index Options'!$M:$M,'BSE - Other Index Options'!$C:$C,$A285,'BSE - Other Index Options'!$B:$B,B$147))</f>
        <v/>
      </c>
      <c r="C285" s="26">
        <f>IF(SUMIFS('BSE - SENSEX Index Options'!$M:$M,'BSE - SENSEX Index Options'!$C:$C,$A285,'BSE - SENSEX Index Options'!$B:$B,C$147)+SUMIFS('BSE - Other Index Options'!$M:$M,'BSE - Other Index Options'!$C:$C,$A285,'BSE - Other Index Options'!$B:$B,C$147)=0,"",SUMIFS('BSE - SENSEX Index Options'!$M:$M,'BSE - SENSEX Index Options'!$C:$C,$A285,'BSE - SENSEX Index Options'!$B:$B,C$147)+SUMIFS('BSE - Other Index Options'!$M:$M,'BSE - Other Index Options'!$C:$C,$A285,'BSE - Other Index Options'!$B:$B,C$147))</f>
        <v/>
      </c>
      <c r="D285" s="26">
        <f>IF(SUMIFS('BSE - SENSEX Index Options'!$M:$M,'BSE - SENSEX Index Options'!$C:$C,$A285,'BSE - SENSEX Index Options'!$B:$B,D$147)+SUMIFS('BSE - Other Index Options'!$M:$M,'BSE - Other Index Options'!$C:$C,$A285,'BSE - Other Index Options'!$B:$B,D$147)=0,"",SUMIFS('BSE - SENSEX Index Options'!$M:$M,'BSE - SENSEX Index Options'!$C:$C,$A285,'BSE - SENSEX Index Options'!$B:$B,D$147)+SUMIFS('BSE - Other Index Options'!$M:$M,'BSE - Other Index Options'!$C:$C,$A285,'BSE - Other Index Options'!$B:$B,D$147))</f>
        <v/>
      </c>
      <c r="E285" s="26">
        <f>IF(SUMIFS('BSE - SENSEX Index Options'!$M:$M,'BSE - SENSEX Index Options'!$C:$C,$A285,'BSE - SENSEX Index Options'!$B:$B,E$147)+SUMIFS('BSE - Other Index Options'!$M:$M,'BSE - Other Index Options'!$C:$C,$A285,'BSE - Other Index Options'!$B:$B,E$147)=0,"",SUMIFS('BSE - SENSEX Index Options'!$M:$M,'BSE - SENSEX Index Options'!$C:$C,$A285,'BSE - SENSEX Index Options'!$B:$B,E$147)+SUMIFS('BSE - Other Index Options'!$M:$M,'BSE - Other Index Options'!$C:$C,$A285,'BSE - Other Index Options'!$B:$B,E$147))</f>
        <v/>
      </c>
      <c r="F285" s="26">
        <f>IF(SUMIFS('BSE - SENSEX Index Options'!$M:$M,'BSE - SENSEX Index Options'!$C:$C,$A285,'BSE - SENSEX Index Options'!$B:$B,F$147)+SUMIFS('BSE - Other Index Options'!$M:$M,'BSE - Other Index Options'!$C:$C,$A285,'BSE - Other Index Options'!$B:$B,F$147)=0,"",SUMIFS('BSE - SENSEX Index Options'!$M:$M,'BSE - SENSEX Index Options'!$C:$C,$A285,'BSE - SENSEX Index Options'!$B:$B,F$147)+SUMIFS('BSE - Other Index Options'!$M:$M,'BSE - Other Index Options'!$C:$C,$A285,'BSE - Other Index Options'!$B:$B,F$147))</f>
        <v/>
      </c>
      <c r="G285" s="26">
        <f>IF(SUMIFS('BSE - SENSEX Index Options'!$M:$M,'BSE - SENSEX Index Options'!$C:$C,$A285,'BSE - SENSEX Index Options'!$B:$B,G$147)+SUMIFS('BSE - Other Index Options'!$M:$M,'BSE - Other Index Options'!$C:$C,$A285,'BSE - Other Index Options'!$B:$B,G$147)=0,"",SUMIFS('BSE - SENSEX Index Options'!$M:$M,'BSE - SENSEX Index Options'!$C:$C,$A285,'BSE - SENSEX Index Options'!$B:$B,G$147)+SUMIFS('BSE - Other Index Options'!$M:$M,'BSE - Other Index Options'!$C:$C,$A285,'BSE - Other Index Options'!$B:$B,G$147))</f>
        <v/>
      </c>
      <c r="H285" s="26">
        <f>IF(SUM(B285:G285)=0,"",SUM(B285:G285))</f>
        <v/>
      </c>
    </row>
    <row r="286" collapsed="1">
      <c r="A286" s="28" t="inlineStr">
        <is>
          <t>Total</t>
        </is>
      </c>
      <c r="B286" s="30">
        <f>IF(SUM(B148:B285)=0,"",SUM(B148:B285))</f>
        <v/>
      </c>
      <c r="C286" s="30">
        <f>IF(SUM(C148:C285)=0,"",SUM(C148:C285))</f>
        <v/>
      </c>
      <c r="D286" s="30">
        <f>IF(SUM(D148:D285)=0,"",SUM(D148:D285))</f>
        <v/>
      </c>
      <c r="E286" s="30">
        <f>IF(SUM(E148:E285)=0,"",SUM(E148:E285))</f>
        <v/>
      </c>
      <c r="F286" s="30">
        <f>IF(SUM(F148:F285)=0,"",SUM(F148:F285))</f>
        <v/>
      </c>
      <c r="G286" s="30">
        <f>IF(SUM(G148:G285)=0,"",SUM(G148:G285))</f>
        <v/>
      </c>
      <c r="H286" s="30">
        <f>IF(SUM(H148:H285)=0,"",SUM(H148:H285))</f>
        <v/>
      </c>
    </row>
    <row r="289">
      <c r="A289" s="28" t="inlineStr">
        <is>
          <t>NSE Market Share</t>
        </is>
      </c>
    </row>
    <row r="290">
      <c r="A290" s="28" t="inlineStr">
        <is>
          <t>Trade Week-Month-Year</t>
        </is>
      </c>
      <c r="B290" s="28" t="inlineStr">
        <is>
          <t>Monday</t>
        </is>
      </c>
      <c r="C290" s="28" t="inlineStr">
        <is>
          <t>Tuesday</t>
        </is>
      </c>
      <c r="D290" s="28" t="inlineStr">
        <is>
          <t>Wednesday</t>
        </is>
      </c>
      <c r="E290" s="28" t="inlineStr">
        <is>
          <t>Thursday</t>
        </is>
      </c>
      <c r="F290" s="28" t="inlineStr">
        <is>
          <t>Friday</t>
        </is>
      </c>
      <c r="G290" s="28" t="inlineStr">
        <is>
          <t>Sunday</t>
        </is>
      </c>
      <c r="H290" s="28" t="inlineStr">
        <is>
          <t>Total</t>
        </is>
      </c>
    </row>
    <row r="291">
      <c r="A291" t="inlineStr">
        <is>
          <t>Week1-Sep-2025</t>
        </is>
      </c>
      <c r="B291" s="27">
        <f>IF(SUM(B5,B148)=0,"",SUM(B5)/SUM(B5,B148))</f>
        <v/>
      </c>
      <c r="C291" s="27">
        <f>IF(SUM(C5,C148)=0,"",SUM(C5)/SUM(C5,C148))</f>
        <v/>
      </c>
      <c r="D291" s="27">
        <f>IF(SUM(D5,D148)=0,"",SUM(D5)/SUM(D5,D148))</f>
        <v/>
      </c>
      <c r="E291" s="27">
        <f>IF(SUM(E5,E148)=0,"",SUM(E5)/SUM(E5,E148))</f>
        <v/>
      </c>
      <c r="F291" s="27">
        <f>IF(SUM(F5,F148)=0,"",SUM(F5)/SUM(F5,F148))</f>
        <v/>
      </c>
      <c r="G291" s="27">
        <f>IF(SUM(G5,G148)=0,"",SUM(G5)/SUM(G5,G148))</f>
        <v/>
      </c>
      <c r="H291" s="27">
        <f>IF(SUM(H5,H148)=0,"",SUM(H5)/SUM(H5,H148))</f>
        <v/>
      </c>
    </row>
    <row r="292">
      <c r="A292" t="inlineStr">
        <is>
          <t>Week2-Sep-2025</t>
        </is>
      </c>
      <c r="B292" s="27">
        <f>IF(SUM(B6,B149)=0,"",SUM(B6)/SUM(B6,B149))</f>
        <v/>
      </c>
      <c r="C292" s="27">
        <f>IF(SUM(C6,C149)=0,"",SUM(C6)/SUM(C6,C149))</f>
        <v/>
      </c>
      <c r="D292" s="27">
        <f>IF(SUM(D6,D149)=0,"",SUM(D6)/SUM(D6,D149))</f>
        <v/>
      </c>
      <c r="E292" s="27">
        <f>IF(SUM(E6,E149)=0,"",SUM(E6)/SUM(E6,E149))</f>
        <v/>
      </c>
      <c r="F292" s="27">
        <f>IF(SUM(F6,F149)=0,"",SUM(F6)/SUM(F6,F149))</f>
        <v/>
      </c>
      <c r="G292" s="27">
        <f>IF(SUM(G6,G149)=0,"",SUM(G6)/SUM(G6,G149))</f>
        <v/>
      </c>
      <c r="H292" s="27">
        <f>IF(SUM(H6,H149)=0,"",SUM(H6)/SUM(H6,H149))</f>
        <v/>
      </c>
    </row>
    <row r="293">
      <c r="A293" t="inlineStr">
        <is>
          <t>Week3-Sep-2025</t>
        </is>
      </c>
      <c r="B293" s="27">
        <f>IF(SUM(B7,B150)=0,"",SUM(B7)/SUM(B7,B150))</f>
        <v/>
      </c>
      <c r="C293" s="27">
        <f>IF(SUM(C7,C150)=0,"",SUM(C7)/SUM(C7,C150))</f>
        <v/>
      </c>
      <c r="D293" s="27">
        <f>IF(SUM(D7,D150)=0,"",SUM(D7)/SUM(D7,D150))</f>
        <v/>
      </c>
      <c r="E293" s="27">
        <f>IF(SUM(E7,E150)=0,"",SUM(E7)/SUM(E7,E150))</f>
        <v/>
      </c>
      <c r="F293" s="27">
        <f>IF(SUM(F7,F150)=0,"",SUM(F7)/SUM(F7,F150))</f>
        <v/>
      </c>
      <c r="G293" s="27">
        <f>IF(SUM(G7,G150)=0,"",SUM(G7)/SUM(G7,G150))</f>
        <v/>
      </c>
      <c r="H293" s="27">
        <f>IF(SUM(H7,H150)=0,"",SUM(H7)/SUM(H7,H150))</f>
        <v/>
      </c>
    </row>
    <row r="294">
      <c r="A294" t="inlineStr">
        <is>
          <t>Week4-Sep-2025</t>
        </is>
      </c>
      <c r="B294" s="27">
        <f>IF(SUM(B8,B151)=0,"",SUM(B8)/SUM(B8,B151))</f>
        <v/>
      </c>
      <c r="C294" s="27">
        <f>IF(SUM(C8,C151)=0,"",SUM(C8)/SUM(C8,C151))</f>
        <v/>
      </c>
      <c r="D294" s="27">
        <f>IF(SUM(D8,D151)=0,"",SUM(D8)/SUM(D8,D151))</f>
        <v/>
      </c>
      <c r="E294" s="27">
        <f>IF(SUM(E8,E151)=0,"",SUM(E8)/SUM(E8,E151))</f>
        <v/>
      </c>
      <c r="F294" s="27">
        <f>IF(SUM(F8,F151)=0,"",SUM(F8)/SUM(F8,F151))</f>
        <v/>
      </c>
      <c r="G294" s="27">
        <f>IF(SUM(G8,G151)=0,"",SUM(G8)/SUM(G8,G151))</f>
        <v/>
      </c>
      <c r="H294" s="27">
        <f>IF(SUM(H8,H151)=0,"",SUM(H8)/SUM(H8,H151))</f>
        <v/>
      </c>
    </row>
    <row r="295">
      <c r="A295" t="inlineStr">
        <is>
          <t>Week5-Sep-2025</t>
        </is>
      </c>
      <c r="B295" s="27">
        <f>IF(SUM(B9,B152)=0,"",SUM(B9)/SUM(B9,B152))</f>
        <v/>
      </c>
      <c r="C295" s="27">
        <f>IF(SUM(C9,C152)=0,"",SUM(C9)/SUM(C9,C152))</f>
        <v/>
      </c>
      <c r="D295" s="27">
        <f>IF(SUM(D9,D152)=0,"",SUM(D9)/SUM(D9,D152))</f>
        <v/>
      </c>
      <c r="E295" s="27">
        <f>IF(SUM(E9,E152)=0,"",SUM(E9)/SUM(E9,E152))</f>
        <v/>
      </c>
      <c r="F295" s="27">
        <f>IF(SUM(F9,F152)=0,"",SUM(F9)/SUM(F9,F152))</f>
        <v/>
      </c>
      <c r="G295" s="27">
        <f>IF(SUM(G9,G152)=0,"",SUM(G9)/SUM(G9,G152))</f>
        <v/>
      </c>
      <c r="H295" s="27">
        <f>IF(SUM(H9,H152)=0,"",SUM(H9)/SUM(H9,H152))</f>
        <v/>
      </c>
    </row>
    <row r="296">
      <c r="A296" t="inlineStr">
        <is>
          <t>Week1-Oct-2025</t>
        </is>
      </c>
      <c r="B296" s="27">
        <f>IF(SUM(B10,B153)=0,"",SUM(B10)/SUM(B10,B153))</f>
        <v/>
      </c>
      <c r="C296" s="27">
        <f>IF(SUM(C10,C153)=0,"",SUM(C10)/SUM(C10,C153))</f>
        <v/>
      </c>
      <c r="D296" s="27">
        <f>IF(SUM(D10,D153)=0,"",SUM(D10)/SUM(D10,D153))</f>
        <v/>
      </c>
      <c r="E296" s="27">
        <f>IF(SUM(E10,E153)=0,"",SUM(E10)/SUM(E10,E153))</f>
        <v/>
      </c>
      <c r="F296" s="27">
        <f>IF(SUM(F10,F153)=0,"",SUM(F10)/SUM(F10,F153))</f>
        <v/>
      </c>
      <c r="G296" s="27">
        <f>IF(SUM(G10,G153)=0,"",SUM(G10)/SUM(G10,G153))</f>
        <v/>
      </c>
      <c r="H296" s="27">
        <f>IF(SUM(H10,H153)=0,"",SUM(H10)/SUM(H10,H153))</f>
        <v/>
      </c>
    </row>
    <row r="297">
      <c r="A297" t="inlineStr">
        <is>
          <t>Week2-Oct-2025</t>
        </is>
      </c>
      <c r="B297" s="27">
        <f>IF(SUM(B11,B154)=0,"",SUM(B11)/SUM(B11,B154))</f>
        <v/>
      </c>
      <c r="C297" s="27">
        <f>IF(SUM(C11,C154)=0,"",SUM(C11)/SUM(C11,C154))</f>
        <v/>
      </c>
      <c r="D297" s="27">
        <f>IF(SUM(D11,D154)=0,"",SUM(D11)/SUM(D11,D154))</f>
        <v/>
      </c>
      <c r="E297" s="27">
        <f>IF(SUM(E11,E154)=0,"",SUM(E11)/SUM(E11,E154))</f>
        <v/>
      </c>
      <c r="F297" s="27">
        <f>IF(SUM(F11,F154)=0,"",SUM(F11)/SUM(F11,F154))</f>
        <v/>
      </c>
      <c r="G297" s="27">
        <f>IF(SUM(G11,G154)=0,"",SUM(G11)/SUM(G11,G154))</f>
        <v/>
      </c>
      <c r="H297" s="27">
        <f>IF(SUM(H11,H154)=0,"",SUM(H11)/SUM(H11,H154))</f>
        <v/>
      </c>
    </row>
    <row r="298">
      <c r="A298" t="inlineStr">
        <is>
          <t>Week3-Oct-2025</t>
        </is>
      </c>
      <c r="B298" s="27">
        <f>IF(SUM(B12,B155)=0,"",SUM(B12)/SUM(B12,B155))</f>
        <v/>
      </c>
      <c r="C298" s="27">
        <f>IF(SUM(C12,C155)=0,"",SUM(C12)/SUM(C12,C155))</f>
        <v/>
      </c>
      <c r="D298" s="27">
        <f>IF(SUM(D12,D155)=0,"",SUM(D12)/SUM(D12,D155))</f>
        <v/>
      </c>
      <c r="E298" s="27">
        <f>IF(SUM(E12,E155)=0,"",SUM(E12)/SUM(E12,E155))</f>
        <v/>
      </c>
      <c r="F298" s="27">
        <f>IF(SUM(F12,F155)=0,"",SUM(F12)/SUM(F12,F155))</f>
        <v/>
      </c>
      <c r="G298" s="27">
        <f>IF(SUM(G12,G155)=0,"",SUM(G12)/SUM(G12,G155))</f>
        <v/>
      </c>
      <c r="H298" s="27">
        <f>IF(SUM(H12,H155)=0,"",SUM(H12)/SUM(H12,H155))</f>
        <v/>
      </c>
    </row>
    <row r="299">
      <c r="A299" t="inlineStr">
        <is>
          <t>Week4-Oct-2025</t>
        </is>
      </c>
      <c r="B299" s="27">
        <f>IF(SUM(B13,B156)=0,"",SUM(B13)/SUM(B13,B156))</f>
        <v/>
      </c>
      <c r="C299" s="27">
        <f>IF(SUM(C13,C156)=0,"",SUM(C13)/SUM(C13,C156))</f>
        <v/>
      </c>
      <c r="D299" s="27">
        <f>IF(SUM(D13,D156)=0,"",SUM(D13)/SUM(D13,D156))</f>
        <v/>
      </c>
      <c r="E299" s="27">
        <f>IF(SUM(E13,E156)=0,"",SUM(E13)/SUM(E13,E156))</f>
        <v/>
      </c>
      <c r="F299" s="27">
        <f>IF(SUM(F13,F156)=0,"",SUM(F13)/SUM(F13,F156))</f>
        <v/>
      </c>
      <c r="G299" s="27">
        <f>IF(SUM(G13,G156)=0,"",SUM(G13)/SUM(G13,G156))</f>
        <v/>
      </c>
      <c r="H299" s="27">
        <f>IF(SUM(H13,H156)=0,"",SUM(H13)/SUM(H13,H156))</f>
        <v/>
      </c>
    </row>
    <row r="300">
      <c r="A300" t="inlineStr">
        <is>
          <t>Week5-Oct-2025</t>
        </is>
      </c>
      <c r="B300" s="27">
        <f>IF(SUM(B14,B157)=0,"",SUM(B14)/SUM(B14,B157))</f>
        <v/>
      </c>
      <c r="C300" s="27">
        <f>IF(SUM(C14,C157)=0,"",SUM(C14)/SUM(C14,C157))</f>
        <v/>
      </c>
      <c r="D300" s="27">
        <f>IF(SUM(D14,D157)=0,"",SUM(D14)/SUM(D14,D157))</f>
        <v/>
      </c>
      <c r="E300" s="27">
        <f>IF(SUM(E14,E157)=0,"",SUM(E14)/SUM(E14,E157))</f>
        <v/>
      </c>
      <c r="F300" s="27">
        <f>IF(SUM(F14,F157)=0,"",SUM(F14)/SUM(F14,F157))</f>
        <v/>
      </c>
      <c r="G300" s="27">
        <f>IF(SUM(G14,G157)=0,"",SUM(G14)/SUM(G14,G157))</f>
        <v/>
      </c>
      <c r="H300" s="27">
        <f>IF(SUM(H14,H157)=0,"",SUM(H14)/SUM(H14,H157))</f>
        <v/>
      </c>
    </row>
    <row r="301">
      <c r="A301" t="inlineStr">
        <is>
          <t>Week1-Nov-2025</t>
        </is>
      </c>
      <c r="B301" s="27">
        <f>IF(SUM(B15,B158)=0,"",SUM(B15)/SUM(B15,B158))</f>
        <v/>
      </c>
      <c r="C301" s="27">
        <f>IF(SUM(C15,C158)=0,"",SUM(C15)/SUM(C15,C158))</f>
        <v/>
      </c>
      <c r="D301" s="27">
        <f>IF(SUM(D15,D158)=0,"",SUM(D15)/SUM(D15,D158))</f>
        <v/>
      </c>
      <c r="E301" s="27">
        <f>IF(SUM(E15,E158)=0,"",SUM(E15)/SUM(E15,E158))</f>
        <v/>
      </c>
      <c r="F301" s="27">
        <f>IF(SUM(F15,F158)=0,"",SUM(F15)/SUM(F15,F158))</f>
        <v/>
      </c>
      <c r="G301" s="27">
        <f>IF(SUM(G15,G158)=0,"",SUM(G15)/SUM(G15,G158))</f>
        <v/>
      </c>
      <c r="H301" s="27">
        <f>IF(SUM(H15,H158)=0,"",SUM(H15)/SUM(H15,H158))</f>
        <v/>
      </c>
    </row>
    <row r="302">
      <c r="A302" t="inlineStr">
        <is>
          <t>Week2-Nov-2025</t>
        </is>
      </c>
      <c r="B302" s="27">
        <f>IF(SUM(B16,B159)=0,"",SUM(B16)/SUM(B16,B159))</f>
        <v/>
      </c>
      <c r="C302" s="27">
        <f>IF(SUM(C16,C159)=0,"",SUM(C16)/SUM(C16,C159))</f>
        <v/>
      </c>
      <c r="D302" s="27">
        <f>IF(SUM(D16,D159)=0,"",SUM(D16)/SUM(D16,D159))</f>
        <v/>
      </c>
      <c r="E302" s="27">
        <f>IF(SUM(E16,E159)=0,"",SUM(E16)/SUM(E16,E159))</f>
        <v/>
      </c>
      <c r="F302" s="27">
        <f>IF(SUM(F16,F159)=0,"",SUM(F16)/SUM(F16,F159))</f>
        <v/>
      </c>
      <c r="G302" s="27">
        <f>IF(SUM(G16,G159)=0,"",SUM(G16)/SUM(G16,G159))</f>
        <v/>
      </c>
      <c r="H302" s="27">
        <f>IF(SUM(H16,H159)=0,"",SUM(H16)/SUM(H16,H159))</f>
        <v/>
      </c>
    </row>
    <row r="303">
      <c r="A303" t="inlineStr">
        <is>
          <t>Week3-Nov-2025</t>
        </is>
      </c>
      <c r="B303" s="27">
        <f>IF(SUM(B17,B160)=0,"",SUM(B17)/SUM(B17,B160))</f>
        <v/>
      </c>
      <c r="C303" s="27">
        <f>IF(SUM(C17,C160)=0,"",SUM(C17)/SUM(C17,C160))</f>
        <v/>
      </c>
      <c r="D303" s="27">
        <f>IF(SUM(D17,D160)=0,"",SUM(D17)/SUM(D17,D160))</f>
        <v/>
      </c>
      <c r="E303" s="27">
        <f>IF(SUM(E17,E160)=0,"",SUM(E17)/SUM(E17,E160))</f>
        <v/>
      </c>
      <c r="F303" s="27">
        <f>IF(SUM(F17,F160)=0,"",SUM(F17)/SUM(F17,F160))</f>
        <v/>
      </c>
      <c r="G303" s="27">
        <f>IF(SUM(G17,G160)=0,"",SUM(G17)/SUM(G17,G160))</f>
        <v/>
      </c>
      <c r="H303" s="27">
        <f>IF(SUM(H17,H160)=0,"",SUM(H17)/SUM(H17,H160))</f>
        <v/>
      </c>
    </row>
    <row r="304">
      <c r="A304" t="inlineStr">
        <is>
          <t>Week4-Nov-2025</t>
        </is>
      </c>
      <c r="B304" s="27">
        <f>IF(SUM(B18,B161)=0,"",SUM(B18)/SUM(B18,B161))</f>
        <v/>
      </c>
      <c r="C304" s="27">
        <f>IF(SUM(C18,C161)=0,"",SUM(C18)/SUM(C18,C161))</f>
        <v/>
      </c>
      <c r="D304" s="27">
        <f>IF(SUM(D18,D161)=0,"",SUM(D18)/SUM(D18,D161))</f>
        <v/>
      </c>
      <c r="E304" s="27">
        <f>IF(SUM(E18,E161)=0,"",SUM(E18)/SUM(E18,E161))</f>
        <v/>
      </c>
      <c r="F304" s="27">
        <f>IF(SUM(F18,F161)=0,"",SUM(F18)/SUM(F18,F161))</f>
        <v/>
      </c>
      <c r="G304" s="27">
        <f>IF(SUM(G18,G161)=0,"",SUM(G18)/SUM(G18,G161))</f>
        <v/>
      </c>
      <c r="H304" s="27">
        <f>IF(SUM(H18,H161)=0,"",SUM(H18)/SUM(H18,H161))</f>
        <v/>
      </c>
    </row>
    <row r="305">
      <c r="A305" t="inlineStr">
        <is>
          <t>Week5-Nov-2025</t>
        </is>
      </c>
      <c r="B305" s="27">
        <f>IF(SUM(B19,B162)=0,"",SUM(B19)/SUM(B19,B162))</f>
        <v/>
      </c>
      <c r="C305" s="27">
        <f>IF(SUM(C19,C162)=0,"",SUM(C19)/SUM(C19,C162))</f>
        <v/>
      </c>
      <c r="D305" s="27">
        <f>IF(SUM(D19,D162)=0,"",SUM(D19)/SUM(D19,D162))</f>
        <v/>
      </c>
      <c r="E305" s="27">
        <f>IF(SUM(E19,E162)=0,"",SUM(E19)/SUM(E19,E162))</f>
        <v/>
      </c>
      <c r="F305" s="27">
        <f>IF(SUM(F19,F162)=0,"",SUM(F19)/SUM(F19,F162))</f>
        <v/>
      </c>
      <c r="G305" s="27">
        <f>IF(SUM(G19,G162)=0,"",SUM(G19)/SUM(G19,G162))</f>
        <v/>
      </c>
      <c r="H305" s="27">
        <f>IF(SUM(H19,H162)=0,"",SUM(H19)/SUM(H19,H162))</f>
        <v/>
      </c>
    </row>
    <row r="306">
      <c r="A306" t="inlineStr">
        <is>
          <t>Week1-Dec-2025</t>
        </is>
      </c>
      <c r="B306" s="27">
        <f>IF(SUM(B20,B163)=0,"",SUM(B20)/SUM(B20,B163))</f>
        <v/>
      </c>
      <c r="C306" s="27">
        <f>IF(SUM(C20,C163)=0,"",SUM(C20)/SUM(C20,C163))</f>
        <v/>
      </c>
      <c r="D306" s="27">
        <f>IF(SUM(D20,D163)=0,"",SUM(D20)/SUM(D20,D163))</f>
        <v/>
      </c>
      <c r="E306" s="27">
        <f>IF(SUM(E20,E163)=0,"",SUM(E20)/SUM(E20,E163))</f>
        <v/>
      </c>
      <c r="F306" s="27">
        <f>IF(SUM(F20,F163)=0,"",SUM(F20)/SUM(F20,F163))</f>
        <v/>
      </c>
      <c r="G306" s="27">
        <f>IF(SUM(G20,G163)=0,"",SUM(G20)/SUM(G20,G163))</f>
        <v/>
      </c>
      <c r="H306" s="27">
        <f>IF(SUM(H20,H163)=0,"",SUM(H20)/SUM(H20,H163))</f>
        <v/>
      </c>
    </row>
    <row r="307">
      <c r="A307" t="inlineStr">
        <is>
          <t>Week2-Dec-2025</t>
        </is>
      </c>
      <c r="B307" s="27">
        <f>IF(SUM(B21,B164)=0,"",SUM(B21)/SUM(B21,B164))</f>
        <v/>
      </c>
      <c r="C307" s="27">
        <f>IF(SUM(C21,C164)=0,"",SUM(C21)/SUM(C21,C164))</f>
        <v/>
      </c>
      <c r="D307" s="27">
        <f>IF(SUM(D21,D164)=0,"",SUM(D21)/SUM(D21,D164))</f>
        <v/>
      </c>
      <c r="E307" s="27">
        <f>IF(SUM(E21,E164)=0,"",SUM(E21)/SUM(E21,E164))</f>
        <v/>
      </c>
      <c r="F307" s="27">
        <f>IF(SUM(F21,F164)=0,"",SUM(F21)/SUM(F21,F164))</f>
        <v/>
      </c>
      <c r="G307" s="27">
        <f>IF(SUM(G21,G164)=0,"",SUM(G21)/SUM(G21,G164))</f>
        <v/>
      </c>
      <c r="H307" s="27">
        <f>IF(SUM(H21,H164)=0,"",SUM(H21)/SUM(H21,H164))</f>
        <v/>
      </c>
    </row>
    <row r="308">
      <c r="A308" t="inlineStr">
        <is>
          <t>Week3-Dec-2025</t>
        </is>
      </c>
      <c r="B308" s="27">
        <f>IF(SUM(B22,B165)=0,"",SUM(B22)/SUM(B22,B165))</f>
        <v/>
      </c>
      <c r="C308" s="27">
        <f>IF(SUM(C22,C165)=0,"",SUM(C22)/SUM(C22,C165))</f>
        <v/>
      </c>
      <c r="D308" s="27">
        <f>IF(SUM(D22,D165)=0,"",SUM(D22)/SUM(D22,D165))</f>
        <v/>
      </c>
      <c r="E308" s="27">
        <f>IF(SUM(E22,E165)=0,"",SUM(E22)/SUM(E22,E165))</f>
        <v/>
      </c>
      <c r="F308" s="27">
        <f>IF(SUM(F22,F165)=0,"",SUM(F22)/SUM(F22,F165))</f>
        <v/>
      </c>
      <c r="G308" s="27">
        <f>IF(SUM(G22,G165)=0,"",SUM(G22)/SUM(G22,G165))</f>
        <v/>
      </c>
      <c r="H308" s="27">
        <f>IF(SUM(H22,H165)=0,"",SUM(H22)/SUM(H22,H165))</f>
        <v/>
      </c>
    </row>
    <row r="309">
      <c r="A309" t="inlineStr">
        <is>
          <t>Week4-Dec-2025</t>
        </is>
      </c>
      <c r="B309" s="27">
        <f>IF(SUM(B23,B166)=0,"",SUM(B23)/SUM(B23,B166))</f>
        <v/>
      </c>
      <c r="C309" s="27">
        <f>IF(SUM(C23,C166)=0,"",SUM(C23)/SUM(C23,C166))</f>
        <v/>
      </c>
      <c r="D309" s="27">
        <f>IF(SUM(D23,D166)=0,"",SUM(D23)/SUM(D23,D166))</f>
        <v/>
      </c>
      <c r="E309" s="27">
        <f>IF(SUM(E23,E166)=0,"",SUM(E23)/SUM(E23,E166))</f>
        <v/>
      </c>
      <c r="F309" s="27">
        <f>IF(SUM(F23,F166)=0,"",SUM(F23)/SUM(F23,F166))</f>
        <v/>
      </c>
      <c r="G309" s="27">
        <f>IF(SUM(G23,G166)=0,"",SUM(G23)/SUM(G23,G166))</f>
        <v/>
      </c>
      <c r="H309" s="27">
        <f>IF(SUM(H23,H166)=0,"",SUM(H23)/SUM(H23,H166))</f>
        <v/>
      </c>
    </row>
    <row r="310">
      <c r="A310" t="inlineStr">
        <is>
          <t>Week5-Dec-2025</t>
        </is>
      </c>
      <c r="B310" s="27">
        <f>IF(SUM(B24,B167)=0,"",SUM(B24)/SUM(B24,B167))</f>
        <v/>
      </c>
      <c r="C310" s="27">
        <f>IF(SUM(C24,C167)=0,"",SUM(C24)/SUM(C24,C167))</f>
        <v/>
      </c>
      <c r="D310" s="27">
        <f>IF(SUM(D24,D167)=0,"",SUM(D24)/SUM(D24,D167))</f>
        <v/>
      </c>
      <c r="E310" s="27">
        <f>IF(SUM(E24,E167)=0,"",SUM(E24)/SUM(E24,E167))</f>
        <v/>
      </c>
      <c r="F310" s="27">
        <f>IF(SUM(F24,F167)=0,"",SUM(F24)/SUM(F24,F167))</f>
        <v/>
      </c>
      <c r="G310" s="27">
        <f>IF(SUM(G24,G167)=0,"",SUM(G24)/SUM(G24,G167))</f>
        <v/>
      </c>
      <c r="H310" s="27">
        <f>IF(SUM(H24,H167)=0,"",SUM(H24)/SUM(H24,H167))</f>
        <v/>
      </c>
    </row>
    <row r="311">
      <c r="A311" t="inlineStr">
        <is>
          <t>Week1-Jan-2026</t>
        </is>
      </c>
      <c r="B311" s="27">
        <f>IF(SUM(B25,B168)=0,"",SUM(B25)/SUM(B25,B168))</f>
        <v/>
      </c>
      <c r="C311" s="27">
        <f>IF(SUM(C25,C168)=0,"",SUM(C25)/SUM(C25,C168))</f>
        <v/>
      </c>
      <c r="D311" s="27">
        <f>IF(SUM(D25,D168)=0,"",SUM(D25)/SUM(D25,D168))</f>
        <v/>
      </c>
      <c r="E311" s="27">
        <f>IF(SUM(E25,E168)=0,"",SUM(E25)/SUM(E25,E168))</f>
        <v/>
      </c>
      <c r="F311" s="27">
        <f>IF(SUM(F25,F168)=0,"",SUM(F25)/SUM(F25,F168))</f>
        <v/>
      </c>
      <c r="G311" s="27">
        <f>IF(SUM(G25,G168)=0,"",SUM(G25)/SUM(G25,G168))</f>
        <v/>
      </c>
      <c r="H311" s="27">
        <f>IF(SUM(H25,H168)=0,"",SUM(H25)/SUM(H25,H168))</f>
        <v/>
      </c>
    </row>
    <row r="312">
      <c r="A312" t="inlineStr">
        <is>
          <t>Week2-Jan-2026</t>
        </is>
      </c>
      <c r="B312" s="27">
        <f>IF(SUM(B26,B169)=0,"",SUM(B26)/SUM(B26,B169))</f>
        <v/>
      </c>
      <c r="C312" s="27">
        <f>IF(SUM(C26,C169)=0,"",SUM(C26)/SUM(C26,C169))</f>
        <v/>
      </c>
      <c r="D312" s="27">
        <f>IF(SUM(D26,D169)=0,"",SUM(D26)/SUM(D26,D169))</f>
        <v/>
      </c>
      <c r="E312" s="27">
        <f>IF(SUM(E26,E169)=0,"",SUM(E26)/SUM(E26,E169))</f>
        <v/>
      </c>
      <c r="F312" s="27">
        <f>IF(SUM(F26,F169)=0,"",SUM(F26)/SUM(F26,F169))</f>
        <v/>
      </c>
      <c r="G312" s="27">
        <f>IF(SUM(G26,G169)=0,"",SUM(G26)/SUM(G26,G169))</f>
        <v/>
      </c>
      <c r="H312" s="27">
        <f>IF(SUM(H26,H169)=0,"",SUM(H26)/SUM(H26,H169))</f>
        <v/>
      </c>
    </row>
    <row r="313">
      <c r="A313" t="inlineStr">
        <is>
          <t>Week3-Jan-2026</t>
        </is>
      </c>
      <c r="B313" s="27">
        <f>IF(SUM(B27,B170)=0,"",SUM(B27)/SUM(B27,B170))</f>
        <v/>
      </c>
      <c r="C313" s="27">
        <f>IF(SUM(C27,C170)=0,"",SUM(C27)/SUM(C27,C170))</f>
        <v/>
      </c>
      <c r="D313" s="27">
        <f>IF(SUM(D27,D170)=0,"",SUM(D27)/SUM(D27,D170))</f>
        <v/>
      </c>
      <c r="E313" s="27">
        <f>IF(SUM(E27,E170)=0,"",SUM(E27)/SUM(E27,E170))</f>
        <v/>
      </c>
      <c r="F313" s="27">
        <f>IF(SUM(F27,F170)=0,"",SUM(F27)/SUM(F27,F170))</f>
        <v/>
      </c>
      <c r="G313" s="27">
        <f>IF(SUM(G27,G170)=0,"",SUM(G27)/SUM(G27,G170))</f>
        <v/>
      </c>
      <c r="H313" s="27">
        <f>IF(SUM(H27,H170)=0,"",SUM(H27)/SUM(H27,H170))</f>
        <v/>
      </c>
    </row>
    <row r="314">
      <c r="A314" t="inlineStr">
        <is>
          <t>Week4-Jan-2026</t>
        </is>
      </c>
      <c r="B314" s="27">
        <f>IF(SUM(B28,B171)=0,"",SUM(B28)/SUM(B28,B171))</f>
        <v/>
      </c>
      <c r="C314" s="27">
        <f>IF(SUM(C28,C171)=0,"",SUM(C28)/SUM(C28,C171))</f>
        <v/>
      </c>
      <c r="D314" s="27">
        <f>IF(SUM(D28,D171)=0,"",SUM(D28)/SUM(D28,D171))</f>
        <v/>
      </c>
      <c r="E314" s="27">
        <f>IF(SUM(E28,E171)=0,"",SUM(E28)/SUM(E28,E171))</f>
        <v/>
      </c>
      <c r="F314" s="27">
        <f>IF(SUM(F28,F171)=0,"",SUM(F28)/SUM(F28,F171))</f>
        <v/>
      </c>
      <c r="G314" s="27">
        <f>IF(SUM(G28,G171)=0,"",SUM(G28)/SUM(G28,G171))</f>
        <v/>
      </c>
      <c r="H314" s="27">
        <f>IF(SUM(H28,H171)=0,"",SUM(H28)/SUM(H28,H171))</f>
        <v/>
      </c>
    </row>
    <row r="315">
      <c r="A315" t="inlineStr">
        <is>
          <t>Week5-Jan-2026</t>
        </is>
      </c>
      <c r="B315" s="27">
        <f>IF(SUM(B29,B172)=0,"",SUM(B29)/SUM(B29,B172))</f>
        <v/>
      </c>
      <c r="C315" s="27">
        <f>IF(SUM(C29,C172)=0,"",SUM(C29)/SUM(C29,C172))</f>
        <v/>
      </c>
      <c r="D315" s="27">
        <f>IF(SUM(D29,D172)=0,"",SUM(D29)/SUM(D29,D172))</f>
        <v/>
      </c>
      <c r="E315" s="27">
        <f>IF(SUM(E29,E172)=0,"",SUM(E29)/SUM(E29,E172))</f>
        <v/>
      </c>
      <c r="F315" s="27">
        <f>IF(SUM(F29,F172)=0,"",SUM(F29)/SUM(F29,F172))</f>
        <v/>
      </c>
      <c r="G315" s="27">
        <f>IF(SUM(G29,G172)=0,"",SUM(G29)/SUM(G29,G172))</f>
        <v/>
      </c>
      <c r="H315" s="27">
        <f>IF(SUM(H29,H172)=0,"",SUM(H29)/SUM(H29,H172))</f>
        <v/>
      </c>
    </row>
    <row r="316">
      <c r="A316" t="inlineStr">
        <is>
          <t>Week1-Feb-2026</t>
        </is>
      </c>
      <c r="B316" s="27">
        <f>IF(SUM(B30,B173)=0,"",SUM(B30)/SUM(B30,B173))</f>
        <v/>
      </c>
      <c r="C316" s="27">
        <f>IF(SUM(C30,C173)=0,"",SUM(C30)/SUM(C30,C173))</f>
        <v/>
      </c>
      <c r="D316" s="27">
        <f>IF(SUM(D30,D173)=0,"",SUM(D30)/SUM(D30,D173))</f>
        <v/>
      </c>
      <c r="E316" s="27">
        <f>IF(SUM(E30,E173)=0,"",SUM(E30)/SUM(E30,E173))</f>
        <v/>
      </c>
      <c r="F316" s="27">
        <f>IF(SUM(F30,F173)=0,"",SUM(F30)/SUM(F30,F173))</f>
        <v/>
      </c>
      <c r="G316" s="27">
        <f>IF(SUM(G30,G173)=0,"",SUM(G30)/SUM(G30,G173))</f>
        <v/>
      </c>
      <c r="H316" s="27">
        <f>IF(SUM(H30,H173)=0,"",SUM(H30)/SUM(H30,H173))</f>
        <v/>
      </c>
    </row>
    <row r="317">
      <c r="A317" t="inlineStr">
        <is>
          <t>Week2-Feb-2026</t>
        </is>
      </c>
      <c r="B317" s="27">
        <f>IF(SUM(B31,B174)=0,"",SUM(B31)/SUM(B31,B174))</f>
        <v/>
      </c>
      <c r="C317" s="27">
        <f>IF(SUM(C31,C174)=0,"",SUM(C31)/SUM(C31,C174))</f>
        <v/>
      </c>
      <c r="D317" s="27">
        <f>IF(SUM(D31,D174)=0,"",SUM(D31)/SUM(D31,D174))</f>
        <v/>
      </c>
      <c r="E317" s="27">
        <f>IF(SUM(E31,E174)=0,"",SUM(E31)/SUM(E31,E174))</f>
        <v/>
      </c>
      <c r="F317" s="27">
        <f>IF(SUM(F31,F174)=0,"",SUM(F31)/SUM(F31,F174))</f>
        <v/>
      </c>
      <c r="G317" s="27">
        <f>IF(SUM(G31,G174)=0,"",SUM(G31)/SUM(G31,G174))</f>
        <v/>
      </c>
      <c r="H317" s="27">
        <f>IF(SUM(H31,H174)=0,"",SUM(H31)/SUM(H31,H174))</f>
        <v/>
      </c>
    </row>
    <row r="318">
      <c r="A318" t="inlineStr">
        <is>
          <t>Week3-Feb-2026</t>
        </is>
      </c>
      <c r="B318" s="27">
        <f>IF(SUM(B32,B175)=0,"",SUM(B32)/SUM(B32,B175))</f>
        <v/>
      </c>
      <c r="C318" s="27">
        <f>IF(SUM(C32,C175)=0,"",SUM(C32)/SUM(C32,C175))</f>
        <v/>
      </c>
      <c r="D318" s="27">
        <f>IF(SUM(D32,D175)=0,"",SUM(D32)/SUM(D32,D175))</f>
        <v/>
      </c>
      <c r="E318" s="27">
        <f>IF(SUM(E32,E175)=0,"",SUM(E32)/SUM(E32,E175))</f>
        <v/>
      </c>
      <c r="F318" s="27">
        <f>IF(SUM(F32,F175)=0,"",SUM(F32)/SUM(F32,F175))</f>
        <v/>
      </c>
      <c r="G318" s="27">
        <f>IF(SUM(G32,G175)=0,"",SUM(G32)/SUM(G32,G175))</f>
        <v/>
      </c>
      <c r="H318" s="27">
        <f>IF(SUM(H32,H175)=0,"",SUM(H32)/SUM(H32,H175))</f>
        <v/>
      </c>
    </row>
    <row r="319">
      <c r="A319" t="inlineStr">
        <is>
          <t>Week4-Feb-2026</t>
        </is>
      </c>
      <c r="B319" s="27">
        <f>IF(SUM(B33,B176)=0,"",SUM(B33)/SUM(B33,B176))</f>
        <v/>
      </c>
      <c r="C319" s="27">
        <f>IF(SUM(C33,C176)=0,"",SUM(C33)/SUM(C33,C176))</f>
        <v/>
      </c>
      <c r="D319" s="27">
        <f>IF(SUM(D33,D176)=0,"",SUM(D33)/SUM(D33,D176))</f>
        <v/>
      </c>
      <c r="E319" s="27">
        <f>IF(SUM(E33,E176)=0,"",SUM(E33)/SUM(E33,E176))</f>
        <v/>
      </c>
      <c r="F319" s="27">
        <f>IF(SUM(F33,F176)=0,"",SUM(F33)/SUM(F33,F176))</f>
        <v/>
      </c>
      <c r="G319" s="27">
        <f>IF(SUM(G33,G176)=0,"",SUM(G33)/SUM(G33,G176))</f>
        <v/>
      </c>
      <c r="H319" s="27">
        <f>IF(SUM(H33,H176)=0,"",SUM(H33)/SUM(H33,H176))</f>
        <v/>
      </c>
    </row>
    <row r="320">
      <c r="A320" t="inlineStr">
        <is>
          <t>Week1-Mar-2026</t>
        </is>
      </c>
      <c r="B320" s="27">
        <f>IF(SUM(B34,B177)=0,"",SUM(B34)/SUM(B34,B177))</f>
        <v/>
      </c>
      <c r="C320" s="27">
        <f>IF(SUM(C34,C177)=0,"",SUM(C34)/SUM(C34,C177))</f>
        <v/>
      </c>
      <c r="D320" s="27">
        <f>IF(SUM(D34,D177)=0,"",SUM(D34)/SUM(D34,D177))</f>
        <v/>
      </c>
      <c r="E320" s="27">
        <f>IF(SUM(E34,E177)=0,"",SUM(E34)/SUM(E34,E177))</f>
        <v/>
      </c>
      <c r="F320" s="27">
        <f>IF(SUM(F34,F177)=0,"",SUM(F34)/SUM(F34,F177))</f>
        <v/>
      </c>
      <c r="G320" s="27">
        <f>IF(SUM(G34,G177)=0,"",SUM(G34)/SUM(G34,G177))</f>
        <v/>
      </c>
      <c r="H320" s="27">
        <f>IF(SUM(H34,H177)=0,"",SUM(H34)/SUM(H34,H177))</f>
        <v/>
      </c>
    </row>
    <row r="321">
      <c r="A321" t="inlineStr">
        <is>
          <t>Week2-Mar-2026</t>
        </is>
      </c>
      <c r="B321" s="27">
        <f>IF(SUM(B35,B178)=0,"",SUM(B35)/SUM(B35,B178))</f>
        <v/>
      </c>
      <c r="C321" s="27">
        <f>IF(SUM(C35,C178)=0,"",SUM(C35)/SUM(C35,C178))</f>
        <v/>
      </c>
      <c r="D321" s="27">
        <f>IF(SUM(D35,D178)=0,"",SUM(D35)/SUM(D35,D178))</f>
        <v/>
      </c>
      <c r="E321" s="27">
        <f>IF(SUM(E35,E178)=0,"",SUM(E35)/SUM(E35,E178))</f>
        <v/>
      </c>
      <c r="F321" s="27">
        <f>IF(SUM(F35,F178)=0,"",SUM(F35)/SUM(F35,F178))</f>
        <v/>
      </c>
      <c r="G321" s="27">
        <f>IF(SUM(G35,G178)=0,"",SUM(G35)/SUM(G35,G178))</f>
        <v/>
      </c>
      <c r="H321" s="27">
        <f>IF(SUM(H35,H178)=0,"",SUM(H35)/SUM(H35,H178))</f>
        <v/>
      </c>
    </row>
    <row r="322">
      <c r="A322" t="inlineStr">
        <is>
          <t>Week3-Mar-2026</t>
        </is>
      </c>
      <c r="B322" s="27">
        <f>IF(SUM(B36,B179)=0,"",SUM(B36)/SUM(B36,B179))</f>
        <v/>
      </c>
      <c r="C322" s="27">
        <f>IF(SUM(C36,C179)=0,"",SUM(C36)/SUM(C36,C179))</f>
        <v/>
      </c>
      <c r="D322" s="27">
        <f>IF(SUM(D36,D179)=0,"",SUM(D36)/SUM(D36,D179))</f>
        <v/>
      </c>
      <c r="E322" s="27">
        <f>IF(SUM(E36,E179)=0,"",SUM(E36)/SUM(E36,E179))</f>
        <v/>
      </c>
      <c r="F322" s="27">
        <f>IF(SUM(F36,F179)=0,"",SUM(F36)/SUM(F36,F179))</f>
        <v/>
      </c>
      <c r="G322" s="27">
        <f>IF(SUM(G36,G179)=0,"",SUM(G36)/SUM(G36,G179))</f>
        <v/>
      </c>
      <c r="H322" s="27">
        <f>IF(SUM(H36,H179)=0,"",SUM(H36)/SUM(H36,H179))</f>
        <v/>
      </c>
    </row>
    <row r="323">
      <c r="A323" t="inlineStr">
        <is>
          <t>Week4-Mar-2026</t>
        </is>
      </c>
      <c r="B323" s="27">
        <f>IF(SUM(B37,B180)=0,"",SUM(B37)/SUM(B37,B180))</f>
        <v/>
      </c>
      <c r="C323" s="27">
        <f>IF(SUM(C37,C180)=0,"",SUM(C37)/SUM(C37,C180))</f>
        <v/>
      </c>
      <c r="D323" s="27">
        <f>IF(SUM(D37,D180)=0,"",SUM(D37)/SUM(D37,D180))</f>
        <v/>
      </c>
      <c r="E323" s="27">
        <f>IF(SUM(E37,E180)=0,"",SUM(E37)/SUM(E37,E180))</f>
        <v/>
      </c>
      <c r="F323" s="27">
        <f>IF(SUM(F37,F180)=0,"",SUM(F37)/SUM(F37,F180))</f>
        <v/>
      </c>
      <c r="G323" s="27">
        <f>IF(SUM(G37,G180)=0,"",SUM(G37)/SUM(G37,G180))</f>
        <v/>
      </c>
      <c r="H323" s="27">
        <f>IF(SUM(H37,H180)=0,"",SUM(H37)/SUM(H37,H180))</f>
        <v/>
      </c>
    </row>
    <row r="324">
      <c r="A324" t="inlineStr">
        <is>
          <t>Week5-Mar-2026</t>
        </is>
      </c>
      <c r="B324" s="27">
        <f>IF(SUM(B38,B181)=0,"",SUM(B38)/SUM(B38,B181))</f>
        <v/>
      </c>
      <c r="C324" s="27">
        <f>IF(SUM(C38,C181)=0,"",SUM(C38)/SUM(C38,C181))</f>
        <v/>
      </c>
      <c r="D324" s="27">
        <f>IF(SUM(D38,D181)=0,"",SUM(D38)/SUM(D38,D181))</f>
        <v/>
      </c>
      <c r="E324" s="27">
        <f>IF(SUM(E38,E181)=0,"",SUM(E38)/SUM(E38,E181))</f>
        <v/>
      </c>
      <c r="F324" s="27">
        <f>IF(SUM(F38,F181)=0,"",SUM(F38)/SUM(F38,F181))</f>
        <v/>
      </c>
      <c r="G324" s="27">
        <f>IF(SUM(G38,G181)=0,"",SUM(G38)/SUM(G38,G181))</f>
        <v/>
      </c>
      <c r="H324" s="27">
        <f>IF(SUM(H38,H181)=0,"",SUM(H38)/SUM(H38,H181))</f>
        <v/>
      </c>
    </row>
    <row r="325">
      <c r="A325" t="inlineStr">
        <is>
          <t>Week1-Apr-2026</t>
        </is>
      </c>
      <c r="B325" s="27">
        <f>IF(SUM(B39,B182)=0,"",SUM(B39)/SUM(B39,B182))</f>
        <v/>
      </c>
      <c r="C325" s="27">
        <f>IF(SUM(C39,C182)=0,"",SUM(C39)/SUM(C39,C182))</f>
        <v/>
      </c>
      <c r="D325" s="27">
        <f>IF(SUM(D39,D182)=0,"",SUM(D39)/SUM(D39,D182))</f>
        <v/>
      </c>
      <c r="E325" s="27">
        <f>IF(SUM(E39,E182)=0,"",SUM(E39)/SUM(E39,E182))</f>
        <v/>
      </c>
      <c r="F325" s="27">
        <f>IF(SUM(F39,F182)=0,"",SUM(F39)/SUM(F39,F182))</f>
        <v/>
      </c>
      <c r="G325" s="27">
        <f>IF(SUM(G39,G182)=0,"",SUM(G39)/SUM(G39,G182))</f>
        <v/>
      </c>
      <c r="H325" s="27">
        <f>IF(SUM(H39,H182)=0,"",SUM(H39)/SUM(H39,H182))</f>
        <v/>
      </c>
    </row>
    <row r="326">
      <c r="A326" t="inlineStr">
        <is>
          <t>Week2-Apr-2026</t>
        </is>
      </c>
      <c r="B326" s="27">
        <f>IF(SUM(B40,B183)=0,"",SUM(B40)/SUM(B40,B183))</f>
        <v/>
      </c>
      <c r="C326" s="27">
        <f>IF(SUM(C40,C183)=0,"",SUM(C40)/SUM(C40,C183))</f>
        <v/>
      </c>
      <c r="D326" s="27">
        <f>IF(SUM(D40,D183)=0,"",SUM(D40)/SUM(D40,D183))</f>
        <v/>
      </c>
      <c r="E326" s="27">
        <f>IF(SUM(E40,E183)=0,"",SUM(E40)/SUM(E40,E183))</f>
        <v/>
      </c>
      <c r="F326" s="27">
        <f>IF(SUM(F40,F183)=0,"",SUM(F40)/SUM(F40,F183))</f>
        <v/>
      </c>
      <c r="G326" s="27">
        <f>IF(SUM(G40,G183)=0,"",SUM(G40)/SUM(G40,G183))</f>
        <v/>
      </c>
      <c r="H326" s="27">
        <f>IF(SUM(H40,H183)=0,"",SUM(H40)/SUM(H40,H183))</f>
        <v/>
      </c>
    </row>
    <row r="327">
      <c r="A327" t="inlineStr">
        <is>
          <t>Week3-Apr-2026</t>
        </is>
      </c>
      <c r="B327" s="27">
        <f>IF(SUM(B41,B184)=0,"",SUM(B41)/SUM(B41,B184))</f>
        <v/>
      </c>
      <c r="C327" s="27">
        <f>IF(SUM(C41,C184)=0,"",SUM(C41)/SUM(C41,C184))</f>
        <v/>
      </c>
      <c r="D327" s="27">
        <f>IF(SUM(D41,D184)=0,"",SUM(D41)/SUM(D41,D184))</f>
        <v/>
      </c>
      <c r="E327" s="27">
        <f>IF(SUM(E41,E184)=0,"",SUM(E41)/SUM(E41,E184))</f>
        <v/>
      </c>
      <c r="F327" s="27">
        <f>IF(SUM(F41,F184)=0,"",SUM(F41)/SUM(F41,F184))</f>
        <v/>
      </c>
      <c r="G327" s="27">
        <f>IF(SUM(G41,G184)=0,"",SUM(G41)/SUM(G41,G184))</f>
        <v/>
      </c>
      <c r="H327" s="27">
        <f>IF(SUM(H41,H184)=0,"",SUM(H41)/SUM(H41,H184))</f>
        <v/>
      </c>
    </row>
    <row r="328">
      <c r="A328" t="inlineStr">
        <is>
          <t>Week4-Apr-2026</t>
        </is>
      </c>
      <c r="B328" s="27">
        <f>IF(SUM(B42,B185)=0,"",SUM(B42)/SUM(B42,B185))</f>
        <v/>
      </c>
      <c r="C328" s="27">
        <f>IF(SUM(C42,C185)=0,"",SUM(C42)/SUM(C42,C185))</f>
        <v/>
      </c>
      <c r="D328" s="27">
        <f>IF(SUM(D42,D185)=0,"",SUM(D42)/SUM(D42,D185))</f>
        <v/>
      </c>
      <c r="E328" s="27">
        <f>IF(SUM(E42,E185)=0,"",SUM(E42)/SUM(E42,E185))</f>
        <v/>
      </c>
      <c r="F328" s="27">
        <f>IF(SUM(F42,F185)=0,"",SUM(F42)/SUM(F42,F185))</f>
        <v/>
      </c>
      <c r="G328" s="27">
        <f>IF(SUM(G42,G185)=0,"",SUM(G42)/SUM(G42,G185))</f>
        <v/>
      </c>
      <c r="H328" s="27">
        <f>IF(SUM(H42,H185)=0,"",SUM(H42)/SUM(H42,H185))</f>
        <v/>
      </c>
    </row>
    <row r="329">
      <c r="A329" t="inlineStr">
        <is>
          <t>Week5-Apr-2026</t>
        </is>
      </c>
      <c r="B329" s="27">
        <f>IF(SUM(B43,B186)=0,"",SUM(B43)/SUM(B43,B186))</f>
        <v/>
      </c>
      <c r="C329" s="27">
        <f>IF(SUM(C43,C186)=0,"",SUM(C43)/SUM(C43,C186))</f>
        <v/>
      </c>
      <c r="D329" s="27">
        <f>IF(SUM(D43,D186)=0,"",SUM(D43)/SUM(D43,D186))</f>
        <v/>
      </c>
      <c r="E329" s="27">
        <f>IF(SUM(E43,E186)=0,"",SUM(E43)/SUM(E43,E186))</f>
        <v/>
      </c>
      <c r="F329" s="27">
        <f>IF(SUM(F43,F186)=0,"",SUM(F43)/SUM(F43,F186))</f>
        <v/>
      </c>
      <c r="G329" s="27">
        <f>IF(SUM(G43,G186)=0,"",SUM(G43)/SUM(G43,G186))</f>
        <v/>
      </c>
      <c r="H329" s="27">
        <f>IF(SUM(H43,H186)=0,"",SUM(H43)/SUM(H43,H186))</f>
        <v/>
      </c>
    </row>
    <row r="330">
      <c r="A330" t="inlineStr">
        <is>
          <t>Week1-May-2026</t>
        </is>
      </c>
      <c r="B330" s="27">
        <f>IF(SUM(B44,B187)=0,"",SUM(B44)/SUM(B44,B187))</f>
        <v/>
      </c>
      <c r="C330" s="27">
        <f>IF(SUM(C44,C187)=0,"",SUM(C44)/SUM(C44,C187))</f>
        <v/>
      </c>
      <c r="D330" s="27">
        <f>IF(SUM(D44,D187)=0,"",SUM(D44)/SUM(D44,D187))</f>
        <v/>
      </c>
      <c r="E330" s="27">
        <f>IF(SUM(E44,E187)=0,"",SUM(E44)/SUM(E44,E187))</f>
        <v/>
      </c>
      <c r="F330" s="27">
        <f>IF(SUM(F44,F187)=0,"",SUM(F44)/SUM(F44,F187))</f>
        <v/>
      </c>
      <c r="G330" s="27">
        <f>IF(SUM(G44,G187)=0,"",SUM(G44)/SUM(G44,G187))</f>
        <v/>
      </c>
      <c r="H330" s="27">
        <f>IF(SUM(H44,H187)=0,"",SUM(H44)/SUM(H44,H187))</f>
        <v/>
      </c>
    </row>
    <row r="331">
      <c r="A331" t="inlineStr">
        <is>
          <t>Week2-May-2026</t>
        </is>
      </c>
      <c r="B331" s="27">
        <f>IF(SUM(B45,B188)=0,"",SUM(B45)/SUM(B45,B188))</f>
        <v/>
      </c>
      <c r="C331" s="27">
        <f>IF(SUM(C45,C188)=0,"",SUM(C45)/SUM(C45,C188))</f>
        <v/>
      </c>
      <c r="D331" s="27">
        <f>IF(SUM(D45,D188)=0,"",SUM(D45)/SUM(D45,D188))</f>
        <v/>
      </c>
      <c r="E331" s="27">
        <f>IF(SUM(E45,E188)=0,"",SUM(E45)/SUM(E45,E188))</f>
        <v/>
      </c>
      <c r="F331" s="27">
        <f>IF(SUM(F45,F188)=0,"",SUM(F45)/SUM(F45,F188))</f>
        <v/>
      </c>
      <c r="G331" s="27">
        <f>IF(SUM(G45,G188)=0,"",SUM(G45)/SUM(G45,G188))</f>
        <v/>
      </c>
      <c r="H331" s="27">
        <f>IF(SUM(H45,H188)=0,"",SUM(H45)/SUM(H45,H188))</f>
        <v/>
      </c>
    </row>
    <row r="332">
      <c r="A332" t="inlineStr">
        <is>
          <t>Week3-May-2026</t>
        </is>
      </c>
      <c r="B332" s="27">
        <f>IF(SUM(B46,B189)=0,"",SUM(B46)/SUM(B46,B189))</f>
        <v/>
      </c>
      <c r="C332" s="27">
        <f>IF(SUM(C46,C189)=0,"",SUM(C46)/SUM(C46,C189))</f>
        <v/>
      </c>
      <c r="D332" s="27">
        <f>IF(SUM(D46,D189)=0,"",SUM(D46)/SUM(D46,D189))</f>
        <v/>
      </c>
      <c r="E332" s="27">
        <f>IF(SUM(E46,E189)=0,"",SUM(E46)/SUM(E46,E189))</f>
        <v/>
      </c>
      <c r="F332" s="27">
        <f>IF(SUM(F46,F189)=0,"",SUM(F46)/SUM(F46,F189))</f>
        <v/>
      </c>
      <c r="G332" s="27">
        <f>IF(SUM(G46,G189)=0,"",SUM(G46)/SUM(G46,G189))</f>
        <v/>
      </c>
      <c r="H332" s="27">
        <f>IF(SUM(H46,H189)=0,"",SUM(H46)/SUM(H46,H189))</f>
        <v/>
      </c>
    </row>
    <row r="333">
      <c r="A333" t="inlineStr">
        <is>
          <t>Week4-May-2026</t>
        </is>
      </c>
      <c r="B333" s="27">
        <f>IF(SUM(B47,B190)=0,"",SUM(B47)/SUM(B47,B190))</f>
        <v/>
      </c>
      <c r="C333" s="27">
        <f>IF(SUM(C47,C190)=0,"",SUM(C47)/SUM(C47,C190))</f>
        <v/>
      </c>
      <c r="D333" s="27">
        <f>IF(SUM(D47,D190)=0,"",SUM(D47)/SUM(D47,D190))</f>
        <v/>
      </c>
      <c r="E333" s="27">
        <f>IF(SUM(E47,E190)=0,"",SUM(E47)/SUM(E47,E190))</f>
        <v/>
      </c>
      <c r="F333" s="27">
        <f>IF(SUM(F47,F190)=0,"",SUM(F47)/SUM(F47,F190))</f>
        <v/>
      </c>
      <c r="G333" s="27">
        <f>IF(SUM(G47,G190)=0,"",SUM(G47)/SUM(G47,G190))</f>
        <v/>
      </c>
      <c r="H333" s="27">
        <f>IF(SUM(H47,H190)=0,"",SUM(H47)/SUM(H47,H190))</f>
        <v/>
      </c>
    </row>
    <row r="334">
      <c r="A334" t="inlineStr">
        <is>
          <t>Week5-May-2026</t>
        </is>
      </c>
      <c r="B334" s="27">
        <f>IF(SUM(B48,B191)=0,"",SUM(B48)/SUM(B48,B191))</f>
        <v/>
      </c>
      <c r="C334" s="27">
        <f>IF(SUM(C48,C191)=0,"",SUM(C48)/SUM(C48,C191))</f>
        <v/>
      </c>
      <c r="D334" s="27">
        <f>IF(SUM(D48,D191)=0,"",SUM(D48)/SUM(D48,D191))</f>
        <v/>
      </c>
      <c r="E334" s="27">
        <f>IF(SUM(E48,E191)=0,"",SUM(E48)/SUM(E48,E191))</f>
        <v/>
      </c>
      <c r="F334" s="27">
        <f>IF(SUM(F48,F191)=0,"",SUM(F48)/SUM(F48,F191))</f>
        <v/>
      </c>
      <c r="G334" s="27">
        <f>IF(SUM(G48,G191)=0,"",SUM(G48)/SUM(G48,G191))</f>
        <v/>
      </c>
      <c r="H334" s="27">
        <f>IF(SUM(H48,H191)=0,"",SUM(H48)/SUM(H48,H191))</f>
        <v/>
      </c>
    </row>
    <row r="335">
      <c r="A335" t="inlineStr">
        <is>
          <t>Week1-Jun-2026</t>
        </is>
      </c>
      <c r="B335" s="27">
        <f>IF(SUM(B49,B192)=0,"",SUM(B49)/SUM(B49,B192))</f>
        <v/>
      </c>
      <c r="C335" s="27">
        <f>IF(SUM(C49,C192)=0,"",SUM(C49)/SUM(C49,C192))</f>
        <v/>
      </c>
      <c r="D335" s="27">
        <f>IF(SUM(D49,D192)=0,"",SUM(D49)/SUM(D49,D192))</f>
        <v/>
      </c>
      <c r="E335" s="27">
        <f>IF(SUM(E49,E192)=0,"",SUM(E49)/SUM(E49,E192))</f>
        <v/>
      </c>
      <c r="F335" s="27">
        <f>IF(SUM(F49,F192)=0,"",SUM(F49)/SUM(F49,F192))</f>
        <v/>
      </c>
      <c r="G335" s="27">
        <f>IF(SUM(G49,G192)=0,"",SUM(G49)/SUM(G49,G192))</f>
        <v/>
      </c>
      <c r="H335" s="27">
        <f>IF(SUM(H49,H192)=0,"",SUM(H49)/SUM(H49,H192))</f>
        <v/>
      </c>
    </row>
    <row r="336">
      <c r="A336" t="inlineStr">
        <is>
          <t>Week2-Jun-2026</t>
        </is>
      </c>
      <c r="B336" s="27">
        <f>IF(SUM(B50,B193)=0,"",SUM(B50)/SUM(B50,B193))</f>
        <v/>
      </c>
      <c r="C336" s="27">
        <f>IF(SUM(C50,C193)=0,"",SUM(C50)/SUM(C50,C193))</f>
        <v/>
      </c>
      <c r="D336" s="27">
        <f>IF(SUM(D50,D193)=0,"",SUM(D50)/SUM(D50,D193))</f>
        <v/>
      </c>
      <c r="E336" s="27">
        <f>IF(SUM(E50,E193)=0,"",SUM(E50)/SUM(E50,E193))</f>
        <v/>
      </c>
      <c r="F336" s="27">
        <f>IF(SUM(F50,F193)=0,"",SUM(F50)/SUM(F50,F193))</f>
        <v/>
      </c>
      <c r="G336" s="27">
        <f>IF(SUM(G50,G193)=0,"",SUM(G50)/SUM(G50,G193))</f>
        <v/>
      </c>
      <c r="H336" s="27">
        <f>IF(SUM(H50,H193)=0,"",SUM(H50)/SUM(H50,H193))</f>
        <v/>
      </c>
    </row>
    <row r="337">
      <c r="A337" t="inlineStr">
        <is>
          <t>Week3-Jun-2026</t>
        </is>
      </c>
      <c r="B337" s="27">
        <f>IF(SUM(B51,B194)=0,"",SUM(B51)/SUM(B51,B194))</f>
        <v/>
      </c>
      <c r="C337" s="27">
        <f>IF(SUM(C51,C194)=0,"",SUM(C51)/SUM(C51,C194))</f>
        <v/>
      </c>
      <c r="D337" s="27">
        <f>IF(SUM(D51,D194)=0,"",SUM(D51)/SUM(D51,D194))</f>
        <v/>
      </c>
      <c r="E337" s="27">
        <f>IF(SUM(E51,E194)=0,"",SUM(E51)/SUM(E51,E194))</f>
        <v/>
      </c>
      <c r="F337" s="27">
        <f>IF(SUM(F51,F194)=0,"",SUM(F51)/SUM(F51,F194))</f>
        <v/>
      </c>
      <c r="G337" s="27">
        <f>IF(SUM(G51,G194)=0,"",SUM(G51)/SUM(G51,G194))</f>
        <v/>
      </c>
      <c r="H337" s="27">
        <f>IF(SUM(H51,H194)=0,"",SUM(H51)/SUM(H51,H194))</f>
        <v/>
      </c>
    </row>
    <row r="338">
      <c r="A338" t="inlineStr">
        <is>
          <t>Week4-Jun-2026</t>
        </is>
      </c>
      <c r="B338" s="27">
        <f>IF(SUM(B52,B195)=0,"",SUM(B52)/SUM(B52,B195))</f>
        <v/>
      </c>
      <c r="C338" s="27">
        <f>IF(SUM(C52,C195)=0,"",SUM(C52)/SUM(C52,C195))</f>
        <v/>
      </c>
      <c r="D338" s="27">
        <f>IF(SUM(D52,D195)=0,"",SUM(D52)/SUM(D52,D195))</f>
        <v/>
      </c>
      <c r="E338" s="27">
        <f>IF(SUM(E52,E195)=0,"",SUM(E52)/SUM(E52,E195))</f>
        <v/>
      </c>
      <c r="F338" s="27">
        <f>IF(SUM(F52,F195)=0,"",SUM(F52)/SUM(F52,F195))</f>
        <v/>
      </c>
      <c r="G338" s="27">
        <f>IF(SUM(G52,G195)=0,"",SUM(G52)/SUM(G52,G195))</f>
        <v/>
      </c>
      <c r="H338" s="27">
        <f>IF(SUM(H52,H195)=0,"",SUM(H52)/SUM(H52,H195))</f>
        <v/>
      </c>
    </row>
    <row r="339">
      <c r="A339" t="inlineStr">
        <is>
          <t>Week5-Jun-2026</t>
        </is>
      </c>
      <c r="B339" s="27">
        <f>IF(SUM(B53,B196)=0,"",SUM(B53)/SUM(B53,B196))</f>
        <v/>
      </c>
      <c r="C339" s="27">
        <f>IF(SUM(C53,C196)=0,"",SUM(C53)/SUM(C53,C196))</f>
        <v/>
      </c>
      <c r="D339" s="27">
        <f>IF(SUM(D53,D196)=0,"",SUM(D53)/SUM(D53,D196))</f>
        <v/>
      </c>
      <c r="E339" s="27">
        <f>IF(SUM(E53,E196)=0,"",SUM(E53)/SUM(E53,E196))</f>
        <v/>
      </c>
      <c r="F339" s="27">
        <f>IF(SUM(F53,F196)=0,"",SUM(F53)/SUM(F53,F196))</f>
        <v/>
      </c>
      <c r="G339" s="27">
        <f>IF(SUM(G53,G196)=0,"",SUM(G53)/SUM(G53,G196))</f>
        <v/>
      </c>
      <c r="H339" s="27">
        <f>IF(SUM(H53,H196)=0,"",SUM(H53)/SUM(H53,H196))</f>
        <v/>
      </c>
    </row>
    <row r="340">
      <c r="A340" t="inlineStr">
        <is>
          <t>Week1-Jul-2026</t>
        </is>
      </c>
      <c r="B340" s="27">
        <f>IF(SUM(B54,B197)=0,"",SUM(B54)/SUM(B54,B197))</f>
        <v/>
      </c>
      <c r="C340" s="27">
        <f>IF(SUM(C54,C197)=0,"",SUM(C54)/SUM(C54,C197))</f>
        <v/>
      </c>
      <c r="D340" s="27">
        <f>IF(SUM(D54,D197)=0,"",SUM(D54)/SUM(D54,D197))</f>
        <v/>
      </c>
      <c r="E340" s="27">
        <f>IF(SUM(E54,E197)=0,"",SUM(E54)/SUM(E54,E197))</f>
        <v/>
      </c>
      <c r="F340" s="27">
        <f>IF(SUM(F54,F197)=0,"",SUM(F54)/SUM(F54,F197))</f>
        <v/>
      </c>
      <c r="G340" s="27">
        <f>IF(SUM(G54,G197)=0,"",SUM(G54)/SUM(G54,G197))</f>
        <v/>
      </c>
      <c r="H340" s="27">
        <f>IF(SUM(H54,H197)=0,"",SUM(H54)/SUM(H54,H197))</f>
        <v/>
      </c>
    </row>
    <row r="341">
      <c r="A341" t="inlineStr">
        <is>
          <t>Week2-Jul-2026</t>
        </is>
      </c>
      <c r="B341" s="27">
        <f>IF(SUM(B55,B198)=0,"",SUM(B55)/SUM(B55,B198))</f>
        <v/>
      </c>
      <c r="C341" s="27">
        <f>IF(SUM(C55,C198)=0,"",SUM(C55)/SUM(C55,C198))</f>
        <v/>
      </c>
      <c r="D341" s="27">
        <f>IF(SUM(D55,D198)=0,"",SUM(D55)/SUM(D55,D198))</f>
        <v/>
      </c>
      <c r="E341" s="27">
        <f>IF(SUM(E55,E198)=0,"",SUM(E55)/SUM(E55,E198))</f>
        <v/>
      </c>
      <c r="F341" s="27">
        <f>IF(SUM(F55,F198)=0,"",SUM(F55)/SUM(F55,F198))</f>
        <v/>
      </c>
      <c r="G341" s="27">
        <f>IF(SUM(G55,G198)=0,"",SUM(G55)/SUM(G55,G198))</f>
        <v/>
      </c>
      <c r="H341" s="27">
        <f>IF(SUM(H55,H198)=0,"",SUM(H55)/SUM(H55,H198))</f>
        <v/>
      </c>
    </row>
    <row r="342">
      <c r="A342" t="inlineStr">
        <is>
          <t>Week3-Jul-2026</t>
        </is>
      </c>
      <c r="B342" s="27">
        <f>IF(SUM(B56,B199)=0,"",SUM(B56)/SUM(B56,B199))</f>
        <v/>
      </c>
      <c r="C342" s="27">
        <f>IF(SUM(C56,C199)=0,"",SUM(C56)/SUM(C56,C199))</f>
        <v/>
      </c>
      <c r="D342" s="27">
        <f>IF(SUM(D56,D199)=0,"",SUM(D56)/SUM(D56,D199))</f>
        <v/>
      </c>
      <c r="E342" s="27">
        <f>IF(SUM(E56,E199)=0,"",SUM(E56)/SUM(E56,E199))</f>
        <v/>
      </c>
      <c r="F342" s="27">
        <f>IF(SUM(F56,F199)=0,"",SUM(F56)/SUM(F56,F199))</f>
        <v/>
      </c>
      <c r="G342" s="27">
        <f>IF(SUM(G56,G199)=0,"",SUM(G56)/SUM(G56,G199))</f>
        <v/>
      </c>
      <c r="H342" s="27">
        <f>IF(SUM(H56,H199)=0,"",SUM(H56)/SUM(H56,H199))</f>
        <v/>
      </c>
    </row>
    <row r="343">
      <c r="A343" t="inlineStr">
        <is>
          <t>Week4-Jul-2026</t>
        </is>
      </c>
      <c r="B343" s="27">
        <f>IF(SUM(B57,B200)=0,"",SUM(B57)/SUM(B57,B200))</f>
        <v/>
      </c>
      <c r="C343" s="27">
        <f>IF(SUM(C57,C200)=0,"",SUM(C57)/SUM(C57,C200))</f>
        <v/>
      </c>
      <c r="D343" s="27">
        <f>IF(SUM(D57,D200)=0,"",SUM(D57)/SUM(D57,D200))</f>
        <v/>
      </c>
      <c r="E343" s="27">
        <f>IF(SUM(E57,E200)=0,"",SUM(E57)/SUM(E57,E200))</f>
        <v/>
      </c>
      <c r="F343" s="27">
        <f>IF(SUM(F57,F200)=0,"",SUM(F57)/SUM(F57,F200))</f>
        <v/>
      </c>
      <c r="G343" s="27">
        <f>IF(SUM(G57,G200)=0,"",SUM(G57)/SUM(G57,G200))</f>
        <v/>
      </c>
      <c r="H343" s="27">
        <f>IF(SUM(H57,H200)=0,"",SUM(H57)/SUM(H57,H200))</f>
        <v/>
      </c>
    </row>
    <row r="344">
      <c r="A344" t="inlineStr">
        <is>
          <t>Week5-Jul-2026</t>
        </is>
      </c>
      <c r="B344" s="27">
        <f>IF(SUM(B58,B201)=0,"",SUM(B58)/SUM(B58,B201))</f>
        <v/>
      </c>
      <c r="C344" s="27">
        <f>IF(SUM(C58,C201)=0,"",SUM(C58)/SUM(C58,C201))</f>
        <v/>
      </c>
      <c r="D344" s="27">
        <f>IF(SUM(D58,D201)=0,"",SUM(D58)/SUM(D58,D201))</f>
        <v/>
      </c>
      <c r="E344" s="27">
        <f>IF(SUM(E58,E201)=0,"",SUM(E58)/SUM(E58,E201))</f>
        <v/>
      </c>
      <c r="F344" s="27">
        <f>IF(SUM(F58,F201)=0,"",SUM(F58)/SUM(F58,F201))</f>
        <v/>
      </c>
      <c r="G344" s="27">
        <f>IF(SUM(G58,G201)=0,"",SUM(G58)/SUM(G58,G201))</f>
        <v/>
      </c>
      <c r="H344" s="27">
        <f>IF(SUM(H58,H201)=0,"",SUM(H58)/SUM(H58,H201))</f>
        <v/>
      </c>
    </row>
    <row r="345">
      <c r="A345" t="inlineStr">
        <is>
          <t>Week1-Aug-2026</t>
        </is>
      </c>
      <c r="B345" s="27">
        <f>IF(SUM(B59,B202)=0,"",SUM(B59)/SUM(B59,B202))</f>
        <v/>
      </c>
      <c r="C345" s="27">
        <f>IF(SUM(C59,C202)=0,"",SUM(C59)/SUM(C59,C202))</f>
        <v/>
      </c>
      <c r="D345" s="27">
        <f>IF(SUM(D59,D202)=0,"",SUM(D59)/SUM(D59,D202))</f>
        <v/>
      </c>
      <c r="E345" s="27">
        <f>IF(SUM(E59,E202)=0,"",SUM(E59)/SUM(E59,E202))</f>
        <v/>
      </c>
      <c r="F345" s="27">
        <f>IF(SUM(F59,F202)=0,"",SUM(F59)/SUM(F59,F202))</f>
        <v/>
      </c>
      <c r="G345" s="27">
        <f>IF(SUM(G59,G202)=0,"",SUM(G59)/SUM(G59,G202))</f>
        <v/>
      </c>
      <c r="H345" s="27">
        <f>IF(SUM(H59,H202)=0,"",SUM(H59)/SUM(H59,H202))</f>
        <v/>
      </c>
    </row>
    <row r="346" hidden="1" outlineLevel="1">
      <c r="A346" t="inlineStr">
        <is>
          <t>Week2-Aug-2026</t>
        </is>
      </c>
      <c r="B346" s="27">
        <f>IF(SUM(B60,B203)=0,"",SUM(B60)/SUM(B60,B203))</f>
        <v/>
      </c>
      <c r="C346" s="27">
        <f>IF(SUM(C60,C203)=0,"",SUM(C60)/SUM(C60,C203))</f>
        <v/>
      </c>
      <c r="D346" s="27">
        <f>IF(SUM(D60,D203)=0,"",SUM(D60)/SUM(D60,D203))</f>
        <v/>
      </c>
      <c r="E346" s="27">
        <f>IF(SUM(E60,E203)=0,"",SUM(E60)/SUM(E60,E203))</f>
        <v/>
      </c>
      <c r="F346" s="27">
        <f>IF(SUM(F60,F203)=0,"",SUM(F60)/SUM(F60,F203))</f>
        <v/>
      </c>
      <c r="G346" s="27">
        <f>IF(SUM(G60,G203)=0,"",SUM(G60)/SUM(G60,G203))</f>
        <v/>
      </c>
      <c r="H346" s="27">
        <f>IF(SUM(H60,H203)=0,"",SUM(H60)/SUM(H60,H203))</f>
        <v/>
      </c>
    </row>
    <row r="347" hidden="1" outlineLevel="1">
      <c r="A347" t="inlineStr">
        <is>
          <t>Week3-Aug-2026</t>
        </is>
      </c>
      <c r="B347" s="27">
        <f>IF(SUM(B61,B204)=0,"",SUM(B61)/SUM(B61,B204))</f>
        <v/>
      </c>
      <c r="C347" s="27">
        <f>IF(SUM(C61,C204)=0,"",SUM(C61)/SUM(C61,C204))</f>
        <v/>
      </c>
      <c r="D347" s="27">
        <f>IF(SUM(D61,D204)=0,"",SUM(D61)/SUM(D61,D204))</f>
        <v/>
      </c>
      <c r="E347" s="27">
        <f>IF(SUM(E61,E204)=0,"",SUM(E61)/SUM(E61,E204))</f>
        <v/>
      </c>
      <c r="F347" s="27">
        <f>IF(SUM(F61,F204)=0,"",SUM(F61)/SUM(F61,F204))</f>
        <v/>
      </c>
      <c r="G347" s="27">
        <f>IF(SUM(G61,G204)=0,"",SUM(G61)/SUM(G61,G204))</f>
        <v/>
      </c>
      <c r="H347" s="27">
        <f>IF(SUM(H61,H204)=0,"",SUM(H61)/SUM(H61,H204))</f>
        <v/>
      </c>
    </row>
    <row r="348" hidden="1" outlineLevel="1">
      <c r="A348" t="inlineStr">
        <is>
          <t>Week4-Aug-2026</t>
        </is>
      </c>
      <c r="B348" s="27">
        <f>IF(SUM(B62,B205)=0,"",SUM(B62)/SUM(B62,B205))</f>
        <v/>
      </c>
      <c r="C348" s="27">
        <f>IF(SUM(C62,C205)=0,"",SUM(C62)/SUM(C62,C205))</f>
        <v/>
      </c>
      <c r="D348" s="27">
        <f>IF(SUM(D62,D205)=0,"",SUM(D62)/SUM(D62,D205))</f>
        <v/>
      </c>
      <c r="E348" s="27">
        <f>IF(SUM(E62,E205)=0,"",SUM(E62)/SUM(E62,E205))</f>
        <v/>
      </c>
      <c r="F348" s="27">
        <f>IF(SUM(F62,F205)=0,"",SUM(F62)/SUM(F62,F205))</f>
        <v/>
      </c>
      <c r="G348" s="27">
        <f>IF(SUM(G62,G205)=0,"",SUM(G62)/SUM(G62,G205))</f>
        <v/>
      </c>
      <c r="H348" s="27">
        <f>IF(SUM(H62,H205)=0,"",SUM(H62)/SUM(H62,H205))</f>
        <v/>
      </c>
    </row>
    <row r="349" hidden="1" outlineLevel="1">
      <c r="A349" t="inlineStr">
        <is>
          <t>Week5-Aug-2026</t>
        </is>
      </c>
      <c r="B349" s="27">
        <f>IF(SUM(B63,B206)=0,"",SUM(B63)/SUM(B63,B206))</f>
        <v/>
      </c>
      <c r="C349" s="27">
        <f>IF(SUM(C63,C206)=0,"",SUM(C63)/SUM(C63,C206))</f>
        <v/>
      </c>
      <c r="D349" s="27">
        <f>IF(SUM(D63,D206)=0,"",SUM(D63)/SUM(D63,D206))</f>
        <v/>
      </c>
      <c r="E349" s="27">
        <f>IF(SUM(E63,E206)=0,"",SUM(E63)/SUM(E63,E206))</f>
        <v/>
      </c>
      <c r="F349" s="27">
        <f>IF(SUM(F63,F206)=0,"",SUM(F63)/SUM(F63,F206))</f>
        <v/>
      </c>
      <c r="G349" s="27">
        <f>IF(SUM(G63,G206)=0,"",SUM(G63)/SUM(G63,G206))</f>
        <v/>
      </c>
      <c r="H349" s="27">
        <f>IF(SUM(H63,H206)=0,"",SUM(H63)/SUM(H63,H206))</f>
        <v/>
      </c>
    </row>
    <row r="350" hidden="1" outlineLevel="1">
      <c r="A350" t="inlineStr">
        <is>
          <t>Week1-Sep-2026</t>
        </is>
      </c>
      <c r="B350" s="27">
        <f>IF(SUM(B64,B207)=0,"",SUM(B64)/SUM(B64,B207))</f>
        <v/>
      </c>
      <c r="C350" s="27">
        <f>IF(SUM(C64,C207)=0,"",SUM(C64)/SUM(C64,C207))</f>
        <v/>
      </c>
      <c r="D350" s="27">
        <f>IF(SUM(D64,D207)=0,"",SUM(D64)/SUM(D64,D207))</f>
        <v/>
      </c>
      <c r="E350" s="27">
        <f>IF(SUM(E64,E207)=0,"",SUM(E64)/SUM(E64,E207))</f>
        <v/>
      </c>
      <c r="F350" s="27">
        <f>IF(SUM(F64,F207)=0,"",SUM(F64)/SUM(F64,F207))</f>
        <v/>
      </c>
      <c r="G350" s="27">
        <f>IF(SUM(G64,G207)=0,"",SUM(G64)/SUM(G64,G207))</f>
        <v/>
      </c>
      <c r="H350" s="27">
        <f>IF(SUM(H64,H207)=0,"",SUM(H64)/SUM(H64,H207))</f>
        <v/>
      </c>
    </row>
    <row r="351" hidden="1" outlineLevel="1">
      <c r="A351" t="inlineStr">
        <is>
          <t>Week2-Sep-2026</t>
        </is>
      </c>
      <c r="B351" s="27">
        <f>IF(SUM(B65,B208)=0,"",SUM(B65)/SUM(B65,B208))</f>
        <v/>
      </c>
      <c r="C351" s="27">
        <f>IF(SUM(C65,C208)=0,"",SUM(C65)/SUM(C65,C208))</f>
        <v/>
      </c>
      <c r="D351" s="27">
        <f>IF(SUM(D65,D208)=0,"",SUM(D65)/SUM(D65,D208))</f>
        <v/>
      </c>
      <c r="E351" s="27">
        <f>IF(SUM(E65,E208)=0,"",SUM(E65)/SUM(E65,E208))</f>
        <v/>
      </c>
      <c r="F351" s="27">
        <f>IF(SUM(F65,F208)=0,"",SUM(F65)/SUM(F65,F208))</f>
        <v/>
      </c>
      <c r="G351" s="27">
        <f>IF(SUM(G65,G208)=0,"",SUM(G65)/SUM(G65,G208))</f>
        <v/>
      </c>
      <c r="H351" s="27">
        <f>IF(SUM(H65,H208)=0,"",SUM(H65)/SUM(H65,H208))</f>
        <v/>
      </c>
    </row>
    <row r="352" hidden="1" outlineLevel="1">
      <c r="A352" t="inlineStr">
        <is>
          <t>Week3-Sep-2026</t>
        </is>
      </c>
      <c r="B352" s="27">
        <f>IF(SUM(B66,B209)=0,"",SUM(B66)/SUM(B66,B209))</f>
        <v/>
      </c>
      <c r="C352" s="27">
        <f>IF(SUM(C66,C209)=0,"",SUM(C66)/SUM(C66,C209))</f>
        <v/>
      </c>
      <c r="D352" s="27">
        <f>IF(SUM(D66,D209)=0,"",SUM(D66)/SUM(D66,D209))</f>
        <v/>
      </c>
      <c r="E352" s="27">
        <f>IF(SUM(E66,E209)=0,"",SUM(E66)/SUM(E66,E209))</f>
        <v/>
      </c>
      <c r="F352" s="27">
        <f>IF(SUM(F66,F209)=0,"",SUM(F66)/SUM(F66,F209))</f>
        <v/>
      </c>
      <c r="G352" s="27">
        <f>IF(SUM(G66,G209)=0,"",SUM(G66)/SUM(G66,G209))</f>
        <v/>
      </c>
      <c r="H352" s="27">
        <f>IF(SUM(H66,H209)=0,"",SUM(H66)/SUM(H66,H209))</f>
        <v/>
      </c>
    </row>
    <row r="353" hidden="1" outlineLevel="1">
      <c r="A353" t="inlineStr">
        <is>
          <t>Week4-Sep-2026</t>
        </is>
      </c>
      <c r="B353" s="27">
        <f>IF(SUM(B67,B210)=0,"",SUM(B67)/SUM(B67,B210))</f>
        <v/>
      </c>
      <c r="C353" s="27">
        <f>IF(SUM(C67,C210)=0,"",SUM(C67)/SUM(C67,C210))</f>
        <v/>
      </c>
      <c r="D353" s="27">
        <f>IF(SUM(D67,D210)=0,"",SUM(D67)/SUM(D67,D210))</f>
        <v/>
      </c>
      <c r="E353" s="27">
        <f>IF(SUM(E67,E210)=0,"",SUM(E67)/SUM(E67,E210))</f>
        <v/>
      </c>
      <c r="F353" s="27">
        <f>IF(SUM(F67,F210)=0,"",SUM(F67)/SUM(F67,F210))</f>
        <v/>
      </c>
      <c r="G353" s="27">
        <f>IF(SUM(G67,G210)=0,"",SUM(G67)/SUM(G67,G210))</f>
        <v/>
      </c>
      <c r="H353" s="27">
        <f>IF(SUM(H67,H210)=0,"",SUM(H67)/SUM(H67,H210))</f>
        <v/>
      </c>
    </row>
    <row r="354" hidden="1" outlineLevel="1">
      <c r="A354" t="inlineStr">
        <is>
          <t>Week5-Sep-2026</t>
        </is>
      </c>
      <c r="B354" s="27">
        <f>IF(SUM(B68,B211)=0,"",SUM(B68)/SUM(B68,B211))</f>
        <v/>
      </c>
      <c r="C354" s="27">
        <f>IF(SUM(C68,C211)=0,"",SUM(C68)/SUM(C68,C211))</f>
        <v/>
      </c>
      <c r="D354" s="27">
        <f>IF(SUM(D68,D211)=0,"",SUM(D68)/SUM(D68,D211))</f>
        <v/>
      </c>
      <c r="E354" s="27">
        <f>IF(SUM(E68,E211)=0,"",SUM(E68)/SUM(E68,E211))</f>
        <v/>
      </c>
      <c r="F354" s="27">
        <f>IF(SUM(F68,F211)=0,"",SUM(F68)/SUM(F68,F211))</f>
        <v/>
      </c>
      <c r="G354" s="27">
        <f>IF(SUM(G68,G211)=0,"",SUM(G68)/SUM(G68,G211))</f>
        <v/>
      </c>
      <c r="H354" s="27">
        <f>IF(SUM(H68,H211)=0,"",SUM(H68)/SUM(H68,H211))</f>
        <v/>
      </c>
    </row>
    <row r="355" hidden="1" outlineLevel="1">
      <c r="A355" t="inlineStr">
        <is>
          <t>Week1-Oct-2026</t>
        </is>
      </c>
      <c r="B355" s="27">
        <f>IF(SUM(B69,B212)=0,"",SUM(B69)/SUM(B69,B212))</f>
        <v/>
      </c>
      <c r="C355" s="27">
        <f>IF(SUM(C69,C212)=0,"",SUM(C69)/SUM(C69,C212))</f>
        <v/>
      </c>
      <c r="D355" s="27">
        <f>IF(SUM(D69,D212)=0,"",SUM(D69)/SUM(D69,D212))</f>
        <v/>
      </c>
      <c r="E355" s="27">
        <f>IF(SUM(E69,E212)=0,"",SUM(E69)/SUM(E69,E212))</f>
        <v/>
      </c>
      <c r="F355" s="27">
        <f>IF(SUM(F69,F212)=0,"",SUM(F69)/SUM(F69,F212))</f>
        <v/>
      </c>
      <c r="G355" s="27">
        <f>IF(SUM(G69,G212)=0,"",SUM(G69)/SUM(G69,G212))</f>
        <v/>
      </c>
      <c r="H355" s="27">
        <f>IF(SUM(H69,H212)=0,"",SUM(H69)/SUM(H69,H212))</f>
        <v/>
      </c>
    </row>
    <row r="356" hidden="1" outlineLevel="1">
      <c r="A356" t="inlineStr">
        <is>
          <t>Week2-Oct-2026</t>
        </is>
      </c>
      <c r="B356" s="27">
        <f>IF(SUM(B70,B213)=0,"",SUM(B70)/SUM(B70,B213))</f>
        <v/>
      </c>
      <c r="C356" s="27">
        <f>IF(SUM(C70,C213)=0,"",SUM(C70)/SUM(C70,C213))</f>
        <v/>
      </c>
      <c r="D356" s="27">
        <f>IF(SUM(D70,D213)=0,"",SUM(D70)/SUM(D70,D213))</f>
        <v/>
      </c>
      <c r="E356" s="27">
        <f>IF(SUM(E70,E213)=0,"",SUM(E70)/SUM(E70,E213))</f>
        <v/>
      </c>
      <c r="F356" s="27">
        <f>IF(SUM(F70,F213)=0,"",SUM(F70)/SUM(F70,F213))</f>
        <v/>
      </c>
      <c r="G356" s="27">
        <f>IF(SUM(G70,G213)=0,"",SUM(G70)/SUM(G70,G213))</f>
        <v/>
      </c>
      <c r="H356" s="27">
        <f>IF(SUM(H70,H213)=0,"",SUM(H70)/SUM(H70,H213))</f>
        <v/>
      </c>
    </row>
    <row r="357" hidden="1" outlineLevel="1">
      <c r="A357" t="inlineStr">
        <is>
          <t>Week3-Oct-2026</t>
        </is>
      </c>
      <c r="B357" s="27">
        <f>IF(SUM(B71,B214)=0,"",SUM(B71)/SUM(B71,B214))</f>
        <v/>
      </c>
      <c r="C357" s="27">
        <f>IF(SUM(C71,C214)=0,"",SUM(C71)/SUM(C71,C214))</f>
        <v/>
      </c>
      <c r="D357" s="27">
        <f>IF(SUM(D71,D214)=0,"",SUM(D71)/SUM(D71,D214))</f>
        <v/>
      </c>
      <c r="E357" s="27">
        <f>IF(SUM(E71,E214)=0,"",SUM(E71)/SUM(E71,E214))</f>
        <v/>
      </c>
      <c r="F357" s="27">
        <f>IF(SUM(F71,F214)=0,"",SUM(F71)/SUM(F71,F214))</f>
        <v/>
      </c>
      <c r="G357" s="27">
        <f>IF(SUM(G71,G214)=0,"",SUM(G71)/SUM(G71,G214))</f>
        <v/>
      </c>
      <c r="H357" s="27">
        <f>IF(SUM(H71,H214)=0,"",SUM(H71)/SUM(H71,H214))</f>
        <v/>
      </c>
    </row>
    <row r="358" hidden="1" outlineLevel="1">
      <c r="A358" t="inlineStr">
        <is>
          <t>Week4-Oct-2026</t>
        </is>
      </c>
      <c r="B358" s="27">
        <f>IF(SUM(B72,B215)=0,"",SUM(B72)/SUM(B72,B215))</f>
        <v/>
      </c>
      <c r="C358" s="27">
        <f>IF(SUM(C72,C215)=0,"",SUM(C72)/SUM(C72,C215))</f>
        <v/>
      </c>
      <c r="D358" s="27">
        <f>IF(SUM(D72,D215)=0,"",SUM(D72)/SUM(D72,D215))</f>
        <v/>
      </c>
      <c r="E358" s="27">
        <f>IF(SUM(E72,E215)=0,"",SUM(E72)/SUM(E72,E215))</f>
        <v/>
      </c>
      <c r="F358" s="27">
        <f>IF(SUM(F72,F215)=0,"",SUM(F72)/SUM(F72,F215))</f>
        <v/>
      </c>
      <c r="G358" s="27">
        <f>IF(SUM(G72,G215)=0,"",SUM(G72)/SUM(G72,G215))</f>
        <v/>
      </c>
      <c r="H358" s="27">
        <f>IF(SUM(H72,H215)=0,"",SUM(H72)/SUM(H72,H215))</f>
        <v/>
      </c>
    </row>
    <row r="359" hidden="1" outlineLevel="1">
      <c r="A359" t="inlineStr">
        <is>
          <t>Week5-Oct-2026</t>
        </is>
      </c>
      <c r="B359" s="27">
        <f>IF(SUM(B73,B216)=0,"",SUM(B73)/SUM(B73,B216))</f>
        <v/>
      </c>
      <c r="C359" s="27">
        <f>IF(SUM(C73,C216)=0,"",SUM(C73)/SUM(C73,C216))</f>
        <v/>
      </c>
      <c r="D359" s="27">
        <f>IF(SUM(D73,D216)=0,"",SUM(D73)/SUM(D73,D216))</f>
        <v/>
      </c>
      <c r="E359" s="27">
        <f>IF(SUM(E73,E216)=0,"",SUM(E73)/SUM(E73,E216))</f>
        <v/>
      </c>
      <c r="F359" s="27">
        <f>IF(SUM(F73,F216)=0,"",SUM(F73)/SUM(F73,F216))</f>
        <v/>
      </c>
      <c r="G359" s="27">
        <f>IF(SUM(G73,G216)=0,"",SUM(G73)/SUM(G73,G216))</f>
        <v/>
      </c>
      <c r="H359" s="27">
        <f>IF(SUM(H73,H216)=0,"",SUM(H73)/SUM(H73,H216))</f>
        <v/>
      </c>
    </row>
    <row r="360" hidden="1" outlineLevel="1">
      <c r="A360" t="inlineStr">
        <is>
          <t>Week1-Nov-2026</t>
        </is>
      </c>
      <c r="B360" s="27">
        <f>IF(SUM(B74,B217)=0,"",SUM(B74)/SUM(B74,B217))</f>
        <v/>
      </c>
      <c r="C360" s="27">
        <f>IF(SUM(C74,C217)=0,"",SUM(C74)/SUM(C74,C217))</f>
        <v/>
      </c>
      <c r="D360" s="27">
        <f>IF(SUM(D74,D217)=0,"",SUM(D74)/SUM(D74,D217))</f>
        <v/>
      </c>
      <c r="E360" s="27">
        <f>IF(SUM(E74,E217)=0,"",SUM(E74)/SUM(E74,E217))</f>
        <v/>
      </c>
      <c r="F360" s="27">
        <f>IF(SUM(F74,F217)=0,"",SUM(F74)/SUM(F74,F217))</f>
        <v/>
      </c>
      <c r="G360" s="27">
        <f>IF(SUM(G74,G217)=0,"",SUM(G74)/SUM(G74,G217))</f>
        <v/>
      </c>
      <c r="H360" s="27">
        <f>IF(SUM(H74,H217)=0,"",SUM(H74)/SUM(H74,H217))</f>
        <v/>
      </c>
    </row>
    <row r="361" hidden="1" outlineLevel="1">
      <c r="A361" t="inlineStr">
        <is>
          <t>Week2-Nov-2026</t>
        </is>
      </c>
      <c r="B361" s="27">
        <f>IF(SUM(B75,B218)=0,"",SUM(B75)/SUM(B75,B218))</f>
        <v/>
      </c>
      <c r="C361" s="27">
        <f>IF(SUM(C75,C218)=0,"",SUM(C75)/SUM(C75,C218))</f>
        <v/>
      </c>
      <c r="D361" s="27">
        <f>IF(SUM(D75,D218)=0,"",SUM(D75)/SUM(D75,D218))</f>
        <v/>
      </c>
      <c r="E361" s="27">
        <f>IF(SUM(E75,E218)=0,"",SUM(E75)/SUM(E75,E218))</f>
        <v/>
      </c>
      <c r="F361" s="27">
        <f>IF(SUM(F75,F218)=0,"",SUM(F75)/SUM(F75,F218))</f>
        <v/>
      </c>
      <c r="G361" s="27">
        <f>IF(SUM(G75,G218)=0,"",SUM(G75)/SUM(G75,G218))</f>
        <v/>
      </c>
      <c r="H361" s="27">
        <f>IF(SUM(H75,H218)=0,"",SUM(H75)/SUM(H75,H218))</f>
        <v/>
      </c>
    </row>
    <row r="362" hidden="1" outlineLevel="1">
      <c r="A362" t="inlineStr">
        <is>
          <t>Week3-Nov-2026</t>
        </is>
      </c>
      <c r="B362" s="27">
        <f>IF(SUM(B76,B219)=0,"",SUM(B76)/SUM(B76,B219))</f>
        <v/>
      </c>
      <c r="C362" s="27">
        <f>IF(SUM(C76,C219)=0,"",SUM(C76)/SUM(C76,C219))</f>
        <v/>
      </c>
      <c r="D362" s="27">
        <f>IF(SUM(D76,D219)=0,"",SUM(D76)/SUM(D76,D219))</f>
        <v/>
      </c>
      <c r="E362" s="27">
        <f>IF(SUM(E76,E219)=0,"",SUM(E76)/SUM(E76,E219))</f>
        <v/>
      </c>
      <c r="F362" s="27">
        <f>IF(SUM(F76,F219)=0,"",SUM(F76)/SUM(F76,F219))</f>
        <v/>
      </c>
      <c r="G362" s="27">
        <f>IF(SUM(G76,G219)=0,"",SUM(G76)/SUM(G76,G219))</f>
        <v/>
      </c>
      <c r="H362" s="27">
        <f>IF(SUM(H76,H219)=0,"",SUM(H76)/SUM(H76,H219))</f>
        <v/>
      </c>
    </row>
    <row r="363" hidden="1" outlineLevel="1">
      <c r="A363" t="inlineStr">
        <is>
          <t>Week4-Nov-2026</t>
        </is>
      </c>
      <c r="B363" s="27">
        <f>IF(SUM(B77,B220)=0,"",SUM(B77)/SUM(B77,B220))</f>
        <v/>
      </c>
      <c r="C363" s="27">
        <f>IF(SUM(C77,C220)=0,"",SUM(C77)/SUM(C77,C220))</f>
        <v/>
      </c>
      <c r="D363" s="27">
        <f>IF(SUM(D77,D220)=0,"",SUM(D77)/SUM(D77,D220))</f>
        <v/>
      </c>
      <c r="E363" s="27">
        <f>IF(SUM(E77,E220)=0,"",SUM(E77)/SUM(E77,E220))</f>
        <v/>
      </c>
      <c r="F363" s="27">
        <f>IF(SUM(F77,F220)=0,"",SUM(F77)/SUM(F77,F220))</f>
        <v/>
      </c>
      <c r="G363" s="27">
        <f>IF(SUM(G77,G220)=0,"",SUM(G77)/SUM(G77,G220))</f>
        <v/>
      </c>
      <c r="H363" s="27">
        <f>IF(SUM(H77,H220)=0,"",SUM(H77)/SUM(H77,H220))</f>
        <v/>
      </c>
    </row>
    <row r="364" hidden="1" outlineLevel="1">
      <c r="A364" t="inlineStr">
        <is>
          <t>Week5-Nov-2026</t>
        </is>
      </c>
      <c r="B364" s="27">
        <f>IF(SUM(B78,B221)=0,"",SUM(B78)/SUM(B78,B221))</f>
        <v/>
      </c>
      <c r="C364" s="27">
        <f>IF(SUM(C78,C221)=0,"",SUM(C78)/SUM(C78,C221))</f>
        <v/>
      </c>
      <c r="D364" s="27">
        <f>IF(SUM(D78,D221)=0,"",SUM(D78)/SUM(D78,D221))</f>
        <v/>
      </c>
      <c r="E364" s="27">
        <f>IF(SUM(E78,E221)=0,"",SUM(E78)/SUM(E78,E221))</f>
        <v/>
      </c>
      <c r="F364" s="27">
        <f>IF(SUM(F78,F221)=0,"",SUM(F78)/SUM(F78,F221))</f>
        <v/>
      </c>
      <c r="G364" s="27">
        <f>IF(SUM(G78,G221)=0,"",SUM(G78)/SUM(G78,G221))</f>
        <v/>
      </c>
      <c r="H364" s="27">
        <f>IF(SUM(H78,H221)=0,"",SUM(H78)/SUM(H78,H221))</f>
        <v/>
      </c>
    </row>
    <row r="365" hidden="1" outlineLevel="1">
      <c r="A365" t="inlineStr">
        <is>
          <t>Week1-Dec-2026</t>
        </is>
      </c>
      <c r="B365" s="27">
        <f>IF(SUM(B79,B222)=0,"",SUM(B79)/SUM(B79,B222))</f>
        <v/>
      </c>
      <c r="C365" s="27">
        <f>IF(SUM(C79,C222)=0,"",SUM(C79)/SUM(C79,C222))</f>
        <v/>
      </c>
      <c r="D365" s="27">
        <f>IF(SUM(D79,D222)=0,"",SUM(D79)/SUM(D79,D222))</f>
        <v/>
      </c>
      <c r="E365" s="27">
        <f>IF(SUM(E79,E222)=0,"",SUM(E79)/SUM(E79,E222))</f>
        <v/>
      </c>
      <c r="F365" s="27">
        <f>IF(SUM(F79,F222)=0,"",SUM(F79)/SUM(F79,F222))</f>
        <v/>
      </c>
      <c r="G365" s="27">
        <f>IF(SUM(G79,G222)=0,"",SUM(G79)/SUM(G79,G222))</f>
        <v/>
      </c>
      <c r="H365" s="27">
        <f>IF(SUM(H79,H222)=0,"",SUM(H79)/SUM(H79,H222))</f>
        <v/>
      </c>
    </row>
    <row r="366" hidden="1" outlineLevel="1">
      <c r="A366" t="inlineStr">
        <is>
          <t>Week2-Dec-2026</t>
        </is>
      </c>
      <c r="B366" s="27">
        <f>IF(SUM(B80,B223)=0,"",SUM(B80)/SUM(B80,B223))</f>
        <v/>
      </c>
      <c r="C366" s="27">
        <f>IF(SUM(C80,C223)=0,"",SUM(C80)/SUM(C80,C223))</f>
        <v/>
      </c>
      <c r="D366" s="27">
        <f>IF(SUM(D80,D223)=0,"",SUM(D80)/SUM(D80,D223))</f>
        <v/>
      </c>
      <c r="E366" s="27">
        <f>IF(SUM(E80,E223)=0,"",SUM(E80)/SUM(E80,E223))</f>
        <v/>
      </c>
      <c r="F366" s="27">
        <f>IF(SUM(F80,F223)=0,"",SUM(F80)/SUM(F80,F223))</f>
        <v/>
      </c>
      <c r="G366" s="27">
        <f>IF(SUM(G80,G223)=0,"",SUM(G80)/SUM(G80,G223))</f>
        <v/>
      </c>
      <c r="H366" s="27">
        <f>IF(SUM(H80,H223)=0,"",SUM(H80)/SUM(H80,H223))</f>
        <v/>
      </c>
    </row>
    <row r="367" hidden="1" outlineLevel="1">
      <c r="A367" t="inlineStr">
        <is>
          <t>Week3-Dec-2026</t>
        </is>
      </c>
      <c r="B367" s="27">
        <f>IF(SUM(B81,B224)=0,"",SUM(B81)/SUM(B81,B224))</f>
        <v/>
      </c>
      <c r="C367" s="27">
        <f>IF(SUM(C81,C224)=0,"",SUM(C81)/SUM(C81,C224))</f>
        <v/>
      </c>
      <c r="D367" s="27">
        <f>IF(SUM(D81,D224)=0,"",SUM(D81)/SUM(D81,D224))</f>
        <v/>
      </c>
      <c r="E367" s="27">
        <f>IF(SUM(E81,E224)=0,"",SUM(E81)/SUM(E81,E224))</f>
        <v/>
      </c>
      <c r="F367" s="27">
        <f>IF(SUM(F81,F224)=0,"",SUM(F81)/SUM(F81,F224))</f>
        <v/>
      </c>
      <c r="G367" s="27">
        <f>IF(SUM(G81,G224)=0,"",SUM(G81)/SUM(G81,G224))</f>
        <v/>
      </c>
      <c r="H367" s="27">
        <f>IF(SUM(H81,H224)=0,"",SUM(H81)/SUM(H81,H224))</f>
        <v/>
      </c>
    </row>
    <row r="368" hidden="1" outlineLevel="1">
      <c r="A368" t="inlineStr">
        <is>
          <t>Week4-Dec-2026</t>
        </is>
      </c>
      <c r="B368" s="27">
        <f>IF(SUM(B82,B225)=0,"",SUM(B82)/SUM(B82,B225))</f>
        <v/>
      </c>
      <c r="C368" s="27">
        <f>IF(SUM(C82,C225)=0,"",SUM(C82)/SUM(C82,C225))</f>
        <v/>
      </c>
      <c r="D368" s="27">
        <f>IF(SUM(D82,D225)=0,"",SUM(D82)/SUM(D82,D225))</f>
        <v/>
      </c>
      <c r="E368" s="27">
        <f>IF(SUM(E82,E225)=0,"",SUM(E82)/SUM(E82,E225))</f>
        <v/>
      </c>
      <c r="F368" s="27">
        <f>IF(SUM(F82,F225)=0,"",SUM(F82)/SUM(F82,F225))</f>
        <v/>
      </c>
      <c r="G368" s="27">
        <f>IF(SUM(G82,G225)=0,"",SUM(G82)/SUM(G82,G225))</f>
        <v/>
      </c>
      <c r="H368" s="27">
        <f>IF(SUM(H82,H225)=0,"",SUM(H82)/SUM(H82,H225))</f>
        <v/>
      </c>
    </row>
    <row r="369" hidden="1" outlineLevel="1">
      <c r="A369" t="inlineStr">
        <is>
          <t>Week5-Dec-2026</t>
        </is>
      </c>
      <c r="B369" s="27">
        <f>IF(SUM(B83,B226)=0,"",SUM(B83)/SUM(B83,B226))</f>
        <v/>
      </c>
      <c r="C369" s="27">
        <f>IF(SUM(C83,C226)=0,"",SUM(C83)/SUM(C83,C226))</f>
        <v/>
      </c>
      <c r="D369" s="27">
        <f>IF(SUM(D83,D226)=0,"",SUM(D83)/SUM(D83,D226))</f>
        <v/>
      </c>
      <c r="E369" s="27">
        <f>IF(SUM(E83,E226)=0,"",SUM(E83)/SUM(E83,E226))</f>
        <v/>
      </c>
      <c r="F369" s="27">
        <f>IF(SUM(F83,F226)=0,"",SUM(F83)/SUM(F83,F226))</f>
        <v/>
      </c>
      <c r="G369" s="27">
        <f>IF(SUM(G83,G226)=0,"",SUM(G83)/SUM(G83,G226))</f>
        <v/>
      </c>
      <c r="H369" s="27">
        <f>IF(SUM(H83,H226)=0,"",SUM(H83)/SUM(H83,H226))</f>
        <v/>
      </c>
    </row>
    <row r="370" hidden="1" outlineLevel="1">
      <c r="A370" t="inlineStr">
        <is>
          <t>Week1-Jan-2027</t>
        </is>
      </c>
      <c r="B370" s="27">
        <f>IF(SUM(B84,B227)=0,"",SUM(B84)/SUM(B84,B227))</f>
        <v/>
      </c>
      <c r="C370" s="27">
        <f>IF(SUM(C84,C227)=0,"",SUM(C84)/SUM(C84,C227))</f>
        <v/>
      </c>
      <c r="D370" s="27">
        <f>IF(SUM(D84,D227)=0,"",SUM(D84)/SUM(D84,D227))</f>
        <v/>
      </c>
      <c r="E370" s="27">
        <f>IF(SUM(E84,E227)=0,"",SUM(E84)/SUM(E84,E227))</f>
        <v/>
      </c>
      <c r="F370" s="27">
        <f>IF(SUM(F84,F227)=0,"",SUM(F84)/SUM(F84,F227))</f>
        <v/>
      </c>
      <c r="G370" s="27">
        <f>IF(SUM(G84,G227)=0,"",SUM(G84)/SUM(G84,G227))</f>
        <v/>
      </c>
      <c r="H370" s="27">
        <f>IF(SUM(H84,H227)=0,"",SUM(H84)/SUM(H84,H227))</f>
        <v/>
      </c>
    </row>
    <row r="371" hidden="1" outlineLevel="1">
      <c r="A371" t="inlineStr">
        <is>
          <t>Week2-Jan-2027</t>
        </is>
      </c>
      <c r="B371" s="27">
        <f>IF(SUM(B85,B228)=0,"",SUM(B85)/SUM(B85,B228))</f>
        <v/>
      </c>
      <c r="C371" s="27">
        <f>IF(SUM(C85,C228)=0,"",SUM(C85)/SUM(C85,C228))</f>
        <v/>
      </c>
      <c r="D371" s="27">
        <f>IF(SUM(D85,D228)=0,"",SUM(D85)/SUM(D85,D228))</f>
        <v/>
      </c>
      <c r="E371" s="27">
        <f>IF(SUM(E85,E228)=0,"",SUM(E85)/SUM(E85,E228))</f>
        <v/>
      </c>
      <c r="F371" s="27">
        <f>IF(SUM(F85,F228)=0,"",SUM(F85)/SUM(F85,F228))</f>
        <v/>
      </c>
      <c r="G371" s="27">
        <f>IF(SUM(G85,G228)=0,"",SUM(G85)/SUM(G85,G228))</f>
        <v/>
      </c>
      <c r="H371" s="27">
        <f>IF(SUM(H85,H228)=0,"",SUM(H85)/SUM(H85,H228))</f>
        <v/>
      </c>
    </row>
    <row r="372" hidden="1" outlineLevel="1">
      <c r="A372" t="inlineStr">
        <is>
          <t>Week3-Jan-2027</t>
        </is>
      </c>
      <c r="B372" s="27">
        <f>IF(SUM(B86,B229)=0,"",SUM(B86)/SUM(B86,B229))</f>
        <v/>
      </c>
      <c r="C372" s="27">
        <f>IF(SUM(C86,C229)=0,"",SUM(C86)/SUM(C86,C229))</f>
        <v/>
      </c>
      <c r="D372" s="27">
        <f>IF(SUM(D86,D229)=0,"",SUM(D86)/SUM(D86,D229))</f>
        <v/>
      </c>
      <c r="E372" s="27">
        <f>IF(SUM(E86,E229)=0,"",SUM(E86)/SUM(E86,E229))</f>
        <v/>
      </c>
      <c r="F372" s="27">
        <f>IF(SUM(F86,F229)=0,"",SUM(F86)/SUM(F86,F229))</f>
        <v/>
      </c>
      <c r="G372" s="27">
        <f>IF(SUM(G86,G229)=0,"",SUM(G86)/SUM(G86,G229))</f>
        <v/>
      </c>
      <c r="H372" s="27">
        <f>IF(SUM(H86,H229)=0,"",SUM(H86)/SUM(H86,H229))</f>
        <v/>
      </c>
    </row>
    <row r="373" hidden="1" outlineLevel="1">
      <c r="A373" t="inlineStr">
        <is>
          <t>Week4-Jan-2027</t>
        </is>
      </c>
      <c r="B373" s="27">
        <f>IF(SUM(B87,B230)=0,"",SUM(B87)/SUM(B87,B230))</f>
        <v/>
      </c>
      <c r="C373" s="27">
        <f>IF(SUM(C87,C230)=0,"",SUM(C87)/SUM(C87,C230))</f>
        <v/>
      </c>
      <c r="D373" s="27">
        <f>IF(SUM(D87,D230)=0,"",SUM(D87)/SUM(D87,D230))</f>
        <v/>
      </c>
      <c r="E373" s="27">
        <f>IF(SUM(E87,E230)=0,"",SUM(E87)/SUM(E87,E230))</f>
        <v/>
      </c>
      <c r="F373" s="27">
        <f>IF(SUM(F87,F230)=0,"",SUM(F87)/SUM(F87,F230))</f>
        <v/>
      </c>
      <c r="G373" s="27">
        <f>IF(SUM(G87,G230)=0,"",SUM(G87)/SUM(G87,G230))</f>
        <v/>
      </c>
      <c r="H373" s="27">
        <f>IF(SUM(H87,H230)=0,"",SUM(H87)/SUM(H87,H230))</f>
        <v/>
      </c>
    </row>
    <row r="374" hidden="1" outlineLevel="1">
      <c r="A374" t="inlineStr">
        <is>
          <t>Week5-Jan-2027</t>
        </is>
      </c>
      <c r="B374" s="27">
        <f>IF(SUM(B88,B231)=0,"",SUM(B88)/SUM(B88,B231))</f>
        <v/>
      </c>
      <c r="C374" s="27">
        <f>IF(SUM(C88,C231)=0,"",SUM(C88)/SUM(C88,C231))</f>
        <v/>
      </c>
      <c r="D374" s="27">
        <f>IF(SUM(D88,D231)=0,"",SUM(D88)/SUM(D88,D231))</f>
        <v/>
      </c>
      <c r="E374" s="27">
        <f>IF(SUM(E88,E231)=0,"",SUM(E88)/SUM(E88,E231))</f>
        <v/>
      </c>
      <c r="F374" s="27">
        <f>IF(SUM(F88,F231)=0,"",SUM(F88)/SUM(F88,F231))</f>
        <v/>
      </c>
      <c r="G374" s="27">
        <f>IF(SUM(G88,G231)=0,"",SUM(G88)/SUM(G88,G231))</f>
        <v/>
      </c>
      <c r="H374" s="27">
        <f>IF(SUM(H88,H231)=0,"",SUM(H88)/SUM(H88,H231))</f>
        <v/>
      </c>
    </row>
    <row r="375" hidden="1" outlineLevel="1">
      <c r="A375" t="inlineStr">
        <is>
          <t>Week1-Feb-2027</t>
        </is>
      </c>
      <c r="B375" s="27">
        <f>IF(SUM(B89,B232)=0,"",SUM(B89)/SUM(B89,B232))</f>
        <v/>
      </c>
      <c r="C375" s="27">
        <f>IF(SUM(C89,C232)=0,"",SUM(C89)/SUM(C89,C232))</f>
        <v/>
      </c>
      <c r="D375" s="27">
        <f>IF(SUM(D89,D232)=0,"",SUM(D89)/SUM(D89,D232))</f>
        <v/>
      </c>
      <c r="E375" s="27">
        <f>IF(SUM(E89,E232)=0,"",SUM(E89)/SUM(E89,E232))</f>
        <v/>
      </c>
      <c r="F375" s="27">
        <f>IF(SUM(F89,F232)=0,"",SUM(F89)/SUM(F89,F232))</f>
        <v/>
      </c>
      <c r="G375" s="27">
        <f>IF(SUM(G89,G232)=0,"",SUM(G89)/SUM(G89,G232))</f>
        <v/>
      </c>
      <c r="H375" s="27">
        <f>IF(SUM(H89,H232)=0,"",SUM(H89)/SUM(H89,H232))</f>
        <v/>
      </c>
    </row>
    <row r="376" hidden="1" outlineLevel="1">
      <c r="A376" t="inlineStr">
        <is>
          <t>Week2-Feb-2027</t>
        </is>
      </c>
      <c r="B376" s="27">
        <f>IF(SUM(B90,B233)=0,"",SUM(B90)/SUM(B90,B233))</f>
        <v/>
      </c>
      <c r="C376" s="27">
        <f>IF(SUM(C90,C233)=0,"",SUM(C90)/SUM(C90,C233))</f>
        <v/>
      </c>
      <c r="D376" s="27">
        <f>IF(SUM(D90,D233)=0,"",SUM(D90)/SUM(D90,D233))</f>
        <v/>
      </c>
      <c r="E376" s="27">
        <f>IF(SUM(E90,E233)=0,"",SUM(E90)/SUM(E90,E233))</f>
        <v/>
      </c>
      <c r="F376" s="27">
        <f>IF(SUM(F90,F233)=0,"",SUM(F90)/SUM(F90,F233))</f>
        <v/>
      </c>
      <c r="G376" s="27">
        <f>IF(SUM(G90,G233)=0,"",SUM(G90)/SUM(G90,G233))</f>
        <v/>
      </c>
      <c r="H376" s="27">
        <f>IF(SUM(H90,H233)=0,"",SUM(H90)/SUM(H90,H233))</f>
        <v/>
      </c>
    </row>
    <row r="377" hidden="1" outlineLevel="1">
      <c r="A377" t="inlineStr">
        <is>
          <t>Week3-Feb-2027</t>
        </is>
      </c>
      <c r="B377" s="27">
        <f>IF(SUM(B91,B234)=0,"",SUM(B91)/SUM(B91,B234))</f>
        <v/>
      </c>
      <c r="C377" s="27">
        <f>IF(SUM(C91,C234)=0,"",SUM(C91)/SUM(C91,C234))</f>
        <v/>
      </c>
      <c r="D377" s="27">
        <f>IF(SUM(D91,D234)=0,"",SUM(D91)/SUM(D91,D234))</f>
        <v/>
      </c>
      <c r="E377" s="27">
        <f>IF(SUM(E91,E234)=0,"",SUM(E91)/SUM(E91,E234))</f>
        <v/>
      </c>
      <c r="F377" s="27">
        <f>IF(SUM(F91,F234)=0,"",SUM(F91)/SUM(F91,F234))</f>
        <v/>
      </c>
      <c r="G377" s="27">
        <f>IF(SUM(G91,G234)=0,"",SUM(G91)/SUM(G91,G234))</f>
        <v/>
      </c>
      <c r="H377" s="27">
        <f>IF(SUM(H91,H234)=0,"",SUM(H91)/SUM(H91,H234))</f>
        <v/>
      </c>
    </row>
    <row r="378" hidden="1" outlineLevel="1">
      <c r="A378" t="inlineStr">
        <is>
          <t>Week4-Feb-2027</t>
        </is>
      </c>
      <c r="B378" s="27">
        <f>IF(SUM(B92,B235)=0,"",SUM(B92)/SUM(B92,B235))</f>
        <v/>
      </c>
      <c r="C378" s="27">
        <f>IF(SUM(C92,C235)=0,"",SUM(C92)/SUM(C92,C235))</f>
        <v/>
      </c>
      <c r="D378" s="27">
        <f>IF(SUM(D92,D235)=0,"",SUM(D92)/SUM(D92,D235))</f>
        <v/>
      </c>
      <c r="E378" s="27">
        <f>IF(SUM(E92,E235)=0,"",SUM(E92)/SUM(E92,E235))</f>
        <v/>
      </c>
      <c r="F378" s="27">
        <f>IF(SUM(F92,F235)=0,"",SUM(F92)/SUM(F92,F235))</f>
        <v/>
      </c>
      <c r="G378" s="27">
        <f>IF(SUM(G92,G235)=0,"",SUM(G92)/SUM(G92,G235))</f>
        <v/>
      </c>
      <c r="H378" s="27">
        <f>IF(SUM(H92,H235)=0,"",SUM(H92)/SUM(H92,H235))</f>
        <v/>
      </c>
    </row>
    <row r="379" hidden="1" outlineLevel="1">
      <c r="A379" t="inlineStr">
        <is>
          <t>Week1-Mar-2027</t>
        </is>
      </c>
      <c r="B379" s="27">
        <f>IF(SUM(B93,B236)=0,"",SUM(B93)/SUM(B93,B236))</f>
        <v/>
      </c>
      <c r="C379" s="27">
        <f>IF(SUM(C93,C236)=0,"",SUM(C93)/SUM(C93,C236))</f>
        <v/>
      </c>
      <c r="D379" s="27">
        <f>IF(SUM(D93,D236)=0,"",SUM(D93)/SUM(D93,D236))</f>
        <v/>
      </c>
      <c r="E379" s="27">
        <f>IF(SUM(E93,E236)=0,"",SUM(E93)/SUM(E93,E236))</f>
        <v/>
      </c>
      <c r="F379" s="27">
        <f>IF(SUM(F93,F236)=0,"",SUM(F93)/SUM(F93,F236))</f>
        <v/>
      </c>
      <c r="G379" s="27">
        <f>IF(SUM(G93,G236)=0,"",SUM(G93)/SUM(G93,G236))</f>
        <v/>
      </c>
      <c r="H379" s="27">
        <f>IF(SUM(H93,H236)=0,"",SUM(H93)/SUM(H93,H236))</f>
        <v/>
      </c>
    </row>
    <row r="380" hidden="1" outlineLevel="1">
      <c r="A380" t="inlineStr">
        <is>
          <t>Week2-Mar-2027</t>
        </is>
      </c>
      <c r="B380" s="27">
        <f>IF(SUM(B94,B237)=0,"",SUM(B94)/SUM(B94,B237))</f>
        <v/>
      </c>
      <c r="C380" s="27">
        <f>IF(SUM(C94,C237)=0,"",SUM(C94)/SUM(C94,C237))</f>
        <v/>
      </c>
      <c r="D380" s="27">
        <f>IF(SUM(D94,D237)=0,"",SUM(D94)/SUM(D94,D237))</f>
        <v/>
      </c>
      <c r="E380" s="27">
        <f>IF(SUM(E94,E237)=0,"",SUM(E94)/SUM(E94,E237))</f>
        <v/>
      </c>
      <c r="F380" s="27">
        <f>IF(SUM(F94,F237)=0,"",SUM(F94)/SUM(F94,F237))</f>
        <v/>
      </c>
      <c r="G380" s="27">
        <f>IF(SUM(G94,G237)=0,"",SUM(G94)/SUM(G94,G237))</f>
        <v/>
      </c>
      <c r="H380" s="27">
        <f>IF(SUM(H94,H237)=0,"",SUM(H94)/SUM(H94,H237))</f>
        <v/>
      </c>
    </row>
    <row r="381" hidden="1" outlineLevel="1">
      <c r="A381" t="inlineStr">
        <is>
          <t>Week3-Mar-2027</t>
        </is>
      </c>
      <c r="B381" s="27">
        <f>IF(SUM(B95,B238)=0,"",SUM(B95)/SUM(B95,B238))</f>
        <v/>
      </c>
      <c r="C381" s="27">
        <f>IF(SUM(C95,C238)=0,"",SUM(C95)/SUM(C95,C238))</f>
        <v/>
      </c>
      <c r="D381" s="27">
        <f>IF(SUM(D95,D238)=0,"",SUM(D95)/SUM(D95,D238))</f>
        <v/>
      </c>
      <c r="E381" s="27">
        <f>IF(SUM(E95,E238)=0,"",SUM(E95)/SUM(E95,E238))</f>
        <v/>
      </c>
      <c r="F381" s="27">
        <f>IF(SUM(F95,F238)=0,"",SUM(F95)/SUM(F95,F238))</f>
        <v/>
      </c>
      <c r="G381" s="27">
        <f>IF(SUM(G95,G238)=0,"",SUM(G95)/SUM(G95,G238))</f>
        <v/>
      </c>
      <c r="H381" s="27">
        <f>IF(SUM(H95,H238)=0,"",SUM(H95)/SUM(H95,H238))</f>
        <v/>
      </c>
    </row>
    <row r="382" hidden="1" outlineLevel="1">
      <c r="A382" t="inlineStr">
        <is>
          <t>Week4-Mar-2027</t>
        </is>
      </c>
      <c r="B382" s="27">
        <f>IF(SUM(B96,B239)=0,"",SUM(B96)/SUM(B96,B239))</f>
        <v/>
      </c>
      <c r="C382" s="27">
        <f>IF(SUM(C96,C239)=0,"",SUM(C96)/SUM(C96,C239))</f>
        <v/>
      </c>
      <c r="D382" s="27">
        <f>IF(SUM(D96,D239)=0,"",SUM(D96)/SUM(D96,D239))</f>
        <v/>
      </c>
      <c r="E382" s="27">
        <f>IF(SUM(E96,E239)=0,"",SUM(E96)/SUM(E96,E239))</f>
        <v/>
      </c>
      <c r="F382" s="27">
        <f>IF(SUM(F96,F239)=0,"",SUM(F96)/SUM(F96,F239))</f>
        <v/>
      </c>
      <c r="G382" s="27">
        <f>IF(SUM(G96,G239)=0,"",SUM(G96)/SUM(G96,G239))</f>
        <v/>
      </c>
      <c r="H382" s="27">
        <f>IF(SUM(H96,H239)=0,"",SUM(H96)/SUM(H96,H239))</f>
        <v/>
      </c>
    </row>
    <row r="383" hidden="1" outlineLevel="1">
      <c r="A383" t="inlineStr">
        <is>
          <t>Week5-Mar-2027</t>
        </is>
      </c>
      <c r="B383" s="27">
        <f>IF(SUM(B97,B240)=0,"",SUM(B97)/SUM(B97,B240))</f>
        <v/>
      </c>
      <c r="C383" s="27">
        <f>IF(SUM(C97,C240)=0,"",SUM(C97)/SUM(C97,C240))</f>
        <v/>
      </c>
      <c r="D383" s="27">
        <f>IF(SUM(D97,D240)=0,"",SUM(D97)/SUM(D97,D240))</f>
        <v/>
      </c>
      <c r="E383" s="27">
        <f>IF(SUM(E97,E240)=0,"",SUM(E97)/SUM(E97,E240))</f>
        <v/>
      </c>
      <c r="F383" s="27">
        <f>IF(SUM(F97,F240)=0,"",SUM(F97)/SUM(F97,F240))</f>
        <v/>
      </c>
      <c r="G383" s="27">
        <f>IF(SUM(G97,G240)=0,"",SUM(G97)/SUM(G97,G240))</f>
        <v/>
      </c>
      <c r="H383" s="27">
        <f>IF(SUM(H97,H240)=0,"",SUM(H97)/SUM(H97,H240))</f>
        <v/>
      </c>
    </row>
    <row r="384" hidden="1" outlineLevel="1">
      <c r="A384" t="inlineStr">
        <is>
          <t>Week1-Apr-2027</t>
        </is>
      </c>
      <c r="B384" s="27">
        <f>IF(SUM(B98,B241)=0,"",SUM(B98)/SUM(B98,B241))</f>
        <v/>
      </c>
      <c r="C384" s="27">
        <f>IF(SUM(C98,C241)=0,"",SUM(C98)/SUM(C98,C241))</f>
        <v/>
      </c>
      <c r="D384" s="27">
        <f>IF(SUM(D98,D241)=0,"",SUM(D98)/SUM(D98,D241))</f>
        <v/>
      </c>
      <c r="E384" s="27">
        <f>IF(SUM(E98,E241)=0,"",SUM(E98)/SUM(E98,E241))</f>
        <v/>
      </c>
      <c r="F384" s="27">
        <f>IF(SUM(F98,F241)=0,"",SUM(F98)/SUM(F98,F241))</f>
        <v/>
      </c>
      <c r="G384" s="27">
        <f>IF(SUM(G98,G241)=0,"",SUM(G98)/SUM(G98,G241))</f>
        <v/>
      </c>
      <c r="H384" s="27">
        <f>IF(SUM(H98,H241)=0,"",SUM(H98)/SUM(H98,H241))</f>
        <v/>
      </c>
    </row>
    <row r="385" hidden="1" outlineLevel="1">
      <c r="A385" t="inlineStr">
        <is>
          <t>Week2-Apr-2027</t>
        </is>
      </c>
      <c r="B385" s="27">
        <f>IF(SUM(B99,B242)=0,"",SUM(B99)/SUM(B99,B242))</f>
        <v/>
      </c>
      <c r="C385" s="27">
        <f>IF(SUM(C99,C242)=0,"",SUM(C99)/SUM(C99,C242))</f>
        <v/>
      </c>
      <c r="D385" s="27">
        <f>IF(SUM(D99,D242)=0,"",SUM(D99)/SUM(D99,D242))</f>
        <v/>
      </c>
      <c r="E385" s="27">
        <f>IF(SUM(E99,E242)=0,"",SUM(E99)/SUM(E99,E242))</f>
        <v/>
      </c>
      <c r="F385" s="27">
        <f>IF(SUM(F99,F242)=0,"",SUM(F99)/SUM(F99,F242))</f>
        <v/>
      </c>
      <c r="G385" s="27">
        <f>IF(SUM(G99,G242)=0,"",SUM(G99)/SUM(G99,G242))</f>
        <v/>
      </c>
      <c r="H385" s="27">
        <f>IF(SUM(H99,H242)=0,"",SUM(H99)/SUM(H99,H242))</f>
        <v/>
      </c>
    </row>
    <row r="386" hidden="1" outlineLevel="1">
      <c r="A386" t="inlineStr">
        <is>
          <t>Week3-Apr-2027</t>
        </is>
      </c>
      <c r="B386" s="27">
        <f>IF(SUM(B100,B243)=0,"",SUM(B100)/SUM(B100,B243))</f>
        <v/>
      </c>
      <c r="C386" s="27">
        <f>IF(SUM(C100,C243)=0,"",SUM(C100)/SUM(C100,C243))</f>
        <v/>
      </c>
      <c r="D386" s="27">
        <f>IF(SUM(D100,D243)=0,"",SUM(D100)/SUM(D100,D243))</f>
        <v/>
      </c>
      <c r="E386" s="27">
        <f>IF(SUM(E100,E243)=0,"",SUM(E100)/SUM(E100,E243))</f>
        <v/>
      </c>
      <c r="F386" s="27">
        <f>IF(SUM(F100,F243)=0,"",SUM(F100)/SUM(F100,F243))</f>
        <v/>
      </c>
      <c r="G386" s="27">
        <f>IF(SUM(G100,G243)=0,"",SUM(G100)/SUM(G100,G243))</f>
        <v/>
      </c>
      <c r="H386" s="27">
        <f>IF(SUM(H100,H243)=0,"",SUM(H100)/SUM(H100,H243))</f>
        <v/>
      </c>
    </row>
    <row r="387" hidden="1" outlineLevel="1">
      <c r="A387" t="inlineStr">
        <is>
          <t>Week4-Apr-2027</t>
        </is>
      </c>
      <c r="B387" s="27">
        <f>IF(SUM(B101,B244)=0,"",SUM(B101)/SUM(B101,B244))</f>
        <v/>
      </c>
      <c r="C387" s="27">
        <f>IF(SUM(C101,C244)=0,"",SUM(C101)/SUM(C101,C244))</f>
        <v/>
      </c>
      <c r="D387" s="27">
        <f>IF(SUM(D101,D244)=0,"",SUM(D101)/SUM(D101,D244))</f>
        <v/>
      </c>
      <c r="E387" s="27">
        <f>IF(SUM(E101,E244)=0,"",SUM(E101)/SUM(E101,E244))</f>
        <v/>
      </c>
      <c r="F387" s="27">
        <f>IF(SUM(F101,F244)=0,"",SUM(F101)/SUM(F101,F244))</f>
        <v/>
      </c>
      <c r="G387" s="27">
        <f>IF(SUM(G101,G244)=0,"",SUM(G101)/SUM(G101,G244))</f>
        <v/>
      </c>
      <c r="H387" s="27">
        <f>IF(SUM(H101,H244)=0,"",SUM(H101)/SUM(H101,H244))</f>
        <v/>
      </c>
    </row>
    <row r="388" hidden="1" outlineLevel="1">
      <c r="A388" t="inlineStr">
        <is>
          <t>Week5-Apr-2027</t>
        </is>
      </c>
      <c r="B388" s="27">
        <f>IF(SUM(B102,B245)=0,"",SUM(B102)/SUM(B102,B245))</f>
        <v/>
      </c>
      <c r="C388" s="27">
        <f>IF(SUM(C102,C245)=0,"",SUM(C102)/SUM(C102,C245))</f>
        <v/>
      </c>
      <c r="D388" s="27">
        <f>IF(SUM(D102,D245)=0,"",SUM(D102)/SUM(D102,D245))</f>
        <v/>
      </c>
      <c r="E388" s="27">
        <f>IF(SUM(E102,E245)=0,"",SUM(E102)/SUM(E102,E245))</f>
        <v/>
      </c>
      <c r="F388" s="27">
        <f>IF(SUM(F102,F245)=0,"",SUM(F102)/SUM(F102,F245))</f>
        <v/>
      </c>
      <c r="G388" s="27">
        <f>IF(SUM(G102,G245)=0,"",SUM(G102)/SUM(G102,G245))</f>
        <v/>
      </c>
      <c r="H388" s="27">
        <f>IF(SUM(H102,H245)=0,"",SUM(H102)/SUM(H102,H245))</f>
        <v/>
      </c>
    </row>
    <row r="389" hidden="1" outlineLevel="1">
      <c r="A389" t="inlineStr">
        <is>
          <t>Week1-May-2027</t>
        </is>
      </c>
      <c r="B389" s="27">
        <f>IF(SUM(B103,B246)=0,"",SUM(B103)/SUM(B103,B246))</f>
        <v/>
      </c>
      <c r="C389" s="27">
        <f>IF(SUM(C103,C246)=0,"",SUM(C103)/SUM(C103,C246))</f>
        <v/>
      </c>
      <c r="D389" s="27">
        <f>IF(SUM(D103,D246)=0,"",SUM(D103)/SUM(D103,D246))</f>
        <v/>
      </c>
      <c r="E389" s="27">
        <f>IF(SUM(E103,E246)=0,"",SUM(E103)/SUM(E103,E246))</f>
        <v/>
      </c>
      <c r="F389" s="27">
        <f>IF(SUM(F103,F246)=0,"",SUM(F103)/SUM(F103,F246))</f>
        <v/>
      </c>
      <c r="G389" s="27">
        <f>IF(SUM(G103,G246)=0,"",SUM(G103)/SUM(G103,G246))</f>
        <v/>
      </c>
      <c r="H389" s="27">
        <f>IF(SUM(H103,H246)=0,"",SUM(H103)/SUM(H103,H246))</f>
        <v/>
      </c>
    </row>
    <row r="390" hidden="1" outlineLevel="1">
      <c r="A390" t="inlineStr">
        <is>
          <t>Week2-May-2027</t>
        </is>
      </c>
      <c r="B390" s="27">
        <f>IF(SUM(B104,B247)=0,"",SUM(B104)/SUM(B104,B247))</f>
        <v/>
      </c>
      <c r="C390" s="27">
        <f>IF(SUM(C104,C247)=0,"",SUM(C104)/SUM(C104,C247))</f>
        <v/>
      </c>
      <c r="D390" s="27">
        <f>IF(SUM(D104,D247)=0,"",SUM(D104)/SUM(D104,D247))</f>
        <v/>
      </c>
      <c r="E390" s="27">
        <f>IF(SUM(E104,E247)=0,"",SUM(E104)/SUM(E104,E247))</f>
        <v/>
      </c>
      <c r="F390" s="27">
        <f>IF(SUM(F104,F247)=0,"",SUM(F104)/SUM(F104,F247))</f>
        <v/>
      </c>
      <c r="G390" s="27">
        <f>IF(SUM(G104,G247)=0,"",SUM(G104)/SUM(G104,G247))</f>
        <v/>
      </c>
      <c r="H390" s="27">
        <f>IF(SUM(H104,H247)=0,"",SUM(H104)/SUM(H104,H247))</f>
        <v/>
      </c>
    </row>
    <row r="391" hidden="1" outlineLevel="1">
      <c r="A391" t="inlineStr">
        <is>
          <t>Week3-May-2027</t>
        </is>
      </c>
      <c r="B391" s="27">
        <f>IF(SUM(B105,B248)=0,"",SUM(B105)/SUM(B105,B248))</f>
        <v/>
      </c>
      <c r="C391" s="27">
        <f>IF(SUM(C105,C248)=0,"",SUM(C105)/SUM(C105,C248))</f>
        <v/>
      </c>
      <c r="D391" s="27">
        <f>IF(SUM(D105,D248)=0,"",SUM(D105)/SUM(D105,D248))</f>
        <v/>
      </c>
      <c r="E391" s="27">
        <f>IF(SUM(E105,E248)=0,"",SUM(E105)/SUM(E105,E248))</f>
        <v/>
      </c>
      <c r="F391" s="27">
        <f>IF(SUM(F105,F248)=0,"",SUM(F105)/SUM(F105,F248))</f>
        <v/>
      </c>
      <c r="G391" s="27">
        <f>IF(SUM(G105,G248)=0,"",SUM(G105)/SUM(G105,G248))</f>
        <v/>
      </c>
      <c r="H391" s="27">
        <f>IF(SUM(H105,H248)=0,"",SUM(H105)/SUM(H105,H248))</f>
        <v/>
      </c>
    </row>
    <row r="392" hidden="1" outlineLevel="1">
      <c r="A392" t="inlineStr">
        <is>
          <t>Week4-May-2027</t>
        </is>
      </c>
      <c r="B392" s="27">
        <f>IF(SUM(B106,B249)=0,"",SUM(B106)/SUM(B106,B249))</f>
        <v/>
      </c>
      <c r="C392" s="27">
        <f>IF(SUM(C106,C249)=0,"",SUM(C106)/SUM(C106,C249))</f>
        <v/>
      </c>
      <c r="D392" s="27">
        <f>IF(SUM(D106,D249)=0,"",SUM(D106)/SUM(D106,D249))</f>
        <v/>
      </c>
      <c r="E392" s="27">
        <f>IF(SUM(E106,E249)=0,"",SUM(E106)/SUM(E106,E249))</f>
        <v/>
      </c>
      <c r="F392" s="27">
        <f>IF(SUM(F106,F249)=0,"",SUM(F106)/SUM(F106,F249))</f>
        <v/>
      </c>
      <c r="G392" s="27">
        <f>IF(SUM(G106,G249)=0,"",SUM(G106)/SUM(G106,G249))</f>
        <v/>
      </c>
      <c r="H392" s="27">
        <f>IF(SUM(H106,H249)=0,"",SUM(H106)/SUM(H106,H249))</f>
        <v/>
      </c>
    </row>
    <row r="393" hidden="1" outlineLevel="1">
      <c r="A393" t="inlineStr">
        <is>
          <t>Week5-May-2027</t>
        </is>
      </c>
      <c r="B393" s="27">
        <f>IF(SUM(B107,B250)=0,"",SUM(B107)/SUM(B107,B250))</f>
        <v/>
      </c>
      <c r="C393" s="27">
        <f>IF(SUM(C107,C250)=0,"",SUM(C107)/SUM(C107,C250))</f>
        <v/>
      </c>
      <c r="D393" s="27">
        <f>IF(SUM(D107,D250)=0,"",SUM(D107)/SUM(D107,D250))</f>
        <v/>
      </c>
      <c r="E393" s="27">
        <f>IF(SUM(E107,E250)=0,"",SUM(E107)/SUM(E107,E250))</f>
        <v/>
      </c>
      <c r="F393" s="27">
        <f>IF(SUM(F107,F250)=0,"",SUM(F107)/SUM(F107,F250))</f>
        <v/>
      </c>
      <c r="G393" s="27">
        <f>IF(SUM(G107,G250)=0,"",SUM(G107)/SUM(G107,G250))</f>
        <v/>
      </c>
      <c r="H393" s="27">
        <f>IF(SUM(H107,H250)=0,"",SUM(H107)/SUM(H107,H250))</f>
        <v/>
      </c>
    </row>
    <row r="394" hidden="1" outlineLevel="1">
      <c r="A394" t="inlineStr">
        <is>
          <t>Week1-Jun-2027</t>
        </is>
      </c>
      <c r="B394" s="27">
        <f>IF(SUM(B108,B251)=0,"",SUM(B108)/SUM(B108,B251))</f>
        <v/>
      </c>
      <c r="C394" s="27">
        <f>IF(SUM(C108,C251)=0,"",SUM(C108)/SUM(C108,C251))</f>
        <v/>
      </c>
      <c r="D394" s="27">
        <f>IF(SUM(D108,D251)=0,"",SUM(D108)/SUM(D108,D251))</f>
        <v/>
      </c>
      <c r="E394" s="27">
        <f>IF(SUM(E108,E251)=0,"",SUM(E108)/SUM(E108,E251))</f>
        <v/>
      </c>
      <c r="F394" s="27">
        <f>IF(SUM(F108,F251)=0,"",SUM(F108)/SUM(F108,F251))</f>
        <v/>
      </c>
      <c r="G394" s="27">
        <f>IF(SUM(G108,G251)=0,"",SUM(G108)/SUM(G108,G251))</f>
        <v/>
      </c>
      <c r="H394" s="27">
        <f>IF(SUM(H108,H251)=0,"",SUM(H108)/SUM(H108,H251))</f>
        <v/>
      </c>
    </row>
    <row r="395" hidden="1" outlineLevel="1">
      <c r="A395" t="inlineStr">
        <is>
          <t>Week2-Jun-2027</t>
        </is>
      </c>
      <c r="B395" s="27">
        <f>IF(SUM(B109,B252)=0,"",SUM(B109)/SUM(B109,B252))</f>
        <v/>
      </c>
      <c r="C395" s="27">
        <f>IF(SUM(C109,C252)=0,"",SUM(C109)/SUM(C109,C252))</f>
        <v/>
      </c>
      <c r="D395" s="27">
        <f>IF(SUM(D109,D252)=0,"",SUM(D109)/SUM(D109,D252))</f>
        <v/>
      </c>
      <c r="E395" s="27">
        <f>IF(SUM(E109,E252)=0,"",SUM(E109)/SUM(E109,E252))</f>
        <v/>
      </c>
      <c r="F395" s="27">
        <f>IF(SUM(F109,F252)=0,"",SUM(F109)/SUM(F109,F252))</f>
        <v/>
      </c>
      <c r="G395" s="27">
        <f>IF(SUM(G109,G252)=0,"",SUM(G109)/SUM(G109,G252))</f>
        <v/>
      </c>
      <c r="H395" s="27">
        <f>IF(SUM(H109,H252)=0,"",SUM(H109)/SUM(H109,H252))</f>
        <v/>
      </c>
    </row>
    <row r="396" hidden="1" outlineLevel="1">
      <c r="A396" t="inlineStr">
        <is>
          <t>Week3-Jun-2027</t>
        </is>
      </c>
      <c r="B396" s="27">
        <f>IF(SUM(B110,B253)=0,"",SUM(B110)/SUM(B110,B253))</f>
        <v/>
      </c>
      <c r="C396" s="27">
        <f>IF(SUM(C110,C253)=0,"",SUM(C110)/SUM(C110,C253))</f>
        <v/>
      </c>
      <c r="D396" s="27">
        <f>IF(SUM(D110,D253)=0,"",SUM(D110)/SUM(D110,D253))</f>
        <v/>
      </c>
      <c r="E396" s="27">
        <f>IF(SUM(E110,E253)=0,"",SUM(E110)/SUM(E110,E253))</f>
        <v/>
      </c>
      <c r="F396" s="27">
        <f>IF(SUM(F110,F253)=0,"",SUM(F110)/SUM(F110,F253))</f>
        <v/>
      </c>
      <c r="G396" s="27">
        <f>IF(SUM(G110,G253)=0,"",SUM(G110)/SUM(G110,G253))</f>
        <v/>
      </c>
      <c r="H396" s="27">
        <f>IF(SUM(H110,H253)=0,"",SUM(H110)/SUM(H110,H253))</f>
        <v/>
      </c>
    </row>
    <row r="397" hidden="1" outlineLevel="1">
      <c r="A397" t="inlineStr">
        <is>
          <t>Week4-Jun-2027</t>
        </is>
      </c>
      <c r="B397" s="27">
        <f>IF(SUM(B111,B254)=0,"",SUM(B111)/SUM(B111,B254))</f>
        <v/>
      </c>
      <c r="C397" s="27">
        <f>IF(SUM(C111,C254)=0,"",SUM(C111)/SUM(C111,C254))</f>
        <v/>
      </c>
      <c r="D397" s="27">
        <f>IF(SUM(D111,D254)=0,"",SUM(D111)/SUM(D111,D254))</f>
        <v/>
      </c>
      <c r="E397" s="27">
        <f>IF(SUM(E111,E254)=0,"",SUM(E111)/SUM(E111,E254))</f>
        <v/>
      </c>
      <c r="F397" s="27">
        <f>IF(SUM(F111,F254)=0,"",SUM(F111)/SUM(F111,F254))</f>
        <v/>
      </c>
      <c r="G397" s="27">
        <f>IF(SUM(G111,G254)=0,"",SUM(G111)/SUM(G111,G254))</f>
        <v/>
      </c>
      <c r="H397" s="27">
        <f>IF(SUM(H111,H254)=0,"",SUM(H111)/SUM(H111,H254))</f>
        <v/>
      </c>
    </row>
    <row r="398" hidden="1" outlineLevel="1">
      <c r="A398" t="inlineStr">
        <is>
          <t>Week5-Jun-2027</t>
        </is>
      </c>
      <c r="B398" s="27">
        <f>IF(SUM(B112,B255)=0,"",SUM(B112)/SUM(B112,B255))</f>
        <v/>
      </c>
      <c r="C398" s="27">
        <f>IF(SUM(C112,C255)=0,"",SUM(C112)/SUM(C112,C255))</f>
        <v/>
      </c>
      <c r="D398" s="27">
        <f>IF(SUM(D112,D255)=0,"",SUM(D112)/SUM(D112,D255))</f>
        <v/>
      </c>
      <c r="E398" s="27">
        <f>IF(SUM(E112,E255)=0,"",SUM(E112)/SUM(E112,E255))</f>
        <v/>
      </c>
      <c r="F398" s="27">
        <f>IF(SUM(F112,F255)=0,"",SUM(F112)/SUM(F112,F255))</f>
        <v/>
      </c>
      <c r="G398" s="27">
        <f>IF(SUM(G112,G255)=0,"",SUM(G112)/SUM(G112,G255))</f>
        <v/>
      </c>
      <c r="H398" s="27">
        <f>IF(SUM(H112,H255)=0,"",SUM(H112)/SUM(H112,H255))</f>
        <v/>
      </c>
    </row>
    <row r="399" hidden="1" outlineLevel="1">
      <c r="A399" t="inlineStr">
        <is>
          <t>Week1-Jul-2027</t>
        </is>
      </c>
      <c r="B399" s="27">
        <f>IF(SUM(B113,B256)=0,"",SUM(B113)/SUM(B113,B256))</f>
        <v/>
      </c>
      <c r="C399" s="27">
        <f>IF(SUM(C113,C256)=0,"",SUM(C113)/SUM(C113,C256))</f>
        <v/>
      </c>
      <c r="D399" s="27">
        <f>IF(SUM(D113,D256)=0,"",SUM(D113)/SUM(D113,D256))</f>
        <v/>
      </c>
      <c r="E399" s="27">
        <f>IF(SUM(E113,E256)=0,"",SUM(E113)/SUM(E113,E256))</f>
        <v/>
      </c>
      <c r="F399" s="27">
        <f>IF(SUM(F113,F256)=0,"",SUM(F113)/SUM(F113,F256))</f>
        <v/>
      </c>
      <c r="G399" s="27">
        <f>IF(SUM(G113,G256)=0,"",SUM(G113)/SUM(G113,G256))</f>
        <v/>
      </c>
      <c r="H399" s="27">
        <f>IF(SUM(H113,H256)=0,"",SUM(H113)/SUM(H113,H256))</f>
        <v/>
      </c>
    </row>
    <row r="400" hidden="1" outlineLevel="1">
      <c r="A400" t="inlineStr">
        <is>
          <t>Week2-Jul-2027</t>
        </is>
      </c>
      <c r="B400" s="27">
        <f>IF(SUM(B114,B257)=0,"",SUM(B114)/SUM(B114,B257))</f>
        <v/>
      </c>
      <c r="C400" s="27">
        <f>IF(SUM(C114,C257)=0,"",SUM(C114)/SUM(C114,C257))</f>
        <v/>
      </c>
      <c r="D400" s="27">
        <f>IF(SUM(D114,D257)=0,"",SUM(D114)/SUM(D114,D257))</f>
        <v/>
      </c>
      <c r="E400" s="27">
        <f>IF(SUM(E114,E257)=0,"",SUM(E114)/SUM(E114,E257))</f>
        <v/>
      </c>
      <c r="F400" s="27">
        <f>IF(SUM(F114,F257)=0,"",SUM(F114)/SUM(F114,F257))</f>
        <v/>
      </c>
      <c r="G400" s="27">
        <f>IF(SUM(G114,G257)=0,"",SUM(G114)/SUM(G114,G257))</f>
        <v/>
      </c>
      <c r="H400" s="27">
        <f>IF(SUM(H114,H257)=0,"",SUM(H114)/SUM(H114,H257))</f>
        <v/>
      </c>
    </row>
    <row r="401" hidden="1" outlineLevel="1">
      <c r="A401" t="inlineStr">
        <is>
          <t>Week3-Jul-2027</t>
        </is>
      </c>
      <c r="B401" s="27">
        <f>IF(SUM(B115,B258)=0,"",SUM(B115)/SUM(B115,B258))</f>
        <v/>
      </c>
      <c r="C401" s="27">
        <f>IF(SUM(C115,C258)=0,"",SUM(C115)/SUM(C115,C258))</f>
        <v/>
      </c>
      <c r="D401" s="27">
        <f>IF(SUM(D115,D258)=0,"",SUM(D115)/SUM(D115,D258))</f>
        <v/>
      </c>
      <c r="E401" s="27">
        <f>IF(SUM(E115,E258)=0,"",SUM(E115)/SUM(E115,E258))</f>
        <v/>
      </c>
      <c r="F401" s="27">
        <f>IF(SUM(F115,F258)=0,"",SUM(F115)/SUM(F115,F258))</f>
        <v/>
      </c>
      <c r="G401" s="27">
        <f>IF(SUM(G115,G258)=0,"",SUM(G115)/SUM(G115,G258))</f>
        <v/>
      </c>
      <c r="H401" s="27">
        <f>IF(SUM(H115,H258)=0,"",SUM(H115)/SUM(H115,H258))</f>
        <v/>
      </c>
    </row>
    <row r="402" hidden="1" outlineLevel="1">
      <c r="A402" t="inlineStr">
        <is>
          <t>Week4-Jul-2027</t>
        </is>
      </c>
      <c r="B402" s="27">
        <f>IF(SUM(B116,B259)=0,"",SUM(B116)/SUM(B116,B259))</f>
        <v/>
      </c>
      <c r="C402" s="27">
        <f>IF(SUM(C116,C259)=0,"",SUM(C116)/SUM(C116,C259))</f>
        <v/>
      </c>
      <c r="D402" s="27">
        <f>IF(SUM(D116,D259)=0,"",SUM(D116)/SUM(D116,D259))</f>
        <v/>
      </c>
      <c r="E402" s="27">
        <f>IF(SUM(E116,E259)=0,"",SUM(E116)/SUM(E116,E259))</f>
        <v/>
      </c>
      <c r="F402" s="27">
        <f>IF(SUM(F116,F259)=0,"",SUM(F116)/SUM(F116,F259))</f>
        <v/>
      </c>
      <c r="G402" s="27">
        <f>IF(SUM(G116,G259)=0,"",SUM(G116)/SUM(G116,G259))</f>
        <v/>
      </c>
      <c r="H402" s="27">
        <f>IF(SUM(H116,H259)=0,"",SUM(H116)/SUM(H116,H259))</f>
        <v/>
      </c>
    </row>
    <row r="403" hidden="1" outlineLevel="1">
      <c r="A403" t="inlineStr">
        <is>
          <t>Week5-Jul-2027</t>
        </is>
      </c>
      <c r="B403" s="27">
        <f>IF(SUM(B117,B260)=0,"",SUM(B117)/SUM(B117,B260))</f>
        <v/>
      </c>
      <c r="C403" s="27">
        <f>IF(SUM(C117,C260)=0,"",SUM(C117)/SUM(C117,C260))</f>
        <v/>
      </c>
      <c r="D403" s="27">
        <f>IF(SUM(D117,D260)=0,"",SUM(D117)/SUM(D117,D260))</f>
        <v/>
      </c>
      <c r="E403" s="27">
        <f>IF(SUM(E117,E260)=0,"",SUM(E117)/SUM(E117,E260))</f>
        <v/>
      </c>
      <c r="F403" s="27">
        <f>IF(SUM(F117,F260)=0,"",SUM(F117)/SUM(F117,F260))</f>
        <v/>
      </c>
      <c r="G403" s="27">
        <f>IF(SUM(G117,G260)=0,"",SUM(G117)/SUM(G117,G260))</f>
        <v/>
      </c>
      <c r="H403" s="27">
        <f>IF(SUM(H117,H260)=0,"",SUM(H117)/SUM(H117,H260))</f>
        <v/>
      </c>
    </row>
    <row r="404" hidden="1" outlineLevel="1">
      <c r="A404" t="inlineStr">
        <is>
          <t>Week1-Aug-2027</t>
        </is>
      </c>
      <c r="B404" s="27">
        <f>IF(SUM(B118,B261)=0,"",SUM(B118)/SUM(B118,B261))</f>
        <v/>
      </c>
      <c r="C404" s="27">
        <f>IF(SUM(C118,C261)=0,"",SUM(C118)/SUM(C118,C261))</f>
        <v/>
      </c>
      <c r="D404" s="27">
        <f>IF(SUM(D118,D261)=0,"",SUM(D118)/SUM(D118,D261))</f>
        <v/>
      </c>
      <c r="E404" s="27">
        <f>IF(SUM(E118,E261)=0,"",SUM(E118)/SUM(E118,E261))</f>
        <v/>
      </c>
      <c r="F404" s="27">
        <f>IF(SUM(F118,F261)=0,"",SUM(F118)/SUM(F118,F261))</f>
        <v/>
      </c>
      <c r="G404" s="27">
        <f>IF(SUM(G118,G261)=0,"",SUM(G118)/SUM(G118,G261))</f>
        <v/>
      </c>
      <c r="H404" s="27">
        <f>IF(SUM(H118,H261)=0,"",SUM(H118)/SUM(H118,H261))</f>
        <v/>
      </c>
    </row>
    <row r="405" hidden="1" outlineLevel="1">
      <c r="A405" t="inlineStr">
        <is>
          <t>Week2-Aug-2027</t>
        </is>
      </c>
      <c r="B405" s="27">
        <f>IF(SUM(B119,B262)=0,"",SUM(B119)/SUM(B119,B262))</f>
        <v/>
      </c>
      <c r="C405" s="27">
        <f>IF(SUM(C119,C262)=0,"",SUM(C119)/SUM(C119,C262))</f>
        <v/>
      </c>
      <c r="D405" s="27">
        <f>IF(SUM(D119,D262)=0,"",SUM(D119)/SUM(D119,D262))</f>
        <v/>
      </c>
      <c r="E405" s="27">
        <f>IF(SUM(E119,E262)=0,"",SUM(E119)/SUM(E119,E262))</f>
        <v/>
      </c>
      <c r="F405" s="27">
        <f>IF(SUM(F119,F262)=0,"",SUM(F119)/SUM(F119,F262))</f>
        <v/>
      </c>
      <c r="G405" s="27">
        <f>IF(SUM(G119,G262)=0,"",SUM(G119)/SUM(G119,G262))</f>
        <v/>
      </c>
      <c r="H405" s="27">
        <f>IF(SUM(H119,H262)=0,"",SUM(H119)/SUM(H119,H262))</f>
        <v/>
      </c>
    </row>
    <row r="406" hidden="1" outlineLevel="1">
      <c r="A406" t="inlineStr">
        <is>
          <t>Week3-Aug-2027</t>
        </is>
      </c>
      <c r="B406" s="27">
        <f>IF(SUM(B120,B263)=0,"",SUM(B120)/SUM(B120,B263))</f>
        <v/>
      </c>
      <c r="C406" s="27">
        <f>IF(SUM(C120,C263)=0,"",SUM(C120)/SUM(C120,C263))</f>
        <v/>
      </c>
      <c r="D406" s="27">
        <f>IF(SUM(D120,D263)=0,"",SUM(D120)/SUM(D120,D263))</f>
        <v/>
      </c>
      <c r="E406" s="27">
        <f>IF(SUM(E120,E263)=0,"",SUM(E120)/SUM(E120,E263))</f>
        <v/>
      </c>
      <c r="F406" s="27">
        <f>IF(SUM(F120,F263)=0,"",SUM(F120)/SUM(F120,F263))</f>
        <v/>
      </c>
      <c r="G406" s="27">
        <f>IF(SUM(G120,G263)=0,"",SUM(G120)/SUM(G120,G263))</f>
        <v/>
      </c>
      <c r="H406" s="27">
        <f>IF(SUM(H120,H263)=0,"",SUM(H120)/SUM(H120,H263))</f>
        <v/>
      </c>
    </row>
    <row r="407" hidden="1" outlineLevel="1">
      <c r="A407" t="inlineStr">
        <is>
          <t>Week4-Aug-2027</t>
        </is>
      </c>
      <c r="B407" s="27">
        <f>IF(SUM(B121,B264)=0,"",SUM(B121)/SUM(B121,B264))</f>
        <v/>
      </c>
      <c r="C407" s="27">
        <f>IF(SUM(C121,C264)=0,"",SUM(C121)/SUM(C121,C264))</f>
        <v/>
      </c>
      <c r="D407" s="27">
        <f>IF(SUM(D121,D264)=0,"",SUM(D121)/SUM(D121,D264))</f>
        <v/>
      </c>
      <c r="E407" s="27">
        <f>IF(SUM(E121,E264)=0,"",SUM(E121)/SUM(E121,E264))</f>
        <v/>
      </c>
      <c r="F407" s="27">
        <f>IF(SUM(F121,F264)=0,"",SUM(F121)/SUM(F121,F264))</f>
        <v/>
      </c>
      <c r="G407" s="27">
        <f>IF(SUM(G121,G264)=0,"",SUM(G121)/SUM(G121,G264))</f>
        <v/>
      </c>
      <c r="H407" s="27">
        <f>IF(SUM(H121,H264)=0,"",SUM(H121)/SUM(H121,H264))</f>
        <v/>
      </c>
    </row>
    <row r="408" hidden="1" outlineLevel="1">
      <c r="A408" t="inlineStr">
        <is>
          <t>Week5-Aug-2027</t>
        </is>
      </c>
      <c r="B408" s="27">
        <f>IF(SUM(B122,B265)=0,"",SUM(B122)/SUM(B122,B265))</f>
        <v/>
      </c>
      <c r="C408" s="27">
        <f>IF(SUM(C122,C265)=0,"",SUM(C122)/SUM(C122,C265))</f>
        <v/>
      </c>
      <c r="D408" s="27">
        <f>IF(SUM(D122,D265)=0,"",SUM(D122)/SUM(D122,D265))</f>
        <v/>
      </c>
      <c r="E408" s="27">
        <f>IF(SUM(E122,E265)=0,"",SUM(E122)/SUM(E122,E265))</f>
        <v/>
      </c>
      <c r="F408" s="27">
        <f>IF(SUM(F122,F265)=0,"",SUM(F122)/SUM(F122,F265))</f>
        <v/>
      </c>
      <c r="G408" s="27">
        <f>IF(SUM(G122,G265)=0,"",SUM(G122)/SUM(G122,G265))</f>
        <v/>
      </c>
      <c r="H408" s="27">
        <f>IF(SUM(H122,H265)=0,"",SUM(H122)/SUM(H122,H265))</f>
        <v/>
      </c>
    </row>
    <row r="409" hidden="1" outlineLevel="1">
      <c r="A409" t="inlineStr">
        <is>
          <t>Week1-Sep-2027</t>
        </is>
      </c>
      <c r="B409" s="27">
        <f>IF(SUM(B123,B266)=0,"",SUM(B123)/SUM(B123,B266))</f>
        <v/>
      </c>
      <c r="C409" s="27">
        <f>IF(SUM(C123,C266)=0,"",SUM(C123)/SUM(C123,C266))</f>
        <v/>
      </c>
      <c r="D409" s="27">
        <f>IF(SUM(D123,D266)=0,"",SUM(D123)/SUM(D123,D266))</f>
        <v/>
      </c>
      <c r="E409" s="27">
        <f>IF(SUM(E123,E266)=0,"",SUM(E123)/SUM(E123,E266))</f>
        <v/>
      </c>
      <c r="F409" s="27">
        <f>IF(SUM(F123,F266)=0,"",SUM(F123)/SUM(F123,F266))</f>
        <v/>
      </c>
      <c r="G409" s="27">
        <f>IF(SUM(G123,G266)=0,"",SUM(G123)/SUM(G123,G266))</f>
        <v/>
      </c>
      <c r="H409" s="27">
        <f>IF(SUM(H123,H266)=0,"",SUM(H123)/SUM(H123,H266))</f>
        <v/>
      </c>
    </row>
    <row r="410" hidden="1" outlineLevel="1">
      <c r="A410" t="inlineStr">
        <is>
          <t>Week2-Sep-2027</t>
        </is>
      </c>
      <c r="B410" s="27">
        <f>IF(SUM(B124,B267)=0,"",SUM(B124)/SUM(B124,B267))</f>
        <v/>
      </c>
      <c r="C410" s="27">
        <f>IF(SUM(C124,C267)=0,"",SUM(C124)/SUM(C124,C267))</f>
        <v/>
      </c>
      <c r="D410" s="27">
        <f>IF(SUM(D124,D267)=0,"",SUM(D124)/SUM(D124,D267))</f>
        <v/>
      </c>
      <c r="E410" s="27">
        <f>IF(SUM(E124,E267)=0,"",SUM(E124)/SUM(E124,E267))</f>
        <v/>
      </c>
      <c r="F410" s="27">
        <f>IF(SUM(F124,F267)=0,"",SUM(F124)/SUM(F124,F267))</f>
        <v/>
      </c>
      <c r="G410" s="27">
        <f>IF(SUM(G124,G267)=0,"",SUM(G124)/SUM(G124,G267))</f>
        <v/>
      </c>
      <c r="H410" s="27">
        <f>IF(SUM(H124,H267)=0,"",SUM(H124)/SUM(H124,H267))</f>
        <v/>
      </c>
    </row>
    <row r="411" hidden="1" outlineLevel="1">
      <c r="A411" t="inlineStr">
        <is>
          <t>Week3-Sep-2027</t>
        </is>
      </c>
      <c r="B411" s="27">
        <f>IF(SUM(B125,B268)=0,"",SUM(B125)/SUM(B125,B268))</f>
        <v/>
      </c>
      <c r="C411" s="27">
        <f>IF(SUM(C125,C268)=0,"",SUM(C125)/SUM(C125,C268))</f>
        <v/>
      </c>
      <c r="D411" s="27">
        <f>IF(SUM(D125,D268)=0,"",SUM(D125)/SUM(D125,D268))</f>
        <v/>
      </c>
      <c r="E411" s="27">
        <f>IF(SUM(E125,E268)=0,"",SUM(E125)/SUM(E125,E268))</f>
        <v/>
      </c>
      <c r="F411" s="27">
        <f>IF(SUM(F125,F268)=0,"",SUM(F125)/SUM(F125,F268))</f>
        <v/>
      </c>
      <c r="G411" s="27">
        <f>IF(SUM(G125,G268)=0,"",SUM(G125)/SUM(G125,G268))</f>
        <v/>
      </c>
      <c r="H411" s="27">
        <f>IF(SUM(H125,H268)=0,"",SUM(H125)/SUM(H125,H268))</f>
        <v/>
      </c>
    </row>
    <row r="412" hidden="1" outlineLevel="1">
      <c r="A412" t="inlineStr">
        <is>
          <t>Week4-Sep-2027</t>
        </is>
      </c>
      <c r="B412" s="27">
        <f>IF(SUM(B126,B269)=0,"",SUM(B126)/SUM(B126,B269))</f>
        <v/>
      </c>
      <c r="C412" s="27">
        <f>IF(SUM(C126,C269)=0,"",SUM(C126)/SUM(C126,C269))</f>
        <v/>
      </c>
      <c r="D412" s="27">
        <f>IF(SUM(D126,D269)=0,"",SUM(D126)/SUM(D126,D269))</f>
        <v/>
      </c>
      <c r="E412" s="27">
        <f>IF(SUM(E126,E269)=0,"",SUM(E126)/SUM(E126,E269))</f>
        <v/>
      </c>
      <c r="F412" s="27">
        <f>IF(SUM(F126,F269)=0,"",SUM(F126)/SUM(F126,F269))</f>
        <v/>
      </c>
      <c r="G412" s="27">
        <f>IF(SUM(G126,G269)=0,"",SUM(G126)/SUM(G126,G269))</f>
        <v/>
      </c>
      <c r="H412" s="27">
        <f>IF(SUM(H126,H269)=0,"",SUM(H126)/SUM(H126,H269))</f>
        <v/>
      </c>
    </row>
    <row r="413" hidden="1" outlineLevel="1">
      <c r="A413" t="inlineStr">
        <is>
          <t>Week5-Sep-2027</t>
        </is>
      </c>
      <c r="B413" s="27">
        <f>IF(SUM(B127,B270)=0,"",SUM(B127)/SUM(B127,B270))</f>
        <v/>
      </c>
      <c r="C413" s="27">
        <f>IF(SUM(C127,C270)=0,"",SUM(C127)/SUM(C127,C270))</f>
        <v/>
      </c>
      <c r="D413" s="27">
        <f>IF(SUM(D127,D270)=0,"",SUM(D127)/SUM(D127,D270))</f>
        <v/>
      </c>
      <c r="E413" s="27">
        <f>IF(SUM(E127,E270)=0,"",SUM(E127)/SUM(E127,E270))</f>
        <v/>
      </c>
      <c r="F413" s="27">
        <f>IF(SUM(F127,F270)=0,"",SUM(F127)/SUM(F127,F270))</f>
        <v/>
      </c>
      <c r="G413" s="27">
        <f>IF(SUM(G127,G270)=0,"",SUM(G127)/SUM(G127,G270))</f>
        <v/>
      </c>
      <c r="H413" s="27">
        <f>IF(SUM(H127,H270)=0,"",SUM(H127)/SUM(H127,H270))</f>
        <v/>
      </c>
    </row>
    <row r="414" hidden="1" outlineLevel="1">
      <c r="A414" t="inlineStr">
        <is>
          <t>Week1-Oct-2027</t>
        </is>
      </c>
      <c r="B414" s="27">
        <f>IF(SUM(B128,B271)=0,"",SUM(B128)/SUM(B128,B271))</f>
        <v/>
      </c>
      <c r="C414" s="27">
        <f>IF(SUM(C128,C271)=0,"",SUM(C128)/SUM(C128,C271))</f>
        <v/>
      </c>
      <c r="D414" s="27">
        <f>IF(SUM(D128,D271)=0,"",SUM(D128)/SUM(D128,D271))</f>
        <v/>
      </c>
      <c r="E414" s="27">
        <f>IF(SUM(E128,E271)=0,"",SUM(E128)/SUM(E128,E271))</f>
        <v/>
      </c>
      <c r="F414" s="27">
        <f>IF(SUM(F128,F271)=0,"",SUM(F128)/SUM(F128,F271))</f>
        <v/>
      </c>
      <c r="G414" s="27">
        <f>IF(SUM(G128,G271)=0,"",SUM(G128)/SUM(G128,G271))</f>
        <v/>
      </c>
      <c r="H414" s="27">
        <f>IF(SUM(H128,H271)=0,"",SUM(H128)/SUM(H128,H271))</f>
        <v/>
      </c>
    </row>
    <row r="415" hidden="1" outlineLevel="1">
      <c r="A415" t="inlineStr">
        <is>
          <t>Week2-Oct-2027</t>
        </is>
      </c>
      <c r="B415" s="27">
        <f>IF(SUM(B129,B272)=0,"",SUM(B129)/SUM(B129,B272))</f>
        <v/>
      </c>
      <c r="C415" s="27">
        <f>IF(SUM(C129,C272)=0,"",SUM(C129)/SUM(C129,C272))</f>
        <v/>
      </c>
      <c r="D415" s="27">
        <f>IF(SUM(D129,D272)=0,"",SUM(D129)/SUM(D129,D272))</f>
        <v/>
      </c>
      <c r="E415" s="27">
        <f>IF(SUM(E129,E272)=0,"",SUM(E129)/SUM(E129,E272))</f>
        <v/>
      </c>
      <c r="F415" s="27">
        <f>IF(SUM(F129,F272)=0,"",SUM(F129)/SUM(F129,F272))</f>
        <v/>
      </c>
      <c r="G415" s="27">
        <f>IF(SUM(G129,G272)=0,"",SUM(G129)/SUM(G129,G272))</f>
        <v/>
      </c>
      <c r="H415" s="27">
        <f>IF(SUM(H129,H272)=0,"",SUM(H129)/SUM(H129,H272))</f>
        <v/>
      </c>
    </row>
    <row r="416" hidden="1" outlineLevel="1">
      <c r="A416" t="inlineStr">
        <is>
          <t>Week3-Oct-2027</t>
        </is>
      </c>
      <c r="B416" s="27">
        <f>IF(SUM(B130,B273)=0,"",SUM(B130)/SUM(B130,B273))</f>
        <v/>
      </c>
      <c r="C416" s="27">
        <f>IF(SUM(C130,C273)=0,"",SUM(C130)/SUM(C130,C273))</f>
        <v/>
      </c>
      <c r="D416" s="27">
        <f>IF(SUM(D130,D273)=0,"",SUM(D130)/SUM(D130,D273))</f>
        <v/>
      </c>
      <c r="E416" s="27">
        <f>IF(SUM(E130,E273)=0,"",SUM(E130)/SUM(E130,E273))</f>
        <v/>
      </c>
      <c r="F416" s="27">
        <f>IF(SUM(F130,F273)=0,"",SUM(F130)/SUM(F130,F273))</f>
        <v/>
      </c>
      <c r="G416" s="27">
        <f>IF(SUM(G130,G273)=0,"",SUM(G130)/SUM(G130,G273))</f>
        <v/>
      </c>
      <c r="H416" s="27">
        <f>IF(SUM(H130,H273)=0,"",SUM(H130)/SUM(H130,H273))</f>
        <v/>
      </c>
    </row>
    <row r="417" hidden="1" outlineLevel="1">
      <c r="A417" t="inlineStr">
        <is>
          <t>Week4-Oct-2027</t>
        </is>
      </c>
      <c r="B417" s="27">
        <f>IF(SUM(B131,B274)=0,"",SUM(B131)/SUM(B131,B274))</f>
        <v/>
      </c>
      <c r="C417" s="27">
        <f>IF(SUM(C131,C274)=0,"",SUM(C131)/SUM(C131,C274))</f>
        <v/>
      </c>
      <c r="D417" s="27">
        <f>IF(SUM(D131,D274)=0,"",SUM(D131)/SUM(D131,D274))</f>
        <v/>
      </c>
      <c r="E417" s="27">
        <f>IF(SUM(E131,E274)=0,"",SUM(E131)/SUM(E131,E274))</f>
        <v/>
      </c>
      <c r="F417" s="27">
        <f>IF(SUM(F131,F274)=0,"",SUM(F131)/SUM(F131,F274))</f>
        <v/>
      </c>
      <c r="G417" s="27">
        <f>IF(SUM(G131,G274)=0,"",SUM(G131)/SUM(G131,G274))</f>
        <v/>
      </c>
      <c r="H417" s="27">
        <f>IF(SUM(H131,H274)=0,"",SUM(H131)/SUM(H131,H274))</f>
        <v/>
      </c>
    </row>
    <row r="418" hidden="1" outlineLevel="1">
      <c r="A418" t="inlineStr">
        <is>
          <t>Week5-Oct-2027</t>
        </is>
      </c>
      <c r="B418" s="27">
        <f>IF(SUM(B132,B275)=0,"",SUM(B132)/SUM(B132,B275))</f>
        <v/>
      </c>
      <c r="C418" s="27">
        <f>IF(SUM(C132,C275)=0,"",SUM(C132)/SUM(C132,C275))</f>
        <v/>
      </c>
      <c r="D418" s="27">
        <f>IF(SUM(D132,D275)=0,"",SUM(D132)/SUM(D132,D275))</f>
        <v/>
      </c>
      <c r="E418" s="27">
        <f>IF(SUM(E132,E275)=0,"",SUM(E132)/SUM(E132,E275))</f>
        <v/>
      </c>
      <c r="F418" s="27">
        <f>IF(SUM(F132,F275)=0,"",SUM(F132)/SUM(F132,F275))</f>
        <v/>
      </c>
      <c r="G418" s="27">
        <f>IF(SUM(G132,G275)=0,"",SUM(G132)/SUM(G132,G275))</f>
        <v/>
      </c>
      <c r="H418" s="27">
        <f>IF(SUM(H132,H275)=0,"",SUM(H132)/SUM(H132,H275))</f>
        <v/>
      </c>
    </row>
    <row r="419" hidden="1" outlineLevel="1">
      <c r="A419" t="inlineStr">
        <is>
          <t>Week1-Nov-2027</t>
        </is>
      </c>
      <c r="B419" s="27">
        <f>IF(SUM(B133,B276)=0,"",SUM(B133)/SUM(B133,B276))</f>
        <v/>
      </c>
      <c r="C419" s="27">
        <f>IF(SUM(C133,C276)=0,"",SUM(C133)/SUM(C133,C276))</f>
        <v/>
      </c>
      <c r="D419" s="27">
        <f>IF(SUM(D133,D276)=0,"",SUM(D133)/SUM(D133,D276))</f>
        <v/>
      </c>
      <c r="E419" s="27">
        <f>IF(SUM(E133,E276)=0,"",SUM(E133)/SUM(E133,E276))</f>
        <v/>
      </c>
      <c r="F419" s="27">
        <f>IF(SUM(F133,F276)=0,"",SUM(F133)/SUM(F133,F276))</f>
        <v/>
      </c>
      <c r="G419" s="27">
        <f>IF(SUM(G133,G276)=0,"",SUM(G133)/SUM(G133,G276))</f>
        <v/>
      </c>
      <c r="H419" s="27">
        <f>IF(SUM(H133,H276)=0,"",SUM(H133)/SUM(H133,H276))</f>
        <v/>
      </c>
    </row>
    <row r="420" hidden="1" outlineLevel="1">
      <c r="A420" t="inlineStr">
        <is>
          <t>Week2-Nov-2027</t>
        </is>
      </c>
      <c r="B420" s="27">
        <f>IF(SUM(B134,B277)=0,"",SUM(B134)/SUM(B134,B277))</f>
        <v/>
      </c>
      <c r="C420" s="27">
        <f>IF(SUM(C134,C277)=0,"",SUM(C134)/SUM(C134,C277))</f>
        <v/>
      </c>
      <c r="D420" s="27">
        <f>IF(SUM(D134,D277)=0,"",SUM(D134)/SUM(D134,D277))</f>
        <v/>
      </c>
      <c r="E420" s="27">
        <f>IF(SUM(E134,E277)=0,"",SUM(E134)/SUM(E134,E277))</f>
        <v/>
      </c>
      <c r="F420" s="27">
        <f>IF(SUM(F134,F277)=0,"",SUM(F134)/SUM(F134,F277))</f>
        <v/>
      </c>
      <c r="G420" s="27">
        <f>IF(SUM(G134,G277)=0,"",SUM(G134)/SUM(G134,G277))</f>
        <v/>
      </c>
      <c r="H420" s="27">
        <f>IF(SUM(H134,H277)=0,"",SUM(H134)/SUM(H134,H277))</f>
        <v/>
      </c>
    </row>
    <row r="421" hidden="1" outlineLevel="1">
      <c r="A421" t="inlineStr">
        <is>
          <t>Week3-Nov-2027</t>
        </is>
      </c>
      <c r="B421" s="27">
        <f>IF(SUM(B135,B278)=0,"",SUM(B135)/SUM(B135,B278))</f>
        <v/>
      </c>
      <c r="C421" s="27">
        <f>IF(SUM(C135,C278)=0,"",SUM(C135)/SUM(C135,C278))</f>
        <v/>
      </c>
      <c r="D421" s="27">
        <f>IF(SUM(D135,D278)=0,"",SUM(D135)/SUM(D135,D278))</f>
        <v/>
      </c>
      <c r="E421" s="27">
        <f>IF(SUM(E135,E278)=0,"",SUM(E135)/SUM(E135,E278))</f>
        <v/>
      </c>
      <c r="F421" s="27">
        <f>IF(SUM(F135,F278)=0,"",SUM(F135)/SUM(F135,F278))</f>
        <v/>
      </c>
      <c r="G421" s="27">
        <f>IF(SUM(G135,G278)=0,"",SUM(G135)/SUM(G135,G278))</f>
        <v/>
      </c>
      <c r="H421" s="27">
        <f>IF(SUM(H135,H278)=0,"",SUM(H135)/SUM(H135,H278))</f>
        <v/>
      </c>
    </row>
    <row r="422" hidden="1" outlineLevel="1">
      <c r="A422" t="inlineStr">
        <is>
          <t>Week4-Nov-2027</t>
        </is>
      </c>
      <c r="B422" s="27">
        <f>IF(SUM(B136,B279)=0,"",SUM(B136)/SUM(B136,B279))</f>
        <v/>
      </c>
      <c r="C422" s="27">
        <f>IF(SUM(C136,C279)=0,"",SUM(C136)/SUM(C136,C279))</f>
        <v/>
      </c>
      <c r="D422" s="27">
        <f>IF(SUM(D136,D279)=0,"",SUM(D136)/SUM(D136,D279))</f>
        <v/>
      </c>
      <c r="E422" s="27">
        <f>IF(SUM(E136,E279)=0,"",SUM(E136)/SUM(E136,E279))</f>
        <v/>
      </c>
      <c r="F422" s="27">
        <f>IF(SUM(F136,F279)=0,"",SUM(F136)/SUM(F136,F279))</f>
        <v/>
      </c>
      <c r="G422" s="27">
        <f>IF(SUM(G136,G279)=0,"",SUM(G136)/SUM(G136,G279))</f>
        <v/>
      </c>
      <c r="H422" s="27">
        <f>IF(SUM(H136,H279)=0,"",SUM(H136)/SUM(H136,H279))</f>
        <v/>
      </c>
    </row>
    <row r="423" hidden="1" outlineLevel="1">
      <c r="A423" t="inlineStr">
        <is>
          <t>Week5-Nov-2027</t>
        </is>
      </c>
      <c r="B423" s="27">
        <f>IF(SUM(B137,B280)=0,"",SUM(B137)/SUM(B137,B280))</f>
        <v/>
      </c>
      <c r="C423" s="27">
        <f>IF(SUM(C137,C280)=0,"",SUM(C137)/SUM(C137,C280))</f>
        <v/>
      </c>
      <c r="D423" s="27">
        <f>IF(SUM(D137,D280)=0,"",SUM(D137)/SUM(D137,D280))</f>
        <v/>
      </c>
      <c r="E423" s="27">
        <f>IF(SUM(E137,E280)=0,"",SUM(E137)/SUM(E137,E280))</f>
        <v/>
      </c>
      <c r="F423" s="27">
        <f>IF(SUM(F137,F280)=0,"",SUM(F137)/SUM(F137,F280))</f>
        <v/>
      </c>
      <c r="G423" s="27">
        <f>IF(SUM(G137,G280)=0,"",SUM(G137)/SUM(G137,G280))</f>
        <v/>
      </c>
      <c r="H423" s="27">
        <f>IF(SUM(H137,H280)=0,"",SUM(H137)/SUM(H137,H280))</f>
        <v/>
      </c>
    </row>
    <row r="424" hidden="1" outlineLevel="1">
      <c r="A424" t="inlineStr">
        <is>
          <t>Week1-Dec-2027</t>
        </is>
      </c>
      <c r="B424" s="27">
        <f>IF(SUM(B138,B281)=0,"",SUM(B138)/SUM(B138,B281))</f>
        <v/>
      </c>
      <c r="C424" s="27">
        <f>IF(SUM(C138,C281)=0,"",SUM(C138)/SUM(C138,C281))</f>
        <v/>
      </c>
      <c r="D424" s="27">
        <f>IF(SUM(D138,D281)=0,"",SUM(D138)/SUM(D138,D281))</f>
        <v/>
      </c>
      <c r="E424" s="27">
        <f>IF(SUM(E138,E281)=0,"",SUM(E138)/SUM(E138,E281))</f>
        <v/>
      </c>
      <c r="F424" s="27">
        <f>IF(SUM(F138,F281)=0,"",SUM(F138)/SUM(F138,F281))</f>
        <v/>
      </c>
      <c r="G424" s="27">
        <f>IF(SUM(G138,G281)=0,"",SUM(G138)/SUM(G138,G281))</f>
        <v/>
      </c>
      <c r="H424" s="27">
        <f>IF(SUM(H138,H281)=0,"",SUM(H138)/SUM(H138,H281))</f>
        <v/>
      </c>
    </row>
    <row r="425" hidden="1" outlineLevel="1">
      <c r="A425" t="inlineStr">
        <is>
          <t>Week2-Dec-2027</t>
        </is>
      </c>
      <c r="B425" s="27">
        <f>IF(SUM(B139,B282)=0,"",SUM(B139)/SUM(B139,B282))</f>
        <v/>
      </c>
      <c r="C425" s="27">
        <f>IF(SUM(C139,C282)=0,"",SUM(C139)/SUM(C139,C282))</f>
        <v/>
      </c>
      <c r="D425" s="27">
        <f>IF(SUM(D139,D282)=0,"",SUM(D139)/SUM(D139,D282))</f>
        <v/>
      </c>
      <c r="E425" s="27">
        <f>IF(SUM(E139,E282)=0,"",SUM(E139)/SUM(E139,E282))</f>
        <v/>
      </c>
      <c r="F425" s="27">
        <f>IF(SUM(F139,F282)=0,"",SUM(F139)/SUM(F139,F282))</f>
        <v/>
      </c>
      <c r="G425" s="27">
        <f>IF(SUM(G139,G282)=0,"",SUM(G139)/SUM(G139,G282))</f>
        <v/>
      </c>
      <c r="H425" s="27">
        <f>IF(SUM(H139,H282)=0,"",SUM(H139)/SUM(H139,H282))</f>
        <v/>
      </c>
    </row>
    <row r="426" hidden="1" outlineLevel="1">
      <c r="A426" t="inlineStr">
        <is>
          <t>Week3-Dec-2027</t>
        </is>
      </c>
      <c r="B426" s="27">
        <f>IF(SUM(B140,B283)=0,"",SUM(B140)/SUM(B140,B283))</f>
        <v/>
      </c>
      <c r="C426" s="27">
        <f>IF(SUM(C140,C283)=0,"",SUM(C140)/SUM(C140,C283))</f>
        <v/>
      </c>
      <c r="D426" s="27">
        <f>IF(SUM(D140,D283)=0,"",SUM(D140)/SUM(D140,D283))</f>
        <v/>
      </c>
      <c r="E426" s="27">
        <f>IF(SUM(E140,E283)=0,"",SUM(E140)/SUM(E140,E283))</f>
        <v/>
      </c>
      <c r="F426" s="27">
        <f>IF(SUM(F140,F283)=0,"",SUM(F140)/SUM(F140,F283))</f>
        <v/>
      </c>
      <c r="G426" s="27">
        <f>IF(SUM(G140,G283)=0,"",SUM(G140)/SUM(G140,G283))</f>
        <v/>
      </c>
      <c r="H426" s="27">
        <f>IF(SUM(H140,H283)=0,"",SUM(H140)/SUM(H140,H283))</f>
        <v/>
      </c>
    </row>
    <row r="427" hidden="1" outlineLevel="1">
      <c r="A427" t="inlineStr">
        <is>
          <t>Week4-Dec-2027</t>
        </is>
      </c>
      <c r="B427" s="27">
        <f>IF(SUM(B141,B284)=0,"",SUM(B141)/SUM(B141,B284))</f>
        <v/>
      </c>
      <c r="C427" s="27">
        <f>IF(SUM(C141,C284)=0,"",SUM(C141)/SUM(C141,C284))</f>
        <v/>
      </c>
      <c r="D427" s="27">
        <f>IF(SUM(D141,D284)=0,"",SUM(D141)/SUM(D141,D284))</f>
        <v/>
      </c>
      <c r="E427" s="27">
        <f>IF(SUM(E141,E284)=0,"",SUM(E141)/SUM(E141,E284))</f>
        <v/>
      </c>
      <c r="F427" s="27">
        <f>IF(SUM(F141,F284)=0,"",SUM(F141)/SUM(F141,F284))</f>
        <v/>
      </c>
      <c r="G427" s="27">
        <f>IF(SUM(G141,G284)=0,"",SUM(G141)/SUM(G141,G284))</f>
        <v/>
      </c>
      <c r="H427" s="27">
        <f>IF(SUM(H141,H284)=0,"",SUM(H141)/SUM(H141,H284))</f>
        <v/>
      </c>
    </row>
    <row r="428" hidden="1" outlineLevel="1">
      <c r="A428" t="inlineStr">
        <is>
          <t>Week5-Dec-2027</t>
        </is>
      </c>
      <c r="B428" s="27">
        <f>IF(SUM(B142,B285)=0,"",SUM(B142)/SUM(B142,B285))</f>
        <v/>
      </c>
      <c r="C428" s="27">
        <f>IF(SUM(C142,C285)=0,"",SUM(C142)/SUM(C142,C285))</f>
        <v/>
      </c>
      <c r="D428" s="27">
        <f>IF(SUM(D142,D285)=0,"",SUM(D142)/SUM(D142,D285))</f>
        <v/>
      </c>
      <c r="E428" s="27">
        <f>IF(SUM(E142,E285)=0,"",SUM(E142)/SUM(E142,E285))</f>
        <v/>
      </c>
      <c r="F428" s="27">
        <f>IF(SUM(F142,F285)=0,"",SUM(F142)/SUM(F142,F285))</f>
        <v/>
      </c>
      <c r="G428" s="27">
        <f>IF(SUM(G142,G285)=0,"",SUM(G142)/SUM(G142,G285))</f>
        <v/>
      </c>
      <c r="H428" s="27">
        <f>IF(SUM(H142,H285)=0,"",SUM(H142)/SUM(H142,H285))</f>
        <v/>
      </c>
    </row>
    <row r="429" collapsed="1">
      <c r="A429" s="28" t="inlineStr">
        <is>
          <t>Total</t>
        </is>
      </c>
      <c r="B429" s="31">
        <f>IF(SUM(B143,B286)=0,"",SUM(B143)/SUM(B143,B286))</f>
        <v/>
      </c>
      <c r="C429" s="31">
        <f>IF(SUM(C143,C286)=0,"",SUM(C143)/SUM(C143,C286))</f>
        <v/>
      </c>
      <c r="D429" s="31">
        <f>IF(SUM(D143,D286)=0,"",SUM(D143)/SUM(D143,D286))</f>
        <v/>
      </c>
      <c r="E429" s="31">
        <f>IF(SUM(E143,E286)=0,"",SUM(E143)/SUM(E143,E286))</f>
        <v/>
      </c>
      <c r="F429" s="31">
        <f>IF(SUM(F143,F286)=0,"",SUM(F143)/SUM(F143,F286))</f>
        <v/>
      </c>
      <c r="G429" s="31">
        <f>IF(SUM(G143,G286)=0,"",SUM(G143)/SUM(G143,G286))</f>
        <v/>
      </c>
      <c r="H429" s="31">
        <f>IF(SUM(H143,H286)=0,"",SUM(H143)/SUM(H143,H286))</f>
        <v/>
      </c>
    </row>
    <row r="432">
      <c r="A432" s="28" t="inlineStr">
        <is>
          <t>BSE Market Share</t>
        </is>
      </c>
    </row>
    <row r="433">
      <c r="A433" s="28" t="inlineStr">
        <is>
          <t>Trade Week-Month-Year</t>
        </is>
      </c>
      <c r="B433" s="28" t="inlineStr">
        <is>
          <t>Monday</t>
        </is>
      </c>
      <c r="C433" s="28" t="inlineStr">
        <is>
          <t>Tuesday</t>
        </is>
      </c>
      <c r="D433" s="28" t="inlineStr">
        <is>
          <t>Wednesday</t>
        </is>
      </c>
      <c r="E433" s="28" t="inlineStr">
        <is>
          <t>Thursday</t>
        </is>
      </c>
      <c r="F433" s="28" t="inlineStr">
        <is>
          <t>Friday</t>
        </is>
      </c>
      <c r="G433" s="28" t="inlineStr">
        <is>
          <t>Sunday</t>
        </is>
      </c>
      <c r="H433" s="28" t="inlineStr">
        <is>
          <t>Total</t>
        </is>
      </c>
    </row>
    <row r="434">
      <c r="A434" t="inlineStr">
        <is>
          <t>Week1-Sep-2025</t>
        </is>
      </c>
      <c r="B434" s="27">
        <f>IF(SUM(B5,B148)=0,"",SUM(B148)/SUM(B5,B148))</f>
        <v/>
      </c>
      <c r="C434" s="27">
        <f>IF(SUM(C5,C148)=0,"",SUM(C148)/SUM(C5,C148))</f>
        <v/>
      </c>
      <c r="D434" s="27">
        <f>IF(SUM(D5,D148)=0,"",SUM(D148)/SUM(D5,D148))</f>
        <v/>
      </c>
      <c r="E434" s="27">
        <f>IF(SUM(E5,E148)=0,"",SUM(E148)/SUM(E5,E148))</f>
        <v/>
      </c>
      <c r="F434" s="27">
        <f>IF(SUM(F5,F148)=0,"",SUM(F148)/SUM(F5,F148))</f>
        <v/>
      </c>
      <c r="G434" s="27">
        <f>IF(SUM(G5,G148)=0,"",SUM(G148)/SUM(G5,G148))</f>
        <v/>
      </c>
      <c r="H434" s="27">
        <f>IF(SUM(H5,H148)=0,"",SUM(H148)/SUM(H5,H148))</f>
        <v/>
      </c>
    </row>
    <row r="435">
      <c r="A435" t="inlineStr">
        <is>
          <t>Week2-Sep-2025</t>
        </is>
      </c>
      <c r="B435" s="27">
        <f>IF(SUM(B6,B149)=0,"",SUM(B149)/SUM(B6,B149))</f>
        <v/>
      </c>
      <c r="C435" s="27">
        <f>IF(SUM(C6,C149)=0,"",SUM(C149)/SUM(C6,C149))</f>
        <v/>
      </c>
      <c r="D435" s="27">
        <f>IF(SUM(D6,D149)=0,"",SUM(D149)/SUM(D6,D149))</f>
        <v/>
      </c>
      <c r="E435" s="27">
        <f>IF(SUM(E6,E149)=0,"",SUM(E149)/SUM(E6,E149))</f>
        <v/>
      </c>
      <c r="F435" s="27">
        <f>IF(SUM(F6,F149)=0,"",SUM(F149)/SUM(F6,F149))</f>
        <v/>
      </c>
      <c r="G435" s="27">
        <f>IF(SUM(G6,G149)=0,"",SUM(G149)/SUM(G6,G149))</f>
        <v/>
      </c>
      <c r="H435" s="27">
        <f>IF(SUM(H6,H149)=0,"",SUM(H149)/SUM(H6,H149))</f>
        <v/>
      </c>
    </row>
    <row r="436">
      <c r="A436" t="inlineStr">
        <is>
          <t>Week3-Sep-2025</t>
        </is>
      </c>
      <c r="B436" s="27">
        <f>IF(SUM(B7,B150)=0,"",SUM(B150)/SUM(B7,B150))</f>
        <v/>
      </c>
      <c r="C436" s="27">
        <f>IF(SUM(C7,C150)=0,"",SUM(C150)/SUM(C7,C150))</f>
        <v/>
      </c>
      <c r="D436" s="27">
        <f>IF(SUM(D7,D150)=0,"",SUM(D150)/SUM(D7,D150))</f>
        <v/>
      </c>
      <c r="E436" s="27">
        <f>IF(SUM(E7,E150)=0,"",SUM(E150)/SUM(E7,E150))</f>
        <v/>
      </c>
      <c r="F436" s="27">
        <f>IF(SUM(F7,F150)=0,"",SUM(F150)/SUM(F7,F150))</f>
        <v/>
      </c>
      <c r="G436" s="27">
        <f>IF(SUM(G7,G150)=0,"",SUM(G150)/SUM(G7,G150))</f>
        <v/>
      </c>
      <c r="H436" s="27">
        <f>IF(SUM(H7,H150)=0,"",SUM(H150)/SUM(H7,H150))</f>
        <v/>
      </c>
    </row>
    <row r="437">
      <c r="A437" t="inlineStr">
        <is>
          <t>Week4-Sep-2025</t>
        </is>
      </c>
      <c r="B437" s="27">
        <f>IF(SUM(B8,B151)=0,"",SUM(B151)/SUM(B8,B151))</f>
        <v/>
      </c>
      <c r="C437" s="27">
        <f>IF(SUM(C8,C151)=0,"",SUM(C151)/SUM(C8,C151))</f>
        <v/>
      </c>
      <c r="D437" s="27">
        <f>IF(SUM(D8,D151)=0,"",SUM(D151)/SUM(D8,D151))</f>
        <v/>
      </c>
      <c r="E437" s="27">
        <f>IF(SUM(E8,E151)=0,"",SUM(E151)/SUM(E8,E151))</f>
        <v/>
      </c>
      <c r="F437" s="27">
        <f>IF(SUM(F8,F151)=0,"",SUM(F151)/SUM(F8,F151))</f>
        <v/>
      </c>
      <c r="G437" s="27">
        <f>IF(SUM(G8,G151)=0,"",SUM(G151)/SUM(G8,G151))</f>
        <v/>
      </c>
      <c r="H437" s="27">
        <f>IF(SUM(H8,H151)=0,"",SUM(H151)/SUM(H8,H151))</f>
        <v/>
      </c>
    </row>
    <row r="438">
      <c r="A438" t="inlineStr">
        <is>
          <t>Week5-Sep-2025</t>
        </is>
      </c>
      <c r="B438" s="27">
        <f>IF(SUM(B9,B152)=0,"",SUM(B152)/SUM(B9,B152))</f>
        <v/>
      </c>
      <c r="C438" s="27">
        <f>IF(SUM(C9,C152)=0,"",SUM(C152)/SUM(C9,C152))</f>
        <v/>
      </c>
      <c r="D438" s="27">
        <f>IF(SUM(D9,D152)=0,"",SUM(D152)/SUM(D9,D152))</f>
        <v/>
      </c>
      <c r="E438" s="27">
        <f>IF(SUM(E9,E152)=0,"",SUM(E152)/SUM(E9,E152))</f>
        <v/>
      </c>
      <c r="F438" s="27">
        <f>IF(SUM(F9,F152)=0,"",SUM(F152)/SUM(F9,F152))</f>
        <v/>
      </c>
      <c r="G438" s="27">
        <f>IF(SUM(G9,G152)=0,"",SUM(G152)/SUM(G9,G152))</f>
        <v/>
      </c>
      <c r="H438" s="27">
        <f>IF(SUM(H9,H152)=0,"",SUM(H152)/SUM(H9,H152))</f>
        <v/>
      </c>
    </row>
    <row r="439">
      <c r="A439" t="inlineStr">
        <is>
          <t>Week1-Oct-2025</t>
        </is>
      </c>
      <c r="B439" s="27">
        <f>IF(SUM(B10,B153)=0,"",SUM(B153)/SUM(B10,B153))</f>
        <v/>
      </c>
      <c r="C439" s="27">
        <f>IF(SUM(C10,C153)=0,"",SUM(C153)/SUM(C10,C153))</f>
        <v/>
      </c>
      <c r="D439" s="27">
        <f>IF(SUM(D10,D153)=0,"",SUM(D153)/SUM(D10,D153))</f>
        <v/>
      </c>
      <c r="E439" s="27">
        <f>IF(SUM(E10,E153)=0,"",SUM(E153)/SUM(E10,E153))</f>
        <v/>
      </c>
      <c r="F439" s="27">
        <f>IF(SUM(F10,F153)=0,"",SUM(F153)/SUM(F10,F153))</f>
        <v/>
      </c>
      <c r="G439" s="27">
        <f>IF(SUM(G10,G153)=0,"",SUM(G153)/SUM(G10,G153))</f>
        <v/>
      </c>
      <c r="H439" s="27">
        <f>IF(SUM(H10,H153)=0,"",SUM(H153)/SUM(H10,H153))</f>
        <v/>
      </c>
    </row>
    <row r="440">
      <c r="A440" t="inlineStr">
        <is>
          <t>Week2-Oct-2025</t>
        </is>
      </c>
      <c r="B440" s="27">
        <f>IF(SUM(B11,B154)=0,"",SUM(B154)/SUM(B11,B154))</f>
        <v/>
      </c>
      <c r="C440" s="27">
        <f>IF(SUM(C11,C154)=0,"",SUM(C154)/SUM(C11,C154))</f>
        <v/>
      </c>
      <c r="D440" s="27">
        <f>IF(SUM(D11,D154)=0,"",SUM(D154)/SUM(D11,D154))</f>
        <v/>
      </c>
      <c r="E440" s="27">
        <f>IF(SUM(E11,E154)=0,"",SUM(E154)/SUM(E11,E154))</f>
        <v/>
      </c>
      <c r="F440" s="27">
        <f>IF(SUM(F11,F154)=0,"",SUM(F154)/SUM(F11,F154))</f>
        <v/>
      </c>
      <c r="G440" s="27">
        <f>IF(SUM(G11,G154)=0,"",SUM(G154)/SUM(G11,G154))</f>
        <v/>
      </c>
      <c r="H440" s="27">
        <f>IF(SUM(H11,H154)=0,"",SUM(H154)/SUM(H11,H154))</f>
        <v/>
      </c>
    </row>
    <row r="441">
      <c r="A441" t="inlineStr">
        <is>
          <t>Week3-Oct-2025</t>
        </is>
      </c>
      <c r="B441" s="27">
        <f>IF(SUM(B12,B155)=0,"",SUM(B155)/SUM(B12,B155))</f>
        <v/>
      </c>
      <c r="C441" s="27">
        <f>IF(SUM(C12,C155)=0,"",SUM(C155)/SUM(C12,C155))</f>
        <v/>
      </c>
      <c r="D441" s="27">
        <f>IF(SUM(D12,D155)=0,"",SUM(D155)/SUM(D12,D155))</f>
        <v/>
      </c>
      <c r="E441" s="27">
        <f>IF(SUM(E12,E155)=0,"",SUM(E155)/SUM(E12,E155))</f>
        <v/>
      </c>
      <c r="F441" s="27">
        <f>IF(SUM(F12,F155)=0,"",SUM(F155)/SUM(F12,F155))</f>
        <v/>
      </c>
      <c r="G441" s="27">
        <f>IF(SUM(G12,G155)=0,"",SUM(G155)/SUM(G12,G155))</f>
        <v/>
      </c>
      <c r="H441" s="27">
        <f>IF(SUM(H12,H155)=0,"",SUM(H155)/SUM(H12,H155))</f>
        <v/>
      </c>
    </row>
    <row r="442">
      <c r="A442" t="inlineStr">
        <is>
          <t>Week4-Oct-2025</t>
        </is>
      </c>
      <c r="B442" s="27">
        <f>IF(SUM(B13,B156)=0,"",SUM(B156)/SUM(B13,B156))</f>
        <v/>
      </c>
      <c r="C442" s="27">
        <f>IF(SUM(C13,C156)=0,"",SUM(C156)/SUM(C13,C156))</f>
        <v/>
      </c>
      <c r="D442" s="27">
        <f>IF(SUM(D13,D156)=0,"",SUM(D156)/SUM(D13,D156))</f>
        <v/>
      </c>
      <c r="E442" s="27">
        <f>IF(SUM(E13,E156)=0,"",SUM(E156)/SUM(E13,E156))</f>
        <v/>
      </c>
      <c r="F442" s="27">
        <f>IF(SUM(F13,F156)=0,"",SUM(F156)/SUM(F13,F156))</f>
        <v/>
      </c>
      <c r="G442" s="27">
        <f>IF(SUM(G13,G156)=0,"",SUM(G156)/SUM(G13,G156))</f>
        <v/>
      </c>
      <c r="H442" s="27">
        <f>IF(SUM(H13,H156)=0,"",SUM(H156)/SUM(H13,H156))</f>
        <v/>
      </c>
    </row>
    <row r="443">
      <c r="A443" t="inlineStr">
        <is>
          <t>Week5-Oct-2025</t>
        </is>
      </c>
      <c r="B443" s="27">
        <f>IF(SUM(B14,B157)=0,"",SUM(B157)/SUM(B14,B157))</f>
        <v/>
      </c>
      <c r="C443" s="27">
        <f>IF(SUM(C14,C157)=0,"",SUM(C157)/SUM(C14,C157))</f>
        <v/>
      </c>
      <c r="D443" s="27">
        <f>IF(SUM(D14,D157)=0,"",SUM(D157)/SUM(D14,D157))</f>
        <v/>
      </c>
      <c r="E443" s="27">
        <f>IF(SUM(E14,E157)=0,"",SUM(E157)/SUM(E14,E157))</f>
        <v/>
      </c>
      <c r="F443" s="27">
        <f>IF(SUM(F14,F157)=0,"",SUM(F157)/SUM(F14,F157))</f>
        <v/>
      </c>
      <c r="G443" s="27">
        <f>IF(SUM(G14,G157)=0,"",SUM(G157)/SUM(G14,G157))</f>
        <v/>
      </c>
      <c r="H443" s="27">
        <f>IF(SUM(H14,H157)=0,"",SUM(H157)/SUM(H14,H157))</f>
        <v/>
      </c>
    </row>
    <row r="444">
      <c r="A444" t="inlineStr">
        <is>
          <t>Week1-Nov-2025</t>
        </is>
      </c>
      <c r="B444" s="27">
        <f>IF(SUM(B15,B158)=0,"",SUM(B158)/SUM(B15,B158))</f>
        <v/>
      </c>
      <c r="C444" s="27">
        <f>IF(SUM(C15,C158)=0,"",SUM(C158)/SUM(C15,C158))</f>
        <v/>
      </c>
      <c r="D444" s="27">
        <f>IF(SUM(D15,D158)=0,"",SUM(D158)/SUM(D15,D158))</f>
        <v/>
      </c>
      <c r="E444" s="27">
        <f>IF(SUM(E15,E158)=0,"",SUM(E158)/SUM(E15,E158))</f>
        <v/>
      </c>
      <c r="F444" s="27">
        <f>IF(SUM(F15,F158)=0,"",SUM(F158)/SUM(F15,F158))</f>
        <v/>
      </c>
      <c r="G444" s="27">
        <f>IF(SUM(G15,G158)=0,"",SUM(G158)/SUM(G15,G158))</f>
        <v/>
      </c>
      <c r="H444" s="27">
        <f>IF(SUM(H15,H158)=0,"",SUM(H158)/SUM(H15,H158))</f>
        <v/>
      </c>
    </row>
    <row r="445">
      <c r="A445" t="inlineStr">
        <is>
          <t>Week2-Nov-2025</t>
        </is>
      </c>
      <c r="B445" s="27">
        <f>IF(SUM(B16,B159)=0,"",SUM(B159)/SUM(B16,B159))</f>
        <v/>
      </c>
      <c r="C445" s="27">
        <f>IF(SUM(C16,C159)=0,"",SUM(C159)/SUM(C16,C159))</f>
        <v/>
      </c>
      <c r="D445" s="27">
        <f>IF(SUM(D16,D159)=0,"",SUM(D159)/SUM(D16,D159))</f>
        <v/>
      </c>
      <c r="E445" s="27">
        <f>IF(SUM(E16,E159)=0,"",SUM(E159)/SUM(E16,E159))</f>
        <v/>
      </c>
      <c r="F445" s="27">
        <f>IF(SUM(F16,F159)=0,"",SUM(F159)/SUM(F16,F159))</f>
        <v/>
      </c>
      <c r="G445" s="27">
        <f>IF(SUM(G16,G159)=0,"",SUM(G159)/SUM(G16,G159))</f>
        <v/>
      </c>
      <c r="H445" s="27">
        <f>IF(SUM(H16,H159)=0,"",SUM(H159)/SUM(H16,H159))</f>
        <v/>
      </c>
    </row>
    <row r="446">
      <c r="A446" t="inlineStr">
        <is>
          <t>Week3-Nov-2025</t>
        </is>
      </c>
      <c r="B446" s="27">
        <f>IF(SUM(B17,B160)=0,"",SUM(B160)/SUM(B17,B160))</f>
        <v/>
      </c>
      <c r="C446" s="27">
        <f>IF(SUM(C17,C160)=0,"",SUM(C160)/SUM(C17,C160))</f>
        <v/>
      </c>
      <c r="D446" s="27">
        <f>IF(SUM(D17,D160)=0,"",SUM(D160)/SUM(D17,D160))</f>
        <v/>
      </c>
      <c r="E446" s="27">
        <f>IF(SUM(E17,E160)=0,"",SUM(E160)/SUM(E17,E160))</f>
        <v/>
      </c>
      <c r="F446" s="27">
        <f>IF(SUM(F17,F160)=0,"",SUM(F160)/SUM(F17,F160))</f>
        <v/>
      </c>
      <c r="G446" s="27">
        <f>IF(SUM(G17,G160)=0,"",SUM(G160)/SUM(G17,G160))</f>
        <v/>
      </c>
      <c r="H446" s="27">
        <f>IF(SUM(H17,H160)=0,"",SUM(H160)/SUM(H17,H160))</f>
        <v/>
      </c>
    </row>
    <row r="447">
      <c r="A447" t="inlineStr">
        <is>
          <t>Week4-Nov-2025</t>
        </is>
      </c>
      <c r="B447" s="27">
        <f>IF(SUM(B18,B161)=0,"",SUM(B161)/SUM(B18,B161))</f>
        <v/>
      </c>
      <c r="C447" s="27">
        <f>IF(SUM(C18,C161)=0,"",SUM(C161)/SUM(C18,C161))</f>
        <v/>
      </c>
      <c r="D447" s="27">
        <f>IF(SUM(D18,D161)=0,"",SUM(D161)/SUM(D18,D161))</f>
        <v/>
      </c>
      <c r="E447" s="27">
        <f>IF(SUM(E18,E161)=0,"",SUM(E161)/SUM(E18,E161))</f>
        <v/>
      </c>
      <c r="F447" s="27">
        <f>IF(SUM(F18,F161)=0,"",SUM(F161)/SUM(F18,F161))</f>
        <v/>
      </c>
      <c r="G447" s="27">
        <f>IF(SUM(G18,G161)=0,"",SUM(G161)/SUM(G18,G161))</f>
        <v/>
      </c>
      <c r="H447" s="27">
        <f>IF(SUM(H18,H161)=0,"",SUM(H161)/SUM(H18,H161))</f>
        <v/>
      </c>
    </row>
    <row r="448">
      <c r="A448" t="inlineStr">
        <is>
          <t>Week5-Nov-2025</t>
        </is>
      </c>
      <c r="B448" s="27">
        <f>IF(SUM(B19,B162)=0,"",SUM(B162)/SUM(B19,B162))</f>
        <v/>
      </c>
      <c r="C448" s="27">
        <f>IF(SUM(C19,C162)=0,"",SUM(C162)/SUM(C19,C162))</f>
        <v/>
      </c>
      <c r="D448" s="27">
        <f>IF(SUM(D19,D162)=0,"",SUM(D162)/SUM(D19,D162))</f>
        <v/>
      </c>
      <c r="E448" s="27">
        <f>IF(SUM(E19,E162)=0,"",SUM(E162)/SUM(E19,E162))</f>
        <v/>
      </c>
      <c r="F448" s="27">
        <f>IF(SUM(F19,F162)=0,"",SUM(F162)/SUM(F19,F162))</f>
        <v/>
      </c>
      <c r="G448" s="27">
        <f>IF(SUM(G19,G162)=0,"",SUM(G162)/SUM(G19,G162))</f>
        <v/>
      </c>
      <c r="H448" s="27">
        <f>IF(SUM(H19,H162)=0,"",SUM(H162)/SUM(H19,H162))</f>
        <v/>
      </c>
    </row>
    <row r="449">
      <c r="A449" t="inlineStr">
        <is>
          <t>Week1-Dec-2025</t>
        </is>
      </c>
      <c r="B449" s="27">
        <f>IF(SUM(B20,B163)=0,"",SUM(B163)/SUM(B20,B163))</f>
        <v/>
      </c>
      <c r="C449" s="27">
        <f>IF(SUM(C20,C163)=0,"",SUM(C163)/SUM(C20,C163))</f>
        <v/>
      </c>
      <c r="D449" s="27">
        <f>IF(SUM(D20,D163)=0,"",SUM(D163)/SUM(D20,D163))</f>
        <v/>
      </c>
      <c r="E449" s="27">
        <f>IF(SUM(E20,E163)=0,"",SUM(E163)/SUM(E20,E163))</f>
        <v/>
      </c>
      <c r="F449" s="27">
        <f>IF(SUM(F20,F163)=0,"",SUM(F163)/SUM(F20,F163))</f>
        <v/>
      </c>
      <c r="G449" s="27">
        <f>IF(SUM(G20,G163)=0,"",SUM(G163)/SUM(G20,G163))</f>
        <v/>
      </c>
      <c r="H449" s="27">
        <f>IF(SUM(H20,H163)=0,"",SUM(H163)/SUM(H20,H163))</f>
        <v/>
      </c>
    </row>
    <row r="450">
      <c r="A450" t="inlineStr">
        <is>
          <t>Week2-Dec-2025</t>
        </is>
      </c>
      <c r="B450" s="27">
        <f>IF(SUM(B21,B164)=0,"",SUM(B164)/SUM(B21,B164))</f>
        <v/>
      </c>
      <c r="C450" s="27">
        <f>IF(SUM(C21,C164)=0,"",SUM(C164)/SUM(C21,C164))</f>
        <v/>
      </c>
      <c r="D450" s="27">
        <f>IF(SUM(D21,D164)=0,"",SUM(D164)/SUM(D21,D164))</f>
        <v/>
      </c>
      <c r="E450" s="27">
        <f>IF(SUM(E21,E164)=0,"",SUM(E164)/SUM(E21,E164))</f>
        <v/>
      </c>
      <c r="F450" s="27">
        <f>IF(SUM(F21,F164)=0,"",SUM(F164)/SUM(F21,F164))</f>
        <v/>
      </c>
      <c r="G450" s="27">
        <f>IF(SUM(G21,G164)=0,"",SUM(G164)/SUM(G21,G164))</f>
        <v/>
      </c>
      <c r="H450" s="27">
        <f>IF(SUM(H21,H164)=0,"",SUM(H164)/SUM(H21,H164))</f>
        <v/>
      </c>
    </row>
    <row r="451">
      <c r="A451" t="inlineStr">
        <is>
          <t>Week3-Dec-2025</t>
        </is>
      </c>
      <c r="B451" s="27">
        <f>IF(SUM(B22,B165)=0,"",SUM(B165)/SUM(B22,B165))</f>
        <v/>
      </c>
      <c r="C451" s="27">
        <f>IF(SUM(C22,C165)=0,"",SUM(C165)/SUM(C22,C165))</f>
        <v/>
      </c>
      <c r="D451" s="27">
        <f>IF(SUM(D22,D165)=0,"",SUM(D165)/SUM(D22,D165))</f>
        <v/>
      </c>
      <c r="E451" s="27">
        <f>IF(SUM(E22,E165)=0,"",SUM(E165)/SUM(E22,E165))</f>
        <v/>
      </c>
      <c r="F451" s="27">
        <f>IF(SUM(F22,F165)=0,"",SUM(F165)/SUM(F22,F165))</f>
        <v/>
      </c>
      <c r="G451" s="27">
        <f>IF(SUM(G22,G165)=0,"",SUM(G165)/SUM(G22,G165))</f>
        <v/>
      </c>
      <c r="H451" s="27">
        <f>IF(SUM(H22,H165)=0,"",SUM(H165)/SUM(H22,H165))</f>
        <v/>
      </c>
    </row>
    <row r="452">
      <c r="A452" t="inlineStr">
        <is>
          <t>Week4-Dec-2025</t>
        </is>
      </c>
      <c r="B452" s="27">
        <f>IF(SUM(B23,B166)=0,"",SUM(B166)/SUM(B23,B166))</f>
        <v/>
      </c>
      <c r="C452" s="27">
        <f>IF(SUM(C23,C166)=0,"",SUM(C166)/SUM(C23,C166))</f>
        <v/>
      </c>
      <c r="D452" s="27">
        <f>IF(SUM(D23,D166)=0,"",SUM(D166)/SUM(D23,D166))</f>
        <v/>
      </c>
      <c r="E452" s="27">
        <f>IF(SUM(E23,E166)=0,"",SUM(E166)/SUM(E23,E166))</f>
        <v/>
      </c>
      <c r="F452" s="27">
        <f>IF(SUM(F23,F166)=0,"",SUM(F166)/SUM(F23,F166))</f>
        <v/>
      </c>
      <c r="G452" s="27">
        <f>IF(SUM(G23,G166)=0,"",SUM(G166)/SUM(G23,G166))</f>
        <v/>
      </c>
      <c r="H452" s="27">
        <f>IF(SUM(H23,H166)=0,"",SUM(H166)/SUM(H23,H166))</f>
        <v/>
      </c>
    </row>
    <row r="453">
      <c r="A453" t="inlineStr">
        <is>
          <t>Week5-Dec-2025</t>
        </is>
      </c>
      <c r="B453" s="27">
        <f>IF(SUM(B24,B167)=0,"",SUM(B167)/SUM(B24,B167))</f>
        <v/>
      </c>
      <c r="C453" s="27">
        <f>IF(SUM(C24,C167)=0,"",SUM(C167)/SUM(C24,C167))</f>
        <v/>
      </c>
      <c r="D453" s="27">
        <f>IF(SUM(D24,D167)=0,"",SUM(D167)/SUM(D24,D167))</f>
        <v/>
      </c>
      <c r="E453" s="27">
        <f>IF(SUM(E24,E167)=0,"",SUM(E167)/SUM(E24,E167))</f>
        <v/>
      </c>
      <c r="F453" s="27">
        <f>IF(SUM(F24,F167)=0,"",SUM(F167)/SUM(F24,F167))</f>
        <v/>
      </c>
      <c r="G453" s="27">
        <f>IF(SUM(G24,G167)=0,"",SUM(G167)/SUM(G24,G167))</f>
        <v/>
      </c>
      <c r="H453" s="27">
        <f>IF(SUM(H24,H167)=0,"",SUM(H167)/SUM(H24,H167))</f>
        <v/>
      </c>
    </row>
    <row r="454">
      <c r="A454" t="inlineStr">
        <is>
          <t>Week1-Jan-2026</t>
        </is>
      </c>
      <c r="B454" s="27">
        <f>IF(SUM(B25,B168)=0,"",SUM(B168)/SUM(B25,B168))</f>
        <v/>
      </c>
      <c r="C454" s="27">
        <f>IF(SUM(C25,C168)=0,"",SUM(C168)/SUM(C25,C168))</f>
        <v/>
      </c>
      <c r="D454" s="27">
        <f>IF(SUM(D25,D168)=0,"",SUM(D168)/SUM(D25,D168))</f>
        <v/>
      </c>
      <c r="E454" s="27">
        <f>IF(SUM(E25,E168)=0,"",SUM(E168)/SUM(E25,E168))</f>
        <v/>
      </c>
      <c r="F454" s="27">
        <f>IF(SUM(F25,F168)=0,"",SUM(F168)/SUM(F25,F168))</f>
        <v/>
      </c>
      <c r="G454" s="27">
        <f>IF(SUM(G25,G168)=0,"",SUM(G168)/SUM(G25,G168))</f>
        <v/>
      </c>
      <c r="H454" s="27">
        <f>IF(SUM(H25,H168)=0,"",SUM(H168)/SUM(H25,H168))</f>
        <v/>
      </c>
    </row>
    <row r="455">
      <c r="A455" t="inlineStr">
        <is>
          <t>Week2-Jan-2026</t>
        </is>
      </c>
      <c r="B455" s="27">
        <f>IF(SUM(B26,B169)=0,"",SUM(B169)/SUM(B26,B169))</f>
        <v/>
      </c>
      <c r="C455" s="27">
        <f>IF(SUM(C26,C169)=0,"",SUM(C169)/SUM(C26,C169))</f>
        <v/>
      </c>
      <c r="D455" s="27">
        <f>IF(SUM(D26,D169)=0,"",SUM(D169)/SUM(D26,D169))</f>
        <v/>
      </c>
      <c r="E455" s="27">
        <f>IF(SUM(E26,E169)=0,"",SUM(E169)/SUM(E26,E169))</f>
        <v/>
      </c>
      <c r="F455" s="27">
        <f>IF(SUM(F26,F169)=0,"",SUM(F169)/SUM(F26,F169))</f>
        <v/>
      </c>
      <c r="G455" s="27">
        <f>IF(SUM(G26,G169)=0,"",SUM(G169)/SUM(G26,G169))</f>
        <v/>
      </c>
      <c r="H455" s="27">
        <f>IF(SUM(H26,H169)=0,"",SUM(H169)/SUM(H26,H169))</f>
        <v/>
      </c>
    </row>
    <row r="456">
      <c r="A456" t="inlineStr">
        <is>
          <t>Week3-Jan-2026</t>
        </is>
      </c>
      <c r="B456" s="27">
        <f>IF(SUM(B27,B170)=0,"",SUM(B170)/SUM(B27,B170))</f>
        <v/>
      </c>
      <c r="C456" s="27">
        <f>IF(SUM(C27,C170)=0,"",SUM(C170)/SUM(C27,C170))</f>
        <v/>
      </c>
      <c r="D456" s="27">
        <f>IF(SUM(D27,D170)=0,"",SUM(D170)/SUM(D27,D170))</f>
        <v/>
      </c>
      <c r="E456" s="27">
        <f>IF(SUM(E27,E170)=0,"",SUM(E170)/SUM(E27,E170))</f>
        <v/>
      </c>
      <c r="F456" s="27">
        <f>IF(SUM(F27,F170)=0,"",SUM(F170)/SUM(F27,F170))</f>
        <v/>
      </c>
      <c r="G456" s="27">
        <f>IF(SUM(G27,G170)=0,"",SUM(G170)/SUM(G27,G170))</f>
        <v/>
      </c>
      <c r="H456" s="27">
        <f>IF(SUM(H27,H170)=0,"",SUM(H170)/SUM(H27,H170))</f>
        <v/>
      </c>
    </row>
    <row r="457">
      <c r="A457" t="inlineStr">
        <is>
          <t>Week4-Jan-2026</t>
        </is>
      </c>
      <c r="B457" s="27">
        <f>IF(SUM(B28,B171)=0,"",SUM(B171)/SUM(B28,B171))</f>
        <v/>
      </c>
      <c r="C457" s="27">
        <f>IF(SUM(C28,C171)=0,"",SUM(C171)/SUM(C28,C171))</f>
        <v/>
      </c>
      <c r="D457" s="27">
        <f>IF(SUM(D28,D171)=0,"",SUM(D171)/SUM(D28,D171))</f>
        <v/>
      </c>
      <c r="E457" s="27">
        <f>IF(SUM(E28,E171)=0,"",SUM(E171)/SUM(E28,E171))</f>
        <v/>
      </c>
      <c r="F457" s="27">
        <f>IF(SUM(F28,F171)=0,"",SUM(F171)/SUM(F28,F171))</f>
        <v/>
      </c>
      <c r="G457" s="27">
        <f>IF(SUM(G28,G171)=0,"",SUM(G171)/SUM(G28,G171))</f>
        <v/>
      </c>
      <c r="H457" s="27">
        <f>IF(SUM(H28,H171)=0,"",SUM(H171)/SUM(H28,H171))</f>
        <v/>
      </c>
    </row>
    <row r="458">
      <c r="A458" t="inlineStr">
        <is>
          <t>Week5-Jan-2026</t>
        </is>
      </c>
      <c r="B458" s="27">
        <f>IF(SUM(B29,B172)=0,"",SUM(B172)/SUM(B29,B172))</f>
        <v/>
      </c>
      <c r="C458" s="27">
        <f>IF(SUM(C29,C172)=0,"",SUM(C172)/SUM(C29,C172))</f>
        <v/>
      </c>
      <c r="D458" s="27">
        <f>IF(SUM(D29,D172)=0,"",SUM(D172)/SUM(D29,D172))</f>
        <v/>
      </c>
      <c r="E458" s="27">
        <f>IF(SUM(E29,E172)=0,"",SUM(E172)/SUM(E29,E172))</f>
        <v/>
      </c>
      <c r="F458" s="27">
        <f>IF(SUM(F29,F172)=0,"",SUM(F172)/SUM(F29,F172))</f>
        <v/>
      </c>
      <c r="G458" s="27">
        <f>IF(SUM(G29,G172)=0,"",SUM(G172)/SUM(G29,G172))</f>
        <v/>
      </c>
      <c r="H458" s="27">
        <f>IF(SUM(H29,H172)=0,"",SUM(H172)/SUM(H29,H172))</f>
        <v/>
      </c>
    </row>
    <row r="459">
      <c r="A459" t="inlineStr">
        <is>
          <t>Week1-Feb-2026</t>
        </is>
      </c>
      <c r="B459" s="27">
        <f>IF(SUM(B30,B173)=0,"",SUM(B173)/SUM(B30,B173))</f>
        <v/>
      </c>
      <c r="C459" s="27">
        <f>IF(SUM(C30,C173)=0,"",SUM(C173)/SUM(C30,C173))</f>
        <v/>
      </c>
      <c r="D459" s="27">
        <f>IF(SUM(D30,D173)=0,"",SUM(D173)/SUM(D30,D173))</f>
        <v/>
      </c>
      <c r="E459" s="27">
        <f>IF(SUM(E30,E173)=0,"",SUM(E173)/SUM(E30,E173))</f>
        <v/>
      </c>
      <c r="F459" s="27">
        <f>IF(SUM(F30,F173)=0,"",SUM(F173)/SUM(F30,F173))</f>
        <v/>
      </c>
      <c r="G459" s="27">
        <f>IF(SUM(G30,G173)=0,"",SUM(G173)/SUM(G30,G173))</f>
        <v/>
      </c>
      <c r="H459" s="27">
        <f>IF(SUM(H30,H173)=0,"",SUM(H173)/SUM(H30,H173))</f>
        <v/>
      </c>
    </row>
    <row r="460">
      <c r="A460" t="inlineStr">
        <is>
          <t>Week2-Feb-2026</t>
        </is>
      </c>
      <c r="B460" s="27">
        <f>IF(SUM(B31,B174)=0,"",SUM(B174)/SUM(B31,B174))</f>
        <v/>
      </c>
      <c r="C460" s="27">
        <f>IF(SUM(C31,C174)=0,"",SUM(C174)/SUM(C31,C174))</f>
        <v/>
      </c>
      <c r="D460" s="27">
        <f>IF(SUM(D31,D174)=0,"",SUM(D174)/SUM(D31,D174))</f>
        <v/>
      </c>
      <c r="E460" s="27">
        <f>IF(SUM(E31,E174)=0,"",SUM(E174)/SUM(E31,E174))</f>
        <v/>
      </c>
      <c r="F460" s="27">
        <f>IF(SUM(F31,F174)=0,"",SUM(F174)/SUM(F31,F174))</f>
        <v/>
      </c>
      <c r="G460" s="27">
        <f>IF(SUM(G31,G174)=0,"",SUM(G174)/SUM(G31,G174))</f>
        <v/>
      </c>
      <c r="H460" s="27">
        <f>IF(SUM(H31,H174)=0,"",SUM(H174)/SUM(H31,H174))</f>
        <v/>
      </c>
    </row>
    <row r="461">
      <c r="A461" t="inlineStr">
        <is>
          <t>Week3-Feb-2026</t>
        </is>
      </c>
      <c r="B461" s="27">
        <f>IF(SUM(B32,B175)=0,"",SUM(B175)/SUM(B32,B175))</f>
        <v/>
      </c>
      <c r="C461" s="27">
        <f>IF(SUM(C32,C175)=0,"",SUM(C175)/SUM(C32,C175))</f>
        <v/>
      </c>
      <c r="D461" s="27">
        <f>IF(SUM(D32,D175)=0,"",SUM(D175)/SUM(D32,D175))</f>
        <v/>
      </c>
      <c r="E461" s="27">
        <f>IF(SUM(E32,E175)=0,"",SUM(E175)/SUM(E32,E175))</f>
        <v/>
      </c>
      <c r="F461" s="27">
        <f>IF(SUM(F32,F175)=0,"",SUM(F175)/SUM(F32,F175))</f>
        <v/>
      </c>
      <c r="G461" s="27">
        <f>IF(SUM(G32,G175)=0,"",SUM(G175)/SUM(G32,G175))</f>
        <v/>
      </c>
      <c r="H461" s="27">
        <f>IF(SUM(H32,H175)=0,"",SUM(H175)/SUM(H32,H175))</f>
        <v/>
      </c>
    </row>
    <row r="462">
      <c r="A462" t="inlineStr">
        <is>
          <t>Week4-Feb-2026</t>
        </is>
      </c>
      <c r="B462" s="27">
        <f>IF(SUM(B33,B176)=0,"",SUM(B176)/SUM(B33,B176))</f>
        <v/>
      </c>
      <c r="C462" s="27">
        <f>IF(SUM(C33,C176)=0,"",SUM(C176)/SUM(C33,C176))</f>
        <v/>
      </c>
      <c r="D462" s="27">
        <f>IF(SUM(D33,D176)=0,"",SUM(D176)/SUM(D33,D176))</f>
        <v/>
      </c>
      <c r="E462" s="27">
        <f>IF(SUM(E33,E176)=0,"",SUM(E176)/SUM(E33,E176))</f>
        <v/>
      </c>
      <c r="F462" s="27">
        <f>IF(SUM(F33,F176)=0,"",SUM(F176)/SUM(F33,F176))</f>
        <v/>
      </c>
      <c r="G462" s="27">
        <f>IF(SUM(G33,G176)=0,"",SUM(G176)/SUM(G33,G176))</f>
        <v/>
      </c>
      <c r="H462" s="27">
        <f>IF(SUM(H33,H176)=0,"",SUM(H176)/SUM(H33,H176))</f>
        <v/>
      </c>
    </row>
    <row r="463">
      <c r="A463" t="inlineStr">
        <is>
          <t>Week1-Mar-2026</t>
        </is>
      </c>
      <c r="B463" s="27">
        <f>IF(SUM(B34,B177)=0,"",SUM(B177)/SUM(B34,B177))</f>
        <v/>
      </c>
      <c r="C463" s="27">
        <f>IF(SUM(C34,C177)=0,"",SUM(C177)/SUM(C34,C177))</f>
        <v/>
      </c>
      <c r="D463" s="27">
        <f>IF(SUM(D34,D177)=0,"",SUM(D177)/SUM(D34,D177))</f>
        <v/>
      </c>
      <c r="E463" s="27">
        <f>IF(SUM(E34,E177)=0,"",SUM(E177)/SUM(E34,E177))</f>
        <v/>
      </c>
      <c r="F463" s="27">
        <f>IF(SUM(F34,F177)=0,"",SUM(F177)/SUM(F34,F177))</f>
        <v/>
      </c>
      <c r="G463" s="27">
        <f>IF(SUM(G34,G177)=0,"",SUM(G177)/SUM(G34,G177))</f>
        <v/>
      </c>
      <c r="H463" s="27">
        <f>IF(SUM(H34,H177)=0,"",SUM(H177)/SUM(H34,H177))</f>
        <v/>
      </c>
    </row>
    <row r="464">
      <c r="A464" t="inlineStr">
        <is>
          <t>Week2-Mar-2026</t>
        </is>
      </c>
      <c r="B464" s="27">
        <f>IF(SUM(B35,B178)=0,"",SUM(B178)/SUM(B35,B178))</f>
        <v/>
      </c>
      <c r="C464" s="27">
        <f>IF(SUM(C35,C178)=0,"",SUM(C178)/SUM(C35,C178))</f>
        <v/>
      </c>
      <c r="D464" s="27">
        <f>IF(SUM(D35,D178)=0,"",SUM(D178)/SUM(D35,D178))</f>
        <v/>
      </c>
      <c r="E464" s="27">
        <f>IF(SUM(E35,E178)=0,"",SUM(E178)/SUM(E35,E178))</f>
        <v/>
      </c>
      <c r="F464" s="27">
        <f>IF(SUM(F35,F178)=0,"",SUM(F178)/SUM(F35,F178))</f>
        <v/>
      </c>
      <c r="G464" s="27">
        <f>IF(SUM(G35,G178)=0,"",SUM(G178)/SUM(G35,G178))</f>
        <v/>
      </c>
      <c r="H464" s="27">
        <f>IF(SUM(H35,H178)=0,"",SUM(H178)/SUM(H35,H178))</f>
        <v/>
      </c>
    </row>
    <row r="465">
      <c r="A465" t="inlineStr">
        <is>
          <t>Week3-Mar-2026</t>
        </is>
      </c>
      <c r="B465" s="27">
        <f>IF(SUM(B36,B179)=0,"",SUM(B179)/SUM(B36,B179))</f>
        <v/>
      </c>
      <c r="C465" s="27">
        <f>IF(SUM(C36,C179)=0,"",SUM(C179)/SUM(C36,C179))</f>
        <v/>
      </c>
      <c r="D465" s="27">
        <f>IF(SUM(D36,D179)=0,"",SUM(D179)/SUM(D36,D179))</f>
        <v/>
      </c>
      <c r="E465" s="27">
        <f>IF(SUM(E36,E179)=0,"",SUM(E179)/SUM(E36,E179))</f>
        <v/>
      </c>
      <c r="F465" s="27">
        <f>IF(SUM(F36,F179)=0,"",SUM(F179)/SUM(F36,F179))</f>
        <v/>
      </c>
      <c r="G465" s="27">
        <f>IF(SUM(G36,G179)=0,"",SUM(G179)/SUM(G36,G179))</f>
        <v/>
      </c>
      <c r="H465" s="27">
        <f>IF(SUM(H36,H179)=0,"",SUM(H179)/SUM(H36,H179))</f>
        <v/>
      </c>
    </row>
    <row r="466">
      <c r="A466" t="inlineStr">
        <is>
          <t>Week4-Mar-2026</t>
        </is>
      </c>
      <c r="B466" s="27">
        <f>IF(SUM(B37,B180)=0,"",SUM(B180)/SUM(B37,B180))</f>
        <v/>
      </c>
      <c r="C466" s="27">
        <f>IF(SUM(C37,C180)=0,"",SUM(C180)/SUM(C37,C180))</f>
        <v/>
      </c>
      <c r="D466" s="27">
        <f>IF(SUM(D37,D180)=0,"",SUM(D180)/SUM(D37,D180))</f>
        <v/>
      </c>
      <c r="E466" s="27">
        <f>IF(SUM(E37,E180)=0,"",SUM(E180)/SUM(E37,E180))</f>
        <v/>
      </c>
      <c r="F466" s="27">
        <f>IF(SUM(F37,F180)=0,"",SUM(F180)/SUM(F37,F180))</f>
        <v/>
      </c>
      <c r="G466" s="27">
        <f>IF(SUM(G37,G180)=0,"",SUM(G180)/SUM(G37,G180))</f>
        <v/>
      </c>
      <c r="H466" s="27">
        <f>IF(SUM(H37,H180)=0,"",SUM(H180)/SUM(H37,H180))</f>
        <v/>
      </c>
    </row>
    <row r="467">
      <c r="A467" t="inlineStr">
        <is>
          <t>Week5-Mar-2026</t>
        </is>
      </c>
      <c r="B467" s="27">
        <f>IF(SUM(B38,B181)=0,"",SUM(B181)/SUM(B38,B181))</f>
        <v/>
      </c>
      <c r="C467" s="27">
        <f>IF(SUM(C38,C181)=0,"",SUM(C181)/SUM(C38,C181))</f>
        <v/>
      </c>
      <c r="D467" s="27">
        <f>IF(SUM(D38,D181)=0,"",SUM(D181)/SUM(D38,D181))</f>
        <v/>
      </c>
      <c r="E467" s="27">
        <f>IF(SUM(E38,E181)=0,"",SUM(E181)/SUM(E38,E181))</f>
        <v/>
      </c>
      <c r="F467" s="27">
        <f>IF(SUM(F38,F181)=0,"",SUM(F181)/SUM(F38,F181))</f>
        <v/>
      </c>
      <c r="G467" s="27">
        <f>IF(SUM(G38,G181)=0,"",SUM(G181)/SUM(G38,G181))</f>
        <v/>
      </c>
      <c r="H467" s="27">
        <f>IF(SUM(H38,H181)=0,"",SUM(H181)/SUM(H38,H181))</f>
        <v/>
      </c>
    </row>
    <row r="468">
      <c r="A468" t="inlineStr">
        <is>
          <t>Week1-Apr-2026</t>
        </is>
      </c>
      <c r="B468" s="27">
        <f>IF(SUM(B39,B182)=0,"",SUM(B182)/SUM(B39,B182))</f>
        <v/>
      </c>
      <c r="C468" s="27">
        <f>IF(SUM(C39,C182)=0,"",SUM(C182)/SUM(C39,C182))</f>
        <v/>
      </c>
      <c r="D468" s="27">
        <f>IF(SUM(D39,D182)=0,"",SUM(D182)/SUM(D39,D182))</f>
        <v/>
      </c>
      <c r="E468" s="27">
        <f>IF(SUM(E39,E182)=0,"",SUM(E182)/SUM(E39,E182))</f>
        <v/>
      </c>
      <c r="F468" s="27">
        <f>IF(SUM(F39,F182)=0,"",SUM(F182)/SUM(F39,F182))</f>
        <v/>
      </c>
      <c r="G468" s="27">
        <f>IF(SUM(G39,G182)=0,"",SUM(G182)/SUM(G39,G182))</f>
        <v/>
      </c>
      <c r="H468" s="27">
        <f>IF(SUM(H39,H182)=0,"",SUM(H182)/SUM(H39,H182))</f>
        <v/>
      </c>
    </row>
    <row r="469">
      <c r="A469" t="inlineStr">
        <is>
          <t>Week2-Apr-2026</t>
        </is>
      </c>
      <c r="B469" s="27">
        <f>IF(SUM(B40,B183)=0,"",SUM(B183)/SUM(B40,B183))</f>
        <v/>
      </c>
      <c r="C469" s="27">
        <f>IF(SUM(C40,C183)=0,"",SUM(C183)/SUM(C40,C183))</f>
        <v/>
      </c>
      <c r="D469" s="27">
        <f>IF(SUM(D40,D183)=0,"",SUM(D183)/SUM(D40,D183))</f>
        <v/>
      </c>
      <c r="E469" s="27">
        <f>IF(SUM(E40,E183)=0,"",SUM(E183)/SUM(E40,E183))</f>
        <v/>
      </c>
      <c r="F469" s="27">
        <f>IF(SUM(F40,F183)=0,"",SUM(F183)/SUM(F40,F183))</f>
        <v/>
      </c>
      <c r="G469" s="27">
        <f>IF(SUM(G40,G183)=0,"",SUM(G183)/SUM(G40,G183))</f>
        <v/>
      </c>
      <c r="H469" s="27">
        <f>IF(SUM(H40,H183)=0,"",SUM(H183)/SUM(H40,H183))</f>
        <v/>
      </c>
    </row>
    <row r="470">
      <c r="A470" t="inlineStr">
        <is>
          <t>Week3-Apr-2026</t>
        </is>
      </c>
      <c r="B470" s="27">
        <f>IF(SUM(B41,B184)=0,"",SUM(B184)/SUM(B41,B184))</f>
        <v/>
      </c>
      <c r="C470" s="27">
        <f>IF(SUM(C41,C184)=0,"",SUM(C184)/SUM(C41,C184))</f>
        <v/>
      </c>
      <c r="D470" s="27">
        <f>IF(SUM(D41,D184)=0,"",SUM(D184)/SUM(D41,D184))</f>
        <v/>
      </c>
      <c r="E470" s="27">
        <f>IF(SUM(E41,E184)=0,"",SUM(E184)/SUM(E41,E184))</f>
        <v/>
      </c>
      <c r="F470" s="27">
        <f>IF(SUM(F41,F184)=0,"",SUM(F184)/SUM(F41,F184))</f>
        <v/>
      </c>
      <c r="G470" s="27">
        <f>IF(SUM(G41,G184)=0,"",SUM(G184)/SUM(G41,G184))</f>
        <v/>
      </c>
      <c r="H470" s="27">
        <f>IF(SUM(H41,H184)=0,"",SUM(H184)/SUM(H41,H184))</f>
        <v/>
      </c>
    </row>
    <row r="471">
      <c r="A471" t="inlineStr">
        <is>
          <t>Week4-Apr-2026</t>
        </is>
      </c>
      <c r="B471" s="27">
        <f>IF(SUM(B42,B185)=0,"",SUM(B185)/SUM(B42,B185))</f>
        <v/>
      </c>
      <c r="C471" s="27">
        <f>IF(SUM(C42,C185)=0,"",SUM(C185)/SUM(C42,C185))</f>
        <v/>
      </c>
      <c r="D471" s="27">
        <f>IF(SUM(D42,D185)=0,"",SUM(D185)/SUM(D42,D185))</f>
        <v/>
      </c>
      <c r="E471" s="27">
        <f>IF(SUM(E42,E185)=0,"",SUM(E185)/SUM(E42,E185))</f>
        <v/>
      </c>
      <c r="F471" s="27">
        <f>IF(SUM(F42,F185)=0,"",SUM(F185)/SUM(F42,F185))</f>
        <v/>
      </c>
      <c r="G471" s="27">
        <f>IF(SUM(G42,G185)=0,"",SUM(G185)/SUM(G42,G185))</f>
        <v/>
      </c>
      <c r="H471" s="27">
        <f>IF(SUM(H42,H185)=0,"",SUM(H185)/SUM(H42,H185))</f>
        <v/>
      </c>
    </row>
    <row r="472">
      <c r="A472" t="inlineStr">
        <is>
          <t>Week5-Apr-2026</t>
        </is>
      </c>
      <c r="B472" s="27">
        <f>IF(SUM(B43,B186)=0,"",SUM(B186)/SUM(B43,B186))</f>
        <v/>
      </c>
      <c r="C472" s="27">
        <f>IF(SUM(C43,C186)=0,"",SUM(C186)/SUM(C43,C186))</f>
        <v/>
      </c>
      <c r="D472" s="27">
        <f>IF(SUM(D43,D186)=0,"",SUM(D186)/SUM(D43,D186))</f>
        <v/>
      </c>
      <c r="E472" s="27">
        <f>IF(SUM(E43,E186)=0,"",SUM(E186)/SUM(E43,E186))</f>
        <v/>
      </c>
      <c r="F472" s="27">
        <f>IF(SUM(F43,F186)=0,"",SUM(F186)/SUM(F43,F186))</f>
        <v/>
      </c>
      <c r="G472" s="27">
        <f>IF(SUM(G43,G186)=0,"",SUM(G186)/SUM(G43,G186))</f>
        <v/>
      </c>
      <c r="H472" s="27">
        <f>IF(SUM(H43,H186)=0,"",SUM(H186)/SUM(H43,H186))</f>
        <v/>
      </c>
    </row>
    <row r="473">
      <c r="A473" t="inlineStr">
        <is>
          <t>Week1-May-2026</t>
        </is>
      </c>
      <c r="B473" s="27">
        <f>IF(SUM(B44,B187)=0,"",SUM(B187)/SUM(B44,B187))</f>
        <v/>
      </c>
      <c r="C473" s="27">
        <f>IF(SUM(C44,C187)=0,"",SUM(C187)/SUM(C44,C187))</f>
        <v/>
      </c>
      <c r="D473" s="27">
        <f>IF(SUM(D44,D187)=0,"",SUM(D187)/SUM(D44,D187))</f>
        <v/>
      </c>
      <c r="E473" s="27">
        <f>IF(SUM(E44,E187)=0,"",SUM(E187)/SUM(E44,E187))</f>
        <v/>
      </c>
      <c r="F473" s="27">
        <f>IF(SUM(F44,F187)=0,"",SUM(F187)/SUM(F44,F187))</f>
        <v/>
      </c>
      <c r="G473" s="27">
        <f>IF(SUM(G44,G187)=0,"",SUM(G187)/SUM(G44,G187))</f>
        <v/>
      </c>
      <c r="H473" s="27">
        <f>IF(SUM(H44,H187)=0,"",SUM(H187)/SUM(H44,H187))</f>
        <v/>
      </c>
    </row>
    <row r="474">
      <c r="A474" t="inlineStr">
        <is>
          <t>Week2-May-2026</t>
        </is>
      </c>
      <c r="B474" s="27">
        <f>IF(SUM(B45,B188)=0,"",SUM(B188)/SUM(B45,B188))</f>
        <v/>
      </c>
      <c r="C474" s="27">
        <f>IF(SUM(C45,C188)=0,"",SUM(C188)/SUM(C45,C188))</f>
        <v/>
      </c>
      <c r="D474" s="27">
        <f>IF(SUM(D45,D188)=0,"",SUM(D188)/SUM(D45,D188))</f>
        <v/>
      </c>
      <c r="E474" s="27">
        <f>IF(SUM(E45,E188)=0,"",SUM(E188)/SUM(E45,E188))</f>
        <v/>
      </c>
      <c r="F474" s="27">
        <f>IF(SUM(F45,F188)=0,"",SUM(F188)/SUM(F45,F188))</f>
        <v/>
      </c>
      <c r="G474" s="27">
        <f>IF(SUM(G45,G188)=0,"",SUM(G188)/SUM(G45,G188))</f>
        <v/>
      </c>
      <c r="H474" s="27">
        <f>IF(SUM(H45,H188)=0,"",SUM(H188)/SUM(H45,H188))</f>
        <v/>
      </c>
    </row>
    <row r="475">
      <c r="A475" t="inlineStr">
        <is>
          <t>Week3-May-2026</t>
        </is>
      </c>
      <c r="B475" s="27">
        <f>IF(SUM(B46,B189)=0,"",SUM(B189)/SUM(B46,B189))</f>
        <v/>
      </c>
      <c r="C475" s="27">
        <f>IF(SUM(C46,C189)=0,"",SUM(C189)/SUM(C46,C189))</f>
        <v/>
      </c>
      <c r="D475" s="27">
        <f>IF(SUM(D46,D189)=0,"",SUM(D189)/SUM(D46,D189))</f>
        <v/>
      </c>
      <c r="E475" s="27">
        <f>IF(SUM(E46,E189)=0,"",SUM(E189)/SUM(E46,E189))</f>
        <v/>
      </c>
      <c r="F475" s="27">
        <f>IF(SUM(F46,F189)=0,"",SUM(F189)/SUM(F46,F189))</f>
        <v/>
      </c>
      <c r="G475" s="27">
        <f>IF(SUM(G46,G189)=0,"",SUM(G189)/SUM(G46,G189))</f>
        <v/>
      </c>
      <c r="H475" s="27">
        <f>IF(SUM(H46,H189)=0,"",SUM(H189)/SUM(H46,H189))</f>
        <v/>
      </c>
    </row>
    <row r="476">
      <c r="A476" t="inlineStr">
        <is>
          <t>Week4-May-2026</t>
        </is>
      </c>
      <c r="B476" s="27">
        <f>IF(SUM(B47,B190)=0,"",SUM(B190)/SUM(B47,B190))</f>
        <v/>
      </c>
      <c r="C476" s="27">
        <f>IF(SUM(C47,C190)=0,"",SUM(C190)/SUM(C47,C190))</f>
        <v/>
      </c>
      <c r="D476" s="27">
        <f>IF(SUM(D47,D190)=0,"",SUM(D190)/SUM(D47,D190))</f>
        <v/>
      </c>
      <c r="E476" s="27">
        <f>IF(SUM(E47,E190)=0,"",SUM(E190)/SUM(E47,E190))</f>
        <v/>
      </c>
      <c r="F476" s="27">
        <f>IF(SUM(F47,F190)=0,"",SUM(F190)/SUM(F47,F190))</f>
        <v/>
      </c>
      <c r="G476" s="27">
        <f>IF(SUM(G47,G190)=0,"",SUM(G190)/SUM(G47,G190))</f>
        <v/>
      </c>
      <c r="H476" s="27">
        <f>IF(SUM(H47,H190)=0,"",SUM(H190)/SUM(H47,H190))</f>
        <v/>
      </c>
    </row>
    <row r="477">
      <c r="A477" t="inlineStr">
        <is>
          <t>Week5-May-2026</t>
        </is>
      </c>
      <c r="B477" s="27">
        <f>IF(SUM(B48,B191)=0,"",SUM(B191)/SUM(B48,B191))</f>
        <v/>
      </c>
      <c r="C477" s="27">
        <f>IF(SUM(C48,C191)=0,"",SUM(C191)/SUM(C48,C191))</f>
        <v/>
      </c>
      <c r="D477" s="27">
        <f>IF(SUM(D48,D191)=0,"",SUM(D191)/SUM(D48,D191))</f>
        <v/>
      </c>
      <c r="E477" s="27">
        <f>IF(SUM(E48,E191)=0,"",SUM(E191)/SUM(E48,E191))</f>
        <v/>
      </c>
      <c r="F477" s="27">
        <f>IF(SUM(F48,F191)=0,"",SUM(F191)/SUM(F48,F191))</f>
        <v/>
      </c>
      <c r="G477" s="27">
        <f>IF(SUM(G48,G191)=0,"",SUM(G191)/SUM(G48,G191))</f>
        <v/>
      </c>
      <c r="H477" s="27">
        <f>IF(SUM(H48,H191)=0,"",SUM(H191)/SUM(H48,H191))</f>
        <v/>
      </c>
    </row>
    <row r="478">
      <c r="A478" t="inlineStr">
        <is>
          <t>Week1-Jun-2026</t>
        </is>
      </c>
      <c r="B478" s="27">
        <f>IF(SUM(B49,B192)=0,"",SUM(B192)/SUM(B49,B192))</f>
        <v/>
      </c>
      <c r="C478" s="27">
        <f>IF(SUM(C49,C192)=0,"",SUM(C192)/SUM(C49,C192))</f>
        <v/>
      </c>
      <c r="D478" s="27">
        <f>IF(SUM(D49,D192)=0,"",SUM(D192)/SUM(D49,D192))</f>
        <v/>
      </c>
      <c r="E478" s="27">
        <f>IF(SUM(E49,E192)=0,"",SUM(E192)/SUM(E49,E192))</f>
        <v/>
      </c>
      <c r="F478" s="27">
        <f>IF(SUM(F49,F192)=0,"",SUM(F192)/SUM(F49,F192))</f>
        <v/>
      </c>
      <c r="G478" s="27">
        <f>IF(SUM(G49,G192)=0,"",SUM(G192)/SUM(G49,G192))</f>
        <v/>
      </c>
      <c r="H478" s="27">
        <f>IF(SUM(H49,H192)=0,"",SUM(H192)/SUM(H49,H192))</f>
        <v/>
      </c>
    </row>
    <row r="479">
      <c r="A479" t="inlineStr">
        <is>
          <t>Week2-Jun-2026</t>
        </is>
      </c>
      <c r="B479" s="27">
        <f>IF(SUM(B50,B193)=0,"",SUM(B193)/SUM(B50,B193))</f>
        <v/>
      </c>
      <c r="C479" s="27">
        <f>IF(SUM(C50,C193)=0,"",SUM(C193)/SUM(C50,C193))</f>
        <v/>
      </c>
      <c r="D479" s="27">
        <f>IF(SUM(D50,D193)=0,"",SUM(D193)/SUM(D50,D193))</f>
        <v/>
      </c>
      <c r="E479" s="27">
        <f>IF(SUM(E50,E193)=0,"",SUM(E193)/SUM(E50,E193))</f>
        <v/>
      </c>
      <c r="F479" s="27">
        <f>IF(SUM(F50,F193)=0,"",SUM(F193)/SUM(F50,F193))</f>
        <v/>
      </c>
      <c r="G479" s="27">
        <f>IF(SUM(G50,G193)=0,"",SUM(G193)/SUM(G50,G193))</f>
        <v/>
      </c>
      <c r="H479" s="27">
        <f>IF(SUM(H50,H193)=0,"",SUM(H193)/SUM(H50,H193))</f>
        <v/>
      </c>
    </row>
    <row r="480">
      <c r="A480" t="inlineStr">
        <is>
          <t>Week3-Jun-2026</t>
        </is>
      </c>
      <c r="B480" s="27">
        <f>IF(SUM(B51,B194)=0,"",SUM(B194)/SUM(B51,B194))</f>
        <v/>
      </c>
      <c r="C480" s="27">
        <f>IF(SUM(C51,C194)=0,"",SUM(C194)/SUM(C51,C194))</f>
        <v/>
      </c>
      <c r="D480" s="27">
        <f>IF(SUM(D51,D194)=0,"",SUM(D194)/SUM(D51,D194))</f>
        <v/>
      </c>
      <c r="E480" s="27">
        <f>IF(SUM(E51,E194)=0,"",SUM(E194)/SUM(E51,E194))</f>
        <v/>
      </c>
      <c r="F480" s="27">
        <f>IF(SUM(F51,F194)=0,"",SUM(F194)/SUM(F51,F194))</f>
        <v/>
      </c>
      <c r="G480" s="27">
        <f>IF(SUM(G51,G194)=0,"",SUM(G194)/SUM(G51,G194))</f>
        <v/>
      </c>
      <c r="H480" s="27">
        <f>IF(SUM(H51,H194)=0,"",SUM(H194)/SUM(H51,H194))</f>
        <v/>
      </c>
    </row>
    <row r="481">
      <c r="A481" t="inlineStr">
        <is>
          <t>Week4-Jun-2026</t>
        </is>
      </c>
      <c r="B481" s="27">
        <f>IF(SUM(B52,B195)=0,"",SUM(B195)/SUM(B52,B195))</f>
        <v/>
      </c>
      <c r="C481" s="27">
        <f>IF(SUM(C52,C195)=0,"",SUM(C195)/SUM(C52,C195))</f>
        <v/>
      </c>
      <c r="D481" s="27">
        <f>IF(SUM(D52,D195)=0,"",SUM(D195)/SUM(D52,D195))</f>
        <v/>
      </c>
      <c r="E481" s="27">
        <f>IF(SUM(E52,E195)=0,"",SUM(E195)/SUM(E52,E195))</f>
        <v/>
      </c>
      <c r="F481" s="27">
        <f>IF(SUM(F52,F195)=0,"",SUM(F195)/SUM(F52,F195))</f>
        <v/>
      </c>
      <c r="G481" s="27">
        <f>IF(SUM(G52,G195)=0,"",SUM(G195)/SUM(G52,G195))</f>
        <v/>
      </c>
      <c r="H481" s="27">
        <f>IF(SUM(H52,H195)=0,"",SUM(H195)/SUM(H52,H195))</f>
        <v/>
      </c>
    </row>
    <row r="482">
      <c r="A482" t="inlineStr">
        <is>
          <t>Week5-Jun-2026</t>
        </is>
      </c>
      <c r="B482" s="27">
        <f>IF(SUM(B53,B196)=0,"",SUM(B196)/SUM(B53,B196))</f>
        <v/>
      </c>
      <c r="C482" s="27">
        <f>IF(SUM(C53,C196)=0,"",SUM(C196)/SUM(C53,C196))</f>
        <v/>
      </c>
      <c r="D482" s="27">
        <f>IF(SUM(D53,D196)=0,"",SUM(D196)/SUM(D53,D196))</f>
        <v/>
      </c>
      <c r="E482" s="27">
        <f>IF(SUM(E53,E196)=0,"",SUM(E196)/SUM(E53,E196))</f>
        <v/>
      </c>
      <c r="F482" s="27">
        <f>IF(SUM(F53,F196)=0,"",SUM(F196)/SUM(F53,F196))</f>
        <v/>
      </c>
      <c r="G482" s="27">
        <f>IF(SUM(G53,G196)=0,"",SUM(G196)/SUM(G53,G196))</f>
        <v/>
      </c>
      <c r="H482" s="27">
        <f>IF(SUM(H53,H196)=0,"",SUM(H196)/SUM(H53,H196))</f>
        <v/>
      </c>
    </row>
    <row r="483">
      <c r="A483" t="inlineStr">
        <is>
          <t>Week1-Jul-2026</t>
        </is>
      </c>
      <c r="B483" s="27">
        <f>IF(SUM(B54,B197)=0,"",SUM(B197)/SUM(B54,B197))</f>
        <v/>
      </c>
      <c r="C483" s="27">
        <f>IF(SUM(C54,C197)=0,"",SUM(C197)/SUM(C54,C197))</f>
        <v/>
      </c>
      <c r="D483" s="27">
        <f>IF(SUM(D54,D197)=0,"",SUM(D197)/SUM(D54,D197))</f>
        <v/>
      </c>
      <c r="E483" s="27">
        <f>IF(SUM(E54,E197)=0,"",SUM(E197)/SUM(E54,E197))</f>
        <v/>
      </c>
      <c r="F483" s="27">
        <f>IF(SUM(F54,F197)=0,"",SUM(F197)/SUM(F54,F197))</f>
        <v/>
      </c>
      <c r="G483" s="27">
        <f>IF(SUM(G54,G197)=0,"",SUM(G197)/SUM(G54,G197))</f>
        <v/>
      </c>
      <c r="H483" s="27">
        <f>IF(SUM(H54,H197)=0,"",SUM(H197)/SUM(H54,H197))</f>
        <v/>
      </c>
    </row>
    <row r="484">
      <c r="A484" t="inlineStr">
        <is>
          <t>Week2-Jul-2026</t>
        </is>
      </c>
      <c r="B484" s="27">
        <f>IF(SUM(B55,B198)=0,"",SUM(B198)/SUM(B55,B198))</f>
        <v/>
      </c>
      <c r="C484" s="27">
        <f>IF(SUM(C55,C198)=0,"",SUM(C198)/SUM(C55,C198))</f>
        <v/>
      </c>
      <c r="D484" s="27">
        <f>IF(SUM(D55,D198)=0,"",SUM(D198)/SUM(D55,D198))</f>
        <v/>
      </c>
      <c r="E484" s="27">
        <f>IF(SUM(E55,E198)=0,"",SUM(E198)/SUM(E55,E198))</f>
        <v/>
      </c>
      <c r="F484" s="27">
        <f>IF(SUM(F55,F198)=0,"",SUM(F198)/SUM(F55,F198))</f>
        <v/>
      </c>
      <c r="G484" s="27">
        <f>IF(SUM(G55,G198)=0,"",SUM(G198)/SUM(G55,G198))</f>
        <v/>
      </c>
      <c r="H484" s="27">
        <f>IF(SUM(H55,H198)=0,"",SUM(H198)/SUM(H55,H198))</f>
        <v/>
      </c>
    </row>
    <row r="485">
      <c r="A485" t="inlineStr">
        <is>
          <t>Week3-Jul-2026</t>
        </is>
      </c>
      <c r="B485" s="27">
        <f>IF(SUM(B56,B199)=0,"",SUM(B199)/SUM(B56,B199))</f>
        <v/>
      </c>
      <c r="C485" s="27">
        <f>IF(SUM(C56,C199)=0,"",SUM(C199)/SUM(C56,C199))</f>
        <v/>
      </c>
      <c r="D485" s="27">
        <f>IF(SUM(D56,D199)=0,"",SUM(D199)/SUM(D56,D199))</f>
        <v/>
      </c>
      <c r="E485" s="27">
        <f>IF(SUM(E56,E199)=0,"",SUM(E199)/SUM(E56,E199))</f>
        <v/>
      </c>
      <c r="F485" s="27">
        <f>IF(SUM(F56,F199)=0,"",SUM(F199)/SUM(F56,F199))</f>
        <v/>
      </c>
      <c r="G485" s="27">
        <f>IF(SUM(G56,G199)=0,"",SUM(G199)/SUM(G56,G199))</f>
        <v/>
      </c>
      <c r="H485" s="27">
        <f>IF(SUM(H56,H199)=0,"",SUM(H199)/SUM(H56,H199))</f>
        <v/>
      </c>
    </row>
    <row r="486">
      <c r="A486" t="inlineStr">
        <is>
          <t>Week4-Jul-2026</t>
        </is>
      </c>
      <c r="B486" s="27">
        <f>IF(SUM(B57,B200)=0,"",SUM(B200)/SUM(B57,B200))</f>
        <v/>
      </c>
      <c r="C486" s="27">
        <f>IF(SUM(C57,C200)=0,"",SUM(C200)/SUM(C57,C200))</f>
        <v/>
      </c>
      <c r="D486" s="27">
        <f>IF(SUM(D57,D200)=0,"",SUM(D200)/SUM(D57,D200))</f>
        <v/>
      </c>
      <c r="E486" s="27">
        <f>IF(SUM(E57,E200)=0,"",SUM(E200)/SUM(E57,E200))</f>
        <v/>
      </c>
      <c r="F486" s="27">
        <f>IF(SUM(F57,F200)=0,"",SUM(F200)/SUM(F57,F200))</f>
        <v/>
      </c>
      <c r="G486" s="27">
        <f>IF(SUM(G57,G200)=0,"",SUM(G200)/SUM(G57,G200))</f>
        <v/>
      </c>
      <c r="H486" s="27">
        <f>IF(SUM(H57,H200)=0,"",SUM(H200)/SUM(H57,H200))</f>
        <v/>
      </c>
    </row>
    <row r="487">
      <c r="A487" t="inlineStr">
        <is>
          <t>Week5-Jul-2026</t>
        </is>
      </c>
      <c r="B487" s="27">
        <f>IF(SUM(B58,B201)=0,"",SUM(B201)/SUM(B58,B201))</f>
        <v/>
      </c>
      <c r="C487" s="27">
        <f>IF(SUM(C58,C201)=0,"",SUM(C201)/SUM(C58,C201))</f>
        <v/>
      </c>
      <c r="D487" s="27">
        <f>IF(SUM(D58,D201)=0,"",SUM(D201)/SUM(D58,D201))</f>
        <v/>
      </c>
      <c r="E487" s="27">
        <f>IF(SUM(E58,E201)=0,"",SUM(E201)/SUM(E58,E201))</f>
        <v/>
      </c>
      <c r="F487" s="27">
        <f>IF(SUM(F58,F201)=0,"",SUM(F201)/SUM(F58,F201))</f>
        <v/>
      </c>
      <c r="G487" s="27">
        <f>IF(SUM(G58,G201)=0,"",SUM(G201)/SUM(G58,G201))</f>
        <v/>
      </c>
      <c r="H487" s="27">
        <f>IF(SUM(H58,H201)=0,"",SUM(H201)/SUM(H58,H201))</f>
        <v/>
      </c>
    </row>
    <row r="488">
      <c r="A488" t="inlineStr">
        <is>
          <t>Week1-Aug-2026</t>
        </is>
      </c>
      <c r="B488" s="27">
        <f>IF(SUM(B59,B202)=0,"",SUM(B202)/SUM(B59,B202))</f>
        <v/>
      </c>
      <c r="C488" s="27">
        <f>IF(SUM(C59,C202)=0,"",SUM(C202)/SUM(C59,C202))</f>
        <v/>
      </c>
      <c r="D488" s="27">
        <f>IF(SUM(D59,D202)=0,"",SUM(D202)/SUM(D59,D202))</f>
        <v/>
      </c>
      <c r="E488" s="27">
        <f>IF(SUM(E59,E202)=0,"",SUM(E202)/SUM(E59,E202))</f>
        <v/>
      </c>
      <c r="F488" s="27">
        <f>IF(SUM(F59,F202)=0,"",SUM(F202)/SUM(F59,F202))</f>
        <v/>
      </c>
      <c r="G488" s="27">
        <f>IF(SUM(G59,G202)=0,"",SUM(G202)/SUM(G59,G202))</f>
        <v/>
      </c>
      <c r="H488" s="27">
        <f>IF(SUM(H59,H202)=0,"",SUM(H202)/SUM(H59,H202))</f>
        <v/>
      </c>
    </row>
    <row r="489" hidden="1" outlineLevel="1">
      <c r="A489" t="inlineStr">
        <is>
          <t>Week2-Aug-2026</t>
        </is>
      </c>
      <c r="B489" s="27">
        <f>IF(SUM(B60,B203)=0,"",SUM(B203)/SUM(B60,B203))</f>
        <v/>
      </c>
      <c r="C489" s="27">
        <f>IF(SUM(C60,C203)=0,"",SUM(C203)/SUM(C60,C203))</f>
        <v/>
      </c>
      <c r="D489" s="27">
        <f>IF(SUM(D60,D203)=0,"",SUM(D203)/SUM(D60,D203))</f>
        <v/>
      </c>
      <c r="E489" s="27">
        <f>IF(SUM(E60,E203)=0,"",SUM(E203)/SUM(E60,E203))</f>
        <v/>
      </c>
      <c r="F489" s="27">
        <f>IF(SUM(F60,F203)=0,"",SUM(F203)/SUM(F60,F203))</f>
        <v/>
      </c>
      <c r="G489" s="27">
        <f>IF(SUM(G60,G203)=0,"",SUM(G203)/SUM(G60,G203))</f>
        <v/>
      </c>
      <c r="H489" s="27">
        <f>IF(SUM(H60,H203)=0,"",SUM(H203)/SUM(H60,H203))</f>
        <v/>
      </c>
    </row>
    <row r="490" hidden="1" outlineLevel="1">
      <c r="A490" t="inlineStr">
        <is>
          <t>Week3-Aug-2026</t>
        </is>
      </c>
      <c r="B490" s="27">
        <f>IF(SUM(B61,B204)=0,"",SUM(B204)/SUM(B61,B204))</f>
        <v/>
      </c>
      <c r="C490" s="27">
        <f>IF(SUM(C61,C204)=0,"",SUM(C204)/SUM(C61,C204))</f>
        <v/>
      </c>
      <c r="D490" s="27">
        <f>IF(SUM(D61,D204)=0,"",SUM(D204)/SUM(D61,D204))</f>
        <v/>
      </c>
      <c r="E490" s="27">
        <f>IF(SUM(E61,E204)=0,"",SUM(E204)/SUM(E61,E204))</f>
        <v/>
      </c>
      <c r="F490" s="27">
        <f>IF(SUM(F61,F204)=0,"",SUM(F204)/SUM(F61,F204))</f>
        <v/>
      </c>
      <c r="G490" s="27">
        <f>IF(SUM(G61,G204)=0,"",SUM(G204)/SUM(G61,G204))</f>
        <v/>
      </c>
      <c r="H490" s="27">
        <f>IF(SUM(H61,H204)=0,"",SUM(H204)/SUM(H61,H204))</f>
        <v/>
      </c>
    </row>
    <row r="491" hidden="1" outlineLevel="1">
      <c r="A491" t="inlineStr">
        <is>
          <t>Week4-Aug-2026</t>
        </is>
      </c>
      <c r="B491" s="27">
        <f>IF(SUM(B62,B205)=0,"",SUM(B205)/SUM(B62,B205))</f>
        <v/>
      </c>
      <c r="C491" s="27">
        <f>IF(SUM(C62,C205)=0,"",SUM(C205)/SUM(C62,C205))</f>
        <v/>
      </c>
      <c r="D491" s="27">
        <f>IF(SUM(D62,D205)=0,"",SUM(D205)/SUM(D62,D205))</f>
        <v/>
      </c>
      <c r="E491" s="27">
        <f>IF(SUM(E62,E205)=0,"",SUM(E205)/SUM(E62,E205))</f>
        <v/>
      </c>
      <c r="F491" s="27">
        <f>IF(SUM(F62,F205)=0,"",SUM(F205)/SUM(F62,F205))</f>
        <v/>
      </c>
      <c r="G491" s="27">
        <f>IF(SUM(G62,G205)=0,"",SUM(G205)/SUM(G62,G205))</f>
        <v/>
      </c>
      <c r="H491" s="27">
        <f>IF(SUM(H62,H205)=0,"",SUM(H205)/SUM(H62,H205))</f>
        <v/>
      </c>
    </row>
    <row r="492" hidden="1" outlineLevel="1">
      <c r="A492" t="inlineStr">
        <is>
          <t>Week5-Aug-2026</t>
        </is>
      </c>
      <c r="B492" s="27">
        <f>IF(SUM(B63,B206)=0,"",SUM(B206)/SUM(B63,B206))</f>
        <v/>
      </c>
      <c r="C492" s="27">
        <f>IF(SUM(C63,C206)=0,"",SUM(C206)/SUM(C63,C206))</f>
        <v/>
      </c>
      <c r="D492" s="27">
        <f>IF(SUM(D63,D206)=0,"",SUM(D206)/SUM(D63,D206))</f>
        <v/>
      </c>
      <c r="E492" s="27">
        <f>IF(SUM(E63,E206)=0,"",SUM(E206)/SUM(E63,E206))</f>
        <v/>
      </c>
      <c r="F492" s="27">
        <f>IF(SUM(F63,F206)=0,"",SUM(F206)/SUM(F63,F206))</f>
        <v/>
      </c>
      <c r="G492" s="27">
        <f>IF(SUM(G63,G206)=0,"",SUM(G206)/SUM(G63,G206))</f>
        <v/>
      </c>
      <c r="H492" s="27">
        <f>IF(SUM(H63,H206)=0,"",SUM(H206)/SUM(H63,H206))</f>
        <v/>
      </c>
    </row>
    <row r="493" hidden="1" outlineLevel="1">
      <c r="A493" t="inlineStr">
        <is>
          <t>Week1-Sep-2026</t>
        </is>
      </c>
      <c r="B493" s="27">
        <f>IF(SUM(B64,B207)=0,"",SUM(B207)/SUM(B64,B207))</f>
        <v/>
      </c>
      <c r="C493" s="27">
        <f>IF(SUM(C64,C207)=0,"",SUM(C207)/SUM(C64,C207))</f>
        <v/>
      </c>
      <c r="D493" s="27">
        <f>IF(SUM(D64,D207)=0,"",SUM(D207)/SUM(D64,D207))</f>
        <v/>
      </c>
      <c r="E493" s="27">
        <f>IF(SUM(E64,E207)=0,"",SUM(E207)/SUM(E64,E207))</f>
        <v/>
      </c>
      <c r="F493" s="27">
        <f>IF(SUM(F64,F207)=0,"",SUM(F207)/SUM(F64,F207))</f>
        <v/>
      </c>
      <c r="G493" s="27">
        <f>IF(SUM(G64,G207)=0,"",SUM(G207)/SUM(G64,G207))</f>
        <v/>
      </c>
      <c r="H493" s="27">
        <f>IF(SUM(H64,H207)=0,"",SUM(H207)/SUM(H64,H207))</f>
        <v/>
      </c>
    </row>
    <row r="494" hidden="1" outlineLevel="1">
      <c r="A494" t="inlineStr">
        <is>
          <t>Week2-Sep-2026</t>
        </is>
      </c>
      <c r="B494" s="27">
        <f>IF(SUM(B65,B208)=0,"",SUM(B208)/SUM(B65,B208))</f>
        <v/>
      </c>
      <c r="C494" s="27">
        <f>IF(SUM(C65,C208)=0,"",SUM(C208)/SUM(C65,C208))</f>
        <v/>
      </c>
      <c r="D494" s="27">
        <f>IF(SUM(D65,D208)=0,"",SUM(D208)/SUM(D65,D208))</f>
        <v/>
      </c>
      <c r="E494" s="27">
        <f>IF(SUM(E65,E208)=0,"",SUM(E208)/SUM(E65,E208))</f>
        <v/>
      </c>
      <c r="F494" s="27">
        <f>IF(SUM(F65,F208)=0,"",SUM(F208)/SUM(F65,F208))</f>
        <v/>
      </c>
      <c r="G494" s="27">
        <f>IF(SUM(G65,G208)=0,"",SUM(G208)/SUM(G65,G208))</f>
        <v/>
      </c>
      <c r="H494" s="27">
        <f>IF(SUM(H65,H208)=0,"",SUM(H208)/SUM(H65,H208))</f>
        <v/>
      </c>
    </row>
    <row r="495" hidden="1" outlineLevel="1">
      <c r="A495" t="inlineStr">
        <is>
          <t>Week3-Sep-2026</t>
        </is>
      </c>
      <c r="B495" s="27">
        <f>IF(SUM(B66,B209)=0,"",SUM(B209)/SUM(B66,B209))</f>
        <v/>
      </c>
      <c r="C495" s="27">
        <f>IF(SUM(C66,C209)=0,"",SUM(C209)/SUM(C66,C209))</f>
        <v/>
      </c>
      <c r="D495" s="27">
        <f>IF(SUM(D66,D209)=0,"",SUM(D209)/SUM(D66,D209))</f>
        <v/>
      </c>
      <c r="E495" s="27">
        <f>IF(SUM(E66,E209)=0,"",SUM(E209)/SUM(E66,E209))</f>
        <v/>
      </c>
      <c r="F495" s="27">
        <f>IF(SUM(F66,F209)=0,"",SUM(F209)/SUM(F66,F209))</f>
        <v/>
      </c>
      <c r="G495" s="27">
        <f>IF(SUM(G66,G209)=0,"",SUM(G209)/SUM(G66,G209))</f>
        <v/>
      </c>
      <c r="H495" s="27">
        <f>IF(SUM(H66,H209)=0,"",SUM(H209)/SUM(H66,H209))</f>
        <v/>
      </c>
    </row>
    <row r="496" hidden="1" outlineLevel="1">
      <c r="A496" t="inlineStr">
        <is>
          <t>Week4-Sep-2026</t>
        </is>
      </c>
      <c r="B496" s="27">
        <f>IF(SUM(B67,B210)=0,"",SUM(B210)/SUM(B67,B210))</f>
        <v/>
      </c>
      <c r="C496" s="27">
        <f>IF(SUM(C67,C210)=0,"",SUM(C210)/SUM(C67,C210))</f>
        <v/>
      </c>
      <c r="D496" s="27">
        <f>IF(SUM(D67,D210)=0,"",SUM(D210)/SUM(D67,D210))</f>
        <v/>
      </c>
      <c r="E496" s="27">
        <f>IF(SUM(E67,E210)=0,"",SUM(E210)/SUM(E67,E210))</f>
        <v/>
      </c>
      <c r="F496" s="27">
        <f>IF(SUM(F67,F210)=0,"",SUM(F210)/SUM(F67,F210))</f>
        <v/>
      </c>
      <c r="G496" s="27">
        <f>IF(SUM(G67,G210)=0,"",SUM(G210)/SUM(G67,G210))</f>
        <v/>
      </c>
      <c r="H496" s="27">
        <f>IF(SUM(H67,H210)=0,"",SUM(H210)/SUM(H67,H210))</f>
        <v/>
      </c>
    </row>
    <row r="497" hidden="1" outlineLevel="1">
      <c r="A497" t="inlineStr">
        <is>
          <t>Week5-Sep-2026</t>
        </is>
      </c>
      <c r="B497" s="27">
        <f>IF(SUM(B68,B211)=0,"",SUM(B211)/SUM(B68,B211))</f>
        <v/>
      </c>
      <c r="C497" s="27">
        <f>IF(SUM(C68,C211)=0,"",SUM(C211)/SUM(C68,C211))</f>
        <v/>
      </c>
      <c r="D497" s="27">
        <f>IF(SUM(D68,D211)=0,"",SUM(D211)/SUM(D68,D211))</f>
        <v/>
      </c>
      <c r="E497" s="27">
        <f>IF(SUM(E68,E211)=0,"",SUM(E211)/SUM(E68,E211))</f>
        <v/>
      </c>
      <c r="F497" s="27">
        <f>IF(SUM(F68,F211)=0,"",SUM(F211)/SUM(F68,F211))</f>
        <v/>
      </c>
      <c r="G497" s="27">
        <f>IF(SUM(G68,G211)=0,"",SUM(G211)/SUM(G68,G211))</f>
        <v/>
      </c>
      <c r="H497" s="27">
        <f>IF(SUM(H68,H211)=0,"",SUM(H211)/SUM(H68,H211))</f>
        <v/>
      </c>
    </row>
    <row r="498" hidden="1" outlineLevel="1">
      <c r="A498" t="inlineStr">
        <is>
          <t>Week1-Oct-2026</t>
        </is>
      </c>
      <c r="B498" s="27">
        <f>IF(SUM(B69,B212)=0,"",SUM(B212)/SUM(B69,B212))</f>
        <v/>
      </c>
      <c r="C498" s="27">
        <f>IF(SUM(C69,C212)=0,"",SUM(C212)/SUM(C69,C212))</f>
        <v/>
      </c>
      <c r="D498" s="27">
        <f>IF(SUM(D69,D212)=0,"",SUM(D212)/SUM(D69,D212))</f>
        <v/>
      </c>
      <c r="E498" s="27">
        <f>IF(SUM(E69,E212)=0,"",SUM(E212)/SUM(E69,E212))</f>
        <v/>
      </c>
      <c r="F498" s="27">
        <f>IF(SUM(F69,F212)=0,"",SUM(F212)/SUM(F69,F212))</f>
        <v/>
      </c>
      <c r="G498" s="27">
        <f>IF(SUM(G69,G212)=0,"",SUM(G212)/SUM(G69,G212))</f>
        <v/>
      </c>
      <c r="H498" s="27">
        <f>IF(SUM(H69,H212)=0,"",SUM(H212)/SUM(H69,H212))</f>
        <v/>
      </c>
    </row>
    <row r="499" hidden="1" outlineLevel="1">
      <c r="A499" t="inlineStr">
        <is>
          <t>Week2-Oct-2026</t>
        </is>
      </c>
      <c r="B499" s="27">
        <f>IF(SUM(B70,B213)=0,"",SUM(B213)/SUM(B70,B213))</f>
        <v/>
      </c>
      <c r="C499" s="27">
        <f>IF(SUM(C70,C213)=0,"",SUM(C213)/SUM(C70,C213))</f>
        <v/>
      </c>
      <c r="D499" s="27">
        <f>IF(SUM(D70,D213)=0,"",SUM(D213)/SUM(D70,D213))</f>
        <v/>
      </c>
      <c r="E499" s="27">
        <f>IF(SUM(E70,E213)=0,"",SUM(E213)/SUM(E70,E213))</f>
        <v/>
      </c>
      <c r="F499" s="27">
        <f>IF(SUM(F70,F213)=0,"",SUM(F213)/SUM(F70,F213))</f>
        <v/>
      </c>
      <c r="G499" s="27">
        <f>IF(SUM(G70,G213)=0,"",SUM(G213)/SUM(G70,G213))</f>
        <v/>
      </c>
      <c r="H499" s="27">
        <f>IF(SUM(H70,H213)=0,"",SUM(H213)/SUM(H70,H213))</f>
        <v/>
      </c>
    </row>
    <row r="500" hidden="1" outlineLevel="1">
      <c r="A500" t="inlineStr">
        <is>
          <t>Week3-Oct-2026</t>
        </is>
      </c>
      <c r="B500" s="27">
        <f>IF(SUM(B71,B214)=0,"",SUM(B214)/SUM(B71,B214))</f>
        <v/>
      </c>
      <c r="C500" s="27">
        <f>IF(SUM(C71,C214)=0,"",SUM(C214)/SUM(C71,C214))</f>
        <v/>
      </c>
      <c r="D500" s="27">
        <f>IF(SUM(D71,D214)=0,"",SUM(D214)/SUM(D71,D214))</f>
        <v/>
      </c>
      <c r="E500" s="27">
        <f>IF(SUM(E71,E214)=0,"",SUM(E214)/SUM(E71,E214))</f>
        <v/>
      </c>
      <c r="F500" s="27">
        <f>IF(SUM(F71,F214)=0,"",SUM(F214)/SUM(F71,F214))</f>
        <v/>
      </c>
      <c r="G500" s="27">
        <f>IF(SUM(G71,G214)=0,"",SUM(G214)/SUM(G71,G214))</f>
        <v/>
      </c>
      <c r="H500" s="27">
        <f>IF(SUM(H71,H214)=0,"",SUM(H214)/SUM(H71,H214))</f>
        <v/>
      </c>
    </row>
    <row r="501" hidden="1" outlineLevel="1">
      <c r="A501" t="inlineStr">
        <is>
          <t>Week4-Oct-2026</t>
        </is>
      </c>
      <c r="B501" s="27">
        <f>IF(SUM(B72,B215)=0,"",SUM(B215)/SUM(B72,B215))</f>
        <v/>
      </c>
      <c r="C501" s="27">
        <f>IF(SUM(C72,C215)=0,"",SUM(C215)/SUM(C72,C215))</f>
        <v/>
      </c>
      <c r="D501" s="27">
        <f>IF(SUM(D72,D215)=0,"",SUM(D215)/SUM(D72,D215))</f>
        <v/>
      </c>
      <c r="E501" s="27">
        <f>IF(SUM(E72,E215)=0,"",SUM(E215)/SUM(E72,E215))</f>
        <v/>
      </c>
      <c r="F501" s="27">
        <f>IF(SUM(F72,F215)=0,"",SUM(F215)/SUM(F72,F215))</f>
        <v/>
      </c>
      <c r="G501" s="27">
        <f>IF(SUM(G72,G215)=0,"",SUM(G215)/SUM(G72,G215))</f>
        <v/>
      </c>
      <c r="H501" s="27">
        <f>IF(SUM(H72,H215)=0,"",SUM(H215)/SUM(H72,H215))</f>
        <v/>
      </c>
    </row>
    <row r="502" hidden="1" outlineLevel="1">
      <c r="A502" t="inlineStr">
        <is>
          <t>Week5-Oct-2026</t>
        </is>
      </c>
      <c r="B502" s="27">
        <f>IF(SUM(B73,B216)=0,"",SUM(B216)/SUM(B73,B216))</f>
        <v/>
      </c>
      <c r="C502" s="27">
        <f>IF(SUM(C73,C216)=0,"",SUM(C216)/SUM(C73,C216))</f>
        <v/>
      </c>
      <c r="D502" s="27">
        <f>IF(SUM(D73,D216)=0,"",SUM(D216)/SUM(D73,D216))</f>
        <v/>
      </c>
      <c r="E502" s="27">
        <f>IF(SUM(E73,E216)=0,"",SUM(E216)/SUM(E73,E216))</f>
        <v/>
      </c>
      <c r="F502" s="27">
        <f>IF(SUM(F73,F216)=0,"",SUM(F216)/SUM(F73,F216))</f>
        <v/>
      </c>
      <c r="G502" s="27">
        <f>IF(SUM(G73,G216)=0,"",SUM(G216)/SUM(G73,G216))</f>
        <v/>
      </c>
      <c r="H502" s="27">
        <f>IF(SUM(H73,H216)=0,"",SUM(H216)/SUM(H73,H216))</f>
        <v/>
      </c>
    </row>
    <row r="503" hidden="1" outlineLevel="1">
      <c r="A503" t="inlineStr">
        <is>
          <t>Week1-Nov-2026</t>
        </is>
      </c>
      <c r="B503" s="27">
        <f>IF(SUM(B74,B217)=0,"",SUM(B217)/SUM(B74,B217))</f>
        <v/>
      </c>
      <c r="C503" s="27">
        <f>IF(SUM(C74,C217)=0,"",SUM(C217)/SUM(C74,C217))</f>
        <v/>
      </c>
      <c r="D503" s="27">
        <f>IF(SUM(D74,D217)=0,"",SUM(D217)/SUM(D74,D217))</f>
        <v/>
      </c>
      <c r="E503" s="27">
        <f>IF(SUM(E74,E217)=0,"",SUM(E217)/SUM(E74,E217))</f>
        <v/>
      </c>
      <c r="F503" s="27">
        <f>IF(SUM(F74,F217)=0,"",SUM(F217)/SUM(F74,F217))</f>
        <v/>
      </c>
      <c r="G503" s="27">
        <f>IF(SUM(G74,G217)=0,"",SUM(G217)/SUM(G74,G217))</f>
        <v/>
      </c>
      <c r="H503" s="27">
        <f>IF(SUM(H74,H217)=0,"",SUM(H217)/SUM(H74,H217))</f>
        <v/>
      </c>
    </row>
    <row r="504" hidden="1" outlineLevel="1">
      <c r="A504" t="inlineStr">
        <is>
          <t>Week2-Nov-2026</t>
        </is>
      </c>
      <c r="B504" s="27">
        <f>IF(SUM(B75,B218)=0,"",SUM(B218)/SUM(B75,B218))</f>
        <v/>
      </c>
      <c r="C504" s="27">
        <f>IF(SUM(C75,C218)=0,"",SUM(C218)/SUM(C75,C218))</f>
        <v/>
      </c>
      <c r="D504" s="27">
        <f>IF(SUM(D75,D218)=0,"",SUM(D218)/SUM(D75,D218))</f>
        <v/>
      </c>
      <c r="E504" s="27">
        <f>IF(SUM(E75,E218)=0,"",SUM(E218)/SUM(E75,E218))</f>
        <v/>
      </c>
      <c r="F504" s="27">
        <f>IF(SUM(F75,F218)=0,"",SUM(F218)/SUM(F75,F218))</f>
        <v/>
      </c>
      <c r="G504" s="27">
        <f>IF(SUM(G75,G218)=0,"",SUM(G218)/SUM(G75,G218))</f>
        <v/>
      </c>
      <c r="H504" s="27">
        <f>IF(SUM(H75,H218)=0,"",SUM(H218)/SUM(H75,H218))</f>
        <v/>
      </c>
    </row>
    <row r="505" hidden="1" outlineLevel="1">
      <c r="A505" t="inlineStr">
        <is>
          <t>Week3-Nov-2026</t>
        </is>
      </c>
      <c r="B505" s="27">
        <f>IF(SUM(B76,B219)=0,"",SUM(B219)/SUM(B76,B219))</f>
        <v/>
      </c>
      <c r="C505" s="27">
        <f>IF(SUM(C76,C219)=0,"",SUM(C219)/SUM(C76,C219))</f>
        <v/>
      </c>
      <c r="D505" s="27">
        <f>IF(SUM(D76,D219)=0,"",SUM(D219)/SUM(D76,D219))</f>
        <v/>
      </c>
      <c r="E505" s="27">
        <f>IF(SUM(E76,E219)=0,"",SUM(E219)/SUM(E76,E219))</f>
        <v/>
      </c>
      <c r="F505" s="27">
        <f>IF(SUM(F76,F219)=0,"",SUM(F219)/SUM(F76,F219))</f>
        <v/>
      </c>
      <c r="G505" s="27">
        <f>IF(SUM(G76,G219)=0,"",SUM(G219)/SUM(G76,G219))</f>
        <v/>
      </c>
      <c r="H505" s="27">
        <f>IF(SUM(H76,H219)=0,"",SUM(H219)/SUM(H76,H219))</f>
        <v/>
      </c>
    </row>
    <row r="506" hidden="1" outlineLevel="1">
      <c r="A506" t="inlineStr">
        <is>
          <t>Week4-Nov-2026</t>
        </is>
      </c>
      <c r="B506" s="27">
        <f>IF(SUM(B77,B220)=0,"",SUM(B220)/SUM(B77,B220))</f>
        <v/>
      </c>
      <c r="C506" s="27">
        <f>IF(SUM(C77,C220)=0,"",SUM(C220)/SUM(C77,C220))</f>
        <v/>
      </c>
      <c r="D506" s="27">
        <f>IF(SUM(D77,D220)=0,"",SUM(D220)/SUM(D77,D220))</f>
        <v/>
      </c>
      <c r="E506" s="27">
        <f>IF(SUM(E77,E220)=0,"",SUM(E220)/SUM(E77,E220))</f>
        <v/>
      </c>
      <c r="F506" s="27">
        <f>IF(SUM(F77,F220)=0,"",SUM(F220)/SUM(F77,F220))</f>
        <v/>
      </c>
      <c r="G506" s="27">
        <f>IF(SUM(G77,G220)=0,"",SUM(G220)/SUM(G77,G220))</f>
        <v/>
      </c>
      <c r="H506" s="27">
        <f>IF(SUM(H77,H220)=0,"",SUM(H220)/SUM(H77,H220))</f>
        <v/>
      </c>
    </row>
    <row r="507" hidden="1" outlineLevel="1">
      <c r="A507" t="inlineStr">
        <is>
          <t>Week5-Nov-2026</t>
        </is>
      </c>
      <c r="B507" s="27">
        <f>IF(SUM(B78,B221)=0,"",SUM(B221)/SUM(B78,B221))</f>
        <v/>
      </c>
      <c r="C507" s="27">
        <f>IF(SUM(C78,C221)=0,"",SUM(C221)/SUM(C78,C221))</f>
        <v/>
      </c>
      <c r="D507" s="27">
        <f>IF(SUM(D78,D221)=0,"",SUM(D221)/SUM(D78,D221))</f>
        <v/>
      </c>
      <c r="E507" s="27">
        <f>IF(SUM(E78,E221)=0,"",SUM(E221)/SUM(E78,E221))</f>
        <v/>
      </c>
      <c r="F507" s="27">
        <f>IF(SUM(F78,F221)=0,"",SUM(F221)/SUM(F78,F221))</f>
        <v/>
      </c>
      <c r="G507" s="27">
        <f>IF(SUM(G78,G221)=0,"",SUM(G221)/SUM(G78,G221))</f>
        <v/>
      </c>
      <c r="H507" s="27">
        <f>IF(SUM(H78,H221)=0,"",SUM(H221)/SUM(H78,H221))</f>
        <v/>
      </c>
    </row>
    <row r="508" hidden="1" outlineLevel="1">
      <c r="A508" t="inlineStr">
        <is>
          <t>Week1-Dec-2026</t>
        </is>
      </c>
      <c r="B508" s="27">
        <f>IF(SUM(B79,B222)=0,"",SUM(B222)/SUM(B79,B222))</f>
        <v/>
      </c>
      <c r="C508" s="27">
        <f>IF(SUM(C79,C222)=0,"",SUM(C222)/SUM(C79,C222))</f>
        <v/>
      </c>
      <c r="D508" s="27">
        <f>IF(SUM(D79,D222)=0,"",SUM(D222)/SUM(D79,D222))</f>
        <v/>
      </c>
      <c r="E508" s="27">
        <f>IF(SUM(E79,E222)=0,"",SUM(E222)/SUM(E79,E222))</f>
        <v/>
      </c>
      <c r="F508" s="27">
        <f>IF(SUM(F79,F222)=0,"",SUM(F222)/SUM(F79,F222))</f>
        <v/>
      </c>
      <c r="G508" s="27">
        <f>IF(SUM(G79,G222)=0,"",SUM(G222)/SUM(G79,G222))</f>
        <v/>
      </c>
      <c r="H508" s="27">
        <f>IF(SUM(H79,H222)=0,"",SUM(H222)/SUM(H79,H222))</f>
        <v/>
      </c>
    </row>
    <row r="509" hidden="1" outlineLevel="1">
      <c r="A509" t="inlineStr">
        <is>
          <t>Week2-Dec-2026</t>
        </is>
      </c>
      <c r="B509" s="27">
        <f>IF(SUM(B80,B223)=0,"",SUM(B223)/SUM(B80,B223))</f>
        <v/>
      </c>
      <c r="C509" s="27">
        <f>IF(SUM(C80,C223)=0,"",SUM(C223)/SUM(C80,C223))</f>
        <v/>
      </c>
      <c r="D509" s="27">
        <f>IF(SUM(D80,D223)=0,"",SUM(D223)/SUM(D80,D223))</f>
        <v/>
      </c>
      <c r="E509" s="27">
        <f>IF(SUM(E80,E223)=0,"",SUM(E223)/SUM(E80,E223))</f>
        <v/>
      </c>
      <c r="F509" s="27">
        <f>IF(SUM(F80,F223)=0,"",SUM(F223)/SUM(F80,F223))</f>
        <v/>
      </c>
      <c r="G509" s="27">
        <f>IF(SUM(G80,G223)=0,"",SUM(G223)/SUM(G80,G223))</f>
        <v/>
      </c>
      <c r="H509" s="27">
        <f>IF(SUM(H80,H223)=0,"",SUM(H223)/SUM(H80,H223))</f>
        <v/>
      </c>
    </row>
    <row r="510" hidden="1" outlineLevel="1">
      <c r="A510" t="inlineStr">
        <is>
          <t>Week3-Dec-2026</t>
        </is>
      </c>
      <c r="B510" s="27">
        <f>IF(SUM(B81,B224)=0,"",SUM(B224)/SUM(B81,B224))</f>
        <v/>
      </c>
      <c r="C510" s="27">
        <f>IF(SUM(C81,C224)=0,"",SUM(C224)/SUM(C81,C224))</f>
        <v/>
      </c>
      <c r="D510" s="27">
        <f>IF(SUM(D81,D224)=0,"",SUM(D224)/SUM(D81,D224))</f>
        <v/>
      </c>
      <c r="E510" s="27">
        <f>IF(SUM(E81,E224)=0,"",SUM(E224)/SUM(E81,E224))</f>
        <v/>
      </c>
      <c r="F510" s="27">
        <f>IF(SUM(F81,F224)=0,"",SUM(F224)/SUM(F81,F224))</f>
        <v/>
      </c>
      <c r="G510" s="27">
        <f>IF(SUM(G81,G224)=0,"",SUM(G224)/SUM(G81,G224))</f>
        <v/>
      </c>
      <c r="H510" s="27">
        <f>IF(SUM(H81,H224)=0,"",SUM(H224)/SUM(H81,H224))</f>
        <v/>
      </c>
    </row>
    <row r="511" hidden="1" outlineLevel="1">
      <c r="A511" t="inlineStr">
        <is>
          <t>Week4-Dec-2026</t>
        </is>
      </c>
      <c r="B511" s="27">
        <f>IF(SUM(B82,B225)=0,"",SUM(B225)/SUM(B82,B225))</f>
        <v/>
      </c>
      <c r="C511" s="27">
        <f>IF(SUM(C82,C225)=0,"",SUM(C225)/SUM(C82,C225))</f>
        <v/>
      </c>
      <c r="D511" s="27">
        <f>IF(SUM(D82,D225)=0,"",SUM(D225)/SUM(D82,D225))</f>
        <v/>
      </c>
      <c r="E511" s="27">
        <f>IF(SUM(E82,E225)=0,"",SUM(E225)/SUM(E82,E225))</f>
        <v/>
      </c>
      <c r="F511" s="27">
        <f>IF(SUM(F82,F225)=0,"",SUM(F225)/SUM(F82,F225))</f>
        <v/>
      </c>
      <c r="G511" s="27">
        <f>IF(SUM(G82,G225)=0,"",SUM(G225)/SUM(G82,G225))</f>
        <v/>
      </c>
      <c r="H511" s="27">
        <f>IF(SUM(H82,H225)=0,"",SUM(H225)/SUM(H82,H225))</f>
        <v/>
      </c>
    </row>
    <row r="512" hidden="1" outlineLevel="1">
      <c r="A512" t="inlineStr">
        <is>
          <t>Week5-Dec-2026</t>
        </is>
      </c>
      <c r="B512" s="27">
        <f>IF(SUM(B83,B226)=0,"",SUM(B226)/SUM(B83,B226))</f>
        <v/>
      </c>
      <c r="C512" s="27">
        <f>IF(SUM(C83,C226)=0,"",SUM(C226)/SUM(C83,C226))</f>
        <v/>
      </c>
      <c r="D512" s="27">
        <f>IF(SUM(D83,D226)=0,"",SUM(D226)/SUM(D83,D226))</f>
        <v/>
      </c>
      <c r="E512" s="27">
        <f>IF(SUM(E83,E226)=0,"",SUM(E226)/SUM(E83,E226))</f>
        <v/>
      </c>
      <c r="F512" s="27">
        <f>IF(SUM(F83,F226)=0,"",SUM(F226)/SUM(F83,F226))</f>
        <v/>
      </c>
      <c r="G512" s="27">
        <f>IF(SUM(G83,G226)=0,"",SUM(G226)/SUM(G83,G226))</f>
        <v/>
      </c>
      <c r="H512" s="27">
        <f>IF(SUM(H83,H226)=0,"",SUM(H226)/SUM(H83,H226))</f>
        <v/>
      </c>
    </row>
    <row r="513" hidden="1" outlineLevel="1">
      <c r="A513" t="inlineStr">
        <is>
          <t>Week1-Jan-2027</t>
        </is>
      </c>
      <c r="B513" s="27">
        <f>IF(SUM(B84,B227)=0,"",SUM(B227)/SUM(B84,B227))</f>
        <v/>
      </c>
      <c r="C513" s="27">
        <f>IF(SUM(C84,C227)=0,"",SUM(C227)/SUM(C84,C227))</f>
        <v/>
      </c>
      <c r="D513" s="27">
        <f>IF(SUM(D84,D227)=0,"",SUM(D227)/SUM(D84,D227))</f>
        <v/>
      </c>
      <c r="E513" s="27">
        <f>IF(SUM(E84,E227)=0,"",SUM(E227)/SUM(E84,E227))</f>
        <v/>
      </c>
      <c r="F513" s="27">
        <f>IF(SUM(F84,F227)=0,"",SUM(F227)/SUM(F84,F227))</f>
        <v/>
      </c>
      <c r="G513" s="27">
        <f>IF(SUM(G84,G227)=0,"",SUM(G227)/SUM(G84,G227))</f>
        <v/>
      </c>
      <c r="H513" s="27">
        <f>IF(SUM(H84,H227)=0,"",SUM(H227)/SUM(H84,H227))</f>
        <v/>
      </c>
    </row>
    <row r="514" hidden="1" outlineLevel="1">
      <c r="A514" t="inlineStr">
        <is>
          <t>Week2-Jan-2027</t>
        </is>
      </c>
      <c r="B514" s="27">
        <f>IF(SUM(B85,B228)=0,"",SUM(B228)/SUM(B85,B228))</f>
        <v/>
      </c>
      <c r="C514" s="27">
        <f>IF(SUM(C85,C228)=0,"",SUM(C228)/SUM(C85,C228))</f>
        <v/>
      </c>
      <c r="D514" s="27">
        <f>IF(SUM(D85,D228)=0,"",SUM(D228)/SUM(D85,D228))</f>
        <v/>
      </c>
      <c r="E514" s="27">
        <f>IF(SUM(E85,E228)=0,"",SUM(E228)/SUM(E85,E228))</f>
        <v/>
      </c>
      <c r="F514" s="27">
        <f>IF(SUM(F85,F228)=0,"",SUM(F228)/SUM(F85,F228))</f>
        <v/>
      </c>
      <c r="G514" s="27">
        <f>IF(SUM(G85,G228)=0,"",SUM(G228)/SUM(G85,G228))</f>
        <v/>
      </c>
      <c r="H514" s="27">
        <f>IF(SUM(H85,H228)=0,"",SUM(H228)/SUM(H85,H228))</f>
        <v/>
      </c>
    </row>
    <row r="515" hidden="1" outlineLevel="1">
      <c r="A515" t="inlineStr">
        <is>
          <t>Week3-Jan-2027</t>
        </is>
      </c>
      <c r="B515" s="27">
        <f>IF(SUM(B86,B229)=0,"",SUM(B229)/SUM(B86,B229))</f>
        <v/>
      </c>
      <c r="C515" s="27">
        <f>IF(SUM(C86,C229)=0,"",SUM(C229)/SUM(C86,C229))</f>
        <v/>
      </c>
      <c r="D515" s="27">
        <f>IF(SUM(D86,D229)=0,"",SUM(D229)/SUM(D86,D229))</f>
        <v/>
      </c>
      <c r="E515" s="27">
        <f>IF(SUM(E86,E229)=0,"",SUM(E229)/SUM(E86,E229))</f>
        <v/>
      </c>
      <c r="F515" s="27">
        <f>IF(SUM(F86,F229)=0,"",SUM(F229)/SUM(F86,F229))</f>
        <v/>
      </c>
      <c r="G515" s="27">
        <f>IF(SUM(G86,G229)=0,"",SUM(G229)/SUM(G86,G229))</f>
        <v/>
      </c>
      <c r="H515" s="27">
        <f>IF(SUM(H86,H229)=0,"",SUM(H229)/SUM(H86,H229))</f>
        <v/>
      </c>
    </row>
    <row r="516" hidden="1" outlineLevel="1">
      <c r="A516" t="inlineStr">
        <is>
          <t>Week4-Jan-2027</t>
        </is>
      </c>
      <c r="B516" s="27">
        <f>IF(SUM(B87,B230)=0,"",SUM(B230)/SUM(B87,B230))</f>
        <v/>
      </c>
      <c r="C516" s="27">
        <f>IF(SUM(C87,C230)=0,"",SUM(C230)/SUM(C87,C230))</f>
        <v/>
      </c>
      <c r="D516" s="27">
        <f>IF(SUM(D87,D230)=0,"",SUM(D230)/SUM(D87,D230))</f>
        <v/>
      </c>
      <c r="E516" s="27">
        <f>IF(SUM(E87,E230)=0,"",SUM(E230)/SUM(E87,E230))</f>
        <v/>
      </c>
      <c r="F516" s="27">
        <f>IF(SUM(F87,F230)=0,"",SUM(F230)/SUM(F87,F230))</f>
        <v/>
      </c>
      <c r="G516" s="27">
        <f>IF(SUM(G87,G230)=0,"",SUM(G230)/SUM(G87,G230))</f>
        <v/>
      </c>
      <c r="H516" s="27">
        <f>IF(SUM(H87,H230)=0,"",SUM(H230)/SUM(H87,H230))</f>
        <v/>
      </c>
    </row>
    <row r="517" hidden="1" outlineLevel="1">
      <c r="A517" t="inlineStr">
        <is>
          <t>Week5-Jan-2027</t>
        </is>
      </c>
      <c r="B517" s="27">
        <f>IF(SUM(B88,B231)=0,"",SUM(B231)/SUM(B88,B231))</f>
        <v/>
      </c>
      <c r="C517" s="27">
        <f>IF(SUM(C88,C231)=0,"",SUM(C231)/SUM(C88,C231))</f>
        <v/>
      </c>
      <c r="D517" s="27">
        <f>IF(SUM(D88,D231)=0,"",SUM(D231)/SUM(D88,D231))</f>
        <v/>
      </c>
      <c r="E517" s="27">
        <f>IF(SUM(E88,E231)=0,"",SUM(E231)/SUM(E88,E231))</f>
        <v/>
      </c>
      <c r="F517" s="27">
        <f>IF(SUM(F88,F231)=0,"",SUM(F231)/SUM(F88,F231))</f>
        <v/>
      </c>
      <c r="G517" s="27">
        <f>IF(SUM(G88,G231)=0,"",SUM(G231)/SUM(G88,G231))</f>
        <v/>
      </c>
      <c r="H517" s="27">
        <f>IF(SUM(H88,H231)=0,"",SUM(H231)/SUM(H88,H231))</f>
        <v/>
      </c>
    </row>
    <row r="518" hidden="1" outlineLevel="1">
      <c r="A518" t="inlineStr">
        <is>
          <t>Week1-Feb-2027</t>
        </is>
      </c>
      <c r="B518" s="27">
        <f>IF(SUM(B89,B232)=0,"",SUM(B232)/SUM(B89,B232))</f>
        <v/>
      </c>
      <c r="C518" s="27">
        <f>IF(SUM(C89,C232)=0,"",SUM(C232)/SUM(C89,C232))</f>
        <v/>
      </c>
      <c r="D518" s="27">
        <f>IF(SUM(D89,D232)=0,"",SUM(D232)/SUM(D89,D232))</f>
        <v/>
      </c>
      <c r="E518" s="27">
        <f>IF(SUM(E89,E232)=0,"",SUM(E232)/SUM(E89,E232))</f>
        <v/>
      </c>
      <c r="F518" s="27">
        <f>IF(SUM(F89,F232)=0,"",SUM(F232)/SUM(F89,F232))</f>
        <v/>
      </c>
      <c r="G518" s="27">
        <f>IF(SUM(G89,G232)=0,"",SUM(G232)/SUM(G89,G232))</f>
        <v/>
      </c>
      <c r="H518" s="27">
        <f>IF(SUM(H89,H232)=0,"",SUM(H232)/SUM(H89,H232))</f>
        <v/>
      </c>
    </row>
    <row r="519" hidden="1" outlineLevel="1">
      <c r="A519" t="inlineStr">
        <is>
          <t>Week2-Feb-2027</t>
        </is>
      </c>
      <c r="B519" s="27">
        <f>IF(SUM(B90,B233)=0,"",SUM(B233)/SUM(B90,B233))</f>
        <v/>
      </c>
      <c r="C519" s="27">
        <f>IF(SUM(C90,C233)=0,"",SUM(C233)/SUM(C90,C233))</f>
        <v/>
      </c>
      <c r="D519" s="27">
        <f>IF(SUM(D90,D233)=0,"",SUM(D233)/SUM(D90,D233))</f>
        <v/>
      </c>
      <c r="E519" s="27">
        <f>IF(SUM(E90,E233)=0,"",SUM(E233)/SUM(E90,E233))</f>
        <v/>
      </c>
      <c r="F519" s="27">
        <f>IF(SUM(F90,F233)=0,"",SUM(F233)/SUM(F90,F233))</f>
        <v/>
      </c>
      <c r="G519" s="27">
        <f>IF(SUM(G90,G233)=0,"",SUM(G233)/SUM(G90,G233))</f>
        <v/>
      </c>
      <c r="H519" s="27">
        <f>IF(SUM(H90,H233)=0,"",SUM(H233)/SUM(H90,H233))</f>
        <v/>
      </c>
    </row>
    <row r="520" hidden="1" outlineLevel="1">
      <c r="A520" t="inlineStr">
        <is>
          <t>Week3-Feb-2027</t>
        </is>
      </c>
      <c r="B520" s="27">
        <f>IF(SUM(B91,B234)=0,"",SUM(B234)/SUM(B91,B234))</f>
        <v/>
      </c>
      <c r="C520" s="27">
        <f>IF(SUM(C91,C234)=0,"",SUM(C234)/SUM(C91,C234))</f>
        <v/>
      </c>
      <c r="D520" s="27">
        <f>IF(SUM(D91,D234)=0,"",SUM(D234)/SUM(D91,D234))</f>
        <v/>
      </c>
      <c r="E520" s="27">
        <f>IF(SUM(E91,E234)=0,"",SUM(E234)/SUM(E91,E234))</f>
        <v/>
      </c>
      <c r="F520" s="27">
        <f>IF(SUM(F91,F234)=0,"",SUM(F234)/SUM(F91,F234))</f>
        <v/>
      </c>
      <c r="G520" s="27">
        <f>IF(SUM(G91,G234)=0,"",SUM(G234)/SUM(G91,G234))</f>
        <v/>
      </c>
      <c r="H520" s="27">
        <f>IF(SUM(H91,H234)=0,"",SUM(H234)/SUM(H91,H234))</f>
        <v/>
      </c>
    </row>
    <row r="521" hidden="1" outlineLevel="1">
      <c r="A521" t="inlineStr">
        <is>
          <t>Week4-Feb-2027</t>
        </is>
      </c>
      <c r="B521" s="27">
        <f>IF(SUM(B92,B235)=0,"",SUM(B235)/SUM(B92,B235))</f>
        <v/>
      </c>
      <c r="C521" s="27">
        <f>IF(SUM(C92,C235)=0,"",SUM(C235)/SUM(C92,C235))</f>
        <v/>
      </c>
      <c r="D521" s="27">
        <f>IF(SUM(D92,D235)=0,"",SUM(D235)/SUM(D92,D235))</f>
        <v/>
      </c>
      <c r="E521" s="27">
        <f>IF(SUM(E92,E235)=0,"",SUM(E235)/SUM(E92,E235))</f>
        <v/>
      </c>
      <c r="F521" s="27">
        <f>IF(SUM(F92,F235)=0,"",SUM(F235)/SUM(F92,F235))</f>
        <v/>
      </c>
      <c r="G521" s="27">
        <f>IF(SUM(G92,G235)=0,"",SUM(G235)/SUM(G92,G235))</f>
        <v/>
      </c>
      <c r="H521" s="27">
        <f>IF(SUM(H92,H235)=0,"",SUM(H235)/SUM(H92,H235))</f>
        <v/>
      </c>
    </row>
    <row r="522" hidden="1" outlineLevel="1">
      <c r="A522" t="inlineStr">
        <is>
          <t>Week1-Mar-2027</t>
        </is>
      </c>
      <c r="B522" s="27">
        <f>IF(SUM(B93,B236)=0,"",SUM(B236)/SUM(B93,B236))</f>
        <v/>
      </c>
      <c r="C522" s="27">
        <f>IF(SUM(C93,C236)=0,"",SUM(C236)/SUM(C93,C236))</f>
        <v/>
      </c>
      <c r="D522" s="27">
        <f>IF(SUM(D93,D236)=0,"",SUM(D236)/SUM(D93,D236))</f>
        <v/>
      </c>
      <c r="E522" s="27">
        <f>IF(SUM(E93,E236)=0,"",SUM(E236)/SUM(E93,E236))</f>
        <v/>
      </c>
      <c r="F522" s="27">
        <f>IF(SUM(F93,F236)=0,"",SUM(F236)/SUM(F93,F236))</f>
        <v/>
      </c>
      <c r="G522" s="27">
        <f>IF(SUM(G93,G236)=0,"",SUM(G236)/SUM(G93,G236))</f>
        <v/>
      </c>
      <c r="H522" s="27">
        <f>IF(SUM(H93,H236)=0,"",SUM(H236)/SUM(H93,H236))</f>
        <v/>
      </c>
    </row>
    <row r="523" hidden="1" outlineLevel="1">
      <c r="A523" t="inlineStr">
        <is>
          <t>Week2-Mar-2027</t>
        </is>
      </c>
      <c r="B523" s="27">
        <f>IF(SUM(B94,B237)=0,"",SUM(B237)/SUM(B94,B237))</f>
        <v/>
      </c>
      <c r="C523" s="27">
        <f>IF(SUM(C94,C237)=0,"",SUM(C237)/SUM(C94,C237))</f>
        <v/>
      </c>
      <c r="D523" s="27">
        <f>IF(SUM(D94,D237)=0,"",SUM(D237)/SUM(D94,D237))</f>
        <v/>
      </c>
      <c r="E523" s="27">
        <f>IF(SUM(E94,E237)=0,"",SUM(E237)/SUM(E94,E237))</f>
        <v/>
      </c>
      <c r="F523" s="27">
        <f>IF(SUM(F94,F237)=0,"",SUM(F237)/SUM(F94,F237))</f>
        <v/>
      </c>
      <c r="G523" s="27">
        <f>IF(SUM(G94,G237)=0,"",SUM(G237)/SUM(G94,G237))</f>
        <v/>
      </c>
      <c r="H523" s="27">
        <f>IF(SUM(H94,H237)=0,"",SUM(H237)/SUM(H94,H237))</f>
        <v/>
      </c>
    </row>
    <row r="524" hidden="1" outlineLevel="1">
      <c r="A524" t="inlineStr">
        <is>
          <t>Week3-Mar-2027</t>
        </is>
      </c>
      <c r="B524" s="27">
        <f>IF(SUM(B95,B238)=0,"",SUM(B238)/SUM(B95,B238))</f>
        <v/>
      </c>
      <c r="C524" s="27">
        <f>IF(SUM(C95,C238)=0,"",SUM(C238)/SUM(C95,C238))</f>
        <v/>
      </c>
      <c r="D524" s="27">
        <f>IF(SUM(D95,D238)=0,"",SUM(D238)/SUM(D95,D238))</f>
        <v/>
      </c>
      <c r="E524" s="27">
        <f>IF(SUM(E95,E238)=0,"",SUM(E238)/SUM(E95,E238))</f>
        <v/>
      </c>
      <c r="F524" s="27">
        <f>IF(SUM(F95,F238)=0,"",SUM(F238)/SUM(F95,F238))</f>
        <v/>
      </c>
      <c r="G524" s="27">
        <f>IF(SUM(G95,G238)=0,"",SUM(G238)/SUM(G95,G238))</f>
        <v/>
      </c>
      <c r="H524" s="27">
        <f>IF(SUM(H95,H238)=0,"",SUM(H238)/SUM(H95,H238))</f>
        <v/>
      </c>
    </row>
    <row r="525" hidden="1" outlineLevel="1">
      <c r="A525" t="inlineStr">
        <is>
          <t>Week4-Mar-2027</t>
        </is>
      </c>
      <c r="B525" s="27">
        <f>IF(SUM(B96,B239)=0,"",SUM(B239)/SUM(B96,B239))</f>
        <v/>
      </c>
      <c r="C525" s="27">
        <f>IF(SUM(C96,C239)=0,"",SUM(C239)/SUM(C96,C239))</f>
        <v/>
      </c>
      <c r="D525" s="27">
        <f>IF(SUM(D96,D239)=0,"",SUM(D239)/SUM(D96,D239))</f>
        <v/>
      </c>
      <c r="E525" s="27">
        <f>IF(SUM(E96,E239)=0,"",SUM(E239)/SUM(E96,E239))</f>
        <v/>
      </c>
      <c r="F525" s="27">
        <f>IF(SUM(F96,F239)=0,"",SUM(F239)/SUM(F96,F239))</f>
        <v/>
      </c>
      <c r="G525" s="27">
        <f>IF(SUM(G96,G239)=0,"",SUM(G239)/SUM(G96,G239))</f>
        <v/>
      </c>
      <c r="H525" s="27">
        <f>IF(SUM(H96,H239)=0,"",SUM(H239)/SUM(H96,H239))</f>
        <v/>
      </c>
    </row>
    <row r="526" hidden="1" outlineLevel="1">
      <c r="A526" t="inlineStr">
        <is>
          <t>Week5-Mar-2027</t>
        </is>
      </c>
      <c r="B526" s="27">
        <f>IF(SUM(B97,B240)=0,"",SUM(B240)/SUM(B97,B240))</f>
        <v/>
      </c>
      <c r="C526" s="27">
        <f>IF(SUM(C97,C240)=0,"",SUM(C240)/SUM(C97,C240))</f>
        <v/>
      </c>
      <c r="D526" s="27">
        <f>IF(SUM(D97,D240)=0,"",SUM(D240)/SUM(D97,D240))</f>
        <v/>
      </c>
      <c r="E526" s="27">
        <f>IF(SUM(E97,E240)=0,"",SUM(E240)/SUM(E97,E240))</f>
        <v/>
      </c>
      <c r="F526" s="27">
        <f>IF(SUM(F97,F240)=0,"",SUM(F240)/SUM(F97,F240))</f>
        <v/>
      </c>
      <c r="G526" s="27">
        <f>IF(SUM(G97,G240)=0,"",SUM(G240)/SUM(G97,G240))</f>
        <v/>
      </c>
      <c r="H526" s="27">
        <f>IF(SUM(H97,H240)=0,"",SUM(H240)/SUM(H97,H240))</f>
        <v/>
      </c>
    </row>
    <row r="527" hidden="1" outlineLevel="1">
      <c r="A527" t="inlineStr">
        <is>
          <t>Week1-Apr-2027</t>
        </is>
      </c>
      <c r="B527" s="27">
        <f>IF(SUM(B98,B241)=0,"",SUM(B241)/SUM(B98,B241))</f>
        <v/>
      </c>
      <c r="C527" s="27">
        <f>IF(SUM(C98,C241)=0,"",SUM(C241)/SUM(C98,C241))</f>
        <v/>
      </c>
      <c r="D527" s="27">
        <f>IF(SUM(D98,D241)=0,"",SUM(D241)/SUM(D98,D241))</f>
        <v/>
      </c>
      <c r="E527" s="27">
        <f>IF(SUM(E98,E241)=0,"",SUM(E241)/SUM(E98,E241))</f>
        <v/>
      </c>
      <c r="F527" s="27">
        <f>IF(SUM(F98,F241)=0,"",SUM(F241)/SUM(F98,F241))</f>
        <v/>
      </c>
      <c r="G527" s="27">
        <f>IF(SUM(G98,G241)=0,"",SUM(G241)/SUM(G98,G241))</f>
        <v/>
      </c>
      <c r="H527" s="27">
        <f>IF(SUM(H98,H241)=0,"",SUM(H241)/SUM(H98,H241))</f>
        <v/>
      </c>
    </row>
    <row r="528" hidden="1" outlineLevel="1">
      <c r="A528" t="inlineStr">
        <is>
          <t>Week2-Apr-2027</t>
        </is>
      </c>
      <c r="B528" s="27">
        <f>IF(SUM(B99,B242)=0,"",SUM(B242)/SUM(B99,B242))</f>
        <v/>
      </c>
      <c r="C528" s="27">
        <f>IF(SUM(C99,C242)=0,"",SUM(C242)/SUM(C99,C242))</f>
        <v/>
      </c>
      <c r="D528" s="27">
        <f>IF(SUM(D99,D242)=0,"",SUM(D242)/SUM(D99,D242))</f>
        <v/>
      </c>
      <c r="E528" s="27">
        <f>IF(SUM(E99,E242)=0,"",SUM(E242)/SUM(E99,E242))</f>
        <v/>
      </c>
      <c r="F528" s="27">
        <f>IF(SUM(F99,F242)=0,"",SUM(F242)/SUM(F99,F242))</f>
        <v/>
      </c>
      <c r="G528" s="27">
        <f>IF(SUM(G99,G242)=0,"",SUM(G242)/SUM(G99,G242))</f>
        <v/>
      </c>
      <c r="H528" s="27">
        <f>IF(SUM(H99,H242)=0,"",SUM(H242)/SUM(H99,H242))</f>
        <v/>
      </c>
    </row>
    <row r="529" hidden="1" outlineLevel="1">
      <c r="A529" t="inlineStr">
        <is>
          <t>Week3-Apr-2027</t>
        </is>
      </c>
      <c r="B529" s="27">
        <f>IF(SUM(B100,B243)=0,"",SUM(B243)/SUM(B100,B243))</f>
        <v/>
      </c>
      <c r="C529" s="27">
        <f>IF(SUM(C100,C243)=0,"",SUM(C243)/SUM(C100,C243))</f>
        <v/>
      </c>
      <c r="D529" s="27">
        <f>IF(SUM(D100,D243)=0,"",SUM(D243)/SUM(D100,D243))</f>
        <v/>
      </c>
      <c r="E529" s="27">
        <f>IF(SUM(E100,E243)=0,"",SUM(E243)/SUM(E100,E243))</f>
        <v/>
      </c>
      <c r="F529" s="27">
        <f>IF(SUM(F100,F243)=0,"",SUM(F243)/SUM(F100,F243))</f>
        <v/>
      </c>
      <c r="G529" s="27">
        <f>IF(SUM(G100,G243)=0,"",SUM(G243)/SUM(G100,G243))</f>
        <v/>
      </c>
      <c r="H529" s="27">
        <f>IF(SUM(H100,H243)=0,"",SUM(H243)/SUM(H100,H243))</f>
        <v/>
      </c>
    </row>
    <row r="530" hidden="1" outlineLevel="1">
      <c r="A530" t="inlineStr">
        <is>
          <t>Week4-Apr-2027</t>
        </is>
      </c>
      <c r="B530" s="27">
        <f>IF(SUM(B101,B244)=0,"",SUM(B244)/SUM(B101,B244))</f>
        <v/>
      </c>
      <c r="C530" s="27">
        <f>IF(SUM(C101,C244)=0,"",SUM(C244)/SUM(C101,C244))</f>
        <v/>
      </c>
      <c r="D530" s="27">
        <f>IF(SUM(D101,D244)=0,"",SUM(D244)/SUM(D101,D244))</f>
        <v/>
      </c>
      <c r="E530" s="27">
        <f>IF(SUM(E101,E244)=0,"",SUM(E244)/SUM(E101,E244))</f>
        <v/>
      </c>
      <c r="F530" s="27">
        <f>IF(SUM(F101,F244)=0,"",SUM(F244)/SUM(F101,F244))</f>
        <v/>
      </c>
      <c r="G530" s="27">
        <f>IF(SUM(G101,G244)=0,"",SUM(G244)/SUM(G101,G244))</f>
        <v/>
      </c>
      <c r="H530" s="27">
        <f>IF(SUM(H101,H244)=0,"",SUM(H244)/SUM(H101,H244))</f>
        <v/>
      </c>
    </row>
    <row r="531" hidden="1" outlineLevel="1">
      <c r="A531" t="inlineStr">
        <is>
          <t>Week5-Apr-2027</t>
        </is>
      </c>
      <c r="B531" s="27">
        <f>IF(SUM(B102,B245)=0,"",SUM(B245)/SUM(B102,B245))</f>
        <v/>
      </c>
      <c r="C531" s="27">
        <f>IF(SUM(C102,C245)=0,"",SUM(C245)/SUM(C102,C245))</f>
        <v/>
      </c>
      <c r="D531" s="27">
        <f>IF(SUM(D102,D245)=0,"",SUM(D245)/SUM(D102,D245))</f>
        <v/>
      </c>
      <c r="E531" s="27">
        <f>IF(SUM(E102,E245)=0,"",SUM(E245)/SUM(E102,E245))</f>
        <v/>
      </c>
      <c r="F531" s="27">
        <f>IF(SUM(F102,F245)=0,"",SUM(F245)/SUM(F102,F245))</f>
        <v/>
      </c>
      <c r="G531" s="27">
        <f>IF(SUM(G102,G245)=0,"",SUM(G245)/SUM(G102,G245))</f>
        <v/>
      </c>
      <c r="H531" s="27">
        <f>IF(SUM(H102,H245)=0,"",SUM(H245)/SUM(H102,H245))</f>
        <v/>
      </c>
    </row>
    <row r="532" hidden="1" outlineLevel="1">
      <c r="A532" t="inlineStr">
        <is>
          <t>Week1-May-2027</t>
        </is>
      </c>
      <c r="B532" s="27">
        <f>IF(SUM(B103,B246)=0,"",SUM(B246)/SUM(B103,B246))</f>
        <v/>
      </c>
      <c r="C532" s="27">
        <f>IF(SUM(C103,C246)=0,"",SUM(C246)/SUM(C103,C246))</f>
        <v/>
      </c>
      <c r="D532" s="27">
        <f>IF(SUM(D103,D246)=0,"",SUM(D246)/SUM(D103,D246))</f>
        <v/>
      </c>
      <c r="E532" s="27">
        <f>IF(SUM(E103,E246)=0,"",SUM(E246)/SUM(E103,E246))</f>
        <v/>
      </c>
      <c r="F532" s="27">
        <f>IF(SUM(F103,F246)=0,"",SUM(F246)/SUM(F103,F246))</f>
        <v/>
      </c>
      <c r="G532" s="27">
        <f>IF(SUM(G103,G246)=0,"",SUM(G246)/SUM(G103,G246))</f>
        <v/>
      </c>
      <c r="H532" s="27">
        <f>IF(SUM(H103,H246)=0,"",SUM(H246)/SUM(H103,H246))</f>
        <v/>
      </c>
    </row>
    <row r="533" hidden="1" outlineLevel="1">
      <c r="A533" t="inlineStr">
        <is>
          <t>Week2-May-2027</t>
        </is>
      </c>
      <c r="B533" s="27">
        <f>IF(SUM(B104,B247)=0,"",SUM(B247)/SUM(B104,B247))</f>
        <v/>
      </c>
      <c r="C533" s="27">
        <f>IF(SUM(C104,C247)=0,"",SUM(C247)/SUM(C104,C247))</f>
        <v/>
      </c>
      <c r="D533" s="27">
        <f>IF(SUM(D104,D247)=0,"",SUM(D247)/SUM(D104,D247))</f>
        <v/>
      </c>
      <c r="E533" s="27">
        <f>IF(SUM(E104,E247)=0,"",SUM(E247)/SUM(E104,E247))</f>
        <v/>
      </c>
      <c r="F533" s="27">
        <f>IF(SUM(F104,F247)=0,"",SUM(F247)/SUM(F104,F247))</f>
        <v/>
      </c>
      <c r="G533" s="27">
        <f>IF(SUM(G104,G247)=0,"",SUM(G247)/SUM(G104,G247))</f>
        <v/>
      </c>
      <c r="H533" s="27">
        <f>IF(SUM(H104,H247)=0,"",SUM(H247)/SUM(H104,H247))</f>
        <v/>
      </c>
    </row>
    <row r="534" hidden="1" outlineLevel="1">
      <c r="A534" t="inlineStr">
        <is>
          <t>Week3-May-2027</t>
        </is>
      </c>
      <c r="B534" s="27">
        <f>IF(SUM(B105,B248)=0,"",SUM(B248)/SUM(B105,B248))</f>
        <v/>
      </c>
      <c r="C534" s="27">
        <f>IF(SUM(C105,C248)=0,"",SUM(C248)/SUM(C105,C248))</f>
        <v/>
      </c>
      <c r="D534" s="27">
        <f>IF(SUM(D105,D248)=0,"",SUM(D248)/SUM(D105,D248))</f>
        <v/>
      </c>
      <c r="E534" s="27">
        <f>IF(SUM(E105,E248)=0,"",SUM(E248)/SUM(E105,E248))</f>
        <v/>
      </c>
      <c r="F534" s="27">
        <f>IF(SUM(F105,F248)=0,"",SUM(F248)/SUM(F105,F248))</f>
        <v/>
      </c>
      <c r="G534" s="27">
        <f>IF(SUM(G105,G248)=0,"",SUM(G248)/SUM(G105,G248))</f>
        <v/>
      </c>
      <c r="H534" s="27">
        <f>IF(SUM(H105,H248)=0,"",SUM(H248)/SUM(H105,H248))</f>
        <v/>
      </c>
    </row>
    <row r="535" hidden="1" outlineLevel="1">
      <c r="A535" t="inlineStr">
        <is>
          <t>Week4-May-2027</t>
        </is>
      </c>
      <c r="B535" s="27">
        <f>IF(SUM(B106,B249)=0,"",SUM(B249)/SUM(B106,B249))</f>
        <v/>
      </c>
      <c r="C535" s="27">
        <f>IF(SUM(C106,C249)=0,"",SUM(C249)/SUM(C106,C249))</f>
        <v/>
      </c>
      <c r="D535" s="27">
        <f>IF(SUM(D106,D249)=0,"",SUM(D249)/SUM(D106,D249))</f>
        <v/>
      </c>
      <c r="E535" s="27">
        <f>IF(SUM(E106,E249)=0,"",SUM(E249)/SUM(E106,E249))</f>
        <v/>
      </c>
      <c r="F535" s="27">
        <f>IF(SUM(F106,F249)=0,"",SUM(F249)/SUM(F106,F249))</f>
        <v/>
      </c>
      <c r="G535" s="27">
        <f>IF(SUM(G106,G249)=0,"",SUM(G249)/SUM(G106,G249))</f>
        <v/>
      </c>
      <c r="H535" s="27">
        <f>IF(SUM(H106,H249)=0,"",SUM(H249)/SUM(H106,H249))</f>
        <v/>
      </c>
    </row>
    <row r="536" hidden="1" outlineLevel="1">
      <c r="A536" t="inlineStr">
        <is>
          <t>Week5-May-2027</t>
        </is>
      </c>
      <c r="B536" s="27">
        <f>IF(SUM(B107,B250)=0,"",SUM(B250)/SUM(B107,B250))</f>
        <v/>
      </c>
      <c r="C536" s="27">
        <f>IF(SUM(C107,C250)=0,"",SUM(C250)/SUM(C107,C250))</f>
        <v/>
      </c>
      <c r="D536" s="27">
        <f>IF(SUM(D107,D250)=0,"",SUM(D250)/SUM(D107,D250))</f>
        <v/>
      </c>
      <c r="E536" s="27">
        <f>IF(SUM(E107,E250)=0,"",SUM(E250)/SUM(E107,E250))</f>
        <v/>
      </c>
      <c r="F536" s="27">
        <f>IF(SUM(F107,F250)=0,"",SUM(F250)/SUM(F107,F250))</f>
        <v/>
      </c>
      <c r="G536" s="27">
        <f>IF(SUM(G107,G250)=0,"",SUM(G250)/SUM(G107,G250))</f>
        <v/>
      </c>
      <c r="H536" s="27">
        <f>IF(SUM(H107,H250)=0,"",SUM(H250)/SUM(H107,H250))</f>
        <v/>
      </c>
    </row>
    <row r="537" hidden="1" outlineLevel="1">
      <c r="A537" t="inlineStr">
        <is>
          <t>Week1-Jun-2027</t>
        </is>
      </c>
      <c r="B537" s="27">
        <f>IF(SUM(B108,B251)=0,"",SUM(B251)/SUM(B108,B251))</f>
        <v/>
      </c>
      <c r="C537" s="27">
        <f>IF(SUM(C108,C251)=0,"",SUM(C251)/SUM(C108,C251))</f>
        <v/>
      </c>
      <c r="D537" s="27">
        <f>IF(SUM(D108,D251)=0,"",SUM(D251)/SUM(D108,D251))</f>
        <v/>
      </c>
      <c r="E537" s="27">
        <f>IF(SUM(E108,E251)=0,"",SUM(E251)/SUM(E108,E251))</f>
        <v/>
      </c>
      <c r="F537" s="27">
        <f>IF(SUM(F108,F251)=0,"",SUM(F251)/SUM(F108,F251))</f>
        <v/>
      </c>
      <c r="G537" s="27">
        <f>IF(SUM(G108,G251)=0,"",SUM(G251)/SUM(G108,G251))</f>
        <v/>
      </c>
      <c r="H537" s="27">
        <f>IF(SUM(H108,H251)=0,"",SUM(H251)/SUM(H108,H251))</f>
        <v/>
      </c>
    </row>
    <row r="538" hidden="1" outlineLevel="1">
      <c r="A538" t="inlineStr">
        <is>
          <t>Week2-Jun-2027</t>
        </is>
      </c>
      <c r="B538" s="27">
        <f>IF(SUM(B109,B252)=0,"",SUM(B252)/SUM(B109,B252))</f>
        <v/>
      </c>
      <c r="C538" s="27">
        <f>IF(SUM(C109,C252)=0,"",SUM(C252)/SUM(C109,C252))</f>
        <v/>
      </c>
      <c r="D538" s="27">
        <f>IF(SUM(D109,D252)=0,"",SUM(D252)/SUM(D109,D252))</f>
        <v/>
      </c>
      <c r="E538" s="27">
        <f>IF(SUM(E109,E252)=0,"",SUM(E252)/SUM(E109,E252))</f>
        <v/>
      </c>
      <c r="F538" s="27">
        <f>IF(SUM(F109,F252)=0,"",SUM(F252)/SUM(F109,F252))</f>
        <v/>
      </c>
      <c r="G538" s="27">
        <f>IF(SUM(G109,G252)=0,"",SUM(G252)/SUM(G109,G252))</f>
        <v/>
      </c>
      <c r="H538" s="27">
        <f>IF(SUM(H109,H252)=0,"",SUM(H252)/SUM(H109,H252))</f>
        <v/>
      </c>
    </row>
    <row r="539" hidden="1" outlineLevel="1">
      <c r="A539" t="inlineStr">
        <is>
          <t>Week3-Jun-2027</t>
        </is>
      </c>
      <c r="B539" s="27">
        <f>IF(SUM(B110,B253)=0,"",SUM(B253)/SUM(B110,B253))</f>
        <v/>
      </c>
      <c r="C539" s="27">
        <f>IF(SUM(C110,C253)=0,"",SUM(C253)/SUM(C110,C253))</f>
        <v/>
      </c>
      <c r="D539" s="27">
        <f>IF(SUM(D110,D253)=0,"",SUM(D253)/SUM(D110,D253))</f>
        <v/>
      </c>
      <c r="E539" s="27">
        <f>IF(SUM(E110,E253)=0,"",SUM(E253)/SUM(E110,E253))</f>
        <v/>
      </c>
      <c r="F539" s="27">
        <f>IF(SUM(F110,F253)=0,"",SUM(F253)/SUM(F110,F253))</f>
        <v/>
      </c>
      <c r="G539" s="27">
        <f>IF(SUM(G110,G253)=0,"",SUM(G253)/SUM(G110,G253))</f>
        <v/>
      </c>
      <c r="H539" s="27">
        <f>IF(SUM(H110,H253)=0,"",SUM(H253)/SUM(H110,H253))</f>
        <v/>
      </c>
    </row>
    <row r="540" hidden="1" outlineLevel="1">
      <c r="A540" t="inlineStr">
        <is>
          <t>Week4-Jun-2027</t>
        </is>
      </c>
      <c r="B540" s="27">
        <f>IF(SUM(B111,B254)=0,"",SUM(B254)/SUM(B111,B254))</f>
        <v/>
      </c>
      <c r="C540" s="27">
        <f>IF(SUM(C111,C254)=0,"",SUM(C254)/SUM(C111,C254))</f>
        <v/>
      </c>
      <c r="D540" s="27">
        <f>IF(SUM(D111,D254)=0,"",SUM(D254)/SUM(D111,D254))</f>
        <v/>
      </c>
      <c r="E540" s="27">
        <f>IF(SUM(E111,E254)=0,"",SUM(E254)/SUM(E111,E254))</f>
        <v/>
      </c>
      <c r="F540" s="27">
        <f>IF(SUM(F111,F254)=0,"",SUM(F254)/SUM(F111,F254))</f>
        <v/>
      </c>
      <c r="G540" s="27">
        <f>IF(SUM(G111,G254)=0,"",SUM(G254)/SUM(G111,G254))</f>
        <v/>
      </c>
      <c r="H540" s="27">
        <f>IF(SUM(H111,H254)=0,"",SUM(H254)/SUM(H111,H254))</f>
        <v/>
      </c>
    </row>
    <row r="541" hidden="1" outlineLevel="1">
      <c r="A541" t="inlineStr">
        <is>
          <t>Week5-Jun-2027</t>
        </is>
      </c>
      <c r="B541" s="27">
        <f>IF(SUM(B112,B255)=0,"",SUM(B255)/SUM(B112,B255))</f>
        <v/>
      </c>
      <c r="C541" s="27">
        <f>IF(SUM(C112,C255)=0,"",SUM(C255)/SUM(C112,C255))</f>
        <v/>
      </c>
      <c r="D541" s="27">
        <f>IF(SUM(D112,D255)=0,"",SUM(D255)/SUM(D112,D255))</f>
        <v/>
      </c>
      <c r="E541" s="27">
        <f>IF(SUM(E112,E255)=0,"",SUM(E255)/SUM(E112,E255))</f>
        <v/>
      </c>
      <c r="F541" s="27">
        <f>IF(SUM(F112,F255)=0,"",SUM(F255)/SUM(F112,F255))</f>
        <v/>
      </c>
      <c r="G541" s="27">
        <f>IF(SUM(G112,G255)=0,"",SUM(G255)/SUM(G112,G255))</f>
        <v/>
      </c>
      <c r="H541" s="27">
        <f>IF(SUM(H112,H255)=0,"",SUM(H255)/SUM(H112,H255))</f>
        <v/>
      </c>
    </row>
    <row r="542" hidden="1" outlineLevel="1">
      <c r="A542" t="inlineStr">
        <is>
          <t>Week1-Jul-2027</t>
        </is>
      </c>
      <c r="B542" s="27">
        <f>IF(SUM(B113,B256)=0,"",SUM(B256)/SUM(B113,B256))</f>
        <v/>
      </c>
      <c r="C542" s="27">
        <f>IF(SUM(C113,C256)=0,"",SUM(C256)/SUM(C113,C256))</f>
        <v/>
      </c>
      <c r="D542" s="27">
        <f>IF(SUM(D113,D256)=0,"",SUM(D256)/SUM(D113,D256))</f>
        <v/>
      </c>
      <c r="E542" s="27">
        <f>IF(SUM(E113,E256)=0,"",SUM(E256)/SUM(E113,E256))</f>
        <v/>
      </c>
      <c r="F542" s="27">
        <f>IF(SUM(F113,F256)=0,"",SUM(F256)/SUM(F113,F256))</f>
        <v/>
      </c>
      <c r="G542" s="27">
        <f>IF(SUM(G113,G256)=0,"",SUM(G256)/SUM(G113,G256))</f>
        <v/>
      </c>
      <c r="H542" s="27">
        <f>IF(SUM(H113,H256)=0,"",SUM(H256)/SUM(H113,H256))</f>
        <v/>
      </c>
    </row>
    <row r="543" hidden="1" outlineLevel="1">
      <c r="A543" t="inlineStr">
        <is>
          <t>Week2-Jul-2027</t>
        </is>
      </c>
      <c r="B543" s="27">
        <f>IF(SUM(B114,B257)=0,"",SUM(B257)/SUM(B114,B257))</f>
        <v/>
      </c>
      <c r="C543" s="27">
        <f>IF(SUM(C114,C257)=0,"",SUM(C257)/SUM(C114,C257))</f>
        <v/>
      </c>
      <c r="D543" s="27">
        <f>IF(SUM(D114,D257)=0,"",SUM(D257)/SUM(D114,D257))</f>
        <v/>
      </c>
      <c r="E543" s="27">
        <f>IF(SUM(E114,E257)=0,"",SUM(E257)/SUM(E114,E257))</f>
        <v/>
      </c>
      <c r="F543" s="27">
        <f>IF(SUM(F114,F257)=0,"",SUM(F257)/SUM(F114,F257))</f>
        <v/>
      </c>
      <c r="G543" s="27">
        <f>IF(SUM(G114,G257)=0,"",SUM(G257)/SUM(G114,G257))</f>
        <v/>
      </c>
      <c r="H543" s="27">
        <f>IF(SUM(H114,H257)=0,"",SUM(H257)/SUM(H114,H257))</f>
        <v/>
      </c>
    </row>
    <row r="544" hidden="1" outlineLevel="1">
      <c r="A544" t="inlineStr">
        <is>
          <t>Week3-Jul-2027</t>
        </is>
      </c>
      <c r="B544" s="27">
        <f>IF(SUM(B115,B258)=0,"",SUM(B258)/SUM(B115,B258))</f>
        <v/>
      </c>
      <c r="C544" s="27">
        <f>IF(SUM(C115,C258)=0,"",SUM(C258)/SUM(C115,C258))</f>
        <v/>
      </c>
      <c r="D544" s="27">
        <f>IF(SUM(D115,D258)=0,"",SUM(D258)/SUM(D115,D258))</f>
        <v/>
      </c>
      <c r="E544" s="27">
        <f>IF(SUM(E115,E258)=0,"",SUM(E258)/SUM(E115,E258))</f>
        <v/>
      </c>
      <c r="F544" s="27">
        <f>IF(SUM(F115,F258)=0,"",SUM(F258)/SUM(F115,F258))</f>
        <v/>
      </c>
      <c r="G544" s="27">
        <f>IF(SUM(G115,G258)=0,"",SUM(G258)/SUM(G115,G258))</f>
        <v/>
      </c>
      <c r="H544" s="27">
        <f>IF(SUM(H115,H258)=0,"",SUM(H258)/SUM(H115,H258))</f>
        <v/>
      </c>
    </row>
    <row r="545" hidden="1" outlineLevel="1">
      <c r="A545" t="inlineStr">
        <is>
          <t>Week4-Jul-2027</t>
        </is>
      </c>
      <c r="B545" s="27">
        <f>IF(SUM(B116,B259)=0,"",SUM(B259)/SUM(B116,B259))</f>
        <v/>
      </c>
      <c r="C545" s="27">
        <f>IF(SUM(C116,C259)=0,"",SUM(C259)/SUM(C116,C259))</f>
        <v/>
      </c>
      <c r="D545" s="27">
        <f>IF(SUM(D116,D259)=0,"",SUM(D259)/SUM(D116,D259))</f>
        <v/>
      </c>
      <c r="E545" s="27">
        <f>IF(SUM(E116,E259)=0,"",SUM(E259)/SUM(E116,E259))</f>
        <v/>
      </c>
      <c r="F545" s="27">
        <f>IF(SUM(F116,F259)=0,"",SUM(F259)/SUM(F116,F259))</f>
        <v/>
      </c>
      <c r="G545" s="27">
        <f>IF(SUM(G116,G259)=0,"",SUM(G259)/SUM(G116,G259))</f>
        <v/>
      </c>
      <c r="H545" s="27">
        <f>IF(SUM(H116,H259)=0,"",SUM(H259)/SUM(H116,H259))</f>
        <v/>
      </c>
    </row>
    <row r="546" hidden="1" outlineLevel="1">
      <c r="A546" t="inlineStr">
        <is>
          <t>Week5-Jul-2027</t>
        </is>
      </c>
      <c r="B546" s="27">
        <f>IF(SUM(B117,B260)=0,"",SUM(B260)/SUM(B117,B260))</f>
        <v/>
      </c>
      <c r="C546" s="27">
        <f>IF(SUM(C117,C260)=0,"",SUM(C260)/SUM(C117,C260))</f>
        <v/>
      </c>
      <c r="D546" s="27">
        <f>IF(SUM(D117,D260)=0,"",SUM(D260)/SUM(D117,D260))</f>
        <v/>
      </c>
      <c r="E546" s="27">
        <f>IF(SUM(E117,E260)=0,"",SUM(E260)/SUM(E117,E260))</f>
        <v/>
      </c>
      <c r="F546" s="27">
        <f>IF(SUM(F117,F260)=0,"",SUM(F260)/SUM(F117,F260))</f>
        <v/>
      </c>
      <c r="G546" s="27">
        <f>IF(SUM(G117,G260)=0,"",SUM(G260)/SUM(G117,G260))</f>
        <v/>
      </c>
      <c r="H546" s="27">
        <f>IF(SUM(H117,H260)=0,"",SUM(H260)/SUM(H117,H260))</f>
        <v/>
      </c>
    </row>
    <row r="547" hidden="1" outlineLevel="1">
      <c r="A547" t="inlineStr">
        <is>
          <t>Week1-Aug-2027</t>
        </is>
      </c>
      <c r="B547" s="27">
        <f>IF(SUM(B118,B261)=0,"",SUM(B261)/SUM(B118,B261))</f>
        <v/>
      </c>
      <c r="C547" s="27">
        <f>IF(SUM(C118,C261)=0,"",SUM(C261)/SUM(C118,C261))</f>
        <v/>
      </c>
      <c r="D547" s="27">
        <f>IF(SUM(D118,D261)=0,"",SUM(D261)/SUM(D118,D261))</f>
        <v/>
      </c>
      <c r="E547" s="27">
        <f>IF(SUM(E118,E261)=0,"",SUM(E261)/SUM(E118,E261))</f>
        <v/>
      </c>
      <c r="F547" s="27">
        <f>IF(SUM(F118,F261)=0,"",SUM(F261)/SUM(F118,F261))</f>
        <v/>
      </c>
      <c r="G547" s="27">
        <f>IF(SUM(G118,G261)=0,"",SUM(G261)/SUM(G118,G261))</f>
        <v/>
      </c>
      <c r="H547" s="27">
        <f>IF(SUM(H118,H261)=0,"",SUM(H261)/SUM(H118,H261))</f>
        <v/>
      </c>
    </row>
    <row r="548" hidden="1" outlineLevel="1">
      <c r="A548" t="inlineStr">
        <is>
          <t>Week2-Aug-2027</t>
        </is>
      </c>
      <c r="B548" s="27">
        <f>IF(SUM(B119,B262)=0,"",SUM(B262)/SUM(B119,B262))</f>
        <v/>
      </c>
      <c r="C548" s="27">
        <f>IF(SUM(C119,C262)=0,"",SUM(C262)/SUM(C119,C262))</f>
        <v/>
      </c>
      <c r="D548" s="27">
        <f>IF(SUM(D119,D262)=0,"",SUM(D262)/SUM(D119,D262))</f>
        <v/>
      </c>
      <c r="E548" s="27">
        <f>IF(SUM(E119,E262)=0,"",SUM(E262)/SUM(E119,E262))</f>
        <v/>
      </c>
      <c r="F548" s="27">
        <f>IF(SUM(F119,F262)=0,"",SUM(F262)/SUM(F119,F262))</f>
        <v/>
      </c>
      <c r="G548" s="27">
        <f>IF(SUM(G119,G262)=0,"",SUM(G262)/SUM(G119,G262))</f>
        <v/>
      </c>
      <c r="H548" s="27">
        <f>IF(SUM(H119,H262)=0,"",SUM(H262)/SUM(H119,H262))</f>
        <v/>
      </c>
    </row>
    <row r="549" hidden="1" outlineLevel="1">
      <c r="A549" t="inlineStr">
        <is>
          <t>Week3-Aug-2027</t>
        </is>
      </c>
      <c r="B549" s="27">
        <f>IF(SUM(B120,B263)=0,"",SUM(B263)/SUM(B120,B263))</f>
        <v/>
      </c>
      <c r="C549" s="27">
        <f>IF(SUM(C120,C263)=0,"",SUM(C263)/SUM(C120,C263))</f>
        <v/>
      </c>
      <c r="D549" s="27">
        <f>IF(SUM(D120,D263)=0,"",SUM(D263)/SUM(D120,D263))</f>
        <v/>
      </c>
      <c r="E549" s="27">
        <f>IF(SUM(E120,E263)=0,"",SUM(E263)/SUM(E120,E263))</f>
        <v/>
      </c>
      <c r="F549" s="27">
        <f>IF(SUM(F120,F263)=0,"",SUM(F263)/SUM(F120,F263))</f>
        <v/>
      </c>
      <c r="G549" s="27">
        <f>IF(SUM(G120,G263)=0,"",SUM(G263)/SUM(G120,G263))</f>
        <v/>
      </c>
      <c r="H549" s="27">
        <f>IF(SUM(H120,H263)=0,"",SUM(H263)/SUM(H120,H263))</f>
        <v/>
      </c>
    </row>
    <row r="550" hidden="1" outlineLevel="1">
      <c r="A550" t="inlineStr">
        <is>
          <t>Week4-Aug-2027</t>
        </is>
      </c>
      <c r="B550" s="27">
        <f>IF(SUM(B121,B264)=0,"",SUM(B264)/SUM(B121,B264))</f>
        <v/>
      </c>
      <c r="C550" s="27">
        <f>IF(SUM(C121,C264)=0,"",SUM(C264)/SUM(C121,C264))</f>
        <v/>
      </c>
      <c r="D550" s="27">
        <f>IF(SUM(D121,D264)=0,"",SUM(D264)/SUM(D121,D264))</f>
        <v/>
      </c>
      <c r="E550" s="27">
        <f>IF(SUM(E121,E264)=0,"",SUM(E264)/SUM(E121,E264))</f>
        <v/>
      </c>
      <c r="F550" s="27">
        <f>IF(SUM(F121,F264)=0,"",SUM(F264)/SUM(F121,F264))</f>
        <v/>
      </c>
      <c r="G550" s="27">
        <f>IF(SUM(G121,G264)=0,"",SUM(G264)/SUM(G121,G264))</f>
        <v/>
      </c>
      <c r="H550" s="27">
        <f>IF(SUM(H121,H264)=0,"",SUM(H264)/SUM(H121,H264))</f>
        <v/>
      </c>
    </row>
    <row r="551" hidden="1" outlineLevel="1">
      <c r="A551" t="inlineStr">
        <is>
          <t>Week5-Aug-2027</t>
        </is>
      </c>
      <c r="B551" s="27">
        <f>IF(SUM(B122,B265)=0,"",SUM(B265)/SUM(B122,B265))</f>
        <v/>
      </c>
      <c r="C551" s="27">
        <f>IF(SUM(C122,C265)=0,"",SUM(C265)/SUM(C122,C265))</f>
        <v/>
      </c>
      <c r="D551" s="27">
        <f>IF(SUM(D122,D265)=0,"",SUM(D265)/SUM(D122,D265))</f>
        <v/>
      </c>
      <c r="E551" s="27">
        <f>IF(SUM(E122,E265)=0,"",SUM(E265)/SUM(E122,E265))</f>
        <v/>
      </c>
      <c r="F551" s="27">
        <f>IF(SUM(F122,F265)=0,"",SUM(F265)/SUM(F122,F265))</f>
        <v/>
      </c>
      <c r="G551" s="27">
        <f>IF(SUM(G122,G265)=0,"",SUM(G265)/SUM(G122,G265))</f>
        <v/>
      </c>
      <c r="H551" s="27">
        <f>IF(SUM(H122,H265)=0,"",SUM(H265)/SUM(H122,H265))</f>
        <v/>
      </c>
    </row>
    <row r="552" hidden="1" outlineLevel="1">
      <c r="A552" t="inlineStr">
        <is>
          <t>Week1-Sep-2027</t>
        </is>
      </c>
      <c r="B552" s="27">
        <f>IF(SUM(B123,B266)=0,"",SUM(B266)/SUM(B123,B266))</f>
        <v/>
      </c>
      <c r="C552" s="27">
        <f>IF(SUM(C123,C266)=0,"",SUM(C266)/SUM(C123,C266))</f>
        <v/>
      </c>
      <c r="D552" s="27">
        <f>IF(SUM(D123,D266)=0,"",SUM(D266)/SUM(D123,D266))</f>
        <v/>
      </c>
      <c r="E552" s="27">
        <f>IF(SUM(E123,E266)=0,"",SUM(E266)/SUM(E123,E266))</f>
        <v/>
      </c>
      <c r="F552" s="27">
        <f>IF(SUM(F123,F266)=0,"",SUM(F266)/SUM(F123,F266))</f>
        <v/>
      </c>
      <c r="G552" s="27">
        <f>IF(SUM(G123,G266)=0,"",SUM(G266)/SUM(G123,G266))</f>
        <v/>
      </c>
      <c r="H552" s="27">
        <f>IF(SUM(H123,H266)=0,"",SUM(H266)/SUM(H123,H266))</f>
        <v/>
      </c>
    </row>
    <row r="553" hidden="1" outlineLevel="1">
      <c r="A553" t="inlineStr">
        <is>
          <t>Week2-Sep-2027</t>
        </is>
      </c>
      <c r="B553" s="27">
        <f>IF(SUM(B124,B267)=0,"",SUM(B267)/SUM(B124,B267))</f>
        <v/>
      </c>
      <c r="C553" s="27">
        <f>IF(SUM(C124,C267)=0,"",SUM(C267)/SUM(C124,C267))</f>
        <v/>
      </c>
      <c r="D553" s="27">
        <f>IF(SUM(D124,D267)=0,"",SUM(D267)/SUM(D124,D267))</f>
        <v/>
      </c>
      <c r="E553" s="27">
        <f>IF(SUM(E124,E267)=0,"",SUM(E267)/SUM(E124,E267))</f>
        <v/>
      </c>
      <c r="F553" s="27">
        <f>IF(SUM(F124,F267)=0,"",SUM(F267)/SUM(F124,F267))</f>
        <v/>
      </c>
      <c r="G553" s="27">
        <f>IF(SUM(G124,G267)=0,"",SUM(G267)/SUM(G124,G267))</f>
        <v/>
      </c>
      <c r="H553" s="27">
        <f>IF(SUM(H124,H267)=0,"",SUM(H267)/SUM(H124,H267))</f>
        <v/>
      </c>
    </row>
    <row r="554" hidden="1" outlineLevel="1">
      <c r="A554" t="inlineStr">
        <is>
          <t>Week3-Sep-2027</t>
        </is>
      </c>
      <c r="B554" s="27">
        <f>IF(SUM(B125,B268)=0,"",SUM(B268)/SUM(B125,B268))</f>
        <v/>
      </c>
      <c r="C554" s="27">
        <f>IF(SUM(C125,C268)=0,"",SUM(C268)/SUM(C125,C268))</f>
        <v/>
      </c>
      <c r="D554" s="27">
        <f>IF(SUM(D125,D268)=0,"",SUM(D268)/SUM(D125,D268))</f>
        <v/>
      </c>
      <c r="E554" s="27">
        <f>IF(SUM(E125,E268)=0,"",SUM(E268)/SUM(E125,E268))</f>
        <v/>
      </c>
      <c r="F554" s="27">
        <f>IF(SUM(F125,F268)=0,"",SUM(F268)/SUM(F125,F268))</f>
        <v/>
      </c>
      <c r="G554" s="27">
        <f>IF(SUM(G125,G268)=0,"",SUM(G268)/SUM(G125,G268))</f>
        <v/>
      </c>
      <c r="H554" s="27">
        <f>IF(SUM(H125,H268)=0,"",SUM(H268)/SUM(H125,H268))</f>
        <v/>
      </c>
    </row>
    <row r="555" hidden="1" outlineLevel="1">
      <c r="A555" t="inlineStr">
        <is>
          <t>Week4-Sep-2027</t>
        </is>
      </c>
      <c r="B555" s="27">
        <f>IF(SUM(B126,B269)=0,"",SUM(B269)/SUM(B126,B269))</f>
        <v/>
      </c>
      <c r="C555" s="27">
        <f>IF(SUM(C126,C269)=0,"",SUM(C269)/SUM(C126,C269))</f>
        <v/>
      </c>
      <c r="D555" s="27">
        <f>IF(SUM(D126,D269)=0,"",SUM(D269)/SUM(D126,D269))</f>
        <v/>
      </c>
      <c r="E555" s="27">
        <f>IF(SUM(E126,E269)=0,"",SUM(E269)/SUM(E126,E269))</f>
        <v/>
      </c>
      <c r="F555" s="27">
        <f>IF(SUM(F126,F269)=0,"",SUM(F269)/SUM(F126,F269))</f>
        <v/>
      </c>
      <c r="G555" s="27">
        <f>IF(SUM(G126,G269)=0,"",SUM(G269)/SUM(G126,G269))</f>
        <v/>
      </c>
      <c r="H555" s="27">
        <f>IF(SUM(H126,H269)=0,"",SUM(H269)/SUM(H126,H269))</f>
        <v/>
      </c>
    </row>
    <row r="556" hidden="1" outlineLevel="1">
      <c r="A556" t="inlineStr">
        <is>
          <t>Week5-Sep-2027</t>
        </is>
      </c>
      <c r="B556" s="27">
        <f>IF(SUM(B127,B270)=0,"",SUM(B270)/SUM(B127,B270))</f>
        <v/>
      </c>
      <c r="C556" s="27">
        <f>IF(SUM(C127,C270)=0,"",SUM(C270)/SUM(C127,C270))</f>
        <v/>
      </c>
      <c r="D556" s="27">
        <f>IF(SUM(D127,D270)=0,"",SUM(D270)/SUM(D127,D270))</f>
        <v/>
      </c>
      <c r="E556" s="27">
        <f>IF(SUM(E127,E270)=0,"",SUM(E270)/SUM(E127,E270))</f>
        <v/>
      </c>
      <c r="F556" s="27">
        <f>IF(SUM(F127,F270)=0,"",SUM(F270)/SUM(F127,F270))</f>
        <v/>
      </c>
      <c r="G556" s="27">
        <f>IF(SUM(G127,G270)=0,"",SUM(G270)/SUM(G127,G270))</f>
        <v/>
      </c>
      <c r="H556" s="27">
        <f>IF(SUM(H127,H270)=0,"",SUM(H270)/SUM(H127,H270))</f>
        <v/>
      </c>
    </row>
    <row r="557" hidden="1" outlineLevel="1">
      <c r="A557" t="inlineStr">
        <is>
          <t>Week1-Oct-2027</t>
        </is>
      </c>
      <c r="B557" s="27">
        <f>IF(SUM(B128,B271)=0,"",SUM(B271)/SUM(B128,B271))</f>
        <v/>
      </c>
      <c r="C557" s="27">
        <f>IF(SUM(C128,C271)=0,"",SUM(C271)/SUM(C128,C271))</f>
        <v/>
      </c>
      <c r="D557" s="27">
        <f>IF(SUM(D128,D271)=0,"",SUM(D271)/SUM(D128,D271))</f>
        <v/>
      </c>
      <c r="E557" s="27">
        <f>IF(SUM(E128,E271)=0,"",SUM(E271)/SUM(E128,E271))</f>
        <v/>
      </c>
      <c r="F557" s="27">
        <f>IF(SUM(F128,F271)=0,"",SUM(F271)/SUM(F128,F271))</f>
        <v/>
      </c>
      <c r="G557" s="27">
        <f>IF(SUM(G128,G271)=0,"",SUM(G271)/SUM(G128,G271))</f>
        <v/>
      </c>
      <c r="H557" s="27">
        <f>IF(SUM(H128,H271)=0,"",SUM(H271)/SUM(H128,H271))</f>
        <v/>
      </c>
    </row>
    <row r="558" hidden="1" outlineLevel="1">
      <c r="A558" t="inlineStr">
        <is>
          <t>Week2-Oct-2027</t>
        </is>
      </c>
      <c r="B558" s="27">
        <f>IF(SUM(B129,B272)=0,"",SUM(B272)/SUM(B129,B272))</f>
        <v/>
      </c>
      <c r="C558" s="27">
        <f>IF(SUM(C129,C272)=0,"",SUM(C272)/SUM(C129,C272))</f>
        <v/>
      </c>
      <c r="D558" s="27">
        <f>IF(SUM(D129,D272)=0,"",SUM(D272)/SUM(D129,D272))</f>
        <v/>
      </c>
      <c r="E558" s="27">
        <f>IF(SUM(E129,E272)=0,"",SUM(E272)/SUM(E129,E272))</f>
        <v/>
      </c>
      <c r="F558" s="27">
        <f>IF(SUM(F129,F272)=0,"",SUM(F272)/SUM(F129,F272))</f>
        <v/>
      </c>
      <c r="G558" s="27">
        <f>IF(SUM(G129,G272)=0,"",SUM(G272)/SUM(G129,G272))</f>
        <v/>
      </c>
      <c r="H558" s="27">
        <f>IF(SUM(H129,H272)=0,"",SUM(H272)/SUM(H129,H272))</f>
        <v/>
      </c>
    </row>
    <row r="559" hidden="1" outlineLevel="1">
      <c r="A559" t="inlineStr">
        <is>
          <t>Week3-Oct-2027</t>
        </is>
      </c>
      <c r="B559" s="27">
        <f>IF(SUM(B130,B273)=0,"",SUM(B273)/SUM(B130,B273))</f>
        <v/>
      </c>
      <c r="C559" s="27">
        <f>IF(SUM(C130,C273)=0,"",SUM(C273)/SUM(C130,C273))</f>
        <v/>
      </c>
      <c r="D559" s="27">
        <f>IF(SUM(D130,D273)=0,"",SUM(D273)/SUM(D130,D273))</f>
        <v/>
      </c>
      <c r="E559" s="27">
        <f>IF(SUM(E130,E273)=0,"",SUM(E273)/SUM(E130,E273))</f>
        <v/>
      </c>
      <c r="F559" s="27">
        <f>IF(SUM(F130,F273)=0,"",SUM(F273)/SUM(F130,F273))</f>
        <v/>
      </c>
      <c r="G559" s="27">
        <f>IF(SUM(G130,G273)=0,"",SUM(G273)/SUM(G130,G273))</f>
        <v/>
      </c>
      <c r="H559" s="27">
        <f>IF(SUM(H130,H273)=0,"",SUM(H273)/SUM(H130,H273))</f>
        <v/>
      </c>
    </row>
    <row r="560" hidden="1" outlineLevel="1">
      <c r="A560" t="inlineStr">
        <is>
          <t>Week4-Oct-2027</t>
        </is>
      </c>
      <c r="B560" s="27">
        <f>IF(SUM(B131,B274)=0,"",SUM(B274)/SUM(B131,B274))</f>
        <v/>
      </c>
      <c r="C560" s="27">
        <f>IF(SUM(C131,C274)=0,"",SUM(C274)/SUM(C131,C274))</f>
        <v/>
      </c>
      <c r="D560" s="27">
        <f>IF(SUM(D131,D274)=0,"",SUM(D274)/SUM(D131,D274))</f>
        <v/>
      </c>
      <c r="E560" s="27">
        <f>IF(SUM(E131,E274)=0,"",SUM(E274)/SUM(E131,E274))</f>
        <v/>
      </c>
      <c r="F560" s="27">
        <f>IF(SUM(F131,F274)=0,"",SUM(F274)/SUM(F131,F274))</f>
        <v/>
      </c>
      <c r="G560" s="27">
        <f>IF(SUM(G131,G274)=0,"",SUM(G274)/SUM(G131,G274))</f>
        <v/>
      </c>
      <c r="H560" s="27">
        <f>IF(SUM(H131,H274)=0,"",SUM(H274)/SUM(H131,H274))</f>
        <v/>
      </c>
    </row>
    <row r="561" hidden="1" outlineLevel="1">
      <c r="A561" t="inlineStr">
        <is>
          <t>Week5-Oct-2027</t>
        </is>
      </c>
      <c r="B561" s="27">
        <f>IF(SUM(B132,B275)=0,"",SUM(B275)/SUM(B132,B275))</f>
        <v/>
      </c>
      <c r="C561" s="27">
        <f>IF(SUM(C132,C275)=0,"",SUM(C275)/SUM(C132,C275))</f>
        <v/>
      </c>
      <c r="D561" s="27">
        <f>IF(SUM(D132,D275)=0,"",SUM(D275)/SUM(D132,D275))</f>
        <v/>
      </c>
      <c r="E561" s="27">
        <f>IF(SUM(E132,E275)=0,"",SUM(E275)/SUM(E132,E275))</f>
        <v/>
      </c>
      <c r="F561" s="27">
        <f>IF(SUM(F132,F275)=0,"",SUM(F275)/SUM(F132,F275))</f>
        <v/>
      </c>
      <c r="G561" s="27">
        <f>IF(SUM(G132,G275)=0,"",SUM(G275)/SUM(G132,G275))</f>
        <v/>
      </c>
      <c r="H561" s="27">
        <f>IF(SUM(H132,H275)=0,"",SUM(H275)/SUM(H132,H275))</f>
        <v/>
      </c>
    </row>
    <row r="562" hidden="1" outlineLevel="1">
      <c r="A562" t="inlineStr">
        <is>
          <t>Week1-Nov-2027</t>
        </is>
      </c>
      <c r="B562" s="27">
        <f>IF(SUM(B133,B276)=0,"",SUM(B276)/SUM(B133,B276))</f>
        <v/>
      </c>
      <c r="C562" s="27">
        <f>IF(SUM(C133,C276)=0,"",SUM(C276)/SUM(C133,C276))</f>
        <v/>
      </c>
      <c r="D562" s="27">
        <f>IF(SUM(D133,D276)=0,"",SUM(D276)/SUM(D133,D276))</f>
        <v/>
      </c>
      <c r="E562" s="27">
        <f>IF(SUM(E133,E276)=0,"",SUM(E276)/SUM(E133,E276))</f>
        <v/>
      </c>
      <c r="F562" s="27">
        <f>IF(SUM(F133,F276)=0,"",SUM(F276)/SUM(F133,F276))</f>
        <v/>
      </c>
      <c r="G562" s="27">
        <f>IF(SUM(G133,G276)=0,"",SUM(G276)/SUM(G133,G276))</f>
        <v/>
      </c>
      <c r="H562" s="27">
        <f>IF(SUM(H133,H276)=0,"",SUM(H276)/SUM(H133,H276))</f>
        <v/>
      </c>
    </row>
    <row r="563" hidden="1" outlineLevel="1">
      <c r="A563" t="inlineStr">
        <is>
          <t>Week2-Nov-2027</t>
        </is>
      </c>
      <c r="B563" s="27">
        <f>IF(SUM(B134,B277)=0,"",SUM(B277)/SUM(B134,B277))</f>
        <v/>
      </c>
      <c r="C563" s="27">
        <f>IF(SUM(C134,C277)=0,"",SUM(C277)/SUM(C134,C277))</f>
        <v/>
      </c>
      <c r="D563" s="27">
        <f>IF(SUM(D134,D277)=0,"",SUM(D277)/SUM(D134,D277))</f>
        <v/>
      </c>
      <c r="E563" s="27">
        <f>IF(SUM(E134,E277)=0,"",SUM(E277)/SUM(E134,E277))</f>
        <v/>
      </c>
      <c r="F563" s="27">
        <f>IF(SUM(F134,F277)=0,"",SUM(F277)/SUM(F134,F277))</f>
        <v/>
      </c>
      <c r="G563" s="27">
        <f>IF(SUM(G134,G277)=0,"",SUM(G277)/SUM(G134,G277))</f>
        <v/>
      </c>
      <c r="H563" s="27">
        <f>IF(SUM(H134,H277)=0,"",SUM(H277)/SUM(H134,H277))</f>
        <v/>
      </c>
    </row>
    <row r="564" hidden="1" outlineLevel="1">
      <c r="A564" t="inlineStr">
        <is>
          <t>Week3-Nov-2027</t>
        </is>
      </c>
      <c r="B564" s="27">
        <f>IF(SUM(B135,B278)=0,"",SUM(B278)/SUM(B135,B278))</f>
        <v/>
      </c>
      <c r="C564" s="27">
        <f>IF(SUM(C135,C278)=0,"",SUM(C278)/SUM(C135,C278))</f>
        <v/>
      </c>
      <c r="D564" s="27">
        <f>IF(SUM(D135,D278)=0,"",SUM(D278)/SUM(D135,D278))</f>
        <v/>
      </c>
      <c r="E564" s="27">
        <f>IF(SUM(E135,E278)=0,"",SUM(E278)/SUM(E135,E278))</f>
        <v/>
      </c>
      <c r="F564" s="27">
        <f>IF(SUM(F135,F278)=0,"",SUM(F278)/SUM(F135,F278))</f>
        <v/>
      </c>
      <c r="G564" s="27">
        <f>IF(SUM(G135,G278)=0,"",SUM(G278)/SUM(G135,G278))</f>
        <v/>
      </c>
      <c r="H564" s="27">
        <f>IF(SUM(H135,H278)=0,"",SUM(H278)/SUM(H135,H278))</f>
        <v/>
      </c>
    </row>
    <row r="565" hidden="1" outlineLevel="1">
      <c r="A565" t="inlineStr">
        <is>
          <t>Week4-Nov-2027</t>
        </is>
      </c>
      <c r="B565" s="27">
        <f>IF(SUM(B136,B279)=0,"",SUM(B279)/SUM(B136,B279))</f>
        <v/>
      </c>
      <c r="C565" s="27">
        <f>IF(SUM(C136,C279)=0,"",SUM(C279)/SUM(C136,C279))</f>
        <v/>
      </c>
      <c r="D565" s="27">
        <f>IF(SUM(D136,D279)=0,"",SUM(D279)/SUM(D136,D279))</f>
        <v/>
      </c>
      <c r="E565" s="27">
        <f>IF(SUM(E136,E279)=0,"",SUM(E279)/SUM(E136,E279))</f>
        <v/>
      </c>
      <c r="F565" s="27">
        <f>IF(SUM(F136,F279)=0,"",SUM(F279)/SUM(F136,F279))</f>
        <v/>
      </c>
      <c r="G565" s="27">
        <f>IF(SUM(G136,G279)=0,"",SUM(G279)/SUM(G136,G279))</f>
        <v/>
      </c>
      <c r="H565" s="27">
        <f>IF(SUM(H136,H279)=0,"",SUM(H279)/SUM(H136,H279))</f>
        <v/>
      </c>
    </row>
    <row r="566" hidden="1" outlineLevel="1">
      <c r="A566" t="inlineStr">
        <is>
          <t>Week5-Nov-2027</t>
        </is>
      </c>
      <c r="B566" s="27">
        <f>IF(SUM(B137,B280)=0,"",SUM(B280)/SUM(B137,B280))</f>
        <v/>
      </c>
      <c r="C566" s="27">
        <f>IF(SUM(C137,C280)=0,"",SUM(C280)/SUM(C137,C280))</f>
        <v/>
      </c>
      <c r="D566" s="27">
        <f>IF(SUM(D137,D280)=0,"",SUM(D280)/SUM(D137,D280))</f>
        <v/>
      </c>
      <c r="E566" s="27">
        <f>IF(SUM(E137,E280)=0,"",SUM(E280)/SUM(E137,E280))</f>
        <v/>
      </c>
      <c r="F566" s="27">
        <f>IF(SUM(F137,F280)=0,"",SUM(F280)/SUM(F137,F280))</f>
        <v/>
      </c>
      <c r="G566" s="27">
        <f>IF(SUM(G137,G280)=0,"",SUM(G280)/SUM(G137,G280))</f>
        <v/>
      </c>
      <c r="H566" s="27">
        <f>IF(SUM(H137,H280)=0,"",SUM(H280)/SUM(H137,H280))</f>
        <v/>
      </c>
    </row>
    <row r="567" hidden="1" outlineLevel="1">
      <c r="A567" t="inlineStr">
        <is>
          <t>Week1-Dec-2027</t>
        </is>
      </c>
      <c r="B567" s="27">
        <f>IF(SUM(B138,B281)=0,"",SUM(B281)/SUM(B138,B281))</f>
        <v/>
      </c>
      <c r="C567" s="27">
        <f>IF(SUM(C138,C281)=0,"",SUM(C281)/SUM(C138,C281))</f>
        <v/>
      </c>
      <c r="D567" s="27">
        <f>IF(SUM(D138,D281)=0,"",SUM(D281)/SUM(D138,D281))</f>
        <v/>
      </c>
      <c r="E567" s="27">
        <f>IF(SUM(E138,E281)=0,"",SUM(E281)/SUM(E138,E281))</f>
        <v/>
      </c>
      <c r="F567" s="27">
        <f>IF(SUM(F138,F281)=0,"",SUM(F281)/SUM(F138,F281))</f>
        <v/>
      </c>
      <c r="G567" s="27">
        <f>IF(SUM(G138,G281)=0,"",SUM(G281)/SUM(G138,G281))</f>
        <v/>
      </c>
      <c r="H567" s="27">
        <f>IF(SUM(H138,H281)=0,"",SUM(H281)/SUM(H138,H281))</f>
        <v/>
      </c>
    </row>
    <row r="568" hidden="1" outlineLevel="1">
      <c r="A568" t="inlineStr">
        <is>
          <t>Week2-Dec-2027</t>
        </is>
      </c>
      <c r="B568" s="27">
        <f>IF(SUM(B139,B282)=0,"",SUM(B282)/SUM(B139,B282))</f>
        <v/>
      </c>
      <c r="C568" s="27">
        <f>IF(SUM(C139,C282)=0,"",SUM(C282)/SUM(C139,C282))</f>
        <v/>
      </c>
      <c r="D568" s="27">
        <f>IF(SUM(D139,D282)=0,"",SUM(D282)/SUM(D139,D282))</f>
        <v/>
      </c>
      <c r="E568" s="27">
        <f>IF(SUM(E139,E282)=0,"",SUM(E282)/SUM(E139,E282))</f>
        <v/>
      </c>
      <c r="F568" s="27">
        <f>IF(SUM(F139,F282)=0,"",SUM(F282)/SUM(F139,F282))</f>
        <v/>
      </c>
      <c r="G568" s="27">
        <f>IF(SUM(G139,G282)=0,"",SUM(G282)/SUM(G139,G282))</f>
        <v/>
      </c>
      <c r="H568" s="27">
        <f>IF(SUM(H139,H282)=0,"",SUM(H282)/SUM(H139,H282))</f>
        <v/>
      </c>
    </row>
    <row r="569" hidden="1" outlineLevel="1">
      <c r="A569" t="inlineStr">
        <is>
          <t>Week3-Dec-2027</t>
        </is>
      </c>
      <c r="B569" s="27">
        <f>IF(SUM(B140,B283)=0,"",SUM(B283)/SUM(B140,B283))</f>
        <v/>
      </c>
      <c r="C569" s="27">
        <f>IF(SUM(C140,C283)=0,"",SUM(C283)/SUM(C140,C283))</f>
        <v/>
      </c>
      <c r="D569" s="27">
        <f>IF(SUM(D140,D283)=0,"",SUM(D283)/SUM(D140,D283))</f>
        <v/>
      </c>
      <c r="E569" s="27">
        <f>IF(SUM(E140,E283)=0,"",SUM(E283)/SUM(E140,E283))</f>
        <v/>
      </c>
      <c r="F569" s="27">
        <f>IF(SUM(F140,F283)=0,"",SUM(F283)/SUM(F140,F283))</f>
        <v/>
      </c>
      <c r="G569" s="27">
        <f>IF(SUM(G140,G283)=0,"",SUM(G283)/SUM(G140,G283))</f>
        <v/>
      </c>
      <c r="H569" s="27">
        <f>IF(SUM(H140,H283)=0,"",SUM(H283)/SUM(H140,H283))</f>
        <v/>
      </c>
    </row>
    <row r="570" hidden="1" outlineLevel="1">
      <c r="A570" t="inlineStr">
        <is>
          <t>Week4-Dec-2027</t>
        </is>
      </c>
      <c r="B570" s="27">
        <f>IF(SUM(B141,B284)=0,"",SUM(B284)/SUM(B141,B284))</f>
        <v/>
      </c>
      <c r="C570" s="27">
        <f>IF(SUM(C141,C284)=0,"",SUM(C284)/SUM(C141,C284))</f>
        <v/>
      </c>
      <c r="D570" s="27">
        <f>IF(SUM(D141,D284)=0,"",SUM(D284)/SUM(D141,D284))</f>
        <v/>
      </c>
      <c r="E570" s="27">
        <f>IF(SUM(E141,E284)=0,"",SUM(E284)/SUM(E141,E284))</f>
        <v/>
      </c>
      <c r="F570" s="27">
        <f>IF(SUM(F141,F284)=0,"",SUM(F284)/SUM(F141,F284))</f>
        <v/>
      </c>
      <c r="G570" s="27">
        <f>IF(SUM(G141,G284)=0,"",SUM(G284)/SUM(G141,G284))</f>
        <v/>
      </c>
      <c r="H570" s="27">
        <f>IF(SUM(H141,H284)=0,"",SUM(H284)/SUM(H141,H284))</f>
        <v/>
      </c>
    </row>
    <row r="571" hidden="1" outlineLevel="1">
      <c r="A571" t="inlineStr">
        <is>
          <t>Week5-Dec-2027</t>
        </is>
      </c>
      <c r="B571" s="27">
        <f>IF(SUM(B142,B285)=0,"",SUM(B285)/SUM(B142,B285))</f>
        <v/>
      </c>
      <c r="C571" s="27">
        <f>IF(SUM(C142,C285)=0,"",SUM(C285)/SUM(C142,C285))</f>
        <v/>
      </c>
      <c r="D571" s="27">
        <f>IF(SUM(D142,D285)=0,"",SUM(D285)/SUM(D142,D285))</f>
        <v/>
      </c>
      <c r="E571" s="27">
        <f>IF(SUM(E142,E285)=0,"",SUM(E285)/SUM(E142,E285))</f>
        <v/>
      </c>
      <c r="F571" s="27">
        <f>IF(SUM(F142,F285)=0,"",SUM(F285)/SUM(F142,F285))</f>
        <v/>
      </c>
      <c r="G571" s="27">
        <f>IF(SUM(G142,G285)=0,"",SUM(G285)/SUM(G142,G285))</f>
        <v/>
      </c>
      <c r="H571" s="27">
        <f>IF(SUM(H142,H285)=0,"",SUM(H285)/SUM(H142,H285))</f>
        <v/>
      </c>
    </row>
    <row r="572" collapsed="1">
      <c r="A572" s="28" t="inlineStr">
        <is>
          <t>Total</t>
        </is>
      </c>
      <c r="B572" s="31">
        <f>IF(SUM(B143,B286)=0,"",SUM(B286)/SUM(B143,B286))</f>
        <v/>
      </c>
      <c r="C572" s="31">
        <f>IF(SUM(C143,C286)=0,"",SUM(C286)/SUM(C143,C286))</f>
        <v/>
      </c>
      <c r="D572" s="31">
        <f>IF(SUM(D143,D286)=0,"",SUM(D286)/SUM(D143,D286))</f>
        <v/>
      </c>
      <c r="E572" s="31">
        <f>IF(SUM(E143,E286)=0,"",SUM(E286)/SUM(E143,E286))</f>
        <v/>
      </c>
      <c r="F572" s="31">
        <f>IF(SUM(F143,F286)=0,"",SUM(F286)/SUM(F143,F286))</f>
        <v/>
      </c>
      <c r="G572" s="31">
        <f>IF(SUM(G143,G286)=0,"",SUM(G286)/SUM(G143,G286))</f>
        <v/>
      </c>
      <c r="H572" s="31">
        <f>IF(SUM(H143,H286)=0,"",SUM(H286)/SUM(H143,H286))</f>
        <v/>
      </c>
    </row>
  </sheetData>
  <conditionalFormatting sqref="B291:B4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4:B57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1:C4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4:C57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1:D4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4:D57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1:E4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4:E57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1:F4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4:F57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1:G4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4:G57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1:H4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4:H57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9"/>
  <sheetViews>
    <sheetView showGridLines="0" topLeftCell="A464" workbookViewId="0">
      <selection activeCell="D483" sqref="D483"/>
    </sheetView>
  </sheetViews>
  <sheetFormatPr baseColWidth="10" defaultColWidth="8.83203125" defaultRowHeight="16" outlineLevelRow="1"/>
  <cols>
    <col width="20" customWidth="1" min="1" max="1"/>
    <col width="16" customWidth="1" min="2" max="8"/>
    <col width="22" customWidth="1" min="11" max="11"/>
    <col width="8" customWidth="1" min="12" max="12"/>
  </cols>
  <sheetData>
    <row r="1">
      <c r="A1" s="32" t="inlineStr">
        <is>
          <t>Weekly Time Series by Trade Day — NSE vs BSE (all index options), Expiry Type 2 = Weekly + MDAW (Sep-2025 onwards, live)</t>
        </is>
      </c>
      <c r="K1" s="28" t="inlineStr">
        <is>
          <t>Cuts / Scope</t>
        </is>
      </c>
    </row>
    <row r="2">
      <c r="A2" s="48" t="inlineStr">
        <is>
          <t>Same week x day matrices as Analysis3 but only WEEKLY + MDAW premium (Expiry Type 2). MDAW = a monthly contract trading within 6 days of its expiry, i.e. acting as the front weekly (tagged on NIFTY &amp; SENSEX only).</t>
        </is>
      </c>
      <c r="K2" t="inlineStr">
        <is>
          <t>Index Options</t>
        </is>
      </c>
      <c r="L2" s="56" t="inlineStr">
        <is>
          <t>Yes</t>
        </is>
      </c>
    </row>
    <row r="3">
      <c r="A3" s="32" t="inlineStr">
        <is>
          <t>NSE Premium Turnover (INR Bn)</t>
        </is>
      </c>
      <c r="K3" t="inlineStr">
        <is>
          <t>Stock Options</t>
        </is>
      </c>
      <c r="L3" s="49" t="inlineStr">
        <is>
          <t>No</t>
        </is>
      </c>
    </row>
    <row r="4">
      <c r="A4" s="32" t="inlineStr">
        <is>
          <t>Trade Week-Month-Year</t>
        </is>
      </c>
      <c r="B4" s="32" t="inlineStr">
        <is>
          <t>Monday</t>
        </is>
      </c>
      <c r="C4" s="32" t="inlineStr">
        <is>
          <t>Tuesday</t>
        </is>
      </c>
      <c r="D4" s="32" t="inlineStr">
        <is>
          <t>Wednesday</t>
        </is>
      </c>
      <c r="E4" s="32" t="inlineStr">
        <is>
          <t>Thursday</t>
        </is>
      </c>
      <c r="F4" s="32" t="inlineStr">
        <is>
          <t>Friday</t>
        </is>
      </c>
      <c r="G4" s="32" t="inlineStr">
        <is>
          <t>Sunday</t>
        </is>
      </c>
      <c r="H4" s="32" t="inlineStr">
        <is>
          <t>Total</t>
        </is>
      </c>
      <c r="K4" t="inlineStr">
        <is>
          <t>Index Futures</t>
        </is>
      </c>
      <c r="L4" s="49" t="inlineStr">
        <is>
          <t>No</t>
        </is>
      </c>
    </row>
    <row r="5">
      <c r="A5" t="inlineStr">
        <is>
          <t>Week1-Sep-2025</t>
        </is>
      </c>
      <c r="B5" s="26">
        <f>IF(SUMIFS('NSE - NIFTY Index Options'!$M:$M,'NSE - NIFTY Index Options'!$C:$C,$A5,'NSE - NIFTY Index Options'!$B:$B,B$4,'NSE - NIFTY Index Options'!$I:$I,"Weekly*")+SUMIFS('NSE - NIFTY Index Options'!$M:$M,'NSE - NIFTY Index Options'!$C:$C,$A5,'NSE - NIFTY Index Options'!$B:$B,B$4,'NSE - NIFTY Index Options'!$I:$I,"MDAW*")+SUMIFS('NSE - Other Index Options'!$M:$M,'NSE - Other Index Options'!$C:$C,$A5,'NSE - Other Index Options'!$B:$B,B$4,'NSE - Other Index Options'!$I:$I,"Weekly*")+SUMIFS('NSE - Other Index Options'!$M:$M,'NSE - Other Index Options'!$C:$C,$A5,'NSE - Other Index Options'!$B:$B,B$4,'NSE - Other Index Options'!$I:$I,"MDAW*")=0,"",SUMIFS('NSE - NIFTY Index Options'!$M:$M,'NSE - NIFTY Index Options'!$C:$C,$A5,'NSE - NIFTY Index Options'!$B:$B,B$4,'NSE - NIFTY Index Options'!$I:$I,"Weekly*")+SUMIFS('NSE - NIFTY Index Options'!$M:$M,'NSE - NIFTY Index Options'!$C:$C,$A5,'NSE - NIFTY Index Options'!$B:$B,B$4,'NSE - NIFTY Index Options'!$I:$I,"MDAW*")+SUMIFS('NSE - Other Index Options'!$M:$M,'NSE - Other Index Options'!$C:$C,$A5,'NSE - Other Index Options'!$B:$B,B$4,'NSE - Other Index Options'!$I:$I,"Weekly*")+SUMIFS('NSE - Other Index Options'!$M:$M,'NSE - Other Index Options'!$C:$C,$A5,'NSE - Other Index Options'!$B:$B,B$4,'NSE - Other Index Options'!$I:$I,"MDAW*"))</f>
        <v/>
      </c>
      <c r="C5" s="26">
        <f>IF(SUMIFS('NSE - NIFTY Index Options'!$M:$M,'NSE - NIFTY Index Options'!$C:$C,$A5,'NSE - NIFTY Index Options'!$B:$B,C$4,'NSE - NIFTY Index Options'!$I:$I,"Weekly*")+SUMIFS('NSE - NIFTY Index Options'!$M:$M,'NSE - NIFTY Index Options'!$C:$C,$A5,'NSE - NIFTY Index Options'!$B:$B,C$4,'NSE - NIFTY Index Options'!$I:$I,"MDAW*")+SUMIFS('NSE - Other Index Options'!$M:$M,'NSE - Other Index Options'!$C:$C,$A5,'NSE - Other Index Options'!$B:$B,C$4,'NSE - Other Index Options'!$I:$I,"Weekly*")+SUMIFS('NSE - Other Index Options'!$M:$M,'NSE - Other Index Options'!$C:$C,$A5,'NSE - Other Index Options'!$B:$B,C$4,'NSE - Other Index Options'!$I:$I,"MDAW*")=0,"",SUMIFS('NSE - NIFTY Index Options'!$M:$M,'NSE - NIFTY Index Options'!$C:$C,$A5,'NSE - NIFTY Index Options'!$B:$B,C$4,'NSE - NIFTY Index Options'!$I:$I,"Weekly*")+SUMIFS('NSE - NIFTY Index Options'!$M:$M,'NSE - NIFTY Index Options'!$C:$C,$A5,'NSE - NIFTY Index Options'!$B:$B,C$4,'NSE - NIFTY Index Options'!$I:$I,"MDAW*")+SUMIFS('NSE - Other Index Options'!$M:$M,'NSE - Other Index Options'!$C:$C,$A5,'NSE - Other Index Options'!$B:$B,C$4,'NSE - Other Index Options'!$I:$I,"Weekly*")+SUMIFS('NSE - Other Index Options'!$M:$M,'NSE - Other Index Options'!$C:$C,$A5,'NSE - Other Index Options'!$B:$B,C$4,'NSE - Other Index Options'!$I:$I,"MDAW*"))</f>
        <v/>
      </c>
      <c r="D5" s="26">
        <f>IF(SUMIFS('NSE - NIFTY Index Options'!$M:$M,'NSE - NIFTY Index Options'!$C:$C,$A5,'NSE - NIFTY Index Options'!$B:$B,D$4,'NSE - NIFTY Index Options'!$I:$I,"Weekly*")+SUMIFS('NSE - NIFTY Index Options'!$M:$M,'NSE - NIFTY Index Options'!$C:$C,$A5,'NSE - NIFTY Index Options'!$B:$B,D$4,'NSE - NIFTY Index Options'!$I:$I,"MDAW*")+SUMIFS('NSE - Other Index Options'!$M:$M,'NSE - Other Index Options'!$C:$C,$A5,'NSE - Other Index Options'!$B:$B,D$4,'NSE - Other Index Options'!$I:$I,"Weekly*")+SUMIFS('NSE - Other Index Options'!$M:$M,'NSE - Other Index Options'!$C:$C,$A5,'NSE - Other Index Options'!$B:$B,D$4,'NSE - Other Index Options'!$I:$I,"MDAW*")=0,"",SUMIFS('NSE - NIFTY Index Options'!$M:$M,'NSE - NIFTY Index Options'!$C:$C,$A5,'NSE - NIFTY Index Options'!$B:$B,D$4,'NSE - NIFTY Index Options'!$I:$I,"Weekly*")+SUMIFS('NSE - NIFTY Index Options'!$M:$M,'NSE - NIFTY Index Options'!$C:$C,$A5,'NSE - NIFTY Index Options'!$B:$B,D$4,'NSE - NIFTY Index Options'!$I:$I,"MDAW*")+SUMIFS('NSE - Other Index Options'!$M:$M,'NSE - Other Index Options'!$C:$C,$A5,'NSE - Other Index Options'!$B:$B,D$4,'NSE - Other Index Options'!$I:$I,"Weekly*")+SUMIFS('NSE - Other Index Options'!$M:$M,'NSE - Other Index Options'!$C:$C,$A5,'NSE - Other Index Options'!$B:$B,D$4,'NSE - Other Index Options'!$I:$I,"MDAW*"))</f>
        <v/>
      </c>
      <c r="E5" s="26">
        <f>IF(SUMIFS('NSE - NIFTY Index Options'!$M:$M,'NSE - NIFTY Index Options'!$C:$C,$A5,'NSE - NIFTY Index Options'!$B:$B,E$4,'NSE - NIFTY Index Options'!$I:$I,"Weekly*")+SUMIFS('NSE - NIFTY Index Options'!$M:$M,'NSE - NIFTY Index Options'!$C:$C,$A5,'NSE - NIFTY Index Options'!$B:$B,E$4,'NSE - NIFTY Index Options'!$I:$I,"MDAW*")+SUMIFS('NSE - Other Index Options'!$M:$M,'NSE - Other Index Options'!$C:$C,$A5,'NSE - Other Index Options'!$B:$B,E$4,'NSE - Other Index Options'!$I:$I,"Weekly*")+SUMIFS('NSE - Other Index Options'!$M:$M,'NSE - Other Index Options'!$C:$C,$A5,'NSE - Other Index Options'!$B:$B,E$4,'NSE - Other Index Options'!$I:$I,"MDAW*")=0,"",SUMIFS('NSE - NIFTY Index Options'!$M:$M,'NSE - NIFTY Index Options'!$C:$C,$A5,'NSE - NIFTY Index Options'!$B:$B,E$4,'NSE - NIFTY Index Options'!$I:$I,"Weekly*")+SUMIFS('NSE - NIFTY Index Options'!$M:$M,'NSE - NIFTY Index Options'!$C:$C,$A5,'NSE - NIFTY Index Options'!$B:$B,E$4,'NSE - NIFTY Index Options'!$I:$I,"MDAW*")+SUMIFS('NSE - Other Index Options'!$M:$M,'NSE - Other Index Options'!$C:$C,$A5,'NSE - Other Index Options'!$B:$B,E$4,'NSE - Other Index Options'!$I:$I,"Weekly*")+SUMIFS('NSE - Other Index Options'!$M:$M,'NSE - Other Index Options'!$C:$C,$A5,'NSE - Other Index Options'!$B:$B,E$4,'NSE - Other Index Options'!$I:$I,"MDAW*"))</f>
        <v/>
      </c>
      <c r="F5" s="26">
        <f>IF(SUMIFS('NSE - NIFTY Index Options'!$M:$M,'NSE - NIFTY Index Options'!$C:$C,$A5,'NSE - NIFTY Index Options'!$B:$B,F$4,'NSE - NIFTY Index Options'!$I:$I,"Weekly*")+SUMIFS('NSE - NIFTY Index Options'!$M:$M,'NSE - NIFTY Index Options'!$C:$C,$A5,'NSE - NIFTY Index Options'!$B:$B,F$4,'NSE - NIFTY Index Options'!$I:$I,"MDAW*")+SUMIFS('NSE - Other Index Options'!$M:$M,'NSE - Other Index Options'!$C:$C,$A5,'NSE - Other Index Options'!$B:$B,F$4,'NSE - Other Index Options'!$I:$I,"Weekly*")+SUMIFS('NSE - Other Index Options'!$M:$M,'NSE - Other Index Options'!$C:$C,$A5,'NSE - Other Index Options'!$B:$B,F$4,'NSE - Other Index Options'!$I:$I,"MDAW*")=0,"",SUMIFS('NSE - NIFTY Index Options'!$M:$M,'NSE - NIFTY Index Options'!$C:$C,$A5,'NSE - NIFTY Index Options'!$B:$B,F$4,'NSE - NIFTY Index Options'!$I:$I,"Weekly*")+SUMIFS('NSE - NIFTY Index Options'!$M:$M,'NSE - NIFTY Index Options'!$C:$C,$A5,'NSE - NIFTY Index Options'!$B:$B,F$4,'NSE - NIFTY Index Options'!$I:$I,"MDAW*")+SUMIFS('NSE - Other Index Options'!$M:$M,'NSE - Other Index Options'!$C:$C,$A5,'NSE - Other Index Options'!$B:$B,F$4,'NSE - Other Index Options'!$I:$I,"Weekly*")+SUMIFS('NSE - Other Index Options'!$M:$M,'NSE - Other Index Options'!$C:$C,$A5,'NSE - Other Index Options'!$B:$B,F$4,'NSE - Other Index Options'!$I:$I,"MDAW*"))</f>
        <v/>
      </c>
      <c r="G5" s="26">
        <f>IF(SUMIFS('NSE - NIFTY Index Options'!$M:$M,'NSE - NIFTY Index Options'!$C:$C,$A5,'NSE - NIFTY Index Options'!$B:$B,G$4,'NSE - NIFTY Index Options'!$I:$I,"Weekly*")+SUMIFS('NSE - NIFTY Index Options'!$M:$M,'NSE - NIFTY Index Options'!$C:$C,$A5,'NSE - NIFTY Index Options'!$B:$B,G$4,'NSE - NIFTY Index Options'!$I:$I,"MDAW*")+SUMIFS('NSE - Other Index Options'!$M:$M,'NSE - Other Index Options'!$C:$C,$A5,'NSE - Other Index Options'!$B:$B,G$4,'NSE - Other Index Options'!$I:$I,"Weekly*")+SUMIFS('NSE - Other Index Options'!$M:$M,'NSE - Other Index Options'!$C:$C,$A5,'NSE - Other Index Options'!$B:$B,G$4,'NSE - Other Index Options'!$I:$I,"MDAW*")=0,"",SUMIFS('NSE - NIFTY Index Options'!$M:$M,'NSE - NIFTY Index Options'!$C:$C,$A5,'NSE - NIFTY Index Options'!$B:$B,G$4,'NSE - NIFTY Index Options'!$I:$I,"Weekly*")+SUMIFS('NSE - NIFTY Index Options'!$M:$M,'NSE - NIFTY Index Options'!$C:$C,$A5,'NSE - NIFTY Index Options'!$B:$B,G$4,'NSE - NIFTY Index Options'!$I:$I,"MDAW*")+SUMIFS('NSE - Other Index Options'!$M:$M,'NSE - Other Index Options'!$C:$C,$A5,'NSE - Other Index Options'!$B:$B,G$4,'NSE - Other Index Options'!$I:$I,"Weekly*")+SUMIFS('NSE - Other Index Options'!$M:$M,'NSE - Other Index Options'!$C:$C,$A5,'NSE - Other Index Options'!$B:$B,G$4,'NSE - Other Index Options'!$I:$I,"MDAW*"))</f>
        <v/>
      </c>
      <c r="H5" s="26">
        <f>IF(SUM(B5:G5)=0,"",SUM(B5:G5))</f>
        <v/>
      </c>
      <c r="K5" t="inlineStr">
        <is>
          <t>NSE</t>
        </is>
      </c>
      <c r="L5" s="56" t="inlineStr">
        <is>
          <t>Yes</t>
        </is>
      </c>
    </row>
    <row r="6">
      <c r="A6" t="inlineStr">
        <is>
          <t>Week2-Sep-2025</t>
        </is>
      </c>
      <c r="B6" s="26">
        <f>IF(SUMIFS('NSE - NIFTY Index Options'!$M:$M,'NSE - NIFTY Index Options'!$C:$C,$A6,'NSE - NIFTY Index Options'!$B:$B,B$4,'NSE - NIFTY Index Options'!$I:$I,"Weekly*")+SUMIFS('NSE - NIFTY Index Options'!$M:$M,'NSE - NIFTY Index Options'!$C:$C,$A6,'NSE - NIFTY Index Options'!$B:$B,B$4,'NSE - NIFTY Index Options'!$I:$I,"MDAW*")+SUMIFS('NSE - Other Index Options'!$M:$M,'NSE - Other Index Options'!$C:$C,$A6,'NSE - Other Index Options'!$B:$B,B$4,'NSE - Other Index Options'!$I:$I,"Weekly*")+SUMIFS('NSE - Other Index Options'!$M:$M,'NSE - Other Index Options'!$C:$C,$A6,'NSE - Other Index Options'!$B:$B,B$4,'NSE - Other Index Options'!$I:$I,"MDAW*")=0,"",SUMIFS('NSE - NIFTY Index Options'!$M:$M,'NSE - NIFTY Index Options'!$C:$C,$A6,'NSE - NIFTY Index Options'!$B:$B,B$4,'NSE - NIFTY Index Options'!$I:$I,"Weekly*")+SUMIFS('NSE - NIFTY Index Options'!$M:$M,'NSE - NIFTY Index Options'!$C:$C,$A6,'NSE - NIFTY Index Options'!$B:$B,B$4,'NSE - NIFTY Index Options'!$I:$I,"MDAW*")+SUMIFS('NSE - Other Index Options'!$M:$M,'NSE - Other Index Options'!$C:$C,$A6,'NSE - Other Index Options'!$B:$B,B$4,'NSE - Other Index Options'!$I:$I,"Weekly*")+SUMIFS('NSE - Other Index Options'!$M:$M,'NSE - Other Index Options'!$C:$C,$A6,'NSE - Other Index Options'!$B:$B,B$4,'NSE - Other Index Options'!$I:$I,"MDAW*"))</f>
        <v/>
      </c>
      <c r="C6" s="26">
        <f>IF(SUMIFS('NSE - NIFTY Index Options'!$M:$M,'NSE - NIFTY Index Options'!$C:$C,$A6,'NSE - NIFTY Index Options'!$B:$B,C$4,'NSE - NIFTY Index Options'!$I:$I,"Weekly*")+SUMIFS('NSE - NIFTY Index Options'!$M:$M,'NSE - NIFTY Index Options'!$C:$C,$A6,'NSE - NIFTY Index Options'!$B:$B,C$4,'NSE - NIFTY Index Options'!$I:$I,"MDAW*")+SUMIFS('NSE - Other Index Options'!$M:$M,'NSE - Other Index Options'!$C:$C,$A6,'NSE - Other Index Options'!$B:$B,C$4,'NSE - Other Index Options'!$I:$I,"Weekly*")+SUMIFS('NSE - Other Index Options'!$M:$M,'NSE - Other Index Options'!$C:$C,$A6,'NSE - Other Index Options'!$B:$B,C$4,'NSE - Other Index Options'!$I:$I,"MDAW*")=0,"",SUMIFS('NSE - NIFTY Index Options'!$M:$M,'NSE - NIFTY Index Options'!$C:$C,$A6,'NSE - NIFTY Index Options'!$B:$B,C$4,'NSE - NIFTY Index Options'!$I:$I,"Weekly*")+SUMIFS('NSE - NIFTY Index Options'!$M:$M,'NSE - NIFTY Index Options'!$C:$C,$A6,'NSE - NIFTY Index Options'!$B:$B,C$4,'NSE - NIFTY Index Options'!$I:$I,"MDAW*")+SUMIFS('NSE - Other Index Options'!$M:$M,'NSE - Other Index Options'!$C:$C,$A6,'NSE - Other Index Options'!$B:$B,C$4,'NSE - Other Index Options'!$I:$I,"Weekly*")+SUMIFS('NSE - Other Index Options'!$M:$M,'NSE - Other Index Options'!$C:$C,$A6,'NSE - Other Index Options'!$B:$B,C$4,'NSE - Other Index Options'!$I:$I,"MDAW*"))</f>
        <v/>
      </c>
      <c r="D6" s="26">
        <f>IF(SUMIFS('NSE - NIFTY Index Options'!$M:$M,'NSE - NIFTY Index Options'!$C:$C,$A6,'NSE - NIFTY Index Options'!$B:$B,D$4,'NSE - NIFTY Index Options'!$I:$I,"Weekly*")+SUMIFS('NSE - NIFTY Index Options'!$M:$M,'NSE - NIFTY Index Options'!$C:$C,$A6,'NSE - NIFTY Index Options'!$B:$B,D$4,'NSE - NIFTY Index Options'!$I:$I,"MDAW*")+SUMIFS('NSE - Other Index Options'!$M:$M,'NSE - Other Index Options'!$C:$C,$A6,'NSE - Other Index Options'!$B:$B,D$4,'NSE - Other Index Options'!$I:$I,"Weekly*")+SUMIFS('NSE - Other Index Options'!$M:$M,'NSE - Other Index Options'!$C:$C,$A6,'NSE - Other Index Options'!$B:$B,D$4,'NSE - Other Index Options'!$I:$I,"MDAW*")=0,"",SUMIFS('NSE - NIFTY Index Options'!$M:$M,'NSE - NIFTY Index Options'!$C:$C,$A6,'NSE - NIFTY Index Options'!$B:$B,D$4,'NSE - NIFTY Index Options'!$I:$I,"Weekly*")+SUMIFS('NSE - NIFTY Index Options'!$M:$M,'NSE - NIFTY Index Options'!$C:$C,$A6,'NSE - NIFTY Index Options'!$B:$B,D$4,'NSE - NIFTY Index Options'!$I:$I,"MDAW*")+SUMIFS('NSE - Other Index Options'!$M:$M,'NSE - Other Index Options'!$C:$C,$A6,'NSE - Other Index Options'!$B:$B,D$4,'NSE - Other Index Options'!$I:$I,"Weekly*")+SUMIFS('NSE - Other Index Options'!$M:$M,'NSE - Other Index Options'!$C:$C,$A6,'NSE - Other Index Options'!$B:$B,D$4,'NSE - Other Index Options'!$I:$I,"MDAW*"))</f>
        <v/>
      </c>
      <c r="E6" s="26">
        <f>IF(SUMIFS('NSE - NIFTY Index Options'!$M:$M,'NSE - NIFTY Index Options'!$C:$C,$A6,'NSE - NIFTY Index Options'!$B:$B,E$4,'NSE - NIFTY Index Options'!$I:$I,"Weekly*")+SUMIFS('NSE - NIFTY Index Options'!$M:$M,'NSE - NIFTY Index Options'!$C:$C,$A6,'NSE - NIFTY Index Options'!$B:$B,E$4,'NSE - NIFTY Index Options'!$I:$I,"MDAW*")+SUMIFS('NSE - Other Index Options'!$M:$M,'NSE - Other Index Options'!$C:$C,$A6,'NSE - Other Index Options'!$B:$B,E$4,'NSE - Other Index Options'!$I:$I,"Weekly*")+SUMIFS('NSE - Other Index Options'!$M:$M,'NSE - Other Index Options'!$C:$C,$A6,'NSE - Other Index Options'!$B:$B,E$4,'NSE - Other Index Options'!$I:$I,"MDAW*")=0,"",SUMIFS('NSE - NIFTY Index Options'!$M:$M,'NSE - NIFTY Index Options'!$C:$C,$A6,'NSE - NIFTY Index Options'!$B:$B,E$4,'NSE - NIFTY Index Options'!$I:$I,"Weekly*")+SUMIFS('NSE - NIFTY Index Options'!$M:$M,'NSE - NIFTY Index Options'!$C:$C,$A6,'NSE - NIFTY Index Options'!$B:$B,E$4,'NSE - NIFTY Index Options'!$I:$I,"MDAW*")+SUMIFS('NSE - Other Index Options'!$M:$M,'NSE - Other Index Options'!$C:$C,$A6,'NSE - Other Index Options'!$B:$B,E$4,'NSE - Other Index Options'!$I:$I,"Weekly*")+SUMIFS('NSE - Other Index Options'!$M:$M,'NSE - Other Index Options'!$C:$C,$A6,'NSE - Other Index Options'!$B:$B,E$4,'NSE - Other Index Options'!$I:$I,"MDAW*"))</f>
        <v/>
      </c>
      <c r="F6" s="26">
        <f>IF(SUMIFS('NSE - NIFTY Index Options'!$M:$M,'NSE - NIFTY Index Options'!$C:$C,$A6,'NSE - NIFTY Index Options'!$B:$B,F$4,'NSE - NIFTY Index Options'!$I:$I,"Weekly*")+SUMIFS('NSE - NIFTY Index Options'!$M:$M,'NSE - NIFTY Index Options'!$C:$C,$A6,'NSE - NIFTY Index Options'!$B:$B,F$4,'NSE - NIFTY Index Options'!$I:$I,"MDAW*")+SUMIFS('NSE - Other Index Options'!$M:$M,'NSE - Other Index Options'!$C:$C,$A6,'NSE - Other Index Options'!$B:$B,F$4,'NSE - Other Index Options'!$I:$I,"Weekly*")+SUMIFS('NSE - Other Index Options'!$M:$M,'NSE - Other Index Options'!$C:$C,$A6,'NSE - Other Index Options'!$B:$B,F$4,'NSE - Other Index Options'!$I:$I,"MDAW*")=0,"",SUMIFS('NSE - NIFTY Index Options'!$M:$M,'NSE - NIFTY Index Options'!$C:$C,$A6,'NSE - NIFTY Index Options'!$B:$B,F$4,'NSE - NIFTY Index Options'!$I:$I,"Weekly*")+SUMIFS('NSE - NIFTY Index Options'!$M:$M,'NSE - NIFTY Index Options'!$C:$C,$A6,'NSE - NIFTY Index Options'!$B:$B,F$4,'NSE - NIFTY Index Options'!$I:$I,"MDAW*")+SUMIFS('NSE - Other Index Options'!$M:$M,'NSE - Other Index Options'!$C:$C,$A6,'NSE - Other Index Options'!$B:$B,F$4,'NSE - Other Index Options'!$I:$I,"Weekly*")+SUMIFS('NSE - Other Index Options'!$M:$M,'NSE - Other Index Options'!$C:$C,$A6,'NSE - Other Index Options'!$B:$B,F$4,'NSE - Other Index Options'!$I:$I,"MDAW*"))</f>
        <v/>
      </c>
      <c r="G6" s="26">
        <f>IF(SUMIFS('NSE - NIFTY Index Options'!$M:$M,'NSE - NIFTY Index Options'!$C:$C,$A6,'NSE - NIFTY Index Options'!$B:$B,G$4,'NSE - NIFTY Index Options'!$I:$I,"Weekly*")+SUMIFS('NSE - NIFTY Index Options'!$M:$M,'NSE - NIFTY Index Options'!$C:$C,$A6,'NSE - NIFTY Index Options'!$B:$B,G$4,'NSE - NIFTY Index Options'!$I:$I,"MDAW*")+SUMIFS('NSE - Other Index Options'!$M:$M,'NSE - Other Index Options'!$C:$C,$A6,'NSE - Other Index Options'!$B:$B,G$4,'NSE - Other Index Options'!$I:$I,"Weekly*")+SUMIFS('NSE - Other Index Options'!$M:$M,'NSE - Other Index Options'!$C:$C,$A6,'NSE - Other Index Options'!$B:$B,G$4,'NSE - Other Index Options'!$I:$I,"MDAW*")=0,"",SUMIFS('NSE - NIFTY Index Options'!$M:$M,'NSE - NIFTY Index Options'!$C:$C,$A6,'NSE - NIFTY Index Options'!$B:$B,G$4,'NSE - NIFTY Index Options'!$I:$I,"Weekly*")+SUMIFS('NSE - NIFTY Index Options'!$M:$M,'NSE - NIFTY Index Options'!$C:$C,$A6,'NSE - NIFTY Index Options'!$B:$B,G$4,'NSE - NIFTY Index Options'!$I:$I,"MDAW*")+SUMIFS('NSE - Other Index Options'!$M:$M,'NSE - Other Index Options'!$C:$C,$A6,'NSE - Other Index Options'!$B:$B,G$4,'NSE - Other Index Options'!$I:$I,"Weekly*")+SUMIFS('NSE - Other Index Options'!$M:$M,'NSE - Other Index Options'!$C:$C,$A6,'NSE - Other Index Options'!$B:$B,G$4,'NSE - Other Index Options'!$I:$I,"MDAW*"))</f>
        <v/>
      </c>
      <c r="H6" s="26">
        <f>IF(SUM(B6:G6)=0,"",SUM(B6:G6))</f>
        <v/>
      </c>
      <c r="K6" t="inlineStr">
        <is>
          <t>BSE</t>
        </is>
      </c>
      <c r="L6" s="56" t="inlineStr">
        <is>
          <t>Yes</t>
        </is>
      </c>
    </row>
    <row r="7">
      <c r="A7" t="inlineStr">
        <is>
          <t>Week3-Sep-2025</t>
        </is>
      </c>
      <c r="B7" s="26">
        <f>IF(SUMIFS('NSE - NIFTY Index Options'!$M:$M,'NSE - NIFTY Index Options'!$C:$C,$A7,'NSE - NIFTY Index Options'!$B:$B,B$4,'NSE - NIFTY Index Options'!$I:$I,"Weekly*")+SUMIFS('NSE - NIFTY Index Options'!$M:$M,'NSE - NIFTY Index Options'!$C:$C,$A7,'NSE - NIFTY Index Options'!$B:$B,B$4,'NSE - NIFTY Index Options'!$I:$I,"MDAW*")+SUMIFS('NSE - Other Index Options'!$M:$M,'NSE - Other Index Options'!$C:$C,$A7,'NSE - Other Index Options'!$B:$B,B$4,'NSE - Other Index Options'!$I:$I,"Weekly*")+SUMIFS('NSE - Other Index Options'!$M:$M,'NSE - Other Index Options'!$C:$C,$A7,'NSE - Other Index Options'!$B:$B,B$4,'NSE - Other Index Options'!$I:$I,"MDAW*")=0,"",SUMIFS('NSE - NIFTY Index Options'!$M:$M,'NSE - NIFTY Index Options'!$C:$C,$A7,'NSE - NIFTY Index Options'!$B:$B,B$4,'NSE - NIFTY Index Options'!$I:$I,"Weekly*")+SUMIFS('NSE - NIFTY Index Options'!$M:$M,'NSE - NIFTY Index Options'!$C:$C,$A7,'NSE - NIFTY Index Options'!$B:$B,B$4,'NSE - NIFTY Index Options'!$I:$I,"MDAW*")+SUMIFS('NSE - Other Index Options'!$M:$M,'NSE - Other Index Options'!$C:$C,$A7,'NSE - Other Index Options'!$B:$B,B$4,'NSE - Other Index Options'!$I:$I,"Weekly*")+SUMIFS('NSE - Other Index Options'!$M:$M,'NSE - Other Index Options'!$C:$C,$A7,'NSE - Other Index Options'!$B:$B,B$4,'NSE - Other Index Options'!$I:$I,"MDAW*"))</f>
        <v/>
      </c>
      <c r="C7" s="26">
        <f>IF(SUMIFS('NSE - NIFTY Index Options'!$M:$M,'NSE - NIFTY Index Options'!$C:$C,$A7,'NSE - NIFTY Index Options'!$B:$B,C$4,'NSE - NIFTY Index Options'!$I:$I,"Weekly*")+SUMIFS('NSE - NIFTY Index Options'!$M:$M,'NSE - NIFTY Index Options'!$C:$C,$A7,'NSE - NIFTY Index Options'!$B:$B,C$4,'NSE - NIFTY Index Options'!$I:$I,"MDAW*")+SUMIFS('NSE - Other Index Options'!$M:$M,'NSE - Other Index Options'!$C:$C,$A7,'NSE - Other Index Options'!$B:$B,C$4,'NSE - Other Index Options'!$I:$I,"Weekly*")+SUMIFS('NSE - Other Index Options'!$M:$M,'NSE - Other Index Options'!$C:$C,$A7,'NSE - Other Index Options'!$B:$B,C$4,'NSE - Other Index Options'!$I:$I,"MDAW*")=0,"",SUMIFS('NSE - NIFTY Index Options'!$M:$M,'NSE - NIFTY Index Options'!$C:$C,$A7,'NSE - NIFTY Index Options'!$B:$B,C$4,'NSE - NIFTY Index Options'!$I:$I,"Weekly*")+SUMIFS('NSE - NIFTY Index Options'!$M:$M,'NSE - NIFTY Index Options'!$C:$C,$A7,'NSE - NIFTY Index Options'!$B:$B,C$4,'NSE - NIFTY Index Options'!$I:$I,"MDAW*")+SUMIFS('NSE - Other Index Options'!$M:$M,'NSE - Other Index Options'!$C:$C,$A7,'NSE - Other Index Options'!$B:$B,C$4,'NSE - Other Index Options'!$I:$I,"Weekly*")+SUMIFS('NSE - Other Index Options'!$M:$M,'NSE - Other Index Options'!$C:$C,$A7,'NSE - Other Index Options'!$B:$B,C$4,'NSE - Other Index Options'!$I:$I,"MDAW*"))</f>
        <v/>
      </c>
      <c r="D7" s="26">
        <f>IF(SUMIFS('NSE - NIFTY Index Options'!$M:$M,'NSE - NIFTY Index Options'!$C:$C,$A7,'NSE - NIFTY Index Options'!$B:$B,D$4,'NSE - NIFTY Index Options'!$I:$I,"Weekly*")+SUMIFS('NSE - NIFTY Index Options'!$M:$M,'NSE - NIFTY Index Options'!$C:$C,$A7,'NSE - NIFTY Index Options'!$B:$B,D$4,'NSE - NIFTY Index Options'!$I:$I,"MDAW*")+SUMIFS('NSE - Other Index Options'!$M:$M,'NSE - Other Index Options'!$C:$C,$A7,'NSE - Other Index Options'!$B:$B,D$4,'NSE - Other Index Options'!$I:$I,"Weekly*")+SUMIFS('NSE - Other Index Options'!$M:$M,'NSE - Other Index Options'!$C:$C,$A7,'NSE - Other Index Options'!$B:$B,D$4,'NSE - Other Index Options'!$I:$I,"MDAW*")=0,"",SUMIFS('NSE - NIFTY Index Options'!$M:$M,'NSE - NIFTY Index Options'!$C:$C,$A7,'NSE - NIFTY Index Options'!$B:$B,D$4,'NSE - NIFTY Index Options'!$I:$I,"Weekly*")+SUMIFS('NSE - NIFTY Index Options'!$M:$M,'NSE - NIFTY Index Options'!$C:$C,$A7,'NSE - NIFTY Index Options'!$B:$B,D$4,'NSE - NIFTY Index Options'!$I:$I,"MDAW*")+SUMIFS('NSE - Other Index Options'!$M:$M,'NSE - Other Index Options'!$C:$C,$A7,'NSE - Other Index Options'!$B:$B,D$4,'NSE - Other Index Options'!$I:$I,"Weekly*")+SUMIFS('NSE - Other Index Options'!$M:$M,'NSE - Other Index Options'!$C:$C,$A7,'NSE - Other Index Options'!$B:$B,D$4,'NSE - Other Index Options'!$I:$I,"MDAW*"))</f>
        <v/>
      </c>
      <c r="E7" s="26">
        <f>IF(SUMIFS('NSE - NIFTY Index Options'!$M:$M,'NSE - NIFTY Index Options'!$C:$C,$A7,'NSE - NIFTY Index Options'!$B:$B,E$4,'NSE - NIFTY Index Options'!$I:$I,"Weekly*")+SUMIFS('NSE - NIFTY Index Options'!$M:$M,'NSE - NIFTY Index Options'!$C:$C,$A7,'NSE - NIFTY Index Options'!$B:$B,E$4,'NSE - NIFTY Index Options'!$I:$I,"MDAW*")+SUMIFS('NSE - Other Index Options'!$M:$M,'NSE - Other Index Options'!$C:$C,$A7,'NSE - Other Index Options'!$B:$B,E$4,'NSE - Other Index Options'!$I:$I,"Weekly*")+SUMIFS('NSE - Other Index Options'!$M:$M,'NSE - Other Index Options'!$C:$C,$A7,'NSE - Other Index Options'!$B:$B,E$4,'NSE - Other Index Options'!$I:$I,"MDAW*")=0,"",SUMIFS('NSE - NIFTY Index Options'!$M:$M,'NSE - NIFTY Index Options'!$C:$C,$A7,'NSE - NIFTY Index Options'!$B:$B,E$4,'NSE - NIFTY Index Options'!$I:$I,"Weekly*")+SUMIFS('NSE - NIFTY Index Options'!$M:$M,'NSE - NIFTY Index Options'!$C:$C,$A7,'NSE - NIFTY Index Options'!$B:$B,E$4,'NSE - NIFTY Index Options'!$I:$I,"MDAW*")+SUMIFS('NSE - Other Index Options'!$M:$M,'NSE - Other Index Options'!$C:$C,$A7,'NSE - Other Index Options'!$B:$B,E$4,'NSE - Other Index Options'!$I:$I,"Weekly*")+SUMIFS('NSE - Other Index Options'!$M:$M,'NSE - Other Index Options'!$C:$C,$A7,'NSE - Other Index Options'!$B:$B,E$4,'NSE - Other Index Options'!$I:$I,"MDAW*"))</f>
        <v/>
      </c>
      <c r="F7" s="26">
        <f>IF(SUMIFS('NSE - NIFTY Index Options'!$M:$M,'NSE - NIFTY Index Options'!$C:$C,$A7,'NSE - NIFTY Index Options'!$B:$B,F$4,'NSE - NIFTY Index Options'!$I:$I,"Weekly*")+SUMIFS('NSE - NIFTY Index Options'!$M:$M,'NSE - NIFTY Index Options'!$C:$C,$A7,'NSE - NIFTY Index Options'!$B:$B,F$4,'NSE - NIFTY Index Options'!$I:$I,"MDAW*")+SUMIFS('NSE - Other Index Options'!$M:$M,'NSE - Other Index Options'!$C:$C,$A7,'NSE - Other Index Options'!$B:$B,F$4,'NSE - Other Index Options'!$I:$I,"Weekly*")+SUMIFS('NSE - Other Index Options'!$M:$M,'NSE - Other Index Options'!$C:$C,$A7,'NSE - Other Index Options'!$B:$B,F$4,'NSE - Other Index Options'!$I:$I,"MDAW*")=0,"",SUMIFS('NSE - NIFTY Index Options'!$M:$M,'NSE - NIFTY Index Options'!$C:$C,$A7,'NSE - NIFTY Index Options'!$B:$B,F$4,'NSE - NIFTY Index Options'!$I:$I,"Weekly*")+SUMIFS('NSE - NIFTY Index Options'!$M:$M,'NSE - NIFTY Index Options'!$C:$C,$A7,'NSE - NIFTY Index Options'!$B:$B,F$4,'NSE - NIFTY Index Options'!$I:$I,"MDAW*")+SUMIFS('NSE - Other Index Options'!$M:$M,'NSE - Other Index Options'!$C:$C,$A7,'NSE - Other Index Options'!$B:$B,F$4,'NSE - Other Index Options'!$I:$I,"Weekly*")+SUMIFS('NSE - Other Index Options'!$M:$M,'NSE - Other Index Options'!$C:$C,$A7,'NSE - Other Index Options'!$B:$B,F$4,'NSE - Other Index Options'!$I:$I,"MDAW*"))</f>
        <v/>
      </c>
      <c r="G7" s="26">
        <f>IF(SUMIFS('NSE - NIFTY Index Options'!$M:$M,'NSE - NIFTY Index Options'!$C:$C,$A7,'NSE - NIFTY Index Options'!$B:$B,G$4,'NSE - NIFTY Index Options'!$I:$I,"Weekly*")+SUMIFS('NSE - NIFTY Index Options'!$M:$M,'NSE - NIFTY Index Options'!$C:$C,$A7,'NSE - NIFTY Index Options'!$B:$B,G$4,'NSE - NIFTY Index Options'!$I:$I,"MDAW*")+SUMIFS('NSE - Other Index Options'!$M:$M,'NSE - Other Index Options'!$C:$C,$A7,'NSE - Other Index Options'!$B:$B,G$4,'NSE - Other Index Options'!$I:$I,"Weekly*")+SUMIFS('NSE - Other Index Options'!$M:$M,'NSE - Other Index Options'!$C:$C,$A7,'NSE - Other Index Options'!$B:$B,G$4,'NSE - Other Index Options'!$I:$I,"MDAW*")=0,"",SUMIFS('NSE - NIFTY Index Options'!$M:$M,'NSE - NIFTY Index Options'!$C:$C,$A7,'NSE - NIFTY Index Options'!$B:$B,G$4,'NSE - NIFTY Index Options'!$I:$I,"Weekly*")+SUMIFS('NSE - NIFTY Index Options'!$M:$M,'NSE - NIFTY Index Options'!$C:$C,$A7,'NSE - NIFTY Index Options'!$B:$B,G$4,'NSE - NIFTY Index Options'!$I:$I,"MDAW*")+SUMIFS('NSE - Other Index Options'!$M:$M,'NSE - Other Index Options'!$C:$C,$A7,'NSE - Other Index Options'!$B:$B,G$4,'NSE - Other Index Options'!$I:$I,"Weekly*")+SUMIFS('NSE - Other Index Options'!$M:$M,'NSE - Other Index Options'!$C:$C,$A7,'NSE - Other Index Options'!$B:$B,G$4,'NSE - Other Index Options'!$I:$I,"MDAW*"))</f>
        <v/>
      </c>
      <c r="H7" s="26">
        <f>IF(SUM(B7:G7)=0,"",SUM(B7:G7))</f>
        <v/>
      </c>
      <c r="K7" t="inlineStr">
        <is>
          <t>NIFTY Index</t>
        </is>
      </c>
      <c r="L7" s="56" t="inlineStr">
        <is>
          <t>Yes</t>
        </is>
      </c>
    </row>
    <row r="8">
      <c r="A8" t="inlineStr">
        <is>
          <t>Week4-Sep-2025</t>
        </is>
      </c>
      <c r="B8" s="26">
        <f>IF(SUMIFS('NSE - NIFTY Index Options'!$M:$M,'NSE - NIFTY Index Options'!$C:$C,$A8,'NSE - NIFTY Index Options'!$B:$B,B$4,'NSE - NIFTY Index Options'!$I:$I,"Weekly*")+SUMIFS('NSE - NIFTY Index Options'!$M:$M,'NSE - NIFTY Index Options'!$C:$C,$A8,'NSE - NIFTY Index Options'!$B:$B,B$4,'NSE - NIFTY Index Options'!$I:$I,"MDAW*")+SUMIFS('NSE - Other Index Options'!$M:$M,'NSE - Other Index Options'!$C:$C,$A8,'NSE - Other Index Options'!$B:$B,B$4,'NSE - Other Index Options'!$I:$I,"Weekly*")+SUMIFS('NSE - Other Index Options'!$M:$M,'NSE - Other Index Options'!$C:$C,$A8,'NSE - Other Index Options'!$B:$B,B$4,'NSE - Other Index Options'!$I:$I,"MDAW*")=0,"",SUMIFS('NSE - NIFTY Index Options'!$M:$M,'NSE - NIFTY Index Options'!$C:$C,$A8,'NSE - NIFTY Index Options'!$B:$B,B$4,'NSE - NIFTY Index Options'!$I:$I,"Weekly*")+SUMIFS('NSE - NIFTY Index Options'!$M:$M,'NSE - NIFTY Index Options'!$C:$C,$A8,'NSE - NIFTY Index Options'!$B:$B,B$4,'NSE - NIFTY Index Options'!$I:$I,"MDAW*")+SUMIFS('NSE - Other Index Options'!$M:$M,'NSE - Other Index Options'!$C:$C,$A8,'NSE - Other Index Options'!$B:$B,B$4,'NSE - Other Index Options'!$I:$I,"Weekly*")+SUMIFS('NSE - Other Index Options'!$M:$M,'NSE - Other Index Options'!$C:$C,$A8,'NSE - Other Index Options'!$B:$B,B$4,'NSE - Other Index Options'!$I:$I,"MDAW*"))</f>
        <v/>
      </c>
      <c r="C8" s="26">
        <f>IF(SUMIFS('NSE - NIFTY Index Options'!$M:$M,'NSE - NIFTY Index Options'!$C:$C,$A8,'NSE - NIFTY Index Options'!$B:$B,C$4,'NSE - NIFTY Index Options'!$I:$I,"Weekly*")+SUMIFS('NSE - NIFTY Index Options'!$M:$M,'NSE - NIFTY Index Options'!$C:$C,$A8,'NSE - NIFTY Index Options'!$B:$B,C$4,'NSE - NIFTY Index Options'!$I:$I,"MDAW*")+SUMIFS('NSE - Other Index Options'!$M:$M,'NSE - Other Index Options'!$C:$C,$A8,'NSE - Other Index Options'!$B:$B,C$4,'NSE - Other Index Options'!$I:$I,"Weekly*")+SUMIFS('NSE - Other Index Options'!$M:$M,'NSE - Other Index Options'!$C:$C,$A8,'NSE - Other Index Options'!$B:$B,C$4,'NSE - Other Index Options'!$I:$I,"MDAW*")=0,"",SUMIFS('NSE - NIFTY Index Options'!$M:$M,'NSE - NIFTY Index Options'!$C:$C,$A8,'NSE - NIFTY Index Options'!$B:$B,C$4,'NSE - NIFTY Index Options'!$I:$I,"Weekly*")+SUMIFS('NSE - NIFTY Index Options'!$M:$M,'NSE - NIFTY Index Options'!$C:$C,$A8,'NSE - NIFTY Index Options'!$B:$B,C$4,'NSE - NIFTY Index Options'!$I:$I,"MDAW*")+SUMIFS('NSE - Other Index Options'!$M:$M,'NSE - Other Index Options'!$C:$C,$A8,'NSE - Other Index Options'!$B:$B,C$4,'NSE - Other Index Options'!$I:$I,"Weekly*")+SUMIFS('NSE - Other Index Options'!$M:$M,'NSE - Other Index Options'!$C:$C,$A8,'NSE - Other Index Options'!$B:$B,C$4,'NSE - Other Index Options'!$I:$I,"MDAW*"))</f>
        <v/>
      </c>
      <c r="D8" s="26">
        <f>IF(SUMIFS('NSE - NIFTY Index Options'!$M:$M,'NSE - NIFTY Index Options'!$C:$C,$A8,'NSE - NIFTY Index Options'!$B:$B,D$4,'NSE - NIFTY Index Options'!$I:$I,"Weekly*")+SUMIFS('NSE - NIFTY Index Options'!$M:$M,'NSE - NIFTY Index Options'!$C:$C,$A8,'NSE - NIFTY Index Options'!$B:$B,D$4,'NSE - NIFTY Index Options'!$I:$I,"MDAW*")+SUMIFS('NSE - Other Index Options'!$M:$M,'NSE - Other Index Options'!$C:$C,$A8,'NSE - Other Index Options'!$B:$B,D$4,'NSE - Other Index Options'!$I:$I,"Weekly*")+SUMIFS('NSE - Other Index Options'!$M:$M,'NSE - Other Index Options'!$C:$C,$A8,'NSE - Other Index Options'!$B:$B,D$4,'NSE - Other Index Options'!$I:$I,"MDAW*")=0,"",SUMIFS('NSE - NIFTY Index Options'!$M:$M,'NSE - NIFTY Index Options'!$C:$C,$A8,'NSE - NIFTY Index Options'!$B:$B,D$4,'NSE - NIFTY Index Options'!$I:$I,"Weekly*")+SUMIFS('NSE - NIFTY Index Options'!$M:$M,'NSE - NIFTY Index Options'!$C:$C,$A8,'NSE - NIFTY Index Options'!$B:$B,D$4,'NSE - NIFTY Index Options'!$I:$I,"MDAW*")+SUMIFS('NSE - Other Index Options'!$M:$M,'NSE - Other Index Options'!$C:$C,$A8,'NSE - Other Index Options'!$B:$B,D$4,'NSE - Other Index Options'!$I:$I,"Weekly*")+SUMIFS('NSE - Other Index Options'!$M:$M,'NSE - Other Index Options'!$C:$C,$A8,'NSE - Other Index Options'!$B:$B,D$4,'NSE - Other Index Options'!$I:$I,"MDAW*"))</f>
        <v/>
      </c>
      <c r="E8" s="26">
        <f>IF(SUMIFS('NSE - NIFTY Index Options'!$M:$M,'NSE - NIFTY Index Options'!$C:$C,$A8,'NSE - NIFTY Index Options'!$B:$B,E$4,'NSE - NIFTY Index Options'!$I:$I,"Weekly*")+SUMIFS('NSE - NIFTY Index Options'!$M:$M,'NSE - NIFTY Index Options'!$C:$C,$A8,'NSE - NIFTY Index Options'!$B:$B,E$4,'NSE - NIFTY Index Options'!$I:$I,"MDAW*")+SUMIFS('NSE - Other Index Options'!$M:$M,'NSE - Other Index Options'!$C:$C,$A8,'NSE - Other Index Options'!$B:$B,E$4,'NSE - Other Index Options'!$I:$I,"Weekly*")+SUMIFS('NSE - Other Index Options'!$M:$M,'NSE - Other Index Options'!$C:$C,$A8,'NSE - Other Index Options'!$B:$B,E$4,'NSE - Other Index Options'!$I:$I,"MDAW*")=0,"",SUMIFS('NSE - NIFTY Index Options'!$M:$M,'NSE - NIFTY Index Options'!$C:$C,$A8,'NSE - NIFTY Index Options'!$B:$B,E$4,'NSE - NIFTY Index Options'!$I:$I,"Weekly*")+SUMIFS('NSE - NIFTY Index Options'!$M:$M,'NSE - NIFTY Index Options'!$C:$C,$A8,'NSE - NIFTY Index Options'!$B:$B,E$4,'NSE - NIFTY Index Options'!$I:$I,"MDAW*")+SUMIFS('NSE - Other Index Options'!$M:$M,'NSE - Other Index Options'!$C:$C,$A8,'NSE - Other Index Options'!$B:$B,E$4,'NSE - Other Index Options'!$I:$I,"Weekly*")+SUMIFS('NSE - Other Index Options'!$M:$M,'NSE - Other Index Options'!$C:$C,$A8,'NSE - Other Index Options'!$B:$B,E$4,'NSE - Other Index Options'!$I:$I,"MDAW*"))</f>
        <v/>
      </c>
      <c r="F8" s="26">
        <f>IF(SUMIFS('NSE - NIFTY Index Options'!$M:$M,'NSE - NIFTY Index Options'!$C:$C,$A8,'NSE - NIFTY Index Options'!$B:$B,F$4,'NSE - NIFTY Index Options'!$I:$I,"Weekly*")+SUMIFS('NSE - NIFTY Index Options'!$M:$M,'NSE - NIFTY Index Options'!$C:$C,$A8,'NSE - NIFTY Index Options'!$B:$B,F$4,'NSE - NIFTY Index Options'!$I:$I,"MDAW*")+SUMIFS('NSE - Other Index Options'!$M:$M,'NSE - Other Index Options'!$C:$C,$A8,'NSE - Other Index Options'!$B:$B,F$4,'NSE - Other Index Options'!$I:$I,"Weekly*")+SUMIFS('NSE - Other Index Options'!$M:$M,'NSE - Other Index Options'!$C:$C,$A8,'NSE - Other Index Options'!$B:$B,F$4,'NSE - Other Index Options'!$I:$I,"MDAW*")=0,"",SUMIFS('NSE - NIFTY Index Options'!$M:$M,'NSE - NIFTY Index Options'!$C:$C,$A8,'NSE - NIFTY Index Options'!$B:$B,F$4,'NSE - NIFTY Index Options'!$I:$I,"Weekly*")+SUMIFS('NSE - NIFTY Index Options'!$M:$M,'NSE - NIFTY Index Options'!$C:$C,$A8,'NSE - NIFTY Index Options'!$B:$B,F$4,'NSE - NIFTY Index Options'!$I:$I,"MDAW*")+SUMIFS('NSE - Other Index Options'!$M:$M,'NSE - Other Index Options'!$C:$C,$A8,'NSE - Other Index Options'!$B:$B,F$4,'NSE - Other Index Options'!$I:$I,"Weekly*")+SUMIFS('NSE - Other Index Options'!$M:$M,'NSE - Other Index Options'!$C:$C,$A8,'NSE - Other Index Options'!$B:$B,F$4,'NSE - Other Index Options'!$I:$I,"MDAW*"))</f>
        <v/>
      </c>
      <c r="G8" s="26">
        <f>IF(SUMIFS('NSE - NIFTY Index Options'!$M:$M,'NSE - NIFTY Index Options'!$C:$C,$A8,'NSE - NIFTY Index Options'!$B:$B,G$4,'NSE - NIFTY Index Options'!$I:$I,"Weekly*")+SUMIFS('NSE - NIFTY Index Options'!$M:$M,'NSE - NIFTY Index Options'!$C:$C,$A8,'NSE - NIFTY Index Options'!$B:$B,G$4,'NSE - NIFTY Index Options'!$I:$I,"MDAW*")+SUMIFS('NSE - Other Index Options'!$M:$M,'NSE - Other Index Options'!$C:$C,$A8,'NSE - Other Index Options'!$B:$B,G$4,'NSE - Other Index Options'!$I:$I,"Weekly*")+SUMIFS('NSE - Other Index Options'!$M:$M,'NSE - Other Index Options'!$C:$C,$A8,'NSE - Other Index Options'!$B:$B,G$4,'NSE - Other Index Options'!$I:$I,"MDAW*")=0,"",SUMIFS('NSE - NIFTY Index Options'!$M:$M,'NSE - NIFTY Index Options'!$C:$C,$A8,'NSE - NIFTY Index Options'!$B:$B,G$4,'NSE - NIFTY Index Options'!$I:$I,"Weekly*")+SUMIFS('NSE - NIFTY Index Options'!$M:$M,'NSE - NIFTY Index Options'!$C:$C,$A8,'NSE - NIFTY Index Options'!$B:$B,G$4,'NSE - NIFTY Index Options'!$I:$I,"MDAW*")+SUMIFS('NSE - Other Index Options'!$M:$M,'NSE - Other Index Options'!$C:$C,$A8,'NSE - Other Index Options'!$B:$B,G$4,'NSE - Other Index Options'!$I:$I,"Weekly*")+SUMIFS('NSE - Other Index Options'!$M:$M,'NSE - Other Index Options'!$C:$C,$A8,'NSE - Other Index Options'!$B:$B,G$4,'NSE - Other Index Options'!$I:$I,"MDAW*"))</f>
        <v/>
      </c>
      <c r="H8" s="26">
        <f>IF(SUM(B8:G8)=0,"",SUM(B8:G8))</f>
        <v/>
      </c>
      <c r="K8" t="inlineStr">
        <is>
          <t>Other NSE Indices</t>
        </is>
      </c>
      <c r="L8" s="56" t="inlineStr">
        <is>
          <t>No</t>
        </is>
      </c>
    </row>
    <row r="9">
      <c r="A9" t="inlineStr">
        <is>
          <t>Week5-Sep-2025</t>
        </is>
      </c>
      <c r="B9" s="26">
        <f>IF(SUMIFS('NSE - NIFTY Index Options'!$M:$M,'NSE - NIFTY Index Options'!$C:$C,$A9,'NSE - NIFTY Index Options'!$B:$B,B$4,'NSE - NIFTY Index Options'!$I:$I,"Weekly*")+SUMIFS('NSE - NIFTY Index Options'!$M:$M,'NSE - NIFTY Index Options'!$C:$C,$A9,'NSE - NIFTY Index Options'!$B:$B,B$4,'NSE - NIFTY Index Options'!$I:$I,"MDAW*")+SUMIFS('NSE - Other Index Options'!$M:$M,'NSE - Other Index Options'!$C:$C,$A9,'NSE - Other Index Options'!$B:$B,B$4,'NSE - Other Index Options'!$I:$I,"Weekly*")+SUMIFS('NSE - Other Index Options'!$M:$M,'NSE - Other Index Options'!$C:$C,$A9,'NSE - Other Index Options'!$B:$B,B$4,'NSE - Other Index Options'!$I:$I,"MDAW*")=0,"",SUMIFS('NSE - NIFTY Index Options'!$M:$M,'NSE - NIFTY Index Options'!$C:$C,$A9,'NSE - NIFTY Index Options'!$B:$B,B$4,'NSE - NIFTY Index Options'!$I:$I,"Weekly*")+SUMIFS('NSE - NIFTY Index Options'!$M:$M,'NSE - NIFTY Index Options'!$C:$C,$A9,'NSE - NIFTY Index Options'!$B:$B,B$4,'NSE - NIFTY Index Options'!$I:$I,"MDAW*")+SUMIFS('NSE - Other Index Options'!$M:$M,'NSE - Other Index Options'!$C:$C,$A9,'NSE - Other Index Options'!$B:$B,B$4,'NSE - Other Index Options'!$I:$I,"Weekly*")+SUMIFS('NSE - Other Index Options'!$M:$M,'NSE - Other Index Options'!$C:$C,$A9,'NSE - Other Index Options'!$B:$B,B$4,'NSE - Other Index Options'!$I:$I,"MDAW*"))</f>
        <v/>
      </c>
      <c r="C9" s="26">
        <f>IF(SUMIFS('NSE - NIFTY Index Options'!$M:$M,'NSE - NIFTY Index Options'!$C:$C,$A9,'NSE - NIFTY Index Options'!$B:$B,C$4,'NSE - NIFTY Index Options'!$I:$I,"Weekly*")+SUMIFS('NSE - NIFTY Index Options'!$M:$M,'NSE - NIFTY Index Options'!$C:$C,$A9,'NSE - NIFTY Index Options'!$B:$B,C$4,'NSE - NIFTY Index Options'!$I:$I,"MDAW*")+SUMIFS('NSE - Other Index Options'!$M:$M,'NSE - Other Index Options'!$C:$C,$A9,'NSE - Other Index Options'!$B:$B,C$4,'NSE - Other Index Options'!$I:$I,"Weekly*")+SUMIFS('NSE - Other Index Options'!$M:$M,'NSE - Other Index Options'!$C:$C,$A9,'NSE - Other Index Options'!$B:$B,C$4,'NSE - Other Index Options'!$I:$I,"MDAW*")=0,"",SUMIFS('NSE - NIFTY Index Options'!$M:$M,'NSE - NIFTY Index Options'!$C:$C,$A9,'NSE - NIFTY Index Options'!$B:$B,C$4,'NSE - NIFTY Index Options'!$I:$I,"Weekly*")+SUMIFS('NSE - NIFTY Index Options'!$M:$M,'NSE - NIFTY Index Options'!$C:$C,$A9,'NSE - NIFTY Index Options'!$B:$B,C$4,'NSE - NIFTY Index Options'!$I:$I,"MDAW*")+SUMIFS('NSE - Other Index Options'!$M:$M,'NSE - Other Index Options'!$C:$C,$A9,'NSE - Other Index Options'!$B:$B,C$4,'NSE - Other Index Options'!$I:$I,"Weekly*")+SUMIFS('NSE - Other Index Options'!$M:$M,'NSE - Other Index Options'!$C:$C,$A9,'NSE - Other Index Options'!$B:$B,C$4,'NSE - Other Index Options'!$I:$I,"MDAW*"))</f>
        <v/>
      </c>
      <c r="D9" s="26">
        <f>IF(SUMIFS('NSE - NIFTY Index Options'!$M:$M,'NSE - NIFTY Index Options'!$C:$C,$A9,'NSE - NIFTY Index Options'!$B:$B,D$4,'NSE - NIFTY Index Options'!$I:$I,"Weekly*")+SUMIFS('NSE - NIFTY Index Options'!$M:$M,'NSE - NIFTY Index Options'!$C:$C,$A9,'NSE - NIFTY Index Options'!$B:$B,D$4,'NSE - NIFTY Index Options'!$I:$I,"MDAW*")+SUMIFS('NSE - Other Index Options'!$M:$M,'NSE - Other Index Options'!$C:$C,$A9,'NSE - Other Index Options'!$B:$B,D$4,'NSE - Other Index Options'!$I:$I,"Weekly*")+SUMIFS('NSE - Other Index Options'!$M:$M,'NSE - Other Index Options'!$C:$C,$A9,'NSE - Other Index Options'!$B:$B,D$4,'NSE - Other Index Options'!$I:$I,"MDAW*")=0,"",SUMIFS('NSE - NIFTY Index Options'!$M:$M,'NSE - NIFTY Index Options'!$C:$C,$A9,'NSE - NIFTY Index Options'!$B:$B,D$4,'NSE - NIFTY Index Options'!$I:$I,"Weekly*")+SUMIFS('NSE - NIFTY Index Options'!$M:$M,'NSE - NIFTY Index Options'!$C:$C,$A9,'NSE - NIFTY Index Options'!$B:$B,D$4,'NSE - NIFTY Index Options'!$I:$I,"MDAW*")+SUMIFS('NSE - Other Index Options'!$M:$M,'NSE - Other Index Options'!$C:$C,$A9,'NSE - Other Index Options'!$B:$B,D$4,'NSE - Other Index Options'!$I:$I,"Weekly*")+SUMIFS('NSE - Other Index Options'!$M:$M,'NSE - Other Index Options'!$C:$C,$A9,'NSE - Other Index Options'!$B:$B,D$4,'NSE - Other Index Options'!$I:$I,"MDAW*"))</f>
        <v/>
      </c>
      <c r="E9" s="26">
        <f>IF(SUMIFS('NSE - NIFTY Index Options'!$M:$M,'NSE - NIFTY Index Options'!$C:$C,$A9,'NSE - NIFTY Index Options'!$B:$B,E$4,'NSE - NIFTY Index Options'!$I:$I,"Weekly*")+SUMIFS('NSE - NIFTY Index Options'!$M:$M,'NSE - NIFTY Index Options'!$C:$C,$A9,'NSE - NIFTY Index Options'!$B:$B,E$4,'NSE - NIFTY Index Options'!$I:$I,"MDAW*")+SUMIFS('NSE - Other Index Options'!$M:$M,'NSE - Other Index Options'!$C:$C,$A9,'NSE - Other Index Options'!$B:$B,E$4,'NSE - Other Index Options'!$I:$I,"Weekly*")+SUMIFS('NSE - Other Index Options'!$M:$M,'NSE - Other Index Options'!$C:$C,$A9,'NSE - Other Index Options'!$B:$B,E$4,'NSE - Other Index Options'!$I:$I,"MDAW*")=0,"",SUMIFS('NSE - NIFTY Index Options'!$M:$M,'NSE - NIFTY Index Options'!$C:$C,$A9,'NSE - NIFTY Index Options'!$B:$B,E$4,'NSE - NIFTY Index Options'!$I:$I,"Weekly*")+SUMIFS('NSE - NIFTY Index Options'!$M:$M,'NSE - NIFTY Index Options'!$C:$C,$A9,'NSE - NIFTY Index Options'!$B:$B,E$4,'NSE - NIFTY Index Options'!$I:$I,"MDAW*")+SUMIFS('NSE - Other Index Options'!$M:$M,'NSE - Other Index Options'!$C:$C,$A9,'NSE - Other Index Options'!$B:$B,E$4,'NSE - Other Index Options'!$I:$I,"Weekly*")+SUMIFS('NSE - Other Index Options'!$M:$M,'NSE - Other Index Options'!$C:$C,$A9,'NSE - Other Index Options'!$B:$B,E$4,'NSE - Other Index Options'!$I:$I,"MDAW*"))</f>
        <v/>
      </c>
      <c r="F9" s="26">
        <f>IF(SUMIFS('NSE - NIFTY Index Options'!$M:$M,'NSE - NIFTY Index Options'!$C:$C,$A9,'NSE - NIFTY Index Options'!$B:$B,F$4,'NSE - NIFTY Index Options'!$I:$I,"Weekly*")+SUMIFS('NSE - NIFTY Index Options'!$M:$M,'NSE - NIFTY Index Options'!$C:$C,$A9,'NSE - NIFTY Index Options'!$B:$B,F$4,'NSE - NIFTY Index Options'!$I:$I,"MDAW*")+SUMIFS('NSE - Other Index Options'!$M:$M,'NSE - Other Index Options'!$C:$C,$A9,'NSE - Other Index Options'!$B:$B,F$4,'NSE - Other Index Options'!$I:$I,"Weekly*")+SUMIFS('NSE - Other Index Options'!$M:$M,'NSE - Other Index Options'!$C:$C,$A9,'NSE - Other Index Options'!$B:$B,F$4,'NSE - Other Index Options'!$I:$I,"MDAW*")=0,"",SUMIFS('NSE - NIFTY Index Options'!$M:$M,'NSE - NIFTY Index Options'!$C:$C,$A9,'NSE - NIFTY Index Options'!$B:$B,F$4,'NSE - NIFTY Index Options'!$I:$I,"Weekly*")+SUMIFS('NSE - NIFTY Index Options'!$M:$M,'NSE - NIFTY Index Options'!$C:$C,$A9,'NSE - NIFTY Index Options'!$B:$B,F$4,'NSE - NIFTY Index Options'!$I:$I,"MDAW*")+SUMIFS('NSE - Other Index Options'!$M:$M,'NSE - Other Index Options'!$C:$C,$A9,'NSE - Other Index Options'!$B:$B,F$4,'NSE - Other Index Options'!$I:$I,"Weekly*")+SUMIFS('NSE - Other Index Options'!$M:$M,'NSE - Other Index Options'!$C:$C,$A9,'NSE - Other Index Options'!$B:$B,F$4,'NSE - Other Index Options'!$I:$I,"MDAW*"))</f>
        <v/>
      </c>
      <c r="G9" s="26">
        <f>IF(SUMIFS('NSE - NIFTY Index Options'!$M:$M,'NSE - NIFTY Index Options'!$C:$C,$A9,'NSE - NIFTY Index Options'!$B:$B,G$4,'NSE - NIFTY Index Options'!$I:$I,"Weekly*")+SUMIFS('NSE - NIFTY Index Options'!$M:$M,'NSE - NIFTY Index Options'!$C:$C,$A9,'NSE - NIFTY Index Options'!$B:$B,G$4,'NSE - NIFTY Index Options'!$I:$I,"MDAW*")+SUMIFS('NSE - Other Index Options'!$M:$M,'NSE - Other Index Options'!$C:$C,$A9,'NSE - Other Index Options'!$B:$B,G$4,'NSE - Other Index Options'!$I:$I,"Weekly*")+SUMIFS('NSE - Other Index Options'!$M:$M,'NSE - Other Index Options'!$C:$C,$A9,'NSE - Other Index Options'!$B:$B,G$4,'NSE - Other Index Options'!$I:$I,"MDAW*")=0,"",SUMIFS('NSE - NIFTY Index Options'!$M:$M,'NSE - NIFTY Index Options'!$C:$C,$A9,'NSE - NIFTY Index Options'!$B:$B,G$4,'NSE - NIFTY Index Options'!$I:$I,"Weekly*")+SUMIFS('NSE - NIFTY Index Options'!$M:$M,'NSE - NIFTY Index Options'!$C:$C,$A9,'NSE - NIFTY Index Options'!$B:$B,G$4,'NSE - NIFTY Index Options'!$I:$I,"MDAW*")+SUMIFS('NSE - Other Index Options'!$M:$M,'NSE - Other Index Options'!$C:$C,$A9,'NSE - Other Index Options'!$B:$B,G$4,'NSE - Other Index Options'!$I:$I,"Weekly*")+SUMIFS('NSE - Other Index Options'!$M:$M,'NSE - Other Index Options'!$C:$C,$A9,'NSE - Other Index Options'!$B:$B,G$4,'NSE - Other Index Options'!$I:$I,"MDAW*"))</f>
        <v/>
      </c>
      <c r="H9" s="26">
        <f>IF(SUM(B9:G9)=0,"",SUM(B9:G9))</f>
        <v/>
      </c>
      <c r="K9" t="inlineStr">
        <is>
          <t>SENSEX Index</t>
        </is>
      </c>
      <c r="L9" s="56" t="inlineStr">
        <is>
          <t>Yes</t>
        </is>
      </c>
    </row>
    <row r="10">
      <c r="A10" t="inlineStr">
        <is>
          <t>Week1-Oct-2025</t>
        </is>
      </c>
      <c r="B10" s="26">
        <f>IF(SUMIFS('NSE - NIFTY Index Options'!$M:$M,'NSE - NIFTY Index Options'!$C:$C,$A10,'NSE - NIFTY Index Options'!$B:$B,B$4,'NSE - NIFTY Index Options'!$I:$I,"Weekly*")+SUMIFS('NSE - NIFTY Index Options'!$M:$M,'NSE - NIFTY Index Options'!$C:$C,$A10,'NSE - NIFTY Index Options'!$B:$B,B$4,'NSE - NIFTY Index Options'!$I:$I,"MDAW*")+SUMIFS('NSE - Other Index Options'!$M:$M,'NSE - Other Index Options'!$C:$C,$A10,'NSE - Other Index Options'!$B:$B,B$4,'NSE - Other Index Options'!$I:$I,"Weekly*")+SUMIFS('NSE - Other Index Options'!$M:$M,'NSE - Other Index Options'!$C:$C,$A10,'NSE - Other Index Options'!$B:$B,B$4,'NSE - Other Index Options'!$I:$I,"MDAW*")=0,"",SUMIFS('NSE - NIFTY Index Options'!$M:$M,'NSE - NIFTY Index Options'!$C:$C,$A10,'NSE - NIFTY Index Options'!$B:$B,B$4,'NSE - NIFTY Index Options'!$I:$I,"Weekly*")+SUMIFS('NSE - NIFTY Index Options'!$M:$M,'NSE - NIFTY Index Options'!$C:$C,$A10,'NSE - NIFTY Index Options'!$B:$B,B$4,'NSE - NIFTY Index Options'!$I:$I,"MDAW*")+SUMIFS('NSE - Other Index Options'!$M:$M,'NSE - Other Index Options'!$C:$C,$A10,'NSE - Other Index Options'!$B:$B,B$4,'NSE - Other Index Options'!$I:$I,"Weekly*")+SUMIFS('NSE - Other Index Options'!$M:$M,'NSE - Other Index Options'!$C:$C,$A10,'NSE - Other Index Options'!$B:$B,B$4,'NSE - Other Index Options'!$I:$I,"MDAW*"))</f>
        <v/>
      </c>
      <c r="C10" s="26">
        <f>IF(SUMIFS('NSE - NIFTY Index Options'!$M:$M,'NSE - NIFTY Index Options'!$C:$C,$A10,'NSE - NIFTY Index Options'!$B:$B,C$4,'NSE - NIFTY Index Options'!$I:$I,"Weekly*")+SUMIFS('NSE - NIFTY Index Options'!$M:$M,'NSE - NIFTY Index Options'!$C:$C,$A10,'NSE - NIFTY Index Options'!$B:$B,C$4,'NSE - NIFTY Index Options'!$I:$I,"MDAW*")+SUMIFS('NSE - Other Index Options'!$M:$M,'NSE - Other Index Options'!$C:$C,$A10,'NSE - Other Index Options'!$B:$B,C$4,'NSE - Other Index Options'!$I:$I,"Weekly*")+SUMIFS('NSE - Other Index Options'!$M:$M,'NSE - Other Index Options'!$C:$C,$A10,'NSE - Other Index Options'!$B:$B,C$4,'NSE - Other Index Options'!$I:$I,"MDAW*")=0,"",SUMIFS('NSE - NIFTY Index Options'!$M:$M,'NSE - NIFTY Index Options'!$C:$C,$A10,'NSE - NIFTY Index Options'!$B:$B,C$4,'NSE - NIFTY Index Options'!$I:$I,"Weekly*")+SUMIFS('NSE - NIFTY Index Options'!$M:$M,'NSE - NIFTY Index Options'!$C:$C,$A10,'NSE - NIFTY Index Options'!$B:$B,C$4,'NSE - NIFTY Index Options'!$I:$I,"MDAW*")+SUMIFS('NSE - Other Index Options'!$M:$M,'NSE - Other Index Options'!$C:$C,$A10,'NSE - Other Index Options'!$B:$B,C$4,'NSE - Other Index Options'!$I:$I,"Weekly*")+SUMIFS('NSE - Other Index Options'!$M:$M,'NSE - Other Index Options'!$C:$C,$A10,'NSE - Other Index Options'!$B:$B,C$4,'NSE - Other Index Options'!$I:$I,"MDAW*"))</f>
        <v/>
      </c>
      <c r="D10" s="26">
        <f>IF(SUMIFS('NSE - NIFTY Index Options'!$M:$M,'NSE - NIFTY Index Options'!$C:$C,$A10,'NSE - NIFTY Index Options'!$B:$B,D$4,'NSE - NIFTY Index Options'!$I:$I,"Weekly*")+SUMIFS('NSE - NIFTY Index Options'!$M:$M,'NSE - NIFTY Index Options'!$C:$C,$A10,'NSE - NIFTY Index Options'!$B:$B,D$4,'NSE - NIFTY Index Options'!$I:$I,"MDAW*")+SUMIFS('NSE - Other Index Options'!$M:$M,'NSE - Other Index Options'!$C:$C,$A10,'NSE - Other Index Options'!$B:$B,D$4,'NSE - Other Index Options'!$I:$I,"Weekly*")+SUMIFS('NSE - Other Index Options'!$M:$M,'NSE - Other Index Options'!$C:$C,$A10,'NSE - Other Index Options'!$B:$B,D$4,'NSE - Other Index Options'!$I:$I,"MDAW*")=0,"",SUMIFS('NSE - NIFTY Index Options'!$M:$M,'NSE - NIFTY Index Options'!$C:$C,$A10,'NSE - NIFTY Index Options'!$B:$B,D$4,'NSE - NIFTY Index Options'!$I:$I,"Weekly*")+SUMIFS('NSE - NIFTY Index Options'!$M:$M,'NSE - NIFTY Index Options'!$C:$C,$A10,'NSE - NIFTY Index Options'!$B:$B,D$4,'NSE - NIFTY Index Options'!$I:$I,"MDAW*")+SUMIFS('NSE - Other Index Options'!$M:$M,'NSE - Other Index Options'!$C:$C,$A10,'NSE - Other Index Options'!$B:$B,D$4,'NSE - Other Index Options'!$I:$I,"Weekly*")+SUMIFS('NSE - Other Index Options'!$M:$M,'NSE - Other Index Options'!$C:$C,$A10,'NSE - Other Index Options'!$B:$B,D$4,'NSE - Other Index Options'!$I:$I,"MDAW*"))</f>
        <v/>
      </c>
      <c r="E10" s="26">
        <f>IF(SUMIFS('NSE - NIFTY Index Options'!$M:$M,'NSE - NIFTY Index Options'!$C:$C,$A10,'NSE - NIFTY Index Options'!$B:$B,E$4,'NSE - NIFTY Index Options'!$I:$I,"Weekly*")+SUMIFS('NSE - NIFTY Index Options'!$M:$M,'NSE - NIFTY Index Options'!$C:$C,$A10,'NSE - NIFTY Index Options'!$B:$B,E$4,'NSE - NIFTY Index Options'!$I:$I,"MDAW*")+SUMIFS('NSE - Other Index Options'!$M:$M,'NSE - Other Index Options'!$C:$C,$A10,'NSE - Other Index Options'!$B:$B,E$4,'NSE - Other Index Options'!$I:$I,"Weekly*")+SUMIFS('NSE - Other Index Options'!$M:$M,'NSE - Other Index Options'!$C:$C,$A10,'NSE - Other Index Options'!$B:$B,E$4,'NSE - Other Index Options'!$I:$I,"MDAW*")=0,"",SUMIFS('NSE - NIFTY Index Options'!$M:$M,'NSE - NIFTY Index Options'!$C:$C,$A10,'NSE - NIFTY Index Options'!$B:$B,E$4,'NSE - NIFTY Index Options'!$I:$I,"Weekly*")+SUMIFS('NSE - NIFTY Index Options'!$M:$M,'NSE - NIFTY Index Options'!$C:$C,$A10,'NSE - NIFTY Index Options'!$B:$B,E$4,'NSE - NIFTY Index Options'!$I:$I,"MDAW*")+SUMIFS('NSE - Other Index Options'!$M:$M,'NSE - Other Index Options'!$C:$C,$A10,'NSE - Other Index Options'!$B:$B,E$4,'NSE - Other Index Options'!$I:$I,"Weekly*")+SUMIFS('NSE - Other Index Options'!$M:$M,'NSE - Other Index Options'!$C:$C,$A10,'NSE - Other Index Options'!$B:$B,E$4,'NSE - Other Index Options'!$I:$I,"MDAW*"))</f>
        <v/>
      </c>
      <c r="F10" s="26">
        <f>IF(SUMIFS('NSE - NIFTY Index Options'!$M:$M,'NSE - NIFTY Index Options'!$C:$C,$A10,'NSE - NIFTY Index Options'!$B:$B,F$4,'NSE - NIFTY Index Options'!$I:$I,"Weekly*")+SUMIFS('NSE - NIFTY Index Options'!$M:$M,'NSE - NIFTY Index Options'!$C:$C,$A10,'NSE - NIFTY Index Options'!$B:$B,F$4,'NSE - NIFTY Index Options'!$I:$I,"MDAW*")+SUMIFS('NSE - Other Index Options'!$M:$M,'NSE - Other Index Options'!$C:$C,$A10,'NSE - Other Index Options'!$B:$B,F$4,'NSE - Other Index Options'!$I:$I,"Weekly*")+SUMIFS('NSE - Other Index Options'!$M:$M,'NSE - Other Index Options'!$C:$C,$A10,'NSE - Other Index Options'!$B:$B,F$4,'NSE - Other Index Options'!$I:$I,"MDAW*")=0,"",SUMIFS('NSE - NIFTY Index Options'!$M:$M,'NSE - NIFTY Index Options'!$C:$C,$A10,'NSE - NIFTY Index Options'!$B:$B,F$4,'NSE - NIFTY Index Options'!$I:$I,"Weekly*")+SUMIFS('NSE - NIFTY Index Options'!$M:$M,'NSE - NIFTY Index Options'!$C:$C,$A10,'NSE - NIFTY Index Options'!$B:$B,F$4,'NSE - NIFTY Index Options'!$I:$I,"MDAW*")+SUMIFS('NSE - Other Index Options'!$M:$M,'NSE - Other Index Options'!$C:$C,$A10,'NSE - Other Index Options'!$B:$B,F$4,'NSE - Other Index Options'!$I:$I,"Weekly*")+SUMIFS('NSE - Other Index Options'!$M:$M,'NSE - Other Index Options'!$C:$C,$A10,'NSE - Other Index Options'!$B:$B,F$4,'NSE - Other Index Options'!$I:$I,"MDAW*"))</f>
        <v/>
      </c>
      <c r="G10" s="26">
        <f>IF(SUMIFS('NSE - NIFTY Index Options'!$M:$M,'NSE - NIFTY Index Options'!$C:$C,$A10,'NSE - NIFTY Index Options'!$B:$B,G$4,'NSE - NIFTY Index Options'!$I:$I,"Weekly*")+SUMIFS('NSE - NIFTY Index Options'!$M:$M,'NSE - NIFTY Index Options'!$C:$C,$A10,'NSE - NIFTY Index Options'!$B:$B,G$4,'NSE - NIFTY Index Options'!$I:$I,"MDAW*")+SUMIFS('NSE - Other Index Options'!$M:$M,'NSE - Other Index Options'!$C:$C,$A10,'NSE - Other Index Options'!$B:$B,G$4,'NSE - Other Index Options'!$I:$I,"Weekly*")+SUMIFS('NSE - Other Index Options'!$M:$M,'NSE - Other Index Options'!$C:$C,$A10,'NSE - Other Index Options'!$B:$B,G$4,'NSE - Other Index Options'!$I:$I,"MDAW*")=0,"",SUMIFS('NSE - NIFTY Index Options'!$M:$M,'NSE - NIFTY Index Options'!$C:$C,$A10,'NSE - NIFTY Index Options'!$B:$B,G$4,'NSE - NIFTY Index Options'!$I:$I,"Weekly*")+SUMIFS('NSE - NIFTY Index Options'!$M:$M,'NSE - NIFTY Index Options'!$C:$C,$A10,'NSE - NIFTY Index Options'!$B:$B,G$4,'NSE - NIFTY Index Options'!$I:$I,"MDAW*")+SUMIFS('NSE - Other Index Options'!$M:$M,'NSE - Other Index Options'!$C:$C,$A10,'NSE - Other Index Options'!$B:$B,G$4,'NSE - Other Index Options'!$I:$I,"Weekly*")+SUMIFS('NSE - Other Index Options'!$M:$M,'NSE - Other Index Options'!$C:$C,$A10,'NSE - Other Index Options'!$B:$B,G$4,'NSE - Other Index Options'!$I:$I,"MDAW*"))</f>
        <v/>
      </c>
      <c r="H10" s="26">
        <f>IF(SUM(B10:G10)=0,"",SUM(B10:G10))</f>
        <v/>
      </c>
      <c r="K10" t="inlineStr">
        <is>
          <t>Other BSE Indices</t>
        </is>
      </c>
      <c r="L10" s="57" t="inlineStr">
        <is>
          <t>No</t>
        </is>
      </c>
    </row>
    <row r="11">
      <c r="A11" t="inlineStr">
        <is>
          <t>Week2-Oct-2025</t>
        </is>
      </c>
      <c r="B11" s="26">
        <f>IF(SUMIFS('NSE - NIFTY Index Options'!$M:$M,'NSE - NIFTY Index Options'!$C:$C,$A11,'NSE - NIFTY Index Options'!$B:$B,B$4,'NSE - NIFTY Index Options'!$I:$I,"Weekly*")+SUMIFS('NSE - NIFTY Index Options'!$M:$M,'NSE - NIFTY Index Options'!$C:$C,$A11,'NSE - NIFTY Index Options'!$B:$B,B$4,'NSE - NIFTY Index Options'!$I:$I,"MDAW*")+SUMIFS('NSE - Other Index Options'!$M:$M,'NSE - Other Index Options'!$C:$C,$A11,'NSE - Other Index Options'!$B:$B,B$4,'NSE - Other Index Options'!$I:$I,"Weekly*")+SUMIFS('NSE - Other Index Options'!$M:$M,'NSE - Other Index Options'!$C:$C,$A11,'NSE - Other Index Options'!$B:$B,B$4,'NSE - Other Index Options'!$I:$I,"MDAW*")=0,"",SUMIFS('NSE - NIFTY Index Options'!$M:$M,'NSE - NIFTY Index Options'!$C:$C,$A11,'NSE - NIFTY Index Options'!$B:$B,B$4,'NSE - NIFTY Index Options'!$I:$I,"Weekly*")+SUMIFS('NSE - NIFTY Index Options'!$M:$M,'NSE - NIFTY Index Options'!$C:$C,$A11,'NSE - NIFTY Index Options'!$B:$B,B$4,'NSE - NIFTY Index Options'!$I:$I,"MDAW*")+SUMIFS('NSE - Other Index Options'!$M:$M,'NSE - Other Index Options'!$C:$C,$A11,'NSE - Other Index Options'!$B:$B,B$4,'NSE - Other Index Options'!$I:$I,"Weekly*")+SUMIFS('NSE - Other Index Options'!$M:$M,'NSE - Other Index Options'!$C:$C,$A11,'NSE - Other Index Options'!$B:$B,B$4,'NSE - Other Index Options'!$I:$I,"MDAW*"))</f>
        <v/>
      </c>
      <c r="C11" s="26">
        <f>IF(SUMIFS('NSE - NIFTY Index Options'!$M:$M,'NSE - NIFTY Index Options'!$C:$C,$A11,'NSE - NIFTY Index Options'!$B:$B,C$4,'NSE - NIFTY Index Options'!$I:$I,"Weekly*")+SUMIFS('NSE - NIFTY Index Options'!$M:$M,'NSE - NIFTY Index Options'!$C:$C,$A11,'NSE - NIFTY Index Options'!$B:$B,C$4,'NSE - NIFTY Index Options'!$I:$I,"MDAW*")+SUMIFS('NSE - Other Index Options'!$M:$M,'NSE - Other Index Options'!$C:$C,$A11,'NSE - Other Index Options'!$B:$B,C$4,'NSE - Other Index Options'!$I:$I,"Weekly*")+SUMIFS('NSE - Other Index Options'!$M:$M,'NSE - Other Index Options'!$C:$C,$A11,'NSE - Other Index Options'!$B:$B,C$4,'NSE - Other Index Options'!$I:$I,"MDAW*")=0,"",SUMIFS('NSE - NIFTY Index Options'!$M:$M,'NSE - NIFTY Index Options'!$C:$C,$A11,'NSE - NIFTY Index Options'!$B:$B,C$4,'NSE - NIFTY Index Options'!$I:$I,"Weekly*")+SUMIFS('NSE - NIFTY Index Options'!$M:$M,'NSE - NIFTY Index Options'!$C:$C,$A11,'NSE - NIFTY Index Options'!$B:$B,C$4,'NSE - NIFTY Index Options'!$I:$I,"MDAW*")+SUMIFS('NSE - Other Index Options'!$M:$M,'NSE - Other Index Options'!$C:$C,$A11,'NSE - Other Index Options'!$B:$B,C$4,'NSE - Other Index Options'!$I:$I,"Weekly*")+SUMIFS('NSE - Other Index Options'!$M:$M,'NSE - Other Index Options'!$C:$C,$A11,'NSE - Other Index Options'!$B:$B,C$4,'NSE - Other Index Options'!$I:$I,"MDAW*"))</f>
        <v/>
      </c>
      <c r="D11" s="26">
        <f>IF(SUMIFS('NSE - NIFTY Index Options'!$M:$M,'NSE - NIFTY Index Options'!$C:$C,$A11,'NSE - NIFTY Index Options'!$B:$B,D$4,'NSE - NIFTY Index Options'!$I:$I,"Weekly*")+SUMIFS('NSE - NIFTY Index Options'!$M:$M,'NSE - NIFTY Index Options'!$C:$C,$A11,'NSE - NIFTY Index Options'!$B:$B,D$4,'NSE - NIFTY Index Options'!$I:$I,"MDAW*")+SUMIFS('NSE - Other Index Options'!$M:$M,'NSE - Other Index Options'!$C:$C,$A11,'NSE - Other Index Options'!$B:$B,D$4,'NSE - Other Index Options'!$I:$I,"Weekly*")+SUMIFS('NSE - Other Index Options'!$M:$M,'NSE - Other Index Options'!$C:$C,$A11,'NSE - Other Index Options'!$B:$B,D$4,'NSE - Other Index Options'!$I:$I,"MDAW*")=0,"",SUMIFS('NSE - NIFTY Index Options'!$M:$M,'NSE - NIFTY Index Options'!$C:$C,$A11,'NSE - NIFTY Index Options'!$B:$B,D$4,'NSE - NIFTY Index Options'!$I:$I,"Weekly*")+SUMIFS('NSE - NIFTY Index Options'!$M:$M,'NSE - NIFTY Index Options'!$C:$C,$A11,'NSE - NIFTY Index Options'!$B:$B,D$4,'NSE - NIFTY Index Options'!$I:$I,"MDAW*")+SUMIFS('NSE - Other Index Options'!$M:$M,'NSE - Other Index Options'!$C:$C,$A11,'NSE - Other Index Options'!$B:$B,D$4,'NSE - Other Index Options'!$I:$I,"Weekly*")+SUMIFS('NSE - Other Index Options'!$M:$M,'NSE - Other Index Options'!$C:$C,$A11,'NSE - Other Index Options'!$B:$B,D$4,'NSE - Other Index Options'!$I:$I,"MDAW*"))</f>
        <v/>
      </c>
      <c r="E11" s="26">
        <f>IF(SUMIFS('NSE - NIFTY Index Options'!$M:$M,'NSE - NIFTY Index Options'!$C:$C,$A11,'NSE - NIFTY Index Options'!$B:$B,E$4,'NSE - NIFTY Index Options'!$I:$I,"Weekly*")+SUMIFS('NSE - NIFTY Index Options'!$M:$M,'NSE - NIFTY Index Options'!$C:$C,$A11,'NSE - NIFTY Index Options'!$B:$B,E$4,'NSE - NIFTY Index Options'!$I:$I,"MDAW*")+SUMIFS('NSE - Other Index Options'!$M:$M,'NSE - Other Index Options'!$C:$C,$A11,'NSE - Other Index Options'!$B:$B,E$4,'NSE - Other Index Options'!$I:$I,"Weekly*")+SUMIFS('NSE - Other Index Options'!$M:$M,'NSE - Other Index Options'!$C:$C,$A11,'NSE - Other Index Options'!$B:$B,E$4,'NSE - Other Index Options'!$I:$I,"MDAW*")=0,"",SUMIFS('NSE - NIFTY Index Options'!$M:$M,'NSE - NIFTY Index Options'!$C:$C,$A11,'NSE - NIFTY Index Options'!$B:$B,E$4,'NSE - NIFTY Index Options'!$I:$I,"Weekly*")+SUMIFS('NSE - NIFTY Index Options'!$M:$M,'NSE - NIFTY Index Options'!$C:$C,$A11,'NSE - NIFTY Index Options'!$B:$B,E$4,'NSE - NIFTY Index Options'!$I:$I,"MDAW*")+SUMIFS('NSE - Other Index Options'!$M:$M,'NSE - Other Index Options'!$C:$C,$A11,'NSE - Other Index Options'!$B:$B,E$4,'NSE - Other Index Options'!$I:$I,"Weekly*")+SUMIFS('NSE - Other Index Options'!$M:$M,'NSE - Other Index Options'!$C:$C,$A11,'NSE - Other Index Options'!$B:$B,E$4,'NSE - Other Index Options'!$I:$I,"MDAW*"))</f>
        <v/>
      </c>
      <c r="F11" s="26">
        <f>IF(SUMIFS('NSE - NIFTY Index Options'!$M:$M,'NSE - NIFTY Index Options'!$C:$C,$A11,'NSE - NIFTY Index Options'!$B:$B,F$4,'NSE - NIFTY Index Options'!$I:$I,"Weekly*")+SUMIFS('NSE - NIFTY Index Options'!$M:$M,'NSE - NIFTY Index Options'!$C:$C,$A11,'NSE - NIFTY Index Options'!$B:$B,F$4,'NSE - NIFTY Index Options'!$I:$I,"MDAW*")+SUMIFS('NSE - Other Index Options'!$M:$M,'NSE - Other Index Options'!$C:$C,$A11,'NSE - Other Index Options'!$B:$B,F$4,'NSE - Other Index Options'!$I:$I,"Weekly*")+SUMIFS('NSE - Other Index Options'!$M:$M,'NSE - Other Index Options'!$C:$C,$A11,'NSE - Other Index Options'!$B:$B,F$4,'NSE - Other Index Options'!$I:$I,"MDAW*")=0,"",SUMIFS('NSE - NIFTY Index Options'!$M:$M,'NSE - NIFTY Index Options'!$C:$C,$A11,'NSE - NIFTY Index Options'!$B:$B,F$4,'NSE - NIFTY Index Options'!$I:$I,"Weekly*")+SUMIFS('NSE - NIFTY Index Options'!$M:$M,'NSE - NIFTY Index Options'!$C:$C,$A11,'NSE - NIFTY Index Options'!$B:$B,F$4,'NSE - NIFTY Index Options'!$I:$I,"MDAW*")+SUMIFS('NSE - Other Index Options'!$M:$M,'NSE - Other Index Options'!$C:$C,$A11,'NSE - Other Index Options'!$B:$B,F$4,'NSE - Other Index Options'!$I:$I,"Weekly*")+SUMIFS('NSE - Other Index Options'!$M:$M,'NSE - Other Index Options'!$C:$C,$A11,'NSE - Other Index Options'!$B:$B,F$4,'NSE - Other Index Options'!$I:$I,"MDAW*"))</f>
        <v/>
      </c>
      <c r="G11" s="26">
        <f>IF(SUMIFS('NSE - NIFTY Index Options'!$M:$M,'NSE - NIFTY Index Options'!$C:$C,$A11,'NSE - NIFTY Index Options'!$B:$B,G$4,'NSE - NIFTY Index Options'!$I:$I,"Weekly*")+SUMIFS('NSE - NIFTY Index Options'!$M:$M,'NSE - NIFTY Index Options'!$C:$C,$A11,'NSE - NIFTY Index Options'!$B:$B,G$4,'NSE - NIFTY Index Options'!$I:$I,"MDAW*")+SUMIFS('NSE - Other Index Options'!$M:$M,'NSE - Other Index Options'!$C:$C,$A11,'NSE - Other Index Options'!$B:$B,G$4,'NSE - Other Index Options'!$I:$I,"Weekly*")+SUMIFS('NSE - Other Index Options'!$M:$M,'NSE - Other Index Options'!$C:$C,$A11,'NSE - Other Index Options'!$B:$B,G$4,'NSE - Other Index Options'!$I:$I,"MDAW*")=0,"",SUMIFS('NSE - NIFTY Index Options'!$M:$M,'NSE - NIFTY Index Options'!$C:$C,$A11,'NSE - NIFTY Index Options'!$B:$B,G$4,'NSE - NIFTY Index Options'!$I:$I,"Weekly*")+SUMIFS('NSE - NIFTY Index Options'!$M:$M,'NSE - NIFTY Index Options'!$C:$C,$A11,'NSE - NIFTY Index Options'!$B:$B,G$4,'NSE - NIFTY Index Options'!$I:$I,"MDAW*")+SUMIFS('NSE - Other Index Options'!$M:$M,'NSE - Other Index Options'!$C:$C,$A11,'NSE - Other Index Options'!$B:$B,G$4,'NSE - Other Index Options'!$I:$I,"Weekly*")+SUMIFS('NSE - Other Index Options'!$M:$M,'NSE - Other Index Options'!$C:$C,$A11,'NSE - Other Index Options'!$B:$B,G$4,'NSE - Other Index Options'!$I:$I,"MDAW*"))</f>
        <v/>
      </c>
      <c r="H11" s="26">
        <f>IF(SUM(B11:G11)=0,"",SUM(B11:G11))</f>
        <v/>
      </c>
      <c r="K11" t="inlineStr">
        <is>
          <t>Expiry Type 2 - Weekly</t>
        </is>
      </c>
      <c r="L11" s="57" t="inlineStr">
        <is>
          <t>Yes</t>
        </is>
      </c>
    </row>
    <row r="12">
      <c r="A12" t="inlineStr">
        <is>
          <t>Week3-Oct-2025</t>
        </is>
      </c>
      <c r="B12" s="26">
        <f>IF(SUMIFS('NSE - NIFTY Index Options'!$M:$M,'NSE - NIFTY Index Options'!$C:$C,$A12,'NSE - NIFTY Index Options'!$B:$B,B$4,'NSE - NIFTY Index Options'!$I:$I,"Weekly*")+SUMIFS('NSE - NIFTY Index Options'!$M:$M,'NSE - NIFTY Index Options'!$C:$C,$A12,'NSE - NIFTY Index Options'!$B:$B,B$4,'NSE - NIFTY Index Options'!$I:$I,"MDAW*")+SUMIFS('NSE - Other Index Options'!$M:$M,'NSE - Other Index Options'!$C:$C,$A12,'NSE - Other Index Options'!$B:$B,B$4,'NSE - Other Index Options'!$I:$I,"Weekly*")+SUMIFS('NSE - Other Index Options'!$M:$M,'NSE - Other Index Options'!$C:$C,$A12,'NSE - Other Index Options'!$B:$B,B$4,'NSE - Other Index Options'!$I:$I,"MDAW*")=0,"",SUMIFS('NSE - NIFTY Index Options'!$M:$M,'NSE - NIFTY Index Options'!$C:$C,$A12,'NSE - NIFTY Index Options'!$B:$B,B$4,'NSE - NIFTY Index Options'!$I:$I,"Weekly*")+SUMIFS('NSE - NIFTY Index Options'!$M:$M,'NSE - NIFTY Index Options'!$C:$C,$A12,'NSE - NIFTY Index Options'!$B:$B,B$4,'NSE - NIFTY Index Options'!$I:$I,"MDAW*")+SUMIFS('NSE - Other Index Options'!$M:$M,'NSE - Other Index Options'!$C:$C,$A12,'NSE - Other Index Options'!$B:$B,B$4,'NSE - Other Index Options'!$I:$I,"Weekly*")+SUMIFS('NSE - Other Index Options'!$M:$M,'NSE - Other Index Options'!$C:$C,$A12,'NSE - Other Index Options'!$B:$B,B$4,'NSE - Other Index Options'!$I:$I,"MDAW*"))</f>
        <v/>
      </c>
      <c r="C12" s="26">
        <f>IF(SUMIFS('NSE - NIFTY Index Options'!$M:$M,'NSE - NIFTY Index Options'!$C:$C,$A12,'NSE - NIFTY Index Options'!$B:$B,C$4,'NSE - NIFTY Index Options'!$I:$I,"Weekly*")+SUMIFS('NSE - NIFTY Index Options'!$M:$M,'NSE - NIFTY Index Options'!$C:$C,$A12,'NSE - NIFTY Index Options'!$B:$B,C$4,'NSE - NIFTY Index Options'!$I:$I,"MDAW*")+SUMIFS('NSE - Other Index Options'!$M:$M,'NSE - Other Index Options'!$C:$C,$A12,'NSE - Other Index Options'!$B:$B,C$4,'NSE - Other Index Options'!$I:$I,"Weekly*")+SUMIFS('NSE - Other Index Options'!$M:$M,'NSE - Other Index Options'!$C:$C,$A12,'NSE - Other Index Options'!$B:$B,C$4,'NSE - Other Index Options'!$I:$I,"MDAW*")=0,"",SUMIFS('NSE - NIFTY Index Options'!$M:$M,'NSE - NIFTY Index Options'!$C:$C,$A12,'NSE - NIFTY Index Options'!$B:$B,C$4,'NSE - NIFTY Index Options'!$I:$I,"Weekly*")+SUMIFS('NSE - NIFTY Index Options'!$M:$M,'NSE - NIFTY Index Options'!$C:$C,$A12,'NSE - NIFTY Index Options'!$B:$B,C$4,'NSE - NIFTY Index Options'!$I:$I,"MDAW*")+SUMIFS('NSE - Other Index Options'!$M:$M,'NSE - Other Index Options'!$C:$C,$A12,'NSE - Other Index Options'!$B:$B,C$4,'NSE - Other Index Options'!$I:$I,"Weekly*")+SUMIFS('NSE - Other Index Options'!$M:$M,'NSE - Other Index Options'!$C:$C,$A12,'NSE - Other Index Options'!$B:$B,C$4,'NSE - Other Index Options'!$I:$I,"MDAW*"))</f>
        <v/>
      </c>
      <c r="D12" s="26">
        <f>IF(SUMIFS('NSE - NIFTY Index Options'!$M:$M,'NSE - NIFTY Index Options'!$C:$C,$A12,'NSE - NIFTY Index Options'!$B:$B,D$4,'NSE - NIFTY Index Options'!$I:$I,"Weekly*")+SUMIFS('NSE - NIFTY Index Options'!$M:$M,'NSE - NIFTY Index Options'!$C:$C,$A12,'NSE - NIFTY Index Options'!$B:$B,D$4,'NSE - NIFTY Index Options'!$I:$I,"MDAW*")+SUMIFS('NSE - Other Index Options'!$M:$M,'NSE - Other Index Options'!$C:$C,$A12,'NSE - Other Index Options'!$B:$B,D$4,'NSE - Other Index Options'!$I:$I,"Weekly*")+SUMIFS('NSE - Other Index Options'!$M:$M,'NSE - Other Index Options'!$C:$C,$A12,'NSE - Other Index Options'!$B:$B,D$4,'NSE - Other Index Options'!$I:$I,"MDAW*")=0,"",SUMIFS('NSE - NIFTY Index Options'!$M:$M,'NSE - NIFTY Index Options'!$C:$C,$A12,'NSE - NIFTY Index Options'!$B:$B,D$4,'NSE - NIFTY Index Options'!$I:$I,"Weekly*")+SUMIFS('NSE - NIFTY Index Options'!$M:$M,'NSE - NIFTY Index Options'!$C:$C,$A12,'NSE - NIFTY Index Options'!$B:$B,D$4,'NSE - NIFTY Index Options'!$I:$I,"MDAW*")+SUMIFS('NSE - Other Index Options'!$M:$M,'NSE - Other Index Options'!$C:$C,$A12,'NSE - Other Index Options'!$B:$B,D$4,'NSE - Other Index Options'!$I:$I,"Weekly*")+SUMIFS('NSE - Other Index Options'!$M:$M,'NSE - Other Index Options'!$C:$C,$A12,'NSE - Other Index Options'!$B:$B,D$4,'NSE - Other Index Options'!$I:$I,"MDAW*"))</f>
        <v/>
      </c>
      <c r="E12" s="26">
        <f>IF(SUMIFS('NSE - NIFTY Index Options'!$M:$M,'NSE - NIFTY Index Options'!$C:$C,$A12,'NSE - NIFTY Index Options'!$B:$B,E$4,'NSE - NIFTY Index Options'!$I:$I,"Weekly*")+SUMIFS('NSE - NIFTY Index Options'!$M:$M,'NSE - NIFTY Index Options'!$C:$C,$A12,'NSE - NIFTY Index Options'!$B:$B,E$4,'NSE - NIFTY Index Options'!$I:$I,"MDAW*")+SUMIFS('NSE - Other Index Options'!$M:$M,'NSE - Other Index Options'!$C:$C,$A12,'NSE - Other Index Options'!$B:$B,E$4,'NSE - Other Index Options'!$I:$I,"Weekly*")+SUMIFS('NSE - Other Index Options'!$M:$M,'NSE - Other Index Options'!$C:$C,$A12,'NSE - Other Index Options'!$B:$B,E$4,'NSE - Other Index Options'!$I:$I,"MDAW*")=0,"",SUMIFS('NSE - NIFTY Index Options'!$M:$M,'NSE - NIFTY Index Options'!$C:$C,$A12,'NSE - NIFTY Index Options'!$B:$B,E$4,'NSE - NIFTY Index Options'!$I:$I,"Weekly*")+SUMIFS('NSE - NIFTY Index Options'!$M:$M,'NSE - NIFTY Index Options'!$C:$C,$A12,'NSE - NIFTY Index Options'!$B:$B,E$4,'NSE - NIFTY Index Options'!$I:$I,"MDAW*")+SUMIFS('NSE - Other Index Options'!$M:$M,'NSE - Other Index Options'!$C:$C,$A12,'NSE - Other Index Options'!$B:$B,E$4,'NSE - Other Index Options'!$I:$I,"Weekly*")+SUMIFS('NSE - Other Index Options'!$M:$M,'NSE - Other Index Options'!$C:$C,$A12,'NSE - Other Index Options'!$B:$B,E$4,'NSE - Other Index Options'!$I:$I,"MDAW*"))</f>
        <v/>
      </c>
      <c r="F12" s="26">
        <f>IF(SUMIFS('NSE - NIFTY Index Options'!$M:$M,'NSE - NIFTY Index Options'!$C:$C,$A12,'NSE - NIFTY Index Options'!$B:$B,F$4,'NSE - NIFTY Index Options'!$I:$I,"Weekly*")+SUMIFS('NSE - NIFTY Index Options'!$M:$M,'NSE - NIFTY Index Options'!$C:$C,$A12,'NSE - NIFTY Index Options'!$B:$B,F$4,'NSE - NIFTY Index Options'!$I:$I,"MDAW*")+SUMIFS('NSE - Other Index Options'!$M:$M,'NSE - Other Index Options'!$C:$C,$A12,'NSE - Other Index Options'!$B:$B,F$4,'NSE - Other Index Options'!$I:$I,"Weekly*")+SUMIFS('NSE - Other Index Options'!$M:$M,'NSE - Other Index Options'!$C:$C,$A12,'NSE - Other Index Options'!$B:$B,F$4,'NSE - Other Index Options'!$I:$I,"MDAW*")=0,"",SUMIFS('NSE - NIFTY Index Options'!$M:$M,'NSE - NIFTY Index Options'!$C:$C,$A12,'NSE - NIFTY Index Options'!$B:$B,F$4,'NSE - NIFTY Index Options'!$I:$I,"Weekly*")+SUMIFS('NSE - NIFTY Index Options'!$M:$M,'NSE - NIFTY Index Options'!$C:$C,$A12,'NSE - NIFTY Index Options'!$B:$B,F$4,'NSE - NIFTY Index Options'!$I:$I,"MDAW*")+SUMIFS('NSE - Other Index Options'!$M:$M,'NSE - Other Index Options'!$C:$C,$A12,'NSE - Other Index Options'!$B:$B,F$4,'NSE - Other Index Options'!$I:$I,"Weekly*")+SUMIFS('NSE - Other Index Options'!$M:$M,'NSE - Other Index Options'!$C:$C,$A12,'NSE - Other Index Options'!$B:$B,F$4,'NSE - Other Index Options'!$I:$I,"MDAW*"))</f>
        <v/>
      </c>
      <c r="G12" s="26">
        <f>IF(SUMIFS('NSE - NIFTY Index Options'!$M:$M,'NSE - NIFTY Index Options'!$C:$C,$A12,'NSE - NIFTY Index Options'!$B:$B,G$4,'NSE - NIFTY Index Options'!$I:$I,"Weekly*")+SUMIFS('NSE - NIFTY Index Options'!$M:$M,'NSE - NIFTY Index Options'!$C:$C,$A12,'NSE - NIFTY Index Options'!$B:$B,G$4,'NSE - NIFTY Index Options'!$I:$I,"MDAW*")+SUMIFS('NSE - Other Index Options'!$M:$M,'NSE - Other Index Options'!$C:$C,$A12,'NSE - Other Index Options'!$B:$B,G$4,'NSE - Other Index Options'!$I:$I,"Weekly*")+SUMIFS('NSE - Other Index Options'!$M:$M,'NSE - Other Index Options'!$C:$C,$A12,'NSE - Other Index Options'!$B:$B,G$4,'NSE - Other Index Options'!$I:$I,"MDAW*")=0,"",SUMIFS('NSE - NIFTY Index Options'!$M:$M,'NSE - NIFTY Index Options'!$C:$C,$A12,'NSE - NIFTY Index Options'!$B:$B,G$4,'NSE - NIFTY Index Options'!$I:$I,"Weekly*")+SUMIFS('NSE - NIFTY Index Options'!$M:$M,'NSE - NIFTY Index Options'!$C:$C,$A12,'NSE - NIFTY Index Options'!$B:$B,G$4,'NSE - NIFTY Index Options'!$I:$I,"MDAW*")+SUMIFS('NSE - Other Index Options'!$M:$M,'NSE - Other Index Options'!$C:$C,$A12,'NSE - Other Index Options'!$B:$B,G$4,'NSE - Other Index Options'!$I:$I,"Weekly*")+SUMIFS('NSE - Other Index Options'!$M:$M,'NSE - Other Index Options'!$C:$C,$A12,'NSE - Other Index Options'!$B:$B,G$4,'NSE - Other Index Options'!$I:$I,"MDAW*"))</f>
        <v/>
      </c>
      <c r="H12" s="26">
        <f>IF(SUM(B12:G12)=0,"",SUM(B12:G12))</f>
        <v/>
      </c>
      <c r="K12" t="inlineStr">
        <is>
          <t>Expiry Type 2 - MDAW</t>
        </is>
      </c>
      <c r="L12" s="57" t="inlineStr">
        <is>
          <t>Yes</t>
        </is>
      </c>
    </row>
    <row r="13">
      <c r="A13" t="inlineStr">
        <is>
          <t>Week4-Oct-2025</t>
        </is>
      </c>
      <c r="B13" s="26">
        <f>IF(SUMIFS('NSE - NIFTY Index Options'!$M:$M,'NSE - NIFTY Index Options'!$C:$C,$A13,'NSE - NIFTY Index Options'!$B:$B,B$4,'NSE - NIFTY Index Options'!$I:$I,"Weekly*")+SUMIFS('NSE - NIFTY Index Options'!$M:$M,'NSE - NIFTY Index Options'!$C:$C,$A13,'NSE - NIFTY Index Options'!$B:$B,B$4,'NSE - NIFTY Index Options'!$I:$I,"MDAW*")+SUMIFS('NSE - Other Index Options'!$M:$M,'NSE - Other Index Options'!$C:$C,$A13,'NSE - Other Index Options'!$B:$B,B$4,'NSE - Other Index Options'!$I:$I,"Weekly*")+SUMIFS('NSE - Other Index Options'!$M:$M,'NSE - Other Index Options'!$C:$C,$A13,'NSE - Other Index Options'!$B:$B,B$4,'NSE - Other Index Options'!$I:$I,"MDAW*")=0,"",SUMIFS('NSE - NIFTY Index Options'!$M:$M,'NSE - NIFTY Index Options'!$C:$C,$A13,'NSE - NIFTY Index Options'!$B:$B,B$4,'NSE - NIFTY Index Options'!$I:$I,"Weekly*")+SUMIFS('NSE - NIFTY Index Options'!$M:$M,'NSE - NIFTY Index Options'!$C:$C,$A13,'NSE - NIFTY Index Options'!$B:$B,B$4,'NSE - NIFTY Index Options'!$I:$I,"MDAW*")+SUMIFS('NSE - Other Index Options'!$M:$M,'NSE - Other Index Options'!$C:$C,$A13,'NSE - Other Index Options'!$B:$B,B$4,'NSE - Other Index Options'!$I:$I,"Weekly*")+SUMIFS('NSE - Other Index Options'!$M:$M,'NSE - Other Index Options'!$C:$C,$A13,'NSE - Other Index Options'!$B:$B,B$4,'NSE - Other Index Options'!$I:$I,"MDAW*"))</f>
        <v/>
      </c>
      <c r="C13" s="26">
        <f>IF(SUMIFS('NSE - NIFTY Index Options'!$M:$M,'NSE - NIFTY Index Options'!$C:$C,$A13,'NSE - NIFTY Index Options'!$B:$B,C$4,'NSE - NIFTY Index Options'!$I:$I,"Weekly*")+SUMIFS('NSE - NIFTY Index Options'!$M:$M,'NSE - NIFTY Index Options'!$C:$C,$A13,'NSE - NIFTY Index Options'!$B:$B,C$4,'NSE - NIFTY Index Options'!$I:$I,"MDAW*")+SUMIFS('NSE - Other Index Options'!$M:$M,'NSE - Other Index Options'!$C:$C,$A13,'NSE - Other Index Options'!$B:$B,C$4,'NSE - Other Index Options'!$I:$I,"Weekly*")+SUMIFS('NSE - Other Index Options'!$M:$M,'NSE - Other Index Options'!$C:$C,$A13,'NSE - Other Index Options'!$B:$B,C$4,'NSE - Other Index Options'!$I:$I,"MDAW*")=0,"",SUMIFS('NSE - NIFTY Index Options'!$M:$M,'NSE - NIFTY Index Options'!$C:$C,$A13,'NSE - NIFTY Index Options'!$B:$B,C$4,'NSE - NIFTY Index Options'!$I:$I,"Weekly*")+SUMIFS('NSE - NIFTY Index Options'!$M:$M,'NSE - NIFTY Index Options'!$C:$C,$A13,'NSE - NIFTY Index Options'!$B:$B,C$4,'NSE - NIFTY Index Options'!$I:$I,"MDAW*")+SUMIFS('NSE - Other Index Options'!$M:$M,'NSE - Other Index Options'!$C:$C,$A13,'NSE - Other Index Options'!$B:$B,C$4,'NSE - Other Index Options'!$I:$I,"Weekly*")+SUMIFS('NSE - Other Index Options'!$M:$M,'NSE - Other Index Options'!$C:$C,$A13,'NSE - Other Index Options'!$B:$B,C$4,'NSE - Other Index Options'!$I:$I,"MDAW*"))</f>
        <v/>
      </c>
      <c r="D13" s="26">
        <f>IF(SUMIFS('NSE - NIFTY Index Options'!$M:$M,'NSE - NIFTY Index Options'!$C:$C,$A13,'NSE - NIFTY Index Options'!$B:$B,D$4,'NSE - NIFTY Index Options'!$I:$I,"Weekly*")+SUMIFS('NSE - NIFTY Index Options'!$M:$M,'NSE - NIFTY Index Options'!$C:$C,$A13,'NSE - NIFTY Index Options'!$B:$B,D$4,'NSE - NIFTY Index Options'!$I:$I,"MDAW*")+SUMIFS('NSE - Other Index Options'!$M:$M,'NSE - Other Index Options'!$C:$C,$A13,'NSE - Other Index Options'!$B:$B,D$4,'NSE - Other Index Options'!$I:$I,"Weekly*")+SUMIFS('NSE - Other Index Options'!$M:$M,'NSE - Other Index Options'!$C:$C,$A13,'NSE - Other Index Options'!$B:$B,D$4,'NSE - Other Index Options'!$I:$I,"MDAW*")=0,"",SUMIFS('NSE - NIFTY Index Options'!$M:$M,'NSE - NIFTY Index Options'!$C:$C,$A13,'NSE - NIFTY Index Options'!$B:$B,D$4,'NSE - NIFTY Index Options'!$I:$I,"Weekly*")+SUMIFS('NSE - NIFTY Index Options'!$M:$M,'NSE - NIFTY Index Options'!$C:$C,$A13,'NSE - NIFTY Index Options'!$B:$B,D$4,'NSE - NIFTY Index Options'!$I:$I,"MDAW*")+SUMIFS('NSE - Other Index Options'!$M:$M,'NSE - Other Index Options'!$C:$C,$A13,'NSE - Other Index Options'!$B:$B,D$4,'NSE - Other Index Options'!$I:$I,"Weekly*")+SUMIFS('NSE - Other Index Options'!$M:$M,'NSE - Other Index Options'!$C:$C,$A13,'NSE - Other Index Options'!$B:$B,D$4,'NSE - Other Index Options'!$I:$I,"MDAW*"))</f>
        <v/>
      </c>
      <c r="E13" s="26">
        <f>IF(SUMIFS('NSE - NIFTY Index Options'!$M:$M,'NSE - NIFTY Index Options'!$C:$C,$A13,'NSE - NIFTY Index Options'!$B:$B,E$4,'NSE - NIFTY Index Options'!$I:$I,"Weekly*")+SUMIFS('NSE - NIFTY Index Options'!$M:$M,'NSE - NIFTY Index Options'!$C:$C,$A13,'NSE - NIFTY Index Options'!$B:$B,E$4,'NSE - NIFTY Index Options'!$I:$I,"MDAW*")+SUMIFS('NSE - Other Index Options'!$M:$M,'NSE - Other Index Options'!$C:$C,$A13,'NSE - Other Index Options'!$B:$B,E$4,'NSE - Other Index Options'!$I:$I,"Weekly*")+SUMIFS('NSE - Other Index Options'!$M:$M,'NSE - Other Index Options'!$C:$C,$A13,'NSE - Other Index Options'!$B:$B,E$4,'NSE - Other Index Options'!$I:$I,"MDAW*")=0,"",SUMIFS('NSE - NIFTY Index Options'!$M:$M,'NSE - NIFTY Index Options'!$C:$C,$A13,'NSE - NIFTY Index Options'!$B:$B,E$4,'NSE - NIFTY Index Options'!$I:$I,"Weekly*")+SUMIFS('NSE - NIFTY Index Options'!$M:$M,'NSE - NIFTY Index Options'!$C:$C,$A13,'NSE - NIFTY Index Options'!$B:$B,E$4,'NSE - NIFTY Index Options'!$I:$I,"MDAW*")+SUMIFS('NSE - Other Index Options'!$M:$M,'NSE - Other Index Options'!$C:$C,$A13,'NSE - Other Index Options'!$B:$B,E$4,'NSE - Other Index Options'!$I:$I,"Weekly*")+SUMIFS('NSE - Other Index Options'!$M:$M,'NSE - Other Index Options'!$C:$C,$A13,'NSE - Other Index Options'!$B:$B,E$4,'NSE - Other Index Options'!$I:$I,"MDAW*"))</f>
        <v/>
      </c>
      <c r="F13" s="26">
        <f>IF(SUMIFS('NSE - NIFTY Index Options'!$M:$M,'NSE - NIFTY Index Options'!$C:$C,$A13,'NSE - NIFTY Index Options'!$B:$B,F$4,'NSE - NIFTY Index Options'!$I:$I,"Weekly*")+SUMIFS('NSE - NIFTY Index Options'!$M:$M,'NSE - NIFTY Index Options'!$C:$C,$A13,'NSE - NIFTY Index Options'!$B:$B,F$4,'NSE - NIFTY Index Options'!$I:$I,"MDAW*")+SUMIFS('NSE - Other Index Options'!$M:$M,'NSE - Other Index Options'!$C:$C,$A13,'NSE - Other Index Options'!$B:$B,F$4,'NSE - Other Index Options'!$I:$I,"Weekly*")+SUMIFS('NSE - Other Index Options'!$M:$M,'NSE - Other Index Options'!$C:$C,$A13,'NSE - Other Index Options'!$B:$B,F$4,'NSE - Other Index Options'!$I:$I,"MDAW*")=0,"",SUMIFS('NSE - NIFTY Index Options'!$M:$M,'NSE - NIFTY Index Options'!$C:$C,$A13,'NSE - NIFTY Index Options'!$B:$B,F$4,'NSE - NIFTY Index Options'!$I:$I,"Weekly*")+SUMIFS('NSE - NIFTY Index Options'!$M:$M,'NSE - NIFTY Index Options'!$C:$C,$A13,'NSE - NIFTY Index Options'!$B:$B,F$4,'NSE - NIFTY Index Options'!$I:$I,"MDAW*")+SUMIFS('NSE - Other Index Options'!$M:$M,'NSE - Other Index Options'!$C:$C,$A13,'NSE - Other Index Options'!$B:$B,F$4,'NSE - Other Index Options'!$I:$I,"Weekly*")+SUMIFS('NSE - Other Index Options'!$M:$M,'NSE - Other Index Options'!$C:$C,$A13,'NSE - Other Index Options'!$B:$B,F$4,'NSE - Other Index Options'!$I:$I,"MDAW*"))</f>
        <v/>
      </c>
      <c r="G13" s="26">
        <f>IF(SUMIFS('NSE - NIFTY Index Options'!$M:$M,'NSE - NIFTY Index Options'!$C:$C,$A13,'NSE - NIFTY Index Options'!$B:$B,G$4,'NSE - NIFTY Index Options'!$I:$I,"Weekly*")+SUMIFS('NSE - NIFTY Index Options'!$M:$M,'NSE - NIFTY Index Options'!$C:$C,$A13,'NSE - NIFTY Index Options'!$B:$B,G$4,'NSE - NIFTY Index Options'!$I:$I,"MDAW*")+SUMIFS('NSE - Other Index Options'!$M:$M,'NSE - Other Index Options'!$C:$C,$A13,'NSE - Other Index Options'!$B:$B,G$4,'NSE - Other Index Options'!$I:$I,"Weekly*")+SUMIFS('NSE - Other Index Options'!$M:$M,'NSE - Other Index Options'!$C:$C,$A13,'NSE - Other Index Options'!$B:$B,G$4,'NSE - Other Index Options'!$I:$I,"MDAW*")=0,"",SUMIFS('NSE - NIFTY Index Options'!$M:$M,'NSE - NIFTY Index Options'!$C:$C,$A13,'NSE - NIFTY Index Options'!$B:$B,G$4,'NSE - NIFTY Index Options'!$I:$I,"Weekly*")+SUMIFS('NSE - NIFTY Index Options'!$M:$M,'NSE - NIFTY Index Options'!$C:$C,$A13,'NSE - NIFTY Index Options'!$B:$B,G$4,'NSE - NIFTY Index Options'!$I:$I,"MDAW*")+SUMIFS('NSE - Other Index Options'!$M:$M,'NSE - Other Index Options'!$C:$C,$A13,'NSE - Other Index Options'!$B:$B,G$4,'NSE - Other Index Options'!$I:$I,"Weekly*")+SUMIFS('NSE - Other Index Options'!$M:$M,'NSE - Other Index Options'!$C:$C,$A13,'NSE - Other Index Options'!$B:$B,G$4,'NSE - Other Index Options'!$I:$I,"MDAW*"))</f>
        <v/>
      </c>
      <c r="H13" s="26">
        <f>IF(SUM(B13:G13)=0,"",SUM(B13:G13))</f>
        <v/>
      </c>
      <c r="K13" t="inlineStr">
        <is>
          <t>Expiry Type 2 - Monthly</t>
        </is>
      </c>
      <c r="L13" s="58" t="inlineStr">
        <is>
          <t>No</t>
        </is>
      </c>
    </row>
    <row r="14">
      <c r="A14" t="inlineStr">
        <is>
          <t>Week5-Oct-2025</t>
        </is>
      </c>
      <c r="B14" s="26">
        <f>IF(SUMIFS('NSE - NIFTY Index Options'!$M:$M,'NSE - NIFTY Index Options'!$C:$C,$A14,'NSE - NIFTY Index Options'!$B:$B,B$4,'NSE - NIFTY Index Options'!$I:$I,"Weekly*")+SUMIFS('NSE - NIFTY Index Options'!$M:$M,'NSE - NIFTY Index Options'!$C:$C,$A14,'NSE - NIFTY Index Options'!$B:$B,B$4,'NSE - NIFTY Index Options'!$I:$I,"MDAW*")+SUMIFS('NSE - Other Index Options'!$M:$M,'NSE - Other Index Options'!$C:$C,$A14,'NSE - Other Index Options'!$B:$B,B$4,'NSE - Other Index Options'!$I:$I,"Weekly*")+SUMIFS('NSE - Other Index Options'!$M:$M,'NSE - Other Index Options'!$C:$C,$A14,'NSE - Other Index Options'!$B:$B,B$4,'NSE - Other Index Options'!$I:$I,"MDAW*")=0,"",SUMIFS('NSE - NIFTY Index Options'!$M:$M,'NSE - NIFTY Index Options'!$C:$C,$A14,'NSE - NIFTY Index Options'!$B:$B,B$4,'NSE - NIFTY Index Options'!$I:$I,"Weekly*")+SUMIFS('NSE - NIFTY Index Options'!$M:$M,'NSE - NIFTY Index Options'!$C:$C,$A14,'NSE - NIFTY Index Options'!$B:$B,B$4,'NSE - NIFTY Index Options'!$I:$I,"MDAW*")+SUMIFS('NSE - Other Index Options'!$M:$M,'NSE - Other Index Options'!$C:$C,$A14,'NSE - Other Index Options'!$B:$B,B$4,'NSE - Other Index Options'!$I:$I,"Weekly*")+SUMIFS('NSE - Other Index Options'!$M:$M,'NSE - Other Index Options'!$C:$C,$A14,'NSE - Other Index Options'!$B:$B,B$4,'NSE - Other Index Options'!$I:$I,"MDAW*"))</f>
        <v/>
      </c>
      <c r="C14" s="26">
        <f>IF(SUMIFS('NSE - NIFTY Index Options'!$M:$M,'NSE - NIFTY Index Options'!$C:$C,$A14,'NSE - NIFTY Index Options'!$B:$B,C$4,'NSE - NIFTY Index Options'!$I:$I,"Weekly*")+SUMIFS('NSE - NIFTY Index Options'!$M:$M,'NSE - NIFTY Index Options'!$C:$C,$A14,'NSE - NIFTY Index Options'!$B:$B,C$4,'NSE - NIFTY Index Options'!$I:$I,"MDAW*")+SUMIFS('NSE - Other Index Options'!$M:$M,'NSE - Other Index Options'!$C:$C,$A14,'NSE - Other Index Options'!$B:$B,C$4,'NSE - Other Index Options'!$I:$I,"Weekly*")+SUMIFS('NSE - Other Index Options'!$M:$M,'NSE - Other Index Options'!$C:$C,$A14,'NSE - Other Index Options'!$B:$B,C$4,'NSE - Other Index Options'!$I:$I,"MDAW*")=0,"",SUMIFS('NSE - NIFTY Index Options'!$M:$M,'NSE - NIFTY Index Options'!$C:$C,$A14,'NSE - NIFTY Index Options'!$B:$B,C$4,'NSE - NIFTY Index Options'!$I:$I,"Weekly*")+SUMIFS('NSE - NIFTY Index Options'!$M:$M,'NSE - NIFTY Index Options'!$C:$C,$A14,'NSE - NIFTY Index Options'!$B:$B,C$4,'NSE - NIFTY Index Options'!$I:$I,"MDAW*")+SUMIFS('NSE - Other Index Options'!$M:$M,'NSE - Other Index Options'!$C:$C,$A14,'NSE - Other Index Options'!$B:$B,C$4,'NSE - Other Index Options'!$I:$I,"Weekly*")+SUMIFS('NSE - Other Index Options'!$M:$M,'NSE - Other Index Options'!$C:$C,$A14,'NSE - Other Index Options'!$B:$B,C$4,'NSE - Other Index Options'!$I:$I,"MDAW*"))</f>
        <v/>
      </c>
      <c r="D14" s="26">
        <f>IF(SUMIFS('NSE - NIFTY Index Options'!$M:$M,'NSE - NIFTY Index Options'!$C:$C,$A14,'NSE - NIFTY Index Options'!$B:$B,D$4,'NSE - NIFTY Index Options'!$I:$I,"Weekly*")+SUMIFS('NSE - NIFTY Index Options'!$M:$M,'NSE - NIFTY Index Options'!$C:$C,$A14,'NSE - NIFTY Index Options'!$B:$B,D$4,'NSE - NIFTY Index Options'!$I:$I,"MDAW*")+SUMIFS('NSE - Other Index Options'!$M:$M,'NSE - Other Index Options'!$C:$C,$A14,'NSE - Other Index Options'!$B:$B,D$4,'NSE - Other Index Options'!$I:$I,"Weekly*")+SUMIFS('NSE - Other Index Options'!$M:$M,'NSE - Other Index Options'!$C:$C,$A14,'NSE - Other Index Options'!$B:$B,D$4,'NSE - Other Index Options'!$I:$I,"MDAW*")=0,"",SUMIFS('NSE - NIFTY Index Options'!$M:$M,'NSE - NIFTY Index Options'!$C:$C,$A14,'NSE - NIFTY Index Options'!$B:$B,D$4,'NSE - NIFTY Index Options'!$I:$I,"Weekly*")+SUMIFS('NSE - NIFTY Index Options'!$M:$M,'NSE - NIFTY Index Options'!$C:$C,$A14,'NSE - NIFTY Index Options'!$B:$B,D$4,'NSE - NIFTY Index Options'!$I:$I,"MDAW*")+SUMIFS('NSE - Other Index Options'!$M:$M,'NSE - Other Index Options'!$C:$C,$A14,'NSE - Other Index Options'!$B:$B,D$4,'NSE - Other Index Options'!$I:$I,"Weekly*")+SUMIFS('NSE - Other Index Options'!$M:$M,'NSE - Other Index Options'!$C:$C,$A14,'NSE - Other Index Options'!$B:$B,D$4,'NSE - Other Index Options'!$I:$I,"MDAW*"))</f>
        <v/>
      </c>
      <c r="E14" s="26">
        <f>IF(SUMIFS('NSE - NIFTY Index Options'!$M:$M,'NSE - NIFTY Index Options'!$C:$C,$A14,'NSE - NIFTY Index Options'!$B:$B,E$4,'NSE - NIFTY Index Options'!$I:$I,"Weekly*")+SUMIFS('NSE - NIFTY Index Options'!$M:$M,'NSE - NIFTY Index Options'!$C:$C,$A14,'NSE - NIFTY Index Options'!$B:$B,E$4,'NSE - NIFTY Index Options'!$I:$I,"MDAW*")+SUMIFS('NSE - Other Index Options'!$M:$M,'NSE - Other Index Options'!$C:$C,$A14,'NSE - Other Index Options'!$B:$B,E$4,'NSE - Other Index Options'!$I:$I,"Weekly*")+SUMIFS('NSE - Other Index Options'!$M:$M,'NSE - Other Index Options'!$C:$C,$A14,'NSE - Other Index Options'!$B:$B,E$4,'NSE - Other Index Options'!$I:$I,"MDAW*")=0,"",SUMIFS('NSE - NIFTY Index Options'!$M:$M,'NSE - NIFTY Index Options'!$C:$C,$A14,'NSE - NIFTY Index Options'!$B:$B,E$4,'NSE - NIFTY Index Options'!$I:$I,"Weekly*")+SUMIFS('NSE - NIFTY Index Options'!$M:$M,'NSE - NIFTY Index Options'!$C:$C,$A14,'NSE - NIFTY Index Options'!$B:$B,E$4,'NSE - NIFTY Index Options'!$I:$I,"MDAW*")+SUMIFS('NSE - Other Index Options'!$M:$M,'NSE - Other Index Options'!$C:$C,$A14,'NSE - Other Index Options'!$B:$B,E$4,'NSE - Other Index Options'!$I:$I,"Weekly*")+SUMIFS('NSE - Other Index Options'!$M:$M,'NSE - Other Index Options'!$C:$C,$A14,'NSE - Other Index Options'!$B:$B,E$4,'NSE - Other Index Options'!$I:$I,"MDAW*"))</f>
        <v/>
      </c>
      <c r="F14" s="26">
        <f>IF(SUMIFS('NSE - NIFTY Index Options'!$M:$M,'NSE - NIFTY Index Options'!$C:$C,$A14,'NSE - NIFTY Index Options'!$B:$B,F$4,'NSE - NIFTY Index Options'!$I:$I,"Weekly*")+SUMIFS('NSE - NIFTY Index Options'!$M:$M,'NSE - NIFTY Index Options'!$C:$C,$A14,'NSE - NIFTY Index Options'!$B:$B,F$4,'NSE - NIFTY Index Options'!$I:$I,"MDAW*")+SUMIFS('NSE - Other Index Options'!$M:$M,'NSE - Other Index Options'!$C:$C,$A14,'NSE - Other Index Options'!$B:$B,F$4,'NSE - Other Index Options'!$I:$I,"Weekly*")+SUMIFS('NSE - Other Index Options'!$M:$M,'NSE - Other Index Options'!$C:$C,$A14,'NSE - Other Index Options'!$B:$B,F$4,'NSE - Other Index Options'!$I:$I,"MDAW*")=0,"",SUMIFS('NSE - NIFTY Index Options'!$M:$M,'NSE - NIFTY Index Options'!$C:$C,$A14,'NSE - NIFTY Index Options'!$B:$B,F$4,'NSE - NIFTY Index Options'!$I:$I,"Weekly*")+SUMIFS('NSE - NIFTY Index Options'!$M:$M,'NSE - NIFTY Index Options'!$C:$C,$A14,'NSE - NIFTY Index Options'!$B:$B,F$4,'NSE - NIFTY Index Options'!$I:$I,"MDAW*")+SUMIFS('NSE - Other Index Options'!$M:$M,'NSE - Other Index Options'!$C:$C,$A14,'NSE - Other Index Options'!$B:$B,F$4,'NSE - Other Index Options'!$I:$I,"Weekly*")+SUMIFS('NSE - Other Index Options'!$M:$M,'NSE - Other Index Options'!$C:$C,$A14,'NSE - Other Index Options'!$B:$B,F$4,'NSE - Other Index Options'!$I:$I,"MDAW*"))</f>
        <v/>
      </c>
      <c r="G14" s="26">
        <f>IF(SUMIFS('NSE - NIFTY Index Options'!$M:$M,'NSE - NIFTY Index Options'!$C:$C,$A14,'NSE - NIFTY Index Options'!$B:$B,G$4,'NSE - NIFTY Index Options'!$I:$I,"Weekly*")+SUMIFS('NSE - NIFTY Index Options'!$M:$M,'NSE - NIFTY Index Options'!$C:$C,$A14,'NSE - NIFTY Index Options'!$B:$B,G$4,'NSE - NIFTY Index Options'!$I:$I,"MDAW*")+SUMIFS('NSE - Other Index Options'!$M:$M,'NSE - Other Index Options'!$C:$C,$A14,'NSE - Other Index Options'!$B:$B,G$4,'NSE - Other Index Options'!$I:$I,"Weekly*")+SUMIFS('NSE - Other Index Options'!$M:$M,'NSE - Other Index Options'!$C:$C,$A14,'NSE - Other Index Options'!$B:$B,G$4,'NSE - Other Index Options'!$I:$I,"MDAW*")=0,"",SUMIFS('NSE - NIFTY Index Options'!$M:$M,'NSE - NIFTY Index Options'!$C:$C,$A14,'NSE - NIFTY Index Options'!$B:$B,G$4,'NSE - NIFTY Index Options'!$I:$I,"Weekly*")+SUMIFS('NSE - NIFTY Index Options'!$M:$M,'NSE - NIFTY Index Options'!$C:$C,$A14,'NSE - NIFTY Index Options'!$B:$B,G$4,'NSE - NIFTY Index Options'!$I:$I,"MDAW*")+SUMIFS('NSE - Other Index Options'!$M:$M,'NSE - Other Index Options'!$C:$C,$A14,'NSE - Other Index Options'!$B:$B,G$4,'NSE - Other Index Options'!$I:$I,"Weekly*")+SUMIFS('NSE - Other Index Options'!$M:$M,'NSE - Other Index Options'!$C:$C,$A14,'NSE - Other Index Options'!$B:$B,G$4,'NSE - Other Index Options'!$I:$I,"MDAW*"))</f>
        <v/>
      </c>
      <c r="H14" s="26">
        <f>IF(SUM(B14:G14)=0,"",SUM(B14:G14))</f>
        <v/>
      </c>
    </row>
    <row r="15">
      <c r="A15" t="inlineStr">
        <is>
          <t>Week1-Nov-2025</t>
        </is>
      </c>
      <c r="B15" s="26">
        <f>IF(SUMIFS('NSE - NIFTY Index Options'!$M:$M,'NSE - NIFTY Index Options'!$C:$C,$A15,'NSE - NIFTY Index Options'!$B:$B,B$4,'NSE - NIFTY Index Options'!$I:$I,"Weekly*")+SUMIFS('NSE - NIFTY Index Options'!$M:$M,'NSE - NIFTY Index Options'!$C:$C,$A15,'NSE - NIFTY Index Options'!$B:$B,B$4,'NSE - NIFTY Index Options'!$I:$I,"MDAW*")+SUMIFS('NSE - Other Index Options'!$M:$M,'NSE - Other Index Options'!$C:$C,$A15,'NSE - Other Index Options'!$B:$B,B$4,'NSE - Other Index Options'!$I:$I,"Weekly*")+SUMIFS('NSE - Other Index Options'!$M:$M,'NSE - Other Index Options'!$C:$C,$A15,'NSE - Other Index Options'!$B:$B,B$4,'NSE - Other Index Options'!$I:$I,"MDAW*")=0,"",SUMIFS('NSE - NIFTY Index Options'!$M:$M,'NSE - NIFTY Index Options'!$C:$C,$A15,'NSE - NIFTY Index Options'!$B:$B,B$4,'NSE - NIFTY Index Options'!$I:$I,"Weekly*")+SUMIFS('NSE - NIFTY Index Options'!$M:$M,'NSE - NIFTY Index Options'!$C:$C,$A15,'NSE - NIFTY Index Options'!$B:$B,B$4,'NSE - NIFTY Index Options'!$I:$I,"MDAW*")+SUMIFS('NSE - Other Index Options'!$M:$M,'NSE - Other Index Options'!$C:$C,$A15,'NSE - Other Index Options'!$B:$B,B$4,'NSE - Other Index Options'!$I:$I,"Weekly*")+SUMIFS('NSE - Other Index Options'!$M:$M,'NSE - Other Index Options'!$C:$C,$A15,'NSE - Other Index Options'!$B:$B,B$4,'NSE - Other Index Options'!$I:$I,"MDAW*"))</f>
        <v/>
      </c>
      <c r="C15" s="26">
        <f>IF(SUMIFS('NSE - NIFTY Index Options'!$M:$M,'NSE - NIFTY Index Options'!$C:$C,$A15,'NSE - NIFTY Index Options'!$B:$B,C$4,'NSE - NIFTY Index Options'!$I:$I,"Weekly*")+SUMIFS('NSE - NIFTY Index Options'!$M:$M,'NSE - NIFTY Index Options'!$C:$C,$A15,'NSE - NIFTY Index Options'!$B:$B,C$4,'NSE - NIFTY Index Options'!$I:$I,"MDAW*")+SUMIFS('NSE - Other Index Options'!$M:$M,'NSE - Other Index Options'!$C:$C,$A15,'NSE - Other Index Options'!$B:$B,C$4,'NSE - Other Index Options'!$I:$I,"Weekly*")+SUMIFS('NSE - Other Index Options'!$M:$M,'NSE - Other Index Options'!$C:$C,$A15,'NSE - Other Index Options'!$B:$B,C$4,'NSE - Other Index Options'!$I:$I,"MDAW*")=0,"",SUMIFS('NSE - NIFTY Index Options'!$M:$M,'NSE - NIFTY Index Options'!$C:$C,$A15,'NSE - NIFTY Index Options'!$B:$B,C$4,'NSE - NIFTY Index Options'!$I:$I,"Weekly*")+SUMIFS('NSE - NIFTY Index Options'!$M:$M,'NSE - NIFTY Index Options'!$C:$C,$A15,'NSE - NIFTY Index Options'!$B:$B,C$4,'NSE - NIFTY Index Options'!$I:$I,"MDAW*")+SUMIFS('NSE - Other Index Options'!$M:$M,'NSE - Other Index Options'!$C:$C,$A15,'NSE - Other Index Options'!$B:$B,C$4,'NSE - Other Index Options'!$I:$I,"Weekly*")+SUMIFS('NSE - Other Index Options'!$M:$M,'NSE - Other Index Options'!$C:$C,$A15,'NSE - Other Index Options'!$B:$B,C$4,'NSE - Other Index Options'!$I:$I,"MDAW*"))</f>
        <v/>
      </c>
      <c r="D15" s="26">
        <f>IF(SUMIFS('NSE - NIFTY Index Options'!$M:$M,'NSE - NIFTY Index Options'!$C:$C,$A15,'NSE - NIFTY Index Options'!$B:$B,D$4,'NSE - NIFTY Index Options'!$I:$I,"Weekly*")+SUMIFS('NSE - NIFTY Index Options'!$M:$M,'NSE - NIFTY Index Options'!$C:$C,$A15,'NSE - NIFTY Index Options'!$B:$B,D$4,'NSE - NIFTY Index Options'!$I:$I,"MDAW*")+SUMIFS('NSE - Other Index Options'!$M:$M,'NSE - Other Index Options'!$C:$C,$A15,'NSE - Other Index Options'!$B:$B,D$4,'NSE - Other Index Options'!$I:$I,"Weekly*")+SUMIFS('NSE - Other Index Options'!$M:$M,'NSE - Other Index Options'!$C:$C,$A15,'NSE - Other Index Options'!$B:$B,D$4,'NSE - Other Index Options'!$I:$I,"MDAW*")=0,"",SUMIFS('NSE - NIFTY Index Options'!$M:$M,'NSE - NIFTY Index Options'!$C:$C,$A15,'NSE - NIFTY Index Options'!$B:$B,D$4,'NSE - NIFTY Index Options'!$I:$I,"Weekly*")+SUMIFS('NSE - NIFTY Index Options'!$M:$M,'NSE - NIFTY Index Options'!$C:$C,$A15,'NSE - NIFTY Index Options'!$B:$B,D$4,'NSE - NIFTY Index Options'!$I:$I,"MDAW*")+SUMIFS('NSE - Other Index Options'!$M:$M,'NSE - Other Index Options'!$C:$C,$A15,'NSE - Other Index Options'!$B:$B,D$4,'NSE - Other Index Options'!$I:$I,"Weekly*")+SUMIFS('NSE - Other Index Options'!$M:$M,'NSE - Other Index Options'!$C:$C,$A15,'NSE - Other Index Options'!$B:$B,D$4,'NSE - Other Index Options'!$I:$I,"MDAW*"))</f>
        <v/>
      </c>
      <c r="E15" s="26">
        <f>IF(SUMIFS('NSE - NIFTY Index Options'!$M:$M,'NSE - NIFTY Index Options'!$C:$C,$A15,'NSE - NIFTY Index Options'!$B:$B,E$4,'NSE - NIFTY Index Options'!$I:$I,"Weekly*")+SUMIFS('NSE - NIFTY Index Options'!$M:$M,'NSE - NIFTY Index Options'!$C:$C,$A15,'NSE - NIFTY Index Options'!$B:$B,E$4,'NSE - NIFTY Index Options'!$I:$I,"MDAW*")+SUMIFS('NSE - Other Index Options'!$M:$M,'NSE - Other Index Options'!$C:$C,$A15,'NSE - Other Index Options'!$B:$B,E$4,'NSE - Other Index Options'!$I:$I,"Weekly*")+SUMIFS('NSE - Other Index Options'!$M:$M,'NSE - Other Index Options'!$C:$C,$A15,'NSE - Other Index Options'!$B:$B,E$4,'NSE - Other Index Options'!$I:$I,"MDAW*")=0,"",SUMIFS('NSE - NIFTY Index Options'!$M:$M,'NSE - NIFTY Index Options'!$C:$C,$A15,'NSE - NIFTY Index Options'!$B:$B,E$4,'NSE - NIFTY Index Options'!$I:$I,"Weekly*")+SUMIFS('NSE - NIFTY Index Options'!$M:$M,'NSE - NIFTY Index Options'!$C:$C,$A15,'NSE - NIFTY Index Options'!$B:$B,E$4,'NSE - NIFTY Index Options'!$I:$I,"MDAW*")+SUMIFS('NSE - Other Index Options'!$M:$M,'NSE - Other Index Options'!$C:$C,$A15,'NSE - Other Index Options'!$B:$B,E$4,'NSE - Other Index Options'!$I:$I,"Weekly*")+SUMIFS('NSE - Other Index Options'!$M:$M,'NSE - Other Index Options'!$C:$C,$A15,'NSE - Other Index Options'!$B:$B,E$4,'NSE - Other Index Options'!$I:$I,"MDAW*"))</f>
        <v/>
      </c>
      <c r="F15" s="26">
        <f>IF(SUMIFS('NSE - NIFTY Index Options'!$M:$M,'NSE - NIFTY Index Options'!$C:$C,$A15,'NSE - NIFTY Index Options'!$B:$B,F$4,'NSE - NIFTY Index Options'!$I:$I,"Weekly*")+SUMIFS('NSE - NIFTY Index Options'!$M:$M,'NSE - NIFTY Index Options'!$C:$C,$A15,'NSE - NIFTY Index Options'!$B:$B,F$4,'NSE - NIFTY Index Options'!$I:$I,"MDAW*")+SUMIFS('NSE - Other Index Options'!$M:$M,'NSE - Other Index Options'!$C:$C,$A15,'NSE - Other Index Options'!$B:$B,F$4,'NSE - Other Index Options'!$I:$I,"Weekly*")+SUMIFS('NSE - Other Index Options'!$M:$M,'NSE - Other Index Options'!$C:$C,$A15,'NSE - Other Index Options'!$B:$B,F$4,'NSE - Other Index Options'!$I:$I,"MDAW*")=0,"",SUMIFS('NSE - NIFTY Index Options'!$M:$M,'NSE - NIFTY Index Options'!$C:$C,$A15,'NSE - NIFTY Index Options'!$B:$B,F$4,'NSE - NIFTY Index Options'!$I:$I,"Weekly*")+SUMIFS('NSE - NIFTY Index Options'!$M:$M,'NSE - NIFTY Index Options'!$C:$C,$A15,'NSE - NIFTY Index Options'!$B:$B,F$4,'NSE - NIFTY Index Options'!$I:$I,"MDAW*")+SUMIFS('NSE - Other Index Options'!$M:$M,'NSE - Other Index Options'!$C:$C,$A15,'NSE - Other Index Options'!$B:$B,F$4,'NSE - Other Index Options'!$I:$I,"Weekly*")+SUMIFS('NSE - Other Index Options'!$M:$M,'NSE - Other Index Options'!$C:$C,$A15,'NSE - Other Index Options'!$B:$B,F$4,'NSE - Other Index Options'!$I:$I,"MDAW*"))</f>
        <v/>
      </c>
      <c r="G15" s="26">
        <f>IF(SUMIFS('NSE - NIFTY Index Options'!$M:$M,'NSE - NIFTY Index Options'!$C:$C,$A15,'NSE - NIFTY Index Options'!$B:$B,G$4,'NSE - NIFTY Index Options'!$I:$I,"Weekly*")+SUMIFS('NSE - NIFTY Index Options'!$M:$M,'NSE - NIFTY Index Options'!$C:$C,$A15,'NSE - NIFTY Index Options'!$B:$B,G$4,'NSE - NIFTY Index Options'!$I:$I,"MDAW*")+SUMIFS('NSE - Other Index Options'!$M:$M,'NSE - Other Index Options'!$C:$C,$A15,'NSE - Other Index Options'!$B:$B,G$4,'NSE - Other Index Options'!$I:$I,"Weekly*")+SUMIFS('NSE - Other Index Options'!$M:$M,'NSE - Other Index Options'!$C:$C,$A15,'NSE - Other Index Options'!$B:$B,G$4,'NSE - Other Index Options'!$I:$I,"MDAW*")=0,"",SUMIFS('NSE - NIFTY Index Options'!$M:$M,'NSE - NIFTY Index Options'!$C:$C,$A15,'NSE - NIFTY Index Options'!$B:$B,G$4,'NSE - NIFTY Index Options'!$I:$I,"Weekly*")+SUMIFS('NSE - NIFTY Index Options'!$M:$M,'NSE - NIFTY Index Options'!$C:$C,$A15,'NSE - NIFTY Index Options'!$B:$B,G$4,'NSE - NIFTY Index Options'!$I:$I,"MDAW*")+SUMIFS('NSE - Other Index Options'!$M:$M,'NSE - Other Index Options'!$C:$C,$A15,'NSE - Other Index Options'!$B:$B,G$4,'NSE - Other Index Options'!$I:$I,"Weekly*")+SUMIFS('NSE - Other Index Options'!$M:$M,'NSE - Other Index Options'!$C:$C,$A15,'NSE - Other Index Options'!$B:$B,G$4,'NSE - Other Index Options'!$I:$I,"MDAW*"))</f>
        <v/>
      </c>
      <c r="H15" s="26">
        <f>IF(SUM(B15:G15)=0,"",SUM(B15:G15))</f>
        <v/>
      </c>
    </row>
    <row r="16">
      <c r="A16" t="inlineStr">
        <is>
          <t>Week2-Nov-2025</t>
        </is>
      </c>
      <c r="B16" s="26">
        <f>IF(SUMIFS('NSE - NIFTY Index Options'!$M:$M,'NSE - NIFTY Index Options'!$C:$C,$A16,'NSE - NIFTY Index Options'!$B:$B,B$4,'NSE - NIFTY Index Options'!$I:$I,"Weekly*")+SUMIFS('NSE - NIFTY Index Options'!$M:$M,'NSE - NIFTY Index Options'!$C:$C,$A16,'NSE - NIFTY Index Options'!$B:$B,B$4,'NSE - NIFTY Index Options'!$I:$I,"MDAW*")+SUMIFS('NSE - Other Index Options'!$M:$M,'NSE - Other Index Options'!$C:$C,$A16,'NSE - Other Index Options'!$B:$B,B$4,'NSE - Other Index Options'!$I:$I,"Weekly*")+SUMIFS('NSE - Other Index Options'!$M:$M,'NSE - Other Index Options'!$C:$C,$A16,'NSE - Other Index Options'!$B:$B,B$4,'NSE - Other Index Options'!$I:$I,"MDAW*")=0,"",SUMIFS('NSE - NIFTY Index Options'!$M:$M,'NSE - NIFTY Index Options'!$C:$C,$A16,'NSE - NIFTY Index Options'!$B:$B,B$4,'NSE - NIFTY Index Options'!$I:$I,"Weekly*")+SUMIFS('NSE - NIFTY Index Options'!$M:$M,'NSE - NIFTY Index Options'!$C:$C,$A16,'NSE - NIFTY Index Options'!$B:$B,B$4,'NSE - NIFTY Index Options'!$I:$I,"MDAW*")+SUMIFS('NSE - Other Index Options'!$M:$M,'NSE - Other Index Options'!$C:$C,$A16,'NSE - Other Index Options'!$B:$B,B$4,'NSE - Other Index Options'!$I:$I,"Weekly*")+SUMIFS('NSE - Other Index Options'!$M:$M,'NSE - Other Index Options'!$C:$C,$A16,'NSE - Other Index Options'!$B:$B,B$4,'NSE - Other Index Options'!$I:$I,"MDAW*"))</f>
        <v/>
      </c>
      <c r="C16" s="26">
        <f>IF(SUMIFS('NSE - NIFTY Index Options'!$M:$M,'NSE - NIFTY Index Options'!$C:$C,$A16,'NSE - NIFTY Index Options'!$B:$B,C$4,'NSE - NIFTY Index Options'!$I:$I,"Weekly*")+SUMIFS('NSE - NIFTY Index Options'!$M:$M,'NSE - NIFTY Index Options'!$C:$C,$A16,'NSE - NIFTY Index Options'!$B:$B,C$4,'NSE - NIFTY Index Options'!$I:$I,"MDAW*")+SUMIFS('NSE - Other Index Options'!$M:$M,'NSE - Other Index Options'!$C:$C,$A16,'NSE - Other Index Options'!$B:$B,C$4,'NSE - Other Index Options'!$I:$I,"Weekly*")+SUMIFS('NSE - Other Index Options'!$M:$M,'NSE - Other Index Options'!$C:$C,$A16,'NSE - Other Index Options'!$B:$B,C$4,'NSE - Other Index Options'!$I:$I,"MDAW*")=0,"",SUMIFS('NSE - NIFTY Index Options'!$M:$M,'NSE - NIFTY Index Options'!$C:$C,$A16,'NSE - NIFTY Index Options'!$B:$B,C$4,'NSE - NIFTY Index Options'!$I:$I,"Weekly*")+SUMIFS('NSE - NIFTY Index Options'!$M:$M,'NSE - NIFTY Index Options'!$C:$C,$A16,'NSE - NIFTY Index Options'!$B:$B,C$4,'NSE - NIFTY Index Options'!$I:$I,"MDAW*")+SUMIFS('NSE - Other Index Options'!$M:$M,'NSE - Other Index Options'!$C:$C,$A16,'NSE - Other Index Options'!$B:$B,C$4,'NSE - Other Index Options'!$I:$I,"Weekly*")+SUMIFS('NSE - Other Index Options'!$M:$M,'NSE - Other Index Options'!$C:$C,$A16,'NSE - Other Index Options'!$B:$B,C$4,'NSE - Other Index Options'!$I:$I,"MDAW*"))</f>
        <v/>
      </c>
      <c r="D16" s="26">
        <f>IF(SUMIFS('NSE - NIFTY Index Options'!$M:$M,'NSE - NIFTY Index Options'!$C:$C,$A16,'NSE - NIFTY Index Options'!$B:$B,D$4,'NSE - NIFTY Index Options'!$I:$I,"Weekly*")+SUMIFS('NSE - NIFTY Index Options'!$M:$M,'NSE - NIFTY Index Options'!$C:$C,$A16,'NSE - NIFTY Index Options'!$B:$B,D$4,'NSE - NIFTY Index Options'!$I:$I,"MDAW*")+SUMIFS('NSE - Other Index Options'!$M:$M,'NSE - Other Index Options'!$C:$C,$A16,'NSE - Other Index Options'!$B:$B,D$4,'NSE - Other Index Options'!$I:$I,"Weekly*")+SUMIFS('NSE - Other Index Options'!$M:$M,'NSE - Other Index Options'!$C:$C,$A16,'NSE - Other Index Options'!$B:$B,D$4,'NSE - Other Index Options'!$I:$I,"MDAW*")=0,"",SUMIFS('NSE - NIFTY Index Options'!$M:$M,'NSE - NIFTY Index Options'!$C:$C,$A16,'NSE - NIFTY Index Options'!$B:$B,D$4,'NSE - NIFTY Index Options'!$I:$I,"Weekly*")+SUMIFS('NSE - NIFTY Index Options'!$M:$M,'NSE - NIFTY Index Options'!$C:$C,$A16,'NSE - NIFTY Index Options'!$B:$B,D$4,'NSE - NIFTY Index Options'!$I:$I,"MDAW*")+SUMIFS('NSE - Other Index Options'!$M:$M,'NSE - Other Index Options'!$C:$C,$A16,'NSE - Other Index Options'!$B:$B,D$4,'NSE - Other Index Options'!$I:$I,"Weekly*")+SUMIFS('NSE - Other Index Options'!$M:$M,'NSE - Other Index Options'!$C:$C,$A16,'NSE - Other Index Options'!$B:$B,D$4,'NSE - Other Index Options'!$I:$I,"MDAW*"))</f>
        <v/>
      </c>
      <c r="E16" s="26">
        <f>IF(SUMIFS('NSE - NIFTY Index Options'!$M:$M,'NSE - NIFTY Index Options'!$C:$C,$A16,'NSE - NIFTY Index Options'!$B:$B,E$4,'NSE - NIFTY Index Options'!$I:$I,"Weekly*")+SUMIFS('NSE - NIFTY Index Options'!$M:$M,'NSE - NIFTY Index Options'!$C:$C,$A16,'NSE - NIFTY Index Options'!$B:$B,E$4,'NSE - NIFTY Index Options'!$I:$I,"MDAW*")+SUMIFS('NSE - Other Index Options'!$M:$M,'NSE - Other Index Options'!$C:$C,$A16,'NSE - Other Index Options'!$B:$B,E$4,'NSE - Other Index Options'!$I:$I,"Weekly*")+SUMIFS('NSE - Other Index Options'!$M:$M,'NSE - Other Index Options'!$C:$C,$A16,'NSE - Other Index Options'!$B:$B,E$4,'NSE - Other Index Options'!$I:$I,"MDAW*")=0,"",SUMIFS('NSE - NIFTY Index Options'!$M:$M,'NSE - NIFTY Index Options'!$C:$C,$A16,'NSE - NIFTY Index Options'!$B:$B,E$4,'NSE - NIFTY Index Options'!$I:$I,"Weekly*")+SUMIFS('NSE - NIFTY Index Options'!$M:$M,'NSE - NIFTY Index Options'!$C:$C,$A16,'NSE - NIFTY Index Options'!$B:$B,E$4,'NSE - NIFTY Index Options'!$I:$I,"MDAW*")+SUMIFS('NSE - Other Index Options'!$M:$M,'NSE - Other Index Options'!$C:$C,$A16,'NSE - Other Index Options'!$B:$B,E$4,'NSE - Other Index Options'!$I:$I,"Weekly*")+SUMIFS('NSE - Other Index Options'!$M:$M,'NSE - Other Index Options'!$C:$C,$A16,'NSE - Other Index Options'!$B:$B,E$4,'NSE - Other Index Options'!$I:$I,"MDAW*"))</f>
        <v/>
      </c>
      <c r="F16" s="26">
        <f>IF(SUMIFS('NSE - NIFTY Index Options'!$M:$M,'NSE - NIFTY Index Options'!$C:$C,$A16,'NSE - NIFTY Index Options'!$B:$B,F$4,'NSE - NIFTY Index Options'!$I:$I,"Weekly*")+SUMIFS('NSE - NIFTY Index Options'!$M:$M,'NSE - NIFTY Index Options'!$C:$C,$A16,'NSE - NIFTY Index Options'!$B:$B,F$4,'NSE - NIFTY Index Options'!$I:$I,"MDAW*")+SUMIFS('NSE - Other Index Options'!$M:$M,'NSE - Other Index Options'!$C:$C,$A16,'NSE - Other Index Options'!$B:$B,F$4,'NSE - Other Index Options'!$I:$I,"Weekly*")+SUMIFS('NSE - Other Index Options'!$M:$M,'NSE - Other Index Options'!$C:$C,$A16,'NSE - Other Index Options'!$B:$B,F$4,'NSE - Other Index Options'!$I:$I,"MDAW*")=0,"",SUMIFS('NSE - NIFTY Index Options'!$M:$M,'NSE - NIFTY Index Options'!$C:$C,$A16,'NSE - NIFTY Index Options'!$B:$B,F$4,'NSE - NIFTY Index Options'!$I:$I,"Weekly*")+SUMIFS('NSE - NIFTY Index Options'!$M:$M,'NSE - NIFTY Index Options'!$C:$C,$A16,'NSE - NIFTY Index Options'!$B:$B,F$4,'NSE - NIFTY Index Options'!$I:$I,"MDAW*")+SUMIFS('NSE - Other Index Options'!$M:$M,'NSE - Other Index Options'!$C:$C,$A16,'NSE - Other Index Options'!$B:$B,F$4,'NSE - Other Index Options'!$I:$I,"Weekly*")+SUMIFS('NSE - Other Index Options'!$M:$M,'NSE - Other Index Options'!$C:$C,$A16,'NSE - Other Index Options'!$B:$B,F$4,'NSE - Other Index Options'!$I:$I,"MDAW*"))</f>
        <v/>
      </c>
      <c r="G16" s="26">
        <f>IF(SUMIFS('NSE - NIFTY Index Options'!$M:$M,'NSE - NIFTY Index Options'!$C:$C,$A16,'NSE - NIFTY Index Options'!$B:$B,G$4,'NSE - NIFTY Index Options'!$I:$I,"Weekly*")+SUMIFS('NSE - NIFTY Index Options'!$M:$M,'NSE - NIFTY Index Options'!$C:$C,$A16,'NSE - NIFTY Index Options'!$B:$B,G$4,'NSE - NIFTY Index Options'!$I:$I,"MDAW*")+SUMIFS('NSE - Other Index Options'!$M:$M,'NSE - Other Index Options'!$C:$C,$A16,'NSE - Other Index Options'!$B:$B,G$4,'NSE - Other Index Options'!$I:$I,"Weekly*")+SUMIFS('NSE - Other Index Options'!$M:$M,'NSE - Other Index Options'!$C:$C,$A16,'NSE - Other Index Options'!$B:$B,G$4,'NSE - Other Index Options'!$I:$I,"MDAW*")=0,"",SUMIFS('NSE - NIFTY Index Options'!$M:$M,'NSE - NIFTY Index Options'!$C:$C,$A16,'NSE - NIFTY Index Options'!$B:$B,G$4,'NSE - NIFTY Index Options'!$I:$I,"Weekly*")+SUMIFS('NSE - NIFTY Index Options'!$M:$M,'NSE - NIFTY Index Options'!$C:$C,$A16,'NSE - NIFTY Index Options'!$B:$B,G$4,'NSE - NIFTY Index Options'!$I:$I,"MDAW*")+SUMIFS('NSE - Other Index Options'!$M:$M,'NSE - Other Index Options'!$C:$C,$A16,'NSE - Other Index Options'!$B:$B,G$4,'NSE - Other Index Options'!$I:$I,"Weekly*")+SUMIFS('NSE - Other Index Options'!$M:$M,'NSE - Other Index Options'!$C:$C,$A16,'NSE - Other Index Options'!$B:$B,G$4,'NSE - Other Index Options'!$I:$I,"MDAW*"))</f>
        <v/>
      </c>
      <c r="H16" s="26">
        <f>IF(SUM(B16:G16)=0,"",SUM(B16:G16))</f>
        <v/>
      </c>
    </row>
    <row r="17">
      <c r="A17" t="inlineStr">
        <is>
          <t>Week3-Nov-2025</t>
        </is>
      </c>
      <c r="B17" s="26">
        <f>IF(SUMIFS('NSE - NIFTY Index Options'!$M:$M,'NSE - NIFTY Index Options'!$C:$C,$A17,'NSE - NIFTY Index Options'!$B:$B,B$4,'NSE - NIFTY Index Options'!$I:$I,"Weekly*")+SUMIFS('NSE - NIFTY Index Options'!$M:$M,'NSE - NIFTY Index Options'!$C:$C,$A17,'NSE - NIFTY Index Options'!$B:$B,B$4,'NSE - NIFTY Index Options'!$I:$I,"MDAW*")+SUMIFS('NSE - Other Index Options'!$M:$M,'NSE - Other Index Options'!$C:$C,$A17,'NSE - Other Index Options'!$B:$B,B$4,'NSE - Other Index Options'!$I:$I,"Weekly*")+SUMIFS('NSE - Other Index Options'!$M:$M,'NSE - Other Index Options'!$C:$C,$A17,'NSE - Other Index Options'!$B:$B,B$4,'NSE - Other Index Options'!$I:$I,"MDAW*")=0,"",SUMIFS('NSE - NIFTY Index Options'!$M:$M,'NSE - NIFTY Index Options'!$C:$C,$A17,'NSE - NIFTY Index Options'!$B:$B,B$4,'NSE - NIFTY Index Options'!$I:$I,"Weekly*")+SUMIFS('NSE - NIFTY Index Options'!$M:$M,'NSE - NIFTY Index Options'!$C:$C,$A17,'NSE - NIFTY Index Options'!$B:$B,B$4,'NSE - NIFTY Index Options'!$I:$I,"MDAW*")+SUMIFS('NSE - Other Index Options'!$M:$M,'NSE - Other Index Options'!$C:$C,$A17,'NSE - Other Index Options'!$B:$B,B$4,'NSE - Other Index Options'!$I:$I,"Weekly*")+SUMIFS('NSE - Other Index Options'!$M:$M,'NSE - Other Index Options'!$C:$C,$A17,'NSE - Other Index Options'!$B:$B,B$4,'NSE - Other Index Options'!$I:$I,"MDAW*"))</f>
        <v/>
      </c>
      <c r="C17" s="26">
        <f>IF(SUMIFS('NSE - NIFTY Index Options'!$M:$M,'NSE - NIFTY Index Options'!$C:$C,$A17,'NSE - NIFTY Index Options'!$B:$B,C$4,'NSE - NIFTY Index Options'!$I:$I,"Weekly*")+SUMIFS('NSE - NIFTY Index Options'!$M:$M,'NSE - NIFTY Index Options'!$C:$C,$A17,'NSE - NIFTY Index Options'!$B:$B,C$4,'NSE - NIFTY Index Options'!$I:$I,"MDAW*")+SUMIFS('NSE - Other Index Options'!$M:$M,'NSE - Other Index Options'!$C:$C,$A17,'NSE - Other Index Options'!$B:$B,C$4,'NSE - Other Index Options'!$I:$I,"Weekly*")+SUMIFS('NSE - Other Index Options'!$M:$M,'NSE - Other Index Options'!$C:$C,$A17,'NSE - Other Index Options'!$B:$B,C$4,'NSE - Other Index Options'!$I:$I,"MDAW*")=0,"",SUMIFS('NSE - NIFTY Index Options'!$M:$M,'NSE - NIFTY Index Options'!$C:$C,$A17,'NSE - NIFTY Index Options'!$B:$B,C$4,'NSE - NIFTY Index Options'!$I:$I,"Weekly*")+SUMIFS('NSE - NIFTY Index Options'!$M:$M,'NSE - NIFTY Index Options'!$C:$C,$A17,'NSE - NIFTY Index Options'!$B:$B,C$4,'NSE - NIFTY Index Options'!$I:$I,"MDAW*")+SUMIFS('NSE - Other Index Options'!$M:$M,'NSE - Other Index Options'!$C:$C,$A17,'NSE - Other Index Options'!$B:$B,C$4,'NSE - Other Index Options'!$I:$I,"Weekly*")+SUMIFS('NSE - Other Index Options'!$M:$M,'NSE - Other Index Options'!$C:$C,$A17,'NSE - Other Index Options'!$B:$B,C$4,'NSE - Other Index Options'!$I:$I,"MDAW*"))</f>
        <v/>
      </c>
      <c r="D17" s="26">
        <f>IF(SUMIFS('NSE - NIFTY Index Options'!$M:$M,'NSE - NIFTY Index Options'!$C:$C,$A17,'NSE - NIFTY Index Options'!$B:$B,D$4,'NSE - NIFTY Index Options'!$I:$I,"Weekly*")+SUMIFS('NSE - NIFTY Index Options'!$M:$M,'NSE - NIFTY Index Options'!$C:$C,$A17,'NSE - NIFTY Index Options'!$B:$B,D$4,'NSE - NIFTY Index Options'!$I:$I,"MDAW*")+SUMIFS('NSE - Other Index Options'!$M:$M,'NSE - Other Index Options'!$C:$C,$A17,'NSE - Other Index Options'!$B:$B,D$4,'NSE - Other Index Options'!$I:$I,"Weekly*")+SUMIFS('NSE - Other Index Options'!$M:$M,'NSE - Other Index Options'!$C:$C,$A17,'NSE - Other Index Options'!$B:$B,D$4,'NSE - Other Index Options'!$I:$I,"MDAW*")=0,"",SUMIFS('NSE - NIFTY Index Options'!$M:$M,'NSE - NIFTY Index Options'!$C:$C,$A17,'NSE - NIFTY Index Options'!$B:$B,D$4,'NSE - NIFTY Index Options'!$I:$I,"Weekly*")+SUMIFS('NSE - NIFTY Index Options'!$M:$M,'NSE - NIFTY Index Options'!$C:$C,$A17,'NSE - NIFTY Index Options'!$B:$B,D$4,'NSE - NIFTY Index Options'!$I:$I,"MDAW*")+SUMIFS('NSE - Other Index Options'!$M:$M,'NSE - Other Index Options'!$C:$C,$A17,'NSE - Other Index Options'!$B:$B,D$4,'NSE - Other Index Options'!$I:$I,"Weekly*")+SUMIFS('NSE - Other Index Options'!$M:$M,'NSE - Other Index Options'!$C:$C,$A17,'NSE - Other Index Options'!$B:$B,D$4,'NSE - Other Index Options'!$I:$I,"MDAW*"))</f>
        <v/>
      </c>
      <c r="E17" s="26">
        <f>IF(SUMIFS('NSE - NIFTY Index Options'!$M:$M,'NSE - NIFTY Index Options'!$C:$C,$A17,'NSE - NIFTY Index Options'!$B:$B,E$4,'NSE - NIFTY Index Options'!$I:$I,"Weekly*")+SUMIFS('NSE - NIFTY Index Options'!$M:$M,'NSE - NIFTY Index Options'!$C:$C,$A17,'NSE - NIFTY Index Options'!$B:$B,E$4,'NSE - NIFTY Index Options'!$I:$I,"MDAW*")+SUMIFS('NSE - Other Index Options'!$M:$M,'NSE - Other Index Options'!$C:$C,$A17,'NSE - Other Index Options'!$B:$B,E$4,'NSE - Other Index Options'!$I:$I,"Weekly*")+SUMIFS('NSE - Other Index Options'!$M:$M,'NSE - Other Index Options'!$C:$C,$A17,'NSE - Other Index Options'!$B:$B,E$4,'NSE - Other Index Options'!$I:$I,"MDAW*")=0,"",SUMIFS('NSE - NIFTY Index Options'!$M:$M,'NSE - NIFTY Index Options'!$C:$C,$A17,'NSE - NIFTY Index Options'!$B:$B,E$4,'NSE - NIFTY Index Options'!$I:$I,"Weekly*")+SUMIFS('NSE - NIFTY Index Options'!$M:$M,'NSE - NIFTY Index Options'!$C:$C,$A17,'NSE - NIFTY Index Options'!$B:$B,E$4,'NSE - NIFTY Index Options'!$I:$I,"MDAW*")+SUMIFS('NSE - Other Index Options'!$M:$M,'NSE - Other Index Options'!$C:$C,$A17,'NSE - Other Index Options'!$B:$B,E$4,'NSE - Other Index Options'!$I:$I,"Weekly*")+SUMIFS('NSE - Other Index Options'!$M:$M,'NSE - Other Index Options'!$C:$C,$A17,'NSE - Other Index Options'!$B:$B,E$4,'NSE - Other Index Options'!$I:$I,"MDAW*"))</f>
        <v/>
      </c>
      <c r="F17" s="26">
        <f>IF(SUMIFS('NSE - NIFTY Index Options'!$M:$M,'NSE - NIFTY Index Options'!$C:$C,$A17,'NSE - NIFTY Index Options'!$B:$B,F$4,'NSE - NIFTY Index Options'!$I:$I,"Weekly*")+SUMIFS('NSE - NIFTY Index Options'!$M:$M,'NSE - NIFTY Index Options'!$C:$C,$A17,'NSE - NIFTY Index Options'!$B:$B,F$4,'NSE - NIFTY Index Options'!$I:$I,"MDAW*")+SUMIFS('NSE - Other Index Options'!$M:$M,'NSE - Other Index Options'!$C:$C,$A17,'NSE - Other Index Options'!$B:$B,F$4,'NSE - Other Index Options'!$I:$I,"Weekly*")+SUMIFS('NSE - Other Index Options'!$M:$M,'NSE - Other Index Options'!$C:$C,$A17,'NSE - Other Index Options'!$B:$B,F$4,'NSE - Other Index Options'!$I:$I,"MDAW*")=0,"",SUMIFS('NSE - NIFTY Index Options'!$M:$M,'NSE - NIFTY Index Options'!$C:$C,$A17,'NSE - NIFTY Index Options'!$B:$B,F$4,'NSE - NIFTY Index Options'!$I:$I,"Weekly*")+SUMIFS('NSE - NIFTY Index Options'!$M:$M,'NSE - NIFTY Index Options'!$C:$C,$A17,'NSE - NIFTY Index Options'!$B:$B,F$4,'NSE - NIFTY Index Options'!$I:$I,"MDAW*")+SUMIFS('NSE - Other Index Options'!$M:$M,'NSE - Other Index Options'!$C:$C,$A17,'NSE - Other Index Options'!$B:$B,F$4,'NSE - Other Index Options'!$I:$I,"Weekly*")+SUMIFS('NSE - Other Index Options'!$M:$M,'NSE - Other Index Options'!$C:$C,$A17,'NSE - Other Index Options'!$B:$B,F$4,'NSE - Other Index Options'!$I:$I,"MDAW*"))</f>
        <v/>
      </c>
      <c r="G17" s="26">
        <f>IF(SUMIFS('NSE - NIFTY Index Options'!$M:$M,'NSE - NIFTY Index Options'!$C:$C,$A17,'NSE - NIFTY Index Options'!$B:$B,G$4,'NSE - NIFTY Index Options'!$I:$I,"Weekly*")+SUMIFS('NSE - NIFTY Index Options'!$M:$M,'NSE - NIFTY Index Options'!$C:$C,$A17,'NSE - NIFTY Index Options'!$B:$B,G$4,'NSE - NIFTY Index Options'!$I:$I,"MDAW*")+SUMIFS('NSE - Other Index Options'!$M:$M,'NSE - Other Index Options'!$C:$C,$A17,'NSE - Other Index Options'!$B:$B,G$4,'NSE - Other Index Options'!$I:$I,"Weekly*")+SUMIFS('NSE - Other Index Options'!$M:$M,'NSE - Other Index Options'!$C:$C,$A17,'NSE - Other Index Options'!$B:$B,G$4,'NSE - Other Index Options'!$I:$I,"MDAW*")=0,"",SUMIFS('NSE - NIFTY Index Options'!$M:$M,'NSE - NIFTY Index Options'!$C:$C,$A17,'NSE - NIFTY Index Options'!$B:$B,G$4,'NSE - NIFTY Index Options'!$I:$I,"Weekly*")+SUMIFS('NSE - NIFTY Index Options'!$M:$M,'NSE - NIFTY Index Options'!$C:$C,$A17,'NSE - NIFTY Index Options'!$B:$B,G$4,'NSE - NIFTY Index Options'!$I:$I,"MDAW*")+SUMIFS('NSE - Other Index Options'!$M:$M,'NSE - Other Index Options'!$C:$C,$A17,'NSE - Other Index Options'!$B:$B,G$4,'NSE - Other Index Options'!$I:$I,"Weekly*")+SUMIFS('NSE - Other Index Options'!$M:$M,'NSE - Other Index Options'!$C:$C,$A17,'NSE - Other Index Options'!$B:$B,G$4,'NSE - Other Index Options'!$I:$I,"MDAW*"))</f>
        <v/>
      </c>
      <c r="H17" s="26">
        <f>IF(SUM(B17:G17)=0,"",SUM(B17:G17))</f>
        <v/>
      </c>
    </row>
    <row r="18">
      <c r="A18" t="inlineStr">
        <is>
          <t>Week4-Nov-2025</t>
        </is>
      </c>
      <c r="B18" s="26">
        <f>IF(SUMIFS('NSE - NIFTY Index Options'!$M:$M,'NSE - NIFTY Index Options'!$C:$C,$A18,'NSE - NIFTY Index Options'!$B:$B,B$4,'NSE - NIFTY Index Options'!$I:$I,"Weekly*")+SUMIFS('NSE - NIFTY Index Options'!$M:$M,'NSE - NIFTY Index Options'!$C:$C,$A18,'NSE - NIFTY Index Options'!$B:$B,B$4,'NSE - NIFTY Index Options'!$I:$I,"MDAW*")+SUMIFS('NSE - Other Index Options'!$M:$M,'NSE - Other Index Options'!$C:$C,$A18,'NSE - Other Index Options'!$B:$B,B$4,'NSE - Other Index Options'!$I:$I,"Weekly*")+SUMIFS('NSE - Other Index Options'!$M:$M,'NSE - Other Index Options'!$C:$C,$A18,'NSE - Other Index Options'!$B:$B,B$4,'NSE - Other Index Options'!$I:$I,"MDAW*")=0,"",SUMIFS('NSE - NIFTY Index Options'!$M:$M,'NSE - NIFTY Index Options'!$C:$C,$A18,'NSE - NIFTY Index Options'!$B:$B,B$4,'NSE - NIFTY Index Options'!$I:$I,"Weekly*")+SUMIFS('NSE - NIFTY Index Options'!$M:$M,'NSE - NIFTY Index Options'!$C:$C,$A18,'NSE - NIFTY Index Options'!$B:$B,B$4,'NSE - NIFTY Index Options'!$I:$I,"MDAW*")+SUMIFS('NSE - Other Index Options'!$M:$M,'NSE - Other Index Options'!$C:$C,$A18,'NSE - Other Index Options'!$B:$B,B$4,'NSE - Other Index Options'!$I:$I,"Weekly*")+SUMIFS('NSE - Other Index Options'!$M:$M,'NSE - Other Index Options'!$C:$C,$A18,'NSE - Other Index Options'!$B:$B,B$4,'NSE - Other Index Options'!$I:$I,"MDAW*"))</f>
        <v/>
      </c>
      <c r="C18" s="26">
        <f>IF(SUMIFS('NSE - NIFTY Index Options'!$M:$M,'NSE - NIFTY Index Options'!$C:$C,$A18,'NSE - NIFTY Index Options'!$B:$B,C$4,'NSE - NIFTY Index Options'!$I:$I,"Weekly*")+SUMIFS('NSE - NIFTY Index Options'!$M:$M,'NSE - NIFTY Index Options'!$C:$C,$A18,'NSE - NIFTY Index Options'!$B:$B,C$4,'NSE - NIFTY Index Options'!$I:$I,"MDAW*")+SUMIFS('NSE - Other Index Options'!$M:$M,'NSE - Other Index Options'!$C:$C,$A18,'NSE - Other Index Options'!$B:$B,C$4,'NSE - Other Index Options'!$I:$I,"Weekly*")+SUMIFS('NSE - Other Index Options'!$M:$M,'NSE - Other Index Options'!$C:$C,$A18,'NSE - Other Index Options'!$B:$B,C$4,'NSE - Other Index Options'!$I:$I,"MDAW*")=0,"",SUMIFS('NSE - NIFTY Index Options'!$M:$M,'NSE - NIFTY Index Options'!$C:$C,$A18,'NSE - NIFTY Index Options'!$B:$B,C$4,'NSE - NIFTY Index Options'!$I:$I,"Weekly*")+SUMIFS('NSE - NIFTY Index Options'!$M:$M,'NSE - NIFTY Index Options'!$C:$C,$A18,'NSE - NIFTY Index Options'!$B:$B,C$4,'NSE - NIFTY Index Options'!$I:$I,"MDAW*")+SUMIFS('NSE - Other Index Options'!$M:$M,'NSE - Other Index Options'!$C:$C,$A18,'NSE - Other Index Options'!$B:$B,C$4,'NSE - Other Index Options'!$I:$I,"Weekly*")+SUMIFS('NSE - Other Index Options'!$M:$M,'NSE - Other Index Options'!$C:$C,$A18,'NSE - Other Index Options'!$B:$B,C$4,'NSE - Other Index Options'!$I:$I,"MDAW*"))</f>
        <v/>
      </c>
      <c r="D18" s="26">
        <f>IF(SUMIFS('NSE - NIFTY Index Options'!$M:$M,'NSE - NIFTY Index Options'!$C:$C,$A18,'NSE - NIFTY Index Options'!$B:$B,D$4,'NSE - NIFTY Index Options'!$I:$I,"Weekly*")+SUMIFS('NSE - NIFTY Index Options'!$M:$M,'NSE - NIFTY Index Options'!$C:$C,$A18,'NSE - NIFTY Index Options'!$B:$B,D$4,'NSE - NIFTY Index Options'!$I:$I,"MDAW*")+SUMIFS('NSE - Other Index Options'!$M:$M,'NSE - Other Index Options'!$C:$C,$A18,'NSE - Other Index Options'!$B:$B,D$4,'NSE - Other Index Options'!$I:$I,"Weekly*")+SUMIFS('NSE - Other Index Options'!$M:$M,'NSE - Other Index Options'!$C:$C,$A18,'NSE - Other Index Options'!$B:$B,D$4,'NSE - Other Index Options'!$I:$I,"MDAW*")=0,"",SUMIFS('NSE - NIFTY Index Options'!$M:$M,'NSE - NIFTY Index Options'!$C:$C,$A18,'NSE - NIFTY Index Options'!$B:$B,D$4,'NSE - NIFTY Index Options'!$I:$I,"Weekly*")+SUMIFS('NSE - NIFTY Index Options'!$M:$M,'NSE - NIFTY Index Options'!$C:$C,$A18,'NSE - NIFTY Index Options'!$B:$B,D$4,'NSE - NIFTY Index Options'!$I:$I,"MDAW*")+SUMIFS('NSE - Other Index Options'!$M:$M,'NSE - Other Index Options'!$C:$C,$A18,'NSE - Other Index Options'!$B:$B,D$4,'NSE - Other Index Options'!$I:$I,"Weekly*")+SUMIFS('NSE - Other Index Options'!$M:$M,'NSE - Other Index Options'!$C:$C,$A18,'NSE - Other Index Options'!$B:$B,D$4,'NSE - Other Index Options'!$I:$I,"MDAW*"))</f>
        <v/>
      </c>
      <c r="E18" s="26">
        <f>IF(SUMIFS('NSE - NIFTY Index Options'!$M:$M,'NSE - NIFTY Index Options'!$C:$C,$A18,'NSE - NIFTY Index Options'!$B:$B,E$4,'NSE - NIFTY Index Options'!$I:$I,"Weekly*")+SUMIFS('NSE - NIFTY Index Options'!$M:$M,'NSE - NIFTY Index Options'!$C:$C,$A18,'NSE - NIFTY Index Options'!$B:$B,E$4,'NSE - NIFTY Index Options'!$I:$I,"MDAW*")+SUMIFS('NSE - Other Index Options'!$M:$M,'NSE - Other Index Options'!$C:$C,$A18,'NSE - Other Index Options'!$B:$B,E$4,'NSE - Other Index Options'!$I:$I,"Weekly*")+SUMIFS('NSE - Other Index Options'!$M:$M,'NSE - Other Index Options'!$C:$C,$A18,'NSE - Other Index Options'!$B:$B,E$4,'NSE - Other Index Options'!$I:$I,"MDAW*")=0,"",SUMIFS('NSE - NIFTY Index Options'!$M:$M,'NSE - NIFTY Index Options'!$C:$C,$A18,'NSE - NIFTY Index Options'!$B:$B,E$4,'NSE - NIFTY Index Options'!$I:$I,"Weekly*")+SUMIFS('NSE - NIFTY Index Options'!$M:$M,'NSE - NIFTY Index Options'!$C:$C,$A18,'NSE - NIFTY Index Options'!$B:$B,E$4,'NSE - NIFTY Index Options'!$I:$I,"MDAW*")+SUMIFS('NSE - Other Index Options'!$M:$M,'NSE - Other Index Options'!$C:$C,$A18,'NSE - Other Index Options'!$B:$B,E$4,'NSE - Other Index Options'!$I:$I,"Weekly*")+SUMIFS('NSE - Other Index Options'!$M:$M,'NSE - Other Index Options'!$C:$C,$A18,'NSE - Other Index Options'!$B:$B,E$4,'NSE - Other Index Options'!$I:$I,"MDAW*"))</f>
        <v/>
      </c>
      <c r="F18" s="26">
        <f>IF(SUMIFS('NSE - NIFTY Index Options'!$M:$M,'NSE - NIFTY Index Options'!$C:$C,$A18,'NSE - NIFTY Index Options'!$B:$B,F$4,'NSE - NIFTY Index Options'!$I:$I,"Weekly*")+SUMIFS('NSE - NIFTY Index Options'!$M:$M,'NSE - NIFTY Index Options'!$C:$C,$A18,'NSE - NIFTY Index Options'!$B:$B,F$4,'NSE - NIFTY Index Options'!$I:$I,"MDAW*")+SUMIFS('NSE - Other Index Options'!$M:$M,'NSE - Other Index Options'!$C:$C,$A18,'NSE - Other Index Options'!$B:$B,F$4,'NSE - Other Index Options'!$I:$I,"Weekly*")+SUMIFS('NSE - Other Index Options'!$M:$M,'NSE - Other Index Options'!$C:$C,$A18,'NSE - Other Index Options'!$B:$B,F$4,'NSE - Other Index Options'!$I:$I,"MDAW*")=0,"",SUMIFS('NSE - NIFTY Index Options'!$M:$M,'NSE - NIFTY Index Options'!$C:$C,$A18,'NSE - NIFTY Index Options'!$B:$B,F$4,'NSE - NIFTY Index Options'!$I:$I,"Weekly*")+SUMIFS('NSE - NIFTY Index Options'!$M:$M,'NSE - NIFTY Index Options'!$C:$C,$A18,'NSE - NIFTY Index Options'!$B:$B,F$4,'NSE - NIFTY Index Options'!$I:$I,"MDAW*")+SUMIFS('NSE - Other Index Options'!$M:$M,'NSE - Other Index Options'!$C:$C,$A18,'NSE - Other Index Options'!$B:$B,F$4,'NSE - Other Index Options'!$I:$I,"Weekly*")+SUMIFS('NSE - Other Index Options'!$M:$M,'NSE - Other Index Options'!$C:$C,$A18,'NSE - Other Index Options'!$B:$B,F$4,'NSE - Other Index Options'!$I:$I,"MDAW*"))</f>
        <v/>
      </c>
      <c r="G18" s="26">
        <f>IF(SUMIFS('NSE - NIFTY Index Options'!$M:$M,'NSE - NIFTY Index Options'!$C:$C,$A18,'NSE - NIFTY Index Options'!$B:$B,G$4,'NSE - NIFTY Index Options'!$I:$I,"Weekly*")+SUMIFS('NSE - NIFTY Index Options'!$M:$M,'NSE - NIFTY Index Options'!$C:$C,$A18,'NSE - NIFTY Index Options'!$B:$B,G$4,'NSE - NIFTY Index Options'!$I:$I,"MDAW*")+SUMIFS('NSE - Other Index Options'!$M:$M,'NSE - Other Index Options'!$C:$C,$A18,'NSE - Other Index Options'!$B:$B,G$4,'NSE - Other Index Options'!$I:$I,"Weekly*")+SUMIFS('NSE - Other Index Options'!$M:$M,'NSE - Other Index Options'!$C:$C,$A18,'NSE - Other Index Options'!$B:$B,G$4,'NSE - Other Index Options'!$I:$I,"MDAW*")=0,"",SUMIFS('NSE - NIFTY Index Options'!$M:$M,'NSE - NIFTY Index Options'!$C:$C,$A18,'NSE - NIFTY Index Options'!$B:$B,G$4,'NSE - NIFTY Index Options'!$I:$I,"Weekly*")+SUMIFS('NSE - NIFTY Index Options'!$M:$M,'NSE - NIFTY Index Options'!$C:$C,$A18,'NSE - NIFTY Index Options'!$B:$B,G$4,'NSE - NIFTY Index Options'!$I:$I,"MDAW*")+SUMIFS('NSE - Other Index Options'!$M:$M,'NSE - Other Index Options'!$C:$C,$A18,'NSE - Other Index Options'!$B:$B,G$4,'NSE - Other Index Options'!$I:$I,"Weekly*")+SUMIFS('NSE - Other Index Options'!$M:$M,'NSE - Other Index Options'!$C:$C,$A18,'NSE - Other Index Options'!$B:$B,G$4,'NSE - Other Index Options'!$I:$I,"MDAW*"))</f>
        <v/>
      </c>
      <c r="H18" s="26">
        <f>IF(SUM(B18:G18)=0,"",SUM(B18:G18))</f>
        <v/>
      </c>
    </row>
    <row r="19">
      <c r="A19" t="inlineStr">
        <is>
          <t>Week5-Nov-2025</t>
        </is>
      </c>
      <c r="B19" s="26">
        <f>IF(SUMIFS('NSE - NIFTY Index Options'!$M:$M,'NSE - NIFTY Index Options'!$C:$C,$A19,'NSE - NIFTY Index Options'!$B:$B,B$4,'NSE - NIFTY Index Options'!$I:$I,"Weekly*")+SUMIFS('NSE - NIFTY Index Options'!$M:$M,'NSE - NIFTY Index Options'!$C:$C,$A19,'NSE - NIFTY Index Options'!$B:$B,B$4,'NSE - NIFTY Index Options'!$I:$I,"MDAW*")+SUMIFS('NSE - Other Index Options'!$M:$M,'NSE - Other Index Options'!$C:$C,$A19,'NSE - Other Index Options'!$B:$B,B$4,'NSE - Other Index Options'!$I:$I,"Weekly*")+SUMIFS('NSE - Other Index Options'!$M:$M,'NSE - Other Index Options'!$C:$C,$A19,'NSE - Other Index Options'!$B:$B,B$4,'NSE - Other Index Options'!$I:$I,"MDAW*")=0,"",SUMIFS('NSE - NIFTY Index Options'!$M:$M,'NSE - NIFTY Index Options'!$C:$C,$A19,'NSE - NIFTY Index Options'!$B:$B,B$4,'NSE - NIFTY Index Options'!$I:$I,"Weekly*")+SUMIFS('NSE - NIFTY Index Options'!$M:$M,'NSE - NIFTY Index Options'!$C:$C,$A19,'NSE - NIFTY Index Options'!$B:$B,B$4,'NSE - NIFTY Index Options'!$I:$I,"MDAW*")+SUMIFS('NSE - Other Index Options'!$M:$M,'NSE - Other Index Options'!$C:$C,$A19,'NSE - Other Index Options'!$B:$B,B$4,'NSE - Other Index Options'!$I:$I,"Weekly*")+SUMIFS('NSE - Other Index Options'!$M:$M,'NSE - Other Index Options'!$C:$C,$A19,'NSE - Other Index Options'!$B:$B,B$4,'NSE - Other Index Options'!$I:$I,"MDAW*"))</f>
        <v/>
      </c>
      <c r="C19" s="26">
        <f>IF(SUMIFS('NSE - NIFTY Index Options'!$M:$M,'NSE - NIFTY Index Options'!$C:$C,$A19,'NSE - NIFTY Index Options'!$B:$B,C$4,'NSE - NIFTY Index Options'!$I:$I,"Weekly*")+SUMIFS('NSE - NIFTY Index Options'!$M:$M,'NSE - NIFTY Index Options'!$C:$C,$A19,'NSE - NIFTY Index Options'!$B:$B,C$4,'NSE - NIFTY Index Options'!$I:$I,"MDAW*")+SUMIFS('NSE - Other Index Options'!$M:$M,'NSE - Other Index Options'!$C:$C,$A19,'NSE - Other Index Options'!$B:$B,C$4,'NSE - Other Index Options'!$I:$I,"Weekly*")+SUMIFS('NSE - Other Index Options'!$M:$M,'NSE - Other Index Options'!$C:$C,$A19,'NSE - Other Index Options'!$B:$B,C$4,'NSE - Other Index Options'!$I:$I,"MDAW*")=0,"",SUMIFS('NSE - NIFTY Index Options'!$M:$M,'NSE - NIFTY Index Options'!$C:$C,$A19,'NSE - NIFTY Index Options'!$B:$B,C$4,'NSE - NIFTY Index Options'!$I:$I,"Weekly*")+SUMIFS('NSE - NIFTY Index Options'!$M:$M,'NSE - NIFTY Index Options'!$C:$C,$A19,'NSE - NIFTY Index Options'!$B:$B,C$4,'NSE - NIFTY Index Options'!$I:$I,"MDAW*")+SUMIFS('NSE - Other Index Options'!$M:$M,'NSE - Other Index Options'!$C:$C,$A19,'NSE - Other Index Options'!$B:$B,C$4,'NSE - Other Index Options'!$I:$I,"Weekly*")+SUMIFS('NSE - Other Index Options'!$M:$M,'NSE - Other Index Options'!$C:$C,$A19,'NSE - Other Index Options'!$B:$B,C$4,'NSE - Other Index Options'!$I:$I,"MDAW*"))</f>
        <v/>
      </c>
      <c r="D19" s="26">
        <f>IF(SUMIFS('NSE - NIFTY Index Options'!$M:$M,'NSE - NIFTY Index Options'!$C:$C,$A19,'NSE - NIFTY Index Options'!$B:$B,D$4,'NSE - NIFTY Index Options'!$I:$I,"Weekly*")+SUMIFS('NSE - NIFTY Index Options'!$M:$M,'NSE - NIFTY Index Options'!$C:$C,$A19,'NSE - NIFTY Index Options'!$B:$B,D$4,'NSE - NIFTY Index Options'!$I:$I,"MDAW*")+SUMIFS('NSE - Other Index Options'!$M:$M,'NSE - Other Index Options'!$C:$C,$A19,'NSE - Other Index Options'!$B:$B,D$4,'NSE - Other Index Options'!$I:$I,"Weekly*")+SUMIFS('NSE - Other Index Options'!$M:$M,'NSE - Other Index Options'!$C:$C,$A19,'NSE - Other Index Options'!$B:$B,D$4,'NSE - Other Index Options'!$I:$I,"MDAW*")=0,"",SUMIFS('NSE - NIFTY Index Options'!$M:$M,'NSE - NIFTY Index Options'!$C:$C,$A19,'NSE - NIFTY Index Options'!$B:$B,D$4,'NSE - NIFTY Index Options'!$I:$I,"Weekly*")+SUMIFS('NSE - NIFTY Index Options'!$M:$M,'NSE - NIFTY Index Options'!$C:$C,$A19,'NSE - NIFTY Index Options'!$B:$B,D$4,'NSE - NIFTY Index Options'!$I:$I,"MDAW*")+SUMIFS('NSE - Other Index Options'!$M:$M,'NSE - Other Index Options'!$C:$C,$A19,'NSE - Other Index Options'!$B:$B,D$4,'NSE - Other Index Options'!$I:$I,"Weekly*")+SUMIFS('NSE - Other Index Options'!$M:$M,'NSE - Other Index Options'!$C:$C,$A19,'NSE - Other Index Options'!$B:$B,D$4,'NSE - Other Index Options'!$I:$I,"MDAW*"))</f>
        <v/>
      </c>
      <c r="E19" s="26">
        <f>IF(SUMIFS('NSE - NIFTY Index Options'!$M:$M,'NSE - NIFTY Index Options'!$C:$C,$A19,'NSE - NIFTY Index Options'!$B:$B,E$4,'NSE - NIFTY Index Options'!$I:$I,"Weekly*")+SUMIFS('NSE - NIFTY Index Options'!$M:$M,'NSE - NIFTY Index Options'!$C:$C,$A19,'NSE - NIFTY Index Options'!$B:$B,E$4,'NSE - NIFTY Index Options'!$I:$I,"MDAW*")+SUMIFS('NSE - Other Index Options'!$M:$M,'NSE - Other Index Options'!$C:$C,$A19,'NSE - Other Index Options'!$B:$B,E$4,'NSE - Other Index Options'!$I:$I,"Weekly*")+SUMIFS('NSE - Other Index Options'!$M:$M,'NSE - Other Index Options'!$C:$C,$A19,'NSE - Other Index Options'!$B:$B,E$4,'NSE - Other Index Options'!$I:$I,"MDAW*")=0,"",SUMIFS('NSE - NIFTY Index Options'!$M:$M,'NSE - NIFTY Index Options'!$C:$C,$A19,'NSE - NIFTY Index Options'!$B:$B,E$4,'NSE - NIFTY Index Options'!$I:$I,"Weekly*")+SUMIFS('NSE - NIFTY Index Options'!$M:$M,'NSE - NIFTY Index Options'!$C:$C,$A19,'NSE - NIFTY Index Options'!$B:$B,E$4,'NSE - NIFTY Index Options'!$I:$I,"MDAW*")+SUMIFS('NSE - Other Index Options'!$M:$M,'NSE - Other Index Options'!$C:$C,$A19,'NSE - Other Index Options'!$B:$B,E$4,'NSE - Other Index Options'!$I:$I,"Weekly*")+SUMIFS('NSE - Other Index Options'!$M:$M,'NSE - Other Index Options'!$C:$C,$A19,'NSE - Other Index Options'!$B:$B,E$4,'NSE - Other Index Options'!$I:$I,"MDAW*"))</f>
        <v/>
      </c>
      <c r="F19" s="26">
        <f>IF(SUMIFS('NSE - NIFTY Index Options'!$M:$M,'NSE - NIFTY Index Options'!$C:$C,$A19,'NSE - NIFTY Index Options'!$B:$B,F$4,'NSE - NIFTY Index Options'!$I:$I,"Weekly*")+SUMIFS('NSE - NIFTY Index Options'!$M:$M,'NSE - NIFTY Index Options'!$C:$C,$A19,'NSE - NIFTY Index Options'!$B:$B,F$4,'NSE - NIFTY Index Options'!$I:$I,"MDAW*")+SUMIFS('NSE - Other Index Options'!$M:$M,'NSE - Other Index Options'!$C:$C,$A19,'NSE - Other Index Options'!$B:$B,F$4,'NSE - Other Index Options'!$I:$I,"Weekly*")+SUMIFS('NSE - Other Index Options'!$M:$M,'NSE - Other Index Options'!$C:$C,$A19,'NSE - Other Index Options'!$B:$B,F$4,'NSE - Other Index Options'!$I:$I,"MDAW*")=0,"",SUMIFS('NSE - NIFTY Index Options'!$M:$M,'NSE - NIFTY Index Options'!$C:$C,$A19,'NSE - NIFTY Index Options'!$B:$B,F$4,'NSE - NIFTY Index Options'!$I:$I,"Weekly*")+SUMIFS('NSE - NIFTY Index Options'!$M:$M,'NSE - NIFTY Index Options'!$C:$C,$A19,'NSE - NIFTY Index Options'!$B:$B,F$4,'NSE - NIFTY Index Options'!$I:$I,"MDAW*")+SUMIFS('NSE - Other Index Options'!$M:$M,'NSE - Other Index Options'!$C:$C,$A19,'NSE - Other Index Options'!$B:$B,F$4,'NSE - Other Index Options'!$I:$I,"Weekly*")+SUMIFS('NSE - Other Index Options'!$M:$M,'NSE - Other Index Options'!$C:$C,$A19,'NSE - Other Index Options'!$B:$B,F$4,'NSE - Other Index Options'!$I:$I,"MDAW*"))</f>
        <v/>
      </c>
      <c r="G19" s="26">
        <f>IF(SUMIFS('NSE - NIFTY Index Options'!$M:$M,'NSE - NIFTY Index Options'!$C:$C,$A19,'NSE - NIFTY Index Options'!$B:$B,G$4,'NSE - NIFTY Index Options'!$I:$I,"Weekly*")+SUMIFS('NSE - NIFTY Index Options'!$M:$M,'NSE - NIFTY Index Options'!$C:$C,$A19,'NSE - NIFTY Index Options'!$B:$B,G$4,'NSE - NIFTY Index Options'!$I:$I,"MDAW*")+SUMIFS('NSE - Other Index Options'!$M:$M,'NSE - Other Index Options'!$C:$C,$A19,'NSE - Other Index Options'!$B:$B,G$4,'NSE - Other Index Options'!$I:$I,"Weekly*")+SUMIFS('NSE - Other Index Options'!$M:$M,'NSE - Other Index Options'!$C:$C,$A19,'NSE - Other Index Options'!$B:$B,G$4,'NSE - Other Index Options'!$I:$I,"MDAW*")=0,"",SUMIFS('NSE - NIFTY Index Options'!$M:$M,'NSE - NIFTY Index Options'!$C:$C,$A19,'NSE - NIFTY Index Options'!$B:$B,G$4,'NSE - NIFTY Index Options'!$I:$I,"Weekly*")+SUMIFS('NSE - NIFTY Index Options'!$M:$M,'NSE - NIFTY Index Options'!$C:$C,$A19,'NSE - NIFTY Index Options'!$B:$B,G$4,'NSE - NIFTY Index Options'!$I:$I,"MDAW*")+SUMIFS('NSE - Other Index Options'!$M:$M,'NSE - Other Index Options'!$C:$C,$A19,'NSE - Other Index Options'!$B:$B,G$4,'NSE - Other Index Options'!$I:$I,"Weekly*")+SUMIFS('NSE - Other Index Options'!$M:$M,'NSE - Other Index Options'!$C:$C,$A19,'NSE - Other Index Options'!$B:$B,G$4,'NSE - Other Index Options'!$I:$I,"MDAW*"))</f>
        <v/>
      </c>
      <c r="H19" s="26">
        <f>IF(SUM(B19:G19)=0,"",SUM(B19:G19))</f>
        <v/>
      </c>
    </row>
    <row r="20">
      <c r="A20" t="inlineStr">
        <is>
          <t>Week1-Dec-2025</t>
        </is>
      </c>
      <c r="B20" s="26">
        <f>IF(SUMIFS('NSE - NIFTY Index Options'!$M:$M,'NSE - NIFTY Index Options'!$C:$C,$A20,'NSE - NIFTY Index Options'!$B:$B,B$4,'NSE - NIFTY Index Options'!$I:$I,"Weekly*")+SUMIFS('NSE - NIFTY Index Options'!$M:$M,'NSE - NIFTY Index Options'!$C:$C,$A20,'NSE - NIFTY Index Options'!$B:$B,B$4,'NSE - NIFTY Index Options'!$I:$I,"MDAW*")+SUMIFS('NSE - Other Index Options'!$M:$M,'NSE - Other Index Options'!$C:$C,$A20,'NSE - Other Index Options'!$B:$B,B$4,'NSE - Other Index Options'!$I:$I,"Weekly*")+SUMIFS('NSE - Other Index Options'!$M:$M,'NSE - Other Index Options'!$C:$C,$A20,'NSE - Other Index Options'!$B:$B,B$4,'NSE - Other Index Options'!$I:$I,"MDAW*")=0,"",SUMIFS('NSE - NIFTY Index Options'!$M:$M,'NSE - NIFTY Index Options'!$C:$C,$A20,'NSE - NIFTY Index Options'!$B:$B,B$4,'NSE - NIFTY Index Options'!$I:$I,"Weekly*")+SUMIFS('NSE - NIFTY Index Options'!$M:$M,'NSE - NIFTY Index Options'!$C:$C,$A20,'NSE - NIFTY Index Options'!$B:$B,B$4,'NSE - NIFTY Index Options'!$I:$I,"MDAW*")+SUMIFS('NSE - Other Index Options'!$M:$M,'NSE - Other Index Options'!$C:$C,$A20,'NSE - Other Index Options'!$B:$B,B$4,'NSE - Other Index Options'!$I:$I,"Weekly*")+SUMIFS('NSE - Other Index Options'!$M:$M,'NSE - Other Index Options'!$C:$C,$A20,'NSE - Other Index Options'!$B:$B,B$4,'NSE - Other Index Options'!$I:$I,"MDAW*"))</f>
        <v/>
      </c>
      <c r="C20" s="26">
        <f>IF(SUMIFS('NSE - NIFTY Index Options'!$M:$M,'NSE - NIFTY Index Options'!$C:$C,$A20,'NSE - NIFTY Index Options'!$B:$B,C$4,'NSE - NIFTY Index Options'!$I:$I,"Weekly*")+SUMIFS('NSE - NIFTY Index Options'!$M:$M,'NSE - NIFTY Index Options'!$C:$C,$A20,'NSE - NIFTY Index Options'!$B:$B,C$4,'NSE - NIFTY Index Options'!$I:$I,"MDAW*")+SUMIFS('NSE - Other Index Options'!$M:$M,'NSE - Other Index Options'!$C:$C,$A20,'NSE - Other Index Options'!$B:$B,C$4,'NSE - Other Index Options'!$I:$I,"Weekly*")+SUMIFS('NSE - Other Index Options'!$M:$M,'NSE - Other Index Options'!$C:$C,$A20,'NSE - Other Index Options'!$B:$B,C$4,'NSE - Other Index Options'!$I:$I,"MDAW*")=0,"",SUMIFS('NSE - NIFTY Index Options'!$M:$M,'NSE - NIFTY Index Options'!$C:$C,$A20,'NSE - NIFTY Index Options'!$B:$B,C$4,'NSE - NIFTY Index Options'!$I:$I,"Weekly*")+SUMIFS('NSE - NIFTY Index Options'!$M:$M,'NSE - NIFTY Index Options'!$C:$C,$A20,'NSE - NIFTY Index Options'!$B:$B,C$4,'NSE - NIFTY Index Options'!$I:$I,"MDAW*")+SUMIFS('NSE - Other Index Options'!$M:$M,'NSE - Other Index Options'!$C:$C,$A20,'NSE - Other Index Options'!$B:$B,C$4,'NSE - Other Index Options'!$I:$I,"Weekly*")+SUMIFS('NSE - Other Index Options'!$M:$M,'NSE - Other Index Options'!$C:$C,$A20,'NSE - Other Index Options'!$B:$B,C$4,'NSE - Other Index Options'!$I:$I,"MDAW*"))</f>
        <v/>
      </c>
      <c r="D20" s="26">
        <f>IF(SUMIFS('NSE - NIFTY Index Options'!$M:$M,'NSE - NIFTY Index Options'!$C:$C,$A20,'NSE - NIFTY Index Options'!$B:$B,D$4,'NSE - NIFTY Index Options'!$I:$I,"Weekly*")+SUMIFS('NSE - NIFTY Index Options'!$M:$M,'NSE - NIFTY Index Options'!$C:$C,$A20,'NSE - NIFTY Index Options'!$B:$B,D$4,'NSE - NIFTY Index Options'!$I:$I,"MDAW*")+SUMIFS('NSE - Other Index Options'!$M:$M,'NSE - Other Index Options'!$C:$C,$A20,'NSE - Other Index Options'!$B:$B,D$4,'NSE - Other Index Options'!$I:$I,"Weekly*")+SUMIFS('NSE - Other Index Options'!$M:$M,'NSE - Other Index Options'!$C:$C,$A20,'NSE - Other Index Options'!$B:$B,D$4,'NSE - Other Index Options'!$I:$I,"MDAW*")=0,"",SUMIFS('NSE - NIFTY Index Options'!$M:$M,'NSE - NIFTY Index Options'!$C:$C,$A20,'NSE - NIFTY Index Options'!$B:$B,D$4,'NSE - NIFTY Index Options'!$I:$I,"Weekly*")+SUMIFS('NSE - NIFTY Index Options'!$M:$M,'NSE - NIFTY Index Options'!$C:$C,$A20,'NSE - NIFTY Index Options'!$B:$B,D$4,'NSE - NIFTY Index Options'!$I:$I,"MDAW*")+SUMIFS('NSE - Other Index Options'!$M:$M,'NSE - Other Index Options'!$C:$C,$A20,'NSE - Other Index Options'!$B:$B,D$4,'NSE - Other Index Options'!$I:$I,"Weekly*")+SUMIFS('NSE - Other Index Options'!$M:$M,'NSE - Other Index Options'!$C:$C,$A20,'NSE - Other Index Options'!$B:$B,D$4,'NSE - Other Index Options'!$I:$I,"MDAW*"))</f>
        <v/>
      </c>
      <c r="E20" s="26">
        <f>IF(SUMIFS('NSE - NIFTY Index Options'!$M:$M,'NSE - NIFTY Index Options'!$C:$C,$A20,'NSE - NIFTY Index Options'!$B:$B,E$4,'NSE - NIFTY Index Options'!$I:$I,"Weekly*")+SUMIFS('NSE - NIFTY Index Options'!$M:$M,'NSE - NIFTY Index Options'!$C:$C,$A20,'NSE - NIFTY Index Options'!$B:$B,E$4,'NSE - NIFTY Index Options'!$I:$I,"MDAW*")+SUMIFS('NSE - Other Index Options'!$M:$M,'NSE - Other Index Options'!$C:$C,$A20,'NSE - Other Index Options'!$B:$B,E$4,'NSE - Other Index Options'!$I:$I,"Weekly*")+SUMIFS('NSE - Other Index Options'!$M:$M,'NSE - Other Index Options'!$C:$C,$A20,'NSE - Other Index Options'!$B:$B,E$4,'NSE - Other Index Options'!$I:$I,"MDAW*")=0,"",SUMIFS('NSE - NIFTY Index Options'!$M:$M,'NSE - NIFTY Index Options'!$C:$C,$A20,'NSE - NIFTY Index Options'!$B:$B,E$4,'NSE - NIFTY Index Options'!$I:$I,"Weekly*")+SUMIFS('NSE - NIFTY Index Options'!$M:$M,'NSE - NIFTY Index Options'!$C:$C,$A20,'NSE - NIFTY Index Options'!$B:$B,E$4,'NSE - NIFTY Index Options'!$I:$I,"MDAW*")+SUMIFS('NSE - Other Index Options'!$M:$M,'NSE - Other Index Options'!$C:$C,$A20,'NSE - Other Index Options'!$B:$B,E$4,'NSE - Other Index Options'!$I:$I,"Weekly*")+SUMIFS('NSE - Other Index Options'!$M:$M,'NSE - Other Index Options'!$C:$C,$A20,'NSE - Other Index Options'!$B:$B,E$4,'NSE - Other Index Options'!$I:$I,"MDAW*"))</f>
        <v/>
      </c>
      <c r="F20" s="26">
        <f>IF(SUMIFS('NSE - NIFTY Index Options'!$M:$M,'NSE - NIFTY Index Options'!$C:$C,$A20,'NSE - NIFTY Index Options'!$B:$B,F$4,'NSE - NIFTY Index Options'!$I:$I,"Weekly*")+SUMIFS('NSE - NIFTY Index Options'!$M:$M,'NSE - NIFTY Index Options'!$C:$C,$A20,'NSE - NIFTY Index Options'!$B:$B,F$4,'NSE - NIFTY Index Options'!$I:$I,"MDAW*")+SUMIFS('NSE - Other Index Options'!$M:$M,'NSE - Other Index Options'!$C:$C,$A20,'NSE - Other Index Options'!$B:$B,F$4,'NSE - Other Index Options'!$I:$I,"Weekly*")+SUMIFS('NSE - Other Index Options'!$M:$M,'NSE - Other Index Options'!$C:$C,$A20,'NSE - Other Index Options'!$B:$B,F$4,'NSE - Other Index Options'!$I:$I,"MDAW*")=0,"",SUMIFS('NSE - NIFTY Index Options'!$M:$M,'NSE - NIFTY Index Options'!$C:$C,$A20,'NSE - NIFTY Index Options'!$B:$B,F$4,'NSE - NIFTY Index Options'!$I:$I,"Weekly*")+SUMIFS('NSE - NIFTY Index Options'!$M:$M,'NSE - NIFTY Index Options'!$C:$C,$A20,'NSE - NIFTY Index Options'!$B:$B,F$4,'NSE - NIFTY Index Options'!$I:$I,"MDAW*")+SUMIFS('NSE - Other Index Options'!$M:$M,'NSE - Other Index Options'!$C:$C,$A20,'NSE - Other Index Options'!$B:$B,F$4,'NSE - Other Index Options'!$I:$I,"Weekly*")+SUMIFS('NSE - Other Index Options'!$M:$M,'NSE - Other Index Options'!$C:$C,$A20,'NSE - Other Index Options'!$B:$B,F$4,'NSE - Other Index Options'!$I:$I,"MDAW*"))</f>
        <v/>
      </c>
      <c r="G20" s="26">
        <f>IF(SUMIFS('NSE - NIFTY Index Options'!$M:$M,'NSE - NIFTY Index Options'!$C:$C,$A20,'NSE - NIFTY Index Options'!$B:$B,G$4,'NSE - NIFTY Index Options'!$I:$I,"Weekly*")+SUMIFS('NSE - NIFTY Index Options'!$M:$M,'NSE - NIFTY Index Options'!$C:$C,$A20,'NSE - NIFTY Index Options'!$B:$B,G$4,'NSE - NIFTY Index Options'!$I:$I,"MDAW*")+SUMIFS('NSE - Other Index Options'!$M:$M,'NSE - Other Index Options'!$C:$C,$A20,'NSE - Other Index Options'!$B:$B,G$4,'NSE - Other Index Options'!$I:$I,"Weekly*")+SUMIFS('NSE - Other Index Options'!$M:$M,'NSE - Other Index Options'!$C:$C,$A20,'NSE - Other Index Options'!$B:$B,G$4,'NSE - Other Index Options'!$I:$I,"MDAW*")=0,"",SUMIFS('NSE - NIFTY Index Options'!$M:$M,'NSE - NIFTY Index Options'!$C:$C,$A20,'NSE - NIFTY Index Options'!$B:$B,G$4,'NSE - NIFTY Index Options'!$I:$I,"Weekly*")+SUMIFS('NSE - NIFTY Index Options'!$M:$M,'NSE - NIFTY Index Options'!$C:$C,$A20,'NSE - NIFTY Index Options'!$B:$B,G$4,'NSE - NIFTY Index Options'!$I:$I,"MDAW*")+SUMIFS('NSE - Other Index Options'!$M:$M,'NSE - Other Index Options'!$C:$C,$A20,'NSE - Other Index Options'!$B:$B,G$4,'NSE - Other Index Options'!$I:$I,"Weekly*")+SUMIFS('NSE - Other Index Options'!$M:$M,'NSE - Other Index Options'!$C:$C,$A20,'NSE - Other Index Options'!$B:$B,G$4,'NSE - Other Index Options'!$I:$I,"MDAW*"))</f>
        <v/>
      </c>
      <c r="H20" s="26">
        <f>IF(SUM(B20:G20)=0,"",SUM(B20:G20))</f>
        <v/>
      </c>
    </row>
    <row r="21">
      <c r="A21" t="inlineStr">
        <is>
          <t>Week2-Dec-2025</t>
        </is>
      </c>
      <c r="B21" s="26">
        <f>IF(SUMIFS('NSE - NIFTY Index Options'!$M:$M,'NSE - NIFTY Index Options'!$C:$C,$A21,'NSE - NIFTY Index Options'!$B:$B,B$4,'NSE - NIFTY Index Options'!$I:$I,"Weekly*")+SUMIFS('NSE - NIFTY Index Options'!$M:$M,'NSE - NIFTY Index Options'!$C:$C,$A21,'NSE - NIFTY Index Options'!$B:$B,B$4,'NSE - NIFTY Index Options'!$I:$I,"MDAW*")+SUMIFS('NSE - Other Index Options'!$M:$M,'NSE - Other Index Options'!$C:$C,$A21,'NSE - Other Index Options'!$B:$B,B$4,'NSE - Other Index Options'!$I:$I,"Weekly*")+SUMIFS('NSE - Other Index Options'!$M:$M,'NSE - Other Index Options'!$C:$C,$A21,'NSE - Other Index Options'!$B:$B,B$4,'NSE - Other Index Options'!$I:$I,"MDAW*")=0,"",SUMIFS('NSE - NIFTY Index Options'!$M:$M,'NSE - NIFTY Index Options'!$C:$C,$A21,'NSE - NIFTY Index Options'!$B:$B,B$4,'NSE - NIFTY Index Options'!$I:$I,"Weekly*")+SUMIFS('NSE - NIFTY Index Options'!$M:$M,'NSE - NIFTY Index Options'!$C:$C,$A21,'NSE - NIFTY Index Options'!$B:$B,B$4,'NSE - NIFTY Index Options'!$I:$I,"MDAW*")+SUMIFS('NSE - Other Index Options'!$M:$M,'NSE - Other Index Options'!$C:$C,$A21,'NSE - Other Index Options'!$B:$B,B$4,'NSE - Other Index Options'!$I:$I,"Weekly*")+SUMIFS('NSE - Other Index Options'!$M:$M,'NSE - Other Index Options'!$C:$C,$A21,'NSE - Other Index Options'!$B:$B,B$4,'NSE - Other Index Options'!$I:$I,"MDAW*"))</f>
        <v/>
      </c>
      <c r="C21" s="26">
        <f>IF(SUMIFS('NSE - NIFTY Index Options'!$M:$M,'NSE - NIFTY Index Options'!$C:$C,$A21,'NSE - NIFTY Index Options'!$B:$B,C$4,'NSE - NIFTY Index Options'!$I:$I,"Weekly*")+SUMIFS('NSE - NIFTY Index Options'!$M:$M,'NSE - NIFTY Index Options'!$C:$C,$A21,'NSE - NIFTY Index Options'!$B:$B,C$4,'NSE - NIFTY Index Options'!$I:$I,"MDAW*")+SUMIFS('NSE - Other Index Options'!$M:$M,'NSE - Other Index Options'!$C:$C,$A21,'NSE - Other Index Options'!$B:$B,C$4,'NSE - Other Index Options'!$I:$I,"Weekly*")+SUMIFS('NSE - Other Index Options'!$M:$M,'NSE - Other Index Options'!$C:$C,$A21,'NSE - Other Index Options'!$B:$B,C$4,'NSE - Other Index Options'!$I:$I,"MDAW*")=0,"",SUMIFS('NSE - NIFTY Index Options'!$M:$M,'NSE - NIFTY Index Options'!$C:$C,$A21,'NSE - NIFTY Index Options'!$B:$B,C$4,'NSE - NIFTY Index Options'!$I:$I,"Weekly*")+SUMIFS('NSE - NIFTY Index Options'!$M:$M,'NSE - NIFTY Index Options'!$C:$C,$A21,'NSE - NIFTY Index Options'!$B:$B,C$4,'NSE - NIFTY Index Options'!$I:$I,"MDAW*")+SUMIFS('NSE - Other Index Options'!$M:$M,'NSE - Other Index Options'!$C:$C,$A21,'NSE - Other Index Options'!$B:$B,C$4,'NSE - Other Index Options'!$I:$I,"Weekly*")+SUMIFS('NSE - Other Index Options'!$M:$M,'NSE - Other Index Options'!$C:$C,$A21,'NSE - Other Index Options'!$B:$B,C$4,'NSE - Other Index Options'!$I:$I,"MDAW*"))</f>
        <v/>
      </c>
      <c r="D21" s="26">
        <f>IF(SUMIFS('NSE - NIFTY Index Options'!$M:$M,'NSE - NIFTY Index Options'!$C:$C,$A21,'NSE - NIFTY Index Options'!$B:$B,D$4,'NSE - NIFTY Index Options'!$I:$I,"Weekly*")+SUMIFS('NSE - NIFTY Index Options'!$M:$M,'NSE - NIFTY Index Options'!$C:$C,$A21,'NSE - NIFTY Index Options'!$B:$B,D$4,'NSE - NIFTY Index Options'!$I:$I,"MDAW*")+SUMIFS('NSE - Other Index Options'!$M:$M,'NSE - Other Index Options'!$C:$C,$A21,'NSE - Other Index Options'!$B:$B,D$4,'NSE - Other Index Options'!$I:$I,"Weekly*")+SUMIFS('NSE - Other Index Options'!$M:$M,'NSE - Other Index Options'!$C:$C,$A21,'NSE - Other Index Options'!$B:$B,D$4,'NSE - Other Index Options'!$I:$I,"MDAW*")=0,"",SUMIFS('NSE - NIFTY Index Options'!$M:$M,'NSE - NIFTY Index Options'!$C:$C,$A21,'NSE - NIFTY Index Options'!$B:$B,D$4,'NSE - NIFTY Index Options'!$I:$I,"Weekly*")+SUMIFS('NSE - NIFTY Index Options'!$M:$M,'NSE - NIFTY Index Options'!$C:$C,$A21,'NSE - NIFTY Index Options'!$B:$B,D$4,'NSE - NIFTY Index Options'!$I:$I,"MDAW*")+SUMIFS('NSE - Other Index Options'!$M:$M,'NSE - Other Index Options'!$C:$C,$A21,'NSE - Other Index Options'!$B:$B,D$4,'NSE - Other Index Options'!$I:$I,"Weekly*")+SUMIFS('NSE - Other Index Options'!$M:$M,'NSE - Other Index Options'!$C:$C,$A21,'NSE - Other Index Options'!$B:$B,D$4,'NSE - Other Index Options'!$I:$I,"MDAW*"))</f>
        <v/>
      </c>
      <c r="E21" s="26">
        <f>IF(SUMIFS('NSE - NIFTY Index Options'!$M:$M,'NSE - NIFTY Index Options'!$C:$C,$A21,'NSE - NIFTY Index Options'!$B:$B,E$4,'NSE - NIFTY Index Options'!$I:$I,"Weekly*")+SUMIFS('NSE - NIFTY Index Options'!$M:$M,'NSE - NIFTY Index Options'!$C:$C,$A21,'NSE - NIFTY Index Options'!$B:$B,E$4,'NSE - NIFTY Index Options'!$I:$I,"MDAW*")+SUMIFS('NSE - Other Index Options'!$M:$M,'NSE - Other Index Options'!$C:$C,$A21,'NSE - Other Index Options'!$B:$B,E$4,'NSE - Other Index Options'!$I:$I,"Weekly*")+SUMIFS('NSE - Other Index Options'!$M:$M,'NSE - Other Index Options'!$C:$C,$A21,'NSE - Other Index Options'!$B:$B,E$4,'NSE - Other Index Options'!$I:$I,"MDAW*")=0,"",SUMIFS('NSE - NIFTY Index Options'!$M:$M,'NSE - NIFTY Index Options'!$C:$C,$A21,'NSE - NIFTY Index Options'!$B:$B,E$4,'NSE - NIFTY Index Options'!$I:$I,"Weekly*")+SUMIFS('NSE - NIFTY Index Options'!$M:$M,'NSE - NIFTY Index Options'!$C:$C,$A21,'NSE - NIFTY Index Options'!$B:$B,E$4,'NSE - NIFTY Index Options'!$I:$I,"MDAW*")+SUMIFS('NSE - Other Index Options'!$M:$M,'NSE - Other Index Options'!$C:$C,$A21,'NSE - Other Index Options'!$B:$B,E$4,'NSE - Other Index Options'!$I:$I,"Weekly*")+SUMIFS('NSE - Other Index Options'!$M:$M,'NSE - Other Index Options'!$C:$C,$A21,'NSE - Other Index Options'!$B:$B,E$4,'NSE - Other Index Options'!$I:$I,"MDAW*"))</f>
        <v/>
      </c>
      <c r="F21" s="26">
        <f>IF(SUMIFS('NSE - NIFTY Index Options'!$M:$M,'NSE - NIFTY Index Options'!$C:$C,$A21,'NSE - NIFTY Index Options'!$B:$B,F$4,'NSE - NIFTY Index Options'!$I:$I,"Weekly*")+SUMIFS('NSE - NIFTY Index Options'!$M:$M,'NSE - NIFTY Index Options'!$C:$C,$A21,'NSE - NIFTY Index Options'!$B:$B,F$4,'NSE - NIFTY Index Options'!$I:$I,"MDAW*")+SUMIFS('NSE - Other Index Options'!$M:$M,'NSE - Other Index Options'!$C:$C,$A21,'NSE - Other Index Options'!$B:$B,F$4,'NSE - Other Index Options'!$I:$I,"Weekly*")+SUMIFS('NSE - Other Index Options'!$M:$M,'NSE - Other Index Options'!$C:$C,$A21,'NSE - Other Index Options'!$B:$B,F$4,'NSE - Other Index Options'!$I:$I,"MDAW*")=0,"",SUMIFS('NSE - NIFTY Index Options'!$M:$M,'NSE - NIFTY Index Options'!$C:$C,$A21,'NSE - NIFTY Index Options'!$B:$B,F$4,'NSE - NIFTY Index Options'!$I:$I,"Weekly*")+SUMIFS('NSE - NIFTY Index Options'!$M:$M,'NSE - NIFTY Index Options'!$C:$C,$A21,'NSE - NIFTY Index Options'!$B:$B,F$4,'NSE - NIFTY Index Options'!$I:$I,"MDAW*")+SUMIFS('NSE - Other Index Options'!$M:$M,'NSE - Other Index Options'!$C:$C,$A21,'NSE - Other Index Options'!$B:$B,F$4,'NSE - Other Index Options'!$I:$I,"Weekly*")+SUMIFS('NSE - Other Index Options'!$M:$M,'NSE - Other Index Options'!$C:$C,$A21,'NSE - Other Index Options'!$B:$B,F$4,'NSE - Other Index Options'!$I:$I,"MDAW*"))</f>
        <v/>
      </c>
      <c r="G21" s="26">
        <f>IF(SUMIFS('NSE - NIFTY Index Options'!$M:$M,'NSE - NIFTY Index Options'!$C:$C,$A21,'NSE - NIFTY Index Options'!$B:$B,G$4,'NSE - NIFTY Index Options'!$I:$I,"Weekly*")+SUMIFS('NSE - NIFTY Index Options'!$M:$M,'NSE - NIFTY Index Options'!$C:$C,$A21,'NSE - NIFTY Index Options'!$B:$B,G$4,'NSE - NIFTY Index Options'!$I:$I,"MDAW*")+SUMIFS('NSE - Other Index Options'!$M:$M,'NSE - Other Index Options'!$C:$C,$A21,'NSE - Other Index Options'!$B:$B,G$4,'NSE - Other Index Options'!$I:$I,"Weekly*")+SUMIFS('NSE - Other Index Options'!$M:$M,'NSE - Other Index Options'!$C:$C,$A21,'NSE - Other Index Options'!$B:$B,G$4,'NSE - Other Index Options'!$I:$I,"MDAW*")=0,"",SUMIFS('NSE - NIFTY Index Options'!$M:$M,'NSE - NIFTY Index Options'!$C:$C,$A21,'NSE - NIFTY Index Options'!$B:$B,G$4,'NSE - NIFTY Index Options'!$I:$I,"Weekly*")+SUMIFS('NSE - NIFTY Index Options'!$M:$M,'NSE - NIFTY Index Options'!$C:$C,$A21,'NSE - NIFTY Index Options'!$B:$B,G$4,'NSE - NIFTY Index Options'!$I:$I,"MDAW*")+SUMIFS('NSE - Other Index Options'!$M:$M,'NSE - Other Index Options'!$C:$C,$A21,'NSE - Other Index Options'!$B:$B,G$4,'NSE - Other Index Options'!$I:$I,"Weekly*")+SUMIFS('NSE - Other Index Options'!$M:$M,'NSE - Other Index Options'!$C:$C,$A21,'NSE - Other Index Options'!$B:$B,G$4,'NSE - Other Index Options'!$I:$I,"MDAW*"))</f>
        <v/>
      </c>
      <c r="H21" s="26">
        <f>IF(SUM(B21:G21)=0,"",SUM(B21:G21))</f>
        <v/>
      </c>
    </row>
    <row r="22">
      <c r="A22" t="inlineStr">
        <is>
          <t>Week3-Dec-2025</t>
        </is>
      </c>
      <c r="B22" s="26">
        <f>IF(SUMIFS('NSE - NIFTY Index Options'!$M:$M,'NSE - NIFTY Index Options'!$C:$C,$A22,'NSE - NIFTY Index Options'!$B:$B,B$4,'NSE - NIFTY Index Options'!$I:$I,"Weekly*")+SUMIFS('NSE - NIFTY Index Options'!$M:$M,'NSE - NIFTY Index Options'!$C:$C,$A22,'NSE - NIFTY Index Options'!$B:$B,B$4,'NSE - NIFTY Index Options'!$I:$I,"MDAW*")+SUMIFS('NSE - Other Index Options'!$M:$M,'NSE - Other Index Options'!$C:$C,$A22,'NSE - Other Index Options'!$B:$B,B$4,'NSE - Other Index Options'!$I:$I,"Weekly*")+SUMIFS('NSE - Other Index Options'!$M:$M,'NSE - Other Index Options'!$C:$C,$A22,'NSE - Other Index Options'!$B:$B,B$4,'NSE - Other Index Options'!$I:$I,"MDAW*")=0,"",SUMIFS('NSE - NIFTY Index Options'!$M:$M,'NSE - NIFTY Index Options'!$C:$C,$A22,'NSE - NIFTY Index Options'!$B:$B,B$4,'NSE - NIFTY Index Options'!$I:$I,"Weekly*")+SUMIFS('NSE - NIFTY Index Options'!$M:$M,'NSE - NIFTY Index Options'!$C:$C,$A22,'NSE - NIFTY Index Options'!$B:$B,B$4,'NSE - NIFTY Index Options'!$I:$I,"MDAW*")+SUMIFS('NSE - Other Index Options'!$M:$M,'NSE - Other Index Options'!$C:$C,$A22,'NSE - Other Index Options'!$B:$B,B$4,'NSE - Other Index Options'!$I:$I,"Weekly*")+SUMIFS('NSE - Other Index Options'!$M:$M,'NSE - Other Index Options'!$C:$C,$A22,'NSE - Other Index Options'!$B:$B,B$4,'NSE - Other Index Options'!$I:$I,"MDAW*"))</f>
        <v/>
      </c>
      <c r="C22" s="26">
        <f>IF(SUMIFS('NSE - NIFTY Index Options'!$M:$M,'NSE - NIFTY Index Options'!$C:$C,$A22,'NSE - NIFTY Index Options'!$B:$B,C$4,'NSE - NIFTY Index Options'!$I:$I,"Weekly*")+SUMIFS('NSE - NIFTY Index Options'!$M:$M,'NSE - NIFTY Index Options'!$C:$C,$A22,'NSE - NIFTY Index Options'!$B:$B,C$4,'NSE - NIFTY Index Options'!$I:$I,"MDAW*")+SUMIFS('NSE - Other Index Options'!$M:$M,'NSE - Other Index Options'!$C:$C,$A22,'NSE - Other Index Options'!$B:$B,C$4,'NSE - Other Index Options'!$I:$I,"Weekly*")+SUMIFS('NSE - Other Index Options'!$M:$M,'NSE - Other Index Options'!$C:$C,$A22,'NSE - Other Index Options'!$B:$B,C$4,'NSE - Other Index Options'!$I:$I,"MDAW*")=0,"",SUMIFS('NSE - NIFTY Index Options'!$M:$M,'NSE - NIFTY Index Options'!$C:$C,$A22,'NSE - NIFTY Index Options'!$B:$B,C$4,'NSE - NIFTY Index Options'!$I:$I,"Weekly*")+SUMIFS('NSE - NIFTY Index Options'!$M:$M,'NSE - NIFTY Index Options'!$C:$C,$A22,'NSE - NIFTY Index Options'!$B:$B,C$4,'NSE - NIFTY Index Options'!$I:$I,"MDAW*")+SUMIFS('NSE - Other Index Options'!$M:$M,'NSE - Other Index Options'!$C:$C,$A22,'NSE - Other Index Options'!$B:$B,C$4,'NSE - Other Index Options'!$I:$I,"Weekly*")+SUMIFS('NSE - Other Index Options'!$M:$M,'NSE - Other Index Options'!$C:$C,$A22,'NSE - Other Index Options'!$B:$B,C$4,'NSE - Other Index Options'!$I:$I,"MDAW*"))</f>
        <v/>
      </c>
      <c r="D22" s="26">
        <f>IF(SUMIFS('NSE - NIFTY Index Options'!$M:$M,'NSE - NIFTY Index Options'!$C:$C,$A22,'NSE - NIFTY Index Options'!$B:$B,D$4,'NSE - NIFTY Index Options'!$I:$I,"Weekly*")+SUMIFS('NSE - NIFTY Index Options'!$M:$M,'NSE - NIFTY Index Options'!$C:$C,$A22,'NSE - NIFTY Index Options'!$B:$B,D$4,'NSE - NIFTY Index Options'!$I:$I,"MDAW*")+SUMIFS('NSE - Other Index Options'!$M:$M,'NSE - Other Index Options'!$C:$C,$A22,'NSE - Other Index Options'!$B:$B,D$4,'NSE - Other Index Options'!$I:$I,"Weekly*")+SUMIFS('NSE - Other Index Options'!$M:$M,'NSE - Other Index Options'!$C:$C,$A22,'NSE - Other Index Options'!$B:$B,D$4,'NSE - Other Index Options'!$I:$I,"MDAW*")=0,"",SUMIFS('NSE - NIFTY Index Options'!$M:$M,'NSE - NIFTY Index Options'!$C:$C,$A22,'NSE - NIFTY Index Options'!$B:$B,D$4,'NSE - NIFTY Index Options'!$I:$I,"Weekly*")+SUMIFS('NSE - NIFTY Index Options'!$M:$M,'NSE - NIFTY Index Options'!$C:$C,$A22,'NSE - NIFTY Index Options'!$B:$B,D$4,'NSE - NIFTY Index Options'!$I:$I,"MDAW*")+SUMIFS('NSE - Other Index Options'!$M:$M,'NSE - Other Index Options'!$C:$C,$A22,'NSE - Other Index Options'!$B:$B,D$4,'NSE - Other Index Options'!$I:$I,"Weekly*")+SUMIFS('NSE - Other Index Options'!$M:$M,'NSE - Other Index Options'!$C:$C,$A22,'NSE - Other Index Options'!$B:$B,D$4,'NSE - Other Index Options'!$I:$I,"MDAW*"))</f>
        <v/>
      </c>
      <c r="E22" s="26">
        <f>IF(SUMIFS('NSE - NIFTY Index Options'!$M:$M,'NSE - NIFTY Index Options'!$C:$C,$A22,'NSE - NIFTY Index Options'!$B:$B,E$4,'NSE - NIFTY Index Options'!$I:$I,"Weekly*")+SUMIFS('NSE - NIFTY Index Options'!$M:$M,'NSE - NIFTY Index Options'!$C:$C,$A22,'NSE - NIFTY Index Options'!$B:$B,E$4,'NSE - NIFTY Index Options'!$I:$I,"MDAW*")+SUMIFS('NSE - Other Index Options'!$M:$M,'NSE - Other Index Options'!$C:$C,$A22,'NSE - Other Index Options'!$B:$B,E$4,'NSE - Other Index Options'!$I:$I,"Weekly*")+SUMIFS('NSE - Other Index Options'!$M:$M,'NSE - Other Index Options'!$C:$C,$A22,'NSE - Other Index Options'!$B:$B,E$4,'NSE - Other Index Options'!$I:$I,"MDAW*")=0,"",SUMIFS('NSE - NIFTY Index Options'!$M:$M,'NSE - NIFTY Index Options'!$C:$C,$A22,'NSE - NIFTY Index Options'!$B:$B,E$4,'NSE - NIFTY Index Options'!$I:$I,"Weekly*")+SUMIFS('NSE - NIFTY Index Options'!$M:$M,'NSE - NIFTY Index Options'!$C:$C,$A22,'NSE - NIFTY Index Options'!$B:$B,E$4,'NSE - NIFTY Index Options'!$I:$I,"MDAW*")+SUMIFS('NSE - Other Index Options'!$M:$M,'NSE - Other Index Options'!$C:$C,$A22,'NSE - Other Index Options'!$B:$B,E$4,'NSE - Other Index Options'!$I:$I,"Weekly*")+SUMIFS('NSE - Other Index Options'!$M:$M,'NSE - Other Index Options'!$C:$C,$A22,'NSE - Other Index Options'!$B:$B,E$4,'NSE - Other Index Options'!$I:$I,"MDAW*"))</f>
        <v/>
      </c>
      <c r="F22" s="26">
        <f>IF(SUMIFS('NSE - NIFTY Index Options'!$M:$M,'NSE - NIFTY Index Options'!$C:$C,$A22,'NSE - NIFTY Index Options'!$B:$B,F$4,'NSE - NIFTY Index Options'!$I:$I,"Weekly*")+SUMIFS('NSE - NIFTY Index Options'!$M:$M,'NSE - NIFTY Index Options'!$C:$C,$A22,'NSE - NIFTY Index Options'!$B:$B,F$4,'NSE - NIFTY Index Options'!$I:$I,"MDAW*")+SUMIFS('NSE - Other Index Options'!$M:$M,'NSE - Other Index Options'!$C:$C,$A22,'NSE - Other Index Options'!$B:$B,F$4,'NSE - Other Index Options'!$I:$I,"Weekly*")+SUMIFS('NSE - Other Index Options'!$M:$M,'NSE - Other Index Options'!$C:$C,$A22,'NSE - Other Index Options'!$B:$B,F$4,'NSE - Other Index Options'!$I:$I,"MDAW*")=0,"",SUMIFS('NSE - NIFTY Index Options'!$M:$M,'NSE - NIFTY Index Options'!$C:$C,$A22,'NSE - NIFTY Index Options'!$B:$B,F$4,'NSE - NIFTY Index Options'!$I:$I,"Weekly*")+SUMIFS('NSE - NIFTY Index Options'!$M:$M,'NSE - NIFTY Index Options'!$C:$C,$A22,'NSE - NIFTY Index Options'!$B:$B,F$4,'NSE - NIFTY Index Options'!$I:$I,"MDAW*")+SUMIFS('NSE - Other Index Options'!$M:$M,'NSE - Other Index Options'!$C:$C,$A22,'NSE - Other Index Options'!$B:$B,F$4,'NSE - Other Index Options'!$I:$I,"Weekly*")+SUMIFS('NSE - Other Index Options'!$M:$M,'NSE - Other Index Options'!$C:$C,$A22,'NSE - Other Index Options'!$B:$B,F$4,'NSE - Other Index Options'!$I:$I,"MDAW*"))</f>
        <v/>
      </c>
      <c r="G22" s="26">
        <f>IF(SUMIFS('NSE - NIFTY Index Options'!$M:$M,'NSE - NIFTY Index Options'!$C:$C,$A22,'NSE - NIFTY Index Options'!$B:$B,G$4,'NSE - NIFTY Index Options'!$I:$I,"Weekly*")+SUMIFS('NSE - NIFTY Index Options'!$M:$M,'NSE - NIFTY Index Options'!$C:$C,$A22,'NSE - NIFTY Index Options'!$B:$B,G$4,'NSE - NIFTY Index Options'!$I:$I,"MDAW*")+SUMIFS('NSE - Other Index Options'!$M:$M,'NSE - Other Index Options'!$C:$C,$A22,'NSE - Other Index Options'!$B:$B,G$4,'NSE - Other Index Options'!$I:$I,"Weekly*")+SUMIFS('NSE - Other Index Options'!$M:$M,'NSE - Other Index Options'!$C:$C,$A22,'NSE - Other Index Options'!$B:$B,G$4,'NSE - Other Index Options'!$I:$I,"MDAW*")=0,"",SUMIFS('NSE - NIFTY Index Options'!$M:$M,'NSE - NIFTY Index Options'!$C:$C,$A22,'NSE - NIFTY Index Options'!$B:$B,G$4,'NSE - NIFTY Index Options'!$I:$I,"Weekly*")+SUMIFS('NSE - NIFTY Index Options'!$M:$M,'NSE - NIFTY Index Options'!$C:$C,$A22,'NSE - NIFTY Index Options'!$B:$B,G$4,'NSE - NIFTY Index Options'!$I:$I,"MDAW*")+SUMIFS('NSE - Other Index Options'!$M:$M,'NSE - Other Index Options'!$C:$C,$A22,'NSE - Other Index Options'!$B:$B,G$4,'NSE - Other Index Options'!$I:$I,"Weekly*")+SUMIFS('NSE - Other Index Options'!$M:$M,'NSE - Other Index Options'!$C:$C,$A22,'NSE - Other Index Options'!$B:$B,G$4,'NSE - Other Index Options'!$I:$I,"MDAW*"))</f>
        <v/>
      </c>
      <c r="H22" s="26">
        <f>IF(SUM(B22:G22)=0,"",SUM(B22:G22))</f>
        <v/>
      </c>
    </row>
    <row r="23">
      <c r="A23" t="inlineStr">
        <is>
          <t>Week4-Dec-2025</t>
        </is>
      </c>
      <c r="B23" s="26">
        <f>IF(SUMIFS('NSE - NIFTY Index Options'!$M:$M,'NSE - NIFTY Index Options'!$C:$C,$A23,'NSE - NIFTY Index Options'!$B:$B,B$4,'NSE - NIFTY Index Options'!$I:$I,"Weekly*")+SUMIFS('NSE - NIFTY Index Options'!$M:$M,'NSE - NIFTY Index Options'!$C:$C,$A23,'NSE - NIFTY Index Options'!$B:$B,B$4,'NSE - NIFTY Index Options'!$I:$I,"MDAW*")+SUMIFS('NSE - Other Index Options'!$M:$M,'NSE - Other Index Options'!$C:$C,$A23,'NSE - Other Index Options'!$B:$B,B$4,'NSE - Other Index Options'!$I:$I,"Weekly*")+SUMIFS('NSE - Other Index Options'!$M:$M,'NSE - Other Index Options'!$C:$C,$A23,'NSE - Other Index Options'!$B:$B,B$4,'NSE - Other Index Options'!$I:$I,"MDAW*")=0,"",SUMIFS('NSE - NIFTY Index Options'!$M:$M,'NSE - NIFTY Index Options'!$C:$C,$A23,'NSE - NIFTY Index Options'!$B:$B,B$4,'NSE - NIFTY Index Options'!$I:$I,"Weekly*")+SUMIFS('NSE - NIFTY Index Options'!$M:$M,'NSE - NIFTY Index Options'!$C:$C,$A23,'NSE - NIFTY Index Options'!$B:$B,B$4,'NSE - NIFTY Index Options'!$I:$I,"MDAW*")+SUMIFS('NSE - Other Index Options'!$M:$M,'NSE - Other Index Options'!$C:$C,$A23,'NSE - Other Index Options'!$B:$B,B$4,'NSE - Other Index Options'!$I:$I,"Weekly*")+SUMIFS('NSE - Other Index Options'!$M:$M,'NSE - Other Index Options'!$C:$C,$A23,'NSE - Other Index Options'!$B:$B,B$4,'NSE - Other Index Options'!$I:$I,"MDAW*"))</f>
        <v/>
      </c>
      <c r="C23" s="26">
        <f>IF(SUMIFS('NSE - NIFTY Index Options'!$M:$M,'NSE - NIFTY Index Options'!$C:$C,$A23,'NSE - NIFTY Index Options'!$B:$B,C$4,'NSE - NIFTY Index Options'!$I:$I,"Weekly*")+SUMIFS('NSE - NIFTY Index Options'!$M:$M,'NSE - NIFTY Index Options'!$C:$C,$A23,'NSE - NIFTY Index Options'!$B:$B,C$4,'NSE - NIFTY Index Options'!$I:$I,"MDAW*")+SUMIFS('NSE - Other Index Options'!$M:$M,'NSE - Other Index Options'!$C:$C,$A23,'NSE - Other Index Options'!$B:$B,C$4,'NSE - Other Index Options'!$I:$I,"Weekly*")+SUMIFS('NSE - Other Index Options'!$M:$M,'NSE - Other Index Options'!$C:$C,$A23,'NSE - Other Index Options'!$B:$B,C$4,'NSE - Other Index Options'!$I:$I,"MDAW*")=0,"",SUMIFS('NSE - NIFTY Index Options'!$M:$M,'NSE - NIFTY Index Options'!$C:$C,$A23,'NSE - NIFTY Index Options'!$B:$B,C$4,'NSE - NIFTY Index Options'!$I:$I,"Weekly*")+SUMIFS('NSE - NIFTY Index Options'!$M:$M,'NSE - NIFTY Index Options'!$C:$C,$A23,'NSE - NIFTY Index Options'!$B:$B,C$4,'NSE - NIFTY Index Options'!$I:$I,"MDAW*")+SUMIFS('NSE - Other Index Options'!$M:$M,'NSE - Other Index Options'!$C:$C,$A23,'NSE - Other Index Options'!$B:$B,C$4,'NSE - Other Index Options'!$I:$I,"Weekly*")+SUMIFS('NSE - Other Index Options'!$M:$M,'NSE - Other Index Options'!$C:$C,$A23,'NSE - Other Index Options'!$B:$B,C$4,'NSE - Other Index Options'!$I:$I,"MDAW*"))</f>
        <v/>
      </c>
      <c r="D23" s="26">
        <f>IF(SUMIFS('NSE - NIFTY Index Options'!$M:$M,'NSE - NIFTY Index Options'!$C:$C,$A23,'NSE - NIFTY Index Options'!$B:$B,D$4,'NSE - NIFTY Index Options'!$I:$I,"Weekly*")+SUMIFS('NSE - NIFTY Index Options'!$M:$M,'NSE - NIFTY Index Options'!$C:$C,$A23,'NSE - NIFTY Index Options'!$B:$B,D$4,'NSE - NIFTY Index Options'!$I:$I,"MDAW*")+SUMIFS('NSE - Other Index Options'!$M:$M,'NSE - Other Index Options'!$C:$C,$A23,'NSE - Other Index Options'!$B:$B,D$4,'NSE - Other Index Options'!$I:$I,"Weekly*")+SUMIFS('NSE - Other Index Options'!$M:$M,'NSE - Other Index Options'!$C:$C,$A23,'NSE - Other Index Options'!$B:$B,D$4,'NSE - Other Index Options'!$I:$I,"MDAW*")=0,"",SUMIFS('NSE - NIFTY Index Options'!$M:$M,'NSE - NIFTY Index Options'!$C:$C,$A23,'NSE - NIFTY Index Options'!$B:$B,D$4,'NSE - NIFTY Index Options'!$I:$I,"Weekly*")+SUMIFS('NSE - NIFTY Index Options'!$M:$M,'NSE - NIFTY Index Options'!$C:$C,$A23,'NSE - NIFTY Index Options'!$B:$B,D$4,'NSE - NIFTY Index Options'!$I:$I,"MDAW*")+SUMIFS('NSE - Other Index Options'!$M:$M,'NSE - Other Index Options'!$C:$C,$A23,'NSE - Other Index Options'!$B:$B,D$4,'NSE - Other Index Options'!$I:$I,"Weekly*")+SUMIFS('NSE - Other Index Options'!$M:$M,'NSE - Other Index Options'!$C:$C,$A23,'NSE - Other Index Options'!$B:$B,D$4,'NSE - Other Index Options'!$I:$I,"MDAW*"))</f>
        <v/>
      </c>
      <c r="E23" s="26">
        <f>IF(SUMIFS('NSE - NIFTY Index Options'!$M:$M,'NSE - NIFTY Index Options'!$C:$C,$A23,'NSE - NIFTY Index Options'!$B:$B,E$4,'NSE - NIFTY Index Options'!$I:$I,"Weekly*")+SUMIFS('NSE - NIFTY Index Options'!$M:$M,'NSE - NIFTY Index Options'!$C:$C,$A23,'NSE - NIFTY Index Options'!$B:$B,E$4,'NSE - NIFTY Index Options'!$I:$I,"MDAW*")+SUMIFS('NSE - Other Index Options'!$M:$M,'NSE - Other Index Options'!$C:$C,$A23,'NSE - Other Index Options'!$B:$B,E$4,'NSE - Other Index Options'!$I:$I,"Weekly*")+SUMIFS('NSE - Other Index Options'!$M:$M,'NSE - Other Index Options'!$C:$C,$A23,'NSE - Other Index Options'!$B:$B,E$4,'NSE - Other Index Options'!$I:$I,"MDAW*")=0,"",SUMIFS('NSE - NIFTY Index Options'!$M:$M,'NSE - NIFTY Index Options'!$C:$C,$A23,'NSE - NIFTY Index Options'!$B:$B,E$4,'NSE - NIFTY Index Options'!$I:$I,"Weekly*")+SUMIFS('NSE - NIFTY Index Options'!$M:$M,'NSE - NIFTY Index Options'!$C:$C,$A23,'NSE - NIFTY Index Options'!$B:$B,E$4,'NSE - NIFTY Index Options'!$I:$I,"MDAW*")+SUMIFS('NSE - Other Index Options'!$M:$M,'NSE - Other Index Options'!$C:$C,$A23,'NSE - Other Index Options'!$B:$B,E$4,'NSE - Other Index Options'!$I:$I,"Weekly*")+SUMIFS('NSE - Other Index Options'!$M:$M,'NSE - Other Index Options'!$C:$C,$A23,'NSE - Other Index Options'!$B:$B,E$4,'NSE - Other Index Options'!$I:$I,"MDAW*"))</f>
        <v/>
      </c>
      <c r="F23" s="26">
        <f>IF(SUMIFS('NSE - NIFTY Index Options'!$M:$M,'NSE - NIFTY Index Options'!$C:$C,$A23,'NSE - NIFTY Index Options'!$B:$B,F$4,'NSE - NIFTY Index Options'!$I:$I,"Weekly*")+SUMIFS('NSE - NIFTY Index Options'!$M:$M,'NSE - NIFTY Index Options'!$C:$C,$A23,'NSE - NIFTY Index Options'!$B:$B,F$4,'NSE - NIFTY Index Options'!$I:$I,"MDAW*")+SUMIFS('NSE - Other Index Options'!$M:$M,'NSE - Other Index Options'!$C:$C,$A23,'NSE - Other Index Options'!$B:$B,F$4,'NSE - Other Index Options'!$I:$I,"Weekly*")+SUMIFS('NSE - Other Index Options'!$M:$M,'NSE - Other Index Options'!$C:$C,$A23,'NSE - Other Index Options'!$B:$B,F$4,'NSE - Other Index Options'!$I:$I,"MDAW*")=0,"",SUMIFS('NSE - NIFTY Index Options'!$M:$M,'NSE - NIFTY Index Options'!$C:$C,$A23,'NSE - NIFTY Index Options'!$B:$B,F$4,'NSE - NIFTY Index Options'!$I:$I,"Weekly*")+SUMIFS('NSE - NIFTY Index Options'!$M:$M,'NSE - NIFTY Index Options'!$C:$C,$A23,'NSE - NIFTY Index Options'!$B:$B,F$4,'NSE - NIFTY Index Options'!$I:$I,"MDAW*")+SUMIFS('NSE - Other Index Options'!$M:$M,'NSE - Other Index Options'!$C:$C,$A23,'NSE - Other Index Options'!$B:$B,F$4,'NSE - Other Index Options'!$I:$I,"Weekly*")+SUMIFS('NSE - Other Index Options'!$M:$M,'NSE - Other Index Options'!$C:$C,$A23,'NSE - Other Index Options'!$B:$B,F$4,'NSE - Other Index Options'!$I:$I,"MDAW*"))</f>
        <v/>
      </c>
      <c r="G23" s="26">
        <f>IF(SUMIFS('NSE - NIFTY Index Options'!$M:$M,'NSE - NIFTY Index Options'!$C:$C,$A23,'NSE - NIFTY Index Options'!$B:$B,G$4,'NSE - NIFTY Index Options'!$I:$I,"Weekly*")+SUMIFS('NSE - NIFTY Index Options'!$M:$M,'NSE - NIFTY Index Options'!$C:$C,$A23,'NSE - NIFTY Index Options'!$B:$B,G$4,'NSE - NIFTY Index Options'!$I:$I,"MDAW*")+SUMIFS('NSE - Other Index Options'!$M:$M,'NSE - Other Index Options'!$C:$C,$A23,'NSE - Other Index Options'!$B:$B,G$4,'NSE - Other Index Options'!$I:$I,"Weekly*")+SUMIFS('NSE - Other Index Options'!$M:$M,'NSE - Other Index Options'!$C:$C,$A23,'NSE - Other Index Options'!$B:$B,G$4,'NSE - Other Index Options'!$I:$I,"MDAW*")=0,"",SUMIFS('NSE - NIFTY Index Options'!$M:$M,'NSE - NIFTY Index Options'!$C:$C,$A23,'NSE - NIFTY Index Options'!$B:$B,G$4,'NSE - NIFTY Index Options'!$I:$I,"Weekly*")+SUMIFS('NSE - NIFTY Index Options'!$M:$M,'NSE - NIFTY Index Options'!$C:$C,$A23,'NSE - NIFTY Index Options'!$B:$B,G$4,'NSE - NIFTY Index Options'!$I:$I,"MDAW*")+SUMIFS('NSE - Other Index Options'!$M:$M,'NSE - Other Index Options'!$C:$C,$A23,'NSE - Other Index Options'!$B:$B,G$4,'NSE - Other Index Options'!$I:$I,"Weekly*")+SUMIFS('NSE - Other Index Options'!$M:$M,'NSE - Other Index Options'!$C:$C,$A23,'NSE - Other Index Options'!$B:$B,G$4,'NSE - Other Index Options'!$I:$I,"MDAW*"))</f>
        <v/>
      </c>
      <c r="H23" s="26">
        <f>IF(SUM(B23:G23)=0,"",SUM(B23:G23))</f>
        <v/>
      </c>
    </row>
    <row r="24">
      <c r="A24" t="inlineStr">
        <is>
          <t>Week5-Dec-2025</t>
        </is>
      </c>
      <c r="B24" s="26">
        <f>IF(SUMIFS('NSE - NIFTY Index Options'!$M:$M,'NSE - NIFTY Index Options'!$C:$C,$A24,'NSE - NIFTY Index Options'!$B:$B,B$4,'NSE - NIFTY Index Options'!$I:$I,"Weekly*")+SUMIFS('NSE - NIFTY Index Options'!$M:$M,'NSE - NIFTY Index Options'!$C:$C,$A24,'NSE - NIFTY Index Options'!$B:$B,B$4,'NSE - NIFTY Index Options'!$I:$I,"MDAW*")+SUMIFS('NSE - Other Index Options'!$M:$M,'NSE - Other Index Options'!$C:$C,$A24,'NSE - Other Index Options'!$B:$B,B$4,'NSE - Other Index Options'!$I:$I,"Weekly*")+SUMIFS('NSE - Other Index Options'!$M:$M,'NSE - Other Index Options'!$C:$C,$A24,'NSE - Other Index Options'!$B:$B,B$4,'NSE - Other Index Options'!$I:$I,"MDAW*")=0,"",SUMIFS('NSE - NIFTY Index Options'!$M:$M,'NSE - NIFTY Index Options'!$C:$C,$A24,'NSE - NIFTY Index Options'!$B:$B,B$4,'NSE - NIFTY Index Options'!$I:$I,"Weekly*")+SUMIFS('NSE - NIFTY Index Options'!$M:$M,'NSE - NIFTY Index Options'!$C:$C,$A24,'NSE - NIFTY Index Options'!$B:$B,B$4,'NSE - NIFTY Index Options'!$I:$I,"MDAW*")+SUMIFS('NSE - Other Index Options'!$M:$M,'NSE - Other Index Options'!$C:$C,$A24,'NSE - Other Index Options'!$B:$B,B$4,'NSE - Other Index Options'!$I:$I,"Weekly*")+SUMIFS('NSE - Other Index Options'!$M:$M,'NSE - Other Index Options'!$C:$C,$A24,'NSE - Other Index Options'!$B:$B,B$4,'NSE - Other Index Options'!$I:$I,"MDAW*"))</f>
        <v/>
      </c>
      <c r="C24" s="26">
        <f>IF(SUMIFS('NSE - NIFTY Index Options'!$M:$M,'NSE - NIFTY Index Options'!$C:$C,$A24,'NSE - NIFTY Index Options'!$B:$B,C$4,'NSE - NIFTY Index Options'!$I:$I,"Weekly*")+SUMIFS('NSE - NIFTY Index Options'!$M:$M,'NSE - NIFTY Index Options'!$C:$C,$A24,'NSE - NIFTY Index Options'!$B:$B,C$4,'NSE - NIFTY Index Options'!$I:$I,"MDAW*")+SUMIFS('NSE - Other Index Options'!$M:$M,'NSE - Other Index Options'!$C:$C,$A24,'NSE - Other Index Options'!$B:$B,C$4,'NSE - Other Index Options'!$I:$I,"Weekly*")+SUMIFS('NSE - Other Index Options'!$M:$M,'NSE - Other Index Options'!$C:$C,$A24,'NSE - Other Index Options'!$B:$B,C$4,'NSE - Other Index Options'!$I:$I,"MDAW*")=0,"",SUMIFS('NSE - NIFTY Index Options'!$M:$M,'NSE - NIFTY Index Options'!$C:$C,$A24,'NSE - NIFTY Index Options'!$B:$B,C$4,'NSE - NIFTY Index Options'!$I:$I,"Weekly*")+SUMIFS('NSE - NIFTY Index Options'!$M:$M,'NSE - NIFTY Index Options'!$C:$C,$A24,'NSE - NIFTY Index Options'!$B:$B,C$4,'NSE - NIFTY Index Options'!$I:$I,"MDAW*")+SUMIFS('NSE - Other Index Options'!$M:$M,'NSE - Other Index Options'!$C:$C,$A24,'NSE - Other Index Options'!$B:$B,C$4,'NSE - Other Index Options'!$I:$I,"Weekly*")+SUMIFS('NSE - Other Index Options'!$M:$M,'NSE - Other Index Options'!$C:$C,$A24,'NSE - Other Index Options'!$B:$B,C$4,'NSE - Other Index Options'!$I:$I,"MDAW*"))</f>
        <v/>
      </c>
      <c r="D24" s="26">
        <f>IF(SUMIFS('NSE - NIFTY Index Options'!$M:$M,'NSE - NIFTY Index Options'!$C:$C,$A24,'NSE - NIFTY Index Options'!$B:$B,D$4,'NSE - NIFTY Index Options'!$I:$I,"Weekly*")+SUMIFS('NSE - NIFTY Index Options'!$M:$M,'NSE - NIFTY Index Options'!$C:$C,$A24,'NSE - NIFTY Index Options'!$B:$B,D$4,'NSE - NIFTY Index Options'!$I:$I,"MDAW*")+SUMIFS('NSE - Other Index Options'!$M:$M,'NSE - Other Index Options'!$C:$C,$A24,'NSE - Other Index Options'!$B:$B,D$4,'NSE - Other Index Options'!$I:$I,"Weekly*")+SUMIFS('NSE - Other Index Options'!$M:$M,'NSE - Other Index Options'!$C:$C,$A24,'NSE - Other Index Options'!$B:$B,D$4,'NSE - Other Index Options'!$I:$I,"MDAW*")=0,"",SUMIFS('NSE - NIFTY Index Options'!$M:$M,'NSE - NIFTY Index Options'!$C:$C,$A24,'NSE - NIFTY Index Options'!$B:$B,D$4,'NSE - NIFTY Index Options'!$I:$I,"Weekly*")+SUMIFS('NSE - NIFTY Index Options'!$M:$M,'NSE - NIFTY Index Options'!$C:$C,$A24,'NSE - NIFTY Index Options'!$B:$B,D$4,'NSE - NIFTY Index Options'!$I:$I,"MDAW*")+SUMIFS('NSE - Other Index Options'!$M:$M,'NSE - Other Index Options'!$C:$C,$A24,'NSE - Other Index Options'!$B:$B,D$4,'NSE - Other Index Options'!$I:$I,"Weekly*")+SUMIFS('NSE - Other Index Options'!$M:$M,'NSE - Other Index Options'!$C:$C,$A24,'NSE - Other Index Options'!$B:$B,D$4,'NSE - Other Index Options'!$I:$I,"MDAW*"))</f>
        <v/>
      </c>
      <c r="E24" s="26">
        <f>IF(SUMIFS('NSE - NIFTY Index Options'!$M:$M,'NSE - NIFTY Index Options'!$C:$C,$A24,'NSE - NIFTY Index Options'!$B:$B,E$4,'NSE - NIFTY Index Options'!$I:$I,"Weekly*")+SUMIFS('NSE - NIFTY Index Options'!$M:$M,'NSE - NIFTY Index Options'!$C:$C,$A24,'NSE - NIFTY Index Options'!$B:$B,E$4,'NSE - NIFTY Index Options'!$I:$I,"MDAW*")+SUMIFS('NSE - Other Index Options'!$M:$M,'NSE - Other Index Options'!$C:$C,$A24,'NSE - Other Index Options'!$B:$B,E$4,'NSE - Other Index Options'!$I:$I,"Weekly*")+SUMIFS('NSE - Other Index Options'!$M:$M,'NSE - Other Index Options'!$C:$C,$A24,'NSE - Other Index Options'!$B:$B,E$4,'NSE - Other Index Options'!$I:$I,"MDAW*")=0,"",SUMIFS('NSE - NIFTY Index Options'!$M:$M,'NSE - NIFTY Index Options'!$C:$C,$A24,'NSE - NIFTY Index Options'!$B:$B,E$4,'NSE - NIFTY Index Options'!$I:$I,"Weekly*")+SUMIFS('NSE - NIFTY Index Options'!$M:$M,'NSE - NIFTY Index Options'!$C:$C,$A24,'NSE - NIFTY Index Options'!$B:$B,E$4,'NSE - NIFTY Index Options'!$I:$I,"MDAW*")+SUMIFS('NSE - Other Index Options'!$M:$M,'NSE - Other Index Options'!$C:$C,$A24,'NSE - Other Index Options'!$B:$B,E$4,'NSE - Other Index Options'!$I:$I,"Weekly*")+SUMIFS('NSE - Other Index Options'!$M:$M,'NSE - Other Index Options'!$C:$C,$A24,'NSE - Other Index Options'!$B:$B,E$4,'NSE - Other Index Options'!$I:$I,"MDAW*"))</f>
        <v/>
      </c>
      <c r="F24" s="26">
        <f>IF(SUMIFS('NSE - NIFTY Index Options'!$M:$M,'NSE - NIFTY Index Options'!$C:$C,$A24,'NSE - NIFTY Index Options'!$B:$B,F$4,'NSE - NIFTY Index Options'!$I:$I,"Weekly*")+SUMIFS('NSE - NIFTY Index Options'!$M:$M,'NSE - NIFTY Index Options'!$C:$C,$A24,'NSE - NIFTY Index Options'!$B:$B,F$4,'NSE - NIFTY Index Options'!$I:$I,"MDAW*")+SUMIFS('NSE - Other Index Options'!$M:$M,'NSE - Other Index Options'!$C:$C,$A24,'NSE - Other Index Options'!$B:$B,F$4,'NSE - Other Index Options'!$I:$I,"Weekly*")+SUMIFS('NSE - Other Index Options'!$M:$M,'NSE - Other Index Options'!$C:$C,$A24,'NSE - Other Index Options'!$B:$B,F$4,'NSE - Other Index Options'!$I:$I,"MDAW*")=0,"",SUMIFS('NSE - NIFTY Index Options'!$M:$M,'NSE - NIFTY Index Options'!$C:$C,$A24,'NSE - NIFTY Index Options'!$B:$B,F$4,'NSE - NIFTY Index Options'!$I:$I,"Weekly*")+SUMIFS('NSE - NIFTY Index Options'!$M:$M,'NSE - NIFTY Index Options'!$C:$C,$A24,'NSE - NIFTY Index Options'!$B:$B,F$4,'NSE - NIFTY Index Options'!$I:$I,"MDAW*")+SUMIFS('NSE - Other Index Options'!$M:$M,'NSE - Other Index Options'!$C:$C,$A24,'NSE - Other Index Options'!$B:$B,F$4,'NSE - Other Index Options'!$I:$I,"Weekly*")+SUMIFS('NSE - Other Index Options'!$M:$M,'NSE - Other Index Options'!$C:$C,$A24,'NSE - Other Index Options'!$B:$B,F$4,'NSE - Other Index Options'!$I:$I,"MDAW*"))</f>
        <v/>
      </c>
      <c r="G24" s="26">
        <f>IF(SUMIFS('NSE - NIFTY Index Options'!$M:$M,'NSE - NIFTY Index Options'!$C:$C,$A24,'NSE - NIFTY Index Options'!$B:$B,G$4,'NSE - NIFTY Index Options'!$I:$I,"Weekly*")+SUMIFS('NSE - NIFTY Index Options'!$M:$M,'NSE - NIFTY Index Options'!$C:$C,$A24,'NSE - NIFTY Index Options'!$B:$B,G$4,'NSE - NIFTY Index Options'!$I:$I,"MDAW*")+SUMIFS('NSE - Other Index Options'!$M:$M,'NSE - Other Index Options'!$C:$C,$A24,'NSE - Other Index Options'!$B:$B,G$4,'NSE - Other Index Options'!$I:$I,"Weekly*")+SUMIFS('NSE - Other Index Options'!$M:$M,'NSE - Other Index Options'!$C:$C,$A24,'NSE - Other Index Options'!$B:$B,G$4,'NSE - Other Index Options'!$I:$I,"MDAW*")=0,"",SUMIFS('NSE - NIFTY Index Options'!$M:$M,'NSE - NIFTY Index Options'!$C:$C,$A24,'NSE - NIFTY Index Options'!$B:$B,G$4,'NSE - NIFTY Index Options'!$I:$I,"Weekly*")+SUMIFS('NSE - NIFTY Index Options'!$M:$M,'NSE - NIFTY Index Options'!$C:$C,$A24,'NSE - NIFTY Index Options'!$B:$B,G$4,'NSE - NIFTY Index Options'!$I:$I,"MDAW*")+SUMIFS('NSE - Other Index Options'!$M:$M,'NSE - Other Index Options'!$C:$C,$A24,'NSE - Other Index Options'!$B:$B,G$4,'NSE - Other Index Options'!$I:$I,"Weekly*")+SUMIFS('NSE - Other Index Options'!$M:$M,'NSE - Other Index Options'!$C:$C,$A24,'NSE - Other Index Options'!$B:$B,G$4,'NSE - Other Index Options'!$I:$I,"MDAW*"))</f>
        <v/>
      </c>
      <c r="H24" s="26">
        <f>IF(SUM(B24:G24)=0,"",SUM(B24:G24))</f>
        <v/>
      </c>
    </row>
    <row r="25">
      <c r="A25" t="inlineStr">
        <is>
          <t>Week1-Jan-2026</t>
        </is>
      </c>
      <c r="B25" s="26">
        <f>IF(SUMIFS('NSE - NIFTY Index Options'!$M:$M,'NSE - NIFTY Index Options'!$C:$C,$A25,'NSE - NIFTY Index Options'!$B:$B,B$4,'NSE - NIFTY Index Options'!$I:$I,"Weekly*")+SUMIFS('NSE - NIFTY Index Options'!$M:$M,'NSE - NIFTY Index Options'!$C:$C,$A25,'NSE - NIFTY Index Options'!$B:$B,B$4,'NSE - NIFTY Index Options'!$I:$I,"MDAW*")+SUMIFS('NSE - Other Index Options'!$M:$M,'NSE - Other Index Options'!$C:$C,$A25,'NSE - Other Index Options'!$B:$B,B$4,'NSE - Other Index Options'!$I:$I,"Weekly*")+SUMIFS('NSE - Other Index Options'!$M:$M,'NSE - Other Index Options'!$C:$C,$A25,'NSE - Other Index Options'!$B:$B,B$4,'NSE - Other Index Options'!$I:$I,"MDAW*")=0,"",SUMIFS('NSE - NIFTY Index Options'!$M:$M,'NSE - NIFTY Index Options'!$C:$C,$A25,'NSE - NIFTY Index Options'!$B:$B,B$4,'NSE - NIFTY Index Options'!$I:$I,"Weekly*")+SUMIFS('NSE - NIFTY Index Options'!$M:$M,'NSE - NIFTY Index Options'!$C:$C,$A25,'NSE - NIFTY Index Options'!$B:$B,B$4,'NSE - NIFTY Index Options'!$I:$I,"MDAW*")+SUMIFS('NSE - Other Index Options'!$M:$M,'NSE - Other Index Options'!$C:$C,$A25,'NSE - Other Index Options'!$B:$B,B$4,'NSE - Other Index Options'!$I:$I,"Weekly*")+SUMIFS('NSE - Other Index Options'!$M:$M,'NSE - Other Index Options'!$C:$C,$A25,'NSE - Other Index Options'!$B:$B,B$4,'NSE - Other Index Options'!$I:$I,"MDAW*"))</f>
        <v/>
      </c>
      <c r="C25" s="26">
        <f>IF(SUMIFS('NSE - NIFTY Index Options'!$M:$M,'NSE - NIFTY Index Options'!$C:$C,$A25,'NSE - NIFTY Index Options'!$B:$B,C$4,'NSE - NIFTY Index Options'!$I:$I,"Weekly*")+SUMIFS('NSE - NIFTY Index Options'!$M:$M,'NSE - NIFTY Index Options'!$C:$C,$A25,'NSE - NIFTY Index Options'!$B:$B,C$4,'NSE - NIFTY Index Options'!$I:$I,"MDAW*")+SUMIFS('NSE - Other Index Options'!$M:$M,'NSE - Other Index Options'!$C:$C,$A25,'NSE - Other Index Options'!$B:$B,C$4,'NSE - Other Index Options'!$I:$I,"Weekly*")+SUMIFS('NSE - Other Index Options'!$M:$M,'NSE - Other Index Options'!$C:$C,$A25,'NSE - Other Index Options'!$B:$B,C$4,'NSE - Other Index Options'!$I:$I,"MDAW*")=0,"",SUMIFS('NSE - NIFTY Index Options'!$M:$M,'NSE - NIFTY Index Options'!$C:$C,$A25,'NSE - NIFTY Index Options'!$B:$B,C$4,'NSE - NIFTY Index Options'!$I:$I,"Weekly*")+SUMIFS('NSE - NIFTY Index Options'!$M:$M,'NSE - NIFTY Index Options'!$C:$C,$A25,'NSE - NIFTY Index Options'!$B:$B,C$4,'NSE - NIFTY Index Options'!$I:$I,"MDAW*")+SUMIFS('NSE - Other Index Options'!$M:$M,'NSE - Other Index Options'!$C:$C,$A25,'NSE - Other Index Options'!$B:$B,C$4,'NSE - Other Index Options'!$I:$I,"Weekly*")+SUMIFS('NSE - Other Index Options'!$M:$M,'NSE - Other Index Options'!$C:$C,$A25,'NSE - Other Index Options'!$B:$B,C$4,'NSE - Other Index Options'!$I:$I,"MDAW*"))</f>
        <v/>
      </c>
      <c r="D25" s="26">
        <f>IF(SUMIFS('NSE - NIFTY Index Options'!$M:$M,'NSE - NIFTY Index Options'!$C:$C,$A25,'NSE - NIFTY Index Options'!$B:$B,D$4,'NSE - NIFTY Index Options'!$I:$I,"Weekly*")+SUMIFS('NSE - NIFTY Index Options'!$M:$M,'NSE - NIFTY Index Options'!$C:$C,$A25,'NSE - NIFTY Index Options'!$B:$B,D$4,'NSE - NIFTY Index Options'!$I:$I,"MDAW*")+SUMIFS('NSE - Other Index Options'!$M:$M,'NSE - Other Index Options'!$C:$C,$A25,'NSE - Other Index Options'!$B:$B,D$4,'NSE - Other Index Options'!$I:$I,"Weekly*")+SUMIFS('NSE - Other Index Options'!$M:$M,'NSE - Other Index Options'!$C:$C,$A25,'NSE - Other Index Options'!$B:$B,D$4,'NSE - Other Index Options'!$I:$I,"MDAW*")=0,"",SUMIFS('NSE - NIFTY Index Options'!$M:$M,'NSE - NIFTY Index Options'!$C:$C,$A25,'NSE - NIFTY Index Options'!$B:$B,D$4,'NSE - NIFTY Index Options'!$I:$I,"Weekly*")+SUMIFS('NSE - NIFTY Index Options'!$M:$M,'NSE - NIFTY Index Options'!$C:$C,$A25,'NSE - NIFTY Index Options'!$B:$B,D$4,'NSE - NIFTY Index Options'!$I:$I,"MDAW*")+SUMIFS('NSE - Other Index Options'!$M:$M,'NSE - Other Index Options'!$C:$C,$A25,'NSE - Other Index Options'!$B:$B,D$4,'NSE - Other Index Options'!$I:$I,"Weekly*")+SUMIFS('NSE - Other Index Options'!$M:$M,'NSE - Other Index Options'!$C:$C,$A25,'NSE - Other Index Options'!$B:$B,D$4,'NSE - Other Index Options'!$I:$I,"MDAW*"))</f>
        <v/>
      </c>
      <c r="E25" s="26">
        <f>IF(SUMIFS('NSE - NIFTY Index Options'!$M:$M,'NSE - NIFTY Index Options'!$C:$C,$A25,'NSE - NIFTY Index Options'!$B:$B,E$4,'NSE - NIFTY Index Options'!$I:$I,"Weekly*")+SUMIFS('NSE - NIFTY Index Options'!$M:$M,'NSE - NIFTY Index Options'!$C:$C,$A25,'NSE - NIFTY Index Options'!$B:$B,E$4,'NSE - NIFTY Index Options'!$I:$I,"MDAW*")+SUMIFS('NSE - Other Index Options'!$M:$M,'NSE - Other Index Options'!$C:$C,$A25,'NSE - Other Index Options'!$B:$B,E$4,'NSE - Other Index Options'!$I:$I,"Weekly*")+SUMIFS('NSE - Other Index Options'!$M:$M,'NSE - Other Index Options'!$C:$C,$A25,'NSE - Other Index Options'!$B:$B,E$4,'NSE - Other Index Options'!$I:$I,"MDAW*")=0,"",SUMIFS('NSE - NIFTY Index Options'!$M:$M,'NSE - NIFTY Index Options'!$C:$C,$A25,'NSE - NIFTY Index Options'!$B:$B,E$4,'NSE - NIFTY Index Options'!$I:$I,"Weekly*")+SUMIFS('NSE - NIFTY Index Options'!$M:$M,'NSE - NIFTY Index Options'!$C:$C,$A25,'NSE - NIFTY Index Options'!$B:$B,E$4,'NSE - NIFTY Index Options'!$I:$I,"MDAW*")+SUMIFS('NSE - Other Index Options'!$M:$M,'NSE - Other Index Options'!$C:$C,$A25,'NSE - Other Index Options'!$B:$B,E$4,'NSE - Other Index Options'!$I:$I,"Weekly*")+SUMIFS('NSE - Other Index Options'!$M:$M,'NSE - Other Index Options'!$C:$C,$A25,'NSE - Other Index Options'!$B:$B,E$4,'NSE - Other Index Options'!$I:$I,"MDAW*"))</f>
        <v/>
      </c>
      <c r="F25" s="26">
        <f>IF(SUMIFS('NSE - NIFTY Index Options'!$M:$M,'NSE - NIFTY Index Options'!$C:$C,$A25,'NSE - NIFTY Index Options'!$B:$B,F$4,'NSE - NIFTY Index Options'!$I:$I,"Weekly*")+SUMIFS('NSE - NIFTY Index Options'!$M:$M,'NSE - NIFTY Index Options'!$C:$C,$A25,'NSE - NIFTY Index Options'!$B:$B,F$4,'NSE - NIFTY Index Options'!$I:$I,"MDAW*")+SUMIFS('NSE - Other Index Options'!$M:$M,'NSE - Other Index Options'!$C:$C,$A25,'NSE - Other Index Options'!$B:$B,F$4,'NSE - Other Index Options'!$I:$I,"Weekly*")+SUMIFS('NSE - Other Index Options'!$M:$M,'NSE - Other Index Options'!$C:$C,$A25,'NSE - Other Index Options'!$B:$B,F$4,'NSE - Other Index Options'!$I:$I,"MDAW*")=0,"",SUMIFS('NSE - NIFTY Index Options'!$M:$M,'NSE - NIFTY Index Options'!$C:$C,$A25,'NSE - NIFTY Index Options'!$B:$B,F$4,'NSE - NIFTY Index Options'!$I:$I,"Weekly*")+SUMIFS('NSE - NIFTY Index Options'!$M:$M,'NSE - NIFTY Index Options'!$C:$C,$A25,'NSE - NIFTY Index Options'!$B:$B,F$4,'NSE - NIFTY Index Options'!$I:$I,"MDAW*")+SUMIFS('NSE - Other Index Options'!$M:$M,'NSE - Other Index Options'!$C:$C,$A25,'NSE - Other Index Options'!$B:$B,F$4,'NSE - Other Index Options'!$I:$I,"Weekly*")+SUMIFS('NSE - Other Index Options'!$M:$M,'NSE - Other Index Options'!$C:$C,$A25,'NSE - Other Index Options'!$B:$B,F$4,'NSE - Other Index Options'!$I:$I,"MDAW*"))</f>
        <v/>
      </c>
      <c r="G25" s="26">
        <f>IF(SUMIFS('NSE - NIFTY Index Options'!$M:$M,'NSE - NIFTY Index Options'!$C:$C,$A25,'NSE - NIFTY Index Options'!$B:$B,G$4,'NSE - NIFTY Index Options'!$I:$I,"Weekly*")+SUMIFS('NSE - NIFTY Index Options'!$M:$M,'NSE - NIFTY Index Options'!$C:$C,$A25,'NSE - NIFTY Index Options'!$B:$B,G$4,'NSE - NIFTY Index Options'!$I:$I,"MDAW*")+SUMIFS('NSE - Other Index Options'!$M:$M,'NSE - Other Index Options'!$C:$C,$A25,'NSE - Other Index Options'!$B:$B,G$4,'NSE - Other Index Options'!$I:$I,"Weekly*")+SUMIFS('NSE - Other Index Options'!$M:$M,'NSE - Other Index Options'!$C:$C,$A25,'NSE - Other Index Options'!$B:$B,G$4,'NSE - Other Index Options'!$I:$I,"MDAW*")=0,"",SUMIFS('NSE - NIFTY Index Options'!$M:$M,'NSE - NIFTY Index Options'!$C:$C,$A25,'NSE - NIFTY Index Options'!$B:$B,G$4,'NSE - NIFTY Index Options'!$I:$I,"Weekly*")+SUMIFS('NSE - NIFTY Index Options'!$M:$M,'NSE - NIFTY Index Options'!$C:$C,$A25,'NSE - NIFTY Index Options'!$B:$B,G$4,'NSE - NIFTY Index Options'!$I:$I,"MDAW*")+SUMIFS('NSE - Other Index Options'!$M:$M,'NSE - Other Index Options'!$C:$C,$A25,'NSE - Other Index Options'!$B:$B,G$4,'NSE - Other Index Options'!$I:$I,"Weekly*")+SUMIFS('NSE - Other Index Options'!$M:$M,'NSE - Other Index Options'!$C:$C,$A25,'NSE - Other Index Options'!$B:$B,G$4,'NSE - Other Index Options'!$I:$I,"MDAW*"))</f>
        <v/>
      </c>
      <c r="H25" s="26">
        <f>IF(SUM(B25:G25)=0,"",SUM(B25:G25))</f>
        <v/>
      </c>
    </row>
    <row r="26">
      <c r="A26" t="inlineStr">
        <is>
          <t>Week2-Jan-2026</t>
        </is>
      </c>
      <c r="B26" s="26">
        <f>IF(SUMIFS('NSE - NIFTY Index Options'!$M:$M,'NSE - NIFTY Index Options'!$C:$C,$A26,'NSE - NIFTY Index Options'!$B:$B,B$4,'NSE - NIFTY Index Options'!$I:$I,"Weekly*")+SUMIFS('NSE - NIFTY Index Options'!$M:$M,'NSE - NIFTY Index Options'!$C:$C,$A26,'NSE - NIFTY Index Options'!$B:$B,B$4,'NSE - NIFTY Index Options'!$I:$I,"MDAW*")+SUMIFS('NSE - Other Index Options'!$M:$M,'NSE - Other Index Options'!$C:$C,$A26,'NSE - Other Index Options'!$B:$B,B$4,'NSE - Other Index Options'!$I:$I,"Weekly*")+SUMIFS('NSE - Other Index Options'!$M:$M,'NSE - Other Index Options'!$C:$C,$A26,'NSE - Other Index Options'!$B:$B,B$4,'NSE - Other Index Options'!$I:$I,"MDAW*")=0,"",SUMIFS('NSE - NIFTY Index Options'!$M:$M,'NSE - NIFTY Index Options'!$C:$C,$A26,'NSE - NIFTY Index Options'!$B:$B,B$4,'NSE - NIFTY Index Options'!$I:$I,"Weekly*")+SUMIFS('NSE - NIFTY Index Options'!$M:$M,'NSE - NIFTY Index Options'!$C:$C,$A26,'NSE - NIFTY Index Options'!$B:$B,B$4,'NSE - NIFTY Index Options'!$I:$I,"MDAW*")+SUMIFS('NSE - Other Index Options'!$M:$M,'NSE - Other Index Options'!$C:$C,$A26,'NSE - Other Index Options'!$B:$B,B$4,'NSE - Other Index Options'!$I:$I,"Weekly*")+SUMIFS('NSE - Other Index Options'!$M:$M,'NSE - Other Index Options'!$C:$C,$A26,'NSE - Other Index Options'!$B:$B,B$4,'NSE - Other Index Options'!$I:$I,"MDAW*"))</f>
        <v/>
      </c>
      <c r="C26" s="26">
        <f>IF(SUMIFS('NSE - NIFTY Index Options'!$M:$M,'NSE - NIFTY Index Options'!$C:$C,$A26,'NSE - NIFTY Index Options'!$B:$B,C$4,'NSE - NIFTY Index Options'!$I:$I,"Weekly*")+SUMIFS('NSE - NIFTY Index Options'!$M:$M,'NSE - NIFTY Index Options'!$C:$C,$A26,'NSE - NIFTY Index Options'!$B:$B,C$4,'NSE - NIFTY Index Options'!$I:$I,"MDAW*")+SUMIFS('NSE - Other Index Options'!$M:$M,'NSE - Other Index Options'!$C:$C,$A26,'NSE - Other Index Options'!$B:$B,C$4,'NSE - Other Index Options'!$I:$I,"Weekly*")+SUMIFS('NSE - Other Index Options'!$M:$M,'NSE - Other Index Options'!$C:$C,$A26,'NSE - Other Index Options'!$B:$B,C$4,'NSE - Other Index Options'!$I:$I,"MDAW*")=0,"",SUMIFS('NSE - NIFTY Index Options'!$M:$M,'NSE - NIFTY Index Options'!$C:$C,$A26,'NSE - NIFTY Index Options'!$B:$B,C$4,'NSE - NIFTY Index Options'!$I:$I,"Weekly*")+SUMIFS('NSE - NIFTY Index Options'!$M:$M,'NSE - NIFTY Index Options'!$C:$C,$A26,'NSE - NIFTY Index Options'!$B:$B,C$4,'NSE - NIFTY Index Options'!$I:$I,"MDAW*")+SUMIFS('NSE - Other Index Options'!$M:$M,'NSE - Other Index Options'!$C:$C,$A26,'NSE - Other Index Options'!$B:$B,C$4,'NSE - Other Index Options'!$I:$I,"Weekly*")+SUMIFS('NSE - Other Index Options'!$M:$M,'NSE - Other Index Options'!$C:$C,$A26,'NSE - Other Index Options'!$B:$B,C$4,'NSE - Other Index Options'!$I:$I,"MDAW*"))</f>
        <v/>
      </c>
      <c r="D26" s="26">
        <f>IF(SUMIFS('NSE - NIFTY Index Options'!$M:$M,'NSE - NIFTY Index Options'!$C:$C,$A26,'NSE - NIFTY Index Options'!$B:$B,D$4,'NSE - NIFTY Index Options'!$I:$I,"Weekly*")+SUMIFS('NSE - NIFTY Index Options'!$M:$M,'NSE - NIFTY Index Options'!$C:$C,$A26,'NSE - NIFTY Index Options'!$B:$B,D$4,'NSE - NIFTY Index Options'!$I:$I,"MDAW*")+SUMIFS('NSE - Other Index Options'!$M:$M,'NSE - Other Index Options'!$C:$C,$A26,'NSE - Other Index Options'!$B:$B,D$4,'NSE - Other Index Options'!$I:$I,"Weekly*")+SUMIFS('NSE - Other Index Options'!$M:$M,'NSE - Other Index Options'!$C:$C,$A26,'NSE - Other Index Options'!$B:$B,D$4,'NSE - Other Index Options'!$I:$I,"MDAW*")=0,"",SUMIFS('NSE - NIFTY Index Options'!$M:$M,'NSE - NIFTY Index Options'!$C:$C,$A26,'NSE - NIFTY Index Options'!$B:$B,D$4,'NSE - NIFTY Index Options'!$I:$I,"Weekly*")+SUMIFS('NSE - NIFTY Index Options'!$M:$M,'NSE - NIFTY Index Options'!$C:$C,$A26,'NSE - NIFTY Index Options'!$B:$B,D$4,'NSE - NIFTY Index Options'!$I:$I,"MDAW*")+SUMIFS('NSE - Other Index Options'!$M:$M,'NSE - Other Index Options'!$C:$C,$A26,'NSE - Other Index Options'!$B:$B,D$4,'NSE - Other Index Options'!$I:$I,"Weekly*")+SUMIFS('NSE - Other Index Options'!$M:$M,'NSE - Other Index Options'!$C:$C,$A26,'NSE - Other Index Options'!$B:$B,D$4,'NSE - Other Index Options'!$I:$I,"MDAW*"))</f>
        <v/>
      </c>
      <c r="E26" s="26">
        <f>IF(SUMIFS('NSE - NIFTY Index Options'!$M:$M,'NSE - NIFTY Index Options'!$C:$C,$A26,'NSE - NIFTY Index Options'!$B:$B,E$4,'NSE - NIFTY Index Options'!$I:$I,"Weekly*")+SUMIFS('NSE - NIFTY Index Options'!$M:$M,'NSE - NIFTY Index Options'!$C:$C,$A26,'NSE - NIFTY Index Options'!$B:$B,E$4,'NSE - NIFTY Index Options'!$I:$I,"MDAW*")+SUMIFS('NSE - Other Index Options'!$M:$M,'NSE - Other Index Options'!$C:$C,$A26,'NSE - Other Index Options'!$B:$B,E$4,'NSE - Other Index Options'!$I:$I,"Weekly*")+SUMIFS('NSE - Other Index Options'!$M:$M,'NSE - Other Index Options'!$C:$C,$A26,'NSE - Other Index Options'!$B:$B,E$4,'NSE - Other Index Options'!$I:$I,"MDAW*")=0,"",SUMIFS('NSE - NIFTY Index Options'!$M:$M,'NSE - NIFTY Index Options'!$C:$C,$A26,'NSE - NIFTY Index Options'!$B:$B,E$4,'NSE - NIFTY Index Options'!$I:$I,"Weekly*")+SUMIFS('NSE - NIFTY Index Options'!$M:$M,'NSE - NIFTY Index Options'!$C:$C,$A26,'NSE - NIFTY Index Options'!$B:$B,E$4,'NSE - NIFTY Index Options'!$I:$I,"MDAW*")+SUMIFS('NSE - Other Index Options'!$M:$M,'NSE - Other Index Options'!$C:$C,$A26,'NSE - Other Index Options'!$B:$B,E$4,'NSE - Other Index Options'!$I:$I,"Weekly*")+SUMIFS('NSE - Other Index Options'!$M:$M,'NSE - Other Index Options'!$C:$C,$A26,'NSE - Other Index Options'!$B:$B,E$4,'NSE - Other Index Options'!$I:$I,"MDAW*"))</f>
        <v/>
      </c>
      <c r="F26" s="26">
        <f>IF(SUMIFS('NSE - NIFTY Index Options'!$M:$M,'NSE - NIFTY Index Options'!$C:$C,$A26,'NSE - NIFTY Index Options'!$B:$B,F$4,'NSE - NIFTY Index Options'!$I:$I,"Weekly*")+SUMIFS('NSE - NIFTY Index Options'!$M:$M,'NSE - NIFTY Index Options'!$C:$C,$A26,'NSE - NIFTY Index Options'!$B:$B,F$4,'NSE - NIFTY Index Options'!$I:$I,"MDAW*")+SUMIFS('NSE - Other Index Options'!$M:$M,'NSE - Other Index Options'!$C:$C,$A26,'NSE - Other Index Options'!$B:$B,F$4,'NSE - Other Index Options'!$I:$I,"Weekly*")+SUMIFS('NSE - Other Index Options'!$M:$M,'NSE - Other Index Options'!$C:$C,$A26,'NSE - Other Index Options'!$B:$B,F$4,'NSE - Other Index Options'!$I:$I,"MDAW*")=0,"",SUMIFS('NSE - NIFTY Index Options'!$M:$M,'NSE - NIFTY Index Options'!$C:$C,$A26,'NSE - NIFTY Index Options'!$B:$B,F$4,'NSE - NIFTY Index Options'!$I:$I,"Weekly*")+SUMIFS('NSE - NIFTY Index Options'!$M:$M,'NSE - NIFTY Index Options'!$C:$C,$A26,'NSE - NIFTY Index Options'!$B:$B,F$4,'NSE - NIFTY Index Options'!$I:$I,"MDAW*")+SUMIFS('NSE - Other Index Options'!$M:$M,'NSE - Other Index Options'!$C:$C,$A26,'NSE - Other Index Options'!$B:$B,F$4,'NSE - Other Index Options'!$I:$I,"Weekly*")+SUMIFS('NSE - Other Index Options'!$M:$M,'NSE - Other Index Options'!$C:$C,$A26,'NSE - Other Index Options'!$B:$B,F$4,'NSE - Other Index Options'!$I:$I,"MDAW*"))</f>
        <v/>
      </c>
      <c r="G26" s="26">
        <f>IF(SUMIFS('NSE - NIFTY Index Options'!$M:$M,'NSE - NIFTY Index Options'!$C:$C,$A26,'NSE - NIFTY Index Options'!$B:$B,G$4,'NSE - NIFTY Index Options'!$I:$I,"Weekly*")+SUMIFS('NSE - NIFTY Index Options'!$M:$M,'NSE - NIFTY Index Options'!$C:$C,$A26,'NSE - NIFTY Index Options'!$B:$B,G$4,'NSE - NIFTY Index Options'!$I:$I,"MDAW*")+SUMIFS('NSE - Other Index Options'!$M:$M,'NSE - Other Index Options'!$C:$C,$A26,'NSE - Other Index Options'!$B:$B,G$4,'NSE - Other Index Options'!$I:$I,"Weekly*")+SUMIFS('NSE - Other Index Options'!$M:$M,'NSE - Other Index Options'!$C:$C,$A26,'NSE - Other Index Options'!$B:$B,G$4,'NSE - Other Index Options'!$I:$I,"MDAW*")=0,"",SUMIFS('NSE - NIFTY Index Options'!$M:$M,'NSE - NIFTY Index Options'!$C:$C,$A26,'NSE - NIFTY Index Options'!$B:$B,G$4,'NSE - NIFTY Index Options'!$I:$I,"Weekly*")+SUMIFS('NSE - NIFTY Index Options'!$M:$M,'NSE - NIFTY Index Options'!$C:$C,$A26,'NSE - NIFTY Index Options'!$B:$B,G$4,'NSE - NIFTY Index Options'!$I:$I,"MDAW*")+SUMIFS('NSE - Other Index Options'!$M:$M,'NSE - Other Index Options'!$C:$C,$A26,'NSE - Other Index Options'!$B:$B,G$4,'NSE - Other Index Options'!$I:$I,"Weekly*")+SUMIFS('NSE - Other Index Options'!$M:$M,'NSE - Other Index Options'!$C:$C,$A26,'NSE - Other Index Options'!$B:$B,G$4,'NSE - Other Index Options'!$I:$I,"MDAW*"))</f>
        <v/>
      </c>
      <c r="H26" s="26">
        <f>IF(SUM(B26:G26)=0,"",SUM(B26:G26))</f>
        <v/>
      </c>
    </row>
    <row r="27">
      <c r="A27" t="inlineStr">
        <is>
          <t>Week3-Jan-2026</t>
        </is>
      </c>
      <c r="B27" s="26">
        <f>IF(SUMIFS('NSE - NIFTY Index Options'!$M:$M,'NSE - NIFTY Index Options'!$C:$C,$A27,'NSE - NIFTY Index Options'!$B:$B,B$4,'NSE - NIFTY Index Options'!$I:$I,"Weekly*")+SUMIFS('NSE - NIFTY Index Options'!$M:$M,'NSE - NIFTY Index Options'!$C:$C,$A27,'NSE - NIFTY Index Options'!$B:$B,B$4,'NSE - NIFTY Index Options'!$I:$I,"MDAW*")+SUMIFS('NSE - Other Index Options'!$M:$M,'NSE - Other Index Options'!$C:$C,$A27,'NSE - Other Index Options'!$B:$B,B$4,'NSE - Other Index Options'!$I:$I,"Weekly*")+SUMIFS('NSE - Other Index Options'!$M:$M,'NSE - Other Index Options'!$C:$C,$A27,'NSE - Other Index Options'!$B:$B,B$4,'NSE - Other Index Options'!$I:$I,"MDAW*")=0,"",SUMIFS('NSE - NIFTY Index Options'!$M:$M,'NSE - NIFTY Index Options'!$C:$C,$A27,'NSE - NIFTY Index Options'!$B:$B,B$4,'NSE - NIFTY Index Options'!$I:$I,"Weekly*")+SUMIFS('NSE - NIFTY Index Options'!$M:$M,'NSE - NIFTY Index Options'!$C:$C,$A27,'NSE - NIFTY Index Options'!$B:$B,B$4,'NSE - NIFTY Index Options'!$I:$I,"MDAW*")+SUMIFS('NSE - Other Index Options'!$M:$M,'NSE - Other Index Options'!$C:$C,$A27,'NSE - Other Index Options'!$B:$B,B$4,'NSE - Other Index Options'!$I:$I,"Weekly*")+SUMIFS('NSE - Other Index Options'!$M:$M,'NSE - Other Index Options'!$C:$C,$A27,'NSE - Other Index Options'!$B:$B,B$4,'NSE - Other Index Options'!$I:$I,"MDAW*"))</f>
        <v/>
      </c>
      <c r="C27" s="26">
        <f>IF(SUMIFS('NSE - NIFTY Index Options'!$M:$M,'NSE - NIFTY Index Options'!$C:$C,$A27,'NSE - NIFTY Index Options'!$B:$B,C$4,'NSE - NIFTY Index Options'!$I:$I,"Weekly*")+SUMIFS('NSE - NIFTY Index Options'!$M:$M,'NSE - NIFTY Index Options'!$C:$C,$A27,'NSE - NIFTY Index Options'!$B:$B,C$4,'NSE - NIFTY Index Options'!$I:$I,"MDAW*")+SUMIFS('NSE - Other Index Options'!$M:$M,'NSE - Other Index Options'!$C:$C,$A27,'NSE - Other Index Options'!$B:$B,C$4,'NSE - Other Index Options'!$I:$I,"Weekly*")+SUMIFS('NSE - Other Index Options'!$M:$M,'NSE - Other Index Options'!$C:$C,$A27,'NSE - Other Index Options'!$B:$B,C$4,'NSE - Other Index Options'!$I:$I,"MDAW*")=0,"",SUMIFS('NSE - NIFTY Index Options'!$M:$M,'NSE - NIFTY Index Options'!$C:$C,$A27,'NSE - NIFTY Index Options'!$B:$B,C$4,'NSE - NIFTY Index Options'!$I:$I,"Weekly*")+SUMIFS('NSE - NIFTY Index Options'!$M:$M,'NSE - NIFTY Index Options'!$C:$C,$A27,'NSE - NIFTY Index Options'!$B:$B,C$4,'NSE - NIFTY Index Options'!$I:$I,"MDAW*")+SUMIFS('NSE - Other Index Options'!$M:$M,'NSE - Other Index Options'!$C:$C,$A27,'NSE - Other Index Options'!$B:$B,C$4,'NSE - Other Index Options'!$I:$I,"Weekly*")+SUMIFS('NSE - Other Index Options'!$M:$M,'NSE - Other Index Options'!$C:$C,$A27,'NSE - Other Index Options'!$B:$B,C$4,'NSE - Other Index Options'!$I:$I,"MDAW*"))</f>
        <v/>
      </c>
      <c r="D27" s="26">
        <f>IF(SUMIFS('NSE - NIFTY Index Options'!$M:$M,'NSE - NIFTY Index Options'!$C:$C,$A27,'NSE - NIFTY Index Options'!$B:$B,D$4,'NSE - NIFTY Index Options'!$I:$I,"Weekly*")+SUMIFS('NSE - NIFTY Index Options'!$M:$M,'NSE - NIFTY Index Options'!$C:$C,$A27,'NSE - NIFTY Index Options'!$B:$B,D$4,'NSE - NIFTY Index Options'!$I:$I,"MDAW*")+SUMIFS('NSE - Other Index Options'!$M:$M,'NSE - Other Index Options'!$C:$C,$A27,'NSE - Other Index Options'!$B:$B,D$4,'NSE - Other Index Options'!$I:$I,"Weekly*")+SUMIFS('NSE - Other Index Options'!$M:$M,'NSE - Other Index Options'!$C:$C,$A27,'NSE - Other Index Options'!$B:$B,D$4,'NSE - Other Index Options'!$I:$I,"MDAW*")=0,"",SUMIFS('NSE - NIFTY Index Options'!$M:$M,'NSE - NIFTY Index Options'!$C:$C,$A27,'NSE - NIFTY Index Options'!$B:$B,D$4,'NSE - NIFTY Index Options'!$I:$I,"Weekly*")+SUMIFS('NSE - NIFTY Index Options'!$M:$M,'NSE - NIFTY Index Options'!$C:$C,$A27,'NSE - NIFTY Index Options'!$B:$B,D$4,'NSE - NIFTY Index Options'!$I:$I,"MDAW*")+SUMIFS('NSE - Other Index Options'!$M:$M,'NSE - Other Index Options'!$C:$C,$A27,'NSE - Other Index Options'!$B:$B,D$4,'NSE - Other Index Options'!$I:$I,"Weekly*")+SUMIFS('NSE - Other Index Options'!$M:$M,'NSE - Other Index Options'!$C:$C,$A27,'NSE - Other Index Options'!$B:$B,D$4,'NSE - Other Index Options'!$I:$I,"MDAW*"))</f>
        <v/>
      </c>
      <c r="E27" s="26">
        <f>IF(SUMIFS('NSE - NIFTY Index Options'!$M:$M,'NSE - NIFTY Index Options'!$C:$C,$A27,'NSE - NIFTY Index Options'!$B:$B,E$4,'NSE - NIFTY Index Options'!$I:$I,"Weekly*")+SUMIFS('NSE - NIFTY Index Options'!$M:$M,'NSE - NIFTY Index Options'!$C:$C,$A27,'NSE - NIFTY Index Options'!$B:$B,E$4,'NSE - NIFTY Index Options'!$I:$I,"MDAW*")+SUMIFS('NSE - Other Index Options'!$M:$M,'NSE - Other Index Options'!$C:$C,$A27,'NSE - Other Index Options'!$B:$B,E$4,'NSE - Other Index Options'!$I:$I,"Weekly*")+SUMIFS('NSE - Other Index Options'!$M:$M,'NSE - Other Index Options'!$C:$C,$A27,'NSE - Other Index Options'!$B:$B,E$4,'NSE - Other Index Options'!$I:$I,"MDAW*")=0,"",SUMIFS('NSE - NIFTY Index Options'!$M:$M,'NSE - NIFTY Index Options'!$C:$C,$A27,'NSE - NIFTY Index Options'!$B:$B,E$4,'NSE - NIFTY Index Options'!$I:$I,"Weekly*")+SUMIFS('NSE - NIFTY Index Options'!$M:$M,'NSE - NIFTY Index Options'!$C:$C,$A27,'NSE - NIFTY Index Options'!$B:$B,E$4,'NSE - NIFTY Index Options'!$I:$I,"MDAW*")+SUMIFS('NSE - Other Index Options'!$M:$M,'NSE - Other Index Options'!$C:$C,$A27,'NSE - Other Index Options'!$B:$B,E$4,'NSE - Other Index Options'!$I:$I,"Weekly*")+SUMIFS('NSE - Other Index Options'!$M:$M,'NSE - Other Index Options'!$C:$C,$A27,'NSE - Other Index Options'!$B:$B,E$4,'NSE - Other Index Options'!$I:$I,"MDAW*"))</f>
        <v/>
      </c>
      <c r="F27" s="26">
        <f>IF(SUMIFS('NSE - NIFTY Index Options'!$M:$M,'NSE - NIFTY Index Options'!$C:$C,$A27,'NSE - NIFTY Index Options'!$B:$B,F$4,'NSE - NIFTY Index Options'!$I:$I,"Weekly*")+SUMIFS('NSE - NIFTY Index Options'!$M:$M,'NSE - NIFTY Index Options'!$C:$C,$A27,'NSE - NIFTY Index Options'!$B:$B,F$4,'NSE - NIFTY Index Options'!$I:$I,"MDAW*")+SUMIFS('NSE - Other Index Options'!$M:$M,'NSE - Other Index Options'!$C:$C,$A27,'NSE - Other Index Options'!$B:$B,F$4,'NSE - Other Index Options'!$I:$I,"Weekly*")+SUMIFS('NSE - Other Index Options'!$M:$M,'NSE - Other Index Options'!$C:$C,$A27,'NSE - Other Index Options'!$B:$B,F$4,'NSE - Other Index Options'!$I:$I,"MDAW*")=0,"",SUMIFS('NSE - NIFTY Index Options'!$M:$M,'NSE - NIFTY Index Options'!$C:$C,$A27,'NSE - NIFTY Index Options'!$B:$B,F$4,'NSE - NIFTY Index Options'!$I:$I,"Weekly*")+SUMIFS('NSE - NIFTY Index Options'!$M:$M,'NSE - NIFTY Index Options'!$C:$C,$A27,'NSE - NIFTY Index Options'!$B:$B,F$4,'NSE - NIFTY Index Options'!$I:$I,"MDAW*")+SUMIFS('NSE - Other Index Options'!$M:$M,'NSE - Other Index Options'!$C:$C,$A27,'NSE - Other Index Options'!$B:$B,F$4,'NSE - Other Index Options'!$I:$I,"Weekly*")+SUMIFS('NSE - Other Index Options'!$M:$M,'NSE - Other Index Options'!$C:$C,$A27,'NSE - Other Index Options'!$B:$B,F$4,'NSE - Other Index Options'!$I:$I,"MDAW*"))</f>
        <v/>
      </c>
      <c r="G27" s="26">
        <f>IF(SUMIFS('NSE - NIFTY Index Options'!$M:$M,'NSE - NIFTY Index Options'!$C:$C,$A27,'NSE - NIFTY Index Options'!$B:$B,G$4,'NSE - NIFTY Index Options'!$I:$I,"Weekly*")+SUMIFS('NSE - NIFTY Index Options'!$M:$M,'NSE - NIFTY Index Options'!$C:$C,$A27,'NSE - NIFTY Index Options'!$B:$B,G$4,'NSE - NIFTY Index Options'!$I:$I,"MDAW*")+SUMIFS('NSE - Other Index Options'!$M:$M,'NSE - Other Index Options'!$C:$C,$A27,'NSE - Other Index Options'!$B:$B,G$4,'NSE - Other Index Options'!$I:$I,"Weekly*")+SUMIFS('NSE - Other Index Options'!$M:$M,'NSE - Other Index Options'!$C:$C,$A27,'NSE - Other Index Options'!$B:$B,G$4,'NSE - Other Index Options'!$I:$I,"MDAW*")=0,"",SUMIFS('NSE - NIFTY Index Options'!$M:$M,'NSE - NIFTY Index Options'!$C:$C,$A27,'NSE - NIFTY Index Options'!$B:$B,G$4,'NSE - NIFTY Index Options'!$I:$I,"Weekly*")+SUMIFS('NSE - NIFTY Index Options'!$M:$M,'NSE - NIFTY Index Options'!$C:$C,$A27,'NSE - NIFTY Index Options'!$B:$B,G$4,'NSE - NIFTY Index Options'!$I:$I,"MDAW*")+SUMIFS('NSE - Other Index Options'!$M:$M,'NSE - Other Index Options'!$C:$C,$A27,'NSE - Other Index Options'!$B:$B,G$4,'NSE - Other Index Options'!$I:$I,"Weekly*")+SUMIFS('NSE - Other Index Options'!$M:$M,'NSE - Other Index Options'!$C:$C,$A27,'NSE - Other Index Options'!$B:$B,G$4,'NSE - Other Index Options'!$I:$I,"MDAW*"))</f>
        <v/>
      </c>
      <c r="H27" s="26">
        <f>IF(SUM(B27:G27)=0,"",SUM(B27:G27))</f>
        <v/>
      </c>
    </row>
    <row r="28">
      <c r="A28" t="inlineStr">
        <is>
          <t>Week4-Jan-2026</t>
        </is>
      </c>
      <c r="B28" s="26">
        <f>IF(SUMIFS('NSE - NIFTY Index Options'!$M:$M,'NSE - NIFTY Index Options'!$C:$C,$A28,'NSE - NIFTY Index Options'!$B:$B,B$4,'NSE - NIFTY Index Options'!$I:$I,"Weekly*")+SUMIFS('NSE - NIFTY Index Options'!$M:$M,'NSE - NIFTY Index Options'!$C:$C,$A28,'NSE - NIFTY Index Options'!$B:$B,B$4,'NSE - NIFTY Index Options'!$I:$I,"MDAW*")+SUMIFS('NSE - Other Index Options'!$M:$M,'NSE - Other Index Options'!$C:$C,$A28,'NSE - Other Index Options'!$B:$B,B$4,'NSE - Other Index Options'!$I:$I,"Weekly*")+SUMIFS('NSE - Other Index Options'!$M:$M,'NSE - Other Index Options'!$C:$C,$A28,'NSE - Other Index Options'!$B:$B,B$4,'NSE - Other Index Options'!$I:$I,"MDAW*")=0,"",SUMIFS('NSE - NIFTY Index Options'!$M:$M,'NSE - NIFTY Index Options'!$C:$C,$A28,'NSE - NIFTY Index Options'!$B:$B,B$4,'NSE - NIFTY Index Options'!$I:$I,"Weekly*")+SUMIFS('NSE - NIFTY Index Options'!$M:$M,'NSE - NIFTY Index Options'!$C:$C,$A28,'NSE - NIFTY Index Options'!$B:$B,B$4,'NSE - NIFTY Index Options'!$I:$I,"MDAW*")+SUMIFS('NSE - Other Index Options'!$M:$M,'NSE - Other Index Options'!$C:$C,$A28,'NSE - Other Index Options'!$B:$B,B$4,'NSE - Other Index Options'!$I:$I,"Weekly*")+SUMIFS('NSE - Other Index Options'!$M:$M,'NSE - Other Index Options'!$C:$C,$A28,'NSE - Other Index Options'!$B:$B,B$4,'NSE - Other Index Options'!$I:$I,"MDAW*"))</f>
        <v/>
      </c>
      <c r="C28" s="26">
        <f>IF(SUMIFS('NSE - NIFTY Index Options'!$M:$M,'NSE - NIFTY Index Options'!$C:$C,$A28,'NSE - NIFTY Index Options'!$B:$B,C$4,'NSE - NIFTY Index Options'!$I:$I,"Weekly*")+SUMIFS('NSE - NIFTY Index Options'!$M:$M,'NSE - NIFTY Index Options'!$C:$C,$A28,'NSE - NIFTY Index Options'!$B:$B,C$4,'NSE - NIFTY Index Options'!$I:$I,"MDAW*")+SUMIFS('NSE - Other Index Options'!$M:$M,'NSE - Other Index Options'!$C:$C,$A28,'NSE - Other Index Options'!$B:$B,C$4,'NSE - Other Index Options'!$I:$I,"Weekly*")+SUMIFS('NSE - Other Index Options'!$M:$M,'NSE - Other Index Options'!$C:$C,$A28,'NSE - Other Index Options'!$B:$B,C$4,'NSE - Other Index Options'!$I:$I,"MDAW*")=0,"",SUMIFS('NSE - NIFTY Index Options'!$M:$M,'NSE - NIFTY Index Options'!$C:$C,$A28,'NSE - NIFTY Index Options'!$B:$B,C$4,'NSE - NIFTY Index Options'!$I:$I,"Weekly*")+SUMIFS('NSE - NIFTY Index Options'!$M:$M,'NSE - NIFTY Index Options'!$C:$C,$A28,'NSE - NIFTY Index Options'!$B:$B,C$4,'NSE - NIFTY Index Options'!$I:$I,"MDAW*")+SUMIFS('NSE - Other Index Options'!$M:$M,'NSE - Other Index Options'!$C:$C,$A28,'NSE - Other Index Options'!$B:$B,C$4,'NSE - Other Index Options'!$I:$I,"Weekly*")+SUMIFS('NSE - Other Index Options'!$M:$M,'NSE - Other Index Options'!$C:$C,$A28,'NSE - Other Index Options'!$B:$B,C$4,'NSE - Other Index Options'!$I:$I,"MDAW*"))</f>
        <v/>
      </c>
      <c r="D28" s="26">
        <f>IF(SUMIFS('NSE - NIFTY Index Options'!$M:$M,'NSE - NIFTY Index Options'!$C:$C,$A28,'NSE - NIFTY Index Options'!$B:$B,D$4,'NSE - NIFTY Index Options'!$I:$I,"Weekly*")+SUMIFS('NSE - NIFTY Index Options'!$M:$M,'NSE - NIFTY Index Options'!$C:$C,$A28,'NSE - NIFTY Index Options'!$B:$B,D$4,'NSE - NIFTY Index Options'!$I:$I,"MDAW*")+SUMIFS('NSE - Other Index Options'!$M:$M,'NSE - Other Index Options'!$C:$C,$A28,'NSE - Other Index Options'!$B:$B,D$4,'NSE - Other Index Options'!$I:$I,"Weekly*")+SUMIFS('NSE - Other Index Options'!$M:$M,'NSE - Other Index Options'!$C:$C,$A28,'NSE - Other Index Options'!$B:$B,D$4,'NSE - Other Index Options'!$I:$I,"MDAW*")=0,"",SUMIFS('NSE - NIFTY Index Options'!$M:$M,'NSE - NIFTY Index Options'!$C:$C,$A28,'NSE - NIFTY Index Options'!$B:$B,D$4,'NSE - NIFTY Index Options'!$I:$I,"Weekly*")+SUMIFS('NSE - NIFTY Index Options'!$M:$M,'NSE - NIFTY Index Options'!$C:$C,$A28,'NSE - NIFTY Index Options'!$B:$B,D$4,'NSE - NIFTY Index Options'!$I:$I,"MDAW*")+SUMIFS('NSE - Other Index Options'!$M:$M,'NSE - Other Index Options'!$C:$C,$A28,'NSE - Other Index Options'!$B:$B,D$4,'NSE - Other Index Options'!$I:$I,"Weekly*")+SUMIFS('NSE - Other Index Options'!$M:$M,'NSE - Other Index Options'!$C:$C,$A28,'NSE - Other Index Options'!$B:$B,D$4,'NSE - Other Index Options'!$I:$I,"MDAW*"))</f>
        <v/>
      </c>
      <c r="E28" s="26">
        <f>IF(SUMIFS('NSE - NIFTY Index Options'!$M:$M,'NSE - NIFTY Index Options'!$C:$C,$A28,'NSE - NIFTY Index Options'!$B:$B,E$4,'NSE - NIFTY Index Options'!$I:$I,"Weekly*")+SUMIFS('NSE - NIFTY Index Options'!$M:$M,'NSE - NIFTY Index Options'!$C:$C,$A28,'NSE - NIFTY Index Options'!$B:$B,E$4,'NSE - NIFTY Index Options'!$I:$I,"MDAW*")+SUMIFS('NSE - Other Index Options'!$M:$M,'NSE - Other Index Options'!$C:$C,$A28,'NSE - Other Index Options'!$B:$B,E$4,'NSE - Other Index Options'!$I:$I,"Weekly*")+SUMIFS('NSE - Other Index Options'!$M:$M,'NSE - Other Index Options'!$C:$C,$A28,'NSE - Other Index Options'!$B:$B,E$4,'NSE - Other Index Options'!$I:$I,"MDAW*")=0,"",SUMIFS('NSE - NIFTY Index Options'!$M:$M,'NSE - NIFTY Index Options'!$C:$C,$A28,'NSE - NIFTY Index Options'!$B:$B,E$4,'NSE - NIFTY Index Options'!$I:$I,"Weekly*")+SUMIFS('NSE - NIFTY Index Options'!$M:$M,'NSE - NIFTY Index Options'!$C:$C,$A28,'NSE - NIFTY Index Options'!$B:$B,E$4,'NSE - NIFTY Index Options'!$I:$I,"MDAW*")+SUMIFS('NSE - Other Index Options'!$M:$M,'NSE - Other Index Options'!$C:$C,$A28,'NSE - Other Index Options'!$B:$B,E$4,'NSE - Other Index Options'!$I:$I,"Weekly*")+SUMIFS('NSE - Other Index Options'!$M:$M,'NSE - Other Index Options'!$C:$C,$A28,'NSE - Other Index Options'!$B:$B,E$4,'NSE - Other Index Options'!$I:$I,"MDAW*"))</f>
        <v/>
      </c>
      <c r="F28" s="26">
        <f>IF(SUMIFS('NSE - NIFTY Index Options'!$M:$M,'NSE - NIFTY Index Options'!$C:$C,$A28,'NSE - NIFTY Index Options'!$B:$B,F$4,'NSE - NIFTY Index Options'!$I:$I,"Weekly*")+SUMIFS('NSE - NIFTY Index Options'!$M:$M,'NSE - NIFTY Index Options'!$C:$C,$A28,'NSE - NIFTY Index Options'!$B:$B,F$4,'NSE - NIFTY Index Options'!$I:$I,"MDAW*")+SUMIFS('NSE - Other Index Options'!$M:$M,'NSE - Other Index Options'!$C:$C,$A28,'NSE - Other Index Options'!$B:$B,F$4,'NSE - Other Index Options'!$I:$I,"Weekly*")+SUMIFS('NSE - Other Index Options'!$M:$M,'NSE - Other Index Options'!$C:$C,$A28,'NSE - Other Index Options'!$B:$B,F$4,'NSE - Other Index Options'!$I:$I,"MDAW*")=0,"",SUMIFS('NSE - NIFTY Index Options'!$M:$M,'NSE - NIFTY Index Options'!$C:$C,$A28,'NSE - NIFTY Index Options'!$B:$B,F$4,'NSE - NIFTY Index Options'!$I:$I,"Weekly*")+SUMIFS('NSE - NIFTY Index Options'!$M:$M,'NSE - NIFTY Index Options'!$C:$C,$A28,'NSE - NIFTY Index Options'!$B:$B,F$4,'NSE - NIFTY Index Options'!$I:$I,"MDAW*")+SUMIFS('NSE - Other Index Options'!$M:$M,'NSE - Other Index Options'!$C:$C,$A28,'NSE - Other Index Options'!$B:$B,F$4,'NSE - Other Index Options'!$I:$I,"Weekly*")+SUMIFS('NSE - Other Index Options'!$M:$M,'NSE - Other Index Options'!$C:$C,$A28,'NSE - Other Index Options'!$B:$B,F$4,'NSE - Other Index Options'!$I:$I,"MDAW*"))</f>
        <v/>
      </c>
      <c r="G28" s="26">
        <f>IF(SUMIFS('NSE - NIFTY Index Options'!$M:$M,'NSE - NIFTY Index Options'!$C:$C,$A28,'NSE - NIFTY Index Options'!$B:$B,G$4,'NSE - NIFTY Index Options'!$I:$I,"Weekly*")+SUMIFS('NSE - NIFTY Index Options'!$M:$M,'NSE - NIFTY Index Options'!$C:$C,$A28,'NSE - NIFTY Index Options'!$B:$B,G$4,'NSE - NIFTY Index Options'!$I:$I,"MDAW*")+SUMIFS('NSE - Other Index Options'!$M:$M,'NSE - Other Index Options'!$C:$C,$A28,'NSE - Other Index Options'!$B:$B,G$4,'NSE - Other Index Options'!$I:$I,"Weekly*")+SUMIFS('NSE - Other Index Options'!$M:$M,'NSE - Other Index Options'!$C:$C,$A28,'NSE - Other Index Options'!$B:$B,G$4,'NSE - Other Index Options'!$I:$I,"MDAW*")=0,"",SUMIFS('NSE - NIFTY Index Options'!$M:$M,'NSE - NIFTY Index Options'!$C:$C,$A28,'NSE - NIFTY Index Options'!$B:$B,G$4,'NSE - NIFTY Index Options'!$I:$I,"Weekly*")+SUMIFS('NSE - NIFTY Index Options'!$M:$M,'NSE - NIFTY Index Options'!$C:$C,$A28,'NSE - NIFTY Index Options'!$B:$B,G$4,'NSE - NIFTY Index Options'!$I:$I,"MDAW*")+SUMIFS('NSE - Other Index Options'!$M:$M,'NSE - Other Index Options'!$C:$C,$A28,'NSE - Other Index Options'!$B:$B,G$4,'NSE - Other Index Options'!$I:$I,"Weekly*")+SUMIFS('NSE - Other Index Options'!$M:$M,'NSE - Other Index Options'!$C:$C,$A28,'NSE - Other Index Options'!$B:$B,G$4,'NSE - Other Index Options'!$I:$I,"MDAW*"))</f>
        <v/>
      </c>
      <c r="H28" s="26">
        <f>IF(SUM(B28:G28)=0,"",SUM(B28:G28))</f>
        <v/>
      </c>
    </row>
    <row r="29">
      <c r="A29" t="inlineStr">
        <is>
          <t>Week5-Jan-2026</t>
        </is>
      </c>
      <c r="B29" s="26">
        <f>IF(SUMIFS('NSE - NIFTY Index Options'!$M:$M,'NSE - NIFTY Index Options'!$C:$C,$A29,'NSE - NIFTY Index Options'!$B:$B,B$4,'NSE - NIFTY Index Options'!$I:$I,"Weekly*")+SUMIFS('NSE - NIFTY Index Options'!$M:$M,'NSE - NIFTY Index Options'!$C:$C,$A29,'NSE - NIFTY Index Options'!$B:$B,B$4,'NSE - NIFTY Index Options'!$I:$I,"MDAW*")+SUMIFS('NSE - Other Index Options'!$M:$M,'NSE - Other Index Options'!$C:$C,$A29,'NSE - Other Index Options'!$B:$B,B$4,'NSE - Other Index Options'!$I:$I,"Weekly*")+SUMIFS('NSE - Other Index Options'!$M:$M,'NSE - Other Index Options'!$C:$C,$A29,'NSE - Other Index Options'!$B:$B,B$4,'NSE - Other Index Options'!$I:$I,"MDAW*")=0,"",SUMIFS('NSE - NIFTY Index Options'!$M:$M,'NSE - NIFTY Index Options'!$C:$C,$A29,'NSE - NIFTY Index Options'!$B:$B,B$4,'NSE - NIFTY Index Options'!$I:$I,"Weekly*")+SUMIFS('NSE - NIFTY Index Options'!$M:$M,'NSE - NIFTY Index Options'!$C:$C,$A29,'NSE - NIFTY Index Options'!$B:$B,B$4,'NSE - NIFTY Index Options'!$I:$I,"MDAW*")+SUMIFS('NSE - Other Index Options'!$M:$M,'NSE - Other Index Options'!$C:$C,$A29,'NSE - Other Index Options'!$B:$B,B$4,'NSE - Other Index Options'!$I:$I,"Weekly*")+SUMIFS('NSE - Other Index Options'!$M:$M,'NSE - Other Index Options'!$C:$C,$A29,'NSE - Other Index Options'!$B:$B,B$4,'NSE - Other Index Options'!$I:$I,"MDAW*"))</f>
        <v/>
      </c>
      <c r="C29" s="26">
        <f>IF(SUMIFS('NSE - NIFTY Index Options'!$M:$M,'NSE - NIFTY Index Options'!$C:$C,$A29,'NSE - NIFTY Index Options'!$B:$B,C$4,'NSE - NIFTY Index Options'!$I:$I,"Weekly*")+SUMIFS('NSE - NIFTY Index Options'!$M:$M,'NSE - NIFTY Index Options'!$C:$C,$A29,'NSE - NIFTY Index Options'!$B:$B,C$4,'NSE - NIFTY Index Options'!$I:$I,"MDAW*")+SUMIFS('NSE - Other Index Options'!$M:$M,'NSE - Other Index Options'!$C:$C,$A29,'NSE - Other Index Options'!$B:$B,C$4,'NSE - Other Index Options'!$I:$I,"Weekly*")+SUMIFS('NSE - Other Index Options'!$M:$M,'NSE - Other Index Options'!$C:$C,$A29,'NSE - Other Index Options'!$B:$B,C$4,'NSE - Other Index Options'!$I:$I,"MDAW*")=0,"",SUMIFS('NSE - NIFTY Index Options'!$M:$M,'NSE - NIFTY Index Options'!$C:$C,$A29,'NSE - NIFTY Index Options'!$B:$B,C$4,'NSE - NIFTY Index Options'!$I:$I,"Weekly*")+SUMIFS('NSE - NIFTY Index Options'!$M:$M,'NSE - NIFTY Index Options'!$C:$C,$A29,'NSE - NIFTY Index Options'!$B:$B,C$4,'NSE - NIFTY Index Options'!$I:$I,"MDAW*")+SUMIFS('NSE - Other Index Options'!$M:$M,'NSE - Other Index Options'!$C:$C,$A29,'NSE - Other Index Options'!$B:$B,C$4,'NSE - Other Index Options'!$I:$I,"Weekly*")+SUMIFS('NSE - Other Index Options'!$M:$M,'NSE - Other Index Options'!$C:$C,$A29,'NSE - Other Index Options'!$B:$B,C$4,'NSE - Other Index Options'!$I:$I,"MDAW*"))</f>
        <v/>
      </c>
      <c r="D29" s="26">
        <f>IF(SUMIFS('NSE - NIFTY Index Options'!$M:$M,'NSE - NIFTY Index Options'!$C:$C,$A29,'NSE - NIFTY Index Options'!$B:$B,D$4,'NSE - NIFTY Index Options'!$I:$I,"Weekly*")+SUMIFS('NSE - NIFTY Index Options'!$M:$M,'NSE - NIFTY Index Options'!$C:$C,$A29,'NSE - NIFTY Index Options'!$B:$B,D$4,'NSE - NIFTY Index Options'!$I:$I,"MDAW*")+SUMIFS('NSE - Other Index Options'!$M:$M,'NSE - Other Index Options'!$C:$C,$A29,'NSE - Other Index Options'!$B:$B,D$4,'NSE - Other Index Options'!$I:$I,"Weekly*")+SUMIFS('NSE - Other Index Options'!$M:$M,'NSE - Other Index Options'!$C:$C,$A29,'NSE - Other Index Options'!$B:$B,D$4,'NSE - Other Index Options'!$I:$I,"MDAW*")=0,"",SUMIFS('NSE - NIFTY Index Options'!$M:$M,'NSE - NIFTY Index Options'!$C:$C,$A29,'NSE - NIFTY Index Options'!$B:$B,D$4,'NSE - NIFTY Index Options'!$I:$I,"Weekly*")+SUMIFS('NSE - NIFTY Index Options'!$M:$M,'NSE - NIFTY Index Options'!$C:$C,$A29,'NSE - NIFTY Index Options'!$B:$B,D$4,'NSE - NIFTY Index Options'!$I:$I,"MDAW*")+SUMIFS('NSE - Other Index Options'!$M:$M,'NSE - Other Index Options'!$C:$C,$A29,'NSE - Other Index Options'!$B:$B,D$4,'NSE - Other Index Options'!$I:$I,"Weekly*")+SUMIFS('NSE - Other Index Options'!$M:$M,'NSE - Other Index Options'!$C:$C,$A29,'NSE - Other Index Options'!$B:$B,D$4,'NSE - Other Index Options'!$I:$I,"MDAW*"))</f>
        <v/>
      </c>
      <c r="E29" s="26">
        <f>IF(SUMIFS('NSE - NIFTY Index Options'!$M:$M,'NSE - NIFTY Index Options'!$C:$C,$A29,'NSE - NIFTY Index Options'!$B:$B,E$4,'NSE - NIFTY Index Options'!$I:$I,"Weekly*")+SUMIFS('NSE - NIFTY Index Options'!$M:$M,'NSE - NIFTY Index Options'!$C:$C,$A29,'NSE - NIFTY Index Options'!$B:$B,E$4,'NSE - NIFTY Index Options'!$I:$I,"MDAW*")+SUMIFS('NSE - Other Index Options'!$M:$M,'NSE - Other Index Options'!$C:$C,$A29,'NSE - Other Index Options'!$B:$B,E$4,'NSE - Other Index Options'!$I:$I,"Weekly*")+SUMIFS('NSE - Other Index Options'!$M:$M,'NSE - Other Index Options'!$C:$C,$A29,'NSE - Other Index Options'!$B:$B,E$4,'NSE - Other Index Options'!$I:$I,"MDAW*")=0,"",SUMIFS('NSE - NIFTY Index Options'!$M:$M,'NSE - NIFTY Index Options'!$C:$C,$A29,'NSE - NIFTY Index Options'!$B:$B,E$4,'NSE - NIFTY Index Options'!$I:$I,"Weekly*")+SUMIFS('NSE - NIFTY Index Options'!$M:$M,'NSE - NIFTY Index Options'!$C:$C,$A29,'NSE - NIFTY Index Options'!$B:$B,E$4,'NSE - NIFTY Index Options'!$I:$I,"MDAW*")+SUMIFS('NSE - Other Index Options'!$M:$M,'NSE - Other Index Options'!$C:$C,$A29,'NSE - Other Index Options'!$B:$B,E$4,'NSE - Other Index Options'!$I:$I,"Weekly*")+SUMIFS('NSE - Other Index Options'!$M:$M,'NSE - Other Index Options'!$C:$C,$A29,'NSE - Other Index Options'!$B:$B,E$4,'NSE - Other Index Options'!$I:$I,"MDAW*"))</f>
        <v/>
      </c>
      <c r="F29" s="26">
        <f>IF(SUMIFS('NSE - NIFTY Index Options'!$M:$M,'NSE - NIFTY Index Options'!$C:$C,$A29,'NSE - NIFTY Index Options'!$B:$B,F$4,'NSE - NIFTY Index Options'!$I:$I,"Weekly*")+SUMIFS('NSE - NIFTY Index Options'!$M:$M,'NSE - NIFTY Index Options'!$C:$C,$A29,'NSE - NIFTY Index Options'!$B:$B,F$4,'NSE - NIFTY Index Options'!$I:$I,"MDAW*")+SUMIFS('NSE - Other Index Options'!$M:$M,'NSE - Other Index Options'!$C:$C,$A29,'NSE - Other Index Options'!$B:$B,F$4,'NSE - Other Index Options'!$I:$I,"Weekly*")+SUMIFS('NSE - Other Index Options'!$M:$M,'NSE - Other Index Options'!$C:$C,$A29,'NSE - Other Index Options'!$B:$B,F$4,'NSE - Other Index Options'!$I:$I,"MDAW*")=0,"",SUMIFS('NSE - NIFTY Index Options'!$M:$M,'NSE - NIFTY Index Options'!$C:$C,$A29,'NSE - NIFTY Index Options'!$B:$B,F$4,'NSE - NIFTY Index Options'!$I:$I,"Weekly*")+SUMIFS('NSE - NIFTY Index Options'!$M:$M,'NSE - NIFTY Index Options'!$C:$C,$A29,'NSE - NIFTY Index Options'!$B:$B,F$4,'NSE - NIFTY Index Options'!$I:$I,"MDAW*")+SUMIFS('NSE - Other Index Options'!$M:$M,'NSE - Other Index Options'!$C:$C,$A29,'NSE - Other Index Options'!$B:$B,F$4,'NSE - Other Index Options'!$I:$I,"Weekly*")+SUMIFS('NSE - Other Index Options'!$M:$M,'NSE - Other Index Options'!$C:$C,$A29,'NSE - Other Index Options'!$B:$B,F$4,'NSE - Other Index Options'!$I:$I,"MDAW*"))</f>
        <v/>
      </c>
      <c r="G29" s="26">
        <f>IF(SUMIFS('NSE - NIFTY Index Options'!$M:$M,'NSE - NIFTY Index Options'!$C:$C,$A29,'NSE - NIFTY Index Options'!$B:$B,G$4,'NSE - NIFTY Index Options'!$I:$I,"Weekly*")+SUMIFS('NSE - NIFTY Index Options'!$M:$M,'NSE - NIFTY Index Options'!$C:$C,$A29,'NSE - NIFTY Index Options'!$B:$B,G$4,'NSE - NIFTY Index Options'!$I:$I,"MDAW*")+SUMIFS('NSE - Other Index Options'!$M:$M,'NSE - Other Index Options'!$C:$C,$A29,'NSE - Other Index Options'!$B:$B,G$4,'NSE - Other Index Options'!$I:$I,"Weekly*")+SUMIFS('NSE - Other Index Options'!$M:$M,'NSE - Other Index Options'!$C:$C,$A29,'NSE - Other Index Options'!$B:$B,G$4,'NSE - Other Index Options'!$I:$I,"MDAW*")=0,"",SUMIFS('NSE - NIFTY Index Options'!$M:$M,'NSE - NIFTY Index Options'!$C:$C,$A29,'NSE - NIFTY Index Options'!$B:$B,G$4,'NSE - NIFTY Index Options'!$I:$I,"Weekly*")+SUMIFS('NSE - NIFTY Index Options'!$M:$M,'NSE - NIFTY Index Options'!$C:$C,$A29,'NSE - NIFTY Index Options'!$B:$B,G$4,'NSE - NIFTY Index Options'!$I:$I,"MDAW*")+SUMIFS('NSE - Other Index Options'!$M:$M,'NSE - Other Index Options'!$C:$C,$A29,'NSE - Other Index Options'!$B:$B,G$4,'NSE - Other Index Options'!$I:$I,"Weekly*")+SUMIFS('NSE - Other Index Options'!$M:$M,'NSE - Other Index Options'!$C:$C,$A29,'NSE - Other Index Options'!$B:$B,G$4,'NSE - Other Index Options'!$I:$I,"MDAW*"))</f>
        <v/>
      </c>
      <c r="H29" s="26">
        <f>IF(SUM(B29:G29)=0,"",SUM(B29:G29))</f>
        <v/>
      </c>
    </row>
    <row r="30">
      <c r="A30" t="inlineStr">
        <is>
          <t>Week1-Feb-2026</t>
        </is>
      </c>
      <c r="B30" s="26">
        <f>IF(SUMIFS('NSE - NIFTY Index Options'!$M:$M,'NSE - NIFTY Index Options'!$C:$C,$A30,'NSE - NIFTY Index Options'!$B:$B,B$4,'NSE - NIFTY Index Options'!$I:$I,"Weekly*")+SUMIFS('NSE - NIFTY Index Options'!$M:$M,'NSE - NIFTY Index Options'!$C:$C,$A30,'NSE - NIFTY Index Options'!$B:$B,B$4,'NSE - NIFTY Index Options'!$I:$I,"MDAW*")+SUMIFS('NSE - Other Index Options'!$M:$M,'NSE - Other Index Options'!$C:$C,$A30,'NSE - Other Index Options'!$B:$B,B$4,'NSE - Other Index Options'!$I:$I,"Weekly*")+SUMIFS('NSE - Other Index Options'!$M:$M,'NSE - Other Index Options'!$C:$C,$A30,'NSE - Other Index Options'!$B:$B,B$4,'NSE - Other Index Options'!$I:$I,"MDAW*")=0,"",SUMIFS('NSE - NIFTY Index Options'!$M:$M,'NSE - NIFTY Index Options'!$C:$C,$A30,'NSE - NIFTY Index Options'!$B:$B,B$4,'NSE - NIFTY Index Options'!$I:$I,"Weekly*")+SUMIFS('NSE - NIFTY Index Options'!$M:$M,'NSE - NIFTY Index Options'!$C:$C,$A30,'NSE - NIFTY Index Options'!$B:$B,B$4,'NSE - NIFTY Index Options'!$I:$I,"MDAW*")+SUMIFS('NSE - Other Index Options'!$M:$M,'NSE - Other Index Options'!$C:$C,$A30,'NSE - Other Index Options'!$B:$B,B$4,'NSE - Other Index Options'!$I:$I,"Weekly*")+SUMIFS('NSE - Other Index Options'!$M:$M,'NSE - Other Index Options'!$C:$C,$A30,'NSE - Other Index Options'!$B:$B,B$4,'NSE - Other Index Options'!$I:$I,"MDAW*"))</f>
        <v/>
      </c>
      <c r="C30" s="26">
        <f>IF(SUMIFS('NSE - NIFTY Index Options'!$M:$M,'NSE - NIFTY Index Options'!$C:$C,$A30,'NSE - NIFTY Index Options'!$B:$B,C$4,'NSE - NIFTY Index Options'!$I:$I,"Weekly*")+SUMIFS('NSE - NIFTY Index Options'!$M:$M,'NSE - NIFTY Index Options'!$C:$C,$A30,'NSE - NIFTY Index Options'!$B:$B,C$4,'NSE - NIFTY Index Options'!$I:$I,"MDAW*")+SUMIFS('NSE - Other Index Options'!$M:$M,'NSE - Other Index Options'!$C:$C,$A30,'NSE - Other Index Options'!$B:$B,C$4,'NSE - Other Index Options'!$I:$I,"Weekly*")+SUMIFS('NSE - Other Index Options'!$M:$M,'NSE - Other Index Options'!$C:$C,$A30,'NSE - Other Index Options'!$B:$B,C$4,'NSE - Other Index Options'!$I:$I,"MDAW*")=0,"",SUMIFS('NSE - NIFTY Index Options'!$M:$M,'NSE - NIFTY Index Options'!$C:$C,$A30,'NSE - NIFTY Index Options'!$B:$B,C$4,'NSE - NIFTY Index Options'!$I:$I,"Weekly*")+SUMIFS('NSE - NIFTY Index Options'!$M:$M,'NSE - NIFTY Index Options'!$C:$C,$A30,'NSE - NIFTY Index Options'!$B:$B,C$4,'NSE - NIFTY Index Options'!$I:$I,"MDAW*")+SUMIFS('NSE - Other Index Options'!$M:$M,'NSE - Other Index Options'!$C:$C,$A30,'NSE - Other Index Options'!$B:$B,C$4,'NSE - Other Index Options'!$I:$I,"Weekly*")+SUMIFS('NSE - Other Index Options'!$M:$M,'NSE - Other Index Options'!$C:$C,$A30,'NSE - Other Index Options'!$B:$B,C$4,'NSE - Other Index Options'!$I:$I,"MDAW*"))</f>
        <v/>
      </c>
      <c r="D30" s="26">
        <f>IF(SUMIFS('NSE - NIFTY Index Options'!$M:$M,'NSE - NIFTY Index Options'!$C:$C,$A30,'NSE - NIFTY Index Options'!$B:$B,D$4,'NSE - NIFTY Index Options'!$I:$I,"Weekly*")+SUMIFS('NSE - NIFTY Index Options'!$M:$M,'NSE - NIFTY Index Options'!$C:$C,$A30,'NSE - NIFTY Index Options'!$B:$B,D$4,'NSE - NIFTY Index Options'!$I:$I,"MDAW*")+SUMIFS('NSE - Other Index Options'!$M:$M,'NSE - Other Index Options'!$C:$C,$A30,'NSE - Other Index Options'!$B:$B,D$4,'NSE - Other Index Options'!$I:$I,"Weekly*")+SUMIFS('NSE - Other Index Options'!$M:$M,'NSE - Other Index Options'!$C:$C,$A30,'NSE - Other Index Options'!$B:$B,D$4,'NSE - Other Index Options'!$I:$I,"MDAW*")=0,"",SUMIFS('NSE - NIFTY Index Options'!$M:$M,'NSE - NIFTY Index Options'!$C:$C,$A30,'NSE - NIFTY Index Options'!$B:$B,D$4,'NSE - NIFTY Index Options'!$I:$I,"Weekly*")+SUMIFS('NSE - NIFTY Index Options'!$M:$M,'NSE - NIFTY Index Options'!$C:$C,$A30,'NSE - NIFTY Index Options'!$B:$B,D$4,'NSE - NIFTY Index Options'!$I:$I,"MDAW*")+SUMIFS('NSE - Other Index Options'!$M:$M,'NSE - Other Index Options'!$C:$C,$A30,'NSE - Other Index Options'!$B:$B,D$4,'NSE - Other Index Options'!$I:$I,"Weekly*")+SUMIFS('NSE - Other Index Options'!$M:$M,'NSE - Other Index Options'!$C:$C,$A30,'NSE - Other Index Options'!$B:$B,D$4,'NSE - Other Index Options'!$I:$I,"MDAW*"))</f>
        <v/>
      </c>
      <c r="E30" s="26">
        <f>IF(SUMIFS('NSE - NIFTY Index Options'!$M:$M,'NSE - NIFTY Index Options'!$C:$C,$A30,'NSE - NIFTY Index Options'!$B:$B,E$4,'NSE - NIFTY Index Options'!$I:$I,"Weekly*")+SUMIFS('NSE - NIFTY Index Options'!$M:$M,'NSE - NIFTY Index Options'!$C:$C,$A30,'NSE - NIFTY Index Options'!$B:$B,E$4,'NSE - NIFTY Index Options'!$I:$I,"MDAW*")+SUMIFS('NSE - Other Index Options'!$M:$M,'NSE - Other Index Options'!$C:$C,$A30,'NSE - Other Index Options'!$B:$B,E$4,'NSE - Other Index Options'!$I:$I,"Weekly*")+SUMIFS('NSE - Other Index Options'!$M:$M,'NSE - Other Index Options'!$C:$C,$A30,'NSE - Other Index Options'!$B:$B,E$4,'NSE - Other Index Options'!$I:$I,"MDAW*")=0,"",SUMIFS('NSE - NIFTY Index Options'!$M:$M,'NSE - NIFTY Index Options'!$C:$C,$A30,'NSE - NIFTY Index Options'!$B:$B,E$4,'NSE - NIFTY Index Options'!$I:$I,"Weekly*")+SUMIFS('NSE - NIFTY Index Options'!$M:$M,'NSE - NIFTY Index Options'!$C:$C,$A30,'NSE - NIFTY Index Options'!$B:$B,E$4,'NSE - NIFTY Index Options'!$I:$I,"MDAW*")+SUMIFS('NSE - Other Index Options'!$M:$M,'NSE - Other Index Options'!$C:$C,$A30,'NSE - Other Index Options'!$B:$B,E$4,'NSE - Other Index Options'!$I:$I,"Weekly*")+SUMIFS('NSE - Other Index Options'!$M:$M,'NSE - Other Index Options'!$C:$C,$A30,'NSE - Other Index Options'!$B:$B,E$4,'NSE - Other Index Options'!$I:$I,"MDAW*"))</f>
        <v/>
      </c>
      <c r="F30" s="26">
        <f>IF(SUMIFS('NSE - NIFTY Index Options'!$M:$M,'NSE - NIFTY Index Options'!$C:$C,$A30,'NSE - NIFTY Index Options'!$B:$B,F$4,'NSE - NIFTY Index Options'!$I:$I,"Weekly*")+SUMIFS('NSE - NIFTY Index Options'!$M:$M,'NSE - NIFTY Index Options'!$C:$C,$A30,'NSE - NIFTY Index Options'!$B:$B,F$4,'NSE - NIFTY Index Options'!$I:$I,"MDAW*")+SUMIFS('NSE - Other Index Options'!$M:$M,'NSE - Other Index Options'!$C:$C,$A30,'NSE - Other Index Options'!$B:$B,F$4,'NSE - Other Index Options'!$I:$I,"Weekly*")+SUMIFS('NSE - Other Index Options'!$M:$M,'NSE - Other Index Options'!$C:$C,$A30,'NSE - Other Index Options'!$B:$B,F$4,'NSE - Other Index Options'!$I:$I,"MDAW*")=0,"",SUMIFS('NSE - NIFTY Index Options'!$M:$M,'NSE - NIFTY Index Options'!$C:$C,$A30,'NSE - NIFTY Index Options'!$B:$B,F$4,'NSE - NIFTY Index Options'!$I:$I,"Weekly*")+SUMIFS('NSE - NIFTY Index Options'!$M:$M,'NSE - NIFTY Index Options'!$C:$C,$A30,'NSE - NIFTY Index Options'!$B:$B,F$4,'NSE - NIFTY Index Options'!$I:$I,"MDAW*")+SUMIFS('NSE - Other Index Options'!$M:$M,'NSE - Other Index Options'!$C:$C,$A30,'NSE - Other Index Options'!$B:$B,F$4,'NSE - Other Index Options'!$I:$I,"Weekly*")+SUMIFS('NSE - Other Index Options'!$M:$M,'NSE - Other Index Options'!$C:$C,$A30,'NSE - Other Index Options'!$B:$B,F$4,'NSE - Other Index Options'!$I:$I,"MDAW*"))</f>
        <v/>
      </c>
      <c r="G30" s="26">
        <f>IF(SUMIFS('NSE - NIFTY Index Options'!$M:$M,'NSE - NIFTY Index Options'!$C:$C,$A30,'NSE - NIFTY Index Options'!$B:$B,G$4,'NSE - NIFTY Index Options'!$I:$I,"Weekly*")+SUMIFS('NSE - NIFTY Index Options'!$M:$M,'NSE - NIFTY Index Options'!$C:$C,$A30,'NSE - NIFTY Index Options'!$B:$B,G$4,'NSE - NIFTY Index Options'!$I:$I,"MDAW*")+SUMIFS('NSE - Other Index Options'!$M:$M,'NSE - Other Index Options'!$C:$C,$A30,'NSE - Other Index Options'!$B:$B,G$4,'NSE - Other Index Options'!$I:$I,"Weekly*")+SUMIFS('NSE - Other Index Options'!$M:$M,'NSE - Other Index Options'!$C:$C,$A30,'NSE - Other Index Options'!$B:$B,G$4,'NSE - Other Index Options'!$I:$I,"MDAW*")=0,"",SUMIFS('NSE - NIFTY Index Options'!$M:$M,'NSE - NIFTY Index Options'!$C:$C,$A30,'NSE - NIFTY Index Options'!$B:$B,G$4,'NSE - NIFTY Index Options'!$I:$I,"Weekly*")+SUMIFS('NSE - NIFTY Index Options'!$M:$M,'NSE - NIFTY Index Options'!$C:$C,$A30,'NSE - NIFTY Index Options'!$B:$B,G$4,'NSE - NIFTY Index Options'!$I:$I,"MDAW*")+SUMIFS('NSE - Other Index Options'!$M:$M,'NSE - Other Index Options'!$C:$C,$A30,'NSE - Other Index Options'!$B:$B,G$4,'NSE - Other Index Options'!$I:$I,"Weekly*")+SUMIFS('NSE - Other Index Options'!$M:$M,'NSE - Other Index Options'!$C:$C,$A30,'NSE - Other Index Options'!$B:$B,G$4,'NSE - Other Index Options'!$I:$I,"MDAW*"))</f>
        <v/>
      </c>
      <c r="H30" s="26">
        <f>IF(SUM(B30:G30)=0,"",SUM(B30:G30))</f>
        <v/>
      </c>
    </row>
    <row r="31">
      <c r="A31" t="inlineStr">
        <is>
          <t>Week2-Feb-2026</t>
        </is>
      </c>
      <c r="B31" s="26">
        <f>IF(SUMIFS('NSE - NIFTY Index Options'!$M:$M,'NSE - NIFTY Index Options'!$C:$C,$A31,'NSE - NIFTY Index Options'!$B:$B,B$4,'NSE - NIFTY Index Options'!$I:$I,"Weekly*")+SUMIFS('NSE - NIFTY Index Options'!$M:$M,'NSE - NIFTY Index Options'!$C:$C,$A31,'NSE - NIFTY Index Options'!$B:$B,B$4,'NSE - NIFTY Index Options'!$I:$I,"MDAW*")+SUMIFS('NSE - Other Index Options'!$M:$M,'NSE - Other Index Options'!$C:$C,$A31,'NSE - Other Index Options'!$B:$B,B$4,'NSE - Other Index Options'!$I:$I,"Weekly*")+SUMIFS('NSE - Other Index Options'!$M:$M,'NSE - Other Index Options'!$C:$C,$A31,'NSE - Other Index Options'!$B:$B,B$4,'NSE - Other Index Options'!$I:$I,"MDAW*")=0,"",SUMIFS('NSE - NIFTY Index Options'!$M:$M,'NSE - NIFTY Index Options'!$C:$C,$A31,'NSE - NIFTY Index Options'!$B:$B,B$4,'NSE - NIFTY Index Options'!$I:$I,"Weekly*")+SUMIFS('NSE - NIFTY Index Options'!$M:$M,'NSE - NIFTY Index Options'!$C:$C,$A31,'NSE - NIFTY Index Options'!$B:$B,B$4,'NSE - NIFTY Index Options'!$I:$I,"MDAW*")+SUMIFS('NSE - Other Index Options'!$M:$M,'NSE - Other Index Options'!$C:$C,$A31,'NSE - Other Index Options'!$B:$B,B$4,'NSE - Other Index Options'!$I:$I,"Weekly*")+SUMIFS('NSE - Other Index Options'!$M:$M,'NSE - Other Index Options'!$C:$C,$A31,'NSE - Other Index Options'!$B:$B,B$4,'NSE - Other Index Options'!$I:$I,"MDAW*"))</f>
        <v/>
      </c>
      <c r="C31" s="26">
        <f>IF(SUMIFS('NSE - NIFTY Index Options'!$M:$M,'NSE - NIFTY Index Options'!$C:$C,$A31,'NSE - NIFTY Index Options'!$B:$B,C$4,'NSE - NIFTY Index Options'!$I:$I,"Weekly*")+SUMIFS('NSE - NIFTY Index Options'!$M:$M,'NSE - NIFTY Index Options'!$C:$C,$A31,'NSE - NIFTY Index Options'!$B:$B,C$4,'NSE - NIFTY Index Options'!$I:$I,"MDAW*")+SUMIFS('NSE - Other Index Options'!$M:$M,'NSE - Other Index Options'!$C:$C,$A31,'NSE - Other Index Options'!$B:$B,C$4,'NSE - Other Index Options'!$I:$I,"Weekly*")+SUMIFS('NSE - Other Index Options'!$M:$M,'NSE - Other Index Options'!$C:$C,$A31,'NSE - Other Index Options'!$B:$B,C$4,'NSE - Other Index Options'!$I:$I,"MDAW*")=0,"",SUMIFS('NSE - NIFTY Index Options'!$M:$M,'NSE - NIFTY Index Options'!$C:$C,$A31,'NSE - NIFTY Index Options'!$B:$B,C$4,'NSE - NIFTY Index Options'!$I:$I,"Weekly*")+SUMIFS('NSE - NIFTY Index Options'!$M:$M,'NSE - NIFTY Index Options'!$C:$C,$A31,'NSE - NIFTY Index Options'!$B:$B,C$4,'NSE - NIFTY Index Options'!$I:$I,"MDAW*")+SUMIFS('NSE - Other Index Options'!$M:$M,'NSE - Other Index Options'!$C:$C,$A31,'NSE - Other Index Options'!$B:$B,C$4,'NSE - Other Index Options'!$I:$I,"Weekly*")+SUMIFS('NSE - Other Index Options'!$M:$M,'NSE - Other Index Options'!$C:$C,$A31,'NSE - Other Index Options'!$B:$B,C$4,'NSE - Other Index Options'!$I:$I,"MDAW*"))</f>
        <v/>
      </c>
      <c r="D31" s="26">
        <f>IF(SUMIFS('NSE - NIFTY Index Options'!$M:$M,'NSE - NIFTY Index Options'!$C:$C,$A31,'NSE - NIFTY Index Options'!$B:$B,D$4,'NSE - NIFTY Index Options'!$I:$I,"Weekly*")+SUMIFS('NSE - NIFTY Index Options'!$M:$M,'NSE - NIFTY Index Options'!$C:$C,$A31,'NSE - NIFTY Index Options'!$B:$B,D$4,'NSE - NIFTY Index Options'!$I:$I,"MDAW*")+SUMIFS('NSE - Other Index Options'!$M:$M,'NSE - Other Index Options'!$C:$C,$A31,'NSE - Other Index Options'!$B:$B,D$4,'NSE - Other Index Options'!$I:$I,"Weekly*")+SUMIFS('NSE - Other Index Options'!$M:$M,'NSE - Other Index Options'!$C:$C,$A31,'NSE - Other Index Options'!$B:$B,D$4,'NSE - Other Index Options'!$I:$I,"MDAW*")=0,"",SUMIFS('NSE - NIFTY Index Options'!$M:$M,'NSE - NIFTY Index Options'!$C:$C,$A31,'NSE - NIFTY Index Options'!$B:$B,D$4,'NSE - NIFTY Index Options'!$I:$I,"Weekly*")+SUMIFS('NSE - NIFTY Index Options'!$M:$M,'NSE - NIFTY Index Options'!$C:$C,$A31,'NSE - NIFTY Index Options'!$B:$B,D$4,'NSE - NIFTY Index Options'!$I:$I,"MDAW*")+SUMIFS('NSE - Other Index Options'!$M:$M,'NSE - Other Index Options'!$C:$C,$A31,'NSE - Other Index Options'!$B:$B,D$4,'NSE - Other Index Options'!$I:$I,"Weekly*")+SUMIFS('NSE - Other Index Options'!$M:$M,'NSE - Other Index Options'!$C:$C,$A31,'NSE - Other Index Options'!$B:$B,D$4,'NSE - Other Index Options'!$I:$I,"MDAW*"))</f>
        <v/>
      </c>
      <c r="E31" s="26">
        <f>IF(SUMIFS('NSE - NIFTY Index Options'!$M:$M,'NSE - NIFTY Index Options'!$C:$C,$A31,'NSE - NIFTY Index Options'!$B:$B,E$4,'NSE - NIFTY Index Options'!$I:$I,"Weekly*")+SUMIFS('NSE - NIFTY Index Options'!$M:$M,'NSE - NIFTY Index Options'!$C:$C,$A31,'NSE - NIFTY Index Options'!$B:$B,E$4,'NSE - NIFTY Index Options'!$I:$I,"MDAW*")+SUMIFS('NSE - Other Index Options'!$M:$M,'NSE - Other Index Options'!$C:$C,$A31,'NSE - Other Index Options'!$B:$B,E$4,'NSE - Other Index Options'!$I:$I,"Weekly*")+SUMIFS('NSE - Other Index Options'!$M:$M,'NSE - Other Index Options'!$C:$C,$A31,'NSE - Other Index Options'!$B:$B,E$4,'NSE - Other Index Options'!$I:$I,"MDAW*")=0,"",SUMIFS('NSE - NIFTY Index Options'!$M:$M,'NSE - NIFTY Index Options'!$C:$C,$A31,'NSE - NIFTY Index Options'!$B:$B,E$4,'NSE - NIFTY Index Options'!$I:$I,"Weekly*")+SUMIFS('NSE - NIFTY Index Options'!$M:$M,'NSE - NIFTY Index Options'!$C:$C,$A31,'NSE - NIFTY Index Options'!$B:$B,E$4,'NSE - NIFTY Index Options'!$I:$I,"MDAW*")+SUMIFS('NSE - Other Index Options'!$M:$M,'NSE - Other Index Options'!$C:$C,$A31,'NSE - Other Index Options'!$B:$B,E$4,'NSE - Other Index Options'!$I:$I,"Weekly*")+SUMIFS('NSE - Other Index Options'!$M:$M,'NSE - Other Index Options'!$C:$C,$A31,'NSE - Other Index Options'!$B:$B,E$4,'NSE - Other Index Options'!$I:$I,"MDAW*"))</f>
        <v/>
      </c>
      <c r="F31" s="26">
        <f>IF(SUMIFS('NSE - NIFTY Index Options'!$M:$M,'NSE - NIFTY Index Options'!$C:$C,$A31,'NSE - NIFTY Index Options'!$B:$B,F$4,'NSE - NIFTY Index Options'!$I:$I,"Weekly*")+SUMIFS('NSE - NIFTY Index Options'!$M:$M,'NSE - NIFTY Index Options'!$C:$C,$A31,'NSE - NIFTY Index Options'!$B:$B,F$4,'NSE - NIFTY Index Options'!$I:$I,"MDAW*")+SUMIFS('NSE - Other Index Options'!$M:$M,'NSE - Other Index Options'!$C:$C,$A31,'NSE - Other Index Options'!$B:$B,F$4,'NSE - Other Index Options'!$I:$I,"Weekly*")+SUMIFS('NSE - Other Index Options'!$M:$M,'NSE - Other Index Options'!$C:$C,$A31,'NSE - Other Index Options'!$B:$B,F$4,'NSE - Other Index Options'!$I:$I,"MDAW*")=0,"",SUMIFS('NSE - NIFTY Index Options'!$M:$M,'NSE - NIFTY Index Options'!$C:$C,$A31,'NSE - NIFTY Index Options'!$B:$B,F$4,'NSE - NIFTY Index Options'!$I:$I,"Weekly*")+SUMIFS('NSE - NIFTY Index Options'!$M:$M,'NSE - NIFTY Index Options'!$C:$C,$A31,'NSE - NIFTY Index Options'!$B:$B,F$4,'NSE - NIFTY Index Options'!$I:$I,"MDAW*")+SUMIFS('NSE - Other Index Options'!$M:$M,'NSE - Other Index Options'!$C:$C,$A31,'NSE - Other Index Options'!$B:$B,F$4,'NSE - Other Index Options'!$I:$I,"Weekly*")+SUMIFS('NSE - Other Index Options'!$M:$M,'NSE - Other Index Options'!$C:$C,$A31,'NSE - Other Index Options'!$B:$B,F$4,'NSE - Other Index Options'!$I:$I,"MDAW*"))</f>
        <v/>
      </c>
      <c r="G31" s="26">
        <f>IF(SUMIFS('NSE - NIFTY Index Options'!$M:$M,'NSE - NIFTY Index Options'!$C:$C,$A31,'NSE - NIFTY Index Options'!$B:$B,G$4,'NSE - NIFTY Index Options'!$I:$I,"Weekly*")+SUMIFS('NSE - NIFTY Index Options'!$M:$M,'NSE - NIFTY Index Options'!$C:$C,$A31,'NSE - NIFTY Index Options'!$B:$B,G$4,'NSE - NIFTY Index Options'!$I:$I,"MDAW*")+SUMIFS('NSE - Other Index Options'!$M:$M,'NSE - Other Index Options'!$C:$C,$A31,'NSE - Other Index Options'!$B:$B,G$4,'NSE - Other Index Options'!$I:$I,"Weekly*")+SUMIFS('NSE - Other Index Options'!$M:$M,'NSE - Other Index Options'!$C:$C,$A31,'NSE - Other Index Options'!$B:$B,G$4,'NSE - Other Index Options'!$I:$I,"MDAW*")=0,"",SUMIFS('NSE - NIFTY Index Options'!$M:$M,'NSE - NIFTY Index Options'!$C:$C,$A31,'NSE - NIFTY Index Options'!$B:$B,G$4,'NSE - NIFTY Index Options'!$I:$I,"Weekly*")+SUMIFS('NSE - NIFTY Index Options'!$M:$M,'NSE - NIFTY Index Options'!$C:$C,$A31,'NSE - NIFTY Index Options'!$B:$B,G$4,'NSE - NIFTY Index Options'!$I:$I,"MDAW*")+SUMIFS('NSE - Other Index Options'!$M:$M,'NSE - Other Index Options'!$C:$C,$A31,'NSE - Other Index Options'!$B:$B,G$4,'NSE - Other Index Options'!$I:$I,"Weekly*")+SUMIFS('NSE - Other Index Options'!$M:$M,'NSE - Other Index Options'!$C:$C,$A31,'NSE - Other Index Options'!$B:$B,G$4,'NSE - Other Index Options'!$I:$I,"MDAW*"))</f>
        <v/>
      </c>
      <c r="H31" s="26">
        <f>IF(SUM(B31:G31)=0,"",SUM(B31:G31))</f>
        <v/>
      </c>
    </row>
    <row r="32">
      <c r="A32" t="inlineStr">
        <is>
          <t>Week3-Feb-2026</t>
        </is>
      </c>
      <c r="B32" s="26">
        <f>IF(SUMIFS('NSE - NIFTY Index Options'!$M:$M,'NSE - NIFTY Index Options'!$C:$C,$A32,'NSE - NIFTY Index Options'!$B:$B,B$4,'NSE - NIFTY Index Options'!$I:$I,"Weekly*")+SUMIFS('NSE - NIFTY Index Options'!$M:$M,'NSE - NIFTY Index Options'!$C:$C,$A32,'NSE - NIFTY Index Options'!$B:$B,B$4,'NSE - NIFTY Index Options'!$I:$I,"MDAW*")+SUMIFS('NSE - Other Index Options'!$M:$M,'NSE - Other Index Options'!$C:$C,$A32,'NSE - Other Index Options'!$B:$B,B$4,'NSE - Other Index Options'!$I:$I,"Weekly*")+SUMIFS('NSE - Other Index Options'!$M:$M,'NSE - Other Index Options'!$C:$C,$A32,'NSE - Other Index Options'!$B:$B,B$4,'NSE - Other Index Options'!$I:$I,"MDAW*")=0,"",SUMIFS('NSE - NIFTY Index Options'!$M:$M,'NSE - NIFTY Index Options'!$C:$C,$A32,'NSE - NIFTY Index Options'!$B:$B,B$4,'NSE - NIFTY Index Options'!$I:$I,"Weekly*")+SUMIFS('NSE - NIFTY Index Options'!$M:$M,'NSE - NIFTY Index Options'!$C:$C,$A32,'NSE - NIFTY Index Options'!$B:$B,B$4,'NSE - NIFTY Index Options'!$I:$I,"MDAW*")+SUMIFS('NSE - Other Index Options'!$M:$M,'NSE - Other Index Options'!$C:$C,$A32,'NSE - Other Index Options'!$B:$B,B$4,'NSE - Other Index Options'!$I:$I,"Weekly*")+SUMIFS('NSE - Other Index Options'!$M:$M,'NSE - Other Index Options'!$C:$C,$A32,'NSE - Other Index Options'!$B:$B,B$4,'NSE - Other Index Options'!$I:$I,"MDAW*"))</f>
        <v/>
      </c>
      <c r="C32" s="26">
        <f>IF(SUMIFS('NSE - NIFTY Index Options'!$M:$M,'NSE - NIFTY Index Options'!$C:$C,$A32,'NSE - NIFTY Index Options'!$B:$B,C$4,'NSE - NIFTY Index Options'!$I:$I,"Weekly*")+SUMIFS('NSE - NIFTY Index Options'!$M:$M,'NSE - NIFTY Index Options'!$C:$C,$A32,'NSE - NIFTY Index Options'!$B:$B,C$4,'NSE - NIFTY Index Options'!$I:$I,"MDAW*")+SUMIFS('NSE - Other Index Options'!$M:$M,'NSE - Other Index Options'!$C:$C,$A32,'NSE - Other Index Options'!$B:$B,C$4,'NSE - Other Index Options'!$I:$I,"Weekly*")+SUMIFS('NSE - Other Index Options'!$M:$M,'NSE - Other Index Options'!$C:$C,$A32,'NSE - Other Index Options'!$B:$B,C$4,'NSE - Other Index Options'!$I:$I,"MDAW*")=0,"",SUMIFS('NSE - NIFTY Index Options'!$M:$M,'NSE - NIFTY Index Options'!$C:$C,$A32,'NSE - NIFTY Index Options'!$B:$B,C$4,'NSE - NIFTY Index Options'!$I:$I,"Weekly*")+SUMIFS('NSE - NIFTY Index Options'!$M:$M,'NSE - NIFTY Index Options'!$C:$C,$A32,'NSE - NIFTY Index Options'!$B:$B,C$4,'NSE - NIFTY Index Options'!$I:$I,"MDAW*")+SUMIFS('NSE - Other Index Options'!$M:$M,'NSE - Other Index Options'!$C:$C,$A32,'NSE - Other Index Options'!$B:$B,C$4,'NSE - Other Index Options'!$I:$I,"Weekly*")+SUMIFS('NSE - Other Index Options'!$M:$M,'NSE - Other Index Options'!$C:$C,$A32,'NSE - Other Index Options'!$B:$B,C$4,'NSE - Other Index Options'!$I:$I,"MDAW*"))</f>
        <v/>
      </c>
      <c r="D32" s="26">
        <f>IF(SUMIFS('NSE - NIFTY Index Options'!$M:$M,'NSE - NIFTY Index Options'!$C:$C,$A32,'NSE - NIFTY Index Options'!$B:$B,D$4,'NSE - NIFTY Index Options'!$I:$I,"Weekly*")+SUMIFS('NSE - NIFTY Index Options'!$M:$M,'NSE - NIFTY Index Options'!$C:$C,$A32,'NSE - NIFTY Index Options'!$B:$B,D$4,'NSE - NIFTY Index Options'!$I:$I,"MDAW*")+SUMIFS('NSE - Other Index Options'!$M:$M,'NSE - Other Index Options'!$C:$C,$A32,'NSE - Other Index Options'!$B:$B,D$4,'NSE - Other Index Options'!$I:$I,"Weekly*")+SUMIFS('NSE - Other Index Options'!$M:$M,'NSE - Other Index Options'!$C:$C,$A32,'NSE - Other Index Options'!$B:$B,D$4,'NSE - Other Index Options'!$I:$I,"MDAW*")=0,"",SUMIFS('NSE - NIFTY Index Options'!$M:$M,'NSE - NIFTY Index Options'!$C:$C,$A32,'NSE - NIFTY Index Options'!$B:$B,D$4,'NSE - NIFTY Index Options'!$I:$I,"Weekly*")+SUMIFS('NSE - NIFTY Index Options'!$M:$M,'NSE - NIFTY Index Options'!$C:$C,$A32,'NSE - NIFTY Index Options'!$B:$B,D$4,'NSE - NIFTY Index Options'!$I:$I,"MDAW*")+SUMIFS('NSE - Other Index Options'!$M:$M,'NSE - Other Index Options'!$C:$C,$A32,'NSE - Other Index Options'!$B:$B,D$4,'NSE - Other Index Options'!$I:$I,"Weekly*")+SUMIFS('NSE - Other Index Options'!$M:$M,'NSE - Other Index Options'!$C:$C,$A32,'NSE - Other Index Options'!$B:$B,D$4,'NSE - Other Index Options'!$I:$I,"MDAW*"))</f>
        <v/>
      </c>
      <c r="E32" s="26">
        <f>IF(SUMIFS('NSE - NIFTY Index Options'!$M:$M,'NSE - NIFTY Index Options'!$C:$C,$A32,'NSE - NIFTY Index Options'!$B:$B,E$4,'NSE - NIFTY Index Options'!$I:$I,"Weekly*")+SUMIFS('NSE - NIFTY Index Options'!$M:$M,'NSE - NIFTY Index Options'!$C:$C,$A32,'NSE - NIFTY Index Options'!$B:$B,E$4,'NSE - NIFTY Index Options'!$I:$I,"MDAW*")+SUMIFS('NSE - Other Index Options'!$M:$M,'NSE - Other Index Options'!$C:$C,$A32,'NSE - Other Index Options'!$B:$B,E$4,'NSE - Other Index Options'!$I:$I,"Weekly*")+SUMIFS('NSE - Other Index Options'!$M:$M,'NSE - Other Index Options'!$C:$C,$A32,'NSE - Other Index Options'!$B:$B,E$4,'NSE - Other Index Options'!$I:$I,"MDAW*")=0,"",SUMIFS('NSE - NIFTY Index Options'!$M:$M,'NSE - NIFTY Index Options'!$C:$C,$A32,'NSE - NIFTY Index Options'!$B:$B,E$4,'NSE - NIFTY Index Options'!$I:$I,"Weekly*")+SUMIFS('NSE - NIFTY Index Options'!$M:$M,'NSE - NIFTY Index Options'!$C:$C,$A32,'NSE - NIFTY Index Options'!$B:$B,E$4,'NSE - NIFTY Index Options'!$I:$I,"MDAW*")+SUMIFS('NSE - Other Index Options'!$M:$M,'NSE - Other Index Options'!$C:$C,$A32,'NSE - Other Index Options'!$B:$B,E$4,'NSE - Other Index Options'!$I:$I,"Weekly*")+SUMIFS('NSE - Other Index Options'!$M:$M,'NSE - Other Index Options'!$C:$C,$A32,'NSE - Other Index Options'!$B:$B,E$4,'NSE - Other Index Options'!$I:$I,"MDAW*"))</f>
        <v/>
      </c>
      <c r="F32" s="26">
        <f>IF(SUMIFS('NSE - NIFTY Index Options'!$M:$M,'NSE - NIFTY Index Options'!$C:$C,$A32,'NSE - NIFTY Index Options'!$B:$B,F$4,'NSE - NIFTY Index Options'!$I:$I,"Weekly*")+SUMIFS('NSE - NIFTY Index Options'!$M:$M,'NSE - NIFTY Index Options'!$C:$C,$A32,'NSE - NIFTY Index Options'!$B:$B,F$4,'NSE - NIFTY Index Options'!$I:$I,"MDAW*")+SUMIFS('NSE - Other Index Options'!$M:$M,'NSE - Other Index Options'!$C:$C,$A32,'NSE - Other Index Options'!$B:$B,F$4,'NSE - Other Index Options'!$I:$I,"Weekly*")+SUMIFS('NSE - Other Index Options'!$M:$M,'NSE - Other Index Options'!$C:$C,$A32,'NSE - Other Index Options'!$B:$B,F$4,'NSE - Other Index Options'!$I:$I,"MDAW*")=0,"",SUMIFS('NSE - NIFTY Index Options'!$M:$M,'NSE - NIFTY Index Options'!$C:$C,$A32,'NSE - NIFTY Index Options'!$B:$B,F$4,'NSE - NIFTY Index Options'!$I:$I,"Weekly*")+SUMIFS('NSE - NIFTY Index Options'!$M:$M,'NSE - NIFTY Index Options'!$C:$C,$A32,'NSE - NIFTY Index Options'!$B:$B,F$4,'NSE - NIFTY Index Options'!$I:$I,"MDAW*")+SUMIFS('NSE - Other Index Options'!$M:$M,'NSE - Other Index Options'!$C:$C,$A32,'NSE - Other Index Options'!$B:$B,F$4,'NSE - Other Index Options'!$I:$I,"Weekly*")+SUMIFS('NSE - Other Index Options'!$M:$M,'NSE - Other Index Options'!$C:$C,$A32,'NSE - Other Index Options'!$B:$B,F$4,'NSE - Other Index Options'!$I:$I,"MDAW*"))</f>
        <v/>
      </c>
      <c r="G32" s="26">
        <f>IF(SUMIFS('NSE - NIFTY Index Options'!$M:$M,'NSE - NIFTY Index Options'!$C:$C,$A32,'NSE - NIFTY Index Options'!$B:$B,G$4,'NSE - NIFTY Index Options'!$I:$I,"Weekly*")+SUMIFS('NSE - NIFTY Index Options'!$M:$M,'NSE - NIFTY Index Options'!$C:$C,$A32,'NSE - NIFTY Index Options'!$B:$B,G$4,'NSE - NIFTY Index Options'!$I:$I,"MDAW*")+SUMIFS('NSE - Other Index Options'!$M:$M,'NSE - Other Index Options'!$C:$C,$A32,'NSE - Other Index Options'!$B:$B,G$4,'NSE - Other Index Options'!$I:$I,"Weekly*")+SUMIFS('NSE - Other Index Options'!$M:$M,'NSE - Other Index Options'!$C:$C,$A32,'NSE - Other Index Options'!$B:$B,G$4,'NSE - Other Index Options'!$I:$I,"MDAW*")=0,"",SUMIFS('NSE - NIFTY Index Options'!$M:$M,'NSE - NIFTY Index Options'!$C:$C,$A32,'NSE - NIFTY Index Options'!$B:$B,G$4,'NSE - NIFTY Index Options'!$I:$I,"Weekly*")+SUMIFS('NSE - NIFTY Index Options'!$M:$M,'NSE - NIFTY Index Options'!$C:$C,$A32,'NSE - NIFTY Index Options'!$B:$B,G$4,'NSE - NIFTY Index Options'!$I:$I,"MDAW*")+SUMIFS('NSE - Other Index Options'!$M:$M,'NSE - Other Index Options'!$C:$C,$A32,'NSE - Other Index Options'!$B:$B,G$4,'NSE - Other Index Options'!$I:$I,"Weekly*")+SUMIFS('NSE - Other Index Options'!$M:$M,'NSE - Other Index Options'!$C:$C,$A32,'NSE - Other Index Options'!$B:$B,G$4,'NSE - Other Index Options'!$I:$I,"MDAW*"))</f>
        <v/>
      </c>
      <c r="H32" s="26">
        <f>IF(SUM(B32:G32)=0,"",SUM(B32:G32))</f>
        <v/>
      </c>
    </row>
    <row r="33">
      <c r="A33" t="inlineStr">
        <is>
          <t>Week4-Feb-2026</t>
        </is>
      </c>
      <c r="B33" s="26">
        <f>IF(SUMIFS('NSE - NIFTY Index Options'!$M:$M,'NSE - NIFTY Index Options'!$C:$C,$A33,'NSE - NIFTY Index Options'!$B:$B,B$4,'NSE - NIFTY Index Options'!$I:$I,"Weekly*")+SUMIFS('NSE - NIFTY Index Options'!$M:$M,'NSE - NIFTY Index Options'!$C:$C,$A33,'NSE - NIFTY Index Options'!$B:$B,B$4,'NSE - NIFTY Index Options'!$I:$I,"MDAW*")+SUMIFS('NSE - Other Index Options'!$M:$M,'NSE - Other Index Options'!$C:$C,$A33,'NSE - Other Index Options'!$B:$B,B$4,'NSE - Other Index Options'!$I:$I,"Weekly*")+SUMIFS('NSE - Other Index Options'!$M:$M,'NSE - Other Index Options'!$C:$C,$A33,'NSE - Other Index Options'!$B:$B,B$4,'NSE - Other Index Options'!$I:$I,"MDAW*")=0,"",SUMIFS('NSE - NIFTY Index Options'!$M:$M,'NSE - NIFTY Index Options'!$C:$C,$A33,'NSE - NIFTY Index Options'!$B:$B,B$4,'NSE - NIFTY Index Options'!$I:$I,"Weekly*")+SUMIFS('NSE - NIFTY Index Options'!$M:$M,'NSE - NIFTY Index Options'!$C:$C,$A33,'NSE - NIFTY Index Options'!$B:$B,B$4,'NSE - NIFTY Index Options'!$I:$I,"MDAW*")+SUMIFS('NSE - Other Index Options'!$M:$M,'NSE - Other Index Options'!$C:$C,$A33,'NSE - Other Index Options'!$B:$B,B$4,'NSE - Other Index Options'!$I:$I,"Weekly*")+SUMIFS('NSE - Other Index Options'!$M:$M,'NSE - Other Index Options'!$C:$C,$A33,'NSE - Other Index Options'!$B:$B,B$4,'NSE - Other Index Options'!$I:$I,"MDAW*"))</f>
        <v/>
      </c>
      <c r="C33" s="26">
        <f>IF(SUMIFS('NSE - NIFTY Index Options'!$M:$M,'NSE - NIFTY Index Options'!$C:$C,$A33,'NSE - NIFTY Index Options'!$B:$B,C$4,'NSE - NIFTY Index Options'!$I:$I,"Weekly*")+SUMIFS('NSE - NIFTY Index Options'!$M:$M,'NSE - NIFTY Index Options'!$C:$C,$A33,'NSE - NIFTY Index Options'!$B:$B,C$4,'NSE - NIFTY Index Options'!$I:$I,"MDAW*")+SUMIFS('NSE - Other Index Options'!$M:$M,'NSE - Other Index Options'!$C:$C,$A33,'NSE - Other Index Options'!$B:$B,C$4,'NSE - Other Index Options'!$I:$I,"Weekly*")+SUMIFS('NSE - Other Index Options'!$M:$M,'NSE - Other Index Options'!$C:$C,$A33,'NSE - Other Index Options'!$B:$B,C$4,'NSE - Other Index Options'!$I:$I,"MDAW*")=0,"",SUMIFS('NSE - NIFTY Index Options'!$M:$M,'NSE - NIFTY Index Options'!$C:$C,$A33,'NSE - NIFTY Index Options'!$B:$B,C$4,'NSE - NIFTY Index Options'!$I:$I,"Weekly*")+SUMIFS('NSE - NIFTY Index Options'!$M:$M,'NSE - NIFTY Index Options'!$C:$C,$A33,'NSE - NIFTY Index Options'!$B:$B,C$4,'NSE - NIFTY Index Options'!$I:$I,"MDAW*")+SUMIFS('NSE - Other Index Options'!$M:$M,'NSE - Other Index Options'!$C:$C,$A33,'NSE - Other Index Options'!$B:$B,C$4,'NSE - Other Index Options'!$I:$I,"Weekly*")+SUMIFS('NSE - Other Index Options'!$M:$M,'NSE - Other Index Options'!$C:$C,$A33,'NSE - Other Index Options'!$B:$B,C$4,'NSE - Other Index Options'!$I:$I,"MDAW*"))</f>
        <v/>
      </c>
      <c r="D33" s="26">
        <f>IF(SUMIFS('NSE - NIFTY Index Options'!$M:$M,'NSE - NIFTY Index Options'!$C:$C,$A33,'NSE - NIFTY Index Options'!$B:$B,D$4,'NSE - NIFTY Index Options'!$I:$I,"Weekly*")+SUMIFS('NSE - NIFTY Index Options'!$M:$M,'NSE - NIFTY Index Options'!$C:$C,$A33,'NSE - NIFTY Index Options'!$B:$B,D$4,'NSE - NIFTY Index Options'!$I:$I,"MDAW*")+SUMIFS('NSE - Other Index Options'!$M:$M,'NSE - Other Index Options'!$C:$C,$A33,'NSE - Other Index Options'!$B:$B,D$4,'NSE - Other Index Options'!$I:$I,"Weekly*")+SUMIFS('NSE - Other Index Options'!$M:$M,'NSE - Other Index Options'!$C:$C,$A33,'NSE - Other Index Options'!$B:$B,D$4,'NSE - Other Index Options'!$I:$I,"MDAW*")=0,"",SUMIFS('NSE - NIFTY Index Options'!$M:$M,'NSE - NIFTY Index Options'!$C:$C,$A33,'NSE - NIFTY Index Options'!$B:$B,D$4,'NSE - NIFTY Index Options'!$I:$I,"Weekly*")+SUMIFS('NSE - NIFTY Index Options'!$M:$M,'NSE - NIFTY Index Options'!$C:$C,$A33,'NSE - NIFTY Index Options'!$B:$B,D$4,'NSE - NIFTY Index Options'!$I:$I,"MDAW*")+SUMIFS('NSE - Other Index Options'!$M:$M,'NSE - Other Index Options'!$C:$C,$A33,'NSE - Other Index Options'!$B:$B,D$4,'NSE - Other Index Options'!$I:$I,"Weekly*")+SUMIFS('NSE - Other Index Options'!$M:$M,'NSE - Other Index Options'!$C:$C,$A33,'NSE - Other Index Options'!$B:$B,D$4,'NSE - Other Index Options'!$I:$I,"MDAW*"))</f>
        <v/>
      </c>
      <c r="E33" s="26">
        <f>IF(SUMIFS('NSE - NIFTY Index Options'!$M:$M,'NSE - NIFTY Index Options'!$C:$C,$A33,'NSE - NIFTY Index Options'!$B:$B,E$4,'NSE - NIFTY Index Options'!$I:$I,"Weekly*")+SUMIFS('NSE - NIFTY Index Options'!$M:$M,'NSE - NIFTY Index Options'!$C:$C,$A33,'NSE - NIFTY Index Options'!$B:$B,E$4,'NSE - NIFTY Index Options'!$I:$I,"MDAW*")+SUMIFS('NSE - Other Index Options'!$M:$M,'NSE - Other Index Options'!$C:$C,$A33,'NSE - Other Index Options'!$B:$B,E$4,'NSE - Other Index Options'!$I:$I,"Weekly*")+SUMIFS('NSE - Other Index Options'!$M:$M,'NSE - Other Index Options'!$C:$C,$A33,'NSE - Other Index Options'!$B:$B,E$4,'NSE - Other Index Options'!$I:$I,"MDAW*")=0,"",SUMIFS('NSE - NIFTY Index Options'!$M:$M,'NSE - NIFTY Index Options'!$C:$C,$A33,'NSE - NIFTY Index Options'!$B:$B,E$4,'NSE - NIFTY Index Options'!$I:$I,"Weekly*")+SUMIFS('NSE - NIFTY Index Options'!$M:$M,'NSE - NIFTY Index Options'!$C:$C,$A33,'NSE - NIFTY Index Options'!$B:$B,E$4,'NSE - NIFTY Index Options'!$I:$I,"MDAW*")+SUMIFS('NSE - Other Index Options'!$M:$M,'NSE - Other Index Options'!$C:$C,$A33,'NSE - Other Index Options'!$B:$B,E$4,'NSE - Other Index Options'!$I:$I,"Weekly*")+SUMIFS('NSE - Other Index Options'!$M:$M,'NSE - Other Index Options'!$C:$C,$A33,'NSE - Other Index Options'!$B:$B,E$4,'NSE - Other Index Options'!$I:$I,"MDAW*"))</f>
        <v/>
      </c>
      <c r="F33" s="26">
        <f>IF(SUMIFS('NSE - NIFTY Index Options'!$M:$M,'NSE - NIFTY Index Options'!$C:$C,$A33,'NSE - NIFTY Index Options'!$B:$B,F$4,'NSE - NIFTY Index Options'!$I:$I,"Weekly*")+SUMIFS('NSE - NIFTY Index Options'!$M:$M,'NSE - NIFTY Index Options'!$C:$C,$A33,'NSE - NIFTY Index Options'!$B:$B,F$4,'NSE - NIFTY Index Options'!$I:$I,"MDAW*")+SUMIFS('NSE - Other Index Options'!$M:$M,'NSE - Other Index Options'!$C:$C,$A33,'NSE - Other Index Options'!$B:$B,F$4,'NSE - Other Index Options'!$I:$I,"Weekly*")+SUMIFS('NSE - Other Index Options'!$M:$M,'NSE - Other Index Options'!$C:$C,$A33,'NSE - Other Index Options'!$B:$B,F$4,'NSE - Other Index Options'!$I:$I,"MDAW*")=0,"",SUMIFS('NSE - NIFTY Index Options'!$M:$M,'NSE - NIFTY Index Options'!$C:$C,$A33,'NSE - NIFTY Index Options'!$B:$B,F$4,'NSE - NIFTY Index Options'!$I:$I,"Weekly*")+SUMIFS('NSE - NIFTY Index Options'!$M:$M,'NSE - NIFTY Index Options'!$C:$C,$A33,'NSE - NIFTY Index Options'!$B:$B,F$4,'NSE - NIFTY Index Options'!$I:$I,"MDAW*")+SUMIFS('NSE - Other Index Options'!$M:$M,'NSE - Other Index Options'!$C:$C,$A33,'NSE - Other Index Options'!$B:$B,F$4,'NSE - Other Index Options'!$I:$I,"Weekly*")+SUMIFS('NSE - Other Index Options'!$M:$M,'NSE - Other Index Options'!$C:$C,$A33,'NSE - Other Index Options'!$B:$B,F$4,'NSE - Other Index Options'!$I:$I,"MDAW*"))</f>
        <v/>
      </c>
      <c r="G33" s="26">
        <f>IF(SUMIFS('NSE - NIFTY Index Options'!$M:$M,'NSE - NIFTY Index Options'!$C:$C,$A33,'NSE - NIFTY Index Options'!$B:$B,G$4,'NSE - NIFTY Index Options'!$I:$I,"Weekly*")+SUMIFS('NSE - NIFTY Index Options'!$M:$M,'NSE - NIFTY Index Options'!$C:$C,$A33,'NSE - NIFTY Index Options'!$B:$B,G$4,'NSE - NIFTY Index Options'!$I:$I,"MDAW*")+SUMIFS('NSE - Other Index Options'!$M:$M,'NSE - Other Index Options'!$C:$C,$A33,'NSE - Other Index Options'!$B:$B,G$4,'NSE - Other Index Options'!$I:$I,"Weekly*")+SUMIFS('NSE - Other Index Options'!$M:$M,'NSE - Other Index Options'!$C:$C,$A33,'NSE - Other Index Options'!$B:$B,G$4,'NSE - Other Index Options'!$I:$I,"MDAW*")=0,"",SUMIFS('NSE - NIFTY Index Options'!$M:$M,'NSE - NIFTY Index Options'!$C:$C,$A33,'NSE - NIFTY Index Options'!$B:$B,G$4,'NSE - NIFTY Index Options'!$I:$I,"Weekly*")+SUMIFS('NSE - NIFTY Index Options'!$M:$M,'NSE - NIFTY Index Options'!$C:$C,$A33,'NSE - NIFTY Index Options'!$B:$B,G$4,'NSE - NIFTY Index Options'!$I:$I,"MDAW*")+SUMIFS('NSE - Other Index Options'!$M:$M,'NSE - Other Index Options'!$C:$C,$A33,'NSE - Other Index Options'!$B:$B,G$4,'NSE - Other Index Options'!$I:$I,"Weekly*")+SUMIFS('NSE - Other Index Options'!$M:$M,'NSE - Other Index Options'!$C:$C,$A33,'NSE - Other Index Options'!$B:$B,G$4,'NSE - Other Index Options'!$I:$I,"MDAW*"))</f>
        <v/>
      </c>
      <c r="H33" s="26">
        <f>IF(SUM(B33:G33)=0,"",SUM(B33:G33))</f>
        <v/>
      </c>
    </row>
    <row r="34">
      <c r="A34" t="inlineStr">
        <is>
          <t>Week1-Mar-2026</t>
        </is>
      </c>
      <c r="B34" s="26">
        <f>IF(SUMIFS('NSE - NIFTY Index Options'!$M:$M,'NSE - NIFTY Index Options'!$C:$C,$A34,'NSE - NIFTY Index Options'!$B:$B,B$4,'NSE - NIFTY Index Options'!$I:$I,"Weekly*")+SUMIFS('NSE - NIFTY Index Options'!$M:$M,'NSE - NIFTY Index Options'!$C:$C,$A34,'NSE - NIFTY Index Options'!$B:$B,B$4,'NSE - NIFTY Index Options'!$I:$I,"MDAW*")+SUMIFS('NSE - Other Index Options'!$M:$M,'NSE - Other Index Options'!$C:$C,$A34,'NSE - Other Index Options'!$B:$B,B$4,'NSE - Other Index Options'!$I:$I,"Weekly*")+SUMIFS('NSE - Other Index Options'!$M:$M,'NSE - Other Index Options'!$C:$C,$A34,'NSE - Other Index Options'!$B:$B,B$4,'NSE - Other Index Options'!$I:$I,"MDAW*")=0,"",SUMIFS('NSE - NIFTY Index Options'!$M:$M,'NSE - NIFTY Index Options'!$C:$C,$A34,'NSE - NIFTY Index Options'!$B:$B,B$4,'NSE - NIFTY Index Options'!$I:$I,"Weekly*")+SUMIFS('NSE - NIFTY Index Options'!$M:$M,'NSE - NIFTY Index Options'!$C:$C,$A34,'NSE - NIFTY Index Options'!$B:$B,B$4,'NSE - NIFTY Index Options'!$I:$I,"MDAW*")+SUMIFS('NSE - Other Index Options'!$M:$M,'NSE - Other Index Options'!$C:$C,$A34,'NSE - Other Index Options'!$B:$B,B$4,'NSE - Other Index Options'!$I:$I,"Weekly*")+SUMIFS('NSE - Other Index Options'!$M:$M,'NSE - Other Index Options'!$C:$C,$A34,'NSE - Other Index Options'!$B:$B,B$4,'NSE - Other Index Options'!$I:$I,"MDAW*"))</f>
        <v/>
      </c>
      <c r="C34" s="26">
        <f>IF(SUMIFS('NSE - NIFTY Index Options'!$M:$M,'NSE - NIFTY Index Options'!$C:$C,$A34,'NSE - NIFTY Index Options'!$B:$B,C$4,'NSE - NIFTY Index Options'!$I:$I,"Weekly*")+SUMIFS('NSE - NIFTY Index Options'!$M:$M,'NSE - NIFTY Index Options'!$C:$C,$A34,'NSE - NIFTY Index Options'!$B:$B,C$4,'NSE - NIFTY Index Options'!$I:$I,"MDAW*")+SUMIFS('NSE - Other Index Options'!$M:$M,'NSE - Other Index Options'!$C:$C,$A34,'NSE - Other Index Options'!$B:$B,C$4,'NSE - Other Index Options'!$I:$I,"Weekly*")+SUMIFS('NSE - Other Index Options'!$M:$M,'NSE - Other Index Options'!$C:$C,$A34,'NSE - Other Index Options'!$B:$B,C$4,'NSE - Other Index Options'!$I:$I,"MDAW*")=0,"",SUMIFS('NSE - NIFTY Index Options'!$M:$M,'NSE - NIFTY Index Options'!$C:$C,$A34,'NSE - NIFTY Index Options'!$B:$B,C$4,'NSE - NIFTY Index Options'!$I:$I,"Weekly*")+SUMIFS('NSE - NIFTY Index Options'!$M:$M,'NSE - NIFTY Index Options'!$C:$C,$A34,'NSE - NIFTY Index Options'!$B:$B,C$4,'NSE - NIFTY Index Options'!$I:$I,"MDAW*")+SUMIFS('NSE - Other Index Options'!$M:$M,'NSE - Other Index Options'!$C:$C,$A34,'NSE - Other Index Options'!$B:$B,C$4,'NSE - Other Index Options'!$I:$I,"Weekly*")+SUMIFS('NSE - Other Index Options'!$M:$M,'NSE - Other Index Options'!$C:$C,$A34,'NSE - Other Index Options'!$B:$B,C$4,'NSE - Other Index Options'!$I:$I,"MDAW*"))</f>
        <v/>
      </c>
      <c r="D34" s="26">
        <f>IF(SUMIFS('NSE - NIFTY Index Options'!$M:$M,'NSE - NIFTY Index Options'!$C:$C,$A34,'NSE - NIFTY Index Options'!$B:$B,D$4,'NSE - NIFTY Index Options'!$I:$I,"Weekly*")+SUMIFS('NSE - NIFTY Index Options'!$M:$M,'NSE - NIFTY Index Options'!$C:$C,$A34,'NSE - NIFTY Index Options'!$B:$B,D$4,'NSE - NIFTY Index Options'!$I:$I,"MDAW*")+SUMIFS('NSE - Other Index Options'!$M:$M,'NSE - Other Index Options'!$C:$C,$A34,'NSE - Other Index Options'!$B:$B,D$4,'NSE - Other Index Options'!$I:$I,"Weekly*")+SUMIFS('NSE - Other Index Options'!$M:$M,'NSE - Other Index Options'!$C:$C,$A34,'NSE - Other Index Options'!$B:$B,D$4,'NSE - Other Index Options'!$I:$I,"MDAW*")=0,"",SUMIFS('NSE - NIFTY Index Options'!$M:$M,'NSE - NIFTY Index Options'!$C:$C,$A34,'NSE - NIFTY Index Options'!$B:$B,D$4,'NSE - NIFTY Index Options'!$I:$I,"Weekly*")+SUMIFS('NSE - NIFTY Index Options'!$M:$M,'NSE - NIFTY Index Options'!$C:$C,$A34,'NSE - NIFTY Index Options'!$B:$B,D$4,'NSE - NIFTY Index Options'!$I:$I,"MDAW*")+SUMIFS('NSE - Other Index Options'!$M:$M,'NSE - Other Index Options'!$C:$C,$A34,'NSE - Other Index Options'!$B:$B,D$4,'NSE - Other Index Options'!$I:$I,"Weekly*")+SUMIFS('NSE - Other Index Options'!$M:$M,'NSE - Other Index Options'!$C:$C,$A34,'NSE - Other Index Options'!$B:$B,D$4,'NSE - Other Index Options'!$I:$I,"MDAW*"))</f>
        <v/>
      </c>
      <c r="E34" s="26">
        <f>IF(SUMIFS('NSE - NIFTY Index Options'!$M:$M,'NSE - NIFTY Index Options'!$C:$C,$A34,'NSE - NIFTY Index Options'!$B:$B,E$4,'NSE - NIFTY Index Options'!$I:$I,"Weekly*")+SUMIFS('NSE - NIFTY Index Options'!$M:$M,'NSE - NIFTY Index Options'!$C:$C,$A34,'NSE - NIFTY Index Options'!$B:$B,E$4,'NSE - NIFTY Index Options'!$I:$I,"MDAW*")+SUMIFS('NSE - Other Index Options'!$M:$M,'NSE - Other Index Options'!$C:$C,$A34,'NSE - Other Index Options'!$B:$B,E$4,'NSE - Other Index Options'!$I:$I,"Weekly*")+SUMIFS('NSE - Other Index Options'!$M:$M,'NSE - Other Index Options'!$C:$C,$A34,'NSE - Other Index Options'!$B:$B,E$4,'NSE - Other Index Options'!$I:$I,"MDAW*")=0,"",SUMIFS('NSE - NIFTY Index Options'!$M:$M,'NSE - NIFTY Index Options'!$C:$C,$A34,'NSE - NIFTY Index Options'!$B:$B,E$4,'NSE - NIFTY Index Options'!$I:$I,"Weekly*")+SUMIFS('NSE - NIFTY Index Options'!$M:$M,'NSE - NIFTY Index Options'!$C:$C,$A34,'NSE - NIFTY Index Options'!$B:$B,E$4,'NSE - NIFTY Index Options'!$I:$I,"MDAW*")+SUMIFS('NSE - Other Index Options'!$M:$M,'NSE - Other Index Options'!$C:$C,$A34,'NSE - Other Index Options'!$B:$B,E$4,'NSE - Other Index Options'!$I:$I,"Weekly*")+SUMIFS('NSE - Other Index Options'!$M:$M,'NSE - Other Index Options'!$C:$C,$A34,'NSE - Other Index Options'!$B:$B,E$4,'NSE - Other Index Options'!$I:$I,"MDAW*"))</f>
        <v/>
      </c>
      <c r="F34" s="26">
        <f>IF(SUMIFS('NSE - NIFTY Index Options'!$M:$M,'NSE - NIFTY Index Options'!$C:$C,$A34,'NSE - NIFTY Index Options'!$B:$B,F$4,'NSE - NIFTY Index Options'!$I:$I,"Weekly*")+SUMIFS('NSE - NIFTY Index Options'!$M:$M,'NSE - NIFTY Index Options'!$C:$C,$A34,'NSE - NIFTY Index Options'!$B:$B,F$4,'NSE - NIFTY Index Options'!$I:$I,"MDAW*")+SUMIFS('NSE - Other Index Options'!$M:$M,'NSE - Other Index Options'!$C:$C,$A34,'NSE - Other Index Options'!$B:$B,F$4,'NSE - Other Index Options'!$I:$I,"Weekly*")+SUMIFS('NSE - Other Index Options'!$M:$M,'NSE - Other Index Options'!$C:$C,$A34,'NSE - Other Index Options'!$B:$B,F$4,'NSE - Other Index Options'!$I:$I,"MDAW*")=0,"",SUMIFS('NSE - NIFTY Index Options'!$M:$M,'NSE - NIFTY Index Options'!$C:$C,$A34,'NSE - NIFTY Index Options'!$B:$B,F$4,'NSE - NIFTY Index Options'!$I:$I,"Weekly*")+SUMIFS('NSE - NIFTY Index Options'!$M:$M,'NSE - NIFTY Index Options'!$C:$C,$A34,'NSE - NIFTY Index Options'!$B:$B,F$4,'NSE - NIFTY Index Options'!$I:$I,"MDAW*")+SUMIFS('NSE - Other Index Options'!$M:$M,'NSE - Other Index Options'!$C:$C,$A34,'NSE - Other Index Options'!$B:$B,F$4,'NSE - Other Index Options'!$I:$I,"Weekly*")+SUMIFS('NSE - Other Index Options'!$M:$M,'NSE - Other Index Options'!$C:$C,$A34,'NSE - Other Index Options'!$B:$B,F$4,'NSE - Other Index Options'!$I:$I,"MDAW*"))</f>
        <v/>
      </c>
      <c r="G34" s="26">
        <f>IF(SUMIFS('NSE - NIFTY Index Options'!$M:$M,'NSE - NIFTY Index Options'!$C:$C,$A34,'NSE - NIFTY Index Options'!$B:$B,G$4,'NSE - NIFTY Index Options'!$I:$I,"Weekly*")+SUMIFS('NSE - NIFTY Index Options'!$M:$M,'NSE - NIFTY Index Options'!$C:$C,$A34,'NSE - NIFTY Index Options'!$B:$B,G$4,'NSE - NIFTY Index Options'!$I:$I,"MDAW*")+SUMIFS('NSE - Other Index Options'!$M:$M,'NSE - Other Index Options'!$C:$C,$A34,'NSE - Other Index Options'!$B:$B,G$4,'NSE - Other Index Options'!$I:$I,"Weekly*")+SUMIFS('NSE - Other Index Options'!$M:$M,'NSE - Other Index Options'!$C:$C,$A34,'NSE - Other Index Options'!$B:$B,G$4,'NSE - Other Index Options'!$I:$I,"MDAW*")=0,"",SUMIFS('NSE - NIFTY Index Options'!$M:$M,'NSE - NIFTY Index Options'!$C:$C,$A34,'NSE - NIFTY Index Options'!$B:$B,G$4,'NSE - NIFTY Index Options'!$I:$I,"Weekly*")+SUMIFS('NSE - NIFTY Index Options'!$M:$M,'NSE - NIFTY Index Options'!$C:$C,$A34,'NSE - NIFTY Index Options'!$B:$B,G$4,'NSE - NIFTY Index Options'!$I:$I,"MDAW*")+SUMIFS('NSE - Other Index Options'!$M:$M,'NSE - Other Index Options'!$C:$C,$A34,'NSE - Other Index Options'!$B:$B,G$4,'NSE - Other Index Options'!$I:$I,"Weekly*")+SUMIFS('NSE - Other Index Options'!$M:$M,'NSE - Other Index Options'!$C:$C,$A34,'NSE - Other Index Options'!$B:$B,G$4,'NSE - Other Index Options'!$I:$I,"MDAW*"))</f>
        <v/>
      </c>
      <c r="H34" s="26">
        <f>IF(SUM(B34:G34)=0,"",SUM(B34:G34))</f>
        <v/>
      </c>
    </row>
    <row r="35">
      <c r="A35" t="inlineStr">
        <is>
          <t>Week2-Mar-2026</t>
        </is>
      </c>
      <c r="B35" s="26">
        <f>IF(SUMIFS('NSE - NIFTY Index Options'!$M:$M,'NSE - NIFTY Index Options'!$C:$C,$A35,'NSE - NIFTY Index Options'!$B:$B,B$4,'NSE - NIFTY Index Options'!$I:$I,"Weekly*")+SUMIFS('NSE - NIFTY Index Options'!$M:$M,'NSE - NIFTY Index Options'!$C:$C,$A35,'NSE - NIFTY Index Options'!$B:$B,B$4,'NSE - NIFTY Index Options'!$I:$I,"MDAW*")+SUMIFS('NSE - Other Index Options'!$M:$M,'NSE - Other Index Options'!$C:$C,$A35,'NSE - Other Index Options'!$B:$B,B$4,'NSE - Other Index Options'!$I:$I,"Weekly*")+SUMIFS('NSE - Other Index Options'!$M:$M,'NSE - Other Index Options'!$C:$C,$A35,'NSE - Other Index Options'!$B:$B,B$4,'NSE - Other Index Options'!$I:$I,"MDAW*")=0,"",SUMIFS('NSE - NIFTY Index Options'!$M:$M,'NSE - NIFTY Index Options'!$C:$C,$A35,'NSE - NIFTY Index Options'!$B:$B,B$4,'NSE - NIFTY Index Options'!$I:$I,"Weekly*")+SUMIFS('NSE - NIFTY Index Options'!$M:$M,'NSE - NIFTY Index Options'!$C:$C,$A35,'NSE - NIFTY Index Options'!$B:$B,B$4,'NSE - NIFTY Index Options'!$I:$I,"MDAW*")+SUMIFS('NSE - Other Index Options'!$M:$M,'NSE - Other Index Options'!$C:$C,$A35,'NSE - Other Index Options'!$B:$B,B$4,'NSE - Other Index Options'!$I:$I,"Weekly*")+SUMIFS('NSE - Other Index Options'!$M:$M,'NSE - Other Index Options'!$C:$C,$A35,'NSE - Other Index Options'!$B:$B,B$4,'NSE - Other Index Options'!$I:$I,"MDAW*"))</f>
        <v/>
      </c>
      <c r="C35" s="26">
        <f>IF(SUMIFS('NSE - NIFTY Index Options'!$M:$M,'NSE - NIFTY Index Options'!$C:$C,$A35,'NSE - NIFTY Index Options'!$B:$B,C$4,'NSE - NIFTY Index Options'!$I:$I,"Weekly*")+SUMIFS('NSE - NIFTY Index Options'!$M:$M,'NSE - NIFTY Index Options'!$C:$C,$A35,'NSE - NIFTY Index Options'!$B:$B,C$4,'NSE - NIFTY Index Options'!$I:$I,"MDAW*")+SUMIFS('NSE - Other Index Options'!$M:$M,'NSE - Other Index Options'!$C:$C,$A35,'NSE - Other Index Options'!$B:$B,C$4,'NSE - Other Index Options'!$I:$I,"Weekly*")+SUMIFS('NSE - Other Index Options'!$M:$M,'NSE - Other Index Options'!$C:$C,$A35,'NSE - Other Index Options'!$B:$B,C$4,'NSE - Other Index Options'!$I:$I,"MDAW*")=0,"",SUMIFS('NSE - NIFTY Index Options'!$M:$M,'NSE - NIFTY Index Options'!$C:$C,$A35,'NSE - NIFTY Index Options'!$B:$B,C$4,'NSE - NIFTY Index Options'!$I:$I,"Weekly*")+SUMIFS('NSE - NIFTY Index Options'!$M:$M,'NSE - NIFTY Index Options'!$C:$C,$A35,'NSE - NIFTY Index Options'!$B:$B,C$4,'NSE - NIFTY Index Options'!$I:$I,"MDAW*")+SUMIFS('NSE - Other Index Options'!$M:$M,'NSE - Other Index Options'!$C:$C,$A35,'NSE - Other Index Options'!$B:$B,C$4,'NSE - Other Index Options'!$I:$I,"Weekly*")+SUMIFS('NSE - Other Index Options'!$M:$M,'NSE - Other Index Options'!$C:$C,$A35,'NSE - Other Index Options'!$B:$B,C$4,'NSE - Other Index Options'!$I:$I,"MDAW*"))</f>
        <v/>
      </c>
      <c r="D35" s="26">
        <f>IF(SUMIFS('NSE - NIFTY Index Options'!$M:$M,'NSE - NIFTY Index Options'!$C:$C,$A35,'NSE - NIFTY Index Options'!$B:$B,D$4,'NSE - NIFTY Index Options'!$I:$I,"Weekly*")+SUMIFS('NSE - NIFTY Index Options'!$M:$M,'NSE - NIFTY Index Options'!$C:$C,$A35,'NSE - NIFTY Index Options'!$B:$B,D$4,'NSE - NIFTY Index Options'!$I:$I,"MDAW*")+SUMIFS('NSE - Other Index Options'!$M:$M,'NSE - Other Index Options'!$C:$C,$A35,'NSE - Other Index Options'!$B:$B,D$4,'NSE - Other Index Options'!$I:$I,"Weekly*")+SUMIFS('NSE - Other Index Options'!$M:$M,'NSE - Other Index Options'!$C:$C,$A35,'NSE - Other Index Options'!$B:$B,D$4,'NSE - Other Index Options'!$I:$I,"MDAW*")=0,"",SUMIFS('NSE - NIFTY Index Options'!$M:$M,'NSE - NIFTY Index Options'!$C:$C,$A35,'NSE - NIFTY Index Options'!$B:$B,D$4,'NSE - NIFTY Index Options'!$I:$I,"Weekly*")+SUMIFS('NSE - NIFTY Index Options'!$M:$M,'NSE - NIFTY Index Options'!$C:$C,$A35,'NSE - NIFTY Index Options'!$B:$B,D$4,'NSE - NIFTY Index Options'!$I:$I,"MDAW*")+SUMIFS('NSE - Other Index Options'!$M:$M,'NSE - Other Index Options'!$C:$C,$A35,'NSE - Other Index Options'!$B:$B,D$4,'NSE - Other Index Options'!$I:$I,"Weekly*")+SUMIFS('NSE - Other Index Options'!$M:$M,'NSE - Other Index Options'!$C:$C,$A35,'NSE - Other Index Options'!$B:$B,D$4,'NSE - Other Index Options'!$I:$I,"MDAW*"))</f>
        <v/>
      </c>
      <c r="E35" s="26">
        <f>IF(SUMIFS('NSE - NIFTY Index Options'!$M:$M,'NSE - NIFTY Index Options'!$C:$C,$A35,'NSE - NIFTY Index Options'!$B:$B,E$4,'NSE - NIFTY Index Options'!$I:$I,"Weekly*")+SUMIFS('NSE - NIFTY Index Options'!$M:$M,'NSE - NIFTY Index Options'!$C:$C,$A35,'NSE - NIFTY Index Options'!$B:$B,E$4,'NSE - NIFTY Index Options'!$I:$I,"MDAW*")+SUMIFS('NSE - Other Index Options'!$M:$M,'NSE - Other Index Options'!$C:$C,$A35,'NSE - Other Index Options'!$B:$B,E$4,'NSE - Other Index Options'!$I:$I,"Weekly*")+SUMIFS('NSE - Other Index Options'!$M:$M,'NSE - Other Index Options'!$C:$C,$A35,'NSE - Other Index Options'!$B:$B,E$4,'NSE - Other Index Options'!$I:$I,"MDAW*")=0,"",SUMIFS('NSE - NIFTY Index Options'!$M:$M,'NSE - NIFTY Index Options'!$C:$C,$A35,'NSE - NIFTY Index Options'!$B:$B,E$4,'NSE - NIFTY Index Options'!$I:$I,"Weekly*")+SUMIFS('NSE - NIFTY Index Options'!$M:$M,'NSE - NIFTY Index Options'!$C:$C,$A35,'NSE - NIFTY Index Options'!$B:$B,E$4,'NSE - NIFTY Index Options'!$I:$I,"MDAW*")+SUMIFS('NSE - Other Index Options'!$M:$M,'NSE - Other Index Options'!$C:$C,$A35,'NSE - Other Index Options'!$B:$B,E$4,'NSE - Other Index Options'!$I:$I,"Weekly*")+SUMIFS('NSE - Other Index Options'!$M:$M,'NSE - Other Index Options'!$C:$C,$A35,'NSE - Other Index Options'!$B:$B,E$4,'NSE - Other Index Options'!$I:$I,"MDAW*"))</f>
        <v/>
      </c>
      <c r="F35" s="26">
        <f>IF(SUMIFS('NSE - NIFTY Index Options'!$M:$M,'NSE - NIFTY Index Options'!$C:$C,$A35,'NSE - NIFTY Index Options'!$B:$B,F$4,'NSE - NIFTY Index Options'!$I:$I,"Weekly*")+SUMIFS('NSE - NIFTY Index Options'!$M:$M,'NSE - NIFTY Index Options'!$C:$C,$A35,'NSE - NIFTY Index Options'!$B:$B,F$4,'NSE - NIFTY Index Options'!$I:$I,"MDAW*")+SUMIFS('NSE - Other Index Options'!$M:$M,'NSE - Other Index Options'!$C:$C,$A35,'NSE - Other Index Options'!$B:$B,F$4,'NSE - Other Index Options'!$I:$I,"Weekly*")+SUMIFS('NSE - Other Index Options'!$M:$M,'NSE - Other Index Options'!$C:$C,$A35,'NSE - Other Index Options'!$B:$B,F$4,'NSE - Other Index Options'!$I:$I,"MDAW*")=0,"",SUMIFS('NSE - NIFTY Index Options'!$M:$M,'NSE - NIFTY Index Options'!$C:$C,$A35,'NSE - NIFTY Index Options'!$B:$B,F$4,'NSE - NIFTY Index Options'!$I:$I,"Weekly*")+SUMIFS('NSE - NIFTY Index Options'!$M:$M,'NSE - NIFTY Index Options'!$C:$C,$A35,'NSE - NIFTY Index Options'!$B:$B,F$4,'NSE - NIFTY Index Options'!$I:$I,"MDAW*")+SUMIFS('NSE - Other Index Options'!$M:$M,'NSE - Other Index Options'!$C:$C,$A35,'NSE - Other Index Options'!$B:$B,F$4,'NSE - Other Index Options'!$I:$I,"Weekly*")+SUMIFS('NSE - Other Index Options'!$M:$M,'NSE - Other Index Options'!$C:$C,$A35,'NSE - Other Index Options'!$B:$B,F$4,'NSE - Other Index Options'!$I:$I,"MDAW*"))</f>
        <v/>
      </c>
      <c r="G35" s="26">
        <f>IF(SUMIFS('NSE - NIFTY Index Options'!$M:$M,'NSE - NIFTY Index Options'!$C:$C,$A35,'NSE - NIFTY Index Options'!$B:$B,G$4,'NSE - NIFTY Index Options'!$I:$I,"Weekly*")+SUMIFS('NSE - NIFTY Index Options'!$M:$M,'NSE - NIFTY Index Options'!$C:$C,$A35,'NSE - NIFTY Index Options'!$B:$B,G$4,'NSE - NIFTY Index Options'!$I:$I,"MDAW*")+SUMIFS('NSE - Other Index Options'!$M:$M,'NSE - Other Index Options'!$C:$C,$A35,'NSE - Other Index Options'!$B:$B,G$4,'NSE - Other Index Options'!$I:$I,"Weekly*")+SUMIFS('NSE - Other Index Options'!$M:$M,'NSE - Other Index Options'!$C:$C,$A35,'NSE - Other Index Options'!$B:$B,G$4,'NSE - Other Index Options'!$I:$I,"MDAW*")=0,"",SUMIFS('NSE - NIFTY Index Options'!$M:$M,'NSE - NIFTY Index Options'!$C:$C,$A35,'NSE - NIFTY Index Options'!$B:$B,G$4,'NSE - NIFTY Index Options'!$I:$I,"Weekly*")+SUMIFS('NSE - NIFTY Index Options'!$M:$M,'NSE - NIFTY Index Options'!$C:$C,$A35,'NSE - NIFTY Index Options'!$B:$B,G$4,'NSE - NIFTY Index Options'!$I:$I,"MDAW*")+SUMIFS('NSE - Other Index Options'!$M:$M,'NSE - Other Index Options'!$C:$C,$A35,'NSE - Other Index Options'!$B:$B,G$4,'NSE - Other Index Options'!$I:$I,"Weekly*")+SUMIFS('NSE - Other Index Options'!$M:$M,'NSE - Other Index Options'!$C:$C,$A35,'NSE - Other Index Options'!$B:$B,G$4,'NSE - Other Index Options'!$I:$I,"MDAW*"))</f>
        <v/>
      </c>
      <c r="H35" s="26">
        <f>IF(SUM(B35:G35)=0,"",SUM(B35:G35))</f>
        <v/>
      </c>
    </row>
    <row r="36">
      <c r="A36" t="inlineStr">
        <is>
          <t>Week3-Mar-2026</t>
        </is>
      </c>
      <c r="B36" s="26">
        <f>IF(SUMIFS('NSE - NIFTY Index Options'!$M:$M,'NSE - NIFTY Index Options'!$C:$C,$A36,'NSE - NIFTY Index Options'!$B:$B,B$4,'NSE - NIFTY Index Options'!$I:$I,"Weekly*")+SUMIFS('NSE - NIFTY Index Options'!$M:$M,'NSE - NIFTY Index Options'!$C:$C,$A36,'NSE - NIFTY Index Options'!$B:$B,B$4,'NSE - NIFTY Index Options'!$I:$I,"MDAW*")+SUMIFS('NSE - Other Index Options'!$M:$M,'NSE - Other Index Options'!$C:$C,$A36,'NSE - Other Index Options'!$B:$B,B$4,'NSE - Other Index Options'!$I:$I,"Weekly*")+SUMIFS('NSE - Other Index Options'!$M:$M,'NSE - Other Index Options'!$C:$C,$A36,'NSE - Other Index Options'!$B:$B,B$4,'NSE - Other Index Options'!$I:$I,"MDAW*")=0,"",SUMIFS('NSE - NIFTY Index Options'!$M:$M,'NSE - NIFTY Index Options'!$C:$C,$A36,'NSE - NIFTY Index Options'!$B:$B,B$4,'NSE - NIFTY Index Options'!$I:$I,"Weekly*")+SUMIFS('NSE - NIFTY Index Options'!$M:$M,'NSE - NIFTY Index Options'!$C:$C,$A36,'NSE - NIFTY Index Options'!$B:$B,B$4,'NSE - NIFTY Index Options'!$I:$I,"MDAW*")+SUMIFS('NSE - Other Index Options'!$M:$M,'NSE - Other Index Options'!$C:$C,$A36,'NSE - Other Index Options'!$B:$B,B$4,'NSE - Other Index Options'!$I:$I,"Weekly*")+SUMIFS('NSE - Other Index Options'!$M:$M,'NSE - Other Index Options'!$C:$C,$A36,'NSE - Other Index Options'!$B:$B,B$4,'NSE - Other Index Options'!$I:$I,"MDAW*"))</f>
        <v/>
      </c>
      <c r="C36" s="26">
        <f>IF(SUMIFS('NSE - NIFTY Index Options'!$M:$M,'NSE - NIFTY Index Options'!$C:$C,$A36,'NSE - NIFTY Index Options'!$B:$B,C$4,'NSE - NIFTY Index Options'!$I:$I,"Weekly*")+SUMIFS('NSE - NIFTY Index Options'!$M:$M,'NSE - NIFTY Index Options'!$C:$C,$A36,'NSE - NIFTY Index Options'!$B:$B,C$4,'NSE - NIFTY Index Options'!$I:$I,"MDAW*")+SUMIFS('NSE - Other Index Options'!$M:$M,'NSE - Other Index Options'!$C:$C,$A36,'NSE - Other Index Options'!$B:$B,C$4,'NSE - Other Index Options'!$I:$I,"Weekly*")+SUMIFS('NSE - Other Index Options'!$M:$M,'NSE - Other Index Options'!$C:$C,$A36,'NSE - Other Index Options'!$B:$B,C$4,'NSE - Other Index Options'!$I:$I,"MDAW*")=0,"",SUMIFS('NSE - NIFTY Index Options'!$M:$M,'NSE - NIFTY Index Options'!$C:$C,$A36,'NSE - NIFTY Index Options'!$B:$B,C$4,'NSE - NIFTY Index Options'!$I:$I,"Weekly*")+SUMIFS('NSE - NIFTY Index Options'!$M:$M,'NSE - NIFTY Index Options'!$C:$C,$A36,'NSE - NIFTY Index Options'!$B:$B,C$4,'NSE - NIFTY Index Options'!$I:$I,"MDAW*")+SUMIFS('NSE - Other Index Options'!$M:$M,'NSE - Other Index Options'!$C:$C,$A36,'NSE - Other Index Options'!$B:$B,C$4,'NSE - Other Index Options'!$I:$I,"Weekly*")+SUMIFS('NSE - Other Index Options'!$M:$M,'NSE - Other Index Options'!$C:$C,$A36,'NSE - Other Index Options'!$B:$B,C$4,'NSE - Other Index Options'!$I:$I,"MDAW*"))</f>
        <v/>
      </c>
      <c r="D36" s="26">
        <f>IF(SUMIFS('NSE - NIFTY Index Options'!$M:$M,'NSE - NIFTY Index Options'!$C:$C,$A36,'NSE - NIFTY Index Options'!$B:$B,D$4,'NSE - NIFTY Index Options'!$I:$I,"Weekly*")+SUMIFS('NSE - NIFTY Index Options'!$M:$M,'NSE - NIFTY Index Options'!$C:$C,$A36,'NSE - NIFTY Index Options'!$B:$B,D$4,'NSE - NIFTY Index Options'!$I:$I,"MDAW*")+SUMIFS('NSE - Other Index Options'!$M:$M,'NSE - Other Index Options'!$C:$C,$A36,'NSE - Other Index Options'!$B:$B,D$4,'NSE - Other Index Options'!$I:$I,"Weekly*")+SUMIFS('NSE - Other Index Options'!$M:$M,'NSE - Other Index Options'!$C:$C,$A36,'NSE - Other Index Options'!$B:$B,D$4,'NSE - Other Index Options'!$I:$I,"MDAW*")=0,"",SUMIFS('NSE - NIFTY Index Options'!$M:$M,'NSE - NIFTY Index Options'!$C:$C,$A36,'NSE - NIFTY Index Options'!$B:$B,D$4,'NSE - NIFTY Index Options'!$I:$I,"Weekly*")+SUMIFS('NSE - NIFTY Index Options'!$M:$M,'NSE - NIFTY Index Options'!$C:$C,$A36,'NSE - NIFTY Index Options'!$B:$B,D$4,'NSE - NIFTY Index Options'!$I:$I,"MDAW*")+SUMIFS('NSE - Other Index Options'!$M:$M,'NSE - Other Index Options'!$C:$C,$A36,'NSE - Other Index Options'!$B:$B,D$4,'NSE - Other Index Options'!$I:$I,"Weekly*")+SUMIFS('NSE - Other Index Options'!$M:$M,'NSE - Other Index Options'!$C:$C,$A36,'NSE - Other Index Options'!$B:$B,D$4,'NSE - Other Index Options'!$I:$I,"MDAW*"))</f>
        <v/>
      </c>
      <c r="E36" s="26">
        <f>IF(SUMIFS('NSE - NIFTY Index Options'!$M:$M,'NSE - NIFTY Index Options'!$C:$C,$A36,'NSE - NIFTY Index Options'!$B:$B,E$4,'NSE - NIFTY Index Options'!$I:$I,"Weekly*")+SUMIFS('NSE - NIFTY Index Options'!$M:$M,'NSE - NIFTY Index Options'!$C:$C,$A36,'NSE - NIFTY Index Options'!$B:$B,E$4,'NSE - NIFTY Index Options'!$I:$I,"MDAW*")+SUMIFS('NSE - Other Index Options'!$M:$M,'NSE - Other Index Options'!$C:$C,$A36,'NSE - Other Index Options'!$B:$B,E$4,'NSE - Other Index Options'!$I:$I,"Weekly*")+SUMIFS('NSE - Other Index Options'!$M:$M,'NSE - Other Index Options'!$C:$C,$A36,'NSE - Other Index Options'!$B:$B,E$4,'NSE - Other Index Options'!$I:$I,"MDAW*")=0,"",SUMIFS('NSE - NIFTY Index Options'!$M:$M,'NSE - NIFTY Index Options'!$C:$C,$A36,'NSE - NIFTY Index Options'!$B:$B,E$4,'NSE - NIFTY Index Options'!$I:$I,"Weekly*")+SUMIFS('NSE - NIFTY Index Options'!$M:$M,'NSE - NIFTY Index Options'!$C:$C,$A36,'NSE - NIFTY Index Options'!$B:$B,E$4,'NSE - NIFTY Index Options'!$I:$I,"MDAW*")+SUMIFS('NSE - Other Index Options'!$M:$M,'NSE - Other Index Options'!$C:$C,$A36,'NSE - Other Index Options'!$B:$B,E$4,'NSE - Other Index Options'!$I:$I,"Weekly*")+SUMIFS('NSE - Other Index Options'!$M:$M,'NSE - Other Index Options'!$C:$C,$A36,'NSE - Other Index Options'!$B:$B,E$4,'NSE - Other Index Options'!$I:$I,"MDAW*"))</f>
        <v/>
      </c>
      <c r="F36" s="26">
        <f>IF(SUMIFS('NSE - NIFTY Index Options'!$M:$M,'NSE - NIFTY Index Options'!$C:$C,$A36,'NSE - NIFTY Index Options'!$B:$B,F$4,'NSE - NIFTY Index Options'!$I:$I,"Weekly*")+SUMIFS('NSE - NIFTY Index Options'!$M:$M,'NSE - NIFTY Index Options'!$C:$C,$A36,'NSE - NIFTY Index Options'!$B:$B,F$4,'NSE - NIFTY Index Options'!$I:$I,"MDAW*")+SUMIFS('NSE - Other Index Options'!$M:$M,'NSE - Other Index Options'!$C:$C,$A36,'NSE - Other Index Options'!$B:$B,F$4,'NSE - Other Index Options'!$I:$I,"Weekly*")+SUMIFS('NSE - Other Index Options'!$M:$M,'NSE - Other Index Options'!$C:$C,$A36,'NSE - Other Index Options'!$B:$B,F$4,'NSE - Other Index Options'!$I:$I,"MDAW*")=0,"",SUMIFS('NSE - NIFTY Index Options'!$M:$M,'NSE - NIFTY Index Options'!$C:$C,$A36,'NSE - NIFTY Index Options'!$B:$B,F$4,'NSE - NIFTY Index Options'!$I:$I,"Weekly*")+SUMIFS('NSE - NIFTY Index Options'!$M:$M,'NSE - NIFTY Index Options'!$C:$C,$A36,'NSE - NIFTY Index Options'!$B:$B,F$4,'NSE - NIFTY Index Options'!$I:$I,"MDAW*")+SUMIFS('NSE - Other Index Options'!$M:$M,'NSE - Other Index Options'!$C:$C,$A36,'NSE - Other Index Options'!$B:$B,F$4,'NSE - Other Index Options'!$I:$I,"Weekly*")+SUMIFS('NSE - Other Index Options'!$M:$M,'NSE - Other Index Options'!$C:$C,$A36,'NSE - Other Index Options'!$B:$B,F$4,'NSE - Other Index Options'!$I:$I,"MDAW*"))</f>
        <v/>
      </c>
      <c r="G36" s="26">
        <f>IF(SUMIFS('NSE - NIFTY Index Options'!$M:$M,'NSE - NIFTY Index Options'!$C:$C,$A36,'NSE - NIFTY Index Options'!$B:$B,G$4,'NSE - NIFTY Index Options'!$I:$I,"Weekly*")+SUMIFS('NSE - NIFTY Index Options'!$M:$M,'NSE - NIFTY Index Options'!$C:$C,$A36,'NSE - NIFTY Index Options'!$B:$B,G$4,'NSE - NIFTY Index Options'!$I:$I,"MDAW*")+SUMIFS('NSE - Other Index Options'!$M:$M,'NSE - Other Index Options'!$C:$C,$A36,'NSE - Other Index Options'!$B:$B,G$4,'NSE - Other Index Options'!$I:$I,"Weekly*")+SUMIFS('NSE - Other Index Options'!$M:$M,'NSE - Other Index Options'!$C:$C,$A36,'NSE - Other Index Options'!$B:$B,G$4,'NSE - Other Index Options'!$I:$I,"MDAW*")=0,"",SUMIFS('NSE - NIFTY Index Options'!$M:$M,'NSE - NIFTY Index Options'!$C:$C,$A36,'NSE - NIFTY Index Options'!$B:$B,G$4,'NSE - NIFTY Index Options'!$I:$I,"Weekly*")+SUMIFS('NSE - NIFTY Index Options'!$M:$M,'NSE - NIFTY Index Options'!$C:$C,$A36,'NSE - NIFTY Index Options'!$B:$B,G$4,'NSE - NIFTY Index Options'!$I:$I,"MDAW*")+SUMIFS('NSE - Other Index Options'!$M:$M,'NSE - Other Index Options'!$C:$C,$A36,'NSE - Other Index Options'!$B:$B,G$4,'NSE - Other Index Options'!$I:$I,"Weekly*")+SUMIFS('NSE - Other Index Options'!$M:$M,'NSE - Other Index Options'!$C:$C,$A36,'NSE - Other Index Options'!$B:$B,G$4,'NSE - Other Index Options'!$I:$I,"MDAW*"))</f>
        <v/>
      </c>
      <c r="H36" s="26">
        <f>IF(SUM(B36:G36)=0,"",SUM(B36:G36))</f>
        <v/>
      </c>
    </row>
    <row r="37">
      <c r="A37" t="inlineStr">
        <is>
          <t>Week4-Mar-2026</t>
        </is>
      </c>
      <c r="B37" s="26">
        <f>IF(SUMIFS('NSE - NIFTY Index Options'!$M:$M,'NSE - NIFTY Index Options'!$C:$C,$A37,'NSE - NIFTY Index Options'!$B:$B,B$4,'NSE - NIFTY Index Options'!$I:$I,"Weekly*")+SUMIFS('NSE - NIFTY Index Options'!$M:$M,'NSE - NIFTY Index Options'!$C:$C,$A37,'NSE - NIFTY Index Options'!$B:$B,B$4,'NSE - NIFTY Index Options'!$I:$I,"MDAW*")+SUMIFS('NSE - Other Index Options'!$M:$M,'NSE - Other Index Options'!$C:$C,$A37,'NSE - Other Index Options'!$B:$B,B$4,'NSE - Other Index Options'!$I:$I,"Weekly*")+SUMIFS('NSE - Other Index Options'!$M:$M,'NSE - Other Index Options'!$C:$C,$A37,'NSE - Other Index Options'!$B:$B,B$4,'NSE - Other Index Options'!$I:$I,"MDAW*")=0,"",SUMIFS('NSE - NIFTY Index Options'!$M:$M,'NSE - NIFTY Index Options'!$C:$C,$A37,'NSE - NIFTY Index Options'!$B:$B,B$4,'NSE - NIFTY Index Options'!$I:$I,"Weekly*")+SUMIFS('NSE - NIFTY Index Options'!$M:$M,'NSE - NIFTY Index Options'!$C:$C,$A37,'NSE - NIFTY Index Options'!$B:$B,B$4,'NSE - NIFTY Index Options'!$I:$I,"MDAW*")+SUMIFS('NSE - Other Index Options'!$M:$M,'NSE - Other Index Options'!$C:$C,$A37,'NSE - Other Index Options'!$B:$B,B$4,'NSE - Other Index Options'!$I:$I,"Weekly*")+SUMIFS('NSE - Other Index Options'!$M:$M,'NSE - Other Index Options'!$C:$C,$A37,'NSE - Other Index Options'!$B:$B,B$4,'NSE - Other Index Options'!$I:$I,"MDAW*"))</f>
        <v/>
      </c>
      <c r="C37" s="26">
        <f>IF(SUMIFS('NSE - NIFTY Index Options'!$M:$M,'NSE - NIFTY Index Options'!$C:$C,$A37,'NSE - NIFTY Index Options'!$B:$B,C$4,'NSE - NIFTY Index Options'!$I:$I,"Weekly*")+SUMIFS('NSE - NIFTY Index Options'!$M:$M,'NSE - NIFTY Index Options'!$C:$C,$A37,'NSE - NIFTY Index Options'!$B:$B,C$4,'NSE - NIFTY Index Options'!$I:$I,"MDAW*")+SUMIFS('NSE - Other Index Options'!$M:$M,'NSE - Other Index Options'!$C:$C,$A37,'NSE - Other Index Options'!$B:$B,C$4,'NSE - Other Index Options'!$I:$I,"Weekly*")+SUMIFS('NSE - Other Index Options'!$M:$M,'NSE - Other Index Options'!$C:$C,$A37,'NSE - Other Index Options'!$B:$B,C$4,'NSE - Other Index Options'!$I:$I,"MDAW*")=0,"",SUMIFS('NSE - NIFTY Index Options'!$M:$M,'NSE - NIFTY Index Options'!$C:$C,$A37,'NSE - NIFTY Index Options'!$B:$B,C$4,'NSE - NIFTY Index Options'!$I:$I,"Weekly*")+SUMIFS('NSE - NIFTY Index Options'!$M:$M,'NSE - NIFTY Index Options'!$C:$C,$A37,'NSE - NIFTY Index Options'!$B:$B,C$4,'NSE - NIFTY Index Options'!$I:$I,"MDAW*")+SUMIFS('NSE - Other Index Options'!$M:$M,'NSE - Other Index Options'!$C:$C,$A37,'NSE - Other Index Options'!$B:$B,C$4,'NSE - Other Index Options'!$I:$I,"Weekly*")+SUMIFS('NSE - Other Index Options'!$M:$M,'NSE - Other Index Options'!$C:$C,$A37,'NSE - Other Index Options'!$B:$B,C$4,'NSE - Other Index Options'!$I:$I,"MDAW*"))</f>
        <v/>
      </c>
      <c r="D37" s="26">
        <f>IF(SUMIFS('NSE - NIFTY Index Options'!$M:$M,'NSE - NIFTY Index Options'!$C:$C,$A37,'NSE - NIFTY Index Options'!$B:$B,D$4,'NSE - NIFTY Index Options'!$I:$I,"Weekly*")+SUMIFS('NSE - NIFTY Index Options'!$M:$M,'NSE - NIFTY Index Options'!$C:$C,$A37,'NSE - NIFTY Index Options'!$B:$B,D$4,'NSE - NIFTY Index Options'!$I:$I,"MDAW*")+SUMIFS('NSE - Other Index Options'!$M:$M,'NSE - Other Index Options'!$C:$C,$A37,'NSE - Other Index Options'!$B:$B,D$4,'NSE - Other Index Options'!$I:$I,"Weekly*")+SUMIFS('NSE - Other Index Options'!$M:$M,'NSE - Other Index Options'!$C:$C,$A37,'NSE - Other Index Options'!$B:$B,D$4,'NSE - Other Index Options'!$I:$I,"MDAW*")=0,"",SUMIFS('NSE - NIFTY Index Options'!$M:$M,'NSE - NIFTY Index Options'!$C:$C,$A37,'NSE - NIFTY Index Options'!$B:$B,D$4,'NSE - NIFTY Index Options'!$I:$I,"Weekly*")+SUMIFS('NSE - NIFTY Index Options'!$M:$M,'NSE - NIFTY Index Options'!$C:$C,$A37,'NSE - NIFTY Index Options'!$B:$B,D$4,'NSE - NIFTY Index Options'!$I:$I,"MDAW*")+SUMIFS('NSE - Other Index Options'!$M:$M,'NSE - Other Index Options'!$C:$C,$A37,'NSE - Other Index Options'!$B:$B,D$4,'NSE - Other Index Options'!$I:$I,"Weekly*")+SUMIFS('NSE - Other Index Options'!$M:$M,'NSE - Other Index Options'!$C:$C,$A37,'NSE - Other Index Options'!$B:$B,D$4,'NSE - Other Index Options'!$I:$I,"MDAW*"))</f>
        <v/>
      </c>
      <c r="E37" s="26">
        <f>IF(SUMIFS('NSE - NIFTY Index Options'!$M:$M,'NSE - NIFTY Index Options'!$C:$C,$A37,'NSE - NIFTY Index Options'!$B:$B,E$4,'NSE - NIFTY Index Options'!$I:$I,"Weekly*")+SUMIFS('NSE - NIFTY Index Options'!$M:$M,'NSE - NIFTY Index Options'!$C:$C,$A37,'NSE - NIFTY Index Options'!$B:$B,E$4,'NSE - NIFTY Index Options'!$I:$I,"MDAW*")+SUMIFS('NSE - Other Index Options'!$M:$M,'NSE - Other Index Options'!$C:$C,$A37,'NSE - Other Index Options'!$B:$B,E$4,'NSE - Other Index Options'!$I:$I,"Weekly*")+SUMIFS('NSE - Other Index Options'!$M:$M,'NSE - Other Index Options'!$C:$C,$A37,'NSE - Other Index Options'!$B:$B,E$4,'NSE - Other Index Options'!$I:$I,"MDAW*")=0,"",SUMIFS('NSE - NIFTY Index Options'!$M:$M,'NSE - NIFTY Index Options'!$C:$C,$A37,'NSE - NIFTY Index Options'!$B:$B,E$4,'NSE - NIFTY Index Options'!$I:$I,"Weekly*")+SUMIFS('NSE - NIFTY Index Options'!$M:$M,'NSE - NIFTY Index Options'!$C:$C,$A37,'NSE - NIFTY Index Options'!$B:$B,E$4,'NSE - NIFTY Index Options'!$I:$I,"MDAW*")+SUMIFS('NSE - Other Index Options'!$M:$M,'NSE - Other Index Options'!$C:$C,$A37,'NSE - Other Index Options'!$B:$B,E$4,'NSE - Other Index Options'!$I:$I,"Weekly*")+SUMIFS('NSE - Other Index Options'!$M:$M,'NSE - Other Index Options'!$C:$C,$A37,'NSE - Other Index Options'!$B:$B,E$4,'NSE - Other Index Options'!$I:$I,"MDAW*"))</f>
        <v/>
      </c>
      <c r="F37" s="26">
        <f>IF(SUMIFS('NSE - NIFTY Index Options'!$M:$M,'NSE - NIFTY Index Options'!$C:$C,$A37,'NSE - NIFTY Index Options'!$B:$B,F$4,'NSE - NIFTY Index Options'!$I:$I,"Weekly*")+SUMIFS('NSE - NIFTY Index Options'!$M:$M,'NSE - NIFTY Index Options'!$C:$C,$A37,'NSE - NIFTY Index Options'!$B:$B,F$4,'NSE - NIFTY Index Options'!$I:$I,"MDAW*")+SUMIFS('NSE - Other Index Options'!$M:$M,'NSE - Other Index Options'!$C:$C,$A37,'NSE - Other Index Options'!$B:$B,F$4,'NSE - Other Index Options'!$I:$I,"Weekly*")+SUMIFS('NSE - Other Index Options'!$M:$M,'NSE - Other Index Options'!$C:$C,$A37,'NSE - Other Index Options'!$B:$B,F$4,'NSE - Other Index Options'!$I:$I,"MDAW*")=0,"",SUMIFS('NSE - NIFTY Index Options'!$M:$M,'NSE - NIFTY Index Options'!$C:$C,$A37,'NSE - NIFTY Index Options'!$B:$B,F$4,'NSE - NIFTY Index Options'!$I:$I,"Weekly*")+SUMIFS('NSE - NIFTY Index Options'!$M:$M,'NSE - NIFTY Index Options'!$C:$C,$A37,'NSE - NIFTY Index Options'!$B:$B,F$4,'NSE - NIFTY Index Options'!$I:$I,"MDAW*")+SUMIFS('NSE - Other Index Options'!$M:$M,'NSE - Other Index Options'!$C:$C,$A37,'NSE - Other Index Options'!$B:$B,F$4,'NSE - Other Index Options'!$I:$I,"Weekly*")+SUMIFS('NSE - Other Index Options'!$M:$M,'NSE - Other Index Options'!$C:$C,$A37,'NSE - Other Index Options'!$B:$B,F$4,'NSE - Other Index Options'!$I:$I,"MDAW*"))</f>
        <v/>
      </c>
      <c r="G37" s="26">
        <f>IF(SUMIFS('NSE - NIFTY Index Options'!$M:$M,'NSE - NIFTY Index Options'!$C:$C,$A37,'NSE - NIFTY Index Options'!$B:$B,G$4,'NSE - NIFTY Index Options'!$I:$I,"Weekly*")+SUMIFS('NSE - NIFTY Index Options'!$M:$M,'NSE - NIFTY Index Options'!$C:$C,$A37,'NSE - NIFTY Index Options'!$B:$B,G$4,'NSE - NIFTY Index Options'!$I:$I,"MDAW*")+SUMIFS('NSE - Other Index Options'!$M:$M,'NSE - Other Index Options'!$C:$C,$A37,'NSE - Other Index Options'!$B:$B,G$4,'NSE - Other Index Options'!$I:$I,"Weekly*")+SUMIFS('NSE - Other Index Options'!$M:$M,'NSE - Other Index Options'!$C:$C,$A37,'NSE - Other Index Options'!$B:$B,G$4,'NSE - Other Index Options'!$I:$I,"MDAW*")=0,"",SUMIFS('NSE - NIFTY Index Options'!$M:$M,'NSE - NIFTY Index Options'!$C:$C,$A37,'NSE - NIFTY Index Options'!$B:$B,G$4,'NSE - NIFTY Index Options'!$I:$I,"Weekly*")+SUMIFS('NSE - NIFTY Index Options'!$M:$M,'NSE - NIFTY Index Options'!$C:$C,$A37,'NSE - NIFTY Index Options'!$B:$B,G$4,'NSE - NIFTY Index Options'!$I:$I,"MDAW*")+SUMIFS('NSE - Other Index Options'!$M:$M,'NSE - Other Index Options'!$C:$C,$A37,'NSE - Other Index Options'!$B:$B,G$4,'NSE - Other Index Options'!$I:$I,"Weekly*")+SUMIFS('NSE - Other Index Options'!$M:$M,'NSE - Other Index Options'!$C:$C,$A37,'NSE - Other Index Options'!$B:$B,G$4,'NSE - Other Index Options'!$I:$I,"MDAW*"))</f>
        <v/>
      </c>
      <c r="H37" s="26">
        <f>IF(SUM(B37:G37)=0,"",SUM(B37:G37))</f>
        <v/>
      </c>
    </row>
    <row r="38">
      <c r="A38" t="inlineStr">
        <is>
          <t>Week5-Mar-2026</t>
        </is>
      </c>
      <c r="B38" s="26">
        <f>IF(SUMIFS('NSE - NIFTY Index Options'!$M:$M,'NSE - NIFTY Index Options'!$C:$C,$A38,'NSE - NIFTY Index Options'!$B:$B,B$4,'NSE - NIFTY Index Options'!$I:$I,"Weekly*")+SUMIFS('NSE - NIFTY Index Options'!$M:$M,'NSE - NIFTY Index Options'!$C:$C,$A38,'NSE - NIFTY Index Options'!$B:$B,B$4,'NSE - NIFTY Index Options'!$I:$I,"MDAW*")+SUMIFS('NSE - Other Index Options'!$M:$M,'NSE - Other Index Options'!$C:$C,$A38,'NSE - Other Index Options'!$B:$B,B$4,'NSE - Other Index Options'!$I:$I,"Weekly*")+SUMIFS('NSE - Other Index Options'!$M:$M,'NSE - Other Index Options'!$C:$C,$A38,'NSE - Other Index Options'!$B:$B,B$4,'NSE - Other Index Options'!$I:$I,"MDAW*")=0,"",SUMIFS('NSE - NIFTY Index Options'!$M:$M,'NSE - NIFTY Index Options'!$C:$C,$A38,'NSE - NIFTY Index Options'!$B:$B,B$4,'NSE - NIFTY Index Options'!$I:$I,"Weekly*")+SUMIFS('NSE - NIFTY Index Options'!$M:$M,'NSE - NIFTY Index Options'!$C:$C,$A38,'NSE - NIFTY Index Options'!$B:$B,B$4,'NSE - NIFTY Index Options'!$I:$I,"MDAW*")+SUMIFS('NSE - Other Index Options'!$M:$M,'NSE - Other Index Options'!$C:$C,$A38,'NSE - Other Index Options'!$B:$B,B$4,'NSE - Other Index Options'!$I:$I,"Weekly*")+SUMIFS('NSE - Other Index Options'!$M:$M,'NSE - Other Index Options'!$C:$C,$A38,'NSE - Other Index Options'!$B:$B,B$4,'NSE - Other Index Options'!$I:$I,"MDAW*"))</f>
        <v/>
      </c>
      <c r="C38" s="26">
        <f>IF(SUMIFS('NSE - NIFTY Index Options'!$M:$M,'NSE - NIFTY Index Options'!$C:$C,$A38,'NSE - NIFTY Index Options'!$B:$B,C$4,'NSE - NIFTY Index Options'!$I:$I,"Weekly*")+SUMIFS('NSE - NIFTY Index Options'!$M:$M,'NSE - NIFTY Index Options'!$C:$C,$A38,'NSE - NIFTY Index Options'!$B:$B,C$4,'NSE - NIFTY Index Options'!$I:$I,"MDAW*")+SUMIFS('NSE - Other Index Options'!$M:$M,'NSE - Other Index Options'!$C:$C,$A38,'NSE - Other Index Options'!$B:$B,C$4,'NSE - Other Index Options'!$I:$I,"Weekly*")+SUMIFS('NSE - Other Index Options'!$M:$M,'NSE - Other Index Options'!$C:$C,$A38,'NSE - Other Index Options'!$B:$B,C$4,'NSE - Other Index Options'!$I:$I,"MDAW*")=0,"",SUMIFS('NSE - NIFTY Index Options'!$M:$M,'NSE - NIFTY Index Options'!$C:$C,$A38,'NSE - NIFTY Index Options'!$B:$B,C$4,'NSE - NIFTY Index Options'!$I:$I,"Weekly*")+SUMIFS('NSE - NIFTY Index Options'!$M:$M,'NSE - NIFTY Index Options'!$C:$C,$A38,'NSE - NIFTY Index Options'!$B:$B,C$4,'NSE - NIFTY Index Options'!$I:$I,"MDAW*")+SUMIFS('NSE - Other Index Options'!$M:$M,'NSE - Other Index Options'!$C:$C,$A38,'NSE - Other Index Options'!$B:$B,C$4,'NSE - Other Index Options'!$I:$I,"Weekly*")+SUMIFS('NSE - Other Index Options'!$M:$M,'NSE - Other Index Options'!$C:$C,$A38,'NSE - Other Index Options'!$B:$B,C$4,'NSE - Other Index Options'!$I:$I,"MDAW*"))</f>
        <v/>
      </c>
      <c r="D38" s="26">
        <f>IF(SUMIFS('NSE - NIFTY Index Options'!$M:$M,'NSE - NIFTY Index Options'!$C:$C,$A38,'NSE - NIFTY Index Options'!$B:$B,D$4,'NSE - NIFTY Index Options'!$I:$I,"Weekly*")+SUMIFS('NSE - NIFTY Index Options'!$M:$M,'NSE - NIFTY Index Options'!$C:$C,$A38,'NSE - NIFTY Index Options'!$B:$B,D$4,'NSE - NIFTY Index Options'!$I:$I,"MDAW*")+SUMIFS('NSE - Other Index Options'!$M:$M,'NSE - Other Index Options'!$C:$C,$A38,'NSE - Other Index Options'!$B:$B,D$4,'NSE - Other Index Options'!$I:$I,"Weekly*")+SUMIFS('NSE - Other Index Options'!$M:$M,'NSE - Other Index Options'!$C:$C,$A38,'NSE - Other Index Options'!$B:$B,D$4,'NSE - Other Index Options'!$I:$I,"MDAW*")=0,"",SUMIFS('NSE - NIFTY Index Options'!$M:$M,'NSE - NIFTY Index Options'!$C:$C,$A38,'NSE - NIFTY Index Options'!$B:$B,D$4,'NSE - NIFTY Index Options'!$I:$I,"Weekly*")+SUMIFS('NSE - NIFTY Index Options'!$M:$M,'NSE - NIFTY Index Options'!$C:$C,$A38,'NSE - NIFTY Index Options'!$B:$B,D$4,'NSE - NIFTY Index Options'!$I:$I,"MDAW*")+SUMIFS('NSE - Other Index Options'!$M:$M,'NSE - Other Index Options'!$C:$C,$A38,'NSE - Other Index Options'!$B:$B,D$4,'NSE - Other Index Options'!$I:$I,"Weekly*")+SUMIFS('NSE - Other Index Options'!$M:$M,'NSE - Other Index Options'!$C:$C,$A38,'NSE - Other Index Options'!$B:$B,D$4,'NSE - Other Index Options'!$I:$I,"MDAW*"))</f>
        <v/>
      </c>
      <c r="E38" s="26">
        <f>IF(SUMIFS('NSE - NIFTY Index Options'!$M:$M,'NSE - NIFTY Index Options'!$C:$C,$A38,'NSE - NIFTY Index Options'!$B:$B,E$4,'NSE - NIFTY Index Options'!$I:$I,"Weekly*")+SUMIFS('NSE - NIFTY Index Options'!$M:$M,'NSE - NIFTY Index Options'!$C:$C,$A38,'NSE - NIFTY Index Options'!$B:$B,E$4,'NSE - NIFTY Index Options'!$I:$I,"MDAW*")+SUMIFS('NSE - Other Index Options'!$M:$M,'NSE - Other Index Options'!$C:$C,$A38,'NSE - Other Index Options'!$B:$B,E$4,'NSE - Other Index Options'!$I:$I,"Weekly*")+SUMIFS('NSE - Other Index Options'!$M:$M,'NSE - Other Index Options'!$C:$C,$A38,'NSE - Other Index Options'!$B:$B,E$4,'NSE - Other Index Options'!$I:$I,"MDAW*")=0,"",SUMIFS('NSE - NIFTY Index Options'!$M:$M,'NSE - NIFTY Index Options'!$C:$C,$A38,'NSE - NIFTY Index Options'!$B:$B,E$4,'NSE - NIFTY Index Options'!$I:$I,"Weekly*")+SUMIFS('NSE - NIFTY Index Options'!$M:$M,'NSE - NIFTY Index Options'!$C:$C,$A38,'NSE - NIFTY Index Options'!$B:$B,E$4,'NSE - NIFTY Index Options'!$I:$I,"MDAW*")+SUMIFS('NSE - Other Index Options'!$M:$M,'NSE - Other Index Options'!$C:$C,$A38,'NSE - Other Index Options'!$B:$B,E$4,'NSE - Other Index Options'!$I:$I,"Weekly*")+SUMIFS('NSE - Other Index Options'!$M:$M,'NSE - Other Index Options'!$C:$C,$A38,'NSE - Other Index Options'!$B:$B,E$4,'NSE - Other Index Options'!$I:$I,"MDAW*"))</f>
        <v/>
      </c>
      <c r="F38" s="26">
        <f>IF(SUMIFS('NSE - NIFTY Index Options'!$M:$M,'NSE - NIFTY Index Options'!$C:$C,$A38,'NSE - NIFTY Index Options'!$B:$B,F$4,'NSE - NIFTY Index Options'!$I:$I,"Weekly*")+SUMIFS('NSE - NIFTY Index Options'!$M:$M,'NSE - NIFTY Index Options'!$C:$C,$A38,'NSE - NIFTY Index Options'!$B:$B,F$4,'NSE - NIFTY Index Options'!$I:$I,"MDAW*")+SUMIFS('NSE - Other Index Options'!$M:$M,'NSE - Other Index Options'!$C:$C,$A38,'NSE - Other Index Options'!$B:$B,F$4,'NSE - Other Index Options'!$I:$I,"Weekly*")+SUMIFS('NSE - Other Index Options'!$M:$M,'NSE - Other Index Options'!$C:$C,$A38,'NSE - Other Index Options'!$B:$B,F$4,'NSE - Other Index Options'!$I:$I,"MDAW*")=0,"",SUMIFS('NSE - NIFTY Index Options'!$M:$M,'NSE - NIFTY Index Options'!$C:$C,$A38,'NSE - NIFTY Index Options'!$B:$B,F$4,'NSE - NIFTY Index Options'!$I:$I,"Weekly*")+SUMIFS('NSE - NIFTY Index Options'!$M:$M,'NSE - NIFTY Index Options'!$C:$C,$A38,'NSE - NIFTY Index Options'!$B:$B,F$4,'NSE - NIFTY Index Options'!$I:$I,"MDAW*")+SUMIFS('NSE - Other Index Options'!$M:$M,'NSE - Other Index Options'!$C:$C,$A38,'NSE - Other Index Options'!$B:$B,F$4,'NSE - Other Index Options'!$I:$I,"Weekly*")+SUMIFS('NSE - Other Index Options'!$M:$M,'NSE - Other Index Options'!$C:$C,$A38,'NSE - Other Index Options'!$B:$B,F$4,'NSE - Other Index Options'!$I:$I,"MDAW*"))</f>
        <v/>
      </c>
      <c r="G38" s="26">
        <f>IF(SUMIFS('NSE - NIFTY Index Options'!$M:$M,'NSE - NIFTY Index Options'!$C:$C,$A38,'NSE - NIFTY Index Options'!$B:$B,G$4,'NSE - NIFTY Index Options'!$I:$I,"Weekly*")+SUMIFS('NSE - NIFTY Index Options'!$M:$M,'NSE - NIFTY Index Options'!$C:$C,$A38,'NSE - NIFTY Index Options'!$B:$B,G$4,'NSE - NIFTY Index Options'!$I:$I,"MDAW*")+SUMIFS('NSE - Other Index Options'!$M:$M,'NSE - Other Index Options'!$C:$C,$A38,'NSE - Other Index Options'!$B:$B,G$4,'NSE - Other Index Options'!$I:$I,"Weekly*")+SUMIFS('NSE - Other Index Options'!$M:$M,'NSE - Other Index Options'!$C:$C,$A38,'NSE - Other Index Options'!$B:$B,G$4,'NSE - Other Index Options'!$I:$I,"MDAW*")=0,"",SUMIFS('NSE - NIFTY Index Options'!$M:$M,'NSE - NIFTY Index Options'!$C:$C,$A38,'NSE - NIFTY Index Options'!$B:$B,G$4,'NSE - NIFTY Index Options'!$I:$I,"Weekly*")+SUMIFS('NSE - NIFTY Index Options'!$M:$M,'NSE - NIFTY Index Options'!$C:$C,$A38,'NSE - NIFTY Index Options'!$B:$B,G$4,'NSE - NIFTY Index Options'!$I:$I,"MDAW*")+SUMIFS('NSE - Other Index Options'!$M:$M,'NSE - Other Index Options'!$C:$C,$A38,'NSE - Other Index Options'!$B:$B,G$4,'NSE - Other Index Options'!$I:$I,"Weekly*")+SUMIFS('NSE - Other Index Options'!$M:$M,'NSE - Other Index Options'!$C:$C,$A38,'NSE - Other Index Options'!$B:$B,G$4,'NSE - Other Index Options'!$I:$I,"MDAW*"))</f>
        <v/>
      </c>
      <c r="H38" s="26">
        <f>IF(SUM(B38:G38)=0,"",SUM(B38:G38))</f>
        <v/>
      </c>
    </row>
    <row r="39">
      <c r="A39" t="inlineStr">
        <is>
          <t>Week1-Apr-2026</t>
        </is>
      </c>
      <c r="B39" s="26">
        <f>IF(SUMIFS('NSE - NIFTY Index Options'!$M:$M,'NSE - NIFTY Index Options'!$C:$C,$A39,'NSE - NIFTY Index Options'!$B:$B,B$4,'NSE - NIFTY Index Options'!$I:$I,"Weekly*")+SUMIFS('NSE - NIFTY Index Options'!$M:$M,'NSE - NIFTY Index Options'!$C:$C,$A39,'NSE - NIFTY Index Options'!$B:$B,B$4,'NSE - NIFTY Index Options'!$I:$I,"MDAW*")+SUMIFS('NSE - Other Index Options'!$M:$M,'NSE - Other Index Options'!$C:$C,$A39,'NSE - Other Index Options'!$B:$B,B$4,'NSE - Other Index Options'!$I:$I,"Weekly*")+SUMIFS('NSE - Other Index Options'!$M:$M,'NSE - Other Index Options'!$C:$C,$A39,'NSE - Other Index Options'!$B:$B,B$4,'NSE - Other Index Options'!$I:$I,"MDAW*")=0,"",SUMIFS('NSE - NIFTY Index Options'!$M:$M,'NSE - NIFTY Index Options'!$C:$C,$A39,'NSE - NIFTY Index Options'!$B:$B,B$4,'NSE - NIFTY Index Options'!$I:$I,"Weekly*")+SUMIFS('NSE - NIFTY Index Options'!$M:$M,'NSE - NIFTY Index Options'!$C:$C,$A39,'NSE - NIFTY Index Options'!$B:$B,B$4,'NSE - NIFTY Index Options'!$I:$I,"MDAW*")+SUMIFS('NSE - Other Index Options'!$M:$M,'NSE - Other Index Options'!$C:$C,$A39,'NSE - Other Index Options'!$B:$B,B$4,'NSE - Other Index Options'!$I:$I,"Weekly*")+SUMIFS('NSE - Other Index Options'!$M:$M,'NSE - Other Index Options'!$C:$C,$A39,'NSE - Other Index Options'!$B:$B,B$4,'NSE - Other Index Options'!$I:$I,"MDAW*"))</f>
        <v/>
      </c>
      <c r="C39" s="26">
        <f>IF(SUMIFS('NSE - NIFTY Index Options'!$M:$M,'NSE - NIFTY Index Options'!$C:$C,$A39,'NSE - NIFTY Index Options'!$B:$B,C$4,'NSE - NIFTY Index Options'!$I:$I,"Weekly*")+SUMIFS('NSE - NIFTY Index Options'!$M:$M,'NSE - NIFTY Index Options'!$C:$C,$A39,'NSE - NIFTY Index Options'!$B:$B,C$4,'NSE - NIFTY Index Options'!$I:$I,"MDAW*")+SUMIFS('NSE - Other Index Options'!$M:$M,'NSE - Other Index Options'!$C:$C,$A39,'NSE - Other Index Options'!$B:$B,C$4,'NSE - Other Index Options'!$I:$I,"Weekly*")+SUMIFS('NSE - Other Index Options'!$M:$M,'NSE - Other Index Options'!$C:$C,$A39,'NSE - Other Index Options'!$B:$B,C$4,'NSE - Other Index Options'!$I:$I,"MDAW*")=0,"",SUMIFS('NSE - NIFTY Index Options'!$M:$M,'NSE - NIFTY Index Options'!$C:$C,$A39,'NSE - NIFTY Index Options'!$B:$B,C$4,'NSE - NIFTY Index Options'!$I:$I,"Weekly*")+SUMIFS('NSE - NIFTY Index Options'!$M:$M,'NSE - NIFTY Index Options'!$C:$C,$A39,'NSE - NIFTY Index Options'!$B:$B,C$4,'NSE - NIFTY Index Options'!$I:$I,"MDAW*")+SUMIFS('NSE - Other Index Options'!$M:$M,'NSE - Other Index Options'!$C:$C,$A39,'NSE - Other Index Options'!$B:$B,C$4,'NSE - Other Index Options'!$I:$I,"Weekly*")+SUMIFS('NSE - Other Index Options'!$M:$M,'NSE - Other Index Options'!$C:$C,$A39,'NSE - Other Index Options'!$B:$B,C$4,'NSE - Other Index Options'!$I:$I,"MDAW*"))</f>
        <v/>
      </c>
      <c r="D39" s="26">
        <f>IF(SUMIFS('NSE - NIFTY Index Options'!$M:$M,'NSE - NIFTY Index Options'!$C:$C,$A39,'NSE - NIFTY Index Options'!$B:$B,D$4,'NSE - NIFTY Index Options'!$I:$I,"Weekly*")+SUMIFS('NSE - NIFTY Index Options'!$M:$M,'NSE - NIFTY Index Options'!$C:$C,$A39,'NSE - NIFTY Index Options'!$B:$B,D$4,'NSE - NIFTY Index Options'!$I:$I,"MDAW*")+SUMIFS('NSE - Other Index Options'!$M:$M,'NSE - Other Index Options'!$C:$C,$A39,'NSE - Other Index Options'!$B:$B,D$4,'NSE - Other Index Options'!$I:$I,"Weekly*")+SUMIFS('NSE - Other Index Options'!$M:$M,'NSE - Other Index Options'!$C:$C,$A39,'NSE - Other Index Options'!$B:$B,D$4,'NSE - Other Index Options'!$I:$I,"MDAW*")=0,"",SUMIFS('NSE - NIFTY Index Options'!$M:$M,'NSE - NIFTY Index Options'!$C:$C,$A39,'NSE - NIFTY Index Options'!$B:$B,D$4,'NSE - NIFTY Index Options'!$I:$I,"Weekly*")+SUMIFS('NSE - NIFTY Index Options'!$M:$M,'NSE - NIFTY Index Options'!$C:$C,$A39,'NSE - NIFTY Index Options'!$B:$B,D$4,'NSE - NIFTY Index Options'!$I:$I,"MDAW*")+SUMIFS('NSE - Other Index Options'!$M:$M,'NSE - Other Index Options'!$C:$C,$A39,'NSE - Other Index Options'!$B:$B,D$4,'NSE - Other Index Options'!$I:$I,"Weekly*")+SUMIFS('NSE - Other Index Options'!$M:$M,'NSE - Other Index Options'!$C:$C,$A39,'NSE - Other Index Options'!$B:$B,D$4,'NSE - Other Index Options'!$I:$I,"MDAW*"))</f>
        <v/>
      </c>
      <c r="E39" s="26">
        <f>IF(SUMIFS('NSE - NIFTY Index Options'!$M:$M,'NSE - NIFTY Index Options'!$C:$C,$A39,'NSE - NIFTY Index Options'!$B:$B,E$4,'NSE - NIFTY Index Options'!$I:$I,"Weekly*")+SUMIFS('NSE - NIFTY Index Options'!$M:$M,'NSE - NIFTY Index Options'!$C:$C,$A39,'NSE - NIFTY Index Options'!$B:$B,E$4,'NSE - NIFTY Index Options'!$I:$I,"MDAW*")+SUMIFS('NSE - Other Index Options'!$M:$M,'NSE - Other Index Options'!$C:$C,$A39,'NSE - Other Index Options'!$B:$B,E$4,'NSE - Other Index Options'!$I:$I,"Weekly*")+SUMIFS('NSE - Other Index Options'!$M:$M,'NSE - Other Index Options'!$C:$C,$A39,'NSE - Other Index Options'!$B:$B,E$4,'NSE - Other Index Options'!$I:$I,"MDAW*")=0,"",SUMIFS('NSE - NIFTY Index Options'!$M:$M,'NSE - NIFTY Index Options'!$C:$C,$A39,'NSE - NIFTY Index Options'!$B:$B,E$4,'NSE - NIFTY Index Options'!$I:$I,"Weekly*")+SUMIFS('NSE - NIFTY Index Options'!$M:$M,'NSE - NIFTY Index Options'!$C:$C,$A39,'NSE - NIFTY Index Options'!$B:$B,E$4,'NSE - NIFTY Index Options'!$I:$I,"MDAW*")+SUMIFS('NSE - Other Index Options'!$M:$M,'NSE - Other Index Options'!$C:$C,$A39,'NSE - Other Index Options'!$B:$B,E$4,'NSE - Other Index Options'!$I:$I,"Weekly*")+SUMIFS('NSE - Other Index Options'!$M:$M,'NSE - Other Index Options'!$C:$C,$A39,'NSE - Other Index Options'!$B:$B,E$4,'NSE - Other Index Options'!$I:$I,"MDAW*"))</f>
        <v/>
      </c>
      <c r="F39" s="26">
        <f>IF(SUMIFS('NSE - NIFTY Index Options'!$M:$M,'NSE - NIFTY Index Options'!$C:$C,$A39,'NSE - NIFTY Index Options'!$B:$B,F$4,'NSE - NIFTY Index Options'!$I:$I,"Weekly*")+SUMIFS('NSE - NIFTY Index Options'!$M:$M,'NSE - NIFTY Index Options'!$C:$C,$A39,'NSE - NIFTY Index Options'!$B:$B,F$4,'NSE - NIFTY Index Options'!$I:$I,"MDAW*")+SUMIFS('NSE - Other Index Options'!$M:$M,'NSE - Other Index Options'!$C:$C,$A39,'NSE - Other Index Options'!$B:$B,F$4,'NSE - Other Index Options'!$I:$I,"Weekly*")+SUMIFS('NSE - Other Index Options'!$M:$M,'NSE - Other Index Options'!$C:$C,$A39,'NSE - Other Index Options'!$B:$B,F$4,'NSE - Other Index Options'!$I:$I,"MDAW*")=0,"",SUMIFS('NSE - NIFTY Index Options'!$M:$M,'NSE - NIFTY Index Options'!$C:$C,$A39,'NSE - NIFTY Index Options'!$B:$B,F$4,'NSE - NIFTY Index Options'!$I:$I,"Weekly*")+SUMIFS('NSE - NIFTY Index Options'!$M:$M,'NSE - NIFTY Index Options'!$C:$C,$A39,'NSE - NIFTY Index Options'!$B:$B,F$4,'NSE - NIFTY Index Options'!$I:$I,"MDAW*")+SUMIFS('NSE - Other Index Options'!$M:$M,'NSE - Other Index Options'!$C:$C,$A39,'NSE - Other Index Options'!$B:$B,F$4,'NSE - Other Index Options'!$I:$I,"Weekly*")+SUMIFS('NSE - Other Index Options'!$M:$M,'NSE - Other Index Options'!$C:$C,$A39,'NSE - Other Index Options'!$B:$B,F$4,'NSE - Other Index Options'!$I:$I,"MDAW*"))</f>
        <v/>
      </c>
      <c r="G39" s="26">
        <f>IF(SUMIFS('NSE - NIFTY Index Options'!$M:$M,'NSE - NIFTY Index Options'!$C:$C,$A39,'NSE - NIFTY Index Options'!$B:$B,G$4,'NSE - NIFTY Index Options'!$I:$I,"Weekly*")+SUMIFS('NSE - NIFTY Index Options'!$M:$M,'NSE - NIFTY Index Options'!$C:$C,$A39,'NSE - NIFTY Index Options'!$B:$B,G$4,'NSE - NIFTY Index Options'!$I:$I,"MDAW*")+SUMIFS('NSE - Other Index Options'!$M:$M,'NSE - Other Index Options'!$C:$C,$A39,'NSE - Other Index Options'!$B:$B,G$4,'NSE - Other Index Options'!$I:$I,"Weekly*")+SUMIFS('NSE - Other Index Options'!$M:$M,'NSE - Other Index Options'!$C:$C,$A39,'NSE - Other Index Options'!$B:$B,G$4,'NSE - Other Index Options'!$I:$I,"MDAW*")=0,"",SUMIFS('NSE - NIFTY Index Options'!$M:$M,'NSE - NIFTY Index Options'!$C:$C,$A39,'NSE - NIFTY Index Options'!$B:$B,G$4,'NSE - NIFTY Index Options'!$I:$I,"Weekly*")+SUMIFS('NSE - NIFTY Index Options'!$M:$M,'NSE - NIFTY Index Options'!$C:$C,$A39,'NSE - NIFTY Index Options'!$B:$B,G$4,'NSE - NIFTY Index Options'!$I:$I,"MDAW*")+SUMIFS('NSE - Other Index Options'!$M:$M,'NSE - Other Index Options'!$C:$C,$A39,'NSE - Other Index Options'!$B:$B,G$4,'NSE - Other Index Options'!$I:$I,"Weekly*")+SUMIFS('NSE - Other Index Options'!$M:$M,'NSE - Other Index Options'!$C:$C,$A39,'NSE - Other Index Options'!$B:$B,G$4,'NSE - Other Index Options'!$I:$I,"MDAW*"))</f>
        <v/>
      </c>
      <c r="H39" s="26">
        <f>IF(SUM(B39:G39)=0,"",SUM(B39:G39))</f>
        <v/>
      </c>
    </row>
    <row r="40">
      <c r="A40" t="inlineStr">
        <is>
          <t>Week2-Apr-2026</t>
        </is>
      </c>
      <c r="B40" s="26">
        <f>IF(SUMIFS('NSE - NIFTY Index Options'!$M:$M,'NSE - NIFTY Index Options'!$C:$C,$A40,'NSE - NIFTY Index Options'!$B:$B,B$4,'NSE - NIFTY Index Options'!$I:$I,"Weekly*")+SUMIFS('NSE - NIFTY Index Options'!$M:$M,'NSE - NIFTY Index Options'!$C:$C,$A40,'NSE - NIFTY Index Options'!$B:$B,B$4,'NSE - NIFTY Index Options'!$I:$I,"MDAW*")+SUMIFS('NSE - Other Index Options'!$M:$M,'NSE - Other Index Options'!$C:$C,$A40,'NSE - Other Index Options'!$B:$B,B$4,'NSE - Other Index Options'!$I:$I,"Weekly*")+SUMIFS('NSE - Other Index Options'!$M:$M,'NSE - Other Index Options'!$C:$C,$A40,'NSE - Other Index Options'!$B:$B,B$4,'NSE - Other Index Options'!$I:$I,"MDAW*")=0,"",SUMIFS('NSE - NIFTY Index Options'!$M:$M,'NSE - NIFTY Index Options'!$C:$C,$A40,'NSE - NIFTY Index Options'!$B:$B,B$4,'NSE - NIFTY Index Options'!$I:$I,"Weekly*")+SUMIFS('NSE - NIFTY Index Options'!$M:$M,'NSE - NIFTY Index Options'!$C:$C,$A40,'NSE - NIFTY Index Options'!$B:$B,B$4,'NSE - NIFTY Index Options'!$I:$I,"MDAW*")+SUMIFS('NSE - Other Index Options'!$M:$M,'NSE - Other Index Options'!$C:$C,$A40,'NSE - Other Index Options'!$B:$B,B$4,'NSE - Other Index Options'!$I:$I,"Weekly*")+SUMIFS('NSE - Other Index Options'!$M:$M,'NSE - Other Index Options'!$C:$C,$A40,'NSE - Other Index Options'!$B:$B,B$4,'NSE - Other Index Options'!$I:$I,"MDAW*"))</f>
        <v/>
      </c>
      <c r="C40" s="26">
        <f>IF(SUMIFS('NSE - NIFTY Index Options'!$M:$M,'NSE - NIFTY Index Options'!$C:$C,$A40,'NSE - NIFTY Index Options'!$B:$B,C$4,'NSE - NIFTY Index Options'!$I:$I,"Weekly*")+SUMIFS('NSE - NIFTY Index Options'!$M:$M,'NSE - NIFTY Index Options'!$C:$C,$A40,'NSE - NIFTY Index Options'!$B:$B,C$4,'NSE - NIFTY Index Options'!$I:$I,"MDAW*")+SUMIFS('NSE - Other Index Options'!$M:$M,'NSE - Other Index Options'!$C:$C,$A40,'NSE - Other Index Options'!$B:$B,C$4,'NSE - Other Index Options'!$I:$I,"Weekly*")+SUMIFS('NSE - Other Index Options'!$M:$M,'NSE - Other Index Options'!$C:$C,$A40,'NSE - Other Index Options'!$B:$B,C$4,'NSE - Other Index Options'!$I:$I,"MDAW*")=0,"",SUMIFS('NSE - NIFTY Index Options'!$M:$M,'NSE - NIFTY Index Options'!$C:$C,$A40,'NSE - NIFTY Index Options'!$B:$B,C$4,'NSE - NIFTY Index Options'!$I:$I,"Weekly*")+SUMIFS('NSE - NIFTY Index Options'!$M:$M,'NSE - NIFTY Index Options'!$C:$C,$A40,'NSE - NIFTY Index Options'!$B:$B,C$4,'NSE - NIFTY Index Options'!$I:$I,"MDAW*")+SUMIFS('NSE - Other Index Options'!$M:$M,'NSE - Other Index Options'!$C:$C,$A40,'NSE - Other Index Options'!$B:$B,C$4,'NSE - Other Index Options'!$I:$I,"Weekly*")+SUMIFS('NSE - Other Index Options'!$M:$M,'NSE - Other Index Options'!$C:$C,$A40,'NSE - Other Index Options'!$B:$B,C$4,'NSE - Other Index Options'!$I:$I,"MDAW*"))</f>
        <v/>
      </c>
      <c r="D40" s="26">
        <f>IF(SUMIFS('NSE - NIFTY Index Options'!$M:$M,'NSE - NIFTY Index Options'!$C:$C,$A40,'NSE - NIFTY Index Options'!$B:$B,D$4,'NSE - NIFTY Index Options'!$I:$I,"Weekly*")+SUMIFS('NSE - NIFTY Index Options'!$M:$M,'NSE - NIFTY Index Options'!$C:$C,$A40,'NSE - NIFTY Index Options'!$B:$B,D$4,'NSE - NIFTY Index Options'!$I:$I,"MDAW*")+SUMIFS('NSE - Other Index Options'!$M:$M,'NSE - Other Index Options'!$C:$C,$A40,'NSE - Other Index Options'!$B:$B,D$4,'NSE - Other Index Options'!$I:$I,"Weekly*")+SUMIFS('NSE - Other Index Options'!$M:$M,'NSE - Other Index Options'!$C:$C,$A40,'NSE - Other Index Options'!$B:$B,D$4,'NSE - Other Index Options'!$I:$I,"MDAW*")=0,"",SUMIFS('NSE - NIFTY Index Options'!$M:$M,'NSE - NIFTY Index Options'!$C:$C,$A40,'NSE - NIFTY Index Options'!$B:$B,D$4,'NSE - NIFTY Index Options'!$I:$I,"Weekly*")+SUMIFS('NSE - NIFTY Index Options'!$M:$M,'NSE - NIFTY Index Options'!$C:$C,$A40,'NSE - NIFTY Index Options'!$B:$B,D$4,'NSE - NIFTY Index Options'!$I:$I,"MDAW*")+SUMIFS('NSE - Other Index Options'!$M:$M,'NSE - Other Index Options'!$C:$C,$A40,'NSE - Other Index Options'!$B:$B,D$4,'NSE - Other Index Options'!$I:$I,"Weekly*")+SUMIFS('NSE - Other Index Options'!$M:$M,'NSE - Other Index Options'!$C:$C,$A40,'NSE - Other Index Options'!$B:$B,D$4,'NSE - Other Index Options'!$I:$I,"MDAW*"))</f>
        <v/>
      </c>
      <c r="E40" s="26">
        <f>IF(SUMIFS('NSE - NIFTY Index Options'!$M:$M,'NSE - NIFTY Index Options'!$C:$C,$A40,'NSE - NIFTY Index Options'!$B:$B,E$4,'NSE - NIFTY Index Options'!$I:$I,"Weekly*")+SUMIFS('NSE - NIFTY Index Options'!$M:$M,'NSE - NIFTY Index Options'!$C:$C,$A40,'NSE - NIFTY Index Options'!$B:$B,E$4,'NSE - NIFTY Index Options'!$I:$I,"MDAW*")+SUMIFS('NSE - Other Index Options'!$M:$M,'NSE - Other Index Options'!$C:$C,$A40,'NSE - Other Index Options'!$B:$B,E$4,'NSE - Other Index Options'!$I:$I,"Weekly*")+SUMIFS('NSE - Other Index Options'!$M:$M,'NSE - Other Index Options'!$C:$C,$A40,'NSE - Other Index Options'!$B:$B,E$4,'NSE - Other Index Options'!$I:$I,"MDAW*")=0,"",SUMIFS('NSE - NIFTY Index Options'!$M:$M,'NSE - NIFTY Index Options'!$C:$C,$A40,'NSE - NIFTY Index Options'!$B:$B,E$4,'NSE - NIFTY Index Options'!$I:$I,"Weekly*")+SUMIFS('NSE - NIFTY Index Options'!$M:$M,'NSE - NIFTY Index Options'!$C:$C,$A40,'NSE - NIFTY Index Options'!$B:$B,E$4,'NSE - NIFTY Index Options'!$I:$I,"MDAW*")+SUMIFS('NSE - Other Index Options'!$M:$M,'NSE - Other Index Options'!$C:$C,$A40,'NSE - Other Index Options'!$B:$B,E$4,'NSE - Other Index Options'!$I:$I,"Weekly*")+SUMIFS('NSE - Other Index Options'!$M:$M,'NSE - Other Index Options'!$C:$C,$A40,'NSE - Other Index Options'!$B:$B,E$4,'NSE - Other Index Options'!$I:$I,"MDAW*"))</f>
        <v/>
      </c>
      <c r="F40" s="26">
        <f>IF(SUMIFS('NSE - NIFTY Index Options'!$M:$M,'NSE - NIFTY Index Options'!$C:$C,$A40,'NSE - NIFTY Index Options'!$B:$B,F$4,'NSE - NIFTY Index Options'!$I:$I,"Weekly*")+SUMIFS('NSE - NIFTY Index Options'!$M:$M,'NSE - NIFTY Index Options'!$C:$C,$A40,'NSE - NIFTY Index Options'!$B:$B,F$4,'NSE - NIFTY Index Options'!$I:$I,"MDAW*")+SUMIFS('NSE - Other Index Options'!$M:$M,'NSE - Other Index Options'!$C:$C,$A40,'NSE - Other Index Options'!$B:$B,F$4,'NSE - Other Index Options'!$I:$I,"Weekly*")+SUMIFS('NSE - Other Index Options'!$M:$M,'NSE - Other Index Options'!$C:$C,$A40,'NSE - Other Index Options'!$B:$B,F$4,'NSE - Other Index Options'!$I:$I,"MDAW*")=0,"",SUMIFS('NSE - NIFTY Index Options'!$M:$M,'NSE - NIFTY Index Options'!$C:$C,$A40,'NSE - NIFTY Index Options'!$B:$B,F$4,'NSE - NIFTY Index Options'!$I:$I,"Weekly*")+SUMIFS('NSE - NIFTY Index Options'!$M:$M,'NSE - NIFTY Index Options'!$C:$C,$A40,'NSE - NIFTY Index Options'!$B:$B,F$4,'NSE - NIFTY Index Options'!$I:$I,"MDAW*")+SUMIFS('NSE - Other Index Options'!$M:$M,'NSE - Other Index Options'!$C:$C,$A40,'NSE - Other Index Options'!$B:$B,F$4,'NSE - Other Index Options'!$I:$I,"Weekly*")+SUMIFS('NSE - Other Index Options'!$M:$M,'NSE - Other Index Options'!$C:$C,$A40,'NSE - Other Index Options'!$B:$B,F$4,'NSE - Other Index Options'!$I:$I,"MDAW*"))</f>
        <v/>
      </c>
      <c r="G40" s="26">
        <f>IF(SUMIFS('NSE - NIFTY Index Options'!$M:$M,'NSE - NIFTY Index Options'!$C:$C,$A40,'NSE - NIFTY Index Options'!$B:$B,G$4,'NSE - NIFTY Index Options'!$I:$I,"Weekly*")+SUMIFS('NSE - NIFTY Index Options'!$M:$M,'NSE - NIFTY Index Options'!$C:$C,$A40,'NSE - NIFTY Index Options'!$B:$B,G$4,'NSE - NIFTY Index Options'!$I:$I,"MDAW*")+SUMIFS('NSE - Other Index Options'!$M:$M,'NSE - Other Index Options'!$C:$C,$A40,'NSE - Other Index Options'!$B:$B,G$4,'NSE - Other Index Options'!$I:$I,"Weekly*")+SUMIFS('NSE - Other Index Options'!$M:$M,'NSE - Other Index Options'!$C:$C,$A40,'NSE - Other Index Options'!$B:$B,G$4,'NSE - Other Index Options'!$I:$I,"MDAW*")=0,"",SUMIFS('NSE - NIFTY Index Options'!$M:$M,'NSE - NIFTY Index Options'!$C:$C,$A40,'NSE - NIFTY Index Options'!$B:$B,G$4,'NSE - NIFTY Index Options'!$I:$I,"Weekly*")+SUMIFS('NSE - NIFTY Index Options'!$M:$M,'NSE - NIFTY Index Options'!$C:$C,$A40,'NSE - NIFTY Index Options'!$B:$B,G$4,'NSE - NIFTY Index Options'!$I:$I,"MDAW*")+SUMIFS('NSE - Other Index Options'!$M:$M,'NSE - Other Index Options'!$C:$C,$A40,'NSE - Other Index Options'!$B:$B,G$4,'NSE - Other Index Options'!$I:$I,"Weekly*")+SUMIFS('NSE - Other Index Options'!$M:$M,'NSE - Other Index Options'!$C:$C,$A40,'NSE - Other Index Options'!$B:$B,G$4,'NSE - Other Index Options'!$I:$I,"MDAW*"))</f>
        <v/>
      </c>
      <c r="H40" s="26">
        <f>IF(SUM(B40:G40)=0,"",SUM(B40:G40))</f>
        <v/>
      </c>
    </row>
    <row r="41">
      <c r="A41" t="inlineStr">
        <is>
          <t>Week3-Apr-2026</t>
        </is>
      </c>
      <c r="B41" s="26">
        <f>IF(SUMIFS('NSE - NIFTY Index Options'!$M:$M,'NSE - NIFTY Index Options'!$C:$C,$A41,'NSE - NIFTY Index Options'!$B:$B,B$4,'NSE - NIFTY Index Options'!$I:$I,"Weekly*")+SUMIFS('NSE - NIFTY Index Options'!$M:$M,'NSE - NIFTY Index Options'!$C:$C,$A41,'NSE - NIFTY Index Options'!$B:$B,B$4,'NSE - NIFTY Index Options'!$I:$I,"MDAW*")+SUMIFS('NSE - Other Index Options'!$M:$M,'NSE - Other Index Options'!$C:$C,$A41,'NSE - Other Index Options'!$B:$B,B$4,'NSE - Other Index Options'!$I:$I,"Weekly*")+SUMIFS('NSE - Other Index Options'!$M:$M,'NSE - Other Index Options'!$C:$C,$A41,'NSE - Other Index Options'!$B:$B,B$4,'NSE - Other Index Options'!$I:$I,"MDAW*")=0,"",SUMIFS('NSE - NIFTY Index Options'!$M:$M,'NSE - NIFTY Index Options'!$C:$C,$A41,'NSE - NIFTY Index Options'!$B:$B,B$4,'NSE - NIFTY Index Options'!$I:$I,"Weekly*")+SUMIFS('NSE - NIFTY Index Options'!$M:$M,'NSE - NIFTY Index Options'!$C:$C,$A41,'NSE - NIFTY Index Options'!$B:$B,B$4,'NSE - NIFTY Index Options'!$I:$I,"MDAW*")+SUMIFS('NSE - Other Index Options'!$M:$M,'NSE - Other Index Options'!$C:$C,$A41,'NSE - Other Index Options'!$B:$B,B$4,'NSE - Other Index Options'!$I:$I,"Weekly*")+SUMIFS('NSE - Other Index Options'!$M:$M,'NSE - Other Index Options'!$C:$C,$A41,'NSE - Other Index Options'!$B:$B,B$4,'NSE - Other Index Options'!$I:$I,"MDAW*"))</f>
        <v/>
      </c>
      <c r="C41" s="26">
        <f>IF(SUMIFS('NSE - NIFTY Index Options'!$M:$M,'NSE - NIFTY Index Options'!$C:$C,$A41,'NSE - NIFTY Index Options'!$B:$B,C$4,'NSE - NIFTY Index Options'!$I:$I,"Weekly*")+SUMIFS('NSE - NIFTY Index Options'!$M:$M,'NSE - NIFTY Index Options'!$C:$C,$A41,'NSE - NIFTY Index Options'!$B:$B,C$4,'NSE - NIFTY Index Options'!$I:$I,"MDAW*")+SUMIFS('NSE - Other Index Options'!$M:$M,'NSE - Other Index Options'!$C:$C,$A41,'NSE - Other Index Options'!$B:$B,C$4,'NSE - Other Index Options'!$I:$I,"Weekly*")+SUMIFS('NSE - Other Index Options'!$M:$M,'NSE - Other Index Options'!$C:$C,$A41,'NSE - Other Index Options'!$B:$B,C$4,'NSE - Other Index Options'!$I:$I,"MDAW*")=0,"",SUMIFS('NSE - NIFTY Index Options'!$M:$M,'NSE - NIFTY Index Options'!$C:$C,$A41,'NSE - NIFTY Index Options'!$B:$B,C$4,'NSE - NIFTY Index Options'!$I:$I,"Weekly*")+SUMIFS('NSE - NIFTY Index Options'!$M:$M,'NSE - NIFTY Index Options'!$C:$C,$A41,'NSE - NIFTY Index Options'!$B:$B,C$4,'NSE - NIFTY Index Options'!$I:$I,"MDAW*")+SUMIFS('NSE - Other Index Options'!$M:$M,'NSE - Other Index Options'!$C:$C,$A41,'NSE - Other Index Options'!$B:$B,C$4,'NSE - Other Index Options'!$I:$I,"Weekly*")+SUMIFS('NSE - Other Index Options'!$M:$M,'NSE - Other Index Options'!$C:$C,$A41,'NSE - Other Index Options'!$B:$B,C$4,'NSE - Other Index Options'!$I:$I,"MDAW*"))</f>
        <v/>
      </c>
      <c r="D41" s="26">
        <f>IF(SUMIFS('NSE - NIFTY Index Options'!$M:$M,'NSE - NIFTY Index Options'!$C:$C,$A41,'NSE - NIFTY Index Options'!$B:$B,D$4,'NSE - NIFTY Index Options'!$I:$I,"Weekly*")+SUMIFS('NSE - NIFTY Index Options'!$M:$M,'NSE - NIFTY Index Options'!$C:$C,$A41,'NSE - NIFTY Index Options'!$B:$B,D$4,'NSE - NIFTY Index Options'!$I:$I,"MDAW*")+SUMIFS('NSE - Other Index Options'!$M:$M,'NSE - Other Index Options'!$C:$C,$A41,'NSE - Other Index Options'!$B:$B,D$4,'NSE - Other Index Options'!$I:$I,"Weekly*")+SUMIFS('NSE - Other Index Options'!$M:$M,'NSE - Other Index Options'!$C:$C,$A41,'NSE - Other Index Options'!$B:$B,D$4,'NSE - Other Index Options'!$I:$I,"MDAW*")=0,"",SUMIFS('NSE - NIFTY Index Options'!$M:$M,'NSE - NIFTY Index Options'!$C:$C,$A41,'NSE - NIFTY Index Options'!$B:$B,D$4,'NSE - NIFTY Index Options'!$I:$I,"Weekly*")+SUMIFS('NSE - NIFTY Index Options'!$M:$M,'NSE - NIFTY Index Options'!$C:$C,$A41,'NSE - NIFTY Index Options'!$B:$B,D$4,'NSE - NIFTY Index Options'!$I:$I,"MDAW*")+SUMIFS('NSE - Other Index Options'!$M:$M,'NSE - Other Index Options'!$C:$C,$A41,'NSE - Other Index Options'!$B:$B,D$4,'NSE - Other Index Options'!$I:$I,"Weekly*")+SUMIFS('NSE - Other Index Options'!$M:$M,'NSE - Other Index Options'!$C:$C,$A41,'NSE - Other Index Options'!$B:$B,D$4,'NSE - Other Index Options'!$I:$I,"MDAW*"))</f>
        <v/>
      </c>
      <c r="E41" s="26">
        <f>IF(SUMIFS('NSE - NIFTY Index Options'!$M:$M,'NSE - NIFTY Index Options'!$C:$C,$A41,'NSE - NIFTY Index Options'!$B:$B,E$4,'NSE - NIFTY Index Options'!$I:$I,"Weekly*")+SUMIFS('NSE - NIFTY Index Options'!$M:$M,'NSE - NIFTY Index Options'!$C:$C,$A41,'NSE - NIFTY Index Options'!$B:$B,E$4,'NSE - NIFTY Index Options'!$I:$I,"MDAW*")+SUMIFS('NSE - Other Index Options'!$M:$M,'NSE - Other Index Options'!$C:$C,$A41,'NSE - Other Index Options'!$B:$B,E$4,'NSE - Other Index Options'!$I:$I,"Weekly*")+SUMIFS('NSE - Other Index Options'!$M:$M,'NSE - Other Index Options'!$C:$C,$A41,'NSE - Other Index Options'!$B:$B,E$4,'NSE - Other Index Options'!$I:$I,"MDAW*")=0,"",SUMIFS('NSE - NIFTY Index Options'!$M:$M,'NSE - NIFTY Index Options'!$C:$C,$A41,'NSE - NIFTY Index Options'!$B:$B,E$4,'NSE - NIFTY Index Options'!$I:$I,"Weekly*")+SUMIFS('NSE - NIFTY Index Options'!$M:$M,'NSE - NIFTY Index Options'!$C:$C,$A41,'NSE - NIFTY Index Options'!$B:$B,E$4,'NSE - NIFTY Index Options'!$I:$I,"MDAW*")+SUMIFS('NSE - Other Index Options'!$M:$M,'NSE - Other Index Options'!$C:$C,$A41,'NSE - Other Index Options'!$B:$B,E$4,'NSE - Other Index Options'!$I:$I,"Weekly*")+SUMIFS('NSE - Other Index Options'!$M:$M,'NSE - Other Index Options'!$C:$C,$A41,'NSE - Other Index Options'!$B:$B,E$4,'NSE - Other Index Options'!$I:$I,"MDAW*"))</f>
        <v/>
      </c>
      <c r="F41" s="26">
        <f>IF(SUMIFS('NSE - NIFTY Index Options'!$M:$M,'NSE - NIFTY Index Options'!$C:$C,$A41,'NSE - NIFTY Index Options'!$B:$B,F$4,'NSE - NIFTY Index Options'!$I:$I,"Weekly*")+SUMIFS('NSE - NIFTY Index Options'!$M:$M,'NSE - NIFTY Index Options'!$C:$C,$A41,'NSE - NIFTY Index Options'!$B:$B,F$4,'NSE - NIFTY Index Options'!$I:$I,"MDAW*")+SUMIFS('NSE - Other Index Options'!$M:$M,'NSE - Other Index Options'!$C:$C,$A41,'NSE - Other Index Options'!$B:$B,F$4,'NSE - Other Index Options'!$I:$I,"Weekly*")+SUMIFS('NSE - Other Index Options'!$M:$M,'NSE - Other Index Options'!$C:$C,$A41,'NSE - Other Index Options'!$B:$B,F$4,'NSE - Other Index Options'!$I:$I,"MDAW*")=0,"",SUMIFS('NSE - NIFTY Index Options'!$M:$M,'NSE - NIFTY Index Options'!$C:$C,$A41,'NSE - NIFTY Index Options'!$B:$B,F$4,'NSE - NIFTY Index Options'!$I:$I,"Weekly*")+SUMIFS('NSE - NIFTY Index Options'!$M:$M,'NSE - NIFTY Index Options'!$C:$C,$A41,'NSE - NIFTY Index Options'!$B:$B,F$4,'NSE - NIFTY Index Options'!$I:$I,"MDAW*")+SUMIFS('NSE - Other Index Options'!$M:$M,'NSE - Other Index Options'!$C:$C,$A41,'NSE - Other Index Options'!$B:$B,F$4,'NSE - Other Index Options'!$I:$I,"Weekly*")+SUMIFS('NSE - Other Index Options'!$M:$M,'NSE - Other Index Options'!$C:$C,$A41,'NSE - Other Index Options'!$B:$B,F$4,'NSE - Other Index Options'!$I:$I,"MDAW*"))</f>
        <v/>
      </c>
      <c r="G41" s="26">
        <f>IF(SUMIFS('NSE - NIFTY Index Options'!$M:$M,'NSE - NIFTY Index Options'!$C:$C,$A41,'NSE - NIFTY Index Options'!$B:$B,G$4,'NSE - NIFTY Index Options'!$I:$I,"Weekly*")+SUMIFS('NSE - NIFTY Index Options'!$M:$M,'NSE - NIFTY Index Options'!$C:$C,$A41,'NSE - NIFTY Index Options'!$B:$B,G$4,'NSE - NIFTY Index Options'!$I:$I,"MDAW*")+SUMIFS('NSE - Other Index Options'!$M:$M,'NSE - Other Index Options'!$C:$C,$A41,'NSE - Other Index Options'!$B:$B,G$4,'NSE - Other Index Options'!$I:$I,"Weekly*")+SUMIFS('NSE - Other Index Options'!$M:$M,'NSE - Other Index Options'!$C:$C,$A41,'NSE - Other Index Options'!$B:$B,G$4,'NSE - Other Index Options'!$I:$I,"MDAW*")=0,"",SUMIFS('NSE - NIFTY Index Options'!$M:$M,'NSE - NIFTY Index Options'!$C:$C,$A41,'NSE - NIFTY Index Options'!$B:$B,G$4,'NSE - NIFTY Index Options'!$I:$I,"Weekly*")+SUMIFS('NSE - NIFTY Index Options'!$M:$M,'NSE - NIFTY Index Options'!$C:$C,$A41,'NSE - NIFTY Index Options'!$B:$B,G$4,'NSE - NIFTY Index Options'!$I:$I,"MDAW*")+SUMIFS('NSE - Other Index Options'!$M:$M,'NSE - Other Index Options'!$C:$C,$A41,'NSE - Other Index Options'!$B:$B,G$4,'NSE - Other Index Options'!$I:$I,"Weekly*")+SUMIFS('NSE - Other Index Options'!$M:$M,'NSE - Other Index Options'!$C:$C,$A41,'NSE - Other Index Options'!$B:$B,G$4,'NSE - Other Index Options'!$I:$I,"MDAW*"))</f>
        <v/>
      </c>
      <c r="H41" s="26">
        <f>IF(SUM(B41:G41)=0,"",SUM(B41:G41))</f>
        <v/>
      </c>
    </row>
    <row r="42">
      <c r="A42" t="inlineStr">
        <is>
          <t>Week4-Apr-2026</t>
        </is>
      </c>
      <c r="B42" s="26">
        <f>IF(SUMIFS('NSE - NIFTY Index Options'!$M:$M,'NSE - NIFTY Index Options'!$C:$C,$A42,'NSE - NIFTY Index Options'!$B:$B,B$4,'NSE - NIFTY Index Options'!$I:$I,"Weekly*")+SUMIFS('NSE - NIFTY Index Options'!$M:$M,'NSE - NIFTY Index Options'!$C:$C,$A42,'NSE - NIFTY Index Options'!$B:$B,B$4,'NSE - NIFTY Index Options'!$I:$I,"MDAW*")+SUMIFS('NSE - Other Index Options'!$M:$M,'NSE - Other Index Options'!$C:$C,$A42,'NSE - Other Index Options'!$B:$B,B$4,'NSE - Other Index Options'!$I:$I,"Weekly*")+SUMIFS('NSE - Other Index Options'!$M:$M,'NSE - Other Index Options'!$C:$C,$A42,'NSE - Other Index Options'!$B:$B,B$4,'NSE - Other Index Options'!$I:$I,"MDAW*")=0,"",SUMIFS('NSE - NIFTY Index Options'!$M:$M,'NSE - NIFTY Index Options'!$C:$C,$A42,'NSE - NIFTY Index Options'!$B:$B,B$4,'NSE - NIFTY Index Options'!$I:$I,"Weekly*")+SUMIFS('NSE - NIFTY Index Options'!$M:$M,'NSE - NIFTY Index Options'!$C:$C,$A42,'NSE - NIFTY Index Options'!$B:$B,B$4,'NSE - NIFTY Index Options'!$I:$I,"MDAW*")+SUMIFS('NSE - Other Index Options'!$M:$M,'NSE - Other Index Options'!$C:$C,$A42,'NSE - Other Index Options'!$B:$B,B$4,'NSE - Other Index Options'!$I:$I,"Weekly*")+SUMIFS('NSE - Other Index Options'!$M:$M,'NSE - Other Index Options'!$C:$C,$A42,'NSE - Other Index Options'!$B:$B,B$4,'NSE - Other Index Options'!$I:$I,"MDAW*"))</f>
        <v/>
      </c>
      <c r="C42" s="26">
        <f>IF(SUMIFS('NSE - NIFTY Index Options'!$M:$M,'NSE - NIFTY Index Options'!$C:$C,$A42,'NSE - NIFTY Index Options'!$B:$B,C$4,'NSE - NIFTY Index Options'!$I:$I,"Weekly*")+SUMIFS('NSE - NIFTY Index Options'!$M:$M,'NSE - NIFTY Index Options'!$C:$C,$A42,'NSE - NIFTY Index Options'!$B:$B,C$4,'NSE - NIFTY Index Options'!$I:$I,"MDAW*")+SUMIFS('NSE - Other Index Options'!$M:$M,'NSE - Other Index Options'!$C:$C,$A42,'NSE - Other Index Options'!$B:$B,C$4,'NSE - Other Index Options'!$I:$I,"Weekly*")+SUMIFS('NSE - Other Index Options'!$M:$M,'NSE - Other Index Options'!$C:$C,$A42,'NSE - Other Index Options'!$B:$B,C$4,'NSE - Other Index Options'!$I:$I,"MDAW*")=0,"",SUMIFS('NSE - NIFTY Index Options'!$M:$M,'NSE - NIFTY Index Options'!$C:$C,$A42,'NSE - NIFTY Index Options'!$B:$B,C$4,'NSE - NIFTY Index Options'!$I:$I,"Weekly*")+SUMIFS('NSE - NIFTY Index Options'!$M:$M,'NSE - NIFTY Index Options'!$C:$C,$A42,'NSE - NIFTY Index Options'!$B:$B,C$4,'NSE - NIFTY Index Options'!$I:$I,"MDAW*")+SUMIFS('NSE - Other Index Options'!$M:$M,'NSE - Other Index Options'!$C:$C,$A42,'NSE - Other Index Options'!$B:$B,C$4,'NSE - Other Index Options'!$I:$I,"Weekly*")+SUMIFS('NSE - Other Index Options'!$M:$M,'NSE - Other Index Options'!$C:$C,$A42,'NSE - Other Index Options'!$B:$B,C$4,'NSE - Other Index Options'!$I:$I,"MDAW*"))</f>
        <v/>
      </c>
      <c r="D42" s="26">
        <f>IF(SUMIFS('NSE - NIFTY Index Options'!$M:$M,'NSE - NIFTY Index Options'!$C:$C,$A42,'NSE - NIFTY Index Options'!$B:$B,D$4,'NSE - NIFTY Index Options'!$I:$I,"Weekly*")+SUMIFS('NSE - NIFTY Index Options'!$M:$M,'NSE - NIFTY Index Options'!$C:$C,$A42,'NSE - NIFTY Index Options'!$B:$B,D$4,'NSE - NIFTY Index Options'!$I:$I,"MDAW*")+SUMIFS('NSE - Other Index Options'!$M:$M,'NSE - Other Index Options'!$C:$C,$A42,'NSE - Other Index Options'!$B:$B,D$4,'NSE - Other Index Options'!$I:$I,"Weekly*")+SUMIFS('NSE - Other Index Options'!$M:$M,'NSE - Other Index Options'!$C:$C,$A42,'NSE - Other Index Options'!$B:$B,D$4,'NSE - Other Index Options'!$I:$I,"MDAW*")=0,"",SUMIFS('NSE - NIFTY Index Options'!$M:$M,'NSE - NIFTY Index Options'!$C:$C,$A42,'NSE - NIFTY Index Options'!$B:$B,D$4,'NSE - NIFTY Index Options'!$I:$I,"Weekly*")+SUMIFS('NSE - NIFTY Index Options'!$M:$M,'NSE - NIFTY Index Options'!$C:$C,$A42,'NSE - NIFTY Index Options'!$B:$B,D$4,'NSE - NIFTY Index Options'!$I:$I,"MDAW*")+SUMIFS('NSE - Other Index Options'!$M:$M,'NSE - Other Index Options'!$C:$C,$A42,'NSE - Other Index Options'!$B:$B,D$4,'NSE - Other Index Options'!$I:$I,"Weekly*")+SUMIFS('NSE - Other Index Options'!$M:$M,'NSE - Other Index Options'!$C:$C,$A42,'NSE - Other Index Options'!$B:$B,D$4,'NSE - Other Index Options'!$I:$I,"MDAW*"))</f>
        <v/>
      </c>
      <c r="E42" s="26">
        <f>IF(SUMIFS('NSE - NIFTY Index Options'!$M:$M,'NSE - NIFTY Index Options'!$C:$C,$A42,'NSE - NIFTY Index Options'!$B:$B,E$4,'NSE - NIFTY Index Options'!$I:$I,"Weekly*")+SUMIFS('NSE - NIFTY Index Options'!$M:$M,'NSE - NIFTY Index Options'!$C:$C,$A42,'NSE - NIFTY Index Options'!$B:$B,E$4,'NSE - NIFTY Index Options'!$I:$I,"MDAW*")+SUMIFS('NSE - Other Index Options'!$M:$M,'NSE - Other Index Options'!$C:$C,$A42,'NSE - Other Index Options'!$B:$B,E$4,'NSE - Other Index Options'!$I:$I,"Weekly*")+SUMIFS('NSE - Other Index Options'!$M:$M,'NSE - Other Index Options'!$C:$C,$A42,'NSE - Other Index Options'!$B:$B,E$4,'NSE - Other Index Options'!$I:$I,"MDAW*")=0,"",SUMIFS('NSE - NIFTY Index Options'!$M:$M,'NSE - NIFTY Index Options'!$C:$C,$A42,'NSE - NIFTY Index Options'!$B:$B,E$4,'NSE - NIFTY Index Options'!$I:$I,"Weekly*")+SUMIFS('NSE - NIFTY Index Options'!$M:$M,'NSE - NIFTY Index Options'!$C:$C,$A42,'NSE - NIFTY Index Options'!$B:$B,E$4,'NSE - NIFTY Index Options'!$I:$I,"MDAW*")+SUMIFS('NSE - Other Index Options'!$M:$M,'NSE - Other Index Options'!$C:$C,$A42,'NSE - Other Index Options'!$B:$B,E$4,'NSE - Other Index Options'!$I:$I,"Weekly*")+SUMIFS('NSE - Other Index Options'!$M:$M,'NSE - Other Index Options'!$C:$C,$A42,'NSE - Other Index Options'!$B:$B,E$4,'NSE - Other Index Options'!$I:$I,"MDAW*"))</f>
        <v/>
      </c>
      <c r="F42" s="26">
        <f>IF(SUMIFS('NSE - NIFTY Index Options'!$M:$M,'NSE - NIFTY Index Options'!$C:$C,$A42,'NSE - NIFTY Index Options'!$B:$B,F$4,'NSE - NIFTY Index Options'!$I:$I,"Weekly*")+SUMIFS('NSE - NIFTY Index Options'!$M:$M,'NSE - NIFTY Index Options'!$C:$C,$A42,'NSE - NIFTY Index Options'!$B:$B,F$4,'NSE - NIFTY Index Options'!$I:$I,"MDAW*")+SUMIFS('NSE - Other Index Options'!$M:$M,'NSE - Other Index Options'!$C:$C,$A42,'NSE - Other Index Options'!$B:$B,F$4,'NSE - Other Index Options'!$I:$I,"Weekly*")+SUMIFS('NSE - Other Index Options'!$M:$M,'NSE - Other Index Options'!$C:$C,$A42,'NSE - Other Index Options'!$B:$B,F$4,'NSE - Other Index Options'!$I:$I,"MDAW*")=0,"",SUMIFS('NSE - NIFTY Index Options'!$M:$M,'NSE - NIFTY Index Options'!$C:$C,$A42,'NSE - NIFTY Index Options'!$B:$B,F$4,'NSE - NIFTY Index Options'!$I:$I,"Weekly*")+SUMIFS('NSE - NIFTY Index Options'!$M:$M,'NSE - NIFTY Index Options'!$C:$C,$A42,'NSE - NIFTY Index Options'!$B:$B,F$4,'NSE - NIFTY Index Options'!$I:$I,"MDAW*")+SUMIFS('NSE - Other Index Options'!$M:$M,'NSE - Other Index Options'!$C:$C,$A42,'NSE - Other Index Options'!$B:$B,F$4,'NSE - Other Index Options'!$I:$I,"Weekly*")+SUMIFS('NSE - Other Index Options'!$M:$M,'NSE - Other Index Options'!$C:$C,$A42,'NSE - Other Index Options'!$B:$B,F$4,'NSE - Other Index Options'!$I:$I,"MDAW*"))</f>
        <v/>
      </c>
      <c r="G42" s="26">
        <f>IF(SUMIFS('NSE - NIFTY Index Options'!$M:$M,'NSE - NIFTY Index Options'!$C:$C,$A42,'NSE - NIFTY Index Options'!$B:$B,G$4,'NSE - NIFTY Index Options'!$I:$I,"Weekly*")+SUMIFS('NSE - NIFTY Index Options'!$M:$M,'NSE - NIFTY Index Options'!$C:$C,$A42,'NSE - NIFTY Index Options'!$B:$B,G$4,'NSE - NIFTY Index Options'!$I:$I,"MDAW*")+SUMIFS('NSE - Other Index Options'!$M:$M,'NSE - Other Index Options'!$C:$C,$A42,'NSE - Other Index Options'!$B:$B,G$4,'NSE - Other Index Options'!$I:$I,"Weekly*")+SUMIFS('NSE - Other Index Options'!$M:$M,'NSE - Other Index Options'!$C:$C,$A42,'NSE - Other Index Options'!$B:$B,G$4,'NSE - Other Index Options'!$I:$I,"MDAW*")=0,"",SUMIFS('NSE - NIFTY Index Options'!$M:$M,'NSE - NIFTY Index Options'!$C:$C,$A42,'NSE - NIFTY Index Options'!$B:$B,G$4,'NSE - NIFTY Index Options'!$I:$I,"Weekly*")+SUMIFS('NSE - NIFTY Index Options'!$M:$M,'NSE - NIFTY Index Options'!$C:$C,$A42,'NSE - NIFTY Index Options'!$B:$B,G$4,'NSE - NIFTY Index Options'!$I:$I,"MDAW*")+SUMIFS('NSE - Other Index Options'!$M:$M,'NSE - Other Index Options'!$C:$C,$A42,'NSE - Other Index Options'!$B:$B,G$4,'NSE - Other Index Options'!$I:$I,"Weekly*")+SUMIFS('NSE - Other Index Options'!$M:$M,'NSE - Other Index Options'!$C:$C,$A42,'NSE - Other Index Options'!$B:$B,G$4,'NSE - Other Index Options'!$I:$I,"MDAW*"))</f>
        <v/>
      </c>
      <c r="H42" s="26">
        <f>IF(SUM(B42:G42)=0,"",SUM(B42:G42))</f>
        <v/>
      </c>
    </row>
    <row r="43">
      <c r="A43" t="inlineStr">
        <is>
          <t>Week5-Apr-2026</t>
        </is>
      </c>
      <c r="B43" s="26">
        <f>IF(SUMIFS('NSE - NIFTY Index Options'!$M:$M,'NSE - NIFTY Index Options'!$C:$C,$A43,'NSE - NIFTY Index Options'!$B:$B,B$4,'NSE - NIFTY Index Options'!$I:$I,"Weekly*")+SUMIFS('NSE - NIFTY Index Options'!$M:$M,'NSE - NIFTY Index Options'!$C:$C,$A43,'NSE - NIFTY Index Options'!$B:$B,B$4,'NSE - NIFTY Index Options'!$I:$I,"MDAW*")+SUMIFS('NSE - Other Index Options'!$M:$M,'NSE - Other Index Options'!$C:$C,$A43,'NSE - Other Index Options'!$B:$B,B$4,'NSE - Other Index Options'!$I:$I,"Weekly*")+SUMIFS('NSE - Other Index Options'!$M:$M,'NSE - Other Index Options'!$C:$C,$A43,'NSE - Other Index Options'!$B:$B,B$4,'NSE - Other Index Options'!$I:$I,"MDAW*")=0,"",SUMIFS('NSE - NIFTY Index Options'!$M:$M,'NSE - NIFTY Index Options'!$C:$C,$A43,'NSE - NIFTY Index Options'!$B:$B,B$4,'NSE - NIFTY Index Options'!$I:$I,"Weekly*")+SUMIFS('NSE - NIFTY Index Options'!$M:$M,'NSE - NIFTY Index Options'!$C:$C,$A43,'NSE - NIFTY Index Options'!$B:$B,B$4,'NSE - NIFTY Index Options'!$I:$I,"MDAW*")+SUMIFS('NSE - Other Index Options'!$M:$M,'NSE - Other Index Options'!$C:$C,$A43,'NSE - Other Index Options'!$B:$B,B$4,'NSE - Other Index Options'!$I:$I,"Weekly*")+SUMIFS('NSE - Other Index Options'!$M:$M,'NSE - Other Index Options'!$C:$C,$A43,'NSE - Other Index Options'!$B:$B,B$4,'NSE - Other Index Options'!$I:$I,"MDAW*"))</f>
        <v/>
      </c>
      <c r="C43" s="26">
        <f>IF(SUMIFS('NSE - NIFTY Index Options'!$M:$M,'NSE - NIFTY Index Options'!$C:$C,$A43,'NSE - NIFTY Index Options'!$B:$B,C$4,'NSE - NIFTY Index Options'!$I:$I,"Weekly*")+SUMIFS('NSE - NIFTY Index Options'!$M:$M,'NSE - NIFTY Index Options'!$C:$C,$A43,'NSE - NIFTY Index Options'!$B:$B,C$4,'NSE - NIFTY Index Options'!$I:$I,"MDAW*")+SUMIFS('NSE - Other Index Options'!$M:$M,'NSE - Other Index Options'!$C:$C,$A43,'NSE - Other Index Options'!$B:$B,C$4,'NSE - Other Index Options'!$I:$I,"Weekly*")+SUMIFS('NSE - Other Index Options'!$M:$M,'NSE - Other Index Options'!$C:$C,$A43,'NSE - Other Index Options'!$B:$B,C$4,'NSE - Other Index Options'!$I:$I,"MDAW*")=0,"",SUMIFS('NSE - NIFTY Index Options'!$M:$M,'NSE - NIFTY Index Options'!$C:$C,$A43,'NSE - NIFTY Index Options'!$B:$B,C$4,'NSE - NIFTY Index Options'!$I:$I,"Weekly*")+SUMIFS('NSE - NIFTY Index Options'!$M:$M,'NSE - NIFTY Index Options'!$C:$C,$A43,'NSE - NIFTY Index Options'!$B:$B,C$4,'NSE - NIFTY Index Options'!$I:$I,"MDAW*")+SUMIFS('NSE - Other Index Options'!$M:$M,'NSE - Other Index Options'!$C:$C,$A43,'NSE - Other Index Options'!$B:$B,C$4,'NSE - Other Index Options'!$I:$I,"Weekly*")+SUMIFS('NSE - Other Index Options'!$M:$M,'NSE - Other Index Options'!$C:$C,$A43,'NSE - Other Index Options'!$B:$B,C$4,'NSE - Other Index Options'!$I:$I,"MDAW*"))</f>
        <v/>
      </c>
      <c r="D43" s="26">
        <f>IF(SUMIFS('NSE - NIFTY Index Options'!$M:$M,'NSE - NIFTY Index Options'!$C:$C,$A43,'NSE - NIFTY Index Options'!$B:$B,D$4,'NSE - NIFTY Index Options'!$I:$I,"Weekly*")+SUMIFS('NSE - NIFTY Index Options'!$M:$M,'NSE - NIFTY Index Options'!$C:$C,$A43,'NSE - NIFTY Index Options'!$B:$B,D$4,'NSE - NIFTY Index Options'!$I:$I,"MDAW*")+SUMIFS('NSE - Other Index Options'!$M:$M,'NSE - Other Index Options'!$C:$C,$A43,'NSE - Other Index Options'!$B:$B,D$4,'NSE - Other Index Options'!$I:$I,"Weekly*")+SUMIFS('NSE - Other Index Options'!$M:$M,'NSE - Other Index Options'!$C:$C,$A43,'NSE - Other Index Options'!$B:$B,D$4,'NSE - Other Index Options'!$I:$I,"MDAW*")=0,"",SUMIFS('NSE - NIFTY Index Options'!$M:$M,'NSE - NIFTY Index Options'!$C:$C,$A43,'NSE - NIFTY Index Options'!$B:$B,D$4,'NSE - NIFTY Index Options'!$I:$I,"Weekly*")+SUMIFS('NSE - NIFTY Index Options'!$M:$M,'NSE - NIFTY Index Options'!$C:$C,$A43,'NSE - NIFTY Index Options'!$B:$B,D$4,'NSE - NIFTY Index Options'!$I:$I,"MDAW*")+SUMIFS('NSE - Other Index Options'!$M:$M,'NSE - Other Index Options'!$C:$C,$A43,'NSE - Other Index Options'!$B:$B,D$4,'NSE - Other Index Options'!$I:$I,"Weekly*")+SUMIFS('NSE - Other Index Options'!$M:$M,'NSE - Other Index Options'!$C:$C,$A43,'NSE - Other Index Options'!$B:$B,D$4,'NSE - Other Index Options'!$I:$I,"MDAW*"))</f>
        <v/>
      </c>
      <c r="E43" s="26">
        <f>IF(SUMIFS('NSE - NIFTY Index Options'!$M:$M,'NSE - NIFTY Index Options'!$C:$C,$A43,'NSE - NIFTY Index Options'!$B:$B,E$4,'NSE - NIFTY Index Options'!$I:$I,"Weekly*")+SUMIFS('NSE - NIFTY Index Options'!$M:$M,'NSE - NIFTY Index Options'!$C:$C,$A43,'NSE - NIFTY Index Options'!$B:$B,E$4,'NSE - NIFTY Index Options'!$I:$I,"MDAW*")+SUMIFS('NSE - Other Index Options'!$M:$M,'NSE - Other Index Options'!$C:$C,$A43,'NSE - Other Index Options'!$B:$B,E$4,'NSE - Other Index Options'!$I:$I,"Weekly*")+SUMIFS('NSE - Other Index Options'!$M:$M,'NSE - Other Index Options'!$C:$C,$A43,'NSE - Other Index Options'!$B:$B,E$4,'NSE - Other Index Options'!$I:$I,"MDAW*")=0,"",SUMIFS('NSE - NIFTY Index Options'!$M:$M,'NSE - NIFTY Index Options'!$C:$C,$A43,'NSE - NIFTY Index Options'!$B:$B,E$4,'NSE - NIFTY Index Options'!$I:$I,"Weekly*")+SUMIFS('NSE - NIFTY Index Options'!$M:$M,'NSE - NIFTY Index Options'!$C:$C,$A43,'NSE - NIFTY Index Options'!$B:$B,E$4,'NSE - NIFTY Index Options'!$I:$I,"MDAW*")+SUMIFS('NSE - Other Index Options'!$M:$M,'NSE - Other Index Options'!$C:$C,$A43,'NSE - Other Index Options'!$B:$B,E$4,'NSE - Other Index Options'!$I:$I,"Weekly*")+SUMIFS('NSE - Other Index Options'!$M:$M,'NSE - Other Index Options'!$C:$C,$A43,'NSE - Other Index Options'!$B:$B,E$4,'NSE - Other Index Options'!$I:$I,"MDAW*"))</f>
        <v/>
      </c>
      <c r="F43" s="26">
        <f>IF(SUMIFS('NSE - NIFTY Index Options'!$M:$M,'NSE - NIFTY Index Options'!$C:$C,$A43,'NSE - NIFTY Index Options'!$B:$B,F$4,'NSE - NIFTY Index Options'!$I:$I,"Weekly*")+SUMIFS('NSE - NIFTY Index Options'!$M:$M,'NSE - NIFTY Index Options'!$C:$C,$A43,'NSE - NIFTY Index Options'!$B:$B,F$4,'NSE - NIFTY Index Options'!$I:$I,"MDAW*")+SUMIFS('NSE - Other Index Options'!$M:$M,'NSE - Other Index Options'!$C:$C,$A43,'NSE - Other Index Options'!$B:$B,F$4,'NSE - Other Index Options'!$I:$I,"Weekly*")+SUMIFS('NSE - Other Index Options'!$M:$M,'NSE - Other Index Options'!$C:$C,$A43,'NSE - Other Index Options'!$B:$B,F$4,'NSE - Other Index Options'!$I:$I,"MDAW*")=0,"",SUMIFS('NSE - NIFTY Index Options'!$M:$M,'NSE - NIFTY Index Options'!$C:$C,$A43,'NSE - NIFTY Index Options'!$B:$B,F$4,'NSE - NIFTY Index Options'!$I:$I,"Weekly*")+SUMIFS('NSE - NIFTY Index Options'!$M:$M,'NSE - NIFTY Index Options'!$C:$C,$A43,'NSE - NIFTY Index Options'!$B:$B,F$4,'NSE - NIFTY Index Options'!$I:$I,"MDAW*")+SUMIFS('NSE - Other Index Options'!$M:$M,'NSE - Other Index Options'!$C:$C,$A43,'NSE - Other Index Options'!$B:$B,F$4,'NSE - Other Index Options'!$I:$I,"Weekly*")+SUMIFS('NSE - Other Index Options'!$M:$M,'NSE - Other Index Options'!$C:$C,$A43,'NSE - Other Index Options'!$B:$B,F$4,'NSE - Other Index Options'!$I:$I,"MDAW*"))</f>
        <v/>
      </c>
      <c r="G43" s="26">
        <f>IF(SUMIFS('NSE - NIFTY Index Options'!$M:$M,'NSE - NIFTY Index Options'!$C:$C,$A43,'NSE - NIFTY Index Options'!$B:$B,G$4,'NSE - NIFTY Index Options'!$I:$I,"Weekly*")+SUMIFS('NSE - NIFTY Index Options'!$M:$M,'NSE - NIFTY Index Options'!$C:$C,$A43,'NSE - NIFTY Index Options'!$B:$B,G$4,'NSE - NIFTY Index Options'!$I:$I,"MDAW*")+SUMIFS('NSE - Other Index Options'!$M:$M,'NSE - Other Index Options'!$C:$C,$A43,'NSE - Other Index Options'!$B:$B,G$4,'NSE - Other Index Options'!$I:$I,"Weekly*")+SUMIFS('NSE - Other Index Options'!$M:$M,'NSE - Other Index Options'!$C:$C,$A43,'NSE - Other Index Options'!$B:$B,G$4,'NSE - Other Index Options'!$I:$I,"MDAW*")=0,"",SUMIFS('NSE - NIFTY Index Options'!$M:$M,'NSE - NIFTY Index Options'!$C:$C,$A43,'NSE - NIFTY Index Options'!$B:$B,G$4,'NSE - NIFTY Index Options'!$I:$I,"Weekly*")+SUMIFS('NSE - NIFTY Index Options'!$M:$M,'NSE - NIFTY Index Options'!$C:$C,$A43,'NSE - NIFTY Index Options'!$B:$B,G$4,'NSE - NIFTY Index Options'!$I:$I,"MDAW*")+SUMIFS('NSE - Other Index Options'!$M:$M,'NSE - Other Index Options'!$C:$C,$A43,'NSE - Other Index Options'!$B:$B,G$4,'NSE - Other Index Options'!$I:$I,"Weekly*")+SUMIFS('NSE - Other Index Options'!$M:$M,'NSE - Other Index Options'!$C:$C,$A43,'NSE - Other Index Options'!$B:$B,G$4,'NSE - Other Index Options'!$I:$I,"MDAW*"))</f>
        <v/>
      </c>
      <c r="H43" s="26">
        <f>IF(SUM(B43:G43)=0,"",SUM(B43:G43))</f>
        <v/>
      </c>
    </row>
    <row r="44">
      <c r="A44" t="inlineStr">
        <is>
          <t>Week1-May-2026</t>
        </is>
      </c>
      <c r="B44" s="26">
        <f>IF(SUMIFS('NSE - NIFTY Index Options'!$M:$M,'NSE - NIFTY Index Options'!$C:$C,$A44,'NSE - NIFTY Index Options'!$B:$B,B$4,'NSE - NIFTY Index Options'!$I:$I,"Weekly*")+SUMIFS('NSE - NIFTY Index Options'!$M:$M,'NSE - NIFTY Index Options'!$C:$C,$A44,'NSE - NIFTY Index Options'!$B:$B,B$4,'NSE - NIFTY Index Options'!$I:$I,"MDAW*")+SUMIFS('NSE - Other Index Options'!$M:$M,'NSE - Other Index Options'!$C:$C,$A44,'NSE - Other Index Options'!$B:$B,B$4,'NSE - Other Index Options'!$I:$I,"Weekly*")+SUMIFS('NSE - Other Index Options'!$M:$M,'NSE - Other Index Options'!$C:$C,$A44,'NSE - Other Index Options'!$B:$B,B$4,'NSE - Other Index Options'!$I:$I,"MDAW*")=0,"",SUMIFS('NSE - NIFTY Index Options'!$M:$M,'NSE - NIFTY Index Options'!$C:$C,$A44,'NSE - NIFTY Index Options'!$B:$B,B$4,'NSE - NIFTY Index Options'!$I:$I,"Weekly*")+SUMIFS('NSE - NIFTY Index Options'!$M:$M,'NSE - NIFTY Index Options'!$C:$C,$A44,'NSE - NIFTY Index Options'!$B:$B,B$4,'NSE - NIFTY Index Options'!$I:$I,"MDAW*")+SUMIFS('NSE - Other Index Options'!$M:$M,'NSE - Other Index Options'!$C:$C,$A44,'NSE - Other Index Options'!$B:$B,B$4,'NSE - Other Index Options'!$I:$I,"Weekly*")+SUMIFS('NSE - Other Index Options'!$M:$M,'NSE - Other Index Options'!$C:$C,$A44,'NSE - Other Index Options'!$B:$B,B$4,'NSE - Other Index Options'!$I:$I,"MDAW*"))</f>
        <v/>
      </c>
      <c r="C44" s="26">
        <f>IF(SUMIFS('NSE - NIFTY Index Options'!$M:$M,'NSE - NIFTY Index Options'!$C:$C,$A44,'NSE - NIFTY Index Options'!$B:$B,C$4,'NSE - NIFTY Index Options'!$I:$I,"Weekly*")+SUMIFS('NSE - NIFTY Index Options'!$M:$M,'NSE - NIFTY Index Options'!$C:$C,$A44,'NSE - NIFTY Index Options'!$B:$B,C$4,'NSE - NIFTY Index Options'!$I:$I,"MDAW*")+SUMIFS('NSE - Other Index Options'!$M:$M,'NSE - Other Index Options'!$C:$C,$A44,'NSE - Other Index Options'!$B:$B,C$4,'NSE - Other Index Options'!$I:$I,"Weekly*")+SUMIFS('NSE - Other Index Options'!$M:$M,'NSE - Other Index Options'!$C:$C,$A44,'NSE - Other Index Options'!$B:$B,C$4,'NSE - Other Index Options'!$I:$I,"MDAW*")=0,"",SUMIFS('NSE - NIFTY Index Options'!$M:$M,'NSE - NIFTY Index Options'!$C:$C,$A44,'NSE - NIFTY Index Options'!$B:$B,C$4,'NSE - NIFTY Index Options'!$I:$I,"Weekly*")+SUMIFS('NSE - NIFTY Index Options'!$M:$M,'NSE - NIFTY Index Options'!$C:$C,$A44,'NSE - NIFTY Index Options'!$B:$B,C$4,'NSE - NIFTY Index Options'!$I:$I,"MDAW*")+SUMIFS('NSE - Other Index Options'!$M:$M,'NSE - Other Index Options'!$C:$C,$A44,'NSE - Other Index Options'!$B:$B,C$4,'NSE - Other Index Options'!$I:$I,"Weekly*")+SUMIFS('NSE - Other Index Options'!$M:$M,'NSE - Other Index Options'!$C:$C,$A44,'NSE - Other Index Options'!$B:$B,C$4,'NSE - Other Index Options'!$I:$I,"MDAW*"))</f>
        <v/>
      </c>
      <c r="D44" s="26">
        <f>IF(SUMIFS('NSE - NIFTY Index Options'!$M:$M,'NSE - NIFTY Index Options'!$C:$C,$A44,'NSE - NIFTY Index Options'!$B:$B,D$4,'NSE - NIFTY Index Options'!$I:$I,"Weekly*")+SUMIFS('NSE - NIFTY Index Options'!$M:$M,'NSE - NIFTY Index Options'!$C:$C,$A44,'NSE - NIFTY Index Options'!$B:$B,D$4,'NSE - NIFTY Index Options'!$I:$I,"MDAW*")+SUMIFS('NSE - Other Index Options'!$M:$M,'NSE - Other Index Options'!$C:$C,$A44,'NSE - Other Index Options'!$B:$B,D$4,'NSE - Other Index Options'!$I:$I,"Weekly*")+SUMIFS('NSE - Other Index Options'!$M:$M,'NSE - Other Index Options'!$C:$C,$A44,'NSE - Other Index Options'!$B:$B,D$4,'NSE - Other Index Options'!$I:$I,"MDAW*")=0,"",SUMIFS('NSE - NIFTY Index Options'!$M:$M,'NSE - NIFTY Index Options'!$C:$C,$A44,'NSE - NIFTY Index Options'!$B:$B,D$4,'NSE - NIFTY Index Options'!$I:$I,"Weekly*")+SUMIFS('NSE - NIFTY Index Options'!$M:$M,'NSE - NIFTY Index Options'!$C:$C,$A44,'NSE - NIFTY Index Options'!$B:$B,D$4,'NSE - NIFTY Index Options'!$I:$I,"MDAW*")+SUMIFS('NSE - Other Index Options'!$M:$M,'NSE - Other Index Options'!$C:$C,$A44,'NSE - Other Index Options'!$B:$B,D$4,'NSE - Other Index Options'!$I:$I,"Weekly*")+SUMIFS('NSE - Other Index Options'!$M:$M,'NSE - Other Index Options'!$C:$C,$A44,'NSE - Other Index Options'!$B:$B,D$4,'NSE - Other Index Options'!$I:$I,"MDAW*"))</f>
        <v/>
      </c>
      <c r="E44" s="26">
        <f>IF(SUMIFS('NSE - NIFTY Index Options'!$M:$M,'NSE - NIFTY Index Options'!$C:$C,$A44,'NSE - NIFTY Index Options'!$B:$B,E$4,'NSE - NIFTY Index Options'!$I:$I,"Weekly*")+SUMIFS('NSE - NIFTY Index Options'!$M:$M,'NSE - NIFTY Index Options'!$C:$C,$A44,'NSE - NIFTY Index Options'!$B:$B,E$4,'NSE - NIFTY Index Options'!$I:$I,"MDAW*")+SUMIFS('NSE - Other Index Options'!$M:$M,'NSE - Other Index Options'!$C:$C,$A44,'NSE - Other Index Options'!$B:$B,E$4,'NSE - Other Index Options'!$I:$I,"Weekly*")+SUMIFS('NSE - Other Index Options'!$M:$M,'NSE - Other Index Options'!$C:$C,$A44,'NSE - Other Index Options'!$B:$B,E$4,'NSE - Other Index Options'!$I:$I,"MDAW*")=0,"",SUMIFS('NSE - NIFTY Index Options'!$M:$M,'NSE - NIFTY Index Options'!$C:$C,$A44,'NSE - NIFTY Index Options'!$B:$B,E$4,'NSE - NIFTY Index Options'!$I:$I,"Weekly*")+SUMIFS('NSE - NIFTY Index Options'!$M:$M,'NSE - NIFTY Index Options'!$C:$C,$A44,'NSE - NIFTY Index Options'!$B:$B,E$4,'NSE - NIFTY Index Options'!$I:$I,"MDAW*")+SUMIFS('NSE - Other Index Options'!$M:$M,'NSE - Other Index Options'!$C:$C,$A44,'NSE - Other Index Options'!$B:$B,E$4,'NSE - Other Index Options'!$I:$I,"Weekly*")+SUMIFS('NSE - Other Index Options'!$M:$M,'NSE - Other Index Options'!$C:$C,$A44,'NSE - Other Index Options'!$B:$B,E$4,'NSE - Other Index Options'!$I:$I,"MDAW*"))</f>
        <v/>
      </c>
      <c r="F44" s="26">
        <f>IF(SUMIFS('NSE - NIFTY Index Options'!$M:$M,'NSE - NIFTY Index Options'!$C:$C,$A44,'NSE - NIFTY Index Options'!$B:$B,F$4,'NSE - NIFTY Index Options'!$I:$I,"Weekly*")+SUMIFS('NSE - NIFTY Index Options'!$M:$M,'NSE - NIFTY Index Options'!$C:$C,$A44,'NSE - NIFTY Index Options'!$B:$B,F$4,'NSE - NIFTY Index Options'!$I:$I,"MDAW*")+SUMIFS('NSE - Other Index Options'!$M:$M,'NSE - Other Index Options'!$C:$C,$A44,'NSE - Other Index Options'!$B:$B,F$4,'NSE - Other Index Options'!$I:$I,"Weekly*")+SUMIFS('NSE - Other Index Options'!$M:$M,'NSE - Other Index Options'!$C:$C,$A44,'NSE - Other Index Options'!$B:$B,F$4,'NSE - Other Index Options'!$I:$I,"MDAW*")=0,"",SUMIFS('NSE - NIFTY Index Options'!$M:$M,'NSE - NIFTY Index Options'!$C:$C,$A44,'NSE - NIFTY Index Options'!$B:$B,F$4,'NSE - NIFTY Index Options'!$I:$I,"Weekly*")+SUMIFS('NSE - NIFTY Index Options'!$M:$M,'NSE - NIFTY Index Options'!$C:$C,$A44,'NSE - NIFTY Index Options'!$B:$B,F$4,'NSE - NIFTY Index Options'!$I:$I,"MDAW*")+SUMIFS('NSE - Other Index Options'!$M:$M,'NSE - Other Index Options'!$C:$C,$A44,'NSE - Other Index Options'!$B:$B,F$4,'NSE - Other Index Options'!$I:$I,"Weekly*")+SUMIFS('NSE - Other Index Options'!$M:$M,'NSE - Other Index Options'!$C:$C,$A44,'NSE - Other Index Options'!$B:$B,F$4,'NSE - Other Index Options'!$I:$I,"MDAW*"))</f>
        <v/>
      </c>
      <c r="G44" s="26">
        <f>IF(SUMIFS('NSE - NIFTY Index Options'!$M:$M,'NSE - NIFTY Index Options'!$C:$C,$A44,'NSE - NIFTY Index Options'!$B:$B,G$4,'NSE - NIFTY Index Options'!$I:$I,"Weekly*")+SUMIFS('NSE - NIFTY Index Options'!$M:$M,'NSE - NIFTY Index Options'!$C:$C,$A44,'NSE - NIFTY Index Options'!$B:$B,G$4,'NSE - NIFTY Index Options'!$I:$I,"MDAW*")+SUMIFS('NSE - Other Index Options'!$M:$M,'NSE - Other Index Options'!$C:$C,$A44,'NSE - Other Index Options'!$B:$B,G$4,'NSE - Other Index Options'!$I:$I,"Weekly*")+SUMIFS('NSE - Other Index Options'!$M:$M,'NSE - Other Index Options'!$C:$C,$A44,'NSE - Other Index Options'!$B:$B,G$4,'NSE - Other Index Options'!$I:$I,"MDAW*")=0,"",SUMIFS('NSE - NIFTY Index Options'!$M:$M,'NSE - NIFTY Index Options'!$C:$C,$A44,'NSE - NIFTY Index Options'!$B:$B,G$4,'NSE - NIFTY Index Options'!$I:$I,"Weekly*")+SUMIFS('NSE - NIFTY Index Options'!$M:$M,'NSE - NIFTY Index Options'!$C:$C,$A44,'NSE - NIFTY Index Options'!$B:$B,G$4,'NSE - NIFTY Index Options'!$I:$I,"MDAW*")+SUMIFS('NSE - Other Index Options'!$M:$M,'NSE - Other Index Options'!$C:$C,$A44,'NSE - Other Index Options'!$B:$B,G$4,'NSE - Other Index Options'!$I:$I,"Weekly*")+SUMIFS('NSE - Other Index Options'!$M:$M,'NSE - Other Index Options'!$C:$C,$A44,'NSE - Other Index Options'!$B:$B,G$4,'NSE - Other Index Options'!$I:$I,"MDAW*"))</f>
        <v/>
      </c>
      <c r="H44" s="26">
        <f>IF(SUM(B44:G44)=0,"",SUM(B44:G44))</f>
        <v/>
      </c>
    </row>
    <row r="45">
      <c r="A45" t="inlineStr">
        <is>
          <t>Week2-May-2026</t>
        </is>
      </c>
      <c r="B45" s="26">
        <f>IF(SUMIFS('NSE - NIFTY Index Options'!$M:$M,'NSE - NIFTY Index Options'!$C:$C,$A45,'NSE - NIFTY Index Options'!$B:$B,B$4,'NSE - NIFTY Index Options'!$I:$I,"Weekly*")+SUMIFS('NSE - NIFTY Index Options'!$M:$M,'NSE - NIFTY Index Options'!$C:$C,$A45,'NSE - NIFTY Index Options'!$B:$B,B$4,'NSE - NIFTY Index Options'!$I:$I,"MDAW*")+SUMIFS('NSE - Other Index Options'!$M:$M,'NSE - Other Index Options'!$C:$C,$A45,'NSE - Other Index Options'!$B:$B,B$4,'NSE - Other Index Options'!$I:$I,"Weekly*")+SUMIFS('NSE - Other Index Options'!$M:$M,'NSE - Other Index Options'!$C:$C,$A45,'NSE - Other Index Options'!$B:$B,B$4,'NSE - Other Index Options'!$I:$I,"MDAW*")=0,"",SUMIFS('NSE - NIFTY Index Options'!$M:$M,'NSE - NIFTY Index Options'!$C:$C,$A45,'NSE - NIFTY Index Options'!$B:$B,B$4,'NSE - NIFTY Index Options'!$I:$I,"Weekly*")+SUMIFS('NSE - NIFTY Index Options'!$M:$M,'NSE - NIFTY Index Options'!$C:$C,$A45,'NSE - NIFTY Index Options'!$B:$B,B$4,'NSE - NIFTY Index Options'!$I:$I,"MDAW*")+SUMIFS('NSE - Other Index Options'!$M:$M,'NSE - Other Index Options'!$C:$C,$A45,'NSE - Other Index Options'!$B:$B,B$4,'NSE - Other Index Options'!$I:$I,"Weekly*")+SUMIFS('NSE - Other Index Options'!$M:$M,'NSE - Other Index Options'!$C:$C,$A45,'NSE - Other Index Options'!$B:$B,B$4,'NSE - Other Index Options'!$I:$I,"MDAW*"))</f>
        <v/>
      </c>
      <c r="C45" s="26">
        <f>IF(SUMIFS('NSE - NIFTY Index Options'!$M:$M,'NSE - NIFTY Index Options'!$C:$C,$A45,'NSE - NIFTY Index Options'!$B:$B,C$4,'NSE - NIFTY Index Options'!$I:$I,"Weekly*")+SUMIFS('NSE - NIFTY Index Options'!$M:$M,'NSE - NIFTY Index Options'!$C:$C,$A45,'NSE - NIFTY Index Options'!$B:$B,C$4,'NSE - NIFTY Index Options'!$I:$I,"MDAW*")+SUMIFS('NSE - Other Index Options'!$M:$M,'NSE - Other Index Options'!$C:$C,$A45,'NSE - Other Index Options'!$B:$B,C$4,'NSE - Other Index Options'!$I:$I,"Weekly*")+SUMIFS('NSE - Other Index Options'!$M:$M,'NSE - Other Index Options'!$C:$C,$A45,'NSE - Other Index Options'!$B:$B,C$4,'NSE - Other Index Options'!$I:$I,"MDAW*")=0,"",SUMIFS('NSE - NIFTY Index Options'!$M:$M,'NSE - NIFTY Index Options'!$C:$C,$A45,'NSE - NIFTY Index Options'!$B:$B,C$4,'NSE - NIFTY Index Options'!$I:$I,"Weekly*")+SUMIFS('NSE - NIFTY Index Options'!$M:$M,'NSE - NIFTY Index Options'!$C:$C,$A45,'NSE - NIFTY Index Options'!$B:$B,C$4,'NSE - NIFTY Index Options'!$I:$I,"MDAW*")+SUMIFS('NSE - Other Index Options'!$M:$M,'NSE - Other Index Options'!$C:$C,$A45,'NSE - Other Index Options'!$B:$B,C$4,'NSE - Other Index Options'!$I:$I,"Weekly*")+SUMIFS('NSE - Other Index Options'!$M:$M,'NSE - Other Index Options'!$C:$C,$A45,'NSE - Other Index Options'!$B:$B,C$4,'NSE - Other Index Options'!$I:$I,"MDAW*"))</f>
        <v/>
      </c>
      <c r="D45" s="26">
        <f>IF(SUMIFS('NSE - NIFTY Index Options'!$M:$M,'NSE - NIFTY Index Options'!$C:$C,$A45,'NSE - NIFTY Index Options'!$B:$B,D$4,'NSE - NIFTY Index Options'!$I:$I,"Weekly*")+SUMIFS('NSE - NIFTY Index Options'!$M:$M,'NSE - NIFTY Index Options'!$C:$C,$A45,'NSE - NIFTY Index Options'!$B:$B,D$4,'NSE - NIFTY Index Options'!$I:$I,"MDAW*")+SUMIFS('NSE - Other Index Options'!$M:$M,'NSE - Other Index Options'!$C:$C,$A45,'NSE - Other Index Options'!$B:$B,D$4,'NSE - Other Index Options'!$I:$I,"Weekly*")+SUMIFS('NSE - Other Index Options'!$M:$M,'NSE - Other Index Options'!$C:$C,$A45,'NSE - Other Index Options'!$B:$B,D$4,'NSE - Other Index Options'!$I:$I,"MDAW*")=0,"",SUMIFS('NSE - NIFTY Index Options'!$M:$M,'NSE - NIFTY Index Options'!$C:$C,$A45,'NSE - NIFTY Index Options'!$B:$B,D$4,'NSE - NIFTY Index Options'!$I:$I,"Weekly*")+SUMIFS('NSE - NIFTY Index Options'!$M:$M,'NSE - NIFTY Index Options'!$C:$C,$A45,'NSE - NIFTY Index Options'!$B:$B,D$4,'NSE - NIFTY Index Options'!$I:$I,"MDAW*")+SUMIFS('NSE - Other Index Options'!$M:$M,'NSE - Other Index Options'!$C:$C,$A45,'NSE - Other Index Options'!$B:$B,D$4,'NSE - Other Index Options'!$I:$I,"Weekly*")+SUMIFS('NSE - Other Index Options'!$M:$M,'NSE - Other Index Options'!$C:$C,$A45,'NSE - Other Index Options'!$B:$B,D$4,'NSE - Other Index Options'!$I:$I,"MDAW*"))</f>
        <v/>
      </c>
      <c r="E45" s="26">
        <f>IF(SUMIFS('NSE - NIFTY Index Options'!$M:$M,'NSE - NIFTY Index Options'!$C:$C,$A45,'NSE - NIFTY Index Options'!$B:$B,E$4,'NSE - NIFTY Index Options'!$I:$I,"Weekly*")+SUMIFS('NSE - NIFTY Index Options'!$M:$M,'NSE - NIFTY Index Options'!$C:$C,$A45,'NSE - NIFTY Index Options'!$B:$B,E$4,'NSE - NIFTY Index Options'!$I:$I,"MDAW*")+SUMIFS('NSE - Other Index Options'!$M:$M,'NSE - Other Index Options'!$C:$C,$A45,'NSE - Other Index Options'!$B:$B,E$4,'NSE - Other Index Options'!$I:$I,"Weekly*")+SUMIFS('NSE - Other Index Options'!$M:$M,'NSE - Other Index Options'!$C:$C,$A45,'NSE - Other Index Options'!$B:$B,E$4,'NSE - Other Index Options'!$I:$I,"MDAW*")=0,"",SUMIFS('NSE - NIFTY Index Options'!$M:$M,'NSE - NIFTY Index Options'!$C:$C,$A45,'NSE - NIFTY Index Options'!$B:$B,E$4,'NSE - NIFTY Index Options'!$I:$I,"Weekly*")+SUMIFS('NSE - NIFTY Index Options'!$M:$M,'NSE - NIFTY Index Options'!$C:$C,$A45,'NSE - NIFTY Index Options'!$B:$B,E$4,'NSE - NIFTY Index Options'!$I:$I,"MDAW*")+SUMIFS('NSE - Other Index Options'!$M:$M,'NSE - Other Index Options'!$C:$C,$A45,'NSE - Other Index Options'!$B:$B,E$4,'NSE - Other Index Options'!$I:$I,"Weekly*")+SUMIFS('NSE - Other Index Options'!$M:$M,'NSE - Other Index Options'!$C:$C,$A45,'NSE - Other Index Options'!$B:$B,E$4,'NSE - Other Index Options'!$I:$I,"MDAW*"))</f>
        <v/>
      </c>
      <c r="F45" s="26">
        <f>IF(SUMIFS('NSE - NIFTY Index Options'!$M:$M,'NSE - NIFTY Index Options'!$C:$C,$A45,'NSE - NIFTY Index Options'!$B:$B,F$4,'NSE - NIFTY Index Options'!$I:$I,"Weekly*")+SUMIFS('NSE - NIFTY Index Options'!$M:$M,'NSE - NIFTY Index Options'!$C:$C,$A45,'NSE - NIFTY Index Options'!$B:$B,F$4,'NSE - NIFTY Index Options'!$I:$I,"MDAW*")+SUMIFS('NSE - Other Index Options'!$M:$M,'NSE - Other Index Options'!$C:$C,$A45,'NSE - Other Index Options'!$B:$B,F$4,'NSE - Other Index Options'!$I:$I,"Weekly*")+SUMIFS('NSE - Other Index Options'!$M:$M,'NSE - Other Index Options'!$C:$C,$A45,'NSE - Other Index Options'!$B:$B,F$4,'NSE - Other Index Options'!$I:$I,"MDAW*")=0,"",SUMIFS('NSE - NIFTY Index Options'!$M:$M,'NSE - NIFTY Index Options'!$C:$C,$A45,'NSE - NIFTY Index Options'!$B:$B,F$4,'NSE - NIFTY Index Options'!$I:$I,"Weekly*")+SUMIFS('NSE - NIFTY Index Options'!$M:$M,'NSE - NIFTY Index Options'!$C:$C,$A45,'NSE - NIFTY Index Options'!$B:$B,F$4,'NSE - NIFTY Index Options'!$I:$I,"MDAW*")+SUMIFS('NSE - Other Index Options'!$M:$M,'NSE - Other Index Options'!$C:$C,$A45,'NSE - Other Index Options'!$B:$B,F$4,'NSE - Other Index Options'!$I:$I,"Weekly*")+SUMIFS('NSE - Other Index Options'!$M:$M,'NSE - Other Index Options'!$C:$C,$A45,'NSE - Other Index Options'!$B:$B,F$4,'NSE - Other Index Options'!$I:$I,"MDAW*"))</f>
        <v/>
      </c>
      <c r="G45" s="26">
        <f>IF(SUMIFS('NSE - NIFTY Index Options'!$M:$M,'NSE - NIFTY Index Options'!$C:$C,$A45,'NSE - NIFTY Index Options'!$B:$B,G$4,'NSE - NIFTY Index Options'!$I:$I,"Weekly*")+SUMIFS('NSE - NIFTY Index Options'!$M:$M,'NSE - NIFTY Index Options'!$C:$C,$A45,'NSE - NIFTY Index Options'!$B:$B,G$4,'NSE - NIFTY Index Options'!$I:$I,"MDAW*")+SUMIFS('NSE - Other Index Options'!$M:$M,'NSE - Other Index Options'!$C:$C,$A45,'NSE - Other Index Options'!$B:$B,G$4,'NSE - Other Index Options'!$I:$I,"Weekly*")+SUMIFS('NSE - Other Index Options'!$M:$M,'NSE - Other Index Options'!$C:$C,$A45,'NSE - Other Index Options'!$B:$B,G$4,'NSE - Other Index Options'!$I:$I,"MDAW*")=0,"",SUMIFS('NSE - NIFTY Index Options'!$M:$M,'NSE - NIFTY Index Options'!$C:$C,$A45,'NSE - NIFTY Index Options'!$B:$B,G$4,'NSE - NIFTY Index Options'!$I:$I,"Weekly*")+SUMIFS('NSE - NIFTY Index Options'!$M:$M,'NSE - NIFTY Index Options'!$C:$C,$A45,'NSE - NIFTY Index Options'!$B:$B,G$4,'NSE - NIFTY Index Options'!$I:$I,"MDAW*")+SUMIFS('NSE - Other Index Options'!$M:$M,'NSE - Other Index Options'!$C:$C,$A45,'NSE - Other Index Options'!$B:$B,G$4,'NSE - Other Index Options'!$I:$I,"Weekly*")+SUMIFS('NSE - Other Index Options'!$M:$M,'NSE - Other Index Options'!$C:$C,$A45,'NSE - Other Index Options'!$B:$B,G$4,'NSE - Other Index Options'!$I:$I,"MDAW*"))</f>
        <v/>
      </c>
      <c r="H45" s="26">
        <f>IF(SUM(B45:G45)=0,"",SUM(B45:G45))</f>
        <v/>
      </c>
    </row>
    <row r="46">
      <c r="A46" t="inlineStr">
        <is>
          <t>Week3-May-2026</t>
        </is>
      </c>
      <c r="B46" s="26">
        <f>IF(SUMIFS('NSE - NIFTY Index Options'!$M:$M,'NSE - NIFTY Index Options'!$C:$C,$A46,'NSE - NIFTY Index Options'!$B:$B,B$4,'NSE - NIFTY Index Options'!$I:$I,"Weekly*")+SUMIFS('NSE - NIFTY Index Options'!$M:$M,'NSE - NIFTY Index Options'!$C:$C,$A46,'NSE - NIFTY Index Options'!$B:$B,B$4,'NSE - NIFTY Index Options'!$I:$I,"MDAW*")+SUMIFS('NSE - Other Index Options'!$M:$M,'NSE - Other Index Options'!$C:$C,$A46,'NSE - Other Index Options'!$B:$B,B$4,'NSE - Other Index Options'!$I:$I,"Weekly*")+SUMIFS('NSE - Other Index Options'!$M:$M,'NSE - Other Index Options'!$C:$C,$A46,'NSE - Other Index Options'!$B:$B,B$4,'NSE - Other Index Options'!$I:$I,"MDAW*")=0,"",SUMIFS('NSE - NIFTY Index Options'!$M:$M,'NSE - NIFTY Index Options'!$C:$C,$A46,'NSE - NIFTY Index Options'!$B:$B,B$4,'NSE - NIFTY Index Options'!$I:$I,"Weekly*")+SUMIFS('NSE - NIFTY Index Options'!$M:$M,'NSE - NIFTY Index Options'!$C:$C,$A46,'NSE - NIFTY Index Options'!$B:$B,B$4,'NSE - NIFTY Index Options'!$I:$I,"MDAW*")+SUMIFS('NSE - Other Index Options'!$M:$M,'NSE - Other Index Options'!$C:$C,$A46,'NSE - Other Index Options'!$B:$B,B$4,'NSE - Other Index Options'!$I:$I,"Weekly*")+SUMIFS('NSE - Other Index Options'!$M:$M,'NSE - Other Index Options'!$C:$C,$A46,'NSE - Other Index Options'!$B:$B,B$4,'NSE - Other Index Options'!$I:$I,"MDAW*"))</f>
        <v/>
      </c>
      <c r="C46" s="26">
        <f>IF(SUMIFS('NSE - NIFTY Index Options'!$M:$M,'NSE - NIFTY Index Options'!$C:$C,$A46,'NSE - NIFTY Index Options'!$B:$B,C$4,'NSE - NIFTY Index Options'!$I:$I,"Weekly*")+SUMIFS('NSE - NIFTY Index Options'!$M:$M,'NSE - NIFTY Index Options'!$C:$C,$A46,'NSE - NIFTY Index Options'!$B:$B,C$4,'NSE - NIFTY Index Options'!$I:$I,"MDAW*")+SUMIFS('NSE - Other Index Options'!$M:$M,'NSE - Other Index Options'!$C:$C,$A46,'NSE - Other Index Options'!$B:$B,C$4,'NSE - Other Index Options'!$I:$I,"Weekly*")+SUMIFS('NSE - Other Index Options'!$M:$M,'NSE - Other Index Options'!$C:$C,$A46,'NSE - Other Index Options'!$B:$B,C$4,'NSE - Other Index Options'!$I:$I,"MDAW*")=0,"",SUMIFS('NSE - NIFTY Index Options'!$M:$M,'NSE - NIFTY Index Options'!$C:$C,$A46,'NSE - NIFTY Index Options'!$B:$B,C$4,'NSE - NIFTY Index Options'!$I:$I,"Weekly*")+SUMIFS('NSE - NIFTY Index Options'!$M:$M,'NSE - NIFTY Index Options'!$C:$C,$A46,'NSE - NIFTY Index Options'!$B:$B,C$4,'NSE - NIFTY Index Options'!$I:$I,"MDAW*")+SUMIFS('NSE - Other Index Options'!$M:$M,'NSE - Other Index Options'!$C:$C,$A46,'NSE - Other Index Options'!$B:$B,C$4,'NSE - Other Index Options'!$I:$I,"Weekly*")+SUMIFS('NSE - Other Index Options'!$M:$M,'NSE - Other Index Options'!$C:$C,$A46,'NSE - Other Index Options'!$B:$B,C$4,'NSE - Other Index Options'!$I:$I,"MDAW*"))</f>
        <v/>
      </c>
      <c r="D46" s="26">
        <f>IF(SUMIFS('NSE - NIFTY Index Options'!$M:$M,'NSE - NIFTY Index Options'!$C:$C,$A46,'NSE - NIFTY Index Options'!$B:$B,D$4,'NSE - NIFTY Index Options'!$I:$I,"Weekly*")+SUMIFS('NSE - NIFTY Index Options'!$M:$M,'NSE - NIFTY Index Options'!$C:$C,$A46,'NSE - NIFTY Index Options'!$B:$B,D$4,'NSE - NIFTY Index Options'!$I:$I,"MDAW*")+SUMIFS('NSE - Other Index Options'!$M:$M,'NSE - Other Index Options'!$C:$C,$A46,'NSE - Other Index Options'!$B:$B,D$4,'NSE - Other Index Options'!$I:$I,"Weekly*")+SUMIFS('NSE - Other Index Options'!$M:$M,'NSE - Other Index Options'!$C:$C,$A46,'NSE - Other Index Options'!$B:$B,D$4,'NSE - Other Index Options'!$I:$I,"MDAW*")=0,"",SUMIFS('NSE - NIFTY Index Options'!$M:$M,'NSE - NIFTY Index Options'!$C:$C,$A46,'NSE - NIFTY Index Options'!$B:$B,D$4,'NSE - NIFTY Index Options'!$I:$I,"Weekly*")+SUMIFS('NSE - NIFTY Index Options'!$M:$M,'NSE - NIFTY Index Options'!$C:$C,$A46,'NSE - NIFTY Index Options'!$B:$B,D$4,'NSE - NIFTY Index Options'!$I:$I,"MDAW*")+SUMIFS('NSE - Other Index Options'!$M:$M,'NSE - Other Index Options'!$C:$C,$A46,'NSE - Other Index Options'!$B:$B,D$4,'NSE - Other Index Options'!$I:$I,"Weekly*")+SUMIFS('NSE - Other Index Options'!$M:$M,'NSE - Other Index Options'!$C:$C,$A46,'NSE - Other Index Options'!$B:$B,D$4,'NSE - Other Index Options'!$I:$I,"MDAW*"))</f>
        <v/>
      </c>
      <c r="E46" s="26">
        <f>IF(SUMIFS('NSE - NIFTY Index Options'!$M:$M,'NSE - NIFTY Index Options'!$C:$C,$A46,'NSE - NIFTY Index Options'!$B:$B,E$4,'NSE - NIFTY Index Options'!$I:$I,"Weekly*")+SUMIFS('NSE - NIFTY Index Options'!$M:$M,'NSE - NIFTY Index Options'!$C:$C,$A46,'NSE - NIFTY Index Options'!$B:$B,E$4,'NSE - NIFTY Index Options'!$I:$I,"MDAW*")+SUMIFS('NSE - Other Index Options'!$M:$M,'NSE - Other Index Options'!$C:$C,$A46,'NSE - Other Index Options'!$B:$B,E$4,'NSE - Other Index Options'!$I:$I,"Weekly*")+SUMIFS('NSE - Other Index Options'!$M:$M,'NSE - Other Index Options'!$C:$C,$A46,'NSE - Other Index Options'!$B:$B,E$4,'NSE - Other Index Options'!$I:$I,"MDAW*")=0,"",SUMIFS('NSE - NIFTY Index Options'!$M:$M,'NSE - NIFTY Index Options'!$C:$C,$A46,'NSE - NIFTY Index Options'!$B:$B,E$4,'NSE - NIFTY Index Options'!$I:$I,"Weekly*")+SUMIFS('NSE - NIFTY Index Options'!$M:$M,'NSE - NIFTY Index Options'!$C:$C,$A46,'NSE - NIFTY Index Options'!$B:$B,E$4,'NSE - NIFTY Index Options'!$I:$I,"MDAW*")+SUMIFS('NSE - Other Index Options'!$M:$M,'NSE - Other Index Options'!$C:$C,$A46,'NSE - Other Index Options'!$B:$B,E$4,'NSE - Other Index Options'!$I:$I,"Weekly*")+SUMIFS('NSE - Other Index Options'!$M:$M,'NSE - Other Index Options'!$C:$C,$A46,'NSE - Other Index Options'!$B:$B,E$4,'NSE - Other Index Options'!$I:$I,"MDAW*"))</f>
        <v/>
      </c>
      <c r="F46" s="26">
        <f>IF(SUMIFS('NSE - NIFTY Index Options'!$M:$M,'NSE - NIFTY Index Options'!$C:$C,$A46,'NSE - NIFTY Index Options'!$B:$B,F$4,'NSE - NIFTY Index Options'!$I:$I,"Weekly*")+SUMIFS('NSE - NIFTY Index Options'!$M:$M,'NSE - NIFTY Index Options'!$C:$C,$A46,'NSE - NIFTY Index Options'!$B:$B,F$4,'NSE - NIFTY Index Options'!$I:$I,"MDAW*")+SUMIFS('NSE - Other Index Options'!$M:$M,'NSE - Other Index Options'!$C:$C,$A46,'NSE - Other Index Options'!$B:$B,F$4,'NSE - Other Index Options'!$I:$I,"Weekly*")+SUMIFS('NSE - Other Index Options'!$M:$M,'NSE - Other Index Options'!$C:$C,$A46,'NSE - Other Index Options'!$B:$B,F$4,'NSE - Other Index Options'!$I:$I,"MDAW*")=0,"",SUMIFS('NSE - NIFTY Index Options'!$M:$M,'NSE - NIFTY Index Options'!$C:$C,$A46,'NSE - NIFTY Index Options'!$B:$B,F$4,'NSE - NIFTY Index Options'!$I:$I,"Weekly*")+SUMIFS('NSE - NIFTY Index Options'!$M:$M,'NSE - NIFTY Index Options'!$C:$C,$A46,'NSE - NIFTY Index Options'!$B:$B,F$4,'NSE - NIFTY Index Options'!$I:$I,"MDAW*")+SUMIFS('NSE - Other Index Options'!$M:$M,'NSE - Other Index Options'!$C:$C,$A46,'NSE - Other Index Options'!$B:$B,F$4,'NSE - Other Index Options'!$I:$I,"Weekly*")+SUMIFS('NSE - Other Index Options'!$M:$M,'NSE - Other Index Options'!$C:$C,$A46,'NSE - Other Index Options'!$B:$B,F$4,'NSE - Other Index Options'!$I:$I,"MDAW*"))</f>
        <v/>
      </c>
      <c r="G46" s="26">
        <f>IF(SUMIFS('NSE - NIFTY Index Options'!$M:$M,'NSE - NIFTY Index Options'!$C:$C,$A46,'NSE - NIFTY Index Options'!$B:$B,G$4,'NSE - NIFTY Index Options'!$I:$I,"Weekly*")+SUMIFS('NSE - NIFTY Index Options'!$M:$M,'NSE - NIFTY Index Options'!$C:$C,$A46,'NSE - NIFTY Index Options'!$B:$B,G$4,'NSE - NIFTY Index Options'!$I:$I,"MDAW*")+SUMIFS('NSE - Other Index Options'!$M:$M,'NSE - Other Index Options'!$C:$C,$A46,'NSE - Other Index Options'!$B:$B,G$4,'NSE - Other Index Options'!$I:$I,"Weekly*")+SUMIFS('NSE - Other Index Options'!$M:$M,'NSE - Other Index Options'!$C:$C,$A46,'NSE - Other Index Options'!$B:$B,G$4,'NSE - Other Index Options'!$I:$I,"MDAW*")=0,"",SUMIFS('NSE - NIFTY Index Options'!$M:$M,'NSE - NIFTY Index Options'!$C:$C,$A46,'NSE - NIFTY Index Options'!$B:$B,G$4,'NSE - NIFTY Index Options'!$I:$I,"Weekly*")+SUMIFS('NSE - NIFTY Index Options'!$M:$M,'NSE - NIFTY Index Options'!$C:$C,$A46,'NSE - NIFTY Index Options'!$B:$B,G$4,'NSE - NIFTY Index Options'!$I:$I,"MDAW*")+SUMIFS('NSE - Other Index Options'!$M:$M,'NSE - Other Index Options'!$C:$C,$A46,'NSE - Other Index Options'!$B:$B,G$4,'NSE - Other Index Options'!$I:$I,"Weekly*")+SUMIFS('NSE - Other Index Options'!$M:$M,'NSE - Other Index Options'!$C:$C,$A46,'NSE - Other Index Options'!$B:$B,G$4,'NSE - Other Index Options'!$I:$I,"MDAW*"))</f>
        <v/>
      </c>
      <c r="H46" s="26">
        <f>IF(SUM(B46:G46)=0,"",SUM(B46:G46))</f>
        <v/>
      </c>
    </row>
    <row r="47">
      <c r="A47" t="inlineStr">
        <is>
          <t>Week4-May-2026</t>
        </is>
      </c>
      <c r="B47" s="26">
        <f>IF(SUMIFS('NSE - NIFTY Index Options'!$M:$M,'NSE - NIFTY Index Options'!$C:$C,$A47,'NSE - NIFTY Index Options'!$B:$B,B$4,'NSE - NIFTY Index Options'!$I:$I,"Weekly*")+SUMIFS('NSE - NIFTY Index Options'!$M:$M,'NSE - NIFTY Index Options'!$C:$C,$A47,'NSE - NIFTY Index Options'!$B:$B,B$4,'NSE - NIFTY Index Options'!$I:$I,"MDAW*")+SUMIFS('NSE - Other Index Options'!$M:$M,'NSE - Other Index Options'!$C:$C,$A47,'NSE - Other Index Options'!$B:$B,B$4,'NSE - Other Index Options'!$I:$I,"Weekly*")+SUMIFS('NSE - Other Index Options'!$M:$M,'NSE - Other Index Options'!$C:$C,$A47,'NSE - Other Index Options'!$B:$B,B$4,'NSE - Other Index Options'!$I:$I,"MDAW*")=0,"",SUMIFS('NSE - NIFTY Index Options'!$M:$M,'NSE - NIFTY Index Options'!$C:$C,$A47,'NSE - NIFTY Index Options'!$B:$B,B$4,'NSE - NIFTY Index Options'!$I:$I,"Weekly*")+SUMIFS('NSE - NIFTY Index Options'!$M:$M,'NSE - NIFTY Index Options'!$C:$C,$A47,'NSE - NIFTY Index Options'!$B:$B,B$4,'NSE - NIFTY Index Options'!$I:$I,"MDAW*")+SUMIFS('NSE - Other Index Options'!$M:$M,'NSE - Other Index Options'!$C:$C,$A47,'NSE - Other Index Options'!$B:$B,B$4,'NSE - Other Index Options'!$I:$I,"Weekly*")+SUMIFS('NSE - Other Index Options'!$M:$M,'NSE - Other Index Options'!$C:$C,$A47,'NSE - Other Index Options'!$B:$B,B$4,'NSE - Other Index Options'!$I:$I,"MDAW*"))</f>
        <v/>
      </c>
      <c r="C47" s="26">
        <f>IF(SUMIFS('NSE - NIFTY Index Options'!$M:$M,'NSE - NIFTY Index Options'!$C:$C,$A47,'NSE - NIFTY Index Options'!$B:$B,C$4,'NSE - NIFTY Index Options'!$I:$I,"Weekly*")+SUMIFS('NSE - NIFTY Index Options'!$M:$M,'NSE - NIFTY Index Options'!$C:$C,$A47,'NSE - NIFTY Index Options'!$B:$B,C$4,'NSE - NIFTY Index Options'!$I:$I,"MDAW*")+SUMIFS('NSE - Other Index Options'!$M:$M,'NSE - Other Index Options'!$C:$C,$A47,'NSE - Other Index Options'!$B:$B,C$4,'NSE - Other Index Options'!$I:$I,"Weekly*")+SUMIFS('NSE - Other Index Options'!$M:$M,'NSE - Other Index Options'!$C:$C,$A47,'NSE - Other Index Options'!$B:$B,C$4,'NSE - Other Index Options'!$I:$I,"MDAW*")=0,"",SUMIFS('NSE - NIFTY Index Options'!$M:$M,'NSE - NIFTY Index Options'!$C:$C,$A47,'NSE - NIFTY Index Options'!$B:$B,C$4,'NSE - NIFTY Index Options'!$I:$I,"Weekly*")+SUMIFS('NSE - NIFTY Index Options'!$M:$M,'NSE - NIFTY Index Options'!$C:$C,$A47,'NSE - NIFTY Index Options'!$B:$B,C$4,'NSE - NIFTY Index Options'!$I:$I,"MDAW*")+SUMIFS('NSE - Other Index Options'!$M:$M,'NSE - Other Index Options'!$C:$C,$A47,'NSE - Other Index Options'!$B:$B,C$4,'NSE - Other Index Options'!$I:$I,"Weekly*")+SUMIFS('NSE - Other Index Options'!$M:$M,'NSE - Other Index Options'!$C:$C,$A47,'NSE - Other Index Options'!$B:$B,C$4,'NSE - Other Index Options'!$I:$I,"MDAW*"))</f>
        <v/>
      </c>
      <c r="D47" s="26">
        <f>IF(SUMIFS('NSE - NIFTY Index Options'!$M:$M,'NSE - NIFTY Index Options'!$C:$C,$A47,'NSE - NIFTY Index Options'!$B:$B,D$4,'NSE - NIFTY Index Options'!$I:$I,"Weekly*")+SUMIFS('NSE - NIFTY Index Options'!$M:$M,'NSE - NIFTY Index Options'!$C:$C,$A47,'NSE - NIFTY Index Options'!$B:$B,D$4,'NSE - NIFTY Index Options'!$I:$I,"MDAW*")+SUMIFS('NSE - Other Index Options'!$M:$M,'NSE - Other Index Options'!$C:$C,$A47,'NSE - Other Index Options'!$B:$B,D$4,'NSE - Other Index Options'!$I:$I,"Weekly*")+SUMIFS('NSE - Other Index Options'!$M:$M,'NSE - Other Index Options'!$C:$C,$A47,'NSE - Other Index Options'!$B:$B,D$4,'NSE - Other Index Options'!$I:$I,"MDAW*")=0,"",SUMIFS('NSE - NIFTY Index Options'!$M:$M,'NSE - NIFTY Index Options'!$C:$C,$A47,'NSE - NIFTY Index Options'!$B:$B,D$4,'NSE - NIFTY Index Options'!$I:$I,"Weekly*")+SUMIFS('NSE - NIFTY Index Options'!$M:$M,'NSE - NIFTY Index Options'!$C:$C,$A47,'NSE - NIFTY Index Options'!$B:$B,D$4,'NSE - NIFTY Index Options'!$I:$I,"MDAW*")+SUMIFS('NSE - Other Index Options'!$M:$M,'NSE - Other Index Options'!$C:$C,$A47,'NSE - Other Index Options'!$B:$B,D$4,'NSE - Other Index Options'!$I:$I,"Weekly*")+SUMIFS('NSE - Other Index Options'!$M:$M,'NSE - Other Index Options'!$C:$C,$A47,'NSE - Other Index Options'!$B:$B,D$4,'NSE - Other Index Options'!$I:$I,"MDAW*"))</f>
        <v/>
      </c>
      <c r="E47" s="26">
        <f>IF(SUMIFS('NSE - NIFTY Index Options'!$M:$M,'NSE - NIFTY Index Options'!$C:$C,$A47,'NSE - NIFTY Index Options'!$B:$B,E$4,'NSE - NIFTY Index Options'!$I:$I,"Weekly*")+SUMIFS('NSE - NIFTY Index Options'!$M:$M,'NSE - NIFTY Index Options'!$C:$C,$A47,'NSE - NIFTY Index Options'!$B:$B,E$4,'NSE - NIFTY Index Options'!$I:$I,"MDAW*")+SUMIFS('NSE - Other Index Options'!$M:$M,'NSE - Other Index Options'!$C:$C,$A47,'NSE - Other Index Options'!$B:$B,E$4,'NSE - Other Index Options'!$I:$I,"Weekly*")+SUMIFS('NSE - Other Index Options'!$M:$M,'NSE - Other Index Options'!$C:$C,$A47,'NSE - Other Index Options'!$B:$B,E$4,'NSE - Other Index Options'!$I:$I,"MDAW*")=0,"",SUMIFS('NSE - NIFTY Index Options'!$M:$M,'NSE - NIFTY Index Options'!$C:$C,$A47,'NSE - NIFTY Index Options'!$B:$B,E$4,'NSE - NIFTY Index Options'!$I:$I,"Weekly*")+SUMIFS('NSE - NIFTY Index Options'!$M:$M,'NSE - NIFTY Index Options'!$C:$C,$A47,'NSE - NIFTY Index Options'!$B:$B,E$4,'NSE - NIFTY Index Options'!$I:$I,"MDAW*")+SUMIFS('NSE - Other Index Options'!$M:$M,'NSE - Other Index Options'!$C:$C,$A47,'NSE - Other Index Options'!$B:$B,E$4,'NSE - Other Index Options'!$I:$I,"Weekly*")+SUMIFS('NSE - Other Index Options'!$M:$M,'NSE - Other Index Options'!$C:$C,$A47,'NSE - Other Index Options'!$B:$B,E$4,'NSE - Other Index Options'!$I:$I,"MDAW*"))</f>
        <v/>
      </c>
      <c r="F47" s="26">
        <f>IF(SUMIFS('NSE - NIFTY Index Options'!$M:$M,'NSE - NIFTY Index Options'!$C:$C,$A47,'NSE - NIFTY Index Options'!$B:$B,F$4,'NSE - NIFTY Index Options'!$I:$I,"Weekly*")+SUMIFS('NSE - NIFTY Index Options'!$M:$M,'NSE - NIFTY Index Options'!$C:$C,$A47,'NSE - NIFTY Index Options'!$B:$B,F$4,'NSE - NIFTY Index Options'!$I:$I,"MDAW*")+SUMIFS('NSE - Other Index Options'!$M:$M,'NSE - Other Index Options'!$C:$C,$A47,'NSE - Other Index Options'!$B:$B,F$4,'NSE - Other Index Options'!$I:$I,"Weekly*")+SUMIFS('NSE - Other Index Options'!$M:$M,'NSE - Other Index Options'!$C:$C,$A47,'NSE - Other Index Options'!$B:$B,F$4,'NSE - Other Index Options'!$I:$I,"MDAW*")=0,"",SUMIFS('NSE - NIFTY Index Options'!$M:$M,'NSE - NIFTY Index Options'!$C:$C,$A47,'NSE - NIFTY Index Options'!$B:$B,F$4,'NSE - NIFTY Index Options'!$I:$I,"Weekly*")+SUMIFS('NSE - NIFTY Index Options'!$M:$M,'NSE - NIFTY Index Options'!$C:$C,$A47,'NSE - NIFTY Index Options'!$B:$B,F$4,'NSE - NIFTY Index Options'!$I:$I,"MDAW*")+SUMIFS('NSE - Other Index Options'!$M:$M,'NSE - Other Index Options'!$C:$C,$A47,'NSE - Other Index Options'!$B:$B,F$4,'NSE - Other Index Options'!$I:$I,"Weekly*")+SUMIFS('NSE - Other Index Options'!$M:$M,'NSE - Other Index Options'!$C:$C,$A47,'NSE - Other Index Options'!$B:$B,F$4,'NSE - Other Index Options'!$I:$I,"MDAW*"))</f>
        <v/>
      </c>
      <c r="G47" s="26">
        <f>IF(SUMIFS('NSE - NIFTY Index Options'!$M:$M,'NSE - NIFTY Index Options'!$C:$C,$A47,'NSE - NIFTY Index Options'!$B:$B,G$4,'NSE - NIFTY Index Options'!$I:$I,"Weekly*")+SUMIFS('NSE - NIFTY Index Options'!$M:$M,'NSE - NIFTY Index Options'!$C:$C,$A47,'NSE - NIFTY Index Options'!$B:$B,G$4,'NSE - NIFTY Index Options'!$I:$I,"MDAW*")+SUMIFS('NSE - Other Index Options'!$M:$M,'NSE - Other Index Options'!$C:$C,$A47,'NSE - Other Index Options'!$B:$B,G$4,'NSE - Other Index Options'!$I:$I,"Weekly*")+SUMIFS('NSE - Other Index Options'!$M:$M,'NSE - Other Index Options'!$C:$C,$A47,'NSE - Other Index Options'!$B:$B,G$4,'NSE - Other Index Options'!$I:$I,"MDAW*")=0,"",SUMIFS('NSE - NIFTY Index Options'!$M:$M,'NSE - NIFTY Index Options'!$C:$C,$A47,'NSE - NIFTY Index Options'!$B:$B,G$4,'NSE - NIFTY Index Options'!$I:$I,"Weekly*")+SUMIFS('NSE - NIFTY Index Options'!$M:$M,'NSE - NIFTY Index Options'!$C:$C,$A47,'NSE - NIFTY Index Options'!$B:$B,G$4,'NSE - NIFTY Index Options'!$I:$I,"MDAW*")+SUMIFS('NSE - Other Index Options'!$M:$M,'NSE - Other Index Options'!$C:$C,$A47,'NSE - Other Index Options'!$B:$B,G$4,'NSE - Other Index Options'!$I:$I,"Weekly*")+SUMIFS('NSE - Other Index Options'!$M:$M,'NSE - Other Index Options'!$C:$C,$A47,'NSE - Other Index Options'!$B:$B,G$4,'NSE - Other Index Options'!$I:$I,"MDAW*"))</f>
        <v/>
      </c>
      <c r="H47" s="26">
        <f>IF(SUM(B47:G47)=0,"",SUM(B47:G47))</f>
        <v/>
      </c>
    </row>
    <row r="48">
      <c r="A48" t="inlineStr">
        <is>
          <t>Week5-May-2026</t>
        </is>
      </c>
      <c r="B48" s="26">
        <f>IF(SUMIFS('NSE - NIFTY Index Options'!$M:$M,'NSE - NIFTY Index Options'!$C:$C,$A48,'NSE - NIFTY Index Options'!$B:$B,B$4,'NSE - NIFTY Index Options'!$I:$I,"Weekly*")+SUMIFS('NSE - NIFTY Index Options'!$M:$M,'NSE - NIFTY Index Options'!$C:$C,$A48,'NSE - NIFTY Index Options'!$B:$B,B$4,'NSE - NIFTY Index Options'!$I:$I,"MDAW*")+SUMIFS('NSE - Other Index Options'!$M:$M,'NSE - Other Index Options'!$C:$C,$A48,'NSE - Other Index Options'!$B:$B,B$4,'NSE - Other Index Options'!$I:$I,"Weekly*")+SUMIFS('NSE - Other Index Options'!$M:$M,'NSE - Other Index Options'!$C:$C,$A48,'NSE - Other Index Options'!$B:$B,B$4,'NSE - Other Index Options'!$I:$I,"MDAW*")=0,"",SUMIFS('NSE - NIFTY Index Options'!$M:$M,'NSE - NIFTY Index Options'!$C:$C,$A48,'NSE - NIFTY Index Options'!$B:$B,B$4,'NSE - NIFTY Index Options'!$I:$I,"Weekly*")+SUMIFS('NSE - NIFTY Index Options'!$M:$M,'NSE - NIFTY Index Options'!$C:$C,$A48,'NSE - NIFTY Index Options'!$B:$B,B$4,'NSE - NIFTY Index Options'!$I:$I,"MDAW*")+SUMIFS('NSE - Other Index Options'!$M:$M,'NSE - Other Index Options'!$C:$C,$A48,'NSE - Other Index Options'!$B:$B,B$4,'NSE - Other Index Options'!$I:$I,"Weekly*")+SUMIFS('NSE - Other Index Options'!$M:$M,'NSE - Other Index Options'!$C:$C,$A48,'NSE - Other Index Options'!$B:$B,B$4,'NSE - Other Index Options'!$I:$I,"MDAW*"))</f>
        <v/>
      </c>
      <c r="C48" s="26">
        <f>IF(SUMIFS('NSE - NIFTY Index Options'!$M:$M,'NSE - NIFTY Index Options'!$C:$C,$A48,'NSE - NIFTY Index Options'!$B:$B,C$4,'NSE - NIFTY Index Options'!$I:$I,"Weekly*")+SUMIFS('NSE - NIFTY Index Options'!$M:$M,'NSE - NIFTY Index Options'!$C:$C,$A48,'NSE - NIFTY Index Options'!$B:$B,C$4,'NSE - NIFTY Index Options'!$I:$I,"MDAW*")+SUMIFS('NSE - Other Index Options'!$M:$M,'NSE - Other Index Options'!$C:$C,$A48,'NSE - Other Index Options'!$B:$B,C$4,'NSE - Other Index Options'!$I:$I,"Weekly*")+SUMIFS('NSE - Other Index Options'!$M:$M,'NSE - Other Index Options'!$C:$C,$A48,'NSE - Other Index Options'!$B:$B,C$4,'NSE - Other Index Options'!$I:$I,"MDAW*")=0,"",SUMIFS('NSE - NIFTY Index Options'!$M:$M,'NSE - NIFTY Index Options'!$C:$C,$A48,'NSE - NIFTY Index Options'!$B:$B,C$4,'NSE - NIFTY Index Options'!$I:$I,"Weekly*")+SUMIFS('NSE - NIFTY Index Options'!$M:$M,'NSE - NIFTY Index Options'!$C:$C,$A48,'NSE - NIFTY Index Options'!$B:$B,C$4,'NSE - NIFTY Index Options'!$I:$I,"MDAW*")+SUMIFS('NSE - Other Index Options'!$M:$M,'NSE - Other Index Options'!$C:$C,$A48,'NSE - Other Index Options'!$B:$B,C$4,'NSE - Other Index Options'!$I:$I,"Weekly*")+SUMIFS('NSE - Other Index Options'!$M:$M,'NSE - Other Index Options'!$C:$C,$A48,'NSE - Other Index Options'!$B:$B,C$4,'NSE - Other Index Options'!$I:$I,"MDAW*"))</f>
        <v/>
      </c>
      <c r="D48" s="26">
        <f>IF(SUMIFS('NSE - NIFTY Index Options'!$M:$M,'NSE - NIFTY Index Options'!$C:$C,$A48,'NSE - NIFTY Index Options'!$B:$B,D$4,'NSE - NIFTY Index Options'!$I:$I,"Weekly*")+SUMIFS('NSE - NIFTY Index Options'!$M:$M,'NSE - NIFTY Index Options'!$C:$C,$A48,'NSE - NIFTY Index Options'!$B:$B,D$4,'NSE - NIFTY Index Options'!$I:$I,"MDAW*")+SUMIFS('NSE - Other Index Options'!$M:$M,'NSE - Other Index Options'!$C:$C,$A48,'NSE - Other Index Options'!$B:$B,D$4,'NSE - Other Index Options'!$I:$I,"Weekly*")+SUMIFS('NSE - Other Index Options'!$M:$M,'NSE - Other Index Options'!$C:$C,$A48,'NSE - Other Index Options'!$B:$B,D$4,'NSE - Other Index Options'!$I:$I,"MDAW*")=0,"",SUMIFS('NSE - NIFTY Index Options'!$M:$M,'NSE - NIFTY Index Options'!$C:$C,$A48,'NSE - NIFTY Index Options'!$B:$B,D$4,'NSE - NIFTY Index Options'!$I:$I,"Weekly*")+SUMIFS('NSE - NIFTY Index Options'!$M:$M,'NSE - NIFTY Index Options'!$C:$C,$A48,'NSE - NIFTY Index Options'!$B:$B,D$4,'NSE - NIFTY Index Options'!$I:$I,"MDAW*")+SUMIFS('NSE - Other Index Options'!$M:$M,'NSE - Other Index Options'!$C:$C,$A48,'NSE - Other Index Options'!$B:$B,D$4,'NSE - Other Index Options'!$I:$I,"Weekly*")+SUMIFS('NSE - Other Index Options'!$M:$M,'NSE - Other Index Options'!$C:$C,$A48,'NSE - Other Index Options'!$B:$B,D$4,'NSE - Other Index Options'!$I:$I,"MDAW*"))</f>
        <v/>
      </c>
      <c r="E48" s="26">
        <f>IF(SUMIFS('NSE - NIFTY Index Options'!$M:$M,'NSE - NIFTY Index Options'!$C:$C,$A48,'NSE - NIFTY Index Options'!$B:$B,E$4,'NSE - NIFTY Index Options'!$I:$I,"Weekly*")+SUMIFS('NSE - NIFTY Index Options'!$M:$M,'NSE - NIFTY Index Options'!$C:$C,$A48,'NSE - NIFTY Index Options'!$B:$B,E$4,'NSE - NIFTY Index Options'!$I:$I,"MDAW*")+SUMIFS('NSE - Other Index Options'!$M:$M,'NSE - Other Index Options'!$C:$C,$A48,'NSE - Other Index Options'!$B:$B,E$4,'NSE - Other Index Options'!$I:$I,"Weekly*")+SUMIFS('NSE - Other Index Options'!$M:$M,'NSE - Other Index Options'!$C:$C,$A48,'NSE - Other Index Options'!$B:$B,E$4,'NSE - Other Index Options'!$I:$I,"MDAW*")=0,"",SUMIFS('NSE - NIFTY Index Options'!$M:$M,'NSE - NIFTY Index Options'!$C:$C,$A48,'NSE - NIFTY Index Options'!$B:$B,E$4,'NSE - NIFTY Index Options'!$I:$I,"Weekly*")+SUMIFS('NSE - NIFTY Index Options'!$M:$M,'NSE - NIFTY Index Options'!$C:$C,$A48,'NSE - NIFTY Index Options'!$B:$B,E$4,'NSE - NIFTY Index Options'!$I:$I,"MDAW*")+SUMIFS('NSE - Other Index Options'!$M:$M,'NSE - Other Index Options'!$C:$C,$A48,'NSE - Other Index Options'!$B:$B,E$4,'NSE - Other Index Options'!$I:$I,"Weekly*")+SUMIFS('NSE - Other Index Options'!$M:$M,'NSE - Other Index Options'!$C:$C,$A48,'NSE - Other Index Options'!$B:$B,E$4,'NSE - Other Index Options'!$I:$I,"MDAW*"))</f>
        <v/>
      </c>
      <c r="F48" s="26">
        <f>IF(SUMIFS('NSE - NIFTY Index Options'!$M:$M,'NSE - NIFTY Index Options'!$C:$C,$A48,'NSE - NIFTY Index Options'!$B:$B,F$4,'NSE - NIFTY Index Options'!$I:$I,"Weekly*")+SUMIFS('NSE - NIFTY Index Options'!$M:$M,'NSE - NIFTY Index Options'!$C:$C,$A48,'NSE - NIFTY Index Options'!$B:$B,F$4,'NSE - NIFTY Index Options'!$I:$I,"MDAW*")+SUMIFS('NSE - Other Index Options'!$M:$M,'NSE - Other Index Options'!$C:$C,$A48,'NSE - Other Index Options'!$B:$B,F$4,'NSE - Other Index Options'!$I:$I,"Weekly*")+SUMIFS('NSE - Other Index Options'!$M:$M,'NSE - Other Index Options'!$C:$C,$A48,'NSE - Other Index Options'!$B:$B,F$4,'NSE - Other Index Options'!$I:$I,"MDAW*")=0,"",SUMIFS('NSE - NIFTY Index Options'!$M:$M,'NSE - NIFTY Index Options'!$C:$C,$A48,'NSE - NIFTY Index Options'!$B:$B,F$4,'NSE - NIFTY Index Options'!$I:$I,"Weekly*")+SUMIFS('NSE - NIFTY Index Options'!$M:$M,'NSE - NIFTY Index Options'!$C:$C,$A48,'NSE - NIFTY Index Options'!$B:$B,F$4,'NSE - NIFTY Index Options'!$I:$I,"MDAW*")+SUMIFS('NSE - Other Index Options'!$M:$M,'NSE - Other Index Options'!$C:$C,$A48,'NSE - Other Index Options'!$B:$B,F$4,'NSE - Other Index Options'!$I:$I,"Weekly*")+SUMIFS('NSE - Other Index Options'!$M:$M,'NSE - Other Index Options'!$C:$C,$A48,'NSE - Other Index Options'!$B:$B,F$4,'NSE - Other Index Options'!$I:$I,"MDAW*"))</f>
        <v/>
      </c>
      <c r="G48" s="26">
        <f>IF(SUMIFS('NSE - NIFTY Index Options'!$M:$M,'NSE - NIFTY Index Options'!$C:$C,$A48,'NSE - NIFTY Index Options'!$B:$B,G$4,'NSE - NIFTY Index Options'!$I:$I,"Weekly*")+SUMIFS('NSE - NIFTY Index Options'!$M:$M,'NSE - NIFTY Index Options'!$C:$C,$A48,'NSE - NIFTY Index Options'!$B:$B,G$4,'NSE - NIFTY Index Options'!$I:$I,"MDAW*")+SUMIFS('NSE - Other Index Options'!$M:$M,'NSE - Other Index Options'!$C:$C,$A48,'NSE - Other Index Options'!$B:$B,G$4,'NSE - Other Index Options'!$I:$I,"Weekly*")+SUMIFS('NSE - Other Index Options'!$M:$M,'NSE - Other Index Options'!$C:$C,$A48,'NSE - Other Index Options'!$B:$B,G$4,'NSE - Other Index Options'!$I:$I,"MDAW*")=0,"",SUMIFS('NSE - NIFTY Index Options'!$M:$M,'NSE - NIFTY Index Options'!$C:$C,$A48,'NSE - NIFTY Index Options'!$B:$B,G$4,'NSE - NIFTY Index Options'!$I:$I,"Weekly*")+SUMIFS('NSE - NIFTY Index Options'!$M:$M,'NSE - NIFTY Index Options'!$C:$C,$A48,'NSE - NIFTY Index Options'!$B:$B,G$4,'NSE - NIFTY Index Options'!$I:$I,"MDAW*")+SUMIFS('NSE - Other Index Options'!$M:$M,'NSE - Other Index Options'!$C:$C,$A48,'NSE - Other Index Options'!$B:$B,G$4,'NSE - Other Index Options'!$I:$I,"Weekly*")+SUMIFS('NSE - Other Index Options'!$M:$M,'NSE - Other Index Options'!$C:$C,$A48,'NSE - Other Index Options'!$B:$B,G$4,'NSE - Other Index Options'!$I:$I,"MDAW*"))</f>
        <v/>
      </c>
      <c r="H48" s="26">
        <f>IF(SUM(B48:G48)=0,"",SUM(B48:G48))</f>
        <v/>
      </c>
    </row>
    <row r="49">
      <c r="A49" t="inlineStr">
        <is>
          <t>Week1-Jun-2026</t>
        </is>
      </c>
      <c r="B49" s="26">
        <f>IF(SUMIFS('NSE - NIFTY Index Options'!$M:$M,'NSE - NIFTY Index Options'!$C:$C,$A49,'NSE - NIFTY Index Options'!$B:$B,B$4,'NSE - NIFTY Index Options'!$I:$I,"Weekly*")+SUMIFS('NSE - NIFTY Index Options'!$M:$M,'NSE - NIFTY Index Options'!$C:$C,$A49,'NSE - NIFTY Index Options'!$B:$B,B$4,'NSE - NIFTY Index Options'!$I:$I,"MDAW*")+SUMIFS('NSE - Other Index Options'!$M:$M,'NSE - Other Index Options'!$C:$C,$A49,'NSE - Other Index Options'!$B:$B,B$4,'NSE - Other Index Options'!$I:$I,"Weekly*")+SUMIFS('NSE - Other Index Options'!$M:$M,'NSE - Other Index Options'!$C:$C,$A49,'NSE - Other Index Options'!$B:$B,B$4,'NSE - Other Index Options'!$I:$I,"MDAW*")=0,"",SUMIFS('NSE - NIFTY Index Options'!$M:$M,'NSE - NIFTY Index Options'!$C:$C,$A49,'NSE - NIFTY Index Options'!$B:$B,B$4,'NSE - NIFTY Index Options'!$I:$I,"Weekly*")+SUMIFS('NSE - NIFTY Index Options'!$M:$M,'NSE - NIFTY Index Options'!$C:$C,$A49,'NSE - NIFTY Index Options'!$B:$B,B$4,'NSE - NIFTY Index Options'!$I:$I,"MDAW*")+SUMIFS('NSE - Other Index Options'!$M:$M,'NSE - Other Index Options'!$C:$C,$A49,'NSE - Other Index Options'!$B:$B,B$4,'NSE - Other Index Options'!$I:$I,"Weekly*")+SUMIFS('NSE - Other Index Options'!$M:$M,'NSE - Other Index Options'!$C:$C,$A49,'NSE - Other Index Options'!$B:$B,B$4,'NSE - Other Index Options'!$I:$I,"MDAW*"))</f>
        <v/>
      </c>
      <c r="C49" s="26">
        <f>IF(SUMIFS('NSE - NIFTY Index Options'!$M:$M,'NSE - NIFTY Index Options'!$C:$C,$A49,'NSE - NIFTY Index Options'!$B:$B,C$4,'NSE - NIFTY Index Options'!$I:$I,"Weekly*")+SUMIFS('NSE - NIFTY Index Options'!$M:$M,'NSE - NIFTY Index Options'!$C:$C,$A49,'NSE - NIFTY Index Options'!$B:$B,C$4,'NSE - NIFTY Index Options'!$I:$I,"MDAW*")+SUMIFS('NSE - Other Index Options'!$M:$M,'NSE - Other Index Options'!$C:$C,$A49,'NSE - Other Index Options'!$B:$B,C$4,'NSE - Other Index Options'!$I:$I,"Weekly*")+SUMIFS('NSE - Other Index Options'!$M:$M,'NSE - Other Index Options'!$C:$C,$A49,'NSE - Other Index Options'!$B:$B,C$4,'NSE - Other Index Options'!$I:$I,"MDAW*")=0,"",SUMIFS('NSE - NIFTY Index Options'!$M:$M,'NSE - NIFTY Index Options'!$C:$C,$A49,'NSE - NIFTY Index Options'!$B:$B,C$4,'NSE - NIFTY Index Options'!$I:$I,"Weekly*")+SUMIFS('NSE - NIFTY Index Options'!$M:$M,'NSE - NIFTY Index Options'!$C:$C,$A49,'NSE - NIFTY Index Options'!$B:$B,C$4,'NSE - NIFTY Index Options'!$I:$I,"MDAW*")+SUMIFS('NSE - Other Index Options'!$M:$M,'NSE - Other Index Options'!$C:$C,$A49,'NSE - Other Index Options'!$B:$B,C$4,'NSE - Other Index Options'!$I:$I,"Weekly*")+SUMIFS('NSE - Other Index Options'!$M:$M,'NSE - Other Index Options'!$C:$C,$A49,'NSE - Other Index Options'!$B:$B,C$4,'NSE - Other Index Options'!$I:$I,"MDAW*"))</f>
        <v/>
      </c>
      <c r="D49" s="26">
        <f>IF(SUMIFS('NSE - NIFTY Index Options'!$M:$M,'NSE - NIFTY Index Options'!$C:$C,$A49,'NSE - NIFTY Index Options'!$B:$B,D$4,'NSE - NIFTY Index Options'!$I:$I,"Weekly*")+SUMIFS('NSE - NIFTY Index Options'!$M:$M,'NSE - NIFTY Index Options'!$C:$C,$A49,'NSE - NIFTY Index Options'!$B:$B,D$4,'NSE - NIFTY Index Options'!$I:$I,"MDAW*")+SUMIFS('NSE - Other Index Options'!$M:$M,'NSE - Other Index Options'!$C:$C,$A49,'NSE - Other Index Options'!$B:$B,D$4,'NSE - Other Index Options'!$I:$I,"Weekly*")+SUMIFS('NSE - Other Index Options'!$M:$M,'NSE - Other Index Options'!$C:$C,$A49,'NSE - Other Index Options'!$B:$B,D$4,'NSE - Other Index Options'!$I:$I,"MDAW*")=0,"",SUMIFS('NSE - NIFTY Index Options'!$M:$M,'NSE - NIFTY Index Options'!$C:$C,$A49,'NSE - NIFTY Index Options'!$B:$B,D$4,'NSE - NIFTY Index Options'!$I:$I,"Weekly*")+SUMIFS('NSE - NIFTY Index Options'!$M:$M,'NSE - NIFTY Index Options'!$C:$C,$A49,'NSE - NIFTY Index Options'!$B:$B,D$4,'NSE - NIFTY Index Options'!$I:$I,"MDAW*")+SUMIFS('NSE - Other Index Options'!$M:$M,'NSE - Other Index Options'!$C:$C,$A49,'NSE - Other Index Options'!$B:$B,D$4,'NSE - Other Index Options'!$I:$I,"Weekly*")+SUMIFS('NSE - Other Index Options'!$M:$M,'NSE - Other Index Options'!$C:$C,$A49,'NSE - Other Index Options'!$B:$B,D$4,'NSE - Other Index Options'!$I:$I,"MDAW*"))</f>
        <v/>
      </c>
      <c r="E49" s="26">
        <f>IF(SUMIFS('NSE - NIFTY Index Options'!$M:$M,'NSE - NIFTY Index Options'!$C:$C,$A49,'NSE - NIFTY Index Options'!$B:$B,E$4,'NSE - NIFTY Index Options'!$I:$I,"Weekly*")+SUMIFS('NSE - NIFTY Index Options'!$M:$M,'NSE - NIFTY Index Options'!$C:$C,$A49,'NSE - NIFTY Index Options'!$B:$B,E$4,'NSE - NIFTY Index Options'!$I:$I,"MDAW*")+SUMIFS('NSE - Other Index Options'!$M:$M,'NSE - Other Index Options'!$C:$C,$A49,'NSE - Other Index Options'!$B:$B,E$4,'NSE - Other Index Options'!$I:$I,"Weekly*")+SUMIFS('NSE - Other Index Options'!$M:$M,'NSE - Other Index Options'!$C:$C,$A49,'NSE - Other Index Options'!$B:$B,E$4,'NSE - Other Index Options'!$I:$I,"MDAW*")=0,"",SUMIFS('NSE - NIFTY Index Options'!$M:$M,'NSE - NIFTY Index Options'!$C:$C,$A49,'NSE - NIFTY Index Options'!$B:$B,E$4,'NSE - NIFTY Index Options'!$I:$I,"Weekly*")+SUMIFS('NSE - NIFTY Index Options'!$M:$M,'NSE - NIFTY Index Options'!$C:$C,$A49,'NSE - NIFTY Index Options'!$B:$B,E$4,'NSE - NIFTY Index Options'!$I:$I,"MDAW*")+SUMIFS('NSE - Other Index Options'!$M:$M,'NSE - Other Index Options'!$C:$C,$A49,'NSE - Other Index Options'!$B:$B,E$4,'NSE - Other Index Options'!$I:$I,"Weekly*")+SUMIFS('NSE - Other Index Options'!$M:$M,'NSE - Other Index Options'!$C:$C,$A49,'NSE - Other Index Options'!$B:$B,E$4,'NSE - Other Index Options'!$I:$I,"MDAW*"))</f>
        <v/>
      </c>
      <c r="F49" s="26">
        <f>IF(SUMIFS('NSE - NIFTY Index Options'!$M:$M,'NSE - NIFTY Index Options'!$C:$C,$A49,'NSE - NIFTY Index Options'!$B:$B,F$4,'NSE - NIFTY Index Options'!$I:$I,"Weekly*")+SUMIFS('NSE - NIFTY Index Options'!$M:$M,'NSE - NIFTY Index Options'!$C:$C,$A49,'NSE - NIFTY Index Options'!$B:$B,F$4,'NSE - NIFTY Index Options'!$I:$I,"MDAW*")+SUMIFS('NSE - Other Index Options'!$M:$M,'NSE - Other Index Options'!$C:$C,$A49,'NSE - Other Index Options'!$B:$B,F$4,'NSE - Other Index Options'!$I:$I,"Weekly*")+SUMIFS('NSE - Other Index Options'!$M:$M,'NSE - Other Index Options'!$C:$C,$A49,'NSE - Other Index Options'!$B:$B,F$4,'NSE - Other Index Options'!$I:$I,"MDAW*")=0,"",SUMIFS('NSE - NIFTY Index Options'!$M:$M,'NSE - NIFTY Index Options'!$C:$C,$A49,'NSE - NIFTY Index Options'!$B:$B,F$4,'NSE - NIFTY Index Options'!$I:$I,"Weekly*")+SUMIFS('NSE - NIFTY Index Options'!$M:$M,'NSE - NIFTY Index Options'!$C:$C,$A49,'NSE - NIFTY Index Options'!$B:$B,F$4,'NSE - NIFTY Index Options'!$I:$I,"MDAW*")+SUMIFS('NSE - Other Index Options'!$M:$M,'NSE - Other Index Options'!$C:$C,$A49,'NSE - Other Index Options'!$B:$B,F$4,'NSE - Other Index Options'!$I:$I,"Weekly*")+SUMIFS('NSE - Other Index Options'!$M:$M,'NSE - Other Index Options'!$C:$C,$A49,'NSE - Other Index Options'!$B:$B,F$4,'NSE - Other Index Options'!$I:$I,"MDAW*"))</f>
        <v/>
      </c>
      <c r="G49" s="26">
        <f>IF(SUMIFS('NSE - NIFTY Index Options'!$M:$M,'NSE - NIFTY Index Options'!$C:$C,$A49,'NSE - NIFTY Index Options'!$B:$B,G$4,'NSE - NIFTY Index Options'!$I:$I,"Weekly*")+SUMIFS('NSE - NIFTY Index Options'!$M:$M,'NSE - NIFTY Index Options'!$C:$C,$A49,'NSE - NIFTY Index Options'!$B:$B,G$4,'NSE - NIFTY Index Options'!$I:$I,"MDAW*")+SUMIFS('NSE - Other Index Options'!$M:$M,'NSE - Other Index Options'!$C:$C,$A49,'NSE - Other Index Options'!$B:$B,G$4,'NSE - Other Index Options'!$I:$I,"Weekly*")+SUMIFS('NSE - Other Index Options'!$M:$M,'NSE - Other Index Options'!$C:$C,$A49,'NSE - Other Index Options'!$B:$B,G$4,'NSE - Other Index Options'!$I:$I,"MDAW*")=0,"",SUMIFS('NSE - NIFTY Index Options'!$M:$M,'NSE - NIFTY Index Options'!$C:$C,$A49,'NSE - NIFTY Index Options'!$B:$B,G$4,'NSE - NIFTY Index Options'!$I:$I,"Weekly*")+SUMIFS('NSE - NIFTY Index Options'!$M:$M,'NSE - NIFTY Index Options'!$C:$C,$A49,'NSE - NIFTY Index Options'!$B:$B,G$4,'NSE - NIFTY Index Options'!$I:$I,"MDAW*")+SUMIFS('NSE - Other Index Options'!$M:$M,'NSE - Other Index Options'!$C:$C,$A49,'NSE - Other Index Options'!$B:$B,G$4,'NSE - Other Index Options'!$I:$I,"Weekly*")+SUMIFS('NSE - Other Index Options'!$M:$M,'NSE - Other Index Options'!$C:$C,$A49,'NSE - Other Index Options'!$B:$B,G$4,'NSE - Other Index Options'!$I:$I,"MDAW*"))</f>
        <v/>
      </c>
      <c r="H49" s="26">
        <f>IF(SUM(B49:G49)=0,"",SUM(B49:G49))</f>
        <v/>
      </c>
    </row>
    <row r="50">
      <c r="A50" t="inlineStr">
        <is>
          <t>Week2-Jun-2026</t>
        </is>
      </c>
      <c r="B50" s="26">
        <f>IF(SUMIFS('NSE - NIFTY Index Options'!$M:$M,'NSE - NIFTY Index Options'!$C:$C,$A50,'NSE - NIFTY Index Options'!$B:$B,B$4,'NSE - NIFTY Index Options'!$I:$I,"Weekly*")+SUMIFS('NSE - NIFTY Index Options'!$M:$M,'NSE - NIFTY Index Options'!$C:$C,$A50,'NSE - NIFTY Index Options'!$B:$B,B$4,'NSE - NIFTY Index Options'!$I:$I,"MDAW*")+SUMIFS('NSE - Other Index Options'!$M:$M,'NSE - Other Index Options'!$C:$C,$A50,'NSE - Other Index Options'!$B:$B,B$4,'NSE - Other Index Options'!$I:$I,"Weekly*")+SUMIFS('NSE - Other Index Options'!$M:$M,'NSE - Other Index Options'!$C:$C,$A50,'NSE - Other Index Options'!$B:$B,B$4,'NSE - Other Index Options'!$I:$I,"MDAW*")=0,"",SUMIFS('NSE - NIFTY Index Options'!$M:$M,'NSE - NIFTY Index Options'!$C:$C,$A50,'NSE - NIFTY Index Options'!$B:$B,B$4,'NSE - NIFTY Index Options'!$I:$I,"Weekly*")+SUMIFS('NSE - NIFTY Index Options'!$M:$M,'NSE - NIFTY Index Options'!$C:$C,$A50,'NSE - NIFTY Index Options'!$B:$B,B$4,'NSE - NIFTY Index Options'!$I:$I,"MDAW*")+SUMIFS('NSE - Other Index Options'!$M:$M,'NSE - Other Index Options'!$C:$C,$A50,'NSE - Other Index Options'!$B:$B,B$4,'NSE - Other Index Options'!$I:$I,"Weekly*")+SUMIFS('NSE - Other Index Options'!$M:$M,'NSE - Other Index Options'!$C:$C,$A50,'NSE - Other Index Options'!$B:$B,B$4,'NSE - Other Index Options'!$I:$I,"MDAW*"))</f>
        <v/>
      </c>
      <c r="C50" s="26">
        <f>IF(SUMIFS('NSE - NIFTY Index Options'!$M:$M,'NSE - NIFTY Index Options'!$C:$C,$A50,'NSE - NIFTY Index Options'!$B:$B,C$4,'NSE - NIFTY Index Options'!$I:$I,"Weekly*")+SUMIFS('NSE - NIFTY Index Options'!$M:$M,'NSE - NIFTY Index Options'!$C:$C,$A50,'NSE - NIFTY Index Options'!$B:$B,C$4,'NSE - NIFTY Index Options'!$I:$I,"MDAW*")+SUMIFS('NSE - Other Index Options'!$M:$M,'NSE - Other Index Options'!$C:$C,$A50,'NSE - Other Index Options'!$B:$B,C$4,'NSE - Other Index Options'!$I:$I,"Weekly*")+SUMIFS('NSE - Other Index Options'!$M:$M,'NSE - Other Index Options'!$C:$C,$A50,'NSE - Other Index Options'!$B:$B,C$4,'NSE - Other Index Options'!$I:$I,"MDAW*")=0,"",SUMIFS('NSE - NIFTY Index Options'!$M:$M,'NSE - NIFTY Index Options'!$C:$C,$A50,'NSE - NIFTY Index Options'!$B:$B,C$4,'NSE - NIFTY Index Options'!$I:$I,"Weekly*")+SUMIFS('NSE - NIFTY Index Options'!$M:$M,'NSE - NIFTY Index Options'!$C:$C,$A50,'NSE - NIFTY Index Options'!$B:$B,C$4,'NSE - NIFTY Index Options'!$I:$I,"MDAW*")+SUMIFS('NSE - Other Index Options'!$M:$M,'NSE - Other Index Options'!$C:$C,$A50,'NSE - Other Index Options'!$B:$B,C$4,'NSE - Other Index Options'!$I:$I,"Weekly*")+SUMIFS('NSE - Other Index Options'!$M:$M,'NSE - Other Index Options'!$C:$C,$A50,'NSE - Other Index Options'!$B:$B,C$4,'NSE - Other Index Options'!$I:$I,"MDAW*"))</f>
        <v/>
      </c>
      <c r="D50" s="26">
        <f>IF(SUMIFS('NSE - NIFTY Index Options'!$M:$M,'NSE - NIFTY Index Options'!$C:$C,$A50,'NSE - NIFTY Index Options'!$B:$B,D$4,'NSE - NIFTY Index Options'!$I:$I,"Weekly*")+SUMIFS('NSE - NIFTY Index Options'!$M:$M,'NSE - NIFTY Index Options'!$C:$C,$A50,'NSE - NIFTY Index Options'!$B:$B,D$4,'NSE - NIFTY Index Options'!$I:$I,"MDAW*")+SUMIFS('NSE - Other Index Options'!$M:$M,'NSE - Other Index Options'!$C:$C,$A50,'NSE - Other Index Options'!$B:$B,D$4,'NSE - Other Index Options'!$I:$I,"Weekly*")+SUMIFS('NSE - Other Index Options'!$M:$M,'NSE - Other Index Options'!$C:$C,$A50,'NSE - Other Index Options'!$B:$B,D$4,'NSE - Other Index Options'!$I:$I,"MDAW*")=0,"",SUMIFS('NSE - NIFTY Index Options'!$M:$M,'NSE - NIFTY Index Options'!$C:$C,$A50,'NSE - NIFTY Index Options'!$B:$B,D$4,'NSE - NIFTY Index Options'!$I:$I,"Weekly*")+SUMIFS('NSE - NIFTY Index Options'!$M:$M,'NSE - NIFTY Index Options'!$C:$C,$A50,'NSE - NIFTY Index Options'!$B:$B,D$4,'NSE - NIFTY Index Options'!$I:$I,"MDAW*")+SUMIFS('NSE - Other Index Options'!$M:$M,'NSE - Other Index Options'!$C:$C,$A50,'NSE - Other Index Options'!$B:$B,D$4,'NSE - Other Index Options'!$I:$I,"Weekly*")+SUMIFS('NSE - Other Index Options'!$M:$M,'NSE - Other Index Options'!$C:$C,$A50,'NSE - Other Index Options'!$B:$B,D$4,'NSE - Other Index Options'!$I:$I,"MDAW*"))</f>
        <v/>
      </c>
      <c r="E50" s="26">
        <f>IF(SUMIFS('NSE - NIFTY Index Options'!$M:$M,'NSE - NIFTY Index Options'!$C:$C,$A50,'NSE - NIFTY Index Options'!$B:$B,E$4,'NSE - NIFTY Index Options'!$I:$I,"Weekly*")+SUMIFS('NSE - NIFTY Index Options'!$M:$M,'NSE - NIFTY Index Options'!$C:$C,$A50,'NSE - NIFTY Index Options'!$B:$B,E$4,'NSE - NIFTY Index Options'!$I:$I,"MDAW*")+SUMIFS('NSE - Other Index Options'!$M:$M,'NSE - Other Index Options'!$C:$C,$A50,'NSE - Other Index Options'!$B:$B,E$4,'NSE - Other Index Options'!$I:$I,"Weekly*")+SUMIFS('NSE - Other Index Options'!$M:$M,'NSE - Other Index Options'!$C:$C,$A50,'NSE - Other Index Options'!$B:$B,E$4,'NSE - Other Index Options'!$I:$I,"MDAW*")=0,"",SUMIFS('NSE - NIFTY Index Options'!$M:$M,'NSE - NIFTY Index Options'!$C:$C,$A50,'NSE - NIFTY Index Options'!$B:$B,E$4,'NSE - NIFTY Index Options'!$I:$I,"Weekly*")+SUMIFS('NSE - NIFTY Index Options'!$M:$M,'NSE - NIFTY Index Options'!$C:$C,$A50,'NSE - NIFTY Index Options'!$B:$B,E$4,'NSE - NIFTY Index Options'!$I:$I,"MDAW*")+SUMIFS('NSE - Other Index Options'!$M:$M,'NSE - Other Index Options'!$C:$C,$A50,'NSE - Other Index Options'!$B:$B,E$4,'NSE - Other Index Options'!$I:$I,"Weekly*")+SUMIFS('NSE - Other Index Options'!$M:$M,'NSE - Other Index Options'!$C:$C,$A50,'NSE - Other Index Options'!$B:$B,E$4,'NSE - Other Index Options'!$I:$I,"MDAW*"))</f>
        <v/>
      </c>
      <c r="F50" s="26">
        <f>IF(SUMIFS('NSE - NIFTY Index Options'!$M:$M,'NSE - NIFTY Index Options'!$C:$C,$A50,'NSE - NIFTY Index Options'!$B:$B,F$4,'NSE - NIFTY Index Options'!$I:$I,"Weekly*")+SUMIFS('NSE - NIFTY Index Options'!$M:$M,'NSE - NIFTY Index Options'!$C:$C,$A50,'NSE - NIFTY Index Options'!$B:$B,F$4,'NSE - NIFTY Index Options'!$I:$I,"MDAW*")+SUMIFS('NSE - Other Index Options'!$M:$M,'NSE - Other Index Options'!$C:$C,$A50,'NSE - Other Index Options'!$B:$B,F$4,'NSE - Other Index Options'!$I:$I,"Weekly*")+SUMIFS('NSE - Other Index Options'!$M:$M,'NSE - Other Index Options'!$C:$C,$A50,'NSE - Other Index Options'!$B:$B,F$4,'NSE - Other Index Options'!$I:$I,"MDAW*")=0,"",SUMIFS('NSE - NIFTY Index Options'!$M:$M,'NSE - NIFTY Index Options'!$C:$C,$A50,'NSE - NIFTY Index Options'!$B:$B,F$4,'NSE - NIFTY Index Options'!$I:$I,"Weekly*")+SUMIFS('NSE - NIFTY Index Options'!$M:$M,'NSE - NIFTY Index Options'!$C:$C,$A50,'NSE - NIFTY Index Options'!$B:$B,F$4,'NSE - NIFTY Index Options'!$I:$I,"MDAW*")+SUMIFS('NSE - Other Index Options'!$M:$M,'NSE - Other Index Options'!$C:$C,$A50,'NSE - Other Index Options'!$B:$B,F$4,'NSE - Other Index Options'!$I:$I,"Weekly*")+SUMIFS('NSE - Other Index Options'!$M:$M,'NSE - Other Index Options'!$C:$C,$A50,'NSE - Other Index Options'!$B:$B,F$4,'NSE - Other Index Options'!$I:$I,"MDAW*"))</f>
        <v/>
      </c>
      <c r="G50" s="26">
        <f>IF(SUMIFS('NSE - NIFTY Index Options'!$M:$M,'NSE - NIFTY Index Options'!$C:$C,$A50,'NSE - NIFTY Index Options'!$B:$B,G$4,'NSE - NIFTY Index Options'!$I:$I,"Weekly*")+SUMIFS('NSE - NIFTY Index Options'!$M:$M,'NSE - NIFTY Index Options'!$C:$C,$A50,'NSE - NIFTY Index Options'!$B:$B,G$4,'NSE - NIFTY Index Options'!$I:$I,"MDAW*")+SUMIFS('NSE - Other Index Options'!$M:$M,'NSE - Other Index Options'!$C:$C,$A50,'NSE - Other Index Options'!$B:$B,G$4,'NSE - Other Index Options'!$I:$I,"Weekly*")+SUMIFS('NSE - Other Index Options'!$M:$M,'NSE - Other Index Options'!$C:$C,$A50,'NSE - Other Index Options'!$B:$B,G$4,'NSE - Other Index Options'!$I:$I,"MDAW*")=0,"",SUMIFS('NSE - NIFTY Index Options'!$M:$M,'NSE - NIFTY Index Options'!$C:$C,$A50,'NSE - NIFTY Index Options'!$B:$B,G$4,'NSE - NIFTY Index Options'!$I:$I,"Weekly*")+SUMIFS('NSE - NIFTY Index Options'!$M:$M,'NSE - NIFTY Index Options'!$C:$C,$A50,'NSE - NIFTY Index Options'!$B:$B,G$4,'NSE - NIFTY Index Options'!$I:$I,"MDAW*")+SUMIFS('NSE - Other Index Options'!$M:$M,'NSE - Other Index Options'!$C:$C,$A50,'NSE - Other Index Options'!$B:$B,G$4,'NSE - Other Index Options'!$I:$I,"Weekly*")+SUMIFS('NSE - Other Index Options'!$M:$M,'NSE - Other Index Options'!$C:$C,$A50,'NSE - Other Index Options'!$B:$B,G$4,'NSE - Other Index Options'!$I:$I,"MDAW*"))</f>
        <v/>
      </c>
      <c r="H50" s="26">
        <f>IF(SUM(B50:G50)=0,"",SUM(B50:G50))</f>
        <v/>
      </c>
    </row>
    <row r="51">
      <c r="A51" t="inlineStr">
        <is>
          <t>Week3-Jun-2026</t>
        </is>
      </c>
      <c r="B51" s="26">
        <f>IF(SUMIFS('NSE - NIFTY Index Options'!$M:$M,'NSE - NIFTY Index Options'!$C:$C,$A51,'NSE - NIFTY Index Options'!$B:$B,B$4,'NSE - NIFTY Index Options'!$I:$I,"Weekly*")+SUMIFS('NSE - NIFTY Index Options'!$M:$M,'NSE - NIFTY Index Options'!$C:$C,$A51,'NSE - NIFTY Index Options'!$B:$B,B$4,'NSE - NIFTY Index Options'!$I:$I,"MDAW*")+SUMIFS('NSE - Other Index Options'!$M:$M,'NSE - Other Index Options'!$C:$C,$A51,'NSE - Other Index Options'!$B:$B,B$4,'NSE - Other Index Options'!$I:$I,"Weekly*")+SUMIFS('NSE - Other Index Options'!$M:$M,'NSE - Other Index Options'!$C:$C,$A51,'NSE - Other Index Options'!$B:$B,B$4,'NSE - Other Index Options'!$I:$I,"MDAW*")=0,"",SUMIFS('NSE - NIFTY Index Options'!$M:$M,'NSE - NIFTY Index Options'!$C:$C,$A51,'NSE - NIFTY Index Options'!$B:$B,B$4,'NSE - NIFTY Index Options'!$I:$I,"Weekly*")+SUMIFS('NSE - NIFTY Index Options'!$M:$M,'NSE - NIFTY Index Options'!$C:$C,$A51,'NSE - NIFTY Index Options'!$B:$B,B$4,'NSE - NIFTY Index Options'!$I:$I,"MDAW*")+SUMIFS('NSE - Other Index Options'!$M:$M,'NSE - Other Index Options'!$C:$C,$A51,'NSE - Other Index Options'!$B:$B,B$4,'NSE - Other Index Options'!$I:$I,"Weekly*")+SUMIFS('NSE - Other Index Options'!$M:$M,'NSE - Other Index Options'!$C:$C,$A51,'NSE - Other Index Options'!$B:$B,B$4,'NSE - Other Index Options'!$I:$I,"MDAW*"))</f>
        <v/>
      </c>
      <c r="C51" s="26">
        <f>IF(SUMIFS('NSE - NIFTY Index Options'!$M:$M,'NSE - NIFTY Index Options'!$C:$C,$A51,'NSE - NIFTY Index Options'!$B:$B,C$4,'NSE - NIFTY Index Options'!$I:$I,"Weekly*")+SUMIFS('NSE - NIFTY Index Options'!$M:$M,'NSE - NIFTY Index Options'!$C:$C,$A51,'NSE - NIFTY Index Options'!$B:$B,C$4,'NSE - NIFTY Index Options'!$I:$I,"MDAW*")+SUMIFS('NSE - Other Index Options'!$M:$M,'NSE - Other Index Options'!$C:$C,$A51,'NSE - Other Index Options'!$B:$B,C$4,'NSE - Other Index Options'!$I:$I,"Weekly*")+SUMIFS('NSE - Other Index Options'!$M:$M,'NSE - Other Index Options'!$C:$C,$A51,'NSE - Other Index Options'!$B:$B,C$4,'NSE - Other Index Options'!$I:$I,"MDAW*")=0,"",SUMIFS('NSE - NIFTY Index Options'!$M:$M,'NSE - NIFTY Index Options'!$C:$C,$A51,'NSE - NIFTY Index Options'!$B:$B,C$4,'NSE - NIFTY Index Options'!$I:$I,"Weekly*")+SUMIFS('NSE - NIFTY Index Options'!$M:$M,'NSE - NIFTY Index Options'!$C:$C,$A51,'NSE - NIFTY Index Options'!$B:$B,C$4,'NSE - NIFTY Index Options'!$I:$I,"MDAW*")+SUMIFS('NSE - Other Index Options'!$M:$M,'NSE - Other Index Options'!$C:$C,$A51,'NSE - Other Index Options'!$B:$B,C$4,'NSE - Other Index Options'!$I:$I,"Weekly*")+SUMIFS('NSE - Other Index Options'!$M:$M,'NSE - Other Index Options'!$C:$C,$A51,'NSE - Other Index Options'!$B:$B,C$4,'NSE - Other Index Options'!$I:$I,"MDAW*"))</f>
        <v/>
      </c>
      <c r="D51" s="26">
        <f>IF(SUMIFS('NSE - NIFTY Index Options'!$M:$M,'NSE - NIFTY Index Options'!$C:$C,$A51,'NSE - NIFTY Index Options'!$B:$B,D$4,'NSE - NIFTY Index Options'!$I:$I,"Weekly*")+SUMIFS('NSE - NIFTY Index Options'!$M:$M,'NSE - NIFTY Index Options'!$C:$C,$A51,'NSE - NIFTY Index Options'!$B:$B,D$4,'NSE - NIFTY Index Options'!$I:$I,"MDAW*")+SUMIFS('NSE - Other Index Options'!$M:$M,'NSE - Other Index Options'!$C:$C,$A51,'NSE - Other Index Options'!$B:$B,D$4,'NSE - Other Index Options'!$I:$I,"Weekly*")+SUMIFS('NSE - Other Index Options'!$M:$M,'NSE - Other Index Options'!$C:$C,$A51,'NSE - Other Index Options'!$B:$B,D$4,'NSE - Other Index Options'!$I:$I,"MDAW*")=0,"",SUMIFS('NSE - NIFTY Index Options'!$M:$M,'NSE - NIFTY Index Options'!$C:$C,$A51,'NSE - NIFTY Index Options'!$B:$B,D$4,'NSE - NIFTY Index Options'!$I:$I,"Weekly*")+SUMIFS('NSE - NIFTY Index Options'!$M:$M,'NSE - NIFTY Index Options'!$C:$C,$A51,'NSE - NIFTY Index Options'!$B:$B,D$4,'NSE - NIFTY Index Options'!$I:$I,"MDAW*")+SUMIFS('NSE - Other Index Options'!$M:$M,'NSE - Other Index Options'!$C:$C,$A51,'NSE - Other Index Options'!$B:$B,D$4,'NSE - Other Index Options'!$I:$I,"Weekly*")+SUMIFS('NSE - Other Index Options'!$M:$M,'NSE - Other Index Options'!$C:$C,$A51,'NSE - Other Index Options'!$B:$B,D$4,'NSE - Other Index Options'!$I:$I,"MDAW*"))</f>
        <v/>
      </c>
      <c r="E51" s="26">
        <f>IF(SUMIFS('NSE - NIFTY Index Options'!$M:$M,'NSE - NIFTY Index Options'!$C:$C,$A51,'NSE - NIFTY Index Options'!$B:$B,E$4,'NSE - NIFTY Index Options'!$I:$I,"Weekly*")+SUMIFS('NSE - NIFTY Index Options'!$M:$M,'NSE - NIFTY Index Options'!$C:$C,$A51,'NSE - NIFTY Index Options'!$B:$B,E$4,'NSE - NIFTY Index Options'!$I:$I,"MDAW*")+SUMIFS('NSE - Other Index Options'!$M:$M,'NSE - Other Index Options'!$C:$C,$A51,'NSE - Other Index Options'!$B:$B,E$4,'NSE - Other Index Options'!$I:$I,"Weekly*")+SUMIFS('NSE - Other Index Options'!$M:$M,'NSE - Other Index Options'!$C:$C,$A51,'NSE - Other Index Options'!$B:$B,E$4,'NSE - Other Index Options'!$I:$I,"MDAW*")=0,"",SUMIFS('NSE - NIFTY Index Options'!$M:$M,'NSE - NIFTY Index Options'!$C:$C,$A51,'NSE - NIFTY Index Options'!$B:$B,E$4,'NSE - NIFTY Index Options'!$I:$I,"Weekly*")+SUMIFS('NSE - NIFTY Index Options'!$M:$M,'NSE - NIFTY Index Options'!$C:$C,$A51,'NSE - NIFTY Index Options'!$B:$B,E$4,'NSE - NIFTY Index Options'!$I:$I,"MDAW*")+SUMIFS('NSE - Other Index Options'!$M:$M,'NSE - Other Index Options'!$C:$C,$A51,'NSE - Other Index Options'!$B:$B,E$4,'NSE - Other Index Options'!$I:$I,"Weekly*")+SUMIFS('NSE - Other Index Options'!$M:$M,'NSE - Other Index Options'!$C:$C,$A51,'NSE - Other Index Options'!$B:$B,E$4,'NSE - Other Index Options'!$I:$I,"MDAW*"))</f>
        <v/>
      </c>
      <c r="F51" s="26">
        <f>IF(SUMIFS('NSE - NIFTY Index Options'!$M:$M,'NSE - NIFTY Index Options'!$C:$C,$A51,'NSE - NIFTY Index Options'!$B:$B,F$4,'NSE - NIFTY Index Options'!$I:$I,"Weekly*")+SUMIFS('NSE - NIFTY Index Options'!$M:$M,'NSE - NIFTY Index Options'!$C:$C,$A51,'NSE - NIFTY Index Options'!$B:$B,F$4,'NSE - NIFTY Index Options'!$I:$I,"MDAW*")+SUMIFS('NSE - Other Index Options'!$M:$M,'NSE - Other Index Options'!$C:$C,$A51,'NSE - Other Index Options'!$B:$B,F$4,'NSE - Other Index Options'!$I:$I,"Weekly*")+SUMIFS('NSE - Other Index Options'!$M:$M,'NSE - Other Index Options'!$C:$C,$A51,'NSE - Other Index Options'!$B:$B,F$4,'NSE - Other Index Options'!$I:$I,"MDAW*")=0,"",SUMIFS('NSE - NIFTY Index Options'!$M:$M,'NSE - NIFTY Index Options'!$C:$C,$A51,'NSE - NIFTY Index Options'!$B:$B,F$4,'NSE - NIFTY Index Options'!$I:$I,"Weekly*")+SUMIFS('NSE - NIFTY Index Options'!$M:$M,'NSE - NIFTY Index Options'!$C:$C,$A51,'NSE - NIFTY Index Options'!$B:$B,F$4,'NSE - NIFTY Index Options'!$I:$I,"MDAW*")+SUMIFS('NSE - Other Index Options'!$M:$M,'NSE - Other Index Options'!$C:$C,$A51,'NSE - Other Index Options'!$B:$B,F$4,'NSE - Other Index Options'!$I:$I,"Weekly*")+SUMIFS('NSE - Other Index Options'!$M:$M,'NSE - Other Index Options'!$C:$C,$A51,'NSE - Other Index Options'!$B:$B,F$4,'NSE - Other Index Options'!$I:$I,"MDAW*"))</f>
        <v/>
      </c>
      <c r="G51" s="26">
        <f>IF(SUMIFS('NSE - NIFTY Index Options'!$M:$M,'NSE - NIFTY Index Options'!$C:$C,$A51,'NSE - NIFTY Index Options'!$B:$B,G$4,'NSE - NIFTY Index Options'!$I:$I,"Weekly*")+SUMIFS('NSE - NIFTY Index Options'!$M:$M,'NSE - NIFTY Index Options'!$C:$C,$A51,'NSE - NIFTY Index Options'!$B:$B,G$4,'NSE - NIFTY Index Options'!$I:$I,"MDAW*")+SUMIFS('NSE - Other Index Options'!$M:$M,'NSE - Other Index Options'!$C:$C,$A51,'NSE - Other Index Options'!$B:$B,G$4,'NSE - Other Index Options'!$I:$I,"Weekly*")+SUMIFS('NSE - Other Index Options'!$M:$M,'NSE - Other Index Options'!$C:$C,$A51,'NSE - Other Index Options'!$B:$B,G$4,'NSE - Other Index Options'!$I:$I,"MDAW*")=0,"",SUMIFS('NSE - NIFTY Index Options'!$M:$M,'NSE - NIFTY Index Options'!$C:$C,$A51,'NSE - NIFTY Index Options'!$B:$B,G$4,'NSE - NIFTY Index Options'!$I:$I,"Weekly*")+SUMIFS('NSE - NIFTY Index Options'!$M:$M,'NSE - NIFTY Index Options'!$C:$C,$A51,'NSE - NIFTY Index Options'!$B:$B,G$4,'NSE - NIFTY Index Options'!$I:$I,"MDAW*")+SUMIFS('NSE - Other Index Options'!$M:$M,'NSE - Other Index Options'!$C:$C,$A51,'NSE - Other Index Options'!$B:$B,G$4,'NSE - Other Index Options'!$I:$I,"Weekly*")+SUMIFS('NSE - Other Index Options'!$M:$M,'NSE - Other Index Options'!$C:$C,$A51,'NSE - Other Index Options'!$B:$B,G$4,'NSE - Other Index Options'!$I:$I,"MDAW*"))</f>
        <v/>
      </c>
      <c r="H51" s="26">
        <f>IF(SUM(B51:G51)=0,"",SUM(B51:G51))</f>
        <v/>
      </c>
    </row>
    <row r="52">
      <c r="A52" t="inlineStr">
        <is>
          <t>Week4-Jun-2026</t>
        </is>
      </c>
      <c r="B52" s="26">
        <f>IF(SUMIFS('NSE - NIFTY Index Options'!$M:$M,'NSE - NIFTY Index Options'!$C:$C,$A52,'NSE - NIFTY Index Options'!$B:$B,B$4,'NSE - NIFTY Index Options'!$I:$I,"Weekly*")+SUMIFS('NSE - NIFTY Index Options'!$M:$M,'NSE - NIFTY Index Options'!$C:$C,$A52,'NSE - NIFTY Index Options'!$B:$B,B$4,'NSE - NIFTY Index Options'!$I:$I,"MDAW*")+SUMIFS('NSE - Other Index Options'!$M:$M,'NSE - Other Index Options'!$C:$C,$A52,'NSE - Other Index Options'!$B:$B,B$4,'NSE - Other Index Options'!$I:$I,"Weekly*")+SUMIFS('NSE - Other Index Options'!$M:$M,'NSE - Other Index Options'!$C:$C,$A52,'NSE - Other Index Options'!$B:$B,B$4,'NSE - Other Index Options'!$I:$I,"MDAW*")=0,"",SUMIFS('NSE - NIFTY Index Options'!$M:$M,'NSE - NIFTY Index Options'!$C:$C,$A52,'NSE - NIFTY Index Options'!$B:$B,B$4,'NSE - NIFTY Index Options'!$I:$I,"Weekly*")+SUMIFS('NSE - NIFTY Index Options'!$M:$M,'NSE - NIFTY Index Options'!$C:$C,$A52,'NSE - NIFTY Index Options'!$B:$B,B$4,'NSE - NIFTY Index Options'!$I:$I,"MDAW*")+SUMIFS('NSE - Other Index Options'!$M:$M,'NSE - Other Index Options'!$C:$C,$A52,'NSE - Other Index Options'!$B:$B,B$4,'NSE - Other Index Options'!$I:$I,"Weekly*")+SUMIFS('NSE - Other Index Options'!$M:$M,'NSE - Other Index Options'!$C:$C,$A52,'NSE - Other Index Options'!$B:$B,B$4,'NSE - Other Index Options'!$I:$I,"MDAW*"))</f>
        <v/>
      </c>
      <c r="C52" s="26">
        <f>IF(SUMIFS('NSE - NIFTY Index Options'!$M:$M,'NSE - NIFTY Index Options'!$C:$C,$A52,'NSE - NIFTY Index Options'!$B:$B,C$4,'NSE - NIFTY Index Options'!$I:$I,"Weekly*")+SUMIFS('NSE - NIFTY Index Options'!$M:$M,'NSE - NIFTY Index Options'!$C:$C,$A52,'NSE - NIFTY Index Options'!$B:$B,C$4,'NSE - NIFTY Index Options'!$I:$I,"MDAW*")+SUMIFS('NSE - Other Index Options'!$M:$M,'NSE - Other Index Options'!$C:$C,$A52,'NSE - Other Index Options'!$B:$B,C$4,'NSE - Other Index Options'!$I:$I,"Weekly*")+SUMIFS('NSE - Other Index Options'!$M:$M,'NSE - Other Index Options'!$C:$C,$A52,'NSE - Other Index Options'!$B:$B,C$4,'NSE - Other Index Options'!$I:$I,"MDAW*")=0,"",SUMIFS('NSE - NIFTY Index Options'!$M:$M,'NSE - NIFTY Index Options'!$C:$C,$A52,'NSE - NIFTY Index Options'!$B:$B,C$4,'NSE - NIFTY Index Options'!$I:$I,"Weekly*")+SUMIFS('NSE - NIFTY Index Options'!$M:$M,'NSE - NIFTY Index Options'!$C:$C,$A52,'NSE - NIFTY Index Options'!$B:$B,C$4,'NSE - NIFTY Index Options'!$I:$I,"MDAW*")+SUMIFS('NSE - Other Index Options'!$M:$M,'NSE - Other Index Options'!$C:$C,$A52,'NSE - Other Index Options'!$B:$B,C$4,'NSE - Other Index Options'!$I:$I,"Weekly*")+SUMIFS('NSE - Other Index Options'!$M:$M,'NSE - Other Index Options'!$C:$C,$A52,'NSE - Other Index Options'!$B:$B,C$4,'NSE - Other Index Options'!$I:$I,"MDAW*"))</f>
        <v/>
      </c>
      <c r="D52" s="26">
        <f>IF(SUMIFS('NSE - NIFTY Index Options'!$M:$M,'NSE - NIFTY Index Options'!$C:$C,$A52,'NSE - NIFTY Index Options'!$B:$B,D$4,'NSE - NIFTY Index Options'!$I:$I,"Weekly*")+SUMIFS('NSE - NIFTY Index Options'!$M:$M,'NSE - NIFTY Index Options'!$C:$C,$A52,'NSE - NIFTY Index Options'!$B:$B,D$4,'NSE - NIFTY Index Options'!$I:$I,"MDAW*")+SUMIFS('NSE - Other Index Options'!$M:$M,'NSE - Other Index Options'!$C:$C,$A52,'NSE - Other Index Options'!$B:$B,D$4,'NSE - Other Index Options'!$I:$I,"Weekly*")+SUMIFS('NSE - Other Index Options'!$M:$M,'NSE - Other Index Options'!$C:$C,$A52,'NSE - Other Index Options'!$B:$B,D$4,'NSE - Other Index Options'!$I:$I,"MDAW*")=0,"",SUMIFS('NSE - NIFTY Index Options'!$M:$M,'NSE - NIFTY Index Options'!$C:$C,$A52,'NSE - NIFTY Index Options'!$B:$B,D$4,'NSE - NIFTY Index Options'!$I:$I,"Weekly*")+SUMIFS('NSE - NIFTY Index Options'!$M:$M,'NSE - NIFTY Index Options'!$C:$C,$A52,'NSE - NIFTY Index Options'!$B:$B,D$4,'NSE - NIFTY Index Options'!$I:$I,"MDAW*")+SUMIFS('NSE - Other Index Options'!$M:$M,'NSE - Other Index Options'!$C:$C,$A52,'NSE - Other Index Options'!$B:$B,D$4,'NSE - Other Index Options'!$I:$I,"Weekly*")+SUMIFS('NSE - Other Index Options'!$M:$M,'NSE - Other Index Options'!$C:$C,$A52,'NSE - Other Index Options'!$B:$B,D$4,'NSE - Other Index Options'!$I:$I,"MDAW*"))</f>
        <v/>
      </c>
      <c r="E52" s="26">
        <f>IF(SUMIFS('NSE - NIFTY Index Options'!$M:$M,'NSE - NIFTY Index Options'!$C:$C,$A52,'NSE - NIFTY Index Options'!$B:$B,E$4,'NSE - NIFTY Index Options'!$I:$I,"Weekly*")+SUMIFS('NSE - NIFTY Index Options'!$M:$M,'NSE - NIFTY Index Options'!$C:$C,$A52,'NSE - NIFTY Index Options'!$B:$B,E$4,'NSE - NIFTY Index Options'!$I:$I,"MDAW*")+SUMIFS('NSE - Other Index Options'!$M:$M,'NSE - Other Index Options'!$C:$C,$A52,'NSE - Other Index Options'!$B:$B,E$4,'NSE - Other Index Options'!$I:$I,"Weekly*")+SUMIFS('NSE - Other Index Options'!$M:$M,'NSE - Other Index Options'!$C:$C,$A52,'NSE - Other Index Options'!$B:$B,E$4,'NSE - Other Index Options'!$I:$I,"MDAW*")=0,"",SUMIFS('NSE - NIFTY Index Options'!$M:$M,'NSE - NIFTY Index Options'!$C:$C,$A52,'NSE - NIFTY Index Options'!$B:$B,E$4,'NSE - NIFTY Index Options'!$I:$I,"Weekly*")+SUMIFS('NSE - NIFTY Index Options'!$M:$M,'NSE - NIFTY Index Options'!$C:$C,$A52,'NSE - NIFTY Index Options'!$B:$B,E$4,'NSE - NIFTY Index Options'!$I:$I,"MDAW*")+SUMIFS('NSE - Other Index Options'!$M:$M,'NSE - Other Index Options'!$C:$C,$A52,'NSE - Other Index Options'!$B:$B,E$4,'NSE - Other Index Options'!$I:$I,"Weekly*")+SUMIFS('NSE - Other Index Options'!$M:$M,'NSE - Other Index Options'!$C:$C,$A52,'NSE - Other Index Options'!$B:$B,E$4,'NSE - Other Index Options'!$I:$I,"MDAW*"))</f>
        <v/>
      </c>
      <c r="F52" s="26">
        <f>IF(SUMIFS('NSE - NIFTY Index Options'!$M:$M,'NSE - NIFTY Index Options'!$C:$C,$A52,'NSE - NIFTY Index Options'!$B:$B,F$4,'NSE - NIFTY Index Options'!$I:$I,"Weekly*")+SUMIFS('NSE - NIFTY Index Options'!$M:$M,'NSE - NIFTY Index Options'!$C:$C,$A52,'NSE - NIFTY Index Options'!$B:$B,F$4,'NSE - NIFTY Index Options'!$I:$I,"MDAW*")+SUMIFS('NSE - Other Index Options'!$M:$M,'NSE - Other Index Options'!$C:$C,$A52,'NSE - Other Index Options'!$B:$B,F$4,'NSE - Other Index Options'!$I:$I,"Weekly*")+SUMIFS('NSE - Other Index Options'!$M:$M,'NSE - Other Index Options'!$C:$C,$A52,'NSE - Other Index Options'!$B:$B,F$4,'NSE - Other Index Options'!$I:$I,"MDAW*")=0,"",SUMIFS('NSE - NIFTY Index Options'!$M:$M,'NSE - NIFTY Index Options'!$C:$C,$A52,'NSE - NIFTY Index Options'!$B:$B,F$4,'NSE - NIFTY Index Options'!$I:$I,"Weekly*")+SUMIFS('NSE - NIFTY Index Options'!$M:$M,'NSE - NIFTY Index Options'!$C:$C,$A52,'NSE - NIFTY Index Options'!$B:$B,F$4,'NSE - NIFTY Index Options'!$I:$I,"MDAW*")+SUMIFS('NSE - Other Index Options'!$M:$M,'NSE - Other Index Options'!$C:$C,$A52,'NSE - Other Index Options'!$B:$B,F$4,'NSE - Other Index Options'!$I:$I,"Weekly*")+SUMIFS('NSE - Other Index Options'!$M:$M,'NSE - Other Index Options'!$C:$C,$A52,'NSE - Other Index Options'!$B:$B,F$4,'NSE - Other Index Options'!$I:$I,"MDAW*"))</f>
        <v/>
      </c>
      <c r="G52" s="26">
        <f>IF(SUMIFS('NSE - NIFTY Index Options'!$M:$M,'NSE - NIFTY Index Options'!$C:$C,$A52,'NSE - NIFTY Index Options'!$B:$B,G$4,'NSE - NIFTY Index Options'!$I:$I,"Weekly*")+SUMIFS('NSE - NIFTY Index Options'!$M:$M,'NSE - NIFTY Index Options'!$C:$C,$A52,'NSE - NIFTY Index Options'!$B:$B,G$4,'NSE - NIFTY Index Options'!$I:$I,"MDAW*")+SUMIFS('NSE - Other Index Options'!$M:$M,'NSE - Other Index Options'!$C:$C,$A52,'NSE - Other Index Options'!$B:$B,G$4,'NSE - Other Index Options'!$I:$I,"Weekly*")+SUMIFS('NSE - Other Index Options'!$M:$M,'NSE - Other Index Options'!$C:$C,$A52,'NSE - Other Index Options'!$B:$B,G$4,'NSE - Other Index Options'!$I:$I,"MDAW*")=0,"",SUMIFS('NSE - NIFTY Index Options'!$M:$M,'NSE - NIFTY Index Options'!$C:$C,$A52,'NSE - NIFTY Index Options'!$B:$B,G$4,'NSE - NIFTY Index Options'!$I:$I,"Weekly*")+SUMIFS('NSE - NIFTY Index Options'!$M:$M,'NSE - NIFTY Index Options'!$C:$C,$A52,'NSE - NIFTY Index Options'!$B:$B,G$4,'NSE - NIFTY Index Options'!$I:$I,"MDAW*")+SUMIFS('NSE - Other Index Options'!$M:$M,'NSE - Other Index Options'!$C:$C,$A52,'NSE - Other Index Options'!$B:$B,G$4,'NSE - Other Index Options'!$I:$I,"Weekly*")+SUMIFS('NSE - Other Index Options'!$M:$M,'NSE - Other Index Options'!$C:$C,$A52,'NSE - Other Index Options'!$B:$B,G$4,'NSE - Other Index Options'!$I:$I,"MDAW*"))</f>
        <v/>
      </c>
      <c r="H52" s="26">
        <f>IF(SUM(B52:G52)=0,"",SUM(B52:G52))</f>
        <v/>
      </c>
    </row>
    <row r="53">
      <c r="A53" t="inlineStr">
        <is>
          <t>Week5-Jun-2026</t>
        </is>
      </c>
      <c r="B53" s="26">
        <f>IF(SUMIFS('NSE - NIFTY Index Options'!$M:$M,'NSE - NIFTY Index Options'!$C:$C,$A53,'NSE - NIFTY Index Options'!$B:$B,B$4,'NSE - NIFTY Index Options'!$I:$I,"Weekly*")+SUMIFS('NSE - NIFTY Index Options'!$M:$M,'NSE - NIFTY Index Options'!$C:$C,$A53,'NSE - NIFTY Index Options'!$B:$B,B$4,'NSE - NIFTY Index Options'!$I:$I,"MDAW*")+SUMIFS('NSE - Other Index Options'!$M:$M,'NSE - Other Index Options'!$C:$C,$A53,'NSE - Other Index Options'!$B:$B,B$4,'NSE - Other Index Options'!$I:$I,"Weekly*")+SUMIFS('NSE - Other Index Options'!$M:$M,'NSE - Other Index Options'!$C:$C,$A53,'NSE - Other Index Options'!$B:$B,B$4,'NSE - Other Index Options'!$I:$I,"MDAW*")=0,"",SUMIFS('NSE - NIFTY Index Options'!$M:$M,'NSE - NIFTY Index Options'!$C:$C,$A53,'NSE - NIFTY Index Options'!$B:$B,B$4,'NSE - NIFTY Index Options'!$I:$I,"Weekly*")+SUMIFS('NSE - NIFTY Index Options'!$M:$M,'NSE - NIFTY Index Options'!$C:$C,$A53,'NSE - NIFTY Index Options'!$B:$B,B$4,'NSE - NIFTY Index Options'!$I:$I,"MDAW*")+SUMIFS('NSE - Other Index Options'!$M:$M,'NSE - Other Index Options'!$C:$C,$A53,'NSE - Other Index Options'!$B:$B,B$4,'NSE - Other Index Options'!$I:$I,"Weekly*")+SUMIFS('NSE - Other Index Options'!$M:$M,'NSE - Other Index Options'!$C:$C,$A53,'NSE - Other Index Options'!$B:$B,B$4,'NSE - Other Index Options'!$I:$I,"MDAW*"))</f>
        <v/>
      </c>
      <c r="C53" s="26">
        <f>IF(SUMIFS('NSE - NIFTY Index Options'!$M:$M,'NSE - NIFTY Index Options'!$C:$C,$A53,'NSE - NIFTY Index Options'!$B:$B,C$4,'NSE - NIFTY Index Options'!$I:$I,"Weekly*")+SUMIFS('NSE - NIFTY Index Options'!$M:$M,'NSE - NIFTY Index Options'!$C:$C,$A53,'NSE - NIFTY Index Options'!$B:$B,C$4,'NSE - NIFTY Index Options'!$I:$I,"MDAW*")+SUMIFS('NSE - Other Index Options'!$M:$M,'NSE - Other Index Options'!$C:$C,$A53,'NSE - Other Index Options'!$B:$B,C$4,'NSE - Other Index Options'!$I:$I,"Weekly*")+SUMIFS('NSE - Other Index Options'!$M:$M,'NSE - Other Index Options'!$C:$C,$A53,'NSE - Other Index Options'!$B:$B,C$4,'NSE - Other Index Options'!$I:$I,"MDAW*")=0,"",SUMIFS('NSE - NIFTY Index Options'!$M:$M,'NSE - NIFTY Index Options'!$C:$C,$A53,'NSE - NIFTY Index Options'!$B:$B,C$4,'NSE - NIFTY Index Options'!$I:$I,"Weekly*")+SUMIFS('NSE - NIFTY Index Options'!$M:$M,'NSE - NIFTY Index Options'!$C:$C,$A53,'NSE - NIFTY Index Options'!$B:$B,C$4,'NSE - NIFTY Index Options'!$I:$I,"MDAW*")+SUMIFS('NSE - Other Index Options'!$M:$M,'NSE - Other Index Options'!$C:$C,$A53,'NSE - Other Index Options'!$B:$B,C$4,'NSE - Other Index Options'!$I:$I,"Weekly*")+SUMIFS('NSE - Other Index Options'!$M:$M,'NSE - Other Index Options'!$C:$C,$A53,'NSE - Other Index Options'!$B:$B,C$4,'NSE - Other Index Options'!$I:$I,"MDAW*"))</f>
        <v/>
      </c>
      <c r="D53" s="26">
        <f>IF(SUMIFS('NSE - NIFTY Index Options'!$M:$M,'NSE - NIFTY Index Options'!$C:$C,$A53,'NSE - NIFTY Index Options'!$B:$B,D$4,'NSE - NIFTY Index Options'!$I:$I,"Weekly*")+SUMIFS('NSE - NIFTY Index Options'!$M:$M,'NSE - NIFTY Index Options'!$C:$C,$A53,'NSE - NIFTY Index Options'!$B:$B,D$4,'NSE - NIFTY Index Options'!$I:$I,"MDAW*")+SUMIFS('NSE - Other Index Options'!$M:$M,'NSE - Other Index Options'!$C:$C,$A53,'NSE - Other Index Options'!$B:$B,D$4,'NSE - Other Index Options'!$I:$I,"Weekly*")+SUMIFS('NSE - Other Index Options'!$M:$M,'NSE - Other Index Options'!$C:$C,$A53,'NSE - Other Index Options'!$B:$B,D$4,'NSE - Other Index Options'!$I:$I,"MDAW*")=0,"",SUMIFS('NSE - NIFTY Index Options'!$M:$M,'NSE - NIFTY Index Options'!$C:$C,$A53,'NSE - NIFTY Index Options'!$B:$B,D$4,'NSE - NIFTY Index Options'!$I:$I,"Weekly*")+SUMIFS('NSE - NIFTY Index Options'!$M:$M,'NSE - NIFTY Index Options'!$C:$C,$A53,'NSE - NIFTY Index Options'!$B:$B,D$4,'NSE - NIFTY Index Options'!$I:$I,"MDAW*")+SUMIFS('NSE - Other Index Options'!$M:$M,'NSE - Other Index Options'!$C:$C,$A53,'NSE - Other Index Options'!$B:$B,D$4,'NSE - Other Index Options'!$I:$I,"Weekly*")+SUMIFS('NSE - Other Index Options'!$M:$M,'NSE - Other Index Options'!$C:$C,$A53,'NSE - Other Index Options'!$B:$B,D$4,'NSE - Other Index Options'!$I:$I,"MDAW*"))</f>
        <v/>
      </c>
      <c r="E53" s="26">
        <f>IF(SUMIFS('NSE - NIFTY Index Options'!$M:$M,'NSE - NIFTY Index Options'!$C:$C,$A53,'NSE - NIFTY Index Options'!$B:$B,E$4,'NSE - NIFTY Index Options'!$I:$I,"Weekly*")+SUMIFS('NSE - NIFTY Index Options'!$M:$M,'NSE - NIFTY Index Options'!$C:$C,$A53,'NSE - NIFTY Index Options'!$B:$B,E$4,'NSE - NIFTY Index Options'!$I:$I,"MDAW*")+SUMIFS('NSE - Other Index Options'!$M:$M,'NSE - Other Index Options'!$C:$C,$A53,'NSE - Other Index Options'!$B:$B,E$4,'NSE - Other Index Options'!$I:$I,"Weekly*")+SUMIFS('NSE - Other Index Options'!$M:$M,'NSE - Other Index Options'!$C:$C,$A53,'NSE - Other Index Options'!$B:$B,E$4,'NSE - Other Index Options'!$I:$I,"MDAW*")=0,"",SUMIFS('NSE - NIFTY Index Options'!$M:$M,'NSE - NIFTY Index Options'!$C:$C,$A53,'NSE - NIFTY Index Options'!$B:$B,E$4,'NSE - NIFTY Index Options'!$I:$I,"Weekly*")+SUMIFS('NSE - NIFTY Index Options'!$M:$M,'NSE - NIFTY Index Options'!$C:$C,$A53,'NSE - NIFTY Index Options'!$B:$B,E$4,'NSE - NIFTY Index Options'!$I:$I,"MDAW*")+SUMIFS('NSE - Other Index Options'!$M:$M,'NSE - Other Index Options'!$C:$C,$A53,'NSE - Other Index Options'!$B:$B,E$4,'NSE - Other Index Options'!$I:$I,"Weekly*")+SUMIFS('NSE - Other Index Options'!$M:$M,'NSE - Other Index Options'!$C:$C,$A53,'NSE - Other Index Options'!$B:$B,E$4,'NSE - Other Index Options'!$I:$I,"MDAW*"))</f>
        <v/>
      </c>
      <c r="F53" s="26">
        <f>IF(SUMIFS('NSE - NIFTY Index Options'!$M:$M,'NSE - NIFTY Index Options'!$C:$C,$A53,'NSE - NIFTY Index Options'!$B:$B,F$4,'NSE - NIFTY Index Options'!$I:$I,"Weekly*")+SUMIFS('NSE - NIFTY Index Options'!$M:$M,'NSE - NIFTY Index Options'!$C:$C,$A53,'NSE - NIFTY Index Options'!$B:$B,F$4,'NSE - NIFTY Index Options'!$I:$I,"MDAW*")+SUMIFS('NSE - Other Index Options'!$M:$M,'NSE - Other Index Options'!$C:$C,$A53,'NSE - Other Index Options'!$B:$B,F$4,'NSE - Other Index Options'!$I:$I,"Weekly*")+SUMIFS('NSE - Other Index Options'!$M:$M,'NSE - Other Index Options'!$C:$C,$A53,'NSE - Other Index Options'!$B:$B,F$4,'NSE - Other Index Options'!$I:$I,"MDAW*")=0,"",SUMIFS('NSE - NIFTY Index Options'!$M:$M,'NSE - NIFTY Index Options'!$C:$C,$A53,'NSE - NIFTY Index Options'!$B:$B,F$4,'NSE - NIFTY Index Options'!$I:$I,"Weekly*")+SUMIFS('NSE - NIFTY Index Options'!$M:$M,'NSE - NIFTY Index Options'!$C:$C,$A53,'NSE - NIFTY Index Options'!$B:$B,F$4,'NSE - NIFTY Index Options'!$I:$I,"MDAW*")+SUMIFS('NSE - Other Index Options'!$M:$M,'NSE - Other Index Options'!$C:$C,$A53,'NSE - Other Index Options'!$B:$B,F$4,'NSE - Other Index Options'!$I:$I,"Weekly*")+SUMIFS('NSE - Other Index Options'!$M:$M,'NSE - Other Index Options'!$C:$C,$A53,'NSE - Other Index Options'!$B:$B,F$4,'NSE - Other Index Options'!$I:$I,"MDAW*"))</f>
        <v/>
      </c>
      <c r="G53" s="26">
        <f>IF(SUMIFS('NSE - NIFTY Index Options'!$M:$M,'NSE - NIFTY Index Options'!$C:$C,$A53,'NSE - NIFTY Index Options'!$B:$B,G$4,'NSE - NIFTY Index Options'!$I:$I,"Weekly*")+SUMIFS('NSE - NIFTY Index Options'!$M:$M,'NSE - NIFTY Index Options'!$C:$C,$A53,'NSE - NIFTY Index Options'!$B:$B,G$4,'NSE - NIFTY Index Options'!$I:$I,"MDAW*")+SUMIFS('NSE - Other Index Options'!$M:$M,'NSE - Other Index Options'!$C:$C,$A53,'NSE - Other Index Options'!$B:$B,G$4,'NSE - Other Index Options'!$I:$I,"Weekly*")+SUMIFS('NSE - Other Index Options'!$M:$M,'NSE - Other Index Options'!$C:$C,$A53,'NSE - Other Index Options'!$B:$B,G$4,'NSE - Other Index Options'!$I:$I,"MDAW*")=0,"",SUMIFS('NSE - NIFTY Index Options'!$M:$M,'NSE - NIFTY Index Options'!$C:$C,$A53,'NSE - NIFTY Index Options'!$B:$B,G$4,'NSE - NIFTY Index Options'!$I:$I,"Weekly*")+SUMIFS('NSE - NIFTY Index Options'!$M:$M,'NSE - NIFTY Index Options'!$C:$C,$A53,'NSE - NIFTY Index Options'!$B:$B,G$4,'NSE - NIFTY Index Options'!$I:$I,"MDAW*")+SUMIFS('NSE - Other Index Options'!$M:$M,'NSE - Other Index Options'!$C:$C,$A53,'NSE - Other Index Options'!$B:$B,G$4,'NSE - Other Index Options'!$I:$I,"Weekly*")+SUMIFS('NSE - Other Index Options'!$M:$M,'NSE - Other Index Options'!$C:$C,$A53,'NSE - Other Index Options'!$B:$B,G$4,'NSE - Other Index Options'!$I:$I,"MDAW*"))</f>
        <v/>
      </c>
      <c r="H53" s="26">
        <f>IF(SUM(B53:G53)=0,"",SUM(B53:G53))</f>
        <v/>
      </c>
    </row>
    <row r="54">
      <c r="A54" t="inlineStr">
        <is>
          <t>Week1-Jul-2026</t>
        </is>
      </c>
      <c r="B54" s="26">
        <f>IF(SUMIFS('NSE - NIFTY Index Options'!$M:$M,'NSE - NIFTY Index Options'!$C:$C,$A54,'NSE - NIFTY Index Options'!$B:$B,B$4,'NSE - NIFTY Index Options'!$I:$I,"Weekly*")+SUMIFS('NSE - NIFTY Index Options'!$M:$M,'NSE - NIFTY Index Options'!$C:$C,$A54,'NSE - NIFTY Index Options'!$B:$B,B$4,'NSE - NIFTY Index Options'!$I:$I,"MDAW*")+SUMIFS('NSE - Other Index Options'!$M:$M,'NSE - Other Index Options'!$C:$C,$A54,'NSE - Other Index Options'!$B:$B,B$4,'NSE - Other Index Options'!$I:$I,"Weekly*")+SUMIFS('NSE - Other Index Options'!$M:$M,'NSE - Other Index Options'!$C:$C,$A54,'NSE - Other Index Options'!$B:$B,B$4,'NSE - Other Index Options'!$I:$I,"MDAW*")=0,"",SUMIFS('NSE - NIFTY Index Options'!$M:$M,'NSE - NIFTY Index Options'!$C:$C,$A54,'NSE - NIFTY Index Options'!$B:$B,B$4,'NSE - NIFTY Index Options'!$I:$I,"Weekly*")+SUMIFS('NSE - NIFTY Index Options'!$M:$M,'NSE - NIFTY Index Options'!$C:$C,$A54,'NSE - NIFTY Index Options'!$B:$B,B$4,'NSE - NIFTY Index Options'!$I:$I,"MDAW*")+SUMIFS('NSE - Other Index Options'!$M:$M,'NSE - Other Index Options'!$C:$C,$A54,'NSE - Other Index Options'!$B:$B,B$4,'NSE - Other Index Options'!$I:$I,"Weekly*")+SUMIFS('NSE - Other Index Options'!$M:$M,'NSE - Other Index Options'!$C:$C,$A54,'NSE - Other Index Options'!$B:$B,B$4,'NSE - Other Index Options'!$I:$I,"MDAW*"))</f>
        <v/>
      </c>
      <c r="C54" s="26">
        <f>IF(SUMIFS('NSE - NIFTY Index Options'!$M:$M,'NSE - NIFTY Index Options'!$C:$C,$A54,'NSE - NIFTY Index Options'!$B:$B,C$4,'NSE - NIFTY Index Options'!$I:$I,"Weekly*")+SUMIFS('NSE - NIFTY Index Options'!$M:$M,'NSE - NIFTY Index Options'!$C:$C,$A54,'NSE - NIFTY Index Options'!$B:$B,C$4,'NSE - NIFTY Index Options'!$I:$I,"MDAW*")+SUMIFS('NSE - Other Index Options'!$M:$M,'NSE - Other Index Options'!$C:$C,$A54,'NSE - Other Index Options'!$B:$B,C$4,'NSE - Other Index Options'!$I:$I,"Weekly*")+SUMIFS('NSE - Other Index Options'!$M:$M,'NSE - Other Index Options'!$C:$C,$A54,'NSE - Other Index Options'!$B:$B,C$4,'NSE - Other Index Options'!$I:$I,"MDAW*")=0,"",SUMIFS('NSE - NIFTY Index Options'!$M:$M,'NSE - NIFTY Index Options'!$C:$C,$A54,'NSE - NIFTY Index Options'!$B:$B,C$4,'NSE - NIFTY Index Options'!$I:$I,"Weekly*")+SUMIFS('NSE - NIFTY Index Options'!$M:$M,'NSE - NIFTY Index Options'!$C:$C,$A54,'NSE - NIFTY Index Options'!$B:$B,C$4,'NSE - NIFTY Index Options'!$I:$I,"MDAW*")+SUMIFS('NSE - Other Index Options'!$M:$M,'NSE - Other Index Options'!$C:$C,$A54,'NSE - Other Index Options'!$B:$B,C$4,'NSE - Other Index Options'!$I:$I,"Weekly*")+SUMIFS('NSE - Other Index Options'!$M:$M,'NSE - Other Index Options'!$C:$C,$A54,'NSE - Other Index Options'!$B:$B,C$4,'NSE - Other Index Options'!$I:$I,"MDAW*"))</f>
        <v/>
      </c>
      <c r="D54" s="26">
        <f>IF(SUMIFS('NSE - NIFTY Index Options'!$M:$M,'NSE - NIFTY Index Options'!$C:$C,$A54,'NSE - NIFTY Index Options'!$B:$B,D$4,'NSE - NIFTY Index Options'!$I:$I,"Weekly*")+SUMIFS('NSE - NIFTY Index Options'!$M:$M,'NSE - NIFTY Index Options'!$C:$C,$A54,'NSE - NIFTY Index Options'!$B:$B,D$4,'NSE - NIFTY Index Options'!$I:$I,"MDAW*")+SUMIFS('NSE - Other Index Options'!$M:$M,'NSE - Other Index Options'!$C:$C,$A54,'NSE - Other Index Options'!$B:$B,D$4,'NSE - Other Index Options'!$I:$I,"Weekly*")+SUMIFS('NSE - Other Index Options'!$M:$M,'NSE - Other Index Options'!$C:$C,$A54,'NSE - Other Index Options'!$B:$B,D$4,'NSE - Other Index Options'!$I:$I,"MDAW*")=0,"",SUMIFS('NSE - NIFTY Index Options'!$M:$M,'NSE - NIFTY Index Options'!$C:$C,$A54,'NSE - NIFTY Index Options'!$B:$B,D$4,'NSE - NIFTY Index Options'!$I:$I,"Weekly*")+SUMIFS('NSE - NIFTY Index Options'!$M:$M,'NSE - NIFTY Index Options'!$C:$C,$A54,'NSE - NIFTY Index Options'!$B:$B,D$4,'NSE - NIFTY Index Options'!$I:$I,"MDAW*")+SUMIFS('NSE - Other Index Options'!$M:$M,'NSE - Other Index Options'!$C:$C,$A54,'NSE - Other Index Options'!$B:$B,D$4,'NSE - Other Index Options'!$I:$I,"Weekly*")+SUMIFS('NSE - Other Index Options'!$M:$M,'NSE - Other Index Options'!$C:$C,$A54,'NSE - Other Index Options'!$B:$B,D$4,'NSE - Other Index Options'!$I:$I,"MDAW*"))</f>
        <v/>
      </c>
      <c r="E54" s="26">
        <f>IF(SUMIFS('NSE - NIFTY Index Options'!$M:$M,'NSE - NIFTY Index Options'!$C:$C,$A54,'NSE - NIFTY Index Options'!$B:$B,E$4,'NSE - NIFTY Index Options'!$I:$I,"Weekly*")+SUMIFS('NSE - NIFTY Index Options'!$M:$M,'NSE - NIFTY Index Options'!$C:$C,$A54,'NSE - NIFTY Index Options'!$B:$B,E$4,'NSE - NIFTY Index Options'!$I:$I,"MDAW*")+SUMIFS('NSE - Other Index Options'!$M:$M,'NSE - Other Index Options'!$C:$C,$A54,'NSE - Other Index Options'!$B:$B,E$4,'NSE - Other Index Options'!$I:$I,"Weekly*")+SUMIFS('NSE - Other Index Options'!$M:$M,'NSE - Other Index Options'!$C:$C,$A54,'NSE - Other Index Options'!$B:$B,E$4,'NSE - Other Index Options'!$I:$I,"MDAW*")=0,"",SUMIFS('NSE - NIFTY Index Options'!$M:$M,'NSE - NIFTY Index Options'!$C:$C,$A54,'NSE - NIFTY Index Options'!$B:$B,E$4,'NSE - NIFTY Index Options'!$I:$I,"Weekly*")+SUMIFS('NSE - NIFTY Index Options'!$M:$M,'NSE - NIFTY Index Options'!$C:$C,$A54,'NSE - NIFTY Index Options'!$B:$B,E$4,'NSE - NIFTY Index Options'!$I:$I,"MDAW*")+SUMIFS('NSE - Other Index Options'!$M:$M,'NSE - Other Index Options'!$C:$C,$A54,'NSE - Other Index Options'!$B:$B,E$4,'NSE - Other Index Options'!$I:$I,"Weekly*")+SUMIFS('NSE - Other Index Options'!$M:$M,'NSE - Other Index Options'!$C:$C,$A54,'NSE - Other Index Options'!$B:$B,E$4,'NSE - Other Index Options'!$I:$I,"MDAW*"))</f>
        <v/>
      </c>
      <c r="F54" s="26">
        <f>IF(SUMIFS('NSE - NIFTY Index Options'!$M:$M,'NSE - NIFTY Index Options'!$C:$C,$A54,'NSE - NIFTY Index Options'!$B:$B,F$4,'NSE - NIFTY Index Options'!$I:$I,"Weekly*")+SUMIFS('NSE - NIFTY Index Options'!$M:$M,'NSE - NIFTY Index Options'!$C:$C,$A54,'NSE - NIFTY Index Options'!$B:$B,F$4,'NSE - NIFTY Index Options'!$I:$I,"MDAW*")+SUMIFS('NSE - Other Index Options'!$M:$M,'NSE - Other Index Options'!$C:$C,$A54,'NSE - Other Index Options'!$B:$B,F$4,'NSE - Other Index Options'!$I:$I,"Weekly*")+SUMIFS('NSE - Other Index Options'!$M:$M,'NSE - Other Index Options'!$C:$C,$A54,'NSE - Other Index Options'!$B:$B,F$4,'NSE - Other Index Options'!$I:$I,"MDAW*")=0,"",SUMIFS('NSE - NIFTY Index Options'!$M:$M,'NSE - NIFTY Index Options'!$C:$C,$A54,'NSE - NIFTY Index Options'!$B:$B,F$4,'NSE - NIFTY Index Options'!$I:$I,"Weekly*")+SUMIFS('NSE - NIFTY Index Options'!$M:$M,'NSE - NIFTY Index Options'!$C:$C,$A54,'NSE - NIFTY Index Options'!$B:$B,F$4,'NSE - NIFTY Index Options'!$I:$I,"MDAW*")+SUMIFS('NSE - Other Index Options'!$M:$M,'NSE - Other Index Options'!$C:$C,$A54,'NSE - Other Index Options'!$B:$B,F$4,'NSE - Other Index Options'!$I:$I,"Weekly*")+SUMIFS('NSE - Other Index Options'!$M:$M,'NSE - Other Index Options'!$C:$C,$A54,'NSE - Other Index Options'!$B:$B,F$4,'NSE - Other Index Options'!$I:$I,"MDAW*"))</f>
        <v/>
      </c>
      <c r="G54" s="26">
        <f>IF(SUMIFS('NSE - NIFTY Index Options'!$M:$M,'NSE - NIFTY Index Options'!$C:$C,$A54,'NSE - NIFTY Index Options'!$B:$B,G$4,'NSE - NIFTY Index Options'!$I:$I,"Weekly*")+SUMIFS('NSE - NIFTY Index Options'!$M:$M,'NSE - NIFTY Index Options'!$C:$C,$A54,'NSE - NIFTY Index Options'!$B:$B,G$4,'NSE - NIFTY Index Options'!$I:$I,"MDAW*")+SUMIFS('NSE - Other Index Options'!$M:$M,'NSE - Other Index Options'!$C:$C,$A54,'NSE - Other Index Options'!$B:$B,G$4,'NSE - Other Index Options'!$I:$I,"Weekly*")+SUMIFS('NSE - Other Index Options'!$M:$M,'NSE - Other Index Options'!$C:$C,$A54,'NSE - Other Index Options'!$B:$B,G$4,'NSE - Other Index Options'!$I:$I,"MDAW*")=0,"",SUMIFS('NSE - NIFTY Index Options'!$M:$M,'NSE - NIFTY Index Options'!$C:$C,$A54,'NSE - NIFTY Index Options'!$B:$B,G$4,'NSE - NIFTY Index Options'!$I:$I,"Weekly*")+SUMIFS('NSE - NIFTY Index Options'!$M:$M,'NSE - NIFTY Index Options'!$C:$C,$A54,'NSE - NIFTY Index Options'!$B:$B,G$4,'NSE - NIFTY Index Options'!$I:$I,"MDAW*")+SUMIFS('NSE - Other Index Options'!$M:$M,'NSE - Other Index Options'!$C:$C,$A54,'NSE - Other Index Options'!$B:$B,G$4,'NSE - Other Index Options'!$I:$I,"Weekly*")+SUMIFS('NSE - Other Index Options'!$M:$M,'NSE - Other Index Options'!$C:$C,$A54,'NSE - Other Index Options'!$B:$B,G$4,'NSE - Other Index Options'!$I:$I,"MDAW*"))</f>
        <v/>
      </c>
      <c r="H54" s="26">
        <f>IF(SUM(B54:G54)=0,"",SUM(B54:G54))</f>
        <v/>
      </c>
    </row>
    <row r="55">
      <c r="A55" t="inlineStr">
        <is>
          <t>Week2-Jul-2026</t>
        </is>
      </c>
      <c r="B55" s="26">
        <f>IF(SUMIFS('NSE - NIFTY Index Options'!$M:$M,'NSE - NIFTY Index Options'!$C:$C,$A55,'NSE - NIFTY Index Options'!$B:$B,B$4,'NSE - NIFTY Index Options'!$I:$I,"Weekly*")+SUMIFS('NSE - NIFTY Index Options'!$M:$M,'NSE - NIFTY Index Options'!$C:$C,$A55,'NSE - NIFTY Index Options'!$B:$B,B$4,'NSE - NIFTY Index Options'!$I:$I,"MDAW*")+SUMIFS('NSE - Other Index Options'!$M:$M,'NSE - Other Index Options'!$C:$C,$A55,'NSE - Other Index Options'!$B:$B,B$4,'NSE - Other Index Options'!$I:$I,"Weekly*")+SUMIFS('NSE - Other Index Options'!$M:$M,'NSE - Other Index Options'!$C:$C,$A55,'NSE - Other Index Options'!$B:$B,B$4,'NSE - Other Index Options'!$I:$I,"MDAW*")=0,"",SUMIFS('NSE - NIFTY Index Options'!$M:$M,'NSE - NIFTY Index Options'!$C:$C,$A55,'NSE - NIFTY Index Options'!$B:$B,B$4,'NSE - NIFTY Index Options'!$I:$I,"Weekly*")+SUMIFS('NSE - NIFTY Index Options'!$M:$M,'NSE - NIFTY Index Options'!$C:$C,$A55,'NSE - NIFTY Index Options'!$B:$B,B$4,'NSE - NIFTY Index Options'!$I:$I,"MDAW*")+SUMIFS('NSE - Other Index Options'!$M:$M,'NSE - Other Index Options'!$C:$C,$A55,'NSE - Other Index Options'!$B:$B,B$4,'NSE - Other Index Options'!$I:$I,"Weekly*")+SUMIFS('NSE - Other Index Options'!$M:$M,'NSE - Other Index Options'!$C:$C,$A55,'NSE - Other Index Options'!$B:$B,B$4,'NSE - Other Index Options'!$I:$I,"MDAW*"))</f>
        <v/>
      </c>
      <c r="C55" s="26">
        <f>IF(SUMIFS('NSE - NIFTY Index Options'!$M:$M,'NSE - NIFTY Index Options'!$C:$C,$A55,'NSE - NIFTY Index Options'!$B:$B,C$4,'NSE - NIFTY Index Options'!$I:$I,"Weekly*")+SUMIFS('NSE - NIFTY Index Options'!$M:$M,'NSE - NIFTY Index Options'!$C:$C,$A55,'NSE - NIFTY Index Options'!$B:$B,C$4,'NSE - NIFTY Index Options'!$I:$I,"MDAW*")+SUMIFS('NSE - Other Index Options'!$M:$M,'NSE - Other Index Options'!$C:$C,$A55,'NSE - Other Index Options'!$B:$B,C$4,'NSE - Other Index Options'!$I:$I,"Weekly*")+SUMIFS('NSE - Other Index Options'!$M:$M,'NSE - Other Index Options'!$C:$C,$A55,'NSE - Other Index Options'!$B:$B,C$4,'NSE - Other Index Options'!$I:$I,"MDAW*")=0,"",SUMIFS('NSE - NIFTY Index Options'!$M:$M,'NSE - NIFTY Index Options'!$C:$C,$A55,'NSE - NIFTY Index Options'!$B:$B,C$4,'NSE - NIFTY Index Options'!$I:$I,"Weekly*")+SUMIFS('NSE - NIFTY Index Options'!$M:$M,'NSE - NIFTY Index Options'!$C:$C,$A55,'NSE - NIFTY Index Options'!$B:$B,C$4,'NSE - NIFTY Index Options'!$I:$I,"MDAW*")+SUMIFS('NSE - Other Index Options'!$M:$M,'NSE - Other Index Options'!$C:$C,$A55,'NSE - Other Index Options'!$B:$B,C$4,'NSE - Other Index Options'!$I:$I,"Weekly*")+SUMIFS('NSE - Other Index Options'!$M:$M,'NSE - Other Index Options'!$C:$C,$A55,'NSE - Other Index Options'!$B:$B,C$4,'NSE - Other Index Options'!$I:$I,"MDAW*"))</f>
        <v/>
      </c>
      <c r="D55" s="26">
        <f>IF(SUMIFS('NSE - NIFTY Index Options'!$M:$M,'NSE - NIFTY Index Options'!$C:$C,$A55,'NSE - NIFTY Index Options'!$B:$B,D$4,'NSE - NIFTY Index Options'!$I:$I,"Weekly*")+SUMIFS('NSE - NIFTY Index Options'!$M:$M,'NSE - NIFTY Index Options'!$C:$C,$A55,'NSE - NIFTY Index Options'!$B:$B,D$4,'NSE - NIFTY Index Options'!$I:$I,"MDAW*")+SUMIFS('NSE - Other Index Options'!$M:$M,'NSE - Other Index Options'!$C:$C,$A55,'NSE - Other Index Options'!$B:$B,D$4,'NSE - Other Index Options'!$I:$I,"Weekly*")+SUMIFS('NSE - Other Index Options'!$M:$M,'NSE - Other Index Options'!$C:$C,$A55,'NSE - Other Index Options'!$B:$B,D$4,'NSE - Other Index Options'!$I:$I,"MDAW*")=0,"",SUMIFS('NSE - NIFTY Index Options'!$M:$M,'NSE - NIFTY Index Options'!$C:$C,$A55,'NSE - NIFTY Index Options'!$B:$B,D$4,'NSE - NIFTY Index Options'!$I:$I,"Weekly*")+SUMIFS('NSE - NIFTY Index Options'!$M:$M,'NSE - NIFTY Index Options'!$C:$C,$A55,'NSE - NIFTY Index Options'!$B:$B,D$4,'NSE - NIFTY Index Options'!$I:$I,"MDAW*")+SUMIFS('NSE - Other Index Options'!$M:$M,'NSE - Other Index Options'!$C:$C,$A55,'NSE - Other Index Options'!$B:$B,D$4,'NSE - Other Index Options'!$I:$I,"Weekly*")+SUMIFS('NSE - Other Index Options'!$M:$M,'NSE - Other Index Options'!$C:$C,$A55,'NSE - Other Index Options'!$B:$B,D$4,'NSE - Other Index Options'!$I:$I,"MDAW*"))</f>
        <v/>
      </c>
      <c r="E55" s="26">
        <f>IF(SUMIFS('NSE - NIFTY Index Options'!$M:$M,'NSE - NIFTY Index Options'!$C:$C,$A55,'NSE - NIFTY Index Options'!$B:$B,E$4,'NSE - NIFTY Index Options'!$I:$I,"Weekly*")+SUMIFS('NSE - NIFTY Index Options'!$M:$M,'NSE - NIFTY Index Options'!$C:$C,$A55,'NSE - NIFTY Index Options'!$B:$B,E$4,'NSE - NIFTY Index Options'!$I:$I,"MDAW*")+SUMIFS('NSE - Other Index Options'!$M:$M,'NSE - Other Index Options'!$C:$C,$A55,'NSE - Other Index Options'!$B:$B,E$4,'NSE - Other Index Options'!$I:$I,"Weekly*")+SUMIFS('NSE - Other Index Options'!$M:$M,'NSE - Other Index Options'!$C:$C,$A55,'NSE - Other Index Options'!$B:$B,E$4,'NSE - Other Index Options'!$I:$I,"MDAW*")=0,"",SUMIFS('NSE - NIFTY Index Options'!$M:$M,'NSE - NIFTY Index Options'!$C:$C,$A55,'NSE - NIFTY Index Options'!$B:$B,E$4,'NSE - NIFTY Index Options'!$I:$I,"Weekly*")+SUMIFS('NSE - NIFTY Index Options'!$M:$M,'NSE - NIFTY Index Options'!$C:$C,$A55,'NSE - NIFTY Index Options'!$B:$B,E$4,'NSE - NIFTY Index Options'!$I:$I,"MDAW*")+SUMIFS('NSE - Other Index Options'!$M:$M,'NSE - Other Index Options'!$C:$C,$A55,'NSE - Other Index Options'!$B:$B,E$4,'NSE - Other Index Options'!$I:$I,"Weekly*")+SUMIFS('NSE - Other Index Options'!$M:$M,'NSE - Other Index Options'!$C:$C,$A55,'NSE - Other Index Options'!$B:$B,E$4,'NSE - Other Index Options'!$I:$I,"MDAW*"))</f>
        <v/>
      </c>
      <c r="F55" s="26">
        <f>IF(SUMIFS('NSE - NIFTY Index Options'!$M:$M,'NSE - NIFTY Index Options'!$C:$C,$A55,'NSE - NIFTY Index Options'!$B:$B,F$4,'NSE - NIFTY Index Options'!$I:$I,"Weekly*")+SUMIFS('NSE - NIFTY Index Options'!$M:$M,'NSE - NIFTY Index Options'!$C:$C,$A55,'NSE - NIFTY Index Options'!$B:$B,F$4,'NSE - NIFTY Index Options'!$I:$I,"MDAW*")+SUMIFS('NSE - Other Index Options'!$M:$M,'NSE - Other Index Options'!$C:$C,$A55,'NSE - Other Index Options'!$B:$B,F$4,'NSE - Other Index Options'!$I:$I,"Weekly*")+SUMIFS('NSE - Other Index Options'!$M:$M,'NSE - Other Index Options'!$C:$C,$A55,'NSE - Other Index Options'!$B:$B,F$4,'NSE - Other Index Options'!$I:$I,"MDAW*")=0,"",SUMIFS('NSE - NIFTY Index Options'!$M:$M,'NSE - NIFTY Index Options'!$C:$C,$A55,'NSE - NIFTY Index Options'!$B:$B,F$4,'NSE - NIFTY Index Options'!$I:$I,"Weekly*")+SUMIFS('NSE - NIFTY Index Options'!$M:$M,'NSE - NIFTY Index Options'!$C:$C,$A55,'NSE - NIFTY Index Options'!$B:$B,F$4,'NSE - NIFTY Index Options'!$I:$I,"MDAW*")+SUMIFS('NSE - Other Index Options'!$M:$M,'NSE - Other Index Options'!$C:$C,$A55,'NSE - Other Index Options'!$B:$B,F$4,'NSE - Other Index Options'!$I:$I,"Weekly*")+SUMIFS('NSE - Other Index Options'!$M:$M,'NSE - Other Index Options'!$C:$C,$A55,'NSE - Other Index Options'!$B:$B,F$4,'NSE - Other Index Options'!$I:$I,"MDAW*"))</f>
        <v/>
      </c>
      <c r="G55" s="26">
        <f>IF(SUMIFS('NSE - NIFTY Index Options'!$M:$M,'NSE - NIFTY Index Options'!$C:$C,$A55,'NSE - NIFTY Index Options'!$B:$B,G$4,'NSE - NIFTY Index Options'!$I:$I,"Weekly*")+SUMIFS('NSE - NIFTY Index Options'!$M:$M,'NSE - NIFTY Index Options'!$C:$C,$A55,'NSE - NIFTY Index Options'!$B:$B,G$4,'NSE - NIFTY Index Options'!$I:$I,"MDAW*")+SUMIFS('NSE - Other Index Options'!$M:$M,'NSE - Other Index Options'!$C:$C,$A55,'NSE - Other Index Options'!$B:$B,G$4,'NSE - Other Index Options'!$I:$I,"Weekly*")+SUMIFS('NSE - Other Index Options'!$M:$M,'NSE - Other Index Options'!$C:$C,$A55,'NSE - Other Index Options'!$B:$B,G$4,'NSE - Other Index Options'!$I:$I,"MDAW*")=0,"",SUMIFS('NSE - NIFTY Index Options'!$M:$M,'NSE - NIFTY Index Options'!$C:$C,$A55,'NSE - NIFTY Index Options'!$B:$B,G$4,'NSE - NIFTY Index Options'!$I:$I,"Weekly*")+SUMIFS('NSE - NIFTY Index Options'!$M:$M,'NSE - NIFTY Index Options'!$C:$C,$A55,'NSE - NIFTY Index Options'!$B:$B,G$4,'NSE - NIFTY Index Options'!$I:$I,"MDAW*")+SUMIFS('NSE - Other Index Options'!$M:$M,'NSE - Other Index Options'!$C:$C,$A55,'NSE - Other Index Options'!$B:$B,G$4,'NSE - Other Index Options'!$I:$I,"Weekly*")+SUMIFS('NSE - Other Index Options'!$M:$M,'NSE - Other Index Options'!$C:$C,$A55,'NSE - Other Index Options'!$B:$B,G$4,'NSE - Other Index Options'!$I:$I,"MDAW*"))</f>
        <v/>
      </c>
      <c r="H55" s="26">
        <f>IF(SUM(B55:G55)=0,"",SUM(B55:G55))</f>
        <v/>
      </c>
    </row>
    <row r="56">
      <c r="A56" t="inlineStr">
        <is>
          <t>Week3-Jul-2026</t>
        </is>
      </c>
      <c r="B56" s="26">
        <f>IF(SUMIFS('NSE - NIFTY Index Options'!$M:$M,'NSE - NIFTY Index Options'!$C:$C,$A56,'NSE - NIFTY Index Options'!$B:$B,B$4,'NSE - NIFTY Index Options'!$I:$I,"Weekly*")+SUMIFS('NSE - NIFTY Index Options'!$M:$M,'NSE - NIFTY Index Options'!$C:$C,$A56,'NSE - NIFTY Index Options'!$B:$B,B$4,'NSE - NIFTY Index Options'!$I:$I,"MDAW*")+SUMIFS('NSE - Other Index Options'!$M:$M,'NSE - Other Index Options'!$C:$C,$A56,'NSE - Other Index Options'!$B:$B,B$4,'NSE - Other Index Options'!$I:$I,"Weekly*")+SUMIFS('NSE - Other Index Options'!$M:$M,'NSE - Other Index Options'!$C:$C,$A56,'NSE - Other Index Options'!$B:$B,B$4,'NSE - Other Index Options'!$I:$I,"MDAW*")=0,"",SUMIFS('NSE - NIFTY Index Options'!$M:$M,'NSE - NIFTY Index Options'!$C:$C,$A56,'NSE - NIFTY Index Options'!$B:$B,B$4,'NSE - NIFTY Index Options'!$I:$I,"Weekly*")+SUMIFS('NSE - NIFTY Index Options'!$M:$M,'NSE - NIFTY Index Options'!$C:$C,$A56,'NSE - NIFTY Index Options'!$B:$B,B$4,'NSE - NIFTY Index Options'!$I:$I,"MDAW*")+SUMIFS('NSE - Other Index Options'!$M:$M,'NSE - Other Index Options'!$C:$C,$A56,'NSE - Other Index Options'!$B:$B,B$4,'NSE - Other Index Options'!$I:$I,"Weekly*")+SUMIFS('NSE - Other Index Options'!$M:$M,'NSE - Other Index Options'!$C:$C,$A56,'NSE - Other Index Options'!$B:$B,B$4,'NSE - Other Index Options'!$I:$I,"MDAW*"))</f>
        <v/>
      </c>
      <c r="C56" s="26">
        <f>IF(SUMIFS('NSE - NIFTY Index Options'!$M:$M,'NSE - NIFTY Index Options'!$C:$C,$A56,'NSE - NIFTY Index Options'!$B:$B,C$4,'NSE - NIFTY Index Options'!$I:$I,"Weekly*")+SUMIFS('NSE - NIFTY Index Options'!$M:$M,'NSE - NIFTY Index Options'!$C:$C,$A56,'NSE - NIFTY Index Options'!$B:$B,C$4,'NSE - NIFTY Index Options'!$I:$I,"MDAW*")+SUMIFS('NSE - Other Index Options'!$M:$M,'NSE - Other Index Options'!$C:$C,$A56,'NSE - Other Index Options'!$B:$B,C$4,'NSE - Other Index Options'!$I:$I,"Weekly*")+SUMIFS('NSE - Other Index Options'!$M:$M,'NSE - Other Index Options'!$C:$C,$A56,'NSE - Other Index Options'!$B:$B,C$4,'NSE - Other Index Options'!$I:$I,"MDAW*")=0,"",SUMIFS('NSE - NIFTY Index Options'!$M:$M,'NSE - NIFTY Index Options'!$C:$C,$A56,'NSE - NIFTY Index Options'!$B:$B,C$4,'NSE - NIFTY Index Options'!$I:$I,"Weekly*")+SUMIFS('NSE - NIFTY Index Options'!$M:$M,'NSE - NIFTY Index Options'!$C:$C,$A56,'NSE - NIFTY Index Options'!$B:$B,C$4,'NSE - NIFTY Index Options'!$I:$I,"MDAW*")+SUMIFS('NSE - Other Index Options'!$M:$M,'NSE - Other Index Options'!$C:$C,$A56,'NSE - Other Index Options'!$B:$B,C$4,'NSE - Other Index Options'!$I:$I,"Weekly*")+SUMIFS('NSE - Other Index Options'!$M:$M,'NSE - Other Index Options'!$C:$C,$A56,'NSE - Other Index Options'!$B:$B,C$4,'NSE - Other Index Options'!$I:$I,"MDAW*"))</f>
        <v/>
      </c>
      <c r="D56" s="26">
        <f>IF(SUMIFS('NSE - NIFTY Index Options'!$M:$M,'NSE - NIFTY Index Options'!$C:$C,$A56,'NSE - NIFTY Index Options'!$B:$B,D$4,'NSE - NIFTY Index Options'!$I:$I,"Weekly*")+SUMIFS('NSE - NIFTY Index Options'!$M:$M,'NSE - NIFTY Index Options'!$C:$C,$A56,'NSE - NIFTY Index Options'!$B:$B,D$4,'NSE - NIFTY Index Options'!$I:$I,"MDAW*")+SUMIFS('NSE - Other Index Options'!$M:$M,'NSE - Other Index Options'!$C:$C,$A56,'NSE - Other Index Options'!$B:$B,D$4,'NSE - Other Index Options'!$I:$I,"Weekly*")+SUMIFS('NSE - Other Index Options'!$M:$M,'NSE - Other Index Options'!$C:$C,$A56,'NSE - Other Index Options'!$B:$B,D$4,'NSE - Other Index Options'!$I:$I,"MDAW*")=0,"",SUMIFS('NSE - NIFTY Index Options'!$M:$M,'NSE - NIFTY Index Options'!$C:$C,$A56,'NSE - NIFTY Index Options'!$B:$B,D$4,'NSE - NIFTY Index Options'!$I:$I,"Weekly*")+SUMIFS('NSE - NIFTY Index Options'!$M:$M,'NSE - NIFTY Index Options'!$C:$C,$A56,'NSE - NIFTY Index Options'!$B:$B,D$4,'NSE - NIFTY Index Options'!$I:$I,"MDAW*")+SUMIFS('NSE - Other Index Options'!$M:$M,'NSE - Other Index Options'!$C:$C,$A56,'NSE - Other Index Options'!$B:$B,D$4,'NSE - Other Index Options'!$I:$I,"Weekly*")+SUMIFS('NSE - Other Index Options'!$M:$M,'NSE - Other Index Options'!$C:$C,$A56,'NSE - Other Index Options'!$B:$B,D$4,'NSE - Other Index Options'!$I:$I,"MDAW*"))</f>
        <v/>
      </c>
      <c r="E56" s="26">
        <f>IF(SUMIFS('NSE - NIFTY Index Options'!$M:$M,'NSE - NIFTY Index Options'!$C:$C,$A56,'NSE - NIFTY Index Options'!$B:$B,E$4,'NSE - NIFTY Index Options'!$I:$I,"Weekly*")+SUMIFS('NSE - NIFTY Index Options'!$M:$M,'NSE - NIFTY Index Options'!$C:$C,$A56,'NSE - NIFTY Index Options'!$B:$B,E$4,'NSE - NIFTY Index Options'!$I:$I,"MDAW*")+SUMIFS('NSE - Other Index Options'!$M:$M,'NSE - Other Index Options'!$C:$C,$A56,'NSE - Other Index Options'!$B:$B,E$4,'NSE - Other Index Options'!$I:$I,"Weekly*")+SUMIFS('NSE - Other Index Options'!$M:$M,'NSE - Other Index Options'!$C:$C,$A56,'NSE - Other Index Options'!$B:$B,E$4,'NSE - Other Index Options'!$I:$I,"MDAW*")=0,"",SUMIFS('NSE - NIFTY Index Options'!$M:$M,'NSE - NIFTY Index Options'!$C:$C,$A56,'NSE - NIFTY Index Options'!$B:$B,E$4,'NSE - NIFTY Index Options'!$I:$I,"Weekly*")+SUMIFS('NSE - NIFTY Index Options'!$M:$M,'NSE - NIFTY Index Options'!$C:$C,$A56,'NSE - NIFTY Index Options'!$B:$B,E$4,'NSE - NIFTY Index Options'!$I:$I,"MDAW*")+SUMIFS('NSE - Other Index Options'!$M:$M,'NSE - Other Index Options'!$C:$C,$A56,'NSE - Other Index Options'!$B:$B,E$4,'NSE - Other Index Options'!$I:$I,"Weekly*")+SUMIFS('NSE - Other Index Options'!$M:$M,'NSE - Other Index Options'!$C:$C,$A56,'NSE - Other Index Options'!$B:$B,E$4,'NSE - Other Index Options'!$I:$I,"MDAW*"))</f>
        <v/>
      </c>
      <c r="F56" s="26">
        <f>IF(SUMIFS('NSE - NIFTY Index Options'!$M:$M,'NSE - NIFTY Index Options'!$C:$C,$A56,'NSE - NIFTY Index Options'!$B:$B,F$4,'NSE - NIFTY Index Options'!$I:$I,"Weekly*")+SUMIFS('NSE - NIFTY Index Options'!$M:$M,'NSE - NIFTY Index Options'!$C:$C,$A56,'NSE - NIFTY Index Options'!$B:$B,F$4,'NSE - NIFTY Index Options'!$I:$I,"MDAW*")+SUMIFS('NSE - Other Index Options'!$M:$M,'NSE - Other Index Options'!$C:$C,$A56,'NSE - Other Index Options'!$B:$B,F$4,'NSE - Other Index Options'!$I:$I,"Weekly*")+SUMIFS('NSE - Other Index Options'!$M:$M,'NSE - Other Index Options'!$C:$C,$A56,'NSE - Other Index Options'!$B:$B,F$4,'NSE - Other Index Options'!$I:$I,"MDAW*")=0,"",SUMIFS('NSE - NIFTY Index Options'!$M:$M,'NSE - NIFTY Index Options'!$C:$C,$A56,'NSE - NIFTY Index Options'!$B:$B,F$4,'NSE - NIFTY Index Options'!$I:$I,"Weekly*")+SUMIFS('NSE - NIFTY Index Options'!$M:$M,'NSE - NIFTY Index Options'!$C:$C,$A56,'NSE - NIFTY Index Options'!$B:$B,F$4,'NSE - NIFTY Index Options'!$I:$I,"MDAW*")+SUMIFS('NSE - Other Index Options'!$M:$M,'NSE - Other Index Options'!$C:$C,$A56,'NSE - Other Index Options'!$B:$B,F$4,'NSE - Other Index Options'!$I:$I,"Weekly*")+SUMIFS('NSE - Other Index Options'!$M:$M,'NSE - Other Index Options'!$C:$C,$A56,'NSE - Other Index Options'!$B:$B,F$4,'NSE - Other Index Options'!$I:$I,"MDAW*"))</f>
        <v/>
      </c>
      <c r="G56" s="26">
        <f>IF(SUMIFS('NSE - NIFTY Index Options'!$M:$M,'NSE - NIFTY Index Options'!$C:$C,$A56,'NSE - NIFTY Index Options'!$B:$B,G$4,'NSE - NIFTY Index Options'!$I:$I,"Weekly*")+SUMIFS('NSE - NIFTY Index Options'!$M:$M,'NSE - NIFTY Index Options'!$C:$C,$A56,'NSE - NIFTY Index Options'!$B:$B,G$4,'NSE - NIFTY Index Options'!$I:$I,"MDAW*")+SUMIFS('NSE - Other Index Options'!$M:$M,'NSE - Other Index Options'!$C:$C,$A56,'NSE - Other Index Options'!$B:$B,G$4,'NSE - Other Index Options'!$I:$I,"Weekly*")+SUMIFS('NSE - Other Index Options'!$M:$M,'NSE - Other Index Options'!$C:$C,$A56,'NSE - Other Index Options'!$B:$B,G$4,'NSE - Other Index Options'!$I:$I,"MDAW*")=0,"",SUMIFS('NSE - NIFTY Index Options'!$M:$M,'NSE - NIFTY Index Options'!$C:$C,$A56,'NSE - NIFTY Index Options'!$B:$B,G$4,'NSE - NIFTY Index Options'!$I:$I,"Weekly*")+SUMIFS('NSE - NIFTY Index Options'!$M:$M,'NSE - NIFTY Index Options'!$C:$C,$A56,'NSE - NIFTY Index Options'!$B:$B,G$4,'NSE - NIFTY Index Options'!$I:$I,"MDAW*")+SUMIFS('NSE - Other Index Options'!$M:$M,'NSE - Other Index Options'!$C:$C,$A56,'NSE - Other Index Options'!$B:$B,G$4,'NSE - Other Index Options'!$I:$I,"Weekly*")+SUMIFS('NSE - Other Index Options'!$M:$M,'NSE - Other Index Options'!$C:$C,$A56,'NSE - Other Index Options'!$B:$B,G$4,'NSE - Other Index Options'!$I:$I,"MDAW*"))</f>
        <v/>
      </c>
      <c r="H56" s="26">
        <f>IF(SUM(B56:G56)=0,"",SUM(B56:G56))</f>
        <v/>
      </c>
    </row>
    <row r="57">
      <c r="A57" t="inlineStr">
        <is>
          <t>Week4-Jul-2026</t>
        </is>
      </c>
      <c r="B57" s="26">
        <f>IF(SUMIFS('NSE - NIFTY Index Options'!$M:$M,'NSE - NIFTY Index Options'!$C:$C,$A57,'NSE - NIFTY Index Options'!$B:$B,B$4,'NSE - NIFTY Index Options'!$I:$I,"Weekly*")+SUMIFS('NSE - NIFTY Index Options'!$M:$M,'NSE - NIFTY Index Options'!$C:$C,$A57,'NSE - NIFTY Index Options'!$B:$B,B$4,'NSE - NIFTY Index Options'!$I:$I,"MDAW*")+SUMIFS('NSE - Other Index Options'!$M:$M,'NSE - Other Index Options'!$C:$C,$A57,'NSE - Other Index Options'!$B:$B,B$4,'NSE - Other Index Options'!$I:$I,"Weekly*")+SUMIFS('NSE - Other Index Options'!$M:$M,'NSE - Other Index Options'!$C:$C,$A57,'NSE - Other Index Options'!$B:$B,B$4,'NSE - Other Index Options'!$I:$I,"MDAW*")=0,"",SUMIFS('NSE - NIFTY Index Options'!$M:$M,'NSE - NIFTY Index Options'!$C:$C,$A57,'NSE - NIFTY Index Options'!$B:$B,B$4,'NSE - NIFTY Index Options'!$I:$I,"Weekly*")+SUMIFS('NSE - NIFTY Index Options'!$M:$M,'NSE - NIFTY Index Options'!$C:$C,$A57,'NSE - NIFTY Index Options'!$B:$B,B$4,'NSE - NIFTY Index Options'!$I:$I,"MDAW*")+SUMIFS('NSE - Other Index Options'!$M:$M,'NSE - Other Index Options'!$C:$C,$A57,'NSE - Other Index Options'!$B:$B,B$4,'NSE - Other Index Options'!$I:$I,"Weekly*")+SUMIFS('NSE - Other Index Options'!$M:$M,'NSE - Other Index Options'!$C:$C,$A57,'NSE - Other Index Options'!$B:$B,B$4,'NSE - Other Index Options'!$I:$I,"MDAW*"))</f>
        <v/>
      </c>
      <c r="C57" s="26">
        <f>IF(SUMIFS('NSE - NIFTY Index Options'!$M:$M,'NSE - NIFTY Index Options'!$C:$C,$A57,'NSE - NIFTY Index Options'!$B:$B,C$4,'NSE - NIFTY Index Options'!$I:$I,"Weekly*")+SUMIFS('NSE - NIFTY Index Options'!$M:$M,'NSE - NIFTY Index Options'!$C:$C,$A57,'NSE - NIFTY Index Options'!$B:$B,C$4,'NSE - NIFTY Index Options'!$I:$I,"MDAW*")+SUMIFS('NSE - Other Index Options'!$M:$M,'NSE - Other Index Options'!$C:$C,$A57,'NSE - Other Index Options'!$B:$B,C$4,'NSE - Other Index Options'!$I:$I,"Weekly*")+SUMIFS('NSE - Other Index Options'!$M:$M,'NSE - Other Index Options'!$C:$C,$A57,'NSE - Other Index Options'!$B:$B,C$4,'NSE - Other Index Options'!$I:$I,"MDAW*")=0,"",SUMIFS('NSE - NIFTY Index Options'!$M:$M,'NSE - NIFTY Index Options'!$C:$C,$A57,'NSE - NIFTY Index Options'!$B:$B,C$4,'NSE - NIFTY Index Options'!$I:$I,"Weekly*")+SUMIFS('NSE - NIFTY Index Options'!$M:$M,'NSE - NIFTY Index Options'!$C:$C,$A57,'NSE - NIFTY Index Options'!$B:$B,C$4,'NSE - NIFTY Index Options'!$I:$I,"MDAW*")+SUMIFS('NSE - Other Index Options'!$M:$M,'NSE - Other Index Options'!$C:$C,$A57,'NSE - Other Index Options'!$B:$B,C$4,'NSE - Other Index Options'!$I:$I,"Weekly*")+SUMIFS('NSE - Other Index Options'!$M:$M,'NSE - Other Index Options'!$C:$C,$A57,'NSE - Other Index Options'!$B:$B,C$4,'NSE - Other Index Options'!$I:$I,"MDAW*"))</f>
        <v/>
      </c>
      <c r="D57" s="26">
        <f>IF(SUMIFS('NSE - NIFTY Index Options'!$M:$M,'NSE - NIFTY Index Options'!$C:$C,$A57,'NSE - NIFTY Index Options'!$B:$B,D$4,'NSE - NIFTY Index Options'!$I:$I,"Weekly*")+SUMIFS('NSE - NIFTY Index Options'!$M:$M,'NSE - NIFTY Index Options'!$C:$C,$A57,'NSE - NIFTY Index Options'!$B:$B,D$4,'NSE - NIFTY Index Options'!$I:$I,"MDAW*")+SUMIFS('NSE - Other Index Options'!$M:$M,'NSE - Other Index Options'!$C:$C,$A57,'NSE - Other Index Options'!$B:$B,D$4,'NSE - Other Index Options'!$I:$I,"Weekly*")+SUMIFS('NSE - Other Index Options'!$M:$M,'NSE - Other Index Options'!$C:$C,$A57,'NSE - Other Index Options'!$B:$B,D$4,'NSE - Other Index Options'!$I:$I,"MDAW*")=0,"",SUMIFS('NSE - NIFTY Index Options'!$M:$M,'NSE - NIFTY Index Options'!$C:$C,$A57,'NSE - NIFTY Index Options'!$B:$B,D$4,'NSE - NIFTY Index Options'!$I:$I,"Weekly*")+SUMIFS('NSE - NIFTY Index Options'!$M:$M,'NSE - NIFTY Index Options'!$C:$C,$A57,'NSE - NIFTY Index Options'!$B:$B,D$4,'NSE - NIFTY Index Options'!$I:$I,"MDAW*")+SUMIFS('NSE - Other Index Options'!$M:$M,'NSE - Other Index Options'!$C:$C,$A57,'NSE - Other Index Options'!$B:$B,D$4,'NSE - Other Index Options'!$I:$I,"Weekly*")+SUMIFS('NSE - Other Index Options'!$M:$M,'NSE - Other Index Options'!$C:$C,$A57,'NSE - Other Index Options'!$B:$B,D$4,'NSE - Other Index Options'!$I:$I,"MDAW*"))</f>
        <v/>
      </c>
      <c r="E57" s="26">
        <f>IF(SUMIFS('NSE - NIFTY Index Options'!$M:$M,'NSE - NIFTY Index Options'!$C:$C,$A57,'NSE - NIFTY Index Options'!$B:$B,E$4,'NSE - NIFTY Index Options'!$I:$I,"Weekly*")+SUMIFS('NSE - NIFTY Index Options'!$M:$M,'NSE - NIFTY Index Options'!$C:$C,$A57,'NSE - NIFTY Index Options'!$B:$B,E$4,'NSE - NIFTY Index Options'!$I:$I,"MDAW*")+SUMIFS('NSE - Other Index Options'!$M:$M,'NSE - Other Index Options'!$C:$C,$A57,'NSE - Other Index Options'!$B:$B,E$4,'NSE - Other Index Options'!$I:$I,"Weekly*")+SUMIFS('NSE - Other Index Options'!$M:$M,'NSE - Other Index Options'!$C:$C,$A57,'NSE - Other Index Options'!$B:$B,E$4,'NSE - Other Index Options'!$I:$I,"MDAW*")=0,"",SUMIFS('NSE - NIFTY Index Options'!$M:$M,'NSE - NIFTY Index Options'!$C:$C,$A57,'NSE - NIFTY Index Options'!$B:$B,E$4,'NSE - NIFTY Index Options'!$I:$I,"Weekly*")+SUMIFS('NSE - NIFTY Index Options'!$M:$M,'NSE - NIFTY Index Options'!$C:$C,$A57,'NSE - NIFTY Index Options'!$B:$B,E$4,'NSE - NIFTY Index Options'!$I:$I,"MDAW*")+SUMIFS('NSE - Other Index Options'!$M:$M,'NSE - Other Index Options'!$C:$C,$A57,'NSE - Other Index Options'!$B:$B,E$4,'NSE - Other Index Options'!$I:$I,"Weekly*")+SUMIFS('NSE - Other Index Options'!$M:$M,'NSE - Other Index Options'!$C:$C,$A57,'NSE - Other Index Options'!$B:$B,E$4,'NSE - Other Index Options'!$I:$I,"MDAW*"))</f>
        <v/>
      </c>
      <c r="F57" s="26">
        <f>IF(SUMIFS('NSE - NIFTY Index Options'!$M:$M,'NSE - NIFTY Index Options'!$C:$C,$A57,'NSE - NIFTY Index Options'!$B:$B,F$4,'NSE - NIFTY Index Options'!$I:$I,"Weekly*")+SUMIFS('NSE - NIFTY Index Options'!$M:$M,'NSE - NIFTY Index Options'!$C:$C,$A57,'NSE - NIFTY Index Options'!$B:$B,F$4,'NSE - NIFTY Index Options'!$I:$I,"MDAW*")+SUMIFS('NSE - Other Index Options'!$M:$M,'NSE - Other Index Options'!$C:$C,$A57,'NSE - Other Index Options'!$B:$B,F$4,'NSE - Other Index Options'!$I:$I,"Weekly*")+SUMIFS('NSE - Other Index Options'!$M:$M,'NSE - Other Index Options'!$C:$C,$A57,'NSE - Other Index Options'!$B:$B,F$4,'NSE - Other Index Options'!$I:$I,"MDAW*")=0,"",SUMIFS('NSE - NIFTY Index Options'!$M:$M,'NSE - NIFTY Index Options'!$C:$C,$A57,'NSE - NIFTY Index Options'!$B:$B,F$4,'NSE - NIFTY Index Options'!$I:$I,"Weekly*")+SUMIFS('NSE - NIFTY Index Options'!$M:$M,'NSE - NIFTY Index Options'!$C:$C,$A57,'NSE - NIFTY Index Options'!$B:$B,F$4,'NSE - NIFTY Index Options'!$I:$I,"MDAW*")+SUMIFS('NSE - Other Index Options'!$M:$M,'NSE - Other Index Options'!$C:$C,$A57,'NSE - Other Index Options'!$B:$B,F$4,'NSE - Other Index Options'!$I:$I,"Weekly*")+SUMIFS('NSE - Other Index Options'!$M:$M,'NSE - Other Index Options'!$C:$C,$A57,'NSE - Other Index Options'!$B:$B,F$4,'NSE - Other Index Options'!$I:$I,"MDAW*"))</f>
        <v/>
      </c>
      <c r="G57" s="26">
        <f>IF(SUMIFS('NSE - NIFTY Index Options'!$M:$M,'NSE - NIFTY Index Options'!$C:$C,$A57,'NSE - NIFTY Index Options'!$B:$B,G$4,'NSE - NIFTY Index Options'!$I:$I,"Weekly*")+SUMIFS('NSE - NIFTY Index Options'!$M:$M,'NSE - NIFTY Index Options'!$C:$C,$A57,'NSE - NIFTY Index Options'!$B:$B,G$4,'NSE - NIFTY Index Options'!$I:$I,"MDAW*")+SUMIFS('NSE - Other Index Options'!$M:$M,'NSE - Other Index Options'!$C:$C,$A57,'NSE - Other Index Options'!$B:$B,G$4,'NSE - Other Index Options'!$I:$I,"Weekly*")+SUMIFS('NSE - Other Index Options'!$M:$M,'NSE - Other Index Options'!$C:$C,$A57,'NSE - Other Index Options'!$B:$B,G$4,'NSE - Other Index Options'!$I:$I,"MDAW*")=0,"",SUMIFS('NSE - NIFTY Index Options'!$M:$M,'NSE - NIFTY Index Options'!$C:$C,$A57,'NSE - NIFTY Index Options'!$B:$B,G$4,'NSE - NIFTY Index Options'!$I:$I,"Weekly*")+SUMIFS('NSE - NIFTY Index Options'!$M:$M,'NSE - NIFTY Index Options'!$C:$C,$A57,'NSE - NIFTY Index Options'!$B:$B,G$4,'NSE - NIFTY Index Options'!$I:$I,"MDAW*")+SUMIFS('NSE - Other Index Options'!$M:$M,'NSE - Other Index Options'!$C:$C,$A57,'NSE - Other Index Options'!$B:$B,G$4,'NSE - Other Index Options'!$I:$I,"Weekly*")+SUMIFS('NSE - Other Index Options'!$M:$M,'NSE - Other Index Options'!$C:$C,$A57,'NSE - Other Index Options'!$B:$B,G$4,'NSE - Other Index Options'!$I:$I,"MDAW*"))</f>
        <v/>
      </c>
      <c r="H57" s="26">
        <f>IF(SUM(B57:G57)=0,"",SUM(B57:G57))</f>
        <v/>
      </c>
    </row>
    <row r="58">
      <c r="A58" t="inlineStr">
        <is>
          <t>Week5-Jul-2026</t>
        </is>
      </c>
      <c r="B58" s="26">
        <f>IF(SUMIFS('NSE - NIFTY Index Options'!$M:$M,'NSE - NIFTY Index Options'!$C:$C,$A58,'NSE - NIFTY Index Options'!$B:$B,B$4,'NSE - NIFTY Index Options'!$I:$I,"Weekly*")+SUMIFS('NSE - NIFTY Index Options'!$M:$M,'NSE - NIFTY Index Options'!$C:$C,$A58,'NSE - NIFTY Index Options'!$B:$B,B$4,'NSE - NIFTY Index Options'!$I:$I,"MDAW*")+SUMIFS('NSE - Other Index Options'!$M:$M,'NSE - Other Index Options'!$C:$C,$A58,'NSE - Other Index Options'!$B:$B,B$4,'NSE - Other Index Options'!$I:$I,"Weekly*")+SUMIFS('NSE - Other Index Options'!$M:$M,'NSE - Other Index Options'!$C:$C,$A58,'NSE - Other Index Options'!$B:$B,B$4,'NSE - Other Index Options'!$I:$I,"MDAW*")=0,"",SUMIFS('NSE - NIFTY Index Options'!$M:$M,'NSE - NIFTY Index Options'!$C:$C,$A58,'NSE - NIFTY Index Options'!$B:$B,B$4,'NSE - NIFTY Index Options'!$I:$I,"Weekly*")+SUMIFS('NSE - NIFTY Index Options'!$M:$M,'NSE - NIFTY Index Options'!$C:$C,$A58,'NSE - NIFTY Index Options'!$B:$B,B$4,'NSE - NIFTY Index Options'!$I:$I,"MDAW*")+SUMIFS('NSE - Other Index Options'!$M:$M,'NSE - Other Index Options'!$C:$C,$A58,'NSE - Other Index Options'!$B:$B,B$4,'NSE - Other Index Options'!$I:$I,"Weekly*")+SUMIFS('NSE - Other Index Options'!$M:$M,'NSE - Other Index Options'!$C:$C,$A58,'NSE - Other Index Options'!$B:$B,B$4,'NSE - Other Index Options'!$I:$I,"MDAW*"))</f>
        <v/>
      </c>
      <c r="C58" s="26">
        <f>IF(SUMIFS('NSE - NIFTY Index Options'!$M:$M,'NSE - NIFTY Index Options'!$C:$C,$A58,'NSE - NIFTY Index Options'!$B:$B,C$4,'NSE - NIFTY Index Options'!$I:$I,"Weekly*")+SUMIFS('NSE - NIFTY Index Options'!$M:$M,'NSE - NIFTY Index Options'!$C:$C,$A58,'NSE - NIFTY Index Options'!$B:$B,C$4,'NSE - NIFTY Index Options'!$I:$I,"MDAW*")+SUMIFS('NSE - Other Index Options'!$M:$M,'NSE - Other Index Options'!$C:$C,$A58,'NSE - Other Index Options'!$B:$B,C$4,'NSE - Other Index Options'!$I:$I,"Weekly*")+SUMIFS('NSE - Other Index Options'!$M:$M,'NSE - Other Index Options'!$C:$C,$A58,'NSE - Other Index Options'!$B:$B,C$4,'NSE - Other Index Options'!$I:$I,"MDAW*")=0,"",SUMIFS('NSE - NIFTY Index Options'!$M:$M,'NSE - NIFTY Index Options'!$C:$C,$A58,'NSE - NIFTY Index Options'!$B:$B,C$4,'NSE - NIFTY Index Options'!$I:$I,"Weekly*")+SUMIFS('NSE - NIFTY Index Options'!$M:$M,'NSE - NIFTY Index Options'!$C:$C,$A58,'NSE - NIFTY Index Options'!$B:$B,C$4,'NSE - NIFTY Index Options'!$I:$I,"MDAW*")+SUMIFS('NSE - Other Index Options'!$M:$M,'NSE - Other Index Options'!$C:$C,$A58,'NSE - Other Index Options'!$B:$B,C$4,'NSE - Other Index Options'!$I:$I,"Weekly*")+SUMIFS('NSE - Other Index Options'!$M:$M,'NSE - Other Index Options'!$C:$C,$A58,'NSE - Other Index Options'!$B:$B,C$4,'NSE - Other Index Options'!$I:$I,"MDAW*"))</f>
        <v/>
      </c>
      <c r="D58" s="26">
        <f>IF(SUMIFS('NSE - NIFTY Index Options'!$M:$M,'NSE - NIFTY Index Options'!$C:$C,$A58,'NSE - NIFTY Index Options'!$B:$B,D$4,'NSE - NIFTY Index Options'!$I:$I,"Weekly*")+SUMIFS('NSE - NIFTY Index Options'!$M:$M,'NSE - NIFTY Index Options'!$C:$C,$A58,'NSE - NIFTY Index Options'!$B:$B,D$4,'NSE - NIFTY Index Options'!$I:$I,"MDAW*")+SUMIFS('NSE - Other Index Options'!$M:$M,'NSE - Other Index Options'!$C:$C,$A58,'NSE - Other Index Options'!$B:$B,D$4,'NSE - Other Index Options'!$I:$I,"Weekly*")+SUMIFS('NSE - Other Index Options'!$M:$M,'NSE - Other Index Options'!$C:$C,$A58,'NSE - Other Index Options'!$B:$B,D$4,'NSE - Other Index Options'!$I:$I,"MDAW*")=0,"",SUMIFS('NSE - NIFTY Index Options'!$M:$M,'NSE - NIFTY Index Options'!$C:$C,$A58,'NSE - NIFTY Index Options'!$B:$B,D$4,'NSE - NIFTY Index Options'!$I:$I,"Weekly*")+SUMIFS('NSE - NIFTY Index Options'!$M:$M,'NSE - NIFTY Index Options'!$C:$C,$A58,'NSE - NIFTY Index Options'!$B:$B,D$4,'NSE - NIFTY Index Options'!$I:$I,"MDAW*")+SUMIFS('NSE - Other Index Options'!$M:$M,'NSE - Other Index Options'!$C:$C,$A58,'NSE - Other Index Options'!$B:$B,D$4,'NSE - Other Index Options'!$I:$I,"Weekly*")+SUMIFS('NSE - Other Index Options'!$M:$M,'NSE - Other Index Options'!$C:$C,$A58,'NSE - Other Index Options'!$B:$B,D$4,'NSE - Other Index Options'!$I:$I,"MDAW*"))</f>
        <v/>
      </c>
      <c r="E58" s="26">
        <f>IF(SUMIFS('NSE - NIFTY Index Options'!$M:$M,'NSE - NIFTY Index Options'!$C:$C,$A58,'NSE - NIFTY Index Options'!$B:$B,E$4,'NSE - NIFTY Index Options'!$I:$I,"Weekly*")+SUMIFS('NSE - NIFTY Index Options'!$M:$M,'NSE - NIFTY Index Options'!$C:$C,$A58,'NSE - NIFTY Index Options'!$B:$B,E$4,'NSE - NIFTY Index Options'!$I:$I,"MDAW*")+SUMIFS('NSE - Other Index Options'!$M:$M,'NSE - Other Index Options'!$C:$C,$A58,'NSE - Other Index Options'!$B:$B,E$4,'NSE - Other Index Options'!$I:$I,"Weekly*")+SUMIFS('NSE - Other Index Options'!$M:$M,'NSE - Other Index Options'!$C:$C,$A58,'NSE - Other Index Options'!$B:$B,E$4,'NSE - Other Index Options'!$I:$I,"MDAW*")=0,"",SUMIFS('NSE - NIFTY Index Options'!$M:$M,'NSE - NIFTY Index Options'!$C:$C,$A58,'NSE - NIFTY Index Options'!$B:$B,E$4,'NSE - NIFTY Index Options'!$I:$I,"Weekly*")+SUMIFS('NSE - NIFTY Index Options'!$M:$M,'NSE - NIFTY Index Options'!$C:$C,$A58,'NSE - NIFTY Index Options'!$B:$B,E$4,'NSE - NIFTY Index Options'!$I:$I,"MDAW*")+SUMIFS('NSE - Other Index Options'!$M:$M,'NSE - Other Index Options'!$C:$C,$A58,'NSE - Other Index Options'!$B:$B,E$4,'NSE - Other Index Options'!$I:$I,"Weekly*")+SUMIFS('NSE - Other Index Options'!$M:$M,'NSE - Other Index Options'!$C:$C,$A58,'NSE - Other Index Options'!$B:$B,E$4,'NSE - Other Index Options'!$I:$I,"MDAW*"))</f>
        <v/>
      </c>
      <c r="F58" s="26">
        <f>IF(SUMIFS('NSE - NIFTY Index Options'!$M:$M,'NSE - NIFTY Index Options'!$C:$C,$A58,'NSE - NIFTY Index Options'!$B:$B,F$4,'NSE - NIFTY Index Options'!$I:$I,"Weekly*")+SUMIFS('NSE - NIFTY Index Options'!$M:$M,'NSE - NIFTY Index Options'!$C:$C,$A58,'NSE - NIFTY Index Options'!$B:$B,F$4,'NSE - NIFTY Index Options'!$I:$I,"MDAW*")+SUMIFS('NSE - Other Index Options'!$M:$M,'NSE - Other Index Options'!$C:$C,$A58,'NSE - Other Index Options'!$B:$B,F$4,'NSE - Other Index Options'!$I:$I,"Weekly*")+SUMIFS('NSE - Other Index Options'!$M:$M,'NSE - Other Index Options'!$C:$C,$A58,'NSE - Other Index Options'!$B:$B,F$4,'NSE - Other Index Options'!$I:$I,"MDAW*")=0,"",SUMIFS('NSE - NIFTY Index Options'!$M:$M,'NSE - NIFTY Index Options'!$C:$C,$A58,'NSE - NIFTY Index Options'!$B:$B,F$4,'NSE - NIFTY Index Options'!$I:$I,"Weekly*")+SUMIFS('NSE - NIFTY Index Options'!$M:$M,'NSE - NIFTY Index Options'!$C:$C,$A58,'NSE - NIFTY Index Options'!$B:$B,F$4,'NSE - NIFTY Index Options'!$I:$I,"MDAW*")+SUMIFS('NSE - Other Index Options'!$M:$M,'NSE - Other Index Options'!$C:$C,$A58,'NSE - Other Index Options'!$B:$B,F$4,'NSE - Other Index Options'!$I:$I,"Weekly*")+SUMIFS('NSE - Other Index Options'!$M:$M,'NSE - Other Index Options'!$C:$C,$A58,'NSE - Other Index Options'!$B:$B,F$4,'NSE - Other Index Options'!$I:$I,"MDAW*"))</f>
        <v/>
      </c>
      <c r="G58" s="26">
        <f>IF(SUMIFS('NSE - NIFTY Index Options'!$M:$M,'NSE - NIFTY Index Options'!$C:$C,$A58,'NSE - NIFTY Index Options'!$B:$B,G$4,'NSE - NIFTY Index Options'!$I:$I,"Weekly*")+SUMIFS('NSE - NIFTY Index Options'!$M:$M,'NSE - NIFTY Index Options'!$C:$C,$A58,'NSE - NIFTY Index Options'!$B:$B,G$4,'NSE - NIFTY Index Options'!$I:$I,"MDAW*")+SUMIFS('NSE - Other Index Options'!$M:$M,'NSE - Other Index Options'!$C:$C,$A58,'NSE - Other Index Options'!$B:$B,G$4,'NSE - Other Index Options'!$I:$I,"Weekly*")+SUMIFS('NSE - Other Index Options'!$M:$M,'NSE - Other Index Options'!$C:$C,$A58,'NSE - Other Index Options'!$B:$B,G$4,'NSE - Other Index Options'!$I:$I,"MDAW*")=0,"",SUMIFS('NSE - NIFTY Index Options'!$M:$M,'NSE - NIFTY Index Options'!$C:$C,$A58,'NSE - NIFTY Index Options'!$B:$B,G$4,'NSE - NIFTY Index Options'!$I:$I,"Weekly*")+SUMIFS('NSE - NIFTY Index Options'!$M:$M,'NSE - NIFTY Index Options'!$C:$C,$A58,'NSE - NIFTY Index Options'!$B:$B,G$4,'NSE - NIFTY Index Options'!$I:$I,"MDAW*")+SUMIFS('NSE - Other Index Options'!$M:$M,'NSE - Other Index Options'!$C:$C,$A58,'NSE - Other Index Options'!$B:$B,G$4,'NSE - Other Index Options'!$I:$I,"Weekly*")+SUMIFS('NSE - Other Index Options'!$M:$M,'NSE - Other Index Options'!$C:$C,$A58,'NSE - Other Index Options'!$B:$B,G$4,'NSE - Other Index Options'!$I:$I,"MDAW*"))</f>
        <v/>
      </c>
      <c r="H58" s="26">
        <f>IF(SUM(B58:G58)=0,"",SUM(B58:G58))</f>
        <v/>
      </c>
    </row>
    <row r="59">
      <c r="A59" t="inlineStr">
        <is>
          <t>Week1-Aug-2026</t>
        </is>
      </c>
      <c r="B59" s="26">
        <f>IF(SUMIFS('NSE - NIFTY Index Options'!$M:$M,'NSE - NIFTY Index Options'!$C:$C,$A59,'NSE - NIFTY Index Options'!$B:$B,B$4,'NSE - NIFTY Index Options'!$I:$I,"Weekly*")+SUMIFS('NSE - NIFTY Index Options'!$M:$M,'NSE - NIFTY Index Options'!$C:$C,$A59,'NSE - NIFTY Index Options'!$B:$B,B$4,'NSE - NIFTY Index Options'!$I:$I,"MDAW*")+SUMIFS('NSE - Other Index Options'!$M:$M,'NSE - Other Index Options'!$C:$C,$A59,'NSE - Other Index Options'!$B:$B,B$4,'NSE - Other Index Options'!$I:$I,"Weekly*")+SUMIFS('NSE - Other Index Options'!$M:$M,'NSE - Other Index Options'!$C:$C,$A59,'NSE - Other Index Options'!$B:$B,B$4,'NSE - Other Index Options'!$I:$I,"MDAW*")=0,"",SUMIFS('NSE - NIFTY Index Options'!$M:$M,'NSE - NIFTY Index Options'!$C:$C,$A59,'NSE - NIFTY Index Options'!$B:$B,B$4,'NSE - NIFTY Index Options'!$I:$I,"Weekly*")+SUMIFS('NSE - NIFTY Index Options'!$M:$M,'NSE - NIFTY Index Options'!$C:$C,$A59,'NSE - NIFTY Index Options'!$B:$B,B$4,'NSE - NIFTY Index Options'!$I:$I,"MDAW*")+SUMIFS('NSE - Other Index Options'!$M:$M,'NSE - Other Index Options'!$C:$C,$A59,'NSE - Other Index Options'!$B:$B,B$4,'NSE - Other Index Options'!$I:$I,"Weekly*")+SUMIFS('NSE - Other Index Options'!$M:$M,'NSE - Other Index Options'!$C:$C,$A59,'NSE - Other Index Options'!$B:$B,B$4,'NSE - Other Index Options'!$I:$I,"MDAW*"))</f>
        <v/>
      </c>
      <c r="C59" s="26">
        <f>IF(SUMIFS('NSE - NIFTY Index Options'!$M:$M,'NSE - NIFTY Index Options'!$C:$C,$A59,'NSE - NIFTY Index Options'!$B:$B,C$4,'NSE - NIFTY Index Options'!$I:$I,"Weekly*")+SUMIFS('NSE - NIFTY Index Options'!$M:$M,'NSE - NIFTY Index Options'!$C:$C,$A59,'NSE - NIFTY Index Options'!$B:$B,C$4,'NSE - NIFTY Index Options'!$I:$I,"MDAW*")+SUMIFS('NSE - Other Index Options'!$M:$M,'NSE - Other Index Options'!$C:$C,$A59,'NSE - Other Index Options'!$B:$B,C$4,'NSE - Other Index Options'!$I:$I,"Weekly*")+SUMIFS('NSE - Other Index Options'!$M:$M,'NSE - Other Index Options'!$C:$C,$A59,'NSE - Other Index Options'!$B:$B,C$4,'NSE - Other Index Options'!$I:$I,"MDAW*")=0,"",SUMIFS('NSE - NIFTY Index Options'!$M:$M,'NSE - NIFTY Index Options'!$C:$C,$A59,'NSE - NIFTY Index Options'!$B:$B,C$4,'NSE - NIFTY Index Options'!$I:$I,"Weekly*")+SUMIFS('NSE - NIFTY Index Options'!$M:$M,'NSE - NIFTY Index Options'!$C:$C,$A59,'NSE - NIFTY Index Options'!$B:$B,C$4,'NSE - NIFTY Index Options'!$I:$I,"MDAW*")+SUMIFS('NSE - Other Index Options'!$M:$M,'NSE - Other Index Options'!$C:$C,$A59,'NSE - Other Index Options'!$B:$B,C$4,'NSE - Other Index Options'!$I:$I,"Weekly*")+SUMIFS('NSE - Other Index Options'!$M:$M,'NSE - Other Index Options'!$C:$C,$A59,'NSE - Other Index Options'!$B:$B,C$4,'NSE - Other Index Options'!$I:$I,"MDAW*"))</f>
        <v/>
      </c>
      <c r="D59" s="26">
        <f>IF(SUMIFS('NSE - NIFTY Index Options'!$M:$M,'NSE - NIFTY Index Options'!$C:$C,$A59,'NSE - NIFTY Index Options'!$B:$B,D$4,'NSE - NIFTY Index Options'!$I:$I,"Weekly*")+SUMIFS('NSE - NIFTY Index Options'!$M:$M,'NSE - NIFTY Index Options'!$C:$C,$A59,'NSE - NIFTY Index Options'!$B:$B,D$4,'NSE - NIFTY Index Options'!$I:$I,"MDAW*")+SUMIFS('NSE - Other Index Options'!$M:$M,'NSE - Other Index Options'!$C:$C,$A59,'NSE - Other Index Options'!$B:$B,D$4,'NSE - Other Index Options'!$I:$I,"Weekly*")+SUMIFS('NSE - Other Index Options'!$M:$M,'NSE - Other Index Options'!$C:$C,$A59,'NSE - Other Index Options'!$B:$B,D$4,'NSE - Other Index Options'!$I:$I,"MDAW*")=0,"",SUMIFS('NSE - NIFTY Index Options'!$M:$M,'NSE - NIFTY Index Options'!$C:$C,$A59,'NSE - NIFTY Index Options'!$B:$B,D$4,'NSE - NIFTY Index Options'!$I:$I,"Weekly*")+SUMIFS('NSE - NIFTY Index Options'!$M:$M,'NSE - NIFTY Index Options'!$C:$C,$A59,'NSE - NIFTY Index Options'!$B:$B,D$4,'NSE - NIFTY Index Options'!$I:$I,"MDAW*")+SUMIFS('NSE - Other Index Options'!$M:$M,'NSE - Other Index Options'!$C:$C,$A59,'NSE - Other Index Options'!$B:$B,D$4,'NSE - Other Index Options'!$I:$I,"Weekly*")+SUMIFS('NSE - Other Index Options'!$M:$M,'NSE - Other Index Options'!$C:$C,$A59,'NSE - Other Index Options'!$B:$B,D$4,'NSE - Other Index Options'!$I:$I,"MDAW*"))</f>
        <v/>
      </c>
      <c r="E59" s="26">
        <f>IF(SUMIFS('NSE - NIFTY Index Options'!$M:$M,'NSE - NIFTY Index Options'!$C:$C,$A59,'NSE - NIFTY Index Options'!$B:$B,E$4,'NSE - NIFTY Index Options'!$I:$I,"Weekly*")+SUMIFS('NSE - NIFTY Index Options'!$M:$M,'NSE - NIFTY Index Options'!$C:$C,$A59,'NSE - NIFTY Index Options'!$B:$B,E$4,'NSE - NIFTY Index Options'!$I:$I,"MDAW*")+SUMIFS('NSE - Other Index Options'!$M:$M,'NSE - Other Index Options'!$C:$C,$A59,'NSE - Other Index Options'!$B:$B,E$4,'NSE - Other Index Options'!$I:$I,"Weekly*")+SUMIFS('NSE - Other Index Options'!$M:$M,'NSE - Other Index Options'!$C:$C,$A59,'NSE - Other Index Options'!$B:$B,E$4,'NSE - Other Index Options'!$I:$I,"MDAW*")=0,"",SUMIFS('NSE - NIFTY Index Options'!$M:$M,'NSE - NIFTY Index Options'!$C:$C,$A59,'NSE - NIFTY Index Options'!$B:$B,E$4,'NSE - NIFTY Index Options'!$I:$I,"Weekly*")+SUMIFS('NSE - NIFTY Index Options'!$M:$M,'NSE - NIFTY Index Options'!$C:$C,$A59,'NSE - NIFTY Index Options'!$B:$B,E$4,'NSE - NIFTY Index Options'!$I:$I,"MDAW*")+SUMIFS('NSE - Other Index Options'!$M:$M,'NSE - Other Index Options'!$C:$C,$A59,'NSE - Other Index Options'!$B:$B,E$4,'NSE - Other Index Options'!$I:$I,"Weekly*")+SUMIFS('NSE - Other Index Options'!$M:$M,'NSE - Other Index Options'!$C:$C,$A59,'NSE - Other Index Options'!$B:$B,E$4,'NSE - Other Index Options'!$I:$I,"MDAW*"))</f>
        <v/>
      </c>
      <c r="F59" s="26">
        <f>IF(SUMIFS('NSE - NIFTY Index Options'!$M:$M,'NSE - NIFTY Index Options'!$C:$C,$A59,'NSE - NIFTY Index Options'!$B:$B,F$4,'NSE - NIFTY Index Options'!$I:$I,"Weekly*")+SUMIFS('NSE - NIFTY Index Options'!$M:$M,'NSE - NIFTY Index Options'!$C:$C,$A59,'NSE - NIFTY Index Options'!$B:$B,F$4,'NSE - NIFTY Index Options'!$I:$I,"MDAW*")+SUMIFS('NSE - Other Index Options'!$M:$M,'NSE - Other Index Options'!$C:$C,$A59,'NSE - Other Index Options'!$B:$B,F$4,'NSE - Other Index Options'!$I:$I,"Weekly*")+SUMIFS('NSE - Other Index Options'!$M:$M,'NSE - Other Index Options'!$C:$C,$A59,'NSE - Other Index Options'!$B:$B,F$4,'NSE - Other Index Options'!$I:$I,"MDAW*")=0,"",SUMIFS('NSE - NIFTY Index Options'!$M:$M,'NSE - NIFTY Index Options'!$C:$C,$A59,'NSE - NIFTY Index Options'!$B:$B,F$4,'NSE - NIFTY Index Options'!$I:$I,"Weekly*")+SUMIFS('NSE - NIFTY Index Options'!$M:$M,'NSE - NIFTY Index Options'!$C:$C,$A59,'NSE - NIFTY Index Options'!$B:$B,F$4,'NSE - NIFTY Index Options'!$I:$I,"MDAW*")+SUMIFS('NSE - Other Index Options'!$M:$M,'NSE - Other Index Options'!$C:$C,$A59,'NSE - Other Index Options'!$B:$B,F$4,'NSE - Other Index Options'!$I:$I,"Weekly*")+SUMIFS('NSE - Other Index Options'!$M:$M,'NSE - Other Index Options'!$C:$C,$A59,'NSE - Other Index Options'!$B:$B,F$4,'NSE - Other Index Options'!$I:$I,"MDAW*"))</f>
        <v/>
      </c>
      <c r="G59" s="26">
        <f>IF(SUMIFS('NSE - NIFTY Index Options'!$M:$M,'NSE - NIFTY Index Options'!$C:$C,$A59,'NSE - NIFTY Index Options'!$B:$B,G$4,'NSE - NIFTY Index Options'!$I:$I,"Weekly*")+SUMIFS('NSE - NIFTY Index Options'!$M:$M,'NSE - NIFTY Index Options'!$C:$C,$A59,'NSE - NIFTY Index Options'!$B:$B,G$4,'NSE - NIFTY Index Options'!$I:$I,"MDAW*")+SUMIFS('NSE - Other Index Options'!$M:$M,'NSE - Other Index Options'!$C:$C,$A59,'NSE - Other Index Options'!$B:$B,G$4,'NSE - Other Index Options'!$I:$I,"Weekly*")+SUMIFS('NSE - Other Index Options'!$M:$M,'NSE - Other Index Options'!$C:$C,$A59,'NSE - Other Index Options'!$B:$B,G$4,'NSE - Other Index Options'!$I:$I,"MDAW*")=0,"",SUMIFS('NSE - NIFTY Index Options'!$M:$M,'NSE - NIFTY Index Options'!$C:$C,$A59,'NSE - NIFTY Index Options'!$B:$B,G$4,'NSE - NIFTY Index Options'!$I:$I,"Weekly*")+SUMIFS('NSE - NIFTY Index Options'!$M:$M,'NSE - NIFTY Index Options'!$C:$C,$A59,'NSE - NIFTY Index Options'!$B:$B,G$4,'NSE - NIFTY Index Options'!$I:$I,"MDAW*")+SUMIFS('NSE - Other Index Options'!$M:$M,'NSE - Other Index Options'!$C:$C,$A59,'NSE - Other Index Options'!$B:$B,G$4,'NSE - Other Index Options'!$I:$I,"Weekly*")+SUMIFS('NSE - Other Index Options'!$M:$M,'NSE - Other Index Options'!$C:$C,$A59,'NSE - Other Index Options'!$B:$B,G$4,'NSE - Other Index Options'!$I:$I,"MDAW*"))</f>
        <v/>
      </c>
      <c r="H59" s="26">
        <f>IF(SUM(B59:G59)=0,"",SUM(B59:G59))</f>
        <v/>
      </c>
    </row>
    <row r="60" hidden="1" outlineLevel="1">
      <c r="A60" t="inlineStr">
        <is>
          <t>Week2-Aug-2026</t>
        </is>
      </c>
      <c r="B60" s="26">
        <f>IF(SUMIFS('NSE - NIFTY Index Options'!$M:$M,'NSE - NIFTY Index Options'!$C:$C,$A60,'NSE - NIFTY Index Options'!$B:$B,B$4,'NSE - NIFTY Index Options'!$I:$I,"Weekly*")+SUMIFS('NSE - NIFTY Index Options'!$M:$M,'NSE - NIFTY Index Options'!$C:$C,$A60,'NSE - NIFTY Index Options'!$B:$B,B$4,'NSE - NIFTY Index Options'!$I:$I,"MDAW*")+SUMIFS('NSE - Other Index Options'!$M:$M,'NSE - Other Index Options'!$C:$C,$A60,'NSE - Other Index Options'!$B:$B,B$4,'NSE - Other Index Options'!$I:$I,"Weekly*")+SUMIFS('NSE - Other Index Options'!$M:$M,'NSE - Other Index Options'!$C:$C,$A60,'NSE - Other Index Options'!$B:$B,B$4,'NSE - Other Index Options'!$I:$I,"MDAW*")=0,"",SUMIFS('NSE - NIFTY Index Options'!$M:$M,'NSE - NIFTY Index Options'!$C:$C,$A60,'NSE - NIFTY Index Options'!$B:$B,B$4,'NSE - NIFTY Index Options'!$I:$I,"Weekly*")+SUMIFS('NSE - NIFTY Index Options'!$M:$M,'NSE - NIFTY Index Options'!$C:$C,$A60,'NSE - NIFTY Index Options'!$B:$B,B$4,'NSE - NIFTY Index Options'!$I:$I,"MDAW*")+SUMIFS('NSE - Other Index Options'!$M:$M,'NSE - Other Index Options'!$C:$C,$A60,'NSE - Other Index Options'!$B:$B,B$4,'NSE - Other Index Options'!$I:$I,"Weekly*")+SUMIFS('NSE - Other Index Options'!$M:$M,'NSE - Other Index Options'!$C:$C,$A60,'NSE - Other Index Options'!$B:$B,B$4,'NSE - Other Index Options'!$I:$I,"MDAW*"))</f>
        <v/>
      </c>
      <c r="C60" s="26">
        <f>IF(SUMIFS('NSE - NIFTY Index Options'!$M:$M,'NSE - NIFTY Index Options'!$C:$C,$A60,'NSE - NIFTY Index Options'!$B:$B,C$4,'NSE - NIFTY Index Options'!$I:$I,"Weekly*")+SUMIFS('NSE - NIFTY Index Options'!$M:$M,'NSE - NIFTY Index Options'!$C:$C,$A60,'NSE - NIFTY Index Options'!$B:$B,C$4,'NSE - NIFTY Index Options'!$I:$I,"MDAW*")+SUMIFS('NSE - Other Index Options'!$M:$M,'NSE - Other Index Options'!$C:$C,$A60,'NSE - Other Index Options'!$B:$B,C$4,'NSE - Other Index Options'!$I:$I,"Weekly*")+SUMIFS('NSE - Other Index Options'!$M:$M,'NSE - Other Index Options'!$C:$C,$A60,'NSE - Other Index Options'!$B:$B,C$4,'NSE - Other Index Options'!$I:$I,"MDAW*")=0,"",SUMIFS('NSE - NIFTY Index Options'!$M:$M,'NSE - NIFTY Index Options'!$C:$C,$A60,'NSE - NIFTY Index Options'!$B:$B,C$4,'NSE - NIFTY Index Options'!$I:$I,"Weekly*")+SUMIFS('NSE - NIFTY Index Options'!$M:$M,'NSE - NIFTY Index Options'!$C:$C,$A60,'NSE - NIFTY Index Options'!$B:$B,C$4,'NSE - NIFTY Index Options'!$I:$I,"MDAW*")+SUMIFS('NSE - Other Index Options'!$M:$M,'NSE - Other Index Options'!$C:$C,$A60,'NSE - Other Index Options'!$B:$B,C$4,'NSE - Other Index Options'!$I:$I,"Weekly*")+SUMIFS('NSE - Other Index Options'!$M:$M,'NSE - Other Index Options'!$C:$C,$A60,'NSE - Other Index Options'!$B:$B,C$4,'NSE - Other Index Options'!$I:$I,"MDAW*"))</f>
        <v/>
      </c>
      <c r="D60" s="26">
        <f>IF(SUMIFS('NSE - NIFTY Index Options'!$M:$M,'NSE - NIFTY Index Options'!$C:$C,$A60,'NSE - NIFTY Index Options'!$B:$B,D$4,'NSE - NIFTY Index Options'!$I:$I,"Weekly*")+SUMIFS('NSE - NIFTY Index Options'!$M:$M,'NSE - NIFTY Index Options'!$C:$C,$A60,'NSE - NIFTY Index Options'!$B:$B,D$4,'NSE - NIFTY Index Options'!$I:$I,"MDAW*")+SUMIFS('NSE - Other Index Options'!$M:$M,'NSE - Other Index Options'!$C:$C,$A60,'NSE - Other Index Options'!$B:$B,D$4,'NSE - Other Index Options'!$I:$I,"Weekly*")+SUMIFS('NSE - Other Index Options'!$M:$M,'NSE - Other Index Options'!$C:$C,$A60,'NSE - Other Index Options'!$B:$B,D$4,'NSE - Other Index Options'!$I:$I,"MDAW*")=0,"",SUMIFS('NSE - NIFTY Index Options'!$M:$M,'NSE - NIFTY Index Options'!$C:$C,$A60,'NSE - NIFTY Index Options'!$B:$B,D$4,'NSE - NIFTY Index Options'!$I:$I,"Weekly*")+SUMIFS('NSE - NIFTY Index Options'!$M:$M,'NSE - NIFTY Index Options'!$C:$C,$A60,'NSE - NIFTY Index Options'!$B:$B,D$4,'NSE - NIFTY Index Options'!$I:$I,"MDAW*")+SUMIFS('NSE - Other Index Options'!$M:$M,'NSE - Other Index Options'!$C:$C,$A60,'NSE - Other Index Options'!$B:$B,D$4,'NSE - Other Index Options'!$I:$I,"Weekly*")+SUMIFS('NSE - Other Index Options'!$M:$M,'NSE - Other Index Options'!$C:$C,$A60,'NSE - Other Index Options'!$B:$B,D$4,'NSE - Other Index Options'!$I:$I,"MDAW*"))</f>
        <v/>
      </c>
      <c r="E60" s="26">
        <f>IF(SUMIFS('NSE - NIFTY Index Options'!$M:$M,'NSE - NIFTY Index Options'!$C:$C,$A60,'NSE - NIFTY Index Options'!$B:$B,E$4,'NSE - NIFTY Index Options'!$I:$I,"Weekly*")+SUMIFS('NSE - NIFTY Index Options'!$M:$M,'NSE - NIFTY Index Options'!$C:$C,$A60,'NSE - NIFTY Index Options'!$B:$B,E$4,'NSE - NIFTY Index Options'!$I:$I,"MDAW*")+SUMIFS('NSE - Other Index Options'!$M:$M,'NSE - Other Index Options'!$C:$C,$A60,'NSE - Other Index Options'!$B:$B,E$4,'NSE - Other Index Options'!$I:$I,"Weekly*")+SUMIFS('NSE - Other Index Options'!$M:$M,'NSE - Other Index Options'!$C:$C,$A60,'NSE - Other Index Options'!$B:$B,E$4,'NSE - Other Index Options'!$I:$I,"MDAW*")=0,"",SUMIFS('NSE - NIFTY Index Options'!$M:$M,'NSE - NIFTY Index Options'!$C:$C,$A60,'NSE - NIFTY Index Options'!$B:$B,E$4,'NSE - NIFTY Index Options'!$I:$I,"Weekly*")+SUMIFS('NSE - NIFTY Index Options'!$M:$M,'NSE - NIFTY Index Options'!$C:$C,$A60,'NSE - NIFTY Index Options'!$B:$B,E$4,'NSE - NIFTY Index Options'!$I:$I,"MDAW*")+SUMIFS('NSE - Other Index Options'!$M:$M,'NSE - Other Index Options'!$C:$C,$A60,'NSE - Other Index Options'!$B:$B,E$4,'NSE - Other Index Options'!$I:$I,"Weekly*")+SUMIFS('NSE - Other Index Options'!$M:$M,'NSE - Other Index Options'!$C:$C,$A60,'NSE - Other Index Options'!$B:$B,E$4,'NSE - Other Index Options'!$I:$I,"MDAW*"))</f>
        <v/>
      </c>
      <c r="F60" s="26">
        <f>IF(SUMIFS('NSE - NIFTY Index Options'!$M:$M,'NSE - NIFTY Index Options'!$C:$C,$A60,'NSE - NIFTY Index Options'!$B:$B,F$4,'NSE - NIFTY Index Options'!$I:$I,"Weekly*")+SUMIFS('NSE - NIFTY Index Options'!$M:$M,'NSE - NIFTY Index Options'!$C:$C,$A60,'NSE - NIFTY Index Options'!$B:$B,F$4,'NSE - NIFTY Index Options'!$I:$I,"MDAW*")+SUMIFS('NSE - Other Index Options'!$M:$M,'NSE - Other Index Options'!$C:$C,$A60,'NSE - Other Index Options'!$B:$B,F$4,'NSE - Other Index Options'!$I:$I,"Weekly*")+SUMIFS('NSE - Other Index Options'!$M:$M,'NSE - Other Index Options'!$C:$C,$A60,'NSE - Other Index Options'!$B:$B,F$4,'NSE - Other Index Options'!$I:$I,"MDAW*")=0,"",SUMIFS('NSE - NIFTY Index Options'!$M:$M,'NSE - NIFTY Index Options'!$C:$C,$A60,'NSE - NIFTY Index Options'!$B:$B,F$4,'NSE - NIFTY Index Options'!$I:$I,"Weekly*")+SUMIFS('NSE - NIFTY Index Options'!$M:$M,'NSE - NIFTY Index Options'!$C:$C,$A60,'NSE - NIFTY Index Options'!$B:$B,F$4,'NSE - NIFTY Index Options'!$I:$I,"MDAW*")+SUMIFS('NSE - Other Index Options'!$M:$M,'NSE - Other Index Options'!$C:$C,$A60,'NSE - Other Index Options'!$B:$B,F$4,'NSE - Other Index Options'!$I:$I,"Weekly*")+SUMIFS('NSE - Other Index Options'!$M:$M,'NSE - Other Index Options'!$C:$C,$A60,'NSE - Other Index Options'!$B:$B,F$4,'NSE - Other Index Options'!$I:$I,"MDAW*"))</f>
        <v/>
      </c>
      <c r="G60" s="26">
        <f>IF(SUMIFS('NSE - NIFTY Index Options'!$M:$M,'NSE - NIFTY Index Options'!$C:$C,$A60,'NSE - NIFTY Index Options'!$B:$B,G$4,'NSE - NIFTY Index Options'!$I:$I,"Weekly*")+SUMIFS('NSE - NIFTY Index Options'!$M:$M,'NSE - NIFTY Index Options'!$C:$C,$A60,'NSE - NIFTY Index Options'!$B:$B,G$4,'NSE - NIFTY Index Options'!$I:$I,"MDAW*")+SUMIFS('NSE - Other Index Options'!$M:$M,'NSE - Other Index Options'!$C:$C,$A60,'NSE - Other Index Options'!$B:$B,G$4,'NSE - Other Index Options'!$I:$I,"Weekly*")+SUMIFS('NSE - Other Index Options'!$M:$M,'NSE - Other Index Options'!$C:$C,$A60,'NSE - Other Index Options'!$B:$B,G$4,'NSE - Other Index Options'!$I:$I,"MDAW*")=0,"",SUMIFS('NSE - NIFTY Index Options'!$M:$M,'NSE - NIFTY Index Options'!$C:$C,$A60,'NSE - NIFTY Index Options'!$B:$B,G$4,'NSE - NIFTY Index Options'!$I:$I,"Weekly*")+SUMIFS('NSE - NIFTY Index Options'!$M:$M,'NSE - NIFTY Index Options'!$C:$C,$A60,'NSE - NIFTY Index Options'!$B:$B,G$4,'NSE - NIFTY Index Options'!$I:$I,"MDAW*")+SUMIFS('NSE - Other Index Options'!$M:$M,'NSE - Other Index Options'!$C:$C,$A60,'NSE - Other Index Options'!$B:$B,G$4,'NSE - Other Index Options'!$I:$I,"Weekly*")+SUMIFS('NSE - Other Index Options'!$M:$M,'NSE - Other Index Options'!$C:$C,$A60,'NSE - Other Index Options'!$B:$B,G$4,'NSE - Other Index Options'!$I:$I,"MDAW*"))</f>
        <v/>
      </c>
      <c r="H60" s="26">
        <f>IF(SUM(B60:G60)=0,"",SUM(B60:G60))</f>
        <v/>
      </c>
    </row>
    <row r="61" hidden="1" outlineLevel="1">
      <c r="A61" t="inlineStr">
        <is>
          <t>Week3-Aug-2026</t>
        </is>
      </c>
      <c r="B61" s="26">
        <f>IF(SUMIFS('NSE - NIFTY Index Options'!$M:$M,'NSE - NIFTY Index Options'!$C:$C,$A61,'NSE - NIFTY Index Options'!$B:$B,B$4,'NSE - NIFTY Index Options'!$I:$I,"Weekly*")+SUMIFS('NSE - NIFTY Index Options'!$M:$M,'NSE - NIFTY Index Options'!$C:$C,$A61,'NSE - NIFTY Index Options'!$B:$B,B$4,'NSE - NIFTY Index Options'!$I:$I,"MDAW*")+SUMIFS('NSE - Other Index Options'!$M:$M,'NSE - Other Index Options'!$C:$C,$A61,'NSE - Other Index Options'!$B:$B,B$4,'NSE - Other Index Options'!$I:$I,"Weekly*")+SUMIFS('NSE - Other Index Options'!$M:$M,'NSE - Other Index Options'!$C:$C,$A61,'NSE - Other Index Options'!$B:$B,B$4,'NSE - Other Index Options'!$I:$I,"MDAW*")=0,"",SUMIFS('NSE - NIFTY Index Options'!$M:$M,'NSE - NIFTY Index Options'!$C:$C,$A61,'NSE - NIFTY Index Options'!$B:$B,B$4,'NSE - NIFTY Index Options'!$I:$I,"Weekly*")+SUMIFS('NSE - NIFTY Index Options'!$M:$M,'NSE - NIFTY Index Options'!$C:$C,$A61,'NSE - NIFTY Index Options'!$B:$B,B$4,'NSE - NIFTY Index Options'!$I:$I,"MDAW*")+SUMIFS('NSE - Other Index Options'!$M:$M,'NSE - Other Index Options'!$C:$C,$A61,'NSE - Other Index Options'!$B:$B,B$4,'NSE - Other Index Options'!$I:$I,"Weekly*")+SUMIFS('NSE - Other Index Options'!$M:$M,'NSE - Other Index Options'!$C:$C,$A61,'NSE - Other Index Options'!$B:$B,B$4,'NSE - Other Index Options'!$I:$I,"MDAW*"))</f>
        <v/>
      </c>
      <c r="C61" s="26">
        <f>IF(SUMIFS('NSE - NIFTY Index Options'!$M:$M,'NSE - NIFTY Index Options'!$C:$C,$A61,'NSE - NIFTY Index Options'!$B:$B,C$4,'NSE - NIFTY Index Options'!$I:$I,"Weekly*")+SUMIFS('NSE - NIFTY Index Options'!$M:$M,'NSE - NIFTY Index Options'!$C:$C,$A61,'NSE - NIFTY Index Options'!$B:$B,C$4,'NSE - NIFTY Index Options'!$I:$I,"MDAW*")+SUMIFS('NSE - Other Index Options'!$M:$M,'NSE - Other Index Options'!$C:$C,$A61,'NSE - Other Index Options'!$B:$B,C$4,'NSE - Other Index Options'!$I:$I,"Weekly*")+SUMIFS('NSE - Other Index Options'!$M:$M,'NSE - Other Index Options'!$C:$C,$A61,'NSE - Other Index Options'!$B:$B,C$4,'NSE - Other Index Options'!$I:$I,"MDAW*")=0,"",SUMIFS('NSE - NIFTY Index Options'!$M:$M,'NSE - NIFTY Index Options'!$C:$C,$A61,'NSE - NIFTY Index Options'!$B:$B,C$4,'NSE - NIFTY Index Options'!$I:$I,"Weekly*")+SUMIFS('NSE - NIFTY Index Options'!$M:$M,'NSE - NIFTY Index Options'!$C:$C,$A61,'NSE - NIFTY Index Options'!$B:$B,C$4,'NSE - NIFTY Index Options'!$I:$I,"MDAW*")+SUMIFS('NSE - Other Index Options'!$M:$M,'NSE - Other Index Options'!$C:$C,$A61,'NSE - Other Index Options'!$B:$B,C$4,'NSE - Other Index Options'!$I:$I,"Weekly*")+SUMIFS('NSE - Other Index Options'!$M:$M,'NSE - Other Index Options'!$C:$C,$A61,'NSE - Other Index Options'!$B:$B,C$4,'NSE - Other Index Options'!$I:$I,"MDAW*"))</f>
        <v/>
      </c>
      <c r="D61" s="26">
        <f>IF(SUMIFS('NSE - NIFTY Index Options'!$M:$M,'NSE - NIFTY Index Options'!$C:$C,$A61,'NSE - NIFTY Index Options'!$B:$B,D$4,'NSE - NIFTY Index Options'!$I:$I,"Weekly*")+SUMIFS('NSE - NIFTY Index Options'!$M:$M,'NSE - NIFTY Index Options'!$C:$C,$A61,'NSE - NIFTY Index Options'!$B:$B,D$4,'NSE - NIFTY Index Options'!$I:$I,"MDAW*")+SUMIFS('NSE - Other Index Options'!$M:$M,'NSE - Other Index Options'!$C:$C,$A61,'NSE - Other Index Options'!$B:$B,D$4,'NSE - Other Index Options'!$I:$I,"Weekly*")+SUMIFS('NSE - Other Index Options'!$M:$M,'NSE - Other Index Options'!$C:$C,$A61,'NSE - Other Index Options'!$B:$B,D$4,'NSE - Other Index Options'!$I:$I,"MDAW*")=0,"",SUMIFS('NSE - NIFTY Index Options'!$M:$M,'NSE - NIFTY Index Options'!$C:$C,$A61,'NSE - NIFTY Index Options'!$B:$B,D$4,'NSE - NIFTY Index Options'!$I:$I,"Weekly*")+SUMIFS('NSE - NIFTY Index Options'!$M:$M,'NSE - NIFTY Index Options'!$C:$C,$A61,'NSE - NIFTY Index Options'!$B:$B,D$4,'NSE - NIFTY Index Options'!$I:$I,"MDAW*")+SUMIFS('NSE - Other Index Options'!$M:$M,'NSE - Other Index Options'!$C:$C,$A61,'NSE - Other Index Options'!$B:$B,D$4,'NSE - Other Index Options'!$I:$I,"Weekly*")+SUMIFS('NSE - Other Index Options'!$M:$M,'NSE - Other Index Options'!$C:$C,$A61,'NSE - Other Index Options'!$B:$B,D$4,'NSE - Other Index Options'!$I:$I,"MDAW*"))</f>
        <v/>
      </c>
      <c r="E61" s="26">
        <f>IF(SUMIFS('NSE - NIFTY Index Options'!$M:$M,'NSE - NIFTY Index Options'!$C:$C,$A61,'NSE - NIFTY Index Options'!$B:$B,E$4,'NSE - NIFTY Index Options'!$I:$I,"Weekly*")+SUMIFS('NSE - NIFTY Index Options'!$M:$M,'NSE - NIFTY Index Options'!$C:$C,$A61,'NSE - NIFTY Index Options'!$B:$B,E$4,'NSE - NIFTY Index Options'!$I:$I,"MDAW*")+SUMIFS('NSE - Other Index Options'!$M:$M,'NSE - Other Index Options'!$C:$C,$A61,'NSE - Other Index Options'!$B:$B,E$4,'NSE - Other Index Options'!$I:$I,"Weekly*")+SUMIFS('NSE - Other Index Options'!$M:$M,'NSE - Other Index Options'!$C:$C,$A61,'NSE - Other Index Options'!$B:$B,E$4,'NSE - Other Index Options'!$I:$I,"MDAW*")=0,"",SUMIFS('NSE - NIFTY Index Options'!$M:$M,'NSE - NIFTY Index Options'!$C:$C,$A61,'NSE - NIFTY Index Options'!$B:$B,E$4,'NSE - NIFTY Index Options'!$I:$I,"Weekly*")+SUMIFS('NSE - NIFTY Index Options'!$M:$M,'NSE - NIFTY Index Options'!$C:$C,$A61,'NSE - NIFTY Index Options'!$B:$B,E$4,'NSE - NIFTY Index Options'!$I:$I,"MDAW*")+SUMIFS('NSE - Other Index Options'!$M:$M,'NSE - Other Index Options'!$C:$C,$A61,'NSE - Other Index Options'!$B:$B,E$4,'NSE - Other Index Options'!$I:$I,"Weekly*")+SUMIFS('NSE - Other Index Options'!$M:$M,'NSE - Other Index Options'!$C:$C,$A61,'NSE - Other Index Options'!$B:$B,E$4,'NSE - Other Index Options'!$I:$I,"MDAW*"))</f>
        <v/>
      </c>
      <c r="F61" s="26">
        <f>IF(SUMIFS('NSE - NIFTY Index Options'!$M:$M,'NSE - NIFTY Index Options'!$C:$C,$A61,'NSE - NIFTY Index Options'!$B:$B,F$4,'NSE - NIFTY Index Options'!$I:$I,"Weekly*")+SUMIFS('NSE - NIFTY Index Options'!$M:$M,'NSE - NIFTY Index Options'!$C:$C,$A61,'NSE - NIFTY Index Options'!$B:$B,F$4,'NSE - NIFTY Index Options'!$I:$I,"MDAW*")+SUMIFS('NSE - Other Index Options'!$M:$M,'NSE - Other Index Options'!$C:$C,$A61,'NSE - Other Index Options'!$B:$B,F$4,'NSE - Other Index Options'!$I:$I,"Weekly*")+SUMIFS('NSE - Other Index Options'!$M:$M,'NSE - Other Index Options'!$C:$C,$A61,'NSE - Other Index Options'!$B:$B,F$4,'NSE - Other Index Options'!$I:$I,"MDAW*")=0,"",SUMIFS('NSE - NIFTY Index Options'!$M:$M,'NSE - NIFTY Index Options'!$C:$C,$A61,'NSE - NIFTY Index Options'!$B:$B,F$4,'NSE - NIFTY Index Options'!$I:$I,"Weekly*")+SUMIFS('NSE - NIFTY Index Options'!$M:$M,'NSE - NIFTY Index Options'!$C:$C,$A61,'NSE - NIFTY Index Options'!$B:$B,F$4,'NSE - NIFTY Index Options'!$I:$I,"MDAW*")+SUMIFS('NSE - Other Index Options'!$M:$M,'NSE - Other Index Options'!$C:$C,$A61,'NSE - Other Index Options'!$B:$B,F$4,'NSE - Other Index Options'!$I:$I,"Weekly*")+SUMIFS('NSE - Other Index Options'!$M:$M,'NSE - Other Index Options'!$C:$C,$A61,'NSE - Other Index Options'!$B:$B,F$4,'NSE - Other Index Options'!$I:$I,"MDAW*"))</f>
        <v/>
      </c>
      <c r="G61" s="26">
        <f>IF(SUMIFS('NSE - NIFTY Index Options'!$M:$M,'NSE - NIFTY Index Options'!$C:$C,$A61,'NSE - NIFTY Index Options'!$B:$B,G$4,'NSE - NIFTY Index Options'!$I:$I,"Weekly*")+SUMIFS('NSE - NIFTY Index Options'!$M:$M,'NSE - NIFTY Index Options'!$C:$C,$A61,'NSE - NIFTY Index Options'!$B:$B,G$4,'NSE - NIFTY Index Options'!$I:$I,"MDAW*")+SUMIFS('NSE - Other Index Options'!$M:$M,'NSE - Other Index Options'!$C:$C,$A61,'NSE - Other Index Options'!$B:$B,G$4,'NSE - Other Index Options'!$I:$I,"Weekly*")+SUMIFS('NSE - Other Index Options'!$M:$M,'NSE - Other Index Options'!$C:$C,$A61,'NSE - Other Index Options'!$B:$B,G$4,'NSE - Other Index Options'!$I:$I,"MDAW*")=0,"",SUMIFS('NSE - NIFTY Index Options'!$M:$M,'NSE - NIFTY Index Options'!$C:$C,$A61,'NSE - NIFTY Index Options'!$B:$B,G$4,'NSE - NIFTY Index Options'!$I:$I,"Weekly*")+SUMIFS('NSE - NIFTY Index Options'!$M:$M,'NSE - NIFTY Index Options'!$C:$C,$A61,'NSE - NIFTY Index Options'!$B:$B,G$4,'NSE - NIFTY Index Options'!$I:$I,"MDAW*")+SUMIFS('NSE - Other Index Options'!$M:$M,'NSE - Other Index Options'!$C:$C,$A61,'NSE - Other Index Options'!$B:$B,G$4,'NSE - Other Index Options'!$I:$I,"Weekly*")+SUMIFS('NSE - Other Index Options'!$M:$M,'NSE - Other Index Options'!$C:$C,$A61,'NSE - Other Index Options'!$B:$B,G$4,'NSE - Other Index Options'!$I:$I,"MDAW*"))</f>
        <v/>
      </c>
      <c r="H61" s="26">
        <f>IF(SUM(B61:G61)=0,"",SUM(B61:G61))</f>
        <v/>
      </c>
    </row>
    <row r="62" hidden="1" outlineLevel="1">
      <c r="A62" t="inlineStr">
        <is>
          <t>Week4-Aug-2026</t>
        </is>
      </c>
      <c r="B62" s="26">
        <f>IF(SUMIFS('NSE - NIFTY Index Options'!$M:$M,'NSE - NIFTY Index Options'!$C:$C,$A62,'NSE - NIFTY Index Options'!$B:$B,B$4,'NSE - NIFTY Index Options'!$I:$I,"Weekly*")+SUMIFS('NSE - NIFTY Index Options'!$M:$M,'NSE - NIFTY Index Options'!$C:$C,$A62,'NSE - NIFTY Index Options'!$B:$B,B$4,'NSE - NIFTY Index Options'!$I:$I,"MDAW*")+SUMIFS('NSE - Other Index Options'!$M:$M,'NSE - Other Index Options'!$C:$C,$A62,'NSE - Other Index Options'!$B:$B,B$4,'NSE - Other Index Options'!$I:$I,"Weekly*")+SUMIFS('NSE - Other Index Options'!$M:$M,'NSE - Other Index Options'!$C:$C,$A62,'NSE - Other Index Options'!$B:$B,B$4,'NSE - Other Index Options'!$I:$I,"MDAW*")=0,"",SUMIFS('NSE - NIFTY Index Options'!$M:$M,'NSE - NIFTY Index Options'!$C:$C,$A62,'NSE - NIFTY Index Options'!$B:$B,B$4,'NSE - NIFTY Index Options'!$I:$I,"Weekly*")+SUMIFS('NSE - NIFTY Index Options'!$M:$M,'NSE - NIFTY Index Options'!$C:$C,$A62,'NSE - NIFTY Index Options'!$B:$B,B$4,'NSE - NIFTY Index Options'!$I:$I,"MDAW*")+SUMIFS('NSE - Other Index Options'!$M:$M,'NSE - Other Index Options'!$C:$C,$A62,'NSE - Other Index Options'!$B:$B,B$4,'NSE - Other Index Options'!$I:$I,"Weekly*")+SUMIFS('NSE - Other Index Options'!$M:$M,'NSE - Other Index Options'!$C:$C,$A62,'NSE - Other Index Options'!$B:$B,B$4,'NSE - Other Index Options'!$I:$I,"MDAW*"))</f>
        <v/>
      </c>
      <c r="C62" s="26">
        <f>IF(SUMIFS('NSE - NIFTY Index Options'!$M:$M,'NSE - NIFTY Index Options'!$C:$C,$A62,'NSE - NIFTY Index Options'!$B:$B,C$4,'NSE - NIFTY Index Options'!$I:$I,"Weekly*")+SUMIFS('NSE - NIFTY Index Options'!$M:$M,'NSE - NIFTY Index Options'!$C:$C,$A62,'NSE - NIFTY Index Options'!$B:$B,C$4,'NSE - NIFTY Index Options'!$I:$I,"MDAW*")+SUMIFS('NSE - Other Index Options'!$M:$M,'NSE - Other Index Options'!$C:$C,$A62,'NSE - Other Index Options'!$B:$B,C$4,'NSE - Other Index Options'!$I:$I,"Weekly*")+SUMIFS('NSE - Other Index Options'!$M:$M,'NSE - Other Index Options'!$C:$C,$A62,'NSE - Other Index Options'!$B:$B,C$4,'NSE - Other Index Options'!$I:$I,"MDAW*")=0,"",SUMIFS('NSE - NIFTY Index Options'!$M:$M,'NSE - NIFTY Index Options'!$C:$C,$A62,'NSE - NIFTY Index Options'!$B:$B,C$4,'NSE - NIFTY Index Options'!$I:$I,"Weekly*")+SUMIFS('NSE - NIFTY Index Options'!$M:$M,'NSE - NIFTY Index Options'!$C:$C,$A62,'NSE - NIFTY Index Options'!$B:$B,C$4,'NSE - NIFTY Index Options'!$I:$I,"MDAW*")+SUMIFS('NSE - Other Index Options'!$M:$M,'NSE - Other Index Options'!$C:$C,$A62,'NSE - Other Index Options'!$B:$B,C$4,'NSE - Other Index Options'!$I:$I,"Weekly*")+SUMIFS('NSE - Other Index Options'!$M:$M,'NSE - Other Index Options'!$C:$C,$A62,'NSE - Other Index Options'!$B:$B,C$4,'NSE - Other Index Options'!$I:$I,"MDAW*"))</f>
        <v/>
      </c>
      <c r="D62" s="26">
        <f>IF(SUMIFS('NSE - NIFTY Index Options'!$M:$M,'NSE - NIFTY Index Options'!$C:$C,$A62,'NSE - NIFTY Index Options'!$B:$B,D$4,'NSE - NIFTY Index Options'!$I:$I,"Weekly*")+SUMIFS('NSE - NIFTY Index Options'!$M:$M,'NSE - NIFTY Index Options'!$C:$C,$A62,'NSE - NIFTY Index Options'!$B:$B,D$4,'NSE - NIFTY Index Options'!$I:$I,"MDAW*")+SUMIFS('NSE - Other Index Options'!$M:$M,'NSE - Other Index Options'!$C:$C,$A62,'NSE - Other Index Options'!$B:$B,D$4,'NSE - Other Index Options'!$I:$I,"Weekly*")+SUMIFS('NSE - Other Index Options'!$M:$M,'NSE - Other Index Options'!$C:$C,$A62,'NSE - Other Index Options'!$B:$B,D$4,'NSE - Other Index Options'!$I:$I,"MDAW*")=0,"",SUMIFS('NSE - NIFTY Index Options'!$M:$M,'NSE - NIFTY Index Options'!$C:$C,$A62,'NSE - NIFTY Index Options'!$B:$B,D$4,'NSE - NIFTY Index Options'!$I:$I,"Weekly*")+SUMIFS('NSE - NIFTY Index Options'!$M:$M,'NSE - NIFTY Index Options'!$C:$C,$A62,'NSE - NIFTY Index Options'!$B:$B,D$4,'NSE - NIFTY Index Options'!$I:$I,"MDAW*")+SUMIFS('NSE - Other Index Options'!$M:$M,'NSE - Other Index Options'!$C:$C,$A62,'NSE - Other Index Options'!$B:$B,D$4,'NSE - Other Index Options'!$I:$I,"Weekly*")+SUMIFS('NSE - Other Index Options'!$M:$M,'NSE - Other Index Options'!$C:$C,$A62,'NSE - Other Index Options'!$B:$B,D$4,'NSE - Other Index Options'!$I:$I,"MDAW*"))</f>
        <v/>
      </c>
      <c r="E62" s="26">
        <f>IF(SUMIFS('NSE - NIFTY Index Options'!$M:$M,'NSE - NIFTY Index Options'!$C:$C,$A62,'NSE - NIFTY Index Options'!$B:$B,E$4,'NSE - NIFTY Index Options'!$I:$I,"Weekly*")+SUMIFS('NSE - NIFTY Index Options'!$M:$M,'NSE - NIFTY Index Options'!$C:$C,$A62,'NSE - NIFTY Index Options'!$B:$B,E$4,'NSE - NIFTY Index Options'!$I:$I,"MDAW*")+SUMIFS('NSE - Other Index Options'!$M:$M,'NSE - Other Index Options'!$C:$C,$A62,'NSE - Other Index Options'!$B:$B,E$4,'NSE - Other Index Options'!$I:$I,"Weekly*")+SUMIFS('NSE - Other Index Options'!$M:$M,'NSE - Other Index Options'!$C:$C,$A62,'NSE - Other Index Options'!$B:$B,E$4,'NSE - Other Index Options'!$I:$I,"MDAW*")=0,"",SUMIFS('NSE - NIFTY Index Options'!$M:$M,'NSE - NIFTY Index Options'!$C:$C,$A62,'NSE - NIFTY Index Options'!$B:$B,E$4,'NSE - NIFTY Index Options'!$I:$I,"Weekly*")+SUMIFS('NSE - NIFTY Index Options'!$M:$M,'NSE - NIFTY Index Options'!$C:$C,$A62,'NSE - NIFTY Index Options'!$B:$B,E$4,'NSE - NIFTY Index Options'!$I:$I,"MDAW*")+SUMIFS('NSE - Other Index Options'!$M:$M,'NSE - Other Index Options'!$C:$C,$A62,'NSE - Other Index Options'!$B:$B,E$4,'NSE - Other Index Options'!$I:$I,"Weekly*")+SUMIFS('NSE - Other Index Options'!$M:$M,'NSE - Other Index Options'!$C:$C,$A62,'NSE - Other Index Options'!$B:$B,E$4,'NSE - Other Index Options'!$I:$I,"MDAW*"))</f>
        <v/>
      </c>
      <c r="F62" s="26">
        <f>IF(SUMIFS('NSE - NIFTY Index Options'!$M:$M,'NSE - NIFTY Index Options'!$C:$C,$A62,'NSE - NIFTY Index Options'!$B:$B,F$4,'NSE - NIFTY Index Options'!$I:$I,"Weekly*")+SUMIFS('NSE - NIFTY Index Options'!$M:$M,'NSE - NIFTY Index Options'!$C:$C,$A62,'NSE - NIFTY Index Options'!$B:$B,F$4,'NSE - NIFTY Index Options'!$I:$I,"MDAW*")+SUMIFS('NSE - Other Index Options'!$M:$M,'NSE - Other Index Options'!$C:$C,$A62,'NSE - Other Index Options'!$B:$B,F$4,'NSE - Other Index Options'!$I:$I,"Weekly*")+SUMIFS('NSE - Other Index Options'!$M:$M,'NSE - Other Index Options'!$C:$C,$A62,'NSE - Other Index Options'!$B:$B,F$4,'NSE - Other Index Options'!$I:$I,"MDAW*")=0,"",SUMIFS('NSE - NIFTY Index Options'!$M:$M,'NSE - NIFTY Index Options'!$C:$C,$A62,'NSE - NIFTY Index Options'!$B:$B,F$4,'NSE - NIFTY Index Options'!$I:$I,"Weekly*")+SUMIFS('NSE - NIFTY Index Options'!$M:$M,'NSE - NIFTY Index Options'!$C:$C,$A62,'NSE - NIFTY Index Options'!$B:$B,F$4,'NSE - NIFTY Index Options'!$I:$I,"MDAW*")+SUMIFS('NSE - Other Index Options'!$M:$M,'NSE - Other Index Options'!$C:$C,$A62,'NSE - Other Index Options'!$B:$B,F$4,'NSE - Other Index Options'!$I:$I,"Weekly*")+SUMIFS('NSE - Other Index Options'!$M:$M,'NSE - Other Index Options'!$C:$C,$A62,'NSE - Other Index Options'!$B:$B,F$4,'NSE - Other Index Options'!$I:$I,"MDAW*"))</f>
        <v/>
      </c>
      <c r="G62" s="26">
        <f>IF(SUMIFS('NSE - NIFTY Index Options'!$M:$M,'NSE - NIFTY Index Options'!$C:$C,$A62,'NSE - NIFTY Index Options'!$B:$B,G$4,'NSE - NIFTY Index Options'!$I:$I,"Weekly*")+SUMIFS('NSE - NIFTY Index Options'!$M:$M,'NSE - NIFTY Index Options'!$C:$C,$A62,'NSE - NIFTY Index Options'!$B:$B,G$4,'NSE - NIFTY Index Options'!$I:$I,"MDAW*")+SUMIFS('NSE - Other Index Options'!$M:$M,'NSE - Other Index Options'!$C:$C,$A62,'NSE - Other Index Options'!$B:$B,G$4,'NSE - Other Index Options'!$I:$I,"Weekly*")+SUMIFS('NSE - Other Index Options'!$M:$M,'NSE - Other Index Options'!$C:$C,$A62,'NSE - Other Index Options'!$B:$B,G$4,'NSE - Other Index Options'!$I:$I,"MDAW*")=0,"",SUMIFS('NSE - NIFTY Index Options'!$M:$M,'NSE - NIFTY Index Options'!$C:$C,$A62,'NSE - NIFTY Index Options'!$B:$B,G$4,'NSE - NIFTY Index Options'!$I:$I,"Weekly*")+SUMIFS('NSE - NIFTY Index Options'!$M:$M,'NSE - NIFTY Index Options'!$C:$C,$A62,'NSE - NIFTY Index Options'!$B:$B,G$4,'NSE - NIFTY Index Options'!$I:$I,"MDAW*")+SUMIFS('NSE - Other Index Options'!$M:$M,'NSE - Other Index Options'!$C:$C,$A62,'NSE - Other Index Options'!$B:$B,G$4,'NSE - Other Index Options'!$I:$I,"Weekly*")+SUMIFS('NSE - Other Index Options'!$M:$M,'NSE - Other Index Options'!$C:$C,$A62,'NSE - Other Index Options'!$B:$B,G$4,'NSE - Other Index Options'!$I:$I,"MDAW*"))</f>
        <v/>
      </c>
      <c r="H62" s="26">
        <f>IF(SUM(B62:G62)=0,"",SUM(B62:G62))</f>
        <v/>
      </c>
    </row>
    <row r="63" hidden="1" outlineLevel="1">
      <c r="A63" t="inlineStr">
        <is>
          <t>Week5-Aug-2026</t>
        </is>
      </c>
      <c r="B63" s="26">
        <f>IF(SUMIFS('NSE - NIFTY Index Options'!$M:$M,'NSE - NIFTY Index Options'!$C:$C,$A63,'NSE - NIFTY Index Options'!$B:$B,B$4,'NSE - NIFTY Index Options'!$I:$I,"Weekly*")+SUMIFS('NSE - NIFTY Index Options'!$M:$M,'NSE - NIFTY Index Options'!$C:$C,$A63,'NSE - NIFTY Index Options'!$B:$B,B$4,'NSE - NIFTY Index Options'!$I:$I,"MDAW*")+SUMIFS('NSE - Other Index Options'!$M:$M,'NSE - Other Index Options'!$C:$C,$A63,'NSE - Other Index Options'!$B:$B,B$4,'NSE - Other Index Options'!$I:$I,"Weekly*")+SUMIFS('NSE - Other Index Options'!$M:$M,'NSE - Other Index Options'!$C:$C,$A63,'NSE - Other Index Options'!$B:$B,B$4,'NSE - Other Index Options'!$I:$I,"MDAW*")=0,"",SUMIFS('NSE - NIFTY Index Options'!$M:$M,'NSE - NIFTY Index Options'!$C:$C,$A63,'NSE - NIFTY Index Options'!$B:$B,B$4,'NSE - NIFTY Index Options'!$I:$I,"Weekly*")+SUMIFS('NSE - NIFTY Index Options'!$M:$M,'NSE - NIFTY Index Options'!$C:$C,$A63,'NSE - NIFTY Index Options'!$B:$B,B$4,'NSE - NIFTY Index Options'!$I:$I,"MDAW*")+SUMIFS('NSE - Other Index Options'!$M:$M,'NSE - Other Index Options'!$C:$C,$A63,'NSE - Other Index Options'!$B:$B,B$4,'NSE - Other Index Options'!$I:$I,"Weekly*")+SUMIFS('NSE - Other Index Options'!$M:$M,'NSE - Other Index Options'!$C:$C,$A63,'NSE - Other Index Options'!$B:$B,B$4,'NSE - Other Index Options'!$I:$I,"MDAW*"))</f>
        <v/>
      </c>
      <c r="C63" s="26">
        <f>IF(SUMIFS('NSE - NIFTY Index Options'!$M:$M,'NSE - NIFTY Index Options'!$C:$C,$A63,'NSE - NIFTY Index Options'!$B:$B,C$4,'NSE - NIFTY Index Options'!$I:$I,"Weekly*")+SUMIFS('NSE - NIFTY Index Options'!$M:$M,'NSE - NIFTY Index Options'!$C:$C,$A63,'NSE - NIFTY Index Options'!$B:$B,C$4,'NSE - NIFTY Index Options'!$I:$I,"MDAW*")+SUMIFS('NSE - Other Index Options'!$M:$M,'NSE - Other Index Options'!$C:$C,$A63,'NSE - Other Index Options'!$B:$B,C$4,'NSE - Other Index Options'!$I:$I,"Weekly*")+SUMIFS('NSE - Other Index Options'!$M:$M,'NSE - Other Index Options'!$C:$C,$A63,'NSE - Other Index Options'!$B:$B,C$4,'NSE - Other Index Options'!$I:$I,"MDAW*")=0,"",SUMIFS('NSE - NIFTY Index Options'!$M:$M,'NSE - NIFTY Index Options'!$C:$C,$A63,'NSE - NIFTY Index Options'!$B:$B,C$4,'NSE - NIFTY Index Options'!$I:$I,"Weekly*")+SUMIFS('NSE - NIFTY Index Options'!$M:$M,'NSE - NIFTY Index Options'!$C:$C,$A63,'NSE - NIFTY Index Options'!$B:$B,C$4,'NSE - NIFTY Index Options'!$I:$I,"MDAW*")+SUMIFS('NSE - Other Index Options'!$M:$M,'NSE - Other Index Options'!$C:$C,$A63,'NSE - Other Index Options'!$B:$B,C$4,'NSE - Other Index Options'!$I:$I,"Weekly*")+SUMIFS('NSE - Other Index Options'!$M:$M,'NSE - Other Index Options'!$C:$C,$A63,'NSE - Other Index Options'!$B:$B,C$4,'NSE - Other Index Options'!$I:$I,"MDAW*"))</f>
        <v/>
      </c>
      <c r="D63" s="26">
        <f>IF(SUMIFS('NSE - NIFTY Index Options'!$M:$M,'NSE - NIFTY Index Options'!$C:$C,$A63,'NSE - NIFTY Index Options'!$B:$B,D$4,'NSE - NIFTY Index Options'!$I:$I,"Weekly*")+SUMIFS('NSE - NIFTY Index Options'!$M:$M,'NSE - NIFTY Index Options'!$C:$C,$A63,'NSE - NIFTY Index Options'!$B:$B,D$4,'NSE - NIFTY Index Options'!$I:$I,"MDAW*")+SUMIFS('NSE - Other Index Options'!$M:$M,'NSE - Other Index Options'!$C:$C,$A63,'NSE - Other Index Options'!$B:$B,D$4,'NSE - Other Index Options'!$I:$I,"Weekly*")+SUMIFS('NSE - Other Index Options'!$M:$M,'NSE - Other Index Options'!$C:$C,$A63,'NSE - Other Index Options'!$B:$B,D$4,'NSE - Other Index Options'!$I:$I,"MDAW*")=0,"",SUMIFS('NSE - NIFTY Index Options'!$M:$M,'NSE - NIFTY Index Options'!$C:$C,$A63,'NSE - NIFTY Index Options'!$B:$B,D$4,'NSE - NIFTY Index Options'!$I:$I,"Weekly*")+SUMIFS('NSE - NIFTY Index Options'!$M:$M,'NSE - NIFTY Index Options'!$C:$C,$A63,'NSE - NIFTY Index Options'!$B:$B,D$4,'NSE - NIFTY Index Options'!$I:$I,"MDAW*")+SUMIFS('NSE - Other Index Options'!$M:$M,'NSE - Other Index Options'!$C:$C,$A63,'NSE - Other Index Options'!$B:$B,D$4,'NSE - Other Index Options'!$I:$I,"Weekly*")+SUMIFS('NSE - Other Index Options'!$M:$M,'NSE - Other Index Options'!$C:$C,$A63,'NSE - Other Index Options'!$B:$B,D$4,'NSE - Other Index Options'!$I:$I,"MDAW*"))</f>
        <v/>
      </c>
      <c r="E63" s="26">
        <f>IF(SUMIFS('NSE - NIFTY Index Options'!$M:$M,'NSE - NIFTY Index Options'!$C:$C,$A63,'NSE - NIFTY Index Options'!$B:$B,E$4,'NSE - NIFTY Index Options'!$I:$I,"Weekly*")+SUMIFS('NSE - NIFTY Index Options'!$M:$M,'NSE - NIFTY Index Options'!$C:$C,$A63,'NSE - NIFTY Index Options'!$B:$B,E$4,'NSE - NIFTY Index Options'!$I:$I,"MDAW*")+SUMIFS('NSE - Other Index Options'!$M:$M,'NSE - Other Index Options'!$C:$C,$A63,'NSE - Other Index Options'!$B:$B,E$4,'NSE - Other Index Options'!$I:$I,"Weekly*")+SUMIFS('NSE - Other Index Options'!$M:$M,'NSE - Other Index Options'!$C:$C,$A63,'NSE - Other Index Options'!$B:$B,E$4,'NSE - Other Index Options'!$I:$I,"MDAW*")=0,"",SUMIFS('NSE - NIFTY Index Options'!$M:$M,'NSE - NIFTY Index Options'!$C:$C,$A63,'NSE - NIFTY Index Options'!$B:$B,E$4,'NSE - NIFTY Index Options'!$I:$I,"Weekly*")+SUMIFS('NSE - NIFTY Index Options'!$M:$M,'NSE - NIFTY Index Options'!$C:$C,$A63,'NSE - NIFTY Index Options'!$B:$B,E$4,'NSE - NIFTY Index Options'!$I:$I,"MDAW*")+SUMIFS('NSE - Other Index Options'!$M:$M,'NSE - Other Index Options'!$C:$C,$A63,'NSE - Other Index Options'!$B:$B,E$4,'NSE - Other Index Options'!$I:$I,"Weekly*")+SUMIFS('NSE - Other Index Options'!$M:$M,'NSE - Other Index Options'!$C:$C,$A63,'NSE - Other Index Options'!$B:$B,E$4,'NSE - Other Index Options'!$I:$I,"MDAW*"))</f>
        <v/>
      </c>
      <c r="F63" s="26">
        <f>IF(SUMIFS('NSE - NIFTY Index Options'!$M:$M,'NSE - NIFTY Index Options'!$C:$C,$A63,'NSE - NIFTY Index Options'!$B:$B,F$4,'NSE - NIFTY Index Options'!$I:$I,"Weekly*")+SUMIFS('NSE - NIFTY Index Options'!$M:$M,'NSE - NIFTY Index Options'!$C:$C,$A63,'NSE - NIFTY Index Options'!$B:$B,F$4,'NSE - NIFTY Index Options'!$I:$I,"MDAW*")+SUMIFS('NSE - Other Index Options'!$M:$M,'NSE - Other Index Options'!$C:$C,$A63,'NSE - Other Index Options'!$B:$B,F$4,'NSE - Other Index Options'!$I:$I,"Weekly*")+SUMIFS('NSE - Other Index Options'!$M:$M,'NSE - Other Index Options'!$C:$C,$A63,'NSE - Other Index Options'!$B:$B,F$4,'NSE - Other Index Options'!$I:$I,"MDAW*")=0,"",SUMIFS('NSE - NIFTY Index Options'!$M:$M,'NSE - NIFTY Index Options'!$C:$C,$A63,'NSE - NIFTY Index Options'!$B:$B,F$4,'NSE - NIFTY Index Options'!$I:$I,"Weekly*")+SUMIFS('NSE - NIFTY Index Options'!$M:$M,'NSE - NIFTY Index Options'!$C:$C,$A63,'NSE - NIFTY Index Options'!$B:$B,F$4,'NSE - NIFTY Index Options'!$I:$I,"MDAW*")+SUMIFS('NSE - Other Index Options'!$M:$M,'NSE - Other Index Options'!$C:$C,$A63,'NSE - Other Index Options'!$B:$B,F$4,'NSE - Other Index Options'!$I:$I,"Weekly*")+SUMIFS('NSE - Other Index Options'!$M:$M,'NSE - Other Index Options'!$C:$C,$A63,'NSE - Other Index Options'!$B:$B,F$4,'NSE - Other Index Options'!$I:$I,"MDAW*"))</f>
        <v/>
      </c>
      <c r="G63" s="26">
        <f>IF(SUMIFS('NSE - NIFTY Index Options'!$M:$M,'NSE - NIFTY Index Options'!$C:$C,$A63,'NSE - NIFTY Index Options'!$B:$B,G$4,'NSE - NIFTY Index Options'!$I:$I,"Weekly*")+SUMIFS('NSE - NIFTY Index Options'!$M:$M,'NSE - NIFTY Index Options'!$C:$C,$A63,'NSE - NIFTY Index Options'!$B:$B,G$4,'NSE - NIFTY Index Options'!$I:$I,"MDAW*")+SUMIFS('NSE - Other Index Options'!$M:$M,'NSE - Other Index Options'!$C:$C,$A63,'NSE - Other Index Options'!$B:$B,G$4,'NSE - Other Index Options'!$I:$I,"Weekly*")+SUMIFS('NSE - Other Index Options'!$M:$M,'NSE - Other Index Options'!$C:$C,$A63,'NSE - Other Index Options'!$B:$B,G$4,'NSE - Other Index Options'!$I:$I,"MDAW*")=0,"",SUMIFS('NSE - NIFTY Index Options'!$M:$M,'NSE - NIFTY Index Options'!$C:$C,$A63,'NSE - NIFTY Index Options'!$B:$B,G$4,'NSE - NIFTY Index Options'!$I:$I,"Weekly*")+SUMIFS('NSE - NIFTY Index Options'!$M:$M,'NSE - NIFTY Index Options'!$C:$C,$A63,'NSE - NIFTY Index Options'!$B:$B,G$4,'NSE - NIFTY Index Options'!$I:$I,"MDAW*")+SUMIFS('NSE - Other Index Options'!$M:$M,'NSE - Other Index Options'!$C:$C,$A63,'NSE - Other Index Options'!$B:$B,G$4,'NSE - Other Index Options'!$I:$I,"Weekly*")+SUMIFS('NSE - Other Index Options'!$M:$M,'NSE - Other Index Options'!$C:$C,$A63,'NSE - Other Index Options'!$B:$B,G$4,'NSE - Other Index Options'!$I:$I,"MDAW*"))</f>
        <v/>
      </c>
      <c r="H63" s="26">
        <f>IF(SUM(B63:G63)=0,"",SUM(B63:G63))</f>
        <v/>
      </c>
    </row>
    <row r="64" hidden="1" outlineLevel="1">
      <c r="A64" t="inlineStr">
        <is>
          <t>Week1-Sep-2026</t>
        </is>
      </c>
      <c r="B64" s="26">
        <f>IF(SUMIFS('NSE - NIFTY Index Options'!$M:$M,'NSE - NIFTY Index Options'!$C:$C,$A64,'NSE - NIFTY Index Options'!$B:$B,B$4,'NSE - NIFTY Index Options'!$I:$I,"Weekly*")+SUMIFS('NSE - NIFTY Index Options'!$M:$M,'NSE - NIFTY Index Options'!$C:$C,$A64,'NSE - NIFTY Index Options'!$B:$B,B$4,'NSE - NIFTY Index Options'!$I:$I,"MDAW*")+SUMIFS('NSE - Other Index Options'!$M:$M,'NSE - Other Index Options'!$C:$C,$A64,'NSE - Other Index Options'!$B:$B,B$4,'NSE - Other Index Options'!$I:$I,"Weekly*")+SUMIFS('NSE - Other Index Options'!$M:$M,'NSE - Other Index Options'!$C:$C,$A64,'NSE - Other Index Options'!$B:$B,B$4,'NSE - Other Index Options'!$I:$I,"MDAW*")=0,"",SUMIFS('NSE - NIFTY Index Options'!$M:$M,'NSE - NIFTY Index Options'!$C:$C,$A64,'NSE - NIFTY Index Options'!$B:$B,B$4,'NSE - NIFTY Index Options'!$I:$I,"Weekly*")+SUMIFS('NSE - NIFTY Index Options'!$M:$M,'NSE - NIFTY Index Options'!$C:$C,$A64,'NSE - NIFTY Index Options'!$B:$B,B$4,'NSE - NIFTY Index Options'!$I:$I,"MDAW*")+SUMIFS('NSE - Other Index Options'!$M:$M,'NSE - Other Index Options'!$C:$C,$A64,'NSE - Other Index Options'!$B:$B,B$4,'NSE - Other Index Options'!$I:$I,"Weekly*")+SUMIFS('NSE - Other Index Options'!$M:$M,'NSE - Other Index Options'!$C:$C,$A64,'NSE - Other Index Options'!$B:$B,B$4,'NSE - Other Index Options'!$I:$I,"MDAW*"))</f>
        <v/>
      </c>
      <c r="C64" s="26">
        <f>IF(SUMIFS('NSE - NIFTY Index Options'!$M:$M,'NSE - NIFTY Index Options'!$C:$C,$A64,'NSE - NIFTY Index Options'!$B:$B,C$4,'NSE - NIFTY Index Options'!$I:$I,"Weekly*")+SUMIFS('NSE - NIFTY Index Options'!$M:$M,'NSE - NIFTY Index Options'!$C:$C,$A64,'NSE - NIFTY Index Options'!$B:$B,C$4,'NSE - NIFTY Index Options'!$I:$I,"MDAW*")+SUMIFS('NSE - Other Index Options'!$M:$M,'NSE - Other Index Options'!$C:$C,$A64,'NSE - Other Index Options'!$B:$B,C$4,'NSE - Other Index Options'!$I:$I,"Weekly*")+SUMIFS('NSE - Other Index Options'!$M:$M,'NSE - Other Index Options'!$C:$C,$A64,'NSE - Other Index Options'!$B:$B,C$4,'NSE - Other Index Options'!$I:$I,"MDAW*")=0,"",SUMIFS('NSE - NIFTY Index Options'!$M:$M,'NSE - NIFTY Index Options'!$C:$C,$A64,'NSE - NIFTY Index Options'!$B:$B,C$4,'NSE - NIFTY Index Options'!$I:$I,"Weekly*")+SUMIFS('NSE - NIFTY Index Options'!$M:$M,'NSE - NIFTY Index Options'!$C:$C,$A64,'NSE - NIFTY Index Options'!$B:$B,C$4,'NSE - NIFTY Index Options'!$I:$I,"MDAW*")+SUMIFS('NSE - Other Index Options'!$M:$M,'NSE - Other Index Options'!$C:$C,$A64,'NSE - Other Index Options'!$B:$B,C$4,'NSE - Other Index Options'!$I:$I,"Weekly*")+SUMIFS('NSE - Other Index Options'!$M:$M,'NSE - Other Index Options'!$C:$C,$A64,'NSE - Other Index Options'!$B:$B,C$4,'NSE - Other Index Options'!$I:$I,"MDAW*"))</f>
        <v/>
      </c>
      <c r="D64" s="26">
        <f>IF(SUMIFS('NSE - NIFTY Index Options'!$M:$M,'NSE - NIFTY Index Options'!$C:$C,$A64,'NSE - NIFTY Index Options'!$B:$B,D$4,'NSE - NIFTY Index Options'!$I:$I,"Weekly*")+SUMIFS('NSE - NIFTY Index Options'!$M:$M,'NSE - NIFTY Index Options'!$C:$C,$A64,'NSE - NIFTY Index Options'!$B:$B,D$4,'NSE - NIFTY Index Options'!$I:$I,"MDAW*")+SUMIFS('NSE - Other Index Options'!$M:$M,'NSE - Other Index Options'!$C:$C,$A64,'NSE - Other Index Options'!$B:$B,D$4,'NSE - Other Index Options'!$I:$I,"Weekly*")+SUMIFS('NSE - Other Index Options'!$M:$M,'NSE - Other Index Options'!$C:$C,$A64,'NSE - Other Index Options'!$B:$B,D$4,'NSE - Other Index Options'!$I:$I,"MDAW*")=0,"",SUMIFS('NSE - NIFTY Index Options'!$M:$M,'NSE - NIFTY Index Options'!$C:$C,$A64,'NSE - NIFTY Index Options'!$B:$B,D$4,'NSE - NIFTY Index Options'!$I:$I,"Weekly*")+SUMIFS('NSE - NIFTY Index Options'!$M:$M,'NSE - NIFTY Index Options'!$C:$C,$A64,'NSE - NIFTY Index Options'!$B:$B,D$4,'NSE - NIFTY Index Options'!$I:$I,"MDAW*")+SUMIFS('NSE - Other Index Options'!$M:$M,'NSE - Other Index Options'!$C:$C,$A64,'NSE - Other Index Options'!$B:$B,D$4,'NSE - Other Index Options'!$I:$I,"Weekly*")+SUMIFS('NSE - Other Index Options'!$M:$M,'NSE - Other Index Options'!$C:$C,$A64,'NSE - Other Index Options'!$B:$B,D$4,'NSE - Other Index Options'!$I:$I,"MDAW*"))</f>
        <v/>
      </c>
      <c r="E64" s="26">
        <f>IF(SUMIFS('NSE - NIFTY Index Options'!$M:$M,'NSE - NIFTY Index Options'!$C:$C,$A64,'NSE - NIFTY Index Options'!$B:$B,E$4,'NSE - NIFTY Index Options'!$I:$I,"Weekly*")+SUMIFS('NSE - NIFTY Index Options'!$M:$M,'NSE - NIFTY Index Options'!$C:$C,$A64,'NSE - NIFTY Index Options'!$B:$B,E$4,'NSE - NIFTY Index Options'!$I:$I,"MDAW*")+SUMIFS('NSE - Other Index Options'!$M:$M,'NSE - Other Index Options'!$C:$C,$A64,'NSE - Other Index Options'!$B:$B,E$4,'NSE - Other Index Options'!$I:$I,"Weekly*")+SUMIFS('NSE - Other Index Options'!$M:$M,'NSE - Other Index Options'!$C:$C,$A64,'NSE - Other Index Options'!$B:$B,E$4,'NSE - Other Index Options'!$I:$I,"MDAW*")=0,"",SUMIFS('NSE - NIFTY Index Options'!$M:$M,'NSE - NIFTY Index Options'!$C:$C,$A64,'NSE - NIFTY Index Options'!$B:$B,E$4,'NSE - NIFTY Index Options'!$I:$I,"Weekly*")+SUMIFS('NSE - NIFTY Index Options'!$M:$M,'NSE - NIFTY Index Options'!$C:$C,$A64,'NSE - NIFTY Index Options'!$B:$B,E$4,'NSE - NIFTY Index Options'!$I:$I,"MDAW*")+SUMIFS('NSE - Other Index Options'!$M:$M,'NSE - Other Index Options'!$C:$C,$A64,'NSE - Other Index Options'!$B:$B,E$4,'NSE - Other Index Options'!$I:$I,"Weekly*")+SUMIFS('NSE - Other Index Options'!$M:$M,'NSE - Other Index Options'!$C:$C,$A64,'NSE - Other Index Options'!$B:$B,E$4,'NSE - Other Index Options'!$I:$I,"MDAW*"))</f>
        <v/>
      </c>
      <c r="F64" s="26">
        <f>IF(SUMIFS('NSE - NIFTY Index Options'!$M:$M,'NSE - NIFTY Index Options'!$C:$C,$A64,'NSE - NIFTY Index Options'!$B:$B,F$4,'NSE - NIFTY Index Options'!$I:$I,"Weekly*")+SUMIFS('NSE - NIFTY Index Options'!$M:$M,'NSE - NIFTY Index Options'!$C:$C,$A64,'NSE - NIFTY Index Options'!$B:$B,F$4,'NSE - NIFTY Index Options'!$I:$I,"MDAW*")+SUMIFS('NSE - Other Index Options'!$M:$M,'NSE - Other Index Options'!$C:$C,$A64,'NSE - Other Index Options'!$B:$B,F$4,'NSE - Other Index Options'!$I:$I,"Weekly*")+SUMIFS('NSE - Other Index Options'!$M:$M,'NSE - Other Index Options'!$C:$C,$A64,'NSE - Other Index Options'!$B:$B,F$4,'NSE - Other Index Options'!$I:$I,"MDAW*")=0,"",SUMIFS('NSE - NIFTY Index Options'!$M:$M,'NSE - NIFTY Index Options'!$C:$C,$A64,'NSE - NIFTY Index Options'!$B:$B,F$4,'NSE - NIFTY Index Options'!$I:$I,"Weekly*")+SUMIFS('NSE - NIFTY Index Options'!$M:$M,'NSE - NIFTY Index Options'!$C:$C,$A64,'NSE - NIFTY Index Options'!$B:$B,F$4,'NSE - NIFTY Index Options'!$I:$I,"MDAW*")+SUMIFS('NSE - Other Index Options'!$M:$M,'NSE - Other Index Options'!$C:$C,$A64,'NSE - Other Index Options'!$B:$B,F$4,'NSE - Other Index Options'!$I:$I,"Weekly*")+SUMIFS('NSE - Other Index Options'!$M:$M,'NSE - Other Index Options'!$C:$C,$A64,'NSE - Other Index Options'!$B:$B,F$4,'NSE - Other Index Options'!$I:$I,"MDAW*"))</f>
        <v/>
      </c>
      <c r="G64" s="26">
        <f>IF(SUMIFS('NSE - NIFTY Index Options'!$M:$M,'NSE - NIFTY Index Options'!$C:$C,$A64,'NSE - NIFTY Index Options'!$B:$B,G$4,'NSE - NIFTY Index Options'!$I:$I,"Weekly*")+SUMIFS('NSE - NIFTY Index Options'!$M:$M,'NSE - NIFTY Index Options'!$C:$C,$A64,'NSE - NIFTY Index Options'!$B:$B,G$4,'NSE - NIFTY Index Options'!$I:$I,"MDAW*")+SUMIFS('NSE - Other Index Options'!$M:$M,'NSE - Other Index Options'!$C:$C,$A64,'NSE - Other Index Options'!$B:$B,G$4,'NSE - Other Index Options'!$I:$I,"Weekly*")+SUMIFS('NSE - Other Index Options'!$M:$M,'NSE - Other Index Options'!$C:$C,$A64,'NSE - Other Index Options'!$B:$B,G$4,'NSE - Other Index Options'!$I:$I,"MDAW*")=0,"",SUMIFS('NSE - NIFTY Index Options'!$M:$M,'NSE - NIFTY Index Options'!$C:$C,$A64,'NSE - NIFTY Index Options'!$B:$B,G$4,'NSE - NIFTY Index Options'!$I:$I,"Weekly*")+SUMIFS('NSE - NIFTY Index Options'!$M:$M,'NSE - NIFTY Index Options'!$C:$C,$A64,'NSE - NIFTY Index Options'!$B:$B,G$4,'NSE - NIFTY Index Options'!$I:$I,"MDAW*")+SUMIFS('NSE - Other Index Options'!$M:$M,'NSE - Other Index Options'!$C:$C,$A64,'NSE - Other Index Options'!$B:$B,G$4,'NSE - Other Index Options'!$I:$I,"Weekly*")+SUMIFS('NSE - Other Index Options'!$M:$M,'NSE - Other Index Options'!$C:$C,$A64,'NSE - Other Index Options'!$B:$B,G$4,'NSE - Other Index Options'!$I:$I,"MDAW*"))</f>
        <v/>
      </c>
      <c r="H64" s="26">
        <f>IF(SUM(B64:G64)=0,"",SUM(B64:G64))</f>
        <v/>
      </c>
    </row>
    <row r="65" hidden="1" outlineLevel="1">
      <c r="A65" t="inlineStr">
        <is>
          <t>Week2-Sep-2026</t>
        </is>
      </c>
      <c r="B65" s="26">
        <f>IF(SUMIFS('NSE - NIFTY Index Options'!$M:$M,'NSE - NIFTY Index Options'!$C:$C,$A65,'NSE - NIFTY Index Options'!$B:$B,B$4,'NSE - NIFTY Index Options'!$I:$I,"Weekly*")+SUMIFS('NSE - NIFTY Index Options'!$M:$M,'NSE - NIFTY Index Options'!$C:$C,$A65,'NSE - NIFTY Index Options'!$B:$B,B$4,'NSE - NIFTY Index Options'!$I:$I,"MDAW*")+SUMIFS('NSE - Other Index Options'!$M:$M,'NSE - Other Index Options'!$C:$C,$A65,'NSE - Other Index Options'!$B:$B,B$4,'NSE - Other Index Options'!$I:$I,"Weekly*")+SUMIFS('NSE - Other Index Options'!$M:$M,'NSE - Other Index Options'!$C:$C,$A65,'NSE - Other Index Options'!$B:$B,B$4,'NSE - Other Index Options'!$I:$I,"MDAW*")=0,"",SUMIFS('NSE - NIFTY Index Options'!$M:$M,'NSE - NIFTY Index Options'!$C:$C,$A65,'NSE - NIFTY Index Options'!$B:$B,B$4,'NSE - NIFTY Index Options'!$I:$I,"Weekly*")+SUMIFS('NSE - NIFTY Index Options'!$M:$M,'NSE - NIFTY Index Options'!$C:$C,$A65,'NSE - NIFTY Index Options'!$B:$B,B$4,'NSE - NIFTY Index Options'!$I:$I,"MDAW*")+SUMIFS('NSE - Other Index Options'!$M:$M,'NSE - Other Index Options'!$C:$C,$A65,'NSE - Other Index Options'!$B:$B,B$4,'NSE - Other Index Options'!$I:$I,"Weekly*")+SUMIFS('NSE - Other Index Options'!$M:$M,'NSE - Other Index Options'!$C:$C,$A65,'NSE - Other Index Options'!$B:$B,B$4,'NSE - Other Index Options'!$I:$I,"MDAW*"))</f>
        <v/>
      </c>
      <c r="C65" s="26">
        <f>IF(SUMIFS('NSE - NIFTY Index Options'!$M:$M,'NSE - NIFTY Index Options'!$C:$C,$A65,'NSE - NIFTY Index Options'!$B:$B,C$4,'NSE - NIFTY Index Options'!$I:$I,"Weekly*")+SUMIFS('NSE - NIFTY Index Options'!$M:$M,'NSE - NIFTY Index Options'!$C:$C,$A65,'NSE - NIFTY Index Options'!$B:$B,C$4,'NSE - NIFTY Index Options'!$I:$I,"MDAW*")+SUMIFS('NSE - Other Index Options'!$M:$M,'NSE - Other Index Options'!$C:$C,$A65,'NSE - Other Index Options'!$B:$B,C$4,'NSE - Other Index Options'!$I:$I,"Weekly*")+SUMIFS('NSE - Other Index Options'!$M:$M,'NSE - Other Index Options'!$C:$C,$A65,'NSE - Other Index Options'!$B:$B,C$4,'NSE - Other Index Options'!$I:$I,"MDAW*")=0,"",SUMIFS('NSE - NIFTY Index Options'!$M:$M,'NSE - NIFTY Index Options'!$C:$C,$A65,'NSE - NIFTY Index Options'!$B:$B,C$4,'NSE - NIFTY Index Options'!$I:$I,"Weekly*")+SUMIFS('NSE - NIFTY Index Options'!$M:$M,'NSE - NIFTY Index Options'!$C:$C,$A65,'NSE - NIFTY Index Options'!$B:$B,C$4,'NSE - NIFTY Index Options'!$I:$I,"MDAW*")+SUMIFS('NSE - Other Index Options'!$M:$M,'NSE - Other Index Options'!$C:$C,$A65,'NSE - Other Index Options'!$B:$B,C$4,'NSE - Other Index Options'!$I:$I,"Weekly*")+SUMIFS('NSE - Other Index Options'!$M:$M,'NSE - Other Index Options'!$C:$C,$A65,'NSE - Other Index Options'!$B:$B,C$4,'NSE - Other Index Options'!$I:$I,"MDAW*"))</f>
        <v/>
      </c>
      <c r="D65" s="26">
        <f>IF(SUMIFS('NSE - NIFTY Index Options'!$M:$M,'NSE - NIFTY Index Options'!$C:$C,$A65,'NSE - NIFTY Index Options'!$B:$B,D$4,'NSE - NIFTY Index Options'!$I:$I,"Weekly*")+SUMIFS('NSE - NIFTY Index Options'!$M:$M,'NSE - NIFTY Index Options'!$C:$C,$A65,'NSE - NIFTY Index Options'!$B:$B,D$4,'NSE - NIFTY Index Options'!$I:$I,"MDAW*")+SUMIFS('NSE - Other Index Options'!$M:$M,'NSE - Other Index Options'!$C:$C,$A65,'NSE - Other Index Options'!$B:$B,D$4,'NSE - Other Index Options'!$I:$I,"Weekly*")+SUMIFS('NSE - Other Index Options'!$M:$M,'NSE - Other Index Options'!$C:$C,$A65,'NSE - Other Index Options'!$B:$B,D$4,'NSE - Other Index Options'!$I:$I,"MDAW*")=0,"",SUMIFS('NSE - NIFTY Index Options'!$M:$M,'NSE - NIFTY Index Options'!$C:$C,$A65,'NSE - NIFTY Index Options'!$B:$B,D$4,'NSE - NIFTY Index Options'!$I:$I,"Weekly*")+SUMIFS('NSE - NIFTY Index Options'!$M:$M,'NSE - NIFTY Index Options'!$C:$C,$A65,'NSE - NIFTY Index Options'!$B:$B,D$4,'NSE - NIFTY Index Options'!$I:$I,"MDAW*")+SUMIFS('NSE - Other Index Options'!$M:$M,'NSE - Other Index Options'!$C:$C,$A65,'NSE - Other Index Options'!$B:$B,D$4,'NSE - Other Index Options'!$I:$I,"Weekly*")+SUMIFS('NSE - Other Index Options'!$M:$M,'NSE - Other Index Options'!$C:$C,$A65,'NSE - Other Index Options'!$B:$B,D$4,'NSE - Other Index Options'!$I:$I,"MDAW*"))</f>
        <v/>
      </c>
      <c r="E65" s="26">
        <f>IF(SUMIFS('NSE - NIFTY Index Options'!$M:$M,'NSE - NIFTY Index Options'!$C:$C,$A65,'NSE - NIFTY Index Options'!$B:$B,E$4,'NSE - NIFTY Index Options'!$I:$I,"Weekly*")+SUMIFS('NSE - NIFTY Index Options'!$M:$M,'NSE - NIFTY Index Options'!$C:$C,$A65,'NSE - NIFTY Index Options'!$B:$B,E$4,'NSE - NIFTY Index Options'!$I:$I,"MDAW*")+SUMIFS('NSE - Other Index Options'!$M:$M,'NSE - Other Index Options'!$C:$C,$A65,'NSE - Other Index Options'!$B:$B,E$4,'NSE - Other Index Options'!$I:$I,"Weekly*")+SUMIFS('NSE - Other Index Options'!$M:$M,'NSE - Other Index Options'!$C:$C,$A65,'NSE - Other Index Options'!$B:$B,E$4,'NSE - Other Index Options'!$I:$I,"MDAW*")=0,"",SUMIFS('NSE - NIFTY Index Options'!$M:$M,'NSE - NIFTY Index Options'!$C:$C,$A65,'NSE - NIFTY Index Options'!$B:$B,E$4,'NSE - NIFTY Index Options'!$I:$I,"Weekly*")+SUMIFS('NSE - NIFTY Index Options'!$M:$M,'NSE - NIFTY Index Options'!$C:$C,$A65,'NSE - NIFTY Index Options'!$B:$B,E$4,'NSE - NIFTY Index Options'!$I:$I,"MDAW*")+SUMIFS('NSE - Other Index Options'!$M:$M,'NSE - Other Index Options'!$C:$C,$A65,'NSE - Other Index Options'!$B:$B,E$4,'NSE - Other Index Options'!$I:$I,"Weekly*")+SUMIFS('NSE - Other Index Options'!$M:$M,'NSE - Other Index Options'!$C:$C,$A65,'NSE - Other Index Options'!$B:$B,E$4,'NSE - Other Index Options'!$I:$I,"MDAW*"))</f>
        <v/>
      </c>
      <c r="F65" s="26">
        <f>IF(SUMIFS('NSE - NIFTY Index Options'!$M:$M,'NSE - NIFTY Index Options'!$C:$C,$A65,'NSE - NIFTY Index Options'!$B:$B,F$4,'NSE - NIFTY Index Options'!$I:$I,"Weekly*")+SUMIFS('NSE - NIFTY Index Options'!$M:$M,'NSE - NIFTY Index Options'!$C:$C,$A65,'NSE - NIFTY Index Options'!$B:$B,F$4,'NSE - NIFTY Index Options'!$I:$I,"MDAW*")+SUMIFS('NSE - Other Index Options'!$M:$M,'NSE - Other Index Options'!$C:$C,$A65,'NSE - Other Index Options'!$B:$B,F$4,'NSE - Other Index Options'!$I:$I,"Weekly*")+SUMIFS('NSE - Other Index Options'!$M:$M,'NSE - Other Index Options'!$C:$C,$A65,'NSE - Other Index Options'!$B:$B,F$4,'NSE - Other Index Options'!$I:$I,"MDAW*")=0,"",SUMIFS('NSE - NIFTY Index Options'!$M:$M,'NSE - NIFTY Index Options'!$C:$C,$A65,'NSE - NIFTY Index Options'!$B:$B,F$4,'NSE - NIFTY Index Options'!$I:$I,"Weekly*")+SUMIFS('NSE - NIFTY Index Options'!$M:$M,'NSE - NIFTY Index Options'!$C:$C,$A65,'NSE - NIFTY Index Options'!$B:$B,F$4,'NSE - NIFTY Index Options'!$I:$I,"MDAW*")+SUMIFS('NSE - Other Index Options'!$M:$M,'NSE - Other Index Options'!$C:$C,$A65,'NSE - Other Index Options'!$B:$B,F$4,'NSE - Other Index Options'!$I:$I,"Weekly*")+SUMIFS('NSE - Other Index Options'!$M:$M,'NSE - Other Index Options'!$C:$C,$A65,'NSE - Other Index Options'!$B:$B,F$4,'NSE - Other Index Options'!$I:$I,"MDAW*"))</f>
        <v/>
      </c>
      <c r="G65" s="26">
        <f>IF(SUMIFS('NSE - NIFTY Index Options'!$M:$M,'NSE - NIFTY Index Options'!$C:$C,$A65,'NSE - NIFTY Index Options'!$B:$B,G$4,'NSE - NIFTY Index Options'!$I:$I,"Weekly*")+SUMIFS('NSE - NIFTY Index Options'!$M:$M,'NSE - NIFTY Index Options'!$C:$C,$A65,'NSE - NIFTY Index Options'!$B:$B,G$4,'NSE - NIFTY Index Options'!$I:$I,"MDAW*")+SUMIFS('NSE - Other Index Options'!$M:$M,'NSE - Other Index Options'!$C:$C,$A65,'NSE - Other Index Options'!$B:$B,G$4,'NSE - Other Index Options'!$I:$I,"Weekly*")+SUMIFS('NSE - Other Index Options'!$M:$M,'NSE - Other Index Options'!$C:$C,$A65,'NSE - Other Index Options'!$B:$B,G$4,'NSE - Other Index Options'!$I:$I,"MDAW*")=0,"",SUMIFS('NSE - NIFTY Index Options'!$M:$M,'NSE - NIFTY Index Options'!$C:$C,$A65,'NSE - NIFTY Index Options'!$B:$B,G$4,'NSE - NIFTY Index Options'!$I:$I,"Weekly*")+SUMIFS('NSE - NIFTY Index Options'!$M:$M,'NSE - NIFTY Index Options'!$C:$C,$A65,'NSE - NIFTY Index Options'!$B:$B,G$4,'NSE - NIFTY Index Options'!$I:$I,"MDAW*")+SUMIFS('NSE - Other Index Options'!$M:$M,'NSE - Other Index Options'!$C:$C,$A65,'NSE - Other Index Options'!$B:$B,G$4,'NSE - Other Index Options'!$I:$I,"Weekly*")+SUMIFS('NSE - Other Index Options'!$M:$M,'NSE - Other Index Options'!$C:$C,$A65,'NSE - Other Index Options'!$B:$B,G$4,'NSE - Other Index Options'!$I:$I,"MDAW*"))</f>
        <v/>
      </c>
      <c r="H65" s="26">
        <f>IF(SUM(B65:G65)=0,"",SUM(B65:G65))</f>
        <v/>
      </c>
    </row>
    <row r="66" hidden="1" outlineLevel="1">
      <c r="A66" t="inlineStr">
        <is>
          <t>Week3-Sep-2026</t>
        </is>
      </c>
      <c r="B66" s="26">
        <f>IF(SUMIFS('NSE - NIFTY Index Options'!$M:$M,'NSE - NIFTY Index Options'!$C:$C,$A66,'NSE - NIFTY Index Options'!$B:$B,B$4,'NSE - NIFTY Index Options'!$I:$I,"Weekly*")+SUMIFS('NSE - NIFTY Index Options'!$M:$M,'NSE - NIFTY Index Options'!$C:$C,$A66,'NSE - NIFTY Index Options'!$B:$B,B$4,'NSE - NIFTY Index Options'!$I:$I,"MDAW*")+SUMIFS('NSE - Other Index Options'!$M:$M,'NSE - Other Index Options'!$C:$C,$A66,'NSE - Other Index Options'!$B:$B,B$4,'NSE - Other Index Options'!$I:$I,"Weekly*")+SUMIFS('NSE - Other Index Options'!$M:$M,'NSE - Other Index Options'!$C:$C,$A66,'NSE - Other Index Options'!$B:$B,B$4,'NSE - Other Index Options'!$I:$I,"MDAW*")=0,"",SUMIFS('NSE - NIFTY Index Options'!$M:$M,'NSE - NIFTY Index Options'!$C:$C,$A66,'NSE - NIFTY Index Options'!$B:$B,B$4,'NSE - NIFTY Index Options'!$I:$I,"Weekly*")+SUMIFS('NSE - NIFTY Index Options'!$M:$M,'NSE - NIFTY Index Options'!$C:$C,$A66,'NSE - NIFTY Index Options'!$B:$B,B$4,'NSE - NIFTY Index Options'!$I:$I,"MDAW*")+SUMIFS('NSE - Other Index Options'!$M:$M,'NSE - Other Index Options'!$C:$C,$A66,'NSE - Other Index Options'!$B:$B,B$4,'NSE - Other Index Options'!$I:$I,"Weekly*")+SUMIFS('NSE - Other Index Options'!$M:$M,'NSE - Other Index Options'!$C:$C,$A66,'NSE - Other Index Options'!$B:$B,B$4,'NSE - Other Index Options'!$I:$I,"MDAW*"))</f>
        <v/>
      </c>
      <c r="C66" s="26">
        <f>IF(SUMIFS('NSE - NIFTY Index Options'!$M:$M,'NSE - NIFTY Index Options'!$C:$C,$A66,'NSE - NIFTY Index Options'!$B:$B,C$4,'NSE - NIFTY Index Options'!$I:$I,"Weekly*")+SUMIFS('NSE - NIFTY Index Options'!$M:$M,'NSE - NIFTY Index Options'!$C:$C,$A66,'NSE - NIFTY Index Options'!$B:$B,C$4,'NSE - NIFTY Index Options'!$I:$I,"MDAW*")+SUMIFS('NSE - Other Index Options'!$M:$M,'NSE - Other Index Options'!$C:$C,$A66,'NSE - Other Index Options'!$B:$B,C$4,'NSE - Other Index Options'!$I:$I,"Weekly*")+SUMIFS('NSE - Other Index Options'!$M:$M,'NSE - Other Index Options'!$C:$C,$A66,'NSE - Other Index Options'!$B:$B,C$4,'NSE - Other Index Options'!$I:$I,"MDAW*")=0,"",SUMIFS('NSE - NIFTY Index Options'!$M:$M,'NSE - NIFTY Index Options'!$C:$C,$A66,'NSE - NIFTY Index Options'!$B:$B,C$4,'NSE - NIFTY Index Options'!$I:$I,"Weekly*")+SUMIFS('NSE - NIFTY Index Options'!$M:$M,'NSE - NIFTY Index Options'!$C:$C,$A66,'NSE - NIFTY Index Options'!$B:$B,C$4,'NSE - NIFTY Index Options'!$I:$I,"MDAW*")+SUMIFS('NSE - Other Index Options'!$M:$M,'NSE - Other Index Options'!$C:$C,$A66,'NSE - Other Index Options'!$B:$B,C$4,'NSE - Other Index Options'!$I:$I,"Weekly*")+SUMIFS('NSE - Other Index Options'!$M:$M,'NSE - Other Index Options'!$C:$C,$A66,'NSE - Other Index Options'!$B:$B,C$4,'NSE - Other Index Options'!$I:$I,"MDAW*"))</f>
        <v/>
      </c>
      <c r="D66" s="26">
        <f>IF(SUMIFS('NSE - NIFTY Index Options'!$M:$M,'NSE - NIFTY Index Options'!$C:$C,$A66,'NSE - NIFTY Index Options'!$B:$B,D$4,'NSE - NIFTY Index Options'!$I:$I,"Weekly*")+SUMIFS('NSE - NIFTY Index Options'!$M:$M,'NSE - NIFTY Index Options'!$C:$C,$A66,'NSE - NIFTY Index Options'!$B:$B,D$4,'NSE - NIFTY Index Options'!$I:$I,"MDAW*")+SUMIFS('NSE - Other Index Options'!$M:$M,'NSE - Other Index Options'!$C:$C,$A66,'NSE - Other Index Options'!$B:$B,D$4,'NSE - Other Index Options'!$I:$I,"Weekly*")+SUMIFS('NSE - Other Index Options'!$M:$M,'NSE - Other Index Options'!$C:$C,$A66,'NSE - Other Index Options'!$B:$B,D$4,'NSE - Other Index Options'!$I:$I,"MDAW*")=0,"",SUMIFS('NSE - NIFTY Index Options'!$M:$M,'NSE - NIFTY Index Options'!$C:$C,$A66,'NSE - NIFTY Index Options'!$B:$B,D$4,'NSE - NIFTY Index Options'!$I:$I,"Weekly*")+SUMIFS('NSE - NIFTY Index Options'!$M:$M,'NSE - NIFTY Index Options'!$C:$C,$A66,'NSE - NIFTY Index Options'!$B:$B,D$4,'NSE - NIFTY Index Options'!$I:$I,"MDAW*")+SUMIFS('NSE - Other Index Options'!$M:$M,'NSE - Other Index Options'!$C:$C,$A66,'NSE - Other Index Options'!$B:$B,D$4,'NSE - Other Index Options'!$I:$I,"Weekly*")+SUMIFS('NSE - Other Index Options'!$M:$M,'NSE - Other Index Options'!$C:$C,$A66,'NSE - Other Index Options'!$B:$B,D$4,'NSE - Other Index Options'!$I:$I,"MDAW*"))</f>
        <v/>
      </c>
      <c r="E66" s="26">
        <f>IF(SUMIFS('NSE - NIFTY Index Options'!$M:$M,'NSE - NIFTY Index Options'!$C:$C,$A66,'NSE - NIFTY Index Options'!$B:$B,E$4,'NSE - NIFTY Index Options'!$I:$I,"Weekly*")+SUMIFS('NSE - NIFTY Index Options'!$M:$M,'NSE - NIFTY Index Options'!$C:$C,$A66,'NSE - NIFTY Index Options'!$B:$B,E$4,'NSE - NIFTY Index Options'!$I:$I,"MDAW*")+SUMIFS('NSE - Other Index Options'!$M:$M,'NSE - Other Index Options'!$C:$C,$A66,'NSE - Other Index Options'!$B:$B,E$4,'NSE - Other Index Options'!$I:$I,"Weekly*")+SUMIFS('NSE - Other Index Options'!$M:$M,'NSE - Other Index Options'!$C:$C,$A66,'NSE - Other Index Options'!$B:$B,E$4,'NSE - Other Index Options'!$I:$I,"MDAW*")=0,"",SUMIFS('NSE - NIFTY Index Options'!$M:$M,'NSE - NIFTY Index Options'!$C:$C,$A66,'NSE - NIFTY Index Options'!$B:$B,E$4,'NSE - NIFTY Index Options'!$I:$I,"Weekly*")+SUMIFS('NSE - NIFTY Index Options'!$M:$M,'NSE - NIFTY Index Options'!$C:$C,$A66,'NSE - NIFTY Index Options'!$B:$B,E$4,'NSE - NIFTY Index Options'!$I:$I,"MDAW*")+SUMIFS('NSE - Other Index Options'!$M:$M,'NSE - Other Index Options'!$C:$C,$A66,'NSE - Other Index Options'!$B:$B,E$4,'NSE - Other Index Options'!$I:$I,"Weekly*")+SUMIFS('NSE - Other Index Options'!$M:$M,'NSE - Other Index Options'!$C:$C,$A66,'NSE - Other Index Options'!$B:$B,E$4,'NSE - Other Index Options'!$I:$I,"MDAW*"))</f>
        <v/>
      </c>
      <c r="F66" s="26">
        <f>IF(SUMIFS('NSE - NIFTY Index Options'!$M:$M,'NSE - NIFTY Index Options'!$C:$C,$A66,'NSE - NIFTY Index Options'!$B:$B,F$4,'NSE - NIFTY Index Options'!$I:$I,"Weekly*")+SUMIFS('NSE - NIFTY Index Options'!$M:$M,'NSE - NIFTY Index Options'!$C:$C,$A66,'NSE - NIFTY Index Options'!$B:$B,F$4,'NSE - NIFTY Index Options'!$I:$I,"MDAW*")+SUMIFS('NSE - Other Index Options'!$M:$M,'NSE - Other Index Options'!$C:$C,$A66,'NSE - Other Index Options'!$B:$B,F$4,'NSE - Other Index Options'!$I:$I,"Weekly*")+SUMIFS('NSE - Other Index Options'!$M:$M,'NSE - Other Index Options'!$C:$C,$A66,'NSE - Other Index Options'!$B:$B,F$4,'NSE - Other Index Options'!$I:$I,"MDAW*")=0,"",SUMIFS('NSE - NIFTY Index Options'!$M:$M,'NSE - NIFTY Index Options'!$C:$C,$A66,'NSE - NIFTY Index Options'!$B:$B,F$4,'NSE - NIFTY Index Options'!$I:$I,"Weekly*")+SUMIFS('NSE - NIFTY Index Options'!$M:$M,'NSE - NIFTY Index Options'!$C:$C,$A66,'NSE - NIFTY Index Options'!$B:$B,F$4,'NSE - NIFTY Index Options'!$I:$I,"MDAW*")+SUMIFS('NSE - Other Index Options'!$M:$M,'NSE - Other Index Options'!$C:$C,$A66,'NSE - Other Index Options'!$B:$B,F$4,'NSE - Other Index Options'!$I:$I,"Weekly*")+SUMIFS('NSE - Other Index Options'!$M:$M,'NSE - Other Index Options'!$C:$C,$A66,'NSE - Other Index Options'!$B:$B,F$4,'NSE - Other Index Options'!$I:$I,"MDAW*"))</f>
        <v/>
      </c>
      <c r="G66" s="26">
        <f>IF(SUMIFS('NSE - NIFTY Index Options'!$M:$M,'NSE - NIFTY Index Options'!$C:$C,$A66,'NSE - NIFTY Index Options'!$B:$B,G$4,'NSE - NIFTY Index Options'!$I:$I,"Weekly*")+SUMIFS('NSE - NIFTY Index Options'!$M:$M,'NSE - NIFTY Index Options'!$C:$C,$A66,'NSE - NIFTY Index Options'!$B:$B,G$4,'NSE - NIFTY Index Options'!$I:$I,"MDAW*")+SUMIFS('NSE - Other Index Options'!$M:$M,'NSE - Other Index Options'!$C:$C,$A66,'NSE - Other Index Options'!$B:$B,G$4,'NSE - Other Index Options'!$I:$I,"Weekly*")+SUMIFS('NSE - Other Index Options'!$M:$M,'NSE - Other Index Options'!$C:$C,$A66,'NSE - Other Index Options'!$B:$B,G$4,'NSE - Other Index Options'!$I:$I,"MDAW*")=0,"",SUMIFS('NSE - NIFTY Index Options'!$M:$M,'NSE - NIFTY Index Options'!$C:$C,$A66,'NSE - NIFTY Index Options'!$B:$B,G$4,'NSE - NIFTY Index Options'!$I:$I,"Weekly*")+SUMIFS('NSE - NIFTY Index Options'!$M:$M,'NSE - NIFTY Index Options'!$C:$C,$A66,'NSE - NIFTY Index Options'!$B:$B,G$4,'NSE - NIFTY Index Options'!$I:$I,"MDAW*")+SUMIFS('NSE - Other Index Options'!$M:$M,'NSE - Other Index Options'!$C:$C,$A66,'NSE - Other Index Options'!$B:$B,G$4,'NSE - Other Index Options'!$I:$I,"Weekly*")+SUMIFS('NSE - Other Index Options'!$M:$M,'NSE - Other Index Options'!$C:$C,$A66,'NSE - Other Index Options'!$B:$B,G$4,'NSE - Other Index Options'!$I:$I,"MDAW*"))</f>
        <v/>
      </c>
      <c r="H66" s="26">
        <f>IF(SUM(B66:G66)=0,"",SUM(B66:G66))</f>
        <v/>
      </c>
    </row>
    <row r="67" hidden="1" outlineLevel="1">
      <c r="A67" t="inlineStr">
        <is>
          <t>Week4-Sep-2026</t>
        </is>
      </c>
      <c r="B67" s="26">
        <f>IF(SUMIFS('NSE - NIFTY Index Options'!$M:$M,'NSE - NIFTY Index Options'!$C:$C,$A67,'NSE - NIFTY Index Options'!$B:$B,B$4,'NSE - NIFTY Index Options'!$I:$I,"Weekly*")+SUMIFS('NSE - NIFTY Index Options'!$M:$M,'NSE - NIFTY Index Options'!$C:$C,$A67,'NSE - NIFTY Index Options'!$B:$B,B$4,'NSE - NIFTY Index Options'!$I:$I,"MDAW*")+SUMIFS('NSE - Other Index Options'!$M:$M,'NSE - Other Index Options'!$C:$C,$A67,'NSE - Other Index Options'!$B:$B,B$4,'NSE - Other Index Options'!$I:$I,"Weekly*")+SUMIFS('NSE - Other Index Options'!$M:$M,'NSE - Other Index Options'!$C:$C,$A67,'NSE - Other Index Options'!$B:$B,B$4,'NSE - Other Index Options'!$I:$I,"MDAW*")=0,"",SUMIFS('NSE - NIFTY Index Options'!$M:$M,'NSE - NIFTY Index Options'!$C:$C,$A67,'NSE - NIFTY Index Options'!$B:$B,B$4,'NSE - NIFTY Index Options'!$I:$I,"Weekly*")+SUMIFS('NSE - NIFTY Index Options'!$M:$M,'NSE - NIFTY Index Options'!$C:$C,$A67,'NSE - NIFTY Index Options'!$B:$B,B$4,'NSE - NIFTY Index Options'!$I:$I,"MDAW*")+SUMIFS('NSE - Other Index Options'!$M:$M,'NSE - Other Index Options'!$C:$C,$A67,'NSE - Other Index Options'!$B:$B,B$4,'NSE - Other Index Options'!$I:$I,"Weekly*")+SUMIFS('NSE - Other Index Options'!$M:$M,'NSE - Other Index Options'!$C:$C,$A67,'NSE - Other Index Options'!$B:$B,B$4,'NSE - Other Index Options'!$I:$I,"MDAW*"))</f>
        <v/>
      </c>
      <c r="C67" s="26">
        <f>IF(SUMIFS('NSE - NIFTY Index Options'!$M:$M,'NSE - NIFTY Index Options'!$C:$C,$A67,'NSE - NIFTY Index Options'!$B:$B,C$4,'NSE - NIFTY Index Options'!$I:$I,"Weekly*")+SUMIFS('NSE - NIFTY Index Options'!$M:$M,'NSE - NIFTY Index Options'!$C:$C,$A67,'NSE - NIFTY Index Options'!$B:$B,C$4,'NSE - NIFTY Index Options'!$I:$I,"MDAW*")+SUMIFS('NSE - Other Index Options'!$M:$M,'NSE - Other Index Options'!$C:$C,$A67,'NSE - Other Index Options'!$B:$B,C$4,'NSE - Other Index Options'!$I:$I,"Weekly*")+SUMIFS('NSE - Other Index Options'!$M:$M,'NSE - Other Index Options'!$C:$C,$A67,'NSE - Other Index Options'!$B:$B,C$4,'NSE - Other Index Options'!$I:$I,"MDAW*")=0,"",SUMIFS('NSE - NIFTY Index Options'!$M:$M,'NSE - NIFTY Index Options'!$C:$C,$A67,'NSE - NIFTY Index Options'!$B:$B,C$4,'NSE - NIFTY Index Options'!$I:$I,"Weekly*")+SUMIFS('NSE - NIFTY Index Options'!$M:$M,'NSE - NIFTY Index Options'!$C:$C,$A67,'NSE - NIFTY Index Options'!$B:$B,C$4,'NSE - NIFTY Index Options'!$I:$I,"MDAW*")+SUMIFS('NSE - Other Index Options'!$M:$M,'NSE - Other Index Options'!$C:$C,$A67,'NSE - Other Index Options'!$B:$B,C$4,'NSE - Other Index Options'!$I:$I,"Weekly*")+SUMIFS('NSE - Other Index Options'!$M:$M,'NSE - Other Index Options'!$C:$C,$A67,'NSE - Other Index Options'!$B:$B,C$4,'NSE - Other Index Options'!$I:$I,"MDAW*"))</f>
        <v/>
      </c>
      <c r="D67" s="26">
        <f>IF(SUMIFS('NSE - NIFTY Index Options'!$M:$M,'NSE - NIFTY Index Options'!$C:$C,$A67,'NSE - NIFTY Index Options'!$B:$B,D$4,'NSE - NIFTY Index Options'!$I:$I,"Weekly*")+SUMIFS('NSE - NIFTY Index Options'!$M:$M,'NSE - NIFTY Index Options'!$C:$C,$A67,'NSE - NIFTY Index Options'!$B:$B,D$4,'NSE - NIFTY Index Options'!$I:$I,"MDAW*")+SUMIFS('NSE - Other Index Options'!$M:$M,'NSE - Other Index Options'!$C:$C,$A67,'NSE - Other Index Options'!$B:$B,D$4,'NSE - Other Index Options'!$I:$I,"Weekly*")+SUMIFS('NSE - Other Index Options'!$M:$M,'NSE - Other Index Options'!$C:$C,$A67,'NSE - Other Index Options'!$B:$B,D$4,'NSE - Other Index Options'!$I:$I,"MDAW*")=0,"",SUMIFS('NSE - NIFTY Index Options'!$M:$M,'NSE - NIFTY Index Options'!$C:$C,$A67,'NSE - NIFTY Index Options'!$B:$B,D$4,'NSE - NIFTY Index Options'!$I:$I,"Weekly*")+SUMIFS('NSE - NIFTY Index Options'!$M:$M,'NSE - NIFTY Index Options'!$C:$C,$A67,'NSE - NIFTY Index Options'!$B:$B,D$4,'NSE - NIFTY Index Options'!$I:$I,"MDAW*")+SUMIFS('NSE - Other Index Options'!$M:$M,'NSE - Other Index Options'!$C:$C,$A67,'NSE - Other Index Options'!$B:$B,D$4,'NSE - Other Index Options'!$I:$I,"Weekly*")+SUMIFS('NSE - Other Index Options'!$M:$M,'NSE - Other Index Options'!$C:$C,$A67,'NSE - Other Index Options'!$B:$B,D$4,'NSE - Other Index Options'!$I:$I,"MDAW*"))</f>
        <v/>
      </c>
      <c r="E67" s="26">
        <f>IF(SUMIFS('NSE - NIFTY Index Options'!$M:$M,'NSE - NIFTY Index Options'!$C:$C,$A67,'NSE - NIFTY Index Options'!$B:$B,E$4,'NSE - NIFTY Index Options'!$I:$I,"Weekly*")+SUMIFS('NSE - NIFTY Index Options'!$M:$M,'NSE - NIFTY Index Options'!$C:$C,$A67,'NSE - NIFTY Index Options'!$B:$B,E$4,'NSE - NIFTY Index Options'!$I:$I,"MDAW*")+SUMIFS('NSE - Other Index Options'!$M:$M,'NSE - Other Index Options'!$C:$C,$A67,'NSE - Other Index Options'!$B:$B,E$4,'NSE - Other Index Options'!$I:$I,"Weekly*")+SUMIFS('NSE - Other Index Options'!$M:$M,'NSE - Other Index Options'!$C:$C,$A67,'NSE - Other Index Options'!$B:$B,E$4,'NSE - Other Index Options'!$I:$I,"MDAW*")=0,"",SUMIFS('NSE - NIFTY Index Options'!$M:$M,'NSE - NIFTY Index Options'!$C:$C,$A67,'NSE - NIFTY Index Options'!$B:$B,E$4,'NSE - NIFTY Index Options'!$I:$I,"Weekly*")+SUMIFS('NSE - NIFTY Index Options'!$M:$M,'NSE - NIFTY Index Options'!$C:$C,$A67,'NSE - NIFTY Index Options'!$B:$B,E$4,'NSE - NIFTY Index Options'!$I:$I,"MDAW*")+SUMIFS('NSE - Other Index Options'!$M:$M,'NSE - Other Index Options'!$C:$C,$A67,'NSE - Other Index Options'!$B:$B,E$4,'NSE - Other Index Options'!$I:$I,"Weekly*")+SUMIFS('NSE - Other Index Options'!$M:$M,'NSE - Other Index Options'!$C:$C,$A67,'NSE - Other Index Options'!$B:$B,E$4,'NSE - Other Index Options'!$I:$I,"MDAW*"))</f>
        <v/>
      </c>
      <c r="F67" s="26">
        <f>IF(SUMIFS('NSE - NIFTY Index Options'!$M:$M,'NSE - NIFTY Index Options'!$C:$C,$A67,'NSE - NIFTY Index Options'!$B:$B,F$4,'NSE - NIFTY Index Options'!$I:$I,"Weekly*")+SUMIFS('NSE - NIFTY Index Options'!$M:$M,'NSE - NIFTY Index Options'!$C:$C,$A67,'NSE - NIFTY Index Options'!$B:$B,F$4,'NSE - NIFTY Index Options'!$I:$I,"MDAW*")+SUMIFS('NSE - Other Index Options'!$M:$M,'NSE - Other Index Options'!$C:$C,$A67,'NSE - Other Index Options'!$B:$B,F$4,'NSE - Other Index Options'!$I:$I,"Weekly*")+SUMIFS('NSE - Other Index Options'!$M:$M,'NSE - Other Index Options'!$C:$C,$A67,'NSE - Other Index Options'!$B:$B,F$4,'NSE - Other Index Options'!$I:$I,"MDAW*")=0,"",SUMIFS('NSE - NIFTY Index Options'!$M:$M,'NSE - NIFTY Index Options'!$C:$C,$A67,'NSE - NIFTY Index Options'!$B:$B,F$4,'NSE - NIFTY Index Options'!$I:$I,"Weekly*")+SUMIFS('NSE - NIFTY Index Options'!$M:$M,'NSE - NIFTY Index Options'!$C:$C,$A67,'NSE - NIFTY Index Options'!$B:$B,F$4,'NSE - NIFTY Index Options'!$I:$I,"MDAW*")+SUMIFS('NSE - Other Index Options'!$M:$M,'NSE - Other Index Options'!$C:$C,$A67,'NSE - Other Index Options'!$B:$B,F$4,'NSE - Other Index Options'!$I:$I,"Weekly*")+SUMIFS('NSE - Other Index Options'!$M:$M,'NSE - Other Index Options'!$C:$C,$A67,'NSE - Other Index Options'!$B:$B,F$4,'NSE - Other Index Options'!$I:$I,"MDAW*"))</f>
        <v/>
      </c>
      <c r="G67" s="26">
        <f>IF(SUMIFS('NSE - NIFTY Index Options'!$M:$M,'NSE - NIFTY Index Options'!$C:$C,$A67,'NSE - NIFTY Index Options'!$B:$B,G$4,'NSE - NIFTY Index Options'!$I:$I,"Weekly*")+SUMIFS('NSE - NIFTY Index Options'!$M:$M,'NSE - NIFTY Index Options'!$C:$C,$A67,'NSE - NIFTY Index Options'!$B:$B,G$4,'NSE - NIFTY Index Options'!$I:$I,"MDAW*")+SUMIFS('NSE - Other Index Options'!$M:$M,'NSE - Other Index Options'!$C:$C,$A67,'NSE - Other Index Options'!$B:$B,G$4,'NSE - Other Index Options'!$I:$I,"Weekly*")+SUMIFS('NSE - Other Index Options'!$M:$M,'NSE - Other Index Options'!$C:$C,$A67,'NSE - Other Index Options'!$B:$B,G$4,'NSE - Other Index Options'!$I:$I,"MDAW*")=0,"",SUMIFS('NSE - NIFTY Index Options'!$M:$M,'NSE - NIFTY Index Options'!$C:$C,$A67,'NSE - NIFTY Index Options'!$B:$B,G$4,'NSE - NIFTY Index Options'!$I:$I,"Weekly*")+SUMIFS('NSE - NIFTY Index Options'!$M:$M,'NSE - NIFTY Index Options'!$C:$C,$A67,'NSE - NIFTY Index Options'!$B:$B,G$4,'NSE - NIFTY Index Options'!$I:$I,"MDAW*")+SUMIFS('NSE - Other Index Options'!$M:$M,'NSE - Other Index Options'!$C:$C,$A67,'NSE - Other Index Options'!$B:$B,G$4,'NSE - Other Index Options'!$I:$I,"Weekly*")+SUMIFS('NSE - Other Index Options'!$M:$M,'NSE - Other Index Options'!$C:$C,$A67,'NSE - Other Index Options'!$B:$B,G$4,'NSE - Other Index Options'!$I:$I,"MDAW*"))</f>
        <v/>
      </c>
      <c r="H67" s="26">
        <f>IF(SUM(B67:G67)=0,"",SUM(B67:G67))</f>
        <v/>
      </c>
    </row>
    <row r="68" hidden="1" outlineLevel="1">
      <c r="A68" t="inlineStr">
        <is>
          <t>Week5-Sep-2026</t>
        </is>
      </c>
      <c r="B68" s="26">
        <f>IF(SUMIFS('NSE - NIFTY Index Options'!$M:$M,'NSE - NIFTY Index Options'!$C:$C,$A68,'NSE - NIFTY Index Options'!$B:$B,B$4,'NSE - NIFTY Index Options'!$I:$I,"Weekly*")+SUMIFS('NSE - NIFTY Index Options'!$M:$M,'NSE - NIFTY Index Options'!$C:$C,$A68,'NSE - NIFTY Index Options'!$B:$B,B$4,'NSE - NIFTY Index Options'!$I:$I,"MDAW*")+SUMIFS('NSE - Other Index Options'!$M:$M,'NSE - Other Index Options'!$C:$C,$A68,'NSE - Other Index Options'!$B:$B,B$4,'NSE - Other Index Options'!$I:$I,"Weekly*")+SUMIFS('NSE - Other Index Options'!$M:$M,'NSE - Other Index Options'!$C:$C,$A68,'NSE - Other Index Options'!$B:$B,B$4,'NSE - Other Index Options'!$I:$I,"MDAW*")=0,"",SUMIFS('NSE - NIFTY Index Options'!$M:$M,'NSE - NIFTY Index Options'!$C:$C,$A68,'NSE - NIFTY Index Options'!$B:$B,B$4,'NSE - NIFTY Index Options'!$I:$I,"Weekly*")+SUMIFS('NSE - NIFTY Index Options'!$M:$M,'NSE - NIFTY Index Options'!$C:$C,$A68,'NSE - NIFTY Index Options'!$B:$B,B$4,'NSE - NIFTY Index Options'!$I:$I,"MDAW*")+SUMIFS('NSE - Other Index Options'!$M:$M,'NSE - Other Index Options'!$C:$C,$A68,'NSE - Other Index Options'!$B:$B,B$4,'NSE - Other Index Options'!$I:$I,"Weekly*")+SUMIFS('NSE - Other Index Options'!$M:$M,'NSE - Other Index Options'!$C:$C,$A68,'NSE - Other Index Options'!$B:$B,B$4,'NSE - Other Index Options'!$I:$I,"MDAW*"))</f>
        <v/>
      </c>
      <c r="C68" s="26">
        <f>IF(SUMIFS('NSE - NIFTY Index Options'!$M:$M,'NSE - NIFTY Index Options'!$C:$C,$A68,'NSE - NIFTY Index Options'!$B:$B,C$4,'NSE - NIFTY Index Options'!$I:$I,"Weekly*")+SUMIFS('NSE - NIFTY Index Options'!$M:$M,'NSE - NIFTY Index Options'!$C:$C,$A68,'NSE - NIFTY Index Options'!$B:$B,C$4,'NSE - NIFTY Index Options'!$I:$I,"MDAW*")+SUMIFS('NSE - Other Index Options'!$M:$M,'NSE - Other Index Options'!$C:$C,$A68,'NSE - Other Index Options'!$B:$B,C$4,'NSE - Other Index Options'!$I:$I,"Weekly*")+SUMIFS('NSE - Other Index Options'!$M:$M,'NSE - Other Index Options'!$C:$C,$A68,'NSE - Other Index Options'!$B:$B,C$4,'NSE - Other Index Options'!$I:$I,"MDAW*")=0,"",SUMIFS('NSE - NIFTY Index Options'!$M:$M,'NSE - NIFTY Index Options'!$C:$C,$A68,'NSE - NIFTY Index Options'!$B:$B,C$4,'NSE - NIFTY Index Options'!$I:$I,"Weekly*")+SUMIFS('NSE - NIFTY Index Options'!$M:$M,'NSE - NIFTY Index Options'!$C:$C,$A68,'NSE - NIFTY Index Options'!$B:$B,C$4,'NSE - NIFTY Index Options'!$I:$I,"MDAW*")+SUMIFS('NSE - Other Index Options'!$M:$M,'NSE - Other Index Options'!$C:$C,$A68,'NSE - Other Index Options'!$B:$B,C$4,'NSE - Other Index Options'!$I:$I,"Weekly*")+SUMIFS('NSE - Other Index Options'!$M:$M,'NSE - Other Index Options'!$C:$C,$A68,'NSE - Other Index Options'!$B:$B,C$4,'NSE - Other Index Options'!$I:$I,"MDAW*"))</f>
        <v/>
      </c>
      <c r="D68" s="26">
        <f>IF(SUMIFS('NSE - NIFTY Index Options'!$M:$M,'NSE - NIFTY Index Options'!$C:$C,$A68,'NSE - NIFTY Index Options'!$B:$B,D$4,'NSE - NIFTY Index Options'!$I:$I,"Weekly*")+SUMIFS('NSE - NIFTY Index Options'!$M:$M,'NSE - NIFTY Index Options'!$C:$C,$A68,'NSE - NIFTY Index Options'!$B:$B,D$4,'NSE - NIFTY Index Options'!$I:$I,"MDAW*")+SUMIFS('NSE - Other Index Options'!$M:$M,'NSE - Other Index Options'!$C:$C,$A68,'NSE - Other Index Options'!$B:$B,D$4,'NSE - Other Index Options'!$I:$I,"Weekly*")+SUMIFS('NSE - Other Index Options'!$M:$M,'NSE - Other Index Options'!$C:$C,$A68,'NSE - Other Index Options'!$B:$B,D$4,'NSE - Other Index Options'!$I:$I,"MDAW*")=0,"",SUMIFS('NSE - NIFTY Index Options'!$M:$M,'NSE - NIFTY Index Options'!$C:$C,$A68,'NSE - NIFTY Index Options'!$B:$B,D$4,'NSE - NIFTY Index Options'!$I:$I,"Weekly*")+SUMIFS('NSE - NIFTY Index Options'!$M:$M,'NSE - NIFTY Index Options'!$C:$C,$A68,'NSE - NIFTY Index Options'!$B:$B,D$4,'NSE - NIFTY Index Options'!$I:$I,"MDAW*")+SUMIFS('NSE - Other Index Options'!$M:$M,'NSE - Other Index Options'!$C:$C,$A68,'NSE - Other Index Options'!$B:$B,D$4,'NSE - Other Index Options'!$I:$I,"Weekly*")+SUMIFS('NSE - Other Index Options'!$M:$M,'NSE - Other Index Options'!$C:$C,$A68,'NSE - Other Index Options'!$B:$B,D$4,'NSE - Other Index Options'!$I:$I,"MDAW*"))</f>
        <v/>
      </c>
      <c r="E68" s="26">
        <f>IF(SUMIFS('NSE - NIFTY Index Options'!$M:$M,'NSE - NIFTY Index Options'!$C:$C,$A68,'NSE - NIFTY Index Options'!$B:$B,E$4,'NSE - NIFTY Index Options'!$I:$I,"Weekly*")+SUMIFS('NSE - NIFTY Index Options'!$M:$M,'NSE - NIFTY Index Options'!$C:$C,$A68,'NSE - NIFTY Index Options'!$B:$B,E$4,'NSE - NIFTY Index Options'!$I:$I,"MDAW*")+SUMIFS('NSE - Other Index Options'!$M:$M,'NSE - Other Index Options'!$C:$C,$A68,'NSE - Other Index Options'!$B:$B,E$4,'NSE - Other Index Options'!$I:$I,"Weekly*")+SUMIFS('NSE - Other Index Options'!$M:$M,'NSE - Other Index Options'!$C:$C,$A68,'NSE - Other Index Options'!$B:$B,E$4,'NSE - Other Index Options'!$I:$I,"MDAW*")=0,"",SUMIFS('NSE - NIFTY Index Options'!$M:$M,'NSE - NIFTY Index Options'!$C:$C,$A68,'NSE - NIFTY Index Options'!$B:$B,E$4,'NSE - NIFTY Index Options'!$I:$I,"Weekly*")+SUMIFS('NSE - NIFTY Index Options'!$M:$M,'NSE - NIFTY Index Options'!$C:$C,$A68,'NSE - NIFTY Index Options'!$B:$B,E$4,'NSE - NIFTY Index Options'!$I:$I,"MDAW*")+SUMIFS('NSE - Other Index Options'!$M:$M,'NSE - Other Index Options'!$C:$C,$A68,'NSE - Other Index Options'!$B:$B,E$4,'NSE - Other Index Options'!$I:$I,"Weekly*")+SUMIFS('NSE - Other Index Options'!$M:$M,'NSE - Other Index Options'!$C:$C,$A68,'NSE - Other Index Options'!$B:$B,E$4,'NSE - Other Index Options'!$I:$I,"MDAW*"))</f>
        <v/>
      </c>
      <c r="F68" s="26">
        <f>IF(SUMIFS('NSE - NIFTY Index Options'!$M:$M,'NSE - NIFTY Index Options'!$C:$C,$A68,'NSE - NIFTY Index Options'!$B:$B,F$4,'NSE - NIFTY Index Options'!$I:$I,"Weekly*")+SUMIFS('NSE - NIFTY Index Options'!$M:$M,'NSE - NIFTY Index Options'!$C:$C,$A68,'NSE - NIFTY Index Options'!$B:$B,F$4,'NSE - NIFTY Index Options'!$I:$I,"MDAW*")+SUMIFS('NSE - Other Index Options'!$M:$M,'NSE - Other Index Options'!$C:$C,$A68,'NSE - Other Index Options'!$B:$B,F$4,'NSE - Other Index Options'!$I:$I,"Weekly*")+SUMIFS('NSE - Other Index Options'!$M:$M,'NSE - Other Index Options'!$C:$C,$A68,'NSE - Other Index Options'!$B:$B,F$4,'NSE - Other Index Options'!$I:$I,"MDAW*")=0,"",SUMIFS('NSE - NIFTY Index Options'!$M:$M,'NSE - NIFTY Index Options'!$C:$C,$A68,'NSE - NIFTY Index Options'!$B:$B,F$4,'NSE - NIFTY Index Options'!$I:$I,"Weekly*")+SUMIFS('NSE - NIFTY Index Options'!$M:$M,'NSE - NIFTY Index Options'!$C:$C,$A68,'NSE - NIFTY Index Options'!$B:$B,F$4,'NSE - NIFTY Index Options'!$I:$I,"MDAW*")+SUMIFS('NSE - Other Index Options'!$M:$M,'NSE - Other Index Options'!$C:$C,$A68,'NSE - Other Index Options'!$B:$B,F$4,'NSE - Other Index Options'!$I:$I,"Weekly*")+SUMIFS('NSE - Other Index Options'!$M:$M,'NSE - Other Index Options'!$C:$C,$A68,'NSE - Other Index Options'!$B:$B,F$4,'NSE - Other Index Options'!$I:$I,"MDAW*"))</f>
        <v/>
      </c>
      <c r="G68" s="26">
        <f>IF(SUMIFS('NSE - NIFTY Index Options'!$M:$M,'NSE - NIFTY Index Options'!$C:$C,$A68,'NSE - NIFTY Index Options'!$B:$B,G$4,'NSE - NIFTY Index Options'!$I:$I,"Weekly*")+SUMIFS('NSE - NIFTY Index Options'!$M:$M,'NSE - NIFTY Index Options'!$C:$C,$A68,'NSE - NIFTY Index Options'!$B:$B,G$4,'NSE - NIFTY Index Options'!$I:$I,"MDAW*")+SUMIFS('NSE - Other Index Options'!$M:$M,'NSE - Other Index Options'!$C:$C,$A68,'NSE - Other Index Options'!$B:$B,G$4,'NSE - Other Index Options'!$I:$I,"Weekly*")+SUMIFS('NSE - Other Index Options'!$M:$M,'NSE - Other Index Options'!$C:$C,$A68,'NSE - Other Index Options'!$B:$B,G$4,'NSE - Other Index Options'!$I:$I,"MDAW*")=0,"",SUMIFS('NSE - NIFTY Index Options'!$M:$M,'NSE - NIFTY Index Options'!$C:$C,$A68,'NSE - NIFTY Index Options'!$B:$B,G$4,'NSE - NIFTY Index Options'!$I:$I,"Weekly*")+SUMIFS('NSE - NIFTY Index Options'!$M:$M,'NSE - NIFTY Index Options'!$C:$C,$A68,'NSE - NIFTY Index Options'!$B:$B,G$4,'NSE - NIFTY Index Options'!$I:$I,"MDAW*")+SUMIFS('NSE - Other Index Options'!$M:$M,'NSE - Other Index Options'!$C:$C,$A68,'NSE - Other Index Options'!$B:$B,G$4,'NSE - Other Index Options'!$I:$I,"Weekly*")+SUMIFS('NSE - Other Index Options'!$M:$M,'NSE - Other Index Options'!$C:$C,$A68,'NSE - Other Index Options'!$B:$B,G$4,'NSE - Other Index Options'!$I:$I,"MDAW*"))</f>
        <v/>
      </c>
      <c r="H68" s="26">
        <f>IF(SUM(B68:G68)=0,"",SUM(B68:G68))</f>
        <v/>
      </c>
    </row>
    <row r="69" hidden="1" outlineLevel="1">
      <c r="A69" t="inlineStr">
        <is>
          <t>Week1-Oct-2026</t>
        </is>
      </c>
      <c r="B69" s="26">
        <f>IF(SUMIFS('NSE - NIFTY Index Options'!$M:$M,'NSE - NIFTY Index Options'!$C:$C,$A69,'NSE - NIFTY Index Options'!$B:$B,B$4,'NSE - NIFTY Index Options'!$I:$I,"Weekly*")+SUMIFS('NSE - NIFTY Index Options'!$M:$M,'NSE - NIFTY Index Options'!$C:$C,$A69,'NSE - NIFTY Index Options'!$B:$B,B$4,'NSE - NIFTY Index Options'!$I:$I,"MDAW*")+SUMIFS('NSE - Other Index Options'!$M:$M,'NSE - Other Index Options'!$C:$C,$A69,'NSE - Other Index Options'!$B:$B,B$4,'NSE - Other Index Options'!$I:$I,"Weekly*")+SUMIFS('NSE - Other Index Options'!$M:$M,'NSE - Other Index Options'!$C:$C,$A69,'NSE - Other Index Options'!$B:$B,B$4,'NSE - Other Index Options'!$I:$I,"MDAW*")=0,"",SUMIFS('NSE - NIFTY Index Options'!$M:$M,'NSE - NIFTY Index Options'!$C:$C,$A69,'NSE - NIFTY Index Options'!$B:$B,B$4,'NSE - NIFTY Index Options'!$I:$I,"Weekly*")+SUMIFS('NSE - NIFTY Index Options'!$M:$M,'NSE - NIFTY Index Options'!$C:$C,$A69,'NSE - NIFTY Index Options'!$B:$B,B$4,'NSE - NIFTY Index Options'!$I:$I,"MDAW*")+SUMIFS('NSE - Other Index Options'!$M:$M,'NSE - Other Index Options'!$C:$C,$A69,'NSE - Other Index Options'!$B:$B,B$4,'NSE - Other Index Options'!$I:$I,"Weekly*")+SUMIFS('NSE - Other Index Options'!$M:$M,'NSE - Other Index Options'!$C:$C,$A69,'NSE - Other Index Options'!$B:$B,B$4,'NSE - Other Index Options'!$I:$I,"MDAW*"))</f>
        <v/>
      </c>
      <c r="C69" s="26">
        <f>IF(SUMIFS('NSE - NIFTY Index Options'!$M:$M,'NSE - NIFTY Index Options'!$C:$C,$A69,'NSE - NIFTY Index Options'!$B:$B,C$4,'NSE - NIFTY Index Options'!$I:$I,"Weekly*")+SUMIFS('NSE - NIFTY Index Options'!$M:$M,'NSE - NIFTY Index Options'!$C:$C,$A69,'NSE - NIFTY Index Options'!$B:$B,C$4,'NSE - NIFTY Index Options'!$I:$I,"MDAW*")+SUMIFS('NSE - Other Index Options'!$M:$M,'NSE - Other Index Options'!$C:$C,$A69,'NSE - Other Index Options'!$B:$B,C$4,'NSE - Other Index Options'!$I:$I,"Weekly*")+SUMIFS('NSE - Other Index Options'!$M:$M,'NSE - Other Index Options'!$C:$C,$A69,'NSE - Other Index Options'!$B:$B,C$4,'NSE - Other Index Options'!$I:$I,"MDAW*")=0,"",SUMIFS('NSE - NIFTY Index Options'!$M:$M,'NSE - NIFTY Index Options'!$C:$C,$A69,'NSE - NIFTY Index Options'!$B:$B,C$4,'NSE - NIFTY Index Options'!$I:$I,"Weekly*")+SUMIFS('NSE - NIFTY Index Options'!$M:$M,'NSE - NIFTY Index Options'!$C:$C,$A69,'NSE - NIFTY Index Options'!$B:$B,C$4,'NSE - NIFTY Index Options'!$I:$I,"MDAW*")+SUMIFS('NSE - Other Index Options'!$M:$M,'NSE - Other Index Options'!$C:$C,$A69,'NSE - Other Index Options'!$B:$B,C$4,'NSE - Other Index Options'!$I:$I,"Weekly*")+SUMIFS('NSE - Other Index Options'!$M:$M,'NSE - Other Index Options'!$C:$C,$A69,'NSE - Other Index Options'!$B:$B,C$4,'NSE - Other Index Options'!$I:$I,"MDAW*"))</f>
        <v/>
      </c>
      <c r="D69" s="26">
        <f>IF(SUMIFS('NSE - NIFTY Index Options'!$M:$M,'NSE - NIFTY Index Options'!$C:$C,$A69,'NSE - NIFTY Index Options'!$B:$B,D$4,'NSE - NIFTY Index Options'!$I:$I,"Weekly*")+SUMIFS('NSE - NIFTY Index Options'!$M:$M,'NSE - NIFTY Index Options'!$C:$C,$A69,'NSE - NIFTY Index Options'!$B:$B,D$4,'NSE - NIFTY Index Options'!$I:$I,"MDAW*")+SUMIFS('NSE - Other Index Options'!$M:$M,'NSE - Other Index Options'!$C:$C,$A69,'NSE - Other Index Options'!$B:$B,D$4,'NSE - Other Index Options'!$I:$I,"Weekly*")+SUMIFS('NSE - Other Index Options'!$M:$M,'NSE - Other Index Options'!$C:$C,$A69,'NSE - Other Index Options'!$B:$B,D$4,'NSE - Other Index Options'!$I:$I,"MDAW*")=0,"",SUMIFS('NSE - NIFTY Index Options'!$M:$M,'NSE - NIFTY Index Options'!$C:$C,$A69,'NSE - NIFTY Index Options'!$B:$B,D$4,'NSE - NIFTY Index Options'!$I:$I,"Weekly*")+SUMIFS('NSE - NIFTY Index Options'!$M:$M,'NSE - NIFTY Index Options'!$C:$C,$A69,'NSE - NIFTY Index Options'!$B:$B,D$4,'NSE - NIFTY Index Options'!$I:$I,"MDAW*")+SUMIFS('NSE - Other Index Options'!$M:$M,'NSE - Other Index Options'!$C:$C,$A69,'NSE - Other Index Options'!$B:$B,D$4,'NSE - Other Index Options'!$I:$I,"Weekly*")+SUMIFS('NSE - Other Index Options'!$M:$M,'NSE - Other Index Options'!$C:$C,$A69,'NSE - Other Index Options'!$B:$B,D$4,'NSE - Other Index Options'!$I:$I,"MDAW*"))</f>
        <v/>
      </c>
      <c r="E69" s="26">
        <f>IF(SUMIFS('NSE - NIFTY Index Options'!$M:$M,'NSE - NIFTY Index Options'!$C:$C,$A69,'NSE - NIFTY Index Options'!$B:$B,E$4,'NSE - NIFTY Index Options'!$I:$I,"Weekly*")+SUMIFS('NSE - NIFTY Index Options'!$M:$M,'NSE - NIFTY Index Options'!$C:$C,$A69,'NSE - NIFTY Index Options'!$B:$B,E$4,'NSE - NIFTY Index Options'!$I:$I,"MDAW*")+SUMIFS('NSE - Other Index Options'!$M:$M,'NSE - Other Index Options'!$C:$C,$A69,'NSE - Other Index Options'!$B:$B,E$4,'NSE - Other Index Options'!$I:$I,"Weekly*")+SUMIFS('NSE - Other Index Options'!$M:$M,'NSE - Other Index Options'!$C:$C,$A69,'NSE - Other Index Options'!$B:$B,E$4,'NSE - Other Index Options'!$I:$I,"MDAW*")=0,"",SUMIFS('NSE - NIFTY Index Options'!$M:$M,'NSE - NIFTY Index Options'!$C:$C,$A69,'NSE - NIFTY Index Options'!$B:$B,E$4,'NSE - NIFTY Index Options'!$I:$I,"Weekly*")+SUMIFS('NSE - NIFTY Index Options'!$M:$M,'NSE - NIFTY Index Options'!$C:$C,$A69,'NSE - NIFTY Index Options'!$B:$B,E$4,'NSE - NIFTY Index Options'!$I:$I,"MDAW*")+SUMIFS('NSE - Other Index Options'!$M:$M,'NSE - Other Index Options'!$C:$C,$A69,'NSE - Other Index Options'!$B:$B,E$4,'NSE - Other Index Options'!$I:$I,"Weekly*")+SUMIFS('NSE - Other Index Options'!$M:$M,'NSE - Other Index Options'!$C:$C,$A69,'NSE - Other Index Options'!$B:$B,E$4,'NSE - Other Index Options'!$I:$I,"MDAW*"))</f>
        <v/>
      </c>
      <c r="F69" s="26">
        <f>IF(SUMIFS('NSE - NIFTY Index Options'!$M:$M,'NSE - NIFTY Index Options'!$C:$C,$A69,'NSE - NIFTY Index Options'!$B:$B,F$4,'NSE - NIFTY Index Options'!$I:$I,"Weekly*")+SUMIFS('NSE - NIFTY Index Options'!$M:$M,'NSE - NIFTY Index Options'!$C:$C,$A69,'NSE - NIFTY Index Options'!$B:$B,F$4,'NSE - NIFTY Index Options'!$I:$I,"MDAW*")+SUMIFS('NSE - Other Index Options'!$M:$M,'NSE - Other Index Options'!$C:$C,$A69,'NSE - Other Index Options'!$B:$B,F$4,'NSE - Other Index Options'!$I:$I,"Weekly*")+SUMIFS('NSE - Other Index Options'!$M:$M,'NSE - Other Index Options'!$C:$C,$A69,'NSE - Other Index Options'!$B:$B,F$4,'NSE - Other Index Options'!$I:$I,"MDAW*")=0,"",SUMIFS('NSE - NIFTY Index Options'!$M:$M,'NSE - NIFTY Index Options'!$C:$C,$A69,'NSE - NIFTY Index Options'!$B:$B,F$4,'NSE - NIFTY Index Options'!$I:$I,"Weekly*")+SUMIFS('NSE - NIFTY Index Options'!$M:$M,'NSE - NIFTY Index Options'!$C:$C,$A69,'NSE - NIFTY Index Options'!$B:$B,F$4,'NSE - NIFTY Index Options'!$I:$I,"MDAW*")+SUMIFS('NSE - Other Index Options'!$M:$M,'NSE - Other Index Options'!$C:$C,$A69,'NSE - Other Index Options'!$B:$B,F$4,'NSE - Other Index Options'!$I:$I,"Weekly*")+SUMIFS('NSE - Other Index Options'!$M:$M,'NSE - Other Index Options'!$C:$C,$A69,'NSE - Other Index Options'!$B:$B,F$4,'NSE - Other Index Options'!$I:$I,"MDAW*"))</f>
        <v/>
      </c>
      <c r="G69" s="26">
        <f>IF(SUMIFS('NSE - NIFTY Index Options'!$M:$M,'NSE - NIFTY Index Options'!$C:$C,$A69,'NSE - NIFTY Index Options'!$B:$B,G$4,'NSE - NIFTY Index Options'!$I:$I,"Weekly*")+SUMIFS('NSE - NIFTY Index Options'!$M:$M,'NSE - NIFTY Index Options'!$C:$C,$A69,'NSE - NIFTY Index Options'!$B:$B,G$4,'NSE - NIFTY Index Options'!$I:$I,"MDAW*")+SUMIFS('NSE - Other Index Options'!$M:$M,'NSE - Other Index Options'!$C:$C,$A69,'NSE - Other Index Options'!$B:$B,G$4,'NSE - Other Index Options'!$I:$I,"Weekly*")+SUMIFS('NSE - Other Index Options'!$M:$M,'NSE - Other Index Options'!$C:$C,$A69,'NSE - Other Index Options'!$B:$B,G$4,'NSE - Other Index Options'!$I:$I,"MDAW*")=0,"",SUMIFS('NSE - NIFTY Index Options'!$M:$M,'NSE - NIFTY Index Options'!$C:$C,$A69,'NSE - NIFTY Index Options'!$B:$B,G$4,'NSE - NIFTY Index Options'!$I:$I,"Weekly*")+SUMIFS('NSE - NIFTY Index Options'!$M:$M,'NSE - NIFTY Index Options'!$C:$C,$A69,'NSE - NIFTY Index Options'!$B:$B,G$4,'NSE - NIFTY Index Options'!$I:$I,"MDAW*")+SUMIFS('NSE - Other Index Options'!$M:$M,'NSE - Other Index Options'!$C:$C,$A69,'NSE - Other Index Options'!$B:$B,G$4,'NSE - Other Index Options'!$I:$I,"Weekly*")+SUMIFS('NSE - Other Index Options'!$M:$M,'NSE - Other Index Options'!$C:$C,$A69,'NSE - Other Index Options'!$B:$B,G$4,'NSE - Other Index Options'!$I:$I,"MDAW*"))</f>
        <v/>
      </c>
      <c r="H69" s="26">
        <f>IF(SUM(B69:G69)=0,"",SUM(B69:G69))</f>
        <v/>
      </c>
    </row>
    <row r="70" hidden="1" outlineLevel="1">
      <c r="A70" t="inlineStr">
        <is>
          <t>Week2-Oct-2026</t>
        </is>
      </c>
      <c r="B70" s="26">
        <f>IF(SUMIFS('NSE - NIFTY Index Options'!$M:$M,'NSE - NIFTY Index Options'!$C:$C,$A70,'NSE - NIFTY Index Options'!$B:$B,B$4,'NSE - NIFTY Index Options'!$I:$I,"Weekly*")+SUMIFS('NSE - NIFTY Index Options'!$M:$M,'NSE - NIFTY Index Options'!$C:$C,$A70,'NSE - NIFTY Index Options'!$B:$B,B$4,'NSE - NIFTY Index Options'!$I:$I,"MDAW*")+SUMIFS('NSE - Other Index Options'!$M:$M,'NSE - Other Index Options'!$C:$C,$A70,'NSE - Other Index Options'!$B:$B,B$4,'NSE - Other Index Options'!$I:$I,"Weekly*")+SUMIFS('NSE - Other Index Options'!$M:$M,'NSE - Other Index Options'!$C:$C,$A70,'NSE - Other Index Options'!$B:$B,B$4,'NSE - Other Index Options'!$I:$I,"MDAW*")=0,"",SUMIFS('NSE - NIFTY Index Options'!$M:$M,'NSE - NIFTY Index Options'!$C:$C,$A70,'NSE - NIFTY Index Options'!$B:$B,B$4,'NSE - NIFTY Index Options'!$I:$I,"Weekly*")+SUMIFS('NSE - NIFTY Index Options'!$M:$M,'NSE - NIFTY Index Options'!$C:$C,$A70,'NSE - NIFTY Index Options'!$B:$B,B$4,'NSE - NIFTY Index Options'!$I:$I,"MDAW*")+SUMIFS('NSE - Other Index Options'!$M:$M,'NSE - Other Index Options'!$C:$C,$A70,'NSE - Other Index Options'!$B:$B,B$4,'NSE - Other Index Options'!$I:$I,"Weekly*")+SUMIFS('NSE - Other Index Options'!$M:$M,'NSE - Other Index Options'!$C:$C,$A70,'NSE - Other Index Options'!$B:$B,B$4,'NSE - Other Index Options'!$I:$I,"MDAW*"))</f>
        <v/>
      </c>
      <c r="C70" s="26">
        <f>IF(SUMIFS('NSE - NIFTY Index Options'!$M:$M,'NSE - NIFTY Index Options'!$C:$C,$A70,'NSE - NIFTY Index Options'!$B:$B,C$4,'NSE - NIFTY Index Options'!$I:$I,"Weekly*")+SUMIFS('NSE - NIFTY Index Options'!$M:$M,'NSE - NIFTY Index Options'!$C:$C,$A70,'NSE - NIFTY Index Options'!$B:$B,C$4,'NSE - NIFTY Index Options'!$I:$I,"MDAW*")+SUMIFS('NSE - Other Index Options'!$M:$M,'NSE - Other Index Options'!$C:$C,$A70,'NSE - Other Index Options'!$B:$B,C$4,'NSE - Other Index Options'!$I:$I,"Weekly*")+SUMIFS('NSE - Other Index Options'!$M:$M,'NSE - Other Index Options'!$C:$C,$A70,'NSE - Other Index Options'!$B:$B,C$4,'NSE - Other Index Options'!$I:$I,"MDAW*")=0,"",SUMIFS('NSE - NIFTY Index Options'!$M:$M,'NSE - NIFTY Index Options'!$C:$C,$A70,'NSE - NIFTY Index Options'!$B:$B,C$4,'NSE - NIFTY Index Options'!$I:$I,"Weekly*")+SUMIFS('NSE - NIFTY Index Options'!$M:$M,'NSE - NIFTY Index Options'!$C:$C,$A70,'NSE - NIFTY Index Options'!$B:$B,C$4,'NSE - NIFTY Index Options'!$I:$I,"MDAW*")+SUMIFS('NSE - Other Index Options'!$M:$M,'NSE - Other Index Options'!$C:$C,$A70,'NSE - Other Index Options'!$B:$B,C$4,'NSE - Other Index Options'!$I:$I,"Weekly*")+SUMIFS('NSE - Other Index Options'!$M:$M,'NSE - Other Index Options'!$C:$C,$A70,'NSE - Other Index Options'!$B:$B,C$4,'NSE - Other Index Options'!$I:$I,"MDAW*"))</f>
        <v/>
      </c>
      <c r="D70" s="26">
        <f>IF(SUMIFS('NSE - NIFTY Index Options'!$M:$M,'NSE - NIFTY Index Options'!$C:$C,$A70,'NSE - NIFTY Index Options'!$B:$B,D$4,'NSE - NIFTY Index Options'!$I:$I,"Weekly*")+SUMIFS('NSE - NIFTY Index Options'!$M:$M,'NSE - NIFTY Index Options'!$C:$C,$A70,'NSE - NIFTY Index Options'!$B:$B,D$4,'NSE - NIFTY Index Options'!$I:$I,"MDAW*")+SUMIFS('NSE - Other Index Options'!$M:$M,'NSE - Other Index Options'!$C:$C,$A70,'NSE - Other Index Options'!$B:$B,D$4,'NSE - Other Index Options'!$I:$I,"Weekly*")+SUMIFS('NSE - Other Index Options'!$M:$M,'NSE - Other Index Options'!$C:$C,$A70,'NSE - Other Index Options'!$B:$B,D$4,'NSE - Other Index Options'!$I:$I,"MDAW*")=0,"",SUMIFS('NSE - NIFTY Index Options'!$M:$M,'NSE - NIFTY Index Options'!$C:$C,$A70,'NSE - NIFTY Index Options'!$B:$B,D$4,'NSE - NIFTY Index Options'!$I:$I,"Weekly*")+SUMIFS('NSE - NIFTY Index Options'!$M:$M,'NSE - NIFTY Index Options'!$C:$C,$A70,'NSE - NIFTY Index Options'!$B:$B,D$4,'NSE - NIFTY Index Options'!$I:$I,"MDAW*")+SUMIFS('NSE - Other Index Options'!$M:$M,'NSE - Other Index Options'!$C:$C,$A70,'NSE - Other Index Options'!$B:$B,D$4,'NSE - Other Index Options'!$I:$I,"Weekly*")+SUMIFS('NSE - Other Index Options'!$M:$M,'NSE - Other Index Options'!$C:$C,$A70,'NSE - Other Index Options'!$B:$B,D$4,'NSE - Other Index Options'!$I:$I,"MDAW*"))</f>
        <v/>
      </c>
      <c r="E70" s="26">
        <f>IF(SUMIFS('NSE - NIFTY Index Options'!$M:$M,'NSE - NIFTY Index Options'!$C:$C,$A70,'NSE - NIFTY Index Options'!$B:$B,E$4,'NSE - NIFTY Index Options'!$I:$I,"Weekly*")+SUMIFS('NSE - NIFTY Index Options'!$M:$M,'NSE - NIFTY Index Options'!$C:$C,$A70,'NSE - NIFTY Index Options'!$B:$B,E$4,'NSE - NIFTY Index Options'!$I:$I,"MDAW*")+SUMIFS('NSE - Other Index Options'!$M:$M,'NSE - Other Index Options'!$C:$C,$A70,'NSE - Other Index Options'!$B:$B,E$4,'NSE - Other Index Options'!$I:$I,"Weekly*")+SUMIFS('NSE - Other Index Options'!$M:$M,'NSE - Other Index Options'!$C:$C,$A70,'NSE - Other Index Options'!$B:$B,E$4,'NSE - Other Index Options'!$I:$I,"MDAW*")=0,"",SUMIFS('NSE - NIFTY Index Options'!$M:$M,'NSE - NIFTY Index Options'!$C:$C,$A70,'NSE - NIFTY Index Options'!$B:$B,E$4,'NSE - NIFTY Index Options'!$I:$I,"Weekly*")+SUMIFS('NSE - NIFTY Index Options'!$M:$M,'NSE - NIFTY Index Options'!$C:$C,$A70,'NSE - NIFTY Index Options'!$B:$B,E$4,'NSE - NIFTY Index Options'!$I:$I,"MDAW*")+SUMIFS('NSE - Other Index Options'!$M:$M,'NSE - Other Index Options'!$C:$C,$A70,'NSE - Other Index Options'!$B:$B,E$4,'NSE - Other Index Options'!$I:$I,"Weekly*")+SUMIFS('NSE - Other Index Options'!$M:$M,'NSE - Other Index Options'!$C:$C,$A70,'NSE - Other Index Options'!$B:$B,E$4,'NSE - Other Index Options'!$I:$I,"MDAW*"))</f>
        <v/>
      </c>
      <c r="F70" s="26">
        <f>IF(SUMIFS('NSE - NIFTY Index Options'!$M:$M,'NSE - NIFTY Index Options'!$C:$C,$A70,'NSE - NIFTY Index Options'!$B:$B,F$4,'NSE - NIFTY Index Options'!$I:$I,"Weekly*")+SUMIFS('NSE - NIFTY Index Options'!$M:$M,'NSE - NIFTY Index Options'!$C:$C,$A70,'NSE - NIFTY Index Options'!$B:$B,F$4,'NSE - NIFTY Index Options'!$I:$I,"MDAW*")+SUMIFS('NSE - Other Index Options'!$M:$M,'NSE - Other Index Options'!$C:$C,$A70,'NSE - Other Index Options'!$B:$B,F$4,'NSE - Other Index Options'!$I:$I,"Weekly*")+SUMIFS('NSE - Other Index Options'!$M:$M,'NSE - Other Index Options'!$C:$C,$A70,'NSE - Other Index Options'!$B:$B,F$4,'NSE - Other Index Options'!$I:$I,"MDAW*")=0,"",SUMIFS('NSE - NIFTY Index Options'!$M:$M,'NSE - NIFTY Index Options'!$C:$C,$A70,'NSE - NIFTY Index Options'!$B:$B,F$4,'NSE - NIFTY Index Options'!$I:$I,"Weekly*")+SUMIFS('NSE - NIFTY Index Options'!$M:$M,'NSE - NIFTY Index Options'!$C:$C,$A70,'NSE - NIFTY Index Options'!$B:$B,F$4,'NSE - NIFTY Index Options'!$I:$I,"MDAW*")+SUMIFS('NSE - Other Index Options'!$M:$M,'NSE - Other Index Options'!$C:$C,$A70,'NSE - Other Index Options'!$B:$B,F$4,'NSE - Other Index Options'!$I:$I,"Weekly*")+SUMIFS('NSE - Other Index Options'!$M:$M,'NSE - Other Index Options'!$C:$C,$A70,'NSE - Other Index Options'!$B:$B,F$4,'NSE - Other Index Options'!$I:$I,"MDAW*"))</f>
        <v/>
      </c>
      <c r="G70" s="26">
        <f>IF(SUMIFS('NSE - NIFTY Index Options'!$M:$M,'NSE - NIFTY Index Options'!$C:$C,$A70,'NSE - NIFTY Index Options'!$B:$B,G$4,'NSE - NIFTY Index Options'!$I:$I,"Weekly*")+SUMIFS('NSE - NIFTY Index Options'!$M:$M,'NSE - NIFTY Index Options'!$C:$C,$A70,'NSE - NIFTY Index Options'!$B:$B,G$4,'NSE - NIFTY Index Options'!$I:$I,"MDAW*")+SUMIFS('NSE - Other Index Options'!$M:$M,'NSE - Other Index Options'!$C:$C,$A70,'NSE - Other Index Options'!$B:$B,G$4,'NSE - Other Index Options'!$I:$I,"Weekly*")+SUMIFS('NSE - Other Index Options'!$M:$M,'NSE - Other Index Options'!$C:$C,$A70,'NSE - Other Index Options'!$B:$B,G$4,'NSE - Other Index Options'!$I:$I,"MDAW*")=0,"",SUMIFS('NSE - NIFTY Index Options'!$M:$M,'NSE - NIFTY Index Options'!$C:$C,$A70,'NSE - NIFTY Index Options'!$B:$B,G$4,'NSE - NIFTY Index Options'!$I:$I,"Weekly*")+SUMIFS('NSE - NIFTY Index Options'!$M:$M,'NSE - NIFTY Index Options'!$C:$C,$A70,'NSE - NIFTY Index Options'!$B:$B,G$4,'NSE - NIFTY Index Options'!$I:$I,"MDAW*")+SUMIFS('NSE - Other Index Options'!$M:$M,'NSE - Other Index Options'!$C:$C,$A70,'NSE - Other Index Options'!$B:$B,G$4,'NSE - Other Index Options'!$I:$I,"Weekly*")+SUMIFS('NSE - Other Index Options'!$M:$M,'NSE - Other Index Options'!$C:$C,$A70,'NSE - Other Index Options'!$B:$B,G$4,'NSE - Other Index Options'!$I:$I,"MDAW*"))</f>
        <v/>
      </c>
      <c r="H70" s="26">
        <f>IF(SUM(B70:G70)=0,"",SUM(B70:G70))</f>
        <v/>
      </c>
    </row>
    <row r="71" hidden="1" outlineLevel="1">
      <c r="A71" t="inlineStr">
        <is>
          <t>Week3-Oct-2026</t>
        </is>
      </c>
      <c r="B71" s="26">
        <f>IF(SUMIFS('NSE - NIFTY Index Options'!$M:$M,'NSE - NIFTY Index Options'!$C:$C,$A71,'NSE - NIFTY Index Options'!$B:$B,B$4,'NSE - NIFTY Index Options'!$I:$I,"Weekly*")+SUMIFS('NSE - NIFTY Index Options'!$M:$M,'NSE - NIFTY Index Options'!$C:$C,$A71,'NSE - NIFTY Index Options'!$B:$B,B$4,'NSE - NIFTY Index Options'!$I:$I,"MDAW*")+SUMIFS('NSE - Other Index Options'!$M:$M,'NSE - Other Index Options'!$C:$C,$A71,'NSE - Other Index Options'!$B:$B,B$4,'NSE - Other Index Options'!$I:$I,"Weekly*")+SUMIFS('NSE - Other Index Options'!$M:$M,'NSE - Other Index Options'!$C:$C,$A71,'NSE - Other Index Options'!$B:$B,B$4,'NSE - Other Index Options'!$I:$I,"MDAW*")=0,"",SUMIFS('NSE - NIFTY Index Options'!$M:$M,'NSE - NIFTY Index Options'!$C:$C,$A71,'NSE - NIFTY Index Options'!$B:$B,B$4,'NSE - NIFTY Index Options'!$I:$I,"Weekly*")+SUMIFS('NSE - NIFTY Index Options'!$M:$M,'NSE - NIFTY Index Options'!$C:$C,$A71,'NSE - NIFTY Index Options'!$B:$B,B$4,'NSE - NIFTY Index Options'!$I:$I,"MDAW*")+SUMIFS('NSE - Other Index Options'!$M:$M,'NSE - Other Index Options'!$C:$C,$A71,'NSE - Other Index Options'!$B:$B,B$4,'NSE - Other Index Options'!$I:$I,"Weekly*")+SUMIFS('NSE - Other Index Options'!$M:$M,'NSE - Other Index Options'!$C:$C,$A71,'NSE - Other Index Options'!$B:$B,B$4,'NSE - Other Index Options'!$I:$I,"MDAW*"))</f>
        <v/>
      </c>
      <c r="C71" s="26">
        <f>IF(SUMIFS('NSE - NIFTY Index Options'!$M:$M,'NSE - NIFTY Index Options'!$C:$C,$A71,'NSE - NIFTY Index Options'!$B:$B,C$4,'NSE - NIFTY Index Options'!$I:$I,"Weekly*")+SUMIFS('NSE - NIFTY Index Options'!$M:$M,'NSE - NIFTY Index Options'!$C:$C,$A71,'NSE - NIFTY Index Options'!$B:$B,C$4,'NSE - NIFTY Index Options'!$I:$I,"MDAW*")+SUMIFS('NSE - Other Index Options'!$M:$M,'NSE - Other Index Options'!$C:$C,$A71,'NSE - Other Index Options'!$B:$B,C$4,'NSE - Other Index Options'!$I:$I,"Weekly*")+SUMIFS('NSE - Other Index Options'!$M:$M,'NSE - Other Index Options'!$C:$C,$A71,'NSE - Other Index Options'!$B:$B,C$4,'NSE - Other Index Options'!$I:$I,"MDAW*")=0,"",SUMIFS('NSE - NIFTY Index Options'!$M:$M,'NSE - NIFTY Index Options'!$C:$C,$A71,'NSE - NIFTY Index Options'!$B:$B,C$4,'NSE - NIFTY Index Options'!$I:$I,"Weekly*")+SUMIFS('NSE - NIFTY Index Options'!$M:$M,'NSE - NIFTY Index Options'!$C:$C,$A71,'NSE - NIFTY Index Options'!$B:$B,C$4,'NSE - NIFTY Index Options'!$I:$I,"MDAW*")+SUMIFS('NSE - Other Index Options'!$M:$M,'NSE - Other Index Options'!$C:$C,$A71,'NSE - Other Index Options'!$B:$B,C$4,'NSE - Other Index Options'!$I:$I,"Weekly*")+SUMIFS('NSE - Other Index Options'!$M:$M,'NSE - Other Index Options'!$C:$C,$A71,'NSE - Other Index Options'!$B:$B,C$4,'NSE - Other Index Options'!$I:$I,"MDAW*"))</f>
        <v/>
      </c>
      <c r="D71" s="26">
        <f>IF(SUMIFS('NSE - NIFTY Index Options'!$M:$M,'NSE - NIFTY Index Options'!$C:$C,$A71,'NSE - NIFTY Index Options'!$B:$B,D$4,'NSE - NIFTY Index Options'!$I:$I,"Weekly*")+SUMIFS('NSE - NIFTY Index Options'!$M:$M,'NSE - NIFTY Index Options'!$C:$C,$A71,'NSE - NIFTY Index Options'!$B:$B,D$4,'NSE - NIFTY Index Options'!$I:$I,"MDAW*")+SUMIFS('NSE - Other Index Options'!$M:$M,'NSE - Other Index Options'!$C:$C,$A71,'NSE - Other Index Options'!$B:$B,D$4,'NSE - Other Index Options'!$I:$I,"Weekly*")+SUMIFS('NSE - Other Index Options'!$M:$M,'NSE - Other Index Options'!$C:$C,$A71,'NSE - Other Index Options'!$B:$B,D$4,'NSE - Other Index Options'!$I:$I,"MDAW*")=0,"",SUMIFS('NSE - NIFTY Index Options'!$M:$M,'NSE - NIFTY Index Options'!$C:$C,$A71,'NSE - NIFTY Index Options'!$B:$B,D$4,'NSE - NIFTY Index Options'!$I:$I,"Weekly*")+SUMIFS('NSE - NIFTY Index Options'!$M:$M,'NSE - NIFTY Index Options'!$C:$C,$A71,'NSE - NIFTY Index Options'!$B:$B,D$4,'NSE - NIFTY Index Options'!$I:$I,"MDAW*")+SUMIFS('NSE - Other Index Options'!$M:$M,'NSE - Other Index Options'!$C:$C,$A71,'NSE - Other Index Options'!$B:$B,D$4,'NSE - Other Index Options'!$I:$I,"Weekly*")+SUMIFS('NSE - Other Index Options'!$M:$M,'NSE - Other Index Options'!$C:$C,$A71,'NSE - Other Index Options'!$B:$B,D$4,'NSE - Other Index Options'!$I:$I,"MDAW*"))</f>
        <v/>
      </c>
      <c r="E71" s="26">
        <f>IF(SUMIFS('NSE - NIFTY Index Options'!$M:$M,'NSE - NIFTY Index Options'!$C:$C,$A71,'NSE - NIFTY Index Options'!$B:$B,E$4,'NSE - NIFTY Index Options'!$I:$I,"Weekly*")+SUMIFS('NSE - NIFTY Index Options'!$M:$M,'NSE - NIFTY Index Options'!$C:$C,$A71,'NSE - NIFTY Index Options'!$B:$B,E$4,'NSE - NIFTY Index Options'!$I:$I,"MDAW*")+SUMIFS('NSE - Other Index Options'!$M:$M,'NSE - Other Index Options'!$C:$C,$A71,'NSE - Other Index Options'!$B:$B,E$4,'NSE - Other Index Options'!$I:$I,"Weekly*")+SUMIFS('NSE - Other Index Options'!$M:$M,'NSE - Other Index Options'!$C:$C,$A71,'NSE - Other Index Options'!$B:$B,E$4,'NSE - Other Index Options'!$I:$I,"MDAW*")=0,"",SUMIFS('NSE - NIFTY Index Options'!$M:$M,'NSE - NIFTY Index Options'!$C:$C,$A71,'NSE - NIFTY Index Options'!$B:$B,E$4,'NSE - NIFTY Index Options'!$I:$I,"Weekly*")+SUMIFS('NSE - NIFTY Index Options'!$M:$M,'NSE - NIFTY Index Options'!$C:$C,$A71,'NSE - NIFTY Index Options'!$B:$B,E$4,'NSE - NIFTY Index Options'!$I:$I,"MDAW*")+SUMIFS('NSE - Other Index Options'!$M:$M,'NSE - Other Index Options'!$C:$C,$A71,'NSE - Other Index Options'!$B:$B,E$4,'NSE - Other Index Options'!$I:$I,"Weekly*")+SUMIFS('NSE - Other Index Options'!$M:$M,'NSE - Other Index Options'!$C:$C,$A71,'NSE - Other Index Options'!$B:$B,E$4,'NSE - Other Index Options'!$I:$I,"MDAW*"))</f>
        <v/>
      </c>
      <c r="F71" s="26">
        <f>IF(SUMIFS('NSE - NIFTY Index Options'!$M:$M,'NSE - NIFTY Index Options'!$C:$C,$A71,'NSE - NIFTY Index Options'!$B:$B,F$4,'NSE - NIFTY Index Options'!$I:$I,"Weekly*")+SUMIFS('NSE - NIFTY Index Options'!$M:$M,'NSE - NIFTY Index Options'!$C:$C,$A71,'NSE - NIFTY Index Options'!$B:$B,F$4,'NSE - NIFTY Index Options'!$I:$I,"MDAW*")+SUMIFS('NSE - Other Index Options'!$M:$M,'NSE - Other Index Options'!$C:$C,$A71,'NSE - Other Index Options'!$B:$B,F$4,'NSE - Other Index Options'!$I:$I,"Weekly*")+SUMIFS('NSE - Other Index Options'!$M:$M,'NSE - Other Index Options'!$C:$C,$A71,'NSE - Other Index Options'!$B:$B,F$4,'NSE - Other Index Options'!$I:$I,"MDAW*")=0,"",SUMIFS('NSE - NIFTY Index Options'!$M:$M,'NSE - NIFTY Index Options'!$C:$C,$A71,'NSE - NIFTY Index Options'!$B:$B,F$4,'NSE - NIFTY Index Options'!$I:$I,"Weekly*")+SUMIFS('NSE - NIFTY Index Options'!$M:$M,'NSE - NIFTY Index Options'!$C:$C,$A71,'NSE - NIFTY Index Options'!$B:$B,F$4,'NSE - NIFTY Index Options'!$I:$I,"MDAW*")+SUMIFS('NSE - Other Index Options'!$M:$M,'NSE - Other Index Options'!$C:$C,$A71,'NSE - Other Index Options'!$B:$B,F$4,'NSE - Other Index Options'!$I:$I,"Weekly*")+SUMIFS('NSE - Other Index Options'!$M:$M,'NSE - Other Index Options'!$C:$C,$A71,'NSE - Other Index Options'!$B:$B,F$4,'NSE - Other Index Options'!$I:$I,"MDAW*"))</f>
        <v/>
      </c>
      <c r="G71" s="26">
        <f>IF(SUMIFS('NSE - NIFTY Index Options'!$M:$M,'NSE - NIFTY Index Options'!$C:$C,$A71,'NSE - NIFTY Index Options'!$B:$B,G$4,'NSE - NIFTY Index Options'!$I:$I,"Weekly*")+SUMIFS('NSE - NIFTY Index Options'!$M:$M,'NSE - NIFTY Index Options'!$C:$C,$A71,'NSE - NIFTY Index Options'!$B:$B,G$4,'NSE - NIFTY Index Options'!$I:$I,"MDAW*")+SUMIFS('NSE - Other Index Options'!$M:$M,'NSE - Other Index Options'!$C:$C,$A71,'NSE - Other Index Options'!$B:$B,G$4,'NSE - Other Index Options'!$I:$I,"Weekly*")+SUMIFS('NSE - Other Index Options'!$M:$M,'NSE - Other Index Options'!$C:$C,$A71,'NSE - Other Index Options'!$B:$B,G$4,'NSE - Other Index Options'!$I:$I,"MDAW*")=0,"",SUMIFS('NSE - NIFTY Index Options'!$M:$M,'NSE - NIFTY Index Options'!$C:$C,$A71,'NSE - NIFTY Index Options'!$B:$B,G$4,'NSE - NIFTY Index Options'!$I:$I,"Weekly*")+SUMIFS('NSE - NIFTY Index Options'!$M:$M,'NSE - NIFTY Index Options'!$C:$C,$A71,'NSE - NIFTY Index Options'!$B:$B,G$4,'NSE - NIFTY Index Options'!$I:$I,"MDAW*")+SUMIFS('NSE - Other Index Options'!$M:$M,'NSE - Other Index Options'!$C:$C,$A71,'NSE - Other Index Options'!$B:$B,G$4,'NSE - Other Index Options'!$I:$I,"Weekly*")+SUMIFS('NSE - Other Index Options'!$M:$M,'NSE - Other Index Options'!$C:$C,$A71,'NSE - Other Index Options'!$B:$B,G$4,'NSE - Other Index Options'!$I:$I,"MDAW*"))</f>
        <v/>
      </c>
      <c r="H71" s="26">
        <f>IF(SUM(B71:G71)=0,"",SUM(B71:G71))</f>
        <v/>
      </c>
    </row>
    <row r="72" hidden="1" outlineLevel="1">
      <c r="A72" t="inlineStr">
        <is>
          <t>Week4-Oct-2026</t>
        </is>
      </c>
      <c r="B72" s="26">
        <f>IF(SUMIFS('NSE - NIFTY Index Options'!$M:$M,'NSE - NIFTY Index Options'!$C:$C,$A72,'NSE - NIFTY Index Options'!$B:$B,B$4,'NSE - NIFTY Index Options'!$I:$I,"Weekly*")+SUMIFS('NSE - NIFTY Index Options'!$M:$M,'NSE - NIFTY Index Options'!$C:$C,$A72,'NSE - NIFTY Index Options'!$B:$B,B$4,'NSE - NIFTY Index Options'!$I:$I,"MDAW*")+SUMIFS('NSE - Other Index Options'!$M:$M,'NSE - Other Index Options'!$C:$C,$A72,'NSE - Other Index Options'!$B:$B,B$4,'NSE - Other Index Options'!$I:$I,"Weekly*")+SUMIFS('NSE - Other Index Options'!$M:$M,'NSE - Other Index Options'!$C:$C,$A72,'NSE - Other Index Options'!$B:$B,B$4,'NSE - Other Index Options'!$I:$I,"MDAW*")=0,"",SUMIFS('NSE - NIFTY Index Options'!$M:$M,'NSE - NIFTY Index Options'!$C:$C,$A72,'NSE - NIFTY Index Options'!$B:$B,B$4,'NSE - NIFTY Index Options'!$I:$I,"Weekly*")+SUMIFS('NSE - NIFTY Index Options'!$M:$M,'NSE - NIFTY Index Options'!$C:$C,$A72,'NSE - NIFTY Index Options'!$B:$B,B$4,'NSE - NIFTY Index Options'!$I:$I,"MDAW*")+SUMIFS('NSE - Other Index Options'!$M:$M,'NSE - Other Index Options'!$C:$C,$A72,'NSE - Other Index Options'!$B:$B,B$4,'NSE - Other Index Options'!$I:$I,"Weekly*")+SUMIFS('NSE - Other Index Options'!$M:$M,'NSE - Other Index Options'!$C:$C,$A72,'NSE - Other Index Options'!$B:$B,B$4,'NSE - Other Index Options'!$I:$I,"MDAW*"))</f>
        <v/>
      </c>
      <c r="C72" s="26">
        <f>IF(SUMIFS('NSE - NIFTY Index Options'!$M:$M,'NSE - NIFTY Index Options'!$C:$C,$A72,'NSE - NIFTY Index Options'!$B:$B,C$4,'NSE - NIFTY Index Options'!$I:$I,"Weekly*")+SUMIFS('NSE - NIFTY Index Options'!$M:$M,'NSE - NIFTY Index Options'!$C:$C,$A72,'NSE - NIFTY Index Options'!$B:$B,C$4,'NSE - NIFTY Index Options'!$I:$I,"MDAW*")+SUMIFS('NSE - Other Index Options'!$M:$M,'NSE - Other Index Options'!$C:$C,$A72,'NSE - Other Index Options'!$B:$B,C$4,'NSE - Other Index Options'!$I:$I,"Weekly*")+SUMIFS('NSE - Other Index Options'!$M:$M,'NSE - Other Index Options'!$C:$C,$A72,'NSE - Other Index Options'!$B:$B,C$4,'NSE - Other Index Options'!$I:$I,"MDAW*")=0,"",SUMIFS('NSE - NIFTY Index Options'!$M:$M,'NSE - NIFTY Index Options'!$C:$C,$A72,'NSE - NIFTY Index Options'!$B:$B,C$4,'NSE - NIFTY Index Options'!$I:$I,"Weekly*")+SUMIFS('NSE - NIFTY Index Options'!$M:$M,'NSE - NIFTY Index Options'!$C:$C,$A72,'NSE - NIFTY Index Options'!$B:$B,C$4,'NSE - NIFTY Index Options'!$I:$I,"MDAW*")+SUMIFS('NSE - Other Index Options'!$M:$M,'NSE - Other Index Options'!$C:$C,$A72,'NSE - Other Index Options'!$B:$B,C$4,'NSE - Other Index Options'!$I:$I,"Weekly*")+SUMIFS('NSE - Other Index Options'!$M:$M,'NSE - Other Index Options'!$C:$C,$A72,'NSE - Other Index Options'!$B:$B,C$4,'NSE - Other Index Options'!$I:$I,"MDAW*"))</f>
        <v/>
      </c>
      <c r="D72" s="26">
        <f>IF(SUMIFS('NSE - NIFTY Index Options'!$M:$M,'NSE - NIFTY Index Options'!$C:$C,$A72,'NSE - NIFTY Index Options'!$B:$B,D$4,'NSE - NIFTY Index Options'!$I:$I,"Weekly*")+SUMIFS('NSE - NIFTY Index Options'!$M:$M,'NSE - NIFTY Index Options'!$C:$C,$A72,'NSE - NIFTY Index Options'!$B:$B,D$4,'NSE - NIFTY Index Options'!$I:$I,"MDAW*")+SUMIFS('NSE - Other Index Options'!$M:$M,'NSE - Other Index Options'!$C:$C,$A72,'NSE - Other Index Options'!$B:$B,D$4,'NSE - Other Index Options'!$I:$I,"Weekly*")+SUMIFS('NSE - Other Index Options'!$M:$M,'NSE - Other Index Options'!$C:$C,$A72,'NSE - Other Index Options'!$B:$B,D$4,'NSE - Other Index Options'!$I:$I,"MDAW*")=0,"",SUMIFS('NSE - NIFTY Index Options'!$M:$M,'NSE - NIFTY Index Options'!$C:$C,$A72,'NSE - NIFTY Index Options'!$B:$B,D$4,'NSE - NIFTY Index Options'!$I:$I,"Weekly*")+SUMIFS('NSE - NIFTY Index Options'!$M:$M,'NSE - NIFTY Index Options'!$C:$C,$A72,'NSE - NIFTY Index Options'!$B:$B,D$4,'NSE - NIFTY Index Options'!$I:$I,"MDAW*")+SUMIFS('NSE - Other Index Options'!$M:$M,'NSE - Other Index Options'!$C:$C,$A72,'NSE - Other Index Options'!$B:$B,D$4,'NSE - Other Index Options'!$I:$I,"Weekly*")+SUMIFS('NSE - Other Index Options'!$M:$M,'NSE - Other Index Options'!$C:$C,$A72,'NSE - Other Index Options'!$B:$B,D$4,'NSE - Other Index Options'!$I:$I,"MDAW*"))</f>
        <v/>
      </c>
      <c r="E72" s="26">
        <f>IF(SUMIFS('NSE - NIFTY Index Options'!$M:$M,'NSE - NIFTY Index Options'!$C:$C,$A72,'NSE - NIFTY Index Options'!$B:$B,E$4,'NSE - NIFTY Index Options'!$I:$I,"Weekly*")+SUMIFS('NSE - NIFTY Index Options'!$M:$M,'NSE - NIFTY Index Options'!$C:$C,$A72,'NSE - NIFTY Index Options'!$B:$B,E$4,'NSE - NIFTY Index Options'!$I:$I,"MDAW*")+SUMIFS('NSE - Other Index Options'!$M:$M,'NSE - Other Index Options'!$C:$C,$A72,'NSE - Other Index Options'!$B:$B,E$4,'NSE - Other Index Options'!$I:$I,"Weekly*")+SUMIFS('NSE - Other Index Options'!$M:$M,'NSE - Other Index Options'!$C:$C,$A72,'NSE - Other Index Options'!$B:$B,E$4,'NSE - Other Index Options'!$I:$I,"MDAW*")=0,"",SUMIFS('NSE - NIFTY Index Options'!$M:$M,'NSE - NIFTY Index Options'!$C:$C,$A72,'NSE - NIFTY Index Options'!$B:$B,E$4,'NSE - NIFTY Index Options'!$I:$I,"Weekly*")+SUMIFS('NSE - NIFTY Index Options'!$M:$M,'NSE - NIFTY Index Options'!$C:$C,$A72,'NSE - NIFTY Index Options'!$B:$B,E$4,'NSE - NIFTY Index Options'!$I:$I,"MDAW*")+SUMIFS('NSE - Other Index Options'!$M:$M,'NSE - Other Index Options'!$C:$C,$A72,'NSE - Other Index Options'!$B:$B,E$4,'NSE - Other Index Options'!$I:$I,"Weekly*")+SUMIFS('NSE - Other Index Options'!$M:$M,'NSE - Other Index Options'!$C:$C,$A72,'NSE - Other Index Options'!$B:$B,E$4,'NSE - Other Index Options'!$I:$I,"MDAW*"))</f>
        <v/>
      </c>
      <c r="F72" s="26">
        <f>IF(SUMIFS('NSE - NIFTY Index Options'!$M:$M,'NSE - NIFTY Index Options'!$C:$C,$A72,'NSE - NIFTY Index Options'!$B:$B,F$4,'NSE - NIFTY Index Options'!$I:$I,"Weekly*")+SUMIFS('NSE - NIFTY Index Options'!$M:$M,'NSE - NIFTY Index Options'!$C:$C,$A72,'NSE - NIFTY Index Options'!$B:$B,F$4,'NSE - NIFTY Index Options'!$I:$I,"MDAW*")+SUMIFS('NSE - Other Index Options'!$M:$M,'NSE - Other Index Options'!$C:$C,$A72,'NSE - Other Index Options'!$B:$B,F$4,'NSE - Other Index Options'!$I:$I,"Weekly*")+SUMIFS('NSE - Other Index Options'!$M:$M,'NSE - Other Index Options'!$C:$C,$A72,'NSE - Other Index Options'!$B:$B,F$4,'NSE - Other Index Options'!$I:$I,"MDAW*")=0,"",SUMIFS('NSE - NIFTY Index Options'!$M:$M,'NSE - NIFTY Index Options'!$C:$C,$A72,'NSE - NIFTY Index Options'!$B:$B,F$4,'NSE - NIFTY Index Options'!$I:$I,"Weekly*")+SUMIFS('NSE - NIFTY Index Options'!$M:$M,'NSE - NIFTY Index Options'!$C:$C,$A72,'NSE - NIFTY Index Options'!$B:$B,F$4,'NSE - NIFTY Index Options'!$I:$I,"MDAW*")+SUMIFS('NSE - Other Index Options'!$M:$M,'NSE - Other Index Options'!$C:$C,$A72,'NSE - Other Index Options'!$B:$B,F$4,'NSE - Other Index Options'!$I:$I,"Weekly*")+SUMIFS('NSE - Other Index Options'!$M:$M,'NSE - Other Index Options'!$C:$C,$A72,'NSE - Other Index Options'!$B:$B,F$4,'NSE - Other Index Options'!$I:$I,"MDAW*"))</f>
        <v/>
      </c>
      <c r="G72" s="26">
        <f>IF(SUMIFS('NSE - NIFTY Index Options'!$M:$M,'NSE - NIFTY Index Options'!$C:$C,$A72,'NSE - NIFTY Index Options'!$B:$B,G$4,'NSE - NIFTY Index Options'!$I:$I,"Weekly*")+SUMIFS('NSE - NIFTY Index Options'!$M:$M,'NSE - NIFTY Index Options'!$C:$C,$A72,'NSE - NIFTY Index Options'!$B:$B,G$4,'NSE - NIFTY Index Options'!$I:$I,"MDAW*")+SUMIFS('NSE - Other Index Options'!$M:$M,'NSE - Other Index Options'!$C:$C,$A72,'NSE - Other Index Options'!$B:$B,G$4,'NSE - Other Index Options'!$I:$I,"Weekly*")+SUMIFS('NSE - Other Index Options'!$M:$M,'NSE - Other Index Options'!$C:$C,$A72,'NSE - Other Index Options'!$B:$B,G$4,'NSE - Other Index Options'!$I:$I,"MDAW*")=0,"",SUMIFS('NSE - NIFTY Index Options'!$M:$M,'NSE - NIFTY Index Options'!$C:$C,$A72,'NSE - NIFTY Index Options'!$B:$B,G$4,'NSE - NIFTY Index Options'!$I:$I,"Weekly*")+SUMIFS('NSE - NIFTY Index Options'!$M:$M,'NSE - NIFTY Index Options'!$C:$C,$A72,'NSE - NIFTY Index Options'!$B:$B,G$4,'NSE - NIFTY Index Options'!$I:$I,"MDAW*")+SUMIFS('NSE - Other Index Options'!$M:$M,'NSE - Other Index Options'!$C:$C,$A72,'NSE - Other Index Options'!$B:$B,G$4,'NSE - Other Index Options'!$I:$I,"Weekly*")+SUMIFS('NSE - Other Index Options'!$M:$M,'NSE - Other Index Options'!$C:$C,$A72,'NSE - Other Index Options'!$B:$B,G$4,'NSE - Other Index Options'!$I:$I,"MDAW*"))</f>
        <v/>
      </c>
      <c r="H72" s="26">
        <f>IF(SUM(B72:G72)=0,"",SUM(B72:G72))</f>
        <v/>
      </c>
    </row>
    <row r="73" hidden="1" outlineLevel="1">
      <c r="A73" t="inlineStr">
        <is>
          <t>Week5-Oct-2026</t>
        </is>
      </c>
      <c r="B73" s="26">
        <f>IF(SUMIFS('NSE - NIFTY Index Options'!$M:$M,'NSE - NIFTY Index Options'!$C:$C,$A73,'NSE - NIFTY Index Options'!$B:$B,B$4,'NSE - NIFTY Index Options'!$I:$I,"Weekly*")+SUMIFS('NSE - NIFTY Index Options'!$M:$M,'NSE - NIFTY Index Options'!$C:$C,$A73,'NSE - NIFTY Index Options'!$B:$B,B$4,'NSE - NIFTY Index Options'!$I:$I,"MDAW*")+SUMIFS('NSE - Other Index Options'!$M:$M,'NSE - Other Index Options'!$C:$C,$A73,'NSE - Other Index Options'!$B:$B,B$4,'NSE - Other Index Options'!$I:$I,"Weekly*")+SUMIFS('NSE - Other Index Options'!$M:$M,'NSE - Other Index Options'!$C:$C,$A73,'NSE - Other Index Options'!$B:$B,B$4,'NSE - Other Index Options'!$I:$I,"MDAW*")=0,"",SUMIFS('NSE - NIFTY Index Options'!$M:$M,'NSE - NIFTY Index Options'!$C:$C,$A73,'NSE - NIFTY Index Options'!$B:$B,B$4,'NSE - NIFTY Index Options'!$I:$I,"Weekly*")+SUMIFS('NSE - NIFTY Index Options'!$M:$M,'NSE - NIFTY Index Options'!$C:$C,$A73,'NSE - NIFTY Index Options'!$B:$B,B$4,'NSE - NIFTY Index Options'!$I:$I,"MDAW*")+SUMIFS('NSE - Other Index Options'!$M:$M,'NSE - Other Index Options'!$C:$C,$A73,'NSE - Other Index Options'!$B:$B,B$4,'NSE - Other Index Options'!$I:$I,"Weekly*")+SUMIFS('NSE - Other Index Options'!$M:$M,'NSE - Other Index Options'!$C:$C,$A73,'NSE - Other Index Options'!$B:$B,B$4,'NSE - Other Index Options'!$I:$I,"MDAW*"))</f>
        <v/>
      </c>
      <c r="C73" s="26">
        <f>IF(SUMIFS('NSE - NIFTY Index Options'!$M:$M,'NSE - NIFTY Index Options'!$C:$C,$A73,'NSE - NIFTY Index Options'!$B:$B,C$4,'NSE - NIFTY Index Options'!$I:$I,"Weekly*")+SUMIFS('NSE - NIFTY Index Options'!$M:$M,'NSE - NIFTY Index Options'!$C:$C,$A73,'NSE - NIFTY Index Options'!$B:$B,C$4,'NSE - NIFTY Index Options'!$I:$I,"MDAW*")+SUMIFS('NSE - Other Index Options'!$M:$M,'NSE - Other Index Options'!$C:$C,$A73,'NSE - Other Index Options'!$B:$B,C$4,'NSE - Other Index Options'!$I:$I,"Weekly*")+SUMIFS('NSE - Other Index Options'!$M:$M,'NSE - Other Index Options'!$C:$C,$A73,'NSE - Other Index Options'!$B:$B,C$4,'NSE - Other Index Options'!$I:$I,"MDAW*")=0,"",SUMIFS('NSE - NIFTY Index Options'!$M:$M,'NSE - NIFTY Index Options'!$C:$C,$A73,'NSE - NIFTY Index Options'!$B:$B,C$4,'NSE - NIFTY Index Options'!$I:$I,"Weekly*")+SUMIFS('NSE - NIFTY Index Options'!$M:$M,'NSE - NIFTY Index Options'!$C:$C,$A73,'NSE - NIFTY Index Options'!$B:$B,C$4,'NSE - NIFTY Index Options'!$I:$I,"MDAW*")+SUMIFS('NSE - Other Index Options'!$M:$M,'NSE - Other Index Options'!$C:$C,$A73,'NSE - Other Index Options'!$B:$B,C$4,'NSE - Other Index Options'!$I:$I,"Weekly*")+SUMIFS('NSE - Other Index Options'!$M:$M,'NSE - Other Index Options'!$C:$C,$A73,'NSE - Other Index Options'!$B:$B,C$4,'NSE - Other Index Options'!$I:$I,"MDAW*"))</f>
        <v/>
      </c>
      <c r="D73" s="26">
        <f>IF(SUMIFS('NSE - NIFTY Index Options'!$M:$M,'NSE - NIFTY Index Options'!$C:$C,$A73,'NSE - NIFTY Index Options'!$B:$B,D$4,'NSE - NIFTY Index Options'!$I:$I,"Weekly*")+SUMIFS('NSE - NIFTY Index Options'!$M:$M,'NSE - NIFTY Index Options'!$C:$C,$A73,'NSE - NIFTY Index Options'!$B:$B,D$4,'NSE - NIFTY Index Options'!$I:$I,"MDAW*")+SUMIFS('NSE - Other Index Options'!$M:$M,'NSE - Other Index Options'!$C:$C,$A73,'NSE - Other Index Options'!$B:$B,D$4,'NSE - Other Index Options'!$I:$I,"Weekly*")+SUMIFS('NSE - Other Index Options'!$M:$M,'NSE - Other Index Options'!$C:$C,$A73,'NSE - Other Index Options'!$B:$B,D$4,'NSE - Other Index Options'!$I:$I,"MDAW*")=0,"",SUMIFS('NSE - NIFTY Index Options'!$M:$M,'NSE - NIFTY Index Options'!$C:$C,$A73,'NSE - NIFTY Index Options'!$B:$B,D$4,'NSE - NIFTY Index Options'!$I:$I,"Weekly*")+SUMIFS('NSE - NIFTY Index Options'!$M:$M,'NSE - NIFTY Index Options'!$C:$C,$A73,'NSE - NIFTY Index Options'!$B:$B,D$4,'NSE - NIFTY Index Options'!$I:$I,"MDAW*")+SUMIFS('NSE - Other Index Options'!$M:$M,'NSE - Other Index Options'!$C:$C,$A73,'NSE - Other Index Options'!$B:$B,D$4,'NSE - Other Index Options'!$I:$I,"Weekly*")+SUMIFS('NSE - Other Index Options'!$M:$M,'NSE - Other Index Options'!$C:$C,$A73,'NSE - Other Index Options'!$B:$B,D$4,'NSE - Other Index Options'!$I:$I,"MDAW*"))</f>
        <v/>
      </c>
      <c r="E73" s="26">
        <f>IF(SUMIFS('NSE - NIFTY Index Options'!$M:$M,'NSE - NIFTY Index Options'!$C:$C,$A73,'NSE - NIFTY Index Options'!$B:$B,E$4,'NSE - NIFTY Index Options'!$I:$I,"Weekly*")+SUMIFS('NSE - NIFTY Index Options'!$M:$M,'NSE - NIFTY Index Options'!$C:$C,$A73,'NSE - NIFTY Index Options'!$B:$B,E$4,'NSE - NIFTY Index Options'!$I:$I,"MDAW*")+SUMIFS('NSE - Other Index Options'!$M:$M,'NSE - Other Index Options'!$C:$C,$A73,'NSE - Other Index Options'!$B:$B,E$4,'NSE - Other Index Options'!$I:$I,"Weekly*")+SUMIFS('NSE - Other Index Options'!$M:$M,'NSE - Other Index Options'!$C:$C,$A73,'NSE - Other Index Options'!$B:$B,E$4,'NSE - Other Index Options'!$I:$I,"MDAW*")=0,"",SUMIFS('NSE - NIFTY Index Options'!$M:$M,'NSE - NIFTY Index Options'!$C:$C,$A73,'NSE - NIFTY Index Options'!$B:$B,E$4,'NSE - NIFTY Index Options'!$I:$I,"Weekly*")+SUMIFS('NSE - NIFTY Index Options'!$M:$M,'NSE - NIFTY Index Options'!$C:$C,$A73,'NSE - NIFTY Index Options'!$B:$B,E$4,'NSE - NIFTY Index Options'!$I:$I,"MDAW*")+SUMIFS('NSE - Other Index Options'!$M:$M,'NSE - Other Index Options'!$C:$C,$A73,'NSE - Other Index Options'!$B:$B,E$4,'NSE - Other Index Options'!$I:$I,"Weekly*")+SUMIFS('NSE - Other Index Options'!$M:$M,'NSE - Other Index Options'!$C:$C,$A73,'NSE - Other Index Options'!$B:$B,E$4,'NSE - Other Index Options'!$I:$I,"MDAW*"))</f>
        <v/>
      </c>
      <c r="F73" s="26">
        <f>IF(SUMIFS('NSE - NIFTY Index Options'!$M:$M,'NSE - NIFTY Index Options'!$C:$C,$A73,'NSE - NIFTY Index Options'!$B:$B,F$4,'NSE - NIFTY Index Options'!$I:$I,"Weekly*")+SUMIFS('NSE - NIFTY Index Options'!$M:$M,'NSE - NIFTY Index Options'!$C:$C,$A73,'NSE - NIFTY Index Options'!$B:$B,F$4,'NSE - NIFTY Index Options'!$I:$I,"MDAW*")+SUMIFS('NSE - Other Index Options'!$M:$M,'NSE - Other Index Options'!$C:$C,$A73,'NSE - Other Index Options'!$B:$B,F$4,'NSE - Other Index Options'!$I:$I,"Weekly*")+SUMIFS('NSE - Other Index Options'!$M:$M,'NSE - Other Index Options'!$C:$C,$A73,'NSE - Other Index Options'!$B:$B,F$4,'NSE - Other Index Options'!$I:$I,"MDAW*")=0,"",SUMIFS('NSE - NIFTY Index Options'!$M:$M,'NSE - NIFTY Index Options'!$C:$C,$A73,'NSE - NIFTY Index Options'!$B:$B,F$4,'NSE - NIFTY Index Options'!$I:$I,"Weekly*")+SUMIFS('NSE - NIFTY Index Options'!$M:$M,'NSE - NIFTY Index Options'!$C:$C,$A73,'NSE - NIFTY Index Options'!$B:$B,F$4,'NSE - NIFTY Index Options'!$I:$I,"MDAW*")+SUMIFS('NSE - Other Index Options'!$M:$M,'NSE - Other Index Options'!$C:$C,$A73,'NSE - Other Index Options'!$B:$B,F$4,'NSE - Other Index Options'!$I:$I,"Weekly*")+SUMIFS('NSE - Other Index Options'!$M:$M,'NSE - Other Index Options'!$C:$C,$A73,'NSE - Other Index Options'!$B:$B,F$4,'NSE - Other Index Options'!$I:$I,"MDAW*"))</f>
        <v/>
      </c>
      <c r="G73" s="26">
        <f>IF(SUMIFS('NSE - NIFTY Index Options'!$M:$M,'NSE - NIFTY Index Options'!$C:$C,$A73,'NSE - NIFTY Index Options'!$B:$B,G$4,'NSE - NIFTY Index Options'!$I:$I,"Weekly*")+SUMIFS('NSE - NIFTY Index Options'!$M:$M,'NSE - NIFTY Index Options'!$C:$C,$A73,'NSE - NIFTY Index Options'!$B:$B,G$4,'NSE - NIFTY Index Options'!$I:$I,"MDAW*")+SUMIFS('NSE - Other Index Options'!$M:$M,'NSE - Other Index Options'!$C:$C,$A73,'NSE - Other Index Options'!$B:$B,G$4,'NSE - Other Index Options'!$I:$I,"Weekly*")+SUMIFS('NSE - Other Index Options'!$M:$M,'NSE - Other Index Options'!$C:$C,$A73,'NSE - Other Index Options'!$B:$B,G$4,'NSE - Other Index Options'!$I:$I,"MDAW*")=0,"",SUMIFS('NSE - NIFTY Index Options'!$M:$M,'NSE - NIFTY Index Options'!$C:$C,$A73,'NSE - NIFTY Index Options'!$B:$B,G$4,'NSE - NIFTY Index Options'!$I:$I,"Weekly*")+SUMIFS('NSE - NIFTY Index Options'!$M:$M,'NSE - NIFTY Index Options'!$C:$C,$A73,'NSE - NIFTY Index Options'!$B:$B,G$4,'NSE - NIFTY Index Options'!$I:$I,"MDAW*")+SUMIFS('NSE - Other Index Options'!$M:$M,'NSE - Other Index Options'!$C:$C,$A73,'NSE - Other Index Options'!$B:$B,G$4,'NSE - Other Index Options'!$I:$I,"Weekly*")+SUMIFS('NSE - Other Index Options'!$M:$M,'NSE - Other Index Options'!$C:$C,$A73,'NSE - Other Index Options'!$B:$B,G$4,'NSE - Other Index Options'!$I:$I,"MDAW*"))</f>
        <v/>
      </c>
      <c r="H73" s="26">
        <f>IF(SUM(B73:G73)=0,"",SUM(B73:G73))</f>
        <v/>
      </c>
    </row>
    <row r="74" hidden="1" outlineLevel="1">
      <c r="A74" t="inlineStr">
        <is>
          <t>Week1-Nov-2026</t>
        </is>
      </c>
      <c r="B74" s="26">
        <f>IF(SUMIFS('NSE - NIFTY Index Options'!$M:$M,'NSE - NIFTY Index Options'!$C:$C,$A74,'NSE - NIFTY Index Options'!$B:$B,B$4,'NSE - NIFTY Index Options'!$I:$I,"Weekly*")+SUMIFS('NSE - NIFTY Index Options'!$M:$M,'NSE - NIFTY Index Options'!$C:$C,$A74,'NSE - NIFTY Index Options'!$B:$B,B$4,'NSE - NIFTY Index Options'!$I:$I,"MDAW*")+SUMIFS('NSE - Other Index Options'!$M:$M,'NSE - Other Index Options'!$C:$C,$A74,'NSE - Other Index Options'!$B:$B,B$4,'NSE - Other Index Options'!$I:$I,"Weekly*")+SUMIFS('NSE - Other Index Options'!$M:$M,'NSE - Other Index Options'!$C:$C,$A74,'NSE - Other Index Options'!$B:$B,B$4,'NSE - Other Index Options'!$I:$I,"MDAW*")=0,"",SUMIFS('NSE - NIFTY Index Options'!$M:$M,'NSE - NIFTY Index Options'!$C:$C,$A74,'NSE - NIFTY Index Options'!$B:$B,B$4,'NSE - NIFTY Index Options'!$I:$I,"Weekly*")+SUMIFS('NSE - NIFTY Index Options'!$M:$M,'NSE - NIFTY Index Options'!$C:$C,$A74,'NSE - NIFTY Index Options'!$B:$B,B$4,'NSE - NIFTY Index Options'!$I:$I,"MDAW*")+SUMIFS('NSE - Other Index Options'!$M:$M,'NSE - Other Index Options'!$C:$C,$A74,'NSE - Other Index Options'!$B:$B,B$4,'NSE - Other Index Options'!$I:$I,"Weekly*")+SUMIFS('NSE - Other Index Options'!$M:$M,'NSE - Other Index Options'!$C:$C,$A74,'NSE - Other Index Options'!$B:$B,B$4,'NSE - Other Index Options'!$I:$I,"MDAW*"))</f>
        <v/>
      </c>
      <c r="C74" s="26">
        <f>IF(SUMIFS('NSE - NIFTY Index Options'!$M:$M,'NSE - NIFTY Index Options'!$C:$C,$A74,'NSE - NIFTY Index Options'!$B:$B,C$4,'NSE - NIFTY Index Options'!$I:$I,"Weekly*")+SUMIFS('NSE - NIFTY Index Options'!$M:$M,'NSE - NIFTY Index Options'!$C:$C,$A74,'NSE - NIFTY Index Options'!$B:$B,C$4,'NSE - NIFTY Index Options'!$I:$I,"MDAW*")+SUMIFS('NSE - Other Index Options'!$M:$M,'NSE - Other Index Options'!$C:$C,$A74,'NSE - Other Index Options'!$B:$B,C$4,'NSE - Other Index Options'!$I:$I,"Weekly*")+SUMIFS('NSE - Other Index Options'!$M:$M,'NSE - Other Index Options'!$C:$C,$A74,'NSE - Other Index Options'!$B:$B,C$4,'NSE - Other Index Options'!$I:$I,"MDAW*")=0,"",SUMIFS('NSE - NIFTY Index Options'!$M:$M,'NSE - NIFTY Index Options'!$C:$C,$A74,'NSE - NIFTY Index Options'!$B:$B,C$4,'NSE - NIFTY Index Options'!$I:$I,"Weekly*")+SUMIFS('NSE - NIFTY Index Options'!$M:$M,'NSE - NIFTY Index Options'!$C:$C,$A74,'NSE - NIFTY Index Options'!$B:$B,C$4,'NSE - NIFTY Index Options'!$I:$I,"MDAW*")+SUMIFS('NSE - Other Index Options'!$M:$M,'NSE - Other Index Options'!$C:$C,$A74,'NSE - Other Index Options'!$B:$B,C$4,'NSE - Other Index Options'!$I:$I,"Weekly*")+SUMIFS('NSE - Other Index Options'!$M:$M,'NSE - Other Index Options'!$C:$C,$A74,'NSE - Other Index Options'!$B:$B,C$4,'NSE - Other Index Options'!$I:$I,"MDAW*"))</f>
        <v/>
      </c>
      <c r="D74" s="26">
        <f>IF(SUMIFS('NSE - NIFTY Index Options'!$M:$M,'NSE - NIFTY Index Options'!$C:$C,$A74,'NSE - NIFTY Index Options'!$B:$B,D$4,'NSE - NIFTY Index Options'!$I:$I,"Weekly*")+SUMIFS('NSE - NIFTY Index Options'!$M:$M,'NSE - NIFTY Index Options'!$C:$C,$A74,'NSE - NIFTY Index Options'!$B:$B,D$4,'NSE - NIFTY Index Options'!$I:$I,"MDAW*")+SUMIFS('NSE - Other Index Options'!$M:$M,'NSE - Other Index Options'!$C:$C,$A74,'NSE - Other Index Options'!$B:$B,D$4,'NSE - Other Index Options'!$I:$I,"Weekly*")+SUMIFS('NSE - Other Index Options'!$M:$M,'NSE - Other Index Options'!$C:$C,$A74,'NSE - Other Index Options'!$B:$B,D$4,'NSE - Other Index Options'!$I:$I,"MDAW*")=0,"",SUMIFS('NSE - NIFTY Index Options'!$M:$M,'NSE - NIFTY Index Options'!$C:$C,$A74,'NSE - NIFTY Index Options'!$B:$B,D$4,'NSE - NIFTY Index Options'!$I:$I,"Weekly*")+SUMIFS('NSE - NIFTY Index Options'!$M:$M,'NSE - NIFTY Index Options'!$C:$C,$A74,'NSE - NIFTY Index Options'!$B:$B,D$4,'NSE - NIFTY Index Options'!$I:$I,"MDAW*")+SUMIFS('NSE - Other Index Options'!$M:$M,'NSE - Other Index Options'!$C:$C,$A74,'NSE - Other Index Options'!$B:$B,D$4,'NSE - Other Index Options'!$I:$I,"Weekly*")+SUMIFS('NSE - Other Index Options'!$M:$M,'NSE - Other Index Options'!$C:$C,$A74,'NSE - Other Index Options'!$B:$B,D$4,'NSE - Other Index Options'!$I:$I,"MDAW*"))</f>
        <v/>
      </c>
      <c r="E74" s="26">
        <f>IF(SUMIFS('NSE - NIFTY Index Options'!$M:$M,'NSE - NIFTY Index Options'!$C:$C,$A74,'NSE - NIFTY Index Options'!$B:$B,E$4,'NSE - NIFTY Index Options'!$I:$I,"Weekly*")+SUMIFS('NSE - NIFTY Index Options'!$M:$M,'NSE - NIFTY Index Options'!$C:$C,$A74,'NSE - NIFTY Index Options'!$B:$B,E$4,'NSE - NIFTY Index Options'!$I:$I,"MDAW*")+SUMIFS('NSE - Other Index Options'!$M:$M,'NSE - Other Index Options'!$C:$C,$A74,'NSE - Other Index Options'!$B:$B,E$4,'NSE - Other Index Options'!$I:$I,"Weekly*")+SUMIFS('NSE - Other Index Options'!$M:$M,'NSE - Other Index Options'!$C:$C,$A74,'NSE - Other Index Options'!$B:$B,E$4,'NSE - Other Index Options'!$I:$I,"MDAW*")=0,"",SUMIFS('NSE - NIFTY Index Options'!$M:$M,'NSE - NIFTY Index Options'!$C:$C,$A74,'NSE - NIFTY Index Options'!$B:$B,E$4,'NSE - NIFTY Index Options'!$I:$I,"Weekly*")+SUMIFS('NSE - NIFTY Index Options'!$M:$M,'NSE - NIFTY Index Options'!$C:$C,$A74,'NSE - NIFTY Index Options'!$B:$B,E$4,'NSE - NIFTY Index Options'!$I:$I,"MDAW*")+SUMIFS('NSE - Other Index Options'!$M:$M,'NSE - Other Index Options'!$C:$C,$A74,'NSE - Other Index Options'!$B:$B,E$4,'NSE - Other Index Options'!$I:$I,"Weekly*")+SUMIFS('NSE - Other Index Options'!$M:$M,'NSE - Other Index Options'!$C:$C,$A74,'NSE - Other Index Options'!$B:$B,E$4,'NSE - Other Index Options'!$I:$I,"MDAW*"))</f>
        <v/>
      </c>
      <c r="F74" s="26">
        <f>IF(SUMIFS('NSE - NIFTY Index Options'!$M:$M,'NSE - NIFTY Index Options'!$C:$C,$A74,'NSE - NIFTY Index Options'!$B:$B,F$4,'NSE - NIFTY Index Options'!$I:$I,"Weekly*")+SUMIFS('NSE - NIFTY Index Options'!$M:$M,'NSE - NIFTY Index Options'!$C:$C,$A74,'NSE - NIFTY Index Options'!$B:$B,F$4,'NSE - NIFTY Index Options'!$I:$I,"MDAW*")+SUMIFS('NSE - Other Index Options'!$M:$M,'NSE - Other Index Options'!$C:$C,$A74,'NSE - Other Index Options'!$B:$B,F$4,'NSE - Other Index Options'!$I:$I,"Weekly*")+SUMIFS('NSE - Other Index Options'!$M:$M,'NSE - Other Index Options'!$C:$C,$A74,'NSE - Other Index Options'!$B:$B,F$4,'NSE - Other Index Options'!$I:$I,"MDAW*")=0,"",SUMIFS('NSE - NIFTY Index Options'!$M:$M,'NSE - NIFTY Index Options'!$C:$C,$A74,'NSE - NIFTY Index Options'!$B:$B,F$4,'NSE - NIFTY Index Options'!$I:$I,"Weekly*")+SUMIFS('NSE - NIFTY Index Options'!$M:$M,'NSE - NIFTY Index Options'!$C:$C,$A74,'NSE - NIFTY Index Options'!$B:$B,F$4,'NSE - NIFTY Index Options'!$I:$I,"MDAW*")+SUMIFS('NSE - Other Index Options'!$M:$M,'NSE - Other Index Options'!$C:$C,$A74,'NSE - Other Index Options'!$B:$B,F$4,'NSE - Other Index Options'!$I:$I,"Weekly*")+SUMIFS('NSE - Other Index Options'!$M:$M,'NSE - Other Index Options'!$C:$C,$A74,'NSE - Other Index Options'!$B:$B,F$4,'NSE - Other Index Options'!$I:$I,"MDAW*"))</f>
        <v/>
      </c>
      <c r="G74" s="26">
        <f>IF(SUMIFS('NSE - NIFTY Index Options'!$M:$M,'NSE - NIFTY Index Options'!$C:$C,$A74,'NSE - NIFTY Index Options'!$B:$B,G$4,'NSE - NIFTY Index Options'!$I:$I,"Weekly*")+SUMIFS('NSE - NIFTY Index Options'!$M:$M,'NSE - NIFTY Index Options'!$C:$C,$A74,'NSE - NIFTY Index Options'!$B:$B,G$4,'NSE - NIFTY Index Options'!$I:$I,"MDAW*")+SUMIFS('NSE - Other Index Options'!$M:$M,'NSE - Other Index Options'!$C:$C,$A74,'NSE - Other Index Options'!$B:$B,G$4,'NSE - Other Index Options'!$I:$I,"Weekly*")+SUMIFS('NSE - Other Index Options'!$M:$M,'NSE - Other Index Options'!$C:$C,$A74,'NSE - Other Index Options'!$B:$B,G$4,'NSE - Other Index Options'!$I:$I,"MDAW*")=0,"",SUMIFS('NSE - NIFTY Index Options'!$M:$M,'NSE - NIFTY Index Options'!$C:$C,$A74,'NSE - NIFTY Index Options'!$B:$B,G$4,'NSE - NIFTY Index Options'!$I:$I,"Weekly*")+SUMIFS('NSE - NIFTY Index Options'!$M:$M,'NSE - NIFTY Index Options'!$C:$C,$A74,'NSE - NIFTY Index Options'!$B:$B,G$4,'NSE - NIFTY Index Options'!$I:$I,"MDAW*")+SUMIFS('NSE - Other Index Options'!$M:$M,'NSE - Other Index Options'!$C:$C,$A74,'NSE - Other Index Options'!$B:$B,G$4,'NSE - Other Index Options'!$I:$I,"Weekly*")+SUMIFS('NSE - Other Index Options'!$M:$M,'NSE - Other Index Options'!$C:$C,$A74,'NSE - Other Index Options'!$B:$B,G$4,'NSE - Other Index Options'!$I:$I,"MDAW*"))</f>
        <v/>
      </c>
      <c r="H74" s="26">
        <f>IF(SUM(B74:G74)=0,"",SUM(B74:G74))</f>
        <v/>
      </c>
    </row>
    <row r="75" hidden="1" outlineLevel="1">
      <c r="A75" t="inlineStr">
        <is>
          <t>Week2-Nov-2026</t>
        </is>
      </c>
      <c r="B75" s="26">
        <f>IF(SUMIFS('NSE - NIFTY Index Options'!$M:$M,'NSE - NIFTY Index Options'!$C:$C,$A75,'NSE - NIFTY Index Options'!$B:$B,B$4,'NSE - NIFTY Index Options'!$I:$I,"Weekly*")+SUMIFS('NSE - NIFTY Index Options'!$M:$M,'NSE - NIFTY Index Options'!$C:$C,$A75,'NSE - NIFTY Index Options'!$B:$B,B$4,'NSE - NIFTY Index Options'!$I:$I,"MDAW*")+SUMIFS('NSE - Other Index Options'!$M:$M,'NSE - Other Index Options'!$C:$C,$A75,'NSE - Other Index Options'!$B:$B,B$4,'NSE - Other Index Options'!$I:$I,"Weekly*")+SUMIFS('NSE - Other Index Options'!$M:$M,'NSE - Other Index Options'!$C:$C,$A75,'NSE - Other Index Options'!$B:$B,B$4,'NSE - Other Index Options'!$I:$I,"MDAW*")=0,"",SUMIFS('NSE - NIFTY Index Options'!$M:$M,'NSE - NIFTY Index Options'!$C:$C,$A75,'NSE - NIFTY Index Options'!$B:$B,B$4,'NSE - NIFTY Index Options'!$I:$I,"Weekly*")+SUMIFS('NSE - NIFTY Index Options'!$M:$M,'NSE - NIFTY Index Options'!$C:$C,$A75,'NSE - NIFTY Index Options'!$B:$B,B$4,'NSE - NIFTY Index Options'!$I:$I,"MDAW*")+SUMIFS('NSE - Other Index Options'!$M:$M,'NSE - Other Index Options'!$C:$C,$A75,'NSE - Other Index Options'!$B:$B,B$4,'NSE - Other Index Options'!$I:$I,"Weekly*")+SUMIFS('NSE - Other Index Options'!$M:$M,'NSE - Other Index Options'!$C:$C,$A75,'NSE - Other Index Options'!$B:$B,B$4,'NSE - Other Index Options'!$I:$I,"MDAW*"))</f>
        <v/>
      </c>
      <c r="C75" s="26">
        <f>IF(SUMIFS('NSE - NIFTY Index Options'!$M:$M,'NSE - NIFTY Index Options'!$C:$C,$A75,'NSE - NIFTY Index Options'!$B:$B,C$4,'NSE - NIFTY Index Options'!$I:$I,"Weekly*")+SUMIFS('NSE - NIFTY Index Options'!$M:$M,'NSE - NIFTY Index Options'!$C:$C,$A75,'NSE - NIFTY Index Options'!$B:$B,C$4,'NSE - NIFTY Index Options'!$I:$I,"MDAW*")+SUMIFS('NSE - Other Index Options'!$M:$M,'NSE - Other Index Options'!$C:$C,$A75,'NSE - Other Index Options'!$B:$B,C$4,'NSE - Other Index Options'!$I:$I,"Weekly*")+SUMIFS('NSE - Other Index Options'!$M:$M,'NSE - Other Index Options'!$C:$C,$A75,'NSE - Other Index Options'!$B:$B,C$4,'NSE - Other Index Options'!$I:$I,"MDAW*")=0,"",SUMIFS('NSE - NIFTY Index Options'!$M:$M,'NSE - NIFTY Index Options'!$C:$C,$A75,'NSE - NIFTY Index Options'!$B:$B,C$4,'NSE - NIFTY Index Options'!$I:$I,"Weekly*")+SUMIFS('NSE - NIFTY Index Options'!$M:$M,'NSE - NIFTY Index Options'!$C:$C,$A75,'NSE - NIFTY Index Options'!$B:$B,C$4,'NSE - NIFTY Index Options'!$I:$I,"MDAW*")+SUMIFS('NSE - Other Index Options'!$M:$M,'NSE - Other Index Options'!$C:$C,$A75,'NSE - Other Index Options'!$B:$B,C$4,'NSE - Other Index Options'!$I:$I,"Weekly*")+SUMIFS('NSE - Other Index Options'!$M:$M,'NSE - Other Index Options'!$C:$C,$A75,'NSE - Other Index Options'!$B:$B,C$4,'NSE - Other Index Options'!$I:$I,"MDAW*"))</f>
        <v/>
      </c>
      <c r="D75" s="26">
        <f>IF(SUMIFS('NSE - NIFTY Index Options'!$M:$M,'NSE - NIFTY Index Options'!$C:$C,$A75,'NSE - NIFTY Index Options'!$B:$B,D$4,'NSE - NIFTY Index Options'!$I:$I,"Weekly*")+SUMIFS('NSE - NIFTY Index Options'!$M:$M,'NSE - NIFTY Index Options'!$C:$C,$A75,'NSE - NIFTY Index Options'!$B:$B,D$4,'NSE - NIFTY Index Options'!$I:$I,"MDAW*")+SUMIFS('NSE - Other Index Options'!$M:$M,'NSE - Other Index Options'!$C:$C,$A75,'NSE - Other Index Options'!$B:$B,D$4,'NSE - Other Index Options'!$I:$I,"Weekly*")+SUMIFS('NSE - Other Index Options'!$M:$M,'NSE - Other Index Options'!$C:$C,$A75,'NSE - Other Index Options'!$B:$B,D$4,'NSE - Other Index Options'!$I:$I,"MDAW*")=0,"",SUMIFS('NSE - NIFTY Index Options'!$M:$M,'NSE - NIFTY Index Options'!$C:$C,$A75,'NSE - NIFTY Index Options'!$B:$B,D$4,'NSE - NIFTY Index Options'!$I:$I,"Weekly*")+SUMIFS('NSE - NIFTY Index Options'!$M:$M,'NSE - NIFTY Index Options'!$C:$C,$A75,'NSE - NIFTY Index Options'!$B:$B,D$4,'NSE - NIFTY Index Options'!$I:$I,"MDAW*")+SUMIFS('NSE - Other Index Options'!$M:$M,'NSE - Other Index Options'!$C:$C,$A75,'NSE - Other Index Options'!$B:$B,D$4,'NSE - Other Index Options'!$I:$I,"Weekly*")+SUMIFS('NSE - Other Index Options'!$M:$M,'NSE - Other Index Options'!$C:$C,$A75,'NSE - Other Index Options'!$B:$B,D$4,'NSE - Other Index Options'!$I:$I,"MDAW*"))</f>
        <v/>
      </c>
      <c r="E75" s="26">
        <f>IF(SUMIFS('NSE - NIFTY Index Options'!$M:$M,'NSE - NIFTY Index Options'!$C:$C,$A75,'NSE - NIFTY Index Options'!$B:$B,E$4,'NSE - NIFTY Index Options'!$I:$I,"Weekly*")+SUMIFS('NSE - NIFTY Index Options'!$M:$M,'NSE - NIFTY Index Options'!$C:$C,$A75,'NSE - NIFTY Index Options'!$B:$B,E$4,'NSE - NIFTY Index Options'!$I:$I,"MDAW*")+SUMIFS('NSE - Other Index Options'!$M:$M,'NSE - Other Index Options'!$C:$C,$A75,'NSE - Other Index Options'!$B:$B,E$4,'NSE - Other Index Options'!$I:$I,"Weekly*")+SUMIFS('NSE - Other Index Options'!$M:$M,'NSE - Other Index Options'!$C:$C,$A75,'NSE - Other Index Options'!$B:$B,E$4,'NSE - Other Index Options'!$I:$I,"MDAW*")=0,"",SUMIFS('NSE - NIFTY Index Options'!$M:$M,'NSE - NIFTY Index Options'!$C:$C,$A75,'NSE - NIFTY Index Options'!$B:$B,E$4,'NSE - NIFTY Index Options'!$I:$I,"Weekly*")+SUMIFS('NSE - NIFTY Index Options'!$M:$M,'NSE - NIFTY Index Options'!$C:$C,$A75,'NSE - NIFTY Index Options'!$B:$B,E$4,'NSE - NIFTY Index Options'!$I:$I,"MDAW*")+SUMIFS('NSE - Other Index Options'!$M:$M,'NSE - Other Index Options'!$C:$C,$A75,'NSE - Other Index Options'!$B:$B,E$4,'NSE - Other Index Options'!$I:$I,"Weekly*")+SUMIFS('NSE - Other Index Options'!$M:$M,'NSE - Other Index Options'!$C:$C,$A75,'NSE - Other Index Options'!$B:$B,E$4,'NSE - Other Index Options'!$I:$I,"MDAW*"))</f>
        <v/>
      </c>
      <c r="F75" s="26">
        <f>IF(SUMIFS('NSE - NIFTY Index Options'!$M:$M,'NSE - NIFTY Index Options'!$C:$C,$A75,'NSE - NIFTY Index Options'!$B:$B,F$4,'NSE - NIFTY Index Options'!$I:$I,"Weekly*")+SUMIFS('NSE - NIFTY Index Options'!$M:$M,'NSE - NIFTY Index Options'!$C:$C,$A75,'NSE - NIFTY Index Options'!$B:$B,F$4,'NSE - NIFTY Index Options'!$I:$I,"MDAW*")+SUMIFS('NSE - Other Index Options'!$M:$M,'NSE - Other Index Options'!$C:$C,$A75,'NSE - Other Index Options'!$B:$B,F$4,'NSE - Other Index Options'!$I:$I,"Weekly*")+SUMIFS('NSE - Other Index Options'!$M:$M,'NSE - Other Index Options'!$C:$C,$A75,'NSE - Other Index Options'!$B:$B,F$4,'NSE - Other Index Options'!$I:$I,"MDAW*")=0,"",SUMIFS('NSE - NIFTY Index Options'!$M:$M,'NSE - NIFTY Index Options'!$C:$C,$A75,'NSE - NIFTY Index Options'!$B:$B,F$4,'NSE - NIFTY Index Options'!$I:$I,"Weekly*")+SUMIFS('NSE - NIFTY Index Options'!$M:$M,'NSE - NIFTY Index Options'!$C:$C,$A75,'NSE - NIFTY Index Options'!$B:$B,F$4,'NSE - NIFTY Index Options'!$I:$I,"MDAW*")+SUMIFS('NSE - Other Index Options'!$M:$M,'NSE - Other Index Options'!$C:$C,$A75,'NSE - Other Index Options'!$B:$B,F$4,'NSE - Other Index Options'!$I:$I,"Weekly*")+SUMIFS('NSE - Other Index Options'!$M:$M,'NSE - Other Index Options'!$C:$C,$A75,'NSE - Other Index Options'!$B:$B,F$4,'NSE - Other Index Options'!$I:$I,"MDAW*"))</f>
        <v/>
      </c>
      <c r="G75" s="26">
        <f>IF(SUMIFS('NSE - NIFTY Index Options'!$M:$M,'NSE - NIFTY Index Options'!$C:$C,$A75,'NSE - NIFTY Index Options'!$B:$B,G$4,'NSE - NIFTY Index Options'!$I:$I,"Weekly*")+SUMIFS('NSE - NIFTY Index Options'!$M:$M,'NSE - NIFTY Index Options'!$C:$C,$A75,'NSE - NIFTY Index Options'!$B:$B,G$4,'NSE - NIFTY Index Options'!$I:$I,"MDAW*")+SUMIFS('NSE - Other Index Options'!$M:$M,'NSE - Other Index Options'!$C:$C,$A75,'NSE - Other Index Options'!$B:$B,G$4,'NSE - Other Index Options'!$I:$I,"Weekly*")+SUMIFS('NSE - Other Index Options'!$M:$M,'NSE - Other Index Options'!$C:$C,$A75,'NSE - Other Index Options'!$B:$B,G$4,'NSE - Other Index Options'!$I:$I,"MDAW*")=0,"",SUMIFS('NSE - NIFTY Index Options'!$M:$M,'NSE - NIFTY Index Options'!$C:$C,$A75,'NSE - NIFTY Index Options'!$B:$B,G$4,'NSE - NIFTY Index Options'!$I:$I,"Weekly*")+SUMIFS('NSE - NIFTY Index Options'!$M:$M,'NSE - NIFTY Index Options'!$C:$C,$A75,'NSE - NIFTY Index Options'!$B:$B,G$4,'NSE - NIFTY Index Options'!$I:$I,"MDAW*")+SUMIFS('NSE - Other Index Options'!$M:$M,'NSE - Other Index Options'!$C:$C,$A75,'NSE - Other Index Options'!$B:$B,G$4,'NSE - Other Index Options'!$I:$I,"Weekly*")+SUMIFS('NSE - Other Index Options'!$M:$M,'NSE - Other Index Options'!$C:$C,$A75,'NSE - Other Index Options'!$B:$B,G$4,'NSE - Other Index Options'!$I:$I,"MDAW*"))</f>
        <v/>
      </c>
      <c r="H75" s="26">
        <f>IF(SUM(B75:G75)=0,"",SUM(B75:G75))</f>
        <v/>
      </c>
    </row>
    <row r="76" hidden="1" outlineLevel="1">
      <c r="A76" t="inlineStr">
        <is>
          <t>Week3-Nov-2026</t>
        </is>
      </c>
      <c r="B76" s="26">
        <f>IF(SUMIFS('NSE - NIFTY Index Options'!$M:$M,'NSE - NIFTY Index Options'!$C:$C,$A76,'NSE - NIFTY Index Options'!$B:$B,B$4,'NSE - NIFTY Index Options'!$I:$I,"Weekly*")+SUMIFS('NSE - NIFTY Index Options'!$M:$M,'NSE - NIFTY Index Options'!$C:$C,$A76,'NSE - NIFTY Index Options'!$B:$B,B$4,'NSE - NIFTY Index Options'!$I:$I,"MDAW*")+SUMIFS('NSE - Other Index Options'!$M:$M,'NSE - Other Index Options'!$C:$C,$A76,'NSE - Other Index Options'!$B:$B,B$4,'NSE - Other Index Options'!$I:$I,"Weekly*")+SUMIFS('NSE - Other Index Options'!$M:$M,'NSE - Other Index Options'!$C:$C,$A76,'NSE - Other Index Options'!$B:$B,B$4,'NSE - Other Index Options'!$I:$I,"MDAW*")=0,"",SUMIFS('NSE - NIFTY Index Options'!$M:$M,'NSE - NIFTY Index Options'!$C:$C,$A76,'NSE - NIFTY Index Options'!$B:$B,B$4,'NSE - NIFTY Index Options'!$I:$I,"Weekly*")+SUMIFS('NSE - NIFTY Index Options'!$M:$M,'NSE - NIFTY Index Options'!$C:$C,$A76,'NSE - NIFTY Index Options'!$B:$B,B$4,'NSE - NIFTY Index Options'!$I:$I,"MDAW*")+SUMIFS('NSE - Other Index Options'!$M:$M,'NSE - Other Index Options'!$C:$C,$A76,'NSE - Other Index Options'!$B:$B,B$4,'NSE - Other Index Options'!$I:$I,"Weekly*")+SUMIFS('NSE - Other Index Options'!$M:$M,'NSE - Other Index Options'!$C:$C,$A76,'NSE - Other Index Options'!$B:$B,B$4,'NSE - Other Index Options'!$I:$I,"MDAW*"))</f>
        <v/>
      </c>
      <c r="C76" s="26">
        <f>IF(SUMIFS('NSE - NIFTY Index Options'!$M:$M,'NSE - NIFTY Index Options'!$C:$C,$A76,'NSE - NIFTY Index Options'!$B:$B,C$4,'NSE - NIFTY Index Options'!$I:$I,"Weekly*")+SUMIFS('NSE - NIFTY Index Options'!$M:$M,'NSE - NIFTY Index Options'!$C:$C,$A76,'NSE - NIFTY Index Options'!$B:$B,C$4,'NSE - NIFTY Index Options'!$I:$I,"MDAW*")+SUMIFS('NSE - Other Index Options'!$M:$M,'NSE - Other Index Options'!$C:$C,$A76,'NSE - Other Index Options'!$B:$B,C$4,'NSE - Other Index Options'!$I:$I,"Weekly*")+SUMIFS('NSE - Other Index Options'!$M:$M,'NSE - Other Index Options'!$C:$C,$A76,'NSE - Other Index Options'!$B:$B,C$4,'NSE - Other Index Options'!$I:$I,"MDAW*")=0,"",SUMIFS('NSE - NIFTY Index Options'!$M:$M,'NSE - NIFTY Index Options'!$C:$C,$A76,'NSE - NIFTY Index Options'!$B:$B,C$4,'NSE - NIFTY Index Options'!$I:$I,"Weekly*")+SUMIFS('NSE - NIFTY Index Options'!$M:$M,'NSE - NIFTY Index Options'!$C:$C,$A76,'NSE - NIFTY Index Options'!$B:$B,C$4,'NSE - NIFTY Index Options'!$I:$I,"MDAW*")+SUMIFS('NSE - Other Index Options'!$M:$M,'NSE - Other Index Options'!$C:$C,$A76,'NSE - Other Index Options'!$B:$B,C$4,'NSE - Other Index Options'!$I:$I,"Weekly*")+SUMIFS('NSE - Other Index Options'!$M:$M,'NSE - Other Index Options'!$C:$C,$A76,'NSE - Other Index Options'!$B:$B,C$4,'NSE - Other Index Options'!$I:$I,"MDAW*"))</f>
        <v/>
      </c>
      <c r="D76" s="26">
        <f>IF(SUMIFS('NSE - NIFTY Index Options'!$M:$M,'NSE - NIFTY Index Options'!$C:$C,$A76,'NSE - NIFTY Index Options'!$B:$B,D$4,'NSE - NIFTY Index Options'!$I:$I,"Weekly*")+SUMIFS('NSE - NIFTY Index Options'!$M:$M,'NSE - NIFTY Index Options'!$C:$C,$A76,'NSE - NIFTY Index Options'!$B:$B,D$4,'NSE - NIFTY Index Options'!$I:$I,"MDAW*")+SUMIFS('NSE - Other Index Options'!$M:$M,'NSE - Other Index Options'!$C:$C,$A76,'NSE - Other Index Options'!$B:$B,D$4,'NSE - Other Index Options'!$I:$I,"Weekly*")+SUMIFS('NSE - Other Index Options'!$M:$M,'NSE - Other Index Options'!$C:$C,$A76,'NSE - Other Index Options'!$B:$B,D$4,'NSE - Other Index Options'!$I:$I,"MDAW*")=0,"",SUMIFS('NSE - NIFTY Index Options'!$M:$M,'NSE - NIFTY Index Options'!$C:$C,$A76,'NSE - NIFTY Index Options'!$B:$B,D$4,'NSE - NIFTY Index Options'!$I:$I,"Weekly*")+SUMIFS('NSE - NIFTY Index Options'!$M:$M,'NSE - NIFTY Index Options'!$C:$C,$A76,'NSE - NIFTY Index Options'!$B:$B,D$4,'NSE - NIFTY Index Options'!$I:$I,"MDAW*")+SUMIFS('NSE - Other Index Options'!$M:$M,'NSE - Other Index Options'!$C:$C,$A76,'NSE - Other Index Options'!$B:$B,D$4,'NSE - Other Index Options'!$I:$I,"Weekly*")+SUMIFS('NSE - Other Index Options'!$M:$M,'NSE - Other Index Options'!$C:$C,$A76,'NSE - Other Index Options'!$B:$B,D$4,'NSE - Other Index Options'!$I:$I,"MDAW*"))</f>
        <v/>
      </c>
      <c r="E76" s="26">
        <f>IF(SUMIFS('NSE - NIFTY Index Options'!$M:$M,'NSE - NIFTY Index Options'!$C:$C,$A76,'NSE - NIFTY Index Options'!$B:$B,E$4,'NSE - NIFTY Index Options'!$I:$I,"Weekly*")+SUMIFS('NSE - NIFTY Index Options'!$M:$M,'NSE - NIFTY Index Options'!$C:$C,$A76,'NSE - NIFTY Index Options'!$B:$B,E$4,'NSE - NIFTY Index Options'!$I:$I,"MDAW*")+SUMIFS('NSE - Other Index Options'!$M:$M,'NSE - Other Index Options'!$C:$C,$A76,'NSE - Other Index Options'!$B:$B,E$4,'NSE - Other Index Options'!$I:$I,"Weekly*")+SUMIFS('NSE - Other Index Options'!$M:$M,'NSE - Other Index Options'!$C:$C,$A76,'NSE - Other Index Options'!$B:$B,E$4,'NSE - Other Index Options'!$I:$I,"MDAW*")=0,"",SUMIFS('NSE - NIFTY Index Options'!$M:$M,'NSE - NIFTY Index Options'!$C:$C,$A76,'NSE - NIFTY Index Options'!$B:$B,E$4,'NSE - NIFTY Index Options'!$I:$I,"Weekly*")+SUMIFS('NSE - NIFTY Index Options'!$M:$M,'NSE - NIFTY Index Options'!$C:$C,$A76,'NSE - NIFTY Index Options'!$B:$B,E$4,'NSE - NIFTY Index Options'!$I:$I,"MDAW*")+SUMIFS('NSE - Other Index Options'!$M:$M,'NSE - Other Index Options'!$C:$C,$A76,'NSE - Other Index Options'!$B:$B,E$4,'NSE - Other Index Options'!$I:$I,"Weekly*")+SUMIFS('NSE - Other Index Options'!$M:$M,'NSE - Other Index Options'!$C:$C,$A76,'NSE - Other Index Options'!$B:$B,E$4,'NSE - Other Index Options'!$I:$I,"MDAW*"))</f>
        <v/>
      </c>
      <c r="F76" s="26">
        <f>IF(SUMIFS('NSE - NIFTY Index Options'!$M:$M,'NSE - NIFTY Index Options'!$C:$C,$A76,'NSE - NIFTY Index Options'!$B:$B,F$4,'NSE - NIFTY Index Options'!$I:$I,"Weekly*")+SUMIFS('NSE - NIFTY Index Options'!$M:$M,'NSE - NIFTY Index Options'!$C:$C,$A76,'NSE - NIFTY Index Options'!$B:$B,F$4,'NSE - NIFTY Index Options'!$I:$I,"MDAW*")+SUMIFS('NSE - Other Index Options'!$M:$M,'NSE - Other Index Options'!$C:$C,$A76,'NSE - Other Index Options'!$B:$B,F$4,'NSE - Other Index Options'!$I:$I,"Weekly*")+SUMIFS('NSE - Other Index Options'!$M:$M,'NSE - Other Index Options'!$C:$C,$A76,'NSE - Other Index Options'!$B:$B,F$4,'NSE - Other Index Options'!$I:$I,"MDAW*")=0,"",SUMIFS('NSE - NIFTY Index Options'!$M:$M,'NSE - NIFTY Index Options'!$C:$C,$A76,'NSE - NIFTY Index Options'!$B:$B,F$4,'NSE - NIFTY Index Options'!$I:$I,"Weekly*")+SUMIFS('NSE - NIFTY Index Options'!$M:$M,'NSE - NIFTY Index Options'!$C:$C,$A76,'NSE - NIFTY Index Options'!$B:$B,F$4,'NSE - NIFTY Index Options'!$I:$I,"MDAW*")+SUMIFS('NSE - Other Index Options'!$M:$M,'NSE - Other Index Options'!$C:$C,$A76,'NSE - Other Index Options'!$B:$B,F$4,'NSE - Other Index Options'!$I:$I,"Weekly*")+SUMIFS('NSE - Other Index Options'!$M:$M,'NSE - Other Index Options'!$C:$C,$A76,'NSE - Other Index Options'!$B:$B,F$4,'NSE - Other Index Options'!$I:$I,"MDAW*"))</f>
        <v/>
      </c>
      <c r="G76" s="26">
        <f>IF(SUMIFS('NSE - NIFTY Index Options'!$M:$M,'NSE - NIFTY Index Options'!$C:$C,$A76,'NSE - NIFTY Index Options'!$B:$B,G$4,'NSE - NIFTY Index Options'!$I:$I,"Weekly*")+SUMIFS('NSE - NIFTY Index Options'!$M:$M,'NSE - NIFTY Index Options'!$C:$C,$A76,'NSE - NIFTY Index Options'!$B:$B,G$4,'NSE - NIFTY Index Options'!$I:$I,"MDAW*")+SUMIFS('NSE - Other Index Options'!$M:$M,'NSE - Other Index Options'!$C:$C,$A76,'NSE - Other Index Options'!$B:$B,G$4,'NSE - Other Index Options'!$I:$I,"Weekly*")+SUMIFS('NSE - Other Index Options'!$M:$M,'NSE - Other Index Options'!$C:$C,$A76,'NSE - Other Index Options'!$B:$B,G$4,'NSE - Other Index Options'!$I:$I,"MDAW*")=0,"",SUMIFS('NSE - NIFTY Index Options'!$M:$M,'NSE - NIFTY Index Options'!$C:$C,$A76,'NSE - NIFTY Index Options'!$B:$B,G$4,'NSE - NIFTY Index Options'!$I:$I,"Weekly*")+SUMIFS('NSE - NIFTY Index Options'!$M:$M,'NSE - NIFTY Index Options'!$C:$C,$A76,'NSE - NIFTY Index Options'!$B:$B,G$4,'NSE - NIFTY Index Options'!$I:$I,"MDAW*")+SUMIFS('NSE - Other Index Options'!$M:$M,'NSE - Other Index Options'!$C:$C,$A76,'NSE - Other Index Options'!$B:$B,G$4,'NSE - Other Index Options'!$I:$I,"Weekly*")+SUMIFS('NSE - Other Index Options'!$M:$M,'NSE - Other Index Options'!$C:$C,$A76,'NSE - Other Index Options'!$B:$B,G$4,'NSE - Other Index Options'!$I:$I,"MDAW*"))</f>
        <v/>
      </c>
      <c r="H76" s="26">
        <f>IF(SUM(B76:G76)=0,"",SUM(B76:G76))</f>
        <v/>
      </c>
    </row>
    <row r="77" hidden="1" outlineLevel="1">
      <c r="A77" t="inlineStr">
        <is>
          <t>Week4-Nov-2026</t>
        </is>
      </c>
      <c r="B77" s="26">
        <f>IF(SUMIFS('NSE - NIFTY Index Options'!$M:$M,'NSE - NIFTY Index Options'!$C:$C,$A77,'NSE - NIFTY Index Options'!$B:$B,B$4,'NSE - NIFTY Index Options'!$I:$I,"Weekly*")+SUMIFS('NSE - NIFTY Index Options'!$M:$M,'NSE - NIFTY Index Options'!$C:$C,$A77,'NSE - NIFTY Index Options'!$B:$B,B$4,'NSE - NIFTY Index Options'!$I:$I,"MDAW*")+SUMIFS('NSE - Other Index Options'!$M:$M,'NSE - Other Index Options'!$C:$C,$A77,'NSE - Other Index Options'!$B:$B,B$4,'NSE - Other Index Options'!$I:$I,"Weekly*")+SUMIFS('NSE - Other Index Options'!$M:$M,'NSE - Other Index Options'!$C:$C,$A77,'NSE - Other Index Options'!$B:$B,B$4,'NSE - Other Index Options'!$I:$I,"MDAW*")=0,"",SUMIFS('NSE - NIFTY Index Options'!$M:$M,'NSE - NIFTY Index Options'!$C:$C,$A77,'NSE - NIFTY Index Options'!$B:$B,B$4,'NSE - NIFTY Index Options'!$I:$I,"Weekly*")+SUMIFS('NSE - NIFTY Index Options'!$M:$M,'NSE - NIFTY Index Options'!$C:$C,$A77,'NSE - NIFTY Index Options'!$B:$B,B$4,'NSE - NIFTY Index Options'!$I:$I,"MDAW*")+SUMIFS('NSE - Other Index Options'!$M:$M,'NSE - Other Index Options'!$C:$C,$A77,'NSE - Other Index Options'!$B:$B,B$4,'NSE - Other Index Options'!$I:$I,"Weekly*")+SUMIFS('NSE - Other Index Options'!$M:$M,'NSE - Other Index Options'!$C:$C,$A77,'NSE - Other Index Options'!$B:$B,B$4,'NSE - Other Index Options'!$I:$I,"MDAW*"))</f>
        <v/>
      </c>
      <c r="C77" s="26">
        <f>IF(SUMIFS('NSE - NIFTY Index Options'!$M:$M,'NSE - NIFTY Index Options'!$C:$C,$A77,'NSE - NIFTY Index Options'!$B:$B,C$4,'NSE - NIFTY Index Options'!$I:$I,"Weekly*")+SUMIFS('NSE - NIFTY Index Options'!$M:$M,'NSE - NIFTY Index Options'!$C:$C,$A77,'NSE - NIFTY Index Options'!$B:$B,C$4,'NSE - NIFTY Index Options'!$I:$I,"MDAW*")+SUMIFS('NSE - Other Index Options'!$M:$M,'NSE - Other Index Options'!$C:$C,$A77,'NSE - Other Index Options'!$B:$B,C$4,'NSE - Other Index Options'!$I:$I,"Weekly*")+SUMIFS('NSE - Other Index Options'!$M:$M,'NSE - Other Index Options'!$C:$C,$A77,'NSE - Other Index Options'!$B:$B,C$4,'NSE - Other Index Options'!$I:$I,"MDAW*")=0,"",SUMIFS('NSE - NIFTY Index Options'!$M:$M,'NSE - NIFTY Index Options'!$C:$C,$A77,'NSE - NIFTY Index Options'!$B:$B,C$4,'NSE - NIFTY Index Options'!$I:$I,"Weekly*")+SUMIFS('NSE - NIFTY Index Options'!$M:$M,'NSE - NIFTY Index Options'!$C:$C,$A77,'NSE - NIFTY Index Options'!$B:$B,C$4,'NSE - NIFTY Index Options'!$I:$I,"MDAW*")+SUMIFS('NSE - Other Index Options'!$M:$M,'NSE - Other Index Options'!$C:$C,$A77,'NSE - Other Index Options'!$B:$B,C$4,'NSE - Other Index Options'!$I:$I,"Weekly*")+SUMIFS('NSE - Other Index Options'!$M:$M,'NSE - Other Index Options'!$C:$C,$A77,'NSE - Other Index Options'!$B:$B,C$4,'NSE - Other Index Options'!$I:$I,"MDAW*"))</f>
        <v/>
      </c>
      <c r="D77" s="26">
        <f>IF(SUMIFS('NSE - NIFTY Index Options'!$M:$M,'NSE - NIFTY Index Options'!$C:$C,$A77,'NSE - NIFTY Index Options'!$B:$B,D$4,'NSE - NIFTY Index Options'!$I:$I,"Weekly*")+SUMIFS('NSE - NIFTY Index Options'!$M:$M,'NSE - NIFTY Index Options'!$C:$C,$A77,'NSE - NIFTY Index Options'!$B:$B,D$4,'NSE - NIFTY Index Options'!$I:$I,"MDAW*")+SUMIFS('NSE - Other Index Options'!$M:$M,'NSE - Other Index Options'!$C:$C,$A77,'NSE - Other Index Options'!$B:$B,D$4,'NSE - Other Index Options'!$I:$I,"Weekly*")+SUMIFS('NSE - Other Index Options'!$M:$M,'NSE - Other Index Options'!$C:$C,$A77,'NSE - Other Index Options'!$B:$B,D$4,'NSE - Other Index Options'!$I:$I,"MDAW*")=0,"",SUMIFS('NSE - NIFTY Index Options'!$M:$M,'NSE - NIFTY Index Options'!$C:$C,$A77,'NSE - NIFTY Index Options'!$B:$B,D$4,'NSE - NIFTY Index Options'!$I:$I,"Weekly*")+SUMIFS('NSE - NIFTY Index Options'!$M:$M,'NSE - NIFTY Index Options'!$C:$C,$A77,'NSE - NIFTY Index Options'!$B:$B,D$4,'NSE - NIFTY Index Options'!$I:$I,"MDAW*")+SUMIFS('NSE - Other Index Options'!$M:$M,'NSE - Other Index Options'!$C:$C,$A77,'NSE - Other Index Options'!$B:$B,D$4,'NSE - Other Index Options'!$I:$I,"Weekly*")+SUMIFS('NSE - Other Index Options'!$M:$M,'NSE - Other Index Options'!$C:$C,$A77,'NSE - Other Index Options'!$B:$B,D$4,'NSE - Other Index Options'!$I:$I,"MDAW*"))</f>
        <v/>
      </c>
      <c r="E77" s="26">
        <f>IF(SUMIFS('NSE - NIFTY Index Options'!$M:$M,'NSE - NIFTY Index Options'!$C:$C,$A77,'NSE - NIFTY Index Options'!$B:$B,E$4,'NSE - NIFTY Index Options'!$I:$I,"Weekly*")+SUMIFS('NSE - NIFTY Index Options'!$M:$M,'NSE - NIFTY Index Options'!$C:$C,$A77,'NSE - NIFTY Index Options'!$B:$B,E$4,'NSE - NIFTY Index Options'!$I:$I,"MDAW*")+SUMIFS('NSE - Other Index Options'!$M:$M,'NSE - Other Index Options'!$C:$C,$A77,'NSE - Other Index Options'!$B:$B,E$4,'NSE - Other Index Options'!$I:$I,"Weekly*")+SUMIFS('NSE - Other Index Options'!$M:$M,'NSE - Other Index Options'!$C:$C,$A77,'NSE - Other Index Options'!$B:$B,E$4,'NSE - Other Index Options'!$I:$I,"MDAW*")=0,"",SUMIFS('NSE - NIFTY Index Options'!$M:$M,'NSE - NIFTY Index Options'!$C:$C,$A77,'NSE - NIFTY Index Options'!$B:$B,E$4,'NSE - NIFTY Index Options'!$I:$I,"Weekly*")+SUMIFS('NSE - NIFTY Index Options'!$M:$M,'NSE - NIFTY Index Options'!$C:$C,$A77,'NSE - NIFTY Index Options'!$B:$B,E$4,'NSE - NIFTY Index Options'!$I:$I,"MDAW*")+SUMIFS('NSE - Other Index Options'!$M:$M,'NSE - Other Index Options'!$C:$C,$A77,'NSE - Other Index Options'!$B:$B,E$4,'NSE - Other Index Options'!$I:$I,"Weekly*")+SUMIFS('NSE - Other Index Options'!$M:$M,'NSE - Other Index Options'!$C:$C,$A77,'NSE - Other Index Options'!$B:$B,E$4,'NSE - Other Index Options'!$I:$I,"MDAW*"))</f>
        <v/>
      </c>
      <c r="F77" s="26">
        <f>IF(SUMIFS('NSE - NIFTY Index Options'!$M:$M,'NSE - NIFTY Index Options'!$C:$C,$A77,'NSE - NIFTY Index Options'!$B:$B,F$4,'NSE - NIFTY Index Options'!$I:$I,"Weekly*")+SUMIFS('NSE - NIFTY Index Options'!$M:$M,'NSE - NIFTY Index Options'!$C:$C,$A77,'NSE - NIFTY Index Options'!$B:$B,F$4,'NSE - NIFTY Index Options'!$I:$I,"MDAW*")+SUMIFS('NSE - Other Index Options'!$M:$M,'NSE - Other Index Options'!$C:$C,$A77,'NSE - Other Index Options'!$B:$B,F$4,'NSE - Other Index Options'!$I:$I,"Weekly*")+SUMIFS('NSE - Other Index Options'!$M:$M,'NSE - Other Index Options'!$C:$C,$A77,'NSE - Other Index Options'!$B:$B,F$4,'NSE - Other Index Options'!$I:$I,"MDAW*")=0,"",SUMIFS('NSE - NIFTY Index Options'!$M:$M,'NSE - NIFTY Index Options'!$C:$C,$A77,'NSE - NIFTY Index Options'!$B:$B,F$4,'NSE - NIFTY Index Options'!$I:$I,"Weekly*")+SUMIFS('NSE - NIFTY Index Options'!$M:$M,'NSE - NIFTY Index Options'!$C:$C,$A77,'NSE - NIFTY Index Options'!$B:$B,F$4,'NSE - NIFTY Index Options'!$I:$I,"MDAW*")+SUMIFS('NSE - Other Index Options'!$M:$M,'NSE - Other Index Options'!$C:$C,$A77,'NSE - Other Index Options'!$B:$B,F$4,'NSE - Other Index Options'!$I:$I,"Weekly*")+SUMIFS('NSE - Other Index Options'!$M:$M,'NSE - Other Index Options'!$C:$C,$A77,'NSE - Other Index Options'!$B:$B,F$4,'NSE - Other Index Options'!$I:$I,"MDAW*"))</f>
        <v/>
      </c>
      <c r="G77" s="26">
        <f>IF(SUMIFS('NSE - NIFTY Index Options'!$M:$M,'NSE - NIFTY Index Options'!$C:$C,$A77,'NSE - NIFTY Index Options'!$B:$B,G$4,'NSE - NIFTY Index Options'!$I:$I,"Weekly*")+SUMIFS('NSE - NIFTY Index Options'!$M:$M,'NSE - NIFTY Index Options'!$C:$C,$A77,'NSE - NIFTY Index Options'!$B:$B,G$4,'NSE - NIFTY Index Options'!$I:$I,"MDAW*")+SUMIFS('NSE - Other Index Options'!$M:$M,'NSE - Other Index Options'!$C:$C,$A77,'NSE - Other Index Options'!$B:$B,G$4,'NSE - Other Index Options'!$I:$I,"Weekly*")+SUMIFS('NSE - Other Index Options'!$M:$M,'NSE - Other Index Options'!$C:$C,$A77,'NSE - Other Index Options'!$B:$B,G$4,'NSE - Other Index Options'!$I:$I,"MDAW*")=0,"",SUMIFS('NSE - NIFTY Index Options'!$M:$M,'NSE - NIFTY Index Options'!$C:$C,$A77,'NSE - NIFTY Index Options'!$B:$B,G$4,'NSE - NIFTY Index Options'!$I:$I,"Weekly*")+SUMIFS('NSE - NIFTY Index Options'!$M:$M,'NSE - NIFTY Index Options'!$C:$C,$A77,'NSE - NIFTY Index Options'!$B:$B,G$4,'NSE - NIFTY Index Options'!$I:$I,"MDAW*")+SUMIFS('NSE - Other Index Options'!$M:$M,'NSE - Other Index Options'!$C:$C,$A77,'NSE - Other Index Options'!$B:$B,G$4,'NSE - Other Index Options'!$I:$I,"Weekly*")+SUMIFS('NSE - Other Index Options'!$M:$M,'NSE - Other Index Options'!$C:$C,$A77,'NSE - Other Index Options'!$B:$B,G$4,'NSE - Other Index Options'!$I:$I,"MDAW*"))</f>
        <v/>
      </c>
      <c r="H77" s="26">
        <f>IF(SUM(B77:G77)=0,"",SUM(B77:G77))</f>
        <v/>
      </c>
    </row>
    <row r="78" hidden="1" outlineLevel="1">
      <c r="A78" t="inlineStr">
        <is>
          <t>Week5-Nov-2026</t>
        </is>
      </c>
      <c r="B78" s="26">
        <f>IF(SUMIFS('NSE - NIFTY Index Options'!$M:$M,'NSE - NIFTY Index Options'!$C:$C,$A78,'NSE - NIFTY Index Options'!$B:$B,B$4,'NSE - NIFTY Index Options'!$I:$I,"Weekly*")+SUMIFS('NSE - NIFTY Index Options'!$M:$M,'NSE - NIFTY Index Options'!$C:$C,$A78,'NSE - NIFTY Index Options'!$B:$B,B$4,'NSE - NIFTY Index Options'!$I:$I,"MDAW*")+SUMIFS('NSE - Other Index Options'!$M:$M,'NSE - Other Index Options'!$C:$C,$A78,'NSE - Other Index Options'!$B:$B,B$4,'NSE - Other Index Options'!$I:$I,"Weekly*")+SUMIFS('NSE - Other Index Options'!$M:$M,'NSE - Other Index Options'!$C:$C,$A78,'NSE - Other Index Options'!$B:$B,B$4,'NSE - Other Index Options'!$I:$I,"MDAW*")=0,"",SUMIFS('NSE - NIFTY Index Options'!$M:$M,'NSE - NIFTY Index Options'!$C:$C,$A78,'NSE - NIFTY Index Options'!$B:$B,B$4,'NSE - NIFTY Index Options'!$I:$I,"Weekly*")+SUMIFS('NSE - NIFTY Index Options'!$M:$M,'NSE - NIFTY Index Options'!$C:$C,$A78,'NSE - NIFTY Index Options'!$B:$B,B$4,'NSE - NIFTY Index Options'!$I:$I,"MDAW*")+SUMIFS('NSE - Other Index Options'!$M:$M,'NSE - Other Index Options'!$C:$C,$A78,'NSE - Other Index Options'!$B:$B,B$4,'NSE - Other Index Options'!$I:$I,"Weekly*")+SUMIFS('NSE - Other Index Options'!$M:$M,'NSE - Other Index Options'!$C:$C,$A78,'NSE - Other Index Options'!$B:$B,B$4,'NSE - Other Index Options'!$I:$I,"MDAW*"))</f>
        <v/>
      </c>
      <c r="C78" s="26">
        <f>IF(SUMIFS('NSE - NIFTY Index Options'!$M:$M,'NSE - NIFTY Index Options'!$C:$C,$A78,'NSE - NIFTY Index Options'!$B:$B,C$4,'NSE - NIFTY Index Options'!$I:$I,"Weekly*")+SUMIFS('NSE - NIFTY Index Options'!$M:$M,'NSE - NIFTY Index Options'!$C:$C,$A78,'NSE - NIFTY Index Options'!$B:$B,C$4,'NSE - NIFTY Index Options'!$I:$I,"MDAW*")+SUMIFS('NSE - Other Index Options'!$M:$M,'NSE - Other Index Options'!$C:$C,$A78,'NSE - Other Index Options'!$B:$B,C$4,'NSE - Other Index Options'!$I:$I,"Weekly*")+SUMIFS('NSE - Other Index Options'!$M:$M,'NSE - Other Index Options'!$C:$C,$A78,'NSE - Other Index Options'!$B:$B,C$4,'NSE - Other Index Options'!$I:$I,"MDAW*")=0,"",SUMIFS('NSE - NIFTY Index Options'!$M:$M,'NSE - NIFTY Index Options'!$C:$C,$A78,'NSE - NIFTY Index Options'!$B:$B,C$4,'NSE - NIFTY Index Options'!$I:$I,"Weekly*")+SUMIFS('NSE - NIFTY Index Options'!$M:$M,'NSE - NIFTY Index Options'!$C:$C,$A78,'NSE - NIFTY Index Options'!$B:$B,C$4,'NSE - NIFTY Index Options'!$I:$I,"MDAW*")+SUMIFS('NSE - Other Index Options'!$M:$M,'NSE - Other Index Options'!$C:$C,$A78,'NSE - Other Index Options'!$B:$B,C$4,'NSE - Other Index Options'!$I:$I,"Weekly*")+SUMIFS('NSE - Other Index Options'!$M:$M,'NSE - Other Index Options'!$C:$C,$A78,'NSE - Other Index Options'!$B:$B,C$4,'NSE - Other Index Options'!$I:$I,"MDAW*"))</f>
        <v/>
      </c>
      <c r="D78" s="26">
        <f>IF(SUMIFS('NSE - NIFTY Index Options'!$M:$M,'NSE - NIFTY Index Options'!$C:$C,$A78,'NSE - NIFTY Index Options'!$B:$B,D$4,'NSE - NIFTY Index Options'!$I:$I,"Weekly*")+SUMIFS('NSE - NIFTY Index Options'!$M:$M,'NSE - NIFTY Index Options'!$C:$C,$A78,'NSE - NIFTY Index Options'!$B:$B,D$4,'NSE - NIFTY Index Options'!$I:$I,"MDAW*")+SUMIFS('NSE - Other Index Options'!$M:$M,'NSE - Other Index Options'!$C:$C,$A78,'NSE - Other Index Options'!$B:$B,D$4,'NSE - Other Index Options'!$I:$I,"Weekly*")+SUMIFS('NSE - Other Index Options'!$M:$M,'NSE - Other Index Options'!$C:$C,$A78,'NSE - Other Index Options'!$B:$B,D$4,'NSE - Other Index Options'!$I:$I,"MDAW*")=0,"",SUMIFS('NSE - NIFTY Index Options'!$M:$M,'NSE - NIFTY Index Options'!$C:$C,$A78,'NSE - NIFTY Index Options'!$B:$B,D$4,'NSE - NIFTY Index Options'!$I:$I,"Weekly*")+SUMIFS('NSE - NIFTY Index Options'!$M:$M,'NSE - NIFTY Index Options'!$C:$C,$A78,'NSE - NIFTY Index Options'!$B:$B,D$4,'NSE - NIFTY Index Options'!$I:$I,"MDAW*")+SUMIFS('NSE - Other Index Options'!$M:$M,'NSE - Other Index Options'!$C:$C,$A78,'NSE - Other Index Options'!$B:$B,D$4,'NSE - Other Index Options'!$I:$I,"Weekly*")+SUMIFS('NSE - Other Index Options'!$M:$M,'NSE - Other Index Options'!$C:$C,$A78,'NSE - Other Index Options'!$B:$B,D$4,'NSE - Other Index Options'!$I:$I,"MDAW*"))</f>
        <v/>
      </c>
      <c r="E78" s="26">
        <f>IF(SUMIFS('NSE - NIFTY Index Options'!$M:$M,'NSE - NIFTY Index Options'!$C:$C,$A78,'NSE - NIFTY Index Options'!$B:$B,E$4,'NSE - NIFTY Index Options'!$I:$I,"Weekly*")+SUMIFS('NSE - NIFTY Index Options'!$M:$M,'NSE - NIFTY Index Options'!$C:$C,$A78,'NSE - NIFTY Index Options'!$B:$B,E$4,'NSE - NIFTY Index Options'!$I:$I,"MDAW*")+SUMIFS('NSE - Other Index Options'!$M:$M,'NSE - Other Index Options'!$C:$C,$A78,'NSE - Other Index Options'!$B:$B,E$4,'NSE - Other Index Options'!$I:$I,"Weekly*")+SUMIFS('NSE - Other Index Options'!$M:$M,'NSE - Other Index Options'!$C:$C,$A78,'NSE - Other Index Options'!$B:$B,E$4,'NSE - Other Index Options'!$I:$I,"MDAW*")=0,"",SUMIFS('NSE - NIFTY Index Options'!$M:$M,'NSE - NIFTY Index Options'!$C:$C,$A78,'NSE - NIFTY Index Options'!$B:$B,E$4,'NSE - NIFTY Index Options'!$I:$I,"Weekly*")+SUMIFS('NSE - NIFTY Index Options'!$M:$M,'NSE - NIFTY Index Options'!$C:$C,$A78,'NSE - NIFTY Index Options'!$B:$B,E$4,'NSE - NIFTY Index Options'!$I:$I,"MDAW*")+SUMIFS('NSE - Other Index Options'!$M:$M,'NSE - Other Index Options'!$C:$C,$A78,'NSE - Other Index Options'!$B:$B,E$4,'NSE - Other Index Options'!$I:$I,"Weekly*")+SUMIFS('NSE - Other Index Options'!$M:$M,'NSE - Other Index Options'!$C:$C,$A78,'NSE - Other Index Options'!$B:$B,E$4,'NSE - Other Index Options'!$I:$I,"MDAW*"))</f>
        <v/>
      </c>
      <c r="F78" s="26">
        <f>IF(SUMIFS('NSE - NIFTY Index Options'!$M:$M,'NSE - NIFTY Index Options'!$C:$C,$A78,'NSE - NIFTY Index Options'!$B:$B,F$4,'NSE - NIFTY Index Options'!$I:$I,"Weekly*")+SUMIFS('NSE - NIFTY Index Options'!$M:$M,'NSE - NIFTY Index Options'!$C:$C,$A78,'NSE - NIFTY Index Options'!$B:$B,F$4,'NSE - NIFTY Index Options'!$I:$I,"MDAW*")+SUMIFS('NSE - Other Index Options'!$M:$M,'NSE - Other Index Options'!$C:$C,$A78,'NSE - Other Index Options'!$B:$B,F$4,'NSE - Other Index Options'!$I:$I,"Weekly*")+SUMIFS('NSE - Other Index Options'!$M:$M,'NSE - Other Index Options'!$C:$C,$A78,'NSE - Other Index Options'!$B:$B,F$4,'NSE - Other Index Options'!$I:$I,"MDAW*")=0,"",SUMIFS('NSE - NIFTY Index Options'!$M:$M,'NSE - NIFTY Index Options'!$C:$C,$A78,'NSE - NIFTY Index Options'!$B:$B,F$4,'NSE - NIFTY Index Options'!$I:$I,"Weekly*")+SUMIFS('NSE - NIFTY Index Options'!$M:$M,'NSE - NIFTY Index Options'!$C:$C,$A78,'NSE - NIFTY Index Options'!$B:$B,F$4,'NSE - NIFTY Index Options'!$I:$I,"MDAW*")+SUMIFS('NSE - Other Index Options'!$M:$M,'NSE - Other Index Options'!$C:$C,$A78,'NSE - Other Index Options'!$B:$B,F$4,'NSE - Other Index Options'!$I:$I,"Weekly*")+SUMIFS('NSE - Other Index Options'!$M:$M,'NSE - Other Index Options'!$C:$C,$A78,'NSE - Other Index Options'!$B:$B,F$4,'NSE - Other Index Options'!$I:$I,"MDAW*"))</f>
        <v/>
      </c>
      <c r="G78" s="26">
        <f>IF(SUMIFS('NSE - NIFTY Index Options'!$M:$M,'NSE - NIFTY Index Options'!$C:$C,$A78,'NSE - NIFTY Index Options'!$B:$B,G$4,'NSE - NIFTY Index Options'!$I:$I,"Weekly*")+SUMIFS('NSE - NIFTY Index Options'!$M:$M,'NSE - NIFTY Index Options'!$C:$C,$A78,'NSE - NIFTY Index Options'!$B:$B,G$4,'NSE - NIFTY Index Options'!$I:$I,"MDAW*")+SUMIFS('NSE - Other Index Options'!$M:$M,'NSE - Other Index Options'!$C:$C,$A78,'NSE - Other Index Options'!$B:$B,G$4,'NSE - Other Index Options'!$I:$I,"Weekly*")+SUMIFS('NSE - Other Index Options'!$M:$M,'NSE - Other Index Options'!$C:$C,$A78,'NSE - Other Index Options'!$B:$B,G$4,'NSE - Other Index Options'!$I:$I,"MDAW*")=0,"",SUMIFS('NSE - NIFTY Index Options'!$M:$M,'NSE - NIFTY Index Options'!$C:$C,$A78,'NSE - NIFTY Index Options'!$B:$B,G$4,'NSE - NIFTY Index Options'!$I:$I,"Weekly*")+SUMIFS('NSE - NIFTY Index Options'!$M:$M,'NSE - NIFTY Index Options'!$C:$C,$A78,'NSE - NIFTY Index Options'!$B:$B,G$4,'NSE - NIFTY Index Options'!$I:$I,"MDAW*")+SUMIFS('NSE - Other Index Options'!$M:$M,'NSE - Other Index Options'!$C:$C,$A78,'NSE - Other Index Options'!$B:$B,G$4,'NSE - Other Index Options'!$I:$I,"Weekly*")+SUMIFS('NSE - Other Index Options'!$M:$M,'NSE - Other Index Options'!$C:$C,$A78,'NSE - Other Index Options'!$B:$B,G$4,'NSE - Other Index Options'!$I:$I,"MDAW*"))</f>
        <v/>
      </c>
      <c r="H78" s="26">
        <f>IF(SUM(B78:G78)=0,"",SUM(B78:G78))</f>
        <v/>
      </c>
    </row>
    <row r="79" hidden="1" outlineLevel="1">
      <c r="A79" t="inlineStr">
        <is>
          <t>Week1-Dec-2026</t>
        </is>
      </c>
      <c r="B79" s="26">
        <f>IF(SUMIFS('NSE - NIFTY Index Options'!$M:$M,'NSE - NIFTY Index Options'!$C:$C,$A79,'NSE - NIFTY Index Options'!$B:$B,B$4,'NSE - NIFTY Index Options'!$I:$I,"Weekly*")+SUMIFS('NSE - NIFTY Index Options'!$M:$M,'NSE - NIFTY Index Options'!$C:$C,$A79,'NSE - NIFTY Index Options'!$B:$B,B$4,'NSE - NIFTY Index Options'!$I:$I,"MDAW*")+SUMIFS('NSE - Other Index Options'!$M:$M,'NSE - Other Index Options'!$C:$C,$A79,'NSE - Other Index Options'!$B:$B,B$4,'NSE - Other Index Options'!$I:$I,"Weekly*")+SUMIFS('NSE - Other Index Options'!$M:$M,'NSE - Other Index Options'!$C:$C,$A79,'NSE - Other Index Options'!$B:$B,B$4,'NSE - Other Index Options'!$I:$I,"MDAW*")=0,"",SUMIFS('NSE - NIFTY Index Options'!$M:$M,'NSE - NIFTY Index Options'!$C:$C,$A79,'NSE - NIFTY Index Options'!$B:$B,B$4,'NSE - NIFTY Index Options'!$I:$I,"Weekly*")+SUMIFS('NSE - NIFTY Index Options'!$M:$M,'NSE - NIFTY Index Options'!$C:$C,$A79,'NSE - NIFTY Index Options'!$B:$B,B$4,'NSE - NIFTY Index Options'!$I:$I,"MDAW*")+SUMIFS('NSE - Other Index Options'!$M:$M,'NSE - Other Index Options'!$C:$C,$A79,'NSE - Other Index Options'!$B:$B,B$4,'NSE - Other Index Options'!$I:$I,"Weekly*")+SUMIFS('NSE - Other Index Options'!$M:$M,'NSE - Other Index Options'!$C:$C,$A79,'NSE - Other Index Options'!$B:$B,B$4,'NSE - Other Index Options'!$I:$I,"MDAW*"))</f>
        <v/>
      </c>
      <c r="C79" s="26">
        <f>IF(SUMIFS('NSE - NIFTY Index Options'!$M:$M,'NSE - NIFTY Index Options'!$C:$C,$A79,'NSE - NIFTY Index Options'!$B:$B,C$4,'NSE - NIFTY Index Options'!$I:$I,"Weekly*")+SUMIFS('NSE - NIFTY Index Options'!$M:$M,'NSE - NIFTY Index Options'!$C:$C,$A79,'NSE - NIFTY Index Options'!$B:$B,C$4,'NSE - NIFTY Index Options'!$I:$I,"MDAW*")+SUMIFS('NSE - Other Index Options'!$M:$M,'NSE - Other Index Options'!$C:$C,$A79,'NSE - Other Index Options'!$B:$B,C$4,'NSE - Other Index Options'!$I:$I,"Weekly*")+SUMIFS('NSE - Other Index Options'!$M:$M,'NSE - Other Index Options'!$C:$C,$A79,'NSE - Other Index Options'!$B:$B,C$4,'NSE - Other Index Options'!$I:$I,"MDAW*")=0,"",SUMIFS('NSE - NIFTY Index Options'!$M:$M,'NSE - NIFTY Index Options'!$C:$C,$A79,'NSE - NIFTY Index Options'!$B:$B,C$4,'NSE - NIFTY Index Options'!$I:$I,"Weekly*")+SUMIFS('NSE - NIFTY Index Options'!$M:$M,'NSE - NIFTY Index Options'!$C:$C,$A79,'NSE - NIFTY Index Options'!$B:$B,C$4,'NSE - NIFTY Index Options'!$I:$I,"MDAW*")+SUMIFS('NSE - Other Index Options'!$M:$M,'NSE - Other Index Options'!$C:$C,$A79,'NSE - Other Index Options'!$B:$B,C$4,'NSE - Other Index Options'!$I:$I,"Weekly*")+SUMIFS('NSE - Other Index Options'!$M:$M,'NSE - Other Index Options'!$C:$C,$A79,'NSE - Other Index Options'!$B:$B,C$4,'NSE - Other Index Options'!$I:$I,"MDAW*"))</f>
        <v/>
      </c>
      <c r="D79" s="26">
        <f>IF(SUMIFS('NSE - NIFTY Index Options'!$M:$M,'NSE - NIFTY Index Options'!$C:$C,$A79,'NSE - NIFTY Index Options'!$B:$B,D$4,'NSE - NIFTY Index Options'!$I:$I,"Weekly*")+SUMIFS('NSE - NIFTY Index Options'!$M:$M,'NSE - NIFTY Index Options'!$C:$C,$A79,'NSE - NIFTY Index Options'!$B:$B,D$4,'NSE - NIFTY Index Options'!$I:$I,"MDAW*")+SUMIFS('NSE - Other Index Options'!$M:$M,'NSE - Other Index Options'!$C:$C,$A79,'NSE - Other Index Options'!$B:$B,D$4,'NSE - Other Index Options'!$I:$I,"Weekly*")+SUMIFS('NSE - Other Index Options'!$M:$M,'NSE - Other Index Options'!$C:$C,$A79,'NSE - Other Index Options'!$B:$B,D$4,'NSE - Other Index Options'!$I:$I,"MDAW*")=0,"",SUMIFS('NSE - NIFTY Index Options'!$M:$M,'NSE - NIFTY Index Options'!$C:$C,$A79,'NSE - NIFTY Index Options'!$B:$B,D$4,'NSE - NIFTY Index Options'!$I:$I,"Weekly*")+SUMIFS('NSE - NIFTY Index Options'!$M:$M,'NSE - NIFTY Index Options'!$C:$C,$A79,'NSE - NIFTY Index Options'!$B:$B,D$4,'NSE - NIFTY Index Options'!$I:$I,"MDAW*")+SUMIFS('NSE - Other Index Options'!$M:$M,'NSE - Other Index Options'!$C:$C,$A79,'NSE - Other Index Options'!$B:$B,D$4,'NSE - Other Index Options'!$I:$I,"Weekly*")+SUMIFS('NSE - Other Index Options'!$M:$M,'NSE - Other Index Options'!$C:$C,$A79,'NSE - Other Index Options'!$B:$B,D$4,'NSE - Other Index Options'!$I:$I,"MDAW*"))</f>
        <v/>
      </c>
      <c r="E79" s="26">
        <f>IF(SUMIFS('NSE - NIFTY Index Options'!$M:$M,'NSE - NIFTY Index Options'!$C:$C,$A79,'NSE - NIFTY Index Options'!$B:$B,E$4,'NSE - NIFTY Index Options'!$I:$I,"Weekly*")+SUMIFS('NSE - NIFTY Index Options'!$M:$M,'NSE - NIFTY Index Options'!$C:$C,$A79,'NSE - NIFTY Index Options'!$B:$B,E$4,'NSE - NIFTY Index Options'!$I:$I,"MDAW*")+SUMIFS('NSE - Other Index Options'!$M:$M,'NSE - Other Index Options'!$C:$C,$A79,'NSE - Other Index Options'!$B:$B,E$4,'NSE - Other Index Options'!$I:$I,"Weekly*")+SUMIFS('NSE - Other Index Options'!$M:$M,'NSE - Other Index Options'!$C:$C,$A79,'NSE - Other Index Options'!$B:$B,E$4,'NSE - Other Index Options'!$I:$I,"MDAW*")=0,"",SUMIFS('NSE - NIFTY Index Options'!$M:$M,'NSE - NIFTY Index Options'!$C:$C,$A79,'NSE - NIFTY Index Options'!$B:$B,E$4,'NSE - NIFTY Index Options'!$I:$I,"Weekly*")+SUMIFS('NSE - NIFTY Index Options'!$M:$M,'NSE - NIFTY Index Options'!$C:$C,$A79,'NSE - NIFTY Index Options'!$B:$B,E$4,'NSE - NIFTY Index Options'!$I:$I,"MDAW*")+SUMIFS('NSE - Other Index Options'!$M:$M,'NSE - Other Index Options'!$C:$C,$A79,'NSE - Other Index Options'!$B:$B,E$4,'NSE - Other Index Options'!$I:$I,"Weekly*")+SUMIFS('NSE - Other Index Options'!$M:$M,'NSE - Other Index Options'!$C:$C,$A79,'NSE - Other Index Options'!$B:$B,E$4,'NSE - Other Index Options'!$I:$I,"MDAW*"))</f>
        <v/>
      </c>
      <c r="F79" s="26">
        <f>IF(SUMIFS('NSE - NIFTY Index Options'!$M:$M,'NSE - NIFTY Index Options'!$C:$C,$A79,'NSE - NIFTY Index Options'!$B:$B,F$4,'NSE - NIFTY Index Options'!$I:$I,"Weekly*")+SUMIFS('NSE - NIFTY Index Options'!$M:$M,'NSE - NIFTY Index Options'!$C:$C,$A79,'NSE - NIFTY Index Options'!$B:$B,F$4,'NSE - NIFTY Index Options'!$I:$I,"MDAW*")+SUMIFS('NSE - Other Index Options'!$M:$M,'NSE - Other Index Options'!$C:$C,$A79,'NSE - Other Index Options'!$B:$B,F$4,'NSE - Other Index Options'!$I:$I,"Weekly*")+SUMIFS('NSE - Other Index Options'!$M:$M,'NSE - Other Index Options'!$C:$C,$A79,'NSE - Other Index Options'!$B:$B,F$4,'NSE - Other Index Options'!$I:$I,"MDAW*")=0,"",SUMIFS('NSE - NIFTY Index Options'!$M:$M,'NSE - NIFTY Index Options'!$C:$C,$A79,'NSE - NIFTY Index Options'!$B:$B,F$4,'NSE - NIFTY Index Options'!$I:$I,"Weekly*")+SUMIFS('NSE - NIFTY Index Options'!$M:$M,'NSE - NIFTY Index Options'!$C:$C,$A79,'NSE - NIFTY Index Options'!$B:$B,F$4,'NSE - NIFTY Index Options'!$I:$I,"MDAW*")+SUMIFS('NSE - Other Index Options'!$M:$M,'NSE - Other Index Options'!$C:$C,$A79,'NSE - Other Index Options'!$B:$B,F$4,'NSE - Other Index Options'!$I:$I,"Weekly*")+SUMIFS('NSE - Other Index Options'!$M:$M,'NSE - Other Index Options'!$C:$C,$A79,'NSE - Other Index Options'!$B:$B,F$4,'NSE - Other Index Options'!$I:$I,"MDAW*"))</f>
        <v/>
      </c>
      <c r="G79" s="26">
        <f>IF(SUMIFS('NSE - NIFTY Index Options'!$M:$M,'NSE - NIFTY Index Options'!$C:$C,$A79,'NSE - NIFTY Index Options'!$B:$B,G$4,'NSE - NIFTY Index Options'!$I:$I,"Weekly*")+SUMIFS('NSE - NIFTY Index Options'!$M:$M,'NSE - NIFTY Index Options'!$C:$C,$A79,'NSE - NIFTY Index Options'!$B:$B,G$4,'NSE - NIFTY Index Options'!$I:$I,"MDAW*")+SUMIFS('NSE - Other Index Options'!$M:$M,'NSE - Other Index Options'!$C:$C,$A79,'NSE - Other Index Options'!$B:$B,G$4,'NSE - Other Index Options'!$I:$I,"Weekly*")+SUMIFS('NSE - Other Index Options'!$M:$M,'NSE - Other Index Options'!$C:$C,$A79,'NSE - Other Index Options'!$B:$B,G$4,'NSE - Other Index Options'!$I:$I,"MDAW*")=0,"",SUMIFS('NSE - NIFTY Index Options'!$M:$M,'NSE - NIFTY Index Options'!$C:$C,$A79,'NSE - NIFTY Index Options'!$B:$B,G$4,'NSE - NIFTY Index Options'!$I:$I,"Weekly*")+SUMIFS('NSE - NIFTY Index Options'!$M:$M,'NSE - NIFTY Index Options'!$C:$C,$A79,'NSE - NIFTY Index Options'!$B:$B,G$4,'NSE - NIFTY Index Options'!$I:$I,"MDAW*")+SUMIFS('NSE - Other Index Options'!$M:$M,'NSE - Other Index Options'!$C:$C,$A79,'NSE - Other Index Options'!$B:$B,G$4,'NSE - Other Index Options'!$I:$I,"Weekly*")+SUMIFS('NSE - Other Index Options'!$M:$M,'NSE - Other Index Options'!$C:$C,$A79,'NSE - Other Index Options'!$B:$B,G$4,'NSE - Other Index Options'!$I:$I,"MDAW*"))</f>
        <v/>
      </c>
      <c r="H79" s="26">
        <f>IF(SUM(B79:G79)=0,"",SUM(B79:G79))</f>
        <v/>
      </c>
    </row>
    <row r="80" hidden="1" outlineLevel="1">
      <c r="A80" t="inlineStr">
        <is>
          <t>Week2-Dec-2026</t>
        </is>
      </c>
      <c r="B80" s="26">
        <f>IF(SUMIFS('NSE - NIFTY Index Options'!$M:$M,'NSE - NIFTY Index Options'!$C:$C,$A80,'NSE - NIFTY Index Options'!$B:$B,B$4,'NSE - NIFTY Index Options'!$I:$I,"Weekly*")+SUMIFS('NSE - NIFTY Index Options'!$M:$M,'NSE - NIFTY Index Options'!$C:$C,$A80,'NSE - NIFTY Index Options'!$B:$B,B$4,'NSE - NIFTY Index Options'!$I:$I,"MDAW*")+SUMIFS('NSE - Other Index Options'!$M:$M,'NSE - Other Index Options'!$C:$C,$A80,'NSE - Other Index Options'!$B:$B,B$4,'NSE - Other Index Options'!$I:$I,"Weekly*")+SUMIFS('NSE - Other Index Options'!$M:$M,'NSE - Other Index Options'!$C:$C,$A80,'NSE - Other Index Options'!$B:$B,B$4,'NSE - Other Index Options'!$I:$I,"MDAW*")=0,"",SUMIFS('NSE - NIFTY Index Options'!$M:$M,'NSE - NIFTY Index Options'!$C:$C,$A80,'NSE - NIFTY Index Options'!$B:$B,B$4,'NSE - NIFTY Index Options'!$I:$I,"Weekly*")+SUMIFS('NSE - NIFTY Index Options'!$M:$M,'NSE - NIFTY Index Options'!$C:$C,$A80,'NSE - NIFTY Index Options'!$B:$B,B$4,'NSE - NIFTY Index Options'!$I:$I,"MDAW*")+SUMIFS('NSE - Other Index Options'!$M:$M,'NSE - Other Index Options'!$C:$C,$A80,'NSE - Other Index Options'!$B:$B,B$4,'NSE - Other Index Options'!$I:$I,"Weekly*")+SUMIFS('NSE - Other Index Options'!$M:$M,'NSE - Other Index Options'!$C:$C,$A80,'NSE - Other Index Options'!$B:$B,B$4,'NSE - Other Index Options'!$I:$I,"MDAW*"))</f>
        <v/>
      </c>
      <c r="C80" s="26">
        <f>IF(SUMIFS('NSE - NIFTY Index Options'!$M:$M,'NSE - NIFTY Index Options'!$C:$C,$A80,'NSE - NIFTY Index Options'!$B:$B,C$4,'NSE - NIFTY Index Options'!$I:$I,"Weekly*")+SUMIFS('NSE - NIFTY Index Options'!$M:$M,'NSE - NIFTY Index Options'!$C:$C,$A80,'NSE - NIFTY Index Options'!$B:$B,C$4,'NSE - NIFTY Index Options'!$I:$I,"MDAW*")+SUMIFS('NSE - Other Index Options'!$M:$M,'NSE - Other Index Options'!$C:$C,$A80,'NSE - Other Index Options'!$B:$B,C$4,'NSE - Other Index Options'!$I:$I,"Weekly*")+SUMIFS('NSE - Other Index Options'!$M:$M,'NSE - Other Index Options'!$C:$C,$A80,'NSE - Other Index Options'!$B:$B,C$4,'NSE - Other Index Options'!$I:$I,"MDAW*")=0,"",SUMIFS('NSE - NIFTY Index Options'!$M:$M,'NSE - NIFTY Index Options'!$C:$C,$A80,'NSE - NIFTY Index Options'!$B:$B,C$4,'NSE - NIFTY Index Options'!$I:$I,"Weekly*")+SUMIFS('NSE - NIFTY Index Options'!$M:$M,'NSE - NIFTY Index Options'!$C:$C,$A80,'NSE - NIFTY Index Options'!$B:$B,C$4,'NSE - NIFTY Index Options'!$I:$I,"MDAW*")+SUMIFS('NSE - Other Index Options'!$M:$M,'NSE - Other Index Options'!$C:$C,$A80,'NSE - Other Index Options'!$B:$B,C$4,'NSE - Other Index Options'!$I:$I,"Weekly*")+SUMIFS('NSE - Other Index Options'!$M:$M,'NSE - Other Index Options'!$C:$C,$A80,'NSE - Other Index Options'!$B:$B,C$4,'NSE - Other Index Options'!$I:$I,"MDAW*"))</f>
        <v/>
      </c>
      <c r="D80" s="26">
        <f>IF(SUMIFS('NSE - NIFTY Index Options'!$M:$M,'NSE - NIFTY Index Options'!$C:$C,$A80,'NSE - NIFTY Index Options'!$B:$B,D$4,'NSE - NIFTY Index Options'!$I:$I,"Weekly*")+SUMIFS('NSE - NIFTY Index Options'!$M:$M,'NSE - NIFTY Index Options'!$C:$C,$A80,'NSE - NIFTY Index Options'!$B:$B,D$4,'NSE - NIFTY Index Options'!$I:$I,"MDAW*")+SUMIFS('NSE - Other Index Options'!$M:$M,'NSE - Other Index Options'!$C:$C,$A80,'NSE - Other Index Options'!$B:$B,D$4,'NSE - Other Index Options'!$I:$I,"Weekly*")+SUMIFS('NSE - Other Index Options'!$M:$M,'NSE - Other Index Options'!$C:$C,$A80,'NSE - Other Index Options'!$B:$B,D$4,'NSE - Other Index Options'!$I:$I,"MDAW*")=0,"",SUMIFS('NSE - NIFTY Index Options'!$M:$M,'NSE - NIFTY Index Options'!$C:$C,$A80,'NSE - NIFTY Index Options'!$B:$B,D$4,'NSE - NIFTY Index Options'!$I:$I,"Weekly*")+SUMIFS('NSE - NIFTY Index Options'!$M:$M,'NSE - NIFTY Index Options'!$C:$C,$A80,'NSE - NIFTY Index Options'!$B:$B,D$4,'NSE - NIFTY Index Options'!$I:$I,"MDAW*")+SUMIFS('NSE - Other Index Options'!$M:$M,'NSE - Other Index Options'!$C:$C,$A80,'NSE - Other Index Options'!$B:$B,D$4,'NSE - Other Index Options'!$I:$I,"Weekly*")+SUMIFS('NSE - Other Index Options'!$M:$M,'NSE - Other Index Options'!$C:$C,$A80,'NSE - Other Index Options'!$B:$B,D$4,'NSE - Other Index Options'!$I:$I,"MDAW*"))</f>
        <v/>
      </c>
      <c r="E80" s="26">
        <f>IF(SUMIFS('NSE - NIFTY Index Options'!$M:$M,'NSE - NIFTY Index Options'!$C:$C,$A80,'NSE - NIFTY Index Options'!$B:$B,E$4,'NSE - NIFTY Index Options'!$I:$I,"Weekly*")+SUMIFS('NSE - NIFTY Index Options'!$M:$M,'NSE - NIFTY Index Options'!$C:$C,$A80,'NSE - NIFTY Index Options'!$B:$B,E$4,'NSE - NIFTY Index Options'!$I:$I,"MDAW*")+SUMIFS('NSE - Other Index Options'!$M:$M,'NSE - Other Index Options'!$C:$C,$A80,'NSE - Other Index Options'!$B:$B,E$4,'NSE - Other Index Options'!$I:$I,"Weekly*")+SUMIFS('NSE - Other Index Options'!$M:$M,'NSE - Other Index Options'!$C:$C,$A80,'NSE - Other Index Options'!$B:$B,E$4,'NSE - Other Index Options'!$I:$I,"MDAW*")=0,"",SUMIFS('NSE - NIFTY Index Options'!$M:$M,'NSE - NIFTY Index Options'!$C:$C,$A80,'NSE - NIFTY Index Options'!$B:$B,E$4,'NSE - NIFTY Index Options'!$I:$I,"Weekly*")+SUMIFS('NSE - NIFTY Index Options'!$M:$M,'NSE - NIFTY Index Options'!$C:$C,$A80,'NSE - NIFTY Index Options'!$B:$B,E$4,'NSE - NIFTY Index Options'!$I:$I,"MDAW*")+SUMIFS('NSE - Other Index Options'!$M:$M,'NSE - Other Index Options'!$C:$C,$A80,'NSE - Other Index Options'!$B:$B,E$4,'NSE - Other Index Options'!$I:$I,"Weekly*")+SUMIFS('NSE - Other Index Options'!$M:$M,'NSE - Other Index Options'!$C:$C,$A80,'NSE - Other Index Options'!$B:$B,E$4,'NSE - Other Index Options'!$I:$I,"MDAW*"))</f>
        <v/>
      </c>
      <c r="F80" s="26">
        <f>IF(SUMIFS('NSE - NIFTY Index Options'!$M:$M,'NSE - NIFTY Index Options'!$C:$C,$A80,'NSE - NIFTY Index Options'!$B:$B,F$4,'NSE - NIFTY Index Options'!$I:$I,"Weekly*")+SUMIFS('NSE - NIFTY Index Options'!$M:$M,'NSE - NIFTY Index Options'!$C:$C,$A80,'NSE - NIFTY Index Options'!$B:$B,F$4,'NSE - NIFTY Index Options'!$I:$I,"MDAW*")+SUMIFS('NSE - Other Index Options'!$M:$M,'NSE - Other Index Options'!$C:$C,$A80,'NSE - Other Index Options'!$B:$B,F$4,'NSE - Other Index Options'!$I:$I,"Weekly*")+SUMIFS('NSE - Other Index Options'!$M:$M,'NSE - Other Index Options'!$C:$C,$A80,'NSE - Other Index Options'!$B:$B,F$4,'NSE - Other Index Options'!$I:$I,"MDAW*")=0,"",SUMIFS('NSE - NIFTY Index Options'!$M:$M,'NSE - NIFTY Index Options'!$C:$C,$A80,'NSE - NIFTY Index Options'!$B:$B,F$4,'NSE - NIFTY Index Options'!$I:$I,"Weekly*")+SUMIFS('NSE - NIFTY Index Options'!$M:$M,'NSE - NIFTY Index Options'!$C:$C,$A80,'NSE - NIFTY Index Options'!$B:$B,F$4,'NSE - NIFTY Index Options'!$I:$I,"MDAW*")+SUMIFS('NSE - Other Index Options'!$M:$M,'NSE - Other Index Options'!$C:$C,$A80,'NSE - Other Index Options'!$B:$B,F$4,'NSE - Other Index Options'!$I:$I,"Weekly*")+SUMIFS('NSE - Other Index Options'!$M:$M,'NSE - Other Index Options'!$C:$C,$A80,'NSE - Other Index Options'!$B:$B,F$4,'NSE - Other Index Options'!$I:$I,"MDAW*"))</f>
        <v/>
      </c>
      <c r="G80" s="26">
        <f>IF(SUMIFS('NSE - NIFTY Index Options'!$M:$M,'NSE - NIFTY Index Options'!$C:$C,$A80,'NSE - NIFTY Index Options'!$B:$B,G$4,'NSE - NIFTY Index Options'!$I:$I,"Weekly*")+SUMIFS('NSE - NIFTY Index Options'!$M:$M,'NSE - NIFTY Index Options'!$C:$C,$A80,'NSE - NIFTY Index Options'!$B:$B,G$4,'NSE - NIFTY Index Options'!$I:$I,"MDAW*")+SUMIFS('NSE - Other Index Options'!$M:$M,'NSE - Other Index Options'!$C:$C,$A80,'NSE - Other Index Options'!$B:$B,G$4,'NSE - Other Index Options'!$I:$I,"Weekly*")+SUMIFS('NSE - Other Index Options'!$M:$M,'NSE - Other Index Options'!$C:$C,$A80,'NSE - Other Index Options'!$B:$B,G$4,'NSE - Other Index Options'!$I:$I,"MDAW*")=0,"",SUMIFS('NSE - NIFTY Index Options'!$M:$M,'NSE - NIFTY Index Options'!$C:$C,$A80,'NSE - NIFTY Index Options'!$B:$B,G$4,'NSE - NIFTY Index Options'!$I:$I,"Weekly*")+SUMIFS('NSE - NIFTY Index Options'!$M:$M,'NSE - NIFTY Index Options'!$C:$C,$A80,'NSE - NIFTY Index Options'!$B:$B,G$4,'NSE - NIFTY Index Options'!$I:$I,"MDAW*")+SUMIFS('NSE - Other Index Options'!$M:$M,'NSE - Other Index Options'!$C:$C,$A80,'NSE - Other Index Options'!$B:$B,G$4,'NSE - Other Index Options'!$I:$I,"Weekly*")+SUMIFS('NSE - Other Index Options'!$M:$M,'NSE - Other Index Options'!$C:$C,$A80,'NSE - Other Index Options'!$B:$B,G$4,'NSE - Other Index Options'!$I:$I,"MDAW*"))</f>
        <v/>
      </c>
      <c r="H80" s="26">
        <f>IF(SUM(B80:G80)=0,"",SUM(B80:G80))</f>
        <v/>
      </c>
    </row>
    <row r="81" hidden="1" outlineLevel="1">
      <c r="A81" t="inlineStr">
        <is>
          <t>Week3-Dec-2026</t>
        </is>
      </c>
      <c r="B81" s="26">
        <f>IF(SUMIFS('NSE - NIFTY Index Options'!$M:$M,'NSE - NIFTY Index Options'!$C:$C,$A81,'NSE - NIFTY Index Options'!$B:$B,B$4,'NSE - NIFTY Index Options'!$I:$I,"Weekly*")+SUMIFS('NSE - NIFTY Index Options'!$M:$M,'NSE - NIFTY Index Options'!$C:$C,$A81,'NSE - NIFTY Index Options'!$B:$B,B$4,'NSE - NIFTY Index Options'!$I:$I,"MDAW*")+SUMIFS('NSE - Other Index Options'!$M:$M,'NSE - Other Index Options'!$C:$C,$A81,'NSE - Other Index Options'!$B:$B,B$4,'NSE - Other Index Options'!$I:$I,"Weekly*")+SUMIFS('NSE - Other Index Options'!$M:$M,'NSE - Other Index Options'!$C:$C,$A81,'NSE - Other Index Options'!$B:$B,B$4,'NSE - Other Index Options'!$I:$I,"MDAW*")=0,"",SUMIFS('NSE - NIFTY Index Options'!$M:$M,'NSE - NIFTY Index Options'!$C:$C,$A81,'NSE - NIFTY Index Options'!$B:$B,B$4,'NSE - NIFTY Index Options'!$I:$I,"Weekly*")+SUMIFS('NSE - NIFTY Index Options'!$M:$M,'NSE - NIFTY Index Options'!$C:$C,$A81,'NSE - NIFTY Index Options'!$B:$B,B$4,'NSE - NIFTY Index Options'!$I:$I,"MDAW*")+SUMIFS('NSE - Other Index Options'!$M:$M,'NSE - Other Index Options'!$C:$C,$A81,'NSE - Other Index Options'!$B:$B,B$4,'NSE - Other Index Options'!$I:$I,"Weekly*")+SUMIFS('NSE - Other Index Options'!$M:$M,'NSE - Other Index Options'!$C:$C,$A81,'NSE - Other Index Options'!$B:$B,B$4,'NSE - Other Index Options'!$I:$I,"MDAW*"))</f>
        <v/>
      </c>
      <c r="C81" s="26">
        <f>IF(SUMIFS('NSE - NIFTY Index Options'!$M:$M,'NSE - NIFTY Index Options'!$C:$C,$A81,'NSE - NIFTY Index Options'!$B:$B,C$4,'NSE - NIFTY Index Options'!$I:$I,"Weekly*")+SUMIFS('NSE - NIFTY Index Options'!$M:$M,'NSE - NIFTY Index Options'!$C:$C,$A81,'NSE - NIFTY Index Options'!$B:$B,C$4,'NSE - NIFTY Index Options'!$I:$I,"MDAW*")+SUMIFS('NSE - Other Index Options'!$M:$M,'NSE - Other Index Options'!$C:$C,$A81,'NSE - Other Index Options'!$B:$B,C$4,'NSE - Other Index Options'!$I:$I,"Weekly*")+SUMIFS('NSE - Other Index Options'!$M:$M,'NSE - Other Index Options'!$C:$C,$A81,'NSE - Other Index Options'!$B:$B,C$4,'NSE - Other Index Options'!$I:$I,"MDAW*")=0,"",SUMIFS('NSE - NIFTY Index Options'!$M:$M,'NSE - NIFTY Index Options'!$C:$C,$A81,'NSE - NIFTY Index Options'!$B:$B,C$4,'NSE - NIFTY Index Options'!$I:$I,"Weekly*")+SUMIFS('NSE - NIFTY Index Options'!$M:$M,'NSE - NIFTY Index Options'!$C:$C,$A81,'NSE - NIFTY Index Options'!$B:$B,C$4,'NSE - NIFTY Index Options'!$I:$I,"MDAW*")+SUMIFS('NSE - Other Index Options'!$M:$M,'NSE - Other Index Options'!$C:$C,$A81,'NSE - Other Index Options'!$B:$B,C$4,'NSE - Other Index Options'!$I:$I,"Weekly*")+SUMIFS('NSE - Other Index Options'!$M:$M,'NSE - Other Index Options'!$C:$C,$A81,'NSE - Other Index Options'!$B:$B,C$4,'NSE - Other Index Options'!$I:$I,"MDAW*"))</f>
        <v/>
      </c>
      <c r="D81" s="26">
        <f>IF(SUMIFS('NSE - NIFTY Index Options'!$M:$M,'NSE - NIFTY Index Options'!$C:$C,$A81,'NSE - NIFTY Index Options'!$B:$B,D$4,'NSE - NIFTY Index Options'!$I:$I,"Weekly*")+SUMIFS('NSE - NIFTY Index Options'!$M:$M,'NSE - NIFTY Index Options'!$C:$C,$A81,'NSE - NIFTY Index Options'!$B:$B,D$4,'NSE - NIFTY Index Options'!$I:$I,"MDAW*")+SUMIFS('NSE - Other Index Options'!$M:$M,'NSE - Other Index Options'!$C:$C,$A81,'NSE - Other Index Options'!$B:$B,D$4,'NSE - Other Index Options'!$I:$I,"Weekly*")+SUMIFS('NSE - Other Index Options'!$M:$M,'NSE - Other Index Options'!$C:$C,$A81,'NSE - Other Index Options'!$B:$B,D$4,'NSE - Other Index Options'!$I:$I,"MDAW*")=0,"",SUMIFS('NSE - NIFTY Index Options'!$M:$M,'NSE - NIFTY Index Options'!$C:$C,$A81,'NSE - NIFTY Index Options'!$B:$B,D$4,'NSE - NIFTY Index Options'!$I:$I,"Weekly*")+SUMIFS('NSE - NIFTY Index Options'!$M:$M,'NSE - NIFTY Index Options'!$C:$C,$A81,'NSE - NIFTY Index Options'!$B:$B,D$4,'NSE - NIFTY Index Options'!$I:$I,"MDAW*")+SUMIFS('NSE - Other Index Options'!$M:$M,'NSE - Other Index Options'!$C:$C,$A81,'NSE - Other Index Options'!$B:$B,D$4,'NSE - Other Index Options'!$I:$I,"Weekly*")+SUMIFS('NSE - Other Index Options'!$M:$M,'NSE - Other Index Options'!$C:$C,$A81,'NSE - Other Index Options'!$B:$B,D$4,'NSE - Other Index Options'!$I:$I,"MDAW*"))</f>
        <v/>
      </c>
      <c r="E81" s="26">
        <f>IF(SUMIFS('NSE - NIFTY Index Options'!$M:$M,'NSE - NIFTY Index Options'!$C:$C,$A81,'NSE - NIFTY Index Options'!$B:$B,E$4,'NSE - NIFTY Index Options'!$I:$I,"Weekly*")+SUMIFS('NSE - NIFTY Index Options'!$M:$M,'NSE - NIFTY Index Options'!$C:$C,$A81,'NSE - NIFTY Index Options'!$B:$B,E$4,'NSE - NIFTY Index Options'!$I:$I,"MDAW*")+SUMIFS('NSE - Other Index Options'!$M:$M,'NSE - Other Index Options'!$C:$C,$A81,'NSE - Other Index Options'!$B:$B,E$4,'NSE - Other Index Options'!$I:$I,"Weekly*")+SUMIFS('NSE - Other Index Options'!$M:$M,'NSE - Other Index Options'!$C:$C,$A81,'NSE - Other Index Options'!$B:$B,E$4,'NSE - Other Index Options'!$I:$I,"MDAW*")=0,"",SUMIFS('NSE - NIFTY Index Options'!$M:$M,'NSE - NIFTY Index Options'!$C:$C,$A81,'NSE - NIFTY Index Options'!$B:$B,E$4,'NSE - NIFTY Index Options'!$I:$I,"Weekly*")+SUMIFS('NSE - NIFTY Index Options'!$M:$M,'NSE - NIFTY Index Options'!$C:$C,$A81,'NSE - NIFTY Index Options'!$B:$B,E$4,'NSE - NIFTY Index Options'!$I:$I,"MDAW*")+SUMIFS('NSE - Other Index Options'!$M:$M,'NSE - Other Index Options'!$C:$C,$A81,'NSE - Other Index Options'!$B:$B,E$4,'NSE - Other Index Options'!$I:$I,"Weekly*")+SUMIFS('NSE - Other Index Options'!$M:$M,'NSE - Other Index Options'!$C:$C,$A81,'NSE - Other Index Options'!$B:$B,E$4,'NSE - Other Index Options'!$I:$I,"MDAW*"))</f>
        <v/>
      </c>
      <c r="F81" s="26">
        <f>IF(SUMIFS('NSE - NIFTY Index Options'!$M:$M,'NSE - NIFTY Index Options'!$C:$C,$A81,'NSE - NIFTY Index Options'!$B:$B,F$4,'NSE - NIFTY Index Options'!$I:$I,"Weekly*")+SUMIFS('NSE - NIFTY Index Options'!$M:$M,'NSE - NIFTY Index Options'!$C:$C,$A81,'NSE - NIFTY Index Options'!$B:$B,F$4,'NSE - NIFTY Index Options'!$I:$I,"MDAW*")+SUMIFS('NSE - Other Index Options'!$M:$M,'NSE - Other Index Options'!$C:$C,$A81,'NSE - Other Index Options'!$B:$B,F$4,'NSE - Other Index Options'!$I:$I,"Weekly*")+SUMIFS('NSE - Other Index Options'!$M:$M,'NSE - Other Index Options'!$C:$C,$A81,'NSE - Other Index Options'!$B:$B,F$4,'NSE - Other Index Options'!$I:$I,"MDAW*")=0,"",SUMIFS('NSE - NIFTY Index Options'!$M:$M,'NSE - NIFTY Index Options'!$C:$C,$A81,'NSE - NIFTY Index Options'!$B:$B,F$4,'NSE - NIFTY Index Options'!$I:$I,"Weekly*")+SUMIFS('NSE - NIFTY Index Options'!$M:$M,'NSE - NIFTY Index Options'!$C:$C,$A81,'NSE - NIFTY Index Options'!$B:$B,F$4,'NSE - NIFTY Index Options'!$I:$I,"MDAW*")+SUMIFS('NSE - Other Index Options'!$M:$M,'NSE - Other Index Options'!$C:$C,$A81,'NSE - Other Index Options'!$B:$B,F$4,'NSE - Other Index Options'!$I:$I,"Weekly*")+SUMIFS('NSE - Other Index Options'!$M:$M,'NSE - Other Index Options'!$C:$C,$A81,'NSE - Other Index Options'!$B:$B,F$4,'NSE - Other Index Options'!$I:$I,"MDAW*"))</f>
        <v/>
      </c>
      <c r="G81" s="26">
        <f>IF(SUMIFS('NSE - NIFTY Index Options'!$M:$M,'NSE - NIFTY Index Options'!$C:$C,$A81,'NSE - NIFTY Index Options'!$B:$B,G$4,'NSE - NIFTY Index Options'!$I:$I,"Weekly*")+SUMIFS('NSE - NIFTY Index Options'!$M:$M,'NSE - NIFTY Index Options'!$C:$C,$A81,'NSE - NIFTY Index Options'!$B:$B,G$4,'NSE - NIFTY Index Options'!$I:$I,"MDAW*")+SUMIFS('NSE - Other Index Options'!$M:$M,'NSE - Other Index Options'!$C:$C,$A81,'NSE - Other Index Options'!$B:$B,G$4,'NSE - Other Index Options'!$I:$I,"Weekly*")+SUMIFS('NSE - Other Index Options'!$M:$M,'NSE - Other Index Options'!$C:$C,$A81,'NSE - Other Index Options'!$B:$B,G$4,'NSE - Other Index Options'!$I:$I,"MDAW*")=0,"",SUMIFS('NSE - NIFTY Index Options'!$M:$M,'NSE - NIFTY Index Options'!$C:$C,$A81,'NSE - NIFTY Index Options'!$B:$B,G$4,'NSE - NIFTY Index Options'!$I:$I,"Weekly*")+SUMIFS('NSE - NIFTY Index Options'!$M:$M,'NSE - NIFTY Index Options'!$C:$C,$A81,'NSE - NIFTY Index Options'!$B:$B,G$4,'NSE - NIFTY Index Options'!$I:$I,"MDAW*")+SUMIFS('NSE - Other Index Options'!$M:$M,'NSE - Other Index Options'!$C:$C,$A81,'NSE - Other Index Options'!$B:$B,G$4,'NSE - Other Index Options'!$I:$I,"Weekly*")+SUMIFS('NSE - Other Index Options'!$M:$M,'NSE - Other Index Options'!$C:$C,$A81,'NSE - Other Index Options'!$B:$B,G$4,'NSE - Other Index Options'!$I:$I,"MDAW*"))</f>
        <v/>
      </c>
      <c r="H81" s="26">
        <f>IF(SUM(B81:G81)=0,"",SUM(B81:G81))</f>
        <v/>
      </c>
    </row>
    <row r="82" hidden="1" outlineLevel="1">
      <c r="A82" t="inlineStr">
        <is>
          <t>Week4-Dec-2026</t>
        </is>
      </c>
      <c r="B82" s="26">
        <f>IF(SUMIFS('NSE - NIFTY Index Options'!$M:$M,'NSE - NIFTY Index Options'!$C:$C,$A82,'NSE - NIFTY Index Options'!$B:$B,B$4,'NSE - NIFTY Index Options'!$I:$I,"Weekly*")+SUMIFS('NSE - NIFTY Index Options'!$M:$M,'NSE - NIFTY Index Options'!$C:$C,$A82,'NSE - NIFTY Index Options'!$B:$B,B$4,'NSE - NIFTY Index Options'!$I:$I,"MDAW*")+SUMIFS('NSE - Other Index Options'!$M:$M,'NSE - Other Index Options'!$C:$C,$A82,'NSE - Other Index Options'!$B:$B,B$4,'NSE - Other Index Options'!$I:$I,"Weekly*")+SUMIFS('NSE - Other Index Options'!$M:$M,'NSE - Other Index Options'!$C:$C,$A82,'NSE - Other Index Options'!$B:$B,B$4,'NSE - Other Index Options'!$I:$I,"MDAW*")=0,"",SUMIFS('NSE - NIFTY Index Options'!$M:$M,'NSE - NIFTY Index Options'!$C:$C,$A82,'NSE - NIFTY Index Options'!$B:$B,B$4,'NSE - NIFTY Index Options'!$I:$I,"Weekly*")+SUMIFS('NSE - NIFTY Index Options'!$M:$M,'NSE - NIFTY Index Options'!$C:$C,$A82,'NSE - NIFTY Index Options'!$B:$B,B$4,'NSE - NIFTY Index Options'!$I:$I,"MDAW*")+SUMIFS('NSE - Other Index Options'!$M:$M,'NSE - Other Index Options'!$C:$C,$A82,'NSE - Other Index Options'!$B:$B,B$4,'NSE - Other Index Options'!$I:$I,"Weekly*")+SUMIFS('NSE - Other Index Options'!$M:$M,'NSE - Other Index Options'!$C:$C,$A82,'NSE - Other Index Options'!$B:$B,B$4,'NSE - Other Index Options'!$I:$I,"MDAW*"))</f>
        <v/>
      </c>
      <c r="C82" s="26">
        <f>IF(SUMIFS('NSE - NIFTY Index Options'!$M:$M,'NSE - NIFTY Index Options'!$C:$C,$A82,'NSE - NIFTY Index Options'!$B:$B,C$4,'NSE - NIFTY Index Options'!$I:$I,"Weekly*")+SUMIFS('NSE - NIFTY Index Options'!$M:$M,'NSE - NIFTY Index Options'!$C:$C,$A82,'NSE - NIFTY Index Options'!$B:$B,C$4,'NSE - NIFTY Index Options'!$I:$I,"MDAW*")+SUMIFS('NSE - Other Index Options'!$M:$M,'NSE - Other Index Options'!$C:$C,$A82,'NSE - Other Index Options'!$B:$B,C$4,'NSE - Other Index Options'!$I:$I,"Weekly*")+SUMIFS('NSE - Other Index Options'!$M:$M,'NSE - Other Index Options'!$C:$C,$A82,'NSE - Other Index Options'!$B:$B,C$4,'NSE - Other Index Options'!$I:$I,"MDAW*")=0,"",SUMIFS('NSE - NIFTY Index Options'!$M:$M,'NSE - NIFTY Index Options'!$C:$C,$A82,'NSE - NIFTY Index Options'!$B:$B,C$4,'NSE - NIFTY Index Options'!$I:$I,"Weekly*")+SUMIFS('NSE - NIFTY Index Options'!$M:$M,'NSE - NIFTY Index Options'!$C:$C,$A82,'NSE - NIFTY Index Options'!$B:$B,C$4,'NSE - NIFTY Index Options'!$I:$I,"MDAW*")+SUMIFS('NSE - Other Index Options'!$M:$M,'NSE - Other Index Options'!$C:$C,$A82,'NSE - Other Index Options'!$B:$B,C$4,'NSE - Other Index Options'!$I:$I,"Weekly*")+SUMIFS('NSE - Other Index Options'!$M:$M,'NSE - Other Index Options'!$C:$C,$A82,'NSE - Other Index Options'!$B:$B,C$4,'NSE - Other Index Options'!$I:$I,"MDAW*"))</f>
        <v/>
      </c>
      <c r="D82" s="26">
        <f>IF(SUMIFS('NSE - NIFTY Index Options'!$M:$M,'NSE - NIFTY Index Options'!$C:$C,$A82,'NSE - NIFTY Index Options'!$B:$B,D$4,'NSE - NIFTY Index Options'!$I:$I,"Weekly*")+SUMIFS('NSE - NIFTY Index Options'!$M:$M,'NSE - NIFTY Index Options'!$C:$C,$A82,'NSE - NIFTY Index Options'!$B:$B,D$4,'NSE - NIFTY Index Options'!$I:$I,"MDAW*")+SUMIFS('NSE - Other Index Options'!$M:$M,'NSE - Other Index Options'!$C:$C,$A82,'NSE - Other Index Options'!$B:$B,D$4,'NSE - Other Index Options'!$I:$I,"Weekly*")+SUMIFS('NSE - Other Index Options'!$M:$M,'NSE - Other Index Options'!$C:$C,$A82,'NSE - Other Index Options'!$B:$B,D$4,'NSE - Other Index Options'!$I:$I,"MDAW*")=0,"",SUMIFS('NSE - NIFTY Index Options'!$M:$M,'NSE - NIFTY Index Options'!$C:$C,$A82,'NSE - NIFTY Index Options'!$B:$B,D$4,'NSE - NIFTY Index Options'!$I:$I,"Weekly*")+SUMIFS('NSE - NIFTY Index Options'!$M:$M,'NSE - NIFTY Index Options'!$C:$C,$A82,'NSE - NIFTY Index Options'!$B:$B,D$4,'NSE - NIFTY Index Options'!$I:$I,"MDAW*")+SUMIFS('NSE - Other Index Options'!$M:$M,'NSE - Other Index Options'!$C:$C,$A82,'NSE - Other Index Options'!$B:$B,D$4,'NSE - Other Index Options'!$I:$I,"Weekly*")+SUMIFS('NSE - Other Index Options'!$M:$M,'NSE - Other Index Options'!$C:$C,$A82,'NSE - Other Index Options'!$B:$B,D$4,'NSE - Other Index Options'!$I:$I,"MDAW*"))</f>
        <v/>
      </c>
      <c r="E82" s="26">
        <f>IF(SUMIFS('NSE - NIFTY Index Options'!$M:$M,'NSE - NIFTY Index Options'!$C:$C,$A82,'NSE - NIFTY Index Options'!$B:$B,E$4,'NSE - NIFTY Index Options'!$I:$I,"Weekly*")+SUMIFS('NSE - NIFTY Index Options'!$M:$M,'NSE - NIFTY Index Options'!$C:$C,$A82,'NSE - NIFTY Index Options'!$B:$B,E$4,'NSE - NIFTY Index Options'!$I:$I,"MDAW*")+SUMIFS('NSE - Other Index Options'!$M:$M,'NSE - Other Index Options'!$C:$C,$A82,'NSE - Other Index Options'!$B:$B,E$4,'NSE - Other Index Options'!$I:$I,"Weekly*")+SUMIFS('NSE - Other Index Options'!$M:$M,'NSE - Other Index Options'!$C:$C,$A82,'NSE - Other Index Options'!$B:$B,E$4,'NSE - Other Index Options'!$I:$I,"MDAW*")=0,"",SUMIFS('NSE - NIFTY Index Options'!$M:$M,'NSE - NIFTY Index Options'!$C:$C,$A82,'NSE - NIFTY Index Options'!$B:$B,E$4,'NSE - NIFTY Index Options'!$I:$I,"Weekly*")+SUMIFS('NSE - NIFTY Index Options'!$M:$M,'NSE - NIFTY Index Options'!$C:$C,$A82,'NSE - NIFTY Index Options'!$B:$B,E$4,'NSE - NIFTY Index Options'!$I:$I,"MDAW*")+SUMIFS('NSE - Other Index Options'!$M:$M,'NSE - Other Index Options'!$C:$C,$A82,'NSE - Other Index Options'!$B:$B,E$4,'NSE - Other Index Options'!$I:$I,"Weekly*")+SUMIFS('NSE - Other Index Options'!$M:$M,'NSE - Other Index Options'!$C:$C,$A82,'NSE - Other Index Options'!$B:$B,E$4,'NSE - Other Index Options'!$I:$I,"MDAW*"))</f>
        <v/>
      </c>
      <c r="F82" s="26">
        <f>IF(SUMIFS('NSE - NIFTY Index Options'!$M:$M,'NSE - NIFTY Index Options'!$C:$C,$A82,'NSE - NIFTY Index Options'!$B:$B,F$4,'NSE - NIFTY Index Options'!$I:$I,"Weekly*")+SUMIFS('NSE - NIFTY Index Options'!$M:$M,'NSE - NIFTY Index Options'!$C:$C,$A82,'NSE - NIFTY Index Options'!$B:$B,F$4,'NSE - NIFTY Index Options'!$I:$I,"MDAW*")+SUMIFS('NSE - Other Index Options'!$M:$M,'NSE - Other Index Options'!$C:$C,$A82,'NSE - Other Index Options'!$B:$B,F$4,'NSE - Other Index Options'!$I:$I,"Weekly*")+SUMIFS('NSE - Other Index Options'!$M:$M,'NSE - Other Index Options'!$C:$C,$A82,'NSE - Other Index Options'!$B:$B,F$4,'NSE - Other Index Options'!$I:$I,"MDAW*")=0,"",SUMIFS('NSE - NIFTY Index Options'!$M:$M,'NSE - NIFTY Index Options'!$C:$C,$A82,'NSE - NIFTY Index Options'!$B:$B,F$4,'NSE - NIFTY Index Options'!$I:$I,"Weekly*")+SUMIFS('NSE - NIFTY Index Options'!$M:$M,'NSE - NIFTY Index Options'!$C:$C,$A82,'NSE - NIFTY Index Options'!$B:$B,F$4,'NSE - NIFTY Index Options'!$I:$I,"MDAW*")+SUMIFS('NSE - Other Index Options'!$M:$M,'NSE - Other Index Options'!$C:$C,$A82,'NSE - Other Index Options'!$B:$B,F$4,'NSE - Other Index Options'!$I:$I,"Weekly*")+SUMIFS('NSE - Other Index Options'!$M:$M,'NSE - Other Index Options'!$C:$C,$A82,'NSE - Other Index Options'!$B:$B,F$4,'NSE - Other Index Options'!$I:$I,"MDAW*"))</f>
        <v/>
      </c>
      <c r="G82" s="26">
        <f>IF(SUMIFS('NSE - NIFTY Index Options'!$M:$M,'NSE - NIFTY Index Options'!$C:$C,$A82,'NSE - NIFTY Index Options'!$B:$B,G$4,'NSE - NIFTY Index Options'!$I:$I,"Weekly*")+SUMIFS('NSE - NIFTY Index Options'!$M:$M,'NSE - NIFTY Index Options'!$C:$C,$A82,'NSE - NIFTY Index Options'!$B:$B,G$4,'NSE - NIFTY Index Options'!$I:$I,"MDAW*")+SUMIFS('NSE - Other Index Options'!$M:$M,'NSE - Other Index Options'!$C:$C,$A82,'NSE - Other Index Options'!$B:$B,G$4,'NSE - Other Index Options'!$I:$I,"Weekly*")+SUMIFS('NSE - Other Index Options'!$M:$M,'NSE - Other Index Options'!$C:$C,$A82,'NSE - Other Index Options'!$B:$B,G$4,'NSE - Other Index Options'!$I:$I,"MDAW*")=0,"",SUMIFS('NSE - NIFTY Index Options'!$M:$M,'NSE - NIFTY Index Options'!$C:$C,$A82,'NSE - NIFTY Index Options'!$B:$B,G$4,'NSE - NIFTY Index Options'!$I:$I,"Weekly*")+SUMIFS('NSE - NIFTY Index Options'!$M:$M,'NSE - NIFTY Index Options'!$C:$C,$A82,'NSE - NIFTY Index Options'!$B:$B,G$4,'NSE - NIFTY Index Options'!$I:$I,"MDAW*")+SUMIFS('NSE - Other Index Options'!$M:$M,'NSE - Other Index Options'!$C:$C,$A82,'NSE - Other Index Options'!$B:$B,G$4,'NSE - Other Index Options'!$I:$I,"Weekly*")+SUMIFS('NSE - Other Index Options'!$M:$M,'NSE - Other Index Options'!$C:$C,$A82,'NSE - Other Index Options'!$B:$B,G$4,'NSE - Other Index Options'!$I:$I,"MDAW*"))</f>
        <v/>
      </c>
      <c r="H82" s="26">
        <f>IF(SUM(B82:G82)=0,"",SUM(B82:G82))</f>
        <v/>
      </c>
    </row>
    <row r="83" hidden="1" outlineLevel="1">
      <c r="A83" t="inlineStr">
        <is>
          <t>Week5-Dec-2026</t>
        </is>
      </c>
      <c r="B83" s="26">
        <f>IF(SUMIFS('NSE - NIFTY Index Options'!$M:$M,'NSE - NIFTY Index Options'!$C:$C,$A83,'NSE - NIFTY Index Options'!$B:$B,B$4,'NSE - NIFTY Index Options'!$I:$I,"Weekly*")+SUMIFS('NSE - NIFTY Index Options'!$M:$M,'NSE - NIFTY Index Options'!$C:$C,$A83,'NSE - NIFTY Index Options'!$B:$B,B$4,'NSE - NIFTY Index Options'!$I:$I,"MDAW*")+SUMIFS('NSE - Other Index Options'!$M:$M,'NSE - Other Index Options'!$C:$C,$A83,'NSE - Other Index Options'!$B:$B,B$4,'NSE - Other Index Options'!$I:$I,"Weekly*")+SUMIFS('NSE - Other Index Options'!$M:$M,'NSE - Other Index Options'!$C:$C,$A83,'NSE - Other Index Options'!$B:$B,B$4,'NSE - Other Index Options'!$I:$I,"MDAW*")=0,"",SUMIFS('NSE - NIFTY Index Options'!$M:$M,'NSE - NIFTY Index Options'!$C:$C,$A83,'NSE - NIFTY Index Options'!$B:$B,B$4,'NSE - NIFTY Index Options'!$I:$I,"Weekly*")+SUMIFS('NSE - NIFTY Index Options'!$M:$M,'NSE - NIFTY Index Options'!$C:$C,$A83,'NSE - NIFTY Index Options'!$B:$B,B$4,'NSE - NIFTY Index Options'!$I:$I,"MDAW*")+SUMIFS('NSE - Other Index Options'!$M:$M,'NSE - Other Index Options'!$C:$C,$A83,'NSE - Other Index Options'!$B:$B,B$4,'NSE - Other Index Options'!$I:$I,"Weekly*")+SUMIFS('NSE - Other Index Options'!$M:$M,'NSE - Other Index Options'!$C:$C,$A83,'NSE - Other Index Options'!$B:$B,B$4,'NSE - Other Index Options'!$I:$I,"MDAW*"))</f>
        <v/>
      </c>
      <c r="C83" s="26">
        <f>IF(SUMIFS('NSE - NIFTY Index Options'!$M:$M,'NSE - NIFTY Index Options'!$C:$C,$A83,'NSE - NIFTY Index Options'!$B:$B,C$4,'NSE - NIFTY Index Options'!$I:$I,"Weekly*")+SUMIFS('NSE - NIFTY Index Options'!$M:$M,'NSE - NIFTY Index Options'!$C:$C,$A83,'NSE - NIFTY Index Options'!$B:$B,C$4,'NSE - NIFTY Index Options'!$I:$I,"MDAW*")+SUMIFS('NSE - Other Index Options'!$M:$M,'NSE - Other Index Options'!$C:$C,$A83,'NSE - Other Index Options'!$B:$B,C$4,'NSE - Other Index Options'!$I:$I,"Weekly*")+SUMIFS('NSE - Other Index Options'!$M:$M,'NSE - Other Index Options'!$C:$C,$A83,'NSE - Other Index Options'!$B:$B,C$4,'NSE - Other Index Options'!$I:$I,"MDAW*")=0,"",SUMIFS('NSE - NIFTY Index Options'!$M:$M,'NSE - NIFTY Index Options'!$C:$C,$A83,'NSE - NIFTY Index Options'!$B:$B,C$4,'NSE - NIFTY Index Options'!$I:$I,"Weekly*")+SUMIFS('NSE - NIFTY Index Options'!$M:$M,'NSE - NIFTY Index Options'!$C:$C,$A83,'NSE - NIFTY Index Options'!$B:$B,C$4,'NSE - NIFTY Index Options'!$I:$I,"MDAW*")+SUMIFS('NSE - Other Index Options'!$M:$M,'NSE - Other Index Options'!$C:$C,$A83,'NSE - Other Index Options'!$B:$B,C$4,'NSE - Other Index Options'!$I:$I,"Weekly*")+SUMIFS('NSE - Other Index Options'!$M:$M,'NSE - Other Index Options'!$C:$C,$A83,'NSE - Other Index Options'!$B:$B,C$4,'NSE - Other Index Options'!$I:$I,"MDAW*"))</f>
        <v/>
      </c>
      <c r="D83" s="26">
        <f>IF(SUMIFS('NSE - NIFTY Index Options'!$M:$M,'NSE - NIFTY Index Options'!$C:$C,$A83,'NSE - NIFTY Index Options'!$B:$B,D$4,'NSE - NIFTY Index Options'!$I:$I,"Weekly*")+SUMIFS('NSE - NIFTY Index Options'!$M:$M,'NSE - NIFTY Index Options'!$C:$C,$A83,'NSE - NIFTY Index Options'!$B:$B,D$4,'NSE - NIFTY Index Options'!$I:$I,"MDAW*")+SUMIFS('NSE - Other Index Options'!$M:$M,'NSE - Other Index Options'!$C:$C,$A83,'NSE - Other Index Options'!$B:$B,D$4,'NSE - Other Index Options'!$I:$I,"Weekly*")+SUMIFS('NSE - Other Index Options'!$M:$M,'NSE - Other Index Options'!$C:$C,$A83,'NSE - Other Index Options'!$B:$B,D$4,'NSE - Other Index Options'!$I:$I,"MDAW*")=0,"",SUMIFS('NSE - NIFTY Index Options'!$M:$M,'NSE - NIFTY Index Options'!$C:$C,$A83,'NSE - NIFTY Index Options'!$B:$B,D$4,'NSE - NIFTY Index Options'!$I:$I,"Weekly*")+SUMIFS('NSE - NIFTY Index Options'!$M:$M,'NSE - NIFTY Index Options'!$C:$C,$A83,'NSE - NIFTY Index Options'!$B:$B,D$4,'NSE - NIFTY Index Options'!$I:$I,"MDAW*")+SUMIFS('NSE - Other Index Options'!$M:$M,'NSE - Other Index Options'!$C:$C,$A83,'NSE - Other Index Options'!$B:$B,D$4,'NSE - Other Index Options'!$I:$I,"Weekly*")+SUMIFS('NSE - Other Index Options'!$M:$M,'NSE - Other Index Options'!$C:$C,$A83,'NSE - Other Index Options'!$B:$B,D$4,'NSE - Other Index Options'!$I:$I,"MDAW*"))</f>
        <v/>
      </c>
      <c r="E83" s="26">
        <f>IF(SUMIFS('NSE - NIFTY Index Options'!$M:$M,'NSE - NIFTY Index Options'!$C:$C,$A83,'NSE - NIFTY Index Options'!$B:$B,E$4,'NSE - NIFTY Index Options'!$I:$I,"Weekly*")+SUMIFS('NSE - NIFTY Index Options'!$M:$M,'NSE - NIFTY Index Options'!$C:$C,$A83,'NSE - NIFTY Index Options'!$B:$B,E$4,'NSE - NIFTY Index Options'!$I:$I,"MDAW*")+SUMIFS('NSE - Other Index Options'!$M:$M,'NSE - Other Index Options'!$C:$C,$A83,'NSE - Other Index Options'!$B:$B,E$4,'NSE - Other Index Options'!$I:$I,"Weekly*")+SUMIFS('NSE - Other Index Options'!$M:$M,'NSE - Other Index Options'!$C:$C,$A83,'NSE - Other Index Options'!$B:$B,E$4,'NSE - Other Index Options'!$I:$I,"MDAW*")=0,"",SUMIFS('NSE - NIFTY Index Options'!$M:$M,'NSE - NIFTY Index Options'!$C:$C,$A83,'NSE - NIFTY Index Options'!$B:$B,E$4,'NSE - NIFTY Index Options'!$I:$I,"Weekly*")+SUMIFS('NSE - NIFTY Index Options'!$M:$M,'NSE - NIFTY Index Options'!$C:$C,$A83,'NSE - NIFTY Index Options'!$B:$B,E$4,'NSE - NIFTY Index Options'!$I:$I,"MDAW*")+SUMIFS('NSE - Other Index Options'!$M:$M,'NSE - Other Index Options'!$C:$C,$A83,'NSE - Other Index Options'!$B:$B,E$4,'NSE - Other Index Options'!$I:$I,"Weekly*")+SUMIFS('NSE - Other Index Options'!$M:$M,'NSE - Other Index Options'!$C:$C,$A83,'NSE - Other Index Options'!$B:$B,E$4,'NSE - Other Index Options'!$I:$I,"MDAW*"))</f>
        <v/>
      </c>
      <c r="F83" s="26">
        <f>IF(SUMIFS('NSE - NIFTY Index Options'!$M:$M,'NSE - NIFTY Index Options'!$C:$C,$A83,'NSE - NIFTY Index Options'!$B:$B,F$4,'NSE - NIFTY Index Options'!$I:$I,"Weekly*")+SUMIFS('NSE - NIFTY Index Options'!$M:$M,'NSE - NIFTY Index Options'!$C:$C,$A83,'NSE - NIFTY Index Options'!$B:$B,F$4,'NSE - NIFTY Index Options'!$I:$I,"MDAW*")+SUMIFS('NSE - Other Index Options'!$M:$M,'NSE - Other Index Options'!$C:$C,$A83,'NSE - Other Index Options'!$B:$B,F$4,'NSE - Other Index Options'!$I:$I,"Weekly*")+SUMIFS('NSE - Other Index Options'!$M:$M,'NSE - Other Index Options'!$C:$C,$A83,'NSE - Other Index Options'!$B:$B,F$4,'NSE - Other Index Options'!$I:$I,"MDAW*")=0,"",SUMIFS('NSE - NIFTY Index Options'!$M:$M,'NSE - NIFTY Index Options'!$C:$C,$A83,'NSE - NIFTY Index Options'!$B:$B,F$4,'NSE - NIFTY Index Options'!$I:$I,"Weekly*")+SUMIFS('NSE - NIFTY Index Options'!$M:$M,'NSE - NIFTY Index Options'!$C:$C,$A83,'NSE - NIFTY Index Options'!$B:$B,F$4,'NSE - NIFTY Index Options'!$I:$I,"MDAW*")+SUMIFS('NSE - Other Index Options'!$M:$M,'NSE - Other Index Options'!$C:$C,$A83,'NSE - Other Index Options'!$B:$B,F$4,'NSE - Other Index Options'!$I:$I,"Weekly*")+SUMIFS('NSE - Other Index Options'!$M:$M,'NSE - Other Index Options'!$C:$C,$A83,'NSE - Other Index Options'!$B:$B,F$4,'NSE - Other Index Options'!$I:$I,"MDAW*"))</f>
        <v/>
      </c>
      <c r="G83" s="26">
        <f>IF(SUMIFS('NSE - NIFTY Index Options'!$M:$M,'NSE - NIFTY Index Options'!$C:$C,$A83,'NSE - NIFTY Index Options'!$B:$B,G$4,'NSE - NIFTY Index Options'!$I:$I,"Weekly*")+SUMIFS('NSE - NIFTY Index Options'!$M:$M,'NSE - NIFTY Index Options'!$C:$C,$A83,'NSE - NIFTY Index Options'!$B:$B,G$4,'NSE - NIFTY Index Options'!$I:$I,"MDAW*")+SUMIFS('NSE - Other Index Options'!$M:$M,'NSE - Other Index Options'!$C:$C,$A83,'NSE - Other Index Options'!$B:$B,G$4,'NSE - Other Index Options'!$I:$I,"Weekly*")+SUMIFS('NSE - Other Index Options'!$M:$M,'NSE - Other Index Options'!$C:$C,$A83,'NSE - Other Index Options'!$B:$B,G$4,'NSE - Other Index Options'!$I:$I,"MDAW*")=0,"",SUMIFS('NSE - NIFTY Index Options'!$M:$M,'NSE - NIFTY Index Options'!$C:$C,$A83,'NSE - NIFTY Index Options'!$B:$B,G$4,'NSE - NIFTY Index Options'!$I:$I,"Weekly*")+SUMIFS('NSE - NIFTY Index Options'!$M:$M,'NSE - NIFTY Index Options'!$C:$C,$A83,'NSE - NIFTY Index Options'!$B:$B,G$4,'NSE - NIFTY Index Options'!$I:$I,"MDAW*")+SUMIFS('NSE - Other Index Options'!$M:$M,'NSE - Other Index Options'!$C:$C,$A83,'NSE - Other Index Options'!$B:$B,G$4,'NSE - Other Index Options'!$I:$I,"Weekly*")+SUMIFS('NSE - Other Index Options'!$M:$M,'NSE - Other Index Options'!$C:$C,$A83,'NSE - Other Index Options'!$B:$B,G$4,'NSE - Other Index Options'!$I:$I,"MDAW*"))</f>
        <v/>
      </c>
      <c r="H83" s="26">
        <f>IF(SUM(B83:G83)=0,"",SUM(B83:G83))</f>
        <v/>
      </c>
    </row>
    <row r="84" hidden="1" outlineLevel="1">
      <c r="A84" t="inlineStr">
        <is>
          <t>Week1-Jan-2027</t>
        </is>
      </c>
      <c r="B84" s="26">
        <f>IF(SUMIFS('NSE - NIFTY Index Options'!$M:$M,'NSE - NIFTY Index Options'!$C:$C,$A84,'NSE - NIFTY Index Options'!$B:$B,B$4,'NSE - NIFTY Index Options'!$I:$I,"Weekly*")+SUMIFS('NSE - NIFTY Index Options'!$M:$M,'NSE - NIFTY Index Options'!$C:$C,$A84,'NSE - NIFTY Index Options'!$B:$B,B$4,'NSE - NIFTY Index Options'!$I:$I,"MDAW*")+SUMIFS('NSE - Other Index Options'!$M:$M,'NSE - Other Index Options'!$C:$C,$A84,'NSE - Other Index Options'!$B:$B,B$4,'NSE - Other Index Options'!$I:$I,"Weekly*")+SUMIFS('NSE - Other Index Options'!$M:$M,'NSE - Other Index Options'!$C:$C,$A84,'NSE - Other Index Options'!$B:$B,B$4,'NSE - Other Index Options'!$I:$I,"MDAW*")=0,"",SUMIFS('NSE - NIFTY Index Options'!$M:$M,'NSE - NIFTY Index Options'!$C:$C,$A84,'NSE - NIFTY Index Options'!$B:$B,B$4,'NSE - NIFTY Index Options'!$I:$I,"Weekly*")+SUMIFS('NSE - NIFTY Index Options'!$M:$M,'NSE - NIFTY Index Options'!$C:$C,$A84,'NSE - NIFTY Index Options'!$B:$B,B$4,'NSE - NIFTY Index Options'!$I:$I,"MDAW*")+SUMIFS('NSE - Other Index Options'!$M:$M,'NSE - Other Index Options'!$C:$C,$A84,'NSE - Other Index Options'!$B:$B,B$4,'NSE - Other Index Options'!$I:$I,"Weekly*")+SUMIFS('NSE - Other Index Options'!$M:$M,'NSE - Other Index Options'!$C:$C,$A84,'NSE - Other Index Options'!$B:$B,B$4,'NSE - Other Index Options'!$I:$I,"MDAW*"))</f>
        <v/>
      </c>
      <c r="C84" s="26">
        <f>IF(SUMIFS('NSE - NIFTY Index Options'!$M:$M,'NSE - NIFTY Index Options'!$C:$C,$A84,'NSE - NIFTY Index Options'!$B:$B,C$4,'NSE - NIFTY Index Options'!$I:$I,"Weekly*")+SUMIFS('NSE - NIFTY Index Options'!$M:$M,'NSE - NIFTY Index Options'!$C:$C,$A84,'NSE - NIFTY Index Options'!$B:$B,C$4,'NSE - NIFTY Index Options'!$I:$I,"MDAW*")+SUMIFS('NSE - Other Index Options'!$M:$M,'NSE - Other Index Options'!$C:$C,$A84,'NSE - Other Index Options'!$B:$B,C$4,'NSE - Other Index Options'!$I:$I,"Weekly*")+SUMIFS('NSE - Other Index Options'!$M:$M,'NSE - Other Index Options'!$C:$C,$A84,'NSE - Other Index Options'!$B:$B,C$4,'NSE - Other Index Options'!$I:$I,"MDAW*")=0,"",SUMIFS('NSE - NIFTY Index Options'!$M:$M,'NSE - NIFTY Index Options'!$C:$C,$A84,'NSE - NIFTY Index Options'!$B:$B,C$4,'NSE - NIFTY Index Options'!$I:$I,"Weekly*")+SUMIFS('NSE - NIFTY Index Options'!$M:$M,'NSE - NIFTY Index Options'!$C:$C,$A84,'NSE - NIFTY Index Options'!$B:$B,C$4,'NSE - NIFTY Index Options'!$I:$I,"MDAW*")+SUMIFS('NSE - Other Index Options'!$M:$M,'NSE - Other Index Options'!$C:$C,$A84,'NSE - Other Index Options'!$B:$B,C$4,'NSE - Other Index Options'!$I:$I,"Weekly*")+SUMIFS('NSE - Other Index Options'!$M:$M,'NSE - Other Index Options'!$C:$C,$A84,'NSE - Other Index Options'!$B:$B,C$4,'NSE - Other Index Options'!$I:$I,"MDAW*"))</f>
        <v/>
      </c>
      <c r="D84" s="26">
        <f>IF(SUMIFS('NSE - NIFTY Index Options'!$M:$M,'NSE - NIFTY Index Options'!$C:$C,$A84,'NSE - NIFTY Index Options'!$B:$B,D$4,'NSE - NIFTY Index Options'!$I:$I,"Weekly*")+SUMIFS('NSE - NIFTY Index Options'!$M:$M,'NSE - NIFTY Index Options'!$C:$C,$A84,'NSE - NIFTY Index Options'!$B:$B,D$4,'NSE - NIFTY Index Options'!$I:$I,"MDAW*")+SUMIFS('NSE - Other Index Options'!$M:$M,'NSE - Other Index Options'!$C:$C,$A84,'NSE - Other Index Options'!$B:$B,D$4,'NSE - Other Index Options'!$I:$I,"Weekly*")+SUMIFS('NSE - Other Index Options'!$M:$M,'NSE - Other Index Options'!$C:$C,$A84,'NSE - Other Index Options'!$B:$B,D$4,'NSE - Other Index Options'!$I:$I,"MDAW*")=0,"",SUMIFS('NSE - NIFTY Index Options'!$M:$M,'NSE - NIFTY Index Options'!$C:$C,$A84,'NSE - NIFTY Index Options'!$B:$B,D$4,'NSE - NIFTY Index Options'!$I:$I,"Weekly*")+SUMIFS('NSE - NIFTY Index Options'!$M:$M,'NSE - NIFTY Index Options'!$C:$C,$A84,'NSE - NIFTY Index Options'!$B:$B,D$4,'NSE - NIFTY Index Options'!$I:$I,"MDAW*")+SUMIFS('NSE - Other Index Options'!$M:$M,'NSE - Other Index Options'!$C:$C,$A84,'NSE - Other Index Options'!$B:$B,D$4,'NSE - Other Index Options'!$I:$I,"Weekly*")+SUMIFS('NSE - Other Index Options'!$M:$M,'NSE - Other Index Options'!$C:$C,$A84,'NSE - Other Index Options'!$B:$B,D$4,'NSE - Other Index Options'!$I:$I,"MDAW*"))</f>
        <v/>
      </c>
      <c r="E84" s="26">
        <f>IF(SUMIFS('NSE - NIFTY Index Options'!$M:$M,'NSE - NIFTY Index Options'!$C:$C,$A84,'NSE - NIFTY Index Options'!$B:$B,E$4,'NSE - NIFTY Index Options'!$I:$I,"Weekly*")+SUMIFS('NSE - NIFTY Index Options'!$M:$M,'NSE - NIFTY Index Options'!$C:$C,$A84,'NSE - NIFTY Index Options'!$B:$B,E$4,'NSE - NIFTY Index Options'!$I:$I,"MDAW*")+SUMIFS('NSE - Other Index Options'!$M:$M,'NSE - Other Index Options'!$C:$C,$A84,'NSE - Other Index Options'!$B:$B,E$4,'NSE - Other Index Options'!$I:$I,"Weekly*")+SUMIFS('NSE - Other Index Options'!$M:$M,'NSE - Other Index Options'!$C:$C,$A84,'NSE - Other Index Options'!$B:$B,E$4,'NSE - Other Index Options'!$I:$I,"MDAW*")=0,"",SUMIFS('NSE - NIFTY Index Options'!$M:$M,'NSE - NIFTY Index Options'!$C:$C,$A84,'NSE - NIFTY Index Options'!$B:$B,E$4,'NSE - NIFTY Index Options'!$I:$I,"Weekly*")+SUMIFS('NSE - NIFTY Index Options'!$M:$M,'NSE - NIFTY Index Options'!$C:$C,$A84,'NSE - NIFTY Index Options'!$B:$B,E$4,'NSE - NIFTY Index Options'!$I:$I,"MDAW*")+SUMIFS('NSE - Other Index Options'!$M:$M,'NSE - Other Index Options'!$C:$C,$A84,'NSE - Other Index Options'!$B:$B,E$4,'NSE - Other Index Options'!$I:$I,"Weekly*")+SUMIFS('NSE - Other Index Options'!$M:$M,'NSE - Other Index Options'!$C:$C,$A84,'NSE - Other Index Options'!$B:$B,E$4,'NSE - Other Index Options'!$I:$I,"MDAW*"))</f>
        <v/>
      </c>
      <c r="F84" s="26">
        <f>IF(SUMIFS('NSE - NIFTY Index Options'!$M:$M,'NSE - NIFTY Index Options'!$C:$C,$A84,'NSE - NIFTY Index Options'!$B:$B,F$4,'NSE - NIFTY Index Options'!$I:$I,"Weekly*")+SUMIFS('NSE - NIFTY Index Options'!$M:$M,'NSE - NIFTY Index Options'!$C:$C,$A84,'NSE - NIFTY Index Options'!$B:$B,F$4,'NSE - NIFTY Index Options'!$I:$I,"MDAW*")+SUMIFS('NSE - Other Index Options'!$M:$M,'NSE - Other Index Options'!$C:$C,$A84,'NSE - Other Index Options'!$B:$B,F$4,'NSE - Other Index Options'!$I:$I,"Weekly*")+SUMIFS('NSE - Other Index Options'!$M:$M,'NSE - Other Index Options'!$C:$C,$A84,'NSE - Other Index Options'!$B:$B,F$4,'NSE - Other Index Options'!$I:$I,"MDAW*")=0,"",SUMIFS('NSE - NIFTY Index Options'!$M:$M,'NSE - NIFTY Index Options'!$C:$C,$A84,'NSE - NIFTY Index Options'!$B:$B,F$4,'NSE - NIFTY Index Options'!$I:$I,"Weekly*")+SUMIFS('NSE - NIFTY Index Options'!$M:$M,'NSE - NIFTY Index Options'!$C:$C,$A84,'NSE - NIFTY Index Options'!$B:$B,F$4,'NSE - NIFTY Index Options'!$I:$I,"MDAW*")+SUMIFS('NSE - Other Index Options'!$M:$M,'NSE - Other Index Options'!$C:$C,$A84,'NSE - Other Index Options'!$B:$B,F$4,'NSE - Other Index Options'!$I:$I,"Weekly*")+SUMIFS('NSE - Other Index Options'!$M:$M,'NSE - Other Index Options'!$C:$C,$A84,'NSE - Other Index Options'!$B:$B,F$4,'NSE - Other Index Options'!$I:$I,"MDAW*"))</f>
        <v/>
      </c>
      <c r="G84" s="26">
        <f>IF(SUMIFS('NSE - NIFTY Index Options'!$M:$M,'NSE - NIFTY Index Options'!$C:$C,$A84,'NSE - NIFTY Index Options'!$B:$B,G$4,'NSE - NIFTY Index Options'!$I:$I,"Weekly*")+SUMIFS('NSE - NIFTY Index Options'!$M:$M,'NSE - NIFTY Index Options'!$C:$C,$A84,'NSE - NIFTY Index Options'!$B:$B,G$4,'NSE - NIFTY Index Options'!$I:$I,"MDAW*")+SUMIFS('NSE - Other Index Options'!$M:$M,'NSE - Other Index Options'!$C:$C,$A84,'NSE - Other Index Options'!$B:$B,G$4,'NSE - Other Index Options'!$I:$I,"Weekly*")+SUMIFS('NSE - Other Index Options'!$M:$M,'NSE - Other Index Options'!$C:$C,$A84,'NSE - Other Index Options'!$B:$B,G$4,'NSE - Other Index Options'!$I:$I,"MDAW*")=0,"",SUMIFS('NSE - NIFTY Index Options'!$M:$M,'NSE - NIFTY Index Options'!$C:$C,$A84,'NSE - NIFTY Index Options'!$B:$B,G$4,'NSE - NIFTY Index Options'!$I:$I,"Weekly*")+SUMIFS('NSE - NIFTY Index Options'!$M:$M,'NSE - NIFTY Index Options'!$C:$C,$A84,'NSE - NIFTY Index Options'!$B:$B,G$4,'NSE - NIFTY Index Options'!$I:$I,"MDAW*")+SUMIFS('NSE - Other Index Options'!$M:$M,'NSE - Other Index Options'!$C:$C,$A84,'NSE - Other Index Options'!$B:$B,G$4,'NSE - Other Index Options'!$I:$I,"Weekly*")+SUMIFS('NSE - Other Index Options'!$M:$M,'NSE - Other Index Options'!$C:$C,$A84,'NSE - Other Index Options'!$B:$B,G$4,'NSE - Other Index Options'!$I:$I,"MDAW*"))</f>
        <v/>
      </c>
      <c r="H84" s="26">
        <f>IF(SUM(B84:G84)=0,"",SUM(B84:G84))</f>
        <v/>
      </c>
    </row>
    <row r="85" hidden="1" outlineLevel="1">
      <c r="A85" t="inlineStr">
        <is>
          <t>Week2-Jan-2027</t>
        </is>
      </c>
      <c r="B85" s="26">
        <f>IF(SUMIFS('NSE - NIFTY Index Options'!$M:$M,'NSE - NIFTY Index Options'!$C:$C,$A85,'NSE - NIFTY Index Options'!$B:$B,B$4,'NSE - NIFTY Index Options'!$I:$I,"Weekly*")+SUMIFS('NSE - NIFTY Index Options'!$M:$M,'NSE - NIFTY Index Options'!$C:$C,$A85,'NSE - NIFTY Index Options'!$B:$B,B$4,'NSE - NIFTY Index Options'!$I:$I,"MDAW*")+SUMIFS('NSE - Other Index Options'!$M:$M,'NSE - Other Index Options'!$C:$C,$A85,'NSE - Other Index Options'!$B:$B,B$4,'NSE - Other Index Options'!$I:$I,"Weekly*")+SUMIFS('NSE - Other Index Options'!$M:$M,'NSE - Other Index Options'!$C:$C,$A85,'NSE - Other Index Options'!$B:$B,B$4,'NSE - Other Index Options'!$I:$I,"MDAW*")=0,"",SUMIFS('NSE - NIFTY Index Options'!$M:$M,'NSE - NIFTY Index Options'!$C:$C,$A85,'NSE - NIFTY Index Options'!$B:$B,B$4,'NSE - NIFTY Index Options'!$I:$I,"Weekly*")+SUMIFS('NSE - NIFTY Index Options'!$M:$M,'NSE - NIFTY Index Options'!$C:$C,$A85,'NSE - NIFTY Index Options'!$B:$B,B$4,'NSE - NIFTY Index Options'!$I:$I,"MDAW*")+SUMIFS('NSE - Other Index Options'!$M:$M,'NSE - Other Index Options'!$C:$C,$A85,'NSE - Other Index Options'!$B:$B,B$4,'NSE - Other Index Options'!$I:$I,"Weekly*")+SUMIFS('NSE - Other Index Options'!$M:$M,'NSE - Other Index Options'!$C:$C,$A85,'NSE - Other Index Options'!$B:$B,B$4,'NSE - Other Index Options'!$I:$I,"MDAW*"))</f>
        <v/>
      </c>
      <c r="C85" s="26">
        <f>IF(SUMIFS('NSE - NIFTY Index Options'!$M:$M,'NSE - NIFTY Index Options'!$C:$C,$A85,'NSE - NIFTY Index Options'!$B:$B,C$4,'NSE - NIFTY Index Options'!$I:$I,"Weekly*")+SUMIFS('NSE - NIFTY Index Options'!$M:$M,'NSE - NIFTY Index Options'!$C:$C,$A85,'NSE - NIFTY Index Options'!$B:$B,C$4,'NSE - NIFTY Index Options'!$I:$I,"MDAW*")+SUMIFS('NSE - Other Index Options'!$M:$M,'NSE - Other Index Options'!$C:$C,$A85,'NSE - Other Index Options'!$B:$B,C$4,'NSE - Other Index Options'!$I:$I,"Weekly*")+SUMIFS('NSE - Other Index Options'!$M:$M,'NSE - Other Index Options'!$C:$C,$A85,'NSE - Other Index Options'!$B:$B,C$4,'NSE - Other Index Options'!$I:$I,"MDAW*")=0,"",SUMIFS('NSE - NIFTY Index Options'!$M:$M,'NSE - NIFTY Index Options'!$C:$C,$A85,'NSE - NIFTY Index Options'!$B:$B,C$4,'NSE - NIFTY Index Options'!$I:$I,"Weekly*")+SUMIFS('NSE - NIFTY Index Options'!$M:$M,'NSE - NIFTY Index Options'!$C:$C,$A85,'NSE - NIFTY Index Options'!$B:$B,C$4,'NSE - NIFTY Index Options'!$I:$I,"MDAW*")+SUMIFS('NSE - Other Index Options'!$M:$M,'NSE - Other Index Options'!$C:$C,$A85,'NSE - Other Index Options'!$B:$B,C$4,'NSE - Other Index Options'!$I:$I,"Weekly*")+SUMIFS('NSE - Other Index Options'!$M:$M,'NSE - Other Index Options'!$C:$C,$A85,'NSE - Other Index Options'!$B:$B,C$4,'NSE - Other Index Options'!$I:$I,"MDAW*"))</f>
        <v/>
      </c>
      <c r="D85" s="26">
        <f>IF(SUMIFS('NSE - NIFTY Index Options'!$M:$M,'NSE - NIFTY Index Options'!$C:$C,$A85,'NSE - NIFTY Index Options'!$B:$B,D$4,'NSE - NIFTY Index Options'!$I:$I,"Weekly*")+SUMIFS('NSE - NIFTY Index Options'!$M:$M,'NSE - NIFTY Index Options'!$C:$C,$A85,'NSE - NIFTY Index Options'!$B:$B,D$4,'NSE - NIFTY Index Options'!$I:$I,"MDAW*")+SUMIFS('NSE - Other Index Options'!$M:$M,'NSE - Other Index Options'!$C:$C,$A85,'NSE - Other Index Options'!$B:$B,D$4,'NSE - Other Index Options'!$I:$I,"Weekly*")+SUMIFS('NSE - Other Index Options'!$M:$M,'NSE - Other Index Options'!$C:$C,$A85,'NSE - Other Index Options'!$B:$B,D$4,'NSE - Other Index Options'!$I:$I,"MDAW*")=0,"",SUMIFS('NSE - NIFTY Index Options'!$M:$M,'NSE - NIFTY Index Options'!$C:$C,$A85,'NSE - NIFTY Index Options'!$B:$B,D$4,'NSE - NIFTY Index Options'!$I:$I,"Weekly*")+SUMIFS('NSE - NIFTY Index Options'!$M:$M,'NSE - NIFTY Index Options'!$C:$C,$A85,'NSE - NIFTY Index Options'!$B:$B,D$4,'NSE - NIFTY Index Options'!$I:$I,"MDAW*")+SUMIFS('NSE - Other Index Options'!$M:$M,'NSE - Other Index Options'!$C:$C,$A85,'NSE - Other Index Options'!$B:$B,D$4,'NSE - Other Index Options'!$I:$I,"Weekly*")+SUMIFS('NSE - Other Index Options'!$M:$M,'NSE - Other Index Options'!$C:$C,$A85,'NSE - Other Index Options'!$B:$B,D$4,'NSE - Other Index Options'!$I:$I,"MDAW*"))</f>
        <v/>
      </c>
      <c r="E85" s="26">
        <f>IF(SUMIFS('NSE - NIFTY Index Options'!$M:$M,'NSE - NIFTY Index Options'!$C:$C,$A85,'NSE - NIFTY Index Options'!$B:$B,E$4,'NSE - NIFTY Index Options'!$I:$I,"Weekly*")+SUMIFS('NSE - NIFTY Index Options'!$M:$M,'NSE - NIFTY Index Options'!$C:$C,$A85,'NSE - NIFTY Index Options'!$B:$B,E$4,'NSE - NIFTY Index Options'!$I:$I,"MDAW*")+SUMIFS('NSE - Other Index Options'!$M:$M,'NSE - Other Index Options'!$C:$C,$A85,'NSE - Other Index Options'!$B:$B,E$4,'NSE - Other Index Options'!$I:$I,"Weekly*")+SUMIFS('NSE - Other Index Options'!$M:$M,'NSE - Other Index Options'!$C:$C,$A85,'NSE - Other Index Options'!$B:$B,E$4,'NSE - Other Index Options'!$I:$I,"MDAW*")=0,"",SUMIFS('NSE - NIFTY Index Options'!$M:$M,'NSE - NIFTY Index Options'!$C:$C,$A85,'NSE - NIFTY Index Options'!$B:$B,E$4,'NSE - NIFTY Index Options'!$I:$I,"Weekly*")+SUMIFS('NSE - NIFTY Index Options'!$M:$M,'NSE - NIFTY Index Options'!$C:$C,$A85,'NSE - NIFTY Index Options'!$B:$B,E$4,'NSE - NIFTY Index Options'!$I:$I,"MDAW*")+SUMIFS('NSE - Other Index Options'!$M:$M,'NSE - Other Index Options'!$C:$C,$A85,'NSE - Other Index Options'!$B:$B,E$4,'NSE - Other Index Options'!$I:$I,"Weekly*")+SUMIFS('NSE - Other Index Options'!$M:$M,'NSE - Other Index Options'!$C:$C,$A85,'NSE - Other Index Options'!$B:$B,E$4,'NSE - Other Index Options'!$I:$I,"MDAW*"))</f>
        <v/>
      </c>
      <c r="F85" s="26">
        <f>IF(SUMIFS('NSE - NIFTY Index Options'!$M:$M,'NSE - NIFTY Index Options'!$C:$C,$A85,'NSE - NIFTY Index Options'!$B:$B,F$4,'NSE - NIFTY Index Options'!$I:$I,"Weekly*")+SUMIFS('NSE - NIFTY Index Options'!$M:$M,'NSE - NIFTY Index Options'!$C:$C,$A85,'NSE - NIFTY Index Options'!$B:$B,F$4,'NSE - NIFTY Index Options'!$I:$I,"MDAW*")+SUMIFS('NSE - Other Index Options'!$M:$M,'NSE - Other Index Options'!$C:$C,$A85,'NSE - Other Index Options'!$B:$B,F$4,'NSE - Other Index Options'!$I:$I,"Weekly*")+SUMIFS('NSE - Other Index Options'!$M:$M,'NSE - Other Index Options'!$C:$C,$A85,'NSE - Other Index Options'!$B:$B,F$4,'NSE - Other Index Options'!$I:$I,"MDAW*")=0,"",SUMIFS('NSE - NIFTY Index Options'!$M:$M,'NSE - NIFTY Index Options'!$C:$C,$A85,'NSE - NIFTY Index Options'!$B:$B,F$4,'NSE - NIFTY Index Options'!$I:$I,"Weekly*")+SUMIFS('NSE - NIFTY Index Options'!$M:$M,'NSE - NIFTY Index Options'!$C:$C,$A85,'NSE - NIFTY Index Options'!$B:$B,F$4,'NSE - NIFTY Index Options'!$I:$I,"MDAW*")+SUMIFS('NSE - Other Index Options'!$M:$M,'NSE - Other Index Options'!$C:$C,$A85,'NSE - Other Index Options'!$B:$B,F$4,'NSE - Other Index Options'!$I:$I,"Weekly*")+SUMIFS('NSE - Other Index Options'!$M:$M,'NSE - Other Index Options'!$C:$C,$A85,'NSE - Other Index Options'!$B:$B,F$4,'NSE - Other Index Options'!$I:$I,"MDAW*"))</f>
        <v/>
      </c>
      <c r="G85" s="26">
        <f>IF(SUMIFS('NSE - NIFTY Index Options'!$M:$M,'NSE - NIFTY Index Options'!$C:$C,$A85,'NSE - NIFTY Index Options'!$B:$B,G$4,'NSE - NIFTY Index Options'!$I:$I,"Weekly*")+SUMIFS('NSE - NIFTY Index Options'!$M:$M,'NSE - NIFTY Index Options'!$C:$C,$A85,'NSE - NIFTY Index Options'!$B:$B,G$4,'NSE - NIFTY Index Options'!$I:$I,"MDAW*")+SUMIFS('NSE - Other Index Options'!$M:$M,'NSE - Other Index Options'!$C:$C,$A85,'NSE - Other Index Options'!$B:$B,G$4,'NSE - Other Index Options'!$I:$I,"Weekly*")+SUMIFS('NSE - Other Index Options'!$M:$M,'NSE - Other Index Options'!$C:$C,$A85,'NSE - Other Index Options'!$B:$B,G$4,'NSE - Other Index Options'!$I:$I,"MDAW*")=0,"",SUMIFS('NSE - NIFTY Index Options'!$M:$M,'NSE - NIFTY Index Options'!$C:$C,$A85,'NSE - NIFTY Index Options'!$B:$B,G$4,'NSE - NIFTY Index Options'!$I:$I,"Weekly*")+SUMIFS('NSE - NIFTY Index Options'!$M:$M,'NSE - NIFTY Index Options'!$C:$C,$A85,'NSE - NIFTY Index Options'!$B:$B,G$4,'NSE - NIFTY Index Options'!$I:$I,"MDAW*")+SUMIFS('NSE - Other Index Options'!$M:$M,'NSE - Other Index Options'!$C:$C,$A85,'NSE - Other Index Options'!$B:$B,G$4,'NSE - Other Index Options'!$I:$I,"Weekly*")+SUMIFS('NSE - Other Index Options'!$M:$M,'NSE - Other Index Options'!$C:$C,$A85,'NSE - Other Index Options'!$B:$B,G$4,'NSE - Other Index Options'!$I:$I,"MDAW*"))</f>
        <v/>
      </c>
      <c r="H85" s="26">
        <f>IF(SUM(B85:G85)=0,"",SUM(B85:G85))</f>
        <v/>
      </c>
    </row>
    <row r="86" hidden="1" outlineLevel="1">
      <c r="A86" t="inlineStr">
        <is>
          <t>Week3-Jan-2027</t>
        </is>
      </c>
      <c r="B86" s="26">
        <f>IF(SUMIFS('NSE - NIFTY Index Options'!$M:$M,'NSE - NIFTY Index Options'!$C:$C,$A86,'NSE - NIFTY Index Options'!$B:$B,B$4,'NSE - NIFTY Index Options'!$I:$I,"Weekly*")+SUMIFS('NSE - NIFTY Index Options'!$M:$M,'NSE - NIFTY Index Options'!$C:$C,$A86,'NSE - NIFTY Index Options'!$B:$B,B$4,'NSE - NIFTY Index Options'!$I:$I,"MDAW*")+SUMIFS('NSE - Other Index Options'!$M:$M,'NSE - Other Index Options'!$C:$C,$A86,'NSE - Other Index Options'!$B:$B,B$4,'NSE - Other Index Options'!$I:$I,"Weekly*")+SUMIFS('NSE - Other Index Options'!$M:$M,'NSE - Other Index Options'!$C:$C,$A86,'NSE - Other Index Options'!$B:$B,B$4,'NSE - Other Index Options'!$I:$I,"MDAW*")=0,"",SUMIFS('NSE - NIFTY Index Options'!$M:$M,'NSE - NIFTY Index Options'!$C:$C,$A86,'NSE - NIFTY Index Options'!$B:$B,B$4,'NSE - NIFTY Index Options'!$I:$I,"Weekly*")+SUMIFS('NSE - NIFTY Index Options'!$M:$M,'NSE - NIFTY Index Options'!$C:$C,$A86,'NSE - NIFTY Index Options'!$B:$B,B$4,'NSE - NIFTY Index Options'!$I:$I,"MDAW*")+SUMIFS('NSE - Other Index Options'!$M:$M,'NSE - Other Index Options'!$C:$C,$A86,'NSE - Other Index Options'!$B:$B,B$4,'NSE - Other Index Options'!$I:$I,"Weekly*")+SUMIFS('NSE - Other Index Options'!$M:$M,'NSE - Other Index Options'!$C:$C,$A86,'NSE - Other Index Options'!$B:$B,B$4,'NSE - Other Index Options'!$I:$I,"MDAW*"))</f>
        <v/>
      </c>
      <c r="C86" s="26">
        <f>IF(SUMIFS('NSE - NIFTY Index Options'!$M:$M,'NSE - NIFTY Index Options'!$C:$C,$A86,'NSE - NIFTY Index Options'!$B:$B,C$4,'NSE - NIFTY Index Options'!$I:$I,"Weekly*")+SUMIFS('NSE - NIFTY Index Options'!$M:$M,'NSE - NIFTY Index Options'!$C:$C,$A86,'NSE - NIFTY Index Options'!$B:$B,C$4,'NSE - NIFTY Index Options'!$I:$I,"MDAW*")+SUMIFS('NSE - Other Index Options'!$M:$M,'NSE - Other Index Options'!$C:$C,$A86,'NSE - Other Index Options'!$B:$B,C$4,'NSE - Other Index Options'!$I:$I,"Weekly*")+SUMIFS('NSE - Other Index Options'!$M:$M,'NSE - Other Index Options'!$C:$C,$A86,'NSE - Other Index Options'!$B:$B,C$4,'NSE - Other Index Options'!$I:$I,"MDAW*")=0,"",SUMIFS('NSE - NIFTY Index Options'!$M:$M,'NSE - NIFTY Index Options'!$C:$C,$A86,'NSE - NIFTY Index Options'!$B:$B,C$4,'NSE - NIFTY Index Options'!$I:$I,"Weekly*")+SUMIFS('NSE - NIFTY Index Options'!$M:$M,'NSE - NIFTY Index Options'!$C:$C,$A86,'NSE - NIFTY Index Options'!$B:$B,C$4,'NSE - NIFTY Index Options'!$I:$I,"MDAW*")+SUMIFS('NSE - Other Index Options'!$M:$M,'NSE - Other Index Options'!$C:$C,$A86,'NSE - Other Index Options'!$B:$B,C$4,'NSE - Other Index Options'!$I:$I,"Weekly*")+SUMIFS('NSE - Other Index Options'!$M:$M,'NSE - Other Index Options'!$C:$C,$A86,'NSE - Other Index Options'!$B:$B,C$4,'NSE - Other Index Options'!$I:$I,"MDAW*"))</f>
        <v/>
      </c>
      <c r="D86" s="26">
        <f>IF(SUMIFS('NSE - NIFTY Index Options'!$M:$M,'NSE - NIFTY Index Options'!$C:$C,$A86,'NSE - NIFTY Index Options'!$B:$B,D$4,'NSE - NIFTY Index Options'!$I:$I,"Weekly*")+SUMIFS('NSE - NIFTY Index Options'!$M:$M,'NSE - NIFTY Index Options'!$C:$C,$A86,'NSE - NIFTY Index Options'!$B:$B,D$4,'NSE - NIFTY Index Options'!$I:$I,"MDAW*")+SUMIFS('NSE - Other Index Options'!$M:$M,'NSE - Other Index Options'!$C:$C,$A86,'NSE - Other Index Options'!$B:$B,D$4,'NSE - Other Index Options'!$I:$I,"Weekly*")+SUMIFS('NSE - Other Index Options'!$M:$M,'NSE - Other Index Options'!$C:$C,$A86,'NSE - Other Index Options'!$B:$B,D$4,'NSE - Other Index Options'!$I:$I,"MDAW*")=0,"",SUMIFS('NSE - NIFTY Index Options'!$M:$M,'NSE - NIFTY Index Options'!$C:$C,$A86,'NSE - NIFTY Index Options'!$B:$B,D$4,'NSE - NIFTY Index Options'!$I:$I,"Weekly*")+SUMIFS('NSE - NIFTY Index Options'!$M:$M,'NSE - NIFTY Index Options'!$C:$C,$A86,'NSE - NIFTY Index Options'!$B:$B,D$4,'NSE - NIFTY Index Options'!$I:$I,"MDAW*")+SUMIFS('NSE - Other Index Options'!$M:$M,'NSE - Other Index Options'!$C:$C,$A86,'NSE - Other Index Options'!$B:$B,D$4,'NSE - Other Index Options'!$I:$I,"Weekly*")+SUMIFS('NSE - Other Index Options'!$M:$M,'NSE - Other Index Options'!$C:$C,$A86,'NSE - Other Index Options'!$B:$B,D$4,'NSE - Other Index Options'!$I:$I,"MDAW*"))</f>
        <v/>
      </c>
      <c r="E86" s="26">
        <f>IF(SUMIFS('NSE - NIFTY Index Options'!$M:$M,'NSE - NIFTY Index Options'!$C:$C,$A86,'NSE - NIFTY Index Options'!$B:$B,E$4,'NSE - NIFTY Index Options'!$I:$I,"Weekly*")+SUMIFS('NSE - NIFTY Index Options'!$M:$M,'NSE - NIFTY Index Options'!$C:$C,$A86,'NSE - NIFTY Index Options'!$B:$B,E$4,'NSE - NIFTY Index Options'!$I:$I,"MDAW*")+SUMIFS('NSE - Other Index Options'!$M:$M,'NSE - Other Index Options'!$C:$C,$A86,'NSE - Other Index Options'!$B:$B,E$4,'NSE - Other Index Options'!$I:$I,"Weekly*")+SUMIFS('NSE - Other Index Options'!$M:$M,'NSE - Other Index Options'!$C:$C,$A86,'NSE - Other Index Options'!$B:$B,E$4,'NSE - Other Index Options'!$I:$I,"MDAW*")=0,"",SUMIFS('NSE - NIFTY Index Options'!$M:$M,'NSE - NIFTY Index Options'!$C:$C,$A86,'NSE - NIFTY Index Options'!$B:$B,E$4,'NSE - NIFTY Index Options'!$I:$I,"Weekly*")+SUMIFS('NSE - NIFTY Index Options'!$M:$M,'NSE - NIFTY Index Options'!$C:$C,$A86,'NSE - NIFTY Index Options'!$B:$B,E$4,'NSE - NIFTY Index Options'!$I:$I,"MDAW*")+SUMIFS('NSE - Other Index Options'!$M:$M,'NSE - Other Index Options'!$C:$C,$A86,'NSE - Other Index Options'!$B:$B,E$4,'NSE - Other Index Options'!$I:$I,"Weekly*")+SUMIFS('NSE - Other Index Options'!$M:$M,'NSE - Other Index Options'!$C:$C,$A86,'NSE - Other Index Options'!$B:$B,E$4,'NSE - Other Index Options'!$I:$I,"MDAW*"))</f>
        <v/>
      </c>
      <c r="F86" s="26">
        <f>IF(SUMIFS('NSE - NIFTY Index Options'!$M:$M,'NSE - NIFTY Index Options'!$C:$C,$A86,'NSE - NIFTY Index Options'!$B:$B,F$4,'NSE - NIFTY Index Options'!$I:$I,"Weekly*")+SUMIFS('NSE - NIFTY Index Options'!$M:$M,'NSE - NIFTY Index Options'!$C:$C,$A86,'NSE - NIFTY Index Options'!$B:$B,F$4,'NSE - NIFTY Index Options'!$I:$I,"MDAW*")+SUMIFS('NSE - Other Index Options'!$M:$M,'NSE - Other Index Options'!$C:$C,$A86,'NSE - Other Index Options'!$B:$B,F$4,'NSE - Other Index Options'!$I:$I,"Weekly*")+SUMIFS('NSE - Other Index Options'!$M:$M,'NSE - Other Index Options'!$C:$C,$A86,'NSE - Other Index Options'!$B:$B,F$4,'NSE - Other Index Options'!$I:$I,"MDAW*")=0,"",SUMIFS('NSE - NIFTY Index Options'!$M:$M,'NSE - NIFTY Index Options'!$C:$C,$A86,'NSE - NIFTY Index Options'!$B:$B,F$4,'NSE - NIFTY Index Options'!$I:$I,"Weekly*")+SUMIFS('NSE - NIFTY Index Options'!$M:$M,'NSE - NIFTY Index Options'!$C:$C,$A86,'NSE - NIFTY Index Options'!$B:$B,F$4,'NSE - NIFTY Index Options'!$I:$I,"MDAW*")+SUMIFS('NSE - Other Index Options'!$M:$M,'NSE - Other Index Options'!$C:$C,$A86,'NSE - Other Index Options'!$B:$B,F$4,'NSE - Other Index Options'!$I:$I,"Weekly*")+SUMIFS('NSE - Other Index Options'!$M:$M,'NSE - Other Index Options'!$C:$C,$A86,'NSE - Other Index Options'!$B:$B,F$4,'NSE - Other Index Options'!$I:$I,"MDAW*"))</f>
        <v/>
      </c>
      <c r="G86" s="26">
        <f>IF(SUMIFS('NSE - NIFTY Index Options'!$M:$M,'NSE - NIFTY Index Options'!$C:$C,$A86,'NSE - NIFTY Index Options'!$B:$B,G$4,'NSE - NIFTY Index Options'!$I:$I,"Weekly*")+SUMIFS('NSE - NIFTY Index Options'!$M:$M,'NSE - NIFTY Index Options'!$C:$C,$A86,'NSE - NIFTY Index Options'!$B:$B,G$4,'NSE - NIFTY Index Options'!$I:$I,"MDAW*")+SUMIFS('NSE - Other Index Options'!$M:$M,'NSE - Other Index Options'!$C:$C,$A86,'NSE - Other Index Options'!$B:$B,G$4,'NSE - Other Index Options'!$I:$I,"Weekly*")+SUMIFS('NSE - Other Index Options'!$M:$M,'NSE - Other Index Options'!$C:$C,$A86,'NSE - Other Index Options'!$B:$B,G$4,'NSE - Other Index Options'!$I:$I,"MDAW*")=0,"",SUMIFS('NSE - NIFTY Index Options'!$M:$M,'NSE - NIFTY Index Options'!$C:$C,$A86,'NSE - NIFTY Index Options'!$B:$B,G$4,'NSE - NIFTY Index Options'!$I:$I,"Weekly*")+SUMIFS('NSE - NIFTY Index Options'!$M:$M,'NSE - NIFTY Index Options'!$C:$C,$A86,'NSE - NIFTY Index Options'!$B:$B,G$4,'NSE - NIFTY Index Options'!$I:$I,"MDAW*")+SUMIFS('NSE - Other Index Options'!$M:$M,'NSE - Other Index Options'!$C:$C,$A86,'NSE - Other Index Options'!$B:$B,G$4,'NSE - Other Index Options'!$I:$I,"Weekly*")+SUMIFS('NSE - Other Index Options'!$M:$M,'NSE - Other Index Options'!$C:$C,$A86,'NSE - Other Index Options'!$B:$B,G$4,'NSE - Other Index Options'!$I:$I,"MDAW*"))</f>
        <v/>
      </c>
      <c r="H86" s="26">
        <f>IF(SUM(B86:G86)=0,"",SUM(B86:G86))</f>
        <v/>
      </c>
    </row>
    <row r="87" hidden="1" outlineLevel="1">
      <c r="A87" t="inlineStr">
        <is>
          <t>Week4-Jan-2027</t>
        </is>
      </c>
      <c r="B87" s="26">
        <f>IF(SUMIFS('NSE - NIFTY Index Options'!$M:$M,'NSE - NIFTY Index Options'!$C:$C,$A87,'NSE - NIFTY Index Options'!$B:$B,B$4,'NSE - NIFTY Index Options'!$I:$I,"Weekly*")+SUMIFS('NSE - NIFTY Index Options'!$M:$M,'NSE - NIFTY Index Options'!$C:$C,$A87,'NSE - NIFTY Index Options'!$B:$B,B$4,'NSE - NIFTY Index Options'!$I:$I,"MDAW*")+SUMIFS('NSE - Other Index Options'!$M:$M,'NSE - Other Index Options'!$C:$C,$A87,'NSE - Other Index Options'!$B:$B,B$4,'NSE - Other Index Options'!$I:$I,"Weekly*")+SUMIFS('NSE - Other Index Options'!$M:$M,'NSE - Other Index Options'!$C:$C,$A87,'NSE - Other Index Options'!$B:$B,B$4,'NSE - Other Index Options'!$I:$I,"MDAW*")=0,"",SUMIFS('NSE - NIFTY Index Options'!$M:$M,'NSE - NIFTY Index Options'!$C:$C,$A87,'NSE - NIFTY Index Options'!$B:$B,B$4,'NSE - NIFTY Index Options'!$I:$I,"Weekly*")+SUMIFS('NSE - NIFTY Index Options'!$M:$M,'NSE - NIFTY Index Options'!$C:$C,$A87,'NSE - NIFTY Index Options'!$B:$B,B$4,'NSE - NIFTY Index Options'!$I:$I,"MDAW*")+SUMIFS('NSE - Other Index Options'!$M:$M,'NSE - Other Index Options'!$C:$C,$A87,'NSE - Other Index Options'!$B:$B,B$4,'NSE - Other Index Options'!$I:$I,"Weekly*")+SUMIFS('NSE - Other Index Options'!$M:$M,'NSE - Other Index Options'!$C:$C,$A87,'NSE - Other Index Options'!$B:$B,B$4,'NSE - Other Index Options'!$I:$I,"MDAW*"))</f>
        <v/>
      </c>
      <c r="C87" s="26">
        <f>IF(SUMIFS('NSE - NIFTY Index Options'!$M:$M,'NSE - NIFTY Index Options'!$C:$C,$A87,'NSE - NIFTY Index Options'!$B:$B,C$4,'NSE - NIFTY Index Options'!$I:$I,"Weekly*")+SUMIFS('NSE - NIFTY Index Options'!$M:$M,'NSE - NIFTY Index Options'!$C:$C,$A87,'NSE - NIFTY Index Options'!$B:$B,C$4,'NSE - NIFTY Index Options'!$I:$I,"MDAW*")+SUMIFS('NSE - Other Index Options'!$M:$M,'NSE - Other Index Options'!$C:$C,$A87,'NSE - Other Index Options'!$B:$B,C$4,'NSE - Other Index Options'!$I:$I,"Weekly*")+SUMIFS('NSE - Other Index Options'!$M:$M,'NSE - Other Index Options'!$C:$C,$A87,'NSE - Other Index Options'!$B:$B,C$4,'NSE - Other Index Options'!$I:$I,"MDAW*")=0,"",SUMIFS('NSE - NIFTY Index Options'!$M:$M,'NSE - NIFTY Index Options'!$C:$C,$A87,'NSE - NIFTY Index Options'!$B:$B,C$4,'NSE - NIFTY Index Options'!$I:$I,"Weekly*")+SUMIFS('NSE - NIFTY Index Options'!$M:$M,'NSE - NIFTY Index Options'!$C:$C,$A87,'NSE - NIFTY Index Options'!$B:$B,C$4,'NSE - NIFTY Index Options'!$I:$I,"MDAW*")+SUMIFS('NSE - Other Index Options'!$M:$M,'NSE - Other Index Options'!$C:$C,$A87,'NSE - Other Index Options'!$B:$B,C$4,'NSE - Other Index Options'!$I:$I,"Weekly*")+SUMIFS('NSE - Other Index Options'!$M:$M,'NSE - Other Index Options'!$C:$C,$A87,'NSE - Other Index Options'!$B:$B,C$4,'NSE - Other Index Options'!$I:$I,"MDAW*"))</f>
        <v/>
      </c>
      <c r="D87" s="26">
        <f>IF(SUMIFS('NSE - NIFTY Index Options'!$M:$M,'NSE - NIFTY Index Options'!$C:$C,$A87,'NSE - NIFTY Index Options'!$B:$B,D$4,'NSE - NIFTY Index Options'!$I:$I,"Weekly*")+SUMIFS('NSE - NIFTY Index Options'!$M:$M,'NSE - NIFTY Index Options'!$C:$C,$A87,'NSE - NIFTY Index Options'!$B:$B,D$4,'NSE - NIFTY Index Options'!$I:$I,"MDAW*")+SUMIFS('NSE - Other Index Options'!$M:$M,'NSE - Other Index Options'!$C:$C,$A87,'NSE - Other Index Options'!$B:$B,D$4,'NSE - Other Index Options'!$I:$I,"Weekly*")+SUMIFS('NSE - Other Index Options'!$M:$M,'NSE - Other Index Options'!$C:$C,$A87,'NSE - Other Index Options'!$B:$B,D$4,'NSE - Other Index Options'!$I:$I,"MDAW*")=0,"",SUMIFS('NSE - NIFTY Index Options'!$M:$M,'NSE - NIFTY Index Options'!$C:$C,$A87,'NSE - NIFTY Index Options'!$B:$B,D$4,'NSE - NIFTY Index Options'!$I:$I,"Weekly*")+SUMIFS('NSE - NIFTY Index Options'!$M:$M,'NSE - NIFTY Index Options'!$C:$C,$A87,'NSE - NIFTY Index Options'!$B:$B,D$4,'NSE - NIFTY Index Options'!$I:$I,"MDAW*")+SUMIFS('NSE - Other Index Options'!$M:$M,'NSE - Other Index Options'!$C:$C,$A87,'NSE - Other Index Options'!$B:$B,D$4,'NSE - Other Index Options'!$I:$I,"Weekly*")+SUMIFS('NSE - Other Index Options'!$M:$M,'NSE - Other Index Options'!$C:$C,$A87,'NSE - Other Index Options'!$B:$B,D$4,'NSE - Other Index Options'!$I:$I,"MDAW*"))</f>
        <v/>
      </c>
      <c r="E87" s="26">
        <f>IF(SUMIFS('NSE - NIFTY Index Options'!$M:$M,'NSE - NIFTY Index Options'!$C:$C,$A87,'NSE - NIFTY Index Options'!$B:$B,E$4,'NSE - NIFTY Index Options'!$I:$I,"Weekly*")+SUMIFS('NSE - NIFTY Index Options'!$M:$M,'NSE - NIFTY Index Options'!$C:$C,$A87,'NSE - NIFTY Index Options'!$B:$B,E$4,'NSE - NIFTY Index Options'!$I:$I,"MDAW*")+SUMIFS('NSE - Other Index Options'!$M:$M,'NSE - Other Index Options'!$C:$C,$A87,'NSE - Other Index Options'!$B:$B,E$4,'NSE - Other Index Options'!$I:$I,"Weekly*")+SUMIFS('NSE - Other Index Options'!$M:$M,'NSE - Other Index Options'!$C:$C,$A87,'NSE - Other Index Options'!$B:$B,E$4,'NSE - Other Index Options'!$I:$I,"MDAW*")=0,"",SUMIFS('NSE - NIFTY Index Options'!$M:$M,'NSE - NIFTY Index Options'!$C:$C,$A87,'NSE - NIFTY Index Options'!$B:$B,E$4,'NSE - NIFTY Index Options'!$I:$I,"Weekly*")+SUMIFS('NSE - NIFTY Index Options'!$M:$M,'NSE - NIFTY Index Options'!$C:$C,$A87,'NSE - NIFTY Index Options'!$B:$B,E$4,'NSE - NIFTY Index Options'!$I:$I,"MDAW*")+SUMIFS('NSE - Other Index Options'!$M:$M,'NSE - Other Index Options'!$C:$C,$A87,'NSE - Other Index Options'!$B:$B,E$4,'NSE - Other Index Options'!$I:$I,"Weekly*")+SUMIFS('NSE - Other Index Options'!$M:$M,'NSE - Other Index Options'!$C:$C,$A87,'NSE - Other Index Options'!$B:$B,E$4,'NSE - Other Index Options'!$I:$I,"MDAW*"))</f>
        <v/>
      </c>
      <c r="F87" s="26">
        <f>IF(SUMIFS('NSE - NIFTY Index Options'!$M:$M,'NSE - NIFTY Index Options'!$C:$C,$A87,'NSE - NIFTY Index Options'!$B:$B,F$4,'NSE - NIFTY Index Options'!$I:$I,"Weekly*")+SUMIFS('NSE - NIFTY Index Options'!$M:$M,'NSE - NIFTY Index Options'!$C:$C,$A87,'NSE - NIFTY Index Options'!$B:$B,F$4,'NSE - NIFTY Index Options'!$I:$I,"MDAW*")+SUMIFS('NSE - Other Index Options'!$M:$M,'NSE - Other Index Options'!$C:$C,$A87,'NSE - Other Index Options'!$B:$B,F$4,'NSE - Other Index Options'!$I:$I,"Weekly*")+SUMIFS('NSE - Other Index Options'!$M:$M,'NSE - Other Index Options'!$C:$C,$A87,'NSE - Other Index Options'!$B:$B,F$4,'NSE - Other Index Options'!$I:$I,"MDAW*")=0,"",SUMIFS('NSE - NIFTY Index Options'!$M:$M,'NSE - NIFTY Index Options'!$C:$C,$A87,'NSE - NIFTY Index Options'!$B:$B,F$4,'NSE - NIFTY Index Options'!$I:$I,"Weekly*")+SUMIFS('NSE - NIFTY Index Options'!$M:$M,'NSE - NIFTY Index Options'!$C:$C,$A87,'NSE - NIFTY Index Options'!$B:$B,F$4,'NSE - NIFTY Index Options'!$I:$I,"MDAW*")+SUMIFS('NSE - Other Index Options'!$M:$M,'NSE - Other Index Options'!$C:$C,$A87,'NSE - Other Index Options'!$B:$B,F$4,'NSE - Other Index Options'!$I:$I,"Weekly*")+SUMIFS('NSE - Other Index Options'!$M:$M,'NSE - Other Index Options'!$C:$C,$A87,'NSE - Other Index Options'!$B:$B,F$4,'NSE - Other Index Options'!$I:$I,"MDAW*"))</f>
        <v/>
      </c>
      <c r="G87" s="26">
        <f>IF(SUMIFS('NSE - NIFTY Index Options'!$M:$M,'NSE - NIFTY Index Options'!$C:$C,$A87,'NSE - NIFTY Index Options'!$B:$B,G$4,'NSE - NIFTY Index Options'!$I:$I,"Weekly*")+SUMIFS('NSE - NIFTY Index Options'!$M:$M,'NSE - NIFTY Index Options'!$C:$C,$A87,'NSE - NIFTY Index Options'!$B:$B,G$4,'NSE - NIFTY Index Options'!$I:$I,"MDAW*")+SUMIFS('NSE - Other Index Options'!$M:$M,'NSE - Other Index Options'!$C:$C,$A87,'NSE - Other Index Options'!$B:$B,G$4,'NSE - Other Index Options'!$I:$I,"Weekly*")+SUMIFS('NSE - Other Index Options'!$M:$M,'NSE - Other Index Options'!$C:$C,$A87,'NSE - Other Index Options'!$B:$B,G$4,'NSE - Other Index Options'!$I:$I,"MDAW*")=0,"",SUMIFS('NSE - NIFTY Index Options'!$M:$M,'NSE - NIFTY Index Options'!$C:$C,$A87,'NSE - NIFTY Index Options'!$B:$B,G$4,'NSE - NIFTY Index Options'!$I:$I,"Weekly*")+SUMIFS('NSE - NIFTY Index Options'!$M:$M,'NSE - NIFTY Index Options'!$C:$C,$A87,'NSE - NIFTY Index Options'!$B:$B,G$4,'NSE - NIFTY Index Options'!$I:$I,"MDAW*")+SUMIFS('NSE - Other Index Options'!$M:$M,'NSE - Other Index Options'!$C:$C,$A87,'NSE - Other Index Options'!$B:$B,G$4,'NSE - Other Index Options'!$I:$I,"Weekly*")+SUMIFS('NSE - Other Index Options'!$M:$M,'NSE - Other Index Options'!$C:$C,$A87,'NSE - Other Index Options'!$B:$B,G$4,'NSE - Other Index Options'!$I:$I,"MDAW*"))</f>
        <v/>
      </c>
      <c r="H87" s="26">
        <f>IF(SUM(B87:G87)=0,"",SUM(B87:G87))</f>
        <v/>
      </c>
    </row>
    <row r="88" hidden="1" outlineLevel="1">
      <c r="A88" t="inlineStr">
        <is>
          <t>Week5-Jan-2027</t>
        </is>
      </c>
      <c r="B88" s="26">
        <f>IF(SUMIFS('NSE - NIFTY Index Options'!$M:$M,'NSE - NIFTY Index Options'!$C:$C,$A88,'NSE - NIFTY Index Options'!$B:$B,B$4,'NSE - NIFTY Index Options'!$I:$I,"Weekly*")+SUMIFS('NSE - NIFTY Index Options'!$M:$M,'NSE - NIFTY Index Options'!$C:$C,$A88,'NSE - NIFTY Index Options'!$B:$B,B$4,'NSE - NIFTY Index Options'!$I:$I,"MDAW*")+SUMIFS('NSE - Other Index Options'!$M:$M,'NSE - Other Index Options'!$C:$C,$A88,'NSE - Other Index Options'!$B:$B,B$4,'NSE - Other Index Options'!$I:$I,"Weekly*")+SUMIFS('NSE - Other Index Options'!$M:$M,'NSE - Other Index Options'!$C:$C,$A88,'NSE - Other Index Options'!$B:$B,B$4,'NSE - Other Index Options'!$I:$I,"MDAW*")=0,"",SUMIFS('NSE - NIFTY Index Options'!$M:$M,'NSE - NIFTY Index Options'!$C:$C,$A88,'NSE - NIFTY Index Options'!$B:$B,B$4,'NSE - NIFTY Index Options'!$I:$I,"Weekly*")+SUMIFS('NSE - NIFTY Index Options'!$M:$M,'NSE - NIFTY Index Options'!$C:$C,$A88,'NSE - NIFTY Index Options'!$B:$B,B$4,'NSE - NIFTY Index Options'!$I:$I,"MDAW*")+SUMIFS('NSE - Other Index Options'!$M:$M,'NSE - Other Index Options'!$C:$C,$A88,'NSE - Other Index Options'!$B:$B,B$4,'NSE - Other Index Options'!$I:$I,"Weekly*")+SUMIFS('NSE - Other Index Options'!$M:$M,'NSE - Other Index Options'!$C:$C,$A88,'NSE - Other Index Options'!$B:$B,B$4,'NSE - Other Index Options'!$I:$I,"MDAW*"))</f>
        <v/>
      </c>
      <c r="C88" s="26">
        <f>IF(SUMIFS('NSE - NIFTY Index Options'!$M:$M,'NSE - NIFTY Index Options'!$C:$C,$A88,'NSE - NIFTY Index Options'!$B:$B,C$4,'NSE - NIFTY Index Options'!$I:$I,"Weekly*")+SUMIFS('NSE - NIFTY Index Options'!$M:$M,'NSE - NIFTY Index Options'!$C:$C,$A88,'NSE - NIFTY Index Options'!$B:$B,C$4,'NSE - NIFTY Index Options'!$I:$I,"MDAW*")+SUMIFS('NSE - Other Index Options'!$M:$M,'NSE - Other Index Options'!$C:$C,$A88,'NSE - Other Index Options'!$B:$B,C$4,'NSE - Other Index Options'!$I:$I,"Weekly*")+SUMIFS('NSE - Other Index Options'!$M:$M,'NSE - Other Index Options'!$C:$C,$A88,'NSE - Other Index Options'!$B:$B,C$4,'NSE - Other Index Options'!$I:$I,"MDAW*")=0,"",SUMIFS('NSE - NIFTY Index Options'!$M:$M,'NSE - NIFTY Index Options'!$C:$C,$A88,'NSE - NIFTY Index Options'!$B:$B,C$4,'NSE - NIFTY Index Options'!$I:$I,"Weekly*")+SUMIFS('NSE - NIFTY Index Options'!$M:$M,'NSE - NIFTY Index Options'!$C:$C,$A88,'NSE - NIFTY Index Options'!$B:$B,C$4,'NSE - NIFTY Index Options'!$I:$I,"MDAW*")+SUMIFS('NSE - Other Index Options'!$M:$M,'NSE - Other Index Options'!$C:$C,$A88,'NSE - Other Index Options'!$B:$B,C$4,'NSE - Other Index Options'!$I:$I,"Weekly*")+SUMIFS('NSE - Other Index Options'!$M:$M,'NSE - Other Index Options'!$C:$C,$A88,'NSE - Other Index Options'!$B:$B,C$4,'NSE - Other Index Options'!$I:$I,"MDAW*"))</f>
        <v/>
      </c>
      <c r="D88" s="26">
        <f>IF(SUMIFS('NSE - NIFTY Index Options'!$M:$M,'NSE - NIFTY Index Options'!$C:$C,$A88,'NSE - NIFTY Index Options'!$B:$B,D$4,'NSE - NIFTY Index Options'!$I:$I,"Weekly*")+SUMIFS('NSE - NIFTY Index Options'!$M:$M,'NSE - NIFTY Index Options'!$C:$C,$A88,'NSE - NIFTY Index Options'!$B:$B,D$4,'NSE - NIFTY Index Options'!$I:$I,"MDAW*")+SUMIFS('NSE - Other Index Options'!$M:$M,'NSE - Other Index Options'!$C:$C,$A88,'NSE - Other Index Options'!$B:$B,D$4,'NSE - Other Index Options'!$I:$I,"Weekly*")+SUMIFS('NSE - Other Index Options'!$M:$M,'NSE - Other Index Options'!$C:$C,$A88,'NSE - Other Index Options'!$B:$B,D$4,'NSE - Other Index Options'!$I:$I,"MDAW*")=0,"",SUMIFS('NSE - NIFTY Index Options'!$M:$M,'NSE - NIFTY Index Options'!$C:$C,$A88,'NSE - NIFTY Index Options'!$B:$B,D$4,'NSE - NIFTY Index Options'!$I:$I,"Weekly*")+SUMIFS('NSE - NIFTY Index Options'!$M:$M,'NSE - NIFTY Index Options'!$C:$C,$A88,'NSE - NIFTY Index Options'!$B:$B,D$4,'NSE - NIFTY Index Options'!$I:$I,"MDAW*")+SUMIFS('NSE - Other Index Options'!$M:$M,'NSE - Other Index Options'!$C:$C,$A88,'NSE - Other Index Options'!$B:$B,D$4,'NSE - Other Index Options'!$I:$I,"Weekly*")+SUMIFS('NSE - Other Index Options'!$M:$M,'NSE - Other Index Options'!$C:$C,$A88,'NSE - Other Index Options'!$B:$B,D$4,'NSE - Other Index Options'!$I:$I,"MDAW*"))</f>
        <v/>
      </c>
      <c r="E88" s="26">
        <f>IF(SUMIFS('NSE - NIFTY Index Options'!$M:$M,'NSE - NIFTY Index Options'!$C:$C,$A88,'NSE - NIFTY Index Options'!$B:$B,E$4,'NSE - NIFTY Index Options'!$I:$I,"Weekly*")+SUMIFS('NSE - NIFTY Index Options'!$M:$M,'NSE - NIFTY Index Options'!$C:$C,$A88,'NSE - NIFTY Index Options'!$B:$B,E$4,'NSE - NIFTY Index Options'!$I:$I,"MDAW*")+SUMIFS('NSE - Other Index Options'!$M:$M,'NSE - Other Index Options'!$C:$C,$A88,'NSE - Other Index Options'!$B:$B,E$4,'NSE - Other Index Options'!$I:$I,"Weekly*")+SUMIFS('NSE - Other Index Options'!$M:$M,'NSE - Other Index Options'!$C:$C,$A88,'NSE - Other Index Options'!$B:$B,E$4,'NSE - Other Index Options'!$I:$I,"MDAW*")=0,"",SUMIFS('NSE - NIFTY Index Options'!$M:$M,'NSE - NIFTY Index Options'!$C:$C,$A88,'NSE - NIFTY Index Options'!$B:$B,E$4,'NSE - NIFTY Index Options'!$I:$I,"Weekly*")+SUMIFS('NSE - NIFTY Index Options'!$M:$M,'NSE - NIFTY Index Options'!$C:$C,$A88,'NSE - NIFTY Index Options'!$B:$B,E$4,'NSE - NIFTY Index Options'!$I:$I,"MDAW*")+SUMIFS('NSE - Other Index Options'!$M:$M,'NSE - Other Index Options'!$C:$C,$A88,'NSE - Other Index Options'!$B:$B,E$4,'NSE - Other Index Options'!$I:$I,"Weekly*")+SUMIFS('NSE - Other Index Options'!$M:$M,'NSE - Other Index Options'!$C:$C,$A88,'NSE - Other Index Options'!$B:$B,E$4,'NSE - Other Index Options'!$I:$I,"MDAW*"))</f>
        <v/>
      </c>
      <c r="F88" s="26">
        <f>IF(SUMIFS('NSE - NIFTY Index Options'!$M:$M,'NSE - NIFTY Index Options'!$C:$C,$A88,'NSE - NIFTY Index Options'!$B:$B,F$4,'NSE - NIFTY Index Options'!$I:$I,"Weekly*")+SUMIFS('NSE - NIFTY Index Options'!$M:$M,'NSE - NIFTY Index Options'!$C:$C,$A88,'NSE - NIFTY Index Options'!$B:$B,F$4,'NSE - NIFTY Index Options'!$I:$I,"MDAW*")+SUMIFS('NSE - Other Index Options'!$M:$M,'NSE - Other Index Options'!$C:$C,$A88,'NSE - Other Index Options'!$B:$B,F$4,'NSE - Other Index Options'!$I:$I,"Weekly*")+SUMIFS('NSE - Other Index Options'!$M:$M,'NSE - Other Index Options'!$C:$C,$A88,'NSE - Other Index Options'!$B:$B,F$4,'NSE - Other Index Options'!$I:$I,"MDAW*")=0,"",SUMIFS('NSE - NIFTY Index Options'!$M:$M,'NSE - NIFTY Index Options'!$C:$C,$A88,'NSE - NIFTY Index Options'!$B:$B,F$4,'NSE - NIFTY Index Options'!$I:$I,"Weekly*")+SUMIFS('NSE - NIFTY Index Options'!$M:$M,'NSE - NIFTY Index Options'!$C:$C,$A88,'NSE - NIFTY Index Options'!$B:$B,F$4,'NSE - NIFTY Index Options'!$I:$I,"MDAW*")+SUMIFS('NSE - Other Index Options'!$M:$M,'NSE - Other Index Options'!$C:$C,$A88,'NSE - Other Index Options'!$B:$B,F$4,'NSE - Other Index Options'!$I:$I,"Weekly*")+SUMIFS('NSE - Other Index Options'!$M:$M,'NSE - Other Index Options'!$C:$C,$A88,'NSE - Other Index Options'!$B:$B,F$4,'NSE - Other Index Options'!$I:$I,"MDAW*"))</f>
        <v/>
      </c>
      <c r="G88" s="26">
        <f>IF(SUMIFS('NSE - NIFTY Index Options'!$M:$M,'NSE - NIFTY Index Options'!$C:$C,$A88,'NSE - NIFTY Index Options'!$B:$B,G$4,'NSE - NIFTY Index Options'!$I:$I,"Weekly*")+SUMIFS('NSE - NIFTY Index Options'!$M:$M,'NSE - NIFTY Index Options'!$C:$C,$A88,'NSE - NIFTY Index Options'!$B:$B,G$4,'NSE - NIFTY Index Options'!$I:$I,"MDAW*")+SUMIFS('NSE - Other Index Options'!$M:$M,'NSE - Other Index Options'!$C:$C,$A88,'NSE - Other Index Options'!$B:$B,G$4,'NSE - Other Index Options'!$I:$I,"Weekly*")+SUMIFS('NSE - Other Index Options'!$M:$M,'NSE - Other Index Options'!$C:$C,$A88,'NSE - Other Index Options'!$B:$B,G$4,'NSE - Other Index Options'!$I:$I,"MDAW*")=0,"",SUMIFS('NSE - NIFTY Index Options'!$M:$M,'NSE - NIFTY Index Options'!$C:$C,$A88,'NSE - NIFTY Index Options'!$B:$B,G$4,'NSE - NIFTY Index Options'!$I:$I,"Weekly*")+SUMIFS('NSE - NIFTY Index Options'!$M:$M,'NSE - NIFTY Index Options'!$C:$C,$A88,'NSE - NIFTY Index Options'!$B:$B,G$4,'NSE - NIFTY Index Options'!$I:$I,"MDAW*")+SUMIFS('NSE - Other Index Options'!$M:$M,'NSE - Other Index Options'!$C:$C,$A88,'NSE - Other Index Options'!$B:$B,G$4,'NSE - Other Index Options'!$I:$I,"Weekly*")+SUMIFS('NSE - Other Index Options'!$M:$M,'NSE - Other Index Options'!$C:$C,$A88,'NSE - Other Index Options'!$B:$B,G$4,'NSE - Other Index Options'!$I:$I,"MDAW*"))</f>
        <v/>
      </c>
      <c r="H88" s="26">
        <f>IF(SUM(B88:G88)=0,"",SUM(B88:G88))</f>
        <v/>
      </c>
    </row>
    <row r="89" hidden="1" outlineLevel="1">
      <c r="A89" t="inlineStr">
        <is>
          <t>Week1-Feb-2027</t>
        </is>
      </c>
      <c r="B89" s="26">
        <f>IF(SUMIFS('NSE - NIFTY Index Options'!$M:$M,'NSE - NIFTY Index Options'!$C:$C,$A89,'NSE - NIFTY Index Options'!$B:$B,B$4,'NSE - NIFTY Index Options'!$I:$I,"Weekly*")+SUMIFS('NSE - NIFTY Index Options'!$M:$M,'NSE - NIFTY Index Options'!$C:$C,$A89,'NSE - NIFTY Index Options'!$B:$B,B$4,'NSE - NIFTY Index Options'!$I:$I,"MDAW*")+SUMIFS('NSE - Other Index Options'!$M:$M,'NSE - Other Index Options'!$C:$C,$A89,'NSE - Other Index Options'!$B:$B,B$4,'NSE - Other Index Options'!$I:$I,"Weekly*")+SUMIFS('NSE - Other Index Options'!$M:$M,'NSE - Other Index Options'!$C:$C,$A89,'NSE - Other Index Options'!$B:$B,B$4,'NSE - Other Index Options'!$I:$I,"MDAW*")=0,"",SUMIFS('NSE - NIFTY Index Options'!$M:$M,'NSE - NIFTY Index Options'!$C:$C,$A89,'NSE - NIFTY Index Options'!$B:$B,B$4,'NSE - NIFTY Index Options'!$I:$I,"Weekly*")+SUMIFS('NSE - NIFTY Index Options'!$M:$M,'NSE - NIFTY Index Options'!$C:$C,$A89,'NSE - NIFTY Index Options'!$B:$B,B$4,'NSE - NIFTY Index Options'!$I:$I,"MDAW*")+SUMIFS('NSE - Other Index Options'!$M:$M,'NSE - Other Index Options'!$C:$C,$A89,'NSE - Other Index Options'!$B:$B,B$4,'NSE - Other Index Options'!$I:$I,"Weekly*")+SUMIFS('NSE - Other Index Options'!$M:$M,'NSE - Other Index Options'!$C:$C,$A89,'NSE - Other Index Options'!$B:$B,B$4,'NSE - Other Index Options'!$I:$I,"MDAW*"))</f>
        <v/>
      </c>
      <c r="C89" s="26">
        <f>IF(SUMIFS('NSE - NIFTY Index Options'!$M:$M,'NSE - NIFTY Index Options'!$C:$C,$A89,'NSE - NIFTY Index Options'!$B:$B,C$4,'NSE - NIFTY Index Options'!$I:$I,"Weekly*")+SUMIFS('NSE - NIFTY Index Options'!$M:$M,'NSE - NIFTY Index Options'!$C:$C,$A89,'NSE - NIFTY Index Options'!$B:$B,C$4,'NSE - NIFTY Index Options'!$I:$I,"MDAW*")+SUMIFS('NSE - Other Index Options'!$M:$M,'NSE - Other Index Options'!$C:$C,$A89,'NSE - Other Index Options'!$B:$B,C$4,'NSE - Other Index Options'!$I:$I,"Weekly*")+SUMIFS('NSE - Other Index Options'!$M:$M,'NSE - Other Index Options'!$C:$C,$A89,'NSE - Other Index Options'!$B:$B,C$4,'NSE - Other Index Options'!$I:$I,"MDAW*")=0,"",SUMIFS('NSE - NIFTY Index Options'!$M:$M,'NSE - NIFTY Index Options'!$C:$C,$A89,'NSE - NIFTY Index Options'!$B:$B,C$4,'NSE - NIFTY Index Options'!$I:$I,"Weekly*")+SUMIFS('NSE - NIFTY Index Options'!$M:$M,'NSE - NIFTY Index Options'!$C:$C,$A89,'NSE - NIFTY Index Options'!$B:$B,C$4,'NSE - NIFTY Index Options'!$I:$I,"MDAW*")+SUMIFS('NSE - Other Index Options'!$M:$M,'NSE - Other Index Options'!$C:$C,$A89,'NSE - Other Index Options'!$B:$B,C$4,'NSE - Other Index Options'!$I:$I,"Weekly*")+SUMIFS('NSE - Other Index Options'!$M:$M,'NSE - Other Index Options'!$C:$C,$A89,'NSE - Other Index Options'!$B:$B,C$4,'NSE - Other Index Options'!$I:$I,"MDAW*"))</f>
        <v/>
      </c>
      <c r="D89" s="26">
        <f>IF(SUMIFS('NSE - NIFTY Index Options'!$M:$M,'NSE - NIFTY Index Options'!$C:$C,$A89,'NSE - NIFTY Index Options'!$B:$B,D$4,'NSE - NIFTY Index Options'!$I:$I,"Weekly*")+SUMIFS('NSE - NIFTY Index Options'!$M:$M,'NSE - NIFTY Index Options'!$C:$C,$A89,'NSE - NIFTY Index Options'!$B:$B,D$4,'NSE - NIFTY Index Options'!$I:$I,"MDAW*")+SUMIFS('NSE - Other Index Options'!$M:$M,'NSE - Other Index Options'!$C:$C,$A89,'NSE - Other Index Options'!$B:$B,D$4,'NSE - Other Index Options'!$I:$I,"Weekly*")+SUMIFS('NSE - Other Index Options'!$M:$M,'NSE - Other Index Options'!$C:$C,$A89,'NSE - Other Index Options'!$B:$B,D$4,'NSE - Other Index Options'!$I:$I,"MDAW*")=0,"",SUMIFS('NSE - NIFTY Index Options'!$M:$M,'NSE - NIFTY Index Options'!$C:$C,$A89,'NSE - NIFTY Index Options'!$B:$B,D$4,'NSE - NIFTY Index Options'!$I:$I,"Weekly*")+SUMIFS('NSE - NIFTY Index Options'!$M:$M,'NSE - NIFTY Index Options'!$C:$C,$A89,'NSE - NIFTY Index Options'!$B:$B,D$4,'NSE - NIFTY Index Options'!$I:$I,"MDAW*")+SUMIFS('NSE - Other Index Options'!$M:$M,'NSE - Other Index Options'!$C:$C,$A89,'NSE - Other Index Options'!$B:$B,D$4,'NSE - Other Index Options'!$I:$I,"Weekly*")+SUMIFS('NSE - Other Index Options'!$M:$M,'NSE - Other Index Options'!$C:$C,$A89,'NSE - Other Index Options'!$B:$B,D$4,'NSE - Other Index Options'!$I:$I,"MDAW*"))</f>
        <v/>
      </c>
      <c r="E89" s="26">
        <f>IF(SUMIFS('NSE - NIFTY Index Options'!$M:$M,'NSE - NIFTY Index Options'!$C:$C,$A89,'NSE - NIFTY Index Options'!$B:$B,E$4,'NSE - NIFTY Index Options'!$I:$I,"Weekly*")+SUMIFS('NSE - NIFTY Index Options'!$M:$M,'NSE - NIFTY Index Options'!$C:$C,$A89,'NSE - NIFTY Index Options'!$B:$B,E$4,'NSE - NIFTY Index Options'!$I:$I,"MDAW*")+SUMIFS('NSE - Other Index Options'!$M:$M,'NSE - Other Index Options'!$C:$C,$A89,'NSE - Other Index Options'!$B:$B,E$4,'NSE - Other Index Options'!$I:$I,"Weekly*")+SUMIFS('NSE - Other Index Options'!$M:$M,'NSE - Other Index Options'!$C:$C,$A89,'NSE - Other Index Options'!$B:$B,E$4,'NSE - Other Index Options'!$I:$I,"MDAW*")=0,"",SUMIFS('NSE - NIFTY Index Options'!$M:$M,'NSE - NIFTY Index Options'!$C:$C,$A89,'NSE - NIFTY Index Options'!$B:$B,E$4,'NSE - NIFTY Index Options'!$I:$I,"Weekly*")+SUMIFS('NSE - NIFTY Index Options'!$M:$M,'NSE - NIFTY Index Options'!$C:$C,$A89,'NSE - NIFTY Index Options'!$B:$B,E$4,'NSE - NIFTY Index Options'!$I:$I,"MDAW*")+SUMIFS('NSE - Other Index Options'!$M:$M,'NSE - Other Index Options'!$C:$C,$A89,'NSE - Other Index Options'!$B:$B,E$4,'NSE - Other Index Options'!$I:$I,"Weekly*")+SUMIFS('NSE - Other Index Options'!$M:$M,'NSE - Other Index Options'!$C:$C,$A89,'NSE - Other Index Options'!$B:$B,E$4,'NSE - Other Index Options'!$I:$I,"MDAW*"))</f>
        <v/>
      </c>
      <c r="F89" s="26">
        <f>IF(SUMIFS('NSE - NIFTY Index Options'!$M:$M,'NSE - NIFTY Index Options'!$C:$C,$A89,'NSE - NIFTY Index Options'!$B:$B,F$4,'NSE - NIFTY Index Options'!$I:$I,"Weekly*")+SUMIFS('NSE - NIFTY Index Options'!$M:$M,'NSE - NIFTY Index Options'!$C:$C,$A89,'NSE - NIFTY Index Options'!$B:$B,F$4,'NSE - NIFTY Index Options'!$I:$I,"MDAW*")+SUMIFS('NSE - Other Index Options'!$M:$M,'NSE - Other Index Options'!$C:$C,$A89,'NSE - Other Index Options'!$B:$B,F$4,'NSE - Other Index Options'!$I:$I,"Weekly*")+SUMIFS('NSE - Other Index Options'!$M:$M,'NSE - Other Index Options'!$C:$C,$A89,'NSE - Other Index Options'!$B:$B,F$4,'NSE - Other Index Options'!$I:$I,"MDAW*")=0,"",SUMIFS('NSE - NIFTY Index Options'!$M:$M,'NSE - NIFTY Index Options'!$C:$C,$A89,'NSE - NIFTY Index Options'!$B:$B,F$4,'NSE - NIFTY Index Options'!$I:$I,"Weekly*")+SUMIFS('NSE - NIFTY Index Options'!$M:$M,'NSE - NIFTY Index Options'!$C:$C,$A89,'NSE - NIFTY Index Options'!$B:$B,F$4,'NSE - NIFTY Index Options'!$I:$I,"MDAW*")+SUMIFS('NSE - Other Index Options'!$M:$M,'NSE - Other Index Options'!$C:$C,$A89,'NSE - Other Index Options'!$B:$B,F$4,'NSE - Other Index Options'!$I:$I,"Weekly*")+SUMIFS('NSE - Other Index Options'!$M:$M,'NSE - Other Index Options'!$C:$C,$A89,'NSE - Other Index Options'!$B:$B,F$4,'NSE - Other Index Options'!$I:$I,"MDAW*"))</f>
        <v/>
      </c>
      <c r="G89" s="26">
        <f>IF(SUMIFS('NSE - NIFTY Index Options'!$M:$M,'NSE - NIFTY Index Options'!$C:$C,$A89,'NSE - NIFTY Index Options'!$B:$B,G$4,'NSE - NIFTY Index Options'!$I:$I,"Weekly*")+SUMIFS('NSE - NIFTY Index Options'!$M:$M,'NSE - NIFTY Index Options'!$C:$C,$A89,'NSE - NIFTY Index Options'!$B:$B,G$4,'NSE - NIFTY Index Options'!$I:$I,"MDAW*")+SUMIFS('NSE - Other Index Options'!$M:$M,'NSE - Other Index Options'!$C:$C,$A89,'NSE - Other Index Options'!$B:$B,G$4,'NSE - Other Index Options'!$I:$I,"Weekly*")+SUMIFS('NSE - Other Index Options'!$M:$M,'NSE - Other Index Options'!$C:$C,$A89,'NSE - Other Index Options'!$B:$B,G$4,'NSE - Other Index Options'!$I:$I,"MDAW*")=0,"",SUMIFS('NSE - NIFTY Index Options'!$M:$M,'NSE - NIFTY Index Options'!$C:$C,$A89,'NSE - NIFTY Index Options'!$B:$B,G$4,'NSE - NIFTY Index Options'!$I:$I,"Weekly*")+SUMIFS('NSE - NIFTY Index Options'!$M:$M,'NSE - NIFTY Index Options'!$C:$C,$A89,'NSE - NIFTY Index Options'!$B:$B,G$4,'NSE - NIFTY Index Options'!$I:$I,"MDAW*")+SUMIFS('NSE - Other Index Options'!$M:$M,'NSE - Other Index Options'!$C:$C,$A89,'NSE - Other Index Options'!$B:$B,G$4,'NSE - Other Index Options'!$I:$I,"Weekly*")+SUMIFS('NSE - Other Index Options'!$M:$M,'NSE - Other Index Options'!$C:$C,$A89,'NSE - Other Index Options'!$B:$B,G$4,'NSE - Other Index Options'!$I:$I,"MDAW*"))</f>
        <v/>
      </c>
      <c r="H89" s="26">
        <f>IF(SUM(B89:G89)=0,"",SUM(B89:G89))</f>
        <v/>
      </c>
    </row>
    <row r="90" hidden="1" outlineLevel="1">
      <c r="A90" t="inlineStr">
        <is>
          <t>Week2-Feb-2027</t>
        </is>
      </c>
      <c r="B90" s="26">
        <f>IF(SUMIFS('NSE - NIFTY Index Options'!$M:$M,'NSE - NIFTY Index Options'!$C:$C,$A90,'NSE - NIFTY Index Options'!$B:$B,B$4,'NSE - NIFTY Index Options'!$I:$I,"Weekly*")+SUMIFS('NSE - NIFTY Index Options'!$M:$M,'NSE - NIFTY Index Options'!$C:$C,$A90,'NSE - NIFTY Index Options'!$B:$B,B$4,'NSE - NIFTY Index Options'!$I:$I,"MDAW*")+SUMIFS('NSE - Other Index Options'!$M:$M,'NSE - Other Index Options'!$C:$C,$A90,'NSE - Other Index Options'!$B:$B,B$4,'NSE - Other Index Options'!$I:$I,"Weekly*")+SUMIFS('NSE - Other Index Options'!$M:$M,'NSE - Other Index Options'!$C:$C,$A90,'NSE - Other Index Options'!$B:$B,B$4,'NSE - Other Index Options'!$I:$I,"MDAW*")=0,"",SUMIFS('NSE - NIFTY Index Options'!$M:$M,'NSE - NIFTY Index Options'!$C:$C,$A90,'NSE - NIFTY Index Options'!$B:$B,B$4,'NSE - NIFTY Index Options'!$I:$I,"Weekly*")+SUMIFS('NSE - NIFTY Index Options'!$M:$M,'NSE - NIFTY Index Options'!$C:$C,$A90,'NSE - NIFTY Index Options'!$B:$B,B$4,'NSE - NIFTY Index Options'!$I:$I,"MDAW*")+SUMIFS('NSE - Other Index Options'!$M:$M,'NSE - Other Index Options'!$C:$C,$A90,'NSE - Other Index Options'!$B:$B,B$4,'NSE - Other Index Options'!$I:$I,"Weekly*")+SUMIFS('NSE - Other Index Options'!$M:$M,'NSE - Other Index Options'!$C:$C,$A90,'NSE - Other Index Options'!$B:$B,B$4,'NSE - Other Index Options'!$I:$I,"MDAW*"))</f>
        <v/>
      </c>
      <c r="C90" s="26">
        <f>IF(SUMIFS('NSE - NIFTY Index Options'!$M:$M,'NSE - NIFTY Index Options'!$C:$C,$A90,'NSE - NIFTY Index Options'!$B:$B,C$4,'NSE - NIFTY Index Options'!$I:$I,"Weekly*")+SUMIFS('NSE - NIFTY Index Options'!$M:$M,'NSE - NIFTY Index Options'!$C:$C,$A90,'NSE - NIFTY Index Options'!$B:$B,C$4,'NSE - NIFTY Index Options'!$I:$I,"MDAW*")+SUMIFS('NSE - Other Index Options'!$M:$M,'NSE - Other Index Options'!$C:$C,$A90,'NSE - Other Index Options'!$B:$B,C$4,'NSE - Other Index Options'!$I:$I,"Weekly*")+SUMIFS('NSE - Other Index Options'!$M:$M,'NSE - Other Index Options'!$C:$C,$A90,'NSE - Other Index Options'!$B:$B,C$4,'NSE - Other Index Options'!$I:$I,"MDAW*")=0,"",SUMIFS('NSE - NIFTY Index Options'!$M:$M,'NSE - NIFTY Index Options'!$C:$C,$A90,'NSE - NIFTY Index Options'!$B:$B,C$4,'NSE - NIFTY Index Options'!$I:$I,"Weekly*")+SUMIFS('NSE - NIFTY Index Options'!$M:$M,'NSE - NIFTY Index Options'!$C:$C,$A90,'NSE - NIFTY Index Options'!$B:$B,C$4,'NSE - NIFTY Index Options'!$I:$I,"MDAW*")+SUMIFS('NSE - Other Index Options'!$M:$M,'NSE - Other Index Options'!$C:$C,$A90,'NSE - Other Index Options'!$B:$B,C$4,'NSE - Other Index Options'!$I:$I,"Weekly*")+SUMIFS('NSE - Other Index Options'!$M:$M,'NSE - Other Index Options'!$C:$C,$A90,'NSE - Other Index Options'!$B:$B,C$4,'NSE - Other Index Options'!$I:$I,"MDAW*"))</f>
        <v/>
      </c>
      <c r="D90" s="26">
        <f>IF(SUMIFS('NSE - NIFTY Index Options'!$M:$M,'NSE - NIFTY Index Options'!$C:$C,$A90,'NSE - NIFTY Index Options'!$B:$B,D$4,'NSE - NIFTY Index Options'!$I:$I,"Weekly*")+SUMIFS('NSE - NIFTY Index Options'!$M:$M,'NSE - NIFTY Index Options'!$C:$C,$A90,'NSE - NIFTY Index Options'!$B:$B,D$4,'NSE - NIFTY Index Options'!$I:$I,"MDAW*")+SUMIFS('NSE - Other Index Options'!$M:$M,'NSE - Other Index Options'!$C:$C,$A90,'NSE - Other Index Options'!$B:$B,D$4,'NSE - Other Index Options'!$I:$I,"Weekly*")+SUMIFS('NSE - Other Index Options'!$M:$M,'NSE - Other Index Options'!$C:$C,$A90,'NSE - Other Index Options'!$B:$B,D$4,'NSE - Other Index Options'!$I:$I,"MDAW*")=0,"",SUMIFS('NSE - NIFTY Index Options'!$M:$M,'NSE - NIFTY Index Options'!$C:$C,$A90,'NSE - NIFTY Index Options'!$B:$B,D$4,'NSE - NIFTY Index Options'!$I:$I,"Weekly*")+SUMIFS('NSE - NIFTY Index Options'!$M:$M,'NSE - NIFTY Index Options'!$C:$C,$A90,'NSE - NIFTY Index Options'!$B:$B,D$4,'NSE - NIFTY Index Options'!$I:$I,"MDAW*")+SUMIFS('NSE - Other Index Options'!$M:$M,'NSE - Other Index Options'!$C:$C,$A90,'NSE - Other Index Options'!$B:$B,D$4,'NSE - Other Index Options'!$I:$I,"Weekly*")+SUMIFS('NSE - Other Index Options'!$M:$M,'NSE - Other Index Options'!$C:$C,$A90,'NSE - Other Index Options'!$B:$B,D$4,'NSE - Other Index Options'!$I:$I,"MDAW*"))</f>
        <v/>
      </c>
      <c r="E90" s="26">
        <f>IF(SUMIFS('NSE - NIFTY Index Options'!$M:$M,'NSE - NIFTY Index Options'!$C:$C,$A90,'NSE - NIFTY Index Options'!$B:$B,E$4,'NSE - NIFTY Index Options'!$I:$I,"Weekly*")+SUMIFS('NSE - NIFTY Index Options'!$M:$M,'NSE - NIFTY Index Options'!$C:$C,$A90,'NSE - NIFTY Index Options'!$B:$B,E$4,'NSE - NIFTY Index Options'!$I:$I,"MDAW*")+SUMIFS('NSE - Other Index Options'!$M:$M,'NSE - Other Index Options'!$C:$C,$A90,'NSE - Other Index Options'!$B:$B,E$4,'NSE - Other Index Options'!$I:$I,"Weekly*")+SUMIFS('NSE - Other Index Options'!$M:$M,'NSE - Other Index Options'!$C:$C,$A90,'NSE - Other Index Options'!$B:$B,E$4,'NSE - Other Index Options'!$I:$I,"MDAW*")=0,"",SUMIFS('NSE - NIFTY Index Options'!$M:$M,'NSE - NIFTY Index Options'!$C:$C,$A90,'NSE - NIFTY Index Options'!$B:$B,E$4,'NSE - NIFTY Index Options'!$I:$I,"Weekly*")+SUMIFS('NSE - NIFTY Index Options'!$M:$M,'NSE - NIFTY Index Options'!$C:$C,$A90,'NSE - NIFTY Index Options'!$B:$B,E$4,'NSE - NIFTY Index Options'!$I:$I,"MDAW*")+SUMIFS('NSE - Other Index Options'!$M:$M,'NSE - Other Index Options'!$C:$C,$A90,'NSE - Other Index Options'!$B:$B,E$4,'NSE - Other Index Options'!$I:$I,"Weekly*")+SUMIFS('NSE - Other Index Options'!$M:$M,'NSE - Other Index Options'!$C:$C,$A90,'NSE - Other Index Options'!$B:$B,E$4,'NSE - Other Index Options'!$I:$I,"MDAW*"))</f>
        <v/>
      </c>
      <c r="F90" s="26">
        <f>IF(SUMIFS('NSE - NIFTY Index Options'!$M:$M,'NSE - NIFTY Index Options'!$C:$C,$A90,'NSE - NIFTY Index Options'!$B:$B,F$4,'NSE - NIFTY Index Options'!$I:$I,"Weekly*")+SUMIFS('NSE - NIFTY Index Options'!$M:$M,'NSE - NIFTY Index Options'!$C:$C,$A90,'NSE - NIFTY Index Options'!$B:$B,F$4,'NSE - NIFTY Index Options'!$I:$I,"MDAW*")+SUMIFS('NSE - Other Index Options'!$M:$M,'NSE - Other Index Options'!$C:$C,$A90,'NSE - Other Index Options'!$B:$B,F$4,'NSE - Other Index Options'!$I:$I,"Weekly*")+SUMIFS('NSE - Other Index Options'!$M:$M,'NSE - Other Index Options'!$C:$C,$A90,'NSE - Other Index Options'!$B:$B,F$4,'NSE - Other Index Options'!$I:$I,"MDAW*")=0,"",SUMIFS('NSE - NIFTY Index Options'!$M:$M,'NSE - NIFTY Index Options'!$C:$C,$A90,'NSE - NIFTY Index Options'!$B:$B,F$4,'NSE - NIFTY Index Options'!$I:$I,"Weekly*")+SUMIFS('NSE - NIFTY Index Options'!$M:$M,'NSE - NIFTY Index Options'!$C:$C,$A90,'NSE - NIFTY Index Options'!$B:$B,F$4,'NSE - NIFTY Index Options'!$I:$I,"MDAW*")+SUMIFS('NSE - Other Index Options'!$M:$M,'NSE - Other Index Options'!$C:$C,$A90,'NSE - Other Index Options'!$B:$B,F$4,'NSE - Other Index Options'!$I:$I,"Weekly*")+SUMIFS('NSE - Other Index Options'!$M:$M,'NSE - Other Index Options'!$C:$C,$A90,'NSE - Other Index Options'!$B:$B,F$4,'NSE - Other Index Options'!$I:$I,"MDAW*"))</f>
        <v/>
      </c>
      <c r="G90" s="26">
        <f>IF(SUMIFS('NSE - NIFTY Index Options'!$M:$M,'NSE - NIFTY Index Options'!$C:$C,$A90,'NSE - NIFTY Index Options'!$B:$B,G$4,'NSE - NIFTY Index Options'!$I:$I,"Weekly*")+SUMIFS('NSE - NIFTY Index Options'!$M:$M,'NSE - NIFTY Index Options'!$C:$C,$A90,'NSE - NIFTY Index Options'!$B:$B,G$4,'NSE - NIFTY Index Options'!$I:$I,"MDAW*")+SUMIFS('NSE - Other Index Options'!$M:$M,'NSE - Other Index Options'!$C:$C,$A90,'NSE - Other Index Options'!$B:$B,G$4,'NSE - Other Index Options'!$I:$I,"Weekly*")+SUMIFS('NSE - Other Index Options'!$M:$M,'NSE - Other Index Options'!$C:$C,$A90,'NSE - Other Index Options'!$B:$B,G$4,'NSE - Other Index Options'!$I:$I,"MDAW*")=0,"",SUMIFS('NSE - NIFTY Index Options'!$M:$M,'NSE - NIFTY Index Options'!$C:$C,$A90,'NSE - NIFTY Index Options'!$B:$B,G$4,'NSE - NIFTY Index Options'!$I:$I,"Weekly*")+SUMIFS('NSE - NIFTY Index Options'!$M:$M,'NSE - NIFTY Index Options'!$C:$C,$A90,'NSE - NIFTY Index Options'!$B:$B,G$4,'NSE - NIFTY Index Options'!$I:$I,"MDAW*")+SUMIFS('NSE - Other Index Options'!$M:$M,'NSE - Other Index Options'!$C:$C,$A90,'NSE - Other Index Options'!$B:$B,G$4,'NSE - Other Index Options'!$I:$I,"Weekly*")+SUMIFS('NSE - Other Index Options'!$M:$M,'NSE - Other Index Options'!$C:$C,$A90,'NSE - Other Index Options'!$B:$B,G$4,'NSE - Other Index Options'!$I:$I,"MDAW*"))</f>
        <v/>
      </c>
      <c r="H90" s="26">
        <f>IF(SUM(B90:G90)=0,"",SUM(B90:G90))</f>
        <v/>
      </c>
    </row>
    <row r="91" hidden="1" outlineLevel="1">
      <c r="A91" t="inlineStr">
        <is>
          <t>Week3-Feb-2027</t>
        </is>
      </c>
      <c r="B91" s="26">
        <f>IF(SUMIFS('NSE - NIFTY Index Options'!$M:$M,'NSE - NIFTY Index Options'!$C:$C,$A91,'NSE - NIFTY Index Options'!$B:$B,B$4,'NSE - NIFTY Index Options'!$I:$I,"Weekly*")+SUMIFS('NSE - NIFTY Index Options'!$M:$M,'NSE - NIFTY Index Options'!$C:$C,$A91,'NSE - NIFTY Index Options'!$B:$B,B$4,'NSE - NIFTY Index Options'!$I:$I,"MDAW*")+SUMIFS('NSE - Other Index Options'!$M:$M,'NSE - Other Index Options'!$C:$C,$A91,'NSE - Other Index Options'!$B:$B,B$4,'NSE - Other Index Options'!$I:$I,"Weekly*")+SUMIFS('NSE - Other Index Options'!$M:$M,'NSE - Other Index Options'!$C:$C,$A91,'NSE - Other Index Options'!$B:$B,B$4,'NSE - Other Index Options'!$I:$I,"MDAW*")=0,"",SUMIFS('NSE - NIFTY Index Options'!$M:$M,'NSE - NIFTY Index Options'!$C:$C,$A91,'NSE - NIFTY Index Options'!$B:$B,B$4,'NSE - NIFTY Index Options'!$I:$I,"Weekly*")+SUMIFS('NSE - NIFTY Index Options'!$M:$M,'NSE - NIFTY Index Options'!$C:$C,$A91,'NSE - NIFTY Index Options'!$B:$B,B$4,'NSE - NIFTY Index Options'!$I:$I,"MDAW*")+SUMIFS('NSE - Other Index Options'!$M:$M,'NSE - Other Index Options'!$C:$C,$A91,'NSE - Other Index Options'!$B:$B,B$4,'NSE - Other Index Options'!$I:$I,"Weekly*")+SUMIFS('NSE - Other Index Options'!$M:$M,'NSE - Other Index Options'!$C:$C,$A91,'NSE - Other Index Options'!$B:$B,B$4,'NSE - Other Index Options'!$I:$I,"MDAW*"))</f>
        <v/>
      </c>
      <c r="C91" s="26">
        <f>IF(SUMIFS('NSE - NIFTY Index Options'!$M:$M,'NSE - NIFTY Index Options'!$C:$C,$A91,'NSE - NIFTY Index Options'!$B:$B,C$4,'NSE - NIFTY Index Options'!$I:$I,"Weekly*")+SUMIFS('NSE - NIFTY Index Options'!$M:$M,'NSE - NIFTY Index Options'!$C:$C,$A91,'NSE - NIFTY Index Options'!$B:$B,C$4,'NSE - NIFTY Index Options'!$I:$I,"MDAW*")+SUMIFS('NSE - Other Index Options'!$M:$M,'NSE - Other Index Options'!$C:$C,$A91,'NSE - Other Index Options'!$B:$B,C$4,'NSE - Other Index Options'!$I:$I,"Weekly*")+SUMIFS('NSE - Other Index Options'!$M:$M,'NSE - Other Index Options'!$C:$C,$A91,'NSE - Other Index Options'!$B:$B,C$4,'NSE - Other Index Options'!$I:$I,"MDAW*")=0,"",SUMIFS('NSE - NIFTY Index Options'!$M:$M,'NSE - NIFTY Index Options'!$C:$C,$A91,'NSE - NIFTY Index Options'!$B:$B,C$4,'NSE - NIFTY Index Options'!$I:$I,"Weekly*")+SUMIFS('NSE - NIFTY Index Options'!$M:$M,'NSE - NIFTY Index Options'!$C:$C,$A91,'NSE - NIFTY Index Options'!$B:$B,C$4,'NSE - NIFTY Index Options'!$I:$I,"MDAW*")+SUMIFS('NSE - Other Index Options'!$M:$M,'NSE - Other Index Options'!$C:$C,$A91,'NSE - Other Index Options'!$B:$B,C$4,'NSE - Other Index Options'!$I:$I,"Weekly*")+SUMIFS('NSE - Other Index Options'!$M:$M,'NSE - Other Index Options'!$C:$C,$A91,'NSE - Other Index Options'!$B:$B,C$4,'NSE - Other Index Options'!$I:$I,"MDAW*"))</f>
        <v/>
      </c>
      <c r="D91" s="26">
        <f>IF(SUMIFS('NSE - NIFTY Index Options'!$M:$M,'NSE - NIFTY Index Options'!$C:$C,$A91,'NSE - NIFTY Index Options'!$B:$B,D$4,'NSE - NIFTY Index Options'!$I:$I,"Weekly*")+SUMIFS('NSE - NIFTY Index Options'!$M:$M,'NSE - NIFTY Index Options'!$C:$C,$A91,'NSE - NIFTY Index Options'!$B:$B,D$4,'NSE - NIFTY Index Options'!$I:$I,"MDAW*")+SUMIFS('NSE - Other Index Options'!$M:$M,'NSE - Other Index Options'!$C:$C,$A91,'NSE - Other Index Options'!$B:$B,D$4,'NSE - Other Index Options'!$I:$I,"Weekly*")+SUMIFS('NSE - Other Index Options'!$M:$M,'NSE - Other Index Options'!$C:$C,$A91,'NSE - Other Index Options'!$B:$B,D$4,'NSE - Other Index Options'!$I:$I,"MDAW*")=0,"",SUMIFS('NSE - NIFTY Index Options'!$M:$M,'NSE - NIFTY Index Options'!$C:$C,$A91,'NSE - NIFTY Index Options'!$B:$B,D$4,'NSE - NIFTY Index Options'!$I:$I,"Weekly*")+SUMIFS('NSE - NIFTY Index Options'!$M:$M,'NSE - NIFTY Index Options'!$C:$C,$A91,'NSE - NIFTY Index Options'!$B:$B,D$4,'NSE - NIFTY Index Options'!$I:$I,"MDAW*")+SUMIFS('NSE - Other Index Options'!$M:$M,'NSE - Other Index Options'!$C:$C,$A91,'NSE - Other Index Options'!$B:$B,D$4,'NSE - Other Index Options'!$I:$I,"Weekly*")+SUMIFS('NSE - Other Index Options'!$M:$M,'NSE - Other Index Options'!$C:$C,$A91,'NSE - Other Index Options'!$B:$B,D$4,'NSE - Other Index Options'!$I:$I,"MDAW*"))</f>
        <v/>
      </c>
      <c r="E91" s="26">
        <f>IF(SUMIFS('NSE - NIFTY Index Options'!$M:$M,'NSE - NIFTY Index Options'!$C:$C,$A91,'NSE - NIFTY Index Options'!$B:$B,E$4,'NSE - NIFTY Index Options'!$I:$I,"Weekly*")+SUMIFS('NSE - NIFTY Index Options'!$M:$M,'NSE - NIFTY Index Options'!$C:$C,$A91,'NSE - NIFTY Index Options'!$B:$B,E$4,'NSE - NIFTY Index Options'!$I:$I,"MDAW*")+SUMIFS('NSE - Other Index Options'!$M:$M,'NSE - Other Index Options'!$C:$C,$A91,'NSE - Other Index Options'!$B:$B,E$4,'NSE - Other Index Options'!$I:$I,"Weekly*")+SUMIFS('NSE - Other Index Options'!$M:$M,'NSE - Other Index Options'!$C:$C,$A91,'NSE - Other Index Options'!$B:$B,E$4,'NSE - Other Index Options'!$I:$I,"MDAW*")=0,"",SUMIFS('NSE - NIFTY Index Options'!$M:$M,'NSE - NIFTY Index Options'!$C:$C,$A91,'NSE - NIFTY Index Options'!$B:$B,E$4,'NSE - NIFTY Index Options'!$I:$I,"Weekly*")+SUMIFS('NSE - NIFTY Index Options'!$M:$M,'NSE - NIFTY Index Options'!$C:$C,$A91,'NSE - NIFTY Index Options'!$B:$B,E$4,'NSE - NIFTY Index Options'!$I:$I,"MDAW*")+SUMIFS('NSE - Other Index Options'!$M:$M,'NSE - Other Index Options'!$C:$C,$A91,'NSE - Other Index Options'!$B:$B,E$4,'NSE - Other Index Options'!$I:$I,"Weekly*")+SUMIFS('NSE - Other Index Options'!$M:$M,'NSE - Other Index Options'!$C:$C,$A91,'NSE - Other Index Options'!$B:$B,E$4,'NSE - Other Index Options'!$I:$I,"MDAW*"))</f>
        <v/>
      </c>
      <c r="F91" s="26">
        <f>IF(SUMIFS('NSE - NIFTY Index Options'!$M:$M,'NSE - NIFTY Index Options'!$C:$C,$A91,'NSE - NIFTY Index Options'!$B:$B,F$4,'NSE - NIFTY Index Options'!$I:$I,"Weekly*")+SUMIFS('NSE - NIFTY Index Options'!$M:$M,'NSE - NIFTY Index Options'!$C:$C,$A91,'NSE - NIFTY Index Options'!$B:$B,F$4,'NSE - NIFTY Index Options'!$I:$I,"MDAW*")+SUMIFS('NSE - Other Index Options'!$M:$M,'NSE - Other Index Options'!$C:$C,$A91,'NSE - Other Index Options'!$B:$B,F$4,'NSE - Other Index Options'!$I:$I,"Weekly*")+SUMIFS('NSE - Other Index Options'!$M:$M,'NSE - Other Index Options'!$C:$C,$A91,'NSE - Other Index Options'!$B:$B,F$4,'NSE - Other Index Options'!$I:$I,"MDAW*")=0,"",SUMIFS('NSE - NIFTY Index Options'!$M:$M,'NSE - NIFTY Index Options'!$C:$C,$A91,'NSE - NIFTY Index Options'!$B:$B,F$4,'NSE - NIFTY Index Options'!$I:$I,"Weekly*")+SUMIFS('NSE - NIFTY Index Options'!$M:$M,'NSE - NIFTY Index Options'!$C:$C,$A91,'NSE - NIFTY Index Options'!$B:$B,F$4,'NSE - NIFTY Index Options'!$I:$I,"MDAW*")+SUMIFS('NSE - Other Index Options'!$M:$M,'NSE - Other Index Options'!$C:$C,$A91,'NSE - Other Index Options'!$B:$B,F$4,'NSE - Other Index Options'!$I:$I,"Weekly*")+SUMIFS('NSE - Other Index Options'!$M:$M,'NSE - Other Index Options'!$C:$C,$A91,'NSE - Other Index Options'!$B:$B,F$4,'NSE - Other Index Options'!$I:$I,"MDAW*"))</f>
        <v/>
      </c>
      <c r="G91" s="26">
        <f>IF(SUMIFS('NSE - NIFTY Index Options'!$M:$M,'NSE - NIFTY Index Options'!$C:$C,$A91,'NSE - NIFTY Index Options'!$B:$B,G$4,'NSE - NIFTY Index Options'!$I:$I,"Weekly*")+SUMIFS('NSE - NIFTY Index Options'!$M:$M,'NSE - NIFTY Index Options'!$C:$C,$A91,'NSE - NIFTY Index Options'!$B:$B,G$4,'NSE - NIFTY Index Options'!$I:$I,"MDAW*")+SUMIFS('NSE - Other Index Options'!$M:$M,'NSE - Other Index Options'!$C:$C,$A91,'NSE - Other Index Options'!$B:$B,G$4,'NSE - Other Index Options'!$I:$I,"Weekly*")+SUMIFS('NSE - Other Index Options'!$M:$M,'NSE - Other Index Options'!$C:$C,$A91,'NSE - Other Index Options'!$B:$B,G$4,'NSE - Other Index Options'!$I:$I,"MDAW*")=0,"",SUMIFS('NSE - NIFTY Index Options'!$M:$M,'NSE - NIFTY Index Options'!$C:$C,$A91,'NSE - NIFTY Index Options'!$B:$B,G$4,'NSE - NIFTY Index Options'!$I:$I,"Weekly*")+SUMIFS('NSE - NIFTY Index Options'!$M:$M,'NSE - NIFTY Index Options'!$C:$C,$A91,'NSE - NIFTY Index Options'!$B:$B,G$4,'NSE - NIFTY Index Options'!$I:$I,"MDAW*")+SUMIFS('NSE - Other Index Options'!$M:$M,'NSE - Other Index Options'!$C:$C,$A91,'NSE - Other Index Options'!$B:$B,G$4,'NSE - Other Index Options'!$I:$I,"Weekly*")+SUMIFS('NSE - Other Index Options'!$M:$M,'NSE - Other Index Options'!$C:$C,$A91,'NSE - Other Index Options'!$B:$B,G$4,'NSE - Other Index Options'!$I:$I,"MDAW*"))</f>
        <v/>
      </c>
      <c r="H91" s="26">
        <f>IF(SUM(B91:G91)=0,"",SUM(B91:G91))</f>
        <v/>
      </c>
    </row>
    <row r="92" hidden="1" outlineLevel="1">
      <c r="A92" t="inlineStr">
        <is>
          <t>Week4-Feb-2027</t>
        </is>
      </c>
      <c r="B92" s="26">
        <f>IF(SUMIFS('NSE - NIFTY Index Options'!$M:$M,'NSE - NIFTY Index Options'!$C:$C,$A92,'NSE - NIFTY Index Options'!$B:$B,B$4,'NSE - NIFTY Index Options'!$I:$I,"Weekly*")+SUMIFS('NSE - NIFTY Index Options'!$M:$M,'NSE - NIFTY Index Options'!$C:$C,$A92,'NSE - NIFTY Index Options'!$B:$B,B$4,'NSE - NIFTY Index Options'!$I:$I,"MDAW*")+SUMIFS('NSE - Other Index Options'!$M:$M,'NSE - Other Index Options'!$C:$C,$A92,'NSE - Other Index Options'!$B:$B,B$4,'NSE - Other Index Options'!$I:$I,"Weekly*")+SUMIFS('NSE - Other Index Options'!$M:$M,'NSE - Other Index Options'!$C:$C,$A92,'NSE - Other Index Options'!$B:$B,B$4,'NSE - Other Index Options'!$I:$I,"MDAW*")=0,"",SUMIFS('NSE - NIFTY Index Options'!$M:$M,'NSE - NIFTY Index Options'!$C:$C,$A92,'NSE - NIFTY Index Options'!$B:$B,B$4,'NSE - NIFTY Index Options'!$I:$I,"Weekly*")+SUMIFS('NSE - NIFTY Index Options'!$M:$M,'NSE - NIFTY Index Options'!$C:$C,$A92,'NSE - NIFTY Index Options'!$B:$B,B$4,'NSE - NIFTY Index Options'!$I:$I,"MDAW*")+SUMIFS('NSE - Other Index Options'!$M:$M,'NSE - Other Index Options'!$C:$C,$A92,'NSE - Other Index Options'!$B:$B,B$4,'NSE - Other Index Options'!$I:$I,"Weekly*")+SUMIFS('NSE - Other Index Options'!$M:$M,'NSE - Other Index Options'!$C:$C,$A92,'NSE - Other Index Options'!$B:$B,B$4,'NSE - Other Index Options'!$I:$I,"MDAW*"))</f>
        <v/>
      </c>
      <c r="C92" s="26">
        <f>IF(SUMIFS('NSE - NIFTY Index Options'!$M:$M,'NSE - NIFTY Index Options'!$C:$C,$A92,'NSE - NIFTY Index Options'!$B:$B,C$4,'NSE - NIFTY Index Options'!$I:$I,"Weekly*")+SUMIFS('NSE - NIFTY Index Options'!$M:$M,'NSE - NIFTY Index Options'!$C:$C,$A92,'NSE - NIFTY Index Options'!$B:$B,C$4,'NSE - NIFTY Index Options'!$I:$I,"MDAW*")+SUMIFS('NSE - Other Index Options'!$M:$M,'NSE - Other Index Options'!$C:$C,$A92,'NSE - Other Index Options'!$B:$B,C$4,'NSE - Other Index Options'!$I:$I,"Weekly*")+SUMIFS('NSE - Other Index Options'!$M:$M,'NSE - Other Index Options'!$C:$C,$A92,'NSE - Other Index Options'!$B:$B,C$4,'NSE - Other Index Options'!$I:$I,"MDAW*")=0,"",SUMIFS('NSE - NIFTY Index Options'!$M:$M,'NSE - NIFTY Index Options'!$C:$C,$A92,'NSE - NIFTY Index Options'!$B:$B,C$4,'NSE - NIFTY Index Options'!$I:$I,"Weekly*")+SUMIFS('NSE - NIFTY Index Options'!$M:$M,'NSE - NIFTY Index Options'!$C:$C,$A92,'NSE - NIFTY Index Options'!$B:$B,C$4,'NSE - NIFTY Index Options'!$I:$I,"MDAW*")+SUMIFS('NSE - Other Index Options'!$M:$M,'NSE - Other Index Options'!$C:$C,$A92,'NSE - Other Index Options'!$B:$B,C$4,'NSE - Other Index Options'!$I:$I,"Weekly*")+SUMIFS('NSE - Other Index Options'!$M:$M,'NSE - Other Index Options'!$C:$C,$A92,'NSE - Other Index Options'!$B:$B,C$4,'NSE - Other Index Options'!$I:$I,"MDAW*"))</f>
        <v/>
      </c>
      <c r="D92" s="26">
        <f>IF(SUMIFS('NSE - NIFTY Index Options'!$M:$M,'NSE - NIFTY Index Options'!$C:$C,$A92,'NSE - NIFTY Index Options'!$B:$B,D$4,'NSE - NIFTY Index Options'!$I:$I,"Weekly*")+SUMIFS('NSE - NIFTY Index Options'!$M:$M,'NSE - NIFTY Index Options'!$C:$C,$A92,'NSE - NIFTY Index Options'!$B:$B,D$4,'NSE - NIFTY Index Options'!$I:$I,"MDAW*")+SUMIFS('NSE - Other Index Options'!$M:$M,'NSE - Other Index Options'!$C:$C,$A92,'NSE - Other Index Options'!$B:$B,D$4,'NSE - Other Index Options'!$I:$I,"Weekly*")+SUMIFS('NSE - Other Index Options'!$M:$M,'NSE - Other Index Options'!$C:$C,$A92,'NSE - Other Index Options'!$B:$B,D$4,'NSE - Other Index Options'!$I:$I,"MDAW*")=0,"",SUMIFS('NSE - NIFTY Index Options'!$M:$M,'NSE - NIFTY Index Options'!$C:$C,$A92,'NSE - NIFTY Index Options'!$B:$B,D$4,'NSE - NIFTY Index Options'!$I:$I,"Weekly*")+SUMIFS('NSE - NIFTY Index Options'!$M:$M,'NSE - NIFTY Index Options'!$C:$C,$A92,'NSE - NIFTY Index Options'!$B:$B,D$4,'NSE - NIFTY Index Options'!$I:$I,"MDAW*")+SUMIFS('NSE - Other Index Options'!$M:$M,'NSE - Other Index Options'!$C:$C,$A92,'NSE - Other Index Options'!$B:$B,D$4,'NSE - Other Index Options'!$I:$I,"Weekly*")+SUMIFS('NSE - Other Index Options'!$M:$M,'NSE - Other Index Options'!$C:$C,$A92,'NSE - Other Index Options'!$B:$B,D$4,'NSE - Other Index Options'!$I:$I,"MDAW*"))</f>
        <v/>
      </c>
      <c r="E92" s="26">
        <f>IF(SUMIFS('NSE - NIFTY Index Options'!$M:$M,'NSE - NIFTY Index Options'!$C:$C,$A92,'NSE - NIFTY Index Options'!$B:$B,E$4,'NSE - NIFTY Index Options'!$I:$I,"Weekly*")+SUMIFS('NSE - NIFTY Index Options'!$M:$M,'NSE - NIFTY Index Options'!$C:$C,$A92,'NSE - NIFTY Index Options'!$B:$B,E$4,'NSE - NIFTY Index Options'!$I:$I,"MDAW*")+SUMIFS('NSE - Other Index Options'!$M:$M,'NSE - Other Index Options'!$C:$C,$A92,'NSE - Other Index Options'!$B:$B,E$4,'NSE - Other Index Options'!$I:$I,"Weekly*")+SUMIFS('NSE - Other Index Options'!$M:$M,'NSE - Other Index Options'!$C:$C,$A92,'NSE - Other Index Options'!$B:$B,E$4,'NSE - Other Index Options'!$I:$I,"MDAW*")=0,"",SUMIFS('NSE - NIFTY Index Options'!$M:$M,'NSE - NIFTY Index Options'!$C:$C,$A92,'NSE - NIFTY Index Options'!$B:$B,E$4,'NSE - NIFTY Index Options'!$I:$I,"Weekly*")+SUMIFS('NSE - NIFTY Index Options'!$M:$M,'NSE - NIFTY Index Options'!$C:$C,$A92,'NSE - NIFTY Index Options'!$B:$B,E$4,'NSE - NIFTY Index Options'!$I:$I,"MDAW*")+SUMIFS('NSE - Other Index Options'!$M:$M,'NSE - Other Index Options'!$C:$C,$A92,'NSE - Other Index Options'!$B:$B,E$4,'NSE - Other Index Options'!$I:$I,"Weekly*")+SUMIFS('NSE - Other Index Options'!$M:$M,'NSE - Other Index Options'!$C:$C,$A92,'NSE - Other Index Options'!$B:$B,E$4,'NSE - Other Index Options'!$I:$I,"MDAW*"))</f>
        <v/>
      </c>
      <c r="F92" s="26">
        <f>IF(SUMIFS('NSE - NIFTY Index Options'!$M:$M,'NSE - NIFTY Index Options'!$C:$C,$A92,'NSE - NIFTY Index Options'!$B:$B,F$4,'NSE - NIFTY Index Options'!$I:$I,"Weekly*")+SUMIFS('NSE - NIFTY Index Options'!$M:$M,'NSE - NIFTY Index Options'!$C:$C,$A92,'NSE - NIFTY Index Options'!$B:$B,F$4,'NSE - NIFTY Index Options'!$I:$I,"MDAW*")+SUMIFS('NSE - Other Index Options'!$M:$M,'NSE - Other Index Options'!$C:$C,$A92,'NSE - Other Index Options'!$B:$B,F$4,'NSE - Other Index Options'!$I:$I,"Weekly*")+SUMIFS('NSE - Other Index Options'!$M:$M,'NSE - Other Index Options'!$C:$C,$A92,'NSE - Other Index Options'!$B:$B,F$4,'NSE - Other Index Options'!$I:$I,"MDAW*")=0,"",SUMIFS('NSE - NIFTY Index Options'!$M:$M,'NSE - NIFTY Index Options'!$C:$C,$A92,'NSE - NIFTY Index Options'!$B:$B,F$4,'NSE - NIFTY Index Options'!$I:$I,"Weekly*")+SUMIFS('NSE - NIFTY Index Options'!$M:$M,'NSE - NIFTY Index Options'!$C:$C,$A92,'NSE - NIFTY Index Options'!$B:$B,F$4,'NSE - NIFTY Index Options'!$I:$I,"MDAW*")+SUMIFS('NSE - Other Index Options'!$M:$M,'NSE - Other Index Options'!$C:$C,$A92,'NSE - Other Index Options'!$B:$B,F$4,'NSE - Other Index Options'!$I:$I,"Weekly*")+SUMIFS('NSE - Other Index Options'!$M:$M,'NSE - Other Index Options'!$C:$C,$A92,'NSE - Other Index Options'!$B:$B,F$4,'NSE - Other Index Options'!$I:$I,"MDAW*"))</f>
        <v/>
      </c>
      <c r="G92" s="26">
        <f>IF(SUMIFS('NSE - NIFTY Index Options'!$M:$M,'NSE - NIFTY Index Options'!$C:$C,$A92,'NSE - NIFTY Index Options'!$B:$B,G$4,'NSE - NIFTY Index Options'!$I:$I,"Weekly*")+SUMIFS('NSE - NIFTY Index Options'!$M:$M,'NSE - NIFTY Index Options'!$C:$C,$A92,'NSE - NIFTY Index Options'!$B:$B,G$4,'NSE - NIFTY Index Options'!$I:$I,"MDAW*")+SUMIFS('NSE - Other Index Options'!$M:$M,'NSE - Other Index Options'!$C:$C,$A92,'NSE - Other Index Options'!$B:$B,G$4,'NSE - Other Index Options'!$I:$I,"Weekly*")+SUMIFS('NSE - Other Index Options'!$M:$M,'NSE - Other Index Options'!$C:$C,$A92,'NSE - Other Index Options'!$B:$B,G$4,'NSE - Other Index Options'!$I:$I,"MDAW*")=0,"",SUMIFS('NSE - NIFTY Index Options'!$M:$M,'NSE - NIFTY Index Options'!$C:$C,$A92,'NSE - NIFTY Index Options'!$B:$B,G$4,'NSE - NIFTY Index Options'!$I:$I,"Weekly*")+SUMIFS('NSE - NIFTY Index Options'!$M:$M,'NSE - NIFTY Index Options'!$C:$C,$A92,'NSE - NIFTY Index Options'!$B:$B,G$4,'NSE - NIFTY Index Options'!$I:$I,"MDAW*")+SUMIFS('NSE - Other Index Options'!$M:$M,'NSE - Other Index Options'!$C:$C,$A92,'NSE - Other Index Options'!$B:$B,G$4,'NSE - Other Index Options'!$I:$I,"Weekly*")+SUMIFS('NSE - Other Index Options'!$M:$M,'NSE - Other Index Options'!$C:$C,$A92,'NSE - Other Index Options'!$B:$B,G$4,'NSE - Other Index Options'!$I:$I,"MDAW*"))</f>
        <v/>
      </c>
      <c r="H92" s="26">
        <f>IF(SUM(B92:G92)=0,"",SUM(B92:G92))</f>
        <v/>
      </c>
    </row>
    <row r="93" hidden="1" outlineLevel="1">
      <c r="A93" t="inlineStr">
        <is>
          <t>Week1-Mar-2027</t>
        </is>
      </c>
      <c r="B93" s="26">
        <f>IF(SUMIFS('NSE - NIFTY Index Options'!$M:$M,'NSE - NIFTY Index Options'!$C:$C,$A93,'NSE - NIFTY Index Options'!$B:$B,B$4,'NSE - NIFTY Index Options'!$I:$I,"Weekly*")+SUMIFS('NSE - NIFTY Index Options'!$M:$M,'NSE - NIFTY Index Options'!$C:$C,$A93,'NSE - NIFTY Index Options'!$B:$B,B$4,'NSE - NIFTY Index Options'!$I:$I,"MDAW*")+SUMIFS('NSE - Other Index Options'!$M:$M,'NSE - Other Index Options'!$C:$C,$A93,'NSE - Other Index Options'!$B:$B,B$4,'NSE - Other Index Options'!$I:$I,"Weekly*")+SUMIFS('NSE - Other Index Options'!$M:$M,'NSE - Other Index Options'!$C:$C,$A93,'NSE - Other Index Options'!$B:$B,B$4,'NSE - Other Index Options'!$I:$I,"MDAW*")=0,"",SUMIFS('NSE - NIFTY Index Options'!$M:$M,'NSE - NIFTY Index Options'!$C:$C,$A93,'NSE - NIFTY Index Options'!$B:$B,B$4,'NSE - NIFTY Index Options'!$I:$I,"Weekly*")+SUMIFS('NSE - NIFTY Index Options'!$M:$M,'NSE - NIFTY Index Options'!$C:$C,$A93,'NSE - NIFTY Index Options'!$B:$B,B$4,'NSE - NIFTY Index Options'!$I:$I,"MDAW*")+SUMIFS('NSE - Other Index Options'!$M:$M,'NSE - Other Index Options'!$C:$C,$A93,'NSE - Other Index Options'!$B:$B,B$4,'NSE - Other Index Options'!$I:$I,"Weekly*")+SUMIFS('NSE - Other Index Options'!$M:$M,'NSE - Other Index Options'!$C:$C,$A93,'NSE - Other Index Options'!$B:$B,B$4,'NSE - Other Index Options'!$I:$I,"MDAW*"))</f>
        <v/>
      </c>
      <c r="C93" s="26">
        <f>IF(SUMIFS('NSE - NIFTY Index Options'!$M:$M,'NSE - NIFTY Index Options'!$C:$C,$A93,'NSE - NIFTY Index Options'!$B:$B,C$4,'NSE - NIFTY Index Options'!$I:$I,"Weekly*")+SUMIFS('NSE - NIFTY Index Options'!$M:$M,'NSE - NIFTY Index Options'!$C:$C,$A93,'NSE - NIFTY Index Options'!$B:$B,C$4,'NSE - NIFTY Index Options'!$I:$I,"MDAW*")+SUMIFS('NSE - Other Index Options'!$M:$M,'NSE - Other Index Options'!$C:$C,$A93,'NSE - Other Index Options'!$B:$B,C$4,'NSE - Other Index Options'!$I:$I,"Weekly*")+SUMIFS('NSE - Other Index Options'!$M:$M,'NSE - Other Index Options'!$C:$C,$A93,'NSE - Other Index Options'!$B:$B,C$4,'NSE - Other Index Options'!$I:$I,"MDAW*")=0,"",SUMIFS('NSE - NIFTY Index Options'!$M:$M,'NSE - NIFTY Index Options'!$C:$C,$A93,'NSE - NIFTY Index Options'!$B:$B,C$4,'NSE - NIFTY Index Options'!$I:$I,"Weekly*")+SUMIFS('NSE - NIFTY Index Options'!$M:$M,'NSE - NIFTY Index Options'!$C:$C,$A93,'NSE - NIFTY Index Options'!$B:$B,C$4,'NSE - NIFTY Index Options'!$I:$I,"MDAW*")+SUMIFS('NSE - Other Index Options'!$M:$M,'NSE - Other Index Options'!$C:$C,$A93,'NSE - Other Index Options'!$B:$B,C$4,'NSE - Other Index Options'!$I:$I,"Weekly*")+SUMIFS('NSE - Other Index Options'!$M:$M,'NSE - Other Index Options'!$C:$C,$A93,'NSE - Other Index Options'!$B:$B,C$4,'NSE - Other Index Options'!$I:$I,"MDAW*"))</f>
        <v/>
      </c>
      <c r="D93" s="26">
        <f>IF(SUMIFS('NSE - NIFTY Index Options'!$M:$M,'NSE - NIFTY Index Options'!$C:$C,$A93,'NSE - NIFTY Index Options'!$B:$B,D$4,'NSE - NIFTY Index Options'!$I:$I,"Weekly*")+SUMIFS('NSE - NIFTY Index Options'!$M:$M,'NSE - NIFTY Index Options'!$C:$C,$A93,'NSE - NIFTY Index Options'!$B:$B,D$4,'NSE - NIFTY Index Options'!$I:$I,"MDAW*")+SUMIFS('NSE - Other Index Options'!$M:$M,'NSE - Other Index Options'!$C:$C,$A93,'NSE - Other Index Options'!$B:$B,D$4,'NSE - Other Index Options'!$I:$I,"Weekly*")+SUMIFS('NSE - Other Index Options'!$M:$M,'NSE - Other Index Options'!$C:$C,$A93,'NSE - Other Index Options'!$B:$B,D$4,'NSE - Other Index Options'!$I:$I,"MDAW*")=0,"",SUMIFS('NSE - NIFTY Index Options'!$M:$M,'NSE - NIFTY Index Options'!$C:$C,$A93,'NSE - NIFTY Index Options'!$B:$B,D$4,'NSE - NIFTY Index Options'!$I:$I,"Weekly*")+SUMIFS('NSE - NIFTY Index Options'!$M:$M,'NSE - NIFTY Index Options'!$C:$C,$A93,'NSE - NIFTY Index Options'!$B:$B,D$4,'NSE - NIFTY Index Options'!$I:$I,"MDAW*")+SUMIFS('NSE - Other Index Options'!$M:$M,'NSE - Other Index Options'!$C:$C,$A93,'NSE - Other Index Options'!$B:$B,D$4,'NSE - Other Index Options'!$I:$I,"Weekly*")+SUMIFS('NSE - Other Index Options'!$M:$M,'NSE - Other Index Options'!$C:$C,$A93,'NSE - Other Index Options'!$B:$B,D$4,'NSE - Other Index Options'!$I:$I,"MDAW*"))</f>
        <v/>
      </c>
      <c r="E93" s="26">
        <f>IF(SUMIFS('NSE - NIFTY Index Options'!$M:$M,'NSE - NIFTY Index Options'!$C:$C,$A93,'NSE - NIFTY Index Options'!$B:$B,E$4,'NSE - NIFTY Index Options'!$I:$I,"Weekly*")+SUMIFS('NSE - NIFTY Index Options'!$M:$M,'NSE - NIFTY Index Options'!$C:$C,$A93,'NSE - NIFTY Index Options'!$B:$B,E$4,'NSE - NIFTY Index Options'!$I:$I,"MDAW*")+SUMIFS('NSE - Other Index Options'!$M:$M,'NSE - Other Index Options'!$C:$C,$A93,'NSE - Other Index Options'!$B:$B,E$4,'NSE - Other Index Options'!$I:$I,"Weekly*")+SUMIFS('NSE - Other Index Options'!$M:$M,'NSE - Other Index Options'!$C:$C,$A93,'NSE - Other Index Options'!$B:$B,E$4,'NSE - Other Index Options'!$I:$I,"MDAW*")=0,"",SUMIFS('NSE - NIFTY Index Options'!$M:$M,'NSE - NIFTY Index Options'!$C:$C,$A93,'NSE - NIFTY Index Options'!$B:$B,E$4,'NSE - NIFTY Index Options'!$I:$I,"Weekly*")+SUMIFS('NSE - NIFTY Index Options'!$M:$M,'NSE - NIFTY Index Options'!$C:$C,$A93,'NSE - NIFTY Index Options'!$B:$B,E$4,'NSE - NIFTY Index Options'!$I:$I,"MDAW*")+SUMIFS('NSE - Other Index Options'!$M:$M,'NSE - Other Index Options'!$C:$C,$A93,'NSE - Other Index Options'!$B:$B,E$4,'NSE - Other Index Options'!$I:$I,"Weekly*")+SUMIFS('NSE - Other Index Options'!$M:$M,'NSE - Other Index Options'!$C:$C,$A93,'NSE - Other Index Options'!$B:$B,E$4,'NSE - Other Index Options'!$I:$I,"MDAW*"))</f>
        <v/>
      </c>
      <c r="F93" s="26">
        <f>IF(SUMIFS('NSE - NIFTY Index Options'!$M:$M,'NSE - NIFTY Index Options'!$C:$C,$A93,'NSE - NIFTY Index Options'!$B:$B,F$4,'NSE - NIFTY Index Options'!$I:$I,"Weekly*")+SUMIFS('NSE - NIFTY Index Options'!$M:$M,'NSE - NIFTY Index Options'!$C:$C,$A93,'NSE - NIFTY Index Options'!$B:$B,F$4,'NSE - NIFTY Index Options'!$I:$I,"MDAW*")+SUMIFS('NSE - Other Index Options'!$M:$M,'NSE - Other Index Options'!$C:$C,$A93,'NSE - Other Index Options'!$B:$B,F$4,'NSE - Other Index Options'!$I:$I,"Weekly*")+SUMIFS('NSE - Other Index Options'!$M:$M,'NSE - Other Index Options'!$C:$C,$A93,'NSE - Other Index Options'!$B:$B,F$4,'NSE - Other Index Options'!$I:$I,"MDAW*")=0,"",SUMIFS('NSE - NIFTY Index Options'!$M:$M,'NSE - NIFTY Index Options'!$C:$C,$A93,'NSE - NIFTY Index Options'!$B:$B,F$4,'NSE - NIFTY Index Options'!$I:$I,"Weekly*")+SUMIFS('NSE - NIFTY Index Options'!$M:$M,'NSE - NIFTY Index Options'!$C:$C,$A93,'NSE - NIFTY Index Options'!$B:$B,F$4,'NSE - NIFTY Index Options'!$I:$I,"MDAW*")+SUMIFS('NSE - Other Index Options'!$M:$M,'NSE - Other Index Options'!$C:$C,$A93,'NSE - Other Index Options'!$B:$B,F$4,'NSE - Other Index Options'!$I:$I,"Weekly*")+SUMIFS('NSE - Other Index Options'!$M:$M,'NSE - Other Index Options'!$C:$C,$A93,'NSE - Other Index Options'!$B:$B,F$4,'NSE - Other Index Options'!$I:$I,"MDAW*"))</f>
        <v/>
      </c>
      <c r="G93" s="26">
        <f>IF(SUMIFS('NSE - NIFTY Index Options'!$M:$M,'NSE - NIFTY Index Options'!$C:$C,$A93,'NSE - NIFTY Index Options'!$B:$B,G$4,'NSE - NIFTY Index Options'!$I:$I,"Weekly*")+SUMIFS('NSE - NIFTY Index Options'!$M:$M,'NSE - NIFTY Index Options'!$C:$C,$A93,'NSE - NIFTY Index Options'!$B:$B,G$4,'NSE - NIFTY Index Options'!$I:$I,"MDAW*")+SUMIFS('NSE - Other Index Options'!$M:$M,'NSE - Other Index Options'!$C:$C,$A93,'NSE - Other Index Options'!$B:$B,G$4,'NSE - Other Index Options'!$I:$I,"Weekly*")+SUMIFS('NSE - Other Index Options'!$M:$M,'NSE - Other Index Options'!$C:$C,$A93,'NSE - Other Index Options'!$B:$B,G$4,'NSE - Other Index Options'!$I:$I,"MDAW*")=0,"",SUMIFS('NSE - NIFTY Index Options'!$M:$M,'NSE - NIFTY Index Options'!$C:$C,$A93,'NSE - NIFTY Index Options'!$B:$B,G$4,'NSE - NIFTY Index Options'!$I:$I,"Weekly*")+SUMIFS('NSE - NIFTY Index Options'!$M:$M,'NSE - NIFTY Index Options'!$C:$C,$A93,'NSE - NIFTY Index Options'!$B:$B,G$4,'NSE - NIFTY Index Options'!$I:$I,"MDAW*")+SUMIFS('NSE - Other Index Options'!$M:$M,'NSE - Other Index Options'!$C:$C,$A93,'NSE - Other Index Options'!$B:$B,G$4,'NSE - Other Index Options'!$I:$I,"Weekly*")+SUMIFS('NSE - Other Index Options'!$M:$M,'NSE - Other Index Options'!$C:$C,$A93,'NSE - Other Index Options'!$B:$B,G$4,'NSE - Other Index Options'!$I:$I,"MDAW*"))</f>
        <v/>
      </c>
      <c r="H93" s="26">
        <f>IF(SUM(B93:G93)=0,"",SUM(B93:G93))</f>
        <v/>
      </c>
    </row>
    <row r="94" hidden="1" outlineLevel="1">
      <c r="A94" t="inlineStr">
        <is>
          <t>Week2-Mar-2027</t>
        </is>
      </c>
      <c r="B94" s="26">
        <f>IF(SUMIFS('NSE - NIFTY Index Options'!$M:$M,'NSE - NIFTY Index Options'!$C:$C,$A94,'NSE - NIFTY Index Options'!$B:$B,B$4,'NSE - NIFTY Index Options'!$I:$I,"Weekly*")+SUMIFS('NSE - NIFTY Index Options'!$M:$M,'NSE - NIFTY Index Options'!$C:$C,$A94,'NSE - NIFTY Index Options'!$B:$B,B$4,'NSE - NIFTY Index Options'!$I:$I,"MDAW*")+SUMIFS('NSE - Other Index Options'!$M:$M,'NSE - Other Index Options'!$C:$C,$A94,'NSE - Other Index Options'!$B:$B,B$4,'NSE - Other Index Options'!$I:$I,"Weekly*")+SUMIFS('NSE - Other Index Options'!$M:$M,'NSE - Other Index Options'!$C:$C,$A94,'NSE - Other Index Options'!$B:$B,B$4,'NSE - Other Index Options'!$I:$I,"MDAW*")=0,"",SUMIFS('NSE - NIFTY Index Options'!$M:$M,'NSE - NIFTY Index Options'!$C:$C,$A94,'NSE - NIFTY Index Options'!$B:$B,B$4,'NSE - NIFTY Index Options'!$I:$I,"Weekly*")+SUMIFS('NSE - NIFTY Index Options'!$M:$M,'NSE - NIFTY Index Options'!$C:$C,$A94,'NSE - NIFTY Index Options'!$B:$B,B$4,'NSE - NIFTY Index Options'!$I:$I,"MDAW*")+SUMIFS('NSE - Other Index Options'!$M:$M,'NSE - Other Index Options'!$C:$C,$A94,'NSE - Other Index Options'!$B:$B,B$4,'NSE - Other Index Options'!$I:$I,"Weekly*")+SUMIFS('NSE - Other Index Options'!$M:$M,'NSE - Other Index Options'!$C:$C,$A94,'NSE - Other Index Options'!$B:$B,B$4,'NSE - Other Index Options'!$I:$I,"MDAW*"))</f>
        <v/>
      </c>
      <c r="C94" s="26">
        <f>IF(SUMIFS('NSE - NIFTY Index Options'!$M:$M,'NSE - NIFTY Index Options'!$C:$C,$A94,'NSE - NIFTY Index Options'!$B:$B,C$4,'NSE - NIFTY Index Options'!$I:$I,"Weekly*")+SUMIFS('NSE - NIFTY Index Options'!$M:$M,'NSE - NIFTY Index Options'!$C:$C,$A94,'NSE - NIFTY Index Options'!$B:$B,C$4,'NSE - NIFTY Index Options'!$I:$I,"MDAW*")+SUMIFS('NSE - Other Index Options'!$M:$M,'NSE - Other Index Options'!$C:$C,$A94,'NSE - Other Index Options'!$B:$B,C$4,'NSE - Other Index Options'!$I:$I,"Weekly*")+SUMIFS('NSE - Other Index Options'!$M:$M,'NSE - Other Index Options'!$C:$C,$A94,'NSE - Other Index Options'!$B:$B,C$4,'NSE - Other Index Options'!$I:$I,"MDAW*")=0,"",SUMIFS('NSE - NIFTY Index Options'!$M:$M,'NSE - NIFTY Index Options'!$C:$C,$A94,'NSE - NIFTY Index Options'!$B:$B,C$4,'NSE - NIFTY Index Options'!$I:$I,"Weekly*")+SUMIFS('NSE - NIFTY Index Options'!$M:$M,'NSE - NIFTY Index Options'!$C:$C,$A94,'NSE - NIFTY Index Options'!$B:$B,C$4,'NSE - NIFTY Index Options'!$I:$I,"MDAW*")+SUMIFS('NSE - Other Index Options'!$M:$M,'NSE - Other Index Options'!$C:$C,$A94,'NSE - Other Index Options'!$B:$B,C$4,'NSE - Other Index Options'!$I:$I,"Weekly*")+SUMIFS('NSE - Other Index Options'!$M:$M,'NSE - Other Index Options'!$C:$C,$A94,'NSE - Other Index Options'!$B:$B,C$4,'NSE - Other Index Options'!$I:$I,"MDAW*"))</f>
        <v/>
      </c>
      <c r="D94" s="26">
        <f>IF(SUMIFS('NSE - NIFTY Index Options'!$M:$M,'NSE - NIFTY Index Options'!$C:$C,$A94,'NSE - NIFTY Index Options'!$B:$B,D$4,'NSE - NIFTY Index Options'!$I:$I,"Weekly*")+SUMIFS('NSE - NIFTY Index Options'!$M:$M,'NSE - NIFTY Index Options'!$C:$C,$A94,'NSE - NIFTY Index Options'!$B:$B,D$4,'NSE - NIFTY Index Options'!$I:$I,"MDAW*")+SUMIFS('NSE - Other Index Options'!$M:$M,'NSE - Other Index Options'!$C:$C,$A94,'NSE - Other Index Options'!$B:$B,D$4,'NSE - Other Index Options'!$I:$I,"Weekly*")+SUMIFS('NSE - Other Index Options'!$M:$M,'NSE - Other Index Options'!$C:$C,$A94,'NSE - Other Index Options'!$B:$B,D$4,'NSE - Other Index Options'!$I:$I,"MDAW*")=0,"",SUMIFS('NSE - NIFTY Index Options'!$M:$M,'NSE - NIFTY Index Options'!$C:$C,$A94,'NSE - NIFTY Index Options'!$B:$B,D$4,'NSE - NIFTY Index Options'!$I:$I,"Weekly*")+SUMIFS('NSE - NIFTY Index Options'!$M:$M,'NSE - NIFTY Index Options'!$C:$C,$A94,'NSE - NIFTY Index Options'!$B:$B,D$4,'NSE - NIFTY Index Options'!$I:$I,"MDAW*")+SUMIFS('NSE - Other Index Options'!$M:$M,'NSE - Other Index Options'!$C:$C,$A94,'NSE - Other Index Options'!$B:$B,D$4,'NSE - Other Index Options'!$I:$I,"Weekly*")+SUMIFS('NSE - Other Index Options'!$M:$M,'NSE - Other Index Options'!$C:$C,$A94,'NSE - Other Index Options'!$B:$B,D$4,'NSE - Other Index Options'!$I:$I,"MDAW*"))</f>
        <v/>
      </c>
      <c r="E94" s="26">
        <f>IF(SUMIFS('NSE - NIFTY Index Options'!$M:$M,'NSE - NIFTY Index Options'!$C:$C,$A94,'NSE - NIFTY Index Options'!$B:$B,E$4,'NSE - NIFTY Index Options'!$I:$I,"Weekly*")+SUMIFS('NSE - NIFTY Index Options'!$M:$M,'NSE - NIFTY Index Options'!$C:$C,$A94,'NSE - NIFTY Index Options'!$B:$B,E$4,'NSE - NIFTY Index Options'!$I:$I,"MDAW*")+SUMIFS('NSE - Other Index Options'!$M:$M,'NSE - Other Index Options'!$C:$C,$A94,'NSE - Other Index Options'!$B:$B,E$4,'NSE - Other Index Options'!$I:$I,"Weekly*")+SUMIFS('NSE - Other Index Options'!$M:$M,'NSE - Other Index Options'!$C:$C,$A94,'NSE - Other Index Options'!$B:$B,E$4,'NSE - Other Index Options'!$I:$I,"MDAW*")=0,"",SUMIFS('NSE - NIFTY Index Options'!$M:$M,'NSE - NIFTY Index Options'!$C:$C,$A94,'NSE - NIFTY Index Options'!$B:$B,E$4,'NSE - NIFTY Index Options'!$I:$I,"Weekly*")+SUMIFS('NSE - NIFTY Index Options'!$M:$M,'NSE - NIFTY Index Options'!$C:$C,$A94,'NSE - NIFTY Index Options'!$B:$B,E$4,'NSE - NIFTY Index Options'!$I:$I,"MDAW*")+SUMIFS('NSE - Other Index Options'!$M:$M,'NSE - Other Index Options'!$C:$C,$A94,'NSE - Other Index Options'!$B:$B,E$4,'NSE - Other Index Options'!$I:$I,"Weekly*")+SUMIFS('NSE - Other Index Options'!$M:$M,'NSE - Other Index Options'!$C:$C,$A94,'NSE - Other Index Options'!$B:$B,E$4,'NSE - Other Index Options'!$I:$I,"MDAW*"))</f>
        <v/>
      </c>
      <c r="F94" s="26">
        <f>IF(SUMIFS('NSE - NIFTY Index Options'!$M:$M,'NSE - NIFTY Index Options'!$C:$C,$A94,'NSE - NIFTY Index Options'!$B:$B,F$4,'NSE - NIFTY Index Options'!$I:$I,"Weekly*")+SUMIFS('NSE - NIFTY Index Options'!$M:$M,'NSE - NIFTY Index Options'!$C:$C,$A94,'NSE - NIFTY Index Options'!$B:$B,F$4,'NSE - NIFTY Index Options'!$I:$I,"MDAW*")+SUMIFS('NSE - Other Index Options'!$M:$M,'NSE - Other Index Options'!$C:$C,$A94,'NSE - Other Index Options'!$B:$B,F$4,'NSE - Other Index Options'!$I:$I,"Weekly*")+SUMIFS('NSE - Other Index Options'!$M:$M,'NSE - Other Index Options'!$C:$C,$A94,'NSE - Other Index Options'!$B:$B,F$4,'NSE - Other Index Options'!$I:$I,"MDAW*")=0,"",SUMIFS('NSE - NIFTY Index Options'!$M:$M,'NSE - NIFTY Index Options'!$C:$C,$A94,'NSE - NIFTY Index Options'!$B:$B,F$4,'NSE - NIFTY Index Options'!$I:$I,"Weekly*")+SUMIFS('NSE - NIFTY Index Options'!$M:$M,'NSE - NIFTY Index Options'!$C:$C,$A94,'NSE - NIFTY Index Options'!$B:$B,F$4,'NSE - NIFTY Index Options'!$I:$I,"MDAW*")+SUMIFS('NSE - Other Index Options'!$M:$M,'NSE - Other Index Options'!$C:$C,$A94,'NSE - Other Index Options'!$B:$B,F$4,'NSE - Other Index Options'!$I:$I,"Weekly*")+SUMIFS('NSE - Other Index Options'!$M:$M,'NSE - Other Index Options'!$C:$C,$A94,'NSE - Other Index Options'!$B:$B,F$4,'NSE - Other Index Options'!$I:$I,"MDAW*"))</f>
        <v/>
      </c>
      <c r="G94" s="26">
        <f>IF(SUMIFS('NSE - NIFTY Index Options'!$M:$M,'NSE - NIFTY Index Options'!$C:$C,$A94,'NSE - NIFTY Index Options'!$B:$B,G$4,'NSE - NIFTY Index Options'!$I:$I,"Weekly*")+SUMIFS('NSE - NIFTY Index Options'!$M:$M,'NSE - NIFTY Index Options'!$C:$C,$A94,'NSE - NIFTY Index Options'!$B:$B,G$4,'NSE - NIFTY Index Options'!$I:$I,"MDAW*")+SUMIFS('NSE - Other Index Options'!$M:$M,'NSE - Other Index Options'!$C:$C,$A94,'NSE - Other Index Options'!$B:$B,G$4,'NSE - Other Index Options'!$I:$I,"Weekly*")+SUMIFS('NSE - Other Index Options'!$M:$M,'NSE - Other Index Options'!$C:$C,$A94,'NSE - Other Index Options'!$B:$B,G$4,'NSE - Other Index Options'!$I:$I,"MDAW*")=0,"",SUMIFS('NSE - NIFTY Index Options'!$M:$M,'NSE - NIFTY Index Options'!$C:$C,$A94,'NSE - NIFTY Index Options'!$B:$B,G$4,'NSE - NIFTY Index Options'!$I:$I,"Weekly*")+SUMIFS('NSE - NIFTY Index Options'!$M:$M,'NSE - NIFTY Index Options'!$C:$C,$A94,'NSE - NIFTY Index Options'!$B:$B,G$4,'NSE - NIFTY Index Options'!$I:$I,"MDAW*")+SUMIFS('NSE - Other Index Options'!$M:$M,'NSE - Other Index Options'!$C:$C,$A94,'NSE - Other Index Options'!$B:$B,G$4,'NSE - Other Index Options'!$I:$I,"Weekly*")+SUMIFS('NSE - Other Index Options'!$M:$M,'NSE - Other Index Options'!$C:$C,$A94,'NSE - Other Index Options'!$B:$B,G$4,'NSE - Other Index Options'!$I:$I,"MDAW*"))</f>
        <v/>
      </c>
      <c r="H94" s="26">
        <f>IF(SUM(B94:G94)=0,"",SUM(B94:G94))</f>
        <v/>
      </c>
    </row>
    <row r="95" hidden="1" outlineLevel="1">
      <c r="A95" t="inlineStr">
        <is>
          <t>Week3-Mar-2027</t>
        </is>
      </c>
      <c r="B95" s="26">
        <f>IF(SUMIFS('NSE - NIFTY Index Options'!$M:$M,'NSE - NIFTY Index Options'!$C:$C,$A95,'NSE - NIFTY Index Options'!$B:$B,B$4,'NSE - NIFTY Index Options'!$I:$I,"Weekly*")+SUMIFS('NSE - NIFTY Index Options'!$M:$M,'NSE - NIFTY Index Options'!$C:$C,$A95,'NSE - NIFTY Index Options'!$B:$B,B$4,'NSE - NIFTY Index Options'!$I:$I,"MDAW*")+SUMIFS('NSE - Other Index Options'!$M:$M,'NSE - Other Index Options'!$C:$C,$A95,'NSE - Other Index Options'!$B:$B,B$4,'NSE - Other Index Options'!$I:$I,"Weekly*")+SUMIFS('NSE - Other Index Options'!$M:$M,'NSE - Other Index Options'!$C:$C,$A95,'NSE - Other Index Options'!$B:$B,B$4,'NSE - Other Index Options'!$I:$I,"MDAW*")=0,"",SUMIFS('NSE - NIFTY Index Options'!$M:$M,'NSE - NIFTY Index Options'!$C:$C,$A95,'NSE - NIFTY Index Options'!$B:$B,B$4,'NSE - NIFTY Index Options'!$I:$I,"Weekly*")+SUMIFS('NSE - NIFTY Index Options'!$M:$M,'NSE - NIFTY Index Options'!$C:$C,$A95,'NSE - NIFTY Index Options'!$B:$B,B$4,'NSE - NIFTY Index Options'!$I:$I,"MDAW*")+SUMIFS('NSE - Other Index Options'!$M:$M,'NSE - Other Index Options'!$C:$C,$A95,'NSE - Other Index Options'!$B:$B,B$4,'NSE - Other Index Options'!$I:$I,"Weekly*")+SUMIFS('NSE - Other Index Options'!$M:$M,'NSE - Other Index Options'!$C:$C,$A95,'NSE - Other Index Options'!$B:$B,B$4,'NSE - Other Index Options'!$I:$I,"MDAW*"))</f>
        <v/>
      </c>
      <c r="C95" s="26">
        <f>IF(SUMIFS('NSE - NIFTY Index Options'!$M:$M,'NSE - NIFTY Index Options'!$C:$C,$A95,'NSE - NIFTY Index Options'!$B:$B,C$4,'NSE - NIFTY Index Options'!$I:$I,"Weekly*")+SUMIFS('NSE - NIFTY Index Options'!$M:$M,'NSE - NIFTY Index Options'!$C:$C,$A95,'NSE - NIFTY Index Options'!$B:$B,C$4,'NSE - NIFTY Index Options'!$I:$I,"MDAW*")+SUMIFS('NSE - Other Index Options'!$M:$M,'NSE - Other Index Options'!$C:$C,$A95,'NSE - Other Index Options'!$B:$B,C$4,'NSE - Other Index Options'!$I:$I,"Weekly*")+SUMIFS('NSE - Other Index Options'!$M:$M,'NSE - Other Index Options'!$C:$C,$A95,'NSE - Other Index Options'!$B:$B,C$4,'NSE - Other Index Options'!$I:$I,"MDAW*")=0,"",SUMIFS('NSE - NIFTY Index Options'!$M:$M,'NSE - NIFTY Index Options'!$C:$C,$A95,'NSE - NIFTY Index Options'!$B:$B,C$4,'NSE - NIFTY Index Options'!$I:$I,"Weekly*")+SUMIFS('NSE - NIFTY Index Options'!$M:$M,'NSE - NIFTY Index Options'!$C:$C,$A95,'NSE - NIFTY Index Options'!$B:$B,C$4,'NSE - NIFTY Index Options'!$I:$I,"MDAW*")+SUMIFS('NSE - Other Index Options'!$M:$M,'NSE - Other Index Options'!$C:$C,$A95,'NSE - Other Index Options'!$B:$B,C$4,'NSE - Other Index Options'!$I:$I,"Weekly*")+SUMIFS('NSE - Other Index Options'!$M:$M,'NSE - Other Index Options'!$C:$C,$A95,'NSE - Other Index Options'!$B:$B,C$4,'NSE - Other Index Options'!$I:$I,"MDAW*"))</f>
        <v/>
      </c>
      <c r="D95" s="26">
        <f>IF(SUMIFS('NSE - NIFTY Index Options'!$M:$M,'NSE - NIFTY Index Options'!$C:$C,$A95,'NSE - NIFTY Index Options'!$B:$B,D$4,'NSE - NIFTY Index Options'!$I:$I,"Weekly*")+SUMIFS('NSE - NIFTY Index Options'!$M:$M,'NSE - NIFTY Index Options'!$C:$C,$A95,'NSE - NIFTY Index Options'!$B:$B,D$4,'NSE - NIFTY Index Options'!$I:$I,"MDAW*")+SUMIFS('NSE - Other Index Options'!$M:$M,'NSE - Other Index Options'!$C:$C,$A95,'NSE - Other Index Options'!$B:$B,D$4,'NSE - Other Index Options'!$I:$I,"Weekly*")+SUMIFS('NSE - Other Index Options'!$M:$M,'NSE - Other Index Options'!$C:$C,$A95,'NSE - Other Index Options'!$B:$B,D$4,'NSE - Other Index Options'!$I:$I,"MDAW*")=0,"",SUMIFS('NSE - NIFTY Index Options'!$M:$M,'NSE - NIFTY Index Options'!$C:$C,$A95,'NSE - NIFTY Index Options'!$B:$B,D$4,'NSE - NIFTY Index Options'!$I:$I,"Weekly*")+SUMIFS('NSE - NIFTY Index Options'!$M:$M,'NSE - NIFTY Index Options'!$C:$C,$A95,'NSE - NIFTY Index Options'!$B:$B,D$4,'NSE - NIFTY Index Options'!$I:$I,"MDAW*")+SUMIFS('NSE - Other Index Options'!$M:$M,'NSE - Other Index Options'!$C:$C,$A95,'NSE - Other Index Options'!$B:$B,D$4,'NSE - Other Index Options'!$I:$I,"Weekly*")+SUMIFS('NSE - Other Index Options'!$M:$M,'NSE - Other Index Options'!$C:$C,$A95,'NSE - Other Index Options'!$B:$B,D$4,'NSE - Other Index Options'!$I:$I,"MDAW*"))</f>
        <v/>
      </c>
      <c r="E95" s="26">
        <f>IF(SUMIFS('NSE - NIFTY Index Options'!$M:$M,'NSE - NIFTY Index Options'!$C:$C,$A95,'NSE - NIFTY Index Options'!$B:$B,E$4,'NSE - NIFTY Index Options'!$I:$I,"Weekly*")+SUMIFS('NSE - NIFTY Index Options'!$M:$M,'NSE - NIFTY Index Options'!$C:$C,$A95,'NSE - NIFTY Index Options'!$B:$B,E$4,'NSE - NIFTY Index Options'!$I:$I,"MDAW*")+SUMIFS('NSE - Other Index Options'!$M:$M,'NSE - Other Index Options'!$C:$C,$A95,'NSE - Other Index Options'!$B:$B,E$4,'NSE - Other Index Options'!$I:$I,"Weekly*")+SUMIFS('NSE - Other Index Options'!$M:$M,'NSE - Other Index Options'!$C:$C,$A95,'NSE - Other Index Options'!$B:$B,E$4,'NSE - Other Index Options'!$I:$I,"MDAW*")=0,"",SUMIFS('NSE - NIFTY Index Options'!$M:$M,'NSE - NIFTY Index Options'!$C:$C,$A95,'NSE - NIFTY Index Options'!$B:$B,E$4,'NSE - NIFTY Index Options'!$I:$I,"Weekly*")+SUMIFS('NSE - NIFTY Index Options'!$M:$M,'NSE - NIFTY Index Options'!$C:$C,$A95,'NSE - NIFTY Index Options'!$B:$B,E$4,'NSE - NIFTY Index Options'!$I:$I,"MDAW*")+SUMIFS('NSE - Other Index Options'!$M:$M,'NSE - Other Index Options'!$C:$C,$A95,'NSE - Other Index Options'!$B:$B,E$4,'NSE - Other Index Options'!$I:$I,"Weekly*")+SUMIFS('NSE - Other Index Options'!$M:$M,'NSE - Other Index Options'!$C:$C,$A95,'NSE - Other Index Options'!$B:$B,E$4,'NSE - Other Index Options'!$I:$I,"MDAW*"))</f>
        <v/>
      </c>
      <c r="F95" s="26">
        <f>IF(SUMIFS('NSE - NIFTY Index Options'!$M:$M,'NSE - NIFTY Index Options'!$C:$C,$A95,'NSE - NIFTY Index Options'!$B:$B,F$4,'NSE - NIFTY Index Options'!$I:$I,"Weekly*")+SUMIFS('NSE - NIFTY Index Options'!$M:$M,'NSE - NIFTY Index Options'!$C:$C,$A95,'NSE - NIFTY Index Options'!$B:$B,F$4,'NSE - NIFTY Index Options'!$I:$I,"MDAW*")+SUMIFS('NSE - Other Index Options'!$M:$M,'NSE - Other Index Options'!$C:$C,$A95,'NSE - Other Index Options'!$B:$B,F$4,'NSE - Other Index Options'!$I:$I,"Weekly*")+SUMIFS('NSE - Other Index Options'!$M:$M,'NSE - Other Index Options'!$C:$C,$A95,'NSE - Other Index Options'!$B:$B,F$4,'NSE - Other Index Options'!$I:$I,"MDAW*")=0,"",SUMIFS('NSE - NIFTY Index Options'!$M:$M,'NSE - NIFTY Index Options'!$C:$C,$A95,'NSE - NIFTY Index Options'!$B:$B,F$4,'NSE - NIFTY Index Options'!$I:$I,"Weekly*")+SUMIFS('NSE - NIFTY Index Options'!$M:$M,'NSE - NIFTY Index Options'!$C:$C,$A95,'NSE - NIFTY Index Options'!$B:$B,F$4,'NSE - NIFTY Index Options'!$I:$I,"MDAW*")+SUMIFS('NSE - Other Index Options'!$M:$M,'NSE - Other Index Options'!$C:$C,$A95,'NSE - Other Index Options'!$B:$B,F$4,'NSE - Other Index Options'!$I:$I,"Weekly*")+SUMIFS('NSE - Other Index Options'!$M:$M,'NSE - Other Index Options'!$C:$C,$A95,'NSE - Other Index Options'!$B:$B,F$4,'NSE - Other Index Options'!$I:$I,"MDAW*"))</f>
        <v/>
      </c>
      <c r="G95" s="26">
        <f>IF(SUMIFS('NSE - NIFTY Index Options'!$M:$M,'NSE - NIFTY Index Options'!$C:$C,$A95,'NSE - NIFTY Index Options'!$B:$B,G$4,'NSE - NIFTY Index Options'!$I:$I,"Weekly*")+SUMIFS('NSE - NIFTY Index Options'!$M:$M,'NSE - NIFTY Index Options'!$C:$C,$A95,'NSE - NIFTY Index Options'!$B:$B,G$4,'NSE - NIFTY Index Options'!$I:$I,"MDAW*")+SUMIFS('NSE - Other Index Options'!$M:$M,'NSE - Other Index Options'!$C:$C,$A95,'NSE - Other Index Options'!$B:$B,G$4,'NSE - Other Index Options'!$I:$I,"Weekly*")+SUMIFS('NSE - Other Index Options'!$M:$M,'NSE - Other Index Options'!$C:$C,$A95,'NSE - Other Index Options'!$B:$B,G$4,'NSE - Other Index Options'!$I:$I,"MDAW*")=0,"",SUMIFS('NSE - NIFTY Index Options'!$M:$M,'NSE - NIFTY Index Options'!$C:$C,$A95,'NSE - NIFTY Index Options'!$B:$B,G$4,'NSE - NIFTY Index Options'!$I:$I,"Weekly*")+SUMIFS('NSE - NIFTY Index Options'!$M:$M,'NSE - NIFTY Index Options'!$C:$C,$A95,'NSE - NIFTY Index Options'!$B:$B,G$4,'NSE - NIFTY Index Options'!$I:$I,"MDAW*")+SUMIFS('NSE - Other Index Options'!$M:$M,'NSE - Other Index Options'!$C:$C,$A95,'NSE - Other Index Options'!$B:$B,G$4,'NSE - Other Index Options'!$I:$I,"Weekly*")+SUMIFS('NSE - Other Index Options'!$M:$M,'NSE - Other Index Options'!$C:$C,$A95,'NSE - Other Index Options'!$B:$B,G$4,'NSE - Other Index Options'!$I:$I,"MDAW*"))</f>
        <v/>
      </c>
      <c r="H95" s="26">
        <f>IF(SUM(B95:G95)=0,"",SUM(B95:G95))</f>
        <v/>
      </c>
    </row>
    <row r="96" hidden="1" outlineLevel="1">
      <c r="A96" t="inlineStr">
        <is>
          <t>Week4-Mar-2027</t>
        </is>
      </c>
      <c r="B96" s="26">
        <f>IF(SUMIFS('NSE - NIFTY Index Options'!$M:$M,'NSE - NIFTY Index Options'!$C:$C,$A96,'NSE - NIFTY Index Options'!$B:$B,B$4,'NSE - NIFTY Index Options'!$I:$I,"Weekly*")+SUMIFS('NSE - NIFTY Index Options'!$M:$M,'NSE - NIFTY Index Options'!$C:$C,$A96,'NSE - NIFTY Index Options'!$B:$B,B$4,'NSE - NIFTY Index Options'!$I:$I,"MDAW*")+SUMIFS('NSE - Other Index Options'!$M:$M,'NSE - Other Index Options'!$C:$C,$A96,'NSE - Other Index Options'!$B:$B,B$4,'NSE - Other Index Options'!$I:$I,"Weekly*")+SUMIFS('NSE - Other Index Options'!$M:$M,'NSE - Other Index Options'!$C:$C,$A96,'NSE - Other Index Options'!$B:$B,B$4,'NSE - Other Index Options'!$I:$I,"MDAW*")=0,"",SUMIFS('NSE - NIFTY Index Options'!$M:$M,'NSE - NIFTY Index Options'!$C:$C,$A96,'NSE - NIFTY Index Options'!$B:$B,B$4,'NSE - NIFTY Index Options'!$I:$I,"Weekly*")+SUMIFS('NSE - NIFTY Index Options'!$M:$M,'NSE - NIFTY Index Options'!$C:$C,$A96,'NSE - NIFTY Index Options'!$B:$B,B$4,'NSE - NIFTY Index Options'!$I:$I,"MDAW*")+SUMIFS('NSE - Other Index Options'!$M:$M,'NSE - Other Index Options'!$C:$C,$A96,'NSE - Other Index Options'!$B:$B,B$4,'NSE - Other Index Options'!$I:$I,"Weekly*")+SUMIFS('NSE - Other Index Options'!$M:$M,'NSE - Other Index Options'!$C:$C,$A96,'NSE - Other Index Options'!$B:$B,B$4,'NSE - Other Index Options'!$I:$I,"MDAW*"))</f>
        <v/>
      </c>
      <c r="C96" s="26">
        <f>IF(SUMIFS('NSE - NIFTY Index Options'!$M:$M,'NSE - NIFTY Index Options'!$C:$C,$A96,'NSE - NIFTY Index Options'!$B:$B,C$4,'NSE - NIFTY Index Options'!$I:$I,"Weekly*")+SUMIFS('NSE - NIFTY Index Options'!$M:$M,'NSE - NIFTY Index Options'!$C:$C,$A96,'NSE - NIFTY Index Options'!$B:$B,C$4,'NSE - NIFTY Index Options'!$I:$I,"MDAW*")+SUMIFS('NSE - Other Index Options'!$M:$M,'NSE - Other Index Options'!$C:$C,$A96,'NSE - Other Index Options'!$B:$B,C$4,'NSE - Other Index Options'!$I:$I,"Weekly*")+SUMIFS('NSE - Other Index Options'!$M:$M,'NSE - Other Index Options'!$C:$C,$A96,'NSE - Other Index Options'!$B:$B,C$4,'NSE - Other Index Options'!$I:$I,"MDAW*")=0,"",SUMIFS('NSE - NIFTY Index Options'!$M:$M,'NSE - NIFTY Index Options'!$C:$C,$A96,'NSE - NIFTY Index Options'!$B:$B,C$4,'NSE - NIFTY Index Options'!$I:$I,"Weekly*")+SUMIFS('NSE - NIFTY Index Options'!$M:$M,'NSE - NIFTY Index Options'!$C:$C,$A96,'NSE - NIFTY Index Options'!$B:$B,C$4,'NSE - NIFTY Index Options'!$I:$I,"MDAW*")+SUMIFS('NSE - Other Index Options'!$M:$M,'NSE - Other Index Options'!$C:$C,$A96,'NSE - Other Index Options'!$B:$B,C$4,'NSE - Other Index Options'!$I:$I,"Weekly*")+SUMIFS('NSE - Other Index Options'!$M:$M,'NSE - Other Index Options'!$C:$C,$A96,'NSE - Other Index Options'!$B:$B,C$4,'NSE - Other Index Options'!$I:$I,"MDAW*"))</f>
        <v/>
      </c>
      <c r="D96" s="26">
        <f>IF(SUMIFS('NSE - NIFTY Index Options'!$M:$M,'NSE - NIFTY Index Options'!$C:$C,$A96,'NSE - NIFTY Index Options'!$B:$B,D$4,'NSE - NIFTY Index Options'!$I:$I,"Weekly*")+SUMIFS('NSE - NIFTY Index Options'!$M:$M,'NSE - NIFTY Index Options'!$C:$C,$A96,'NSE - NIFTY Index Options'!$B:$B,D$4,'NSE - NIFTY Index Options'!$I:$I,"MDAW*")+SUMIFS('NSE - Other Index Options'!$M:$M,'NSE - Other Index Options'!$C:$C,$A96,'NSE - Other Index Options'!$B:$B,D$4,'NSE - Other Index Options'!$I:$I,"Weekly*")+SUMIFS('NSE - Other Index Options'!$M:$M,'NSE - Other Index Options'!$C:$C,$A96,'NSE - Other Index Options'!$B:$B,D$4,'NSE - Other Index Options'!$I:$I,"MDAW*")=0,"",SUMIFS('NSE - NIFTY Index Options'!$M:$M,'NSE - NIFTY Index Options'!$C:$C,$A96,'NSE - NIFTY Index Options'!$B:$B,D$4,'NSE - NIFTY Index Options'!$I:$I,"Weekly*")+SUMIFS('NSE - NIFTY Index Options'!$M:$M,'NSE - NIFTY Index Options'!$C:$C,$A96,'NSE - NIFTY Index Options'!$B:$B,D$4,'NSE - NIFTY Index Options'!$I:$I,"MDAW*")+SUMIFS('NSE - Other Index Options'!$M:$M,'NSE - Other Index Options'!$C:$C,$A96,'NSE - Other Index Options'!$B:$B,D$4,'NSE - Other Index Options'!$I:$I,"Weekly*")+SUMIFS('NSE - Other Index Options'!$M:$M,'NSE - Other Index Options'!$C:$C,$A96,'NSE - Other Index Options'!$B:$B,D$4,'NSE - Other Index Options'!$I:$I,"MDAW*"))</f>
        <v/>
      </c>
      <c r="E96" s="26">
        <f>IF(SUMIFS('NSE - NIFTY Index Options'!$M:$M,'NSE - NIFTY Index Options'!$C:$C,$A96,'NSE - NIFTY Index Options'!$B:$B,E$4,'NSE - NIFTY Index Options'!$I:$I,"Weekly*")+SUMIFS('NSE - NIFTY Index Options'!$M:$M,'NSE - NIFTY Index Options'!$C:$C,$A96,'NSE - NIFTY Index Options'!$B:$B,E$4,'NSE - NIFTY Index Options'!$I:$I,"MDAW*")+SUMIFS('NSE - Other Index Options'!$M:$M,'NSE - Other Index Options'!$C:$C,$A96,'NSE - Other Index Options'!$B:$B,E$4,'NSE - Other Index Options'!$I:$I,"Weekly*")+SUMIFS('NSE - Other Index Options'!$M:$M,'NSE - Other Index Options'!$C:$C,$A96,'NSE - Other Index Options'!$B:$B,E$4,'NSE - Other Index Options'!$I:$I,"MDAW*")=0,"",SUMIFS('NSE - NIFTY Index Options'!$M:$M,'NSE - NIFTY Index Options'!$C:$C,$A96,'NSE - NIFTY Index Options'!$B:$B,E$4,'NSE - NIFTY Index Options'!$I:$I,"Weekly*")+SUMIFS('NSE - NIFTY Index Options'!$M:$M,'NSE - NIFTY Index Options'!$C:$C,$A96,'NSE - NIFTY Index Options'!$B:$B,E$4,'NSE - NIFTY Index Options'!$I:$I,"MDAW*")+SUMIFS('NSE - Other Index Options'!$M:$M,'NSE - Other Index Options'!$C:$C,$A96,'NSE - Other Index Options'!$B:$B,E$4,'NSE - Other Index Options'!$I:$I,"Weekly*")+SUMIFS('NSE - Other Index Options'!$M:$M,'NSE - Other Index Options'!$C:$C,$A96,'NSE - Other Index Options'!$B:$B,E$4,'NSE - Other Index Options'!$I:$I,"MDAW*"))</f>
        <v/>
      </c>
      <c r="F96" s="26">
        <f>IF(SUMIFS('NSE - NIFTY Index Options'!$M:$M,'NSE - NIFTY Index Options'!$C:$C,$A96,'NSE - NIFTY Index Options'!$B:$B,F$4,'NSE - NIFTY Index Options'!$I:$I,"Weekly*")+SUMIFS('NSE - NIFTY Index Options'!$M:$M,'NSE - NIFTY Index Options'!$C:$C,$A96,'NSE - NIFTY Index Options'!$B:$B,F$4,'NSE - NIFTY Index Options'!$I:$I,"MDAW*")+SUMIFS('NSE - Other Index Options'!$M:$M,'NSE - Other Index Options'!$C:$C,$A96,'NSE - Other Index Options'!$B:$B,F$4,'NSE - Other Index Options'!$I:$I,"Weekly*")+SUMIFS('NSE - Other Index Options'!$M:$M,'NSE - Other Index Options'!$C:$C,$A96,'NSE - Other Index Options'!$B:$B,F$4,'NSE - Other Index Options'!$I:$I,"MDAW*")=0,"",SUMIFS('NSE - NIFTY Index Options'!$M:$M,'NSE - NIFTY Index Options'!$C:$C,$A96,'NSE - NIFTY Index Options'!$B:$B,F$4,'NSE - NIFTY Index Options'!$I:$I,"Weekly*")+SUMIFS('NSE - NIFTY Index Options'!$M:$M,'NSE - NIFTY Index Options'!$C:$C,$A96,'NSE - NIFTY Index Options'!$B:$B,F$4,'NSE - NIFTY Index Options'!$I:$I,"MDAW*")+SUMIFS('NSE - Other Index Options'!$M:$M,'NSE - Other Index Options'!$C:$C,$A96,'NSE - Other Index Options'!$B:$B,F$4,'NSE - Other Index Options'!$I:$I,"Weekly*")+SUMIFS('NSE - Other Index Options'!$M:$M,'NSE - Other Index Options'!$C:$C,$A96,'NSE - Other Index Options'!$B:$B,F$4,'NSE - Other Index Options'!$I:$I,"MDAW*"))</f>
        <v/>
      </c>
      <c r="G96" s="26">
        <f>IF(SUMIFS('NSE - NIFTY Index Options'!$M:$M,'NSE - NIFTY Index Options'!$C:$C,$A96,'NSE - NIFTY Index Options'!$B:$B,G$4,'NSE - NIFTY Index Options'!$I:$I,"Weekly*")+SUMIFS('NSE - NIFTY Index Options'!$M:$M,'NSE - NIFTY Index Options'!$C:$C,$A96,'NSE - NIFTY Index Options'!$B:$B,G$4,'NSE - NIFTY Index Options'!$I:$I,"MDAW*")+SUMIFS('NSE - Other Index Options'!$M:$M,'NSE - Other Index Options'!$C:$C,$A96,'NSE - Other Index Options'!$B:$B,G$4,'NSE - Other Index Options'!$I:$I,"Weekly*")+SUMIFS('NSE - Other Index Options'!$M:$M,'NSE - Other Index Options'!$C:$C,$A96,'NSE - Other Index Options'!$B:$B,G$4,'NSE - Other Index Options'!$I:$I,"MDAW*")=0,"",SUMIFS('NSE - NIFTY Index Options'!$M:$M,'NSE - NIFTY Index Options'!$C:$C,$A96,'NSE - NIFTY Index Options'!$B:$B,G$4,'NSE - NIFTY Index Options'!$I:$I,"Weekly*")+SUMIFS('NSE - NIFTY Index Options'!$M:$M,'NSE - NIFTY Index Options'!$C:$C,$A96,'NSE - NIFTY Index Options'!$B:$B,G$4,'NSE - NIFTY Index Options'!$I:$I,"MDAW*")+SUMIFS('NSE - Other Index Options'!$M:$M,'NSE - Other Index Options'!$C:$C,$A96,'NSE - Other Index Options'!$B:$B,G$4,'NSE - Other Index Options'!$I:$I,"Weekly*")+SUMIFS('NSE - Other Index Options'!$M:$M,'NSE - Other Index Options'!$C:$C,$A96,'NSE - Other Index Options'!$B:$B,G$4,'NSE - Other Index Options'!$I:$I,"MDAW*"))</f>
        <v/>
      </c>
      <c r="H96" s="26">
        <f>IF(SUM(B96:G96)=0,"",SUM(B96:G96))</f>
        <v/>
      </c>
    </row>
    <row r="97" hidden="1" outlineLevel="1">
      <c r="A97" t="inlineStr">
        <is>
          <t>Week5-Mar-2027</t>
        </is>
      </c>
      <c r="B97" s="26">
        <f>IF(SUMIFS('NSE - NIFTY Index Options'!$M:$M,'NSE - NIFTY Index Options'!$C:$C,$A97,'NSE - NIFTY Index Options'!$B:$B,B$4,'NSE - NIFTY Index Options'!$I:$I,"Weekly*")+SUMIFS('NSE - NIFTY Index Options'!$M:$M,'NSE - NIFTY Index Options'!$C:$C,$A97,'NSE - NIFTY Index Options'!$B:$B,B$4,'NSE - NIFTY Index Options'!$I:$I,"MDAW*")+SUMIFS('NSE - Other Index Options'!$M:$M,'NSE - Other Index Options'!$C:$C,$A97,'NSE - Other Index Options'!$B:$B,B$4,'NSE - Other Index Options'!$I:$I,"Weekly*")+SUMIFS('NSE - Other Index Options'!$M:$M,'NSE - Other Index Options'!$C:$C,$A97,'NSE - Other Index Options'!$B:$B,B$4,'NSE - Other Index Options'!$I:$I,"MDAW*")=0,"",SUMIFS('NSE - NIFTY Index Options'!$M:$M,'NSE - NIFTY Index Options'!$C:$C,$A97,'NSE - NIFTY Index Options'!$B:$B,B$4,'NSE - NIFTY Index Options'!$I:$I,"Weekly*")+SUMIFS('NSE - NIFTY Index Options'!$M:$M,'NSE - NIFTY Index Options'!$C:$C,$A97,'NSE - NIFTY Index Options'!$B:$B,B$4,'NSE - NIFTY Index Options'!$I:$I,"MDAW*")+SUMIFS('NSE - Other Index Options'!$M:$M,'NSE - Other Index Options'!$C:$C,$A97,'NSE - Other Index Options'!$B:$B,B$4,'NSE - Other Index Options'!$I:$I,"Weekly*")+SUMIFS('NSE - Other Index Options'!$M:$M,'NSE - Other Index Options'!$C:$C,$A97,'NSE - Other Index Options'!$B:$B,B$4,'NSE - Other Index Options'!$I:$I,"MDAW*"))</f>
        <v/>
      </c>
      <c r="C97" s="26">
        <f>IF(SUMIFS('NSE - NIFTY Index Options'!$M:$M,'NSE - NIFTY Index Options'!$C:$C,$A97,'NSE - NIFTY Index Options'!$B:$B,C$4,'NSE - NIFTY Index Options'!$I:$I,"Weekly*")+SUMIFS('NSE - NIFTY Index Options'!$M:$M,'NSE - NIFTY Index Options'!$C:$C,$A97,'NSE - NIFTY Index Options'!$B:$B,C$4,'NSE - NIFTY Index Options'!$I:$I,"MDAW*")+SUMIFS('NSE - Other Index Options'!$M:$M,'NSE - Other Index Options'!$C:$C,$A97,'NSE - Other Index Options'!$B:$B,C$4,'NSE - Other Index Options'!$I:$I,"Weekly*")+SUMIFS('NSE - Other Index Options'!$M:$M,'NSE - Other Index Options'!$C:$C,$A97,'NSE - Other Index Options'!$B:$B,C$4,'NSE - Other Index Options'!$I:$I,"MDAW*")=0,"",SUMIFS('NSE - NIFTY Index Options'!$M:$M,'NSE - NIFTY Index Options'!$C:$C,$A97,'NSE - NIFTY Index Options'!$B:$B,C$4,'NSE - NIFTY Index Options'!$I:$I,"Weekly*")+SUMIFS('NSE - NIFTY Index Options'!$M:$M,'NSE - NIFTY Index Options'!$C:$C,$A97,'NSE - NIFTY Index Options'!$B:$B,C$4,'NSE - NIFTY Index Options'!$I:$I,"MDAW*")+SUMIFS('NSE - Other Index Options'!$M:$M,'NSE - Other Index Options'!$C:$C,$A97,'NSE - Other Index Options'!$B:$B,C$4,'NSE - Other Index Options'!$I:$I,"Weekly*")+SUMIFS('NSE - Other Index Options'!$M:$M,'NSE - Other Index Options'!$C:$C,$A97,'NSE - Other Index Options'!$B:$B,C$4,'NSE - Other Index Options'!$I:$I,"MDAW*"))</f>
        <v/>
      </c>
      <c r="D97" s="26">
        <f>IF(SUMIFS('NSE - NIFTY Index Options'!$M:$M,'NSE - NIFTY Index Options'!$C:$C,$A97,'NSE - NIFTY Index Options'!$B:$B,D$4,'NSE - NIFTY Index Options'!$I:$I,"Weekly*")+SUMIFS('NSE - NIFTY Index Options'!$M:$M,'NSE - NIFTY Index Options'!$C:$C,$A97,'NSE - NIFTY Index Options'!$B:$B,D$4,'NSE - NIFTY Index Options'!$I:$I,"MDAW*")+SUMIFS('NSE - Other Index Options'!$M:$M,'NSE - Other Index Options'!$C:$C,$A97,'NSE - Other Index Options'!$B:$B,D$4,'NSE - Other Index Options'!$I:$I,"Weekly*")+SUMIFS('NSE - Other Index Options'!$M:$M,'NSE - Other Index Options'!$C:$C,$A97,'NSE - Other Index Options'!$B:$B,D$4,'NSE - Other Index Options'!$I:$I,"MDAW*")=0,"",SUMIFS('NSE - NIFTY Index Options'!$M:$M,'NSE - NIFTY Index Options'!$C:$C,$A97,'NSE - NIFTY Index Options'!$B:$B,D$4,'NSE - NIFTY Index Options'!$I:$I,"Weekly*")+SUMIFS('NSE - NIFTY Index Options'!$M:$M,'NSE - NIFTY Index Options'!$C:$C,$A97,'NSE - NIFTY Index Options'!$B:$B,D$4,'NSE - NIFTY Index Options'!$I:$I,"MDAW*")+SUMIFS('NSE - Other Index Options'!$M:$M,'NSE - Other Index Options'!$C:$C,$A97,'NSE - Other Index Options'!$B:$B,D$4,'NSE - Other Index Options'!$I:$I,"Weekly*")+SUMIFS('NSE - Other Index Options'!$M:$M,'NSE - Other Index Options'!$C:$C,$A97,'NSE - Other Index Options'!$B:$B,D$4,'NSE - Other Index Options'!$I:$I,"MDAW*"))</f>
        <v/>
      </c>
      <c r="E97" s="26">
        <f>IF(SUMIFS('NSE - NIFTY Index Options'!$M:$M,'NSE - NIFTY Index Options'!$C:$C,$A97,'NSE - NIFTY Index Options'!$B:$B,E$4,'NSE - NIFTY Index Options'!$I:$I,"Weekly*")+SUMIFS('NSE - NIFTY Index Options'!$M:$M,'NSE - NIFTY Index Options'!$C:$C,$A97,'NSE - NIFTY Index Options'!$B:$B,E$4,'NSE - NIFTY Index Options'!$I:$I,"MDAW*")+SUMIFS('NSE - Other Index Options'!$M:$M,'NSE - Other Index Options'!$C:$C,$A97,'NSE - Other Index Options'!$B:$B,E$4,'NSE - Other Index Options'!$I:$I,"Weekly*")+SUMIFS('NSE - Other Index Options'!$M:$M,'NSE - Other Index Options'!$C:$C,$A97,'NSE - Other Index Options'!$B:$B,E$4,'NSE - Other Index Options'!$I:$I,"MDAW*")=0,"",SUMIFS('NSE - NIFTY Index Options'!$M:$M,'NSE - NIFTY Index Options'!$C:$C,$A97,'NSE - NIFTY Index Options'!$B:$B,E$4,'NSE - NIFTY Index Options'!$I:$I,"Weekly*")+SUMIFS('NSE - NIFTY Index Options'!$M:$M,'NSE - NIFTY Index Options'!$C:$C,$A97,'NSE - NIFTY Index Options'!$B:$B,E$4,'NSE - NIFTY Index Options'!$I:$I,"MDAW*")+SUMIFS('NSE - Other Index Options'!$M:$M,'NSE - Other Index Options'!$C:$C,$A97,'NSE - Other Index Options'!$B:$B,E$4,'NSE - Other Index Options'!$I:$I,"Weekly*")+SUMIFS('NSE - Other Index Options'!$M:$M,'NSE - Other Index Options'!$C:$C,$A97,'NSE - Other Index Options'!$B:$B,E$4,'NSE - Other Index Options'!$I:$I,"MDAW*"))</f>
        <v/>
      </c>
      <c r="F97" s="26">
        <f>IF(SUMIFS('NSE - NIFTY Index Options'!$M:$M,'NSE - NIFTY Index Options'!$C:$C,$A97,'NSE - NIFTY Index Options'!$B:$B,F$4,'NSE - NIFTY Index Options'!$I:$I,"Weekly*")+SUMIFS('NSE - NIFTY Index Options'!$M:$M,'NSE - NIFTY Index Options'!$C:$C,$A97,'NSE - NIFTY Index Options'!$B:$B,F$4,'NSE - NIFTY Index Options'!$I:$I,"MDAW*")+SUMIFS('NSE - Other Index Options'!$M:$M,'NSE - Other Index Options'!$C:$C,$A97,'NSE - Other Index Options'!$B:$B,F$4,'NSE - Other Index Options'!$I:$I,"Weekly*")+SUMIFS('NSE - Other Index Options'!$M:$M,'NSE - Other Index Options'!$C:$C,$A97,'NSE - Other Index Options'!$B:$B,F$4,'NSE - Other Index Options'!$I:$I,"MDAW*")=0,"",SUMIFS('NSE - NIFTY Index Options'!$M:$M,'NSE - NIFTY Index Options'!$C:$C,$A97,'NSE - NIFTY Index Options'!$B:$B,F$4,'NSE - NIFTY Index Options'!$I:$I,"Weekly*")+SUMIFS('NSE - NIFTY Index Options'!$M:$M,'NSE - NIFTY Index Options'!$C:$C,$A97,'NSE - NIFTY Index Options'!$B:$B,F$4,'NSE - NIFTY Index Options'!$I:$I,"MDAW*")+SUMIFS('NSE - Other Index Options'!$M:$M,'NSE - Other Index Options'!$C:$C,$A97,'NSE - Other Index Options'!$B:$B,F$4,'NSE - Other Index Options'!$I:$I,"Weekly*")+SUMIFS('NSE - Other Index Options'!$M:$M,'NSE - Other Index Options'!$C:$C,$A97,'NSE - Other Index Options'!$B:$B,F$4,'NSE - Other Index Options'!$I:$I,"MDAW*"))</f>
        <v/>
      </c>
      <c r="G97" s="26">
        <f>IF(SUMIFS('NSE - NIFTY Index Options'!$M:$M,'NSE - NIFTY Index Options'!$C:$C,$A97,'NSE - NIFTY Index Options'!$B:$B,G$4,'NSE - NIFTY Index Options'!$I:$I,"Weekly*")+SUMIFS('NSE - NIFTY Index Options'!$M:$M,'NSE - NIFTY Index Options'!$C:$C,$A97,'NSE - NIFTY Index Options'!$B:$B,G$4,'NSE - NIFTY Index Options'!$I:$I,"MDAW*")+SUMIFS('NSE - Other Index Options'!$M:$M,'NSE - Other Index Options'!$C:$C,$A97,'NSE - Other Index Options'!$B:$B,G$4,'NSE - Other Index Options'!$I:$I,"Weekly*")+SUMIFS('NSE - Other Index Options'!$M:$M,'NSE - Other Index Options'!$C:$C,$A97,'NSE - Other Index Options'!$B:$B,G$4,'NSE - Other Index Options'!$I:$I,"MDAW*")=0,"",SUMIFS('NSE - NIFTY Index Options'!$M:$M,'NSE - NIFTY Index Options'!$C:$C,$A97,'NSE - NIFTY Index Options'!$B:$B,G$4,'NSE - NIFTY Index Options'!$I:$I,"Weekly*")+SUMIFS('NSE - NIFTY Index Options'!$M:$M,'NSE - NIFTY Index Options'!$C:$C,$A97,'NSE - NIFTY Index Options'!$B:$B,G$4,'NSE - NIFTY Index Options'!$I:$I,"MDAW*")+SUMIFS('NSE - Other Index Options'!$M:$M,'NSE - Other Index Options'!$C:$C,$A97,'NSE - Other Index Options'!$B:$B,G$4,'NSE - Other Index Options'!$I:$I,"Weekly*")+SUMIFS('NSE - Other Index Options'!$M:$M,'NSE - Other Index Options'!$C:$C,$A97,'NSE - Other Index Options'!$B:$B,G$4,'NSE - Other Index Options'!$I:$I,"MDAW*"))</f>
        <v/>
      </c>
      <c r="H97" s="26">
        <f>IF(SUM(B97:G97)=0,"",SUM(B97:G97))</f>
        <v/>
      </c>
    </row>
    <row r="98" hidden="1" outlineLevel="1">
      <c r="A98" t="inlineStr">
        <is>
          <t>Week1-Apr-2027</t>
        </is>
      </c>
      <c r="B98" s="26">
        <f>IF(SUMIFS('NSE - NIFTY Index Options'!$M:$M,'NSE - NIFTY Index Options'!$C:$C,$A98,'NSE - NIFTY Index Options'!$B:$B,B$4,'NSE - NIFTY Index Options'!$I:$I,"Weekly*")+SUMIFS('NSE - NIFTY Index Options'!$M:$M,'NSE - NIFTY Index Options'!$C:$C,$A98,'NSE - NIFTY Index Options'!$B:$B,B$4,'NSE - NIFTY Index Options'!$I:$I,"MDAW*")+SUMIFS('NSE - Other Index Options'!$M:$M,'NSE - Other Index Options'!$C:$C,$A98,'NSE - Other Index Options'!$B:$B,B$4,'NSE - Other Index Options'!$I:$I,"Weekly*")+SUMIFS('NSE - Other Index Options'!$M:$M,'NSE - Other Index Options'!$C:$C,$A98,'NSE - Other Index Options'!$B:$B,B$4,'NSE - Other Index Options'!$I:$I,"MDAW*")=0,"",SUMIFS('NSE - NIFTY Index Options'!$M:$M,'NSE - NIFTY Index Options'!$C:$C,$A98,'NSE - NIFTY Index Options'!$B:$B,B$4,'NSE - NIFTY Index Options'!$I:$I,"Weekly*")+SUMIFS('NSE - NIFTY Index Options'!$M:$M,'NSE - NIFTY Index Options'!$C:$C,$A98,'NSE - NIFTY Index Options'!$B:$B,B$4,'NSE - NIFTY Index Options'!$I:$I,"MDAW*")+SUMIFS('NSE - Other Index Options'!$M:$M,'NSE - Other Index Options'!$C:$C,$A98,'NSE - Other Index Options'!$B:$B,B$4,'NSE - Other Index Options'!$I:$I,"Weekly*")+SUMIFS('NSE - Other Index Options'!$M:$M,'NSE - Other Index Options'!$C:$C,$A98,'NSE - Other Index Options'!$B:$B,B$4,'NSE - Other Index Options'!$I:$I,"MDAW*"))</f>
        <v/>
      </c>
      <c r="C98" s="26">
        <f>IF(SUMIFS('NSE - NIFTY Index Options'!$M:$M,'NSE - NIFTY Index Options'!$C:$C,$A98,'NSE - NIFTY Index Options'!$B:$B,C$4,'NSE - NIFTY Index Options'!$I:$I,"Weekly*")+SUMIFS('NSE - NIFTY Index Options'!$M:$M,'NSE - NIFTY Index Options'!$C:$C,$A98,'NSE - NIFTY Index Options'!$B:$B,C$4,'NSE - NIFTY Index Options'!$I:$I,"MDAW*")+SUMIFS('NSE - Other Index Options'!$M:$M,'NSE - Other Index Options'!$C:$C,$A98,'NSE - Other Index Options'!$B:$B,C$4,'NSE - Other Index Options'!$I:$I,"Weekly*")+SUMIFS('NSE - Other Index Options'!$M:$M,'NSE - Other Index Options'!$C:$C,$A98,'NSE - Other Index Options'!$B:$B,C$4,'NSE - Other Index Options'!$I:$I,"MDAW*")=0,"",SUMIFS('NSE - NIFTY Index Options'!$M:$M,'NSE - NIFTY Index Options'!$C:$C,$A98,'NSE - NIFTY Index Options'!$B:$B,C$4,'NSE - NIFTY Index Options'!$I:$I,"Weekly*")+SUMIFS('NSE - NIFTY Index Options'!$M:$M,'NSE - NIFTY Index Options'!$C:$C,$A98,'NSE - NIFTY Index Options'!$B:$B,C$4,'NSE - NIFTY Index Options'!$I:$I,"MDAW*")+SUMIFS('NSE - Other Index Options'!$M:$M,'NSE - Other Index Options'!$C:$C,$A98,'NSE - Other Index Options'!$B:$B,C$4,'NSE - Other Index Options'!$I:$I,"Weekly*")+SUMIFS('NSE - Other Index Options'!$M:$M,'NSE - Other Index Options'!$C:$C,$A98,'NSE - Other Index Options'!$B:$B,C$4,'NSE - Other Index Options'!$I:$I,"MDAW*"))</f>
        <v/>
      </c>
      <c r="D98" s="26">
        <f>IF(SUMIFS('NSE - NIFTY Index Options'!$M:$M,'NSE - NIFTY Index Options'!$C:$C,$A98,'NSE - NIFTY Index Options'!$B:$B,D$4,'NSE - NIFTY Index Options'!$I:$I,"Weekly*")+SUMIFS('NSE - NIFTY Index Options'!$M:$M,'NSE - NIFTY Index Options'!$C:$C,$A98,'NSE - NIFTY Index Options'!$B:$B,D$4,'NSE - NIFTY Index Options'!$I:$I,"MDAW*")+SUMIFS('NSE - Other Index Options'!$M:$M,'NSE - Other Index Options'!$C:$C,$A98,'NSE - Other Index Options'!$B:$B,D$4,'NSE - Other Index Options'!$I:$I,"Weekly*")+SUMIFS('NSE - Other Index Options'!$M:$M,'NSE - Other Index Options'!$C:$C,$A98,'NSE - Other Index Options'!$B:$B,D$4,'NSE - Other Index Options'!$I:$I,"MDAW*")=0,"",SUMIFS('NSE - NIFTY Index Options'!$M:$M,'NSE - NIFTY Index Options'!$C:$C,$A98,'NSE - NIFTY Index Options'!$B:$B,D$4,'NSE - NIFTY Index Options'!$I:$I,"Weekly*")+SUMIFS('NSE - NIFTY Index Options'!$M:$M,'NSE - NIFTY Index Options'!$C:$C,$A98,'NSE - NIFTY Index Options'!$B:$B,D$4,'NSE - NIFTY Index Options'!$I:$I,"MDAW*")+SUMIFS('NSE - Other Index Options'!$M:$M,'NSE - Other Index Options'!$C:$C,$A98,'NSE - Other Index Options'!$B:$B,D$4,'NSE - Other Index Options'!$I:$I,"Weekly*")+SUMIFS('NSE - Other Index Options'!$M:$M,'NSE - Other Index Options'!$C:$C,$A98,'NSE - Other Index Options'!$B:$B,D$4,'NSE - Other Index Options'!$I:$I,"MDAW*"))</f>
        <v/>
      </c>
      <c r="E98" s="26">
        <f>IF(SUMIFS('NSE - NIFTY Index Options'!$M:$M,'NSE - NIFTY Index Options'!$C:$C,$A98,'NSE - NIFTY Index Options'!$B:$B,E$4,'NSE - NIFTY Index Options'!$I:$I,"Weekly*")+SUMIFS('NSE - NIFTY Index Options'!$M:$M,'NSE - NIFTY Index Options'!$C:$C,$A98,'NSE - NIFTY Index Options'!$B:$B,E$4,'NSE - NIFTY Index Options'!$I:$I,"MDAW*")+SUMIFS('NSE - Other Index Options'!$M:$M,'NSE - Other Index Options'!$C:$C,$A98,'NSE - Other Index Options'!$B:$B,E$4,'NSE - Other Index Options'!$I:$I,"Weekly*")+SUMIFS('NSE - Other Index Options'!$M:$M,'NSE - Other Index Options'!$C:$C,$A98,'NSE - Other Index Options'!$B:$B,E$4,'NSE - Other Index Options'!$I:$I,"MDAW*")=0,"",SUMIFS('NSE - NIFTY Index Options'!$M:$M,'NSE - NIFTY Index Options'!$C:$C,$A98,'NSE - NIFTY Index Options'!$B:$B,E$4,'NSE - NIFTY Index Options'!$I:$I,"Weekly*")+SUMIFS('NSE - NIFTY Index Options'!$M:$M,'NSE - NIFTY Index Options'!$C:$C,$A98,'NSE - NIFTY Index Options'!$B:$B,E$4,'NSE - NIFTY Index Options'!$I:$I,"MDAW*")+SUMIFS('NSE - Other Index Options'!$M:$M,'NSE - Other Index Options'!$C:$C,$A98,'NSE - Other Index Options'!$B:$B,E$4,'NSE - Other Index Options'!$I:$I,"Weekly*")+SUMIFS('NSE - Other Index Options'!$M:$M,'NSE - Other Index Options'!$C:$C,$A98,'NSE - Other Index Options'!$B:$B,E$4,'NSE - Other Index Options'!$I:$I,"MDAW*"))</f>
        <v/>
      </c>
      <c r="F98" s="26">
        <f>IF(SUMIFS('NSE - NIFTY Index Options'!$M:$M,'NSE - NIFTY Index Options'!$C:$C,$A98,'NSE - NIFTY Index Options'!$B:$B,F$4,'NSE - NIFTY Index Options'!$I:$I,"Weekly*")+SUMIFS('NSE - NIFTY Index Options'!$M:$M,'NSE - NIFTY Index Options'!$C:$C,$A98,'NSE - NIFTY Index Options'!$B:$B,F$4,'NSE - NIFTY Index Options'!$I:$I,"MDAW*")+SUMIFS('NSE - Other Index Options'!$M:$M,'NSE - Other Index Options'!$C:$C,$A98,'NSE - Other Index Options'!$B:$B,F$4,'NSE - Other Index Options'!$I:$I,"Weekly*")+SUMIFS('NSE - Other Index Options'!$M:$M,'NSE - Other Index Options'!$C:$C,$A98,'NSE - Other Index Options'!$B:$B,F$4,'NSE - Other Index Options'!$I:$I,"MDAW*")=0,"",SUMIFS('NSE - NIFTY Index Options'!$M:$M,'NSE - NIFTY Index Options'!$C:$C,$A98,'NSE - NIFTY Index Options'!$B:$B,F$4,'NSE - NIFTY Index Options'!$I:$I,"Weekly*")+SUMIFS('NSE - NIFTY Index Options'!$M:$M,'NSE - NIFTY Index Options'!$C:$C,$A98,'NSE - NIFTY Index Options'!$B:$B,F$4,'NSE - NIFTY Index Options'!$I:$I,"MDAW*")+SUMIFS('NSE - Other Index Options'!$M:$M,'NSE - Other Index Options'!$C:$C,$A98,'NSE - Other Index Options'!$B:$B,F$4,'NSE - Other Index Options'!$I:$I,"Weekly*")+SUMIFS('NSE - Other Index Options'!$M:$M,'NSE - Other Index Options'!$C:$C,$A98,'NSE - Other Index Options'!$B:$B,F$4,'NSE - Other Index Options'!$I:$I,"MDAW*"))</f>
        <v/>
      </c>
      <c r="G98" s="26">
        <f>IF(SUMIFS('NSE - NIFTY Index Options'!$M:$M,'NSE - NIFTY Index Options'!$C:$C,$A98,'NSE - NIFTY Index Options'!$B:$B,G$4,'NSE - NIFTY Index Options'!$I:$I,"Weekly*")+SUMIFS('NSE - NIFTY Index Options'!$M:$M,'NSE - NIFTY Index Options'!$C:$C,$A98,'NSE - NIFTY Index Options'!$B:$B,G$4,'NSE - NIFTY Index Options'!$I:$I,"MDAW*")+SUMIFS('NSE - Other Index Options'!$M:$M,'NSE - Other Index Options'!$C:$C,$A98,'NSE - Other Index Options'!$B:$B,G$4,'NSE - Other Index Options'!$I:$I,"Weekly*")+SUMIFS('NSE - Other Index Options'!$M:$M,'NSE - Other Index Options'!$C:$C,$A98,'NSE - Other Index Options'!$B:$B,G$4,'NSE - Other Index Options'!$I:$I,"MDAW*")=0,"",SUMIFS('NSE - NIFTY Index Options'!$M:$M,'NSE - NIFTY Index Options'!$C:$C,$A98,'NSE - NIFTY Index Options'!$B:$B,G$4,'NSE - NIFTY Index Options'!$I:$I,"Weekly*")+SUMIFS('NSE - NIFTY Index Options'!$M:$M,'NSE - NIFTY Index Options'!$C:$C,$A98,'NSE - NIFTY Index Options'!$B:$B,G$4,'NSE - NIFTY Index Options'!$I:$I,"MDAW*")+SUMIFS('NSE - Other Index Options'!$M:$M,'NSE - Other Index Options'!$C:$C,$A98,'NSE - Other Index Options'!$B:$B,G$4,'NSE - Other Index Options'!$I:$I,"Weekly*")+SUMIFS('NSE - Other Index Options'!$M:$M,'NSE - Other Index Options'!$C:$C,$A98,'NSE - Other Index Options'!$B:$B,G$4,'NSE - Other Index Options'!$I:$I,"MDAW*"))</f>
        <v/>
      </c>
      <c r="H98" s="26">
        <f>IF(SUM(B98:G98)=0,"",SUM(B98:G98))</f>
        <v/>
      </c>
    </row>
    <row r="99" hidden="1" outlineLevel="1">
      <c r="A99" t="inlineStr">
        <is>
          <t>Week2-Apr-2027</t>
        </is>
      </c>
      <c r="B99" s="26">
        <f>IF(SUMIFS('NSE - NIFTY Index Options'!$M:$M,'NSE - NIFTY Index Options'!$C:$C,$A99,'NSE - NIFTY Index Options'!$B:$B,B$4,'NSE - NIFTY Index Options'!$I:$I,"Weekly*")+SUMIFS('NSE - NIFTY Index Options'!$M:$M,'NSE - NIFTY Index Options'!$C:$C,$A99,'NSE - NIFTY Index Options'!$B:$B,B$4,'NSE - NIFTY Index Options'!$I:$I,"MDAW*")+SUMIFS('NSE - Other Index Options'!$M:$M,'NSE - Other Index Options'!$C:$C,$A99,'NSE - Other Index Options'!$B:$B,B$4,'NSE - Other Index Options'!$I:$I,"Weekly*")+SUMIFS('NSE - Other Index Options'!$M:$M,'NSE - Other Index Options'!$C:$C,$A99,'NSE - Other Index Options'!$B:$B,B$4,'NSE - Other Index Options'!$I:$I,"MDAW*")=0,"",SUMIFS('NSE - NIFTY Index Options'!$M:$M,'NSE - NIFTY Index Options'!$C:$C,$A99,'NSE - NIFTY Index Options'!$B:$B,B$4,'NSE - NIFTY Index Options'!$I:$I,"Weekly*")+SUMIFS('NSE - NIFTY Index Options'!$M:$M,'NSE - NIFTY Index Options'!$C:$C,$A99,'NSE - NIFTY Index Options'!$B:$B,B$4,'NSE - NIFTY Index Options'!$I:$I,"MDAW*")+SUMIFS('NSE - Other Index Options'!$M:$M,'NSE - Other Index Options'!$C:$C,$A99,'NSE - Other Index Options'!$B:$B,B$4,'NSE - Other Index Options'!$I:$I,"Weekly*")+SUMIFS('NSE - Other Index Options'!$M:$M,'NSE - Other Index Options'!$C:$C,$A99,'NSE - Other Index Options'!$B:$B,B$4,'NSE - Other Index Options'!$I:$I,"MDAW*"))</f>
        <v/>
      </c>
      <c r="C99" s="26">
        <f>IF(SUMIFS('NSE - NIFTY Index Options'!$M:$M,'NSE - NIFTY Index Options'!$C:$C,$A99,'NSE - NIFTY Index Options'!$B:$B,C$4,'NSE - NIFTY Index Options'!$I:$I,"Weekly*")+SUMIFS('NSE - NIFTY Index Options'!$M:$M,'NSE - NIFTY Index Options'!$C:$C,$A99,'NSE - NIFTY Index Options'!$B:$B,C$4,'NSE - NIFTY Index Options'!$I:$I,"MDAW*")+SUMIFS('NSE - Other Index Options'!$M:$M,'NSE - Other Index Options'!$C:$C,$A99,'NSE - Other Index Options'!$B:$B,C$4,'NSE - Other Index Options'!$I:$I,"Weekly*")+SUMIFS('NSE - Other Index Options'!$M:$M,'NSE - Other Index Options'!$C:$C,$A99,'NSE - Other Index Options'!$B:$B,C$4,'NSE - Other Index Options'!$I:$I,"MDAW*")=0,"",SUMIFS('NSE - NIFTY Index Options'!$M:$M,'NSE - NIFTY Index Options'!$C:$C,$A99,'NSE - NIFTY Index Options'!$B:$B,C$4,'NSE - NIFTY Index Options'!$I:$I,"Weekly*")+SUMIFS('NSE - NIFTY Index Options'!$M:$M,'NSE - NIFTY Index Options'!$C:$C,$A99,'NSE - NIFTY Index Options'!$B:$B,C$4,'NSE - NIFTY Index Options'!$I:$I,"MDAW*")+SUMIFS('NSE - Other Index Options'!$M:$M,'NSE - Other Index Options'!$C:$C,$A99,'NSE - Other Index Options'!$B:$B,C$4,'NSE - Other Index Options'!$I:$I,"Weekly*")+SUMIFS('NSE - Other Index Options'!$M:$M,'NSE - Other Index Options'!$C:$C,$A99,'NSE - Other Index Options'!$B:$B,C$4,'NSE - Other Index Options'!$I:$I,"MDAW*"))</f>
        <v/>
      </c>
      <c r="D99" s="26">
        <f>IF(SUMIFS('NSE - NIFTY Index Options'!$M:$M,'NSE - NIFTY Index Options'!$C:$C,$A99,'NSE - NIFTY Index Options'!$B:$B,D$4,'NSE - NIFTY Index Options'!$I:$I,"Weekly*")+SUMIFS('NSE - NIFTY Index Options'!$M:$M,'NSE - NIFTY Index Options'!$C:$C,$A99,'NSE - NIFTY Index Options'!$B:$B,D$4,'NSE - NIFTY Index Options'!$I:$I,"MDAW*")+SUMIFS('NSE - Other Index Options'!$M:$M,'NSE - Other Index Options'!$C:$C,$A99,'NSE - Other Index Options'!$B:$B,D$4,'NSE - Other Index Options'!$I:$I,"Weekly*")+SUMIFS('NSE - Other Index Options'!$M:$M,'NSE - Other Index Options'!$C:$C,$A99,'NSE - Other Index Options'!$B:$B,D$4,'NSE - Other Index Options'!$I:$I,"MDAW*")=0,"",SUMIFS('NSE - NIFTY Index Options'!$M:$M,'NSE - NIFTY Index Options'!$C:$C,$A99,'NSE - NIFTY Index Options'!$B:$B,D$4,'NSE - NIFTY Index Options'!$I:$I,"Weekly*")+SUMIFS('NSE - NIFTY Index Options'!$M:$M,'NSE - NIFTY Index Options'!$C:$C,$A99,'NSE - NIFTY Index Options'!$B:$B,D$4,'NSE - NIFTY Index Options'!$I:$I,"MDAW*")+SUMIFS('NSE - Other Index Options'!$M:$M,'NSE - Other Index Options'!$C:$C,$A99,'NSE - Other Index Options'!$B:$B,D$4,'NSE - Other Index Options'!$I:$I,"Weekly*")+SUMIFS('NSE - Other Index Options'!$M:$M,'NSE - Other Index Options'!$C:$C,$A99,'NSE - Other Index Options'!$B:$B,D$4,'NSE - Other Index Options'!$I:$I,"MDAW*"))</f>
        <v/>
      </c>
      <c r="E99" s="26">
        <f>IF(SUMIFS('NSE - NIFTY Index Options'!$M:$M,'NSE - NIFTY Index Options'!$C:$C,$A99,'NSE - NIFTY Index Options'!$B:$B,E$4,'NSE - NIFTY Index Options'!$I:$I,"Weekly*")+SUMIFS('NSE - NIFTY Index Options'!$M:$M,'NSE - NIFTY Index Options'!$C:$C,$A99,'NSE - NIFTY Index Options'!$B:$B,E$4,'NSE - NIFTY Index Options'!$I:$I,"MDAW*")+SUMIFS('NSE - Other Index Options'!$M:$M,'NSE - Other Index Options'!$C:$C,$A99,'NSE - Other Index Options'!$B:$B,E$4,'NSE - Other Index Options'!$I:$I,"Weekly*")+SUMIFS('NSE - Other Index Options'!$M:$M,'NSE - Other Index Options'!$C:$C,$A99,'NSE - Other Index Options'!$B:$B,E$4,'NSE - Other Index Options'!$I:$I,"MDAW*")=0,"",SUMIFS('NSE - NIFTY Index Options'!$M:$M,'NSE - NIFTY Index Options'!$C:$C,$A99,'NSE - NIFTY Index Options'!$B:$B,E$4,'NSE - NIFTY Index Options'!$I:$I,"Weekly*")+SUMIFS('NSE - NIFTY Index Options'!$M:$M,'NSE - NIFTY Index Options'!$C:$C,$A99,'NSE - NIFTY Index Options'!$B:$B,E$4,'NSE - NIFTY Index Options'!$I:$I,"MDAW*")+SUMIFS('NSE - Other Index Options'!$M:$M,'NSE - Other Index Options'!$C:$C,$A99,'NSE - Other Index Options'!$B:$B,E$4,'NSE - Other Index Options'!$I:$I,"Weekly*")+SUMIFS('NSE - Other Index Options'!$M:$M,'NSE - Other Index Options'!$C:$C,$A99,'NSE - Other Index Options'!$B:$B,E$4,'NSE - Other Index Options'!$I:$I,"MDAW*"))</f>
        <v/>
      </c>
      <c r="F99" s="26">
        <f>IF(SUMIFS('NSE - NIFTY Index Options'!$M:$M,'NSE - NIFTY Index Options'!$C:$C,$A99,'NSE - NIFTY Index Options'!$B:$B,F$4,'NSE - NIFTY Index Options'!$I:$I,"Weekly*")+SUMIFS('NSE - NIFTY Index Options'!$M:$M,'NSE - NIFTY Index Options'!$C:$C,$A99,'NSE - NIFTY Index Options'!$B:$B,F$4,'NSE - NIFTY Index Options'!$I:$I,"MDAW*")+SUMIFS('NSE - Other Index Options'!$M:$M,'NSE - Other Index Options'!$C:$C,$A99,'NSE - Other Index Options'!$B:$B,F$4,'NSE - Other Index Options'!$I:$I,"Weekly*")+SUMIFS('NSE - Other Index Options'!$M:$M,'NSE - Other Index Options'!$C:$C,$A99,'NSE - Other Index Options'!$B:$B,F$4,'NSE - Other Index Options'!$I:$I,"MDAW*")=0,"",SUMIFS('NSE - NIFTY Index Options'!$M:$M,'NSE - NIFTY Index Options'!$C:$C,$A99,'NSE - NIFTY Index Options'!$B:$B,F$4,'NSE - NIFTY Index Options'!$I:$I,"Weekly*")+SUMIFS('NSE - NIFTY Index Options'!$M:$M,'NSE - NIFTY Index Options'!$C:$C,$A99,'NSE - NIFTY Index Options'!$B:$B,F$4,'NSE - NIFTY Index Options'!$I:$I,"MDAW*")+SUMIFS('NSE - Other Index Options'!$M:$M,'NSE - Other Index Options'!$C:$C,$A99,'NSE - Other Index Options'!$B:$B,F$4,'NSE - Other Index Options'!$I:$I,"Weekly*")+SUMIFS('NSE - Other Index Options'!$M:$M,'NSE - Other Index Options'!$C:$C,$A99,'NSE - Other Index Options'!$B:$B,F$4,'NSE - Other Index Options'!$I:$I,"MDAW*"))</f>
        <v/>
      </c>
      <c r="G99" s="26">
        <f>IF(SUMIFS('NSE - NIFTY Index Options'!$M:$M,'NSE - NIFTY Index Options'!$C:$C,$A99,'NSE - NIFTY Index Options'!$B:$B,G$4,'NSE - NIFTY Index Options'!$I:$I,"Weekly*")+SUMIFS('NSE - NIFTY Index Options'!$M:$M,'NSE - NIFTY Index Options'!$C:$C,$A99,'NSE - NIFTY Index Options'!$B:$B,G$4,'NSE - NIFTY Index Options'!$I:$I,"MDAW*")+SUMIFS('NSE - Other Index Options'!$M:$M,'NSE - Other Index Options'!$C:$C,$A99,'NSE - Other Index Options'!$B:$B,G$4,'NSE - Other Index Options'!$I:$I,"Weekly*")+SUMIFS('NSE - Other Index Options'!$M:$M,'NSE - Other Index Options'!$C:$C,$A99,'NSE - Other Index Options'!$B:$B,G$4,'NSE - Other Index Options'!$I:$I,"MDAW*")=0,"",SUMIFS('NSE - NIFTY Index Options'!$M:$M,'NSE - NIFTY Index Options'!$C:$C,$A99,'NSE - NIFTY Index Options'!$B:$B,G$4,'NSE - NIFTY Index Options'!$I:$I,"Weekly*")+SUMIFS('NSE - NIFTY Index Options'!$M:$M,'NSE - NIFTY Index Options'!$C:$C,$A99,'NSE - NIFTY Index Options'!$B:$B,G$4,'NSE - NIFTY Index Options'!$I:$I,"MDAW*")+SUMIFS('NSE - Other Index Options'!$M:$M,'NSE - Other Index Options'!$C:$C,$A99,'NSE - Other Index Options'!$B:$B,G$4,'NSE - Other Index Options'!$I:$I,"Weekly*")+SUMIFS('NSE - Other Index Options'!$M:$M,'NSE - Other Index Options'!$C:$C,$A99,'NSE - Other Index Options'!$B:$B,G$4,'NSE - Other Index Options'!$I:$I,"MDAW*"))</f>
        <v/>
      </c>
      <c r="H99" s="26">
        <f>IF(SUM(B99:G99)=0,"",SUM(B99:G99))</f>
        <v/>
      </c>
    </row>
    <row r="100" hidden="1" outlineLevel="1">
      <c r="A100" t="inlineStr">
        <is>
          <t>Week3-Apr-2027</t>
        </is>
      </c>
      <c r="B100" s="26">
        <f>IF(SUMIFS('NSE - NIFTY Index Options'!$M:$M,'NSE - NIFTY Index Options'!$C:$C,$A100,'NSE - NIFTY Index Options'!$B:$B,B$4,'NSE - NIFTY Index Options'!$I:$I,"Weekly*")+SUMIFS('NSE - NIFTY Index Options'!$M:$M,'NSE - NIFTY Index Options'!$C:$C,$A100,'NSE - NIFTY Index Options'!$B:$B,B$4,'NSE - NIFTY Index Options'!$I:$I,"MDAW*")+SUMIFS('NSE - Other Index Options'!$M:$M,'NSE - Other Index Options'!$C:$C,$A100,'NSE - Other Index Options'!$B:$B,B$4,'NSE - Other Index Options'!$I:$I,"Weekly*")+SUMIFS('NSE - Other Index Options'!$M:$M,'NSE - Other Index Options'!$C:$C,$A100,'NSE - Other Index Options'!$B:$B,B$4,'NSE - Other Index Options'!$I:$I,"MDAW*")=0,"",SUMIFS('NSE - NIFTY Index Options'!$M:$M,'NSE - NIFTY Index Options'!$C:$C,$A100,'NSE - NIFTY Index Options'!$B:$B,B$4,'NSE - NIFTY Index Options'!$I:$I,"Weekly*")+SUMIFS('NSE - NIFTY Index Options'!$M:$M,'NSE - NIFTY Index Options'!$C:$C,$A100,'NSE - NIFTY Index Options'!$B:$B,B$4,'NSE - NIFTY Index Options'!$I:$I,"MDAW*")+SUMIFS('NSE - Other Index Options'!$M:$M,'NSE - Other Index Options'!$C:$C,$A100,'NSE - Other Index Options'!$B:$B,B$4,'NSE - Other Index Options'!$I:$I,"Weekly*")+SUMIFS('NSE - Other Index Options'!$M:$M,'NSE - Other Index Options'!$C:$C,$A100,'NSE - Other Index Options'!$B:$B,B$4,'NSE - Other Index Options'!$I:$I,"MDAW*"))</f>
        <v/>
      </c>
      <c r="C100" s="26">
        <f>IF(SUMIFS('NSE - NIFTY Index Options'!$M:$M,'NSE - NIFTY Index Options'!$C:$C,$A100,'NSE - NIFTY Index Options'!$B:$B,C$4,'NSE - NIFTY Index Options'!$I:$I,"Weekly*")+SUMIFS('NSE - NIFTY Index Options'!$M:$M,'NSE - NIFTY Index Options'!$C:$C,$A100,'NSE - NIFTY Index Options'!$B:$B,C$4,'NSE - NIFTY Index Options'!$I:$I,"MDAW*")+SUMIFS('NSE - Other Index Options'!$M:$M,'NSE - Other Index Options'!$C:$C,$A100,'NSE - Other Index Options'!$B:$B,C$4,'NSE - Other Index Options'!$I:$I,"Weekly*")+SUMIFS('NSE - Other Index Options'!$M:$M,'NSE - Other Index Options'!$C:$C,$A100,'NSE - Other Index Options'!$B:$B,C$4,'NSE - Other Index Options'!$I:$I,"MDAW*")=0,"",SUMIFS('NSE - NIFTY Index Options'!$M:$M,'NSE - NIFTY Index Options'!$C:$C,$A100,'NSE - NIFTY Index Options'!$B:$B,C$4,'NSE - NIFTY Index Options'!$I:$I,"Weekly*")+SUMIFS('NSE - NIFTY Index Options'!$M:$M,'NSE - NIFTY Index Options'!$C:$C,$A100,'NSE - NIFTY Index Options'!$B:$B,C$4,'NSE - NIFTY Index Options'!$I:$I,"MDAW*")+SUMIFS('NSE - Other Index Options'!$M:$M,'NSE - Other Index Options'!$C:$C,$A100,'NSE - Other Index Options'!$B:$B,C$4,'NSE - Other Index Options'!$I:$I,"Weekly*")+SUMIFS('NSE - Other Index Options'!$M:$M,'NSE - Other Index Options'!$C:$C,$A100,'NSE - Other Index Options'!$B:$B,C$4,'NSE - Other Index Options'!$I:$I,"MDAW*"))</f>
        <v/>
      </c>
      <c r="D100" s="26">
        <f>IF(SUMIFS('NSE - NIFTY Index Options'!$M:$M,'NSE - NIFTY Index Options'!$C:$C,$A100,'NSE - NIFTY Index Options'!$B:$B,D$4,'NSE - NIFTY Index Options'!$I:$I,"Weekly*")+SUMIFS('NSE - NIFTY Index Options'!$M:$M,'NSE - NIFTY Index Options'!$C:$C,$A100,'NSE - NIFTY Index Options'!$B:$B,D$4,'NSE - NIFTY Index Options'!$I:$I,"MDAW*")+SUMIFS('NSE - Other Index Options'!$M:$M,'NSE - Other Index Options'!$C:$C,$A100,'NSE - Other Index Options'!$B:$B,D$4,'NSE - Other Index Options'!$I:$I,"Weekly*")+SUMIFS('NSE - Other Index Options'!$M:$M,'NSE - Other Index Options'!$C:$C,$A100,'NSE - Other Index Options'!$B:$B,D$4,'NSE - Other Index Options'!$I:$I,"MDAW*")=0,"",SUMIFS('NSE - NIFTY Index Options'!$M:$M,'NSE - NIFTY Index Options'!$C:$C,$A100,'NSE - NIFTY Index Options'!$B:$B,D$4,'NSE - NIFTY Index Options'!$I:$I,"Weekly*")+SUMIFS('NSE - NIFTY Index Options'!$M:$M,'NSE - NIFTY Index Options'!$C:$C,$A100,'NSE - NIFTY Index Options'!$B:$B,D$4,'NSE - NIFTY Index Options'!$I:$I,"MDAW*")+SUMIFS('NSE - Other Index Options'!$M:$M,'NSE - Other Index Options'!$C:$C,$A100,'NSE - Other Index Options'!$B:$B,D$4,'NSE - Other Index Options'!$I:$I,"Weekly*")+SUMIFS('NSE - Other Index Options'!$M:$M,'NSE - Other Index Options'!$C:$C,$A100,'NSE - Other Index Options'!$B:$B,D$4,'NSE - Other Index Options'!$I:$I,"MDAW*"))</f>
        <v/>
      </c>
      <c r="E100" s="26">
        <f>IF(SUMIFS('NSE - NIFTY Index Options'!$M:$M,'NSE - NIFTY Index Options'!$C:$C,$A100,'NSE - NIFTY Index Options'!$B:$B,E$4,'NSE - NIFTY Index Options'!$I:$I,"Weekly*")+SUMIFS('NSE - NIFTY Index Options'!$M:$M,'NSE - NIFTY Index Options'!$C:$C,$A100,'NSE - NIFTY Index Options'!$B:$B,E$4,'NSE - NIFTY Index Options'!$I:$I,"MDAW*")+SUMIFS('NSE - Other Index Options'!$M:$M,'NSE - Other Index Options'!$C:$C,$A100,'NSE - Other Index Options'!$B:$B,E$4,'NSE - Other Index Options'!$I:$I,"Weekly*")+SUMIFS('NSE - Other Index Options'!$M:$M,'NSE - Other Index Options'!$C:$C,$A100,'NSE - Other Index Options'!$B:$B,E$4,'NSE - Other Index Options'!$I:$I,"MDAW*")=0,"",SUMIFS('NSE - NIFTY Index Options'!$M:$M,'NSE - NIFTY Index Options'!$C:$C,$A100,'NSE - NIFTY Index Options'!$B:$B,E$4,'NSE - NIFTY Index Options'!$I:$I,"Weekly*")+SUMIFS('NSE - NIFTY Index Options'!$M:$M,'NSE - NIFTY Index Options'!$C:$C,$A100,'NSE - NIFTY Index Options'!$B:$B,E$4,'NSE - NIFTY Index Options'!$I:$I,"MDAW*")+SUMIFS('NSE - Other Index Options'!$M:$M,'NSE - Other Index Options'!$C:$C,$A100,'NSE - Other Index Options'!$B:$B,E$4,'NSE - Other Index Options'!$I:$I,"Weekly*")+SUMIFS('NSE - Other Index Options'!$M:$M,'NSE - Other Index Options'!$C:$C,$A100,'NSE - Other Index Options'!$B:$B,E$4,'NSE - Other Index Options'!$I:$I,"MDAW*"))</f>
        <v/>
      </c>
      <c r="F100" s="26">
        <f>IF(SUMIFS('NSE - NIFTY Index Options'!$M:$M,'NSE - NIFTY Index Options'!$C:$C,$A100,'NSE - NIFTY Index Options'!$B:$B,F$4,'NSE - NIFTY Index Options'!$I:$I,"Weekly*")+SUMIFS('NSE - NIFTY Index Options'!$M:$M,'NSE - NIFTY Index Options'!$C:$C,$A100,'NSE - NIFTY Index Options'!$B:$B,F$4,'NSE - NIFTY Index Options'!$I:$I,"MDAW*")+SUMIFS('NSE - Other Index Options'!$M:$M,'NSE - Other Index Options'!$C:$C,$A100,'NSE - Other Index Options'!$B:$B,F$4,'NSE - Other Index Options'!$I:$I,"Weekly*")+SUMIFS('NSE - Other Index Options'!$M:$M,'NSE - Other Index Options'!$C:$C,$A100,'NSE - Other Index Options'!$B:$B,F$4,'NSE - Other Index Options'!$I:$I,"MDAW*")=0,"",SUMIFS('NSE - NIFTY Index Options'!$M:$M,'NSE - NIFTY Index Options'!$C:$C,$A100,'NSE - NIFTY Index Options'!$B:$B,F$4,'NSE - NIFTY Index Options'!$I:$I,"Weekly*")+SUMIFS('NSE - NIFTY Index Options'!$M:$M,'NSE - NIFTY Index Options'!$C:$C,$A100,'NSE - NIFTY Index Options'!$B:$B,F$4,'NSE - NIFTY Index Options'!$I:$I,"MDAW*")+SUMIFS('NSE - Other Index Options'!$M:$M,'NSE - Other Index Options'!$C:$C,$A100,'NSE - Other Index Options'!$B:$B,F$4,'NSE - Other Index Options'!$I:$I,"Weekly*")+SUMIFS('NSE - Other Index Options'!$M:$M,'NSE - Other Index Options'!$C:$C,$A100,'NSE - Other Index Options'!$B:$B,F$4,'NSE - Other Index Options'!$I:$I,"MDAW*"))</f>
        <v/>
      </c>
      <c r="G100" s="26">
        <f>IF(SUMIFS('NSE - NIFTY Index Options'!$M:$M,'NSE - NIFTY Index Options'!$C:$C,$A100,'NSE - NIFTY Index Options'!$B:$B,G$4,'NSE - NIFTY Index Options'!$I:$I,"Weekly*")+SUMIFS('NSE - NIFTY Index Options'!$M:$M,'NSE - NIFTY Index Options'!$C:$C,$A100,'NSE - NIFTY Index Options'!$B:$B,G$4,'NSE - NIFTY Index Options'!$I:$I,"MDAW*")+SUMIFS('NSE - Other Index Options'!$M:$M,'NSE - Other Index Options'!$C:$C,$A100,'NSE - Other Index Options'!$B:$B,G$4,'NSE - Other Index Options'!$I:$I,"Weekly*")+SUMIFS('NSE - Other Index Options'!$M:$M,'NSE - Other Index Options'!$C:$C,$A100,'NSE - Other Index Options'!$B:$B,G$4,'NSE - Other Index Options'!$I:$I,"MDAW*")=0,"",SUMIFS('NSE - NIFTY Index Options'!$M:$M,'NSE - NIFTY Index Options'!$C:$C,$A100,'NSE - NIFTY Index Options'!$B:$B,G$4,'NSE - NIFTY Index Options'!$I:$I,"Weekly*")+SUMIFS('NSE - NIFTY Index Options'!$M:$M,'NSE - NIFTY Index Options'!$C:$C,$A100,'NSE - NIFTY Index Options'!$B:$B,G$4,'NSE - NIFTY Index Options'!$I:$I,"MDAW*")+SUMIFS('NSE - Other Index Options'!$M:$M,'NSE - Other Index Options'!$C:$C,$A100,'NSE - Other Index Options'!$B:$B,G$4,'NSE - Other Index Options'!$I:$I,"Weekly*")+SUMIFS('NSE - Other Index Options'!$M:$M,'NSE - Other Index Options'!$C:$C,$A100,'NSE - Other Index Options'!$B:$B,G$4,'NSE - Other Index Options'!$I:$I,"MDAW*"))</f>
        <v/>
      </c>
      <c r="H100" s="26">
        <f>IF(SUM(B100:G100)=0,"",SUM(B100:G100))</f>
        <v/>
      </c>
    </row>
    <row r="101" hidden="1" outlineLevel="1">
      <c r="A101" t="inlineStr">
        <is>
          <t>Week4-Apr-2027</t>
        </is>
      </c>
      <c r="B101" s="26">
        <f>IF(SUMIFS('NSE - NIFTY Index Options'!$M:$M,'NSE - NIFTY Index Options'!$C:$C,$A101,'NSE - NIFTY Index Options'!$B:$B,B$4,'NSE - NIFTY Index Options'!$I:$I,"Weekly*")+SUMIFS('NSE - NIFTY Index Options'!$M:$M,'NSE - NIFTY Index Options'!$C:$C,$A101,'NSE - NIFTY Index Options'!$B:$B,B$4,'NSE - NIFTY Index Options'!$I:$I,"MDAW*")+SUMIFS('NSE - Other Index Options'!$M:$M,'NSE - Other Index Options'!$C:$C,$A101,'NSE - Other Index Options'!$B:$B,B$4,'NSE - Other Index Options'!$I:$I,"Weekly*")+SUMIFS('NSE - Other Index Options'!$M:$M,'NSE - Other Index Options'!$C:$C,$A101,'NSE - Other Index Options'!$B:$B,B$4,'NSE - Other Index Options'!$I:$I,"MDAW*")=0,"",SUMIFS('NSE - NIFTY Index Options'!$M:$M,'NSE - NIFTY Index Options'!$C:$C,$A101,'NSE - NIFTY Index Options'!$B:$B,B$4,'NSE - NIFTY Index Options'!$I:$I,"Weekly*")+SUMIFS('NSE - NIFTY Index Options'!$M:$M,'NSE - NIFTY Index Options'!$C:$C,$A101,'NSE - NIFTY Index Options'!$B:$B,B$4,'NSE - NIFTY Index Options'!$I:$I,"MDAW*")+SUMIFS('NSE - Other Index Options'!$M:$M,'NSE - Other Index Options'!$C:$C,$A101,'NSE - Other Index Options'!$B:$B,B$4,'NSE - Other Index Options'!$I:$I,"Weekly*")+SUMIFS('NSE - Other Index Options'!$M:$M,'NSE - Other Index Options'!$C:$C,$A101,'NSE - Other Index Options'!$B:$B,B$4,'NSE - Other Index Options'!$I:$I,"MDAW*"))</f>
        <v/>
      </c>
      <c r="C101" s="26">
        <f>IF(SUMIFS('NSE - NIFTY Index Options'!$M:$M,'NSE - NIFTY Index Options'!$C:$C,$A101,'NSE - NIFTY Index Options'!$B:$B,C$4,'NSE - NIFTY Index Options'!$I:$I,"Weekly*")+SUMIFS('NSE - NIFTY Index Options'!$M:$M,'NSE - NIFTY Index Options'!$C:$C,$A101,'NSE - NIFTY Index Options'!$B:$B,C$4,'NSE - NIFTY Index Options'!$I:$I,"MDAW*")+SUMIFS('NSE - Other Index Options'!$M:$M,'NSE - Other Index Options'!$C:$C,$A101,'NSE - Other Index Options'!$B:$B,C$4,'NSE - Other Index Options'!$I:$I,"Weekly*")+SUMIFS('NSE - Other Index Options'!$M:$M,'NSE - Other Index Options'!$C:$C,$A101,'NSE - Other Index Options'!$B:$B,C$4,'NSE - Other Index Options'!$I:$I,"MDAW*")=0,"",SUMIFS('NSE - NIFTY Index Options'!$M:$M,'NSE - NIFTY Index Options'!$C:$C,$A101,'NSE - NIFTY Index Options'!$B:$B,C$4,'NSE - NIFTY Index Options'!$I:$I,"Weekly*")+SUMIFS('NSE - NIFTY Index Options'!$M:$M,'NSE - NIFTY Index Options'!$C:$C,$A101,'NSE - NIFTY Index Options'!$B:$B,C$4,'NSE - NIFTY Index Options'!$I:$I,"MDAW*")+SUMIFS('NSE - Other Index Options'!$M:$M,'NSE - Other Index Options'!$C:$C,$A101,'NSE - Other Index Options'!$B:$B,C$4,'NSE - Other Index Options'!$I:$I,"Weekly*")+SUMIFS('NSE - Other Index Options'!$M:$M,'NSE - Other Index Options'!$C:$C,$A101,'NSE - Other Index Options'!$B:$B,C$4,'NSE - Other Index Options'!$I:$I,"MDAW*"))</f>
        <v/>
      </c>
      <c r="D101" s="26">
        <f>IF(SUMIFS('NSE - NIFTY Index Options'!$M:$M,'NSE - NIFTY Index Options'!$C:$C,$A101,'NSE - NIFTY Index Options'!$B:$B,D$4,'NSE - NIFTY Index Options'!$I:$I,"Weekly*")+SUMIFS('NSE - NIFTY Index Options'!$M:$M,'NSE - NIFTY Index Options'!$C:$C,$A101,'NSE - NIFTY Index Options'!$B:$B,D$4,'NSE - NIFTY Index Options'!$I:$I,"MDAW*")+SUMIFS('NSE - Other Index Options'!$M:$M,'NSE - Other Index Options'!$C:$C,$A101,'NSE - Other Index Options'!$B:$B,D$4,'NSE - Other Index Options'!$I:$I,"Weekly*")+SUMIFS('NSE - Other Index Options'!$M:$M,'NSE - Other Index Options'!$C:$C,$A101,'NSE - Other Index Options'!$B:$B,D$4,'NSE - Other Index Options'!$I:$I,"MDAW*")=0,"",SUMIFS('NSE - NIFTY Index Options'!$M:$M,'NSE - NIFTY Index Options'!$C:$C,$A101,'NSE - NIFTY Index Options'!$B:$B,D$4,'NSE - NIFTY Index Options'!$I:$I,"Weekly*")+SUMIFS('NSE - NIFTY Index Options'!$M:$M,'NSE - NIFTY Index Options'!$C:$C,$A101,'NSE - NIFTY Index Options'!$B:$B,D$4,'NSE - NIFTY Index Options'!$I:$I,"MDAW*")+SUMIFS('NSE - Other Index Options'!$M:$M,'NSE - Other Index Options'!$C:$C,$A101,'NSE - Other Index Options'!$B:$B,D$4,'NSE - Other Index Options'!$I:$I,"Weekly*")+SUMIFS('NSE - Other Index Options'!$M:$M,'NSE - Other Index Options'!$C:$C,$A101,'NSE - Other Index Options'!$B:$B,D$4,'NSE - Other Index Options'!$I:$I,"MDAW*"))</f>
        <v/>
      </c>
      <c r="E101" s="26">
        <f>IF(SUMIFS('NSE - NIFTY Index Options'!$M:$M,'NSE - NIFTY Index Options'!$C:$C,$A101,'NSE - NIFTY Index Options'!$B:$B,E$4,'NSE - NIFTY Index Options'!$I:$I,"Weekly*")+SUMIFS('NSE - NIFTY Index Options'!$M:$M,'NSE - NIFTY Index Options'!$C:$C,$A101,'NSE - NIFTY Index Options'!$B:$B,E$4,'NSE - NIFTY Index Options'!$I:$I,"MDAW*")+SUMIFS('NSE - Other Index Options'!$M:$M,'NSE - Other Index Options'!$C:$C,$A101,'NSE - Other Index Options'!$B:$B,E$4,'NSE - Other Index Options'!$I:$I,"Weekly*")+SUMIFS('NSE - Other Index Options'!$M:$M,'NSE - Other Index Options'!$C:$C,$A101,'NSE - Other Index Options'!$B:$B,E$4,'NSE - Other Index Options'!$I:$I,"MDAW*")=0,"",SUMIFS('NSE - NIFTY Index Options'!$M:$M,'NSE - NIFTY Index Options'!$C:$C,$A101,'NSE - NIFTY Index Options'!$B:$B,E$4,'NSE - NIFTY Index Options'!$I:$I,"Weekly*")+SUMIFS('NSE - NIFTY Index Options'!$M:$M,'NSE - NIFTY Index Options'!$C:$C,$A101,'NSE - NIFTY Index Options'!$B:$B,E$4,'NSE - NIFTY Index Options'!$I:$I,"MDAW*")+SUMIFS('NSE - Other Index Options'!$M:$M,'NSE - Other Index Options'!$C:$C,$A101,'NSE - Other Index Options'!$B:$B,E$4,'NSE - Other Index Options'!$I:$I,"Weekly*")+SUMIFS('NSE - Other Index Options'!$M:$M,'NSE - Other Index Options'!$C:$C,$A101,'NSE - Other Index Options'!$B:$B,E$4,'NSE - Other Index Options'!$I:$I,"MDAW*"))</f>
        <v/>
      </c>
      <c r="F101" s="26">
        <f>IF(SUMIFS('NSE - NIFTY Index Options'!$M:$M,'NSE - NIFTY Index Options'!$C:$C,$A101,'NSE - NIFTY Index Options'!$B:$B,F$4,'NSE - NIFTY Index Options'!$I:$I,"Weekly*")+SUMIFS('NSE - NIFTY Index Options'!$M:$M,'NSE - NIFTY Index Options'!$C:$C,$A101,'NSE - NIFTY Index Options'!$B:$B,F$4,'NSE - NIFTY Index Options'!$I:$I,"MDAW*")+SUMIFS('NSE - Other Index Options'!$M:$M,'NSE - Other Index Options'!$C:$C,$A101,'NSE - Other Index Options'!$B:$B,F$4,'NSE - Other Index Options'!$I:$I,"Weekly*")+SUMIFS('NSE - Other Index Options'!$M:$M,'NSE - Other Index Options'!$C:$C,$A101,'NSE - Other Index Options'!$B:$B,F$4,'NSE - Other Index Options'!$I:$I,"MDAW*")=0,"",SUMIFS('NSE - NIFTY Index Options'!$M:$M,'NSE - NIFTY Index Options'!$C:$C,$A101,'NSE - NIFTY Index Options'!$B:$B,F$4,'NSE - NIFTY Index Options'!$I:$I,"Weekly*")+SUMIFS('NSE - NIFTY Index Options'!$M:$M,'NSE - NIFTY Index Options'!$C:$C,$A101,'NSE - NIFTY Index Options'!$B:$B,F$4,'NSE - NIFTY Index Options'!$I:$I,"MDAW*")+SUMIFS('NSE - Other Index Options'!$M:$M,'NSE - Other Index Options'!$C:$C,$A101,'NSE - Other Index Options'!$B:$B,F$4,'NSE - Other Index Options'!$I:$I,"Weekly*")+SUMIFS('NSE - Other Index Options'!$M:$M,'NSE - Other Index Options'!$C:$C,$A101,'NSE - Other Index Options'!$B:$B,F$4,'NSE - Other Index Options'!$I:$I,"MDAW*"))</f>
        <v/>
      </c>
      <c r="G101" s="26">
        <f>IF(SUMIFS('NSE - NIFTY Index Options'!$M:$M,'NSE - NIFTY Index Options'!$C:$C,$A101,'NSE - NIFTY Index Options'!$B:$B,G$4,'NSE - NIFTY Index Options'!$I:$I,"Weekly*")+SUMIFS('NSE - NIFTY Index Options'!$M:$M,'NSE - NIFTY Index Options'!$C:$C,$A101,'NSE - NIFTY Index Options'!$B:$B,G$4,'NSE - NIFTY Index Options'!$I:$I,"MDAW*")+SUMIFS('NSE - Other Index Options'!$M:$M,'NSE - Other Index Options'!$C:$C,$A101,'NSE - Other Index Options'!$B:$B,G$4,'NSE - Other Index Options'!$I:$I,"Weekly*")+SUMIFS('NSE - Other Index Options'!$M:$M,'NSE - Other Index Options'!$C:$C,$A101,'NSE - Other Index Options'!$B:$B,G$4,'NSE - Other Index Options'!$I:$I,"MDAW*")=0,"",SUMIFS('NSE - NIFTY Index Options'!$M:$M,'NSE - NIFTY Index Options'!$C:$C,$A101,'NSE - NIFTY Index Options'!$B:$B,G$4,'NSE - NIFTY Index Options'!$I:$I,"Weekly*")+SUMIFS('NSE - NIFTY Index Options'!$M:$M,'NSE - NIFTY Index Options'!$C:$C,$A101,'NSE - NIFTY Index Options'!$B:$B,G$4,'NSE - NIFTY Index Options'!$I:$I,"MDAW*")+SUMIFS('NSE - Other Index Options'!$M:$M,'NSE - Other Index Options'!$C:$C,$A101,'NSE - Other Index Options'!$B:$B,G$4,'NSE - Other Index Options'!$I:$I,"Weekly*")+SUMIFS('NSE - Other Index Options'!$M:$M,'NSE - Other Index Options'!$C:$C,$A101,'NSE - Other Index Options'!$B:$B,G$4,'NSE - Other Index Options'!$I:$I,"MDAW*"))</f>
        <v/>
      </c>
      <c r="H101" s="26">
        <f>IF(SUM(B101:G101)=0,"",SUM(B101:G101))</f>
        <v/>
      </c>
    </row>
    <row r="102" hidden="1" outlineLevel="1">
      <c r="A102" t="inlineStr">
        <is>
          <t>Week5-Apr-2027</t>
        </is>
      </c>
      <c r="B102" s="26">
        <f>IF(SUMIFS('NSE - NIFTY Index Options'!$M:$M,'NSE - NIFTY Index Options'!$C:$C,$A102,'NSE - NIFTY Index Options'!$B:$B,B$4,'NSE - NIFTY Index Options'!$I:$I,"Weekly*")+SUMIFS('NSE - NIFTY Index Options'!$M:$M,'NSE - NIFTY Index Options'!$C:$C,$A102,'NSE - NIFTY Index Options'!$B:$B,B$4,'NSE - NIFTY Index Options'!$I:$I,"MDAW*")+SUMIFS('NSE - Other Index Options'!$M:$M,'NSE - Other Index Options'!$C:$C,$A102,'NSE - Other Index Options'!$B:$B,B$4,'NSE - Other Index Options'!$I:$I,"Weekly*")+SUMIFS('NSE - Other Index Options'!$M:$M,'NSE - Other Index Options'!$C:$C,$A102,'NSE - Other Index Options'!$B:$B,B$4,'NSE - Other Index Options'!$I:$I,"MDAW*")=0,"",SUMIFS('NSE - NIFTY Index Options'!$M:$M,'NSE - NIFTY Index Options'!$C:$C,$A102,'NSE - NIFTY Index Options'!$B:$B,B$4,'NSE - NIFTY Index Options'!$I:$I,"Weekly*")+SUMIFS('NSE - NIFTY Index Options'!$M:$M,'NSE - NIFTY Index Options'!$C:$C,$A102,'NSE - NIFTY Index Options'!$B:$B,B$4,'NSE - NIFTY Index Options'!$I:$I,"MDAW*")+SUMIFS('NSE - Other Index Options'!$M:$M,'NSE - Other Index Options'!$C:$C,$A102,'NSE - Other Index Options'!$B:$B,B$4,'NSE - Other Index Options'!$I:$I,"Weekly*")+SUMIFS('NSE - Other Index Options'!$M:$M,'NSE - Other Index Options'!$C:$C,$A102,'NSE - Other Index Options'!$B:$B,B$4,'NSE - Other Index Options'!$I:$I,"MDAW*"))</f>
        <v/>
      </c>
      <c r="C102" s="26">
        <f>IF(SUMIFS('NSE - NIFTY Index Options'!$M:$M,'NSE - NIFTY Index Options'!$C:$C,$A102,'NSE - NIFTY Index Options'!$B:$B,C$4,'NSE - NIFTY Index Options'!$I:$I,"Weekly*")+SUMIFS('NSE - NIFTY Index Options'!$M:$M,'NSE - NIFTY Index Options'!$C:$C,$A102,'NSE - NIFTY Index Options'!$B:$B,C$4,'NSE - NIFTY Index Options'!$I:$I,"MDAW*")+SUMIFS('NSE - Other Index Options'!$M:$M,'NSE - Other Index Options'!$C:$C,$A102,'NSE - Other Index Options'!$B:$B,C$4,'NSE - Other Index Options'!$I:$I,"Weekly*")+SUMIFS('NSE - Other Index Options'!$M:$M,'NSE - Other Index Options'!$C:$C,$A102,'NSE - Other Index Options'!$B:$B,C$4,'NSE - Other Index Options'!$I:$I,"MDAW*")=0,"",SUMIFS('NSE - NIFTY Index Options'!$M:$M,'NSE - NIFTY Index Options'!$C:$C,$A102,'NSE - NIFTY Index Options'!$B:$B,C$4,'NSE - NIFTY Index Options'!$I:$I,"Weekly*")+SUMIFS('NSE - NIFTY Index Options'!$M:$M,'NSE - NIFTY Index Options'!$C:$C,$A102,'NSE - NIFTY Index Options'!$B:$B,C$4,'NSE - NIFTY Index Options'!$I:$I,"MDAW*")+SUMIFS('NSE - Other Index Options'!$M:$M,'NSE - Other Index Options'!$C:$C,$A102,'NSE - Other Index Options'!$B:$B,C$4,'NSE - Other Index Options'!$I:$I,"Weekly*")+SUMIFS('NSE - Other Index Options'!$M:$M,'NSE - Other Index Options'!$C:$C,$A102,'NSE - Other Index Options'!$B:$B,C$4,'NSE - Other Index Options'!$I:$I,"MDAW*"))</f>
        <v/>
      </c>
      <c r="D102" s="26">
        <f>IF(SUMIFS('NSE - NIFTY Index Options'!$M:$M,'NSE - NIFTY Index Options'!$C:$C,$A102,'NSE - NIFTY Index Options'!$B:$B,D$4,'NSE - NIFTY Index Options'!$I:$I,"Weekly*")+SUMIFS('NSE - NIFTY Index Options'!$M:$M,'NSE - NIFTY Index Options'!$C:$C,$A102,'NSE - NIFTY Index Options'!$B:$B,D$4,'NSE - NIFTY Index Options'!$I:$I,"MDAW*")+SUMIFS('NSE - Other Index Options'!$M:$M,'NSE - Other Index Options'!$C:$C,$A102,'NSE - Other Index Options'!$B:$B,D$4,'NSE - Other Index Options'!$I:$I,"Weekly*")+SUMIFS('NSE - Other Index Options'!$M:$M,'NSE - Other Index Options'!$C:$C,$A102,'NSE - Other Index Options'!$B:$B,D$4,'NSE - Other Index Options'!$I:$I,"MDAW*")=0,"",SUMIFS('NSE - NIFTY Index Options'!$M:$M,'NSE - NIFTY Index Options'!$C:$C,$A102,'NSE - NIFTY Index Options'!$B:$B,D$4,'NSE - NIFTY Index Options'!$I:$I,"Weekly*")+SUMIFS('NSE - NIFTY Index Options'!$M:$M,'NSE - NIFTY Index Options'!$C:$C,$A102,'NSE - NIFTY Index Options'!$B:$B,D$4,'NSE - NIFTY Index Options'!$I:$I,"MDAW*")+SUMIFS('NSE - Other Index Options'!$M:$M,'NSE - Other Index Options'!$C:$C,$A102,'NSE - Other Index Options'!$B:$B,D$4,'NSE - Other Index Options'!$I:$I,"Weekly*")+SUMIFS('NSE - Other Index Options'!$M:$M,'NSE - Other Index Options'!$C:$C,$A102,'NSE - Other Index Options'!$B:$B,D$4,'NSE - Other Index Options'!$I:$I,"MDAW*"))</f>
        <v/>
      </c>
      <c r="E102" s="26">
        <f>IF(SUMIFS('NSE - NIFTY Index Options'!$M:$M,'NSE - NIFTY Index Options'!$C:$C,$A102,'NSE - NIFTY Index Options'!$B:$B,E$4,'NSE - NIFTY Index Options'!$I:$I,"Weekly*")+SUMIFS('NSE - NIFTY Index Options'!$M:$M,'NSE - NIFTY Index Options'!$C:$C,$A102,'NSE - NIFTY Index Options'!$B:$B,E$4,'NSE - NIFTY Index Options'!$I:$I,"MDAW*")+SUMIFS('NSE - Other Index Options'!$M:$M,'NSE - Other Index Options'!$C:$C,$A102,'NSE - Other Index Options'!$B:$B,E$4,'NSE - Other Index Options'!$I:$I,"Weekly*")+SUMIFS('NSE - Other Index Options'!$M:$M,'NSE - Other Index Options'!$C:$C,$A102,'NSE - Other Index Options'!$B:$B,E$4,'NSE - Other Index Options'!$I:$I,"MDAW*")=0,"",SUMIFS('NSE - NIFTY Index Options'!$M:$M,'NSE - NIFTY Index Options'!$C:$C,$A102,'NSE - NIFTY Index Options'!$B:$B,E$4,'NSE - NIFTY Index Options'!$I:$I,"Weekly*")+SUMIFS('NSE - NIFTY Index Options'!$M:$M,'NSE - NIFTY Index Options'!$C:$C,$A102,'NSE - NIFTY Index Options'!$B:$B,E$4,'NSE - NIFTY Index Options'!$I:$I,"MDAW*")+SUMIFS('NSE - Other Index Options'!$M:$M,'NSE - Other Index Options'!$C:$C,$A102,'NSE - Other Index Options'!$B:$B,E$4,'NSE - Other Index Options'!$I:$I,"Weekly*")+SUMIFS('NSE - Other Index Options'!$M:$M,'NSE - Other Index Options'!$C:$C,$A102,'NSE - Other Index Options'!$B:$B,E$4,'NSE - Other Index Options'!$I:$I,"MDAW*"))</f>
        <v/>
      </c>
      <c r="F102" s="26">
        <f>IF(SUMIFS('NSE - NIFTY Index Options'!$M:$M,'NSE - NIFTY Index Options'!$C:$C,$A102,'NSE - NIFTY Index Options'!$B:$B,F$4,'NSE - NIFTY Index Options'!$I:$I,"Weekly*")+SUMIFS('NSE - NIFTY Index Options'!$M:$M,'NSE - NIFTY Index Options'!$C:$C,$A102,'NSE - NIFTY Index Options'!$B:$B,F$4,'NSE - NIFTY Index Options'!$I:$I,"MDAW*")+SUMIFS('NSE - Other Index Options'!$M:$M,'NSE - Other Index Options'!$C:$C,$A102,'NSE - Other Index Options'!$B:$B,F$4,'NSE - Other Index Options'!$I:$I,"Weekly*")+SUMIFS('NSE - Other Index Options'!$M:$M,'NSE - Other Index Options'!$C:$C,$A102,'NSE - Other Index Options'!$B:$B,F$4,'NSE - Other Index Options'!$I:$I,"MDAW*")=0,"",SUMIFS('NSE - NIFTY Index Options'!$M:$M,'NSE - NIFTY Index Options'!$C:$C,$A102,'NSE - NIFTY Index Options'!$B:$B,F$4,'NSE - NIFTY Index Options'!$I:$I,"Weekly*")+SUMIFS('NSE - NIFTY Index Options'!$M:$M,'NSE - NIFTY Index Options'!$C:$C,$A102,'NSE - NIFTY Index Options'!$B:$B,F$4,'NSE - NIFTY Index Options'!$I:$I,"MDAW*")+SUMIFS('NSE - Other Index Options'!$M:$M,'NSE - Other Index Options'!$C:$C,$A102,'NSE - Other Index Options'!$B:$B,F$4,'NSE - Other Index Options'!$I:$I,"Weekly*")+SUMIFS('NSE - Other Index Options'!$M:$M,'NSE - Other Index Options'!$C:$C,$A102,'NSE - Other Index Options'!$B:$B,F$4,'NSE - Other Index Options'!$I:$I,"MDAW*"))</f>
        <v/>
      </c>
      <c r="G102" s="26">
        <f>IF(SUMIFS('NSE - NIFTY Index Options'!$M:$M,'NSE - NIFTY Index Options'!$C:$C,$A102,'NSE - NIFTY Index Options'!$B:$B,G$4,'NSE - NIFTY Index Options'!$I:$I,"Weekly*")+SUMIFS('NSE - NIFTY Index Options'!$M:$M,'NSE - NIFTY Index Options'!$C:$C,$A102,'NSE - NIFTY Index Options'!$B:$B,G$4,'NSE - NIFTY Index Options'!$I:$I,"MDAW*")+SUMIFS('NSE - Other Index Options'!$M:$M,'NSE - Other Index Options'!$C:$C,$A102,'NSE - Other Index Options'!$B:$B,G$4,'NSE - Other Index Options'!$I:$I,"Weekly*")+SUMIFS('NSE - Other Index Options'!$M:$M,'NSE - Other Index Options'!$C:$C,$A102,'NSE - Other Index Options'!$B:$B,G$4,'NSE - Other Index Options'!$I:$I,"MDAW*")=0,"",SUMIFS('NSE - NIFTY Index Options'!$M:$M,'NSE - NIFTY Index Options'!$C:$C,$A102,'NSE - NIFTY Index Options'!$B:$B,G$4,'NSE - NIFTY Index Options'!$I:$I,"Weekly*")+SUMIFS('NSE - NIFTY Index Options'!$M:$M,'NSE - NIFTY Index Options'!$C:$C,$A102,'NSE - NIFTY Index Options'!$B:$B,G$4,'NSE - NIFTY Index Options'!$I:$I,"MDAW*")+SUMIFS('NSE - Other Index Options'!$M:$M,'NSE - Other Index Options'!$C:$C,$A102,'NSE - Other Index Options'!$B:$B,G$4,'NSE - Other Index Options'!$I:$I,"Weekly*")+SUMIFS('NSE - Other Index Options'!$M:$M,'NSE - Other Index Options'!$C:$C,$A102,'NSE - Other Index Options'!$B:$B,G$4,'NSE - Other Index Options'!$I:$I,"MDAW*"))</f>
        <v/>
      </c>
      <c r="H102" s="26">
        <f>IF(SUM(B102:G102)=0,"",SUM(B102:G102))</f>
        <v/>
      </c>
    </row>
    <row r="103" hidden="1" outlineLevel="1">
      <c r="A103" t="inlineStr">
        <is>
          <t>Week1-May-2027</t>
        </is>
      </c>
      <c r="B103" s="26">
        <f>IF(SUMIFS('NSE - NIFTY Index Options'!$M:$M,'NSE - NIFTY Index Options'!$C:$C,$A103,'NSE - NIFTY Index Options'!$B:$B,B$4,'NSE - NIFTY Index Options'!$I:$I,"Weekly*")+SUMIFS('NSE - NIFTY Index Options'!$M:$M,'NSE - NIFTY Index Options'!$C:$C,$A103,'NSE - NIFTY Index Options'!$B:$B,B$4,'NSE - NIFTY Index Options'!$I:$I,"MDAW*")+SUMIFS('NSE - Other Index Options'!$M:$M,'NSE - Other Index Options'!$C:$C,$A103,'NSE - Other Index Options'!$B:$B,B$4,'NSE - Other Index Options'!$I:$I,"Weekly*")+SUMIFS('NSE - Other Index Options'!$M:$M,'NSE - Other Index Options'!$C:$C,$A103,'NSE - Other Index Options'!$B:$B,B$4,'NSE - Other Index Options'!$I:$I,"MDAW*")=0,"",SUMIFS('NSE - NIFTY Index Options'!$M:$M,'NSE - NIFTY Index Options'!$C:$C,$A103,'NSE - NIFTY Index Options'!$B:$B,B$4,'NSE - NIFTY Index Options'!$I:$I,"Weekly*")+SUMIFS('NSE - NIFTY Index Options'!$M:$M,'NSE - NIFTY Index Options'!$C:$C,$A103,'NSE - NIFTY Index Options'!$B:$B,B$4,'NSE - NIFTY Index Options'!$I:$I,"MDAW*")+SUMIFS('NSE - Other Index Options'!$M:$M,'NSE - Other Index Options'!$C:$C,$A103,'NSE - Other Index Options'!$B:$B,B$4,'NSE - Other Index Options'!$I:$I,"Weekly*")+SUMIFS('NSE - Other Index Options'!$M:$M,'NSE - Other Index Options'!$C:$C,$A103,'NSE - Other Index Options'!$B:$B,B$4,'NSE - Other Index Options'!$I:$I,"MDAW*"))</f>
        <v/>
      </c>
      <c r="C103" s="26">
        <f>IF(SUMIFS('NSE - NIFTY Index Options'!$M:$M,'NSE - NIFTY Index Options'!$C:$C,$A103,'NSE - NIFTY Index Options'!$B:$B,C$4,'NSE - NIFTY Index Options'!$I:$I,"Weekly*")+SUMIFS('NSE - NIFTY Index Options'!$M:$M,'NSE - NIFTY Index Options'!$C:$C,$A103,'NSE - NIFTY Index Options'!$B:$B,C$4,'NSE - NIFTY Index Options'!$I:$I,"MDAW*")+SUMIFS('NSE - Other Index Options'!$M:$M,'NSE - Other Index Options'!$C:$C,$A103,'NSE - Other Index Options'!$B:$B,C$4,'NSE - Other Index Options'!$I:$I,"Weekly*")+SUMIFS('NSE - Other Index Options'!$M:$M,'NSE - Other Index Options'!$C:$C,$A103,'NSE - Other Index Options'!$B:$B,C$4,'NSE - Other Index Options'!$I:$I,"MDAW*")=0,"",SUMIFS('NSE - NIFTY Index Options'!$M:$M,'NSE - NIFTY Index Options'!$C:$C,$A103,'NSE - NIFTY Index Options'!$B:$B,C$4,'NSE - NIFTY Index Options'!$I:$I,"Weekly*")+SUMIFS('NSE - NIFTY Index Options'!$M:$M,'NSE - NIFTY Index Options'!$C:$C,$A103,'NSE - NIFTY Index Options'!$B:$B,C$4,'NSE - NIFTY Index Options'!$I:$I,"MDAW*")+SUMIFS('NSE - Other Index Options'!$M:$M,'NSE - Other Index Options'!$C:$C,$A103,'NSE - Other Index Options'!$B:$B,C$4,'NSE - Other Index Options'!$I:$I,"Weekly*")+SUMIFS('NSE - Other Index Options'!$M:$M,'NSE - Other Index Options'!$C:$C,$A103,'NSE - Other Index Options'!$B:$B,C$4,'NSE - Other Index Options'!$I:$I,"MDAW*"))</f>
        <v/>
      </c>
      <c r="D103" s="26">
        <f>IF(SUMIFS('NSE - NIFTY Index Options'!$M:$M,'NSE - NIFTY Index Options'!$C:$C,$A103,'NSE - NIFTY Index Options'!$B:$B,D$4,'NSE - NIFTY Index Options'!$I:$I,"Weekly*")+SUMIFS('NSE - NIFTY Index Options'!$M:$M,'NSE - NIFTY Index Options'!$C:$C,$A103,'NSE - NIFTY Index Options'!$B:$B,D$4,'NSE - NIFTY Index Options'!$I:$I,"MDAW*")+SUMIFS('NSE - Other Index Options'!$M:$M,'NSE - Other Index Options'!$C:$C,$A103,'NSE - Other Index Options'!$B:$B,D$4,'NSE - Other Index Options'!$I:$I,"Weekly*")+SUMIFS('NSE - Other Index Options'!$M:$M,'NSE - Other Index Options'!$C:$C,$A103,'NSE - Other Index Options'!$B:$B,D$4,'NSE - Other Index Options'!$I:$I,"MDAW*")=0,"",SUMIFS('NSE - NIFTY Index Options'!$M:$M,'NSE - NIFTY Index Options'!$C:$C,$A103,'NSE - NIFTY Index Options'!$B:$B,D$4,'NSE - NIFTY Index Options'!$I:$I,"Weekly*")+SUMIFS('NSE - NIFTY Index Options'!$M:$M,'NSE - NIFTY Index Options'!$C:$C,$A103,'NSE - NIFTY Index Options'!$B:$B,D$4,'NSE - NIFTY Index Options'!$I:$I,"MDAW*")+SUMIFS('NSE - Other Index Options'!$M:$M,'NSE - Other Index Options'!$C:$C,$A103,'NSE - Other Index Options'!$B:$B,D$4,'NSE - Other Index Options'!$I:$I,"Weekly*")+SUMIFS('NSE - Other Index Options'!$M:$M,'NSE - Other Index Options'!$C:$C,$A103,'NSE - Other Index Options'!$B:$B,D$4,'NSE - Other Index Options'!$I:$I,"MDAW*"))</f>
        <v/>
      </c>
      <c r="E103" s="26">
        <f>IF(SUMIFS('NSE - NIFTY Index Options'!$M:$M,'NSE - NIFTY Index Options'!$C:$C,$A103,'NSE - NIFTY Index Options'!$B:$B,E$4,'NSE - NIFTY Index Options'!$I:$I,"Weekly*")+SUMIFS('NSE - NIFTY Index Options'!$M:$M,'NSE - NIFTY Index Options'!$C:$C,$A103,'NSE - NIFTY Index Options'!$B:$B,E$4,'NSE - NIFTY Index Options'!$I:$I,"MDAW*")+SUMIFS('NSE - Other Index Options'!$M:$M,'NSE - Other Index Options'!$C:$C,$A103,'NSE - Other Index Options'!$B:$B,E$4,'NSE - Other Index Options'!$I:$I,"Weekly*")+SUMIFS('NSE - Other Index Options'!$M:$M,'NSE - Other Index Options'!$C:$C,$A103,'NSE - Other Index Options'!$B:$B,E$4,'NSE - Other Index Options'!$I:$I,"MDAW*")=0,"",SUMIFS('NSE - NIFTY Index Options'!$M:$M,'NSE - NIFTY Index Options'!$C:$C,$A103,'NSE - NIFTY Index Options'!$B:$B,E$4,'NSE - NIFTY Index Options'!$I:$I,"Weekly*")+SUMIFS('NSE - NIFTY Index Options'!$M:$M,'NSE - NIFTY Index Options'!$C:$C,$A103,'NSE - NIFTY Index Options'!$B:$B,E$4,'NSE - NIFTY Index Options'!$I:$I,"MDAW*")+SUMIFS('NSE - Other Index Options'!$M:$M,'NSE - Other Index Options'!$C:$C,$A103,'NSE - Other Index Options'!$B:$B,E$4,'NSE - Other Index Options'!$I:$I,"Weekly*")+SUMIFS('NSE - Other Index Options'!$M:$M,'NSE - Other Index Options'!$C:$C,$A103,'NSE - Other Index Options'!$B:$B,E$4,'NSE - Other Index Options'!$I:$I,"MDAW*"))</f>
        <v/>
      </c>
      <c r="F103" s="26">
        <f>IF(SUMIFS('NSE - NIFTY Index Options'!$M:$M,'NSE - NIFTY Index Options'!$C:$C,$A103,'NSE - NIFTY Index Options'!$B:$B,F$4,'NSE - NIFTY Index Options'!$I:$I,"Weekly*")+SUMIFS('NSE - NIFTY Index Options'!$M:$M,'NSE - NIFTY Index Options'!$C:$C,$A103,'NSE - NIFTY Index Options'!$B:$B,F$4,'NSE - NIFTY Index Options'!$I:$I,"MDAW*")+SUMIFS('NSE - Other Index Options'!$M:$M,'NSE - Other Index Options'!$C:$C,$A103,'NSE - Other Index Options'!$B:$B,F$4,'NSE - Other Index Options'!$I:$I,"Weekly*")+SUMIFS('NSE - Other Index Options'!$M:$M,'NSE - Other Index Options'!$C:$C,$A103,'NSE - Other Index Options'!$B:$B,F$4,'NSE - Other Index Options'!$I:$I,"MDAW*")=0,"",SUMIFS('NSE - NIFTY Index Options'!$M:$M,'NSE - NIFTY Index Options'!$C:$C,$A103,'NSE - NIFTY Index Options'!$B:$B,F$4,'NSE - NIFTY Index Options'!$I:$I,"Weekly*")+SUMIFS('NSE - NIFTY Index Options'!$M:$M,'NSE - NIFTY Index Options'!$C:$C,$A103,'NSE - NIFTY Index Options'!$B:$B,F$4,'NSE - NIFTY Index Options'!$I:$I,"MDAW*")+SUMIFS('NSE - Other Index Options'!$M:$M,'NSE - Other Index Options'!$C:$C,$A103,'NSE - Other Index Options'!$B:$B,F$4,'NSE - Other Index Options'!$I:$I,"Weekly*")+SUMIFS('NSE - Other Index Options'!$M:$M,'NSE - Other Index Options'!$C:$C,$A103,'NSE - Other Index Options'!$B:$B,F$4,'NSE - Other Index Options'!$I:$I,"MDAW*"))</f>
        <v/>
      </c>
      <c r="G103" s="26">
        <f>IF(SUMIFS('NSE - NIFTY Index Options'!$M:$M,'NSE - NIFTY Index Options'!$C:$C,$A103,'NSE - NIFTY Index Options'!$B:$B,G$4,'NSE - NIFTY Index Options'!$I:$I,"Weekly*")+SUMIFS('NSE - NIFTY Index Options'!$M:$M,'NSE - NIFTY Index Options'!$C:$C,$A103,'NSE - NIFTY Index Options'!$B:$B,G$4,'NSE - NIFTY Index Options'!$I:$I,"MDAW*")+SUMIFS('NSE - Other Index Options'!$M:$M,'NSE - Other Index Options'!$C:$C,$A103,'NSE - Other Index Options'!$B:$B,G$4,'NSE - Other Index Options'!$I:$I,"Weekly*")+SUMIFS('NSE - Other Index Options'!$M:$M,'NSE - Other Index Options'!$C:$C,$A103,'NSE - Other Index Options'!$B:$B,G$4,'NSE - Other Index Options'!$I:$I,"MDAW*")=0,"",SUMIFS('NSE - NIFTY Index Options'!$M:$M,'NSE - NIFTY Index Options'!$C:$C,$A103,'NSE - NIFTY Index Options'!$B:$B,G$4,'NSE - NIFTY Index Options'!$I:$I,"Weekly*")+SUMIFS('NSE - NIFTY Index Options'!$M:$M,'NSE - NIFTY Index Options'!$C:$C,$A103,'NSE - NIFTY Index Options'!$B:$B,G$4,'NSE - NIFTY Index Options'!$I:$I,"MDAW*")+SUMIFS('NSE - Other Index Options'!$M:$M,'NSE - Other Index Options'!$C:$C,$A103,'NSE - Other Index Options'!$B:$B,G$4,'NSE - Other Index Options'!$I:$I,"Weekly*")+SUMIFS('NSE - Other Index Options'!$M:$M,'NSE - Other Index Options'!$C:$C,$A103,'NSE - Other Index Options'!$B:$B,G$4,'NSE - Other Index Options'!$I:$I,"MDAW*"))</f>
        <v/>
      </c>
      <c r="H103" s="26">
        <f>IF(SUM(B103:G103)=0,"",SUM(B103:G103))</f>
        <v/>
      </c>
    </row>
    <row r="104" hidden="1" outlineLevel="1">
      <c r="A104" t="inlineStr">
        <is>
          <t>Week2-May-2027</t>
        </is>
      </c>
      <c r="B104" s="26">
        <f>IF(SUMIFS('NSE - NIFTY Index Options'!$M:$M,'NSE - NIFTY Index Options'!$C:$C,$A104,'NSE - NIFTY Index Options'!$B:$B,B$4,'NSE - NIFTY Index Options'!$I:$I,"Weekly*")+SUMIFS('NSE - NIFTY Index Options'!$M:$M,'NSE - NIFTY Index Options'!$C:$C,$A104,'NSE - NIFTY Index Options'!$B:$B,B$4,'NSE - NIFTY Index Options'!$I:$I,"MDAW*")+SUMIFS('NSE - Other Index Options'!$M:$M,'NSE - Other Index Options'!$C:$C,$A104,'NSE - Other Index Options'!$B:$B,B$4,'NSE - Other Index Options'!$I:$I,"Weekly*")+SUMIFS('NSE - Other Index Options'!$M:$M,'NSE - Other Index Options'!$C:$C,$A104,'NSE - Other Index Options'!$B:$B,B$4,'NSE - Other Index Options'!$I:$I,"MDAW*")=0,"",SUMIFS('NSE - NIFTY Index Options'!$M:$M,'NSE - NIFTY Index Options'!$C:$C,$A104,'NSE - NIFTY Index Options'!$B:$B,B$4,'NSE - NIFTY Index Options'!$I:$I,"Weekly*")+SUMIFS('NSE - NIFTY Index Options'!$M:$M,'NSE - NIFTY Index Options'!$C:$C,$A104,'NSE - NIFTY Index Options'!$B:$B,B$4,'NSE - NIFTY Index Options'!$I:$I,"MDAW*")+SUMIFS('NSE - Other Index Options'!$M:$M,'NSE - Other Index Options'!$C:$C,$A104,'NSE - Other Index Options'!$B:$B,B$4,'NSE - Other Index Options'!$I:$I,"Weekly*")+SUMIFS('NSE - Other Index Options'!$M:$M,'NSE - Other Index Options'!$C:$C,$A104,'NSE - Other Index Options'!$B:$B,B$4,'NSE - Other Index Options'!$I:$I,"MDAW*"))</f>
        <v/>
      </c>
      <c r="C104" s="26">
        <f>IF(SUMIFS('NSE - NIFTY Index Options'!$M:$M,'NSE - NIFTY Index Options'!$C:$C,$A104,'NSE - NIFTY Index Options'!$B:$B,C$4,'NSE - NIFTY Index Options'!$I:$I,"Weekly*")+SUMIFS('NSE - NIFTY Index Options'!$M:$M,'NSE - NIFTY Index Options'!$C:$C,$A104,'NSE - NIFTY Index Options'!$B:$B,C$4,'NSE - NIFTY Index Options'!$I:$I,"MDAW*")+SUMIFS('NSE - Other Index Options'!$M:$M,'NSE - Other Index Options'!$C:$C,$A104,'NSE - Other Index Options'!$B:$B,C$4,'NSE - Other Index Options'!$I:$I,"Weekly*")+SUMIFS('NSE - Other Index Options'!$M:$M,'NSE - Other Index Options'!$C:$C,$A104,'NSE - Other Index Options'!$B:$B,C$4,'NSE - Other Index Options'!$I:$I,"MDAW*")=0,"",SUMIFS('NSE - NIFTY Index Options'!$M:$M,'NSE - NIFTY Index Options'!$C:$C,$A104,'NSE - NIFTY Index Options'!$B:$B,C$4,'NSE - NIFTY Index Options'!$I:$I,"Weekly*")+SUMIFS('NSE - NIFTY Index Options'!$M:$M,'NSE - NIFTY Index Options'!$C:$C,$A104,'NSE - NIFTY Index Options'!$B:$B,C$4,'NSE - NIFTY Index Options'!$I:$I,"MDAW*")+SUMIFS('NSE - Other Index Options'!$M:$M,'NSE - Other Index Options'!$C:$C,$A104,'NSE - Other Index Options'!$B:$B,C$4,'NSE - Other Index Options'!$I:$I,"Weekly*")+SUMIFS('NSE - Other Index Options'!$M:$M,'NSE - Other Index Options'!$C:$C,$A104,'NSE - Other Index Options'!$B:$B,C$4,'NSE - Other Index Options'!$I:$I,"MDAW*"))</f>
        <v/>
      </c>
      <c r="D104" s="26">
        <f>IF(SUMIFS('NSE - NIFTY Index Options'!$M:$M,'NSE - NIFTY Index Options'!$C:$C,$A104,'NSE - NIFTY Index Options'!$B:$B,D$4,'NSE - NIFTY Index Options'!$I:$I,"Weekly*")+SUMIFS('NSE - NIFTY Index Options'!$M:$M,'NSE - NIFTY Index Options'!$C:$C,$A104,'NSE - NIFTY Index Options'!$B:$B,D$4,'NSE - NIFTY Index Options'!$I:$I,"MDAW*")+SUMIFS('NSE - Other Index Options'!$M:$M,'NSE - Other Index Options'!$C:$C,$A104,'NSE - Other Index Options'!$B:$B,D$4,'NSE - Other Index Options'!$I:$I,"Weekly*")+SUMIFS('NSE - Other Index Options'!$M:$M,'NSE - Other Index Options'!$C:$C,$A104,'NSE - Other Index Options'!$B:$B,D$4,'NSE - Other Index Options'!$I:$I,"MDAW*")=0,"",SUMIFS('NSE - NIFTY Index Options'!$M:$M,'NSE - NIFTY Index Options'!$C:$C,$A104,'NSE - NIFTY Index Options'!$B:$B,D$4,'NSE - NIFTY Index Options'!$I:$I,"Weekly*")+SUMIFS('NSE - NIFTY Index Options'!$M:$M,'NSE - NIFTY Index Options'!$C:$C,$A104,'NSE - NIFTY Index Options'!$B:$B,D$4,'NSE - NIFTY Index Options'!$I:$I,"MDAW*")+SUMIFS('NSE - Other Index Options'!$M:$M,'NSE - Other Index Options'!$C:$C,$A104,'NSE - Other Index Options'!$B:$B,D$4,'NSE - Other Index Options'!$I:$I,"Weekly*")+SUMIFS('NSE - Other Index Options'!$M:$M,'NSE - Other Index Options'!$C:$C,$A104,'NSE - Other Index Options'!$B:$B,D$4,'NSE - Other Index Options'!$I:$I,"MDAW*"))</f>
        <v/>
      </c>
      <c r="E104" s="26">
        <f>IF(SUMIFS('NSE - NIFTY Index Options'!$M:$M,'NSE - NIFTY Index Options'!$C:$C,$A104,'NSE - NIFTY Index Options'!$B:$B,E$4,'NSE - NIFTY Index Options'!$I:$I,"Weekly*")+SUMIFS('NSE - NIFTY Index Options'!$M:$M,'NSE - NIFTY Index Options'!$C:$C,$A104,'NSE - NIFTY Index Options'!$B:$B,E$4,'NSE - NIFTY Index Options'!$I:$I,"MDAW*")+SUMIFS('NSE - Other Index Options'!$M:$M,'NSE - Other Index Options'!$C:$C,$A104,'NSE - Other Index Options'!$B:$B,E$4,'NSE - Other Index Options'!$I:$I,"Weekly*")+SUMIFS('NSE - Other Index Options'!$M:$M,'NSE - Other Index Options'!$C:$C,$A104,'NSE - Other Index Options'!$B:$B,E$4,'NSE - Other Index Options'!$I:$I,"MDAW*")=0,"",SUMIFS('NSE - NIFTY Index Options'!$M:$M,'NSE - NIFTY Index Options'!$C:$C,$A104,'NSE - NIFTY Index Options'!$B:$B,E$4,'NSE - NIFTY Index Options'!$I:$I,"Weekly*")+SUMIFS('NSE - NIFTY Index Options'!$M:$M,'NSE - NIFTY Index Options'!$C:$C,$A104,'NSE - NIFTY Index Options'!$B:$B,E$4,'NSE - NIFTY Index Options'!$I:$I,"MDAW*")+SUMIFS('NSE - Other Index Options'!$M:$M,'NSE - Other Index Options'!$C:$C,$A104,'NSE - Other Index Options'!$B:$B,E$4,'NSE - Other Index Options'!$I:$I,"Weekly*")+SUMIFS('NSE - Other Index Options'!$M:$M,'NSE - Other Index Options'!$C:$C,$A104,'NSE - Other Index Options'!$B:$B,E$4,'NSE - Other Index Options'!$I:$I,"MDAW*"))</f>
        <v/>
      </c>
      <c r="F104" s="26">
        <f>IF(SUMIFS('NSE - NIFTY Index Options'!$M:$M,'NSE - NIFTY Index Options'!$C:$C,$A104,'NSE - NIFTY Index Options'!$B:$B,F$4,'NSE - NIFTY Index Options'!$I:$I,"Weekly*")+SUMIFS('NSE - NIFTY Index Options'!$M:$M,'NSE - NIFTY Index Options'!$C:$C,$A104,'NSE - NIFTY Index Options'!$B:$B,F$4,'NSE - NIFTY Index Options'!$I:$I,"MDAW*")+SUMIFS('NSE - Other Index Options'!$M:$M,'NSE - Other Index Options'!$C:$C,$A104,'NSE - Other Index Options'!$B:$B,F$4,'NSE - Other Index Options'!$I:$I,"Weekly*")+SUMIFS('NSE - Other Index Options'!$M:$M,'NSE - Other Index Options'!$C:$C,$A104,'NSE - Other Index Options'!$B:$B,F$4,'NSE - Other Index Options'!$I:$I,"MDAW*")=0,"",SUMIFS('NSE - NIFTY Index Options'!$M:$M,'NSE - NIFTY Index Options'!$C:$C,$A104,'NSE - NIFTY Index Options'!$B:$B,F$4,'NSE - NIFTY Index Options'!$I:$I,"Weekly*")+SUMIFS('NSE - NIFTY Index Options'!$M:$M,'NSE - NIFTY Index Options'!$C:$C,$A104,'NSE - NIFTY Index Options'!$B:$B,F$4,'NSE - NIFTY Index Options'!$I:$I,"MDAW*")+SUMIFS('NSE - Other Index Options'!$M:$M,'NSE - Other Index Options'!$C:$C,$A104,'NSE - Other Index Options'!$B:$B,F$4,'NSE - Other Index Options'!$I:$I,"Weekly*")+SUMIFS('NSE - Other Index Options'!$M:$M,'NSE - Other Index Options'!$C:$C,$A104,'NSE - Other Index Options'!$B:$B,F$4,'NSE - Other Index Options'!$I:$I,"MDAW*"))</f>
        <v/>
      </c>
      <c r="G104" s="26">
        <f>IF(SUMIFS('NSE - NIFTY Index Options'!$M:$M,'NSE - NIFTY Index Options'!$C:$C,$A104,'NSE - NIFTY Index Options'!$B:$B,G$4,'NSE - NIFTY Index Options'!$I:$I,"Weekly*")+SUMIFS('NSE - NIFTY Index Options'!$M:$M,'NSE - NIFTY Index Options'!$C:$C,$A104,'NSE - NIFTY Index Options'!$B:$B,G$4,'NSE - NIFTY Index Options'!$I:$I,"MDAW*")+SUMIFS('NSE - Other Index Options'!$M:$M,'NSE - Other Index Options'!$C:$C,$A104,'NSE - Other Index Options'!$B:$B,G$4,'NSE - Other Index Options'!$I:$I,"Weekly*")+SUMIFS('NSE - Other Index Options'!$M:$M,'NSE - Other Index Options'!$C:$C,$A104,'NSE - Other Index Options'!$B:$B,G$4,'NSE - Other Index Options'!$I:$I,"MDAW*")=0,"",SUMIFS('NSE - NIFTY Index Options'!$M:$M,'NSE - NIFTY Index Options'!$C:$C,$A104,'NSE - NIFTY Index Options'!$B:$B,G$4,'NSE - NIFTY Index Options'!$I:$I,"Weekly*")+SUMIFS('NSE - NIFTY Index Options'!$M:$M,'NSE - NIFTY Index Options'!$C:$C,$A104,'NSE - NIFTY Index Options'!$B:$B,G$4,'NSE - NIFTY Index Options'!$I:$I,"MDAW*")+SUMIFS('NSE - Other Index Options'!$M:$M,'NSE - Other Index Options'!$C:$C,$A104,'NSE - Other Index Options'!$B:$B,G$4,'NSE - Other Index Options'!$I:$I,"Weekly*")+SUMIFS('NSE - Other Index Options'!$M:$M,'NSE - Other Index Options'!$C:$C,$A104,'NSE - Other Index Options'!$B:$B,G$4,'NSE - Other Index Options'!$I:$I,"MDAW*"))</f>
        <v/>
      </c>
      <c r="H104" s="26">
        <f>IF(SUM(B104:G104)=0,"",SUM(B104:G104))</f>
        <v/>
      </c>
    </row>
    <row r="105" hidden="1" outlineLevel="1">
      <c r="A105" t="inlineStr">
        <is>
          <t>Week3-May-2027</t>
        </is>
      </c>
      <c r="B105" s="26">
        <f>IF(SUMIFS('NSE - NIFTY Index Options'!$M:$M,'NSE - NIFTY Index Options'!$C:$C,$A105,'NSE - NIFTY Index Options'!$B:$B,B$4,'NSE - NIFTY Index Options'!$I:$I,"Weekly*")+SUMIFS('NSE - NIFTY Index Options'!$M:$M,'NSE - NIFTY Index Options'!$C:$C,$A105,'NSE - NIFTY Index Options'!$B:$B,B$4,'NSE - NIFTY Index Options'!$I:$I,"MDAW*")+SUMIFS('NSE - Other Index Options'!$M:$M,'NSE - Other Index Options'!$C:$C,$A105,'NSE - Other Index Options'!$B:$B,B$4,'NSE - Other Index Options'!$I:$I,"Weekly*")+SUMIFS('NSE - Other Index Options'!$M:$M,'NSE - Other Index Options'!$C:$C,$A105,'NSE - Other Index Options'!$B:$B,B$4,'NSE - Other Index Options'!$I:$I,"MDAW*")=0,"",SUMIFS('NSE - NIFTY Index Options'!$M:$M,'NSE - NIFTY Index Options'!$C:$C,$A105,'NSE - NIFTY Index Options'!$B:$B,B$4,'NSE - NIFTY Index Options'!$I:$I,"Weekly*")+SUMIFS('NSE - NIFTY Index Options'!$M:$M,'NSE - NIFTY Index Options'!$C:$C,$A105,'NSE - NIFTY Index Options'!$B:$B,B$4,'NSE - NIFTY Index Options'!$I:$I,"MDAW*")+SUMIFS('NSE - Other Index Options'!$M:$M,'NSE - Other Index Options'!$C:$C,$A105,'NSE - Other Index Options'!$B:$B,B$4,'NSE - Other Index Options'!$I:$I,"Weekly*")+SUMIFS('NSE - Other Index Options'!$M:$M,'NSE - Other Index Options'!$C:$C,$A105,'NSE - Other Index Options'!$B:$B,B$4,'NSE - Other Index Options'!$I:$I,"MDAW*"))</f>
        <v/>
      </c>
      <c r="C105" s="26">
        <f>IF(SUMIFS('NSE - NIFTY Index Options'!$M:$M,'NSE - NIFTY Index Options'!$C:$C,$A105,'NSE - NIFTY Index Options'!$B:$B,C$4,'NSE - NIFTY Index Options'!$I:$I,"Weekly*")+SUMIFS('NSE - NIFTY Index Options'!$M:$M,'NSE - NIFTY Index Options'!$C:$C,$A105,'NSE - NIFTY Index Options'!$B:$B,C$4,'NSE - NIFTY Index Options'!$I:$I,"MDAW*")+SUMIFS('NSE - Other Index Options'!$M:$M,'NSE - Other Index Options'!$C:$C,$A105,'NSE - Other Index Options'!$B:$B,C$4,'NSE - Other Index Options'!$I:$I,"Weekly*")+SUMIFS('NSE - Other Index Options'!$M:$M,'NSE - Other Index Options'!$C:$C,$A105,'NSE - Other Index Options'!$B:$B,C$4,'NSE - Other Index Options'!$I:$I,"MDAW*")=0,"",SUMIFS('NSE - NIFTY Index Options'!$M:$M,'NSE - NIFTY Index Options'!$C:$C,$A105,'NSE - NIFTY Index Options'!$B:$B,C$4,'NSE - NIFTY Index Options'!$I:$I,"Weekly*")+SUMIFS('NSE - NIFTY Index Options'!$M:$M,'NSE - NIFTY Index Options'!$C:$C,$A105,'NSE - NIFTY Index Options'!$B:$B,C$4,'NSE - NIFTY Index Options'!$I:$I,"MDAW*")+SUMIFS('NSE - Other Index Options'!$M:$M,'NSE - Other Index Options'!$C:$C,$A105,'NSE - Other Index Options'!$B:$B,C$4,'NSE - Other Index Options'!$I:$I,"Weekly*")+SUMIFS('NSE - Other Index Options'!$M:$M,'NSE - Other Index Options'!$C:$C,$A105,'NSE - Other Index Options'!$B:$B,C$4,'NSE - Other Index Options'!$I:$I,"MDAW*"))</f>
        <v/>
      </c>
      <c r="D105" s="26">
        <f>IF(SUMIFS('NSE - NIFTY Index Options'!$M:$M,'NSE - NIFTY Index Options'!$C:$C,$A105,'NSE - NIFTY Index Options'!$B:$B,D$4,'NSE - NIFTY Index Options'!$I:$I,"Weekly*")+SUMIFS('NSE - NIFTY Index Options'!$M:$M,'NSE - NIFTY Index Options'!$C:$C,$A105,'NSE - NIFTY Index Options'!$B:$B,D$4,'NSE - NIFTY Index Options'!$I:$I,"MDAW*")+SUMIFS('NSE - Other Index Options'!$M:$M,'NSE - Other Index Options'!$C:$C,$A105,'NSE - Other Index Options'!$B:$B,D$4,'NSE - Other Index Options'!$I:$I,"Weekly*")+SUMIFS('NSE - Other Index Options'!$M:$M,'NSE - Other Index Options'!$C:$C,$A105,'NSE - Other Index Options'!$B:$B,D$4,'NSE - Other Index Options'!$I:$I,"MDAW*")=0,"",SUMIFS('NSE - NIFTY Index Options'!$M:$M,'NSE - NIFTY Index Options'!$C:$C,$A105,'NSE - NIFTY Index Options'!$B:$B,D$4,'NSE - NIFTY Index Options'!$I:$I,"Weekly*")+SUMIFS('NSE - NIFTY Index Options'!$M:$M,'NSE - NIFTY Index Options'!$C:$C,$A105,'NSE - NIFTY Index Options'!$B:$B,D$4,'NSE - NIFTY Index Options'!$I:$I,"MDAW*")+SUMIFS('NSE - Other Index Options'!$M:$M,'NSE - Other Index Options'!$C:$C,$A105,'NSE - Other Index Options'!$B:$B,D$4,'NSE - Other Index Options'!$I:$I,"Weekly*")+SUMIFS('NSE - Other Index Options'!$M:$M,'NSE - Other Index Options'!$C:$C,$A105,'NSE - Other Index Options'!$B:$B,D$4,'NSE - Other Index Options'!$I:$I,"MDAW*"))</f>
        <v/>
      </c>
      <c r="E105" s="26">
        <f>IF(SUMIFS('NSE - NIFTY Index Options'!$M:$M,'NSE - NIFTY Index Options'!$C:$C,$A105,'NSE - NIFTY Index Options'!$B:$B,E$4,'NSE - NIFTY Index Options'!$I:$I,"Weekly*")+SUMIFS('NSE - NIFTY Index Options'!$M:$M,'NSE - NIFTY Index Options'!$C:$C,$A105,'NSE - NIFTY Index Options'!$B:$B,E$4,'NSE - NIFTY Index Options'!$I:$I,"MDAW*")+SUMIFS('NSE - Other Index Options'!$M:$M,'NSE - Other Index Options'!$C:$C,$A105,'NSE - Other Index Options'!$B:$B,E$4,'NSE - Other Index Options'!$I:$I,"Weekly*")+SUMIFS('NSE - Other Index Options'!$M:$M,'NSE - Other Index Options'!$C:$C,$A105,'NSE - Other Index Options'!$B:$B,E$4,'NSE - Other Index Options'!$I:$I,"MDAW*")=0,"",SUMIFS('NSE - NIFTY Index Options'!$M:$M,'NSE - NIFTY Index Options'!$C:$C,$A105,'NSE - NIFTY Index Options'!$B:$B,E$4,'NSE - NIFTY Index Options'!$I:$I,"Weekly*")+SUMIFS('NSE - NIFTY Index Options'!$M:$M,'NSE - NIFTY Index Options'!$C:$C,$A105,'NSE - NIFTY Index Options'!$B:$B,E$4,'NSE - NIFTY Index Options'!$I:$I,"MDAW*")+SUMIFS('NSE - Other Index Options'!$M:$M,'NSE - Other Index Options'!$C:$C,$A105,'NSE - Other Index Options'!$B:$B,E$4,'NSE - Other Index Options'!$I:$I,"Weekly*")+SUMIFS('NSE - Other Index Options'!$M:$M,'NSE - Other Index Options'!$C:$C,$A105,'NSE - Other Index Options'!$B:$B,E$4,'NSE - Other Index Options'!$I:$I,"MDAW*"))</f>
        <v/>
      </c>
      <c r="F105" s="26">
        <f>IF(SUMIFS('NSE - NIFTY Index Options'!$M:$M,'NSE - NIFTY Index Options'!$C:$C,$A105,'NSE - NIFTY Index Options'!$B:$B,F$4,'NSE - NIFTY Index Options'!$I:$I,"Weekly*")+SUMIFS('NSE - NIFTY Index Options'!$M:$M,'NSE - NIFTY Index Options'!$C:$C,$A105,'NSE - NIFTY Index Options'!$B:$B,F$4,'NSE - NIFTY Index Options'!$I:$I,"MDAW*")+SUMIFS('NSE - Other Index Options'!$M:$M,'NSE - Other Index Options'!$C:$C,$A105,'NSE - Other Index Options'!$B:$B,F$4,'NSE - Other Index Options'!$I:$I,"Weekly*")+SUMIFS('NSE - Other Index Options'!$M:$M,'NSE - Other Index Options'!$C:$C,$A105,'NSE - Other Index Options'!$B:$B,F$4,'NSE - Other Index Options'!$I:$I,"MDAW*")=0,"",SUMIFS('NSE - NIFTY Index Options'!$M:$M,'NSE - NIFTY Index Options'!$C:$C,$A105,'NSE - NIFTY Index Options'!$B:$B,F$4,'NSE - NIFTY Index Options'!$I:$I,"Weekly*")+SUMIFS('NSE - NIFTY Index Options'!$M:$M,'NSE - NIFTY Index Options'!$C:$C,$A105,'NSE - NIFTY Index Options'!$B:$B,F$4,'NSE - NIFTY Index Options'!$I:$I,"MDAW*")+SUMIFS('NSE - Other Index Options'!$M:$M,'NSE - Other Index Options'!$C:$C,$A105,'NSE - Other Index Options'!$B:$B,F$4,'NSE - Other Index Options'!$I:$I,"Weekly*")+SUMIFS('NSE - Other Index Options'!$M:$M,'NSE - Other Index Options'!$C:$C,$A105,'NSE - Other Index Options'!$B:$B,F$4,'NSE - Other Index Options'!$I:$I,"MDAW*"))</f>
        <v/>
      </c>
      <c r="G105" s="26">
        <f>IF(SUMIFS('NSE - NIFTY Index Options'!$M:$M,'NSE - NIFTY Index Options'!$C:$C,$A105,'NSE - NIFTY Index Options'!$B:$B,G$4,'NSE - NIFTY Index Options'!$I:$I,"Weekly*")+SUMIFS('NSE - NIFTY Index Options'!$M:$M,'NSE - NIFTY Index Options'!$C:$C,$A105,'NSE - NIFTY Index Options'!$B:$B,G$4,'NSE - NIFTY Index Options'!$I:$I,"MDAW*")+SUMIFS('NSE - Other Index Options'!$M:$M,'NSE - Other Index Options'!$C:$C,$A105,'NSE - Other Index Options'!$B:$B,G$4,'NSE - Other Index Options'!$I:$I,"Weekly*")+SUMIFS('NSE - Other Index Options'!$M:$M,'NSE - Other Index Options'!$C:$C,$A105,'NSE - Other Index Options'!$B:$B,G$4,'NSE - Other Index Options'!$I:$I,"MDAW*")=0,"",SUMIFS('NSE - NIFTY Index Options'!$M:$M,'NSE - NIFTY Index Options'!$C:$C,$A105,'NSE - NIFTY Index Options'!$B:$B,G$4,'NSE - NIFTY Index Options'!$I:$I,"Weekly*")+SUMIFS('NSE - NIFTY Index Options'!$M:$M,'NSE - NIFTY Index Options'!$C:$C,$A105,'NSE - NIFTY Index Options'!$B:$B,G$4,'NSE - NIFTY Index Options'!$I:$I,"MDAW*")+SUMIFS('NSE - Other Index Options'!$M:$M,'NSE - Other Index Options'!$C:$C,$A105,'NSE - Other Index Options'!$B:$B,G$4,'NSE - Other Index Options'!$I:$I,"Weekly*")+SUMIFS('NSE - Other Index Options'!$M:$M,'NSE - Other Index Options'!$C:$C,$A105,'NSE - Other Index Options'!$B:$B,G$4,'NSE - Other Index Options'!$I:$I,"MDAW*"))</f>
        <v/>
      </c>
      <c r="H105" s="26">
        <f>IF(SUM(B105:G105)=0,"",SUM(B105:G105))</f>
        <v/>
      </c>
    </row>
    <row r="106" hidden="1" outlineLevel="1">
      <c r="A106" t="inlineStr">
        <is>
          <t>Week4-May-2027</t>
        </is>
      </c>
      <c r="B106" s="26">
        <f>IF(SUMIFS('NSE - NIFTY Index Options'!$M:$M,'NSE - NIFTY Index Options'!$C:$C,$A106,'NSE - NIFTY Index Options'!$B:$B,B$4,'NSE - NIFTY Index Options'!$I:$I,"Weekly*")+SUMIFS('NSE - NIFTY Index Options'!$M:$M,'NSE - NIFTY Index Options'!$C:$C,$A106,'NSE - NIFTY Index Options'!$B:$B,B$4,'NSE - NIFTY Index Options'!$I:$I,"MDAW*")+SUMIFS('NSE - Other Index Options'!$M:$M,'NSE - Other Index Options'!$C:$C,$A106,'NSE - Other Index Options'!$B:$B,B$4,'NSE - Other Index Options'!$I:$I,"Weekly*")+SUMIFS('NSE - Other Index Options'!$M:$M,'NSE - Other Index Options'!$C:$C,$A106,'NSE - Other Index Options'!$B:$B,B$4,'NSE - Other Index Options'!$I:$I,"MDAW*")=0,"",SUMIFS('NSE - NIFTY Index Options'!$M:$M,'NSE - NIFTY Index Options'!$C:$C,$A106,'NSE - NIFTY Index Options'!$B:$B,B$4,'NSE - NIFTY Index Options'!$I:$I,"Weekly*")+SUMIFS('NSE - NIFTY Index Options'!$M:$M,'NSE - NIFTY Index Options'!$C:$C,$A106,'NSE - NIFTY Index Options'!$B:$B,B$4,'NSE - NIFTY Index Options'!$I:$I,"MDAW*")+SUMIFS('NSE - Other Index Options'!$M:$M,'NSE - Other Index Options'!$C:$C,$A106,'NSE - Other Index Options'!$B:$B,B$4,'NSE - Other Index Options'!$I:$I,"Weekly*")+SUMIFS('NSE - Other Index Options'!$M:$M,'NSE - Other Index Options'!$C:$C,$A106,'NSE - Other Index Options'!$B:$B,B$4,'NSE - Other Index Options'!$I:$I,"MDAW*"))</f>
        <v/>
      </c>
      <c r="C106" s="26">
        <f>IF(SUMIFS('NSE - NIFTY Index Options'!$M:$M,'NSE - NIFTY Index Options'!$C:$C,$A106,'NSE - NIFTY Index Options'!$B:$B,C$4,'NSE - NIFTY Index Options'!$I:$I,"Weekly*")+SUMIFS('NSE - NIFTY Index Options'!$M:$M,'NSE - NIFTY Index Options'!$C:$C,$A106,'NSE - NIFTY Index Options'!$B:$B,C$4,'NSE - NIFTY Index Options'!$I:$I,"MDAW*")+SUMIFS('NSE - Other Index Options'!$M:$M,'NSE - Other Index Options'!$C:$C,$A106,'NSE - Other Index Options'!$B:$B,C$4,'NSE - Other Index Options'!$I:$I,"Weekly*")+SUMIFS('NSE - Other Index Options'!$M:$M,'NSE - Other Index Options'!$C:$C,$A106,'NSE - Other Index Options'!$B:$B,C$4,'NSE - Other Index Options'!$I:$I,"MDAW*")=0,"",SUMIFS('NSE - NIFTY Index Options'!$M:$M,'NSE - NIFTY Index Options'!$C:$C,$A106,'NSE - NIFTY Index Options'!$B:$B,C$4,'NSE - NIFTY Index Options'!$I:$I,"Weekly*")+SUMIFS('NSE - NIFTY Index Options'!$M:$M,'NSE - NIFTY Index Options'!$C:$C,$A106,'NSE - NIFTY Index Options'!$B:$B,C$4,'NSE - NIFTY Index Options'!$I:$I,"MDAW*")+SUMIFS('NSE - Other Index Options'!$M:$M,'NSE - Other Index Options'!$C:$C,$A106,'NSE - Other Index Options'!$B:$B,C$4,'NSE - Other Index Options'!$I:$I,"Weekly*")+SUMIFS('NSE - Other Index Options'!$M:$M,'NSE - Other Index Options'!$C:$C,$A106,'NSE - Other Index Options'!$B:$B,C$4,'NSE - Other Index Options'!$I:$I,"MDAW*"))</f>
        <v/>
      </c>
      <c r="D106" s="26">
        <f>IF(SUMIFS('NSE - NIFTY Index Options'!$M:$M,'NSE - NIFTY Index Options'!$C:$C,$A106,'NSE - NIFTY Index Options'!$B:$B,D$4,'NSE - NIFTY Index Options'!$I:$I,"Weekly*")+SUMIFS('NSE - NIFTY Index Options'!$M:$M,'NSE - NIFTY Index Options'!$C:$C,$A106,'NSE - NIFTY Index Options'!$B:$B,D$4,'NSE - NIFTY Index Options'!$I:$I,"MDAW*")+SUMIFS('NSE - Other Index Options'!$M:$M,'NSE - Other Index Options'!$C:$C,$A106,'NSE - Other Index Options'!$B:$B,D$4,'NSE - Other Index Options'!$I:$I,"Weekly*")+SUMIFS('NSE - Other Index Options'!$M:$M,'NSE - Other Index Options'!$C:$C,$A106,'NSE - Other Index Options'!$B:$B,D$4,'NSE - Other Index Options'!$I:$I,"MDAW*")=0,"",SUMIFS('NSE - NIFTY Index Options'!$M:$M,'NSE - NIFTY Index Options'!$C:$C,$A106,'NSE - NIFTY Index Options'!$B:$B,D$4,'NSE - NIFTY Index Options'!$I:$I,"Weekly*")+SUMIFS('NSE - NIFTY Index Options'!$M:$M,'NSE - NIFTY Index Options'!$C:$C,$A106,'NSE - NIFTY Index Options'!$B:$B,D$4,'NSE - NIFTY Index Options'!$I:$I,"MDAW*")+SUMIFS('NSE - Other Index Options'!$M:$M,'NSE - Other Index Options'!$C:$C,$A106,'NSE - Other Index Options'!$B:$B,D$4,'NSE - Other Index Options'!$I:$I,"Weekly*")+SUMIFS('NSE - Other Index Options'!$M:$M,'NSE - Other Index Options'!$C:$C,$A106,'NSE - Other Index Options'!$B:$B,D$4,'NSE - Other Index Options'!$I:$I,"MDAW*"))</f>
        <v/>
      </c>
      <c r="E106" s="26">
        <f>IF(SUMIFS('NSE - NIFTY Index Options'!$M:$M,'NSE - NIFTY Index Options'!$C:$C,$A106,'NSE - NIFTY Index Options'!$B:$B,E$4,'NSE - NIFTY Index Options'!$I:$I,"Weekly*")+SUMIFS('NSE - NIFTY Index Options'!$M:$M,'NSE - NIFTY Index Options'!$C:$C,$A106,'NSE - NIFTY Index Options'!$B:$B,E$4,'NSE - NIFTY Index Options'!$I:$I,"MDAW*")+SUMIFS('NSE - Other Index Options'!$M:$M,'NSE - Other Index Options'!$C:$C,$A106,'NSE - Other Index Options'!$B:$B,E$4,'NSE - Other Index Options'!$I:$I,"Weekly*")+SUMIFS('NSE - Other Index Options'!$M:$M,'NSE - Other Index Options'!$C:$C,$A106,'NSE - Other Index Options'!$B:$B,E$4,'NSE - Other Index Options'!$I:$I,"MDAW*")=0,"",SUMIFS('NSE - NIFTY Index Options'!$M:$M,'NSE - NIFTY Index Options'!$C:$C,$A106,'NSE - NIFTY Index Options'!$B:$B,E$4,'NSE - NIFTY Index Options'!$I:$I,"Weekly*")+SUMIFS('NSE - NIFTY Index Options'!$M:$M,'NSE - NIFTY Index Options'!$C:$C,$A106,'NSE - NIFTY Index Options'!$B:$B,E$4,'NSE - NIFTY Index Options'!$I:$I,"MDAW*")+SUMIFS('NSE - Other Index Options'!$M:$M,'NSE - Other Index Options'!$C:$C,$A106,'NSE - Other Index Options'!$B:$B,E$4,'NSE - Other Index Options'!$I:$I,"Weekly*")+SUMIFS('NSE - Other Index Options'!$M:$M,'NSE - Other Index Options'!$C:$C,$A106,'NSE - Other Index Options'!$B:$B,E$4,'NSE - Other Index Options'!$I:$I,"MDAW*"))</f>
        <v/>
      </c>
      <c r="F106" s="26">
        <f>IF(SUMIFS('NSE - NIFTY Index Options'!$M:$M,'NSE - NIFTY Index Options'!$C:$C,$A106,'NSE - NIFTY Index Options'!$B:$B,F$4,'NSE - NIFTY Index Options'!$I:$I,"Weekly*")+SUMIFS('NSE - NIFTY Index Options'!$M:$M,'NSE - NIFTY Index Options'!$C:$C,$A106,'NSE - NIFTY Index Options'!$B:$B,F$4,'NSE - NIFTY Index Options'!$I:$I,"MDAW*")+SUMIFS('NSE - Other Index Options'!$M:$M,'NSE - Other Index Options'!$C:$C,$A106,'NSE - Other Index Options'!$B:$B,F$4,'NSE - Other Index Options'!$I:$I,"Weekly*")+SUMIFS('NSE - Other Index Options'!$M:$M,'NSE - Other Index Options'!$C:$C,$A106,'NSE - Other Index Options'!$B:$B,F$4,'NSE - Other Index Options'!$I:$I,"MDAW*")=0,"",SUMIFS('NSE - NIFTY Index Options'!$M:$M,'NSE - NIFTY Index Options'!$C:$C,$A106,'NSE - NIFTY Index Options'!$B:$B,F$4,'NSE - NIFTY Index Options'!$I:$I,"Weekly*")+SUMIFS('NSE - NIFTY Index Options'!$M:$M,'NSE - NIFTY Index Options'!$C:$C,$A106,'NSE - NIFTY Index Options'!$B:$B,F$4,'NSE - NIFTY Index Options'!$I:$I,"MDAW*")+SUMIFS('NSE - Other Index Options'!$M:$M,'NSE - Other Index Options'!$C:$C,$A106,'NSE - Other Index Options'!$B:$B,F$4,'NSE - Other Index Options'!$I:$I,"Weekly*")+SUMIFS('NSE - Other Index Options'!$M:$M,'NSE - Other Index Options'!$C:$C,$A106,'NSE - Other Index Options'!$B:$B,F$4,'NSE - Other Index Options'!$I:$I,"MDAW*"))</f>
        <v/>
      </c>
      <c r="G106" s="26">
        <f>IF(SUMIFS('NSE - NIFTY Index Options'!$M:$M,'NSE - NIFTY Index Options'!$C:$C,$A106,'NSE - NIFTY Index Options'!$B:$B,G$4,'NSE - NIFTY Index Options'!$I:$I,"Weekly*")+SUMIFS('NSE - NIFTY Index Options'!$M:$M,'NSE - NIFTY Index Options'!$C:$C,$A106,'NSE - NIFTY Index Options'!$B:$B,G$4,'NSE - NIFTY Index Options'!$I:$I,"MDAW*")+SUMIFS('NSE - Other Index Options'!$M:$M,'NSE - Other Index Options'!$C:$C,$A106,'NSE - Other Index Options'!$B:$B,G$4,'NSE - Other Index Options'!$I:$I,"Weekly*")+SUMIFS('NSE - Other Index Options'!$M:$M,'NSE - Other Index Options'!$C:$C,$A106,'NSE - Other Index Options'!$B:$B,G$4,'NSE - Other Index Options'!$I:$I,"MDAW*")=0,"",SUMIFS('NSE - NIFTY Index Options'!$M:$M,'NSE - NIFTY Index Options'!$C:$C,$A106,'NSE - NIFTY Index Options'!$B:$B,G$4,'NSE - NIFTY Index Options'!$I:$I,"Weekly*")+SUMIFS('NSE - NIFTY Index Options'!$M:$M,'NSE - NIFTY Index Options'!$C:$C,$A106,'NSE - NIFTY Index Options'!$B:$B,G$4,'NSE - NIFTY Index Options'!$I:$I,"MDAW*")+SUMIFS('NSE - Other Index Options'!$M:$M,'NSE - Other Index Options'!$C:$C,$A106,'NSE - Other Index Options'!$B:$B,G$4,'NSE - Other Index Options'!$I:$I,"Weekly*")+SUMIFS('NSE - Other Index Options'!$M:$M,'NSE - Other Index Options'!$C:$C,$A106,'NSE - Other Index Options'!$B:$B,G$4,'NSE - Other Index Options'!$I:$I,"MDAW*"))</f>
        <v/>
      </c>
      <c r="H106" s="26">
        <f>IF(SUM(B106:G106)=0,"",SUM(B106:G106))</f>
        <v/>
      </c>
    </row>
    <row r="107" hidden="1" outlineLevel="1">
      <c r="A107" t="inlineStr">
        <is>
          <t>Week5-May-2027</t>
        </is>
      </c>
      <c r="B107" s="26">
        <f>IF(SUMIFS('NSE - NIFTY Index Options'!$M:$M,'NSE - NIFTY Index Options'!$C:$C,$A107,'NSE - NIFTY Index Options'!$B:$B,B$4,'NSE - NIFTY Index Options'!$I:$I,"Weekly*")+SUMIFS('NSE - NIFTY Index Options'!$M:$M,'NSE - NIFTY Index Options'!$C:$C,$A107,'NSE - NIFTY Index Options'!$B:$B,B$4,'NSE - NIFTY Index Options'!$I:$I,"MDAW*")+SUMIFS('NSE - Other Index Options'!$M:$M,'NSE - Other Index Options'!$C:$C,$A107,'NSE - Other Index Options'!$B:$B,B$4,'NSE - Other Index Options'!$I:$I,"Weekly*")+SUMIFS('NSE - Other Index Options'!$M:$M,'NSE - Other Index Options'!$C:$C,$A107,'NSE - Other Index Options'!$B:$B,B$4,'NSE - Other Index Options'!$I:$I,"MDAW*")=0,"",SUMIFS('NSE - NIFTY Index Options'!$M:$M,'NSE - NIFTY Index Options'!$C:$C,$A107,'NSE - NIFTY Index Options'!$B:$B,B$4,'NSE - NIFTY Index Options'!$I:$I,"Weekly*")+SUMIFS('NSE - NIFTY Index Options'!$M:$M,'NSE - NIFTY Index Options'!$C:$C,$A107,'NSE - NIFTY Index Options'!$B:$B,B$4,'NSE - NIFTY Index Options'!$I:$I,"MDAW*")+SUMIFS('NSE - Other Index Options'!$M:$M,'NSE - Other Index Options'!$C:$C,$A107,'NSE - Other Index Options'!$B:$B,B$4,'NSE - Other Index Options'!$I:$I,"Weekly*")+SUMIFS('NSE - Other Index Options'!$M:$M,'NSE - Other Index Options'!$C:$C,$A107,'NSE - Other Index Options'!$B:$B,B$4,'NSE - Other Index Options'!$I:$I,"MDAW*"))</f>
        <v/>
      </c>
      <c r="C107" s="26">
        <f>IF(SUMIFS('NSE - NIFTY Index Options'!$M:$M,'NSE - NIFTY Index Options'!$C:$C,$A107,'NSE - NIFTY Index Options'!$B:$B,C$4,'NSE - NIFTY Index Options'!$I:$I,"Weekly*")+SUMIFS('NSE - NIFTY Index Options'!$M:$M,'NSE - NIFTY Index Options'!$C:$C,$A107,'NSE - NIFTY Index Options'!$B:$B,C$4,'NSE - NIFTY Index Options'!$I:$I,"MDAW*")+SUMIFS('NSE - Other Index Options'!$M:$M,'NSE - Other Index Options'!$C:$C,$A107,'NSE - Other Index Options'!$B:$B,C$4,'NSE - Other Index Options'!$I:$I,"Weekly*")+SUMIFS('NSE - Other Index Options'!$M:$M,'NSE - Other Index Options'!$C:$C,$A107,'NSE - Other Index Options'!$B:$B,C$4,'NSE - Other Index Options'!$I:$I,"MDAW*")=0,"",SUMIFS('NSE - NIFTY Index Options'!$M:$M,'NSE - NIFTY Index Options'!$C:$C,$A107,'NSE - NIFTY Index Options'!$B:$B,C$4,'NSE - NIFTY Index Options'!$I:$I,"Weekly*")+SUMIFS('NSE - NIFTY Index Options'!$M:$M,'NSE - NIFTY Index Options'!$C:$C,$A107,'NSE - NIFTY Index Options'!$B:$B,C$4,'NSE - NIFTY Index Options'!$I:$I,"MDAW*")+SUMIFS('NSE - Other Index Options'!$M:$M,'NSE - Other Index Options'!$C:$C,$A107,'NSE - Other Index Options'!$B:$B,C$4,'NSE - Other Index Options'!$I:$I,"Weekly*")+SUMIFS('NSE - Other Index Options'!$M:$M,'NSE - Other Index Options'!$C:$C,$A107,'NSE - Other Index Options'!$B:$B,C$4,'NSE - Other Index Options'!$I:$I,"MDAW*"))</f>
        <v/>
      </c>
      <c r="D107" s="26">
        <f>IF(SUMIFS('NSE - NIFTY Index Options'!$M:$M,'NSE - NIFTY Index Options'!$C:$C,$A107,'NSE - NIFTY Index Options'!$B:$B,D$4,'NSE - NIFTY Index Options'!$I:$I,"Weekly*")+SUMIFS('NSE - NIFTY Index Options'!$M:$M,'NSE - NIFTY Index Options'!$C:$C,$A107,'NSE - NIFTY Index Options'!$B:$B,D$4,'NSE - NIFTY Index Options'!$I:$I,"MDAW*")+SUMIFS('NSE - Other Index Options'!$M:$M,'NSE - Other Index Options'!$C:$C,$A107,'NSE - Other Index Options'!$B:$B,D$4,'NSE - Other Index Options'!$I:$I,"Weekly*")+SUMIFS('NSE - Other Index Options'!$M:$M,'NSE - Other Index Options'!$C:$C,$A107,'NSE - Other Index Options'!$B:$B,D$4,'NSE - Other Index Options'!$I:$I,"MDAW*")=0,"",SUMIFS('NSE - NIFTY Index Options'!$M:$M,'NSE - NIFTY Index Options'!$C:$C,$A107,'NSE - NIFTY Index Options'!$B:$B,D$4,'NSE - NIFTY Index Options'!$I:$I,"Weekly*")+SUMIFS('NSE - NIFTY Index Options'!$M:$M,'NSE - NIFTY Index Options'!$C:$C,$A107,'NSE - NIFTY Index Options'!$B:$B,D$4,'NSE - NIFTY Index Options'!$I:$I,"MDAW*")+SUMIFS('NSE - Other Index Options'!$M:$M,'NSE - Other Index Options'!$C:$C,$A107,'NSE - Other Index Options'!$B:$B,D$4,'NSE - Other Index Options'!$I:$I,"Weekly*")+SUMIFS('NSE - Other Index Options'!$M:$M,'NSE - Other Index Options'!$C:$C,$A107,'NSE - Other Index Options'!$B:$B,D$4,'NSE - Other Index Options'!$I:$I,"MDAW*"))</f>
        <v/>
      </c>
      <c r="E107" s="26">
        <f>IF(SUMIFS('NSE - NIFTY Index Options'!$M:$M,'NSE - NIFTY Index Options'!$C:$C,$A107,'NSE - NIFTY Index Options'!$B:$B,E$4,'NSE - NIFTY Index Options'!$I:$I,"Weekly*")+SUMIFS('NSE - NIFTY Index Options'!$M:$M,'NSE - NIFTY Index Options'!$C:$C,$A107,'NSE - NIFTY Index Options'!$B:$B,E$4,'NSE - NIFTY Index Options'!$I:$I,"MDAW*")+SUMIFS('NSE - Other Index Options'!$M:$M,'NSE - Other Index Options'!$C:$C,$A107,'NSE - Other Index Options'!$B:$B,E$4,'NSE - Other Index Options'!$I:$I,"Weekly*")+SUMIFS('NSE - Other Index Options'!$M:$M,'NSE - Other Index Options'!$C:$C,$A107,'NSE - Other Index Options'!$B:$B,E$4,'NSE - Other Index Options'!$I:$I,"MDAW*")=0,"",SUMIFS('NSE - NIFTY Index Options'!$M:$M,'NSE - NIFTY Index Options'!$C:$C,$A107,'NSE - NIFTY Index Options'!$B:$B,E$4,'NSE - NIFTY Index Options'!$I:$I,"Weekly*")+SUMIFS('NSE - NIFTY Index Options'!$M:$M,'NSE - NIFTY Index Options'!$C:$C,$A107,'NSE - NIFTY Index Options'!$B:$B,E$4,'NSE - NIFTY Index Options'!$I:$I,"MDAW*")+SUMIFS('NSE - Other Index Options'!$M:$M,'NSE - Other Index Options'!$C:$C,$A107,'NSE - Other Index Options'!$B:$B,E$4,'NSE - Other Index Options'!$I:$I,"Weekly*")+SUMIFS('NSE - Other Index Options'!$M:$M,'NSE - Other Index Options'!$C:$C,$A107,'NSE - Other Index Options'!$B:$B,E$4,'NSE - Other Index Options'!$I:$I,"MDAW*"))</f>
        <v/>
      </c>
      <c r="F107" s="26">
        <f>IF(SUMIFS('NSE - NIFTY Index Options'!$M:$M,'NSE - NIFTY Index Options'!$C:$C,$A107,'NSE - NIFTY Index Options'!$B:$B,F$4,'NSE - NIFTY Index Options'!$I:$I,"Weekly*")+SUMIFS('NSE - NIFTY Index Options'!$M:$M,'NSE - NIFTY Index Options'!$C:$C,$A107,'NSE - NIFTY Index Options'!$B:$B,F$4,'NSE - NIFTY Index Options'!$I:$I,"MDAW*")+SUMIFS('NSE - Other Index Options'!$M:$M,'NSE - Other Index Options'!$C:$C,$A107,'NSE - Other Index Options'!$B:$B,F$4,'NSE - Other Index Options'!$I:$I,"Weekly*")+SUMIFS('NSE - Other Index Options'!$M:$M,'NSE - Other Index Options'!$C:$C,$A107,'NSE - Other Index Options'!$B:$B,F$4,'NSE - Other Index Options'!$I:$I,"MDAW*")=0,"",SUMIFS('NSE - NIFTY Index Options'!$M:$M,'NSE - NIFTY Index Options'!$C:$C,$A107,'NSE - NIFTY Index Options'!$B:$B,F$4,'NSE - NIFTY Index Options'!$I:$I,"Weekly*")+SUMIFS('NSE - NIFTY Index Options'!$M:$M,'NSE - NIFTY Index Options'!$C:$C,$A107,'NSE - NIFTY Index Options'!$B:$B,F$4,'NSE - NIFTY Index Options'!$I:$I,"MDAW*")+SUMIFS('NSE - Other Index Options'!$M:$M,'NSE - Other Index Options'!$C:$C,$A107,'NSE - Other Index Options'!$B:$B,F$4,'NSE - Other Index Options'!$I:$I,"Weekly*")+SUMIFS('NSE - Other Index Options'!$M:$M,'NSE - Other Index Options'!$C:$C,$A107,'NSE - Other Index Options'!$B:$B,F$4,'NSE - Other Index Options'!$I:$I,"MDAW*"))</f>
        <v/>
      </c>
      <c r="G107" s="26">
        <f>IF(SUMIFS('NSE - NIFTY Index Options'!$M:$M,'NSE - NIFTY Index Options'!$C:$C,$A107,'NSE - NIFTY Index Options'!$B:$B,G$4,'NSE - NIFTY Index Options'!$I:$I,"Weekly*")+SUMIFS('NSE - NIFTY Index Options'!$M:$M,'NSE - NIFTY Index Options'!$C:$C,$A107,'NSE - NIFTY Index Options'!$B:$B,G$4,'NSE - NIFTY Index Options'!$I:$I,"MDAW*")+SUMIFS('NSE - Other Index Options'!$M:$M,'NSE - Other Index Options'!$C:$C,$A107,'NSE - Other Index Options'!$B:$B,G$4,'NSE - Other Index Options'!$I:$I,"Weekly*")+SUMIFS('NSE - Other Index Options'!$M:$M,'NSE - Other Index Options'!$C:$C,$A107,'NSE - Other Index Options'!$B:$B,G$4,'NSE - Other Index Options'!$I:$I,"MDAW*")=0,"",SUMIFS('NSE - NIFTY Index Options'!$M:$M,'NSE - NIFTY Index Options'!$C:$C,$A107,'NSE - NIFTY Index Options'!$B:$B,G$4,'NSE - NIFTY Index Options'!$I:$I,"Weekly*")+SUMIFS('NSE - NIFTY Index Options'!$M:$M,'NSE - NIFTY Index Options'!$C:$C,$A107,'NSE - NIFTY Index Options'!$B:$B,G$4,'NSE - NIFTY Index Options'!$I:$I,"MDAW*")+SUMIFS('NSE - Other Index Options'!$M:$M,'NSE - Other Index Options'!$C:$C,$A107,'NSE - Other Index Options'!$B:$B,G$4,'NSE - Other Index Options'!$I:$I,"Weekly*")+SUMIFS('NSE - Other Index Options'!$M:$M,'NSE - Other Index Options'!$C:$C,$A107,'NSE - Other Index Options'!$B:$B,G$4,'NSE - Other Index Options'!$I:$I,"MDAW*"))</f>
        <v/>
      </c>
      <c r="H107" s="26">
        <f>IF(SUM(B107:G107)=0,"",SUM(B107:G107))</f>
        <v/>
      </c>
    </row>
    <row r="108" hidden="1" outlineLevel="1">
      <c r="A108" t="inlineStr">
        <is>
          <t>Week1-Jun-2027</t>
        </is>
      </c>
      <c r="B108" s="26">
        <f>IF(SUMIFS('NSE - NIFTY Index Options'!$M:$M,'NSE - NIFTY Index Options'!$C:$C,$A108,'NSE - NIFTY Index Options'!$B:$B,B$4,'NSE - NIFTY Index Options'!$I:$I,"Weekly*")+SUMIFS('NSE - NIFTY Index Options'!$M:$M,'NSE - NIFTY Index Options'!$C:$C,$A108,'NSE - NIFTY Index Options'!$B:$B,B$4,'NSE - NIFTY Index Options'!$I:$I,"MDAW*")+SUMIFS('NSE - Other Index Options'!$M:$M,'NSE - Other Index Options'!$C:$C,$A108,'NSE - Other Index Options'!$B:$B,B$4,'NSE - Other Index Options'!$I:$I,"Weekly*")+SUMIFS('NSE - Other Index Options'!$M:$M,'NSE - Other Index Options'!$C:$C,$A108,'NSE - Other Index Options'!$B:$B,B$4,'NSE - Other Index Options'!$I:$I,"MDAW*")=0,"",SUMIFS('NSE - NIFTY Index Options'!$M:$M,'NSE - NIFTY Index Options'!$C:$C,$A108,'NSE - NIFTY Index Options'!$B:$B,B$4,'NSE - NIFTY Index Options'!$I:$I,"Weekly*")+SUMIFS('NSE - NIFTY Index Options'!$M:$M,'NSE - NIFTY Index Options'!$C:$C,$A108,'NSE - NIFTY Index Options'!$B:$B,B$4,'NSE - NIFTY Index Options'!$I:$I,"MDAW*")+SUMIFS('NSE - Other Index Options'!$M:$M,'NSE - Other Index Options'!$C:$C,$A108,'NSE - Other Index Options'!$B:$B,B$4,'NSE - Other Index Options'!$I:$I,"Weekly*")+SUMIFS('NSE - Other Index Options'!$M:$M,'NSE - Other Index Options'!$C:$C,$A108,'NSE - Other Index Options'!$B:$B,B$4,'NSE - Other Index Options'!$I:$I,"MDAW*"))</f>
        <v/>
      </c>
      <c r="C108" s="26">
        <f>IF(SUMIFS('NSE - NIFTY Index Options'!$M:$M,'NSE - NIFTY Index Options'!$C:$C,$A108,'NSE - NIFTY Index Options'!$B:$B,C$4,'NSE - NIFTY Index Options'!$I:$I,"Weekly*")+SUMIFS('NSE - NIFTY Index Options'!$M:$M,'NSE - NIFTY Index Options'!$C:$C,$A108,'NSE - NIFTY Index Options'!$B:$B,C$4,'NSE - NIFTY Index Options'!$I:$I,"MDAW*")+SUMIFS('NSE - Other Index Options'!$M:$M,'NSE - Other Index Options'!$C:$C,$A108,'NSE - Other Index Options'!$B:$B,C$4,'NSE - Other Index Options'!$I:$I,"Weekly*")+SUMIFS('NSE - Other Index Options'!$M:$M,'NSE - Other Index Options'!$C:$C,$A108,'NSE - Other Index Options'!$B:$B,C$4,'NSE - Other Index Options'!$I:$I,"MDAW*")=0,"",SUMIFS('NSE - NIFTY Index Options'!$M:$M,'NSE - NIFTY Index Options'!$C:$C,$A108,'NSE - NIFTY Index Options'!$B:$B,C$4,'NSE - NIFTY Index Options'!$I:$I,"Weekly*")+SUMIFS('NSE - NIFTY Index Options'!$M:$M,'NSE - NIFTY Index Options'!$C:$C,$A108,'NSE - NIFTY Index Options'!$B:$B,C$4,'NSE - NIFTY Index Options'!$I:$I,"MDAW*")+SUMIFS('NSE - Other Index Options'!$M:$M,'NSE - Other Index Options'!$C:$C,$A108,'NSE - Other Index Options'!$B:$B,C$4,'NSE - Other Index Options'!$I:$I,"Weekly*")+SUMIFS('NSE - Other Index Options'!$M:$M,'NSE - Other Index Options'!$C:$C,$A108,'NSE - Other Index Options'!$B:$B,C$4,'NSE - Other Index Options'!$I:$I,"MDAW*"))</f>
        <v/>
      </c>
      <c r="D108" s="26">
        <f>IF(SUMIFS('NSE - NIFTY Index Options'!$M:$M,'NSE - NIFTY Index Options'!$C:$C,$A108,'NSE - NIFTY Index Options'!$B:$B,D$4,'NSE - NIFTY Index Options'!$I:$I,"Weekly*")+SUMIFS('NSE - NIFTY Index Options'!$M:$M,'NSE - NIFTY Index Options'!$C:$C,$A108,'NSE - NIFTY Index Options'!$B:$B,D$4,'NSE - NIFTY Index Options'!$I:$I,"MDAW*")+SUMIFS('NSE - Other Index Options'!$M:$M,'NSE - Other Index Options'!$C:$C,$A108,'NSE - Other Index Options'!$B:$B,D$4,'NSE - Other Index Options'!$I:$I,"Weekly*")+SUMIFS('NSE - Other Index Options'!$M:$M,'NSE - Other Index Options'!$C:$C,$A108,'NSE - Other Index Options'!$B:$B,D$4,'NSE - Other Index Options'!$I:$I,"MDAW*")=0,"",SUMIFS('NSE - NIFTY Index Options'!$M:$M,'NSE - NIFTY Index Options'!$C:$C,$A108,'NSE - NIFTY Index Options'!$B:$B,D$4,'NSE - NIFTY Index Options'!$I:$I,"Weekly*")+SUMIFS('NSE - NIFTY Index Options'!$M:$M,'NSE - NIFTY Index Options'!$C:$C,$A108,'NSE - NIFTY Index Options'!$B:$B,D$4,'NSE - NIFTY Index Options'!$I:$I,"MDAW*")+SUMIFS('NSE - Other Index Options'!$M:$M,'NSE - Other Index Options'!$C:$C,$A108,'NSE - Other Index Options'!$B:$B,D$4,'NSE - Other Index Options'!$I:$I,"Weekly*")+SUMIFS('NSE - Other Index Options'!$M:$M,'NSE - Other Index Options'!$C:$C,$A108,'NSE - Other Index Options'!$B:$B,D$4,'NSE - Other Index Options'!$I:$I,"MDAW*"))</f>
        <v/>
      </c>
      <c r="E108" s="26">
        <f>IF(SUMIFS('NSE - NIFTY Index Options'!$M:$M,'NSE - NIFTY Index Options'!$C:$C,$A108,'NSE - NIFTY Index Options'!$B:$B,E$4,'NSE - NIFTY Index Options'!$I:$I,"Weekly*")+SUMIFS('NSE - NIFTY Index Options'!$M:$M,'NSE - NIFTY Index Options'!$C:$C,$A108,'NSE - NIFTY Index Options'!$B:$B,E$4,'NSE - NIFTY Index Options'!$I:$I,"MDAW*")+SUMIFS('NSE - Other Index Options'!$M:$M,'NSE - Other Index Options'!$C:$C,$A108,'NSE - Other Index Options'!$B:$B,E$4,'NSE - Other Index Options'!$I:$I,"Weekly*")+SUMIFS('NSE - Other Index Options'!$M:$M,'NSE - Other Index Options'!$C:$C,$A108,'NSE - Other Index Options'!$B:$B,E$4,'NSE - Other Index Options'!$I:$I,"MDAW*")=0,"",SUMIFS('NSE - NIFTY Index Options'!$M:$M,'NSE - NIFTY Index Options'!$C:$C,$A108,'NSE - NIFTY Index Options'!$B:$B,E$4,'NSE - NIFTY Index Options'!$I:$I,"Weekly*")+SUMIFS('NSE - NIFTY Index Options'!$M:$M,'NSE - NIFTY Index Options'!$C:$C,$A108,'NSE - NIFTY Index Options'!$B:$B,E$4,'NSE - NIFTY Index Options'!$I:$I,"MDAW*")+SUMIFS('NSE - Other Index Options'!$M:$M,'NSE - Other Index Options'!$C:$C,$A108,'NSE - Other Index Options'!$B:$B,E$4,'NSE - Other Index Options'!$I:$I,"Weekly*")+SUMIFS('NSE - Other Index Options'!$M:$M,'NSE - Other Index Options'!$C:$C,$A108,'NSE - Other Index Options'!$B:$B,E$4,'NSE - Other Index Options'!$I:$I,"MDAW*"))</f>
        <v/>
      </c>
      <c r="F108" s="26">
        <f>IF(SUMIFS('NSE - NIFTY Index Options'!$M:$M,'NSE - NIFTY Index Options'!$C:$C,$A108,'NSE - NIFTY Index Options'!$B:$B,F$4,'NSE - NIFTY Index Options'!$I:$I,"Weekly*")+SUMIFS('NSE - NIFTY Index Options'!$M:$M,'NSE - NIFTY Index Options'!$C:$C,$A108,'NSE - NIFTY Index Options'!$B:$B,F$4,'NSE - NIFTY Index Options'!$I:$I,"MDAW*")+SUMIFS('NSE - Other Index Options'!$M:$M,'NSE - Other Index Options'!$C:$C,$A108,'NSE - Other Index Options'!$B:$B,F$4,'NSE - Other Index Options'!$I:$I,"Weekly*")+SUMIFS('NSE - Other Index Options'!$M:$M,'NSE - Other Index Options'!$C:$C,$A108,'NSE - Other Index Options'!$B:$B,F$4,'NSE - Other Index Options'!$I:$I,"MDAW*")=0,"",SUMIFS('NSE - NIFTY Index Options'!$M:$M,'NSE - NIFTY Index Options'!$C:$C,$A108,'NSE - NIFTY Index Options'!$B:$B,F$4,'NSE - NIFTY Index Options'!$I:$I,"Weekly*")+SUMIFS('NSE - NIFTY Index Options'!$M:$M,'NSE - NIFTY Index Options'!$C:$C,$A108,'NSE - NIFTY Index Options'!$B:$B,F$4,'NSE - NIFTY Index Options'!$I:$I,"MDAW*")+SUMIFS('NSE - Other Index Options'!$M:$M,'NSE - Other Index Options'!$C:$C,$A108,'NSE - Other Index Options'!$B:$B,F$4,'NSE - Other Index Options'!$I:$I,"Weekly*")+SUMIFS('NSE - Other Index Options'!$M:$M,'NSE - Other Index Options'!$C:$C,$A108,'NSE - Other Index Options'!$B:$B,F$4,'NSE - Other Index Options'!$I:$I,"MDAW*"))</f>
        <v/>
      </c>
      <c r="G108" s="26">
        <f>IF(SUMIFS('NSE - NIFTY Index Options'!$M:$M,'NSE - NIFTY Index Options'!$C:$C,$A108,'NSE - NIFTY Index Options'!$B:$B,G$4,'NSE - NIFTY Index Options'!$I:$I,"Weekly*")+SUMIFS('NSE - NIFTY Index Options'!$M:$M,'NSE - NIFTY Index Options'!$C:$C,$A108,'NSE - NIFTY Index Options'!$B:$B,G$4,'NSE - NIFTY Index Options'!$I:$I,"MDAW*")+SUMIFS('NSE - Other Index Options'!$M:$M,'NSE - Other Index Options'!$C:$C,$A108,'NSE - Other Index Options'!$B:$B,G$4,'NSE - Other Index Options'!$I:$I,"Weekly*")+SUMIFS('NSE - Other Index Options'!$M:$M,'NSE - Other Index Options'!$C:$C,$A108,'NSE - Other Index Options'!$B:$B,G$4,'NSE - Other Index Options'!$I:$I,"MDAW*")=0,"",SUMIFS('NSE - NIFTY Index Options'!$M:$M,'NSE - NIFTY Index Options'!$C:$C,$A108,'NSE - NIFTY Index Options'!$B:$B,G$4,'NSE - NIFTY Index Options'!$I:$I,"Weekly*")+SUMIFS('NSE - NIFTY Index Options'!$M:$M,'NSE - NIFTY Index Options'!$C:$C,$A108,'NSE - NIFTY Index Options'!$B:$B,G$4,'NSE - NIFTY Index Options'!$I:$I,"MDAW*")+SUMIFS('NSE - Other Index Options'!$M:$M,'NSE - Other Index Options'!$C:$C,$A108,'NSE - Other Index Options'!$B:$B,G$4,'NSE - Other Index Options'!$I:$I,"Weekly*")+SUMIFS('NSE - Other Index Options'!$M:$M,'NSE - Other Index Options'!$C:$C,$A108,'NSE - Other Index Options'!$B:$B,G$4,'NSE - Other Index Options'!$I:$I,"MDAW*"))</f>
        <v/>
      </c>
      <c r="H108" s="26">
        <f>IF(SUM(B108:G108)=0,"",SUM(B108:G108))</f>
        <v/>
      </c>
    </row>
    <row r="109" hidden="1" outlineLevel="1">
      <c r="A109" t="inlineStr">
        <is>
          <t>Week2-Jun-2027</t>
        </is>
      </c>
      <c r="B109" s="26">
        <f>IF(SUMIFS('NSE - NIFTY Index Options'!$M:$M,'NSE - NIFTY Index Options'!$C:$C,$A109,'NSE - NIFTY Index Options'!$B:$B,B$4,'NSE - NIFTY Index Options'!$I:$I,"Weekly*")+SUMIFS('NSE - NIFTY Index Options'!$M:$M,'NSE - NIFTY Index Options'!$C:$C,$A109,'NSE - NIFTY Index Options'!$B:$B,B$4,'NSE - NIFTY Index Options'!$I:$I,"MDAW*")+SUMIFS('NSE - Other Index Options'!$M:$M,'NSE - Other Index Options'!$C:$C,$A109,'NSE - Other Index Options'!$B:$B,B$4,'NSE - Other Index Options'!$I:$I,"Weekly*")+SUMIFS('NSE - Other Index Options'!$M:$M,'NSE - Other Index Options'!$C:$C,$A109,'NSE - Other Index Options'!$B:$B,B$4,'NSE - Other Index Options'!$I:$I,"MDAW*")=0,"",SUMIFS('NSE - NIFTY Index Options'!$M:$M,'NSE - NIFTY Index Options'!$C:$C,$A109,'NSE - NIFTY Index Options'!$B:$B,B$4,'NSE - NIFTY Index Options'!$I:$I,"Weekly*")+SUMIFS('NSE - NIFTY Index Options'!$M:$M,'NSE - NIFTY Index Options'!$C:$C,$A109,'NSE - NIFTY Index Options'!$B:$B,B$4,'NSE - NIFTY Index Options'!$I:$I,"MDAW*")+SUMIFS('NSE - Other Index Options'!$M:$M,'NSE - Other Index Options'!$C:$C,$A109,'NSE - Other Index Options'!$B:$B,B$4,'NSE - Other Index Options'!$I:$I,"Weekly*")+SUMIFS('NSE - Other Index Options'!$M:$M,'NSE - Other Index Options'!$C:$C,$A109,'NSE - Other Index Options'!$B:$B,B$4,'NSE - Other Index Options'!$I:$I,"MDAW*"))</f>
        <v/>
      </c>
      <c r="C109" s="26">
        <f>IF(SUMIFS('NSE - NIFTY Index Options'!$M:$M,'NSE - NIFTY Index Options'!$C:$C,$A109,'NSE - NIFTY Index Options'!$B:$B,C$4,'NSE - NIFTY Index Options'!$I:$I,"Weekly*")+SUMIFS('NSE - NIFTY Index Options'!$M:$M,'NSE - NIFTY Index Options'!$C:$C,$A109,'NSE - NIFTY Index Options'!$B:$B,C$4,'NSE - NIFTY Index Options'!$I:$I,"MDAW*")+SUMIFS('NSE - Other Index Options'!$M:$M,'NSE - Other Index Options'!$C:$C,$A109,'NSE - Other Index Options'!$B:$B,C$4,'NSE - Other Index Options'!$I:$I,"Weekly*")+SUMIFS('NSE - Other Index Options'!$M:$M,'NSE - Other Index Options'!$C:$C,$A109,'NSE - Other Index Options'!$B:$B,C$4,'NSE - Other Index Options'!$I:$I,"MDAW*")=0,"",SUMIFS('NSE - NIFTY Index Options'!$M:$M,'NSE - NIFTY Index Options'!$C:$C,$A109,'NSE - NIFTY Index Options'!$B:$B,C$4,'NSE - NIFTY Index Options'!$I:$I,"Weekly*")+SUMIFS('NSE - NIFTY Index Options'!$M:$M,'NSE - NIFTY Index Options'!$C:$C,$A109,'NSE - NIFTY Index Options'!$B:$B,C$4,'NSE - NIFTY Index Options'!$I:$I,"MDAW*")+SUMIFS('NSE - Other Index Options'!$M:$M,'NSE - Other Index Options'!$C:$C,$A109,'NSE - Other Index Options'!$B:$B,C$4,'NSE - Other Index Options'!$I:$I,"Weekly*")+SUMIFS('NSE - Other Index Options'!$M:$M,'NSE - Other Index Options'!$C:$C,$A109,'NSE - Other Index Options'!$B:$B,C$4,'NSE - Other Index Options'!$I:$I,"MDAW*"))</f>
        <v/>
      </c>
      <c r="D109" s="26">
        <f>IF(SUMIFS('NSE - NIFTY Index Options'!$M:$M,'NSE - NIFTY Index Options'!$C:$C,$A109,'NSE - NIFTY Index Options'!$B:$B,D$4,'NSE - NIFTY Index Options'!$I:$I,"Weekly*")+SUMIFS('NSE - NIFTY Index Options'!$M:$M,'NSE - NIFTY Index Options'!$C:$C,$A109,'NSE - NIFTY Index Options'!$B:$B,D$4,'NSE - NIFTY Index Options'!$I:$I,"MDAW*")+SUMIFS('NSE - Other Index Options'!$M:$M,'NSE - Other Index Options'!$C:$C,$A109,'NSE - Other Index Options'!$B:$B,D$4,'NSE - Other Index Options'!$I:$I,"Weekly*")+SUMIFS('NSE - Other Index Options'!$M:$M,'NSE - Other Index Options'!$C:$C,$A109,'NSE - Other Index Options'!$B:$B,D$4,'NSE - Other Index Options'!$I:$I,"MDAW*")=0,"",SUMIFS('NSE - NIFTY Index Options'!$M:$M,'NSE - NIFTY Index Options'!$C:$C,$A109,'NSE - NIFTY Index Options'!$B:$B,D$4,'NSE - NIFTY Index Options'!$I:$I,"Weekly*")+SUMIFS('NSE - NIFTY Index Options'!$M:$M,'NSE - NIFTY Index Options'!$C:$C,$A109,'NSE - NIFTY Index Options'!$B:$B,D$4,'NSE - NIFTY Index Options'!$I:$I,"MDAW*")+SUMIFS('NSE - Other Index Options'!$M:$M,'NSE - Other Index Options'!$C:$C,$A109,'NSE - Other Index Options'!$B:$B,D$4,'NSE - Other Index Options'!$I:$I,"Weekly*")+SUMIFS('NSE - Other Index Options'!$M:$M,'NSE - Other Index Options'!$C:$C,$A109,'NSE - Other Index Options'!$B:$B,D$4,'NSE - Other Index Options'!$I:$I,"MDAW*"))</f>
        <v/>
      </c>
      <c r="E109" s="26">
        <f>IF(SUMIFS('NSE - NIFTY Index Options'!$M:$M,'NSE - NIFTY Index Options'!$C:$C,$A109,'NSE - NIFTY Index Options'!$B:$B,E$4,'NSE - NIFTY Index Options'!$I:$I,"Weekly*")+SUMIFS('NSE - NIFTY Index Options'!$M:$M,'NSE - NIFTY Index Options'!$C:$C,$A109,'NSE - NIFTY Index Options'!$B:$B,E$4,'NSE - NIFTY Index Options'!$I:$I,"MDAW*")+SUMIFS('NSE - Other Index Options'!$M:$M,'NSE - Other Index Options'!$C:$C,$A109,'NSE - Other Index Options'!$B:$B,E$4,'NSE - Other Index Options'!$I:$I,"Weekly*")+SUMIFS('NSE - Other Index Options'!$M:$M,'NSE - Other Index Options'!$C:$C,$A109,'NSE - Other Index Options'!$B:$B,E$4,'NSE - Other Index Options'!$I:$I,"MDAW*")=0,"",SUMIFS('NSE - NIFTY Index Options'!$M:$M,'NSE - NIFTY Index Options'!$C:$C,$A109,'NSE - NIFTY Index Options'!$B:$B,E$4,'NSE - NIFTY Index Options'!$I:$I,"Weekly*")+SUMIFS('NSE - NIFTY Index Options'!$M:$M,'NSE - NIFTY Index Options'!$C:$C,$A109,'NSE - NIFTY Index Options'!$B:$B,E$4,'NSE - NIFTY Index Options'!$I:$I,"MDAW*")+SUMIFS('NSE - Other Index Options'!$M:$M,'NSE - Other Index Options'!$C:$C,$A109,'NSE - Other Index Options'!$B:$B,E$4,'NSE - Other Index Options'!$I:$I,"Weekly*")+SUMIFS('NSE - Other Index Options'!$M:$M,'NSE - Other Index Options'!$C:$C,$A109,'NSE - Other Index Options'!$B:$B,E$4,'NSE - Other Index Options'!$I:$I,"MDAW*"))</f>
        <v/>
      </c>
      <c r="F109" s="26">
        <f>IF(SUMIFS('NSE - NIFTY Index Options'!$M:$M,'NSE - NIFTY Index Options'!$C:$C,$A109,'NSE - NIFTY Index Options'!$B:$B,F$4,'NSE - NIFTY Index Options'!$I:$I,"Weekly*")+SUMIFS('NSE - NIFTY Index Options'!$M:$M,'NSE - NIFTY Index Options'!$C:$C,$A109,'NSE - NIFTY Index Options'!$B:$B,F$4,'NSE - NIFTY Index Options'!$I:$I,"MDAW*")+SUMIFS('NSE - Other Index Options'!$M:$M,'NSE - Other Index Options'!$C:$C,$A109,'NSE - Other Index Options'!$B:$B,F$4,'NSE - Other Index Options'!$I:$I,"Weekly*")+SUMIFS('NSE - Other Index Options'!$M:$M,'NSE - Other Index Options'!$C:$C,$A109,'NSE - Other Index Options'!$B:$B,F$4,'NSE - Other Index Options'!$I:$I,"MDAW*")=0,"",SUMIFS('NSE - NIFTY Index Options'!$M:$M,'NSE - NIFTY Index Options'!$C:$C,$A109,'NSE - NIFTY Index Options'!$B:$B,F$4,'NSE - NIFTY Index Options'!$I:$I,"Weekly*")+SUMIFS('NSE - NIFTY Index Options'!$M:$M,'NSE - NIFTY Index Options'!$C:$C,$A109,'NSE - NIFTY Index Options'!$B:$B,F$4,'NSE - NIFTY Index Options'!$I:$I,"MDAW*")+SUMIFS('NSE - Other Index Options'!$M:$M,'NSE - Other Index Options'!$C:$C,$A109,'NSE - Other Index Options'!$B:$B,F$4,'NSE - Other Index Options'!$I:$I,"Weekly*")+SUMIFS('NSE - Other Index Options'!$M:$M,'NSE - Other Index Options'!$C:$C,$A109,'NSE - Other Index Options'!$B:$B,F$4,'NSE - Other Index Options'!$I:$I,"MDAW*"))</f>
        <v/>
      </c>
      <c r="G109" s="26">
        <f>IF(SUMIFS('NSE - NIFTY Index Options'!$M:$M,'NSE - NIFTY Index Options'!$C:$C,$A109,'NSE - NIFTY Index Options'!$B:$B,G$4,'NSE - NIFTY Index Options'!$I:$I,"Weekly*")+SUMIFS('NSE - NIFTY Index Options'!$M:$M,'NSE - NIFTY Index Options'!$C:$C,$A109,'NSE - NIFTY Index Options'!$B:$B,G$4,'NSE - NIFTY Index Options'!$I:$I,"MDAW*")+SUMIFS('NSE - Other Index Options'!$M:$M,'NSE - Other Index Options'!$C:$C,$A109,'NSE - Other Index Options'!$B:$B,G$4,'NSE - Other Index Options'!$I:$I,"Weekly*")+SUMIFS('NSE - Other Index Options'!$M:$M,'NSE - Other Index Options'!$C:$C,$A109,'NSE - Other Index Options'!$B:$B,G$4,'NSE - Other Index Options'!$I:$I,"MDAW*")=0,"",SUMIFS('NSE - NIFTY Index Options'!$M:$M,'NSE - NIFTY Index Options'!$C:$C,$A109,'NSE - NIFTY Index Options'!$B:$B,G$4,'NSE - NIFTY Index Options'!$I:$I,"Weekly*")+SUMIFS('NSE - NIFTY Index Options'!$M:$M,'NSE - NIFTY Index Options'!$C:$C,$A109,'NSE - NIFTY Index Options'!$B:$B,G$4,'NSE - NIFTY Index Options'!$I:$I,"MDAW*")+SUMIFS('NSE - Other Index Options'!$M:$M,'NSE - Other Index Options'!$C:$C,$A109,'NSE - Other Index Options'!$B:$B,G$4,'NSE - Other Index Options'!$I:$I,"Weekly*")+SUMIFS('NSE - Other Index Options'!$M:$M,'NSE - Other Index Options'!$C:$C,$A109,'NSE - Other Index Options'!$B:$B,G$4,'NSE - Other Index Options'!$I:$I,"MDAW*"))</f>
        <v/>
      </c>
      <c r="H109" s="26">
        <f>IF(SUM(B109:G109)=0,"",SUM(B109:G109))</f>
        <v/>
      </c>
    </row>
    <row r="110" hidden="1" outlineLevel="1">
      <c r="A110" t="inlineStr">
        <is>
          <t>Week3-Jun-2027</t>
        </is>
      </c>
      <c r="B110" s="26">
        <f>IF(SUMIFS('NSE - NIFTY Index Options'!$M:$M,'NSE - NIFTY Index Options'!$C:$C,$A110,'NSE - NIFTY Index Options'!$B:$B,B$4,'NSE - NIFTY Index Options'!$I:$I,"Weekly*")+SUMIFS('NSE - NIFTY Index Options'!$M:$M,'NSE - NIFTY Index Options'!$C:$C,$A110,'NSE - NIFTY Index Options'!$B:$B,B$4,'NSE - NIFTY Index Options'!$I:$I,"MDAW*")+SUMIFS('NSE - Other Index Options'!$M:$M,'NSE - Other Index Options'!$C:$C,$A110,'NSE - Other Index Options'!$B:$B,B$4,'NSE - Other Index Options'!$I:$I,"Weekly*")+SUMIFS('NSE - Other Index Options'!$M:$M,'NSE - Other Index Options'!$C:$C,$A110,'NSE - Other Index Options'!$B:$B,B$4,'NSE - Other Index Options'!$I:$I,"MDAW*")=0,"",SUMIFS('NSE - NIFTY Index Options'!$M:$M,'NSE - NIFTY Index Options'!$C:$C,$A110,'NSE - NIFTY Index Options'!$B:$B,B$4,'NSE - NIFTY Index Options'!$I:$I,"Weekly*")+SUMIFS('NSE - NIFTY Index Options'!$M:$M,'NSE - NIFTY Index Options'!$C:$C,$A110,'NSE - NIFTY Index Options'!$B:$B,B$4,'NSE - NIFTY Index Options'!$I:$I,"MDAW*")+SUMIFS('NSE - Other Index Options'!$M:$M,'NSE - Other Index Options'!$C:$C,$A110,'NSE - Other Index Options'!$B:$B,B$4,'NSE - Other Index Options'!$I:$I,"Weekly*")+SUMIFS('NSE - Other Index Options'!$M:$M,'NSE - Other Index Options'!$C:$C,$A110,'NSE - Other Index Options'!$B:$B,B$4,'NSE - Other Index Options'!$I:$I,"MDAW*"))</f>
        <v/>
      </c>
      <c r="C110" s="26">
        <f>IF(SUMIFS('NSE - NIFTY Index Options'!$M:$M,'NSE - NIFTY Index Options'!$C:$C,$A110,'NSE - NIFTY Index Options'!$B:$B,C$4,'NSE - NIFTY Index Options'!$I:$I,"Weekly*")+SUMIFS('NSE - NIFTY Index Options'!$M:$M,'NSE - NIFTY Index Options'!$C:$C,$A110,'NSE - NIFTY Index Options'!$B:$B,C$4,'NSE - NIFTY Index Options'!$I:$I,"MDAW*")+SUMIFS('NSE - Other Index Options'!$M:$M,'NSE - Other Index Options'!$C:$C,$A110,'NSE - Other Index Options'!$B:$B,C$4,'NSE - Other Index Options'!$I:$I,"Weekly*")+SUMIFS('NSE - Other Index Options'!$M:$M,'NSE - Other Index Options'!$C:$C,$A110,'NSE - Other Index Options'!$B:$B,C$4,'NSE - Other Index Options'!$I:$I,"MDAW*")=0,"",SUMIFS('NSE - NIFTY Index Options'!$M:$M,'NSE - NIFTY Index Options'!$C:$C,$A110,'NSE - NIFTY Index Options'!$B:$B,C$4,'NSE - NIFTY Index Options'!$I:$I,"Weekly*")+SUMIFS('NSE - NIFTY Index Options'!$M:$M,'NSE - NIFTY Index Options'!$C:$C,$A110,'NSE - NIFTY Index Options'!$B:$B,C$4,'NSE - NIFTY Index Options'!$I:$I,"MDAW*")+SUMIFS('NSE - Other Index Options'!$M:$M,'NSE - Other Index Options'!$C:$C,$A110,'NSE - Other Index Options'!$B:$B,C$4,'NSE - Other Index Options'!$I:$I,"Weekly*")+SUMIFS('NSE - Other Index Options'!$M:$M,'NSE - Other Index Options'!$C:$C,$A110,'NSE - Other Index Options'!$B:$B,C$4,'NSE - Other Index Options'!$I:$I,"MDAW*"))</f>
        <v/>
      </c>
      <c r="D110" s="26">
        <f>IF(SUMIFS('NSE - NIFTY Index Options'!$M:$M,'NSE - NIFTY Index Options'!$C:$C,$A110,'NSE - NIFTY Index Options'!$B:$B,D$4,'NSE - NIFTY Index Options'!$I:$I,"Weekly*")+SUMIFS('NSE - NIFTY Index Options'!$M:$M,'NSE - NIFTY Index Options'!$C:$C,$A110,'NSE - NIFTY Index Options'!$B:$B,D$4,'NSE - NIFTY Index Options'!$I:$I,"MDAW*")+SUMIFS('NSE - Other Index Options'!$M:$M,'NSE - Other Index Options'!$C:$C,$A110,'NSE - Other Index Options'!$B:$B,D$4,'NSE - Other Index Options'!$I:$I,"Weekly*")+SUMIFS('NSE - Other Index Options'!$M:$M,'NSE - Other Index Options'!$C:$C,$A110,'NSE - Other Index Options'!$B:$B,D$4,'NSE - Other Index Options'!$I:$I,"MDAW*")=0,"",SUMIFS('NSE - NIFTY Index Options'!$M:$M,'NSE - NIFTY Index Options'!$C:$C,$A110,'NSE - NIFTY Index Options'!$B:$B,D$4,'NSE - NIFTY Index Options'!$I:$I,"Weekly*")+SUMIFS('NSE - NIFTY Index Options'!$M:$M,'NSE - NIFTY Index Options'!$C:$C,$A110,'NSE - NIFTY Index Options'!$B:$B,D$4,'NSE - NIFTY Index Options'!$I:$I,"MDAW*")+SUMIFS('NSE - Other Index Options'!$M:$M,'NSE - Other Index Options'!$C:$C,$A110,'NSE - Other Index Options'!$B:$B,D$4,'NSE - Other Index Options'!$I:$I,"Weekly*")+SUMIFS('NSE - Other Index Options'!$M:$M,'NSE - Other Index Options'!$C:$C,$A110,'NSE - Other Index Options'!$B:$B,D$4,'NSE - Other Index Options'!$I:$I,"MDAW*"))</f>
        <v/>
      </c>
      <c r="E110" s="26">
        <f>IF(SUMIFS('NSE - NIFTY Index Options'!$M:$M,'NSE - NIFTY Index Options'!$C:$C,$A110,'NSE - NIFTY Index Options'!$B:$B,E$4,'NSE - NIFTY Index Options'!$I:$I,"Weekly*")+SUMIFS('NSE - NIFTY Index Options'!$M:$M,'NSE - NIFTY Index Options'!$C:$C,$A110,'NSE - NIFTY Index Options'!$B:$B,E$4,'NSE - NIFTY Index Options'!$I:$I,"MDAW*")+SUMIFS('NSE - Other Index Options'!$M:$M,'NSE - Other Index Options'!$C:$C,$A110,'NSE - Other Index Options'!$B:$B,E$4,'NSE - Other Index Options'!$I:$I,"Weekly*")+SUMIFS('NSE - Other Index Options'!$M:$M,'NSE - Other Index Options'!$C:$C,$A110,'NSE - Other Index Options'!$B:$B,E$4,'NSE - Other Index Options'!$I:$I,"MDAW*")=0,"",SUMIFS('NSE - NIFTY Index Options'!$M:$M,'NSE - NIFTY Index Options'!$C:$C,$A110,'NSE - NIFTY Index Options'!$B:$B,E$4,'NSE - NIFTY Index Options'!$I:$I,"Weekly*")+SUMIFS('NSE - NIFTY Index Options'!$M:$M,'NSE - NIFTY Index Options'!$C:$C,$A110,'NSE - NIFTY Index Options'!$B:$B,E$4,'NSE - NIFTY Index Options'!$I:$I,"MDAW*")+SUMIFS('NSE - Other Index Options'!$M:$M,'NSE - Other Index Options'!$C:$C,$A110,'NSE - Other Index Options'!$B:$B,E$4,'NSE - Other Index Options'!$I:$I,"Weekly*")+SUMIFS('NSE - Other Index Options'!$M:$M,'NSE - Other Index Options'!$C:$C,$A110,'NSE - Other Index Options'!$B:$B,E$4,'NSE - Other Index Options'!$I:$I,"MDAW*"))</f>
        <v/>
      </c>
      <c r="F110" s="26">
        <f>IF(SUMIFS('NSE - NIFTY Index Options'!$M:$M,'NSE - NIFTY Index Options'!$C:$C,$A110,'NSE - NIFTY Index Options'!$B:$B,F$4,'NSE - NIFTY Index Options'!$I:$I,"Weekly*")+SUMIFS('NSE - NIFTY Index Options'!$M:$M,'NSE - NIFTY Index Options'!$C:$C,$A110,'NSE - NIFTY Index Options'!$B:$B,F$4,'NSE - NIFTY Index Options'!$I:$I,"MDAW*")+SUMIFS('NSE - Other Index Options'!$M:$M,'NSE - Other Index Options'!$C:$C,$A110,'NSE - Other Index Options'!$B:$B,F$4,'NSE - Other Index Options'!$I:$I,"Weekly*")+SUMIFS('NSE - Other Index Options'!$M:$M,'NSE - Other Index Options'!$C:$C,$A110,'NSE - Other Index Options'!$B:$B,F$4,'NSE - Other Index Options'!$I:$I,"MDAW*")=0,"",SUMIFS('NSE - NIFTY Index Options'!$M:$M,'NSE - NIFTY Index Options'!$C:$C,$A110,'NSE - NIFTY Index Options'!$B:$B,F$4,'NSE - NIFTY Index Options'!$I:$I,"Weekly*")+SUMIFS('NSE - NIFTY Index Options'!$M:$M,'NSE - NIFTY Index Options'!$C:$C,$A110,'NSE - NIFTY Index Options'!$B:$B,F$4,'NSE - NIFTY Index Options'!$I:$I,"MDAW*")+SUMIFS('NSE - Other Index Options'!$M:$M,'NSE - Other Index Options'!$C:$C,$A110,'NSE - Other Index Options'!$B:$B,F$4,'NSE - Other Index Options'!$I:$I,"Weekly*")+SUMIFS('NSE - Other Index Options'!$M:$M,'NSE - Other Index Options'!$C:$C,$A110,'NSE - Other Index Options'!$B:$B,F$4,'NSE - Other Index Options'!$I:$I,"MDAW*"))</f>
        <v/>
      </c>
      <c r="G110" s="26">
        <f>IF(SUMIFS('NSE - NIFTY Index Options'!$M:$M,'NSE - NIFTY Index Options'!$C:$C,$A110,'NSE - NIFTY Index Options'!$B:$B,G$4,'NSE - NIFTY Index Options'!$I:$I,"Weekly*")+SUMIFS('NSE - NIFTY Index Options'!$M:$M,'NSE - NIFTY Index Options'!$C:$C,$A110,'NSE - NIFTY Index Options'!$B:$B,G$4,'NSE - NIFTY Index Options'!$I:$I,"MDAW*")+SUMIFS('NSE - Other Index Options'!$M:$M,'NSE - Other Index Options'!$C:$C,$A110,'NSE - Other Index Options'!$B:$B,G$4,'NSE - Other Index Options'!$I:$I,"Weekly*")+SUMIFS('NSE - Other Index Options'!$M:$M,'NSE - Other Index Options'!$C:$C,$A110,'NSE - Other Index Options'!$B:$B,G$4,'NSE - Other Index Options'!$I:$I,"MDAW*")=0,"",SUMIFS('NSE - NIFTY Index Options'!$M:$M,'NSE - NIFTY Index Options'!$C:$C,$A110,'NSE - NIFTY Index Options'!$B:$B,G$4,'NSE - NIFTY Index Options'!$I:$I,"Weekly*")+SUMIFS('NSE - NIFTY Index Options'!$M:$M,'NSE - NIFTY Index Options'!$C:$C,$A110,'NSE - NIFTY Index Options'!$B:$B,G$4,'NSE - NIFTY Index Options'!$I:$I,"MDAW*")+SUMIFS('NSE - Other Index Options'!$M:$M,'NSE - Other Index Options'!$C:$C,$A110,'NSE - Other Index Options'!$B:$B,G$4,'NSE - Other Index Options'!$I:$I,"Weekly*")+SUMIFS('NSE - Other Index Options'!$M:$M,'NSE - Other Index Options'!$C:$C,$A110,'NSE - Other Index Options'!$B:$B,G$4,'NSE - Other Index Options'!$I:$I,"MDAW*"))</f>
        <v/>
      </c>
      <c r="H110" s="26">
        <f>IF(SUM(B110:G110)=0,"",SUM(B110:G110))</f>
        <v/>
      </c>
    </row>
    <row r="111" hidden="1" outlineLevel="1">
      <c r="A111" t="inlineStr">
        <is>
          <t>Week4-Jun-2027</t>
        </is>
      </c>
      <c r="B111" s="26">
        <f>IF(SUMIFS('NSE - NIFTY Index Options'!$M:$M,'NSE - NIFTY Index Options'!$C:$C,$A111,'NSE - NIFTY Index Options'!$B:$B,B$4,'NSE - NIFTY Index Options'!$I:$I,"Weekly*")+SUMIFS('NSE - NIFTY Index Options'!$M:$M,'NSE - NIFTY Index Options'!$C:$C,$A111,'NSE - NIFTY Index Options'!$B:$B,B$4,'NSE - NIFTY Index Options'!$I:$I,"MDAW*")+SUMIFS('NSE - Other Index Options'!$M:$M,'NSE - Other Index Options'!$C:$C,$A111,'NSE - Other Index Options'!$B:$B,B$4,'NSE - Other Index Options'!$I:$I,"Weekly*")+SUMIFS('NSE - Other Index Options'!$M:$M,'NSE - Other Index Options'!$C:$C,$A111,'NSE - Other Index Options'!$B:$B,B$4,'NSE - Other Index Options'!$I:$I,"MDAW*")=0,"",SUMIFS('NSE - NIFTY Index Options'!$M:$M,'NSE - NIFTY Index Options'!$C:$C,$A111,'NSE - NIFTY Index Options'!$B:$B,B$4,'NSE - NIFTY Index Options'!$I:$I,"Weekly*")+SUMIFS('NSE - NIFTY Index Options'!$M:$M,'NSE - NIFTY Index Options'!$C:$C,$A111,'NSE - NIFTY Index Options'!$B:$B,B$4,'NSE - NIFTY Index Options'!$I:$I,"MDAW*")+SUMIFS('NSE - Other Index Options'!$M:$M,'NSE - Other Index Options'!$C:$C,$A111,'NSE - Other Index Options'!$B:$B,B$4,'NSE - Other Index Options'!$I:$I,"Weekly*")+SUMIFS('NSE - Other Index Options'!$M:$M,'NSE - Other Index Options'!$C:$C,$A111,'NSE - Other Index Options'!$B:$B,B$4,'NSE - Other Index Options'!$I:$I,"MDAW*"))</f>
        <v/>
      </c>
      <c r="C111" s="26">
        <f>IF(SUMIFS('NSE - NIFTY Index Options'!$M:$M,'NSE - NIFTY Index Options'!$C:$C,$A111,'NSE - NIFTY Index Options'!$B:$B,C$4,'NSE - NIFTY Index Options'!$I:$I,"Weekly*")+SUMIFS('NSE - NIFTY Index Options'!$M:$M,'NSE - NIFTY Index Options'!$C:$C,$A111,'NSE - NIFTY Index Options'!$B:$B,C$4,'NSE - NIFTY Index Options'!$I:$I,"MDAW*")+SUMIFS('NSE - Other Index Options'!$M:$M,'NSE - Other Index Options'!$C:$C,$A111,'NSE - Other Index Options'!$B:$B,C$4,'NSE - Other Index Options'!$I:$I,"Weekly*")+SUMIFS('NSE - Other Index Options'!$M:$M,'NSE - Other Index Options'!$C:$C,$A111,'NSE - Other Index Options'!$B:$B,C$4,'NSE - Other Index Options'!$I:$I,"MDAW*")=0,"",SUMIFS('NSE - NIFTY Index Options'!$M:$M,'NSE - NIFTY Index Options'!$C:$C,$A111,'NSE - NIFTY Index Options'!$B:$B,C$4,'NSE - NIFTY Index Options'!$I:$I,"Weekly*")+SUMIFS('NSE - NIFTY Index Options'!$M:$M,'NSE - NIFTY Index Options'!$C:$C,$A111,'NSE - NIFTY Index Options'!$B:$B,C$4,'NSE - NIFTY Index Options'!$I:$I,"MDAW*")+SUMIFS('NSE - Other Index Options'!$M:$M,'NSE - Other Index Options'!$C:$C,$A111,'NSE - Other Index Options'!$B:$B,C$4,'NSE - Other Index Options'!$I:$I,"Weekly*")+SUMIFS('NSE - Other Index Options'!$M:$M,'NSE - Other Index Options'!$C:$C,$A111,'NSE - Other Index Options'!$B:$B,C$4,'NSE - Other Index Options'!$I:$I,"MDAW*"))</f>
        <v/>
      </c>
      <c r="D111" s="26">
        <f>IF(SUMIFS('NSE - NIFTY Index Options'!$M:$M,'NSE - NIFTY Index Options'!$C:$C,$A111,'NSE - NIFTY Index Options'!$B:$B,D$4,'NSE - NIFTY Index Options'!$I:$I,"Weekly*")+SUMIFS('NSE - NIFTY Index Options'!$M:$M,'NSE - NIFTY Index Options'!$C:$C,$A111,'NSE - NIFTY Index Options'!$B:$B,D$4,'NSE - NIFTY Index Options'!$I:$I,"MDAW*")+SUMIFS('NSE - Other Index Options'!$M:$M,'NSE - Other Index Options'!$C:$C,$A111,'NSE - Other Index Options'!$B:$B,D$4,'NSE - Other Index Options'!$I:$I,"Weekly*")+SUMIFS('NSE - Other Index Options'!$M:$M,'NSE - Other Index Options'!$C:$C,$A111,'NSE - Other Index Options'!$B:$B,D$4,'NSE - Other Index Options'!$I:$I,"MDAW*")=0,"",SUMIFS('NSE - NIFTY Index Options'!$M:$M,'NSE - NIFTY Index Options'!$C:$C,$A111,'NSE - NIFTY Index Options'!$B:$B,D$4,'NSE - NIFTY Index Options'!$I:$I,"Weekly*")+SUMIFS('NSE - NIFTY Index Options'!$M:$M,'NSE - NIFTY Index Options'!$C:$C,$A111,'NSE - NIFTY Index Options'!$B:$B,D$4,'NSE - NIFTY Index Options'!$I:$I,"MDAW*")+SUMIFS('NSE - Other Index Options'!$M:$M,'NSE - Other Index Options'!$C:$C,$A111,'NSE - Other Index Options'!$B:$B,D$4,'NSE - Other Index Options'!$I:$I,"Weekly*")+SUMIFS('NSE - Other Index Options'!$M:$M,'NSE - Other Index Options'!$C:$C,$A111,'NSE - Other Index Options'!$B:$B,D$4,'NSE - Other Index Options'!$I:$I,"MDAW*"))</f>
        <v/>
      </c>
      <c r="E111" s="26">
        <f>IF(SUMIFS('NSE - NIFTY Index Options'!$M:$M,'NSE - NIFTY Index Options'!$C:$C,$A111,'NSE - NIFTY Index Options'!$B:$B,E$4,'NSE - NIFTY Index Options'!$I:$I,"Weekly*")+SUMIFS('NSE - NIFTY Index Options'!$M:$M,'NSE - NIFTY Index Options'!$C:$C,$A111,'NSE - NIFTY Index Options'!$B:$B,E$4,'NSE - NIFTY Index Options'!$I:$I,"MDAW*")+SUMIFS('NSE - Other Index Options'!$M:$M,'NSE - Other Index Options'!$C:$C,$A111,'NSE - Other Index Options'!$B:$B,E$4,'NSE - Other Index Options'!$I:$I,"Weekly*")+SUMIFS('NSE - Other Index Options'!$M:$M,'NSE - Other Index Options'!$C:$C,$A111,'NSE - Other Index Options'!$B:$B,E$4,'NSE - Other Index Options'!$I:$I,"MDAW*")=0,"",SUMIFS('NSE - NIFTY Index Options'!$M:$M,'NSE - NIFTY Index Options'!$C:$C,$A111,'NSE - NIFTY Index Options'!$B:$B,E$4,'NSE - NIFTY Index Options'!$I:$I,"Weekly*")+SUMIFS('NSE - NIFTY Index Options'!$M:$M,'NSE - NIFTY Index Options'!$C:$C,$A111,'NSE - NIFTY Index Options'!$B:$B,E$4,'NSE - NIFTY Index Options'!$I:$I,"MDAW*")+SUMIFS('NSE - Other Index Options'!$M:$M,'NSE - Other Index Options'!$C:$C,$A111,'NSE - Other Index Options'!$B:$B,E$4,'NSE - Other Index Options'!$I:$I,"Weekly*")+SUMIFS('NSE - Other Index Options'!$M:$M,'NSE - Other Index Options'!$C:$C,$A111,'NSE - Other Index Options'!$B:$B,E$4,'NSE - Other Index Options'!$I:$I,"MDAW*"))</f>
        <v/>
      </c>
      <c r="F111" s="26">
        <f>IF(SUMIFS('NSE - NIFTY Index Options'!$M:$M,'NSE - NIFTY Index Options'!$C:$C,$A111,'NSE - NIFTY Index Options'!$B:$B,F$4,'NSE - NIFTY Index Options'!$I:$I,"Weekly*")+SUMIFS('NSE - NIFTY Index Options'!$M:$M,'NSE - NIFTY Index Options'!$C:$C,$A111,'NSE - NIFTY Index Options'!$B:$B,F$4,'NSE - NIFTY Index Options'!$I:$I,"MDAW*")+SUMIFS('NSE - Other Index Options'!$M:$M,'NSE - Other Index Options'!$C:$C,$A111,'NSE - Other Index Options'!$B:$B,F$4,'NSE - Other Index Options'!$I:$I,"Weekly*")+SUMIFS('NSE - Other Index Options'!$M:$M,'NSE - Other Index Options'!$C:$C,$A111,'NSE - Other Index Options'!$B:$B,F$4,'NSE - Other Index Options'!$I:$I,"MDAW*")=0,"",SUMIFS('NSE - NIFTY Index Options'!$M:$M,'NSE - NIFTY Index Options'!$C:$C,$A111,'NSE - NIFTY Index Options'!$B:$B,F$4,'NSE - NIFTY Index Options'!$I:$I,"Weekly*")+SUMIFS('NSE - NIFTY Index Options'!$M:$M,'NSE - NIFTY Index Options'!$C:$C,$A111,'NSE - NIFTY Index Options'!$B:$B,F$4,'NSE - NIFTY Index Options'!$I:$I,"MDAW*")+SUMIFS('NSE - Other Index Options'!$M:$M,'NSE - Other Index Options'!$C:$C,$A111,'NSE - Other Index Options'!$B:$B,F$4,'NSE - Other Index Options'!$I:$I,"Weekly*")+SUMIFS('NSE - Other Index Options'!$M:$M,'NSE - Other Index Options'!$C:$C,$A111,'NSE - Other Index Options'!$B:$B,F$4,'NSE - Other Index Options'!$I:$I,"MDAW*"))</f>
        <v/>
      </c>
      <c r="G111" s="26">
        <f>IF(SUMIFS('NSE - NIFTY Index Options'!$M:$M,'NSE - NIFTY Index Options'!$C:$C,$A111,'NSE - NIFTY Index Options'!$B:$B,G$4,'NSE - NIFTY Index Options'!$I:$I,"Weekly*")+SUMIFS('NSE - NIFTY Index Options'!$M:$M,'NSE - NIFTY Index Options'!$C:$C,$A111,'NSE - NIFTY Index Options'!$B:$B,G$4,'NSE - NIFTY Index Options'!$I:$I,"MDAW*")+SUMIFS('NSE - Other Index Options'!$M:$M,'NSE - Other Index Options'!$C:$C,$A111,'NSE - Other Index Options'!$B:$B,G$4,'NSE - Other Index Options'!$I:$I,"Weekly*")+SUMIFS('NSE - Other Index Options'!$M:$M,'NSE - Other Index Options'!$C:$C,$A111,'NSE - Other Index Options'!$B:$B,G$4,'NSE - Other Index Options'!$I:$I,"MDAW*")=0,"",SUMIFS('NSE - NIFTY Index Options'!$M:$M,'NSE - NIFTY Index Options'!$C:$C,$A111,'NSE - NIFTY Index Options'!$B:$B,G$4,'NSE - NIFTY Index Options'!$I:$I,"Weekly*")+SUMIFS('NSE - NIFTY Index Options'!$M:$M,'NSE - NIFTY Index Options'!$C:$C,$A111,'NSE - NIFTY Index Options'!$B:$B,G$4,'NSE - NIFTY Index Options'!$I:$I,"MDAW*")+SUMIFS('NSE - Other Index Options'!$M:$M,'NSE - Other Index Options'!$C:$C,$A111,'NSE - Other Index Options'!$B:$B,G$4,'NSE - Other Index Options'!$I:$I,"Weekly*")+SUMIFS('NSE - Other Index Options'!$M:$M,'NSE - Other Index Options'!$C:$C,$A111,'NSE - Other Index Options'!$B:$B,G$4,'NSE - Other Index Options'!$I:$I,"MDAW*"))</f>
        <v/>
      </c>
      <c r="H111" s="26">
        <f>IF(SUM(B111:G111)=0,"",SUM(B111:G111))</f>
        <v/>
      </c>
    </row>
    <row r="112" hidden="1" outlineLevel="1">
      <c r="A112" t="inlineStr">
        <is>
          <t>Week5-Jun-2027</t>
        </is>
      </c>
      <c r="B112" s="26">
        <f>IF(SUMIFS('NSE - NIFTY Index Options'!$M:$M,'NSE - NIFTY Index Options'!$C:$C,$A112,'NSE - NIFTY Index Options'!$B:$B,B$4,'NSE - NIFTY Index Options'!$I:$I,"Weekly*")+SUMIFS('NSE - NIFTY Index Options'!$M:$M,'NSE - NIFTY Index Options'!$C:$C,$A112,'NSE - NIFTY Index Options'!$B:$B,B$4,'NSE - NIFTY Index Options'!$I:$I,"MDAW*")+SUMIFS('NSE - Other Index Options'!$M:$M,'NSE - Other Index Options'!$C:$C,$A112,'NSE - Other Index Options'!$B:$B,B$4,'NSE - Other Index Options'!$I:$I,"Weekly*")+SUMIFS('NSE - Other Index Options'!$M:$M,'NSE - Other Index Options'!$C:$C,$A112,'NSE - Other Index Options'!$B:$B,B$4,'NSE - Other Index Options'!$I:$I,"MDAW*")=0,"",SUMIFS('NSE - NIFTY Index Options'!$M:$M,'NSE - NIFTY Index Options'!$C:$C,$A112,'NSE - NIFTY Index Options'!$B:$B,B$4,'NSE - NIFTY Index Options'!$I:$I,"Weekly*")+SUMIFS('NSE - NIFTY Index Options'!$M:$M,'NSE - NIFTY Index Options'!$C:$C,$A112,'NSE - NIFTY Index Options'!$B:$B,B$4,'NSE - NIFTY Index Options'!$I:$I,"MDAW*")+SUMIFS('NSE - Other Index Options'!$M:$M,'NSE - Other Index Options'!$C:$C,$A112,'NSE - Other Index Options'!$B:$B,B$4,'NSE - Other Index Options'!$I:$I,"Weekly*")+SUMIFS('NSE - Other Index Options'!$M:$M,'NSE - Other Index Options'!$C:$C,$A112,'NSE - Other Index Options'!$B:$B,B$4,'NSE - Other Index Options'!$I:$I,"MDAW*"))</f>
        <v/>
      </c>
      <c r="C112" s="26">
        <f>IF(SUMIFS('NSE - NIFTY Index Options'!$M:$M,'NSE - NIFTY Index Options'!$C:$C,$A112,'NSE - NIFTY Index Options'!$B:$B,C$4,'NSE - NIFTY Index Options'!$I:$I,"Weekly*")+SUMIFS('NSE - NIFTY Index Options'!$M:$M,'NSE - NIFTY Index Options'!$C:$C,$A112,'NSE - NIFTY Index Options'!$B:$B,C$4,'NSE - NIFTY Index Options'!$I:$I,"MDAW*")+SUMIFS('NSE - Other Index Options'!$M:$M,'NSE - Other Index Options'!$C:$C,$A112,'NSE - Other Index Options'!$B:$B,C$4,'NSE - Other Index Options'!$I:$I,"Weekly*")+SUMIFS('NSE - Other Index Options'!$M:$M,'NSE - Other Index Options'!$C:$C,$A112,'NSE - Other Index Options'!$B:$B,C$4,'NSE - Other Index Options'!$I:$I,"MDAW*")=0,"",SUMIFS('NSE - NIFTY Index Options'!$M:$M,'NSE - NIFTY Index Options'!$C:$C,$A112,'NSE - NIFTY Index Options'!$B:$B,C$4,'NSE - NIFTY Index Options'!$I:$I,"Weekly*")+SUMIFS('NSE - NIFTY Index Options'!$M:$M,'NSE - NIFTY Index Options'!$C:$C,$A112,'NSE - NIFTY Index Options'!$B:$B,C$4,'NSE - NIFTY Index Options'!$I:$I,"MDAW*")+SUMIFS('NSE - Other Index Options'!$M:$M,'NSE - Other Index Options'!$C:$C,$A112,'NSE - Other Index Options'!$B:$B,C$4,'NSE - Other Index Options'!$I:$I,"Weekly*")+SUMIFS('NSE - Other Index Options'!$M:$M,'NSE - Other Index Options'!$C:$C,$A112,'NSE - Other Index Options'!$B:$B,C$4,'NSE - Other Index Options'!$I:$I,"MDAW*"))</f>
        <v/>
      </c>
      <c r="D112" s="26">
        <f>IF(SUMIFS('NSE - NIFTY Index Options'!$M:$M,'NSE - NIFTY Index Options'!$C:$C,$A112,'NSE - NIFTY Index Options'!$B:$B,D$4,'NSE - NIFTY Index Options'!$I:$I,"Weekly*")+SUMIFS('NSE - NIFTY Index Options'!$M:$M,'NSE - NIFTY Index Options'!$C:$C,$A112,'NSE - NIFTY Index Options'!$B:$B,D$4,'NSE - NIFTY Index Options'!$I:$I,"MDAW*")+SUMIFS('NSE - Other Index Options'!$M:$M,'NSE - Other Index Options'!$C:$C,$A112,'NSE - Other Index Options'!$B:$B,D$4,'NSE - Other Index Options'!$I:$I,"Weekly*")+SUMIFS('NSE - Other Index Options'!$M:$M,'NSE - Other Index Options'!$C:$C,$A112,'NSE - Other Index Options'!$B:$B,D$4,'NSE - Other Index Options'!$I:$I,"MDAW*")=0,"",SUMIFS('NSE - NIFTY Index Options'!$M:$M,'NSE - NIFTY Index Options'!$C:$C,$A112,'NSE - NIFTY Index Options'!$B:$B,D$4,'NSE - NIFTY Index Options'!$I:$I,"Weekly*")+SUMIFS('NSE - NIFTY Index Options'!$M:$M,'NSE - NIFTY Index Options'!$C:$C,$A112,'NSE - NIFTY Index Options'!$B:$B,D$4,'NSE - NIFTY Index Options'!$I:$I,"MDAW*")+SUMIFS('NSE - Other Index Options'!$M:$M,'NSE - Other Index Options'!$C:$C,$A112,'NSE - Other Index Options'!$B:$B,D$4,'NSE - Other Index Options'!$I:$I,"Weekly*")+SUMIFS('NSE - Other Index Options'!$M:$M,'NSE - Other Index Options'!$C:$C,$A112,'NSE - Other Index Options'!$B:$B,D$4,'NSE - Other Index Options'!$I:$I,"MDAW*"))</f>
        <v/>
      </c>
      <c r="E112" s="26">
        <f>IF(SUMIFS('NSE - NIFTY Index Options'!$M:$M,'NSE - NIFTY Index Options'!$C:$C,$A112,'NSE - NIFTY Index Options'!$B:$B,E$4,'NSE - NIFTY Index Options'!$I:$I,"Weekly*")+SUMIFS('NSE - NIFTY Index Options'!$M:$M,'NSE - NIFTY Index Options'!$C:$C,$A112,'NSE - NIFTY Index Options'!$B:$B,E$4,'NSE - NIFTY Index Options'!$I:$I,"MDAW*")+SUMIFS('NSE - Other Index Options'!$M:$M,'NSE - Other Index Options'!$C:$C,$A112,'NSE - Other Index Options'!$B:$B,E$4,'NSE - Other Index Options'!$I:$I,"Weekly*")+SUMIFS('NSE - Other Index Options'!$M:$M,'NSE - Other Index Options'!$C:$C,$A112,'NSE - Other Index Options'!$B:$B,E$4,'NSE - Other Index Options'!$I:$I,"MDAW*")=0,"",SUMIFS('NSE - NIFTY Index Options'!$M:$M,'NSE - NIFTY Index Options'!$C:$C,$A112,'NSE - NIFTY Index Options'!$B:$B,E$4,'NSE - NIFTY Index Options'!$I:$I,"Weekly*")+SUMIFS('NSE - NIFTY Index Options'!$M:$M,'NSE - NIFTY Index Options'!$C:$C,$A112,'NSE - NIFTY Index Options'!$B:$B,E$4,'NSE - NIFTY Index Options'!$I:$I,"MDAW*")+SUMIFS('NSE - Other Index Options'!$M:$M,'NSE - Other Index Options'!$C:$C,$A112,'NSE - Other Index Options'!$B:$B,E$4,'NSE - Other Index Options'!$I:$I,"Weekly*")+SUMIFS('NSE - Other Index Options'!$M:$M,'NSE - Other Index Options'!$C:$C,$A112,'NSE - Other Index Options'!$B:$B,E$4,'NSE - Other Index Options'!$I:$I,"MDAW*"))</f>
        <v/>
      </c>
      <c r="F112" s="26">
        <f>IF(SUMIFS('NSE - NIFTY Index Options'!$M:$M,'NSE - NIFTY Index Options'!$C:$C,$A112,'NSE - NIFTY Index Options'!$B:$B,F$4,'NSE - NIFTY Index Options'!$I:$I,"Weekly*")+SUMIFS('NSE - NIFTY Index Options'!$M:$M,'NSE - NIFTY Index Options'!$C:$C,$A112,'NSE - NIFTY Index Options'!$B:$B,F$4,'NSE - NIFTY Index Options'!$I:$I,"MDAW*")+SUMIFS('NSE - Other Index Options'!$M:$M,'NSE - Other Index Options'!$C:$C,$A112,'NSE - Other Index Options'!$B:$B,F$4,'NSE - Other Index Options'!$I:$I,"Weekly*")+SUMIFS('NSE - Other Index Options'!$M:$M,'NSE - Other Index Options'!$C:$C,$A112,'NSE - Other Index Options'!$B:$B,F$4,'NSE - Other Index Options'!$I:$I,"MDAW*")=0,"",SUMIFS('NSE - NIFTY Index Options'!$M:$M,'NSE - NIFTY Index Options'!$C:$C,$A112,'NSE - NIFTY Index Options'!$B:$B,F$4,'NSE - NIFTY Index Options'!$I:$I,"Weekly*")+SUMIFS('NSE - NIFTY Index Options'!$M:$M,'NSE - NIFTY Index Options'!$C:$C,$A112,'NSE - NIFTY Index Options'!$B:$B,F$4,'NSE - NIFTY Index Options'!$I:$I,"MDAW*")+SUMIFS('NSE - Other Index Options'!$M:$M,'NSE - Other Index Options'!$C:$C,$A112,'NSE - Other Index Options'!$B:$B,F$4,'NSE - Other Index Options'!$I:$I,"Weekly*")+SUMIFS('NSE - Other Index Options'!$M:$M,'NSE - Other Index Options'!$C:$C,$A112,'NSE - Other Index Options'!$B:$B,F$4,'NSE - Other Index Options'!$I:$I,"MDAW*"))</f>
        <v/>
      </c>
      <c r="G112" s="26">
        <f>IF(SUMIFS('NSE - NIFTY Index Options'!$M:$M,'NSE - NIFTY Index Options'!$C:$C,$A112,'NSE - NIFTY Index Options'!$B:$B,G$4,'NSE - NIFTY Index Options'!$I:$I,"Weekly*")+SUMIFS('NSE - NIFTY Index Options'!$M:$M,'NSE - NIFTY Index Options'!$C:$C,$A112,'NSE - NIFTY Index Options'!$B:$B,G$4,'NSE - NIFTY Index Options'!$I:$I,"MDAW*")+SUMIFS('NSE - Other Index Options'!$M:$M,'NSE - Other Index Options'!$C:$C,$A112,'NSE - Other Index Options'!$B:$B,G$4,'NSE - Other Index Options'!$I:$I,"Weekly*")+SUMIFS('NSE - Other Index Options'!$M:$M,'NSE - Other Index Options'!$C:$C,$A112,'NSE - Other Index Options'!$B:$B,G$4,'NSE - Other Index Options'!$I:$I,"MDAW*")=0,"",SUMIFS('NSE - NIFTY Index Options'!$M:$M,'NSE - NIFTY Index Options'!$C:$C,$A112,'NSE - NIFTY Index Options'!$B:$B,G$4,'NSE - NIFTY Index Options'!$I:$I,"Weekly*")+SUMIFS('NSE - NIFTY Index Options'!$M:$M,'NSE - NIFTY Index Options'!$C:$C,$A112,'NSE - NIFTY Index Options'!$B:$B,G$4,'NSE - NIFTY Index Options'!$I:$I,"MDAW*")+SUMIFS('NSE - Other Index Options'!$M:$M,'NSE - Other Index Options'!$C:$C,$A112,'NSE - Other Index Options'!$B:$B,G$4,'NSE - Other Index Options'!$I:$I,"Weekly*")+SUMIFS('NSE - Other Index Options'!$M:$M,'NSE - Other Index Options'!$C:$C,$A112,'NSE - Other Index Options'!$B:$B,G$4,'NSE - Other Index Options'!$I:$I,"MDAW*"))</f>
        <v/>
      </c>
      <c r="H112" s="26">
        <f>IF(SUM(B112:G112)=0,"",SUM(B112:G112))</f>
        <v/>
      </c>
    </row>
    <row r="113" hidden="1" outlineLevel="1">
      <c r="A113" t="inlineStr">
        <is>
          <t>Week1-Jul-2027</t>
        </is>
      </c>
      <c r="B113" s="26">
        <f>IF(SUMIFS('NSE - NIFTY Index Options'!$M:$M,'NSE - NIFTY Index Options'!$C:$C,$A113,'NSE - NIFTY Index Options'!$B:$B,B$4,'NSE - NIFTY Index Options'!$I:$I,"Weekly*")+SUMIFS('NSE - NIFTY Index Options'!$M:$M,'NSE - NIFTY Index Options'!$C:$C,$A113,'NSE - NIFTY Index Options'!$B:$B,B$4,'NSE - NIFTY Index Options'!$I:$I,"MDAW*")+SUMIFS('NSE - Other Index Options'!$M:$M,'NSE - Other Index Options'!$C:$C,$A113,'NSE - Other Index Options'!$B:$B,B$4,'NSE - Other Index Options'!$I:$I,"Weekly*")+SUMIFS('NSE - Other Index Options'!$M:$M,'NSE - Other Index Options'!$C:$C,$A113,'NSE - Other Index Options'!$B:$B,B$4,'NSE - Other Index Options'!$I:$I,"MDAW*")=0,"",SUMIFS('NSE - NIFTY Index Options'!$M:$M,'NSE - NIFTY Index Options'!$C:$C,$A113,'NSE - NIFTY Index Options'!$B:$B,B$4,'NSE - NIFTY Index Options'!$I:$I,"Weekly*")+SUMIFS('NSE - NIFTY Index Options'!$M:$M,'NSE - NIFTY Index Options'!$C:$C,$A113,'NSE - NIFTY Index Options'!$B:$B,B$4,'NSE - NIFTY Index Options'!$I:$I,"MDAW*")+SUMIFS('NSE - Other Index Options'!$M:$M,'NSE - Other Index Options'!$C:$C,$A113,'NSE - Other Index Options'!$B:$B,B$4,'NSE - Other Index Options'!$I:$I,"Weekly*")+SUMIFS('NSE - Other Index Options'!$M:$M,'NSE - Other Index Options'!$C:$C,$A113,'NSE - Other Index Options'!$B:$B,B$4,'NSE - Other Index Options'!$I:$I,"MDAW*"))</f>
        <v/>
      </c>
      <c r="C113" s="26">
        <f>IF(SUMIFS('NSE - NIFTY Index Options'!$M:$M,'NSE - NIFTY Index Options'!$C:$C,$A113,'NSE - NIFTY Index Options'!$B:$B,C$4,'NSE - NIFTY Index Options'!$I:$I,"Weekly*")+SUMIFS('NSE - NIFTY Index Options'!$M:$M,'NSE - NIFTY Index Options'!$C:$C,$A113,'NSE - NIFTY Index Options'!$B:$B,C$4,'NSE - NIFTY Index Options'!$I:$I,"MDAW*")+SUMIFS('NSE - Other Index Options'!$M:$M,'NSE - Other Index Options'!$C:$C,$A113,'NSE - Other Index Options'!$B:$B,C$4,'NSE - Other Index Options'!$I:$I,"Weekly*")+SUMIFS('NSE - Other Index Options'!$M:$M,'NSE - Other Index Options'!$C:$C,$A113,'NSE - Other Index Options'!$B:$B,C$4,'NSE - Other Index Options'!$I:$I,"MDAW*")=0,"",SUMIFS('NSE - NIFTY Index Options'!$M:$M,'NSE - NIFTY Index Options'!$C:$C,$A113,'NSE - NIFTY Index Options'!$B:$B,C$4,'NSE - NIFTY Index Options'!$I:$I,"Weekly*")+SUMIFS('NSE - NIFTY Index Options'!$M:$M,'NSE - NIFTY Index Options'!$C:$C,$A113,'NSE - NIFTY Index Options'!$B:$B,C$4,'NSE - NIFTY Index Options'!$I:$I,"MDAW*")+SUMIFS('NSE - Other Index Options'!$M:$M,'NSE - Other Index Options'!$C:$C,$A113,'NSE - Other Index Options'!$B:$B,C$4,'NSE - Other Index Options'!$I:$I,"Weekly*")+SUMIFS('NSE - Other Index Options'!$M:$M,'NSE - Other Index Options'!$C:$C,$A113,'NSE - Other Index Options'!$B:$B,C$4,'NSE - Other Index Options'!$I:$I,"MDAW*"))</f>
        <v/>
      </c>
      <c r="D113" s="26">
        <f>IF(SUMIFS('NSE - NIFTY Index Options'!$M:$M,'NSE - NIFTY Index Options'!$C:$C,$A113,'NSE - NIFTY Index Options'!$B:$B,D$4,'NSE - NIFTY Index Options'!$I:$I,"Weekly*")+SUMIFS('NSE - NIFTY Index Options'!$M:$M,'NSE - NIFTY Index Options'!$C:$C,$A113,'NSE - NIFTY Index Options'!$B:$B,D$4,'NSE - NIFTY Index Options'!$I:$I,"MDAW*")+SUMIFS('NSE - Other Index Options'!$M:$M,'NSE - Other Index Options'!$C:$C,$A113,'NSE - Other Index Options'!$B:$B,D$4,'NSE - Other Index Options'!$I:$I,"Weekly*")+SUMIFS('NSE - Other Index Options'!$M:$M,'NSE - Other Index Options'!$C:$C,$A113,'NSE - Other Index Options'!$B:$B,D$4,'NSE - Other Index Options'!$I:$I,"MDAW*")=0,"",SUMIFS('NSE - NIFTY Index Options'!$M:$M,'NSE - NIFTY Index Options'!$C:$C,$A113,'NSE - NIFTY Index Options'!$B:$B,D$4,'NSE - NIFTY Index Options'!$I:$I,"Weekly*")+SUMIFS('NSE - NIFTY Index Options'!$M:$M,'NSE - NIFTY Index Options'!$C:$C,$A113,'NSE - NIFTY Index Options'!$B:$B,D$4,'NSE - NIFTY Index Options'!$I:$I,"MDAW*")+SUMIFS('NSE - Other Index Options'!$M:$M,'NSE - Other Index Options'!$C:$C,$A113,'NSE - Other Index Options'!$B:$B,D$4,'NSE - Other Index Options'!$I:$I,"Weekly*")+SUMIFS('NSE - Other Index Options'!$M:$M,'NSE - Other Index Options'!$C:$C,$A113,'NSE - Other Index Options'!$B:$B,D$4,'NSE - Other Index Options'!$I:$I,"MDAW*"))</f>
        <v/>
      </c>
      <c r="E113" s="26">
        <f>IF(SUMIFS('NSE - NIFTY Index Options'!$M:$M,'NSE - NIFTY Index Options'!$C:$C,$A113,'NSE - NIFTY Index Options'!$B:$B,E$4,'NSE - NIFTY Index Options'!$I:$I,"Weekly*")+SUMIFS('NSE - NIFTY Index Options'!$M:$M,'NSE - NIFTY Index Options'!$C:$C,$A113,'NSE - NIFTY Index Options'!$B:$B,E$4,'NSE - NIFTY Index Options'!$I:$I,"MDAW*")+SUMIFS('NSE - Other Index Options'!$M:$M,'NSE - Other Index Options'!$C:$C,$A113,'NSE - Other Index Options'!$B:$B,E$4,'NSE - Other Index Options'!$I:$I,"Weekly*")+SUMIFS('NSE - Other Index Options'!$M:$M,'NSE - Other Index Options'!$C:$C,$A113,'NSE - Other Index Options'!$B:$B,E$4,'NSE - Other Index Options'!$I:$I,"MDAW*")=0,"",SUMIFS('NSE - NIFTY Index Options'!$M:$M,'NSE - NIFTY Index Options'!$C:$C,$A113,'NSE - NIFTY Index Options'!$B:$B,E$4,'NSE - NIFTY Index Options'!$I:$I,"Weekly*")+SUMIFS('NSE - NIFTY Index Options'!$M:$M,'NSE - NIFTY Index Options'!$C:$C,$A113,'NSE - NIFTY Index Options'!$B:$B,E$4,'NSE - NIFTY Index Options'!$I:$I,"MDAW*")+SUMIFS('NSE - Other Index Options'!$M:$M,'NSE - Other Index Options'!$C:$C,$A113,'NSE - Other Index Options'!$B:$B,E$4,'NSE - Other Index Options'!$I:$I,"Weekly*")+SUMIFS('NSE - Other Index Options'!$M:$M,'NSE - Other Index Options'!$C:$C,$A113,'NSE - Other Index Options'!$B:$B,E$4,'NSE - Other Index Options'!$I:$I,"MDAW*"))</f>
        <v/>
      </c>
      <c r="F113" s="26">
        <f>IF(SUMIFS('NSE - NIFTY Index Options'!$M:$M,'NSE - NIFTY Index Options'!$C:$C,$A113,'NSE - NIFTY Index Options'!$B:$B,F$4,'NSE - NIFTY Index Options'!$I:$I,"Weekly*")+SUMIFS('NSE - NIFTY Index Options'!$M:$M,'NSE - NIFTY Index Options'!$C:$C,$A113,'NSE - NIFTY Index Options'!$B:$B,F$4,'NSE - NIFTY Index Options'!$I:$I,"MDAW*")+SUMIFS('NSE - Other Index Options'!$M:$M,'NSE - Other Index Options'!$C:$C,$A113,'NSE - Other Index Options'!$B:$B,F$4,'NSE - Other Index Options'!$I:$I,"Weekly*")+SUMIFS('NSE - Other Index Options'!$M:$M,'NSE - Other Index Options'!$C:$C,$A113,'NSE - Other Index Options'!$B:$B,F$4,'NSE - Other Index Options'!$I:$I,"MDAW*")=0,"",SUMIFS('NSE - NIFTY Index Options'!$M:$M,'NSE - NIFTY Index Options'!$C:$C,$A113,'NSE - NIFTY Index Options'!$B:$B,F$4,'NSE - NIFTY Index Options'!$I:$I,"Weekly*")+SUMIFS('NSE - NIFTY Index Options'!$M:$M,'NSE - NIFTY Index Options'!$C:$C,$A113,'NSE - NIFTY Index Options'!$B:$B,F$4,'NSE - NIFTY Index Options'!$I:$I,"MDAW*")+SUMIFS('NSE - Other Index Options'!$M:$M,'NSE - Other Index Options'!$C:$C,$A113,'NSE - Other Index Options'!$B:$B,F$4,'NSE - Other Index Options'!$I:$I,"Weekly*")+SUMIFS('NSE - Other Index Options'!$M:$M,'NSE - Other Index Options'!$C:$C,$A113,'NSE - Other Index Options'!$B:$B,F$4,'NSE - Other Index Options'!$I:$I,"MDAW*"))</f>
        <v/>
      </c>
      <c r="G113" s="26">
        <f>IF(SUMIFS('NSE - NIFTY Index Options'!$M:$M,'NSE - NIFTY Index Options'!$C:$C,$A113,'NSE - NIFTY Index Options'!$B:$B,G$4,'NSE - NIFTY Index Options'!$I:$I,"Weekly*")+SUMIFS('NSE - NIFTY Index Options'!$M:$M,'NSE - NIFTY Index Options'!$C:$C,$A113,'NSE - NIFTY Index Options'!$B:$B,G$4,'NSE - NIFTY Index Options'!$I:$I,"MDAW*")+SUMIFS('NSE - Other Index Options'!$M:$M,'NSE - Other Index Options'!$C:$C,$A113,'NSE - Other Index Options'!$B:$B,G$4,'NSE - Other Index Options'!$I:$I,"Weekly*")+SUMIFS('NSE - Other Index Options'!$M:$M,'NSE - Other Index Options'!$C:$C,$A113,'NSE - Other Index Options'!$B:$B,G$4,'NSE - Other Index Options'!$I:$I,"MDAW*")=0,"",SUMIFS('NSE - NIFTY Index Options'!$M:$M,'NSE - NIFTY Index Options'!$C:$C,$A113,'NSE - NIFTY Index Options'!$B:$B,G$4,'NSE - NIFTY Index Options'!$I:$I,"Weekly*")+SUMIFS('NSE - NIFTY Index Options'!$M:$M,'NSE - NIFTY Index Options'!$C:$C,$A113,'NSE - NIFTY Index Options'!$B:$B,G$4,'NSE - NIFTY Index Options'!$I:$I,"MDAW*")+SUMIFS('NSE - Other Index Options'!$M:$M,'NSE - Other Index Options'!$C:$C,$A113,'NSE - Other Index Options'!$B:$B,G$4,'NSE - Other Index Options'!$I:$I,"Weekly*")+SUMIFS('NSE - Other Index Options'!$M:$M,'NSE - Other Index Options'!$C:$C,$A113,'NSE - Other Index Options'!$B:$B,G$4,'NSE - Other Index Options'!$I:$I,"MDAW*"))</f>
        <v/>
      </c>
      <c r="H113" s="26">
        <f>IF(SUM(B113:G113)=0,"",SUM(B113:G113))</f>
        <v/>
      </c>
    </row>
    <row r="114" hidden="1" outlineLevel="1">
      <c r="A114" t="inlineStr">
        <is>
          <t>Week2-Jul-2027</t>
        </is>
      </c>
      <c r="B114" s="26">
        <f>IF(SUMIFS('NSE - NIFTY Index Options'!$M:$M,'NSE - NIFTY Index Options'!$C:$C,$A114,'NSE - NIFTY Index Options'!$B:$B,B$4,'NSE - NIFTY Index Options'!$I:$I,"Weekly*")+SUMIFS('NSE - NIFTY Index Options'!$M:$M,'NSE - NIFTY Index Options'!$C:$C,$A114,'NSE - NIFTY Index Options'!$B:$B,B$4,'NSE - NIFTY Index Options'!$I:$I,"MDAW*")+SUMIFS('NSE - Other Index Options'!$M:$M,'NSE - Other Index Options'!$C:$C,$A114,'NSE - Other Index Options'!$B:$B,B$4,'NSE - Other Index Options'!$I:$I,"Weekly*")+SUMIFS('NSE - Other Index Options'!$M:$M,'NSE - Other Index Options'!$C:$C,$A114,'NSE - Other Index Options'!$B:$B,B$4,'NSE - Other Index Options'!$I:$I,"MDAW*")=0,"",SUMIFS('NSE - NIFTY Index Options'!$M:$M,'NSE - NIFTY Index Options'!$C:$C,$A114,'NSE - NIFTY Index Options'!$B:$B,B$4,'NSE - NIFTY Index Options'!$I:$I,"Weekly*")+SUMIFS('NSE - NIFTY Index Options'!$M:$M,'NSE - NIFTY Index Options'!$C:$C,$A114,'NSE - NIFTY Index Options'!$B:$B,B$4,'NSE - NIFTY Index Options'!$I:$I,"MDAW*")+SUMIFS('NSE - Other Index Options'!$M:$M,'NSE - Other Index Options'!$C:$C,$A114,'NSE - Other Index Options'!$B:$B,B$4,'NSE - Other Index Options'!$I:$I,"Weekly*")+SUMIFS('NSE - Other Index Options'!$M:$M,'NSE - Other Index Options'!$C:$C,$A114,'NSE - Other Index Options'!$B:$B,B$4,'NSE - Other Index Options'!$I:$I,"MDAW*"))</f>
        <v/>
      </c>
      <c r="C114" s="26">
        <f>IF(SUMIFS('NSE - NIFTY Index Options'!$M:$M,'NSE - NIFTY Index Options'!$C:$C,$A114,'NSE - NIFTY Index Options'!$B:$B,C$4,'NSE - NIFTY Index Options'!$I:$I,"Weekly*")+SUMIFS('NSE - NIFTY Index Options'!$M:$M,'NSE - NIFTY Index Options'!$C:$C,$A114,'NSE - NIFTY Index Options'!$B:$B,C$4,'NSE - NIFTY Index Options'!$I:$I,"MDAW*")+SUMIFS('NSE - Other Index Options'!$M:$M,'NSE - Other Index Options'!$C:$C,$A114,'NSE - Other Index Options'!$B:$B,C$4,'NSE - Other Index Options'!$I:$I,"Weekly*")+SUMIFS('NSE - Other Index Options'!$M:$M,'NSE - Other Index Options'!$C:$C,$A114,'NSE - Other Index Options'!$B:$B,C$4,'NSE - Other Index Options'!$I:$I,"MDAW*")=0,"",SUMIFS('NSE - NIFTY Index Options'!$M:$M,'NSE - NIFTY Index Options'!$C:$C,$A114,'NSE - NIFTY Index Options'!$B:$B,C$4,'NSE - NIFTY Index Options'!$I:$I,"Weekly*")+SUMIFS('NSE - NIFTY Index Options'!$M:$M,'NSE - NIFTY Index Options'!$C:$C,$A114,'NSE - NIFTY Index Options'!$B:$B,C$4,'NSE - NIFTY Index Options'!$I:$I,"MDAW*")+SUMIFS('NSE - Other Index Options'!$M:$M,'NSE - Other Index Options'!$C:$C,$A114,'NSE - Other Index Options'!$B:$B,C$4,'NSE - Other Index Options'!$I:$I,"Weekly*")+SUMIFS('NSE - Other Index Options'!$M:$M,'NSE - Other Index Options'!$C:$C,$A114,'NSE - Other Index Options'!$B:$B,C$4,'NSE - Other Index Options'!$I:$I,"MDAW*"))</f>
        <v/>
      </c>
      <c r="D114" s="26">
        <f>IF(SUMIFS('NSE - NIFTY Index Options'!$M:$M,'NSE - NIFTY Index Options'!$C:$C,$A114,'NSE - NIFTY Index Options'!$B:$B,D$4,'NSE - NIFTY Index Options'!$I:$I,"Weekly*")+SUMIFS('NSE - NIFTY Index Options'!$M:$M,'NSE - NIFTY Index Options'!$C:$C,$A114,'NSE - NIFTY Index Options'!$B:$B,D$4,'NSE - NIFTY Index Options'!$I:$I,"MDAW*")+SUMIFS('NSE - Other Index Options'!$M:$M,'NSE - Other Index Options'!$C:$C,$A114,'NSE - Other Index Options'!$B:$B,D$4,'NSE - Other Index Options'!$I:$I,"Weekly*")+SUMIFS('NSE - Other Index Options'!$M:$M,'NSE - Other Index Options'!$C:$C,$A114,'NSE - Other Index Options'!$B:$B,D$4,'NSE - Other Index Options'!$I:$I,"MDAW*")=0,"",SUMIFS('NSE - NIFTY Index Options'!$M:$M,'NSE - NIFTY Index Options'!$C:$C,$A114,'NSE - NIFTY Index Options'!$B:$B,D$4,'NSE - NIFTY Index Options'!$I:$I,"Weekly*")+SUMIFS('NSE - NIFTY Index Options'!$M:$M,'NSE - NIFTY Index Options'!$C:$C,$A114,'NSE - NIFTY Index Options'!$B:$B,D$4,'NSE - NIFTY Index Options'!$I:$I,"MDAW*")+SUMIFS('NSE - Other Index Options'!$M:$M,'NSE - Other Index Options'!$C:$C,$A114,'NSE - Other Index Options'!$B:$B,D$4,'NSE - Other Index Options'!$I:$I,"Weekly*")+SUMIFS('NSE - Other Index Options'!$M:$M,'NSE - Other Index Options'!$C:$C,$A114,'NSE - Other Index Options'!$B:$B,D$4,'NSE - Other Index Options'!$I:$I,"MDAW*"))</f>
        <v/>
      </c>
      <c r="E114" s="26">
        <f>IF(SUMIFS('NSE - NIFTY Index Options'!$M:$M,'NSE - NIFTY Index Options'!$C:$C,$A114,'NSE - NIFTY Index Options'!$B:$B,E$4,'NSE - NIFTY Index Options'!$I:$I,"Weekly*")+SUMIFS('NSE - NIFTY Index Options'!$M:$M,'NSE - NIFTY Index Options'!$C:$C,$A114,'NSE - NIFTY Index Options'!$B:$B,E$4,'NSE - NIFTY Index Options'!$I:$I,"MDAW*")+SUMIFS('NSE - Other Index Options'!$M:$M,'NSE - Other Index Options'!$C:$C,$A114,'NSE - Other Index Options'!$B:$B,E$4,'NSE - Other Index Options'!$I:$I,"Weekly*")+SUMIFS('NSE - Other Index Options'!$M:$M,'NSE - Other Index Options'!$C:$C,$A114,'NSE - Other Index Options'!$B:$B,E$4,'NSE - Other Index Options'!$I:$I,"MDAW*")=0,"",SUMIFS('NSE - NIFTY Index Options'!$M:$M,'NSE - NIFTY Index Options'!$C:$C,$A114,'NSE - NIFTY Index Options'!$B:$B,E$4,'NSE - NIFTY Index Options'!$I:$I,"Weekly*")+SUMIFS('NSE - NIFTY Index Options'!$M:$M,'NSE - NIFTY Index Options'!$C:$C,$A114,'NSE - NIFTY Index Options'!$B:$B,E$4,'NSE - NIFTY Index Options'!$I:$I,"MDAW*")+SUMIFS('NSE - Other Index Options'!$M:$M,'NSE - Other Index Options'!$C:$C,$A114,'NSE - Other Index Options'!$B:$B,E$4,'NSE - Other Index Options'!$I:$I,"Weekly*")+SUMIFS('NSE - Other Index Options'!$M:$M,'NSE - Other Index Options'!$C:$C,$A114,'NSE - Other Index Options'!$B:$B,E$4,'NSE - Other Index Options'!$I:$I,"MDAW*"))</f>
        <v/>
      </c>
      <c r="F114" s="26">
        <f>IF(SUMIFS('NSE - NIFTY Index Options'!$M:$M,'NSE - NIFTY Index Options'!$C:$C,$A114,'NSE - NIFTY Index Options'!$B:$B,F$4,'NSE - NIFTY Index Options'!$I:$I,"Weekly*")+SUMIFS('NSE - NIFTY Index Options'!$M:$M,'NSE - NIFTY Index Options'!$C:$C,$A114,'NSE - NIFTY Index Options'!$B:$B,F$4,'NSE - NIFTY Index Options'!$I:$I,"MDAW*")+SUMIFS('NSE - Other Index Options'!$M:$M,'NSE - Other Index Options'!$C:$C,$A114,'NSE - Other Index Options'!$B:$B,F$4,'NSE - Other Index Options'!$I:$I,"Weekly*")+SUMIFS('NSE - Other Index Options'!$M:$M,'NSE - Other Index Options'!$C:$C,$A114,'NSE - Other Index Options'!$B:$B,F$4,'NSE - Other Index Options'!$I:$I,"MDAW*")=0,"",SUMIFS('NSE - NIFTY Index Options'!$M:$M,'NSE - NIFTY Index Options'!$C:$C,$A114,'NSE - NIFTY Index Options'!$B:$B,F$4,'NSE - NIFTY Index Options'!$I:$I,"Weekly*")+SUMIFS('NSE - NIFTY Index Options'!$M:$M,'NSE - NIFTY Index Options'!$C:$C,$A114,'NSE - NIFTY Index Options'!$B:$B,F$4,'NSE - NIFTY Index Options'!$I:$I,"MDAW*")+SUMIFS('NSE - Other Index Options'!$M:$M,'NSE - Other Index Options'!$C:$C,$A114,'NSE - Other Index Options'!$B:$B,F$4,'NSE - Other Index Options'!$I:$I,"Weekly*")+SUMIFS('NSE - Other Index Options'!$M:$M,'NSE - Other Index Options'!$C:$C,$A114,'NSE - Other Index Options'!$B:$B,F$4,'NSE - Other Index Options'!$I:$I,"MDAW*"))</f>
        <v/>
      </c>
      <c r="G114" s="26">
        <f>IF(SUMIFS('NSE - NIFTY Index Options'!$M:$M,'NSE - NIFTY Index Options'!$C:$C,$A114,'NSE - NIFTY Index Options'!$B:$B,G$4,'NSE - NIFTY Index Options'!$I:$I,"Weekly*")+SUMIFS('NSE - NIFTY Index Options'!$M:$M,'NSE - NIFTY Index Options'!$C:$C,$A114,'NSE - NIFTY Index Options'!$B:$B,G$4,'NSE - NIFTY Index Options'!$I:$I,"MDAW*")+SUMIFS('NSE - Other Index Options'!$M:$M,'NSE - Other Index Options'!$C:$C,$A114,'NSE - Other Index Options'!$B:$B,G$4,'NSE - Other Index Options'!$I:$I,"Weekly*")+SUMIFS('NSE - Other Index Options'!$M:$M,'NSE - Other Index Options'!$C:$C,$A114,'NSE - Other Index Options'!$B:$B,G$4,'NSE - Other Index Options'!$I:$I,"MDAW*")=0,"",SUMIFS('NSE - NIFTY Index Options'!$M:$M,'NSE - NIFTY Index Options'!$C:$C,$A114,'NSE - NIFTY Index Options'!$B:$B,G$4,'NSE - NIFTY Index Options'!$I:$I,"Weekly*")+SUMIFS('NSE - NIFTY Index Options'!$M:$M,'NSE - NIFTY Index Options'!$C:$C,$A114,'NSE - NIFTY Index Options'!$B:$B,G$4,'NSE - NIFTY Index Options'!$I:$I,"MDAW*")+SUMIFS('NSE - Other Index Options'!$M:$M,'NSE - Other Index Options'!$C:$C,$A114,'NSE - Other Index Options'!$B:$B,G$4,'NSE - Other Index Options'!$I:$I,"Weekly*")+SUMIFS('NSE - Other Index Options'!$M:$M,'NSE - Other Index Options'!$C:$C,$A114,'NSE - Other Index Options'!$B:$B,G$4,'NSE - Other Index Options'!$I:$I,"MDAW*"))</f>
        <v/>
      </c>
      <c r="H114" s="26">
        <f>IF(SUM(B114:G114)=0,"",SUM(B114:G114))</f>
        <v/>
      </c>
    </row>
    <row r="115" hidden="1" outlineLevel="1">
      <c r="A115" t="inlineStr">
        <is>
          <t>Week3-Jul-2027</t>
        </is>
      </c>
      <c r="B115" s="26">
        <f>IF(SUMIFS('NSE - NIFTY Index Options'!$M:$M,'NSE - NIFTY Index Options'!$C:$C,$A115,'NSE - NIFTY Index Options'!$B:$B,B$4,'NSE - NIFTY Index Options'!$I:$I,"Weekly*")+SUMIFS('NSE - NIFTY Index Options'!$M:$M,'NSE - NIFTY Index Options'!$C:$C,$A115,'NSE - NIFTY Index Options'!$B:$B,B$4,'NSE - NIFTY Index Options'!$I:$I,"MDAW*")+SUMIFS('NSE - Other Index Options'!$M:$M,'NSE - Other Index Options'!$C:$C,$A115,'NSE - Other Index Options'!$B:$B,B$4,'NSE - Other Index Options'!$I:$I,"Weekly*")+SUMIFS('NSE - Other Index Options'!$M:$M,'NSE - Other Index Options'!$C:$C,$A115,'NSE - Other Index Options'!$B:$B,B$4,'NSE - Other Index Options'!$I:$I,"MDAW*")=0,"",SUMIFS('NSE - NIFTY Index Options'!$M:$M,'NSE - NIFTY Index Options'!$C:$C,$A115,'NSE - NIFTY Index Options'!$B:$B,B$4,'NSE - NIFTY Index Options'!$I:$I,"Weekly*")+SUMIFS('NSE - NIFTY Index Options'!$M:$M,'NSE - NIFTY Index Options'!$C:$C,$A115,'NSE - NIFTY Index Options'!$B:$B,B$4,'NSE - NIFTY Index Options'!$I:$I,"MDAW*")+SUMIFS('NSE - Other Index Options'!$M:$M,'NSE - Other Index Options'!$C:$C,$A115,'NSE - Other Index Options'!$B:$B,B$4,'NSE - Other Index Options'!$I:$I,"Weekly*")+SUMIFS('NSE - Other Index Options'!$M:$M,'NSE - Other Index Options'!$C:$C,$A115,'NSE - Other Index Options'!$B:$B,B$4,'NSE - Other Index Options'!$I:$I,"MDAW*"))</f>
        <v/>
      </c>
      <c r="C115" s="26">
        <f>IF(SUMIFS('NSE - NIFTY Index Options'!$M:$M,'NSE - NIFTY Index Options'!$C:$C,$A115,'NSE - NIFTY Index Options'!$B:$B,C$4,'NSE - NIFTY Index Options'!$I:$I,"Weekly*")+SUMIFS('NSE - NIFTY Index Options'!$M:$M,'NSE - NIFTY Index Options'!$C:$C,$A115,'NSE - NIFTY Index Options'!$B:$B,C$4,'NSE - NIFTY Index Options'!$I:$I,"MDAW*")+SUMIFS('NSE - Other Index Options'!$M:$M,'NSE - Other Index Options'!$C:$C,$A115,'NSE - Other Index Options'!$B:$B,C$4,'NSE - Other Index Options'!$I:$I,"Weekly*")+SUMIFS('NSE - Other Index Options'!$M:$M,'NSE - Other Index Options'!$C:$C,$A115,'NSE - Other Index Options'!$B:$B,C$4,'NSE - Other Index Options'!$I:$I,"MDAW*")=0,"",SUMIFS('NSE - NIFTY Index Options'!$M:$M,'NSE - NIFTY Index Options'!$C:$C,$A115,'NSE - NIFTY Index Options'!$B:$B,C$4,'NSE - NIFTY Index Options'!$I:$I,"Weekly*")+SUMIFS('NSE - NIFTY Index Options'!$M:$M,'NSE - NIFTY Index Options'!$C:$C,$A115,'NSE - NIFTY Index Options'!$B:$B,C$4,'NSE - NIFTY Index Options'!$I:$I,"MDAW*")+SUMIFS('NSE - Other Index Options'!$M:$M,'NSE - Other Index Options'!$C:$C,$A115,'NSE - Other Index Options'!$B:$B,C$4,'NSE - Other Index Options'!$I:$I,"Weekly*")+SUMIFS('NSE - Other Index Options'!$M:$M,'NSE - Other Index Options'!$C:$C,$A115,'NSE - Other Index Options'!$B:$B,C$4,'NSE - Other Index Options'!$I:$I,"MDAW*"))</f>
        <v/>
      </c>
      <c r="D115" s="26">
        <f>IF(SUMIFS('NSE - NIFTY Index Options'!$M:$M,'NSE - NIFTY Index Options'!$C:$C,$A115,'NSE - NIFTY Index Options'!$B:$B,D$4,'NSE - NIFTY Index Options'!$I:$I,"Weekly*")+SUMIFS('NSE - NIFTY Index Options'!$M:$M,'NSE - NIFTY Index Options'!$C:$C,$A115,'NSE - NIFTY Index Options'!$B:$B,D$4,'NSE - NIFTY Index Options'!$I:$I,"MDAW*")+SUMIFS('NSE - Other Index Options'!$M:$M,'NSE - Other Index Options'!$C:$C,$A115,'NSE - Other Index Options'!$B:$B,D$4,'NSE - Other Index Options'!$I:$I,"Weekly*")+SUMIFS('NSE - Other Index Options'!$M:$M,'NSE - Other Index Options'!$C:$C,$A115,'NSE - Other Index Options'!$B:$B,D$4,'NSE - Other Index Options'!$I:$I,"MDAW*")=0,"",SUMIFS('NSE - NIFTY Index Options'!$M:$M,'NSE - NIFTY Index Options'!$C:$C,$A115,'NSE - NIFTY Index Options'!$B:$B,D$4,'NSE - NIFTY Index Options'!$I:$I,"Weekly*")+SUMIFS('NSE - NIFTY Index Options'!$M:$M,'NSE - NIFTY Index Options'!$C:$C,$A115,'NSE - NIFTY Index Options'!$B:$B,D$4,'NSE - NIFTY Index Options'!$I:$I,"MDAW*")+SUMIFS('NSE - Other Index Options'!$M:$M,'NSE - Other Index Options'!$C:$C,$A115,'NSE - Other Index Options'!$B:$B,D$4,'NSE - Other Index Options'!$I:$I,"Weekly*")+SUMIFS('NSE - Other Index Options'!$M:$M,'NSE - Other Index Options'!$C:$C,$A115,'NSE - Other Index Options'!$B:$B,D$4,'NSE - Other Index Options'!$I:$I,"MDAW*"))</f>
        <v/>
      </c>
      <c r="E115" s="26">
        <f>IF(SUMIFS('NSE - NIFTY Index Options'!$M:$M,'NSE - NIFTY Index Options'!$C:$C,$A115,'NSE - NIFTY Index Options'!$B:$B,E$4,'NSE - NIFTY Index Options'!$I:$I,"Weekly*")+SUMIFS('NSE - NIFTY Index Options'!$M:$M,'NSE - NIFTY Index Options'!$C:$C,$A115,'NSE - NIFTY Index Options'!$B:$B,E$4,'NSE - NIFTY Index Options'!$I:$I,"MDAW*")+SUMIFS('NSE - Other Index Options'!$M:$M,'NSE - Other Index Options'!$C:$C,$A115,'NSE - Other Index Options'!$B:$B,E$4,'NSE - Other Index Options'!$I:$I,"Weekly*")+SUMIFS('NSE - Other Index Options'!$M:$M,'NSE - Other Index Options'!$C:$C,$A115,'NSE - Other Index Options'!$B:$B,E$4,'NSE - Other Index Options'!$I:$I,"MDAW*")=0,"",SUMIFS('NSE - NIFTY Index Options'!$M:$M,'NSE - NIFTY Index Options'!$C:$C,$A115,'NSE - NIFTY Index Options'!$B:$B,E$4,'NSE - NIFTY Index Options'!$I:$I,"Weekly*")+SUMIFS('NSE - NIFTY Index Options'!$M:$M,'NSE - NIFTY Index Options'!$C:$C,$A115,'NSE - NIFTY Index Options'!$B:$B,E$4,'NSE - NIFTY Index Options'!$I:$I,"MDAW*")+SUMIFS('NSE - Other Index Options'!$M:$M,'NSE - Other Index Options'!$C:$C,$A115,'NSE - Other Index Options'!$B:$B,E$4,'NSE - Other Index Options'!$I:$I,"Weekly*")+SUMIFS('NSE - Other Index Options'!$M:$M,'NSE - Other Index Options'!$C:$C,$A115,'NSE - Other Index Options'!$B:$B,E$4,'NSE - Other Index Options'!$I:$I,"MDAW*"))</f>
        <v/>
      </c>
      <c r="F115" s="26">
        <f>IF(SUMIFS('NSE - NIFTY Index Options'!$M:$M,'NSE - NIFTY Index Options'!$C:$C,$A115,'NSE - NIFTY Index Options'!$B:$B,F$4,'NSE - NIFTY Index Options'!$I:$I,"Weekly*")+SUMIFS('NSE - NIFTY Index Options'!$M:$M,'NSE - NIFTY Index Options'!$C:$C,$A115,'NSE - NIFTY Index Options'!$B:$B,F$4,'NSE - NIFTY Index Options'!$I:$I,"MDAW*")+SUMIFS('NSE - Other Index Options'!$M:$M,'NSE - Other Index Options'!$C:$C,$A115,'NSE - Other Index Options'!$B:$B,F$4,'NSE - Other Index Options'!$I:$I,"Weekly*")+SUMIFS('NSE - Other Index Options'!$M:$M,'NSE - Other Index Options'!$C:$C,$A115,'NSE - Other Index Options'!$B:$B,F$4,'NSE - Other Index Options'!$I:$I,"MDAW*")=0,"",SUMIFS('NSE - NIFTY Index Options'!$M:$M,'NSE - NIFTY Index Options'!$C:$C,$A115,'NSE - NIFTY Index Options'!$B:$B,F$4,'NSE - NIFTY Index Options'!$I:$I,"Weekly*")+SUMIFS('NSE - NIFTY Index Options'!$M:$M,'NSE - NIFTY Index Options'!$C:$C,$A115,'NSE - NIFTY Index Options'!$B:$B,F$4,'NSE - NIFTY Index Options'!$I:$I,"MDAW*")+SUMIFS('NSE - Other Index Options'!$M:$M,'NSE - Other Index Options'!$C:$C,$A115,'NSE - Other Index Options'!$B:$B,F$4,'NSE - Other Index Options'!$I:$I,"Weekly*")+SUMIFS('NSE - Other Index Options'!$M:$M,'NSE - Other Index Options'!$C:$C,$A115,'NSE - Other Index Options'!$B:$B,F$4,'NSE - Other Index Options'!$I:$I,"MDAW*"))</f>
        <v/>
      </c>
      <c r="G115" s="26">
        <f>IF(SUMIFS('NSE - NIFTY Index Options'!$M:$M,'NSE - NIFTY Index Options'!$C:$C,$A115,'NSE - NIFTY Index Options'!$B:$B,G$4,'NSE - NIFTY Index Options'!$I:$I,"Weekly*")+SUMIFS('NSE - NIFTY Index Options'!$M:$M,'NSE - NIFTY Index Options'!$C:$C,$A115,'NSE - NIFTY Index Options'!$B:$B,G$4,'NSE - NIFTY Index Options'!$I:$I,"MDAW*")+SUMIFS('NSE - Other Index Options'!$M:$M,'NSE - Other Index Options'!$C:$C,$A115,'NSE - Other Index Options'!$B:$B,G$4,'NSE - Other Index Options'!$I:$I,"Weekly*")+SUMIFS('NSE - Other Index Options'!$M:$M,'NSE - Other Index Options'!$C:$C,$A115,'NSE - Other Index Options'!$B:$B,G$4,'NSE - Other Index Options'!$I:$I,"MDAW*")=0,"",SUMIFS('NSE - NIFTY Index Options'!$M:$M,'NSE - NIFTY Index Options'!$C:$C,$A115,'NSE - NIFTY Index Options'!$B:$B,G$4,'NSE - NIFTY Index Options'!$I:$I,"Weekly*")+SUMIFS('NSE - NIFTY Index Options'!$M:$M,'NSE - NIFTY Index Options'!$C:$C,$A115,'NSE - NIFTY Index Options'!$B:$B,G$4,'NSE - NIFTY Index Options'!$I:$I,"MDAW*")+SUMIFS('NSE - Other Index Options'!$M:$M,'NSE - Other Index Options'!$C:$C,$A115,'NSE - Other Index Options'!$B:$B,G$4,'NSE - Other Index Options'!$I:$I,"Weekly*")+SUMIFS('NSE - Other Index Options'!$M:$M,'NSE - Other Index Options'!$C:$C,$A115,'NSE - Other Index Options'!$B:$B,G$4,'NSE - Other Index Options'!$I:$I,"MDAW*"))</f>
        <v/>
      </c>
      <c r="H115" s="26">
        <f>IF(SUM(B115:G115)=0,"",SUM(B115:G115))</f>
        <v/>
      </c>
    </row>
    <row r="116" hidden="1" outlineLevel="1">
      <c r="A116" t="inlineStr">
        <is>
          <t>Week4-Jul-2027</t>
        </is>
      </c>
      <c r="B116" s="26">
        <f>IF(SUMIFS('NSE - NIFTY Index Options'!$M:$M,'NSE - NIFTY Index Options'!$C:$C,$A116,'NSE - NIFTY Index Options'!$B:$B,B$4,'NSE - NIFTY Index Options'!$I:$I,"Weekly*")+SUMIFS('NSE - NIFTY Index Options'!$M:$M,'NSE - NIFTY Index Options'!$C:$C,$A116,'NSE - NIFTY Index Options'!$B:$B,B$4,'NSE - NIFTY Index Options'!$I:$I,"MDAW*")+SUMIFS('NSE - Other Index Options'!$M:$M,'NSE - Other Index Options'!$C:$C,$A116,'NSE - Other Index Options'!$B:$B,B$4,'NSE - Other Index Options'!$I:$I,"Weekly*")+SUMIFS('NSE - Other Index Options'!$M:$M,'NSE - Other Index Options'!$C:$C,$A116,'NSE - Other Index Options'!$B:$B,B$4,'NSE - Other Index Options'!$I:$I,"MDAW*")=0,"",SUMIFS('NSE - NIFTY Index Options'!$M:$M,'NSE - NIFTY Index Options'!$C:$C,$A116,'NSE - NIFTY Index Options'!$B:$B,B$4,'NSE - NIFTY Index Options'!$I:$I,"Weekly*")+SUMIFS('NSE - NIFTY Index Options'!$M:$M,'NSE - NIFTY Index Options'!$C:$C,$A116,'NSE - NIFTY Index Options'!$B:$B,B$4,'NSE - NIFTY Index Options'!$I:$I,"MDAW*")+SUMIFS('NSE - Other Index Options'!$M:$M,'NSE - Other Index Options'!$C:$C,$A116,'NSE - Other Index Options'!$B:$B,B$4,'NSE - Other Index Options'!$I:$I,"Weekly*")+SUMIFS('NSE - Other Index Options'!$M:$M,'NSE - Other Index Options'!$C:$C,$A116,'NSE - Other Index Options'!$B:$B,B$4,'NSE - Other Index Options'!$I:$I,"MDAW*"))</f>
        <v/>
      </c>
      <c r="C116" s="26">
        <f>IF(SUMIFS('NSE - NIFTY Index Options'!$M:$M,'NSE - NIFTY Index Options'!$C:$C,$A116,'NSE - NIFTY Index Options'!$B:$B,C$4,'NSE - NIFTY Index Options'!$I:$I,"Weekly*")+SUMIFS('NSE - NIFTY Index Options'!$M:$M,'NSE - NIFTY Index Options'!$C:$C,$A116,'NSE - NIFTY Index Options'!$B:$B,C$4,'NSE - NIFTY Index Options'!$I:$I,"MDAW*")+SUMIFS('NSE - Other Index Options'!$M:$M,'NSE - Other Index Options'!$C:$C,$A116,'NSE - Other Index Options'!$B:$B,C$4,'NSE - Other Index Options'!$I:$I,"Weekly*")+SUMIFS('NSE - Other Index Options'!$M:$M,'NSE - Other Index Options'!$C:$C,$A116,'NSE - Other Index Options'!$B:$B,C$4,'NSE - Other Index Options'!$I:$I,"MDAW*")=0,"",SUMIFS('NSE - NIFTY Index Options'!$M:$M,'NSE - NIFTY Index Options'!$C:$C,$A116,'NSE - NIFTY Index Options'!$B:$B,C$4,'NSE - NIFTY Index Options'!$I:$I,"Weekly*")+SUMIFS('NSE - NIFTY Index Options'!$M:$M,'NSE - NIFTY Index Options'!$C:$C,$A116,'NSE - NIFTY Index Options'!$B:$B,C$4,'NSE - NIFTY Index Options'!$I:$I,"MDAW*")+SUMIFS('NSE - Other Index Options'!$M:$M,'NSE - Other Index Options'!$C:$C,$A116,'NSE - Other Index Options'!$B:$B,C$4,'NSE - Other Index Options'!$I:$I,"Weekly*")+SUMIFS('NSE - Other Index Options'!$M:$M,'NSE - Other Index Options'!$C:$C,$A116,'NSE - Other Index Options'!$B:$B,C$4,'NSE - Other Index Options'!$I:$I,"MDAW*"))</f>
        <v/>
      </c>
      <c r="D116" s="26">
        <f>IF(SUMIFS('NSE - NIFTY Index Options'!$M:$M,'NSE - NIFTY Index Options'!$C:$C,$A116,'NSE - NIFTY Index Options'!$B:$B,D$4,'NSE - NIFTY Index Options'!$I:$I,"Weekly*")+SUMIFS('NSE - NIFTY Index Options'!$M:$M,'NSE - NIFTY Index Options'!$C:$C,$A116,'NSE - NIFTY Index Options'!$B:$B,D$4,'NSE - NIFTY Index Options'!$I:$I,"MDAW*")+SUMIFS('NSE - Other Index Options'!$M:$M,'NSE - Other Index Options'!$C:$C,$A116,'NSE - Other Index Options'!$B:$B,D$4,'NSE - Other Index Options'!$I:$I,"Weekly*")+SUMIFS('NSE - Other Index Options'!$M:$M,'NSE - Other Index Options'!$C:$C,$A116,'NSE - Other Index Options'!$B:$B,D$4,'NSE - Other Index Options'!$I:$I,"MDAW*")=0,"",SUMIFS('NSE - NIFTY Index Options'!$M:$M,'NSE - NIFTY Index Options'!$C:$C,$A116,'NSE - NIFTY Index Options'!$B:$B,D$4,'NSE - NIFTY Index Options'!$I:$I,"Weekly*")+SUMIFS('NSE - NIFTY Index Options'!$M:$M,'NSE - NIFTY Index Options'!$C:$C,$A116,'NSE - NIFTY Index Options'!$B:$B,D$4,'NSE - NIFTY Index Options'!$I:$I,"MDAW*")+SUMIFS('NSE - Other Index Options'!$M:$M,'NSE - Other Index Options'!$C:$C,$A116,'NSE - Other Index Options'!$B:$B,D$4,'NSE - Other Index Options'!$I:$I,"Weekly*")+SUMIFS('NSE - Other Index Options'!$M:$M,'NSE - Other Index Options'!$C:$C,$A116,'NSE - Other Index Options'!$B:$B,D$4,'NSE - Other Index Options'!$I:$I,"MDAW*"))</f>
        <v/>
      </c>
      <c r="E116" s="26">
        <f>IF(SUMIFS('NSE - NIFTY Index Options'!$M:$M,'NSE - NIFTY Index Options'!$C:$C,$A116,'NSE - NIFTY Index Options'!$B:$B,E$4,'NSE - NIFTY Index Options'!$I:$I,"Weekly*")+SUMIFS('NSE - NIFTY Index Options'!$M:$M,'NSE - NIFTY Index Options'!$C:$C,$A116,'NSE - NIFTY Index Options'!$B:$B,E$4,'NSE - NIFTY Index Options'!$I:$I,"MDAW*")+SUMIFS('NSE - Other Index Options'!$M:$M,'NSE - Other Index Options'!$C:$C,$A116,'NSE - Other Index Options'!$B:$B,E$4,'NSE - Other Index Options'!$I:$I,"Weekly*")+SUMIFS('NSE - Other Index Options'!$M:$M,'NSE - Other Index Options'!$C:$C,$A116,'NSE - Other Index Options'!$B:$B,E$4,'NSE - Other Index Options'!$I:$I,"MDAW*")=0,"",SUMIFS('NSE - NIFTY Index Options'!$M:$M,'NSE - NIFTY Index Options'!$C:$C,$A116,'NSE - NIFTY Index Options'!$B:$B,E$4,'NSE - NIFTY Index Options'!$I:$I,"Weekly*")+SUMIFS('NSE - NIFTY Index Options'!$M:$M,'NSE - NIFTY Index Options'!$C:$C,$A116,'NSE - NIFTY Index Options'!$B:$B,E$4,'NSE - NIFTY Index Options'!$I:$I,"MDAW*")+SUMIFS('NSE - Other Index Options'!$M:$M,'NSE - Other Index Options'!$C:$C,$A116,'NSE - Other Index Options'!$B:$B,E$4,'NSE - Other Index Options'!$I:$I,"Weekly*")+SUMIFS('NSE - Other Index Options'!$M:$M,'NSE - Other Index Options'!$C:$C,$A116,'NSE - Other Index Options'!$B:$B,E$4,'NSE - Other Index Options'!$I:$I,"MDAW*"))</f>
        <v/>
      </c>
      <c r="F116" s="26">
        <f>IF(SUMIFS('NSE - NIFTY Index Options'!$M:$M,'NSE - NIFTY Index Options'!$C:$C,$A116,'NSE - NIFTY Index Options'!$B:$B,F$4,'NSE - NIFTY Index Options'!$I:$I,"Weekly*")+SUMIFS('NSE - NIFTY Index Options'!$M:$M,'NSE - NIFTY Index Options'!$C:$C,$A116,'NSE - NIFTY Index Options'!$B:$B,F$4,'NSE - NIFTY Index Options'!$I:$I,"MDAW*")+SUMIFS('NSE - Other Index Options'!$M:$M,'NSE - Other Index Options'!$C:$C,$A116,'NSE - Other Index Options'!$B:$B,F$4,'NSE - Other Index Options'!$I:$I,"Weekly*")+SUMIFS('NSE - Other Index Options'!$M:$M,'NSE - Other Index Options'!$C:$C,$A116,'NSE - Other Index Options'!$B:$B,F$4,'NSE - Other Index Options'!$I:$I,"MDAW*")=0,"",SUMIFS('NSE - NIFTY Index Options'!$M:$M,'NSE - NIFTY Index Options'!$C:$C,$A116,'NSE - NIFTY Index Options'!$B:$B,F$4,'NSE - NIFTY Index Options'!$I:$I,"Weekly*")+SUMIFS('NSE - NIFTY Index Options'!$M:$M,'NSE - NIFTY Index Options'!$C:$C,$A116,'NSE - NIFTY Index Options'!$B:$B,F$4,'NSE - NIFTY Index Options'!$I:$I,"MDAW*")+SUMIFS('NSE - Other Index Options'!$M:$M,'NSE - Other Index Options'!$C:$C,$A116,'NSE - Other Index Options'!$B:$B,F$4,'NSE - Other Index Options'!$I:$I,"Weekly*")+SUMIFS('NSE - Other Index Options'!$M:$M,'NSE - Other Index Options'!$C:$C,$A116,'NSE - Other Index Options'!$B:$B,F$4,'NSE - Other Index Options'!$I:$I,"MDAW*"))</f>
        <v/>
      </c>
      <c r="G116" s="26">
        <f>IF(SUMIFS('NSE - NIFTY Index Options'!$M:$M,'NSE - NIFTY Index Options'!$C:$C,$A116,'NSE - NIFTY Index Options'!$B:$B,G$4,'NSE - NIFTY Index Options'!$I:$I,"Weekly*")+SUMIFS('NSE - NIFTY Index Options'!$M:$M,'NSE - NIFTY Index Options'!$C:$C,$A116,'NSE - NIFTY Index Options'!$B:$B,G$4,'NSE - NIFTY Index Options'!$I:$I,"MDAW*")+SUMIFS('NSE - Other Index Options'!$M:$M,'NSE - Other Index Options'!$C:$C,$A116,'NSE - Other Index Options'!$B:$B,G$4,'NSE - Other Index Options'!$I:$I,"Weekly*")+SUMIFS('NSE - Other Index Options'!$M:$M,'NSE - Other Index Options'!$C:$C,$A116,'NSE - Other Index Options'!$B:$B,G$4,'NSE - Other Index Options'!$I:$I,"MDAW*")=0,"",SUMIFS('NSE - NIFTY Index Options'!$M:$M,'NSE - NIFTY Index Options'!$C:$C,$A116,'NSE - NIFTY Index Options'!$B:$B,G$4,'NSE - NIFTY Index Options'!$I:$I,"Weekly*")+SUMIFS('NSE - NIFTY Index Options'!$M:$M,'NSE - NIFTY Index Options'!$C:$C,$A116,'NSE - NIFTY Index Options'!$B:$B,G$4,'NSE - NIFTY Index Options'!$I:$I,"MDAW*")+SUMIFS('NSE - Other Index Options'!$M:$M,'NSE - Other Index Options'!$C:$C,$A116,'NSE - Other Index Options'!$B:$B,G$4,'NSE - Other Index Options'!$I:$I,"Weekly*")+SUMIFS('NSE - Other Index Options'!$M:$M,'NSE - Other Index Options'!$C:$C,$A116,'NSE - Other Index Options'!$B:$B,G$4,'NSE - Other Index Options'!$I:$I,"MDAW*"))</f>
        <v/>
      </c>
      <c r="H116" s="26">
        <f>IF(SUM(B116:G116)=0,"",SUM(B116:G116))</f>
        <v/>
      </c>
    </row>
    <row r="117" hidden="1" outlineLevel="1">
      <c r="A117" t="inlineStr">
        <is>
          <t>Week5-Jul-2027</t>
        </is>
      </c>
      <c r="B117" s="26">
        <f>IF(SUMIFS('NSE - NIFTY Index Options'!$M:$M,'NSE - NIFTY Index Options'!$C:$C,$A117,'NSE - NIFTY Index Options'!$B:$B,B$4,'NSE - NIFTY Index Options'!$I:$I,"Weekly*")+SUMIFS('NSE - NIFTY Index Options'!$M:$M,'NSE - NIFTY Index Options'!$C:$C,$A117,'NSE - NIFTY Index Options'!$B:$B,B$4,'NSE - NIFTY Index Options'!$I:$I,"MDAW*")+SUMIFS('NSE - Other Index Options'!$M:$M,'NSE - Other Index Options'!$C:$C,$A117,'NSE - Other Index Options'!$B:$B,B$4,'NSE - Other Index Options'!$I:$I,"Weekly*")+SUMIFS('NSE - Other Index Options'!$M:$M,'NSE - Other Index Options'!$C:$C,$A117,'NSE - Other Index Options'!$B:$B,B$4,'NSE - Other Index Options'!$I:$I,"MDAW*")=0,"",SUMIFS('NSE - NIFTY Index Options'!$M:$M,'NSE - NIFTY Index Options'!$C:$C,$A117,'NSE - NIFTY Index Options'!$B:$B,B$4,'NSE - NIFTY Index Options'!$I:$I,"Weekly*")+SUMIFS('NSE - NIFTY Index Options'!$M:$M,'NSE - NIFTY Index Options'!$C:$C,$A117,'NSE - NIFTY Index Options'!$B:$B,B$4,'NSE - NIFTY Index Options'!$I:$I,"MDAW*")+SUMIFS('NSE - Other Index Options'!$M:$M,'NSE - Other Index Options'!$C:$C,$A117,'NSE - Other Index Options'!$B:$B,B$4,'NSE - Other Index Options'!$I:$I,"Weekly*")+SUMIFS('NSE - Other Index Options'!$M:$M,'NSE - Other Index Options'!$C:$C,$A117,'NSE - Other Index Options'!$B:$B,B$4,'NSE - Other Index Options'!$I:$I,"MDAW*"))</f>
        <v/>
      </c>
      <c r="C117" s="26">
        <f>IF(SUMIFS('NSE - NIFTY Index Options'!$M:$M,'NSE - NIFTY Index Options'!$C:$C,$A117,'NSE - NIFTY Index Options'!$B:$B,C$4,'NSE - NIFTY Index Options'!$I:$I,"Weekly*")+SUMIFS('NSE - NIFTY Index Options'!$M:$M,'NSE - NIFTY Index Options'!$C:$C,$A117,'NSE - NIFTY Index Options'!$B:$B,C$4,'NSE - NIFTY Index Options'!$I:$I,"MDAW*")+SUMIFS('NSE - Other Index Options'!$M:$M,'NSE - Other Index Options'!$C:$C,$A117,'NSE - Other Index Options'!$B:$B,C$4,'NSE - Other Index Options'!$I:$I,"Weekly*")+SUMIFS('NSE - Other Index Options'!$M:$M,'NSE - Other Index Options'!$C:$C,$A117,'NSE - Other Index Options'!$B:$B,C$4,'NSE - Other Index Options'!$I:$I,"MDAW*")=0,"",SUMIFS('NSE - NIFTY Index Options'!$M:$M,'NSE - NIFTY Index Options'!$C:$C,$A117,'NSE - NIFTY Index Options'!$B:$B,C$4,'NSE - NIFTY Index Options'!$I:$I,"Weekly*")+SUMIFS('NSE - NIFTY Index Options'!$M:$M,'NSE - NIFTY Index Options'!$C:$C,$A117,'NSE - NIFTY Index Options'!$B:$B,C$4,'NSE - NIFTY Index Options'!$I:$I,"MDAW*")+SUMIFS('NSE - Other Index Options'!$M:$M,'NSE - Other Index Options'!$C:$C,$A117,'NSE - Other Index Options'!$B:$B,C$4,'NSE - Other Index Options'!$I:$I,"Weekly*")+SUMIFS('NSE - Other Index Options'!$M:$M,'NSE - Other Index Options'!$C:$C,$A117,'NSE - Other Index Options'!$B:$B,C$4,'NSE - Other Index Options'!$I:$I,"MDAW*"))</f>
        <v/>
      </c>
      <c r="D117" s="26">
        <f>IF(SUMIFS('NSE - NIFTY Index Options'!$M:$M,'NSE - NIFTY Index Options'!$C:$C,$A117,'NSE - NIFTY Index Options'!$B:$B,D$4,'NSE - NIFTY Index Options'!$I:$I,"Weekly*")+SUMIFS('NSE - NIFTY Index Options'!$M:$M,'NSE - NIFTY Index Options'!$C:$C,$A117,'NSE - NIFTY Index Options'!$B:$B,D$4,'NSE - NIFTY Index Options'!$I:$I,"MDAW*")+SUMIFS('NSE - Other Index Options'!$M:$M,'NSE - Other Index Options'!$C:$C,$A117,'NSE - Other Index Options'!$B:$B,D$4,'NSE - Other Index Options'!$I:$I,"Weekly*")+SUMIFS('NSE - Other Index Options'!$M:$M,'NSE - Other Index Options'!$C:$C,$A117,'NSE - Other Index Options'!$B:$B,D$4,'NSE - Other Index Options'!$I:$I,"MDAW*")=0,"",SUMIFS('NSE - NIFTY Index Options'!$M:$M,'NSE - NIFTY Index Options'!$C:$C,$A117,'NSE - NIFTY Index Options'!$B:$B,D$4,'NSE - NIFTY Index Options'!$I:$I,"Weekly*")+SUMIFS('NSE - NIFTY Index Options'!$M:$M,'NSE - NIFTY Index Options'!$C:$C,$A117,'NSE - NIFTY Index Options'!$B:$B,D$4,'NSE - NIFTY Index Options'!$I:$I,"MDAW*")+SUMIFS('NSE - Other Index Options'!$M:$M,'NSE - Other Index Options'!$C:$C,$A117,'NSE - Other Index Options'!$B:$B,D$4,'NSE - Other Index Options'!$I:$I,"Weekly*")+SUMIFS('NSE - Other Index Options'!$M:$M,'NSE - Other Index Options'!$C:$C,$A117,'NSE - Other Index Options'!$B:$B,D$4,'NSE - Other Index Options'!$I:$I,"MDAW*"))</f>
        <v/>
      </c>
      <c r="E117" s="26">
        <f>IF(SUMIFS('NSE - NIFTY Index Options'!$M:$M,'NSE - NIFTY Index Options'!$C:$C,$A117,'NSE - NIFTY Index Options'!$B:$B,E$4,'NSE - NIFTY Index Options'!$I:$I,"Weekly*")+SUMIFS('NSE - NIFTY Index Options'!$M:$M,'NSE - NIFTY Index Options'!$C:$C,$A117,'NSE - NIFTY Index Options'!$B:$B,E$4,'NSE - NIFTY Index Options'!$I:$I,"MDAW*")+SUMIFS('NSE - Other Index Options'!$M:$M,'NSE - Other Index Options'!$C:$C,$A117,'NSE - Other Index Options'!$B:$B,E$4,'NSE - Other Index Options'!$I:$I,"Weekly*")+SUMIFS('NSE - Other Index Options'!$M:$M,'NSE - Other Index Options'!$C:$C,$A117,'NSE - Other Index Options'!$B:$B,E$4,'NSE - Other Index Options'!$I:$I,"MDAW*")=0,"",SUMIFS('NSE - NIFTY Index Options'!$M:$M,'NSE - NIFTY Index Options'!$C:$C,$A117,'NSE - NIFTY Index Options'!$B:$B,E$4,'NSE - NIFTY Index Options'!$I:$I,"Weekly*")+SUMIFS('NSE - NIFTY Index Options'!$M:$M,'NSE - NIFTY Index Options'!$C:$C,$A117,'NSE - NIFTY Index Options'!$B:$B,E$4,'NSE - NIFTY Index Options'!$I:$I,"MDAW*")+SUMIFS('NSE - Other Index Options'!$M:$M,'NSE - Other Index Options'!$C:$C,$A117,'NSE - Other Index Options'!$B:$B,E$4,'NSE - Other Index Options'!$I:$I,"Weekly*")+SUMIFS('NSE - Other Index Options'!$M:$M,'NSE - Other Index Options'!$C:$C,$A117,'NSE - Other Index Options'!$B:$B,E$4,'NSE - Other Index Options'!$I:$I,"MDAW*"))</f>
        <v/>
      </c>
      <c r="F117" s="26">
        <f>IF(SUMIFS('NSE - NIFTY Index Options'!$M:$M,'NSE - NIFTY Index Options'!$C:$C,$A117,'NSE - NIFTY Index Options'!$B:$B,F$4,'NSE - NIFTY Index Options'!$I:$I,"Weekly*")+SUMIFS('NSE - NIFTY Index Options'!$M:$M,'NSE - NIFTY Index Options'!$C:$C,$A117,'NSE - NIFTY Index Options'!$B:$B,F$4,'NSE - NIFTY Index Options'!$I:$I,"MDAW*")+SUMIFS('NSE - Other Index Options'!$M:$M,'NSE - Other Index Options'!$C:$C,$A117,'NSE - Other Index Options'!$B:$B,F$4,'NSE - Other Index Options'!$I:$I,"Weekly*")+SUMIFS('NSE - Other Index Options'!$M:$M,'NSE - Other Index Options'!$C:$C,$A117,'NSE - Other Index Options'!$B:$B,F$4,'NSE - Other Index Options'!$I:$I,"MDAW*")=0,"",SUMIFS('NSE - NIFTY Index Options'!$M:$M,'NSE - NIFTY Index Options'!$C:$C,$A117,'NSE - NIFTY Index Options'!$B:$B,F$4,'NSE - NIFTY Index Options'!$I:$I,"Weekly*")+SUMIFS('NSE - NIFTY Index Options'!$M:$M,'NSE - NIFTY Index Options'!$C:$C,$A117,'NSE - NIFTY Index Options'!$B:$B,F$4,'NSE - NIFTY Index Options'!$I:$I,"MDAW*")+SUMIFS('NSE - Other Index Options'!$M:$M,'NSE - Other Index Options'!$C:$C,$A117,'NSE - Other Index Options'!$B:$B,F$4,'NSE - Other Index Options'!$I:$I,"Weekly*")+SUMIFS('NSE - Other Index Options'!$M:$M,'NSE - Other Index Options'!$C:$C,$A117,'NSE - Other Index Options'!$B:$B,F$4,'NSE - Other Index Options'!$I:$I,"MDAW*"))</f>
        <v/>
      </c>
      <c r="G117" s="26">
        <f>IF(SUMIFS('NSE - NIFTY Index Options'!$M:$M,'NSE - NIFTY Index Options'!$C:$C,$A117,'NSE - NIFTY Index Options'!$B:$B,G$4,'NSE - NIFTY Index Options'!$I:$I,"Weekly*")+SUMIFS('NSE - NIFTY Index Options'!$M:$M,'NSE - NIFTY Index Options'!$C:$C,$A117,'NSE - NIFTY Index Options'!$B:$B,G$4,'NSE - NIFTY Index Options'!$I:$I,"MDAW*")+SUMIFS('NSE - Other Index Options'!$M:$M,'NSE - Other Index Options'!$C:$C,$A117,'NSE - Other Index Options'!$B:$B,G$4,'NSE - Other Index Options'!$I:$I,"Weekly*")+SUMIFS('NSE - Other Index Options'!$M:$M,'NSE - Other Index Options'!$C:$C,$A117,'NSE - Other Index Options'!$B:$B,G$4,'NSE - Other Index Options'!$I:$I,"MDAW*")=0,"",SUMIFS('NSE - NIFTY Index Options'!$M:$M,'NSE - NIFTY Index Options'!$C:$C,$A117,'NSE - NIFTY Index Options'!$B:$B,G$4,'NSE - NIFTY Index Options'!$I:$I,"Weekly*")+SUMIFS('NSE - NIFTY Index Options'!$M:$M,'NSE - NIFTY Index Options'!$C:$C,$A117,'NSE - NIFTY Index Options'!$B:$B,G$4,'NSE - NIFTY Index Options'!$I:$I,"MDAW*")+SUMIFS('NSE - Other Index Options'!$M:$M,'NSE - Other Index Options'!$C:$C,$A117,'NSE - Other Index Options'!$B:$B,G$4,'NSE - Other Index Options'!$I:$I,"Weekly*")+SUMIFS('NSE - Other Index Options'!$M:$M,'NSE - Other Index Options'!$C:$C,$A117,'NSE - Other Index Options'!$B:$B,G$4,'NSE - Other Index Options'!$I:$I,"MDAW*"))</f>
        <v/>
      </c>
      <c r="H117" s="26">
        <f>IF(SUM(B117:G117)=0,"",SUM(B117:G117))</f>
        <v/>
      </c>
    </row>
    <row r="118" hidden="1" outlineLevel="1">
      <c r="A118" t="inlineStr">
        <is>
          <t>Week1-Aug-2027</t>
        </is>
      </c>
      <c r="B118" s="26">
        <f>IF(SUMIFS('NSE - NIFTY Index Options'!$M:$M,'NSE - NIFTY Index Options'!$C:$C,$A118,'NSE - NIFTY Index Options'!$B:$B,B$4,'NSE - NIFTY Index Options'!$I:$I,"Weekly*")+SUMIFS('NSE - NIFTY Index Options'!$M:$M,'NSE - NIFTY Index Options'!$C:$C,$A118,'NSE - NIFTY Index Options'!$B:$B,B$4,'NSE - NIFTY Index Options'!$I:$I,"MDAW*")+SUMIFS('NSE - Other Index Options'!$M:$M,'NSE - Other Index Options'!$C:$C,$A118,'NSE - Other Index Options'!$B:$B,B$4,'NSE - Other Index Options'!$I:$I,"Weekly*")+SUMIFS('NSE - Other Index Options'!$M:$M,'NSE - Other Index Options'!$C:$C,$A118,'NSE - Other Index Options'!$B:$B,B$4,'NSE - Other Index Options'!$I:$I,"MDAW*")=0,"",SUMIFS('NSE - NIFTY Index Options'!$M:$M,'NSE - NIFTY Index Options'!$C:$C,$A118,'NSE - NIFTY Index Options'!$B:$B,B$4,'NSE - NIFTY Index Options'!$I:$I,"Weekly*")+SUMIFS('NSE - NIFTY Index Options'!$M:$M,'NSE - NIFTY Index Options'!$C:$C,$A118,'NSE - NIFTY Index Options'!$B:$B,B$4,'NSE - NIFTY Index Options'!$I:$I,"MDAW*")+SUMIFS('NSE - Other Index Options'!$M:$M,'NSE - Other Index Options'!$C:$C,$A118,'NSE - Other Index Options'!$B:$B,B$4,'NSE - Other Index Options'!$I:$I,"Weekly*")+SUMIFS('NSE - Other Index Options'!$M:$M,'NSE - Other Index Options'!$C:$C,$A118,'NSE - Other Index Options'!$B:$B,B$4,'NSE - Other Index Options'!$I:$I,"MDAW*"))</f>
        <v/>
      </c>
      <c r="C118" s="26">
        <f>IF(SUMIFS('NSE - NIFTY Index Options'!$M:$M,'NSE - NIFTY Index Options'!$C:$C,$A118,'NSE - NIFTY Index Options'!$B:$B,C$4,'NSE - NIFTY Index Options'!$I:$I,"Weekly*")+SUMIFS('NSE - NIFTY Index Options'!$M:$M,'NSE - NIFTY Index Options'!$C:$C,$A118,'NSE - NIFTY Index Options'!$B:$B,C$4,'NSE - NIFTY Index Options'!$I:$I,"MDAW*")+SUMIFS('NSE - Other Index Options'!$M:$M,'NSE - Other Index Options'!$C:$C,$A118,'NSE - Other Index Options'!$B:$B,C$4,'NSE - Other Index Options'!$I:$I,"Weekly*")+SUMIFS('NSE - Other Index Options'!$M:$M,'NSE - Other Index Options'!$C:$C,$A118,'NSE - Other Index Options'!$B:$B,C$4,'NSE - Other Index Options'!$I:$I,"MDAW*")=0,"",SUMIFS('NSE - NIFTY Index Options'!$M:$M,'NSE - NIFTY Index Options'!$C:$C,$A118,'NSE - NIFTY Index Options'!$B:$B,C$4,'NSE - NIFTY Index Options'!$I:$I,"Weekly*")+SUMIFS('NSE - NIFTY Index Options'!$M:$M,'NSE - NIFTY Index Options'!$C:$C,$A118,'NSE - NIFTY Index Options'!$B:$B,C$4,'NSE - NIFTY Index Options'!$I:$I,"MDAW*")+SUMIFS('NSE - Other Index Options'!$M:$M,'NSE - Other Index Options'!$C:$C,$A118,'NSE - Other Index Options'!$B:$B,C$4,'NSE - Other Index Options'!$I:$I,"Weekly*")+SUMIFS('NSE - Other Index Options'!$M:$M,'NSE - Other Index Options'!$C:$C,$A118,'NSE - Other Index Options'!$B:$B,C$4,'NSE - Other Index Options'!$I:$I,"MDAW*"))</f>
        <v/>
      </c>
      <c r="D118" s="26">
        <f>IF(SUMIFS('NSE - NIFTY Index Options'!$M:$M,'NSE - NIFTY Index Options'!$C:$C,$A118,'NSE - NIFTY Index Options'!$B:$B,D$4,'NSE - NIFTY Index Options'!$I:$I,"Weekly*")+SUMIFS('NSE - NIFTY Index Options'!$M:$M,'NSE - NIFTY Index Options'!$C:$C,$A118,'NSE - NIFTY Index Options'!$B:$B,D$4,'NSE - NIFTY Index Options'!$I:$I,"MDAW*")+SUMIFS('NSE - Other Index Options'!$M:$M,'NSE - Other Index Options'!$C:$C,$A118,'NSE - Other Index Options'!$B:$B,D$4,'NSE - Other Index Options'!$I:$I,"Weekly*")+SUMIFS('NSE - Other Index Options'!$M:$M,'NSE - Other Index Options'!$C:$C,$A118,'NSE - Other Index Options'!$B:$B,D$4,'NSE - Other Index Options'!$I:$I,"MDAW*")=0,"",SUMIFS('NSE - NIFTY Index Options'!$M:$M,'NSE - NIFTY Index Options'!$C:$C,$A118,'NSE - NIFTY Index Options'!$B:$B,D$4,'NSE - NIFTY Index Options'!$I:$I,"Weekly*")+SUMIFS('NSE - NIFTY Index Options'!$M:$M,'NSE - NIFTY Index Options'!$C:$C,$A118,'NSE - NIFTY Index Options'!$B:$B,D$4,'NSE - NIFTY Index Options'!$I:$I,"MDAW*")+SUMIFS('NSE - Other Index Options'!$M:$M,'NSE - Other Index Options'!$C:$C,$A118,'NSE - Other Index Options'!$B:$B,D$4,'NSE - Other Index Options'!$I:$I,"Weekly*")+SUMIFS('NSE - Other Index Options'!$M:$M,'NSE - Other Index Options'!$C:$C,$A118,'NSE - Other Index Options'!$B:$B,D$4,'NSE - Other Index Options'!$I:$I,"MDAW*"))</f>
        <v/>
      </c>
      <c r="E118" s="26">
        <f>IF(SUMIFS('NSE - NIFTY Index Options'!$M:$M,'NSE - NIFTY Index Options'!$C:$C,$A118,'NSE - NIFTY Index Options'!$B:$B,E$4,'NSE - NIFTY Index Options'!$I:$I,"Weekly*")+SUMIFS('NSE - NIFTY Index Options'!$M:$M,'NSE - NIFTY Index Options'!$C:$C,$A118,'NSE - NIFTY Index Options'!$B:$B,E$4,'NSE - NIFTY Index Options'!$I:$I,"MDAW*")+SUMIFS('NSE - Other Index Options'!$M:$M,'NSE - Other Index Options'!$C:$C,$A118,'NSE - Other Index Options'!$B:$B,E$4,'NSE - Other Index Options'!$I:$I,"Weekly*")+SUMIFS('NSE - Other Index Options'!$M:$M,'NSE - Other Index Options'!$C:$C,$A118,'NSE - Other Index Options'!$B:$B,E$4,'NSE - Other Index Options'!$I:$I,"MDAW*")=0,"",SUMIFS('NSE - NIFTY Index Options'!$M:$M,'NSE - NIFTY Index Options'!$C:$C,$A118,'NSE - NIFTY Index Options'!$B:$B,E$4,'NSE - NIFTY Index Options'!$I:$I,"Weekly*")+SUMIFS('NSE - NIFTY Index Options'!$M:$M,'NSE - NIFTY Index Options'!$C:$C,$A118,'NSE - NIFTY Index Options'!$B:$B,E$4,'NSE - NIFTY Index Options'!$I:$I,"MDAW*")+SUMIFS('NSE - Other Index Options'!$M:$M,'NSE - Other Index Options'!$C:$C,$A118,'NSE - Other Index Options'!$B:$B,E$4,'NSE - Other Index Options'!$I:$I,"Weekly*")+SUMIFS('NSE - Other Index Options'!$M:$M,'NSE - Other Index Options'!$C:$C,$A118,'NSE - Other Index Options'!$B:$B,E$4,'NSE - Other Index Options'!$I:$I,"MDAW*"))</f>
        <v/>
      </c>
      <c r="F118" s="26">
        <f>IF(SUMIFS('NSE - NIFTY Index Options'!$M:$M,'NSE - NIFTY Index Options'!$C:$C,$A118,'NSE - NIFTY Index Options'!$B:$B,F$4,'NSE - NIFTY Index Options'!$I:$I,"Weekly*")+SUMIFS('NSE - NIFTY Index Options'!$M:$M,'NSE - NIFTY Index Options'!$C:$C,$A118,'NSE - NIFTY Index Options'!$B:$B,F$4,'NSE - NIFTY Index Options'!$I:$I,"MDAW*")+SUMIFS('NSE - Other Index Options'!$M:$M,'NSE - Other Index Options'!$C:$C,$A118,'NSE - Other Index Options'!$B:$B,F$4,'NSE - Other Index Options'!$I:$I,"Weekly*")+SUMIFS('NSE - Other Index Options'!$M:$M,'NSE - Other Index Options'!$C:$C,$A118,'NSE - Other Index Options'!$B:$B,F$4,'NSE - Other Index Options'!$I:$I,"MDAW*")=0,"",SUMIFS('NSE - NIFTY Index Options'!$M:$M,'NSE - NIFTY Index Options'!$C:$C,$A118,'NSE - NIFTY Index Options'!$B:$B,F$4,'NSE - NIFTY Index Options'!$I:$I,"Weekly*")+SUMIFS('NSE - NIFTY Index Options'!$M:$M,'NSE - NIFTY Index Options'!$C:$C,$A118,'NSE - NIFTY Index Options'!$B:$B,F$4,'NSE - NIFTY Index Options'!$I:$I,"MDAW*")+SUMIFS('NSE - Other Index Options'!$M:$M,'NSE - Other Index Options'!$C:$C,$A118,'NSE - Other Index Options'!$B:$B,F$4,'NSE - Other Index Options'!$I:$I,"Weekly*")+SUMIFS('NSE - Other Index Options'!$M:$M,'NSE - Other Index Options'!$C:$C,$A118,'NSE - Other Index Options'!$B:$B,F$4,'NSE - Other Index Options'!$I:$I,"MDAW*"))</f>
        <v/>
      </c>
      <c r="G118" s="26">
        <f>IF(SUMIFS('NSE - NIFTY Index Options'!$M:$M,'NSE - NIFTY Index Options'!$C:$C,$A118,'NSE - NIFTY Index Options'!$B:$B,G$4,'NSE - NIFTY Index Options'!$I:$I,"Weekly*")+SUMIFS('NSE - NIFTY Index Options'!$M:$M,'NSE - NIFTY Index Options'!$C:$C,$A118,'NSE - NIFTY Index Options'!$B:$B,G$4,'NSE - NIFTY Index Options'!$I:$I,"MDAW*")+SUMIFS('NSE - Other Index Options'!$M:$M,'NSE - Other Index Options'!$C:$C,$A118,'NSE - Other Index Options'!$B:$B,G$4,'NSE - Other Index Options'!$I:$I,"Weekly*")+SUMIFS('NSE - Other Index Options'!$M:$M,'NSE - Other Index Options'!$C:$C,$A118,'NSE - Other Index Options'!$B:$B,G$4,'NSE - Other Index Options'!$I:$I,"MDAW*")=0,"",SUMIFS('NSE - NIFTY Index Options'!$M:$M,'NSE - NIFTY Index Options'!$C:$C,$A118,'NSE - NIFTY Index Options'!$B:$B,G$4,'NSE - NIFTY Index Options'!$I:$I,"Weekly*")+SUMIFS('NSE - NIFTY Index Options'!$M:$M,'NSE - NIFTY Index Options'!$C:$C,$A118,'NSE - NIFTY Index Options'!$B:$B,G$4,'NSE - NIFTY Index Options'!$I:$I,"MDAW*")+SUMIFS('NSE - Other Index Options'!$M:$M,'NSE - Other Index Options'!$C:$C,$A118,'NSE - Other Index Options'!$B:$B,G$4,'NSE - Other Index Options'!$I:$I,"Weekly*")+SUMIFS('NSE - Other Index Options'!$M:$M,'NSE - Other Index Options'!$C:$C,$A118,'NSE - Other Index Options'!$B:$B,G$4,'NSE - Other Index Options'!$I:$I,"MDAW*"))</f>
        <v/>
      </c>
      <c r="H118" s="26">
        <f>IF(SUM(B118:G118)=0,"",SUM(B118:G118))</f>
        <v/>
      </c>
    </row>
    <row r="119" hidden="1" outlineLevel="1">
      <c r="A119" t="inlineStr">
        <is>
          <t>Week2-Aug-2027</t>
        </is>
      </c>
      <c r="B119" s="26">
        <f>IF(SUMIFS('NSE - NIFTY Index Options'!$M:$M,'NSE - NIFTY Index Options'!$C:$C,$A119,'NSE - NIFTY Index Options'!$B:$B,B$4,'NSE - NIFTY Index Options'!$I:$I,"Weekly*")+SUMIFS('NSE - NIFTY Index Options'!$M:$M,'NSE - NIFTY Index Options'!$C:$C,$A119,'NSE - NIFTY Index Options'!$B:$B,B$4,'NSE - NIFTY Index Options'!$I:$I,"MDAW*")+SUMIFS('NSE - Other Index Options'!$M:$M,'NSE - Other Index Options'!$C:$C,$A119,'NSE - Other Index Options'!$B:$B,B$4,'NSE - Other Index Options'!$I:$I,"Weekly*")+SUMIFS('NSE - Other Index Options'!$M:$M,'NSE - Other Index Options'!$C:$C,$A119,'NSE - Other Index Options'!$B:$B,B$4,'NSE - Other Index Options'!$I:$I,"MDAW*")=0,"",SUMIFS('NSE - NIFTY Index Options'!$M:$M,'NSE - NIFTY Index Options'!$C:$C,$A119,'NSE - NIFTY Index Options'!$B:$B,B$4,'NSE - NIFTY Index Options'!$I:$I,"Weekly*")+SUMIFS('NSE - NIFTY Index Options'!$M:$M,'NSE - NIFTY Index Options'!$C:$C,$A119,'NSE - NIFTY Index Options'!$B:$B,B$4,'NSE - NIFTY Index Options'!$I:$I,"MDAW*")+SUMIFS('NSE - Other Index Options'!$M:$M,'NSE - Other Index Options'!$C:$C,$A119,'NSE - Other Index Options'!$B:$B,B$4,'NSE - Other Index Options'!$I:$I,"Weekly*")+SUMIFS('NSE - Other Index Options'!$M:$M,'NSE - Other Index Options'!$C:$C,$A119,'NSE - Other Index Options'!$B:$B,B$4,'NSE - Other Index Options'!$I:$I,"MDAW*"))</f>
        <v/>
      </c>
      <c r="C119" s="26">
        <f>IF(SUMIFS('NSE - NIFTY Index Options'!$M:$M,'NSE - NIFTY Index Options'!$C:$C,$A119,'NSE - NIFTY Index Options'!$B:$B,C$4,'NSE - NIFTY Index Options'!$I:$I,"Weekly*")+SUMIFS('NSE - NIFTY Index Options'!$M:$M,'NSE - NIFTY Index Options'!$C:$C,$A119,'NSE - NIFTY Index Options'!$B:$B,C$4,'NSE - NIFTY Index Options'!$I:$I,"MDAW*")+SUMIFS('NSE - Other Index Options'!$M:$M,'NSE - Other Index Options'!$C:$C,$A119,'NSE - Other Index Options'!$B:$B,C$4,'NSE - Other Index Options'!$I:$I,"Weekly*")+SUMIFS('NSE - Other Index Options'!$M:$M,'NSE - Other Index Options'!$C:$C,$A119,'NSE - Other Index Options'!$B:$B,C$4,'NSE - Other Index Options'!$I:$I,"MDAW*")=0,"",SUMIFS('NSE - NIFTY Index Options'!$M:$M,'NSE - NIFTY Index Options'!$C:$C,$A119,'NSE - NIFTY Index Options'!$B:$B,C$4,'NSE - NIFTY Index Options'!$I:$I,"Weekly*")+SUMIFS('NSE - NIFTY Index Options'!$M:$M,'NSE - NIFTY Index Options'!$C:$C,$A119,'NSE - NIFTY Index Options'!$B:$B,C$4,'NSE - NIFTY Index Options'!$I:$I,"MDAW*")+SUMIFS('NSE - Other Index Options'!$M:$M,'NSE - Other Index Options'!$C:$C,$A119,'NSE - Other Index Options'!$B:$B,C$4,'NSE - Other Index Options'!$I:$I,"Weekly*")+SUMIFS('NSE - Other Index Options'!$M:$M,'NSE - Other Index Options'!$C:$C,$A119,'NSE - Other Index Options'!$B:$B,C$4,'NSE - Other Index Options'!$I:$I,"MDAW*"))</f>
        <v/>
      </c>
      <c r="D119" s="26">
        <f>IF(SUMIFS('NSE - NIFTY Index Options'!$M:$M,'NSE - NIFTY Index Options'!$C:$C,$A119,'NSE - NIFTY Index Options'!$B:$B,D$4,'NSE - NIFTY Index Options'!$I:$I,"Weekly*")+SUMIFS('NSE - NIFTY Index Options'!$M:$M,'NSE - NIFTY Index Options'!$C:$C,$A119,'NSE - NIFTY Index Options'!$B:$B,D$4,'NSE - NIFTY Index Options'!$I:$I,"MDAW*")+SUMIFS('NSE - Other Index Options'!$M:$M,'NSE - Other Index Options'!$C:$C,$A119,'NSE - Other Index Options'!$B:$B,D$4,'NSE - Other Index Options'!$I:$I,"Weekly*")+SUMIFS('NSE - Other Index Options'!$M:$M,'NSE - Other Index Options'!$C:$C,$A119,'NSE - Other Index Options'!$B:$B,D$4,'NSE - Other Index Options'!$I:$I,"MDAW*")=0,"",SUMIFS('NSE - NIFTY Index Options'!$M:$M,'NSE - NIFTY Index Options'!$C:$C,$A119,'NSE - NIFTY Index Options'!$B:$B,D$4,'NSE - NIFTY Index Options'!$I:$I,"Weekly*")+SUMIFS('NSE - NIFTY Index Options'!$M:$M,'NSE - NIFTY Index Options'!$C:$C,$A119,'NSE - NIFTY Index Options'!$B:$B,D$4,'NSE - NIFTY Index Options'!$I:$I,"MDAW*")+SUMIFS('NSE - Other Index Options'!$M:$M,'NSE - Other Index Options'!$C:$C,$A119,'NSE - Other Index Options'!$B:$B,D$4,'NSE - Other Index Options'!$I:$I,"Weekly*")+SUMIFS('NSE - Other Index Options'!$M:$M,'NSE - Other Index Options'!$C:$C,$A119,'NSE - Other Index Options'!$B:$B,D$4,'NSE - Other Index Options'!$I:$I,"MDAW*"))</f>
        <v/>
      </c>
      <c r="E119" s="26">
        <f>IF(SUMIFS('NSE - NIFTY Index Options'!$M:$M,'NSE - NIFTY Index Options'!$C:$C,$A119,'NSE - NIFTY Index Options'!$B:$B,E$4,'NSE - NIFTY Index Options'!$I:$I,"Weekly*")+SUMIFS('NSE - NIFTY Index Options'!$M:$M,'NSE - NIFTY Index Options'!$C:$C,$A119,'NSE - NIFTY Index Options'!$B:$B,E$4,'NSE - NIFTY Index Options'!$I:$I,"MDAW*")+SUMIFS('NSE - Other Index Options'!$M:$M,'NSE - Other Index Options'!$C:$C,$A119,'NSE - Other Index Options'!$B:$B,E$4,'NSE - Other Index Options'!$I:$I,"Weekly*")+SUMIFS('NSE - Other Index Options'!$M:$M,'NSE - Other Index Options'!$C:$C,$A119,'NSE - Other Index Options'!$B:$B,E$4,'NSE - Other Index Options'!$I:$I,"MDAW*")=0,"",SUMIFS('NSE - NIFTY Index Options'!$M:$M,'NSE - NIFTY Index Options'!$C:$C,$A119,'NSE - NIFTY Index Options'!$B:$B,E$4,'NSE - NIFTY Index Options'!$I:$I,"Weekly*")+SUMIFS('NSE - NIFTY Index Options'!$M:$M,'NSE - NIFTY Index Options'!$C:$C,$A119,'NSE - NIFTY Index Options'!$B:$B,E$4,'NSE - NIFTY Index Options'!$I:$I,"MDAW*")+SUMIFS('NSE - Other Index Options'!$M:$M,'NSE - Other Index Options'!$C:$C,$A119,'NSE - Other Index Options'!$B:$B,E$4,'NSE - Other Index Options'!$I:$I,"Weekly*")+SUMIFS('NSE - Other Index Options'!$M:$M,'NSE - Other Index Options'!$C:$C,$A119,'NSE - Other Index Options'!$B:$B,E$4,'NSE - Other Index Options'!$I:$I,"MDAW*"))</f>
        <v/>
      </c>
      <c r="F119" s="26">
        <f>IF(SUMIFS('NSE - NIFTY Index Options'!$M:$M,'NSE - NIFTY Index Options'!$C:$C,$A119,'NSE - NIFTY Index Options'!$B:$B,F$4,'NSE - NIFTY Index Options'!$I:$I,"Weekly*")+SUMIFS('NSE - NIFTY Index Options'!$M:$M,'NSE - NIFTY Index Options'!$C:$C,$A119,'NSE - NIFTY Index Options'!$B:$B,F$4,'NSE - NIFTY Index Options'!$I:$I,"MDAW*")+SUMIFS('NSE - Other Index Options'!$M:$M,'NSE - Other Index Options'!$C:$C,$A119,'NSE - Other Index Options'!$B:$B,F$4,'NSE - Other Index Options'!$I:$I,"Weekly*")+SUMIFS('NSE - Other Index Options'!$M:$M,'NSE - Other Index Options'!$C:$C,$A119,'NSE - Other Index Options'!$B:$B,F$4,'NSE - Other Index Options'!$I:$I,"MDAW*")=0,"",SUMIFS('NSE - NIFTY Index Options'!$M:$M,'NSE - NIFTY Index Options'!$C:$C,$A119,'NSE - NIFTY Index Options'!$B:$B,F$4,'NSE - NIFTY Index Options'!$I:$I,"Weekly*")+SUMIFS('NSE - NIFTY Index Options'!$M:$M,'NSE - NIFTY Index Options'!$C:$C,$A119,'NSE - NIFTY Index Options'!$B:$B,F$4,'NSE - NIFTY Index Options'!$I:$I,"MDAW*")+SUMIFS('NSE - Other Index Options'!$M:$M,'NSE - Other Index Options'!$C:$C,$A119,'NSE - Other Index Options'!$B:$B,F$4,'NSE - Other Index Options'!$I:$I,"Weekly*")+SUMIFS('NSE - Other Index Options'!$M:$M,'NSE - Other Index Options'!$C:$C,$A119,'NSE - Other Index Options'!$B:$B,F$4,'NSE - Other Index Options'!$I:$I,"MDAW*"))</f>
        <v/>
      </c>
      <c r="G119" s="26">
        <f>IF(SUMIFS('NSE - NIFTY Index Options'!$M:$M,'NSE - NIFTY Index Options'!$C:$C,$A119,'NSE - NIFTY Index Options'!$B:$B,G$4,'NSE - NIFTY Index Options'!$I:$I,"Weekly*")+SUMIFS('NSE - NIFTY Index Options'!$M:$M,'NSE - NIFTY Index Options'!$C:$C,$A119,'NSE - NIFTY Index Options'!$B:$B,G$4,'NSE - NIFTY Index Options'!$I:$I,"MDAW*")+SUMIFS('NSE - Other Index Options'!$M:$M,'NSE - Other Index Options'!$C:$C,$A119,'NSE - Other Index Options'!$B:$B,G$4,'NSE - Other Index Options'!$I:$I,"Weekly*")+SUMIFS('NSE - Other Index Options'!$M:$M,'NSE - Other Index Options'!$C:$C,$A119,'NSE - Other Index Options'!$B:$B,G$4,'NSE - Other Index Options'!$I:$I,"MDAW*")=0,"",SUMIFS('NSE - NIFTY Index Options'!$M:$M,'NSE - NIFTY Index Options'!$C:$C,$A119,'NSE - NIFTY Index Options'!$B:$B,G$4,'NSE - NIFTY Index Options'!$I:$I,"Weekly*")+SUMIFS('NSE - NIFTY Index Options'!$M:$M,'NSE - NIFTY Index Options'!$C:$C,$A119,'NSE - NIFTY Index Options'!$B:$B,G$4,'NSE - NIFTY Index Options'!$I:$I,"MDAW*")+SUMIFS('NSE - Other Index Options'!$M:$M,'NSE - Other Index Options'!$C:$C,$A119,'NSE - Other Index Options'!$B:$B,G$4,'NSE - Other Index Options'!$I:$I,"Weekly*")+SUMIFS('NSE - Other Index Options'!$M:$M,'NSE - Other Index Options'!$C:$C,$A119,'NSE - Other Index Options'!$B:$B,G$4,'NSE - Other Index Options'!$I:$I,"MDAW*"))</f>
        <v/>
      </c>
      <c r="H119" s="26">
        <f>IF(SUM(B119:G119)=0,"",SUM(B119:G119))</f>
        <v/>
      </c>
    </row>
    <row r="120" hidden="1" outlineLevel="1">
      <c r="A120" t="inlineStr">
        <is>
          <t>Week3-Aug-2027</t>
        </is>
      </c>
      <c r="B120" s="26">
        <f>IF(SUMIFS('NSE - NIFTY Index Options'!$M:$M,'NSE - NIFTY Index Options'!$C:$C,$A120,'NSE - NIFTY Index Options'!$B:$B,B$4,'NSE - NIFTY Index Options'!$I:$I,"Weekly*")+SUMIFS('NSE - NIFTY Index Options'!$M:$M,'NSE - NIFTY Index Options'!$C:$C,$A120,'NSE - NIFTY Index Options'!$B:$B,B$4,'NSE - NIFTY Index Options'!$I:$I,"MDAW*")+SUMIFS('NSE - Other Index Options'!$M:$M,'NSE - Other Index Options'!$C:$C,$A120,'NSE - Other Index Options'!$B:$B,B$4,'NSE - Other Index Options'!$I:$I,"Weekly*")+SUMIFS('NSE - Other Index Options'!$M:$M,'NSE - Other Index Options'!$C:$C,$A120,'NSE - Other Index Options'!$B:$B,B$4,'NSE - Other Index Options'!$I:$I,"MDAW*")=0,"",SUMIFS('NSE - NIFTY Index Options'!$M:$M,'NSE - NIFTY Index Options'!$C:$C,$A120,'NSE - NIFTY Index Options'!$B:$B,B$4,'NSE - NIFTY Index Options'!$I:$I,"Weekly*")+SUMIFS('NSE - NIFTY Index Options'!$M:$M,'NSE - NIFTY Index Options'!$C:$C,$A120,'NSE - NIFTY Index Options'!$B:$B,B$4,'NSE - NIFTY Index Options'!$I:$I,"MDAW*")+SUMIFS('NSE - Other Index Options'!$M:$M,'NSE - Other Index Options'!$C:$C,$A120,'NSE - Other Index Options'!$B:$B,B$4,'NSE - Other Index Options'!$I:$I,"Weekly*")+SUMIFS('NSE - Other Index Options'!$M:$M,'NSE - Other Index Options'!$C:$C,$A120,'NSE - Other Index Options'!$B:$B,B$4,'NSE - Other Index Options'!$I:$I,"MDAW*"))</f>
        <v/>
      </c>
      <c r="C120" s="26">
        <f>IF(SUMIFS('NSE - NIFTY Index Options'!$M:$M,'NSE - NIFTY Index Options'!$C:$C,$A120,'NSE - NIFTY Index Options'!$B:$B,C$4,'NSE - NIFTY Index Options'!$I:$I,"Weekly*")+SUMIFS('NSE - NIFTY Index Options'!$M:$M,'NSE - NIFTY Index Options'!$C:$C,$A120,'NSE - NIFTY Index Options'!$B:$B,C$4,'NSE - NIFTY Index Options'!$I:$I,"MDAW*")+SUMIFS('NSE - Other Index Options'!$M:$M,'NSE - Other Index Options'!$C:$C,$A120,'NSE - Other Index Options'!$B:$B,C$4,'NSE - Other Index Options'!$I:$I,"Weekly*")+SUMIFS('NSE - Other Index Options'!$M:$M,'NSE - Other Index Options'!$C:$C,$A120,'NSE - Other Index Options'!$B:$B,C$4,'NSE - Other Index Options'!$I:$I,"MDAW*")=0,"",SUMIFS('NSE - NIFTY Index Options'!$M:$M,'NSE - NIFTY Index Options'!$C:$C,$A120,'NSE - NIFTY Index Options'!$B:$B,C$4,'NSE - NIFTY Index Options'!$I:$I,"Weekly*")+SUMIFS('NSE - NIFTY Index Options'!$M:$M,'NSE - NIFTY Index Options'!$C:$C,$A120,'NSE - NIFTY Index Options'!$B:$B,C$4,'NSE - NIFTY Index Options'!$I:$I,"MDAW*")+SUMIFS('NSE - Other Index Options'!$M:$M,'NSE - Other Index Options'!$C:$C,$A120,'NSE - Other Index Options'!$B:$B,C$4,'NSE - Other Index Options'!$I:$I,"Weekly*")+SUMIFS('NSE - Other Index Options'!$M:$M,'NSE - Other Index Options'!$C:$C,$A120,'NSE - Other Index Options'!$B:$B,C$4,'NSE - Other Index Options'!$I:$I,"MDAW*"))</f>
        <v/>
      </c>
      <c r="D120" s="26">
        <f>IF(SUMIFS('NSE - NIFTY Index Options'!$M:$M,'NSE - NIFTY Index Options'!$C:$C,$A120,'NSE - NIFTY Index Options'!$B:$B,D$4,'NSE - NIFTY Index Options'!$I:$I,"Weekly*")+SUMIFS('NSE - NIFTY Index Options'!$M:$M,'NSE - NIFTY Index Options'!$C:$C,$A120,'NSE - NIFTY Index Options'!$B:$B,D$4,'NSE - NIFTY Index Options'!$I:$I,"MDAW*")+SUMIFS('NSE - Other Index Options'!$M:$M,'NSE - Other Index Options'!$C:$C,$A120,'NSE - Other Index Options'!$B:$B,D$4,'NSE - Other Index Options'!$I:$I,"Weekly*")+SUMIFS('NSE - Other Index Options'!$M:$M,'NSE - Other Index Options'!$C:$C,$A120,'NSE - Other Index Options'!$B:$B,D$4,'NSE - Other Index Options'!$I:$I,"MDAW*")=0,"",SUMIFS('NSE - NIFTY Index Options'!$M:$M,'NSE - NIFTY Index Options'!$C:$C,$A120,'NSE - NIFTY Index Options'!$B:$B,D$4,'NSE - NIFTY Index Options'!$I:$I,"Weekly*")+SUMIFS('NSE - NIFTY Index Options'!$M:$M,'NSE - NIFTY Index Options'!$C:$C,$A120,'NSE - NIFTY Index Options'!$B:$B,D$4,'NSE - NIFTY Index Options'!$I:$I,"MDAW*")+SUMIFS('NSE - Other Index Options'!$M:$M,'NSE - Other Index Options'!$C:$C,$A120,'NSE - Other Index Options'!$B:$B,D$4,'NSE - Other Index Options'!$I:$I,"Weekly*")+SUMIFS('NSE - Other Index Options'!$M:$M,'NSE - Other Index Options'!$C:$C,$A120,'NSE - Other Index Options'!$B:$B,D$4,'NSE - Other Index Options'!$I:$I,"MDAW*"))</f>
        <v/>
      </c>
      <c r="E120" s="26">
        <f>IF(SUMIFS('NSE - NIFTY Index Options'!$M:$M,'NSE - NIFTY Index Options'!$C:$C,$A120,'NSE - NIFTY Index Options'!$B:$B,E$4,'NSE - NIFTY Index Options'!$I:$I,"Weekly*")+SUMIFS('NSE - NIFTY Index Options'!$M:$M,'NSE - NIFTY Index Options'!$C:$C,$A120,'NSE - NIFTY Index Options'!$B:$B,E$4,'NSE - NIFTY Index Options'!$I:$I,"MDAW*")+SUMIFS('NSE - Other Index Options'!$M:$M,'NSE - Other Index Options'!$C:$C,$A120,'NSE - Other Index Options'!$B:$B,E$4,'NSE - Other Index Options'!$I:$I,"Weekly*")+SUMIFS('NSE - Other Index Options'!$M:$M,'NSE - Other Index Options'!$C:$C,$A120,'NSE - Other Index Options'!$B:$B,E$4,'NSE - Other Index Options'!$I:$I,"MDAW*")=0,"",SUMIFS('NSE - NIFTY Index Options'!$M:$M,'NSE - NIFTY Index Options'!$C:$C,$A120,'NSE - NIFTY Index Options'!$B:$B,E$4,'NSE - NIFTY Index Options'!$I:$I,"Weekly*")+SUMIFS('NSE - NIFTY Index Options'!$M:$M,'NSE - NIFTY Index Options'!$C:$C,$A120,'NSE - NIFTY Index Options'!$B:$B,E$4,'NSE - NIFTY Index Options'!$I:$I,"MDAW*")+SUMIFS('NSE - Other Index Options'!$M:$M,'NSE - Other Index Options'!$C:$C,$A120,'NSE - Other Index Options'!$B:$B,E$4,'NSE - Other Index Options'!$I:$I,"Weekly*")+SUMIFS('NSE - Other Index Options'!$M:$M,'NSE - Other Index Options'!$C:$C,$A120,'NSE - Other Index Options'!$B:$B,E$4,'NSE - Other Index Options'!$I:$I,"MDAW*"))</f>
        <v/>
      </c>
      <c r="F120" s="26">
        <f>IF(SUMIFS('NSE - NIFTY Index Options'!$M:$M,'NSE - NIFTY Index Options'!$C:$C,$A120,'NSE - NIFTY Index Options'!$B:$B,F$4,'NSE - NIFTY Index Options'!$I:$I,"Weekly*")+SUMIFS('NSE - NIFTY Index Options'!$M:$M,'NSE - NIFTY Index Options'!$C:$C,$A120,'NSE - NIFTY Index Options'!$B:$B,F$4,'NSE - NIFTY Index Options'!$I:$I,"MDAW*")+SUMIFS('NSE - Other Index Options'!$M:$M,'NSE - Other Index Options'!$C:$C,$A120,'NSE - Other Index Options'!$B:$B,F$4,'NSE - Other Index Options'!$I:$I,"Weekly*")+SUMIFS('NSE - Other Index Options'!$M:$M,'NSE - Other Index Options'!$C:$C,$A120,'NSE - Other Index Options'!$B:$B,F$4,'NSE - Other Index Options'!$I:$I,"MDAW*")=0,"",SUMIFS('NSE - NIFTY Index Options'!$M:$M,'NSE - NIFTY Index Options'!$C:$C,$A120,'NSE - NIFTY Index Options'!$B:$B,F$4,'NSE - NIFTY Index Options'!$I:$I,"Weekly*")+SUMIFS('NSE - NIFTY Index Options'!$M:$M,'NSE - NIFTY Index Options'!$C:$C,$A120,'NSE - NIFTY Index Options'!$B:$B,F$4,'NSE - NIFTY Index Options'!$I:$I,"MDAW*")+SUMIFS('NSE - Other Index Options'!$M:$M,'NSE - Other Index Options'!$C:$C,$A120,'NSE - Other Index Options'!$B:$B,F$4,'NSE - Other Index Options'!$I:$I,"Weekly*")+SUMIFS('NSE - Other Index Options'!$M:$M,'NSE - Other Index Options'!$C:$C,$A120,'NSE - Other Index Options'!$B:$B,F$4,'NSE - Other Index Options'!$I:$I,"MDAW*"))</f>
        <v/>
      </c>
      <c r="G120" s="26">
        <f>IF(SUMIFS('NSE - NIFTY Index Options'!$M:$M,'NSE - NIFTY Index Options'!$C:$C,$A120,'NSE - NIFTY Index Options'!$B:$B,G$4,'NSE - NIFTY Index Options'!$I:$I,"Weekly*")+SUMIFS('NSE - NIFTY Index Options'!$M:$M,'NSE - NIFTY Index Options'!$C:$C,$A120,'NSE - NIFTY Index Options'!$B:$B,G$4,'NSE - NIFTY Index Options'!$I:$I,"MDAW*")+SUMIFS('NSE - Other Index Options'!$M:$M,'NSE - Other Index Options'!$C:$C,$A120,'NSE - Other Index Options'!$B:$B,G$4,'NSE - Other Index Options'!$I:$I,"Weekly*")+SUMIFS('NSE - Other Index Options'!$M:$M,'NSE - Other Index Options'!$C:$C,$A120,'NSE - Other Index Options'!$B:$B,G$4,'NSE - Other Index Options'!$I:$I,"MDAW*")=0,"",SUMIFS('NSE - NIFTY Index Options'!$M:$M,'NSE - NIFTY Index Options'!$C:$C,$A120,'NSE - NIFTY Index Options'!$B:$B,G$4,'NSE - NIFTY Index Options'!$I:$I,"Weekly*")+SUMIFS('NSE - NIFTY Index Options'!$M:$M,'NSE - NIFTY Index Options'!$C:$C,$A120,'NSE - NIFTY Index Options'!$B:$B,G$4,'NSE - NIFTY Index Options'!$I:$I,"MDAW*")+SUMIFS('NSE - Other Index Options'!$M:$M,'NSE - Other Index Options'!$C:$C,$A120,'NSE - Other Index Options'!$B:$B,G$4,'NSE - Other Index Options'!$I:$I,"Weekly*")+SUMIFS('NSE - Other Index Options'!$M:$M,'NSE - Other Index Options'!$C:$C,$A120,'NSE - Other Index Options'!$B:$B,G$4,'NSE - Other Index Options'!$I:$I,"MDAW*"))</f>
        <v/>
      </c>
      <c r="H120" s="26">
        <f>IF(SUM(B120:G120)=0,"",SUM(B120:G120))</f>
        <v/>
      </c>
    </row>
    <row r="121" hidden="1" outlineLevel="1">
      <c r="A121" t="inlineStr">
        <is>
          <t>Week4-Aug-2027</t>
        </is>
      </c>
      <c r="B121" s="26">
        <f>IF(SUMIFS('NSE - NIFTY Index Options'!$M:$M,'NSE - NIFTY Index Options'!$C:$C,$A121,'NSE - NIFTY Index Options'!$B:$B,B$4,'NSE - NIFTY Index Options'!$I:$I,"Weekly*")+SUMIFS('NSE - NIFTY Index Options'!$M:$M,'NSE - NIFTY Index Options'!$C:$C,$A121,'NSE - NIFTY Index Options'!$B:$B,B$4,'NSE - NIFTY Index Options'!$I:$I,"MDAW*")+SUMIFS('NSE - Other Index Options'!$M:$M,'NSE - Other Index Options'!$C:$C,$A121,'NSE - Other Index Options'!$B:$B,B$4,'NSE - Other Index Options'!$I:$I,"Weekly*")+SUMIFS('NSE - Other Index Options'!$M:$M,'NSE - Other Index Options'!$C:$C,$A121,'NSE - Other Index Options'!$B:$B,B$4,'NSE - Other Index Options'!$I:$I,"MDAW*")=0,"",SUMIFS('NSE - NIFTY Index Options'!$M:$M,'NSE - NIFTY Index Options'!$C:$C,$A121,'NSE - NIFTY Index Options'!$B:$B,B$4,'NSE - NIFTY Index Options'!$I:$I,"Weekly*")+SUMIFS('NSE - NIFTY Index Options'!$M:$M,'NSE - NIFTY Index Options'!$C:$C,$A121,'NSE - NIFTY Index Options'!$B:$B,B$4,'NSE - NIFTY Index Options'!$I:$I,"MDAW*")+SUMIFS('NSE - Other Index Options'!$M:$M,'NSE - Other Index Options'!$C:$C,$A121,'NSE - Other Index Options'!$B:$B,B$4,'NSE - Other Index Options'!$I:$I,"Weekly*")+SUMIFS('NSE - Other Index Options'!$M:$M,'NSE - Other Index Options'!$C:$C,$A121,'NSE - Other Index Options'!$B:$B,B$4,'NSE - Other Index Options'!$I:$I,"MDAW*"))</f>
        <v/>
      </c>
      <c r="C121" s="26">
        <f>IF(SUMIFS('NSE - NIFTY Index Options'!$M:$M,'NSE - NIFTY Index Options'!$C:$C,$A121,'NSE - NIFTY Index Options'!$B:$B,C$4,'NSE - NIFTY Index Options'!$I:$I,"Weekly*")+SUMIFS('NSE - NIFTY Index Options'!$M:$M,'NSE - NIFTY Index Options'!$C:$C,$A121,'NSE - NIFTY Index Options'!$B:$B,C$4,'NSE - NIFTY Index Options'!$I:$I,"MDAW*")+SUMIFS('NSE - Other Index Options'!$M:$M,'NSE - Other Index Options'!$C:$C,$A121,'NSE - Other Index Options'!$B:$B,C$4,'NSE - Other Index Options'!$I:$I,"Weekly*")+SUMIFS('NSE - Other Index Options'!$M:$M,'NSE - Other Index Options'!$C:$C,$A121,'NSE - Other Index Options'!$B:$B,C$4,'NSE - Other Index Options'!$I:$I,"MDAW*")=0,"",SUMIFS('NSE - NIFTY Index Options'!$M:$M,'NSE - NIFTY Index Options'!$C:$C,$A121,'NSE - NIFTY Index Options'!$B:$B,C$4,'NSE - NIFTY Index Options'!$I:$I,"Weekly*")+SUMIFS('NSE - NIFTY Index Options'!$M:$M,'NSE - NIFTY Index Options'!$C:$C,$A121,'NSE - NIFTY Index Options'!$B:$B,C$4,'NSE - NIFTY Index Options'!$I:$I,"MDAW*")+SUMIFS('NSE - Other Index Options'!$M:$M,'NSE - Other Index Options'!$C:$C,$A121,'NSE - Other Index Options'!$B:$B,C$4,'NSE - Other Index Options'!$I:$I,"Weekly*")+SUMIFS('NSE - Other Index Options'!$M:$M,'NSE - Other Index Options'!$C:$C,$A121,'NSE - Other Index Options'!$B:$B,C$4,'NSE - Other Index Options'!$I:$I,"MDAW*"))</f>
        <v/>
      </c>
      <c r="D121" s="26">
        <f>IF(SUMIFS('NSE - NIFTY Index Options'!$M:$M,'NSE - NIFTY Index Options'!$C:$C,$A121,'NSE - NIFTY Index Options'!$B:$B,D$4,'NSE - NIFTY Index Options'!$I:$I,"Weekly*")+SUMIFS('NSE - NIFTY Index Options'!$M:$M,'NSE - NIFTY Index Options'!$C:$C,$A121,'NSE - NIFTY Index Options'!$B:$B,D$4,'NSE - NIFTY Index Options'!$I:$I,"MDAW*")+SUMIFS('NSE - Other Index Options'!$M:$M,'NSE - Other Index Options'!$C:$C,$A121,'NSE - Other Index Options'!$B:$B,D$4,'NSE - Other Index Options'!$I:$I,"Weekly*")+SUMIFS('NSE - Other Index Options'!$M:$M,'NSE - Other Index Options'!$C:$C,$A121,'NSE - Other Index Options'!$B:$B,D$4,'NSE - Other Index Options'!$I:$I,"MDAW*")=0,"",SUMIFS('NSE - NIFTY Index Options'!$M:$M,'NSE - NIFTY Index Options'!$C:$C,$A121,'NSE - NIFTY Index Options'!$B:$B,D$4,'NSE - NIFTY Index Options'!$I:$I,"Weekly*")+SUMIFS('NSE - NIFTY Index Options'!$M:$M,'NSE - NIFTY Index Options'!$C:$C,$A121,'NSE - NIFTY Index Options'!$B:$B,D$4,'NSE - NIFTY Index Options'!$I:$I,"MDAW*")+SUMIFS('NSE - Other Index Options'!$M:$M,'NSE - Other Index Options'!$C:$C,$A121,'NSE - Other Index Options'!$B:$B,D$4,'NSE - Other Index Options'!$I:$I,"Weekly*")+SUMIFS('NSE - Other Index Options'!$M:$M,'NSE - Other Index Options'!$C:$C,$A121,'NSE - Other Index Options'!$B:$B,D$4,'NSE - Other Index Options'!$I:$I,"MDAW*"))</f>
        <v/>
      </c>
      <c r="E121" s="26">
        <f>IF(SUMIFS('NSE - NIFTY Index Options'!$M:$M,'NSE - NIFTY Index Options'!$C:$C,$A121,'NSE - NIFTY Index Options'!$B:$B,E$4,'NSE - NIFTY Index Options'!$I:$I,"Weekly*")+SUMIFS('NSE - NIFTY Index Options'!$M:$M,'NSE - NIFTY Index Options'!$C:$C,$A121,'NSE - NIFTY Index Options'!$B:$B,E$4,'NSE - NIFTY Index Options'!$I:$I,"MDAW*")+SUMIFS('NSE - Other Index Options'!$M:$M,'NSE - Other Index Options'!$C:$C,$A121,'NSE - Other Index Options'!$B:$B,E$4,'NSE - Other Index Options'!$I:$I,"Weekly*")+SUMIFS('NSE - Other Index Options'!$M:$M,'NSE - Other Index Options'!$C:$C,$A121,'NSE - Other Index Options'!$B:$B,E$4,'NSE - Other Index Options'!$I:$I,"MDAW*")=0,"",SUMIFS('NSE - NIFTY Index Options'!$M:$M,'NSE - NIFTY Index Options'!$C:$C,$A121,'NSE - NIFTY Index Options'!$B:$B,E$4,'NSE - NIFTY Index Options'!$I:$I,"Weekly*")+SUMIFS('NSE - NIFTY Index Options'!$M:$M,'NSE - NIFTY Index Options'!$C:$C,$A121,'NSE - NIFTY Index Options'!$B:$B,E$4,'NSE - NIFTY Index Options'!$I:$I,"MDAW*")+SUMIFS('NSE - Other Index Options'!$M:$M,'NSE - Other Index Options'!$C:$C,$A121,'NSE - Other Index Options'!$B:$B,E$4,'NSE - Other Index Options'!$I:$I,"Weekly*")+SUMIFS('NSE - Other Index Options'!$M:$M,'NSE - Other Index Options'!$C:$C,$A121,'NSE - Other Index Options'!$B:$B,E$4,'NSE - Other Index Options'!$I:$I,"MDAW*"))</f>
        <v/>
      </c>
      <c r="F121" s="26">
        <f>IF(SUMIFS('NSE - NIFTY Index Options'!$M:$M,'NSE - NIFTY Index Options'!$C:$C,$A121,'NSE - NIFTY Index Options'!$B:$B,F$4,'NSE - NIFTY Index Options'!$I:$I,"Weekly*")+SUMIFS('NSE - NIFTY Index Options'!$M:$M,'NSE - NIFTY Index Options'!$C:$C,$A121,'NSE - NIFTY Index Options'!$B:$B,F$4,'NSE - NIFTY Index Options'!$I:$I,"MDAW*")+SUMIFS('NSE - Other Index Options'!$M:$M,'NSE - Other Index Options'!$C:$C,$A121,'NSE - Other Index Options'!$B:$B,F$4,'NSE - Other Index Options'!$I:$I,"Weekly*")+SUMIFS('NSE - Other Index Options'!$M:$M,'NSE - Other Index Options'!$C:$C,$A121,'NSE - Other Index Options'!$B:$B,F$4,'NSE - Other Index Options'!$I:$I,"MDAW*")=0,"",SUMIFS('NSE - NIFTY Index Options'!$M:$M,'NSE - NIFTY Index Options'!$C:$C,$A121,'NSE - NIFTY Index Options'!$B:$B,F$4,'NSE - NIFTY Index Options'!$I:$I,"Weekly*")+SUMIFS('NSE - NIFTY Index Options'!$M:$M,'NSE - NIFTY Index Options'!$C:$C,$A121,'NSE - NIFTY Index Options'!$B:$B,F$4,'NSE - NIFTY Index Options'!$I:$I,"MDAW*")+SUMIFS('NSE - Other Index Options'!$M:$M,'NSE - Other Index Options'!$C:$C,$A121,'NSE - Other Index Options'!$B:$B,F$4,'NSE - Other Index Options'!$I:$I,"Weekly*")+SUMIFS('NSE - Other Index Options'!$M:$M,'NSE - Other Index Options'!$C:$C,$A121,'NSE - Other Index Options'!$B:$B,F$4,'NSE - Other Index Options'!$I:$I,"MDAW*"))</f>
        <v/>
      </c>
      <c r="G121" s="26">
        <f>IF(SUMIFS('NSE - NIFTY Index Options'!$M:$M,'NSE - NIFTY Index Options'!$C:$C,$A121,'NSE - NIFTY Index Options'!$B:$B,G$4,'NSE - NIFTY Index Options'!$I:$I,"Weekly*")+SUMIFS('NSE - NIFTY Index Options'!$M:$M,'NSE - NIFTY Index Options'!$C:$C,$A121,'NSE - NIFTY Index Options'!$B:$B,G$4,'NSE - NIFTY Index Options'!$I:$I,"MDAW*")+SUMIFS('NSE - Other Index Options'!$M:$M,'NSE - Other Index Options'!$C:$C,$A121,'NSE - Other Index Options'!$B:$B,G$4,'NSE - Other Index Options'!$I:$I,"Weekly*")+SUMIFS('NSE - Other Index Options'!$M:$M,'NSE - Other Index Options'!$C:$C,$A121,'NSE - Other Index Options'!$B:$B,G$4,'NSE - Other Index Options'!$I:$I,"MDAW*")=0,"",SUMIFS('NSE - NIFTY Index Options'!$M:$M,'NSE - NIFTY Index Options'!$C:$C,$A121,'NSE - NIFTY Index Options'!$B:$B,G$4,'NSE - NIFTY Index Options'!$I:$I,"Weekly*")+SUMIFS('NSE - NIFTY Index Options'!$M:$M,'NSE - NIFTY Index Options'!$C:$C,$A121,'NSE - NIFTY Index Options'!$B:$B,G$4,'NSE - NIFTY Index Options'!$I:$I,"MDAW*")+SUMIFS('NSE - Other Index Options'!$M:$M,'NSE - Other Index Options'!$C:$C,$A121,'NSE - Other Index Options'!$B:$B,G$4,'NSE - Other Index Options'!$I:$I,"Weekly*")+SUMIFS('NSE - Other Index Options'!$M:$M,'NSE - Other Index Options'!$C:$C,$A121,'NSE - Other Index Options'!$B:$B,G$4,'NSE - Other Index Options'!$I:$I,"MDAW*"))</f>
        <v/>
      </c>
      <c r="H121" s="26">
        <f>IF(SUM(B121:G121)=0,"",SUM(B121:G121))</f>
        <v/>
      </c>
    </row>
    <row r="122" hidden="1" outlineLevel="1">
      <c r="A122" t="inlineStr">
        <is>
          <t>Week5-Aug-2027</t>
        </is>
      </c>
      <c r="B122" s="26">
        <f>IF(SUMIFS('NSE - NIFTY Index Options'!$M:$M,'NSE - NIFTY Index Options'!$C:$C,$A122,'NSE - NIFTY Index Options'!$B:$B,B$4,'NSE - NIFTY Index Options'!$I:$I,"Weekly*")+SUMIFS('NSE - NIFTY Index Options'!$M:$M,'NSE - NIFTY Index Options'!$C:$C,$A122,'NSE - NIFTY Index Options'!$B:$B,B$4,'NSE - NIFTY Index Options'!$I:$I,"MDAW*")+SUMIFS('NSE - Other Index Options'!$M:$M,'NSE - Other Index Options'!$C:$C,$A122,'NSE - Other Index Options'!$B:$B,B$4,'NSE - Other Index Options'!$I:$I,"Weekly*")+SUMIFS('NSE - Other Index Options'!$M:$M,'NSE - Other Index Options'!$C:$C,$A122,'NSE - Other Index Options'!$B:$B,B$4,'NSE - Other Index Options'!$I:$I,"MDAW*")=0,"",SUMIFS('NSE - NIFTY Index Options'!$M:$M,'NSE - NIFTY Index Options'!$C:$C,$A122,'NSE - NIFTY Index Options'!$B:$B,B$4,'NSE - NIFTY Index Options'!$I:$I,"Weekly*")+SUMIFS('NSE - NIFTY Index Options'!$M:$M,'NSE - NIFTY Index Options'!$C:$C,$A122,'NSE - NIFTY Index Options'!$B:$B,B$4,'NSE - NIFTY Index Options'!$I:$I,"MDAW*")+SUMIFS('NSE - Other Index Options'!$M:$M,'NSE - Other Index Options'!$C:$C,$A122,'NSE - Other Index Options'!$B:$B,B$4,'NSE - Other Index Options'!$I:$I,"Weekly*")+SUMIFS('NSE - Other Index Options'!$M:$M,'NSE - Other Index Options'!$C:$C,$A122,'NSE - Other Index Options'!$B:$B,B$4,'NSE - Other Index Options'!$I:$I,"MDAW*"))</f>
        <v/>
      </c>
      <c r="C122" s="26">
        <f>IF(SUMIFS('NSE - NIFTY Index Options'!$M:$M,'NSE - NIFTY Index Options'!$C:$C,$A122,'NSE - NIFTY Index Options'!$B:$B,C$4,'NSE - NIFTY Index Options'!$I:$I,"Weekly*")+SUMIFS('NSE - NIFTY Index Options'!$M:$M,'NSE - NIFTY Index Options'!$C:$C,$A122,'NSE - NIFTY Index Options'!$B:$B,C$4,'NSE - NIFTY Index Options'!$I:$I,"MDAW*")+SUMIFS('NSE - Other Index Options'!$M:$M,'NSE - Other Index Options'!$C:$C,$A122,'NSE - Other Index Options'!$B:$B,C$4,'NSE - Other Index Options'!$I:$I,"Weekly*")+SUMIFS('NSE - Other Index Options'!$M:$M,'NSE - Other Index Options'!$C:$C,$A122,'NSE - Other Index Options'!$B:$B,C$4,'NSE - Other Index Options'!$I:$I,"MDAW*")=0,"",SUMIFS('NSE - NIFTY Index Options'!$M:$M,'NSE - NIFTY Index Options'!$C:$C,$A122,'NSE - NIFTY Index Options'!$B:$B,C$4,'NSE - NIFTY Index Options'!$I:$I,"Weekly*")+SUMIFS('NSE - NIFTY Index Options'!$M:$M,'NSE - NIFTY Index Options'!$C:$C,$A122,'NSE - NIFTY Index Options'!$B:$B,C$4,'NSE - NIFTY Index Options'!$I:$I,"MDAW*")+SUMIFS('NSE - Other Index Options'!$M:$M,'NSE - Other Index Options'!$C:$C,$A122,'NSE - Other Index Options'!$B:$B,C$4,'NSE - Other Index Options'!$I:$I,"Weekly*")+SUMIFS('NSE - Other Index Options'!$M:$M,'NSE - Other Index Options'!$C:$C,$A122,'NSE - Other Index Options'!$B:$B,C$4,'NSE - Other Index Options'!$I:$I,"MDAW*"))</f>
        <v/>
      </c>
      <c r="D122" s="26">
        <f>IF(SUMIFS('NSE - NIFTY Index Options'!$M:$M,'NSE - NIFTY Index Options'!$C:$C,$A122,'NSE - NIFTY Index Options'!$B:$B,D$4,'NSE - NIFTY Index Options'!$I:$I,"Weekly*")+SUMIFS('NSE - NIFTY Index Options'!$M:$M,'NSE - NIFTY Index Options'!$C:$C,$A122,'NSE - NIFTY Index Options'!$B:$B,D$4,'NSE - NIFTY Index Options'!$I:$I,"MDAW*")+SUMIFS('NSE - Other Index Options'!$M:$M,'NSE - Other Index Options'!$C:$C,$A122,'NSE - Other Index Options'!$B:$B,D$4,'NSE - Other Index Options'!$I:$I,"Weekly*")+SUMIFS('NSE - Other Index Options'!$M:$M,'NSE - Other Index Options'!$C:$C,$A122,'NSE - Other Index Options'!$B:$B,D$4,'NSE - Other Index Options'!$I:$I,"MDAW*")=0,"",SUMIFS('NSE - NIFTY Index Options'!$M:$M,'NSE - NIFTY Index Options'!$C:$C,$A122,'NSE - NIFTY Index Options'!$B:$B,D$4,'NSE - NIFTY Index Options'!$I:$I,"Weekly*")+SUMIFS('NSE - NIFTY Index Options'!$M:$M,'NSE - NIFTY Index Options'!$C:$C,$A122,'NSE - NIFTY Index Options'!$B:$B,D$4,'NSE - NIFTY Index Options'!$I:$I,"MDAW*")+SUMIFS('NSE - Other Index Options'!$M:$M,'NSE - Other Index Options'!$C:$C,$A122,'NSE - Other Index Options'!$B:$B,D$4,'NSE - Other Index Options'!$I:$I,"Weekly*")+SUMIFS('NSE - Other Index Options'!$M:$M,'NSE - Other Index Options'!$C:$C,$A122,'NSE - Other Index Options'!$B:$B,D$4,'NSE - Other Index Options'!$I:$I,"MDAW*"))</f>
        <v/>
      </c>
      <c r="E122" s="26">
        <f>IF(SUMIFS('NSE - NIFTY Index Options'!$M:$M,'NSE - NIFTY Index Options'!$C:$C,$A122,'NSE - NIFTY Index Options'!$B:$B,E$4,'NSE - NIFTY Index Options'!$I:$I,"Weekly*")+SUMIFS('NSE - NIFTY Index Options'!$M:$M,'NSE - NIFTY Index Options'!$C:$C,$A122,'NSE - NIFTY Index Options'!$B:$B,E$4,'NSE - NIFTY Index Options'!$I:$I,"MDAW*")+SUMIFS('NSE - Other Index Options'!$M:$M,'NSE - Other Index Options'!$C:$C,$A122,'NSE - Other Index Options'!$B:$B,E$4,'NSE - Other Index Options'!$I:$I,"Weekly*")+SUMIFS('NSE - Other Index Options'!$M:$M,'NSE - Other Index Options'!$C:$C,$A122,'NSE - Other Index Options'!$B:$B,E$4,'NSE - Other Index Options'!$I:$I,"MDAW*")=0,"",SUMIFS('NSE - NIFTY Index Options'!$M:$M,'NSE - NIFTY Index Options'!$C:$C,$A122,'NSE - NIFTY Index Options'!$B:$B,E$4,'NSE - NIFTY Index Options'!$I:$I,"Weekly*")+SUMIFS('NSE - NIFTY Index Options'!$M:$M,'NSE - NIFTY Index Options'!$C:$C,$A122,'NSE - NIFTY Index Options'!$B:$B,E$4,'NSE - NIFTY Index Options'!$I:$I,"MDAW*")+SUMIFS('NSE - Other Index Options'!$M:$M,'NSE - Other Index Options'!$C:$C,$A122,'NSE - Other Index Options'!$B:$B,E$4,'NSE - Other Index Options'!$I:$I,"Weekly*")+SUMIFS('NSE - Other Index Options'!$M:$M,'NSE - Other Index Options'!$C:$C,$A122,'NSE - Other Index Options'!$B:$B,E$4,'NSE - Other Index Options'!$I:$I,"MDAW*"))</f>
        <v/>
      </c>
      <c r="F122" s="26">
        <f>IF(SUMIFS('NSE - NIFTY Index Options'!$M:$M,'NSE - NIFTY Index Options'!$C:$C,$A122,'NSE - NIFTY Index Options'!$B:$B,F$4,'NSE - NIFTY Index Options'!$I:$I,"Weekly*")+SUMIFS('NSE - NIFTY Index Options'!$M:$M,'NSE - NIFTY Index Options'!$C:$C,$A122,'NSE - NIFTY Index Options'!$B:$B,F$4,'NSE - NIFTY Index Options'!$I:$I,"MDAW*")+SUMIFS('NSE - Other Index Options'!$M:$M,'NSE - Other Index Options'!$C:$C,$A122,'NSE - Other Index Options'!$B:$B,F$4,'NSE - Other Index Options'!$I:$I,"Weekly*")+SUMIFS('NSE - Other Index Options'!$M:$M,'NSE - Other Index Options'!$C:$C,$A122,'NSE - Other Index Options'!$B:$B,F$4,'NSE - Other Index Options'!$I:$I,"MDAW*")=0,"",SUMIFS('NSE - NIFTY Index Options'!$M:$M,'NSE - NIFTY Index Options'!$C:$C,$A122,'NSE - NIFTY Index Options'!$B:$B,F$4,'NSE - NIFTY Index Options'!$I:$I,"Weekly*")+SUMIFS('NSE - NIFTY Index Options'!$M:$M,'NSE - NIFTY Index Options'!$C:$C,$A122,'NSE - NIFTY Index Options'!$B:$B,F$4,'NSE - NIFTY Index Options'!$I:$I,"MDAW*")+SUMIFS('NSE - Other Index Options'!$M:$M,'NSE - Other Index Options'!$C:$C,$A122,'NSE - Other Index Options'!$B:$B,F$4,'NSE - Other Index Options'!$I:$I,"Weekly*")+SUMIFS('NSE - Other Index Options'!$M:$M,'NSE - Other Index Options'!$C:$C,$A122,'NSE - Other Index Options'!$B:$B,F$4,'NSE - Other Index Options'!$I:$I,"MDAW*"))</f>
        <v/>
      </c>
      <c r="G122" s="26">
        <f>IF(SUMIFS('NSE - NIFTY Index Options'!$M:$M,'NSE - NIFTY Index Options'!$C:$C,$A122,'NSE - NIFTY Index Options'!$B:$B,G$4,'NSE - NIFTY Index Options'!$I:$I,"Weekly*")+SUMIFS('NSE - NIFTY Index Options'!$M:$M,'NSE - NIFTY Index Options'!$C:$C,$A122,'NSE - NIFTY Index Options'!$B:$B,G$4,'NSE - NIFTY Index Options'!$I:$I,"MDAW*")+SUMIFS('NSE - Other Index Options'!$M:$M,'NSE - Other Index Options'!$C:$C,$A122,'NSE - Other Index Options'!$B:$B,G$4,'NSE - Other Index Options'!$I:$I,"Weekly*")+SUMIFS('NSE - Other Index Options'!$M:$M,'NSE - Other Index Options'!$C:$C,$A122,'NSE - Other Index Options'!$B:$B,G$4,'NSE - Other Index Options'!$I:$I,"MDAW*")=0,"",SUMIFS('NSE - NIFTY Index Options'!$M:$M,'NSE - NIFTY Index Options'!$C:$C,$A122,'NSE - NIFTY Index Options'!$B:$B,G$4,'NSE - NIFTY Index Options'!$I:$I,"Weekly*")+SUMIFS('NSE - NIFTY Index Options'!$M:$M,'NSE - NIFTY Index Options'!$C:$C,$A122,'NSE - NIFTY Index Options'!$B:$B,G$4,'NSE - NIFTY Index Options'!$I:$I,"MDAW*")+SUMIFS('NSE - Other Index Options'!$M:$M,'NSE - Other Index Options'!$C:$C,$A122,'NSE - Other Index Options'!$B:$B,G$4,'NSE - Other Index Options'!$I:$I,"Weekly*")+SUMIFS('NSE - Other Index Options'!$M:$M,'NSE - Other Index Options'!$C:$C,$A122,'NSE - Other Index Options'!$B:$B,G$4,'NSE - Other Index Options'!$I:$I,"MDAW*"))</f>
        <v/>
      </c>
      <c r="H122" s="26">
        <f>IF(SUM(B122:G122)=0,"",SUM(B122:G122))</f>
        <v/>
      </c>
    </row>
    <row r="123" hidden="1" outlineLevel="1">
      <c r="A123" t="inlineStr">
        <is>
          <t>Week1-Sep-2027</t>
        </is>
      </c>
      <c r="B123" s="26">
        <f>IF(SUMIFS('NSE - NIFTY Index Options'!$M:$M,'NSE - NIFTY Index Options'!$C:$C,$A123,'NSE - NIFTY Index Options'!$B:$B,B$4,'NSE - NIFTY Index Options'!$I:$I,"Weekly*")+SUMIFS('NSE - NIFTY Index Options'!$M:$M,'NSE - NIFTY Index Options'!$C:$C,$A123,'NSE - NIFTY Index Options'!$B:$B,B$4,'NSE - NIFTY Index Options'!$I:$I,"MDAW*")+SUMIFS('NSE - Other Index Options'!$M:$M,'NSE - Other Index Options'!$C:$C,$A123,'NSE - Other Index Options'!$B:$B,B$4,'NSE - Other Index Options'!$I:$I,"Weekly*")+SUMIFS('NSE - Other Index Options'!$M:$M,'NSE - Other Index Options'!$C:$C,$A123,'NSE - Other Index Options'!$B:$B,B$4,'NSE - Other Index Options'!$I:$I,"MDAW*")=0,"",SUMIFS('NSE - NIFTY Index Options'!$M:$M,'NSE - NIFTY Index Options'!$C:$C,$A123,'NSE - NIFTY Index Options'!$B:$B,B$4,'NSE - NIFTY Index Options'!$I:$I,"Weekly*")+SUMIFS('NSE - NIFTY Index Options'!$M:$M,'NSE - NIFTY Index Options'!$C:$C,$A123,'NSE - NIFTY Index Options'!$B:$B,B$4,'NSE - NIFTY Index Options'!$I:$I,"MDAW*")+SUMIFS('NSE - Other Index Options'!$M:$M,'NSE - Other Index Options'!$C:$C,$A123,'NSE - Other Index Options'!$B:$B,B$4,'NSE - Other Index Options'!$I:$I,"Weekly*")+SUMIFS('NSE - Other Index Options'!$M:$M,'NSE - Other Index Options'!$C:$C,$A123,'NSE - Other Index Options'!$B:$B,B$4,'NSE - Other Index Options'!$I:$I,"MDAW*"))</f>
        <v/>
      </c>
      <c r="C123" s="26">
        <f>IF(SUMIFS('NSE - NIFTY Index Options'!$M:$M,'NSE - NIFTY Index Options'!$C:$C,$A123,'NSE - NIFTY Index Options'!$B:$B,C$4,'NSE - NIFTY Index Options'!$I:$I,"Weekly*")+SUMIFS('NSE - NIFTY Index Options'!$M:$M,'NSE - NIFTY Index Options'!$C:$C,$A123,'NSE - NIFTY Index Options'!$B:$B,C$4,'NSE - NIFTY Index Options'!$I:$I,"MDAW*")+SUMIFS('NSE - Other Index Options'!$M:$M,'NSE - Other Index Options'!$C:$C,$A123,'NSE - Other Index Options'!$B:$B,C$4,'NSE - Other Index Options'!$I:$I,"Weekly*")+SUMIFS('NSE - Other Index Options'!$M:$M,'NSE - Other Index Options'!$C:$C,$A123,'NSE - Other Index Options'!$B:$B,C$4,'NSE - Other Index Options'!$I:$I,"MDAW*")=0,"",SUMIFS('NSE - NIFTY Index Options'!$M:$M,'NSE - NIFTY Index Options'!$C:$C,$A123,'NSE - NIFTY Index Options'!$B:$B,C$4,'NSE - NIFTY Index Options'!$I:$I,"Weekly*")+SUMIFS('NSE - NIFTY Index Options'!$M:$M,'NSE - NIFTY Index Options'!$C:$C,$A123,'NSE - NIFTY Index Options'!$B:$B,C$4,'NSE - NIFTY Index Options'!$I:$I,"MDAW*")+SUMIFS('NSE - Other Index Options'!$M:$M,'NSE - Other Index Options'!$C:$C,$A123,'NSE - Other Index Options'!$B:$B,C$4,'NSE - Other Index Options'!$I:$I,"Weekly*")+SUMIFS('NSE - Other Index Options'!$M:$M,'NSE - Other Index Options'!$C:$C,$A123,'NSE - Other Index Options'!$B:$B,C$4,'NSE - Other Index Options'!$I:$I,"MDAW*"))</f>
        <v/>
      </c>
      <c r="D123" s="26">
        <f>IF(SUMIFS('NSE - NIFTY Index Options'!$M:$M,'NSE - NIFTY Index Options'!$C:$C,$A123,'NSE - NIFTY Index Options'!$B:$B,D$4,'NSE - NIFTY Index Options'!$I:$I,"Weekly*")+SUMIFS('NSE - NIFTY Index Options'!$M:$M,'NSE - NIFTY Index Options'!$C:$C,$A123,'NSE - NIFTY Index Options'!$B:$B,D$4,'NSE - NIFTY Index Options'!$I:$I,"MDAW*")+SUMIFS('NSE - Other Index Options'!$M:$M,'NSE - Other Index Options'!$C:$C,$A123,'NSE - Other Index Options'!$B:$B,D$4,'NSE - Other Index Options'!$I:$I,"Weekly*")+SUMIFS('NSE - Other Index Options'!$M:$M,'NSE - Other Index Options'!$C:$C,$A123,'NSE - Other Index Options'!$B:$B,D$4,'NSE - Other Index Options'!$I:$I,"MDAW*")=0,"",SUMIFS('NSE - NIFTY Index Options'!$M:$M,'NSE - NIFTY Index Options'!$C:$C,$A123,'NSE - NIFTY Index Options'!$B:$B,D$4,'NSE - NIFTY Index Options'!$I:$I,"Weekly*")+SUMIFS('NSE - NIFTY Index Options'!$M:$M,'NSE - NIFTY Index Options'!$C:$C,$A123,'NSE - NIFTY Index Options'!$B:$B,D$4,'NSE - NIFTY Index Options'!$I:$I,"MDAW*")+SUMIFS('NSE - Other Index Options'!$M:$M,'NSE - Other Index Options'!$C:$C,$A123,'NSE - Other Index Options'!$B:$B,D$4,'NSE - Other Index Options'!$I:$I,"Weekly*")+SUMIFS('NSE - Other Index Options'!$M:$M,'NSE - Other Index Options'!$C:$C,$A123,'NSE - Other Index Options'!$B:$B,D$4,'NSE - Other Index Options'!$I:$I,"MDAW*"))</f>
        <v/>
      </c>
      <c r="E123" s="26">
        <f>IF(SUMIFS('NSE - NIFTY Index Options'!$M:$M,'NSE - NIFTY Index Options'!$C:$C,$A123,'NSE - NIFTY Index Options'!$B:$B,E$4,'NSE - NIFTY Index Options'!$I:$I,"Weekly*")+SUMIFS('NSE - NIFTY Index Options'!$M:$M,'NSE - NIFTY Index Options'!$C:$C,$A123,'NSE - NIFTY Index Options'!$B:$B,E$4,'NSE - NIFTY Index Options'!$I:$I,"MDAW*")+SUMIFS('NSE - Other Index Options'!$M:$M,'NSE - Other Index Options'!$C:$C,$A123,'NSE - Other Index Options'!$B:$B,E$4,'NSE - Other Index Options'!$I:$I,"Weekly*")+SUMIFS('NSE - Other Index Options'!$M:$M,'NSE - Other Index Options'!$C:$C,$A123,'NSE - Other Index Options'!$B:$B,E$4,'NSE - Other Index Options'!$I:$I,"MDAW*")=0,"",SUMIFS('NSE - NIFTY Index Options'!$M:$M,'NSE - NIFTY Index Options'!$C:$C,$A123,'NSE - NIFTY Index Options'!$B:$B,E$4,'NSE - NIFTY Index Options'!$I:$I,"Weekly*")+SUMIFS('NSE - NIFTY Index Options'!$M:$M,'NSE - NIFTY Index Options'!$C:$C,$A123,'NSE - NIFTY Index Options'!$B:$B,E$4,'NSE - NIFTY Index Options'!$I:$I,"MDAW*")+SUMIFS('NSE - Other Index Options'!$M:$M,'NSE - Other Index Options'!$C:$C,$A123,'NSE - Other Index Options'!$B:$B,E$4,'NSE - Other Index Options'!$I:$I,"Weekly*")+SUMIFS('NSE - Other Index Options'!$M:$M,'NSE - Other Index Options'!$C:$C,$A123,'NSE - Other Index Options'!$B:$B,E$4,'NSE - Other Index Options'!$I:$I,"MDAW*"))</f>
        <v/>
      </c>
      <c r="F123" s="26">
        <f>IF(SUMIFS('NSE - NIFTY Index Options'!$M:$M,'NSE - NIFTY Index Options'!$C:$C,$A123,'NSE - NIFTY Index Options'!$B:$B,F$4,'NSE - NIFTY Index Options'!$I:$I,"Weekly*")+SUMIFS('NSE - NIFTY Index Options'!$M:$M,'NSE - NIFTY Index Options'!$C:$C,$A123,'NSE - NIFTY Index Options'!$B:$B,F$4,'NSE - NIFTY Index Options'!$I:$I,"MDAW*")+SUMIFS('NSE - Other Index Options'!$M:$M,'NSE - Other Index Options'!$C:$C,$A123,'NSE - Other Index Options'!$B:$B,F$4,'NSE - Other Index Options'!$I:$I,"Weekly*")+SUMIFS('NSE - Other Index Options'!$M:$M,'NSE - Other Index Options'!$C:$C,$A123,'NSE - Other Index Options'!$B:$B,F$4,'NSE - Other Index Options'!$I:$I,"MDAW*")=0,"",SUMIFS('NSE - NIFTY Index Options'!$M:$M,'NSE - NIFTY Index Options'!$C:$C,$A123,'NSE - NIFTY Index Options'!$B:$B,F$4,'NSE - NIFTY Index Options'!$I:$I,"Weekly*")+SUMIFS('NSE - NIFTY Index Options'!$M:$M,'NSE - NIFTY Index Options'!$C:$C,$A123,'NSE - NIFTY Index Options'!$B:$B,F$4,'NSE - NIFTY Index Options'!$I:$I,"MDAW*")+SUMIFS('NSE - Other Index Options'!$M:$M,'NSE - Other Index Options'!$C:$C,$A123,'NSE - Other Index Options'!$B:$B,F$4,'NSE - Other Index Options'!$I:$I,"Weekly*")+SUMIFS('NSE - Other Index Options'!$M:$M,'NSE - Other Index Options'!$C:$C,$A123,'NSE - Other Index Options'!$B:$B,F$4,'NSE - Other Index Options'!$I:$I,"MDAW*"))</f>
        <v/>
      </c>
      <c r="G123" s="26">
        <f>IF(SUMIFS('NSE - NIFTY Index Options'!$M:$M,'NSE - NIFTY Index Options'!$C:$C,$A123,'NSE - NIFTY Index Options'!$B:$B,G$4,'NSE - NIFTY Index Options'!$I:$I,"Weekly*")+SUMIFS('NSE - NIFTY Index Options'!$M:$M,'NSE - NIFTY Index Options'!$C:$C,$A123,'NSE - NIFTY Index Options'!$B:$B,G$4,'NSE - NIFTY Index Options'!$I:$I,"MDAW*")+SUMIFS('NSE - Other Index Options'!$M:$M,'NSE - Other Index Options'!$C:$C,$A123,'NSE - Other Index Options'!$B:$B,G$4,'NSE - Other Index Options'!$I:$I,"Weekly*")+SUMIFS('NSE - Other Index Options'!$M:$M,'NSE - Other Index Options'!$C:$C,$A123,'NSE - Other Index Options'!$B:$B,G$4,'NSE - Other Index Options'!$I:$I,"MDAW*")=0,"",SUMIFS('NSE - NIFTY Index Options'!$M:$M,'NSE - NIFTY Index Options'!$C:$C,$A123,'NSE - NIFTY Index Options'!$B:$B,G$4,'NSE - NIFTY Index Options'!$I:$I,"Weekly*")+SUMIFS('NSE - NIFTY Index Options'!$M:$M,'NSE - NIFTY Index Options'!$C:$C,$A123,'NSE - NIFTY Index Options'!$B:$B,G$4,'NSE - NIFTY Index Options'!$I:$I,"MDAW*")+SUMIFS('NSE - Other Index Options'!$M:$M,'NSE - Other Index Options'!$C:$C,$A123,'NSE - Other Index Options'!$B:$B,G$4,'NSE - Other Index Options'!$I:$I,"Weekly*")+SUMIFS('NSE - Other Index Options'!$M:$M,'NSE - Other Index Options'!$C:$C,$A123,'NSE - Other Index Options'!$B:$B,G$4,'NSE - Other Index Options'!$I:$I,"MDAW*"))</f>
        <v/>
      </c>
      <c r="H123" s="26">
        <f>IF(SUM(B123:G123)=0,"",SUM(B123:G123))</f>
        <v/>
      </c>
    </row>
    <row r="124" hidden="1" outlineLevel="1">
      <c r="A124" t="inlineStr">
        <is>
          <t>Week2-Sep-2027</t>
        </is>
      </c>
      <c r="B124" s="26">
        <f>IF(SUMIFS('NSE - NIFTY Index Options'!$M:$M,'NSE - NIFTY Index Options'!$C:$C,$A124,'NSE - NIFTY Index Options'!$B:$B,B$4,'NSE - NIFTY Index Options'!$I:$I,"Weekly*")+SUMIFS('NSE - NIFTY Index Options'!$M:$M,'NSE - NIFTY Index Options'!$C:$C,$A124,'NSE - NIFTY Index Options'!$B:$B,B$4,'NSE - NIFTY Index Options'!$I:$I,"MDAW*")+SUMIFS('NSE - Other Index Options'!$M:$M,'NSE - Other Index Options'!$C:$C,$A124,'NSE - Other Index Options'!$B:$B,B$4,'NSE - Other Index Options'!$I:$I,"Weekly*")+SUMIFS('NSE - Other Index Options'!$M:$M,'NSE - Other Index Options'!$C:$C,$A124,'NSE - Other Index Options'!$B:$B,B$4,'NSE - Other Index Options'!$I:$I,"MDAW*")=0,"",SUMIFS('NSE - NIFTY Index Options'!$M:$M,'NSE - NIFTY Index Options'!$C:$C,$A124,'NSE - NIFTY Index Options'!$B:$B,B$4,'NSE - NIFTY Index Options'!$I:$I,"Weekly*")+SUMIFS('NSE - NIFTY Index Options'!$M:$M,'NSE - NIFTY Index Options'!$C:$C,$A124,'NSE - NIFTY Index Options'!$B:$B,B$4,'NSE - NIFTY Index Options'!$I:$I,"MDAW*")+SUMIFS('NSE - Other Index Options'!$M:$M,'NSE - Other Index Options'!$C:$C,$A124,'NSE - Other Index Options'!$B:$B,B$4,'NSE - Other Index Options'!$I:$I,"Weekly*")+SUMIFS('NSE - Other Index Options'!$M:$M,'NSE - Other Index Options'!$C:$C,$A124,'NSE - Other Index Options'!$B:$B,B$4,'NSE - Other Index Options'!$I:$I,"MDAW*"))</f>
        <v/>
      </c>
      <c r="C124" s="26">
        <f>IF(SUMIFS('NSE - NIFTY Index Options'!$M:$M,'NSE - NIFTY Index Options'!$C:$C,$A124,'NSE - NIFTY Index Options'!$B:$B,C$4,'NSE - NIFTY Index Options'!$I:$I,"Weekly*")+SUMIFS('NSE - NIFTY Index Options'!$M:$M,'NSE - NIFTY Index Options'!$C:$C,$A124,'NSE - NIFTY Index Options'!$B:$B,C$4,'NSE - NIFTY Index Options'!$I:$I,"MDAW*")+SUMIFS('NSE - Other Index Options'!$M:$M,'NSE - Other Index Options'!$C:$C,$A124,'NSE - Other Index Options'!$B:$B,C$4,'NSE - Other Index Options'!$I:$I,"Weekly*")+SUMIFS('NSE - Other Index Options'!$M:$M,'NSE - Other Index Options'!$C:$C,$A124,'NSE - Other Index Options'!$B:$B,C$4,'NSE - Other Index Options'!$I:$I,"MDAW*")=0,"",SUMIFS('NSE - NIFTY Index Options'!$M:$M,'NSE - NIFTY Index Options'!$C:$C,$A124,'NSE - NIFTY Index Options'!$B:$B,C$4,'NSE - NIFTY Index Options'!$I:$I,"Weekly*")+SUMIFS('NSE - NIFTY Index Options'!$M:$M,'NSE - NIFTY Index Options'!$C:$C,$A124,'NSE - NIFTY Index Options'!$B:$B,C$4,'NSE - NIFTY Index Options'!$I:$I,"MDAW*")+SUMIFS('NSE - Other Index Options'!$M:$M,'NSE - Other Index Options'!$C:$C,$A124,'NSE - Other Index Options'!$B:$B,C$4,'NSE - Other Index Options'!$I:$I,"Weekly*")+SUMIFS('NSE - Other Index Options'!$M:$M,'NSE - Other Index Options'!$C:$C,$A124,'NSE - Other Index Options'!$B:$B,C$4,'NSE - Other Index Options'!$I:$I,"MDAW*"))</f>
        <v/>
      </c>
      <c r="D124" s="26">
        <f>IF(SUMIFS('NSE - NIFTY Index Options'!$M:$M,'NSE - NIFTY Index Options'!$C:$C,$A124,'NSE - NIFTY Index Options'!$B:$B,D$4,'NSE - NIFTY Index Options'!$I:$I,"Weekly*")+SUMIFS('NSE - NIFTY Index Options'!$M:$M,'NSE - NIFTY Index Options'!$C:$C,$A124,'NSE - NIFTY Index Options'!$B:$B,D$4,'NSE - NIFTY Index Options'!$I:$I,"MDAW*")+SUMIFS('NSE - Other Index Options'!$M:$M,'NSE - Other Index Options'!$C:$C,$A124,'NSE - Other Index Options'!$B:$B,D$4,'NSE - Other Index Options'!$I:$I,"Weekly*")+SUMIFS('NSE - Other Index Options'!$M:$M,'NSE - Other Index Options'!$C:$C,$A124,'NSE - Other Index Options'!$B:$B,D$4,'NSE - Other Index Options'!$I:$I,"MDAW*")=0,"",SUMIFS('NSE - NIFTY Index Options'!$M:$M,'NSE - NIFTY Index Options'!$C:$C,$A124,'NSE - NIFTY Index Options'!$B:$B,D$4,'NSE - NIFTY Index Options'!$I:$I,"Weekly*")+SUMIFS('NSE - NIFTY Index Options'!$M:$M,'NSE - NIFTY Index Options'!$C:$C,$A124,'NSE - NIFTY Index Options'!$B:$B,D$4,'NSE - NIFTY Index Options'!$I:$I,"MDAW*")+SUMIFS('NSE - Other Index Options'!$M:$M,'NSE - Other Index Options'!$C:$C,$A124,'NSE - Other Index Options'!$B:$B,D$4,'NSE - Other Index Options'!$I:$I,"Weekly*")+SUMIFS('NSE - Other Index Options'!$M:$M,'NSE - Other Index Options'!$C:$C,$A124,'NSE - Other Index Options'!$B:$B,D$4,'NSE - Other Index Options'!$I:$I,"MDAW*"))</f>
        <v/>
      </c>
      <c r="E124" s="26">
        <f>IF(SUMIFS('NSE - NIFTY Index Options'!$M:$M,'NSE - NIFTY Index Options'!$C:$C,$A124,'NSE - NIFTY Index Options'!$B:$B,E$4,'NSE - NIFTY Index Options'!$I:$I,"Weekly*")+SUMIFS('NSE - NIFTY Index Options'!$M:$M,'NSE - NIFTY Index Options'!$C:$C,$A124,'NSE - NIFTY Index Options'!$B:$B,E$4,'NSE - NIFTY Index Options'!$I:$I,"MDAW*")+SUMIFS('NSE - Other Index Options'!$M:$M,'NSE - Other Index Options'!$C:$C,$A124,'NSE - Other Index Options'!$B:$B,E$4,'NSE - Other Index Options'!$I:$I,"Weekly*")+SUMIFS('NSE - Other Index Options'!$M:$M,'NSE - Other Index Options'!$C:$C,$A124,'NSE - Other Index Options'!$B:$B,E$4,'NSE - Other Index Options'!$I:$I,"MDAW*")=0,"",SUMIFS('NSE - NIFTY Index Options'!$M:$M,'NSE - NIFTY Index Options'!$C:$C,$A124,'NSE - NIFTY Index Options'!$B:$B,E$4,'NSE - NIFTY Index Options'!$I:$I,"Weekly*")+SUMIFS('NSE - NIFTY Index Options'!$M:$M,'NSE - NIFTY Index Options'!$C:$C,$A124,'NSE - NIFTY Index Options'!$B:$B,E$4,'NSE - NIFTY Index Options'!$I:$I,"MDAW*")+SUMIFS('NSE - Other Index Options'!$M:$M,'NSE - Other Index Options'!$C:$C,$A124,'NSE - Other Index Options'!$B:$B,E$4,'NSE - Other Index Options'!$I:$I,"Weekly*")+SUMIFS('NSE - Other Index Options'!$M:$M,'NSE - Other Index Options'!$C:$C,$A124,'NSE - Other Index Options'!$B:$B,E$4,'NSE - Other Index Options'!$I:$I,"MDAW*"))</f>
        <v/>
      </c>
      <c r="F124" s="26">
        <f>IF(SUMIFS('NSE - NIFTY Index Options'!$M:$M,'NSE - NIFTY Index Options'!$C:$C,$A124,'NSE - NIFTY Index Options'!$B:$B,F$4,'NSE - NIFTY Index Options'!$I:$I,"Weekly*")+SUMIFS('NSE - NIFTY Index Options'!$M:$M,'NSE - NIFTY Index Options'!$C:$C,$A124,'NSE - NIFTY Index Options'!$B:$B,F$4,'NSE - NIFTY Index Options'!$I:$I,"MDAW*")+SUMIFS('NSE - Other Index Options'!$M:$M,'NSE - Other Index Options'!$C:$C,$A124,'NSE - Other Index Options'!$B:$B,F$4,'NSE - Other Index Options'!$I:$I,"Weekly*")+SUMIFS('NSE - Other Index Options'!$M:$M,'NSE - Other Index Options'!$C:$C,$A124,'NSE - Other Index Options'!$B:$B,F$4,'NSE - Other Index Options'!$I:$I,"MDAW*")=0,"",SUMIFS('NSE - NIFTY Index Options'!$M:$M,'NSE - NIFTY Index Options'!$C:$C,$A124,'NSE - NIFTY Index Options'!$B:$B,F$4,'NSE - NIFTY Index Options'!$I:$I,"Weekly*")+SUMIFS('NSE - NIFTY Index Options'!$M:$M,'NSE - NIFTY Index Options'!$C:$C,$A124,'NSE - NIFTY Index Options'!$B:$B,F$4,'NSE - NIFTY Index Options'!$I:$I,"MDAW*")+SUMIFS('NSE - Other Index Options'!$M:$M,'NSE - Other Index Options'!$C:$C,$A124,'NSE - Other Index Options'!$B:$B,F$4,'NSE - Other Index Options'!$I:$I,"Weekly*")+SUMIFS('NSE - Other Index Options'!$M:$M,'NSE - Other Index Options'!$C:$C,$A124,'NSE - Other Index Options'!$B:$B,F$4,'NSE - Other Index Options'!$I:$I,"MDAW*"))</f>
        <v/>
      </c>
      <c r="G124" s="26">
        <f>IF(SUMIFS('NSE - NIFTY Index Options'!$M:$M,'NSE - NIFTY Index Options'!$C:$C,$A124,'NSE - NIFTY Index Options'!$B:$B,G$4,'NSE - NIFTY Index Options'!$I:$I,"Weekly*")+SUMIFS('NSE - NIFTY Index Options'!$M:$M,'NSE - NIFTY Index Options'!$C:$C,$A124,'NSE - NIFTY Index Options'!$B:$B,G$4,'NSE - NIFTY Index Options'!$I:$I,"MDAW*")+SUMIFS('NSE - Other Index Options'!$M:$M,'NSE - Other Index Options'!$C:$C,$A124,'NSE - Other Index Options'!$B:$B,G$4,'NSE - Other Index Options'!$I:$I,"Weekly*")+SUMIFS('NSE - Other Index Options'!$M:$M,'NSE - Other Index Options'!$C:$C,$A124,'NSE - Other Index Options'!$B:$B,G$4,'NSE - Other Index Options'!$I:$I,"MDAW*")=0,"",SUMIFS('NSE - NIFTY Index Options'!$M:$M,'NSE - NIFTY Index Options'!$C:$C,$A124,'NSE - NIFTY Index Options'!$B:$B,G$4,'NSE - NIFTY Index Options'!$I:$I,"Weekly*")+SUMIFS('NSE - NIFTY Index Options'!$M:$M,'NSE - NIFTY Index Options'!$C:$C,$A124,'NSE - NIFTY Index Options'!$B:$B,G$4,'NSE - NIFTY Index Options'!$I:$I,"MDAW*")+SUMIFS('NSE - Other Index Options'!$M:$M,'NSE - Other Index Options'!$C:$C,$A124,'NSE - Other Index Options'!$B:$B,G$4,'NSE - Other Index Options'!$I:$I,"Weekly*")+SUMIFS('NSE - Other Index Options'!$M:$M,'NSE - Other Index Options'!$C:$C,$A124,'NSE - Other Index Options'!$B:$B,G$4,'NSE - Other Index Options'!$I:$I,"MDAW*"))</f>
        <v/>
      </c>
      <c r="H124" s="26">
        <f>IF(SUM(B124:G124)=0,"",SUM(B124:G124))</f>
        <v/>
      </c>
    </row>
    <row r="125" hidden="1" outlineLevel="1">
      <c r="A125" t="inlineStr">
        <is>
          <t>Week3-Sep-2027</t>
        </is>
      </c>
      <c r="B125" s="26">
        <f>IF(SUMIFS('NSE - NIFTY Index Options'!$M:$M,'NSE - NIFTY Index Options'!$C:$C,$A125,'NSE - NIFTY Index Options'!$B:$B,B$4,'NSE - NIFTY Index Options'!$I:$I,"Weekly*")+SUMIFS('NSE - NIFTY Index Options'!$M:$M,'NSE - NIFTY Index Options'!$C:$C,$A125,'NSE - NIFTY Index Options'!$B:$B,B$4,'NSE - NIFTY Index Options'!$I:$I,"MDAW*")+SUMIFS('NSE - Other Index Options'!$M:$M,'NSE - Other Index Options'!$C:$C,$A125,'NSE - Other Index Options'!$B:$B,B$4,'NSE - Other Index Options'!$I:$I,"Weekly*")+SUMIFS('NSE - Other Index Options'!$M:$M,'NSE - Other Index Options'!$C:$C,$A125,'NSE - Other Index Options'!$B:$B,B$4,'NSE - Other Index Options'!$I:$I,"MDAW*")=0,"",SUMIFS('NSE - NIFTY Index Options'!$M:$M,'NSE - NIFTY Index Options'!$C:$C,$A125,'NSE - NIFTY Index Options'!$B:$B,B$4,'NSE - NIFTY Index Options'!$I:$I,"Weekly*")+SUMIFS('NSE - NIFTY Index Options'!$M:$M,'NSE - NIFTY Index Options'!$C:$C,$A125,'NSE - NIFTY Index Options'!$B:$B,B$4,'NSE - NIFTY Index Options'!$I:$I,"MDAW*")+SUMIFS('NSE - Other Index Options'!$M:$M,'NSE - Other Index Options'!$C:$C,$A125,'NSE - Other Index Options'!$B:$B,B$4,'NSE - Other Index Options'!$I:$I,"Weekly*")+SUMIFS('NSE - Other Index Options'!$M:$M,'NSE - Other Index Options'!$C:$C,$A125,'NSE - Other Index Options'!$B:$B,B$4,'NSE - Other Index Options'!$I:$I,"MDAW*"))</f>
        <v/>
      </c>
      <c r="C125" s="26">
        <f>IF(SUMIFS('NSE - NIFTY Index Options'!$M:$M,'NSE - NIFTY Index Options'!$C:$C,$A125,'NSE - NIFTY Index Options'!$B:$B,C$4,'NSE - NIFTY Index Options'!$I:$I,"Weekly*")+SUMIFS('NSE - NIFTY Index Options'!$M:$M,'NSE - NIFTY Index Options'!$C:$C,$A125,'NSE - NIFTY Index Options'!$B:$B,C$4,'NSE - NIFTY Index Options'!$I:$I,"MDAW*")+SUMIFS('NSE - Other Index Options'!$M:$M,'NSE - Other Index Options'!$C:$C,$A125,'NSE - Other Index Options'!$B:$B,C$4,'NSE - Other Index Options'!$I:$I,"Weekly*")+SUMIFS('NSE - Other Index Options'!$M:$M,'NSE - Other Index Options'!$C:$C,$A125,'NSE - Other Index Options'!$B:$B,C$4,'NSE - Other Index Options'!$I:$I,"MDAW*")=0,"",SUMIFS('NSE - NIFTY Index Options'!$M:$M,'NSE - NIFTY Index Options'!$C:$C,$A125,'NSE - NIFTY Index Options'!$B:$B,C$4,'NSE - NIFTY Index Options'!$I:$I,"Weekly*")+SUMIFS('NSE - NIFTY Index Options'!$M:$M,'NSE - NIFTY Index Options'!$C:$C,$A125,'NSE - NIFTY Index Options'!$B:$B,C$4,'NSE - NIFTY Index Options'!$I:$I,"MDAW*")+SUMIFS('NSE - Other Index Options'!$M:$M,'NSE - Other Index Options'!$C:$C,$A125,'NSE - Other Index Options'!$B:$B,C$4,'NSE - Other Index Options'!$I:$I,"Weekly*")+SUMIFS('NSE - Other Index Options'!$M:$M,'NSE - Other Index Options'!$C:$C,$A125,'NSE - Other Index Options'!$B:$B,C$4,'NSE - Other Index Options'!$I:$I,"MDAW*"))</f>
        <v/>
      </c>
      <c r="D125" s="26">
        <f>IF(SUMIFS('NSE - NIFTY Index Options'!$M:$M,'NSE - NIFTY Index Options'!$C:$C,$A125,'NSE - NIFTY Index Options'!$B:$B,D$4,'NSE - NIFTY Index Options'!$I:$I,"Weekly*")+SUMIFS('NSE - NIFTY Index Options'!$M:$M,'NSE - NIFTY Index Options'!$C:$C,$A125,'NSE - NIFTY Index Options'!$B:$B,D$4,'NSE - NIFTY Index Options'!$I:$I,"MDAW*")+SUMIFS('NSE - Other Index Options'!$M:$M,'NSE - Other Index Options'!$C:$C,$A125,'NSE - Other Index Options'!$B:$B,D$4,'NSE - Other Index Options'!$I:$I,"Weekly*")+SUMIFS('NSE - Other Index Options'!$M:$M,'NSE - Other Index Options'!$C:$C,$A125,'NSE - Other Index Options'!$B:$B,D$4,'NSE - Other Index Options'!$I:$I,"MDAW*")=0,"",SUMIFS('NSE - NIFTY Index Options'!$M:$M,'NSE - NIFTY Index Options'!$C:$C,$A125,'NSE - NIFTY Index Options'!$B:$B,D$4,'NSE - NIFTY Index Options'!$I:$I,"Weekly*")+SUMIFS('NSE - NIFTY Index Options'!$M:$M,'NSE - NIFTY Index Options'!$C:$C,$A125,'NSE - NIFTY Index Options'!$B:$B,D$4,'NSE - NIFTY Index Options'!$I:$I,"MDAW*")+SUMIFS('NSE - Other Index Options'!$M:$M,'NSE - Other Index Options'!$C:$C,$A125,'NSE - Other Index Options'!$B:$B,D$4,'NSE - Other Index Options'!$I:$I,"Weekly*")+SUMIFS('NSE - Other Index Options'!$M:$M,'NSE - Other Index Options'!$C:$C,$A125,'NSE - Other Index Options'!$B:$B,D$4,'NSE - Other Index Options'!$I:$I,"MDAW*"))</f>
        <v/>
      </c>
      <c r="E125" s="26">
        <f>IF(SUMIFS('NSE - NIFTY Index Options'!$M:$M,'NSE - NIFTY Index Options'!$C:$C,$A125,'NSE - NIFTY Index Options'!$B:$B,E$4,'NSE - NIFTY Index Options'!$I:$I,"Weekly*")+SUMIFS('NSE - NIFTY Index Options'!$M:$M,'NSE - NIFTY Index Options'!$C:$C,$A125,'NSE - NIFTY Index Options'!$B:$B,E$4,'NSE - NIFTY Index Options'!$I:$I,"MDAW*")+SUMIFS('NSE - Other Index Options'!$M:$M,'NSE - Other Index Options'!$C:$C,$A125,'NSE - Other Index Options'!$B:$B,E$4,'NSE - Other Index Options'!$I:$I,"Weekly*")+SUMIFS('NSE - Other Index Options'!$M:$M,'NSE - Other Index Options'!$C:$C,$A125,'NSE - Other Index Options'!$B:$B,E$4,'NSE - Other Index Options'!$I:$I,"MDAW*")=0,"",SUMIFS('NSE - NIFTY Index Options'!$M:$M,'NSE - NIFTY Index Options'!$C:$C,$A125,'NSE - NIFTY Index Options'!$B:$B,E$4,'NSE - NIFTY Index Options'!$I:$I,"Weekly*")+SUMIFS('NSE - NIFTY Index Options'!$M:$M,'NSE - NIFTY Index Options'!$C:$C,$A125,'NSE - NIFTY Index Options'!$B:$B,E$4,'NSE - NIFTY Index Options'!$I:$I,"MDAW*")+SUMIFS('NSE - Other Index Options'!$M:$M,'NSE - Other Index Options'!$C:$C,$A125,'NSE - Other Index Options'!$B:$B,E$4,'NSE - Other Index Options'!$I:$I,"Weekly*")+SUMIFS('NSE - Other Index Options'!$M:$M,'NSE - Other Index Options'!$C:$C,$A125,'NSE - Other Index Options'!$B:$B,E$4,'NSE - Other Index Options'!$I:$I,"MDAW*"))</f>
        <v/>
      </c>
      <c r="F125" s="26">
        <f>IF(SUMIFS('NSE - NIFTY Index Options'!$M:$M,'NSE - NIFTY Index Options'!$C:$C,$A125,'NSE - NIFTY Index Options'!$B:$B,F$4,'NSE - NIFTY Index Options'!$I:$I,"Weekly*")+SUMIFS('NSE - NIFTY Index Options'!$M:$M,'NSE - NIFTY Index Options'!$C:$C,$A125,'NSE - NIFTY Index Options'!$B:$B,F$4,'NSE - NIFTY Index Options'!$I:$I,"MDAW*")+SUMIFS('NSE - Other Index Options'!$M:$M,'NSE - Other Index Options'!$C:$C,$A125,'NSE - Other Index Options'!$B:$B,F$4,'NSE - Other Index Options'!$I:$I,"Weekly*")+SUMIFS('NSE - Other Index Options'!$M:$M,'NSE - Other Index Options'!$C:$C,$A125,'NSE - Other Index Options'!$B:$B,F$4,'NSE - Other Index Options'!$I:$I,"MDAW*")=0,"",SUMIFS('NSE - NIFTY Index Options'!$M:$M,'NSE - NIFTY Index Options'!$C:$C,$A125,'NSE - NIFTY Index Options'!$B:$B,F$4,'NSE - NIFTY Index Options'!$I:$I,"Weekly*")+SUMIFS('NSE - NIFTY Index Options'!$M:$M,'NSE - NIFTY Index Options'!$C:$C,$A125,'NSE - NIFTY Index Options'!$B:$B,F$4,'NSE - NIFTY Index Options'!$I:$I,"MDAW*")+SUMIFS('NSE - Other Index Options'!$M:$M,'NSE - Other Index Options'!$C:$C,$A125,'NSE - Other Index Options'!$B:$B,F$4,'NSE - Other Index Options'!$I:$I,"Weekly*")+SUMIFS('NSE - Other Index Options'!$M:$M,'NSE - Other Index Options'!$C:$C,$A125,'NSE - Other Index Options'!$B:$B,F$4,'NSE - Other Index Options'!$I:$I,"MDAW*"))</f>
        <v/>
      </c>
      <c r="G125" s="26">
        <f>IF(SUMIFS('NSE - NIFTY Index Options'!$M:$M,'NSE - NIFTY Index Options'!$C:$C,$A125,'NSE - NIFTY Index Options'!$B:$B,G$4,'NSE - NIFTY Index Options'!$I:$I,"Weekly*")+SUMIFS('NSE - NIFTY Index Options'!$M:$M,'NSE - NIFTY Index Options'!$C:$C,$A125,'NSE - NIFTY Index Options'!$B:$B,G$4,'NSE - NIFTY Index Options'!$I:$I,"MDAW*")+SUMIFS('NSE - Other Index Options'!$M:$M,'NSE - Other Index Options'!$C:$C,$A125,'NSE - Other Index Options'!$B:$B,G$4,'NSE - Other Index Options'!$I:$I,"Weekly*")+SUMIFS('NSE - Other Index Options'!$M:$M,'NSE - Other Index Options'!$C:$C,$A125,'NSE - Other Index Options'!$B:$B,G$4,'NSE - Other Index Options'!$I:$I,"MDAW*")=0,"",SUMIFS('NSE - NIFTY Index Options'!$M:$M,'NSE - NIFTY Index Options'!$C:$C,$A125,'NSE - NIFTY Index Options'!$B:$B,G$4,'NSE - NIFTY Index Options'!$I:$I,"Weekly*")+SUMIFS('NSE - NIFTY Index Options'!$M:$M,'NSE - NIFTY Index Options'!$C:$C,$A125,'NSE - NIFTY Index Options'!$B:$B,G$4,'NSE - NIFTY Index Options'!$I:$I,"MDAW*")+SUMIFS('NSE - Other Index Options'!$M:$M,'NSE - Other Index Options'!$C:$C,$A125,'NSE - Other Index Options'!$B:$B,G$4,'NSE - Other Index Options'!$I:$I,"Weekly*")+SUMIFS('NSE - Other Index Options'!$M:$M,'NSE - Other Index Options'!$C:$C,$A125,'NSE - Other Index Options'!$B:$B,G$4,'NSE - Other Index Options'!$I:$I,"MDAW*"))</f>
        <v/>
      </c>
      <c r="H125" s="26">
        <f>IF(SUM(B125:G125)=0,"",SUM(B125:G125))</f>
        <v/>
      </c>
    </row>
    <row r="126" hidden="1" outlineLevel="1">
      <c r="A126" t="inlineStr">
        <is>
          <t>Week4-Sep-2027</t>
        </is>
      </c>
      <c r="B126" s="26">
        <f>IF(SUMIFS('NSE - NIFTY Index Options'!$M:$M,'NSE - NIFTY Index Options'!$C:$C,$A126,'NSE - NIFTY Index Options'!$B:$B,B$4,'NSE - NIFTY Index Options'!$I:$I,"Weekly*")+SUMIFS('NSE - NIFTY Index Options'!$M:$M,'NSE - NIFTY Index Options'!$C:$C,$A126,'NSE - NIFTY Index Options'!$B:$B,B$4,'NSE - NIFTY Index Options'!$I:$I,"MDAW*")+SUMIFS('NSE - Other Index Options'!$M:$M,'NSE - Other Index Options'!$C:$C,$A126,'NSE - Other Index Options'!$B:$B,B$4,'NSE - Other Index Options'!$I:$I,"Weekly*")+SUMIFS('NSE - Other Index Options'!$M:$M,'NSE - Other Index Options'!$C:$C,$A126,'NSE - Other Index Options'!$B:$B,B$4,'NSE - Other Index Options'!$I:$I,"MDAW*")=0,"",SUMIFS('NSE - NIFTY Index Options'!$M:$M,'NSE - NIFTY Index Options'!$C:$C,$A126,'NSE - NIFTY Index Options'!$B:$B,B$4,'NSE - NIFTY Index Options'!$I:$I,"Weekly*")+SUMIFS('NSE - NIFTY Index Options'!$M:$M,'NSE - NIFTY Index Options'!$C:$C,$A126,'NSE - NIFTY Index Options'!$B:$B,B$4,'NSE - NIFTY Index Options'!$I:$I,"MDAW*")+SUMIFS('NSE - Other Index Options'!$M:$M,'NSE - Other Index Options'!$C:$C,$A126,'NSE - Other Index Options'!$B:$B,B$4,'NSE - Other Index Options'!$I:$I,"Weekly*")+SUMIFS('NSE - Other Index Options'!$M:$M,'NSE - Other Index Options'!$C:$C,$A126,'NSE - Other Index Options'!$B:$B,B$4,'NSE - Other Index Options'!$I:$I,"MDAW*"))</f>
        <v/>
      </c>
      <c r="C126" s="26">
        <f>IF(SUMIFS('NSE - NIFTY Index Options'!$M:$M,'NSE - NIFTY Index Options'!$C:$C,$A126,'NSE - NIFTY Index Options'!$B:$B,C$4,'NSE - NIFTY Index Options'!$I:$I,"Weekly*")+SUMIFS('NSE - NIFTY Index Options'!$M:$M,'NSE - NIFTY Index Options'!$C:$C,$A126,'NSE - NIFTY Index Options'!$B:$B,C$4,'NSE - NIFTY Index Options'!$I:$I,"MDAW*")+SUMIFS('NSE - Other Index Options'!$M:$M,'NSE - Other Index Options'!$C:$C,$A126,'NSE - Other Index Options'!$B:$B,C$4,'NSE - Other Index Options'!$I:$I,"Weekly*")+SUMIFS('NSE - Other Index Options'!$M:$M,'NSE - Other Index Options'!$C:$C,$A126,'NSE - Other Index Options'!$B:$B,C$4,'NSE - Other Index Options'!$I:$I,"MDAW*")=0,"",SUMIFS('NSE - NIFTY Index Options'!$M:$M,'NSE - NIFTY Index Options'!$C:$C,$A126,'NSE - NIFTY Index Options'!$B:$B,C$4,'NSE - NIFTY Index Options'!$I:$I,"Weekly*")+SUMIFS('NSE - NIFTY Index Options'!$M:$M,'NSE - NIFTY Index Options'!$C:$C,$A126,'NSE - NIFTY Index Options'!$B:$B,C$4,'NSE - NIFTY Index Options'!$I:$I,"MDAW*")+SUMIFS('NSE - Other Index Options'!$M:$M,'NSE - Other Index Options'!$C:$C,$A126,'NSE - Other Index Options'!$B:$B,C$4,'NSE - Other Index Options'!$I:$I,"Weekly*")+SUMIFS('NSE - Other Index Options'!$M:$M,'NSE - Other Index Options'!$C:$C,$A126,'NSE - Other Index Options'!$B:$B,C$4,'NSE - Other Index Options'!$I:$I,"MDAW*"))</f>
        <v/>
      </c>
      <c r="D126" s="26">
        <f>IF(SUMIFS('NSE - NIFTY Index Options'!$M:$M,'NSE - NIFTY Index Options'!$C:$C,$A126,'NSE - NIFTY Index Options'!$B:$B,D$4,'NSE - NIFTY Index Options'!$I:$I,"Weekly*")+SUMIFS('NSE - NIFTY Index Options'!$M:$M,'NSE - NIFTY Index Options'!$C:$C,$A126,'NSE - NIFTY Index Options'!$B:$B,D$4,'NSE - NIFTY Index Options'!$I:$I,"MDAW*")+SUMIFS('NSE - Other Index Options'!$M:$M,'NSE - Other Index Options'!$C:$C,$A126,'NSE - Other Index Options'!$B:$B,D$4,'NSE - Other Index Options'!$I:$I,"Weekly*")+SUMIFS('NSE - Other Index Options'!$M:$M,'NSE - Other Index Options'!$C:$C,$A126,'NSE - Other Index Options'!$B:$B,D$4,'NSE - Other Index Options'!$I:$I,"MDAW*")=0,"",SUMIFS('NSE - NIFTY Index Options'!$M:$M,'NSE - NIFTY Index Options'!$C:$C,$A126,'NSE - NIFTY Index Options'!$B:$B,D$4,'NSE - NIFTY Index Options'!$I:$I,"Weekly*")+SUMIFS('NSE - NIFTY Index Options'!$M:$M,'NSE - NIFTY Index Options'!$C:$C,$A126,'NSE - NIFTY Index Options'!$B:$B,D$4,'NSE - NIFTY Index Options'!$I:$I,"MDAW*")+SUMIFS('NSE - Other Index Options'!$M:$M,'NSE - Other Index Options'!$C:$C,$A126,'NSE - Other Index Options'!$B:$B,D$4,'NSE - Other Index Options'!$I:$I,"Weekly*")+SUMIFS('NSE - Other Index Options'!$M:$M,'NSE - Other Index Options'!$C:$C,$A126,'NSE - Other Index Options'!$B:$B,D$4,'NSE - Other Index Options'!$I:$I,"MDAW*"))</f>
        <v/>
      </c>
      <c r="E126" s="26">
        <f>IF(SUMIFS('NSE - NIFTY Index Options'!$M:$M,'NSE - NIFTY Index Options'!$C:$C,$A126,'NSE - NIFTY Index Options'!$B:$B,E$4,'NSE - NIFTY Index Options'!$I:$I,"Weekly*")+SUMIFS('NSE - NIFTY Index Options'!$M:$M,'NSE - NIFTY Index Options'!$C:$C,$A126,'NSE - NIFTY Index Options'!$B:$B,E$4,'NSE - NIFTY Index Options'!$I:$I,"MDAW*")+SUMIFS('NSE - Other Index Options'!$M:$M,'NSE - Other Index Options'!$C:$C,$A126,'NSE - Other Index Options'!$B:$B,E$4,'NSE - Other Index Options'!$I:$I,"Weekly*")+SUMIFS('NSE - Other Index Options'!$M:$M,'NSE - Other Index Options'!$C:$C,$A126,'NSE - Other Index Options'!$B:$B,E$4,'NSE - Other Index Options'!$I:$I,"MDAW*")=0,"",SUMIFS('NSE - NIFTY Index Options'!$M:$M,'NSE - NIFTY Index Options'!$C:$C,$A126,'NSE - NIFTY Index Options'!$B:$B,E$4,'NSE - NIFTY Index Options'!$I:$I,"Weekly*")+SUMIFS('NSE - NIFTY Index Options'!$M:$M,'NSE - NIFTY Index Options'!$C:$C,$A126,'NSE - NIFTY Index Options'!$B:$B,E$4,'NSE - NIFTY Index Options'!$I:$I,"MDAW*")+SUMIFS('NSE - Other Index Options'!$M:$M,'NSE - Other Index Options'!$C:$C,$A126,'NSE - Other Index Options'!$B:$B,E$4,'NSE - Other Index Options'!$I:$I,"Weekly*")+SUMIFS('NSE - Other Index Options'!$M:$M,'NSE - Other Index Options'!$C:$C,$A126,'NSE - Other Index Options'!$B:$B,E$4,'NSE - Other Index Options'!$I:$I,"MDAW*"))</f>
        <v/>
      </c>
      <c r="F126" s="26">
        <f>IF(SUMIFS('NSE - NIFTY Index Options'!$M:$M,'NSE - NIFTY Index Options'!$C:$C,$A126,'NSE - NIFTY Index Options'!$B:$B,F$4,'NSE - NIFTY Index Options'!$I:$I,"Weekly*")+SUMIFS('NSE - NIFTY Index Options'!$M:$M,'NSE - NIFTY Index Options'!$C:$C,$A126,'NSE - NIFTY Index Options'!$B:$B,F$4,'NSE - NIFTY Index Options'!$I:$I,"MDAW*")+SUMIFS('NSE - Other Index Options'!$M:$M,'NSE - Other Index Options'!$C:$C,$A126,'NSE - Other Index Options'!$B:$B,F$4,'NSE - Other Index Options'!$I:$I,"Weekly*")+SUMIFS('NSE - Other Index Options'!$M:$M,'NSE - Other Index Options'!$C:$C,$A126,'NSE - Other Index Options'!$B:$B,F$4,'NSE - Other Index Options'!$I:$I,"MDAW*")=0,"",SUMIFS('NSE - NIFTY Index Options'!$M:$M,'NSE - NIFTY Index Options'!$C:$C,$A126,'NSE - NIFTY Index Options'!$B:$B,F$4,'NSE - NIFTY Index Options'!$I:$I,"Weekly*")+SUMIFS('NSE - NIFTY Index Options'!$M:$M,'NSE - NIFTY Index Options'!$C:$C,$A126,'NSE - NIFTY Index Options'!$B:$B,F$4,'NSE - NIFTY Index Options'!$I:$I,"MDAW*")+SUMIFS('NSE - Other Index Options'!$M:$M,'NSE - Other Index Options'!$C:$C,$A126,'NSE - Other Index Options'!$B:$B,F$4,'NSE - Other Index Options'!$I:$I,"Weekly*")+SUMIFS('NSE - Other Index Options'!$M:$M,'NSE - Other Index Options'!$C:$C,$A126,'NSE - Other Index Options'!$B:$B,F$4,'NSE - Other Index Options'!$I:$I,"MDAW*"))</f>
        <v/>
      </c>
      <c r="G126" s="26">
        <f>IF(SUMIFS('NSE - NIFTY Index Options'!$M:$M,'NSE - NIFTY Index Options'!$C:$C,$A126,'NSE - NIFTY Index Options'!$B:$B,G$4,'NSE - NIFTY Index Options'!$I:$I,"Weekly*")+SUMIFS('NSE - NIFTY Index Options'!$M:$M,'NSE - NIFTY Index Options'!$C:$C,$A126,'NSE - NIFTY Index Options'!$B:$B,G$4,'NSE - NIFTY Index Options'!$I:$I,"MDAW*")+SUMIFS('NSE - Other Index Options'!$M:$M,'NSE - Other Index Options'!$C:$C,$A126,'NSE - Other Index Options'!$B:$B,G$4,'NSE - Other Index Options'!$I:$I,"Weekly*")+SUMIFS('NSE - Other Index Options'!$M:$M,'NSE - Other Index Options'!$C:$C,$A126,'NSE - Other Index Options'!$B:$B,G$4,'NSE - Other Index Options'!$I:$I,"MDAW*")=0,"",SUMIFS('NSE - NIFTY Index Options'!$M:$M,'NSE - NIFTY Index Options'!$C:$C,$A126,'NSE - NIFTY Index Options'!$B:$B,G$4,'NSE - NIFTY Index Options'!$I:$I,"Weekly*")+SUMIFS('NSE - NIFTY Index Options'!$M:$M,'NSE - NIFTY Index Options'!$C:$C,$A126,'NSE - NIFTY Index Options'!$B:$B,G$4,'NSE - NIFTY Index Options'!$I:$I,"MDAW*")+SUMIFS('NSE - Other Index Options'!$M:$M,'NSE - Other Index Options'!$C:$C,$A126,'NSE - Other Index Options'!$B:$B,G$4,'NSE - Other Index Options'!$I:$I,"Weekly*")+SUMIFS('NSE - Other Index Options'!$M:$M,'NSE - Other Index Options'!$C:$C,$A126,'NSE - Other Index Options'!$B:$B,G$4,'NSE - Other Index Options'!$I:$I,"MDAW*"))</f>
        <v/>
      </c>
      <c r="H126" s="26">
        <f>IF(SUM(B126:G126)=0,"",SUM(B126:G126))</f>
        <v/>
      </c>
    </row>
    <row r="127" hidden="1" outlineLevel="1">
      <c r="A127" t="inlineStr">
        <is>
          <t>Week5-Sep-2027</t>
        </is>
      </c>
      <c r="B127" s="26">
        <f>IF(SUMIFS('NSE - NIFTY Index Options'!$M:$M,'NSE - NIFTY Index Options'!$C:$C,$A127,'NSE - NIFTY Index Options'!$B:$B,B$4,'NSE - NIFTY Index Options'!$I:$I,"Weekly*")+SUMIFS('NSE - NIFTY Index Options'!$M:$M,'NSE - NIFTY Index Options'!$C:$C,$A127,'NSE - NIFTY Index Options'!$B:$B,B$4,'NSE - NIFTY Index Options'!$I:$I,"MDAW*")+SUMIFS('NSE - Other Index Options'!$M:$M,'NSE - Other Index Options'!$C:$C,$A127,'NSE - Other Index Options'!$B:$B,B$4,'NSE - Other Index Options'!$I:$I,"Weekly*")+SUMIFS('NSE - Other Index Options'!$M:$M,'NSE - Other Index Options'!$C:$C,$A127,'NSE - Other Index Options'!$B:$B,B$4,'NSE - Other Index Options'!$I:$I,"MDAW*")=0,"",SUMIFS('NSE - NIFTY Index Options'!$M:$M,'NSE - NIFTY Index Options'!$C:$C,$A127,'NSE - NIFTY Index Options'!$B:$B,B$4,'NSE - NIFTY Index Options'!$I:$I,"Weekly*")+SUMIFS('NSE - NIFTY Index Options'!$M:$M,'NSE - NIFTY Index Options'!$C:$C,$A127,'NSE - NIFTY Index Options'!$B:$B,B$4,'NSE - NIFTY Index Options'!$I:$I,"MDAW*")+SUMIFS('NSE - Other Index Options'!$M:$M,'NSE - Other Index Options'!$C:$C,$A127,'NSE - Other Index Options'!$B:$B,B$4,'NSE - Other Index Options'!$I:$I,"Weekly*")+SUMIFS('NSE - Other Index Options'!$M:$M,'NSE - Other Index Options'!$C:$C,$A127,'NSE - Other Index Options'!$B:$B,B$4,'NSE - Other Index Options'!$I:$I,"MDAW*"))</f>
        <v/>
      </c>
      <c r="C127" s="26">
        <f>IF(SUMIFS('NSE - NIFTY Index Options'!$M:$M,'NSE - NIFTY Index Options'!$C:$C,$A127,'NSE - NIFTY Index Options'!$B:$B,C$4,'NSE - NIFTY Index Options'!$I:$I,"Weekly*")+SUMIFS('NSE - NIFTY Index Options'!$M:$M,'NSE - NIFTY Index Options'!$C:$C,$A127,'NSE - NIFTY Index Options'!$B:$B,C$4,'NSE - NIFTY Index Options'!$I:$I,"MDAW*")+SUMIFS('NSE - Other Index Options'!$M:$M,'NSE - Other Index Options'!$C:$C,$A127,'NSE - Other Index Options'!$B:$B,C$4,'NSE - Other Index Options'!$I:$I,"Weekly*")+SUMIFS('NSE - Other Index Options'!$M:$M,'NSE - Other Index Options'!$C:$C,$A127,'NSE - Other Index Options'!$B:$B,C$4,'NSE - Other Index Options'!$I:$I,"MDAW*")=0,"",SUMIFS('NSE - NIFTY Index Options'!$M:$M,'NSE - NIFTY Index Options'!$C:$C,$A127,'NSE - NIFTY Index Options'!$B:$B,C$4,'NSE - NIFTY Index Options'!$I:$I,"Weekly*")+SUMIFS('NSE - NIFTY Index Options'!$M:$M,'NSE - NIFTY Index Options'!$C:$C,$A127,'NSE - NIFTY Index Options'!$B:$B,C$4,'NSE - NIFTY Index Options'!$I:$I,"MDAW*")+SUMIFS('NSE - Other Index Options'!$M:$M,'NSE - Other Index Options'!$C:$C,$A127,'NSE - Other Index Options'!$B:$B,C$4,'NSE - Other Index Options'!$I:$I,"Weekly*")+SUMIFS('NSE - Other Index Options'!$M:$M,'NSE - Other Index Options'!$C:$C,$A127,'NSE - Other Index Options'!$B:$B,C$4,'NSE - Other Index Options'!$I:$I,"MDAW*"))</f>
        <v/>
      </c>
      <c r="D127" s="26">
        <f>IF(SUMIFS('NSE - NIFTY Index Options'!$M:$M,'NSE - NIFTY Index Options'!$C:$C,$A127,'NSE - NIFTY Index Options'!$B:$B,D$4,'NSE - NIFTY Index Options'!$I:$I,"Weekly*")+SUMIFS('NSE - NIFTY Index Options'!$M:$M,'NSE - NIFTY Index Options'!$C:$C,$A127,'NSE - NIFTY Index Options'!$B:$B,D$4,'NSE - NIFTY Index Options'!$I:$I,"MDAW*")+SUMIFS('NSE - Other Index Options'!$M:$M,'NSE - Other Index Options'!$C:$C,$A127,'NSE - Other Index Options'!$B:$B,D$4,'NSE - Other Index Options'!$I:$I,"Weekly*")+SUMIFS('NSE - Other Index Options'!$M:$M,'NSE - Other Index Options'!$C:$C,$A127,'NSE - Other Index Options'!$B:$B,D$4,'NSE - Other Index Options'!$I:$I,"MDAW*")=0,"",SUMIFS('NSE - NIFTY Index Options'!$M:$M,'NSE - NIFTY Index Options'!$C:$C,$A127,'NSE - NIFTY Index Options'!$B:$B,D$4,'NSE - NIFTY Index Options'!$I:$I,"Weekly*")+SUMIFS('NSE - NIFTY Index Options'!$M:$M,'NSE - NIFTY Index Options'!$C:$C,$A127,'NSE - NIFTY Index Options'!$B:$B,D$4,'NSE - NIFTY Index Options'!$I:$I,"MDAW*")+SUMIFS('NSE - Other Index Options'!$M:$M,'NSE - Other Index Options'!$C:$C,$A127,'NSE - Other Index Options'!$B:$B,D$4,'NSE - Other Index Options'!$I:$I,"Weekly*")+SUMIFS('NSE - Other Index Options'!$M:$M,'NSE - Other Index Options'!$C:$C,$A127,'NSE - Other Index Options'!$B:$B,D$4,'NSE - Other Index Options'!$I:$I,"MDAW*"))</f>
        <v/>
      </c>
      <c r="E127" s="26">
        <f>IF(SUMIFS('NSE - NIFTY Index Options'!$M:$M,'NSE - NIFTY Index Options'!$C:$C,$A127,'NSE - NIFTY Index Options'!$B:$B,E$4,'NSE - NIFTY Index Options'!$I:$I,"Weekly*")+SUMIFS('NSE - NIFTY Index Options'!$M:$M,'NSE - NIFTY Index Options'!$C:$C,$A127,'NSE - NIFTY Index Options'!$B:$B,E$4,'NSE - NIFTY Index Options'!$I:$I,"MDAW*")+SUMIFS('NSE - Other Index Options'!$M:$M,'NSE - Other Index Options'!$C:$C,$A127,'NSE - Other Index Options'!$B:$B,E$4,'NSE - Other Index Options'!$I:$I,"Weekly*")+SUMIFS('NSE - Other Index Options'!$M:$M,'NSE - Other Index Options'!$C:$C,$A127,'NSE - Other Index Options'!$B:$B,E$4,'NSE - Other Index Options'!$I:$I,"MDAW*")=0,"",SUMIFS('NSE - NIFTY Index Options'!$M:$M,'NSE - NIFTY Index Options'!$C:$C,$A127,'NSE - NIFTY Index Options'!$B:$B,E$4,'NSE - NIFTY Index Options'!$I:$I,"Weekly*")+SUMIFS('NSE - NIFTY Index Options'!$M:$M,'NSE - NIFTY Index Options'!$C:$C,$A127,'NSE - NIFTY Index Options'!$B:$B,E$4,'NSE - NIFTY Index Options'!$I:$I,"MDAW*")+SUMIFS('NSE - Other Index Options'!$M:$M,'NSE - Other Index Options'!$C:$C,$A127,'NSE - Other Index Options'!$B:$B,E$4,'NSE - Other Index Options'!$I:$I,"Weekly*")+SUMIFS('NSE - Other Index Options'!$M:$M,'NSE - Other Index Options'!$C:$C,$A127,'NSE - Other Index Options'!$B:$B,E$4,'NSE - Other Index Options'!$I:$I,"MDAW*"))</f>
        <v/>
      </c>
      <c r="F127" s="26">
        <f>IF(SUMIFS('NSE - NIFTY Index Options'!$M:$M,'NSE - NIFTY Index Options'!$C:$C,$A127,'NSE - NIFTY Index Options'!$B:$B,F$4,'NSE - NIFTY Index Options'!$I:$I,"Weekly*")+SUMIFS('NSE - NIFTY Index Options'!$M:$M,'NSE - NIFTY Index Options'!$C:$C,$A127,'NSE - NIFTY Index Options'!$B:$B,F$4,'NSE - NIFTY Index Options'!$I:$I,"MDAW*")+SUMIFS('NSE - Other Index Options'!$M:$M,'NSE - Other Index Options'!$C:$C,$A127,'NSE - Other Index Options'!$B:$B,F$4,'NSE - Other Index Options'!$I:$I,"Weekly*")+SUMIFS('NSE - Other Index Options'!$M:$M,'NSE - Other Index Options'!$C:$C,$A127,'NSE - Other Index Options'!$B:$B,F$4,'NSE - Other Index Options'!$I:$I,"MDAW*")=0,"",SUMIFS('NSE - NIFTY Index Options'!$M:$M,'NSE - NIFTY Index Options'!$C:$C,$A127,'NSE - NIFTY Index Options'!$B:$B,F$4,'NSE - NIFTY Index Options'!$I:$I,"Weekly*")+SUMIFS('NSE - NIFTY Index Options'!$M:$M,'NSE - NIFTY Index Options'!$C:$C,$A127,'NSE - NIFTY Index Options'!$B:$B,F$4,'NSE - NIFTY Index Options'!$I:$I,"MDAW*")+SUMIFS('NSE - Other Index Options'!$M:$M,'NSE - Other Index Options'!$C:$C,$A127,'NSE - Other Index Options'!$B:$B,F$4,'NSE - Other Index Options'!$I:$I,"Weekly*")+SUMIFS('NSE - Other Index Options'!$M:$M,'NSE - Other Index Options'!$C:$C,$A127,'NSE - Other Index Options'!$B:$B,F$4,'NSE - Other Index Options'!$I:$I,"MDAW*"))</f>
        <v/>
      </c>
      <c r="G127" s="26">
        <f>IF(SUMIFS('NSE - NIFTY Index Options'!$M:$M,'NSE - NIFTY Index Options'!$C:$C,$A127,'NSE - NIFTY Index Options'!$B:$B,G$4,'NSE - NIFTY Index Options'!$I:$I,"Weekly*")+SUMIFS('NSE - NIFTY Index Options'!$M:$M,'NSE - NIFTY Index Options'!$C:$C,$A127,'NSE - NIFTY Index Options'!$B:$B,G$4,'NSE - NIFTY Index Options'!$I:$I,"MDAW*")+SUMIFS('NSE - Other Index Options'!$M:$M,'NSE - Other Index Options'!$C:$C,$A127,'NSE - Other Index Options'!$B:$B,G$4,'NSE - Other Index Options'!$I:$I,"Weekly*")+SUMIFS('NSE - Other Index Options'!$M:$M,'NSE - Other Index Options'!$C:$C,$A127,'NSE - Other Index Options'!$B:$B,G$4,'NSE - Other Index Options'!$I:$I,"MDAW*")=0,"",SUMIFS('NSE - NIFTY Index Options'!$M:$M,'NSE - NIFTY Index Options'!$C:$C,$A127,'NSE - NIFTY Index Options'!$B:$B,G$4,'NSE - NIFTY Index Options'!$I:$I,"Weekly*")+SUMIFS('NSE - NIFTY Index Options'!$M:$M,'NSE - NIFTY Index Options'!$C:$C,$A127,'NSE - NIFTY Index Options'!$B:$B,G$4,'NSE - NIFTY Index Options'!$I:$I,"MDAW*")+SUMIFS('NSE - Other Index Options'!$M:$M,'NSE - Other Index Options'!$C:$C,$A127,'NSE - Other Index Options'!$B:$B,G$4,'NSE - Other Index Options'!$I:$I,"Weekly*")+SUMIFS('NSE - Other Index Options'!$M:$M,'NSE - Other Index Options'!$C:$C,$A127,'NSE - Other Index Options'!$B:$B,G$4,'NSE - Other Index Options'!$I:$I,"MDAW*"))</f>
        <v/>
      </c>
      <c r="H127" s="26">
        <f>IF(SUM(B127:G127)=0,"",SUM(B127:G127))</f>
        <v/>
      </c>
    </row>
    <row r="128" hidden="1" outlineLevel="1">
      <c r="A128" t="inlineStr">
        <is>
          <t>Week1-Oct-2027</t>
        </is>
      </c>
      <c r="B128" s="26">
        <f>IF(SUMIFS('NSE - NIFTY Index Options'!$M:$M,'NSE - NIFTY Index Options'!$C:$C,$A128,'NSE - NIFTY Index Options'!$B:$B,B$4,'NSE - NIFTY Index Options'!$I:$I,"Weekly*")+SUMIFS('NSE - NIFTY Index Options'!$M:$M,'NSE - NIFTY Index Options'!$C:$C,$A128,'NSE - NIFTY Index Options'!$B:$B,B$4,'NSE - NIFTY Index Options'!$I:$I,"MDAW*")+SUMIFS('NSE - Other Index Options'!$M:$M,'NSE - Other Index Options'!$C:$C,$A128,'NSE - Other Index Options'!$B:$B,B$4,'NSE - Other Index Options'!$I:$I,"Weekly*")+SUMIFS('NSE - Other Index Options'!$M:$M,'NSE - Other Index Options'!$C:$C,$A128,'NSE - Other Index Options'!$B:$B,B$4,'NSE - Other Index Options'!$I:$I,"MDAW*")=0,"",SUMIFS('NSE - NIFTY Index Options'!$M:$M,'NSE - NIFTY Index Options'!$C:$C,$A128,'NSE - NIFTY Index Options'!$B:$B,B$4,'NSE - NIFTY Index Options'!$I:$I,"Weekly*")+SUMIFS('NSE - NIFTY Index Options'!$M:$M,'NSE - NIFTY Index Options'!$C:$C,$A128,'NSE - NIFTY Index Options'!$B:$B,B$4,'NSE - NIFTY Index Options'!$I:$I,"MDAW*")+SUMIFS('NSE - Other Index Options'!$M:$M,'NSE - Other Index Options'!$C:$C,$A128,'NSE - Other Index Options'!$B:$B,B$4,'NSE - Other Index Options'!$I:$I,"Weekly*")+SUMIFS('NSE - Other Index Options'!$M:$M,'NSE - Other Index Options'!$C:$C,$A128,'NSE - Other Index Options'!$B:$B,B$4,'NSE - Other Index Options'!$I:$I,"MDAW*"))</f>
        <v/>
      </c>
      <c r="C128" s="26">
        <f>IF(SUMIFS('NSE - NIFTY Index Options'!$M:$M,'NSE - NIFTY Index Options'!$C:$C,$A128,'NSE - NIFTY Index Options'!$B:$B,C$4,'NSE - NIFTY Index Options'!$I:$I,"Weekly*")+SUMIFS('NSE - NIFTY Index Options'!$M:$M,'NSE - NIFTY Index Options'!$C:$C,$A128,'NSE - NIFTY Index Options'!$B:$B,C$4,'NSE - NIFTY Index Options'!$I:$I,"MDAW*")+SUMIFS('NSE - Other Index Options'!$M:$M,'NSE - Other Index Options'!$C:$C,$A128,'NSE - Other Index Options'!$B:$B,C$4,'NSE - Other Index Options'!$I:$I,"Weekly*")+SUMIFS('NSE - Other Index Options'!$M:$M,'NSE - Other Index Options'!$C:$C,$A128,'NSE - Other Index Options'!$B:$B,C$4,'NSE - Other Index Options'!$I:$I,"MDAW*")=0,"",SUMIFS('NSE - NIFTY Index Options'!$M:$M,'NSE - NIFTY Index Options'!$C:$C,$A128,'NSE - NIFTY Index Options'!$B:$B,C$4,'NSE - NIFTY Index Options'!$I:$I,"Weekly*")+SUMIFS('NSE - NIFTY Index Options'!$M:$M,'NSE - NIFTY Index Options'!$C:$C,$A128,'NSE - NIFTY Index Options'!$B:$B,C$4,'NSE - NIFTY Index Options'!$I:$I,"MDAW*")+SUMIFS('NSE - Other Index Options'!$M:$M,'NSE - Other Index Options'!$C:$C,$A128,'NSE - Other Index Options'!$B:$B,C$4,'NSE - Other Index Options'!$I:$I,"Weekly*")+SUMIFS('NSE - Other Index Options'!$M:$M,'NSE - Other Index Options'!$C:$C,$A128,'NSE - Other Index Options'!$B:$B,C$4,'NSE - Other Index Options'!$I:$I,"MDAW*"))</f>
        <v/>
      </c>
      <c r="D128" s="26">
        <f>IF(SUMIFS('NSE - NIFTY Index Options'!$M:$M,'NSE - NIFTY Index Options'!$C:$C,$A128,'NSE - NIFTY Index Options'!$B:$B,D$4,'NSE - NIFTY Index Options'!$I:$I,"Weekly*")+SUMIFS('NSE - NIFTY Index Options'!$M:$M,'NSE - NIFTY Index Options'!$C:$C,$A128,'NSE - NIFTY Index Options'!$B:$B,D$4,'NSE - NIFTY Index Options'!$I:$I,"MDAW*")+SUMIFS('NSE - Other Index Options'!$M:$M,'NSE - Other Index Options'!$C:$C,$A128,'NSE - Other Index Options'!$B:$B,D$4,'NSE - Other Index Options'!$I:$I,"Weekly*")+SUMIFS('NSE - Other Index Options'!$M:$M,'NSE - Other Index Options'!$C:$C,$A128,'NSE - Other Index Options'!$B:$B,D$4,'NSE - Other Index Options'!$I:$I,"MDAW*")=0,"",SUMIFS('NSE - NIFTY Index Options'!$M:$M,'NSE - NIFTY Index Options'!$C:$C,$A128,'NSE - NIFTY Index Options'!$B:$B,D$4,'NSE - NIFTY Index Options'!$I:$I,"Weekly*")+SUMIFS('NSE - NIFTY Index Options'!$M:$M,'NSE - NIFTY Index Options'!$C:$C,$A128,'NSE - NIFTY Index Options'!$B:$B,D$4,'NSE - NIFTY Index Options'!$I:$I,"MDAW*")+SUMIFS('NSE - Other Index Options'!$M:$M,'NSE - Other Index Options'!$C:$C,$A128,'NSE - Other Index Options'!$B:$B,D$4,'NSE - Other Index Options'!$I:$I,"Weekly*")+SUMIFS('NSE - Other Index Options'!$M:$M,'NSE - Other Index Options'!$C:$C,$A128,'NSE - Other Index Options'!$B:$B,D$4,'NSE - Other Index Options'!$I:$I,"MDAW*"))</f>
        <v/>
      </c>
      <c r="E128" s="26">
        <f>IF(SUMIFS('NSE - NIFTY Index Options'!$M:$M,'NSE - NIFTY Index Options'!$C:$C,$A128,'NSE - NIFTY Index Options'!$B:$B,E$4,'NSE - NIFTY Index Options'!$I:$I,"Weekly*")+SUMIFS('NSE - NIFTY Index Options'!$M:$M,'NSE - NIFTY Index Options'!$C:$C,$A128,'NSE - NIFTY Index Options'!$B:$B,E$4,'NSE - NIFTY Index Options'!$I:$I,"MDAW*")+SUMIFS('NSE - Other Index Options'!$M:$M,'NSE - Other Index Options'!$C:$C,$A128,'NSE - Other Index Options'!$B:$B,E$4,'NSE - Other Index Options'!$I:$I,"Weekly*")+SUMIFS('NSE - Other Index Options'!$M:$M,'NSE - Other Index Options'!$C:$C,$A128,'NSE - Other Index Options'!$B:$B,E$4,'NSE - Other Index Options'!$I:$I,"MDAW*")=0,"",SUMIFS('NSE - NIFTY Index Options'!$M:$M,'NSE - NIFTY Index Options'!$C:$C,$A128,'NSE - NIFTY Index Options'!$B:$B,E$4,'NSE - NIFTY Index Options'!$I:$I,"Weekly*")+SUMIFS('NSE - NIFTY Index Options'!$M:$M,'NSE - NIFTY Index Options'!$C:$C,$A128,'NSE - NIFTY Index Options'!$B:$B,E$4,'NSE - NIFTY Index Options'!$I:$I,"MDAW*")+SUMIFS('NSE - Other Index Options'!$M:$M,'NSE - Other Index Options'!$C:$C,$A128,'NSE - Other Index Options'!$B:$B,E$4,'NSE - Other Index Options'!$I:$I,"Weekly*")+SUMIFS('NSE - Other Index Options'!$M:$M,'NSE - Other Index Options'!$C:$C,$A128,'NSE - Other Index Options'!$B:$B,E$4,'NSE - Other Index Options'!$I:$I,"MDAW*"))</f>
        <v/>
      </c>
      <c r="F128" s="26">
        <f>IF(SUMIFS('NSE - NIFTY Index Options'!$M:$M,'NSE - NIFTY Index Options'!$C:$C,$A128,'NSE - NIFTY Index Options'!$B:$B,F$4,'NSE - NIFTY Index Options'!$I:$I,"Weekly*")+SUMIFS('NSE - NIFTY Index Options'!$M:$M,'NSE - NIFTY Index Options'!$C:$C,$A128,'NSE - NIFTY Index Options'!$B:$B,F$4,'NSE - NIFTY Index Options'!$I:$I,"MDAW*")+SUMIFS('NSE - Other Index Options'!$M:$M,'NSE - Other Index Options'!$C:$C,$A128,'NSE - Other Index Options'!$B:$B,F$4,'NSE - Other Index Options'!$I:$I,"Weekly*")+SUMIFS('NSE - Other Index Options'!$M:$M,'NSE - Other Index Options'!$C:$C,$A128,'NSE - Other Index Options'!$B:$B,F$4,'NSE - Other Index Options'!$I:$I,"MDAW*")=0,"",SUMIFS('NSE - NIFTY Index Options'!$M:$M,'NSE - NIFTY Index Options'!$C:$C,$A128,'NSE - NIFTY Index Options'!$B:$B,F$4,'NSE - NIFTY Index Options'!$I:$I,"Weekly*")+SUMIFS('NSE - NIFTY Index Options'!$M:$M,'NSE - NIFTY Index Options'!$C:$C,$A128,'NSE - NIFTY Index Options'!$B:$B,F$4,'NSE - NIFTY Index Options'!$I:$I,"MDAW*")+SUMIFS('NSE - Other Index Options'!$M:$M,'NSE - Other Index Options'!$C:$C,$A128,'NSE - Other Index Options'!$B:$B,F$4,'NSE - Other Index Options'!$I:$I,"Weekly*")+SUMIFS('NSE - Other Index Options'!$M:$M,'NSE - Other Index Options'!$C:$C,$A128,'NSE - Other Index Options'!$B:$B,F$4,'NSE - Other Index Options'!$I:$I,"MDAW*"))</f>
        <v/>
      </c>
      <c r="G128" s="26">
        <f>IF(SUMIFS('NSE - NIFTY Index Options'!$M:$M,'NSE - NIFTY Index Options'!$C:$C,$A128,'NSE - NIFTY Index Options'!$B:$B,G$4,'NSE - NIFTY Index Options'!$I:$I,"Weekly*")+SUMIFS('NSE - NIFTY Index Options'!$M:$M,'NSE - NIFTY Index Options'!$C:$C,$A128,'NSE - NIFTY Index Options'!$B:$B,G$4,'NSE - NIFTY Index Options'!$I:$I,"MDAW*")+SUMIFS('NSE - Other Index Options'!$M:$M,'NSE - Other Index Options'!$C:$C,$A128,'NSE - Other Index Options'!$B:$B,G$4,'NSE - Other Index Options'!$I:$I,"Weekly*")+SUMIFS('NSE - Other Index Options'!$M:$M,'NSE - Other Index Options'!$C:$C,$A128,'NSE - Other Index Options'!$B:$B,G$4,'NSE - Other Index Options'!$I:$I,"MDAW*")=0,"",SUMIFS('NSE - NIFTY Index Options'!$M:$M,'NSE - NIFTY Index Options'!$C:$C,$A128,'NSE - NIFTY Index Options'!$B:$B,G$4,'NSE - NIFTY Index Options'!$I:$I,"Weekly*")+SUMIFS('NSE - NIFTY Index Options'!$M:$M,'NSE - NIFTY Index Options'!$C:$C,$A128,'NSE - NIFTY Index Options'!$B:$B,G$4,'NSE - NIFTY Index Options'!$I:$I,"MDAW*")+SUMIFS('NSE - Other Index Options'!$M:$M,'NSE - Other Index Options'!$C:$C,$A128,'NSE - Other Index Options'!$B:$B,G$4,'NSE - Other Index Options'!$I:$I,"Weekly*")+SUMIFS('NSE - Other Index Options'!$M:$M,'NSE - Other Index Options'!$C:$C,$A128,'NSE - Other Index Options'!$B:$B,G$4,'NSE - Other Index Options'!$I:$I,"MDAW*"))</f>
        <v/>
      </c>
      <c r="H128" s="26">
        <f>IF(SUM(B128:G128)=0,"",SUM(B128:G128))</f>
        <v/>
      </c>
    </row>
    <row r="129" hidden="1" outlineLevel="1">
      <c r="A129" t="inlineStr">
        <is>
          <t>Week2-Oct-2027</t>
        </is>
      </c>
      <c r="B129" s="26">
        <f>IF(SUMIFS('NSE - NIFTY Index Options'!$M:$M,'NSE - NIFTY Index Options'!$C:$C,$A129,'NSE - NIFTY Index Options'!$B:$B,B$4,'NSE - NIFTY Index Options'!$I:$I,"Weekly*")+SUMIFS('NSE - NIFTY Index Options'!$M:$M,'NSE - NIFTY Index Options'!$C:$C,$A129,'NSE - NIFTY Index Options'!$B:$B,B$4,'NSE - NIFTY Index Options'!$I:$I,"MDAW*")+SUMIFS('NSE - Other Index Options'!$M:$M,'NSE - Other Index Options'!$C:$C,$A129,'NSE - Other Index Options'!$B:$B,B$4,'NSE - Other Index Options'!$I:$I,"Weekly*")+SUMIFS('NSE - Other Index Options'!$M:$M,'NSE - Other Index Options'!$C:$C,$A129,'NSE - Other Index Options'!$B:$B,B$4,'NSE - Other Index Options'!$I:$I,"MDAW*")=0,"",SUMIFS('NSE - NIFTY Index Options'!$M:$M,'NSE - NIFTY Index Options'!$C:$C,$A129,'NSE - NIFTY Index Options'!$B:$B,B$4,'NSE - NIFTY Index Options'!$I:$I,"Weekly*")+SUMIFS('NSE - NIFTY Index Options'!$M:$M,'NSE - NIFTY Index Options'!$C:$C,$A129,'NSE - NIFTY Index Options'!$B:$B,B$4,'NSE - NIFTY Index Options'!$I:$I,"MDAW*")+SUMIFS('NSE - Other Index Options'!$M:$M,'NSE - Other Index Options'!$C:$C,$A129,'NSE - Other Index Options'!$B:$B,B$4,'NSE - Other Index Options'!$I:$I,"Weekly*")+SUMIFS('NSE - Other Index Options'!$M:$M,'NSE - Other Index Options'!$C:$C,$A129,'NSE - Other Index Options'!$B:$B,B$4,'NSE - Other Index Options'!$I:$I,"MDAW*"))</f>
        <v/>
      </c>
      <c r="C129" s="26">
        <f>IF(SUMIFS('NSE - NIFTY Index Options'!$M:$M,'NSE - NIFTY Index Options'!$C:$C,$A129,'NSE - NIFTY Index Options'!$B:$B,C$4,'NSE - NIFTY Index Options'!$I:$I,"Weekly*")+SUMIFS('NSE - NIFTY Index Options'!$M:$M,'NSE - NIFTY Index Options'!$C:$C,$A129,'NSE - NIFTY Index Options'!$B:$B,C$4,'NSE - NIFTY Index Options'!$I:$I,"MDAW*")+SUMIFS('NSE - Other Index Options'!$M:$M,'NSE - Other Index Options'!$C:$C,$A129,'NSE - Other Index Options'!$B:$B,C$4,'NSE - Other Index Options'!$I:$I,"Weekly*")+SUMIFS('NSE - Other Index Options'!$M:$M,'NSE - Other Index Options'!$C:$C,$A129,'NSE - Other Index Options'!$B:$B,C$4,'NSE - Other Index Options'!$I:$I,"MDAW*")=0,"",SUMIFS('NSE - NIFTY Index Options'!$M:$M,'NSE - NIFTY Index Options'!$C:$C,$A129,'NSE - NIFTY Index Options'!$B:$B,C$4,'NSE - NIFTY Index Options'!$I:$I,"Weekly*")+SUMIFS('NSE - NIFTY Index Options'!$M:$M,'NSE - NIFTY Index Options'!$C:$C,$A129,'NSE - NIFTY Index Options'!$B:$B,C$4,'NSE - NIFTY Index Options'!$I:$I,"MDAW*")+SUMIFS('NSE - Other Index Options'!$M:$M,'NSE - Other Index Options'!$C:$C,$A129,'NSE - Other Index Options'!$B:$B,C$4,'NSE - Other Index Options'!$I:$I,"Weekly*")+SUMIFS('NSE - Other Index Options'!$M:$M,'NSE - Other Index Options'!$C:$C,$A129,'NSE - Other Index Options'!$B:$B,C$4,'NSE - Other Index Options'!$I:$I,"MDAW*"))</f>
        <v/>
      </c>
      <c r="D129" s="26">
        <f>IF(SUMIFS('NSE - NIFTY Index Options'!$M:$M,'NSE - NIFTY Index Options'!$C:$C,$A129,'NSE - NIFTY Index Options'!$B:$B,D$4,'NSE - NIFTY Index Options'!$I:$I,"Weekly*")+SUMIFS('NSE - NIFTY Index Options'!$M:$M,'NSE - NIFTY Index Options'!$C:$C,$A129,'NSE - NIFTY Index Options'!$B:$B,D$4,'NSE - NIFTY Index Options'!$I:$I,"MDAW*")+SUMIFS('NSE - Other Index Options'!$M:$M,'NSE - Other Index Options'!$C:$C,$A129,'NSE - Other Index Options'!$B:$B,D$4,'NSE - Other Index Options'!$I:$I,"Weekly*")+SUMIFS('NSE - Other Index Options'!$M:$M,'NSE - Other Index Options'!$C:$C,$A129,'NSE - Other Index Options'!$B:$B,D$4,'NSE - Other Index Options'!$I:$I,"MDAW*")=0,"",SUMIFS('NSE - NIFTY Index Options'!$M:$M,'NSE - NIFTY Index Options'!$C:$C,$A129,'NSE - NIFTY Index Options'!$B:$B,D$4,'NSE - NIFTY Index Options'!$I:$I,"Weekly*")+SUMIFS('NSE - NIFTY Index Options'!$M:$M,'NSE - NIFTY Index Options'!$C:$C,$A129,'NSE - NIFTY Index Options'!$B:$B,D$4,'NSE - NIFTY Index Options'!$I:$I,"MDAW*")+SUMIFS('NSE - Other Index Options'!$M:$M,'NSE - Other Index Options'!$C:$C,$A129,'NSE - Other Index Options'!$B:$B,D$4,'NSE - Other Index Options'!$I:$I,"Weekly*")+SUMIFS('NSE - Other Index Options'!$M:$M,'NSE - Other Index Options'!$C:$C,$A129,'NSE - Other Index Options'!$B:$B,D$4,'NSE - Other Index Options'!$I:$I,"MDAW*"))</f>
        <v/>
      </c>
      <c r="E129" s="26">
        <f>IF(SUMIFS('NSE - NIFTY Index Options'!$M:$M,'NSE - NIFTY Index Options'!$C:$C,$A129,'NSE - NIFTY Index Options'!$B:$B,E$4,'NSE - NIFTY Index Options'!$I:$I,"Weekly*")+SUMIFS('NSE - NIFTY Index Options'!$M:$M,'NSE - NIFTY Index Options'!$C:$C,$A129,'NSE - NIFTY Index Options'!$B:$B,E$4,'NSE - NIFTY Index Options'!$I:$I,"MDAW*")+SUMIFS('NSE - Other Index Options'!$M:$M,'NSE - Other Index Options'!$C:$C,$A129,'NSE - Other Index Options'!$B:$B,E$4,'NSE - Other Index Options'!$I:$I,"Weekly*")+SUMIFS('NSE - Other Index Options'!$M:$M,'NSE - Other Index Options'!$C:$C,$A129,'NSE - Other Index Options'!$B:$B,E$4,'NSE - Other Index Options'!$I:$I,"MDAW*")=0,"",SUMIFS('NSE - NIFTY Index Options'!$M:$M,'NSE - NIFTY Index Options'!$C:$C,$A129,'NSE - NIFTY Index Options'!$B:$B,E$4,'NSE - NIFTY Index Options'!$I:$I,"Weekly*")+SUMIFS('NSE - NIFTY Index Options'!$M:$M,'NSE - NIFTY Index Options'!$C:$C,$A129,'NSE - NIFTY Index Options'!$B:$B,E$4,'NSE - NIFTY Index Options'!$I:$I,"MDAW*")+SUMIFS('NSE - Other Index Options'!$M:$M,'NSE - Other Index Options'!$C:$C,$A129,'NSE - Other Index Options'!$B:$B,E$4,'NSE - Other Index Options'!$I:$I,"Weekly*")+SUMIFS('NSE - Other Index Options'!$M:$M,'NSE - Other Index Options'!$C:$C,$A129,'NSE - Other Index Options'!$B:$B,E$4,'NSE - Other Index Options'!$I:$I,"MDAW*"))</f>
        <v/>
      </c>
      <c r="F129" s="26">
        <f>IF(SUMIFS('NSE - NIFTY Index Options'!$M:$M,'NSE - NIFTY Index Options'!$C:$C,$A129,'NSE - NIFTY Index Options'!$B:$B,F$4,'NSE - NIFTY Index Options'!$I:$I,"Weekly*")+SUMIFS('NSE - NIFTY Index Options'!$M:$M,'NSE - NIFTY Index Options'!$C:$C,$A129,'NSE - NIFTY Index Options'!$B:$B,F$4,'NSE - NIFTY Index Options'!$I:$I,"MDAW*")+SUMIFS('NSE - Other Index Options'!$M:$M,'NSE - Other Index Options'!$C:$C,$A129,'NSE - Other Index Options'!$B:$B,F$4,'NSE - Other Index Options'!$I:$I,"Weekly*")+SUMIFS('NSE - Other Index Options'!$M:$M,'NSE - Other Index Options'!$C:$C,$A129,'NSE - Other Index Options'!$B:$B,F$4,'NSE - Other Index Options'!$I:$I,"MDAW*")=0,"",SUMIFS('NSE - NIFTY Index Options'!$M:$M,'NSE - NIFTY Index Options'!$C:$C,$A129,'NSE - NIFTY Index Options'!$B:$B,F$4,'NSE - NIFTY Index Options'!$I:$I,"Weekly*")+SUMIFS('NSE - NIFTY Index Options'!$M:$M,'NSE - NIFTY Index Options'!$C:$C,$A129,'NSE - NIFTY Index Options'!$B:$B,F$4,'NSE - NIFTY Index Options'!$I:$I,"MDAW*")+SUMIFS('NSE - Other Index Options'!$M:$M,'NSE - Other Index Options'!$C:$C,$A129,'NSE - Other Index Options'!$B:$B,F$4,'NSE - Other Index Options'!$I:$I,"Weekly*")+SUMIFS('NSE - Other Index Options'!$M:$M,'NSE - Other Index Options'!$C:$C,$A129,'NSE - Other Index Options'!$B:$B,F$4,'NSE - Other Index Options'!$I:$I,"MDAW*"))</f>
        <v/>
      </c>
      <c r="G129" s="26">
        <f>IF(SUMIFS('NSE - NIFTY Index Options'!$M:$M,'NSE - NIFTY Index Options'!$C:$C,$A129,'NSE - NIFTY Index Options'!$B:$B,G$4,'NSE - NIFTY Index Options'!$I:$I,"Weekly*")+SUMIFS('NSE - NIFTY Index Options'!$M:$M,'NSE - NIFTY Index Options'!$C:$C,$A129,'NSE - NIFTY Index Options'!$B:$B,G$4,'NSE - NIFTY Index Options'!$I:$I,"MDAW*")+SUMIFS('NSE - Other Index Options'!$M:$M,'NSE - Other Index Options'!$C:$C,$A129,'NSE - Other Index Options'!$B:$B,G$4,'NSE - Other Index Options'!$I:$I,"Weekly*")+SUMIFS('NSE - Other Index Options'!$M:$M,'NSE - Other Index Options'!$C:$C,$A129,'NSE - Other Index Options'!$B:$B,G$4,'NSE - Other Index Options'!$I:$I,"MDAW*")=0,"",SUMIFS('NSE - NIFTY Index Options'!$M:$M,'NSE - NIFTY Index Options'!$C:$C,$A129,'NSE - NIFTY Index Options'!$B:$B,G$4,'NSE - NIFTY Index Options'!$I:$I,"Weekly*")+SUMIFS('NSE - NIFTY Index Options'!$M:$M,'NSE - NIFTY Index Options'!$C:$C,$A129,'NSE - NIFTY Index Options'!$B:$B,G$4,'NSE - NIFTY Index Options'!$I:$I,"MDAW*")+SUMIFS('NSE - Other Index Options'!$M:$M,'NSE - Other Index Options'!$C:$C,$A129,'NSE - Other Index Options'!$B:$B,G$4,'NSE - Other Index Options'!$I:$I,"Weekly*")+SUMIFS('NSE - Other Index Options'!$M:$M,'NSE - Other Index Options'!$C:$C,$A129,'NSE - Other Index Options'!$B:$B,G$4,'NSE - Other Index Options'!$I:$I,"MDAW*"))</f>
        <v/>
      </c>
      <c r="H129" s="26">
        <f>IF(SUM(B129:G129)=0,"",SUM(B129:G129))</f>
        <v/>
      </c>
    </row>
    <row r="130" hidden="1" outlineLevel="1">
      <c r="A130" t="inlineStr">
        <is>
          <t>Week3-Oct-2027</t>
        </is>
      </c>
      <c r="B130" s="26">
        <f>IF(SUMIFS('NSE - NIFTY Index Options'!$M:$M,'NSE - NIFTY Index Options'!$C:$C,$A130,'NSE - NIFTY Index Options'!$B:$B,B$4,'NSE - NIFTY Index Options'!$I:$I,"Weekly*")+SUMIFS('NSE - NIFTY Index Options'!$M:$M,'NSE - NIFTY Index Options'!$C:$C,$A130,'NSE - NIFTY Index Options'!$B:$B,B$4,'NSE - NIFTY Index Options'!$I:$I,"MDAW*")+SUMIFS('NSE - Other Index Options'!$M:$M,'NSE - Other Index Options'!$C:$C,$A130,'NSE - Other Index Options'!$B:$B,B$4,'NSE - Other Index Options'!$I:$I,"Weekly*")+SUMIFS('NSE - Other Index Options'!$M:$M,'NSE - Other Index Options'!$C:$C,$A130,'NSE - Other Index Options'!$B:$B,B$4,'NSE - Other Index Options'!$I:$I,"MDAW*")=0,"",SUMIFS('NSE - NIFTY Index Options'!$M:$M,'NSE - NIFTY Index Options'!$C:$C,$A130,'NSE - NIFTY Index Options'!$B:$B,B$4,'NSE - NIFTY Index Options'!$I:$I,"Weekly*")+SUMIFS('NSE - NIFTY Index Options'!$M:$M,'NSE - NIFTY Index Options'!$C:$C,$A130,'NSE - NIFTY Index Options'!$B:$B,B$4,'NSE - NIFTY Index Options'!$I:$I,"MDAW*")+SUMIFS('NSE - Other Index Options'!$M:$M,'NSE - Other Index Options'!$C:$C,$A130,'NSE - Other Index Options'!$B:$B,B$4,'NSE - Other Index Options'!$I:$I,"Weekly*")+SUMIFS('NSE - Other Index Options'!$M:$M,'NSE - Other Index Options'!$C:$C,$A130,'NSE - Other Index Options'!$B:$B,B$4,'NSE - Other Index Options'!$I:$I,"MDAW*"))</f>
        <v/>
      </c>
      <c r="C130" s="26">
        <f>IF(SUMIFS('NSE - NIFTY Index Options'!$M:$M,'NSE - NIFTY Index Options'!$C:$C,$A130,'NSE - NIFTY Index Options'!$B:$B,C$4,'NSE - NIFTY Index Options'!$I:$I,"Weekly*")+SUMIFS('NSE - NIFTY Index Options'!$M:$M,'NSE - NIFTY Index Options'!$C:$C,$A130,'NSE - NIFTY Index Options'!$B:$B,C$4,'NSE - NIFTY Index Options'!$I:$I,"MDAW*")+SUMIFS('NSE - Other Index Options'!$M:$M,'NSE - Other Index Options'!$C:$C,$A130,'NSE - Other Index Options'!$B:$B,C$4,'NSE - Other Index Options'!$I:$I,"Weekly*")+SUMIFS('NSE - Other Index Options'!$M:$M,'NSE - Other Index Options'!$C:$C,$A130,'NSE - Other Index Options'!$B:$B,C$4,'NSE - Other Index Options'!$I:$I,"MDAW*")=0,"",SUMIFS('NSE - NIFTY Index Options'!$M:$M,'NSE - NIFTY Index Options'!$C:$C,$A130,'NSE - NIFTY Index Options'!$B:$B,C$4,'NSE - NIFTY Index Options'!$I:$I,"Weekly*")+SUMIFS('NSE - NIFTY Index Options'!$M:$M,'NSE - NIFTY Index Options'!$C:$C,$A130,'NSE - NIFTY Index Options'!$B:$B,C$4,'NSE - NIFTY Index Options'!$I:$I,"MDAW*")+SUMIFS('NSE - Other Index Options'!$M:$M,'NSE - Other Index Options'!$C:$C,$A130,'NSE - Other Index Options'!$B:$B,C$4,'NSE - Other Index Options'!$I:$I,"Weekly*")+SUMIFS('NSE - Other Index Options'!$M:$M,'NSE - Other Index Options'!$C:$C,$A130,'NSE - Other Index Options'!$B:$B,C$4,'NSE - Other Index Options'!$I:$I,"MDAW*"))</f>
        <v/>
      </c>
      <c r="D130" s="26">
        <f>IF(SUMIFS('NSE - NIFTY Index Options'!$M:$M,'NSE - NIFTY Index Options'!$C:$C,$A130,'NSE - NIFTY Index Options'!$B:$B,D$4,'NSE - NIFTY Index Options'!$I:$I,"Weekly*")+SUMIFS('NSE - NIFTY Index Options'!$M:$M,'NSE - NIFTY Index Options'!$C:$C,$A130,'NSE - NIFTY Index Options'!$B:$B,D$4,'NSE - NIFTY Index Options'!$I:$I,"MDAW*")+SUMIFS('NSE - Other Index Options'!$M:$M,'NSE - Other Index Options'!$C:$C,$A130,'NSE - Other Index Options'!$B:$B,D$4,'NSE - Other Index Options'!$I:$I,"Weekly*")+SUMIFS('NSE - Other Index Options'!$M:$M,'NSE - Other Index Options'!$C:$C,$A130,'NSE - Other Index Options'!$B:$B,D$4,'NSE - Other Index Options'!$I:$I,"MDAW*")=0,"",SUMIFS('NSE - NIFTY Index Options'!$M:$M,'NSE - NIFTY Index Options'!$C:$C,$A130,'NSE - NIFTY Index Options'!$B:$B,D$4,'NSE - NIFTY Index Options'!$I:$I,"Weekly*")+SUMIFS('NSE - NIFTY Index Options'!$M:$M,'NSE - NIFTY Index Options'!$C:$C,$A130,'NSE - NIFTY Index Options'!$B:$B,D$4,'NSE - NIFTY Index Options'!$I:$I,"MDAW*")+SUMIFS('NSE - Other Index Options'!$M:$M,'NSE - Other Index Options'!$C:$C,$A130,'NSE - Other Index Options'!$B:$B,D$4,'NSE - Other Index Options'!$I:$I,"Weekly*")+SUMIFS('NSE - Other Index Options'!$M:$M,'NSE - Other Index Options'!$C:$C,$A130,'NSE - Other Index Options'!$B:$B,D$4,'NSE - Other Index Options'!$I:$I,"MDAW*"))</f>
        <v/>
      </c>
      <c r="E130" s="26">
        <f>IF(SUMIFS('NSE - NIFTY Index Options'!$M:$M,'NSE - NIFTY Index Options'!$C:$C,$A130,'NSE - NIFTY Index Options'!$B:$B,E$4,'NSE - NIFTY Index Options'!$I:$I,"Weekly*")+SUMIFS('NSE - NIFTY Index Options'!$M:$M,'NSE - NIFTY Index Options'!$C:$C,$A130,'NSE - NIFTY Index Options'!$B:$B,E$4,'NSE - NIFTY Index Options'!$I:$I,"MDAW*")+SUMIFS('NSE - Other Index Options'!$M:$M,'NSE - Other Index Options'!$C:$C,$A130,'NSE - Other Index Options'!$B:$B,E$4,'NSE - Other Index Options'!$I:$I,"Weekly*")+SUMIFS('NSE - Other Index Options'!$M:$M,'NSE - Other Index Options'!$C:$C,$A130,'NSE - Other Index Options'!$B:$B,E$4,'NSE - Other Index Options'!$I:$I,"MDAW*")=0,"",SUMIFS('NSE - NIFTY Index Options'!$M:$M,'NSE - NIFTY Index Options'!$C:$C,$A130,'NSE - NIFTY Index Options'!$B:$B,E$4,'NSE - NIFTY Index Options'!$I:$I,"Weekly*")+SUMIFS('NSE - NIFTY Index Options'!$M:$M,'NSE - NIFTY Index Options'!$C:$C,$A130,'NSE - NIFTY Index Options'!$B:$B,E$4,'NSE - NIFTY Index Options'!$I:$I,"MDAW*")+SUMIFS('NSE - Other Index Options'!$M:$M,'NSE - Other Index Options'!$C:$C,$A130,'NSE - Other Index Options'!$B:$B,E$4,'NSE - Other Index Options'!$I:$I,"Weekly*")+SUMIFS('NSE - Other Index Options'!$M:$M,'NSE - Other Index Options'!$C:$C,$A130,'NSE - Other Index Options'!$B:$B,E$4,'NSE - Other Index Options'!$I:$I,"MDAW*"))</f>
        <v/>
      </c>
      <c r="F130" s="26">
        <f>IF(SUMIFS('NSE - NIFTY Index Options'!$M:$M,'NSE - NIFTY Index Options'!$C:$C,$A130,'NSE - NIFTY Index Options'!$B:$B,F$4,'NSE - NIFTY Index Options'!$I:$I,"Weekly*")+SUMIFS('NSE - NIFTY Index Options'!$M:$M,'NSE - NIFTY Index Options'!$C:$C,$A130,'NSE - NIFTY Index Options'!$B:$B,F$4,'NSE - NIFTY Index Options'!$I:$I,"MDAW*")+SUMIFS('NSE - Other Index Options'!$M:$M,'NSE - Other Index Options'!$C:$C,$A130,'NSE - Other Index Options'!$B:$B,F$4,'NSE - Other Index Options'!$I:$I,"Weekly*")+SUMIFS('NSE - Other Index Options'!$M:$M,'NSE - Other Index Options'!$C:$C,$A130,'NSE - Other Index Options'!$B:$B,F$4,'NSE - Other Index Options'!$I:$I,"MDAW*")=0,"",SUMIFS('NSE - NIFTY Index Options'!$M:$M,'NSE - NIFTY Index Options'!$C:$C,$A130,'NSE - NIFTY Index Options'!$B:$B,F$4,'NSE - NIFTY Index Options'!$I:$I,"Weekly*")+SUMIFS('NSE - NIFTY Index Options'!$M:$M,'NSE - NIFTY Index Options'!$C:$C,$A130,'NSE - NIFTY Index Options'!$B:$B,F$4,'NSE - NIFTY Index Options'!$I:$I,"MDAW*")+SUMIFS('NSE - Other Index Options'!$M:$M,'NSE - Other Index Options'!$C:$C,$A130,'NSE - Other Index Options'!$B:$B,F$4,'NSE - Other Index Options'!$I:$I,"Weekly*")+SUMIFS('NSE - Other Index Options'!$M:$M,'NSE - Other Index Options'!$C:$C,$A130,'NSE - Other Index Options'!$B:$B,F$4,'NSE - Other Index Options'!$I:$I,"MDAW*"))</f>
        <v/>
      </c>
      <c r="G130" s="26">
        <f>IF(SUMIFS('NSE - NIFTY Index Options'!$M:$M,'NSE - NIFTY Index Options'!$C:$C,$A130,'NSE - NIFTY Index Options'!$B:$B,G$4,'NSE - NIFTY Index Options'!$I:$I,"Weekly*")+SUMIFS('NSE - NIFTY Index Options'!$M:$M,'NSE - NIFTY Index Options'!$C:$C,$A130,'NSE - NIFTY Index Options'!$B:$B,G$4,'NSE - NIFTY Index Options'!$I:$I,"MDAW*")+SUMIFS('NSE - Other Index Options'!$M:$M,'NSE - Other Index Options'!$C:$C,$A130,'NSE - Other Index Options'!$B:$B,G$4,'NSE - Other Index Options'!$I:$I,"Weekly*")+SUMIFS('NSE - Other Index Options'!$M:$M,'NSE - Other Index Options'!$C:$C,$A130,'NSE - Other Index Options'!$B:$B,G$4,'NSE - Other Index Options'!$I:$I,"MDAW*")=0,"",SUMIFS('NSE - NIFTY Index Options'!$M:$M,'NSE - NIFTY Index Options'!$C:$C,$A130,'NSE - NIFTY Index Options'!$B:$B,G$4,'NSE - NIFTY Index Options'!$I:$I,"Weekly*")+SUMIFS('NSE - NIFTY Index Options'!$M:$M,'NSE - NIFTY Index Options'!$C:$C,$A130,'NSE - NIFTY Index Options'!$B:$B,G$4,'NSE - NIFTY Index Options'!$I:$I,"MDAW*")+SUMIFS('NSE - Other Index Options'!$M:$M,'NSE - Other Index Options'!$C:$C,$A130,'NSE - Other Index Options'!$B:$B,G$4,'NSE - Other Index Options'!$I:$I,"Weekly*")+SUMIFS('NSE - Other Index Options'!$M:$M,'NSE - Other Index Options'!$C:$C,$A130,'NSE - Other Index Options'!$B:$B,G$4,'NSE - Other Index Options'!$I:$I,"MDAW*"))</f>
        <v/>
      </c>
      <c r="H130" s="26">
        <f>IF(SUM(B130:G130)=0,"",SUM(B130:G130))</f>
        <v/>
      </c>
    </row>
    <row r="131" hidden="1" outlineLevel="1">
      <c r="A131" t="inlineStr">
        <is>
          <t>Week4-Oct-2027</t>
        </is>
      </c>
      <c r="B131" s="26">
        <f>IF(SUMIFS('NSE - NIFTY Index Options'!$M:$M,'NSE - NIFTY Index Options'!$C:$C,$A131,'NSE - NIFTY Index Options'!$B:$B,B$4,'NSE - NIFTY Index Options'!$I:$I,"Weekly*")+SUMIFS('NSE - NIFTY Index Options'!$M:$M,'NSE - NIFTY Index Options'!$C:$C,$A131,'NSE - NIFTY Index Options'!$B:$B,B$4,'NSE - NIFTY Index Options'!$I:$I,"MDAW*")+SUMIFS('NSE - Other Index Options'!$M:$M,'NSE - Other Index Options'!$C:$C,$A131,'NSE - Other Index Options'!$B:$B,B$4,'NSE - Other Index Options'!$I:$I,"Weekly*")+SUMIFS('NSE - Other Index Options'!$M:$M,'NSE - Other Index Options'!$C:$C,$A131,'NSE - Other Index Options'!$B:$B,B$4,'NSE - Other Index Options'!$I:$I,"MDAW*")=0,"",SUMIFS('NSE - NIFTY Index Options'!$M:$M,'NSE - NIFTY Index Options'!$C:$C,$A131,'NSE - NIFTY Index Options'!$B:$B,B$4,'NSE - NIFTY Index Options'!$I:$I,"Weekly*")+SUMIFS('NSE - NIFTY Index Options'!$M:$M,'NSE - NIFTY Index Options'!$C:$C,$A131,'NSE - NIFTY Index Options'!$B:$B,B$4,'NSE - NIFTY Index Options'!$I:$I,"MDAW*")+SUMIFS('NSE - Other Index Options'!$M:$M,'NSE - Other Index Options'!$C:$C,$A131,'NSE - Other Index Options'!$B:$B,B$4,'NSE - Other Index Options'!$I:$I,"Weekly*")+SUMIFS('NSE - Other Index Options'!$M:$M,'NSE - Other Index Options'!$C:$C,$A131,'NSE - Other Index Options'!$B:$B,B$4,'NSE - Other Index Options'!$I:$I,"MDAW*"))</f>
        <v/>
      </c>
      <c r="C131" s="26">
        <f>IF(SUMIFS('NSE - NIFTY Index Options'!$M:$M,'NSE - NIFTY Index Options'!$C:$C,$A131,'NSE - NIFTY Index Options'!$B:$B,C$4,'NSE - NIFTY Index Options'!$I:$I,"Weekly*")+SUMIFS('NSE - NIFTY Index Options'!$M:$M,'NSE - NIFTY Index Options'!$C:$C,$A131,'NSE - NIFTY Index Options'!$B:$B,C$4,'NSE - NIFTY Index Options'!$I:$I,"MDAW*")+SUMIFS('NSE - Other Index Options'!$M:$M,'NSE - Other Index Options'!$C:$C,$A131,'NSE - Other Index Options'!$B:$B,C$4,'NSE - Other Index Options'!$I:$I,"Weekly*")+SUMIFS('NSE - Other Index Options'!$M:$M,'NSE - Other Index Options'!$C:$C,$A131,'NSE - Other Index Options'!$B:$B,C$4,'NSE - Other Index Options'!$I:$I,"MDAW*")=0,"",SUMIFS('NSE - NIFTY Index Options'!$M:$M,'NSE - NIFTY Index Options'!$C:$C,$A131,'NSE - NIFTY Index Options'!$B:$B,C$4,'NSE - NIFTY Index Options'!$I:$I,"Weekly*")+SUMIFS('NSE - NIFTY Index Options'!$M:$M,'NSE - NIFTY Index Options'!$C:$C,$A131,'NSE - NIFTY Index Options'!$B:$B,C$4,'NSE - NIFTY Index Options'!$I:$I,"MDAW*")+SUMIFS('NSE - Other Index Options'!$M:$M,'NSE - Other Index Options'!$C:$C,$A131,'NSE - Other Index Options'!$B:$B,C$4,'NSE - Other Index Options'!$I:$I,"Weekly*")+SUMIFS('NSE - Other Index Options'!$M:$M,'NSE - Other Index Options'!$C:$C,$A131,'NSE - Other Index Options'!$B:$B,C$4,'NSE - Other Index Options'!$I:$I,"MDAW*"))</f>
        <v/>
      </c>
      <c r="D131" s="26">
        <f>IF(SUMIFS('NSE - NIFTY Index Options'!$M:$M,'NSE - NIFTY Index Options'!$C:$C,$A131,'NSE - NIFTY Index Options'!$B:$B,D$4,'NSE - NIFTY Index Options'!$I:$I,"Weekly*")+SUMIFS('NSE - NIFTY Index Options'!$M:$M,'NSE - NIFTY Index Options'!$C:$C,$A131,'NSE - NIFTY Index Options'!$B:$B,D$4,'NSE - NIFTY Index Options'!$I:$I,"MDAW*")+SUMIFS('NSE - Other Index Options'!$M:$M,'NSE - Other Index Options'!$C:$C,$A131,'NSE - Other Index Options'!$B:$B,D$4,'NSE - Other Index Options'!$I:$I,"Weekly*")+SUMIFS('NSE - Other Index Options'!$M:$M,'NSE - Other Index Options'!$C:$C,$A131,'NSE - Other Index Options'!$B:$B,D$4,'NSE - Other Index Options'!$I:$I,"MDAW*")=0,"",SUMIFS('NSE - NIFTY Index Options'!$M:$M,'NSE - NIFTY Index Options'!$C:$C,$A131,'NSE - NIFTY Index Options'!$B:$B,D$4,'NSE - NIFTY Index Options'!$I:$I,"Weekly*")+SUMIFS('NSE - NIFTY Index Options'!$M:$M,'NSE - NIFTY Index Options'!$C:$C,$A131,'NSE - NIFTY Index Options'!$B:$B,D$4,'NSE - NIFTY Index Options'!$I:$I,"MDAW*")+SUMIFS('NSE - Other Index Options'!$M:$M,'NSE - Other Index Options'!$C:$C,$A131,'NSE - Other Index Options'!$B:$B,D$4,'NSE - Other Index Options'!$I:$I,"Weekly*")+SUMIFS('NSE - Other Index Options'!$M:$M,'NSE - Other Index Options'!$C:$C,$A131,'NSE - Other Index Options'!$B:$B,D$4,'NSE - Other Index Options'!$I:$I,"MDAW*"))</f>
        <v/>
      </c>
      <c r="E131" s="26">
        <f>IF(SUMIFS('NSE - NIFTY Index Options'!$M:$M,'NSE - NIFTY Index Options'!$C:$C,$A131,'NSE - NIFTY Index Options'!$B:$B,E$4,'NSE - NIFTY Index Options'!$I:$I,"Weekly*")+SUMIFS('NSE - NIFTY Index Options'!$M:$M,'NSE - NIFTY Index Options'!$C:$C,$A131,'NSE - NIFTY Index Options'!$B:$B,E$4,'NSE - NIFTY Index Options'!$I:$I,"MDAW*")+SUMIFS('NSE - Other Index Options'!$M:$M,'NSE - Other Index Options'!$C:$C,$A131,'NSE - Other Index Options'!$B:$B,E$4,'NSE - Other Index Options'!$I:$I,"Weekly*")+SUMIFS('NSE - Other Index Options'!$M:$M,'NSE - Other Index Options'!$C:$C,$A131,'NSE - Other Index Options'!$B:$B,E$4,'NSE - Other Index Options'!$I:$I,"MDAW*")=0,"",SUMIFS('NSE - NIFTY Index Options'!$M:$M,'NSE - NIFTY Index Options'!$C:$C,$A131,'NSE - NIFTY Index Options'!$B:$B,E$4,'NSE - NIFTY Index Options'!$I:$I,"Weekly*")+SUMIFS('NSE - NIFTY Index Options'!$M:$M,'NSE - NIFTY Index Options'!$C:$C,$A131,'NSE - NIFTY Index Options'!$B:$B,E$4,'NSE - NIFTY Index Options'!$I:$I,"MDAW*")+SUMIFS('NSE - Other Index Options'!$M:$M,'NSE - Other Index Options'!$C:$C,$A131,'NSE - Other Index Options'!$B:$B,E$4,'NSE - Other Index Options'!$I:$I,"Weekly*")+SUMIFS('NSE - Other Index Options'!$M:$M,'NSE - Other Index Options'!$C:$C,$A131,'NSE - Other Index Options'!$B:$B,E$4,'NSE - Other Index Options'!$I:$I,"MDAW*"))</f>
        <v/>
      </c>
      <c r="F131" s="26">
        <f>IF(SUMIFS('NSE - NIFTY Index Options'!$M:$M,'NSE - NIFTY Index Options'!$C:$C,$A131,'NSE - NIFTY Index Options'!$B:$B,F$4,'NSE - NIFTY Index Options'!$I:$I,"Weekly*")+SUMIFS('NSE - NIFTY Index Options'!$M:$M,'NSE - NIFTY Index Options'!$C:$C,$A131,'NSE - NIFTY Index Options'!$B:$B,F$4,'NSE - NIFTY Index Options'!$I:$I,"MDAW*")+SUMIFS('NSE - Other Index Options'!$M:$M,'NSE - Other Index Options'!$C:$C,$A131,'NSE - Other Index Options'!$B:$B,F$4,'NSE - Other Index Options'!$I:$I,"Weekly*")+SUMIFS('NSE - Other Index Options'!$M:$M,'NSE - Other Index Options'!$C:$C,$A131,'NSE - Other Index Options'!$B:$B,F$4,'NSE - Other Index Options'!$I:$I,"MDAW*")=0,"",SUMIFS('NSE - NIFTY Index Options'!$M:$M,'NSE - NIFTY Index Options'!$C:$C,$A131,'NSE - NIFTY Index Options'!$B:$B,F$4,'NSE - NIFTY Index Options'!$I:$I,"Weekly*")+SUMIFS('NSE - NIFTY Index Options'!$M:$M,'NSE - NIFTY Index Options'!$C:$C,$A131,'NSE - NIFTY Index Options'!$B:$B,F$4,'NSE - NIFTY Index Options'!$I:$I,"MDAW*")+SUMIFS('NSE - Other Index Options'!$M:$M,'NSE - Other Index Options'!$C:$C,$A131,'NSE - Other Index Options'!$B:$B,F$4,'NSE - Other Index Options'!$I:$I,"Weekly*")+SUMIFS('NSE - Other Index Options'!$M:$M,'NSE - Other Index Options'!$C:$C,$A131,'NSE - Other Index Options'!$B:$B,F$4,'NSE - Other Index Options'!$I:$I,"MDAW*"))</f>
        <v/>
      </c>
      <c r="G131" s="26">
        <f>IF(SUMIFS('NSE - NIFTY Index Options'!$M:$M,'NSE - NIFTY Index Options'!$C:$C,$A131,'NSE - NIFTY Index Options'!$B:$B,G$4,'NSE - NIFTY Index Options'!$I:$I,"Weekly*")+SUMIFS('NSE - NIFTY Index Options'!$M:$M,'NSE - NIFTY Index Options'!$C:$C,$A131,'NSE - NIFTY Index Options'!$B:$B,G$4,'NSE - NIFTY Index Options'!$I:$I,"MDAW*")+SUMIFS('NSE - Other Index Options'!$M:$M,'NSE - Other Index Options'!$C:$C,$A131,'NSE - Other Index Options'!$B:$B,G$4,'NSE - Other Index Options'!$I:$I,"Weekly*")+SUMIFS('NSE - Other Index Options'!$M:$M,'NSE - Other Index Options'!$C:$C,$A131,'NSE - Other Index Options'!$B:$B,G$4,'NSE - Other Index Options'!$I:$I,"MDAW*")=0,"",SUMIFS('NSE - NIFTY Index Options'!$M:$M,'NSE - NIFTY Index Options'!$C:$C,$A131,'NSE - NIFTY Index Options'!$B:$B,G$4,'NSE - NIFTY Index Options'!$I:$I,"Weekly*")+SUMIFS('NSE - NIFTY Index Options'!$M:$M,'NSE - NIFTY Index Options'!$C:$C,$A131,'NSE - NIFTY Index Options'!$B:$B,G$4,'NSE - NIFTY Index Options'!$I:$I,"MDAW*")+SUMIFS('NSE - Other Index Options'!$M:$M,'NSE - Other Index Options'!$C:$C,$A131,'NSE - Other Index Options'!$B:$B,G$4,'NSE - Other Index Options'!$I:$I,"Weekly*")+SUMIFS('NSE - Other Index Options'!$M:$M,'NSE - Other Index Options'!$C:$C,$A131,'NSE - Other Index Options'!$B:$B,G$4,'NSE - Other Index Options'!$I:$I,"MDAW*"))</f>
        <v/>
      </c>
      <c r="H131" s="26">
        <f>IF(SUM(B131:G131)=0,"",SUM(B131:G131))</f>
        <v/>
      </c>
    </row>
    <row r="132" hidden="1" outlineLevel="1">
      <c r="A132" t="inlineStr">
        <is>
          <t>Week5-Oct-2027</t>
        </is>
      </c>
      <c r="B132" s="26">
        <f>IF(SUMIFS('NSE - NIFTY Index Options'!$M:$M,'NSE - NIFTY Index Options'!$C:$C,$A132,'NSE - NIFTY Index Options'!$B:$B,B$4,'NSE - NIFTY Index Options'!$I:$I,"Weekly*")+SUMIFS('NSE - NIFTY Index Options'!$M:$M,'NSE - NIFTY Index Options'!$C:$C,$A132,'NSE - NIFTY Index Options'!$B:$B,B$4,'NSE - NIFTY Index Options'!$I:$I,"MDAW*")+SUMIFS('NSE - Other Index Options'!$M:$M,'NSE - Other Index Options'!$C:$C,$A132,'NSE - Other Index Options'!$B:$B,B$4,'NSE - Other Index Options'!$I:$I,"Weekly*")+SUMIFS('NSE - Other Index Options'!$M:$M,'NSE - Other Index Options'!$C:$C,$A132,'NSE - Other Index Options'!$B:$B,B$4,'NSE - Other Index Options'!$I:$I,"MDAW*")=0,"",SUMIFS('NSE - NIFTY Index Options'!$M:$M,'NSE - NIFTY Index Options'!$C:$C,$A132,'NSE - NIFTY Index Options'!$B:$B,B$4,'NSE - NIFTY Index Options'!$I:$I,"Weekly*")+SUMIFS('NSE - NIFTY Index Options'!$M:$M,'NSE - NIFTY Index Options'!$C:$C,$A132,'NSE - NIFTY Index Options'!$B:$B,B$4,'NSE - NIFTY Index Options'!$I:$I,"MDAW*")+SUMIFS('NSE - Other Index Options'!$M:$M,'NSE - Other Index Options'!$C:$C,$A132,'NSE - Other Index Options'!$B:$B,B$4,'NSE - Other Index Options'!$I:$I,"Weekly*")+SUMIFS('NSE - Other Index Options'!$M:$M,'NSE - Other Index Options'!$C:$C,$A132,'NSE - Other Index Options'!$B:$B,B$4,'NSE - Other Index Options'!$I:$I,"MDAW*"))</f>
        <v/>
      </c>
      <c r="C132" s="26">
        <f>IF(SUMIFS('NSE - NIFTY Index Options'!$M:$M,'NSE - NIFTY Index Options'!$C:$C,$A132,'NSE - NIFTY Index Options'!$B:$B,C$4,'NSE - NIFTY Index Options'!$I:$I,"Weekly*")+SUMIFS('NSE - NIFTY Index Options'!$M:$M,'NSE - NIFTY Index Options'!$C:$C,$A132,'NSE - NIFTY Index Options'!$B:$B,C$4,'NSE - NIFTY Index Options'!$I:$I,"MDAW*")+SUMIFS('NSE - Other Index Options'!$M:$M,'NSE - Other Index Options'!$C:$C,$A132,'NSE - Other Index Options'!$B:$B,C$4,'NSE - Other Index Options'!$I:$I,"Weekly*")+SUMIFS('NSE - Other Index Options'!$M:$M,'NSE - Other Index Options'!$C:$C,$A132,'NSE - Other Index Options'!$B:$B,C$4,'NSE - Other Index Options'!$I:$I,"MDAW*")=0,"",SUMIFS('NSE - NIFTY Index Options'!$M:$M,'NSE - NIFTY Index Options'!$C:$C,$A132,'NSE - NIFTY Index Options'!$B:$B,C$4,'NSE - NIFTY Index Options'!$I:$I,"Weekly*")+SUMIFS('NSE - NIFTY Index Options'!$M:$M,'NSE - NIFTY Index Options'!$C:$C,$A132,'NSE - NIFTY Index Options'!$B:$B,C$4,'NSE - NIFTY Index Options'!$I:$I,"MDAW*")+SUMIFS('NSE - Other Index Options'!$M:$M,'NSE - Other Index Options'!$C:$C,$A132,'NSE - Other Index Options'!$B:$B,C$4,'NSE - Other Index Options'!$I:$I,"Weekly*")+SUMIFS('NSE - Other Index Options'!$M:$M,'NSE - Other Index Options'!$C:$C,$A132,'NSE - Other Index Options'!$B:$B,C$4,'NSE - Other Index Options'!$I:$I,"MDAW*"))</f>
        <v/>
      </c>
      <c r="D132" s="26">
        <f>IF(SUMIFS('NSE - NIFTY Index Options'!$M:$M,'NSE - NIFTY Index Options'!$C:$C,$A132,'NSE - NIFTY Index Options'!$B:$B,D$4,'NSE - NIFTY Index Options'!$I:$I,"Weekly*")+SUMIFS('NSE - NIFTY Index Options'!$M:$M,'NSE - NIFTY Index Options'!$C:$C,$A132,'NSE - NIFTY Index Options'!$B:$B,D$4,'NSE - NIFTY Index Options'!$I:$I,"MDAW*")+SUMIFS('NSE - Other Index Options'!$M:$M,'NSE - Other Index Options'!$C:$C,$A132,'NSE - Other Index Options'!$B:$B,D$4,'NSE - Other Index Options'!$I:$I,"Weekly*")+SUMIFS('NSE - Other Index Options'!$M:$M,'NSE - Other Index Options'!$C:$C,$A132,'NSE - Other Index Options'!$B:$B,D$4,'NSE - Other Index Options'!$I:$I,"MDAW*")=0,"",SUMIFS('NSE - NIFTY Index Options'!$M:$M,'NSE - NIFTY Index Options'!$C:$C,$A132,'NSE - NIFTY Index Options'!$B:$B,D$4,'NSE - NIFTY Index Options'!$I:$I,"Weekly*")+SUMIFS('NSE - NIFTY Index Options'!$M:$M,'NSE - NIFTY Index Options'!$C:$C,$A132,'NSE - NIFTY Index Options'!$B:$B,D$4,'NSE - NIFTY Index Options'!$I:$I,"MDAW*")+SUMIFS('NSE - Other Index Options'!$M:$M,'NSE - Other Index Options'!$C:$C,$A132,'NSE - Other Index Options'!$B:$B,D$4,'NSE - Other Index Options'!$I:$I,"Weekly*")+SUMIFS('NSE - Other Index Options'!$M:$M,'NSE - Other Index Options'!$C:$C,$A132,'NSE - Other Index Options'!$B:$B,D$4,'NSE - Other Index Options'!$I:$I,"MDAW*"))</f>
        <v/>
      </c>
      <c r="E132" s="26">
        <f>IF(SUMIFS('NSE - NIFTY Index Options'!$M:$M,'NSE - NIFTY Index Options'!$C:$C,$A132,'NSE - NIFTY Index Options'!$B:$B,E$4,'NSE - NIFTY Index Options'!$I:$I,"Weekly*")+SUMIFS('NSE - NIFTY Index Options'!$M:$M,'NSE - NIFTY Index Options'!$C:$C,$A132,'NSE - NIFTY Index Options'!$B:$B,E$4,'NSE - NIFTY Index Options'!$I:$I,"MDAW*")+SUMIFS('NSE - Other Index Options'!$M:$M,'NSE - Other Index Options'!$C:$C,$A132,'NSE - Other Index Options'!$B:$B,E$4,'NSE - Other Index Options'!$I:$I,"Weekly*")+SUMIFS('NSE - Other Index Options'!$M:$M,'NSE - Other Index Options'!$C:$C,$A132,'NSE - Other Index Options'!$B:$B,E$4,'NSE - Other Index Options'!$I:$I,"MDAW*")=0,"",SUMIFS('NSE - NIFTY Index Options'!$M:$M,'NSE - NIFTY Index Options'!$C:$C,$A132,'NSE - NIFTY Index Options'!$B:$B,E$4,'NSE - NIFTY Index Options'!$I:$I,"Weekly*")+SUMIFS('NSE - NIFTY Index Options'!$M:$M,'NSE - NIFTY Index Options'!$C:$C,$A132,'NSE - NIFTY Index Options'!$B:$B,E$4,'NSE - NIFTY Index Options'!$I:$I,"MDAW*")+SUMIFS('NSE - Other Index Options'!$M:$M,'NSE - Other Index Options'!$C:$C,$A132,'NSE - Other Index Options'!$B:$B,E$4,'NSE - Other Index Options'!$I:$I,"Weekly*")+SUMIFS('NSE - Other Index Options'!$M:$M,'NSE - Other Index Options'!$C:$C,$A132,'NSE - Other Index Options'!$B:$B,E$4,'NSE - Other Index Options'!$I:$I,"MDAW*"))</f>
        <v/>
      </c>
      <c r="F132" s="26">
        <f>IF(SUMIFS('NSE - NIFTY Index Options'!$M:$M,'NSE - NIFTY Index Options'!$C:$C,$A132,'NSE - NIFTY Index Options'!$B:$B,F$4,'NSE - NIFTY Index Options'!$I:$I,"Weekly*")+SUMIFS('NSE - NIFTY Index Options'!$M:$M,'NSE - NIFTY Index Options'!$C:$C,$A132,'NSE - NIFTY Index Options'!$B:$B,F$4,'NSE - NIFTY Index Options'!$I:$I,"MDAW*")+SUMIFS('NSE - Other Index Options'!$M:$M,'NSE - Other Index Options'!$C:$C,$A132,'NSE - Other Index Options'!$B:$B,F$4,'NSE - Other Index Options'!$I:$I,"Weekly*")+SUMIFS('NSE - Other Index Options'!$M:$M,'NSE - Other Index Options'!$C:$C,$A132,'NSE - Other Index Options'!$B:$B,F$4,'NSE - Other Index Options'!$I:$I,"MDAW*")=0,"",SUMIFS('NSE - NIFTY Index Options'!$M:$M,'NSE - NIFTY Index Options'!$C:$C,$A132,'NSE - NIFTY Index Options'!$B:$B,F$4,'NSE - NIFTY Index Options'!$I:$I,"Weekly*")+SUMIFS('NSE - NIFTY Index Options'!$M:$M,'NSE - NIFTY Index Options'!$C:$C,$A132,'NSE - NIFTY Index Options'!$B:$B,F$4,'NSE - NIFTY Index Options'!$I:$I,"MDAW*")+SUMIFS('NSE - Other Index Options'!$M:$M,'NSE - Other Index Options'!$C:$C,$A132,'NSE - Other Index Options'!$B:$B,F$4,'NSE - Other Index Options'!$I:$I,"Weekly*")+SUMIFS('NSE - Other Index Options'!$M:$M,'NSE - Other Index Options'!$C:$C,$A132,'NSE - Other Index Options'!$B:$B,F$4,'NSE - Other Index Options'!$I:$I,"MDAW*"))</f>
        <v/>
      </c>
      <c r="G132" s="26">
        <f>IF(SUMIFS('NSE - NIFTY Index Options'!$M:$M,'NSE - NIFTY Index Options'!$C:$C,$A132,'NSE - NIFTY Index Options'!$B:$B,G$4,'NSE - NIFTY Index Options'!$I:$I,"Weekly*")+SUMIFS('NSE - NIFTY Index Options'!$M:$M,'NSE - NIFTY Index Options'!$C:$C,$A132,'NSE - NIFTY Index Options'!$B:$B,G$4,'NSE - NIFTY Index Options'!$I:$I,"MDAW*")+SUMIFS('NSE - Other Index Options'!$M:$M,'NSE - Other Index Options'!$C:$C,$A132,'NSE - Other Index Options'!$B:$B,G$4,'NSE - Other Index Options'!$I:$I,"Weekly*")+SUMIFS('NSE - Other Index Options'!$M:$M,'NSE - Other Index Options'!$C:$C,$A132,'NSE - Other Index Options'!$B:$B,G$4,'NSE - Other Index Options'!$I:$I,"MDAW*")=0,"",SUMIFS('NSE - NIFTY Index Options'!$M:$M,'NSE - NIFTY Index Options'!$C:$C,$A132,'NSE - NIFTY Index Options'!$B:$B,G$4,'NSE - NIFTY Index Options'!$I:$I,"Weekly*")+SUMIFS('NSE - NIFTY Index Options'!$M:$M,'NSE - NIFTY Index Options'!$C:$C,$A132,'NSE - NIFTY Index Options'!$B:$B,G$4,'NSE - NIFTY Index Options'!$I:$I,"MDAW*")+SUMIFS('NSE - Other Index Options'!$M:$M,'NSE - Other Index Options'!$C:$C,$A132,'NSE - Other Index Options'!$B:$B,G$4,'NSE - Other Index Options'!$I:$I,"Weekly*")+SUMIFS('NSE - Other Index Options'!$M:$M,'NSE - Other Index Options'!$C:$C,$A132,'NSE - Other Index Options'!$B:$B,G$4,'NSE - Other Index Options'!$I:$I,"MDAW*"))</f>
        <v/>
      </c>
      <c r="H132" s="26">
        <f>IF(SUM(B132:G132)=0,"",SUM(B132:G132))</f>
        <v/>
      </c>
    </row>
    <row r="133" hidden="1" outlineLevel="1">
      <c r="A133" t="inlineStr">
        <is>
          <t>Week1-Nov-2027</t>
        </is>
      </c>
      <c r="B133" s="26">
        <f>IF(SUMIFS('NSE - NIFTY Index Options'!$M:$M,'NSE - NIFTY Index Options'!$C:$C,$A133,'NSE - NIFTY Index Options'!$B:$B,B$4,'NSE - NIFTY Index Options'!$I:$I,"Weekly*")+SUMIFS('NSE - NIFTY Index Options'!$M:$M,'NSE - NIFTY Index Options'!$C:$C,$A133,'NSE - NIFTY Index Options'!$B:$B,B$4,'NSE - NIFTY Index Options'!$I:$I,"MDAW*")+SUMIFS('NSE - Other Index Options'!$M:$M,'NSE - Other Index Options'!$C:$C,$A133,'NSE - Other Index Options'!$B:$B,B$4,'NSE - Other Index Options'!$I:$I,"Weekly*")+SUMIFS('NSE - Other Index Options'!$M:$M,'NSE - Other Index Options'!$C:$C,$A133,'NSE - Other Index Options'!$B:$B,B$4,'NSE - Other Index Options'!$I:$I,"MDAW*")=0,"",SUMIFS('NSE - NIFTY Index Options'!$M:$M,'NSE - NIFTY Index Options'!$C:$C,$A133,'NSE - NIFTY Index Options'!$B:$B,B$4,'NSE - NIFTY Index Options'!$I:$I,"Weekly*")+SUMIFS('NSE - NIFTY Index Options'!$M:$M,'NSE - NIFTY Index Options'!$C:$C,$A133,'NSE - NIFTY Index Options'!$B:$B,B$4,'NSE - NIFTY Index Options'!$I:$I,"MDAW*")+SUMIFS('NSE - Other Index Options'!$M:$M,'NSE - Other Index Options'!$C:$C,$A133,'NSE - Other Index Options'!$B:$B,B$4,'NSE - Other Index Options'!$I:$I,"Weekly*")+SUMIFS('NSE - Other Index Options'!$M:$M,'NSE - Other Index Options'!$C:$C,$A133,'NSE - Other Index Options'!$B:$B,B$4,'NSE - Other Index Options'!$I:$I,"MDAW*"))</f>
        <v/>
      </c>
      <c r="C133" s="26">
        <f>IF(SUMIFS('NSE - NIFTY Index Options'!$M:$M,'NSE - NIFTY Index Options'!$C:$C,$A133,'NSE - NIFTY Index Options'!$B:$B,C$4,'NSE - NIFTY Index Options'!$I:$I,"Weekly*")+SUMIFS('NSE - NIFTY Index Options'!$M:$M,'NSE - NIFTY Index Options'!$C:$C,$A133,'NSE - NIFTY Index Options'!$B:$B,C$4,'NSE - NIFTY Index Options'!$I:$I,"MDAW*")+SUMIFS('NSE - Other Index Options'!$M:$M,'NSE - Other Index Options'!$C:$C,$A133,'NSE - Other Index Options'!$B:$B,C$4,'NSE - Other Index Options'!$I:$I,"Weekly*")+SUMIFS('NSE - Other Index Options'!$M:$M,'NSE - Other Index Options'!$C:$C,$A133,'NSE - Other Index Options'!$B:$B,C$4,'NSE - Other Index Options'!$I:$I,"MDAW*")=0,"",SUMIFS('NSE - NIFTY Index Options'!$M:$M,'NSE - NIFTY Index Options'!$C:$C,$A133,'NSE - NIFTY Index Options'!$B:$B,C$4,'NSE - NIFTY Index Options'!$I:$I,"Weekly*")+SUMIFS('NSE - NIFTY Index Options'!$M:$M,'NSE - NIFTY Index Options'!$C:$C,$A133,'NSE - NIFTY Index Options'!$B:$B,C$4,'NSE - NIFTY Index Options'!$I:$I,"MDAW*")+SUMIFS('NSE - Other Index Options'!$M:$M,'NSE - Other Index Options'!$C:$C,$A133,'NSE - Other Index Options'!$B:$B,C$4,'NSE - Other Index Options'!$I:$I,"Weekly*")+SUMIFS('NSE - Other Index Options'!$M:$M,'NSE - Other Index Options'!$C:$C,$A133,'NSE - Other Index Options'!$B:$B,C$4,'NSE - Other Index Options'!$I:$I,"MDAW*"))</f>
        <v/>
      </c>
      <c r="D133" s="26">
        <f>IF(SUMIFS('NSE - NIFTY Index Options'!$M:$M,'NSE - NIFTY Index Options'!$C:$C,$A133,'NSE - NIFTY Index Options'!$B:$B,D$4,'NSE - NIFTY Index Options'!$I:$I,"Weekly*")+SUMIFS('NSE - NIFTY Index Options'!$M:$M,'NSE - NIFTY Index Options'!$C:$C,$A133,'NSE - NIFTY Index Options'!$B:$B,D$4,'NSE - NIFTY Index Options'!$I:$I,"MDAW*")+SUMIFS('NSE - Other Index Options'!$M:$M,'NSE - Other Index Options'!$C:$C,$A133,'NSE - Other Index Options'!$B:$B,D$4,'NSE - Other Index Options'!$I:$I,"Weekly*")+SUMIFS('NSE - Other Index Options'!$M:$M,'NSE - Other Index Options'!$C:$C,$A133,'NSE - Other Index Options'!$B:$B,D$4,'NSE - Other Index Options'!$I:$I,"MDAW*")=0,"",SUMIFS('NSE - NIFTY Index Options'!$M:$M,'NSE - NIFTY Index Options'!$C:$C,$A133,'NSE - NIFTY Index Options'!$B:$B,D$4,'NSE - NIFTY Index Options'!$I:$I,"Weekly*")+SUMIFS('NSE - NIFTY Index Options'!$M:$M,'NSE - NIFTY Index Options'!$C:$C,$A133,'NSE - NIFTY Index Options'!$B:$B,D$4,'NSE - NIFTY Index Options'!$I:$I,"MDAW*")+SUMIFS('NSE - Other Index Options'!$M:$M,'NSE - Other Index Options'!$C:$C,$A133,'NSE - Other Index Options'!$B:$B,D$4,'NSE - Other Index Options'!$I:$I,"Weekly*")+SUMIFS('NSE - Other Index Options'!$M:$M,'NSE - Other Index Options'!$C:$C,$A133,'NSE - Other Index Options'!$B:$B,D$4,'NSE - Other Index Options'!$I:$I,"MDAW*"))</f>
        <v/>
      </c>
      <c r="E133" s="26">
        <f>IF(SUMIFS('NSE - NIFTY Index Options'!$M:$M,'NSE - NIFTY Index Options'!$C:$C,$A133,'NSE - NIFTY Index Options'!$B:$B,E$4,'NSE - NIFTY Index Options'!$I:$I,"Weekly*")+SUMIFS('NSE - NIFTY Index Options'!$M:$M,'NSE - NIFTY Index Options'!$C:$C,$A133,'NSE - NIFTY Index Options'!$B:$B,E$4,'NSE - NIFTY Index Options'!$I:$I,"MDAW*")+SUMIFS('NSE - Other Index Options'!$M:$M,'NSE - Other Index Options'!$C:$C,$A133,'NSE - Other Index Options'!$B:$B,E$4,'NSE - Other Index Options'!$I:$I,"Weekly*")+SUMIFS('NSE - Other Index Options'!$M:$M,'NSE - Other Index Options'!$C:$C,$A133,'NSE - Other Index Options'!$B:$B,E$4,'NSE - Other Index Options'!$I:$I,"MDAW*")=0,"",SUMIFS('NSE - NIFTY Index Options'!$M:$M,'NSE - NIFTY Index Options'!$C:$C,$A133,'NSE - NIFTY Index Options'!$B:$B,E$4,'NSE - NIFTY Index Options'!$I:$I,"Weekly*")+SUMIFS('NSE - NIFTY Index Options'!$M:$M,'NSE - NIFTY Index Options'!$C:$C,$A133,'NSE - NIFTY Index Options'!$B:$B,E$4,'NSE - NIFTY Index Options'!$I:$I,"MDAW*")+SUMIFS('NSE - Other Index Options'!$M:$M,'NSE - Other Index Options'!$C:$C,$A133,'NSE - Other Index Options'!$B:$B,E$4,'NSE - Other Index Options'!$I:$I,"Weekly*")+SUMIFS('NSE - Other Index Options'!$M:$M,'NSE - Other Index Options'!$C:$C,$A133,'NSE - Other Index Options'!$B:$B,E$4,'NSE - Other Index Options'!$I:$I,"MDAW*"))</f>
        <v/>
      </c>
      <c r="F133" s="26">
        <f>IF(SUMIFS('NSE - NIFTY Index Options'!$M:$M,'NSE - NIFTY Index Options'!$C:$C,$A133,'NSE - NIFTY Index Options'!$B:$B,F$4,'NSE - NIFTY Index Options'!$I:$I,"Weekly*")+SUMIFS('NSE - NIFTY Index Options'!$M:$M,'NSE - NIFTY Index Options'!$C:$C,$A133,'NSE - NIFTY Index Options'!$B:$B,F$4,'NSE - NIFTY Index Options'!$I:$I,"MDAW*")+SUMIFS('NSE - Other Index Options'!$M:$M,'NSE - Other Index Options'!$C:$C,$A133,'NSE - Other Index Options'!$B:$B,F$4,'NSE - Other Index Options'!$I:$I,"Weekly*")+SUMIFS('NSE - Other Index Options'!$M:$M,'NSE - Other Index Options'!$C:$C,$A133,'NSE - Other Index Options'!$B:$B,F$4,'NSE - Other Index Options'!$I:$I,"MDAW*")=0,"",SUMIFS('NSE - NIFTY Index Options'!$M:$M,'NSE - NIFTY Index Options'!$C:$C,$A133,'NSE - NIFTY Index Options'!$B:$B,F$4,'NSE - NIFTY Index Options'!$I:$I,"Weekly*")+SUMIFS('NSE - NIFTY Index Options'!$M:$M,'NSE - NIFTY Index Options'!$C:$C,$A133,'NSE - NIFTY Index Options'!$B:$B,F$4,'NSE - NIFTY Index Options'!$I:$I,"MDAW*")+SUMIFS('NSE - Other Index Options'!$M:$M,'NSE - Other Index Options'!$C:$C,$A133,'NSE - Other Index Options'!$B:$B,F$4,'NSE - Other Index Options'!$I:$I,"Weekly*")+SUMIFS('NSE - Other Index Options'!$M:$M,'NSE - Other Index Options'!$C:$C,$A133,'NSE - Other Index Options'!$B:$B,F$4,'NSE - Other Index Options'!$I:$I,"MDAW*"))</f>
        <v/>
      </c>
      <c r="G133" s="26">
        <f>IF(SUMIFS('NSE - NIFTY Index Options'!$M:$M,'NSE - NIFTY Index Options'!$C:$C,$A133,'NSE - NIFTY Index Options'!$B:$B,G$4,'NSE - NIFTY Index Options'!$I:$I,"Weekly*")+SUMIFS('NSE - NIFTY Index Options'!$M:$M,'NSE - NIFTY Index Options'!$C:$C,$A133,'NSE - NIFTY Index Options'!$B:$B,G$4,'NSE - NIFTY Index Options'!$I:$I,"MDAW*")+SUMIFS('NSE - Other Index Options'!$M:$M,'NSE - Other Index Options'!$C:$C,$A133,'NSE - Other Index Options'!$B:$B,G$4,'NSE - Other Index Options'!$I:$I,"Weekly*")+SUMIFS('NSE - Other Index Options'!$M:$M,'NSE - Other Index Options'!$C:$C,$A133,'NSE - Other Index Options'!$B:$B,G$4,'NSE - Other Index Options'!$I:$I,"MDAW*")=0,"",SUMIFS('NSE - NIFTY Index Options'!$M:$M,'NSE - NIFTY Index Options'!$C:$C,$A133,'NSE - NIFTY Index Options'!$B:$B,G$4,'NSE - NIFTY Index Options'!$I:$I,"Weekly*")+SUMIFS('NSE - NIFTY Index Options'!$M:$M,'NSE - NIFTY Index Options'!$C:$C,$A133,'NSE - NIFTY Index Options'!$B:$B,G$4,'NSE - NIFTY Index Options'!$I:$I,"MDAW*")+SUMIFS('NSE - Other Index Options'!$M:$M,'NSE - Other Index Options'!$C:$C,$A133,'NSE - Other Index Options'!$B:$B,G$4,'NSE - Other Index Options'!$I:$I,"Weekly*")+SUMIFS('NSE - Other Index Options'!$M:$M,'NSE - Other Index Options'!$C:$C,$A133,'NSE - Other Index Options'!$B:$B,G$4,'NSE - Other Index Options'!$I:$I,"MDAW*"))</f>
        <v/>
      </c>
      <c r="H133" s="26">
        <f>IF(SUM(B133:G133)=0,"",SUM(B133:G133))</f>
        <v/>
      </c>
    </row>
    <row r="134" hidden="1" outlineLevel="1">
      <c r="A134" t="inlineStr">
        <is>
          <t>Week2-Nov-2027</t>
        </is>
      </c>
      <c r="B134" s="26">
        <f>IF(SUMIFS('NSE - NIFTY Index Options'!$M:$M,'NSE - NIFTY Index Options'!$C:$C,$A134,'NSE - NIFTY Index Options'!$B:$B,B$4,'NSE - NIFTY Index Options'!$I:$I,"Weekly*")+SUMIFS('NSE - NIFTY Index Options'!$M:$M,'NSE - NIFTY Index Options'!$C:$C,$A134,'NSE - NIFTY Index Options'!$B:$B,B$4,'NSE - NIFTY Index Options'!$I:$I,"MDAW*")+SUMIFS('NSE - Other Index Options'!$M:$M,'NSE - Other Index Options'!$C:$C,$A134,'NSE - Other Index Options'!$B:$B,B$4,'NSE - Other Index Options'!$I:$I,"Weekly*")+SUMIFS('NSE - Other Index Options'!$M:$M,'NSE - Other Index Options'!$C:$C,$A134,'NSE - Other Index Options'!$B:$B,B$4,'NSE - Other Index Options'!$I:$I,"MDAW*")=0,"",SUMIFS('NSE - NIFTY Index Options'!$M:$M,'NSE - NIFTY Index Options'!$C:$C,$A134,'NSE - NIFTY Index Options'!$B:$B,B$4,'NSE - NIFTY Index Options'!$I:$I,"Weekly*")+SUMIFS('NSE - NIFTY Index Options'!$M:$M,'NSE - NIFTY Index Options'!$C:$C,$A134,'NSE - NIFTY Index Options'!$B:$B,B$4,'NSE - NIFTY Index Options'!$I:$I,"MDAW*")+SUMIFS('NSE - Other Index Options'!$M:$M,'NSE - Other Index Options'!$C:$C,$A134,'NSE - Other Index Options'!$B:$B,B$4,'NSE - Other Index Options'!$I:$I,"Weekly*")+SUMIFS('NSE - Other Index Options'!$M:$M,'NSE - Other Index Options'!$C:$C,$A134,'NSE - Other Index Options'!$B:$B,B$4,'NSE - Other Index Options'!$I:$I,"MDAW*"))</f>
        <v/>
      </c>
      <c r="C134" s="26">
        <f>IF(SUMIFS('NSE - NIFTY Index Options'!$M:$M,'NSE - NIFTY Index Options'!$C:$C,$A134,'NSE - NIFTY Index Options'!$B:$B,C$4,'NSE - NIFTY Index Options'!$I:$I,"Weekly*")+SUMIFS('NSE - NIFTY Index Options'!$M:$M,'NSE - NIFTY Index Options'!$C:$C,$A134,'NSE - NIFTY Index Options'!$B:$B,C$4,'NSE - NIFTY Index Options'!$I:$I,"MDAW*")+SUMIFS('NSE - Other Index Options'!$M:$M,'NSE - Other Index Options'!$C:$C,$A134,'NSE - Other Index Options'!$B:$B,C$4,'NSE - Other Index Options'!$I:$I,"Weekly*")+SUMIFS('NSE - Other Index Options'!$M:$M,'NSE - Other Index Options'!$C:$C,$A134,'NSE - Other Index Options'!$B:$B,C$4,'NSE - Other Index Options'!$I:$I,"MDAW*")=0,"",SUMIFS('NSE - NIFTY Index Options'!$M:$M,'NSE - NIFTY Index Options'!$C:$C,$A134,'NSE - NIFTY Index Options'!$B:$B,C$4,'NSE - NIFTY Index Options'!$I:$I,"Weekly*")+SUMIFS('NSE - NIFTY Index Options'!$M:$M,'NSE - NIFTY Index Options'!$C:$C,$A134,'NSE - NIFTY Index Options'!$B:$B,C$4,'NSE - NIFTY Index Options'!$I:$I,"MDAW*")+SUMIFS('NSE - Other Index Options'!$M:$M,'NSE - Other Index Options'!$C:$C,$A134,'NSE - Other Index Options'!$B:$B,C$4,'NSE - Other Index Options'!$I:$I,"Weekly*")+SUMIFS('NSE - Other Index Options'!$M:$M,'NSE - Other Index Options'!$C:$C,$A134,'NSE - Other Index Options'!$B:$B,C$4,'NSE - Other Index Options'!$I:$I,"MDAW*"))</f>
        <v/>
      </c>
      <c r="D134" s="26">
        <f>IF(SUMIFS('NSE - NIFTY Index Options'!$M:$M,'NSE - NIFTY Index Options'!$C:$C,$A134,'NSE - NIFTY Index Options'!$B:$B,D$4,'NSE - NIFTY Index Options'!$I:$I,"Weekly*")+SUMIFS('NSE - NIFTY Index Options'!$M:$M,'NSE - NIFTY Index Options'!$C:$C,$A134,'NSE - NIFTY Index Options'!$B:$B,D$4,'NSE - NIFTY Index Options'!$I:$I,"MDAW*")+SUMIFS('NSE - Other Index Options'!$M:$M,'NSE - Other Index Options'!$C:$C,$A134,'NSE - Other Index Options'!$B:$B,D$4,'NSE - Other Index Options'!$I:$I,"Weekly*")+SUMIFS('NSE - Other Index Options'!$M:$M,'NSE - Other Index Options'!$C:$C,$A134,'NSE - Other Index Options'!$B:$B,D$4,'NSE - Other Index Options'!$I:$I,"MDAW*")=0,"",SUMIFS('NSE - NIFTY Index Options'!$M:$M,'NSE - NIFTY Index Options'!$C:$C,$A134,'NSE - NIFTY Index Options'!$B:$B,D$4,'NSE - NIFTY Index Options'!$I:$I,"Weekly*")+SUMIFS('NSE - NIFTY Index Options'!$M:$M,'NSE - NIFTY Index Options'!$C:$C,$A134,'NSE - NIFTY Index Options'!$B:$B,D$4,'NSE - NIFTY Index Options'!$I:$I,"MDAW*")+SUMIFS('NSE - Other Index Options'!$M:$M,'NSE - Other Index Options'!$C:$C,$A134,'NSE - Other Index Options'!$B:$B,D$4,'NSE - Other Index Options'!$I:$I,"Weekly*")+SUMIFS('NSE - Other Index Options'!$M:$M,'NSE - Other Index Options'!$C:$C,$A134,'NSE - Other Index Options'!$B:$B,D$4,'NSE - Other Index Options'!$I:$I,"MDAW*"))</f>
        <v/>
      </c>
      <c r="E134" s="26">
        <f>IF(SUMIFS('NSE - NIFTY Index Options'!$M:$M,'NSE - NIFTY Index Options'!$C:$C,$A134,'NSE - NIFTY Index Options'!$B:$B,E$4,'NSE - NIFTY Index Options'!$I:$I,"Weekly*")+SUMIFS('NSE - NIFTY Index Options'!$M:$M,'NSE - NIFTY Index Options'!$C:$C,$A134,'NSE - NIFTY Index Options'!$B:$B,E$4,'NSE - NIFTY Index Options'!$I:$I,"MDAW*")+SUMIFS('NSE - Other Index Options'!$M:$M,'NSE - Other Index Options'!$C:$C,$A134,'NSE - Other Index Options'!$B:$B,E$4,'NSE - Other Index Options'!$I:$I,"Weekly*")+SUMIFS('NSE - Other Index Options'!$M:$M,'NSE - Other Index Options'!$C:$C,$A134,'NSE - Other Index Options'!$B:$B,E$4,'NSE - Other Index Options'!$I:$I,"MDAW*")=0,"",SUMIFS('NSE - NIFTY Index Options'!$M:$M,'NSE - NIFTY Index Options'!$C:$C,$A134,'NSE - NIFTY Index Options'!$B:$B,E$4,'NSE - NIFTY Index Options'!$I:$I,"Weekly*")+SUMIFS('NSE - NIFTY Index Options'!$M:$M,'NSE - NIFTY Index Options'!$C:$C,$A134,'NSE - NIFTY Index Options'!$B:$B,E$4,'NSE - NIFTY Index Options'!$I:$I,"MDAW*")+SUMIFS('NSE - Other Index Options'!$M:$M,'NSE - Other Index Options'!$C:$C,$A134,'NSE - Other Index Options'!$B:$B,E$4,'NSE - Other Index Options'!$I:$I,"Weekly*")+SUMIFS('NSE - Other Index Options'!$M:$M,'NSE - Other Index Options'!$C:$C,$A134,'NSE - Other Index Options'!$B:$B,E$4,'NSE - Other Index Options'!$I:$I,"MDAW*"))</f>
        <v/>
      </c>
      <c r="F134" s="26">
        <f>IF(SUMIFS('NSE - NIFTY Index Options'!$M:$M,'NSE - NIFTY Index Options'!$C:$C,$A134,'NSE - NIFTY Index Options'!$B:$B,F$4,'NSE - NIFTY Index Options'!$I:$I,"Weekly*")+SUMIFS('NSE - NIFTY Index Options'!$M:$M,'NSE - NIFTY Index Options'!$C:$C,$A134,'NSE - NIFTY Index Options'!$B:$B,F$4,'NSE - NIFTY Index Options'!$I:$I,"MDAW*")+SUMIFS('NSE - Other Index Options'!$M:$M,'NSE - Other Index Options'!$C:$C,$A134,'NSE - Other Index Options'!$B:$B,F$4,'NSE - Other Index Options'!$I:$I,"Weekly*")+SUMIFS('NSE - Other Index Options'!$M:$M,'NSE - Other Index Options'!$C:$C,$A134,'NSE - Other Index Options'!$B:$B,F$4,'NSE - Other Index Options'!$I:$I,"MDAW*")=0,"",SUMIFS('NSE - NIFTY Index Options'!$M:$M,'NSE - NIFTY Index Options'!$C:$C,$A134,'NSE - NIFTY Index Options'!$B:$B,F$4,'NSE - NIFTY Index Options'!$I:$I,"Weekly*")+SUMIFS('NSE - NIFTY Index Options'!$M:$M,'NSE - NIFTY Index Options'!$C:$C,$A134,'NSE - NIFTY Index Options'!$B:$B,F$4,'NSE - NIFTY Index Options'!$I:$I,"MDAW*")+SUMIFS('NSE - Other Index Options'!$M:$M,'NSE - Other Index Options'!$C:$C,$A134,'NSE - Other Index Options'!$B:$B,F$4,'NSE - Other Index Options'!$I:$I,"Weekly*")+SUMIFS('NSE - Other Index Options'!$M:$M,'NSE - Other Index Options'!$C:$C,$A134,'NSE - Other Index Options'!$B:$B,F$4,'NSE - Other Index Options'!$I:$I,"MDAW*"))</f>
        <v/>
      </c>
      <c r="G134" s="26">
        <f>IF(SUMIFS('NSE - NIFTY Index Options'!$M:$M,'NSE - NIFTY Index Options'!$C:$C,$A134,'NSE - NIFTY Index Options'!$B:$B,G$4,'NSE - NIFTY Index Options'!$I:$I,"Weekly*")+SUMIFS('NSE - NIFTY Index Options'!$M:$M,'NSE - NIFTY Index Options'!$C:$C,$A134,'NSE - NIFTY Index Options'!$B:$B,G$4,'NSE - NIFTY Index Options'!$I:$I,"MDAW*")+SUMIFS('NSE - Other Index Options'!$M:$M,'NSE - Other Index Options'!$C:$C,$A134,'NSE - Other Index Options'!$B:$B,G$4,'NSE - Other Index Options'!$I:$I,"Weekly*")+SUMIFS('NSE - Other Index Options'!$M:$M,'NSE - Other Index Options'!$C:$C,$A134,'NSE - Other Index Options'!$B:$B,G$4,'NSE - Other Index Options'!$I:$I,"MDAW*")=0,"",SUMIFS('NSE - NIFTY Index Options'!$M:$M,'NSE - NIFTY Index Options'!$C:$C,$A134,'NSE - NIFTY Index Options'!$B:$B,G$4,'NSE - NIFTY Index Options'!$I:$I,"Weekly*")+SUMIFS('NSE - NIFTY Index Options'!$M:$M,'NSE - NIFTY Index Options'!$C:$C,$A134,'NSE - NIFTY Index Options'!$B:$B,G$4,'NSE - NIFTY Index Options'!$I:$I,"MDAW*")+SUMIFS('NSE - Other Index Options'!$M:$M,'NSE - Other Index Options'!$C:$C,$A134,'NSE - Other Index Options'!$B:$B,G$4,'NSE - Other Index Options'!$I:$I,"Weekly*")+SUMIFS('NSE - Other Index Options'!$M:$M,'NSE - Other Index Options'!$C:$C,$A134,'NSE - Other Index Options'!$B:$B,G$4,'NSE - Other Index Options'!$I:$I,"MDAW*"))</f>
        <v/>
      </c>
      <c r="H134" s="26">
        <f>IF(SUM(B134:G134)=0,"",SUM(B134:G134))</f>
        <v/>
      </c>
    </row>
    <row r="135" hidden="1" outlineLevel="1">
      <c r="A135" t="inlineStr">
        <is>
          <t>Week3-Nov-2027</t>
        </is>
      </c>
      <c r="B135" s="26">
        <f>IF(SUMIFS('NSE - NIFTY Index Options'!$M:$M,'NSE - NIFTY Index Options'!$C:$C,$A135,'NSE - NIFTY Index Options'!$B:$B,B$4,'NSE - NIFTY Index Options'!$I:$I,"Weekly*")+SUMIFS('NSE - NIFTY Index Options'!$M:$M,'NSE - NIFTY Index Options'!$C:$C,$A135,'NSE - NIFTY Index Options'!$B:$B,B$4,'NSE - NIFTY Index Options'!$I:$I,"MDAW*")+SUMIFS('NSE - Other Index Options'!$M:$M,'NSE - Other Index Options'!$C:$C,$A135,'NSE - Other Index Options'!$B:$B,B$4,'NSE - Other Index Options'!$I:$I,"Weekly*")+SUMIFS('NSE - Other Index Options'!$M:$M,'NSE - Other Index Options'!$C:$C,$A135,'NSE - Other Index Options'!$B:$B,B$4,'NSE - Other Index Options'!$I:$I,"MDAW*")=0,"",SUMIFS('NSE - NIFTY Index Options'!$M:$M,'NSE - NIFTY Index Options'!$C:$C,$A135,'NSE - NIFTY Index Options'!$B:$B,B$4,'NSE - NIFTY Index Options'!$I:$I,"Weekly*")+SUMIFS('NSE - NIFTY Index Options'!$M:$M,'NSE - NIFTY Index Options'!$C:$C,$A135,'NSE - NIFTY Index Options'!$B:$B,B$4,'NSE - NIFTY Index Options'!$I:$I,"MDAW*")+SUMIFS('NSE - Other Index Options'!$M:$M,'NSE - Other Index Options'!$C:$C,$A135,'NSE - Other Index Options'!$B:$B,B$4,'NSE - Other Index Options'!$I:$I,"Weekly*")+SUMIFS('NSE - Other Index Options'!$M:$M,'NSE - Other Index Options'!$C:$C,$A135,'NSE - Other Index Options'!$B:$B,B$4,'NSE - Other Index Options'!$I:$I,"MDAW*"))</f>
        <v/>
      </c>
      <c r="C135" s="26">
        <f>IF(SUMIFS('NSE - NIFTY Index Options'!$M:$M,'NSE - NIFTY Index Options'!$C:$C,$A135,'NSE - NIFTY Index Options'!$B:$B,C$4,'NSE - NIFTY Index Options'!$I:$I,"Weekly*")+SUMIFS('NSE - NIFTY Index Options'!$M:$M,'NSE - NIFTY Index Options'!$C:$C,$A135,'NSE - NIFTY Index Options'!$B:$B,C$4,'NSE - NIFTY Index Options'!$I:$I,"MDAW*")+SUMIFS('NSE - Other Index Options'!$M:$M,'NSE - Other Index Options'!$C:$C,$A135,'NSE - Other Index Options'!$B:$B,C$4,'NSE - Other Index Options'!$I:$I,"Weekly*")+SUMIFS('NSE - Other Index Options'!$M:$M,'NSE - Other Index Options'!$C:$C,$A135,'NSE - Other Index Options'!$B:$B,C$4,'NSE - Other Index Options'!$I:$I,"MDAW*")=0,"",SUMIFS('NSE - NIFTY Index Options'!$M:$M,'NSE - NIFTY Index Options'!$C:$C,$A135,'NSE - NIFTY Index Options'!$B:$B,C$4,'NSE - NIFTY Index Options'!$I:$I,"Weekly*")+SUMIFS('NSE - NIFTY Index Options'!$M:$M,'NSE - NIFTY Index Options'!$C:$C,$A135,'NSE - NIFTY Index Options'!$B:$B,C$4,'NSE - NIFTY Index Options'!$I:$I,"MDAW*")+SUMIFS('NSE - Other Index Options'!$M:$M,'NSE - Other Index Options'!$C:$C,$A135,'NSE - Other Index Options'!$B:$B,C$4,'NSE - Other Index Options'!$I:$I,"Weekly*")+SUMIFS('NSE - Other Index Options'!$M:$M,'NSE - Other Index Options'!$C:$C,$A135,'NSE - Other Index Options'!$B:$B,C$4,'NSE - Other Index Options'!$I:$I,"MDAW*"))</f>
        <v/>
      </c>
      <c r="D135" s="26">
        <f>IF(SUMIFS('NSE - NIFTY Index Options'!$M:$M,'NSE - NIFTY Index Options'!$C:$C,$A135,'NSE - NIFTY Index Options'!$B:$B,D$4,'NSE - NIFTY Index Options'!$I:$I,"Weekly*")+SUMIFS('NSE - NIFTY Index Options'!$M:$M,'NSE - NIFTY Index Options'!$C:$C,$A135,'NSE - NIFTY Index Options'!$B:$B,D$4,'NSE - NIFTY Index Options'!$I:$I,"MDAW*")+SUMIFS('NSE - Other Index Options'!$M:$M,'NSE - Other Index Options'!$C:$C,$A135,'NSE - Other Index Options'!$B:$B,D$4,'NSE - Other Index Options'!$I:$I,"Weekly*")+SUMIFS('NSE - Other Index Options'!$M:$M,'NSE - Other Index Options'!$C:$C,$A135,'NSE - Other Index Options'!$B:$B,D$4,'NSE - Other Index Options'!$I:$I,"MDAW*")=0,"",SUMIFS('NSE - NIFTY Index Options'!$M:$M,'NSE - NIFTY Index Options'!$C:$C,$A135,'NSE - NIFTY Index Options'!$B:$B,D$4,'NSE - NIFTY Index Options'!$I:$I,"Weekly*")+SUMIFS('NSE - NIFTY Index Options'!$M:$M,'NSE - NIFTY Index Options'!$C:$C,$A135,'NSE - NIFTY Index Options'!$B:$B,D$4,'NSE - NIFTY Index Options'!$I:$I,"MDAW*")+SUMIFS('NSE - Other Index Options'!$M:$M,'NSE - Other Index Options'!$C:$C,$A135,'NSE - Other Index Options'!$B:$B,D$4,'NSE - Other Index Options'!$I:$I,"Weekly*")+SUMIFS('NSE - Other Index Options'!$M:$M,'NSE - Other Index Options'!$C:$C,$A135,'NSE - Other Index Options'!$B:$B,D$4,'NSE - Other Index Options'!$I:$I,"MDAW*"))</f>
        <v/>
      </c>
      <c r="E135" s="26">
        <f>IF(SUMIFS('NSE - NIFTY Index Options'!$M:$M,'NSE - NIFTY Index Options'!$C:$C,$A135,'NSE - NIFTY Index Options'!$B:$B,E$4,'NSE - NIFTY Index Options'!$I:$I,"Weekly*")+SUMIFS('NSE - NIFTY Index Options'!$M:$M,'NSE - NIFTY Index Options'!$C:$C,$A135,'NSE - NIFTY Index Options'!$B:$B,E$4,'NSE - NIFTY Index Options'!$I:$I,"MDAW*")+SUMIFS('NSE - Other Index Options'!$M:$M,'NSE - Other Index Options'!$C:$C,$A135,'NSE - Other Index Options'!$B:$B,E$4,'NSE - Other Index Options'!$I:$I,"Weekly*")+SUMIFS('NSE - Other Index Options'!$M:$M,'NSE - Other Index Options'!$C:$C,$A135,'NSE - Other Index Options'!$B:$B,E$4,'NSE - Other Index Options'!$I:$I,"MDAW*")=0,"",SUMIFS('NSE - NIFTY Index Options'!$M:$M,'NSE - NIFTY Index Options'!$C:$C,$A135,'NSE - NIFTY Index Options'!$B:$B,E$4,'NSE - NIFTY Index Options'!$I:$I,"Weekly*")+SUMIFS('NSE - NIFTY Index Options'!$M:$M,'NSE - NIFTY Index Options'!$C:$C,$A135,'NSE - NIFTY Index Options'!$B:$B,E$4,'NSE - NIFTY Index Options'!$I:$I,"MDAW*")+SUMIFS('NSE - Other Index Options'!$M:$M,'NSE - Other Index Options'!$C:$C,$A135,'NSE - Other Index Options'!$B:$B,E$4,'NSE - Other Index Options'!$I:$I,"Weekly*")+SUMIFS('NSE - Other Index Options'!$M:$M,'NSE - Other Index Options'!$C:$C,$A135,'NSE - Other Index Options'!$B:$B,E$4,'NSE - Other Index Options'!$I:$I,"MDAW*"))</f>
        <v/>
      </c>
      <c r="F135" s="26">
        <f>IF(SUMIFS('NSE - NIFTY Index Options'!$M:$M,'NSE - NIFTY Index Options'!$C:$C,$A135,'NSE - NIFTY Index Options'!$B:$B,F$4,'NSE - NIFTY Index Options'!$I:$I,"Weekly*")+SUMIFS('NSE - NIFTY Index Options'!$M:$M,'NSE - NIFTY Index Options'!$C:$C,$A135,'NSE - NIFTY Index Options'!$B:$B,F$4,'NSE - NIFTY Index Options'!$I:$I,"MDAW*")+SUMIFS('NSE - Other Index Options'!$M:$M,'NSE - Other Index Options'!$C:$C,$A135,'NSE - Other Index Options'!$B:$B,F$4,'NSE - Other Index Options'!$I:$I,"Weekly*")+SUMIFS('NSE - Other Index Options'!$M:$M,'NSE - Other Index Options'!$C:$C,$A135,'NSE - Other Index Options'!$B:$B,F$4,'NSE - Other Index Options'!$I:$I,"MDAW*")=0,"",SUMIFS('NSE - NIFTY Index Options'!$M:$M,'NSE - NIFTY Index Options'!$C:$C,$A135,'NSE - NIFTY Index Options'!$B:$B,F$4,'NSE - NIFTY Index Options'!$I:$I,"Weekly*")+SUMIFS('NSE - NIFTY Index Options'!$M:$M,'NSE - NIFTY Index Options'!$C:$C,$A135,'NSE - NIFTY Index Options'!$B:$B,F$4,'NSE - NIFTY Index Options'!$I:$I,"MDAW*")+SUMIFS('NSE - Other Index Options'!$M:$M,'NSE - Other Index Options'!$C:$C,$A135,'NSE - Other Index Options'!$B:$B,F$4,'NSE - Other Index Options'!$I:$I,"Weekly*")+SUMIFS('NSE - Other Index Options'!$M:$M,'NSE - Other Index Options'!$C:$C,$A135,'NSE - Other Index Options'!$B:$B,F$4,'NSE - Other Index Options'!$I:$I,"MDAW*"))</f>
        <v/>
      </c>
      <c r="G135" s="26">
        <f>IF(SUMIFS('NSE - NIFTY Index Options'!$M:$M,'NSE - NIFTY Index Options'!$C:$C,$A135,'NSE - NIFTY Index Options'!$B:$B,G$4,'NSE - NIFTY Index Options'!$I:$I,"Weekly*")+SUMIFS('NSE - NIFTY Index Options'!$M:$M,'NSE - NIFTY Index Options'!$C:$C,$A135,'NSE - NIFTY Index Options'!$B:$B,G$4,'NSE - NIFTY Index Options'!$I:$I,"MDAW*")+SUMIFS('NSE - Other Index Options'!$M:$M,'NSE - Other Index Options'!$C:$C,$A135,'NSE - Other Index Options'!$B:$B,G$4,'NSE - Other Index Options'!$I:$I,"Weekly*")+SUMIFS('NSE - Other Index Options'!$M:$M,'NSE - Other Index Options'!$C:$C,$A135,'NSE - Other Index Options'!$B:$B,G$4,'NSE - Other Index Options'!$I:$I,"MDAW*")=0,"",SUMIFS('NSE - NIFTY Index Options'!$M:$M,'NSE - NIFTY Index Options'!$C:$C,$A135,'NSE - NIFTY Index Options'!$B:$B,G$4,'NSE - NIFTY Index Options'!$I:$I,"Weekly*")+SUMIFS('NSE - NIFTY Index Options'!$M:$M,'NSE - NIFTY Index Options'!$C:$C,$A135,'NSE - NIFTY Index Options'!$B:$B,G$4,'NSE - NIFTY Index Options'!$I:$I,"MDAW*")+SUMIFS('NSE - Other Index Options'!$M:$M,'NSE - Other Index Options'!$C:$C,$A135,'NSE - Other Index Options'!$B:$B,G$4,'NSE - Other Index Options'!$I:$I,"Weekly*")+SUMIFS('NSE - Other Index Options'!$M:$M,'NSE - Other Index Options'!$C:$C,$A135,'NSE - Other Index Options'!$B:$B,G$4,'NSE - Other Index Options'!$I:$I,"MDAW*"))</f>
        <v/>
      </c>
      <c r="H135" s="26">
        <f>IF(SUM(B135:G135)=0,"",SUM(B135:G135))</f>
        <v/>
      </c>
    </row>
    <row r="136" hidden="1" outlineLevel="1">
      <c r="A136" t="inlineStr">
        <is>
          <t>Week4-Nov-2027</t>
        </is>
      </c>
      <c r="B136" s="26">
        <f>IF(SUMIFS('NSE - NIFTY Index Options'!$M:$M,'NSE - NIFTY Index Options'!$C:$C,$A136,'NSE - NIFTY Index Options'!$B:$B,B$4,'NSE - NIFTY Index Options'!$I:$I,"Weekly*")+SUMIFS('NSE - NIFTY Index Options'!$M:$M,'NSE - NIFTY Index Options'!$C:$C,$A136,'NSE - NIFTY Index Options'!$B:$B,B$4,'NSE - NIFTY Index Options'!$I:$I,"MDAW*")+SUMIFS('NSE - Other Index Options'!$M:$M,'NSE - Other Index Options'!$C:$C,$A136,'NSE - Other Index Options'!$B:$B,B$4,'NSE - Other Index Options'!$I:$I,"Weekly*")+SUMIFS('NSE - Other Index Options'!$M:$M,'NSE - Other Index Options'!$C:$C,$A136,'NSE - Other Index Options'!$B:$B,B$4,'NSE - Other Index Options'!$I:$I,"MDAW*")=0,"",SUMIFS('NSE - NIFTY Index Options'!$M:$M,'NSE - NIFTY Index Options'!$C:$C,$A136,'NSE - NIFTY Index Options'!$B:$B,B$4,'NSE - NIFTY Index Options'!$I:$I,"Weekly*")+SUMIFS('NSE - NIFTY Index Options'!$M:$M,'NSE - NIFTY Index Options'!$C:$C,$A136,'NSE - NIFTY Index Options'!$B:$B,B$4,'NSE - NIFTY Index Options'!$I:$I,"MDAW*")+SUMIFS('NSE - Other Index Options'!$M:$M,'NSE - Other Index Options'!$C:$C,$A136,'NSE - Other Index Options'!$B:$B,B$4,'NSE - Other Index Options'!$I:$I,"Weekly*")+SUMIFS('NSE - Other Index Options'!$M:$M,'NSE - Other Index Options'!$C:$C,$A136,'NSE - Other Index Options'!$B:$B,B$4,'NSE - Other Index Options'!$I:$I,"MDAW*"))</f>
        <v/>
      </c>
      <c r="C136" s="26">
        <f>IF(SUMIFS('NSE - NIFTY Index Options'!$M:$M,'NSE - NIFTY Index Options'!$C:$C,$A136,'NSE - NIFTY Index Options'!$B:$B,C$4,'NSE - NIFTY Index Options'!$I:$I,"Weekly*")+SUMIFS('NSE - NIFTY Index Options'!$M:$M,'NSE - NIFTY Index Options'!$C:$C,$A136,'NSE - NIFTY Index Options'!$B:$B,C$4,'NSE - NIFTY Index Options'!$I:$I,"MDAW*")+SUMIFS('NSE - Other Index Options'!$M:$M,'NSE - Other Index Options'!$C:$C,$A136,'NSE - Other Index Options'!$B:$B,C$4,'NSE - Other Index Options'!$I:$I,"Weekly*")+SUMIFS('NSE - Other Index Options'!$M:$M,'NSE - Other Index Options'!$C:$C,$A136,'NSE - Other Index Options'!$B:$B,C$4,'NSE - Other Index Options'!$I:$I,"MDAW*")=0,"",SUMIFS('NSE - NIFTY Index Options'!$M:$M,'NSE - NIFTY Index Options'!$C:$C,$A136,'NSE - NIFTY Index Options'!$B:$B,C$4,'NSE - NIFTY Index Options'!$I:$I,"Weekly*")+SUMIFS('NSE - NIFTY Index Options'!$M:$M,'NSE - NIFTY Index Options'!$C:$C,$A136,'NSE - NIFTY Index Options'!$B:$B,C$4,'NSE - NIFTY Index Options'!$I:$I,"MDAW*")+SUMIFS('NSE - Other Index Options'!$M:$M,'NSE - Other Index Options'!$C:$C,$A136,'NSE - Other Index Options'!$B:$B,C$4,'NSE - Other Index Options'!$I:$I,"Weekly*")+SUMIFS('NSE - Other Index Options'!$M:$M,'NSE - Other Index Options'!$C:$C,$A136,'NSE - Other Index Options'!$B:$B,C$4,'NSE - Other Index Options'!$I:$I,"MDAW*"))</f>
        <v/>
      </c>
      <c r="D136" s="26">
        <f>IF(SUMIFS('NSE - NIFTY Index Options'!$M:$M,'NSE - NIFTY Index Options'!$C:$C,$A136,'NSE - NIFTY Index Options'!$B:$B,D$4,'NSE - NIFTY Index Options'!$I:$I,"Weekly*")+SUMIFS('NSE - NIFTY Index Options'!$M:$M,'NSE - NIFTY Index Options'!$C:$C,$A136,'NSE - NIFTY Index Options'!$B:$B,D$4,'NSE - NIFTY Index Options'!$I:$I,"MDAW*")+SUMIFS('NSE - Other Index Options'!$M:$M,'NSE - Other Index Options'!$C:$C,$A136,'NSE - Other Index Options'!$B:$B,D$4,'NSE - Other Index Options'!$I:$I,"Weekly*")+SUMIFS('NSE - Other Index Options'!$M:$M,'NSE - Other Index Options'!$C:$C,$A136,'NSE - Other Index Options'!$B:$B,D$4,'NSE - Other Index Options'!$I:$I,"MDAW*")=0,"",SUMIFS('NSE - NIFTY Index Options'!$M:$M,'NSE - NIFTY Index Options'!$C:$C,$A136,'NSE - NIFTY Index Options'!$B:$B,D$4,'NSE - NIFTY Index Options'!$I:$I,"Weekly*")+SUMIFS('NSE - NIFTY Index Options'!$M:$M,'NSE - NIFTY Index Options'!$C:$C,$A136,'NSE - NIFTY Index Options'!$B:$B,D$4,'NSE - NIFTY Index Options'!$I:$I,"MDAW*")+SUMIFS('NSE - Other Index Options'!$M:$M,'NSE - Other Index Options'!$C:$C,$A136,'NSE - Other Index Options'!$B:$B,D$4,'NSE - Other Index Options'!$I:$I,"Weekly*")+SUMIFS('NSE - Other Index Options'!$M:$M,'NSE - Other Index Options'!$C:$C,$A136,'NSE - Other Index Options'!$B:$B,D$4,'NSE - Other Index Options'!$I:$I,"MDAW*"))</f>
        <v/>
      </c>
      <c r="E136" s="26">
        <f>IF(SUMIFS('NSE - NIFTY Index Options'!$M:$M,'NSE - NIFTY Index Options'!$C:$C,$A136,'NSE - NIFTY Index Options'!$B:$B,E$4,'NSE - NIFTY Index Options'!$I:$I,"Weekly*")+SUMIFS('NSE - NIFTY Index Options'!$M:$M,'NSE - NIFTY Index Options'!$C:$C,$A136,'NSE - NIFTY Index Options'!$B:$B,E$4,'NSE - NIFTY Index Options'!$I:$I,"MDAW*")+SUMIFS('NSE - Other Index Options'!$M:$M,'NSE - Other Index Options'!$C:$C,$A136,'NSE - Other Index Options'!$B:$B,E$4,'NSE - Other Index Options'!$I:$I,"Weekly*")+SUMIFS('NSE - Other Index Options'!$M:$M,'NSE - Other Index Options'!$C:$C,$A136,'NSE - Other Index Options'!$B:$B,E$4,'NSE - Other Index Options'!$I:$I,"MDAW*")=0,"",SUMIFS('NSE - NIFTY Index Options'!$M:$M,'NSE - NIFTY Index Options'!$C:$C,$A136,'NSE - NIFTY Index Options'!$B:$B,E$4,'NSE - NIFTY Index Options'!$I:$I,"Weekly*")+SUMIFS('NSE - NIFTY Index Options'!$M:$M,'NSE - NIFTY Index Options'!$C:$C,$A136,'NSE - NIFTY Index Options'!$B:$B,E$4,'NSE - NIFTY Index Options'!$I:$I,"MDAW*")+SUMIFS('NSE - Other Index Options'!$M:$M,'NSE - Other Index Options'!$C:$C,$A136,'NSE - Other Index Options'!$B:$B,E$4,'NSE - Other Index Options'!$I:$I,"Weekly*")+SUMIFS('NSE - Other Index Options'!$M:$M,'NSE - Other Index Options'!$C:$C,$A136,'NSE - Other Index Options'!$B:$B,E$4,'NSE - Other Index Options'!$I:$I,"MDAW*"))</f>
        <v/>
      </c>
      <c r="F136" s="26">
        <f>IF(SUMIFS('NSE - NIFTY Index Options'!$M:$M,'NSE - NIFTY Index Options'!$C:$C,$A136,'NSE - NIFTY Index Options'!$B:$B,F$4,'NSE - NIFTY Index Options'!$I:$I,"Weekly*")+SUMIFS('NSE - NIFTY Index Options'!$M:$M,'NSE - NIFTY Index Options'!$C:$C,$A136,'NSE - NIFTY Index Options'!$B:$B,F$4,'NSE - NIFTY Index Options'!$I:$I,"MDAW*")+SUMIFS('NSE - Other Index Options'!$M:$M,'NSE - Other Index Options'!$C:$C,$A136,'NSE - Other Index Options'!$B:$B,F$4,'NSE - Other Index Options'!$I:$I,"Weekly*")+SUMIFS('NSE - Other Index Options'!$M:$M,'NSE - Other Index Options'!$C:$C,$A136,'NSE - Other Index Options'!$B:$B,F$4,'NSE - Other Index Options'!$I:$I,"MDAW*")=0,"",SUMIFS('NSE - NIFTY Index Options'!$M:$M,'NSE - NIFTY Index Options'!$C:$C,$A136,'NSE - NIFTY Index Options'!$B:$B,F$4,'NSE - NIFTY Index Options'!$I:$I,"Weekly*")+SUMIFS('NSE - NIFTY Index Options'!$M:$M,'NSE - NIFTY Index Options'!$C:$C,$A136,'NSE - NIFTY Index Options'!$B:$B,F$4,'NSE - NIFTY Index Options'!$I:$I,"MDAW*")+SUMIFS('NSE - Other Index Options'!$M:$M,'NSE - Other Index Options'!$C:$C,$A136,'NSE - Other Index Options'!$B:$B,F$4,'NSE - Other Index Options'!$I:$I,"Weekly*")+SUMIFS('NSE - Other Index Options'!$M:$M,'NSE - Other Index Options'!$C:$C,$A136,'NSE - Other Index Options'!$B:$B,F$4,'NSE - Other Index Options'!$I:$I,"MDAW*"))</f>
        <v/>
      </c>
      <c r="G136" s="26">
        <f>IF(SUMIFS('NSE - NIFTY Index Options'!$M:$M,'NSE - NIFTY Index Options'!$C:$C,$A136,'NSE - NIFTY Index Options'!$B:$B,G$4,'NSE - NIFTY Index Options'!$I:$I,"Weekly*")+SUMIFS('NSE - NIFTY Index Options'!$M:$M,'NSE - NIFTY Index Options'!$C:$C,$A136,'NSE - NIFTY Index Options'!$B:$B,G$4,'NSE - NIFTY Index Options'!$I:$I,"MDAW*")+SUMIFS('NSE - Other Index Options'!$M:$M,'NSE - Other Index Options'!$C:$C,$A136,'NSE - Other Index Options'!$B:$B,G$4,'NSE - Other Index Options'!$I:$I,"Weekly*")+SUMIFS('NSE - Other Index Options'!$M:$M,'NSE - Other Index Options'!$C:$C,$A136,'NSE - Other Index Options'!$B:$B,G$4,'NSE - Other Index Options'!$I:$I,"MDAW*")=0,"",SUMIFS('NSE - NIFTY Index Options'!$M:$M,'NSE - NIFTY Index Options'!$C:$C,$A136,'NSE - NIFTY Index Options'!$B:$B,G$4,'NSE - NIFTY Index Options'!$I:$I,"Weekly*")+SUMIFS('NSE - NIFTY Index Options'!$M:$M,'NSE - NIFTY Index Options'!$C:$C,$A136,'NSE - NIFTY Index Options'!$B:$B,G$4,'NSE - NIFTY Index Options'!$I:$I,"MDAW*")+SUMIFS('NSE - Other Index Options'!$M:$M,'NSE - Other Index Options'!$C:$C,$A136,'NSE - Other Index Options'!$B:$B,G$4,'NSE - Other Index Options'!$I:$I,"Weekly*")+SUMIFS('NSE - Other Index Options'!$M:$M,'NSE - Other Index Options'!$C:$C,$A136,'NSE - Other Index Options'!$B:$B,G$4,'NSE - Other Index Options'!$I:$I,"MDAW*"))</f>
        <v/>
      </c>
      <c r="H136" s="26">
        <f>IF(SUM(B136:G136)=0,"",SUM(B136:G136))</f>
        <v/>
      </c>
    </row>
    <row r="137" hidden="1" outlineLevel="1">
      <c r="A137" t="inlineStr">
        <is>
          <t>Week5-Nov-2027</t>
        </is>
      </c>
      <c r="B137" s="26">
        <f>IF(SUMIFS('NSE - NIFTY Index Options'!$M:$M,'NSE - NIFTY Index Options'!$C:$C,$A137,'NSE - NIFTY Index Options'!$B:$B,B$4,'NSE - NIFTY Index Options'!$I:$I,"Weekly*")+SUMIFS('NSE - NIFTY Index Options'!$M:$M,'NSE - NIFTY Index Options'!$C:$C,$A137,'NSE - NIFTY Index Options'!$B:$B,B$4,'NSE - NIFTY Index Options'!$I:$I,"MDAW*")+SUMIFS('NSE - Other Index Options'!$M:$M,'NSE - Other Index Options'!$C:$C,$A137,'NSE - Other Index Options'!$B:$B,B$4,'NSE - Other Index Options'!$I:$I,"Weekly*")+SUMIFS('NSE - Other Index Options'!$M:$M,'NSE - Other Index Options'!$C:$C,$A137,'NSE - Other Index Options'!$B:$B,B$4,'NSE - Other Index Options'!$I:$I,"MDAW*")=0,"",SUMIFS('NSE - NIFTY Index Options'!$M:$M,'NSE - NIFTY Index Options'!$C:$C,$A137,'NSE - NIFTY Index Options'!$B:$B,B$4,'NSE - NIFTY Index Options'!$I:$I,"Weekly*")+SUMIFS('NSE - NIFTY Index Options'!$M:$M,'NSE - NIFTY Index Options'!$C:$C,$A137,'NSE - NIFTY Index Options'!$B:$B,B$4,'NSE - NIFTY Index Options'!$I:$I,"MDAW*")+SUMIFS('NSE - Other Index Options'!$M:$M,'NSE - Other Index Options'!$C:$C,$A137,'NSE - Other Index Options'!$B:$B,B$4,'NSE - Other Index Options'!$I:$I,"Weekly*")+SUMIFS('NSE - Other Index Options'!$M:$M,'NSE - Other Index Options'!$C:$C,$A137,'NSE - Other Index Options'!$B:$B,B$4,'NSE - Other Index Options'!$I:$I,"MDAW*"))</f>
        <v/>
      </c>
      <c r="C137" s="26">
        <f>IF(SUMIFS('NSE - NIFTY Index Options'!$M:$M,'NSE - NIFTY Index Options'!$C:$C,$A137,'NSE - NIFTY Index Options'!$B:$B,C$4,'NSE - NIFTY Index Options'!$I:$I,"Weekly*")+SUMIFS('NSE - NIFTY Index Options'!$M:$M,'NSE - NIFTY Index Options'!$C:$C,$A137,'NSE - NIFTY Index Options'!$B:$B,C$4,'NSE - NIFTY Index Options'!$I:$I,"MDAW*")+SUMIFS('NSE - Other Index Options'!$M:$M,'NSE - Other Index Options'!$C:$C,$A137,'NSE - Other Index Options'!$B:$B,C$4,'NSE - Other Index Options'!$I:$I,"Weekly*")+SUMIFS('NSE - Other Index Options'!$M:$M,'NSE - Other Index Options'!$C:$C,$A137,'NSE - Other Index Options'!$B:$B,C$4,'NSE - Other Index Options'!$I:$I,"MDAW*")=0,"",SUMIFS('NSE - NIFTY Index Options'!$M:$M,'NSE - NIFTY Index Options'!$C:$C,$A137,'NSE - NIFTY Index Options'!$B:$B,C$4,'NSE - NIFTY Index Options'!$I:$I,"Weekly*")+SUMIFS('NSE - NIFTY Index Options'!$M:$M,'NSE - NIFTY Index Options'!$C:$C,$A137,'NSE - NIFTY Index Options'!$B:$B,C$4,'NSE - NIFTY Index Options'!$I:$I,"MDAW*")+SUMIFS('NSE - Other Index Options'!$M:$M,'NSE - Other Index Options'!$C:$C,$A137,'NSE - Other Index Options'!$B:$B,C$4,'NSE - Other Index Options'!$I:$I,"Weekly*")+SUMIFS('NSE - Other Index Options'!$M:$M,'NSE - Other Index Options'!$C:$C,$A137,'NSE - Other Index Options'!$B:$B,C$4,'NSE - Other Index Options'!$I:$I,"MDAW*"))</f>
        <v/>
      </c>
      <c r="D137" s="26">
        <f>IF(SUMIFS('NSE - NIFTY Index Options'!$M:$M,'NSE - NIFTY Index Options'!$C:$C,$A137,'NSE - NIFTY Index Options'!$B:$B,D$4,'NSE - NIFTY Index Options'!$I:$I,"Weekly*")+SUMIFS('NSE - NIFTY Index Options'!$M:$M,'NSE - NIFTY Index Options'!$C:$C,$A137,'NSE - NIFTY Index Options'!$B:$B,D$4,'NSE - NIFTY Index Options'!$I:$I,"MDAW*")+SUMIFS('NSE - Other Index Options'!$M:$M,'NSE - Other Index Options'!$C:$C,$A137,'NSE - Other Index Options'!$B:$B,D$4,'NSE - Other Index Options'!$I:$I,"Weekly*")+SUMIFS('NSE - Other Index Options'!$M:$M,'NSE - Other Index Options'!$C:$C,$A137,'NSE - Other Index Options'!$B:$B,D$4,'NSE - Other Index Options'!$I:$I,"MDAW*")=0,"",SUMIFS('NSE - NIFTY Index Options'!$M:$M,'NSE - NIFTY Index Options'!$C:$C,$A137,'NSE - NIFTY Index Options'!$B:$B,D$4,'NSE - NIFTY Index Options'!$I:$I,"Weekly*")+SUMIFS('NSE - NIFTY Index Options'!$M:$M,'NSE - NIFTY Index Options'!$C:$C,$A137,'NSE - NIFTY Index Options'!$B:$B,D$4,'NSE - NIFTY Index Options'!$I:$I,"MDAW*")+SUMIFS('NSE - Other Index Options'!$M:$M,'NSE - Other Index Options'!$C:$C,$A137,'NSE - Other Index Options'!$B:$B,D$4,'NSE - Other Index Options'!$I:$I,"Weekly*")+SUMIFS('NSE - Other Index Options'!$M:$M,'NSE - Other Index Options'!$C:$C,$A137,'NSE - Other Index Options'!$B:$B,D$4,'NSE - Other Index Options'!$I:$I,"MDAW*"))</f>
        <v/>
      </c>
      <c r="E137" s="26">
        <f>IF(SUMIFS('NSE - NIFTY Index Options'!$M:$M,'NSE - NIFTY Index Options'!$C:$C,$A137,'NSE - NIFTY Index Options'!$B:$B,E$4,'NSE - NIFTY Index Options'!$I:$I,"Weekly*")+SUMIFS('NSE - NIFTY Index Options'!$M:$M,'NSE - NIFTY Index Options'!$C:$C,$A137,'NSE - NIFTY Index Options'!$B:$B,E$4,'NSE - NIFTY Index Options'!$I:$I,"MDAW*")+SUMIFS('NSE - Other Index Options'!$M:$M,'NSE - Other Index Options'!$C:$C,$A137,'NSE - Other Index Options'!$B:$B,E$4,'NSE - Other Index Options'!$I:$I,"Weekly*")+SUMIFS('NSE - Other Index Options'!$M:$M,'NSE - Other Index Options'!$C:$C,$A137,'NSE - Other Index Options'!$B:$B,E$4,'NSE - Other Index Options'!$I:$I,"MDAW*")=0,"",SUMIFS('NSE - NIFTY Index Options'!$M:$M,'NSE - NIFTY Index Options'!$C:$C,$A137,'NSE - NIFTY Index Options'!$B:$B,E$4,'NSE - NIFTY Index Options'!$I:$I,"Weekly*")+SUMIFS('NSE - NIFTY Index Options'!$M:$M,'NSE - NIFTY Index Options'!$C:$C,$A137,'NSE - NIFTY Index Options'!$B:$B,E$4,'NSE - NIFTY Index Options'!$I:$I,"MDAW*")+SUMIFS('NSE - Other Index Options'!$M:$M,'NSE - Other Index Options'!$C:$C,$A137,'NSE - Other Index Options'!$B:$B,E$4,'NSE - Other Index Options'!$I:$I,"Weekly*")+SUMIFS('NSE - Other Index Options'!$M:$M,'NSE - Other Index Options'!$C:$C,$A137,'NSE - Other Index Options'!$B:$B,E$4,'NSE - Other Index Options'!$I:$I,"MDAW*"))</f>
        <v/>
      </c>
      <c r="F137" s="26">
        <f>IF(SUMIFS('NSE - NIFTY Index Options'!$M:$M,'NSE - NIFTY Index Options'!$C:$C,$A137,'NSE - NIFTY Index Options'!$B:$B,F$4,'NSE - NIFTY Index Options'!$I:$I,"Weekly*")+SUMIFS('NSE - NIFTY Index Options'!$M:$M,'NSE - NIFTY Index Options'!$C:$C,$A137,'NSE - NIFTY Index Options'!$B:$B,F$4,'NSE - NIFTY Index Options'!$I:$I,"MDAW*")+SUMIFS('NSE - Other Index Options'!$M:$M,'NSE - Other Index Options'!$C:$C,$A137,'NSE - Other Index Options'!$B:$B,F$4,'NSE - Other Index Options'!$I:$I,"Weekly*")+SUMIFS('NSE - Other Index Options'!$M:$M,'NSE - Other Index Options'!$C:$C,$A137,'NSE - Other Index Options'!$B:$B,F$4,'NSE - Other Index Options'!$I:$I,"MDAW*")=0,"",SUMIFS('NSE - NIFTY Index Options'!$M:$M,'NSE - NIFTY Index Options'!$C:$C,$A137,'NSE - NIFTY Index Options'!$B:$B,F$4,'NSE - NIFTY Index Options'!$I:$I,"Weekly*")+SUMIFS('NSE - NIFTY Index Options'!$M:$M,'NSE - NIFTY Index Options'!$C:$C,$A137,'NSE - NIFTY Index Options'!$B:$B,F$4,'NSE - NIFTY Index Options'!$I:$I,"MDAW*")+SUMIFS('NSE - Other Index Options'!$M:$M,'NSE - Other Index Options'!$C:$C,$A137,'NSE - Other Index Options'!$B:$B,F$4,'NSE - Other Index Options'!$I:$I,"Weekly*")+SUMIFS('NSE - Other Index Options'!$M:$M,'NSE - Other Index Options'!$C:$C,$A137,'NSE - Other Index Options'!$B:$B,F$4,'NSE - Other Index Options'!$I:$I,"MDAW*"))</f>
        <v/>
      </c>
      <c r="G137" s="26">
        <f>IF(SUMIFS('NSE - NIFTY Index Options'!$M:$M,'NSE - NIFTY Index Options'!$C:$C,$A137,'NSE - NIFTY Index Options'!$B:$B,G$4,'NSE - NIFTY Index Options'!$I:$I,"Weekly*")+SUMIFS('NSE - NIFTY Index Options'!$M:$M,'NSE - NIFTY Index Options'!$C:$C,$A137,'NSE - NIFTY Index Options'!$B:$B,G$4,'NSE - NIFTY Index Options'!$I:$I,"MDAW*")+SUMIFS('NSE - Other Index Options'!$M:$M,'NSE - Other Index Options'!$C:$C,$A137,'NSE - Other Index Options'!$B:$B,G$4,'NSE - Other Index Options'!$I:$I,"Weekly*")+SUMIFS('NSE - Other Index Options'!$M:$M,'NSE - Other Index Options'!$C:$C,$A137,'NSE - Other Index Options'!$B:$B,G$4,'NSE - Other Index Options'!$I:$I,"MDAW*")=0,"",SUMIFS('NSE - NIFTY Index Options'!$M:$M,'NSE - NIFTY Index Options'!$C:$C,$A137,'NSE - NIFTY Index Options'!$B:$B,G$4,'NSE - NIFTY Index Options'!$I:$I,"Weekly*")+SUMIFS('NSE - NIFTY Index Options'!$M:$M,'NSE - NIFTY Index Options'!$C:$C,$A137,'NSE - NIFTY Index Options'!$B:$B,G$4,'NSE - NIFTY Index Options'!$I:$I,"MDAW*")+SUMIFS('NSE - Other Index Options'!$M:$M,'NSE - Other Index Options'!$C:$C,$A137,'NSE - Other Index Options'!$B:$B,G$4,'NSE - Other Index Options'!$I:$I,"Weekly*")+SUMIFS('NSE - Other Index Options'!$M:$M,'NSE - Other Index Options'!$C:$C,$A137,'NSE - Other Index Options'!$B:$B,G$4,'NSE - Other Index Options'!$I:$I,"MDAW*"))</f>
        <v/>
      </c>
      <c r="H137" s="26">
        <f>IF(SUM(B137:G137)=0,"",SUM(B137:G137))</f>
        <v/>
      </c>
    </row>
    <row r="138" hidden="1" outlineLevel="1">
      <c r="A138" t="inlineStr">
        <is>
          <t>Week1-Dec-2027</t>
        </is>
      </c>
      <c r="B138" s="26">
        <f>IF(SUMIFS('NSE - NIFTY Index Options'!$M:$M,'NSE - NIFTY Index Options'!$C:$C,$A138,'NSE - NIFTY Index Options'!$B:$B,B$4,'NSE - NIFTY Index Options'!$I:$I,"Weekly*")+SUMIFS('NSE - NIFTY Index Options'!$M:$M,'NSE - NIFTY Index Options'!$C:$C,$A138,'NSE - NIFTY Index Options'!$B:$B,B$4,'NSE - NIFTY Index Options'!$I:$I,"MDAW*")+SUMIFS('NSE - Other Index Options'!$M:$M,'NSE - Other Index Options'!$C:$C,$A138,'NSE - Other Index Options'!$B:$B,B$4,'NSE - Other Index Options'!$I:$I,"Weekly*")+SUMIFS('NSE - Other Index Options'!$M:$M,'NSE - Other Index Options'!$C:$C,$A138,'NSE - Other Index Options'!$B:$B,B$4,'NSE - Other Index Options'!$I:$I,"MDAW*")=0,"",SUMIFS('NSE - NIFTY Index Options'!$M:$M,'NSE - NIFTY Index Options'!$C:$C,$A138,'NSE - NIFTY Index Options'!$B:$B,B$4,'NSE - NIFTY Index Options'!$I:$I,"Weekly*")+SUMIFS('NSE - NIFTY Index Options'!$M:$M,'NSE - NIFTY Index Options'!$C:$C,$A138,'NSE - NIFTY Index Options'!$B:$B,B$4,'NSE - NIFTY Index Options'!$I:$I,"MDAW*")+SUMIFS('NSE - Other Index Options'!$M:$M,'NSE - Other Index Options'!$C:$C,$A138,'NSE - Other Index Options'!$B:$B,B$4,'NSE - Other Index Options'!$I:$I,"Weekly*")+SUMIFS('NSE - Other Index Options'!$M:$M,'NSE - Other Index Options'!$C:$C,$A138,'NSE - Other Index Options'!$B:$B,B$4,'NSE - Other Index Options'!$I:$I,"MDAW*"))</f>
        <v/>
      </c>
      <c r="C138" s="26">
        <f>IF(SUMIFS('NSE - NIFTY Index Options'!$M:$M,'NSE - NIFTY Index Options'!$C:$C,$A138,'NSE - NIFTY Index Options'!$B:$B,C$4,'NSE - NIFTY Index Options'!$I:$I,"Weekly*")+SUMIFS('NSE - NIFTY Index Options'!$M:$M,'NSE - NIFTY Index Options'!$C:$C,$A138,'NSE - NIFTY Index Options'!$B:$B,C$4,'NSE - NIFTY Index Options'!$I:$I,"MDAW*")+SUMIFS('NSE - Other Index Options'!$M:$M,'NSE - Other Index Options'!$C:$C,$A138,'NSE - Other Index Options'!$B:$B,C$4,'NSE - Other Index Options'!$I:$I,"Weekly*")+SUMIFS('NSE - Other Index Options'!$M:$M,'NSE - Other Index Options'!$C:$C,$A138,'NSE - Other Index Options'!$B:$B,C$4,'NSE - Other Index Options'!$I:$I,"MDAW*")=0,"",SUMIFS('NSE - NIFTY Index Options'!$M:$M,'NSE - NIFTY Index Options'!$C:$C,$A138,'NSE - NIFTY Index Options'!$B:$B,C$4,'NSE - NIFTY Index Options'!$I:$I,"Weekly*")+SUMIFS('NSE - NIFTY Index Options'!$M:$M,'NSE - NIFTY Index Options'!$C:$C,$A138,'NSE - NIFTY Index Options'!$B:$B,C$4,'NSE - NIFTY Index Options'!$I:$I,"MDAW*")+SUMIFS('NSE - Other Index Options'!$M:$M,'NSE - Other Index Options'!$C:$C,$A138,'NSE - Other Index Options'!$B:$B,C$4,'NSE - Other Index Options'!$I:$I,"Weekly*")+SUMIFS('NSE - Other Index Options'!$M:$M,'NSE - Other Index Options'!$C:$C,$A138,'NSE - Other Index Options'!$B:$B,C$4,'NSE - Other Index Options'!$I:$I,"MDAW*"))</f>
        <v/>
      </c>
      <c r="D138" s="26">
        <f>IF(SUMIFS('NSE - NIFTY Index Options'!$M:$M,'NSE - NIFTY Index Options'!$C:$C,$A138,'NSE - NIFTY Index Options'!$B:$B,D$4,'NSE - NIFTY Index Options'!$I:$I,"Weekly*")+SUMIFS('NSE - NIFTY Index Options'!$M:$M,'NSE - NIFTY Index Options'!$C:$C,$A138,'NSE - NIFTY Index Options'!$B:$B,D$4,'NSE - NIFTY Index Options'!$I:$I,"MDAW*")+SUMIFS('NSE - Other Index Options'!$M:$M,'NSE - Other Index Options'!$C:$C,$A138,'NSE - Other Index Options'!$B:$B,D$4,'NSE - Other Index Options'!$I:$I,"Weekly*")+SUMIFS('NSE - Other Index Options'!$M:$M,'NSE - Other Index Options'!$C:$C,$A138,'NSE - Other Index Options'!$B:$B,D$4,'NSE - Other Index Options'!$I:$I,"MDAW*")=0,"",SUMIFS('NSE - NIFTY Index Options'!$M:$M,'NSE - NIFTY Index Options'!$C:$C,$A138,'NSE - NIFTY Index Options'!$B:$B,D$4,'NSE - NIFTY Index Options'!$I:$I,"Weekly*")+SUMIFS('NSE - NIFTY Index Options'!$M:$M,'NSE - NIFTY Index Options'!$C:$C,$A138,'NSE - NIFTY Index Options'!$B:$B,D$4,'NSE - NIFTY Index Options'!$I:$I,"MDAW*")+SUMIFS('NSE - Other Index Options'!$M:$M,'NSE - Other Index Options'!$C:$C,$A138,'NSE - Other Index Options'!$B:$B,D$4,'NSE - Other Index Options'!$I:$I,"Weekly*")+SUMIFS('NSE - Other Index Options'!$M:$M,'NSE - Other Index Options'!$C:$C,$A138,'NSE - Other Index Options'!$B:$B,D$4,'NSE - Other Index Options'!$I:$I,"MDAW*"))</f>
        <v/>
      </c>
      <c r="E138" s="26">
        <f>IF(SUMIFS('NSE - NIFTY Index Options'!$M:$M,'NSE - NIFTY Index Options'!$C:$C,$A138,'NSE - NIFTY Index Options'!$B:$B,E$4,'NSE - NIFTY Index Options'!$I:$I,"Weekly*")+SUMIFS('NSE - NIFTY Index Options'!$M:$M,'NSE - NIFTY Index Options'!$C:$C,$A138,'NSE - NIFTY Index Options'!$B:$B,E$4,'NSE - NIFTY Index Options'!$I:$I,"MDAW*")+SUMIFS('NSE - Other Index Options'!$M:$M,'NSE - Other Index Options'!$C:$C,$A138,'NSE - Other Index Options'!$B:$B,E$4,'NSE - Other Index Options'!$I:$I,"Weekly*")+SUMIFS('NSE - Other Index Options'!$M:$M,'NSE - Other Index Options'!$C:$C,$A138,'NSE - Other Index Options'!$B:$B,E$4,'NSE - Other Index Options'!$I:$I,"MDAW*")=0,"",SUMIFS('NSE - NIFTY Index Options'!$M:$M,'NSE - NIFTY Index Options'!$C:$C,$A138,'NSE - NIFTY Index Options'!$B:$B,E$4,'NSE - NIFTY Index Options'!$I:$I,"Weekly*")+SUMIFS('NSE - NIFTY Index Options'!$M:$M,'NSE - NIFTY Index Options'!$C:$C,$A138,'NSE - NIFTY Index Options'!$B:$B,E$4,'NSE - NIFTY Index Options'!$I:$I,"MDAW*")+SUMIFS('NSE - Other Index Options'!$M:$M,'NSE - Other Index Options'!$C:$C,$A138,'NSE - Other Index Options'!$B:$B,E$4,'NSE - Other Index Options'!$I:$I,"Weekly*")+SUMIFS('NSE - Other Index Options'!$M:$M,'NSE - Other Index Options'!$C:$C,$A138,'NSE - Other Index Options'!$B:$B,E$4,'NSE - Other Index Options'!$I:$I,"MDAW*"))</f>
        <v/>
      </c>
      <c r="F138" s="26">
        <f>IF(SUMIFS('NSE - NIFTY Index Options'!$M:$M,'NSE - NIFTY Index Options'!$C:$C,$A138,'NSE - NIFTY Index Options'!$B:$B,F$4,'NSE - NIFTY Index Options'!$I:$I,"Weekly*")+SUMIFS('NSE - NIFTY Index Options'!$M:$M,'NSE - NIFTY Index Options'!$C:$C,$A138,'NSE - NIFTY Index Options'!$B:$B,F$4,'NSE - NIFTY Index Options'!$I:$I,"MDAW*")+SUMIFS('NSE - Other Index Options'!$M:$M,'NSE - Other Index Options'!$C:$C,$A138,'NSE - Other Index Options'!$B:$B,F$4,'NSE - Other Index Options'!$I:$I,"Weekly*")+SUMIFS('NSE - Other Index Options'!$M:$M,'NSE - Other Index Options'!$C:$C,$A138,'NSE - Other Index Options'!$B:$B,F$4,'NSE - Other Index Options'!$I:$I,"MDAW*")=0,"",SUMIFS('NSE - NIFTY Index Options'!$M:$M,'NSE - NIFTY Index Options'!$C:$C,$A138,'NSE - NIFTY Index Options'!$B:$B,F$4,'NSE - NIFTY Index Options'!$I:$I,"Weekly*")+SUMIFS('NSE - NIFTY Index Options'!$M:$M,'NSE - NIFTY Index Options'!$C:$C,$A138,'NSE - NIFTY Index Options'!$B:$B,F$4,'NSE - NIFTY Index Options'!$I:$I,"MDAW*")+SUMIFS('NSE - Other Index Options'!$M:$M,'NSE - Other Index Options'!$C:$C,$A138,'NSE - Other Index Options'!$B:$B,F$4,'NSE - Other Index Options'!$I:$I,"Weekly*")+SUMIFS('NSE - Other Index Options'!$M:$M,'NSE - Other Index Options'!$C:$C,$A138,'NSE - Other Index Options'!$B:$B,F$4,'NSE - Other Index Options'!$I:$I,"MDAW*"))</f>
        <v/>
      </c>
      <c r="G138" s="26">
        <f>IF(SUMIFS('NSE - NIFTY Index Options'!$M:$M,'NSE - NIFTY Index Options'!$C:$C,$A138,'NSE - NIFTY Index Options'!$B:$B,G$4,'NSE - NIFTY Index Options'!$I:$I,"Weekly*")+SUMIFS('NSE - NIFTY Index Options'!$M:$M,'NSE - NIFTY Index Options'!$C:$C,$A138,'NSE - NIFTY Index Options'!$B:$B,G$4,'NSE - NIFTY Index Options'!$I:$I,"MDAW*")+SUMIFS('NSE - Other Index Options'!$M:$M,'NSE - Other Index Options'!$C:$C,$A138,'NSE - Other Index Options'!$B:$B,G$4,'NSE - Other Index Options'!$I:$I,"Weekly*")+SUMIFS('NSE - Other Index Options'!$M:$M,'NSE - Other Index Options'!$C:$C,$A138,'NSE - Other Index Options'!$B:$B,G$4,'NSE - Other Index Options'!$I:$I,"MDAW*")=0,"",SUMIFS('NSE - NIFTY Index Options'!$M:$M,'NSE - NIFTY Index Options'!$C:$C,$A138,'NSE - NIFTY Index Options'!$B:$B,G$4,'NSE - NIFTY Index Options'!$I:$I,"Weekly*")+SUMIFS('NSE - NIFTY Index Options'!$M:$M,'NSE - NIFTY Index Options'!$C:$C,$A138,'NSE - NIFTY Index Options'!$B:$B,G$4,'NSE - NIFTY Index Options'!$I:$I,"MDAW*")+SUMIFS('NSE - Other Index Options'!$M:$M,'NSE - Other Index Options'!$C:$C,$A138,'NSE - Other Index Options'!$B:$B,G$4,'NSE - Other Index Options'!$I:$I,"Weekly*")+SUMIFS('NSE - Other Index Options'!$M:$M,'NSE - Other Index Options'!$C:$C,$A138,'NSE - Other Index Options'!$B:$B,G$4,'NSE - Other Index Options'!$I:$I,"MDAW*"))</f>
        <v/>
      </c>
      <c r="H138" s="26">
        <f>IF(SUM(B138:G138)=0,"",SUM(B138:G138))</f>
        <v/>
      </c>
    </row>
    <row r="139" hidden="1" outlineLevel="1">
      <c r="A139" t="inlineStr">
        <is>
          <t>Week2-Dec-2027</t>
        </is>
      </c>
      <c r="B139" s="26">
        <f>IF(SUMIFS('NSE - NIFTY Index Options'!$M:$M,'NSE - NIFTY Index Options'!$C:$C,$A139,'NSE - NIFTY Index Options'!$B:$B,B$4,'NSE - NIFTY Index Options'!$I:$I,"Weekly*")+SUMIFS('NSE - NIFTY Index Options'!$M:$M,'NSE - NIFTY Index Options'!$C:$C,$A139,'NSE - NIFTY Index Options'!$B:$B,B$4,'NSE - NIFTY Index Options'!$I:$I,"MDAW*")+SUMIFS('NSE - Other Index Options'!$M:$M,'NSE - Other Index Options'!$C:$C,$A139,'NSE - Other Index Options'!$B:$B,B$4,'NSE - Other Index Options'!$I:$I,"Weekly*")+SUMIFS('NSE - Other Index Options'!$M:$M,'NSE - Other Index Options'!$C:$C,$A139,'NSE - Other Index Options'!$B:$B,B$4,'NSE - Other Index Options'!$I:$I,"MDAW*")=0,"",SUMIFS('NSE - NIFTY Index Options'!$M:$M,'NSE - NIFTY Index Options'!$C:$C,$A139,'NSE - NIFTY Index Options'!$B:$B,B$4,'NSE - NIFTY Index Options'!$I:$I,"Weekly*")+SUMIFS('NSE - NIFTY Index Options'!$M:$M,'NSE - NIFTY Index Options'!$C:$C,$A139,'NSE - NIFTY Index Options'!$B:$B,B$4,'NSE - NIFTY Index Options'!$I:$I,"MDAW*")+SUMIFS('NSE - Other Index Options'!$M:$M,'NSE - Other Index Options'!$C:$C,$A139,'NSE - Other Index Options'!$B:$B,B$4,'NSE - Other Index Options'!$I:$I,"Weekly*")+SUMIFS('NSE - Other Index Options'!$M:$M,'NSE - Other Index Options'!$C:$C,$A139,'NSE - Other Index Options'!$B:$B,B$4,'NSE - Other Index Options'!$I:$I,"MDAW*"))</f>
        <v/>
      </c>
      <c r="C139" s="26">
        <f>IF(SUMIFS('NSE - NIFTY Index Options'!$M:$M,'NSE - NIFTY Index Options'!$C:$C,$A139,'NSE - NIFTY Index Options'!$B:$B,C$4,'NSE - NIFTY Index Options'!$I:$I,"Weekly*")+SUMIFS('NSE - NIFTY Index Options'!$M:$M,'NSE - NIFTY Index Options'!$C:$C,$A139,'NSE - NIFTY Index Options'!$B:$B,C$4,'NSE - NIFTY Index Options'!$I:$I,"MDAW*")+SUMIFS('NSE - Other Index Options'!$M:$M,'NSE - Other Index Options'!$C:$C,$A139,'NSE - Other Index Options'!$B:$B,C$4,'NSE - Other Index Options'!$I:$I,"Weekly*")+SUMIFS('NSE - Other Index Options'!$M:$M,'NSE - Other Index Options'!$C:$C,$A139,'NSE - Other Index Options'!$B:$B,C$4,'NSE - Other Index Options'!$I:$I,"MDAW*")=0,"",SUMIFS('NSE - NIFTY Index Options'!$M:$M,'NSE - NIFTY Index Options'!$C:$C,$A139,'NSE - NIFTY Index Options'!$B:$B,C$4,'NSE - NIFTY Index Options'!$I:$I,"Weekly*")+SUMIFS('NSE - NIFTY Index Options'!$M:$M,'NSE - NIFTY Index Options'!$C:$C,$A139,'NSE - NIFTY Index Options'!$B:$B,C$4,'NSE - NIFTY Index Options'!$I:$I,"MDAW*")+SUMIFS('NSE - Other Index Options'!$M:$M,'NSE - Other Index Options'!$C:$C,$A139,'NSE - Other Index Options'!$B:$B,C$4,'NSE - Other Index Options'!$I:$I,"Weekly*")+SUMIFS('NSE - Other Index Options'!$M:$M,'NSE - Other Index Options'!$C:$C,$A139,'NSE - Other Index Options'!$B:$B,C$4,'NSE - Other Index Options'!$I:$I,"MDAW*"))</f>
        <v/>
      </c>
      <c r="D139" s="26">
        <f>IF(SUMIFS('NSE - NIFTY Index Options'!$M:$M,'NSE - NIFTY Index Options'!$C:$C,$A139,'NSE - NIFTY Index Options'!$B:$B,D$4,'NSE - NIFTY Index Options'!$I:$I,"Weekly*")+SUMIFS('NSE - NIFTY Index Options'!$M:$M,'NSE - NIFTY Index Options'!$C:$C,$A139,'NSE - NIFTY Index Options'!$B:$B,D$4,'NSE - NIFTY Index Options'!$I:$I,"MDAW*")+SUMIFS('NSE - Other Index Options'!$M:$M,'NSE - Other Index Options'!$C:$C,$A139,'NSE - Other Index Options'!$B:$B,D$4,'NSE - Other Index Options'!$I:$I,"Weekly*")+SUMIFS('NSE - Other Index Options'!$M:$M,'NSE - Other Index Options'!$C:$C,$A139,'NSE - Other Index Options'!$B:$B,D$4,'NSE - Other Index Options'!$I:$I,"MDAW*")=0,"",SUMIFS('NSE - NIFTY Index Options'!$M:$M,'NSE - NIFTY Index Options'!$C:$C,$A139,'NSE - NIFTY Index Options'!$B:$B,D$4,'NSE - NIFTY Index Options'!$I:$I,"Weekly*")+SUMIFS('NSE - NIFTY Index Options'!$M:$M,'NSE - NIFTY Index Options'!$C:$C,$A139,'NSE - NIFTY Index Options'!$B:$B,D$4,'NSE - NIFTY Index Options'!$I:$I,"MDAW*")+SUMIFS('NSE - Other Index Options'!$M:$M,'NSE - Other Index Options'!$C:$C,$A139,'NSE - Other Index Options'!$B:$B,D$4,'NSE - Other Index Options'!$I:$I,"Weekly*")+SUMIFS('NSE - Other Index Options'!$M:$M,'NSE - Other Index Options'!$C:$C,$A139,'NSE - Other Index Options'!$B:$B,D$4,'NSE - Other Index Options'!$I:$I,"MDAW*"))</f>
        <v/>
      </c>
      <c r="E139" s="26">
        <f>IF(SUMIFS('NSE - NIFTY Index Options'!$M:$M,'NSE - NIFTY Index Options'!$C:$C,$A139,'NSE - NIFTY Index Options'!$B:$B,E$4,'NSE - NIFTY Index Options'!$I:$I,"Weekly*")+SUMIFS('NSE - NIFTY Index Options'!$M:$M,'NSE - NIFTY Index Options'!$C:$C,$A139,'NSE - NIFTY Index Options'!$B:$B,E$4,'NSE - NIFTY Index Options'!$I:$I,"MDAW*")+SUMIFS('NSE - Other Index Options'!$M:$M,'NSE - Other Index Options'!$C:$C,$A139,'NSE - Other Index Options'!$B:$B,E$4,'NSE - Other Index Options'!$I:$I,"Weekly*")+SUMIFS('NSE - Other Index Options'!$M:$M,'NSE - Other Index Options'!$C:$C,$A139,'NSE - Other Index Options'!$B:$B,E$4,'NSE - Other Index Options'!$I:$I,"MDAW*")=0,"",SUMIFS('NSE - NIFTY Index Options'!$M:$M,'NSE - NIFTY Index Options'!$C:$C,$A139,'NSE - NIFTY Index Options'!$B:$B,E$4,'NSE - NIFTY Index Options'!$I:$I,"Weekly*")+SUMIFS('NSE - NIFTY Index Options'!$M:$M,'NSE - NIFTY Index Options'!$C:$C,$A139,'NSE - NIFTY Index Options'!$B:$B,E$4,'NSE - NIFTY Index Options'!$I:$I,"MDAW*")+SUMIFS('NSE - Other Index Options'!$M:$M,'NSE - Other Index Options'!$C:$C,$A139,'NSE - Other Index Options'!$B:$B,E$4,'NSE - Other Index Options'!$I:$I,"Weekly*")+SUMIFS('NSE - Other Index Options'!$M:$M,'NSE - Other Index Options'!$C:$C,$A139,'NSE - Other Index Options'!$B:$B,E$4,'NSE - Other Index Options'!$I:$I,"MDAW*"))</f>
        <v/>
      </c>
      <c r="F139" s="26">
        <f>IF(SUMIFS('NSE - NIFTY Index Options'!$M:$M,'NSE - NIFTY Index Options'!$C:$C,$A139,'NSE - NIFTY Index Options'!$B:$B,F$4,'NSE - NIFTY Index Options'!$I:$I,"Weekly*")+SUMIFS('NSE - NIFTY Index Options'!$M:$M,'NSE - NIFTY Index Options'!$C:$C,$A139,'NSE - NIFTY Index Options'!$B:$B,F$4,'NSE - NIFTY Index Options'!$I:$I,"MDAW*")+SUMIFS('NSE - Other Index Options'!$M:$M,'NSE - Other Index Options'!$C:$C,$A139,'NSE - Other Index Options'!$B:$B,F$4,'NSE - Other Index Options'!$I:$I,"Weekly*")+SUMIFS('NSE - Other Index Options'!$M:$M,'NSE - Other Index Options'!$C:$C,$A139,'NSE - Other Index Options'!$B:$B,F$4,'NSE - Other Index Options'!$I:$I,"MDAW*")=0,"",SUMIFS('NSE - NIFTY Index Options'!$M:$M,'NSE - NIFTY Index Options'!$C:$C,$A139,'NSE - NIFTY Index Options'!$B:$B,F$4,'NSE - NIFTY Index Options'!$I:$I,"Weekly*")+SUMIFS('NSE - NIFTY Index Options'!$M:$M,'NSE - NIFTY Index Options'!$C:$C,$A139,'NSE - NIFTY Index Options'!$B:$B,F$4,'NSE - NIFTY Index Options'!$I:$I,"MDAW*")+SUMIFS('NSE - Other Index Options'!$M:$M,'NSE - Other Index Options'!$C:$C,$A139,'NSE - Other Index Options'!$B:$B,F$4,'NSE - Other Index Options'!$I:$I,"Weekly*")+SUMIFS('NSE - Other Index Options'!$M:$M,'NSE - Other Index Options'!$C:$C,$A139,'NSE - Other Index Options'!$B:$B,F$4,'NSE - Other Index Options'!$I:$I,"MDAW*"))</f>
        <v/>
      </c>
      <c r="G139" s="26">
        <f>IF(SUMIFS('NSE - NIFTY Index Options'!$M:$M,'NSE - NIFTY Index Options'!$C:$C,$A139,'NSE - NIFTY Index Options'!$B:$B,G$4,'NSE - NIFTY Index Options'!$I:$I,"Weekly*")+SUMIFS('NSE - NIFTY Index Options'!$M:$M,'NSE - NIFTY Index Options'!$C:$C,$A139,'NSE - NIFTY Index Options'!$B:$B,G$4,'NSE - NIFTY Index Options'!$I:$I,"MDAW*")+SUMIFS('NSE - Other Index Options'!$M:$M,'NSE - Other Index Options'!$C:$C,$A139,'NSE - Other Index Options'!$B:$B,G$4,'NSE - Other Index Options'!$I:$I,"Weekly*")+SUMIFS('NSE - Other Index Options'!$M:$M,'NSE - Other Index Options'!$C:$C,$A139,'NSE - Other Index Options'!$B:$B,G$4,'NSE - Other Index Options'!$I:$I,"MDAW*")=0,"",SUMIFS('NSE - NIFTY Index Options'!$M:$M,'NSE - NIFTY Index Options'!$C:$C,$A139,'NSE - NIFTY Index Options'!$B:$B,G$4,'NSE - NIFTY Index Options'!$I:$I,"Weekly*")+SUMIFS('NSE - NIFTY Index Options'!$M:$M,'NSE - NIFTY Index Options'!$C:$C,$A139,'NSE - NIFTY Index Options'!$B:$B,G$4,'NSE - NIFTY Index Options'!$I:$I,"MDAW*")+SUMIFS('NSE - Other Index Options'!$M:$M,'NSE - Other Index Options'!$C:$C,$A139,'NSE - Other Index Options'!$B:$B,G$4,'NSE - Other Index Options'!$I:$I,"Weekly*")+SUMIFS('NSE - Other Index Options'!$M:$M,'NSE - Other Index Options'!$C:$C,$A139,'NSE - Other Index Options'!$B:$B,G$4,'NSE - Other Index Options'!$I:$I,"MDAW*"))</f>
        <v/>
      </c>
      <c r="H139" s="26">
        <f>IF(SUM(B139:G139)=0,"",SUM(B139:G139))</f>
        <v/>
      </c>
    </row>
    <row r="140" hidden="1" outlineLevel="1">
      <c r="A140" t="inlineStr">
        <is>
          <t>Week3-Dec-2027</t>
        </is>
      </c>
      <c r="B140" s="26">
        <f>IF(SUMIFS('NSE - NIFTY Index Options'!$M:$M,'NSE - NIFTY Index Options'!$C:$C,$A140,'NSE - NIFTY Index Options'!$B:$B,B$4,'NSE - NIFTY Index Options'!$I:$I,"Weekly*")+SUMIFS('NSE - NIFTY Index Options'!$M:$M,'NSE - NIFTY Index Options'!$C:$C,$A140,'NSE - NIFTY Index Options'!$B:$B,B$4,'NSE - NIFTY Index Options'!$I:$I,"MDAW*")+SUMIFS('NSE - Other Index Options'!$M:$M,'NSE - Other Index Options'!$C:$C,$A140,'NSE - Other Index Options'!$B:$B,B$4,'NSE - Other Index Options'!$I:$I,"Weekly*")+SUMIFS('NSE - Other Index Options'!$M:$M,'NSE - Other Index Options'!$C:$C,$A140,'NSE - Other Index Options'!$B:$B,B$4,'NSE - Other Index Options'!$I:$I,"MDAW*")=0,"",SUMIFS('NSE - NIFTY Index Options'!$M:$M,'NSE - NIFTY Index Options'!$C:$C,$A140,'NSE - NIFTY Index Options'!$B:$B,B$4,'NSE - NIFTY Index Options'!$I:$I,"Weekly*")+SUMIFS('NSE - NIFTY Index Options'!$M:$M,'NSE - NIFTY Index Options'!$C:$C,$A140,'NSE - NIFTY Index Options'!$B:$B,B$4,'NSE - NIFTY Index Options'!$I:$I,"MDAW*")+SUMIFS('NSE - Other Index Options'!$M:$M,'NSE - Other Index Options'!$C:$C,$A140,'NSE - Other Index Options'!$B:$B,B$4,'NSE - Other Index Options'!$I:$I,"Weekly*")+SUMIFS('NSE - Other Index Options'!$M:$M,'NSE - Other Index Options'!$C:$C,$A140,'NSE - Other Index Options'!$B:$B,B$4,'NSE - Other Index Options'!$I:$I,"MDAW*"))</f>
        <v/>
      </c>
      <c r="C140" s="26">
        <f>IF(SUMIFS('NSE - NIFTY Index Options'!$M:$M,'NSE - NIFTY Index Options'!$C:$C,$A140,'NSE - NIFTY Index Options'!$B:$B,C$4,'NSE - NIFTY Index Options'!$I:$I,"Weekly*")+SUMIFS('NSE - NIFTY Index Options'!$M:$M,'NSE - NIFTY Index Options'!$C:$C,$A140,'NSE - NIFTY Index Options'!$B:$B,C$4,'NSE - NIFTY Index Options'!$I:$I,"MDAW*")+SUMIFS('NSE - Other Index Options'!$M:$M,'NSE - Other Index Options'!$C:$C,$A140,'NSE - Other Index Options'!$B:$B,C$4,'NSE - Other Index Options'!$I:$I,"Weekly*")+SUMIFS('NSE - Other Index Options'!$M:$M,'NSE - Other Index Options'!$C:$C,$A140,'NSE - Other Index Options'!$B:$B,C$4,'NSE - Other Index Options'!$I:$I,"MDAW*")=0,"",SUMIFS('NSE - NIFTY Index Options'!$M:$M,'NSE - NIFTY Index Options'!$C:$C,$A140,'NSE - NIFTY Index Options'!$B:$B,C$4,'NSE - NIFTY Index Options'!$I:$I,"Weekly*")+SUMIFS('NSE - NIFTY Index Options'!$M:$M,'NSE - NIFTY Index Options'!$C:$C,$A140,'NSE - NIFTY Index Options'!$B:$B,C$4,'NSE - NIFTY Index Options'!$I:$I,"MDAW*")+SUMIFS('NSE - Other Index Options'!$M:$M,'NSE - Other Index Options'!$C:$C,$A140,'NSE - Other Index Options'!$B:$B,C$4,'NSE - Other Index Options'!$I:$I,"Weekly*")+SUMIFS('NSE - Other Index Options'!$M:$M,'NSE - Other Index Options'!$C:$C,$A140,'NSE - Other Index Options'!$B:$B,C$4,'NSE - Other Index Options'!$I:$I,"MDAW*"))</f>
        <v/>
      </c>
      <c r="D140" s="26">
        <f>IF(SUMIFS('NSE - NIFTY Index Options'!$M:$M,'NSE - NIFTY Index Options'!$C:$C,$A140,'NSE - NIFTY Index Options'!$B:$B,D$4,'NSE - NIFTY Index Options'!$I:$I,"Weekly*")+SUMIFS('NSE - NIFTY Index Options'!$M:$M,'NSE - NIFTY Index Options'!$C:$C,$A140,'NSE - NIFTY Index Options'!$B:$B,D$4,'NSE - NIFTY Index Options'!$I:$I,"MDAW*")+SUMIFS('NSE - Other Index Options'!$M:$M,'NSE - Other Index Options'!$C:$C,$A140,'NSE - Other Index Options'!$B:$B,D$4,'NSE - Other Index Options'!$I:$I,"Weekly*")+SUMIFS('NSE - Other Index Options'!$M:$M,'NSE - Other Index Options'!$C:$C,$A140,'NSE - Other Index Options'!$B:$B,D$4,'NSE - Other Index Options'!$I:$I,"MDAW*")=0,"",SUMIFS('NSE - NIFTY Index Options'!$M:$M,'NSE - NIFTY Index Options'!$C:$C,$A140,'NSE - NIFTY Index Options'!$B:$B,D$4,'NSE - NIFTY Index Options'!$I:$I,"Weekly*")+SUMIFS('NSE - NIFTY Index Options'!$M:$M,'NSE - NIFTY Index Options'!$C:$C,$A140,'NSE - NIFTY Index Options'!$B:$B,D$4,'NSE - NIFTY Index Options'!$I:$I,"MDAW*")+SUMIFS('NSE - Other Index Options'!$M:$M,'NSE - Other Index Options'!$C:$C,$A140,'NSE - Other Index Options'!$B:$B,D$4,'NSE - Other Index Options'!$I:$I,"Weekly*")+SUMIFS('NSE - Other Index Options'!$M:$M,'NSE - Other Index Options'!$C:$C,$A140,'NSE - Other Index Options'!$B:$B,D$4,'NSE - Other Index Options'!$I:$I,"MDAW*"))</f>
        <v/>
      </c>
      <c r="E140" s="26">
        <f>IF(SUMIFS('NSE - NIFTY Index Options'!$M:$M,'NSE - NIFTY Index Options'!$C:$C,$A140,'NSE - NIFTY Index Options'!$B:$B,E$4,'NSE - NIFTY Index Options'!$I:$I,"Weekly*")+SUMIFS('NSE - NIFTY Index Options'!$M:$M,'NSE - NIFTY Index Options'!$C:$C,$A140,'NSE - NIFTY Index Options'!$B:$B,E$4,'NSE - NIFTY Index Options'!$I:$I,"MDAW*")+SUMIFS('NSE - Other Index Options'!$M:$M,'NSE - Other Index Options'!$C:$C,$A140,'NSE - Other Index Options'!$B:$B,E$4,'NSE - Other Index Options'!$I:$I,"Weekly*")+SUMIFS('NSE - Other Index Options'!$M:$M,'NSE - Other Index Options'!$C:$C,$A140,'NSE - Other Index Options'!$B:$B,E$4,'NSE - Other Index Options'!$I:$I,"MDAW*")=0,"",SUMIFS('NSE - NIFTY Index Options'!$M:$M,'NSE - NIFTY Index Options'!$C:$C,$A140,'NSE - NIFTY Index Options'!$B:$B,E$4,'NSE - NIFTY Index Options'!$I:$I,"Weekly*")+SUMIFS('NSE - NIFTY Index Options'!$M:$M,'NSE - NIFTY Index Options'!$C:$C,$A140,'NSE - NIFTY Index Options'!$B:$B,E$4,'NSE - NIFTY Index Options'!$I:$I,"MDAW*")+SUMIFS('NSE - Other Index Options'!$M:$M,'NSE - Other Index Options'!$C:$C,$A140,'NSE - Other Index Options'!$B:$B,E$4,'NSE - Other Index Options'!$I:$I,"Weekly*")+SUMIFS('NSE - Other Index Options'!$M:$M,'NSE - Other Index Options'!$C:$C,$A140,'NSE - Other Index Options'!$B:$B,E$4,'NSE - Other Index Options'!$I:$I,"MDAW*"))</f>
        <v/>
      </c>
      <c r="F140" s="26">
        <f>IF(SUMIFS('NSE - NIFTY Index Options'!$M:$M,'NSE - NIFTY Index Options'!$C:$C,$A140,'NSE - NIFTY Index Options'!$B:$B,F$4,'NSE - NIFTY Index Options'!$I:$I,"Weekly*")+SUMIFS('NSE - NIFTY Index Options'!$M:$M,'NSE - NIFTY Index Options'!$C:$C,$A140,'NSE - NIFTY Index Options'!$B:$B,F$4,'NSE - NIFTY Index Options'!$I:$I,"MDAW*")+SUMIFS('NSE - Other Index Options'!$M:$M,'NSE - Other Index Options'!$C:$C,$A140,'NSE - Other Index Options'!$B:$B,F$4,'NSE - Other Index Options'!$I:$I,"Weekly*")+SUMIFS('NSE - Other Index Options'!$M:$M,'NSE - Other Index Options'!$C:$C,$A140,'NSE - Other Index Options'!$B:$B,F$4,'NSE - Other Index Options'!$I:$I,"MDAW*")=0,"",SUMIFS('NSE - NIFTY Index Options'!$M:$M,'NSE - NIFTY Index Options'!$C:$C,$A140,'NSE - NIFTY Index Options'!$B:$B,F$4,'NSE - NIFTY Index Options'!$I:$I,"Weekly*")+SUMIFS('NSE - NIFTY Index Options'!$M:$M,'NSE - NIFTY Index Options'!$C:$C,$A140,'NSE - NIFTY Index Options'!$B:$B,F$4,'NSE - NIFTY Index Options'!$I:$I,"MDAW*")+SUMIFS('NSE - Other Index Options'!$M:$M,'NSE - Other Index Options'!$C:$C,$A140,'NSE - Other Index Options'!$B:$B,F$4,'NSE - Other Index Options'!$I:$I,"Weekly*")+SUMIFS('NSE - Other Index Options'!$M:$M,'NSE - Other Index Options'!$C:$C,$A140,'NSE - Other Index Options'!$B:$B,F$4,'NSE - Other Index Options'!$I:$I,"MDAW*"))</f>
        <v/>
      </c>
      <c r="G140" s="26">
        <f>IF(SUMIFS('NSE - NIFTY Index Options'!$M:$M,'NSE - NIFTY Index Options'!$C:$C,$A140,'NSE - NIFTY Index Options'!$B:$B,G$4,'NSE - NIFTY Index Options'!$I:$I,"Weekly*")+SUMIFS('NSE - NIFTY Index Options'!$M:$M,'NSE - NIFTY Index Options'!$C:$C,$A140,'NSE - NIFTY Index Options'!$B:$B,G$4,'NSE - NIFTY Index Options'!$I:$I,"MDAW*")+SUMIFS('NSE - Other Index Options'!$M:$M,'NSE - Other Index Options'!$C:$C,$A140,'NSE - Other Index Options'!$B:$B,G$4,'NSE - Other Index Options'!$I:$I,"Weekly*")+SUMIFS('NSE - Other Index Options'!$M:$M,'NSE - Other Index Options'!$C:$C,$A140,'NSE - Other Index Options'!$B:$B,G$4,'NSE - Other Index Options'!$I:$I,"MDAW*")=0,"",SUMIFS('NSE - NIFTY Index Options'!$M:$M,'NSE - NIFTY Index Options'!$C:$C,$A140,'NSE - NIFTY Index Options'!$B:$B,G$4,'NSE - NIFTY Index Options'!$I:$I,"Weekly*")+SUMIFS('NSE - NIFTY Index Options'!$M:$M,'NSE - NIFTY Index Options'!$C:$C,$A140,'NSE - NIFTY Index Options'!$B:$B,G$4,'NSE - NIFTY Index Options'!$I:$I,"MDAW*")+SUMIFS('NSE - Other Index Options'!$M:$M,'NSE - Other Index Options'!$C:$C,$A140,'NSE - Other Index Options'!$B:$B,G$4,'NSE - Other Index Options'!$I:$I,"Weekly*")+SUMIFS('NSE - Other Index Options'!$M:$M,'NSE - Other Index Options'!$C:$C,$A140,'NSE - Other Index Options'!$B:$B,G$4,'NSE - Other Index Options'!$I:$I,"MDAW*"))</f>
        <v/>
      </c>
      <c r="H140" s="26">
        <f>IF(SUM(B140:G140)=0,"",SUM(B140:G140))</f>
        <v/>
      </c>
    </row>
    <row r="141" hidden="1" outlineLevel="1">
      <c r="A141" t="inlineStr">
        <is>
          <t>Week4-Dec-2027</t>
        </is>
      </c>
      <c r="B141" s="26">
        <f>IF(SUMIFS('NSE - NIFTY Index Options'!$M:$M,'NSE - NIFTY Index Options'!$C:$C,$A141,'NSE - NIFTY Index Options'!$B:$B,B$4,'NSE - NIFTY Index Options'!$I:$I,"Weekly*")+SUMIFS('NSE - NIFTY Index Options'!$M:$M,'NSE - NIFTY Index Options'!$C:$C,$A141,'NSE - NIFTY Index Options'!$B:$B,B$4,'NSE - NIFTY Index Options'!$I:$I,"MDAW*")+SUMIFS('NSE - Other Index Options'!$M:$M,'NSE - Other Index Options'!$C:$C,$A141,'NSE - Other Index Options'!$B:$B,B$4,'NSE - Other Index Options'!$I:$I,"Weekly*")+SUMIFS('NSE - Other Index Options'!$M:$M,'NSE - Other Index Options'!$C:$C,$A141,'NSE - Other Index Options'!$B:$B,B$4,'NSE - Other Index Options'!$I:$I,"MDAW*")=0,"",SUMIFS('NSE - NIFTY Index Options'!$M:$M,'NSE - NIFTY Index Options'!$C:$C,$A141,'NSE - NIFTY Index Options'!$B:$B,B$4,'NSE - NIFTY Index Options'!$I:$I,"Weekly*")+SUMIFS('NSE - NIFTY Index Options'!$M:$M,'NSE - NIFTY Index Options'!$C:$C,$A141,'NSE - NIFTY Index Options'!$B:$B,B$4,'NSE - NIFTY Index Options'!$I:$I,"MDAW*")+SUMIFS('NSE - Other Index Options'!$M:$M,'NSE - Other Index Options'!$C:$C,$A141,'NSE - Other Index Options'!$B:$B,B$4,'NSE - Other Index Options'!$I:$I,"Weekly*")+SUMIFS('NSE - Other Index Options'!$M:$M,'NSE - Other Index Options'!$C:$C,$A141,'NSE - Other Index Options'!$B:$B,B$4,'NSE - Other Index Options'!$I:$I,"MDAW*"))</f>
        <v/>
      </c>
      <c r="C141" s="26">
        <f>IF(SUMIFS('NSE - NIFTY Index Options'!$M:$M,'NSE - NIFTY Index Options'!$C:$C,$A141,'NSE - NIFTY Index Options'!$B:$B,C$4,'NSE - NIFTY Index Options'!$I:$I,"Weekly*")+SUMIFS('NSE - NIFTY Index Options'!$M:$M,'NSE - NIFTY Index Options'!$C:$C,$A141,'NSE - NIFTY Index Options'!$B:$B,C$4,'NSE - NIFTY Index Options'!$I:$I,"MDAW*")+SUMIFS('NSE - Other Index Options'!$M:$M,'NSE - Other Index Options'!$C:$C,$A141,'NSE - Other Index Options'!$B:$B,C$4,'NSE - Other Index Options'!$I:$I,"Weekly*")+SUMIFS('NSE - Other Index Options'!$M:$M,'NSE - Other Index Options'!$C:$C,$A141,'NSE - Other Index Options'!$B:$B,C$4,'NSE - Other Index Options'!$I:$I,"MDAW*")=0,"",SUMIFS('NSE - NIFTY Index Options'!$M:$M,'NSE - NIFTY Index Options'!$C:$C,$A141,'NSE - NIFTY Index Options'!$B:$B,C$4,'NSE - NIFTY Index Options'!$I:$I,"Weekly*")+SUMIFS('NSE - NIFTY Index Options'!$M:$M,'NSE - NIFTY Index Options'!$C:$C,$A141,'NSE - NIFTY Index Options'!$B:$B,C$4,'NSE - NIFTY Index Options'!$I:$I,"MDAW*")+SUMIFS('NSE - Other Index Options'!$M:$M,'NSE - Other Index Options'!$C:$C,$A141,'NSE - Other Index Options'!$B:$B,C$4,'NSE - Other Index Options'!$I:$I,"Weekly*")+SUMIFS('NSE - Other Index Options'!$M:$M,'NSE - Other Index Options'!$C:$C,$A141,'NSE - Other Index Options'!$B:$B,C$4,'NSE - Other Index Options'!$I:$I,"MDAW*"))</f>
        <v/>
      </c>
      <c r="D141" s="26">
        <f>IF(SUMIFS('NSE - NIFTY Index Options'!$M:$M,'NSE - NIFTY Index Options'!$C:$C,$A141,'NSE - NIFTY Index Options'!$B:$B,D$4,'NSE - NIFTY Index Options'!$I:$I,"Weekly*")+SUMIFS('NSE - NIFTY Index Options'!$M:$M,'NSE - NIFTY Index Options'!$C:$C,$A141,'NSE - NIFTY Index Options'!$B:$B,D$4,'NSE - NIFTY Index Options'!$I:$I,"MDAW*")+SUMIFS('NSE - Other Index Options'!$M:$M,'NSE - Other Index Options'!$C:$C,$A141,'NSE - Other Index Options'!$B:$B,D$4,'NSE - Other Index Options'!$I:$I,"Weekly*")+SUMIFS('NSE - Other Index Options'!$M:$M,'NSE - Other Index Options'!$C:$C,$A141,'NSE - Other Index Options'!$B:$B,D$4,'NSE - Other Index Options'!$I:$I,"MDAW*")=0,"",SUMIFS('NSE - NIFTY Index Options'!$M:$M,'NSE - NIFTY Index Options'!$C:$C,$A141,'NSE - NIFTY Index Options'!$B:$B,D$4,'NSE - NIFTY Index Options'!$I:$I,"Weekly*")+SUMIFS('NSE - NIFTY Index Options'!$M:$M,'NSE - NIFTY Index Options'!$C:$C,$A141,'NSE - NIFTY Index Options'!$B:$B,D$4,'NSE - NIFTY Index Options'!$I:$I,"MDAW*")+SUMIFS('NSE - Other Index Options'!$M:$M,'NSE - Other Index Options'!$C:$C,$A141,'NSE - Other Index Options'!$B:$B,D$4,'NSE - Other Index Options'!$I:$I,"Weekly*")+SUMIFS('NSE - Other Index Options'!$M:$M,'NSE - Other Index Options'!$C:$C,$A141,'NSE - Other Index Options'!$B:$B,D$4,'NSE - Other Index Options'!$I:$I,"MDAW*"))</f>
        <v/>
      </c>
      <c r="E141" s="26">
        <f>IF(SUMIFS('NSE - NIFTY Index Options'!$M:$M,'NSE - NIFTY Index Options'!$C:$C,$A141,'NSE - NIFTY Index Options'!$B:$B,E$4,'NSE - NIFTY Index Options'!$I:$I,"Weekly*")+SUMIFS('NSE - NIFTY Index Options'!$M:$M,'NSE - NIFTY Index Options'!$C:$C,$A141,'NSE - NIFTY Index Options'!$B:$B,E$4,'NSE - NIFTY Index Options'!$I:$I,"MDAW*")+SUMIFS('NSE - Other Index Options'!$M:$M,'NSE - Other Index Options'!$C:$C,$A141,'NSE - Other Index Options'!$B:$B,E$4,'NSE - Other Index Options'!$I:$I,"Weekly*")+SUMIFS('NSE - Other Index Options'!$M:$M,'NSE - Other Index Options'!$C:$C,$A141,'NSE - Other Index Options'!$B:$B,E$4,'NSE - Other Index Options'!$I:$I,"MDAW*")=0,"",SUMIFS('NSE - NIFTY Index Options'!$M:$M,'NSE - NIFTY Index Options'!$C:$C,$A141,'NSE - NIFTY Index Options'!$B:$B,E$4,'NSE - NIFTY Index Options'!$I:$I,"Weekly*")+SUMIFS('NSE - NIFTY Index Options'!$M:$M,'NSE - NIFTY Index Options'!$C:$C,$A141,'NSE - NIFTY Index Options'!$B:$B,E$4,'NSE - NIFTY Index Options'!$I:$I,"MDAW*")+SUMIFS('NSE - Other Index Options'!$M:$M,'NSE - Other Index Options'!$C:$C,$A141,'NSE - Other Index Options'!$B:$B,E$4,'NSE - Other Index Options'!$I:$I,"Weekly*")+SUMIFS('NSE - Other Index Options'!$M:$M,'NSE - Other Index Options'!$C:$C,$A141,'NSE - Other Index Options'!$B:$B,E$4,'NSE - Other Index Options'!$I:$I,"MDAW*"))</f>
        <v/>
      </c>
      <c r="F141" s="26">
        <f>IF(SUMIFS('NSE - NIFTY Index Options'!$M:$M,'NSE - NIFTY Index Options'!$C:$C,$A141,'NSE - NIFTY Index Options'!$B:$B,F$4,'NSE - NIFTY Index Options'!$I:$I,"Weekly*")+SUMIFS('NSE - NIFTY Index Options'!$M:$M,'NSE - NIFTY Index Options'!$C:$C,$A141,'NSE - NIFTY Index Options'!$B:$B,F$4,'NSE - NIFTY Index Options'!$I:$I,"MDAW*")+SUMIFS('NSE - Other Index Options'!$M:$M,'NSE - Other Index Options'!$C:$C,$A141,'NSE - Other Index Options'!$B:$B,F$4,'NSE - Other Index Options'!$I:$I,"Weekly*")+SUMIFS('NSE - Other Index Options'!$M:$M,'NSE - Other Index Options'!$C:$C,$A141,'NSE - Other Index Options'!$B:$B,F$4,'NSE - Other Index Options'!$I:$I,"MDAW*")=0,"",SUMIFS('NSE - NIFTY Index Options'!$M:$M,'NSE - NIFTY Index Options'!$C:$C,$A141,'NSE - NIFTY Index Options'!$B:$B,F$4,'NSE - NIFTY Index Options'!$I:$I,"Weekly*")+SUMIFS('NSE - NIFTY Index Options'!$M:$M,'NSE - NIFTY Index Options'!$C:$C,$A141,'NSE - NIFTY Index Options'!$B:$B,F$4,'NSE - NIFTY Index Options'!$I:$I,"MDAW*")+SUMIFS('NSE - Other Index Options'!$M:$M,'NSE - Other Index Options'!$C:$C,$A141,'NSE - Other Index Options'!$B:$B,F$4,'NSE - Other Index Options'!$I:$I,"Weekly*")+SUMIFS('NSE - Other Index Options'!$M:$M,'NSE - Other Index Options'!$C:$C,$A141,'NSE - Other Index Options'!$B:$B,F$4,'NSE - Other Index Options'!$I:$I,"MDAW*"))</f>
        <v/>
      </c>
      <c r="G141" s="26">
        <f>IF(SUMIFS('NSE - NIFTY Index Options'!$M:$M,'NSE - NIFTY Index Options'!$C:$C,$A141,'NSE - NIFTY Index Options'!$B:$B,G$4,'NSE - NIFTY Index Options'!$I:$I,"Weekly*")+SUMIFS('NSE - NIFTY Index Options'!$M:$M,'NSE - NIFTY Index Options'!$C:$C,$A141,'NSE - NIFTY Index Options'!$B:$B,G$4,'NSE - NIFTY Index Options'!$I:$I,"MDAW*")+SUMIFS('NSE - Other Index Options'!$M:$M,'NSE - Other Index Options'!$C:$C,$A141,'NSE - Other Index Options'!$B:$B,G$4,'NSE - Other Index Options'!$I:$I,"Weekly*")+SUMIFS('NSE - Other Index Options'!$M:$M,'NSE - Other Index Options'!$C:$C,$A141,'NSE - Other Index Options'!$B:$B,G$4,'NSE - Other Index Options'!$I:$I,"MDAW*")=0,"",SUMIFS('NSE - NIFTY Index Options'!$M:$M,'NSE - NIFTY Index Options'!$C:$C,$A141,'NSE - NIFTY Index Options'!$B:$B,G$4,'NSE - NIFTY Index Options'!$I:$I,"Weekly*")+SUMIFS('NSE - NIFTY Index Options'!$M:$M,'NSE - NIFTY Index Options'!$C:$C,$A141,'NSE - NIFTY Index Options'!$B:$B,G$4,'NSE - NIFTY Index Options'!$I:$I,"MDAW*")+SUMIFS('NSE - Other Index Options'!$M:$M,'NSE - Other Index Options'!$C:$C,$A141,'NSE - Other Index Options'!$B:$B,G$4,'NSE - Other Index Options'!$I:$I,"Weekly*")+SUMIFS('NSE - Other Index Options'!$M:$M,'NSE - Other Index Options'!$C:$C,$A141,'NSE - Other Index Options'!$B:$B,G$4,'NSE - Other Index Options'!$I:$I,"MDAW*"))</f>
        <v/>
      </c>
      <c r="H141" s="26">
        <f>IF(SUM(B141:G141)=0,"",SUM(B141:G141))</f>
        <v/>
      </c>
    </row>
    <row r="142" hidden="1" outlineLevel="1">
      <c r="A142" t="inlineStr">
        <is>
          <t>Week5-Dec-2027</t>
        </is>
      </c>
      <c r="B142" s="26">
        <f>IF(SUMIFS('NSE - NIFTY Index Options'!$M:$M,'NSE - NIFTY Index Options'!$C:$C,$A142,'NSE - NIFTY Index Options'!$B:$B,B$4,'NSE - NIFTY Index Options'!$I:$I,"Weekly*")+SUMIFS('NSE - NIFTY Index Options'!$M:$M,'NSE - NIFTY Index Options'!$C:$C,$A142,'NSE - NIFTY Index Options'!$B:$B,B$4,'NSE - NIFTY Index Options'!$I:$I,"MDAW*")+SUMIFS('NSE - Other Index Options'!$M:$M,'NSE - Other Index Options'!$C:$C,$A142,'NSE - Other Index Options'!$B:$B,B$4,'NSE - Other Index Options'!$I:$I,"Weekly*")+SUMIFS('NSE - Other Index Options'!$M:$M,'NSE - Other Index Options'!$C:$C,$A142,'NSE - Other Index Options'!$B:$B,B$4,'NSE - Other Index Options'!$I:$I,"MDAW*")=0,"",SUMIFS('NSE - NIFTY Index Options'!$M:$M,'NSE - NIFTY Index Options'!$C:$C,$A142,'NSE - NIFTY Index Options'!$B:$B,B$4,'NSE - NIFTY Index Options'!$I:$I,"Weekly*")+SUMIFS('NSE - NIFTY Index Options'!$M:$M,'NSE - NIFTY Index Options'!$C:$C,$A142,'NSE - NIFTY Index Options'!$B:$B,B$4,'NSE - NIFTY Index Options'!$I:$I,"MDAW*")+SUMIFS('NSE - Other Index Options'!$M:$M,'NSE - Other Index Options'!$C:$C,$A142,'NSE - Other Index Options'!$B:$B,B$4,'NSE - Other Index Options'!$I:$I,"Weekly*")+SUMIFS('NSE - Other Index Options'!$M:$M,'NSE - Other Index Options'!$C:$C,$A142,'NSE - Other Index Options'!$B:$B,B$4,'NSE - Other Index Options'!$I:$I,"MDAW*"))</f>
        <v/>
      </c>
      <c r="C142" s="26">
        <f>IF(SUMIFS('NSE - NIFTY Index Options'!$M:$M,'NSE - NIFTY Index Options'!$C:$C,$A142,'NSE - NIFTY Index Options'!$B:$B,C$4,'NSE - NIFTY Index Options'!$I:$I,"Weekly*")+SUMIFS('NSE - NIFTY Index Options'!$M:$M,'NSE - NIFTY Index Options'!$C:$C,$A142,'NSE - NIFTY Index Options'!$B:$B,C$4,'NSE - NIFTY Index Options'!$I:$I,"MDAW*")+SUMIFS('NSE - Other Index Options'!$M:$M,'NSE - Other Index Options'!$C:$C,$A142,'NSE - Other Index Options'!$B:$B,C$4,'NSE - Other Index Options'!$I:$I,"Weekly*")+SUMIFS('NSE - Other Index Options'!$M:$M,'NSE - Other Index Options'!$C:$C,$A142,'NSE - Other Index Options'!$B:$B,C$4,'NSE - Other Index Options'!$I:$I,"MDAW*")=0,"",SUMIFS('NSE - NIFTY Index Options'!$M:$M,'NSE - NIFTY Index Options'!$C:$C,$A142,'NSE - NIFTY Index Options'!$B:$B,C$4,'NSE - NIFTY Index Options'!$I:$I,"Weekly*")+SUMIFS('NSE - NIFTY Index Options'!$M:$M,'NSE - NIFTY Index Options'!$C:$C,$A142,'NSE - NIFTY Index Options'!$B:$B,C$4,'NSE - NIFTY Index Options'!$I:$I,"MDAW*")+SUMIFS('NSE - Other Index Options'!$M:$M,'NSE - Other Index Options'!$C:$C,$A142,'NSE - Other Index Options'!$B:$B,C$4,'NSE - Other Index Options'!$I:$I,"Weekly*")+SUMIFS('NSE - Other Index Options'!$M:$M,'NSE - Other Index Options'!$C:$C,$A142,'NSE - Other Index Options'!$B:$B,C$4,'NSE - Other Index Options'!$I:$I,"MDAW*"))</f>
        <v/>
      </c>
      <c r="D142" s="26">
        <f>IF(SUMIFS('NSE - NIFTY Index Options'!$M:$M,'NSE - NIFTY Index Options'!$C:$C,$A142,'NSE - NIFTY Index Options'!$B:$B,D$4,'NSE - NIFTY Index Options'!$I:$I,"Weekly*")+SUMIFS('NSE - NIFTY Index Options'!$M:$M,'NSE - NIFTY Index Options'!$C:$C,$A142,'NSE - NIFTY Index Options'!$B:$B,D$4,'NSE - NIFTY Index Options'!$I:$I,"MDAW*")+SUMIFS('NSE - Other Index Options'!$M:$M,'NSE - Other Index Options'!$C:$C,$A142,'NSE - Other Index Options'!$B:$B,D$4,'NSE - Other Index Options'!$I:$I,"Weekly*")+SUMIFS('NSE - Other Index Options'!$M:$M,'NSE - Other Index Options'!$C:$C,$A142,'NSE - Other Index Options'!$B:$B,D$4,'NSE - Other Index Options'!$I:$I,"MDAW*")=0,"",SUMIFS('NSE - NIFTY Index Options'!$M:$M,'NSE - NIFTY Index Options'!$C:$C,$A142,'NSE - NIFTY Index Options'!$B:$B,D$4,'NSE - NIFTY Index Options'!$I:$I,"Weekly*")+SUMIFS('NSE - NIFTY Index Options'!$M:$M,'NSE - NIFTY Index Options'!$C:$C,$A142,'NSE - NIFTY Index Options'!$B:$B,D$4,'NSE - NIFTY Index Options'!$I:$I,"MDAW*")+SUMIFS('NSE - Other Index Options'!$M:$M,'NSE - Other Index Options'!$C:$C,$A142,'NSE - Other Index Options'!$B:$B,D$4,'NSE - Other Index Options'!$I:$I,"Weekly*")+SUMIFS('NSE - Other Index Options'!$M:$M,'NSE - Other Index Options'!$C:$C,$A142,'NSE - Other Index Options'!$B:$B,D$4,'NSE - Other Index Options'!$I:$I,"MDAW*"))</f>
        <v/>
      </c>
      <c r="E142" s="26">
        <f>IF(SUMIFS('NSE - NIFTY Index Options'!$M:$M,'NSE - NIFTY Index Options'!$C:$C,$A142,'NSE - NIFTY Index Options'!$B:$B,E$4,'NSE - NIFTY Index Options'!$I:$I,"Weekly*")+SUMIFS('NSE - NIFTY Index Options'!$M:$M,'NSE - NIFTY Index Options'!$C:$C,$A142,'NSE - NIFTY Index Options'!$B:$B,E$4,'NSE - NIFTY Index Options'!$I:$I,"MDAW*")+SUMIFS('NSE - Other Index Options'!$M:$M,'NSE - Other Index Options'!$C:$C,$A142,'NSE - Other Index Options'!$B:$B,E$4,'NSE - Other Index Options'!$I:$I,"Weekly*")+SUMIFS('NSE - Other Index Options'!$M:$M,'NSE - Other Index Options'!$C:$C,$A142,'NSE - Other Index Options'!$B:$B,E$4,'NSE - Other Index Options'!$I:$I,"MDAW*")=0,"",SUMIFS('NSE - NIFTY Index Options'!$M:$M,'NSE - NIFTY Index Options'!$C:$C,$A142,'NSE - NIFTY Index Options'!$B:$B,E$4,'NSE - NIFTY Index Options'!$I:$I,"Weekly*")+SUMIFS('NSE - NIFTY Index Options'!$M:$M,'NSE - NIFTY Index Options'!$C:$C,$A142,'NSE - NIFTY Index Options'!$B:$B,E$4,'NSE - NIFTY Index Options'!$I:$I,"MDAW*")+SUMIFS('NSE - Other Index Options'!$M:$M,'NSE - Other Index Options'!$C:$C,$A142,'NSE - Other Index Options'!$B:$B,E$4,'NSE - Other Index Options'!$I:$I,"Weekly*")+SUMIFS('NSE - Other Index Options'!$M:$M,'NSE - Other Index Options'!$C:$C,$A142,'NSE - Other Index Options'!$B:$B,E$4,'NSE - Other Index Options'!$I:$I,"MDAW*"))</f>
        <v/>
      </c>
      <c r="F142" s="26">
        <f>IF(SUMIFS('NSE - NIFTY Index Options'!$M:$M,'NSE - NIFTY Index Options'!$C:$C,$A142,'NSE - NIFTY Index Options'!$B:$B,F$4,'NSE - NIFTY Index Options'!$I:$I,"Weekly*")+SUMIFS('NSE - NIFTY Index Options'!$M:$M,'NSE - NIFTY Index Options'!$C:$C,$A142,'NSE - NIFTY Index Options'!$B:$B,F$4,'NSE - NIFTY Index Options'!$I:$I,"MDAW*")+SUMIFS('NSE - Other Index Options'!$M:$M,'NSE - Other Index Options'!$C:$C,$A142,'NSE - Other Index Options'!$B:$B,F$4,'NSE - Other Index Options'!$I:$I,"Weekly*")+SUMIFS('NSE - Other Index Options'!$M:$M,'NSE - Other Index Options'!$C:$C,$A142,'NSE - Other Index Options'!$B:$B,F$4,'NSE - Other Index Options'!$I:$I,"MDAW*")=0,"",SUMIFS('NSE - NIFTY Index Options'!$M:$M,'NSE - NIFTY Index Options'!$C:$C,$A142,'NSE - NIFTY Index Options'!$B:$B,F$4,'NSE - NIFTY Index Options'!$I:$I,"Weekly*")+SUMIFS('NSE - NIFTY Index Options'!$M:$M,'NSE - NIFTY Index Options'!$C:$C,$A142,'NSE - NIFTY Index Options'!$B:$B,F$4,'NSE - NIFTY Index Options'!$I:$I,"MDAW*")+SUMIFS('NSE - Other Index Options'!$M:$M,'NSE - Other Index Options'!$C:$C,$A142,'NSE - Other Index Options'!$B:$B,F$4,'NSE - Other Index Options'!$I:$I,"Weekly*")+SUMIFS('NSE - Other Index Options'!$M:$M,'NSE - Other Index Options'!$C:$C,$A142,'NSE - Other Index Options'!$B:$B,F$4,'NSE - Other Index Options'!$I:$I,"MDAW*"))</f>
        <v/>
      </c>
      <c r="G142" s="26">
        <f>IF(SUMIFS('NSE - NIFTY Index Options'!$M:$M,'NSE - NIFTY Index Options'!$C:$C,$A142,'NSE - NIFTY Index Options'!$B:$B,G$4,'NSE - NIFTY Index Options'!$I:$I,"Weekly*")+SUMIFS('NSE - NIFTY Index Options'!$M:$M,'NSE - NIFTY Index Options'!$C:$C,$A142,'NSE - NIFTY Index Options'!$B:$B,G$4,'NSE - NIFTY Index Options'!$I:$I,"MDAW*")+SUMIFS('NSE - Other Index Options'!$M:$M,'NSE - Other Index Options'!$C:$C,$A142,'NSE - Other Index Options'!$B:$B,G$4,'NSE - Other Index Options'!$I:$I,"Weekly*")+SUMIFS('NSE - Other Index Options'!$M:$M,'NSE - Other Index Options'!$C:$C,$A142,'NSE - Other Index Options'!$B:$B,G$4,'NSE - Other Index Options'!$I:$I,"MDAW*")=0,"",SUMIFS('NSE - NIFTY Index Options'!$M:$M,'NSE - NIFTY Index Options'!$C:$C,$A142,'NSE - NIFTY Index Options'!$B:$B,G$4,'NSE - NIFTY Index Options'!$I:$I,"Weekly*")+SUMIFS('NSE - NIFTY Index Options'!$M:$M,'NSE - NIFTY Index Options'!$C:$C,$A142,'NSE - NIFTY Index Options'!$B:$B,G$4,'NSE - NIFTY Index Options'!$I:$I,"MDAW*")+SUMIFS('NSE - Other Index Options'!$M:$M,'NSE - Other Index Options'!$C:$C,$A142,'NSE - Other Index Options'!$B:$B,G$4,'NSE - Other Index Options'!$I:$I,"Weekly*")+SUMIFS('NSE - Other Index Options'!$M:$M,'NSE - Other Index Options'!$C:$C,$A142,'NSE - Other Index Options'!$B:$B,G$4,'NSE - Other Index Options'!$I:$I,"MDAW*"))</f>
        <v/>
      </c>
      <c r="H142" s="26">
        <f>IF(SUM(B142:G142)=0,"",SUM(B142:G142))</f>
        <v/>
      </c>
    </row>
    <row r="143" collapsed="1">
      <c r="A143" s="32" t="inlineStr">
        <is>
          <t>Total</t>
        </is>
      </c>
      <c r="B143" s="33">
        <f>IF(SUM(B5:B142)=0,"",SUM(B5:B142))</f>
        <v/>
      </c>
      <c r="C143" s="33">
        <f>IF(SUM(C5:C142)=0,"",SUM(C5:C142))</f>
        <v/>
      </c>
      <c r="D143" s="33">
        <f>IF(SUM(D5:D142)=0,"",SUM(D5:D142))</f>
        <v/>
      </c>
      <c r="E143" s="33">
        <f>IF(SUM(E5:E142)=0,"",SUM(E5:E142))</f>
        <v/>
      </c>
      <c r="F143" s="33">
        <f>IF(SUM(F5:F142)=0,"",SUM(F5:F142))</f>
        <v/>
      </c>
      <c r="G143" s="33">
        <f>IF(SUM(G5:G142)=0,"",SUM(G5:G142))</f>
        <v/>
      </c>
      <c r="H143" s="33">
        <f>IF(SUM(H5:H142)=0,"",SUM(H5:H142))</f>
        <v/>
      </c>
    </row>
    <row r="146">
      <c r="A146" s="32" t="inlineStr">
        <is>
          <t>BSE Premium Turnover (INR Bn)</t>
        </is>
      </c>
    </row>
    <row r="147">
      <c r="A147" s="32" t="inlineStr">
        <is>
          <t>Trade Week-Month-Year</t>
        </is>
      </c>
      <c r="B147" s="32" t="inlineStr">
        <is>
          <t>Monday</t>
        </is>
      </c>
      <c r="C147" s="32" t="inlineStr">
        <is>
          <t>Tuesday</t>
        </is>
      </c>
      <c r="D147" s="32" t="inlineStr">
        <is>
          <t>Wednesday</t>
        </is>
      </c>
      <c r="E147" s="32" t="inlineStr">
        <is>
          <t>Thursday</t>
        </is>
      </c>
      <c r="F147" s="32" t="inlineStr">
        <is>
          <t>Friday</t>
        </is>
      </c>
      <c r="G147" s="32" t="inlineStr">
        <is>
          <t>Sunday</t>
        </is>
      </c>
      <c r="H147" s="32" t="inlineStr">
        <is>
          <t>Total</t>
        </is>
      </c>
    </row>
    <row r="148">
      <c r="A148" t="inlineStr">
        <is>
          <t>Week1-Sep-2025</t>
        </is>
      </c>
      <c r="B148" s="26">
        <f>IF(SUMIFS('BSE - SENSEX Index Options'!$M:$M,'BSE - SENSEX Index Options'!$C:$C,$A148,'BSE - SENSEX Index Options'!$B:$B,B$147,'BSE - SENSEX Index Options'!$I:$I,"Weekly*")+SUMIFS('BSE - SENSEX Index Options'!$M:$M,'BSE - SENSEX Index Options'!$C:$C,$A148,'BSE - SENSEX Index Options'!$B:$B,B$147,'BSE - SENSEX Index Options'!$I:$I,"MDAW*")+SUMIFS('BSE - Other Index Options'!$M:$M,'BSE - Other Index Options'!$C:$C,$A148,'BSE - Other Index Options'!$B:$B,B$147,'BSE - Other Index Options'!$I:$I,"Weekly*")+SUMIFS('BSE - Other Index Options'!$M:$M,'BSE - Other Index Options'!$C:$C,$A148,'BSE - Other Index Options'!$B:$B,B$147,'BSE - Other Index Options'!$I:$I,"MDAW*")=0,"",SUMIFS('BSE - SENSEX Index Options'!$M:$M,'BSE - SENSEX Index Options'!$C:$C,$A148,'BSE - SENSEX Index Options'!$B:$B,B$147,'BSE - SENSEX Index Options'!$I:$I,"Weekly*")+SUMIFS('BSE - SENSEX Index Options'!$M:$M,'BSE - SENSEX Index Options'!$C:$C,$A148,'BSE - SENSEX Index Options'!$B:$B,B$147,'BSE - SENSEX Index Options'!$I:$I,"MDAW*")+SUMIFS('BSE - Other Index Options'!$M:$M,'BSE - Other Index Options'!$C:$C,$A148,'BSE - Other Index Options'!$B:$B,B$147,'BSE - Other Index Options'!$I:$I,"Weekly*")+SUMIFS('BSE - Other Index Options'!$M:$M,'BSE - Other Index Options'!$C:$C,$A148,'BSE - Other Index Options'!$B:$B,B$147,'BSE - Other Index Options'!$I:$I,"MDAW*"))</f>
        <v/>
      </c>
      <c r="C148" s="26">
        <f>IF(SUMIFS('BSE - SENSEX Index Options'!$M:$M,'BSE - SENSEX Index Options'!$C:$C,$A148,'BSE - SENSEX Index Options'!$B:$B,C$147,'BSE - SENSEX Index Options'!$I:$I,"Weekly*")+SUMIFS('BSE - SENSEX Index Options'!$M:$M,'BSE - SENSEX Index Options'!$C:$C,$A148,'BSE - SENSEX Index Options'!$B:$B,C$147,'BSE - SENSEX Index Options'!$I:$I,"MDAW*")+SUMIFS('BSE - Other Index Options'!$M:$M,'BSE - Other Index Options'!$C:$C,$A148,'BSE - Other Index Options'!$B:$B,C$147,'BSE - Other Index Options'!$I:$I,"Weekly*")+SUMIFS('BSE - Other Index Options'!$M:$M,'BSE - Other Index Options'!$C:$C,$A148,'BSE - Other Index Options'!$B:$B,C$147,'BSE - Other Index Options'!$I:$I,"MDAW*")=0,"",SUMIFS('BSE - SENSEX Index Options'!$M:$M,'BSE - SENSEX Index Options'!$C:$C,$A148,'BSE - SENSEX Index Options'!$B:$B,C$147,'BSE - SENSEX Index Options'!$I:$I,"Weekly*")+SUMIFS('BSE - SENSEX Index Options'!$M:$M,'BSE - SENSEX Index Options'!$C:$C,$A148,'BSE - SENSEX Index Options'!$B:$B,C$147,'BSE - SENSEX Index Options'!$I:$I,"MDAW*")+SUMIFS('BSE - Other Index Options'!$M:$M,'BSE - Other Index Options'!$C:$C,$A148,'BSE - Other Index Options'!$B:$B,C$147,'BSE - Other Index Options'!$I:$I,"Weekly*")+SUMIFS('BSE - Other Index Options'!$M:$M,'BSE - Other Index Options'!$C:$C,$A148,'BSE - Other Index Options'!$B:$B,C$147,'BSE - Other Index Options'!$I:$I,"MDAW*"))</f>
        <v/>
      </c>
      <c r="D148" s="26">
        <f>IF(SUMIFS('BSE - SENSEX Index Options'!$M:$M,'BSE - SENSEX Index Options'!$C:$C,$A148,'BSE - SENSEX Index Options'!$B:$B,D$147,'BSE - SENSEX Index Options'!$I:$I,"Weekly*")+SUMIFS('BSE - SENSEX Index Options'!$M:$M,'BSE - SENSEX Index Options'!$C:$C,$A148,'BSE - SENSEX Index Options'!$B:$B,D$147,'BSE - SENSEX Index Options'!$I:$I,"MDAW*")+SUMIFS('BSE - Other Index Options'!$M:$M,'BSE - Other Index Options'!$C:$C,$A148,'BSE - Other Index Options'!$B:$B,D$147,'BSE - Other Index Options'!$I:$I,"Weekly*")+SUMIFS('BSE - Other Index Options'!$M:$M,'BSE - Other Index Options'!$C:$C,$A148,'BSE - Other Index Options'!$B:$B,D$147,'BSE - Other Index Options'!$I:$I,"MDAW*")=0,"",SUMIFS('BSE - SENSEX Index Options'!$M:$M,'BSE - SENSEX Index Options'!$C:$C,$A148,'BSE - SENSEX Index Options'!$B:$B,D$147,'BSE - SENSEX Index Options'!$I:$I,"Weekly*")+SUMIFS('BSE - SENSEX Index Options'!$M:$M,'BSE - SENSEX Index Options'!$C:$C,$A148,'BSE - SENSEX Index Options'!$B:$B,D$147,'BSE - SENSEX Index Options'!$I:$I,"MDAW*")+SUMIFS('BSE - Other Index Options'!$M:$M,'BSE - Other Index Options'!$C:$C,$A148,'BSE - Other Index Options'!$B:$B,D$147,'BSE - Other Index Options'!$I:$I,"Weekly*")+SUMIFS('BSE - Other Index Options'!$M:$M,'BSE - Other Index Options'!$C:$C,$A148,'BSE - Other Index Options'!$B:$B,D$147,'BSE - Other Index Options'!$I:$I,"MDAW*"))</f>
        <v/>
      </c>
      <c r="E148" s="26">
        <f>IF(SUMIFS('BSE - SENSEX Index Options'!$M:$M,'BSE - SENSEX Index Options'!$C:$C,$A148,'BSE - SENSEX Index Options'!$B:$B,E$147,'BSE - SENSEX Index Options'!$I:$I,"Weekly*")+SUMIFS('BSE - SENSEX Index Options'!$M:$M,'BSE - SENSEX Index Options'!$C:$C,$A148,'BSE - SENSEX Index Options'!$B:$B,E$147,'BSE - SENSEX Index Options'!$I:$I,"MDAW*")+SUMIFS('BSE - Other Index Options'!$M:$M,'BSE - Other Index Options'!$C:$C,$A148,'BSE - Other Index Options'!$B:$B,E$147,'BSE - Other Index Options'!$I:$I,"Weekly*")+SUMIFS('BSE - Other Index Options'!$M:$M,'BSE - Other Index Options'!$C:$C,$A148,'BSE - Other Index Options'!$B:$B,E$147,'BSE - Other Index Options'!$I:$I,"MDAW*")=0,"",SUMIFS('BSE - SENSEX Index Options'!$M:$M,'BSE - SENSEX Index Options'!$C:$C,$A148,'BSE - SENSEX Index Options'!$B:$B,E$147,'BSE - SENSEX Index Options'!$I:$I,"Weekly*")+SUMIFS('BSE - SENSEX Index Options'!$M:$M,'BSE - SENSEX Index Options'!$C:$C,$A148,'BSE - SENSEX Index Options'!$B:$B,E$147,'BSE - SENSEX Index Options'!$I:$I,"MDAW*")+SUMIFS('BSE - Other Index Options'!$M:$M,'BSE - Other Index Options'!$C:$C,$A148,'BSE - Other Index Options'!$B:$B,E$147,'BSE - Other Index Options'!$I:$I,"Weekly*")+SUMIFS('BSE - Other Index Options'!$M:$M,'BSE - Other Index Options'!$C:$C,$A148,'BSE - Other Index Options'!$B:$B,E$147,'BSE - Other Index Options'!$I:$I,"MDAW*"))</f>
        <v/>
      </c>
      <c r="F148" s="26">
        <f>IF(SUMIFS('BSE - SENSEX Index Options'!$M:$M,'BSE - SENSEX Index Options'!$C:$C,$A148,'BSE - SENSEX Index Options'!$B:$B,F$147,'BSE - SENSEX Index Options'!$I:$I,"Weekly*")+SUMIFS('BSE - SENSEX Index Options'!$M:$M,'BSE - SENSEX Index Options'!$C:$C,$A148,'BSE - SENSEX Index Options'!$B:$B,F$147,'BSE - SENSEX Index Options'!$I:$I,"MDAW*")+SUMIFS('BSE - Other Index Options'!$M:$M,'BSE - Other Index Options'!$C:$C,$A148,'BSE - Other Index Options'!$B:$B,F$147,'BSE - Other Index Options'!$I:$I,"Weekly*")+SUMIFS('BSE - Other Index Options'!$M:$M,'BSE - Other Index Options'!$C:$C,$A148,'BSE - Other Index Options'!$B:$B,F$147,'BSE - Other Index Options'!$I:$I,"MDAW*")=0,"",SUMIFS('BSE - SENSEX Index Options'!$M:$M,'BSE - SENSEX Index Options'!$C:$C,$A148,'BSE - SENSEX Index Options'!$B:$B,F$147,'BSE - SENSEX Index Options'!$I:$I,"Weekly*")+SUMIFS('BSE - SENSEX Index Options'!$M:$M,'BSE - SENSEX Index Options'!$C:$C,$A148,'BSE - SENSEX Index Options'!$B:$B,F$147,'BSE - SENSEX Index Options'!$I:$I,"MDAW*")+SUMIFS('BSE - Other Index Options'!$M:$M,'BSE - Other Index Options'!$C:$C,$A148,'BSE - Other Index Options'!$B:$B,F$147,'BSE - Other Index Options'!$I:$I,"Weekly*")+SUMIFS('BSE - Other Index Options'!$M:$M,'BSE - Other Index Options'!$C:$C,$A148,'BSE - Other Index Options'!$B:$B,F$147,'BSE - Other Index Options'!$I:$I,"MDAW*"))</f>
        <v/>
      </c>
      <c r="G148" s="26">
        <f>IF(SUMIFS('BSE - SENSEX Index Options'!$M:$M,'BSE - SENSEX Index Options'!$C:$C,$A148,'BSE - SENSEX Index Options'!$B:$B,G$147,'BSE - SENSEX Index Options'!$I:$I,"Weekly*")+SUMIFS('BSE - SENSEX Index Options'!$M:$M,'BSE - SENSEX Index Options'!$C:$C,$A148,'BSE - SENSEX Index Options'!$B:$B,G$147,'BSE - SENSEX Index Options'!$I:$I,"MDAW*")+SUMIFS('BSE - Other Index Options'!$M:$M,'BSE - Other Index Options'!$C:$C,$A148,'BSE - Other Index Options'!$B:$B,G$147,'BSE - Other Index Options'!$I:$I,"Weekly*")+SUMIFS('BSE - Other Index Options'!$M:$M,'BSE - Other Index Options'!$C:$C,$A148,'BSE - Other Index Options'!$B:$B,G$147,'BSE - Other Index Options'!$I:$I,"MDAW*")=0,"",SUMIFS('BSE - SENSEX Index Options'!$M:$M,'BSE - SENSEX Index Options'!$C:$C,$A148,'BSE - SENSEX Index Options'!$B:$B,G$147,'BSE - SENSEX Index Options'!$I:$I,"Weekly*")+SUMIFS('BSE - SENSEX Index Options'!$M:$M,'BSE - SENSEX Index Options'!$C:$C,$A148,'BSE - SENSEX Index Options'!$B:$B,G$147,'BSE - SENSEX Index Options'!$I:$I,"MDAW*")+SUMIFS('BSE - Other Index Options'!$M:$M,'BSE - Other Index Options'!$C:$C,$A148,'BSE - Other Index Options'!$B:$B,G$147,'BSE - Other Index Options'!$I:$I,"Weekly*")+SUMIFS('BSE - Other Index Options'!$M:$M,'BSE - Other Index Options'!$C:$C,$A148,'BSE - Other Index Options'!$B:$B,G$147,'BSE - Other Index Options'!$I:$I,"MDAW*"))</f>
        <v/>
      </c>
      <c r="H148" s="26">
        <f>IF(SUM(B148:G148)=0,"",SUM(B148:G148))</f>
        <v/>
      </c>
    </row>
    <row r="149">
      <c r="A149" t="inlineStr">
        <is>
          <t>Week2-Sep-2025</t>
        </is>
      </c>
      <c r="B149" s="26">
        <f>IF(SUMIFS('BSE - SENSEX Index Options'!$M:$M,'BSE - SENSEX Index Options'!$C:$C,$A149,'BSE - SENSEX Index Options'!$B:$B,B$147,'BSE - SENSEX Index Options'!$I:$I,"Weekly*")+SUMIFS('BSE - SENSEX Index Options'!$M:$M,'BSE - SENSEX Index Options'!$C:$C,$A149,'BSE - SENSEX Index Options'!$B:$B,B$147,'BSE - SENSEX Index Options'!$I:$I,"MDAW*")+SUMIFS('BSE - Other Index Options'!$M:$M,'BSE - Other Index Options'!$C:$C,$A149,'BSE - Other Index Options'!$B:$B,B$147,'BSE - Other Index Options'!$I:$I,"Weekly*")+SUMIFS('BSE - Other Index Options'!$M:$M,'BSE - Other Index Options'!$C:$C,$A149,'BSE - Other Index Options'!$B:$B,B$147,'BSE - Other Index Options'!$I:$I,"MDAW*")=0,"",SUMIFS('BSE - SENSEX Index Options'!$M:$M,'BSE - SENSEX Index Options'!$C:$C,$A149,'BSE - SENSEX Index Options'!$B:$B,B$147,'BSE - SENSEX Index Options'!$I:$I,"Weekly*")+SUMIFS('BSE - SENSEX Index Options'!$M:$M,'BSE - SENSEX Index Options'!$C:$C,$A149,'BSE - SENSEX Index Options'!$B:$B,B$147,'BSE - SENSEX Index Options'!$I:$I,"MDAW*")+SUMIFS('BSE - Other Index Options'!$M:$M,'BSE - Other Index Options'!$C:$C,$A149,'BSE - Other Index Options'!$B:$B,B$147,'BSE - Other Index Options'!$I:$I,"Weekly*")+SUMIFS('BSE - Other Index Options'!$M:$M,'BSE - Other Index Options'!$C:$C,$A149,'BSE - Other Index Options'!$B:$B,B$147,'BSE - Other Index Options'!$I:$I,"MDAW*"))</f>
        <v/>
      </c>
      <c r="C149" s="26">
        <f>IF(SUMIFS('BSE - SENSEX Index Options'!$M:$M,'BSE - SENSEX Index Options'!$C:$C,$A149,'BSE - SENSEX Index Options'!$B:$B,C$147,'BSE - SENSEX Index Options'!$I:$I,"Weekly*")+SUMIFS('BSE - SENSEX Index Options'!$M:$M,'BSE - SENSEX Index Options'!$C:$C,$A149,'BSE - SENSEX Index Options'!$B:$B,C$147,'BSE - SENSEX Index Options'!$I:$I,"MDAW*")+SUMIFS('BSE - Other Index Options'!$M:$M,'BSE - Other Index Options'!$C:$C,$A149,'BSE - Other Index Options'!$B:$B,C$147,'BSE - Other Index Options'!$I:$I,"Weekly*")+SUMIFS('BSE - Other Index Options'!$M:$M,'BSE - Other Index Options'!$C:$C,$A149,'BSE - Other Index Options'!$B:$B,C$147,'BSE - Other Index Options'!$I:$I,"MDAW*")=0,"",SUMIFS('BSE - SENSEX Index Options'!$M:$M,'BSE - SENSEX Index Options'!$C:$C,$A149,'BSE - SENSEX Index Options'!$B:$B,C$147,'BSE - SENSEX Index Options'!$I:$I,"Weekly*")+SUMIFS('BSE - SENSEX Index Options'!$M:$M,'BSE - SENSEX Index Options'!$C:$C,$A149,'BSE - SENSEX Index Options'!$B:$B,C$147,'BSE - SENSEX Index Options'!$I:$I,"MDAW*")+SUMIFS('BSE - Other Index Options'!$M:$M,'BSE - Other Index Options'!$C:$C,$A149,'BSE - Other Index Options'!$B:$B,C$147,'BSE - Other Index Options'!$I:$I,"Weekly*")+SUMIFS('BSE - Other Index Options'!$M:$M,'BSE - Other Index Options'!$C:$C,$A149,'BSE - Other Index Options'!$B:$B,C$147,'BSE - Other Index Options'!$I:$I,"MDAW*"))</f>
        <v/>
      </c>
      <c r="D149" s="26">
        <f>IF(SUMIFS('BSE - SENSEX Index Options'!$M:$M,'BSE - SENSEX Index Options'!$C:$C,$A149,'BSE - SENSEX Index Options'!$B:$B,D$147,'BSE - SENSEX Index Options'!$I:$I,"Weekly*")+SUMIFS('BSE - SENSEX Index Options'!$M:$M,'BSE - SENSEX Index Options'!$C:$C,$A149,'BSE - SENSEX Index Options'!$B:$B,D$147,'BSE - SENSEX Index Options'!$I:$I,"MDAW*")+SUMIFS('BSE - Other Index Options'!$M:$M,'BSE - Other Index Options'!$C:$C,$A149,'BSE - Other Index Options'!$B:$B,D$147,'BSE - Other Index Options'!$I:$I,"Weekly*")+SUMIFS('BSE - Other Index Options'!$M:$M,'BSE - Other Index Options'!$C:$C,$A149,'BSE - Other Index Options'!$B:$B,D$147,'BSE - Other Index Options'!$I:$I,"MDAW*")=0,"",SUMIFS('BSE - SENSEX Index Options'!$M:$M,'BSE - SENSEX Index Options'!$C:$C,$A149,'BSE - SENSEX Index Options'!$B:$B,D$147,'BSE - SENSEX Index Options'!$I:$I,"Weekly*")+SUMIFS('BSE - SENSEX Index Options'!$M:$M,'BSE - SENSEX Index Options'!$C:$C,$A149,'BSE - SENSEX Index Options'!$B:$B,D$147,'BSE - SENSEX Index Options'!$I:$I,"MDAW*")+SUMIFS('BSE - Other Index Options'!$M:$M,'BSE - Other Index Options'!$C:$C,$A149,'BSE - Other Index Options'!$B:$B,D$147,'BSE - Other Index Options'!$I:$I,"Weekly*")+SUMIFS('BSE - Other Index Options'!$M:$M,'BSE - Other Index Options'!$C:$C,$A149,'BSE - Other Index Options'!$B:$B,D$147,'BSE - Other Index Options'!$I:$I,"MDAW*"))</f>
        <v/>
      </c>
      <c r="E149" s="26">
        <f>IF(SUMIFS('BSE - SENSEX Index Options'!$M:$M,'BSE - SENSEX Index Options'!$C:$C,$A149,'BSE - SENSEX Index Options'!$B:$B,E$147,'BSE - SENSEX Index Options'!$I:$I,"Weekly*")+SUMIFS('BSE - SENSEX Index Options'!$M:$M,'BSE - SENSEX Index Options'!$C:$C,$A149,'BSE - SENSEX Index Options'!$B:$B,E$147,'BSE - SENSEX Index Options'!$I:$I,"MDAW*")+SUMIFS('BSE - Other Index Options'!$M:$M,'BSE - Other Index Options'!$C:$C,$A149,'BSE - Other Index Options'!$B:$B,E$147,'BSE - Other Index Options'!$I:$I,"Weekly*")+SUMIFS('BSE - Other Index Options'!$M:$M,'BSE - Other Index Options'!$C:$C,$A149,'BSE - Other Index Options'!$B:$B,E$147,'BSE - Other Index Options'!$I:$I,"MDAW*")=0,"",SUMIFS('BSE - SENSEX Index Options'!$M:$M,'BSE - SENSEX Index Options'!$C:$C,$A149,'BSE - SENSEX Index Options'!$B:$B,E$147,'BSE - SENSEX Index Options'!$I:$I,"Weekly*")+SUMIFS('BSE - SENSEX Index Options'!$M:$M,'BSE - SENSEX Index Options'!$C:$C,$A149,'BSE - SENSEX Index Options'!$B:$B,E$147,'BSE - SENSEX Index Options'!$I:$I,"MDAW*")+SUMIFS('BSE - Other Index Options'!$M:$M,'BSE - Other Index Options'!$C:$C,$A149,'BSE - Other Index Options'!$B:$B,E$147,'BSE - Other Index Options'!$I:$I,"Weekly*")+SUMIFS('BSE - Other Index Options'!$M:$M,'BSE - Other Index Options'!$C:$C,$A149,'BSE - Other Index Options'!$B:$B,E$147,'BSE - Other Index Options'!$I:$I,"MDAW*"))</f>
        <v/>
      </c>
      <c r="F149" s="26">
        <f>IF(SUMIFS('BSE - SENSEX Index Options'!$M:$M,'BSE - SENSEX Index Options'!$C:$C,$A149,'BSE - SENSEX Index Options'!$B:$B,F$147,'BSE - SENSEX Index Options'!$I:$I,"Weekly*")+SUMIFS('BSE - SENSEX Index Options'!$M:$M,'BSE - SENSEX Index Options'!$C:$C,$A149,'BSE - SENSEX Index Options'!$B:$B,F$147,'BSE - SENSEX Index Options'!$I:$I,"MDAW*")+SUMIFS('BSE - Other Index Options'!$M:$M,'BSE - Other Index Options'!$C:$C,$A149,'BSE - Other Index Options'!$B:$B,F$147,'BSE - Other Index Options'!$I:$I,"Weekly*")+SUMIFS('BSE - Other Index Options'!$M:$M,'BSE - Other Index Options'!$C:$C,$A149,'BSE - Other Index Options'!$B:$B,F$147,'BSE - Other Index Options'!$I:$I,"MDAW*")=0,"",SUMIFS('BSE - SENSEX Index Options'!$M:$M,'BSE - SENSEX Index Options'!$C:$C,$A149,'BSE - SENSEX Index Options'!$B:$B,F$147,'BSE - SENSEX Index Options'!$I:$I,"Weekly*")+SUMIFS('BSE - SENSEX Index Options'!$M:$M,'BSE - SENSEX Index Options'!$C:$C,$A149,'BSE - SENSEX Index Options'!$B:$B,F$147,'BSE - SENSEX Index Options'!$I:$I,"MDAW*")+SUMIFS('BSE - Other Index Options'!$M:$M,'BSE - Other Index Options'!$C:$C,$A149,'BSE - Other Index Options'!$B:$B,F$147,'BSE - Other Index Options'!$I:$I,"Weekly*")+SUMIFS('BSE - Other Index Options'!$M:$M,'BSE - Other Index Options'!$C:$C,$A149,'BSE - Other Index Options'!$B:$B,F$147,'BSE - Other Index Options'!$I:$I,"MDAW*"))</f>
        <v/>
      </c>
      <c r="G149" s="26">
        <f>IF(SUMIFS('BSE - SENSEX Index Options'!$M:$M,'BSE - SENSEX Index Options'!$C:$C,$A149,'BSE - SENSEX Index Options'!$B:$B,G$147,'BSE - SENSEX Index Options'!$I:$I,"Weekly*")+SUMIFS('BSE - SENSEX Index Options'!$M:$M,'BSE - SENSEX Index Options'!$C:$C,$A149,'BSE - SENSEX Index Options'!$B:$B,G$147,'BSE - SENSEX Index Options'!$I:$I,"MDAW*")+SUMIFS('BSE - Other Index Options'!$M:$M,'BSE - Other Index Options'!$C:$C,$A149,'BSE - Other Index Options'!$B:$B,G$147,'BSE - Other Index Options'!$I:$I,"Weekly*")+SUMIFS('BSE - Other Index Options'!$M:$M,'BSE - Other Index Options'!$C:$C,$A149,'BSE - Other Index Options'!$B:$B,G$147,'BSE - Other Index Options'!$I:$I,"MDAW*")=0,"",SUMIFS('BSE - SENSEX Index Options'!$M:$M,'BSE - SENSEX Index Options'!$C:$C,$A149,'BSE - SENSEX Index Options'!$B:$B,G$147,'BSE - SENSEX Index Options'!$I:$I,"Weekly*")+SUMIFS('BSE - SENSEX Index Options'!$M:$M,'BSE - SENSEX Index Options'!$C:$C,$A149,'BSE - SENSEX Index Options'!$B:$B,G$147,'BSE - SENSEX Index Options'!$I:$I,"MDAW*")+SUMIFS('BSE - Other Index Options'!$M:$M,'BSE - Other Index Options'!$C:$C,$A149,'BSE - Other Index Options'!$B:$B,G$147,'BSE - Other Index Options'!$I:$I,"Weekly*")+SUMIFS('BSE - Other Index Options'!$M:$M,'BSE - Other Index Options'!$C:$C,$A149,'BSE - Other Index Options'!$B:$B,G$147,'BSE - Other Index Options'!$I:$I,"MDAW*"))</f>
        <v/>
      </c>
      <c r="H149" s="26">
        <f>IF(SUM(B149:G149)=0,"",SUM(B149:G149))</f>
        <v/>
      </c>
    </row>
    <row r="150">
      <c r="A150" t="inlineStr">
        <is>
          <t>Week3-Sep-2025</t>
        </is>
      </c>
      <c r="B150" s="26">
        <f>IF(SUMIFS('BSE - SENSEX Index Options'!$M:$M,'BSE - SENSEX Index Options'!$C:$C,$A150,'BSE - SENSEX Index Options'!$B:$B,B$147,'BSE - SENSEX Index Options'!$I:$I,"Weekly*")+SUMIFS('BSE - SENSEX Index Options'!$M:$M,'BSE - SENSEX Index Options'!$C:$C,$A150,'BSE - SENSEX Index Options'!$B:$B,B$147,'BSE - SENSEX Index Options'!$I:$I,"MDAW*")+SUMIFS('BSE - Other Index Options'!$M:$M,'BSE - Other Index Options'!$C:$C,$A150,'BSE - Other Index Options'!$B:$B,B$147,'BSE - Other Index Options'!$I:$I,"Weekly*")+SUMIFS('BSE - Other Index Options'!$M:$M,'BSE - Other Index Options'!$C:$C,$A150,'BSE - Other Index Options'!$B:$B,B$147,'BSE - Other Index Options'!$I:$I,"MDAW*")=0,"",SUMIFS('BSE - SENSEX Index Options'!$M:$M,'BSE - SENSEX Index Options'!$C:$C,$A150,'BSE - SENSEX Index Options'!$B:$B,B$147,'BSE - SENSEX Index Options'!$I:$I,"Weekly*")+SUMIFS('BSE - SENSEX Index Options'!$M:$M,'BSE - SENSEX Index Options'!$C:$C,$A150,'BSE - SENSEX Index Options'!$B:$B,B$147,'BSE - SENSEX Index Options'!$I:$I,"MDAW*")+SUMIFS('BSE - Other Index Options'!$M:$M,'BSE - Other Index Options'!$C:$C,$A150,'BSE - Other Index Options'!$B:$B,B$147,'BSE - Other Index Options'!$I:$I,"Weekly*")+SUMIFS('BSE - Other Index Options'!$M:$M,'BSE - Other Index Options'!$C:$C,$A150,'BSE - Other Index Options'!$B:$B,B$147,'BSE - Other Index Options'!$I:$I,"MDAW*"))</f>
        <v/>
      </c>
      <c r="C150" s="26">
        <f>IF(SUMIFS('BSE - SENSEX Index Options'!$M:$M,'BSE - SENSEX Index Options'!$C:$C,$A150,'BSE - SENSEX Index Options'!$B:$B,C$147,'BSE - SENSEX Index Options'!$I:$I,"Weekly*")+SUMIFS('BSE - SENSEX Index Options'!$M:$M,'BSE - SENSEX Index Options'!$C:$C,$A150,'BSE - SENSEX Index Options'!$B:$B,C$147,'BSE - SENSEX Index Options'!$I:$I,"MDAW*")+SUMIFS('BSE - Other Index Options'!$M:$M,'BSE - Other Index Options'!$C:$C,$A150,'BSE - Other Index Options'!$B:$B,C$147,'BSE - Other Index Options'!$I:$I,"Weekly*")+SUMIFS('BSE - Other Index Options'!$M:$M,'BSE - Other Index Options'!$C:$C,$A150,'BSE - Other Index Options'!$B:$B,C$147,'BSE - Other Index Options'!$I:$I,"MDAW*")=0,"",SUMIFS('BSE - SENSEX Index Options'!$M:$M,'BSE - SENSEX Index Options'!$C:$C,$A150,'BSE - SENSEX Index Options'!$B:$B,C$147,'BSE - SENSEX Index Options'!$I:$I,"Weekly*")+SUMIFS('BSE - SENSEX Index Options'!$M:$M,'BSE - SENSEX Index Options'!$C:$C,$A150,'BSE - SENSEX Index Options'!$B:$B,C$147,'BSE - SENSEX Index Options'!$I:$I,"MDAW*")+SUMIFS('BSE - Other Index Options'!$M:$M,'BSE - Other Index Options'!$C:$C,$A150,'BSE - Other Index Options'!$B:$B,C$147,'BSE - Other Index Options'!$I:$I,"Weekly*")+SUMIFS('BSE - Other Index Options'!$M:$M,'BSE - Other Index Options'!$C:$C,$A150,'BSE - Other Index Options'!$B:$B,C$147,'BSE - Other Index Options'!$I:$I,"MDAW*"))</f>
        <v/>
      </c>
      <c r="D150" s="26">
        <f>IF(SUMIFS('BSE - SENSEX Index Options'!$M:$M,'BSE - SENSEX Index Options'!$C:$C,$A150,'BSE - SENSEX Index Options'!$B:$B,D$147,'BSE - SENSEX Index Options'!$I:$I,"Weekly*")+SUMIFS('BSE - SENSEX Index Options'!$M:$M,'BSE - SENSEX Index Options'!$C:$C,$A150,'BSE - SENSEX Index Options'!$B:$B,D$147,'BSE - SENSEX Index Options'!$I:$I,"MDAW*")+SUMIFS('BSE - Other Index Options'!$M:$M,'BSE - Other Index Options'!$C:$C,$A150,'BSE - Other Index Options'!$B:$B,D$147,'BSE - Other Index Options'!$I:$I,"Weekly*")+SUMIFS('BSE - Other Index Options'!$M:$M,'BSE - Other Index Options'!$C:$C,$A150,'BSE - Other Index Options'!$B:$B,D$147,'BSE - Other Index Options'!$I:$I,"MDAW*")=0,"",SUMIFS('BSE - SENSEX Index Options'!$M:$M,'BSE - SENSEX Index Options'!$C:$C,$A150,'BSE - SENSEX Index Options'!$B:$B,D$147,'BSE - SENSEX Index Options'!$I:$I,"Weekly*")+SUMIFS('BSE - SENSEX Index Options'!$M:$M,'BSE - SENSEX Index Options'!$C:$C,$A150,'BSE - SENSEX Index Options'!$B:$B,D$147,'BSE - SENSEX Index Options'!$I:$I,"MDAW*")+SUMIFS('BSE - Other Index Options'!$M:$M,'BSE - Other Index Options'!$C:$C,$A150,'BSE - Other Index Options'!$B:$B,D$147,'BSE - Other Index Options'!$I:$I,"Weekly*")+SUMIFS('BSE - Other Index Options'!$M:$M,'BSE - Other Index Options'!$C:$C,$A150,'BSE - Other Index Options'!$B:$B,D$147,'BSE - Other Index Options'!$I:$I,"MDAW*"))</f>
        <v/>
      </c>
      <c r="E150" s="26">
        <f>IF(SUMIFS('BSE - SENSEX Index Options'!$M:$M,'BSE - SENSEX Index Options'!$C:$C,$A150,'BSE - SENSEX Index Options'!$B:$B,E$147,'BSE - SENSEX Index Options'!$I:$I,"Weekly*")+SUMIFS('BSE - SENSEX Index Options'!$M:$M,'BSE - SENSEX Index Options'!$C:$C,$A150,'BSE - SENSEX Index Options'!$B:$B,E$147,'BSE - SENSEX Index Options'!$I:$I,"MDAW*")+SUMIFS('BSE - Other Index Options'!$M:$M,'BSE - Other Index Options'!$C:$C,$A150,'BSE - Other Index Options'!$B:$B,E$147,'BSE - Other Index Options'!$I:$I,"Weekly*")+SUMIFS('BSE - Other Index Options'!$M:$M,'BSE - Other Index Options'!$C:$C,$A150,'BSE - Other Index Options'!$B:$B,E$147,'BSE - Other Index Options'!$I:$I,"MDAW*")=0,"",SUMIFS('BSE - SENSEX Index Options'!$M:$M,'BSE - SENSEX Index Options'!$C:$C,$A150,'BSE - SENSEX Index Options'!$B:$B,E$147,'BSE - SENSEX Index Options'!$I:$I,"Weekly*")+SUMIFS('BSE - SENSEX Index Options'!$M:$M,'BSE - SENSEX Index Options'!$C:$C,$A150,'BSE - SENSEX Index Options'!$B:$B,E$147,'BSE - SENSEX Index Options'!$I:$I,"MDAW*")+SUMIFS('BSE - Other Index Options'!$M:$M,'BSE - Other Index Options'!$C:$C,$A150,'BSE - Other Index Options'!$B:$B,E$147,'BSE - Other Index Options'!$I:$I,"Weekly*")+SUMIFS('BSE - Other Index Options'!$M:$M,'BSE - Other Index Options'!$C:$C,$A150,'BSE - Other Index Options'!$B:$B,E$147,'BSE - Other Index Options'!$I:$I,"MDAW*"))</f>
        <v/>
      </c>
      <c r="F150" s="26">
        <f>IF(SUMIFS('BSE - SENSEX Index Options'!$M:$M,'BSE - SENSEX Index Options'!$C:$C,$A150,'BSE - SENSEX Index Options'!$B:$B,F$147,'BSE - SENSEX Index Options'!$I:$I,"Weekly*")+SUMIFS('BSE - SENSEX Index Options'!$M:$M,'BSE - SENSEX Index Options'!$C:$C,$A150,'BSE - SENSEX Index Options'!$B:$B,F$147,'BSE - SENSEX Index Options'!$I:$I,"MDAW*")+SUMIFS('BSE - Other Index Options'!$M:$M,'BSE - Other Index Options'!$C:$C,$A150,'BSE - Other Index Options'!$B:$B,F$147,'BSE - Other Index Options'!$I:$I,"Weekly*")+SUMIFS('BSE - Other Index Options'!$M:$M,'BSE - Other Index Options'!$C:$C,$A150,'BSE - Other Index Options'!$B:$B,F$147,'BSE - Other Index Options'!$I:$I,"MDAW*")=0,"",SUMIFS('BSE - SENSEX Index Options'!$M:$M,'BSE - SENSEX Index Options'!$C:$C,$A150,'BSE - SENSEX Index Options'!$B:$B,F$147,'BSE - SENSEX Index Options'!$I:$I,"Weekly*")+SUMIFS('BSE - SENSEX Index Options'!$M:$M,'BSE - SENSEX Index Options'!$C:$C,$A150,'BSE - SENSEX Index Options'!$B:$B,F$147,'BSE - SENSEX Index Options'!$I:$I,"MDAW*")+SUMIFS('BSE - Other Index Options'!$M:$M,'BSE - Other Index Options'!$C:$C,$A150,'BSE - Other Index Options'!$B:$B,F$147,'BSE - Other Index Options'!$I:$I,"Weekly*")+SUMIFS('BSE - Other Index Options'!$M:$M,'BSE - Other Index Options'!$C:$C,$A150,'BSE - Other Index Options'!$B:$B,F$147,'BSE - Other Index Options'!$I:$I,"MDAW*"))</f>
        <v/>
      </c>
      <c r="G150" s="26">
        <f>IF(SUMIFS('BSE - SENSEX Index Options'!$M:$M,'BSE - SENSEX Index Options'!$C:$C,$A150,'BSE - SENSEX Index Options'!$B:$B,G$147,'BSE - SENSEX Index Options'!$I:$I,"Weekly*")+SUMIFS('BSE - SENSEX Index Options'!$M:$M,'BSE - SENSEX Index Options'!$C:$C,$A150,'BSE - SENSEX Index Options'!$B:$B,G$147,'BSE - SENSEX Index Options'!$I:$I,"MDAW*")+SUMIFS('BSE - Other Index Options'!$M:$M,'BSE - Other Index Options'!$C:$C,$A150,'BSE - Other Index Options'!$B:$B,G$147,'BSE - Other Index Options'!$I:$I,"Weekly*")+SUMIFS('BSE - Other Index Options'!$M:$M,'BSE - Other Index Options'!$C:$C,$A150,'BSE - Other Index Options'!$B:$B,G$147,'BSE - Other Index Options'!$I:$I,"MDAW*")=0,"",SUMIFS('BSE - SENSEX Index Options'!$M:$M,'BSE - SENSEX Index Options'!$C:$C,$A150,'BSE - SENSEX Index Options'!$B:$B,G$147,'BSE - SENSEX Index Options'!$I:$I,"Weekly*")+SUMIFS('BSE - SENSEX Index Options'!$M:$M,'BSE - SENSEX Index Options'!$C:$C,$A150,'BSE - SENSEX Index Options'!$B:$B,G$147,'BSE - SENSEX Index Options'!$I:$I,"MDAW*")+SUMIFS('BSE - Other Index Options'!$M:$M,'BSE - Other Index Options'!$C:$C,$A150,'BSE - Other Index Options'!$B:$B,G$147,'BSE - Other Index Options'!$I:$I,"Weekly*")+SUMIFS('BSE - Other Index Options'!$M:$M,'BSE - Other Index Options'!$C:$C,$A150,'BSE - Other Index Options'!$B:$B,G$147,'BSE - Other Index Options'!$I:$I,"MDAW*"))</f>
        <v/>
      </c>
      <c r="H150" s="26">
        <f>IF(SUM(B150:G150)=0,"",SUM(B150:G150))</f>
        <v/>
      </c>
    </row>
    <row r="151">
      <c r="A151" t="inlineStr">
        <is>
          <t>Week4-Sep-2025</t>
        </is>
      </c>
      <c r="B151" s="26">
        <f>IF(SUMIFS('BSE - SENSEX Index Options'!$M:$M,'BSE - SENSEX Index Options'!$C:$C,$A151,'BSE - SENSEX Index Options'!$B:$B,B$147,'BSE - SENSEX Index Options'!$I:$I,"Weekly*")+SUMIFS('BSE - SENSEX Index Options'!$M:$M,'BSE - SENSEX Index Options'!$C:$C,$A151,'BSE - SENSEX Index Options'!$B:$B,B$147,'BSE - SENSEX Index Options'!$I:$I,"MDAW*")+SUMIFS('BSE - Other Index Options'!$M:$M,'BSE - Other Index Options'!$C:$C,$A151,'BSE - Other Index Options'!$B:$B,B$147,'BSE - Other Index Options'!$I:$I,"Weekly*")+SUMIFS('BSE - Other Index Options'!$M:$M,'BSE - Other Index Options'!$C:$C,$A151,'BSE - Other Index Options'!$B:$B,B$147,'BSE - Other Index Options'!$I:$I,"MDAW*")=0,"",SUMIFS('BSE - SENSEX Index Options'!$M:$M,'BSE - SENSEX Index Options'!$C:$C,$A151,'BSE - SENSEX Index Options'!$B:$B,B$147,'BSE - SENSEX Index Options'!$I:$I,"Weekly*")+SUMIFS('BSE - SENSEX Index Options'!$M:$M,'BSE - SENSEX Index Options'!$C:$C,$A151,'BSE - SENSEX Index Options'!$B:$B,B$147,'BSE - SENSEX Index Options'!$I:$I,"MDAW*")+SUMIFS('BSE - Other Index Options'!$M:$M,'BSE - Other Index Options'!$C:$C,$A151,'BSE - Other Index Options'!$B:$B,B$147,'BSE - Other Index Options'!$I:$I,"Weekly*")+SUMIFS('BSE - Other Index Options'!$M:$M,'BSE - Other Index Options'!$C:$C,$A151,'BSE - Other Index Options'!$B:$B,B$147,'BSE - Other Index Options'!$I:$I,"MDAW*"))</f>
        <v/>
      </c>
      <c r="C151" s="26">
        <f>IF(SUMIFS('BSE - SENSEX Index Options'!$M:$M,'BSE - SENSEX Index Options'!$C:$C,$A151,'BSE - SENSEX Index Options'!$B:$B,C$147,'BSE - SENSEX Index Options'!$I:$I,"Weekly*")+SUMIFS('BSE - SENSEX Index Options'!$M:$M,'BSE - SENSEX Index Options'!$C:$C,$A151,'BSE - SENSEX Index Options'!$B:$B,C$147,'BSE - SENSEX Index Options'!$I:$I,"MDAW*")+SUMIFS('BSE - Other Index Options'!$M:$M,'BSE - Other Index Options'!$C:$C,$A151,'BSE - Other Index Options'!$B:$B,C$147,'BSE - Other Index Options'!$I:$I,"Weekly*")+SUMIFS('BSE - Other Index Options'!$M:$M,'BSE - Other Index Options'!$C:$C,$A151,'BSE - Other Index Options'!$B:$B,C$147,'BSE - Other Index Options'!$I:$I,"MDAW*")=0,"",SUMIFS('BSE - SENSEX Index Options'!$M:$M,'BSE - SENSEX Index Options'!$C:$C,$A151,'BSE - SENSEX Index Options'!$B:$B,C$147,'BSE - SENSEX Index Options'!$I:$I,"Weekly*")+SUMIFS('BSE - SENSEX Index Options'!$M:$M,'BSE - SENSEX Index Options'!$C:$C,$A151,'BSE - SENSEX Index Options'!$B:$B,C$147,'BSE - SENSEX Index Options'!$I:$I,"MDAW*")+SUMIFS('BSE - Other Index Options'!$M:$M,'BSE - Other Index Options'!$C:$C,$A151,'BSE - Other Index Options'!$B:$B,C$147,'BSE - Other Index Options'!$I:$I,"Weekly*")+SUMIFS('BSE - Other Index Options'!$M:$M,'BSE - Other Index Options'!$C:$C,$A151,'BSE - Other Index Options'!$B:$B,C$147,'BSE - Other Index Options'!$I:$I,"MDAW*"))</f>
        <v/>
      </c>
      <c r="D151" s="26">
        <f>IF(SUMIFS('BSE - SENSEX Index Options'!$M:$M,'BSE - SENSEX Index Options'!$C:$C,$A151,'BSE - SENSEX Index Options'!$B:$B,D$147,'BSE - SENSEX Index Options'!$I:$I,"Weekly*")+SUMIFS('BSE - SENSEX Index Options'!$M:$M,'BSE - SENSEX Index Options'!$C:$C,$A151,'BSE - SENSEX Index Options'!$B:$B,D$147,'BSE - SENSEX Index Options'!$I:$I,"MDAW*")+SUMIFS('BSE - Other Index Options'!$M:$M,'BSE - Other Index Options'!$C:$C,$A151,'BSE - Other Index Options'!$B:$B,D$147,'BSE - Other Index Options'!$I:$I,"Weekly*")+SUMIFS('BSE - Other Index Options'!$M:$M,'BSE - Other Index Options'!$C:$C,$A151,'BSE - Other Index Options'!$B:$B,D$147,'BSE - Other Index Options'!$I:$I,"MDAW*")=0,"",SUMIFS('BSE - SENSEX Index Options'!$M:$M,'BSE - SENSEX Index Options'!$C:$C,$A151,'BSE - SENSEX Index Options'!$B:$B,D$147,'BSE - SENSEX Index Options'!$I:$I,"Weekly*")+SUMIFS('BSE - SENSEX Index Options'!$M:$M,'BSE - SENSEX Index Options'!$C:$C,$A151,'BSE - SENSEX Index Options'!$B:$B,D$147,'BSE - SENSEX Index Options'!$I:$I,"MDAW*")+SUMIFS('BSE - Other Index Options'!$M:$M,'BSE - Other Index Options'!$C:$C,$A151,'BSE - Other Index Options'!$B:$B,D$147,'BSE - Other Index Options'!$I:$I,"Weekly*")+SUMIFS('BSE - Other Index Options'!$M:$M,'BSE - Other Index Options'!$C:$C,$A151,'BSE - Other Index Options'!$B:$B,D$147,'BSE - Other Index Options'!$I:$I,"MDAW*"))</f>
        <v/>
      </c>
      <c r="E151" s="26">
        <f>IF(SUMIFS('BSE - SENSEX Index Options'!$M:$M,'BSE - SENSEX Index Options'!$C:$C,$A151,'BSE - SENSEX Index Options'!$B:$B,E$147,'BSE - SENSEX Index Options'!$I:$I,"Weekly*")+SUMIFS('BSE - SENSEX Index Options'!$M:$M,'BSE - SENSEX Index Options'!$C:$C,$A151,'BSE - SENSEX Index Options'!$B:$B,E$147,'BSE - SENSEX Index Options'!$I:$I,"MDAW*")+SUMIFS('BSE - Other Index Options'!$M:$M,'BSE - Other Index Options'!$C:$C,$A151,'BSE - Other Index Options'!$B:$B,E$147,'BSE - Other Index Options'!$I:$I,"Weekly*")+SUMIFS('BSE - Other Index Options'!$M:$M,'BSE - Other Index Options'!$C:$C,$A151,'BSE - Other Index Options'!$B:$B,E$147,'BSE - Other Index Options'!$I:$I,"MDAW*")=0,"",SUMIFS('BSE - SENSEX Index Options'!$M:$M,'BSE - SENSEX Index Options'!$C:$C,$A151,'BSE - SENSEX Index Options'!$B:$B,E$147,'BSE - SENSEX Index Options'!$I:$I,"Weekly*")+SUMIFS('BSE - SENSEX Index Options'!$M:$M,'BSE - SENSEX Index Options'!$C:$C,$A151,'BSE - SENSEX Index Options'!$B:$B,E$147,'BSE - SENSEX Index Options'!$I:$I,"MDAW*")+SUMIFS('BSE - Other Index Options'!$M:$M,'BSE - Other Index Options'!$C:$C,$A151,'BSE - Other Index Options'!$B:$B,E$147,'BSE - Other Index Options'!$I:$I,"Weekly*")+SUMIFS('BSE - Other Index Options'!$M:$M,'BSE - Other Index Options'!$C:$C,$A151,'BSE - Other Index Options'!$B:$B,E$147,'BSE - Other Index Options'!$I:$I,"MDAW*"))</f>
        <v/>
      </c>
      <c r="F151" s="26">
        <f>IF(SUMIFS('BSE - SENSEX Index Options'!$M:$M,'BSE - SENSEX Index Options'!$C:$C,$A151,'BSE - SENSEX Index Options'!$B:$B,F$147,'BSE - SENSEX Index Options'!$I:$I,"Weekly*")+SUMIFS('BSE - SENSEX Index Options'!$M:$M,'BSE - SENSEX Index Options'!$C:$C,$A151,'BSE - SENSEX Index Options'!$B:$B,F$147,'BSE - SENSEX Index Options'!$I:$I,"MDAW*")+SUMIFS('BSE - Other Index Options'!$M:$M,'BSE - Other Index Options'!$C:$C,$A151,'BSE - Other Index Options'!$B:$B,F$147,'BSE - Other Index Options'!$I:$I,"Weekly*")+SUMIFS('BSE - Other Index Options'!$M:$M,'BSE - Other Index Options'!$C:$C,$A151,'BSE - Other Index Options'!$B:$B,F$147,'BSE - Other Index Options'!$I:$I,"MDAW*")=0,"",SUMIFS('BSE - SENSEX Index Options'!$M:$M,'BSE - SENSEX Index Options'!$C:$C,$A151,'BSE - SENSEX Index Options'!$B:$B,F$147,'BSE - SENSEX Index Options'!$I:$I,"Weekly*")+SUMIFS('BSE - SENSEX Index Options'!$M:$M,'BSE - SENSEX Index Options'!$C:$C,$A151,'BSE - SENSEX Index Options'!$B:$B,F$147,'BSE - SENSEX Index Options'!$I:$I,"MDAW*")+SUMIFS('BSE - Other Index Options'!$M:$M,'BSE - Other Index Options'!$C:$C,$A151,'BSE - Other Index Options'!$B:$B,F$147,'BSE - Other Index Options'!$I:$I,"Weekly*")+SUMIFS('BSE - Other Index Options'!$M:$M,'BSE - Other Index Options'!$C:$C,$A151,'BSE - Other Index Options'!$B:$B,F$147,'BSE - Other Index Options'!$I:$I,"MDAW*"))</f>
        <v/>
      </c>
      <c r="G151" s="26">
        <f>IF(SUMIFS('BSE - SENSEX Index Options'!$M:$M,'BSE - SENSEX Index Options'!$C:$C,$A151,'BSE - SENSEX Index Options'!$B:$B,G$147,'BSE - SENSEX Index Options'!$I:$I,"Weekly*")+SUMIFS('BSE - SENSEX Index Options'!$M:$M,'BSE - SENSEX Index Options'!$C:$C,$A151,'BSE - SENSEX Index Options'!$B:$B,G$147,'BSE - SENSEX Index Options'!$I:$I,"MDAW*")+SUMIFS('BSE - Other Index Options'!$M:$M,'BSE - Other Index Options'!$C:$C,$A151,'BSE - Other Index Options'!$B:$B,G$147,'BSE - Other Index Options'!$I:$I,"Weekly*")+SUMIFS('BSE - Other Index Options'!$M:$M,'BSE - Other Index Options'!$C:$C,$A151,'BSE - Other Index Options'!$B:$B,G$147,'BSE - Other Index Options'!$I:$I,"MDAW*")=0,"",SUMIFS('BSE - SENSEX Index Options'!$M:$M,'BSE - SENSEX Index Options'!$C:$C,$A151,'BSE - SENSEX Index Options'!$B:$B,G$147,'BSE - SENSEX Index Options'!$I:$I,"Weekly*")+SUMIFS('BSE - SENSEX Index Options'!$M:$M,'BSE - SENSEX Index Options'!$C:$C,$A151,'BSE - SENSEX Index Options'!$B:$B,G$147,'BSE - SENSEX Index Options'!$I:$I,"MDAW*")+SUMIFS('BSE - Other Index Options'!$M:$M,'BSE - Other Index Options'!$C:$C,$A151,'BSE - Other Index Options'!$B:$B,G$147,'BSE - Other Index Options'!$I:$I,"Weekly*")+SUMIFS('BSE - Other Index Options'!$M:$M,'BSE - Other Index Options'!$C:$C,$A151,'BSE - Other Index Options'!$B:$B,G$147,'BSE - Other Index Options'!$I:$I,"MDAW*"))</f>
        <v/>
      </c>
      <c r="H151" s="26">
        <f>IF(SUM(B151:G151)=0,"",SUM(B151:G151))</f>
        <v/>
      </c>
    </row>
    <row r="152">
      <c r="A152" t="inlineStr">
        <is>
          <t>Week5-Sep-2025</t>
        </is>
      </c>
      <c r="B152" s="26">
        <f>IF(SUMIFS('BSE - SENSEX Index Options'!$M:$M,'BSE - SENSEX Index Options'!$C:$C,$A152,'BSE - SENSEX Index Options'!$B:$B,B$147,'BSE - SENSEX Index Options'!$I:$I,"Weekly*")+SUMIFS('BSE - SENSEX Index Options'!$M:$M,'BSE - SENSEX Index Options'!$C:$C,$A152,'BSE - SENSEX Index Options'!$B:$B,B$147,'BSE - SENSEX Index Options'!$I:$I,"MDAW*")+SUMIFS('BSE - Other Index Options'!$M:$M,'BSE - Other Index Options'!$C:$C,$A152,'BSE - Other Index Options'!$B:$B,B$147,'BSE - Other Index Options'!$I:$I,"Weekly*")+SUMIFS('BSE - Other Index Options'!$M:$M,'BSE - Other Index Options'!$C:$C,$A152,'BSE - Other Index Options'!$B:$B,B$147,'BSE - Other Index Options'!$I:$I,"MDAW*")=0,"",SUMIFS('BSE - SENSEX Index Options'!$M:$M,'BSE - SENSEX Index Options'!$C:$C,$A152,'BSE - SENSEX Index Options'!$B:$B,B$147,'BSE - SENSEX Index Options'!$I:$I,"Weekly*")+SUMIFS('BSE - SENSEX Index Options'!$M:$M,'BSE - SENSEX Index Options'!$C:$C,$A152,'BSE - SENSEX Index Options'!$B:$B,B$147,'BSE - SENSEX Index Options'!$I:$I,"MDAW*")+SUMIFS('BSE - Other Index Options'!$M:$M,'BSE - Other Index Options'!$C:$C,$A152,'BSE - Other Index Options'!$B:$B,B$147,'BSE - Other Index Options'!$I:$I,"Weekly*")+SUMIFS('BSE - Other Index Options'!$M:$M,'BSE - Other Index Options'!$C:$C,$A152,'BSE - Other Index Options'!$B:$B,B$147,'BSE - Other Index Options'!$I:$I,"MDAW*"))</f>
        <v/>
      </c>
      <c r="C152" s="26">
        <f>IF(SUMIFS('BSE - SENSEX Index Options'!$M:$M,'BSE - SENSEX Index Options'!$C:$C,$A152,'BSE - SENSEX Index Options'!$B:$B,C$147,'BSE - SENSEX Index Options'!$I:$I,"Weekly*")+SUMIFS('BSE - SENSEX Index Options'!$M:$M,'BSE - SENSEX Index Options'!$C:$C,$A152,'BSE - SENSEX Index Options'!$B:$B,C$147,'BSE - SENSEX Index Options'!$I:$I,"MDAW*")+SUMIFS('BSE - Other Index Options'!$M:$M,'BSE - Other Index Options'!$C:$C,$A152,'BSE - Other Index Options'!$B:$B,C$147,'BSE - Other Index Options'!$I:$I,"Weekly*")+SUMIFS('BSE - Other Index Options'!$M:$M,'BSE - Other Index Options'!$C:$C,$A152,'BSE - Other Index Options'!$B:$B,C$147,'BSE - Other Index Options'!$I:$I,"MDAW*")=0,"",SUMIFS('BSE - SENSEX Index Options'!$M:$M,'BSE - SENSEX Index Options'!$C:$C,$A152,'BSE - SENSEX Index Options'!$B:$B,C$147,'BSE - SENSEX Index Options'!$I:$I,"Weekly*")+SUMIFS('BSE - SENSEX Index Options'!$M:$M,'BSE - SENSEX Index Options'!$C:$C,$A152,'BSE - SENSEX Index Options'!$B:$B,C$147,'BSE - SENSEX Index Options'!$I:$I,"MDAW*")+SUMIFS('BSE - Other Index Options'!$M:$M,'BSE - Other Index Options'!$C:$C,$A152,'BSE - Other Index Options'!$B:$B,C$147,'BSE - Other Index Options'!$I:$I,"Weekly*")+SUMIFS('BSE - Other Index Options'!$M:$M,'BSE - Other Index Options'!$C:$C,$A152,'BSE - Other Index Options'!$B:$B,C$147,'BSE - Other Index Options'!$I:$I,"MDAW*"))</f>
        <v/>
      </c>
      <c r="D152" s="26">
        <f>IF(SUMIFS('BSE - SENSEX Index Options'!$M:$M,'BSE - SENSEX Index Options'!$C:$C,$A152,'BSE - SENSEX Index Options'!$B:$B,D$147,'BSE - SENSEX Index Options'!$I:$I,"Weekly*")+SUMIFS('BSE - SENSEX Index Options'!$M:$M,'BSE - SENSEX Index Options'!$C:$C,$A152,'BSE - SENSEX Index Options'!$B:$B,D$147,'BSE - SENSEX Index Options'!$I:$I,"MDAW*")+SUMIFS('BSE - Other Index Options'!$M:$M,'BSE - Other Index Options'!$C:$C,$A152,'BSE - Other Index Options'!$B:$B,D$147,'BSE - Other Index Options'!$I:$I,"Weekly*")+SUMIFS('BSE - Other Index Options'!$M:$M,'BSE - Other Index Options'!$C:$C,$A152,'BSE - Other Index Options'!$B:$B,D$147,'BSE - Other Index Options'!$I:$I,"MDAW*")=0,"",SUMIFS('BSE - SENSEX Index Options'!$M:$M,'BSE - SENSEX Index Options'!$C:$C,$A152,'BSE - SENSEX Index Options'!$B:$B,D$147,'BSE - SENSEX Index Options'!$I:$I,"Weekly*")+SUMIFS('BSE - SENSEX Index Options'!$M:$M,'BSE - SENSEX Index Options'!$C:$C,$A152,'BSE - SENSEX Index Options'!$B:$B,D$147,'BSE - SENSEX Index Options'!$I:$I,"MDAW*")+SUMIFS('BSE - Other Index Options'!$M:$M,'BSE - Other Index Options'!$C:$C,$A152,'BSE - Other Index Options'!$B:$B,D$147,'BSE - Other Index Options'!$I:$I,"Weekly*")+SUMIFS('BSE - Other Index Options'!$M:$M,'BSE - Other Index Options'!$C:$C,$A152,'BSE - Other Index Options'!$B:$B,D$147,'BSE - Other Index Options'!$I:$I,"MDAW*"))</f>
        <v/>
      </c>
      <c r="E152" s="26">
        <f>IF(SUMIFS('BSE - SENSEX Index Options'!$M:$M,'BSE - SENSEX Index Options'!$C:$C,$A152,'BSE - SENSEX Index Options'!$B:$B,E$147,'BSE - SENSEX Index Options'!$I:$I,"Weekly*")+SUMIFS('BSE - SENSEX Index Options'!$M:$M,'BSE - SENSEX Index Options'!$C:$C,$A152,'BSE - SENSEX Index Options'!$B:$B,E$147,'BSE - SENSEX Index Options'!$I:$I,"MDAW*")+SUMIFS('BSE - Other Index Options'!$M:$M,'BSE - Other Index Options'!$C:$C,$A152,'BSE - Other Index Options'!$B:$B,E$147,'BSE - Other Index Options'!$I:$I,"Weekly*")+SUMIFS('BSE - Other Index Options'!$M:$M,'BSE - Other Index Options'!$C:$C,$A152,'BSE - Other Index Options'!$B:$B,E$147,'BSE - Other Index Options'!$I:$I,"MDAW*")=0,"",SUMIFS('BSE - SENSEX Index Options'!$M:$M,'BSE - SENSEX Index Options'!$C:$C,$A152,'BSE - SENSEX Index Options'!$B:$B,E$147,'BSE - SENSEX Index Options'!$I:$I,"Weekly*")+SUMIFS('BSE - SENSEX Index Options'!$M:$M,'BSE - SENSEX Index Options'!$C:$C,$A152,'BSE - SENSEX Index Options'!$B:$B,E$147,'BSE - SENSEX Index Options'!$I:$I,"MDAW*")+SUMIFS('BSE - Other Index Options'!$M:$M,'BSE - Other Index Options'!$C:$C,$A152,'BSE - Other Index Options'!$B:$B,E$147,'BSE - Other Index Options'!$I:$I,"Weekly*")+SUMIFS('BSE - Other Index Options'!$M:$M,'BSE - Other Index Options'!$C:$C,$A152,'BSE - Other Index Options'!$B:$B,E$147,'BSE - Other Index Options'!$I:$I,"MDAW*"))</f>
        <v/>
      </c>
      <c r="F152" s="26">
        <f>IF(SUMIFS('BSE - SENSEX Index Options'!$M:$M,'BSE - SENSEX Index Options'!$C:$C,$A152,'BSE - SENSEX Index Options'!$B:$B,F$147,'BSE - SENSEX Index Options'!$I:$I,"Weekly*")+SUMIFS('BSE - SENSEX Index Options'!$M:$M,'BSE - SENSEX Index Options'!$C:$C,$A152,'BSE - SENSEX Index Options'!$B:$B,F$147,'BSE - SENSEX Index Options'!$I:$I,"MDAW*")+SUMIFS('BSE - Other Index Options'!$M:$M,'BSE - Other Index Options'!$C:$C,$A152,'BSE - Other Index Options'!$B:$B,F$147,'BSE - Other Index Options'!$I:$I,"Weekly*")+SUMIFS('BSE - Other Index Options'!$M:$M,'BSE - Other Index Options'!$C:$C,$A152,'BSE - Other Index Options'!$B:$B,F$147,'BSE - Other Index Options'!$I:$I,"MDAW*")=0,"",SUMIFS('BSE - SENSEX Index Options'!$M:$M,'BSE - SENSEX Index Options'!$C:$C,$A152,'BSE - SENSEX Index Options'!$B:$B,F$147,'BSE - SENSEX Index Options'!$I:$I,"Weekly*")+SUMIFS('BSE - SENSEX Index Options'!$M:$M,'BSE - SENSEX Index Options'!$C:$C,$A152,'BSE - SENSEX Index Options'!$B:$B,F$147,'BSE - SENSEX Index Options'!$I:$I,"MDAW*")+SUMIFS('BSE - Other Index Options'!$M:$M,'BSE - Other Index Options'!$C:$C,$A152,'BSE - Other Index Options'!$B:$B,F$147,'BSE - Other Index Options'!$I:$I,"Weekly*")+SUMIFS('BSE - Other Index Options'!$M:$M,'BSE - Other Index Options'!$C:$C,$A152,'BSE - Other Index Options'!$B:$B,F$147,'BSE - Other Index Options'!$I:$I,"MDAW*"))</f>
        <v/>
      </c>
      <c r="G152" s="26">
        <f>IF(SUMIFS('BSE - SENSEX Index Options'!$M:$M,'BSE - SENSEX Index Options'!$C:$C,$A152,'BSE - SENSEX Index Options'!$B:$B,G$147,'BSE - SENSEX Index Options'!$I:$I,"Weekly*")+SUMIFS('BSE - SENSEX Index Options'!$M:$M,'BSE - SENSEX Index Options'!$C:$C,$A152,'BSE - SENSEX Index Options'!$B:$B,G$147,'BSE - SENSEX Index Options'!$I:$I,"MDAW*")+SUMIFS('BSE - Other Index Options'!$M:$M,'BSE - Other Index Options'!$C:$C,$A152,'BSE - Other Index Options'!$B:$B,G$147,'BSE - Other Index Options'!$I:$I,"Weekly*")+SUMIFS('BSE - Other Index Options'!$M:$M,'BSE - Other Index Options'!$C:$C,$A152,'BSE - Other Index Options'!$B:$B,G$147,'BSE - Other Index Options'!$I:$I,"MDAW*")=0,"",SUMIFS('BSE - SENSEX Index Options'!$M:$M,'BSE - SENSEX Index Options'!$C:$C,$A152,'BSE - SENSEX Index Options'!$B:$B,G$147,'BSE - SENSEX Index Options'!$I:$I,"Weekly*")+SUMIFS('BSE - SENSEX Index Options'!$M:$M,'BSE - SENSEX Index Options'!$C:$C,$A152,'BSE - SENSEX Index Options'!$B:$B,G$147,'BSE - SENSEX Index Options'!$I:$I,"MDAW*")+SUMIFS('BSE - Other Index Options'!$M:$M,'BSE - Other Index Options'!$C:$C,$A152,'BSE - Other Index Options'!$B:$B,G$147,'BSE - Other Index Options'!$I:$I,"Weekly*")+SUMIFS('BSE - Other Index Options'!$M:$M,'BSE - Other Index Options'!$C:$C,$A152,'BSE - Other Index Options'!$B:$B,G$147,'BSE - Other Index Options'!$I:$I,"MDAW*"))</f>
        <v/>
      </c>
      <c r="H152" s="26">
        <f>IF(SUM(B152:G152)=0,"",SUM(B152:G152))</f>
        <v/>
      </c>
    </row>
    <row r="153">
      <c r="A153" t="inlineStr">
        <is>
          <t>Week1-Oct-2025</t>
        </is>
      </c>
      <c r="B153" s="26">
        <f>IF(SUMIFS('BSE - SENSEX Index Options'!$M:$M,'BSE - SENSEX Index Options'!$C:$C,$A153,'BSE - SENSEX Index Options'!$B:$B,B$147,'BSE - SENSEX Index Options'!$I:$I,"Weekly*")+SUMIFS('BSE - SENSEX Index Options'!$M:$M,'BSE - SENSEX Index Options'!$C:$C,$A153,'BSE - SENSEX Index Options'!$B:$B,B$147,'BSE - SENSEX Index Options'!$I:$I,"MDAW*")+SUMIFS('BSE - Other Index Options'!$M:$M,'BSE - Other Index Options'!$C:$C,$A153,'BSE - Other Index Options'!$B:$B,B$147,'BSE - Other Index Options'!$I:$I,"Weekly*")+SUMIFS('BSE - Other Index Options'!$M:$M,'BSE - Other Index Options'!$C:$C,$A153,'BSE - Other Index Options'!$B:$B,B$147,'BSE - Other Index Options'!$I:$I,"MDAW*")=0,"",SUMIFS('BSE - SENSEX Index Options'!$M:$M,'BSE - SENSEX Index Options'!$C:$C,$A153,'BSE - SENSEX Index Options'!$B:$B,B$147,'BSE - SENSEX Index Options'!$I:$I,"Weekly*")+SUMIFS('BSE - SENSEX Index Options'!$M:$M,'BSE - SENSEX Index Options'!$C:$C,$A153,'BSE - SENSEX Index Options'!$B:$B,B$147,'BSE - SENSEX Index Options'!$I:$I,"MDAW*")+SUMIFS('BSE - Other Index Options'!$M:$M,'BSE - Other Index Options'!$C:$C,$A153,'BSE - Other Index Options'!$B:$B,B$147,'BSE - Other Index Options'!$I:$I,"Weekly*")+SUMIFS('BSE - Other Index Options'!$M:$M,'BSE - Other Index Options'!$C:$C,$A153,'BSE - Other Index Options'!$B:$B,B$147,'BSE - Other Index Options'!$I:$I,"MDAW*"))</f>
        <v/>
      </c>
      <c r="C153" s="26">
        <f>IF(SUMIFS('BSE - SENSEX Index Options'!$M:$M,'BSE - SENSEX Index Options'!$C:$C,$A153,'BSE - SENSEX Index Options'!$B:$B,C$147,'BSE - SENSEX Index Options'!$I:$I,"Weekly*")+SUMIFS('BSE - SENSEX Index Options'!$M:$M,'BSE - SENSEX Index Options'!$C:$C,$A153,'BSE - SENSEX Index Options'!$B:$B,C$147,'BSE - SENSEX Index Options'!$I:$I,"MDAW*")+SUMIFS('BSE - Other Index Options'!$M:$M,'BSE - Other Index Options'!$C:$C,$A153,'BSE - Other Index Options'!$B:$B,C$147,'BSE - Other Index Options'!$I:$I,"Weekly*")+SUMIFS('BSE - Other Index Options'!$M:$M,'BSE - Other Index Options'!$C:$C,$A153,'BSE - Other Index Options'!$B:$B,C$147,'BSE - Other Index Options'!$I:$I,"MDAW*")=0,"",SUMIFS('BSE - SENSEX Index Options'!$M:$M,'BSE - SENSEX Index Options'!$C:$C,$A153,'BSE - SENSEX Index Options'!$B:$B,C$147,'BSE - SENSEX Index Options'!$I:$I,"Weekly*")+SUMIFS('BSE - SENSEX Index Options'!$M:$M,'BSE - SENSEX Index Options'!$C:$C,$A153,'BSE - SENSEX Index Options'!$B:$B,C$147,'BSE - SENSEX Index Options'!$I:$I,"MDAW*")+SUMIFS('BSE - Other Index Options'!$M:$M,'BSE - Other Index Options'!$C:$C,$A153,'BSE - Other Index Options'!$B:$B,C$147,'BSE - Other Index Options'!$I:$I,"Weekly*")+SUMIFS('BSE - Other Index Options'!$M:$M,'BSE - Other Index Options'!$C:$C,$A153,'BSE - Other Index Options'!$B:$B,C$147,'BSE - Other Index Options'!$I:$I,"MDAW*"))</f>
        <v/>
      </c>
      <c r="D153" s="26">
        <f>IF(SUMIFS('BSE - SENSEX Index Options'!$M:$M,'BSE - SENSEX Index Options'!$C:$C,$A153,'BSE - SENSEX Index Options'!$B:$B,D$147,'BSE - SENSEX Index Options'!$I:$I,"Weekly*")+SUMIFS('BSE - SENSEX Index Options'!$M:$M,'BSE - SENSEX Index Options'!$C:$C,$A153,'BSE - SENSEX Index Options'!$B:$B,D$147,'BSE - SENSEX Index Options'!$I:$I,"MDAW*")+SUMIFS('BSE - Other Index Options'!$M:$M,'BSE - Other Index Options'!$C:$C,$A153,'BSE - Other Index Options'!$B:$B,D$147,'BSE - Other Index Options'!$I:$I,"Weekly*")+SUMIFS('BSE - Other Index Options'!$M:$M,'BSE - Other Index Options'!$C:$C,$A153,'BSE - Other Index Options'!$B:$B,D$147,'BSE - Other Index Options'!$I:$I,"MDAW*")=0,"",SUMIFS('BSE - SENSEX Index Options'!$M:$M,'BSE - SENSEX Index Options'!$C:$C,$A153,'BSE - SENSEX Index Options'!$B:$B,D$147,'BSE - SENSEX Index Options'!$I:$I,"Weekly*")+SUMIFS('BSE - SENSEX Index Options'!$M:$M,'BSE - SENSEX Index Options'!$C:$C,$A153,'BSE - SENSEX Index Options'!$B:$B,D$147,'BSE - SENSEX Index Options'!$I:$I,"MDAW*")+SUMIFS('BSE - Other Index Options'!$M:$M,'BSE - Other Index Options'!$C:$C,$A153,'BSE - Other Index Options'!$B:$B,D$147,'BSE - Other Index Options'!$I:$I,"Weekly*")+SUMIFS('BSE - Other Index Options'!$M:$M,'BSE - Other Index Options'!$C:$C,$A153,'BSE - Other Index Options'!$B:$B,D$147,'BSE - Other Index Options'!$I:$I,"MDAW*"))</f>
        <v/>
      </c>
      <c r="E153" s="26">
        <f>IF(SUMIFS('BSE - SENSEX Index Options'!$M:$M,'BSE - SENSEX Index Options'!$C:$C,$A153,'BSE - SENSEX Index Options'!$B:$B,E$147,'BSE - SENSEX Index Options'!$I:$I,"Weekly*")+SUMIFS('BSE - SENSEX Index Options'!$M:$M,'BSE - SENSEX Index Options'!$C:$C,$A153,'BSE - SENSEX Index Options'!$B:$B,E$147,'BSE - SENSEX Index Options'!$I:$I,"MDAW*")+SUMIFS('BSE - Other Index Options'!$M:$M,'BSE - Other Index Options'!$C:$C,$A153,'BSE - Other Index Options'!$B:$B,E$147,'BSE - Other Index Options'!$I:$I,"Weekly*")+SUMIFS('BSE - Other Index Options'!$M:$M,'BSE - Other Index Options'!$C:$C,$A153,'BSE - Other Index Options'!$B:$B,E$147,'BSE - Other Index Options'!$I:$I,"MDAW*")=0,"",SUMIFS('BSE - SENSEX Index Options'!$M:$M,'BSE - SENSEX Index Options'!$C:$C,$A153,'BSE - SENSEX Index Options'!$B:$B,E$147,'BSE - SENSEX Index Options'!$I:$I,"Weekly*")+SUMIFS('BSE - SENSEX Index Options'!$M:$M,'BSE - SENSEX Index Options'!$C:$C,$A153,'BSE - SENSEX Index Options'!$B:$B,E$147,'BSE - SENSEX Index Options'!$I:$I,"MDAW*")+SUMIFS('BSE - Other Index Options'!$M:$M,'BSE - Other Index Options'!$C:$C,$A153,'BSE - Other Index Options'!$B:$B,E$147,'BSE - Other Index Options'!$I:$I,"Weekly*")+SUMIFS('BSE - Other Index Options'!$M:$M,'BSE - Other Index Options'!$C:$C,$A153,'BSE - Other Index Options'!$B:$B,E$147,'BSE - Other Index Options'!$I:$I,"MDAW*"))</f>
        <v/>
      </c>
      <c r="F153" s="26">
        <f>IF(SUMIFS('BSE - SENSEX Index Options'!$M:$M,'BSE - SENSEX Index Options'!$C:$C,$A153,'BSE - SENSEX Index Options'!$B:$B,F$147,'BSE - SENSEX Index Options'!$I:$I,"Weekly*")+SUMIFS('BSE - SENSEX Index Options'!$M:$M,'BSE - SENSEX Index Options'!$C:$C,$A153,'BSE - SENSEX Index Options'!$B:$B,F$147,'BSE - SENSEX Index Options'!$I:$I,"MDAW*")+SUMIFS('BSE - Other Index Options'!$M:$M,'BSE - Other Index Options'!$C:$C,$A153,'BSE - Other Index Options'!$B:$B,F$147,'BSE - Other Index Options'!$I:$I,"Weekly*")+SUMIFS('BSE - Other Index Options'!$M:$M,'BSE - Other Index Options'!$C:$C,$A153,'BSE - Other Index Options'!$B:$B,F$147,'BSE - Other Index Options'!$I:$I,"MDAW*")=0,"",SUMIFS('BSE - SENSEX Index Options'!$M:$M,'BSE - SENSEX Index Options'!$C:$C,$A153,'BSE - SENSEX Index Options'!$B:$B,F$147,'BSE - SENSEX Index Options'!$I:$I,"Weekly*")+SUMIFS('BSE - SENSEX Index Options'!$M:$M,'BSE - SENSEX Index Options'!$C:$C,$A153,'BSE - SENSEX Index Options'!$B:$B,F$147,'BSE - SENSEX Index Options'!$I:$I,"MDAW*")+SUMIFS('BSE - Other Index Options'!$M:$M,'BSE - Other Index Options'!$C:$C,$A153,'BSE - Other Index Options'!$B:$B,F$147,'BSE - Other Index Options'!$I:$I,"Weekly*")+SUMIFS('BSE - Other Index Options'!$M:$M,'BSE - Other Index Options'!$C:$C,$A153,'BSE - Other Index Options'!$B:$B,F$147,'BSE - Other Index Options'!$I:$I,"MDAW*"))</f>
        <v/>
      </c>
      <c r="G153" s="26">
        <f>IF(SUMIFS('BSE - SENSEX Index Options'!$M:$M,'BSE - SENSEX Index Options'!$C:$C,$A153,'BSE - SENSEX Index Options'!$B:$B,G$147,'BSE - SENSEX Index Options'!$I:$I,"Weekly*")+SUMIFS('BSE - SENSEX Index Options'!$M:$M,'BSE - SENSEX Index Options'!$C:$C,$A153,'BSE - SENSEX Index Options'!$B:$B,G$147,'BSE - SENSEX Index Options'!$I:$I,"MDAW*")+SUMIFS('BSE - Other Index Options'!$M:$M,'BSE - Other Index Options'!$C:$C,$A153,'BSE - Other Index Options'!$B:$B,G$147,'BSE - Other Index Options'!$I:$I,"Weekly*")+SUMIFS('BSE - Other Index Options'!$M:$M,'BSE - Other Index Options'!$C:$C,$A153,'BSE - Other Index Options'!$B:$B,G$147,'BSE - Other Index Options'!$I:$I,"MDAW*")=0,"",SUMIFS('BSE - SENSEX Index Options'!$M:$M,'BSE - SENSEX Index Options'!$C:$C,$A153,'BSE - SENSEX Index Options'!$B:$B,G$147,'BSE - SENSEX Index Options'!$I:$I,"Weekly*")+SUMIFS('BSE - SENSEX Index Options'!$M:$M,'BSE - SENSEX Index Options'!$C:$C,$A153,'BSE - SENSEX Index Options'!$B:$B,G$147,'BSE - SENSEX Index Options'!$I:$I,"MDAW*")+SUMIFS('BSE - Other Index Options'!$M:$M,'BSE - Other Index Options'!$C:$C,$A153,'BSE - Other Index Options'!$B:$B,G$147,'BSE - Other Index Options'!$I:$I,"Weekly*")+SUMIFS('BSE - Other Index Options'!$M:$M,'BSE - Other Index Options'!$C:$C,$A153,'BSE - Other Index Options'!$B:$B,G$147,'BSE - Other Index Options'!$I:$I,"MDAW*"))</f>
        <v/>
      </c>
      <c r="H153" s="26">
        <f>IF(SUM(B153:G153)=0,"",SUM(B153:G153))</f>
        <v/>
      </c>
    </row>
    <row r="154">
      <c r="A154" t="inlineStr">
        <is>
          <t>Week2-Oct-2025</t>
        </is>
      </c>
      <c r="B154" s="26">
        <f>IF(SUMIFS('BSE - SENSEX Index Options'!$M:$M,'BSE - SENSEX Index Options'!$C:$C,$A154,'BSE - SENSEX Index Options'!$B:$B,B$147,'BSE - SENSEX Index Options'!$I:$I,"Weekly*")+SUMIFS('BSE - SENSEX Index Options'!$M:$M,'BSE - SENSEX Index Options'!$C:$C,$A154,'BSE - SENSEX Index Options'!$B:$B,B$147,'BSE - SENSEX Index Options'!$I:$I,"MDAW*")+SUMIFS('BSE - Other Index Options'!$M:$M,'BSE - Other Index Options'!$C:$C,$A154,'BSE - Other Index Options'!$B:$B,B$147,'BSE - Other Index Options'!$I:$I,"Weekly*")+SUMIFS('BSE - Other Index Options'!$M:$M,'BSE - Other Index Options'!$C:$C,$A154,'BSE - Other Index Options'!$B:$B,B$147,'BSE - Other Index Options'!$I:$I,"MDAW*")=0,"",SUMIFS('BSE - SENSEX Index Options'!$M:$M,'BSE - SENSEX Index Options'!$C:$C,$A154,'BSE - SENSEX Index Options'!$B:$B,B$147,'BSE - SENSEX Index Options'!$I:$I,"Weekly*")+SUMIFS('BSE - SENSEX Index Options'!$M:$M,'BSE - SENSEX Index Options'!$C:$C,$A154,'BSE - SENSEX Index Options'!$B:$B,B$147,'BSE - SENSEX Index Options'!$I:$I,"MDAW*")+SUMIFS('BSE - Other Index Options'!$M:$M,'BSE - Other Index Options'!$C:$C,$A154,'BSE - Other Index Options'!$B:$B,B$147,'BSE - Other Index Options'!$I:$I,"Weekly*")+SUMIFS('BSE - Other Index Options'!$M:$M,'BSE - Other Index Options'!$C:$C,$A154,'BSE - Other Index Options'!$B:$B,B$147,'BSE - Other Index Options'!$I:$I,"MDAW*"))</f>
        <v/>
      </c>
      <c r="C154" s="26">
        <f>IF(SUMIFS('BSE - SENSEX Index Options'!$M:$M,'BSE - SENSEX Index Options'!$C:$C,$A154,'BSE - SENSEX Index Options'!$B:$B,C$147,'BSE - SENSEX Index Options'!$I:$I,"Weekly*")+SUMIFS('BSE - SENSEX Index Options'!$M:$M,'BSE - SENSEX Index Options'!$C:$C,$A154,'BSE - SENSEX Index Options'!$B:$B,C$147,'BSE - SENSEX Index Options'!$I:$I,"MDAW*")+SUMIFS('BSE - Other Index Options'!$M:$M,'BSE - Other Index Options'!$C:$C,$A154,'BSE - Other Index Options'!$B:$B,C$147,'BSE - Other Index Options'!$I:$I,"Weekly*")+SUMIFS('BSE - Other Index Options'!$M:$M,'BSE - Other Index Options'!$C:$C,$A154,'BSE - Other Index Options'!$B:$B,C$147,'BSE - Other Index Options'!$I:$I,"MDAW*")=0,"",SUMIFS('BSE - SENSEX Index Options'!$M:$M,'BSE - SENSEX Index Options'!$C:$C,$A154,'BSE - SENSEX Index Options'!$B:$B,C$147,'BSE - SENSEX Index Options'!$I:$I,"Weekly*")+SUMIFS('BSE - SENSEX Index Options'!$M:$M,'BSE - SENSEX Index Options'!$C:$C,$A154,'BSE - SENSEX Index Options'!$B:$B,C$147,'BSE - SENSEX Index Options'!$I:$I,"MDAW*")+SUMIFS('BSE - Other Index Options'!$M:$M,'BSE - Other Index Options'!$C:$C,$A154,'BSE - Other Index Options'!$B:$B,C$147,'BSE - Other Index Options'!$I:$I,"Weekly*")+SUMIFS('BSE - Other Index Options'!$M:$M,'BSE - Other Index Options'!$C:$C,$A154,'BSE - Other Index Options'!$B:$B,C$147,'BSE - Other Index Options'!$I:$I,"MDAW*"))</f>
        <v/>
      </c>
      <c r="D154" s="26">
        <f>IF(SUMIFS('BSE - SENSEX Index Options'!$M:$M,'BSE - SENSEX Index Options'!$C:$C,$A154,'BSE - SENSEX Index Options'!$B:$B,D$147,'BSE - SENSEX Index Options'!$I:$I,"Weekly*")+SUMIFS('BSE - SENSEX Index Options'!$M:$M,'BSE - SENSEX Index Options'!$C:$C,$A154,'BSE - SENSEX Index Options'!$B:$B,D$147,'BSE - SENSEX Index Options'!$I:$I,"MDAW*")+SUMIFS('BSE - Other Index Options'!$M:$M,'BSE - Other Index Options'!$C:$C,$A154,'BSE - Other Index Options'!$B:$B,D$147,'BSE - Other Index Options'!$I:$I,"Weekly*")+SUMIFS('BSE - Other Index Options'!$M:$M,'BSE - Other Index Options'!$C:$C,$A154,'BSE - Other Index Options'!$B:$B,D$147,'BSE - Other Index Options'!$I:$I,"MDAW*")=0,"",SUMIFS('BSE - SENSEX Index Options'!$M:$M,'BSE - SENSEX Index Options'!$C:$C,$A154,'BSE - SENSEX Index Options'!$B:$B,D$147,'BSE - SENSEX Index Options'!$I:$I,"Weekly*")+SUMIFS('BSE - SENSEX Index Options'!$M:$M,'BSE - SENSEX Index Options'!$C:$C,$A154,'BSE - SENSEX Index Options'!$B:$B,D$147,'BSE - SENSEX Index Options'!$I:$I,"MDAW*")+SUMIFS('BSE - Other Index Options'!$M:$M,'BSE - Other Index Options'!$C:$C,$A154,'BSE - Other Index Options'!$B:$B,D$147,'BSE - Other Index Options'!$I:$I,"Weekly*")+SUMIFS('BSE - Other Index Options'!$M:$M,'BSE - Other Index Options'!$C:$C,$A154,'BSE - Other Index Options'!$B:$B,D$147,'BSE - Other Index Options'!$I:$I,"MDAW*"))</f>
        <v/>
      </c>
      <c r="E154" s="26">
        <f>IF(SUMIFS('BSE - SENSEX Index Options'!$M:$M,'BSE - SENSEX Index Options'!$C:$C,$A154,'BSE - SENSEX Index Options'!$B:$B,E$147,'BSE - SENSEX Index Options'!$I:$I,"Weekly*")+SUMIFS('BSE - SENSEX Index Options'!$M:$M,'BSE - SENSEX Index Options'!$C:$C,$A154,'BSE - SENSEX Index Options'!$B:$B,E$147,'BSE - SENSEX Index Options'!$I:$I,"MDAW*")+SUMIFS('BSE - Other Index Options'!$M:$M,'BSE - Other Index Options'!$C:$C,$A154,'BSE - Other Index Options'!$B:$B,E$147,'BSE - Other Index Options'!$I:$I,"Weekly*")+SUMIFS('BSE - Other Index Options'!$M:$M,'BSE - Other Index Options'!$C:$C,$A154,'BSE - Other Index Options'!$B:$B,E$147,'BSE - Other Index Options'!$I:$I,"MDAW*")=0,"",SUMIFS('BSE - SENSEX Index Options'!$M:$M,'BSE - SENSEX Index Options'!$C:$C,$A154,'BSE - SENSEX Index Options'!$B:$B,E$147,'BSE - SENSEX Index Options'!$I:$I,"Weekly*")+SUMIFS('BSE - SENSEX Index Options'!$M:$M,'BSE - SENSEX Index Options'!$C:$C,$A154,'BSE - SENSEX Index Options'!$B:$B,E$147,'BSE - SENSEX Index Options'!$I:$I,"MDAW*")+SUMIFS('BSE - Other Index Options'!$M:$M,'BSE - Other Index Options'!$C:$C,$A154,'BSE - Other Index Options'!$B:$B,E$147,'BSE - Other Index Options'!$I:$I,"Weekly*")+SUMIFS('BSE - Other Index Options'!$M:$M,'BSE - Other Index Options'!$C:$C,$A154,'BSE - Other Index Options'!$B:$B,E$147,'BSE - Other Index Options'!$I:$I,"MDAW*"))</f>
        <v/>
      </c>
      <c r="F154" s="26">
        <f>IF(SUMIFS('BSE - SENSEX Index Options'!$M:$M,'BSE - SENSEX Index Options'!$C:$C,$A154,'BSE - SENSEX Index Options'!$B:$B,F$147,'BSE - SENSEX Index Options'!$I:$I,"Weekly*")+SUMIFS('BSE - SENSEX Index Options'!$M:$M,'BSE - SENSEX Index Options'!$C:$C,$A154,'BSE - SENSEX Index Options'!$B:$B,F$147,'BSE - SENSEX Index Options'!$I:$I,"MDAW*")+SUMIFS('BSE - Other Index Options'!$M:$M,'BSE - Other Index Options'!$C:$C,$A154,'BSE - Other Index Options'!$B:$B,F$147,'BSE - Other Index Options'!$I:$I,"Weekly*")+SUMIFS('BSE - Other Index Options'!$M:$M,'BSE - Other Index Options'!$C:$C,$A154,'BSE - Other Index Options'!$B:$B,F$147,'BSE - Other Index Options'!$I:$I,"MDAW*")=0,"",SUMIFS('BSE - SENSEX Index Options'!$M:$M,'BSE - SENSEX Index Options'!$C:$C,$A154,'BSE - SENSEX Index Options'!$B:$B,F$147,'BSE - SENSEX Index Options'!$I:$I,"Weekly*")+SUMIFS('BSE - SENSEX Index Options'!$M:$M,'BSE - SENSEX Index Options'!$C:$C,$A154,'BSE - SENSEX Index Options'!$B:$B,F$147,'BSE - SENSEX Index Options'!$I:$I,"MDAW*")+SUMIFS('BSE - Other Index Options'!$M:$M,'BSE - Other Index Options'!$C:$C,$A154,'BSE - Other Index Options'!$B:$B,F$147,'BSE - Other Index Options'!$I:$I,"Weekly*")+SUMIFS('BSE - Other Index Options'!$M:$M,'BSE - Other Index Options'!$C:$C,$A154,'BSE - Other Index Options'!$B:$B,F$147,'BSE - Other Index Options'!$I:$I,"MDAW*"))</f>
        <v/>
      </c>
      <c r="G154" s="26">
        <f>IF(SUMIFS('BSE - SENSEX Index Options'!$M:$M,'BSE - SENSEX Index Options'!$C:$C,$A154,'BSE - SENSEX Index Options'!$B:$B,G$147,'BSE - SENSEX Index Options'!$I:$I,"Weekly*")+SUMIFS('BSE - SENSEX Index Options'!$M:$M,'BSE - SENSEX Index Options'!$C:$C,$A154,'BSE - SENSEX Index Options'!$B:$B,G$147,'BSE - SENSEX Index Options'!$I:$I,"MDAW*")+SUMIFS('BSE - Other Index Options'!$M:$M,'BSE - Other Index Options'!$C:$C,$A154,'BSE - Other Index Options'!$B:$B,G$147,'BSE - Other Index Options'!$I:$I,"Weekly*")+SUMIFS('BSE - Other Index Options'!$M:$M,'BSE - Other Index Options'!$C:$C,$A154,'BSE - Other Index Options'!$B:$B,G$147,'BSE - Other Index Options'!$I:$I,"MDAW*")=0,"",SUMIFS('BSE - SENSEX Index Options'!$M:$M,'BSE - SENSEX Index Options'!$C:$C,$A154,'BSE - SENSEX Index Options'!$B:$B,G$147,'BSE - SENSEX Index Options'!$I:$I,"Weekly*")+SUMIFS('BSE - SENSEX Index Options'!$M:$M,'BSE - SENSEX Index Options'!$C:$C,$A154,'BSE - SENSEX Index Options'!$B:$B,G$147,'BSE - SENSEX Index Options'!$I:$I,"MDAW*")+SUMIFS('BSE - Other Index Options'!$M:$M,'BSE - Other Index Options'!$C:$C,$A154,'BSE - Other Index Options'!$B:$B,G$147,'BSE - Other Index Options'!$I:$I,"Weekly*")+SUMIFS('BSE - Other Index Options'!$M:$M,'BSE - Other Index Options'!$C:$C,$A154,'BSE - Other Index Options'!$B:$B,G$147,'BSE - Other Index Options'!$I:$I,"MDAW*"))</f>
        <v/>
      </c>
      <c r="H154" s="26">
        <f>IF(SUM(B154:G154)=0,"",SUM(B154:G154))</f>
        <v/>
      </c>
    </row>
    <row r="155">
      <c r="A155" t="inlineStr">
        <is>
          <t>Week3-Oct-2025</t>
        </is>
      </c>
      <c r="B155" s="26">
        <f>IF(SUMIFS('BSE - SENSEX Index Options'!$M:$M,'BSE - SENSEX Index Options'!$C:$C,$A155,'BSE - SENSEX Index Options'!$B:$B,B$147,'BSE - SENSEX Index Options'!$I:$I,"Weekly*")+SUMIFS('BSE - SENSEX Index Options'!$M:$M,'BSE - SENSEX Index Options'!$C:$C,$A155,'BSE - SENSEX Index Options'!$B:$B,B$147,'BSE - SENSEX Index Options'!$I:$I,"MDAW*")+SUMIFS('BSE - Other Index Options'!$M:$M,'BSE - Other Index Options'!$C:$C,$A155,'BSE - Other Index Options'!$B:$B,B$147,'BSE - Other Index Options'!$I:$I,"Weekly*")+SUMIFS('BSE - Other Index Options'!$M:$M,'BSE - Other Index Options'!$C:$C,$A155,'BSE - Other Index Options'!$B:$B,B$147,'BSE - Other Index Options'!$I:$I,"MDAW*")=0,"",SUMIFS('BSE - SENSEX Index Options'!$M:$M,'BSE - SENSEX Index Options'!$C:$C,$A155,'BSE - SENSEX Index Options'!$B:$B,B$147,'BSE - SENSEX Index Options'!$I:$I,"Weekly*")+SUMIFS('BSE - SENSEX Index Options'!$M:$M,'BSE - SENSEX Index Options'!$C:$C,$A155,'BSE - SENSEX Index Options'!$B:$B,B$147,'BSE - SENSEX Index Options'!$I:$I,"MDAW*")+SUMIFS('BSE - Other Index Options'!$M:$M,'BSE - Other Index Options'!$C:$C,$A155,'BSE - Other Index Options'!$B:$B,B$147,'BSE - Other Index Options'!$I:$I,"Weekly*")+SUMIFS('BSE - Other Index Options'!$M:$M,'BSE - Other Index Options'!$C:$C,$A155,'BSE - Other Index Options'!$B:$B,B$147,'BSE - Other Index Options'!$I:$I,"MDAW*"))</f>
        <v/>
      </c>
      <c r="C155" s="26">
        <f>IF(SUMIFS('BSE - SENSEX Index Options'!$M:$M,'BSE - SENSEX Index Options'!$C:$C,$A155,'BSE - SENSEX Index Options'!$B:$B,C$147,'BSE - SENSEX Index Options'!$I:$I,"Weekly*")+SUMIFS('BSE - SENSEX Index Options'!$M:$M,'BSE - SENSEX Index Options'!$C:$C,$A155,'BSE - SENSEX Index Options'!$B:$B,C$147,'BSE - SENSEX Index Options'!$I:$I,"MDAW*")+SUMIFS('BSE - Other Index Options'!$M:$M,'BSE - Other Index Options'!$C:$C,$A155,'BSE - Other Index Options'!$B:$B,C$147,'BSE - Other Index Options'!$I:$I,"Weekly*")+SUMIFS('BSE - Other Index Options'!$M:$M,'BSE - Other Index Options'!$C:$C,$A155,'BSE - Other Index Options'!$B:$B,C$147,'BSE - Other Index Options'!$I:$I,"MDAW*")=0,"",SUMIFS('BSE - SENSEX Index Options'!$M:$M,'BSE - SENSEX Index Options'!$C:$C,$A155,'BSE - SENSEX Index Options'!$B:$B,C$147,'BSE - SENSEX Index Options'!$I:$I,"Weekly*")+SUMIFS('BSE - SENSEX Index Options'!$M:$M,'BSE - SENSEX Index Options'!$C:$C,$A155,'BSE - SENSEX Index Options'!$B:$B,C$147,'BSE - SENSEX Index Options'!$I:$I,"MDAW*")+SUMIFS('BSE - Other Index Options'!$M:$M,'BSE - Other Index Options'!$C:$C,$A155,'BSE - Other Index Options'!$B:$B,C$147,'BSE - Other Index Options'!$I:$I,"Weekly*")+SUMIFS('BSE - Other Index Options'!$M:$M,'BSE - Other Index Options'!$C:$C,$A155,'BSE - Other Index Options'!$B:$B,C$147,'BSE - Other Index Options'!$I:$I,"MDAW*"))</f>
        <v/>
      </c>
      <c r="D155" s="26">
        <f>IF(SUMIFS('BSE - SENSEX Index Options'!$M:$M,'BSE - SENSEX Index Options'!$C:$C,$A155,'BSE - SENSEX Index Options'!$B:$B,D$147,'BSE - SENSEX Index Options'!$I:$I,"Weekly*")+SUMIFS('BSE - SENSEX Index Options'!$M:$M,'BSE - SENSEX Index Options'!$C:$C,$A155,'BSE - SENSEX Index Options'!$B:$B,D$147,'BSE - SENSEX Index Options'!$I:$I,"MDAW*")+SUMIFS('BSE - Other Index Options'!$M:$M,'BSE - Other Index Options'!$C:$C,$A155,'BSE - Other Index Options'!$B:$B,D$147,'BSE - Other Index Options'!$I:$I,"Weekly*")+SUMIFS('BSE - Other Index Options'!$M:$M,'BSE - Other Index Options'!$C:$C,$A155,'BSE - Other Index Options'!$B:$B,D$147,'BSE - Other Index Options'!$I:$I,"MDAW*")=0,"",SUMIFS('BSE - SENSEX Index Options'!$M:$M,'BSE - SENSEX Index Options'!$C:$C,$A155,'BSE - SENSEX Index Options'!$B:$B,D$147,'BSE - SENSEX Index Options'!$I:$I,"Weekly*")+SUMIFS('BSE - SENSEX Index Options'!$M:$M,'BSE - SENSEX Index Options'!$C:$C,$A155,'BSE - SENSEX Index Options'!$B:$B,D$147,'BSE - SENSEX Index Options'!$I:$I,"MDAW*")+SUMIFS('BSE - Other Index Options'!$M:$M,'BSE - Other Index Options'!$C:$C,$A155,'BSE - Other Index Options'!$B:$B,D$147,'BSE - Other Index Options'!$I:$I,"Weekly*")+SUMIFS('BSE - Other Index Options'!$M:$M,'BSE - Other Index Options'!$C:$C,$A155,'BSE - Other Index Options'!$B:$B,D$147,'BSE - Other Index Options'!$I:$I,"MDAW*"))</f>
        <v/>
      </c>
      <c r="E155" s="26">
        <f>IF(SUMIFS('BSE - SENSEX Index Options'!$M:$M,'BSE - SENSEX Index Options'!$C:$C,$A155,'BSE - SENSEX Index Options'!$B:$B,E$147,'BSE - SENSEX Index Options'!$I:$I,"Weekly*")+SUMIFS('BSE - SENSEX Index Options'!$M:$M,'BSE - SENSEX Index Options'!$C:$C,$A155,'BSE - SENSEX Index Options'!$B:$B,E$147,'BSE - SENSEX Index Options'!$I:$I,"MDAW*")+SUMIFS('BSE - Other Index Options'!$M:$M,'BSE - Other Index Options'!$C:$C,$A155,'BSE - Other Index Options'!$B:$B,E$147,'BSE - Other Index Options'!$I:$I,"Weekly*")+SUMIFS('BSE - Other Index Options'!$M:$M,'BSE - Other Index Options'!$C:$C,$A155,'BSE - Other Index Options'!$B:$B,E$147,'BSE - Other Index Options'!$I:$I,"MDAW*")=0,"",SUMIFS('BSE - SENSEX Index Options'!$M:$M,'BSE - SENSEX Index Options'!$C:$C,$A155,'BSE - SENSEX Index Options'!$B:$B,E$147,'BSE - SENSEX Index Options'!$I:$I,"Weekly*")+SUMIFS('BSE - SENSEX Index Options'!$M:$M,'BSE - SENSEX Index Options'!$C:$C,$A155,'BSE - SENSEX Index Options'!$B:$B,E$147,'BSE - SENSEX Index Options'!$I:$I,"MDAW*")+SUMIFS('BSE - Other Index Options'!$M:$M,'BSE - Other Index Options'!$C:$C,$A155,'BSE - Other Index Options'!$B:$B,E$147,'BSE - Other Index Options'!$I:$I,"Weekly*")+SUMIFS('BSE - Other Index Options'!$M:$M,'BSE - Other Index Options'!$C:$C,$A155,'BSE - Other Index Options'!$B:$B,E$147,'BSE - Other Index Options'!$I:$I,"MDAW*"))</f>
        <v/>
      </c>
      <c r="F155" s="26">
        <f>IF(SUMIFS('BSE - SENSEX Index Options'!$M:$M,'BSE - SENSEX Index Options'!$C:$C,$A155,'BSE - SENSEX Index Options'!$B:$B,F$147,'BSE - SENSEX Index Options'!$I:$I,"Weekly*")+SUMIFS('BSE - SENSEX Index Options'!$M:$M,'BSE - SENSEX Index Options'!$C:$C,$A155,'BSE - SENSEX Index Options'!$B:$B,F$147,'BSE - SENSEX Index Options'!$I:$I,"MDAW*")+SUMIFS('BSE - Other Index Options'!$M:$M,'BSE - Other Index Options'!$C:$C,$A155,'BSE - Other Index Options'!$B:$B,F$147,'BSE - Other Index Options'!$I:$I,"Weekly*")+SUMIFS('BSE - Other Index Options'!$M:$M,'BSE - Other Index Options'!$C:$C,$A155,'BSE - Other Index Options'!$B:$B,F$147,'BSE - Other Index Options'!$I:$I,"MDAW*")=0,"",SUMIFS('BSE - SENSEX Index Options'!$M:$M,'BSE - SENSEX Index Options'!$C:$C,$A155,'BSE - SENSEX Index Options'!$B:$B,F$147,'BSE - SENSEX Index Options'!$I:$I,"Weekly*")+SUMIFS('BSE - SENSEX Index Options'!$M:$M,'BSE - SENSEX Index Options'!$C:$C,$A155,'BSE - SENSEX Index Options'!$B:$B,F$147,'BSE - SENSEX Index Options'!$I:$I,"MDAW*")+SUMIFS('BSE - Other Index Options'!$M:$M,'BSE - Other Index Options'!$C:$C,$A155,'BSE - Other Index Options'!$B:$B,F$147,'BSE - Other Index Options'!$I:$I,"Weekly*")+SUMIFS('BSE - Other Index Options'!$M:$M,'BSE - Other Index Options'!$C:$C,$A155,'BSE - Other Index Options'!$B:$B,F$147,'BSE - Other Index Options'!$I:$I,"MDAW*"))</f>
        <v/>
      </c>
      <c r="G155" s="26">
        <f>IF(SUMIFS('BSE - SENSEX Index Options'!$M:$M,'BSE - SENSEX Index Options'!$C:$C,$A155,'BSE - SENSEX Index Options'!$B:$B,G$147,'BSE - SENSEX Index Options'!$I:$I,"Weekly*")+SUMIFS('BSE - SENSEX Index Options'!$M:$M,'BSE - SENSEX Index Options'!$C:$C,$A155,'BSE - SENSEX Index Options'!$B:$B,G$147,'BSE - SENSEX Index Options'!$I:$I,"MDAW*")+SUMIFS('BSE - Other Index Options'!$M:$M,'BSE - Other Index Options'!$C:$C,$A155,'BSE - Other Index Options'!$B:$B,G$147,'BSE - Other Index Options'!$I:$I,"Weekly*")+SUMIFS('BSE - Other Index Options'!$M:$M,'BSE - Other Index Options'!$C:$C,$A155,'BSE - Other Index Options'!$B:$B,G$147,'BSE - Other Index Options'!$I:$I,"MDAW*")=0,"",SUMIFS('BSE - SENSEX Index Options'!$M:$M,'BSE - SENSEX Index Options'!$C:$C,$A155,'BSE - SENSEX Index Options'!$B:$B,G$147,'BSE - SENSEX Index Options'!$I:$I,"Weekly*")+SUMIFS('BSE - SENSEX Index Options'!$M:$M,'BSE - SENSEX Index Options'!$C:$C,$A155,'BSE - SENSEX Index Options'!$B:$B,G$147,'BSE - SENSEX Index Options'!$I:$I,"MDAW*")+SUMIFS('BSE - Other Index Options'!$M:$M,'BSE - Other Index Options'!$C:$C,$A155,'BSE - Other Index Options'!$B:$B,G$147,'BSE - Other Index Options'!$I:$I,"Weekly*")+SUMIFS('BSE - Other Index Options'!$M:$M,'BSE - Other Index Options'!$C:$C,$A155,'BSE - Other Index Options'!$B:$B,G$147,'BSE - Other Index Options'!$I:$I,"MDAW*"))</f>
        <v/>
      </c>
      <c r="H155" s="26">
        <f>IF(SUM(B155:G155)=0,"",SUM(B155:G155))</f>
        <v/>
      </c>
    </row>
    <row r="156">
      <c r="A156" t="inlineStr">
        <is>
          <t>Week4-Oct-2025</t>
        </is>
      </c>
      <c r="B156" s="26">
        <f>IF(SUMIFS('BSE - SENSEX Index Options'!$M:$M,'BSE - SENSEX Index Options'!$C:$C,$A156,'BSE - SENSEX Index Options'!$B:$B,B$147,'BSE - SENSEX Index Options'!$I:$I,"Weekly*")+SUMIFS('BSE - SENSEX Index Options'!$M:$M,'BSE - SENSEX Index Options'!$C:$C,$A156,'BSE - SENSEX Index Options'!$B:$B,B$147,'BSE - SENSEX Index Options'!$I:$I,"MDAW*")+SUMIFS('BSE - Other Index Options'!$M:$M,'BSE - Other Index Options'!$C:$C,$A156,'BSE - Other Index Options'!$B:$B,B$147,'BSE - Other Index Options'!$I:$I,"Weekly*")+SUMIFS('BSE - Other Index Options'!$M:$M,'BSE - Other Index Options'!$C:$C,$A156,'BSE - Other Index Options'!$B:$B,B$147,'BSE - Other Index Options'!$I:$I,"MDAW*")=0,"",SUMIFS('BSE - SENSEX Index Options'!$M:$M,'BSE - SENSEX Index Options'!$C:$C,$A156,'BSE - SENSEX Index Options'!$B:$B,B$147,'BSE - SENSEX Index Options'!$I:$I,"Weekly*")+SUMIFS('BSE - SENSEX Index Options'!$M:$M,'BSE - SENSEX Index Options'!$C:$C,$A156,'BSE - SENSEX Index Options'!$B:$B,B$147,'BSE - SENSEX Index Options'!$I:$I,"MDAW*")+SUMIFS('BSE - Other Index Options'!$M:$M,'BSE - Other Index Options'!$C:$C,$A156,'BSE - Other Index Options'!$B:$B,B$147,'BSE - Other Index Options'!$I:$I,"Weekly*")+SUMIFS('BSE - Other Index Options'!$M:$M,'BSE - Other Index Options'!$C:$C,$A156,'BSE - Other Index Options'!$B:$B,B$147,'BSE - Other Index Options'!$I:$I,"MDAW*"))</f>
        <v/>
      </c>
      <c r="C156" s="26">
        <f>IF(SUMIFS('BSE - SENSEX Index Options'!$M:$M,'BSE - SENSEX Index Options'!$C:$C,$A156,'BSE - SENSEX Index Options'!$B:$B,C$147,'BSE - SENSEX Index Options'!$I:$I,"Weekly*")+SUMIFS('BSE - SENSEX Index Options'!$M:$M,'BSE - SENSEX Index Options'!$C:$C,$A156,'BSE - SENSEX Index Options'!$B:$B,C$147,'BSE - SENSEX Index Options'!$I:$I,"MDAW*")+SUMIFS('BSE - Other Index Options'!$M:$M,'BSE - Other Index Options'!$C:$C,$A156,'BSE - Other Index Options'!$B:$B,C$147,'BSE - Other Index Options'!$I:$I,"Weekly*")+SUMIFS('BSE - Other Index Options'!$M:$M,'BSE - Other Index Options'!$C:$C,$A156,'BSE - Other Index Options'!$B:$B,C$147,'BSE - Other Index Options'!$I:$I,"MDAW*")=0,"",SUMIFS('BSE - SENSEX Index Options'!$M:$M,'BSE - SENSEX Index Options'!$C:$C,$A156,'BSE - SENSEX Index Options'!$B:$B,C$147,'BSE - SENSEX Index Options'!$I:$I,"Weekly*")+SUMIFS('BSE - SENSEX Index Options'!$M:$M,'BSE - SENSEX Index Options'!$C:$C,$A156,'BSE - SENSEX Index Options'!$B:$B,C$147,'BSE - SENSEX Index Options'!$I:$I,"MDAW*")+SUMIFS('BSE - Other Index Options'!$M:$M,'BSE - Other Index Options'!$C:$C,$A156,'BSE - Other Index Options'!$B:$B,C$147,'BSE - Other Index Options'!$I:$I,"Weekly*")+SUMIFS('BSE - Other Index Options'!$M:$M,'BSE - Other Index Options'!$C:$C,$A156,'BSE - Other Index Options'!$B:$B,C$147,'BSE - Other Index Options'!$I:$I,"MDAW*"))</f>
        <v/>
      </c>
      <c r="D156" s="26">
        <f>IF(SUMIFS('BSE - SENSEX Index Options'!$M:$M,'BSE - SENSEX Index Options'!$C:$C,$A156,'BSE - SENSEX Index Options'!$B:$B,D$147,'BSE - SENSEX Index Options'!$I:$I,"Weekly*")+SUMIFS('BSE - SENSEX Index Options'!$M:$M,'BSE - SENSEX Index Options'!$C:$C,$A156,'BSE - SENSEX Index Options'!$B:$B,D$147,'BSE - SENSEX Index Options'!$I:$I,"MDAW*")+SUMIFS('BSE - Other Index Options'!$M:$M,'BSE - Other Index Options'!$C:$C,$A156,'BSE - Other Index Options'!$B:$B,D$147,'BSE - Other Index Options'!$I:$I,"Weekly*")+SUMIFS('BSE - Other Index Options'!$M:$M,'BSE - Other Index Options'!$C:$C,$A156,'BSE - Other Index Options'!$B:$B,D$147,'BSE - Other Index Options'!$I:$I,"MDAW*")=0,"",SUMIFS('BSE - SENSEX Index Options'!$M:$M,'BSE - SENSEX Index Options'!$C:$C,$A156,'BSE - SENSEX Index Options'!$B:$B,D$147,'BSE - SENSEX Index Options'!$I:$I,"Weekly*")+SUMIFS('BSE - SENSEX Index Options'!$M:$M,'BSE - SENSEX Index Options'!$C:$C,$A156,'BSE - SENSEX Index Options'!$B:$B,D$147,'BSE - SENSEX Index Options'!$I:$I,"MDAW*")+SUMIFS('BSE - Other Index Options'!$M:$M,'BSE - Other Index Options'!$C:$C,$A156,'BSE - Other Index Options'!$B:$B,D$147,'BSE - Other Index Options'!$I:$I,"Weekly*")+SUMIFS('BSE - Other Index Options'!$M:$M,'BSE - Other Index Options'!$C:$C,$A156,'BSE - Other Index Options'!$B:$B,D$147,'BSE - Other Index Options'!$I:$I,"MDAW*"))</f>
        <v/>
      </c>
      <c r="E156" s="26">
        <f>IF(SUMIFS('BSE - SENSEX Index Options'!$M:$M,'BSE - SENSEX Index Options'!$C:$C,$A156,'BSE - SENSEX Index Options'!$B:$B,E$147,'BSE - SENSEX Index Options'!$I:$I,"Weekly*")+SUMIFS('BSE - SENSEX Index Options'!$M:$M,'BSE - SENSEX Index Options'!$C:$C,$A156,'BSE - SENSEX Index Options'!$B:$B,E$147,'BSE - SENSEX Index Options'!$I:$I,"MDAW*")+SUMIFS('BSE - Other Index Options'!$M:$M,'BSE - Other Index Options'!$C:$C,$A156,'BSE - Other Index Options'!$B:$B,E$147,'BSE - Other Index Options'!$I:$I,"Weekly*")+SUMIFS('BSE - Other Index Options'!$M:$M,'BSE - Other Index Options'!$C:$C,$A156,'BSE - Other Index Options'!$B:$B,E$147,'BSE - Other Index Options'!$I:$I,"MDAW*")=0,"",SUMIFS('BSE - SENSEX Index Options'!$M:$M,'BSE - SENSEX Index Options'!$C:$C,$A156,'BSE - SENSEX Index Options'!$B:$B,E$147,'BSE - SENSEX Index Options'!$I:$I,"Weekly*")+SUMIFS('BSE - SENSEX Index Options'!$M:$M,'BSE - SENSEX Index Options'!$C:$C,$A156,'BSE - SENSEX Index Options'!$B:$B,E$147,'BSE - SENSEX Index Options'!$I:$I,"MDAW*")+SUMIFS('BSE - Other Index Options'!$M:$M,'BSE - Other Index Options'!$C:$C,$A156,'BSE - Other Index Options'!$B:$B,E$147,'BSE - Other Index Options'!$I:$I,"Weekly*")+SUMIFS('BSE - Other Index Options'!$M:$M,'BSE - Other Index Options'!$C:$C,$A156,'BSE - Other Index Options'!$B:$B,E$147,'BSE - Other Index Options'!$I:$I,"MDAW*"))</f>
        <v/>
      </c>
      <c r="F156" s="26">
        <f>IF(SUMIFS('BSE - SENSEX Index Options'!$M:$M,'BSE - SENSEX Index Options'!$C:$C,$A156,'BSE - SENSEX Index Options'!$B:$B,F$147,'BSE - SENSEX Index Options'!$I:$I,"Weekly*")+SUMIFS('BSE - SENSEX Index Options'!$M:$M,'BSE - SENSEX Index Options'!$C:$C,$A156,'BSE - SENSEX Index Options'!$B:$B,F$147,'BSE - SENSEX Index Options'!$I:$I,"MDAW*")+SUMIFS('BSE - Other Index Options'!$M:$M,'BSE - Other Index Options'!$C:$C,$A156,'BSE - Other Index Options'!$B:$B,F$147,'BSE - Other Index Options'!$I:$I,"Weekly*")+SUMIFS('BSE - Other Index Options'!$M:$M,'BSE - Other Index Options'!$C:$C,$A156,'BSE - Other Index Options'!$B:$B,F$147,'BSE - Other Index Options'!$I:$I,"MDAW*")=0,"",SUMIFS('BSE - SENSEX Index Options'!$M:$M,'BSE - SENSEX Index Options'!$C:$C,$A156,'BSE - SENSEX Index Options'!$B:$B,F$147,'BSE - SENSEX Index Options'!$I:$I,"Weekly*")+SUMIFS('BSE - SENSEX Index Options'!$M:$M,'BSE - SENSEX Index Options'!$C:$C,$A156,'BSE - SENSEX Index Options'!$B:$B,F$147,'BSE - SENSEX Index Options'!$I:$I,"MDAW*")+SUMIFS('BSE - Other Index Options'!$M:$M,'BSE - Other Index Options'!$C:$C,$A156,'BSE - Other Index Options'!$B:$B,F$147,'BSE - Other Index Options'!$I:$I,"Weekly*")+SUMIFS('BSE - Other Index Options'!$M:$M,'BSE - Other Index Options'!$C:$C,$A156,'BSE - Other Index Options'!$B:$B,F$147,'BSE - Other Index Options'!$I:$I,"MDAW*"))</f>
        <v/>
      </c>
      <c r="G156" s="26">
        <f>IF(SUMIFS('BSE - SENSEX Index Options'!$M:$M,'BSE - SENSEX Index Options'!$C:$C,$A156,'BSE - SENSEX Index Options'!$B:$B,G$147,'BSE - SENSEX Index Options'!$I:$I,"Weekly*")+SUMIFS('BSE - SENSEX Index Options'!$M:$M,'BSE - SENSEX Index Options'!$C:$C,$A156,'BSE - SENSEX Index Options'!$B:$B,G$147,'BSE - SENSEX Index Options'!$I:$I,"MDAW*")+SUMIFS('BSE - Other Index Options'!$M:$M,'BSE - Other Index Options'!$C:$C,$A156,'BSE - Other Index Options'!$B:$B,G$147,'BSE - Other Index Options'!$I:$I,"Weekly*")+SUMIFS('BSE - Other Index Options'!$M:$M,'BSE - Other Index Options'!$C:$C,$A156,'BSE - Other Index Options'!$B:$B,G$147,'BSE - Other Index Options'!$I:$I,"MDAW*")=0,"",SUMIFS('BSE - SENSEX Index Options'!$M:$M,'BSE - SENSEX Index Options'!$C:$C,$A156,'BSE - SENSEX Index Options'!$B:$B,G$147,'BSE - SENSEX Index Options'!$I:$I,"Weekly*")+SUMIFS('BSE - SENSEX Index Options'!$M:$M,'BSE - SENSEX Index Options'!$C:$C,$A156,'BSE - SENSEX Index Options'!$B:$B,G$147,'BSE - SENSEX Index Options'!$I:$I,"MDAW*")+SUMIFS('BSE - Other Index Options'!$M:$M,'BSE - Other Index Options'!$C:$C,$A156,'BSE - Other Index Options'!$B:$B,G$147,'BSE - Other Index Options'!$I:$I,"Weekly*")+SUMIFS('BSE - Other Index Options'!$M:$M,'BSE - Other Index Options'!$C:$C,$A156,'BSE - Other Index Options'!$B:$B,G$147,'BSE - Other Index Options'!$I:$I,"MDAW*"))</f>
        <v/>
      </c>
      <c r="H156" s="26">
        <f>IF(SUM(B156:G156)=0,"",SUM(B156:G156))</f>
        <v/>
      </c>
    </row>
    <row r="157">
      <c r="A157" t="inlineStr">
        <is>
          <t>Week5-Oct-2025</t>
        </is>
      </c>
      <c r="B157" s="26">
        <f>IF(SUMIFS('BSE - SENSEX Index Options'!$M:$M,'BSE - SENSEX Index Options'!$C:$C,$A157,'BSE - SENSEX Index Options'!$B:$B,B$147,'BSE - SENSEX Index Options'!$I:$I,"Weekly*")+SUMIFS('BSE - SENSEX Index Options'!$M:$M,'BSE - SENSEX Index Options'!$C:$C,$A157,'BSE - SENSEX Index Options'!$B:$B,B$147,'BSE - SENSEX Index Options'!$I:$I,"MDAW*")+SUMIFS('BSE - Other Index Options'!$M:$M,'BSE - Other Index Options'!$C:$C,$A157,'BSE - Other Index Options'!$B:$B,B$147,'BSE - Other Index Options'!$I:$I,"Weekly*")+SUMIFS('BSE - Other Index Options'!$M:$M,'BSE - Other Index Options'!$C:$C,$A157,'BSE - Other Index Options'!$B:$B,B$147,'BSE - Other Index Options'!$I:$I,"MDAW*")=0,"",SUMIFS('BSE - SENSEX Index Options'!$M:$M,'BSE - SENSEX Index Options'!$C:$C,$A157,'BSE - SENSEX Index Options'!$B:$B,B$147,'BSE - SENSEX Index Options'!$I:$I,"Weekly*")+SUMIFS('BSE - SENSEX Index Options'!$M:$M,'BSE - SENSEX Index Options'!$C:$C,$A157,'BSE - SENSEX Index Options'!$B:$B,B$147,'BSE - SENSEX Index Options'!$I:$I,"MDAW*")+SUMIFS('BSE - Other Index Options'!$M:$M,'BSE - Other Index Options'!$C:$C,$A157,'BSE - Other Index Options'!$B:$B,B$147,'BSE - Other Index Options'!$I:$I,"Weekly*")+SUMIFS('BSE - Other Index Options'!$M:$M,'BSE - Other Index Options'!$C:$C,$A157,'BSE - Other Index Options'!$B:$B,B$147,'BSE - Other Index Options'!$I:$I,"MDAW*"))</f>
        <v/>
      </c>
      <c r="C157" s="26">
        <f>IF(SUMIFS('BSE - SENSEX Index Options'!$M:$M,'BSE - SENSEX Index Options'!$C:$C,$A157,'BSE - SENSEX Index Options'!$B:$B,C$147,'BSE - SENSEX Index Options'!$I:$I,"Weekly*")+SUMIFS('BSE - SENSEX Index Options'!$M:$M,'BSE - SENSEX Index Options'!$C:$C,$A157,'BSE - SENSEX Index Options'!$B:$B,C$147,'BSE - SENSEX Index Options'!$I:$I,"MDAW*")+SUMIFS('BSE - Other Index Options'!$M:$M,'BSE - Other Index Options'!$C:$C,$A157,'BSE - Other Index Options'!$B:$B,C$147,'BSE - Other Index Options'!$I:$I,"Weekly*")+SUMIFS('BSE - Other Index Options'!$M:$M,'BSE - Other Index Options'!$C:$C,$A157,'BSE - Other Index Options'!$B:$B,C$147,'BSE - Other Index Options'!$I:$I,"MDAW*")=0,"",SUMIFS('BSE - SENSEX Index Options'!$M:$M,'BSE - SENSEX Index Options'!$C:$C,$A157,'BSE - SENSEX Index Options'!$B:$B,C$147,'BSE - SENSEX Index Options'!$I:$I,"Weekly*")+SUMIFS('BSE - SENSEX Index Options'!$M:$M,'BSE - SENSEX Index Options'!$C:$C,$A157,'BSE - SENSEX Index Options'!$B:$B,C$147,'BSE - SENSEX Index Options'!$I:$I,"MDAW*")+SUMIFS('BSE - Other Index Options'!$M:$M,'BSE - Other Index Options'!$C:$C,$A157,'BSE - Other Index Options'!$B:$B,C$147,'BSE - Other Index Options'!$I:$I,"Weekly*")+SUMIFS('BSE - Other Index Options'!$M:$M,'BSE - Other Index Options'!$C:$C,$A157,'BSE - Other Index Options'!$B:$B,C$147,'BSE - Other Index Options'!$I:$I,"MDAW*"))</f>
        <v/>
      </c>
      <c r="D157" s="26">
        <f>IF(SUMIFS('BSE - SENSEX Index Options'!$M:$M,'BSE - SENSEX Index Options'!$C:$C,$A157,'BSE - SENSEX Index Options'!$B:$B,D$147,'BSE - SENSEX Index Options'!$I:$I,"Weekly*")+SUMIFS('BSE - SENSEX Index Options'!$M:$M,'BSE - SENSEX Index Options'!$C:$C,$A157,'BSE - SENSEX Index Options'!$B:$B,D$147,'BSE - SENSEX Index Options'!$I:$I,"MDAW*")+SUMIFS('BSE - Other Index Options'!$M:$M,'BSE - Other Index Options'!$C:$C,$A157,'BSE - Other Index Options'!$B:$B,D$147,'BSE - Other Index Options'!$I:$I,"Weekly*")+SUMIFS('BSE - Other Index Options'!$M:$M,'BSE - Other Index Options'!$C:$C,$A157,'BSE - Other Index Options'!$B:$B,D$147,'BSE - Other Index Options'!$I:$I,"MDAW*")=0,"",SUMIFS('BSE - SENSEX Index Options'!$M:$M,'BSE - SENSEX Index Options'!$C:$C,$A157,'BSE - SENSEX Index Options'!$B:$B,D$147,'BSE - SENSEX Index Options'!$I:$I,"Weekly*")+SUMIFS('BSE - SENSEX Index Options'!$M:$M,'BSE - SENSEX Index Options'!$C:$C,$A157,'BSE - SENSEX Index Options'!$B:$B,D$147,'BSE - SENSEX Index Options'!$I:$I,"MDAW*")+SUMIFS('BSE - Other Index Options'!$M:$M,'BSE - Other Index Options'!$C:$C,$A157,'BSE - Other Index Options'!$B:$B,D$147,'BSE - Other Index Options'!$I:$I,"Weekly*")+SUMIFS('BSE - Other Index Options'!$M:$M,'BSE - Other Index Options'!$C:$C,$A157,'BSE - Other Index Options'!$B:$B,D$147,'BSE - Other Index Options'!$I:$I,"MDAW*"))</f>
        <v/>
      </c>
      <c r="E157" s="26">
        <f>IF(SUMIFS('BSE - SENSEX Index Options'!$M:$M,'BSE - SENSEX Index Options'!$C:$C,$A157,'BSE - SENSEX Index Options'!$B:$B,E$147,'BSE - SENSEX Index Options'!$I:$I,"Weekly*")+SUMIFS('BSE - SENSEX Index Options'!$M:$M,'BSE - SENSEX Index Options'!$C:$C,$A157,'BSE - SENSEX Index Options'!$B:$B,E$147,'BSE - SENSEX Index Options'!$I:$I,"MDAW*")+SUMIFS('BSE - Other Index Options'!$M:$M,'BSE - Other Index Options'!$C:$C,$A157,'BSE - Other Index Options'!$B:$B,E$147,'BSE - Other Index Options'!$I:$I,"Weekly*")+SUMIFS('BSE - Other Index Options'!$M:$M,'BSE - Other Index Options'!$C:$C,$A157,'BSE - Other Index Options'!$B:$B,E$147,'BSE - Other Index Options'!$I:$I,"MDAW*")=0,"",SUMIFS('BSE - SENSEX Index Options'!$M:$M,'BSE - SENSEX Index Options'!$C:$C,$A157,'BSE - SENSEX Index Options'!$B:$B,E$147,'BSE - SENSEX Index Options'!$I:$I,"Weekly*")+SUMIFS('BSE - SENSEX Index Options'!$M:$M,'BSE - SENSEX Index Options'!$C:$C,$A157,'BSE - SENSEX Index Options'!$B:$B,E$147,'BSE - SENSEX Index Options'!$I:$I,"MDAW*")+SUMIFS('BSE - Other Index Options'!$M:$M,'BSE - Other Index Options'!$C:$C,$A157,'BSE - Other Index Options'!$B:$B,E$147,'BSE - Other Index Options'!$I:$I,"Weekly*")+SUMIFS('BSE - Other Index Options'!$M:$M,'BSE - Other Index Options'!$C:$C,$A157,'BSE - Other Index Options'!$B:$B,E$147,'BSE - Other Index Options'!$I:$I,"MDAW*"))</f>
        <v/>
      </c>
      <c r="F157" s="26">
        <f>IF(SUMIFS('BSE - SENSEX Index Options'!$M:$M,'BSE - SENSEX Index Options'!$C:$C,$A157,'BSE - SENSEX Index Options'!$B:$B,F$147,'BSE - SENSEX Index Options'!$I:$I,"Weekly*")+SUMIFS('BSE - SENSEX Index Options'!$M:$M,'BSE - SENSEX Index Options'!$C:$C,$A157,'BSE - SENSEX Index Options'!$B:$B,F$147,'BSE - SENSEX Index Options'!$I:$I,"MDAW*")+SUMIFS('BSE - Other Index Options'!$M:$M,'BSE - Other Index Options'!$C:$C,$A157,'BSE - Other Index Options'!$B:$B,F$147,'BSE - Other Index Options'!$I:$I,"Weekly*")+SUMIFS('BSE - Other Index Options'!$M:$M,'BSE - Other Index Options'!$C:$C,$A157,'BSE - Other Index Options'!$B:$B,F$147,'BSE - Other Index Options'!$I:$I,"MDAW*")=0,"",SUMIFS('BSE - SENSEX Index Options'!$M:$M,'BSE - SENSEX Index Options'!$C:$C,$A157,'BSE - SENSEX Index Options'!$B:$B,F$147,'BSE - SENSEX Index Options'!$I:$I,"Weekly*")+SUMIFS('BSE - SENSEX Index Options'!$M:$M,'BSE - SENSEX Index Options'!$C:$C,$A157,'BSE - SENSEX Index Options'!$B:$B,F$147,'BSE - SENSEX Index Options'!$I:$I,"MDAW*")+SUMIFS('BSE - Other Index Options'!$M:$M,'BSE - Other Index Options'!$C:$C,$A157,'BSE - Other Index Options'!$B:$B,F$147,'BSE - Other Index Options'!$I:$I,"Weekly*")+SUMIFS('BSE - Other Index Options'!$M:$M,'BSE - Other Index Options'!$C:$C,$A157,'BSE - Other Index Options'!$B:$B,F$147,'BSE - Other Index Options'!$I:$I,"MDAW*"))</f>
        <v/>
      </c>
      <c r="G157" s="26">
        <f>IF(SUMIFS('BSE - SENSEX Index Options'!$M:$M,'BSE - SENSEX Index Options'!$C:$C,$A157,'BSE - SENSEX Index Options'!$B:$B,G$147,'BSE - SENSEX Index Options'!$I:$I,"Weekly*")+SUMIFS('BSE - SENSEX Index Options'!$M:$M,'BSE - SENSEX Index Options'!$C:$C,$A157,'BSE - SENSEX Index Options'!$B:$B,G$147,'BSE - SENSEX Index Options'!$I:$I,"MDAW*")+SUMIFS('BSE - Other Index Options'!$M:$M,'BSE - Other Index Options'!$C:$C,$A157,'BSE - Other Index Options'!$B:$B,G$147,'BSE - Other Index Options'!$I:$I,"Weekly*")+SUMIFS('BSE - Other Index Options'!$M:$M,'BSE - Other Index Options'!$C:$C,$A157,'BSE - Other Index Options'!$B:$B,G$147,'BSE - Other Index Options'!$I:$I,"MDAW*")=0,"",SUMIFS('BSE - SENSEX Index Options'!$M:$M,'BSE - SENSEX Index Options'!$C:$C,$A157,'BSE - SENSEX Index Options'!$B:$B,G$147,'BSE - SENSEX Index Options'!$I:$I,"Weekly*")+SUMIFS('BSE - SENSEX Index Options'!$M:$M,'BSE - SENSEX Index Options'!$C:$C,$A157,'BSE - SENSEX Index Options'!$B:$B,G$147,'BSE - SENSEX Index Options'!$I:$I,"MDAW*")+SUMIFS('BSE - Other Index Options'!$M:$M,'BSE - Other Index Options'!$C:$C,$A157,'BSE - Other Index Options'!$B:$B,G$147,'BSE - Other Index Options'!$I:$I,"Weekly*")+SUMIFS('BSE - Other Index Options'!$M:$M,'BSE - Other Index Options'!$C:$C,$A157,'BSE - Other Index Options'!$B:$B,G$147,'BSE - Other Index Options'!$I:$I,"MDAW*"))</f>
        <v/>
      </c>
      <c r="H157" s="26">
        <f>IF(SUM(B157:G157)=0,"",SUM(B157:G157))</f>
        <v/>
      </c>
    </row>
    <row r="158">
      <c r="A158" t="inlineStr">
        <is>
          <t>Week1-Nov-2025</t>
        </is>
      </c>
      <c r="B158" s="26">
        <f>IF(SUMIFS('BSE - SENSEX Index Options'!$M:$M,'BSE - SENSEX Index Options'!$C:$C,$A158,'BSE - SENSEX Index Options'!$B:$B,B$147,'BSE - SENSEX Index Options'!$I:$I,"Weekly*")+SUMIFS('BSE - SENSEX Index Options'!$M:$M,'BSE - SENSEX Index Options'!$C:$C,$A158,'BSE - SENSEX Index Options'!$B:$B,B$147,'BSE - SENSEX Index Options'!$I:$I,"MDAW*")+SUMIFS('BSE - Other Index Options'!$M:$M,'BSE - Other Index Options'!$C:$C,$A158,'BSE - Other Index Options'!$B:$B,B$147,'BSE - Other Index Options'!$I:$I,"Weekly*")+SUMIFS('BSE - Other Index Options'!$M:$M,'BSE - Other Index Options'!$C:$C,$A158,'BSE - Other Index Options'!$B:$B,B$147,'BSE - Other Index Options'!$I:$I,"MDAW*")=0,"",SUMIFS('BSE - SENSEX Index Options'!$M:$M,'BSE - SENSEX Index Options'!$C:$C,$A158,'BSE - SENSEX Index Options'!$B:$B,B$147,'BSE - SENSEX Index Options'!$I:$I,"Weekly*")+SUMIFS('BSE - SENSEX Index Options'!$M:$M,'BSE - SENSEX Index Options'!$C:$C,$A158,'BSE - SENSEX Index Options'!$B:$B,B$147,'BSE - SENSEX Index Options'!$I:$I,"MDAW*")+SUMIFS('BSE - Other Index Options'!$M:$M,'BSE - Other Index Options'!$C:$C,$A158,'BSE - Other Index Options'!$B:$B,B$147,'BSE - Other Index Options'!$I:$I,"Weekly*")+SUMIFS('BSE - Other Index Options'!$M:$M,'BSE - Other Index Options'!$C:$C,$A158,'BSE - Other Index Options'!$B:$B,B$147,'BSE - Other Index Options'!$I:$I,"MDAW*"))</f>
        <v/>
      </c>
      <c r="C158" s="26">
        <f>IF(SUMIFS('BSE - SENSEX Index Options'!$M:$M,'BSE - SENSEX Index Options'!$C:$C,$A158,'BSE - SENSEX Index Options'!$B:$B,C$147,'BSE - SENSEX Index Options'!$I:$I,"Weekly*")+SUMIFS('BSE - SENSEX Index Options'!$M:$M,'BSE - SENSEX Index Options'!$C:$C,$A158,'BSE - SENSEX Index Options'!$B:$B,C$147,'BSE - SENSEX Index Options'!$I:$I,"MDAW*")+SUMIFS('BSE - Other Index Options'!$M:$M,'BSE - Other Index Options'!$C:$C,$A158,'BSE - Other Index Options'!$B:$B,C$147,'BSE - Other Index Options'!$I:$I,"Weekly*")+SUMIFS('BSE - Other Index Options'!$M:$M,'BSE - Other Index Options'!$C:$C,$A158,'BSE - Other Index Options'!$B:$B,C$147,'BSE - Other Index Options'!$I:$I,"MDAW*")=0,"",SUMIFS('BSE - SENSEX Index Options'!$M:$M,'BSE - SENSEX Index Options'!$C:$C,$A158,'BSE - SENSEX Index Options'!$B:$B,C$147,'BSE - SENSEX Index Options'!$I:$I,"Weekly*")+SUMIFS('BSE - SENSEX Index Options'!$M:$M,'BSE - SENSEX Index Options'!$C:$C,$A158,'BSE - SENSEX Index Options'!$B:$B,C$147,'BSE - SENSEX Index Options'!$I:$I,"MDAW*")+SUMIFS('BSE - Other Index Options'!$M:$M,'BSE - Other Index Options'!$C:$C,$A158,'BSE - Other Index Options'!$B:$B,C$147,'BSE - Other Index Options'!$I:$I,"Weekly*")+SUMIFS('BSE - Other Index Options'!$M:$M,'BSE - Other Index Options'!$C:$C,$A158,'BSE - Other Index Options'!$B:$B,C$147,'BSE - Other Index Options'!$I:$I,"MDAW*"))</f>
        <v/>
      </c>
      <c r="D158" s="26">
        <f>IF(SUMIFS('BSE - SENSEX Index Options'!$M:$M,'BSE - SENSEX Index Options'!$C:$C,$A158,'BSE - SENSEX Index Options'!$B:$B,D$147,'BSE - SENSEX Index Options'!$I:$I,"Weekly*")+SUMIFS('BSE - SENSEX Index Options'!$M:$M,'BSE - SENSEX Index Options'!$C:$C,$A158,'BSE - SENSEX Index Options'!$B:$B,D$147,'BSE - SENSEX Index Options'!$I:$I,"MDAW*")+SUMIFS('BSE - Other Index Options'!$M:$M,'BSE - Other Index Options'!$C:$C,$A158,'BSE - Other Index Options'!$B:$B,D$147,'BSE - Other Index Options'!$I:$I,"Weekly*")+SUMIFS('BSE - Other Index Options'!$M:$M,'BSE - Other Index Options'!$C:$C,$A158,'BSE - Other Index Options'!$B:$B,D$147,'BSE - Other Index Options'!$I:$I,"MDAW*")=0,"",SUMIFS('BSE - SENSEX Index Options'!$M:$M,'BSE - SENSEX Index Options'!$C:$C,$A158,'BSE - SENSEX Index Options'!$B:$B,D$147,'BSE - SENSEX Index Options'!$I:$I,"Weekly*")+SUMIFS('BSE - SENSEX Index Options'!$M:$M,'BSE - SENSEX Index Options'!$C:$C,$A158,'BSE - SENSEX Index Options'!$B:$B,D$147,'BSE - SENSEX Index Options'!$I:$I,"MDAW*")+SUMIFS('BSE - Other Index Options'!$M:$M,'BSE - Other Index Options'!$C:$C,$A158,'BSE - Other Index Options'!$B:$B,D$147,'BSE - Other Index Options'!$I:$I,"Weekly*")+SUMIFS('BSE - Other Index Options'!$M:$M,'BSE - Other Index Options'!$C:$C,$A158,'BSE - Other Index Options'!$B:$B,D$147,'BSE - Other Index Options'!$I:$I,"MDAW*"))</f>
        <v/>
      </c>
      <c r="E158" s="26">
        <f>IF(SUMIFS('BSE - SENSEX Index Options'!$M:$M,'BSE - SENSEX Index Options'!$C:$C,$A158,'BSE - SENSEX Index Options'!$B:$B,E$147,'BSE - SENSEX Index Options'!$I:$I,"Weekly*")+SUMIFS('BSE - SENSEX Index Options'!$M:$M,'BSE - SENSEX Index Options'!$C:$C,$A158,'BSE - SENSEX Index Options'!$B:$B,E$147,'BSE - SENSEX Index Options'!$I:$I,"MDAW*")+SUMIFS('BSE - Other Index Options'!$M:$M,'BSE - Other Index Options'!$C:$C,$A158,'BSE - Other Index Options'!$B:$B,E$147,'BSE - Other Index Options'!$I:$I,"Weekly*")+SUMIFS('BSE - Other Index Options'!$M:$M,'BSE - Other Index Options'!$C:$C,$A158,'BSE - Other Index Options'!$B:$B,E$147,'BSE - Other Index Options'!$I:$I,"MDAW*")=0,"",SUMIFS('BSE - SENSEX Index Options'!$M:$M,'BSE - SENSEX Index Options'!$C:$C,$A158,'BSE - SENSEX Index Options'!$B:$B,E$147,'BSE - SENSEX Index Options'!$I:$I,"Weekly*")+SUMIFS('BSE - SENSEX Index Options'!$M:$M,'BSE - SENSEX Index Options'!$C:$C,$A158,'BSE - SENSEX Index Options'!$B:$B,E$147,'BSE - SENSEX Index Options'!$I:$I,"MDAW*")+SUMIFS('BSE - Other Index Options'!$M:$M,'BSE - Other Index Options'!$C:$C,$A158,'BSE - Other Index Options'!$B:$B,E$147,'BSE - Other Index Options'!$I:$I,"Weekly*")+SUMIFS('BSE - Other Index Options'!$M:$M,'BSE - Other Index Options'!$C:$C,$A158,'BSE - Other Index Options'!$B:$B,E$147,'BSE - Other Index Options'!$I:$I,"MDAW*"))</f>
        <v/>
      </c>
      <c r="F158" s="26">
        <f>IF(SUMIFS('BSE - SENSEX Index Options'!$M:$M,'BSE - SENSEX Index Options'!$C:$C,$A158,'BSE - SENSEX Index Options'!$B:$B,F$147,'BSE - SENSEX Index Options'!$I:$I,"Weekly*")+SUMIFS('BSE - SENSEX Index Options'!$M:$M,'BSE - SENSEX Index Options'!$C:$C,$A158,'BSE - SENSEX Index Options'!$B:$B,F$147,'BSE - SENSEX Index Options'!$I:$I,"MDAW*")+SUMIFS('BSE - Other Index Options'!$M:$M,'BSE - Other Index Options'!$C:$C,$A158,'BSE - Other Index Options'!$B:$B,F$147,'BSE - Other Index Options'!$I:$I,"Weekly*")+SUMIFS('BSE - Other Index Options'!$M:$M,'BSE - Other Index Options'!$C:$C,$A158,'BSE - Other Index Options'!$B:$B,F$147,'BSE - Other Index Options'!$I:$I,"MDAW*")=0,"",SUMIFS('BSE - SENSEX Index Options'!$M:$M,'BSE - SENSEX Index Options'!$C:$C,$A158,'BSE - SENSEX Index Options'!$B:$B,F$147,'BSE - SENSEX Index Options'!$I:$I,"Weekly*")+SUMIFS('BSE - SENSEX Index Options'!$M:$M,'BSE - SENSEX Index Options'!$C:$C,$A158,'BSE - SENSEX Index Options'!$B:$B,F$147,'BSE - SENSEX Index Options'!$I:$I,"MDAW*")+SUMIFS('BSE - Other Index Options'!$M:$M,'BSE - Other Index Options'!$C:$C,$A158,'BSE - Other Index Options'!$B:$B,F$147,'BSE - Other Index Options'!$I:$I,"Weekly*")+SUMIFS('BSE - Other Index Options'!$M:$M,'BSE - Other Index Options'!$C:$C,$A158,'BSE - Other Index Options'!$B:$B,F$147,'BSE - Other Index Options'!$I:$I,"MDAW*"))</f>
        <v/>
      </c>
      <c r="G158" s="26">
        <f>IF(SUMIFS('BSE - SENSEX Index Options'!$M:$M,'BSE - SENSEX Index Options'!$C:$C,$A158,'BSE - SENSEX Index Options'!$B:$B,G$147,'BSE - SENSEX Index Options'!$I:$I,"Weekly*")+SUMIFS('BSE - SENSEX Index Options'!$M:$M,'BSE - SENSEX Index Options'!$C:$C,$A158,'BSE - SENSEX Index Options'!$B:$B,G$147,'BSE - SENSEX Index Options'!$I:$I,"MDAW*")+SUMIFS('BSE - Other Index Options'!$M:$M,'BSE - Other Index Options'!$C:$C,$A158,'BSE - Other Index Options'!$B:$B,G$147,'BSE - Other Index Options'!$I:$I,"Weekly*")+SUMIFS('BSE - Other Index Options'!$M:$M,'BSE - Other Index Options'!$C:$C,$A158,'BSE - Other Index Options'!$B:$B,G$147,'BSE - Other Index Options'!$I:$I,"MDAW*")=0,"",SUMIFS('BSE - SENSEX Index Options'!$M:$M,'BSE - SENSEX Index Options'!$C:$C,$A158,'BSE - SENSEX Index Options'!$B:$B,G$147,'BSE - SENSEX Index Options'!$I:$I,"Weekly*")+SUMIFS('BSE - SENSEX Index Options'!$M:$M,'BSE - SENSEX Index Options'!$C:$C,$A158,'BSE - SENSEX Index Options'!$B:$B,G$147,'BSE - SENSEX Index Options'!$I:$I,"MDAW*")+SUMIFS('BSE - Other Index Options'!$M:$M,'BSE - Other Index Options'!$C:$C,$A158,'BSE - Other Index Options'!$B:$B,G$147,'BSE - Other Index Options'!$I:$I,"Weekly*")+SUMIFS('BSE - Other Index Options'!$M:$M,'BSE - Other Index Options'!$C:$C,$A158,'BSE - Other Index Options'!$B:$B,G$147,'BSE - Other Index Options'!$I:$I,"MDAW*"))</f>
        <v/>
      </c>
      <c r="H158" s="26">
        <f>IF(SUM(B158:G158)=0,"",SUM(B158:G158))</f>
        <v/>
      </c>
    </row>
    <row r="159">
      <c r="A159" t="inlineStr">
        <is>
          <t>Week2-Nov-2025</t>
        </is>
      </c>
      <c r="B159" s="26">
        <f>IF(SUMIFS('BSE - SENSEX Index Options'!$M:$M,'BSE - SENSEX Index Options'!$C:$C,$A159,'BSE - SENSEX Index Options'!$B:$B,B$147,'BSE - SENSEX Index Options'!$I:$I,"Weekly*")+SUMIFS('BSE - SENSEX Index Options'!$M:$M,'BSE - SENSEX Index Options'!$C:$C,$A159,'BSE - SENSEX Index Options'!$B:$B,B$147,'BSE - SENSEX Index Options'!$I:$I,"MDAW*")+SUMIFS('BSE - Other Index Options'!$M:$M,'BSE - Other Index Options'!$C:$C,$A159,'BSE - Other Index Options'!$B:$B,B$147,'BSE - Other Index Options'!$I:$I,"Weekly*")+SUMIFS('BSE - Other Index Options'!$M:$M,'BSE - Other Index Options'!$C:$C,$A159,'BSE - Other Index Options'!$B:$B,B$147,'BSE - Other Index Options'!$I:$I,"MDAW*")=0,"",SUMIFS('BSE - SENSEX Index Options'!$M:$M,'BSE - SENSEX Index Options'!$C:$C,$A159,'BSE - SENSEX Index Options'!$B:$B,B$147,'BSE - SENSEX Index Options'!$I:$I,"Weekly*")+SUMIFS('BSE - SENSEX Index Options'!$M:$M,'BSE - SENSEX Index Options'!$C:$C,$A159,'BSE - SENSEX Index Options'!$B:$B,B$147,'BSE - SENSEX Index Options'!$I:$I,"MDAW*")+SUMIFS('BSE - Other Index Options'!$M:$M,'BSE - Other Index Options'!$C:$C,$A159,'BSE - Other Index Options'!$B:$B,B$147,'BSE - Other Index Options'!$I:$I,"Weekly*")+SUMIFS('BSE - Other Index Options'!$M:$M,'BSE - Other Index Options'!$C:$C,$A159,'BSE - Other Index Options'!$B:$B,B$147,'BSE - Other Index Options'!$I:$I,"MDAW*"))</f>
        <v/>
      </c>
      <c r="C159" s="26">
        <f>IF(SUMIFS('BSE - SENSEX Index Options'!$M:$M,'BSE - SENSEX Index Options'!$C:$C,$A159,'BSE - SENSEX Index Options'!$B:$B,C$147,'BSE - SENSEX Index Options'!$I:$I,"Weekly*")+SUMIFS('BSE - SENSEX Index Options'!$M:$M,'BSE - SENSEX Index Options'!$C:$C,$A159,'BSE - SENSEX Index Options'!$B:$B,C$147,'BSE - SENSEX Index Options'!$I:$I,"MDAW*")+SUMIFS('BSE - Other Index Options'!$M:$M,'BSE - Other Index Options'!$C:$C,$A159,'BSE - Other Index Options'!$B:$B,C$147,'BSE - Other Index Options'!$I:$I,"Weekly*")+SUMIFS('BSE - Other Index Options'!$M:$M,'BSE - Other Index Options'!$C:$C,$A159,'BSE - Other Index Options'!$B:$B,C$147,'BSE - Other Index Options'!$I:$I,"MDAW*")=0,"",SUMIFS('BSE - SENSEX Index Options'!$M:$M,'BSE - SENSEX Index Options'!$C:$C,$A159,'BSE - SENSEX Index Options'!$B:$B,C$147,'BSE - SENSEX Index Options'!$I:$I,"Weekly*")+SUMIFS('BSE - SENSEX Index Options'!$M:$M,'BSE - SENSEX Index Options'!$C:$C,$A159,'BSE - SENSEX Index Options'!$B:$B,C$147,'BSE - SENSEX Index Options'!$I:$I,"MDAW*")+SUMIFS('BSE - Other Index Options'!$M:$M,'BSE - Other Index Options'!$C:$C,$A159,'BSE - Other Index Options'!$B:$B,C$147,'BSE - Other Index Options'!$I:$I,"Weekly*")+SUMIFS('BSE - Other Index Options'!$M:$M,'BSE - Other Index Options'!$C:$C,$A159,'BSE - Other Index Options'!$B:$B,C$147,'BSE - Other Index Options'!$I:$I,"MDAW*"))</f>
        <v/>
      </c>
      <c r="D159" s="26">
        <f>IF(SUMIFS('BSE - SENSEX Index Options'!$M:$M,'BSE - SENSEX Index Options'!$C:$C,$A159,'BSE - SENSEX Index Options'!$B:$B,D$147,'BSE - SENSEX Index Options'!$I:$I,"Weekly*")+SUMIFS('BSE - SENSEX Index Options'!$M:$M,'BSE - SENSEX Index Options'!$C:$C,$A159,'BSE - SENSEX Index Options'!$B:$B,D$147,'BSE - SENSEX Index Options'!$I:$I,"MDAW*")+SUMIFS('BSE - Other Index Options'!$M:$M,'BSE - Other Index Options'!$C:$C,$A159,'BSE - Other Index Options'!$B:$B,D$147,'BSE - Other Index Options'!$I:$I,"Weekly*")+SUMIFS('BSE - Other Index Options'!$M:$M,'BSE - Other Index Options'!$C:$C,$A159,'BSE - Other Index Options'!$B:$B,D$147,'BSE - Other Index Options'!$I:$I,"MDAW*")=0,"",SUMIFS('BSE - SENSEX Index Options'!$M:$M,'BSE - SENSEX Index Options'!$C:$C,$A159,'BSE - SENSEX Index Options'!$B:$B,D$147,'BSE - SENSEX Index Options'!$I:$I,"Weekly*")+SUMIFS('BSE - SENSEX Index Options'!$M:$M,'BSE - SENSEX Index Options'!$C:$C,$A159,'BSE - SENSEX Index Options'!$B:$B,D$147,'BSE - SENSEX Index Options'!$I:$I,"MDAW*")+SUMIFS('BSE - Other Index Options'!$M:$M,'BSE - Other Index Options'!$C:$C,$A159,'BSE - Other Index Options'!$B:$B,D$147,'BSE - Other Index Options'!$I:$I,"Weekly*")+SUMIFS('BSE - Other Index Options'!$M:$M,'BSE - Other Index Options'!$C:$C,$A159,'BSE - Other Index Options'!$B:$B,D$147,'BSE - Other Index Options'!$I:$I,"MDAW*"))</f>
        <v/>
      </c>
      <c r="E159" s="26">
        <f>IF(SUMIFS('BSE - SENSEX Index Options'!$M:$M,'BSE - SENSEX Index Options'!$C:$C,$A159,'BSE - SENSEX Index Options'!$B:$B,E$147,'BSE - SENSEX Index Options'!$I:$I,"Weekly*")+SUMIFS('BSE - SENSEX Index Options'!$M:$M,'BSE - SENSEX Index Options'!$C:$C,$A159,'BSE - SENSEX Index Options'!$B:$B,E$147,'BSE - SENSEX Index Options'!$I:$I,"MDAW*")+SUMIFS('BSE - Other Index Options'!$M:$M,'BSE - Other Index Options'!$C:$C,$A159,'BSE - Other Index Options'!$B:$B,E$147,'BSE - Other Index Options'!$I:$I,"Weekly*")+SUMIFS('BSE - Other Index Options'!$M:$M,'BSE - Other Index Options'!$C:$C,$A159,'BSE - Other Index Options'!$B:$B,E$147,'BSE - Other Index Options'!$I:$I,"MDAW*")=0,"",SUMIFS('BSE - SENSEX Index Options'!$M:$M,'BSE - SENSEX Index Options'!$C:$C,$A159,'BSE - SENSEX Index Options'!$B:$B,E$147,'BSE - SENSEX Index Options'!$I:$I,"Weekly*")+SUMIFS('BSE - SENSEX Index Options'!$M:$M,'BSE - SENSEX Index Options'!$C:$C,$A159,'BSE - SENSEX Index Options'!$B:$B,E$147,'BSE - SENSEX Index Options'!$I:$I,"MDAW*")+SUMIFS('BSE - Other Index Options'!$M:$M,'BSE - Other Index Options'!$C:$C,$A159,'BSE - Other Index Options'!$B:$B,E$147,'BSE - Other Index Options'!$I:$I,"Weekly*")+SUMIFS('BSE - Other Index Options'!$M:$M,'BSE - Other Index Options'!$C:$C,$A159,'BSE - Other Index Options'!$B:$B,E$147,'BSE - Other Index Options'!$I:$I,"MDAW*"))</f>
        <v/>
      </c>
      <c r="F159" s="26">
        <f>IF(SUMIFS('BSE - SENSEX Index Options'!$M:$M,'BSE - SENSEX Index Options'!$C:$C,$A159,'BSE - SENSEX Index Options'!$B:$B,F$147,'BSE - SENSEX Index Options'!$I:$I,"Weekly*")+SUMIFS('BSE - SENSEX Index Options'!$M:$M,'BSE - SENSEX Index Options'!$C:$C,$A159,'BSE - SENSEX Index Options'!$B:$B,F$147,'BSE - SENSEX Index Options'!$I:$I,"MDAW*")+SUMIFS('BSE - Other Index Options'!$M:$M,'BSE - Other Index Options'!$C:$C,$A159,'BSE - Other Index Options'!$B:$B,F$147,'BSE - Other Index Options'!$I:$I,"Weekly*")+SUMIFS('BSE - Other Index Options'!$M:$M,'BSE - Other Index Options'!$C:$C,$A159,'BSE - Other Index Options'!$B:$B,F$147,'BSE - Other Index Options'!$I:$I,"MDAW*")=0,"",SUMIFS('BSE - SENSEX Index Options'!$M:$M,'BSE - SENSEX Index Options'!$C:$C,$A159,'BSE - SENSEX Index Options'!$B:$B,F$147,'BSE - SENSEX Index Options'!$I:$I,"Weekly*")+SUMIFS('BSE - SENSEX Index Options'!$M:$M,'BSE - SENSEX Index Options'!$C:$C,$A159,'BSE - SENSEX Index Options'!$B:$B,F$147,'BSE - SENSEX Index Options'!$I:$I,"MDAW*")+SUMIFS('BSE - Other Index Options'!$M:$M,'BSE - Other Index Options'!$C:$C,$A159,'BSE - Other Index Options'!$B:$B,F$147,'BSE - Other Index Options'!$I:$I,"Weekly*")+SUMIFS('BSE - Other Index Options'!$M:$M,'BSE - Other Index Options'!$C:$C,$A159,'BSE - Other Index Options'!$B:$B,F$147,'BSE - Other Index Options'!$I:$I,"MDAW*"))</f>
        <v/>
      </c>
      <c r="G159" s="26">
        <f>IF(SUMIFS('BSE - SENSEX Index Options'!$M:$M,'BSE - SENSEX Index Options'!$C:$C,$A159,'BSE - SENSEX Index Options'!$B:$B,G$147,'BSE - SENSEX Index Options'!$I:$I,"Weekly*")+SUMIFS('BSE - SENSEX Index Options'!$M:$M,'BSE - SENSEX Index Options'!$C:$C,$A159,'BSE - SENSEX Index Options'!$B:$B,G$147,'BSE - SENSEX Index Options'!$I:$I,"MDAW*")+SUMIFS('BSE - Other Index Options'!$M:$M,'BSE - Other Index Options'!$C:$C,$A159,'BSE - Other Index Options'!$B:$B,G$147,'BSE - Other Index Options'!$I:$I,"Weekly*")+SUMIFS('BSE - Other Index Options'!$M:$M,'BSE - Other Index Options'!$C:$C,$A159,'BSE - Other Index Options'!$B:$B,G$147,'BSE - Other Index Options'!$I:$I,"MDAW*")=0,"",SUMIFS('BSE - SENSEX Index Options'!$M:$M,'BSE - SENSEX Index Options'!$C:$C,$A159,'BSE - SENSEX Index Options'!$B:$B,G$147,'BSE - SENSEX Index Options'!$I:$I,"Weekly*")+SUMIFS('BSE - SENSEX Index Options'!$M:$M,'BSE - SENSEX Index Options'!$C:$C,$A159,'BSE - SENSEX Index Options'!$B:$B,G$147,'BSE - SENSEX Index Options'!$I:$I,"MDAW*")+SUMIFS('BSE - Other Index Options'!$M:$M,'BSE - Other Index Options'!$C:$C,$A159,'BSE - Other Index Options'!$B:$B,G$147,'BSE - Other Index Options'!$I:$I,"Weekly*")+SUMIFS('BSE - Other Index Options'!$M:$M,'BSE - Other Index Options'!$C:$C,$A159,'BSE - Other Index Options'!$B:$B,G$147,'BSE - Other Index Options'!$I:$I,"MDAW*"))</f>
        <v/>
      </c>
      <c r="H159" s="26">
        <f>IF(SUM(B159:G159)=0,"",SUM(B159:G159))</f>
        <v/>
      </c>
    </row>
    <row r="160">
      <c r="A160" t="inlineStr">
        <is>
          <t>Week3-Nov-2025</t>
        </is>
      </c>
      <c r="B160" s="26">
        <f>IF(SUMIFS('BSE - SENSEX Index Options'!$M:$M,'BSE - SENSEX Index Options'!$C:$C,$A160,'BSE - SENSEX Index Options'!$B:$B,B$147,'BSE - SENSEX Index Options'!$I:$I,"Weekly*")+SUMIFS('BSE - SENSEX Index Options'!$M:$M,'BSE - SENSEX Index Options'!$C:$C,$A160,'BSE - SENSEX Index Options'!$B:$B,B$147,'BSE - SENSEX Index Options'!$I:$I,"MDAW*")+SUMIFS('BSE - Other Index Options'!$M:$M,'BSE - Other Index Options'!$C:$C,$A160,'BSE - Other Index Options'!$B:$B,B$147,'BSE - Other Index Options'!$I:$I,"Weekly*")+SUMIFS('BSE - Other Index Options'!$M:$M,'BSE - Other Index Options'!$C:$C,$A160,'BSE - Other Index Options'!$B:$B,B$147,'BSE - Other Index Options'!$I:$I,"MDAW*")=0,"",SUMIFS('BSE - SENSEX Index Options'!$M:$M,'BSE - SENSEX Index Options'!$C:$C,$A160,'BSE - SENSEX Index Options'!$B:$B,B$147,'BSE - SENSEX Index Options'!$I:$I,"Weekly*")+SUMIFS('BSE - SENSEX Index Options'!$M:$M,'BSE - SENSEX Index Options'!$C:$C,$A160,'BSE - SENSEX Index Options'!$B:$B,B$147,'BSE - SENSEX Index Options'!$I:$I,"MDAW*")+SUMIFS('BSE - Other Index Options'!$M:$M,'BSE - Other Index Options'!$C:$C,$A160,'BSE - Other Index Options'!$B:$B,B$147,'BSE - Other Index Options'!$I:$I,"Weekly*")+SUMIFS('BSE - Other Index Options'!$M:$M,'BSE - Other Index Options'!$C:$C,$A160,'BSE - Other Index Options'!$B:$B,B$147,'BSE - Other Index Options'!$I:$I,"MDAW*"))</f>
        <v/>
      </c>
      <c r="C160" s="26">
        <f>IF(SUMIFS('BSE - SENSEX Index Options'!$M:$M,'BSE - SENSEX Index Options'!$C:$C,$A160,'BSE - SENSEX Index Options'!$B:$B,C$147,'BSE - SENSEX Index Options'!$I:$I,"Weekly*")+SUMIFS('BSE - SENSEX Index Options'!$M:$M,'BSE - SENSEX Index Options'!$C:$C,$A160,'BSE - SENSEX Index Options'!$B:$B,C$147,'BSE - SENSEX Index Options'!$I:$I,"MDAW*")+SUMIFS('BSE - Other Index Options'!$M:$M,'BSE - Other Index Options'!$C:$C,$A160,'BSE - Other Index Options'!$B:$B,C$147,'BSE - Other Index Options'!$I:$I,"Weekly*")+SUMIFS('BSE - Other Index Options'!$M:$M,'BSE - Other Index Options'!$C:$C,$A160,'BSE - Other Index Options'!$B:$B,C$147,'BSE - Other Index Options'!$I:$I,"MDAW*")=0,"",SUMIFS('BSE - SENSEX Index Options'!$M:$M,'BSE - SENSEX Index Options'!$C:$C,$A160,'BSE - SENSEX Index Options'!$B:$B,C$147,'BSE - SENSEX Index Options'!$I:$I,"Weekly*")+SUMIFS('BSE - SENSEX Index Options'!$M:$M,'BSE - SENSEX Index Options'!$C:$C,$A160,'BSE - SENSEX Index Options'!$B:$B,C$147,'BSE - SENSEX Index Options'!$I:$I,"MDAW*")+SUMIFS('BSE - Other Index Options'!$M:$M,'BSE - Other Index Options'!$C:$C,$A160,'BSE - Other Index Options'!$B:$B,C$147,'BSE - Other Index Options'!$I:$I,"Weekly*")+SUMIFS('BSE - Other Index Options'!$M:$M,'BSE - Other Index Options'!$C:$C,$A160,'BSE - Other Index Options'!$B:$B,C$147,'BSE - Other Index Options'!$I:$I,"MDAW*"))</f>
        <v/>
      </c>
      <c r="D160" s="26">
        <f>IF(SUMIFS('BSE - SENSEX Index Options'!$M:$M,'BSE - SENSEX Index Options'!$C:$C,$A160,'BSE - SENSEX Index Options'!$B:$B,D$147,'BSE - SENSEX Index Options'!$I:$I,"Weekly*")+SUMIFS('BSE - SENSEX Index Options'!$M:$M,'BSE - SENSEX Index Options'!$C:$C,$A160,'BSE - SENSEX Index Options'!$B:$B,D$147,'BSE - SENSEX Index Options'!$I:$I,"MDAW*")+SUMIFS('BSE - Other Index Options'!$M:$M,'BSE - Other Index Options'!$C:$C,$A160,'BSE - Other Index Options'!$B:$B,D$147,'BSE - Other Index Options'!$I:$I,"Weekly*")+SUMIFS('BSE - Other Index Options'!$M:$M,'BSE - Other Index Options'!$C:$C,$A160,'BSE - Other Index Options'!$B:$B,D$147,'BSE - Other Index Options'!$I:$I,"MDAW*")=0,"",SUMIFS('BSE - SENSEX Index Options'!$M:$M,'BSE - SENSEX Index Options'!$C:$C,$A160,'BSE - SENSEX Index Options'!$B:$B,D$147,'BSE - SENSEX Index Options'!$I:$I,"Weekly*")+SUMIFS('BSE - SENSEX Index Options'!$M:$M,'BSE - SENSEX Index Options'!$C:$C,$A160,'BSE - SENSEX Index Options'!$B:$B,D$147,'BSE - SENSEX Index Options'!$I:$I,"MDAW*")+SUMIFS('BSE - Other Index Options'!$M:$M,'BSE - Other Index Options'!$C:$C,$A160,'BSE - Other Index Options'!$B:$B,D$147,'BSE - Other Index Options'!$I:$I,"Weekly*")+SUMIFS('BSE - Other Index Options'!$M:$M,'BSE - Other Index Options'!$C:$C,$A160,'BSE - Other Index Options'!$B:$B,D$147,'BSE - Other Index Options'!$I:$I,"MDAW*"))</f>
        <v/>
      </c>
      <c r="E160" s="26">
        <f>IF(SUMIFS('BSE - SENSEX Index Options'!$M:$M,'BSE - SENSEX Index Options'!$C:$C,$A160,'BSE - SENSEX Index Options'!$B:$B,E$147,'BSE - SENSEX Index Options'!$I:$I,"Weekly*")+SUMIFS('BSE - SENSEX Index Options'!$M:$M,'BSE - SENSEX Index Options'!$C:$C,$A160,'BSE - SENSEX Index Options'!$B:$B,E$147,'BSE - SENSEX Index Options'!$I:$I,"MDAW*")+SUMIFS('BSE - Other Index Options'!$M:$M,'BSE - Other Index Options'!$C:$C,$A160,'BSE - Other Index Options'!$B:$B,E$147,'BSE - Other Index Options'!$I:$I,"Weekly*")+SUMIFS('BSE - Other Index Options'!$M:$M,'BSE - Other Index Options'!$C:$C,$A160,'BSE - Other Index Options'!$B:$B,E$147,'BSE - Other Index Options'!$I:$I,"MDAW*")=0,"",SUMIFS('BSE - SENSEX Index Options'!$M:$M,'BSE - SENSEX Index Options'!$C:$C,$A160,'BSE - SENSEX Index Options'!$B:$B,E$147,'BSE - SENSEX Index Options'!$I:$I,"Weekly*")+SUMIFS('BSE - SENSEX Index Options'!$M:$M,'BSE - SENSEX Index Options'!$C:$C,$A160,'BSE - SENSEX Index Options'!$B:$B,E$147,'BSE - SENSEX Index Options'!$I:$I,"MDAW*")+SUMIFS('BSE - Other Index Options'!$M:$M,'BSE - Other Index Options'!$C:$C,$A160,'BSE - Other Index Options'!$B:$B,E$147,'BSE - Other Index Options'!$I:$I,"Weekly*")+SUMIFS('BSE - Other Index Options'!$M:$M,'BSE - Other Index Options'!$C:$C,$A160,'BSE - Other Index Options'!$B:$B,E$147,'BSE - Other Index Options'!$I:$I,"MDAW*"))</f>
        <v/>
      </c>
      <c r="F160" s="26">
        <f>IF(SUMIFS('BSE - SENSEX Index Options'!$M:$M,'BSE - SENSEX Index Options'!$C:$C,$A160,'BSE - SENSEX Index Options'!$B:$B,F$147,'BSE - SENSEX Index Options'!$I:$I,"Weekly*")+SUMIFS('BSE - SENSEX Index Options'!$M:$M,'BSE - SENSEX Index Options'!$C:$C,$A160,'BSE - SENSEX Index Options'!$B:$B,F$147,'BSE - SENSEX Index Options'!$I:$I,"MDAW*")+SUMIFS('BSE - Other Index Options'!$M:$M,'BSE - Other Index Options'!$C:$C,$A160,'BSE - Other Index Options'!$B:$B,F$147,'BSE - Other Index Options'!$I:$I,"Weekly*")+SUMIFS('BSE - Other Index Options'!$M:$M,'BSE - Other Index Options'!$C:$C,$A160,'BSE - Other Index Options'!$B:$B,F$147,'BSE - Other Index Options'!$I:$I,"MDAW*")=0,"",SUMIFS('BSE - SENSEX Index Options'!$M:$M,'BSE - SENSEX Index Options'!$C:$C,$A160,'BSE - SENSEX Index Options'!$B:$B,F$147,'BSE - SENSEX Index Options'!$I:$I,"Weekly*")+SUMIFS('BSE - SENSEX Index Options'!$M:$M,'BSE - SENSEX Index Options'!$C:$C,$A160,'BSE - SENSEX Index Options'!$B:$B,F$147,'BSE - SENSEX Index Options'!$I:$I,"MDAW*")+SUMIFS('BSE - Other Index Options'!$M:$M,'BSE - Other Index Options'!$C:$C,$A160,'BSE - Other Index Options'!$B:$B,F$147,'BSE - Other Index Options'!$I:$I,"Weekly*")+SUMIFS('BSE - Other Index Options'!$M:$M,'BSE - Other Index Options'!$C:$C,$A160,'BSE - Other Index Options'!$B:$B,F$147,'BSE - Other Index Options'!$I:$I,"MDAW*"))</f>
        <v/>
      </c>
      <c r="G160" s="26">
        <f>IF(SUMIFS('BSE - SENSEX Index Options'!$M:$M,'BSE - SENSEX Index Options'!$C:$C,$A160,'BSE - SENSEX Index Options'!$B:$B,G$147,'BSE - SENSEX Index Options'!$I:$I,"Weekly*")+SUMIFS('BSE - SENSEX Index Options'!$M:$M,'BSE - SENSEX Index Options'!$C:$C,$A160,'BSE - SENSEX Index Options'!$B:$B,G$147,'BSE - SENSEX Index Options'!$I:$I,"MDAW*")+SUMIFS('BSE - Other Index Options'!$M:$M,'BSE - Other Index Options'!$C:$C,$A160,'BSE - Other Index Options'!$B:$B,G$147,'BSE - Other Index Options'!$I:$I,"Weekly*")+SUMIFS('BSE - Other Index Options'!$M:$M,'BSE - Other Index Options'!$C:$C,$A160,'BSE - Other Index Options'!$B:$B,G$147,'BSE - Other Index Options'!$I:$I,"MDAW*")=0,"",SUMIFS('BSE - SENSEX Index Options'!$M:$M,'BSE - SENSEX Index Options'!$C:$C,$A160,'BSE - SENSEX Index Options'!$B:$B,G$147,'BSE - SENSEX Index Options'!$I:$I,"Weekly*")+SUMIFS('BSE - SENSEX Index Options'!$M:$M,'BSE - SENSEX Index Options'!$C:$C,$A160,'BSE - SENSEX Index Options'!$B:$B,G$147,'BSE - SENSEX Index Options'!$I:$I,"MDAW*")+SUMIFS('BSE - Other Index Options'!$M:$M,'BSE - Other Index Options'!$C:$C,$A160,'BSE - Other Index Options'!$B:$B,G$147,'BSE - Other Index Options'!$I:$I,"Weekly*")+SUMIFS('BSE - Other Index Options'!$M:$M,'BSE - Other Index Options'!$C:$C,$A160,'BSE - Other Index Options'!$B:$B,G$147,'BSE - Other Index Options'!$I:$I,"MDAW*"))</f>
        <v/>
      </c>
      <c r="H160" s="26">
        <f>IF(SUM(B160:G160)=0,"",SUM(B160:G160))</f>
        <v/>
      </c>
    </row>
    <row r="161">
      <c r="A161" t="inlineStr">
        <is>
          <t>Week4-Nov-2025</t>
        </is>
      </c>
      <c r="B161" s="26">
        <f>IF(SUMIFS('BSE - SENSEX Index Options'!$M:$M,'BSE - SENSEX Index Options'!$C:$C,$A161,'BSE - SENSEX Index Options'!$B:$B,B$147,'BSE - SENSEX Index Options'!$I:$I,"Weekly*")+SUMIFS('BSE - SENSEX Index Options'!$M:$M,'BSE - SENSEX Index Options'!$C:$C,$A161,'BSE - SENSEX Index Options'!$B:$B,B$147,'BSE - SENSEX Index Options'!$I:$I,"MDAW*")+SUMIFS('BSE - Other Index Options'!$M:$M,'BSE - Other Index Options'!$C:$C,$A161,'BSE - Other Index Options'!$B:$B,B$147,'BSE - Other Index Options'!$I:$I,"Weekly*")+SUMIFS('BSE - Other Index Options'!$M:$M,'BSE - Other Index Options'!$C:$C,$A161,'BSE - Other Index Options'!$B:$B,B$147,'BSE - Other Index Options'!$I:$I,"MDAW*")=0,"",SUMIFS('BSE - SENSEX Index Options'!$M:$M,'BSE - SENSEX Index Options'!$C:$C,$A161,'BSE - SENSEX Index Options'!$B:$B,B$147,'BSE - SENSEX Index Options'!$I:$I,"Weekly*")+SUMIFS('BSE - SENSEX Index Options'!$M:$M,'BSE - SENSEX Index Options'!$C:$C,$A161,'BSE - SENSEX Index Options'!$B:$B,B$147,'BSE - SENSEX Index Options'!$I:$I,"MDAW*")+SUMIFS('BSE - Other Index Options'!$M:$M,'BSE - Other Index Options'!$C:$C,$A161,'BSE - Other Index Options'!$B:$B,B$147,'BSE - Other Index Options'!$I:$I,"Weekly*")+SUMIFS('BSE - Other Index Options'!$M:$M,'BSE - Other Index Options'!$C:$C,$A161,'BSE - Other Index Options'!$B:$B,B$147,'BSE - Other Index Options'!$I:$I,"MDAW*"))</f>
        <v/>
      </c>
      <c r="C161" s="26">
        <f>IF(SUMIFS('BSE - SENSEX Index Options'!$M:$M,'BSE - SENSEX Index Options'!$C:$C,$A161,'BSE - SENSEX Index Options'!$B:$B,C$147,'BSE - SENSEX Index Options'!$I:$I,"Weekly*")+SUMIFS('BSE - SENSEX Index Options'!$M:$M,'BSE - SENSEX Index Options'!$C:$C,$A161,'BSE - SENSEX Index Options'!$B:$B,C$147,'BSE - SENSEX Index Options'!$I:$I,"MDAW*")+SUMIFS('BSE - Other Index Options'!$M:$M,'BSE - Other Index Options'!$C:$C,$A161,'BSE - Other Index Options'!$B:$B,C$147,'BSE - Other Index Options'!$I:$I,"Weekly*")+SUMIFS('BSE - Other Index Options'!$M:$M,'BSE - Other Index Options'!$C:$C,$A161,'BSE - Other Index Options'!$B:$B,C$147,'BSE - Other Index Options'!$I:$I,"MDAW*")=0,"",SUMIFS('BSE - SENSEX Index Options'!$M:$M,'BSE - SENSEX Index Options'!$C:$C,$A161,'BSE - SENSEX Index Options'!$B:$B,C$147,'BSE - SENSEX Index Options'!$I:$I,"Weekly*")+SUMIFS('BSE - SENSEX Index Options'!$M:$M,'BSE - SENSEX Index Options'!$C:$C,$A161,'BSE - SENSEX Index Options'!$B:$B,C$147,'BSE - SENSEX Index Options'!$I:$I,"MDAW*")+SUMIFS('BSE - Other Index Options'!$M:$M,'BSE - Other Index Options'!$C:$C,$A161,'BSE - Other Index Options'!$B:$B,C$147,'BSE - Other Index Options'!$I:$I,"Weekly*")+SUMIFS('BSE - Other Index Options'!$M:$M,'BSE - Other Index Options'!$C:$C,$A161,'BSE - Other Index Options'!$B:$B,C$147,'BSE - Other Index Options'!$I:$I,"MDAW*"))</f>
        <v/>
      </c>
      <c r="D161" s="26">
        <f>IF(SUMIFS('BSE - SENSEX Index Options'!$M:$M,'BSE - SENSEX Index Options'!$C:$C,$A161,'BSE - SENSEX Index Options'!$B:$B,D$147,'BSE - SENSEX Index Options'!$I:$I,"Weekly*")+SUMIFS('BSE - SENSEX Index Options'!$M:$M,'BSE - SENSEX Index Options'!$C:$C,$A161,'BSE - SENSEX Index Options'!$B:$B,D$147,'BSE - SENSEX Index Options'!$I:$I,"MDAW*")+SUMIFS('BSE - Other Index Options'!$M:$M,'BSE - Other Index Options'!$C:$C,$A161,'BSE - Other Index Options'!$B:$B,D$147,'BSE - Other Index Options'!$I:$I,"Weekly*")+SUMIFS('BSE - Other Index Options'!$M:$M,'BSE - Other Index Options'!$C:$C,$A161,'BSE - Other Index Options'!$B:$B,D$147,'BSE - Other Index Options'!$I:$I,"MDAW*")=0,"",SUMIFS('BSE - SENSEX Index Options'!$M:$M,'BSE - SENSEX Index Options'!$C:$C,$A161,'BSE - SENSEX Index Options'!$B:$B,D$147,'BSE - SENSEX Index Options'!$I:$I,"Weekly*")+SUMIFS('BSE - SENSEX Index Options'!$M:$M,'BSE - SENSEX Index Options'!$C:$C,$A161,'BSE - SENSEX Index Options'!$B:$B,D$147,'BSE - SENSEX Index Options'!$I:$I,"MDAW*")+SUMIFS('BSE - Other Index Options'!$M:$M,'BSE - Other Index Options'!$C:$C,$A161,'BSE - Other Index Options'!$B:$B,D$147,'BSE - Other Index Options'!$I:$I,"Weekly*")+SUMIFS('BSE - Other Index Options'!$M:$M,'BSE - Other Index Options'!$C:$C,$A161,'BSE - Other Index Options'!$B:$B,D$147,'BSE - Other Index Options'!$I:$I,"MDAW*"))</f>
        <v/>
      </c>
      <c r="E161" s="26">
        <f>IF(SUMIFS('BSE - SENSEX Index Options'!$M:$M,'BSE - SENSEX Index Options'!$C:$C,$A161,'BSE - SENSEX Index Options'!$B:$B,E$147,'BSE - SENSEX Index Options'!$I:$I,"Weekly*")+SUMIFS('BSE - SENSEX Index Options'!$M:$M,'BSE - SENSEX Index Options'!$C:$C,$A161,'BSE - SENSEX Index Options'!$B:$B,E$147,'BSE - SENSEX Index Options'!$I:$I,"MDAW*")+SUMIFS('BSE - Other Index Options'!$M:$M,'BSE - Other Index Options'!$C:$C,$A161,'BSE - Other Index Options'!$B:$B,E$147,'BSE - Other Index Options'!$I:$I,"Weekly*")+SUMIFS('BSE - Other Index Options'!$M:$M,'BSE - Other Index Options'!$C:$C,$A161,'BSE - Other Index Options'!$B:$B,E$147,'BSE - Other Index Options'!$I:$I,"MDAW*")=0,"",SUMIFS('BSE - SENSEX Index Options'!$M:$M,'BSE - SENSEX Index Options'!$C:$C,$A161,'BSE - SENSEX Index Options'!$B:$B,E$147,'BSE - SENSEX Index Options'!$I:$I,"Weekly*")+SUMIFS('BSE - SENSEX Index Options'!$M:$M,'BSE - SENSEX Index Options'!$C:$C,$A161,'BSE - SENSEX Index Options'!$B:$B,E$147,'BSE - SENSEX Index Options'!$I:$I,"MDAW*")+SUMIFS('BSE - Other Index Options'!$M:$M,'BSE - Other Index Options'!$C:$C,$A161,'BSE - Other Index Options'!$B:$B,E$147,'BSE - Other Index Options'!$I:$I,"Weekly*")+SUMIFS('BSE - Other Index Options'!$M:$M,'BSE - Other Index Options'!$C:$C,$A161,'BSE - Other Index Options'!$B:$B,E$147,'BSE - Other Index Options'!$I:$I,"MDAW*"))</f>
        <v/>
      </c>
      <c r="F161" s="26">
        <f>IF(SUMIFS('BSE - SENSEX Index Options'!$M:$M,'BSE - SENSEX Index Options'!$C:$C,$A161,'BSE - SENSEX Index Options'!$B:$B,F$147,'BSE - SENSEX Index Options'!$I:$I,"Weekly*")+SUMIFS('BSE - SENSEX Index Options'!$M:$M,'BSE - SENSEX Index Options'!$C:$C,$A161,'BSE - SENSEX Index Options'!$B:$B,F$147,'BSE - SENSEX Index Options'!$I:$I,"MDAW*")+SUMIFS('BSE - Other Index Options'!$M:$M,'BSE - Other Index Options'!$C:$C,$A161,'BSE - Other Index Options'!$B:$B,F$147,'BSE - Other Index Options'!$I:$I,"Weekly*")+SUMIFS('BSE - Other Index Options'!$M:$M,'BSE - Other Index Options'!$C:$C,$A161,'BSE - Other Index Options'!$B:$B,F$147,'BSE - Other Index Options'!$I:$I,"MDAW*")=0,"",SUMIFS('BSE - SENSEX Index Options'!$M:$M,'BSE - SENSEX Index Options'!$C:$C,$A161,'BSE - SENSEX Index Options'!$B:$B,F$147,'BSE - SENSEX Index Options'!$I:$I,"Weekly*")+SUMIFS('BSE - SENSEX Index Options'!$M:$M,'BSE - SENSEX Index Options'!$C:$C,$A161,'BSE - SENSEX Index Options'!$B:$B,F$147,'BSE - SENSEX Index Options'!$I:$I,"MDAW*")+SUMIFS('BSE - Other Index Options'!$M:$M,'BSE - Other Index Options'!$C:$C,$A161,'BSE - Other Index Options'!$B:$B,F$147,'BSE - Other Index Options'!$I:$I,"Weekly*")+SUMIFS('BSE - Other Index Options'!$M:$M,'BSE - Other Index Options'!$C:$C,$A161,'BSE - Other Index Options'!$B:$B,F$147,'BSE - Other Index Options'!$I:$I,"MDAW*"))</f>
        <v/>
      </c>
      <c r="G161" s="26">
        <f>IF(SUMIFS('BSE - SENSEX Index Options'!$M:$M,'BSE - SENSEX Index Options'!$C:$C,$A161,'BSE - SENSEX Index Options'!$B:$B,G$147,'BSE - SENSEX Index Options'!$I:$I,"Weekly*")+SUMIFS('BSE - SENSEX Index Options'!$M:$M,'BSE - SENSEX Index Options'!$C:$C,$A161,'BSE - SENSEX Index Options'!$B:$B,G$147,'BSE - SENSEX Index Options'!$I:$I,"MDAW*")+SUMIFS('BSE - Other Index Options'!$M:$M,'BSE - Other Index Options'!$C:$C,$A161,'BSE - Other Index Options'!$B:$B,G$147,'BSE - Other Index Options'!$I:$I,"Weekly*")+SUMIFS('BSE - Other Index Options'!$M:$M,'BSE - Other Index Options'!$C:$C,$A161,'BSE - Other Index Options'!$B:$B,G$147,'BSE - Other Index Options'!$I:$I,"MDAW*")=0,"",SUMIFS('BSE - SENSEX Index Options'!$M:$M,'BSE - SENSEX Index Options'!$C:$C,$A161,'BSE - SENSEX Index Options'!$B:$B,G$147,'BSE - SENSEX Index Options'!$I:$I,"Weekly*")+SUMIFS('BSE - SENSEX Index Options'!$M:$M,'BSE - SENSEX Index Options'!$C:$C,$A161,'BSE - SENSEX Index Options'!$B:$B,G$147,'BSE - SENSEX Index Options'!$I:$I,"MDAW*")+SUMIFS('BSE - Other Index Options'!$M:$M,'BSE - Other Index Options'!$C:$C,$A161,'BSE - Other Index Options'!$B:$B,G$147,'BSE - Other Index Options'!$I:$I,"Weekly*")+SUMIFS('BSE - Other Index Options'!$M:$M,'BSE - Other Index Options'!$C:$C,$A161,'BSE - Other Index Options'!$B:$B,G$147,'BSE - Other Index Options'!$I:$I,"MDAW*"))</f>
        <v/>
      </c>
      <c r="H161" s="26">
        <f>IF(SUM(B161:G161)=0,"",SUM(B161:G161))</f>
        <v/>
      </c>
    </row>
    <row r="162">
      <c r="A162" t="inlineStr">
        <is>
          <t>Week5-Nov-2025</t>
        </is>
      </c>
      <c r="B162" s="26">
        <f>IF(SUMIFS('BSE - SENSEX Index Options'!$M:$M,'BSE - SENSEX Index Options'!$C:$C,$A162,'BSE - SENSEX Index Options'!$B:$B,B$147,'BSE - SENSEX Index Options'!$I:$I,"Weekly*")+SUMIFS('BSE - SENSEX Index Options'!$M:$M,'BSE - SENSEX Index Options'!$C:$C,$A162,'BSE - SENSEX Index Options'!$B:$B,B$147,'BSE - SENSEX Index Options'!$I:$I,"MDAW*")+SUMIFS('BSE - Other Index Options'!$M:$M,'BSE - Other Index Options'!$C:$C,$A162,'BSE - Other Index Options'!$B:$B,B$147,'BSE - Other Index Options'!$I:$I,"Weekly*")+SUMIFS('BSE - Other Index Options'!$M:$M,'BSE - Other Index Options'!$C:$C,$A162,'BSE - Other Index Options'!$B:$B,B$147,'BSE - Other Index Options'!$I:$I,"MDAW*")=0,"",SUMIFS('BSE - SENSEX Index Options'!$M:$M,'BSE - SENSEX Index Options'!$C:$C,$A162,'BSE - SENSEX Index Options'!$B:$B,B$147,'BSE - SENSEX Index Options'!$I:$I,"Weekly*")+SUMIFS('BSE - SENSEX Index Options'!$M:$M,'BSE - SENSEX Index Options'!$C:$C,$A162,'BSE - SENSEX Index Options'!$B:$B,B$147,'BSE - SENSEX Index Options'!$I:$I,"MDAW*")+SUMIFS('BSE - Other Index Options'!$M:$M,'BSE - Other Index Options'!$C:$C,$A162,'BSE - Other Index Options'!$B:$B,B$147,'BSE - Other Index Options'!$I:$I,"Weekly*")+SUMIFS('BSE - Other Index Options'!$M:$M,'BSE - Other Index Options'!$C:$C,$A162,'BSE - Other Index Options'!$B:$B,B$147,'BSE - Other Index Options'!$I:$I,"MDAW*"))</f>
        <v/>
      </c>
      <c r="C162" s="26">
        <f>IF(SUMIFS('BSE - SENSEX Index Options'!$M:$M,'BSE - SENSEX Index Options'!$C:$C,$A162,'BSE - SENSEX Index Options'!$B:$B,C$147,'BSE - SENSEX Index Options'!$I:$I,"Weekly*")+SUMIFS('BSE - SENSEX Index Options'!$M:$M,'BSE - SENSEX Index Options'!$C:$C,$A162,'BSE - SENSEX Index Options'!$B:$B,C$147,'BSE - SENSEX Index Options'!$I:$I,"MDAW*")+SUMIFS('BSE - Other Index Options'!$M:$M,'BSE - Other Index Options'!$C:$C,$A162,'BSE - Other Index Options'!$B:$B,C$147,'BSE - Other Index Options'!$I:$I,"Weekly*")+SUMIFS('BSE - Other Index Options'!$M:$M,'BSE - Other Index Options'!$C:$C,$A162,'BSE - Other Index Options'!$B:$B,C$147,'BSE - Other Index Options'!$I:$I,"MDAW*")=0,"",SUMIFS('BSE - SENSEX Index Options'!$M:$M,'BSE - SENSEX Index Options'!$C:$C,$A162,'BSE - SENSEX Index Options'!$B:$B,C$147,'BSE - SENSEX Index Options'!$I:$I,"Weekly*")+SUMIFS('BSE - SENSEX Index Options'!$M:$M,'BSE - SENSEX Index Options'!$C:$C,$A162,'BSE - SENSEX Index Options'!$B:$B,C$147,'BSE - SENSEX Index Options'!$I:$I,"MDAW*")+SUMIFS('BSE - Other Index Options'!$M:$M,'BSE - Other Index Options'!$C:$C,$A162,'BSE - Other Index Options'!$B:$B,C$147,'BSE - Other Index Options'!$I:$I,"Weekly*")+SUMIFS('BSE - Other Index Options'!$M:$M,'BSE - Other Index Options'!$C:$C,$A162,'BSE - Other Index Options'!$B:$B,C$147,'BSE - Other Index Options'!$I:$I,"MDAW*"))</f>
        <v/>
      </c>
      <c r="D162" s="26">
        <f>IF(SUMIFS('BSE - SENSEX Index Options'!$M:$M,'BSE - SENSEX Index Options'!$C:$C,$A162,'BSE - SENSEX Index Options'!$B:$B,D$147,'BSE - SENSEX Index Options'!$I:$I,"Weekly*")+SUMIFS('BSE - SENSEX Index Options'!$M:$M,'BSE - SENSEX Index Options'!$C:$C,$A162,'BSE - SENSEX Index Options'!$B:$B,D$147,'BSE - SENSEX Index Options'!$I:$I,"MDAW*")+SUMIFS('BSE - Other Index Options'!$M:$M,'BSE - Other Index Options'!$C:$C,$A162,'BSE - Other Index Options'!$B:$B,D$147,'BSE - Other Index Options'!$I:$I,"Weekly*")+SUMIFS('BSE - Other Index Options'!$M:$M,'BSE - Other Index Options'!$C:$C,$A162,'BSE - Other Index Options'!$B:$B,D$147,'BSE - Other Index Options'!$I:$I,"MDAW*")=0,"",SUMIFS('BSE - SENSEX Index Options'!$M:$M,'BSE - SENSEX Index Options'!$C:$C,$A162,'BSE - SENSEX Index Options'!$B:$B,D$147,'BSE - SENSEX Index Options'!$I:$I,"Weekly*")+SUMIFS('BSE - SENSEX Index Options'!$M:$M,'BSE - SENSEX Index Options'!$C:$C,$A162,'BSE - SENSEX Index Options'!$B:$B,D$147,'BSE - SENSEX Index Options'!$I:$I,"MDAW*")+SUMIFS('BSE - Other Index Options'!$M:$M,'BSE - Other Index Options'!$C:$C,$A162,'BSE - Other Index Options'!$B:$B,D$147,'BSE - Other Index Options'!$I:$I,"Weekly*")+SUMIFS('BSE - Other Index Options'!$M:$M,'BSE - Other Index Options'!$C:$C,$A162,'BSE - Other Index Options'!$B:$B,D$147,'BSE - Other Index Options'!$I:$I,"MDAW*"))</f>
        <v/>
      </c>
      <c r="E162" s="26">
        <f>IF(SUMIFS('BSE - SENSEX Index Options'!$M:$M,'BSE - SENSEX Index Options'!$C:$C,$A162,'BSE - SENSEX Index Options'!$B:$B,E$147,'BSE - SENSEX Index Options'!$I:$I,"Weekly*")+SUMIFS('BSE - SENSEX Index Options'!$M:$M,'BSE - SENSEX Index Options'!$C:$C,$A162,'BSE - SENSEX Index Options'!$B:$B,E$147,'BSE - SENSEX Index Options'!$I:$I,"MDAW*")+SUMIFS('BSE - Other Index Options'!$M:$M,'BSE - Other Index Options'!$C:$C,$A162,'BSE - Other Index Options'!$B:$B,E$147,'BSE - Other Index Options'!$I:$I,"Weekly*")+SUMIFS('BSE - Other Index Options'!$M:$M,'BSE - Other Index Options'!$C:$C,$A162,'BSE - Other Index Options'!$B:$B,E$147,'BSE - Other Index Options'!$I:$I,"MDAW*")=0,"",SUMIFS('BSE - SENSEX Index Options'!$M:$M,'BSE - SENSEX Index Options'!$C:$C,$A162,'BSE - SENSEX Index Options'!$B:$B,E$147,'BSE - SENSEX Index Options'!$I:$I,"Weekly*")+SUMIFS('BSE - SENSEX Index Options'!$M:$M,'BSE - SENSEX Index Options'!$C:$C,$A162,'BSE - SENSEX Index Options'!$B:$B,E$147,'BSE - SENSEX Index Options'!$I:$I,"MDAW*")+SUMIFS('BSE - Other Index Options'!$M:$M,'BSE - Other Index Options'!$C:$C,$A162,'BSE - Other Index Options'!$B:$B,E$147,'BSE - Other Index Options'!$I:$I,"Weekly*")+SUMIFS('BSE - Other Index Options'!$M:$M,'BSE - Other Index Options'!$C:$C,$A162,'BSE - Other Index Options'!$B:$B,E$147,'BSE - Other Index Options'!$I:$I,"MDAW*"))</f>
        <v/>
      </c>
      <c r="F162" s="26">
        <f>IF(SUMIFS('BSE - SENSEX Index Options'!$M:$M,'BSE - SENSEX Index Options'!$C:$C,$A162,'BSE - SENSEX Index Options'!$B:$B,F$147,'BSE - SENSEX Index Options'!$I:$I,"Weekly*")+SUMIFS('BSE - SENSEX Index Options'!$M:$M,'BSE - SENSEX Index Options'!$C:$C,$A162,'BSE - SENSEX Index Options'!$B:$B,F$147,'BSE - SENSEX Index Options'!$I:$I,"MDAW*")+SUMIFS('BSE - Other Index Options'!$M:$M,'BSE - Other Index Options'!$C:$C,$A162,'BSE - Other Index Options'!$B:$B,F$147,'BSE - Other Index Options'!$I:$I,"Weekly*")+SUMIFS('BSE - Other Index Options'!$M:$M,'BSE - Other Index Options'!$C:$C,$A162,'BSE - Other Index Options'!$B:$B,F$147,'BSE - Other Index Options'!$I:$I,"MDAW*")=0,"",SUMIFS('BSE - SENSEX Index Options'!$M:$M,'BSE - SENSEX Index Options'!$C:$C,$A162,'BSE - SENSEX Index Options'!$B:$B,F$147,'BSE - SENSEX Index Options'!$I:$I,"Weekly*")+SUMIFS('BSE - SENSEX Index Options'!$M:$M,'BSE - SENSEX Index Options'!$C:$C,$A162,'BSE - SENSEX Index Options'!$B:$B,F$147,'BSE - SENSEX Index Options'!$I:$I,"MDAW*")+SUMIFS('BSE - Other Index Options'!$M:$M,'BSE - Other Index Options'!$C:$C,$A162,'BSE - Other Index Options'!$B:$B,F$147,'BSE - Other Index Options'!$I:$I,"Weekly*")+SUMIFS('BSE - Other Index Options'!$M:$M,'BSE - Other Index Options'!$C:$C,$A162,'BSE - Other Index Options'!$B:$B,F$147,'BSE - Other Index Options'!$I:$I,"MDAW*"))</f>
        <v/>
      </c>
      <c r="G162" s="26">
        <f>IF(SUMIFS('BSE - SENSEX Index Options'!$M:$M,'BSE - SENSEX Index Options'!$C:$C,$A162,'BSE - SENSEX Index Options'!$B:$B,G$147,'BSE - SENSEX Index Options'!$I:$I,"Weekly*")+SUMIFS('BSE - SENSEX Index Options'!$M:$M,'BSE - SENSEX Index Options'!$C:$C,$A162,'BSE - SENSEX Index Options'!$B:$B,G$147,'BSE - SENSEX Index Options'!$I:$I,"MDAW*")+SUMIFS('BSE - Other Index Options'!$M:$M,'BSE - Other Index Options'!$C:$C,$A162,'BSE - Other Index Options'!$B:$B,G$147,'BSE - Other Index Options'!$I:$I,"Weekly*")+SUMIFS('BSE - Other Index Options'!$M:$M,'BSE - Other Index Options'!$C:$C,$A162,'BSE - Other Index Options'!$B:$B,G$147,'BSE - Other Index Options'!$I:$I,"MDAW*")=0,"",SUMIFS('BSE - SENSEX Index Options'!$M:$M,'BSE - SENSEX Index Options'!$C:$C,$A162,'BSE - SENSEX Index Options'!$B:$B,G$147,'BSE - SENSEX Index Options'!$I:$I,"Weekly*")+SUMIFS('BSE - SENSEX Index Options'!$M:$M,'BSE - SENSEX Index Options'!$C:$C,$A162,'BSE - SENSEX Index Options'!$B:$B,G$147,'BSE - SENSEX Index Options'!$I:$I,"MDAW*")+SUMIFS('BSE - Other Index Options'!$M:$M,'BSE - Other Index Options'!$C:$C,$A162,'BSE - Other Index Options'!$B:$B,G$147,'BSE - Other Index Options'!$I:$I,"Weekly*")+SUMIFS('BSE - Other Index Options'!$M:$M,'BSE - Other Index Options'!$C:$C,$A162,'BSE - Other Index Options'!$B:$B,G$147,'BSE - Other Index Options'!$I:$I,"MDAW*"))</f>
        <v/>
      </c>
      <c r="H162" s="26">
        <f>IF(SUM(B162:G162)=0,"",SUM(B162:G162))</f>
        <v/>
      </c>
    </row>
    <row r="163">
      <c r="A163" t="inlineStr">
        <is>
          <t>Week1-Dec-2025</t>
        </is>
      </c>
      <c r="B163" s="26">
        <f>IF(SUMIFS('BSE - SENSEX Index Options'!$M:$M,'BSE - SENSEX Index Options'!$C:$C,$A163,'BSE - SENSEX Index Options'!$B:$B,B$147,'BSE - SENSEX Index Options'!$I:$I,"Weekly*")+SUMIFS('BSE - SENSEX Index Options'!$M:$M,'BSE - SENSEX Index Options'!$C:$C,$A163,'BSE - SENSEX Index Options'!$B:$B,B$147,'BSE - SENSEX Index Options'!$I:$I,"MDAW*")+SUMIFS('BSE - Other Index Options'!$M:$M,'BSE - Other Index Options'!$C:$C,$A163,'BSE - Other Index Options'!$B:$B,B$147,'BSE - Other Index Options'!$I:$I,"Weekly*")+SUMIFS('BSE - Other Index Options'!$M:$M,'BSE - Other Index Options'!$C:$C,$A163,'BSE - Other Index Options'!$B:$B,B$147,'BSE - Other Index Options'!$I:$I,"MDAW*")=0,"",SUMIFS('BSE - SENSEX Index Options'!$M:$M,'BSE - SENSEX Index Options'!$C:$C,$A163,'BSE - SENSEX Index Options'!$B:$B,B$147,'BSE - SENSEX Index Options'!$I:$I,"Weekly*")+SUMIFS('BSE - SENSEX Index Options'!$M:$M,'BSE - SENSEX Index Options'!$C:$C,$A163,'BSE - SENSEX Index Options'!$B:$B,B$147,'BSE - SENSEX Index Options'!$I:$I,"MDAW*")+SUMIFS('BSE - Other Index Options'!$M:$M,'BSE - Other Index Options'!$C:$C,$A163,'BSE - Other Index Options'!$B:$B,B$147,'BSE - Other Index Options'!$I:$I,"Weekly*")+SUMIFS('BSE - Other Index Options'!$M:$M,'BSE - Other Index Options'!$C:$C,$A163,'BSE - Other Index Options'!$B:$B,B$147,'BSE - Other Index Options'!$I:$I,"MDAW*"))</f>
        <v/>
      </c>
      <c r="C163" s="26">
        <f>IF(SUMIFS('BSE - SENSEX Index Options'!$M:$M,'BSE - SENSEX Index Options'!$C:$C,$A163,'BSE - SENSEX Index Options'!$B:$B,C$147,'BSE - SENSEX Index Options'!$I:$I,"Weekly*")+SUMIFS('BSE - SENSEX Index Options'!$M:$M,'BSE - SENSEX Index Options'!$C:$C,$A163,'BSE - SENSEX Index Options'!$B:$B,C$147,'BSE - SENSEX Index Options'!$I:$I,"MDAW*")+SUMIFS('BSE - Other Index Options'!$M:$M,'BSE - Other Index Options'!$C:$C,$A163,'BSE - Other Index Options'!$B:$B,C$147,'BSE - Other Index Options'!$I:$I,"Weekly*")+SUMIFS('BSE - Other Index Options'!$M:$M,'BSE - Other Index Options'!$C:$C,$A163,'BSE - Other Index Options'!$B:$B,C$147,'BSE - Other Index Options'!$I:$I,"MDAW*")=0,"",SUMIFS('BSE - SENSEX Index Options'!$M:$M,'BSE - SENSEX Index Options'!$C:$C,$A163,'BSE - SENSEX Index Options'!$B:$B,C$147,'BSE - SENSEX Index Options'!$I:$I,"Weekly*")+SUMIFS('BSE - SENSEX Index Options'!$M:$M,'BSE - SENSEX Index Options'!$C:$C,$A163,'BSE - SENSEX Index Options'!$B:$B,C$147,'BSE - SENSEX Index Options'!$I:$I,"MDAW*")+SUMIFS('BSE - Other Index Options'!$M:$M,'BSE - Other Index Options'!$C:$C,$A163,'BSE - Other Index Options'!$B:$B,C$147,'BSE - Other Index Options'!$I:$I,"Weekly*")+SUMIFS('BSE - Other Index Options'!$M:$M,'BSE - Other Index Options'!$C:$C,$A163,'BSE - Other Index Options'!$B:$B,C$147,'BSE - Other Index Options'!$I:$I,"MDAW*"))</f>
        <v/>
      </c>
      <c r="D163" s="26">
        <f>IF(SUMIFS('BSE - SENSEX Index Options'!$M:$M,'BSE - SENSEX Index Options'!$C:$C,$A163,'BSE - SENSEX Index Options'!$B:$B,D$147,'BSE - SENSEX Index Options'!$I:$I,"Weekly*")+SUMIFS('BSE - SENSEX Index Options'!$M:$M,'BSE - SENSEX Index Options'!$C:$C,$A163,'BSE - SENSEX Index Options'!$B:$B,D$147,'BSE - SENSEX Index Options'!$I:$I,"MDAW*")+SUMIFS('BSE - Other Index Options'!$M:$M,'BSE - Other Index Options'!$C:$C,$A163,'BSE - Other Index Options'!$B:$B,D$147,'BSE - Other Index Options'!$I:$I,"Weekly*")+SUMIFS('BSE - Other Index Options'!$M:$M,'BSE - Other Index Options'!$C:$C,$A163,'BSE - Other Index Options'!$B:$B,D$147,'BSE - Other Index Options'!$I:$I,"MDAW*")=0,"",SUMIFS('BSE - SENSEX Index Options'!$M:$M,'BSE - SENSEX Index Options'!$C:$C,$A163,'BSE - SENSEX Index Options'!$B:$B,D$147,'BSE - SENSEX Index Options'!$I:$I,"Weekly*")+SUMIFS('BSE - SENSEX Index Options'!$M:$M,'BSE - SENSEX Index Options'!$C:$C,$A163,'BSE - SENSEX Index Options'!$B:$B,D$147,'BSE - SENSEX Index Options'!$I:$I,"MDAW*")+SUMIFS('BSE - Other Index Options'!$M:$M,'BSE - Other Index Options'!$C:$C,$A163,'BSE - Other Index Options'!$B:$B,D$147,'BSE - Other Index Options'!$I:$I,"Weekly*")+SUMIFS('BSE - Other Index Options'!$M:$M,'BSE - Other Index Options'!$C:$C,$A163,'BSE - Other Index Options'!$B:$B,D$147,'BSE - Other Index Options'!$I:$I,"MDAW*"))</f>
        <v/>
      </c>
      <c r="E163" s="26">
        <f>IF(SUMIFS('BSE - SENSEX Index Options'!$M:$M,'BSE - SENSEX Index Options'!$C:$C,$A163,'BSE - SENSEX Index Options'!$B:$B,E$147,'BSE - SENSEX Index Options'!$I:$I,"Weekly*")+SUMIFS('BSE - SENSEX Index Options'!$M:$M,'BSE - SENSEX Index Options'!$C:$C,$A163,'BSE - SENSEX Index Options'!$B:$B,E$147,'BSE - SENSEX Index Options'!$I:$I,"MDAW*")+SUMIFS('BSE - Other Index Options'!$M:$M,'BSE - Other Index Options'!$C:$C,$A163,'BSE - Other Index Options'!$B:$B,E$147,'BSE - Other Index Options'!$I:$I,"Weekly*")+SUMIFS('BSE - Other Index Options'!$M:$M,'BSE - Other Index Options'!$C:$C,$A163,'BSE - Other Index Options'!$B:$B,E$147,'BSE - Other Index Options'!$I:$I,"MDAW*")=0,"",SUMIFS('BSE - SENSEX Index Options'!$M:$M,'BSE - SENSEX Index Options'!$C:$C,$A163,'BSE - SENSEX Index Options'!$B:$B,E$147,'BSE - SENSEX Index Options'!$I:$I,"Weekly*")+SUMIFS('BSE - SENSEX Index Options'!$M:$M,'BSE - SENSEX Index Options'!$C:$C,$A163,'BSE - SENSEX Index Options'!$B:$B,E$147,'BSE - SENSEX Index Options'!$I:$I,"MDAW*")+SUMIFS('BSE - Other Index Options'!$M:$M,'BSE - Other Index Options'!$C:$C,$A163,'BSE - Other Index Options'!$B:$B,E$147,'BSE - Other Index Options'!$I:$I,"Weekly*")+SUMIFS('BSE - Other Index Options'!$M:$M,'BSE - Other Index Options'!$C:$C,$A163,'BSE - Other Index Options'!$B:$B,E$147,'BSE - Other Index Options'!$I:$I,"MDAW*"))</f>
        <v/>
      </c>
      <c r="F163" s="26">
        <f>IF(SUMIFS('BSE - SENSEX Index Options'!$M:$M,'BSE - SENSEX Index Options'!$C:$C,$A163,'BSE - SENSEX Index Options'!$B:$B,F$147,'BSE - SENSEX Index Options'!$I:$I,"Weekly*")+SUMIFS('BSE - SENSEX Index Options'!$M:$M,'BSE - SENSEX Index Options'!$C:$C,$A163,'BSE - SENSEX Index Options'!$B:$B,F$147,'BSE - SENSEX Index Options'!$I:$I,"MDAW*")+SUMIFS('BSE - Other Index Options'!$M:$M,'BSE - Other Index Options'!$C:$C,$A163,'BSE - Other Index Options'!$B:$B,F$147,'BSE - Other Index Options'!$I:$I,"Weekly*")+SUMIFS('BSE - Other Index Options'!$M:$M,'BSE - Other Index Options'!$C:$C,$A163,'BSE - Other Index Options'!$B:$B,F$147,'BSE - Other Index Options'!$I:$I,"MDAW*")=0,"",SUMIFS('BSE - SENSEX Index Options'!$M:$M,'BSE - SENSEX Index Options'!$C:$C,$A163,'BSE - SENSEX Index Options'!$B:$B,F$147,'BSE - SENSEX Index Options'!$I:$I,"Weekly*")+SUMIFS('BSE - SENSEX Index Options'!$M:$M,'BSE - SENSEX Index Options'!$C:$C,$A163,'BSE - SENSEX Index Options'!$B:$B,F$147,'BSE - SENSEX Index Options'!$I:$I,"MDAW*")+SUMIFS('BSE - Other Index Options'!$M:$M,'BSE - Other Index Options'!$C:$C,$A163,'BSE - Other Index Options'!$B:$B,F$147,'BSE - Other Index Options'!$I:$I,"Weekly*")+SUMIFS('BSE - Other Index Options'!$M:$M,'BSE - Other Index Options'!$C:$C,$A163,'BSE - Other Index Options'!$B:$B,F$147,'BSE - Other Index Options'!$I:$I,"MDAW*"))</f>
        <v/>
      </c>
      <c r="G163" s="26">
        <f>IF(SUMIFS('BSE - SENSEX Index Options'!$M:$M,'BSE - SENSEX Index Options'!$C:$C,$A163,'BSE - SENSEX Index Options'!$B:$B,G$147,'BSE - SENSEX Index Options'!$I:$I,"Weekly*")+SUMIFS('BSE - SENSEX Index Options'!$M:$M,'BSE - SENSEX Index Options'!$C:$C,$A163,'BSE - SENSEX Index Options'!$B:$B,G$147,'BSE - SENSEX Index Options'!$I:$I,"MDAW*")+SUMIFS('BSE - Other Index Options'!$M:$M,'BSE - Other Index Options'!$C:$C,$A163,'BSE - Other Index Options'!$B:$B,G$147,'BSE - Other Index Options'!$I:$I,"Weekly*")+SUMIFS('BSE - Other Index Options'!$M:$M,'BSE - Other Index Options'!$C:$C,$A163,'BSE - Other Index Options'!$B:$B,G$147,'BSE - Other Index Options'!$I:$I,"MDAW*")=0,"",SUMIFS('BSE - SENSEX Index Options'!$M:$M,'BSE - SENSEX Index Options'!$C:$C,$A163,'BSE - SENSEX Index Options'!$B:$B,G$147,'BSE - SENSEX Index Options'!$I:$I,"Weekly*")+SUMIFS('BSE - SENSEX Index Options'!$M:$M,'BSE - SENSEX Index Options'!$C:$C,$A163,'BSE - SENSEX Index Options'!$B:$B,G$147,'BSE - SENSEX Index Options'!$I:$I,"MDAW*")+SUMIFS('BSE - Other Index Options'!$M:$M,'BSE - Other Index Options'!$C:$C,$A163,'BSE - Other Index Options'!$B:$B,G$147,'BSE - Other Index Options'!$I:$I,"Weekly*")+SUMIFS('BSE - Other Index Options'!$M:$M,'BSE - Other Index Options'!$C:$C,$A163,'BSE - Other Index Options'!$B:$B,G$147,'BSE - Other Index Options'!$I:$I,"MDAW*"))</f>
        <v/>
      </c>
      <c r="H163" s="26">
        <f>IF(SUM(B163:G163)=0,"",SUM(B163:G163))</f>
        <v/>
      </c>
    </row>
    <row r="164">
      <c r="A164" t="inlineStr">
        <is>
          <t>Week2-Dec-2025</t>
        </is>
      </c>
      <c r="B164" s="26">
        <f>IF(SUMIFS('BSE - SENSEX Index Options'!$M:$M,'BSE - SENSEX Index Options'!$C:$C,$A164,'BSE - SENSEX Index Options'!$B:$B,B$147,'BSE - SENSEX Index Options'!$I:$I,"Weekly*")+SUMIFS('BSE - SENSEX Index Options'!$M:$M,'BSE - SENSEX Index Options'!$C:$C,$A164,'BSE - SENSEX Index Options'!$B:$B,B$147,'BSE - SENSEX Index Options'!$I:$I,"MDAW*")+SUMIFS('BSE - Other Index Options'!$M:$M,'BSE - Other Index Options'!$C:$C,$A164,'BSE - Other Index Options'!$B:$B,B$147,'BSE - Other Index Options'!$I:$I,"Weekly*")+SUMIFS('BSE - Other Index Options'!$M:$M,'BSE - Other Index Options'!$C:$C,$A164,'BSE - Other Index Options'!$B:$B,B$147,'BSE - Other Index Options'!$I:$I,"MDAW*")=0,"",SUMIFS('BSE - SENSEX Index Options'!$M:$M,'BSE - SENSEX Index Options'!$C:$C,$A164,'BSE - SENSEX Index Options'!$B:$B,B$147,'BSE - SENSEX Index Options'!$I:$I,"Weekly*")+SUMIFS('BSE - SENSEX Index Options'!$M:$M,'BSE - SENSEX Index Options'!$C:$C,$A164,'BSE - SENSEX Index Options'!$B:$B,B$147,'BSE - SENSEX Index Options'!$I:$I,"MDAW*")+SUMIFS('BSE - Other Index Options'!$M:$M,'BSE - Other Index Options'!$C:$C,$A164,'BSE - Other Index Options'!$B:$B,B$147,'BSE - Other Index Options'!$I:$I,"Weekly*")+SUMIFS('BSE - Other Index Options'!$M:$M,'BSE - Other Index Options'!$C:$C,$A164,'BSE - Other Index Options'!$B:$B,B$147,'BSE - Other Index Options'!$I:$I,"MDAW*"))</f>
        <v/>
      </c>
      <c r="C164" s="26">
        <f>IF(SUMIFS('BSE - SENSEX Index Options'!$M:$M,'BSE - SENSEX Index Options'!$C:$C,$A164,'BSE - SENSEX Index Options'!$B:$B,C$147,'BSE - SENSEX Index Options'!$I:$I,"Weekly*")+SUMIFS('BSE - SENSEX Index Options'!$M:$M,'BSE - SENSEX Index Options'!$C:$C,$A164,'BSE - SENSEX Index Options'!$B:$B,C$147,'BSE - SENSEX Index Options'!$I:$I,"MDAW*")+SUMIFS('BSE - Other Index Options'!$M:$M,'BSE - Other Index Options'!$C:$C,$A164,'BSE - Other Index Options'!$B:$B,C$147,'BSE - Other Index Options'!$I:$I,"Weekly*")+SUMIFS('BSE - Other Index Options'!$M:$M,'BSE - Other Index Options'!$C:$C,$A164,'BSE - Other Index Options'!$B:$B,C$147,'BSE - Other Index Options'!$I:$I,"MDAW*")=0,"",SUMIFS('BSE - SENSEX Index Options'!$M:$M,'BSE - SENSEX Index Options'!$C:$C,$A164,'BSE - SENSEX Index Options'!$B:$B,C$147,'BSE - SENSEX Index Options'!$I:$I,"Weekly*")+SUMIFS('BSE - SENSEX Index Options'!$M:$M,'BSE - SENSEX Index Options'!$C:$C,$A164,'BSE - SENSEX Index Options'!$B:$B,C$147,'BSE - SENSEX Index Options'!$I:$I,"MDAW*")+SUMIFS('BSE - Other Index Options'!$M:$M,'BSE - Other Index Options'!$C:$C,$A164,'BSE - Other Index Options'!$B:$B,C$147,'BSE - Other Index Options'!$I:$I,"Weekly*")+SUMIFS('BSE - Other Index Options'!$M:$M,'BSE - Other Index Options'!$C:$C,$A164,'BSE - Other Index Options'!$B:$B,C$147,'BSE - Other Index Options'!$I:$I,"MDAW*"))</f>
        <v/>
      </c>
      <c r="D164" s="26">
        <f>IF(SUMIFS('BSE - SENSEX Index Options'!$M:$M,'BSE - SENSEX Index Options'!$C:$C,$A164,'BSE - SENSEX Index Options'!$B:$B,D$147,'BSE - SENSEX Index Options'!$I:$I,"Weekly*")+SUMIFS('BSE - SENSEX Index Options'!$M:$M,'BSE - SENSEX Index Options'!$C:$C,$A164,'BSE - SENSEX Index Options'!$B:$B,D$147,'BSE - SENSEX Index Options'!$I:$I,"MDAW*")+SUMIFS('BSE - Other Index Options'!$M:$M,'BSE - Other Index Options'!$C:$C,$A164,'BSE - Other Index Options'!$B:$B,D$147,'BSE - Other Index Options'!$I:$I,"Weekly*")+SUMIFS('BSE - Other Index Options'!$M:$M,'BSE - Other Index Options'!$C:$C,$A164,'BSE - Other Index Options'!$B:$B,D$147,'BSE - Other Index Options'!$I:$I,"MDAW*")=0,"",SUMIFS('BSE - SENSEX Index Options'!$M:$M,'BSE - SENSEX Index Options'!$C:$C,$A164,'BSE - SENSEX Index Options'!$B:$B,D$147,'BSE - SENSEX Index Options'!$I:$I,"Weekly*")+SUMIFS('BSE - SENSEX Index Options'!$M:$M,'BSE - SENSEX Index Options'!$C:$C,$A164,'BSE - SENSEX Index Options'!$B:$B,D$147,'BSE - SENSEX Index Options'!$I:$I,"MDAW*")+SUMIFS('BSE - Other Index Options'!$M:$M,'BSE - Other Index Options'!$C:$C,$A164,'BSE - Other Index Options'!$B:$B,D$147,'BSE - Other Index Options'!$I:$I,"Weekly*")+SUMIFS('BSE - Other Index Options'!$M:$M,'BSE - Other Index Options'!$C:$C,$A164,'BSE - Other Index Options'!$B:$B,D$147,'BSE - Other Index Options'!$I:$I,"MDAW*"))</f>
        <v/>
      </c>
      <c r="E164" s="26">
        <f>IF(SUMIFS('BSE - SENSEX Index Options'!$M:$M,'BSE - SENSEX Index Options'!$C:$C,$A164,'BSE - SENSEX Index Options'!$B:$B,E$147,'BSE - SENSEX Index Options'!$I:$I,"Weekly*")+SUMIFS('BSE - SENSEX Index Options'!$M:$M,'BSE - SENSEX Index Options'!$C:$C,$A164,'BSE - SENSEX Index Options'!$B:$B,E$147,'BSE - SENSEX Index Options'!$I:$I,"MDAW*")+SUMIFS('BSE - Other Index Options'!$M:$M,'BSE - Other Index Options'!$C:$C,$A164,'BSE - Other Index Options'!$B:$B,E$147,'BSE - Other Index Options'!$I:$I,"Weekly*")+SUMIFS('BSE - Other Index Options'!$M:$M,'BSE - Other Index Options'!$C:$C,$A164,'BSE - Other Index Options'!$B:$B,E$147,'BSE - Other Index Options'!$I:$I,"MDAW*")=0,"",SUMIFS('BSE - SENSEX Index Options'!$M:$M,'BSE - SENSEX Index Options'!$C:$C,$A164,'BSE - SENSEX Index Options'!$B:$B,E$147,'BSE - SENSEX Index Options'!$I:$I,"Weekly*")+SUMIFS('BSE - SENSEX Index Options'!$M:$M,'BSE - SENSEX Index Options'!$C:$C,$A164,'BSE - SENSEX Index Options'!$B:$B,E$147,'BSE - SENSEX Index Options'!$I:$I,"MDAW*")+SUMIFS('BSE - Other Index Options'!$M:$M,'BSE - Other Index Options'!$C:$C,$A164,'BSE - Other Index Options'!$B:$B,E$147,'BSE - Other Index Options'!$I:$I,"Weekly*")+SUMIFS('BSE - Other Index Options'!$M:$M,'BSE - Other Index Options'!$C:$C,$A164,'BSE - Other Index Options'!$B:$B,E$147,'BSE - Other Index Options'!$I:$I,"MDAW*"))</f>
        <v/>
      </c>
      <c r="F164" s="26">
        <f>IF(SUMIFS('BSE - SENSEX Index Options'!$M:$M,'BSE - SENSEX Index Options'!$C:$C,$A164,'BSE - SENSEX Index Options'!$B:$B,F$147,'BSE - SENSEX Index Options'!$I:$I,"Weekly*")+SUMIFS('BSE - SENSEX Index Options'!$M:$M,'BSE - SENSEX Index Options'!$C:$C,$A164,'BSE - SENSEX Index Options'!$B:$B,F$147,'BSE - SENSEX Index Options'!$I:$I,"MDAW*")+SUMIFS('BSE - Other Index Options'!$M:$M,'BSE - Other Index Options'!$C:$C,$A164,'BSE - Other Index Options'!$B:$B,F$147,'BSE - Other Index Options'!$I:$I,"Weekly*")+SUMIFS('BSE - Other Index Options'!$M:$M,'BSE - Other Index Options'!$C:$C,$A164,'BSE - Other Index Options'!$B:$B,F$147,'BSE - Other Index Options'!$I:$I,"MDAW*")=0,"",SUMIFS('BSE - SENSEX Index Options'!$M:$M,'BSE - SENSEX Index Options'!$C:$C,$A164,'BSE - SENSEX Index Options'!$B:$B,F$147,'BSE - SENSEX Index Options'!$I:$I,"Weekly*")+SUMIFS('BSE - SENSEX Index Options'!$M:$M,'BSE - SENSEX Index Options'!$C:$C,$A164,'BSE - SENSEX Index Options'!$B:$B,F$147,'BSE - SENSEX Index Options'!$I:$I,"MDAW*")+SUMIFS('BSE - Other Index Options'!$M:$M,'BSE - Other Index Options'!$C:$C,$A164,'BSE - Other Index Options'!$B:$B,F$147,'BSE - Other Index Options'!$I:$I,"Weekly*")+SUMIFS('BSE - Other Index Options'!$M:$M,'BSE - Other Index Options'!$C:$C,$A164,'BSE - Other Index Options'!$B:$B,F$147,'BSE - Other Index Options'!$I:$I,"MDAW*"))</f>
        <v/>
      </c>
      <c r="G164" s="26">
        <f>IF(SUMIFS('BSE - SENSEX Index Options'!$M:$M,'BSE - SENSEX Index Options'!$C:$C,$A164,'BSE - SENSEX Index Options'!$B:$B,G$147,'BSE - SENSEX Index Options'!$I:$I,"Weekly*")+SUMIFS('BSE - SENSEX Index Options'!$M:$M,'BSE - SENSEX Index Options'!$C:$C,$A164,'BSE - SENSEX Index Options'!$B:$B,G$147,'BSE - SENSEX Index Options'!$I:$I,"MDAW*")+SUMIFS('BSE - Other Index Options'!$M:$M,'BSE - Other Index Options'!$C:$C,$A164,'BSE - Other Index Options'!$B:$B,G$147,'BSE - Other Index Options'!$I:$I,"Weekly*")+SUMIFS('BSE - Other Index Options'!$M:$M,'BSE - Other Index Options'!$C:$C,$A164,'BSE - Other Index Options'!$B:$B,G$147,'BSE - Other Index Options'!$I:$I,"MDAW*")=0,"",SUMIFS('BSE - SENSEX Index Options'!$M:$M,'BSE - SENSEX Index Options'!$C:$C,$A164,'BSE - SENSEX Index Options'!$B:$B,G$147,'BSE - SENSEX Index Options'!$I:$I,"Weekly*")+SUMIFS('BSE - SENSEX Index Options'!$M:$M,'BSE - SENSEX Index Options'!$C:$C,$A164,'BSE - SENSEX Index Options'!$B:$B,G$147,'BSE - SENSEX Index Options'!$I:$I,"MDAW*")+SUMIFS('BSE - Other Index Options'!$M:$M,'BSE - Other Index Options'!$C:$C,$A164,'BSE - Other Index Options'!$B:$B,G$147,'BSE - Other Index Options'!$I:$I,"Weekly*")+SUMIFS('BSE - Other Index Options'!$M:$M,'BSE - Other Index Options'!$C:$C,$A164,'BSE - Other Index Options'!$B:$B,G$147,'BSE - Other Index Options'!$I:$I,"MDAW*"))</f>
        <v/>
      </c>
      <c r="H164" s="26">
        <f>IF(SUM(B164:G164)=0,"",SUM(B164:G164))</f>
        <v/>
      </c>
    </row>
    <row r="165">
      <c r="A165" t="inlineStr">
        <is>
          <t>Week3-Dec-2025</t>
        </is>
      </c>
      <c r="B165" s="26">
        <f>IF(SUMIFS('BSE - SENSEX Index Options'!$M:$M,'BSE - SENSEX Index Options'!$C:$C,$A165,'BSE - SENSEX Index Options'!$B:$B,B$147,'BSE - SENSEX Index Options'!$I:$I,"Weekly*")+SUMIFS('BSE - SENSEX Index Options'!$M:$M,'BSE - SENSEX Index Options'!$C:$C,$A165,'BSE - SENSEX Index Options'!$B:$B,B$147,'BSE - SENSEX Index Options'!$I:$I,"MDAW*")+SUMIFS('BSE - Other Index Options'!$M:$M,'BSE - Other Index Options'!$C:$C,$A165,'BSE - Other Index Options'!$B:$B,B$147,'BSE - Other Index Options'!$I:$I,"Weekly*")+SUMIFS('BSE - Other Index Options'!$M:$M,'BSE - Other Index Options'!$C:$C,$A165,'BSE - Other Index Options'!$B:$B,B$147,'BSE - Other Index Options'!$I:$I,"MDAW*")=0,"",SUMIFS('BSE - SENSEX Index Options'!$M:$M,'BSE - SENSEX Index Options'!$C:$C,$A165,'BSE - SENSEX Index Options'!$B:$B,B$147,'BSE - SENSEX Index Options'!$I:$I,"Weekly*")+SUMIFS('BSE - SENSEX Index Options'!$M:$M,'BSE - SENSEX Index Options'!$C:$C,$A165,'BSE - SENSEX Index Options'!$B:$B,B$147,'BSE - SENSEX Index Options'!$I:$I,"MDAW*")+SUMIFS('BSE - Other Index Options'!$M:$M,'BSE - Other Index Options'!$C:$C,$A165,'BSE - Other Index Options'!$B:$B,B$147,'BSE - Other Index Options'!$I:$I,"Weekly*")+SUMIFS('BSE - Other Index Options'!$M:$M,'BSE - Other Index Options'!$C:$C,$A165,'BSE - Other Index Options'!$B:$B,B$147,'BSE - Other Index Options'!$I:$I,"MDAW*"))</f>
        <v/>
      </c>
      <c r="C165" s="26">
        <f>IF(SUMIFS('BSE - SENSEX Index Options'!$M:$M,'BSE - SENSEX Index Options'!$C:$C,$A165,'BSE - SENSEX Index Options'!$B:$B,C$147,'BSE - SENSEX Index Options'!$I:$I,"Weekly*")+SUMIFS('BSE - SENSEX Index Options'!$M:$M,'BSE - SENSEX Index Options'!$C:$C,$A165,'BSE - SENSEX Index Options'!$B:$B,C$147,'BSE - SENSEX Index Options'!$I:$I,"MDAW*")+SUMIFS('BSE - Other Index Options'!$M:$M,'BSE - Other Index Options'!$C:$C,$A165,'BSE - Other Index Options'!$B:$B,C$147,'BSE - Other Index Options'!$I:$I,"Weekly*")+SUMIFS('BSE - Other Index Options'!$M:$M,'BSE - Other Index Options'!$C:$C,$A165,'BSE - Other Index Options'!$B:$B,C$147,'BSE - Other Index Options'!$I:$I,"MDAW*")=0,"",SUMIFS('BSE - SENSEX Index Options'!$M:$M,'BSE - SENSEX Index Options'!$C:$C,$A165,'BSE - SENSEX Index Options'!$B:$B,C$147,'BSE - SENSEX Index Options'!$I:$I,"Weekly*")+SUMIFS('BSE - SENSEX Index Options'!$M:$M,'BSE - SENSEX Index Options'!$C:$C,$A165,'BSE - SENSEX Index Options'!$B:$B,C$147,'BSE - SENSEX Index Options'!$I:$I,"MDAW*")+SUMIFS('BSE - Other Index Options'!$M:$M,'BSE - Other Index Options'!$C:$C,$A165,'BSE - Other Index Options'!$B:$B,C$147,'BSE - Other Index Options'!$I:$I,"Weekly*")+SUMIFS('BSE - Other Index Options'!$M:$M,'BSE - Other Index Options'!$C:$C,$A165,'BSE - Other Index Options'!$B:$B,C$147,'BSE - Other Index Options'!$I:$I,"MDAW*"))</f>
        <v/>
      </c>
      <c r="D165" s="26">
        <f>IF(SUMIFS('BSE - SENSEX Index Options'!$M:$M,'BSE - SENSEX Index Options'!$C:$C,$A165,'BSE - SENSEX Index Options'!$B:$B,D$147,'BSE - SENSEX Index Options'!$I:$I,"Weekly*")+SUMIFS('BSE - SENSEX Index Options'!$M:$M,'BSE - SENSEX Index Options'!$C:$C,$A165,'BSE - SENSEX Index Options'!$B:$B,D$147,'BSE - SENSEX Index Options'!$I:$I,"MDAW*")+SUMIFS('BSE - Other Index Options'!$M:$M,'BSE - Other Index Options'!$C:$C,$A165,'BSE - Other Index Options'!$B:$B,D$147,'BSE - Other Index Options'!$I:$I,"Weekly*")+SUMIFS('BSE - Other Index Options'!$M:$M,'BSE - Other Index Options'!$C:$C,$A165,'BSE - Other Index Options'!$B:$B,D$147,'BSE - Other Index Options'!$I:$I,"MDAW*")=0,"",SUMIFS('BSE - SENSEX Index Options'!$M:$M,'BSE - SENSEX Index Options'!$C:$C,$A165,'BSE - SENSEX Index Options'!$B:$B,D$147,'BSE - SENSEX Index Options'!$I:$I,"Weekly*")+SUMIFS('BSE - SENSEX Index Options'!$M:$M,'BSE - SENSEX Index Options'!$C:$C,$A165,'BSE - SENSEX Index Options'!$B:$B,D$147,'BSE - SENSEX Index Options'!$I:$I,"MDAW*")+SUMIFS('BSE - Other Index Options'!$M:$M,'BSE - Other Index Options'!$C:$C,$A165,'BSE - Other Index Options'!$B:$B,D$147,'BSE - Other Index Options'!$I:$I,"Weekly*")+SUMIFS('BSE - Other Index Options'!$M:$M,'BSE - Other Index Options'!$C:$C,$A165,'BSE - Other Index Options'!$B:$B,D$147,'BSE - Other Index Options'!$I:$I,"MDAW*"))</f>
        <v/>
      </c>
      <c r="E165" s="26">
        <f>IF(SUMIFS('BSE - SENSEX Index Options'!$M:$M,'BSE - SENSEX Index Options'!$C:$C,$A165,'BSE - SENSEX Index Options'!$B:$B,E$147,'BSE - SENSEX Index Options'!$I:$I,"Weekly*")+SUMIFS('BSE - SENSEX Index Options'!$M:$M,'BSE - SENSEX Index Options'!$C:$C,$A165,'BSE - SENSEX Index Options'!$B:$B,E$147,'BSE - SENSEX Index Options'!$I:$I,"MDAW*")+SUMIFS('BSE - Other Index Options'!$M:$M,'BSE - Other Index Options'!$C:$C,$A165,'BSE - Other Index Options'!$B:$B,E$147,'BSE - Other Index Options'!$I:$I,"Weekly*")+SUMIFS('BSE - Other Index Options'!$M:$M,'BSE - Other Index Options'!$C:$C,$A165,'BSE - Other Index Options'!$B:$B,E$147,'BSE - Other Index Options'!$I:$I,"MDAW*")=0,"",SUMIFS('BSE - SENSEX Index Options'!$M:$M,'BSE - SENSEX Index Options'!$C:$C,$A165,'BSE - SENSEX Index Options'!$B:$B,E$147,'BSE - SENSEX Index Options'!$I:$I,"Weekly*")+SUMIFS('BSE - SENSEX Index Options'!$M:$M,'BSE - SENSEX Index Options'!$C:$C,$A165,'BSE - SENSEX Index Options'!$B:$B,E$147,'BSE - SENSEX Index Options'!$I:$I,"MDAW*")+SUMIFS('BSE - Other Index Options'!$M:$M,'BSE - Other Index Options'!$C:$C,$A165,'BSE - Other Index Options'!$B:$B,E$147,'BSE - Other Index Options'!$I:$I,"Weekly*")+SUMIFS('BSE - Other Index Options'!$M:$M,'BSE - Other Index Options'!$C:$C,$A165,'BSE - Other Index Options'!$B:$B,E$147,'BSE - Other Index Options'!$I:$I,"MDAW*"))</f>
        <v/>
      </c>
      <c r="F165" s="26">
        <f>IF(SUMIFS('BSE - SENSEX Index Options'!$M:$M,'BSE - SENSEX Index Options'!$C:$C,$A165,'BSE - SENSEX Index Options'!$B:$B,F$147,'BSE - SENSEX Index Options'!$I:$I,"Weekly*")+SUMIFS('BSE - SENSEX Index Options'!$M:$M,'BSE - SENSEX Index Options'!$C:$C,$A165,'BSE - SENSEX Index Options'!$B:$B,F$147,'BSE - SENSEX Index Options'!$I:$I,"MDAW*")+SUMIFS('BSE - Other Index Options'!$M:$M,'BSE - Other Index Options'!$C:$C,$A165,'BSE - Other Index Options'!$B:$B,F$147,'BSE - Other Index Options'!$I:$I,"Weekly*")+SUMIFS('BSE - Other Index Options'!$M:$M,'BSE - Other Index Options'!$C:$C,$A165,'BSE - Other Index Options'!$B:$B,F$147,'BSE - Other Index Options'!$I:$I,"MDAW*")=0,"",SUMIFS('BSE - SENSEX Index Options'!$M:$M,'BSE - SENSEX Index Options'!$C:$C,$A165,'BSE - SENSEX Index Options'!$B:$B,F$147,'BSE - SENSEX Index Options'!$I:$I,"Weekly*")+SUMIFS('BSE - SENSEX Index Options'!$M:$M,'BSE - SENSEX Index Options'!$C:$C,$A165,'BSE - SENSEX Index Options'!$B:$B,F$147,'BSE - SENSEX Index Options'!$I:$I,"MDAW*")+SUMIFS('BSE - Other Index Options'!$M:$M,'BSE - Other Index Options'!$C:$C,$A165,'BSE - Other Index Options'!$B:$B,F$147,'BSE - Other Index Options'!$I:$I,"Weekly*")+SUMIFS('BSE - Other Index Options'!$M:$M,'BSE - Other Index Options'!$C:$C,$A165,'BSE - Other Index Options'!$B:$B,F$147,'BSE - Other Index Options'!$I:$I,"MDAW*"))</f>
        <v/>
      </c>
      <c r="G165" s="26">
        <f>IF(SUMIFS('BSE - SENSEX Index Options'!$M:$M,'BSE - SENSEX Index Options'!$C:$C,$A165,'BSE - SENSEX Index Options'!$B:$B,G$147,'BSE - SENSEX Index Options'!$I:$I,"Weekly*")+SUMIFS('BSE - SENSEX Index Options'!$M:$M,'BSE - SENSEX Index Options'!$C:$C,$A165,'BSE - SENSEX Index Options'!$B:$B,G$147,'BSE - SENSEX Index Options'!$I:$I,"MDAW*")+SUMIFS('BSE - Other Index Options'!$M:$M,'BSE - Other Index Options'!$C:$C,$A165,'BSE - Other Index Options'!$B:$B,G$147,'BSE - Other Index Options'!$I:$I,"Weekly*")+SUMIFS('BSE - Other Index Options'!$M:$M,'BSE - Other Index Options'!$C:$C,$A165,'BSE - Other Index Options'!$B:$B,G$147,'BSE - Other Index Options'!$I:$I,"MDAW*")=0,"",SUMIFS('BSE - SENSEX Index Options'!$M:$M,'BSE - SENSEX Index Options'!$C:$C,$A165,'BSE - SENSEX Index Options'!$B:$B,G$147,'BSE - SENSEX Index Options'!$I:$I,"Weekly*")+SUMIFS('BSE - SENSEX Index Options'!$M:$M,'BSE - SENSEX Index Options'!$C:$C,$A165,'BSE - SENSEX Index Options'!$B:$B,G$147,'BSE - SENSEX Index Options'!$I:$I,"MDAW*")+SUMIFS('BSE - Other Index Options'!$M:$M,'BSE - Other Index Options'!$C:$C,$A165,'BSE - Other Index Options'!$B:$B,G$147,'BSE - Other Index Options'!$I:$I,"Weekly*")+SUMIFS('BSE - Other Index Options'!$M:$M,'BSE - Other Index Options'!$C:$C,$A165,'BSE - Other Index Options'!$B:$B,G$147,'BSE - Other Index Options'!$I:$I,"MDAW*"))</f>
        <v/>
      </c>
      <c r="H165" s="26">
        <f>IF(SUM(B165:G165)=0,"",SUM(B165:G165))</f>
        <v/>
      </c>
    </row>
    <row r="166">
      <c r="A166" t="inlineStr">
        <is>
          <t>Week4-Dec-2025</t>
        </is>
      </c>
      <c r="B166" s="26">
        <f>IF(SUMIFS('BSE - SENSEX Index Options'!$M:$M,'BSE - SENSEX Index Options'!$C:$C,$A166,'BSE - SENSEX Index Options'!$B:$B,B$147,'BSE - SENSEX Index Options'!$I:$I,"Weekly*")+SUMIFS('BSE - SENSEX Index Options'!$M:$M,'BSE - SENSEX Index Options'!$C:$C,$A166,'BSE - SENSEX Index Options'!$B:$B,B$147,'BSE - SENSEX Index Options'!$I:$I,"MDAW*")+SUMIFS('BSE - Other Index Options'!$M:$M,'BSE - Other Index Options'!$C:$C,$A166,'BSE - Other Index Options'!$B:$B,B$147,'BSE - Other Index Options'!$I:$I,"Weekly*")+SUMIFS('BSE - Other Index Options'!$M:$M,'BSE - Other Index Options'!$C:$C,$A166,'BSE - Other Index Options'!$B:$B,B$147,'BSE - Other Index Options'!$I:$I,"MDAW*")=0,"",SUMIFS('BSE - SENSEX Index Options'!$M:$M,'BSE - SENSEX Index Options'!$C:$C,$A166,'BSE - SENSEX Index Options'!$B:$B,B$147,'BSE - SENSEX Index Options'!$I:$I,"Weekly*")+SUMIFS('BSE - SENSEX Index Options'!$M:$M,'BSE - SENSEX Index Options'!$C:$C,$A166,'BSE - SENSEX Index Options'!$B:$B,B$147,'BSE - SENSEX Index Options'!$I:$I,"MDAW*")+SUMIFS('BSE - Other Index Options'!$M:$M,'BSE - Other Index Options'!$C:$C,$A166,'BSE - Other Index Options'!$B:$B,B$147,'BSE - Other Index Options'!$I:$I,"Weekly*")+SUMIFS('BSE - Other Index Options'!$M:$M,'BSE - Other Index Options'!$C:$C,$A166,'BSE - Other Index Options'!$B:$B,B$147,'BSE - Other Index Options'!$I:$I,"MDAW*"))</f>
        <v/>
      </c>
      <c r="C166" s="26">
        <f>IF(SUMIFS('BSE - SENSEX Index Options'!$M:$M,'BSE - SENSEX Index Options'!$C:$C,$A166,'BSE - SENSEX Index Options'!$B:$B,C$147,'BSE - SENSEX Index Options'!$I:$I,"Weekly*")+SUMIFS('BSE - SENSEX Index Options'!$M:$M,'BSE - SENSEX Index Options'!$C:$C,$A166,'BSE - SENSEX Index Options'!$B:$B,C$147,'BSE - SENSEX Index Options'!$I:$I,"MDAW*")+SUMIFS('BSE - Other Index Options'!$M:$M,'BSE - Other Index Options'!$C:$C,$A166,'BSE - Other Index Options'!$B:$B,C$147,'BSE - Other Index Options'!$I:$I,"Weekly*")+SUMIFS('BSE - Other Index Options'!$M:$M,'BSE - Other Index Options'!$C:$C,$A166,'BSE - Other Index Options'!$B:$B,C$147,'BSE - Other Index Options'!$I:$I,"MDAW*")=0,"",SUMIFS('BSE - SENSEX Index Options'!$M:$M,'BSE - SENSEX Index Options'!$C:$C,$A166,'BSE - SENSEX Index Options'!$B:$B,C$147,'BSE - SENSEX Index Options'!$I:$I,"Weekly*")+SUMIFS('BSE - SENSEX Index Options'!$M:$M,'BSE - SENSEX Index Options'!$C:$C,$A166,'BSE - SENSEX Index Options'!$B:$B,C$147,'BSE - SENSEX Index Options'!$I:$I,"MDAW*")+SUMIFS('BSE - Other Index Options'!$M:$M,'BSE - Other Index Options'!$C:$C,$A166,'BSE - Other Index Options'!$B:$B,C$147,'BSE - Other Index Options'!$I:$I,"Weekly*")+SUMIFS('BSE - Other Index Options'!$M:$M,'BSE - Other Index Options'!$C:$C,$A166,'BSE - Other Index Options'!$B:$B,C$147,'BSE - Other Index Options'!$I:$I,"MDAW*"))</f>
        <v/>
      </c>
      <c r="D166" s="26">
        <f>IF(SUMIFS('BSE - SENSEX Index Options'!$M:$M,'BSE - SENSEX Index Options'!$C:$C,$A166,'BSE - SENSEX Index Options'!$B:$B,D$147,'BSE - SENSEX Index Options'!$I:$I,"Weekly*")+SUMIFS('BSE - SENSEX Index Options'!$M:$M,'BSE - SENSEX Index Options'!$C:$C,$A166,'BSE - SENSEX Index Options'!$B:$B,D$147,'BSE - SENSEX Index Options'!$I:$I,"MDAW*")+SUMIFS('BSE - Other Index Options'!$M:$M,'BSE - Other Index Options'!$C:$C,$A166,'BSE - Other Index Options'!$B:$B,D$147,'BSE - Other Index Options'!$I:$I,"Weekly*")+SUMIFS('BSE - Other Index Options'!$M:$M,'BSE - Other Index Options'!$C:$C,$A166,'BSE - Other Index Options'!$B:$B,D$147,'BSE - Other Index Options'!$I:$I,"MDAW*")=0,"",SUMIFS('BSE - SENSEX Index Options'!$M:$M,'BSE - SENSEX Index Options'!$C:$C,$A166,'BSE - SENSEX Index Options'!$B:$B,D$147,'BSE - SENSEX Index Options'!$I:$I,"Weekly*")+SUMIFS('BSE - SENSEX Index Options'!$M:$M,'BSE - SENSEX Index Options'!$C:$C,$A166,'BSE - SENSEX Index Options'!$B:$B,D$147,'BSE - SENSEX Index Options'!$I:$I,"MDAW*")+SUMIFS('BSE - Other Index Options'!$M:$M,'BSE - Other Index Options'!$C:$C,$A166,'BSE - Other Index Options'!$B:$B,D$147,'BSE - Other Index Options'!$I:$I,"Weekly*")+SUMIFS('BSE - Other Index Options'!$M:$M,'BSE - Other Index Options'!$C:$C,$A166,'BSE - Other Index Options'!$B:$B,D$147,'BSE - Other Index Options'!$I:$I,"MDAW*"))</f>
        <v/>
      </c>
      <c r="E166" s="26">
        <f>IF(SUMIFS('BSE - SENSEX Index Options'!$M:$M,'BSE - SENSEX Index Options'!$C:$C,$A166,'BSE - SENSEX Index Options'!$B:$B,E$147,'BSE - SENSEX Index Options'!$I:$I,"Weekly*")+SUMIFS('BSE - SENSEX Index Options'!$M:$M,'BSE - SENSEX Index Options'!$C:$C,$A166,'BSE - SENSEX Index Options'!$B:$B,E$147,'BSE - SENSEX Index Options'!$I:$I,"MDAW*")+SUMIFS('BSE - Other Index Options'!$M:$M,'BSE - Other Index Options'!$C:$C,$A166,'BSE - Other Index Options'!$B:$B,E$147,'BSE - Other Index Options'!$I:$I,"Weekly*")+SUMIFS('BSE - Other Index Options'!$M:$M,'BSE - Other Index Options'!$C:$C,$A166,'BSE - Other Index Options'!$B:$B,E$147,'BSE - Other Index Options'!$I:$I,"MDAW*")=0,"",SUMIFS('BSE - SENSEX Index Options'!$M:$M,'BSE - SENSEX Index Options'!$C:$C,$A166,'BSE - SENSEX Index Options'!$B:$B,E$147,'BSE - SENSEX Index Options'!$I:$I,"Weekly*")+SUMIFS('BSE - SENSEX Index Options'!$M:$M,'BSE - SENSEX Index Options'!$C:$C,$A166,'BSE - SENSEX Index Options'!$B:$B,E$147,'BSE - SENSEX Index Options'!$I:$I,"MDAW*")+SUMIFS('BSE - Other Index Options'!$M:$M,'BSE - Other Index Options'!$C:$C,$A166,'BSE - Other Index Options'!$B:$B,E$147,'BSE - Other Index Options'!$I:$I,"Weekly*")+SUMIFS('BSE - Other Index Options'!$M:$M,'BSE - Other Index Options'!$C:$C,$A166,'BSE - Other Index Options'!$B:$B,E$147,'BSE - Other Index Options'!$I:$I,"MDAW*"))</f>
        <v/>
      </c>
      <c r="F166" s="26">
        <f>IF(SUMIFS('BSE - SENSEX Index Options'!$M:$M,'BSE - SENSEX Index Options'!$C:$C,$A166,'BSE - SENSEX Index Options'!$B:$B,F$147,'BSE - SENSEX Index Options'!$I:$I,"Weekly*")+SUMIFS('BSE - SENSEX Index Options'!$M:$M,'BSE - SENSEX Index Options'!$C:$C,$A166,'BSE - SENSEX Index Options'!$B:$B,F$147,'BSE - SENSEX Index Options'!$I:$I,"MDAW*")+SUMIFS('BSE - Other Index Options'!$M:$M,'BSE - Other Index Options'!$C:$C,$A166,'BSE - Other Index Options'!$B:$B,F$147,'BSE - Other Index Options'!$I:$I,"Weekly*")+SUMIFS('BSE - Other Index Options'!$M:$M,'BSE - Other Index Options'!$C:$C,$A166,'BSE - Other Index Options'!$B:$B,F$147,'BSE - Other Index Options'!$I:$I,"MDAW*")=0,"",SUMIFS('BSE - SENSEX Index Options'!$M:$M,'BSE - SENSEX Index Options'!$C:$C,$A166,'BSE - SENSEX Index Options'!$B:$B,F$147,'BSE - SENSEX Index Options'!$I:$I,"Weekly*")+SUMIFS('BSE - SENSEX Index Options'!$M:$M,'BSE - SENSEX Index Options'!$C:$C,$A166,'BSE - SENSEX Index Options'!$B:$B,F$147,'BSE - SENSEX Index Options'!$I:$I,"MDAW*")+SUMIFS('BSE - Other Index Options'!$M:$M,'BSE - Other Index Options'!$C:$C,$A166,'BSE - Other Index Options'!$B:$B,F$147,'BSE - Other Index Options'!$I:$I,"Weekly*")+SUMIFS('BSE - Other Index Options'!$M:$M,'BSE - Other Index Options'!$C:$C,$A166,'BSE - Other Index Options'!$B:$B,F$147,'BSE - Other Index Options'!$I:$I,"MDAW*"))</f>
        <v/>
      </c>
      <c r="G166" s="26">
        <f>IF(SUMIFS('BSE - SENSEX Index Options'!$M:$M,'BSE - SENSEX Index Options'!$C:$C,$A166,'BSE - SENSEX Index Options'!$B:$B,G$147,'BSE - SENSEX Index Options'!$I:$I,"Weekly*")+SUMIFS('BSE - SENSEX Index Options'!$M:$M,'BSE - SENSEX Index Options'!$C:$C,$A166,'BSE - SENSEX Index Options'!$B:$B,G$147,'BSE - SENSEX Index Options'!$I:$I,"MDAW*")+SUMIFS('BSE - Other Index Options'!$M:$M,'BSE - Other Index Options'!$C:$C,$A166,'BSE - Other Index Options'!$B:$B,G$147,'BSE - Other Index Options'!$I:$I,"Weekly*")+SUMIFS('BSE - Other Index Options'!$M:$M,'BSE - Other Index Options'!$C:$C,$A166,'BSE - Other Index Options'!$B:$B,G$147,'BSE - Other Index Options'!$I:$I,"MDAW*")=0,"",SUMIFS('BSE - SENSEX Index Options'!$M:$M,'BSE - SENSEX Index Options'!$C:$C,$A166,'BSE - SENSEX Index Options'!$B:$B,G$147,'BSE - SENSEX Index Options'!$I:$I,"Weekly*")+SUMIFS('BSE - SENSEX Index Options'!$M:$M,'BSE - SENSEX Index Options'!$C:$C,$A166,'BSE - SENSEX Index Options'!$B:$B,G$147,'BSE - SENSEX Index Options'!$I:$I,"MDAW*")+SUMIFS('BSE - Other Index Options'!$M:$M,'BSE - Other Index Options'!$C:$C,$A166,'BSE - Other Index Options'!$B:$B,G$147,'BSE - Other Index Options'!$I:$I,"Weekly*")+SUMIFS('BSE - Other Index Options'!$M:$M,'BSE - Other Index Options'!$C:$C,$A166,'BSE - Other Index Options'!$B:$B,G$147,'BSE - Other Index Options'!$I:$I,"MDAW*"))</f>
        <v/>
      </c>
      <c r="H166" s="26">
        <f>IF(SUM(B166:G166)=0,"",SUM(B166:G166))</f>
        <v/>
      </c>
    </row>
    <row r="167">
      <c r="A167" t="inlineStr">
        <is>
          <t>Week5-Dec-2025</t>
        </is>
      </c>
      <c r="B167" s="26">
        <f>IF(SUMIFS('BSE - SENSEX Index Options'!$M:$M,'BSE - SENSEX Index Options'!$C:$C,$A167,'BSE - SENSEX Index Options'!$B:$B,B$147,'BSE - SENSEX Index Options'!$I:$I,"Weekly*")+SUMIFS('BSE - SENSEX Index Options'!$M:$M,'BSE - SENSEX Index Options'!$C:$C,$A167,'BSE - SENSEX Index Options'!$B:$B,B$147,'BSE - SENSEX Index Options'!$I:$I,"MDAW*")+SUMIFS('BSE - Other Index Options'!$M:$M,'BSE - Other Index Options'!$C:$C,$A167,'BSE - Other Index Options'!$B:$B,B$147,'BSE - Other Index Options'!$I:$I,"Weekly*")+SUMIFS('BSE - Other Index Options'!$M:$M,'BSE - Other Index Options'!$C:$C,$A167,'BSE - Other Index Options'!$B:$B,B$147,'BSE - Other Index Options'!$I:$I,"MDAW*")=0,"",SUMIFS('BSE - SENSEX Index Options'!$M:$M,'BSE - SENSEX Index Options'!$C:$C,$A167,'BSE - SENSEX Index Options'!$B:$B,B$147,'BSE - SENSEX Index Options'!$I:$I,"Weekly*")+SUMIFS('BSE - SENSEX Index Options'!$M:$M,'BSE - SENSEX Index Options'!$C:$C,$A167,'BSE - SENSEX Index Options'!$B:$B,B$147,'BSE - SENSEX Index Options'!$I:$I,"MDAW*")+SUMIFS('BSE - Other Index Options'!$M:$M,'BSE - Other Index Options'!$C:$C,$A167,'BSE - Other Index Options'!$B:$B,B$147,'BSE - Other Index Options'!$I:$I,"Weekly*")+SUMIFS('BSE - Other Index Options'!$M:$M,'BSE - Other Index Options'!$C:$C,$A167,'BSE - Other Index Options'!$B:$B,B$147,'BSE - Other Index Options'!$I:$I,"MDAW*"))</f>
        <v/>
      </c>
      <c r="C167" s="26">
        <f>IF(SUMIFS('BSE - SENSEX Index Options'!$M:$M,'BSE - SENSEX Index Options'!$C:$C,$A167,'BSE - SENSEX Index Options'!$B:$B,C$147,'BSE - SENSEX Index Options'!$I:$I,"Weekly*")+SUMIFS('BSE - SENSEX Index Options'!$M:$M,'BSE - SENSEX Index Options'!$C:$C,$A167,'BSE - SENSEX Index Options'!$B:$B,C$147,'BSE - SENSEX Index Options'!$I:$I,"MDAW*")+SUMIFS('BSE - Other Index Options'!$M:$M,'BSE - Other Index Options'!$C:$C,$A167,'BSE - Other Index Options'!$B:$B,C$147,'BSE - Other Index Options'!$I:$I,"Weekly*")+SUMIFS('BSE - Other Index Options'!$M:$M,'BSE - Other Index Options'!$C:$C,$A167,'BSE - Other Index Options'!$B:$B,C$147,'BSE - Other Index Options'!$I:$I,"MDAW*")=0,"",SUMIFS('BSE - SENSEX Index Options'!$M:$M,'BSE - SENSEX Index Options'!$C:$C,$A167,'BSE - SENSEX Index Options'!$B:$B,C$147,'BSE - SENSEX Index Options'!$I:$I,"Weekly*")+SUMIFS('BSE - SENSEX Index Options'!$M:$M,'BSE - SENSEX Index Options'!$C:$C,$A167,'BSE - SENSEX Index Options'!$B:$B,C$147,'BSE - SENSEX Index Options'!$I:$I,"MDAW*")+SUMIFS('BSE - Other Index Options'!$M:$M,'BSE - Other Index Options'!$C:$C,$A167,'BSE - Other Index Options'!$B:$B,C$147,'BSE - Other Index Options'!$I:$I,"Weekly*")+SUMIFS('BSE - Other Index Options'!$M:$M,'BSE - Other Index Options'!$C:$C,$A167,'BSE - Other Index Options'!$B:$B,C$147,'BSE - Other Index Options'!$I:$I,"MDAW*"))</f>
        <v/>
      </c>
      <c r="D167" s="26">
        <f>IF(SUMIFS('BSE - SENSEX Index Options'!$M:$M,'BSE - SENSEX Index Options'!$C:$C,$A167,'BSE - SENSEX Index Options'!$B:$B,D$147,'BSE - SENSEX Index Options'!$I:$I,"Weekly*")+SUMIFS('BSE - SENSEX Index Options'!$M:$M,'BSE - SENSEX Index Options'!$C:$C,$A167,'BSE - SENSEX Index Options'!$B:$B,D$147,'BSE - SENSEX Index Options'!$I:$I,"MDAW*")+SUMIFS('BSE - Other Index Options'!$M:$M,'BSE - Other Index Options'!$C:$C,$A167,'BSE - Other Index Options'!$B:$B,D$147,'BSE - Other Index Options'!$I:$I,"Weekly*")+SUMIFS('BSE - Other Index Options'!$M:$M,'BSE - Other Index Options'!$C:$C,$A167,'BSE - Other Index Options'!$B:$B,D$147,'BSE - Other Index Options'!$I:$I,"MDAW*")=0,"",SUMIFS('BSE - SENSEX Index Options'!$M:$M,'BSE - SENSEX Index Options'!$C:$C,$A167,'BSE - SENSEX Index Options'!$B:$B,D$147,'BSE - SENSEX Index Options'!$I:$I,"Weekly*")+SUMIFS('BSE - SENSEX Index Options'!$M:$M,'BSE - SENSEX Index Options'!$C:$C,$A167,'BSE - SENSEX Index Options'!$B:$B,D$147,'BSE - SENSEX Index Options'!$I:$I,"MDAW*")+SUMIFS('BSE - Other Index Options'!$M:$M,'BSE - Other Index Options'!$C:$C,$A167,'BSE - Other Index Options'!$B:$B,D$147,'BSE - Other Index Options'!$I:$I,"Weekly*")+SUMIFS('BSE - Other Index Options'!$M:$M,'BSE - Other Index Options'!$C:$C,$A167,'BSE - Other Index Options'!$B:$B,D$147,'BSE - Other Index Options'!$I:$I,"MDAW*"))</f>
        <v/>
      </c>
      <c r="E167" s="26">
        <f>IF(SUMIFS('BSE - SENSEX Index Options'!$M:$M,'BSE - SENSEX Index Options'!$C:$C,$A167,'BSE - SENSEX Index Options'!$B:$B,E$147,'BSE - SENSEX Index Options'!$I:$I,"Weekly*")+SUMIFS('BSE - SENSEX Index Options'!$M:$M,'BSE - SENSEX Index Options'!$C:$C,$A167,'BSE - SENSEX Index Options'!$B:$B,E$147,'BSE - SENSEX Index Options'!$I:$I,"MDAW*")+SUMIFS('BSE - Other Index Options'!$M:$M,'BSE - Other Index Options'!$C:$C,$A167,'BSE - Other Index Options'!$B:$B,E$147,'BSE - Other Index Options'!$I:$I,"Weekly*")+SUMIFS('BSE - Other Index Options'!$M:$M,'BSE - Other Index Options'!$C:$C,$A167,'BSE - Other Index Options'!$B:$B,E$147,'BSE - Other Index Options'!$I:$I,"MDAW*")=0,"",SUMIFS('BSE - SENSEX Index Options'!$M:$M,'BSE - SENSEX Index Options'!$C:$C,$A167,'BSE - SENSEX Index Options'!$B:$B,E$147,'BSE - SENSEX Index Options'!$I:$I,"Weekly*")+SUMIFS('BSE - SENSEX Index Options'!$M:$M,'BSE - SENSEX Index Options'!$C:$C,$A167,'BSE - SENSEX Index Options'!$B:$B,E$147,'BSE - SENSEX Index Options'!$I:$I,"MDAW*")+SUMIFS('BSE - Other Index Options'!$M:$M,'BSE - Other Index Options'!$C:$C,$A167,'BSE - Other Index Options'!$B:$B,E$147,'BSE - Other Index Options'!$I:$I,"Weekly*")+SUMIFS('BSE - Other Index Options'!$M:$M,'BSE - Other Index Options'!$C:$C,$A167,'BSE - Other Index Options'!$B:$B,E$147,'BSE - Other Index Options'!$I:$I,"MDAW*"))</f>
        <v/>
      </c>
      <c r="F167" s="26">
        <f>IF(SUMIFS('BSE - SENSEX Index Options'!$M:$M,'BSE - SENSEX Index Options'!$C:$C,$A167,'BSE - SENSEX Index Options'!$B:$B,F$147,'BSE - SENSEX Index Options'!$I:$I,"Weekly*")+SUMIFS('BSE - SENSEX Index Options'!$M:$M,'BSE - SENSEX Index Options'!$C:$C,$A167,'BSE - SENSEX Index Options'!$B:$B,F$147,'BSE - SENSEX Index Options'!$I:$I,"MDAW*")+SUMIFS('BSE - Other Index Options'!$M:$M,'BSE - Other Index Options'!$C:$C,$A167,'BSE - Other Index Options'!$B:$B,F$147,'BSE - Other Index Options'!$I:$I,"Weekly*")+SUMIFS('BSE - Other Index Options'!$M:$M,'BSE - Other Index Options'!$C:$C,$A167,'BSE - Other Index Options'!$B:$B,F$147,'BSE - Other Index Options'!$I:$I,"MDAW*")=0,"",SUMIFS('BSE - SENSEX Index Options'!$M:$M,'BSE - SENSEX Index Options'!$C:$C,$A167,'BSE - SENSEX Index Options'!$B:$B,F$147,'BSE - SENSEX Index Options'!$I:$I,"Weekly*")+SUMIFS('BSE - SENSEX Index Options'!$M:$M,'BSE - SENSEX Index Options'!$C:$C,$A167,'BSE - SENSEX Index Options'!$B:$B,F$147,'BSE - SENSEX Index Options'!$I:$I,"MDAW*")+SUMIFS('BSE - Other Index Options'!$M:$M,'BSE - Other Index Options'!$C:$C,$A167,'BSE - Other Index Options'!$B:$B,F$147,'BSE - Other Index Options'!$I:$I,"Weekly*")+SUMIFS('BSE - Other Index Options'!$M:$M,'BSE - Other Index Options'!$C:$C,$A167,'BSE - Other Index Options'!$B:$B,F$147,'BSE - Other Index Options'!$I:$I,"MDAW*"))</f>
        <v/>
      </c>
      <c r="G167" s="26">
        <f>IF(SUMIFS('BSE - SENSEX Index Options'!$M:$M,'BSE - SENSEX Index Options'!$C:$C,$A167,'BSE - SENSEX Index Options'!$B:$B,G$147,'BSE - SENSEX Index Options'!$I:$I,"Weekly*")+SUMIFS('BSE - SENSEX Index Options'!$M:$M,'BSE - SENSEX Index Options'!$C:$C,$A167,'BSE - SENSEX Index Options'!$B:$B,G$147,'BSE - SENSEX Index Options'!$I:$I,"MDAW*")+SUMIFS('BSE - Other Index Options'!$M:$M,'BSE - Other Index Options'!$C:$C,$A167,'BSE - Other Index Options'!$B:$B,G$147,'BSE - Other Index Options'!$I:$I,"Weekly*")+SUMIFS('BSE - Other Index Options'!$M:$M,'BSE - Other Index Options'!$C:$C,$A167,'BSE - Other Index Options'!$B:$B,G$147,'BSE - Other Index Options'!$I:$I,"MDAW*")=0,"",SUMIFS('BSE - SENSEX Index Options'!$M:$M,'BSE - SENSEX Index Options'!$C:$C,$A167,'BSE - SENSEX Index Options'!$B:$B,G$147,'BSE - SENSEX Index Options'!$I:$I,"Weekly*")+SUMIFS('BSE - SENSEX Index Options'!$M:$M,'BSE - SENSEX Index Options'!$C:$C,$A167,'BSE - SENSEX Index Options'!$B:$B,G$147,'BSE - SENSEX Index Options'!$I:$I,"MDAW*")+SUMIFS('BSE - Other Index Options'!$M:$M,'BSE - Other Index Options'!$C:$C,$A167,'BSE - Other Index Options'!$B:$B,G$147,'BSE - Other Index Options'!$I:$I,"Weekly*")+SUMIFS('BSE - Other Index Options'!$M:$M,'BSE - Other Index Options'!$C:$C,$A167,'BSE - Other Index Options'!$B:$B,G$147,'BSE - Other Index Options'!$I:$I,"MDAW*"))</f>
        <v/>
      </c>
      <c r="H167" s="26">
        <f>IF(SUM(B167:G167)=0,"",SUM(B167:G167))</f>
        <v/>
      </c>
    </row>
    <row r="168">
      <c r="A168" t="inlineStr">
        <is>
          <t>Week1-Jan-2026</t>
        </is>
      </c>
      <c r="B168" s="26">
        <f>IF(SUMIFS('BSE - SENSEX Index Options'!$M:$M,'BSE - SENSEX Index Options'!$C:$C,$A168,'BSE - SENSEX Index Options'!$B:$B,B$147,'BSE - SENSEX Index Options'!$I:$I,"Weekly*")+SUMIFS('BSE - SENSEX Index Options'!$M:$M,'BSE - SENSEX Index Options'!$C:$C,$A168,'BSE - SENSEX Index Options'!$B:$B,B$147,'BSE - SENSEX Index Options'!$I:$I,"MDAW*")+SUMIFS('BSE - Other Index Options'!$M:$M,'BSE - Other Index Options'!$C:$C,$A168,'BSE - Other Index Options'!$B:$B,B$147,'BSE - Other Index Options'!$I:$I,"Weekly*")+SUMIFS('BSE - Other Index Options'!$M:$M,'BSE - Other Index Options'!$C:$C,$A168,'BSE - Other Index Options'!$B:$B,B$147,'BSE - Other Index Options'!$I:$I,"MDAW*")=0,"",SUMIFS('BSE - SENSEX Index Options'!$M:$M,'BSE - SENSEX Index Options'!$C:$C,$A168,'BSE - SENSEX Index Options'!$B:$B,B$147,'BSE - SENSEX Index Options'!$I:$I,"Weekly*")+SUMIFS('BSE - SENSEX Index Options'!$M:$M,'BSE - SENSEX Index Options'!$C:$C,$A168,'BSE - SENSEX Index Options'!$B:$B,B$147,'BSE - SENSEX Index Options'!$I:$I,"MDAW*")+SUMIFS('BSE - Other Index Options'!$M:$M,'BSE - Other Index Options'!$C:$C,$A168,'BSE - Other Index Options'!$B:$B,B$147,'BSE - Other Index Options'!$I:$I,"Weekly*")+SUMIFS('BSE - Other Index Options'!$M:$M,'BSE - Other Index Options'!$C:$C,$A168,'BSE - Other Index Options'!$B:$B,B$147,'BSE - Other Index Options'!$I:$I,"MDAW*"))</f>
        <v/>
      </c>
      <c r="C168" s="26">
        <f>IF(SUMIFS('BSE - SENSEX Index Options'!$M:$M,'BSE - SENSEX Index Options'!$C:$C,$A168,'BSE - SENSEX Index Options'!$B:$B,C$147,'BSE - SENSEX Index Options'!$I:$I,"Weekly*")+SUMIFS('BSE - SENSEX Index Options'!$M:$M,'BSE - SENSEX Index Options'!$C:$C,$A168,'BSE - SENSEX Index Options'!$B:$B,C$147,'BSE - SENSEX Index Options'!$I:$I,"MDAW*")+SUMIFS('BSE - Other Index Options'!$M:$M,'BSE - Other Index Options'!$C:$C,$A168,'BSE - Other Index Options'!$B:$B,C$147,'BSE - Other Index Options'!$I:$I,"Weekly*")+SUMIFS('BSE - Other Index Options'!$M:$M,'BSE - Other Index Options'!$C:$C,$A168,'BSE - Other Index Options'!$B:$B,C$147,'BSE - Other Index Options'!$I:$I,"MDAW*")=0,"",SUMIFS('BSE - SENSEX Index Options'!$M:$M,'BSE - SENSEX Index Options'!$C:$C,$A168,'BSE - SENSEX Index Options'!$B:$B,C$147,'BSE - SENSEX Index Options'!$I:$I,"Weekly*")+SUMIFS('BSE - SENSEX Index Options'!$M:$M,'BSE - SENSEX Index Options'!$C:$C,$A168,'BSE - SENSEX Index Options'!$B:$B,C$147,'BSE - SENSEX Index Options'!$I:$I,"MDAW*")+SUMIFS('BSE - Other Index Options'!$M:$M,'BSE - Other Index Options'!$C:$C,$A168,'BSE - Other Index Options'!$B:$B,C$147,'BSE - Other Index Options'!$I:$I,"Weekly*")+SUMIFS('BSE - Other Index Options'!$M:$M,'BSE - Other Index Options'!$C:$C,$A168,'BSE - Other Index Options'!$B:$B,C$147,'BSE - Other Index Options'!$I:$I,"MDAW*"))</f>
        <v/>
      </c>
      <c r="D168" s="26">
        <f>IF(SUMIFS('BSE - SENSEX Index Options'!$M:$M,'BSE - SENSEX Index Options'!$C:$C,$A168,'BSE - SENSEX Index Options'!$B:$B,D$147,'BSE - SENSEX Index Options'!$I:$I,"Weekly*")+SUMIFS('BSE - SENSEX Index Options'!$M:$M,'BSE - SENSEX Index Options'!$C:$C,$A168,'BSE - SENSEX Index Options'!$B:$B,D$147,'BSE - SENSEX Index Options'!$I:$I,"MDAW*")+SUMIFS('BSE - Other Index Options'!$M:$M,'BSE - Other Index Options'!$C:$C,$A168,'BSE - Other Index Options'!$B:$B,D$147,'BSE - Other Index Options'!$I:$I,"Weekly*")+SUMIFS('BSE - Other Index Options'!$M:$M,'BSE - Other Index Options'!$C:$C,$A168,'BSE - Other Index Options'!$B:$B,D$147,'BSE - Other Index Options'!$I:$I,"MDAW*")=0,"",SUMIFS('BSE - SENSEX Index Options'!$M:$M,'BSE - SENSEX Index Options'!$C:$C,$A168,'BSE - SENSEX Index Options'!$B:$B,D$147,'BSE - SENSEX Index Options'!$I:$I,"Weekly*")+SUMIFS('BSE - SENSEX Index Options'!$M:$M,'BSE - SENSEX Index Options'!$C:$C,$A168,'BSE - SENSEX Index Options'!$B:$B,D$147,'BSE - SENSEX Index Options'!$I:$I,"MDAW*")+SUMIFS('BSE - Other Index Options'!$M:$M,'BSE - Other Index Options'!$C:$C,$A168,'BSE - Other Index Options'!$B:$B,D$147,'BSE - Other Index Options'!$I:$I,"Weekly*")+SUMIFS('BSE - Other Index Options'!$M:$M,'BSE - Other Index Options'!$C:$C,$A168,'BSE - Other Index Options'!$B:$B,D$147,'BSE - Other Index Options'!$I:$I,"MDAW*"))</f>
        <v/>
      </c>
      <c r="E168" s="26">
        <f>IF(SUMIFS('BSE - SENSEX Index Options'!$M:$M,'BSE - SENSEX Index Options'!$C:$C,$A168,'BSE - SENSEX Index Options'!$B:$B,E$147,'BSE - SENSEX Index Options'!$I:$I,"Weekly*")+SUMIFS('BSE - SENSEX Index Options'!$M:$M,'BSE - SENSEX Index Options'!$C:$C,$A168,'BSE - SENSEX Index Options'!$B:$B,E$147,'BSE - SENSEX Index Options'!$I:$I,"MDAW*")+SUMIFS('BSE - Other Index Options'!$M:$M,'BSE - Other Index Options'!$C:$C,$A168,'BSE - Other Index Options'!$B:$B,E$147,'BSE - Other Index Options'!$I:$I,"Weekly*")+SUMIFS('BSE - Other Index Options'!$M:$M,'BSE - Other Index Options'!$C:$C,$A168,'BSE - Other Index Options'!$B:$B,E$147,'BSE - Other Index Options'!$I:$I,"MDAW*")=0,"",SUMIFS('BSE - SENSEX Index Options'!$M:$M,'BSE - SENSEX Index Options'!$C:$C,$A168,'BSE - SENSEX Index Options'!$B:$B,E$147,'BSE - SENSEX Index Options'!$I:$I,"Weekly*")+SUMIFS('BSE - SENSEX Index Options'!$M:$M,'BSE - SENSEX Index Options'!$C:$C,$A168,'BSE - SENSEX Index Options'!$B:$B,E$147,'BSE - SENSEX Index Options'!$I:$I,"MDAW*")+SUMIFS('BSE - Other Index Options'!$M:$M,'BSE - Other Index Options'!$C:$C,$A168,'BSE - Other Index Options'!$B:$B,E$147,'BSE - Other Index Options'!$I:$I,"Weekly*")+SUMIFS('BSE - Other Index Options'!$M:$M,'BSE - Other Index Options'!$C:$C,$A168,'BSE - Other Index Options'!$B:$B,E$147,'BSE - Other Index Options'!$I:$I,"MDAW*"))</f>
        <v/>
      </c>
      <c r="F168" s="26">
        <f>IF(SUMIFS('BSE - SENSEX Index Options'!$M:$M,'BSE - SENSEX Index Options'!$C:$C,$A168,'BSE - SENSEX Index Options'!$B:$B,F$147,'BSE - SENSEX Index Options'!$I:$I,"Weekly*")+SUMIFS('BSE - SENSEX Index Options'!$M:$M,'BSE - SENSEX Index Options'!$C:$C,$A168,'BSE - SENSEX Index Options'!$B:$B,F$147,'BSE - SENSEX Index Options'!$I:$I,"MDAW*")+SUMIFS('BSE - Other Index Options'!$M:$M,'BSE - Other Index Options'!$C:$C,$A168,'BSE - Other Index Options'!$B:$B,F$147,'BSE - Other Index Options'!$I:$I,"Weekly*")+SUMIFS('BSE - Other Index Options'!$M:$M,'BSE - Other Index Options'!$C:$C,$A168,'BSE - Other Index Options'!$B:$B,F$147,'BSE - Other Index Options'!$I:$I,"MDAW*")=0,"",SUMIFS('BSE - SENSEX Index Options'!$M:$M,'BSE - SENSEX Index Options'!$C:$C,$A168,'BSE - SENSEX Index Options'!$B:$B,F$147,'BSE - SENSEX Index Options'!$I:$I,"Weekly*")+SUMIFS('BSE - SENSEX Index Options'!$M:$M,'BSE - SENSEX Index Options'!$C:$C,$A168,'BSE - SENSEX Index Options'!$B:$B,F$147,'BSE - SENSEX Index Options'!$I:$I,"MDAW*")+SUMIFS('BSE - Other Index Options'!$M:$M,'BSE - Other Index Options'!$C:$C,$A168,'BSE - Other Index Options'!$B:$B,F$147,'BSE - Other Index Options'!$I:$I,"Weekly*")+SUMIFS('BSE - Other Index Options'!$M:$M,'BSE - Other Index Options'!$C:$C,$A168,'BSE - Other Index Options'!$B:$B,F$147,'BSE - Other Index Options'!$I:$I,"MDAW*"))</f>
        <v/>
      </c>
      <c r="G168" s="26">
        <f>IF(SUMIFS('BSE - SENSEX Index Options'!$M:$M,'BSE - SENSEX Index Options'!$C:$C,$A168,'BSE - SENSEX Index Options'!$B:$B,G$147,'BSE - SENSEX Index Options'!$I:$I,"Weekly*")+SUMIFS('BSE - SENSEX Index Options'!$M:$M,'BSE - SENSEX Index Options'!$C:$C,$A168,'BSE - SENSEX Index Options'!$B:$B,G$147,'BSE - SENSEX Index Options'!$I:$I,"MDAW*")+SUMIFS('BSE - Other Index Options'!$M:$M,'BSE - Other Index Options'!$C:$C,$A168,'BSE - Other Index Options'!$B:$B,G$147,'BSE - Other Index Options'!$I:$I,"Weekly*")+SUMIFS('BSE - Other Index Options'!$M:$M,'BSE - Other Index Options'!$C:$C,$A168,'BSE - Other Index Options'!$B:$B,G$147,'BSE - Other Index Options'!$I:$I,"MDAW*")=0,"",SUMIFS('BSE - SENSEX Index Options'!$M:$M,'BSE - SENSEX Index Options'!$C:$C,$A168,'BSE - SENSEX Index Options'!$B:$B,G$147,'BSE - SENSEX Index Options'!$I:$I,"Weekly*")+SUMIFS('BSE - SENSEX Index Options'!$M:$M,'BSE - SENSEX Index Options'!$C:$C,$A168,'BSE - SENSEX Index Options'!$B:$B,G$147,'BSE - SENSEX Index Options'!$I:$I,"MDAW*")+SUMIFS('BSE - Other Index Options'!$M:$M,'BSE - Other Index Options'!$C:$C,$A168,'BSE - Other Index Options'!$B:$B,G$147,'BSE - Other Index Options'!$I:$I,"Weekly*")+SUMIFS('BSE - Other Index Options'!$M:$M,'BSE - Other Index Options'!$C:$C,$A168,'BSE - Other Index Options'!$B:$B,G$147,'BSE - Other Index Options'!$I:$I,"MDAW*"))</f>
        <v/>
      </c>
      <c r="H168" s="26">
        <f>IF(SUM(B168:G168)=0,"",SUM(B168:G168))</f>
        <v/>
      </c>
    </row>
    <row r="169">
      <c r="A169" t="inlineStr">
        <is>
          <t>Week2-Jan-2026</t>
        </is>
      </c>
      <c r="B169" s="26">
        <f>IF(SUMIFS('BSE - SENSEX Index Options'!$M:$M,'BSE - SENSEX Index Options'!$C:$C,$A169,'BSE - SENSEX Index Options'!$B:$B,B$147,'BSE - SENSEX Index Options'!$I:$I,"Weekly*")+SUMIFS('BSE - SENSEX Index Options'!$M:$M,'BSE - SENSEX Index Options'!$C:$C,$A169,'BSE - SENSEX Index Options'!$B:$B,B$147,'BSE - SENSEX Index Options'!$I:$I,"MDAW*")+SUMIFS('BSE - Other Index Options'!$M:$M,'BSE - Other Index Options'!$C:$C,$A169,'BSE - Other Index Options'!$B:$B,B$147,'BSE - Other Index Options'!$I:$I,"Weekly*")+SUMIFS('BSE - Other Index Options'!$M:$M,'BSE - Other Index Options'!$C:$C,$A169,'BSE - Other Index Options'!$B:$B,B$147,'BSE - Other Index Options'!$I:$I,"MDAW*")=0,"",SUMIFS('BSE - SENSEX Index Options'!$M:$M,'BSE - SENSEX Index Options'!$C:$C,$A169,'BSE - SENSEX Index Options'!$B:$B,B$147,'BSE - SENSEX Index Options'!$I:$I,"Weekly*")+SUMIFS('BSE - SENSEX Index Options'!$M:$M,'BSE - SENSEX Index Options'!$C:$C,$A169,'BSE - SENSEX Index Options'!$B:$B,B$147,'BSE - SENSEX Index Options'!$I:$I,"MDAW*")+SUMIFS('BSE - Other Index Options'!$M:$M,'BSE - Other Index Options'!$C:$C,$A169,'BSE - Other Index Options'!$B:$B,B$147,'BSE - Other Index Options'!$I:$I,"Weekly*")+SUMIFS('BSE - Other Index Options'!$M:$M,'BSE - Other Index Options'!$C:$C,$A169,'BSE - Other Index Options'!$B:$B,B$147,'BSE - Other Index Options'!$I:$I,"MDAW*"))</f>
        <v/>
      </c>
      <c r="C169" s="26">
        <f>IF(SUMIFS('BSE - SENSEX Index Options'!$M:$M,'BSE - SENSEX Index Options'!$C:$C,$A169,'BSE - SENSEX Index Options'!$B:$B,C$147,'BSE - SENSEX Index Options'!$I:$I,"Weekly*")+SUMIFS('BSE - SENSEX Index Options'!$M:$M,'BSE - SENSEX Index Options'!$C:$C,$A169,'BSE - SENSEX Index Options'!$B:$B,C$147,'BSE - SENSEX Index Options'!$I:$I,"MDAW*")+SUMIFS('BSE - Other Index Options'!$M:$M,'BSE - Other Index Options'!$C:$C,$A169,'BSE - Other Index Options'!$B:$B,C$147,'BSE - Other Index Options'!$I:$I,"Weekly*")+SUMIFS('BSE - Other Index Options'!$M:$M,'BSE - Other Index Options'!$C:$C,$A169,'BSE - Other Index Options'!$B:$B,C$147,'BSE - Other Index Options'!$I:$I,"MDAW*")=0,"",SUMIFS('BSE - SENSEX Index Options'!$M:$M,'BSE - SENSEX Index Options'!$C:$C,$A169,'BSE - SENSEX Index Options'!$B:$B,C$147,'BSE - SENSEX Index Options'!$I:$I,"Weekly*")+SUMIFS('BSE - SENSEX Index Options'!$M:$M,'BSE - SENSEX Index Options'!$C:$C,$A169,'BSE - SENSEX Index Options'!$B:$B,C$147,'BSE - SENSEX Index Options'!$I:$I,"MDAW*")+SUMIFS('BSE - Other Index Options'!$M:$M,'BSE - Other Index Options'!$C:$C,$A169,'BSE - Other Index Options'!$B:$B,C$147,'BSE - Other Index Options'!$I:$I,"Weekly*")+SUMIFS('BSE - Other Index Options'!$M:$M,'BSE - Other Index Options'!$C:$C,$A169,'BSE - Other Index Options'!$B:$B,C$147,'BSE - Other Index Options'!$I:$I,"MDAW*"))</f>
        <v/>
      </c>
      <c r="D169" s="26">
        <f>IF(SUMIFS('BSE - SENSEX Index Options'!$M:$M,'BSE - SENSEX Index Options'!$C:$C,$A169,'BSE - SENSEX Index Options'!$B:$B,D$147,'BSE - SENSEX Index Options'!$I:$I,"Weekly*")+SUMIFS('BSE - SENSEX Index Options'!$M:$M,'BSE - SENSEX Index Options'!$C:$C,$A169,'BSE - SENSEX Index Options'!$B:$B,D$147,'BSE - SENSEX Index Options'!$I:$I,"MDAW*")+SUMIFS('BSE - Other Index Options'!$M:$M,'BSE - Other Index Options'!$C:$C,$A169,'BSE - Other Index Options'!$B:$B,D$147,'BSE - Other Index Options'!$I:$I,"Weekly*")+SUMIFS('BSE - Other Index Options'!$M:$M,'BSE - Other Index Options'!$C:$C,$A169,'BSE - Other Index Options'!$B:$B,D$147,'BSE - Other Index Options'!$I:$I,"MDAW*")=0,"",SUMIFS('BSE - SENSEX Index Options'!$M:$M,'BSE - SENSEX Index Options'!$C:$C,$A169,'BSE - SENSEX Index Options'!$B:$B,D$147,'BSE - SENSEX Index Options'!$I:$I,"Weekly*")+SUMIFS('BSE - SENSEX Index Options'!$M:$M,'BSE - SENSEX Index Options'!$C:$C,$A169,'BSE - SENSEX Index Options'!$B:$B,D$147,'BSE - SENSEX Index Options'!$I:$I,"MDAW*")+SUMIFS('BSE - Other Index Options'!$M:$M,'BSE - Other Index Options'!$C:$C,$A169,'BSE - Other Index Options'!$B:$B,D$147,'BSE - Other Index Options'!$I:$I,"Weekly*")+SUMIFS('BSE - Other Index Options'!$M:$M,'BSE - Other Index Options'!$C:$C,$A169,'BSE - Other Index Options'!$B:$B,D$147,'BSE - Other Index Options'!$I:$I,"MDAW*"))</f>
        <v/>
      </c>
      <c r="E169" s="26">
        <f>IF(SUMIFS('BSE - SENSEX Index Options'!$M:$M,'BSE - SENSEX Index Options'!$C:$C,$A169,'BSE - SENSEX Index Options'!$B:$B,E$147,'BSE - SENSEX Index Options'!$I:$I,"Weekly*")+SUMIFS('BSE - SENSEX Index Options'!$M:$M,'BSE - SENSEX Index Options'!$C:$C,$A169,'BSE - SENSEX Index Options'!$B:$B,E$147,'BSE - SENSEX Index Options'!$I:$I,"MDAW*")+SUMIFS('BSE - Other Index Options'!$M:$M,'BSE - Other Index Options'!$C:$C,$A169,'BSE - Other Index Options'!$B:$B,E$147,'BSE - Other Index Options'!$I:$I,"Weekly*")+SUMIFS('BSE - Other Index Options'!$M:$M,'BSE - Other Index Options'!$C:$C,$A169,'BSE - Other Index Options'!$B:$B,E$147,'BSE - Other Index Options'!$I:$I,"MDAW*")=0,"",SUMIFS('BSE - SENSEX Index Options'!$M:$M,'BSE - SENSEX Index Options'!$C:$C,$A169,'BSE - SENSEX Index Options'!$B:$B,E$147,'BSE - SENSEX Index Options'!$I:$I,"Weekly*")+SUMIFS('BSE - SENSEX Index Options'!$M:$M,'BSE - SENSEX Index Options'!$C:$C,$A169,'BSE - SENSEX Index Options'!$B:$B,E$147,'BSE - SENSEX Index Options'!$I:$I,"MDAW*")+SUMIFS('BSE - Other Index Options'!$M:$M,'BSE - Other Index Options'!$C:$C,$A169,'BSE - Other Index Options'!$B:$B,E$147,'BSE - Other Index Options'!$I:$I,"Weekly*")+SUMIFS('BSE - Other Index Options'!$M:$M,'BSE - Other Index Options'!$C:$C,$A169,'BSE - Other Index Options'!$B:$B,E$147,'BSE - Other Index Options'!$I:$I,"MDAW*"))</f>
        <v/>
      </c>
      <c r="F169" s="26">
        <f>IF(SUMIFS('BSE - SENSEX Index Options'!$M:$M,'BSE - SENSEX Index Options'!$C:$C,$A169,'BSE - SENSEX Index Options'!$B:$B,F$147,'BSE - SENSEX Index Options'!$I:$I,"Weekly*")+SUMIFS('BSE - SENSEX Index Options'!$M:$M,'BSE - SENSEX Index Options'!$C:$C,$A169,'BSE - SENSEX Index Options'!$B:$B,F$147,'BSE - SENSEX Index Options'!$I:$I,"MDAW*")+SUMIFS('BSE - Other Index Options'!$M:$M,'BSE - Other Index Options'!$C:$C,$A169,'BSE - Other Index Options'!$B:$B,F$147,'BSE - Other Index Options'!$I:$I,"Weekly*")+SUMIFS('BSE - Other Index Options'!$M:$M,'BSE - Other Index Options'!$C:$C,$A169,'BSE - Other Index Options'!$B:$B,F$147,'BSE - Other Index Options'!$I:$I,"MDAW*")=0,"",SUMIFS('BSE - SENSEX Index Options'!$M:$M,'BSE - SENSEX Index Options'!$C:$C,$A169,'BSE - SENSEX Index Options'!$B:$B,F$147,'BSE - SENSEX Index Options'!$I:$I,"Weekly*")+SUMIFS('BSE - SENSEX Index Options'!$M:$M,'BSE - SENSEX Index Options'!$C:$C,$A169,'BSE - SENSEX Index Options'!$B:$B,F$147,'BSE - SENSEX Index Options'!$I:$I,"MDAW*")+SUMIFS('BSE - Other Index Options'!$M:$M,'BSE - Other Index Options'!$C:$C,$A169,'BSE - Other Index Options'!$B:$B,F$147,'BSE - Other Index Options'!$I:$I,"Weekly*")+SUMIFS('BSE - Other Index Options'!$M:$M,'BSE - Other Index Options'!$C:$C,$A169,'BSE - Other Index Options'!$B:$B,F$147,'BSE - Other Index Options'!$I:$I,"MDAW*"))</f>
        <v/>
      </c>
      <c r="G169" s="26">
        <f>IF(SUMIFS('BSE - SENSEX Index Options'!$M:$M,'BSE - SENSEX Index Options'!$C:$C,$A169,'BSE - SENSEX Index Options'!$B:$B,G$147,'BSE - SENSEX Index Options'!$I:$I,"Weekly*")+SUMIFS('BSE - SENSEX Index Options'!$M:$M,'BSE - SENSEX Index Options'!$C:$C,$A169,'BSE - SENSEX Index Options'!$B:$B,G$147,'BSE - SENSEX Index Options'!$I:$I,"MDAW*")+SUMIFS('BSE - Other Index Options'!$M:$M,'BSE - Other Index Options'!$C:$C,$A169,'BSE - Other Index Options'!$B:$B,G$147,'BSE - Other Index Options'!$I:$I,"Weekly*")+SUMIFS('BSE - Other Index Options'!$M:$M,'BSE - Other Index Options'!$C:$C,$A169,'BSE - Other Index Options'!$B:$B,G$147,'BSE - Other Index Options'!$I:$I,"MDAW*")=0,"",SUMIFS('BSE - SENSEX Index Options'!$M:$M,'BSE - SENSEX Index Options'!$C:$C,$A169,'BSE - SENSEX Index Options'!$B:$B,G$147,'BSE - SENSEX Index Options'!$I:$I,"Weekly*")+SUMIFS('BSE - SENSEX Index Options'!$M:$M,'BSE - SENSEX Index Options'!$C:$C,$A169,'BSE - SENSEX Index Options'!$B:$B,G$147,'BSE - SENSEX Index Options'!$I:$I,"MDAW*")+SUMIFS('BSE - Other Index Options'!$M:$M,'BSE - Other Index Options'!$C:$C,$A169,'BSE - Other Index Options'!$B:$B,G$147,'BSE - Other Index Options'!$I:$I,"Weekly*")+SUMIFS('BSE - Other Index Options'!$M:$M,'BSE - Other Index Options'!$C:$C,$A169,'BSE - Other Index Options'!$B:$B,G$147,'BSE - Other Index Options'!$I:$I,"MDAW*"))</f>
        <v/>
      </c>
      <c r="H169" s="26">
        <f>IF(SUM(B169:G169)=0,"",SUM(B169:G169))</f>
        <v/>
      </c>
    </row>
    <row r="170">
      <c r="A170" t="inlineStr">
        <is>
          <t>Week3-Jan-2026</t>
        </is>
      </c>
      <c r="B170" s="26">
        <f>IF(SUMIFS('BSE - SENSEX Index Options'!$M:$M,'BSE - SENSEX Index Options'!$C:$C,$A170,'BSE - SENSEX Index Options'!$B:$B,B$147,'BSE - SENSEX Index Options'!$I:$I,"Weekly*")+SUMIFS('BSE - SENSEX Index Options'!$M:$M,'BSE - SENSEX Index Options'!$C:$C,$A170,'BSE - SENSEX Index Options'!$B:$B,B$147,'BSE - SENSEX Index Options'!$I:$I,"MDAW*")+SUMIFS('BSE - Other Index Options'!$M:$M,'BSE - Other Index Options'!$C:$C,$A170,'BSE - Other Index Options'!$B:$B,B$147,'BSE - Other Index Options'!$I:$I,"Weekly*")+SUMIFS('BSE - Other Index Options'!$M:$M,'BSE - Other Index Options'!$C:$C,$A170,'BSE - Other Index Options'!$B:$B,B$147,'BSE - Other Index Options'!$I:$I,"MDAW*")=0,"",SUMIFS('BSE - SENSEX Index Options'!$M:$M,'BSE - SENSEX Index Options'!$C:$C,$A170,'BSE - SENSEX Index Options'!$B:$B,B$147,'BSE - SENSEX Index Options'!$I:$I,"Weekly*")+SUMIFS('BSE - SENSEX Index Options'!$M:$M,'BSE - SENSEX Index Options'!$C:$C,$A170,'BSE - SENSEX Index Options'!$B:$B,B$147,'BSE - SENSEX Index Options'!$I:$I,"MDAW*")+SUMIFS('BSE - Other Index Options'!$M:$M,'BSE - Other Index Options'!$C:$C,$A170,'BSE - Other Index Options'!$B:$B,B$147,'BSE - Other Index Options'!$I:$I,"Weekly*")+SUMIFS('BSE - Other Index Options'!$M:$M,'BSE - Other Index Options'!$C:$C,$A170,'BSE - Other Index Options'!$B:$B,B$147,'BSE - Other Index Options'!$I:$I,"MDAW*"))</f>
        <v/>
      </c>
      <c r="C170" s="26">
        <f>IF(SUMIFS('BSE - SENSEX Index Options'!$M:$M,'BSE - SENSEX Index Options'!$C:$C,$A170,'BSE - SENSEX Index Options'!$B:$B,C$147,'BSE - SENSEX Index Options'!$I:$I,"Weekly*")+SUMIFS('BSE - SENSEX Index Options'!$M:$M,'BSE - SENSEX Index Options'!$C:$C,$A170,'BSE - SENSEX Index Options'!$B:$B,C$147,'BSE - SENSEX Index Options'!$I:$I,"MDAW*")+SUMIFS('BSE - Other Index Options'!$M:$M,'BSE - Other Index Options'!$C:$C,$A170,'BSE - Other Index Options'!$B:$B,C$147,'BSE - Other Index Options'!$I:$I,"Weekly*")+SUMIFS('BSE - Other Index Options'!$M:$M,'BSE - Other Index Options'!$C:$C,$A170,'BSE - Other Index Options'!$B:$B,C$147,'BSE - Other Index Options'!$I:$I,"MDAW*")=0,"",SUMIFS('BSE - SENSEX Index Options'!$M:$M,'BSE - SENSEX Index Options'!$C:$C,$A170,'BSE - SENSEX Index Options'!$B:$B,C$147,'BSE - SENSEX Index Options'!$I:$I,"Weekly*")+SUMIFS('BSE - SENSEX Index Options'!$M:$M,'BSE - SENSEX Index Options'!$C:$C,$A170,'BSE - SENSEX Index Options'!$B:$B,C$147,'BSE - SENSEX Index Options'!$I:$I,"MDAW*")+SUMIFS('BSE - Other Index Options'!$M:$M,'BSE - Other Index Options'!$C:$C,$A170,'BSE - Other Index Options'!$B:$B,C$147,'BSE - Other Index Options'!$I:$I,"Weekly*")+SUMIFS('BSE - Other Index Options'!$M:$M,'BSE - Other Index Options'!$C:$C,$A170,'BSE - Other Index Options'!$B:$B,C$147,'BSE - Other Index Options'!$I:$I,"MDAW*"))</f>
        <v/>
      </c>
      <c r="D170" s="26">
        <f>IF(SUMIFS('BSE - SENSEX Index Options'!$M:$M,'BSE - SENSEX Index Options'!$C:$C,$A170,'BSE - SENSEX Index Options'!$B:$B,D$147,'BSE - SENSEX Index Options'!$I:$I,"Weekly*")+SUMIFS('BSE - SENSEX Index Options'!$M:$M,'BSE - SENSEX Index Options'!$C:$C,$A170,'BSE - SENSEX Index Options'!$B:$B,D$147,'BSE - SENSEX Index Options'!$I:$I,"MDAW*")+SUMIFS('BSE - Other Index Options'!$M:$M,'BSE - Other Index Options'!$C:$C,$A170,'BSE - Other Index Options'!$B:$B,D$147,'BSE - Other Index Options'!$I:$I,"Weekly*")+SUMIFS('BSE - Other Index Options'!$M:$M,'BSE - Other Index Options'!$C:$C,$A170,'BSE - Other Index Options'!$B:$B,D$147,'BSE - Other Index Options'!$I:$I,"MDAW*")=0,"",SUMIFS('BSE - SENSEX Index Options'!$M:$M,'BSE - SENSEX Index Options'!$C:$C,$A170,'BSE - SENSEX Index Options'!$B:$B,D$147,'BSE - SENSEX Index Options'!$I:$I,"Weekly*")+SUMIFS('BSE - SENSEX Index Options'!$M:$M,'BSE - SENSEX Index Options'!$C:$C,$A170,'BSE - SENSEX Index Options'!$B:$B,D$147,'BSE - SENSEX Index Options'!$I:$I,"MDAW*")+SUMIFS('BSE - Other Index Options'!$M:$M,'BSE - Other Index Options'!$C:$C,$A170,'BSE - Other Index Options'!$B:$B,D$147,'BSE - Other Index Options'!$I:$I,"Weekly*")+SUMIFS('BSE - Other Index Options'!$M:$M,'BSE - Other Index Options'!$C:$C,$A170,'BSE - Other Index Options'!$B:$B,D$147,'BSE - Other Index Options'!$I:$I,"MDAW*"))</f>
        <v/>
      </c>
      <c r="E170" s="26">
        <f>IF(SUMIFS('BSE - SENSEX Index Options'!$M:$M,'BSE - SENSEX Index Options'!$C:$C,$A170,'BSE - SENSEX Index Options'!$B:$B,E$147,'BSE - SENSEX Index Options'!$I:$I,"Weekly*")+SUMIFS('BSE - SENSEX Index Options'!$M:$M,'BSE - SENSEX Index Options'!$C:$C,$A170,'BSE - SENSEX Index Options'!$B:$B,E$147,'BSE - SENSEX Index Options'!$I:$I,"MDAW*")+SUMIFS('BSE - Other Index Options'!$M:$M,'BSE - Other Index Options'!$C:$C,$A170,'BSE - Other Index Options'!$B:$B,E$147,'BSE - Other Index Options'!$I:$I,"Weekly*")+SUMIFS('BSE - Other Index Options'!$M:$M,'BSE - Other Index Options'!$C:$C,$A170,'BSE - Other Index Options'!$B:$B,E$147,'BSE - Other Index Options'!$I:$I,"MDAW*")=0,"",SUMIFS('BSE - SENSEX Index Options'!$M:$M,'BSE - SENSEX Index Options'!$C:$C,$A170,'BSE - SENSEX Index Options'!$B:$B,E$147,'BSE - SENSEX Index Options'!$I:$I,"Weekly*")+SUMIFS('BSE - SENSEX Index Options'!$M:$M,'BSE - SENSEX Index Options'!$C:$C,$A170,'BSE - SENSEX Index Options'!$B:$B,E$147,'BSE - SENSEX Index Options'!$I:$I,"MDAW*")+SUMIFS('BSE - Other Index Options'!$M:$M,'BSE - Other Index Options'!$C:$C,$A170,'BSE - Other Index Options'!$B:$B,E$147,'BSE - Other Index Options'!$I:$I,"Weekly*")+SUMIFS('BSE - Other Index Options'!$M:$M,'BSE - Other Index Options'!$C:$C,$A170,'BSE - Other Index Options'!$B:$B,E$147,'BSE - Other Index Options'!$I:$I,"MDAW*"))</f>
        <v/>
      </c>
      <c r="F170" s="26">
        <f>IF(SUMIFS('BSE - SENSEX Index Options'!$M:$M,'BSE - SENSEX Index Options'!$C:$C,$A170,'BSE - SENSEX Index Options'!$B:$B,F$147,'BSE - SENSEX Index Options'!$I:$I,"Weekly*")+SUMIFS('BSE - SENSEX Index Options'!$M:$M,'BSE - SENSEX Index Options'!$C:$C,$A170,'BSE - SENSEX Index Options'!$B:$B,F$147,'BSE - SENSEX Index Options'!$I:$I,"MDAW*")+SUMIFS('BSE - Other Index Options'!$M:$M,'BSE - Other Index Options'!$C:$C,$A170,'BSE - Other Index Options'!$B:$B,F$147,'BSE - Other Index Options'!$I:$I,"Weekly*")+SUMIFS('BSE - Other Index Options'!$M:$M,'BSE - Other Index Options'!$C:$C,$A170,'BSE - Other Index Options'!$B:$B,F$147,'BSE - Other Index Options'!$I:$I,"MDAW*")=0,"",SUMIFS('BSE - SENSEX Index Options'!$M:$M,'BSE - SENSEX Index Options'!$C:$C,$A170,'BSE - SENSEX Index Options'!$B:$B,F$147,'BSE - SENSEX Index Options'!$I:$I,"Weekly*")+SUMIFS('BSE - SENSEX Index Options'!$M:$M,'BSE - SENSEX Index Options'!$C:$C,$A170,'BSE - SENSEX Index Options'!$B:$B,F$147,'BSE - SENSEX Index Options'!$I:$I,"MDAW*")+SUMIFS('BSE - Other Index Options'!$M:$M,'BSE - Other Index Options'!$C:$C,$A170,'BSE - Other Index Options'!$B:$B,F$147,'BSE - Other Index Options'!$I:$I,"Weekly*")+SUMIFS('BSE - Other Index Options'!$M:$M,'BSE - Other Index Options'!$C:$C,$A170,'BSE - Other Index Options'!$B:$B,F$147,'BSE - Other Index Options'!$I:$I,"MDAW*"))</f>
        <v/>
      </c>
      <c r="G170" s="26">
        <f>IF(SUMIFS('BSE - SENSEX Index Options'!$M:$M,'BSE - SENSEX Index Options'!$C:$C,$A170,'BSE - SENSEX Index Options'!$B:$B,G$147,'BSE - SENSEX Index Options'!$I:$I,"Weekly*")+SUMIFS('BSE - SENSEX Index Options'!$M:$M,'BSE - SENSEX Index Options'!$C:$C,$A170,'BSE - SENSEX Index Options'!$B:$B,G$147,'BSE - SENSEX Index Options'!$I:$I,"MDAW*")+SUMIFS('BSE - Other Index Options'!$M:$M,'BSE - Other Index Options'!$C:$C,$A170,'BSE - Other Index Options'!$B:$B,G$147,'BSE - Other Index Options'!$I:$I,"Weekly*")+SUMIFS('BSE - Other Index Options'!$M:$M,'BSE - Other Index Options'!$C:$C,$A170,'BSE - Other Index Options'!$B:$B,G$147,'BSE - Other Index Options'!$I:$I,"MDAW*")=0,"",SUMIFS('BSE - SENSEX Index Options'!$M:$M,'BSE - SENSEX Index Options'!$C:$C,$A170,'BSE - SENSEX Index Options'!$B:$B,G$147,'BSE - SENSEX Index Options'!$I:$I,"Weekly*")+SUMIFS('BSE - SENSEX Index Options'!$M:$M,'BSE - SENSEX Index Options'!$C:$C,$A170,'BSE - SENSEX Index Options'!$B:$B,G$147,'BSE - SENSEX Index Options'!$I:$I,"MDAW*")+SUMIFS('BSE - Other Index Options'!$M:$M,'BSE - Other Index Options'!$C:$C,$A170,'BSE - Other Index Options'!$B:$B,G$147,'BSE - Other Index Options'!$I:$I,"Weekly*")+SUMIFS('BSE - Other Index Options'!$M:$M,'BSE - Other Index Options'!$C:$C,$A170,'BSE - Other Index Options'!$B:$B,G$147,'BSE - Other Index Options'!$I:$I,"MDAW*"))</f>
        <v/>
      </c>
      <c r="H170" s="26">
        <f>IF(SUM(B170:G170)=0,"",SUM(B170:G170))</f>
        <v/>
      </c>
    </row>
    <row r="171">
      <c r="A171" t="inlineStr">
        <is>
          <t>Week4-Jan-2026</t>
        </is>
      </c>
      <c r="B171" s="26">
        <f>IF(SUMIFS('BSE - SENSEX Index Options'!$M:$M,'BSE - SENSEX Index Options'!$C:$C,$A171,'BSE - SENSEX Index Options'!$B:$B,B$147,'BSE - SENSEX Index Options'!$I:$I,"Weekly*")+SUMIFS('BSE - SENSEX Index Options'!$M:$M,'BSE - SENSEX Index Options'!$C:$C,$A171,'BSE - SENSEX Index Options'!$B:$B,B$147,'BSE - SENSEX Index Options'!$I:$I,"MDAW*")+SUMIFS('BSE - Other Index Options'!$M:$M,'BSE - Other Index Options'!$C:$C,$A171,'BSE - Other Index Options'!$B:$B,B$147,'BSE - Other Index Options'!$I:$I,"Weekly*")+SUMIFS('BSE - Other Index Options'!$M:$M,'BSE - Other Index Options'!$C:$C,$A171,'BSE - Other Index Options'!$B:$B,B$147,'BSE - Other Index Options'!$I:$I,"MDAW*")=0,"",SUMIFS('BSE - SENSEX Index Options'!$M:$M,'BSE - SENSEX Index Options'!$C:$C,$A171,'BSE - SENSEX Index Options'!$B:$B,B$147,'BSE - SENSEX Index Options'!$I:$I,"Weekly*")+SUMIFS('BSE - SENSEX Index Options'!$M:$M,'BSE - SENSEX Index Options'!$C:$C,$A171,'BSE - SENSEX Index Options'!$B:$B,B$147,'BSE - SENSEX Index Options'!$I:$I,"MDAW*")+SUMIFS('BSE - Other Index Options'!$M:$M,'BSE - Other Index Options'!$C:$C,$A171,'BSE - Other Index Options'!$B:$B,B$147,'BSE - Other Index Options'!$I:$I,"Weekly*")+SUMIFS('BSE - Other Index Options'!$M:$M,'BSE - Other Index Options'!$C:$C,$A171,'BSE - Other Index Options'!$B:$B,B$147,'BSE - Other Index Options'!$I:$I,"MDAW*"))</f>
        <v/>
      </c>
      <c r="C171" s="26">
        <f>IF(SUMIFS('BSE - SENSEX Index Options'!$M:$M,'BSE - SENSEX Index Options'!$C:$C,$A171,'BSE - SENSEX Index Options'!$B:$B,C$147,'BSE - SENSEX Index Options'!$I:$I,"Weekly*")+SUMIFS('BSE - SENSEX Index Options'!$M:$M,'BSE - SENSEX Index Options'!$C:$C,$A171,'BSE - SENSEX Index Options'!$B:$B,C$147,'BSE - SENSEX Index Options'!$I:$I,"MDAW*")+SUMIFS('BSE - Other Index Options'!$M:$M,'BSE - Other Index Options'!$C:$C,$A171,'BSE - Other Index Options'!$B:$B,C$147,'BSE - Other Index Options'!$I:$I,"Weekly*")+SUMIFS('BSE - Other Index Options'!$M:$M,'BSE - Other Index Options'!$C:$C,$A171,'BSE - Other Index Options'!$B:$B,C$147,'BSE - Other Index Options'!$I:$I,"MDAW*")=0,"",SUMIFS('BSE - SENSEX Index Options'!$M:$M,'BSE - SENSEX Index Options'!$C:$C,$A171,'BSE - SENSEX Index Options'!$B:$B,C$147,'BSE - SENSEX Index Options'!$I:$I,"Weekly*")+SUMIFS('BSE - SENSEX Index Options'!$M:$M,'BSE - SENSEX Index Options'!$C:$C,$A171,'BSE - SENSEX Index Options'!$B:$B,C$147,'BSE - SENSEX Index Options'!$I:$I,"MDAW*")+SUMIFS('BSE - Other Index Options'!$M:$M,'BSE - Other Index Options'!$C:$C,$A171,'BSE - Other Index Options'!$B:$B,C$147,'BSE - Other Index Options'!$I:$I,"Weekly*")+SUMIFS('BSE - Other Index Options'!$M:$M,'BSE - Other Index Options'!$C:$C,$A171,'BSE - Other Index Options'!$B:$B,C$147,'BSE - Other Index Options'!$I:$I,"MDAW*"))</f>
        <v/>
      </c>
      <c r="D171" s="26">
        <f>IF(SUMIFS('BSE - SENSEX Index Options'!$M:$M,'BSE - SENSEX Index Options'!$C:$C,$A171,'BSE - SENSEX Index Options'!$B:$B,D$147,'BSE - SENSEX Index Options'!$I:$I,"Weekly*")+SUMIFS('BSE - SENSEX Index Options'!$M:$M,'BSE - SENSEX Index Options'!$C:$C,$A171,'BSE - SENSEX Index Options'!$B:$B,D$147,'BSE - SENSEX Index Options'!$I:$I,"MDAW*")+SUMIFS('BSE - Other Index Options'!$M:$M,'BSE - Other Index Options'!$C:$C,$A171,'BSE - Other Index Options'!$B:$B,D$147,'BSE - Other Index Options'!$I:$I,"Weekly*")+SUMIFS('BSE - Other Index Options'!$M:$M,'BSE - Other Index Options'!$C:$C,$A171,'BSE - Other Index Options'!$B:$B,D$147,'BSE - Other Index Options'!$I:$I,"MDAW*")=0,"",SUMIFS('BSE - SENSEX Index Options'!$M:$M,'BSE - SENSEX Index Options'!$C:$C,$A171,'BSE - SENSEX Index Options'!$B:$B,D$147,'BSE - SENSEX Index Options'!$I:$I,"Weekly*")+SUMIFS('BSE - SENSEX Index Options'!$M:$M,'BSE - SENSEX Index Options'!$C:$C,$A171,'BSE - SENSEX Index Options'!$B:$B,D$147,'BSE - SENSEX Index Options'!$I:$I,"MDAW*")+SUMIFS('BSE - Other Index Options'!$M:$M,'BSE - Other Index Options'!$C:$C,$A171,'BSE - Other Index Options'!$B:$B,D$147,'BSE - Other Index Options'!$I:$I,"Weekly*")+SUMIFS('BSE - Other Index Options'!$M:$M,'BSE - Other Index Options'!$C:$C,$A171,'BSE - Other Index Options'!$B:$B,D$147,'BSE - Other Index Options'!$I:$I,"MDAW*"))</f>
        <v/>
      </c>
      <c r="E171" s="26">
        <f>IF(SUMIFS('BSE - SENSEX Index Options'!$M:$M,'BSE - SENSEX Index Options'!$C:$C,$A171,'BSE - SENSEX Index Options'!$B:$B,E$147,'BSE - SENSEX Index Options'!$I:$I,"Weekly*")+SUMIFS('BSE - SENSEX Index Options'!$M:$M,'BSE - SENSEX Index Options'!$C:$C,$A171,'BSE - SENSEX Index Options'!$B:$B,E$147,'BSE - SENSEX Index Options'!$I:$I,"MDAW*")+SUMIFS('BSE - Other Index Options'!$M:$M,'BSE - Other Index Options'!$C:$C,$A171,'BSE - Other Index Options'!$B:$B,E$147,'BSE - Other Index Options'!$I:$I,"Weekly*")+SUMIFS('BSE - Other Index Options'!$M:$M,'BSE - Other Index Options'!$C:$C,$A171,'BSE - Other Index Options'!$B:$B,E$147,'BSE - Other Index Options'!$I:$I,"MDAW*")=0,"",SUMIFS('BSE - SENSEX Index Options'!$M:$M,'BSE - SENSEX Index Options'!$C:$C,$A171,'BSE - SENSEX Index Options'!$B:$B,E$147,'BSE - SENSEX Index Options'!$I:$I,"Weekly*")+SUMIFS('BSE - SENSEX Index Options'!$M:$M,'BSE - SENSEX Index Options'!$C:$C,$A171,'BSE - SENSEX Index Options'!$B:$B,E$147,'BSE - SENSEX Index Options'!$I:$I,"MDAW*")+SUMIFS('BSE - Other Index Options'!$M:$M,'BSE - Other Index Options'!$C:$C,$A171,'BSE - Other Index Options'!$B:$B,E$147,'BSE - Other Index Options'!$I:$I,"Weekly*")+SUMIFS('BSE - Other Index Options'!$M:$M,'BSE - Other Index Options'!$C:$C,$A171,'BSE - Other Index Options'!$B:$B,E$147,'BSE - Other Index Options'!$I:$I,"MDAW*"))</f>
        <v/>
      </c>
      <c r="F171" s="26">
        <f>IF(SUMIFS('BSE - SENSEX Index Options'!$M:$M,'BSE - SENSEX Index Options'!$C:$C,$A171,'BSE - SENSEX Index Options'!$B:$B,F$147,'BSE - SENSEX Index Options'!$I:$I,"Weekly*")+SUMIFS('BSE - SENSEX Index Options'!$M:$M,'BSE - SENSEX Index Options'!$C:$C,$A171,'BSE - SENSEX Index Options'!$B:$B,F$147,'BSE - SENSEX Index Options'!$I:$I,"MDAW*")+SUMIFS('BSE - Other Index Options'!$M:$M,'BSE - Other Index Options'!$C:$C,$A171,'BSE - Other Index Options'!$B:$B,F$147,'BSE - Other Index Options'!$I:$I,"Weekly*")+SUMIFS('BSE - Other Index Options'!$M:$M,'BSE - Other Index Options'!$C:$C,$A171,'BSE - Other Index Options'!$B:$B,F$147,'BSE - Other Index Options'!$I:$I,"MDAW*")=0,"",SUMIFS('BSE - SENSEX Index Options'!$M:$M,'BSE - SENSEX Index Options'!$C:$C,$A171,'BSE - SENSEX Index Options'!$B:$B,F$147,'BSE - SENSEX Index Options'!$I:$I,"Weekly*")+SUMIFS('BSE - SENSEX Index Options'!$M:$M,'BSE - SENSEX Index Options'!$C:$C,$A171,'BSE - SENSEX Index Options'!$B:$B,F$147,'BSE - SENSEX Index Options'!$I:$I,"MDAW*")+SUMIFS('BSE - Other Index Options'!$M:$M,'BSE - Other Index Options'!$C:$C,$A171,'BSE - Other Index Options'!$B:$B,F$147,'BSE - Other Index Options'!$I:$I,"Weekly*")+SUMIFS('BSE - Other Index Options'!$M:$M,'BSE - Other Index Options'!$C:$C,$A171,'BSE - Other Index Options'!$B:$B,F$147,'BSE - Other Index Options'!$I:$I,"MDAW*"))</f>
        <v/>
      </c>
      <c r="G171" s="26">
        <f>IF(SUMIFS('BSE - SENSEX Index Options'!$M:$M,'BSE - SENSEX Index Options'!$C:$C,$A171,'BSE - SENSEX Index Options'!$B:$B,G$147,'BSE - SENSEX Index Options'!$I:$I,"Weekly*")+SUMIFS('BSE - SENSEX Index Options'!$M:$M,'BSE - SENSEX Index Options'!$C:$C,$A171,'BSE - SENSEX Index Options'!$B:$B,G$147,'BSE - SENSEX Index Options'!$I:$I,"MDAW*")+SUMIFS('BSE - Other Index Options'!$M:$M,'BSE - Other Index Options'!$C:$C,$A171,'BSE - Other Index Options'!$B:$B,G$147,'BSE - Other Index Options'!$I:$I,"Weekly*")+SUMIFS('BSE - Other Index Options'!$M:$M,'BSE - Other Index Options'!$C:$C,$A171,'BSE - Other Index Options'!$B:$B,G$147,'BSE - Other Index Options'!$I:$I,"MDAW*")=0,"",SUMIFS('BSE - SENSEX Index Options'!$M:$M,'BSE - SENSEX Index Options'!$C:$C,$A171,'BSE - SENSEX Index Options'!$B:$B,G$147,'BSE - SENSEX Index Options'!$I:$I,"Weekly*")+SUMIFS('BSE - SENSEX Index Options'!$M:$M,'BSE - SENSEX Index Options'!$C:$C,$A171,'BSE - SENSEX Index Options'!$B:$B,G$147,'BSE - SENSEX Index Options'!$I:$I,"MDAW*")+SUMIFS('BSE - Other Index Options'!$M:$M,'BSE - Other Index Options'!$C:$C,$A171,'BSE - Other Index Options'!$B:$B,G$147,'BSE - Other Index Options'!$I:$I,"Weekly*")+SUMIFS('BSE - Other Index Options'!$M:$M,'BSE - Other Index Options'!$C:$C,$A171,'BSE - Other Index Options'!$B:$B,G$147,'BSE - Other Index Options'!$I:$I,"MDAW*"))</f>
        <v/>
      </c>
      <c r="H171" s="26">
        <f>IF(SUM(B171:G171)=0,"",SUM(B171:G171))</f>
        <v/>
      </c>
    </row>
    <row r="172">
      <c r="A172" t="inlineStr">
        <is>
          <t>Week5-Jan-2026</t>
        </is>
      </c>
      <c r="B172" s="26">
        <f>IF(SUMIFS('BSE - SENSEX Index Options'!$M:$M,'BSE - SENSEX Index Options'!$C:$C,$A172,'BSE - SENSEX Index Options'!$B:$B,B$147,'BSE - SENSEX Index Options'!$I:$I,"Weekly*")+SUMIFS('BSE - SENSEX Index Options'!$M:$M,'BSE - SENSEX Index Options'!$C:$C,$A172,'BSE - SENSEX Index Options'!$B:$B,B$147,'BSE - SENSEX Index Options'!$I:$I,"MDAW*")+SUMIFS('BSE - Other Index Options'!$M:$M,'BSE - Other Index Options'!$C:$C,$A172,'BSE - Other Index Options'!$B:$B,B$147,'BSE - Other Index Options'!$I:$I,"Weekly*")+SUMIFS('BSE - Other Index Options'!$M:$M,'BSE - Other Index Options'!$C:$C,$A172,'BSE - Other Index Options'!$B:$B,B$147,'BSE - Other Index Options'!$I:$I,"MDAW*")=0,"",SUMIFS('BSE - SENSEX Index Options'!$M:$M,'BSE - SENSEX Index Options'!$C:$C,$A172,'BSE - SENSEX Index Options'!$B:$B,B$147,'BSE - SENSEX Index Options'!$I:$I,"Weekly*")+SUMIFS('BSE - SENSEX Index Options'!$M:$M,'BSE - SENSEX Index Options'!$C:$C,$A172,'BSE - SENSEX Index Options'!$B:$B,B$147,'BSE - SENSEX Index Options'!$I:$I,"MDAW*")+SUMIFS('BSE - Other Index Options'!$M:$M,'BSE - Other Index Options'!$C:$C,$A172,'BSE - Other Index Options'!$B:$B,B$147,'BSE - Other Index Options'!$I:$I,"Weekly*")+SUMIFS('BSE - Other Index Options'!$M:$M,'BSE - Other Index Options'!$C:$C,$A172,'BSE - Other Index Options'!$B:$B,B$147,'BSE - Other Index Options'!$I:$I,"MDAW*"))</f>
        <v/>
      </c>
      <c r="C172" s="26">
        <f>IF(SUMIFS('BSE - SENSEX Index Options'!$M:$M,'BSE - SENSEX Index Options'!$C:$C,$A172,'BSE - SENSEX Index Options'!$B:$B,C$147,'BSE - SENSEX Index Options'!$I:$I,"Weekly*")+SUMIFS('BSE - SENSEX Index Options'!$M:$M,'BSE - SENSEX Index Options'!$C:$C,$A172,'BSE - SENSEX Index Options'!$B:$B,C$147,'BSE - SENSEX Index Options'!$I:$I,"MDAW*")+SUMIFS('BSE - Other Index Options'!$M:$M,'BSE - Other Index Options'!$C:$C,$A172,'BSE - Other Index Options'!$B:$B,C$147,'BSE - Other Index Options'!$I:$I,"Weekly*")+SUMIFS('BSE - Other Index Options'!$M:$M,'BSE - Other Index Options'!$C:$C,$A172,'BSE - Other Index Options'!$B:$B,C$147,'BSE - Other Index Options'!$I:$I,"MDAW*")=0,"",SUMIFS('BSE - SENSEX Index Options'!$M:$M,'BSE - SENSEX Index Options'!$C:$C,$A172,'BSE - SENSEX Index Options'!$B:$B,C$147,'BSE - SENSEX Index Options'!$I:$I,"Weekly*")+SUMIFS('BSE - SENSEX Index Options'!$M:$M,'BSE - SENSEX Index Options'!$C:$C,$A172,'BSE - SENSEX Index Options'!$B:$B,C$147,'BSE - SENSEX Index Options'!$I:$I,"MDAW*")+SUMIFS('BSE - Other Index Options'!$M:$M,'BSE - Other Index Options'!$C:$C,$A172,'BSE - Other Index Options'!$B:$B,C$147,'BSE - Other Index Options'!$I:$I,"Weekly*")+SUMIFS('BSE - Other Index Options'!$M:$M,'BSE - Other Index Options'!$C:$C,$A172,'BSE - Other Index Options'!$B:$B,C$147,'BSE - Other Index Options'!$I:$I,"MDAW*"))</f>
        <v/>
      </c>
      <c r="D172" s="26">
        <f>IF(SUMIFS('BSE - SENSEX Index Options'!$M:$M,'BSE - SENSEX Index Options'!$C:$C,$A172,'BSE - SENSEX Index Options'!$B:$B,D$147,'BSE - SENSEX Index Options'!$I:$I,"Weekly*")+SUMIFS('BSE - SENSEX Index Options'!$M:$M,'BSE - SENSEX Index Options'!$C:$C,$A172,'BSE - SENSEX Index Options'!$B:$B,D$147,'BSE - SENSEX Index Options'!$I:$I,"MDAW*")+SUMIFS('BSE - Other Index Options'!$M:$M,'BSE - Other Index Options'!$C:$C,$A172,'BSE - Other Index Options'!$B:$B,D$147,'BSE - Other Index Options'!$I:$I,"Weekly*")+SUMIFS('BSE - Other Index Options'!$M:$M,'BSE - Other Index Options'!$C:$C,$A172,'BSE - Other Index Options'!$B:$B,D$147,'BSE - Other Index Options'!$I:$I,"MDAW*")=0,"",SUMIFS('BSE - SENSEX Index Options'!$M:$M,'BSE - SENSEX Index Options'!$C:$C,$A172,'BSE - SENSEX Index Options'!$B:$B,D$147,'BSE - SENSEX Index Options'!$I:$I,"Weekly*")+SUMIFS('BSE - SENSEX Index Options'!$M:$M,'BSE - SENSEX Index Options'!$C:$C,$A172,'BSE - SENSEX Index Options'!$B:$B,D$147,'BSE - SENSEX Index Options'!$I:$I,"MDAW*")+SUMIFS('BSE - Other Index Options'!$M:$M,'BSE - Other Index Options'!$C:$C,$A172,'BSE - Other Index Options'!$B:$B,D$147,'BSE - Other Index Options'!$I:$I,"Weekly*")+SUMIFS('BSE - Other Index Options'!$M:$M,'BSE - Other Index Options'!$C:$C,$A172,'BSE - Other Index Options'!$B:$B,D$147,'BSE - Other Index Options'!$I:$I,"MDAW*"))</f>
        <v/>
      </c>
      <c r="E172" s="26">
        <f>IF(SUMIFS('BSE - SENSEX Index Options'!$M:$M,'BSE - SENSEX Index Options'!$C:$C,$A172,'BSE - SENSEX Index Options'!$B:$B,E$147,'BSE - SENSEX Index Options'!$I:$I,"Weekly*")+SUMIFS('BSE - SENSEX Index Options'!$M:$M,'BSE - SENSEX Index Options'!$C:$C,$A172,'BSE - SENSEX Index Options'!$B:$B,E$147,'BSE - SENSEX Index Options'!$I:$I,"MDAW*")+SUMIFS('BSE - Other Index Options'!$M:$M,'BSE - Other Index Options'!$C:$C,$A172,'BSE - Other Index Options'!$B:$B,E$147,'BSE - Other Index Options'!$I:$I,"Weekly*")+SUMIFS('BSE - Other Index Options'!$M:$M,'BSE - Other Index Options'!$C:$C,$A172,'BSE - Other Index Options'!$B:$B,E$147,'BSE - Other Index Options'!$I:$I,"MDAW*")=0,"",SUMIFS('BSE - SENSEX Index Options'!$M:$M,'BSE - SENSEX Index Options'!$C:$C,$A172,'BSE - SENSEX Index Options'!$B:$B,E$147,'BSE - SENSEX Index Options'!$I:$I,"Weekly*")+SUMIFS('BSE - SENSEX Index Options'!$M:$M,'BSE - SENSEX Index Options'!$C:$C,$A172,'BSE - SENSEX Index Options'!$B:$B,E$147,'BSE - SENSEX Index Options'!$I:$I,"MDAW*")+SUMIFS('BSE - Other Index Options'!$M:$M,'BSE - Other Index Options'!$C:$C,$A172,'BSE - Other Index Options'!$B:$B,E$147,'BSE - Other Index Options'!$I:$I,"Weekly*")+SUMIFS('BSE - Other Index Options'!$M:$M,'BSE - Other Index Options'!$C:$C,$A172,'BSE - Other Index Options'!$B:$B,E$147,'BSE - Other Index Options'!$I:$I,"MDAW*"))</f>
        <v/>
      </c>
      <c r="F172" s="26">
        <f>IF(SUMIFS('BSE - SENSEX Index Options'!$M:$M,'BSE - SENSEX Index Options'!$C:$C,$A172,'BSE - SENSEX Index Options'!$B:$B,F$147,'BSE - SENSEX Index Options'!$I:$I,"Weekly*")+SUMIFS('BSE - SENSEX Index Options'!$M:$M,'BSE - SENSEX Index Options'!$C:$C,$A172,'BSE - SENSEX Index Options'!$B:$B,F$147,'BSE - SENSEX Index Options'!$I:$I,"MDAW*")+SUMIFS('BSE - Other Index Options'!$M:$M,'BSE - Other Index Options'!$C:$C,$A172,'BSE - Other Index Options'!$B:$B,F$147,'BSE - Other Index Options'!$I:$I,"Weekly*")+SUMIFS('BSE - Other Index Options'!$M:$M,'BSE - Other Index Options'!$C:$C,$A172,'BSE - Other Index Options'!$B:$B,F$147,'BSE - Other Index Options'!$I:$I,"MDAW*")=0,"",SUMIFS('BSE - SENSEX Index Options'!$M:$M,'BSE - SENSEX Index Options'!$C:$C,$A172,'BSE - SENSEX Index Options'!$B:$B,F$147,'BSE - SENSEX Index Options'!$I:$I,"Weekly*")+SUMIFS('BSE - SENSEX Index Options'!$M:$M,'BSE - SENSEX Index Options'!$C:$C,$A172,'BSE - SENSEX Index Options'!$B:$B,F$147,'BSE - SENSEX Index Options'!$I:$I,"MDAW*")+SUMIFS('BSE - Other Index Options'!$M:$M,'BSE - Other Index Options'!$C:$C,$A172,'BSE - Other Index Options'!$B:$B,F$147,'BSE - Other Index Options'!$I:$I,"Weekly*")+SUMIFS('BSE - Other Index Options'!$M:$M,'BSE - Other Index Options'!$C:$C,$A172,'BSE - Other Index Options'!$B:$B,F$147,'BSE - Other Index Options'!$I:$I,"MDAW*"))</f>
        <v/>
      </c>
      <c r="G172" s="26">
        <f>IF(SUMIFS('BSE - SENSEX Index Options'!$M:$M,'BSE - SENSEX Index Options'!$C:$C,$A172,'BSE - SENSEX Index Options'!$B:$B,G$147,'BSE - SENSEX Index Options'!$I:$I,"Weekly*")+SUMIFS('BSE - SENSEX Index Options'!$M:$M,'BSE - SENSEX Index Options'!$C:$C,$A172,'BSE - SENSEX Index Options'!$B:$B,G$147,'BSE - SENSEX Index Options'!$I:$I,"MDAW*")+SUMIFS('BSE - Other Index Options'!$M:$M,'BSE - Other Index Options'!$C:$C,$A172,'BSE - Other Index Options'!$B:$B,G$147,'BSE - Other Index Options'!$I:$I,"Weekly*")+SUMIFS('BSE - Other Index Options'!$M:$M,'BSE - Other Index Options'!$C:$C,$A172,'BSE - Other Index Options'!$B:$B,G$147,'BSE - Other Index Options'!$I:$I,"MDAW*")=0,"",SUMIFS('BSE - SENSEX Index Options'!$M:$M,'BSE - SENSEX Index Options'!$C:$C,$A172,'BSE - SENSEX Index Options'!$B:$B,G$147,'BSE - SENSEX Index Options'!$I:$I,"Weekly*")+SUMIFS('BSE - SENSEX Index Options'!$M:$M,'BSE - SENSEX Index Options'!$C:$C,$A172,'BSE - SENSEX Index Options'!$B:$B,G$147,'BSE - SENSEX Index Options'!$I:$I,"MDAW*")+SUMIFS('BSE - Other Index Options'!$M:$M,'BSE - Other Index Options'!$C:$C,$A172,'BSE - Other Index Options'!$B:$B,G$147,'BSE - Other Index Options'!$I:$I,"Weekly*")+SUMIFS('BSE - Other Index Options'!$M:$M,'BSE - Other Index Options'!$C:$C,$A172,'BSE - Other Index Options'!$B:$B,G$147,'BSE - Other Index Options'!$I:$I,"MDAW*"))</f>
        <v/>
      </c>
      <c r="H172" s="26">
        <f>IF(SUM(B172:G172)=0,"",SUM(B172:G172))</f>
        <v/>
      </c>
    </row>
    <row r="173">
      <c r="A173" t="inlineStr">
        <is>
          <t>Week1-Feb-2026</t>
        </is>
      </c>
      <c r="B173" s="26">
        <f>IF(SUMIFS('BSE - SENSEX Index Options'!$M:$M,'BSE - SENSEX Index Options'!$C:$C,$A173,'BSE - SENSEX Index Options'!$B:$B,B$147,'BSE - SENSEX Index Options'!$I:$I,"Weekly*")+SUMIFS('BSE - SENSEX Index Options'!$M:$M,'BSE - SENSEX Index Options'!$C:$C,$A173,'BSE - SENSEX Index Options'!$B:$B,B$147,'BSE - SENSEX Index Options'!$I:$I,"MDAW*")+SUMIFS('BSE - Other Index Options'!$M:$M,'BSE - Other Index Options'!$C:$C,$A173,'BSE - Other Index Options'!$B:$B,B$147,'BSE - Other Index Options'!$I:$I,"Weekly*")+SUMIFS('BSE - Other Index Options'!$M:$M,'BSE - Other Index Options'!$C:$C,$A173,'BSE - Other Index Options'!$B:$B,B$147,'BSE - Other Index Options'!$I:$I,"MDAW*")=0,"",SUMIFS('BSE - SENSEX Index Options'!$M:$M,'BSE - SENSEX Index Options'!$C:$C,$A173,'BSE - SENSEX Index Options'!$B:$B,B$147,'BSE - SENSEX Index Options'!$I:$I,"Weekly*")+SUMIFS('BSE - SENSEX Index Options'!$M:$M,'BSE - SENSEX Index Options'!$C:$C,$A173,'BSE - SENSEX Index Options'!$B:$B,B$147,'BSE - SENSEX Index Options'!$I:$I,"MDAW*")+SUMIFS('BSE - Other Index Options'!$M:$M,'BSE - Other Index Options'!$C:$C,$A173,'BSE - Other Index Options'!$B:$B,B$147,'BSE - Other Index Options'!$I:$I,"Weekly*")+SUMIFS('BSE - Other Index Options'!$M:$M,'BSE - Other Index Options'!$C:$C,$A173,'BSE - Other Index Options'!$B:$B,B$147,'BSE - Other Index Options'!$I:$I,"MDAW*"))</f>
        <v/>
      </c>
      <c r="C173" s="26">
        <f>IF(SUMIFS('BSE - SENSEX Index Options'!$M:$M,'BSE - SENSEX Index Options'!$C:$C,$A173,'BSE - SENSEX Index Options'!$B:$B,C$147,'BSE - SENSEX Index Options'!$I:$I,"Weekly*")+SUMIFS('BSE - SENSEX Index Options'!$M:$M,'BSE - SENSEX Index Options'!$C:$C,$A173,'BSE - SENSEX Index Options'!$B:$B,C$147,'BSE - SENSEX Index Options'!$I:$I,"MDAW*")+SUMIFS('BSE - Other Index Options'!$M:$M,'BSE - Other Index Options'!$C:$C,$A173,'BSE - Other Index Options'!$B:$B,C$147,'BSE - Other Index Options'!$I:$I,"Weekly*")+SUMIFS('BSE - Other Index Options'!$M:$M,'BSE - Other Index Options'!$C:$C,$A173,'BSE - Other Index Options'!$B:$B,C$147,'BSE - Other Index Options'!$I:$I,"MDAW*")=0,"",SUMIFS('BSE - SENSEX Index Options'!$M:$M,'BSE - SENSEX Index Options'!$C:$C,$A173,'BSE - SENSEX Index Options'!$B:$B,C$147,'BSE - SENSEX Index Options'!$I:$I,"Weekly*")+SUMIFS('BSE - SENSEX Index Options'!$M:$M,'BSE - SENSEX Index Options'!$C:$C,$A173,'BSE - SENSEX Index Options'!$B:$B,C$147,'BSE - SENSEX Index Options'!$I:$I,"MDAW*")+SUMIFS('BSE - Other Index Options'!$M:$M,'BSE - Other Index Options'!$C:$C,$A173,'BSE - Other Index Options'!$B:$B,C$147,'BSE - Other Index Options'!$I:$I,"Weekly*")+SUMIFS('BSE - Other Index Options'!$M:$M,'BSE - Other Index Options'!$C:$C,$A173,'BSE - Other Index Options'!$B:$B,C$147,'BSE - Other Index Options'!$I:$I,"MDAW*"))</f>
        <v/>
      </c>
      <c r="D173" s="26">
        <f>IF(SUMIFS('BSE - SENSEX Index Options'!$M:$M,'BSE - SENSEX Index Options'!$C:$C,$A173,'BSE - SENSEX Index Options'!$B:$B,D$147,'BSE - SENSEX Index Options'!$I:$I,"Weekly*")+SUMIFS('BSE - SENSEX Index Options'!$M:$M,'BSE - SENSEX Index Options'!$C:$C,$A173,'BSE - SENSEX Index Options'!$B:$B,D$147,'BSE - SENSEX Index Options'!$I:$I,"MDAW*")+SUMIFS('BSE - Other Index Options'!$M:$M,'BSE - Other Index Options'!$C:$C,$A173,'BSE - Other Index Options'!$B:$B,D$147,'BSE - Other Index Options'!$I:$I,"Weekly*")+SUMIFS('BSE - Other Index Options'!$M:$M,'BSE - Other Index Options'!$C:$C,$A173,'BSE - Other Index Options'!$B:$B,D$147,'BSE - Other Index Options'!$I:$I,"MDAW*")=0,"",SUMIFS('BSE - SENSEX Index Options'!$M:$M,'BSE - SENSEX Index Options'!$C:$C,$A173,'BSE - SENSEX Index Options'!$B:$B,D$147,'BSE - SENSEX Index Options'!$I:$I,"Weekly*")+SUMIFS('BSE - SENSEX Index Options'!$M:$M,'BSE - SENSEX Index Options'!$C:$C,$A173,'BSE - SENSEX Index Options'!$B:$B,D$147,'BSE - SENSEX Index Options'!$I:$I,"MDAW*")+SUMIFS('BSE - Other Index Options'!$M:$M,'BSE - Other Index Options'!$C:$C,$A173,'BSE - Other Index Options'!$B:$B,D$147,'BSE - Other Index Options'!$I:$I,"Weekly*")+SUMIFS('BSE - Other Index Options'!$M:$M,'BSE - Other Index Options'!$C:$C,$A173,'BSE - Other Index Options'!$B:$B,D$147,'BSE - Other Index Options'!$I:$I,"MDAW*"))</f>
        <v/>
      </c>
      <c r="E173" s="26">
        <f>IF(SUMIFS('BSE - SENSEX Index Options'!$M:$M,'BSE - SENSEX Index Options'!$C:$C,$A173,'BSE - SENSEX Index Options'!$B:$B,E$147,'BSE - SENSEX Index Options'!$I:$I,"Weekly*")+SUMIFS('BSE - SENSEX Index Options'!$M:$M,'BSE - SENSEX Index Options'!$C:$C,$A173,'BSE - SENSEX Index Options'!$B:$B,E$147,'BSE - SENSEX Index Options'!$I:$I,"MDAW*")+SUMIFS('BSE - Other Index Options'!$M:$M,'BSE - Other Index Options'!$C:$C,$A173,'BSE - Other Index Options'!$B:$B,E$147,'BSE - Other Index Options'!$I:$I,"Weekly*")+SUMIFS('BSE - Other Index Options'!$M:$M,'BSE - Other Index Options'!$C:$C,$A173,'BSE - Other Index Options'!$B:$B,E$147,'BSE - Other Index Options'!$I:$I,"MDAW*")=0,"",SUMIFS('BSE - SENSEX Index Options'!$M:$M,'BSE - SENSEX Index Options'!$C:$C,$A173,'BSE - SENSEX Index Options'!$B:$B,E$147,'BSE - SENSEX Index Options'!$I:$I,"Weekly*")+SUMIFS('BSE - SENSEX Index Options'!$M:$M,'BSE - SENSEX Index Options'!$C:$C,$A173,'BSE - SENSEX Index Options'!$B:$B,E$147,'BSE - SENSEX Index Options'!$I:$I,"MDAW*")+SUMIFS('BSE - Other Index Options'!$M:$M,'BSE - Other Index Options'!$C:$C,$A173,'BSE - Other Index Options'!$B:$B,E$147,'BSE - Other Index Options'!$I:$I,"Weekly*")+SUMIFS('BSE - Other Index Options'!$M:$M,'BSE - Other Index Options'!$C:$C,$A173,'BSE - Other Index Options'!$B:$B,E$147,'BSE - Other Index Options'!$I:$I,"MDAW*"))</f>
        <v/>
      </c>
      <c r="F173" s="26">
        <f>IF(SUMIFS('BSE - SENSEX Index Options'!$M:$M,'BSE - SENSEX Index Options'!$C:$C,$A173,'BSE - SENSEX Index Options'!$B:$B,F$147,'BSE - SENSEX Index Options'!$I:$I,"Weekly*")+SUMIFS('BSE - SENSEX Index Options'!$M:$M,'BSE - SENSEX Index Options'!$C:$C,$A173,'BSE - SENSEX Index Options'!$B:$B,F$147,'BSE - SENSEX Index Options'!$I:$I,"MDAW*")+SUMIFS('BSE - Other Index Options'!$M:$M,'BSE - Other Index Options'!$C:$C,$A173,'BSE - Other Index Options'!$B:$B,F$147,'BSE - Other Index Options'!$I:$I,"Weekly*")+SUMIFS('BSE - Other Index Options'!$M:$M,'BSE - Other Index Options'!$C:$C,$A173,'BSE - Other Index Options'!$B:$B,F$147,'BSE - Other Index Options'!$I:$I,"MDAW*")=0,"",SUMIFS('BSE - SENSEX Index Options'!$M:$M,'BSE - SENSEX Index Options'!$C:$C,$A173,'BSE - SENSEX Index Options'!$B:$B,F$147,'BSE - SENSEX Index Options'!$I:$I,"Weekly*")+SUMIFS('BSE - SENSEX Index Options'!$M:$M,'BSE - SENSEX Index Options'!$C:$C,$A173,'BSE - SENSEX Index Options'!$B:$B,F$147,'BSE - SENSEX Index Options'!$I:$I,"MDAW*")+SUMIFS('BSE - Other Index Options'!$M:$M,'BSE - Other Index Options'!$C:$C,$A173,'BSE - Other Index Options'!$B:$B,F$147,'BSE - Other Index Options'!$I:$I,"Weekly*")+SUMIFS('BSE - Other Index Options'!$M:$M,'BSE - Other Index Options'!$C:$C,$A173,'BSE - Other Index Options'!$B:$B,F$147,'BSE - Other Index Options'!$I:$I,"MDAW*"))</f>
        <v/>
      </c>
      <c r="G173" s="26">
        <f>IF(SUMIFS('BSE - SENSEX Index Options'!$M:$M,'BSE - SENSEX Index Options'!$C:$C,$A173,'BSE - SENSEX Index Options'!$B:$B,G$147,'BSE - SENSEX Index Options'!$I:$I,"Weekly*")+SUMIFS('BSE - SENSEX Index Options'!$M:$M,'BSE - SENSEX Index Options'!$C:$C,$A173,'BSE - SENSEX Index Options'!$B:$B,G$147,'BSE - SENSEX Index Options'!$I:$I,"MDAW*")+SUMIFS('BSE - Other Index Options'!$M:$M,'BSE - Other Index Options'!$C:$C,$A173,'BSE - Other Index Options'!$B:$B,G$147,'BSE - Other Index Options'!$I:$I,"Weekly*")+SUMIFS('BSE - Other Index Options'!$M:$M,'BSE - Other Index Options'!$C:$C,$A173,'BSE - Other Index Options'!$B:$B,G$147,'BSE - Other Index Options'!$I:$I,"MDAW*")=0,"",SUMIFS('BSE - SENSEX Index Options'!$M:$M,'BSE - SENSEX Index Options'!$C:$C,$A173,'BSE - SENSEX Index Options'!$B:$B,G$147,'BSE - SENSEX Index Options'!$I:$I,"Weekly*")+SUMIFS('BSE - SENSEX Index Options'!$M:$M,'BSE - SENSEX Index Options'!$C:$C,$A173,'BSE - SENSEX Index Options'!$B:$B,G$147,'BSE - SENSEX Index Options'!$I:$I,"MDAW*")+SUMIFS('BSE - Other Index Options'!$M:$M,'BSE - Other Index Options'!$C:$C,$A173,'BSE - Other Index Options'!$B:$B,G$147,'BSE - Other Index Options'!$I:$I,"Weekly*")+SUMIFS('BSE - Other Index Options'!$M:$M,'BSE - Other Index Options'!$C:$C,$A173,'BSE - Other Index Options'!$B:$B,G$147,'BSE - Other Index Options'!$I:$I,"MDAW*"))</f>
        <v/>
      </c>
      <c r="H173" s="26">
        <f>IF(SUM(B173:G173)=0,"",SUM(B173:G173))</f>
        <v/>
      </c>
    </row>
    <row r="174">
      <c r="A174" t="inlineStr">
        <is>
          <t>Week2-Feb-2026</t>
        </is>
      </c>
      <c r="B174" s="26">
        <f>IF(SUMIFS('BSE - SENSEX Index Options'!$M:$M,'BSE - SENSEX Index Options'!$C:$C,$A174,'BSE - SENSEX Index Options'!$B:$B,B$147,'BSE - SENSEX Index Options'!$I:$I,"Weekly*")+SUMIFS('BSE - SENSEX Index Options'!$M:$M,'BSE - SENSEX Index Options'!$C:$C,$A174,'BSE - SENSEX Index Options'!$B:$B,B$147,'BSE - SENSEX Index Options'!$I:$I,"MDAW*")+SUMIFS('BSE - Other Index Options'!$M:$M,'BSE - Other Index Options'!$C:$C,$A174,'BSE - Other Index Options'!$B:$B,B$147,'BSE - Other Index Options'!$I:$I,"Weekly*")+SUMIFS('BSE - Other Index Options'!$M:$M,'BSE - Other Index Options'!$C:$C,$A174,'BSE - Other Index Options'!$B:$B,B$147,'BSE - Other Index Options'!$I:$I,"MDAW*")=0,"",SUMIFS('BSE - SENSEX Index Options'!$M:$M,'BSE - SENSEX Index Options'!$C:$C,$A174,'BSE - SENSEX Index Options'!$B:$B,B$147,'BSE - SENSEX Index Options'!$I:$I,"Weekly*")+SUMIFS('BSE - SENSEX Index Options'!$M:$M,'BSE - SENSEX Index Options'!$C:$C,$A174,'BSE - SENSEX Index Options'!$B:$B,B$147,'BSE - SENSEX Index Options'!$I:$I,"MDAW*")+SUMIFS('BSE - Other Index Options'!$M:$M,'BSE - Other Index Options'!$C:$C,$A174,'BSE - Other Index Options'!$B:$B,B$147,'BSE - Other Index Options'!$I:$I,"Weekly*")+SUMIFS('BSE - Other Index Options'!$M:$M,'BSE - Other Index Options'!$C:$C,$A174,'BSE - Other Index Options'!$B:$B,B$147,'BSE - Other Index Options'!$I:$I,"MDAW*"))</f>
        <v/>
      </c>
      <c r="C174" s="26">
        <f>IF(SUMIFS('BSE - SENSEX Index Options'!$M:$M,'BSE - SENSEX Index Options'!$C:$C,$A174,'BSE - SENSEX Index Options'!$B:$B,C$147,'BSE - SENSEX Index Options'!$I:$I,"Weekly*")+SUMIFS('BSE - SENSEX Index Options'!$M:$M,'BSE - SENSEX Index Options'!$C:$C,$A174,'BSE - SENSEX Index Options'!$B:$B,C$147,'BSE - SENSEX Index Options'!$I:$I,"MDAW*")+SUMIFS('BSE - Other Index Options'!$M:$M,'BSE - Other Index Options'!$C:$C,$A174,'BSE - Other Index Options'!$B:$B,C$147,'BSE - Other Index Options'!$I:$I,"Weekly*")+SUMIFS('BSE - Other Index Options'!$M:$M,'BSE - Other Index Options'!$C:$C,$A174,'BSE - Other Index Options'!$B:$B,C$147,'BSE - Other Index Options'!$I:$I,"MDAW*")=0,"",SUMIFS('BSE - SENSEX Index Options'!$M:$M,'BSE - SENSEX Index Options'!$C:$C,$A174,'BSE - SENSEX Index Options'!$B:$B,C$147,'BSE - SENSEX Index Options'!$I:$I,"Weekly*")+SUMIFS('BSE - SENSEX Index Options'!$M:$M,'BSE - SENSEX Index Options'!$C:$C,$A174,'BSE - SENSEX Index Options'!$B:$B,C$147,'BSE - SENSEX Index Options'!$I:$I,"MDAW*")+SUMIFS('BSE - Other Index Options'!$M:$M,'BSE - Other Index Options'!$C:$C,$A174,'BSE - Other Index Options'!$B:$B,C$147,'BSE - Other Index Options'!$I:$I,"Weekly*")+SUMIFS('BSE - Other Index Options'!$M:$M,'BSE - Other Index Options'!$C:$C,$A174,'BSE - Other Index Options'!$B:$B,C$147,'BSE - Other Index Options'!$I:$I,"MDAW*"))</f>
        <v/>
      </c>
      <c r="D174" s="26">
        <f>IF(SUMIFS('BSE - SENSEX Index Options'!$M:$M,'BSE - SENSEX Index Options'!$C:$C,$A174,'BSE - SENSEX Index Options'!$B:$B,D$147,'BSE - SENSEX Index Options'!$I:$I,"Weekly*")+SUMIFS('BSE - SENSEX Index Options'!$M:$M,'BSE - SENSEX Index Options'!$C:$C,$A174,'BSE - SENSEX Index Options'!$B:$B,D$147,'BSE - SENSEX Index Options'!$I:$I,"MDAW*")+SUMIFS('BSE - Other Index Options'!$M:$M,'BSE - Other Index Options'!$C:$C,$A174,'BSE - Other Index Options'!$B:$B,D$147,'BSE - Other Index Options'!$I:$I,"Weekly*")+SUMIFS('BSE - Other Index Options'!$M:$M,'BSE - Other Index Options'!$C:$C,$A174,'BSE - Other Index Options'!$B:$B,D$147,'BSE - Other Index Options'!$I:$I,"MDAW*")=0,"",SUMIFS('BSE - SENSEX Index Options'!$M:$M,'BSE - SENSEX Index Options'!$C:$C,$A174,'BSE - SENSEX Index Options'!$B:$B,D$147,'BSE - SENSEX Index Options'!$I:$I,"Weekly*")+SUMIFS('BSE - SENSEX Index Options'!$M:$M,'BSE - SENSEX Index Options'!$C:$C,$A174,'BSE - SENSEX Index Options'!$B:$B,D$147,'BSE - SENSEX Index Options'!$I:$I,"MDAW*")+SUMIFS('BSE - Other Index Options'!$M:$M,'BSE - Other Index Options'!$C:$C,$A174,'BSE - Other Index Options'!$B:$B,D$147,'BSE - Other Index Options'!$I:$I,"Weekly*")+SUMIFS('BSE - Other Index Options'!$M:$M,'BSE - Other Index Options'!$C:$C,$A174,'BSE - Other Index Options'!$B:$B,D$147,'BSE - Other Index Options'!$I:$I,"MDAW*"))</f>
        <v/>
      </c>
      <c r="E174" s="26">
        <f>IF(SUMIFS('BSE - SENSEX Index Options'!$M:$M,'BSE - SENSEX Index Options'!$C:$C,$A174,'BSE - SENSEX Index Options'!$B:$B,E$147,'BSE - SENSEX Index Options'!$I:$I,"Weekly*")+SUMIFS('BSE - SENSEX Index Options'!$M:$M,'BSE - SENSEX Index Options'!$C:$C,$A174,'BSE - SENSEX Index Options'!$B:$B,E$147,'BSE - SENSEX Index Options'!$I:$I,"MDAW*")+SUMIFS('BSE - Other Index Options'!$M:$M,'BSE - Other Index Options'!$C:$C,$A174,'BSE - Other Index Options'!$B:$B,E$147,'BSE - Other Index Options'!$I:$I,"Weekly*")+SUMIFS('BSE - Other Index Options'!$M:$M,'BSE - Other Index Options'!$C:$C,$A174,'BSE - Other Index Options'!$B:$B,E$147,'BSE - Other Index Options'!$I:$I,"MDAW*")=0,"",SUMIFS('BSE - SENSEX Index Options'!$M:$M,'BSE - SENSEX Index Options'!$C:$C,$A174,'BSE - SENSEX Index Options'!$B:$B,E$147,'BSE - SENSEX Index Options'!$I:$I,"Weekly*")+SUMIFS('BSE - SENSEX Index Options'!$M:$M,'BSE - SENSEX Index Options'!$C:$C,$A174,'BSE - SENSEX Index Options'!$B:$B,E$147,'BSE - SENSEX Index Options'!$I:$I,"MDAW*")+SUMIFS('BSE - Other Index Options'!$M:$M,'BSE - Other Index Options'!$C:$C,$A174,'BSE - Other Index Options'!$B:$B,E$147,'BSE - Other Index Options'!$I:$I,"Weekly*")+SUMIFS('BSE - Other Index Options'!$M:$M,'BSE - Other Index Options'!$C:$C,$A174,'BSE - Other Index Options'!$B:$B,E$147,'BSE - Other Index Options'!$I:$I,"MDAW*"))</f>
        <v/>
      </c>
      <c r="F174" s="26">
        <f>IF(SUMIFS('BSE - SENSEX Index Options'!$M:$M,'BSE - SENSEX Index Options'!$C:$C,$A174,'BSE - SENSEX Index Options'!$B:$B,F$147,'BSE - SENSEX Index Options'!$I:$I,"Weekly*")+SUMIFS('BSE - SENSEX Index Options'!$M:$M,'BSE - SENSEX Index Options'!$C:$C,$A174,'BSE - SENSEX Index Options'!$B:$B,F$147,'BSE - SENSEX Index Options'!$I:$I,"MDAW*")+SUMIFS('BSE - Other Index Options'!$M:$M,'BSE - Other Index Options'!$C:$C,$A174,'BSE - Other Index Options'!$B:$B,F$147,'BSE - Other Index Options'!$I:$I,"Weekly*")+SUMIFS('BSE - Other Index Options'!$M:$M,'BSE - Other Index Options'!$C:$C,$A174,'BSE - Other Index Options'!$B:$B,F$147,'BSE - Other Index Options'!$I:$I,"MDAW*")=0,"",SUMIFS('BSE - SENSEX Index Options'!$M:$M,'BSE - SENSEX Index Options'!$C:$C,$A174,'BSE - SENSEX Index Options'!$B:$B,F$147,'BSE - SENSEX Index Options'!$I:$I,"Weekly*")+SUMIFS('BSE - SENSEX Index Options'!$M:$M,'BSE - SENSEX Index Options'!$C:$C,$A174,'BSE - SENSEX Index Options'!$B:$B,F$147,'BSE - SENSEX Index Options'!$I:$I,"MDAW*")+SUMIFS('BSE - Other Index Options'!$M:$M,'BSE - Other Index Options'!$C:$C,$A174,'BSE - Other Index Options'!$B:$B,F$147,'BSE - Other Index Options'!$I:$I,"Weekly*")+SUMIFS('BSE - Other Index Options'!$M:$M,'BSE - Other Index Options'!$C:$C,$A174,'BSE - Other Index Options'!$B:$B,F$147,'BSE - Other Index Options'!$I:$I,"MDAW*"))</f>
        <v/>
      </c>
      <c r="G174" s="26">
        <f>IF(SUMIFS('BSE - SENSEX Index Options'!$M:$M,'BSE - SENSEX Index Options'!$C:$C,$A174,'BSE - SENSEX Index Options'!$B:$B,G$147,'BSE - SENSEX Index Options'!$I:$I,"Weekly*")+SUMIFS('BSE - SENSEX Index Options'!$M:$M,'BSE - SENSEX Index Options'!$C:$C,$A174,'BSE - SENSEX Index Options'!$B:$B,G$147,'BSE - SENSEX Index Options'!$I:$I,"MDAW*")+SUMIFS('BSE - Other Index Options'!$M:$M,'BSE - Other Index Options'!$C:$C,$A174,'BSE - Other Index Options'!$B:$B,G$147,'BSE - Other Index Options'!$I:$I,"Weekly*")+SUMIFS('BSE - Other Index Options'!$M:$M,'BSE - Other Index Options'!$C:$C,$A174,'BSE - Other Index Options'!$B:$B,G$147,'BSE - Other Index Options'!$I:$I,"MDAW*")=0,"",SUMIFS('BSE - SENSEX Index Options'!$M:$M,'BSE - SENSEX Index Options'!$C:$C,$A174,'BSE - SENSEX Index Options'!$B:$B,G$147,'BSE - SENSEX Index Options'!$I:$I,"Weekly*")+SUMIFS('BSE - SENSEX Index Options'!$M:$M,'BSE - SENSEX Index Options'!$C:$C,$A174,'BSE - SENSEX Index Options'!$B:$B,G$147,'BSE - SENSEX Index Options'!$I:$I,"MDAW*")+SUMIFS('BSE - Other Index Options'!$M:$M,'BSE - Other Index Options'!$C:$C,$A174,'BSE - Other Index Options'!$B:$B,G$147,'BSE - Other Index Options'!$I:$I,"Weekly*")+SUMIFS('BSE - Other Index Options'!$M:$M,'BSE - Other Index Options'!$C:$C,$A174,'BSE - Other Index Options'!$B:$B,G$147,'BSE - Other Index Options'!$I:$I,"MDAW*"))</f>
        <v/>
      </c>
      <c r="H174" s="26">
        <f>IF(SUM(B174:G174)=0,"",SUM(B174:G174))</f>
        <v/>
      </c>
    </row>
    <row r="175">
      <c r="A175" t="inlineStr">
        <is>
          <t>Week3-Feb-2026</t>
        </is>
      </c>
      <c r="B175" s="26">
        <f>IF(SUMIFS('BSE - SENSEX Index Options'!$M:$M,'BSE - SENSEX Index Options'!$C:$C,$A175,'BSE - SENSEX Index Options'!$B:$B,B$147,'BSE - SENSEX Index Options'!$I:$I,"Weekly*")+SUMIFS('BSE - SENSEX Index Options'!$M:$M,'BSE - SENSEX Index Options'!$C:$C,$A175,'BSE - SENSEX Index Options'!$B:$B,B$147,'BSE - SENSEX Index Options'!$I:$I,"MDAW*")+SUMIFS('BSE - Other Index Options'!$M:$M,'BSE - Other Index Options'!$C:$C,$A175,'BSE - Other Index Options'!$B:$B,B$147,'BSE - Other Index Options'!$I:$I,"Weekly*")+SUMIFS('BSE - Other Index Options'!$M:$M,'BSE - Other Index Options'!$C:$C,$A175,'BSE - Other Index Options'!$B:$B,B$147,'BSE - Other Index Options'!$I:$I,"MDAW*")=0,"",SUMIFS('BSE - SENSEX Index Options'!$M:$M,'BSE - SENSEX Index Options'!$C:$C,$A175,'BSE - SENSEX Index Options'!$B:$B,B$147,'BSE - SENSEX Index Options'!$I:$I,"Weekly*")+SUMIFS('BSE - SENSEX Index Options'!$M:$M,'BSE - SENSEX Index Options'!$C:$C,$A175,'BSE - SENSEX Index Options'!$B:$B,B$147,'BSE - SENSEX Index Options'!$I:$I,"MDAW*")+SUMIFS('BSE - Other Index Options'!$M:$M,'BSE - Other Index Options'!$C:$C,$A175,'BSE - Other Index Options'!$B:$B,B$147,'BSE - Other Index Options'!$I:$I,"Weekly*")+SUMIFS('BSE - Other Index Options'!$M:$M,'BSE - Other Index Options'!$C:$C,$A175,'BSE - Other Index Options'!$B:$B,B$147,'BSE - Other Index Options'!$I:$I,"MDAW*"))</f>
        <v/>
      </c>
      <c r="C175" s="26">
        <f>IF(SUMIFS('BSE - SENSEX Index Options'!$M:$M,'BSE - SENSEX Index Options'!$C:$C,$A175,'BSE - SENSEX Index Options'!$B:$B,C$147,'BSE - SENSEX Index Options'!$I:$I,"Weekly*")+SUMIFS('BSE - SENSEX Index Options'!$M:$M,'BSE - SENSEX Index Options'!$C:$C,$A175,'BSE - SENSEX Index Options'!$B:$B,C$147,'BSE - SENSEX Index Options'!$I:$I,"MDAW*")+SUMIFS('BSE - Other Index Options'!$M:$M,'BSE - Other Index Options'!$C:$C,$A175,'BSE - Other Index Options'!$B:$B,C$147,'BSE - Other Index Options'!$I:$I,"Weekly*")+SUMIFS('BSE - Other Index Options'!$M:$M,'BSE - Other Index Options'!$C:$C,$A175,'BSE - Other Index Options'!$B:$B,C$147,'BSE - Other Index Options'!$I:$I,"MDAW*")=0,"",SUMIFS('BSE - SENSEX Index Options'!$M:$M,'BSE - SENSEX Index Options'!$C:$C,$A175,'BSE - SENSEX Index Options'!$B:$B,C$147,'BSE - SENSEX Index Options'!$I:$I,"Weekly*")+SUMIFS('BSE - SENSEX Index Options'!$M:$M,'BSE - SENSEX Index Options'!$C:$C,$A175,'BSE - SENSEX Index Options'!$B:$B,C$147,'BSE - SENSEX Index Options'!$I:$I,"MDAW*")+SUMIFS('BSE - Other Index Options'!$M:$M,'BSE - Other Index Options'!$C:$C,$A175,'BSE - Other Index Options'!$B:$B,C$147,'BSE - Other Index Options'!$I:$I,"Weekly*")+SUMIFS('BSE - Other Index Options'!$M:$M,'BSE - Other Index Options'!$C:$C,$A175,'BSE - Other Index Options'!$B:$B,C$147,'BSE - Other Index Options'!$I:$I,"MDAW*"))</f>
        <v/>
      </c>
      <c r="D175" s="26">
        <f>IF(SUMIFS('BSE - SENSEX Index Options'!$M:$M,'BSE - SENSEX Index Options'!$C:$C,$A175,'BSE - SENSEX Index Options'!$B:$B,D$147,'BSE - SENSEX Index Options'!$I:$I,"Weekly*")+SUMIFS('BSE - SENSEX Index Options'!$M:$M,'BSE - SENSEX Index Options'!$C:$C,$A175,'BSE - SENSEX Index Options'!$B:$B,D$147,'BSE - SENSEX Index Options'!$I:$I,"MDAW*")+SUMIFS('BSE - Other Index Options'!$M:$M,'BSE - Other Index Options'!$C:$C,$A175,'BSE - Other Index Options'!$B:$B,D$147,'BSE - Other Index Options'!$I:$I,"Weekly*")+SUMIFS('BSE - Other Index Options'!$M:$M,'BSE - Other Index Options'!$C:$C,$A175,'BSE - Other Index Options'!$B:$B,D$147,'BSE - Other Index Options'!$I:$I,"MDAW*")=0,"",SUMIFS('BSE - SENSEX Index Options'!$M:$M,'BSE - SENSEX Index Options'!$C:$C,$A175,'BSE - SENSEX Index Options'!$B:$B,D$147,'BSE - SENSEX Index Options'!$I:$I,"Weekly*")+SUMIFS('BSE - SENSEX Index Options'!$M:$M,'BSE - SENSEX Index Options'!$C:$C,$A175,'BSE - SENSEX Index Options'!$B:$B,D$147,'BSE - SENSEX Index Options'!$I:$I,"MDAW*")+SUMIFS('BSE - Other Index Options'!$M:$M,'BSE - Other Index Options'!$C:$C,$A175,'BSE - Other Index Options'!$B:$B,D$147,'BSE - Other Index Options'!$I:$I,"Weekly*")+SUMIFS('BSE - Other Index Options'!$M:$M,'BSE - Other Index Options'!$C:$C,$A175,'BSE - Other Index Options'!$B:$B,D$147,'BSE - Other Index Options'!$I:$I,"MDAW*"))</f>
        <v/>
      </c>
      <c r="E175" s="26">
        <f>IF(SUMIFS('BSE - SENSEX Index Options'!$M:$M,'BSE - SENSEX Index Options'!$C:$C,$A175,'BSE - SENSEX Index Options'!$B:$B,E$147,'BSE - SENSEX Index Options'!$I:$I,"Weekly*")+SUMIFS('BSE - SENSEX Index Options'!$M:$M,'BSE - SENSEX Index Options'!$C:$C,$A175,'BSE - SENSEX Index Options'!$B:$B,E$147,'BSE - SENSEX Index Options'!$I:$I,"MDAW*")+SUMIFS('BSE - Other Index Options'!$M:$M,'BSE - Other Index Options'!$C:$C,$A175,'BSE - Other Index Options'!$B:$B,E$147,'BSE - Other Index Options'!$I:$I,"Weekly*")+SUMIFS('BSE - Other Index Options'!$M:$M,'BSE - Other Index Options'!$C:$C,$A175,'BSE - Other Index Options'!$B:$B,E$147,'BSE - Other Index Options'!$I:$I,"MDAW*")=0,"",SUMIFS('BSE - SENSEX Index Options'!$M:$M,'BSE - SENSEX Index Options'!$C:$C,$A175,'BSE - SENSEX Index Options'!$B:$B,E$147,'BSE - SENSEX Index Options'!$I:$I,"Weekly*")+SUMIFS('BSE - SENSEX Index Options'!$M:$M,'BSE - SENSEX Index Options'!$C:$C,$A175,'BSE - SENSEX Index Options'!$B:$B,E$147,'BSE - SENSEX Index Options'!$I:$I,"MDAW*")+SUMIFS('BSE - Other Index Options'!$M:$M,'BSE - Other Index Options'!$C:$C,$A175,'BSE - Other Index Options'!$B:$B,E$147,'BSE - Other Index Options'!$I:$I,"Weekly*")+SUMIFS('BSE - Other Index Options'!$M:$M,'BSE - Other Index Options'!$C:$C,$A175,'BSE - Other Index Options'!$B:$B,E$147,'BSE - Other Index Options'!$I:$I,"MDAW*"))</f>
        <v/>
      </c>
      <c r="F175" s="26">
        <f>IF(SUMIFS('BSE - SENSEX Index Options'!$M:$M,'BSE - SENSEX Index Options'!$C:$C,$A175,'BSE - SENSEX Index Options'!$B:$B,F$147,'BSE - SENSEX Index Options'!$I:$I,"Weekly*")+SUMIFS('BSE - SENSEX Index Options'!$M:$M,'BSE - SENSEX Index Options'!$C:$C,$A175,'BSE - SENSEX Index Options'!$B:$B,F$147,'BSE - SENSEX Index Options'!$I:$I,"MDAW*")+SUMIFS('BSE - Other Index Options'!$M:$M,'BSE - Other Index Options'!$C:$C,$A175,'BSE - Other Index Options'!$B:$B,F$147,'BSE - Other Index Options'!$I:$I,"Weekly*")+SUMIFS('BSE - Other Index Options'!$M:$M,'BSE - Other Index Options'!$C:$C,$A175,'BSE - Other Index Options'!$B:$B,F$147,'BSE - Other Index Options'!$I:$I,"MDAW*")=0,"",SUMIFS('BSE - SENSEX Index Options'!$M:$M,'BSE - SENSEX Index Options'!$C:$C,$A175,'BSE - SENSEX Index Options'!$B:$B,F$147,'BSE - SENSEX Index Options'!$I:$I,"Weekly*")+SUMIFS('BSE - SENSEX Index Options'!$M:$M,'BSE - SENSEX Index Options'!$C:$C,$A175,'BSE - SENSEX Index Options'!$B:$B,F$147,'BSE - SENSEX Index Options'!$I:$I,"MDAW*")+SUMIFS('BSE - Other Index Options'!$M:$M,'BSE - Other Index Options'!$C:$C,$A175,'BSE - Other Index Options'!$B:$B,F$147,'BSE - Other Index Options'!$I:$I,"Weekly*")+SUMIFS('BSE - Other Index Options'!$M:$M,'BSE - Other Index Options'!$C:$C,$A175,'BSE - Other Index Options'!$B:$B,F$147,'BSE - Other Index Options'!$I:$I,"MDAW*"))</f>
        <v/>
      </c>
      <c r="G175" s="26">
        <f>IF(SUMIFS('BSE - SENSEX Index Options'!$M:$M,'BSE - SENSEX Index Options'!$C:$C,$A175,'BSE - SENSEX Index Options'!$B:$B,G$147,'BSE - SENSEX Index Options'!$I:$I,"Weekly*")+SUMIFS('BSE - SENSEX Index Options'!$M:$M,'BSE - SENSEX Index Options'!$C:$C,$A175,'BSE - SENSEX Index Options'!$B:$B,G$147,'BSE - SENSEX Index Options'!$I:$I,"MDAW*")+SUMIFS('BSE - Other Index Options'!$M:$M,'BSE - Other Index Options'!$C:$C,$A175,'BSE - Other Index Options'!$B:$B,G$147,'BSE - Other Index Options'!$I:$I,"Weekly*")+SUMIFS('BSE - Other Index Options'!$M:$M,'BSE - Other Index Options'!$C:$C,$A175,'BSE - Other Index Options'!$B:$B,G$147,'BSE - Other Index Options'!$I:$I,"MDAW*")=0,"",SUMIFS('BSE - SENSEX Index Options'!$M:$M,'BSE - SENSEX Index Options'!$C:$C,$A175,'BSE - SENSEX Index Options'!$B:$B,G$147,'BSE - SENSEX Index Options'!$I:$I,"Weekly*")+SUMIFS('BSE - SENSEX Index Options'!$M:$M,'BSE - SENSEX Index Options'!$C:$C,$A175,'BSE - SENSEX Index Options'!$B:$B,G$147,'BSE - SENSEX Index Options'!$I:$I,"MDAW*")+SUMIFS('BSE - Other Index Options'!$M:$M,'BSE - Other Index Options'!$C:$C,$A175,'BSE - Other Index Options'!$B:$B,G$147,'BSE - Other Index Options'!$I:$I,"Weekly*")+SUMIFS('BSE - Other Index Options'!$M:$M,'BSE - Other Index Options'!$C:$C,$A175,'BSE - Other Index Options'!$B:$B,G$147,'BSE - Other Index Options'!$I:$I,"MDAW*"))</f>
        <v/>
      </c>
      <c r="H175" s="26">
        <f>IF(SUM(B175:G175)=0,"",SUM(B175:G175))</f>
        <v/>
      </c>
    </row>
    <row r="176">
      <c r="A176" t="inlineStr">
        <is>
          <t>Week4-Feb-2026</t>
        </is>
      </c>
      <c r="B176" s="26">
        <f>IF(SUMIFS('BSE - SENSEX Index Options'!$M:$M,'BSE - SENSEX Index Options'!$C:$C,$A176,'BSE - SENSEX Index Options'!$B:$B,B$147,'BSE - SENSEX Index Options'!$I:$I,"Weekly*")+SUMIFS('BSE - SENSEX Index Options'!$M:$M,'BSE - SENSEX Index Options'!$C:$C,$A176,'BSE - SENSEX Index Options'!$B:$B,B$147,'BSE - SENSEX Index Options'!$I:$I,"MDAW*")+SUMIFS('BSE - Other Index Options'!$M:$M,'BSE - Other Index Options'!$C:$C,$A176,'BSE - Other Index Options'!$B:$B,B$147,'BSE - Other Index Options'!$I:$I,"Weekly*")+SUMIFS('BSE - Other Index Options'!$M:$M,'BSE - Other Index Options'!$C:$C,$A176,'BSE - Other Index Options'!$B:$B,B$147,'BSE - Other Index Options'!$I:$I,"MDAW*")=0,"",SUMIFS('BSE - SENSEX Index Options'!$M:$M,'BSE - SENSEX Index Options'!$C:$C,$A176,'BSE - SENSEX Index Options'!$B:$B,B$147,'BSE - SENSEX Index Options'!$I:$I,"Weekly*")+SUMIFS('BSE - SENSEX Index Options'!$M:$M,'BSE - SENSEX Index Options'!$C:$C,$A176,'BSE - SENSEX Index Options'!$B:$B,B$147,'BSE - SENSEX Index Options'!$I:$I,"MDAW*")+SUMIFS('BSE - Other Index Options'!$M:$M,'BSE - Other Index Options'!$C:$C,$A176,'BSE - Other Index Options'!$B:$B,B$147,'BSE - Other Index Options'!$I:$I,"Weekly*")+SUMIFS('BSE - Other Index Options'!$M:$M,'BSE - Other Index Options'!$C:$C,$A176,'BSE - Other Index Options'!$B:$B,B$147,'BSE - Other Index Options'!$I:$I,"MDAW*"))</f>
        <v/>
      </c>
      <c r="C176" s="26">
        <f>IF(SUMIFS('BSE - SENSEX Index Options'!$M:$M,'BSE - SENSEX Index Options'!$C:$C,$A176,'BSE - SENSEX Index Options'!$B:$B,C$147,'BSE - SENSEX Index Options'!$I:$I,"Weekly*")+SUMIFS('BSE - SENSEX Index Options'!$M:$M,'BSE - SENSEX Index Options'!$C:$C,$A176,'BSE - SENSEX Index Options'!$B:$B,C$147,'BSE - SENSEX Index Options'!$I:$I,"MDAW*")+SUMIFS('BSE - Other Index Options'!$M:$M,'BSE - Other Index Options'!$C:$C,$A176,'BSE - Other Index Options'!$B:$B,C$147,'BSE - Other Index Options'!$I:$I,"Weekly*")+SUMIFS('BSE - Other Index Options'!$M:$M,'BSE - Other Index Options'!$C:$C,$A176,'BSE - Other Index Options'!$B:$B,C$147,'BSE - Other Index Options'!$I:$I,"MDAW*")=0,"",SUMIFS('BSE - SENSEX Index Options'!$M:$M,'BSE - SENSEX Index Options'!$C:$C,$A176,'BSE - SENSEX Index Options'!$B:$B,C$147,'BSE - SENSEX Index Options'!$I:$I,"Weekly*")+SUMIFS('BSE - SENSEX Index Options'!$M:$M,'BSE - SENSEX Index Options'!$C:$C,$A176,'BSE - SENSEX Index Options'!$B:$B,C$147,'BSE - SENSEX Index Options'!$I:$I,"MDAW*")+SUMIFS('BSE - Other Index Options'!$M:$M,'BSE - Other Index Options'!$C:$C,$A176,'BSE - Other Index Options'!$B:$B,C$147,'BSE - Other Index Options'!$I:$I,"Weekly*")+SUMIFS('BSE - Other Index Options'!$M:$M,'BSE - Other Index Options'!$C:$C,$A176,'BSE - Other Index Options'!$B:$B,C$147,'BSE - Other Index Options'!$I:$I,"MDAW*"))</f>
        <v/>
      </c>
      <c r="D176" s="26">
        <f>IF(SUMIFS('BSE - SENSEX Index Options'!$M:$M,'BSE - SENSEX Index Options'!$C:$C,$A176,'BSE - SENSEX Index Options'!$B:$B,D$147,'BSE - SENSEX Index Options'!$I:$I,"Weekly*")+SUMIFS('BSE - SENSEX Index Options'!$M:$M,'BSE - SENSEX Index Options'!$C:$C,$A176,'BSE - SENSEX Index Options'!$B:$B,D$147,'BSE - SENSEX Index Options'!$I:$I,"MDAW*")+SUMIFS('BSE - Other Index Options'!$M:$M,'BSE - Other Index Options'!$C:$C,$A176,'BSE - Other Index Options'!$B:$B,D$147,'BSE - Other Index Options'!$I:$I,"Weekly*")+SUMIFS('BSE - Other Index Options'!$M:$M,'BSE - Other Index Options'!$C:$C,$A176,'BSE - Other Index Options'!$B:$B,D$147,'BSE - Other Index Options'!$I:$I,"MDAW*")=0,"",SUMIFS('BSE - SENSEX Index Options'!$M:$M,'BSE - SENSEX Index Options'!$C:$C,$A176,'BSE - SENSEX Index Options'!$B:$B,D$147,'BSE - SENSEX Index Options'!$I:$I,"Weekly*")+SUMIFS('BSE - SENSEX Index Options'!$M:$M,'BSE - SENSEX Index Options'!$C:$C,$A176,'BSE - SENSEX Index Options'!$B:$B,D$147,'BSE - SENSEX Index Options'!$I:$I,"MDAW*")+SUMIFS('BSE - Other Index Options'!$M:$M,'BSE - Other Index Options'!$C:$C,$A176,'BSE - Other Index Options'!$B:$B,D$147,'BSE - Other Index Options'!$I:$I,"Weekly*")+SUMIFS('BSE - Other Index Options'!$M:$M,'BSE - Other Index Options'!$C:$C,$A176,'BSE - Other Index Options'!$B:$B,D$147,'BSE - Other Index Options'!$I:$I,"MDAW*"))</f>
        <v/>
      </c>
      <c r="E176" s="26">
        <f>IF(SUMIFS('BSE - SENSEX Index Options'!$M:$M,'BSE - SENSEX Index Options'!$C:$C,$A176,'BSE - SENSEX Index Options'!$B:$B,E$147,'BSE - SENSEX Index Options'!$I:$I,"Weekly*")+SUMIFS('BSE - SENSEX Index Options'!$M:$M,'BSE - SENSEX Index Options'!$C:$C,$A176,'BSE - SENSEX Index Options'!$B:$B,E$147,'BSE - SENSEX Index Options'!$I:$I,"MDAW*")+SUMIFS('BSE - Other Index Options'!$M:$M,'BSE - Other Index Options'!$C:$C,$A176,'BSE - Other Index Options'!$B:$B,E$147,'BSE - Other Index Options'!$I:$I,"Weekly*")+SUMIFS('BSE - Other Index Options'!$M:$M,'BSE - Other Index Options'!$C:$C,$A176,'BSE - Other Index Options'!$B:$B,E$147,'BSE - Other Index Options'!$I:$I,"MDAW*")=0,"",SUMIFS('BSE - SENSEX Index Options'!$M:$M,'BSE - SENSEX Index Options'!$C:$C,$A176,'BSE - SENSEX Index Options'!$B:$B,E$147,'BSE - SENSEX Index Options'!$I:$I,"Weekly*")+SUMIFS('BSE - SENSEX Index Options'!$M:$M,'BSE - SENSEX Index Options'!$C:$C,$A176,'BSE - SENSEX Index Options'!$B:$B,E$147,'BSE - SENSEX Index Options'!$I:$I,"MDAW*")+SUMIFS('BSE - Other Index Options'!$M:$M,'BSE - Other Index Options'!$C:$C,$A176,'BSE - Other Index Options'!$B:$B,E$147,'BSE - Other Index Options'!$I:$I,"Weekly*")+SUMIFS('BSE - Other Index Options'!$M:$M,'BSE - Other Index Options'!$C:$C,$A176,'BSE - Other Index Options'!$B:$B,E$147,'BSE - Other Index Options'!$I:$I,"MDAW*"))</f>
        <v/>
      </c>
      <c r="F176" s="26">
        <f>IF(SUMIFS('BSE - SENSEX Index Options'!$M:$M,'BSE - SENSEX Index Options'!$C:$C,$A176,'BSE - SENSEX Index Options'!$B:$B,F$147,'BSE - SENSEX Index Options'!$I:$I,"Weekly*")+SUMIFS('BSE - SENSEX Index Options'!$M:$M,'BSE - SENSEX Index Options'!$C:$C,$A176,'BSE - SENSEX Index Options'!$B:$B,F$147,'BSE - SENSEX Index Options'!$I:$I,"MDAW*")+SUMIFS('BSE - Other Index Options'!$M:$M,'BSE - Other Index Options'!$C:$C,$A176,'BSE - Other Index Options'!$B:$B,F$147,'BSE - Other Index Options'!$I:$I,"Weekly*")+SUMIFS('BSE - Other Index Options'!$M:$M,'BSE - Other Index Options'!$C:$C,$A176,'BSE - Other Index Options'!$B:$B,F$147,'BSE - Other Index Options'!$I:$I,"MDAW*")=0,"",SUMIFS('BSE - SENSEX Index Options'!$M:$M,'BSE - SENSEX Index Options'!$C:$C,$A176,'BSE - SENSEX Index Options'!$B:$B,F$147,'BSE - SENSEX Index Options'!$I:$I,"Weekly*")+SUMIFS('BSE - SENSEX Index Options'!$M:$M,'BSE - SENSEX Index Options'!$C:$C,$A176,'BSE - SENSEX Index Options'!$B:$B,F$147,'BSE - SENSEX Index Options'!$I:$I,"MDAW*")+SUMIFS('BSE - Other Index Options'!$M:$M,'BSE - Other Index Options'!$C:$C,$A176,'BSE - Other Index Options'!$B:$B,F$147,'BSE - Other Index Options'!$I:$I,"Weekly*")+SUMIFS('BSE - Other Index Options'!$M:$M,'BSE - Other Index Options'!$C:$C,$A176,'BSE - Other Index Options'!$B:$B,F$147,'BSE - Other Index Options'!$I:$I,"MDAW*"))</f>
        <v/>
      </c>
      <c r="G176" s="26">
        <f>IF(SUMIFS('BSE - SENSEX Index Options'!$M:$M,'BSE - SENSEX Index Options'!$C:$C,$A176,'BSE - SENSEX Index Options'!$B:$B,G$147,'BSE - SENSEX Index Options'!$I:$I,"Weekly*")+SUMIFS('BSE - SENSEX Index Options'!$M:$M,'BSE - SENSEX Index Options'!$C:$C,$A176,'BSE - SENSEX Index Options'!$B:$B,G$147,'BSE - SENSEX Index Options'!$I:$I,"MDAW*")+SUMIFS('BSE - Other Index Options'!$M:$M,'BSE - Other Index Options'!$C:$C,$A176,'BSE - Other Index Options'!$B:$B,G$147,'BSE - Other Index Options'!$I:$I,"Weekly*")+SUMIFS('BSE - Other Index Options'!$M:$M,'BSE - Other Index Options'!$C:$C,$A176,'BSE - Other Index Options'!$B:$B,G$147,'BSE - Other Index Options'!$I:$I,"MDAW*")=0,"",SUMIFS('BSE - SENSEX Index Options'!$M:$M,'BSE - SENSEX Index Options'!$C:$C,$A176,'BSE - SENSEX Index Options'!$B:$B,G$147,'BSE - SENSEX Index Options'!$I:$I,"Weekly*")+SUMIFS('BSE - SENSEX Index Options'!$M:$M,'BSE - SENSEX Index Options'!$C:$C,$A176,'BSE - SENSEX Index Options'!$B:$B,G$147,'BSE - SENSEX Index Options'!$I:$I,"MDAW*")+SUMIFS('BSE - Other Index Options'!$M:$M,'BSE - Other Index Options'!$C:$C,$A176,'BSE - Other Index Options'!$B:$B,G$147,'BSE - Other Index Options'!$I:$I,"Weekly*")+SUMIFS('BSE - Other Index Options'!$M:$M,'BSE - Other Index Options'!$C:$C,$A176,'BSE - Other Index Options'!$B:$B,G$147,'BSE - Other Index Options'!$I:$I,"MDAW*"))</f>
        <v/>
      </c>
      <c r="H176" s="26">
        <f>IF(SUM(B176:G176)=0,"",SUM(B176:G176))</f>
        <v/>
      </c>
    </row>
    <row r="177">
      <c r="A177" t="inlineStr">
        <is>
          <t>Week1-Mar-2026</t>
        </is>
      </c>
      <c r="B177" s="26">
        <f>IF(SUMIFS('BSE - SENSEX Index Options'!$M:$M,'BSE - SENSEX Index Options'!$C:$C,$A177,'BSE - SENSEX Index Options'!$B:$B,B$147,'BSE - SENSEX Index Options'!$I:$I,"Weekly*")+SUMIFS('BSE - SENSEX Index Options'!$M:$M,'BSE - SENSEX Index Options'!$C:$C,$A177,'BSE - SENSEX Index Options'!$B:$B,B$147,'BSE - SENSEX Index Options'!$I:$I,"MDAW*")+SUMIFS('BSE - Other Index Options'!$M:$M,'BSE - Other Index Options'!$C:$C,$A177,'BSE - Other Index Options'!$B:$B,B$147,'BSE - Other Index Options'!$I:$I,"Weekly*")+SUMIFS('BSE - Other Index Options'!$M:$M,'BSE - Other Index Options'!$C:$C,$A177,'BSE - Other Index Options'!$B:$B,B$147,'BSE - Other Index Options'!$I:$I,"MDAW*")=0,"",SUMIFS('BSE - SENSEX Index Options'!$M:$M,'BSE - SENSEX Index Options'!$C:$C,$A177,'BSE - SENSEX Index Options'!$B:$B,B$147,'BSE - SENSEX Index Options'!$I:$I,"Weekly*")+SUMIFS('BSE - SENSEX Index Options'!$M:$M,'BSE - SENSEX Index Options'!$C:$C,$A177,'BSE - SENSEX Index Options'!$B:$B,B$147,'BSE - SENSEX Index Options'!$I:$I,"MDAW*")+SUMIFS('BSE - Other Index Options'!$M:$M,'BSE - Other Index Options'!$C:$C,$A177,'BSE - Other Index Options'!$B:$B,B$147,'BSE - Other Index Options'!$I:$I,"Weekly*")+SUMIFS('BSE - Other Index Options'!$M:$M,'BSE - Other Index Options'!$C:$C,$A177,'BSE - Other Index Options'!$B:$B,B$147,'BSE - Other Index Options'!$I:$I,"MDAW*"))</f>
        <v/>
      </c>
      <c r="C177" s="26">
        <f>IF(SUMIFS('BSE - SENSEX Index Options'!$M:$M,'BSE - SENSEX Index Options'!$C:$C,$A177,'BSE - SENSEX Index Options'!$B:$B,C$147,'BSE - SENSEX Index Options'!$I:$I,"Weekly*")+SUMIFS('BSE - SENSEX Index Options'!$M:$M,'BSE - SENSEX Index Options'!$C:$C,$A177,'BSE - SENSEX Index Options'!$B:$B,C$147,'BSE - SENSEX Index Options'!$I:$I,"MDAW*")+SUMIFS('BSE - Other Index Options'!$M:$M,'BSE - Other Index Options'!$C:$C,$A177,'BSE - Other Index Options'!$B:$B,C$147,'BSE - Other Index Options'!$I:$I,"Weekly*")+SUMIFS('BSE - Other Index Options'!$M:$M,'BSE - Other Index Options'!$C:$C,$A177,'BSE - Other Index Options'!$B:$B,C$147,'BSE - Other Index Options'!$I:$I,"MDAW*")=0,"",SUMIFS('BSE - SENSEX Index Options'!$M:$M,'BSE - SENSEX Index Options'!$C:$C,$A177,'BSE - SENSEX Index Options'!$B:$B,C$147,'BSE - SENSEX Index Options'!$I:$I,"Weekly*")+SUMIFS('BSE - SENSEX Index Options'!$M:$M,'BSE - SENSEX Index Options'!$C:$C,$A177,'BSE - SENSEX Index Options'!$B:$B,C$147,'BSE - SENSEX Index Options'!$I:$I,"MDAW*")+SUMIFS('BSE - Other Index Options'!$M:$M,'BSE - Other Index Options'!$C:$C,$A177,'BSE - Other Index Options'!$B:$B,C$147,'BSE - Other Index Options'!$I:$I,"Weekly*")+SUMIFS('BSE - Other Index Options'!$M:$M,'BSE - Other Index Options'!$C:$C,$A177,'BSE - Other Index Options'!$B:$B,C$147,'BSE - Other Index Options'!$I:$I,"MDAW*"))</f>
        <v/>
      </c>
      <c r="D177" s="26">
        <f>IF(SUMIFS('BSE - SENSEX Index Options'!$M:$M,'BSE - SENSEX Index Options'!$C:$C,$A177,'BSE - SENSEX Index Options'!$B:$B,D$147,'BSE - SENSEX Index Options'!$I:$I,"Weekly*")+SUMIFS('BSE - SENSEX Index Options'!$M:$M,'BSE - SENSEX Index Options'!$C:$C,$A177,'BSE - SENSEX Index Options'!$B:$B,D$147,'BSE - SENSEX Index Options'!$I:$I,"MDAW*")+SUMIFS('BSE - Other Index Options'!$M:$M,'BSE - Other Index Options'!$C:$C,$A177,'BSE - Other Index Options'!$B:$B,D$147,'BSE - Other Index Options'!$I:$I,"Weekly*")+SUMIFS('BSE - Other Index Options'!$M:$M,'BSE - Other Index Options'!$C:$C,$A177,'BSE - Other Index Options'!$B:$B,D$147,'BSE - Other Index Options'!$I:$I,"MDAW*")=0,"",SUMIFS('BSE - SENSEX Index Options'!$M:$M,'BSE - SENSEX Index Options'!$C:$C,$A177,'BSE - SENSEX Index Options'!$B:$B,D$147,'BSE - SENSEX Index Options'!$I:$I,"Weekly*")+SUMIFS('BSE - SENSEX Index Options'!$M:$M,'BSE - SENSEX Index Options'!$C:$C,$A177,'BSE - SENSEX Index Options'!$B:$B,D$147,'BSE - SENSEX Index Options'!$I:$I,"MDAW*")+SUMIFS('BSE - Other Index Options'!$M:$M,'BSE - Other Index Options'!$C:$C,$A177,'BSE - Other Index Options'!$B:$B,D$147,'BSE - Other Index Options'!$I:$I,"Weekly*")+SUMIFS('BSE - Other Index Options'!$M:$M,'BSE - Other Index Options'!$C:$C,$A177,'BSE - Other Index Options'!$B:$B,D$147,'BSE - Other Index Options'!$I:$I,"MDAW*"))</f>
        <v/>
      </c>
      <c r="E177" s="26">
        <f>IF(SUMIFS('BSE - SENSEX Index Options'!$M:$M,'BSE - SENSEX Index Options'!$C:$C,$A177,'BSE - SENSEX Index Options'!$B:$B,E$147,'BSE - SENSEX Index Options'!$I:$I,"Weekly*")+SUMIFS('BSE - SENSEX Index Options'!$M:$M,'BSE - SENSEX Index Options'!$C:$C,$A177,'BSE - SENSEX Index Options'!$B:$B,E$147,'BSE - SENSEX Index Options'!$I:$I,"MDAW*")+SUMIFS('BSE - Other Index Options'!$M:$M,'BSE - Other Index Options'!$C:$C,$A177,'BSE - Other Index Options'!$B:$B,E$147,'BSE - Other Index Options'!$I:$I,"Weekly*")+SUMIFS('BSE - Other Index Options'!$M:$M,'BSE - Other Index Options'!$C:$C,$A177,'BSE - Other Index Options'!$B:$B,E$147,'BSE - Other Index Options'!$I:$I,"MDAW*")=0,"",SUMIFS('BSE - SENSEX Index Options'!$M:$M,'BSE - SENSEX Index Options'!$C:$C,$A177,'BSE - SENSEX Index Options'!$B:$B,E$147,'BSE - SENSEX Index Options'!$I:$I,"Weekly*")+SUMIFS('BSE - SENSEX Index Options'!$M:$M,'BSE - SENSEX Index Options'!$C:$C,$A177,'BSE - SENSEX Index Options'!$B:$B,E$147,'BSE - SENSEX Index Options'!$I:$I,"MDAW*")+SUMIFS('BSE - Other Index Options'!$M:$M,'BSE - Other Index Options'!$C:$C,$A177,'BSE - Other Index Options'!$B:$B,E$147,'BSE - Other Index Options'!$I:$I,"Weekly*")+SUMIFS('BSE - Other Index Options'!$M:$M,'BSE - Other Index Options'!$C:$C,$A177,'BSE - Other Index Options'!$B:$B,E$147,'BSE - Other Index Options'!$I:$I,"MDAW*"))</f>
        <v/>
      </c>
      <c r="F177" s="26">
        <f>IF(SUMIFS('BSE - SENSEX Index Options'!$M:$M,'BSE - SENSEX Index Options'!$C:$C,$A177,'BSE - SENSEX Index Options'!$B:$B,F$147,'BSE - SENSEX Index Options'!$I:$I,"Weekly*")+SUMIFS('BSE - SENSEX Index Options'!$M:$M,'BSE - SENSEX Index Options'!$C:$C,$A177,'BSE - SENSEX Index Options'!$B:$B,F$147,'BSE - SENSEX Index Options'!$I:$I,"MDAW*")+SUMIFS('BSE - Other Index Options'!$M:$M,'BSE - Other Index Options'!$C:$C,$A177,'BSE - Other Index Options'!$B:$B,F$147,'BSE - Other Index Options'!$I:$I,"Weekly*")+SUMIFS('BSE - Other Index Options'!$M:$M,'BSE - Other Index Options'!$C:$C,$A177,'BSE - Other Index Options'!$B:$B,F$147,'BSE - Other Index Options'!$I:$I,"MDAW*")=0,"",SUMIFS('BSE - SENSEX Index Options'!$M:$M,'BSE - SENSEX Index Options'!$C:$C,$A177,'BSE - SENSEX Index Options'!$B:$B,F$147,'BSE - SENSEX Index Options'!$I:$I,"Weekly*")+SUMIFS('BSE - SENSEX Index Options'!$M:$M,'BSE - SENSEX Index Options'!$C:$C,$A177,'BSE - SENSEX Index Options'!$B:$B,F$147,'BSE - SENSEX Index Options'!$I:$I,"MDAW*")+SUMIFS('BSE - Other Index Options'!$M:$M,'BSE - Other Index Options'!$C:$C,$A177,'BSE - Other Index Options'!$B:$B,F$147,'BSE - Other Index Options'!$I:$I,"Weekly*")+SUMIFS('BSE - Other Index Options'!$M:$M,'BSE - Other Index Options'!$C:$C,$A177,'BSE - Other Index Options'!$B:$B,F$147,'BSE - Other Index Options'!$I:$I,"MDAW*"))</f>
        <v/>
      </c>
      <c r="G177" s="26">
        <f>IF(SUMIFS('BSE - SENSEX Index Options'!$M:$M,'BSE - SENSEX Index Options'!$C:$C,$A177,'BSE - SENSEX Index Options'!$B:$B,G$147,'BSE - SENSEX Index Options'!$I:$I,"Weekly*")+SUMIFS('BSE - SENSEX Index Options'!$M:$M,'BSE - SENSEX Index Options'!$C:$C,$A177,'BSE - SENSEX Index Options'!$B:$B,G$147,'BSE - SENSEX Index Options'!$I:$I,"MDAW*")+SUMIFS('BSE - Other Index Options'!$M:$M,'BSE - Other Index Options'!$C:$C,$A177,'BSE - Other Index Options'!$B:$B,G$147,'BSE - Other Index Options'!$I:$I,"Weekly*")+SUMIFS('BSE - Other Index Options'!$M:$M,'BSE - Other Index Options'!$C:$C,$A177,'BSE - Other Index Options'!$B:$B,G$147,'BSE - Other Index Options'!$I:$I,"MDAW*")=0,"",SUMIFS('BSE - SENSEX Index Options'!$M:$M,'BSE - SENSEX Index Options'!$C:$C,$A177,'BSE - SENSEX Index Options'!$B:$B,G$147,'BSE - SENSEX Index Options'!$I:$I,"Weekly*")+SUMIFS('BSE - SENSEX Index Options'!$M:$M,'BSE - SENSEX Index Options'!$C:$C,$A177,'BSE - SENSEX Index Options'!$B:$B,G$147,'BSE - SENSEX Index Options'!$I:$I,"MDAW*")+SUMIFS('BSE - Other Index Options'!$M:$M,'BSE - Other Index Options'!$C:$C,$A177,'BSE - Other Index Options'!$B:$B,G$147,'BSE - Other Index Options'!$I:$I,"Weekly*")+SUMIFS('BSE - Other Index Options'!$M:$M,'BSE - Other Index Options'!$C:$C,$A177,'BSE - Other Index Options'!$B:$B,G$147,'BSE - Other Index Options'!$I:$I,"MDAW*"))</f>
        <v/>
      </c>
      <c r="H177" s="26">
        <f>IF(SUM(B177:G177)=0,"",SUM(B177:G177))</f>
        <v/>
      </c>
    </row>
    <row r="178">
      <c r="A178" t="inlineStr">
        <is>
          <t>Week2-Mar-2026</t>
        </is>
      </c>
      <c r="B178" s="26">
        <f>IF(SUMIFS('BSE - SENSEX Index Options'!$M:$M,'BSE - SENSEX Index Options'!$C:$C,$A178,'BSE - SENSEX Index Options'!$B:$B,B$147,'BSE - SENSEX Index Options'!$I:$I,"Weekly*")+SUMIFS('BSE - SENSEX Index Options'!$M:$M,'BSE - SENSEX Index Options'!$C:$C,$A178,'BSE - SENSEX Index Options'!$B:$B,B$147,'BSE - SENSEX Index Options'!$I:$I,"MDAW*")+SUMIFS('BSE - Other Index Options'!$M:$M,'BSE - Other Index Options'!$C:$C,$A178,'BSE - Other Index Options'!$B:$B,B$147,'BSE - Other Index Options'!$I:$I,"Weekly*")+SUMIFS('BSE - Other Index Options'!$M:$M,'BSE - Other Index Options'!$C:$C,$A178,'BSE - Other Index Options'!$B:$B,B$147,'BSE - Other Index Options'!$I:$I,"MDAW*")=0,"",SUMIFS('BSE - SENSEX Index Options'!$M:$M,'BSE - SENSEX Index Options'!$C:$C,$A178,'BSE - SENSEX Index Options'!$B:$B,B$147,'BSE - SENSEX Index Options'!$I:$I,"Weekly*")+SUMIFS('BSE - SENSEX Index Options'!$M:$M,'BSE - SENSEX Index Options'!$C:$C,$A178,'BSE - SENSEX Index Options'!$B:$B,B$147,'BSE - SENSEX Index Options'!$I:$I,"MDAW*")+SUMIFS('BSE - Other Index Options'!$M:$M,'BSE - Other Index Options'!$C:$C,$A178,'BSE - Other Index Options'!$B:$B,B$147,'BSE - Other Index Options'!$I:$I,"Weekly*")+SUMIFS('BSE - Other Index Options'!$M:$M,'BSE - Other Index Options'!$C:$C,$A178,'BSE - Other Index Options'!$B:$B,B$147,'BSE - Other Index Options'!$I:$I,"MDAW*"))</f>
        <v/>
      </c>
      <c r="C178" s="26">
        <f>IF(SUMIFS('BSE - SENSEX Index Options'!$M:$M,'BSE - SENSEX Index Options'!$C:$C,$A178,'BSE - SENSEX Index Options'!$B:$B,C$147,'BSE - SENSEX Index Options'!$I:$I,"Weekly*")+SUMIFS('BSE - SENSEX Index Options'!$M:$M,'BSE - SENSEX Index Options'!$C:$C,$A178,'BSE - SENSEX Index Options'!$B:$B,C$147,'BSE - SENSEX Index Options'!$I:$I,"MDAW*")+SUMIFS('BSE - Other Index Options'!$M:$M,'BSE - Other Index Options'!$C:$C,$A178,'BSE - Other Index Options'!$B:$B,C$147,'BSE - Other Index Options'!$I:$I,"Weekly*")+SUMIFS('BSE - Other Index Options'!$M:$M,'BSE - Other Index Options'!$C:$C,$A178,'BSE - Other Index Options'!$B:$B,C$147,'BSE - Other Index Options'!$I:$I,"MDAW*")=0,"",SUMIFS('BSE - SENSEX Index Options'!$M:$M,'BSE - SENSEX Index Options'!$C:$C,$A178,'BSE - SENSEX Index Options'!$B:$B,C$147,'BSE - SENSEX Index Options'!$I:$I,"Weekly*")+SUMIFS('BSE - SENSEX Index Options'!$M:$M,'BSE - SENSEX Index Options'!$C:$C,$A178,'BSE - SENSEX Index Options'!$B:$B,C$147,'BSE - SENSEX Index Options'!$I:$I,"MDAW*")+SUMIFS('BSE - Other Index Options'!$M:$M,'BSE - Other Index Options'!$C:$C,$A178,'BSE - Other Index Options'!$B:$B,C$147,'BSE - Other Index Options'!$I:$I,"Weekly*")+SUMIFS('BSE - Other Index Options'!$M:$M,'BSE - Other Index Options'!$C:$C,$A178,'BSE - Other Index Options'!$B:$B,C$147,'BSE - Other Index Options'!$I:$I,"MDAW*"))</f>
        <v/>
      </c>
      <c r="D178" s="26">
        <f>IF(SUMIFS('BSE - SENSEX Index Options'!$M:$M,'BSE - SENSEX Index Options'!$C:$C,$A178,'BSE - SENSEX Index Options'!$B:$B,D$147,'BSE - SENSEX Index Options'!$I:$I,"Weekly*")+SUMIFS('BSE - SENSEX Index Options'!$M:$M,'BSE - SENSEX Index Options'!$C:$C,$A178,'BSE - SENSEX Index Options'!$B:$B,D$147,'BSE - SENSEX Index Options'!$I:$I,"MDAW*")+SUMIFS('BSE - Other Index Options'!$M:$M,'BSE - Other Index Options'!$C:$C,$A178,'BSE - Other Index Options'!$B:$B,D$147,'BSE - Other Index Options'!$I:$I,"Weekly*")+SUMIFS('BSE - Other Index Options'!$M:$M,'BSE - Other Index Options'!$C:$C,$A178,'BSE - Other Index Options'!$B:$B,D$147,'BSE - Other Index Options'!$I:$I,"MDAW*")=0,"",SUMIFS('BSE - SENSEX Index Options'!$M:$M,'BSE - SENSEX Index Options'!$C:$C,$A178,'BSE - SENSEX Index Options'!$B:$B,D$147,'BSE - SENSEX Index Options'!$I:$I,"Weekly*")+SUMIFS('BSE - SENSEX Index Options'!$M:$M,'BSE - SENSEX Index Options'!$C:$C,$A178,'BSE - SENSEX Index Options'!$B:$B,D$147,'BSE - SENSEX Index Options'!$I:$I,"MDAW*")+SUMIFS('BSE - Other Index Options'!$M:$M,'BSE - Other Index Options'!$C:$C,$A178,'BSE - Other Index Options'!$B:$B,D$147,'BSE - Other Index Options'!$I:$I,"Weekly*")+SUMIFS('BSE - Other Index Options'!$M:$M,'BSE - Other Index Options'!$C:$C,$A178,'BSE - Other Index Options'!$B:$B,D$147,'BSE - Other Index Options'!$I:$I,"MDAW*"))</f>
        <v/>
      </c>
      <c r="E178" s="26">
        <f>IF(SUMIFS('BSE - SENSEX Index Options'!$M:$M,'BSE - SENSEX Index Options'!$C:$C,$A178,'BSE - SENSEX Index Options'!$B:$B,E$147,'BSE - SENSEX Index Options'!$I:$I,"Weekly*")+SUMIFS('BSE - SENSEX Index Options'!$M:$M,'BSE - SENSEX Index Options'!$C:$C,$A178,'BSE - SENSEX Index Options'!$B:$B,E$147,'BSE - SENSEX Index Options'!$I:$I,"MDAW*")+SUMIFS('BSE - Other Index Options'!$M:$M,'BSE - Other Index Options'!$C:$C,$A178,'BSE - Other Index Options'!$B:$B,E$147,'BSE - Other Index Options'!$I:$I,"Weekly*")+SUMIFS('BSE - Other Index Options'!$M:$M,'BSE - Other Index Options'!$C:$C,$A178,'BSE - Other Index Options'!$B:$B,E$147,'BSE - Other Index Options'!$I:$I,"MDAW*")=0,"",SUMIFS('BSE - SENSEX Index Options'!$M:$M,'BSE - SENSEX Index Options'!$C:$C,$A178,'BSE - SENSEX Index Options'!$B:$B,E$147,'BSE - SENSEX Index Options'!$I:$I,"Weekly*")+SUMIFS('BSE - SENSEX Index Options'!$M:$M,'BSE - SENSEX Index Options'!$C:$C,$A178,'BSE - SENSEX Index Options'!$B:$B,E$147,'BSE - SENSEX Index Options'!$I:$I,"MDAW*")+SUMIFS('BSE - Other Index Options'!$M:$M,'BSE - Other Index Options'!$C:$C,$A178,'BSE - Other Index Options'!$B:$B,E$147,'BSE - Other Index Options'!$I:$I,"Weekly*")+SUMIFS('BSE - Other Index Options'!$M:$M,'BSE - Other Index Options'!$C:$C,$A178,'BSE - Other Index Options'!$B:$B,E$147,'BSE - Other Index Options'!$I:$I,"MDAW*"))</f>
        <v/>
      </c>
      <c r="F178" s="26">
        <f>IF(SUMIFS('BSE - SENSEX Index Options'!$M:$M,'BSE - SENSEX Index Options'!$C:$C,$A178,'BSE - SENSEX Index Options'!$B:$B,F$147,'BSE - SENSEX Index Options'!$I:$I,"Weekly*")+SUMIFS('BSE - SENSEX Index Options'!$M:$M,'BSE - SENSEX Index Options'!$C:$C,$A178,'BSE - SENSEX Index Options'!$B:$B,F$147,'BSE - SENSEX Index Options'!$I:$I,"MDAW*")+SUMIFS('BSE - Other Index Options'!$M:$M,'BSE - Other Index Options'!$C:$C,$A178,'BSE - Other Index Options'!$B:$B,F$147,'BSE - Other Index Options'!$I:$I,"Weekly*")+SUMIFS('BSE - Other Index Options'!$M:$M,'BSE - Other Index Options'!$C:$C,$A178,'BSE - Other Index Options'!$B:$B,F$147,'BSE - Other Index Options'!$I:$I,"MDAW*")=0,"",SUMIFS('BSE - SENSEX Index Options'!$M:$M,'BSE - SENSEX Index Options'!$C:$C,$A178,'BSE - SENSEX Index Options'!$B:$B,F$147,'BSE - SENSEX Index Options'!$I:$I,"Weekly*")+SUMIFS('BSE - SENSEX Index Options'!$M:$M,'BSE - SENSEX Index Options'!$C:$C,$A178,'BSE - SENSEX Index Options'!$B:$B,F$147,'BSE - SENSEX Index Options'!$I:$I,"MDAW*")+SUMIFS('BSE - Other Index Options'!$M:$M,'BSE - Other Index Options'!$C:$C,$A178,'BSE - Other Index Options'!$B:$B,F$147,'BSE - Other Index Options'!$I:$I,"Weekly*")+SUMIFS('BSE - Other Index Options'!$M:$M,'BSE - Other Index Options'!$C:$C,$A178,'BSE - Other Index Options'!$B:$B,F$147,'BSE - Other Index Options'!$I:$I,"MDAW*"))</f>
        <v/>
      </c>
      <c r="G178" s="26">
        <f>IF(SUMIFS('BSE - SENSEX Index Options'!$M:$M,'BSE - SENSEX Index Options'!$C:$C,$A178,'BSE - SENSEX Index Options'!$B:$B,G$147,'BSE - SENSEX Index Options'!$I:$I,"Weekly*")+SUMIFS('BSE - SENSEX Index Options'!$M:$M,'BSE - SENSEX Index Options'!$C:$C,$A178,'BSE - SENSEX Index Options'!$B:$B,G$147,'BSE - SENSEX Index Options'!$I:$I,"MDAW*")+SUMIFS('BSE - Other Index Options'!$M:$M,'BSE - Other Index Options'!$C:$C,$A178,'BSE - Other Index Options'!$B:$B,G$147,'BSE - Other Index Options'!$I:$I,"Weekly*")+SUMIFS('BSE - Other Index Options'!$M:$M,'BSE - Other Index Options'!$C:$C,$A178,'BSE - Other Index Options'!$B:$B,G$147,'BSE - Other Index Options'!$I:$I,"MDAW*")=0,"",SUMIFS('BSE - SENSEX Index Options'!$M:$M,'BSE - SENSEX Index Options'!$C:$C,$A178,'BSE - SENSEX Index Options'!$B:$B,G$147,'BSE - SENSEX Index Options'!$I:$I,"Weekly*")+SUMIFS('BSE - SENSEX Index Options'!$M:$M,'BSE - SENSEX Index Options'!$C:$C,$A178,'BSE - SENSEX Index Options'!$B:$B,G$147,'BSE - SENSEX Index Options'!$I:$I,"MDAW*")+SUMIFS('BSE - Other Index Options'!$M:$M,'BSE - Other Index Options'!$C:$C,$A178,'BSE - Other Index Options'!$B:$B,G$147,'BSE - Other Index Options'!$I:$I,"Weekly*")+SUMIFS('BSE - Other Index Options'!$M:$M,'BSE - Other Index Options'!$C:$C,$A178,'BSE - Other Index Options'!$B:$B,G$147,'BSE - Other Index Options'!$I:$I,"MDAW*"))</f>
        <v/>
      </c>
      <c r="H178" s="26">
        <f>IF(SUM(B178:G178)=0,"",SUM(B178:G178))</f>
        <v/>
      </c>
    </row>
    <row r="179">
      <c r="A179" t="inlineStr">
        <is>
          <t>Week3-Mar-2026</t>
        </is>
      </c>
      <c r="B179" s="26">
        <f>IF(SUMIFS('BSE - SENSEX Index Options'!$M:$M,'BSE - SENSEX Index Options'!$C:$C,$A179,'BSE - SENSEX Index Options'!$B:$B,B$147,'BSE - SENSEX Index Options'!$I:$I,"Weekly*")+SUMIFS('BSE - SENSEX Index Options'!$M:$M,'BSE - SENSEX Index Options'!$C:$C,$A179,'BSE - SENSEX Index Options'!$B:$B,B$147,'BSE - SENSEX Index Options'!$I:$I,"MDAW*")+SUMIFS('BSE - Other Index Options'!$M:$M,'BSE - Other Index Options'!$C:$C,$A179,'BSE - Other Index Options'!$B:$B,B$147,'BSE - Other Index Options'!$I:$I,"Weekly*")+SUMIFS('BSE - Other Index Options'!$M:$M,'BSE - Other Index Options'!$C:$C,$A179,'BSE - Other Index Options'!$B:$B,B$147,'BSE - Other Index Options'!$I:$I,"MDAW*")=0,"",SUMIFS('BSE - SENSEX Index Options'!$M:$M,'BSE - SENSEX Index Options'!$C:$C,$A179,'BSE - SENSEX Index Options'!$B:$B,B$147,'BSE - SENSEX Index Options'!$I:$I,"Weekly*")+SUMIFS('BSE - SENSEX Index Options'!$M:$M,'BSE - SENSEX Index Options'!$C:$C,$A179,'BSE - SENSEX Index Options'!$B:$B,B$147,'BSE - SENSEX Index Options'!$I:$I,"MDAW*")+SUMIFS('BSE - Other Index Options'!$M:$M,'BSE - Other Index Options'!$C:$C,$A179,'BSE - Other Index Options'!$B:$B,B$147,'BSE - Other Index Options'!$I:$I,"Weekly*")+SUMIFS('BSE - Other Index Options'!$M:$M,'BSE - Other Index Options'!$C:$C,$A179,'BSE - Other Index Options'!$B:$B,B$147,'BSE - Other Index Options'!$I:$I,"MDAW*"))</f>
        <v/>
      </c>
      <c r="C179" s="26">
        <f>IF(SUMIFS('BSE - SENSEX Index Options'!$M:$M,'BSE - SENSEX Index Options'!$C:$C,$A179,'BSE - SENSEX Index Options'!$B:$B,C$147,'BSE - SENSEX Index Options'!$I:$I,"Weekly*")+SUMIFS('BSE - SENSEX Index Options'!$M:$M,'BSE - SENSEX Index Options'!$C:$C,$A179,'BSE - SENSEX Index Options'!$B:$B,C$147,'BSE - SENSEX Index Options'!$I:$I,"MDAW*")+SUMIFS('BSE - Other Index Options'!$M:$M,'BSE - Other Index Options'!$C:$C,$A179,'BSE - Other Index Options'!$B:$B,C$147,'BSE - Other Index Options'!$I:$I,"Weekly*")+SUMIFS('BSE - Other Index Options'!$M:$M,'BSE - Other Index Options'!$C:$C,$A179,'BSE - Other Index Options'!$B:$B,C$147,'BSE - Other Index Options'!$I:$I,"MDAW*")=0,"",SUMIFS('BSE - SENSEX Index Options'!$M:$M,'BSE - SENSEX Index Options'!$C:$C,$A179,'BSE - SENSEX Index Options'!$B:$B,C$147,'BSE - SENSEX Index Options'!$I:$I,"Weekly*")+SUMIFS('BSE - SENSEX Index Options'!$M:$M,'BSE - SENSEX Index Options'!$C:$C,$A179,'BSE - SENSEX Index Options'!$B:$B,C$147,'BSE - SENSEX Index Options'!$I:$I,"MDAW*")+SUMIFS('BSE - Other Index Options'!$M:$M,'BSE - Other Index Options'!$C:$C,$A179,'BSE - Other Index Options'!$B:$B,C$147,'BSE - Other Index Options'!$I:$I,"Weekly*")+SUMIFS('BSE - Other Index Options'!$M:$M,'BSE - Other Index Options'!$C:$C,$A179,'BSE - Other Index Options'!$B:$B,C$147,'BSE - Other Index Options'!$I:$I,"MDAW*"))</f>
        <v/>
      </c>
      <c r="D179" s="26">
        <f>IF(SUMIFS('BSE - SENSEX Index Options'!$M:$M,'BSE - SENSEX Index Options'!$C:$C,$A179,'BSE - SENSEX Index Options'!$B:$B,D$147,'BSE - SENSEX Index Options'!$I:$I,"Weekly*")+SUMIFS('BSE - SENSEX Index Options'!$M:$M,'BSE - SENSEX Index Options'!$C:$C,$A179,'BSE - SENSEX Index Options'!$B:$B,D$147,'BSE - SENSEX Index Options'!$I:$I,"MDAW*")+SUMIFS('BSE - Other Index Options'!$M:$M,'BSE - Other Index Options'!$C:$C,$A179,'BSE - Other Index Options'!$B:$B,D$147,'BSE - Other Index Options'!$I:$I,"Weekly*")+SUMIFS('BSE - Other Index Options'!$M:$M,'BSE - Other Index Options'!$C:$C,$A179,'BSE - Other Index Options'!$B:$B,D$147,'BSE - Other Index Options'!$I:$I,"MDAW*")=0,"",SUMIFS('BSE - SENSEX Index Options'!$M:$M,'BSE - SENSEX Index Options'!$C:$C,$A179,'BSE - SENSEX Index Options'!$B:$B,D$147,'BSE - SENSEX Index Options'!$I:$I,"Weekly*")+SUMIFS('BSE - SENSEX Index Options'!$M:$M,'BSE - SENSEX Index Options'!$C:$C,$A179,'BSE - SENSEX Index Options'!$B:$B,D$147,'BSE - SENSEX Index Options'!$I:$I,"MDAW*")+SUMIFS('BSE - Other Index Options'!$M:$M,'BSE - Other Index Options'!$C:$C,$A179,'BSE - Other Index Options'!$B:$B,D$147,'BSE - Other Index Options'!$I:$I,"Weekly*")+SUMIFS('BSE - Other Index Options'!$M:$M,'BSE - Other Index Options'!$C:$C,$A179,'BSE - Other Index Options'!$B:$B,D$147,'BSE - Other Index Options'!$I:$I,"MDAW*"))</f>
        <v/>
      </c>
      <c r="E179" s="26">
        <f>IF(SUMIFS('BSE - SENSEX Index Options'!$M:$M,'BSE - SENSEX Index Options'!$C:$C,$A179,'BSE - SENSEX Index Options'!$B:$B,E$147,'BSE - SENSEX Index Options'!$I:$I,"Weekly*")+SUMIFS('BSE - SENSEX Index Options'!$M:$M,'BSE - SENSEX Index Options'!$C:$C,$A179,'BSE - SENSEX Index Options'!$B:$B,E$147,'BSE - SENSEX Index Options'!$I:$I,"MDAW*")+SUMIFS('BSE - Other Index Options'!$M:$M,'BSE - Other Index Options'!$C:$C,$A179,'BSE - Other Index Options'!$B:$B,E$147,'BSE - Other Index Options'!$I:$I,"Weekly*")+SUMIFS('BSE - Other Index Options'!$M:$M,'BSE - Other Index Options'!$C:$C,$A179,'BSE - Other Index Options'!$B:$B,E$147,'BSE - Other Index Options'!$I:$I,"MDAW*")=0,"",SUMIFS('BSE - SENSEX Index Options'!$M:$M,'BSE - SENSEX Index Options'!$C:$C,$A179,'BSE - SENSEX Index Options'!$B:$B,E$147,'BSE - SENSEX Index Options'!$I:$I,"Weekly*")+SUMIFS('BSE - SENSEX Index Options'!$M:$M,'BSE - SENSEX Index Options'!$C:$C,$A179,'BSE - SENSEX Index Options'!$B:$B,E$147,'BSE - SENSEX Index Options'!$I:$I,"MDAW*")+SUMIFS('BSE - Other Index Options'!$M:$M,'BSE - Other Index Options'!$C:$C,$A179,'BSE - Other Index Options'!$B:$B,E$147,'BSE - Other Index Options'!$I:$I,"Weekly*")+SUMIFS('BSE - Other Index Options'!$M:$M,'BSE - Other Index Options'!$C:$C,$A179,'BSE - Other Index Options'!$B:$B,E$147,'BSE - Other Index Options'!$I:$I,"MDAW*"))</f>
        <v/>
      </c>
      <c r="F179" s="26">
        <f>IF(SUMIFS('BSE - SENSEX Index Options'!$M:$M,'BSE - SENSEX Index Options'!$C:$C,$A179,'BSE - SENSEX Index Options'!$B:$B,F$147,'BSE - SENSEX Index Options'!$I:$I,"Weekly*")+SUMIFS('BSE - SENSEX Index Options'!$M:$M,'BSE - SENSEX Index Options'!$C:$C,$A179,'BSE - SENSEX Index Options'!$B:$B,F$147,'BSE - SENSEX Index Options'!$I:$I,"MDAW*")+SUMIFS('BSE - Other Index Options'!$M:$M,'BSE - Other Index Options'!$C:$C,$A179,'BSE - Other Index Options'!$B:$B,F$147,'BSE - Other Index Options'!$I:$I,"Weekly*")+SUMIFS('BSE - Other Index Options'!$M:$M,'BSE - Other Index Options'!$C:$C,$A179,'BSE - Other Index Options'!$B:$B,F$147,'BSE - Other Index Options'!$I:$I,"MDAW*")=0,"",SUMIFS('BSE - SENSEX Index Options'!$M:$M,'BSE - SENSEX Index Options'!$C:$C,$A179,'BSE - SENSEX Index Options'!$B:$B,F$147,'BSE - SENSEX Index Options'!$I:$I,"Weekly*")+SUMIFS('BSE - SENSEX Index Options'!$M:$M,'BSE - SENSEX Index Options'!$C:$C,$A179,'BSE - SENSEX Index Options'!$B:$B,F$147,'BSE - SENSEX Index Options'!$I:$I,"MDAW*")+SUMIFS('BSE - Other Index Options'!$M:$M,'BSE - Other Index Options'!$C:$C,$A179,'BSE - Other Index Options'!$B:$B,F$147,'BSE - Other Index Options'!$I:$I,"Weekly*")+SUMIFS('BSE - Other Index Options'!$M:$M,'BSE - Other Index Options'!$C:$C,$A179,'BSE - Other Index Options'!$B:$B,F$147,'BSE - Other Index Options'!$I:$I,"MDAW*"))</f>
        <v/>
      </c>
      <c r="G179" s="26">
        <f>IF(SUMIFS('BSE - SENSEX Index Options'!$M:$M,'BSE - SENSEX Index Options'!$C:$C,$A179,'BSE - SENSEX Index Options'!$B:$B,G$147,'BSE - SENSEX Index Options'!$I:$I,"Weekly*")+SUMIFS('BSE - SENSEX Index Options'!$M:$M,'BSE - SENSEX Index Options'!$C:$C,$A179,'BSE - SENSEX Index Options'!$B:$B,G$147,'BSE - SENSEX Index Options'!$I:$I,"MDAW*")+SUMIFS('BSE - Other Index Options'!$M:$M,'BSE - Other Index Options'!$C:$C,$A179,'BSE - Other Index Options'!$B:$B,G$147,'BSE - Other Index Options'!$I:$I,"Weekly*")+SUMIFS('BSE - Other Index Options'!$M:$M,'BSE - Other Index Options'!$C:$C,$A179,'BSE - Other Index Options'!$B:$B,G$147,'BSE - Other Index Options'!$I:$I,"MDAW*")=0,"",SUMIFS('BSE - SENSEX Index Options'!$M:$M,'BSE - SENSEX Index Options'!$C:$C,$A179,'BSE - SENSEX Index Options'!$B:$B,G$147,'BSE - SENSEX Index Options'!$I:$I,"Weekly*")+SUMIFS('BSE - SENSEX Index Options'!$M:$M,'BSE - SENSEX Index Options'!$C:$C,$A179,'BSE - SENSEX Index Options'!$B:$B,G$147,'BSE - SENSEX Index Options'!$I:$I,"MDAW*")+SUMIFS('BSE - Other Index Options'!$M:$M,'BSE - Other Index Options'!$C:$C,$A179,'BSE - Other Index Options'!$B:$B,G$147,'BSE - Other Index Options'!$I:$I,"Weekly*")+SUMIFS('BSE - Other Index Options'!$M:$M,'BSE - Other Index Options'!$C:$C,$A179,'BSE - Other Index Options'!$B:$B,G$147,'BSE - Other Index Options'!$I:$I,"MDAW*"))</f>
        <v/>
      </c>
      <c r="H179" s="26">
        <f>IF(SUM(B179:G179)=0,"",SUM(B179:G179))</f>
        <v/>
      </c>
    </row>
    <row r="180">
      <c r="A180" t="inlineStr">
        <is>
          <t>Week4-Mar-2026</t>
        </is>
      </c>
      <c r="B180" s="26">
        <f>IF(SUMIFS('BSE - SENSEX Index Options'!$M:$M,'BSE - SENSEX Index Options'!$C:$C,$A180,'BSE - SENSEX Index Options'!$B:$B,B$147,'BSE - SENSEX Index Options'!$I:$I,"Weekly*")+SUMIFS('BSE - SENSEX Index Options'!$M:$M,'BSE - SENSEX Index Options'!$C:$C,$A180,'BSE - SENSEX Index Options'!$B:$B,B$147,'BSE - SENSEX Index Options'!$I:$I,"MDAW*")+SUMIFS('BSE - Other Index Options'!$M:$M,'BSE - Other Index Options'!$C:$C,$A180,'BSE - Other Index Options'!$B:$B,B$147,'BSE - Other Index Options'!$I:$I,"Weekly*")+SUMIFS('BSE - Other Index Options'!$M:$M,'BSE - Other Index Options'!$C:$C,$A180,'BSE - Other Index Options'!$B:$B,B$147,'BSE - Other Index Options'!$I:$I,"MDAW*")=0,"",SUMIFS('BSE - SENSEX Index Options'!$M:$M,'BSE - SENSEX Index Options'!$C:$C,$A180,'BSE - SENSEX Index Options'!$B:$B,B$147,'BSE - SENSEX Index Options'!$I:$I,"Weekly*")+SUMIFS('BSE - SENSEX Index Options'!$M:$M,'BSE - SENSEX Index Options'!$C:$C,$A180,'BSE - SENSEX Index Options'!$B:$B,B$147,'BSE - SENSEX Index Options'!$I:$I,"MDAW*")+SUMIFS('BSE - Other Index Options'!$M:$M,'BSE - Other Index Options'!$C:$C,$A180,'BSE - Other Index Options'!$B:$B,B$147,'BSE - Other Index Options'!$I:$I,"Weekly*")+SUMIFS('BSE - Other Index Options'!$M:$M,'BSE - Other Index Options'!$C:$C,$A180,'BSE - Other Index Options'!$B:$B,B$147,'BSE - Other Index Options'!$I:$I,"MDAW*"))</f>
        <v/>
      </c>
      <c r="C180" s="26">
        <f>IF(SUMIFS('BSE - SENSEX Index Options'!$M:$M,'BSE - SENSEX Index Options'!$C:$C,$A180,'BSE - SENSEX Index Options'!$B:$B,C$147,'BSE - SENSEX Index Options'!$I:$I,"Weekly*")+SUMIFS('BSE - SENSEX Index Options'!$M:$M,'BSE - SENSEX Index Options'!$C:$C,$A180,'BSE - SENSEX Index Options'!$B:$B,C$147,'BSE - SENSEX Index Options'!$I:$I,"MDAW*")+SUMIFS('BSE - Other Index Options'!$M:$M,'BSE - Other Index Options'!$C:$C,$A180,'BSE - Other Index Options'!$B:$B,C$147,'BSE - Other Index Options'!$I:$I,"Weekly*")+SUMIFS('BSE - Other Index Options'!$M:$M,'BSE - Other Index Options'!$C:$C,$A180,'BSE - Other Index Options'!$B:$B,C$147,'BSE - Other Index Options'!$I:$I,"MDAW*")=0,"",SUMIFS('BSE - SENSEX Index Options'!$M:$M,'BSE - SENSEX Index Options'!$C:$C,$A180,'BSE - SENSEX Index Options'!$B:$B,C$147,'BSE - SENSEX Index Options'!$I:$I,"Weekly*")+SUMIFS('BSE - SENSEX Index Options'!$M:$M,'BSE - SENSEX Index Options'!$C:$C,$A180,'BSE - SENSEX Index Options'!$B:$B,C$147,'BSE - SENSEX Index Options'!$I:$I,"MDAW*")+SUMIFS('BSE - Other Index Options'!$M:$M,'BSE - Other Index Options'!$C:$C,$A180,'BSE - Other Index Options'!$B:$B,C$147,'BSE - Other Index Options'!$I:$I,"Weekly*")+SUMIFS('BSE - Other Index Options'!$M:$M,'BSE - Other Index Options'!$C:$C,$A180,'BSE - Other Index Options'!$B:$B,C$147,'BSE - Other Index Options'!$I:$I,"MDAW*"))</f>
        <v/>
      </c>
      <c r="D180" s="26">
        <f>IF(SUMIFS('BSE - SENSEX Index Options'!$M:$M,'BSE - SENSEX Index Options'!$C:$C,$A180,'BSE - SENSEX Index Options'!$B:$B,D$147,'BSE - SENSEX Index Options'!$I:$I,"Weekly*")+SUMIFS('BSE - SENSEX Index Options'!$M:$M,'BSE - SENSEX Index Options'!$C:$C,$A180,'BSE - SENSEX Index Options'!$B:$B,D$147,'BSE - SENSEX Index Options'!$I:$I,"MDAW*")+SUMIFS('BSE - Other Index Options'!$M:$M,'BSE - Other Index Options'!$C:$C,$A180,'BSE - Other Index Options'!$B:$B,D$147,'BSE - Other Index Options'!$I:$I,"Weekly*")+SUMIFS('BSE - Other Index Options'!$M:$M,'BSE - Other Index Options'!$C:$C,$A180,'BSE - Other Index Options'!$B:$B,D$147,'BSE - Other Index Options'!$I:$I,"MDAW*")=0,"",SUMIFS('BSE - SENSEX Index Options'!$M:$M,'BSE - SENSEX Index Options'!$C:$C,$A180,'BSE - SENSEX Index Options'!$B:$B,D$147,'BSE - SENSEX Index Options'!$I:$I,"Weekly*")+SUMIFS('BSE - SENSEX Index Options'!$M:$M,'BSE - SENSEX Index Options'!$C:$C,$A180,'BSE - SENSEX Index Options'!$B:$B,D$147,'BSE - SENSEX Index Options'!$I:$I,"MDAW*")+SUMIFS('BSE - Other Index Options'!$M:$M,'BSE - Other Index Options'!$C:$C,$A180,'BSE - Other Index Options'!$B:$B,D$147,'BSE - Other Index Options'!$I:$I,"Weekly*")+SUMIFS('BSE - Other Index Options'!$M:$M,'BSE - Other Index Options'!$C:$C,$A180,'BSE - Other Index Options'!$B:$B,D$147,'BSE - Other Index Options'!$I:$I,"MDAW*"))</f>
        <v/>
      </c>
      <c r="E180" s="26">
        <f>IF(SUMIFS('BSE - SENSEX Index Options'!$M:$M,'BSE - SENSEX Index Options'!$C:$C,$A180,'BSE - SENSEX Index Options'!$B:$B,E$147,'BSE - SENSEX Index Options'!$I:$I,"Weekly*")+SUMIFS('BSE - SENSEX Index Options'!$M:$M,'BSE - SENSEX Index Options'!$C:$C,$A180,'BSE - SENSEX Index Options'!$B:$B,E$147,'BSE - SENSEX Index Options'!$I:$I,"MDAW*")+SUMIFS('BSE - Other Index Options'!$M:$M,'BSE - Other Index Options'!$C:$C,$A180,'BSE - Other Index Options'!$B:$B,E$147,'BSE - Other Index Options'!$I:$I,"Weekly*")+SUMIFS('BSE - Other Index Options'!$M:$M,'BSE - Other Index Options'!$C:$C,$A180,'BSE - Other Index Options'!$B:$B,E$147,'BSE - Other Index Options'!$I:$I,"MDAW*")=0,"",SUMIFS('BSE - SENSEX Index Options'!$M:$M,'BSE - SENSEX Index Options'!$C:$C,$A180,'BSE - SENSEX Index Options'!$B:$B,E$147,'BSE - SENSEX Index Options'!$I:$I,"Weekly*")+SUMIFS('BSE - SENSEX Index Options'!$M:$M,'BSE - SENSEX Index Options'!$C:$C,$A180,'BSE - SENSEX Index Options'!$B:$B,E$147,'BSE - SENSEX Index Options'!$I:$I,"MDAW*")+SUMIFS('BSE - Other Index Options'!$M:$M,'BSE - Other Index Options'!$C:$C,$A180,'BSE - Other Index Options'!$B:$B,E$147,'BSE - Other Index Options'!$I:$I,"Weekly*")+SUMIFS('BSE - Other Index Options'!$M:$M,'BSE - Other Index Options'!$C:$C,$A180,'BSE - Other Index Options'!$B:$B,E$147,'BSE - Other Index Options'!$I:$I,"MDAW*"))</f>
        <v/>
      </c>
      <c r="F180" s="26">
        <f>IF(SUMIFS('BSE - SENSEX Index Options'!$M:$M,'BSE - SENSEX Index Options'!$C:$C,$A180,'BSE - SENSEX Index Options'!$B:$B,F$147,'BSE - SENSEX Index Options'!$I:$I,"Weekly*")+SUMIFS('BSE - SENSEX Index Options'!$M:$M,'BSE - SENSEX Index Options'!$C:$C,$A180,'BSE - SENSEX Index Options'!$B:$B,F$147,'BSE - SENSEX Index Options'!$I:$I,"MDAW*")+SUMIFS('BSE - Other Index Options'!$M:$M,'BSE - Other Index Options'!$C:$C,$A180,'BSE - Other Index Options'!$B:$B,F$147,'BSE - Other Index Options'!$I:$I,"Weekly*")+SUMIFS('BSE - Other Index Options'!$M:$M,'BSE - Other Index Options'!$C:$C,$A180,'BSE - Other Index Options'!$B:$B,F$147,'BSE - Other Index Options'!$I:$I,"MDAW*")=0,"",SUMIFS('BSE - SENSEX Index Options'!$M:$M,'BSE - SENSEX Index Options'!$C:$C,$A180,'BSE - SENSEX Index Options'!$B:$B,F$147,'BSE - SENSEX Index Options'!$I:$I,"Weekly*")+SUMIFS('BSE - SENSEX Index Options'!$M:$M,'BSE - SENSEX Index Options'!$C:$C,$A180,'BSE - SENSEX Index Options'!$B:$B,F$147,'BSE - SENSEX Index Options'!$I:$I,"MDAW*")+SUMIFS('BSE - Other Index Options'!$M:$M,'BSE - Other Index Options'!$C:$C,$A180,'BSE - Other Index Options'!$B:$B,F$147,'BSE - Other Index Options'!$I:$I,"Weekly*")+SUMIFS('BSE - Other Index Options'!$M:$M,'BSE - Other Index Options'!$C:$C,$A180,'BSE - Other Index Options'!$B:$B,F$147,'BSE - Other Index Options'!$I:$I,"MDAW*"))</f>
        <v/>
      </c>
      <c r="G180" s="26">
        <f>IF(SUMIFS('BSE - SENSEX Index Options'!$M:$M,'BSE - SENSEX Index Options'!$C:$C,$A180,'BSE - SENSEX Index Options'!$B:$B,G$147,'BSE - SENSEX Index Options'!$I:$I,"Weekly*")+SUMIFS('BSE - SENSEX Index Options'!$M:$M,'BSE - SENSEX Index Options'!$C:$C,$A180,'BSE - SENSEX Index Options'!$B:$B,G$147,'BSE - SENSEX Index Options'!$I:$I,"MDAW*")+SUMIFS('BSE - Other Index Options'!$M:$M,'BSE - Other Index Options'!$C:$C,$A180,'BSE - Other Index Options'!$B:$B,G$147,'BSE - Other Index Options'!$I:$I,"Weekly*")+SUMIFS('BSE - Other Index Options'!$M:$M,'BSE - Other Index Options'!$C:$C,$A180,'BSE - Other Index Options'!$B:$B,G$147,'BSE - Other Index Options'!$I:$I,"MDAW*")=0,"",SUMIFS('BSE - SENSEX Index Options'!$M:$M,'BSE - SENSEX Index Options'!$C:$C,$A180,'BSE - SENSEX Index Options'!$B:$B,G$147,'BSE - SENSEX Index Options'!$I:$I,"Weekly*")+SUMIFS('BSE - SENSEX Index Options'!$M:$M,'BSE - SENSEX Index Options'!$C:$C,$A180,'BSE - SENSEX Index Options'!$B:$B,G$147,'BSE - SENSEX Index Options'!$I:$I,"MDAW*")+SUMIFS('BSE - Other Index Options'!$M:$M,'BSE - Other Index Options'!$C:$C,$A180,'BSE - Other Index Options'!$B:$B,G$147,'BSE - Other Index Options'!$I:$I,"Weekly*")+SUMIFS('BSE - Other Index Options'!$M:$M,'BSE - Other Index Options'!$C:$C,$A180,'BSE - Other Index Options'!$B:$B,G$147,'BSE - Other Index Options'!$I:$I,"MDAW*"))</f>
        <v/>
      </c>
      <c r="H180" s="26">
        <f>IF(SUM(B180:G180)=0,"",SUM(B180:G180))</f>
        <v/>
      </c>
    </row>
    <row r="181">
      <c r="A181" t="inlineStr">
        <is>
          <t>Week5-Mar-2026</t>
        </is>
      </c>
      <c r="B181" s="26">
        <f>IF(SUMIFS('BSE - SENSEX Index Options'!$M:$M,'BSE - SENSEX Index Options'!$C:$C,$A181,'BSE - SENSEX Index Options'!$B:$B,B$147,'BSE - SENSEX Index Options'!$I:$I,"Weekly*")+SUMIFS('BSE - SENSEX Index Options'!$M:$M,'BSE - SENSEX Index Options'!$C:$C,$A181,'BSE - SENSEX Index Options'!$B:$B,B$147,'BSE - SENSEX Index Options'!$I:$I,"MDAW*")+SUMIFS('BSE - Other Index Options'!$M:$M,'BSE - Other Index Options'!$C:$C,$A181,'BSE - Other Index Options'!$B:$B,B$147,'BSE - Other Index Options'!$I:$I,"Weekly*")+SUMIFS('BSE - Other Index Options'!$M:$M,'BSE - Other Index Options'!$C:$C,$A181,'BSE - Other Index Options'!$B:$B,B$147,'BSE - Other Index Options'!$I:$I,"MDAW*")=0,"",SUMIFS('BSE - SENSEX Index Options'!$M:$M,'BSE - SENSEX Index Options'!$C:$C,$A181,'BSE - SENSEX Index Options'!$B:$B,B$147,'BSE - SENSEX Index Options'!$I:$I,"Weekly*")+SUMIFS('BSE - SENSEX Index Options'!$M:$M,'BSE - SENSEX Index Options'!$C:$C,$A181,'BSE - SENSEX Index Options'!$B:$B,B$147,'BSE - SENSEX Index Options'!$I:$I,"MDAW*")+SUMIFS('BSE - Other Index Options'!$M:$M,'BSE - Other Index Options'!$C:$C,$A181,'BSE - Other Index Options'!$B:$B,B$147,'BSE - Other Index Options'!$I:$I,"Weekly*")+SUMIFS('BSE - Other Index Options'!$M:$M,'BSE - Other Index Options'!$C:$C,$A181,'BSE - Other Index Options'!$B:$B,B$147,'BSE - Other Index Options'!$I:$I,"MDAW*"))</f>
        <v/>
      </c>
      <c r="C181" s="26">
        <f>IF(SUMIFS('BSE - SENSEX Index Options'!$M:$M,'BSE - SENSEX Index Options'!$C:$C,$A181,'BSE - SENSEX Index Options'!$B:$B,C$147,'BSE - SENSEX Index Options'!$I:$I,"Weekly*")+SUMIFS('BSE - SENSEX Index Options'!$M:$M,'BSE - SENSEX Index Options'!$C:$C,$A181,'BSE - SENSEX Index Options'!$B:$B,C$147,'BSE - SENSEX Index Options'!$I:$I,"MDAW*")+SUMIFS('BSE - Other Index Options'!$M:$M,'BSE - Other Index Options'!$C:$C,$A181,'BSE - Other Index Options'!$B:$B,C$147,'BSE - Other Index Options'!$I:$I,"Weekly*")+SUMIFS('BSE - Other Index Options'!$M:$M,'BSE - Other Index Options'!$C:$C,$A181,'BSE - Other Index Options'!$B:$B,C$147,'BSE - Other Index Options'!$I:$I,"MDAW*")=0,"",SUMIFS('BSE - SENSEX Index Options'!$M:$M,'BSE - SENSEX Index Options'!$C:$C,$A181,'BSE - SENSEX Index Options'!$B:$B,C$147,'BSE - SENSEX Index Options'!$I:$I,"Weekly*")+SUMIFS('BSE - SENSEX Index Options'!$M:$M,'BSE - SENSEX Index Options'!$C:$C,$A181,'BSE - SENSEX Index Options'!$B:$B,C$147,'BSE - SENSEX Index Options'!$I:$I,"MDAW*")+SUMIFS('BSE - Other Index Options'!$M:$M,'BSE - Other Index Options'!$C:$C,$A181,'BSE - Other Index Options'!$B:$B,C$147,'BSE - Other Index Options'!$I:$I,"Weekly*")+SUMIFS('BSE - Other Index Options'!$M:$M,'BSE - Other Index Options'!$C:$C,$A181,'BSE - Other Index Options'!$B:$B,C$147,'BSE - Other Index Options'!$I:$I,"MDAW*"))</f>
        <v/>
      </c>
      <c r="D181" s="26">
        <f>IF(SUMIFS('BSE - SENSEX Index Options'!$M:$M,'BSE - SENSEX Index Options'!$C:$C,$A181,'BSE - SENSEX Index Options'!$B:$B,D$147,'BSE - SENSEX Index Options'!$I:$I,"Weekly*")+SUMIFS('BSE - SENSEX Index Options'!$M:$M,'BSE - SENSEX Index Options'!$C:$C,$A181,'BSE - SENSEX Index Options'!$B:$B,D$147,'BSE - SENSEX Index Options'!$I:$I,"MDAW*")+SUMIFS('BSE - Other Index Options'!$M:$M,'BSE - Other Index Options'!$C:$C,$A181,'BSE - Other Index Options'!$B:$B,D$147,'BSE - Other Index Options'!$I:$I,"Weekly*")+SUMIFS('BSE - Other Index Options'!$M:$M,'BSE - Other Index Options'!$C:$C,$A181,'BSE - Other Index Options'!$B:$B,D$147,'BSE - Other Index Options'!$I:$I,"MDAW*")=0,"",SUMIFS('BSE - SENSEX Index Options'!$M:$M,'BSE - SENSEX Index Options'!$C:$C,$A181,'BSE - SENSEX Index Options'!$B:$B,D$147,'BSE - SENSEX Index Options'!$I:$I,"Weekly*")+SUMIFS('BSE - SENSEX Index Options'!$M:$M,'BSE - SENSEX Index Options'!$C:$C,$A181,'BSE - SENSEX Index Options'!$B:$B,D$147,'BSE - SENSEX Index Options'!$I:$I,"MDAW*")+SUMIFS('BSE - Other Index Options'!$M:$M,'BSE - Other Index Options'!$C:$C,$A181,'BSE - Other Index Options'!$B:$B,D$147,'BSE - Other Index Options'!$I:$I,"Weekly*")+SUMIFS('BSE - Other Index Options'!$M:$M,'BSE - Other Index Options'!$C:$C,$A181,'BSE - Other Index Options'!$B:$B,D$147,'BSE - Other Index Options'!$I:$I,"MDAW*"))</f>
        <v/>
      </c>
      <c r="E181" s="26">
        <f>IF(SUMIFS('BSE - SENSEX Index Options'!$M:$M,'BSE - SENSEX Index Options'!$C:$C,$A181,'BSE - SENSEX Index Options'!$B:$B,E$147,'BSE - SENSEX Index Options'!$I:$I,"Weekly*")+SUMIFS('BSE - SENSEX Index Options'!$M:$M,'BSE - SENSEX Index Options'!$C:$C,$A181,'BSE - SENSEX Index Options'!$B:$B,E$147,'BSE - SENSEX Index Options'!$I:$I,"MDAW*")+SUMIFS('BSE - Other Index Options'!$M:$M,'BSE - Other Index Options'!$C:$C,$A181,'BSE - Other Index Options'!$B:$B,E$147,'BSE - Other Index Options'!$I:$I,"Weekly*")+SUMIFS('BSE - Other Index Options'!$M:$M,'BSE - Other Index Options'!$C:$C,$A181,'BSE - Other Index Options'!$B:$B,E$147,'BSE - Other Index Options'!$I:$I,"MDAW*")=0,"",SUMIFS('BSE - SENSEX Index Options'!$M:$M,'BSE - SENSEX Index Options'!$C:$C,$A181,'BSE - SENSEX Index Options'!$B:$B,E$147,'BSE - SENSEX Index Options'!$I:$I,"Weekly*")+SUMIFS('BSE - SENSEX Index Options'!$M:$M,'BSE - SENSEX Index Options'!$C:$C,$A181,'BSE - SENSEX Index Options'!$B:$B,E$147,'BSE - SENSEX Index Options'!$I:$I,"MDAW*")+SUMIFS('BSE - Other Index Options'!$M:$M,'BSE - Other Index Options'!$C:$C,$A181,'BSE - Other Index Options'!$B:$B,E$147,'BSE - Other Index Options'!$I:$I,"Weekly*")+SUMIFS('BSE - Other Index Options'!$M:$M,'BSE - Other Index Options'!$C:$C,$A181,'BSE - Other Index Options'!$B:$B,E$147,'BSE - Other Index Options'!$I:$I,"MDAW*"))</f>
        <v/>
      </c>
      <c r="F181" s="26">
        <f>IF(SUMIFS('BSE - SENSEX Index Options'!$M:$M,'BSE - SENSEX Index Options'!$C:$C,$A181,'BSE - SENSEX Index Options'!$B:$B,F$147,'BSE - SENSEX Index Options'!$I:$I,"Weekly*")+SUMIFS('BSE - SENSEX Index Options'!$M:$M,'BSE - SENSEX Index Options'!$C:$C,$A181,'BSE - SENSEX Index Options'!$B:$B,F$147,'BSE - SENSEX Index Options'!$I:$I,"MDAW*")+SUMIFS('BSE - Other Index Options'!$M:$M,'BSE - Other Index Options'!$C:$C,$A181,'BSE - Other Index Options'!$B:$B,F$147,'BSE - Other Index Options'!$I:$I,"Weekly*")+SUMIFS('BSE - Other Index Options'!$M:$M,'BSE - Other Index Options'!$C:$C,$A181,'BSE - Other Index Options'!$B:$B,F$147,'BSE - Other Index Options'!$I:$I,"MDAW*")=0,"",SUMIFS('BSE - SENSEX Index Options'!$M:$M,'BSE - SENSEX Index Options'!$C:$C,$A181,'BSE - SENSEX Index Options'!$B:$B,F$147,'BSE - SENSEX Index Options'!$I:$I,"Weekly*")+SUMIFS('BSE - SENSEX Index Options'!$M:$M,'BSE - SENSEX Index Options'!$C:$C,$A181,'BSE - SENSEX Index Options'!$B:$B,F$147,'BSE - SENSEX Index Options'!$I:$I,"MDAW*")+SUMIFS('BSE - Other Index Options'!$M:$M,'BSE - Other Index Options'!$C:$C,$A181,'BSE - Other Index Options'!$B:$B,F$147,'BSE - Other Index Options'!$I:$I,"Weekly*")+SUMIFS('BSE - Other Index Options'!$M:$M,'BSE - Other Index Options'!$C:$C,$A181,'BSE - Other Index Options'!$B:$B,F$147,'BSE - Other Index Options'!$I:$I,"MDAW*"))</f>
        <v/>
      </c>
      <c r="G181" s="26">
        <f>IF(SUMIFS('BSE - SENSEX Index Options'!$M:$M,'BSE - SENSEX Index Options'!$C:$C,$A181,'BSE - SENSEX Index Options'!$B:$B,G$147,'BSE - SENSEX Index Options'!$I:$I,"Weekly*")+SUMIFS('BSE - SENSEX Index Options'!$M:$M,'BSE - SENSEX Index Options'!$C:$C,$A181,'BSE - SENSEX Index Options'!$B:$B,G$147,'BSE - SENSEX Index Options'!$I:$I,"MDAW*")+SUMIFS('BSE - Other Index Options'!$M:$M,'BSE - Other Index Options'!$C:$C,$A181,'BSE - Other Index Options'!$B:$B,G$147,'BSE - Other Index Options'!$I:$I,"Weekly*")+SUMIFS('BSE - Other Index Options'!$M:$M,'BSE - Other Index Options'!$C:$C,$A181,'BSE - Other Index Options'!$B:$B,G$147,'BSE - Other Index Options'!$I:$I,"MDAW*")=0,"",SUMIFS('BSE - SENSEX Index Options'!$M:$M,'BSE - SENSEX Index Options'!$C:$C,$A181,'BSE - SENSEX Index Options'!$B:$B,G$147,'BSE - SENSEX Index Options'!$I:$I,"Weekly*")+SUMIFS('BSE - SENSEX Index Options'!$M:$M,'BSE - SENSEX Index Options'!$C:$C,$A181,'BSE - SENSEX Index Options'!$B:$B,G$147,'BSE - SENSEX Index Options'!$I:$I,"MDAW*")+SUMIFS('BSE - Other Index Options'!$M:$M,'BSE - Other Index Options'!$C:$C,$A181,'BSE - Other Index Options'!$B:$B,G$147,'BSE - Other Index Options'!$I:$I,"Weekly*")+SUMIFS('BSE - Other Index Options'!$M:$M,'BSE - Other Index Options'!$C:$C,$A181,'BSE - Other Index Options'!$B:$B,G$147,'BSE - Other Index Options'!$I:$I,"MDAW*"))</f>
        <v/>
      </c>
      <c r="H181" s="26">
        <f>IF(SUM(B181:G181)=0,"",SUM(B181:G181))</f>
        <v/>
      </c>
    </row>
    <row r="182">
      <c r="A182" t="inlineStr">
        <is>
          <t>Week1-Apr-2026</t>
        </is>
      </c>
      <c r="B182" s="26">
        <f>IF(SUMIFS('BSE - SENSEX Index Options'!$M:$M,'BSE - SENSEX Index Options'!$C:$C,$A182,'BSE - SENSEX Index Options'!$B:$B,B$147,'BSE - SENSEX Index Options'!$I:$I,"Weekly*")+SUMIFS('BSE - SENSEX Index Options'!$M:$M,'BSE - SENSEX Index Options'!$C:$C,$A182,'BSE - SENSEX Index Options'!$B:$B,B$147,'BSE - SENSEX Index Options'!$I:$I,"MDAW*")+SUMIFS('BSE - Other Index Options'!$M:$M,'BSE - Other Index Options'!$C:$C,$A182,'BSE - Other Index Options'!$B:$B,B$147,'BSE - Other Index Options'!$I:$I,"Weekly*")+SUMIFS('BSE - Other Index Options'!$M:$M,'BSE - Other Index Options'!$C:$C,$A182,'BSE - Other Index Options'!$B:$B,B$147,'BSE - Other Index Options'!$I:$I,"MDAW*")=0,"",SUMIFS('BSE - SENSEX Index Options'!$M:$M,'BSE - SENSEX Index Options'!$C:$C,$A182,'BSE - SENSEX Index Options'!$B:$B,B$147,'BSE - SENSEX Index Options'!$I:$I,"Weekly*")+SUMIFS('BSE - SENSEX Index Options'!$M:$M,'BSE - SENSEX Index Options'!$C:$C,$A182,'BSE - SENSEX Index Options'!$B:$B,B$147,'BSE - SENSEX Index Options'!$I:$I,"MDAW*")+SUMIFS('BSE - Other Index Options'!$M:$M,'BSE - Other Index Options'!$C:$C,$A182,'BSE - Other Index Options'!$B:$B,B$147,'BSE - Other Index Options'!$I:$I,"Weekly*")+SUMIFS('BSE - Other Index Options'!$M:$M,'BSE - Other Index Options'!$C:$C,$A182,'BSE - Other Index Options'!$B:$B,B$147,'BSE - Other Index Options'!$I:$I,"MDAW*"))</f>
        <v/>
      </c>
      <c r="C182" s="26">
        <f>IF(SUMIFS('BSE - SENSEX Index Options'!$M:$M,'BSE - SENSEX Index Options'!$C:$C,$A182,'BSE - SENSEX Index Options'!$B:$B,C$147,'BSE - SENSEX Index Options'!$I:$I,"Weekly*")+SUMIFS('BSE - SENSEX Index Options'!$M:$M,'BSE - SENSEX Index Options'!$C:$C,$A182,'BSE - SENSEX Index Options'!$B:$B,C$147,'BSE - SENSEX Index Options'!$I:$I,"MDAW*")+SUMIFS('BSE - Other Index Options'!$M:$M,'BSE - Other Index Options'!$C:$C,$A182,'BSE - Other Index Options'!$B:$B,C$147,'BSE - Other Index Options'!$I:$I,"Weekly*")+SUMIFS('BSE - Other Index Options'!$M:$M,'BSE - Other Index Options'!$C:$C,$A182,'BSE - Other Index Options'!$B:$B,C$147,'BSE - Other Index Options'!$I:$I,"MDAW*")=0,"",SUMIFS('BSE - SENSEX Index Options'!$M:$M,'BSE - SENSEX Index Options'!$C:$C,$A182,'BSE - SENSEX Index Options'!$B:$B,C$147,'BSE - SENSEX Index Options'!$I:$I,"Weekly*")+SUMIFS('BSE - SENSEX Index Options'!$M:$M,'BSE - SENSEX Index Options'!$C:$C,$A182,'BSE - SENSEX Index Options'!$B:$B,C$147,'BSE - SENSEX Index Options'!$I:$I,"MDAW*")+SUMIFS('BSE - Other Index Options'!$M:$M,'BSE - Other Index Options'!$C:$C,$A182,'BSE - Other Index Options'!$B:$B,C$147,'BSE - Other Index Options'!$I:$I,"Weekly*")+SUMIFS('BSE - Other Index Options'!$M:$M,'BSE - Other Index Options'!$C:$C,$A182,'BSE - Other Index Options'!$B:$B,C$147,'BSE - Other Index Options'!$I:$I,"MDAW*"))</f>
        <v/>
      </c>
      <c r="D182" s="26">
        <f>IF(SUMIFS('BSE - SENSEX Index Options'!$M:$M,'BSE - SENSEX Index Options'!$C:$C,$A182,'BSE - SENSEX Index Options'!$B:$B,D$147,'BSE - SENSEX Index Options'!$I:$I,"Weekly*")+SUMIFS('BSE - SENSEX Index Options'!$M:$M,'BSE - SENSEX Index Options'!$C:$C,$A182,'BSE - SENSEX Index Options'!$B:$B,D$147,'BSE - SENSEX Index Options'!$I:$I,"MDAW*")+SUMIFS('BSE - Other Index Options'!$M:$M,'BSE - Other Index Options'!$C:$C,$A182,'BSE - Other Index Options'!$B:$B,D$147,'BSE - Other Index Options'!$I:$I,"Weekly*")+SUMIFS('BSE - Other Index Options'!$M:$M,'BSE - Other Index Options'!$C:$C,$A182,'BSE - Other Index Options'!$B:$B,D$147,'BSE - Other Index Options'!$I:$I,"MDAW*")=0,"",SUMIFS('BSE - SENSEX Index Options'!$M:$M,'BSE - SENSEX Index Options'!$C:$C,$A182,'BSE - SENSEX Index Options'!$B:$B,D$147,'BSE - SENSEX Index Options'!$I:$I,"Weekly*")+SUMIFS('BSE - SENSEX Index Options'!$M:$M,'BSE - SENSEX Index Options'!$C:$C,$A182,'BSE - SENSEX Index Options'!$B:$B,D$147,'BSE - SENSEX Index Options'!$I:$I,"MDAW*")+SUMIFS('BSE - Other Index Options'!$M:$M,'BSE - Other Index Options'!$C:$C,$A182,'BSE - Other Index Options'!$B:$B,D$147,'BSE - Other Index Options'!$I:$I,"Weekly*")+SUMIFS('BSE - Other Index Options'!$M:$M,'BSE - Other Index Options'!$C:$C,$A182,'BSE - Other Index Options'!$B:$B,D$147,'BSE - Other Index Options'!$I:$I,"MDAW*"))</f>
        <v/>
      </c>
      <c r="E182" s="26">
        <f>IF(SUMIFS('BSE - SENSEX Index Options'!$M:$M,'BSE - SENSEX Index Options'!$C:$C,$A182,'BSE - SENSEX Index Options'!$B:$B,E$147,'BSE - SENSEX Index Options'!$I:$I,"Weekly*")+SUMIFS('BSE - SENSEX Index Options'!$M:$M,'BSE - SENSEX Index Options'!$C:$C,$A182,'BSE - SENSEX Index Options'!$B:$B,E$147,'BSE - SENSEX Index Options'!$I:$I,"MDAW*")+SUMIFS('BSE - Other Index Options'!$M:$M,'BSE - Other Index Options'!$C:$C,$A182,'BSE - Other Index Options'!$B:$B,E$147,'BSE - Other Index Options'!$I:$I,"Weekly*")+SUMIFS('BSE - Other Index Options'!$M:$M,'BSE - Other Index Options'!$C:$C,$A182,'BSE - Other Index Options'!$B:$B,E$147,'BSE - Other Index Options'!$I:$I,"MDAW*")=0,"",SUMIFS('BSE - SENSEX Index Options'!$M:$M,'BSE - SENSEX Index Options'!$C:$C,$A182,'BSE - SENSEX Index Options'!$B:$B,E$147,'BSE - SENSEX Index Options'!$I:$I,"Weekly*")+SUMIFS('BSE - SENSEX Index Options'!$M:$M,'BSE - SENSEX Index Options'!$C:$C,$A182,'BSE - SENSEX Index Options'!$B:$B,E$147,'BSE - SENSEX Index Options'!$I:$I,"MDAW*")+SUMIFS('BSE - Other Index Options'!$M:$M,'BSE - Other Index Options'!$C:$C,$A182,'BSE - Other Index Options'!$B:$B,E$147,'BSE - Other Index Options'!$I:$I,"Weekly*")+SUMIFS('BSE - Other Index Options'!$M:$M,'BSE - Other Index Options'!$C:$C,$A182,'BSE - Other Index Options'!$B:$B,E$147,'BSE - Other Index Options'!$I:$I,"MDAW*"))</f>
        <v/>
      </c>
      <c r="F182" s="26">
        <f>IF(SUMIFS('BSE - SENSEX Index Options'!$M:$M,'BSE - SENSEX Index Options'!$C:$C,$A182,'BSE - SENSEX Index Options'!$B:$B,F$147,'BSE - SENSEX Index Options'!$I:$I,"Weekly*")+SUMIFS('BSE - SENSEX Index Options'!$M:$M,'BSE - SENSEX Index Options'!$C:$C,$A182,'BSE - SENSEX Index Options'!$B:$B,F$147,'BSE - SENSEX Index Options'!$I:$I,"MDAW*")+SUMIFS('BSE - Other Index Options'!$M:$M,'BSE - Other Index Options'!$C:$C,$A182,'BSE - Other Index Options'!$B:$B,F$147,'BSE - Other Index Options'!$I:$I,"Weekly*")+SUMIFS('BSE - Other Index Options'!$M:$M,'BSE - Other Index Options'!$C:$C,$A182,'BSE - Other Index Options'!$B:$B,F$147,'BSE - Other Index Options'!$I:$I,"MDAW*")=0,"",SUMIFS('BSE - SENSEX Index Options'!$M:$M,'BSE - SENSEX Index Options'!$C:$C,$A182,'BSE - SENSEX Index Options'!$B:$B,F$147,'BSE - SENSEX Index Options'!$I:$I,"Weekly*")+SUMIFS('BSE - SENSEX Index Options'!$M:$M,'BSE - SENSEX Index Options'!$C:$C,$A182,'BSE - SENSEX Index Options'!$B:$B,F$147,'BSE - SENSEX Index Options'!$I:$I,"MDAW*")+SUMIFS('BSE - Other Index Options'!$M:$M,'BSE - Other Index Options'!$C:$C,$A182,'BSE - Other Index Options'!$B:$B,F$147,'BSE - Other Index Options'!$I:$I,"Weekly*")+SUMIFS('BSE - Other Index Options'!$M:$M,'BSE - Other Index Options'!$C:$C,$A182,'BSE - Other Index Options'!$B:$B,F$147,'BSE - Other Index Options'!$I:$I,"MDAW*"))</f>
        <v/>
      </c>
      <c r="G182" s="26">
        <f>IF(SUMIFS('BSE - SENSEX Index Options'!$M:$M,'BSE - SENSEX Index Options'!$C:$C,$A182,'BSE - SENSEX Index Options'!$B:$B,G$147,'BSE - SENSEX Index Options'!$I:$I,"Weekly*")+SUMIFS('BSE - SENSEX Index Options'!$M:$M,'BSE - SENSEX Index Options'!$C:$C,$A182,'BSE - SENSEX Index Options'!$B:$B,G$147,'BSE - SENSEX Index Options'!$I:$I,"MDAW*")+SUMIFS('BSE - Other Index Options'!$M:$M,'BSE - Other Index Options'!$C:$C,$A182,'BSE - Other Index Options'!$B:$B,G$147,'BSE - Other Index Options'!$I:$I,"Weekly*")+SUMIFS('BSE - Other Index Options'!$M:$M,'BSE - Other Index Options'!$C:$C,$A182,'BSE - Other Index Options'!$B:$B,G$147,'BSE - Other Index Options'!$I:$I,"MDAW*")=0,"",SUMIFS('BSE - SENSEX Index Options'!$M:$M,'BSE - SENSEX Index Options'!$C:$C,$A182,'BSE - SENSEX Index Options'!$B:$B,G$147,'BSE - SENSEX Index Options'!$I:$I,"Weekly*")+SUMIFS('BSE - SENSEX Index Options'!$M:$M,'BSE - SENSEX Index Options'!$C:$C,$A182,'BSE - SENSEX Index Options'!$B:$B,G$147,'BSE - SENSEX Index Options'!$I:$I,"MDAW*")+SUMIFS('BSE - Other Index Options'!$M:$M,'BSE - Other Index Options'!$C:$C,$A182,'BSE - Other Index Options'!$B:$B,G$147,'BSE - Other Index Options'!$I:$I,"Weekly*")+SUMIFS('BSE - Other Index Options'!$M:$M,'BSE - Other Index Options'!$C:$C,$A182,'BSE - Other Index Options'!$B:$B,G$147,'BSE - Other Index Options'!$I:$I,"MDAW*"))</f>
        <v/>
      </c>
      <c r="H182" s="26">
        <f>IF(SUM(B182:G182)=0,"",SUM(B182:G182))</f>
        <v/>
      </c>
    </row>
    <row r="183">
      <c r="A183" t="inlineStr">
        <is>
          <t>Week2-Apr-2026</t>
        </is>
      </c>
      <c r="B183" s="26">
        <f>IF(SUMIFS('BSE - SENSEX Index Options'!$M:$M,'BSE - SENSEX Index Options'!$C:$C,$A183,'BSE - SENSEX Index Options'!$B:$B,B$147,'BSE - SENSEX Index Options'!$I:$I,"Weekly*")+SUMIFS('BSE - SENSEX Index Options'!$M:$M,'BSE - SENSEX Index Options'!$C:$C,$A183,'BSE - SENSEX Index Options'!$B:$B,B$147,'BSE - SENSEX Index Options'!$I:$I,"MDAW*")+SUMIFS('BSE - Other Index Options'!$M:$M,'BSE - Other Index Options'!$C:$C,$A183,'BSE - Other Index Options'!$B:$B,B$147,'BSE - Other Index Options'!$I:$I,"Weekly*")+SUMIFS('BSE - Other Index Options'!$M:$M,'BSE - Other Index Options'!$C:$C,$A183,'BSE - Other Index Options'!$B:$B,B$147,'BSE - Other Index Options'!$I:$I,"MDAW*")=0,"",SUMIFS('BSE - SENSEX Index Options'!$M:$M,'BSE - SENSEX Index Options'!$C:$C,$A183,'BSE - SENSEX Index Options'!$B:$B,B$147,'BSE - SENSEX Index Options'!$I:$I,"Weekly*")+SUMIFS('BSE - SENSEX Index Options'!$M:$M,'BSE - SENSEX Index Options'!$C:$C,$A183,'BSE - SENSEX Index Options'!$B:$B,B$147,'BSE - SENSEX Index Options'!$I:$I,"MDAW*")+SUMIFS('BSE - Other Index Options'!$M:$M,'BSE - Other Index Options'!$C:$C,$A183,'BSE - Other Index Options'!$B:$B,B$147,'BSE - Other Index Options'!$I:$I,"Weekly*")+SUMIFS('BSE - Other Index Options'!$M:$M,'BSE - Other Index Options'!$C:$C,$A183,'BSE - Other Index Options'!$B:$B,B$147,'BSE - Other Index Options'!$I:$I,"MDAW*"))</f>
        <v/>
      </c>
      <c r="C183" s="26">
        <f>IF(SUMIFS('BSE - SENSEX Index Options'!$M:$M,'BSE - SENSEX Index Options'!$C:$C,$A183,'BSE - SENSEX Index Options'!$B:$B,C$147,'BSE - SENSEX Index Options'!$I:$I,"Weekly*")+SUMIFS('BSE - SENSEX Index Options'!$M:$M,'BSE - SENSEX Index Options'!$C:$C,$A183,'BSE - SENSEX Index Options'!$B:$B,C$147,'BSE - SENSEX Index Options'!$I:$I,"MDAW*")+SUMIFS('BSE - Other Index Options'!$M:$M,'BSE - Other Index Options'!$C:$C,$A183,'BSE - Other Index Options'!$B:$B,C$147,'BSE - Other Index Options'!$I:$I,"Weekly*")+SUMIFS('BSE - Other Index Options'!$M:$M,'BSE - Other Index Options'!$C:$C,$A183,'BSE - Other Index Options'!$B:$B,C$147,'BSE - Other Index Options'!$I:$I,"MDAW*")=0,"",SUMIFS('BSE - SENSEX Index Options'!$M:$M,'BSE - SENSEX Index Options'!$C:$C,$A183,'BSE - SENSEX Index Options'!$B:$B,C$147,'BSE - SENSEX Index Options'!$I:$I,"Weekly*")+SUMIFS('BSE - SENSEX Index Options'!$M:$M,'BSE - SENSEX Index Options'!$C:$C,$A183,'BSE - SENSEX Index Options'!$B:$B,C$147,'BSE - SENSEX Index Options'!$I:$I,"MDAW*")+SUMIFS('BSE - Other Index Options'!$M:$M,'BSE - Other Index Options'!$C:$C,$A183,'BSE - Other Index Options'!$B:$B,C$147,'BSE - Other Index Options'!$I:$I,"Weekly*")+SUMIFS('BSE - Other Index Options'!$M:$M,'BSE - Other Index Options'!$C:$C,$A183,'BSE - Other Index Options'!$B:$B,C$147,'BSE - Other Index Options'!$I:$I,"MDAW*"))</f>
        <v/>
      </c>
      <c r="D183" s="26">
        <f>IF(SUMIFS('BSE - SENSEX Index Options'!$M:$M,'BSE - SENSEX Index Options'!$C:$C,$A183,'BSE - SENSEX Index Options'!$B:$B,D$147,'BSE - SENSEX Index Options'!$I:$I,"Weekly*")+SUMIFS('BSE - SENSEX Index Options'!$M:$M,'BSE - SENSEX Index Options'!$C:$C,$A183,'BSE - SENSEX Index Options'!$B:$B,D$147,'BSE - SENSEX Index Options'!$I:$I,"MDAW*")+SUMIFS('BSE - Other Index Options'!$M:$M,'BSE - Other Index Options'!$C:$C,$A183,'BSE - Other Index Options'!$B:$B,D$147,'BSE - Other Index Options'!$I:$I,"Weekly*")+SUMIFS('BSE - Other Index Options'!$M:$M,'BSE - Other Index Options'!$C:$C,$A183,'BSE - Other Index Options'!$B:$B,D$147,'BSE - Other Index Options'!$I:$I,"MDAW*")=0,"",SUMIFS('BSE - SENSEX Index Options'!$M:$M,'BSE - SENSEX Index Options'!$C:$C,$A183,'BSE - SENSEX Index Options'!$B:$B,D$147,'BSE - SENSEX Index Options'!$I:$I,"Weekly*")+SUMIFS('BSE - SENSEX Index Options'!$M:$M,'BSE - SENSEX Index Options'!$C:$C,$A183,'BSE - SENSEX Index Options'!$B:$B,D$147,'BSE - SENSEX Index Options'!$I:$I,"MDAW*")+SUMIFS('BSE - Other Index Options'!$M:$M,'BSE - Other Index Options'!$C:$C,$A183,'BSE - Other Index Options'!$B:$B,D$147,'BSE - Other Index Options'!$I:$I,"Weekly*")+SUMIFS('BSE - Other Index Options'!$M:$M,'BSE - Other Index Options'!$C:$C,$A183,'BSE - Other Index Options'!$B:$B,D$147,'BSE - Other Index Options'!$I:$I,"MDAW*"))</f>
        <v/>
      </c>
      <c r="E183" s="26">
        <f>IF(SUMIFS('BSE - SENSEX Index Options'!$M:$M,'BSE - SENSEX Index Options'!$C:$C,$A183,'BSE - SENSEX Index Options'!$B:$B,E$147,'BSE - SENSEX Index Options'!$I:$I,"Weekly*")+SUMIFS('BSE - SENSEX Index Options'!$M:$M,'BSE - SENSEX Index Options'!$C:$C,$A183,'BSE - SENSEX Index Options'!$B:$B,E$147,'BSE - SENSEX Index Options'!$I:$I,"MDAW*")+SUMIFS('BSE - Other Index Options'!$M:$M,'BSE - Other Index Options'!$C:$C,$A183,'BSE - Other Index Options'!$B:$B,E$147,'BSE - Other Index Options'!$I:$I,"Weekly*")+SUMIFS('BSE - Other Index Options'!$M:$M,'BSE - Other Index Options'!$C:$C,$A183,'BSE - Other Index Options'!$B:$B,E$147,'BSE - Other Index Options'!$I:$I,"MDAW*")=0,"",SUMIFS('BSE - SENSEX Index Options'!$M:$M,'BSE - SENSEX Index Options'!$C:$C,$A183,'BSE - SENSEX Index Options'!$B:$B,E$147,'BSE - SENSEX Index Options'!$I:$I,"Weekly*")+SUMIFS('BSE - SENSEX Index Options'!$M:$M,'BSE - SENSEX Index Options'!$C:$C,$A183,'BSE - SENSEX Index Options'!$B:$B,E$147,'BSE - SENSEX Index Options'!$I:$I,"MDAW*")+SUMIFS('BSE - Other Index Options'!$M:$M,'BSE - Other Index Options'!$C:$C,$A183,'BSE - Other Index Options'!$B:$B,E$147,'BSE - Other Index Options'!$I:$I,"Weekly*")+SUMIFS('BSE - Other Index Options'!$M:$M,'BSE - Other Index Options'!$C:$C,$A183,'BSE - Other Index Options'!$B:$B,E$147,'BSE - Other Index Options'!$I:$I,"MDAW*"))</f>
        <v/>
      </c>
      <c r="F183" s="26">
        <f>IF(SUMIFS('BSE - SENSEX Index Options'!$M:$M,'BSE - SENSEX Index Options'!$C:$C,$A183,'BSE - SENSEX Index Options'!$B:$B,F$147,'BSE - SENSEX Index Options'!$I:$I,"Weekly*")+SUMIFS('BSE - SENSEX Index Options'!$M:$M,'BSE - SENSEX Index Options'!$C:$C,$A183,'BSE - SENSEX Index Options'!$B:$B,F$147,'BSE - SENSEX Index Options'!$I:$I,"MDAW*")+SUMIFS('BSE - Other Index Options'!$M:$M,'BSE - Other Index Options'!$C:$C,$A183,'BSE - Other Index Options'!$B:$B,F$147,'BSE - Other Index Options'!$I:$I,"Weekly*")+SUMIFS('BSE - Other Index Options'!$M:$M,'BSE - Other Index Options'!$C:$C,$A183,'BSE - Other Index Options'!$B:$B,F$147,'BSE - Other Index Options'!$I:$I,"MDAW*")=0,"",SUMIFS('BSE - SENSEX Index Options'!$M:$M,'BSE - SENSEX Index Options'!$C:$C,$A183,'BSE - SENSEX Index Options'!$B:$B,F$147,'BSE - SENSEX Index Options'!$I:$I,"Weekly*")+SUMIFS('BSE - SENSEX Index Options'!$M:$M,'BSE - SENSEX Index Options'!$C:$C,$A183,'BSE - SENSEX Index Options'!$B:$B,F$147,'BSE - SENSEX Index Options'!$I:$I,"MDAW*")+SUMIFS('BSE - Other Index Options'!$M:$M,'BSE - Other Index Options'!$C:$C,$A183,'BSE - Other Index Options'!$B:$B,F$147,'BSE - Other Index Options'!$I:$I,"Weekly*")+SUMIFS('BSE - Other Index Options'!$M:$M,'BSE - Other Index Options'!$C:$C,$A183,'BSE - Other Index Options'!$B:$B,F$147,'BSE - Other Index Options'!$I:$I,"MDAW*"))</f>
        <v/>
      </c>
      <c r="G183" s="26">
        <f>IF(SUMIFS('BSE - SENSEX Index Options'!$M:$M,'BSE - SENSEX Index Options'!$C:$C,$A183,'BSE - SENSEX Index Options'!$B:$B,G$147,'BSE - SENSEX Index Options'!$I:$I,"Weekly*")+SUMIFS('BSE - SENSEX Index Options'!$M:$M,'BSE - SENSEX Index Options'!$C:$C,$A183,'BSE - SENSEX Index Options'!$B:$B,G$147,'BSE - SENSEX Index Options'!$I:$I,"MDAW*")+SUMIFS('BSE - Other Index Options'!$M:$M,'BSE - Other Index Options'!$C:$C,$A183,'BSE - Other Index Options'!$B:$B,G$147,'BSE - Other Index Options'!$I:$I,"Weekly*")+SUMIFS('BSE - Other Index Options'!$M:$M,'BSE - Other Index Options'!$C:$C,$A183,'BSE - Other Index Options'!$B:$B,G$147,'BSE - Other Index Options'!$I:$I,"MDAW*")=0,"",SUMIFS('BSE - SENSEX Index Options'!$M:$M,'BSE - SENSEX Index Options'!$C:$C,$A183,'BSE - SENSEX Index Options'!$B:$B,G$147,'BSE - SENSEX Index Options'!$I:$I,"Weekly*")+SUMIFS('BSE - SENSEX Index Options'!$M:$M,'BSE - SENSEX Index Options'!$C:$C,$A183,'BSE - SENSEX Index Options'!$B:$B,G$147,'BSE - SENSEX Index Options'!$I:$I,"MDAW*")+SUMIFS('BSE - Other Index Options'!$M:$M,'BSE - Other Index Options'!$C:$C,$A183,'BSE - Other Index Options'!$B:$B,G$147,'BSE - Other Index Options'!$I:$I,"Weekly*")+SUMIFS('BSE - Other Index Options'!$M:$M,'BSE - Other Index Options'!$C:$C,$A183,'BSE - Other Index Options'!$B:$B,G$147,'BSE - Other Index Options'!$I:$I,"MDAW*"))</f>
        <v/>
      </c>
      <c r="H183" s="26">
        <f>IF(SUM(B183:G183)=0,"",SUM(B183:G183))</f>
        <v/>
      </c>
    </row>
    <row r="184">
      <c r="A184" t="inlineStr">
        <is>
          <t>Week3-Apr-2026</t>
        </is>
      </c>
      <c r="B184" s="26">
        <f>IF(SUMIFS('BSE - SENSEX Index Options'!$M:$M,'BSE - SENSEX Index Options'!$C:$C,$A184,'BSE - SENSEX Index Options'!$B:$B,B$147,'BSE - SENSEX Index Options'!$I:$I,"Weekly*")+SUMIFS('BSE - SENSEX Index Options'!$M:$M,'BSE - SENSEX Index Options'!$C:$C,$A184,'BSE - SENSEX Index Options'!$B:$B,B$147,'BSE - SENSEX Index Options'!$I:$I,"MDAW*")+SUMIFS('BSE - Other Index Options'!$M:$M,'BSE - Other Index Options'!$C:$C,$A184,'BSE - Other Index Options'!$B:$B,B$147,'BSE - Other Index Options'!$I:$I,"Weekly*")+SUMIFS('BSE - Other Index Options'!$M:$M,'BSE - Other Index Options'!$C:$C,$A184,'BSE - Other Index Options'!$B:$B,B$147,'BSE - Other Index Options'!$I:$I,"MDAW*")=0,"",SUMIFS('BSE - SENSEX Index Options'!$M:$M,'BSE - SENSEX Index Options'!$C:$C,$A184,'BSE - SENSEX Index Options'!$B:$B,B$147,'BSE - SENSEX Index Options'!$I:$I,"Weekly*")+SUMIFS('BSE - SENSEX Index Options'!$M:$M,'BSE - SENSEX Index Options'!$C:$C,$A184,'BSE - SENSEX Index Options'!$B:$B,B$147,'BSE - SENSEX Index Options'!$I:$I,"MDAW*")+SUMIFS('BSE - Other Index Options'!$M:$M,'BSE - Other Index Options'!$C:$C,$A184,'BSE - Other Index Options'!$B:$B,B$147,'BSE - Other Index Options'!$I:$I,"Weekly*")+SUMIFS('BSE - Other Index Options'!$M:$M,'BSE - Other Index Options'!$C:$C,$A184,'BSE - Other Index Options'!$B:$B,B$147,'BSE - Other Index Options'!$I:$I,"MDAW*"))</f>
        <v/>
      </c>
      <c r="C184" s="26">
        <f>IF(SUMIFS('BSE - SENSEX Index Options'!$M:$M,'BSE - SENSEX Index Options'!$C:$C,$A184,'BSE - SENSEX Index Options'!$B:$B,C$147,'BSE - SENSEX Index Options'!$I:$I,"Weekly*")+SUMIFS('BSE - SENSEX Index Options'!$M:$M,'BSE - SENSEX Index Options'!$C:$C,$A184,'BSE - SENSEX Index Options'!$B:$B,C$147,'BSE - SENSEX Index Options'!$I:$I,"MDAW*")+SUMIFS('BSE - Other Index Options'!$M:$M,'BSE - Other Index Options'!$C:$C,$A184,'BSE - Other Index Options'!$B:$B,C$147,'BSE - Other Index Options'!$I:$I,"Weekly*")+SUMIFS('BSE - Other Index Options'!$M:$M,'BSE - Other Index Options'!$C:$C,$A184,'BSE - Other Index Options'!$B:$B,C$147,'BSE - Other Index Options'!$I:$I,"MDAW*")=0,"",SUMIFS('BSE - SENSEX Index Options'!$M:$M,'BSE - SENSEX Index Options'!$C:$C,$A184,'BSE - SENSEX Index Options'!$B:$B,C$147,'BSE - SENSEX Index Options'!$I:$I,"Weekly*")+SUMIFS('BSE - SENSEX Index Options'!$M:$M,'BSE - SENSEX Index Options'!$C:$C,$A184,'BSE - SENSEX Index Options'!$B:$B,C$147,'BSE - SENSEX Index Options'!$I:$I,"MDAW*")+SUMIFS('BSE - Other Index Options'!$M:$M,'BSE - Other Index Options'!$C:$C,$A184,'BSE - Other Index Options'!$B:$B,C$147,'BSE - Other Index Options'!$I:$I,"Weekly*")+SUMIFS('BSE - Other Index Options'!$M:$M,'BSE - Other Index Options'!$C:$C,$A184,'BSE - Other Index Options'!$B:$B,C$147,'BSE - Other Index Options'!$I:$I,"MDAW*"))</f>
        <v/>
      </c>
      <c r="D184" s="26">
        <f>IF(SUMIFS('BSE - SENSEX Index Options'!$M:$M,'BSE - SENSEX Index Options'!$C:$C,$A184,'BSE - SENSEX Index Options'!$B:$B,D$147,'BSE - SENSEX Index Options'!$I:$I,"Weekly*")+SUMIFS('BSE - SENSEX Index Options'!$M:$M,'BSE - SENSEX Index Options'!$C:$C,$A184,'BSE - SENSEX Index Options'!$B:$B,D$147,'BSE - SENSEX Index Options'!$I:$I,"MDAW*")+SUMIFS('BSE - Other Index Options'!$M:$M,'BSE - Other Index Options'!$C:$C,$A184,'BSE - Other Index Options'!$B:$B,D$147,'BSE - Other Index Options'!$I:$I,"Weekly*")+SUMIFS('BSE - Other Index Options'!$M:$M,'BSE - Other Index Options'!$C:$C,$A184,'BSE - Other Index Options'!$B:$B,D$147,'BSE - Other Index Options'!$I:$I,"MDAW*")=0,"",SUMIFS('BSE - SENSEX Index Options'!$M:$M,'BSE - SENSEX Index Options'!$C:$C,$A184,'BSE - SENSEX Index Options'!$B:$B,D$147,'BSE - SENSEX Index Options'!$I:$I,"Weekly*")+SUMIFS('BSE - SENSEX Index Options'!$M:$M,'BSE - SENSEX Index Options'!$C:$C,$A184,'BSE - SENSEX Index Options'!$B:$B,D$147,'BSE - SENSEX Index Options'!$I:$I,"MDAW*")+SUMIFS('BSE - Other Index Options'!$M:$M,'BSE - Other Index Options'!$C:$C,$A184,'BSE - Other Index Options'!$B:$B,D$147,'BSE - Other Index Options'!$I:$I,"Weekly*")+SUMIFS('BSE - Other Index Options'!$M:$M,'BSE - Other Index Options'!$C:$C,$A184,'BSE - Other Index Options'!$B:$B,D$147,'BSE - Other Index Options'!$I:$I,"MDAW*"))</f>
        <v/>
      </c>
      <c r="E184" s="26">
        <f>IF(SUMIFS('BSE - SENSEX Index Options'!$M:$M,'BSE - SENSEX Index Options'!$C:$C,$A184,'BSE - SENSEX Index Options'!$B:$B,E$147,'BSE - SENSEX Index Options'!$I:$I,"Weekly*")+SUMIFS('BSE - SENSEX Index Options'!$M:$M,'BSE - SENSEX Index Options'!$C:$C,$A184,'BSE - SENSEX Index Options'!$B:$B,E$147,'BSE - SENSEX Index Options'!$I:$I,"MDAW*")+SUMIFS('BSE - Other Index Options'!$M:$M,'BSE - Other Index Options'!$C:$C,$A184,'BSE - Other Index Options'!$B:$B,E$147,'BSE - Other Index Options'!$I:$I,"Weekly*")+SUMIFS('BSE - Other Index Options'!$M:$M,'BSE - Other Index Options'!$C:$C,$A184,'BSE - Other Index Options'!$B:$B,E$147,'BSE - Other Index Options'!$I:$I,"MDAW*")=0,"",SUMIFS('BSE - SENSEX Index Options'!$M:$M,'BSE - SENSEX Index Options'!$C:$C,$A184,'BSE - SENSEX Index Options'!$B:$B,E$147,'BSE - SENSEX Index Options'!$I:$I,"Weekly*")+SUMIFS('BSE - SENSEX Index Options'!$M:$M,'BSE - SENSEX Index Options'!$C:$C,$A184,'BSE - SENSEX Index Options'!$B:$B,E$147,'BSE - SENSEX Index Options'!$I:$I,"MDAW*")+SUMIFS('BSE - Other Index Options'!$M:$M,'BSE - Other Index Options'!$C:$C,$A184,'BSE - Other Index Options'!$B:$B,E$147,'BSE - Other Index Options'!$I:$I,"Weekly*")+SUMIFS('BSE - Other Index Options'!$M:$M,'BSE - Other Index Options'!$C:$C,$A184,'BSE - Other Index Options'!$B:$B,E$147,'BSE - Other Index Options'!$I:$I,"MDAW*"))</f>
        <v/>
      </c>
      <c r="F184" s="26">
        <f>IF(SUMIFS('BSE - SENSEX Index Options'!$M:$M,'BSE - SENSEX Index Options'!$C:$C,$A184,'BSE - SENSEX Index Options'!$B:$B,F$147,'BSE - SENSEX Index Options'!$I:$I,"Weekly*")+SUMIFS('BSE - SENSEX Index Options'!$M:$M,'BSE - SENSEX Index Options'!$C:$C,$A184,'BSE - SENSEX Index Options'!$B:$B,F$147,'BSE - SENSEX Index Options'!$I:$I,"MDAW*")+SUMIFS('BSE - Other Index Options'!$M:$M,'BSE - Other Index Options'!$C:$C,$A184,'BSE - Other Index Options'!$B:$B,F$147,'BSE - Other Index Options'!$I:$I,"Weekly*")+SUMIFS('BSE - Other Index Options'!$M:$M,'BSE - Other Index Options'!$C:$C,$A184,'BSE - Other Index Options'!$B:$B,F$147,'BSE - Other Index Options'!$I:$I,"MDAW*")=0,"",SUMIFS('BSE - SENSEX Index Options'!$M:$M,'BSE - SENSEX Index Options'!$C:$C,$A184,'BSE - SENSEX Index Options'!$B:$B,F$147,'BSE - SENSEX Index Options'!$I:$I,"Weekly*")+SUMIFS('BSE - SENSEX Index Options'!$M:$M,'BSE - SENSEX Index Options'!$C:$C,$A184,'BSE - SENSEX Index Options'!$B:$B,F$147,'BSE - SENSEX Index Options'!$I:$I,"MDAW*")+SUMIFS('BSE - Other Index Options'!$M:$M,'BSE - Other Index Options'!$C:$C,$A184,'BSE - Other Index Options'!$B:$B,F$147,'BSE - Other Index Options'!$I:$I,"Weekly*")+SUMIFS('BSE - Other Index Options'!$M:$M,'BSE - Other Index Options'!$C:$C,$A184,'BSE - Other Index Options'!$B:$B,F$147,'BSE - Other Index Options'!$I:$I,"MDAW*"))</f>
        <v/>
      </c>
      <c r="G184" s="26">
        <f>IF(SUMIFS('BSE - SENSEX Index Options'!$M:$M,'BSE - SENSEX Index Options'!$C:$C,$A184,'BSE - SENSEX Index Options'!$B:$B,G$147,'BSE - SENSEX Index Options'!$I:$I,"Weekly*")+SUMIFS('BSE - SENSEX Index Options'!$M:$M,'BSE - SENSEX Index Options'!$C:$C,$A184,'BSE - SENSEX Index Options'!$B:$B,G$147,'BSE - SENSEX Index Options'!$I:$I,"MDAW*")+SUMIFS('BSE - Other Index Options'!$M:$M,'BSE - Other Index Options'!$C:$C,$A184,'BSE - Other Index Options'!$B:$B,G$147,'BSE - Other Index Options'!$I:$I,"Weekly*")+SUMIFS('BSE - Other Index Options'!$M:$M,'BSE - Other Index Options'!$C:$C,$A184,'BSE - Other Index Options'!$B:$B,G$147,'BSE - Other Index Options'!$I:$I,"MDAW*")=0,"",SUMIFS('BSE - SENSEX Index Options'!$M:$M,'BSE - SENSEX Index Options'!$C:$C,$A184,'BSE - SENSEX Index Options'!$B:$B,G$147,'BSE - SENSEX Index Options'!$I:$I,"Weekly*")+SUMIFS('BSE - SENSEX Index Options'!$M:$M,'BSE - SENSEX Index Options'!$C:$C,$A184,'BSE - SENSEX Index Options'!$B:$B,G$147,'BSE - SENSEX Index Options'!$I:$I,"MDAW*")+SUMIFS('BSE - Other Index Options'!$M:$M,'BSE - Other Index Options'!$C:$C,$A184,'BSE - Other Index Options'!$B:$B,G$147,'BSE - Other Index Options'!$I:$I,"Weekly*")+SUMIFS('BSE - Other Index Options'!$M:$M,'BSE - Other Index Options'!$C:$C,$A184,'BSE - Other Index Options'!$B:$B,G$147,'BSE - Other Index Options'!$I:$I,"MDAW*"))</f>
        <v/>
      </c>
      <c r="H184" s="26">
        <f>IF(SUM(B184:G184)=0,"",SUM(B184:G184))</f>
        <v/>
      </c>
    </row>
    <row r="185">
      <c r="A185" t="inlineStr">
        <is>
          <t>Week4-Apr-2026</t>
        </is>
      </c>
      <c r="B185" s="26">
        <f>IF(SUMIFS('BSE - SENSEX Index Options'!$M:$M,'BSE - SENSEX Index Options'!$C:$C,$A185,'BSE - SENSEX Index Options'!$B:$B,B$147,'BSE - SENSEX Index Options'!$I:$I,"Weekly*")+SUMIFS('BSE - SENSEX Index Options'!$M:$M,'BSE - SENSEX Index Options'!$C:$C,$A185,'BSE - SENSEX Index Options'!$B:$B,B$147,'BSE - SENSEX Index Options'!$I:$I,"MDAW*")+SUMIFS('BSE - Other Index Options'!$M:$M,'BSE - Other Index Options'!$C:$C,$A185,'BSE - Other Index Options'!$B:$B,B$147,'BSE - Other Index Options'!$I:$I,"Weekly*")+SUMIFS('BSE - Other Index Options'!$M:$M,'BSE - Other Index Options'!$C:$C,$A185,'BSE - Other Index Options'!$B:$B,B$147,'BSE - Other Index Options'!$I:$I,"MDAW*")=0,"",SUMIFS('BSE - SENSEX Index Options'!$M:$M,'BSE - SENSEX Index Options'!$C:$C,$A185,'BSE - SENSEX Index Options'!$B:$B,B$147,'BSE - SENSEX Index Options'!$I:$I,"Weekly*")+SUMIFS('BSE - SENSEX Index Options'!$M:$M,'BSE - SENSEX Index Options'!$C:$C,$A185,'BSE - SENSEX Index Options'!$B:$B,B$147,'BSE - SENSEX Index Options'!$I:$I,"MDAW*")+SUMIFS('BSE - Other Index Options'!$M:$M,'BSE - Other Index Options'!$C:$C,$A185,'BSE - Other Index Options'!$B:$B,B$147,'BSE - Other Index Options'!$I:$I,"Weekly*")+SUMIFS('BSE - Other Index Options'!$M:$M,'BSE - Other Index Options'!$C:$C,$A185,'BSE - Other Index Options'!$B:$B,B$147,'BSE - Other Index Options'!$I:$I,"MDAW*"))</f>
        <v/>
      </c>
      <c r="C185" s="26">
        <f>IF(SUMIFS('BSE - SENSEX Index Options'!$M:$M,'BSE - SENSEX Index Options'!$C:$C,$A185,'BSE - SENSEX Index Options'!$B:$B,C$147,'BSE - SENSEX Index Options'!$I:$I,"Weekly*")+SUMIFS('BSE - SENSEX Index Options'!$M:$M,'BSE - SENSEX Index Options'!$C:$C,$A185,'BSE - SENSEX Index Options'!$B:$B,C$147,'BSE - SENSEX Index Options'!$I:$I,"MDAW*")+SUMIFS('BSE - Other Index Options'!$M:$M,'BSE - Other Index Options'!$C:$C,$A185,'BSE - Other Index Options'!$B:$B,C$147,'BSE - Other Index Options'!$I:$I,"Weekly*")+SUMIFS('BSE - Other Index Options'!$M:$M,'BSE - Other Index Options'!$C:$C,$A185,'BSE - Other Index Options'!$B:$B,C$147,'BSE - Other Index Options'!$I:$I,"MDAW*")=0,"",SUMIFS('BSE - SENSEX Index Options'!$M:$M,'BSE - SENSEX Index Options'!$C:$C,$A185,'BSE - SENSEX Index Options'!$B:$B,C$147,'BSE - SENSEX Index Options'!$I:$I,"Weekly*")+SUMIFS('BSE - SENSEX Index Options'!$M:$M,'BSE - SENSEX Index Options'!$C:$C,$A185,'BSE - SENSEX Index Options'!$B:$B,C$147,'BSE - SENSEX Index Options'!$I:$I,"MDAW*")+SUMIFS('BSE - Other Index Options'!$M:$M,'BSE - Other Index Options'!$C:$C,$A185,'BSE - Other Index Options'!$B:$B,C$147,'BSE - Other Index Options'!$I:$I,"Weekly*")+SUMIFS('BSE - Other Index Options'!$M:$M,'BSE - Other Index Options'!$C:$C,$A185,'BSE - Other Index Options'!$B:$B,C$147,'BSE - Other Index Options'!$I:$I,"MDAW*"))</f>
        <v/>
      </c>
      <c r="D185" s="26">
        <f>IF(SUMIFS('BSE - SENSEX Index Options'!$M:$M,'BSE - SENSEX Index Options'!$C:$C,$A185,'BSE - SENSEX Index Options'!$B:$B,D$147,'BSE - SENSEX Index Options'!$I:$I,"Weekly*")+SUMIFS('BSE - SENSEX Index Options'!$M:$M,'BSE - SENSEX Index Options'!$C:$C,$A185,'BSE - SENSEX Index Options'!$B:$B,D$147,'BSE - SENSEX Index Options'!$I:$I,"MDAW*")+SUMIFS('BSE - Other Index Options'!$M:$M,'BSE - Other Index Options'!$C:$C,$A185,'BSE - Other Index Options'!$B:$B,D$147,'BSE - Other Index Options'!$I:$I,"Weekly*")+SUMIFS('BSE - Other Index Options'!$M:$M,'BSE - Other Index Options'!$C:$C,$A185,'BSE - Other Index Options'!$B:$B,D$147,'BSE - Other Index Options'!$I:$I,"MDAW*")=0,"",SUMIFS('BSE - SENSEX Index Options'!$M:$M,'BSE - SENSEX Index Options'!$C:$C,$A185,'BSE - SENSEX Index Options'!$B:$B,D$147,'BSE - SENSEX Index Options'!$I:$I,"Weekly*")+SUMIFS('BSE - SENSEX Index Options'!$M:$M,'BSE - SENSEX Index Options'!$C:$C,$A185,'BSE - SENSEX Index Options'!$B:$B,D$147,'BSE - SENSEX Index Options'!$I:$I,"MDAW*")+SUMIFS('BSE - Other Index Options'!$M:$M,'BSE - Other Index Options'!$C:$C,$A185,'BSE - Other Index Options'!$B:$B,D$147,'BSE - Other Index Options'!$I:$I,"Weekly*")+SUMIFS('BSE - Other Index Options'!$M:$M,'BSE - Other Index Options'!$C:$C,$A185,'BSE - Other Index Options'!$B:$B,D$147,'BSE - Other Index Options'!$I:$I,"MDAW*"))</f>
        <v/>
      </c>
      <c r="E185" s="26">
        <f>IF(SUMIFS('BSE - SENSEX Index Options'!$M:$M,'BSE - SENSEX Index Options'!$C:$C,$A185,'BSE - SENSEX Index Options'!$B:$B,E$147,'BSE - SENSEX Index Options'!$I:$I,"Weekly*")+SUMIFS('BSE - SENSEX Index Options'!$M:$M,'BSE - SENSEX Index Options'!$C:$C,$A185,'BSE - SENSEX Index Options'!$B:$B,E$147,'BSE - SENSEX Index Options'!$I:$I,"MDAW*")+SUMIFS('BSE - Other Index Options'!$M:$M,'BSE - Other Index Options'!$C:$C,$A185,'BSE - Other Index Options'!$B:$B,E$147,'BSE - Other Index Options'!$I:$I,"Weekly*")+SUMIFS('BSE - Other Index Options'!$M:$M,'BSE - Other Index Options'!$C:$C,$A185,'BSE - Other Index Options'!$B:$B,E$147,'BSE - Other Index Options'!$I:$I,"MDAW*")=0,"",SUMIFS('BSE - SENSEX Index Options'!$M:$M,'BSE - SENSEX Index Options'!$C:$C,$A185,'BSE - SENSEX Index Options'!$B:$B,E$147,'BSE - SENSEX Index Options'!$I:$I,"Weekly*")+SUMIFS('BSE - SENSEX Index Options'!$M:$M,'BSE - SENSEX Index Options'!$C:$C,$A185,'BSE - SENSEX Index Options'!$B:$B,E$147,'BSE - SENSEX Index Options'!$I:$I,"MDAW*")+SUMIFS('BSE - Other Index Options'!$M:$M,'BSE - Other Index Options'!$C:$C,$A185,'BSE - Other Index Options'!$B:$B,E$147,'BSE - Other Index Options'!$I:$I,"Weekly*")+SUMIFS('BSE - Other Index Options'!$M:$M,'BSE - Other Index Options'!$C:$C,$A185,'BSE - Other Index Options'!$B:$B,E$147,'BSE - Other Index Options'!$I:$I,"MDAW*"))</f>
        <v/>
      </c>
      <c r="F185" s="26">
        <f>IF(SUMIFS('BSE - SENSEX Index Options'!$M:$M,'BSE - SENSEX Index Options'!$C:$C,$A185,'BSE - SENSEX Index Options'!$B:$B,F$147,'BSE - SENSEX Index Options'!$I:$I,"Weekly*")+SUMIFS('BSE - SENSEX Index Options'!$M:$M,'BSE - SENSEX Index Options'!$C:$C,$A185,'BSE - SENSEX Index Options'!$B:$B,F$147,'BSE - SENSEX Index Options'!$I:$I,"MDAW*")+SUMIFS('BSE - Other Index Options'!$M:$M,'BSE - Other Index Options'!$C:$C,$A185,'BSE - Other Index Options'!$B:$B,F$147,'BSE - Other Index Options'!$I:$I,"Weekly*")+SUMIFS('BSE - Other Index Options'!$M:$M,'BSE - Other Index Options'!$C:$C,$A185,'BSE - Other Index Options'!$B:$B,F$147,'BSE - Other Index Options'!$I:$I,"MDAW*")=0,"",SUMIFS('BSE - SENSEX Index Options'!$M:$M,'BSE - SENSEX Index Options'!$C:$C,$A185,'BSE - SENSEX Index Options'!$B:$B,F$147,'BSE - SENSEX Index Options'!$I:$I,"Weekly*")+SUMIFS('BSE - SENSEX Index Options'!$M:$M,'BSE - SENSEX Index Options'!$C:$C,$A185,'BSE - SENSEX Index Options'!$B:$B,F$147,'BSE - SENSEX Index Options'!$I:$I,"MDAW*")+SUMIFS('BSE - Other Index Options'!$M:$M,'BSE - Other Index Options'!$C:$C,$A185,'BSE - Other Index Options'!$B:$B,F$147,'BSE - Other Index Options'!$I:$I,"Weekly*")+SUMIFS('BSE - Other Index Options'!$M:$M,'BSE - Other Index Options'!$C:$C,$A185,'BSE - Other Index Options'!$B:$B,F$147,'BSE - Other Index Options'!$I:$I,"MDAW*"))</f>
        <v/>
      </c>
      <c r="G185" s="26">
        <f>IF(SUMIFS('BSE - SENSEX Index Options'!$M:$M,'BSE - SENSEX Index Options'!$C:$C,$A185,'BSE - SENSEX Index Options'!$B:$B,G$147,'BSE - SENSEX Index Options'!$I:$I,"Weekly*")+SUMIFS('BSE - SENSEX Index Options'!$M:$M,'BSE - SENSEX Index Options'!$C:$C,$A185,'BSE - SENSEX Index Options'!$B:$B,G$147,'BSE - SENSEX Index Options'!$I:$I,"MDAW*")+SUMIFS('BSE - Other Index Options'!$M:$M,'BSE - Other Index Options'!$C:$C,$A185,'BSE - Other Index Options'!$B:$B,G$147,'BSE - Other Index Options'!$I:$I,"Weekly*")+SUMIFS('BSE - Other Index Options'!$M:$M,'BSE - Other Index Options'!$C:$C,$A185,'BSE - Other Index Options'!$B:$B,G$147,'BSE - Other Index Options'!$I:$I,"MDAW*")=0,"",SUMIFS('BSE - SENSEX Index Options'!$M:$M,'BSE - SENSEX Index Options'!$C:$C,$A185,'BSE - SENSEX Index Options'!$B:$B,G$147,'BSE - SENSEX Index Options'!$I:$I,"Weekly*")+SUMIFS('BSE - SENSEX Index Options'!$M:$M,'BSE - SENSEX Index Options'!$C:$C,$A185,'BSE - SENSEX Index Options'!$B:$B,G$147,'BSE - SENSEX Index Options'!$I:$I,"MDAW*")+SUMIFS('BSE - Other Index Options'!$M:$M,'BSE - Other Index Options'!$C:$C,$A185,'BSE - Other Index Options'!$B:$B,G$147,'BSE - Other Index Options'!$I:$I,"Weekly*")+SUMIFS('BSE - Other Index Options'!$M:$M,'BSE - Other Index Options'!$C:$C,$A185,'BSE - Other Index Options'!$B:$B,G$147,'BSE - Other Index Options'!$I:$I,"MDAW*"))</f>
        <v/>
      </c>
      <c r="H185" s="26">
        <f>IF(SUM(B185:G185)=0,"",SUM(B185:G185))</f>
        <v/>
      </c>
    </row>
    <row r="186">
      <c r="A186" t="inlineStr">
        <is>
          <t>Week5-Apr-2026</t>
        </is>
      </c>
      <c r="B186" s="26">
        <f>IF(SUMIFS('BSE - SENSEX Index Options'!$M:$M,'BSE - SENSEX Index Options'!$C:$C,$A186,'BSE - SENSEX Index Options'!$B:$B,B$147,'BSE - SENSEX Index Options'!$I:$I,"Weekly*")+SUMIFS('BSE - SENSEX Index Options'!$M:$M,'BSE - SENSEX Index Options'!$C:$C,$A186,'BSE - SENSEX Index Options'!$B:$B,B$147,'BSE - SENSEX Index Options'!$I:$I,"MDAW*")+SUMIFS('BSE - Other Index Options'!$M:$M,'BSE - Other Index Options'!$C:$C,$A186,'BSE - Other Index Options'!$B:$B,B$147,'BSE - Other Index Options'!$I:$I,"Weekly*")+SUMIFS('BSE - Other Index Options'!$M:$M,'BSE - Other Index Options'!$C:$C,$A186,'BSE - Other Index Options'!$B:$B,B$147,'BSE - Other Index Options'!$I:$I,"MDAW*")=0,"",SUMIFS('BSE - SENSEX Index Options'!$M:$M,'BSE - SENSEX Index Options'!$C:$C,$A186,'BSE - SENSEX Index Options'!$B:$B,B$147,'BSE - SENSEX Index Options'!$I:$I,"Weekly*")+SUMIFS('BSE - SENSEX Index Options'!$M:$M,'BSE - SENSEX Index Options'!$C:$C,$A186,'BSE - SENSEX Index Options'!$B:$B,B$147,'BSE - SENSEX Index Options'!$I:$I,"MDAW*")+SUMIFS('BSE - Other Index Options'!$M:$M,'BSE - Other Index Options'!$C:$C,$A186,'BSE - Other Index Options'!$B:$B,B$147,'BSE - Other Index Options'!$I:$I,"Weekly*")+SUMIFS('BSE - Other Index Options'!$M:$M,'BSE - Other Index Options'!$C:$C,$A186,'BSE - Other Index Options'!$B:$B,B$147,'BSE - Other Index Options'!$I:$I,"MDAW*"))</f>
        <v/>
      </c>
      <c r="C186" s="26">
        <f>IF(SUMIFS('BSE - SENSEX Index Options'!$M:$M,'BSE - SENSEX Index Options'!$C:$C,$A186,'BSE - SENSEX Index Options'!$B:$B,C$147,'BSE - SENSEX Index Options'!$I:$I,"Weekly*")+SUMIFS('BSE - SENSEX Index Options'!$M:$M,'BSE - SENSEX Index Options'!$C:$C,$A186,'BSE - SENSEX Index Options'!$B:$B,C$147,'BSE - SENSEX Index Options'!$I:$I,"MDAW*")+SUMIFS('BSE - Other Index Options'!$M:$M,'BSE - Other Index Options'!$C:$C,$A186,'BSE - Other Index Options'!$B:$B,C$147,'BSE - Other Index Options'!$I:$I,"Weekly*")+SUMIFS('BSE - Other Index Options'!$M:$M,'BSE - Other Index Options'!$C:$C,$A186,'BSE - Other Index Options'!$B:$B,C$147,'BSE - Other Index Options'!$I:$I,"MDAW*")=0,"",SUMIFS('BSE - SENSEX Index Options'!$M:$M,'BSE - SENSEX Index Options'!$C:$C,$A186,'BSE - SENSEX Index Options'!$B:$B,C$147,'BSE - SENSEX Index Options'!$I:$I,"Weekly*")+SUMIFS('BSE - SENSEX Index Options'!$M:$M,'BSE - SENSEX Index Options'!$C:$C,$A186,'BSE - SENSEX Index Options'!$B:$B,C$147,'BSE - SENSEX Index Options'!$I:$I,"MDAW*")+SUMIFS('BSE - Other Index Options'!$M:$M,'BSE - Other Index Options'!$C:$C,$A186,'BSE - Other Index Options'!$B:$B,C$147,'BSE - Other Index Options'!$I:$I,"Weekly*")+SUMIFS('BSE - Other Index Options'!$M:$M,'BSE - Other Index Options'!$C:$C,$A186,'BSE - Other Index Options'!$B:$B,C$147,'BSE - Other Index Options'!$I:$I,"MDAW*"))</f>
        <v/>
      </c>
      <c r="D186" s="26">
        <f>IF(SUMIFS('BSE - SENSEX Index Options'!$M:$M,'BSE - SENSEX Index Options'!$C:$C,$A186,'BSE - SENSEX Index Options'!$B:$B,D$147,'BSE - SENSEX Index Options'!$I:$I,"Weekly*")+SUMIFS('BSE - SENSEX Index Options'!$M:$M,'BSE - SENSEX Index Options'!$C:$C,$A186,'BSE - SENSEX Index Options'!$B:$B,D$147,'BSE - SENSEX Index Options'!$I:$I,"MDAW*")+SUMIFS('BSE - Other Index Options'!$M:$M,'BSE - Other Index Options'!$C:$C,$A186,'BSE - Other Index Options'!$B:$B,D$147,'BSE - Other Index Options'!$I:$I,"Weekly*")+SUMIFS('BSE - Other Index Options'!$M:$M,'BSE - Other Index Options'!$C:$C,$A186,'BSE - Other Index Options'!$B:$B,D$147,'BSE - Other Index Options'!$I:$I,"MDAW*")=0,"",SUMIFS('BSE - SENSEX Index Options'!$M:$M,'BSE - SENSEX Index Options'!$C:$C,$A186,'BSE - SENSEX Index Options'!$B:$B,D$147,'BSE - SENSEX Index Options'!$I:$I,"Weekly*")+SUMIFS('BSE - SENSEX Index Options'!$M:$M,'BSE - SENSEX Index Options'!$C:$C,$A186,'BSE - SENSEX Index Options'!$B:$B,D$147,'BSE - SENSEX Index Options'!$I:$I,"MDAW*")+SUMIFS('BSE - Other Index Options'!$M:$M,'BSE - Other Index Options'!$C:$C,$A186,'BSE - Other Index Options'!$B:$B,D$147,'BSE - Other Index Options'!$I:$I,"Weekly*")+SUMIFS('BSE - Other Index Options'!$M:$M,'BSE - Other Index Options'!$C:$C,$A186,'BSE - Other Index Options'!$B:$B,D$147,'BSE - Other Index Options'!$I:$I,"MDAW*"))</f>
        <v/>
      </c>
      <c r="E186" s="26">
        <f>IF(SUMIFS('BSE - SENSEX Index Options'!$M:$M,'BSE - SENSEX Index Options'!$C:$C,$A186,'BSE - SENSEX Index Options'!$B:$B,E$147,'BSE - SENSEX Index Options'!$I:$I,"Weekly*")+SUMIFS('BSE - SENSEX Index Options'!$M:$M,'BSE - SENSEX Index Options'!$C:$C,$A186,'BSE - SENSEX Index Options'!$B:$B,E$147,'BSE - SENSEX Index Options'!$I:$I,"MDAW*")+SUMIFS('BSE - Other Index Options'!$M:$M,'BSE - Other Index Options'!$C:$C,$A186,'BSE - Other Index Options'!$B:$B,E$147,'BSE - Other Index Options'!$I:$I,"Weekly*")+SUMIFS('BSE - Other Index Options'!$M:$M,'BSE - Other Index Options'!$C:$C,$A186,'BSE - Other Index Options'!$B:$B,E$147,'BSE - Other Index Options'!$I:$I,"MDAW*")=0,"",SUMIFS('BSE - SENSEX Index Options'!$M:$M,'BSE - SENSEX Index Options'!$C:$C,$A186,'BSE - SENSEX Index Options'!$B:$B,E$147,'BSE - SENSEX Index Options'!$I:$I,"Weekly*")+SUMIFS('BSE - SENSEX Index Options'!$M:$M,'BSE - SENSEX Index Options'!$C:$C,$A186,'BSE - SENSEX Index Options'!$B:$B,E$147,'BSE - SENSEX Index Options'!$I:$I,"MDAW*")+SUMIFS('BSE - Other Index Options'!$M:$M,'BSE - Other Index Options'!$C:$C,$A186,'BSE - Other Index Options'!$B:$B,E$147,'BSE - Other Index Options'!$I:$I,"Weekly*")+SUMIFS('BSE - Other Index Options'!$M:$M,'BSE - Other Index Options'!$C:$C,$A186,'BSE - Other Index Options'!$B:$B,E$147,'BSE - Other Index Options'!$I:$I,"MDAW*"))</f>
        <v/>
      </c>
      <c r="F186" s="26">
        <f>IF(SUMIFS('BSE - SENSEX Index Options'!$M:$M,'BSE - SENSEX Index Options'!$C:$C,$A186,'BSE - SENSEX Index Options'!$B:$B,F$147,'BSE - SENSEX Index Options'!$I:$I,"Weekly*")+SUMIFS('BSE - SENSEX Index Options'!$M:$M,'BSE - SENSEX Index Options'!$C:$C,$A186,'BSE - SENSEX Index Options'!$B:$B,F$147,'BSE - SENSEX Index Options'!$I:$I,"MDAW*")+SUMIFS('BSE - Other Index Options'!$M:$M,'BSE - Other Index Options'!$C:$C,$A186,'BSE - Other Index Options'!$B:$B,F$147,'BSE - Other Index Options'!$I:$I,"Weekly*")+SUMIFS('BSE - Other Index Options'!$M:$M,'BSE - Other Index Options'!$C:$C,$A186,'BSE - Other Index Options'!$B:$B,F$147,'BSE - Other Index Options'!$I:$I,"MDAW*")=0,"",SUMIFS('BSE - SENSEX Index Options'!$M:$M,'BSE - SENSEX Index Options'!$C:$C,$A186,'BSE - SENSEX Index Options'!$B:$B,F$147,'BSE - SENSEX Index Options'!$I:$I,"Weekly*")+SUMIFS('BSE - SENSEX Index Options'!$M:$M,'BSE - SENSEX Index Options'!$C:$C,$A186,'BSE - SENSEX Index Options'!$B:$B,F$147,'BSE - SENSEX Index Options'!$I:$I,"MDAW*")+SUMIFS('BSE - Other Index Options'!$M:$M,'BSE - Other Index Options'!$C:$C,$A186,'BSE - Other Index Options'!$B:$B,F$147,'BSE - Other Index Options'!$I:$I,"Weekly*")+SUMIFS('BSE - Other Index Options'!$M:$M,'BSE - Other Index Options'!$C:$C,$A186,'BSE - Other Index Options'!$B:$B,F$147,'BSE - Other Index Options'!$I:$I,"MDAW*"))</f>
        <v/>
      </c>
      <c r="G186" s="26">
        <f>IF(SUMIFS('BSE - SENSEX Index Options'!$M:$M,'BSE - SENSEX Index Options'!$C:$C,$A186,'BSE - SENSEX Index Options'!$B:$B,G$147,'BSE - SENSEX Index Options'!$I:$I,"Weekly*")+SUMIFS('BSE - SENSEX Index Options'!$M:$M,'BSE - SENSEX Index Options'!$C:$C,$A186,'BSE - SENSEX Index Options'!$B:$B,G$147,'BSE - SENSEX Index Options'!$I:$I,"MDAW*")+SUMIFS('BSE - Other Index Options'!$M:$M,'BSE - Other Index Options'!$C:$C,$A186,'BSE - Other Index Options'!$B:$B,G$147,'BSE - Other Index Options'!$I:$I,"Weekly*")+SUMIFS('BSE - Other Index Options'!$M:$M,'BSE - Other Index Options'!$C:$C,$A186,'BSE - Other Index Options'!$B:$B,G$147,'BSE - Other Index Options'!$I:$I,"MDAW*")=0,"",SUMIFS('BSE - SENSEX Index Options'!$M:$M,'BSE - SENSEX Index Options'!$C:$C,$A186,'BSE - SENSEX Index Options'!$B:$B,G$147,'BSE - SENSEX Index Options'!$I:$I,"Weekly*")+SUMIFS('BSE - SENSEX Index Options'!$M:$M,'BSE - SENSEX Index Options'!$C:$C,$A186,'BSE - SENSEX Index Options'!$B:$B,G$147,'BSE - SENSEX Index Options'!$I:$I,"MDAW*")+SUMIFS('BSE - Other Index Options'!$M:$M,'BSE - Other Index Options'!$C:$C,$A186,'BSE - Other Index Options'!$B:$B,G$147,'BSE - Other Index Options'!$I:$I,"Weekly*")+SUMIFS('BSE - Other Index Options'!$M:$M,'BSE - Other Index Options'!$C:$C,$A186,'BSE - Other Index Options'!$B:$B,G$147,'BSE - Other Index Options'!$I:$I,"MDAW*"))</f>
        <v/>
      </c>
      <c r="H186" s="26">
        <f>IF(SUM(B186:G186)=0,"",SUM(B186:G186))</f>
        <v/>
      </c>
    </row>
    <row r="187">
      <c r="A187" t="inlineStr">
        <is>
          <t>Week1-May-2026</t>
        </is>
      </c>
      <c r="B187" s="26">
        <f>IF(SUMIFS('BSE - SENSEX Index Options'!$M:$M,'BSE - SENSEX Index Options'!$C:$C,$A187,'BSE - SENSEX Index Options'!$B:$B,B$147,'BSE - SENSEX Index Options'!$I:$I,"Weekly*")+SUMIFS('BSE - SENSEX Index Options'!$M:$M,'BSE - SENSEX Index Options'!$C:$C,$A187,'BSE - SENSEX Index Options'!$B:$B,B$147,'BSE - SENSEX Index Options'!$I:$I,"MDAW*")+SUMIFS('BSE - Other Index Options'!$M:$M,'BSE - Other Index Options'!$C:$C,$A187,'BSE - Other Index Options'!$B:$B,B$147,'BSE - Other Index Options'!$I:$I,"Weekly*")+SUMIFS('BSE - Other Index Options'!$M:$M,'BSE - Other Index Options'!$C:$C,$A187,'BSE - Other Index Options'!$B:$B,B$147,'BSE - Other Index Options'!$I:$I,"MDAW*")=0,"",SUMIFS('BSE - SENSEX Index Options'!$M:$M,'BSE - SENSEX Index Options'!$C:$C,$A187,'BSE - SENSEX Index Options'!$B:$B,B$147,'BSE - SENSEX Index Options'!$I:$I,"Weekly*")+SUMIFS('BSE - SENSEX Index Options'!$M:$M,'BSE - SENSEX Index Options'!$C:$C,$A187,'BSE - SENSEX Index Options'!$B:$B,B$147,'BSE - SENSEX Index Options'!$I:$I,"MDAW*")+SUMIFS('BSE - Other Index Options'!$M:$M,'BSE - Other Index Options'!$C:$C,$A187,'BSE - Other Index Options'!$B:$B,B$147,'BSE - Other Index Options'!$I:$I,"Weekly*")+SUMIFS('BSE - Other Index Options'!$M:$M,'BSE - Other Index Options'!$C:$C,$A187,'BSE - Other Index Options'!$B:$B,B$147,'BSE - Other Index Options'!$I:$I,"MDAW*"))</f>
        <v/>
      </c>
      <c r="C187" s="26">
        <f>IF(SUMIFS('BSE - SENSEX Index Options'!$M:$M,'BSE - SENSEX Index Options'!$C:$C,$A187,'BSE - SENSEX Index Options'!$B:$B,C$147,'BSE - SENSEX Index Options'!$I:$I,"Weekly*")+SUMIFS('BSE - SENSEX Index Options'!$M:$M,'BSE - SENSEX Index Options'!$C:$C,$A187,'BSE - SENSEX Index Options'!$B:$B,C$147,'BSE - SENSEX Index Options'!$I:$I,"MDAW*")+SUMIFS('BSE - Other Index Options'!$M:$M,'BSE - Other Index Options'!$C:$C,$A187,'BSE - Other Index Options'!$B:$B,C$147,'BSE - Other Index Options'!$I:$I,"Weekly*")+SUMIFS('BSE - Other Index Options'!$M:$M,'BSE - Other Index Options'!$C:$C,$A187,'BSE - Other Index Options'!$B:$B,C$147,'BSE - Other Index Options'!$I:$I,"MDAW*")=0,"",SUMIFS('BSE - SENSEX Index Options'!$M:$M,'BSE - SENSEX Index Options'!$C:$C,$A187,'BSE - SENSEX Index Options'!$B:$B,C$147,'BSE - SENSEX Index Options'!$I:$I,"Weekly*")+SUMIFS('BSE - SENSEX Index Options'!$M:$M,'BSE - SENSEX Index Options'!$C:$C,$A187,'BSE - SENSEX Index Options'!$B:$B,C$147,'BSE - SENSEX Index Options'!$I:$I,"MDAW*")+SUMIFS('BSE - Other Index Options'!$M:$M,'BSE - Other Index Options'!$C:$C,$A187,'BSE - Other Index Options'!$B:$B,C$147,'BSE - Other Index Options'!$I:$I,"Weekly*")+SUMIFS('BSE - Other Index Options'!$M:$M,'BSE - Other Index Options'!$C:$C,$A187,'BSE - Other Index Options'!$B:$B,C$147,'BSE - Other Index Options'!$I:$I,"MDAW*"))</f>
        <v/>
      </c>
      <c r="D187" s="26">
        <f>IF(SUMIFS('BSE - SENSEX Index Options'!$M:$M,'BSE - SENSEX Index Options'!$C:$C,$A187,'BSE - SENSEX Index Options'!$B:$B,D$147,'BSE - SENSEX Index Options'!$I:$I,"Weekly*")+SUMIFS('BSE - SENSEX Index Options'!$M:$M,'BSE - SENSEX Index Options'!$C:$C,$A187,'BSE - SENSEX Index Options'!$B:$B,D$147,'BSE - SENSEX Index Options'!$I:$I,"MDAW*")+SUMIFS('BSE - Other Index Options'!$M:$M,'BSE - Other Index Options'!$C:$C,$A187,'BSE - Other Index Options'!$B:$B,D$147,'BSE - Other Index Options'!$I:$I,"Weekly*")+SUMIFS('BSE - Other Index Options'!$M:$M,'BSE - Other Index Options'!$C:$C,$A187,'BSE - Other Index Options'!$B:$B,D$147,'BSE - Other Index Options'!$I:$I,"MDAW*")=0,"",SUMIFS('BSE - SENSEX Index Options'!$M:$M,'BSE - SENSEX Index Options'!$C:$C,$A187,'BSE - SENSEX Index Options'!$B:$B,D$147,'BSE - SENSEX Index Options'!$I:$I,"Weekly*")+SUMIFS('BSE - SENSEX Index Options'!$M:$M,'BSE - SENSEX Index Options'!$C:$C,$A187,'BSE - SENSEX Index Options'!$B:$B,D$147,'BSE - SENSEX Index Options'!$I:$I,"MDAW*")+SUMIFS('BSE - Other Index Options'!$M:$M,'BSE - Other Index Options'!$C:$C,$A187,'BSE - Other Index Options'!$B:$B,D$147,'BSE - Other Index Options'!$I:$I,"Weekly*")+SUMIFS('BSE - Other Index Options'!$M:$M,'BSE - Other Index Options'!$C:$C,$A187,'BSE - Other Index Options'!$B:$B,D$147,'BSE - Other Index Options'!$I:$I,"MDAW*"))</f>
        <v/>
      </c>
      <c r="E187" s="26">
        <f>IF(SUMIFS('BSE - SENSEX Index Options'!$M:$M,'BSE - SENSEX Index Options'!$C:$C,$A187,'BSE - SENSEX Index Options'!$B:$B,E$147,'BSE - SENSEX Index Options'!$I:$I,"Weekly*")+SUMIFS('BSE - SENSEX Index Options'!$M:$M,'BSE - SENSEX Index Options'!$C:$C,$A187,'BSE - SENSEX Index Options'!$B:$B,E$147,'BSE - SENSEX Index Options'!$I:$I,"MDAW*")+SUMIFS('BSE - Other Index Options'!$M:$M,'BSE - Other Index Options'!$C:$C,$A187,'BSE - Other Index Options'!$B:$B,E$147,'BSE - Other Index Options'!$I:$I,"Weekly*")+SUMIFS('BSE - Other Index Options'!$M:$M,'BSE - Other Index Options'!$C:$C,$A187,'BSE - Other Index Options'!$B:$B,E$147,'BSE - Other Index Options'!$I:$I,"MDAW*")=0,"",SUMIFS('BSE - SENSEX Index Options'!$M:$M,'BSE - SENSEX Index Options'!$C:$C,$A187,'BSE - SENSEX Index Options'!$B:$B,E$147,'BSE - SENSEX Index Options'!$I:$I,"Weekly*")+SUMIFS('BSE - SENSEX Index Options'!$M:$M,'BSE - SENSEX Index Options'!$C:$C,$A187,'BSE - SENSEX Index Options'!$B:$B,E$147,'BSE - SENSEX Index Options'!$I:$I,"MDAW*")+SUMIFS('BSE - Other Index Options'!$M:$M,'BSE - Other Index Options'!$C:$C,$A187,'BSE - Other Index Options'!$B:$B,E$147,'BSE - Other Index Options'!$I:$I,"Weekly*")+SUMIFS('BSE - Other Index Options'!$M:$M,'BSE - Other Index Options'!$C:$C,$A187,'BSE - Other Index Options'!$B:$B,E$147,'BSE - Other Index Options'!$I:$I,"MDAW*"))</f>
        <v/>
      </c>
      <c r="F187" s="26">
        <f>IF(SUMIFS('BSE - SENSEX Index Options'!$M:$M,'BSE - SENSEX Index Options'!$C:$C,$A187,'BSE - SENSEX Index Options'!$B:$B,F$147,'BSE - SENSEX Index Options'!$I:$I,"Weekly*")+SUMIFS('BSE - SENSEX Index Options'!$M:$M,'BSE - SENSEX Index Options'!$C:$C,$A187,'BSE - SENSEX Index Options'!$B:$B,F$147,'BSE - SENSEX Index Options'!$I:$I,"MDAW*")+SUMIFS('BSE - Other Index Options'!$M:$M,'BSE - Other Index Options'!$C:$C,$A187,'BSE - Other Index Options'!$B:$B,F$147,'BSE - Other Index Options'!$I:$I,"Weekly*")+SUMIFS('BSE - Other Index Options'!$M:$M,'BSE - Other Index Options'!$C:$C,$A187,'BSE - Other Index Options'!$B:$B,F$147,'BSE - Other Index Options'!$I:$I,"MDAW*")=0,"",SUMIFS('BSE - SENSEX Index Options'!$M:$M,'BSE - SENSEX Index Options'!$C:$C,$A187,'BSE - SENSEX Index Options'!$B:$B,F$147,'BSE - SENSEX Index Options'!$I:$I,"Weekly*")+SUMIFS('BSE - SENSEX Index Options'!$M:$M,'BSE - SENSEX Index Options'!$C:$C,$A187,'BSE - SENSEX Index Options'!$B:$B,F$147,'BSE - SENSEX Index Options'!$I:$I,"MDAW*")+SUMIFS('BSE - Other Index Options'!$M:$M,'BSE - Other Index Options'!$C:$C,$A187,'BSE - Other Index Options'!$B:$B,F$147,'BSE - Other Index Options'!$I:$I,"Weekly*")+SUMIFS('BSE - Other Index Options'!$M:$M,'BSE - Other Index Options'!$C:$C,$A187,'BSE - Other Index Options'!$B:$B,F$147,'BSE - Other Index Options'!$I:$I,"MDAW*"))</f>
        <v/>
      </c>
      <c r="G187" s="26">
        <f>IF(SUMIFS('BSE - SENSEX Index Options'!$M:$M,'BSE - SENSEX Index Options'!$C:$C,$A187,'BSE - SENSEX Index Options'!$B:$B,G$147,'BSE - SENSEX Index Options'!$I:$I,"Weekly*")+SUMIFS('BSE - SENSEX Index Options'!$M:$M,'BSE - SENSEX Index Options'!$C:$C,$A187,'BSE - SENSEX Index Options'!$B:$B,G$147,'BSE - SENSEX Index Options'!$I:$I,"MDAW*")+SUMIFS('BSE - Other Index Options'!$M:$M,'BSE - Other Index Options'!$C:$C,$A187,'BSE - Other Index Options'!$B:$B,G$147,'BSE - Other Index Options'!$I:$I,"Weekly*")+SUMIFS('BSE - Other Index Options'!$M:$M,'BSE - Other Index Options'!$C:$C,$A187,'BSE - Other Index Options'!$B:$B,G$147,'BSE - Other Index Options'!$I:$I,"MDAW*")=0,"",SUMIFS('BSE - SENSEX Index Options'!$M:$M,'BSE - SENSEX Index Options'!$C:$C,$A187,'BSE - SENSEX Index Options'!$B:$B,G$147,'BSE - SENSEX Index Options'!$I:$I,"Weekly*")+SUMIFS('BSE - SENSEX Index Options'!$M:$M,'BSE - SENSEX Index Options'!$C:$C,$A187,'BSE - SENSEX Index Options'!$B:$B,G$147,'BSE - SENSEX Index Options'!$I:$I,"MDAW*")+SUMIFS('BSE - Other Index Options'!$M:$M,'BSE - Other Index Options'!$C:$C,$A187,'BSE - Other Index Options'!$B:$B,G$147,'BSE - Other Index Options'!$I:$I,"Weekly*")+SUMIFS('BSE - Other Index Options'!$M:$M,'BSE - Other Index Options'!$C:$C,$A187,'BSE - Other Index Options'!$B:$B,G$147,'BSE - Other Index Options'!$I:$I,"MDAW*"))</f>
        <v/>
      </c>
      <c r="H187" s="26">
        <f>IF(SUM(B187:G187)=0,"",SUM(B187:G187))</f>
        <v/>
      </c>
    </row>
    <row r="188">
      <c r="A188" t="inlineStr">
        <is>
          <t>Week2-May-2026</t>
        </is>
      </c>
      <c r="B188" s="26">
        <f>IF(SUMIFS('BSE - SENSEX Index Options'!$M:$M,'BSE - SENSEX Index Options'!$C:$C,$A188,'BSE - SENSEX Index Options'!$B:$B,B$147,'BSE - SENSEX Index Options'!$I:$I,"Weekly*")+SUMIFS('BSE - SENSEX Index Options'!$M:$M,'BSE - SENSEX Index Options'!$C:$C,$A188,'BSE - SENSEX Index Options'!$B:$B,B$147,'BSE - SENSEX Index Options'!$I:$I,"MDAW*")+SUMIFS('BSE - Other Index Options'!$M:$M,'BSE - Other Index Options'!$C:$C,$A188,'BSE - Other Index Options'!$B:$B,B$147,'BSE - Other Index Options'!$I:$I,"Weekly*")+SUMIFS('BSE - Other Index Options'!$M:$M,'BSE - Other Index Options'!$C:$C,$A188,'BSE - Other Index Options'!$B:$B,B$147,'BSE - Other Index Options'!$I:$I,"MDAW*")=0,"",SUMIFS('BSE - SENSEX Index Options'!$M:$M,'BSE - SENSEX Index Options'!$C:$C,$A188,'BSE - SENSEX Index Options'!$B:$B,B$147,'BSE - SENSEX Index Options'!$I:$I,"Weekly*")+SUMIFS('BSE - SENSEX Index Options'!$M:$M,'BSE - SENSEX Index Options'!$C:$C,$A188,'BSE - SENSEX Index Options'!$B:$B,B$147,'BSE - SENSEX Index Options'!$I:$I,"MDAW*")+SUMIFS('BSE - Other Index Options'!$M:$M,'BSE - Other Index Options'!$C:$C,$A188,'BSE - Other Index Options'!$B:$B,B$147,'BSE - Other Index Options'!$I:$I,"Weekly*")+SUMIFS('BSE - Other Index Options'!$M:$M,'BSE - Other Index Options'!$C:$C,$A188,'BSE - Other Index Options'!$B:$B,B$147,'BSE - Other Index Options'!$I:$I,"MDAW*"))</f>
        <v/>
      </c>
      <c r="C188" s="26">
        <f>IF(SUMIFS('BSE - SENSEX Index Options'!$M:$M,'BSE - SENSEX Index Options'!$C:$C,$A188,'BSE - SENSEX Index Options'!$B:$B,C$147,'BSE - SENSEX Index Options'!$I:$I,"Weekly*")+SUMIFS('BSE - SENSEX Index Options'!$M:$M,'BSE - SENSEX Index Options'!$C:$C,$A188,'BSE - SENSEX Index Options'!$B:$B,C$147,'BSE - SENSEX Index Options'!$I:$I,"MDAW*")+SUMIFS('BSE - Other Index Options'!$M:$M,'BSE - Other Index Options'!$C:$C,$A188,'BSE - Other Index Options'!$B:$B,C$147,'BSE - Other Index Options'!$I:$I,"Weekly*")+SUMIFS('BSE - Other Index Options'!$M:$M,'BSE - Other Index Options'!$C:$C,$A188,'BSE - Other Index Options'!$B:$B,C$147,'BSE - Other Index Options'!$I:$I,"MDAW*")=0,"",SUMIFS('BSE - SENSEX Index Options'!$M:$M,'BSE - SENSEX Index Options'!$C:$C,$A188,'BSE - SENSEX Index Options'!$B:$B,C$147,'BSE - SENSEX Index Options'!$I:$I,"Weekly*")+SUMIFS('BSE - SENSEX Index Options'!$M:$M,'BSE - SENSEX Index Options'!$C:$C,$A188,'BSE - SENSEX Index Options'!$B:$B,C$147,'BSE - SENSEX Index Options'!$I:$I,"MDAW*")+SUMIFS('BSE - Other Index Options'!$M:$M,'BSE - Other Index Options'!$C:$C,$A188,'BSE - Other Index Options'!$B:$B,C$147,'BSE - Other Index Options'!$I:$I,"Weekly*")+SUMIFS('BSE - Other Index Options'!$M:$M,'BSE - Other Index Options'!$C:$C,$A188,'BSE - Other Index Options'!$B:$B,C$147,'BSE - Other Index Options'!$I:$I,"MDAW*"))</f>
        <v/>
      </c>
      <c r="D188" s="26">
        <f>IF(SUMIFS('BSE - SENSEX Index Options'!$M:$M,'BSE - SENSEX Index Options'!$C:$C,$A188,'BSE - SENSEX Index Options'!$B:$B,D$147,'BSE - SENSEX Index Options'!$I:$I,"Weekly*")+SUMIFS('BSE - SENSEX Index Options'!$M:$M,'BSE - SENSEX Index Options'!$C:$C,$A188,'BSE - SENSEX Index Options'!$B:$B,D$147,'BSE - SENSEX Index Options'!$I:$I,"MDAW*")+SUMIFS('BSE - Other Index Options'!$M:$M,'BSE - Other Index Options'!$C:$C,$A188,'BSE - Other Index Options'!$B:$B,D$147,'BSE - Other Index Options'!$I:$I,"Weekly*")+SUMIFS('BSE - Other Index Options'!$M:$M,'BSE - Other Index Options'!$C:$C,$A188,'BSE - Other Index Options'!$B:$B,D$147,'BSE - Other Index Options'!$I:$I,"MDAW*")=0,"",SUMIFS('BSE - SENSEX Index Options'!$M:$M,'BSE - SENSEX Index Options'!$C:$C,$A188,'BSE - SENSEX Index Options'!$B:$B,D$147,'BSE - SENSEX Index Options'!$I:$I,"Weekly*")+SUMIFS('BSE - SENSEX Index Options'!$M:$M,'BSE - SENSEX Index Options'!$C:$C,$A188,'BSE - SENSEX Index Options'!$B:$B,D$147,'BSE - SENSEX Index Options'!$I:$I,"MDAW*")+SUMIFS('BSE - Other Index Options'!$M:$M,'BSE - Other Index Options'!$C:$C,$A188,'BSE - Other Index Options'!$B:$B,D$147,'BSE - Other Index Options'!$I:$I,"Weekly*")+SUMIFS('BSE - Other Index Options'!$M:$M,'BSE - Other Index Options'!$C:$C,$A188,'BSE - Other Index Options'!$B:$B,D$147,'BSE - Other Index Options'!$I:$I,"MDAW*"))</f>
        <v/>
      </c>
      <c r="E188" s="26">
        <f>IF(SUMIFS('BSE - SENSEX Index Options'!$M:$M,'BSE - SENSEX Index Options'!$C:$C,$A188,'BSE - SENSEX Index Options'!$B:$B,E$147,'BSE - SENSEX Index Options'!$I:$I,"Weekly*")+SUMIFS('BSE - SENSEX Index Options'!$M:$M,'BSE - SENSEX Index Options'!$C:$C,$A188,'BSE - SENSEX Index Options'!$B:$B,E$147,'BSE - SENSEX Index Options'!$I:$I,"MDAW*")+SUMIFS('BSE - Other Index Options'!$M:$M,'BSE - Other Index Options'!$C:$C,$A188,'BSE - Other Index Options'!$B:$B,E$147,'BSE - Other Index Options'!$I:$I,"Weekly*")+SUMIFS('BSE - Other Index Options'!$M:$M,'BSE - Other Index Options'!$C:$C,$A188,'BSE - Other Index Options'!$B:$B,E$147,'BSE - Other Index Options'!$I:$I,"MDAW*")=0,"",SUMIFS('BSE - SENSEX Index Options'!$M:$M,'BSE - SENSEX Index Options'!$C:$C,$A188,'BSE - SENSEX Index Options'!$B:$B,E$147,'BSE - SENSEX Index Options'!$I:$I,"Weekly*")+SUMIFS('BSE - SENSEX Index Options'!$M:$M,'BSE - SENSEX Index Options'!$C:$C,$A188,'BSE - SENSEX Index Options'!$B:$B,E$147,'BSE - SENSEX Index Options'!$I:$I,"MDAW*")+SUMIFS('BSE - Other Index Options'!$M:$M,'BSE - Other Index Options'!$C:$C,$A188,'BSE - Other Index Options'!$B:$B,E$147,'BSE - Other Index Options'!$I:$I,"Weekly*")+SUMIFS('BSE - Other Index Options'!$M:$M,'BSE - Other Index Options'!$C:$C,$A188,'BSE - Other Index Options'!$B:$B,E$147,'BSE - Other Index Options'!$I:$I,"MDAW*"))</f>
        <v/>
      </c>
      <c r="F188" s="26">
        <f>IF(SUMIFS('BSE - SENSEX Index Options'!$M:$M,'BSE - SENSEX Index Options'!$C:$C,$A188,'BSE - SENSEX Index Options'!$B:$B,F$147,'BSE - SENSEX Index Options'!$I:$I,"Weekly*")+SUMIFS('BSE - SENSEX Index Options'!$M:$M,'BSE - SENSEX Index Options'!$C:$C,$A188,'BSE - SENSEX Index Options'!$B:$B,F$147,'BSE - SENSEX Index Options'!$I:$I,"MDAW*")+SUMIFS('BSE - Other Index Options'!$M:$M,'BSE - Other Index Options'!$C:$C,$A188,'BSE - Other Index Options'!$B:$B,F$147,'BSE - Other Index Options'!$I:$I,"Weekly*")+SUMIFS('BSE - Other Index Options'!$M:$M,'BSE - Other Index Options'!$C:$C,$A188,'BSE - Other Index Options'!$B:$B,F$147,'BSE - Other Index Options'!$I:$I,"MDAW*")=0,"",SUMIFS('BSE - SENSEX Index Options'!$M:$M,'BSE - SENSEX Index Options'!$C:$C,$A188,'BSE - SENSEX Index Options'!$B:$B,F$147,'BSE - SENSEX Index Options'!$I:$I,"Weekly*")+SUMIFS('BSE - SENSEX Index Options'!$M:$M,'BSE - SENSEX Index Options'!$C:$C,$A188,'BSE - SENSEX Index Options'!$B:$B,F$147,'BSE - SENSEX Index Options'!$I:$I,"MDAW*")+SUMIFS('BSE - Other Index Options'!$M:$M,'BSE - Other Index Options'!$C:$C,$A188,'BSE - Other Index Options'!$B:$B,F$147,'BSE - Other Index Options'!$I:$I,"Weekly*")+SUMIFS('BSE - Other Index Options'!$M:$M,'BSE - Other Index Options'!$C:$C,$A188,'BSE - Other Index Options'!$B:$B,F$147,'BSE - Other Index Options'!$I:$I,"MDAW*"))</f>
        <v/>
      </c>
      <c r="G188" s="26">
        <f>IF(SUMIFS('BSE - SENSEX Index Options'!$M:$M,'BSE - SENSEX Index Options'!$C:$C,$A188,'BSE - SENSEX Index Options'!$B:$B,G$147,'BSE - SENSEX Index Options'!$I:$I,"Weekly*")+SUMIFS('BSE - SENSEX Index Options'!$M:$M,'BSE - SENSEX Index Options'!$C:$C,$A188,'BSE - SENSEX Index Options'!$B:$B,G$147,'BSE - SENSEX Index Options'!$I:$I,"MDAW*")+SUMIFS('BSE - Other Index Options'!$M:$M,'BSE - Other Index Options'!$C:$C,$A188,'BSE - Other Index Options'!$B:$B,G$147,'BSE - Other Index Options'!$I:$I,"Weekly*")+SUMIFS('BSE - Other Index Options'!$M:$M,'BSE - Other Index Options'!$C:$C,$A188,'BSE - Other Index Options'!$B:$B,G$147,'BSE - Other Index Options'!$I:$I,"MDAW*")=0,"",SUMIFS('BSE - SENSEX Index Options'!$M:$M,'BSE - SENSEX Index Options'!$C:$C,$A188,'BSE - SENSEX Index Options'!$B:$B,G$147,'BSE - SENSEX Index Options'!$I:$I,"Weekly*")+SUMIFS('BSE - SENSEX Index Options'!$M:$M,'BSE - SENSEX Index Options'!$C:$C,$A188,'BSE - SENSEX Index Options'!$B:$B,G$147,'BSE - SENSEX Index Options'!$I:$I,"MDAW*")+SUMIFS('BSE - Other Index Options'!$M:$M,'BSE - Other Index Options'!$C:$C,$A188,'BSE - Other Index Options'!$B:$B,G$147,'BSE - Other Index Options'!$I:$I,"Weekly*")+SUMIFS('BSE - Other Index Options'!$M:$M,'BSE - Other Index Options'!$C:$C,$A188,'BSE - Other Index Options'!$B:$B,G$147,'BSE - Other Index Options'!$I:$I,"MDAW*"))</f>
        <v/>
      </c>
      <c r="H188" s="26">
        <f>IF(SUM(B188:G188)=0,"",SUM(B188:G188))</f>
        <v/>
      </c>
    </row>
    <row r="189">
      <c r="A189" t="inlineStr">
        <is>
          <t>Week3-May-2026</t>
        </is>
      </c>
      <c r="B189" s="26">
        <f>IF(SUMIFS('BSE - SENSEX Index Options'!$M:$M,'BSE - SENSEX Index Options'!$C:$C,$A189,'BSE - SENSEX Index Options'!$B:$B,B$147,'BSE - SENSEX Index Options'!$I:$I,"Weekly*")+SUMIFS('BSE - SENSEX Index Options'!$M:$M,'BSE - SENSEX Index Options'!$C:$C,$A189,'BSE - SENSEX Index Options'!$B:$B,B$147,'BSE - SENSEX Index Options'!$I:$I,"MDAW*")+SUMIFS('BSE - Other Index Options'!$M:$M,'BSE - Other Index Options'!$C:$C,$A189,'BSE - Other Index Options'!$B:$B,B$147,'BSE - Other Index Options'!$I:$I,"Weekly*")+SUMIFS('BSE - Other Index Options'!$M:$M,'BSE - Other Index Options'!$C:$C,$A189,'BSE - Other Index Options'!$B:$B,B$147,'BSE - Other Index Options'!$I:$I,"MDAW*")=0,"",SUMIFS('BSE - SENSEX Index Options'!$M:$M,'BSE - SENSEX Index Options'!$C:$C,$A189,'BSE - SENSEX Index Options'!$B:$B,B$147,'BSE - SENSEX Index Options'!$I:$I,"Weekly*")+SUMIFS('BSE - SENSEX Index Options'!$M:$M,'BSE - SENSEX Index Options'!$C:$C,$A189,'BSE - SENSEX Index Options'!$B:$B,B$147,'BSE - SENSEX Index Options'!$I:$I,"MDAW*")+SUMIFS('BSE - Other Index Options'!$M:$M,'BSE - Other Index Options'!$C:$C,$A189,'BSE - Other Index Options'!$B:$B,B$147,'BSE - Other Index Options'!$I:$I,"Weekly*")+SUMIFS('BSE - Other Index Options'!$M:$M,'BSE - Other Index Options'!$C:$C,$A189,'BSE - Other Index Options'!$B:$B,B$147,'BSE - Other Index Options'!$I:$I,"MDAW*"))</f>
        <v/>
      </c>
      <c r="C189" s="26">
        <f>IF(SUMIFS('BSE - SENSEX Index Options'!$M:$M,'BSE - SENSEX Index Options'!$C:$C,$A189,'BSE - SENSEX Index Options'!$B:$B,C$147,'BSE - SENSEX Index Options'!$I:$I,"Weekly*")+SUMIFS('BSE - SENSEX Index Options'!$M:$M,'BSE - SENSEX Index Options'!$C:$C,$A189,'BSE - SENSEX Index Options'!$B:$B,C$147,'BSE - SENSEX Index Options'!$I:$I,"MDAW*")+SUMIFS('BSE - Other Index Options'!$M:$M,'BSE - Other Index Options'!$C:$C,$A189,'BSE - Other Index Options'!$B:$B,C$147,'BSE - Other Index Options'!$I:$I,"Weekly*")+SUMIFS('BSE - Other Index Options'!$M:$M,'BSE - Other Index Options'!$C:$C,$A189,'BSE - Other Index Options'!$B:$B,C$147,'BSE - Other Index Options'!$I:$I,"MDAW*")=0,"",SUMIFS('BSE - SENSEX Index Options'!$M:$M,'BSE - SENSEX Index Options'!$C:$C,$A189,'BSE - SENSEX Index Options'!$B:$B,C$147,'BSE - SENSEX Index Options'!$I:$I,"Weekly*")+SUMIFS('BSE - SENSEX Index Options'!$M:$M,'BSE - SENSEX Index Options'!$C:$C,$A189,'BSE - SENSEX Index Options'!$B:$B,C$147,'BSE - SENSEX Index Options'!$I:$I,"MDAW*")+SUMIFS('BSE - Other Index Options'!$M:$M,'BSE - Other Index Options'!$C:$C,$A189,'BSE - Other Index Options'!$B:$B,C$147,'BSE - Other Index Options'!$I:$I,"Weekly*")+SUMIFS('BSE - Other Index Options'!$M:$M,'BSE - Other Index Options'!$C:$C,$A189,'BSE - Other Index Options'!$B:$B,C$147,'BSE - Other Index Options'!$I:$I,"MDAW*"))</f>
        <v/>
      </c>
      <c r="D189" s="26">
        <f>IF(SUMIFS('BSE - SENSEX Index Options'!$M:$M,'BSE - SENSEX Index Options'!$C:$C,$A189,'BSE - SENSEX Index Options'!$B:$B,D$147,'BSE - SENSEX Index Options'!$I:$I,"Weekly*")+SUMIFS('BSE - SENSEX Index Options'!$M:$M,'BSE - SENSEX Index Options'!$C:$C,$A189,'BSE - SENSEX Index Options'!$B:$B,D$147,'BSE - SENSEX Index Options'!$I:$I,"MDAW*")+SUMIFS('BSE - Other Index Options'!$M:$M,'BSE - Other Index Options'!$C:$C,$A189,'BSE - Other Index Options'!$B:$B,D$147,'BSE - Other Index Options'!$I:$I,"Weekly*")+SUMIFS('BSE - Other Index Options'!$M:$M,'BSE - Other Index Options'!$C:$C,$A189,'BSE - Other Index Options'!$B:$B,D$147,'BSE - Other Index Options'!$I:$I,"MDAW*")=0,"",SUMIFS('BSE - SENSEX Index Options'!$M:$M,'BSE - SENSEX Index Options'!$C:$C,$A189,'BSE - SENSEX Index Options'!$B:$B,D$147,'BSE - SENSEX Index Options'!$I:$I,"Weekly*")+SUMIFS('BSE - SENSEX Index Options'!$M:$M,'BSE - SENSEX Index Options'!$C:$C,$A189,'BSE - SENSEX Index Options'!$B:$B,D$147,'BSE - SENSEX Index Options'!$I:$I,"MDAW*")+SUMIFS('BSE - Other Index Options'!$M:$M,'BSE - Other Index Options'!$C:$C,$A189,'BSE - Other Index Options'!$B:$B,D$147,'BSE - Other Index Options'!$I:$I,"Weekly*")+SUMIFS('BSE - Other Index Options'!$M:$M,'BSE - Other Index Options'!$C:$C,$A189,'BSE - Other Index Options'!$B:$B,D$147,'BSE - Other Index Options'!$I:$I,"MDAW*"))</f>
        <v/>
      </c>
      <c r="E189" s="26">
        <f>IF(SUMIFS('BSE - SENSEX Index Options'!$M:$M,'BSE - SENSEX Index Options'!$C:$C,$A189,'BSE - SENSEX Index Options'!$B:$B,E$147,'BSE - SENSEX Index Options'!$I:$I,"Weekly*")+SUMIFS('BSE - SENSEX Index Options'!$M:$M,'BSE - SENSEX Index Options'!$C:$C,$A189,'BSE - SENSEX Index Options'!$B:$B,E$147,'BSE - SENSEX Index Options'!$I:$I,"MDAW*")+SUMIFS('BSE - Other Index Options'!$M:$M,'BSE - Other Index Options'!$C:$C,$A189,'BSE - Other Index Options'!$B:$B,E$147,'BSE - Other Index Options'!$I:$I,"Weekly*")+SUMIFS('BSE - Other Index Options'!$M:$M,'BSE - Other Index Options'!$C:$C,$A189,'BSE - Other Index Options'!$B:$B,E$147,'BSE - Other Index Options'!$I:$I,"MDAW*")=0,"",SUMIFS('BSE - SENSEX Index Options'!$M:$M,'BSE - SENSEX Index Options'!$C:$C,$A189,'BSE - SENSEX Index Options'!$B:$B,E$147,'BSE - SENSEX Index Options'!$I:$I,"Weekly*")+SUMIFS('BSE - SENSEX Index Options'!$M:$M,'BSE - SENSEX Index Options'!$C:$C,$A189,'BSE - SENSEX Index Options'!$B:$B,E$147,'BSE - SENSEX Index Options'!$I:$I,"MDAW*")+SUMIFS('BSE - Other Index Options'!$M:$M,'BSE - Other Index Options'!$C:$C,$A189,'BSE - Other Index Options'!$B:$B,E$147,'BSE - Other Index Options'!$I:$I,"Weekly*")+SUMIFS('BSE - Other Index Options'!$M:$M,'BSE - Other Index Options'!$C:$C,$A189,'BSE - Other Index Options'!$B:$B,E$147,'BSE - Other Index Options'!$I:$I,"MDAW*"))</f>
        <v/>
      </c>
      <c r="F189" s="26">
        <f>IF(SUMIFS('BSE - SENSEX Index Options'!$M:$M,'BSE - SENSEX Index Options'!$C:$C,$A189,'BSE - SENSEX Index Options'!$B:$B,F$147,'BSE - SENSEX Index Options'!$I:$I,"Weekly*")+SUMIFS('BSE - SENSEX Index Options'!$M:$M,'BSE - SENSEX Index Options'!$C:$C,$A189,'BSE - SENSEX Index Options'!$B:$B,F$147,'BSE - SENSEX Index Options'!$I:$I,"MDAW*")+SUMIFS('BSE - Other Index Options'!$M:$M,'BSE - Other Index Options'!$C:$C,$A189,'BSE - Other Index Options'!$B:$B,F$147,'BSE - Other Index Options'!$I:$I,"Weekly*")+SUMIFS('BSE - Other Index Options'!$M:$M,'BSE - Other Index Options'!$C:$C,$A189,'BSE - Other Index Options'!$B:$B,F$147,'BSE - Other Index Options'!$I:$I,"MDAW*")=0,"",SUMIFS('BSE - SENSEX Index Options'!$M:$M,'BSE - SENSEX Index Options'!$C:$C,$A189,'BSE - SENSEX Index Options'!$B:$B,F$147,'BSE - SENSEX Index Options'!$I:$I,"Weekly*")+SUMIFS('BSE - SENSEX Index Options'!$M:$M,'BSE - SENSEX Index Options'!$C:$C,$A189,'BSE - SENSEX Index Options'!$B:$B,F$147,'BSE - SENSEX Index Options'!$I:$I,"MDAW*")+SUMIFS('BSE - Other Index Options'!$M:$M,'BSE - Other Index Options'!$C:$C,$A189,'BSE - Other Index Options'!$B:$B,F$147,'BSE - Other Index Options'!$I:$I,"Weekly*")+SUMIFS('BSE - Other Index Options'!$M:$M,'BSE - Other Index Options'!$C:$C,$A189,'BSE - Other Index Options'!$B:$B,F$147,'BSE - Other Index Options'!$I:$I,"MDAW*"))</f>
        <v/>
      </c>
      <c r="G189" s="26">
        <f>IF(SUMIFS('BSE - SENSEX Index Options'!$M:$M,'BSE - SENSEX Index Options'!$C:$C,$A189,'BSE - SENSEX Index Options'!$B:$B,G$147,'BSE - SENSEX Index Options'!$I:$I,"Weekly*")+SUMIFS('BSE - SENSEX Index Options'!$M:$M,'BSE - SENSEX Index Options'!$C:$C,$A189,'BSE - SENSEX Index Options'!$B:$B,G$147,'BSE - SENSEX Index Options'!$I:$I,"MDAW*")+SUMIFS('BSE - Other Index Options'!$M:$M,'BSE - Other Index Options'!$C:$C,$A189,'BSE - Other Index Options'!$B:$B,G$147,'BSE - Other Index Options'!$I:$I,"Weekly*")+SUMIFS('BSE - Other Index Options'!$M:$M,'BSE - Other Index Options'!$C:$C,$A189,'BSE - Other Index Options'!$B:$B,G$147,'BSE - Other Index Options'!$I:$I,"MDAW*")=0,"",SUMIFS('BSE - SENSEX Index Options'!$M:$M,'BSE - SENSEX Index Options'!$C:$C,$A189,'BSE - SENSEX Index Options'!$B:$B,G$147,'BSE - SENSEX Index Options'!$I:$I,"Weekly*")+SUMIFS('BSE - SENSEX Index Options'!$M:$M,'BSE - SENSEX Index Options'!$C:$C,$A189,'BSE - SENSEX Index Options'!$B:$B,G$147,'BSE - SENSEX Index Options'!$I:$I,"MDAW*")+SUMIFS('BSE - Other Index Options'!$M:$M,'BSE - Other Index Options'!$C:$C,$A189,'BSE - Other Index Options'!$B:$B,G$147,'BSE - Other Index Options'!$I:$I,"Weekly*")+SUMIFS('BSE - Other Index Options'!$M:$M,'BSE - Other Index Options'!$C:$C,$A189,'BSE - Other Index Options'!$B:$B,G$147,'BSE - Other Index Options'!$I:$I,"MDAW*"))</f>
        <v/>
      </c>
      <c r="H189" s="26">
        <f>IF(SUM(B189:G189)=0,"",SUM(B189:G189))</f>
        <v/>
      </c>
    </row>
    <row r="190">
      <c r="A190" t="inlineStr">
        <is>
          <t>Week4-May-2026</t>
        </is>
      </c>
      <c r="B190" s="26">
        <f>IF(SUMIFS('BSE - SENSEX Index Options'!$M:$M,'BSE - SENSEX Index Options'!$C:$C,$A190,'BSE - SENSEX Index Options'!$B:$B,B$147,'BSE - SENSEX Index Options'!$I:$I,"Weekly*")+SUMIFS('BSE - SENSEX Index Options'!$M:$M,'BSE - SENSEX Index Options'!$C:$C,$A190,'BSE - SENSEX Index Options'!$B:$B,B$147,'BSE - SENSEX Index Options'!$I:$I,"MDAW*")+SUMIFS('BSE - Other Index Options'!$M:$M,'BSE - Other Index Options'!$C:$C,$A190,'BSE - Other Index Options'!$B:$B,B$147,'BSE - Other Index Options'!$I:$I,"Weekly*")+SUMIFS('BSE - Other Index Options'!$M:$M,'BSE - Other Index Options'!$C:$C,$A190,'BSE - Other Index Options'!$B:$B,B$147,'BSE - Other Index Options'!$I:$I,"MDAW*")=0,"",SUMIFS('BSE - SENSEX Index Options'!$M:$M,'BSE - SENSEX Index Options'!$C:$C,$A190,'BSE - SENSEX Index Options'!$B:$B,B$147,'BSE - SENSEX Index Options'!$I:$I,"Weekly*")+SUMIFS('BSE - SENSEX Index Options'!$M:$M,'BSE - SENSEX Index Options'!$C:$C,$A190,'BSE - SENSEX Index Options'!$B:$B,B$147,'BSE - SENSEX Index Options'!$I:$I,"MDAW*")+SUMIFS('BSE - Other Index Options'!$M:$M,'BSE - Other Index Options'!$C:$C,$A190,'BSE - Other Index Options'!$B:$B,B$147,'BSE - Other Index Options'!$I:$I,"Weekly*")+SUMIFS('BSE - Other Index Options'!$M:$M,'BSE - Other Index Options'!$C:$C,$A190,'BSE - Other Index Options'!$B:$B,B$147,'BSE - Other Index Options'!$I:$I,"MDAW*"))</f>
        <v/>
      </c>
      <c r="C190" s="26">
        <f>IF(SUMIFS('BSE - SENSEX Index Options'!$M:$M,'BSE - SENSEX Index Options'!$C:$C,$A190,'BSE - SENSEX Index Options'!$B:$B,C$147,'BSE - SENSEX Index Options'!$I:$I,"Weekly*")+SUMIFS('BSE - SENSEX Index Options'!$M:$M,'BSE - SENSEX Index Options'!$C:$C,$A190,'BSE - SENSEX Index Options'!$B:$B,C$147,'BSE - SENSEX Index Options'!$I:$I,"MDAW*")+SUMIFS('BSE - Other Index Options'!$M:$M,'BSE - Other Index Options'!$C:$C,$A190,'BSE - Other Index Options'!$B:$B,C$147,'BSE - Other Index Options'!$I:$I,"Weekly*")+SUMIFS('BSE - Other Index Options'!$M:$M,'BSE - Other Index Options'!$C:$C,$A190,'BSE - Other Index Options'!$B:$B,C$147,'BSE - Other Index Options'!$I:$I,"MDAW*")=0,"",SUMIFS('BSE - SENSEX Index Options'!$M:$M,'BSE - SENSEX Index Options'!$C:$C,$A190,'BSE - SENSEX Index Options'!$B:$B,C$147,'BSE - SENSEX Index Options'!$I:$I,"Weekly*")+SUMIFS('BSE - SENSEX Index Options'!$M:$M,'BSE - SENSEX Index Options'!$C:$C,$A190,'BSE - SENSEX Index Options'!$B:$B,C$147,'BSE - SENSEX Index Options'!$I:$I,"MDAW*")+SUMIFS('BSE - Other Index Options'!$M:$M,'BSE - Other Index Options'!$C:$C,$A190,'BSE - Other Index Options'!$B:$B,C$147,'BSE - Other Index Options'!$I:$I,"Weekly*")+SUMIFS('BSE - Other Index Options'!$M:$M,'BSE - Other Index Options'!$C:$C,$A190,'BSE - Other Index Options'!$B:$B,C$147,'BSE - Other Index Options'!$I:$I,"MDAW*"))</f>
        <v/>
      </c>
      <c r="D190" s="26">
        <f>IF(SUMIFS('BSE - SENSEX Index Options'!$M:$M,'BSE - SENSEX Index Options'!$C:$C,$A190,'BSE - SENSEX Index Options'!$B:$B,D$147,'BSE - SENSEX Index Options'!$I:$I,"Weekly*")+SUMIFS('BSE - SENSEX Index Options'!$M:$M,'BSE - SENSEX Index Options'!$C:$C,$A190,'BSE - SENSEX Index Options'!$B:$B,D$147,'BSE - SENSEX Index Options'!$I:$I,"MDAW*")+SUMIFS('BSE - Other Index Options'!$M:$M,'BSE - Other Index Options'!$C:$C,$A190,'BSE - Other Index Options'!$B:$B,D$147,'BSE - Other Index Options'!$I:$I,"Weekly*")+SUMIFS('BSE - Other Index Options'!$M:$M,'BSE - Other Index Options'!$C:$C,$A190,'BSE - Other Index Options'!$B:$B,D$147,'BSE - Other Index Options'!$I:$I,"MDAW*")=0,"",SUMIFS('BSE - SENSEX Index Options'!$M:$M,'BSE - SENSEX Index Options'!$C:$C,$A190,'BSE - SENSEX Index Options'!$B:$B,D$147,'BSE - SENSEX Index Options'!$I:$I,"Weekly*")+SUMIFS('BSE - SENSEX Index Options'!$M:$M,'BSE - SENSEX Index Options'!$C:$C,$A190,'BSE - SENSEX Index Options'!$B:$B,D$147,'BSE - SENSEX Index Options'!$I:$I,"MDAW*")+SUMIFS('BSE - Other Index Options'!$M:$M,'BSE - Other Index Options'!$C:$C,$A190,'BSE - Other Index Options'!$B:$B,D$147,'BSE - Other Index Options'!$I:$I,"Weekly*")+SUMIFS('BSE - Other Index Options'!$M:$M,'BSE - Other Index Options'!$C:$C,$A190,'BSE - Other Index Options'!$B:$B,D$147,'BSE - Other Index Options'!$I:$I,"MDAW*"))</f>
        <v/>
      </c>
      <c r="E190" s="26">
        <f>IF(SUMIFS('BSE - SENSEX Index Options'!$M:$M,'BSE - SENSEX Index Options'!$C:$C,$A190,'BSE - SENSEX Index Options'!$B:$B,E$147,'BSE - SENSEX Index Options'!$I:$I,"Weekly*")+SUMIFS('BSE - SENSEX Index Options'!$M:$M,'BSE - SENSEX Index Options'!$C:$C,$A190,'BSE - SENSEX Index Options'!$B:$B,E$147,'BSE - SENSEX Index Options'!$I:$I,"MDAW*")+SUMIFS('BSE - Other Index Options'!$M:$M,'BSE - Other Index Options'!$C:$C,$A190,'BSE - Other Index Options'!$B:$B,E$147,'BSE - Other Index Options'!$I:$I,"Weekly*")+SUMIFS('BSE - Other Index Options'!$M:$M,'BSE - Other Index Options'!$C:$C,$A190,'BSE - Other Index Options'!$B:$B,E$147,'BSE - Other Index Options'!$I:$I,"MDAW*")=0,"",SUMIFS('BSE - SENSEX Index Options'!$M:$M,'BSE - SENSEX Index Options'!$C:$C,$A190,'BSE - SENSEX Index Options'!$B:$B,E$147,'BSE - SENSEX Index Options'!$I:$I,"Weekly*")+SUMIFS('BSE - SENSEX Index Options'!$M:$M,'BSE - SENSEX Index Options'!$C:$C,$A190,'BSE - SENSEX Index Options'!$B:$B,E$147,'BSE - SENSEX Index Options'!$I:$I,"MDAW*")+SUMIFS('BSE - Other Index Options'!$M:$M,'BSE - Other Index Options'!$C:$C,$A190,'BSE - Other Index Options'!$B:$B,E$147,'BSE - Other Index Options'!$I:$I,"Weekly*")+SUMIFS('BSE - Other Index Options'!$M:$M,'BSE - Other Index Options'!$C:$C,$A190,'BSE - Other Index Options'!$B:$B,E$147,'BSE - Other Index Options'!$I:$I,"MDAW*"))</f>
        <v/>
      </c>
      <c r="F190" s="26">
        <f>IF(SUMIFS('BSE - SENSEX Index Options'!$M:$M,'BSE - SENSEX Index Options'!$C:$C,$A190,'BSE - SENSEX Index Options'!$B:$B,F$147,'BSE - SENSEX Index Options'!$I:$I,"Weekly*")+SUMIFS('BSE - SENSEX Index Options'!$M:$M,'BSE - SENSEX Index Options'!$C:$C,$A190,'BSE - SENSEX Index Options'!$B:$B,F$147,'BSE - SENSEX Index Options'!$I:$I,"MDAW*")+SUMIFS('BSE - Other Index Options'!$M:$M,'BSE - Other Index Options'!$C:$C,$A190,'BSE - Other Index Options'!$B:$B,F$147,'BSE - Other Index Options'!$I:$I,"Weekly*")+SUMIFS('BSE - Other Index Options'!$M:$M,'BSE - Other Index Options'!$C:$C,$A190,'BSE - Other Index Options'!$B:$B,F$147,'BSE - Other Index Options'!$I:$I,"MDAW*")=0,"",SUMIFS('BSE - SENSEX Index Options'!$M:$M,'BSE - SENSEX Index Options'!$C:$C,$A190,'BSE - SENSEX Index Options'!$B:$B,F$147,'BSE - SENSEX Index Options'!$I:$I,"Weekly*")+SUMIFS('BSE - SENSEX Index Options'!$M:$M,'BSE - SENSEX Index Options'!$C:$C,$A190,'BSE - SENSEX Index Options'!$B:$B,F$147,'BSE - SENSEX Index Options'!$I:$I,"MDAW*")+SUMIFS('BSE - Other Index Options'!$M:$M,'BSE - Other Index Options'!$C:$C,$A190,'BSE - Other Index Options'!$B:$B,F$147,'BSE - Other Index Options'!$I:$I,"Weekly*")+SUMIFS('BSE - Other Index Options'!$M:$M,'BSE - Other Index Options'!$C:$C,$A190,'BSE - Other Index Options'!$B:$B,F$147,'BSE - Other Index Options'!$I:$I,"MDAW*"))</f>
        <v/>
      </c>
      <c r="G190" s="26">
        <f>IF(SUMIFS('BSE - SENSEX Index Options'!$M:$M,'BSE - SENSEX Index Options'!$C:$C,$A190,'BSE - SENSEX Index Options'!$B:$B,G$147,'BSE - SENSEX Index Options'!$I:$I,"Weekly*")+SUMIFS('BSE - SENSEX Index Options'!$M:$M,'BSE - SENSEX Index Options'!$C:$C,$A190,'BSE - SENSEX Index Options'!$B:$B,G$147,'BSE - SENSEX Index Options'!$I:$I,"MDAW*")+SUMIFS('BSE - Other Index Options'!$M:$M,'BSE - Other Index Options'!$C:$C,$A190,'BSE - Other Index Options'!$B:$B,G$147,'BSE - Other Index Options'!$I:$I,"Weekly*")+SUMIFS('BSE - Other Index Options'!$M:$M,'BSE - Other Index Options'!$C:$C,$A190,'BSE - Other Index Options'!$B:$B,G$147,'BSE - Other Index Options'!$I:$I,"MDAW*")=0,"",SUMIFS('BSE - SENSEX Index Options'!$M:$M,'BSE - SENSEX Index Options'!$C:$C,$A190,'BSE - SENSEX Index Options'!$B:$B,G$147,'BSE - SENSEX Index Options'!$I:$I,"Weekly*")+SUMIFS('BSE - SENSEX Index Options'!$M:$M,'BSE - SENSEX Index Options'!$C:$C,$A190,'BSE - SENSEX Index Options'!$B:$B,G$147,'BSE - SENSEX Index Options'!$I:$I,"MDAW*")+SUMIFS('BSE - Other Index Options'!$M:$M,'BSE - Other Index Options'!$C:$C,$A190,'BSE - Other Index Options'!$B:$B,G$147,'BSE - Other Index Options'!$I:$I,"Weekly*")+SUMIFS('BSE - Other Index Options'!$M:$M,'BSE - Other Index Options'!$C:$C,$A190,'BSE - Other Index Options'!$B:$B,G$147,'BSE - Other Index Options'!$I:$I,"MDAW*"))</f>
        <v/>
      </c>
      <c r="H190" s="26">
        <f>IF(SUM(B190:G190)=0,"",SUM(B190:G190))</f>
        <v/>
      </c>
    </row>
    <row r="191">
      <c r="A191" t="inlineStr">
        <is>
          <t>Week5-May-2026</t>
        </is>
      </c>
      <c r="B191" s="26">
        <f>IF(SUMIFS('BSE - SENSEX Index Options'!$M:$M,'BSE - SENSEX Index Options'!$C:$C,$A191,'BSE - SENSEX Index Options'!$B:$B,B$147,'BSE - SENSEX Index Options'!$I:$I,"Weekly*")+SUMIFS('BSE - SENSEX Index Options'!$M:$M,'BSE - SENSEX Index Options'!$C:$C,$A191,'BSE - SENSEX Index Options'!$B:$B,B$147,'BSE - SENSEX Index Options'!$I:$I,"MDAW*")+SUMIFS('BSE - Other Index Options'!$M:$M,'BSE - Other Index Options'!$C:$C,$A191,'BSE - Other Index Options'!$B:$B,B$147,'BSE - Other Index Options'!$I:$I,"Weekly*")+SUMIFS('BSE - Other Index Options'!$M:$M,'BSE - Other Index Options'!$C:$C,$A191,'BSE - Other Index Options'!$B:$B,B$147,'BSE - Other Index Options'!$I:$I,"MDAW*")=0,"",SUMIFS('BSE - SENSEX Index Options'!$M:$M,'BSE - SENSEX Index Options'!$C:$C,$A191,'BSE - SENSEX Index Options'!$B:$B,B$147,'BSE - SENSEX Index Options'!$I:$I,"Weekly*")+SUMIFS('BSE - SENSEX Index Options'!$M:$M,'BSE - SENSEX Index Options'!$C:$C,$A191,'BSE - SENSEX Index Options'!$B:$B,B$147,'BSE - SENSEX Index Options'!$I:$I,"MDAW*")+SUMIFS('BSE - Other Index Options'!$M:$M,'BSE - Other Index Options'!$C:$C,$A191,'BSE - Other Index Options'!$B:$B,B$147,'BSE - Other Index Options'!$I:$I,"Weekly*")+SUMIFS('BSE - Other Index Options'!$M:$M,'BSE - Other Index Options'!$C:$C,$A191,'BSE - Other Index Options'!$B:$B,B$147,'BSE - Other Index Options'!$I:$I,"MDAW*"))</f>
        <v/>
      </c>
      <c r="C191" s="26">
        <f>IF(SUMIFS('BSE - SENSEX Index Options'!$M:$M,'BSE - SENSEX Index Options'!$C:$C,$A191,'BSE - SENSEX Index Options'!$B:$B,C$147,'BSE - SENSEX Index Options'!$I:$I,"Weekly*")+SUMIFS('BSE - SENSEX Index Options'!$M:$M,'BSE - SENSEX Index Options'!$C:$C,$A191,'BSE - SENSEX Index Options'!$B:$B,C$147,'BSE - SENSEX Index Options'!$I:$I,"MDAW*")+SUMIFS('BSE - Other Index Options'!$M:$M,'BSE - Other Index Options'!$C:$C,$A191,'BSE - Other Index Options'!$B:$B,C$147,'BSE - Other Index Options'!$I:$I,"Weekly*")+SUMIFS('BSE - Other Index Options'!$M:$M,'BSE - Other Index Options'!$C:$C,$A191,'BSE - Other Index Options'!$B:$B,C$147,'BSE - Other Index Options'!$I:$I,"MDAW*")=0,"",SUMIFS('BSE - SENSEX Index Options'!$M:$M,'BSE - SENSEX Index Options'!$C:$C,$A191,'BSE - SENSEX Index Options'!$B:$B,C$147,'BSE - SENSEX Index Options'!$I:$I,"Weekly*")+SUMIFS('BSE - SENSEX Index Options'!$M:$M,'BSE - SENSEX Index Options'!$C:$C,$A191,'BSE - SENSEX Index Options'!$B:$B,C$147,'BSE - SENSEX Index Options'!$I:$I,"MDAW*")+SUMIFS('BSE - Other Index Options'!$M:$M,'BSE - Other Index Options'!$C:$C,$A191,'BSE - Other Index Options'!$B:$B,C$147,'BSE - Other Index Options'!$I:$I,"Weekly*")+SUMIFS('BSE - Other Index Options'!$M:$M,'BSE - Other Index Options'!$C:$C,$A191,'BSE - Other Index Options'!$B:$B,C$147,'BSE - Other Index Options'!$I:$I,"MDAW*"))</f>
        <v/>
      </c>
      <c r="D191" s="26">
        <f>IF(SUMIFS('BSE - SENSEX Index Options'!$M:$M,'BSE - SENSEX Index Options'!$C:$C,$A191,'BSE - SENSEX Index Options'!$B:$B,D$147,'BSE - SENSEX Index Options'!$I:$I,"Weekly*")+SUMIFS('BSE - SENSEX Index Options'!$M:$M,'BSE - SENSEX Index Options'!$C:$C,$A191,'BSE - SENSEX Index Options'!$B:$B,D$147,'BSE - SENSEX Index Options'!$I:$I,"MDAW*")+SUMIFS('BSE - Other Index Options'!$M:$M,'BSE - Other Index Options'!$C:$C,$A191,'BSE - Other Index Options'!$B:$B,D$147,'BSE - Other Index Options'!$I:$I,"Weekly*")+SUMIFS('BSE - Other Index Options'!$M:$M,'BSE - Other Index Options'!$C:$C,$A191,'BSE - Other Index Options'!$B:$B,D$147,'BSE - Other Index Options'!$I:$I,"MDAW*")=0,"",SUMIFS('BSE - SENSEX Index Options'!$M:$M,'BSE - SENSEX Index Options'!$C:$C,$A191,'BSE - SENSEX Index Options'!$B:$B,D$147,'BSE - SENSEX Index Options'!$I:$I,"Weekly*")+SUMIFS('BSE - SENSEX Index Options'!$M:$M,'BSE - SENSEX Index Options'!$C:$C,$A191,'BSE - SENSEX Index Options'!$B:$B,D$147,'BSE - SENSEX Index Options'!$I:$I,"MDAW*")+SUMIFS('BSE - Other Index Options'!$M:$M,'BSE - Other Index Options'!$C:$C,$A191,'BSE - Other Index Options'!$B:$B,D$147,'BSE - Other Index Options'!$I:$I,"Weekly*")+SUMIFS('BSE - Other Index Options'!$M:$M,'BSE - Other Index Options'!$C:$C,$A191,'BSE - Other Index Options'!$B:$B,D$147,'BSE - Other Index Options'!$I:$I,"MDAW*"))</f>
        <v/>
      </c>
      <c r="E191" s="26">
        <f>IF(SUMIFS('BSE - SENSEX Index Options'!$M:$M,'BSE - SENSEX Index Options'!$C:$C,$A191,'BSE - SENSEX Index Options'!$B:$B,E$147,'BSE - SENSEX Index Options'!$I:$I,"Weekly*")+SUMIFS('BSE - SENSEX Index Options'!$M:$M,'BSE - SENSEX Index Options'!$C:$C,$A191,'BSE - SENSEX Index Options'!$B:$B,E$147,'BSE - SENSEX Index Options'!$I:$I,"MDAW*")+SUMIFS('BSE - Other Index Options'!$M:$M,'BSE - Other Index Options'!$C:$C,$A191,'BSE - Other Index Options'!$B:$B,E$147,'BSE - Other Index Options'!$I:$I,"Weekly*")+SUMIFS('BSE - Other Index Options'!$M:$M,'BSE - Other Index Options'!$C:$C,$A191,'BSE - Other Index Options'!$B:$B,E$147,'BSE - Other Index Options'!$I:$I,"MDAW*")=0,"",SUMIFS('BSE - SENSEX Index Options'!$M:$M,'BSE - SENSEX Index Options'!$C:$C,$A191,'BSE - SENSEX Index Options'!$B:$B,E$147,'BSE - SENSEX Index Options'!$I:$I,"Weekly*")+SUMIFS('BSE - SENSEX Index Options'!$M:$M,'BSE - SENSEX Index Options'!$C:$C,$A191,'BSE - SENSEX Index Options'!$B:$B,E$147,'BSE - SENSEX Index Options'!$I:$I,"MDAW*")+SUMIFS('BSE - Other Index Options'!$M:$M,'BSE - Other Index Options'!$C:$C,$A191,'BSE - Other Index Options'!$B:$B,E$147,'BSE - Other Index Options'!$I:$I,"Weekly*")+SUMIFS('BSE - Other Index Options'!$M:$M,'BSE - Other Index Options'!$C:$C,$A191,'BSE - Other Index Options'!$B:$B,E$147,'BSE - Other Index Options'!$I:$I,"MDAW*"))</f>
        <v/>
      </c>
      <c r="F191" s="26">
        <f>IF(SUMIFS('BSE - SENSEX Index Options'!$M:$M,'BSE - SENSEX Index Options'!$C:$C,$A191,'BSE - SENSEX Index Options'!$B:$B,F$147,'BSE - SENSEX Index Options'!$I:$I,"Weekly*")+SUMIFS('BSE - SENSEX Index Options'!$M:$M,'BSE - SENSEX Index Options'!$C:$C,$A191,'BSE - SENSEX Index Options'!$B:$B,F$147,'BSE - SENSEX Index Options'!$I:$I,"MDAW*")+SUMIFS('BSE - Other Index Options'!$M:$M,'BSE - Other Index Options'!$C:$C,$A191,'BSE - Other Index Options'!$B:$B,F$147,'BSE - Other Index Options'!$I:$I,"Weekly*")+SUMIFS('BSE - Other Index Options'!$M:$M,'BSE - Other Index Options'!$C:$C,$A191,'BSE - Other Index Options'!$B:$B,F$147,'BSE - Other Index Options'!$I:$I,"MDAW*")=0,"",SUMIFS('BSE - SENSEX Index Options'!$M:$M,'BSE - SENSEX Index Options'!$C:$C,$A191,'BSE - SENSEX Index Options'!$B:$B,F$147,'BSE - SENSEX Index Options'!$I:$I,"Weekly*")+SUMIFS('BSE - SENSEX Index Options'!$M:$M,'BSE - SENSEX Index Options'!$C:$C,$A191,'BSE - SENSEX Index Options'!$B:$B,F$147,'BSE - SENSEX Index Options'!$I:$I,"MDAW*")+SUMIFS('BSE - Other Index Options'!$M:$M,'BSE - Other Index Options'!$C:$C,$A191,'BSE - Other Index Options'!$B:$B,F$147,'BSE - Other Index Options'!$I:$I,"Weekly*")+SUMIFS('BSE - Other Index Options'!$M:$M,'BSE - Other Index Options'!$C:$C,$A191,'BSE - Other Index Options'!$B:$B,F$147,'BSE - Other Index Options'!$I:$I,"MDAW*"))</f>
        <v/>
      </c>
      <c r="G191" s="26">
        <f>IF(SUMIFS('BSE - SENSEX Index Options'!$M:$M,'BSE - SENSEX Index Options'!$C:$C,$A191,'BSE - SENSEX Index Options'!$B:$B,G$147,'BSE - SENSEX Index Options'!$I:$I,"Weekly*")+SUMIFS('BSE - SENSEX Index Options'!$M:$M,'BSE - SENSEX Index Options'!$C:$C,$A191,'BSE - SENSEX Index Options'!$B:$B,G$147,'BSE - SENSEX Index Options'!$I:$I,"MDAW*")+SUMIFS('BSE - Other Index Options'!$M:$M,'BSE - Other Index Options'!$C:$C,$A191,'BSE - Other Index Options'!$B:$B,G$147,'BSE - Other Index Options'!$I:$I,"Weekly*")+SUMIFS('BSE - Other Index Options'!$M:$M,'BSE - Other Index Options'!$C:$C,$A191,'BSE - Other Index Options'!$B:$B,G$147,'BSE - Other Index Options'!$I:$I,"MDAW*")=0,"",SUMIFS('BSE - SENSEX Index Options'!$M:$M,'BSE - SENSEX Index Options'!$C:$C,$A191,'BSE - SENSEX Index Options'!$B:$B,G$147,'BSE - SENSEX Index Options'!$I:$I,"Weekly*")+SUMIFS('BSE - SENSEX Index Options'!$M:$M,'BSE - SENSEX Index Options'!$C:$C,$A191,'BSE - SENSEX Index Options'!$B:$B,G$147,'BSE - SENSEX Index Options'!$I:$I,"MDAW*")+SUMIFS('BSE - Other Index Options'!$M:$M,'BSE - Other Index Options'!$C:$C,$A191,'BSE - Other Index Options'!$B:$B,G$147,'BSE - Other Index Options'!$I:$I,"Weekly*")+SUMIFS('BSE - Other Index Options'!$M:$M,'BSE - Other Index Options'!$C:$C,$A191,'BSE - Other Index Options'!$B:$B,G$147,'BSE - Other Index Options'!$I:$I,"MDAW*"))</f>
        <v/>
      </c>
      <c r="H191" s="26">
        <f>IF(SUM(B191:G191)=0,"",SUM(B191:G191))</f>
        <v/>
      </c>
    </row>
    <row r="192">
      <c r="A192" t="inlineStr">
        <is>
          <t>Week1-Jun-2026</t>
        </is>
      </c>
      <c r="B192" s="26">
        <f>IF(SUMIFS('BSE - SENSEX Index Options'!$M:$M,'BSE - SENSEX Index Options'!$C:$C,$A192,'BSE - SENSEX Index Options'!$B:$B,B$147,'BSE - SENSEX Index Options'!$I:$I,"Weekly*")+SUMIFS('BSE - SENSEX Index Options'!$M:$M,'BSE - SENSEX Index Options'!$C:$C,$A192,'BSE - SENSEX Index Options'!$B:$B,B$147,'BSE - SENSEX Index Options'!$I:$I,"MDAW*")+SUMIFS('BSE - Other Index Options'!$M:$M,'BSE - Other Index Options'!$C:$C,$A192,'BSE - Other Index Options'!$B:$B,B$147,'BSE - Other Index Options'!$I:$I,"Weekly*")+SUMIFS('BSE - Other Index Options'!$M:$M,'BSE - Other Index Options'!$C:$C,$A192,'BSE - Other Index Options'!$B:$B,B$147,'BSE - Other Index Options'!$I:$I,"MDAW*")=0,"",SUMIFS('BSE - SENSEX Index Options'!$M:$M,'BSE - SENSEX Index Options'!$C:$C,$A192,'BSE - SENSEX Index Options'!$B:$B,B$147,'BSE - SENSEX Index Options'!$I:$I,"Weekly*")+SUMIFS('BSE - SENSEX Index Options'!$M:$M,'BSE - SENSEX Index Options'!$C:$C,$A192,'BSE - SENSEX Index Options'!$B:$B,B$147,'BSE - SENSEX Index Options'!$I:$I,"MDAW*")+SUMIFS('BSE - Other Index Options'!$M:$M,'BSE - Other Index Options'!$C:$C,$A192,'BSE - Other Index Options'!$B:$B,B$147,'BSE - Other Index Options'!$I:$I,"Weekly*")+SUMIFS('BSE - Other Index Options'!$M:$M,'BSE - Other Index Options'!$C:$C,$A192,'BSE - Other Index Options'!$B:$B,B$147,'BSE - Other Index Options'!$I:$I,"MDAW*"))</f>
        <v/>
      </c>
      <c r="C192" s="26">
        <f>IF(SUMIFS('BSE - SENSEX Index Options'!$M:$M,'BSE - SENSEX Index Options'!$C:$C,$A192,'BSE - SENSEX Index Options'!$B:$B,C$147,'BSE - SENSEX Index Options'!$I:$I,"Weekly*")+SUMIFS('BSE - SENSEX Index Options'!$M:$M,'BSE - SENSEX Index Options'!$C:$C,$A192,'BSE - SENSEX Index Options'!$B:$B,C$147,'BSE - SENSEX Index Options'!$I:$I,"MDAW*")+SUMIFS('BSE - Other Index Options'!$M:$M,'BSE - Other Index Options'!$C:$C,$A192,'BSE - Other Index Options'!$B:$B,C$147,'BSE - Other Index Options'!$I:$I,"Weekly*")+SUMIFS('BSE - Other Index Options'!$M:$M,'BSE - Other Index Options'!$C:$C,$A192,'BSE - Other Index Options'!$B:$B,C$147,'BSE - Other Index Options'!$I:$I,"MDAW*")=0,"",SUMIFS('BSE - SENSEX Index Options'!$M:$M,'BSE - SENSEX Index Options'!$C:$C,$A192,'BSE - SENSEX Index Options'!$B:$B,C$147,'BSE - SENSEX Index Options'!$I:$I,"Weekly*")+SUMIFS('BSE - SENSEX Index Options'!$M:$M,'BSE - SENSEX Index Options'!$C:$C,$A192,'BSE - SENSEX Index Options'!$B:$B,C$147,'BSE - SENSEX Index Options'!$I:$I,"MDAW*")+SUMIFS('BSE - Other Index Options'!$M:$M,'BSE - Other Index Options'!$C:$C,$A192,'BSE - Other Index Options'!$B:$B,C$147,'BSE - Other Index Options'!$I:$I,"Weekly*")+SUMIFS('BSE - Other Index Options'!$M:$M,'BSE - Other Index Options'!$C:$C,$A192,'BSE - Other Index Options'!$B:$B,C$147,'BSE - Other Index Options'!$I:$I,"MDAW*"))</f>
        <v/>
      </c>
      <c r="D192" s="26">
        <f>IF(SUMIFS('BSE - SENSEX Index Options'!$M:$M,'BSE - SENSEX Index Options'!$C:$C,$A192,'BSE - SENSEX Index Options'!$B:$B,D$147,'BSE - SENSEX Index Options'!$I:$I,"Weekly*")+SUMIFS('BSE - SENSEX Index Options'!$M:$M,'BSE - SENSEX Index Options'!$C:$C,$A192,'BSE - SENSEX Index Options'!$B:$B,D$147,'BSE - SENSEX Index Options'!$I:$I,"MDAW*")+SUMIFS('BSE - Other Index Options'!$M:$M,'BSE - Other Index Options'!$C:$C,$A192,'BSE - Other Index Options'!$B:$B,D$147,'BSE - Other Index Options'!$I:$I,"Weekly*")+SUMIFS('BSE - Other Index Options'!$M:$M,'BSE - Other Index Options'!$C:$C,$A192,'BSE - Other Index Options'!$B:$B,D$147,'BSE - Other Index Options'!$I:$I,"MDAW*")=0,"",SUMIFS('BSE - SENSEX Index Options'!$M:$M,'BSE - SENSEX Index Options'!$C:$C,$A192,'BSE - SENSEX Index Options'!$B:$B,D$147,'BSE - SENSEX Index Options'!$I:$I,"Weekly*")+SUMIFS('BSE - SENSEX Index Options'!$M:$M,'BSE - SENSEX Index Options'!$C:$C,$A192,'BSE - SENSEX Index Options'!$B:$B,D$147,'BSE - SENSEX Index Options'!$I:$I,"MDAW*")+SUMIFS('BSE - Other Index Options'!$M:$M,'BSE - Other Index Options'!$C:$C,$A192,'BSE - Other Index Options'!$B:$B,D$147,'BSE - Other Index Options'!$I:$I,"Weekly*")+SUMIFS('BSE - Other Index Options'!$M:$M,'BSE - Other Index Options'!$C:$C,$A192,'BSE - Other Index Options'!$B:$B,D$147,'BSE - Other Index Options'!$I:$I,"MDAW*"))</f>
        <v/>
      </c>
      <c r="E192" s="26">
        <f>IF(SUMIFS('BSE - SENSEX Index Options'!$M:$M,'BSE - SENSEX Index Options'!$C:$C,$A192,'BSE - SENSEX Index Options'!$B:$B,E$147,'BSE - SENSEX Index Options'!$I:$I,"Weekly*")+SUMIFS('BSE - SENSEX Index Options'!$M:$M,'BSE - SENSEX Index Options'!$C:$C,$A192,'BSE - SENSEX Index Options'!$B:$B,E$147,'BSE - SENSEX Index Options'!$I:$I,"MDAW*")+SUMIFS('BSE - Other Index Options'!$M:$M,'BSE - Other Index Options'!$C:$C,$A192,'BSE - Other Index Options'!$B:$B,E$147,'BSE - Other Index Options'!$I:$I,"Weekly*")+SUMIFS('BSE - Other Index Options'!$M:$M,'BSE - Other Index Options'!$C:$C,$A192,'BSE - Other Index Options'!$B:$B,E$147,'BSE - Other Index Options'!$I:$I,"MDAW*")=0,"",SUMIFS('BSE - SENSEX Index Options'!$M:$M,'BSE - SENSEX Index Options'!$C:$C,$A192,'BSE - SENSEX Index Options'!$B:$B,E$147,'BSE - SENSEX Index Options'!$I:$I,"Weekly*")+SUMIFS('BSE - SENSEX Index Options'!$M:$M,'BSE - SENSEX Index Options'!$C:$C,$A192,'BSE - SENSEX Index Options'!$B:$B,E$147,'BSE - SENSEX Index Options'!$I:$I,"MDAW*")+SUMIFS('BSE - Other Index Options'!$M:$M,'BSE - Other Index Options'!$C:$C,$A192,'BSE - Other Index Options'!$B:$B,E$147,'BSE - Other Index Options'!$I:$I,"Weekly*")+SUMIFS('BSE - Other Index Options'!$M:$M,'BSE - Other Index Options'!$C:$C,$A192,'BSE - Other Index Options'!$B:$B,E$147,'BSE - Other Index Options'!$I:$I,"MDAW*"))</f>
        <v/>
      </c>
      <c r="F192" s="26">
        <f>IF(SUMIFS('BSE - SENSEX Index Options'!$M:$M,'BSE - SENSEX Index Options'!$C:$C,$A192,'BSE - SENSEX Index Options'!$B:$B,F$147,'BSE - SENSEX Index Options'!$I:$I,"Weekly*")+SUMIFS('BSE - SENSEX Index Options'!$M:$M,'BSE - SENSEX Index Options'!$C:$C,$A192,'BSE - SENSEX Index Options'!$B:$B,F$147,'BSE - SENSEX Index Options'!$I:$I,"MDAW*")+SUMIFS('BSE - Other Index Options'!$M:$M,'BSE - Other Index Options'!$C:$C,$A192,'BSE - Other Index Options'!$B:$B,F$147,'BSE - Other Index Options'!$I:$I,"Weekly*")+SUMIFS('BSE - Other Index Options'!$M:$M,'BSE - Other Index Options'!$C:$C,$A192,'BSE - Other Index Options'!$B:$B,F$147,'BSE - Other Index Options'!$I:$I,"MDAW*")=0,"",SUMIFS('BSE - SENSEX Index Options'!$M:$M,'BSE - SENSEX Index Options'!$C:$C,$A192,'BSE - SENSEX Index Options'!$B:$B,F$147,'BSE - SENSEX Index Options'!$I:$I,"Weekly*")+SUMIFS('BSE - SENSEX Index Options'!$M:$M,'BSE - SENSEX Index Options'!$C:$C,$A192,'BSE - SENSEX Index Options'!$B:$B,F$147,'BSE - SENSEX Index Options'!$I:$I,"MDAW*")+SUMIFS('BSE - Other Index Options'!$M:$M,'BSE - Other Index Options'!$C:$C,$A192,'BSE - Other Index Options'!$B:$B,F$147,'BSE - Other Index Options'!$I:$I,"Weekly*")+SUMIFS('BSE - Other Index Options'!$M:$M,'BSE - Other Index Options'!$C:$C,$A192,'BSE - Other Index Options'!$B:$B,F$147,'BSE - Other Index Options'!$I:$I,"MDAW*"))</f>
        <v/>
      </c>
      <c r="G192" s="26">
        <f>IF(SUMIFS('BSE - SENSEX Index Options'!$M:$M,'BSE - SENSEX Index Options'!$C:$C,$A192,'BSE - SENSEX Index Options'!$B:$B,G$147,'BSE - SENSEX Index Options'!$I:$I,"Weekly*")+SUMIFS('BSE - SENSEX Index Options'!$M:$M,'BSE - SENSEX Index Options'!$C:$C,$A192,'BSE - SENSEX Index Options'!$B:$B,G$147,'BSE - SENSEX Index Options'!$I:$I,"MDAW*")+SUMIFS('BSE - Other Index Options'!$M:$M,'BSE - Other Index Options'!$C:$C,$A192,'BSE - Other Index Options'!$B:$B,G$147,'BSE - Other Index Options'!$I:$I,"Weekly*")+SUMIFS('BSE - Other Index Options'!$M:$M,'BSE - Other Index Options'!$C:$C,$A192,'BSE - Other Index Options'!$B:$B,G$147,'BSE - Other Index Options'!$I:$I,"MDAW*")=0,"",SUMIFS('BSE - SENSEX Index Options'!$M:$M,'BSE - SENSEX Index Options'!$C:$C,$A192,'BSE - SENSEX Index Options'!$B:$B,G$147,'BSE - SENSEX Index Options'!$I:$I,"Weekly*")+SUMIFS('BSE - SENSEX Index Options'!$M:$M,'BSE - SENSEX Index Options'!$C:$C,$A192,'BSE - SENSEX Index Options'!$B:$B,G$147,'BSE - SENSEX Index Options'!$I:$I,"MDAW*")+SUMIFS('BSE - Other Index Options'!$M:$M,'BSE - Other Index Options'!$C:$C,$A192,'BSE - Other Index Options'!$B:$B,G$147,'BSE - Other Index Options'!$I:$I,"Weekly*")+SUMIFS('BSE - Other Index Options'!$M:$M,'BSE - Other Index Options'!$C:$C,$A192,'BSE - Other Index Options'!$B:$B,G$147,'BSE - Other Index Options'!$I:$I,"MDAW*"))</f>
        <v/>
      </c>
      <c r="H192" s="26">
        <f>IF(SUM(B192:G192)=0,"",SUM(B192:G192))</f>
        <v/>
      </c>
    </row>
    <row r="193">
      <c r="A193" t="inlineStr">
        <is>
          <t>Week2-Jun-2026</t>
        </is>
      </c>
      <c r="B193" s="26">
        <f>IF(SUMIFS('BSE - SENSEX Index Options'!$M:$M,'BSE - SENSEX Index Options'!$C:$C,$A193,'BSE - SENSEX Index Options'!$B:$B,B$147,'BSE - SENSEX Index Options'!$I:$I,"Weekly*")+SUMIFS('BSE - SENSEX Index Options'!$M:$M,'BSE - SENSEX Index Options'!$C:$C,$A193,'BSE - SENSEX Index Options'!$B:$B,B$147,'BSE - SENSEX Index Options'!$I:$I,"MDAW*")+SUMIFS('BSE - Other Index Options'!$M:$M,'BSE - Other Index Options'!$C:$C,$A193,'BSE - Other Index Options'!$B:$B,B$147,'BSE - Other Index Options'!$I:$I,"Weekly*")+SUMIFS('BSE - Other Index Options'!$M:$M,'BSE - Other Index Options'!$C:$C,$A193,'BSE - Other Index Options'!$B:$B,B$147,'BSE - Other Index Options'!$I:$I,"MDAW*")=0,"",SUMIFS('BSE - SENSEX Index Options'!$M:$M,'BSE - SENSEX Index Options'!$C:$C,$A193,'BSE - SENSEX Index Options'!$B:$B,B$147,'BSE - SENSEX Index Options'!$I:$I,"Weekly*")+SUMIFS('BSE - SENSEX Index Options'!$M:$M,'BSE - SENSEX Index Options'!$C:$C,$A193,'BSE - SENSEX Index Options'!$B:$B,B$147,'BSE - SENSEX Index Options'!$I:$I,"MDAW*")+SUMIFS('BSE - Other Index Options'!$M:$M,'BSE - Other Index Options'!$C:$C,$A193,'BSE - Other Index Options'!$B:$B,B$147,'BSE - Other Index Options'!$I:$I,"Weekly*")+SUMIFS('BSE - Other Index Options'!$M:$M,'BSE - Other Index Options'!$C:$C,$A193,'BSE - Other Index Options'!$B:$B,B$147,'BSE - Other Index Options'!$I:$I,"MDAW*"))</f>
        <v/>
      </c>
      <c r="C193" s="26">
        <f>IF(SUMIFS('BSE - SENSEX Index Options'!$M:$M,'BSE - SENSEX Index Options'!$C:$C,$A193,'BSE - SENSEX Index Options'!$B:$B,C$147,'BSE - SENSEX Index Options'!$I:$I,"Weekly*")+SUMIFS('BSE - SENSEX Index Options'!$M:$M,'BSE - SENSEX Index Options'!$C:$C,$A193,'BSE - SENSEX Index Options'!$B:$B,C$147,'BSE - SENSEX Index Options'!$I:$I,"MDAW*")+SUMIFS('BSE - Other Index Options'!$M:$M,'BSE - Other Index Options'!$C:$C,$A193,'BSE - Other Index Options'!$B:$B,C$147,'BSE - Other Index Options'!$I:$I,"Weekly*")+SUMIFS('BSE - Other Index Options'!$M:$M,'BSE - Other Index Options'!$C:$C,$A193,'BSE - Other Index Options'!$B:$B,C$147,'BSE - Other Index Options'!$I:$I,"MDAW*")=0,"",SUMIFS('BSE - SENSEX Index Options'!$M:$M,'BSE - SENSEX Index Options'!$C:$C,$A193,'BSE - SENSEX Index Options'!$B:$B,C$147,'BSE - SENSEX Index Options'!$I:$I,"Weekly*")+SUMIFS('BSE - SENSEX Index Options'!$M:$M,'BSE - SENSEX Index Options'!$C:$C,$A193,'BSE - SENSEX Index Options'!$B:$B,C$147,'BSE - SENSEX Index Options'!$I:$I,"MDAW*")+SUMIFS('BSE - Other Index Options'!$M:$M,'BSE - Other Index Options'!$C:$C,$A193,'BSE - Other Index Options'!$B:$B,C$147,'BSE - Other Index Options'!$I:$I,"Weekly*")+SUMIFS('BSE - Other Index Options'!$M:$M,'BSE - Other Index Options'!$C:$C,$A193,'BSE - Other Index Options'!$B:$B,C$147,'BSE - Other Index Options'!$I:$I,"MDAW*"))</f>
        <v/>
      </c>
      <c r="D193" s="26">
        <f>IF(SUMIFS('BSE - SENSEX Index Options'!$M:$M,'BSE - SENSEX Index Options'!$C:$C,$A193,'BSE - SENSEX Index Options'!$B:$B,D$147,'BSE - SENSEX Index Options'!$I:$I,"Weekly*")+SUMIFS('BSE - SENSEX Index Options'!$M:$M,'BSE - SENSEX Index Options'!$C:$C,$A193,'BSE - SENSEX Index Options'!$B:$B,D$147,'BSE - SENSEX Index Options'!$I:$I,"MDAW*")+SUMIFS('BSE - Other Index Options'!$M:$M,'BSE - Other Index Options'!$C:$C,$A193,'BSE - Other Index Options'!$B:$B,D$147,'BSE - Other Index Options'!$I:$I,"Weekly*")+SUMIFS('BSE - Other Index Options'!$M:$M,'BSE - Other Index Options'!$C:$C,$A193,'BSE - Other Index Options'!$B:$B,D$147,'BSE - Other Index Options'!$I:$I,"MDAW*")=0,"",SUMIFS('BSE - SENSEX Index Options'!$M:$M,'BSE - SENSEX Index Options'!$C:$C,$A193,'BSE - SENSEX Index Options'!$B:$B,D$147,'BSE - SENSEX Index Options'!$I:$I,"Weekly*")+SUMIFS('BSE - SENSEX Index Options'!$M:$M,'BSE - SENSEX Index Options'!$C:$C,$A193,'BSE - SENSEX Index Options'!$B:$B,D$147,'BSE - SENSEX Index Options'!$I:$I,"MDAW*")+SUMIFS('BSE - Other Index Options'!$M:$M,'BSE - Other Index Options'!$C:$C,$A193,'BSE - Other Index Options'!$B:$B,D$147,'BSE - Other Index Options'!$I:$I,"Weekly*")+SUMIFS('BSE - Other Index Options'!$M:$M,'BSE - Other Index Options'!$C:$C,$A193,'BSE - Other Index Options'!$B:$B,D$147,'BSE - Other Index Options'!$I:$I,"MDAW*"))</f>
        <v/>
      </c>
      <c r="E193" s="26">
        <f>IF(SUMIFS('BSE - SENSEX Index Options'!$M:$M,'BSE - SENSEX Index Options'!$C:$C,$A193,'BSE - SENSEX Index Options'!$B:$B,E$147,'BSE - SENSEX Index Options'!$I:$I,"Weekly*")+SUMIFS('BSE - SENSEX Index Options'!$M:$M,'BSE - SENSEX Index Options'!$C:$C,$A193,'BSE - SENSEX Index Options'!$B:$B,E$147,'BSE - SENSEX Index Options'!$I:$I,"MDAW*")+SUMIFS('BSE - Other Index Options'!$M:$M,'BSE - Other Index Options'!$C:$C,$A193,'BSE - Other Index Options'!$B:$B,E$147,'BSE - Other Index Options'!$I:$I,"Weekly*")+SUMIFS('BSE - Other Index Options'!$M:$M,'BSE - Other Index Options'!$C:$C,$A193,'BSE - Other Index Options'!$B:$B,E$147,'BSE - Other Index Options'!$I:$I,"MDAW*")=0,"",SUMIFS('BSE - SENSEX Index Options'!$M:$M,'BSE - SENSEX Index Options'!$C:$C,$A193,'BSE - SENSEX Index Options'!$B:$B,E$147,'BSE - SENSEX Index Options'!$I:$I,"Weekly*")+SUMIFS('BSE - SENSEX Index Options'!$M:$M,'BSE - SENSEX Index Options'!$C:$C,$A193,'BSE - SENSEX Index Options'!$B:$B,E$147,'BSE - SENSEX Index Options'!$I:$I,"MDAW*")+SUMIFS('BSE - Other Index Options'!$M:$M,'BSE - Other Index Options'!$C:$C,$A193,'BSE - Other Index Options'!$B:$B,E$147,'BSE - Other Index Options'!$I:$I,"Weekly*")+SUMIFS('BSE - Other Index Options'!$M:$M,'BSE - Other Index Options'!$C:$C,$A193,'BSE - Other Index Options'!$B:$B,E$147,'BSE - Other Index Options'!$I:$I,"MDAW*"))</f>
        <v/>
      </c>
      <c r="F193" s="26">
        <f>IF(SUMIFS('BSE - SENSEX Index Options'!$M:$M,'BSE - SENSEX Index Options'!$C:$C,$A193,'BSE - SENSEX Index Options'!$B:$B,F$147,'BSE - SENSEX Index Options'!$I:$I,"Weekly*")+SUMIFS('BSE - SENSEX Index Options'!$M:$M,'BSE - SENSEX Index Options'!$C:$C,$A193,'BSE - SENSEX Index Options'!$B:$B,F$147,'BSE - SENSEX Index Options'!$I:$I,"MDAW*")+SUMIFS('BSE - Other Index Options'!$M:$M,'BSE - Other Index Options'!$C:$C,$A193,'BSE - Other Index Options'!$B:$B,F$147,'BSE - Other Index Options'!$I:$I,"Weekly*")+SUMIFS('BSE - Other Index Options'!$M:$M,'BSE - Other Index Options'!$C:$C,$A193,'BSE - Other Index Options'!$B:$B,F$147,'BSE - Other Index Options'!$I:$I,"MDAW*")=0,"",SUMIFS('BSE - SENSEX Index Options'!$M:$M,'BSE - SENSEX Index Options'!$C:$C,$A193,'BSE - SENSEX Index Options'!$B:$B,F$147,'BSE - SENSEX Index Options'!$I:$I,"Weekly*")+SUMIFS('BSE - SENSEX Index Options'!$M:$M,'BSE - SENSEX Index Options'!$C:$C,$A193,'BSE - SENSEX Index Options'!$B:$B,F$147,'BSE - SENSEX Index Options'!$I:$I,"MDAW*")+SUMIFS('BSE - Other Index Options'!$M:$M,'BSE - Other Index Options'!$C:$C,$A193,'BSE - Other Index Options'!$B:$B,F$147,'BSE - Other Index Options'!$I:$I,"Weekly*")+SUMIFS('BSE - Other Index Options'!$M:$M,'BSE - Other Index Options'!$C:$C,$A193,'BSE - Other Index Options'!$B:$B,F$147,'BSE - Other Index Options'!$I:$I,"MDAW*"))</f>
        <v/>
      </c>
      <c r="G193" s="26">
        <f>IF(SUMIFS('BSE - SENSEX Index Options'!$M:$M,'BSE - SENSEX Index Options'!$C:$C,$A193,'BSE - SENSEX Index Options'!$B:$B,G$147,'BSE - SENSEX Index Options'!$I:$I,"Weekly*")+SUMIFS('BSE - SENSEX Index Options'!$M:$M,'BSE - SENSEX Index Options'!$C:$C,$A193,'BSE - SENSEX Index Options'!$B:$B,G$147,'BSE - SENSEX Index Options'!$I:$I,"MDAW*")+SUMIFS('BSE - Other Index Options'!$M:$M,'BSE - Other Index Options'!$C:$C,$A193,'BSE - Other Index Options'!$B:$B,G$147,'BSE - Other Index Options'!$I:$I,"Weekly*")+SUMIFS('BSE - Other Index Options'!$M:$M,'BSE - Other Index Options'!$C:$C,$A193,'BSE - Other Index Options'!$B:$B,G$147,'BSE - Other Index Options'!$I:$I,"MDAW*")=0,"",SUMIFS('BSE - SENSEX Index Options'!$M:$M,'BSE - SENSEX Index Options'!$C:$C,$A193,'BSE - SENSEX Index Options'!$B:$B,G$147,'BSE - SENSEX Index Options'!$I:$I,"Weekly*")+SUMIFS('BSE - SENSEX Index Options'!$M:$M,'BSE - SENSEX Index Options'!$C:$C,$A193,'BSE - SENSEX Index Options'!$B:$B,G$147,'BSE - SENSEX Index Options'!$I:$I,"MDAW*")+SUMIFS('BSE - Other Index Options'!$M:$M,'BSE - Other Index Options'!$C:$C,$A193,'BSE - Other Index Options'!$B:$B,G$147,'BSE - Other Index Options'!$I:$I,"Weekly*")+SUMIFS('BSE - Other Index Options'!$M:$M,'BSE - Other Index Options'!$C:$C,$A193,'BSE - Other Index Options'!$B:$B,G$147,'BSE - Other Index Options'!$I:$I,"MDAW*"))</f>
        <v/>
      </c>
      <c r="H193" s="26">
        <f>IF(SUM(B193:G193)=0,"",SUM(B193:G193))</f>
        <v/>
      </c>
    </row>
    <row r="194">
      <c r="A194" t="inlineStr">
        <is>
          <t>Week3-Jun-2026</t>
        </is>
      </c>
      <c r="B194" s="26">
        <f>IF(SUMIFS('BSE - SENSEX Index Options'!$M:$M,'BSE - SENSEX Index Options'!$C:$C,$A194,'BSE - SENSEX Index Options'!$B:$B,B$147,'BSE - SENSEX Index Options'!$I:$I,"Weekly*")+SUMIFS('BSE - SENSEX Index Options'!$M:$M,'BSE - SENSEX Index Options'!$C:$C,$A194,'BSE - SENSEX Index Options'!$B:$B,B$147,'BSE - SENSEX Index Options'!$I:$I,"MDAW*")+SUMIFS('BSE - Other Index Options'!$M:$M,'BSE - Other Index Options'!$C:$C,$A194,'BSE - Other Index Options'!$B:$B,B$147,'BSE - Other Index Options'!$I:$I,"Weekly*")+SUMIFS('BSE - Other Index Options'!$M:$M,'BSE - Other Index Options'!$C:$C,$A194,'BSE - Other Index Options'!$B:$B,B$147,'BSE - Other Index Options'!$I:$I,"MDAW*")=0,"",SUMIFS('BSE - SENSEX Index Options'!$M:$M,'BSE - SENSEX Index Options'!$C:$C,$A194,'BSE - SENSEX Index Options'!$B:$B,B$147,'BSE - SENSEX Index Options'!$I:$I,"Weekly*")+SUMIFS('BSE - SENSEX Index Options'!$M:$M,'BSE - SENSEX Index Options'!$C:$C,$A194,'BSE - SENSEX Index Options'!$B:$B,B$147,'BSE - SENSEX Index Options'!$I:$I,"MDAW*")+SUMIFS('BSE - Other Index Options'!$M:$M,'BSE - Other Index Options'!$C:$C,$A194,'BSE - Other Index Options'!$B:$B,B$147,'BSE - Other Index Options'!$I:$I,"Weekly*")+SUMIFS('BSE - Other Index Options'!$M:$M,'BSE - Other Index Options'!$C:$C,$A194,'BSE - Other Index Options'!$B:$B,B$147,'BSE - Other Index Options'!$I:$I,"MDAW*"))</f>
        <v/>
      </c>
      <c r="C194" s="26">
        <f>IF(SUMIFS('BSE - SENSEX Index Options'!$M:$M,'BSE - SENSEX Index Options'!$C:$C,$A194,'BSE - SENSEX Index Options'!$B:$B,C$147,'BSE - SENSEX Index Options'!$I:$I,"Weekly*")+SUMIFS('BSE - SENSEX Index Options'!$M:$M,'BSE - SENSEX Index Options'!$C:$C,$A194,'BSE - SENSEX Index Options'!$B:$B,C$147,'BSE - SENSEX Index Options'!$I:$I,"MDAW*")+SUMIFS('BSE - Other Index Options'!$M:$M,'BSE - Other Index Options'!$C:$C,$A194,'BSE - Other Index Options'!$B:$B,C$147,'BSE - Other Index Options'!$I:$I,"Weekly*")+SUMIFS('BSE - Other Index Options'!$M:$M,'BSE - Other Index Options'!$C:$C,$A194,'BSE - Other Index Options'!$B:$B,C$147,'BSE - Other Index Options'!$I:$I,"MDAW*")=0,"",SUMIFS('BSE - SENSEX Index Options'!$M:$M,'BSE - SENSEX Index Options'!$C:$C,$A194,'BSE - SENSEX Index Options'!$B:$B,C$147,'BSE - SENSEX Index Options'!$I:$I,"Weekly*")+SUMIFS('BSE - SENSEX Index Options'!$M:$M,'BSE - SENSEX Index Options'!$C:$C,$A194,'BSE - SENSEX Index Options'!$B:$B,C$147,'BSE - SENSEX Index Options'!$I:$I,"MDAW*")+SUMIFS('BSE - Other Index Options'!$M:$M,'BSE - Other Index Options'!$C:$C,$A194,'BSE - Other Index Options'!$B:$B,C$147,'BSE - Other Index Options'!$I:$I,"Weekly*")+SUMIFS('BSE - Other Index Options'!$M:$M,'BSE - Other Index Options'!$C:$C,$A194,'BSE - Other Index Options'!$B:$B,C$147,'BSE - Other Index Options'!$I:$I,"MDAW*"))</f>
        <v/>
      </c>
      <c r="D194" s="26">
        <f>IF(SUMIFS('BSE - SENSEX Index Options'!$M:$M,'BSE - SENSEX Index Options'!$C:$C,$A194,'BSE - SENSEX Index Options'!$B:$B,D$147,'BSE - SENSEX Index Options'!$I:$I,"Weekly*")+SUMIFS('BSE - SENSEX Index Options'!$M:$M,'BSE - SENSEX Index Options'!$C:$C,$A194,'BSE - SENSEX Index Options'!$B:$B,D$147,'BSE - SENSEX Index Options'!$I:$I,"MDAW*")+SUMIFS('BSE - Other Index Options'!$M:$M,'BSE - Other Index Options'!$C:$C,$A194,'BSE - Other Index Options'!$B:$B,D$147,'BSE - Other Index Options'!$I:$I,"Weekly*")+SUMIFS('BSE - Other Index Options'!$M:$M,'BSE - Other Index Options'!$C:$C,$A194,'BSE - Other Index Options'!$B:$B,D$147,'BSE - Other Index Options'!$I:$I,"MDAW*")=0,"",SUMIFS('BSE - SENSEX Index Options'!$M:$M,'BSE - SENSEX Index Options'!$C:$C,$A194,'BSE - SENSEX Index Options'!$B:$B,D$147,'BSE - SENSEX Index Options'!$I:$I,"Weekly*")+SUMIFS('BSE - SENSEX Index Options'!$M:$M,'BSE - SENSEX Index Options'!$C:$C,$A194,'BSE - SENSEX Index Options'!$B:$B,D$147,'BSE - SENSEX Index Options'!$I:$I,"MDAW*")+SUMIFS('BSE - Other Index Options'!$M:$M,'BSE - Other Index Options'!$C:$C,$A194,'BSE - Other Index Options'!$B:$B,D$147,'BSE - Other Index Options'!$I:$I,"Weekly*")+SUMIFS('BSE - Other Index Options'!$M:$M,'BSE - Other Index Options'!$C:$C,$A194,'BSE - Other Index Options'!$B:$B,D$147,'BSE - Other Index Options'!$I:$I,"MDAW*"))</f>
        <v/>
      </c>
      <c r="E194" s="26">
        <f>IF(SUMIFS('BSE - SENSEX Index Options'!$M:$M,'BSE - SENSEX Index Options'!$C:$C,$A194,'BSE - SENSEX Index Options'!$B:$B,E$147,'BSE - SENSEX Index Options'!$I:$I,"Weekly*")+SUMIFS('BSE - SENSEX Index Options'!$M:$M,'BSE - SENSEX Index Options'!$C:$C,$A194,'BSE - SENSEX Index Options'!$B:$B,E$147,'BSE - SENSEX Index Options'!$I:$I,"MDAW*")+SUMIFS('BSE - Other Index Options'!$M:$M,'BSE - Other Index Options'!$C:$C,$A194,'BSE - Other Index Options'!$B:$B,E$147,'BSE - Other Index Options'!$I:$I,"Weekly*")+SUMIFS('BSE - Other Index Options'!$M:$M,'BSE - Other Index Options'!$C:$C,$A194,'BSE - Other Index Options'!$B:$B,E$147,'BSE - Other Index Options'!$I:$I,"MDAW*")=0,"",SUMIFS('BSE - SENSEX Index Options'!$M:$M,'BSE - SENSEX Index Options'!$C:$C,$A194,'BSE - SENSEX Index Options'!$B:$B,E$147,'BSE - SENSEX Index Options'!$I:$I,"Weekly*")+SUMIFS('BSE - SENSEX Index Options'!$M:$M,'BSE - SENSEX Index Options'!$C:$C,$A194,'BSE - SENSEX Index Options'!$B:$B,E$147,'BSE - SENSEX Index Options'!$I:$I,"MDAW*")+SUMIFS('BSE - Other Index Options'!$M:$M,'BSE - Other Index Options'!$C:$C,$A194,'BSE - Other Index Options'!$B:$B,E$147,'BSE - Other Index Options'!$I:$I,"Weekly*")+SUMIFS('BSE - Other Index Options'!$M:$M,'BSE - Other Index Options'!$C:$C,$A194,'BSE - Other Index Options'!$B:$B,E$147,'BSE - Other Index Options'!$I:$I,"MDAW*"))</f>
        <v/>
      </c>
      <c r="F194" s="26">
        <f>IF(SUMIFS('BSE - SENSEX Index Options'!$M:$M,'BSE - SENSEX Index Options'!$C:$C,$A194,'BSE - SENSEX Index Options'!$B:$B,F$147,'BSE - SENSEX Index Options'!$I:$I,"Weekly*")+SUMIFS('BSE - SENSEX Index Options'!$M:$M,'BSE - SENSEX Index Options'!$C:$C,$A194,'BSE - SENSEX Index Options'!$B:$B,F$147,'BSE - SENSEX Index Options'!$I:$I,"MDAW*")+SUMIFS('BSE - Other Index Options'!$M:$M,'BSE - Other Index Options'!$C:$C,$A194,'BSE - Other Index Options'!$B:$B,F$147,'BSE - Other Index Options'!$I:$I,"Weekly*")+SUMIFS('BSE - Other Index Options'!$M:$M,'BSE - Other Index Options'!$C:$C,$A194,'BSE - Other Index Options'!$B:$B,F$147,'BSE - Other Index Options'!$I:$I,"MDAW*")=0,"",SUMIFS('BSE - SENSEX Index Options'!$M:$M,'BSE - SENSEX Index Options'!$C:$C,$A194,'BSE - SENSEX Index Options'!$B:$B,F$147,'BSE - SENSEX Index Options'!$I:$I,"Weekly*")+SUMIFS('BSE - SENSEX Index Options'!$M:$M,'BSE - SENSEX Index Options'!$C:$C,$A194,'BSE - SENSEX Index Options'!$B:$B,F$147,'BSE - SENSEX Index Options'!$I:$I,"MDAW*")+SUMIFS('BSE - Other Index Options'!$M:$M,'BSE - Other Index Options'!$C:$C,$A194,'BSE - Other Index Options'!$B:$B,F$147,'BSE - Other Index Options'!$I:$I,"Weekly*")+SUMIFS('BSE - Other Index Options'!$M:$M,'BSE - Other Index Options'!$C:$C,$A194,'BSE - Other Index Options'!$B:$B,F$147,'BSE - Other Index Options'!$I:$I,"MDAW*"))</f>
        <v/>
      </c>
      <c r="G194" s="26">
        <f>IF(SUMIFS('BSE - SENSEX Index Options'!$M:$M,'BSE - SENSEX Index Options'!$C:$C,$A194,'BSE - SENSEX Index Options'!$B:$B,G$147,'BSE - SENSEX Index Options'!$I:$I,"Weekly*")+SUMIFS('BSE - SENSEX Index Options'!$M:$M,'BSE - SENSEX Index Options'!$C:$C,$A194,'BSE - SENSEX Index Options'!$B:$B,G$147,'BSE - SENSEX Index Options'!$I:$I,"MDAW*")+SUMIFS('BSE - Other Index Options'!$M:$M,'BSE - Other Index Options'!$C:$C,$A194,'BSE - Other Index Options'!$B:$B,G$147,'BSE - Other Index Options'!$I:$I,"Weekly*")+SUMIFS('BSE - Other Index Options'!$M:$M,'BSE - Other Index Options'!$C:$C,$A194,'BSE - Other Index Options'!$B:$B,G$147,'BSE - Other Index Options'!$I:$I,"MDAW*")=0,"",SUMIFS('BSE - SENSEX Index Options'!$M:$M,'BSE - SENSEX Index Options'!$C:$C,$A194,'BSE - SENSEX Index Options'!$B:$B,G$147,'BSE - SENSEX Index Options'!$I:$I,"Weekly*")+SUMIFS('BSE - SENSEX Index Options'!$M:$M,'BSE - SENSEX Index Options'!$C:$C,$A194,'BSE - SENSEX Index Options'!$B:$B,G$147,'BSE - SENSEX Index Options'!$I:$I,"MDAW*")+SUMIFS('BSE - Other Index Options'!$M:$M,'BSE - Other Index Options'!$C:$C,$A194,'BSE - Other Index Options'!$B:$B,G$147,'BSE - Other Index Options'!$I:$I,"Weekly*")+SUMIFS('BSE - Other Index Options'!$M:$M,'BSE - Other Index Options'!$C:$C,$A194,'BSE - Other Index Options'!$B:$B,G$147,'BSE - Other Index Options'!$I:$I,"MDAW*"))</f>
        <v/>
      </c>
      <c r="H194" s="26">
        <f>IF(SUM(B194:G194)=0,"",SUM(B194:G194))</f>
        <v/>
      </c>
    </row>
    <row r="195">
      <c r="A195" t="inlineStr">
        <is>
          <t>Week4-Jun-2026</t>
        </is>
      </c>
      <c r="B195" s="26">
        <f>IF(SUMIFS('BSE - SENSEX Index Options'!$M:$M,'BSE - SENSEX Index Options'!$C:$C,$A195,'BSE - SENSEX Index Options'!$B:$B,B$147,'BSE - SENSEX Index Options'!$I:$I,"Weekly*")+SUMIFS('BSE - SENSEX Index Options'!$M:$M,'BSE - SENSEX Index Options'!$C:$C,$A195,'BSE - SENSEX Index Options'!$B:$B,B$147,'BSE - SENSEX Index Options'!$I:$I,"MDAW*")+SUMIFS('BSE - Other Index Options'!$M:$M,'BSE - Other Index Options'!$C:$C,$A195,'BSE - Other Index Options'!$B:$B,B$147,'BSE - Other Index Options'!$I:$I,"Weekly*")+SUMIFS('BSE - Other Index Options'!$M:$M,'BSE - Other Index Options'!$C:$C,$A195,'BSE - Other Index Options'!$B:$B,B$147,'BSE - Other Index Options'!$I:$I,"MDAW*")=0,"",SUMIFS('BSE - SENSEX Index Options'!$M:$M,'BSE - SENSEX Index Options'!$C:$C,$A195,'BSE - SENSEX Index Options'!$B:$B,B$147,'BSE - SENSEX Index Options'!$I:$I,"Weekly*")+SUMIFS('BSE - SENSEX Index Options'!$M:$M,'BSE - SENSEX Index Options'!$C:$C,$A195,'BSE - SENSEX Index Options'!$B:$B,B$147,'BSE - SENSEX Index Options'!$I:$I,"MDAW*")+SUMIFS('BSE - Other Index Options'!$M:$M,'BSE - Other Index Options'!$C:$C,$A195,'BSE - Other Index Options'!$B:$B,B$147,'BSE - Other Index Options'!$I:$I,"Weekly*")+SUMIFS('BSE - Other Index Options'!$M:$M,'BSE - Other Index Options'!$C:$C,$A195,'BSE - Other Index Options'!$B:$B,B$147,'BSE - Other Index Options'!$I:$I,"MDAW*"))</f>
        <v/>
      </c>
      <c r="C195" s="26">
        <f>IF(SUMIFS('BSE - SENSEX Index Options'!$M:$M,'BSE - SENSEX Index Options'!$C:$C,$A195,'BSE - SENSEX Index Options'!$B:$B,C$147,'BSE - SENSEX Index Options'!$I:$I,"Weekly*")+SUMIFS('BSE - SENSEX Index Options'!$M:$M,'BSE - SENSEX Index Options'!$C:$C,$A195,'BSE - SENSEX Index Options'!$B:$B,C$147,'BSE - SENSEX Index Options'!$I:$I,"MDAW*")+SUMIFS('BSE - Other Index Options'!$M:$M,'BSE - Other Index Options'!$C:$C,$A195,'BSE - Other Index Options'!$B:$B,C$147,'BSE - Other Index Options'!$I:$I,"Weekly*")+SUMIFS('BSE - Other Index Options'!$M:$M,'BSE - Other Index Options'!$C:$C,$A195,'BSE - Other Index Options'!$B:$B,C$147,'BSE - Other Index Options'!$I:$I,"MDAW*")=0,"",SUMIFS('BSE - SENSEX Index Options'!$M:$M,'BSE - SENSEX Index Options'!$C:$C,$A195,'BSE - SENSEX Index Options'!$B:$B,C$147,'BSE - SENSEX Index Options'!$I:$I,"Weekly*")+SUMIFS('BSE - SENSEX Index Options'!$M:$M,'BSE - SENSEX Index Options'!$C:$C,$A195,'BSE - SENSEX Index Options'!$B:$B,C$147,'BSE - SENSEX Index Options'!$I:$I,"MDAW*")+SUMIFS('BSE - Other Index Options'!$M:$M,'BSE - Other Index Options'!$C:$C,$A195,'BSE - Other Index Options'!$B:$B,C$147,'BSE - Other Index Options'!$I:$I,"Weekly*")+SUMIFS('BSE - Other Index Options'!$M:$M,'BSE - Other Index Options'!$C:$C,$A195,'BSE - Other Index Options'!$B:$B,C$147,'BSE - Other Index Options'!$I:$I,"MDAW*"))</f>
        <v/>
      </c>
      <c r="D195" s="26">
        <f>IF(SUMIFS('BSE - SENSEX Index Options'!$M:$M,'BSE - SENSEX Index Options'!$C:$C,$A195,'BSE - SENSEX Index Options'!$B:$B,D$147,'BSE - SENSEX Index Options'!$I:$I,"Weekly*")+SUMIFS('BSE - SENSEX Index Options'!$M:$M,'BSE - SENSEX Index Options'!$C:$C,$A195,'BSE - SENSEX Index Options'!$B:$B,D$147,'BSE - SENSEX Index Options'!$I:$I,"MDAW*")+SUMIFS('BSE - Other Index Options'!$M:$M,'BSE - Other Index Options'!$C:$C,$A195,'BSE - Other Index Options'!$B:$B,D$147,'BSE - Other Index Options'!$I:$I,"Weekly*")+SUMIFS('BSE - Other Index Options'!$M:$M,'BSE - Other Index Options'!$C:$C,$A195,'BSE - Other Index Options'!$B:$B,D$147,'BSE - Other Index Options'!$I:$I,"MDAW*")=0,"",SUMIFS('BSE - SENSEX Index Options'!$M:$M,'BSE - SENSEX Index Options'!$C:$C,$A195,'BSE - SENSEX Index Options'!$B:$B,D$147,'BSE - SENSEX Index Options'!$I:$I,"Weekly*")+SUMIFS('BSE - SENSEX Index Options'!$M:$M,'BSE - SENSEX Index Options'!$C:$C,$A195,'BSE - SENSEX Index Options'!$B:$B,D$147,'BSE - SENSEX Index Options'!$I:$I,"MDAW*")+SUMIFS('BSE - Other Index Options'!$M:$M,'BSE - Other Index Options'!$C:$C,$A195,'BSE - Other Index Options'!$B:$B,D$147,'BSE - Other Index Options'!$I:$I,"Weekly*")+SUMIFS('BSE - Other Index Options'!$M:$M,'BSE - Other Index Options'!$C:$C,$A195,'BSE - Other Index Options'!$B:$B,D$147,'BSE - Other Index Options'!$I:$I,"MDAW*"))</f>
        <v/>
      </c>
      <c r="E195" s="26">
        <f>IF(SUMIFS('BSE - SENSEX Index Options'!$M:$M,'BSE - SENSEX Index Options'!$C:$C,$A195,'BSE - SENSEX Index Options'!$B:$B,E$147,'BSE - SENSEX Index Options'!$I:$I,"Weekly*")+SUMIFS('BSE - SENSEX Index Options'!$M:$M,'BSE - SENSEX Index Options'!$C:$C,$A195,'BSE - SENSEX Index Options'!$B:$B,E$147,'BSE - SENSEX Index Options'!$I:$I,"MDAW*")+SUMIFS('BSE - Other Index Options'!$M:$M,'BSE - Other Index Options'!$C:$C,$A195,'BSE - Other Index Options'!$B:$B,E$147,'BSE - Other Index Options'!$I:$I,"Weekly*")+SUMIFS('BSE - Other Index Options'!$M:$M,'BSE - Other Index Options'!$C:$C,$A195,'BSE - Other Index Options'!$B:$B,E$147,'BSE - Other Index Options'!$I:$I,"MDAW*")=0,"",SUMIFS('BSE - SENSEX Index Options'!$M:$M,'BSE - SENSEX Index Options'!$C:$C,$A195,'BSE - SENSEX Index Options'!$B:$B,E$147,'BSE - SENSEX Index Options'!$I:$I,"Weekly*")+SUMIFS('BSE - SENSEX Index Options'!$M:$M,'BSE - SENSEX Index Options'!$C:$C,$A195,'BSE - SENSEX Index Options'!$B:$B,E$147,'BSE - SENSEX Index Options'!$I:$I,"MDAW*")+SUMIFS('BSE - Other Index Options'!$M:$M,'BSE - Other Index Options'!$C:$C,$A195,'BSE - Other Index Options'!$B:$B,E$147,'BSE - Other Index Options'!$I:$I,"Weekly*")+SUMIFS('BSE - Other Index Options'!$M:$M,'BSE - Other Index Options'!$C:$C,$A195,'BSE - Other Index Options'!$B:$B,E$147,'BSE - Other Index Options'!$I:$I,"MDAW*"))</f>
        <v/>
      </c>
      <c r="F195" s="26">
        <f>IF(SUMIFS('BSE - SENSEX Index Options'!$M:$M,'BSE - SENSEX Index Options'!$C:$C,$A195,'BSE - SENSEX Index Options'!$B:$B,F$147,'BSE - SENSEX Index Options'!$I:$I,"Weekly*")+SUMIFS('BSE - SENSEX Index Options'!$M:$M,'BSE - SENSEX Index Options'!$C:$C,$A195,'BSE - SENSEX Index Options'!$B:$B,F$147,'BSE - SENSEX Index Options'!$I:$I,"MDAW*")+SUMIFS('BSE - Other Index Options'!$M:$M,'BSE - Other Index Options'!$C:$C,$A195,'BSE - Other Index Options'!$B:$B,F$147,'BSE - Other Index Options'!$I:$I,"Weekly*")+SUMIFS('BSE - Other Index Options'!$M:$M,'BSE - Other Index Options'!$C:$C,$A195,'BSE - Other Index Options'!$B:$B,F$147,'BSE - Other Index Options'!$I:$I,"MDAW*")=0,"",SUMIFS('BSE - SENSEX Index Options'!$M:$M,'BSE - SENSEX Index Options'!$C:$C,$A195,'BSE - SENSEX Index Options'!$B:$B,F$147,'BSE - SENSEX Index Options'!$I:$I,"Weekly*")+SUMIFS('BSE - SENSEX Index Options'!$M:$M,'BSE - SENSEX Index Options'!$C:$C,$A195,'BSE - SENSEX Index Options'!$B:$B,F$147,'BSE - SENSEX Index Options'!$I:$I,"MDAW*")+SUMIFS('BSE - Other Index Options'!$M:$M,'BSE - Other Index Options'!$C:$C,$A195,'BSE - Other Index Options'!$B:$B,F$147,'BSE - Other Index Options'!$I:$I,"Weekly*")+SUMIFS('BSE - Other Index Options'!$M:$M,'BSE - Other Index Options'!$C:$C,$A195,'BSE - Other Index Options'!$B:$B,F$147,'BSE - Other Index Options'!$I:$I,"MDAW*"))</f>
        <v/>
      </c>
      <c r="G195" s="26">
        <f>IF(SUMIFS('BSE - SENSEX Index Options'!$M:$M,'BSE - SENSEX Index Options'!$C:$C,$A195,'BSE - SENSEX Index Options'!$B:$B,G$147,'BSE - SENSEX Index Options'!$I:$I,"Weekly*")+SUMIFS('BSE - SENSEX Index Options'!$M:$M,'BSE - SENSEX Index Options'!$C:$C,$A195,'BSE - SENSEX Index Options'!$B:$B,G$147,'BSE - SENSEX Index Options'!$I:$I,"MDAW*")+SUMIFS('BSE - Other Index Options'!$M:$M,'BSE - Other Index Options'!$C:$C,$A195,'BSE - Other Index Options'!$B:$B,G$147,'BSE - Other Index Options'!$I:$I,"Weekly*")+SUMIFS('BSE - Other Index Options'!$M:$M,'BSE - Other Index Options'!$C:$C,$A195,'BSE - Other Index Options'!$B:$B,G$147,'BSE - Other Index Options'!$I:$I,"MDAW*")=0,"",SUMIFS('BSE - SENSEX Index Options'!$M:$M,'BSE - SENSEX Index Options'!$C:$C,$A195,'BSE - SENSEX Index Options'!$B:$B,G$147,'BSE - SENSEX Index Options'!$I:$I,"Weekly*")+SUMIFS('BSE - SENSEX Index Options'!$M:$M,'BSE - SENSEX Index Options'!$C:$C,$A195,'BSE - SENSEX Index Options'!$B:$B,G$147,'BSE - SENSEX Index Options'!$I:$I,"MDAW*")+SUMIFS('BSE - Other Index Options'!$M:$M,'BSE - Other Index Options'!$C:$C,$A195,'BSE - Other Index Options'!$B:$B,G$147,'BSE - Other Index Options'!$I:$I,"Weekly*")+SUMIFS('BSE - Other Index Options'!$M:$M,'BSE - Other Index Options'!$C:$C,$A195,'BSE - Other Index Options'!$B:$B,G$147,'BSE - Other Index Options'!$I:$I,"MDAW*"))</f>
        <v/>
      </c>
      <c r="H195" s="26">
        <f>IF(SUM(B195:G195)=0,"",SUM(B195:G195))</f>
        <v/>
      </c>
    </row>
    <row r="196">
      <c r="A196" t="inlineStr">
        <is>
          <t>Week5-Jun-2026</t>
        </is>
      </c>
      <c r="B196" s="26">
        <f>IF(SUMIFS('BSE - SENSEX Index Options'!$M:$M,'BSE - SENSEX Index Options'!$C:$C,$A196,'BSE - SENSEX Index Options'!$B:$B,B$147,'BSE - SENSEX Index Options'!$I:$I,"Weekly*")+SUMIFS('BSE - SENSEX Index Options'!$M:$M,'BSE - SENSEX Index Options'!$C:$C,$A196,'BSE - SENSEX Index Options'!$B:$B,B$147,'BSE - SENSEX Index Options'!$I:$I,"MDAW*")+SUMIFS('BSE - Other Index Options'!$M:$M,'BSE - Other Index Options'!$C:$C,$A196,'BSE - Other Index Options'!$B:$B,B$147,'BSE - Other Index Options'!$I:$I,"Weekly*")+SUMIFS('BSE - Other Index Options'!$M:$M,'BSE - Other Index Options'!$C:$C,$A196,'BSE - Other Index Options'!$B:$B,B$147,'BSE - Other Index Options'!$I:$I,"MDAW*")=0,"",SUMIFS('BSE - SENSEX Index Options'!$M:$M,'BSE - SENSEX Index Options'!$C:$C,$A196,'BSE - SENSEX Index Options'!$B:$B,B$147,'BSE - SENSEX Index Options'!$I:$I,"Weekly*")+SUMIFS('BSE - SENSEX Index Options'!$M:$M,'BSE - SENSEX Index Options'!$C:$C,$A196,'BSE - SENSEX Index Options'!$B:$B,B$147,'BSE - SENSEX Index Options'!$I:$I,"MDAW*")+SUMIFS('BSE - Other Index Options'!$M:$M,'BSE - Other Index Options'!$C:$C,$A196,'BSE - Other Index Options'!$B:$B,B$147,'BSE - Other Index Options'!$I:$I,"Weekly*")+SUMIFS('BSE - Other Index Options'!$M:$M,'BSE - Other Index Options'!$C:$C,$A196,'BSE - Other Index Options'!$B:$B,B$147,'BSE - Other Index Options'!$I:$I,"MDAW*"))</f>
        <v/>
      </c>
      <c r="C196" s="26">
        <f>IF(SUMIFS('BSE - SENSEX Index Options'!$M:$M,'BSE - SENSEX Index Options'!$C:$C,$A196,'BSE - SENSEX Index Options'!$B:$B,C$147,'BSE - SENSEX Index Options'!$I:$I,"Weekly*")+SUMIFS('BSE - SENSEX Index Options'!$M:$M,'BSE - SENSEX Index Options'!$C:$C,$A196,'BSE - SENSEX Index Options'!$B:$B,C$147,'BSE - SENSEX Index Options'!$I:$I,"MDAW*")+SUMIFS('BSE - Other Index Options'!$M:$M,'BSE - Other Index Options'!$C:$C,$A196,'BSE - Other Index Options'!$B:$B,C$147,'BSE - Other Index Options'!$I:$I,"Weekly*")+SUMIFS('BSE - Other Index Options'!$M:$M,'BSE - Other Index Options'!$C:$C,$A196,'BSE - Other Index Options'!$B:$B,C$147,'BSE - Other Index Options'!$I:$I,"MDAW*")=0,"",SUMIFS('BSE - SENSEX Index Options'!$M:$M,'BSE - SENSEX Index Options'!$C:$C,$A196,'BSE - SENSEX Index Options'!$B:$B,C$147,'BSE - SENSEX Index Options'!$I:$I,"Weekly*")+SUMIFS('BSE - SENSEX Index Options'!$M:$M,'BSE - SENSEX Index Options'!$C:$C,$A196,'BSE - SENSEX Index Options'!$B:$B,C$147,'BSE - SENSEX Index Options'!$I:$I,"MDAW*")+SUMIFS('BSE - Other Index Options'!$M:$M,'BSE - Other Index Options'!$C:$C,$A196,'BSE - Other Index Options'!$B:$B,C$147,'BSE - Other Index Options'!$I:$I,"Weekly*")+SUMIFS('BSE - Other Index Options'!$M:$M,'BSE - Other Index Options'!$C:$C,$A196,'BSE - Other Index Options'!$B:$B,C$147,'BSE - Other Index Options'!$I:$I,"MDAW*"))</f>
        <v/>
      </c>
      <c r="D196" s="26">
        <f>IF(SUMIFS('BSE - SENSEX Index Options'!$M:$M,'BSE - SENSEX Index Options'!$C:$C,$A196,'BSE - SENSEX Index Options'!$B:$B,D$147,'BSE - SENSEX Index Options'!$I:$I,"Weekly*")+SUMIFS('BSE - SENSEX Index Options'!$M:$M,'BSE - SENSEX Index Options'!$C:$C,$A196,'BSE - SENSEX Index Options'!$B:$B,D$147,'BSE - SENSEX Index Options'!$I:$I,"MDAW*")+SUMIFS('BSE - Other Index Options'!$M:$M,'BSE - Other Index Options'!$C:$C,$A196,'BSE - Other Index Options'!$B:$B,D$147,'BSE - Other Index Options'!$I:$I,"Weekly*")+SUMIFS('BSE - Other Index Options'!$M:$M,'BSE - Other Index Options'!$C:$C,$A196,'BSE - Other Index Options'!$B:$B,D$147,'BSE - Other Index Options'!$I:$I,"MDAW*")=0,"",SUMIFS('BSE - SENSEX Index Options'!$M:$M,'BSE - SENSEX Index Options'!$C:$C,$A196,'BSE - SENSEX Index Options'!$B:$B,D$147,'BSE - SENSEX Index Options'!$I:$I,"Weekly*")+SUMIFS('BSE - SENSEX Index Options'!$M:$M,'BSE - SENSEX Index Options'!$C:$C,$A196,'BSE - SENSEX Index Options'!$B:$B,D$147,'BSE - SENSEX Index Options'!$I:$I,"MDAW*")+SUMIFS('BSE - Other Index Options'!$M:$M,'BSE - Other Index Options'!$C:$C,$A196,'BSE - Other Index Options'!$B:$B,D$147,'BSE - Other Index Options'!$I:$I,"Weekly*")+SUMIFS('BSE - Other Index Options'!$M:$M,'BSE - Other Index Options'!$C:$C,$A196,'BSE - Other Index Options'!$B:$B,D$147,'BSE - Other Index Options'!$I:$I,"MDAW*"))</f>
        <v/>
      </c>
      <c r="E196" s="26">
        <f>IF(SUMIFS('BSE - SENSEX Index Options'!$M:$M,'BSE - SENSEX Index Options'!$C:$C,$A196,'BSE - SENSEX Index Options'!$B:$B,E$147,'BSE - SENSEX Index Options'!$I:$I,"Weekly*")+SUMIFS('BSE - SENSEX Index Options'!$M:$M,'BSE - SENSEX Index Options'!$C:$C,$A196,'BSE - SENSEX Index Options'!$B:$B,E$147,'BSE - SENSEX Index Options'!$I:$I,"MDAW*")+SUMIFS('BSE - Other Index Options'!$M:$M,'BSE - Other Index Options'!$C:$C,$A196,'BSE - Other Index Options'!$B:$B,E$147,'BSE - Other Index Options'!$I:$I,"Weekly*")+SUMIFS('BSE - Other Index Options'!$M:$M,'BSE - Other Index Options'!$C:$C,$A196,'BSE - Other Index Options'!$B:$B,E$147,'BSE - Other Index Options'!$I:$I,"MDAW*")=0,"",SUMIFS('BSE - SENSEX Index Options'!$M:$M,'BSE - SENSEX Index Options'!$C:$C,$A196,'BSE - SENSEX Index Options'!$B:$B,E$147,'BSE - SENSEX Index Options'!$I:$I,"Weekly*")+SUMIFS('BSE - SENSEX Index Options'!$M:$M,'BSE - SENSEX Index Options'!$C:$C,$A196,'BSE - SENSEX Index Options'!$B:$B,E$147,'BSE - SENSEX Index Options'!$I:$I,"MDAW*")+SUMIFS('BSE - Other Index Options'!$M:$M,'BSE - Other Index Options'!$C:$C,$A196,'BSE - Other Index Options'!$B:$B,E$147,'BSE - Other Index Options'!$I:$I,"Weekly*")+SUMIFS('BSE - Other Index Options'!$M:$M,'BSE - Other Index Options'!$C:$C,$A196,'BSE - Other Index Options'!$B:$B,E$147,'BSE - Other Index Options'!$I:$I,"MDAW*"))</f>
        <v/>
      </c>
      <c r="F196" s="26">
        <f>IF(SUMIFS('BSE - SENSEX Index Options'!$M:$M,'BSE - SENSEX Index Options'!$C:$C,$A196,'BSE - SENSEX Index Options'!$B:$B,F$147,'BSE - SENSEX Index Options'!$I:$I,"Weekly*")+SUMIFS('BSE - SENSEX Index Options'!$M:$M,'BSE - SENSEX Index Options'!$C:$C,$A196,'BSE - SENSEX Index Options'!$B:$B,F$147,'BSE - SENSEX Index Options'!$I:$I,"MDAW*")+SUMIFS('BSE - Other Index Options'!$M:$M,'BSE - Other Index Options'!$C:$C,$A196,'BSE - Other Index Options'!$B:$B,F$147,'BSE - Other Index Options'!$I:$I,"Weekly*")+SUMIFS('BSE - Other Index Options'!$M:$M,'BSE - Other Index Options'!$C:$C,$A196,'BSE - Other Index Options'!$B:$B,F$147,'BSE - Other Index Options'!$I:$I,"MDAW*")=0,"",SUMIFS('BSE - SENSEX Index Options'!$M:$M,'BSE - SENSEX Index Options'!$C:$C,$A196,'BSE - SENSEX Index Options'!$B:$B,F$147,'BSE - SENSEX Index Options'!$I:$I,"Weekly*")+SUMIFS('BSE - SENSEX Index Options'!$M:$M,'BSE - SENSEX Index Options'!$C:$C,$A196,'BSE - SENSEX Index Options'!$B:$B,F$147,'BSE - SENSEX Index Options'!$I:$I,"MDAW*")+SUMIFS('BSE - Other Index Options'!$M:$M,'BSE - Other Index Options'!$C:$C,$A196,'BSE - Other Index Options'!$B:$B,F$147,'BSE - Other Index Options'!$I:$I,"Weekly*")+SUMIFS('BSE - Other Index Options'!$M:$M,'BSE - Other Index Options'!$C:$C,$A196,'BSE - Other Index Options'!$B:$B,F$147,'BSE - Other Index Options'!$I:$I,"MDAW*"))</f>
        <v/>
      </c>
      <c r="G196" s="26">
        <f>IF(SUMIFS('BSE - SENSEX Index Options'!$M:$M,'BSE - SENSEX Index Options'!$C:$C,$A196,'BSE - SENSEX Index Options'!$B:$B,G$147,'BSE - SENSEX Index Options'!$I:$I,"Weekly*")+SUMIFS('BSE - SENSEX Index Options'!$M:$M,'BSE - SENSEX Index Options'!$C:$C,$A196,'BSE - SENSEX Index Options'!$B:$B,G$147,'BSE - SENSEX Index Options'!$I:$I,"MDAW*")+SUMIFS('BSE - Other Index Options'!$M:$M,'BSE - Other Index Options'!$C:$C,$A196,'BSE - Other Index Options'!$B:$B,G$147,'BSE - Other Index Options'!$I:$I,"Weekly*")+SUMIFS('BSE - Other Index Options'!$M:$M,'BSE - Other Index Options'!$C:$C,$A196,'BSE - Other Index Options'!$B:$B,G$147,'BSE - Other Index Options'!$I:$I,"MDAW*")=0,"",SUMIFS('BSE - SENSEX Index Options'!$M:$M,'BSE - SENSEX Index Options'!$C:$C,$A196,'BSE - SENSEX Index Options'!$B:$B,G$147,'BSE - SENSEX Index Options'!$I:$I,"Weekly*")+SUMIFS('BSE - SENSEX Index Options'!$M:$M,'BSE - SENSEX Index Options'!$C:$C,$A196,'BSE - SENSEX Index Options'!$B:$B,G$147,'BSE - SENSEX Index Options'!$I:$I,"MDAW*")+SUMIFS('BSE - Other Index Options'!$M:$M,'BSE - Other Index Options'!$C:$C,$A196,'BSE - Other Index Options'!$B:$B,G$147,'BSE - Other Index Options'!$I:$I,"Weekly*")+SUMIFS('BSE - Other Index Options'!$M:$M,'BSE - Other Index Options'!$C:$C,$A196,'BSE - Other Index Options'!$B:$B,G$147,'BSE - Other Index Options'!$I:$I,"MDAW*"))</f>
        <v/>
      </c>
      <c r="H196" s="26">
        <f>IF(SUM(B196:G196)=0,"",SUM(B196:G196))</f>
        <v/>
      </c>
    </row>
    <row r="197">
      <c r="A197" t="inlineStr">
        <is>
          <t>Week1-Jul-2026</t>
        </is>
      </c>
      <c r="B197" s="26">
        <f>IF(SUMIFS('BSE - SENSEX Index Options'!$M:$M,'BSE - SENSEX Index Options'!$C:$C,$A197,'BSE - SENSEX Index Options'!$B:$B,B$147,'BSE - SENSEX Index Options'!$I:$I,"Weekly*")+SUMIFS('BSE - SENSEX Index Options'!$M:$M,'BSE - SENSEX Index Options'!$C:$C,$A197,'BSE - SENSEX Index Options'!$B:$B,B$147,'BSE - SENSEX Index Options'!$I:$I,"MDAW*")+SUMIFS('BSE - Other Index Options'!$M:$M,'BSE - Other Index Options'!$C:$C,$A197,'BSE - Other Index Options'!$B:$B,B$147,'BSE - Other Index Options'!$I:$I,"Weekly*")+SUMIFS('BSE - Other Index Options'!$M:$M,'BSE - Other Index Options'!$C:$C,$A197,'BSE - Other Index Options'!$B:$B,B$147,'BSE - Other Index Options'!$I:$I,"MDAW*")=0,"",SUMIFS('BSE - SENSEX Index Options'!$M:$M,'BSE - SENSEX Index Options'!$C:$C,$A197,'BSE - SENSEX Index Options'!$B:$B,B$147,'BSE - SENSEX Index Options'!$I:$I,"Weekly*")+SUMIFS('BSE - SENSEX Index Options'!$M:$M,'BSE - SENSEX Index Options'!$C:$C,$A197,'BSE - SENSEX Index Options'!$B:$B,B$147,'BSE - SENSEX Index Options'!$I:$I,"MDAW*")+SUMIFS('BSE - Other Index Options'!$M:$M,'BSE - Other Index Options'!$C:$C,$A197,'BSE - Other Index Options'!$B:$B,B$147,'BSE - Other Index Options'!$I:$I,"Weekly*")+SUMIFS('BSE - Other Index Options'!$M:$M,'BSE - Other Index Options'!$C:$C,$A197,'BSE - Other Index Options'!$B:$B,B$147,'BSE - Other Index Options'!$I:$I,"MDAW*"))</f>
        <v/>
      </c>
      <c r="C197" s="26">
        <f>IF(SUMIFS('BSE - SENSEX Index Options'!$M:$M,'BSE - SENSEX Index Options'!$C:$C,$A197,'BSE - SENSEX Index Options'!$B:$B,C$147,'BSE - SENSEX Index Options'!$I:$I,"Weekly*")+SUMIFS('BSE - SENSEX Index Options'!$M:$M,'BSE - SENSEX Index Options'!$C:$C,$A197,'BSE - SENSEX Index Options'!$B:$B,C$147,'BSE - SENSEX Index Options'!$I:$I,"MDAW*")+SUMIFS('BSE - Other Index Options'!$M:$M,'BSE - Other Index Options'!$C:$C,$A197,'BSE - Other Index Options'!$B:$B,C$147,'BSE - Other Index Options'!$I:$I,"Weekly*")+SUMIFS('BSE - Other Index Options'!$M:$M,'BSE - Other Index Options'!$C:$C,$A197,'BSE - Other Index Options'!$B:$B,C$147,'BSE - Other Index Options'!$I:$I,"MDAW*")=0,"",SUMIFS('BSE - SENSEX Index Options'!$M:$M,'BSE - SENSEX Index Options'!$C:$C,$A197,'BSE - SENSEX Index Options'!$B:$B,C$147,'BSE - SENSEX Index Options'!$I:$I,"Weekly*")+SUMIFS('BSE - SENSEX Index Options'!$M:$M,'BSE - SENSEX Index Options'!$C:$C,$A197,'BSE - SENSEX Index Options'!$B:$B,C$147,'BSE - SENSEX Index Options'!$I:$I,"MDAW*")+SUMIFS('BSE - Other Index Options'!$M:$M,'BSE - Other Index Options'!$C:$C,$A197,'BSE - Other Index Options'!$B:$B,C$147,'BSE - Other Index Options'!$I:$I,"Weekly*")+SUMIFS('BSE - Other Index Options'!$M:$M,'BSE - Other Index Options'!$C:$C,$A197,'BSE - Other Index Options'!$B:$B,C$147,'BSE - Other Index Options'!$I:$I,"MDAW*"))</f>
        <v/>
      </c>
      <c r="D197" s="26">
        <f>IF(SUMIFS('BSE - SENSEX Index Options'!$M:$M,'BSE - SENSEX Index Options'!$C:$C,$A197,'BSE - SENSEX Index Options'!$B:$B,D$147,'BSE - SENSEX Index Options'!$I:$I,"Weekly*")+SUMIFS('BSE - SENSEX Index Options'!$M:$M,'BSE - SENSEX Index Options'!$C:$C,$A197,'BSE - SENSEX Index Options'!$B:$B,D$147,'BSE - SENSEX Index Options'!$I:$I,"MDAW*")+SUMIFS('BSE - Other Index Options'!$M:$M,'BSE - Other Index Options'!$C:$C,$A197,'BSE - Other Index Options'!$B:$B,D$147,'BSE - Other Index Options'!$I:$I,"Weekly*")+SUMIFS('BSE - Other Index Options'!$M:$M,'BSE - Other Index Options'!$C:$C,$A197,'BSE - Other Index Options'!$B:$B,D$147,'BSE - Other Index Options'!$I:$I,"MDAW*")=0,"",SUMIFS('BSE - SENSEX Index Options'!$M:$M,'BSE - SENSEX Index Options'!$C:$C,$A197,'BSE - SENSEX Index Options'!$B:$B,D$147,'BSE - SENSEX Index Options'!$I:$I,"Weekly*")+SUMIFS('BSE - SENSEX Index Options'!$M:$M,'BSE - SENSEX Index Options'!$C:$C,$A197,'BSE - SENSEX Index Options'!$B:$B,D$147,'BSE - SENSEX Index Options'!$I:$I,"MDAW*")+SUMIFS('BSE - Other Index Options'!$M:$M,'BSE - Other Index Options'!$C:$C,$A197,'BSE - Other Index Options'!$B:$B,D$147,'BSE - Other Index Options'!$I:$I,"Weekly*")+SUMIFS('BSE - Other Index Options'!$M:$M,'BSE - Other Index Options'!$C:$C,$A197,'BSE - Other Index Options'!$B:$B,D$147,'BSE - Other Index Options'!$I:$I,"MDAW*"))</f>
        <v/>
      </c>
      <c r="E197" s="26">
        <f>IF(SUMIFS('BSE - SENSEX Index Options'!$M:$M,'BSE - SENSEX Index Options'!$C:$C,$A197,'BSE - SENSEX Index Options'!$B:$B,E$147,'BSE - SENSEX Index Options'!$I:$I,"Weekly*")+SUMIFS('BSE - SENSEX Index Options'!$M:$M,'BSE - SENSEX Index Options'!$C:$C,$A197,'BSE - SENSEX Index Options'!$B:$B,E$147,'BSE - SENSEX Index Options'!$I:$I,"MDAW*")+SUMIFS('BSE - Other Index Options'!$M:$M,'BSE - Other Index Options'!$C:$C,$A197,'BSE - Other Index Options'!$B:$B,E$147,'BSE - Other Index Options'!$I:$I,"Weekly*")+SUMIFS('BSE - Other Index Options'!$M:$M,'BSE - Other Index Options'!$C:$C,$A197,'BSE - Other Index Options'!$B:$B,E$147,'BSE - Other Index Options'!$I:$I,"MDAW*")=0,"",SUMIFS('BSE - SENSEX Index Options'!$M:$M,'BSE - SENSEX Index Options'!$C:$C,$A197,'BSE - SENSEX Index Options'!$B:$B,E$147,'BSE - SENSEX Index Options'!$I:$I,"Weekly*")+SUMIFS('BSE - SENSEX Index Options'!$M:$M,'BSE - SENSEX Index Options'!$C:$C,$A197,'BSE - SENSEX Index Options'!$B:$B,E$147,'BSE - SENSEX Index Options'!$I:$I,"MDAW*")+SUMIFS('BSE - Other Index Options'!$M:$M,'BSE - Other Index Options'!$C:$C,$A197,'BSE - Other Index Options'!$B:$B,E$147,'BSE - Other Index Options'!$I:$I,"Weekly*")+SUMIFS('BSE - Other Index Options'!$M:$M,'BSE - Other Index Options'!$C:$C,$A197,'BSE - Other Index Options'!$B:$B,E$147,'BSE - Other Index Options'!$I:$I,"MDAW*"))</f>
        <v/>
      </c>
      <c r="F197" s="26">
        <f>IF(SUMIFS('BSE - SENSEX Index Options'!$M:$M,'BSE - SENSEX Index Options'!$C:$C,$A197,'BSE - SENSEX Index Options'!$B:$B,F$147,'BSE - SENSEX Index Options'!$I:$I,"Weekly*")+SUMIFS('BSE - SENSEX Index Options'!$M:$M,'BSE - SENSEX Index Options'!$C:$C,$A197,'BSE - SENSEX Index Options'!$B:$B,F$147,'BSE - SENSEX Index Options'!$I:$I,"MDAW*")+SUMIFS('BSE - Other Index Options'!$M:$M,'BSE - Other Index Options'!$C:$C,$A197,'BSE - Other Index Options'!$B:$B,F$147,'BSE - Other Index Options'!$I:$I,"Weekly*")+SUMIFS('BSE - Other Index Options'!$M:$M,'BSE - Other Index Options'!$C:$C,$A197,'BSE - Other Index Options'!$B:$B,F$147,'BSE - Other Index Options'!$I:$I,"MDAW*")=0,"",SUMIFS('BSE - SENSEX Index Options'!$M:$M,'BSE - SENSEX Index Options'!$C:$C,$A197,'BSE - SENSEX Index Options'!$B:$B,F$147,'BSE - SENSEX Index Options'!$I:$I,"Weekly*")+SUMIFS('BSE - SENSEX Index Options'!$M:$M,'BSE - SENSEX Index Options'!$C:$C,$A197,'BSE - SENSEX Index Options'!$B:$B,F$147,'BSE - SENSEX Index Options'!$I:$I,"MDAW*")+SUMIFS('BSE - Other Index Options'!$M:$M,'BSE - Other Index Options'!$C:$C,$A197,'BSE - Other Index Options'!$B:$B,F$147,'BSE - Other Index Options'!$I:$I,"Weekly*")+SUMIFS('BSE - Other Index Options'!$M:$M,'BSE - Other Index Options'!$C:$C,$A197,'BSE - Other Index Options'!$B:$B,F$147,'BSE - Other Index Options'!$I:$I,"MDAW*"))</f>
        <v/>
      </c>
      <c r="G197" s="26">
        <f>IF(SUMIFS('BSE - SENSEX Index Options'!$M:$M,'BSE - SENSEX Index Options'!$C:$C,$A197,'BSE - SENSEX Index Options'!$B:$B,G$147,'BSE - SENSEX Index Options'!$I:$I,"Weekly*")+SUMIFS('BSE - SENSEX Index Options'!$M:$M,'BSE - SENSEX Index Options'!$C:$C,$A197,'BSE - SENSEX Index Options'!$B:$B,G$147,'BSE - SENSEX Index Options'!$I:$I,"MDAW*")+SUMIFS('BSE - Other Index Options'!$M:$M,'BSE - Other Index Options'!$C:$C,$A197,'BSE - Other Index Options'!$B:$B,G$147,'BSE - Other Index Options'!$I:$I,"Weekly*")+SUMIFS('BSE - Other Index Options'!$M:$M,'BSE - Other Index Options'!$C:$C,$A197,'BSE - Other Index Options'!$B:$B,G$147,'BSE - Other Index Options'!$I:$I,"MDAW*")=0,"",SUMIFS('BSE - SENSEX Index Options'!$M:$M,'BSE - SENSEX Index Options'!$C:$C,$A197,'BSE - SENSEX Index Options'!$B:$B,G$147,'BSE - SENSEX Index Options'!$I:$I,"Weekly*")+SUMIFS('BSE - SENSEX Index Options'!$M:$M,'BSE - SENSEX Index Options'!$C:$C,$A197,'BSE - SENSEX Index Options'!$B:$B,G$147,'BSE - SENSEX Index Options'!$I:$I,"MDAW*")+SUMIFS('BSE - Other Index Options'!$M:$M,'BSE - Other Index Options'!$C:$C,$A197,'BSE - Other Index Options'!$B:$B,G$147,'BSE - Other Index Options'!$I:$I,"Weekly*")+SUMIFS('BSE - Other Index Options'!$M:$M,'BSE - Other Index Options'!$C:$C,$A197,'BSE - Other Index Options'!$B:$B,G$147,'BSE - Other Index Options'!$I:$I,"MDAW*"))</f>
        <v/>
      </c>
      <c r="H197" s="26">
        <f>IF(SUM(B197:G197)=0,"",SUM(B197:G197))</f>
        <v/>
      </c>
    </row>
    <row r="198">
      <c r="A198" t="inlineStr">
        <is>
          <t>Week2-Jul-2026</t>
        </is>
      </c>
      <c r="B198" s="26">
        <f>IF(SUMIFS('BSE - SENSEX Index Options'!$M:$M,'BSE - SENSEX Index Options'!$C:$C,$A198,'BSE - SENSEX Index Options'!$B:$B,B$147,'BSE - SENSEX Index Options'!$I:$I,"Weekly*")+SUMIFS('BSE - SENSEX Index Options'!$M:$M,'BSE - SENSEX Index Options'!$C:$C,$A198,'BSE - SENSEX Index Options'!$B:$B,B$147,'BSE - SENSEX Index Options'!$I:$I,"MDAW*")+SUMIFS('BSE - Other Index Options'!$M:$M,'BSE - Other Index Options'!$C:$C,$A198,'BSE - Other Index Options'!$B:$B,B$147,'BSE - Other Index Options'!$I:$I,"Weekly*")+SUMIFS('BSE - Other Index Options'!$M:$M,'BSE - Other Index Options'!$C:$C,$A198,'BSE - Other Index Options'!$B:$B,B$147,'BSE - Other Index Options'!$I:$I,"MDAW*")=0,"",SUMIFS('BSE - SENSEX Index Options'!$M:$M,'BSE - SENSEX Index Options'!$C:$C,$A198,'BSE - SENSEX Index Options'!$B:$B,B$147,'BSE - SENSEX Index Options'!$I:$I,"Weekly*")+SUMIFS('BSE - SENSEX Index Options'!$M:$M,'BSE - SENSEX Index Options'!$C:$C,$A198,'BSE - SENSEX Index Options'!$B:$B,B$147,'BSE - SENSEX Index Options'!$I:$I,"MDAW*")+SUMIFS('BSE - Other Index Options'!$M:$M,'BSE - Other Index Options'!$C:$C,$A198,'BSE - Other Index Options'!$B:$B,B$147,'BSE - Other Index Options'!$I:$I,"Weekly*")+SUMIFS('BSE - Other Index Options'!$M:$M,'BSE - Other Index Options'!$C:$C,$A198,'BSE - Other Index Options'!$B:$B,B$147,'BSE - Other Index Options'!$I:$I,"MDAW*"))</f>
        <v/>
      </c>
      <c r="C198" s="26">
        <f>IF(SUMIFS('BSE - SENSEX Index Options'!$M:$M,'BSE - SENSEX Index Options'!$C:$C,$A198,'BSE - SENSEX Index Options'!$B:$B,C$147,'BSE - SENSEX Index Options'!$I:$I,"Weekly*")+SUMIFS('BSE - SENSEX Index Options'!$M:$M,'BSE - SENSEX Index Options'!$C:$C,$A198,'BSE - SENSEX Index Options'!$B:$B,C$147,'BSE - SENSEX Index Options'!$I:$I,"MDAW*")+SUMIFS('BSE - Other Index Options'!$M:$M,'BSE - Other Index Options'!$C:$C,$A198,'BSE - Other Index Options'!$B:$B,C$147,'BSE - Other Index Options'!$I:$I,"Weekly*")+SUMIFS('BSE - Other Index Options'!$M:$M,'BSE - Other Index Options'!$C:$C,$A198,'BSE - Other Index Options'!$B:$B,C$147,'BSE - Other Index Options'!$I:$I,"MDAW*")=0,"",SUMIFS('BSE - SENSEX Index Options'!$M:$M,'BSE - SENSEX Index Options'!$C:$C,$A198,'BSE - SENSEX Index Options'!$B:$B,C$147,'BSE - SENSEX Index Options'!$I:$I,"Weekly*")+SUMIFS('BSE - SENSEX Index Options'!$M:$M,'BSE - SENSEX Index Options'!$C:$C,$A198,'BSE - SENSEX Index Options'!$B:$B,C$147,'BSE - SENSEX Index Options'!$I:$I,"MDAW*")+SUMIFS('BSE - Other Index Options'!$M:$M,'BSE - Other Index Options'!$C:$C,$A198,'BSE - Other Index Options'!$B:$B,C$147,'BSE - Other Index Options'!$I:$I,"Weekly*")+SUMIFS('BSE - Other Index Options'!$M:$M,'BSE - Other Index Options'!$C:$C,$A198,'BSE - Other Index Options'!$B:$B,C$147,'BSE - Other Index Options'!$I:$I,"MDAW*"))</f>
        <v/>
      </c>
      <c r="D198" s="26">
        <f>IF(SUMIFS('BSE - SENSEX Index Options'!$M:$M,'BSE - SENSEX Index Options'!$C:$C,$A198,'BSE - SENSEX Index Options'!$B:$B,D$147,'BSE - SENSEX Index Options'!$I:$I,"Weekly*")+SUMIFS('BSE - SENSEX Index Options'!$M:$M,'BSE - SENSEX Index Options'!$C:$C,$A198,'BSE - SENSEX Index Options'!$B:$B,D$147,'BSE - SENSEX Index Options'!$I:$I,"MDAW*")+SUMIFS('BSE - Other Index Options'!$M:$M,'BSE - Other Index Options'!$C:$C,$A198,'BSE - Other Index Options'!$B:$B,D$147,'BSE - Other Index Options'!$I:$I,"Weekly*")+SUMIFS('BSE - Other Index Options'!$M:$M,'BSE - Other Index Options'!$C:$C,$A198,'BSE - Other Index Options'!$B:$B,D$147,'BSE - Other Index Options'!$I:$I,"MDAW*")=0,"",SUMIFS('BSE - SENSEX Index Options'!$M:$M,'BSE - SENSEX Index Options'!$C:$C,$A198,'BSE - SENSEX Index Options'!$B:$B,D$147,'BSE - SENSEX Index Options'!$I:$I,"Weekly*")+SUMIFS('BSE - SENSEX Index Options'!$M:$M,'BSE - SENSEX Index Options'!$C:$C,$A198,'BSE - SENSEX Index Options'!$B:$B,D$147,'BSE - SENSEX Index Options'!$I:$I,"MDAW*")+SUMIFS('BSE - Other Index Options'!$M:$M,'BSE - Other Index Options'!$C:$C,$A198,'BSE - Other Index Options'!$B:$B,D$147,'BSE - Other Index Options'!$I:$I,"Weekly*")+SUMIFS('BSE - Other Index Options'!$M:$M,'BSE - Other Index Options'!$C:$C,$A198,'BSE - Other Index Options'!$B:$B,D$147,'BSE - Other Index Options'!$I:$I,"MDAW*"))</f>
        <v/>
      </c>
      <c r="E198" s="26">
        <f>IF(SUMIFS('BSE - SENSEX Index Options'!$M:$M,'BSE - SENSEX Index Options'!$C:$C,$A198,'BSE - SENSEX Index Options'!$B:$B,E$147,'BSE - SENSEX Index Options'!$I:$I,"Weekly*")+SUMIFS('BSE - SENSEX Index Options'!$M:$M,'BSE - SENSEX Index Options'!$C:$C,$A198,'BSE - SENSEX Index Options'!$B:$B,E$147,'BSE - SENSEX Index Options'!$I:$I,"MDAW*")+SUMIFS('BSE - Other Index Options'!$M:$M,'BSE - Other Index Options'!$C:$C,$A198,'BSE - Other Index Options'!$B:$B,E$147,'BSE - Other Index Options'!$I:$I,"Weekly*")+SUMIFS('BSE - Other Index Options'!$M:$M,'BSE - Other Index Options'!$C:$C,$A198,'BSE - Other Index Options'!$B:$B,E$147,'BSE - Other Index Options'!$I:$I,"MDAW*")=0,"",SUMIFS('BSE - SENSEX Index Options'!$M:$M,'BSE - SENSEX Index Options'!$C:$C,$A198,'BSE - SENSEX Index Options'!$B:$B,E$147,'BSE - SENSEX Index Options'!$I:$I,"Weekly*")+SUMIFS('BSE - SENSEX Index Options'!$M:$M,'BSE - SENSEX Index Options'!$C:$C,$A198,'BSE - SENSEX Index Options'!$B:$B,E$147,'BSE - SENSEX Index Options'!$I:$I,"MDAW*")+SUMIFS('BSE - Other Index Options'!$M:$M,'BSE - Other Index Options'!$C:$C,$A198,'BSE - Other Index Options'!$B:$B,E$147,'BSE - Other Index Options'!$I:$I,"Weekly*")+SUMIFS('BSE - Other Index Options'!$M:$M,'BSE - Other Index Options'!$C:$C,$A198,'BSE - Other Index Options'!$B:$B,E$147,'BSE - Other Index Options'!$I:$I,"MDAW*"))</f>
        <v/>
      </c>
      <c r="F198" s="26">
        <f>IF(SUMIFS('BSE - SENSEX Index Options'!$M:$M,'BSE - SENSEX Index Options'!$C:$C,$A198,'BSE - SENSEX Index Options'!$B:$B,F$147,'BSE - SENSEX Index Options'!$I:$I,"Weekly*")+SUMIFS('BSE - SENSEX Index Options'!$M:$M,'BSE - SENSEX Index Options'!$C:$C,$A198,'BSE - SENSEX Index Options'!$B:$B,F$147,'BSE - SENSEX Index Options'!$I:$I,"MDAW*")+SUMIFS('BSE - Other Index Options'!$M:$M,'BSE - Other Index Options'!$C:$C,$A198,'BSE - Other Index Options'!$B:$B,F$147,'BSE - Other Index Options'!$I:$I,"Weekly*")+SUMIFS('BSE - Other Index Options'!$M:$M,'BSE - Other Index Options'!$C:$C,$A198,'BSE - Other Index Options'!$B:$B,F$147,'BSE - Other Index Options'!$I:$I,"MDAW*")=0,"",SUMIFS('BSE - SENSEX Index Options'!$M:$M,'BSE - SENSEX Index Options'!$C:$C,$A198,'BSE - SENSEX Index Options'!$B:$B,F$147,'BSE - SENSEX Index Options'!$I:$I,"Weekly*")+SUMIFS('BSE - SENSEX Index Options'!$M:$M,'BSE - SENSEX Index Options'!$C:$C,$A198,'BSE - SENSEX Index Options'!$B:$B,F$147,'BSE - SENSEX Index Options'!$I:$I,"MDAW*")+SUMIFS('BSE - Other Index Options'!$M:$M,'BSE - Other Index Options'!$C:$C,$A198,'BSE - Other Index Options'!$B:$B,F$147,'BSE - Other Index Options'!$I:$I,"Weekly*")+SUMIFS('BSE - Other Index Options'!$M:$M,'BSE - Other Index Options'!$C:$C,$A198,'BSE - Other Index Options'!$B:$B,F$147,'BSE - Other Index Options'!$I:$I,"MDAW*"))</f>
        <v/>
      </c>
      <c r="G198" s="26">
        <f>IF(SUMIFS('BSE - SENSEX Index Options'!$M:$M,'BSE - SENSEX Index Options'!$C:$C,$A198,'BSE - SENSEX Index Options'!$B:$B,G$147,'BSE - SENSEX Index Options'!$I:$I,"Weekly*")+SUMIFS('BSE - SENSEX Index Options'!$M:$M,'BSE - SENSEX Index Options'!$C:$C,$A198,'BSE - SENSEX Index Options'!$B:$B,G$147,'BSE - SENSEX Index Options'!$I:$I,"MDAW*")+SUMIFS('BSE - Other Index Options'!$M:$M,'BSE - Other Index Options'!$C:$C,$A198,'BSE - Other Index Options'!$B:$B,G$147,'BSE - Other Index Options'!$I:$I,"Weekly*")+SUMIFS('BSE - Other Index Options'!$M:$M,'BSE - Other Index Options'!$C:$C,$A198,'BSE - Other Index Options'!$B:$B,G$147,'BSE - Other Index Options'!$I:$I,"MDAW*")=0,"",SUMIFS('BSE - SENSEX Index Options'!$M:$M,'BSE - SENSEX Index Options'!$C:$C,$A198,'BSE - SENSEX Index Options'!$B:$B,G$147,'BSE - SENSEX Index Options'!$I:$I,"Weekly*")+SUMIFS('BSE - SENSEX Index Options'!$M:$M,'BSE - SENSEX Index Options'!$C:$C,$A198,'BSE - SENSEX Index Options'!$B:$B,G$147,'BSE - SENSEX Index Options'!$I:$I,"MDAW*")+SUMIFS('BSE - Other Index Options'!$M:$M,'BSE - Other Index Options'!$C:$C,$A198,'BSE - Other Index Options'!$B:$B,G$147,'BSE - Other Index Options'!$I:$I,"Weekly*")+SUMIFS('BSE - Other Index Options'!$M:$M,'BSE - Other Index Options'!$C:$C,$A198,'BSE - Other Index Options'!$B:$B,G$147,'BSE - Other Index Options'!$I:$I,"MDAW*"))</f>
        <v/>
      </c>
      <c r="H198" s="26">
        <f>IF(SUM(B198:G198)=0,"",SUM(B198:G198))</f>
        <v/>
      </c>
    </row>
    <row r="199">
      <c r="A199" t="inlineStr">
        <is>
          <t>Week3-Jul-2026</t>
        </is>
      </c>
      <c r="B199" s="26">
        <f>IF(SUMIFS('BSE - SENSEX Index Options'!$M:$M,'BSE - SENSEX Index Options'!$C:$C,$A199,'BSE - SENSEX Index Options'!$B:$B,B$147,'BSE - SENSEX Index Options'!$I:$I,"Weekly*")+SUMIFS('BSE - SENSEX Index Options'!$M:$M,'BSE - SENSEX Index Options'!$C:$C,$A199,'BSE - SENSEX Index Options'!$B:$B,B$147,'BSE - SENSEX Index Options'!$I:$I,"MDAW*")+SUMIFS('BSE - Other Index Options'!$M:$M,'BSE - Other Index Options'!$C:$C,$A199,'BSE - Other Index Options'!$B:$B,B$147,'BSE - Other Index Options'!$I:$I,"Weekly*")+SUMIFS('BSE - Other Index Options'!$M:$M,'BSE - Other Index Options'!$C:$C,$A199,'BSE - Other Index Options'!$B:$B,B$147,'BSE - Other Index Options'!$I:$I,"MDAW*")=0,"",SUMIFS('BSE - SENSEX Index Options'!$M:$M,'BSE - SENSEX Index Options'!$C:$C,$A199,'BSE - SENSEX Index Options'!$B:$B,B$147,'BSE - SENSEX Index Options'!$I:$I,"Weekly*")+SUMIFS('BSE - SENSEX Index Options'!$M:$M,'BSE - SENSEX Index Options'!$C:$C,$A199,'BSE - SENSEX Index Options'!$B:$B,B$147,'BSE - SENSEX Index Options'!$I:$I,"MDAW*")+SUMIFS('BSE - Other Index Options'!$M:$M,'BSE - Other Index Options'!$C:$C,$A199,'BSE - Other Index Options'!$B:$B,B$147,'BSE - Other Index Options'!$I:$I,"Weekly*")+SUMIFS('BSE - Other Index Options'!$M:$M,'BSE - Other Index Options'!$C:$C,$A199,'BSE - Other Index Options'!$B:$B,B$147,'BSE - Other Index Options'!$I:$I,"MDAW*"))</f>
        <v/>
      </c>
      <c r="C199" s="26">
        <f>IF(SUMIFS('BSE - SENSEX Index Options'!$M:$M,'BSE - SENSEX Index Options'!$C:$C,$A199,'BSE - SENSEX Index Options'!$B:$B,C$147,'BSE - SENSEX Index Options'!$I:$I,"Weekly*")+SUMIFS('BSE - SENSEX Index Options'!$M:$M,'BSE - SENSEX Index Options'!$C:$C,$A199,'BSE - SENSEX Index Options'!$B:$B,C$147,'BSE - SENSEX Index Options'!$I:$I,"MDAW*")+SUMIFS('BSE - Other Index Options'!$M:$M,'BSE - Other Index Options'!$C:$C,$A199,'BSE - Other Index Options'!$B:$B,C$147,'BSE - Other Index Options'!$I:$I,"Weekly*")+SUMIFS('BSE - Other Index Options'!$M:$M,'BSE - Other Index Options'!$C:$C,$A199,'BSE - Other Index Options'!$B:$B,C$147,'BSE - Other Index Options'!$I:$I,"MDAW*")=0,"",SUMIFS('BSE - SENSEX Index Options'!$M:$M,'BSE - SENSEX Index Options'!$C:$C,$A199,'BSE - SENSEX Index Options'!$B:$B,C$147,'BSE - SENSEX Index Options'!$I:$I,"Weekly*")+SUMIFS('BSE - SENSEX Index Options'!$M:$M,'BSE - SENSEX Index Options'!$C:$C,$A199,'BSE - SENSEX Index Options'!$B:$B,C$147,'BSE - SENSEX Index Options'!$I:$I,"MDAW*")+SUMIFS('BSE - Other Index Options'!$M:$M,'BSE - Other Index Options'!$C:$C,$A199,'BSE - Other Index Options'!$B:$B,C$147,'BSE - Other Index Options'!$I:$I,"Weekly*")+SUMIFS('BSE - Other Index Options'!$M:$M,'BSE - Other Index Options'!$C:$C,$A199,'BSE - Other Index Options'!$B:$B,C$147,'BSE - Other Index Options'!$I:$I,"MDAW*"))</f>
        <v/>
      </c>
      <c r="D199" s="26">
        <f>IF(SUMIFS('BSE - SENSEX Index Options'!$M:$M,'BSE - SENSEX Index Options'!$C:$C,$A199,'BSE - SENSEX Index Options'!$B:$B,D$147,'BSE - SENSEX Index Options'!$I:$I,"Weekly*")+SUMIFS('BSE - SENSEX Index Options'!$M:$M,'BSE - SENSEX Index Options'!$C:$C,$A199,'BSE - SENSEX Index Options'!$B:$B,D$147,'BSE - SENSEX Index Options'!$I:$I,"MDAW*")+SUMIFS('BSE - Other Index Options'!$M:$M,'BSE - Other Index Options'!$C:$C,$A199,'BSE - Other Index Options'!$B:$B,D$147,'BSE - Other Index Options'!$I:$I,"Weekly*")+SUMIFS('BSE - Other Index Options'!$M:$M,'BSE - Other Index Options'!$C:$C,$A199,'BSE - Other Index Options'!$B:$B,D$147,'BSE - Other Index Options'!$I:$I,"MDAW*")=0,"",SUMIFS('BSE - SENSEX Index Options'!$M:$M,'BSE - SENSEX Index Options'!$C:$C,$A199,'BSE - SENSEX Index Options'!$B:$B,D$147,'BSE - SENSEX Index Options'!$I:$I,"Weekly*")+SUMIFS('BSE - SENSEX Index Options'!$M:$M,'BSE - SENSEX Index Options'!$C:$C,$A199,'BSE - SENSEX Index Options'!$B:$B,D$147,'BSE - SENSEX Index Options'!$I:$I,"MDAW*")+SUMIFS('BSE - Other Index Options'!$M:$M,'BSE - Other Index Options'!$C:$C,$A199,'BSE - Other Index Options'!$B:$B,D$147,'BSE - Other Index Options'!$I:$I,"Weekly*")+SUMIFS('BSE - Other Index Options'!$M:$M,'BSE - Other Index Options'!$C:$C,$A199,'BSE - Other Index Options'!$B:$B,D$147,'BSE - Other Index Options'!$I:$I,"MDAW*"))</f>
        <v/>
      </c>
      <c r="E199" s="26">
        <f>IF(SUMIFS('BSE - SENSEX Index Options'!$M:$M,'BSE - SENSEX Index Options'!$C:$C,$A199,'BSE - SENSEX Index Options'!$B:$B,E$147,'BSE - SENSEX Index Options'!$I:$I,"Weekly*")+SUMIFS('BSE - SENSEX Index Options'!$M:$M,'BSE - SENSEX Index Options'!$C:$C,$A199,'BSE - SENSEX Index Options'!$B:$B,E$147,'BSE - SENSEX Index Options'!$I:$I,"MDAW*")+SUMIFS('BSE - Other Index Options'!$M:$M,'BSE - Other Index Options'!$C:$C,$A199,'BSE - Other Index Options'!$B:$B,E$147,'BSE - Other Index Options'!$I:$I,"Weekly*")+SUMIFS('BSE - Other Index Options'!$M:$M,'BSE - Other Index Options'!$C:$C,$A199,'BSE - Other Index Options'!$B:$B,E$147,'BSE - Other Index Options'!$I:$I,"MDAW*")=0,"",SUMIFS('BSE - SENSEX Index Options'!$M:$M,'BSE - SENSEX Index Options'!$C:$C,$A199,'BSE - SENSEX Index Options'!$B:$B,E$147,'BSE - SENSEX Index Options'!$I:$I,"Weekly*")+SUMIFS('BSE - SENSEX Index Options'!$M:$M,'BSE - SENSEX Index Options'!$C:$C,$A199,'BSE - SENSEX Index Options'!$B:$B,E$147,'BSE - SENSEX Index Options'!$I:$I,"MDAW*")+SUMIFS('BSE - Other Index Options'!$M:$M,'BSE - Other Index Options'!$C:$C,$A199,'BSE - Other Index Options'!$B:$B,E$147,'BSE - Other Index Options'!$I:$I,"Weekly*")+SUMIFS('BSE - Other Index Options'!$M:$M,'BSE - Other Index Options'!$C:$C,$A199,'BSE - Other Index Options'!$B:$B,E$147,'BSE - Other Index Options'!$I:$I,"MDAW*"))</f>
        <v/>
      </c>
      <c r="F199" s="26">
        <f>IF(SUMIFS('BSE - SENSEX Index Options'!$M:$M,'BSE - SENSEX Index Options'!$C:$C,$A199,'BSE - SENSEX Index Options'!$B:$B,F$147,'BSE - SENSEX Index Options'!$I:$I,"Weekly*")+SUMIFS('BSE - SENSEX Index Options'!$M:$M,'BSE - SENSEX Index Options'!$C:$C,$A199,'BSE - SENSEX Index Options'!$B:$B,F$147,'BSE - SENSEX Index Options'!$I:$I,"MDAW*")+SUMIFS('BSE - Other Index Options'!$M:$M,'BSE - Other Index Options'!$C:$C,$A199,'BSE - Other Index Options'!$B:$B,F$147,'BSE - Other Index Options'!$I:$I,"Weekly*")+SUMIFS('BSE - Other Index Options'!$M:$M,'BSE - Other Index Options'!$C:$C,$A199,'BSE - Other Index Options'!$B:$B,F$147,'BSE - Other Index Options'!$I:$I,"MDAW*")=0,"",SUMIFS('BSE - SENSEX Index Options'!$M:$M,'BSE - SENSEX Index Options'!$C:$C,$A199,'BSE - SENSEX Index Options'!$B:$B,F$147,'BSE - SENSEX Index Options'!$I:$I,"Weekly*")+SUMIFS('BSE - SENSEX Index Options'!$M:$M,'BSE - SENSEX Index Options'!$C:$C,$A199,'BSE - SENSEX Index Options'!$B:$B,F$147,'BSE - SENSEX Index Options'!$I:$I,"MDAW*")+SUMIFS('BSE - Other Index Options'!$M:$M,'BSE - Other Index Options'!$C:$C,$A199,'BSE - Other Index Options'!$B:$B,F$147,'BSE - Other Index Options'!$I:$I,"Weekly*")+SUMIFS('BSE - Other Index Options'!$M:$M,'BSE - Other Index Options'!$C:$C,$A199,'BSE - Other Index Options'!$B:$B,F$147,'BSE - Other Index Options'!$I:$I,"MDAW*"))</f>
        <v/>
      </c>
      <c r="G199" s="26">
        <f>IF(SUMIFS('BSE - SENSEX Index Options'!$M:$M,'BSE - SENSEX Index Options'!$C:$C,$A199,'BSE - SENSEX Index Options'!$B:$B,G$147,'BSE - SENSEX Index Options'!$I:$I,"Weekly*")+SUMIFS('BSE - SENSEX Index Options'!$M:$M,'BSE - SENSEX Index Options'!$C:$C,$A199,'BSE - SENSEX Index Options'!$B:$B,G$147,'BSE - SENSEX Index Options'!$I:$I,"MDAW*")+SUMIFS('BSE - Other Index Options'!$M:$M,'BSE - Other Index Options'!$C:$C,$A199,'BSE - Other Index Options'!$B:$B,G$147,'BSE - Other Index Options'!$I:$I,"Weekly*")+SUMIFS('BSE - Other Index Options'!$M:$M,'BSE - Other Index Options'!$C:$C,$A199,'BSE - Other Index Options'!$B:$B,G$147,'BSE - Other Index Options'!$I:$I,"MDAW*")=0,"",SUMIFS('BSE - SENSEX Index Options'!$M:$M,'BSE - SENSEX Index Options'!$C:$C,$A199,'BSE - SENSEX Index Options'!$B:$B,G$147,'BSE - SENSEX Index Options'!$I:$I,"Weekly*")+SUMIFS('BSE - SENSEX Index Options'!$M:$M,'BSE - SENSEX Index Options'!$C:$C,$A199,'BSE - SENSEX Index Options'!$B:$B,G$147,'BSE - SENSEX Index Options'!$I:$I,"MDAW*")+SUMIFS('BSE - Other Index Options'!$M:$M,'BSE - Other Index Options'!$C:$C,$A199,'BSE - Other Index Options'!$B:$B,G$147,'BSE - Other Index Options'!$I:$I,"Weekly*")+SUMIFS('BSE - Other Index Options'!$M:$M,'BSE - Other Index Options'!$C:$C,$A199,'BSE - Other Index Options'!$B:$B,G$147,'BSE - Other Index Options'!$I:$I,"MDAW*"))</f>
        <v/>
      </c>
      <c r="H199" s="26">
        <f>IF(SUM(B199:G199)=0,"",SUM(B199:G199))</f>
        <v/>
      </c>
    </row>
    <row r="200">
      <c r="A200" t="inlineStr">
        <is>
          <t>Week4-Jul-2026</t>
        </is>
      </c>
      <c r="B200" s="26">
        <f>IF(SUMIFS('BSE - SENSEX Index Options'!$M:$M,'BSE - SENSEX Index Options'!$C:$C,$A200,'BSE - SENSEX Index Options'!$B:$B,B$147,'BSE - SENSEX Index Options'!$I:$I,"Weekly*")+SUMIFS('BSE - SENSEX Index Options'!$M:$M,'BSE - SENSEX Index Options'!$C:$C,$A200,'BSE - SENSEX Index Options'!$B:$B,B$147,'BSE - SENSEX Index Options'!$I:$I,"MDAW*")+SUMIFS('BSE - Other Index Options'!$M:$M,'BSE - Other Index Options'!$C:$C,$A200,'BSE - Other Index Options'!$B:$B,B$147,'BSE - Other Index Options'!$I:$I,"Weekly*")+SUMIFS('BSE - Other Index Options'!$M:$M,'BSE - Other Index Options'!$C:$C,$A200,'BSE - Other Index Options'!$B:$B,B$147,'BSE - Other Index Options'!$I:$I,"MDAW*")=0,"",SUMIFS('BSE - SENSEX Index Options'!$M:$M,'BSE - SENSEX Index Options'!$C:$C,$A200,'BSE - SENSEX Index Options'!$B:$B,B$147,'BSE - SENSEX Index Options'!$I:$I,"Weekly*")+SUMIFS('BSE - SENSEX Index Options'!$M:$M,'BSE - SENSEX Index Options'!$C:$C,$A200,'BSE - SENSEX Index Options'!$B:$B,B$147,'BSE - SENSEX Index Options'!$I:$I,"MDAW*")+SUMIFS('BSE - Other Index Options'!$M:$M,'BSE - Other Index Options'!$C:$C,$A200,'BSE - Other Index Options'!$B:$B,B$147,'BSE - Other Index Options'!$I:$I,"Weekly*")+SUMIFS('BSE - Other Index Options'!$M:$M,'BSE - Other Index Options'!$C:$C,$A200,'BSE - Other Index Options'!$B:$B,B$147,'BSE - Other Index Options'!$I:$I,"MDAW*"))</f>
        <v/>
      </c>
      <c r="C200" s="26">
        <f>IF(SUMIFS('BSE - SENSEX Index Options'!$M:$M,'BSE - SENSEX Index Options'!$C:$C,$A200,'BSE - SENSEX Index Options'!$B:$B,C$147,'BSE - SENSEX Index Options'!$I:$I,"Weekly*")+SUMIFS('BSE - SENSEX Index Options'!$M:$M,'BSE - SENSEX Index Options'!$C:$C,$A200,'BSE - SENSEX Index Options'!$B:$B,C$147,'BSE - SENSEX Index Options'!$I:$I,"MDAW*")+SUMIFS('BSE - Other Index Options'!$M:$M,'BSE - Other Index Options'!$C:$C,$A200,'BSE - Other Index Options'!$B:$B,C$147,'BSE - Other Index Options'!$I:$I,"Weekly*")+SUMIFS('BSE - Other Index Options'!$M:$M,'BSE - Other Index Options'!$C:$C,$A200,'BSE - Other Index Options'!$B:$B,C$147,'BSE - Other Index Options'!$I:$I,"MDAW*")=0,"",SUMIFS('BSE - SENSEX Index Options'!$M:$M,'BSE - SENSEX Index Options'!$C:$C,$A200,'BSE - SENSEX Index Options'!$B:$B,C$147,'BSE - SENSEX Index Options'!$I:$I,"Weekly*")+SUMIFS('BSE - SENSEX Index Options'!$M:$M,'BSE - SENSEX Index Options'!$C:$C,$A200,'BSE - SENSEX Index Options'!$B:$B,C$147,'BSE - SENSEX Index Options'!$I:$I,"MDAW*")+SUMIFS('BSE - Other Index Options'!$M:$M,'BSE - Other Index Options'!$C:$C,$A200,'BSE - Other Index Options'!$B:$B,C$147,'BSE - Other Index Options'!$I:$I,"Weekly*")+SUMIFS('BSE - Other Index Options'!$M:$M,'BSE - Other Index Options'!$C:$C,$A200,'BSE - Other Index Options'!$B:$B,C$147,'BSE - Other Index Options'!$I:$I,"MDAW*"))</f>
        <v/>
      </c>
      <c r="D200" s="26">
        <f>IF(SUMIFS('BSE - SENSEX Index Options'!$M:$M,'BSE - SENSEX Index Options'!$C:$C,$A200,'BSE - SENSEX Index Options'!$B:$B,D$147,'BSE - SENSEX Index Options'!$I:$I,"Weekly*")+SUMIFS('BSE - SENSEX Index Options'!$M:$M,'BSE - SENSEX Index Options'!$C:$C,$A200,'BSE - SENSEX Index Options'!$B:$B,D$147,'BSE - SENSEX Index Options'!$I:$I,"MDAW*")+SUMIFS('BSE - Other Index Options'!$M:$M,'BSE - Other Index Options'!$C:$C,$A200,'BSE - Other Index Options'!$B:$B,D$147,'BSE - Other Index Options'!$I:$I,"Weekly*")+SUMIFS('BSE - Other Index Options'!$M:$M,'BSE - Other Index Options'!$C:$C,$A200,'BSE - Other Index Options'!$B:$B,D$147,'BSE - Other Index Options'!$I:$I,"MDAW*")=0,"",SUMIFS('BSE - SENSEX Index Options'!$M:$M,'BSE - SENSEX Index Options'!$C:$C,$A200,'BSE - SENSEX Index Options'!$B:$B,D$147,'BSE - SENSEX Index Options'!$I:$I,"Weekly*")+SUMIFS('BSE - SENSEX Index Options'!$M:$M,'BSE - SENSEX Index Options'!$C:$C,$A200,'BSE - SENSEX Index Options'!$B:$B,D$147,'BSE - SENSEX Index Options'!$I:$I,"MDAW*")+SUMIFS('BSE - Other Index Options'!$M:$M,'BSE - Other Index Options'!$C:$C,$A200,'BSE - Other Index Options'!$B:$B,D$147,'BSE - Other Index Options'!$I:$I,"Weekly*")+SUMIFS('BSE - Other Index Options'!$M:$M,'BSE - Other Index Options'!$C:$C,$A200,'BSE - Other Index Options'!$B:$B,D$147,'BSE - Other Index Options'!$I:$I,"MDAW*"))</f>
        <v/>
      </c>
      <c r="E200" s="26">
        <f>IF(SUMIFS('BSE - SENSEX Index Options'!$M:$M,'BSE - SENSEX Index Options'!$C:$C,$A200,'BSE - SENSEX Index Options'!$B:$B,E$147,'BSE - SENSEX Index Options'!$I:$I,"Weekly*")+SUMIFS('BSE - SENSEX Index Options'!$M:$M,'BSE - SENSEX Index Options'!$C:$C,$A200,'BSE - SENSEX Index Options'!$B:$B,E$147,'BSE - SENSEX Index Options'!$I:$I,"MDAW*")+SUMIFS('BSE - Other Index Options'!$M:$M,'BSE - Other Index Options'!$C:$C,$A200,'BSE - Other Index Options'!$B:$B,E$147,'BSE - Other Index Options'!$I:$I,"Weekly*")+SUMIFS('BSE - Other Index Options'!$M:$M,'BSE - Other Index Options'!$C:$C,$A200,'BSE - Other Index Options'!$B:$B,E$147,'BSE - Other Index Options'!$I:$I,"MDAW*")=0,"",SUMIFS('BSE - SENSEX Index Options'!$M:$M,'BSE - SENSEX Index Options'!$C:$C,$A200,'BSE - SENSEX Index Options'!$B:$B,E$147,'BSE - SENSEX Index Options'!$I:$I,"Weekly*")+SUMIFS('BSE - SENSEX Index Options'!$M:$M,'BSE - SENSEX Index Options'!$C:$C,$A200,'BSE - SENSEX Index Options'!$B:$B,E$147,'BSE - SENSEX Index Options'!$I:$I,"MDAW*")+SUMIFS('BSE - Other Index Options'!$M:$M,'BSE - Other Index Options'!$C:$C,$A200,'BSE - Other Index Options'!$B:$B,E$147,'BSE - Other Index Options'!$I:$I,"Weekly*")+SUMIFS('BSE - Other Index Options'!$M:$M,'BSE - Other Index Options'!$C:$C,$A200,'BSE - Other Index Options'!$B:$B,E$147,'BSE - Other Index Options'!$I:$I,"MDAW*"))</f>
        <v/>
      </c>
      <c r="F200" s="26">
        <f>IF(SUMIFS('BSE - SENSEX Index Options'!$M:$M,'BSE - SENSEX Index Options'!$C:$C,$A200,'BSE - SENSEX Index Options'!$B:$B,F$147,'BSE - SENSEX Index Options'!$I:$I,"Weekly*")+SUMIFS('BSE - SENSEX Index Options'!$M:$M,'BSE - SENSEX Index Options'!$C:$C,$A200,'BSE - SENSEX Index Options'!$B:$B,F$147,'BSE - SENSEX Index Options'!$I:$I,"MDAW*")+SUMIFS('BSE - Other Index Options'!$M:$M,'BSE - Other Index Options'!$C:$C,$A200,'BSE - Other Index Options'!$B:$B,F$147,'BSE - Other Index Options'!$I:$I,"Weekly*")+SUMIFS('BSE - Other Index Options'!$M:$M,'BSE - Other Index Options'!$C:$C,$A200,'BSE - Other Index Options'!$B:$B,F$147,'BSE - Other Index Options'!$I:$I,"MDAW*")=0,"",SUMIFS('BSE - SENSEX Index Options'!$M:$M,'BSE - SENSEX Index Options'!$C:$C,$A200,'BSE - SENSEX Index Options'!$B:$B,F$147,'BSE - SENSEX Index Options'!$I:$I,"Weekly*")+SUMIFS('BSE - SENSEX Index Options'!$M:$M,'BSE - SENSEX Index Options'!$C:$C,$A200,'BSE - SENSEX Index Options'!$B:$B,F$147,'BSE - SENSEX Index Options'!$I:$I,"MDAW*")+SUMIFS('BSE - Other Index Options'!$M:$M,'BSE - Other Index Options'!$C:$C,$A200,'BSE - Other Index Options'!$B:$B,F$147,'BSE - Other Index Options'!$I:$I,"Weekly*")+SUMIFS('BSE - Other Index Options'!$M:$M,'BSE - Other Index Options'!$C:$C,$A200,'BSE - Other Index Options'!$B:$B,F$147,'BSE - Other Index Options'!$I:$I,"MDAW*"))</f>
        <v/>
      </c>
      <c r="G200" s="26">
        <f>IF(SUMIFS('BSE - SENSEX Index Options'!$M:$M,'BSE - SENSEX Index Options'!$C:$C,$A200,'BSE - SENSEX Index Options'!$B:$B,G$147,'BSE - SENSEX Index Options'!$I:$I,"Weekly*")+SUMIFS('BSE - SENSEX Index Options'!$M:$M,'BSE - SENSEX Index Options'!$C:$C,$A200,'BSE - SENSEX Index Options'!$B:$B,G$147,'BSE - SENSEX Index Options'!$I:$I,"MDAW*")+SUMIFS('BSE - Other Index Options'!$M:$M,'BSE - Other Index Options'!$C:$C,$A200,'BSE - Other Index Options'!$B:$B,G$147,'BSE - Other Index Options'!$I:$I,"Weekly*")+SUMIFS('BSE - Other Index Options'!$M:$M,'BSE - Other Index Options'!$C:$C,$A200,'BSE - Other Index Options'!$B:$B,G$147,'BSE - Other Index Options'!$I:$I,"MDAW*")=0,"",SUMIFS('BSE - SENSEX Index Options'!$M:$M,'BSE - SENSEX Index Options'!$C:$C,$A200,'BSE - SENSEX Index Options'!$B:$B,G$147,'BSE - SENSEX Index Options'!$I:$I,"Weekly*")+SUMIFS('BSE - SENSEX Index Options'!$M:$M,'BSE - SENSEX Index Options'!$C:$C,$A200,'BSE - SENSEX Index Options'!$B:$B,G$147,'BSE - SENSEX Index Options'!$I:$I,"MDAW*")+SUMIFS('BSE - Other Index Options'!$M:$M,'BSE - Other Index Options'!$C:$C,$A200,'BSE - Other Index Options'!$B:$B,G$147,'BSE - Other Index Options'!$I:$I,"Weekly*")+SUMIFS('BSE - Other Index Options'!$M:$M,'BSE - Other Index Options'!$C:$C,$A200,'BSE - Other Index Options'!$B:$B,G$147,'BSE - Other Index Options'!$I:$I,"MDAW*"))</f>
        <v/>
      </c>
      <c r="H200" s="26">
        <f>IF(SUM(B200:G200)=0,"",SUM(B200:G200))</f>
        <v/>
      </c>
    </row>
    <row r="201">
      <c r="A201" t="inlineStr">
        <is>
          <t>Week5-Jul-2026</t>
        </is>
      </c>
      <c r="B201" s="26">
        <f>IF(SUMIFS('BSE - SENSEX Index Options'!$M:$M,'BSE - SENSEX Index Options'!$C:$C,$A201,'BSE - SENSEX Index Options'!$B:$B,B$147,'BSE - SENSEX Index Options'!$I:$I,"Weekly*")+SUMIFS('BSE - SENSEX Index Options'!$M:$M,'BSE - SENSEX Index Options'!$C:$C,$A201,'BSE - SENSEX Index Options'!$B:$B,B$147,'BSE - SENSEX Index Options'!$I:$I,"MDAW*")+SUMIFS('BSE - Other Index Options'!$M:$M,'BSE - Other Index Options'!$C:$C,$A201,'BSE - Other Index Options'!$B:$B,B$147,'BSE - Other Index Options'!$I:$I,"Weekly*")+SUMIFS('BSE - Other Index Options'!$M:$M,'BSE - Other Index Options'!$C:$C,$A201,'BSE - Other Index Options'!$B:$B,B$147,'BSE - Other Index Options'!$I:$I,"MDAW*")=0,"",SUMIFS('BSE - SENSEX Index Options'!$M:$M,'BSE - SENSEX Index Options'!$C:$C,$A201,'BSE - SENSEX Index Options'!$B:$B,B$147,'BSE - SENSEX Index Options'!$I:$I,"Weekly*")+SUMIFS('BSE - SENSEX Index Options'!$M:$M,'BSE - SENSEX Index Options'!$C:$C,$A201,'BSE - SENSEX Index Options'!$B:$B,B$147,'BSE - SENSEX Index Options'!$I:$I,"MDAW*")+SUMIFS('BSE - Other Index Options'!$M:$M,'BSE - Other Index Options'!$C:$C,$A201,'BSE - Other Index Options'!$B:$B,B$147,'BSE - Other Index Options'!$I:$I,"Weekly*")+SUMIFS('BSE - Other Index Options'!$M:$M,'BSE - Other Index Options'!$C:$C,$A201,'BSE - Other Index Options'!$B:$B,B$147,'BSE - Other Index Options'!$I:$I,"MDAW*"))</f>
        <v/>
      </c>
      <c r="C201" s="26">
        <f>IF(SUMIFS('BSE - SENSEX Index Options'!$M:$M,'BSE - SENSEX Index Options'!$C:$C,$A201,'BSE - SENSEX Index Options'!$B:$B,C$147,'BSE - SENSEX Index Options'!$I:$I,"Weekly*")+SUMIFS('BSE - SENSEX Index Options'!$M:$M,'BSE - SENSEX Index Options'!$C:$C,$A201,'BSE - SENSEX Index Options'!$B:$B,C$147,'BSE - SENSEX Index Options'!$I:$I,"MDAW*")+SUMIFS('BSE - Other Index Options'!$M:$M,'BSE - Other Index Options'!$C:$C,$A201,'BSE - Other Index Options'!$B:$B,C$147,'BSE - Other Index Options'!$I:$I,"Weekly*")+SUMIFS('BSE - Other Index Options'!$M:$M,'BSE - Other Index Options'!$C:$C,$A201,'BSE - Other Index Options'!$B:$B,C$147,'BSE - Other Index Options'!$I:$I,"MDAW*")=0,"",SUMIFS('BSE - SENSEX Index Options'!$M:$M,'BSE - SENSEX Index Options'!$C:$C,$A201,'BSE - SENSEX Index Options'!$B:$B,C$147,'BSE - SENSEX Index Options'!$I:$I,"Weekly*")+SUMIFS('BSE - SENSEX Index Options'!$M:$M,'BSE - SENSEX Index Options'!$C:$C,$A201,'BSE - SENSEX Index Options'!$B:$B,C$147,'BSE - SENSEX Index Options'!$I:$I,"MDAW*")+SUMIFS('BSE - Other Index Options'!$M:$M,'BSE - Other Index Options'!$C:$C,$A201,'BSE - Other Index Options'!$B:$B,C$147,'BSE - Other Index Options'!$I:$I,"Weekly*")+SUMIFS('BSE - Other Index Options'!$M:$M,'BSE - Other Index Options'!$C:$C,$A201,'BSE - Other Index Options'!$B:$B,C$147,'BSE - Other Index Options'!$I:$I,"MDAW*"))</f>
        <v/>
      </c>
      <c r="D201" s="26">
        <f>IF(SUMIFS('BSE - SENSEX Index Options'!$M:$M,'BSE - SENSEX Index Options'!$C:$C,$A201,'BSE - SENSEX Index Options'!$B:$B,D$147,'BSE - SENSEX Index Options'!$I:$I,"Weekly*")+SUMIFS('BSE - SENSEX Index Options'!$M:$M,'BSE - SENSEX Index Options'!$C:$C,$A201,'BSE - SENSEX Index Options'!$B:$B,D$147,'BSE - SENSEX Index Options'!$I:$I,"MDAW*")+SUMIFS('BSE - Other Index Options'!$M:$M,'BSE - Other Index Options'!$C:$C,$A201,'BSE - Other Index Options'!$B:$B,D$147,'BSE - Other Index Options'!$I:$I,"Weekly*")+SUMIFS('BSE - Other Index Options'!$M:$M,'BSE - Other Index Options'!$C:$C,$A201,'BSE - Other Index Options'!$B:$B,D$147,'BSE - Other Index Options'!$I:$I,"MDAW*")=0,"",SUMIFS('BSE - SENSEX Index Options'!$M:$M,'BSE - SENSEX Index Options'!$C:$C,$A201,'BSE - SENSEX Index Options'!$B:$B,D$147,'BSE - SENSEX Index Options'!$I:$I,"Weekly*")+SUMIFS('BSE - SENSEX Index Options'!$M:$M,'BSE - SENSEX Index Options'!$C:$C,$A201,'BSE - SENSEX Index Options'!$B:$B,D$147,'BSE - SENSEX Index Options'!$I:$I,"MDAW*")+SUMIFS('BSE - Other Index Options'!$M:$M,'BSE - Other Index Options'!$C:$C,$A201,'BSE - Other Index Options'!$B:$B,D$147,'BSE - Other Index Options'!$I:$I,"Weekly*")+SUMIFS('BSE - Other Index Options'!$M:$M,'BSE - Other Index Options'!$C:$C,$A201,'BSE - Other Index Options'!$B:$B,D$147,'BSE - Other Index Options'!$I:$I,"MDAW*"))</f>
        <v/>
      </c>
      <c r="E201" s="26">
        <f>IF(SUMIFS('BSE - SENSEX Index Options'!$M:$M,'BSE - SENSEX Index Options'!$C:$C,$A201,'BSE - SENSEX Index Options'!$B:$B,E$147,'BSE - SENSEX Index Options'!$I:$I,"Weekly*")+SUMIFS('BSE - SENSEX Index Options'!$M:$M,'BSE - SENSEX Index Options'!$C:$C,$A201,'BSE - SENSEX Index Options'!$B:$B,E$147,'BSE - SENSEX Index Options'!$I:$I,"MDAW*")+SUMIFS('BSE - Other Index Options'!$M:$M,'BSE - Other Index Options'!$C:$C,$A201,'BSE - Other Index Options'!$B:$B,E$147,'BSE - Other Index Options'!$I:$I,"Weekly*")+SUMIFS('BSE - Other Index Options'!$M:$M,'BSE - Other Index Options'!$C:$C,$A201,'BSE - Other Index Options'!$B:$B,E$147,'BSE - Other Index Options'!$I:$I,"MDAW*")=0,"",SUMIFS('BSE - SENSEX Index Options'!$M:$M,'BSE - SENSEX Index Options'!$C:$C,$A201,'BSE - SENSEX Index Options'!$B:$B,E$147,'BSE - SENSEX Index Options'!$I:$I,"Weekly*")+SUMIFS('BSE - SENSEX Index Options'!$M:$M,'BSE - SENSEX Index Options'!$C:$C,$A201,'BSE - SENSEX Index Options'!$B:$B,E$147,'BSE - SENSEX Index Options'!$I:$I,"MDAW*")+SUMIFS('BSE - Other Index Options'!$M:$M,'BSE - Other Index Options'!$C:$C,$A201,'BSE - Other Index Options'!$B:$B,E$147,'BSE - Other Index Options'!$I:$I,"Weekly*")+SUMIFS('BSE - Other Index Options'!$M:$M,'BSE - Other Index Options'!$C:$C,$A201,'BSE - Other Index Options'!$B:$B,E$147,'BSE - Other Index Options'!$I:$I,"MDAW*"))</f>
        <v/>
      </c>
      <c r="F201" s="26">
        <f>IF(SUMIFS('BSE - SENSEX Index Options'!$M:$M,'BSE - SENSEX Index Options'!$C:$C,$A201,'BSE - SENSEX Index Options'!$B:$B,F$147,'BSE - SENSEX Index Options'!$I:$I,"Weekly*")+SUMIFS('BSE - SENSEX Index Options'!$M:$M,'BSE - SENSEX Index Options'!$C:$C,$A201,'BSE - SENSEX Index Options'!$B:$B,F$147,'BSE - SENSEX Index Options'!$I:$I,"MDAW*")+SUMIFS('BSE - Other Index Options'!$M:$M,'BSE - Other Index Options'!$C:$C,$A201,'BSE - Other Index Options'!$B:$B,F$147,'BSE - Other Index Options'!$I:$I,"Weekly*")+SUMIFS('BSE - Other Index Options'!$M:$M,'BSE - Other Index Options'!$C:$C,$A201,'BSE - Other Index Options'!$B:$B,F$147,'BSE - Other Index Options'!$I:$I,"MDAW*")=0,"",SUMIFS('BSE - SENSEX Index Options'!$M:$M,'BSE - SENSEX Index Options'!$C:$C,$A201,'BSE - SENSEX Index Options'!$B:$B,F$147,'BSE - SENSEX Index Options'!$I:$I,"Weekly*")+SUMIFS('BSE - SENSEX Index Options'!$M:$M,'BSE - SENSEX Index Options'!$C:$C,$A201,'BSE - SENSEX Index Options'!$B:$B,F$147,'BSE - SENSEX Index Options'!$I:$I,"MDAW*")+SUMIFS('BSE - Other Index Options'!$M:$M,'BSE - Other Index Options'!$C:$C,$A201,'BSE - Other Index Options'!$B:$B,F$147,'BSE - Other Index Options'!$I:$I,"Weekly*")+SUMIFS('BSE - Other Index Options'!$M:$M,'BSE - Other Index Options'!$C:$C,$A201,'BSE - Other Index Options'!$B:$B,F$147,'BSE - Other Index Options'!$I:$I,"MDAW*"))</f>
        <v/>
      </c>
      <c r="G201" s="26">
        <f>IF(SUMIFS('BSE - SENSEX Index Options'!$M:$M,'BSE - SENSEX Index Options'!$C:$C,$A201,'BSE - SENSEX Index Options'!$B:$B,G$147,'BSE - SENSEX Index Options'!$I:$I,"Weekly*")+SUMIFS('BSE - SENSEX Index Options'!$M:$M,'BSE - SENSEX Index Options'!$C:$C,$A201,'BSE - SENSEX Index Options'!$B:$B,G$147,'BSE - SENSEX Index Options'!$I:$I,"MDAW*")+SUMIFS('BSE - Other Index Options'!$M:$M,'BSE - Other Index Options'!$C:$C,$A201,'BSE - Other Index Options'!$B:$B,G$147,'BSE - Other Index Options'!$I:$I,"Weekly*")+SUMIFS('BSE - Other Index Options'!$M:$M,'BSE - Other Index Options'!$C:$C,$A201,'BSE - Other Index Options'!$B:$B,G$147,'BSE - Other Index Options'!$I:$I,"MDAW*")=0,"",SUMIFS('BSE - SENSEX Index Options'!$M:$M,'BSE - SENSEX Index Options'!$C:$C,$A201,'BSE - SENSEX Index Options'!$B:$B,G$147,'BSE - SENSEX Index Options'!$I:$I,"Weekly*")+SUMIFS('BSE - SENSEX Index Options'!$M:$M,'BSE - SENSEX Index Options'!$C:$C,$A201,'BSE - SENSEX Index Options'!$B:$B,G$147,'BSE - SENSEX Index Options'!$I:$I,"MDAW*")+SUMIFS('BSE - Other Index Options'!$M:$M,'BSE - Other Index Options'!$C:$C,$A201,'BSE - Other Index Options'!$B:$B,G$147,'BSE - Other Index Options'!$I:$I,"Weekly*")+SUMIFS('BSE - Other Index Options'!$M:$M,'BSE - Other Index Options'!$C:$C,$A201,'BSE - Other Index Options'!$B:$B,G$147,'BSE - Other Index Options'!$I:$I,"MDAW*"))</f>
        <v/>
      </c>
      <c r="H201" s="26">
        <f>IF(SUM(B201:G201)=0,"",SUM(B201:G201))</f>
        <v/>
      </c>
    </row>
    <row r="202">
      <c r="A202" t="inlineStr">
        <is>
          <t>Week1-Aug-2026</t>
        </is>
      </c>
      <c r="B202" s="26">
        <f>IF(SUMIFS('BSE - SENSEX Index Options'!$M:$M,'BSE - SENSEX Index Options'!$C:$C,$A202,'BSE - SENSEX Index Options'!$B:$B,B$147,'BSE - SENSEX Index Options'!$I:$I,"Weekly*")+SUMIFS('BSE - SENSEX Index Options'!$M:$M,'BSE - SENSEX Index Options'!$C:$C,$A202,'BSE - SENSEX Index Options'!$B:$B,B$147,'BSE - SENSEX Index Options'!$I:$I,"MDAW*")+SUMIFS('BSE - Other Index Options'!$M:$M,'BSE - Other Index Options'!$C:$C,$A202,'BSE - Other Index Options'!$B:$B,B$147,'BSE - Other Index Options'!$I:$I,"Weekly*")+SUMIFS('BSE - Other Index Options'!$M:$M,'BSE - Other Index Options'!$C:$C,$A202,'BSE - Other Index Options'!$B:$B,B$147,'BSE - Other Index Options'!$I:$I,"MDAW*")=0,"",SUMIFS('BSE - SENSEX Index Options'!$M:$M,'BSE - SENSEX Index Options'!$C:$C,$A202,'BSE - SENSEX Index Options'!$B:$B,B$147,'BSE - SENSEX Index Options'!$I:$I,"Weekly*")+SUMIFS('BSE - SENSEX Index Options'!$M:$M,'BSE - SENSEX Index Options'!$C:$C,$A202,'BSE - SENSEX Index Options'!$B:$B,B$147,'BSE - SENSEX Index Options'!$I:$I,"MDAW*")+SUMIFS('BSE - Other Index Options'!$M:$M,'BSE - Other Index Options'!$C:$C,$A202,'BSE - Other Index Options'!$B:$B,B$147,'BSE - Other Index Options'!$I:$I,"Weekly*")+SUMIFS('BSE - Other Index Options'!$M:$M,'BSE - Other Index Options'!$C:$C,$A202,'BSE - Other Index Options'!$B:$B,B$147,'BSE - Other Index Options'!$I:$I,"MDAW*"))</f>
        <v/>
      </c>
      <c r="C202" s="26">
        <f>IF(SUMIFS('BSE - SENSEX Index Options'!$M:$M,'BSE - SENSEX Index Options'!$C:$C,$A202,'BSE - SENSEX Index Options'!$B:$B,C$147,'BSE - SENSEX Index Options'!$I:$I,"Weekly*")+SUMIFS('BSE - SENSEX Index Options'!$M:$M,'BSE - SENSEX Index Options'!$C:$C,$A202,'BSE - SENSEX Index Options'!$B:$B,C$147,'BSE - SENSEX Index Options'!$I:$I,"MDAW*")+SUMIFS('BSE - Other Index Options'!$M:$M,'BSE - Other Index Options'!$C:$C,$A202,'BSE - Other Index Options'!$B:$B,C$147,'BSE - Other Index Options'!$I:$I,"Weekly*")+SUMIFS('BSE - Other Index Options'!$M:$M,'BSE - Other Index Options'!$C:$C,$A202,'BSE - Other Index Options'!$B:$B,C$147,'BSE - Other Index Options'!$I:$I,"MDAW*")=0,"",SUMIFS('BSE - SENSEX Index Options'!$M:$M,'BSE - SENSEX Index Options'!$C:$C,$A202,'BSE - SENSEX Index Options'!$B:$B,C$147,'BSE - SENSEX Index Options'!$I:$I,"Weekly*")+SUMIFS('BSE - SENSEX Index Options'!$M:$M,'BSE - SENSEX Index Options'!$C:$C,$A202,'BSE - SENSEX Index Options'!$B:$B,C$147,'BSE - SENSEX Index Options'!$I:$I,"MDAW*")+SUMIFS('BSE - Other Index Options'!$M:$M,'BSE - Other Index Options'!$C:$C,$A202,'BSE - Other Index Options'!$B:$B,C$147,'BSE - Other Index Options'!$I:$I,"Weekly*")+SUMIFS('BSE - Other Index Options'!$M:$M,'BSE - Other Index Options'!$C:$C,$A202,'BSE - Other Index Options'!$B:$B,C$147,'BSE - Other Index Options'!$I:$I,"MDAW*"))</f>
        <v/>
      </c>
      <c r="D202" s="26">
        <f>IF(SUMIFS('BSE - SENSEX Index Options'!$M:$M,'BSE - SENSEX Index Options'!$C:$C,$A202,'BSE - SENSEX Index Options'!$B:$B,D$147,'BSE - SENSEX Index Options'!$I:$I,"Weekly*")+SUMIFS('BSE - SENSEX Index Options'!$M:$M,'BSE - SENSEX Index Options'!$C:$C,$A202,'BSE - SENSEX Index Options'!$B:$B,D$147,'BSE - SENSEX Index Options'!$I:$I,"MDAW*")+SUMIFS('BSE - Other Index Options'!$M:$M,'BSE - Other Index Options'!$C:$C,$A202,'BSE - Other Index Options'!$B:$B,D$147,'BSE - Other Index Options'!$I:$I,"Weekly*")+SUMIFS('BSE - Other Index Options'!$M:$M,'BSE - Other Index Options'!$C:$C,$A202,'BSE - Other Index Options'!$B:$B,D$147,'BSE - Other Index Options'!$I:$I,"MDAW*")=0,"",SUMIFS('BSE - SENSEX Index Options'!$M:$M,'BSE - SENSEX Index Options'!$C:$C,$A202,'BSE - SENSEX Index Options'!$B:$B,D$147,'BSE - SENSEX Index Options'!$I:$I,"Weekly*")+SUMIFS('BSE - SENSEX Index Options'!$M:$M,'BSE - SENSEX Index Options'!$C:$C,$A202,'BSE - SENSEX Index Options'!$B:$B,D$147,'BSE - SENSEX Index Options'!$I:$I,"MDAW*")+SUMIFS('BSE - Other Index Options'!$M:$M,'BSE - Other Index Options'!$C:$C,$A202,'BSE - Other Index Options'!$B:$B,D$147,'BSE - Other Index Options'!$I:$I,"Weekly*")+SUMIFS('BSE - Other Index Options'!$M:$M,'BSE - Other Index Options'!$C:$C,$A202,'BSE - Other Index Options'!$B:$B,D$147,'BSE - Other Index Options'!$I:$I,"MDAW*"))</f>
        <v/>
      </c>
      <c r="E202" s="26">
        <f>IF(SUMIFS('BSE - SENSEX Index Options'!$M:$M,'BSE - SENSEX Index Options'!$C:$C,$A202,'BSE - SENSEX Index Options'!$B:$B,E$147,'BSE - SENSEX Index Options'!$I:$I,"Weekly*")+SUMIFS('BSE - SENSEX Index Options'!$M:$M,'BSE - SENSEX Index Options'!$C:$C,$A202,'BSE - SENSEX Index Options'!$B:$B,E$147,'BSE - SENSEX Index Options'!$I:$I,"MDAW*")+SUMIFS('BSE - Other Index Options'!$M:$M,'BSE - Other Index Options'!$C:$C,$A202,'BSE - Other Index Options'!$B:$B,E$147,'BSE - Other Index Options'!$I:$I,"Weekly*")+SUMIFS('BSE - Other Index Options'!$M:$M,'BSE - Other Index Options'!$C:$C,$A202,'BSE - Other Index Options'!$B:$B,E$147,'BSE - Other Index Options'!$I:$I,"MDAW*")=0,"",SUMIFS('BSE - SENSEX Index Options'!$M:$M,'BSE - SENSEX Index Options'!$C:$C,$A202,'BSE - SENSEX Index Options'!$B:$B,E$147,'BSE - SENSEX Index Options'!$I:$I,"Weekly*")+SUMIFS('BSE - SENSEX Index Options'!$M:$M,'BSE - SENSEX Index Options'!$C:$C,$A202,'BSE - SENSEX Index Options'!$B:$B,E$147,'BSE - SENSEX Index Options'!$I:$I,"MDAW*")+SUMIFS('BSE - Other Index Options'!$M:$M,'BSE - Other Index Options'!$C:$C,$A202,'BSE - Other Index Options'!$B:$B,E$147,'BSE - Other Index Options'!$I:$I,"Weekly*")+SUMIFS('BSE - Other Index Options'!$M:$M,'BSE - Other Index Options'!$C:$C,$A202,'BSE - Other Index Options'!$B:$B,E$147,'BSE - Other Index Options'!$I:$I,"MDAW*"))</f>
        <v/>
      </c>
      <c r="F202" s="26">
        <f>IF(SUMIFS('BSE - SENSEX Index Options'!$M:$M,'BSE - SENSEX Index Options'!$C:$C,$A202,'BSE - SENSEX Index Options'!$B:$B,F$147,'BSE - SENSEX Index Options'!$I:$I,"Weekly*")+SUMIFS('BSE - SENSEX Index Options'!$M:$M,'BSE - SENSEX Index Options'!$C:$C,$A202,'BSE - SENSEX Index Options'!$B:$B,F$147,'BSE - SENSEX Index Options'!$I:$I,"MDAW*")+SUMIFS('BSE - Other Index Options'!$M:$M,'BSE - Other Index Options'!$C:$C,$A202,'BSE - Other Index Options'!$B:$B,F$147,'BSE - Other Index Options'!$I:$I,"Weekly*")+SUMIFS('BSE - Other Index Options'!$M:$M,'BSE - Other Index Options'!$C:$C,$A202,'BSE - Other Index Options'!$B:$B,F$147,'BSE - Other Index Options'!$I:$I,"MDAW*")=0,"",SUMIFS('BSE - SENSEX Index Options'!$M:$M,'BSE - SENSEX Index Options'!$C:$C,$A202,'BSE - SENSEX Index Options'!$B:$B,F$147,'BSE - SENSEX Index Options'!$I:$I,"Weekly*")+SUMIFS('BSE - SENSEX Index Options'!$M:$M,'BSE - SENSEX Index Options'!$C:$C,$A202,'BSE - SENSEX Index Options'!$B:$B,F$147,'BSE - SENSEX Index Options'!$I:$I,"MDAW*")+SUMIFS('BSE - Other Index Options'!$M:$M,'BSE - Other Index Options'!$C:$C,$A202,'BSE - Other Index Options'!$B:$B,F$147,'BSE - Other Index Options'!$I:$I,"Weekly*")+SUMIFS('BSE - Other Index Options'!$M:$M,'BSE - Other Index Options'!$C:$C,$A202,'BSE - Other Index Options'!$B:$B,F$147,'BSE - Other Index Options'!$I:$I,"MDAW*"))</f>
        <v/>
      </c>
      <c r="G202" s="26">
        <f>IF(SUMIFS('BSE - SENSEX Index Options'!$M:$M,'BSE - SENSEX Index Options'!$C:$C,$A202,'BSE - SENSEX Index Options'!$B:$B,G$147,'BSE - SENSEX Index Options'!$I:$I,"Weekly*")+SUMIFS('BSE - SENSEX Index Options'!$M:$M,'BSE - SENSEX Index Options'!$C:$C,$A202,'BSE - SENSEX Index Options'!$B:$B,G$147,'BSE - SENSEX Index Options'!$I:$I,"MDAW*")+SUMIFS('BSE - Other Index Options'!$M:$M,'BSE - Other Index Options'!$C:$C,$A202,'BSE - Other Index Options'!$B:$B,G$147,'BSE - Other Index Options'!$I:$I,"Weekly*")+SUMIFS('BSE - Other Index Options'!$M:$M,'BSE - Other Index Options'!$C:$C,$A202,'BSE - Other Index Options'!$B:$B,G$147,'BSE - Other Index Options'!$I:$I,"MDAW*")=0,"",SUMIFS('BSE - SENSEX Index Options'!$M:$M,'BSE - SENSEX Index Options'!$C:$C,$A202,'BSE - SENSEX Index Options'!$B:$B,G$147,'BSE - SENSEX Index Options'!$I:$I,"Weekly*")+SUMIFS('BSE - SENSEX Index Options'!$M:$M,'BSE - SENSEX Index Options'!$C:$C,$A202,'BSE - SENSEX Index Options'!$B:$B,G$147,'BSE - SENSEX Index Options'!$I:$I,"MDAW*")+SUMIFS('BSE - Other Index Options'!$M:$M,'BSE - Other Index Options'!$C:$C,$A202,'BSE - Other Index Options'!$B:$B,G$147,'BSE - Other Index Options'!$I:$I,"Weekly*")+SUMIFS('BSE - Other Index Options'!$M:$M,'BSE - Other Index Options'!$C:$C,$A202,'BSE - Other Index Options'!$B:$B,G$147,'BSE - Other Index Options'!$I:$I,"MDAW*"))</f>
        <v/>
      </c>
      <c r="H202" s="26">
        <f>IF(SUM(B202:G202)=0,"",SUM(B202:G202))</f>
        <v/>
      </c>
    </row>
    <row r="203" hidden="1" outlineLevel="1">
      <c r="A203" t="inlineStr">
        <is>
          <t>Week2-Aug-2026</t>
        </is>
      </c>
      <c r="B203" s="26">
        <f>IF(SUMIFS('BSE - SENSEX Index Options'!$M:$M,'BSE - SENSEX Index Options'!$C:$C,$A203,'BSE - SENSEX Index Options'!$B:$B,B$147,'BSE - SENSEX Index Options'!$I:$I,"Weekly*")+SUMIFS('BSE - SENSEX Index Options'!$M:$M,'BSE - SENSEX Index Options'!$C:$C,$A203,'BSE - SENSEX Index Options'!$B:$B,B$147,'BSE - SENSEX Index Options'!$I:$I,"MDAW*")+SUMIFS('BSE - Other Index Options'!$M:$M,'BSE - Other Index Options'!$C:$C,$A203,'BSE - Other Index Options'!$B:$B,B$147,'BSE - Other Index Options'!$I:$I,"Weekly*")+SUMIFS('BSE - Other Index Options'!$M:$M,'BSE - Other Index Options'!$C:$C,$A203,'BSE - Other Index Options'!$B:$B,B$147,'BSE - Other Index Options'!$I:$I,"MDAW*")=0,"",SUMIFS('BSE - SENSEX Index Options'!$M:$M,'BSE - SENSEX Index Options'!$C:$C,$A203,'BSE - SENSEX Index Options'!$B:$B,B$147,'BSE - SENSEX Index Options'!$I:$I,"Weekly*")+SUMIFS('BSE - SENSEX Index Options'!$M:$M,'BSE - SENSEX Index Options'!$C:$C,$A203,'BSE - SENSEX Index Options'!$B:$B,B$147,'BSE - SENSEX Index Options'!$I:$I,"MDAW*")+SUMIFS('BSE - Other Index Options'!$M:$M,'BSE - Other Index Options'!$C:$C,$A203,'BSE - Other Index Options'!$B:$B,B$147,'BSE - Other Index Options'!$I:$I,"Weekly*")+SUMIFS('BSE - Other Index Options'!$M:$M,'BSE - Other Index Options'!$C:$C,$A203,'BSE - Other Index Options'!$B:$B,B$147,'BSE - Other Index Options'!$I:$I,"MDAW*"))</f>
        <v/>
      </c>
      <c r="C203" s="26">
        <f>IF(SUMIFS('BSE - SENSEX Index Options'!$M:$M,'BSE - SENSEX Index Options'!$C:$C,$A203,'BSE - SENSEX Index Options'!$B:$B,C$147,'BSE - SENSEX Index Options'!$I:$I,"Weekly*")+SUMIFS('BSE - SENSEX Index Options'!$M:$M,'BSE - SENSEX Index Options'!$C:$C,$A203,'BSE - SENSEX Index Options'!$B:$B,C$147,'BSE - SENSEX Index Options'!$I:$I,"MDAW*")+SUMIFS('BSE - Other Index Options'!$M:$M,'BSE - Other Index Options'!$C:$C,$A203,'BSE - Other Index Options'!$B:$B,C$147,'BSE - Other Index Options'!$I:$I,"Weekly*")+SUMIFS('BSE - Other Index Options'!$M:$M,'BSE - Other Index Options'!$C:$C,$A203,'BSE - Other Index Options'!$B:$B,C$147,'BSE - Other Index Options'!$I:$I,"MDAW*")=0,"",SUMIFS('BSE - SENSEX Index Options'!$M:$M,'BSE - SENSEX Index Options'!$C:$C,$A203,'BSE - SENSEX Index Options'!$B:$B,C$147,'BSE - SENSEX Index Options'!$I:$I,"Weekly*")+SUMIFS('BSE - SENSEX Index Options'!$M:$M,'BSE - SENSEX Index Options'!$C:$C,$A203,'BSE - SENSEX Index Options'!$B:$B,C$147,'BSE - SENSEX Index Options'!$I:$I,"MDAW*")+SUMIFS('BSE - Other Index Options'!$M:$M,'BSE - Other Index Options'!$C:$C,$A203,'BSE - Other Index Options'!$B:$B,C$147,'BSE - Other Index Options'!$I:$I,"Weekly*")+SUMIFS('BSE - Other Index Options'!$M:$M,'BSE - Other Index Options'!$C:$C,$A203,'BSE - Other Index Options'!$B:$B,C$147,'BSE - Other Index Options'!$I:$I,"MDAW*"))</f>
        <v/>
      </c>
      <c r="D203" s="26">
        <f>IF(SUMIFS('BSE - SENSEX Index Options'!$M:$M,'BSE - SENSEX Index Options'!$C:$C,$A203,'BSE - SENSEX Index Options'!$B:$B,D$147,'BSE - SENSEX Index Options'!$I:$I,"Weekly*")+SUMIFS('BSE - SENSEX Index Options'!$M:$M,'BSE - SENSEX Index Options'!$C:$C,$A203,'BSE - SENSEX Index Options'!$B:$B,D$147,'BSE - SENSEX Index Options'!$I:$I,"MDAW*")+SUMIFS('BSE - Other Index Options'!$M:$M,'BSE - Other Index Options'!$C:$C,$A203,'BSE - Other Index Options'!$B:$B,D$147,'BSE - Other Index Options'!$I:$I,"Weekly*")+SUMIFS('BSE - Other Index Options'!$M:$M,'BSE - Other Index Options'!$C:$C,$A203,'BSE - Other Index Options'!$B:$B,D$147,'BSE - Other Index Options'!$I:$I,"MDAW*")=0,"",SUMIFS('BSE - SENSEX Index Options'!$M:$M,'BSE - SENSEX Index Options'!$C:$C,$A203,'BSE - SENSEX Index Options'!$B:$B,D$147,'BSE - SENSEX Index Options'!$I:$I,"Weekly*")+SUMIFS('BSE - SENSEX Index Options'!$M:$M,'BSE - SENSEX Index Options'!$C:$C,$A203,'BSE - SENSEX Index Options'!$B:$B,D$147,'BSE - SENSEX Index Options'!$I:$I,"MDAW*")+SUMIFS('BSE - Other Index Options'!$M:$M,'BSE - Other Index Options'!$C:$C,$A203,'BSE - Other Index Options'!$B:$B,D$147,'BSE - Other Index Options'!$I:$I,"Weekly*")+SUMIFS('BSE - Other Index Options'!$M:$M,'BSE - Other Index Options'!$C:$C,$A203,'BSE - Other Index Options'!$B:$B,D$147,'BSE - Other Index Options'!$I:$I,"MDAW*"))</f>
        <v/>
      </c>
      <c r="E203" s="26">
        <f>IF(SUMIFS('BSE - SENSEX Index Options'!$M:$M,'BSE - SENSEX Index Options'!$C:$C,$A203,'BSE - SENSEX Index Options'!$B:$B,E$147,'BSE - SENSEX Index Options'!$I:$I,"Weekly*")+SUMIFS('BSE - SENSEX Index Options'!$M:$M,'BSE - SENSEX Index Options'!$C:$C,$A203,'BSE - SENSEX Index Options'!$B:$B,E$147,'BSE - SENSEX Index Options'!$I:$I,"MDAW*")+SUMIFS('BSE - Other Index Options'!$M:$M,'BSE - Other Index Options'!$C:$C,$A203,'BSE - Other Index Options'!$B:$B,E$147,'BSE - Other Index Options'!$I:$I,"Weekly*")+SUMIFS('BSE - Other Index Options'!$M:$M,'BSE - Other Index Options'!$C:$C,$A203,'BSE - Other Index Options'!$B:$B,E$147,'BSE - Other Index Options'!$I:$I,"MDAW*")=0,"",SUMIFS('BSE - SENSEX Index Options'!$M:$M,'BSE - SENSEX Index Options'!$C:$C,$A203,'BSE - SENSEX Index Options'!$B:$B,E$147,'BSE - SENSEX Index Options'!$I:$I,"Weekly*")+SUMIFS('BSE - SENSEX Index Options'!$M:$M,'BSE - SENSEX Index Options'!$C:$C,$A203,'BSE - SENSEX Index Options'!$B:$B,E$147,'BSE - SENSEX Index Options'!$I:$I,"MDAW*")+SUMIFS('BSE - Other Index Options'!$M:$M,'BSE - Other Index Options'!$C:$C,$A203,'BSE - Other Index Options'!$B:$B,E$147,'BSE - Other Index Options'!$I:$I,"Weekly*")+SUMIFS('BSE - Other Index Options'!$M:$M,'BSE - Other Index Options'!$C:$C,$A203,'BSE - Other Index Options'!$B:$B,E$147,'BSE - Other Index Options'!$I:$I,"MDAW*"))</f>
        <v/>
      </c>
      <c r="F203" s="26">
        <f>IF(SUMIFS('BSE - SENSEX Index Options'!$M:$M,'BSE - SENSEX Index Options'!$C:$C,$A203,'BSE - SENSEX Index Options'!$B:$B,F$147,'BSE - SENSEX Index Options'!$I:$I,"Weekly*")+SUMIFS('BSE - SENSEX Index Options'!$M:$M,'BSE - SENSEX Index Options'!$C:$C,$A203,'BSE - SENSEX Index Options'!$B:$B,F$147,'BSE - SENSEX Index Options'!$I:$I,"MDAW*")+SUMIFS('BSE - Other Index Options'!$M:$M,'BSE - Other Index Options'!$C:$C,$A203,'BSE - Other Index Options'!$B:$B,F$147,'BSE - Other Index Options'!$I:$I,"Weekly*")+SUMIFS('BSE - Other Index Options'!$M:$M,'BSE - Other Index Options'!$C:$C,$A203,'BSE - Other Index Options'!$B:$B,F$147,'BSE - Other Index Options'!$I:$I,"MDAW*")=0,"",SUMIFS('BSE - SENSEX Index Options'!$M:$M,'BSE - SENSEX Index Options'!$C:$C,$A203,'BSE - SENSEX Index Options'!$B:$B,F$147,'BSE - SENSEX Index Options'!$I:$I,"Weekly*")+SUMIFS('BSE - SENSEX Index Options'!$M:$M,'BSE - SENSEX Index Options'!$C:$C,$A203,'BSE - SENSEX Index Options'!$B:$B,F$147,'BSE - SENSEX Index Options'!$I:$I,"MDAW*")+SUMIFS('BSE - Other Index Options'!$M:$M,'BSE - Other Index Options'!$C:$C,$A203,'BSE - Other Index Options'!$B:$B,F$147,'BSE - Other Index Options'!$I:$I,"Weekly*")+SUMIFS('BSE - Other Index Options'!$M:$M,'BSE - Other Index Options'!$C:$C,$A203,'BSE - Other Index Options'!$B:$B,F$147,'BSE - Other Index Options'!$I:$I,"MDAW*"))</f>
        <v/>
      </c>
      <c r="G203" s="26">
        <f>IF(SUMIFS('BSE - SENSEX Index Options'!$M:$M,'BSE - SENSEX Index Options'!$C:$C,$A203,'BSE - SENSEX Index Options'!$B:$B,G$147,'BSE - SENSEX Index Options'!$I:$I,"Weekly*")+SUMIFS('BSE - SENSEX Index Options'!$M:$M,'BSE - SENSEX Index Options'!$C:$C,$A203,'BSE - SENSEX Index Options'!$B:$B,G$147,'BSE - SENSEX Index Options'!$I:$I,"MDAW*")+SUMIFS('BSE - Other Index Options'!$M:$M,'BSE - Other Index Options'!$C:$C,$A203,'BSE - Other Index Options'!$B:$B,G$147,'BSE - Other Index Options'!$I:$I,"Weekly*")+SUMIFS('BSE - Other Index Options'!$M:$M,'BSE - Other Index Options'!$C:$C,$A203,'BSE - Other Index Options'!$B:$B,G$147,'BSE - Other Index Options'!$I:$I,"MDAW*")=0,"",SUMIFS('BSE - SENSEX Index Options'!$M:$M,'BSE - SENSEX Index Options'!$C:$C,$A203,'BSE - SENSEX Index Options'!$B:$B,G$147,'BSE - SENSEX Index Options'!$I:$I,"Weekly*")+SUMIFS('BSE - SENSEX Index Options'!$M:$M,'BSE - SENSEX Index Options'!$C:$C,$A203,'BSE - SENSEX Index Options'!$B:$B,G$147,'BSE - SENSEX Index Options'!$I:$I,"MDAW*")+SUMIFS('BSE - Other Index Options'!$M:$M,'BSE - Other Index Options'!$C:$C,$A203,'BSE - Other Index Options'!$B:$B,G$147,'BSE - Other Index Options'!$I:$I,"Weekly*")+SUMIFS('BSE - Other Index Options'!$M:$M,'BSE - Other Index Options'!$C:$C,$A203,'BSE - Other Index Options'!$B:$B,G$147,'BSE - Other Index Options'!$I:$I,"MDAW*"))</f>
        <v/>
      </c>
      <c r="H203" s="26">
        <f>IF(SUM(B203:G203)=0,"",SUM(B203:G203))</f>
        <v/>
      </c>
    </row>
    <row r="204" hidden="1" outlineLevel="1">
      <c r="A204" t="inlineStr">
        <is>
          <t>Week3-Aug-2026</t>
        </is>
      </c>
      <c r="B204" s="26">
        <f>IF(SUMIFS('BSE - SENSEX Index Options'!$M:$M,'BSE - SENSEX Index Options'!$C:$C,$A204,'BSE - SENSEX Index Options'!$B:$B,B$147,'BSE - SENSEX Index Options'!$I:$I,"Weekly*")+SUMIFS('BSE - SENSEX Index Options'!$M:$M,'BSE - SENSEX Index Options'!$C:$C,$A204,'BSE - SENSEX Index Options'!$B:$B,B$147,'BSE - SENSEX Index Options'!$I:$I,"MDAW*")+SUMIFS('BSE - Other Index Options'!$M:$M,'BSE - Other Index Options'!$C:$C,$A204,'BSE - Other Index Options'!$B:$B,B$147,'BSE - Other Index Options'!$I:$I,"Weekly*")+SUMIFS('BSE - Other Index Options'!$M:$M,'BSE - Other Index Options'!$C:$C,$A204,'BSE - Other Index Options'!$B:$B,B$147,'BSE - Other Index Options'!$I:$I,"MDAW*")=0,"",SUMIFS('BSE - SENSEX Index Options'!$M:$M,'BSE - SENSEX Index Options'!$C:$C,$A204,'BSE - SENSEX Index Options'!$B:$B,B$147,'BSE - SENSEX Index Options'!$I:$I,"Weekly*")+SUMIFS('BSE - SENSEX Index Options'!$M:$M,'BSE - SENSEX Index Options'!$C:$C,$A204,'BSE - SENSEX Index Options'!$B:$B,B$147,'BSE - SENSEX Index Options'!$I:$I,"MDAW*")+SUMIFS('BSE - Other Index Options'!$M:$M,'BSE - Other Index Options'!$C:$C,$A204,'BSE - Other Index Options'!$B:$B,B$147,'BSE - Other Index Options'!$I:$I,"Weekly*")+SUMIFS('BSE - Other Index Options'!$M:$M,'BSE - Other Index Options'!$C:$C,$A204,'BSE - Other Index Options'!$B:$B,B$147,'BSE - Other Index Options'!$I:$I,"MDAW*"))</f>
        <v/>
      </c>
      <c r="C204" s="26">
        <f>IF(SUMIFS('BSE - SENSEX Index Options'!$M:$M,'BSE - SENSEX Index Options'!$C:$C,$A204,'BSE - SENSEX Index Options'!$B:$B,C$147,'BSE - SENSEX Index Options'!$I:$I,"Weekly*")+SUMIFS('BSE - SENSEX Index Options'!$M:$M,'BSE - SENSEX Index Options'!$C:$C,$A204,'BSE - SENSEX Index Options'!$B:$B,C$147,'BSE - SENSEX Index Options'!$I:$I,"MDAW*")+SUMIFS('BSE - Other Index Options'!$M:$M,'BSE - Other Index Options'!$C:$C,$A204,'BSE - Other Index Options'!$B:$B,C$147,'BSE - Other Index Options'!$I:$I,"Weekly*")+SUMIFS('BSE - Other Index Options'!$M:$M,'BSE - Other Index Options'!$C:$C,$A204,'BSE - Other Index Options'!$B:$B,C$147,'BSE - Other Index Options'!$I:$I,"MDAW*")=0,"",SUMIFS('BSE - SENSEX Index Options'!$M:$M,'BSE - SENSEX Index Options'!$C:$C,$A204,'BSE - SENSEX Index Options'!$B:$B,C$147,'BSE - SENSEX Index Options'!$I:$I,"Weekly*")+SUMIFS('BSE - SENSEX Index Options'!$M:$M,'BSE - SENSEX Index Options'!$C:$C,$A204,'BSE - SENSEX Index Options'!$B:$B,C$147,'BSE - SENSEX Index Options'!$I:$I,"MDAW*")+SUMIFS('BSE - Other Index Options'!$M:$M,'BSE - Other Index Options'!$C:$C,$A204,'BSE - Other Index Options'!$B:$B,C$147,'BSE - Other Index Options'!$I:$I,"Weekly*")+SUMIFS('BSE - Other Index Options'!$M:$M,'BSE - Other Index Options'!$C:$C,$A204,'BSE - Other Index Options'!$B:$B,C$147,'BSE - Other Index Options'!$I:$I,"MDAW*"))</f>
        <v/>
      </c>
      <c r="D204" s="26">
        <f>IF(SUMIFS('BSE - SENSEX Index Options'!$M:$M,'BSE - SENSEX Index Options'!$C:$C,$A204,'BSE - SENSEX Index Options'!$B:$B,D$147,'BSE - SENSEX Index Options'!$I:$I,"Weekly*")+SUMIFS('BSE - SENSEX Index Options'!$M:$M,'BSE - SENSEX Index Options'!$C:$C,$A204,'BSE - SENSEX Index Options'!$B:$B,D$147,'BSE - SENSEX Index Options'!$I:$I,"MDAW*")+SUMIFS('BSE - Other Index Options'!$M:$M,'BSE - Other Index Options'!$C:$C,$A204,'BSE - Other Index Options'!$B:$B,D$147,'BSE - Other Index Options'!$I:$I,"Weekly*")+SUMIFS('BSE - Other Index Options'!$M:$M,'BSE - Other Index Options'!$C:$C,$A204,'BSE - Other Index Options'!$B:$B,D$147,'BSE - Other Index Options'!$I:$I,"MDAW*")=0,"",SUMIFS('BSE - SENSEX Index Options'!$M:$M,'BSE - SENSEX Index Options'!$C:$C,$A204,'BSE - SENSEX Index Options'!$B:$B,D$147,'BSE - SENSEX Index Options'!$I:$I,"Weekly*")+SUMIFS('BSE - SENSEX Index Options'!$M:$M,'BSE - SENSEX Index Options'!$C:$C,$A204,'BSE - SENSEX Index Options'!$B:$B,D$147,'BSE - SENSEX Index Options'!$I:$I,"MDAW*")+SUMIFS('BSE - Other Index Options'!$M:$M,'BSE - Other Index Options'!$C:$C,$A204,'BSE - Other Index Options'!$B:$B,D$147,'BSE - Other Index Options'!$I:$I,"Weekly*")+SUMIFS('BSE - Other Index Options'!$M:$M,'BSE - Other Index Options'!$C:$C,$A204,'BSE - Other Index Options'!$B:$B,D$147,'BSE - Other Index Options'!$I:$I,"MDAW*"))</f>
        <v/>
      </c>
      <c r="E204" s="26">
        <f>IF(SUMIFS('BSE - SENSEX Index Options'!$M:$M,'BSE - SENSEX Index Options'!$C:$C,$A204,'BSE - SENSEX Index Options'!$B:$B,E$147,'BSE - SENSEX Index Options'!$I:$I,"Weekly*")+SUMIFS('BSE - SENSEX Index Options'!$M:$M,'BSE - SENSEX Index Options'!$C:$C,$A204,'BSE - SENSEX Index Options'!$B:$B,E$147,'BSE - SENSEX Index Options'!$I:$I,"MDAW*")+SUMIFS('BSE - Other Index Options'!$M:$M,'BSE - Other Index Options'!$C:$C,$A204,'BSE - Other Index Options'!$B:$B,E$147,'BSE - Other Index Options'!$I:$I,"Weekly*")+SUMIFS('BSE - Other Index Options'!$M:$M,'BSE - Other Index Options'!$C:$C,$A204,'BSE - Other Index Options'!$B:$B,E$147,'BSE - Other Index Options'!$I:$I,"MDAW*")=0,"",SUMIFS('BSE - SENSEX Index Options'!$M:$M,'BSE - SENSEX Index Options'!$C:$C,$A204,'BSE - SENSEX Index Options'!$B:$B,E$147,'BSE - SENSEX Index Options'!$I:$I,"Weekly*")+SUMIFS('BSE - SENSEX Index Options'!$M:$M,'BSE - SENSEX Index Options'!$C:$C,$A204,'BSE - SENSEX Index Options'!$B:$B,E$147,'BSE - SENSEX Index Options'!$I:$I,"MDAW*")+SUMIFS('BSE - Other Index Options'!$M:$M,'BSE - Other Index Options'!$C:$C,$A204,'BSE - Other Index Options'!$B:$B,E$147,'BSE - Other Index Options'!$I:$I,"Weekly*")+SUMIFS('BSE - Other Index Options'!$M:$M,'BSE - Other Index Options'!$C:$C,$A204,'BSE - Other Index Options'!$B:$B,E$147,'BSE - Other Index Options'!$I:$I,"MDAW*"))</f>
        <v/>
      </c>
      <c r="F204" s="26">
        <f>IF(SUMIFS('BSE - SENSEX Index Options'!$M:$M,'BSE - SENSEX Index Options'!$C:$C,$A204,'BSE - SENSEX Index Options'!$B:$B,F$147,'BSE - SENSEX Index Options'!$I:$I,"Weekly*")+SUMIFS('BSE - SENSEX Index Options'!$M:$M,'BSE - SENSEX Index Options'!$C:$C,$A204,'BSE - SENSEX Index Options'!$B:$B,F$147,'BSE - SENSEX Index Options'!$I:$I,"MDAW*")+SUMIFS('BSE - Other Index Options'!$M:$M,'BSE - Other Index Options'!$C:$C,$A204,'BSE - Other Index Options'!$B:$B,F$147,'BSE - Other Index Options'!$I:$I,"Weekly*")+SUMIFS('BSE - Other Index Options'!$M:$M,'BSE - Other Index Options'!$C:$C,$A204,'BSE - Other Index Options'!$B:$B,F$147,'BSE - Other Index Options'!$I:$I,"MDAW*")=0,"",SUMIFS('BSE - SENSEX Index Options'!$M:$M,'BSE - SENSEX Index Options'!$C:$C,$A204,'BSE - SENSEX Index Options'!$B:$B,F$147,'BSE - SENSEX Index Options'!$I:$I,"Weekly*")+SUMIFS('BSE - SENSEX Index Options'!$M:$M,'BSE - SENSEX Index Options'!$C:$C,$A204,'BSE - SENSEX Index Options'!$B:$B,F$147,'BSE - SENSEX Index Options'!$I:$I,"MDAW*")+SUMIFS('BSE - Other Index Options'!$M:$M,'BSE - Other Index Options'!$C:$C,$A204,'BSE - Other Index Options'!$B:$B,F$147,'BSE - Other Index Options'!$I:$I,"Weekly*")+SUMIFS('BSE - Other Index Options'!$M:$M,'BSE - Other Index Options'!$C:$C,$A204,'BSE - Other Index Options'!$B:$B,F$147,'BSE - Other Index Options'!$I:$I,"MDAW*"))</f>
        <v/>
      </c>
      <c r="G204" s="26">
        <f>IF(SUMIFS('BSE - SENSEX Index Options'!$M:$M,'BSE - SENSEX Index Options'!$C:$C,$A204,'BSE - SENSEX Index Options'!$B:$B,G$147,'BSE - SENSEX Index Options'!$I:$I,"Weekly*")+SUMIFS('BSE - SENSEX Index Options'!$M:$M,'BSE - SENSEX Index Options'!$C:$C,$A204,'BSE - SENSEX Index Options'!$B:$B,G$147,'BSE - SENSEX Index Options'!$I:$I,"MDAW*")+SUMIFS('BSE - Other Index Options'!$M:$M,'BSE - Other Index Options'!$C:$C,$A204,'BSE - Other Index Options'!$B:$B,G$147,'BSE - Other Index Options'!$I:$I,"Weekly*")+SUMIFS('BSE - Other Index Options'!$M:$M,'BSE - Other Index Options'!$C:$C,$A204,'BSE - Other Index Options'!$B:$B,G$147,'BSE - Other Index Options'!$I:$I,"MDAW*")=0,"",SUMIFS('BSE - SENSEX Index Options'!$M:$M,'BSE - SENSEX Index Options'!$C:$C,$A204,'BSE - SENSEX Index Options'!$B:$B,G$147,'BSE - SENSEX Index Options'!$I:$I,"Weekly*")+SUMIFS('BSE - SENSEX Index Options'!$M:$M,'BSE - SENSEX Index Options'!$C:$C,$A204,'BSE - SENSEX Index Options'!$B:$B,G$147,'BSE - SENSEX Index Options'!$I:$I,"MDAW*")+SUMIFS('BSE - Other Index Options'!$M:$M,'BSE - Other Index Options'!$C:$C,$A204,'BSE - Other Index Options'!$B:$B,G$147,'BSE - Other Index Options'!$I:$I,"Weekly*")+SUMIFS('BSE - Other Index Options'!$M:$M,'BSE - Other Index Options'!$C:$C,$A204,'BSE - Other Index Options'!$B:$B,G$147,'BSE - Other Index Options'!$I:$I,"MDAW*"))</f>
        <v/>
      </c>
      <c r="H204" s="26">
        <f>IF(SUM(B204:G204)=0,"",SUM(B204:G204))</f>
        <v/>
      </c>
    </row>
    <row r="205" hidden="1" outlineLevel="1">
      <c r="A205" t="inlineStr">
        <is>
          <t>Week4-Aug-2026</t>
        </is>
      </c>
      <c r="B205" s="26">
        <f>IF(SUMIFS('BSE - SENSEX Index Options'!$M:$M,'BSE - SENSEX Index Options'!$C:$C,$A205,'BSE - SENSEX Index Options'!$B:$B,B$147,'BSE - SENSEX Index Options'!$I:$I,"Weekly*")+SUMIFS('BSE - SENSEX Index Options'!$M:$M,'BSE - SENSEX Index Options'!$C:$C,$A205,'BSE - SENSEX Index Options'!$B:$B,B$147,'BSE - SENSEX Index Options'!$I:$I,"MDAW*")+SUMIFS('BSE - Other Index Options'!$M:$M,'BSE - Other Index Options'!$C:$C,$A205,'BSE - Other Index Options'!$B:$B,B$147,'BSE - Other Index Options'!$I:$I,"Weekly*")+SUMIFS('BSE - Other Index Options'!$M:$M,'BSE - Other Index Options'!$C:$C,$A205,'BSE - Other Index Options'!$B:$B,B$147,'BSE - Other Index Options'!$I:$I,"MDAW*")=0,"",SUMIFS('BSE - SENSEX Index Options'!$M:$M,'BSE - SENSEX Index Options'!$C:$C,$A205,'BSE - SENSEX Index Options'!$B:$B,B$147,'BSE - SENSEX Index Options'!$I:$I,"Weekly*")+SUMIFS('BSE - SENSEX Index Options'!$M:$M,'BSE - SENSEX Index Options'!$C:$C,$A205,'BSE - SENSEX Index Options'!$B:$B,B$147,'BSE - SENSEX Index Options'!$I:$I,"MDAW*")+SUMIFS('BSE - Other Index Options'!$M:$M,'BSE - Other Index Options'!$C:$C,$A205,'BSE - Other Index Options'!$B:$B,B$147,'BSE - Other Index Options'!$I:$I,"Weekly*")+SUMIFS('BSE - Other Index Options'!$M:$M,'BSE - Other Index Options'!$C:$C,$A205,'BSE - Other Index Options'!$B:$B,B$147,'BSE - Other Index Options'!$I:$I,"MDAW*"))</f>
        <v/>
      </c>
      <c r="C205" s="26">
        <f>IF(SUMIFS('BSE - SENSEX Index Options'!$M:$M,'BSE - SENSEX Index Options'!$C:$C,$A205,'BSE - SENSEX Index Options'!$B:$B,C$147,'BSE - SENSEX Index Options'!$I:$I,"Weekly*")+SUMIFS('BSE - SENSEX Index Options'!$M:$M,'BSE - SENSEX Index Options'!$C:$C,$A205,'BSE - SENSEX Index Options'!$B:$B,C$147,'BSE - SENSEX Index Options'!$I:$I,"MDAW*")+SUMIFS('BSE - Other Index Options'!$M:$M,'BSE - Other Index Options'!$C:$C,$A205,'BSE - Other Index Options'!$B:$B,C$147,'BSE - Other Index Options'!$I:$I,"Weekly*")+SUMIFS('BSE - Other Index Options'!$M:$M,'BSE - Other Index Options'!$C:$C,$A205,'BSE - Other Index Options'!$B:$B,C$147,'BSE - Other Index Options'!$I:$I,"MDAW*")=0,"",SUMIFS('BSE - SENSEX Index Options'!$M:$M,'BSE - SENSEX Index Options'!$C:$C,$A205,'BSE - SENSEX Index Options'!$B:$B,C$147,'BSE - SENSEX Index Options'!$I:$I,"Weekly*")+SUMIFS('BSE - SENSEX Index Options'!$M:$M,'BSE - SENSEX Index Options'!$C:$C,$A205,'BSE - SENSEX Index Options'!$B:$B,C$147,'BSE - SENSEX Index Options'!$I:$I,"MDAW*")+SUMIFS('BSE - Other Index Options'!$M:$M,'BSE - Other Index Options'!$C:$C,$A205,'BSE - Other Index Options'!$B:$B,C$147,'BSE - Other Index Options'!$I:$I,"Weekly*")+SUMIFS('BSE - Other Index Options'!$M:$M,'BSE - Other Index Options'!$C:$C,$A205,'BSE - Other Index Options'!$B:$B,C$147,'BSE - Other Index Options'!$I:$I,"MDAW*"))</f>
        <v/>
      </c>
      <c r="D205" s="26">
        <f>IF(SUMIFS('BSE - SENSEX Index Options'!$M:$M,'BSE - SENSEX Index Options'!$C:$C,$A205,'BSE - SENSEX Index Options'!$B:$B,D$147,'BSE - SENSEX Index Options'!$I:$I,"Weekly*")+SUMIFS('BSE - SENSEX Index Options'!$M:$M,'BSE - SENSEX Index Options'!$C:$C,$A205,'BSE - SENSEX Index Options'!$B:$B,D$147,'BSE - SENSEX Index Options'!$I:$I,"MDAW*")+SUMIFS('BSE - Other Index Options'!$M:$M,'BSE - Other Index Options'!$C:$C,$A205,'BSE - Other Index Options'!$B:$B,D$147,'BSE - Other Index Options'!$I:$I,"Weekly*")+SUMIFS('BSE - Other Index Options'!$M:$M,'BSE - Other Index Options'!$C:$C,$A205,'BSE - Other Index Options'!$B:$B,D$147,'BSE - Other Index Options'!$I:$I,"MDAW*")=0,"",SUMIFS('BSE - SENSEX Index Options'!$M:$M,'BSE - SENSEX Index Options'!$C:$C,$A205,'BSE - SENSEX Index Options'!$B:$B,D$147,'BSE - SENSEX Index Options'!$I:$I,"Weekly*")+SUMIFS('BSE - SENSEX Index Options'!$M:$M,'BSE - SENSEX Index Options'!$C:$C,$A205,'BSE - SENSEX Index Options'!$B:$B,D$147,'BSE - SENSEX Index Options'!$I:$I,"MDAW*")+SUMIFS('BSE - Other Index Options'!$M:$M,'BSE - Other Index Options'!$C:$C,$A205,'BSE - Other Index Options'!$B:$B,D$147,'BSE - Other Index Options'!$I:$I,"Weekly*")+SUMIFS('BSE - Other Index Options'!$M:$M,'BSE - Other Index Options'!$C:$C,$A205,'BSE - Other Index Options'!$B:$B,D$147,'BSE - Other Index Options'!$I:$I,"MDAW*"))</f>
        <v/>
      </c>
      <c r="E205" s="26">
        <f>IF(SUMIFS('BSE - SENSEX Index Options'!$M:$M,'BSE - SENSEX Index Options'!$C:$C,$A205,'BSE - SENSEX Index Options'!$B:$B,E$147,'BSE - SENSEX Index Options'!$I:$I,"Weekly*")+SUMIFS('BSE - SENSEX Index Options'!$M:$M,'BSE - SENSEX Index Options'!$C:$C,$A205,'BSE - SENSEX Index Options'!$B:$B,E$147,'BSE - SENSEX Index Options'!$I:$I,"MDAW*")+SUMIFS('BSE - Other Index Options'!$M:$M,'BSE - Other Index Options'!$C:$C,$A205,'BSE - Other Index Options'!$B:$B,E$147,'BSE - Other Index Options'!$I:$I,"Weekly*")+SUMIFS('BSE - Other Index Options'!$M:$M,'BSE - Other Index Options'!$C:$C,$A205,'BSE - Other Index Options'!$B:$B,E$147,'BSE - Other Index Options'!$I:$I,"MDAW*")=0,"",SUMIFS('BSE - SENSEX Index Options'!$M:$M,'BSE - SENSEX Index Options'!$C:$C,$A205,'BSE - SENSEX Index Options'!$B:$B,E$147,'BSE - SENSEX Index Options'!$I:$I,"Weekly*")+SUMIFS('BSE - SENSEX Index Options'!$M:$M,'BSE - SENSEX Index Options'!$C:$C,$A205,'BSE - SENSEX Index Options'!$B:$B,E$147,'BSE - SENSEX Index Options'!$I:$I,"MDAW*")+SUMIFS('BSE - Other Index Options'!$M:$M,'BSE - Other Index Options'!$C:$C,$A205,'BSE - Other Index Options'!$B:$B,E$147,'BSE - Other Index Options'!$I:$I,"Weekly*")+SUMIFS('BSE - Other Index Options'!$M:$M,'BSE - Other Index Options'!$C:$C,$A205,'BSE - Other Index Options'!$B:$B,E$147,'BSE - Other Index Options'!$I:$I,"MDAW*"))</f>
        <v/>
      </c>
      <c r="F205" s="26">
        <f>IF(SUMIFS('BSE - SENSEX Index Options'!$M:$M,'BSE - SENSEX Index Options'!$C:$C,$A205,'BSE - SENSEX Index Options'!$B:$B,F$147,'BSE - SENSEX Index Options'!$I:$I,"Weekly*")+SUMIFS('BSE - SENSEX Index Options'!$M:$M,'BSE - SENSEX Index Options'!$C:$C,$A205,'BSE - SENSEX Index Options'!$B:$B,F$147,'BSE - SENSEX Index Options'!$I:$I,"MDAW*")+SUMIFS('BSE - Other Index Options'!$M:$M,'BSE - Other Index Options'!$C:$C,$A205,'BSE - Other Index Options'!$B:$B,F$147,'BSE - Other Index Options'!$I:$I,"Weekly*")+SUMIFS('BSE - Other Index Options'!$M:$M,'BSE - Other Index Options'!$C:$C,$A205,'BSE - Other Index Options'!$B:$B,F$147,'BSE - Other Index Options'!$I:$I,"MDAW*")=0,"",SUMIFS('BSE - SENSEX Index Options'!$M:$M,'BSE - SENSEX Index Options'!$C:$C,$A205,'BSE - SENSEX Index Options'!$B:$B,F$147,'BSE - SENSEX Index Options'!$I:$I,"Weekly*")+SUMIFS('BSE - SENSEX Index Options'!$M:$M,'BSE - SENSEX Index Options'!$C:$C,$A205,'BSE - SENSEX Index Options'!$B:$B,F$147,'BSE - SENSEX Index Options'!$I:$I,"MDAW*")+SUMIFS('BSE - Other Index Options'!$M:$M,'BSE - Other Index Options'!$C:$C,$A205,'BSE - Other Index Options'!$B:$B,F$147,'BSE - Other Index Options'!$I:$I,"Weekly*")+SUMIFS('BSE - Other Index Options'!$M:$M,'BSE - Other Index Options'!$C:$C,$A205,'BSE - Other Index Options'!$B:$B,F$147,'BSE - Other Index Options'!$I:$I,"MDAW*"))</f>
        <v/>
      </c>
      <c r="G205" s="26">
        <f>IF(SUMIFS('BSE - SENSEX Index Options'!$M:$M,'BSE - SENSEX Index Options'!$C:$C,$A205,'BSE - SENSEX Index Options'!$B:$B,G$147,'BSE - SENSEX Index Options'!$I:$I,"Weekly*")+SUMIFS('BSE - SENSEX Index Options'!$M:$M,'BSE - SENSEX Index Options'!$C:$C,$A205,'BSE - SENSEX Index Options'!$B:$B,G$147,'BSE - SENSEX Index Options'!$I:$I,"MDAW*")+SUMIFS('BSE - Other Index Options'!$M:$M,'BSE - Other Index Options'!$C:$C,$A205,'BSE - Other Index Options'!$B:$B,G$147,'BSE - Other Index Options'!$I:$I,"Weekly*")+SUMIFS('BSE - Other Index Options'!$M:$M,'BSE - Other Index Options'!$C:$C,$A205,'BSE - Other Index Options'!$B:$B,G$147,'BSE - Other Index Options'!$I:$I,"MDAW*")=0,"",SUMIFS('BSE - SENSEX Index Options'!$M:$M,'BSE - SENSEX Index Options'!$C:$C,$A205,'BSE - SENSEX Index Options'!$B:$B,G$147,'BSE - SENSEX Index Options'!$I:$I,"Weekly*")+SUMIFS('BSE - SENSEX Index Options'!$M:$M,'BSE - SENSEX Index Options'!$C:$C,$A205,'BSE - SENSEX Index Options'!$B:$B,G$147,'BSE - SENSEX Index Options'!$I:$I,"MDAW*")+SUMIFS('BSE - Other Index Options'!$M:$M,'BSE - Other Index Options'!$C:$C,$A205,'BSE - Other Index Options'!$B:$B,G$147,'BSE - Other Index Options'!$I:$I,"Weekly*")+SUMIFS('BSE - Other Index Options'!$M:$M,'BSE - Other Index Options'!$C:$C,$A205,'BSE - Other Index Options'!$B:$B,G$147,'BSE - Other Index Options'!$I:$I,"MDAW*"))</f>
        <v/>
      </c>
      <c r="H205" s="26">
        <f>IF(SUM(B205:G205)=0,"",SUM(B205:G205))</f>
        <v/>
      </c>
    </row>
    <row r="206" hidden="1" outlineLevel="1">
      <c r="A206" t="inlineStr">
        <is>
          <t>Week5-Aug-2026</t>
        </is>
      </c>
      <c r="B206" s="26">
        <f>IF(SUMIFS('BSE - SENSEX Index Options'!$M:$M,'BSE - SENSEX Index Options'!$C:$C,$A206,'BSE - SENSEX Index Options'!$B:$B,B$147,'BSE - SENSEX Index Options'!$I:$I,"Weekly*")+SUMIFS('BSE - SENSEX Index Options'!$M:$M,'BSE - SENSEX Index Options'!$C:$C,$A206,'BSE - SENSEX Index Options'!$B:$B,B$147,'BSE - SENSEX Index Options'!$I:$I,"MDAW*")+SUMIFS('BSE - Other Index Options'!$M:$M,'BSE - Other Index Options'!$C:$C,$A206,'BSE - Other Index Options'!$B:$B,B$147,'BSE - Other Index Options'!$I:$I,"Weekly*")+SUMIFS('BSE - Other Index Options'!$M:$M,'BSE - Other Index Options'!$C:$C,$A206,'BSE - Other Index Options'!$B:$B,B$147,'BSE - Other Index Options'!$I:$I,"MDAW*")=0,"",SUMIFS('BSE - SENSEX Index Options'!$M:$M,'BSE - SENSEX Index Options'!$C:$C,$A206,'BSE - SENSEX Index Options'!$B:$B,B$147,'BSE - SENSEX Index Options'!$I:$I,"Weekly*")+SUMIFS('BSE - SENSEX Index Options'!$M:$M,'BSE - SENSEX Index Options'!$C:$C,$A206,'BSE - SENSEX Index Options'!$B:$B,B$147,'BSE - SENSEX Index Options'!$I:$I,"MDAW*")+SUMIFS('BSE - Other Index Options'!$M:$M,'BSE - Other Index Options'!$C:$C,$A206,'BSE - Other Index Options'!$B:$B,B$147,'BSE - Other Index Options'!$I:$I,"Weekly*")+SUMIFS('BSE - Other Index Options'!$M:$M,'BSE - Other Index Options'!$C:$C,$A206,'BSE - Other Index Options'!$B:$B,B$147,'BSE - Other Index Options'!$I:$I,"MDAW*"))</f>
        <v/>
      </c>
      <c r="C206" s="26">
        <f>IF(SUMIFS('BSE - SENSEX Index Options'!$M:$M,'BSE - SENSEX Index Options'!$C:$C,$A206,'BSE - SENSEX Index Options'!$B:$B,C$147,'BSE - SENSEX Index Options'!$I:$I,"Weekly*")+SUMIFS('BSE - SENSEX Index Options'!$M:$M,'BSE - SENSEX Index Options'!$C:$C,$A206,'BSE - SENSEX Index Options'!$B:$B,C$147,'BSE - SENSEX Index Options'!$I:$I,"MDAW*")+SUMIFS('BSE - Other Index Options'!$M:$M,'BSE - Other Index Options'!$C:$C,$A206,'BSE - Other Index Options'!$B:$B,C$147,'BSE - Other Index Options'!$I:$I,"Weekly*")+SUMIFS('BSE - Other Index Options'!$M:$M,'BSE - Other Index Options'!$C:$C,$A206,'BSE - Other Index Options'!$B:$B,C$147,'BSE - Other Index Options'!$I:$I,"MDAW*")=0,"",SUMIFS('BSE - SENSEX Index Options'!$M:$M,'BSE - SENSEX Index Options'!$C:$C,$A206,'BSE - SENSEX Index Options'!$B:$B,C$147,'BSE - SENSEX Index Options'!$I:$I,"Weekly*")+SUMIFS('BSE - SENSEX Index Options'!$M:$M,'BSE - SENSEX Index Options'!$C:$C,$A206,'BSE - SENSEX Index Options'!$B:$B,C$147,'BSE - SENSEX Index Options'!$I:$I,"MDAW*")+SUMIFS('BSE - Other Index Options'!$M:$M,'BSE - Other Index Options'!$C:$C,$A206,'BSE - Other Index Options'!$B:$B,C$147,'BSE - Other Index Options'!$I:$I,"Weekly*")+SUMIFS('BSE - Other Index Options'!$M:$M,'BSE - Other Index Options'!$C:$C,$A206,'BSE - Other Index Options'!$B:$B,C$147,'BSE - Other Index Options'!$I:$I,"MDAW*"))</f>
        <v/>
      </c>
      <c r="D206" s="26">
        <f>IF(SUMIFS('BSE - SENSEX Index Options'!$M:$M,'BSE - SENSEX Index Options'!$C:$C,$A206,'BSE - SENSEX Index Options'!$B:$B,D$147,'BSE - SENSEX Index Options'!$I:$I,"Weekly*")+SUMIFS('BSE - SENSEX Index Options'!$M:$M,'BSE - SENSEX Index Options'!$C:$C,$A206,'BSE - SENSEX Index Options'!$B:$B,D$147,'BSE - SENSEX Index Options'!$I:$I,"MDAW*")+SUMIFS('BSE - Other Index Options'!$M:$M,'BSE - Other Index Options'!$C:$C,$A206,'BSE - Other Index Options'!$B:$B,D$147,'BSE - Other Index Options'!$I:$I,"Weekly*")+SUMIFS('BSE - Other Index Options'!$M:$M,'BSE - Other Index Options'!$C:$C,$A206,'BSE - Other Index Options'!$B:$B,D$147,'BSE - Other Index Options'!$I:$I,"MDAW*")=0,"",SUMIFS('BSE - SENSEX Index Options'!$M:$M,'BSE - SENSEX Index Options'!$C:$C,$A206,'BSE - SENSEX Index Options'!$B:$B,D$147,'BSE - SENSEX Index Options'!$I:$I,"Weekly*")+SUMIFS('BSE - SENSEX Index Options'!$M:$M,'BSE - SENSEX Index Options'!$C:$C,$A206,'BSE - SENSEX Index Options'!$B:$B,D$147,'BSE - SENSEX Index Options'!$I:$I,"MDAW*")+SUMIFS('BSE - Other Index Options'!$M:$M,'BSE - Other Index Options'!$C:$C,$A206,'BSE - Other Index Options'!$B:$B,D$147,'BSE - Other Index Options'!$I:$I,"Weekly*")+SUMIFS('BSE - Other Index Options'!$M:$M,'BSE - Other Index Options'!$C:$C,$A206,'BSE - Other Index Options'!$B:$B,D$147,'BSE - Other Index Options'!$I:$I,"MDAW*"))</f>
        <v/>
      </c>
      <c r="E206" s="26">
        <f>IF(SUMIFS('BSE - SENSEX Index Options'!$M:$M,'BSE - SENSEX Index Options'!$C:$C,$A206,'BSE - SENSEX Index Options'!$B:$B,E$147,'BSE - SENSEX Index Options'!$I:$I,"Weekly*")+SUMIFS('BSE - SENSEX Index Options'!$M:$M,'BSE - SENSEX Index Options'!$C:$C,$A206,'BSE - SENSEX Index Options'!$B:$B,E$147,'BSE - SENSEX Index Options'!$I:$I,"MDAW*")+SUMIFS('BSE - Other Index Options'!$M:$M,'BSE - Other Index Options'!$C:$C,$A206,'BSE - Other Index Options'!$B:$B,E$147,'BSE - Other Index Options'!$I:$I,"Weekly*")+SUMIFS('BSE - Other Index Options'!$M:$M,'BSE - Other Index Options'!$C:$C,$A206,'BSE - Other Index Options'!$B:$B,E$147,'BSE - Other Index Options'!$I:$I,"MDAW*")=0,"",SUMIFS('BSE - SENSEX Index Options'!$M:$M,'BSE - SENSEX Index Options'!$C:$C,$A206,'BSE - SENSEX Index Options'!$B:$B,E$147,'BSE - SENSEX Index Options'!$I:$I,"Weekly*")+SUMIFS('BSE - SENSEX Index Options'!$M:$M,'BSE - SENSEX Index Options'!$C:$C,$A206,'BSE - SENSEX Index Options'!$B:$B,E$147,'BSE - SENSEX Index Options'!$I:$I,"MDAW*")+SUMIFS('BSE - Other Index Options'!$M:$M,'BSE - Other Index Options'!$C:$C,$A206,'BSE - Other Index Options'!$B:$B,E$147,'BSE - Other Index Options'!$I:$I,"Weekly*")+SUMIFS('BSE - Other Index Options'!$M:$M,'BSE - Other Index Options'!$C:$C,$A206,'BSE - Other Index Options'!$B:$B,E$147,'BSE - Other Index Options'!$I:$I,"MDAW*"))</f>
        <v/>
      </c>
      <c r="F206" s="26">
        <f>IF(SUMIFS('BSE - SENSEX Index Options'!$M:$M,'BSE - SENSEX Index Options'!$C:$C,$A206,'BSE - SENSEX Index Options'!$B:$B,F$147,'BSE - SENSEX Index Options'!$I:$I,"Weekly*")+SUMIFS('BSE - SENSEX Index Options'!$M:$M,'BSE - SENSEX Index Options'!$C:$C,$A206,'BSE - SENSEX Index Options'!$B:$B,F$147,'BSE - SENSEX Index Options'!$I:$I,"MDAW*")+SUMIFS('BSE - Other Index Options'!$M:$M,'BSE - Other Index Options'!$C:$C,$A206,'BSE - Other Index Options'!$B:$B,F$147,'BSE - Other Index Options'!$I:$I,"Weekly*")+SUMIFS('BSE - Other Index Options'!$M:$M,'BSE - Other Index Options'!$C:$C,$A206,'BSE - Other Index Options'!$B:$B,F$147,'BSE - Other Index Options'!$I:$I,"MDAW*")=0,"",SUMIFS('BSE - SENSEX Index Options'!$M:$M,'BSE - SENSEX Index Options'!$C:$C,$A206,'BSE - SENSEX Index Options'!$B:$B,F$147,'BSE - SENSEX Index Options'!$I:$I,"Weekly*")+SUMIFS('BSE - SENSEX Index Options'!$M:$M,'BSE - SENSEX Index Options'!$C:$C,$A206,'BSE - SENSEX Index Options'!$B:$B,F$147,'BSE - SENSEX Index Options'!$I:$I,"MDAW*")+SUMIFS('BSE - Other Index Options'!$M:$M,'BSE - Other Index Options'!$C:$C,$A206,'BSE - Other Index Options'!$B:$B,F$147,'BSE - Other Index Options'!$I:$I,"Weekly*")+SUMIFS('BSE - Other Index Options'!$M:$M,'BSE - Other Index Options'!$C:$C,$A206,'BSE - Other Index Options'!$B:$B,F$147,'BSE - Other Index Options'!$I:$I,"MDAW*"))</f>
        <v/>
      </c>
      <c r="G206" s="26">
        <f>IF(SUMIFS('BSE - SENSEX Index Options'!$M:$M,'BSE - SENSEX Index Options'!$C:$C,$A206,'BSE - SENSEX Index Options'!$B:$B,G$147,'BSE - SENSEX Index Options'!$I:$I,"Weekly*")+SUMIFS('BSE - SENSEX Index Options'!$M:$M,'BSE - SENSEX Index Options'!$C:$C,$A206,'BSE - SENSEX Index Options'!$B:$B,G$147,'BSE - SENSEX Index Options'!$I:$I,"MDAW*")+SUMIFS('BSE - Other Index Options'!$M:$M,'BSE - Other Index Options'!$C:$C,$A206,'BSE - Other Index Options'!$B:$B,G$147,'BSE - Other Index Options'!$I:$I,"Weekly*")+SUMIFS('BSE - Other Index Options'!$M:$M,'BSE - Other Index Options'!$C:$C,$A206,'BSE - Other Index Options'!$B:$B,G$147,'BSE - Other Index Options'!$I:$I,"MDAW*")=0,"",SUMIFS('BSE - SENSEX Index Options'!$M:$M,'BSE - SENSEX Index Options'!$C:$C,$A206,'BSE - SENSEX Index Options'!$B:$B,G$147,'BSE - SENSEX Index Options'!$I:$I,"Weekly*")+SUMIFS('BSE - SENSEX Index Options'!$M:$M,'BSE - SENSEX Index Options'!$C:$C,$A206,'BSE - SENSEX Index Options'!$B:$B,G$147,'BSE - SENSEX Index Options'!$I:$I,"MDAW*")+SUMIFS('BSE - Other Index Options'!$M:$M,'BSE - Other Index Options'!$C:$C,$A206,'BSE - Other Index Options'!$B:$B,G$147,'BSE - Other Index Options'!$I:$I,"Weekly*")+SUMIFS('BSE - Other Index Options'!$M:$M,'BSE - Other Index Options'!$C:$C,$A206,'BSE - Other Index Options'!$B:$B,G$147,'BSE - Other Index Options'!$I:$I,"MDAW*"))</f>
        <v/>
      </c>
      <c r="H206" s="26">
        <f>IF(SUM(B206:G206)=0,"",SUM(B206:G206))</f>
        <v/>
      </c>
    </row>
    <row r="207" hidden="1" outlineLevel="1">
      <c r="A207" t="inlineStr">
        <is>
          <t>Week1-Sep-2026</t>
        </is>
      </c>
      <c r="B207" s="26">
        <f>IF(SUMIFS('BSE - SENSEX Index Options'!$M:$M,'BSE - SENSEX Index Options'!$C:$C,$A207,'BSE - SENSEX Index Options'!$B:$B,B$147,'BSE - SENSEX Index Options'!$I:$I,"Weekly*")+SUMIFS('BSE - SENSEX Index Options'!$M:$M,'BSE - SENSEX Index Options'!$C:$C,$A207,'BSE - SENSEX Index Options'!$B:$B,B$147,'BSE - SENSEX Index Options'!$I:$I,"MDAW*")+SUMIFS('BSE - Other Index Options'!$M:$M,'BSE - Other Index Options'!$C:$C,$A207,'BSE - Other Index Options'!$B:$B,B$147,'BSE - Other Index Options'!$I:$I,"Weekly*")+SUMIFS('BSE - Other Index Options'!$M:$M,'BSE - Other Index Options'!$C:$C,$A207,'BSE - Other Index Options'!$B:$B,B$147,'BSE - Other Index Options'!$I:$I,"MDAW*")=0,"",SUMIFS('BSE - SENSEX Index Options'!$M:$M,'BSE - SENSEX Index Options'!$C:$C,$A207,'BSE - SENSEX Index Options'!$B:$B,B$147,'BSE - SENSEX Index Options'!$I:$I,"Weekly*")+SUMIFS('BSE - SENSEX Index Options'!$M:$M,'BSE - SENSEX Index Options'!$C:$C,$A207,'BSE - SENSEX Index Options'!$B:$B,B$147,'BSE - SENSEX Index Options'!$I:$I,"MDAW*")+SUMIFS('BSE - Other Index Options'!$M:$M,'BSE - Other Index Options'!$C:$C,$A207,'BSE - Other Index Options'!$B:$B,B$147,'BSE - Other Index Options'!$I:$I,"Weekly*")+SUMIFS('BSE - Other Index Options'!$M:$M,'BSE - Other Index Options'!$C:$C,$A207,'BSE - Other Index Options'!$B:$B,B$147,'BSE - Other Index Options'!$I:$I,"MDAW*"))</f>
        <v/>
      </c>
      <c r="C207" s="26">
        <f>IF(SUMIFS('BSE - SENSEX Index Options'!$M:$M,'BSE - SENSEX Index Options'!$C:$C,$A207,'BSE - SENSEX Index Options'!$B:$B,C$147,'BSE - SENSEX Index Options'!$I:$I,"Weekly*")+SUMIFS('BSE - SENSEX Index Options'!$M:$M,'BSE - SENSEX Index Options'!$C:$C,$A207,'BSE - SENSEX Index Options'!$B:$B,C$147,'BSE - SENSEX Index Options'!$I:$I,"MDAW*")+SUMIFS('BSE - Other Index Options'!$M:$M,'BSE - Other Index Options'!$C:$C,$A207,'BSE - Other Index Options'!$B:$B,C$147,'BSE - Other Index Options'!$I:$I,"Weekly*")+SUMIFS('BSE - Other Index Options'!$M:$M,'BSE - Other Index Options'!$C:$C,$A207,'BSE - Other Index Options'!$B:$B,C$147,'BSE - Other Index Options'!$I:$I,"MDAW*")=0,"",SUMIFS('BSE - SENSEX Index Options'!$M:$M,'BSE - SENSEX Index Options'!$C:$C,$A207,'BSE - SENSEX Index Options'!$B:$B,C$147,'BSE - SENSEX Index Options'!$I:$I,"Weekly*")+SUMIFS('BSE - SENSEX Index Options'!$M:$M,'BSE - SENSEX Index Options'!$C:$C,$A207,'BSE - SENSEX Index Options'!$B:$B,C$147,'BSE - SENSEX Index Options'!$I:$I,"MDAW*")+SUMIFS('BSE - Other Index Options'!$M:$M,'BSE - Other Index Options'!$C:$C,$A207,'BSE - Other Index Options'!$B:$B,C$147,'BSE - Other Index Options'!$I:$I,"Weekly*")+SUMIFS('BSE - Other Index Options'!$M:$M,'BSE - Other Index Options'!$C:$C,$A207,'BSE - Other Index Options'!$B:$B,C$147,'BSE - Other Index Options'!$I:$I,"MDAW*"))</f>
        <v/>
      </c>
      <c r="D207" s="26">
        <f>IF(SUMIFS('BSE - SENSEX Index Options'!$M:$M,'BSE - SENSEX Index Options'!$C:$C,$A207,'BSE - SENSEX Index Options'!$B:$B,D$147,'BSE - SENSEX Index Options'!$I:$I,"Weekly*")+SUMIFS('BSE - SENSEX Index Options'!$M:$M,'BSE - SENSEX Index Options'!$C:$C,$A207,'BSE - SENSEX Index Options'!$B:$B,D$147,'BSE - SENSEX Index Options'!$I:$I,"MDAW*")+SUMIFS('BSE - Other Index Options'!$M:$M,'BSE - Other Index Options'!$C:$C,$A207,'BSE - Other Index Options'!$B:$B,D$147,'BSE - Other Index Options'!$I:$I,"Weekly*")+SUMIFS('BSE - Other Index Options'!$M:$M,'BSE - Other Index Options'!$C:$C,$A207,'BSE - Other Index Options'!$B:$B,D$147,'BSE - Other Index Options'!$I:$I,"MDAW*")=0,"",SUMIFS('BSE - SENSEX Index Options'!$M:$M,'BSE - SENSEX Index Options'!$C:$C,$A207,'BSE - SENSEX Index Options'!$B:$B,D$147,'BSE - SENSEX Index Options'!$I:$I,"Weekly*")+SUMIFS('BSE - SENSEX Index Options'!$M:$M,'BSE - SENSEX Index Options'!$C:$C,$A207,'BSE - SENSEX Index Options'!$B:$B,D$147,'BSE - SENSEX Index Options'!$I:$I,"MDAW*")+SUMIFS('BSE - Other Index Options'!$M:$M,'BSE - Other Index Options'!$C:$C,$A207,'BSE - Other Index Options'!$B:$B,D$147,'BSE - Other Index Options'!$I:$I,"Weekly*")+SUMIFS('BSE - Other Index Options'!$M:$M,'BSE - Other Index Options'!$C:$C,$A207,'BSE - Other Index Options'!$B:$B,D$147,'BSE - Other Index Options'!$I:$I,"MDAW*"))</f>
        <v/>
      </c>
      <c r="E207" s="26">
        <f>IF(SUMIFS('BSE - SENSEX Index Options'!$M:$M,'BSE - SENSEX Index Options'!$C:$C,$A207,'BSE - SENSEX Index Options'!$B:$B,E$147,'BSE - SENSEX Index Options'!$I:$I,"Weekly*")+SUMIFS('BSE - SENSEX Index Options'!$M:$M,'BSE - SENSEX Index Options'!$C:$C,$A207,'BSE - SENSEX Index Options'!$B:$B,E$147,'BSE - SENSEX Index Options'!$I:$I,"MDAW*")+SUMIFS('BSE - Other Index Options'!$M:$M,'BSE - Other Index Options'!$C:$C,$A207,'BSE - Other Index Options'!$B:$B,E$147,'BSE - Other Index Options'!$I:$I,"Weekly*")+SUMIFS('BSE - Other Index Options'!$M:$M,'BSE - Other Index Options'!$C:$C,$A207,'BSE - Other Index Options'!$B:$B,E$147,'BSE - Other Index Options'!$I:$I,"MDAW*")=0,"",SUMIFS('BSE - SENSEX Index Options'!$M:$M,'BSE - SENSEX Index Options'!$C:$C,$A207,'BSE - SENSEX Index Options'!$B:$B,E$147,'BSE - SENSEX Index Options'!$I:$I,"Weekly*")+SUMIFS('BSE - SENSEX Index Options'!$M:$M,'BSE - SENSEX Index Options'!$C:$C,$A207,'BSE - SENSEX Index Options'!$B:$B,E$147,'BSE - SENSEX Index Options'!$I:$I,"MDAW*")+SUMIFS('BSE - Other Index Options'!$M:$M,'BSE - Other Index Options'!$C:$C,$A207,'BSE - Other Index Options'!$B:$B,E$147,'BSE - Other Index Options'!$I:$I,"Weekly*")+SUMIFS('BSE - Other Index Options'!$M:$M,'BSE - Other Index Options'!$C:$C,$A207,'BSE - Other Index Options'!$B:$B,E$147,'BSE - Other Index Options'!$I:$I,"MDAW*"))</f>
        <v/>
      </c>
      <c r="F207" s="26">
        <f>IF(SUMIFS('BSE - SENSEX Index Options'!$M:$M,'BSE - SENSEX Index Options'!$C:$C,$A207,'BSE - SENSEX Index Options'!$B:$B,F$147,'BSE - SENSEX Index Options'!$I:$I,"Weekly*")+SUMIFS('BSE - SENSEX Index Options'!$M:$M,'BSE - SENSEX Index Options'!$C:$C,$A207,'BSE - SENSEX Index Options'!$B:$B,F$147,'BSE - SENSEX Index Options'!$I:$I,"MDAW*")+SUMIFS('BSE - Other Index Options'!$M:$M,'BSE - Other Index Options'!$C:$C,$A207,'BSE - Other Index Options'!$B:$B,F$147,'BSE - Other Index Options'!$I:$I,"Weekly*")+SUMIFS('BSE - Other Index Options'!$M:$M,'BSE - Other Index Options'!$C:$C,$A207,'BSE - Other Index Options'!$B:$B,F$147,'BSE - Other Index Options'!$I:$I,"MDAW*")=0,"",SUMIFS('BSE - SENSEX Index Options'!$M:$M,'BSE - SENSEX Index Options'!$C:$C,$A207,'BSE - SENSEX Index Options'!$B:$B,F$147,'BSE - SENSEX Index Options'!$I:$I,"Weekly*")+SUMIFS('BSE - SENSEX Index Options'!$M:$M,'BSE - SENSEX Index Options'!$C:$C,$A207,'BSE - SENSEX Index Options'!$B:$B,F$147,'BSE - SENSEX Index Options'!$I:$I,"MDAW*")+SUMIFS('BSE - Other Index Options'!$M:$M,'BSE - Other Index Options'!$C:$C,$A207,'BSE - Other Index Options'!$B:$B,F$147,'BSE - Other Index Options'!$I:$I,"Weekly*")+SUMIFS('BSE - Other Index Options'!$M:$M,'BSE - Other Index Options'!$C:$C,$A207,'BSE - Other Index Options'!$B:$B,F$147,'BSE - Other Index Options'!$I:$I,"MDAW*"))</f>
        <v/>
      </c>
      <c r="G207" s="26">
        <f>IF(SUMIFS('BSE - SENSEX Index Options'!$M:$M,'BSE - SENSEX Index Options'!$C:$C,$A207,'BSE - SENSEX Index Options'!$B:$B,G$147,'BSE - SENSEX Index Options'!$I:$I,"Weekly*")+SUMIFS('BSE - SENSEX Index Options'!$M:$M,'BSE - SENSEX Index Options'!$C:$C,$A207,'BSE - SENSEX Index Options'!$B:$B,G$147,'BSE - SENSEX Index Options'!$I:$I,"MDAW*")+SUMIFS('BSE - Other Index Options'!$M:$M,'BSE - Other Index Options'!$C:$C,$A207,'BSE - Other Index Options'!$B:$B,G$147,'BSE - Other Index Options'!$I:$I,"Weekly*")+SUMIFS('BSE - Other Index Options'!$M:$M,'BSE - Other Index Options'!$C:$C,$A207,'BSE - Other Index Options'!$B:$B,G$147,'BSE - Other Index Options'!$I:$I,"MDAW*")=0,"",SUMIFS('BSE - SENSEX Index Options'!$M:$M,'BSE - SENSEX Index Options'!$C:$C,$A207,'BSE - SENSEX Index Options'!$B:$B,G$147,'BSE - SENSEX Index Options'!$I:$I,"Weekly*")+SUMIFS('BSE - SENSEX Index Options'!$M:$M,'BSE - SENSEX Index Options'!$C:$C,$A207,'BSE - SENSEX Index Options'!$B:$B,G$147,'BSE - SENSEX Index Options'!$I:$I,"MDAW*")+SUMIFS('BSE - Other Index Options'!$M:$M,'BSE - Other Index Options'!$C:$C,$A207,'BSE - Other Index Options'!$B:$B,G$147,'BSE - Other Index Options'!$I:$I,"Weekly*")+SUMIFS('BSE - Other Index Options'!$M:$M,'BSE - Other Index Options'!$C:$C,$A207,'BSE - Other Index Options'!$B:$B,G$147,'BSE - Other Index Options'!$I:$I,"MDAW*"))</f>
        <v/>
      </c>
      <c r="H207" s="26">
        <f>IF(SUM(B207:G207)=0,"",SUM(B207:G207))</f>
        <v/>
      </c>
    </row>
    <row r="208" hidden="1" outlineLevel="1">
      <c r="A208" t="inlineStr">
        <is>
          <t>Week2-Sep-2026</t>
        </is>
      </c>
      <c r="B208" s="26">
        <f>IF(SUMIFS('BSE - SENSEX Index Options'!$M:$M,'BSE - SENSEX Index Options'!$C:$C,$A208,'BSE - SENSEX Index Options'!$B:$B,B$147,'BSE - SENSEX Index Options'!$I:$I,"Weekly*")+SUMIFS('BSE - SENSEX Index Options'!$M:$M,'BSE - SENSEX Index Options'!$C:$C,$A208,'BSE - SENSEX Index Options'!$B:$B,B$147,'BSE - SENSEX Index Options'!$I:$I,"MDAW*")+SUMIFS('BSE - Other Index Options'!$M:$M,'BSE - Other Index Options'!$C:$C,$A208,'BSE - Other Index Options'!$B:$B,B$147,'BSE - Other Index Options'!$I:$I,"Weekly*")+SUMIFS('BSE - Other Index Options'!$M:$M,'BSE - Other Index Options'!$C:$C,$A208,'BSE - Other Index Options'!$B:$B,B$147,'BSE - Other Index Options'!$I:$I,"MDAW*")=0,"",SUMIFS('BSE - SENSEX Index Options'!$M:$M,'BSE - SENSEX Index Options'!$C:$C,$A208,'BSE - SENSEX Index Options'!$B:$B,B$147,'BSE - SENSEX Index Options'!$I:$I,"Weekly*")+SUMIFS('BSE - SENSEX Index Options'!$M:$M,'BSE - SENSEX Index Options'!$C:$C,$A208,'BSE - SENSEX Index Options'!$B:$B,B$147,'BSE - SENSEX Index Options'!$I:$I,"MDAW*")+SUMIFS('BSE - Other Index Options'!$M:$M,'BSE - Other Index Options'!$C:$C,$A208,'BSE - Other Index Options'!$B:$B,B$147,'BSE - Other Index Options'!$I:$I,"Weekly*")+SUMIFS('BSE - Other Index Options'!$M:$M,'BSE - Other Index Options'!$C:$C,$A208,'BSE - Other Index Options'!$B:$B,B$147,'BSE - Other Index Options'!$I:$I,"MDAW*"))</f>
        <v/>
      </c>
      <c r="C208" s="26">
        <f>IF(SUMIFS('BSE - SENSEX Index Options'!$M:$M,'BSE - SENSEX Index Options'!$C:$C,$A208,'BSE - SENSEX Index Options'!$B:$B,C$147,'BSE - SENSEX Index Options'!$I:$I,"Weekly*")+SUMIFS('BSE - SENSEX Index Options'!$M:$M,'BSE - SENSEX Index Options'!$C:$C,$A208,'BSE - SENSEX Index Options'!$B:$B,C$147,'BSE - SENSEX Index Options'!$I:$I,"MDAW*")+SUMIFS('BSE - Other Index Options'!$M:$M,'BSE - Other Index Options'!$C:$C,$A208,'BSE - Other Index Options'!$B:$B,C$147,'BSE - Other Index Options'!$I:$I,"Weekly*")+SUMIFS('BSE - Other Index Options'!$M:$M,'BSE - Other Index Options'!$C:$C,$A208,'BSE - Other Index Options'!$B:$B,C$147,'BSE - Other Index Options'!$I:$I,"MDAW*")=0,"",SUMIFS('BSE - SENSEX Index Options'!$M:$M,'BSE - SENSEX Index Options'!$C:$C,$A208,'BSE - SENSEX Index Options'!$B:$B,C$147,'BSE - SENSEX Index Options'!$I:$I,"Weekly*")+SUMIFS('BSE - SENSEX Index Options'!$M:$M,'BSE - SENSEX Index Options'!$C:$C,$A208,'BSE - SENSEX Index Options'!$B:$B,C$147,'BSE - SENSEX Index Options'!$I:$I,"MDAW*")+SUMIFS('BSE - Other Index Options'!$M:$M,'BSE - Other Index Options'!$C:$C,$A208,'BSE - Other Index Options'!$B:$B,C$147,'BSE - Other Index Options'!$I:$I,"Weekly*")+SUMIFS('BSE - Other Index Options'!$M:$M,'BSE - Other Index Options'!$C:$C,$A208,'BSE - Other Index Options'!$B:$B,C$147,'BSE - Other Index Options'!$I:$I,"MDAW*"))</f>
        <v/>
      </c>
      <c r="D208" s="26">
        <f>IF(SUMIFS('BSE - SENSEX Index Options'!$M:$M,'BSE - SENSEX Index Options'!$C:$C,$A208,'BSE - SENSEX Index Options'!$B:$B,D$147,'BSE - SENSEX Index Options'!$I:$I,"Weekly*")+SUMIFS('BSE - SENSEX Index Options'!$M:$M,'BSE - SENSEX Index Options'!$C:$C,$A208,'BSE - SENSEX Index Options'!$B:$B,D$147,'BSE - SENSEX Index Options'!$I:$I,"MDAW*")+SUMIFS('BSE - Other Index Options'!$M:$M,'BSE - Other Index Options'!$C:$C,$A208,'BSE - Other Index Options'!$B:$B,D$147,'BSE - Other Index Options'!$I:$I,"Weekly*")+SUMIFS('BSE - Other Index Options'!$M:$M,'BSE - Other Index Options'!$C:$C,$A208,'BSE - Other Index Options'!$B:$B,D$147,'BSE - Other Index Options'!$I:$I,"MDAW*")=0,"",SUMIFS('BSE - SENSEX Index Options'!$M:$M,'BSE - SENSEX Index Options'!$C:$C,$A208,'BSE - SENSEX Index Options'!$B:$B,D$147,'BSE - SENSEX Index Options'!$I:$I,"Weekly*")+SUMIFS('BSE - SENSEX Index Options'!$M:$M,'BSE - SENSEX Index Options'!$C:$C,$A208,'BSE - SENSEX Index Options'!$B:$B,D$147,'BSE - SENSEX Index Options'!$I:$I,"MDAW*")+SUMIFS('BSE - Other Index Options'!$M:$M,'BSE - Other Index Options'!$C:$C,$A208,'BSE - Other Index Options'!$B:$B,D$147,'BSE - Other Index Options'!$I:$I,"Weekly*")+SUMIFS('BSE - Other Index Options'!$M:$M,'BSE - Other Index Options'!$C:$C,$A208,'BSE - Other Index Options'!$B:$B,D$147,'BSE - Other Index Options'!$I:$I,"MDAW*"))</f>
        <v/>
      </c>
      <c r="E208" s="26">
        <f>IF(SUMIFS('BSE - SENSEX Index Options'!$M:$M,'BSE - SENSEX Index Options'!$C:$C,$A208,'BSE - SENSEX Index Options'!$B:$B,E$147,'BSE - SENSEX Index Options'!$I:$I,"Weekly*")+SUMIFS('BSE - SENSEX Index Options'!$M:$M,'BSE - SENSEX Index Options'!$C:$C,$A208,'BSE - SENSEX Index Options'!$B:$B,E$147,'BSE - SENSEX Index Options'!$I:$I,"MDAW*")+SUMIFS('BSE - Other Index Options'!$M:$M,'BSE - Other Index Options'!$C:$C,$A208,'BSE - Other Index Options'!$B:$B,E$147,'BSE - Other Index Options'!$I:$I,"Weekly*")+SUMIFS('BSE - Other Index Options'!$M:$M,'BSE - Other Index Options'!$C:$C,$A208,'BSE - Other Index Options'!$B:$B,E$147,'BSE - Other Index Options'!$I:$I,"MDAW*")=0,"",SUMIFS('BSE - SENSEX Index Options'!$M:$M,'BSE - SENSEX Index Options'!$C:$C,$A208,'BSE - SENSEX Index Options'!$B:$B,E$147,'BSE - SENSEX Index Options'!$I:$I,"Weekly*")+SUMIFS('BSE - SENSEX Index Options'!$M:$M,'BSE - SENSEX Index Options'!$C:$C,$A208,'BSE - SENSEX Index Options'!$B:$B,E$147,'BSE - SENSEX Index Options'!$I:$I,"MDAW*")+SUMIFS('BSE - Other Index Options'!$M:$M,'BSE - Other Index Options'!$C:$C,$A208,'BSE - Other Index Options'!$B:$B,E$147,'BSE - Other Index Options'!$I:$I,"Weekly*")+SUMIFS('BSE - Other Index Options'!$M:$M,'BSE - Other Index Options'!$C:$C,$A208,'BSE - Other Index Options'!$B:$B,E$147,'BSE - Other Index Options'!$I:$I,"MDAW*"))</f>
        <v/>
      </c>
      <c r="F208" s="26">
        <f>IF(SUMIFS('BSE - SENSEX Index Options'!$M:$M,'BSE - SENSEX Index Options'!$C:$C,$A208,'BSE - SENSEX Index Options'!$B:$B,F$147,'BSE - SENSEX Index Options'!$I:$I,"Weekly*")+SUMIFS('BSE - SENSEX Index Options'!$M:$M,'BSE - SENSEX Index Options'!$C:$C,$A208,'BSE - SENSEX Index Options'!$B:$B,F$147,'BSE - SENSEX Index Options'!$I:$I,"MDAW*")+SUMIFS('BSE - Other Index Options'!$M:$M,'BSE - Other Index Options'!$C:$C,$A208,'BSE - Other Index Options'!$B:$B,F$147,'BSE - Other Index Options'!$I:$I,"Weekly*")+SUMIFS('BSE - Other Index Options'!$M:$M,'BSE - Other Index Options'!$C:$C,$A208,'BSE - Other Index Options'!$B:$B,F$147,'BSE - Other Index Options'!$I:$I,"MDAW*")=0,"",SUMIFS('BSE - SENSEX Index Options'!$M:$M,'BSE - SENSEX Index Options'!$C:$C,$A208,'BSE - SENSEX Index Options'!$B:$B,F$147,'BSE - SENSEX Index Options'!$I:$I,"Weekly*")+SUMIFS('BSE - SENSEX Index Options'!$M:$M,'BSE - SENSEX Index Options'!$C:$C,$A208,'BSE - SENSEX Index Options'!$B:$B,F$147,'BSE - SENSEX Index Options'!$I:$I,"MDAW*")+SUMIFS('BSE - Other Index Options'!$M:$M,'BSE - Other Index Options'!$C:$C,$A208,'BSE - Other Index Options'!$B:$B,F$147,'BSE - Other Index Options'!$I:$I,"Weekly*")+SUMIFS('BSE - Other Index Options'!$M:$M,'BSE - Other Index Options'!$C:$C,$A208,'BSE - Other Index Options'!$B:$B,F$147,'BSE - Other Index Options'!$I:$I,"MDAW*"))</f>
        <v/>
      </c>
      <c r="G208" s="26">
        <f>IF(SUMIFS('BSE - SENSEX Index Options'!$M:$M,'BSE - SENSEX Index Options'!$C:$C,$A208,'BSE - SENSEX Index Options'!$B:$B,G$147,'BSE - SENSEX Index Options'!$I:$I,"Weekly*")+SUMIFS('BSE - SENSEX Index Options'!$M:$M,'BSE - SENSEX Index Options'!$C:$C,$A208,'BSE - SENSEX Index Options'!$B:$B,G$147,'BSE - SENSEX Index Options'!$I:$I,"MDAW*")+SUMIFS('BSE - Other Index Options'!$M:$M,'BSE - Other Index Options'!$C:$C,$A208,'BSE - Other Index Options'!$B:$B,G$147,'BSE - Other Index Options'!$I:$I,"Weekly*")+SUMIFS('BSE - Other Index Options'!$M:$M,'BSE - Other Index Options'!$C:$C,$A208,'BSE - Other Index Options'!$B:$B,G$147,'BSE - Other Index Options'!$I:$I,"MDAW*")=0,"",SUMIFS('BSE - SENSEX Index Options'!$M:$M,'BSE - SENSEX Index Options'!$C:$C,$A208,'BSE - SENSEX Index Options'!$B:$B,G$147,'BSE - SENSEX Index Options'!$I:$I,"Weekly*")+SUMIFS('BSE - SENSEX Index Options'!$M:$M,'BSE - SENSEX Index Options'!$C:$C,$A208,'BSE - SENSEX Index Options'!$B:$B,G$147,'BSE - SENSEX Index Options'!$I:$I,"MDAW*")+SUMIFS('BSE - Other Index Options'!$M:$M,'BSE - Other Index Options'!$C:$C,$A208,'BSE - Other Index Options'!$B:$B,G$147,'BSE - Other Index Options'!$I:$I,"Weekly*")+SUMIFS('BSE - Other Index Options'!$M:$M,'BSE - Other Index Options'!$C:$C,$A208,'BSE - Other Index Options'!$B:$B,G$147,'BSE - Other Index Options'!$I:$I,"MDAW*"))</f>
        <v/>
      </c>
      <c r="H208" s="26">
        <f>IF(SUM(B208:G208)=0,"",SUM(B208:G208))</f>
        <v/>
      </c>
    </row>
    <row r="209" hidden="1" outlineLevel="1">
      <c r="A209" t="inlineStr">
        <is>
          <t>Week3-Sep-2026</t>
        </is>
      </c>
      <c r="B209" s="26">
        <f>IF(SUMIFS('BSE - SENSEX Index Options'!$M:$M,'BSE - SENSEX Index Options'!$C:$C,$A209,'BSE - SENSEX Index Options'!$B:$B,B$147,'BSE - SENSEX Index Options'!$I:$I,"Weekly*")+SUMIFS('BSE - SENSEX Index Options'!$M:$M,'BSE - SENSEX Index Options'!$C:$C,$A209,'BSE - SENSEX Index Options'!$B:$B,B$147,'BSE - SENSEX Index Options'!$I:$I,"MDAW*")+SUMIFS('BSE - Other Index Options'!$M:$M,'BSE - Other Index Options'!$C:$C,$A209,'BSE - Other Index Options'!$B:$B,B$147,'BSE - Other Index Options'!$I:$I,"Weekly*")+SUMIFS('BSE - Other Index Options'!$M:$M,'BSE - Other Index Options'!$C:$C,$A209,'BSE - Other Index Options'!$B:$B,B$147,'BSE - Other Index Options'!$I:$I,"MDAW*")=0,"",SUMIFS('BSE - SENSEX Index Options'!$M:$M,'BSE - SENSEX Index Options'!$C:$C,$A209,'BSE - SENSEX Index Options'!$B:$B,B$147,'BSE - SENSEX Index Options'!$I:$I,"Weekly*")+SUMIFS('BSE - SENSEX Index Options'!$M:$M,'BSE - SENSEX Index Options'!$C:$C,$A209,'BSE - SENSEX Index Options'!$B:$B,B$147,'BSE - SENSEX Index Options'!$I:$I,"MDAW*")+SUMIFS('BSE - Other Index Options'!$M:$M,'BSE - Other Index Options'!$C:$C,$A209,'BSE - Other Index Options'!$B:$B,B$147,'BSE - Other Index Options'!$I:$I,"Weekly*")+SUMIFS('BSE - Other Index Options'!$M:$M,'BSE - Other Index Options'!$C:$C,$A209,'BSE - Other Index Options'!$B:$B,B$147,'BSE - Other Index Options'!$I:$I,"MDAW*"))</f>
        <v/>
      </c>
      <c r="C209" s="26">
        <f>IF(SUMIFS('BSE - SENSEX Index Options'!$M:$M,'BSE - SENSEX Index Options'!$C:$C,$A209,'BSE - SENSEX Index Options'!$B:$B,C$147,'BSE - SENSEX Index Options'!$I:$I,"Weekly*")+SUMIFS('BSE - SENSEX Index Options'!$M:$M,'BSE - SENSEX Index Options'!$C:$C,$A209,'BSE - SENSEX Index Options'!$B:$B,C$147,'BSE - SENSEX Index Options'!$I:$I,"MDAW*")+SUMIFS('BSE - Other Index Options'!$M:$M,'BSE - Other Index Options'!$C:$C,$A209,'BSE - Other Index Options'!$B:$B,C$147,'BSE - Other Index Options'!$I:$I,"Weekly*")+SUMIFS('BSE - Other Index Options'!$M:$M,'BSE - Other Index Options'!$C:$C,$A209,'BSE - Other Index Options'!$B:$B,C$147,'BSE - Other Index Options'!$I:$I,"MDAW*")=0,"",SUMIFS('BSE - SENSEX Index Options'!$M:$M,'BSE - SENSEX Index Options'!$C:$C,$A209,'BSE - SENSEX Index Options'!$B:$B,C$147,'BSE - SENSEX Index Options'!$I:$I,"Weekly*")+SUMIFS('BSE - SENSEX Index Options'!$M:$M,'BSE - SENSEX Index Options'!$C:$C,$A209,'BSE - SENSEX Index Options'!$B:$B,C$147,'BSE - SENSEX Index Options'!$I:$I,"MDAW*")+SUMIFS('BSE - Other Index Options'!$M:$M,'BSE - Other Index Options'!$C:$C,$A209,'BSE - Other Index Options'!$B:$B,C$147,'BSE - Other Index Options'!$I:$I,"Weekly*")+SUMIFS('BSE - Other Index Options'!$M:$M,'BSE - Other Index Options'!$C:$C,$A209,'BSE - Other Index Options'!$B:$B,C$147,'BSE - Other Index Options'!$I:$I,"MDAW*"))</f>
        <v/>
      </c>
      <c r="D209" s="26">
        <f>IF(SUMIFS('BSE - SENSEX Index Options'!$M:$M,'BSE - SENSEX Index Options'!$C:$C,$A209,'BSE - SENSEX Index Options'!$B:$B,D$147,'BSE - SENSEX Index Options'!$I:$I,"Weekly*")+SUMIFS('BSE - SENSEX Index Options'!$M:$M,'BSE - SENSEX Index Options'!$C:$C,$A209,'BSE - SENSEX Index Options'!$B:$B,D$147,'BSE - SENSEX Index Options'!$I:$I,"MDAW*")+SUMIFS('BSE - Other Index Options'!$M:$M,'BSE - Other Index Options'!$C:$C,$A209,'BSE - Other Index Options'!$B:$B,D$147,'BSE - Other Index Options'!$I:$I,"Weekly*")+SUMIFS('BSE - Other Index Options'!$M:$M,'BSE - Other Index Options'!$C:$C,$A209,'BSE - Other Index Options'!$B:$B,D$147,'BSE - Other Index Options'!$I:$I,"MDAW*")=0,"",SUMIFS('BSE - SENSEX Index Options'!$M:$M,'BSE - SENSEX Index Options'!$C:$C,$A209,'BSE - SENSEX Index Options'!$B:$B,D$147,'BSE - SENSEX Index Options'!$I:$I,"Weekly*")+SUMIFS('BSE - SENSEX Index Options'!$M:$M,'BSE - SENSEX Index Options'!$C:$C,$A209,'BSE - SENSEX Index Options'!$B:$B,D$147,'BSE - SENSEX Index Options'!$I:$I,"MDAW*")+SUMIFS('BSE - Other Index Options'!$M:$M,'BSE - Other Index Options'!$C:$C,$A209,'BSE - Other Index Options'!$B:$B,D$147,'BSE - Other Index Options'!$I:$I,"Weekly*")+SUMIFS('BSE - Other Index Options'!$M:$M,'BSE - Other Index Options'!$C:$C,$A209,'BSE - Other Index Options'!$B:$B,D$147,'BSE - Other Index Options'!$I:$I,"MDAW*"))</f>
        <v/>
      </c>
      <c r="E209" s="26">
        <f>IF(SUMIFS('BSE - SENSEX Index Options'!$M:$M,'BSE - SENSEX Index Options'!$C:$C,$A209,'BSE - SENSEX Index Options'!$B:$B,E$147,'BSE - SENSEX Index Options'!$I:$I,"Weekly*")+SUMIFS('BSE - SENSEX Index Options'!$M:$M,'BSE - SENSEX Index Options'!$C:$C,$A209,'BSE - SENSEX Index Options'!$B:$B,E$147,'BSE - SENSEX Index Options'!$I:$I,"MDAW*")+SUMIFS('BSE - Other Index Options'!$M:$M,'BSE - Other Index Options'!$C:$C,$A209,'BSE - Other Index Options'!$B:$B,E$147,'BSE - Other Index Options'!$I:$I,"Weekly*")+SUMIFS('BSE - Other Index Options'!$M:$M,'BSE - Other Index Options'!$C:$C,$A209,'BSE - Other Index Options'!$B:$B,E$147,'BSE - Other Index Options'!$I:$I,"MDAW*")=0,"",SUMIFS('BSE - SENSEX Index Options'!$M:$M,'BSE - SENSEX Index Options'!$C:$C,$A209,'BSE - SENSEX Index Options'!$B:$B,E$147,'BSE - SENSEX Index Options'!$I:$I,"Weekly*")+SUMIFS('BSE - SENSEX Index Options'!$M:$M,'BSE - SENSEX Index Options'!$C:$C,$A209,'BSE - SENSEX Index Options'!$B:$B,E$147,'BSE - SENSEX Index Options'!$I:$I,"MDAW*")+SUMIFS('BSE - Other Index Options'!$M:$M,'BSE - Other Index Options'!$C:$C,$A209,'BSE - Other Index Options'!$B:$B,E$147,'BSE - Other Index Options'!$I:$I,"Weekly*")+SUMIFS('BSE - Other Index Options'!$M:$M,'BSE - Other Index Options'!$C:$C,$A209,'BSE - Other Index Options'!$B:$B,E$147,'BSE - Other Index Options'!$I:$I,"MDAW*"))</f>
        <v/>
      </c>
      <c r="F209" s="26">
        <f>IF(SUMIFS('BSE - SENSEX Index Options'!$M:$M,'BSE - SENSEX Index Options'!$C:$C,$A209,'BSE - SENSEX Index Options'!$B:$B,F$147,'BSE - SENSEX Index Options'!$I:$I,"Weekly*")+SUMIFS('BSE - SENSEX Index Options'!$M:$M,'BSE - SENSEX Index Options'!$C:$C,$A209,'BSE - SENSEX Index Options'!$B:$B,F$147,'BSE - SENSEX Index Options'!$I:$I,"MDAW*")+SUMIFS('BSE - Other Index Options'!$M:$M,'BSE - Other Index Options'!$C:$C,$A209,'BSE - Other Index Options'!$B:$B,F$147,'BSE - Other Index Options'!$I:$I,"Weekly*")+SUMIFS('BSE - Other Index Options'!$M:$M,'BSE - Other Index Options'!$C:$C,$A209,'BSE - Other Index Options'!$B:$B,F$147,'BSE - Other Index Options'!$I:$I,"MDAW*")=0,"",SUMIFS('BSE - SENSEX Index Options'!$M:$M,'BSE - SENSEX Index Options'!$C:$C,$A209,'BSE - SENSEX Index Options'!$B:$B,F$147,'BSE - SENSEX Index Options'!$I:$I,"Weekly*")+SUMIFS('BSE - SENSEX Index Options'!$M:$M,'BSE - SENSEX Index Options'!$C:$C,$A209,'BSE - SENSEX Index Options'!$B:$B,F$147,'BSE - SENSEX Index Options'!$I:$I,"MDAW*")+SUMIFS('BSE - Other Index Options'!$M:$M,'BSE - Other Index Options'!$C:$C,$A209,'BSE - Other Index Options'!$B:$B,F$147,'BSE - Other Index Options'!$I:$I,"Weekly*")+SUMIFS('BSE - Other Index Options'!$M:$M,'BSE - Other Index Options'!$C:$C,$A209,'BSE - Other Index Options'!$B:$B,F$147,'BSE - Other Index Options'!$I:$I,"MDAW*"))</f>
        <v/>
      </c>
      <c r="G209" s="26">
        <f>IF(SUMIFS('BSE - SENSEX Index Options'!$M:$M,'BSE - SENSEX Index Options'!$C:$C,$A209,'BSE - SENSEX Index Options'!$B:$B,G$147,'BSE - SENSEX Index Options'!$I:$I,"Weekly*")+SUMIFS('BSE - SENSEX Index Options'!$M:$M,'BSE - SENSEX Index Options'!$C:$C,$A209,'BSE - SENSEX Index Options'!$B:$B,G$147,'BSE - SENSEX Index Options'!$I:$I,"MDAW*")+SUMIFS('BSE - Other Index Options'!$M:$M,'BSE - Other Index Options'!$C:$C,$A209,'BSE - Other Index Options'!$B:$B,G$147,'BSE - Other Index Options'!$I:$I,"Weekly*")+SUMIFS('BSE - Other Index Options'!$M:$M,'BSE - Other Index Options'!$C:$C,$A209,'BSE - Other Index Options'!$B:$B,G$147,'BSE - Other Index Options'!$I:$I,"MDAW*")=0,"",SUMIFS('BSE - SENSEX Index Options'!$M:$M,'BSE - SENSEX Index Options'!$C:$C,$A209,'BSE - SENSEX Index Options'!$B:$B,G$147,'BSE - SENSEX Index Options'!$I:$I,"Weekly*")+SUMIFS('BSE - SENSEX Index Options'!$M:$M,'BSE - SENSEX Index Options'!$C:$C,$A209,'BSE - SENSEX Index Options'!$B:$B,G$147,'BSE - SENSEX Index Options'!$I:$I,"MDAW*")+SUMIFS('BSE - Other Index Options'!$M:$M,'BSE - Other Index Options'!$C:$C,$A209,'BSE - Other Index Options'!$B:$B,G$147,'BSE - Other Index Options'!$I:$I,"Weekly*")+SUMIFS('BSE - Other Index Options'!$M:$M,'BSE - Other Index Options'!$C:$C,$A209,'BSE - Other Index Options'!$B:$B,G$147,'BSE - Other Index Options'!$I:$I,"MDAW*"))</f>
        <v/>
      </c>
      <c r="H209" s="26">
        <f>IF(SUM(B209:G209)=0,"",SUM(B209:G209))</f>
        <v/>
      </c>
    </row>
    <row r="210" hidden="1" outlineLevel="1">
      <c r="A210" t="inlineStr">
        <is>
          <t>Week4-Sep-2026</t>
        </is>
      </c>
      <c r="B210" s="26">
        <f>IF(SUMIFS('BSE - SENSEX Index Options'!$M:$M,'BSE - SENSEX Index Options'!$C:$C,$A210,'BSE - SENSEX Index Options'!$B:$B,B$147,'BSE - SENSEX Index Options'!$I:$I,"Weekly*")+SUMIFS('BSE - SENSEX Index Options'!$M:$M,'BSE - SENSEX Index Options'!$C:$C,$A210,'BSE - SENSEX Index Options'!$B:$B,B$147,'BSE - SENSEX Index Options'!$I:$I,"MDAW*")+SUMIFS('BSE - Other Index Options'!$M:$M,'BSE - Other Index Options'!$C:$C,$A210,'BSE - Other Index Options'!$B:$B,B$147,'BSE - Other Index Options'!$I:$I,"Weekly*")+SUMIFS('BSE - Other Index Options'!$M:$M,'BSE - Other Index Options'!$C:$C,$A210,'BSE - Other Index Options'!$B:$B,B$147,'BSE - Other Index Options'!$I:$I,"MDAW*")=0,"",SUMIFS('BSE - SENSEX Index Options'!$M:$M,'BSE - SENSEX Index Options'!$C:$C,$A210,'BSE - SENSEX Index Options'!$B:$B,B$147,'BSE - SENSEX Index Options'!$I:$I,"Weekly*")+SUMIFS('BSE - SENSEX Index Options'!$M:$M,'BSE - SENSEX Index Options'!$C:$C,$A210,'BSE - SENSEX Index Options'!$B:$B,B$147,'BSE - SENSEX Index Options'!$I:$I,"MDAW*")+SUMIFS('BSE - Other Index Options'!$M:$M,'BSE - Other Index Options'!$C:$C,$A210,'BSE - Other Index Options'!$B:$B,B$147,'BSE - Other Index Options'!$I:$I,"Weekly*")+SUMIFS('BSE - Other Index Options'!$M:$M,'BSE - Other Index Options'!$C:$C,$A210,'BSE - Other Index Options'!$B:$B,B$147,'BSE - Other Index Options'!$I:$I,"MDAW*"))</f>
        <v/>
      </c>
      <c r="C210" s="26">
        <f>IF(SUMIFS('BSE - SENSEX Index Options'!$M:$M,'BSE - SENSEX Index Options'!$C:$C,$A210,'BSE - SENSEX Index Options'!$B:$B,C$147,'BSE - SENSEX Index Options'!$I:$I,"Weekly*")+SUMIFS('BSE - SENSEX Index Options'!$M:$M,'BSE - SENSEX Index Options'!$C:$C,$A210,'BSE - SENSEX Index Options'!$B:$B,C$147,'BSE - SENSEX Index Options'!$I:$I,"MDAW*")+SUMIFS('BSE - Other Index Options'!$M:$M,'BSE - Other Index Options'!$C:$C,$A210,'BSE - Other Index Options'!$B:$B,C$147,'BSE - Other Index Options'!$I:$I,"Weekly*")+SUMIFS('BSE - Other Index Options'!$M:$M,'BSE - Other Index Options'!$C:$C,$A210,'BSE - Other Index Options'!$B:$B,C$147,'BSE - Other Index Options'!$I:$I,"MDAW*")=0,"",SUMIFS('BSE - SENSEX Index Options'!$M:$M,'BSE - SENSEX Index Options'!$C:$C,$A210,'BSE - SENSEX Index Options'!$B:$B,C$147,'BSE - SENSEX Index Options'!$I:$I,"Weekly*")+SUMIFS('BSE - SENSEX Index Options'!$M:$M,'BSE - SENSEX Index Options'!$C:$C,$A210,'BSE - SENSEX Index Options'!$B:$B,C$147,'BSE - SENSEX Index Options'!$I:$I,"MDAW*")+SUMIFS('BSE - Other Index Options'!$M:$M,'BSE - Other Index Options'!$C:$C,$A210,'BSE - Other Index Options'!$B:$B,C$147,'BSE - Other Index Options'!$I:$I,"Weekly*")+SUMIFS('BSE - Other Index Options'!$M:$M,'BSE - Other Index Options'!$C:$C,$A210,'BSE - Other Index Options'!$B:$B,C$147,'BSE - Other Index Options'!$I:$I,"MDAW*"))</f>
        <v/>
      </c>
      <c r="D210" s="26">
        <f>IF(SUMIFS('BSE - SENSEX Index Options'!$M:$M,'BSE - SENSEX Index Options'!$C:$C,$A210,'BSE - SENSEX Index Options'!$B:$B,D$147,'BSE - SENSEX Index Options'!$I:$I,"Weekly*")+SUMIFS('BSE - SENSEX Index Options'!$M:$M,'BSE - SENSEX Index Options'!$C:$C,$A210,'BSE - SENSEX Index Options'!$B:$B,D$147,'BSE - SENSEX Index Options'!$I:$I,"MDAW*")+SUMIFS('BSE - Other Index Options'!$M:$M,'BSE - Other Index Options'!$C:$C,$A210,'BSE - Other Index Options'!$B:$B,D$147,'BSE - Other Index Options'!$I:$I,"Weekly*")+SUMIFS('BSE - Other Index Options'!$M:$M,'BSE - Other Index Options'!$C:$C,$A210,'BSE - Other Index Options'!$B:$B,D$147,'BSE - Other Index Options'!$I:$I,"MDAW*")=0,"",SUMIFS('BSE - SENSEX Index Options'!$M:$M,'BSE - SENSEX Index Options'!$C:$C,$A210,'BSE - SENSEX Index Options'!$B:$B,D$147,'BSE - SENSEX Index Options'!$I:$I,"Weekly*")+SUMIFS('BSE - SENSEX Index Options'!$M:$M,'BSE - SENSEX Index Options'!$C:$C,$A210,'BSE - SENSEX Index Options'!$B:$B,D$147,'BSE - SENSEX Index Options'!$I:$I,"MDAW*")+SUMIFS('BSE - Other Index Options'!$M:$M,'BSE - Other Index Options'!$C:$C,$A210,'BSE - Other Index Options'!$B:$B,D$147,'BSE - Other Index Options'!$I:$I,"Weekly*")+SUMIFS('BSE - Other Index Options'!$M:$M,'BSE - Other Index Options'!$C:$C,$A210,'BSE - Other Index Options'!$B:$B,D$147,'BSE - Other Index Options'!$I:$I,"MDAW*"))</f>
        <v/>
      </c>
      <c r="E210" s="26">
        <f>IF(SUMIFS('BSE - SENSEX Index Options'!$M:$M,'BSE - SENSEX Index Options'!$C:$C,$A210,'BSE - SENSEX Index Options'!$B:$B,E$147,'BSE - SENSEX Index Options'!$I:$I,"Weekly*")+SUMIFS('BSE - SENSEX Index Options'!$M:$M,'BSE - SENSEX Index Options'!$C:$C,$A210,'BSE - SENSEX Index Options'!$B:$B,E$147,'BSE - SENSEX Index Options'!$I:$I,"MDAW*")+SUMIFS('BSE - Other Index Options'!$M:$M,'BSE - Other Index Options'!$C:$C,$A210,'BSE - Other Index Options'!$B:$B,E$147,'BSE - Other Index Options'!$I:$I,"Weekly*")+SUMIFS('BSE - Other Index Options'!$M:$M,'BSE - Other Index Options'!$C:$C,$A210,'BSE - Other Index Options'!$B:$B,E$147,'BSE - Other Index Options'!$I:$I,"MDAW*")=0,"",SUMIFS('BSE - SENSEX Index Options'!$M:$M,'BSE - SENSEX Index Options'!$C:$C,$A210,'BSE - SENSEX Index Options'!$B:$B,E$147,'BSE - SENSEX Index Options'!$I:$I,"Weekly*")+SUMIFS('BSE - SENSEX Index Options'!$M:$M,'BSE - SENSEX Index Options'!$C:$C,$A210,'BSE - SENSEX Index Options'!$B:$B,E$147,'BSE - SENSEX Index Options'!$I:$I,"MDAW*")+SUMIFS('BSE - Other Index Options'!$M:$M,'BSE - Other Index Options'!$C:$C,$A210,'BSE - Other Index Options'!$B:$B,E$147,'BSE - Other Index Options'!$I:$I,"Weekly*")+SUMIFS('BSE - Other Index Options'!$M:$M,'BSE - Other Index Options'!$C:$C,$A210,'BSE - Other Index Options'!$B:$B,E$147,'BSE - Other Index Options'!$I:$I,"MDAW*"))</f>
        <v/>
      </c>
      <c r="F210" s="26">
        <f>IF(SUMIFS('BSE - SENSEX Index Options'!$M:$M,'BSE - SENSEX Index Options'!$C:$C,$A210,'BSE - SENSEX Index Options'!$B:$B,F$147,'BSE - SENSEX Index Options'!$I:$I,"Weekly*")+SUMIFS('BSE - SENSEX Index Options'!$M:$M,'BSE - SENSEX Index Options'!$C:$C,$A210,'BSE - SENSEX Index Options'!$B:$B,F$147,'BSE - SENSEX Index Options'!$I:$I,"MDAW*")+SUMIFS('BSE - Other Index Options'!$M:$M,'BSE - Other Index Options'!$C:$C,$A210,'BSE - Other Index Options'!$B:$B,F$147,'BSE - Other Index Options'!$I:$I,"Weekly*")+SUMIFS('BSE - Other Index Options'!$M:$M,'BSE - Other Index Options'!$C:$C,$A210,'BSE - Other Index Options'!$B:$B,F$147,'BSE - Other Index Options'!$I:$I,"MDAW*")=0,"",SUMIFS('BSE - SENSEX Index Options'!$M:$M,'BSE - SENSEX Index Options'!$C:$C,$A210,'BSE - SENSEX Index Options'!$B:$B,F$147,'BSE - SENSEX Index Options'!$I:$I,"Weekly*")+SUMIFS('BSE - SENSEX Index Options'!$M:$M,'BSE - SENSEX Index Options'!$C:$C,$A210,'BSE - SENSEX Index Options'!$B:$B,F$147,'BSE - SENSEX Index Options'!$I:$I,"MDAW*")+SUMIFS('BSE - Other Index Options'!$M:$M,'BSE - Other Index Options'!$C:$C,$A210,'BSE - Other Index Options'!$B:$B,F$147,'BSE - Other Index Options'!$I:$I,"Weekly*")+SUMIFS('BSE - Other Index Options'!$M:$M,'BSE - Other Index Options'!$C:$C,$A210,'BSE - Other Index Options'!$B:$B,F$147,'BSE - Other Index Options'!$I:$I,"MDAW*"))</f>
        <v/>
      </c>
      <c r="G210" s="26">
        <f>IF(SUMIFS('BSE - SENSEX Index Options'!$M:$M,'BSE - SENSEX Index Options'!$C:$C,$A210,'BSE - SENSEX Index Options'!$B:$B,G$147,'BSE - SENSEX Index Options'!$I:$I,"Weekly*")+SUMIFS('BSE - SENSEX Index Options'!$M:$M,'BSE - SENSEX Index Options'!$C:$C,$A210,'BSE - SENSEX Index Options'!$B:$B,G$147,'BSE - SENSEX Index Options'!$I:$I,"MDAW*")+SUMIFS('BSE - Other Index Options'!$M:$M,'BSE - Other Index Options'!$C:$C,$A210,'BSE - Other Index Options'!$B:$B,G$147,'BSE - Other Index Options'!$I:$I,"Weekly*")+SUMIFS('BSE - Other Index Options'!$M:$M,'BSE - Other Index Options'!$C:$C,$A210,'BSE - Other Index Options'!$B:$B,G$147,'BSE - Other Index Options'!$I:$I,"MDAW*")=0,"",SUMIFS('BSE - SENSEX Index Options'!$M:$M,'BSE - SENSEX Index Options'!$C:$C,$A210,'BSE - SENSEX Index Options'!$B:$B,G$147,'BSE - SENSEX Index Options'!$I:$I,"Weekly*")+SUMIFS('BSE - SENSEX Index Options'!$M:$M,'BSE - SENSEX Index Options'!$C:$C,$A210,'BSE - SENSEX Index Options'!$B:$B,G$147,'BSE - SENSEX Index Options'!$I:$I,"MDAW*")+SUMIFS('BSE - Other Index Options'!$M:$M,'BSE - Other Index Options'!$C:$C,$A210,'BSE - Other Index Options'!$B:$B,G$147,'BSE - Other Index Options'!$I:$I,"Weekly*")+SUMIFS('BSE - Other Index Options'!$M:$M,'BSE - Other Index Options'!$C:$C,$A210,'BSE - Other Index Options'!$B:$B,G$147,'BSE - Other Index Options'!$I:$I,"MDAW*"))</f>
        <v/>
      </c>
      <c r="H210" s="26">
        <f>IF(SUM(B210:G210)=0,"",SUM(B210:G210))</f>
        <v/>
      </c>
    </row>
    <row r="211" hidden="1" outlineLevel="1">
      <c r="A211" t="inlineStr">
        <is>
          <t>Week5-Sep-2026</t>
        </is>
      </c>
      <c r="B211" s="26">
        <f>IF(SUMIFS('BSE - SENSEX Index Options'!$M:$M,'BSE - SENSEX Index Options'!$C:$C,$A211,'BSE - SENSEX Index Options'!$B:$B,B$147,'BSE - SENSEX Index Options'!$I:$I,"Weekly*")+SUMIFS('BSE - SENSEX Index Options'!$M:$M,'BSE - SENSEX Index Options'!$C:$C,$A211,'BSE - SENSEX Index Options'!$B:$B,B$147,'BSE - SENSEX Index Options'!$I:$I,"MDAW*")+SUMIFS('BSE - Other Index Options'!$M:$M,'BSE - Other Index Options'!$C:$C,$A211,'BSE - Other Index Options'!$B:$B,B$147,'BSE - Other Index Options'!$I:$I,"Weekly*")+SUMIFS('BSE - Other Index Options'!$M:$M,'BSE - Other Index Options'!$C:$C,$A211,'BSE - Other Index Options'!$B:$B,B$147,'BSE - Other Index Options'!$I:$I,"MDAW*")=0,"",SUMIFS('BSE - SENSEX Index Options'!$M:$M,'BSE - SENSEX Index Options'!$C:$C,$A211,'BSE - SENSEX Index Options'!$B:$B,B$147,'BSE - SENSEX Index Options'!$I:$I,"Weekly*")+SUMIFS('BSE - SENSEX Index Options'!$M:$M,'BSE - SENSEX Index Options'!$C:$C,$A211,'BSE - SENSEX Index Options'!$B:$B,B$147,'BSE - SENSEX Index Options'!$I:$I,"MDAW*")+SUMIFS('BSE - Other Index Options'!$M:$M,'BSE - Other Index Options'!$C:$C,$A211,'BSE - Other Index Options'!$B:$B,B$147,'BSE - Other Index Options'!$I:$I,"Weekly*")+SUMIFS('BSE - Other Index Options'!$M:$M,'BSE - Other Index Options'!$C:$C,$A211,'BSE - Other Index Options'!$B:$B,B$147,'BSE - Other Index Options'!$I:$I,"MDAW*"))</f>
        <v/>
      </c>
      <c r="C211" s="26">
        <f>IF(SUMIFS('BSE - SENSEX Index Options'!$M:$M,'BSE - SENSEX Index Options'!$C:$C,$A211,'BSE - SENSEX Index Options'!$B:$B,C$147,'BSE - SENSEX Index Options'!$I:$I,"Weekly*")+SUMIFS('BSE - SENSEX Index Options'!$M:$M,'BSE - SENSEX Index Options'!$C:$C,$A211,'BSE - SENSEX Index Options'!$B:$B,C$147,'BSE - SENSEX Index Options'!$I:$I,"MDAW*")+SUMIFS('BSE - Other Index Options'!$M:$M,'BSE - Other Index Options'!$C:$C,$A211,'BSE - Other Index Options'!$B:$B,C$147,'BSE - Other Index Options'!$I:$I,"Weekly*")+SUMIFS('BSE - Other Index Options'!$M:$M,'BSE - Other Index Options'!$C:$C,$A211,'BSE - Other Index Options'!$B:$B,C$147,'BSE - Other Index Options'!$I:$I,"MDAW*")=0,"",SUMIFS('BSE - SENSEX Index Options'!$M:$M,'BSE - SENSEX Index Options'!$C:$C,$A211,'BSE - SENSEX Index Options'!$B:$B,C$147,'BSE - SENSEX Index Options'!$I:$I,"Weekly*")+SUMIFS('BSE - SENSEX Index Options'!$M:$M,'BSE - SENSEX Index Options'!$C:$C,$A211,'BSE - SENSEX Index Options'!$B:$B,C$147,'BSE - SENSEX Index Options'!$I:$I,"MDAW*")+SUMIFS('BSE - Other Index Options'!$M:$M,'BSE - Other Index Options'!$C:$C,$A211,'BSE - Other Index Options'!$B:$B,C$147,'BSE - Other Index Options'!$I:$I,"Weekly*")+SUMIFS('BSE - Other Index Options'!$M:$M,'BSE - Other Index Options'!$C:$C,$A211,'BSE - Other Index Options'!$B:$B,C$147,'BSE - Other Index Options'!$I:$I,"MDAW*"))</f>
        <v/>
      </c>
      <c r="D211" s="26">
        <f>IF(SUMIFS('BSE - SENSEX Index Options'!$M:$M,'BSE - SENSEX Index Options'!$C:$C,$A211,'BSE - SENSEX Index Options'!$B:$B,D$147,'BSE - SENSEX Index Options'!$I:$I,"Weekly*")+SUMIFS('BSE - SENSEX Index Options'!$M:$M,'BSE - SENSEX Index Options'!$C:$C,$A211,'BSE - SENSEX Index Options'!$B:$B,D$147,'BSE - SENSEX Index Options'!$I:$I,"MDAW*")+SUMIFS('BSE - Other Index Options'!$M:$M,'BSE - Other Index Options'!$C:$C,$A211,'BSE - Other Index Options'!$B:$B,D$147,'BSE - Other Index Options'!$I:$I,"Weekly*")+SUMIFS('BSE - Other Index Options'!$M:$M,'BSE - Other Index Options'!$C:$C,$A211,'BSE - Other Index Options'!$B:$B,D$147,'BSE - Other Index Options'!$I:$I,"MDAW*")=0,"",SUMIFS('BSE - SENSEX Index Options'!$M:$M,'BSE - SENSEX Index Options'!$C:$C,$A211,'BSE - SENSEX Index Options'!$B:$B,D$147,'BSE - SENSEX Index Options'!$I:$I,"Weekly*")+SUMIFS('BSE - SENSEX Index Options'!$M:$M,'BSE - SENSEX Index Options'!$C:$C,$A211,'BSE - SENSEX Index Options'!$B:$B,D$147,'BSE - SENSEX Index Options'!$I:$I,"MDAW*")+SUMIFS('BSE - Other Index Options'!$M:$M,'BSE - Other Index Options'!$C:$C,$A211,'BSE - Other Index Options'!$B:$B,D$147,'BSE - Other Index Options'!$I:$I,"Weekly*")+SUMIFS('BSE - Other Index Options'!$M:$M,'BSE - Other Index Options'!$C:$C,$A211,'BSE - Other Index Options'!$B:$B,D$147,'BSE - Other Index Options'!$I:$I,"MDAW*"))</f>
        <v/>
      </c>
      <c r="E211" s="26">
        <f>IF(SUMIFS('BSE - SENSEX Index Options'!$M:$M,'BSE - SENSEX Index Options'!$C:$C,$A211,'BSE - SENSEX Index Options'!$B:$B,E$147,'BSE - SENSEX Index Options'!$I:$I,"Weekly*")+SUMIFS('BSE - SENSEX Index Options'!$M:$M,'BSE - SENSEX Index Options'!$C:$C,$A211,'BSE - SENSEX Index Options'!$B:$B,E$147,'BSE - SENSEX Index Options'!$I:$I,"MDAW*")+SUMIFS('BSE - Other Index Options'!$M:$M,'BSE - Other Index Options'!$C:$C,$A211,'BSE - Other Index Options'!$B:$B,E$147,'BSE - Other Index Options'!$I:$I,"Weekly*")+SUMIFS('BSE - Other Index Options'!$M:$M,'BSE - Other Index Options'!$C:$C,$A211,'BSE - Other Index Options'!$B:$B,E$147,'BSE - Other Index Options'!$I:$I,"MDAW*")=0,"",SUMIFS('BSE - SENSEX Index Options'!$M:$M,'BSE - SENSEX Index Options'!$C:$C,$A211,'BSE - SENSEX Index Options'!$B:$B,E$147,'BSE - SENSEX Index Options'!$I:$I,"Weekly*")+SUMIFS('BSE - SENSEX Index Options'!$M:$M,'BSE - SENSEX Index Options'!$C:$C,$A211,'BSE - SENSEX Index Options'!$B:$B,E$147,'BSE - SENSEX Index Options'!$I:$I,"MDAW*")+SUMIFS('BSE - Other Index Options'!$M:$M,'BSE - Other Index Options'!$C:$C,$A211,'BSE - Other Index Options'!$B:$B,E$147,'BSE - Other Index Options'!$I:$I,"Weekly*")+SUMIFS('BSE - Other Index Options'!$M:$M,'BSE - Other Index Options'!$C:$C,$A211,'BSE - Other Index Options'!$B:$B,E$147,'BSE - Other Index Options'!$I:$I,"MDAW*"))</f>
        <v/>
      </c>
      <c r="F211" s="26">
        <f>IF(SUMIFS('BSE - SENSEX Index Options'!$M:$M,'BSE - SENSEX Index Options'!$C:$C,$A211,'BSE - SENSEX Index Options'!$B:$B,F$147,'BSE - SENSEX Index Options'!$I:$I,"Weekly*")+SUMIFS('BSE - SENSEX Index Options'!$M:$M,'BSE - SENSEX Index Options'!$C:$C,$A211,'BSE - SENSEX Index Options'!$B:$B,F$147,'BSE - SENSEX Index Options'!$I:$I,"MDAW*")+SUMIFS('BSE - Other Index Options'!$M:$M,'BSE - Other Index Options'!$C:$C,$A211,'BSE - Other Index Options'!$B:$B,F$147,'BSE - Other Index Options'!$I:$I,"Weekly*")+SUMIFS('BSE - Other Index Options'!$M:$M,'BSE - Other Index Options'!$C:$C,$A211,'BSE - Other Index Options'!$B:$B,F$147,'BSE - Other Index Options'!$I:$I,"MDAW*")=0,"",SUMIFS('BSE - SENSEX Index Options'!$M:$M,'BSE - SENSEX Index Options'!$C:$C,$A211,'BSE - SENSEX Index Options'!$B:$B,F$147,'BSE - SENSEX Index Options'!$I:$I,"Weekly*")+SUMIFS('BSE - SENSEX Index Options'!$M:$M,'BSE - SENSEX Index Options'!$C:$C,$A211,'BSE - SENSEX Index Options'!$B:$B,F$147,'BSE - SENSEX Index Options'!$I:$I,"MDAW*")+SUMIFS('BSE - Other Index Options'!$M:$M,'BSE - Other Index Options'!$C:$C,$A211,'BSE - Other Index Options'!$B:$B,F$147,'BSE - Other Index Options'!$I:$I,"Weekly*")+SUMIFS('BSE - Other Index Options'!$M:$M,'BSE - Other Index Options'!$C:$C,$A211,'BSE - Other Index Options'!$B:$B,F$147,'BSE - Other Index Options'!$I:$I,"MDAW*"))</f>
        <v/>
      </c>
      <c r="G211" s="26">
        <f>IF(SUMIFS('BSE - SENSEX Index Options'!$M:$M,'BSE - SENSEX Index Options'!$C:$C,$A211,'BSE - SENSEX Index Options'!$B:$B,G$147,'BSE - SENSEX Index Options'!$I:$I,"Weekly*")+SUMIFS('BSE - SENSEX Index Options'!$M:$M,'BSE - SENSEX Index Options'!$C:$C,$A211,'BSE - SENSEX Index Options'!$B:$B,G$147,'BSE - SENSEX Index Options'!$I:$I,"MDAW*")+SUMIFS('BSE - Other Index Options'!$M:$M,'BSE - Other Index Options'!$C:$C,$A211,'BSE - Other Index Options'!$B:$B,G$147,'BSE - Other Index Options'!$I:$I,"Weekly*")+SUMIFS('BSE - Other Index Options'!$M:$M,'BSE - Other Index Options'!$C:$C,$A211,'BSE - Other Index Options'!$B:$B,G$147,'BSE - Other Index Options'!$I:$I,"MDAW*")=0,"",SUMIFS('BSE - SENSEX Index Options'!$M:$M,'BSE - SENSEX Index Options'!$C:$C,$A211,'BSE - SENSEX Index Options'!$B:$B,G$147,'BSE - SENSEX Index Options'!$I:$I,"Weekly*")+SUMIFS('BSE - SENSEX Index Options'!$M:$M,'BSE - SENSEX Index Options'!$C:$C,$A211,'BSE - SENSEX Index Options'!$B:$B,G$147,'BSE - SENSEX Index Options'!$I:$I,"MDAW*")+SUMIFS('BSE - Other Index Options'!$M:$M,'BSE - Other Index Options'!$C:$C,$A211,'BSE - Other Index Options'!$B:$B,G$147,'BSE - Other Index Options'!$I:$I,"Weekly*")+SUMIFS('BSE - Other Index Options'!$M:$M,'BSE - Other Index Options'!$C:$C,$A211,'BSE - Other Index Options'!$B:$B,G$147,'BSE - Other Index Options'!$I:$I,"MDAW*"))</f>
        <v/>
      </c>
      <c r="H211" s="26">
        <f>IF(SUM(B211:G211)=0,"",SUM(B211:G211))</f>
        <v/>
      </c>
    </row>
    <row r="212" hidden="1" outlineLevel="1">
      <c r="A212" t="inlineStr">
        <is>
          <t>Week1-Oct-2026</t>
        </is>
      </c>
      <c r="B212" s="26">
        <f>IF(SUMIFS('BSE - SENSEX Index Options'!$M:$M,'BSE - SENSEX Index Options'!$C:$C,$A212,'BSE - SENSEX Index Options'!$B:$B,B$147,'BSE - SENSEX Index Options'!$I:$I,"Weekly*")+SUMIFS('BSE - SENSEX Index Options'!$M:$M,'BSE - SENSEX Index Options'!$C:$C,$A212,'BSE - SENSEX Index Options'!$B:$B,B$147,'BSE - SENSEX Index Options'!$I:$I,"MDAW*")+SUMIFS('BSE - Other Index Options'!$M:$M,'BSE - Other Index Options'!$C:$C,$A212,'BSE - Other Index Options'!$B:$B,B$147,'BSE - Other Index Options'!$I:$I,"Weekly*")+SUMIFS('BSE - Other Index Options'!$M:$M,'BSE - Other Index Options'!$C:$C,$A212,'BSE - Other Index Options'!$B:$B,B$147,'BSE - Other Index Options'!$I:$I,"MDAW*")=0,"",SUMIFS('BSE - SENSEX Index Options'!$M:$M,'BSE - SENSEX Index Options'!$C:$C,$A212,'BSE - SENSEX Index Options'!$B:$B,B$147,'BSE - SENSEX Index Options'!$I:$I,"Weekly*")+SUMIFS('BSE - SENSEX Index Options'!$M:$M,'BSE - SENSEX Index Options'!$C:$C,$A212,'BSE - SENSEX Index Options'!$B:$B,B$147,'BSE - SENSEX Index Options'!$I:$I,"MDAW*")+SUMIFS('BSE - Other Index Options'!$M:$M,'BSE - Other Index Options'!$C:$C,$A212,'BSE - Other Index Options'!$B:$B,B$147,'BSE - Other Index Options'!$I:$I,"Weekly*")+SUMIFS('BSE - Other Index Options'!$M:$M,'BSE - Other Index Options'!$C:$C,$A212,'BSE - Other Index Options'!$B:$B,B$147,'BSE - Other Index Options'!$I:$I,"MDAW*"))</f>
        <v/>
      </c>
      <c r="C212" s="26">
        <f>IF(SUMIFS('BSE - SENSEX Index Options'!$M:$M,'BSE - SENSEX Index Options'!$C:$C,$A212,'BSE - SENSEX Index Options'!$B:$B,C$147,'BSE - SENSEX Index Options'!$I:$I,"Weekly*")+SUMIFS('BSE - SENSEX Index Options'!$M:$M,'BSE - SENSEX Index Options'!$C:$C,$A212,'BSE - SENSEX Index Options'!$B:$B,C$147,'BSE - SENSEX Index Options'!$I:$I,"MDAW*")+SUMIFS('BSE - Other Index Options'!$M:$M,'BSE - Other Index Options'!$C:$C,$A212,'BSE - Other Index Options'!$B:$B,C$147,'BSE - Other Index Options'!$I:$I,"Weekly*")+SUMIFS('BSE - Other Index Options'!$M:$M,'BSE - Other Index Options'!$C:$C,$A212,'BSE - Other Index Options'!$B:$B,C$147,'BSE - Other Index Options'!$I:$I,"MDAW*")=0,"",SUMIFS('BSE - SENSEX Index Options'!$M:$M,'BSE - SENSEX Index Options'!$C:$C,$A212,'BSE - SENSEX Index Options'!$B:$B,C$147,'BSE - SENSEX Index Options'!$I:$I,"Weekly*")+SUMIFS('BSE - SENSEX Index Options'!$M:$M,'BSE - SENSEX Index Options'!$C:$C,$A212,'BSE - SENSEX Index Options'!$B:$B,C$147,'BSE - SENSEX Index Options'!$I:$I,"MDAW*")+SUMIFS('BSE - Other Index Options'!$M:$M,'BSE - Other Index Options'!$C:$C,$A212,'BSE - Other Index Options'!$B:$B,C$147,'BSE - Other Index Options'!$I:$I,"Weekly*")+SUMIFS('BSE - Other Index Options'!$M:$M,'BSE - Other Index Options'!$C:$C,$A212,'BSE - Other Index Options'!$B:$B,C$147,'BSE - Other Index Options'!$I:$I,"MDAW*"))</f>
        <v/>
      </c>
      <c r="D212" s="26">
        <f>IF(SUMIFS('BSE - SENSEX Index Options'!$M:$M,'BSE - SENSEX Index Options'!$C:$C,$A212,'BSE - SENSEX Index Options'!$B:$B,D$147,'BSE - SENSEX Index Options'!$I:$I,"Weekly*")+SUMIFS('BSE - SENSEX Index Options'!$M:$M,'BSE - SENSEX Index Options'!$C:$C,$A212,'BSE - SENSEX Index Options'!$B:$B,D$147,'BSE - SENSEX Index Options'!$I:$I,"MDAW*")+SUMIFS('BSE - Other Index Options'!$M:$M,'BSE - Other Index Options'!$C:$C,$A212,'BSE - Other Index Options'!$B:$B,D$147,'BSE - Other Index Options'!$I:$I,"Weekly*")+SUMIFS('BSE - Other Index Options'!$M:$M,'BSE - Other Index Options'!$C:$C,$A212,'BSE - Other Index Options'!$B:$B,D$147,'BSE - Other Index Options'!$I:$I,"MDAW*")=0,"",SUMIFS('BSE - SENSEX Index Options'!$M:$M,'BSE - SENSEX Index Options'!$C:$C,$A212,'BSE - SENSEX Index Options'!$B:$B,D$147,'BSE - SENSEX Index Options'!$I:$I,"Weekly*")+SUMIFS('BSE - SENSEX Index Options'!$M:$M,'BSE - SENSEX Index Options'!$C:$C,$A212,'BSE - SENSEX Index Options'!$B:$B,D$147,'BSE - SENSEX Index Options'!$I:$I,"MDAW*")+SUMIFS('BSE - Other Index Options'!$M:$M,'BSE - Other Index Options'!$C:$C,$A212,'BSE - Other Index Options'!$B:$B,D$147,'BSE - Other Index Options'!$I:$I,"Weekly*")+SUMIFS('BSE - Other Index Options'!$M:$M,'BSE - Other Index Options'!$C:$C,$A212,'BSE - Other Index Options'!$B:$B,D$147,'BSE - Other Index Options'!$I:$I,"MDAW*"))</f>
        <v/>
      </c>
      <c r="E212" s="26">
        <f>IF(SUMIFS('BSE - SENSEX Index Options'!$M:$M,'BSE - SENSEX Index Options'!$C:$C,$A212,'BSE - SENSEX Index Options'!$B:$B,E$147,'BSE - SENSEX Index Options'!$I:$I,"Weekly*")+SUMIFS('BSE - SENSEX Index Options'!$M:$M,'BSE - SENSEX Index Options'!$C:$C,$A212,'BSE - SENSEX Index Options'!$B:$B,E$147,'BSE - SENSEX Index Options'!$I:$I,"MDAW*")+SUMIFS('BSE - Other Index Options'!$M:$M,'BSE - Other Index Options'!$C:$C,$A212,'BSE - Other Index Options'!$B:$B,E$147,'BSE - Other Index Options'!$I:$I,"Weekly*")+SUMIFS('BSE - Other Index Options'!$M:$M,'BSE - Other Index Options'!$C:$C,$A212,'BSE - Other Index Options'!$B:$B,E$147,'BSE - Other Index Options'!$I:$I,"MDAW*")=0,"",SUMIFS('BSE - SENSEX Index Options'!$M:$M,'BSE - SENSEX Index Options'!$C:$C,$A212,'BSE - SENSEX Index Options'!$B:$B,E$147,'BSE - SENSEX Index Options'!$I:$I,"Weekly*")+SUMIFS('BSE - SENSEX Index Options'!$M:$M,'BSE - SENSEX Index Options'!$C:$C,$A212,'BSE - SENSEX Index Options'!$B:$B,E$147,'BSE - SENSEX Index Options'!$I:$I,"MDAW*")+SUMIFS('BSE - Other Index Options'!$M:$M,'BSE - Other Index Options'!$C:$C,$A212,'BSE - Other Index Options'!$B:$B,E$147,'BSE - Other Index Options'!$I:$I,"Weekly*")+SUMIFS('BSE - Other Index Options'!$M:$M,'BSE - Other Index Options'!$C:$C,$A212,'BSE - Other Index Options'!$B:$B,E$147,'BSE - Other Index Options'!$I:$I,"MDAW*"))</f>
        <v/>
      </c>
      <c r="F212" s="26">
        <f>IF(SUMIFS('BSE - SENSEX Index Options'!$M:$M,'BSE - SENSEX Index Options'!$C:$C,$A212,'BSE - SENSEX Index Options'!$B:$B,F$147,'BSE - SENSEX Index Options'!$I:$I,"Weekly*")+SUMIFS('BSE - SENSEX Index Options'!$M:$M,'BSE - SENSEX Index Options'!$C:$C,$A212,'BSE - SENSEX Index Options'!$B:$B,F$147,'BSE - SENSEX Index Options'!$I:$I,"MDAW*")+SUMIFS('BSE - Other Index Options'!$M:$M,'BSE - Other Index Options'!$C:$C,$A212,'BSE - Other Index Options'!$B:$B,F$147,'BSE - Other Index Options'!$I:$I,"Weekly*")+SUMIFS('BSE - Other Index Options'!$M:$M,'BSE - Other Index Options'!$C:$C,$A212,'BSE - Other Index Options'!$B:$B,F$147,'BSE - Other Index Options'!$I:$I,"MDAW*")=0,"",SUMIFS('BSE - SENSEX Index Options'!$M:$M,'BSE - SENSEX Index Options'!$C:$C,$A212,'BSE - SENSEX Index Options'!$B:$B,F$147,'BSE - SENSEX Index Options'!$I:$I,"Weekly*")+SUMIFS('BSE - SENSEX Index Options'!$M:$M,'BSE - SENSEX Index Options'!$C:$C,$A212,'BSE - SENSEX Index Options'!$B:$B,F$147,'BSE - SENSEX Index Options'!$I:$I,"MDAW*")+SUMIFS('BSE - Other Index Options'!$M:$M,'BSE - Other Index Options'!$C:$C,$A212,'BSE - Other Index Options'!$B:$B,F$147,'BSE - Other Index Options'!$I:$I,"Weekly*")+SUMIFS('BSE - Other Index Options'!$M:$M,'BSE - Other Index Options'!$C:$C,$A212,'BSE - Other Index Options'!$B:$B,F$147,'BSE - Other Index Options'!$I:$I,"MDAW*"))</f>
        <v/>
      </c>
      <c r="G212" s="26">
        <f>IF(SUMIFS('BSE - SENSEX Index Options'!$M:$M,'BSE - SENSEX Index Options'!$C:$C,$A212,'BSE - SENSEX Index Options'!$B:$B,G$147,'BSE - SENSEX Index Options'!$I:$I,"Weekly*")+SUMIFS('BSE - SENSEX Index Options'!$M:$M,'BSE - SENSEX Index Options'!$C:$C,$A212,'BSE - SENSEX Index Options'!$B:$B,G$147,'BSE - SENSEX Index Options'!$I:$I,"MDAW*")+SUMIFS('BSE - Other Index Options'!$M:$M,'BSE - Other Index Options'!$C:$C,$A212,'BSE - Other Index Options'!$B:$B,G$147,'BSE - Other Index Options'!$I:$I,"Weekly*")+SUMIFS('BSE - Other Index Options'!$M:$M,'BSE - Other Index Options'!$C:$C,$A212,'BSE - Other Index Options'!$B:$B,G$147,'BSE - Other Index Options'!$I:$I,"MDAW*")=0,"",SUMIFS('BSE - SENSEX Index Options'!$M:$M,'BSE - SENSEX Index Options'!$C:$C,$A212,'BSE - SENSEX Index Options'!$B:$B,G$147,'BSE - SENSEX Index Options'!$I:$I,"Weekly*")+SUMIFS('BSE - SENSEX Index Options'!$M:$M,'BSE - SENSEX Index Options'!$C:$C,$A212,'BSE - SENSEX Index Options'!$B:$B,G$147,'BSE - SENSEX Index Options'!$I:$I,"MDAW*")+SUMIFS('BSE - Other Index Options'!$M:$M,'BSE - Other Index Options'!$C:$C,$A212,'BSE - Other Index Options'!$B:$B,G$147,'BSE - Other Index Options'!$I:$I,"Weekly*")+SUMIFS('BSE - Other Index Options'!$M:$M,'BSE - Other Index Options'!$C:$C,$A212,'BSE - Other Index Options'!$B:$B,G$147,'BSE - Other Index Options'!$I:$I,"MDAW*"))</f>
        <v/>
      </c>
      <c r="H212" s="26">
        <f>IF(SUM(B212:G212)=0,"",SUM(B212:G212))</f>
        <v/>
      </c>
    </row>
    <row r="213" hidden="1" outlineLevel="1">
      <c r="A213" t="inlineStr">
        <is>
          <t>Week2-Oct-2026</t>
        </is>
      </c>
      <c r="B213" s="26">
        <f>IF(SUMIFS('BSE - SENSEX Index Options'!$M:$M,'BSE - SENSEX Index Options'!$C:$C,$A213,'BSE - SENSEX Index Options'!$B:$B,B$147,'BSE - SENSEX Index Options'!$I:$I,"Weekly*")+SUMIFS('BSE - SENSEX Index Options'!$M:$M,'BSE - SENSEX Index Options'!$C:$C,$A213,'BSE - SENSEX Index Options'!$B:$B,B$147,'BSE - SENSEX Index Options'!$I:$I,"MDAW*")+SUMIFS('BSE - Other Index Options'!$M:$M,'BSE - Other Index Options'!$C:$C,$A213,'BSE - Other Index Options'!$B:$B,B$147,'BSE - Other Index Options'!$I:$I,"Weekly*")+SUMIFS('BSE - Other Index Options'!$M:$M,'BSE - Other Index Options'!$C:$C,$A213,'BSE - Other Index Options'!$B:$B,B$147,'BSE - Other Index Options'!$I:$I,"MDAW*")=0,"",SUMIFS('BSE - SENSEX Index Options'!$M:$M,'BSE - SENSEX Index Options'!$C:$C,$A213,'BSE - SENSEX Index Options'!$B:$B,B$147,'BSE - SENSEX Index Options'!$I:$I,"Weekly*")+SUMIFS('BSE - SENSEX Index Options'!$M:$M,'BSE - SENSEX Index Options'!$C:$C,$A213,'BSE - SENSEX Index Options'!$B:$B,B$147,'BSE - SENSEX Index Options'!$I:$I,"MDAW*")+SUMIFS('BSE - Other Index Options'!$M:$M,'BSE - Other Index Options'!$C:$C,$A213,'BSE - Other Index Options'!$B:$B,B$147,'BSE - Other Index Options'!$I:$I,"Weekly*")+SUMIFS('BSE - Other Index Options'!$M:$M,'BSE - Other Index Options'!$C:$C,$A213,'BSE - Other Index Options'!$B:$B,B$147,'BSE - Other Index Options'!$I:$I,"MDAW*"))</f>
        <v/>
      </c>
      <c r="C213" s="26">
        <f>IF(SUMIFS('BSE - SENSEX Index Options'!$M:$M,'BSE - SENSEX Index Options'!$C:$C,$A213,'BSE - SENSEX Index Options'!$B:$B,C$147,'BSE - SENSEX Index Options'!$I:$I,"Weekly*")+SUMIFS('BSE - SENSEX Index Options'!$M:$M,'BSE - SENSEX Index Options'!$C:$C,$A213,'BSE - SENSEX Index Options'!$B:$B,C$147,'BSE - SENSEX Index Options'!$I:$I,"MDAW*")+SUMIFS('BSE - Other Index Options'!$M:$M,'BSE - Other Index Options'!$C:$C,$A213,'BSE - Other Index Options'!$B:$B,C$147,'BSE - Other Index Options'!$I:$I,"Weekly*")+SUMIFS('BSE - Other Index Options'!$M:$M,'BSE - Other Index Options'!$C:$C,$A213,'BSE - Other Index Options'!$B:$B,C$147,'BSE - Other Index Options'!$I:$I,"MDAW*")=0,"",SUMIFS('BSE - SENSEX Index Options'!$M:$M,'BSE - SENSEX Index Options'!$C:$C,$A213,'BSE - SENSEX Index Options'!$B:$B,C$147,'BSE - SENSEX Index Options'!$I:$I,"Weekly*")+SUMIFS('BSE - SENSEX Index Options'!$M:$M,'BSE - SENSEX Index Options'!$C:$C,$A213,'BSE - SENSEX Index Options'!$B:$B,C$147,'BSE - SENSEX Index Options'!$I:$I,"MDAW*")+SUMIFS('BSE - Other Index Options'!$M:$M,'BSE - Other Index Options'!$C:$C,$A213,'BSE - Other Index Options'!$B:$B,C$147,'BSE - Other Index Options'!$I:$I,"Weekly*")+SUMIFS('BSE - Other Index Options'!$M:$M,'BSE - Other Index Options'!$C:$C,$A213,'BSE - Other Index Options'!$B:$B,C$147,'BSE - Other Index Options'!$I:$I,"MDAW*"))</f>
        <v/>
      </c>
      <c r="D213" s="26">
        <f>IF(SUMIFS('BSE - SENSEX Index Options'!$M:$M,'BSE - SENSEX Index Options'!$C:$C,$A213,'BSE - SENSEX Index Options'!$B:$B,D$147,'BSE - SENSEX Index Options'!$I:$I,"Weekly*")+SUMIFS('BSE - SENSEX Index Options'!$M:$M,'BSE - SENSEX Index Options'!$C:$C,$A213,'BSE - SENSEX Index Options'!$B:$B,D$147,'BSE - SENSEX Index Options'!$I:$I,"MDAW*")+SUMIFS('BSE - Other Index Options'!$M:$M,'BSE - Other Index Options'!$C:$C,$A213,'BSE - Other Index Options'!$B:$B,D$147,'BSE - Other Index Options'!$I:$I,"Weekly*")+SUMIFS('BSE - Other Index Options'!$M:$M,'BSE - Other Index Options'!$C:$C,$A213,'BSE - Other Index Options'!$B:$B,D$147,'BSE - Other Index Options'!$I:$I,"MDAW*")=0,"",SUMIFS('BSE - SENSEX Index Options'!$M:$M,'BSE - SENSEX Index Options'!$C:$C,$A213,'BSE - SENSEX Index Options'!$B:$B,D$147,'BSE - SENSEX Index Options'!$I:$I,"Weekly*")+SUMIFS('BSE - SENSEX Index Options'!$M:$M,'BSE - SENSEX Index Options'!$C:$C,$A213,'BSE - SENSEX Index Options'!$B:$B,D$147,'BSE - SENSEX Index Options'!$I:$I,"MDAW*")+SUMIFS('BSE - Other Index Options'!$M:$M,'BSE - Other Index Options'!$C:$C,$A213,'BSE - Other Index Options'!$B:$B,D$147,'BSE - Other Index Options'!$I:$I,"Weekly*")+SUMIFS('BSE - Other Index Options'!$M:$M,'BSE - Other Index Options'!$C:$C,$A213,'BSE - Other Index Options'!$B:$B,D$147,'BSE - Other Index Options'!$I:$I,"MDAW*"))</f>
        <v/>
      </c>
      <c r="E213" s="26">
        <f>IF(SUMIFS('BSE - SENSEX Index Options'!$M:$M,'BSE - SENSEX Index Options'!$C:$C,$A213,'BSE - SENSEX Index Options'!$B:$B,E$147,'BSE - SENSEX Index Options'!$I:$I,"Weekly*")+SUMIFS('BSE - SENSEX Index Options'!$M:$M,'BSE - SENSEX Index Options'!$C:$C,$A213,'BSE - SENSEX Index Options'!$B:$B,E$147,'BSE - SENSEX Index Options'!$I:$I,"MDAW*")+SUMIFS('BSE - Other Index Options'!$M:$M,'BSE - Other Index Options'!$C:$C,$A213,'BSE - Other Index Options'!$B:$B,E$147,'BSE - Other Index Options'!$I:$I,"Weekly*")+SUMIFS('BSE - Other Index Options'!$M:$M,'BSE - Other Index Options'!$C:$C,$A213,'BSE - Other Index Options'!$B:$B,E$147,'BSE - Other Index Options'!$I:$I,"MDAW*")=0,"",SUMIFS('BSE - SENSEX Index Options'!$M:$M,'BSE - SENSEX Index Options'!$C:$C,$A213,'BSE - SENSEX Index Options'!$B:$B,E$147,'BSE - SENSEX Index Options'!$I:$I,"Weekly*")+SUMIFS('BSE - SENSEX Index Options'!$M:$M,'BSE - SENSEX Index Options'!$C:$C,$A213,'BSE - SENSEX Index Options'!$B:$B,E$147,'BSE - SENSEX Index Options'!$I:$I,"MDAW*")+SUMIFS('BSE - Other Index Options'!$M:$M,'BSE - Other Index Options'!$C:$C,$A213,'BSE - Other Index Options'!$B:$B,E$147,'BSE - Other Index Options'!$I:$I,"Weekly*")+SUMIFS('BSE - Other Index Options'!$M:$M,'BSE - Other Index Options'!$C:$C,$A213,'BSE - Other Index Options'!$B:$B,E$147,'BSE - Other Index Options'!$I:$I,"MDAW*"))</f>
        <v/>
      </c>
      <c r="F213" s="26">
        <f>IF(SUMIFS('BSE - SENSEX Index Options'!$M:$M,'BSE - SENSEX Index Options'!$C:$C,$A213,'BSE - SENSEX Index Options'!$B:$B,F$147,'BSE - SENSEX Index Options'!$I:$I,"Weekly*")+SUMIFS('BSE - SENSEX Index Options'!$M:$M,'BSE - SENSEX Index Options'!$C:$C,$A213,'BSE - SENSEX Index Options'!$B:$B,F$147,'BSE - SENSEX Index Options'!$I:$I,"MDAW*")+SUMIFS('BSE - Other Index Options'!$M:$M,'BSE - Other Index Options'!$C:$C,$A213,'BSE - Other Index Options'!$B:$B,F$147,'BSE - Other Index Options'!$I:$I,"Weekly*")+SUMIFS('BSE - Other Index Options'!$M:$M,'BSE - Other Index Options'!$C:$C,$A213,'BSE - Other Index Options'!$B:$B,F$147,'BSE - Other Index Options'!$I:$I,"MDAW*")=0,"",SUMIFS('BSE - SENSEX Index Options'!$M:$M,'BSE - SENSEX Index Options'!$C:$C,$A213,'BSE - SENSEX Index Options'!$B:$B,F$147,'BSE - SENSEX Index Options'!$I:$I,"Weekly*")+SUMIFS('BSE - SENSEX Index Options'!$M:$M,'BSE - SENSEX Index Options'!$C:$C,$A213,'BSE - SENSEX Index Options'!$B:$B,F$147,'BSE - SENSEX Index Options'!$I:$I,"MDAW*")+SUMIFS('BSE - Other Index Options'!$M:$M,'BSE - Other Index Options'!$C:$C,$A213,'BSE - Other Index Options'!$B:$B,F$147,'BSE - Other Index Options'!$I:$I,"Weekly*")+SUMIFS('BSE - Other Index Options'!$M:$M,'BSE - Other Index Options'!$C:$C,$A213,'BSE - Other Index Options'!$B:$B,F$147,'BSE - Other Index Options'!$I:$I,"MDAW*"))</f>
        <v/>
      </c>
      <c r="G213" s="26">
        <f>IF(SUMIFS('BSE - SENSEX Index Options'!$M:$M,'BSE - SENSEX Index Options'!$C:$C,$A213,'BSE - SENSEX Index Options'!$B:$B,G$147,'BSE - SENSEX Index Options'!$I:$I,"Weekly*")+SUMIFS('BSE - SENSEX Index Options'!$M:$M,'BSE - SENSEX Index Options'!$C:$C,$A213,'BSE - SENSEX Index Options'!$B:$B,G$147,'BSE - SENSEX Index Options'!$I:$I,"MDAW*")+SUMIFS('BSE - Other Index Options'!$M:$M,'BSE - Other Index Options'!$C:$C,$A213,'BSE - Other Index Options'!$B:$B,G$147,'BSE - Other Index Options'!$I:$I,"Weekly*")+SUMIFS('BSE - Other Index Options'!$M:$M,'BSE - Other Index Options'!$C:$C,$A213,'BSE - Other Index Options'!$B:$B,G$147,'BSE - Other Index Options'!$I:$I,"MDAW*")=0,"",SUMIFS('BSE - SENSEX Index Options'!$M:$M,'BSE - SENSEX Index Options'!$C:$C,$A213,'BSE - SENSEX Index Options'!$B:$B,G$147,'BSE - SENSEX Index Options'!$I:$I,"Weekly*")+SUMIFS('BSE - SENSEX Index Options'!$M:$M,'BSE - SENSEX Index Options'!$C:$C,$A213,'BSE - SENSEX Index Options'!$B:$B,G$147,'BSE - SENSEX Index Options'!$I:$I,"MDAW*")+SUMIFS('BSE - Other Index Options'!$M:$M,'BSE - Other Index Options'!$C:$C,$A213,'BSE - Other Index Options'!$B:$B,G$147,'BSE - Other Index Options'!$I:$I,"Weekly*")+SUMIFS('BSE - Other Index Options'!$M:$M,'BSE - Other Index Options'!$C:$C,$A213,'BSE - Other Index Options'!$B:$B,G$147,'BSE - Other Index Options'!$I:$I,"MDAW*"))</f>
        <v/>
      </c>
      <c r="H213" s="26">
        <f>IF(SUM(B213:G213)=0,"",SUM(B213:G213))</f>
        <v/>
      </c>
    </row>
    <row r="214" hidden="1" outlineLevel="1">
      <c r="A214" t="inlineStr">
        <is>
          <t>Week3-Oct-2026</t>
        </is>
      </c>
      <c r="B214" s="26">
        <f>IF(SUMIFS('BSE - SENSEX Index Options'!$M:$M,'BSE - SENSEX Index Options'!$C:$C,$A214,'BSE - SENSEX Index Options'!$B:$B,B$147,'BSE - SENSEX Index Options'!$I:$I,"Weekly*")+SUMIFS('BSE - SENSEX Index Options'!$M:$M,'BSE - SENSEX Index Options'!$C:$C,$A214,'BSE - SENSEX Index Options'!$B:$B,B$147,'BSE - SENSEX Index Options'!$I:$I,"MDAW*")+SUMIFS('BSE - Other Index Options'!$M:$M,'BSE - Other Index Options'!$C:$C,$A214,'BSE - Other Index Options'!$B:$B,B$147,'BSE - Other Index Options'!$I:$I,"Weekly*")+SUMIFS('BSE - Other Index Options'!$M:$M,'BSE - Other Index Options'!$C:$C,$A214,'BSE - Other Index Options'!$B:$B,B$147,'BSE - Other Index Options'!$I:$I,"MDAW*")=0,"",SUMIFS('BSE - SENSEX Index Options'!$M:$M,'BSE - SENSEX Index Options'!$C:$C,$A214,'BSE - SENSEX Index Options'!$B:$B,B$147,'BSE - SENSEX Index Options'!$I:$I,"Weekly*")+SUMIFS('BSE - SENSEX Index Options'!$M:$M,'BSE - SENSEX Index Options'!$C:$C,$A214,'BSE - SENSEX Index Options'!$B:$B,B$147,'BSE - SENSEX Index Options'!$I:$I,"MDAW*")+SUMIFS('BSE - Other Index Options'!$M:$M,'BSE - Other Index Options'!$C:$C,$A214,'BSE - Other Index Options'!$B:$B,B$147,'BSE - Other Index Options'!$I:$I,"Weekly*")+SUMIFS('BSE - Other Index Options'!$M:$M,'BSE - Other Index Options'!$C:$C,$A214,'BSE - Other Index Options'!$B:$B,B$147,'BSE - Other Index Options'!$I:$I,"MDAW*"))</f>
        <v/>
      </c>
      <c r="C214" s="26">
        <f>IF(SUMIFS('BSE - SENSEX Index Options'!$M:$M,'BSE - SENSEX Index Options'!$C:$C,$A214,'BSE - SENSEX Index Options'!$B:$B,C$147,'BSE - SENSEX Index Options'!$I:$I,"Weekly*")+SUMIFS('BSE - SENSEX Index Options'!$M:$M,'BSE - SENSEX Index Options'!$C:$C,$A214,'BSE - SENSEX Index Options'!$B:$B,C$147,'BSE - SENSEX Index Options'!$I:$I,"MDAW*")+SUMIFS('BSE - Other Index Options'!$M:$M,'BSE - Other Index Options'!$C:$C,$A214,'BSE - Other Index Options'!$B:$B,C$147,'BSE - Other Index Options'!$I:$I,"Weekly*")+SUMIFS('BSE - Other Index Options'!$M:$M,'BSE - Other Index Options'!$C:$C,$A214,'BSE - Other Index Options'!$B:$B,C$147,'BSE - Other Index Options'!$I:$I,"MDAW*")=0,"",SUMIFS('BSE - SENSEX Index Options'!$M:$M,'BSE - SENSEX Index Options'!$C:$C,$A214,'BSE - SENSEX Index Options'!$B:$B,C$147,'BSE - SENSEX Index Options'!$I:$I,"Weekly*")+SUMIFS('BSE - SENSEX Index Options'!$M:$M,'BSE - SENSEX Index Options'!$C:$C,$A214,'BSE - SENSEX Index Options'!$B:$B,C$147,'BSE - SENSEX Index Options'!$I:$I,"MDAW*")+SUMIFS('BSE - Other Index Options'!$M:$M,'BSE - Other Index Options'!$C:$C,$A214,'BSE - Other Index Options'!$B:$B,C$147,'BSE - Other Index Options'!$I:$I,"Weekly*")+SUMIFS('BSE - Other Index Options'!$M:$M,'BSE - Other Index Options'!$C:$C,$A214,'BSE - Other Index Options'!$B:$B,C$147,'BSE - Other Index Options'!$I:$I,"MDAW*"))</f>
        <v/>
      </c>
      <c r="D214" s="26">
        <f>IF(SUMIFS('BSE - SENSEX Index Options'!$M:$M,'BSE - SENSEX Index Options'!$C:$C,$A214,'BSE - SENSEX Index Options'!$B:$B,D$147,'BSE - SENSEX Index Options'!$I:$I,"Weekly*")+SUMIFS('BSE - SENSEX Index Options'!$M:$M,'BSE - SENSEX Index Options'!$C:$C,$A214,'BSE - SENSEX Index Options'!$B:$B,D$147,'BSE - SENSEX Index Options'!$I:$I,"MDAW*")+SUMIFS('BSE - Other Index Options'!$M:$M,'BSE - Other Index Options'!$C:$C,$A214,'BSE - Other Index Options'!$B:$B,D$147,'BSE - Other Index Options'!$I:$I,"Weekly*")+SUMIFS('BSE - Other Index Options'!$M:$M,'BSE - Other Index Options'!$C:$C,$A214,'BSE - Other Index Options'!$B:$B,D$147,'BSE - Other Index Options'!$I:$I,"MDAW*")=0,"",SUMIFS('BSE - SENSEX Index Options'!$M:$M,'BSE - SENSEX Index Options'!$C:$C,$A214,'BSE - SENSEX Index Options'!$B:$B,D$147,'BSE - SENSEX Index Options'!$I:$I,"Weekly*")+SUMIFS('BSE - SENSEX Index Options'!$M:$M,'BSE - SENSEX Index Options'!$C:$C,$A214,'BSE - SENSEX Index Options'!$B:$B,D$147,'BSE - SENSEX Index Options'!$I:$I,"MDAW*")+SUMIFS('BSE - Other Index Options'!$M:$M,'BSE - Other Index Options'!$C:$C,$A214,'BSE - Other Index Options'!$B:$B,D$147,'BSE - Other Index Options'!$I:$I,"Weekly*")+SUMIFS('BSE - Other Index Options'!$M:$M,'BSE - Other Index Options'!$C:$C,$A214,'BSE - Other Index Options'!$B:$B,D$147,'BSE - Other Index Options'!$I:$I,"MDAW*"))</f>
        <v/>
      </c>
      <c r="E214" s="26">
        <f>IF(SUMIFS('BSE - SENSEX Index Options'!$M:$M,'BSE - SENSEX Index Options'!$C:$C,$A214,'BSE - SENSEX Index Options'!$B:$B,E$147,'BSE - SENSEX Index Options'!$I:$I,"Weekly*")+SUMIFS('BSE - SENSEX Index Options'!$M:$M,'BSE - SENSEX Index Options'!$C:$C,$A214,'BSE - SENSEX Index Options'!$B:$B,E$147,'BSE - SENSEX Index Options'!$I:$I,"MDAW*")+SUMIFS('BSE - Other Index Options'!$M:$M,'BSE - Other Index Options'!$C:$C,$A214,'BSE - Other Index Options'!$B:$B,E$147,'BSE - Other Index Options'!$I:$I,"Weekly*")+SUMIFS('BSE - Other Index Options'!$M:$M,'BSE - Other Index Options'!$C:$C,$A214,'BSE - Other Index Options'!$B:$B,E$147,'BSE - Other Index Options'!$I:$I,"MDAW*")=0,"",SUMIFS('BSE - SENSEX Index Options'!$M:$M,'BSE - SENSEX Index Options'!$C:$C,$A214,'BSE - SENSEX Index Options'!$B:$B,E$147,'BSE - SENSEX Index Options'!$I:$I,"Weekly*")+SUMIFS('BSE - SENSEX Index Options'!$M:$M,'BSE - SENSEX Index Options'!$C:$C,$A214,'BSE - SENSEX Index Options'!$B:$B,E$147,'BSE - SENSEX Index Options'!$I:$I,"MDAW*")+SUMIFS('BSE - Other Index Options'!$M:$M,'BSE - Other Index Options'!$C:$C,$A214,'BSE - Other Index Options'!$B:$B,E$147,'BSE - Other Index Options'!$I:$I,"Weekly*")+SUMIFS('BSE - Other Index Options'!$M:$M,'BSE - Other Index Options'!$C:$C,$A214,'BSE - Other Index Options'!$B:$B,E$147,'BSE - Other Index Options'!$I:$I,"MDAW*"))</f>
        <v/>
      </c>
      <c r="F214" s="26">
        <f>IF(SUMIFS('BSE - SENSEX Index Options'!$M:$M,'BSE - SENSEX Index Options'!$C:$C,$A214,'BSE - SENSEX Index Options'!$B:$B,F$147,'BSE - SENSEX Index Options'!$I:$I,"Weekly*")+SUMIFS('BSE - SENSEX Index Options'!$M:$M,'BSE - SENSEX Index Options'!$C:$C,$A214,'BSE - SENSEX Index Options'!$B:$B,F$147,'BSE - SENSEX Index Options'!$I:$I,"MDAW*")+SUMIFS('BSE - Other Index Options'!$M:$M,'BSE - Other Index Options'!$C:$C,$A214,'BSE - Other Index Options'!$B:$B,F$147,'BSE - Other Index Options'!$I:$I,"Weekly*")+SUMIFS('BSE - Other Index Options'!$M:$M,'BSE - Other Index Options'!$C:$C,$A214,'BSE - Other Index Options'!$B:$B,F$147,'BSE - Other Index Options'!$I:$I,"MDAW*")=0,"",SUMIFS('BSE - SENSEX Index Options'!$M:$M,'BSE - SENSEX Index Options'!$C:$C,$A214,'BSE - SENSEX Index Options'!$B:$B,F$147,'BSE - SENSEX Index Options'!$I:$I,"Weekly*")+SUMIFS('BSE - SENSEX Index Options'!$M:$M,'BSE - SENSEX Index Options'!$C:$C,$A214,'BSE - SENSEX Index Options'!$B:$B,F$147,'BSE - SENSEX Index Options'!$I:$I,"MDAW*")+SUMIFS('BSE - Other Index Options'!$M:$M,'BSE - Other Index Options'!$C:$C,$A214,'BSE - Other Index Options'!$B:$B,F$147,'BSE - Other Index Options'!$I:$I,"Weekly*")+SUMIFS('BSE - Other Index Options'!$M:$M,'BSE - Other Index Options'!$C:$C,$A214,'BSE - Other Index Options'!$B:$B,F$147,'BSE - Other Index Options'!$I:$I,"MDAW*"))</f>
        <v/>
      </c>
      <c r="G214" s="26">
        <f>IF(SUMIFS('BSE - SENSEX Index Options'!$M:$M,'BSE - SENSEX Index Options'!$C:$C,$A214,'BSE - SENSEX Index Options'!$B:$B,G$147,'BSE - SENSEX Index Options'!$I:$I,"Weekly*")+SUMIFS('BSE - SENSEX Index Options'!$M:$M,'BSE - SENSEX Index Options'!$C:$C,$A214,'BSE - SENSEX Index Options'!$B:$B,G$147,'BSE - SENSEX Index Options'!$I:$I,"MDAW*")+SUMIFS('BSE - Other Index Options'!$M:$M,'BSE - Other Index Options'!$C:$C,$A214,'BSE - Other Index Options'!$B:$B,G$147,'BSE - Other Index Options'!$I:$I,"Weekly*")+SUMIFS('BSE - Other Index Options'!$M:$M,'BSE - Other Index Options'!$C:$C,$A214,'BSE - Other Index Options'!$B:$B,G$147,'BSE - Other Index Options'!$I:$I,"MDAW*")=0,"",SUMIFS('BSE - SENSEX Index Options'!$M:$M,'BSE - SENSEX Index Options'!$C:$C,$A214,'BSE - SENSEX Index Options'!$B:$B,G$147,'BSE - SENSEX Index Options'!$I:$I,"Weekly*")+SUMIFS('BSE - SENSEX Index Options'!$M:$M,'BSE - SENSEX Index Options'!$C:$C,$A214,'BSE - SENSEX Index Options'!$B:$B,G$147,'BSE - SENSEX Index Options'!$I:$I,"MDAW*")+SUMIFS('BSE - Other Index Options'!$M:$M,'BSE - Other Index Options'!$C:$C,$A214,'BSE - Other Index Options'!$B:$B,G$147,'BSE - Other Index Options'!$I:$I,"Weekly*")+SUMIFS('BSE - Other Index Options'!$M:$M,'BSE - Other Index Options'!$C:$C,$A214,'BSE - Other Index Options'!$B:$B,G$147,'BSE - Other Index Options'!$I:$I,"MDAW*"))</f>
        <v/>
      </c>
      <c r="H214" s="26">
        <f>IF(SUM(B214:G214)=0,"",SUM(B214:G214))</f>
        <v/>
      </c>
    </row>
    <row r="215" hidden="1" outlineLevel="1">
      <c r="A215" t="inlineStr">
        <is>
          <t>Week4-Oct-2026</t>
        </is>
      </c>
      <c r="B215" s="26">
        <f>IF(SUMIFS('BSE - SENSEX Index Options'!$M:$M,'BSE - SENSEX Index Options'!$C:$C,$A215,'BSE - SENSEX Index Options'!$B:$B,B$147,'BSE - SENSEX Index Options'!$I:$I,"Weekly*")+SUMIFS('BSE - SENSEX Index Options'!$M:$M,'BSE - SENSEX Index Options'!$C:$C,$A215,'BSE - SENSEX Index Options'!$B:$B,B$147,'BSE - SENSEX Index Options'!$I:$I,"MDAW*")+SUMIFS('BSE - Other Index Options'!$M:$M,'BSE - Other Index Options'!$C:$C,$A215,'BSE - Other Index Options'!$B:$B,B$147,'BSE - Other Index Options'!$I:$I,"Weekly*")+SUMIFS('BSE - Other Index Options'!$M:$M,'BSE - Other Index Options'!$C:$C,$A215,'BSE - Other Index Options'!$B:$B,B$147,'BSE - Other Index Options'!$I:$I,"MDAW*")=0,"",SUMIFS('BSE - SENSEX Index Options'!$M:$M,'BSE - SENSEX Index Options'!$C:$C,$A215,'BSE - SENSEX Index Options'!$B:$B,B$147,'BSE - SENSEX Index Options'!$I:$I,"Weekly*")+SUMIFS('BSE - SENSEX Index Options'!$M:$M,'BSE - SENSEX Index Options'!$C:$C,$A215,'BSE - SENSEX Index Options'!$B:$B,B$147,'BSE - SENSEX Index Options'!$I:$I,"MDAW*")+SUMIFS('BSE - Other Index Options'!$M:$M,'BSE - Other Index Options'!$C:$C,$A215,'BSE - Other Index Options'!$B:$B,B$147,'BSE - Other Index Options'!$I:$I,"Weekly*")+SUMIFS('BSE - Other Index Options'!$M:$M,'BSE - Other Index Options'!$C:$C,$A215,'BSE - Other Index Options'!$B:$B,B$147,'BSE - Other Index Options'!$I:$I,"MDAW*"))</f>
        <v/>
      </c>
      <c r="C215" s="26">
        <f>IF(SUMIFS('BSE - SENSEX Index Options'!$M:$M,'BSE - SENSEX Index Options'!$C:$C,$A215,'BSE - SENSEX Index Options'!$B:$B,C$147,'BSE - SENSEX Index Options'!$I:$I,"Weekly*")+SUMIFS('BSE - SENSEX Index Options'!$M:$M,'BSE - SENSEX Index Options'!$C:$C,$A215,'BSE - SENSEX Index Options'!$B:$B,C$147,'BSE - SENSEX Index Options'!$I:$I,"MDAW*")+SUMIFS('BSE - Other Index Options'!$M:$M,'BSE - Other Index Options'!$C:$C,$A215,'BSE - Other Index Options'!$B:$B,C$147,'BSE - Other Index Options'!$I:$I,"Weekly*")+SUMIFS('BSE - Other Index Options'!$M:$M,'BSE - Other Index Options'!$C:$C,$A215,'BSE - Other Index Options'!$B:$B,C$147,'BSE - Other Index Options'!$I:$I,"MDAW*")=0,"",SUMIFS('BSE - SENSEX Index Options'!$M:$M,'BSE - SENSEX Index Options'!$C:$C,$A215,'BSE - SENSEX Index Options'!$B:$B,C$147,'BSE - SENSEX Index Options'!$I:$I,"Weekly*")+SUMIFS('BSE - SENSEX Index Options'!$M:$M,'BSE - SENSEX Index Options'!$C:$C,$A215,'BSE - SENSEX Index Options'!$B:$B,C$147,'BSE - SENSEX Index Options'!$I:$I,"MDAW*")+SUMIFS('BSE - Other Index Options'!$M:$M,'BSE - Other Index Options'!$C:$C,$A215,'BSE - Other Index Options'!$B:$B,C$147,'BSE - Other Index Options'!$I:$I,"Weekly*")+SUMIFS('BSE - Other Index Options'!$M:$M,'BSE - Other Index Options'!$C:$C,$A215,'BSE - Other Index Options'!$B:$B,C$147,'BSE - Other Index Options'!$I:$I,"MDAW*"))</f>
        <v/>
      </c>
      <c r="D215" s="26">
        <f>IF(SUMIFS('BSE - SENSEX Index Options'!$M:$M,'BSE - SENSEX Index Options'!$C:$C,$A215,'BSE - SENSEX Index Options'!$B:$B,D$147,'BSE - SENSEX Index Options'!$I:$I,"Weekly*")+SUMIFS('BSE - SENSEX Index Options'!$M:$M,'BSE - SENSEX Index Options'!$C:$C,$A215,'BSE - SENSEX Index Options'!$B:$B,D$147,'BSE - SENSEX Index Options'!$I:$I,"MDAW*")+SUMIFS('BSE - Other Index Options'!$M:$M,'BSE - Other Index Options'!$C:$C,$A215,'BSE - Other Index Options'!$B:$B,D$147,'BSE - Other Index Options'!$I:$I,"Weekly*")+SUMIFS('BSE - Other Index Options'!$M:$M,'BSE - Other Index Options'!$C:$C,$A215,'BSE - Other Index Options'!$B:$B,D$147,'BSE - Other Index Options'!$I:$I,"MDAW*")=0,"",SUMIFS('BSE - SENSEX Index Options'!$M:$M,'BSE - SENSEX Index Options'!$C:$C,$A215,'BSE - SENSEX Index Options'!$B:$B,D$147,'BSE - SENSEX Index Options'!$I:$I,"Weekly*")+SUMIFS('BSE - SENSEX Index Options'!$M:$M,'BSE - SENSEX Index Options'!$C:$C,$A215,'BSE - SENSEX Index Options'!$B:$B,D$147,'BSE - SENSEX Index Options'!$I:$I,"MDAW*")+SUMIFS('BSE - Other Index Options'!$M:$M,'BSE - Other Index Options'!$C:$C,$A215,'BSE - Other Index Options'!$B:$B,D$147,'BSE - Other Index Options'!$I:$I,"Weekly*")+SUMIFS('BSE - Other Index Options'!$M:$M,'BSE - Other Index Options'!$C:$C,$A215,'BSE - Other Index Options'!$B:$B,D$147,'BSE - Other Index Options'!$I:$I,"MDAW*"))</f>
        <v/>
      </c>
      <c r="E215" s="26">
        <f>IF(SUMIFS('BSE - SENSEX Index Options'!$M:$M,'BSE - SENSEX Index Options'!$C:$C,$A215,'BSE - SENSEX Index Options'!$B:$B,E$147,'BSE - SENSEX Index Options'!$I:$I,"Weekly*")+SUMIFS('BSE - SENSEX Index Options'!$M:$M,'BSE - SENSEX Index Options'!$C:$C,$A215,'BSE - SENSEX Index Options'!$B:$B,E$147,'BSE - SENSEX Index Options'!$I:$I,"MDAW*")+SUMIFS('BSE - Other Index Options'!$M:$M,'BSE - Other Index Options'!$C:$C,$A215,'BSE - Other Index Options'!$B:$B,E$147,'BSE - Other Index Options'!$I:$I,"Weekly*")+SUMIFS('BSE - Other Index Options'!$M:$M,'BSE - Other Index Options'!$C:$C,$A215,'BSE - Other Index Options'!$B:$B,E$147,'BSE - Other Index Options'!$I:$I,"MDAW*")=0,"",SUMIFS('BSE - SENSEX Index Options'!$M:$M,'BSE - SENSEX Index Options'!$C:$C,$A215,'BSE - SENSEX Index Options'!$B:$B,E$147,'BSE - SENSEX Index Options'!$I:$I,"Weekly*")+SUMIFS('BSE - SENSEX Index Options'!$M:$M,'BSE - SENSEX Index Options'!$C:$C,$A215,'BSE - SENSEX Index Options'!$B:$B,E$147,'BSE - SENSEX Index Options'!$I:$I,"MDAW*")+SUMIFS('BSE - Other Index Options'!$M:$M,'BSE - Other Index Options'!$C:$C,$A215,'BSE - Other Index Options'!$B:$B,E$147,'BSE - Other Index Options'!$I:$I,"Weekly*")+SUMIFS('BSE - Other Index Options'!$M:$M,'BSE - Other Index Options'!$C:$C,$A215,'BSE - Other Index Options'!$B:$B,E$147,'BSE - Other Index Options'!$I:$I,"MDAW*"))</f>
        <v/>
      </c>
      <c r="F215" s="26">
        <f>IF(SUMIFS('BSE - SENSEX Index Options'!$M:$M,'BSE - SENSEX Index Options'!$C:$C,$A215,'BSE - SENSEX Index Options'!$B:$B,F$147,'BSE - SENSEX Index Options'!$I:$I,"Weekly*")+SUMIFS('BSE - SENSEX Index Options'!$M:$M,'BSE - SENSEX Index Options'!$C:$C,$A215,'BSE - SENSEX Index Options'!$B:$B,F$147,'BSE - SENSEX Index Options'!$I:$I,"MDAW*")+SUMIFS('BSE - Other Index Options'!$M:$M,'BSE - Other Index Options'!$C:$C,$A215,'BSE - Other Index Options'!$B:$B,F$147,'BSE - Other Index Options'!$I:$I,"Weekly*")+SUMIFS('BSE - Other Index Options'!$M:$M,'BSE - Other Index Options'!$C:$C,$A215,'BSE - Other Index Options'!$B:$B,F$147,'BSE - Other Index Options'!$I:$I,"MDAW*")=0,"",SUMIFS('BSE - SENSEX Index Options'!$M:$M,'BSE - SENSEX Index Options'!$C:$C,$A215,'BSE - SENSEX Index Options'!$B:$B,F$147,'BSE - SENSEX Index Options'!$I:$I,"Weekly*")+SUMIFS('BSE - SENSEX Index Options'!$M:$M,'BSE - SENSEX Index Options'!$C:$C,$A215,'BSE - SENSEX Index Options'!$B:$B,F$147,'BSE - SENSEX Index Options'!$I:$I,"MDAW*")+SUMIFS('BSE - Other Index Options'!$M:$M,'BSE - Other Index Options'!$C:$C,$A215,'BSE - Other Index Options'!$B:$B,F$147,'BSE - Other Index Options'!$I:$I,"Weekly*")+SUMIFS('BSE - Other Index Options'!$M:$M,'BSE - Other Index Options'!$C:$C,$A215,'BSE - Other Index Options'!$B:$B,F$147,'BSE - Other Index Options'!$I:$I,"MDAW*"))</f>
        <v/>
      </c>
      <c r="G215" s="26">
        <f>IF(SUMIFS('BSE - SENSEX Index Options'!$M:$M,'BSE - SENSEX Index Options'!$C:$C,$A215,'BSE - SENSEX Index Options'!$B:$B,G$147,'BSE - SENSEX Index Options'!$I:$I,"Weekly*")+SUMIFS('BSE - SENSEX Index Options'!$M:$M,'BSE - SENSEX Index Options'!$C:$C,$A215,'BSE - SENSEX Index Options'!$B:$B,G$147,'BSE - SENSEX Index Options'!$I:$I,"MDAW*")+SUMIFS('BSE - Other Index Options'!$M:$M,'BSE - Other Index Options'!$C:$C,$A215,'BSE - Other Index Options'!$B:$B,G$147,'BSE - Other Index Options'!$I:$I,"Weekly*")+SUMIFS('BSE - Other Index Options'!$M:$M,'BSE - Other Index Options'!$C:$C,$A215,'BSE - Other Index Options'!$B:$B,G$147,'BSE - Other Index Options'!$I:$I,"MDAW*")=0,"",SUMIFS('BSE - SENSEX Index Options'!$M:$M,'BSE - SENSEX Index Options'!$C:$C,$A215,'BSE - SENSEX Index Options'!$B:$B,G$147,'BSE - SENSEX Index Options'!$I:$I,"Weekly*")+SUMIFS('BSE - SENSEX Index Options'!$M:$M,'BSE - SENSEX Index Options'!$C:$C,$A215,'BSE - SENSEX Index Options'!$B:$B,G$147,'BSE - SENSEX Index Options'!$I:$I,"MDAW*")+SUMIFS('BSE - Other Index Options'!$M:$M,'BSE - Other Index Options'!$C:$C,$A215,'BSE - Other Index Options'!$B:$B,G$147,'BSE - Other Index Options'!$I:$I,"Weekly*")+SUMIFS('BSE - Other Index Options'!$M:$M,'BSE - Other Index Options'!$C:$C,$A215,'BSE - Other Index Options'!$B:$B,G$147,'BSE - Other Index Options'!$I:$I,"MDAW*"))</f>
        <v/>
      </c>
      <c r="H215" s="26">
        <f>IF(SUM(B215:G215)=0,"",SUM(B215:G215))</f>
        <v/>
      </c>
    </row>
    <row r="216" hidden="1" outlineLevel="1">
      <c r="A216" t="inlineStr">
        <is>
          <t>Week5-Oct-2026</t>
        </is>
      </c>
      <c r="B216" s="26">
        <f>IF(SUMIFS('BSE - SENSEX Index Options'!$M:$M,'BSE - SENSEX Index Options'!$C:$C,$A216,'BSE - SENSEX Index Options'!$B:$B,B$147,'BSE - SENSEX Index Options'!$I:$I,"Weekly*")+SUMIFS('BSE - SENSEX Index Options'!$M:$M,'BSE - SENSEX Index Options'!$C:$C,$A216,'BSE - SENSEX Index Options'!$B:$B,B$147,'BSE - SENSEX Index Options'!$I:$I,"MDAW*")+SUMIFS('BSE - Other Index Options'!$M:$M,'BSE - Other Index Options'!$C:$C,$A216,'BSE - Other Index Options'!$B:$B,B$147,'BSE - Other Index Options'!$I:$I,"Weekly*")+SUMIFS('BSE - Other Index Options'!$M:$M,'BSE - Other Index Options'!$C:$C,$A216,'BSE - Other Index Options'!$B:$B,B$147,'BSE - Other Index Options'!$I:$I,"MDAW*")=0,"",SUMIFS('BSE - SENSEX Index Options'!$M:$M,'BSE - SENSEX Index Options'!$C:$C,$A216,'BSE - SENSEX Index Options'!$B:$B,B$147,'BSE - SENSEX Index Options'!$I:$I,"Weekly*")+SUMIFS('BSE - SENSEX Index Options'!$M:$M,'BSE - SENSEX Index Options'!$C:$C,$A216,'BSE - SENSEX Index Options'!$B:$B,B$147,'BSE - SENSEX Index Options'!$I:$I,"MDAW*")+SUMIFS('BSE - Other Index Options'!$M:$M,'BSE - Other Index Options'!$C:$C,$A216,'BSE - Other Index Options'!$B:$B,B$147,'BSE - Other Index Options'!$I:$I,"Weekly*")+SUMIFS('BSE - Other Index Options'!$M:$M,'BSE - Other Index Options'!$C:$C,$A216,'BSE - Other Index Options'!$B:$B,B$147,'BSE - Other Index Options'!$I:$I,"MDAW*"))</f>
        <v/>
      </c>
      <c r="C216" s="26">
        <f>IF(SUMIFS('BSE - SENSEX Index Options'!$M:$M,'BSE - SENSEX Index Options'!$C:$C,$A216,'BSE - SENSEX Index Options'!$B:$B,C$147,'BSE - SENSEX Index Options'!$I:$I,"Weekly*")+SUMIFS('BSE - SENSEX Index Options'!$M:$M,'BSE - SENSEX Index Options'!$C:$C,$A216,'BSE - SENSEX Index Options'!$B:$B,C$147,'BSE - SENSEX Index Options'!$I:$I,"MDAW*")+SUMIFS('BSE - Other Index Options'!$M:$M,'BSE - Other Index Options'!$C:$C,$A216,'BSE - Other Index Options'!$B:$B,C$147,'BSE - Other Index Options'!$I:$I,"Weekly*")+SUMIFS('BSE - Other Index Options'!$M:$M,'BSE - Other Index Options'!$C:$C,$A216,'BSE - Other Index Options'!$B:$B,C$147,'BSE - Other Index Options'!$I:$I,"MDAW*")=0,"",SUMIFS('BSE - SENSEX Index Options'!$M:$M,'BSE - SENSEX Index Options'!$C:$C,$A216,'BSE - SENSEX Index Options'!$B:$B,C$147,'BSE - SENSEX Index Options'!$I:$I,"Weekly*")+SUMIFS('BSE - SENSEX Index Options'!$M:$M,'BSE - SENSEX Index Options'!$C:$C,$A216,'BSE - SENSEX Index Options'!$B:$B,C$147,'BSE - SENSEX Index Options'!$I:$I,"MDAW*")+SUMIFS('BSE - Other Index Options'!$M:$M,'BSE - Other Index Options'!$C:$C,$A216,'BSE - Other Index Options'!$B:$B,C$147,'BSE - Other Index Options'!$I:$I,"Weekly*")+SUMIFS('BSE - Other Index Options'!$M:$M,'BSE - Other Index Options'!$C:$C,$A216,'BSE - Other Index Options'!$B:$B,C$147,'BSE - Other Index Options'!$I:$I,"MDAW*"))</f>
        <v/>
      </c>
      <c r="D216" s="26">
        <f>IF(SUMIFS('BSE - SENSEX Index Options'!$M:$M,'BSE - SENSEX Index Options'!$C:$C,$A216,'BSE - SENSEX Index Options'!$B:$B,D$147,'BSE - SENSEX Index Options'!$I:$I,"Weekly*")+SUMIFS('BSE - SENSEX Index Options'!$M:$M,'BSE - SENSEX Index Options'!$C:$C,$A216,'BSE - SENSEX Index Options'!$B:$B,D$147,'BSE - SENSEX Index Options'!$I:$I,"MDAW*")+SUMIFS('BSE - Other Index Options'!$M:$M,'BSE - Other Index Options'!$C:$C,$A216,'BSE - Other Index Options'!$B:$B,D$147,'BSE - Other Index Options'!$I:$I,"Weekly*")+SUMIFS('BSE - Other Index Options'!$M:$M,'BSE - Other Index Options'!$C:$C,$A216,'BSE - Other Index Options'!$B:$B,D$147,'BSE - Other Index Options'!$I:$I,"MDAW*")=0,"",SUMIFS('BSE - SENSEX Index Options'!$M:$M,'BSE - SENSEX Index Options'!$C:$C,$A216,'BSE - SENSEX Index Options'!$B:$B,D$147,'BSE - SENSEX Index Options'!$I:$I,"Weekly*")+SUMIFS('BSE - SENSEX Index Options'!$M:$M,'BSE - SENSEX Index Options'!$C:$C,$A216,'BSE - SENSEX Index Options'!$B:$B,D$147,'BSE - SENSEX Index Options'!$I:$I,"MDAW*")+SUMIFS('BSE - Other Index Options'!$M:$M,'BSE - Other Index Options'!$C:$C,$A216,'BSE - Other Index Options'!$B:$B,D$147,'BSE - Other Index Options'!$I:$I,"Weekly*")+SUMIFS('BSE - Other Index Options'!$M:$M,'BSE - Other Index Options'!$C:$C,$A216,'BSE - Other Index Options'!$B:$B,D$147,'BSE - Other Index Options'!$I:$I,"MDAW*"))</f>
        <v/>
      </c>
      <c r="E216" s="26">
        <f>IF(SUMIFS('BSE - SENSEX Index Options'!$M:$M,'BSE - SENSEX Index Options'!$C:$C,$A216,'BSE - SENSEX Index Options'!$B:$B,E$147,'BSE - SENSEX Index Options'!$I:$I,"Weekly*")+SUMIFS('BSE - SENSEX Index Options'!$M:$M,'BSE - SENSEX Index Options'!$C:$C,$A216,'BSE - SENSEX Index Options'!$B:$B,E$147,'BSE - SENSEX Index Options'!$I:$I,"MDAW*")+SUMIFS('BSE - Other Index Options'!$M:$M,'BSE - Other Index Options'!$C:$C,$A216,'BSE - Other Index Options'!$B:$B,E$147,'BSE - Other Index Options'!$I:$I,"Weekly*")+SUMIFS('BSE - Other Index Options'!$M:$M,'BSE - Other Index Options'!$C:$C,$A216,'BSE - Other Index Options'!$B:$B,E$147,'BSE - Other Index Options'!$I:$I,"MDAW*")=0,"",SUMIFS('BSE - SENSEX Index Options'!$M:$M,'BSE - SENSEX Index Options'!$C:$C,$A216,'BSE - SENSEX Index Options'!$B:$B,E$147,'BSE - SENSEX Index Options'!$I:$I,"Weekly*")+SUMIFS('BSE - SENSEX Index Options'!$M:$M,'BSE - SENSEX Index Options'!$C:$C,$A216,'BSE - SENSEX Index Options'!$B:$B,E$147,'BSE - SENSEX Index Options'!$I:$I,"MDAW*")+SUMIFS('BSE - Other Index Options'!$M:$M,'BSE - Other Index Options'!$C:$C,$A216,'BSE - Other Index Options'!$B:$B,E$147,'BSE - Other Index Options'!$I:$I,"Weekly*")+SUMIFS('BSE - Other Index Options'!$M:$M,'BSE - Other Index Options'!$C:$C,$A216,'BSE - Other Index Options'!$B:$B,E$147,'BSE - Other Index Options'!$I:$I,"MDAW*"))</f>
        <v/>
      </c>
      <c r="F216" s="26">
        <f>IF(SUMIFS('BSE - SENSEX Index Options'!$M:$M,'BSE - SENSEX Index Options'!$C:$C,$A216,'BSE - SENSEX Index Options'!$B:$B,F$147,'BSE - SENSEX Index Options'!$I:$I,"Weekly*")+SUMIFS('BSE - SENSEX Index Options'!$M:$M,'BSE - SENSEX Index Options'!$C:$C,$A216,'BSE - SENSEX Index Options'!$B:$B,F$147,'BSE - SENSEX Index Options'!$I:$I,"MDAW*")+SUMIFS('BSE - Other Index Options'!$M:$M,'BSE - Other Index Options'!$C:$C,$A216,'BSE - Other Index Options'!$B:$B,F$147,'BSE - Other Index Options'!$I:$I,"Weekly*")+SUMIFS('BSE - Other Index Options'!$M:$M,'BSE - Other Index Options'!$C:$C,$A216,'BSE - Other Index Options'!$B:$B,F$147,'BSE - Other Index Options'!$I:$I,"MDAW*")=0,"",SUMIFS('BSE - SENSEX Index Options'!$M:$M,'BSE - SENSEX Index Options'!$C:$C,$A216,'BSE - SENSEX Index Options'!$B:$B,F$147,'BSE - SENSEX Index Options'!$I:$I,"Weekly*")+SUMIFS('BSE - SENSEX Index Options'!$M:$M,'BSE - SENSEX Index Options'!$C:$C,$A216,'BSE - SENSEX Index Options'!$B:$B,F$147,'BSE - SENSEX Index Options'!$I:$I,"MDAW*")+SUMIFS('BSE - Other Index Options'!$M:$M,'BSE - Other Index Options'!$C:$C,$A216,'BSE - Other Index Options'!$B:$B,F$147,'BSE - Other Index Options'!$I:$I,"Weekly*")+SUMIFS('BSE - Other Index Options'!$M:$M,'BSE - Other Index Options'!$C:$C,$A216,'BSE - Other Index Options'!$B:$B,F$147,'BSE - Other Index Options'!$I:$I,"MDAW*"))</f>
        <v/>
      </c>
      <c r="G216" s="26">
        <f>IF(SUMIFS('BSE - SENSEX Index Options'!$M:$M,'BSE - SENSEX Index Options'!$C:$C,$A216,'BSE - SENSEX Index Options'!$B:$B,G$147,'BSE - SENSEX Index Options'!$I:$I,"Weekly*")+SUMIFS('BSE - SENSEX Index Options'!$M:$M,'BSE - SENSEX Index Options'!$C:$C,$A216,'BSE - SENSEX Index Options'!$B:$B,G$147,'BSE - SENSEX Index Options'!$I:$I,"MDAW*")+SUMIFS('BSE - Other Index Options'!$M:$M,'BSE - Other Index Options'!$C:$C,$A216,'BSE - Other Index Options'!$B:$B,G$147,'BSE - Other Index Options'!$I:$I,"Weekly*")+SUMIFS('BSE - Other Index Options'!$M:$M,'BSE - Other Index Options'!$C:$C,$A216,'BSE - Other Index Options'!$B:$B,G$147,'BSE - Other Index Options'!$I:$I,"MDAW*")=0,"",SUMIFS('BSE - SENSEX Index Options'!$M:$M,'BSE - SENSEX Index Options'!$C:$C,$A216,'BSE - SENSEX Index Options'!$B:$B,G$147,'BSE - SENSEX Index Options'!$I:$I,"Weekly*")+SUMIFS('BSE - SENSEX Index Options'!$M:$M,'BSE - SENSEX Index Options'!$C:$C,$A216,'BSE - SENSEX Index Options'!$B:$B,G$147,'BSE - SENSEX Index Options'!$I:$I,"MDAW*")+SUMIFS('BSE - Other Index Options'!$M:$M,'BSE - Other Index Options'!$C:$C,$A216,'BSE - Other Index Options'!$B:$B,G$147,'BSE - Other Index Options'!$I:$I,"Weekly*")+SUMIFS('BSE - Other Index Options'!$M:$M,'BSE - Other Index Options'!$C:$C,$A216,'BSE - Other Index Options'!$B:$B,G$147,'BSE - Other Index Options'!$I:$I,"MDAW*"))</f>
        <v/>
      </c>
      <c r="H216" s="26">
        <f>IF(SUM(B216:G216)=0,"",SUM(B216:G216))</f>
        <v/>
      </c>
    </row>
    <row r="217" hidden="1" outlineLevel="1">
      <c r="A217" t="inlineStr">
        <is>
          <t>Week1-Nov-2026</t>
        </is>
      </c>
      <c r="B217" s="26">
        <f>IF(SUMIFS('BSE - SENSEX Index Options'!$M:$M,'BSE - SENSEX Index Options'!$C:$C,$A217,'BSE - SENSEX Index Options'!$B:$B,B$147,'BSE - SENSEX Index Options'!$I:$I,"Weekly*")+SUMIFS('BSE - SENSEX Index Options'!$M:$M,'BSE - SENSEX Index Options'!$C:$C,$A217,'BSE - SENSEX Index Options'!$B:$B,B$147,'BSE - SENSEX Index Options'!$I:$I,"MDAW*")+SUMIFS('BSE - Other Index Options'!$M:$M,'BSE - Other Index Options'!$C:$C,$A217,'BSE - Other Index Options'!$B:$B,B$147,'BSE - Other Index Options'!$I:$I,"Weekly*")+SUMIFS('BSE - Other Index Options'!$M:$M,'BSE - Other Index Options'!$C:$C,$A217,'BSE - Other Index Options'!$B:$B,B$147,'BSE - Other Index Options'!$I:$I,"MDAW*")=0,"",SUMIFS('BSE - SENSEX Index Options'!$M:$M,'BSE - SENSEX Index Options'!$C:$C,$A217,'BSE - SENSEX Index Options'!$B:$B,B$147,'BSE - SENSEX Index Options'!$I:$I,"Weekly*")+SUMIFS('BSE - SENSEX Index Options'!$M:$M,'BSE - SENSEX Index Options'!$C:$C,$A217,'BSE - SENSEX Index Options'!$B:$B,B$147,'BSE - SENSEX Index Options'!$I:$I,"MDAW*")+SUMIFS('BSE - Other Index Options'!$M:$M,'BSE - Other Index Options'!$C:$C,$A217,'BSE - Other Index Options'!$B:$B,B$147,'BSE - Other Index Options'!$I:$I,"Weekly*")+SUMIFS('BSE - Other Index Options'!$M:$M,'BSE - Other Index Options'!$C:$C,$A217,'BSE - Other Index Options'!$B:$B,B$147,'BSE - Other Index Options'!$I:$I,"MDAW*"))</f>
        <v/>
      </c>
      <c r="C217" s="26">
        <f>IF(SUMIFS('BSE - SENSEX Index Options'!$M:$M,'BSE - SENSEX Index Options'!$C:$C,$A217,'BSE - SENSEX Index Options'!$B:$B,C$147,'BSE - SENSEX Index Options'!$I:$I,"Weekly*")+SUMIFS('BSE - SENSEX Index Options'!$M:$M,'BSE - SENSEX Index Options'!$C:$C,$A217,'BSE - SENSEX Index Options'!$B:$B,C$147,'BSE - SENSEX Index Options'!$I:$I,"MDAW*")+SUMIFS('BSE - Other Index Options'!$M:$M,'BSE - Other Index Options'!$C:$C,$A217,'BSE - Other Index Options'!$B:$B,C$147,'BSE - Other Index Options'!$I:$I,"Weekly*")+SUMIFS('BSE - Other Index Options'!$M:$M,'BSE - Other Index Options'!$C:$C,$A217,'BSE - Other Index Options'!$B:$B,C$147,'BSE - Other Index Options'!$I:$I,"MDAW*")=0,"",SUMIFS('BSE - SENSEX Index Options'!$M:$M,'BSE - SENSEX Index Options'!$C:$C,$A217,'BSE - SENSEX Index Options'!$B:$B,C$147,'BSE - SENSEX Index Options'!$I:$I,"Weekly*")+SUMIFS('BSE - SENSEX Index Options'!$M:$M,'BSE - SENSEX Index Options'!$C:$C,$A217,'BSE - SENSEX Index Options'!$B:$B,C$147,'BSE - SENSEX Index Options'!$I:$I,"MDAW*")+SUMIFS('BSE - Other Index Options'!$M:$M,'BSE - Other Index Options'!$C:$C,$A217,'BSE - Other Index Options'!$B:$B,C$147,'BSE - Other Index Options'!$I:$I,"Weekly*")+SUMIFS('BSE - Other Index Options'!$M:$M,'BSE - Other Index Options'!$C:$C,$A217,'BSE - Other Index Options'!$B:$B,C$147,'BSE - Other Index Options'!$I:$I,"MDAW*"))</f>
        <v/>
      </c>
      <c r="D217" s="26">
        <f>IF(SUMIFS('BSE - SENSEX Index Options'!$M:$M,'BSE - SENSEX Index Options'!$C:$C,$A217,'BSE - SENSEX Index Options'!$B:$B,D$147,'BSE - SENSEX Index Options'!$I:$I,"Weekly*")+SUMIFS('BSE - SENSEX Index Options'!$M:$M,'BSE - SENSEX Index Options'!$C:$C,$A217,'BSE - SENSEX Index Options'!$B:$B,D$147,'BSE - SENSEX Index Options'!$I:$I,"MDAW*")+SUMIFS('BSE - Other Index Options'!$M:$M,'BSE - Other Index Options'!$C:$C,$A217,'BSE - Other Index Options'!$B:$B,D$147,'BSE - Other Index Options'!$I:$I,"Weekly*")+SUMIFS('BSE - Other Index Options'!$M:$M,'BSE - Other Index Options'!$C:$C,$A217,'BSE - Other Index Options'!$B:$B,D$147,'BSE - Other Index Options'!$I:$I,"MDAW*")=0,"",SUMIFS('BSE - SENSEX Index Options'!$M:$M,'BSE - SENSEX Index Options'!$C:$C,$A217,'BSE - SENSEX Index Options'!$B:$B,D$147,'BSE - SENSEX Index Options'!$I:$I,"Weekly*")+SUMIFS('BSE - SENSEX Index Options'!$M:$M,'BSE - SENSEX Index Options'!$C:$C,$A217,'BSE - SENSEX Index Options'!$B:$B,D$147,'BSE - SENSEX Index Options'!$I:$I,"MDAW*")+SUMIFS('BSE - Other Index Options'!$M:$M,'BSE - Other Index Options'!$C:$C,$A217,'BSE - Other Index Options'!$B:$B,D$147,'BSE - Other Index Options'!$I:$I,"Weekly*")+SUMIFS('BSE - Other Index Options'!$M:$M,'BSE - Other Index Options'!$C:$C,$A217,'BSE - Other Index Options'!$B:$B,D$147,'BSE - Other Index Options'!$I:$I,"MDAW*"))</f>
        <v/>
      </c>
      <c r="E217" s="26">
        <f>IF(SUMIFS('BSE - SENSEX Index Options'!$M:$M,'BSE - SENSEX Index Options'!$C:$C,$A217,'BSE - SENSEX Index Options'!$B:$B,E$147,'BSE - SENSEX Index Options'!$I:$I,"Weekly*")+SUMIFS('BSE - SENSEX Index Options'!$M:$M,'BSE - SENSEX Index Options'!$C:$C,$A217,'BSE - SENSEX Index Options'!$B:$B,E$147,'BSE - SENSEX Index Options'!$I:$I,"MDAW*")+SUMIFS('BSE - Other Index Options'!$M:$M,'BSE - Other Index Options'!$C:$C,$A217,'BSE - Other Index Options'!$B:$B,E$147,'BSE - Other Index Options'!$I:$I,"Weekly*")+SUMIFS('BSE - Other Index Options'!$M:$M,'BSE - Other Index Options'!$C:$C,$A217,'BSE - Other Index Options'!$B:$B,E$147,'BSE - Other Index Options'!$I:$I,"MDAW*")=0,"",SUMIFS('BSE - SENSEX Index Options'!$M:$M,'BSE - SENSEX Index Options'!$C:$C,$A217,'BSE - SENSEX Index Options'!$B:$B,E$147,'BSE - SENSEX Index Options'!$I:$I,"Weekly*")+SUMIFS('BSE - SENSEX Index Options'!$M:$M,'BSE - SENSEX Index Options'!$C:$C,$A217,'BSE - SENSEX Index Options'!$B:$B,E$147,'BSE - SENSEX Index Options'!$I:$I,"MDAW*")+SUMIFS('BSE - Other Index Options'!$M:$M,'BSE - Other Index Options'!$C:$C,$A217,'BSE - Other Index Options'!$B:$B,E$147,'BSE - Other Index Options'!$I:$I,"Weekly*")+SUMIFS('BSE - Other Index Options'!$M:$M,'BSE - Other Index Options'!$C:$C,$A217,'BSE - Other Index Options'!$B:$B,E$147,'BSE - Other Index Options'!$I:$I,"MDAW*"))</f>
        <v/>
      </c>
      <c r="F217" s="26">
        <f>IF(SUMIFS('BSE - SENSEX Index Options'!$M:$M,'BSE - SENSEX Index Options'!$C:$C,$A217,'BSE - SENSEX Index Options'!$B:$B,F$147,'BSE - SENSEX Index Options'!$I:$I,"Weekly*")+SUMIFS('BSE - SENSEX Index Options'!$M:$M,'BSE - SENSEX Index Options'!$C:$C,$A217,'BSE - SENSEX Index Options'!$B:$B,F$147,'BSE - SENSEX Index Options'!$I:$I,"MDAW*")+SUMIFS('BSE - Other Index Options'!$M:$M,'BSE - Other Index Options'!$C:$C,$A217,'BSE - Other Index Options'!$B:$B,F$147,'BSE - Other Index Options'!$I:$I,"Weekly*")+SUMIFS('BSE - Other Index Options'!$M:$M,'BSE - Other Index Options'!$C:$C,$A217,'BSE - Other Index Options'!$B:$B,F$147,'BSE - Other Index Options'!$I:$I,"MDAW*")=0,"",SUMIFS('BSE - SENSEX Index Options'!$M:$M,'BSE - SENSEX Index Options'!$C:$C,$A217,'BSE - SENSEX Index Options'!$B:$B,F$147,'BSE - SENSEX Index Options'!$I:$I,"Weekly*")+SUMIFS('BSE - SENSEX Index Options'!$M:$M,'BSE - SENSEX Index Options'!$C:$C,$A217,'BSE - SENSEX Index Options'!$B:$B,F$147,'BSE - SENSEX Index Options'!$I:$I,"MDAW*")+SUMIFS('BSE - Other Index Options'!$M:$M,'BSE - Other Index Options'!$C:$C,$A217,'BSE - Other Index Options'!$B:$B,F$147,'BSE - Other Index Options'!$I:$I,"Weekly*")+SUMIFS('BSE - Other Index Options'!$M:$M,'BSE - Other Index Options'!$C:$C,$A217,'BSE - Other Index Options'!$B:$B,F$147,'BSE - Other Index Options'!$I:$I,"MDAW*"))</f>
        <v/>
      </c>
      <c r="G217" s="26">
        <f>IF(SUMIFS('BSE - SENSEX Index Options'!$M:$M,'BSE - SENSEX Index Options'!$C:$C,$A217,'BSE - SENSEX Index Options'!$B:$B,G$147,'BSE - SENSEX Index Options'!$I:$I,"Weekly*")+SUMIFS('BSE - SENSEX Index Options'!$M:$M,'BSE - SENSEX Index Options'!$C:$C,$A217,'BSE - SENSEX Index Options'!$B:$B,G$147,'BSE - SENSEX Index Options'!$I:$I,"MDAW*")+SUMIFS('BSE - Other Index Options'!$M:$M,'BSE - Other Index Options'!$C:$C,$A217,'BSE - Other Index Options'!$B:$B,G$147,'BSE - Other Index Options'!$I:$I,"Weekly*")+SUMIFS('BSE - Other Index Options'!$M:$M,'BSE - Other Index Options'!$C:$C,$A217,'BSE - Other Index Options'!$B:$B,G$147,'BSE - Other Index Options'!$I:$I,"MDAW*")=0,"",SUMIFS('BSE - SENSEX Index Options'!$M:$M,'BSE - SENSEX Index Options'!$C:$C,$A217,'BSE - SENSEX Index Options'!$B:$B,G$147,'BSE - SENSEX Index Options'!$I:$I,"Weekly*")+SUMIFS('BSE - SENSEX Index Options'!$M:$M,'BSE - SENSEX Index Options'!$C:$C,$A217,'BSE - SENSEX Index Options'!$B:$B,G$147,'BSE - SENSEX Index Options'!$I:$I,"MDAW*")+SUMIFS('BSE - Other Index Options'!$M:$M,'BSE - Other Index Options'!$C:$C,$A217,'BSE - Other Index Options'!$B:$B,G$147,'BSE - Other Index Options'!$I:$I,"Weekly*")+SUMIFS('BSE - Other Index Options'!$M:$M,'BSE - Other Index Options'!$C:$C,$A217,'BSE - Other Index Options'!$B:$B,G$147,'BSE - Other Index Options'!$I:$I,"MDAW*"))</f>
        <v/>
      </c>
      <c r="H217" s="26">
        <f>IF(SUM(B217:G217)=0,"",SUM(B217:G217))</f>
        <v/>
      </c>
    </row>
    <row r="218" hidden="1" outlineLevel="1">
      <c r="A218" t="inlineStr">
        <is>
          <t>Week2-Nov-2026</t>
        </is>
      </c>
      <c r="B218" s="26">
        <f>IF(SUMIFS('BSE - SENSEX Index Options'!$M:$M,'BSE - SENSEX Index Options'!$C:$C,$A218,'BSE - SENSEX Index Options'!$B:$B,B$147,'BSE - SENSEX Index Options'!$I:$I,"Weekly*")+SUMIFS('BSE - SENSEX Index Options'!$M:$M,'BSE - SENSEX Index Options'!$C:$C,$A218,'BSE - SENSEX Index Options'!$B:$B,B$147,'BSE - SENSEX Index Options'!$I:$I,"MDAW*")+SUMIFS('BSE - Other Index Options'!$M:$M,'BSE - Other Index Options'!$C:$C,$A218,'BSE - Other Index Options'!$B:$B,B$147,'BSE - Other Index Options'!$I:$I,"Weekly*")+SUMIFS('BSE - Other Index Options'!$M:$M,'BSE - Other Index Options'!$C:$C,$A218,'BSE - Other Index Options'!$B:$B,B$147,'BSE - Other Index Options'!$I:$I,"MDAW*")=0,"",SUMIFS('BSE - SENSEX Index Options'!$M:$M,'BSE - SENSEX Index Options'!$C:$C,$A218,'BSE - SENSEX Index Options'!$B:$B,B$147,'BSE - SENSEX Index Options'!$I:$I,"Weekly*")+SUMIFS('BSE - SENSEX Index Options'!$M:$M,'BSE - SENSEX Index Options'!$C:$C,$A218,'BSE - SENSEX Index Options'!$B:$B,B$147,'BSE - SENSEX Index Options'!$I:$I,"MDAW*")+SUMIFS('BSE - Other Index Options'!$M:$M,'BSE - Other Index Options'!$C:$C,$A218,'BSE - Other Index Options'!$B:$B,B$147,'BSE - Other Index Options'!$I:$I,"Weekly*")+SUMIFS('BSE - Other Index Options'!$M:$M,'BSE - Other Index Options'!$C:$C,$A218,'BSE - Other Index Options'!$B:$B,B$147,'BSE - Other Index Options'!$I:$I,"MDAW*"))</f>
        <v/>
      </c>
      <c r="C218" s="26">
        <f>IF(SUMIFS('BSE - SENSEX Index Options'!$M:$M,'BSE - SENSEX Index Options'!$C:$C,$A218,'BSE - SENSEX Index Options'!$B:$B,C$147,'BSE - SENSEX Index Options'!$I:$I,"Weekly*")+SUMIFS('BSE - SENSEX Index Options'!$M:$M,'BSE - SENSEX Index Options'!$C:$C,$A218,'BSE - SENSEX Index Options'!$B:$B,C$147,'BSE - SENSEX Index Options'!$I:$I,"MDAW*")+SUMIFS('BSE - Other Index Options'!$M:$M,'BSE - Other Index Options'!$C:$C,$A218,'BSE - Other Index Options'!$B:$B,C$147,'BSE - Other Index Options'!$I:$I,"Weekly*")+SUMIFS('BSE - Other Index Options'!$M:$M,'BSE - Other Index Options'!$C:$C,$A218,'BSE - Other Index Options'!$B:$B,C$147,'BSE - Other Index Options'!$I:$I,"MDAW*")=0,"",SUMIFS('BSE - SENSEX Index Options'!$M:$M,'BSE - SENSEX Index Options'!$C:$C,$A218,'BSE - SENSEX Index Options'!$B:$B,C$147,'BSE - SENSEX Index Options'!$I:$I,"Weekly*")+SUMIFS('BSE - SENSEX Index Options'!$M:$M,'BSE - SENSEX Index Options'!$C:$C,$A218,'BSE - SENSEX Index Options'!$B:$B,C$147,'BSE - SENSEX Index Options'!$I:$I,"MDAW*")+SUMIFS('BSE - Other Index Options'!$M:$M,'BSE - Other Index Options'!$C:$C,$A218,'BSE - Other Index Options'!$B:$B,C$147,'BSE - Other Index Options'!$I:$I,"Weekly*")+SUMIFS('BSE - Other Index Options'!$M:$M,'BSE - Other Index Options'!$C:$C,$A218,'BSE - Other Index Options'!$B:$B,C$147,'BSE - Other Index Options'!$I:$I,"MDAW*"))</f>
        <v/>
      </c>
      <c r="D218" s="26">
        <f>IF(SUMIFS('BSE - SENSEX Index Options'!$M:$M,'BSE - SENSEX Index Options'!$C:$C,$A218,'BSE - SENSEX Index Options'!$B:$B,D$147,'BSE - SENSEX Index Options'!$I:$I,"Weekly*")+SUMIFS('BSE - SENSEX Index Options'!$M:$M,'BSE - SENSEX Index Options'!$C:$C,$A218,'BSE - SENSEX Index Options'!$B:$B,D$147,'BSE - SENSEX Index Options'!$I:$I,"MDAW*")+SUMIFS('BSE - Other Index Options'!$M:$M,'BSE - Other Index Options'!$C:$C,$A218,'BSE - Other Index Options'!$B:$B,D$147,'BSE - Other Index Options'!$I:$I,"Weekly*")+SUMIFS('BSE - Other Index Options'!$M:$M,'BSE - Other Index Options'!$C:$C,$A218,'BSE - Other Index Options'!$B:$B,D$147,'BSE - Other Index Options'!$I:$I,"MDAW*")=0,"",SUMIFS('BSE - SENSEX Index Options'!$M:$M,'BSE - SENSEX Index Options'!$C:$C,$A218,'BSE - SENSEX Index Options'!$B:$B,D$147,'BSE - SENSEX Index Options'!$I:$I,"Weekly*")+SUMIFS('BSE - SENSEX Index Options'!$M:$M,'BSE - SENSEX Index Options'!$C:$C,$A218,'BSE - SENSEX Index Options'!$B:$B,D$147,'BSE - SENSEX Index Options'!$I:$I,"MDAW*")+SUMIFS('BSE - Other Index Options'!$M:$M,'BSE - Other Index Options'!$C:$C,$A218,'BSE - Other Index Options'!$B:$B,D$147,'BSE - Other Index Options'!$I:$I,"Weekly*")+SUMIFS('BSE - Other Index Options'!$M:$M,'BSE - Other Index Options'!$C:$C,$A218,'BSE - Other Index Options'!$B:$B,D$147,'BSE - Other Index Options'!$I:$I,"MDAW*"))</f>
        <v/>
      </c>
      <c r="E218" s="26">
        <f>IF(SUMIFS('BSE - SENSEX Index Options'!$M:$M,'BSE - SENSEX Index Options'!$C:$C,$A218,'BSE - SENSEX Index Options'!$B:$B,E$147,'BSE - SENSEX Index Options'!$I:$I,"Weekly*")+SUMIFS('BSE - SENSEX Index Options'!$M:$M,'BSE - SENSEX Index Options'!$C:$C,$A218,'BSE - SENSEX Index Options'!$B:$B,E$147,'BSE - SENSEX Index Options'!$I:$I,"MDAW*")+SUMIFS('BSE - Other Index Options'!$M:$M,'BSE - Other Index Options'!$C:$C,$A218,'BSE - Other Index Options'!$B:$B,E$147,'BSE - Other Index Options'!$I:$I,"Weekly*")+SUMIFS('BSE - Other Index Options'!$M:$M,'BSE - Other Index Options'!$C:$C,$A218,'BSE - Other Index Options'!$B:$B,E$147,'BSE - Other Index Options'!$I:$I,"MDAW*")=0,"",SUMIFS('BSE - SENSEX Index Options'!$M:$M,'BSE - SENSEX Index Options'!$C:$C,$A218,'BSE - SENSEX Index Options'!$B:$B,E$147,'BSE - SENSEX Index Options'!$I:$I,"Weekly*")+SUMIFS('BSE - SENSEX Index Options'!$M:$M,'BSE - SENSEX Index Options'!$C:$C,$A218,'BSE - SENSEX Index Options'!$B:$B,E$147,'BSE - SENSEX Index Options'!$I:$I,"MDAW*")+SUMIFS('BSE - Other Index Options'!$M:$M,'BSE - Other Index Options'!$C:$C,$A218,'BSE - Other Index Options'!$B:$B,E$147,'BSE - Other Index Options'!$I:$I,"Weekly*")+SUMIFS('BSE - Other Index Options'!$M:$M,'BSE - Other Index Options'!$C:$C,$A218,'BSE - Other Index Options'!$B:$B,E$147,'BSE - Other Index Options'!$I:$I,"MDAW*"))</f>
        <v/>
      </c>
      <c r="F218" s="26">
        <f>IF(SUMIFS('BSE - SENSEX Index Options'!$M:$M,'BSE - SENSEX Index Options'!$C:$C,$A218,'BSE - SENSEX Index Options'!$B:$B,F$147,'BSE - SENSEX Index Options'!$I:$I,"Weekly*")+SUMIFS('BSE - SENSEX Index Options'!$M:$M,'BSE - SENSEX Index Options'!$C:$C,$A218,'BSE - SENSEX Index Options'!$B:$B,F$147,'BSE - SENSEX Index Options'!$I:$I,"MDAW*")+SUMIFS('BSE - Other Index Options'!$M:$M,'BSE - Other Index Options'!$C:$C,$A218,'BSE - Other Index Options'!$B:$B,F$147,'BSE - Other Index Options'!$I:$I,"Weekly*")+SUMIFS('BSE - Other Index Options'!$M:$M,'BSE - Other Index Options'!$C:$C,$A218,'BSE - Other Index Options'!$B:$B,F$147,'BSE - Other Index Options'!$I:$I,"MDAW*")=0,"",SUMIFS('BSE - SENSEX Index Options'!$M:$M,'BSE - SENSEX Index Options'!$C:$C,$A218,'BSE - SENSEX Index Options'!$B:$B,F$147,'BSE - SENSEX Index Options'!$I:$I,"Weekly*")+SUMIFS('BSE - SENSEX Index Options'!$M:$M,'BSE - SENSEX Index Options'!$C:$C,$A218,'BSE - SENSEX Index Options'!$B:$B,F$147,'BSE - SENSEX Index Options'!$I:$I,"MDAW*")+SUMIFS('BSE - Other Index Options'!$M:$M,'BSE - Other Index Options'!$C:$C,$A218,'BSE - Other Index Options'!$B:$B,F$147,'BSE - Other Index Options'!$I:$I,"Weekly*")+SUMIFS('BSE - Other Index Options'!$M:$M,'BSE - Other Index Options'!$C:$C,$A218,'BSE - Other Index Options'!$B:$B,F$147,'BSE - Other Index Options'!$I:$I,"MDAW*"))</f>
        <v/>
      </c>
      <c r="G218" s="26">
        <f>IF(SUMIFS('BSE - SENSEX Index Options'!$M:$M,'BSE - SENSEX Index Options'!$C:$C,$A218,'BSE - SENSEX Index Options'!$B:$B,G$147,'BSE - SENSEX Index Options'!$I:$I,"Weekly*")+SUMIFS('BSE - SENSEX Index Options'!$M:$M,'BSE - SENSEX Index Options'!$C:$C,$A218,'BSE - SENSEX Index Options'!$B:$B,G$147,'BSE - SENSEX Index Options'!$I:$I,"MDAW*")+SUMIFS('BSE - Other Index Options'!$M:$M,'BSE - Other Index Options'!$C:$C,$A218,'BSE - Other Index Options'!$B:$B,G$147,'BSE - Other Index Options'!$I:$I,"Weekly*")+SUMIFS('BSE - Other Index Options'!$M:$M,'BSE - Other Index Options'!$C:$C,$A218,'BSE - Other Index Options'!$B:$B,G$147,'BSE - Other Index Options'!$I:$I,"MDAW*")=0,"",SUMIFS('BSE - SENSEX Index Options'!$M:$M,'BSE - SENSEX Index Options'!$C:$C,$A218,'BSE - SENSEX Index Options'!$B:$B,G$147,'BSE - SENSEX Index Options'!$I:$I,"Weekly*")+SUMIFS('BSE - SENSEX Index Options'!$M:$M,'BSE - SENSEX Index Options'!$C:$C,$A218,'BSE - SENSEX Index Options'!$B:$B,G$147,'BSE - SENSEX Index Options'!$I:$I,"MDAW*")+SUMIFS('BSE - Other Index Options'!$M:$M,'BSE - Other Index Options'!$C:$C,$A218,'BSE - Other Index Options'!$B:$B,G$147,'BSE - Other Index Options'!$I:$I,"Weekly*")+SUMIFS('BSE - Other Index Options'!$M:$M,'BSE - Other Index Options'!$C:$C,$A218,'BSE - Other Index Options'!$B:$B,G$147,'BSE - Other Index Options'!$I:$I,"MDAW*"))</f>
        <v/>
      </c>
      <c r="H218" s="26">
        <f>IF(SUM(B218:G218)=0,"",SUM(B218:G218))</f>
        <v/>
      </c>
    </row>
    <row r="219" hidden="1" outlineLevel="1">
      <c r="A219" t="inlineStr">
        <is>
          <t>Week3-Nov-2026</t>
        </is>
      </c>
      <c r="B219" s="26">
        <f>IF(SUMIFS('BSE - SENSEX Index Options'!$M:$M,'BSE - SENSEX Index Options'!$C:$C,$A219,'BSE - SENSEX Index Options'!$B:$B,B$147,'BSE - SENSEX Index Options'!$I:$I,"Weekly*")+SUMIFS('BSE - SENSEX Index Options'!$M:$M,'BSE - SENSEX Index Options'!$C:$C,$A219,'BSE - SENSEX Index Options'!$B:$B,B$147,'BSE - SENSEX Index Options'!$I:$I,"MDAW*")+SUMIFS('BSE - Other Index Options'!$M:$M,'BSE - Other Index Options'!$C:$C,$A219,'BSE - Other Index Options'!$B:$B,B$147,'BSE - Other Index Options'!$I:$I,"Weekly*")+SUMIFS('BSE - Other Index Options'!$M:$M,'BSE - Other Index Options'!$C:$C,$A219,'BSE - Other Index Options'!$B:$B,B$147,'BSE - Other Index Options'!$I:$I,"MDAW*")=0,"",SUMIFS('BSE - SENSEX Index Options'!$M:$M,'BSE - SENSEX Index Options'!$C:$C,$A219,'BSE - SENSEX Index Options'!$B:$B,B$147,'BSE - SENSEX Index Options'!$I:$I,"Weekly*")+SUMIFS('BSE - SENSEX Index Options'!$M:$M,'BSE - SENSEX Index Options'!$C:$C,$A219,'BSE - SENSEX Index Options'!$B:$B,B$147,'BSE - SENSEX Index Options'!$I:$I,"MDAW*")+SUMIFS('BSE - Other Index Options'!$M:$M,'BSE - Other Index Options'!$C:$C,$A219,'BSE - Other Index Options'!$B:$B,B$147,'BSE - Other Index Options'!$I:$I,"Weekly*")+SUMIFS('BSE - Other Index Options'!$M:$M,'BSE - Other Index Options'!$C:$C,$A219,'BSE - Other Index Options'!$B:$B,B$147,'BSE - Other Index Options'!$I:$I,"MDAW*"))</f>
        <v/>
      </c>
      <c r="C219" s="26">
        <f>IF(SUMIFS('BSE - SENSEX Index Options'!$M:$M,'BSE - SENSEX Index Options'!$C:$C,$A219,'BSE - SENSEX Index Options'!$B:$B,C$147,'BSE - SENSEX Index Options'!$I:$I,"Weekly*")+SUMIFS('BSE - SENSEX Index Options'!$M:$M,'BSE - SENSEX Index Options'!$C:$C,$A219,'BSE - SENSEX Index Options'!$B:$B,C$147,'BSE - SENSEX Index Options'!$I:$I,"MDAW*")+SUMIFS('BSE - Other Index Options'!$M:$M,'BSE - Other Index Options'!$C:$C,$A219,'BSE - Other Index Options'!$B:$B,C$147,'BSE - Other Index Options'!$I:$I,"Weekly*")+SUMIFS('BSE - Other Index Options'!$M:$M,'BSE - Other Index Options'!$C:$C,$A219,'BSE - Other Index Options'!$B:$B,C$147,'BSE - Other Index Options'!$I:$I,"MDAW*")=0,"",SUMIFS('BSE - SENSEX Index Options'!$M:$M,'BSE - SENSEX Index Options'!$C:$C,$A219,'BSE - SENSEX Index Options'!$B:$B,C$147,'BSE - SENSEX Index Options'!$I:$I,"Weekly*")+SUMIFS('BSE - SENSEX Index Options'!$M:$M,'BSE - SENSEX Index Options'!$C:$C,$A219,'BSE - SENSEX Index Options'!$B:$B,C$147,'BSE - SENSEX Index Options'!$I:$I,"MDAW*")+SUMIFS('BSE - Other Index Options'!$M:$M,'BSE - Other Index Options'!$C:$C,$A219,'BSE - Other Index Options'!$B:$B,C$147,'BSE - Other Index Options'!$I:$I,"Weekly*")+SUMIFS('BSE - Other Index Options'!$M:$M,'BSE - Other Index Options'!$C:$C,$A219,'BSE - Other Index Options'!$B:$B,C$147,'BSE - Other Index Options'!$I:$I,"MDAW*"))</f>
        <v/>
      </c>
      <c r="D219" s="26">
        <f>IF(SUMIFS('BSE - SENSEX Index Options'!$M:$M,'BSE - SENSEX Index Options'!$C:$C,$A219,'BSE - SENSEX Index Options'!$B:$B,D$147,'BSE - SENSEX Index Options'!$I:$I,"Weekly*")+SUMIFS('BSE - SENSEX Index Options'!$M:$M,'BSE - SENSEX Index Options'!$C:$C,$A219,'BSE - SENSEX Index Options'!$B:$B,D$147,'BSE - SENSEX Index Options'!$I:$I,"MDAW*")+SUMIFS('BSE - Other Index Options'!$M:$M,'BSE - Other Index Options'!$C:$C,$A219,'BSE - Other Index Options'!$B:$B,D$147,'BSE - Other Index Options'!$I:$I,"Weekly*")+SUMIFS('BSE - Other Index Options'!$M:$M,'BSE - Other Index Options'!$C:$C,$A219,'BSE - Other Index Options'!$B:$B,D$147,'BSE - Other Index Options'!$I:$I,"MDAW*")=0,"",SUMIFS('BSE - SENSEX Index Options'!$M:$M,'BSE - SENSEX Index Options'!$C:$C,$A219,'BSE - SENSEX Index Options'!$B:$B,D$147,'BSE - SENSEX Index Options'!$I:$I,"Weekly*")+SUMIFS('BSE - SENSEX Index Options'!$M:$M,'BSE - SENSEX Index Options'!$C:$C,$A219,'BSE - SENSEX Index Options'!$B:$B,D$147,'BSE - SENSEX Index Options'!$I:$I,"MDAW*")+SUMIFS('BSE - Other Index Options'!$M:$M,'BSE - Other Index Options'!$C:$C,$A219,'BSE - Other Index Options'!$B:$B,D$147,'BSE - Other Index Options'!$I:$I,"Weekly*")+SUMIFS('BSE - Other Index Options'!$M:$M,'BSE - Other Index Options'!$C:$C,$A219,'BSE - Other Index Options'!$B:$B,D$147,'BSE - Other Index Options'!$I:$I,"MDAW*"))</f>
        <v/>
      </c>
      <c r="E219" s="26">
        <f>IF(SUMIFS('BSE - SENSEX Index Options'!$M:$M,'BSE - SENSEX Index Options'!$C:$C,$A219,'BSE - SENSEX Index Options'!$B:$B,E$147,'BSE - SENSEX Index Options'!$I:$I,"Weekly*")+SUMIFS('BSE - SENSEX Index Options'!$M:$M,'BSE - SENSEX Index Options'!$C:$C,$A219,'BSE - SENSEX Index Options'!$B:$B,E$147,'BSE - SENSEX Index Options'!$I:$I,"MDAW*")+SUMIFS('BSE - Other Index Options'!$M:$M,'BSE - Other Index Options'!$C:$C,$A219,'BSE - Other Index Options'!$B:$B,E$147,'BSE - Other Index Options'!$I:$I,"Weekly*")+SUMIFS('BSE - Other Index Options'!$M:$M,'BSE - Other Index Options'!$C:$C,$A219,'BSE - Other Index Options'!$B:$B,E$147,'BSE - Other Index Options'!$I:$I,"MDAW*")=0,"",SUMIFS('BSE - SENSEX Index Options'!$M:$M,'BSE - SENSEX Index Options'!$C:$C,$A219,'BSE - SENSEX Index Options'!$B:$B,E$147,'BSE - SENSEX Index Options'!$I:$I,"Weekly*")+SUMIFS('BSE - SENSEX Index Options'!$M:$M,'BSE - SENSEX Index Options'!$C:$C,$A219,'BSE - SENSEX Index Options'!$B:$B,E$147,'BSE - SENSEX Index Options'!$I:$I,"MDAW*")+SUMIFS('BSE - Other Index Options'!$M:$M,'BSE - Other Index Options'!$C:$C,$A219,'BSE - Other Index Options'!$B:$B,E$147,'BSE - Other Index Options'!$I:$I,"Weekly*")+SUMIFS('BSE - Other Index Options'!$M:$M,'BSE - Other Index Options'!$C:$C,$A219,'BSE - Other Index Options'!$B:$B,E$147,'BSE - Other Index Options'!$I:$I,"MDAW*"))</f>
        <v/>
      </c>
      <c r="F219" s="26">
        <f>IF(SUMIFS('BSE - SENSEX Index Options'!$M:$M,'BSE - SENSEX Index Options'!$C:$C,$A219,'BSE - SENSEX Index Options'!$B:$B,F$147,'BSE - SENSEX Index Options'!$I:$I,"Weekly*")+SUMIFS('BSE - SENSEX Index Options'!$M:$M,'BSE - SENSEX Index Options'!$C:$C,$A219,'BSE - SENSEX Index Options'!$B:$B,F$147,'BSE - SENSEX Index Options'!$I:$I,"MDAW*")+SUMIFS('BSE - Other Index Options'!$M:$M,'BSE - Other Index Options'!$C:$C,$A219,'BSE - Other Index Options'!$B:$B,F$147,'BSE - Other Index Options'!$I:$I,"Weekly*")+SUMIFS('BSE - Other Index Options'!$M:$M,'BSE - Other Index Options'!$C:$C,$A219,'BSE - Other Index Options'!$B:$B,F$147,'BSE - Other Index Options'!$I:$I,"MDAW*")=0,"",SUMIFS('BSE - SENSEX Index Options'!$M:$M,'BSE - SENSEX Index Options'!$C:$C,$A219,'BSE - SENSEX Index Options'!$B:$B,F$147,'BSE - SENSEX Index Options'!$I:$I,"Weekly*")+SUMIFS('BSE - SENSEX Index Options'!$M:$M,'BSE - SENSEX Index Options'!$C:$C,$A219,'BSE - SENSEX Index Options'!$B:$B,F$147,'BSE - SENSEX Index Options'!$I:$I,"MDAW*")+SUMIFS('BSE - Other Index Options'!$M:$M,'BSE - Other Index Options'!$C:$C,$A219,'BSE - Other Index Options'!$B:$B,F$147,'BSE - Other Index Options'!$I:$I,"Weekly*")+SUMIFS('BSE - Other Index Options'!$M:$M,'BSE - Other Index Options'!$C:$C,$A219,'BSE - Other Index Options'!$B:$B,F$147,'BSE - Other Index Options'!$I:$I,"MDAW*"))</f>
        <v/>
      </c>
      <c r="G219" s="26">
        <f>IF(SUMIFS('BSE - SENSEX Index Options'!$M:$M,'BSE - SENSEX Index Options'!$C:$C,$A219,'BSE - SENSEX Index Options'!$B:$B,G$147,'BSE - SENSEX Index Options'!$I:$I,"Weekly*")+SUMIFS('BSE - SENSEX Index Options'!$M:$M,'BSE - SENSEX Index Options'!$C:$C,$A219,'BSE - SENSEX Index Options'!$B:$B,G$147,'BSE - SENSEX Index Options'!$I:$I,"MDAW*")+SUMIFS('BSE - Other Index Options'!$M:$M,'BSE - Other Index Options'!$C:$C,$A219,'BSE - Other Index Options'!$B:$B,G$147,'BSE - Other Index Options'!$I:$I,"Weekly*")+SUMIFS('BSE - Other Index Options'!$M:$M,'BSE - Other Index Options'!$C:$C,$A219,'BSE - Other Index Options'!$B:$B,G$147,'BSE - Other Index Options'!$I:$I,"MDAW*")=0,"",SUMIFS('BSE - SENSEX Index Options'!$M:$M,'BSE - SENSEX Index Options'!$C:$C,$A219,'BSE - SENSEX Index Options'!$B:$B,G$147,'BSE - SENSEX Index Options'!$I:$I,"Weekly*")+SUMIFS('BSE - SENSEX Index Options'!$M:$M,'BSE - SENSEX Index Options'!$C:$C,$A219,'BSE - SENSEX Index Options'!$B:$B,G$147,'BSE - SENSEX Index Options'!$I:$I,"MDAW*")+SUMIFS('BSE - Other Index Options'!$M:$M,'BSE - Other Index Options'!$C:$C,$A219,'BSE - Other Index Options'!$B:$B,G$147,'BSE - Other Index Options'!$I:$I,"Weekly*")+SUMIFS('BSE - Other Index Options'!$M:$M,'BSE - Other Index Options'!$C:$C,$A219,'BSE - Other Index Options'!$B:$B,G$147,'BSE - Other Index Options'!$I:$I,"MDAW*"))</f>
        <v/>
      </c>
      <c r="H219" s="26">
        <f>IF(SUM(B219:G219)=0,"",SUM(B219:G219))</f>
        <v/>
      </c>
    </row>
    <row r="220" hidden="1" outlineLevel="1">
      <c r="A220" t="inlineStr">
        <is>
          <t>Week4-Nov-2026</t>
        </is>
      </c>
      <c r="B220" s="26">
        <f>IF(SUMIFS('BSE - SENSEX Index Options'!$M:$M,'BSE - SENSEX Index Options'!$C:$C,$A220,'BSE - SENSEX Index Options'!$B:$B,B$147,'BSE - SENSEX Index Options'!$I:$I,"Weekly*")+SUMIFS('BSE - SENSEX Index Options'!$M:$M,'BSE - SENSEX Index Options'!$C:$C,$A220,'BSE - SENSEX Index Options'!$B:$B,B$147,'BSE - SENSEX Index Options'!$I:$I,"MDAW*")+SUMIFS('BSE - Other Index Options'!$M:$M,'BSE - Other Index Options'!$C:$C,$A220,'BSE - Other Index Options'!$B:$B,B$147,'BSE - Other Index Options'!$I:$I,"Weekly*")+SUMIFS('BSE - Other Index Options'!$M:$M,'BSE - Other Index Options'!$C:$C,$A220,'BSE - Other Index Options'!$B:$B,B$147,'BSE - Other Index Options'!$I:$I,"MDAW*")=0,"",SUMIFS('BSE - SENSEX Index Options'!$M:$M,'BSE - SENSEX Index Options'!$C:$C,$A220,'BSE - SENSEX Index Options'!$B:$B,B$147,'BSE - SENSEX Index Options'!$I:$I,"Weekly*")+SUMIFS('BSE - SENSEX Index Options'!$M:$M,'BSE - SENSEX Index Options'!$C:$C,$A220,'BSE - SENSEX Index Options'!$B:$B,B$147,'BSE - SENSEX Index Options'!$I:$I,"MDAW*")+SUMIFS('BSE - Other Index Options'!$M:$M,'BSE - Other Index Options'!$C:$C,$A220,'BSE - Other Index Options'!$B:$B,B$147,'BSE - Other Index Options'!$I:$I,"Weekly*")+SUMIFS('BSE - Other Index Options'!$M:$M,'BSE - Other Index Options'!$C:$C,$A220,'BSE - Other Index Options'!$B:$B,B$147,'BSE - Other Index Options'!$I:$I,"MDAW*"))</f>
        <v/>
      </c>
      <c r="C220" s="26">
        <f>IF(SUMIFS('BSE - SENSEX Index Options'!$M:$M,'BSE - SENSEX Index Options'!$C:$C,$A220,'BSE - SENSEX Index Options'!$B:$B,C$147,'BSE - SENSEX Index Options'!$I:$I,"Weekly*")+SUMIFS('BSE - SENSEX Index Options'!$M:$M,'BSE - SENSEX Index Options'!$C:$C,$A220,'BSE - SENSEX Index Options'!$B:$B,C$147,'BSE - SENSEX Index Options'!$I:$I,"MDAW*")+SUMIFS('BSE - Other Index Options'!$M:$M,'BSE - Other Index Options'!$C:$C,$A220,'BSE - Other Index Options'!$B:$B,C$147,'BSE - Other Index Options'!$I:$I,"Weekly*")+SUMIFS('BSE - Other Index Options'!$M:$M,'BSE - Other Index Options'!$C:$C,$A220,'BSE - Other Index Options'!$B:$B,C$147,'BSE - Other Index Options'!$I:$I,"MDAW*")=0,"",SUMIFS('BSE - SENSEX Index Options'!$M:$M,'BSE - SENSEX Index Options'!$C:$C,$A220,'BSE - SENSEX Index Options'!$B:$B,C$147,'BSE - SENSEX Index Options'!$I:$I,"Weekly*")+SUMIFS('BSE - SENSEX Index Options'!$M:$M,'BSE - SENSEX Index Options'!$C:$C,$A220,'BSE - SENSEX Index Options'!$B:$B,C$147,'BSE - SENSEX Index Options'!$I:$I,"MDAW*")+SUMIFS('BSE - Other Index Options'!$M:$M,'BSE - Other Index Options'!$C:$C,$A220,'BSE - Other Index Options'!$B:$B,C$147,'BSE - Other Index Options'!$I:$I,"Weekly*")+SUMIFS('BSE - Other Index Options'!$M:$M,'BSE - Other Index Options'!$C:$C,$A220,'BSE - Other Index Options'!$B:$B,C$147,'BSE - Other Index Options'!$I:$I,"MDAW*"))</f>
        <v/>
      </c>
      <c r="D220" s="26">
        <f>IF(SUMIFS('BSE - SENSEX Index Options'!$M:$M,'BSE - SENSEX Index Options'!$C:$C,$A220,'BSE - SENSEX Index Options'!$B:$B,D$147,'BSE - SENSEX Index Options'!$I:$I,"Weekly*")+SUMIFS('BSE - SENSEX Index Options'!$M:$M,'BSE - SENSEX Index Options'!$C:$C,$A220,'BSE - SENSEX Index Options'!$B:$B,D$147,'BSE - SENSEX Index Options'!$I:$I,"MDAW*")+SUMIFS('BSE - Other Index Options'!$M:$M,'BSE - Other Index Options'!$C:$C,$A220,'BSE - Other Index Options'!$B:$B,D$147,'BSE - Other Index Options'!$I:$I,"Weekly*")+SUMIFS('BSE - Other Index Options'!$M:$M,'BSE - Other Index Options'!$C:$C,$A220,'BSE - Other Index Options'!$B:$B,D$147,'BSE - Other Index Options'!$I:$I,"MDAW*")=0,"",SUMIFS('BSE - SENSEX Index Options'!$M:$M,'BSE - SENSEX Index Options'!$C:$C,$A220,'BSE - SENSEX Index Options'!$B:$B,D$147,'BSE - SENSEX Index Options'!$I:$I,"Weekly*")+SUMIFS('BSE - SENSEX Index Options'!$M:$M,'BSE - SENSEX Index Options'!$C:$C,$A220,'BSE - SENSEX Index Options'!$B:$B,D$147,'BSE - SENSEX Index Options'!$I:$I,"MDAW*")+SUMIFS('BSE - Other Index Options'!$M:$M,'BSE - Other Index Options'!$C:$C,$A220,'BSE - Other Index Options'!$B:$B,D$147,'BSE - Other Index Options'!$I:$I,"Weekly*")+SUMIFS('BSE - Other Index Options'!$M:$M,'BSE - Other Index Options'!$C:$C,$A220,'BSE - Other Index Options'!$B:$B,D$147,'BSE - Other Index Options'!$I:$I,"MDAW*"))</f>
        <v/>
      </c>
      <c r="E220" s="26">
        <f>IF(SUMIFS('BSE - SENSEX Index Options'!$M:$M,'BSE - SENSEX Index Options'!$C:$C,$A220,'BSE - SENSEX Index Options'!$B:$B,E$147,'BSE - SENSEX Index Options'!$I:$I,"Weekly*")+SUMIFS('BSE - SENSEX Index Options'!$M:$M,'BSE - SENSEX Index Options'!$C:$C,$A220,'BSE - SENSEX Index Options'!$B:$B,E$147,'BSE - SENSEX Index Options'!$I:$I,"MDAW*")+SUMIFS('BSE - Other Index Options'!$M:$M,'BSE - Other Index Options'!$C:$C,$A220,'BSE - Other Index Options'!$B:$B,E$147,'BSE - Other Index Options'!$I:$I,"Weekly*")+SUMIFS('BSE - Other Index Options'!$M:$M,'BSE - Other Index Options'!$C:$C,$A220,'BSE - Other Index Options'!$B:$B,E$147,'BSE - Other Index Options'!$I:$I,"MDAW*")=0,"",SUMIFS('BSE - SENSEX Index Options'!$M:$M,'BSE - SENSEX Index Options'!$C:$C,$A220,'BSE - SENSEX Index Options'!$B:$B,E$147,'BSE - SENSEX Index Options'!$I:$I,"Weekly*")+SUMIFS('BSE - SENSEX Index Options'!$M:$M,'BSE - SENSEX Index Options'!$C:$C,$A220,'BSE - SENSEX Index Options'!$B:$B,E$147,'BSE - SENSEX Index Options'!$I:$I,"MDAW*")+SUMIFS('BSE - Other Index Options'!$M:$M,'BSE - Other Index Options'!$C:$C,$A220,'BSE - Other Index Options'!$B:$B,E$147,'BSE - Other Index Options'!$I:$I,"Weekly*")+SUMIFS('BSE - Other Index Options'!$M:$M,'BSE - Other Index Options'!$C:$C,$A220,'BSE - Other Index Options'!$B:$B,E$147,'BSE - Other Index Options'!$I:$I,"MDAW*"))</f>
        <v/>
      </c>
      <c r="F220" s="26">
        <f>IF(SUMIFS('BSE - SENSEX Index Options'!$M:$M,'BSE - SENSEX Index Options'!$C:$C,$A220,'BSE - SENSEX Index Options'!$B:$B,F$147,'BSE - SENSEX Index Options'!$I:$I,"Weekly*")+SUMIFS('BSE - SENSEX Index Options'!$M:$M,'BSE - SENSEX Index Options'!$C:$C,$A220,'BSE - SENSEX Index Options'!$B:$B,F$147,'BSE - SENSEX Index Options'!$I:$I,"MDAW*")+SUMIFS('BSE - Other Index Options'!$M:$M,'BSE - Other Index Options'!$C:$C,$A220,'BSE - Other Index Options'!$B:$B,F$147,'BSE - Other Index Options'!$I:$I,"Weekly*")+SUMIFS('BSE - Other Index Options'!$M:$M,'BSE - Other Index Options'!$C:$C,$A220,'BSE - Other Index Options'!$B:$B,F$147,'BSE - Other Index Options'!$I:$I,"MDAW*")=0,"",SUMIFS('BSE - SENSEX Index Options'!$M:$M,'BSE - SENSEX Index Options'!$C:$C,$A220,'BSE - SENSEX Index Options'!$B:$B,F$147,'BSE - SENSEX Index Options'!$I:$I,"Weekly*")+SUMIFS('BSE - SENSEX Index Options'!$M:$M,'BSE - SENSEX Index Options'!$C:$C,$A220,'BSE - SENSEX Index Options'!$B:$B,F$147,'BSE - SENSEX Index Options'!$I:$I,"MDAW*")+SUMIFS('BSE - Other Index Options'!$M:$M,'BSE - Other Index Options'!$C:$C,$A220,'BSE - Other Index Options'!$B:$B,F$147,'BSE - Other Index Options'!$I:$I,"Weekly*")+SUMIFS('BSE - Other Index Options'!$M:$M,'BSE - Other Index Options'!$C:$C,$A220,'BSE - Other Index Options'!$B:$B,F$147,'BSE - Other Index Options'!$I:$I,"MDAW*"))</f>
        <v/>
      </c>
      <c r="G220" s="26">
        <f>IF(SUMIFS('BSE - SENSEX Index Options'!$M:$M,'BSE - SENSEX Index Options'!$C:$C,$A220,'BSE - SENSEX Index Options'!$B:$B,G$147,'BSE - SENSEX Index Options'!$I:$I,"Weekly*")+SUMIFS('BSE - SENSEX Index Options'!$M:$M,'BSE - SENSEX Index Options'!$C:$C,$A220,'BSE - SENSEX Index Options'!$B:$B,G$147,'BSE - SENSEX Index Options'!$I:$I,"MDAW*")+SUMIFS('BSE - Other Index Options'!$M:$M,'BSE - Other Index Options'!$C:$C,$A220,'BSE - Other Index Options'!$B:$B,G$147,'BSE - Other Index Options'!$I:$I,"Weekly*")+SUMIFS('BSE - Other Index Options'!$M:$M,'BSE - Other Index Options'!$C:$C,$A220,'BSE - Other Index Options'!$B:$B,G$147,'BSE - Other Index Options'!$I:$I,"MDAW*")=0,"",SUMIFS('BSE - SENSEX Index Options'!$M:$M,'BSE - SENSEX Index Options'!$C:$C,$A220,'BSE - SENSEX Index Options'!$B:$B,G$147,'BSE - SENSEX Index Options'!$I:$I,"Weekly*")+SUMIFS('BSE - SENSEX Index Options'!$M:$M,'BSE - SENSEX Index Options'!$C:$C,$A220,'BSE - SENSEX Index Options'!$B:$B,G$147,'BSE - SENSEX Index Options'!$I:$I,"MDAW*")+SUMIFS('BSE - Other Index Options'!$M:$M,'BSE - Other Index Options'!$C:$C,$A220,'BSE - Other Index Options'!$B:$B,G$147,'BSE - Other Index Options'!$I:$I,"Weekly*")+SUMIFS('BSE - Other Index Options'!$M:$M,'BSE - Other Index Options'!$C:$C,$A220,'BSE - Other Index Options'!$B:$B,G$147,'BSE - Other Index Options'!$I:$I,"MDAW*"))</f>
        <v/>
      </c>
      <c r="H220" s="26">
        <f>IF(SUM(B220:G220)=0,"",SUM(B220:G220))</f>
        <v/>
      </c>
    </row>
    <row r="221" hidden="1" outlineLevel="1">
      <c r="A221" t="inlineStr">
        <is>
          <t>Week5-Nov-2026</t>
        </is>
      </c>
      <c r="B221" s="26">
        <f>IF(SUMIFS('BSE - SENSEX Index Options'!$M:$M,'BSE - SENSEX Index Options'!$C:$C,$A221,'BSE - SENSEX Index Options'!$B:$B,B$147,'BSE - SENSEX Index Options'!$I:$I,"Weekly*")+SUMIFS('BSE - SENSEX Index Options'!$M:$M,'BSE - SENSEX Index Options'!$C:$C,$A221,'BSE - SENSEX Index Options'!$B:$B,B$147,'BSE - SENSEX Index Options'!$I:$I,"MDAW*")+SUMIFS('BSE - Other Index Options'!$M:$M,'BSE - Other Index Options'!$C:$C,$A221,'BSE - Other Index Options'!$B:$B,B$147,'BSE - Other Index Options'!$I:$I,"Weekly*")+SUMIFS('BSE - Other Index Options'!$M:$M,'BSE - Other Index Options'!$C:$C,$A221,'BSE - Other Index Options'!$B:$B,B$147,'BSE - Other Index Options'!$I:$I,"MDAW*")=0,"",SUMIFS('BSE - SENSEX Index Options'!$M:$M,'BSE - SENSEX Index Options'!$C:$C,$A221,'BSE - SENSEX Index Options'!$B:$B,B$147,'BSE - SENSEX Index Options'!$I:$I,"Weekly*")+SUMIFS('BSE - SENSEX Index Options'!$M:$M,'BSE - SENSEX Index Options'!$C:$C,$A221,'BSE - SENSEX Index Options'!$B:$B,B$147,'BSE - SENSEX Index Options'!$I:$I,"MDAW*")+SUMIFS('BSE - Other Index Options'!$M:$M,'BSE - Other Index Options'!$C:$C,$A221,'BSE - Other Index Options'!$B:$B,B$147,'BSE - Other Index Options'!$I:$I,"Weekly*")+SUMIFS('BSE - Other Index Options'!$M:$M,'BSE - Other Index Options'!$C:$C,$A221,'BSE - Other Index Options'!$B:$B,B$147,'BSE - Other Index Options'!$I:$I,"MDAW*"))</f>
        <v/>
      </c>
      <c r="C221" s="26">
        <f>IF(SUMIFS('BSE - SENSEX Index Options'!$M:$M,'BSE - SENSEX Index Options'!$C:$C,$A221,'BSE - SENSEX Index Options'!$B:$B,C$147,'BSE - SENSEX Index Options'!$I:$I,"Weekly*")+SUMIFS('BSE - SENSEX Index Options'!$M:$M,'BSE - SENSEX Index Options'!$C:$C,$A221,'BSE - SENSEX Index Options'!$B:$B,C$147,'BSE - SENSEX Index Options'!$I:$I,"MDAW*")+SUMIFS('BSE - Other Index Options'!$M:$M,'BSE - Other Index Options'!$C:$C,$A221,'BSE - Other Index Options'!$B:$B,C$147,'BSE - Other Index Options'!$I:$I,"Weekly*")+SUMIFS('BSE - Other Index Options'!$M:$M,'BSE - Other Index Options'!$C:$C,$A221,'BSE - Other Index Options'!$B:$B,C$147,'BSE - Other Index Options'!$I:$I,"MDAW*")=0,"",SUMIFS('BSE - SENSEX Index Options'!$M:$M,'BSE - SENSEX Index Options'!$C:$C,$A221,'BSE - SENSEX Index Options'!$B:$B,C$147,'BSE - SENSEX Index Options'!$I:$I,"Weekly*")+SUMIFS('BSE - SENSEX Index Options'!$M:$M,'BSE - SENSEX Index Options'!$C:$C,$A221,'BSE - SENSEX Index Options'!$B:$B,C$147,'BSE - SENSEX Index Options'!$I:$I,"MDAW*")+SUMIFS('BSE - Other Index Options'!$M:$M,'BSE - Other Index Options'!$C:$C,$A221,'BSE - Other Index Options'!$B:$B,C$147,'BSE - Other Index Options'!$I:$I,"Weekly*")+SUMIFS('BSE - Other Index Options'!$M:$M,'BSE - Other Index Options'!$C:$C,$A221,'BSE - Other Index Options'!$B:$B,C$147,'BSE - Other Index Options'!$I:$I,"MDAW*"))</f>
        <v/>
      </c>
      <c r="D221" s="26">
        <f>IF(SUMIFS('BSE - SENSEX Index Options'!$M:$M,'BSE - SENSEX Index Options'!$C:$C,$A221,'BSE - SENSEX Index Options'!$B:$B,D$147,'BSE - SENSEX Index Options'!$I:$I,"Weekly*")+SUMIFS('BSE - SENSEX Index Options'!$M:$M,'BSE - SENSEX Index Options'!$C:$C,$A221,'BSE - SENSEX Index Options'!$B:$B,D$147,'BSE - SENSEX Index Options'!$I:$I,"MDAW*")+SUMIFS('BSE - Other Index Options'!$M:$M,'BSE - Other Index Options'!$C:$C,$A221,'BSE - Other Index Options'!$B:$B,D$147,'BSE - Other Index Options'!$I:$I,"Weekly*")+SUMIFS('BSE - Other Index Options'!$M:$M,'BSE - Other Index Options'!$C:$C,$A221,'BSE - Other Index Options'!$B:$B,D$147,'BSE - Other Index Options'!$I:$I,"MDAW*")=0,"",SUMIFS('BSE - SENSEX Index Options'!$M:$M,'BSE - SENSEX Index Options'!$C:$C,$A221,'BSE - SENSEX Index Options'!$B:$B,D$147,'BSE - SENSEX Index Options'!$I:$I,"Weekly*")+SUMIFS('BSE - SENSEX Index Options'!$M:$M,'BSE - SENSEX Index Options'!$C:$C,$A221,'BSE - SENSEX Index Options'!$B:$B,D$147,'BSE - SENSEX Index Options'!$I:$I,"MDAW*")+SUMIFS('BSE - Other Index Options'!$M:$M,'BSE - Other Index Options'!$C:$C,$A221,'BSE - Other Index Options'!$B:$B,D$147,'BSE - Other Index Options'!$I:$I,"Weekly*")+SUMIFS('BSE - Other Index Options'!$M:$M,'BSE - Other Index Options'!$C:$C,$A221,'BSE - Other Index Options'!$B:$B,D$147,'BSE - Other Index Options'!$I:$I,"MDAW*"))</f>
        <v/>
      </c>
      <c r="E221" s="26">
        <f>IF(SUMIFS('BSE - SENSEX Index Options'!$M:$M,'BSE - SENSEX Index Options'!$C:$C,$A221,'BSE - SENSEX Index Options'!$B:$B,E$147,'BSE - SENSEX Index Options'!$I:$I,"Weekly*")+SUMIFS('BSE - SENSEX Index Options'!$M:$M,'BSE - SENSEX Index Options'!$C:$C,$A221,'BSE - SENSEX Index Options'!$B:$B,E$147,'BSE - SENSEX Index Options'!$I:$I,"MDAW*")+SUMIFS('BSE - Other Index Options'!$M:$M,'BSE - Other Index Options'!$C:$C,$A221,'BSE - Other Index Options'!$B:$B,E$147,'BSE - Other Index Options'!$I:$I,"Weekly*")+SUMIFS('BSE - Other Index Options'!$M:$M,'BSE - Other Index Options'!$C:$C,$A221,'BSE - Other Index Options'!$B:$B,E$147,'BSE - Other Index Options'!$I:$I,"MDAW*")=0,"",SUMIFS('BSE - SENSEX Index Options'!$M:$M,'BSE - SENSEX Index Options'!$C:$C,$A221,'BSE - SENSEX Index Options'!$B:$B,E$147,'BSE - SENSEX Index Options'!$I:$I,"Weekly*")+SUMIFS('BSE - SENSEX Index Options'!$M:$M,'BSE - SENSEX Index Options'!$C:$C,$A221,'BSE - SENSEX Index Options'!$B:$B,E$147,'BSE - SENSEX Index Options'!$I:$I,"MDAW*")+SUMIFS('BSE - Other Index Options'!$M:$M,'BSE - Other Index Options'!$C:$C,$A221,'BSE - Other Index Options'!$B:$B,E$147,'BSE - Other Index Options'!$I:$I,"Weekly*")+SUMIFS('BSE - Other Index Options'!$M:$M,'BSE - Other Index Options'!$C:$C,$A221,'BSE - Other Index Options'!$B:$B,E$147,'BSE - Other Index Options'!$I:$I,"MDAW*"))</f>
        <v/>
      </c>
      <c r="F221" s="26">
        <f>IF(SUMIFS('BSE - SENSEX Index Options'!$M:$M,'BSE - SENSEX Index Options'!$C:$C,$A221,'BSE - SENSEX Index Options'!$B:$B,F$147,'BSE - SENSEX Index Options'!$I:$I,"Weekly*")+SUMIFS('BSE - SENSEX Index Options'!$M:$M,'BSE - SENSEX Index Options'!$C:$C,$A221,'BSE - SENSEX Index Options'!$B:$B,F$147,'BSE - SENSEX Index Options'!$I:$I,"MDAW*")+SUMIFS('BSE - Other Index Options'!$M:$M,'BSE - Other Index Options'!$C:$C,$A221,'BSE - Other Index Options'!$B:$B,F$147,'BSE - Other Index Options'!$I:$I,"Weekly*")+SUMIFS('BSE - Other Index Options'!$M:$M,'BSE - Other Index Options'!$C:$C,$A221,'BSE - Other Index Options'!$B:$B,F$147,'BSE - Other Index Options'!$I:$I,"MDAW*")=0,"",SUMIFS('BSE - SENSEX Index Options'!$M:$M,'BSE - SENSEX Index Options'!$C:$C,$A221,'BSE - SENSEX Index Options'!$B:$B,F$147,'BSE - SENSEX Index Options'!$I:$I,"Weekly*")+SUMIFS('BSE - SENSEX Index Options'!$M:$M,'BSE - SENSEX Index Options'!$C:$C,$A221,'BSE - SENSEX Index Options'!$B:$B,F$147,'BSE - SENSEX Index Options'!$I:$I,"MDAW*")+SUMIFS('BSE - Other Index Options'!$M:$M,'BSE - Other Index Options'!$C:$C,$A221,'BSE - Other Index Options'!$B:$B,F$147,'BSE - Other Index Options'!$I:$I,"Weekly*")+SUMIFS('BSE - Other Index Options'!$M:$M,'BSE - Other Index Options'!$C:$C,$A221,'BSE - Other Index Options'!$B:$B,F$147,'BSE - Other Index Options'!$I:$I,"MDAW*"))</f>
        <v/>
      </c>
      <c r="G221" s="26">
        <f>IF(SUMIFS('BSE - SENSEX Index Options'!$M:$M,'BSE - SENSEX Index Options'!$C:$C,$A221,'BSE - SENSEX Index Options'!$B:$B,G$147,'BSE - SENSEX Index Options'!$I:$I,"Weekly*")+SUMIFS('BSE - SENSEX Index Options'!$M:$M,'BSE - SENSEX Index Options'!$C:$C,$A221,'BSE - SENSEX Index Options'!$B:$B,G$147,'BSE - SENSEX Index Options'!$I:$I,"MDAW*")+SUMIFS('BSE - Other Index Options'!$M:$M,'BSE - Other Index Options'!$C:$C,$A221,'BSE - Other Index Options'!$B:$B,G$147,'BSE - Other Index Options'!$I:$I,"Weekly*")+SUMIFS('BSE - Other Index Options'!$M:$M,'BSE - Other Index Options'!$C:$C,$A221,'BSE - Other Index Options'!$B:$B,G$147,'BSE - Other Index Options'!$I:$I,"MDAW*")=0,"",SUMIFS('BSE - SENSEX Index Options'!$M:$M,'BSE - SENSEX Index Options'!$C:$C,$A221,'BSE - SENSEX Index Options'!$B:$B,G$147,'BSE - SENSEX Index Options'!$I:$I,"Weekly*")+SUMIFS('BSE - SENSEX Index Options'!$M:$M,'BSE - SENSEX Index Options'!$C:$C,$A221,'BSE - SENSEX Index Options'!$B:$B,G$147,'BSE - SENSEX Index Options'!$I:$I,"MDAW*")+SUMIFS('BSE - Other Index Options'!$M:$M,'BSE - Other Index Options'!$C:$C,$A221,'BSE - Other Index Options'!$B:$B,G$147,'BSE - Other Index Options'!$I:$I,"Weekly*")+SUMIFS('BSE - Other Index Options'!$M:$M,'BSE - Other Index Options'!$C:$C,$A221,'BSE - Other Index Options'!$B:$B,G$147,'BSE - Other Index Options'!$I:$I,"MDAW*"))</f>
        <v/>
      </c>
      <c r="H221" s="26">
        <f>IF(SUM(B221:G221)=0,"",SUM(B221:G221))</f>
        <v/>
      </c>
    </row>
    <row r="222" hidden="1" outlineLevel="1">
      <c r="A222" t="inlineStr">
        <is>
          <t>Week1-Dec-2026</t>
        </is>
      </c>
      <c r="B222" s="26">
        <f>IF(SUMIFS('BSE - SENSEX Index Options'!$M:$M,'BSE - SENSEX Index Options'!$C:$C,$A222,'BSE - SENSEX Index Options'!$B:$B,B$147,'BSE - SENSEX Index Options'!$I:$I,"Weekly*")+SUMIFS('BSE - SENSEX Index Options'!$M:$M,'BSE - SENSEX Index Options'!$C:$C,$A222,'BSE - SENSEX Index Options'!$B:$B,B$147,'BSE - SENSEX Index Options'!$I:$I,"MDAW*")+SUMIFS('BSE - Other Index Options'!$M:$M,'BSE - Other Index Options'!$C:$C,$A222,'BSE - Other Index Options'!$B:$B,B$147,'BSE - Other Index Options'!$I:$I,"Weekly*")+SUMIFS('BSE - Other Index Options'!$M:$M,'BSE - Other Index Options'!$C:$C,$A222,'BSE - Other Index Options'!$B:$B,B$147,'BSE - Other Index Options'!$I:$I,"MDAW*")=0,"",SUMIFS('BSE - SENSEX Index Options'!$M:$M,'BSE - SENSEX Index Options'!$C:$C,$A222,'BSE - SENSEX Index Options'!$B:$B,B$147,'BSE - SENSEX Index Options'!$I:$I,"Weekly*")+SUMIFS('BSE - SENSEX Index Options'!$M:$M,'BSE - SENSEX Index Options'!$C:$C,$A222,'BSE - SENSEX Index Options'!$B:$B,B$147,'BSE - SENSEX Index Options'!$I:$I,"MDAW*")+SUMIFS('BSE - Other Index Options'!$M:$M,'BSE - Other Index Options'!$C:$C,$A222,'BSE - Other Index Options'!$B:$B,B$147,'BSE - Other Index Options'!$I:$I,"Weekly*")+SUMIFS('BSE - Other Index Options'!$M:$M,'BSE - Other Index Options'!$C:$C,$A222,'BSE - Other Index Options'!$B:$B,B$147,'BSE - Other Index Options'!$I:$I,"MDAW*"))</f>
        <v/>
      </c>
      <c r="C222" s="26">
        <f>IF(SUMIFS('BSE - SENSEX Index Options'!$M:$M,'BSE - SENSEX Index Options'!$C:$C,$A222,'BSE - SENSEX Index Options'!$B:$B,C$147,'BSE - SENSEX Index Options'!$I:$I,"Weekly*")+SUMIFS('BSE - SENSEX Index Options'!$M:$M,'BSE - SENSEX Index Options'!$C:$C,$A222,'BSE - SENSEX Index Options'!$B:$B,C$147,'BSE - SENSEX Index Options'!$I:$I,"MDAW*")+SUMIFS('BSE - Other Index Options'!$M:$M,'BSE - Other Index Options'!$C:$C,$A222,'BSE - Other Index Options'!$B:$B,C$147,'BSE - Other Index Options'!$I:$I,"Weekly*")+SUMIFS('BSE - Other Index Options'!$M:$M,'BSE - Other Index Options'!$C:$C,$A222,'BSE - Other Index Options'!$B:$B,C$147,'BSE - Other Index Options'!$I:$I,"MDAW*")=0,"",SUMIFS('BSE - SENSEX Index Options'!$M:$M,'BSE - SENSEX Index Options'!$C:$C,$A222,'BSE - SENSEX Index Options'!$B:$B,C$147,'BSE - SENSEX Index Options'!$I:$I,"Weekly*")+SUMIFS('BSE - SENSEX Index Options'!$M:$M,'BSE - SENSEX Index Options'!$C:$C,$A222,'BSE - SENSEX Index Options'!$B:$B,C$147,'BSE - SENSEX Index Options'!$I:$I,"MDAW*")+SUMIFS('BSE - Other Index Options'!$M:$M,'BSE - Other Index Options'!$C:$C,$A222,'BSE - Other Index Options'!$B:$B,C$147,'BSE - Other Index Options'!$I:$I,"Weekly*")+SUMIFS('BSE - Other Index Options'!$M:$M,'BSE - Other Index Options'!$C:$C,$A222,'BSE - Other Index Options'!$B:$B,C$147,'BSE - Other Index Options'!$I:$I,"MDAW*"))</f>
        <v/>
      </c>
      <c r="D222" s="26">
        <f>IF(SUMIFS('BSE - SENSEX Index Options'!$M:$M,'BSE - SENSEX Index Options'!$C:$C,$A222,'BSE - SENSEX Index Options'!$B:$B,D$147,'BSE - SENSEX Index Options'!$I:$I,"Weekly*")+SUMIFS('BSE - SENSEX Index Options'!$M:$M,'BSE - SENSEX Index Options'!$C:$C,$A222,'BSE - SENSEX Index Options'!$B:$B,D$147,'BSE - SENSEX Index Options'!$I:$I,"MDAW*")+SUMIFS('BSE - Other Index Options'!$M:$M,'BSE - Other Index Options'!$C:$C,$A222,'BSE - Other Index Options'!$B:$B,D$147,'BSE - Other Index Options'!$I:$I,"Weekly*")+SUMIFS('BSE - Other Index Options'!$M:$M,'BSE - Other Index Options'!$C:$C,$A222,'BSE - Other Index Options'!$B:$B,D$147,'BSE - Other Index Options'!$I:$I,"MDAW*")=0,"",SUMIFS('BSE - SENSEX Index Options'!$M:$M,'BSE - SENSEX Index Options'!$C:$C,$A222,'BSE - SENSEX Index Options'!$B:$B,D$147,'BSE - SENSEX Index Options'!$I:$I,"Weekly*")+SUMIFS('BSE - SENSEX Index Options'!$M:$M,'BSE - SENSEX Index Options'!$C:$C,$A222,'BSE - SENSEX Index Options'!$B:$B,D$147,'BSE - SENSEX Index Options'!$I:$I,"MDAW*")+SUMIFS('BSE - Other Index Options'!$M:$M,'BSE - Other Index Options'!$C:$C,$A222,'BSE - Other Index Options'!$B:$B,D$147,'BSE - Other Index Options'!$I:$I,"Weekly*")+SUMIFS('BSE - Other Index Options'!$M:$M,'BSE - Other Index Options'!$C:$C,$A222,'BSE - Other Index Options'!$B:$B,D$147,'BSE - Other Index Options'!$I:$I,"MDAW*"))</f>
        <v/>
      </c>
      <c r="E222" s="26">
        <f>IF(SUMIFS('BSE - SENSEX Index Options'!$M:$M,'BSE - SENSEX Index Options'!$C:$C,$A222,'BSE - SENSEX Index Options'!$B:$B,E$147,'BSE - SENSEX Index Options'!$I:$I,"Weekly*")+SUMIFS('BSE - SENSEX Index Options'!$M:$M,'BSE - SENSEX Index Options'!$C:$C,$A222,'BSE - SENSEX Index Options'!$B:$B,E$147,'BSE - SENSEX Index Options'!$I:$I,"MDAW*")+SUMIFS('BSE - Other Index Options'!$M:$M,'BSE - Other Index Options'!$C:$C,$A222,'BSE - Other Index Options'!$B:$B,E$147,'BSE - Other Index Options'!$I:$I,"Weekly*")+SUMIFS('BSE - Other Index Options'!$M:$M,'BSE - Other Index Options'!$C:$C,$A222,'BSE - Other Index Options'!$B:$B,E$147,'BSE - Other Index Options'!$I:$I,"MDAW*")=0,"",SUMIFS('BSE - SENSEX Index Options'!$M:$M,'BSE - SENSEX Index Options'!$C:$C,$A222,'BSE - SENSEX Index Options'!$B:$B,E$147,'BSE - SENSEX Index Options'!$I:$I,"Weekly*")+SUMIFS('BSE - SENSEX Index Options'!$M:$M,'BSE - SENSEX Index Options'!$C:$C,$A222,'BSE - SENSEX Index Options'!$B:$B,E$147,'BSE - SENSEX Index Options'!$I:$I,"MDAW*")+SUMIFS('BSE - Other Index Options'!$M:$M,'BSE - Other Index Options'!$C:$C,$A222,'BSE - Other Index Options'!$B:$B,E$147,'BSE - Other Index Options'!$I:$I,"Weekly*")+SUMIFS('BSE - Other Index Options'!$M:$M,'BSE - Other Index Options'!$C:$C,$A222,'BSE - Other Index Options'!$B:$B,E$147,'BSE - Other Index Options'!$I:$I,"MDAW*"))</f>
        <v/>
      </c>
      <c r="F222" s="26">
        <f>IF(SUMIFS('BSE - SENSEX Index Options'!$M:$M,'BSE - SENSEX Index Options'!$C:$C,$A222,'BSE - SENSEX Index Options'!$B:$B,F$147,'BSE - SENSEX Index Options'!$I:$I,"Weekly*")+SUMIFS('BSE - SENSEX Index Options'!$M:$M,'BSE - SENSEX Index Options'!$C:$C,$A222,'BSE - SENSEX Index Options'!$B:$B,F$147,'BSE - SENSEX Index Options'!$I:$I,"MDAW*")+SUMIFS('BSE - Other Index Options'!$M:$M,'BSE - Other Index Options'!$C:$C,$A222,'BSE - Other Index Options'!$B:$B,F$147,'BSE - Other Index Options'!$I:$I,"Weekly*")+SUMIFS('BSE - Other Index Options'!$M:$M,'BSE - Other Index Options'!$C:$C,$A222,'BSE - Other Index Options'!$B:$B,F$147,'BSE - Other Index Options'!$I:$I,"MDAW*")=0,"",SUMIFS('BSE - SENSEX Index Options'!$M:$M,'BSE - SENSEX Index Options'!$C:$C,$A222,'BSE - SENSEX Index Options'!$B:$B,F$147,'BSE - SENSEX Index Options'!$I:$I,"Weekly*")+SUMIFS('BSE - SENSEX Index Options'!$M:$M,'BSE - SENSEX Index Options'!$C:$C,$A222,'BSE - SENSEX Index Options'!$B:$B,F$147,'BSE - SENSEX Index Options'!$I:$I,"MDAW*")+SUMIFS('BSE - Other Index Options'!$M:$M,'BSE - Other Index Options'!$C:$C,$A222,'BSE - Other Index Options'!$B:$B,F$147,'BSE - Other Index Options'!$I:$I,"Weekly*")+SUMIFS('BSE - Other Index Options'!$M:$M,'BSE - Other Index Options'!$C:$C,$A222,'BSE - Other Index Options'!$B:$B,F$147,'BSE - Other Index Options'!$I:$I,"MDAW*"))</f>
        <v/>
      </c>
      <c r="G222" s="26">
        <f>IF(SUMIFS('BSE - SENSEX Index Options'!$M:$M,'BSE - SENSEX Index Options'!$C:$C,$A222,'BSE - SENSEX Index Options'!$B:$B,G$147,'BSE - SENSEX Index Options'!$I:$I,"Weekly*")+SUMIFS('BSE - SENSEX Index Options'!$M:$M,'BSE - SENSEX Index Options'!$C:$C,$A222,'BSE - SENSEX Index Options'!$B:$B,G$147,'BSE - SENSEX Index Options'!$I:$I,"MDAW*")+SUMIFS('BSE - Other Index Options'!$M:$M,'BSE - Other Index Options'!$C:$C,$A222,'BSE - Other Index Options'!$B:$B,G$147,'BSE - Other Index Options'!$I:$I,"Weekly*")+SUMIFS('BSE - Other Index Options'!$M:$M,'BSE - Other Index Options'!$C:$C,$A222,'BSE - Other Index Options'!$B:$B,G$147,'BSE - Other Index Options'!$I:$I,"MDAW*")=0,"",SUMIFS('BSE - SENSEX Index Options'!$M:$M,'BSE - SENSEX Index Options'!$C:$C,$A222,'BSE - SENSEX Index Options'!$B:$B,G$147,'BSE - SENSEX Index Options'!$I:$I,"Weekly*")+SUMIFS('BSE - SENSEX Index Options'!$M:$M,'BSE - SENSEX Index Options'!$C:$C,$A222,'BSE - SENSEX Index Options'!$B:$B,G$147,'BSE - SENSEX Index Options'!$I:$I,"MDAW*")+SUMIFS('BSE - Other Index Options'!$M:$M,'BSE - Other Index Options'!$C:$C,$A222,'BSE - Other Index Options'!$B:$B,G$147,'BSE - Other Index Options'!$I:$I,"Weekly*")+SUMIFS('BSE - Other Index Options'!$M:$M,'BSE - Other Index Options'!$C:$C,$A222,'BSE - Other Index Options'!$B:$B,G$147,'BSE - Other Index Options'!$I:$I,"MDAW*"))</f>
        <v/>
      </c>
      <c r="H222" s="26">
        <f>IF(SUM(B222:G222)=0,"",SUM(B222:G222))</f>
        <v/>
      </c>
    </row>
    <row r="223" hidden="1" outlineLevel="1">
      <c r="A223" t="inlineStr">
        <is>
          <t>Week2-Dec-2026</t>
        </is>
      </c>
      <c r="B223" s="26">
        <f>IF(SUMIFS('BSE - SENSEX Index Options'!$M:$M,'BSE - SENSEX Index Options'!$C:$C,$A223,'BSE - SENSEX Index Options'!$B:$B,B$147,'BSE - SENSEX Index Options'!$I:$I,"Weekly*")+SUMIFS('BSE - SENSEX Index Options'!$M:$M,'BSE - SENSEX Index Options'!$C:$C,$A223,'BSE - SENSEX Index Options'!$B:$B,B$147,'BSE - SENSEX Index Options'!$I:$I,"MDAW*")+SUMIFS('BSE - Other Index Options'!$M:$M,'BSE - Other Index Options'!$C:$C,$A223,'BSE - Other Index Options'!$B:$B,B$147,'BSE - Other Index Options'!$I:$I,"Weekly*")+SUMIFS('BSE - Other Index Options'!$M:$M,'BSE - Other Index Options'!$C:$C,$A223,'BSE - Other Index Options'!$B:$B,B$147,'BSE - Other Index Options'!$I:$I,"MDAW*")=0,"",SUMIFS('BSE - SENSEX Index Options'!$M:$M,'BSE - SENSEX Index Options'!$C:$C,$A223,'BSE - SENSEX Index Options'!$B:$B,B$147,'BSE - SENSEX Index Options'!$I:$I,"Weekly*")+SUMIFS('BSE - SENSEX Index Options'!$M:$M,'BSE - SENSEX Index Options'!$C:$C,$A223,'BSE - SENSEX Index Options'!$B:$B,B$147,'BSE - SENSEX Index Options'!$I:$I,"MDAW*")+SUMIFS('BSE - Other Index Options'!$M:$M,'BSE - Other Index Options'!$C:$C,$A223,'BSE - Other Index Options'!$B:$B,B$147,'BSE - Other Index Options'!$I:$I,"Weekly*")+SUMIFS('BSE - Other Index Options'!$M:$M,'BSE - Other Index Options'!$C:$C,$A223,'BSE - Other Index Options'!$B:$B,B$147,'BSE - Other Index Options'!$I:$I,"MDAW*"))</f>
        <v/>
      </c>
      <c r="C223" s="26">
        <f>IF(SUMIFS('BSE - SENSEX Index Options'!$M:$M,'BSE - SENSEX Index Options'!$C:$C,$A223,'BSE - SENSEX Index Options'!$B:$B,C$147,'BSE - SENSEX Index Options'!$I:$I,"Weekly*")+SUMIFS('BSE - SENSEX Index Options'!$M:$M,'BSE - SENSEX Index Options'!$C:$C,$A223,'BSE - SENSEX Index Options'!$B:$B,C$147,'BSE - SENSEX Index Options'!$I:$I,"MDAW*")+SUMIFS('BSE - Other Index Options'!$M:$M,'BSE - Other Index Options'!$C:$C,$A223,'BSE - Other Index Options'!$B:$B,C$147,'BSE - Other Index Options'!$I:$I,"Weekly*")+SUMIFS('BSE - Other Index Options'!$M:$M,'BSE - Other Index Options'!$C:$C,$A223,'BSE - Other Index Options'!$B:$B,C$147,'BSE - Other Index Options'!$I:$I,"MDAW*")=0,"",SUMIFS('BSE - SENSEX Index Options'!$M:$M,'BSE - SENSEX Index Options'!$C:$C,$A223,'BSE - SENSEX Index Options'!$B:$B,C$147,'BSE - SENSEX Index Options'!$I:$I,"Weekly*")+SUMIFS('BSE - SENSEX Index Options'!$M:$M,'BSE - SENSEX Index Options'!$C:$C,$A223,'BSE - SENSEX Index Options'!$B:$B,C$147,'BSE - SENSEX Index Options'!$I:$I,"MDAW*")+SUMIFS('BSE - Other Index Options'!$M:$M,'BSE - Other Index Options'!$C:$C,$A223,'BSE - Other Index Options'!$B:$B,C$147,'BSE - Other Index Options'!$I:$I,"Weekly*")+SUMIFS('BSE - Other Index Options'!$M:$M,'BSE - Other Index Options'!$C:$C,$A223,'BSE - Other Index Options'!$B:$B,C$147,'BSE - Other Index Options'!$I:$I,"MDAW*"))</f>
        <v/>
      </c>
      <c r="D223" s="26">
        <f>IF(SUMIFS('BSE - SENSEX Index Options'!$M:$M,'BSE - SENSEX Index Options'!$C:$C,$A223,'BSE - SENSEX Index Options'!$B:$B,D$147,'BSE - SENSEX Index Options'!$I:$I,"Weekly*")+SUMIFS('BSE - SENSEX Index Options'!$M:$M,'BSE - SENSEX Index Options'!$C:$C,$A223,'BSE - SENSEX Index Options'!$B:$B,D$147,'BSE - SENSEX Index Options'!$I:$I,"MDAW*")+SUMIFS('BSE - Other Index Options'!$M:$M,'BSE - Other Index Options'!$C:$C,$A223,'BSE - Other Index Options'!$B:$B,D$147,'BSE - Other Index Options'!$I:$I,"Weekly*")+SUMIFS('BSE - Other Index Options'!$M:$M,'BSE - Other Index Options'!$C:$C,$A223,'BSE - Other Index Options'!$B:$B,D$147,'BSE - Other Index Options'!$I:$I,"MDAW*")=0,"",SUMIFS('BSE - SENSEX Index Options'!$M:$M,'BSE - SENSEX Index Options'!$C:$C,$A223,'BSE - SENSEX Index Options'!$B:$B,D$147,'BSE - SENSEX Index Options'!$I:$I,"Weekly*")+SUMIFS('BSE - SENSEX Index Options'!$M:$M,'BSE - SENSEX Index Options'!$C:$C,$A223,'BSE - SENSEX Index Options'!$B:$B,D$147,'BSE - SENSEX Index Options'!$I:$I,"MDAW*")+SUMIFS('BSE - Other Index Options'!$M:$M,'BSE - Other Index Options'!$C:$C,$A223,'BSE - Other Index Options'!$B:$B,D$147,'BSE - Other Index Options'!$I:$I,"Weekly*")+SUMIFS('BSE - Other Index Options'!$M:$M,'BSE - Other Index Options'!$C:$C,$A223,'BSE - Other Index Options'!$B:$B,D$147,'BSE - Other Index Options'!$I:$I,"MDAW*"))</f>
        <v/>
      </c>
      <c r="E223" s="26">
        <f>IF(SUMIFS('BSE - SENSEX Index Options'!$M:$M,'BSE - SENSEX Index Options'!$C:$C,$A223,'BSE - SENSEX Index Options'!$B:$B,E$147,'BSE - SENSEX Index Options'!$I:$I,"Weekly*")+SUMIFS('BSE - SENSEX Index Options'!$M:$M,'BSE - SENSEX Index Options'!$C:$C,$A223,'BSE - SENSEX Index Options'!$B:$B,E$147,'BSE - SENSEX Index Options'!$I:$I,"MDAW*")+SUMIFS('BSE - Other Index Options'!$M:$M,'BSE - Other Index Options'!$C:$C,$A223,'BSE - Other Index Options'!$B:$B,E$147,'BSE - Other Index Options'!$I:$I,"Weekly*")+SUMIFS('BSE - Other Index Options'!$M:$M,'BSE - Other Index Options'!$C:$C,$A223,'BSE - Other Index Options'!$B:$B,E$147,'BSE - Other Index Options'!$I:$I,"MDAW*")=0,"",SUMIFS('BSE - SENSEX Index Options'!$M:$M,'BSE - SENSEX Index Options'!$C:$C,$A223,'BSE - SENSEX Index Options'!$B:$B,E$147,'BSE - SENSEX Index Options'!$I:$I,"Weekly*")+SUMIFS('BSE - SENSEX Index Options'!$M:$M,'BSE - SENSEX Index Options'!$C:$C,$A223,'BSE - SENSEX Index Options'!$B:$B,E$147,'BSE - SENSEX Index Options'!$I:$I,"MDAW*")+SUMIFS('BSE - Other Index Options'!$M:$M,'BSE - Other Index Options'!$C:$C,$A223,'BSE - Other Index Options'!$B:$B,E$147,'BSE - Other Index Options'!$I:$I,"Weekly*")+SUMIFS('BSE - Other Index Options'!$M:$M,'BSE - Other Index Options'!$C:$C,$A223,'BSE - Other Index Options'!$B:$B,E$147,'BSE - Other Index Options'!$I:$I,"MDAW*"))</f>
        <v/>
      </c>
      <c r="F223" s="26">
        <f>IF(SUMIFS('BSE - SENSEX Index Options'!$M:$M,'BSE - SENSEX Index Options'!$C:$C,$A223,'BSE - SENSEX Index Options'!$B:$B,F$147,'BSE - SENSEX Index Options'!$I:$I,"Weekly*")+SUMIFS('BSE - SENSEX Index Options'!$M:$M,'BSE - SENSEX Index Options'!$C:$C,$A223,'BSE - SENSEX Index Options'!$B:$B,F$147,'BSE - SENSEX Index Options'!$I:$I,"MDAW*")+SUMIFS('BSE - Other Index Options'!$M:$M,'BSE - Other Index Options'!$C:$C,$A223,'BSE - Other Index Options'!$B:$B,F$147,'BSE - Other Index Options'!$I:$I,"Weekly*")+SUMIFS('BSE - Other Index Options'!$M:$M,'BSE - Other Index Options'!$C:$C,$A223,'BSE - Other Index Options'!$B:$B,F$147,'BSE - Other Index Options'!$I:$I,"MDAW*")=0,"",SUMIFS('BSE - SENSEX Index Options'!$M:$M,'BSE - SENSEX Index Options'!$C:$C,$A223,'BSE - SENSEX Index Options'!$B:$B,F$147,'BSE - SENSEX Index Options'!$I:$I,"Weekly*")+SUMIFS('BSE - SENSEX Index Options'!$M:$M,'BSE - SENSEX Index Options'!$C:$C,$A223,'BSE - SENSEX Index Options'!$B:$B,F$147,'BSE - SENSEX Index Options'!$I:$I,"MDAW*")+SUMIFS('BSE - Other Index Options'!$M:$M,'BSE - Other Index Options'!$C:$C,$A223,'BSE - Other Index Options'!$B:$B,F$147,'BSE - Other Index Options'!$I:$I,"Weekly*")+SUMIFS('BSE - Other Index Options'!$M:$M,'BSE - Other Index Options'!$C:$C,$A223,'BSE - Other Index Options'!$B:$B,F$147,'BSE - Other Index Options'!$I:$I,"MDAW*"))</f>
        <v/>
      </c>
      <c r="G223" s="26">
        <f>IF(SUMIFS('BSE - SENSEX Index Options'!$M:$M,'BSE - SENSEX Index Options'!$C:$C,$A223,'BSE - SENSEX Index Options'!$B:$B,G$147,'BSE - SENSEX Index Options'!$I:$I,"Weekly*")+SUMIFS('BSE - SENSEX Index Options'!$M:$M,'BSE - SENSEX Index Options'!$C:$C,$A223,'BSE - SENSEX Index Options'!$B:$B,G$147,'BSE - SENSEX Index Options'!$I:$I,"MDAW*")+SUMIFS('BSE - Other Index Options'!$M:$M,'BSE - Other Index Options'!$C:$C,$A223,'BSE - Other Index Options'!$B:$B,G$147,'BSE - Other Index Options'!$I:$I,"Weekly*")+SUMIFS('BSE - Other Index Options'!$M:$M,'BSE - Other Index Options'!$C:$C,$A223,'BSE - Other Index Options'!$B:$B,G$147,'BSE - Other Index Options'!$I:$I,"MDAW*")=0,"",SUMIFS('BSE - SENSEX Index Options'!$M:$M,'BSE - SENSEX Index Options'!$C:$C,$A223,'BSE - SENSEX Index Options'!$B:$B,G$147,'BSE - SENSEX Index Options'!$I:$I,"Weekly*")+SUMIFS('BSE - SENSEX Index Options'!$M:$M,'BSE - SENSEX Index Options'!$C:$C,$A223,'BSE - SENSEX Index Options'!$B:$B,G$147,'BSE - SENSEX Index Options'!$I:$I,"MDAW*")+SUMIFS('BSE - Other Index Options'!$M:$M,'BSE - Other Index Options'!$C:$C,$A223,'BSE - Other Index Options'!$B:$B,G$147,'BSE - Other Index Options'!$I:$I,"Weekly*")+SUMIFS('BSE - Other Index Options'!$M:$M,'BSE - Other Index Options'!$C:$C,$A223,'BSE - Other Index Options'!$B:$B,G$147,'BSE - Other Index Options'!$I:$I,"MDAW*"))</f>
        <v/>
      </c>
      <c r="H223" s="26">
        <f>IF(SUM(B223:G223)=0,"",SUM(B223:G223))</f>
        <v/>
      </c>
    </row>
    <row r="224" hidden="1" outlineLevel="1">
      <c r="A224" t="inlineStr">
        <is>
          <t>Week3-Dec-2026</t>
        </is>
      </c>
      <c r="B224" s="26">
        <f>IF(SUMIFS('BSE - SENSEX Index Options'!$M:$M,'BSE - SENSEX Index Options'!$C:$C,$A224,'BSE - SENSEX Index Options'!$B:$B,B$147,'BSE - SENSEX Index Options'!$I:$I,"Weekly*")+SUMIFS('BSE - SENSEX Index Options'!$M:$M,'BSE - SENSEX Index Options'!$C:$C,$A224,'BSE - SENSEX Index Options'!$B:$B,B$147,'BSE - SENSEX Index Options'!$I:$I,"MDAW*")+SUMIFS('BSE - Other Index Options'!$M:$M,'BSE - Other Index Options'!$C:$C,$A224,'BSE - Other Index Options'!$B:$B,B$147,'BSE - Other Index Options'!$I:$I,"Weekly*")+SUMIFS('BSE - Other Index Options'!$M:$M,'BSE - Other Index Options'!$C:$C,$A224,'BSE - Other Index Options'!$B:$B,B$147,'BSE - Other Index Options'!$I:$I,"MDAW*")=0,"",SUMIFS('BSE - SENSEX Index Options'!$M:$M,'BSE - SENSEX Index Options'!$C:$C,$A224,'BSE - SENSEX Index Options'!$B:$B,B$147,'BSE - SENSEX Index Options'!$I:$I,"Weekly*")+SUMIFS('BSE - SENSEX Index Options'!$M:$M,'BSE - SENSEX Index Options'!$C:$C,$A224,'BSE - SENSEX Index Options'!$B:$B,B$147,'BSE - SENSEX Index Options'!$I:$I,"MDAW*")+SUMIFS('BSE - Other Index Options'!$M:$M,'BSE - Other Index Options'!$C:$C,$A224,'BSE - Other Index Options'!$B:$B,B$147,'BSE - Other Index Options'!$I:$I,"Weekly*")+SUMIFS('BSE - Other Index Options'!$M:$M,'BSE - Other Index Options'!$C:$C,$A224,'BSE - Other Index Options'!$B:$B,B$147,'BSE - Other Index Options'!$I:$I,"MDAW*"))</f>
        <v/>
      </c>
      <c r="C224" s="26">
        <f>IF(SUMIFS('BSE - SENSEX Index Options'!$M:$M,'BSE - SENSEX Index Options'!$C:$C,$A224,'BSE - SENSEX Index Options'!$B:$B,C$147,'BSE - SENSEX Index Options'!$I:$I,"Weekly*")+SUMIFS('BSE - SENSEX Index Options'!$M:$M,'BSE - SENSEX Index Options'!$C:$C,$A224,'BSE - SENSEX Index Options'!$B:$B,C$147,'BSE - SENSEX Index Options'!$I:$I,"MDAW*")+SUMIFS('BSE - Other Index Options'!$M:$M,'BSE - Other Index Options'!$C:$C,$A224,'BSE - Other Index Options'!$B:$B,C$147,'BSE - Other Index Options'!$I:$I,"Weekly*")+SUMIFS('BSE - Other Index Options'!$M:$M,'BSE - Other Index Options'!$C:$C,$A224,'BSE - Other Index Options'!$B:$B,C$147,'BSE - Other Index Options'!$I:$I,"MDAW*")=0,"",SUMIFS('BSE - SENSEX Index Options'!$M:$M,'BSE - SENSEX Index Options'!$C:$C,$A224,'BSE - SENSEX Index Options'!$B:$B,C$147,'BSE - SENSEX Index Options'!$I:$I,"Weekly*")+SUMIFS('BSE - SENSEX Index Options'!$M:$M,'BSE - SENSEX Index Options'!$C:$C,$A224,'BSE - SENSEX Index Options'!$B:$B,C$147,'BSE - SENSEX Index Options'!$I:$I,"MDAW*")+SUMIFS('BSE - Other Index Options'!$M:$M,'BSE - Other Index Options'!$C:$C,$A224,'BSE - Other Index Options'!$B:$B,C$147,'BSE - Other Index Options'!$I:$I,"Weekly*")+SUMIFS('BSE - Other Index Options'!$M:$M,'BSE - Other Index Options'!$C:$C,$A224,'BSE - Other Index Options'!$B:$B,C$147,'BSE - Other Index Options'!$I:$I,"MDAW*"))</f>
        <v/>
      </c>
      <c r="D224" s="26">
        <f>IF(SUMIFS('BSE - SENSEX Index Options'!$M:$M,'BSE - SENSEX Index Options'!$C:$C,$A224,'BSE - SENSEX Index Options'!$B:$B,D$147,'BSE - SENSEX Index Options'!$I:$I,"Weekly*")+SUMIFS('BSE - SENSEX Index Options'!$M:$M,'BSE - SENSEX Index Options'!$C:$C,$A224,'BSE - SENSEX Index Options'!$B:$B,D$147,'BSE - SENSEX Index Options'!$I:$I,"MDAW*")+SUMIFS('BSE - Other Index Options'!$M:$M,'BSE - Other Index Options'!$C:$C,$A224,'BSE - Other Index Options'!$B:$B,D$147,'BSE - Other Index Options'!$I:$I,"Weekly*")+SUMIFS('BSE - Other Index Options'!$M:$M,'BSE - Other Index Options'!$C:$C,$A224,'BSE - Other Index Options'!$B:$B,D$147,'BSE - Other Index Options'!$I:$I,"MDAW*")=0,"",SUMIFS('BSE - SENSEX Index Options'!$M:$M,'BSE - SENSEX Index Options'!$C:$C,$A224,'BSE - SENSEX Index Options'!$B:$B,D$147,'BSE - SENSEX Index Options'!$I:$I,"Weekly*")+SUMIFS('BSE - SENSEX Index Options'!$M:$M,'BSE - SENSEX Index Options'!$C:$C,$A224,'BSE - SENSEX Index Options'!$B:$B,D$147,'BSE - SENSEX Index Options'!$I:$I,"MDAW*")+SUMIFS('BSE - Other Index Options'!$M:$M,'BSE - Other Index Options'!$C:$C,$A224,'BSE - Other Index Options'!$B:$B,D$147,'BSE - Other Index Options'!$I:$I,"Weekly*")+SUMIFS('BSE - Other Index Options'!$M:$M,'BSE - Other Index Options'!$C:$C,$A224,'BSE - Other Index Options'!$B:$B,D$147,'BSE - Other Index Options'!$I:$I,"MDAW*"))</f>
        <v/>
      </c>
      <c r="E224" s="26">
        <f>IF(SUMIFS('BSE - SENSEX Index Options'!$M:$M,'BSE - SENSEX Index Options'!$C:$C,$A224,'BSE - SENSEX Index Options'!$B:$B,E$147,'BSE - SENSEX Index Options'!$I:$I,"Weekly*")+SUMIFS('BSE - SENSEX Index Options'!$M:$M,'BSE - SENSEX Index Options'!$C:$C,$A224,'BSE - SENSEX Index Options'!$B:$B,E$147,'BSE - SENSEX Index Options'!$I:$I,"MDAW*")+SUMIFS('BSE - Other Index Options'!$M:$M,'BSE - Other Index Options'!$C:$C,$A224,'BSE - Other Index Options'!$B:$B,E$147,'BSE - Other Index Options'!$I:$I,"Weekly*")+SUMIFS('BSE - Other Index Options'!$M:$M,'BSE - Other Index Options'!$C:$C,$A224,'BSE - Other Index Options'!$B:$B,E$147,'BSE - Other Index Options'!$I:$I,"MDAW*")=0,"",SUMIFS('BSE - SENSEX Index Options'!$M:$M,'BSE - SENSEX Index Options'!$C:$C,$A224,'BSE - SENSEX Index Options'!$B:$B,E$147,'BSE - SENSEX Index Options'!$I:$I,"Weekly*")+SUMIFS('BSE - SENSEX Index Options'!$M:$M,'BSE - SENSEX Index Options'!$C:$C,$A224,'BSE - SENSEX Index Options'!$B:$B,E$147,'BSE - SENSEX Index Options'!$I:$I,"MDAW*")+SUMIFS('BSE - Other Index Options'!$M:$M,'BSE - Other Index Options'!$C:$C,$A224,'BSE - Other Index Options'!$B:$B,E$147,'BSE - Other Index Options'!$I:$I,"Weekly*")+SUMIFS('BSE - Other Index Options'!$M:$M,'BSE - Other Index Options'!$C:$C,$A224,'BSE - Other Index Options'!$B:$B,E$147,'BSE - Other Index Options'!$I:$I,"MDAW*"))</f>
        <v/>
      </c>
      <c r="F224" s="26">
        <f>IF(SUMIFS('BSE - SENSEX Index Options'!$M:$M,'BSE - SENSEX Index Options'!$C:$C,$A224,'BSE - SENSEX Index Options'!$B:$B,F$147,'BSE - SENSEX Index Options'!$I:$I,"Weekly*")+SUMIFS('BSE - SENSEX Index Options'!$M:$M,'BSE - SENSEX Index Options'!$C:$C,$A224,'BSE - SENSEX Index Options'!$B:$B,F$147,'BSE - SENSEX Index Options'!$I:$I,"MDAW*")+SUMIFS('BSE - Other Index Options'!$M:$M,'BSE - Other Index Options'!$C:$C,$A224,'BSE - Other Index Options'!$B:$B,F$147,'BSE - Other Index Options'!$I:$I,"Weekly*")+SUMIFS('BSE - Other Index Options'!$M:$M,'BSE - Other Index Options'!$C:$C,$A224,'BSE - Other Index Options'!$B:$B,F$147,'BSE - Other Index Options'!$I:$I,"MDAW*")=0,"",SUMIFS('BSE - SENSEX Index Options'!$M:$M,'BSE - SENSEX Index Options'!$C:$C,$A224,'BSE - SENSEX Index Options'!$B:$B,F$147,'BSE - SENSEX Index Options'!$I:$I,"Weekly*")+SUMIFS('BSE - SENSEX Index Options'!$M:$M,'BSE - SENSEX Index Options'!$C:$C,$A224,'BSE - SENSEX Index Options'!$B:$B,F$147,'BSE - SENSEX Index Options'!$I:$I,"MDAW*")+SUMIFS('BSE - Other Index Options'!$M:$M,'BSE - Other Index Options'!$C:$C,$A224,'BSE - Other Index Options'!$B:$B,F$147,'BSE - Other Index Options'!$I:$I,"Weekly*")+SUMIFS('BSE - Other Index Options'!$M:$M,'BSE - Other Index Options'!$C:$C,$A224,'BSE - Other Index Options'!$B:$B,F$147,'BSE - Other Index Options'!$I:$I,"MDAW*"))</f>
        <v/>
      </c>
      <c r="G224" s="26">
        <f>IF(SUMIFS('BSE - SENSEX Index Options'!$M:$M,'BSE - SENSEX Index Options'!$C:$C,$A224,'BSE - SENSEX Index Options'!$B:$B,G$147,'BSE - SENSEX Index Options'!$I:$I,"Weekly*")+SUMIFS('BSE - SENSEX Index Options'!$M:$M,'BSE - SENSEX Index Options'!$C:$C,$A224,'BSE - SENSEX Index Options'!$B:$B,G$147,'BSE - SENSEX Index Options'!$I:$I,"MDAW*")+SUMIFS('BSE - Other Index Options'!$M:$M,'BSE - Other Index Options'!$C:$C,$A224,'BSE - Other Index Options'!$B:$B,G$147,'BSE - Other Index Options'!$I:$I,"Weekly*")+SUMIFS('BSE - Other Index Options'!$M:$M,'BSE - Other Index Options'!$C:$C,$A224,'BSE - Other Index Options'!$B:$B,G$147,'BSE - Other Index Options'!$I:$I,"MDAW*")=0,"",SUMIFS('BSE - SENSEX Index Options'!$M:$M,'BSE - SENSEX Index Options'!$C:$C,$A224,'BSE - SENSEX Index Options'!$B:$B,G$147,'BSE - SENSEX Index Options'!$I:$I,"Weekly*")+SUMIFS('BSE - SENSEX Index Options'!$M:$M,'BSE - SENSEX Index Options'!$C:$C,$A224,'BSE - SENSEX Index Options'!$B:$B,G$147,'BSE - SENSEX Index Options'!$I:$I,"MDAW*")+SUMIFS('BSE - Other Index Options'!$M:$M,'BSE - Other Index Options'!$C:$C,$A224,'BSE - Other Index Options'!$B:$B,G$147,'BSE - Other Index Options'!$I:$I,"Weekly*")+SUMIFS('BSE - Other Index Options'!$M:$M,'BSE - Other Index Options'!$C:$C,$A224,'BSE - Other Index Options'!$B:$B,G$147,'BSE - Other Index Options'!$I:$I,"MDAW*"))</f>
        <v/>
      </c>
      <c r="H224" s="26">
        <f>IF(SUM(B224:G224)=0,"",SUM(B224:G224))</f>
        <v/>
      </c>
    </row>
    <row r="225" hidden="1" outlineLevel="1">
      <c r="A225" t="inlineStr">
        <is>
          <t>Week4-Dec-2026</t>
        </is>
      </c>
      <c r="B225" s="26">
        <f>IF(SUMIFS('BSE - SENSEX Index Options'!$M:$M,'BSE - SENSEX Index Options'!$C:$C,$A225,'BSE - SENSEX Index Options'!$B:$B,B$147,'BSE - SENSEX Index Options'!$I:$I,"Weekly*")+SUMIFS('BSE - SENSEX Index Options'!$M:$M,'BSE - SENSEX Index Options'!$C:$C,$A225,'BSE - SENSEX Index Options'!$B:$B,B$147,'BSE - SENSEX Index Options'!$I:$I,"MDAW*")+SUMIFS('BSE - Other Index Options'!$M:$M,'BSE - Other Index Options'!$C:$C,$A225,'BSE - Other Index Options'!$B:$B,B$147,'BSE - Other Index Options'!$I:$I,"Weekly*")+SUMIFS('BSE - Other Index Options'!$M:$M,'BSE - Other Index Options'!$C:$C,$A225,'BSE - Other Index Options'!$B:$B,B$147,'BSE - Other Index Options'!$I:$I,"MDAW*")=0,"",SUMIFS('BSE - SENSEX Index Options'!$M:$M,'BSE - SENSEX Index Options'!$C:$C,$A225,'BSE - SENSEX Index Options'!$B:$B,B$147,'BSE - SENSEX Index Options'!$I:$I,"Weekly*")+SUMIFS('BSE - SENSEX Index Options'!$M:$M,'BSE - SENSEX Index Options'!$C:$C,$A225,'BSE - SENSEX Index Options'!$B:$B,B$147,'BSE - SENSEX Index Options'!$I:$I,"MDAW*")+SUMIFS('BSE - Other Index Options'!$M:$M,'BSE - Other Index Options'!$C:$C,$A225,'BSE - Other Index Options'!$B:$B,B$147,'BSE - Other Index Options'!$I:$I,"Weekly*")+SUMIFS('BSE - Other Index Options'!$M:$M,'BSE - Other Index Options'!$C:$C,$A225,'BSE - Other Index Options'!$B:$B,B$147,'BSE - Other Index Options'!$I:$I,"MDAW*"))</f>
        <v/>
      </c>
      <c r="C225" s="26">
        <f>IF(SUMIFS('BSE - SENSEX Index Options'!$M:$M,'BSE - SENSEX Index Options'!$C:$C,$A225,'BSE - SENSEX Index Options'!$B:$B,C$147,'BSE - SENSEX Index Options'!$I:$I,"Weekly*")+SUMIFS('BSE - SENSEX Index Options'!$M:$M,'BSE - SENSEX Index Options'!$C:$C,$A225,'BSE - SENSEX Index Options'!$B:$B,C$147,'BSE - SENSEX Index Options'!$I:$I,"MDAW*")+SUMIFS('BSE - Other Index Options'!$M:$M,'BSE - Other Index Options'!$C:$C,$A225,'BSE - Other Index Options'!$B:$B,C$147,'BSE - Other Index Options'!$I:$I,"Weekly*")+SUMIFS('BSE - Other Index Options'!$M:$M,'BSE - Other Index Options'!$C:$C,$A225,'BSE - Other Index Options'!$B:$B,C$147,'BSE - Other Index Options'!$I:$I,"MDAW*")=0,"",SUMIFS('BSE - SENSEX Index Options'!$M:$M,'BSE - SENSEX Index Options'!$C:$C,$A225,'BSE - SENSEX Index Options'!$B:$B,C$147,'BSE - SENSEX Index Options'!$I:$I,"Weekly*")+SUMIFS('BSE - SENSEX Index Options'!$M:$M,'BSE - SENSEX Index Options'!$C:$C,$A225,'BSE - SENSEX Index Options'!$B:$B,C$147,'BSE - SENSEX Index Options'!$I:$I,"MDAW*")+SUMIFS('BSE - Other Index Options'!$M:$M,'BSE - Other Index Options'!$C:$C,$A225,'BSE - Other Index Options'!$B:$B,C$147,'BSE - Other Index Options'!$I:$I,"Weekly*")+SUMIFS('BSE - Other Index Options'!$M:$M,'BSE - Other Index Options'!$C:$C,$A225,'BSE - Other Index Options'!$B:$B,C$147,'BSE - Other Index Options'!$I:$I,"MDAW*"))</f>
        <v/>
      </c>
      <c r="D225" s="26">
        <f>IF(SUMIFS('BSE - SENSEX Index Options'!$M:$M,'BSE - SENSEX Index Options'!$C:$C,$A225,'BSE - SENSEX Index Options'!$B:$B,D$147,'BSE - SENSEX Index Options'!$I:$I,"Weekly*")+SUMIFS('BSE - SENSEX Index Options'!$M:$M,'BSE - SENSEX Index Options'!$C:$C,$A225,'BSE - SENSEX Index Options'!$B:$B,D$147,'BSE - SENSEX Index Options'!$I:$I,"MDAW*")+SUMIFS('BSE - Other Index Options'!$M:$M,'BSE - Other Index Options'!$C:$C,$A225,'BSE - Other Index Options'!$B:$B,D$147,'BSE - Other Index Options'!$I:$I,"Weekly*")+SUMIFS('BSE - Other Index Options'!$M:$M,'BSE - Other Index Options'!$C:$C,$A225,'BSE - Other Index Options'!$B:$B,D$147,'BSE - Other Index Options'!$I:$I,"MDAW*")=0,"",SUMIFS('BSE - SENSEX Index Options'!$M:$M,'BSE - SENSEX Index Options'!$C:$C,$A225,'BSE - SENSEX Index Options'!$B:$B,D$147,'BSE - SENSEX Index Options'!$I:$I,"Weekly*")+SUMIFS('BSE - SENSEX Index Options'!$M:$M,'BSE - SENSEX Index Options'!$C:$C,$A225,'BSE - SENSEX Index Options'!$B:$B,D$147,'BSE - SENSEX Index Options'!$I:$I,"MDAW*")+SUMIFS('BSE - Other Index Options'!$M:$M,'BSE - Other Index Options'!$C:$C,$A225,'BSE - Other Index Options'!$B:$B,D$147,'BSE - Other Index Options'!$I:$I,"Weekly*")+SUMIFS('BSE - Other Index Options'!$M:$M,'BSE - Other Index Options'!$C:$C,$A225,'BSE - Other Index Options'!$B:$B,D$147,'BSE - Other Index Options'!$I:$I,"MDAW*"))</f>
        <v/>
      </c>
      <c r="E225" s="26">
        <f>IF(SUMIFS('BSE - SENSEX Index Options'!$M:$M,'BSE - SENSEX Index Options'!$C:$C,$A225,'BSE - SENSEX Index Options'!$B:$B,E$147,'BSE - SENSEX Index Options'!$I:$I,"Weekly*")+SUMIFS('BSE - SENSEX Index Options'!$M:$M,'BSE - SENSEX Index Options'!$C:$C,$A225,'BSE - SENSEX Index Options'!$B:$B,E$147,'BSE - SENSEX Index Options'!$I:$I,"MDAW*")+SUMIFS('BSE - Other Index Options'!$M:$M,'BSE - Other Index Options'!$C:$C,$A225,'BSE - Other Index Options'!$B:$B,E$147,'BSE - Other Index Options'!$I:$I,"Weekly*")+SUMIFS('BSE - Other Index Options'!$M:$M,'BSE - Other Index Options'!$C:$C,$A225,'BSE - Other Index Options'!$B:$B,E$147,'BSE - Other Index Options'!$I:$I,"MDAW*")=0,"",SUMIFS('BSE - SENSEX Index Options'!$M:$M,'BSE - SENSEX Index Options'!$C:$C,$A225,'BSE - SENSEX Index Options'!$B:$B,E$147,'BSE - SENSEX Index Options'!$I:$I,"Weekly*")+SUMIFS('BSE - SENSEX Index Options'!$M:$M,'BSE - SENSEX Index Options'!$C:$C,$A225,'BSE - SENSEX Index Options'!$B:$B,E$147,'BSE - SENSEX Index Options'!$I:$I,"MDAW*")+SUMIFS('BSE - Other Index Options'!$M:$M,'BSE - Other Index Options'!$C:$C,$A225,'BSE - Other Index Options'!$B:$B,E$147,'BSE - Other Index Options'!$I:$I,"Weekly*")+SUMIFS('BSE - Other Index Options'!$M:$M,'BSE - Other Index Options'!$C:$C,$A225,'BSE - Other Index Options'!$B:$B,E$147,'BSE - Other Index Options'!$I:$I,"MDAW*"))</f>
        <v/>
      </c>
      <c r="F225" s="26">
        <f>IF(SUMIFS('BSE - SENSEX Index Options'!$M:$M,'BSE - SENSEX Index Options'!$C:$C,$A225,'BSE - SENSEX Index Options'!$B:$B,F$147,'BSE - SENSEX Index Options'!$I:$I,"Weekly*")+SUMIFS('BSE - SENSEX Index Options'!$M:$M,'BSE - SENSEX Index Options'!$C:$C,$A225,'BSE - SENSEX Index Options'!$B:$B,F$147,'BSE - SENSEX Index Options'!$I:$I,"MDAW*")+SUMIFS('BSE - Other Index Options'!$M:$M,'BSE - Other Index Options'!$C:$C,$A225,'BSE - Other Index Options'!$B:$B,F$147,'BSE - Other Index Options'!$I:$I,"Weekly*")+SUMIFS('BSE - Other Index Options'!$M:$M,'BSE - Other Index Options'!$C:$C,$A225,'BSE - Other Index Options'!$B:$B,F$147,'BSE - Other Index Options'!$I:$I,"MDAW*")=0,"",SUMIFS('BSE - SENSEX Index Options'!$M:$M,'BSE - SENSEX Index Options'!$C:$C,$A225,'BSE - SENSEX Index Options'!$B:$B,F$147,'BSE - SENSEX Index Options'!$I:$I,"Weekly*")+SUMIFS('BSE - SENSEX Index Options'!$M:$M,'BSE - SENSEX Index Options'!$C:$C,$A225,'BSE - SENSEX Index Options'!$B:$B,F$147,'BSE - SENSEX Index Options'!$I:$I,"MDAW*")+SUMIFS('BSE - Other Index Options'!$M:$M,'BSE - Other Index Options'!$C:$C,$A225,'BSE - Other Index Options'!$B:$B,F$147,'BSE - Other Index Options'!$I:$I,"Weekly*")+SUMIFS('BSE - Other Index Options'!$M:$M,'BSE - Other Index Options'!$C:$C,$A225,'BSE - Other Index Options'!$B:$B,F$147,'BSE - Other Index Options'!$I:$I,"MDAW*"))</f>
        <v/>
      </c>
      <c r="G225" s="26">
        <f>IF(SUMIFS('BSE - SENSEX Index Options'!$M:$M,'BSE - SENSEX Index Options'!$C:$C,$A225,'BSE - SENSEX Index Options'!$B:$B,G$147,'BSE - SENSEX Index Options'!$I:$I,"Weekly*")+SUMIFS('BSE - SENSEX Index Options'!$M:$M,'BSE - SENSEX Index Options'!$C:$C,$A225,'BSE - SENSEX Index Options'!$B:$B,G$147,'BSE - SENSEX Index Options'!$I:$I,"MDAW*")+SUMIFS('BSE - Other Index Options'!$M:$M,'BSE - Other Index Options'!$C:$C,$A225,'BSE - Other Index Options'!$B:$B,G$147,'BSE - Other Index Options'!$I:$I,"Weekly*")+SUMIFS('BSE - Other Index Options'!$M:$M,'BSE - Other Index Options'!$C:$C,$A225,'BSE - Other Index Options'!$B:$B,G$147,'BSE - Other Index Options'!$I:$I,"MDAW*")=0,"",SUMIFS('BSE - SENSEX Index Options'!$M:$M,'BSE - SENSEX Index Options'!$C:$C,$A225,'BSE - SENSEX Index Options'!$B:$B,G$147,'BSE - SENSEX Index Options'!$I:$I,"Weekly*")+SUMIFS('BSE - SENSEX Index Options'!$M:$M,'BSE - SENSEX Index Options'!$C:$C,$A225,'BSE - SENSEX Index Options'!$B:$B,G$147,'BSE - SENSEX Index Options'!$I:$I,"MDAW*")+SUMIFS('BSE - Other Index Options'!$M:$M,'BSE - Other Index Options'!$C:$C,$A225,'BSE - Other Index Options'!$B:$B,G$147,'BSE - Other Index Options'!$I:$I,"Weekly*")+SUMIFS('BSE - Other Index Options'!$M:$M,'BSE - Other Index Options'!$C:$C,$A225,'BSE - Other Index Options'!$B:$B,G$147,'BSE - Other Index Options'!$I:$I,"MDAW*"))</f>
        <v/>
      </c>
      <c r="H225" s="26">
        <f>IF(SUM(B225:G225)=0,"",SUM(B225:G225))</f>
        <v/>
      </c>
    </row>
    <row r="226" hidden="1" outlineLevel="1">
      <c r="A226" t="inlineStr">
        <is>
          <t>Week5-Dec-2026</t>
        </is>
      </c>
      <c r="B226" s="26">
        <f>IF(SUMIFS('BSE - SENSEX Index Options'!$M:$M,'BSE - SENSEX Index Options'!$C:$C,$A226,'BSE - SENSEX Index Options'!$B:$B,B$147,'BSE - SENSEX Index Options'!$I:$I,"Weekly*")+SUMIFS('BSE - SENSEX Index Options'!$M:$M,'BSE - SENSEX Index Options'!$C:$C,$A226,'BSE - SENSEX Index Options'!$B:$B,B$147,'BSE - SENSEX Index Options'!$I:$I,"MDAW*")+SUMIFS('BSE - Other Index Options'!$M:$M,'BSE - Other Index Options'!$C:$C,$A226,'BSE - Other Index Options'!$B:$B,B$147,'BSE - Other Index Options'!$I:$I,"Weekly*")+SUMIFS('BSE - Other Index Options'!$M:$M,'BSE - Other Index Options'!$C:$C,$A226,'BSE - Other Index Options'!$B:$B,B$147,'BSE - Other Index Options'!$I:$I,"MDAW*")=0,"",SUMIFS('BSE - SENSEX Index Options'!$M:$M,'BSE - SENSEX Index Options'!$C:$C,$A226,'BSE - SENSEX Index Options'!$B:$B,B$147,'BSE - SENSEX Index Options'!$I:$I,"Weekly*")+SUMIFS('BSE - SENSEX Index Options'!$M:$M,'BSE - SENSEX Index Options'!$C:$C,$A226,'BSE - SENSEX Index Options'!$B:$B,B$147,'BSE - SENSEX Index Options'!$I:$I,"MDAW*")+SUMIFS('BSE - Other Index Options'!$M:$M,'BSE - Other Index Options'!$C:$C,$A226,'BSE - Other Index Options'!$B:$B,B$147,'BSE - Other Index Options'!$I:$I,"Weekly*")+SUMIFS('BSE - Other Index Options'!$M:$M,'BSE - Other Index Options'!$C:$C,$A226,'BSE - Other Index Options'!$B:$B,B$147,'BSE - Other Index Options'!$I:$I,"MDAW*"))</f>
        <v/>
      </c>
      <c r="C226" s="26">
        <f>IF(SUMIFS('BSE - SENSEX Index Options'!$M:$M,'BSE - SENSEX Index Options'!$C:$C,$A226,'BSE - SENSEX Index Options'!$B:$B,C$147,'BSE - SENSEX Index Options'!$I:$I,"Weekly*")+SUMIFS('BSE - SENSEX Index Options'!$M:$M,'BSE - SENSEX Index Options'!$C:$C,$A226,'BSE - SENSEX Index Options'!$B:$B,C$147,'BSE - SENSEX Index Options'!$I:$I,"MDAW*")+SUMIFS('BSE - Other Index Options'!$M:$M,'BSE - Other Index Options'!$C:$C,$A226,'BSE - Other Index Options'!$B:$B,C$147,'BSE - Other Index Options'!$I:$I,"Weekly*")+SUMIFS('BSE - Other Index Options'!$M:$M,'BSE - Other Index Options'!$C:$C,$A226,'BSE - Other Index Options'!$B:$B,C$147,'BSE - Other Index Options'!$I:$I,"MDAW*")=0,"",SUMIFS('BSE - SENSEX Index Options'!$M:$M,'BSE - SENSEX Index Options'!$C:$C,$A226,'BSE - SENSEX Index Options'!$B:$B,C$147,'BSE - SENSEX Index Options'!$I:$I,"Weekly*")+SUMIFS('BSE - SENSEX Index Options'!$M:$M,'BSE - SENSEX Index Options'!$C:$C,$A226,'BSE - SENSEX Index Options'!$B:$B,C$147,'BSE - SENSEX Index Options'!$I:$I,"MDAW*")+SUMIFS('BSE - Other Index Options'!$M:$M,'BSE - Other Index Options'!$C:$C,$A226,'BSE - Other Index Options'!$B:$B,C$147,'BSE - Other Index Options'!$I:$I,"Weekly*")+SUMIFS('BSE - Other Index Options'!$M:$M,'BSE - Other Index Options'!$C:$C,$A226,'BSE - Other Index Options'!$B:$B,C$147,'BSE - Other Index Options'!$I:$I,"MDAW*"))</f>
        <v/>
      </c>
      <c r="D226" s="26">
        <f>IF(SUMIFS('BSE - SENSEX Index Options'!$M:$M,'BSE - SENSEX Index Options'!$C:$C,$A226,'BSE - SENSEX Index Options'!$B:$B,D$147,'BSE - SENSEX Index Options'!$I:$I,"Weekly*")+SUMIFS('BSE - SENSEX Index Options'!$M:$M,'BSE - SENSEX Index Options'!$C:$C,$A226,'BSE - SENSEX Index Options'!$B:$B,D$147,'BSE - SENSEX Index Options'!$I:$I,"MDAW*")+SUMIFS('BSE - Other Index Options'!$M:$M,'BSE - Other Index Options'!$C:$C,$A226,'BSE - Other Index Options'!$B:$B,D$147,'BSE - Other Index Options'!$I:$I,"Weekly*")+SUMIFS('BSE - Other Index Options'!$M:$M,'BSE - Other Index Options'!$C:$C,$A226,'BSE - Other Index Options'!$B:$B,D$147,'BSE - Other Index Options'!$I:$I,"MDAW*")=0,"",SUMIFS('BSE - SENSEX Index Options'!$M:$M,'BSE - SENSEX Index Options'!$C:$C,$A226,'BSE - SENSEX Index Options'!$B:$B,D$147,'BSE - SENSEX Index Options'!$I:$I,"Weekly*")+SUMIFS('BSE - SENSEX Index Options'!$M:$M,'BSE - SENSEX Index Options'!$C:$C,$A226,'BSE - SENSEX Index Options'!$B:$B,D$147,'BSE - SENSEX Index Options'!$I:$I,"MDAW*")+SUMIFS('BSE - Other Index Options'!$M:$M,'BSE - Other Index Options'!$C:$C,$A226,'BSE - Other Index Options'!$B:$B,D$147,'BSE - Other Index Options'!$I:$I,"Weekly*")+SUMIFS('BSE - Other Index Options'!$M:$M,'BSE - Other Index Options'!$C:$C,$A226,'BSE - Other Index Options'!$B:$B,D$147,'BSE - Other Index Options'!$I:$I,"MDAW*"))</f>
        <v/>
      </c>
      <c r="E226" s="26">
        <f>IF(SUMIFS('BSE - SENSEX Index Options'!$M:$M,'BSE - SENSEX Index Options'!$C:$C,$A226,'BSE - SENSEX Index Options'!$B:$B,E$147,'BSE - SENSEX Index Options'!$I:$I,"Weekly*")+SUMIFS('BSE - SENSEX Index Options'!$M:$M,'BSE - SENSEX Index Options'!$C:$C,$A226,'BSE - SENSEX Index Options'!$B:$B,E$147,'BSE - SENSEX Index Options'!$I:$I,"MDAW*")+SUMIFS('BSE - Other Index Options'!$M:$M,'BSE - Other Index Options'!$C:$C,$A226,'BSE - Other Index Options'!$B:$B,E$147,'BSE - Other Index Options'!$I:$I,"Weekly*")+SUMIFS('BSE - Other Index Options'!$M:$M,'BSE - Other Index Options'!$C:$C,$A226,'BSE - Other Index Options'!$B:$B,E$147,'BSE - Other Index Options'!$I:$I,"MDAW*")=0,"",SUMIFS('BSE - SENSEX Index Options'!$M:$M,'BSE - SENSEX Index Options'!$C:$C,$A226,'BSE - SENSEX Index Options'!$B:$B,E$147,'BSE - SENSEX Index Options'!$I:$I,"Weekly*")+SUMIFS('BSE - SENSEX Index Options'!$M:$M,'BSE - SENSEX Index Options'!$C:$C,$A226,'BSE - SENSEX Index Options'!$B:$B,E$147,'BSE - SENSEX Index Options'!$I:$I,"MDAW*")+SUMIFS('BSE - Other Index Options'!$M:$M,'BSE - Other Index Options'!$C:$C,$A226,'BSE - Other Index Options'!$B:$B,E$147,'BSE - Other Index Options'!$I:$I,"Weekly*")+SUMIFS('BSE - Other Index Options'!$M:$M,'BSE - Other Index Options'!$C:$C,$A226,'BSE - Other Index Options'!$B:$B,E$147,'BSE - Other Index Options'!$I:$I,"MDAW*"))</f>
        <v/>
      </c>
      <c r="F226" s="26">
        <f>IF(SUMIFS('BSE - SENSEX Index Options'!$M:$M,'BSE - SENSEX Index Options'!$C:$C,$A226,'BSE - SENSEX Index Options'!$B:$B,F$147,'BSE - SENSEX Index Options'!$I:$I,"Weekly*")+SUMIFS('BSE - SENSEX Index Options'!$M:$M,'BSE - SENSEX Index Options'!$C:$C,$A226,'BSE - SENSEX Index Options'!$B:$B,F$147,'BSE - SENSEX Index Options'!$I:$I,"MDAW*")+SUMIFS('BSE - Other Index Options'!$M:$M,'BSE - Other Index Options'!$C:$C,$A226,'BSE - Other Index Options'!$B:$B,F$147,'BSE - Other Index Options'!$I:$I,"Weekly*")+SUMIFS('BSE - Other Index Options'!$M:$M,'BSE - Other Index Options'!$C:$C,$A226,'BSE - Other Index Options'!$B:$B,F$147,'BSE - Other Index Options'!$I:$I,"MDAW*")=0,"",SUMIFS('BSE - SENSEX Index Options'!$M:$M,'BSE - SENSEX Index Options'!$C:$C,$A226,'BSE - SENSEX Index Options'!$B:$B,F$147,'BSE - SENSEX Index Options'!$I:$I,"Weekly*")+SUMIFS('BSE - SENSEX Index Options'!$M:$M,'BSE - SENSEX Index Options'!$C:$C,$A226,'BSE - SENSEX Index Options'!$B:$B,F$147,'BSE - SENSEX Index Options'!$I:$I,"MDAW*")+SUMIFS('BSE - Other Index Options'!$M:$M,'BSE - Other Index Options'!$C:$C,$A226,'BSE - Other Index Options'!$B:$B,F$147,'BSE - Other Index Options'!$I:$I,"Weekly*")+SUMIFS('BSE - Other Index Options'!$M:$M,'BSE - Other Index Options'!$C:$C,$A226,'BSE - Other Index Options'!$B:$B,F$147,'BSE - Other Index Options'!$I:$I,"MDAW*"))</f>
        <v/>
      </c>
      <c r="G226" s="26">
        <f>IF(SUMIFS('BSE - SENSEX Index Options'!$M:$M,'BSE - SENSEX Index Options'!$C:$C,$A226,'BSE - SENSEX Index Options'!$B:$B,G$147,'BSE - SENSEX Index Options'!$I:$I,"Weekly*")+SUMIFS('BSE - SENSEX Index Options'!$M:$M,'BSE - SENSEX Index Options'!$C:$C,$A226,'BSE - SENSEX Index Options'!$B:$B,G$147,'BSE - SENSEX Index Options'!$I:$I,"MDAW*")+SUMIFS('BSE - Other Index Options'!$M:$M,'BSE - Other Index Options'!$C:$C,$A226,'BSE - Other Index Options'!$B:$B,G$147,'BSE - Other Index Options'!$I:$I,"Weekly*")+SUMIFS('BSE - Other Index Options'!$M:$M,'BSE - Other Index Options'!$C:$C,$A226,'BSE - Other Index Options'!$B:$B,G$147,'BSE - Other Index Options'!$I:$I,"MDAW*")=0,"",SUMIFS('BSE - SENSEX Index Options'!$M:$M,'BSE - SENSEX Index Options'!$C:$C,$A226,'BSE - SENSEX Index Options'!$B:$B,G$147,'BSE - SENSEX Index Options'!$I:$I,"Weekly*")+SUMIFS('BSE - SENSEX Index Options'!$M:$M,'BSE - SENSEX Index Options'!$C:$C,$A226,'BSE - SENSEX Index Options'!$B:$B,G$147,'BSE - SENSEX Index Options'!$I:$I,"MDAW*")+SUMIFS('BSE - Other Index Options'!$M:$M,'BSE - Other Index Options'!$C:$C,$A226,'BSE - Other Index Options'!$B:$B,G$147,'BSE - Other Index Options'!$I:$I,"Weekly*")+SUMIFS('BSE - Other Index Options'!$M:$M,'BSE - Other Index Options'!$C:$C,$A226,'BSE - Other Index Options'!$B:$B,G$147,'BSE - Other Index Options'!$I:$I,"MDAW*"))</f>
        <v/>
      </c>
      <c r="H226" s="26">
        <f>IF(SUM(B226:G226)=0,"",SUM(B226:G226))</f>
        <v/>
      </c>
    </row>
    <row r="227" hidden="1" outlineLevel="1">
      <c r="A227" t="inlineStr">
        <is>
          <t>Week1-Jan-2027</t>
        </is>
      </c>
      <c r="B227" s="26">
        <f>IF(SUMIFS('BSE - SENSEX Index Options'!$M:$M,'BSE - SENSEX Index Options'!$C:$C,$A227,'BSE - SENSEX Index Options'!$B:$B,B$147,'BSE - SENSEX Index Options'!$I:$I,"Weekly*")+SUMIFS('BSE - SENSEX Index Options'!$M:$M,'BSE - SENSEX Index Options'!$C:$C,$A227,'BSE - SENSEX Index Options'!$B:$B,B$147,'BSE - SENSEX Index Options'!$I:$I,"MDAW*")+SUMIFS('BSE - Other Index Options'!$M:$M,'BSE - Other Index Options'!$C:$C,$A227,'BSE - Other Index Options'!$B:$B,B$147,'BSE - Other Index Options'!$I:$I,"Weekly*")+SUMIFS('BSE - Other Index Options'!$M:$M,'BSE - Other Index Options'!$C:$C,$A227,'BSE - Other Index Options'!$B:$B,B$147,'BSE - Other Index Options'!$I:$I,"MDAW*")=0,"",SUMIFS('BSE - SENSEX Index Options'!$M:$M,'BSE - SENSEX Index Options'!$C:$C,$A227,'BSE - SENSEX Index Options'!$B:$B,B$147,'BSE - SENSEX Index Options'!$I:$I,"Weekly*")+SUMIFS('BSE - SENSEX Index Options'!$M:$M,'BSE - SENSEX Index Options'!$C:$C,$A227,'BSE - SENSEX Index Options'!$B:$B,B$147,'BSE - SENSEX Index Options'!$I:$I,"MDAW*")+SUMIFS('BSE - Other Index Options'!$M:$M,'BSE - Other Index Options'!$C:$C,$A227,'BSE - Other Index Options'!$B:$B,B$147,'BSE - Other Index Options'!$I:$I,"Weekly*")+SUMIFS('BSE - Other Index Options'!$M:$M,'BSE - Other Index Options'!$C:$C,$A227,'BSE - Other Index Options'!$B:$B,B$147,'BSE - Other Index Options'!$I:$I,"MDAW*"))</f>
        <v/>
      </c>
      <c r="C227" s="26">
        <f>IF(SUMIFS('BSE - SENSEX Index Options'!$M:$M,'BSE - SENSEX Index Options'!$C:$C,$A227,'BSE - SENSEX Index Options'!$B:$B,C$147,'BSE - SENSEX Index Options'!$I:$I,"Weekly*")+SUMIFS('BSE - SENSEX Index Options'!$M:$M,'BSE - SENSEX Index Options'!$C:$C,$A227,'BSE - SENSEX Index Options'!$B:$B,C$147,'BSE - SENSEX Index Options'!$I:$I,"MDAW*")+SUMIFS('BSE - Other Index Options'!$M:$M,'BSE - Other Index Options'!$C:$C,$A227,'BSE - Other Index Options'!$B:$B,C$147,'BSE - Other Index Options'!$I:$I,"Weekly*")+SUMIFS('BSE - Other Index Options'!$M:$M,'BSE - Other Index Options'!$C:$C,$A227,'BSE - Other Index Options'!$B:$B,C$147,'BSE - Other Index Options'!$I:$I,"MDAW*")=0,"",SUMIFS('BSE - SENSEX Index Options'!$M:$M,'BSE - SENSEX Index Options'!$C:$C,$A227,'BSE - SENSEX Index Options'!$B:$B,C$147,'BSE - SENSEX Index Options'!$I:$I,"Weekly*")+SUMIFS('BSE - SENSEX Index Options'!$M:$M,'BSE - SENSEX Index Options'!$C:$C,$A227,'BSE - SENSEX Index Options'!$B:$B,C$147,'BSE - SENSEX Index Options'!$I:$I,"MDAW*")+SUMIFS('BSE - Other Index Options'!$M:$M,'BSE - Other Index Options'!$C:$C,$A227,'BSE - Other Index Options'!$B:$B,C$147,'BSE - Other Index Options'!$I:$I,"Weekly*")+SUMIFS('BSE - Other Index Options'!$M:$M,'BSE - Other Index Options'!$C:$C,$A227,'BSE - Other Index Options'!$B:$B,C$147,'BSE - Other Index Options'!$I:$I,"MDAW*"))</f>
        <v/>
      </c>
      <c r="D227" s="26">
        <f>IF(SUMIFS('BSE - SENSEX Index Options'!$M:$M,'BSE - SENSEX Index Options'!$C:$C,$A227,'BSE - SENSEX Index Options'!$B:$B,D$147,'BSE - SENSEX Index Options'!$I:$I,"Weekly*")+SUMIFS('BSE - SENSEX Index Options'!$M:$M,'BSE - SENSEX Index Options'!$C:$C,$A227,'BSE - SENSEX Index Options'!$B:$B,D$147,'BSE - SENSEX Index Options'!$I:$I,"MDAW*")+SUMIFS('BSE - Other Index Options'!$M:$M,'BSE - Other Index Options'!$C:$C,$A227,'BSE - Other Index Options'!$B:$B,D$147,'BSE - Other Index Options'!$I:$I,"Weekly*")+SUMIFS('BSE - Other Index Options'!$M:$M,'BSE - Other Index Options'!$C:$C,$A227,'BSE - Other Index Options'!$B:$B,D$147,'BSE - Other Index Options'!$I:$I,"MDAW*")=0,"",SUMIFS('BSE - SENSEX Index Options'!$M:$M,'BSE - SENSEX Index Options'!$C:$C,$A227,'BSE - SENSEX Index Options'!$B:$B,D$147,'BSE - SENSEX Index Options'!$I:$I,"Weekly*")+SUMIFS('BSE - SENSEX Index Options'!$M:$M,'BSE - SENSEX Index Options'!$C:$C,$A227,'BSE - SENSEX Index Options'!$B:$B,D$147,'BSE - SENSEX Index Options'!$I:$I,"MDAW*")+SUMIFS('BSE - Other Index Options'!$M:$M,'BSE - Other Index Options'!$C:$C,$A227,'BSE - Other Index Options'!$B:$B,D$147,'BSE - Other Index Options'!$I:$I,"Weekly*")+SUMIFS('BSE - Other Index Options'!$M:$M,'BSE - Other Index Options'!$C:$C,$A227,'BSE - Other Index Options'!$B:$B,D$147,'BSE - Other Index Options'!$I:$I,"MDAW*"))</f>
        <v/>
      </c>
      <c r="E227" s="26">
        <f>IF(SUMIFS('BSE - SENSEX Index Options'!$M:$M,'BSE - SENSEX Index Options'!$C:$C,$A227,'BSE - SENSEX Index Options'!$B:$B,E$147,'BSE - SENSEX Index Options'!$I:$I,"Weekly*")+SUMIFS('BSE - SENSEX Index Options'!$M:$M,'BSE - SENSEX Index Options'!$C:$C,$A227,'BSE - SENSEX Index Options'!$B:$B,E$147,'BSE - SENSEX Index Options'!$I:$I,"MDAW*")+SUMIFS('BSE - Other Index Options'!$M:$M,'BSE - Other Index Options'!$C:$C,$A227,'BSE - Other Index Options'!$B:$B,E$147,'BSE - Other Index Options'!$I:$I,"Weekly*")+SUMIFS('BSE - Other Index Options'!$M:$M,'BSE - Other Index Options'!$C:$C,$A227,'BSE - Other Index Options'!$B:$B,E$147,'BSE - Other Index Options'!$I:$I,"MDAW*")=0,"",SUMIFS('BSE - SENSEX Index Options'!$M:$M,'BSE - SENSEX Index Options'!$C:$C,$A227,'BSE - SENSEX Index Options'!$B:$B,E$147,'BSE - SENSEX Index Options'!$I:$I,"Weekly*")+SUMIFS('BSE - SENSEX Index Options'!$M:$M,'BSE - SENSEX Index Options'!$C:$C,$A227,'BSE - SENSEX Index Options'!$B:$B,E$147,'BSE - SENSEX Index Options'!$I:$I,"MDAW*")+SUMIFS('BSE - Other Index Options'!$M:$M,'BSE - Other Index Options'!$C:$C,$A227,'BSE - Other Index Options'!$B:$B,E$147,'BSE - Other Index Options'!$I:$I,"Weekly*")+SUMIFS('BSE - Other Index Options'!$M:$M,'BSE - Other Index Options'!$C:$C,$A227,'BSE - Other Index Options'!$B:$B,E$147,'BSE - Other Index Options'!$I:$I,"MDAW*"))</f>
        <v/>
      </c>
      <c r="F227" s="26">
        <f>IF(SUMIFS('BSE - SENSEX Index Options'!$M:$M,'BSE - SENSEX Index Options'!$C:$C,$A227,'BSE - SENSEX Index Options'!$B:$B,F$147,'BSE - SENSEX Index Options'!$I:$I,"Weekly*")+SUMIFS('BSE - SENSEX Index Options'!$M:$M,'BSE - SENSEX Index Options'!$C:$C,$A227,'BSE - SENSEX Index Options'!$B:$B,F$147,'BSE - SENSEX Index Options'!$I:$I,"MDAW*")+SUMIFS('BSE - Other Index Options'!$M:$M,'BSE - Other Index Options'!$C:$C,$A227,'BSE - Other Index Options'!$B:$B,F$147,'BSE - Other Index Options'!$I:$I,"Weekly*")+SUMIFS('BSE - Other Index Options'!$M:$M,'BSE - Other Index Options'!$C:$C,$A227,'BSE - Other Index Options'!$B:$B,F$147,'BSE - Other Index Options'!$I:$I,"MDAW*")=0,"",SUMIFS('BSE - SENSEX Index Options'!$M:$M,'BSE - SENSEX Index Options'!$C:$C,$A227,'BSE - SENSEX Index Options'!$B:$B,F$147,'BSE - SENSEX Index Options'!$I:$I,"Weekly*")+SUMIFS('BSE - SENSEX Index Options'!$M:$M,'BSE - SENSEX Index Options'!$C:$C,$A227,'BSE - SENSEX Index Options'!$B:$B,F$147,'BSE - SENSEX Index Options'!$I:$I,"MDAW*")+SUMIFS('BSE - Other Index Options'!$M:$M,'BSE - Other Index Options'!$C:$C,$A227,'BSE - Other Index Options'!$B:$B,F$147,'BSE - Other Index Options'!$I:$I,"Weekly*")+SUMIFS('BSE - Other Index Options'!$M:$M,'BSE - Other Index Options'!$C:$C,$A227,'BSE - Other Index Options'!$B:$B,F$147,'BSE - Other Index Options'!$I:$I,"MDAW*"))</f>
        <v/>
      </c>
      <c r="G227" s="26">
        <f>IF(SUMIFS('BSE - SENSEX Index Options'!$M:$M,'BSE - SENSEX Index Options'!$C:$C,$A227,'BSE - SENSEX Index Options'!$B:$B,G$147,'BSE - SENSEX Index Options'!$I:$I,"Weekly*")+SUMIFS('BSE - SENSEX Index Options'!$M:$M,'BSE - SENSEX Index Options'!$C:$C,$A227,'BSE - SENSEX Index Options'!$B:$B,G$147,'BSE - SENSEX Index Options'!$I:$I,"MDAW*")+SUMIFS('BSE - Other Index Options'!$M:$M,'BSE - Other Index Options'!$C:$C,$A227,'BSE - Other Index Options'!$B:$B,G$147,'BSE - Other Index Options'!$I:$I,"Weekly*")+SUMIFS('BSE - Other Index Options'!$M:$M,'BSE - Other Index Options'!$C:$C,$A227,'BSE - Other Index Options'!$B:$B,G$147,'BSE - Other Index Options'!$I:$I,"MDAW*")=0,"",SUMIFS('BSE - SENSEX Index Options'!$M:$M,'BSE - SENSEX Index Options'!$C:$C,$A227,'BSE - SENSEX Index Options'!$B:$B,G$147,'BSE - SENSEX Index Options'!$I:$I,"Weekly*")+SUMIFS('BSE - SENSEX Index Options'!$M:$M,'BSE - SENSEX Index Options'!$C:$C,$A227,'BSE - SENSEX Index Options'!$B:$B,G$147,'BSE - SENSEX Index Options'!$I:$I,"MDAW*")+SUMIFS('BSE - Other Index Options'!$M:$M,'BSE - Other Index Options'!$C:$C,$A227,'BSE - Other Index Options'!$B:$B,G$147,'BSE - Other Index Options'!$I:$I,"Weekly*")+SUMIFS('BSE - Other Index Options'!$M:$M,'BSE - Other Index Options'!$C:$C,$A227,'BSE - Other Index Options'!$B:$B,G$147,'BSE - Other Index Options'!$I:$I,"MDAW*"))</f>
        <v/>
      </c>
      <c r="H227" s="26">
        <f>IF(SUM(B227:G227)=0,"",SUM(B227:G227))</f>
        <v/>
      </c>
    </row>
    <row r="228" hidden="1" outlineLevel="1">
      <c r="A228" t="inlineStr">
        <is>
          <t>Week2-Jan-2027</t>
        </is>
      </c>
      <c r="B228" s="26">
        <f>IF(SUMIFS('BSE - SENSEX Index Options'!$M:$M,'BSE - SENSEX Index Options'!$C:$C,$A228,'BSE - SENSEX Index Options'!$B:$B,B$147,'BSE - SENSEX Index Options'!$I:$I,"Weekly*")+SUMIFS('BSE - SENSEX Index Options'!$M:$M,'BSE - SENSEX Index Options'!$C:$C,$A228,'BSE - SENSEX Index Options'!$B:$B,B$147,'BSE - SENSEX Index Options'!$I:$I,"MDAW*")+SUMIFS('BSE - Other Index Options'!$M:$M,'BSE - Other Index Options'!$C:$C,$A228,'BSE - Other Index Options'!$B:$B,B$147,'BSE - Other Index Options'!$I:$I,"Weekly*")+SUMIFS('BSE - Other Index Options'!$M:$M,'BSE - Other Index Options'!$C:$C,$A228,'BSE - Other Index Options'!$B:$B,B$147,'BSE - Other Index Options'!$I:$I,"MDAW*")=0,"",SUMIFS('BSE - SENSEX Index Options'!$M:$M,'BSE - SENSEX Index Options'!$C:$C,$A228,'BSE - SENSEX Index Options'!$B:$B,B$147,'BSE - SENSEX Index Options'!$I:$I,"Weekly*")+SUMIFS('BSE - SENSEX Index Options'!$M:$M,'BSE - SENSEX Index Options'!$C:$C,$A228,'BSE - SENSEX Index Options'!$B:$B,B$147,'BSE - SENSEX Index Options'!$I:$I,"MDAW*")+SUMIFS('BSE - Other Index Options'!$M:$M,'BSE - Other Index Options'!$C:$C,$A228,'BSE - Other Index Options'!$B:$B,B$147,'BSE - Other Index Options'!$I:$I,"Weekly*")+SUMIFS('BSE - Other Index Options'!$M:$M,'BSE - Other Index Options'!$C:$C,$A228,'BSE - Other Index Options'!$B:$B,B$147,'BSE - Other Index Options'!$I:$I,"MDAW*"))</f>
        <v/>
      </c>
      <c r="C228" s="26">
        <f>IF(SUMIFS('BSE - SENSEX Index Options'!$M:$M,'BSE - SENSEX Index Options'!$C:$C,$A228,'BSE - SENSEX Index Options'!$B:$B,C$147,'BSE - SENSEX Index Options'!$I:$I,"Weekly*")+SUMIFS('BSE - SENSEX Index Options'!$M:$M,'BSE - SENSEX Index Options'!$C:$C,$A228,'BSE - SENSEX Index Options'!$B:$B,C$147,'BSE - SENSEX Index Options'!$I:$I,"MDAW*")+SUMIFS('BSE - Other Index Options'!$M:$M,'BSE - Other Index Options'!$C:$C,$A228,'BSE - Other Index Options'!$B:$B,C$147,'BSE - Other Index Options'!$I:$I,"Weekly*")+SUMIFS('BSE - Other Index Options'!$M:$M,'BSE - Other Index Options'!$C:$C,$A228,'BSE - Other Index Options'!$B:$B,C$147,'BSE - Other Index Options'!$I:$I,"MDAW*")=0,"",SUMIFS('BSE - SENSEX Index Options'!$M:$M,'BSE - SENSEX Index Options'!$C:$C,$A228,'BSE - SENSEX Index Options'!$B:$B,C$147,'BSE - SENSEX Index Options'!$I:$I,"Weekly*")+SUMIFS('BSE - SENSEX Index Options'!$M:$M,'BSE - SENSEX Index Options'!$C:$C,$A228,'BSE - SENSEX Index Options'!$B:$B,C$147,'BSE - SENSEX Index Options'!$I:$I,"MDAW*")+SUMIFS('BSE - Other Index Options'!$M:$M,'BSE - Other Index Options'!$C:$C,$A228,'BSE - Other Index Options'!$B:$B,C$147,'BSE - Other Index Options'!$I:$I,"Weekly*")+SUMIFS('BSE - Other Index Options'!$M:$M,'BSE - Other Index Options'!$C:$C,$A228,'BSE - Other Index Options'!$B:$B,C$147,'BSE - Other Index Options'!$I:$I,"MDAW*"))</f>
        <v/>
      </c>
      <c r="D228" s="26">
        <f>IF(SUMIFS('BSE - SENSEX Index Options'!$M:$M,'BSE - SENSEX Index Options'!$C:$C,$A228,'BSE - SENSEX Index Options'!$B:$B,D$147,'BSE - SENSEX Index Options'!$I:$I,"Weekly*")+SUMIFS('BSE - SENSEX Index Options'!$M:$M,'BSE - SENSEX Index Options'!$C:$C,$A228,'BSE - SENSEX Index Options'!$B:$B,D$147,'BSE - SENSEX Index Options'!$I:$I,"MDAW*")+SUMIFS('BSE - Other Index Options'!$M:$M,'BSE - Other Index Options'!$C:$C,$A228,'BSE - Other Index Options'!$B:$B,D$147,'BSE - Other Index Options'!$I:$I,"Weekly*")+SUMIFS('BSE - Other Index Options'!$M:$M,'BSE - Other Index Options'!$C:$C,$A228,'BSE - Other Index Options'!$B:$B,D$147,'BSE - Other Index Options'!$I:$I,"MDAW*")=0,"",SUMIFS('BSE - SENSEX Index Options'!$M:$M,'BSE - SENSEX Index Options'!$C:$C,$A228,'BSE - SENSEX Index Options'!$B:$B,D$147,'BSE - SENSEX Index Options'!$I:$I,"Weekly*")+SUMIFS('BSE - SENSEX Index Options'!$M:$M,'BSE - SENSEX Index Options'!$C:$C,$A228,'BSE - SENSEX Index Options'!$B:$B,D$147,'BSE - SENSEX Index Options'!$I:$I,"MDAW*")+SUMIFS('BSE - Other Index Options'!$M:$M,'BSE - Other Index Options'!$C:$C,$A228,'BSE - Other Index Options'!$B:$B,D$147,'BSE - Other Index Options'!$I:$I,"Weekly*")+SUMIFS('BSE - Other Index Options'!$M:$M,'BSE - Other Index Options'!$C:$C,$A228,'BSE - Other Index Options'!$B:$B,D$147,'BSE - Other Index Options'!$I:$I,"MDAW*"))</f>
        <v/>
      </c>
      <c r="E228" s="26">
        <f>IF(SUMIFS('BSE - SENSEX Index Options'!$M:$M,'BSE - SENSEX Index Options'!$C:$C,$A228,'BSE - SENSEX Index Options'!$B:$B,E$147,'BSE - SENSEX Index Options'!$I:$I,"Weekly*")+SUMIFS('BSE - SENSEX Index Options'!$M:$M,'BSE - SENSEX Index Options'!$C:$C,$A228,'BSE - SENSEX Index Options'!$B:$B,E$147,'BSE - SENSEX Index Options'!$I:$I,"MDAW*")+SUMIFS('BSE - Other Index Options'!$M:$M,'BSE - Other Index Options'!$C:$C,$A228,'BSE - Other Index Options'!$B:$B,E$147,'BSE - Other Index Options'!$I:$I,"Weekly*")+SUMIFS('BSE - Other Index Options'!$M:$M,'BSE - Other Index Options'!$C:$C,$A228,'BSE - Other Index Options'!$B:$B,E$147,'BSE - Other Index Options'!$I:$I,"MDAW*")=0,"",SUMIFS('BSE - SENSEX Index Options'!$M:$M,'BSE - SENSEX Index Options'!$C:$C,$A228,'BSE - SENSEX Index Options'!$B:$B,E$147,'BSE - SENSEX Index Options'!$I:$I,"Weekly*")+SUMIFS('BSE - SENSEX Index Options'!$M:$M,'BSE - SENSEX Index Options'!$C:$C,$A228,'BSE - SENSEX Index Options'!$B:$B,E$147,'BSE - SENSEX Index Options'!$I:$I,"MDAW*")+SUMIFS('BSE - Other Index Options'!$M:$M,'BSE - Other Index Options'!$C:$C,$A228,'BSE - Other Index Options'!$B:$B,E$147,'BSE - Other Index Options'!$I:$I,"Weekly*")+SUMIFS('BSE - Other Index Options'!$M:$M,'BSE - Other Index Options'!$C:$C,$A228,'BSE - Other Index Options'!$B:$B,E$147,'BSE - Other Index Options'!$I:$I,"MDAW*"))</f>
        <v/>
      </c>
      <c r="F228" s="26">
        <f>IF(SUMIFS('BSE - SENSEX Index Options'!$M:$M,'BSE - SENSEX Index Options'!$C:$C,$A228,'BSE - SENSEX Index Options'!$B:$B,F$147,'BSE - SENSEX Index Options'!$I:$I,"Weekly*")+SUMIFS('BSE - SENSEX Index Options'!$M:$M,'BSE - SENSEX Index Options'!$C:$C,$A228,'BSE - SENSEX Index Options'!$B:$B,F$147,'BSE - SENSEX Index Options'!$I:$I,"MDAW*")+SUMIFS('BSE - Other Index Options'!$M:$M,'BSE - Other Index Options'!$C:$C,$A228,'BSE - Other Index Options'!$B:$B,F$147,'BSE - Other Index Options'!$I:$I,"Weekly*")+SUMIFS('BSE - Other Index Options'!$M:$M,'BSE - Other Index Options'!$C:$C,$A228,'BSE - Other Index Options'!$B:$B,F$147,'BSE - Other Index Options'!$I:$I,"MDAW*")=0,"",SUMIFS('BSE - SENSEX Index Options'!$M:$M,'BSE - SENSEX Index Options'!$C:$C,$A228,'BSE - SENSEX Index Options'!$B:$B,F$147,'BSE - SENSEX Index Options'!$I:$I,"Weekly*")+SUMIFS('BSE - SENSEX Index Options'!$M:$M,'BSE - SENSEX Index Options'!$C:$C,$A228,'BSE - SENSEX Index Options'!$B:$B,F$147,'BSE - SENSEX Index Options'!$I:$I,"MDAW*")+SUMIFS('BSE - Other Index Options'!$M:$M,'BSE - Other Index Options'!$C:$C,$A228,'BSE - Other Index Options'!$B:$B,F$147,'BSE - Other Index Options'!$I:$I,"Weekly*")+SUMIFS('BSE - Other Index Options'!$M:$M,'BSE - Other Index Options'!$C:$C,$A228,'BSE - Other Index Options'!$B:$B,F$147,'BSE - Other Index Options'!$I:$I,"MDAW*"))</f>
        <v/>
      </c>
      <c r="G228" s="26">
        <f>IF(SUMIFS('BSE - SENSEX Index Options'!$M:$M,'BSE - SENSEX Index Options'!$C:$C,$A228,'BSE - SENSEX Index Options'!$B:$B,G$147,'BSE - SENSEX Index Options'!$I:$I,"Weekly*")+SUMIFS('BSE - SENSEX Index Options'!$M:$M,'BSE - SENSEX Index Options'!$C:$C,$A228,'BSE - SENSEX Index Options'!$B:$B,G$147,'BSE - SENSEX Index Options'!$I:$I,"MDAW*")+SUMIFS('BSE - Other Index Options'!$M:$M,'BSE - Other Index Options'!$C:$C,$A228,'BSE - Other Index Options'!$B:$B,G$147,'BSE - Other Index Options'!$I:$I,"Weekly*")+SUMIFS('BSE - Other Index Options'!$M:$M,'BSE - Other Index Options'!$C:$C,$A228,'BSE - Other Index Options'!$B:$B,G$147,'BSE - Other Index Options'!$I:$I,"MDAW*")=0,"",SUMIFS('BSE - SENSEX Index Options'!$M:$M,'BSE - SENSEX Index Options'!$C:$C,$A228,'BSE - SENSEX Index Options'!$B:$B,G$147,'BSE - SENSEX Index Options'!$I:$I,"Weekly*")+SUMIFS('BSE - SENSEX Index Options'!$M:$M,'BSE - SENSEX Index Options'!$C:$C,$A228,'BSE - SENSEX Index Options'!$B:$B,G$147,'BSE - SENSEX Index Options'!$I:$I,"MDAW*")+SUMIFS('BSE - Other Index Options'!$M:$M,'BSE - Other Index Options'!$C:$C,$A228,'BSE - Other Index Options'!$B:$B,G$147,'BSE - Other Index Options'!$I:$I,"Weekly*")+SUMIFS('BSE - Other Index Options'!$M:$M,'BSE - Other Index Options'!$C:$C,$A228,'BSE - Other Index Options'!$B:$B,G$147,'BSE - Other Index Options'!$I:$I,"MDAW*"))</f>
        <v/>
      </c>
      <c r="H228" s="26">
        <f>IF(SUM(B228:G228)=0,"",SUM(B228:G228))</f>
        <v/>
      </c>
    </row>
    <row r="229" hidden="1" outlineLevel="1">
      <c r="A229" t="inlineStr">
        <is>
          <t>Week3-Jan-2027</t>
        </is>
      </c>
      <c r="B229" s="26">
        <f>IF(SUMIFS('BSE - SENSEX Index Options'!$M:$M,'BSE - SENSEX Index Options'!$C:$C,$A229,'BSE - SENSEX Index Options'!$B:$B,B$147,'BSE - SENSEX Index Options'!$I:$I,"Weekly*")+SUMIFS('BSE - SENSEX Index Options'!$M:$M,'BSE - SENSEX Index Options'!$C:$C,$A229,'BSE - SENSEX Index Options'!$B:$B,B$147,'BSE - SENSEX Index Options'!$I:$I,"MDAW*")+SUMIFS('BSE - Other Index Options'!$M:$M,'BSE - Other Index Options'!$C:$C,$A229,'BSE - Other Index Options'!$B:$B,B$147,'BSE - Other Index Options'!$I:$I,"Weekly*")+SUMIFS('BSE - Other Index Options'!$M:$M,'BSE - Other Index Options'!$C:$C,$A229,'BSE - Other Index Options'!$B:$B,B$147,'BSE - Other Index Options'!$I:$I,"MDAW*")=0,"",SUMIFS('BSE - SENSEX Index Options'!$M:$M,'BSE - SENSEX Index Options'!$C:$C,$A229,'BSE - SENSEX Index Options'!$B:$B,B$147,'BSE - SENSEX Index Options'!$I:$I,"Weekly*")+SUMIFS('BSE - SENSEX Index Options'!$M:$M,'BSE - SENSEX Index Options'!$C:$C,$A229,'BSE - SENSEX Index Options'!$B:$B,B$147,'BSE - SENSEX Index Options'!$I:$I,"MDAW*")+SUMIFS('BSE - Other Index Options'!$M:$M,'BSE - Other Index Options'!$C:$C,$A229,'BSE - Other Index Options'!$B:$B,B$147,'BSE - Other Index Options'!$I:$I,"Weekly*")+SUMIFS('BSE - Other Index Options'!$M:$M,'BSE - Other Index Options'!$C:$C,$A229,'BSE - Other Index Options'!$B:$B,B$147,'BSE - Other Index Options'!$I:$I,"MDAW*"))</f>
        <v/>
      </c>
      <c r="C229" s="26">
        <f>IF(SUMIFS('BSE - SENSEX Index Options'!$M:$M,'BSE - SENSEX Index Options'!$C:$C,$A229,'BSE - SENSEX Index Options'!$B:$B,C$147,'BSE - SENSEX Index Options'!$I:$I,"Weekly*")+SUMIFS('BSE - SENSEX Index Options'!$M:$M,'BSE - SENSEX Index Options'!$C:$C,$A229,'BSE - SENSEX Index Options'!$B:$B,C$147,'BSE - SENSEX Index Options'!$I:$I,"MDAW*")+SUMIFS('BSE - Other Index Options'!$M:$M,'BSE - Other Index Options'!$C:$C,$A229,'BSE - Other Index Options'!$B:$B,C$147,'BSE - Other Index Options'!$I:$I,"Weekly*")+SUMIFS('BSE - Other Index Options'!$M:$M,'BSE - Other Index Options'!$C:$C,$A229,'BSE - Other Index Options'!$B:$B,C$147,'BSE - Other Index Options'!$I:$I,"MDAW*")=0,"",SUMIFS('BSE - SENSEX Index Options'!$M:$M,'BSE - SENSEX Index Options'!$C:$C,$A229,'BSE - SENSEX Index Options'!$B:$B,C$147,'BSE - SENSEX Index Options'!$I:$I,"Weekly*")+SUMIFS('BSE - SENSEX Index Options'!$M:$M,'BSE - SENSEX Index Options'!$C:$C,$A229,'BSE - SENSEX Index Options'!$B:$B,C$147,'BSE - SENSEX Index Options'!$I:$I,"MDAW*")+SUMIFS('BSE - Other Index Options'!$M:$M,'BSE - Other Index Options'!$C:$C,$A229,'BSE - Other Index Options'!$B:$B,C$147,'BSE - Other Index Options'!$I:$I,"Weekly*")+SUMIFS('BSE - Other Index Options'!$M:$M,'BSE - Other Index Options'!$C:$C,$A229,'BSE - Other Index Options'!$B:$B,C$147,'BSE - Other Index Options'!$I:$I,"MDAW*"))</f>
        <v/>
      </c>
      <c r="D229" s="26">
        <f>IF(SUMIFS('BSE - SENSEX Index Options'!$M:$M,'BSE - SENSEX Index Options'!$C:$C,$A229,'BSE - SENSEX Index Options'!$B:$B,D$147,'BSE - SENSEX Index Options'!$I:$I,"Weekly*")+SUMIFS('BSE - SENSEX Index Options'!$M:$M,'BSE - SENSEX Index Options'!$C:$C,$A229,'BSE - SENSEX Index Options'!$B:$B,D$147,'BSE - SENSEX Index Options'!$I:$I,"MDAW*")+SUMIFS('BSE - Other Index Options'!$M:$M,'BSE - Other Index Options'!$C:$C,$A229,'BSE - Other Index Options'!$B:$B,D$147,'BSE - Other Index Options'!$I:$I,"Weekly*")+SUMIFS('BSE - Other Index Options'!$M:$M,'BSE - Other Index Options'!$C:$C,$A229,'BSE - Other Index Options'!$B:$B,D$147,'BSE - Other Index Options'!$I:$I,"MDAW*")=0,"",SUMIFS('BSE - SENSEX Index Options'!$M:$M,'BSE - SENSEX Index Options'!$C:$C,$A229,'BSE - SENSEX Index Options'!$B:$B,D$147,'BSE - SENSEX Index Options'!$I:$I,"Weekly*")+SUMIFS('BSE - SENSEX Index Options'!$M:$M,'BSE - SENSEX Index Options'!$C:$C,$A229,'BSE - SENSEX Index Options'!$B:$B,D$147,'BSE - SENSEX Index Options'!$I:$I,"MDAW*")+SUMIFS('BSE - Other Index Options'!$M:$M,'BSE - Other Index Options'!$C:$C,$A229,'BSE - Other Index Options'!$B:$B,D$147,'BSE - Other Index Options'!$I:$I,"Weekly*")+SUMIFS('BSE - Other Index Options'!$M:$M,'BSE - Other Index Options'!$C:$C,$A229,'BSE - Other Index Options'!$B:$B,D$147,'BSE - Other Index Options'!$I:$I,"MDAW*"))</f>
        <v/>
      </c>
      <c r="E229" s="26">
        <f>IF(SUMIFS('BSE - SENSEX Index Options'!$M:$M,'BSE - SENSEX Index Options'!$C:$C,$A229,'BSE - SENSEX Index Options'!$B:$B,E$147,'BSE - SENSEX Index Options'!$I:$I,"Weekly*")+SUMIFS('BSE - SENSEX Index Options'!$M:$M,'BSE - SENSEX Index Options'!$C:$C,$A229,'BSE - SENSEX Index Options'!$B:$B,E$147,'BSE - SENSEX Index Options'!$I:$I,"MDAW*")+SUMIFS('BSE - Other Index Options'!$M:$M,'BSE - Other Index Options'!$C:$C,$A229,'BSE - Other Index Options'!$B:$B,E$147,'BSE - Other Index Options'!$I:$I,"Weekly*")+SUMIFS('BSE - Other Index Options'!$M:$M,'BSE - Other Index Options'!$C:$C,$A229,'BSE - Other Index Options'!$B:$B,E$147,'BSE - Other Index Options'!$I:$I,"MDAW*")=0,"",SUMIFS('BSE - SENSEX Index Options'!$M:$M,'BSE - SENSEX Index Options'!$C:$C,$A229,'BSE - SENSEX Index Options'!$B:$B,E$147,'BSE - SENSEX Index Options'!$I:$I,"Weekly*")+SUMIFS('BSE - SENSEX Index Options'!$M:$M,'BSE - SENSEX Index Options'!$C:$C,$A229,'BSE - SENSEX Index Options'!$B:$B,E$147,'BSE - SENSEX Index Options'!$I:$I,"MDAW*")+SUMIFS('BSE - Other Index Options'!$M:$M,'BSE - Other Index Options'!$C:$C,$A229,'BSE - Other Index Options'!$B:$B,E$147,'BSE - Other Index Options'!$I:$I,"Weekly*")+SUMIFS('BSE - Other Index Options'!$M:$M,'BSE - Other Index Options'!$C:$C,$A229,'BSE - Other Index Options'!$B:$B,E$147,'BSE - Other Index Options'!$I:$I,"MDAW*"))</f>
        <v/>
      </c>
      <c r="F229" s="26">
        <f>IF(SUMIFS('BSE - SENSEX Index Options'!$M:$M,'BSE - SENSEX Index Options'!$C:$C,$A229,'BSE - SENSEX Index Options'!$B:$B,F$147,'BSE - SENSEX Index Options'!$I:$I,"Weekly*")+SUMIFS('BSE - SENSEX Index Options'!$M:$M,'BSE - SENSEX Index Options'!$C:$C,$A229,'BSE - SENSEX Index Options'!$B:$B,F$147,'BSE - SENSEX Index Options'!$I:$I,"MDAW*")+SUMIFS('BSE - Other Index Options'!$M:$M,'BSE - Other Index Options'!$C:$C,$A229,'BSE - Other Index Options'!$B:$B,F$147,'BSE - Other Index Options'!$I:$I,"Weekly*")+SUMIFS('BSE - Other Index Options'!$M:$M,'BSE - Other Index Options'!$C:$C,$A229,'BSE - Other Index Options'!$B:$B,F$147,'BSE - Other Index Options'!$I:$I,"MDAW*")=0,"",SUMIFS('BSE - SENSEX Index Options'!$M:$M,'BSE - SENSEX Index Options'!$C:$C,$A229,'BSE - SENSEX Index Options'!$B:$B,F$147,'BSE - SENSEX Index Options'!$I:$I,"Weekly*")+SUMIFS('BSE - SENSEX Index Options'!$M:$M,'BSE - SENSEX Index Options'!$C:$C,$A229,'BSE - SENSEX Index Options'!$B:$B,F$147,'BSE - SENSEX Index Options'!$I:$I,"MDAW*")+SUMIFS('BSE - Other Index Options'!$M:$M,'BSE - Other Index Options'!$C:$C,$A229,'BSE - Other Index Options'!$B:$B,F$147,'BSE - Other Index Options'!$I:$I,"Weekly*")+SUMIFS('BSE - Other Index Options'!$M:$M,'BSE - Other Index Options'!$C:$C,$A229,'BSE - Other Index Options'!$B:$B,F$147,'BSE - Other Index Options'!$I:$I,"MDAW*"))</f>
        <v/>
      </c>
      <c r="G229" s="26">
        <f>IF(SUMIFS('BSE - SENSEX Index Options'!$M:$M,'BSE - SENSEX Index Options'!$C:$C,$A229,'BSE - SENSEX Index Options'!$B:$B,G$147,'BSE - SENSEX Index Options'!$I:$I,"Weekly*")+SUMIFS('BSE - SENSEX Index Options'!$M:$M,'BSE - SENSEX Index Options'!$C:$C,$A229,'BSE - SENSEX Index Options'!$B:$B,G$147,'BSE - SENSEX Index Options'!$I:$I,"MDAW*")+SUMIFS('BSE - Other Index Options'!$M:$M,'BSE - Other Index Options'!$C:$C,$A229,'BSE - Other Index Options'!$B:$B,G$147,'BSE - Other Index Options'!$I:$I,"Weekly*")+SUMIFS('BSE - Other Index Options'!$M:$M,'BSE - Other Index Options'!$C:$C,$A229,'BSE - Other Index Options'!$B:$B,G$147,'BSE - Other Index Options'!$I:$I,"MDAW*")=0,"",SUMIFS('BSE - SENSEX Index Options'!$M:$M,'BSE - SENSEX Index Options'!$C:$C,$A229,'BSE - SENSEX Index Options'!$B:$B,G$147,'BSE - SENSEX Index Options'!$I:$I,"Weekly*")+SUMIFS('BSE - SENSEX Index Options'!$M:$M,'BSE - SENSEX Index Options'!$C:$C,$A229,'BSE - SENSEX Index Options'!$B:$B,G$147,'BSE - SENSEX Index Options'!$I:$I,"MDAW*")+SUMIFS('BSE - Other Index Options'!$M:$M,'BSE - Other Index Options'!$C:$C,$A229,'BSE - Other Index Options'!$B:$B,G$147,'BSE - Other Index Options'!$I:$I,"Weekly*")+SUMIFS('BSE - Other Index Options'!$M:$M,'BSE - Other Index Options'!$C:$C,$A229,'BSE - Other Index Options'!$B:$B,G$147,'BSE - Other Index Options'!$I:$I,"MDAW*"))</f>
        <v/>
      </c>
      <c r="H229" s="26">
        <f>IF(SUM(B229:G229)=0,"",SUM(B229:G229))</f>
        <v/>
      </c>
    </row>
    <row r="230" hidden="1" outlineLevel="1">
      <c r="A230" t="inlineStr">
        <is>
          <t>Week4-Jan-2027</t>
        </is>
      </c>
      <c r="B230" s="26">
        <f>IF(SUMIFS('BSE - SENSEX Index Options'!$M:$M,'BSE - SENSEX Index Options'!$C:$C,$A230,'BSE - SENSEX Index Options'!$B:$B,B$147,'BSE - SENSEX Index Options'!$I:$I,"Weekly*")+SUMIFS('BSE - SENSEX Index Options'!$M:$M,'BSE - SENSEX Index Options'!$C:$C,$A230,'BSE - SENSEX Index Options'!$B:$B,B$147,'BSE - SENSEX Index Options'!$I:$I,"MDAW*")+SUMIFS('BSE - Other Index Options'!$M:$M,'BSE - Other Index Options'!$C:$C,$A230,'BSE - Other Index Options'!$B:$B,B$147,'BSE - Other Index Options'!$I:$I,"Weekly*")+SUMIFS('BSE - Other Index Options'!$M:$M,'BSE - Other Index Options'!$C:$C,$A230,'BSE - Other Index Options'!$B:$B,B$147,'BSE - Other Index Options'!$I:$I,"MDAW*")=0,"",SUMIFS('BSE - SENSEX Index Options'!$M:$M,'BSE - SENSEX Index Options'!$C:$C,$A230,'BSE - SENSEX Index Options'!$B:$B,B$147,'BSE - SENSEX Index Options'!$I:$I,"Weekly*")+SUMIFS('BSE - SENSEX Index Options'!$M:$M,'BSE - SENSEX Index Options'!$C:$C,$A230,'BSE - SENSEX Index Options'!$B:$B,B$147,'BSE - SENSEX Index Options'!$I:$I,"MDAW*")+SUMIFS('BSE - Other Index Options'!$M:$M,'BSE - Other Index Options'!$C:$C,$A230,'BSE - Other Index Options'!$B:$B,B$147,'BSE - Other Index Options'!$I:$I,"Weekly*")+SUMIFS('BSE - Other Index Options'!$M:$M,'BSE - Other Index Options'!$C:$C,$A230,'BSE - Other Index Options'!$B:$B,B$147,'BSE - Other Index Options'!$I:$I,"MDAW*"))</f>
        <v/>
      </c>
      <c r="C230" s="26">
        <f>IF(SUMIFS('BSE - SENSEX Index Options'!$M:$M,'BSE - SENSEX Index Options'!$C:$C,$A230,'BSE - SENSEX Index Options'!$B:$B,C$147,'BSE - SENSEX Index Options'!$I:$I,"Weekly*")+SUMIFS('BSE - SENSEX Index Options'!$M:$M,'BSE - SENSEX Index Options'!$C:$C,$A230,'BSE - SENSEX Index Options'!$B:$B,C$147,'BSE - SENSEX Index Options'!$I:$I,"MDAW*")+SUMIFS('BSE - Other Index Options'!$M:$M,'BSE - Other Index Options'!$C:$C,$A230,'BSE - Other Index Options'!$B:$B,C$147,'BSE - Other Index Options'!$I:$I,"Weekly*")+SUMIFS('BSE - Other Index Options'!$M:$M,'BSE - Other Index Options'!$C:$C,$A230,'BSE - Other Index Options'!$B:$B,C$147,'BSE - Other Index Options'!$I:$I,"MDAW*")=0,"",SUMIFS('BSE - SENSEX Index Options'!$M:$M,'BSE - SENSEX Index Options'!$C:$C,$A230,'BSE - SENSEX Index Options'!$B:$B,C$147,'BSE - SENSEX Index Options'!$I:$I,"Weekly*")+SUMIFS('BSE - SENSEX Index Options'!$M:$M,'BSE - SENSEX Index Options'!$C:$C,$A230,'BSE - SENSEX Index Options'!$B:$B,C$147,'BSE - SENSEX Index Options'!$I:$I,"MDAW*")+SUMIFS('BSE - Other Index Options'!$M:$M,'BSE - Other Index Options'!$C:$C,$A230,'BSE - Other Index Options'!$B:$B,C$147,'BSE - Other Index Options'!$I:$I,"Weekly*")+SUMIFS('BSE - Other Index Options'!$M:$M,'BSE - Other Index Options'!$C:$C,$A230,'BSE - Other Index Options'!$B:$B,C$147,'BSE - Other Index Options'!$I:$I,"MDAW*"))</f>
        <v/>
      </c>
      <c r="D230" s="26">
        <f>IF(SUMIFS('BSE - SENSEX Index Options'!$M:$M,'BSE - SENSEX Index Options'!$C:$C,$A230,'BSE - SENSEX Index Options'!$B:$B,D$147,'BSE - SENSEX Index Options'!$I:$I,"Weekly*")+SUMIFS('BSE - SENSEX Index Options'!$M:$M,'BSE - SENSEX Index Options'!$C:$C,$A230,'BSE - SENSEX Index Options'!$B:$B,D$147,'BSE - SENSEX Index Options'!$I:$I,"MDAW*")+SUMIFS('BSE - Other Index Options'!$M:$M,'BSE - Other Index Options'!$C:$C,$A230,'BSE - Other Index Options'!$B:$B,D$147,'BSE - Other Index Options'!$I:$I,"Weekly*")+SUMIFS('BSE - Other Index Options'!$M:$M,'BSE - Other Index Options'!$C:$C,$A230,'BSE - Other Index Options'!$B:$B,D$147,'BSE - Other Index Options'!$I:$I,"MDAW*")=0,"",SUMIFS('BSE - SENSEX Index Options'!$M:$M,'BSE - SENSEX Index Options'!$C:$C,$A230,'BSE - SENSEX Index Options'!$B:$B,D$147,'BSE - SENSEX Index Options'!$I:$I,"Weekly*")+SUMIFS('BSE - SENSEX Index Options'!$M:$M,'BSE - SENSEX Index Options'!$C:$C,$A230,'BSE - SENSEX Index Options'!$B:$B,D$147,'BSE - SENSEX Index Options'!$I:$I,"MDAW*")+SUMIFS('BSE - Other Index Options'!$M:$M,'BSE - Other Index Options'!$C:$C,$A230,'BSE - Other Index Options'!$B:$B,D$147,'BSE - Other Index Options'!$I:$I,"Weekly*")+SUMIFS('BSE - Other Index Options'!$M:$M,'BSE - Other Index Options'!$C:$C,$A230,'BSE - Other Index Options'!$B:$B,D$147,'BSE - Other Index Options'!$I:$I,"MDAW*"))</f>
        <v/>
      </c>
      <c r="E230" s="26">
        <f>IF(SUMIFS('BSE - SENSEX Index Options'!$M:$M,'BSE - SENSEX Index Options'!$C:$C,$A230,'BSE - SENSEX Index Options'!$B:$B,E$147,'BSE - SENSEX Index Options'!$I:$I,"Weekly*")+SUMIFS('BSE - SENSEX Index Options'!$M:$M,'BSE - SENSEX Index Options'!$C:$C,$A230,'BSE - SENSEX Index Options'!$B:$B,E$147,'BSE - SENSEX Index Options'!$I:$I,"MDAW*")+SUMIFS('BSE - Other Index Options'!$M:$M,'BSE - Other Index Options'!$C:$C,$A230,'BSE - Other Index Options'!$B:$B,E$147,'BSE - Other Index Options'!$I:$I,"Weekly*")+SUMIFS('BSE - Other Index Options'!$M:$M,'BSE - Other Index Options'!$C:$C,$A230,'BSE - Other Index Options'!$B:$B,E$147,'BSE - Other Index Options'!$I:$I,"MDAW*")=0,"",SUMIFS('BSE - SENSEX Index Options'!$M:$M,'BSE - SENSEX Index Options'!$C:$C,$A230,'BSE - SENSEX Index Options'!$B:$B,E$147,'BSE - SENSEX Index Options'!$I:$I,"Weekly*")+SUMIFS('BSE - SENSEX Index Options'!$M:$M,'BSE - SENSEX Index Options'!$C:$C,$A230,'BSE - SENSEX Index Options'!$B:$B,E$147,'BSE - SENSEX Index Options'!$I:$I,"MDAW*")+SUMIFS('BSE - Other Index Options'!$M:$M,'BSE - Other Index Options'!$C:$C,$A230,'BSE - Other Index Options'!$B:$B,E$147,'BSE - Other Index Options'!$I:$I,"Weekly*")+SUMIFS('BSE - Other Index Options'!$M:$M,'BSE - Other Index Options'!$C:$C,$A230,'BSE - Other Index Options'!$B:$B,E$147,'BSE - Other Index Options'!$I:$I,"MDAW*"))</f>
        <v/>
      </c>
      <c r="F230" s="26">
        <f>IF(SUMIFS('BSE - SENSEX Index Options'!$M:$M,'BSE - SENSEX Index Options'!$C:$C,$A230,'BSE - SENSEX Index Options'!$B:$B,F$147,'BSE - SENSEX Index Options'!$I:$I,"Weekly*")+SUMIFS('BSE - SENSEX Index Options'!$M:$M,'BSE - SENSEX Index Options'!$C:$C,$A230,'BSE - SENSEX Index Options'!$B:$B,F$147,'BSE - SENSEX Index Options'!$I:$I,"MDAW*")+SUMIFS('BSE - Other Index Options'!$M:$M,'BSE - Other Index Options'!$C:$C,$A230,'BSE - Other Index Options'!$B:$B,F$147,'BSE - Other Index Options'!$I:$I,"Weekly*")+SUMIFS('BSE - Other Index Options'!$M:$M,'BSE - Other Index Options'!$C:$C,$A230,'BSE - Other Index Options'!$B:$B,F$147,'BSE - Other Index Options'!$I:$I,"MDAW*")=0,"",SUMIFS('BSE - SENSEX Index Options'!$M:$M,'BSE - SENSEX Index Options'!$C:$C,$A230,'BSE - SENSEX Index Options'!$B:$B,F$147,'BSE - SENSEX Index Options'!$I:$I,"Weekly*")+SUMIFS('BSE - SENSEX Index Options'!$M:$M,'BSE - SENSEX Index Options'!$C:$C,$A230,'BSE - SENSEX Index Options'!$B:$B,F$147,'BSE - SENSEX Index Options'!$I:$I,"MDAW*")+SUMIFS('BSE - Other Index Options'!$M:$M,'BSE - Other Index Options'!$C:$C,$A230,'BSE - Other Index Options'!$B:$B,F$147,'BSE - Other Index Options'!$I:$I,"Weekly*")+SUMIFS('BSE - Other Index Options'!$M:$M,'BSE - Other Index Options'!$C:$C,$A230,'BSE - Other Index Options'!$B:$B,F$147,'BSE - Other Index Options'!$I:$I,"MDAW*"))</f>
        <v/>
      </c>
      <c r="G230" s="26">
        <f>IF(SUMIFS('BSE - SENSEX Index Options'!$M:$M,'BSE - SENSEX Index Options'!$C:$C,$A230,'BSE - SENSEX Index Options'!$B:$B,G$147,'BSE - SENSEX Index Options'!$I:$I,"Weekly*")+SUMIFS('BSE - SENSEX Index Options'!$M:$M,'BSE - SENSEX Index Options'!$C:$C,$A230,'BSE - SENSEX Index Options'!$B:$B,G$147,'BSE - SENSEX Index Options'!$I:$I,"MDAW*")+SUMIFS('BSE - Other Index Options'!$M:$M,'BSE - Other Index Options'!$C:$C,$A230,'BSE - Other Index Options'!$B:$B,G$147,'BSE - Other Index Options'!$I:$I,"Weekly*")+SUMIFS('BSE - Other Index Options'!$M:$M,'BSE - Other Index Options'!$C:$C,$A230,'BSE - Other Index Options'!$B:$B,G$147,'BSE - Other Index Options'!$I:$I,"MDAW*")=0,"",SUMIFS('BSE - SENSEX Index Options'!$M:$M,'BSE - SENSEX Index Options'!$C:$C,$A230,'BSE - SENSEX Index Options'!$B:$B,G$147,'BSE - SENSEX Index Options'!$I:$I,"Weekly*")+SUMIFS('BSE - SENSEX Index Options'!$M:$M,'BSE - SENSEX Index Options'!$C:$C,$A230,'BSE - SENSEX Index Options'!$B:$B,G$147,'BSE - SENSEX Index Options'!$I:$I,"MDAW*")+SUMIFS('BSE - Other Index Options'!$M:$M,'BSE - Other Index Options'!$C:$C,$A230,'BSE - Other Index Options'!$B:$B,G$147,'BSE - Other Index Options'!$I:$I,"Weekly*")+SUMIFS('BSE - Other Index Options'!$M:$M,'BSE - Other Index Options'!$C:$C,$A230,'BSE - Other Index Options'!$B:$B,G$147,'BSE - Other Index Options'!$I:$I,"MDAW*"))</f>
        <v/>
      </c>
      <c r="H230" s="26">
        <f>IF(SUM(B230:G230)=0,"",SUM(B230:G230))</f>
        <v/>
      </c>
    </row>
    <row r="231" hidden="1" outlineLevel="1">
      <c r="A231" t="inlineStr">
        <is>
          <t>Week5-Jan-2027</t>
        </is>
      </c>
      <c r="B231" s="26">
        <f>IF(SUMIFS('BSE - SENSEX Index Options'!$M:$M,'BSE - SENSEX Index Options'!$C:$C,$A231,'BSE - SENSEX Index Options'!$B:$B,B$147,'BSE - SENSEX Index Options'!$I:$I,"Weekly*")+SUMIFS('BSE - SENSEX Index Options'!$M:$M,'BSE - SENSEX Index Options'!$C:$C,$A231,'BSE - SENSEX Index Options'!$B:$B,B$147,'BSE - SENSEX Index Options'!$I:$I,"MDAW*")+SUMIFS('BSE - Other Index Options'!$M:$M,'BSE - Other Index Options'!$C:$C,$A231,'BSE - Other Index Options'!$B:$B,B$147,'BSE - Other Index Options'!$I:$I,"Weekly*")+SUMIFS('BSE - Other Index Options'!$M:$M,'BSE - Other Index Options'!$C:$C,$A231,'BSE - Other Index Options'!$B:$B,B$147,'BSE - Other Index Options'!$I:$I,"MDAW*")=0,"",SUMIFS('BSE - SENSEX Index Options'!$M:$M,'BSE - SENSEX Index Options'!$C:$C,$A231,'BSE - SENSEX Index Options'!$B:$B,B$147,'BSE - SENSEX Index Options'!$I:$I,"Weekly*")+SUMIFS('BSE - SENSEX Index Options'!$M:$M,'BSE - SENSEX Index Options'!$C:$C,$A231,'BSE - SENSEX Index Options'!$B:$B,B$147,'BSE - SENSEX Index Options'!$I:$I,"MDAW*")+SUMIFS('BSE - Other Index Options'!$M:$M,'BSE - Other Index Options'!$C:$C,$A231,'BSE - Other Index Options'!$B:$B,B$147,'BSE - Other Index Options'!$I:$I,"Weekly*")+SUMIFS('BSE - Other Index Options'!$M:$M,'BSE - Other Index Options'!$C:$C,$A231,'BSE - Other Index Options'!$B:$B,B$147,'BSE - Other Index Options'!$I:$I,"MDAW*"))</f>
        <v/>
      </c>
      <c r="C231" s="26">
        <f>IF(SUMIFS('BSE - SENSEX Index Options'!$M:$M,'BSE - SENSEX Index Options'!$C:$C,$A231,'BSE - SENSEX Index Options'!$B:$B,C$147,'BSE - SENSEX Index Options'!$I:$I,"Weekly*")+SUMIFS('BSE - SENSEX Index Options'!$M:$M,'BSE - SENSEX Index Options'!$C:$C,$A231,'BSE - SENSEX Index Options'!$B:$B,C$147,'BSE - SENSEX Index Options'!$I:$I,"MDAW*")+SUMIFS('BSE - Other Index Options'!$M:$M,'BSE - Other Index Options'!$C:$C,$A231,'BSE - Other Index Options'!$B:$B,C$147,'BSE - Other Index Options'!$I:$I,"Weekly*")+SUMIFS('BSE - Other Index Options'!$M:$M,'BSE - Other Index Options'!$C:$C,$A231,'BSE - Other Index Options'!$B:$B,C$147,'BSE - Other Index Options'!$I:$I,"MDAW*")=0,"",SUMIFS('BSE - SENSEX Index Options'!$M:$M,'BSE - SENSEX Index Options'!$C:$C,$A231,'BSE - SENSEX Index Options'!$B:$B,C$147,'BSE - SENSEX Index Options'!$I:$I,"Weekly*")+SUMIFS('BSE - SENSEX Index Options'!$M:$M,'BSE - SENSEX Index Options'!$C:$C,$A231,'BSE - SENSEX Index Options'!$B:$B,C$147,'BSE - SENSEX Index Options'!$I:$I,"MDAW*")+SUMIFS('BSE - Other Index Options'!$M:$M,'BSE - Other Index Options'!$C:$C,$A231,'BSE - Other Index Options'!$B:$B,C$147,'BSE - Other Index Options'!$I:$I,"Weekly*")+SUMIFS('BSE - Other Index Options'!$M:$M,'BSE - Other Index Options'!$C:$C,$A231,'BSE - Other Index Options'!$B:$B,C$147,'BSE - Other Index Options'!$I:$I,"MDAW*"))</f>
        <v/>
      </c>
      <c r="D231" s="26">
        <f>IF(SUMIFS('BSE - SENSEX Index Options'!$M:$M,'BSE - SENSEX Index Options'!$C:$C,$A231,'BSE - SENSEX Index Options'!$B:$B,D$147,'BSE - SENSEX Index Options'!$I:$I,"Weekly*")+SUMIFS('BSE - SENSEX Index Options'!$M:$M,'BSE - SENSEX Index Options'!$C:$C,$A231,'BSE - SENSEX Index Options'!$B:$B,D$147,'BSE - SENSEX Index Options'!$I:$I,"MDAW*")+SUMIFS('BSE - Other Index Options'!$M:$M,'BSE - Other Index Options'!$C:$C,$A231,'BSE - Other Index Options'!$B:$B,D$147,'BSE - Other Index Options'!$I:$I,"Weekly*")+SUMIFS('BSE - Other Index Options'!$M:$M,'BSE - Other Index Options'!$C:$C,$A231,'BSE - Other Index Options'!$B:$B,D$147,'BSE - Other Index Options'!$I:$I,"MDAW*")=0,"",SUMIFS('BSE - SENSEX Index Options'!$M:$M,'BSE - SENSEX Index Options'!$C:$C,$A231,'BSE - SENSEX Index Options'!$B:$B,D$147,'BSE - SENSEX Index Options'!$I:$I,"Weekly*")+SUMIFS('BSE - SENSEX Index Options'!$M:$M,'BSE - SENSEX Index Options'!$C:$C,$A231,'BSE - SENSEX Index Options'!$B:$B,D$147,'BSE - SENSEX Index Options'!$I:$I,"MDAW*")+SUMIFS('BSE - Other Index Options'!$M:$M,'BSE - Other Index Options'!$C:$C,$A231,'BSE - Other Index Options'!$B:$B,D$147,'BSE - Other Index Options'!$I:$I,"Weekly*")+SUMIFS('BSE - Other Index Options'!$M:$M,'BSE - Other Index Options'!$C:$C,$A231,'BSE - Other Index Options'!$B:$B,D$147,'BSE - Other Index Options'!$I:$I,"MDAW*"))</f>
        <v/>
      </c>
      <c r="E231" s="26">
        <f>IF(SUMIFS('BSE - SENSEX Index Options'!$M:$M,'BSE - SENSEX Index Options'!$C:$C,$A231,'BSE - SENSEX Index Options'!$B:$B,E$147,'BSE - SENSEX Index Options'!$I:$I,"Weekly*")+SUMIFS('BSE - SENSEX Index Options'!$M:$M,'BSE - SENSEX Index Options'!$C:$C,$A231,'BSE - SENSEX Index Options'!$B:$B,E$147,'BSE - SENSEX Index Options'!$I:$I,"MDAW*")+SUMIFS('BSE - Other Index Options'!$M:$M,'BSE - Other Index Options'!$C:$C,$A231,'BSE - Other Index Options'!$B:$B,E$147,'BSE - Other Index Options'!$I:$I,"Weekly*")+SUMIFS('BSE - Other Index Options'!$M:$M,'BSE - Other Index Options'!$C:$C,$A231,'BSE - Other Index Options'!$B:$B,E$147,'BSE - Other Index Options'!$I:$I,"MDAW*")=0,"",SUMIFS('BSE - SENSEX Index Options'!$M:$M,'BSE - SENSEX Index Options'!$C:$C,$A231,'BSE - SENSEX Index Options'!$B:$B,E$147,'BSE - SENSEX Index Options'!$I:$I,"Weekly*")+SUMIFS('BSE - SENSEX Index Options'!$M:$M,'BSE - SENSEX Index Options'!$C:$C,$A231,'BSE - SENSEX Index Options'!$B:$B,E$147,'BSE - SENSEX Index Options'!$I:$I,"MDAW*")+SUMIFS('BSE - Other Index Options'!$M:$M,'BSE - Other Index Options'!$C:$C,$A231,'BSE - Other Index Options'!$B:$B,E$147,'BSE - Other Index Options'!$I:$I,"Weekly*")+SUMIFS('BSE - Other Index Options'!$M:$M,'BSE - Other Index Options'!$C:$C,$A231,'BSE - Other Index Options'!$B:$B,E$147,'BSE - Other Index Options'!$I:$I,"MDAW*"))</f>
        <v/>
      </c>
      <c r="F231" s="26">
        <f>IF(SUMIFS('BSE - SENSEX Index Options'!$M:$M,'BSE - SENSEX Index Options'!$C:$C,$A231,'BSE - SENSEX Index Options'!$B:$B,F$147,'BSE - SENSEX Index Options'!$I:$I,"Weekly*")+SUMIFS('BSE - SENSEX Index Options'!$M:$M,'BSE - SENSEX Index Options'!$C:$C,$A231,'BSE - SENSEX Index Options'!$B:$B,F$147,'BSE - SENSEX Index Options'!$I:$I,"MDAW*")+SUMIFS('BSE - Other Index Options'!$M:$M,'BSE - Other Index Options'!$C:$C,$A231,'BSE - Other Index Options'!$B:$B,F$147,'BSE - Other Index Options'!$I:$I,"Weekly*")+SUMIFS('BSE - Other Index Options'!$M:$M,'BSE - Other Index Options'!$C:$C,$A231,'BSE - Other Index Options'!$B:$B,F$147,'BSE - Other Index Options'!$I:$I,"MDAW*")=0,"",SUMIFS('BSE - SENSEX Index Options'!$M:$M,'BSE - SENSEX Index Options'!$C:$C,$A231,'BSE - SENSEX Index Options'!$B:$B,F$147,'BSE - SENSEX Index Options'!$I:$I,"Weekly*")+SUMIFS('BSE - SENSEX Index Options'!$M:$M,'BSE - SENSEX Index Options'!$C:$C,$A231,'BSE - SENSEX Index Options'!$B:$B,F$147,'BSE - SENSEX Index Options'!$I:$I,"MDAW*")+SUMIFS('BSE - Other Index Options'!$M:$M,'BSE - Other Index Options'!$C:$C,$A231,'BSE - Other Index Options'!$B:$B,F$147,'BSE - Other Index Options'!$I:$I,"Weekly*")+SUMIFS('BSE - Other Index Options'!$M:$M,'BSE - Other Index Options'!$C:$C,$A231,'BSE - Other Index Options'!$B:$B,F$147,'BSE - Other Index Options'!$I:$I,"MDAW*"))</f>
        <v/>
      </c>
      <c r="G231" s="26">
        <f>IF(SUMIFS('BSE - SENSEX Index Options'!$M:$M,'BSE - SENSEX Index Options'!$C:$C,$A231,'BSE - SENSEX Index Options'!$B:$B,G$147,'BSE - SENSEX Index Options'!$I:$I,"Weekly*")+SUMIFS('BSE - SENSEX Index Options'!$M:$M,'BSE - SENSEX Index Options'!$C:$C,$A231,'BSE - SENSEX Index Options'!$B:$B,G$147,'BSE - SENSEX Index Options'!$I:$I,"MDAW*")+SUMIFS('BSE - Other Index Options'!$M:$M,'BSE - Other Index Options'!$C:$C,$A231,'BSE - Other Index Options'!$B:$B,G$147,'BSE - Other Index Options'!$I:$I,"Weekly*")+SUMIFS('BSE - Other Index Options'!$M:$M,'BSE - Other Index Options'!$C:$C,$A231,'BSE - Other Index Options'!$B:$B,G$147,'BSE - Other Index Options'!$I:$I,"MDAW*")=0,"",SUMIFS('BSE - SENSEX Index Options'!$M:$M,'BSE - SENSEX Index Options'!$C:$C,$A231,'BSE - SENSEX Index Options'!$B:$B,G$147,'BSE - SENSEX Index Options'!$I:$I,"Weekly*")+SUMIFS('BSE - SENSEX Index Options'!$M:$M,'BSE - SENSEX Index Options'!$C:$C,$A231,'BSE - SENSEX Index Options'!$B:$B,G$147,'BSE - SENSEX Index Options'!$I:$I,"MDAW*")+SUMIFS('BSE - Other Index Options'!$M:$M,'BSE - Other Index Options'!$C:$C,$A231,'BSE - Other Index Options'!$B:$B,G$147,'BSE - Other Index Options'!$I:$I,"Weekly*")+SUMIFS('BSE - Other Index Options'!$M:$M,'BSE - Other Index Options'!$C:$C,$A231,'BSE - Other Index Options'!$B:$B,G$147,'BSE - Other Index Options'!$I:$I,"MDAW*"))</f>
        <v/>
      </c>
      <c r="H231" s="26">
        <f>IF(SUM(B231:G231)=0,"",SUM(B231:G231))</f>
        <v/>
      </c>
    </row>
    <row r="232" hidden="1" outlineLevel="1">
      <c r="A232" t="inlineStr">
        <is>
          <t>Week1-Feb-2027</t>
        </is>
      </c>
      <c r="B232" s="26">
        <f>IF(SUMIFS('BSE - SENSEX Index Options'!$M:$M,'BSE - SENSEX Index Options'!$C:$C,$A232,'BSE - SENSEX Index Options'!$B:$B,B$147,'BSE - SENSEX Index Options'!$I:$I,"Weekly*")+SUMIFS('BSE - SENSEX Index Options'!$M:$M,'BSE - SENSEX Index Options'!$C:$C,$A232,'BSE - SENSEX Index Options'!$B:$B,B$147,'BSE - SENSEX Index Options'!$I:$I,"MDAW*")+SUMIFS('BSE - Other Index Options'!$M:$M,'BSE - Other Index Options'!$C:$C,$A232,'BSE - Other Index Options'!$B:$B,B$147,'BSE - Other Index Options'!$I:$I,"Weekly*")+SUMIFS('BSE - Other Index Options'!$M:$M,'BSE - Other Index Options'!$C:$C,$A232,'BSE - Other Index Options'!$B:$B,B$147,'BSE - Other Index Options'!$I:$I,"MDAW*")=0,"",SUMIFS('BSE - SENSEX Index Options'!$M:$M,'BSE - SENSEX Index Options'!$C:$C,$A232,'BSE - SENSEX Index Options'!$B:$B,B$147,'BSE - SENSEX Index Options'!$I:$I,"Weekly*")+SUMIFS('BSE - SENSEX Index Options'!$M:$M,'BSE - SENSEX Index Options'!$C:$C,$A232,'BSE - SENSEX Index Options'!$B:$B,B$147,'BSE - SENSEX Index Options'!$I:$I,"MDAW*")+SUMIFS('BSE - Other Index Options'!$M:$M,'BSE - Other Index Options'!$C:$C,$A232,'BSE - Other Index Options'!$B:$B,B$147,'BSE - Other Index Options'!$I:$I,"Weekly*")+SUMIFS('BSE - Other Index Options'!$M:$M,'BSE - Other Index Options'!$C:$C,$A232,'BSE - Other Index Options'!$B:$B,B$147,'BSE - Other Index Options'!$I:$I,"MDAW*"))</f>
        <v/>
      </c>
      <c r="C232" s="26">
        <f>IF(SUMIFS('BSE - SENSEX Index Options'!$M:$M,'BSE - SENSEX Index Options'!$C:$C,$A232,'BSE - SENSEX Index Options'!$B:$B,C$147,'BSE - SENSEX Index Options'!$I:$I,"Weekly*")+SUMIFS('BSE - SENSEX Index Options'!$M:$M,'BSE - SENSEX Index Options'!$C:$C,$A232,'BSE - SENSEX Index Options'!$B:$B,C$147,'BSE - SENSEX Index Options'!$I:$I,"MDAW*")+SUMIFS('BSE - Other Index Options'!$M:$M,'BSE - Other Index Options'!$C:$C,$A232,'BSE - Other Index Options'!$B:$B,C$147,'BSE - Other Index Options'!$I:$I,"Weekly*")+SUMIFS('BSE - Other Index Options'!$M:$M,'BSE - Other Index Options'!$C:$C,$A232,'BSE - Other Index Options'!$B:$B,C$147,'BSE - Other Index Options'!$I:$I,"MDAW*")=0,"",SUMIFS('BSE - SENSEX Index Options'!$M:$M,'BSE - SENSEX Index Options'!$C:$C,$A232,'BSE - SENSEX Index Options'!$B:$B,C$147,'BSE - SENSEX Index Options'!$I:$I,"Weekly*")+SUMIFS('BSE - SENSEX Index Options'!$M:$M,'BSE - SENSEX Index Options'!$C:$C,$A232,'BSE - SENSEX Index Options'!$B:$B,C$147,'BSE - SENSEX Index Options'!$I:$I,"MDAW*")+SUMIFS('BSE - Other Index Options'!$M:$M,'BSE - Other Index Options'!$C:$C,$A232,'BSE - Other Index Options'!$B:$B,C$147,'BSE - Other Index Options'!$I:$I,"Weekly*")+SUMIFS('BSE - Other Index Options'!$M:$M,'BSE - Other Index Options'!$C:$C,$A232,'BSE - Other Index Options'!$B:$B,C$147,'BSE - Other Index Options'!$I:$I,"MDAW*"))</f>
        <v/>
      </c>
      <c r="D232" s="26">
        <f>IF(SUMIFS('BSE - SENSEX Index Options'!$M:$M,'BSE - SENSEX Index Options'!$C:$C,$A232,'BSE - SENSEX Index Options'!$B:$B,D$147,'BSE - SENSEX Index Options'!$I:$I,"Weekly*")+SUMIFS('BSE - SENSEX Index Options'!$M:$M,'BSE - SENSEX Index Options'!$C:$C,$A232,'BSE - SENSEX Index Options'!$B:$B,D$147,'BSE - SENSEX Index Options'!$I:$I,"MDAW*")+SUMIFS('BSE - Other Index Options'!$M:$M,'BSE - Other Index Options'!$C:$C,$A232,'BSE - Other Index Options'!$B:$B,D$147,'BSE - Other Index Options'!$I:$I,"Weekly*")+SUMIFS('BSE - Other Index Options'!$M:$M,'BSE - Other Index Options'!$C:$C,$A232,'BSE - Other Index Options'!$B:$B,D$147,'BSE - Other Index Options'!$I:$I,"MDAW*")=0,"",SUMIFS('BSE - SENSEX Index Options'!$M:$M,'BSE - SENSEX Index Options'!$C:$C,$A232,'BSE - SENSEX Index Options'!$B:$B,D$147,'BSE - SENSEX Index Options'!$I:$I,"Weekly*")+SUMIFS('BSE - SENSEX Index Options'!$M:$M,'BSE - SENSEX Index Options'!$C:$C,$A232,'BSE - SENSEX Index Options'!$B:$B,D$147,'BSE - SENSEX Index Options'!$I:$I,"MDAW*")+SUMIFS('BSE - Other Index Options'!$M:$M,'BSE - Other Index Options'!$C:$C,$A232,'BSE - Other Index Options'!$B:$B,D$147,'BSE - Other Index Options'!$I:$I,"Weekly*")+SUMIFS('BSE - Other Index Options'!$M:$M,'BSE - Other Index Options'!$C:$C,$A232,'BSE - Other Index Options'!$B:$B,D$147,'BSE - Other Index Options'!$I:$I,"MDAW*"))</f>
        <v/>
      </c>
      <c r="E232" s="26">
        <f>IF(SUMIFS('BSE - SENSEX Index Options'!$M:$M,'BSE - SENSEX Index Options'!$C:$C,$A232,'BSE - SENSEX Index Options'!$B:$B,E$147,'BSE - SENSEX Index Options'!$I:$I,"Weekly*")+SUMIFS('BSE - SENSEX Index Options'!$M:$M,'BSE - SENSEX Index Options'!$C:$C,$A232,'BSE - SENSEX Index Options'!$B:$B,E$147,'BSE - SENSEX Index Options'!$I:$I,"MDAW*")+SUMIFS('BSE - Other Index Options'!$M:$M,'BSE - Other Index Options'!$C:$C,$A232,'BSE - Other Index Options'!$B:$B,E$147,'BSE - Other Index Options'!$I:$I,"Weekly*")+SUMIFS('BSE - Other Index Options'!$M:$M,'BSE - Other Index Options'!$C:$C,$A232,'BSE - Other Index Options'!$B:$B,E$147,'BSE - Other Index Options'!$I:$I,"MDAW*")=0,"",SUMIFS('BSE - SENSEX Index Options'!$M:$M,'BSE - SENSEX Index Options'!$C:$C,$A232,'BSE - SENSEX Index Options'!$B:$B,E$147,'BSE - SENSEX Index Options'!$I:$I,"Weekly*")+SUMIFS('BSE - SENSEX Index Options'!$M:$M,'BSE - SENSEX Index Options'!$C:$C,$A232,'BSE - SENSEX Index Options'!$B:$B,E$147,'BSE - SENSEX Index Options'!$I:$I,"MDAW*")+SUMIFS('BSE - Other Index Options'!$M:$M,'BSE - Other Index Options'!$C:$C,$A232,'BSE - Other Index Options'!$B:$B,E$147,'BSE - Other Index Options'!$I:$I,"Weekly*")+SUMIFS('BSE - Other Index Options'!$M:$M,'BSE - Other Index Options'!$C:$C,$A232,'BSE - Other Index Options'!$B:$B,E$147,'BSE - Other Index Options'!$I:$I,"MDAW*"))</f>
        <v/>
      </c>
      <c r="F232" s="26">
        <f>IF(SUMIFS('BSE - SENSEX Index Options'!$M:$M,'BSE - SENSEX Index Options'!$C:$C,$A232,'BSE - SENSEX Index Options'!$B:$B,F$147,'BSE - SENSEX Index Options'!$I:$I,"Weekly*")+SUMIFS('BSE - SENSEX Index Options'!$M:$M,'BSE - SENSEX Index Options'!$C:$C,$A232,'BSE - SENSEX Index Options'!$B:$B,F$147,'BSE - SENSEX Index Options'!$I:$I,"MDAW*")+SUMIFS('BSE - Other Index Options'!$M:$M,'BSE - Other Index Options'!$C:$C,$A232,'BSE - Other Index Options'!$B:$B,F$147,'BSE - Other Index Options'!$I:$I,"Weekly*")+SUMIFS('BSE - Other Index Options'!$M:$M,'BSE - Other Index Options'!$C:$C,$A232,'BSE - Other Index Options'!$B:$B,F$147,'BSE - Other Index Options'!$I:$I,"MDAW*")=0,"",SUMIFS('BSE - SENSEX Index Options'!$M:$M,'BSE - SENSEX Index Options'!$C:$C,$A232,'BSE - SENSEX Index Options'!$B:$B,F$147,'BSE - SENSEX Index Options'!$I:$I,"Weekly*")+SUMIFS('BSE - SENSEX Index Options'!$M:$M,'BSE - SENSEX Index Options'!$C:$C,$A232,'BSE - SENSEX Index Options'!$B:$B,F$147,'BSE - SENSEX Index Options'!$I:$I,"MDAW*")+SUMIFS('BSE - Other Index Options'!$M:$M,'BSE - Other Index Options'!$C:$C,$A232,'BSE - Other Index Options'!$B:$B,F$147,'BSE - Other Index Options'!$I:$I,"Weekly*")+SUMIFS('BSE - Other Index Options'!$M:$M,'BSE - Other Index Options'!$C:$C,$A232,'BSE - Other Index Options'!$B:$B,F$147,'BSE - Other Index Options'!$I:$I,"MDAW*"))</f>
        <v/>
      </c>
      <c r="G232" s="26">
        <f>IF(SUMIFS('BSE - SENSEX Index Options'!$M:$M,'BSE - SENSEX Index Options'!$C:$C,$A232,'BSE - SENSEX Index Options'!$B:$B,G$147,'BSE - SENSEX Index Options'!$I:$I,"Weekly*")+SUMIFS('BSE - SENSEX Index Options'!$M:$M,'BSE - SENSEX Index Options'!$C:$C,$A232,'BSE - SENSEX Index Options'!$B:$B,G$147,'BSE - SENSEX Index Options'!$I:$I,"MDAW*")+SUMIFS('BSE - Other Index Options'!$M:$M,'BSE - Other Index Options'!$C:$C,$A232,'BSE - Other Index Options'!$B:$B,G$147,'BSE - Other Index Options'!$I:$I,"Weekly*")+SUMIFS('BSE - Other Index Options'!$M:$M,'BSE - Other Index Options'!$C:$C,$A232,'BSE - Other Index Options'!$B:$B,G$147,'BSE - Other Index Options'!$I:$I,"MDAW*")=0,"",SUMIFS('BSE - SENSEX Index Options'!$M:$M,'BSE - SENSEX Index Options'!$C:$C,$A232,'BSE - SENSEX Index Options'!$B:$B,G$147,'BSE - SENSEX Index Options'!$I:$I,"Weekly*")+SUMIFS('BSE - SENSEX Index Options'!$M:$M,'BSE - SENSEX Index Options'!$C:$C,$A232,'BSE - SENSEX Index Options'!$B:$B,G$147,'BSE - SENSEX Index Options'!$I:$I,"MDAW*")+SUMIFS('BSE - Other Index Options'!$M:$M,'BSE - Other Index Options'!$C:$C,$A232,'BSE - Other Index Options'!$B:$B,G$147,'BSE - Other Index Options'!$I:$I,"Weekly*")+SUMIFS('BSE - Other Index Options'!$M:$M,'BSE - Other Index Options'!$C:$C,$A232,'BSE - Other Index Options'!$B:$B,G$147,'BSE - Other Index Options'!$I:$I,"MDAW*"))</f>
        <v/>
      </c>
      <c r="H232" s="26">
        <f>IF(SUM(B232:G232)=0,"",SUM(B232:G232))</f>
        <v/>
      </c>
    </row>
    <row r="233" hidden="1" outlineLevel="1">
      <c r="A233" t="inlineStr">
        <is>
          <t>Week2-Feb-2027</t>
        </is>
      </c>
      <c r="B233" s="26">
        <f>IF(SUMIFS('BSE - SENSEX Index Options'!$M:$M,'BSE - SENSEX Index Options'!$C:$C,$A233,'BSE - SENSEX Index Options'!$B:$B,B$147,'BSE - SENSEX Index Options'!$I:$I,"Weekly*")+SUMIFS('BSE - SENSEX Index Options'!$M:$M,'BSE - SENSEX Index Options'!$C:$C,$A233,'BSE - SENSEX Index Options'!$B:$B,B$147,'BSE - SENSEX Index Options'!$I:$I,"MDAW*")+SUMIFS('BSE - Other Index Options'!$M:$M,'BSE - Other Index Options'!$C:$C,$A233,'BSE - Other Index Options'!$B:$B,B$147,'BSE - Other Index Options'!$I:$I,"Weekly*")+SUMIFS('BSE - Other Index Options'!$M:$M,'BSE - Other Index Options'!$C:$C,$A233,'BSE - Other Index Options'!$B:$B,B$147,'BSE - Other Index Options'!$I:$I,"MDAW*")=0,"",SUMIFS('BSE - SENSEX Index Options'!$M:$M,'BSE - SENSEX Index Options'!$C:$C,$A233,'BSE - SENSEX Index Options'!$B:$B,B$147,'BSE - SENSEX Index Options'!$I:$I,"Weekly*")+SUMIFS('BSE - SENSEX Index Options'!$M:$M,'BSE - SENSEX Index Options'!$C:$C,$A233,'BSE - SENSEX Index Options'!$B:$B,B$147,'BSE - SENSEX Index Options'!$I:$I,"MDAW*")+SUMIFS('BSE - Other Index Options'!$M:$M,'BSE - Other Index Options'!$C:$C,$A233,'BSE - Other Index Options'!$B:$B,B$147,'BSE - Other Index Options'!$I:$I,"Weekly*")+SUMIFS('BSE - Other Index Options'!$M:$M,'BSE - Other Index Options'!$C:$C,$A233,'BSE - Other Index Options'!$B:$B,B$147,'BSE - Other Index Options'!$I:$I,"MDAW*"))</f>
        <v/>
      </c>
      <c r="C233" s="26">
        <f>IF(SUMIFS('BSE - SENSEX Index Options'!$M:$M,'BSE - SENSEX Index Options'!$C:$C,$A233,'BSE - SENSEX Index Options'!$B:$B,C$147,'BSE - SENSEX Index Options'!$I:$I,"Weekly*")+SUMIFS('BSE - SENSEX Index Options'!$M:$M,'BSE - SENSEX Index Options'!$C:$C,$A233,'BSE - SENSEX Index Options'!$B:$B,C$147,'BSE - SENSEX Index Options'!$I:$I,"MDAW*")+SUMIFS('BSE - Other Index Options'!$M:$M,'BSE - Other Index Options'!$C:$C,$A233,'BSE - Other Index Options'!$B:$B,C$147,'BSE - Other Index Options'!$I:$I,"Weekly*")+SUMIFS('BSE - Other Index Options'!$M:$M,'BSE - Other Index Options'!$C:$C,$A233,'BSE - Other Index Options'!$B:$B,C$147,'BSE - Other Index Options'!$I:$I,"MDAW*")=0,"",SUMIFS('BSE - SENSEX Index Options'!$M:$M,'BSE - SENSEX Index Options'!$C:$C,$A233,'BSE - SENSEX Index Options'!$B:$B,C$147,'BSE - SENSEX Index Options'!$I:$I,"Weekly*")+SUMIFS('BSE - SENSEX Index Options'!$M:$M,'BSE - SENSEX Index Options'!$C:$C,$A233,'BSE - SENSEX Index Options'!$B:$B,C$147,'BSE - SENSEX Index Options'!$I:$I,"MDAW*")+SUMIFS('BSE - Other Index Options'!$M:$M,'BSE - Other Index Options'!$C:$C,$A233,'BSE - Other Index Options'!$B:$B,C$147,'BSE - Other Index Options'!$I:$I,"Weekly*")+SUMIFS('BSE - Other Index Options'!$M:$M,'BSE - Other Index Options'!$C:$C,$A233,'BSE - Other Index Options'!$B:$B,C$147,'BSE - Other Index Options'!$I:$I,"MDAW*"))</f>
        <v/>
      </c>
      <c r="D233" s="26">
        <f>IF(SUMIFS('BSE - SENSEX Index Options'!$M:$M,'BSE - SENSEX Index Options'!$C:$C,$A233,'BSE - SENSEX Index Options'!$B:$B,D$147,'BSE - SENSEX Index Options'!$I:$I,"Weekly*")+SUMIFS('BSE - SENSEX Index Options'!$M:$M,'BSE - SENSEX Index Options'!$C:$C,$A233,'BSE - SENSEX Index Options'!$B:$B,D$147,'BSE - SENSEX Index Options'!$I:$I,"MDAW*")+SUMIFS('BSE - Other Index Options'!$M:$M,'BSE - Other Index Options'!$C:$C,$A233,'BSE - Other Index Options'!$B:$B,D$147,'BSE - Other Index Options'!$I:$I,"Weekly*")+SUMIFS('BSE - Other Index Options'!$M:$M,'BSE - Other Index Options'!$C:$C,$A233,'BSE - Other Index Options'!$B:$B,D$147,'BSE - Other Index Options'!$I:$I,"MDAW*")=0,"",SUMIFS('BSE - SENSEX Index Options'!$M:$M,'BSE - SENSEX Index Options'!$C:$C,$A233,'BSE - SENSEX Index Options'!$B:$B,D$147,'BSE - SENSEX Index Options'!$I:$I,"Weekly*")+SUMIFS('BSE - SENSEX Index Options'!$M:$M,'BSE - SENSEX Index Options'!$C:$C,$A233,'BSE - SENSEX Index Options'!$B:$B,D$147,'BSE - SENSEX Index Options'!$I:$I,"MDAW*")+SUMIFS('BSE - Other Index Options'!$M:$M,'BSE - Other Index Options'!$C:$C,$A233,'BSE - Other Index Options'!$B:$B,D$147,'BSE - Other Index Options'!$I:$I,"Weekly*")+SUMIFS('BSE - Other Index Options'!$M:$M,'BSE - Other Index Options'!$C:$C,$A233,'BSE - Other Index Options'!$B:$B,D$147,'BSE - Other Index Options'!$I:$I,"MDAW*"))</f>
        <v/>
      </c>
      <c r="E233" s="26">
        <f>IF(SUMIFS('BSE - SENSEX Index Options'!$M:$M,'BSE - SENSEX Index Options'!$C:$C,$A233,'BSE - SENSEX Index Options'!$B:$B,E$147,'BSE - SENSEX Index Options'!$I:$I,"Weekly*")+SUMIFS('BSE - SENSEX Index Options'!$M:$M,'BSE - SENSEX Index Options'!$C:$C,$A233,'BSE - SENSEX Index Options'!$B:$B,E$147,'BSE - SENSEX Index Options'!$I:$I,"MDAW*")+SUMIFS('BSE - Other Index Options'!$M:$M,'BSE - Other Index Options'!$C:$C,$A233,'BSE - Other Index Options'!$B:$B,E$147,'BSE - Other Index Options'!$I:$I,"Weekly*")+SUMIFS('BSE - Other Index Options'!$M:$M,'BSE - Other Index Options'!$C:$C,$A233,'BSE - Other Index Options'!$B:$B,E$147,'BSE - Other Index Options'!$I:$I,"MDAW*")=0,"",SUMIFS('BSE - SENSEX Index Options'!$M:$M,'BSE - SENSEX Index Options'!$C:$C,$A233,'BSE - SENSEX Index Options'!$B:$B,E$147,'BSE - SENSEX Index Options'!$I:$I,"Weekly*")+SUMIFS('BSE - SENSEX Index Options'!$M:$M,'BSE - SENSEX Index Options'!$C:$C,$A233,'BSE - SENSEX Index Options'!$B:$B,E$147,'BSE - SENSEX Index Options'!$I:$I,"MDAW*")+SUMIFS('BSE - Other Index Options'!$M:$M,'BSE - Other Index Options'!$C:$C,$A233,'BSE - Other Index Options'!$B:$B,E$147,'BSE - Other Index Options'!$I:$I,"Weekly*")+SUMIFS('BSE - Other Index Options'!$M:$M,'BSE - Other Index Options'!$C:$C,$A233,'BSE - Other Index Options'!$B:$B,E$147,'BSE - Other Index Options'!$I:$I,"MDAW*"))</f>
        <v/>
      </c>
      <c r="F233" s="26">
        <f>IF(SUMIFS('BSE - SENSEX Index Options'!$M:$M,'BSE - SENSEX Index Options'!$C:$C,$A233,'BSE - SENSEX Index Options'!$B:$B,F$147,'BSE - SENSEX Index Options'!$I:$I,"Weekly*")+SUMIFS('BSE - SENSEX Index Options'!$M:$M,'BSE - SENSEX Index Options'!$C:$C,$A233,'BSE - SENSEX Index Options'!$B:$B,F$147,'BSE - SENSEX Index Options'!$I:$I,"MDAW*")+SUMIFS('BSE - Other Index Options'!$M:$M,'BSE - Other Index Options'!$C:$C,$A233,'BSE - Other Index Options'!$B:$B,F$147,'BSE - Other Index Options'!$I:$I,"Weekly*")+SUMIFS('BSE - Other Index Options'!$M:$M,'BSE - Other Index Options'!$C:$C,$A233,'BSE - Other Index Options'!$B:$B,F$147,'BSE - Other Index Options'!$I:$I,"MDAW*")=0,"",SUMIFS('BSE - SENSEX Index Options'!$M:$M,'BSE - SENSEX Index Options'!$C:$C,$A233,'BSE - SENSEX Index Options'!$B:$B,F$147,'BSE - SENSEX Index Options'!$I:$I,"Weekly*")+SUMIFS('BSE - SENSEX Index Options'!$M:$M,'BSE - SENSEX Index Options'!$C:$C,$A233,'BSE - SENSEX Index Options'!$B:$B,F$147,'BSE - SENSEX Index Options'!$I:$I,"MDAW*")+SUMIFS('BSE - Other Index Options'!$M:$M,'BSE - Other Index Options'!$C:$C,$A233,'BSE - Other Index Options'!$B:$B,F$147,'BSE - Other Index Options'!$I:$I,"Weekly*")+SUMIFS('BSE - Other Index Options'!$M:$M,'BSE - Other Index Options'!$C:$C,$A233,'BSE - Other Index Options'!$B:$B,F$147,'BSE - Other Index Options'!$I:$I,"MDAW*"))</f>
        <v/>
      </c>
      <c r="G233" s="26">
        <f>IF(SUMIFS('BSE - SENSEX Index Options'!$M:$M,'BSE - SENSEX Index Options'!$C:$C,$A233,'BSE - SENSEX Index Options'!$B:$B,G$147,'BSE - SENSEX Index Options'!$I:$I,"Weekly*")+SUMIFS('BSE - SENSEX Index Options'!$M:$M,'BSE - SENSEX Index Options'!$C:$C,$A233,'BSE - SENSEX Index Options'!$B:$B,G$147,'BSE - SENSEX Index Options'!$I:$I,"MDAW*")+SUMIFS('BSE - Other Index Options'!$M:$M,'BSE - Other Index Options'!$C:$C,$A233,'BSE - Other Index Options'!$B:$B,G$147,'BSE - Other Index Options'!$I:$I,"Weekly*")+SUMIFS('BSE - Other Index Options'!$M:$M,'BSE - Other Index Options'!$C:$C,$A233,'BSE - Other Index Options'!$B:$B,G$147,'BSE - Other Index Options'!$I:$I,"MDAW*")=0,"",SUMIFS('BSE - SENSEX Index Options'!$M:$M,'BSE - SENSEX Index Options'!$C:$C,$A233,'BSE - SENSEX Index Options'!$B:$B,G$147,'BSE - SENSEX Index Options'!$I:$I,"Weekly*")+SUMIFS('BSE - SENSEX Index Options'!$M:$M,'BSE - SENSEX Index Options'!$C:$C,$A233,'BSE - SENSEX Index Options'!$B:$B,G$147,'BSE - SENSEX Index Options'!$I:$I,"MDAW*")+SUMIFS('BSE - Other Index Options'!$M:$M,'BSE - Other Index Options'!$C:$C,$A233,'BSE - Other Index Options'!$B:$B,G$147,'BSE - Other Index Options'!$I:$I,"Weekly*")+SUMIFS('BSE - Other Index Options'!$M:$M,'BSE - Other Index Options'!$C:$C,$A233,'BSE - Other Index Options'!$B:$B,G$147,'BSE - Other Index Options'!$I:$I,"MDAW*"))</f>
        <v/>
      </c>
      <c r="H233" s="26">
        <f>IF(SUM(B233:G233)=0,"",SUM(B233:G233))</f>
        <v/>
      </c>
    </row>
    <row r="234" hidden="1" outlineLevel="1">
      <c r="A234" t="inlineStr">
        <is>
          <t>Week3-Feb-2027</t>
        </is>
      </c>
      <c r="B234" s="26">
        <f>IF(SUMIFS('BSE - SENSEX Index Options'!$M:$M,'BSE - SENSEX Index Options'!$C:$C,$A234,'BSE - SENSEX Index Options'!$B:$B,B$147,'BSE - SENSEX Index Options'!$I:$I,"Weekly*")+SUMIFS('BSE - SENSEX Index Options'!$M:$M,'BSE - SENSEX Index Options'!$C:$C,$A234,'BSE - SENSEX Index Options'!$B:$B,B$147,'BSE - SENSEX Index Options'!$I:$I,"MDAW*")+SUMIFS('BSE - Other Index Options'!$M:$M,'BSE - Other Index Options'!$C:$C,$A234,'BSE - Other Index Options'!$B:$B,B$147,'BSE - Other Index Options'!$I:$I,"Weekly*")+SUMIFS('BSE - Other Index Options'!$M:$M,'BSE - Other Index Options'!$C:$C,$A234,'BSE - Other Index Options'!$B:$B,B$147,'BSE - Other Index Options'!$I:$I,"MDAW*")=0,"",SUMIFS('BSE - SENSEX Index Options'!$M:$M,'BSE - SENSEX Index Options'!$C:$C,$A234,'BSE - SENSEX Index Options'!$B:$B,B$147,'BSE - SENSEX Index Options'!$I:$I,"Weekly*")+SUMIFS('BSE - SENSEX Index Options'!$M:$M,'BSE - SENSEX Index Options'!$C:$C,$A234,'BSE - SENSEX Index Options'!$B:$B,B$147,'BSE - SENSEX Index Options'!$I:$I,"MDAW*")+SUMIFS('BSE - Other Index Options'!$M:$M,'BSE - Other Index Options'!$C:$C,$A234,'BSE - Other Index Options'!$B:$B,B$147,'BSE - Other Index Options'!$I:$I,"Weekly*")+SUMIFS('BSE - Other Index Options'!$M:$M,'BSE - Other Index Options'!$C:$C,$A234,'BSE - Other Index Options'!$B:$B,B$147,'BSE - Other Index Options'!$I:$I,"MDAW*"))</f>
        <v/>
      </c>
      <c r="C234" s="26">
        <f>IF(SUMIFS('BSE - SENSEX Index Options'!$M:$M,'BSE - SENSEX Index Options'!$C:$C,$A234,'BSE - SENSEX Index Options'!$B:$B,C$147,'BSE - SENSEX Index Options'!$I:$I,"Weekly*")+SUMIFS('BSE - SENSEX Index Options'!$M:$M,'BSE - SENSEX Index Options'!$C:$C,$A234,'BSE - SENSEX Index Options'!$B:$B,C$147,'BSE - SENSEX Index Options'!$I:$I,"MDAW*")+SUMIFS('BSE - Other Index Options'!$M:$M,'BSE - Other Index Options'!$C:$C,$A234,'BSE - Other Index Options'!$B:$B,C$147,'BSE - Other Index Options'!$I:$I,"Weekly*")+SUMIFS('BSE - Other Index Options'!$M:$M,'BSE - Other Index Options'!$C:$C,$A234,'BSE - Other Index Options'!$B:$B,C$147,'BSE - Other Index Options'!$I:$I,"MDAW*")=0,"",SUMIFS('BSE - SENSEX Index Options'!$M:$M,'BSE - SENSEX Index Options'!$C:$C,$A234,'BSE - SENSEX Index Options'!$B:$B,C$147,'BSE - SENSEX Index Options'!$I:$I,"Weekly*")+SUMIFS('BSE - SENSEX Index Options'!$M:$M,'BSE - SENSEX Index Options'!$C:$C,$A234,'BSE - SENSEX Index Options'!$B:$B,C$147,'BSE - SENSEX Index Options'!$I:$I,"MDAW*")+SUMIFS('BSE - Other Index Options'!$M:$M,'BSE - Other Index Options'!$C:$C,$A234,'BSE - Other Index Options'!$B:$B,C$147,'BSE - Other Index Options'!$I:$I,"Weekly*")+SUMIFS('BSE - Other Index Options'!$M:$M,'BSE - Other Index Options'!$C:$C,$A234,'BSE - Other Index Options'!$B:$B,C$147,'BSE - Other Index Options'!$I:$I,"MDAW*"))</f>
        <v/>
      </c>
      <c r="D234" s="26">
        <f>IF(SUMIFS('BSE - SENSEX Index Options'!$M:$M,'BSE - SENSEX Index Options'!$C:$C,$A234,'BSE - SENSEX Index Options'!$B:$B,D$147,'BSE - SENSEX Index Options'!$I:$I,"Weekly*")+SUMIFS('BSE - SENSEX Index Options'!$M:$M,'BSE - SENSEX Index Options'!$C:$C,$A234,'BSE - SENSEX Index Options'!$B:$B,D$147,'BSE - SENSEX Index Options'!$I:$I,"MDAW*")+SUMIFS('BSE - Other Index Options'!$M:$M,'BSE - Other Index Options'!$C:$C,$A234,'BSE - Other Index Options'!$B:$B,D$147,'BSE - Other Index Options'!$I:$I,"Weekly*")+SUMIFS('BSE - Other Index Options'!$M:$M,'BSE - Other Index Options'!$C:$C,$A234,'BSE - Other Index Options'!$B:$B,D$147,'BSE - Other Index Options'!$I:$I,"MDAW*")=0,"",SUMIFS('BSE - SENSEX Index Options'!$M:$M,'BSE - SENSEX Index Options'!$C:$C,$A234,'BSE - SENSEX Index Options'!$B:$B,D$147,'BSE - SENSEX Index Options'!$I:$I,"Weekly*")+SUMIFS('BSE - SENSEX Index Options'!$M:$M,'BSE - SENSEX Index Options'!$C:$C,$A234,'BSE - SENSEX Index Options'!$B:$B,D$147,'BSE - SENSEX Index Options'!$I:$I,"MDAW*")+SUMIFS('BSE - Other Index Options'!$M:$M,'BSE - Other Index Options'!$C:$C,$A234,'BSE - Other Index Options'!$B:$B,D$147,'BSE - Other Index Options'!$I:$I,"Weekly*")+SUMIFS('BSE - Other Index Options'!$M:$M,'BSE - Other Index Options'!$C:$C,$A234,'BSE - Other Index Options'!$B:$B,D$147,'BSE - Other Index Options'!$I:$I,"MDAW*"))</f>
        <v/>
      </c>
      <c r="E234" s="26">
        <f>IF(SUMIFS('BSE - SENSEX Index Options'!$M:$M,'BSE - SENSEX Index Options'!$C:$C,$A234,'BSE - SENSEX Index Options'!$B:$B,E$147,'BSE - SENSEX Index Options'!$I:$I,"Weekly*")+SUMIFS('BSE - SENSEX Index Options'!$M:$M,'BSE - SENSEX Index Options'!$C:$C,$A234,'BSE - SENSEX Index Options'!$B:$B,E$147,'BSE - SENSEX Index Options'!$I:$I,"MDAW*")+SUMIFS('BSE - Other Index Options'!$M:$M,'BSE - Other Index Options'!$C:$C,$A234,'BSE - Other Index Options'!$B:$B,E$147,'BSE - Other Index Options'!$I:$I,"Weekly*")+SUMIFS('BSE - Other Index Options'!$M:$M,'BSE - Other Index Options'!$C:$C,$A234,'BSE - Other Index Options'!$B:$B,E$147,'BSE - Other Index Options'!$I:$I,"MDAW*")=0,"",SUMIFS('BSE - SENSEX Index Options'!$M:$M,'BSE - SENSEX Index Options'!$C:$C,$A234,'BSE - SENSEX Index Options'!$B:$B,E$147,'BSE - SENSEX Index Options'!$I:$I,"Weekly*")+SUMIFS('BSE - SENSEX Index Options'!$M:$M,'BSE - SENSEX Index Options'!$C:$C,$A234,'BSE - SENSEX Index Options'!$B:$B,E$147,'BSE - SENSEX Index Options'!$I:$I,"MDAW*")+SUMIFS('BSE - Other Index Options'!$M:$M,'BSE - Other Index Options'!$C:$C,$A234,'BSE - Other Index Options'!$B:$B,E$147,'BSE - Other Index Options'!$I:$I,"Weekly*")+SUMIFS('BSE - Other Index Options'!$M:$M,'BSE - Other Index Options'!$C:$C,$A234,'BSE - Other Index Options'!$B:$B,E$147,'BSE - Other Index Options'!$I:$I,"MDAW*"))</f>
        <v/>
      </c>
      <c r="F234" s="26">
        <f>IF(SUMIFS('BSE - SENSEX Index Options'!$M:$M,'BSE - SENSEX Index Options'!$C:$C,$A234,'BSE - SENSEX Index Options'!$B:$B,F$147,'BSE - SENSEX Index Options'!$I:$I,"Weekly*")+SUMIFS('BSE - SENSEX Index Options'!$M:$M,'BSE - SENSEX Index Options'!$C:$C,$A234,'BSE - SENSEX Index Options'!$B:$B,F$147,'BSE - SENSEX Index Options'!$I:$I,"MDAW*")+SUMIFS('BSE - Other Index Options'!$M:$M,'BSE - Other Index Options'!$C:$C,$A234,'BSE - Other Index Options'!$B:$B,F$147,'BSE - Other Index Options'!$I:$I,"Weekly*")+SUMIFS('BSE - Other Index Options'!$M:$M,'BSE - Other Index Options'!$C:$C,$A234,'BSE - Other Index Options'!$B:$B,F$147,'BSE - Other Index Options'!$I:$I,"MDAW*")=0,"",SUMIFS('BSE - SENSEX Index Options'!$M:$M,'BSE - SENSEX Index Options'!$C:$C,$A234,'BSE - SENSEX Index Options'!$B:$B,F$147,'BSE - SENSEX Index Options'!$I:$I,"Weekly*")+SUMIFS('BSE - SENSEX Index Options'!$M:$M,'BSE - SENSEX Index Options'!$C:$C,$A234,'BSE - SENSEX Index Options'!$B:$B,F$147,'BSE - SENSEX Index Options'!$I:$I,"MDAW*")+SUMIFS('BSE - Other Index Options'!$M:$M,'BSE - Other Index Options'!$C:$C,$A234,'BSE - Other Index Options'!$B:$B,F$147,'BSE - Other Index Options'!$I:$I,"Weekly*")+SUMIFS('BSE - Other Index Options'!$M:$M,'BSE - Other Index Options'!$C:$C,$A234,'BSE - Other Index Options'!$B:$B,F$147,'BSE - Other Index Options'!$I:$I,"MDAW*"))</f>
        <v/>
      </c>
      <c r="G234" s="26">
        <f>IF(SUMIFS('BSE - SENSEX Index Options'!$M:$M,'BSE - SENSEX Index Options'!$C:$C,$A234,'BSE - SENSEX Index Options'!$B:$B,G$147,'BSE - SENSEX Index Options'!$I:$I,"Weekly*")+SUMIFS('BSE - SENSEX Index Options'!$M:$M,'BSE - SENSEX Index Options'!$C:$C,$A234,'BSE - SENSEX Index Options'!$B:$B,G$147,'BSE - SENSEX Index Options'!$I:$I,"MDAW*")+SUMIFS('BSE - Other Index Options'!$M:$M,'BSE - Other Index Options'!$C:$C,$A234,'BSE - Other Index Options'!$B:$B,G$147,'BSE - Other Index Options'!$I:$I,"Weekly*")+SUMIFS('BSE - Other Index Options'!$M:$M,'BSE - Other Index Options'!$C:$C,$A234,'BSE - Other Index Options'!$B:$B,G$147,'BSE - Other Index Options'!$I:$I,"MDAW*")=0,"",SUMIFS('BSE - SENSEX Index Options'!$M:$M,'BSE - SENSEX Index Options'!$C:$C,$A234,'BSE - SENSEX Index Options'!$B:$B,G$147,'BSE - SENSEX Index Options'!$I:$I,"Weekly*")+SUMIFS('BSE - SENSEX Index Options'!$M:$M,'BSE - SENSEX Index Options'!$C:$C,$A234,'BSE - SENSEX Index Options'!$B:$B,G$147,'BSE - SENSEX Index Options'!$I:$I,"MDAW*")+SUMIFS('BSE - Other Index Options'!$M:$M,'BSE - Other Index Options'!$C:$C,$A234,'BSE - Other Index Options'!$B:$B,G$147,'BSE - Other Index Options'!$I:$I,"Weekly*")+SUMIFS('BSE - Other Index Options'!$M:$M,'BSE - Other Index Options'!$C:$C,$A234,'BSE - Other Index Options'!$B:$B,G$147,'BSE - Other Index Options'!$I:$I,"MDAW*"))</f>
        <v/>
      </c>
      <c r="H234" s="26">
        <f>IF(SUM(B234:G234)=0,"",SUM(B234:G234))</f>
        <v/>
      </c>
    </row>
    <row r="235" hidden="1" outlineLevel="1">
      <c r="A235" t="inlineStr">
        <is>
          <t>Week4-Feb-2027</t>
        </is>
      </c>
      <c r="B235" s="26">
        <f>IF(SUMIFS('BSE - SENSEX Index Options'!$M:$M,'BSE - SENSEX Index Options'!$C:$C,$A235,'BSE - SENSEX Index Options'!$B:$B,B$147,'BSE - SENSEX Index Options'!$I:$I,"Weekly*")+SUMIFS('BSE - SENSEX Index Options'!$M:$M,'BSE - SENSEX Index Options'!$C:$C,$A235,'BSE - SENSEX Index Options'!$B:$B,B$147,'BSE - SENSEX Index Options'!$I:$I,"MDAW*")+SUMIFS('BSE - Other Index Options'!$M:$M,'BSE - Other Index Options'!$C:$C,$A235,'BSE - Other Index Options'!$B:$B,B$147,'BSE - Other Index Options'!$I:$I,"Weekly*")+SUMIFS('BSE - Other Index Options'!$M:$M,'BSE - Other Index Options'!$C:$C,$A235,'BSE - Other Index Options'!$B:$B,B$147,'BSE - Other Index Options'!$I:$I,"MDAW*")=0,"",SUMIFS('BSE - SENSEX Index Options'!$M:$M,'BSE - SENSEX Index Options'!$C:$C,$A235,'BSE - SENSEX Index Options'!$B:$B,B$147,'BSE - SENSEX Index Options'!$I:$I,"Weekly*")+SUMIFS('BSE - SENSEX Index Options'!$M:$M,'BSE - SENSEX Index Options'!$C:$C,$A235,'BSE - SENSEX Index Options'!$B:$B,B$147,'BSE - SENSEX Index Options'!$I:$I,"MDAW*")+SUMIFS('BSE - Other Index Options'!$M:$M,'BSE - Other Index Options'!$C:$C,$A235,'BSE - Other Index Options'!$B:$B,B$147,'BSE - Other Index Options'!$I:$I,"Weekly*")+SUMIFS('BSE - Other Index Options'!$M:$M,'BSE - Other Index Options'!$C:$C,$A235,'BSE - Other Index Options'!$B:$B,B$147,'BSE - Other Index Options'!$I:$I,"MDAW*"))</f>
        <v/>
      </c>
      <c r="C235" s="26">
        <f>IF(SUMIFS('BSE - SENSEX Index Options'!$M:$M,'BSE - SENSEX Index Options'!$C:$C,$A235,'BSE - SENSEX Index Options'!$B:$B,C$147,'BSE - SENSEX Index Options'!$I:$I,"Weekly*")+SUMIFS('BSE - SENSEX Index Options'!$M:$M,'BSE - SENSEX Index Options'!$C:$C,$A235,'BSE - SENSEX Index Options'!$B:$B,C$147,'BSE - SENSEX Index Options'!$I:$I,"MDAW*")+SUMIFS('BSE - Other Index Options'!$M:$M,'BSE - Other Index Options'!$C:$C,$A235,'BSE - Other Index Options'!$B:$B,C$147,'BSE - Other Index Options'!$I:$I,"Weekly*")+SUMIFS('BSE - Other Index Options'!$M:$M,'BSE - Other Index Options'!$C:$C,$A235,'BSE - Other Index Options'!$B:$B,C$147,'BSE - Other Index Options'!$I:$I,"MDAW*")=0,"",SUMIFS('BSE - SENSEX Index Options'!$M:$M,'BSE - SENSEX Index Options'!$C:$C,$A235,'BSE - SENSEX Index Options'!$B:$B,C$147,'BSE - SENSEX Index Options'!$I:$I,"Weekly*")+SUMIFS('BSE - SENSEX Index Options'!$M:$M,'BSE - SENSEX Index Options'!$C:$C,$A235,'BSE - SENSEX Index Options'!$B:$B,C$147,'BSE - SENSEX Index Options'!$I:$I,"MDAW*")+SUMIFS('BSE - Other Index Options'!$M:$M,'BSE - Other Index Options'!$C:$C,$A235,'BSE - Other Index Options'!$B:$B,C$147,'BSE - Other Index Options'!$I:$I,"Weekly*")+SUMIFS('BSE - Other Index Options'!$M:$M,'BSE - Other Index Options'!$C:$C,$A235,'BSE - Other Index Options'!$B:$B,C$147,'BSE - Other Index Options'!$I:$I,"MDAW*"))</f>
        <v/>
      </c>
      <c r="D235" s="26">
        <f>IF(SUMIFS('BSE - SENSEX Index Options'!$M:$M,'BSE - SENSEX Index Options'!$C:$C,$A235,'BSE - SENSEX Index Options'!$B:$B,D$147,'BSE - SENSEX Index Options'!$I:$I,"Weekly*")+SUMIFS('BSE - SENSEX Index Options'!$M:$M,'BSE - SENSEX Index Options'!$C:$C,$A235,'BSE - SENSEX Index Options'!$B:$B,D$147,'BSE - SENSEX Index Options'!$I:$I,"MDAW*")+SUMIFS('BSE - Other Index Options'!$M:$M,'BSE - Other Index Options'!$C:$C,$A235,'BSE - Other Index Options'!$B:$B,D$147,'BSE - Other Index Options'!$I:$I,"Weekly*")+SUMIFS('BSE - Other Index Options'!$M:$M,'BSE - Other Index Options'!$C:$C,$A235,'BSE - Other Index Options'!$B:$B,D$147,'BSE - Other Index Options'!$I:$I,"MDAW*")=0,"",SUMIFS('BSE - SENSEX Index Options'!$M:$M,'BSE - SENSEX Index Options'!$C:$C,$A235,'BSE - SENSEX Index Options'!$B:$B,D$147,'BSE - SENSEX Index Options'!$I:$I,"Weekly*")+SUMIFS('BSE - SENSEX Index Options'!$M:$M,'BSE - SENSEX Index Options'!$C:$C,$A235,'BSE - SENSEX Index Options'!$B:$B,D$147,'BSE - SENSEX Index Options'!$I:$I,"MDAW*")+SUMIFS('BSE - Other Index Options'!$M:$M,'BSE - Other Index Options'!$C:$C,$A235,'BSE - Other Index Options'!$B:$B,D$147,'BSE - Other Index Options'!$I:$I,"Weekly*")+SUMIFS('BSE - Other Index Options'!$M:$M,'BSE - Other Index Options'!$C:$C,$A235,'BSE - Other Index Options'!$B:$B,D$147,'BSE - Other Index Options'!$I:$I,"MDAW*"))</f>
        <v/>
      </c>
      <c r="E235" s="26">
        <f>IF(SUMIFS('BSE - SENSEX Index Options'!$M:$M,'BSE - SENSEX Index Options'!$C:$C,$A235,'BSE - SENSEX Index Options'!$B:$B,E$147,'BSE - SENSEX Index Options'!$I:$I,"Weekly*")+SUMIFS('BSE - SENSEX Index Options'!$M:$M,'BSE - SENSEX Index Options'!$C:$C,$A235,'BSE - SENSEX Index Options'!$B:$B,E$147,'BSE - SENSEX Index Options'!$I:$I,"MDAW*")+SUMIFS('BSE - Other Index Options'!$M:$M,'BSE - Other Index Options'!$C:$C,$A235,'BSE - Other Index Options'!$B:$B,E$147,'BSE - Other Index Options'!$I:$I,"Weekly*")+SUMIFS('BSE - Other Index Options'!$M:$M,'BSE - Other Index Options'!$C:$C,$A235,'BSE - Other Index Options'!$B:$B,E$147,'BSE - Other Index Options'!$I:$I,"MDAW*")=0,"",SUMIFS('BSE - SENSEX Index Options'!$M:$M,'BSE - SENSEX Index Options'!$C:$C,$A235,'BSE - SENSEX Index Options'!$B:$B,E$147,'BSE - SENSEX Index Options'!$I:$I,"Weekly*")+SUMIFS('BSE - SENSEX Index Options'!$M:$M,'BSE - SENSEX Index Options'!$C:$C,$A235,'BSE - SENSEX Index Options'!$B:$B,E$147,'BSE - SENSEX Index Options'!$I:$I,"MDAW*")+SUMIFS('BSE - Other Index Options'!$M:$M,'BSE - Other Index Options'!$C:$C,$A235,'BSE - Other Index Options'!$B:$B,E$147,'BSE - Other Index Options'!$I:$I,"Weekly*")+SUMIFS('BSE - Other Index Options'!$M:$M,'BSE - Other Index Options'!$C:$C,$A235,'BSE - Other Index Options'!$B:$B,E$147,'BSE - Other Index Options'!$I:$I,"MDAW*"))</f>
        <v/>
      </c>
      <c r="F235" s="26">
        <f>IF(SUMIFS('BSE - SENSEX Index Options'!$M:$M,'BSE - SENSEX Index Options'!$C:$C,$A235,'BSE - SENSEX Index Options'!$B:$B,F$147,'BSE - SENSEX Index Options'!$I:$I,"Weekly*")+SUMIFS('BSE - SENSEX Index Options'!$M:$M,'BSE - SENSEX Index Options'!$C:$C,$A235,'BSE - SENSEX Index Options'!$B:$B,F$147,'BSE - SENSEX Index Options'!$I:$I,"MDAW*")+SUMIFS('BSE - Other Index Options'!$M:$M,'BSE - Other Index Options'!$C:$C,$A235,'BSE - Other Index Options'!$B:$B,F$147,'BSE - Other Index Options'!$I:$I,"Weekly*")+SUMIFS('BSE - Other Index Options'!$M:$M,'BSE - Other Index Options'!$C:$C,$A235,'BSE - Other Index Options'!$B:$B,F$147,'BSE - Other Index Options'!$I:$I,"MDAW*")=0,"",SUMIFS('BSE - SENSEX Index Options'!$M:$M,'BSE - SENSEX Index Options'!$C:$C,$A235,'BSE - SENSEX Index Options'!$B:$B,F$147,'BSE - SENSEX Index Options'!$I:$I,"Weekly*")+SUMIFS('BSE - SENSEX Index Options'!$M:$M,'BSE - SENSEX Index Options'!$C:$C,$A235,'BSE - SENSEX Index Options'!$B:$B,F$147,'BSE - SENSEX Index Options'!$I:$I,"MDAW*")+SUMIFS('BSE - Other Index Options'!$M:$M,'BSE - Other Index Options'!$C:$C,$A235,'BSE - Other Index Options'!$B:$B,F$147,'BSE - Other Index Options'!$I:$I,"Weekly*")+SUMIFS('BSE - Other Index Options'!$M:$M,'BSE - Other Index Options'!$C:$C,$A235,'BSE - Other Index Options'!$B:$B,F$147,'BSE - Other Index Options'!$I:$I,"MDAW*"))</f>
        <v/>
      </c>
      <c r="G235" s="26">
        <f>IF(SUMIFS('BSE - SENSEX Index Options'!$M:$M,'BSE - SENSEX Index Options'!$C:$C,$A235,'BSE - SENSEX Index Options'!$B:$B,G$147,'BSE - SENSEX Index Options'!$I:$I,"Weekly*")+SUMIFS('BSE - SENSEX Index Options'!$M:$M,'BSE - SENSEX Index Options'!$C:$C,$A235,'BSE - SENSEX Index Options'!$B:$B,G$147,'BSE - SENSEX Index Options'!$I:$I,"MDAW*")+SUMIFS('BSE - Other Index Options'!$M:$M,'BSE - Other Index Options'!$C:$C,$A235,'BSE - Other Index Options'!$B:$B,G$147,'BSE - Other Index Options'!$I:$I,"Weekly*")+SUMIFS('BSE - Other Index Options'!$M:$M,'BSE - Other Index Options'!$C:$C,$A235,'BSE - Other Index Options'!$B:$B,G$147,'BSE - Other Index Options'!$I:$I,"MDAW*")=0,"",SUMIFS('BSE - SENSEX Index Options'!$M:$M,'BSE - SENSEX Index Options'!$C:$C,$A235,'BSE - SENSEX Index Options'!$B:$B,G$147,'BSE - SENSEX Index Options'!$I:$I,"Weekly*")+SUMIFS('BSE - SENSEX Index Options'!$M:$M,'BSE - SENSEX Index Options'!$C:$C,$A235,'BSE - SENSEX Index Options'!$B:$B,G$147,'BSE - SENSEX Index Options'!$I:$I,"MDAW*")+SUMIFS('BSE - Other Index Options'!$M:$M,'BSE - Other Index Options'!$C:$C,$A235,'BSE - Other Index Options'!$B:$B,G$147,'BSE - Other Index Options'!$I:$I,"Weekly*")+SUMIFS('BSE - Other Index Options'!$M:$M,'BSE - Other Index Options'!$C:$C,$A235,'BSE - Other Index Options'!$B:$B,G$147,'BSE - Other Index Options'!$I:$I,"MDAW*"))</f>
        <v/>
      </c>
      <c r="H235" s="26">
        <f>IF(SUM(B235:G235)=0,"",SUM(B235:G235))</f>
        <v/>
      </c>
    </row>
    <row r="236" hidden="1" outlineLevel="1">
      <c r="A236" t="inlineStr">
        <is>
          <t>Week1-Mar-2027</t>
        </is>
      </c>
      <c r="B236" s="26">
        <f>IF(SUMIFS('BSE - SENSEX Index Options'!$M:$M,'BSE - SENSEX Index Options'!$C:$C,$A236,'BSE - SENSEX Index Options'!$B:$B,B$147,'BSE - SENSEX Index Options'!$I:$I,"Weekly*")+SUMIFS('BSE - SENSEX Index Options'!$M:$M,'BSE - SENSEX Index Options'!$C:$C,$A236,'BSE - SENSEX Index Options'!$B:$B,B$147,'BSE - SENSEX Index Options'!$I:$I,"MDAW*")+SUMIFS('BSE - Other Index Options'!$M:$M,'BSE - Other Index Options'!$C:$C,$A236,'BSE - Other Index Options'!$B:$B,B$147,'BSE - Other Index Options'!$I:$I,"Weekly*")+SUMIFS('BSE - Other Index Options'!$M:$M,'BSE - Other Index Options'!$C:$C,$A236,'BSE - Other Index Options'!$B:$B,B$147,'BSE - Other Index Options'!$I:$I,"MDAW*")=0,"",SUMIFS('BSE - SENSEX Index Options'!$M:$M,'BSE - SENSEX Index Options'!$C:$C,$A236,'BSE - SENSEX Index Options'!$B:$B,B$147,'BSE - SENSEX Index Options'!$I:$I,"Weekly*")+SUMIFS('BSE - SENSEX Index Options'!$M:$M,'BSE - SENSEX Index Options'!$C:$C,$A236,'BSE - SENSEX Index Options'!$B:$B,B$147,'BSE - SENSEX Index Options'!$I:$I,"MDAW*")+SUMIFS('BSE - Other Index Options'!$M:$M,'BSE - Other Index Options'!$C:$C,$A236,'BSE - Other Index Options'!$B:$B,B$147,'BSE - Other Index Options'!$I:$I,"Weekly*")+SUMIFS('BSE - Other Index Options'!$M:$M,'BSE - Other Index Options'!$C:$C,$A236,'BSE - Other Index Options'!$B:$B,B$147,'BSE - Other Index Options'!$I:$I,"MDAW*"))</f>
        <v/>
      </c>
      <c r="C236" s="26">
        <f>IF(SUMIFS('BSE - SENSEX Index Options'!$M:$M,'BSE - SENSEX Index Options'!$C:$C,$A236,'BSE - SENSEX Index Options'!$B:$B,C$147,'BSE - SENSEX Index Options'!$I:$I,"Weekly*")+SUMIFS('BSE - SENSEX Index Options'!$M:$M,'BSE - SENSEX Index Options'!$C:$C,$A236,'BSE - SENSEX Index Options'!$B:$B,C$147,'BSE - SENSEX Index Options'!$I:$I,"MDAW*")+SUMIFS('BSE - Other Index Options'!$M:$M,'BSE - Other Index Options'!$C:$C,$A236,'BSE - Other Index Options'!$B:$B,C$147,'BSE - Other Index Options'!$I:$I,"Weekly*")+SUMIFS('BSE - Other Index Options'!$M:$M,'BSE - Other Index Options'!$C:$C,$A236,'BSE - Other Index Options'!$B:$B,C$147,'BSE - Other Index Options'!$I:$I,"MDAW*")=0,"",SUMIFS('BSE - SENSEX Index Options'!$M:$M,'BSE - SENSEX Index Options'!$C:$C,$A236,'BSE - SENSEX Index Options'!$B:$B,C$147,'BSE - SENSEX Index Options'!$I:$I,"Weekly*")+SUMIFS('BSE - SENSEX Index Options'!$M:$M,'BSE - SENSEX Index Options'!$C:$C,$A236,'BSE - SENSEX Index Options'!$B:$B,C$147,'BSE - SENSEX Index Options'!$I:$I,"MDAW*")+SUMIFS('BSE - Other Index Options'!$M:$M,'BSE - Other Index Options'!$C:$C,$A236,'BSE - Other Index Options'!$B:$B,C$147,'BSE - Other Index Options'!$I:$I,"Weekly*")+SUMIFS('BSE - Other Index Options'!$M:$M,'BSE - Other Index Options'!$C:$C,$A236,'BSE - Other Index Options'!$B:$B,C$147,'BSE - Other Index Options'!$I:$I,"MDAW*"))</f>
        <v/>
      </c>
      <c r="D236" s="26">
        <f>IF(SUMIFS('BSE - SENSEX Index Options'!$M:$M,'BSE - SENSEX Index Options'!$C:$C,$A236,'BSE - SENSEX Index Options'!$B:$B,D$147,'BSE - SENSEX Index Options'!$I:$I,"Weekly*")+SUMIFS('BSE - SENSEX Index Options'!$M:$M,'BSE - SENSEX Index Options'!$C:$C,$A236,'BSE - SENSEX Index Options'!$B:$B,D$147,'BSE - SENSEX Index Options'!$I:$I,"MDAW*")+SUMIFS('BSE - Other Index Options'!$M:$M,'BSE - Other Index Options'!$C:$C,$A236,'BSE - Other Index Options'!$B:$B,D$147,'BSE - Other Index Options'!$I:$I,"Weekly*")+SUMIFS('BSE - Other Index Options'!$M:$M,'BSE - Other Index Options'!$C:$C,$A236,'BSE - Other Index Options'!$B:$B,D$147,'BSE - Other Index Options'!$I:$I,"MDAW*")=0,"",SUMIFS('BSE - SENSEX Index Options'!$M:$M,'BSE - SENSEX Index Options'!$C:$C,$A236,'BSE - SENSEX Index Options'!$B:$B,D$147,'BSE - SENSEX Index Options'!$I:$I,"Weekly*")+SUMIFS('BSE - SENSEX Index Options'!$M:$M,'BSE - SENSEX Index Options'!$C:$C,$A236,'BSE - SENSEX Index Options'!$B:$B,D$147,'BSE - SENSEX Index Options'!$I:$I,"MDAW*")+SUMIFS('BSE - Other Index Options'!$M:$M,'BSE - Other Index Options'!$C:$C,$A236,'BSE - Other Index Options'!$B:$B,D$147,'BSE - Other Index Options'!$I:$I,"Weekly*")+SUMIFS('BSE - Other Index Options'!$M:$M,'BSE - Other Index Options'!$C:$C,$A236,'BSE - Other Index Options'!$B:$B,D$147,'BSE - Other Index Options'!$I:$I,"MDAW*"))</f>
        <v/>
      </c>
      <c r="E236" s="26">
        <f>IF(SUMIFS('BSE - SENSEX Index Options'!$M:$M,'BSE - SENSEX Index Options'!$C:$C,$A236,'BSE - SENSEX Index Options'!$B:$B,E$147,'BSE - SENSEX Index Options'!$I:$I,"Weekly*")+SUMIFS('BSE - SENSEX Index Options'!$M:$M,'BSE - SENSEX Index Options'!$C:$C,$A236,'BSE - SENSEX Index Options'!$B:$B,E$147,'BSE - SENSEX Index Options'!$I:$I,"MDAW*")+SUMIFS('BSE - Other Index Options'!$M:$M,'BSE - Other Index Options'!$C:$C,$A236,'BSE - Other Index Options'!$B:$B,E$147,'BSE - Other Index Options'!$I:$I,"Weekly*")+SUMIFS('BSE - Other Index Options'!$M:$M,'BSE - Other Index Options'!$C:$C,$A236,'BSE - Other Index Options'!$B:$B,E$147,'BSE - Other Index Options'!$I:$I,"MDAW*")=0,"",SUMIFS('BSE - SENSEX Index Options'!$M:$M,'BSE - SENSEX Index Options'!$C:$C,$A236,'BSE - SENSEX Index Options'!$B:$B,E$147,'BSE - SENSEX Index Options'!$I:$I,"Weekly*")+SUMIFS('BSE - SENSEX Index Options'!$M:$M,'BSE - SENSEX Index Options'!$C:$C,$A236,'BSE - SENSEX Index Options'!$B:$B,E$147,'BSE - SENSEX Index Options'!$I:$I,"MDAW*")+SUMIFS('BSE - Other Index Options'!$M:$M,'BSE - Other Index Options'!$C:$C,$A236,'BSE - Other Index Options'!$B:$B,E$147,'BSE - Other Index Options'!$I:$I,"Weekly*")+SUMIFS('BSE - Other Index Options'!$M:$M,'BSE - Other Index Options'!$C:$C,$A236,'BSE - Other Index Options'!$B:$B,E$147,'BSE - Other Index Options'!$I:$I,"MDAW*"))</f>
        <v/>
      </c>
      <c r="F236" s="26">
        <f>IF(SUMIFS('BSE - SENSEX Index Options'!$M:$M,'BSE - SENSEX Index Options'!$C:$C,$A236,'BSE - SENSEX Index Options'!$B:$B,F$147,'BSE - SENSEX Index Options'!$I:$I,"Weekly*")+SUMIFS('BSE - SENSEX Index Options'!$M:$M,'BSE - SENSEX Index Options'!$C:$C,$A236,'BSE - SENSEX Index Options'!$B:$B,F$147,'BSE - SENSEX Index Options'!$I:$I,"MDAW*")+SUMIFS('BSE - Other Index Options'!$M:$M,'BSE - Other Index Options'!$C:$C,$A236,'BSE - Other Index Options'!$B:$B,F$147,'BSE - Other Index Options'!$I:$I,"Weekly*")+SUMIFS('BSE - Other Index Options'!$M:$M,'BSE - Other Index Options'!$C:$C,$A236,'BSE - Other Index Options'!$B:$B,F$147,'BSE - Other Index Options'!$I:$I,"MDAW*")=0,"",SUMIFS('BSE - SENSEX Index Options'!$M:$M,'BSE - SENSEX Index Options'!$C:$C,$A236,'BSE - SENSEX Index Options'!$B:$B,F$147,'BSE - SENSEX Index Options'!$I:$I,"Weekly*")+SUMIFS('BSE - SENSEX Index Options'!$M:$M,'BSE - SENSEX Index Options'!$C:$C,$A236,'BSE - SENSEX Index Options'!$B:$B,F$147,'BSE - SENSEX Index Options'!$I:$I,"MDAW*")+SUMIFS('BSE - Other Index Options'!$M:$M,'BSE - Other Index Options'!$C:$C,$A236,'BSE - Other Index Options'!$B:$B,F$147,'BSE - Other Index Options'!$I:$I,"Weekly*")+SUMIFS('BSE - Other Index Options'!$M:$M,'BSE - Other Index Options'!$C:$C,$A236,'BSE - Other Index Options'!$B:$B,F$147,'BSE - Other Index Options'!$I:$I,"MDAW*"))</f>
        <v/>
      </c>
      <c r="G236" s="26">
        <f>IF(SUMIFS('BSE - SENSEX Index Options'!$M:$M,'BSE - SENSEX Index Options'!$C:$C,$A236,'BSE - SENSEX Index Options'!$B:$B,G$147,'BSE - SENSEX Index Options'!$I:$I,"Weekly*")+SUMIFS('BSE - SENSEX Index Options'!$M:$M,'BSE - SENSEX Index Options'!$C:$C,$A236,'BSE - SENSEX Index Options'!$B:$B,G$147,'BSE - SENSEX Index Options'!$I:$I,"MDAW*")+SUMIFS('BSE - Other Index Options'!$M:$M,'BSE - Other Index Options'!$C:$C,$A236,'BSE - Other Index Options'!$B:$B,G$147,'BSE - Other Index Options'!$I:$I,"Weekly*")+SUMIFS('BSE - Other Index Options'!$M:$M,'BSE - Other Index Options'!$C:$C,$A236,'BSE - Other Index Options'!$B:$B,G$147,'BSE - Other Index Options'!$I:$I,"MDAW*")=0,"",SUMIFS('BSE - SENSEX Index Options'!$M:$M,'BSE - SENSEX Index Options'!$C:$C,$A236,'BSE - SENSEX Index Options'!$B:$B,G$147,'BSE - SENSEX Index Options'!$I:$I,"Weekly*")+SUMIFS('BSE - SENSEX Index Options'!$M:$M,'BSE - SENSEX Index Options'!$C:$C,$A236,'BSE - SENSEX Index Options'!$B:$B,G$147,'BSE - SENSEX Index Options'!$I:$I,"MDAW*")+SUMIFS('BSE - Other Index Options'!$M:$M,'BSE - Other Index Options'!$C:$C,$A236,'BSE - Other Index Options'!$B:$B,G$147,'BSE - Other Index Options'!$I:$I,"Weekly*")+SUMIFS('BSE - Other Index Options'!$M:$M,'BSE - Other Index Options'!$C:$C,$A236,'BSE - Other Index Options'!$B:$B,G$147,'BSE - Other Index Options'!$I:$I,"MDAW*"))</f>
        <v/>
      </c>
      <c r="H236" s="26">
        <f>IF(SUM(B236:G236)=0,"",SUM(B236:G236))</f>
        <v/>
      </c>
    </row>
    <row r="237" hidden="1" outlineLevel="1">
      <c r="A237" t="inlineStr">
        <is>
          <t>Week2-Mar-2027</t>
        </is>
      </c>
      <c r="B237" s="26">
        <f>IF(SUMIFS('BSE - SENSEX Index Options'!$M:$M,'BSE - SENSEX Index Options'!$C:$C,$A237,'BSE - SENSEX Index Options'!$B:$B,B$147,'BSE - SENSEX Index Options'!$I:$I,"Weekly*")+SUMIFS('BSE - SENSEX Index Options'!$M:$M,'BSE - SENSEX Index Options'!$C:$C,$A237,'BSE - SENSEX Index Options'!$B:$B,B$147,'BSE - SENSEX Index Options'!$I:$I,"MDAW*")+SUMIFS('BSE - Other Index Options'!$M:$M,'BSE - Other Index Options'!$C:$C,$A237,'BSE - Other Index Options'!$B:$B,B$147,'BSE - Other Index Options'!$I:$I,"Weekly*")+SUMIFS('BSE - Other Index Options'!$M:$M,'BSE - Other Index Options'!$C:$C,$A237,'BSE - Other Index Options'!$B:$B,B$147,'BSE - Other Index Options'!$I:$I,"MDAW*")=0,"",SUMIFS('BSE - SENSEX Index Options'!$M:$M,'BSE - SENSEX Index Options'!$C:$C,$A237,'BSE - SENSEX Index Options'!$B:$B,B$147,'BSE - SENSEX Index Options'!$I:$I,"Weekly*")+SUMIFS('BSE - SENSEX Index Options'!$M:$M,'BSE - SENSEX Index Options'!$C:$C,$A237,'BSE - SENSEX Index Options'!$B:$B,B$147,'BSE - SENSEX Index Options'!$I:$I,"MDAW*")+SUMIFS('BSE - Other Index Options'!$M:$M,'BSE - Other Index Options'!$C:$C,$A237,'BSE - Other Index Options'!$B:$B,B$147,'BSE - Other Index Options'!$I:$I,"Weekly*")+SUMIFS('BSE - Other Index Options'!$M:$M,'BSE - Other Index Options'!$C:$C,$A237,'BSE - Other Index Options'!$B:$B,B$147,'BSE - Other Index Options'!$I:$I,"MDAW*"))</f>
        <v/>
      </c>
      <c r="C237" s="26">
        <f>IF(SUMIFS('BSE - SENSEX Index Options'!$M:$M,'BSE - SENSEX Index Options'!$C:$C,$A237,'BSE - SENSEX Index Options'!$B:$B,C$147,'BSE - SENSEX Index Options'!$I:$I,"Weekly*")+SUMIFS('BSE - SENSEX Index Options'!$M:$M,'BSE - SENSEX Index Options'!$C:$C,$A237,'BSE - SENSEX Index Options'!$B:$B,C$147,'BSE - SENSEX Index Options'!$I:$I,"MDAW*")+SUMIFS('BSE - Other Index Options'!$M:$M,'BSE - Other Index Options'!$C:$C,$A237,'BSE - Other Index Options'!$B:$B,C$147,'BSE - Other Index Options'!$I:$I,"Weekly*")+SUMIFS('BSE - Other Index Options'!$M:$M,'BSE - Other Index Options'!$C:$C,$A237,'BSE - Other Index Options'!$B:$B,C$147,'BSE - Other Index Options'!$I:$I,"MDAW*")=0,"",SUMIFS('BSE - SENSEX Index Options'!$M:$M,'BSE - SENSEX Index Options'!$C:$C,$A237,'BSE - SENSEX Index Options'!$B:$B,C$147,'BSE - SENSEX Index Options'!$I:$I,"Weekly*")+SUMIFS('BSE - SENSEX Index Options'!$M:$M,'BSE - SENSEX Index Options'!$C:$C,$A237,'BSE - SENSEX Index Options'!$B:$B,C$147,'BSE - SENSEX Index Options'!$I:$I,"MDAW*")+SUMIFS('BSE - Other Index Options'!$M:$M,'BSE - Other Index Options'!$C:$C,$A237,'BSE - Other Index Options'!$B:$B,C$147,'BSE - Other Index Options'!$I:$I,"Weekly*")+SUMIFS('BSE - Other Index Options'!$M:$M,'BSE - Other Index Options'!$C:$C,$A237,'BSE - Other Index Options'!$B:$B,C$147,'BSE - Other Index Options'!$I:$I,"MDAW*"))</f>
        <v/>
      </c>
      <c r="D237" s="26">
        <f>IF(SUMIFS('BSE - SENSEX Index Options'!$M:$M,'BSE - SENSEX Index Options'!$C:$C,$A237,'BSE - SENSEX Index Options'!$B:$B,D$147,'BSE - SENSEX Index Options'!$I:$I,"Weekly*")+SUMIFS('BSE - SENSEX Index Options'!$M:$M,'BSE - SENSEX Index Options'!$C:$C,$A237,'BSE - SENSEX Index Options'!$B:$B,D$147,'BSE - SENSEX Index Options'!$I:$I,"MDAW*")+SUMIFS('BSE - Other Index Options'!$M:$M,'BSE - Other Index Options'!$C:$C,$A237,'BSE - Other Index Options'!$B:$B,D$147,'BSE - Other Index Options'!$I:$I,"Weekly*")+SUMIFS('BSE - Other Index Options'!$M:$M,'BSE - Other Index Options'!$C:$C,$A237,'BSE - Other Index Options'!$B:$B,D$147,'BSE - Other Index Options'!$I:$I,"MDAW*")=0,"",SUMIFS('BSE - SENSEX Index Options'!$M:$M,'BSE - SENSEX Index Options'!$C:$C,$A237,'BSE - SENSEX Index Options'!$B:$B,D$147,'BSE - SENSEX Index Options'!$I:$I,"Weekly*")+SUMIFS('BSE - SENSEX Index Options'!$M:$M,'BSE - SENSEX Index Options'!$C:$C,$A237,'BSE - SENSEX Index Options'!$B:$B,D$147,'BSE - SENSEX Index Options'!$I:$I,"MDAW*")+SUMIFS('BSE - Other Index Options'!$M:$M,'BSE - Other Index Options'!$C:$C,$A237,'BSE - Other Index Options'!$B:$B,D$147,'BSE - Other Index Options'!$I:$I,"Weekly*")+SUMIFS('BSE - Other Index Options'!$M:$M,'BSE - Other Index Options'!$C:$C,$A237,'BSE - Other Index Options'!$B:$B,D$147,'BSE - Other Index Options'!$I:$I,"MDAW*"))</f>
        <v/>
      </c>
      <c r="E237" s="26">
        <f>IF(SUMIFS('BSE - SENSEX Index Options'!$M:$M,'BSE - SENSEX Index Options'!$C:$C,$A237,'BSE - SENSEX Index Options'!$B:$B,E$147,'BSE - SENSEX Index Options'!$I:$I,"Weekly*")+SUMIFS('BSE - SENSEX Index Options'!$M:$M,'BSE - SENSEX Index Options'!$C:$C,$A237,'BSE - SENSEX Index Options'!$B:$B,E$147,'BSE - SENSEX Index Options'!$I:$I,"MDAW*")+SUMIFS('BSE - Other Index Options'!$M:$M,'BSE - Other Index Options'!$C:$C,$A237,'BSE - Other Index Options'!$B:$B,E$147,'BSE - Other Index Options'!$I:$I,"Weekly*")+SUMIFS('BSE - Other Index Options'!$M:$M,'BSE - Other Index Options'!$C:$C,$A237,'BSE - Other Index Options'!$B:$B,E$147,'BSE - Other Index Options'!$I:$I,"MDAW*")=0,"",SUMIFS('BSE - SENSEX Index Options'!$M:$M,'BSE - SENSEX Index Options'!$C:$C,$A237,'BSE - SENSEX Index Options'!$B:$B,E$147,'BSE - SENSEX Index Options'!$I:$I,"Weekly*")+SUMIFS('BSE - SENSEX Index Options'!$M:$M,'BSE - SENSEX Index Options'!$C:$C,$A237,'BSE - SENSEX Index Options'!$B:$B,E$147,'BSE - SENSEX Index Options'!$I:$I,"MDAW*")+SUMIFS('BSE - Other Index Options'!$M:$M,'BSE - Other Index Options'!$C:$C,$A237,'BSE - Other Index Options'!$B:$B,E$147,'BSE - Other Index Options'!$I:$I,"Weekly*")+SUMIFS('BSE - Other Index Options'!$M:$M,'BSE - Other Index Options'!$C:$C,$A237,'BSE - Other Index Options'!$B:$B,E$147,'BSE - Other Index Options'!$I:$I,"MDAW*"))</f>
        <v/>
      </c>
      <c r="F237" s="26">
        <f>IF(SUMIFS('BSE - SENSEX Index Options'!$M:$M,'BSE - SENSEX Index Options'!$C:$C,$A237,'BSE - SENSEX Index Options'!$B:$B,F$147,'BSE - SENSEX Index Options'!$I:$I,"Weekly*")+SUMIFS('BSE - SENSEX Index Options'!$M:$M,'BSE - SENSEX Index Options'!$C:$C,$A237,'BSE - SENSEX Index Options'!$B:$B,F$147,'BSE - SENSEX Index Options'!$I:$I,"MDAW*")+SUMIFS('BSE - Other Index Options'!$M:$M,'BSE - Other Index Options'!$C:$C,$A237,'BSE - Other Index Options'!$B:$B,F$147,'BSE - Other Index Options'!$I:$I,"Weekly*")+SUMIFS('BSE - Other Index Options'!$M:$M,'BSE - Other Index Options'!$C:$C,$A237,'BSE - Other Index Options'!$B:$B,F$147,'BSE - Other Index Options'!$I:$I,"MDAW*")=0,"",SUMIFS('BSE - SENSEX Index Options'!$M:$M,'BSE - SENSEX Index Options'!$C:$C,$A237,'BSE - SENSEX Index Options'!$B:$B,F$147,'BSE - SENSEX Index Options'!$I:$I,"Weekly*")+SUMIFS('BSE - SENSEX Index Options'!$M:$M,'BSE - SENSEX Index Options'!$C:$C,$A237,'BSE - SENSEX Index Options'!$B:$B,F$147,'BSE - SENSEX Index Options'!$I:$I,"MDAW*")+SUMIFS('BSE - Other Index Options'!$M:$M,'BSE - Other Index Options'!$C:$C,$A237,'BSE - Other Index Options'!$B:$B,F$147,'BSE - Other Index Options'!$I:$I,"Weekly*")+SUMIFS('BSE - Other Index Options'!$M:$M,'BSE - Other Index Options'!$C:$C,$A237,'BSE - Other Index Options'!$B:$B,F$147,'BSE - Other Index Options'!$I:$I,"MDAW*"))</f>
        <v/>
      </c>
      <c r="G237" s="26">
        <f>IF(SUMIFS('BSE - SENSEX Index Options'!$M:$M,'BSE - SENSEX Index Options'!$C:$C,$A237,'BSE - SENSEX Index Options'!$B:$B,G$147,'BSE - SENSEX Index Options'!$I:$I,"Weekly*")+SUMIFS('BSE - SENSEX Index Options'!$M:$M,'BSE - SENSEX Index Options'!$C:$C,$A237,'BSE - SENSEX Index Options'!$B:$B,G$147,'BSE - SENSEX Index Options'!$I:$I,"MDAW*")+SUMIFS('BSE - Other Index Options'!$M:$M,'BSE - Other Index Options'!$C:$C,$A237,'BSE - Other Index Options'!$B:$B,G$147,'BSE - Other Index Options'!$I:$I,"Weekly*")+SUMIFS('BSE - Other Index Options'!$M:$M,'BSE - Other Index Options'!$C:$C,$A237,'BSE - Other Index Options'!$B:$B,G$147,'BSE - Other Index Options'!$I:$I,"MDAW*")=0,"",SUMIFS('BSE - SENSEX Index Options'!$M:$M,'BSE - SENSEX Index Options'!$C:$C,$A237,'BSE - SENSEX Index Options'!$B:$B,G$147,'BSE - SENSEX Index Options'!$I:$I,"Weekly*")+SUMIFS('BSE - SENSEX Index Options'!$M:$M,'BSE - SENSEX Index Options'!$C:$C,$A237,'BSE - SENSEX Index Options'!$B:$B,G$147,'BSE - SENSEX Index Options'!$I:$I,"MDAW*")+SUMIFS('BSE - Other Index Options'!$M:$M,'BSE - Other Index Options'!$C:$C,$A237,'BSE - Other Index Options'!$B:$B,G$147,'BSE - Other Index Options'!$I:$I,"Weekly*")+SUMIFS('BSE - Other Index Options'!$M:$M,'BSE - Other Index Options'!$C:$C,$A237,'BSE - Other Index Options'!$B:$B,G$147,'BSE - Other Index Options'!$I:$I,"MDAW*"))</f>
        <v/>
      </c>
      <c r="H237" s="26">
        <f>IF(SUM(B237:G237)=0,"",SUM(B237:G237))</f>
        <v/>
      </c>
    </row>
    <row r="238" hidden="1" outlineLevel="1">
      <c r="A238" t="inlineStr">
        <is>
          <t>Week3-Mar-2027</t>
        </is>
      </c>
      <c r="B238" s="26">
        <f>IF(SUMIFS('BSE - SENSEX Index Options'!$M:$M,'BSE - SENSEX Index Options'!$C:$C,$A238,'BSE - SENSEX Index Options'!$B:$B,B$147,'BSE - SENSEX Index Options'!$I:$I,"Weekly*")+SUMIFS('BSE - SENSEX Index Options'!$M:$M,'BSE - SENSEX Index Options'!$C:$C,$A238,'BSE - SENSEX Index Options'!$B:$B,B$147,'BSE - SENSEX Index Options'!$I:$I,"MDAW*")+SUMIFS('BSE - Other Index Options'!$M:$M,'BSE - Other Index Options'!$C:$C,$A238,'BSE - Other Index Options'!$B:$B,B$147,'BSE - Other Index Options'!$I:$I,"Weekly*")+SUMIFS('BSE - Other Index Options'!$M:$M,'BSE - Other Index Options'!$C:$C,$A238,'BSE - Other Index Options'!$B:$B,B$147,'BSE - Other Index Options'!$I:$I,"MDAW*")=0,"",SUMIFS('BSE - SENSEX Index Options'!$M:$M,'BSE - SENSEX Index Options'!$C:$C,$A238,'BSE - SENSEX Index Options'!$B:$B,B$147,'BSE - SENSEX Index Options'!$I:$I,"Weekly*")+SUMIFS('BSE - SENSEX Index Options'!$M:$M,'BSE - SENSEX Index Options'!$C:$C,$A238,'BSE - SENSEX Index Options'!$B:$B,B$147,'BSE - SENSEX Index Options'!$I:$I,"MDAW*")+SUMIFS('BSE - Other Index Options'!$M:$M,'BSE - Other Index Options'!$C:$C,$A238,'BSE - Other Index Options'!$B:$B,B$147,'BSE - Other Index Options'!$I:$I,"Weekly*")+SUMIFS('BSE - Other Index Options'!$M:$M,'BSE - Other Index Options'!$C:$C,$A238,'BSE - Other Index Options'!$B:$B,B$147,'BSE - Other Index Options'!$I:$I,"MDAW*"))</f>
        <v/>
      </c>
      <c r="C238" s="26">
        <f>IF(SUMIFS('BSE - SENSEX Index Options'!$M:$M,'BSE - SENSEX Index Options'!$C:$C,$A238,'BSE - SENSEX Index Options'!$B:$B,C$147,'BSE - SENSEX Index Options'!$I:$I,"Weekly*")+SUMIFS('BSE - SENSEX Index Options'!$M:$M,'BSE - SENSEX Index Options'!$C:$C,$A238,'BSE - SENSEX Index Options'!$B:$B,C$147,'BSE - SENSEX Index Options'!$I:$I,"MDAW*")+SUMIFS('BSE - Other Index Options'!$M:$M,'BSE - Other Index Options'!$C:$C,$A238,'BSE - Other Index Options'!$B:$B,C$147,'BSE - Other Index Options'!$I:$I,"Weekly*")+SUMIFS('BSE - Other Index Options'!$M:$M,'BSE - Other Index Options'!$C:$C,$A238,'BSE - Other Index Options'!$B:$B,C$147,'BSE - Other Index Options'!$I:$I,"MDAW*")=0,"",SUMIFS('BSE - SENSEX Index Options'!$M:$M,'BSE - SENSEX Index Options'!$C:$C,$A238,'BSE - SENSEX Index Options'!$B:$B,C$147,'BSE - SENSEX Index Options'!$I:$I,"Weekly*")+SUMIFS('BSE - SENSEX Index Options'!$M:$M,'BSE - SENSEX Index Options'!$C:$C,$A238,'BSE - SENSEX Index Options'!$B:$B,C$147,'BSE - SENSEX Index Options'!$I:$I,"MDAW*")+SUMIFS('BSE - Other Index Options'!$M:$M,'BSE - Other Index Options'!$C:$C,$A238,'BSE - Other Index Options'!$B:$B,C$147,'BSE - Other Index Options'!$I:$I,"Weekly*")+SUMIFS('BSE - Other Index Options'!$M:$M,'BSE - Other Index Options'!$C:$C,$A238,'BSE - Other Index Options'!$B:$B,C$147,'BSE - Other Index Options'!$I:$I,"MDAW*"))</f>
        <v/>
      </c>
      <c r="D238" s="26">
        <f>IF(SUMIFS('BSE - SENSEX Index Options'!$M:$M,'BSE - SENSEX Index Options'!$C:$C,$A238,'BSE - SENSEX Index Options'!$B:$B,D$147,'BSE - SENSEX Index Options'!$I:$I,"Weekly*")+SUMIFS('BSE - SENSEX Index Options'!$M:$M,'BSE - SENSEX Index Options'!$C:$C,$A238,'BSE - SENSEX Index Options'!$B:$B,D$147,'BSE - SENSEX Index Options'!$I:$I,"MDAW*")+SUMIFS('BSE - Other Index Options'!$M:$M,'BSE - Other Index Options'!$C:$C,$A238,'BSE - Other Index Options'!$B:$B,D$147,'BSE - Other Index Options'!$I:$I,"Weekly*")+SUMIFS('BSE - Other Index Options'!$M:$M,'BSE - Other Index Options'!$C:$C,$A238,'BSE - Other Index Options'!$B:$B,D$147,'BSE - Other Index Options'!$I:$I,"MDAW*")=0,"",SUMIFS('BSE - SENSEX Index Options'!$M:$M,'BSE - SENSEX Index Options'!$C:$C,$A238,'BSE - SENSEX Index Options'!$B:$B,D$147,'BSE - SENSEX Index Options'!$I:$I,"Weekly*")+SUMIFS('BSE - SENSEX Index Options'!$M:$M,'BSE - SENSEX Index Options'!$C:$C,$A238,'BSE - SENSEX Index Options'!$B:$B,D$147,'BSE - SENSEX Index Options'!$I:$I,"MDAW*")+SUMIFS('BSE - Other Index Options'!$M:$M,'BSE - Other Index Options'!$C:$C,$A238,'BSE - Other Index Options'!$B:$B,D$147,'BSE - Other Index Options'!$I:$I,"Weekly*")+SUMIFS('BSE - Other Index Options'!$M:$M,'BSE - Other Index Options'!$C:$C,$A238,'BSE - Other Index Options'!$B:$B,D$147,'BSE - Other Index Options'!$I:$I,"MDAW*"))</f>
        <v/>
      </c>
      <c r="E238" s="26">
        <f>IF(SUMIFS('BSE - SENSEX Index Options'!$M:$M,'BSE - SENSEX Index Options'!$C:$C,$A238,'BSE - SENSEX Index Options'!$B:$B,E$147,'BSE - SENSEX Index Options'!$I:$I,"Weekly*")+SUMIFS('BSE - SENSEX Index Options'!$M:$M,'BSE - SENSEX Index Options'!$C:$C,$A238,'BSE - SENSEX Index Options'!$B:$B,E$147,'BSE - SENSEX Index Options'!$I:$I,"MDAW*")+SUMIFS('BSE - Other Index Options'!$M:$M,'BSE - Other Index Options'!$C:$C,$A238,'BSE - Other Index Options'!$B:$B,E$147,'BSE - Other Index Options'!$I:$I,"Weekly*")+SUMIFS('BSE - Other Index Options'!$M:$M,'BSE - Other Index Options'!$C:$C,$A238,'BSE - Other Index Options'!$B:$B,E$147,'BSE - Other Index Options'!$I:$I,"MDAW*")=0,"",SUMIFS('BSE - SENSEX Index Options'!$M:$M,'BSE - SENSEX Index Options'!$C:$C,$A238,'BSE - SENSEX Index Options'!$B:$B,E$147,'BSE - SENSEX Index Options'!$I:$I,"Weekly*")+SUMIFS('BSE - SENSEX Index Options'!$M:$M,'BSE - SENSEX Index Options'!$C:$C,$A238,'BSE - SENSEX Index Options'!$B:$B,E$147,'BSE - SENSEX Index Options'!$I:$I,"MDAW*")+SUMIFS('BSE - Other Index Options'!$M:$M,'BSE - Other Index Options'!$C:$C,$A238,'BSE - Other Index Options'!$B:$B,E$147,'BSE - Other Index Options'!$I:$I,"Weekly*")+SUMIFS('BSE - Other Index Options'!$M:$M,'BSE - Other Index Options'!$C:$C,$A238,'BSE - Other Index Options'!$B:$B,E$147,'BSE - Other Index Options'!$I:$I,"MDAW*"))</f>
        <v/>
      </c>
      <c r="F238" s="26">
        <f>IF(SUMIFS('BSE - SENSEX Index Options'!$M:$M,'BSE - SENSEX Index Options'!$C:$C,$A238,'BSE - SENSEX Index Options'!$B:$B,F$147,'BSE - SENSEX Index Options'!$I:$I,"Weekly*")+SUMIFS('BSE - SENSEX Index Options'!$M:$M,'BSE - SENSEX Index Options'!$C:$C,$A238,'BSE - SENSEX Index Options'!$B:$B,F$147,'BSE - SENSEX Index Options'!$I:$I,"MDAW*")+SUMIFS('BSE - Other Index Options'!$M:$M,'BSE - Other Index Options'!$C:$C,$A238,'BSE - Other Index Options'!$B:$B,F$147,'BSE - Other Index Options'!$I:$I,"Weekly*")+SUMIFS('BSE - Other Index Options'!$M:$M,'BSE - Other Index Options'!$C:$C,$A238,'BSE - Other Index Options'!$B:$B,F$147,'BSE - Other Index Options'!$I:$I,"MDAW*")=0,"",SUMIFS('BSE - SENSEX Index Options'!$M:$M,'BSE - SENSEX Index Options'!$C:$C,$A238,'BSE - SENSEX Index Options'!$B:$B,F$147,'BSE - SENSEX Index Options'!$I:$I,"Weekly*")+SUMIFS('BSE - SENSEX Index Options'!$M:$M,'BSE - SENSEX Index Options'!$C:$C,$A238,'BSE - SENSEX Index Options'!$B:$B,F$147,'BSE - SENSEX Index Options'!$I:$I,"MDAW*")+SUMIFS('BSE - Other Index Options'!$M:$M,'BSE - Other Index Options'!$C:$C,$A238,'BSE - Other Index Options'!$B:$B,F$147,'BSE - Other Index Options'!$I:$I,"Weekly*")+SUMIFS('BSE - Other Index Options'!$M:$M,'BSE - Other Index Options'!$C:$C,$A238,'BSE - Other Index Options'!$B:$B,F$147,'BSE - Other Index Options'!$I:$I,"MDAW*"))</f>
        <v/>
      </c>
      <c r="G238" s="26">
        <f>IF(SUMIFS('BSE - SENSEX Index Options'!$M:$M,'BSE - SENSEX Index Options'!$C:$C,$A238,'BSE - SENSEX Index Options'!$B:$B,G$147,'BSE - SENSEX Index Options'!$I:$I,"Weekly*")+SUMIFS('BSE - SENSEX Index Options'!$M:$M,'BSE - SENSEX Index Options'!$C:$C,$A238,'BSE - SENSEX Index Options'!$B:$B,G$147,'BSE - SENSEX Index Options'!$I:$I,"MDAW*")+SUMIFS('BSE - Other Index Options'!$M:$M,'BSE - Other Index Options'!$C:$C,$A238,'BSE - Other Index Options'!$B:$B,G$147,'BSE - Other Index Options'!$I:$I,"Weekly*")+SUMIFS('BSE - Other Index Options'!$M:$M,'BSE - Other Index Options'!$C:$C,$A238,'BSE - Other Index Options'!$B:$B,G$147,'BSE - Other Index Options'!$I:$I,"MDAW*")=0,"",SUMIFS('BSE - SENSEX Index Options'!$M:$M,'BSE - SENSEX Index Options'!$C:$C,$A238,'BSE - SENSEX Index Options'!$B:$B,G$147,'BSE - SENSEX Index Options'!$I:$I,"Weekly*")+SUMIFS('BSE - SENSEX Index Options'!$M:$M,'BSE - SENSEX Index Options'!$C:$C,$A238,'BSE - SENSEX Index Options'!$B:$B,G$147,'BSE - SENSEX Index Options'!$I:$I,"MDAW*")+SUMIFS('BSE - Other Index Options'!$M:$M,'BSE - Other Index Options'!$C:$C,$A238,'BSE - Other Index Options'!$B:$B,G$147,'BSE - Other Index Options'!$I:$I,"Weekly*")+SUMIFS('BSE - Other Index Options'!$M:$M,'BSE - Other Index Options'!$C:$C,$A238,'BSE - Other Index Options'!$B:$B,G$147,'BSE - Other Index Options'!$I:$I,"MDAW*"))</f>
        <v/>
      </c>
      <c r="H238" s="26">
        <f>IF(SUM(B238:G238)=0,"",SUM(B238:G238))</f>
        <v/>
      </c>
    </row>
    <row r="239" hidden="1" outlineLevel="1">
      <c r="A239" t="inlineStr">
        <is>
          <t>Week4-Mar-2027</t>
        </is>
      </c>
      <c r="B239" s="26">
        <f>IF(SUMIFS('BSE - SENSEX Index Options'!$M:$M,'BSE - SENSEX Index Options'!$C:$C,$A239,'BSE - SENSEX Index Options'!$B:$B,B$147,'BSE - SENSEX Index Options'!$I:$I,"Weekly*")+SUMIFS('BSE - SENSEX Index Options'!$M:$M,'BSE - SENSEX Index Options'!$C:$C,$A239,'BSE - SENSEX Index Options'!$B:$B,B$147,'BSE - SENSEX Index Options'!$I:$I,"MDAW*")+SUMIFS('BSE - Other Index Options'!$M:$M,'BSE - Other Index Options'!$C:$C,$A239,'BSE - Other Index Options'!$B:$B,B$147,'BSE - Other Index Options'!$I:$I,"Weekly*")+SUMIFS('BSE - Other Index Options'!$M:$M,'BSE - Other Index Options'!$C:$C,$A239,'BSE - Other Index Options'!$B:$B,B$147,'BSE - Other Index Options'!$I:$I,"MDAW*")=0,"",SUMIFS('BSE - SENSEX Index Options'!$M:$M,'BSE - SENSEX Index Options'!$C:$C,$A239,'BSE - SENSEX Index Options'!$B:$B,B$147,'BSE - SENSEX Index Options'!$I:$I,"Weekly*")+SUMIFS('BSE - SENSEX Index Options'!$M:$M,'BSE - SENSEX Index Options'!$C:$C,$A239,'BSE - SENSEX Index Options'!$B:$B,B$147,'BSE - SENSEX Index Options'!$I:$I,"MDAW*")+SUMIFS('BSE - Other Index Options'!$M:$M,'BSE - Other Index Options'!$C:$C,$A239,'BSE - Other Index Options'!$B:$B,B$147,'BSE - Other Index Options'!$I:$I,"Weekly*")+SUMIFS('BSE - Other Index Options'!$M:$M,'BSE - Other Index Options'!$C:$C,$A239,'BSE - Other Index Options'!$B:$B,B$147,'BSE - Other Index Options'!$I:$I,"MDAW*"))</f>
        <v/>
      </c>
      <c r="C239" s="26">
        <f>IF(SUMIFS('BSE - SENSEX Index Options'!$M:$M,'BSE - SENSEX Index Options'!$C:$C,$A239,'BSE - SENSEX Index Options'!$B:$B,C$147,'BSE - SENSEX Index Options'!$I:$I,"Weekly*")+SUMIFS('BSE - SENSEX Index Options'!$M:$M,'BSE - SENSEX Index Options'!$C:$C,$A239,'BSE - SENSEX Index Options'!$B:$B,C$147,'BSE - SENSEX Index Options'!$I:$I,"MDAW*")+SUMIFS('BSE - Other Index Options'!$M:$M,'BSE - Other Index Options'!$C:$C,$A239,'BSE - Other Index Options'!$B:$B,C$147,'BSE - Other Index Options'!$I:$I,"Weekly*")+SUMIFS('BSE - Other Index Options'!$M:$M,'BSE - Other Index Options'!$C:$C,$A239,'BSE - Other Index Options'!$B:$B,C$147,'BSE - Other Index Options'!$I:$I,"MDAW*")=0,"",SUMIFS('BSE - SENSEX Index Options'!$M:$M,'BSE - SENSEX Index Options'!$C:$C,$A239,'BSE - SENSEX Index Options'!$B:$B,C$147,'BSE - SENSEX Index Options'!$I:$I,"Weekly*")+SUMIFS('BSE - SENSEX Index Options'!$M:$M,'BSE - SENSEX Index Options'!$C:$C,$A239,'BSE - SENSEX Index Options'!$B:$B,C$147,'BSE - SENSEX Index Options'!$I:$I,"MDAW*")+SUMIFS('BSE - Other Index Options'!$M:$M,'BSE - Other Index Options'!$C:$C,$A239,'BSE - Other Index Options'!$B:$B,C$147,'BSE - Other Index Options'!$I:$I,"Weekly*")+SUMIFS('BSE - Other Index Options'!$M:$M,'BSE - Other Index Options'!$C:$C,$A239,'BSE - Other Index Options'!$B:$B,C$147,'BSE - Other Index Options'!$I:$I,"MDAW*"))</f>
        <v/>
      </c>
      <c r="D239" s="26">
        <f>IF(SUMIFS('BSE - SENSEX Index Options'!$M:$M,'BSE - SENSEX Index Options'!$C:$C,$A239,'BSE - SENSEX Index Options'!$B:$B,D$147,'BSE - SENSEX Index Options'!$I:$I,"Weekly*")+SUMIFS('BSE - SENSEX Index Options'!$M:$M,'BSE - SENSEX Index Options'!$C:$C,$A239,'BSE - SENSEX Index Options'!$B:$B,D$147,'BSE - SENSEX Index Options'!$I:$I,"MDAW*")+SUMIFS('BSE - Other Index Options'!$M:$M,'BSE - Other Index Options'!$C:$C,$A239,'BSE - Other Index Options'!$B:$B,D$147,'BSE - Other Index Options'!$I:$I,"Weekly*")+SUMIFS('BSE - Other Index Options'!$M:$M,'BSE - Other Index Options'!$C:$C,$A239,'BSE - Other Index Options'!$B:$B,D$147,'BSE - Other Index Options'!$I:$I,"MDAW*")=0,"",SUMIFS('BSE - SENSEX Index Options'!$M:$M,'BSE - SENSEX Index Options'!$C:$C,$A239,'BSE - SENSEX Index Options'!$B:$B,D$147,'BSE - SENSEX Index Options'!$I:$I,"Weekly*")+SUMIFS('BSE - SENSEX Index Options'!$M:$M,'BSE - SENSEX Index Options'!$C:$C,$A239,'BSE - SENSEX Index Options'!$B:$B,D$147,'BSE - SENSEX Index Options'!$I:$I,"MDAW*")+SUMIFS('BSE - Other Index Options'!$M:$M,'BSE - Other Index Options'!$C:$C,$A239,'BSE - Other Index Options'!$B:$B,D$147,'BSE - Other Index Options'!$I:$I,"Weekly*")+SUMIFS('BSE - Other Index Options'!$M:$M,'BSE - Other Index Options'!$C:$C,$A239,'BSE - Other Index Options'!$B:$B,D$147,'BSE - Other Index Options'!$I:$I,"MDAW*"))</f>
        <v/>
      </c>
      <c r="E239" s="26">
        <f>IF(SUMIFS('BSE - SENSEX Index Options'!$M:$M,'BSE - SENSEX Index Options'!$C:$C,$A239,'BSE - SENSEX Index Options'!$B:$B,E$147,'BSE - SENSEX Index Options'!$I:$I,"Weekly*")+SUMIFS('BSE - SENSEX Index Options'!$M:$M,'BSE - SENSEX Index Options'!$C:$C,$A239,'BSE - SENSEX Index Options'!$B:$B,E$147,'BSE - SENSEX Index Options'!$I:$I,"MDAW*")+SUMIFS('BSE - Other Index Options'!$M:$M,'BSE - Other Index Options'!$C:$C,$A239,'BSE - Other Index Options'!$B:$B,E$147,'BSE - Other Index Options'!$I:$I,"Weekly*")+SUMIFS('BSE - Other Index Options'!$M:$M,'BSE - Other Index Options'!$C:$C,$A239,'BSE - Other Index Options'!$B:$B,E$147,'BSE - Other Index Options'!$I:$I,"MDAW*")=0,"",SUMIFS('BSE - SENSEX Index Options'!$M:$M,'BSE - SENSEX Index Options'!$C:$C,$A239,'BSE - SENSEX Index Options'!$B:$B,E$147,'BSE - SENSEX Index Options'!$I:$I,"Weekly*")+SUMIFS('BSE - SENSEX Index Options'!$M:$M,'BSE - SENSEX Index Options'!$C:$C,$A239,'BSE - SENSEX Index Options'!$B:$B,E$147,'BSE - SENSEX Index Options'!$I:$I,"MDAW*")+SUMIFS('BSE - Other Index Options'!$M:$M,'BSE - Other Index Options'!$C:$C,$A239,'BSE - Other Index Options'!$B:$B,E$147,'BSE - Other Index Options'!$I:$I,"Weekly*")+SUMIFS('BSE - Other Index Options'!$M:$M,'BSE - Other Index Options'!$C:$C,$A239,'BSE - Other Index Options'!$B:$B,E$147,'BSE - Other Index Options'!$I:$I,"MDAW*"))</f>
        <v/>
      </c>
      <c r="F239" s="26">
        <f>IF(SUMIFS('BSE - SENSEX Index Options'!$M:$M,'BSE - SENSEX Index Options'!$C:$C,$A239,'BSE - SENSEX Index Options'!$B:$B,F$147,'BSE - SENSEX Index Options'!$I:$I,"Weekly*")+SUMIFS('BSE - SENSEX Index Options'!$M:$M,'BSE - SENSEX Index Options'!$C:$C,$A239,'BSE - SENSEX Index Options'!$B:$B,F$147,'BSE - SENSEX Index Options'!$I:$I,"MDAW*")+SUMIFS('BSE - Other Index Options'!$M:$M,'BSE - Other Index Options'!$C:$C,$A239,'BSE - Other Index Options'!$B:$B,F$147,'BSE - Other Index Options'!$I:$I,"Weekly*")+SUMIFS('BSE - Other Index Options'!$M:$M,'BSE - Other Index Options'!$C:$C,$A239,'BSE - Other Index Options'!$B:$B,F$147,'BSE - Other Index Options'!$I:$I,"MDAW*")=0,"",SUMIFS('BSE - SENSEX Index Options'!$M:$M,'BSE - SENSEX Index Options'!$C:$C,$A239,'BSE - SENSEX Index Options'!$B:$B,F$147,'BSE - SENSEX Index Options'!$I:$I,"Weekly*")+SUMIFS('BSE - SENSEX Index Options'!$M:$M,'BSE - SENSEX Index Options'!$C:$C,$A239,'BSE - SENSEX Index Options'!$B:$B,F$147,'BSE - SENSEX Index Options'!$I:$I,"MDAW*")+SUMIFS('BSE - Other Index Options'!$M:$M,'BSE - Other Index Options'!$C:$C,$A239,'BSE - Other Index Options'!$B:$B,F$147,'BSE - Other Index Options'!$I:$I,"Weekly*")+SUMIFS('BSE - Other Index Options'!$M:$M,'BSE - Other Index Options'!$C:$C,$A239,'BSE - Other Index Options'!$B:$B,F$147,'BSE - Other Index Options'!$I:$I,"MDAW*"))</f>
        <v/>
      </c>
      <c r="G239" s="26">
        <f>IF(SUMIFS('BSE - SENSEX Index Options'!$M:$M,'BSE - SENSEX Index Options'!$C:$C,$A239,'BSE - SENSEX Index Options'!$B:$B,G$147,'BSE - SENSEX Index Options'!$I:$I,"Weekly*")+SUMIFS('BSE - SENSEX Index Options'!$M:$M,'BSE - SENSEX Index Options'!$C:$C,$A239,'BSE - SENSEX Index Options'!$B:$B,G$147,'BSE - SENSEX Index Options'!$I:$I,"MDAW*")+SUMIFS('BSE - Other Index Options'!$M:$M,'BSE - Other Index Options'!$C:$C,$A239,'BSE - Other Index Options'!$B:$B,G$147,'BSE - Other Index Options'!$I:$I,"Weekly*")+SUMIFS('BSE - Other Index Options'!$M:$M,'BSE - Other Index Options'!$C:$C,$A239,'BSE - Other Index Options'!$B:$B,G$147,'BSE - Other Index Options'!$I:$I,"MDAW*")=0,"",SUMIFS('BSE - SENSEX Index Options'!$M:$M,'BSE - SENSEX Index Options'!$C:$C,$A239,'BSE - SENSEX Index Options'!$B:$B,G$147,'BSE - SENSEX Index Options'!$I:$I,"Weekly*")+SUMIFS('BSE - SENSEX Index Options'!$M:$M,'BSE - SENSEX Index Options'!$C:$C,$A239,'BSE - SENSEX Index Options'!$B:$B,G$147,'BSE - SENSEX Index Options'!$I:$I,"MDAW*")+SUMIFS('BSE - Other Index Options'!$M:$M,'BSE - Other Index Options'!$C:$C,$A239,'BSE - Other Index Options'!$B:$B,G$147,'BSE - Other Index Options'!$I:$I,"Weekly*")+SUMIFS('BSE - Other Index Options'!$M:$M,'BSE - Other Index Options'!$C:$C,$A239,'BSE - Other Index Options'!$B:$B,G$147,'BSE - Other Index Options'!$I:$I,"MDAW*"))</f>
        <v/>
      </c>
      <c r="H239" s="26">
        <f>IF(SUM(B239:G239)=0,"",SUM(B239:G239))</f>
        <v/>
      </c>
    </row>
    <row r="240" hidden="1" outlineLevel="1">
      <c r="A240" t="inlineStr">
        <is>
          <t>Week5-Mar-2027</t>
        </is>
      </c>
      <c r="B240" s="26">
        <f>IF(SUMIFS('BSE - SENSEX Index Options'!$M:$M,'BSE - SENSEX Index Options'!$C:$C,$A240,'BSE - SENSEX Index Options'!$B:$B,B$147,'BSE - SENSEX Index Options'!$I:$I,"Weekly*")+SUMIFS('BSE - SENSEX Index Options'!$M:$M,'BSE - SENSEX Index Options'!$C:$C,$A240,'BSE - SENSEX Index Options'!$B:$B,B$147,'BSE - SENSEX Index Options'!$I:$I,"MDAW*")+SUMIFS('BSE - Other Index Options'!$M:$M,'BSE - Other Index Options'!$C:$C,$A240,'BSE - Other Index Options'!$B:$B,B$147,'BSE - Other Index Options'!$I:$I,"Weekly*")+SUMIFS('BSE - Other Index Options'!$M:$M,'BSE - Other Index Options'!$C:$C,$A240,'BSE - Other Index Options'!$B:$B,B$147,'BSE - Other Index Options'!$I:$I,"MDAW*")=0,"",SUMIFS('BSE - SENSEX Index Options'!$M:$M,'BSE - SENSEX Index Options'!$C:$C,$A240,'BSE - SENSEX Index Options'!$B:$B,B$147,'BSE - SENSEX Index Options'!$I:$I,"Weekly*")+SUMIFS('BSE - SENSEX Index Options'!$M:$M,'BSE - SENSEX Index Options'!$C:$C,$A240,'BSE - SENSEX Index Options'!$B:$B,B$147,'BSE - SENSEX Index Options'!$I:$I,"MDAW*")+SUMIFS('BSE - Other Index Options'!$M:$M,'BSE - Other Index Options'!$C:$C,$A240,'BSE - Other Index Options'!$B:$B,B$147,'BSE - Other Index Options'!$I:$I,"Weekly*")+SUMIFS('BSE - Other Index Options'!$M:$M,'BSE - Other Index Options'!$C:$C,$A240,'BSE - Other Index Options'!$B:$B,B$147,'BSE - Other Index Options'!$I:$I,"MDAW*"))</f>
        <v/>
      </c>
      <c r="C240" s="26">
        <f>IF(SUMIFS('BSE - SENSEX Index Options'!$M:$M,'BSE - SENSEX Index Options'!$C:$C,$A240,'BSE - SENSEX Index Options'!$B:$B,C$147,'BSE - SENSEX Index Options'!$I:$I,"Weekly*")+SUMIFS('BSE - SENSEX Index Options'!$M:$M,'BSE - SENSEX Index Options'!$C:$C,$A240,'BSE - SENSEX Index Options'!$B:$B,C$147,'BSE - SENSEX Index Options'!$I:$I,"MDAW*")+SUMIFS('BSE - Other Index Options'!$M:$M,'BSE - Other Index Options'!$C:$C,$A240,'BSE - Other Index Options'!$B:$B,C$147,'BSE - Other Index Options'!$I:$I,"Weekly*")+SUMIFS('BSE - Other Index Options'!$M:$M,'BSE - Other Index Options'!$C:$C,$A240,'BSE - Other Index Options'!$B:$B,C$147,'BSE - Other Index Options'!$I:$I,"MDAW*")=0,"",SUMIFS('BSE - SENSEX Index Options'!$M:$M,'BSE - SENSEX Index Options'!$C:$C,$A240,'BSE - SENSEX Index Options'!$B:$B,C$147,'BSE - SENSEX Index Options'!$I:$I,"Weekly*")+SUMIFS('BSE - SENSEX Index Options'!$M:$M,'BSE - SENSEX Index Options'!$C:$C,$A240,'BSE - SENSEX Index Options'!$B:$B,C$147,'BSE - SENSEX Index Options'!$I:$I,"MDAW*")+SUMIFS('BSE - Other Index Options'!$M:$M,'BSE - Other Index Options'!$C:$C,$A240,'BSE - Other Index Options'!$B:$B,C$147,'BSE - Other Index Options'!$I:$I,"Weekly*")+SUMIFS('BSE - Other Index Options'!$M:$M,'BSE - Other Index Options'!$C:$C,$A240,'BSE - Other Index Options'!$B:$B,C$147,'BSE - Other Index Options'!$I:$I,"MDAW*"))</f>
        <v/>
      </c>
      <c r="D240" s="26">
        <f>IF(SUMIFS('BSE - SENSEX Index Options'!$M:$M,'BSE - SENSEX Index Options'!$C:$C,$A240,'BSE - SENSEX Index Options'!$B:$B,D$147,'BSE - SENSEX Index Options'!$I:$I,"Weekly*")+SUMIFS('BSE - SENSEX Index Options'!$M:$M,'BSE - SENSEX Index Options'!$C:$C,$A240,'BSE - SENSEX Index Options'!$B:$B,D$147,'BSE - SENSEX Index Options'!$I:$I,"MDAW*")+SUMIFS('BSE - Other Index Options'!$M:$M,'BSE - Other Index Options'!$C:$C,$A240,'BSE - Other Index Options'!$B:$B,D$147,'BSE - Other Index Options'!$I:$I,"Weekly*")+SUMIFS('BSE - Other Index Options'!$M:$M,'BSE - Other Index Options'!$C:$C,$A240,'BSE - Other Index Options'!$B:$B,D$147,'BSE - Other Index Options'!$I:$I,"MDAW*")=0,"",SUMIFS('BSE - SENSEX Index Options'!$M:$M,'BSE - SENSEX Index Options'!$C:$C,$A240,'BSE - SENSEX Index Options'!$B:$B,D$147,'BSE - SENSEX Index Options'!$I:$I,"Weekly*")+SUMIFS('BSE - SENSEX Index Options'!$M:$M,'BSE - SENSEX Index Options'!$C:$C,$A240,'BSE - SENSEX Index Options'!$B:$B,D$147,'BSE - SENSEX Index Options'!$I:$I,"MDAW*")+SUMIFS('BSE - Other Index Options'!$M:$M,'BSE - Other Index Options'!$C:$C,$A240,'BSE - Other Index Options'!$B:$B,D$147,'BSE - Other Index Options'!$I:$I,"Weekly*")+SUMIFS('BSE - Other Index Options'!$M:$M,'BSE - Other Index Options'!$C:$C,$A240,'BSE - Other Index Options'!$B:$B,D$147,'BSE - Other Index Options'!$I:$I,"MDAW*"))</f>
        <v/>
      </c>
      <c r="E240" s="26">
        <f>IF(SUMIFS('BSE - SENSEX Index Options'!$M:$M,'BSE - SENSEX Index Options'!$C:$C,$A240,'BSE - SENSEX Index Options'!$B:$B,E$147,'BSE - SENSEX Index Options'!$I:$I,"Weekly*")+SUMIFS('BSE - SENSEX Index Options'!$M:$M,'BSE - SENSEX Index Options'!$C:$C,$A240,'BSE - SENSEX Index Options'!$B:$B,E$147,'BSE - SENSEX Index Options'!$I:$I,"MDAW*")+SUMIFS('BSE - Other Index Options'!$M:$M,'BSE - Other Index Options'!$C:$C,$A240,'BSE - Other Index Options'!$B:$B,E$147,'BSE - Other Index Options'!$I:$I,"Weekly*")+SUMIFS('BSE - Other Index Options'!$M:$M,'BSE - Other Index Options'!$C:$C,$A240,'BSE - Other Index Options'!$B:$B,E$147,'BSE - Other Index Options'!$I:$I,"MDAW*")=0,"",SUMIFS('BSE - SENSEX Index Options'!$M:$M,'BSE - SENSEX Index Options'!$C:$C,$A240,'BSE - SENSEX Index Options'!$B:$B,E$147,'BSE - SENSEX Index Options'!$I:$I,"Weekly*")+SUMIFS('BSE - SENSEX Index Options'!$M:$M,'BSE - SENSEX Index Options'!$C:$C,$A240,'BSE - SENSEX Index Options'!$B:$B,E$147,'BSE - SENSEX Index Options'!$I:$I,"MDAW*")+SUMIFS('BSE - Other Index Options'!$M:$M,'BSE - Other Index Options'!$C:$C,$A240,'BSE - Other Index Options'!$B:$B,E$147,'BSE - Other Index Options'!$I:$I,"Weekly*")+SUMIFS('BSE - Other Index Options'!$M:$M,'BSE - Other Index Options'!$C:$C,$A240,'BSE - Other Index Options'!$B:$B,E$147,'BSE - Other Index Options'!$I:$I,"MDAW*"))</f>
        <v/>
      </c>
      <c r="F240" s="26">
        <f>IF(SUMIFS('BSE - SENSEX Index Options'!$M:$M,'BSE - SENSEX Index Options'!$C:$C,$A240,'BSE - SENSEX Index Options'!$B:$B,F$147,'BSE - SENSEX Index Options'!$I:$I,"Weekly*")+SUMIFS('BSE - SENSEX Index Options'!$M:$M,'BSE - SENSEX Index Options'!$C:$C,$A240,'BSE - SENSEX Index Options'!$B:$B,F$147,'BSE - SENSEX Index Options'!$I:$I,"MDAW*")+SUMIFS('BSE - Other Index Options'!$M:$M,'BSE - Other Index Options'!$C:$C,$A240,'BSE - Other Index Options'!$B:$B,F$147,'BSE - Other Index Options'!$I:$I,"Weekly*")+SUMIFS('BSE - Other Index Options'!$M:$M,'BSE - Other Index Options'!$C:$C,$A240,'BSE - Other Index Options'!$B:$B,F$147,'BSE - Other Index Options'!$I:$I,"MDAW*")=0,"",SUMIFS('BSE - SENSEX Index Options'!$M:$M,'BSE - SENSEX Index Options'!$C:$C,$A240,'BSE - SENSEX Index Options'!$B:$B,F$147,'BSE - SENSEX Index Options'!$I:$I,"Weekly*")+SUMIFS('BSE - SENSEX Index Options'!$M:$M,'BSE - SENSEX Index Options'!$C:$C,$A240,'BSE - SENSEX Index Options'!$B:$B,F$147,'BSE - SENSEX Index Options'!$I:$I,"MDAW*")+SUMIFS('BSE - Other Index Options'!$M:$M,'BSE - Other Index Options'!$C:$C,$A240,'BSE - Other Index Options'!$B:$B,F$147,'BSE - Other Index Options'!$I:$I,"Weekly*")+SUMIFS('BSE - Other Index Options'!$M:$M,'BSE - Other Index Options'!$C:$C,$A240,'BSE - Other Index Options'!$B:$B,F$147,'BSE - Other Index Options'!$I:$I,"MDAW*"))</f>
        <v/>
      </c>
      <c r="G240" s="26">
        <f>IF(SUMIFS('BSE - SENSEX Index Options'!$M:$M,'BSE - SENSEX Index Options'!$C:$C,$A240,'BSE - SENSEX Index Options'!$B:$B,G$147,'BSE - SENSEX Index Options'!$I:$I,"Weekly*")+SUMIFS('BSE - SENSEX Index Options'!$M:$M,'BSE - SENSEX Index Options'!$C:$C,$A240,'BSE - SENSEX Index Options'!$B:$B,G$147,'BSE - SENSEX Index Options'!$I:$I,"MDAW*")+SUMIFS('BSE - Other Index Options'!$M:$M,'BSE - Other Index Options'!$C:$C,$A240,'BSE - Other Index Options'!$B:$B,G$147,'BSE - Other Index Options'!$I:$I,"Weekly*")+SUMIFS('BSE - Other Index Options'!$M:$M,'BSE - Other Index Options'!$C:$C,$A240,'BSE - Other Index Options'!$B:$B,G$147,'BSE - Other Index Options'!$I:$I,"MDAW*")=0,"",SUMIFS('BSE - SENSEX Index Options'!$M:$M,'BSE - SENSEX Index Options'!$C:$C,$A240,'BSE - SENSEX Index Options'!$B:$B,G$147,'BSE - SENSEX Index Options'!$I:$I,"Weekly*")+SUMIFS('BSE - SENSEX Index Options'!$M:$M,'BSE - SENSEX Index Options'!$C:$C,$A240,'BSE - SENSEX Index Options'!$B:$B,G$147,'BSE - SENSEX Index Options'!$I:$I,"MDAW*")+SUMIFS('BSE - Other Index Options'!$M:$M,'BSE - Other Index Options'!$C:$C,$A240,'BSE - Other Index Options'!$B:$B,G$147,'BSE - Other Index Options'!$I:$I,"Weekly*")+SUMIFS('BSE - Other Index Options'!$M:$M,'BSE - Other Index Options'!$C:$C,$A240,'BSE - Other Index Options'!$B:$B,G$147,'BSE - Other Index Options'!$I:$I,"MDAW*"))</f>
        <v/>
      </c>
      <c r="H240" s="26">
        <f>IF(SUM(B240:G240)=0,"",SUM(B240:G240))</f>
        <v/>
      </c>
    </row>
    <row r="241" hidden="1" outlineLevel="1">
      <c r="A241" t="inlineStr">
        <is>
          <t>Week1-Apr-2027</t>
        </is>
      </c>
      <c r="B241" s="26">
        <f>IF(SUMIFS('BSE - SENSEX Index Options'!$M:$M,'BSE - SENSEX Index Options'!$C:$C,$A241,'BSE - SENSEX Index Options'!$B:$B,B$147,'BSE - SENSEX Index Options'!$I:$I,"Weekly*")+SUMIFS('BSE - SENSEX Index Options'!$M:$M,'BSE - SENSEX Index Options'!$C:$C,$A241,'BSE - SENSEX Index Options'!$B:$B,B$147,'BSE - SENSEX Index Options'!$I:$I,"MDAW*")+SUMIFS('BSE - Other Index Options'!$M:$M,'BSE - Other Index Options'!$C:$C,$A241,'BSE - Other Index Options'!$B:$B,B$147,'BSE - Other Index Options'!$I:$I,"Weekly*")+SUMIFS('BSE - Other Index Options'!$M:$M,'BSE - Other Index Options'!$C:$C,$A241,'BSE - Other Index Options'!$B:$B,B$147,'BSE - Other Index Options'!$I:$I,"MDAW*")=0,"",SUMIFS('BSE - SENSEX Index Options'!$M:$M,'BSE - SENSEX Index Options'!$C:$C,$A241,'BSE - SENSEX Index Options'!$B:$B,B$147,'BSE - SENSEX Index Options'!$I:$I,"Weekly*")+SUMIFS('BSE - SENSEX Index Options'!$M:$M,'BSE - SENSEX Index Options'!$C:$C,$A241,'BSE - SENSEX Index Options'!$B:$B,B$147,'BSE - SENSEX Index Options'!$I:$I,"MDAW*")+SUMIFS('BSE - Other Index Options'!$M:$M,'BSE - Other Index Options'!$C:$C,$A241,'BSE - Other Index Options'!$B:$B,B$147,'BSE - Other Index Options'!$I:$I,"Weekly*")+SUMIFS('BSE - Other Index Options'!$M:$M,'BSE - Other Index Options'!$C:$C,$A241,'BSE - Other Index Options'!$B:$B,B$147,'BSE - Other Index Options'!$I:$I,"MDAW*"))</f>
        <v/>
      </c>
      <c r="C241" s="26">
        <f>IF(SUMIFS('BSE - SENSEX Index Options'!$M:$M,'BSE - SENSEX Index Options'!$C:$C,$A241,'BSE - SENSEX Index Options'!$B:$B,C$147,'BSE - SENSEX Index Options'!$I:$I,"Weekly*")+SUMIFS('BSE - SENSEX Index Options'!$M:$M,'BSE - SENSEX Index Options'!$C:$C,$A241,'BSE - SENSEX Index Options'!$B:$B,C$147,'BSE - SENSEX Index Options'!$I:$I,"MDAW*")+SUMIFS('BSE - Other Index Options'!$M:$M,'BSE - Other Index Options'!$C:$C,$A241,'BSE - Other Index Options'!$B:$B,C$147,'BSE - Other Index Options'!$I:$I,"Weekly*")+SUMIFS('BSE - Other Index Options'!$M:$M,'BSE - Other Index Options'!$C:$C,$A241,'BSE - Other Index Options'!$B:$B,C$147,'BSE - Other Index Options'!$I:$I,"MDAW*")=0,"",SUMIFS('BSE - SENSEX Index Options'!$M:$M,'BSE - SENSEX Index Options'!$C:$C,$A241,'BSE - SENSEX Index Options'!$B:$B,C$147,'BSE - SENSEX Index Options'!$I:$I,"Weekly*")+SUMIFS('BSE - SENSEX Index Options'!$M:$M,'BSE - SENSEX Index Options'!$C:$C,$A241,'BSE - SENSEX Index Options'!$B:$B,C$147,'BSE - SENSEX Index Options'!$I:$I,"MDAW*")+SUMIFS('BSE - Other Index Options'!$M:$M,'BSE - Other Index Options'!$C:$C,$A241,'BSE - Other Index Options'!$B:$B,C$147,'BSE - Other Index Options'!$I:$I,"Weekly*")+SUMIFS('BSE - Other Index Options'!$M:$M,'BSE - Other Index Options'!$C:$C,$A241,'BSE - Other Index Options'!$B:$B,C$147,'BSE - Other Index Options'!$I:$I,"MDAW*"))</f>
        <v/>
      </c>
      <c r="D241" s="26">
        <f>IF(SUMIFS('BSE - SENSEX Index Options'!$M:$M,'BSE - SENSEX Index Options'!$C:$C,$A241,'BSE - SENSEX Index Options'!$B:$B,D$147,'BSE - SENSEX Index Options'!$I:$I,"Weekly*")+SUMIFS('BSE - SENSEX Index Options'!$M:$M,'BSE - SENSEX Index Options'!$C:$C,$A241,'BSE - SENSEX Index Options'!$B:$B,D$147,'BSE - SENSEX Index Options'!$I:$I,"MDAW*")+SUMIFS('BSE - Other Index Options'!$M:$M,'BSE - Other Index Options'!$C:$C,$A241,'BSE - Other Index Options'!$B:$B,D$147,'BSE - Other Index Options'!$I:$I,"Weekly*")+SUMIFS('BSE - Other Index Options'!$M:$M,'BSE - Other Index Options'!$C:$C,$A241,'BSE - Other Index Options'!$B:$B,D$147,'BSE - Other Index Options'!$I:$I,"MDAW*")=0,"",SUMIFS('BSE - SENSEX Index Options'!$M:$M,'BSE - SENSEX Index Options'!$C:$C,$A241,'BSE - SENSEX Index Options'!$B:$B,D$147,'BSE - SENSEX Index Options'!$I:$I,"Weekly*")+SUMIFS('BSE - SENSEX Index Options'!$M:$M,'BSE - SENSEX Index Options'!$C:$C,$A241,'BSE - SENSEX Index Options'!$B:$B,D$147,'BSE - SENSEX Index Options'!$I:$I,"MDAW*")+SUMIFS('BSE - Other Index Options'!$M:$M,'BSE - Other Index Options'!$C:$C,$A241,'BSE - Other Index Options'!$B:$B,D$147,'BSE - Other Index Options'!$I:$I,"Weekly*")+SUMIFS('BSE - Other Index Options'!$M:$M,'BSE - Other Index Options'!$C:$C,$A241,'BSE - Other Index Options'!$B:$B,D$147,'BSE - Other Index Options'!$I:$I,"MDAW*"))</f>
        <v/>
      </c>
      <c r="E241" s="26">
        <f>IF(SUMIFS('BSE - SENSEX Index Options'!$M:$M,'BSE - SENSEX Index Options'!$C:$C,$A241,'BSE - SENSEX Index Options'!$B:$B,E$147,'BSE - SENSEX Index Options'!$I:$I,"Weekly*")+SUMIFS('BSE - SENSEX Index Options'!$M:$M,'BSE - SENSEX Index Options'!$C:$C,$A241,'BSE - SENSEX Index Options'!$B:$B,E$147,'BSE - SENSEX Index Options'!$I:$I,"MDAW*")+SUMIFS('BSE - Other Index Options'!$M:$M,'BSE - Other Index Options'!$C:$C,$A241,'BSE - Other Index Options'!$B:$B,E$147,'BSE - Other Index Options'!$I:$I,"Weekly*")+SUMIFS('BSE - Other Index Options'!$M:$M,'BSE - Other Index Options'!$C:$C,$A241,'BSE - Other Index Options'!$B:$B,E$147,'BSE - Other Index Options'!$I:$I,"MDAW*")=0,"",SUMIFS('BSE - SENSEX Index Options'!$M:$M,'BSE - SENSEX Index Options'!$C:$C,$A241,'BSE - SENSEX Index Options'!$B:$B,E$147,'BSE - SENSEX Index Options'!$I:$I,"Weekly*")+SUMIFS('BSE - SENSEX Index Options'!$M:$M,'BSE - SENSEX Index Options'!$C:$C,$A241,'BSE - SENSEX Index Options'!$B:$B,E$147,'BSE - SENSEX Index Options'!$I:$I,"MDAW*")+SUMIFS('BSE - Other Index Options'!$M:$M,'BSE - Other Index Options'!$C:$C,$A241,'BSE - Other Index Options'!$B:$B,E$147,'BSE - Other Index Options'!$I:$I,"Weekly*")+SUMIFS('BSE - Other Index Options'!$M:$M,'BSE - Other Index Options'!$C:$C,$A241,'BSE - Other Index Options'!$B:$B,E$147,'BSE - Other Index Options'!$I:$I,"MDAW*"))</f>
        <v/>
      </c>
      <c r="F241" s="26">
        <f>IF(SUMIFS('BSE - SENSEX Index Options'!$M:$M,'BSE - SENSEX Index Options'!$C:$C,$A241,'BSE - SENSEX Index Options'!$B:$B,F$147,'BSE - SENSEX Index Options'!$I:$I,"Weekly*")+SUMIFS('BSE - SENSEX Index Options'!$M:$M,'BSE - SENSEX Index Options'!$C:$C,$A241,'BSE - SENSEX Index Options'!$B:$B,F$147,'BSE - SENSEX Index Options'!$I:$I,"MDAW*")+SUMIFS('BSE - Other Index Options'!$M:$M,'BSE - Other Index Options'!$C:$C,$A241,'BSE - Other Index Options'!$B:$B,F$147,'BSE - Other Index Options'!$I:$I,"Weekly*")+SUMIFS('BSE - Other Index Options'!$M:$M,'BSE - Other Index Options'!$C:$C,$A241,'BSE - Other Index Options'!$B:$B,F$147,'BSE - Other Index Options'!$I:$I,"MDAW*")=0,"",SUMIFS('BSE - SENSEX Index Options'!$M:$M,'BSE - SENSEX Index Options'!$C:$C,$A241,'BSE - SENSEX Index Options'!$B:$B,F$147,'BSE - SENSEX Index Options'!$I:$I,"Weekly*")+SUMIFS('BSE - SENSEX Index Options'!$M:$M,'BSE - SENSEX Index Options'!$C:$C,$A241,'BSE - SENSEX Index Options'!$B:$B,F$147,'BSE - SENSEX Index Options'!$I:$I,"MDAW*")+SUMIFS('BSE - Other Index Options'!$M:$M,'BSE - Other Index Options'!$C:$C,$A241,'BSE - Other Index Options'!$B:$B,F$147,'BSE - Other Index Options'!$I:$I,"Weekly*")+SUMIFS('BSE - Other Index Options'!$M:$M,'BSE - Other Index Options'!$C:$C,$A241,'BSE - Other Index Options'!$B:$B,F$147,'BSE - Other Index Options'!$I:$I,"MDAW*"))</f>
        <v/>
      </c>
      <c r="G241" s="26">
        <f>IF(SUMIFS('BSE - SENSEX Index Options'!$M:$M,'BSE - SENSEX Index Options'!$C:$C,$A241,'BSE - SENSEX Index Options'!$B:$B,G$147,'BSE - SENSEX Index Options'!$I:$I,"Weekly*")+SUMIFS('BSE - SENSEX Index Options'!$M:$M,'BSE - SENSEX Index Options'!$C:$C,$A241,'BSE - SENSEX Index Options'!$B:$B,G$147,'BSE - SENSEX Index Options'!$I:$I,"MDAW*")+SUMIFS('BSE - Other Index Options'!$M:$M,'BSE - Other Index Options'!$C:$C,$A241,'BSE - Other Index Options'!$B:$B,G$147,'BSE - Other Index Options'!$I:$I,"Weekly*")+SUMIFS('BSE - Other Index Options'!$M:$M,'BSE - Other Index Options'!$C:$C,$A241,'BSE - Other Index Options'!$B:$B,G$147,'BSE - Other Index Options'!$I:$I,"MDAW*")=0,"",SUMIFS('BSE - SENSEX Index Options'!$M:$M,'BSE - SENSEX Index Options'!$C:$C,$A241,'BSE - SENSEX Index Options'!$B:$B,G$147,'BSE - SENSEX Index Options'!$I:$I,"Weekly*")+SUMIFS('BSE - SENSEX Index Options'!$M:$M,'BSE - SENSEX Index Options'!$C:$C,$A241,'BSE - SENSEX Index Options'!$B:$B,G$147,'BSE - SENSEX Index Options'!$I:$I,"MDAW*")+SUMIFS('BSE - Other Index Options'!$M:$M,'BSE - Other Index Options'!$C:$C,$A241,'BSE - Other Index Options'!$B:$B,G$147,'BSE - Other Index Options'!$I:$I,"Weekly*")+SUMIFS('BSE - Other Index Options'!$M:$M,'BSE - Other Index Options'!$C:$C,$A241,'BSE - Other Index Options'!$B:$B,G$147,'BSE - Other Index Options'!$I:$I,"MDAW*"))</f>
        <v/>
      </c>
      <c r="H241" s="26">
        <f>IF(SUM(B241:G241)=0,"",SUM(B241:G241))</f>
        <v/>
      </c>
    </row>
    <row r="242" hidden="1" outlineLevel="1">
      <c r="A242" t="inlineStr">
        <is>
          <t>Week2-Apr-2027</t>
        </is>
      </c>
      <c r="B242" s="26">
        <f>IF(SUMIFS('BSE - SENSEX Index Options'!$M:$M,'BSE - SENSEX Index Options'!$C:$C,$A242,'BSE - SENSEX Index Options'!$B:$B,B$147,'BSE - SENSEX Index Options'!$I:$I,"Weekly*")+SUMIFS('BSE - SENSEX Index Options'!$M:$M,'BSE - SENSEX Index Options'!$C:$C,$A242,'BSE - SENSEX Index Options'!$B:$B,B$147,'BSE - SENSEX Index Options'!$I:$I,"MDAW*")+SUMIFS('BSE - Other Index Options'!$M:$M,'BSE - Other Index Options'!$C:$C,$A242,'BSE - Other Index Options'!$B:$B,B$147,'BSE - Other Index Options'!$I:$I,"Weekly*")+SUMIFS('BSE - Other Index Options'!$M:$M,'BSE - Other Index Options'!$C:$C,$A242,'BSE - Other Index Options'!$B:$B,B$147,'BSE - Other Index Options'!$I:$I,"MDAW*")=0,"",SUMIFS('BSE - SENSEX Index Options'!$M:$M,'BSE - SENSEX Index Options'!$C:$C,$A242,'BSE - SENSEX Index Options'!$B:$B,B$147,'BSE - SENSEX Index Options'!$I:$I,"Weekly*")+SUMIFS('BSE - SENSEX Index Options'!$M:$M,'BSE - SENSEX Index Options'!$C:$C,$A242,'BSE - SENSEX Index Options'!$B:$B,B$147,'BSE - SENSEX Index Options'!$I:$I,"MDAW*")+SUMIFS('BSE - Other Index Options'!$M:$M,'BSE - Other Index Options'!$C:$C,$A242,'BSE - Other Index Options'!$B:$B,B$147,'BSE - Other Index Options'!$I:$I,"Weekly*")+SUMIFS('BSE - Other Index Options'!$M:$M,'BSE - Other Index Options'!$C:$C,$A242,'BSE - Other Index Options'!$B:$B,B$147,'BSE - Other Index Options'!$I:$I,"MDAW*"))</f>
        <v/>
      </c>
      <c r="C242" s="26">
        <f>IF(SUMIFS('BSE - SENSEX Index Options'!$M:$M,'BSE - SENSEX Index Options'!$C:$C,$A242,'BSE - SENSEX Index Options'!$B:$B,C$147,'BSE - SENSEX Index Options'!$I:$I,"Weekly*")+SUMIFS('BSE - SENSEX Index Options'!$M:$M,'BSE - SENSEX Index Options'!$C:$C,$A242,'BSE - SENSEX Index Options'!$B:$B,C$147,'BSE - SENSEX Index Options'!$I:$I,"MDAW*")+SUMIFS('BSE - Other Index Options'!$M:$M,'BSE - Other Index Options'!$C:$C,$A242,'BSE - Other Index Options'!$B:$B,C$147,'BSE - Other Index Options'!$I:$I,"Weekly*")+SUMIFS('BSE - Other Index Options'!$M:$M,'BSE - Other Index Options'!$C:$C,$A242,'BSE - Other Index Options'!$B:$B,C$147,'BSE - Other Index Options'!$I:$I,"MDAW*")=0,"",SUMIFS('BSE - SENSEX Index Options'!$M:$M,'BSE - SENSEX Index Options'!$C:$C,$A242,'BSE - SENSEX Index Options'!$B:$B,C$147,'BSE - SENSEX Index Options'!$I:$I,"Weekly*")+SUMIFS('BSE - SENSEX Index Options'!$M:$M,'BSE - SENSEX Index Options'!$C:$C,$A242,'BSE - SENSEX Index Options'!$B:$B,C$147,'BSE - SENSEX Index Options'!$I:$I,"MDAW*")+SUMIFS('BSE - Other Index Options'!$M:$M,'BSE - Other Index Options'!$C:$C,$A242,'BSE - Other Index Options'!$B:$B,C$147,'BSE - Other Index Options'!$I:$I,"Weekly*")+SUMIFS('BSE - Other Index Options'!$M:$M,'BSE - Other Index Options'!$C:$C,$A242,'BSE - Other Index Options'!$B:$B,C$147,'BSE - Other Index Options'!$I:$I,"MDAW*"))</f>
        <v/>
      </c>
      <c r="D242" s="26">
        <f>IF(SUMIFS('BSE - SENSEX Index Options'!$M:$M,'BSE - SENSEX Index Options'!$C:$C,$A242,'BSE - SENSEX Index Options'!$B:$B,D$147,'BSE - SENSEX Index Options'!$I:$I,"Weekly*")+SUMIFS('BSE - SENSEX Index Options'!$M:$M,'BSE - SENSEX Index Options'!$C:$C,$A242,'BSE - SENSEX Index Options'!$B:$B,D$147,'BSE - SENSEX Index Options'!$I:$I,"MDAW*")+SUMIFS('BSE - Other Index Options'!$M:$M,'BSE - Other Index Options'!$C:$C,$A242,'BSE - Other Index Options'!$B:$B,D$147,'BSE - Other Index Options'!$I:$I,"Weekly*")+SUMIFS('BSE - Other Index Options'!$M:$M,'BSE - Other Index Options'!$C:$C,$A242,'BSE - Other Index Options'!$B:$B,D$147,'BSE - Other Index Options'!$I:$I,"MDAW*")=0,"",SUMIFS('BSE - SENSEX Index Options'!$M:$M,'BSE - SENSEX Index Options'!$C:$C,$A242,'BSE - SENSEX Index Options'!$B:$B,D$147,'BSE - SENSEX Index Options'!$I:$I,"Weekly*")+SUMIFS('BSE - SENSEX Index Options'!$M:$M,'BSE - SENSEX Index Options'!$C:$C,$A242,'BSE - SENSEX Index Options'!$B:$B,D$147,'BSE - SENSEX Index Options'!$I:$I,"MDAW*")+SUMIFS('BSE - Other Index Options'!$M:$M,'BSE - Other Index Options'!$C:$C,$A242,'BSE - Other Index Options'!$B:$B,D$147,'BSE - Other Index Options'!$I:$I,"Weekly*")+SUMIFS('BSE - Other Index Options'!$M:$M,'BSE - Other Index Options'!$C:$C,$A242,'BSE - Other Index Options'!$B:$B,D$147,'BSE - Other Index Options'!$I:$I,"MDAW*"))</f>
        <v/>
      </c>
      <c r="E242" s="26">
        <f>IF(SUMIFS('BSE - SENSEX Index Options'!$M:$M,'BSE - SENSEX Index Options'!$C:$C,$A242,'BSE - SENSEX Index Options'!$B:$B,E$147,'BSE - SENSEX Index Options'!$I:$I,"Weekly*")+SUMIFS('BSE - SENSEX Index Options'!$M:$M,'BSE - SENSEX Index Options'!$C:$C,$A242,'BSE - SENSEX Index Options'!$B:$B,E$147,'BSE - SENSEX Index Options'!$I:$I,"MDAW*")+SUMIFS('BSE - Other Index Options'!$M:$M,'BSE - Other Index Options'!$C:$C,$A242,'BSE - Other Index Options'!$B:$B,E$147,'BSE - Other Index Options'!$I:$I,"Weekly*")+SUMIFS('BSE - Other Index Options'!$M:$M,'BSE - Other Index Options'!$C:$C,$A242,'BSE - Other Index Options'!$B:$B,E$147,'BSE - Other Index Options'!$I:$I,"MDAW*")=0,"",SUMIFS('BSE - SENSEX Index Options'!$M:$M,'BSE - SENSEX Index Options'!$C:$C,$A242,'BSE - SENSEX Index Options'!$B:$B,E$147,'BSE - SENSEX Index Options'!$I:$I,"Weekly*")+SUMIFS('BSE - SENSEX Index Options'!$M:$M,'BSE - SENSEX Index Options'!$C:$C,$A242,'BSE - SENSEX Index Options'!$B:$B,E$147,'BSE - SENSEX Index Options'!$I:$I,"MDAW*")+SUMIFS('BSE - Other Index Options'!$M:$M,'BSE - Other Index Options'!$C:$C,$A242,'BSE - Other Index Options'!$B:$B,E$147,'BSE - Other Index Options'!$I:$I,"Weekly*")+SUMIFS('BSE - Other Index Options'!$M:$M,'BSE - Other Index Options'!$C:$C,$A242,'BSE - Other Index Options'!$B:$B,E$147,'BSE - Other Index Options'!$I:$I,"MDAW*"))</f>
        <v/>
      </c>
      <c r="F242" s="26">
        <f>IF(SUMIFS('BSE - SENSEX Index Options'!$M:$M,'BSE - SENSEX Index Options'!$C:$C,$A242,'BSE - SENSEX Index Options'!$B:$B,F$147,'BSE - SENSEX Index Options'!$I:$I,"Weekly*")+SUMIFS('BSE - SENSEX Index Options'!$M:$M,'BSE - SENSEX Index Options'!$C:$C,$A242,'BSE - SENSEX Index Options'!$B:$B,F$147,'BSE - SENSEX Index Options'!$I:$I,"MDAW*")+SUMIFS('BSE - Other Index Options'!$M:$M,'BSE - Other Index Options'!$C:$C,$A242,'BSE - Other Index Options'!$B:$B,F$147,'BSE - Other Index Options'!$I:$I,"Weekly*")+SUMIFS('BSE - Other Index Options'!$M:$M,'BSE - Other Index Options'!$C:$C,$A242,'BSE - Other Index Options'!$B:$B,F$147,'BSE - Other Index Options'!$I:$I,"MDAW*")=0,"",SUMIFS('BSE - SENSEX Index Options'!$M:$M,'BSE - SENSEX Index Options'!$C:$C,$A242,'BSE - SENSEX Index Options'!$B:$B,F$147,'BSE - SENSEX Index Options'!$I:$I,"Weekly*")+SUMIFS('BSE - SENSEX Index Options'!$M:$M,'BSE - SENSEX Index Options'!$C:$C,$A242,'BSE - SENSEX Index Options'!$B:$B,F$147,'BSE - SENSEX Index Options'!$I:$I,"MDAW*")+SUMIFS('BSE - Other Index Options'!$M:$M,'BSE - Other Index Options'!$C:$C,$A242,'BSE - Other Index Options'!$B:$B,F$147,'BSE - Other Index Options'!$I:$I,"Weekly*")+SUMIFS('BSE - Other Index Options'!$M:$M,'BSE - Other Index Options'!$C:$C,$A242,'BSE - Other Index Options'!$B:$B,F$147,'BSE - Other Index Options'!$I:$I,"MDAW*"))</f>
        <v/>
      </c>
      <c r="G242" s="26">
        <f>IF(SUMIFS('BSE - SENSEX Index Options'!$M:$M,'BSE - SENSEX Index Options'!$C:$C,$A242,'BSE - SENSEX Index Options'!$B:$B,G$147,'BSE - SENSEX Index Options'!$I:$I,"Weekly*")+SUMIFS('BSE - SENSEX Index Options'!$M:$M,'BSE - SENSEX Index Options'!$C:$C,$A242,'BSE - SENSEX Index Options'!$B:$B,G$147,'BSE - SENSEX Index Options'!$I:$I,"MDAW*")+SUMIFS('BSE - Other Index Options'!$M:$M,'BSE - Other Index Options'!$C:$C,$A242,'BSE - Other Index Options'!$B:$B,G$147,'BSE - Other Index Options'!$I:$I,"Weekly*")+SUMIFS('BSE - Other Index Options'!$M:$M,'BSE - Other Index Options'!$C:$C,$A242,'BSE - Other Index Options'!$B:$B,G$147,'BSE - Other Index Options'!$I:$I,"MDAW*")=0,"",SUMIFS('BSE - SENSEX Index Options'!$M:$M,'BSE - SENSEX Index Options'!$C:$C,$A242,'BSE - SENSEX Index Options'!$B:$B,G$147,'BSE - SENSEX Index Options'!$I:$I,"Weekly*")+SUMIFS('BSE - SENSEX Index Options'!$M:$M,'BSE - SENSEX Index Options'!$C:$C,$A242,'BSE - SENSEX Index Options'!$B:$B,G$147,'BSE - SENSEX Index Options'!$I:$I,"MDAW*")+SUMIFS('BSE - Other Index Options'!$M:$M,'BSE - Other Index Options'!$C:$C,$A242,'BSE - Other Index Options'!$B:$B,G$147,'BSE - Other Index Options'!$I:$I,"Weekly*")+SUMIFS('BSE - Other Index Options'!$M:$M,'BSE - Other Index Options'!$C:$C,$A242,'BSE - Other Index Options'!$B:$B,G$147,'BSE - Other Index Options'!$I:$I,"MDAW*"))</f>
        <v/>
      </c>
      <c r="H242" s="26">
        <f>IF(SUM(B242:G242)=0,"",SUM(B242:G242))</f>
        <v/>
      </c>
    </row>
    <row r="243" hidden="1" outlineLevel="1">
      <c r="A243" t="inlineStr">
        <is>
          <t>Week3-Apr-2027</t>
        </is>
      </c>
      <c r="B243" s="26">
        <f>IF(SUMIFS('BSE - SENSEX Index Options'!$M:$M,'BSE - SENSEX Index Options'!$C:$C,$A243,'BSE - SENSEX Index Options'!$B:$B,B$147,'BSE - SENSEX Index Options'!$I:$I,"Weekly*")+SUMIFS('BSE - SENSEX Index Options'!$M:$M,'BSE - SENSEX Index Options'!$C:$C,$A243,'BSE - SENSEX Index Options'!$B:$B,B$147,'BSE - SENSEX Index Options'!$I:$I,"MDAW*")+SUMIFS('BSE - Other Index Options'!$M:$M,'BSE - Other Index Options'!$C:$C,$A243,'BSE - Other Index Options'!$B:$B,B$147,'BSE - Other Index Options'!$I:$I,"Weekly*")+SUMIFS('BSE - Other Index Options'!$M:$M,'BSE - Other Index Options'!$C:$C,$A243,'BSE - Other Index Options'!$B:$B,B$147,'BSE - Other Index Options'!$I:$I,"MDAW*")=0,"",SUMIFS('BSE - SENSEX Index Options'!$M:$M,'BSE - SENSEX Index Options'!$C:$C,$A243,'BSE - SENSEX Index Options'!$B:$B,B$147,'BSE - SENSEX Index Options'!$I:$I,"Weekly*")+SUMIFS('BSE - SENSEX Index Options'!$M:$M,'BSE - SENSEX Index Options'!$C:$C,$A243,'BSE - SENSEX Index Options'!$B:$B,B$147,'BSE - SENSEX Index Options'!$I:$I,"MDAW*")+SUMIFS('BSE - Other Index Options'!$M:$M,'BSE - Other Index Options'!$C:$C,$A243,'BSE - Other Index Options'!$B:$B,B$147,'BSE - Other Index Options'!$I:$I,"Weekly*")+SUMIFS('BSE - Other Index Options'!$M:$M,'BSE - Other Index Options'!$C:$C,$A243,'BSE - Other Index Options'!$B:$B,B$147,'BSE - Other Index Options'!$I:$I,"MDAW*"))</f>
        <v/>
      </c>
      <c r="C243" s="26">
        <f>IF(SUMIFS('BSE - SENSEX Index Options'!$M:$M,'BSE - SENSEX Index Options'!$C:$C,$A243,'BSE - SENSEX Index Options'!$B:$B,C$147,'BSE - SENSEX Index Options'!$I:$I,"Weekly*")+SUMIFS('BSE - SENSEX Index Options'!$M:$M,'BSE - SENSEX Index Options'!$C:$C,$A243,'BSE - SENSEX Index Options'!$B:$B,C$147,'BSE - SENSEX Index Options'!$I:$I,"MDAW*")+SUMIFS('BSE - Other Index Options'!$M:$M,'BSE - Other Index Options'!$C:$C,$A243,'BSE - Other Index Options'!$B:$B,C$147,'BSE - Other Index Options'!$I:$I,"Weekly*")+SUMIFS('BSE - Other Index Options'!$M:$M,'BSE - Other Index Options'!$C:$C,$A243,'BSE - Other Index Options'!$B:$B,C$147,'BSE - Other Index Options'!$I:$I,"MDAW*")=0,"",SUMIFS('BSE - SENSEX Index Options'!$M:$M,'BSE - SENSEX Index Options'!$C:$C,$A243,'BSE - SENSEX Index Options'!$B:$B,C$147,'BSE - SENSEX Index Options'!$I:$I,"Weekly*")+SUMIFS('BSE - SENSEX Index Options'!$M:$M,'BSE - SENSEX Index Options'!$C:$C,$A243,'BSE - SENSEX Index Options'!$B:$B,C$147,'BSE - SENSEX Index Options'!$I:$I,"MDAW*")+SUMIFS('BSE - Other Index Options'!$M:$M,'BSE - Other Index Options'!$C:$C,$A243,'BSE - Other Index Options'!$B:$B,C$147,'BSE - Other Index Options'!$I:$I,"Weekly*")+SUMIFS('BSE - Other Index Options'!$M:$M,'BSE - Other Index Options'!$C:$C,$A243,'BSE - Other Index Options'!$B:$B,C$147,'BSE - Other Index Options'!$I:$I,"MDAW*"))</f>
        <v/>
      </c>
      <c r="D243" s="26">
        <f>IF(SUMIFS('BSE - SENSEX Index Options'!$M:$M,'BSE - SENSEX Index Options'!$C:$C,$A243,'BSE - SENSEX Index Options'!$B:$B,D$147,'BSE - SENSEX Index Options'!$I:$I,"Weekly*")+SUMIFS('BSE - SENSEX Index Options'!$M:$M,'BSE - SENSEX Index Options'!$C:$C,$A243,'BSE - SENSEX Index Options'!$B:$B,D$147,'BSE - SENSEX Index Options'!$I:$I,"MDAW*")+SUMIFS('BSE - Other Index Options'!$M:$M,'BSE - Other Index Options'!$C:$C,$A243,'BSE - Other Index Options'!$B:$B,D$147,'BSE - Other Index Options'!$I:$I,"Weekly*")+SUMIFS('BSE - Other Index Options'!$M:$M,'BSE - Other Index Options'!$C:$C,$A243,'BSE - Other Index Options'!$B:$B,D$147,'BSE - Other Index Options'!$I:$I,"MDAW*")=0,"",SUMIFS('BSE - SENSEX Index Options'!$M:$M,'BSE - SENSEX Index Options'!$C:$C,$A243,'BSE - SENSEX Index Options'!$B:$B,D$147,'BSE - SENSEX Index Options'!$I:$I,"Weekly*")+SUMIFS('BSE - SENSEX Index Options'!$M:$M,'BSE - SENSEX Index Options'!$C:$C,$A243,'BSE - SENSEX Index Options'!$B:$B,D$147,'BSE - SENSEX Index Options'!$I:$I,"MDAW*")+SUMIFS('BSE - Other Index Options'!$M:$M,'BSE - Other Index Options'!$C:$C,$A243,'BSE - Other Index Options'!$B:$B,D$147,'BSE - Other Index Options'!$I:$I,"Weekly*")+SUMIFS('BSE - Other Index Options'!$M:$M,'BSE - Other Index Options'!$C:$C,$A243,'BSE - Other Index Options'!$B:$B,D$147,'BSE - Other Index Options'!$I:$I,"MDAW*"))</f>
        <v/>
      </c>
      <c r="E243" s="26">
        <f>IF(SUMIFS('BSE - SENSEX Index Options'!$M:$M,'BSE - SENSEX Index Options'!$C:$C,$A243,'BSE - SENSEX Index Options'!$B:$B,E$147,'BSE - SENSEX Index Options'!$I:$I,"Weekly*")+SUMIFS('BSE - SENSEX Index Options'!$M:$M,'BSE - SENSEX Index Options'!$C:$C,$A243,'BSE - SENSEX Index Options'!$B:$B,E$147,'BSE - SENSEX Index Options'!$I:$I,"MDAW*")+SUMIFS('BSE - Other Index Options'!$M:$M,'BSE - Other Index Options'!$C:$C,$A243,'BSE - Other Index Options'!$B:$B,E$147,'BSE - Other Index Options'!$I:$I,"Weekly*")+SUMIFS('BSE - Other Index Options'!$M:$M,'BSE - Other Index Options'!$C:$C,$A243,'BSE - Other Index Options'!$B:$B,E$147,'BSE - Other Index Options'!$I:$I,"MDAW*")=0,"",SUMIFS('BSE - SENSEX Index Options'!$M:$M,'BSE - SENSEX Index Options'!$C:$C,$A243,'BSE - SENSEX Index Options'!$B:$B,E$147,'BSE - SENSEX Index Options'!$I:$I,"Weekly*")+SUMIFS('BSE - SENSEX Index Options'!$M:$M,'BSE - SENSEX Index Options'!$C:$C,$A243,'BSE - SENSEX Index Options'!$B:$B,E$147,'BSE - SENSEX Index Options'!$I:$I,"MDAW*")+SUMIFS('BSE - Other Index Options'!$M:$M,'BSE - Other Index Options'!$C:$C,$A243,'BSE - Other Index Options'!$B:$B,E$147,'BSE - Other Index Options'!$I:$I,"Weekly*")+SUMIFS('BSE - Other Index Options'!$M:$M,'BSE - Other Index Options'!$C:$C,$A243,'BSE - Other Index Options'!$B:$B,E$147,'BSE - Other Index Options'!$I:$I,"MDAW*"))</f>
        <v/>
      </c>
      <c r="F243" s="26">
        <f>IF(SUMIFS('BSE - SENSEX Index Options'!$M:$M,'BSE - SENSEX Index Options'!$C:$C,$A243,'BSE - SENSEX Index Options'!$B:$B,F$147,'BSE - SENSEX Index Options'!$I:$I,"Weekly*")+SUMIFS('BSE - SENSEX Index Options'!$M:$M,'BSE - SENSEX Index Options'!$C:$C,$A243,'BSE - SENSEX Index Options'!$B:$B,F$147,'BSE - SENSEX Index Options'!$I:$I,"MDAW*")+SUMIFS('BSE - Other Index Options'!$M:$M,'BSE - Other Index Options'!$C:$C,$A243,'BSE - Other Index Options'!$B:$B,F$147,'BSE - Other Index Options'!$I:$I,"Weekly*")+SUMIFS('BSE - Other Index Options'!$M:$M,'BSE - Other Index Options'!$C:$C,$A243,'BSE - Other Index Options'!$B:$B,F$147,'BSE - Other Index Options'!$I:$I,"MDAW*")=0,"",SUMIFS('BSE - SENSEX Index Options'!$M:$M,'BSE - SENSEX Index Options'!$C:$C,$A243,'BSE - SENSEX Index Options'!$B:$B,F$147,'BSE - SENSEX Index Options'!$I:$I,"Weekly*")+SUMIFS('BSE - SENSEX Index Options'!$M:$M,'BSE - SENSEX Index Options'!$C:$C,$A243,'BSE - SENSEX Index Options'!$B:$B,F$147,'BSE - SENSEX Index Options'!$I:$I,"MDAW*")+SUMIFS('BSE - Other Index Options'!$M:$M,'BSE - Other Index Options'!$C:$C,$A243,'BSE - Other Index Options'!$B:$B,F$147,'BSE - Other Index Options'!$I:$I,"Weekly*")+SUMIFS('BSE - Other Index Options'!$M:$M,'BSE - Other Index Options'!$C:$C,$A243,'BSE - Other Index Options'!$B:$B,F$147,'BSE - Other Index Options'!$I:$I,"MDAW*"))</f>
        <v/>
      </c>
      <c r="G243" s="26">
        <f>IF(SUMIFS('BSE - SENSEX Index Options'!$M:$M,'BSE - SENSEX Index Options'!$C:$C,$A243,'BSE - SENSEX Index Options'!$B:$B,G$147,'BSE - SENSEX Index Options'!$I:$I,"Weekly*")+SUMIFS('BSE - SENSEX Index Options'!$M:$M,'BSE - SENSEX Index Options'!$C:$C,$A243,'BSE - SENSEX Index Options'!$B:$B,G$147,'BSE - SENSEX Index Options'!$I:$I,"MDAW*")+SUMIFS('BSE - Other Index Options'!$M:$M,'BSE - Other Index Options'!$C:$C,$A243,'BSE - Other Index Options'!$B:$B,G$147,'BSE - Other Index Options'!$I:$I,"Weekly*")+SUMIFS('BSE - Other Index Options'!$M:$M,'BSE - Other Index Options'!$C:$C,$A243,'BSE - Other Index Options'!$B:$B,G$147,'BSE - Other Index Options'!$I:$I,"MDAW*")=0,"",SUMIFS('BSE - SENSEX Index Options'!$M:$M,'BSE - SENSEX Index Options'!$C:$C,$A243,'BSE - SENSEX Index Options'!$B:$B,G$147,'BSE - SENSEX Index Options'!$I:$I,"Weekly*")+SUMIFS('BSE - SENSEX Index Options'!$M:$M,'BSE - SENSEX Index Options'!$C:$C,$A243,'BSE - SENSEX Index Options'!$B:$B,G$147,'BSE - SENSEX Index Options'!$I:$I,"MDAW*")+SUMIFS('BSE - Other Index Options'!$M:$M,'BSE - Other Index Options'!$C:$C,$A243,'BSE - Other Index Options'!$B:$B,G$147,'BSE - Other Index Options'!$I:$I,"Weekly*")+SUMIFS('BSE - Other Index Options'!$M:$M,'BSE - Other Index Options'!$C:$C,$A243,'BSE - Other Index Options'!$B:$B,G$147,'BSE - Other Index Options'!$I:$I,"MDAW*"))</f>
        <v/>
      </c>
      <c r="H243" s="26">
        <f>IF(SUM(B243:G243)=0,"",SUM(B243:G243))</f>
        <v/>
      </c>
    </row>
    <row r="244" hidden="1" outlineLevel="1">
      <c r="A244" t="inlineStr">
        <is>
          <t>Week4-Apr-2027</t>
        </is>
      </c>
      <c r="B244" s="26">
        <f>IF(SUMIFS('BSE - SENSEX Index Options'!$M:$M,'BSE - SENSEX Index Options'!$C:$C,$A244,'BSE - SENSEX Index Options'!$B:$B,B$147,'BSE - SENSEX Index Options'!$I:$I,"Weekly*")+SUMIFS('BSE - SENSEX Index Options'!$M:$M,'BSE - SENSEX Index Options'!$C:$C,$A244,'BSE - SENSEX Index Options'!$B:$B,B$147,'BSE - SENSEX Index Options'!$I:$I,"MDAW*")+SUMIFS('BSE - Other Index Options'!$M:$M,'BSE - Other Index Options'!$C:$C,$A244,'BSE - Other Index Options'!$B:$B,B$147,'BSE - Other Index Options'!$I:$I,"Weekly*")+SUMIFS('BSE - Other Index Options'!$M:$M,'BSE - Other Index Options'!$C:$C,$A244,'BSE - Other Index Options'!$B:$B,B$147,'BSE - Other Index Options'!$I:$I,"MDAW*")=0,"",SUMIFS('BSE - SENSEX Index Options'!$M:$M,'BSE - SENSEX Index Options'!$C:$C,$A244,'BSE - SENSEX Index Options'!$B:$B,B$147,'BSE - SENSEX Index Options'!$I:$I,"Weekly*")+SUMIFS('BSE - SENSEX Index Options'!$M:$M,'BSE - SENSEX Index Options'!$C:$C,$A244,'BSE - SENSEX Index Options'!$B:$B,B$147,'BSE - SENSEX Index Options'!$I:$I,"MDAW*")+SUMIFS('BSE - Other Index Options'!$M:$M,'BSE - Other Index Options'!$C:$C,$A244,'BSE - Other Index Options'!$B:$B,B$147,'BSE - Other Index Options'!$I:$I,"Weekly*")+SUMIFS('BSE - Other Index Options'!$M:$M,'BSE - Other Index Options'!$C:$C,$A244,'BSE - Other Index Options'!$B:$B,B$147,'BSE - Other Index Options'!$I:$I,"MDAW*"))</f>
        <v/>
      </c>
      <c r="C244" s="26">
        <f>IF(SUMIFS('BSE - SENSEX Index Options'!$M:$M,'BSE - SENSEX Index Options'!$C:$C,$A244,'BSE - SENSEX Index Options'!$B:$B,C$147,'BSE - SENSEX Index Options'!$I:$I,"Weekly*")+SUMIFS('BSE - SENSEX Index Options'!$M:$M,'BSE - SENSEX Index Options'!$C:$C,$A244,'BSE - SENSEX Index Options'!$B:$B,C$147,'BSE - SENSEX Index Options'!$I:$I,"MDAW*")+SUMIFS('BSE - Other Index Options'!$M:$M,'BSE - Other Index Options'!$C:$C,$A244,'BSE - Other Index Options'!$B:$B,C$147,'BSE - Other Index Options'!$I:$I,"Weekly*")+SUMIFS('BSE - Other Index Options'!$M:$M,'BSE - Other Index Options'!$C:$C,$A244,'BSE - Other Index Options'!$B:$B,C$147,'BSE - Other Index Options'!$I:$I,"MDAW*")=0,"",SUMIFS('BSE - SENSEX Index Options'!$M:$M,'BSE - SENSEX Index Options'!$C:$C,$A244,'BSE - SENSEX Index Options'!$B:$B,C$147,'BSE - SENSEX Index Options'!$I:$I,"Weekly*")+SUMIFS('BSE - SENSEX Index Options'!$M:$M,'BSE - SENSEX Index Options'!$C:$C,$A244,'BSE - SENSEX Index Options'!$B:$B,C$147,'BSE - SENSEX Index Options'!$I:$I,"MDAW*")+SUMIFS('BSE - Other Index Options'!$M:$M,'BSE - Other Index Options'!$C:$C,$A244,'BSE - Other Index Options'!$B:$B,C$147,'BSE - Other Index Options'!$I:$I,"Weekly*")+SUMIFS('BSE - Other Index Options'!$M:$M,'BSE - Other Index Options'!$C:$C,$A244,'BSE - Other Index Options'!$B:$B,C$147,'BSE - Other Index Options'!$I:$I,"MDAW*"))</f>
        <v/>
      </c>
      <c r="D244" s="26">
        <f>IF(SUMIFS('BSE - SENSEX Index Options'!$M:$M,'BSE - SENSEX Index Options'!$C:$C,$A244,'BSE - SENSEX Index Options'!$B:$B,D$147,'BSE - SENSEX Index Options'!$I:$I,"Weekly*")+SUMIFS('BSE - SENSEX Index Options'!$M:$M,'BSE - SENSEX Index Options'!$C:$C,$A244,'BSE - SENSEX Index Options'!$B:$B,D$147,'BSE - SENSEX Index Options'!$I:$I,"MDAW*")+SUMIFS('BSE - Other Index Options'!$M:$M,'BSE - Other Index Options'!$C:$C,$A244,'BSE - Other Index Options'!$B:$B,D$147,'BSE - Other Index Options'!$I:$I,"Weekly*")+SUMIFS('BSE - Other Index Options'!$M:$M,'BSE - Other Index Options'!$C:$C,$A244,'BSE - Other Index Options'!$B:$B,D$147,'BSE - Other Index Options'!$I:$I,"MDAW*")=0,"",SUMIFS('BSE - SENSEX Index Options'!$M:$M,'BSE - SENSEX Index Options'!$C:$C,$A244,'BSE - SENSEX Index Options'!$B:$B,D$147,'BSE - SENSEX Index Options'!$I:$I,"Weekly*")+SUMIFS('BSE - SENSEX Index Options'!$M:$M,'BSE - SENSEX Index Options'!$C:$C,$A244,'BSE - SENSEX Index Options'!$B:$B,D$147,'BSE - SENSEX Index Options'!$I:$I,"MDAW*")+SUMIFS('BSE - Other Index Options'!$M:$M,'BSE - Other Index Options'!$C:$C,$A244,'BSE - Other Index Options'!$B:$B,D$147,'BSE - Other Index Options'!$I:$I,"Weekly*")+SUMIFS('BSE - Other Index Options'!$M:$M,'BSE - Other Index Options'!$C:$C,$A244,'BSE - Other Index Options'!$B:$B,D$147,'BSE - Other Index Options'!$I:$I,"MDAW*"))</f>
        <v/>
      </c>
      <c r="E244" s="26">
        <f>IF(SUMIFS('BSE - SENSEX Index Options'!$M:$M,'BSE - SENSEX Index Options'!$C:$C,$A244,'BSE - SENSEX Index Options'!$B:$B,E$147,'BSE - SENSEX Index Options'!$I:$I,"Weekly*")+SUMIFS('BSE - SENSEX Index Options'!$M:$M,'BSE - SENSEX Index Options'!$C:$C,$A244,'BSE - SENSEX Index Options'!$B:$B,E$147,'BSE - SENSEX Index Options'!$I:$I,"MDAW*")+SUMIFS('BSE - Other Index Options'!$M:$M,'BSE - Other Index Options'!$C:$C,$A244,'BSE - Other Index Options'!$B:$B,E$147,'BSE - Other Index Options'!$I:$I,"Weekly*")+SUMIFS('BSE - Other Index Options'!$M:$M,'BSE - Other Index Options'!$C:$C,$A244,'BSE - Other Index Options'!$B:$B,E$147,'BSE - Other Index Options'!$I:$I,"MDAW*")=0,"",SUMIFS('BSE - SENSEX Index Options'!$M:$M,'BSE - SENSEX Index Options'!$C:$C,$A244,'BSE - SENSEX Index Options'!$B:$B,E$147,'BSE - SENSEX Index Options'!$I:$I,"Weekly*")+SUMIFS('BSE - SENSEX Index Options'!$M:$M,'BSE - SENSEX Index Options'!$C:$C,$A244,'BSE - SENSEX Index Options'!$B:$B,E$147,'BSE - SENSEX Index Options'!$I:$I,"MDAW*")+SUMIFS('BSE - Other Index Options'!$M:$M,'BSE - Other Index Options'!$C:$C,$A244,'BSE - Other Index Options'!$B:$B,E$147,'BSE - Other Index Options'!$I:$I,"Weekly*")+SUMIFS('BSE - Other Index Options'!$M:$M,'BSE - Other Index Options'!$C:$C,$A244,'BSE - Other Index Options'!$B:$B,E$147,'BSE - Other Index Options'!$I:$I,"MDAW*"))</f>
        <v/>
      </c>
      <c r="F244" s="26">
        <f>IF(SUMIFS('BSE - SENSEX Index Options'!$M:$M,'BSE - SENSEX Index Options'!$C:$C,$A244,'BSE - SENSEX Index Options'!$B:$B,F$147,'BSE - SENSEX Index Options'!$I:$I,"Weekly*")+SUMIFS('BSE - SENSEX Index Options'!$M:$M,'BSE - SENSEX Index Options'!$C:$C,$A244,'BSE - SENSEX Index Options'!$B:$B,F$147,'BSE - SENSEX Index Options'!$I:$I,"MDAW*")+SUMIFS('BSE - Other Index Options'!$M:$M,'BSE - Other Index Options'!$C:$C,$A244,'BSE - Other Index Options'!$B:$B,F$147,'BSE - Other Index Options'!$I:$I,"Weekly*")+SUMIFS('BSE - Other Index Options'!$M:$M,'BSE - Other Index Options'!$C:$C,$A244,'BSE - Other Index Options'!$B:$B,F$147,'BSE - Other Index Options'!$I:$I,"MDAW*")=0,"",SUMIFS('BSE - SENSEX Index Options'!$M:$M,'BSE - SENSEX Index Options'!$C:$C,$A244,'BSE - SENSEX Index Options'!$B:$B,F$147,'BSE - SENSEX Index Options'!$I:$I,"Weekly*")+SUMIFS('BSE - SENSEX Index Options'!$M:$M,'BSE - SENSEX Index Options'!$C:$C,$A244,'BSE - SENSEX Index Options'!$B:$B,F$147,'BSE - SENSEX Index Options'!$I:$I,"MDAW*")+SUMIFS('BSE - Other Index Options'!$M:$M,'BSE - Other Index Options'!$C:$C,$A244,'BSE - Other Index Options'!$B:$B,F$147,'BSE - Other Index Options'!$I:$I,"Weekly*")+SUMIFS('BSE - Other Index Options'!$M:$M,'BSE - Other Index Options'!$C:$C,$A244,'BSE - Other Index Options'!$B:$B,F$147,'BSE - Other Index Options'!$I:$I,"MDAW*"))</f>
        <v/>
      </c>
      <c r="G244" s="26">
        <f>IF(SUMIFS('BSE - SENSEX Index Options'!$M:$M,'BSE - SENSEX Index Options'!$C:$C,$A244,'BSE - SENSEX Index Options'!$B:$B,G$147,'BSE - SENSEX Index Options'!$I:$I,"Weekly*")+SUMIFS('BSE - SENSEX Index Options'!$M:$M,'BSE - SENSEX Index Options'!$C:$C,$A244,'BSE - SENSEX Index Options'!$B:$B,G$147,'BSE - SENSEX Index Options'!$I:$I,"MDAW*")+SUMIFS('BSE - Other Index Options'!$M:$M,'BSE - Other Index Options'!$C:$C,$A244,'BSE - Other Index Options'!$B:$B,G$147,'BSE - Other Index Options'!$I:$I,"Weekly*")+SUMIFS('BSE - Other Index Options'!$M:$M,'BSE - Other Index Options'!$C:$C,$A244,'BSE - Other Index Options'!$B:$B,G$147,'BSE - Other Index Options'!$I:$I,"MDAW*")=0,"",SUMIFS('BSE - SENSEX Index Options'!$M:$M,'BSE - SENSEX Index Options'!$C:$C,$A244,'BSE - SENSEX Index Options'!$B:$B,G$147,'BSE - SENSEX Index Options'!$I:$I,"Weekly*")+SUMIFS('BSE - SENSEX Index Options'!$M:$M,'BSE - SENSEX Index Options'!$C:$C,$A244,'BSE - SENSEX Index Options'!$B:$B,G$147,'BSE - SENSEX Index Options'!$I:$I,"MDAW*")+SUMIFS('BSE - Other Index Options'!$M:$M,'BSE - Other Index Options'!$C:$C,$A244,'BSE - Other Index Options'!$B:$B,G$147,'BSE - Other Index Options'!$I:$I,"Weekly*")+SUMIFS('BSE - Other Index Options'!$M:$M,'BSE - Other Index Options'!$C:$C,$A244,'BSE - Other Index Options'!$B:$B,G$147,'BSE - Other Index Options'!$I:$I,"MDAW*"))</f>
        <v/>
      </c>
      <c r="H244" s="26">
        <f>IF(SUM(B244:G244)=0,"",SUM(B244:G244))</f>
        <v/>
      </c>
    </row>
    <row r="245" hidden="1" outlineLevel="1">
      <c r="A245" t="inlineStr">
        <is>
          <t>Week5-Apr-2027</t>
        </is>
      </c>
      <c r="B245" s="26">
        <f>IF(SUMIFS('BSE - SENSEX Index Options'!$M:$M,'BSE - SENSEX Index Options'!$C:$C,$A245,'BSE - SENSEX Index Options'!$B:$B,B$147,'BSE - SENSEX Index Options'!$I:$I,"Weekly*")+SUMIFS('BSE - SENSEX Index Options'!$M:$M,'BSE - SENSEX Index Options'!$C:$C,$A245,'BSE - SENSEX Index Options'!$B:$B,B$147,'BSE - SENSEX Index Options'!$I:$I,"MDAW*")+SUMIFS('BSE - Other Index Options'!$M:$M,'BSE - Other Index Options'!$C:$C,$A245,'BSE - Other Index Options'!$B:$B,B$147,'BSE - Other Index Options'!$I:$I,"Weekly*")+SUMIFS('BSE - Other Index Options'!$M:$M,'BSE - Other Index Options'!$C:$C,$A245,'BSE - Other Index Options'!$B:$B,B$147,'BSE - Other Index Options'!$I:$I,"MDAW*")=0,"",SUMIFS('BSE - SENSEX Index Options'!$M:$M,'BSE - SENSEX Index Options'!$C:$C,$A245,'BSE - SENSEX Index Options'!$B:$B,B$147,'BSE - SENSEX Index Options'!$I:$I,"Weekly*")+SUMIFS('BSE - SENSEX Index Options'!$M:$M,'BSE - SENSEX Index Options'!$C:$C,$A245,'BSE - SENSEX Index Options'!$B:$B,B$147,'BSE - SENSEX Index Options'!$I:$I,"MDAW*")+SUMIFS('BSE - Other Index Options'!$M:$M,'BSE - Other Index Options'!$C:$C,$A245,'BSE - Other Index Options'!$B:$B,B$147,'BSE - Other Index Options'!$I:$I,"Weekly*")+SUMIFS('BSE - Other Index Options'!$M:$M,'BSE - Other Index Options'!$C:$C,$A245,'BSE - Other Index Options'!$B:$B,B$147,'BSE - Other Index Options'!$I:$I,"MDAW*"))</f>
        <v/>
      </c>
      <c r="C245" s="26">
        <f>IF(SUMIFS('BSE - SENSEX Index Options'!$M:$M,'BSE - SENSEX Index Options'!$C:$C,$A245,'BSE - SENSEX Index Options'!$B:$B,C$147,'BSE - SENSEX Index Options'!$I:$I,"Weekly*")+SUMIFS('BSE - SENSEX Index Options'!$M:$M,'BSE - SENSEX Index Options'!$C:$C,$A245,'BSE - SENSEX Index Options'!$B:$B,C$147,'BSE - SENSEX Index Options'!$I:$I,"MDAW*")+SUMIFS('BSE - Other Index Options'!$M:$M,'BSE - Other Index Options'!$C:$C,$A245,'BSE - Other Index Options'!$B:$B,C$147,'BSE - Other Index Options'!$I:$I,"Weekly*")+SUMIFS('BSE - Other Index Options'!$M:$M,'BSE - Other Index Options'!$C:$C,$A245,'BSE - Other Index Options'!$B:$B,C$147,'BSE - Other Index Options'!$I:$I,"MDAW*")=0,"",SUMIFS('BSE - SENSEX Index Options'!$M:$M,'BSE - SENSEX Index Options'!$C:$C,$A245,'BSE - SENSEX Index Options'!$B:$B,C$147,'BSE - SENSEX Index Options'!$I:$I,"Weekly*")+SUMIFS('BSE - SENSEX Index Options'!$M:$M,'BSE - SENSEX Index Options'!$C:$C,$A245,'BSE - SENSEX Index Options'!$B:$B,C$147,'BSE - SENSEX Index Options'!$I:$I,"MDAW*")+SUMIFS('BSE - Other Index Options'!$M:$M,'BSE - Other Index Options'!$C:$C,$A245,'BSE - Other Index Options'!$B:$B,C$147,'BSE - Other Index Options'!$I:$I,"Weekly*")+SUMIFS('BSE - Other Index Options'!$M:$M,'BSE - Other Index Options'!$C:$C,$A245,'BSE - Other Index Options'!$B:$B,C$147,'BSE - Other Index Options'!$I:$I,"MDAW*"))</f>
        <v/>
      </c>
      <c r="D245" s="26">
        <f>IF(SUMIFS('BSE - SENSEX Index Options'!$M:$M,'BSE - SENSEX Index Options'!$C:$C,$A245,'BSE - SENSEX Index Options'!$B:$B,D$147,'BSE - SENSEX Index Options'!$I:$I,"Weekly*")+SUMIFS('BSE - SENSEX Index Options'!$M:$M,'BSE - SENSEX Index Options'!$C:$C,$A245,'BSE - SENSEX Index Options'!$B:$B,D$147,'BSE - SENSEX Index Options'!$I:$I,"MDAW*")+SUMIFS('BSE - Other Index Options'!$M:$M,'BSE - Other Index Options'!$C:$C,$A245,'BSE - Other Index Options'!$B:$B,D$147,'BSE - Other Index Options'!$I:$I,"Weekly*")+SUMIFS('BSE - Other Index Options'!$M:$M,'BSE - Other Index Options'!$C:$C,$A245,'BSE - Other Index Options'!$B:$B,D$147,'BSE - Other Index Options'!$I:$I,"MDAW*")=0,"",SUMIFS('BSE - SENSEX Index Options'!$M:$M,'BSE - SENSEX Index Options'!$C:$C,$A245,'BSE - SENSEX Index Options'!$B:$B,D$147,'BSE - SENSEX Index Options'!$I:$I,"Weekly*")+SUMIFS('BSE - SENSEX Index Options'!$M:$M,'BSE - SENSEX Index Options'!$C:$C,$A245,'BSE - SENSEX Index Options'!$B:$B,D$147,'BSE - SENSEX Index Options'!$I:$I,"MDAW*")+SUMIFS('BSE - Other Index Options'!$M:$M,'BSE - Other Index Options'!$C:$C,$A245,'BSE - Other Index Options'!$B:$B,D$147,'BSE - Other Index Options'!$I:$I,"Weekly*")+SUMIFS('BSE - Other Index Options'!$M:$M,'BSE - Other Index Options'!$C:$C,$A245,'BSE - Other Index Options'!$B:$B,D$147,'BSE - Other Index Options'!$I:$I,"MDAW*"))</f>
        <v/>
      </c>
      <c r="E245" s="26">
        <f>IF(SUMIFS('BSE - SENSEX Index Options'!$M:$M,'BSE - SENSEX Index Options'!$C:$C,$A245,'BSE - SENSEX Index Options'!$B:$B,E$147,'BSE - SENSEX Index Options'!$I:$I,"Weekly*")+SUMIFS('BSE - SENSEX Index Options'!$M:$M,'BSE - SENSEX Index Options'!$C:$C,$A245,'BSE - SENSEX Index Options'!$B:$B,E$147,'BSE - SENSEX Index Options'!$I:$I,"MDAW*")+SUMIFS('BSE - Other Index Options'!$M:$M,'BSE - Other Index Options'!$C:$C,$A245,'BSE - Other Index Options'!$B:$B,E$147,'BSE - Other Index Options'!$I:$I,"Weekly*")+SUMIFS('BSE - Other Index Options'!$M:$M,'BSE - Other Index Options'!$C:$C,$A245,'BSE - Other Index Options'!$B:$B,E$147,'BSE - Other Index Options'!$I:$I,"MDAW*")=0,"",SUMIFS('BSE - SENSEX Index Options'!$M:$M,'BSE - SENSEX Index Options'!$C:$C,$A245,'BSE - SENSEX Index Options'!$B:$B,E$147,'BSE - SENSEX Index Options'!$I:$I,"Weekly*")+SUMIFS('BSE - SENSEX Index Options'!$M:$M,'BSE - SENSEX Index Options'!$C:$C,$A245,'BSE - SENSEX Index Options'!$B:$B,E$147,'BSE - SENSEX Index Options'!$I:$I,"MDAW*")+SUMIFS('BSE - Other Index Options'!$M:$M,'BSE - Other Index Options'!$C:$C,$A245,'BSE - Other Index Options'!$B:$B,E$147,'BSE - Other Index Options'!$I:$I,"Weekly*")+SUMIFS('BSE - Other Index Options'!$M:$M,'BSE - Other Index Options'!$C:$C,$A245,'BSE - Other Index Options'!$B:$B,E$147,'BSE - Other Index Options'!$I:$I,"MDAW*"))</f>
        <v/>
      </c>
      <c r="F245" s="26">
        <f>IF(SUMIFS('BSE - SENSEX Index Options'!$M:$M,'BSE - SENSEX Index Options'!$C:$C,$A245,'BSE - SENSEX Index Options'!$B:$B,F$147,'BSE - SENSEX Index Options'!$I:$I,"Weekly*")+SUMIFS('BSE - SENSEX Index Options'!$M:$M,'BSE - SENSEX Index Options'!$C:$C,$A245,'BSE - SENSEX Index Options'!$B:$B,F$147,'BSE - SENSEX Index Options'!$I:$I,"MDAW*")+SUMIFS('BSE - Other Index Options'!$M:$M,'BSE - Other Index Options'!$C:$C,$A245,'BSE - Other Index Options'!$B:$B,F$147,'BSE - Other Index Options'!$I:$I,"Weekly*")+SUMIFS('BSE - Other Index Options'!$M:$M,'BSE - Other Index Options'!$C:$C,$A245,'BSE - Other Index Options'!$B:$B,F$147,'BSE - Other Index Options'!$I:$I,"MDAW*")=0,"",SUMIFS('BSE - SENSEX Index Options'!$M:$M,'BSE - SENSEX Index Options'!$C:$C,$A245,'BSE - SENSEX Index Options'!$B:$B,F$147,'BSE - SENSEX Index Options'!$I:$I,"Weekly*")+SUMIFS('BSE - SENSEX Index Options'!$M:$M,'BSE - SENSEX Index Options'!$C:$C,$A245,'BSE - SENSEX Index Options'!$B:$B,F$147,'BSE - SENSEX Index Options'!$I:$I,"MDAW*")+SUMIFS('BSE - Other Index Options'!$M:$M,'BSE - Other Index Options'!$C:$C,$A245,'BSE - Other Index Options'!$B:$B,F$147,'BSE - Other Index Options'!$I:$I,"Weekly*")+SUMIFS('BSE - Other Index Options'!$M:$M,'BSE - Other Index Options'!$C:$C,$A245,'BSE - Other Index Options'!$B:$B,F$147,'BSE - Other Index Options'!$I:$I,"MDAW*"))</f>
        <v/>
      </c>
      <c r="G245" s="26">
        <f>IF(SUMIFS('BSE - SENSEX Index Options'!$M:$M,'BSE - SENSEX Index Options'!$C:$C,$A245,'BSE - SENSEX Index Options'!$B:$B,G$147,'BSE - SENSEX Index Options'!$I:$I,"Weekly*")+SUMIFS('BSE - SENSEX Index Options'!$M:$M,'BSE - SENSEX Index Options'!$C:$C,$A245,'BSE - SENSEX Index Options'!$B:$B,G$147,'BSE - SENSEX Index Options'!$I:$I,"MDAW*")+SUMIFS('BSE - Other Index Options'!$M:$M,'BSE - Other Index Options'!$C:$C,$A245,'BSE - Other Index Options'!$B:$B,G$147,'BSE - Other Index Options'!$I:$I,"Weekly*")+SUMIFS('BSE - Other Index Options'!$M:$M,'BSE - Other Index Options'!$C:$C,$A245,'BSE - Other Index Options'!$B:$B,G$147,'BSE - Other Index Options'!$I:$I,"MDAW*")=0,"",SUMIFS('BSE - SENSEX Index Options'!$M:$M,'BSE - SENSEX Index Options'!$C:$C,$A245,'BSE - SENSEX Index Options'!$B:$B,G$147,'BSE - SENSEX Index Options'!$I:$I,"Weekly*")+SUMIFS('BSE - SENSEX Index Options'!$M:$M,'BSE - SENSEX Index Options'!$C:$C,$A245,'BSE - SENSEX Index Options'!$B:$B,G$147,'BSE - SENSEX Index Options'!$I:$I,"MDAW*")+SUMIFS('BSE - Other Index Options'!$M:$M,'BSE - Other Index Options'!$C:$C,$A245,'BSE - Other Index Options'!$B:$B,G$147,'BSE - Other Index Options'!$I:$I,"Weekly*")+SUMIFS('BSE - Other Index Options'!$M:$M,'BSE - Other Index Options'!$C:$C,$A245,'BSE - Other Index Options'!$B:$B,G$147,'BSE - Other Index Options'!$I:$I,"MDAW*"))</f>
        <v/>
      </c>
      <c r="H245" s="26">
        <f>IF(SUM(B245:G245)=0,"",SUM(B245:G245))</f>
        <v/>
      </c>
    </row>
    <row r="246" hidden="1" outlineLevel="1">
      <c r="A246" t="inlineStr">
        <is>
          <t>Week1-May-2027</t>
        </is>
      </c>
      <c r="B246" s="26">
        <f>IF(SUMIFS('BSE - SENSEX Index Options'!$M:$M,'BSE - SENSEX Index Options'!$C:$C,$A246,'BSE - SENSEX Index Options'!$B:$B,B$147,'BSE - SENSEX Index Options'!$I:$I,"Weekly*")+SUMIFS('BSE - SENSEX Index Options'!$M:$M,'BSE - SENSEX Index Options'!$C:$C,$A246,'BSE - SENSEX Index Options'!$B:$B,B$147,'BSE - SENSEX Index Options'!$I:$I,"MDAW*")+SUMIFS('BSE - Other Index Options'!$M:$M,'BSE - Other Index Options'!$C:$C,$A246,'BSE - Other Index Options'!$B:$B,B$147,'BSE - Other Index Options'!$I:$I,"Weekly*")+SUMIFS('BSE - Other Index Options'!$M:$M,'BSE - Other Index Options'!$C:$C,$A246,'BSE - Other Index Options'!$B:$B,B$147,'BSE - Other Index Options'!$I:$I,"MDAW*")=0,"",SUMIFS('BSE - SENSEX Index Options'!$M:$M,'BSE - SENSEX Index Options'!$C:$C,$A246,'BSE - SENSEX Index Options'!$B:$B,B$147,'BSE - SENSEX Index Options'!$I:$I,"Weekly*")+SUMIFS('BSE - SENSEX Index Options'!$M:$M,'BSE - SENSEX Index Options'!$C:$C,$A246,'BSE - SENSEX Index Options'!$B:$B,B$147,'BSE - SENSEX Index Options'!$I:$I,"MDAW*")+SUMIFS('BSE - Other Index Options'!$M:$M,'BSE - Other Index Options'!$C:$C,$A246,'BSE - Other Index Options'!$B:$B,B$147,'BSE - Other Index Options'!$I:$I,"Weekly*")+SUMIFS('BSE - Other Index Options'!$M:$M,'BSE - Other Index Options'!$C:$C,$A246,'BSE - Other Index Options'!$B:$B,B$147,'BSE - Other Index Options'!$I:$I,"MDAW*"))</f>
        <v/>
      </c>
      <c r="C246" s="26">
        <f>IF(SUMIFS('BSE - SENSEX Index Options'!$M:$M,'BSE - SENSEX Index Options'!$C:$C,$A246,'BSE - SENSEX Index Options'!$B:$B,C$147,'BSE - SENSEX Index Options'!$I:$I,"Weekly*")+SUMIFS('BSE - SENSEX Index Options'!$M:$M,'BSE - SENSEX Index Options'!$C:$C,$A246,'BSE - SENSEX Index Options'!$B:$B,C$147,'BSE - SENSEX Index Options'!$I:$I,"MDAW*")+SUMIFS('BSE - Other Index Options'!$M:$M,'BSE - Other Index Options'!$C:$C,$A246,'BSE - Other Index Options'!$B:$B,C$147,'BSE - Other Index Options'!$I:$I,"Weekly*")+SUMIFS('BSE - Other Index Options'!$M:$M,'BSE - Other Index Options'!$C:$C,$A246,'BSE - Other Index Options'!$B:$B,C$147,'BSE - Other Index Options'!$I:$I,"MDAW*")=0,"",SUMIFS('BSE - SENSEX Index Options'!$M:$M,'BSE - SENSEX Index Options'!$C:$C,$A246,'BSE - SENSEX Index Options'!$B:$B,C$147,'BSE - SENSEX Index Options'!$I:$I,"Weekly*")+SUMIFS('BSE - SENSEX Index Options'!$M:$M,'BSE - SENSEX Index Options'!$C:$C,$A246,'BSE - SENSEX Index Options'!$B:$B,C$147,'BSE - SENSEX Index Options'!$I:$I,"MDAW*")+SUMIFS('BSE - Other Index Options'!$M:$M,'BSE - Other Index Options'!$C:$C,$A246,'BSE - Other Index Options'!$B:$B,C$147,'BSE - Other Index Options'!$I:$I,"Weekly*")+SUMIFS('BSE - Other Index Options'!$M:$M,'BSE - Other Index Options'!$C:$C,$A246,'BSE - Other Index Options'!$B:$B,C$147,'BSE - Other Index Options'!$I:$I,"MDAW*"))</f>
        <v/>
      </c>
      <c r="D246" s="26">
        <f>IF(SUMIFS('BSE - SENSEX Index Options'!$M:$M,'BSE - SENSEX Index Options'!$C:$C,$A246,'BSE - SENSEX Index Options'!$B:$B,D$147,'BSE - SENSEX Index Options'!$I:$I,"Weekly*")+SUMIFS('BSE - SENSEX Index Options'!$M:$M,'BSE - SENSEX Index Options'!$C:$C,$A246,'BSE - SENSEX Index Options'!$B:$B,D$147,'BSE - SENSEX Index Options'!$I:$I,"MDAW*")+SUMIFS('BSE - Other Index Options'!$M:$M,'BSE - Other Index Options'!$C:$C,$A246,'BSE - Other Index Options'!$B:$B,D$147,'BSE - Other Index Options'!$I:$I,"Weekly*")+SUMIFS('BSE - Other Index Options'!$M:$M,'BSE - Other Index Options'!$C:$C,$A246,'BSE - Other Index Options'!$B:$B,D$147,'BSE - Other Index Options'!$I:$I,"MDAW*")=0,"",SUMIFS('BSE - SENSEX Index Options'!$M:$M,'BSE - SENSEX Index Options'!$C:$C,$A246,'BSE - SENSEX Index Options'!$B:$B,D$147,'BSE - SENSEX Index Options'!$I:$I,"Weekly*")+SUMIFS('BSE - SENSEX Index Options'!$M:$M,'BSE - SENSEX Index Options'!$C:$C,$A246,'BSE - SENSEX Index Options'!$B:$B,D$147,'BSE - SENSEX Index Options'!$I:$I,"MDAW*")+SUMIFS('BSE - Other Index Options'!$M:$M,'BSE - Other Index Options'!$C:$C,$A246,'BSE - Other Index Options'!$B:$B,D$147,'BSE - Other Index Options'!$I:$I,"Weekly*")+SUMIFS('BSE - Other Index Options'!$M:$M,'BSE - Other Index Options'!$C:$C,$A246,'BSE - Other Index Options'!$B:$B,D$147,'BSE - Other Index Options'!$I:$I,"MDAW*"))</f>
        <v/>
      </c>
      <c r="E246" s="26">
        <f>IF(SUMIFS('BSE - SENSEX Index Options'!$M:$M,'BSE - SENSEX Index Options'!$C:$C,$A246,'BSE - SENSEX Index Options'!$B:$B,E$147,'BSE - SENSEX Index Options'!$I:$I,"Weekly*")+SUMIFS('BSE - SENSEX Index Options'!$M:$M,'BSE - SENSEX Index Options'!$C:$C,$A246,'BSE - SENSEX Index Options'!$B:$B,E$147,'BSE - SENSEX Index Options'!$I:$I,"MDAW*")+SUMIFS('BSE - Other Index Options'!$M:$M,'BSE - Other Index Options'!$C:$C,$A246,'BSE - Other Index Options'!$B:$B,E$147,'BSE - Other Index Options'!$I:$I,"Weekly*")+SUMIFS('BSE - Other Index Options'!$M:$M,'BSE - Other Index Options'!$C:$C,$A246,'BSE - Other Index Options'!$B:$B,E$147,'BSE - Other Index Options'!$I:$I,"MDAW*")=0,"",SUMIFS('BSE - SENSEX Index Options'!$M:$M,'BSE - SENSEX Index Options'!$C:$C,$A246,'BSE - SENSEX Index Options'!$B:$B,E$147,'BSE - SENSEX Index Options'!$I:$I,"Weekly*")+SUMIFS('BSE - SENSEX Index Options'!$M:$M,'BSE - SENSEX Index Options'!$C:$C,$A246,'BSE - SENSEX Index Options'!$B:$B,E$147,'BSE - SENSEX Index Options'!$I:$I,"MDAW*")+SUMIFS('BSE - Other Index Options'!$M:$M,'BSE - Other Index Options'!$C:$C,$A246,'BSE - Other Index Options'!$B:$B,E$147,'BSE - Other Index Options'!$I:$I,"Weekly*")+SUMIFS('BSE - Other Index Options'!$M:$M,'BSE - Other Index Options'!$C:$C,$A246,'BSE - Other Index Options'!$B:$B,E$147,'BSE - Other Index Options'!$I:$I,"MDAW*"))</f>
        <v/>
      </c>
      <c r="F246" s="26">
        <f>IF(SUMIFS('BSE - SENSEX Index Options'!$M:$M,'BSE - SENSEX Index Options'!$C:$C,$A246,'BSE - SENSEX Index Options'!$B:$B,F$147,'BSE - SENSEX Index Options'!$I:$I,"Weekly*")+SUMIFS('BSE - SENSEX Index Options'!$M:$M,'BSE - SENSEX Index Options'!$C:$C,$A246,'BSE - SENSEX Index Options'!$B:$B,F$147,'BSE - SENSEX Index Options'!$I:$I,"MDAW*")+SUMIFS('BSE - Other Index Options'!$M:$M,'BSE - Other Index Options'!$C:$C,$A246,'BSE - Other Index Options'!$B:$B,F$147,'BSE - Other Index Options'!$I:$I,"Weekly*")+SUMIFS('BSE - Other Index Options'!$M:$M,'BSE - Other Index Options'!$C:$C,$A246,'BSE - Other Index Options'!$B:$B,F$147,'BSE - Other Index Options'!$I:$I,"MDAW*")=0,"",SUMIFS('BSE - SENSEX Index Options'!$M:$M,'BSE - SENSEX Index Options'!$C:$C,$A246,'BSE - SENSEX Index Options'!$B:$B,F$147,'BSE - SENSEX Index Options'!$I:$I,"Weekly*")+SUMIFS('BSE - SENSEX Index Options'!$M:$M,'BSE - SENSEX Index Options'!$C:$C,$A246,'BSE - SENSEX Index Options'!$B:$B,F$147,'BSE - SENSEX Index Options'!$I:$I,"MDAW*")+SUMIFS('BSE - Other Index Options'!$M:$M,'BSE - Other Index Options'!$C:$C,$A246,'BSE - Other Index Options'!$B:$B,F$147,'BSE - Other Index Options'!$I:$I,"Weekly*")+SUMIFS('BSE - Other Index Options'!$M:$M,'BSE - Other Index Options'!$C:$C,$A246,'BSE - Other Index Options'!$B:$B,F$147,'BSE - Other Index Options'!$I:$I,"MDAW*"))</f>
        <v/>
      </c>
      <c r="G246" s="26">
        <f>IF(SUMIFS('BSE - SENSEX Index Options'!$M:$M,'BSE - SENSEX Index Options'!$C:$C,$A246,'BSE - SENSEX Index Options'!$B:$B,G$147,'BSE - SENSEX Index Options'!$I:$I,"Weekly*")+SUMIFS('BSE - SENSEX Index Options'!$M:$M,'BSE - SENSEX Index Options'!$C:$C,$A246,'BSE - SENSEX Index Options'!$B:$B,G$147,'BSE - SENSEX Index Options'!$I:$I,"MDAW*")+SUMIFS('BSE - Other Index Options'!$M:$M,'BSE - Other Index Options'!$C:$C,$A246,'BSE - Other Index Options'!$B:$B,G$147,'BSE - Other Index Options'!$I:$I,"Weekly*")+SUMIFS('BSE - Other Index Options'!$M:$M,'BSE - Other Index Options'!$C:$C,$A246,'BSE - Other Index Options'!$B:$B,G$147,'BSE - Other Index Options'!$I:$I,"MDAW*")=0,"",SUMIFS('BSE - SENSEX Index Options'!$M:$M,'BSE - SENSEX Index Options'!$C:$C,$A246,'BSE - SENSEX Index Options'!$B:$B,G$147,'BSE - SENSEX Index Options'!$I:$I,"Weekly*")+SUMIFS('BSE - SENSEX Index Options'!$M:$M,'BSE - SENSEX Index Options'!$C:$C,$A246,'BSE - SENSEX Index Options'!$B:$B,G$147,'BSE - SENSEX Index Options'!$I:$I,"MDAW*")+SUMIFS('BSE - Other Index Options'!$M:$M,'BSE - Other Index Options'!$C:$C,$A246,'BSE - Other Index Options'!$B:$B,G$147,'BSE - Other Index Options'!$I:$I,"Weekly*")+SUMIFS('BSE - Other Index Options'!$M:$M,'BSE - Other Index Options'!$C:$C,$A246,'BSE - Other Index Options'!$B:$B,G$147,'BSE - Other Index Options'!$I:$I,"MDAW*"))</f>
        <v/>
      </c>
      <c r="H246" s="26">
        <f>IF(SUM(B246:G246)=0,"",SUM(B246:G246))</f>
        <v/>
      </c>
    </row>
    <row r="247" hidden="1" outlineLevel="1">
      <c r="A247" t="inlineStr">
        <is>
          <t>Week2-May-2027</t>
        </is>
      </c>
      <c r="B247" s="26">
        <f>IF(SUMIFS('BSE - SENSEX Index Options'!$M:$M,'BSE - SENSEX Index Options'!$C:$C,$A247,'BSE - SENSEX Index Options'!$B:$B,B$147,'BSE - SENSEX Index Options'!$I:$I,"Weekly*")+SUMIFS('BSE - SENSEX Index Options'!$M:$M,'BSE - SENSEX Index Options'!$C:$C,$A247,'BSE - SENSEX Index Options'!$B:$B,B$147,'BSE - SENSEX Index Options'!$I:$I,"MDAW*")+SUMIFS('BSE - Other Index Options'!$M:$M,'BSE - Other Index Options'!$C:$C,$A247,'BSE - Other Index Options'!$B:$B,B$147,'BSE - Other Index Options'!$I:$I,"Weekly*")+SUMIFS('BSE - Other Index Options'!$M:$M,'BSE - Other Index Options'!$C:$C,$A247,'BSE - Other Index Options'!$B:$B,B$147,'BSE - Other Index Options'!$I:$I,"MDAW*")=0,"",SUMIFS('BSE - SENSEX Index Options'!$M:$M,'BSE - SENSEX Index Options'!$C:$C,$A247,'BSE - SENSEX Index Options'!$B:$B,B$147,'BSE - SENSEX Index Options'!$I:$I,"Weekly*")+SUMIFS('BSE - SENSEX Index Options'!$M:$M,'BSE - SENSEX Index Options'!$C:$C,$A247,'BSE - SENSEX Index Options'!$B:$B,B$147,'BSE - SENSEX Index Options'!$I:$I,"MDAW*")+SUMIFS('BSE - Other Index Options'!$M:$M,'BSE - Other Index Options'!$C:$C,$A247,'BSE - Other Index Options'!$B:$B,B$147,'BSE - Other Index Options'!$I:$I,"Weekly*")+SUMIFS('BSE - Other Index Options'!$M:$M,'BSE - Other Index Options'!$C:$C,$A247,'BSE - Other Index Options'!$B:$B,B$147,'BSE - Other Index Options'!$I:$I,"MDAW*"))</f>
        <v/>
      </c>
      <c r="C247" s="26">
        <f>IF(SUMIFS('BSE - SENSEX Index Options'!$M:$M,'BSE - SENSEX Index Options'!$C:$C,$A247,'BSE - SENSEX Index Options'!$B:$B,C$147,'BSE - SENSEX Index Options'!$I:$I,"Weekly*")+SUMIFS('BSE - SENSEX Index Options'!$M:$M,'BSE - SENSEX Index Options'!$C:$C,$A247,'BSE - SENSEX Index Options'!$B:$B,C$147,'BSE - SENSEX Index Options'!$I:$I,"MDAW*")+SUMIFS('BSE - Other Index Options'!$M:$M,'BSE - Other Index Options'!$C:$C,$A247,'BSE - Other Index Options'!$B:$B,C$147,'BSE - Other Index Options'!$I:$I,"Weekly*")+SUMIFS('BSE - Other Index Options'!$M:$M,'BSE - Other Index Options'!$C:$C,$A247,'BSE - Other Index Options'!$B:$B,C$147,'BSE - Other Index Options'!$I:$I,"MDAW*")=0,"",SUMIFS('BSE - SENSEX Index Options'!$M:$M,'BSE - SENSEX Index Options'!$C:$C,$A247,'BSE - SENSEX Index Options'!$B:$B,C$147,'BSE - SENSEX Index Options'!$I:$I,"Weekly*")+SUMIFS('BSE - SENSEX Index Options'!$M:$M,'BSE - SENSEX Index Options'!$C:$C,$A247,'BSE - SENSEX Index Options'!$B:$B,C$147,'BSE - SENSEX Index Options'!$I:$I,"MDAW*")+SUMIFS('BSE - Other Index Options'!$M:$M,'BSE - Other Index Options'!$C:$C,$A247,'BSE - Other Index Options'!$B:$B,C$147,'BSE - Other Index Options'!$I:$I,"Weekly*")+SUMIFS('BSE - Other Index Options'!$M:$M,'BSE - Other Index Options'!$C:$C,$A247,'BSE - Other Index Options'!$B:$B,C$147,'BSE - Other Index Options'!$I:$I,"MDAW*"))</f>
        <v/>
      </c>
      <c r="D247" s="26">
        <f>IF(SUMIFS('BSE - SENSEX Index Options'!$M:$M,'BSE - SENSEX Index Options'!$C:$C,$A247,'BSE - SENSEX Index Options'!$B:$B,D$147,'BSE - SENSEX Index Options'!$I:$I,"Weekly*")+SUMIFS('BSE - SENSEX Index Options'!$M:$M,'BSE - SENSEX Index Options'!$C:$C,$A247,'BSE - SENSEX Index Options'!$B:$B,D$147,'BSE - SENSEX Index Options'!$I:$I,"MDAW*")+SUMIFS('BSE - Other Index Options'!$M:$M,'BSE - Other Index Options'!$C:$C,$A247,'BSE - Other Index Options'!$B:$B,D$147,'BSE - Other Index Options'!$I:$I,"Weekly*")+SUMIFS('BSE - Other Index Options'!$M:$M,'BSE - Other Index Options'!$C:$C,$A247,'BSE - Other Index Options'!$B:$B,D$147,'BSE - Other Index Options'!$I:$I,"MDAW*")=0,"",SUMIFS('BSE - SENSEX Index Options'!$M:$M,'BSE - SENSEX Index Options'!$C:$C,$A247,'BSE - SENSEX Index Options'!$B:$B,D$147,'BSE - SENSEX Index Options'!$I:$I,"Weekly*")+SUMIFS('BSE - SENSEX Index Options'!$M:$M,'BSE - SENSEX Index Options'!$C:$C,$A247,'BSE - SENSEX Index Options'!$B:$B,D$147,'BSE - SENSEX Index Options'!$I:$I,"MDAW*")+SUMIFS('BSE - Other Index Options'!$M:$M,'BSE - Other Index Options'!$C:$C,$A247,'BSE - Other Index Options'!$B:$B,D$147,'BSE - Other Index Options'!$I:$I,"Weekly*")+SUMIFS('BSE - Other Index Options'!$M:$M,'BSE - Other Index Options'!$C:$C,$A247,'BSE - Other Index Options'!$B:$B,D$147,'BSE - Other Index Options'!$I:$I,"MDAW*"))</f>
        <v/>
      </c>
      <c r="E247" s="26">
        <f>IF(SUMIFS('BSE - SENSEX Index Options'!$M:$M,'BSE - SENSEX Index Options'!$C:$C,$A247,'BSE - SENSEX Index Options'!$B:$B,E$147,'BSE - SENSEX Index Options'!$I:$I,"Weekly*")+SUMIFS('BSE - SENSEX Index Options'!$M:$M,'BSE - SENSEX Index Options'!$C:$C,$A247,'BSE - SENSEX Index Options'!$B:$B,E$147,'BSE - SENSEX Index Options'!$I:$I,"MDAW*")+SUMIFS('BSE - Other Index Options'!$M:$M,'BSE - Other Index Options'!$C:$C,$A247,'BSE - Other Index Options'!$B:$B,E$147,'BSE - Other Index Options'!$I:$I,"Weekly*")+SUMIFS('BSE - Other Index Options'!$M:$M,'BSE - Other Index Options'!$C:$C,$A247,'BSE - Other Index Options'!$B:$B,E$147,'BSE - Other Index Options'!$I:$I,"MDAW*")=0,"",SUMIFS('BSE - SENSEX Index Options'!$M:$M,'BSE - SENSEX Index Options'!$C:$C,$A247,'BSE - SENSEX Index Options'!$B:$B,E$147,'BSE - SENSEX Index Options'!$I:$I,"Weekly*")+SUMIFS('BSE - SENSEX Index Options'!$M:$M,'BSE - SENSEX Index Options'!$C:$C,$A247,'BSE - SENSEX Index Options'!$B:$B,E$147,'BSE - SENSEX Index Options'!$I:$I,"MDAW*")+SUMIFS('BSE - Other Index Options'!$M:$M,'BSE - Other Index Options'!$C:$C,$A247,'BSE - Other Index Options'!$B:$B,E$147,'BSE - Other Index Options'!$I:$I,"Weekly*")+SUMIFS('BSE - Other Index Options'!$M:$M,'BSE - Other Index Options'!$C:$C,$A247,'BSE - Other Index Options'!$B:$B,E$147,'BSE - Other Index Options'!$I:$I,"MDAW*"))</f>
        <v/>
      </c>
      <c r="F247" s="26">
        <f>IF(SUMIFS('BSE - SENSEX Index Options'!$M:$M,'BSE - SENSEX Index Options'!$C:$C,$A247,'BSE - SENSEX Index Options'!$B:$B,F$147,'BSE - SENSEX Index Options'!$I:$I,"Weekly*")+SUMIFS('BSE - SENSEX Index Options'!$M:$M,'BSE - SENSEX Index Options'!$C:$C,$A247,'BSE - SENSEX Index Options'!$B:$B,F$147,'BSE - SENSEX Index Options'!$I:$I,"MDAW*")+SUMIFS('BSE - Other Index Options'!$M:$M,'BSE - Other Index Options'!$C:$C,$A247,'BSE - Other Index Options'!$B:$B,F$147,'BSE - Other Index Options'!$I:$I,"Weekly*")+SUMIFS('BSE - Other Index Options'!$M:$M,'BSE - Other Index Options'!$C:$C,$A247,'BSE - Other Index Options'!$B:$B,F$147,'BSE - Other Index Options'!$I:$I,"MDAW*")=0,"",SUMIFS('BSE - SENSEX Index Options'!$M:$M,'BSE - SENSEX Index Options'!$C:$C,$A247,'BSE - SENSEX Index Options'!$B:$B,F$147,'BSE - SENSEX Index Options'!$I:$I,"Weekly*")+SUMIFS('BSE - SENSEX Index Options'!$M:$M,'BSE - SENSEX Index Options'!$C:$C,$A247,'BSE - SENSEX Index Options'!$B:$B,F$147,'BSE - SENSEX Index Options'!$I:$I,"MDAW*")+SUMIFS('BSE - Other Index Options'!$M:$M,'BSE - Other Index Options'!$C:$C,$A247,'BSE - Other Index Options'!$B:$B,F$147,'BSE - Other Index Options'!$I:$I,"Weekly*")+SUMIFS('BSE - Other Index Options'!$M:$M,'BSE - Other Index Options'!$C:$C,$A247,'BSE - Other Index Options'!$B:$B,F$147,'BSE - Other Index Options'!$I:$I,"MDAW*"))</f>
        <v/>
      </c>
      <c r="G247" s="26">
        <f>IF(SUMIFS('BSE - SENSEX Index Options'!$M:$M,'BSE - SENSEX Index Options'!$C:$C,$A247,'BSE - SENSEX Index Options'!$B:$B,G$147,'BSE - SENSEX Index Options'!$I:$I,"Weekly*")+SUMIFS('BSE - SENSEX Index Options'!$M:$M,'BSE - SENSEX Index Options'!$C:$C,$A247,'BSE - SENSEX Index Options'!$B:$B,G$147,'BSE - SENSEX Index Options'!$I:$I,"MDAW*")+SUMIFS('BSE - Other Index Options'!$M:$M,'BSE - Other Index Options'!$C:$C,$A247,'BSE - Other Index Options'!$B:$B,G$147,'BSE - Other Index Options'!$I:$I,"Weekly*")+SUMIFS('BSE - Other Index Options'!$M:$M,'BSE - Other Index Options'!$C:$C,$A247,'BSE - Other Index Options'!$B:$B,G$147,'BSE - Other Index Options'!$I:$I,"MDAW*")=0,"",SUMIFS('BSE - SENSEX Index Options'!$M:$M,'BSE - SENSEX Index Options'!$C:$C,$A247,'BSE - SENSEX Index Options'!$B:$B,G$147,'BSE - SENSEX Index Options'!$I:$I,"Weekly*")+SUMIFS('BSE - SENSEX Index Options'!$M:$M,'BSE - SENSEX Index Options'!$C:$C,$A247,'BSE - SENSEX Index Options'!$B:$B,G$147,'BSE - SENSEX Index Options'!$I:$I,"MDAW*")+SUMIFS('BSE - Other Index Options'!$M:$M,'BSE - Other Index Options'!$C:$C,$A247,'BSE - Other Index Options'!$B:$B,G$147,'BSE - Other Index Options'!$I:$I,"Weekly*")+SUMIFS('BSE - Other Index Options'!$M:$M,'BSE - Other Index Options'!$C:$C,$A247,'BSE - Other Index Options'!$B:$B,G$147,'BSE - Other Index Options'!$I:$I,"MDAW*"))</f>
        <v/>
      </c>
      <c r="H247" s="26">
        <f>IF(SUM(B247:G247)=0,"",SUM(B247:G247))</f>
        <v/>
      </c>
    </row>
    <row r="248" hidden="1" outlineLevel="1">
      <c r="A248" t="inlineStr">
        <is>
          <t>Week3-May-2027</t>
        </is>
      </c>
      <c r="B248" s="26">
        <f>IF(SUMIFS('BSE - SENSEX Index Options'!$M:$M,'BSE - SENSEX Index Options'!$C:$C,$A248,'BSE - SENSEX Index Options'!$B:$B,B$147,'BSE - SENSEX Index Options'!$I:$I,"Weekly*")+SUMIFS('BSE - SENSEX Index Options'!$M:$M,'BSE - SENSEX Index Options'!$C:$C,$A248,'BSE - SENSEX Index Options'!$B:$B,B$147,'BSE - SENSEX Index Options'!$I:$I,"MDAW*")+SUMIFS('BSE - Other Index Options'!$M:$M,'BSE - Other Index Options'!$C:$C,$A248,'BSE - Other Index Options'!$B:$B,B$147,'BSE - Other Index Options'!$I:$I,"Weekly*")+SUMIFS('BSE - Other Index Options'!$M:$M,'BSE - Other Index Options'!$C:$C,$A248,'BSE - Other Index Options'!$B:$B,B$147,'BSE - Other Index Options'!$I:$I,"MDAW*")=0,"",SUMIFS('BSE - SENSEX Index Options'!$M:$M,'BSE - SENSEX Index Options'!$C:$C,$A248,'BSE - SENSEX Index Options'!$B:$B,B$147,'BSE - SENSEX Index Options'!$I:$I,"Weekly*")+SUMIFS('BSE - SENSEX Index Options'!$M:$M,'BSE - SENSEX Index Options'!$C:$C,$A248,'BSE - SENSEX Index Options'!$B:$B,B$147,'BSE - SENSEX Index Options'!$I:$I,"MDAW*")+SUMIFS('BSE - Other Index Options'!$M:$M,'BSE - Other Index Options'!$C:$C,$A248,'BSE - Other Index Options'!$B:$B,B$147,'BSE - Other Index Options'!$I:$I,"Weekly*")+SUMIFS('BSE - Other Index Options'!$M:$M,'BSE - Other Index Options'!$C:$C,$A248,'BSE - Other Index Options'!$B:$B,B$147,'BSE - Other Index Options'!$I:$I,"MDAW*"))</f>
        <v/>
      </c>
      <c r="C248" s="26">
        <f>IF(SUMIFS('BSE - SENSEX Index Options'!$M:$M,'BSE - SENSEX Index Options'!$C:$C,$A248,'BSE - SENSEX Index Options'!$B:$B,C$147,'BSE - SENSEX Index Options'!$I:$I,"Weekly*")+SUMIFS('BSE - SENSEX Index Options'!$M:$M,'BSE - SENSEX Index Options'!$C:$C,$A248,'BSE - SENSEX Index Options'!$B:$B,C$147,'BSE - SENSEX Index Options'!$I:$I,"MDAW*")+SUMIFS('BSE - Other Index Options'!$M:$M,'BSE - Other Index Options'!$C:$C,$A248,'BSE - Other Index Options'!$B:$B,C$147,'BSE - Other Index Options'!$I:$I,"Weekly*")+SUMIFS('BSE - Other Index Options'!$M:$M,'BSE - Other Index Options'!$C:$C,$A248,'BSE - Other Index Options'!$B:$B,C$147,'BSE - Other Index Options'!$I:$I,"MDAW*")=0,"",SUMIFS('BSE - SENSEX Index Options'!$M:$M,'BSE - SENSEX Index Options'!$C:$C,$A248,'BSE - SENSEX Index Options'!$B:$B,C$147,'BSE - SENSEX Index Options'!$I:$I,"Weekly*")+SUMIFS('BSE - SENSEX Index Options'!$M:$M,'BSE - SENSEX Index Options'!$C:$C,$A248,'BSE - SENSEX Index Options'!$B:$B,C$147,'BSE - SENSEX Index Options'!$I:$I,"MDAW*")+SUMIFS('BSE - Other Index Options'!$M:$M,'BSE - Other Index Options'!$C:$C,$A248,'BSE - Other Index Options'!$B:$B,C$147,'BSE - Other Index Options'!$I:$I,"Weekly*")+SUMIFS('BSE - Other Index Options'!$M:$M,'BSE - Other Index Options'!$C:$C,$A248,'BSE - Other Index Options'!$B:$B,C$147,'BSE - Other Index Options'!$I:$I,"MDAW*"))</f>
        <v/>
      </c>
      <c r="D248" s="26">
        <f>IF(SUMIFS('BSE - SENSEX Index Options'!$M:$M,'BSE - SENSEX Index Options'!$C:$C,$A248,'BSE - SENSEX Index Options'!$B:$B,D$147,'BSE - SENSEX Index Options'!$I:$I,"Weekly*")+SUMIFS('BSE - SENSEX Index Options'!$M:$M,'BSE - SENSEX Index Options'!$C:$C,$A248,'BSE - SENSEX Index Options'!$B:$B,D$147,'BSE - SENSEX Index Options'!$I:$I,"MDAW*")+SUMIFS('BSE - Other Index Options'!$M:$M,'BSE - Other Index Options'!$C:$C,$A248,'BSE - Other Index Options'!$B:$B,D$147,'BSE - Other Index Options'!$I:$I,"Weekly*")+SUMIFS('BSE - Other Index Options'!$M:$M,'BSE - Other Index Options'!$C:$C,$A248,'BSE - Other Index Options'!$B:$B,D$147,'BSE - Other Index Options'!$I:$I,"MDAW*")=0,"",SUMIFS('BSE - SENSEX Index Options'!$M:$M,'BSE - SENSEX Index Options'!$C:$C,$A248,'BSE - SENSEX Index Options'!$B:$B,D$147,'BSE - SENSEX Index Options'!$I:$I,"Weekly*")+SUMIFS('BSE - SENSEX Index Options'!$M:$M,'BSE - SENSEX Index Options'!$C:$C,$A248,'BSE - SENSEX Index Options'!$B:$B,D$147,'BSE - SENSEX Index Options'!$I:$I,"MDAW*")+SUMIFS('BSE - Other Index Options'!$M:$M,'BSE - Other Index Options'!$C:$C,$A248,'BSE - Other Index Options'!$B:$B,D$147,'BSE - Other Index Options'!$I:$I,"Weekly*")+SUMIFS('BSE - Other Index Options'!$M:$M,'BSE - Other Index Options'!$C:$C,$A248,'BSE - Other Index Options'!$B:$B,D$147,'BSE - Other Index Options'!$I:$I,"MDAW*"))</f>
        <v/>
      </c>
      <c r="E248" s="26">
        <f>IF(SUMIFS('BSE - SENSEX Index Options'!$M:$M,'BSE - SENSEX Index Options'!$C:$C,$A248,'BSE - SENSEX Index Options'!$B:$B,E$147,'BSE - SENSEX Index Options'!$I:$I,"Weekly*")+SUMIFS('BSE - SENSEX Index Options'!$M:$M,'BSE - SENSEX Index Options'!$C:$C,$A248,'BSE - SENSEX Index Options'!$B:$B,E$147,'BSE - SENSEX Index Options'!$I:$I,"MDAW*")+SUMIFS('BSE - Other Index Options'!$M:$M,'BSE - Other Index Options'!$C:$C,$A248,'BSE - Other Index Options'!$B:$B,E$147,'BSE - Other Index Options'!$I:$I,"Weekly*")+SUMIFS('BSE - Other Index Options'!$M:$M,'BSE - Other Index Options'!$C:$C,$A248,'BSE - Other Index Options'!$B:$B,E$147,'BSE - Other Index Options'!$I:$I,"MDAW*")=0,"",SUMIFS('BSE - SENSEX Index Options'!$M:$M,'BSE - SENSEX Index Options'!$C:$C,$A248,'BSE - SENSEX Index Options'!$B:$B,E$147,'BSE - SENSEX Index Options'!$I:$I,"Weekly*")+SUMIFS('BSE - SENSEX Index Options'!$M:$M,'BSE - SENSEX Index Options'!$C:$C,$A248,'BSE - SENSEX Index Options'!$B:$B,E$147,'BSE - SENSEX Index Options'!$I:$I,"MDAW*")+SUMIFS('BSE - Other Index Options'!$M:$M,'BSE - Other Index Options'!$C:$C,$A248,'BSE - Other Index Options'!$B:$B,E$147,'BSE - Other Index Options'!$I:$I,"Weekly*")+SUMIFS('BSE - Other Index Options'!$M:$M,'BSE - Other Index Options'!$C:$C,$A248,'BSE - Other Index Options'!$B:$B,E$147,'BSE - Other Index Options'!$I:$I,"MDAW*"))</f>
        <v/>
      </c>
      <c r="F248" s="26">
        <f>IF(SUMIFS('BSE - SENSEX Index Options'!$M:$M,'BSE - SENSEX Index Options'!$C:$C,$A248,'BSE - SENSEX Index Options'!$B:$B,F$147,'BSE - SENSEX Index Options'!$I:$I,"Weekly*")+SUMIFS('BSE - SENSEX Index Options'!$M:$M,'BSE - SENSEX Index Options'!$C:$C,$A248,'BSE - SENSEX Index Options'!$B:$B,F$147,'BSE - SENSEX Index Options'!$I:$I,"MDAW*")+SUMIFS('BSE - Other Index Options'!$M:$M,'BSE - Other Index Options'!$C:$C,$A248,'BSE - Other Index Options'!$B:$B,F$147,'BSE - Other Index Options'!$I:$I,"Weekly*")+SUMIFS('BSE - Other Index Options'!$M:$M,'BSE - Other Index Options'!$C:$C,$A248,'BSE - Other Index Options'!$B:$B,F$147,'BSE - Other Index Options'!$I:$I,"MDAW*")=0,"",SUMIFS('BSE - SENSEX Index Options'!$M:$M,'BSE - SENSEX Index Options'!$C:$C,$A248,'BSE - SENSEX Index Options'!$B:$B,F$147,'BSE - SENSEX Index Options'!$I:$I,"Weekly*")+SUMIFS('BSE - SENSEX Index Options'!$M:$M,'BSE - SENSEX Index Options'!$C:$C,$A248,'BSE - SENSEX Index Options'!$B:$B,F$147,'BSE - SENSEX Index Options'!$I:$I,"MDAW*")+SUMIFS('BSE - Other Index Options'!$M:$M,'BSE - Other Index Options'!$C:$C,$A248,'BSE - Other Index Options'!$B:$B,F$147,'BSE - Other Index Options'!$I:$I,"Weekly*")+SUMIFS('BSE - Other Index Options'!$M:$M,'BSE - Other Index Options'!$C:$C,$A248,'BSE - Other Index Options'!$B:$B,F$147,'BSE - Other Index Options'!$I:$I,"MDAW*"))</f>
        <v/>
      </c>
      <c r="G248" s="26">
        <f>IF(SUMIFS('BSE - SENSEX Index Options'!$M:$M,'BSE - SENSEX Index Options'!$C:$C,$A248,'BSE - SENSEX Index Options'!$B:$B,G$147,'BSE - SENSEX Index Options'!$I:$I,"Weekly*")+SUMIFS('BSE - SENSEX Index Options'!$M:$M,'BSE - SENSEX Index Options'!$C:$C,$A248,'BSE - SENSEX Index Options'!$B:$B,G$147,'BSE - SENSEX Index Options'!$I:$I,"MDAW*")+SUMIFS('BSE - Other Index Options'!$M:$M,'BSE - Other Index Options'!$C:$C,$A248,'BSE - Other Index Options'!$B:$B,G$147,'BSE - Other Index Options'!$I:$I,"Weekly*")+SUMIFS('BSE - Other Index Options'!$M:$M,'BSE - Other Index Options'!$C:$C,$A248,'BSE - Other Index Options'!$B:$B,G$147,'BSE - Other Index Options'!$I:$I,"MDAW*")=0,"",SUMIFS('BSE - SENSEX Index Options'!$M:$M,'BSE - SENSEX Index Options'!$C:$C,$A248,'BSE - SENSEX Index Options'!$B:$B,G$147,'BSE - SENSEX Index Options'!$I:$I,"Weekly*")+SUMIFS('BSE - SENSEX Index Options'!$M:$M,'BSE - SENSEX Index Options'!$C:$C,$A248,'BSE - SENSEX Index Options'!$B:$B,G$147,'BSE - SENSEX Index Options'!$I:$I,"MDAW*")+SUMIFS('BSE - Other Index Options'!$M:$M,'BSE - Other Index Options'!$C:$C,$A248,'BSE - Other Index Options'!$B:$B,G$147,'BSE - Other Index Options'!$I:$I,"Weekly*")+SUMIFS('BSE - Other Index Options'!$M:$M,'BSE - Other Index Options'!$C:$C,$A248,'BSE - Other Index Options'!$B:$B,G$147,'BSE - Other Index Options'!$I:$I,"MDAW*"))</f>
        <v/>
      </c>
      <c r="H248" s="26">
        <f>IF(SUM(B248:G248)=0,"",SUM(B248:G248))</f>
        <v/>
      </c>
    </row>
    <row r="249" hidden="1" outlineLevel="1">
      <c r="A249" t="inlineStr">
        <is>
          <t>Week4-May-2027</t>
        </is>
      </c>
      <c r="B249" s="26">
        <f>IF(SUMIFS('BSE - SENSEX Index Options'!$M:$M,'BSE - SENSEX Index Options'!$C:$C,$A249,'BSE - SENSEX Index Options'!$B:$B,B$147,'BSE - SENSEX Index Options'!$I:$I,"Weekly*")+SUMIFS('BSE - SENSEX Index Options'!$M:$M,'BSE - SENSEX Index Options'!$C:$C,$A249,'BSE - SENSEX Index Options'!$B:$B,B$147,'BSE - SENSEX Index Options'!$I:$I,"MDAW*")+SUMIFS('BSE - Other Index Options'!$M:$M,'BSE - Other Index Options'!$C:$C,$A249,'BSE - Other Index Options'!$B:$B,B$147,'BSE - Other Index Options'!$I:$I,"Weekly*")+SUMIFS('BSE - Other Index Options'!$M:$M,'BSE - Other Index Options'!$C:$C,$A249,'BSE - Other Index Options'!$B:$B,B$147,'BSE - Other Index Options'!$I:$I,"MDAW*")=0,"",SUMIFS('BSE - SENSEX Index Options'!$M:$M,'BSE - SENSEX Index Options'!$C:$C,$A249,'BSE - SENSEX Index Options'!$B:$B,B$147,'BSE - SENSEX Index Options'!$I:$I,"Weekly*")+SUMIFS('BSE - SENSEX Index Options'!$M:$M,'BSE - SENSEX Index Options'!$C:$C,$A249,'BSE - SENSEX Index Options'!$B:$B,B$147,'BSE - SENSEX Index Options'!$I:$I,"MDAW*")+SUMIFS('BSE - Other Index Options'!$M:$M,'BSE - Other Index Options'!$C:$C,$A249,'BSE - Other Index Options'!$B:$B,B$147,'BSE - Other Index Options'!$I:$I,"Weekly*")+SUMIFS('BSE - Other Index Options'!$M:$M,'BSE - Other Index Options'!$C:$C,$A249,'BSE - Other Index Options'!$B:$B,B$147,'BSE - Other Index Options'!$I:$I,"MDAW*"))</f>
        <v/>
      </c>
      <c r="C249" s="26">
        <f>IF(SUMIFS('BSE - SENSEX Index Options'!$M:$M,'BSE - SENSEX Index Options'!$C:$C,$A249,'BSE - SENSEX Index Options'!$B:$B,C$147,'BSE - SENSEX Index Options'!$I:$I,"Weekly*")+SUMIFS('BSE - SENSEX Index Options'!$M:$M,'BSE - SENSEX Index Options'!$C:$C,$A249,'BSE - SENSEX Index Options'!$B:$B,C$147,'BSE - SENSEX Index Options'!$I:$I,"MDAW*")+SUMIFS('BSE - Other Index Options'!$M:$M,'BSE - Other Index Options'!$C:$C,$A249,'BSE - Other Index Options'!$B:$B,C$147,'BSE - Other Index Options'!$I:$I,"Weekly*")+SUMIFS('BSE - Other Index Options'!$M:$M,'BSE - Other Index Options'!$C:$C,$A249,'BSE - Other Index Options'!$B:$B,C$147,'BSE - Other Index Options'!$I:$I,"MDAW*")=0,"",SUMIFS('BSE - SENSEX Index Options'!$M:$M,'BSE - SENSEX Index Options'!$C:$C,$A249,'BSE - SENSEX Index Options'!$B:$B,C$147,'BSE - SENSEX Index Options'!$I:$I,"Weekly*")+SUMIFS('BSE - SENSEX Index Options'!$M:$M,'BSE - SENSEX Index Options'!$C:$C,$A249,'BSE - SENSEX Index Options'!$B:$B,C$147,'BSE - SENSEX Index Options'!$I:$I,"MDAW*")+SUMIFS('BSE - Other Index Options'!$M:$M,'BSE - Other Index Options'!$C:$C,$A249,'BSE - Other Index Options'!$B:$B,C$147,'BSE - Other Index Options'!$I:$I,"Weekly*")+SUMIFS('BSE - Other Index Options'!$M:$M,'BSE - Other Index Options'!$C:$C,$A249,'BSE - Other Index Options'!$B:$B,C$147,'BSE - Other Index Options'!$I:$I,"MDAW*"))</f>
        <v/>
      </c>
      <c r="D249" s="26">
        <f>IF(SUMIFS('BSE - SENSEX Index Options'!$M:$M,'BSE - SENSEX Index Options'!$C:$C,$A249,'BSE - SENSEX Index Options'!$B:$B,D$147,'BSE - SENSEX Index Options'!$I:$I,"Weekly*")+SUMIFS('BSE - SENSEX Index Options'!$M:$M,'BSE - SENSEX Index Options'!$C:$C,$A249,'BSE - SENSEX Index Options'!$B:$B,D$147,'BSE - SENSEX Index Options'!$I:$I,"MDAW*")+SUMIFS('BSE - Other Index Options'!$M:$M,'BSE - Other Index Options'!$C:$C,$A249,'BSE - Other Index Options'!$B:$B,D$147,'BSE - Other Index Options'!$I:$I,"Weekly*")+SUMIFS('BSE - Other Index Options'!$M:$M,'BSE - Other Index Options'!$C:$C,$A249,'BSE - Other Index Options'!$B:$B,D$147,'BSE - Other Index Options'!$I:$I,"MDAW*")=0,"",SUMIFS('BSE - SENSEX Index Options'!$M:$M,'BSE - SENSEX Index Options'!$C:$C,$A249,'BSE - SENSEX Index Options'!$B:$B,D$147,'BSE - SENSEX Index Options'!$I:$I,"Weekly*")+SUMIFS('BSE - SENSEX Index Options'!$M:$M,'BSE - SENSEX Index Options'!$C:$C,$A249,'BSE - SENSEX Index Options'!$B:$B,D$147,'BSE - SENSEX Index Options'!$I:$I,"MDAW*")+SUMIFS('BSE - Other Index Options'!$M:$M,'BSE - Other Index Options'!$C:$C,$A249,'BSE - Other Index Options'!$B:$B,D$147,'BSE - Other Index Options'!$I:$I,"Weekly*")+SUMIFS('BSE - Other Index Options'!$M:$M,'BSE - Other Index Options'!$C:$C,$A249,'BSE - Other Index Options'!$B:$B,D$147,'BSE - Other Index Options'!$I:$I,"MDAW*"))</f>
        <v/>
      </c>
      <c r="E249" s="26">
        <f>IF(SUMIFS('BSE - SENSEX Index Options'!$M:$M,'BSE - SENSEX Index Options'!$C:$C,$A249,'BSE - SENSEX Index Options'!$B:$B,E$147,'BSE - SENSEX Index Options'!$I:$I,"Weekly*")+SUMIFS('BSE - SENSEX Index Options'!$M:$M,'BSE - SENSEX Index Options'!$C:$C,$A249,'BSE - SENSEX Index Options'!$B:$B,E$147,'BSE - SENSEX Index Options'!$I:$I,"MDAW*")+SUMIFS('BSE - Other Index Options'!$M:$M,'BSE - Other Index Options'!$C:$C,$A249,'BSE - Other Index Options'!$B:$B,E$147,'BSE - Other Index Options'!$I:$I,"Weekly*")+SUMIFS('BSE - Other Index Options'!$M:$M,'BSE - Other Index Options'!$C:$C,$A249,'BSE - Other Index Options'!$B:$B,E$147,'BSE - Other Index Options'!$I:$I,"MDAW*")=0,"",SUMIFS('BSE - SENSEX Index Options'!$M:$M,'BSE - SENSEX Index Options'!$C:$C,$A249,'BSE - SENSEX Index Options'!$B:$B,E$147,'BSE - SENSEX Index Options'!$I:$I,"Weekly*")+SUMIFS('BSE - SENSEX Index Options'!$M:$M,'BSE - SENSEX Index Options'!$C:$C,$A249,'BSE - SENSEX Index Options'!$B:$B,E$147,'BSE - SENSEX Index Options'!$I:$I,"MDAW*")+SUMIFS('BSE - Other Index Options'!$M:$M,'BSE - Other Index Options'!$C:$C,$A249,'BSE - Other Index Options'!$B:$B,E$147,'BSE - Other Index Options'!$I:$I,"Weekly*")+SUMIFS('BSE - Other Index Options'!$M:$M,'BSE - Other Index Options'!$C:$C,$A249,'BSE - Other Index Options'!$B:$B,E$147,'BSE - Other Index Options'!$I:$I,"MDAW*"))</f>
        <v/>
      </c>
      <c r="F249" s="26">
        <f>IF(SUMIFS('BSE - SENSEX Index Options'!$M:$M,'BSE - SENSEX Index Options'!$C:$C,$A249,'BSE - SENSEX Index Options'!$B:$B,F$147,'BSE - SENSEX Index Options'!$I:$I,"Weekly*")+SUMIFS('BSE - SENSEX Index Options'!$M:$M,'BSE - SENSEX Index Options'!$C:$C,$A249,'BSE - SENSEX Index Options'!$B:$B,F$147,'BSE - SENSEX Index Options'!$I:$I,"MDAW*")+SUMIFS('BSE - Other Index Options'!$M:$M,'BSE - Other Index Options'!$C:$C,$A249,'BSE - Other Index Options'!$B:$B,F$147,'BSE - Other Index Options'!$I:$I,"Weekly*")+SUMIFS('BSE - Other Index Options'!$M:$M,'BSE - Other Index Options'!$C:$C,$A249,'BSE - Other Index Options'!$B:$B,F$147,'BSE - Other Index Options'!$I:$I,"MDAW*")=0,"",SUMIFS('BSE - SENSEX Index Options'!$M:$M,'BSE - SENSEX Index Options'!$C:$C,$A249,'BSE - SENSEX Index Options'!$B:$B,F$147,'BSE - SENSEX Index Options'!$I:$I,"Weekly*")+SUMIFS('BSE - SENSEX Index Options'!$M:$M,'BSE - SENSEX Index Options'!$C:$C,$A249,'BSE - SENSEX Index Options'!$B:$B,F$147,'BSE - SENSEX Index Options'!$I:$I,"MDAW*")+SUMIFS('BSE - Other Index Options'!$M:$M,'BSE - Other Index Options'!$C:$C,$A249,'BSE - Other Index Options'!$B:$B,F$147,'BSE - Other Index Options'!$I:$I,"Weekly*")+SUMIFS('BSE - Other Index Options'!$M:$M,'BSE - Other Index Options'!$C:$C,$A249,'BSE - Other Index Options'!$B:$B,F$147,'BSE - Other Index Options'!$I:$I,"MDAW*"))</f>
        <v/>
      </c>
      <c r="G249" s="26">
        <f>IF(SUMIFS('BSE - SENSEX Index Options'!$M:$M,'BSE - SENSEX Index Options'!$C:$C,$A249,'BSE - SENSEX Index Options'!$B:$B,G$147,'BSE - SENSEX Index Options'!$I:$I,"Weekly*")+SUMIFS('BSE - SENSEX Index Options'!$M:$M,'BSE - SENSEX Index Options'!$C:$C,$A249,'BSE - SENSEX Index Options'!$B:$B,G$147,'BSE - SENSEX Index Options'!$I:$I,"MDAW*")+SUMIFS('BSE - Other Index Options'!$M:$M,'BSE - Other Index Options'!$C:$C,$A249,'BSE - Other Index Options'!$B:$B,G$147,'BSE - Other Index Options'!$I:$I,"Weekly*")+SUMIFS('BSE - Other Index Options'!$M:$M,'BSE - Other Index Options'!$C:$C,$A249,'BSE - Other Index Options'!$B:$B,G$147,'BSE - Other Index Options'!$I:$I,"MDAW*")=0,"",SUMIFS('BSE - SENSEX Index Options'!$M:$M,'BSE - SENSEX Index Options'!$C:$C,$A249,'BSE - SENSEX Index Options'!$B:$B,G$147,'BSE - SENSEX Index Options'!$I:$I,"Weekly*")+SUMIFS('BSE - SENSEX Index Options'!$M:$M,'BSE - SENSEX Index Options'!$C:$C,$A249,'BSE - SENSEX Index Options'!$B:$B,G$147,'BSE - SENSEX Index Options'!$I:$I,"MDAW*")+SUMIFS('BSE - Other Index Options'!$M:$M,'BSE - Other Index Options'!$C:$C,$A249,'BSE - Other Index Options'!$B:$B,G$147,'BSE - Other Index Options'!$I:$I,"Weekly*")+SUMIFS('BSE - Other Index Options'!$M:$M,'BSE - Other Index Options'!$C:$C,$A249,'BSE - Other Index Options'!$B:$B,G$147,'BSE - Other Index Options'!$I:$I,"MDAW*"))</f>
        <v/>
      </c>
      <c r="H249" s="26">
        <f>IF(SUM(B249:G249)=0,"",SUM(B249:G249))</f>
        <v/>
      </c>
    </row>
    <row r="250" hidden="1" outlineLevel="1">
      <c r="A250" t="inlineStr">
        <is>
          <t>Week5-May-2027</t>
        </is>
      </c>
      <c r="B250" s="26">
        <f>IF(SUMIFS('BSE - SENSEX Index Options'!$M:$M,'BSE - SENSEX Index Options'!$C:$C,$A250,'BSE - SENSEX Index Options'!$B:$B,B$147,'BSE - SENSEX Index Options'!$I:$I,"Weekly*")+SUMIFS('BSE - SENSEX Index Options'!$M:$M,'BSE - SENSEX Index Options'!$C:$C,$A250,'BSE - SENSEX Index Options'!$B:$B,B$147,'BSE - SENSEX Index Options'!$I:$I,"MDAW*")+SUMIFS('BSE - Other Index Options'!$M:$M,'BSE - Other Index Options'!$C:$C,$A250,'BSE - Other Index Options'!$B:$B,B$147,'BSE - Other Index Options'!$I:$I,"Weekly*")+SUMIFS('BSE - Other Index Options'!$M:$M,'BSE - Other Index Options'!$C:$C,$A250,'BSE - Other Index Options'!$B:$B,B$147,'BSE - Other Index Options'!$I:$I,"MDAW*")=0,"",SUMIFS('BSE - SENSEX Index Options'!$M:$M,'BSE - SENSEX Index Options'!$C:$C,$A250,'BSE - SENSEX Index Options'!$B:$B,B$147,'BSE - SENSEX Index Options'!$I:$I,"Weekly*")+SUMIFS('BSE - SENSEX Index Options'!$M:$M,'BSE - SENSEX Index Options'!$C:$C,$A250,'BSE - SENSEX Index Options'!$B:$B,B$147,'BSE - SENSEX Index Options'!$I:$I,"MDAW*")+SUMIFS('BSE - Other Index Options'!$M:$M,'BSE - Other Index Options'!$C:$C,$A250,'BSE - Other Index Options'!$B:$B,B$147,'BSE - Other Index Options'!$I:$I,"Weekly*")+SUMIFS('BSE - Other Index Options'!$M:$M,'BSE - Other Index Options'!$C:$C,$A250,'BSE - Other Index Options'!$B:$B,B$147,'BSE - Other Index Options'!$I:$I,"MDAW*"))</f>
        <v/>
      </c>
      <c r="C250" s="26">
        <f>IF(SUMIFS('BSE - SENSEX Index Options'!$M:$M,'BSE - SENSEX Index Options'!$C:$C,$A250,'BSE - SENSEX Index Options'!$B:$B,C$147,'BSE - SENSEX Index Options'!$I:$I,"Weekly*")+SUMIFS('BSE - SENSEX Index Options'!$M:$M,'BSE - SENSEX Index Options'!$C:$C,$A250,'BSE - SENSEX Index Options'!$B:$B,C$147,'BSE - SENSEX Index Options'!$I:$I,"MDAW*")+SUMIFS('BSE - Other Index Options'!$M:$M,'BSE - Other Index Options'!$C:$C,$A250,'BSE - Other Index Options'!$B:$B,C$147,'BSE - Other Index Options'!$I:$I,"Weekly*")+SUMIFS('BSE - Other Index Options'!$M:$M,'BSE - Other Index Options'!$C:$C,$A250,'BSE - Other Index Options'!$B:$B,C$147,'BSE - Other Index Options'!$I:$I,"MDAW*")=0,"",SUMIFS('BSE - SENSEX Index Options'!$M:$M,'BSE - SENSEX Index Options'!$C:$C,$A250,'BSE - SENSEX Index Options'!$B:$B,C$147,'BSE - SENSEX Index Options'!$I:$I,"Weekly*")+SUMIFS('BSE - SENSEX Index Options'!$M:$M,'BSE - SENSEX Index Options'!$C:$C,$A250,'BSE - SENSEX Index Options'!$B:$B,C$147,'BSE - SENSEX Index Options'!$I:$I,"MDAW*")+SUMIFS('BSE - Other Index Options'!$M:$M,'BSE - Other Index Options'!$C:$C,$A250,'BSE - Other Index Options'!$B:$B,C$147,'BSE - Other Index Options'!$I:$I,"Weekly*")+SUMIFS('BSE - Other Index Options'!$M:$M,'BSE - Other Index Options'!$C:$C,$A250,'BSE - Other Index Options'!$B:$B,C$147,'BSE - Other Index Options'!$I:$I,"MDAW*"))</f>
        <v/>
      </c>
      <c r="D250" s="26">
        <f>IF(SUMIFS('BSE - SENSEX Index Options'!$M:$M,'BSE - SENSEX Index Options'!$C:$C,$A250,'BSE - SENSEX Index Options'!$B:$B,D$147,'BSE - SENSEX Index Options'!$I:$I,"Weekly*")+SUMIFS('BSE - SENSEX Index Options'!$M:$M,'BSE - SENSEX Index Options'!$C:$C,$A250,'BSE - SENSEX Index Options'!$B:$B,D$147,'BSE - SENSEX Index Options'!$I:$I,"MDAW*")+SUMIFS('BSE - Other Index Options'!$M:$M,'BSE - Other Index Options'!$C:$C,$A250,'BSE - Other Index Options'!$B:$B,D$147,'BSE - Other Index Options'!$I:$I,"Weekly*")+SUMIFS('BSE - Other Index Options'!$M:$M,'BSE - Other Index Options'!$C:$C,$A250,'BSE - Other Index Options'!$B:$B,D$147,'BSE - Other Index Options'!$I:$I,"MDAW*")=0,"",SUMIFS('BSE - SENSEX Index Options'!$M:$M,'BSE - SENSEX Index Options'!$C:$C,$A250,'BSE - SENSEX Index Options'!$B:$B,D$147,'BSE - SENSEX Index Options'!$I:$I,"Weekly*")+SUMIFS('BSE - SENSEX Index Options'!$M:$M,'BSE - SENSEX Index Options'!$C:$C,$A250,'BSE - SENSEX Index Options'!$B:$B,D$147,'BSE - SENSEX Index Options'!$I:$I,"MDAW*")+SUMIFS('BSE - Other Index Options'!$M:$M,'BSE - Other Index Options'!$C:$C,$A250,'BSE - Other Index Options'!$B:$B,D$147,'BSE - Other Index Options'!$I:$I,"Weekly*")+SUMIFS('BSE - Other Index Options'!$M:$M,'BSE - Other Index Options'!$C:$C,$A250,'BSE - Other Index Options'!$B:$B,D$147,'BSE - Other Index Options'!$I:$I,"MDAW*"))</f>
        <v/>
      </c>
      <c r="E250" s="26">
        <f>IF(SUMIFS('BSE - SENSEX Index Options'!$M:$M,'BSE - SENSEX Index Options'!$C:$C,$A250,'BSE - SENSEX Index Options'!$B:$B,E$147,'BSE - SENSEX Index Options'!$I:$I,"Weekly*")+SUMIFS('BSE - SENSEX Index Options'!$M:$M,'BSE - SENSEX Index Options'!$C:$C,$A250,'BSE - SENSEX Index Options'!$B:$B,E$147,'BSE - SENSEX Index Options'!$I:$I,"MDAW*")+SUMIFS('BSE - Other Index Options'!$M:$M,'BSE - Other Index Options'!$C:$C,$A250,'BSE - Other Index Options'!$B:$B,E$147,'BSE - Other Index Options'!$I:$I,"Weekly*")+SUMIFS('BSE - Other Index Options'!$M:$M,'BSE - Other Index Options'!$C:$C,$A250,'BSE - Other Index Options'!$B:$B,E$147,'BSE - Other Index Options'!$I:$I,"MDAW*")=0,"",SUMIFS('BSE - SENSEX Index Options'!$M:$M,'BSE - SENSEX Index Options'!$C:$C,$A250,'BSE - SENSEX Index Options'!$B:$B,E$147,'BSE - SENSEX Index Options'!$I:$I,"Weekly*")+SUMIFS('BSE - SENSEX Index Options'!$M:$M,'BSE - SENSEX Index Options'!$C:$C,$A250,'BSE - SENSEX Index Options'!$B:$B,E$147,'BSE - SENSEX Index Options'!$I:$I,"MDAW*")+SUMIFS('BSE - Other Index Options'!$M:$M,'BSE - Other Index Options'!$C:$C,$A250,'BSE - Other Index Options'!$B:$B,E$147,'BSE - Other Index Options'!$I:$I,"Weekly*")+SUMIFS('BSE - Other Index Options'!$M:$M,'BSE - Other Index Options'!$C:$C,$A250,'BSE - Other Index Options'!$B:$B,E$147,'BSE - Other Index Options'!$I:$I,"MDAW*"))</f>
        <v/>
      </c>
      <c r="F250" s="26">
        <f>IF(SUMIFS('BSE - SENSEX Index Options'!$M:$M,'BSE - SENSEX Index Options'!$C:$C,$A250,'BSE - SENSEX Index Options'!$B:$B,F$147,'BSE - SENSEX Index Options'!$I:$I,"Weekly*")+SUMIFS('BSE - SENSEX Index Options'!$M:$M,'BSE - SENSEX Index Options'!$C:$C,$A250,'BSE - SENSEX Index Options'!$B:$B,F$147,'BSE - SENSEX Index Options'!$I:$I,"MDAW*")+SUMIFS('BSE - Other Index Options'!$M:$M,'BSE - Other Index Options'!$C:$C,$A250,'BSE - Other Index Options'!$B:$B,F$147,'BSE - Other Index Options'!$I:$I,"Weekly*")+SUMIFS('BSE - Other Index Options'!$M:$M,'BSE - Other Index Options'!$C:$C,$A250,'BSE - Other Index Options'!$B:$B,F$147,'BSE - Other Index Options'!$I:$I,"MDAW*")=0,"",SUMIFS('BSE - SENSEX Index Options'!$M:$M,'BSE - SENSEX Index Options'!$C:$C,$A250,'BSE - SENSEX Index Options'!$B:$B,F$147,'BSE - SENSEX Index Options'!$I:$I,"Weekly*")+SUMIFS('BSE - SENSEX Index Options'!$M:$M,'BSE - SENSEX Index Options'!$C:$C,$A250,'BSE - SENSEX Index Options'!$B:$B,F$147,'BSE - SENSEX Index Options'!$I:$I,"MDAW*")+SUMIFS('BSE - Other Index Options'!$M:$M,'BSE - Other Index Options'!$C:$C,$A250,'BSE - Other Index Options'!$B:$B,F$147,'BSE - Other Index Options'!$I:$I,"Weekly*")+SUMIFS('BSE - Other Index Options'!$M:$M,'BSE - Other Index Options'!$C:$C,$A250,'BSE - Other Index Options'!$B:$B,F$147,'BSE - Other Index Options'!$I:$I,"MDAW*"))</f>
        <v/>
      </c>
      <c r="G250" s="26">
        <f>IF(SUMIFS('BSE - SENSEX Index Options'!$M:$M,'BSE - SENSEX Index Options'!$C:$C,$A250,'BSE - SENSEX Index Options'!$B:$B,G$147,'BSE - SENSEX Index Options'!$I:$I,"Weekly*")+SUMIFS('BSE - SENSEX Index Options'!$M:$M,'BSE - SENSEX Index Options'!$C:$C,$A250,'BSE - SENSEX Index Options'!$B:$B,G$147,'BSE - SENSEX Index Options'!$I:$I,"MDAW*")+SUMIFS('BSE - Other Index Options'!$M:$M,'BSE - Other Index Options'!$C:$C,$A250,'BSE - Other Index Options'!$B:$B,G$147,'BSE - Other Index Options'!$I:$I,"Weekly*")+SUMIFS('BSE - Other Index Options'!$M:$M,'BSE - Other Index Options'!$C:$C,$A250,'BSE - Other Index Options'!$B:$B,G$147,'BSE - Other Index Options'!$I:$I,"MDAW*")=0,"",SUMIFS('BSE - SENSEX Index Options'!$M:$M,'BSE - SENSEX Index Options'!$C:$C,$A250,'BSE - SENSEX Index Options'!$B:$B,G$147,'BSE - SENSEX Index Options'!$I:$I,"Weekly*")+SUMIFS('BSE - SENSEX Index Options'!$M:$M,'BSE - SENSEX Index Options'!$C:$C,$A250,'BSE - SENSEX Index Options'!$B:$B,G$147,'BSE - SENSEX Index Options'!$I:$I,"MDAW*")+SUMIFS('BSE - Other Index Options'!$M:$M,'BSE - Other Index Options'!$C:$C,$A250,'BSE - Other Index Options'!$B:$B,G$147,'BSE - Other Index Options'!$I:$I,"Weekly*")+SUMIFS('BSE - Other Index Options'!$M:$M,'BSE - Other Index Options'!$C:$C,$A250,'BSE - Other Index Options'!$B:$B,G$147,'BSE - Other Index Options'!$I:$I,"MDAW*"))</f>
        <v/>
      </c>
      <c r="H250" s="26">
        <f>IF(SUM(B250:G250)=0,"",SUM(B250:G250))</f>
        <v/>
      </c>
    </row>
    <row r="251" hidden="1" outlineLevel="1">
      <c r="A251" t="inlineStr">
        <is>
          <t>Week1-Jun-2027</t>
        </is>
      </c>
      <c r="B251" s="26">
        <f>IF(SUMIFS('BSE - SENSEX Index Options'!$M:$M,'BSE - SENSEX Index Options'!$C:$C,$A251,'BSE - SENSEX Index Options'!$B:$B,B$147,'BSE - SENSEX Index Options'!$I:$I,"Weekly*")+SUMIFS('BSE - SENSEX Index Options'!$M:$M,'BSE - SENSEX Index Options'!$C:$C,$A251,'BSE - SENSEX Index Options'!$B:$B,B$147,'BSE - SENSEX Index Options'!$I:$I,"MDAW*")+SUMIFS('BSE - Other Index Options'!$M:$M,'BSE - Other Index Options'!$C:$C,$A251,'BSE - Other Index Options'!$B:$B,B$147,'BSE - Other Index Options'!$I:$I,"Weekly*")+SUMIFS('BSE - Other Index Options'!$M:$M,'BSE - Other Index Options'!$C:$C,$A251,'BSE - Other Index Options'!$B:$B,B$147,'BSE - Other Index Options'!$I:$I,"MDAW*")=0,"",SUMIFS('BSE - SENSEX Index Options'!$M:$M,'BSE - SENSEX Index Options'!$C:$C,$A251,'BSE - SENSEX Index Options'!$B:$B,B$147,'BSE - SENSEX Index Options'!$I:$I,"Weekly*")+SUMIFS('BSE - SENSEX Index Options'!$M:$M,'BSE - SENSEX Index Options'!$C:$C,$A251,'BSE - SENSEX Index Options'!$B:$B,B$147,'BSE - SENSEX Index Options'!$I:$I,"MDAW*")+SUMIFS('BSE - Other Index Options'!$M:$M,'BSE - Other Index Options'!$C:$C,$A251,'BSE - Other Index Options'!$B:$B,B$147,'BSE - Other Index Options'!$I:$I,"Weekly*")+SUMIFS('BSE - Other Index Options'!$M:$M,'BSE - Other Index Options'!$C:$C,$A251,'BSE - Other Index Options'!$B:$B,B$147,'BSE - Other Index Options'!$I:$I,"MDAW*"))</f>
        <v/>
      </c>
      <c r="C251" s="26">
        <f>IF(SUMIFS('BSE - SENSEX Index Options'!$M:$M,'BSE - SENSEX Index Options'!$C:$C,$A251,'BSE - SENSEX Index Options'!$B:$B,C$147,'BSE - SENSEX Index Options'!$I:$I,"Weekly*")+SUMIFS('BSE - SENSEX Index Options'!$M:$M,'BSE - SENSEX Index Options'!$C:$C,$A251,'BSE - SENSEX Index Options'!$B:$B,C$147,'BSE - SENSEX Index Options'!$I:$I,"MDAW*")+SUMIFS('BSE - Other Index Options'!$M:$M,'BSE - Other Index Options'!$C:$C,$A251,'BSE - Other Index Options'!$B:$B,C$147,'BSE - Other Index Options'!$I:$I,"Weekly*")+SUMIFS('BSE - Other Index Options'!$M:$M,'BSE - Other Index Options'!$C:$C,$A251,'BSE - Other Index Options'!$B:$B,C$147,'BSE - Other Index Options'!$I:$I,"MDAW*")=0,"",SUMIFS('BSE - SENSEX Index Options'!$M:$M,'BSE - SENSEX Index Options'!$C:$C,$A251,'BSE - SENSEX Index Options'!$B:$B,C$147,'BSE - SENSEX Index Options'!$I:$I,"Weekly*")+SUMIFS('BSE - SENSEX Index Options'!$M:$M,'BSE - SENSEX Index Options'!$C:$C,$A251,'BSE - SENSEX Index Options'!$B:$B,C$147,'BSE - SENSEX Index Options'!$I:$I,"MDAW*")+SUMIFS('BSE - Other Index Options'!$M:$M,'BSE - Other Index Options'!$C:$C,$A251,'BSE - Other Index Options'!$B:$B,C$147,'BSE - Other Index Options'!$I:$I,"Weekly*")+SUMIFS('BSE - Other Index Options'!$M:$M,'BSE - Other Index Options'!$C:$C,$A251,'BSE - Other Index Options'!$B:$B,C$147,'BSE - Other Index Options'!$I:$I,"MDAW*"))</f>
        <v/>
      </c>
      <c r="D251" s="26">
        <f>IF(SUMIFS('BSE - SENSEX Index Options'!$M:$M,'BSE - SENSEX Index Options'!$C:$C,$A251,'BSE - SENSEX Index Options'!$B:$B,D$147,'BSE - SENSEX Index Options'!$I:$I,"Weekly*")+SUMIFS('BSE - SENSEX Index Options'!$M:$M,'BSE - SENSEX Index Options'!$C:$C,$A251,'BSE - SENSEX Index Options'!$B:$B,D$147,'BSE - SENSEX Index Options'!$I:$I,"MDAW*")+SUMIFS('BSE - Other Index Options'!$M:$M,'BSE - Other Index Options'!$C:$C,$A251,'BSE - Other Index Options'!$B:$B,D$147,'BSE - Other Index Options'!$I:$I,"Weekly*")+SUMIFS('BSE - Other Index Options'!$M:$M,'BSE - Other Index Options'!$C:$C,$A251,'BSE - Other Index Options'!$B:$B,D$147,'BSE - Other Index Options'!$I:$I,"MDAW*")=0,"",SUMIFS('BSE - SENSEX Index Options'!$M:$M,'BSE - SENSEX Index Options'!$C:$C,$A251,'BSE - SENSEX Index Options'!$B:$B,D$147,'BSE - SENSEX Index Options'!$I:$I,"Weekly*")+SUMIFS('BSE - SENSEX Index Options'!$M:$M,'BSE - SENSEX Index Options'!$C:$C,$A251,'BSE - SENSEX Index Options'!$B:$B,D$147,'BSE - SENSEX Index Options'!$I:$I,"MDAW*")+SUMIFS('BSE - Other Index Options'!$M:$M,'BSE - Other Index Options'!$C:$C,$A251,'BSE - Other Index Options'!$B:$B,D$147,'BSE - Other Index Options'!$I:$I,"Weekly*")+SUMIFS('BSE - Other Index Options'!$M:$M,'BSE - Other Index Options'!$C:$C,$A251,'BSE - Other Index Options'!$B:$B,D$147,'BSE - Other Index Options'!$I:$I,"MDAW*"))</f>
        <v/>
      </c>
      <c r="E251" s="26">
        <f>IF(SUMIFS('BSE - SENSEX Index Options'!$M:$M,'BSE - SENSEX Index Options'!$C:$C,$A251,'BSE - SENSEX Index Options'!$B:$B,E$147,'BSE - SENSEX Index Options'!$I:$I,"Weekly*")+SUMIFS('BSE - SENSEX Index Options'!$M:$M,'BSE - SENSEX Index Options'!$C:$C,$A251,'BSE - SENSEX Index Options'!$B:$B,E$147,'BSE - SENSEX Index Options'!$I:$I,"MDAW*")+SUMIFS('BSE - Other Index Options'!$M:$M,'BSE - Other Index Options'!$C:$C,$A251,'BSE - Other Index Options'!$B:$B,E$147,'BSE - Other Index Options'!$I:$I,"Weekly*")+SUMIFS('BSE - Other Index Options'!$M:$M,'BSE - Other Index Options'!$C:$C,$A251,'BSE - Other Index Options'!$B:$B,E$147,'BSE - Other Index Options'!$I:$I,"MDAW*")=0,"",SUMIFS('BSE - SENSEX Index Options'!$M:$M,'BSE - SENSEX Index Options'!$C:$C,$A251,'BSE - SENSEX Index Options'!$B:$B,E$147,'BSE - SENSEX Index Options'!$I:$I,"Weekly*")+SUMIFS('BSE - SENSEX Index Options'!$M:$M,'BSE - SENSEX Index Options'!$C:$C,$A251,'BSE - SENSEX Index Options'!$B:$B,E$147,'BSE - SENSEX Index Options'!$I:$I,"MDAW*")+SUMIFS('BSE - Other Index Options'!$M:$M,'BSE - Other Index Options'!$C:$C,$A251,'BSE - Other Index Options'!$B:$B,E$147,'BSE - Other Index Options'!$I:$I,"Weekly*")+SUMIFS('BSE - Other Index Options'!$M:$M,'BSE - Other Index Options'!$C:$C,$A251,'BSE - Other Index Options'!$B:$B,E$147,'BSE - Other Index Options'!$I:$I,"MDAW*"))</f>
        <v/>
      </c>
      <c r="F251" s="26">
        <f>IF(SUMIFS('BSE - SENSEX Index Options'!$M:$M,'BSE - SENSEX Index Options'!$C:$C,$A251,'BSE - SENSEX Index Options'!$B:$B,F$147,'BSE - SENSEX Index Options'!$I:$I,"Weekly*")+SUMIFS('BSE - SENSEX Index Options'!$M:$M,'BSE - SENSEX Index Options'!$C:$C,$A251,'BSE - SENSEX Index Options'!$B:$B,F$147,'BSE - SENSEX Index Options'!$I:$I,"MDAW*")+SUMIFS('BSE - Other Index Options'!$M:$M,'BSE - Other Index Options'!$C:$C,$A251,'BSE - Other Index Options'!$B:$B,F$147,'BSE - Other Index Options'!$I:$I,"Weekly*")+SUMIFS('BSE - Other Index Options'!$M:$M,'BSE - Other Index Options'!$C:$C,$A251,'BSE - Other Index Options'!$B:$B,F$147,'BSE - Other Index Options'!$I:$I,"MDAW*")=0,"",SUMIFS('BSE - SENSEX Index Options'!$M:$M,'BSE - SENSEX Index Options'!$C:$C,$A251,'BSE - SENSEX Index Options'!$B:$B,F$147,'BSE - SENSEX Index Options'!$I:$I,"Weekly*")+SUMIFS('BSE - SENSEX Index Options'!$M:$M,'BSE - SENSEX Index Options'!$C:$C,$A251,'BSE - SENSEX Index Options'!$B:$B,F$147,'BSE - SENSEX Index Options'!$I:$I,"MDAW*")+SUMIFS('BSE - Other Index Options'!$M:$M,'BSE - Other Index Options'!$C:$C,$A251,'BSE - Other Index Options'!$B:$B,F$147,'BSE - Other Index Options'!$I:$I,"Weekly*")+SUMIFS('BSE - Other Index Options'!$M:$M,'BSE - Other Index Options'!$C:$C,$A251,'BSE - Other Index Options'!$B:$B,F$147,'BSE - Other Index Options'!$I:$I,"MDAW*"))</f>
        <v/>
      </c>
      <c r="G251" s="26">
        <f>IF(SUMIFS('BSE - SENSEX Index Options'!$M:$M,'BSE - SENSEX Index Options'!$C:$C,$A251,'BSE - SENSEX Index Options'!$B:$B,G$147,'BSE - SENSEX Index Options'!$I:$I,"Weekly*")+SUMIFS('BSE - SENSEX Index Options'!$M:$M,'BSE - SENSEX Index Options'!$C:$C,$A251,'BSE - SENSEX Index Options'!$B:$B,G$147,'BSE - SENSEX Index Options'!$I:$I,"MDAW*")+SUMIFS('BSE - Other Index Options'!$M:$M,'BSE - Other Index Options'!$C:$C,$A251,'BSE - Other Index Options'!$B:$B,G$147,'BSE - Other Index Options'!$I:$I,"Weekly*")+SUMIFS('BSE - Other Index Options'!$M:$M,'BSE - Other Index Options'!$C:$C,$A251,'BSE - Other Index Options'!$B:$B,G$147,'BSE - Other Index Options'!$I:$I,"MDAW*")=0,"",SUMIFS('BSE - SENSEX Index Options'!$M:$M,'BSE - SENSEX Index Options'!$C:$C,$A251,'BSE - SENSEX Index Options'!$B:$B,G$147,'BSE - SENSEX Index Options'!$I:$I,"Weekly*")+SUMIFS('BSE - SENSEX Index Options'!$M:$M,'BSE - SENSEX Index Options'!$C:$C,$A251,'BSE - SENSEX Index Options'!$B:$B,G$147,'BSE - SENSEX Index Options'!$I:$I,"MDAW*")+SUMIFS('BSE - Other Index Options'!$M:$M,'BSE - Other Index Options'!$C:$C,$A251,'BSE - Other Index Options'!$B:$B,G$147,'BSE - Other Index Options'!$I:$I,"Weekly*")+SUMIFS('BSE - Other Index Options'!$M:$M,'BSE - Other Index Options'!$C:$C,$A251,'BSE - Other Index Options'!$B:$B,G$147,'BSE - Other Index Options'!$I:$I,"MDAW*"))</f>
        <v/>
      </c>
      <c r="H251" s="26">
        <f>IF(SUM(B251:G251)=0,"",SUM(B251:G251))</f>
        <v/>
      </c>
    </row>
    <row r="252" hidden="1" outlineLevel="1">
      <c r="A252" t="inlineStr">
        <is>
          <t>Week2-Jun-2027</t>
        </is>
      </c>
      <c r="B252" s="26">
        <f>IF(SUMIFS('BSE - SENSEX Index Options'!$M:$M,'BSE - SENSEX Index Options'!$C:$C,$A252,'BSE - SENSEX Index Options'!$B:$B,B$147,'BSE - SENSEX Index Options'!$I:$I,"Weekly*")+SUMIFS('BSE - SENSEX Index Options'!$M:$M,'BSE - SENSEX Index Options'!$C:$C,$A252,'BSE - SENSEX Index Options'!$B:$B,B$147,'BSE - SENSEX Index Options'!$I:$I,"MDAW*")+SUMIFS('BSE - Other Index Options'!$M:$M,'BSE - Other Index Options'!$C:$C,$A252,'BSE - Other Index Options'!$B:$B,B$147,'BSE - Other Index Options'!$I:$I,"Weekly*")+SUMIFS('BSE - Other Index Options'!$M:$M,'BSE - Other Index Options'!$C:$C,$A252,'BSE - Other Index Options'!$B:$B,B$147,'BSE - Other Index Options'!$I:$I,"MDAW*")=0,"",SUMIFS('BSE - SENSEX Index Options'!$M:$M,'BSE - SENSEX Index Options'!$C:$C,$A252,'BSE - SENSEX Index Options'!$B:$B,B$147,'BSE - SENSEX Index Options'!$I:$I,"Weekly*")+SUMIFS('BSE - SENSEX Index Options'!$M:$M,'BSE - SENSEX Index Options'!$C:$C,$A252,'BSE - SENSEX Index Options'!$B:$B,B$147,'BSE - SENSEX Index Options'!$I:$I,"MDAW*")+SUMIFS('BSE - Other Index Options'!$M:$M,'BSE - Other Index Options'!$C:$C,$A252,'BSE - Other Index Options'!$B:$B,B$147,'BSE - Other Index Options'!$I:$I,"Weekly*")+SUMIFS('BSE - Other Index Options'!$M:$M,'BSE - Other Index Options'!$C:$C,$A252,'BSE - Other Index Options'!$B:$B,B$147,'BSE - Other Index Options'!$I:$I,"MDAW*"))</f>
        <v/>
      </c>
      <c r="C252" s="26">
        <f>IF(SUMIFS('BSE - SENSEX Index Options'!$M:$M,'BSE - SENSEX Index Options'!$C:$C,$A252,'BSE - SENSEX Index Options'!$B:$B,C$147,'BSE - SENSEX Index Options'!$I:$I,"Weekly*")+SUMIFS('BSE - SENSEX Index Options'!$M:$M,'BSE - SENSEX Index Options'!$C:$C,$A252,'BSE - SENSEX Index Options'!$B:$B,C$147,'BSE - SENSEX Index Options'!$I:$I,"MDAW*")+SUMIFS('BSE - Other Index Options'!$M:$M,'BSE - Other Index Options'!$C:$C,$A252,'BSE - Other Index Options'!$B:$B,C$147,'BSE - Other Index Options'!$I:$I,"Weekly*")+SUMIFS('BSE - Other Index Options'!$M:$M,'BSE - Other Index Options'!$C:$C,$A252,'BSE - Other Index Options'!$B:$B,C$147,'BSE - Other Index Options'!$I:$I,"MDAW*")=0,"",SUMIFS('BSE - SENSEX Index Options'!$M:$M,'BSE - SENSEX Index Options'!$C:$C,$A252,'BSE - SENSEX Index Options'!$B:$B,C$147,'BSE - SENSEX Index Options'!$I:$I,"Weekly*")+SUMIFS('BSE - SENSEX Index Options'!$M:$M,'BSE - SENSEX Index Options'!$C:$C,$A252,'BSE - SENSEX Index Options'!$B:$B,C$147,'BSE - SENSEX Index Options'!$I:$I,"MDAW*")+SUMIFS('BSE - Other Index Options'!$M:$M,'BSE - Other Index Options'!$C:$C,$A252,'BSE - Other Index Options'!$B:$B,C$147,'BSE - Other Index Options'!$I:$I,"Weekly*")+SUMIFS('BSE - Other Index Options'!$M:$M,'BSE - Other Index Options'!$C:$C,$A252,'BSE - Other Index Options'!$B:$B,C$147,'BSE - Other Index Options'!$I:$I,"MDAW*"))</f>
        <v/>
      </c>
      <c r="D252" s="26">
        <f>IF(SUMIFS('BSE - SENSEX Index Options'!$M:$M,'BSE - SENSEX Index Options'!$C:$C,$A252,'BSE - SENSEX Index Options'!$B:$B,D$147,'BSE - SENSEX Index Options'!$I:$I,"Weekly*")+SUMIFS('BSE - SENSEX Index Options'!$M:$M,'BSE - SENSEX Index Options'!$C:$C,$A252,'BSE - SENSEX Index Options'!$B:$B,D$147,'BSE - SENSEX Index Options'!$I:$I,"MDAW*")+SUMIFS('BSE - Other Index Options'!$M:$M,'BSE - Other Index Options'!$C:$C,$A252,'BSE - Other Index Options'!$B:$B,D$147,'BSE - Other Index Options'!$I:$I,"Weekly*")+SUMIFS('BSE - Other Index Options'!$M:$M,'BSE - Other Index Options'!$C:$C,$A252,'BSE - Other Index Options'!$B:$B,D$147,'BSE - Other Index Options'!$I:$I,"MDAW*")=0,"",SUMIFS('BSE - SENSEX Index Options'!$M:$M,'BSE - SENSEX Index Options'!$C:$C,$A252,'BSE - SENSEX Index Options'!$B:$B,D$147,'BSE - SENSEX Index Options'!$I:$I,"Weekly*")+SUMIFS('BSE - SENSEX Index Options'!$M:$M,'BSE - SENSEX Index Options'!$C:$C,$A252,'BSE - SENSEX Index Options'!$B:$B,D$147,'BSE - SENSEX Index Options'!$I:$I,"MDAW*")+SUMIFS('BSE - Other Index Options'!$M:$M,'BSE - Other Index Options'!$C:$C,$A252,'BSE - Other Index Options'!$B:$B,D$147,'BSE - Other Index Options'!$I:$I,"Weekly*")+SUMIFS('BSE - Other Index Options'!$M:$M,'BSE - Other Index Options'!$C:$C,$A252,'BSE - Other Index Options'!$B:$B,D$147,'BSE - Other Index Options'!$I:$I,"MDAW*"))</f>
        <v/>
      </c>
      <c r="E252" s="26">
        <f>IF(SUMIFS('BSE - SENSEX Index Options'!$M:$M,'BSE - SENSEX Index Options'!$C:$C,$A252,'BSE - SENSEX Index Options'!$B:$B,E$147,'BSE - SENSEX Index Options'!$I:$I,"Weekly*")+SUMIFS('BSE - SENSEX Index Options'!$M:$M,'BSE - SENSEX Index Options'!$C:$C,$A252,'BSE - SENSEX Index Options'!$B:$B,E$147,'BSE - SENSEX Index Options'!$I:$I,"MDAW*")+SUMIFS('BSE - Other Index Options'!$M:$M,'BSE - Other Index Options'!$C:$C,$A252,'BSE - Other Index Options'!$B:$B,E$147,'BSE - Other Index Options'!$I:$I,"Weekly*")+SUMIFS('BSE - Other Index Options'!$M:$M,'BSE - Other Index Options'!$C:$C,$A252,'BSE - Other Index Options'!$B:$B,E$147,'BSE - Other Index Options'!$I:$I,"MDAW*")=0,"",SUMIFS('BSE - SENSEX Index Options'!$M:$M,'BSE - SENSEX Index Options'!$C:$C,$A252,'BSE - SENSEX Index Options'!$B:$B,E$147,'BSE - SENSEX Index Options'!$I:$I,"Weekly*")+SUMIFS('BSE - SENSEX Index Options'!$M:$M,'BSE - SENSEX Index Options'!$C:$C,$A252,'BSE - SENSEX Index Options'!$B:$B,E$147,'BSE - SENSEX Index Options'!$I:$I,"MDAW*")+SUMIFS('BSE - Other Index Options'!$M:$M,'BSE - Other Index Options'!$C:$C,$A252,'BSE - Other Index Options'!$B:$B,E$147,'BSE - Other Index Options'!$I:$I,"Weekly*")+SUMIFS('BSE - Other Index Options'!$M:$M,'BSE - Other Index Options'!$C:$C,$A252,'BSE - Other Index Options'!$B:$B,E$147,'BSE - Other Index Options'!$I:$I,"MDAW*"))</f>
        <v/>
      </c>
      <c r="F252" s="26">
        <f>IF(SUMIFS('BSE - SENSEX Index Options'!$M:$M,'BSE - SENSEX Index Options'!$C:$C,$A252,'BSE - SENSEX Index Options'!$B:$B,F$147,'BSE - SENSEX Index Options'!$I:$I,"Weekly*")+SUMIFS('BSE - SENSEX Index Options'!$M:$M,'BSE - SENSEX Index Options'!$C:$C,$A252,'BSE - SENSEX Index Options'!$B:$B,F$147,'BSE - SENSEX Index Options'!$I:$I,"MDAW*")+SUMIFS('BSE - Other Index Options'!$M:$M,'BSE - Other Index Options'!$C:$C,$A252,'BSE - Other Index Options'!$B:$B,F$147,'BSE - Other Index Options'!$I:$I,"Weekly*")+SUMIFS('BSE - Other Index Options'!$M:$M,'BSE - Other Index Options'!$C:$C,$A252,'BSE - Other Index Options'!$B:$B,F$147,'BSE - Other Index Options'!$I:$I,"MDAW*")=0,"",SUMIFS('BSE - SENSEX Index Options'!$M:$M,'BSE - SENSEX Index Options'!$C:$C,$A252,'BSE - SENSEX Index Options'!$B:$B,F$147,'BSE - SENSEX Index Options'!$I:$I,"Weekly*")+SUMIFS('BSE - SENSEX Index Options'!$M:$M,'BSE - SENSEX Index Options'!$C:$C,$A252,'BSE - SENSEX Index Options'!$B:$B,F$147,'BSE - SENSEX Index Options'!$I:$I,"MDAW*")+SUMIFS('BSE - Other Index Options'!$M:$M,'BSE - Other Index Options'!$C:$C,$A252,'BSE - Other Index Options'!$B:$B,F$147,'BSE - Other Index Options'!$I:$I,"Weekly*")+SUMIFS('BSE - Other Index Options'!$M:$M,'BSE - Other Index Options'!$C:$C,$A252,'BSE - Other Index Options'!$B:$B,F$147,'BSE - Other Index Options'!$I:$I,"MDAW*"))</f>
        <v/>
      </c>
      <c r="G252" s="26">
        <f>IF(SUMIFS('BSE - SENSEX Index Options'!$M:$M,'BSE - SENSEX Index Options'!$C:$C,$A252,'BSE - SENSEX Index Options'!$B:$B,G$147,'BSE - SENSEX Index Options'!$I:$I,"Weekly*")+SUMIFS('BSE - SENSEX Index Options'!$M:$M,'BSE - SENSEX Index Options'!$C:$C,$A252,'BSE - SENSEX Index Options'!$B:$B,G$147,'BSE - SENSEX Index Options'!$I:$I,"MDAW*")+SUMIFS('BSE - Other Index Options'!$M:$M,'BSE - Other Index Options'!$C:$C,$A252,'BSE - Other Index Options'!$B:$B,G$147,'BSE - Other Index Options'!$I:$I,"Weekly*")+SUMIFS('BSE - Other Index Options'!$M:$M,'BSE - Other Index Options'!$C:$C,$A252,'BSE - Other Index Options'!$B:$B,G$147,'BSE - Other Index Options'!$I:$I,"MDAW*")=0,"",SUMIFS('BSE - SENSEX Index Options'!$M:$M,'BSE - SENSEX Index Options'!$C:$C,$A252,'BSE - SENSEX Index Options'!$B:$B,G$147,'BSE - SENSEX Index Options'!$I:$I,"Weekly*")+SUMIFS('BSE - SENSEX Index Options'!$M:$M,'BSE - SENSEX Index Options'!$C:$C,$A252,'BSE - SENSEX Index Options'!$B:$B,G$147,'BSE - SENSEX Index Options'!$I:$I,"MDAW*")+SUMIFS('BSE - Other Index Options'!$M:$M,'BSE - Other Index Options'!$C:$C,$A252,'BSE - Other Index Options'!$B:$B,G$147,'BSE - Other Index Options'!$I:$I,"Weekly*")+SUMIFS('BSE - Other Index Options'!$M:$M,'BSE - Other Index Options'!$C:$C,$A252,'BSE - Other Index Options'!$B:$B,G$147,'BSE - Other Index Options'!$I:$I,"MDAW*"))</f>
        <v/>
      </c>
      <c r="H252" s="26">
        <f>IF(SUM(B252:G252)=0,"",SUM(B252:G252))</f>
        <v/>
      </c>
    </row>
    <row r="253" hidden="1" outlineLevel="1">
      <c r="A253" t="inlineStr">
        <is>
          <t>Week3-Jun-2027</t>
        </is>
      </c>
      <c r="B253" s="26">
        <f>IF(SUMIFS('BSE - SENSEX Index Options'!$M:$M,'BSE - SENSEX Index Options'!$C:$C,$A253,'BSE - SENSEX Index Options'!$B:$B,B$147,'BSE - SENSEX Index Options'!$I:$I,"Weekly*")+SUMIFS('BSE - SENSEX Index Options'!$M:$M,'BSE - SENSEX Index Options'!$C:$C,$A253,'BSE - SENSEX Index Options'!$B:$B,B$147,'BSE - SENSEX Index Options'!$I:$I,"MDAW*")+SUMIFS('BSE - Other Index Options'!$M:$M,'BSE - Other Index Options'!$C:$C,$A253,'BSE - Other Index Options'!$B:$B,B$147,'BSE - Other Index Options'!$I:$I,"Weekly*")+SUMIFS('BSE - Other Index Options'!$M:$M,'BSE - Other Index Options'!$C:$C,$A253,'BSE - Other Index Options'!$B:$B,B$147,'BSE - Other Index Options'!$I:$I,"MDAW*")=0,"",SUMIFS('BSE - SENSEX Index Options'!$M:$M,'BSE - SENSEX Index Options'!$C:$C,$A253,'BSE - SENSEX Index Options'!$B:$B,B$147,'BSE - SENSEX Index Options'!$I:$I,"Weekly*")+SUMIFS('BSE - SENSEX Index Options'!$M:$M,'BSE - SENSEX Index Options'!$C:$C,$A253,'BSE - SENSEX Index Options'!$B:$B,B$147,'BSE - SENSEX Index Options'!$I:$I,"MDAW*")+SUMIFS('BSE - Other Index Options'!$M:$M,'BSE - Other Index Options'!$C:$C,$A253,'BSE - Other Index Options'!$B:$B,B$147,'BSE - Other Index Options'!$I:$I,"Weekly*")+SUMIFS('BSE - Other Index Options'!$M:$M,'BSE - Other Index Options'!$C:$C,$A253,'BSE - Other Index Options'!$B:$B,B$147,'BSE - Other Index Options'!$I:$I,"MDAW*"))</f>
        <v/>
      </c>
      <c r="C253" s="26">
        <f>IF(SUMIFS('BSE - SENSEX Index Options'!$M:$M,'BSE - SENSEX Index Options'!$C:$C,$A253,'BSE - SENSEX Index Options'!$B:$B,C$147,'BSE - SENSEX Index Options'!$I:$I,"Weekly*")+SUMIFS('BSE - SENSEX Index Options'!$M:$M,'BSE - SENSEX Index Options'!$C:$C,$A253,'BSE - SENSEX Index Options'!$B:$B,C$147,'BSE - SENSEX Index Options'!$I:$I,"MDAW*")+SUMIFS('BSE - Other Index Options'!$M:$M,'BSE - Other Index Options'!$C:$C,$A253,'BSE - Other Index Options'!$B:$B,C$147,'BSE - Other Index Options'!$I:$I,"Weekly*")+SUMIFS('BSE - Other Index Options'!$M:$M,'BSE - Other Index Options'!$C:$C,$A253,'BSE - Other Index Options'!$B:$B,C$147,'BSE - Other Index Options'!$I:$I,"MDAW*")=0,"",SUMIFS('BSE - SENSEX Index Options'!$M:$M,'BSE - SENSEX Index Options'!$C:$C,$A253,'BSE - SENSEX Index Options'!$B:$B,C$147,'BSE - SENSEX Index Options'!$I:$I,"Weekly*")+SUMIFS('BSE - SENSEX Index Options'!$M:$M,'BSE - SENSEX Index Options'!$C:$C,$A253,'BSE - SENSEX Index Options'!$B:$B,C$147,'BSE - SENSEX Index Options'!$I:$I,"MDAW*")+SUMIFS('BSE - Other Index Options'!$M:$M,'BSE - Other Index Options'!$C:$C,$A253,'BSE - Other Index Options'!$B:$B,C$147,'BSE - Other Index Options'!$I:$I,"Weekly*")+SUMIFS('BSE - Other Index Options'!$M:$M,'BSE - Other Index Options'!$C:$C,$A253,'BSE - Other Index Options'!$B:$B,C$147,'BSE - Other Index Options'!$I:$I,"MDAW*"))</f>
        <v/>
      </c>
      <c r="D253" s="26">
        <f>IF(SUMIFS('BSE - SENSEX Index Options'!$M:$M,'BSE - SENSEX Index Options'!$C:$C,$A253,'BSE - SENSEX Index Options'!$B:$B,D$147,'BSE - SENSEX Index Options'!$I:$I,"Weekly*")+SUMIFS('BSE - SENSEX Index Options'!$M:$M,'BSE - SENSEX Index Options'!$C:$C,$A253,'BSE - SENSEX Index Options'!$B:$B,D$147,'BSE - SENSEX Index Options'!$I:$I,"MDAW*")+SUMIFS('BSE - Other Index Options'!$M:$M,'BSE - Other Index Options'!$C:$C,$A253,'BSE - Other Index Options'!$B:$B,D$147,'BSE - Other Index Options'!$I:$I,"Weekly*")+SUMIFS('BSE - Other Index Options'!$M:$M,'BSE - Other Index Options'!$C:$C,$A253,'BSE - Other Index Options'!$B:$B,D$147,'BSE - Other Index Options'!$I:$I,"MDAW*")=0,"",SUMIFS('BSE - SENSEX Index Options'!$M:$M,'BSE - SENSEX Index Options'!$C:$C,$A253,'BSE - SENSEX Index Options'!$B:$B,D$147,'BSE - SENSEX Index Options'!$I:$I,"Weekly*")+SUMIFS('BSE - SENSEX Index Options'!$M:$M,'BSE - SENSEX Index Options'!$C:$C,$A253,'BSE - SENSEX Index Options'!$B:$B,D$147,'BSE - SENSEX Index Options'!$I:$I,"MDAW*")+SUMIFS('BSE - Other Index Options'!$M:$M,'BSE - Other Index Options'!$C:$C,$A253,'BSE - Other Index Options'!$B:$B,D$147,'BSE - Other Index Options'!$I:$I,"Weekly*")+SUMIFS('BSE - Other Index Options'!$M:$M,'BSE - Other Index Options'!$C:$C,$A253,'BSE - Other Index Options'!$B:$B,D$147,'BSE - Other Index Options'!$I:$I,"MDAW*"))</f>
        <v/>
      </c>
      <c r="E253" s="26">
        <f>IF(SUMIFS('BSE - SENSEX Index Options'!$M:$M,'BSE - SENSEX Index Options'!$C:$C,$A253,'BSE - SENSEX Index Options'!$B:$B,E$147,'BSE - SENSEX Index Options'!$I:$I,"Weekly*")+SUMIFS('BSE - SENSEX Index Options'!$M:$M,'BSE - SENSEX Index Options'!$C:$C,$A253,'BSE - SENSEX Index Options'!$B:$B,E$147,'BSE - SENSEX Index Options'!$I:$I,"MDAW*")+SUMIFS('BSE - Other Index Options'!$M:$M,'BSE - Other Index Options'!$C:$C,$A253,'BSE - Other Index Options'!$B:$B,E$147,'BSE - Other Index Options'!$I:$I,"Weekly*")+SUMIFS('BSE - Other Index Options'!$M:$M,'BSE - Other Index Options'!$C:$C,$A253,'BSE - Other Index Options'!$B:$B,E$147,'BSE - Other Index Options'!$I:$I,"MDAW*")=0,"",SUMIFS('BSE - SENSEX Index Options'!$M:$M,'BSE - SENSEX Index Options'!$C:$C,$A253,'BSE - SENSEX Index Options'!$B:$B,E$147,'BSE - SENSEX Index Options'!$I:$I,"Weekly*")+SUMIFS('BSE - SENSEX Index Options'!$M:$M,'BSE - SENSEX Index Options'!$C:$C,$A253,'BSE - SENSEX Index Options'!$B:$B,E$147,'BSE - SENSEX Index Options'!$I:$I,"MDAW*")+SUMIFS('BSE - Other Index Options'!$M:$M,'BSE - Other Index Options'!$C:$C,$A253,'BSE - Other Index Options'!$B:$B,E$147,'BSE - Other Index Options'!$I:$I,"Weekly*")+SUMIFS('BSE - Other Index Options'!$M:$M,'BSE - Other Index Options'!$C:$C,$A253,'BSE - Other Index Options'!$B:$B,E$147,'BSE - Other Index Options'!$I:$I,"MDAW*"))</f>
        <v/>
      </c>
      <c r="F253" s="26">
        <f>IF(SUMIFS('BSE - SENSEX Index Options'!$M:$M,'BSE - SENSEX Index Options'!$C:$C,$A253,'BSE - SENSEX Index Options'!$B:$B,F$147,'BSE - SENSEX Index Options'!$I:$I,"Weekly*")+SUMIFS('BSE - SENSEX Index Options'!$M:$M,'BSE - SENSEX Index Options'!$C:$C,$A253,'BSE - SENSEX Index Options'!$B:$B,F$147,'BSE - SENSEX Index Options'!$I:$I,"MDAW*")+SUMIFS('BSE - Other Index Options'!$M:$M,'BSE - Other Index Options'!$C:$C,$A253,'BSE - Other Index Options'!$B:$B,F$147,'BSE - Other Index Options'!$I:$I,"Weekly*")+SUMIFS('BSE - Other Index Options'!$M:$M,'BSE - Other Index Options'!$C:$C,$A253,'BSE - Other Index Options'!$B:$B,F$147,'BSE - Other Index Options'!$I:$I,"MDAW*")=0,"",SUMIFS('BSE - SENSEX Index Options'!$M:$M,'BSE - SENSEX Index Options'!$C:$C,$A253,'BSE - SENSEX Index Options'!$B:$B,F$147,'BSE - SENSEX Index Options'!$I:$I,"Weekly*")+SUMIFS('BSE - SENSEX Index Options'!$M:$M,'BSE - SENSEX Index Options'!$C:$C,$A253,'BSE - SENSEX Index Options'!$B:$B,F$147,'BSE - SENSEX Index Options'!$I:$I,"MDAW*")+SUMIFS('BSE - Other Index Options'!$M:$M,'BSE - Other Index Options'!$C:$C,$A253,'BSE - Other Index Options'!$B:$B,F$147,'BSE - Other Index Options'!$I:$I,"Weekly*")+SUMIFS('BSE - Other Index Options'!$M:$M,'BSE - Other Index Options'!$C:$C,$A253,'BSE - Other Index Options'!$B:$B,F$147,'BSE - Other Index Options'!$I:$I,"MDAW*"))</f>
        <v/>
      </c>
      <c r="G253" s="26">
        <f>IF(SUMIFS('BSE - SENSEX Index Options'!$M:$M,'BSE - SENSEX Index Options'!$C:$C,$A253,'BSE - SENSEX Index Options'!$B:$B,G$147,'BSE - SENSEX Index Options'!$I:$I,"Weekly*")+SUMIFS('BSE - SENSEX Index Options'!$M:$M,'BSE - SENSEX Index Options'!$C:$C,$A253,'BSE - SENSEX Index Options'!$B:$B,G$147,'BSE - SENSEX Index Options'!$I:$I,"MDAW*")+SUMIFS('BSE - Other Index Options'!$M:$M,'BSE - Other Index Options'!$C:$C,$A253,'BSE - Other Index Options'!$B:$B,G$147,'BSE - Other Index Options'!$I:$I,"Weekly*")+SUMIFS('BSE - Other Index Options'!$M:$M,'BSE - Other Index Options'!$C:$C,$A253,'BSE - Other Index Options'!$B:$B,G$147,'BSE - Other Index Options'!$I:$I,"MDAW*")=0,"",SUMIFS('BSE - SENSEX Index Options'!$M:$M,'BSE - SENSEX Index Options'!$C:$C,$A253,'BSE - SENSEX Index Options'!$B:$B,G$147,'BSE - SENSEX Index Options'!$I:$I,"Weekly*")+SUMIFS('BSE - SENSEX Index Options'!$M:$M,'BSE - SENSEX Index Options'!$C:$C,$A253,'BSE - SENSEX Index Options'!$B:$B,G$147,'BSE - SENSEX Index Options'!$I:$I,"MDAW*")+SUMIFS('BSE - Other Index Options'!$M:$M,'BSE - Other Index Options'!$C:$C,$A253,'BSE - Other Index Options'!$B:$B,G$147,'BSE - Other Index Options'!$I:$I,"Weekly*")+SUMIFS('BSE - Other Index Options'!$M:$M,'BSE - Other Index Options'!$C:$C,$A253,'BSE - Other Index Options'!$B:$B,G$147,'BSE - Other Index Options'!$I:$I,"MDAW*"))</f>
        <v/>
      </c>
      <c r="H253" s="26">
        <f>IF(SUM(B253:G253)=0,"",SUM(B253:G253))</f>
        <v/>
      </c>
    </row>
    <row r="254" hidden="1" outlineLevel="1">
      <c r="A254" t="inlineStr">
        <is>
          <t>Week4-Jun-2027</t>
        </is>
      </c>
      <c r="B254" s="26">
        <f>IF(SUMIFS('BSE - SENSEX Index Options'!$M:$M,'BSE - SENSEX Index Options'!$C:$C,$A254,'BSE - SENSEX Index Options'!$B:$B,B$147,'BSE - SENSEX Index Options'!$I:$I,"Weekly*")+SUMIFS('BSE - SENSEX Index Options'!$M:$M,'BSE - SENSEX Index Options'!$C:$C,$A254,'BSE - SENSEX Index Options'!$B:$B,B$147,'BSE - SENSEX Index Options'!$I:$I,"MDAW*")+SUMIFS('BSE - Other Index Options'!$M:$M,'BSE - Other Index Options'!$C:$C,$A254,'BSE - Other Index Options'!$B:$B,B$147,'BSE - Other Index Options'!$I:$I,"Weekly*")+SUMIFS('BSE - Other Index Options'!$M:$M,'BSE - Other Index Options'!$C:$C,$A254,'BSE - Other Index Options'!$B:$B,B$147,'BSE - Other Index Options'!$I:$I,"MDAW*")=0,"",SUMIFS('BSE - SENSEX Index Options'!$M:$M,'BSE - SENSEX Index Options'!$C:$C,$A254,'BSE - SENSEX Index Options'!$B:$B,B$147,'BSE - SENSEX Index Options'!$I:$I,"Weekly*")+SUMIFS('BSE - SENSEX Index Options'!$M:$M,'BSE - SENSEX Index Options'!$C:$C,$A254,'BSE - SENSEX Index Options'!$B:$B,B$147,'BSE - SENSEX Index Options'!$I:$I,"MDAW*")+SUMIFS('BSE - Other Index Options'!$M:$M,'BSE - Other Index Options'!$C:$C,$A254,'BSE - Other Index Options'!$B:$B,B$147,'BSE - Other Index Options'!$I:$I,"Weekly*")+SUMIFS('BSE - Other Index Options'!$M:$M,'BSE - Other Index Options'!$C:$C,$A254,'BSE - Other Index Options'!$B:$B,B$147,'BSE - Other Index Options'!$I:$I,"MDAW*"))</f>
        <v/>
      </c>
      <c r="C254" s="26">
        <f>IF(SUMIFS('BSE - SENSEX Index Options'!$M:$M,'BSE - SENSEX Index Options'!$C:$C,$A254,'BSE - SENSEX Index Options'!$B:$B,C$147,'BSE - SENSEX Index Options'!$I:$I,"Weekly*")+SUMIFS('BSE - SENSEX Index Options'!$M:$M,'BSE - SENSEX Index Options'!$C:$C,$A254,'BSE - SENSEX Index Options'!$B:$B,C$147,'BSE - SENSEX Index Options'!$I:$I,"MDAW*")+SUMIFS('BSE - Other Index Options'!$M:$M,'BSE - Other Index Options'!$C:$C,$A254,'BSE - Other Index Options'!$B:$B,C$147,'BSE - Other Index Options'!$I:$I,"Weekly*")+SUMIFS('BSE - Other Index Options'!$M:$M,'BSE - Other Index Options'!$C:$C,$A254,'BSE - Other Index Options'!$B:$B,C$147,'BSE - Other Index Options'!$I:$I,"MDAW*")=0,"",SUMIFS('BSE - SENSEX Index Options'!$M:$M,'BSE - SENSEX Index Options'!$C:$C,$A254,'BSE - SENSEX Index Options'!$B:$B,C$147,'BSE - SENSEX Index Options'!$I:$I,"Weekly*")+SUMIFS('BSE - SENSEX Index Options'!$M:$M,'BSE - SENSEX Index Options'!$C:$C,$A254,'BSE - SENSEX Index Options'!$B:$B,C$147,'BSE - SENSEX Index Options'!$I:$I,"MDAW*")+SUMIFS('BSE - Other Index Options'!$M:$M,'BSE - Other Index Options'!$C:$C,$A254,'BSE - Other Index Options'!$B:$B,C$147,'BSE - Other Index Options'!$I:$I,"Weekly*")+SUMIFS('BSE - Other Index Options'!$M:$M,'BSE - Other Index Options'!$C:$C,$A254,'BSE - Other Index Options'!$B:$B,C$147,'BSE - Other Index Options'!$I:$I,"MDAW*"))</f>
        <v/>
      </c>
      <c r="D254" s="26">
        <f>IF(SUMIFS('BSE - SENSEX Index Options'!$M:$M,'BSE - SENSEX Index Options'!$C:$C,$A254,'BSE - SENSEX Index Options'!$B:$B,D$147,'BSE - SENSEX Index Options'!$I:$I,"Weekly*")+SUMIFS('BSE - SENSEX Index Options'!$M:$M,'BSE - SENSEX Index Options'!$C:$C,$A254,'BSE - SENSEX Index Options'!$B:$B,D$147,'BSE - SENSEX Index Options'!$I:$I,"MDAW*")+SUMIFS('BSE - Other Index Options'!$M:$M,'BSE - Other Index Options'!$C:$C,$A254,'BSE - Other Index Options'!$B:$B,D$147,'BSE - Other Index Options'!$I:$I,"Weekly*")+SUMIFS('BSE - Other Index Options'!$M:$M,'BSE - Other Index Options'!$C:$C,$A254,'BSE - Other Index Options'!$B:$B,D$147,'BSE - Other Index Options'!$I:$I,"MDAW*")=0,"",SUMIFS('BSE - SENSEX Index Options'!$M:$M,'BSE - SENSEX Index Options'!$C:$C,$A254,'BSE - SENSEX Index Options'!$B:$B,D$147,'BSE - SENSEX Index Options'!$I:$I,"Weekly*")+SUMIFS('BSE - SENSEX Index Options'!$M:$M,'BSE - SENSEX Index Options'!$C:$C,$A254,'BSE - SENSEX Index Options'!$B:$B,D$147,'BSE - SENSEX Index Options'!$I:$I,"MDAW*")+SUMIFS('BSE - Other Index Options'!$M:$M,'BSE - Other Index Options'!$C:$C,$A254,'BSE - Other Index Options'!$B:$B,D$147,'BSE - Other Index Options'!$I:$I,"Weekly*")+SUMIFS('BSE - Other Index Options'!$M:$M,'BSE - Other Index Options'!$C:$C,$A254,'BSE - Other Index Options'!$B:$B,D$147,'BSE - Other Index Options'!$I:$I,"MDAW*"))</f>
        <v/>
      </c>
      <c r="E254" s="26">
        <f>IF(SUMIFS('BSE - SENSEX Index Options'!$M:$M,'BSE - SENSEX Index Options'!$C:$C,$A254,'BSE - SENSEX Index Options'!$B:$B,E$147,'BSE - SENSEX Index Options'!$I:$I,"Weekly*")+SUMIFS('BSE - SENSEX Index Options'!$M:$M,'BSE - SENSEX Index Options'!$C:$C,$A254,'BSE - SENSEX Index Options'!$B:$B,E$147,'BSE - SENSEX Index Options'!$I:$I,"MDAW*")+SUMIFS('BSE - Other Index Options'!$M:$M,'BSE - Other Index Options'!$C:$C,$A254,'BSE - Other Index Options'!$B:$B,E$147,'BSE - Other Index Options'!$I:$I,"Weekly*")+SUMIFS('BSE - Other Index Options'!$M:$M,'BSE - Other Index Options'!$C:$C,$A254,'BSE - Other Index Options'!$B:$B,E$147,'BSE - Other Index Options'!$I:$I,"MDAW*")=0,"",SUMIFS('BSE - SENSEX Index Options'!$M:$M,'BSE - SENSEX Index Options'!$C:$C,$A254,'BSE - SENSEX Index Options'!$B:$B,E$147,'BSE - SENSEX Index Options'!$I:$I,"Weekly*")+SUMIFS('BSE - SENSEX Index Options'!$M:$M,'BSE - SENSEX Index Options'!$C:$C,$A254,'BSE - SENSEX Index Options'!$B:$B,E$147,'BSE - SENSEX Index Options'!$I:$I,"MDAW*")+SUMIFS('BSE - Other Index Options'!$M:$M,'BSE - Other Index Options'!$C:$C,$A254,'BSE - Other Index Options'!$B:$B,E$147,'BSE - Other Index Options'!$I:$I,"Weekly*")+SUMIFS('BSE - Other Index Options'!$M:$M,'BSE - Other Index Options'!$C:$C,$A254,'BSE - Other Index Options'!$B:$B,E$147,'BSE - Other Index Options'!$I:$I,"MDAW*"))</f>
        <v/>
      </c>
      <c r="F254" s="26">
        <f>IF(SUMIFS('BSE - SENSEX Index Options'!$M:$M,'BSE - SENSEX Index Options'!$C:$C,$A254,'BSE - SENSEX Index Options'!$B:$B,F$147,'BSE - SENSEX Index Options'!$I:$I,"Weekly*")+SUMIFS('BSE - SENSEX Index Options'!$M:$M,'BSE - SENSEX Index Options'!$C:$C,$A254,'BSE - SENSEX Index Options'!$B:$B,F$147,'BSE - SENSEX Index Options'!$I:$I,"MDAW*")+SUMIFS('BSE - Other Index Options'!$M:$M,'BSE - Other Index Options'!$C:$C,$A254,'BSE - Other Index Options'!$B:$B,F$147,'BSE - Other Index Options'!$I:$I,"Weekly*")+SUMIFS('BSE - Other Index Options'!$M:$M,'BSE - Other Index Options'!$C:$C,$A254,'BSE - Other Index Options'!$B:$B,F$147,'BSE - Other Index Options'!$I:$I,"MDAW*")=0,"",SUMIFS('BSE - SENSEX Index Options'!$M:$M,'BSE - SENSEX Index Options'!$C:$C,$A254,'BSE - SENSEX Index Options'!$B:$B,F$147,'BSE - SENSEX Index Options'!$I:$I,"Weekly*")+SUMIFS('BSE - SENSEX Index Options'!$M:$M,'BSE - SENSEX Index Options'!$C:$C,$A254,'BSE - SENSEX Index Options'!$B:$B,F$147,'BSE - SENSEX Index Options'!$I:$I,"MDAW*")+SUMIFS('BSE - Other Index Options'!$M:$M,'BSE - Other Index Options'!$C:$C,$A254,'BSE - Other Index Options'!$B:$B,F$147,'BSE - Other Index Options'!$I:$I,"Weekly*")+SUMIFS('BSE - Other Index Options'!$M:$M,'BSE - Other Index Options'!$C:$C,$A254,'BSE - Other Index Options'!$B:$B,F$147,'BSE - Other Index Options'!$I:$I,"MDAW*"))</f>
        <v/>
      </c>
      <c r="G254" s="26">
        <f>IF(SUMIFS('BSE - SENSEX Index Options'!$M:$M,'BSE - SENSEX Index Options'!$C:$C,$A254,'BSE - SENSEX Index Options'!$B:$B,G$147,'BSE - SENSEX Index Options'!$I:$I,"Weekly*")+SUMIFS('BSE - SENSEX Index Options'!$M:$M,'BSE - SENSEX Index Options'!$C:$C,$A254,'BSE - SENSEX Index Options'!$B:$B,G$147,'BSE - SENSEX Index Options'!$I:$I,"MDAW*")+SUMIFS('BSE - Other Index Options'!$M:$M,'BSE - Other Index Options'!$C:$C,$A254,'BSE - Other Index Options'!$B:$B,G$147,'BSE - Other Index Options'!$I:$I,"Weekly*")+SUMIFS('BSE - Other Index Options'!$M:$M,'BSE - Other Index Options'!$C:$C,$A254,'BSE - Other Index Options'!$B:$B,G$147,'BSE - Other Index Options'!$I:$I,"MDAW*")=0,"",SUMIFS('BSE - SENSEX Index Options'!$M:$M,'BSE - SENSEX Index Options'!$C:$C,$A254,'BSE - SENSEX Index Options'!$B:$B,G$147,'BSE - SENSEX Index Options'!$I:$I,"Weekly*")+SUMIFS('BSE - SENSEX Index Options'!$M:$M,'BSE - SENSEX Index Options'!$C:$C,$A254,'BSE - SENSEX Index Options'!$B:$B,G$147,'BSE - SENSEX Index Options'!$I:$I,"MDAW*")+SUMIFS('BSE - Other Index Options'!$M:$M,'BSE - Other Index Options'!$C:$C,$A254,'BSE - Other Index Options'!$B:$B,G$147,'BSE - Other Index Options'!$I:$I,"Weekly*")+SUMIFS('BSE - Other Index Options'!$M:$M,'BSE - Other Index Options'!$C:$C,$A254,'BSE - Other Index Options'!$B:$B,G$147,'BSE - Other Index Options'!$I:$I,"MDAW*"))</f>
        <v/>
      </c>
      <c r="H254" s="26">
        <f>IF(SUM(B254:G254)=0,"",SUM(B254:G254))</f>
        <v/>
      </c>
    </row>
    <row r="255" hidden="1" outlineLevel="1">
      <c r="A255" t="inlineStr">
        <is>
          <t>Week5-Jun-2027</t>
        </is>
      </c>
      <c r="B255" s="26">
        <f>IF(SUMIFS('BSE - SENSEX Index Options'!$M:$M,'BSE - SENSEX Index Options'!$C:$C,$A255,'BSE - SENSEX Index Options'!$B:$B,B$147,'BSE - SENSEX Index Options'!$I:$I,"Weekly*")+SUMIFS('BSE - SENSEX Index Options'!$M:$M,'BSE - SENSEX Index Options'!$C:$C,$A255,'BSE - SENSEX Index Options'!$B:$B,B$147,'BSE - SENSEX Index Options'!$I:$I,"MDAW*")+SUMIFS('BSE - Other Index Options'!$M:$M,'BSE - Other Index Options'!$C:$C,$A255,'BSE - Other Index Options'!$B:$B,B$147,'BSE - Other Index Options'!$I:$I,"Weekly*")+SUMIFS('BSE - Other Index Options'!$M:$M,'BSE - Other Index Options'!$C:$C,$A255,'BSE - Other Index Options'!$B:$B,B$147,'BSE - Other Index Options'!$I:$I,"MDAW*")=0,"",SUMIFS('BSE - SENSEX Index Options'!$M:$M,'BSE - SENSEX Index Options'!$C:$C,$A255,'BSE - SENSEX Index Options'!$B:$B,B$147,'BSE - SENSEX Index Options'!$I:$I,"Weekly*")+SUMIFS('BSE - SENSEX Index Options'!$M:$M,'BSE - SENSEX Index Options'!$C:$C,$A255,'BSE - SENSEX Index Options'!$B:$B,B$147,'BSE - SENSEX Index Options'!$I:$I,"MDAW*")+SUMIFS('BSE - Other Index Options'!$M:$M,'BSE - Other Index Options'!$C:$C,$A255,'BSE - Other Index Options'!$B:$B,B$147,'BSE - Other Index Options'!$I:$I,"Weekly*")+SUMIFS('BSE - Other Index Options'!$M:$M,'BSE - Other Index Options'!$C:$C,$A255,'BSE - Other Index Options'!$B:$B,B$147,'BSE - Other Index Options'!$I:$I,"MDAW*"))</f>
        <v/>
      </c>
      <c r="C255" s="26">
        <f>IF(SUMIFS('BSE - SENSEX Index Options'!$M:$M,'BSE - SENSEX Index Options'!$C:$C,$A255,'BSE - SENSEX Index Options'!$B:$B,C$147,'BSE - SENSEX Index Options'!$I:$I,"Weekly*")+SUMIFS('BSE - SENSEX Index Options'!$M:$M,'BSE - SENSEX Index Options'!$C:$C,$A255,'BSE - SENSEX Index Options'!$B:$B,C$147,'BSE - SENSEX Index Options'!$I:$I,"MDAW*")+SUMIFS('BSE - Other Index Options'!$M:$M,'BSE - Other Index Options'!$C:$C,$A255,'BSE - Other Index Options'!$B:$B,C$147,'BSE - Other Index Options'!$I:$I,"Weekly*")+SUMIFS('BSE - Other Index Options'!$M:$M,'BSE - Other Index Options'!$C:$C,$A255,'BSE - Other Index Options'!$B:$B,C$147,'BSE - Other Index Options'!$I:$I,"MDAW*")=0,"",SUMIFS('BSE - SENSEX Index Options'!$M:$M,'BSE - SENSEX Index Options'!$C:$C,$A255,'BSE - SENSEX Index Options'!$B:$B,C$147,'BSE - SENSEX Index Options'!$I:$I,"Weekly*")+SUMIFS('BSE - SENSEX Index Options'!$M:$M,'BSE - SENSEX Index Options'!$C:$C,$A255,'BSE - SENSEX Index Options'!$B:$B,C$147,'BSE - SENSEX Index Options'!$I:$I,"MDAW*")+SUMIFS('BSE - Other Index Options'!$M:$M,'BSE - Other Index Options'!$C:$C,$A255,'BSE - Other Index Options'!$B:$B,C$147,'BSE - Other Index Options'!$I:$I,"Weekly*")+SUMIFS('BSE - Other Index Options'!$M:$M,'BSE - Other Index Options'!$C:$C,$A255,'BSE - Other Index Options'!$B:$B,C$147,'BSE - Other Index Options'!$I:$I,"MDAW*"))</f>
        <v/>
      </c>
      <c r="D255" s="26">
        <f>IF(SUMIFS('BSE - SENSEX Index Options'!$M:$M,'BSE - SENSEX Index Options'!$C:$C,$A255,'BSE - SENSEX Index Options'!$B:$B,D$147,'BSE - SENSEX Index Options'!$I:$I,"Weekly*")+SUMIFS('BSE - SENSEX Index Options'!$M:$M,'BSE - SENSEX Index Options'!$C:$C,$A255,'BSE - SENSEX Index Options'!$B:$B,D$147,'BSE - SENSEX Index Options'!$I:$I,"MDAW*")+SUMIFS('BSE - Other Index Options'!$M:$M,'BSE - Other Index Options'!$C:$C,$A255,'BSE - Other Index Options'!$B:$B,D$147,'BSE - Other Index Options'!$I:$I,"Weekly*")+SUMIFS('BSE - Other Index Options'!$M:$M,'BSE - Other Index Options'!$C:$C,$A255,'BSE - Other Index Options'!$B:$B,D$147,'BSE - Other Index Options'!$I:$I,"MDAW*")=0,"",SUMIFS('BSE - SENSEX Index Options'!$M:$M,'BSE - SENSEX Index Options'!$C:$C,$A255,'BSE - SENSEX Index Options'!$B:$B,D$147,'BSE - SENSEX Index Options'!$I:$I,"Weekly*")+SUMIFS('BSE - SENSEX Index Options'!$M:$M,'BSE - SENSEX Index Options'!$C:$C,$A255,'BSE - SENSEX Index Options'!$B:$B,D$147,'BSE - SENSEX Index Options'!$I:$I,"MDAW*")+SUMIFS('BSE - Other Index Options'!$M:$M,'BSE - Other Index Options'!$C:$C,$A255,'BSE - Other Index Options'!$B:$B,D$147,'BSE - Other Index Options'!$I:$I,"Weekly*")+SUMIFS('BSE - Other Index Options'!$M:$M,'BSE - Other Index Options'!$C:$C,$A255,'BSE - Other Index Options'!$B:$B,D$147,'BSE - Other Index Options'!$I:$I,"MDAW*"))</f>
        <v/>
      </c>
      <c r="E255" s="26">
        <f>IF(SUMIFS('BSE - SENSEX Index Options'!$M:$M,'BSE - SENSEX Index Options'!$C:$C,$A255,'BSE - SENSEX Index Options'!$B:$B,E$147,'BSE - SENSEX Index Options'!$I:$I,"Weekly*")+SUMIFS('BSE - SENSEX Index Options'!$M:$M,'BSE - SENSEX Index Options'!$C:$C,$A255,'BSE - SENSEX Index Options'!$B:$B,E$147,'BSE - SENSEX Index Options'!$I:$I,"MDAW*")+SUMIFS('BSE - Other Index Options'!$M:$M,'BSE - Other Index Options'!$C:$C,$A255,'BSE - Other Index Options'!$B:$B,E$147,'BSE - Other Index Options'!$I:$I,"Weekly*")+SUMIFS('BSE - Other Index Options'!$M:$M,'BSE - Other Index Options'!$C:$C,$A255,'BSE - Other Index Options'!$B:$B,E$147,'BSE - Other Index Options'!$I:$I,"MDAW*")=0,"",SUMIFS('BSE - SENSEX Index Options'!$M:$M,'BSE - SENSEX Index Options'!$C:$C,$A255,'BSE - SENSEX Index Options'!$B:$B,E$147,'BSE - SENSEX Index Options'!$I:$I,"Weekly*")+SUMIFS('BSE - SENSEX Index Options'!$M:$M,'BSE - SENSEX Index Options'!$C:$C,$A255,'BSE - SENSEX Index Options'!$B:$B,E$147,'BSE - SENSEX Index Options'!$I:$I,"MDAW*")+SUMIFS('BSE - Other Index Options'!$M:$M,'BSE - Other Index Options'!$C:$C,$A255,'BSE - Other Index Options'!$B:$B,E$147,'BSE - Other Index Options'!$I:$I,"Weekly*")+SUMIFS('BSE - Other Index Options'!$M:$M,'BSE - Other Index Options'!$C:$C,$A255,'BSE - Other Index Options'!$B:$B,E$147,'BSE - Other Index Options'!$I:$I,"MDAW*"))</f>
        <v/>
      </c>
      <c r="F255" s="26">
        <f>IF(SUMIFS('BSE - SENSEX Index Options'!$M:$M,'BSE - SENSEX Index Options'!$C:$C,$A255,'BSE - SENSEX Index Options'!$B:$B,F$147,'BSE - SENSEX Index Options'!$I:$I,"Weekly*")+SUMIFS('BSE - SENSEX Index Options'!$M:$M,'BSE - SENSEX Index Options'!$C:$C,$A255,'BSE - SENSEX Index Options'!$B:$B,F$147,'BSE - SENSEX Index Options'!$I:$I,"MDAW*")+SUMIFS('BSE - Other Index Options'!$M:$M,'BSE - Other Index Options'!$C:$C,$A255,'BSE - Other Index Options'!$B:$B,F$147,'BSE - Other Index Options'!$I:$I,"Weekly*")+SUMIFS('BSE - Other Index Options'!$M:$M,'BSE - Other Index Options'!$C:$C,$A255,'BSE - Other Index Options'!$B:$B,F$147,'BSE - Other Index Options'!$I:$I,"MDAW*")=0,"",SUMIFS('BSE - SENSEX Index Options'!$M:$M,'BSE - SENSEX Index Options'!$C:$C,$A255,'BSE - SENSEX Index Options'!$B:$B,F$147,'BSE - SENSEX Index Options'!$I:$I,"Weekly*")+SUMIFS('BSE - SENSEX Index Options'!$M:$M,'BSE - SENSEX Index Options'!$C:$C,$A255,'BSE - SENSEX Index Options'!$B:$B,F$147,'BSE - SENSEX Index Options'!$I:$I,"MDAW*")+SUMIFS('BSE - Other Index Options'!$M:$M,'BSE - Other Index Options'!$C:$C,$A255,'BSE - Other Index Options'!$B:$B,F$147,'BSE - Other Index Options'!$I:$I,"Weekly*")+SUMIFS('BSE - Other Index Options'!$M:$M,'BSE - Other Index Options'!$C:$C,$A255,'BSE - Other Index Options'!$B:$B,F$147,'BSE - Other Index Options'!$I:$I,"MDAW*"))</f>
        <v/>
      </c>
      <c r="G255" s="26">
        <f>IF(SUMIFS('BSE - SENSEX Index Options'!$M:$M,'BSE - SENSEX Index Options'!$C:$C,$A255,'BSE - SENSEX Index Options'!$B:$B,G$147,'BSE - SENSEX Index Options'!$I:$I,"Weekly*")+SUMIFS('BSE - SENSEX Index Options'!$M:$M,'BSE - SENSEX Index Options'!$C:$C,$A255,'BSE - SENSEX Index Options'!$B:$B,G$147,'BSE - SENSEX Index Options'!$I:$I,"MDAW*")+SUMIFS('BSE - Other Index Options'!$M:$M,'BSE - Other Index Options'!$C:$C,$A255,'BSE - Other Index Options'!$B:$B,G$147,'BSE - Other Index Options'!$I:$I,"Weekly*")+SUMIFS('BSE - Other Index Options'!$M:$M,'BSE - Other Index Options'!$C:$C,$A255,'BSE - Other Index Options'!$B:$B,G$147,'BSE - Other Index Options'!$I:$I,"MDAW*")=0,"",SUMIFS('BSE - SENSEX Index Options'!$M:$M,'BSE - SENSEX Index Options'!$C:$C,$A255,'BSE - SENSEX Index Options'!$B:$B,G$147,'BSE - SENSEX Index Options'!$I:$I,"Weekly*")+SUMIFS('BSE - SENSEX Index Options'!$M:$M,'BSE - SENSEX Index Options'!$C:$C,$A255,'BSE - SENSEX Index Options'!$B:$B,G$147,'BSE - SENSEX Index Options'!$I:$I,"MDAW*")+SUMIFS('BSE - Other Index Options'!$M:$M,'BSE - Other Index Options'!$C:$C,$A255,'BSE - Other Index Options'!$B:$B,G$147,'BSE - Other Index Options'!$I:$I,"Weekly*")+SUMIFS('BSE - Other Index Options'!$M:$M,'BSE - Other Index Options'!$C:$C,$A255,'BSE - Other Index Options'!$B:$B,G$147,'BSE - Other Index Options'!$I:$I,"MDAW*"))</f>
        <v/>
      </c>
      <c r="H255" s="26">
        <f>IF(SUM(B255:G255)=0,"",SUM(B255:G255))</f>
        <v/>
      </c>
    </row>
    <row r="256" hidden="1" outlineLevel="1">
      <c r="A256" t="inlineStr">
        <is>
          <t>Week1-Jul-2027</t>
        </is>
      </c>
      <c r="B256" s="26">
        <f>IF(SUMIFS('BSE - SENSEX Index Options'!$M:$M,'BSE - SENSEX Index Options'!$C:$C,$A256,'BSE - SENSEX Index Options'!$B:$B,B$147,'BSE - SENSEX Index Options'!$I:$I,"Weekly*")+SUMIFS('BSE - SENSEX Index Options'!$M:$M,'BSE - SENSEX Index Options'!$C:$C,$A256,'BSE - SENSEX Index Options'!$B:$B,B$147,'BSE - SENSEX Index Options'!$I:$I,"MDAW*")+SUMIFS('BSE - Other Index Options'!$M:$M,'BSE - Other Index Options'!$C:$C,$A256,'BSE - Other Index Options'!$B:$B,B$147,'BSE - Other Index Options'!$I:$I,"Weekly*")+SUMIFS('BSE - Other Index Options'!$M:$M,'BSE - Other Index Options'!$C:$C,$A256,'BSE - Other Index Options'!$B:$B,B$147,'BSE - Other Index Options'!$I:$I,"MDAW*")=0,"",SUMIFS('BSE - SENSEX Index Options'!$M:$M,'BSE - SENSEX Index Options'!$C:$C,$A256,'BSE - SENSEX Index Options'!$B:$B,B$147,'BSE - SENSEX Index Options'!$I:$I,"Weekly*")+SUMIFS('BSE - SENSEX Index Options'!$M:$M,'BSE - SENSEX Index Options'!$C:$C,$A256,'BSE - SENSEX Index Options'!$B:$B,B$147,'BSE - SENSEX Index Options'!$I:$I,"MDAW*")+SUMIFS('BSE - Other Index Options'!$M:$M,'BSE - Other Index Options'!$C:$C,$A256,'BSE - Other Index Options'!$B:$B,B$147,'BSE - Other Index Options'!$I:$I,"Weekly*")+SUMIFS('BSE - Other Index Options'!$M:$M,'BSE - Other Index Options'!$C:$C,$A256,'BSE - Other Index Options'!$B:$B,B$147,'BSE - Other Index Options'!$I:$I,"MDAW*"))</f>
        <v/>
      </c>
      <c r="C256" s="26">
        <f>IF(SUMIFS('BSE - SENSEX Index Options'!$M:$M,'BSE - SENSEX Index Options'!$C:$C,$A256,'BSE - SENSEX Index Options'!$B:$B,C$147,'BSE - SENSEX Index Options'!$I:$I,"Weekly*")+SUMIFS('BSE - SENSEX Index Options'!$M:$M,'BSE - SENSEX Index Options'!$C:$C,$A256,'BSE - SENSEX Index Options'!$B:$B,C$147,'BSE - SENSEX Index Options'!$I:$I,"MDAW*")+SUMIFS('BSE - Other Index Options'!$M:$M,'BSE - Other Index Options'!$C:$C,$A256,'BSE - Other Index Options'!$B:$B,C$147,'BSE - Other Index Options'!$I:$I,"Weekly*")+SUMIFS('BSE - Other Index Options'!$M:$M,'BSE - Other Index Options'!$C:$C,$A256,'BSE - Other Index Options'!$B:$B,C$147,'BSE - Other Index Options'!$I:$I,"MDAW*")=0,"",SUMIFS('BSE - SENSEX Index Options'!$M:$M,'BSE - SENSEX Index Options'!$C:$C,$A256,'BSE - SENSEX Index Options'!$B:$B,C$147,'BSE - SENSEX Index Options'!$I:$I,"Weekly*")+SUMIFS('BSE - SENSEX Index Options'!$M:$M,'BSE - SENSEX Index Options'!$C:$C,$A256,'BSE - SENSEX Index Options'!$B:$B,C$147,'BSE - SENSEX Index Options'!$I:$I,"MDAW*")+SUMIFS('BSE - Other Index Options'!$M:$M,'BSE - Other Index Options'!$C:$C,$A256,'BSE - Other Index Options'!$B:$B,C$147,'BSE - Other Index Options'!$I:$I,"Weekly*")+SUMIFS('BSE - Other Index Options'!$M:$M,'BSE - Other Index Options'!$C:$C,$A256,'BSE - Other Index Options'!$B:$B,C$147,'BSE - Other Index Options'!$I:$I,"MDAW*"))</f>
        <v/>
      </c>
      <c r="D256" s="26">
        <f>IF(SUMIFS('BSE - SENSEX Index Options'!$M:$M,'BSE - SENSEX Index Options'!$C:$C,$A256,'BSE - SENSEX Index Options'!$B:$B,D$147,'BSE - SENSEX Index Options'!$I:$I,"Weekly*")+SUMIFS('BSE - SENSEX Index Options'!$M:$M,'BSE - SENSEX Index Options'!$C:$C,$A256,'BSE - SENSEX Index Options'!$B:$B,D$147,'BSE - SENSEX Index Options'!$I:$I,"MDAW*")+SUMIFS('BSE - Other Index Options'!$M:$M,'BSE - Other Index Options'!$C:$C,$A256,'BSE - Other Index Options'!$B:$B,D$147,'BSE - Other Index Options'!$I:$I,"Weekly*")+SUMIFS('BSE - Other Index Options'!$M:$M,'BSE - Other Index Options'!$C:$C,$A256,'BSE - Other Index Options'!$B:$B,D$147,'BSE - Other Index Options'!$I:$I,"MDAW*")=0,"",SUMIFS('BSE - SENSEX Index Options'!$M:$M,'BSE - SENSEX Index Options'!$C:$C,$A256,'BSE - SENSEX Index Options'!$B:$B,D$147,'BSE - SENSEX Index Options'!$I:$I,"Weekly*")+SUMIFS('BSE - SENSEX Index Options'!$M:$M,'BSE - SENSEX Index Options'!$C:$C,$A256,'BSE - SENSEX Index Options'!$B:$B,D$147,'BSE - SENSEX Index Options'!$I:$I,"MDAW*")+SUMIFS('BSE - Other Index Options'!$M:$M,'BSE - Other Index Options'!$C:$C,$A256,'BSE - Other Index Options'!$B:$B,D$147,'BSE - Other Index Options'!$I:$I,"Weekly*")+SUMIFS('BSE - Other Index Options'!$M:$M,'BSE - Other Index Options'!$C:$C,$A256,'BSE - Other Index Options'!$B:$B,D$147,'BSE - Other Index Options'!$I:$I,"MDAW*"))</f>
        <v/>
      </c>
      <c r="E256" s="26">
        <f>IF(SUMIFS('BSE - SENSEX Index Options'!$M:$M,'BSE - SENSEX Index Options'!$C:$C,$A256,'BSE - SENSEX Index Options'!$B:$B,E$147,'BSE - SENSEX Index Options'!$I:$I,"Weekly*")+SUMIFS('BSE - SENSEX Index Options'!$M:$M,'BSE - SENSEX Index Options'!$C:$C,$A256,'BSE - SENSEX Index Options'!$B:$B,E$147,'BSE - SENSEX Index Options'!$I:$I,"MDAW*")+SUMIFS('BSE - Other Index Options'!$M:$M,'BSE - Other Index Options'!$C:$C,$A256,'BSE - Other Index Options'!$B:$B,E$147,'BSE - Other Index Options'!$I:$I,"Weekly*")+SUMIFS('BSE - Other Index Options'!$M:$M,'BSE - Other Index Options'!$C:$C,$A256,'BSE - Other Index Options'!$B:$B,E$147,'BSE - Other Index Options'!$I:$I,"MDAW*")=0,"",SUMIFS('BSE - SENSEX Index Options'!$M:$M,'BSE - SENSEX Index Options'!$C:$C,$A256,'BSE - SENSEX Index Options'!$B:$B,E$147,'BSE - SENSEX Index Options'!$I:$I,"Weekly*")+SUMIFS('BSE - SENSEX Index Options'!$M:$M,'BSE - SENSEX Index Options'!$C:$C,$A256,'BSE - SENSEX Index Options'!$B:$B,E$147,'BSE - SENSEX Index Options'!$I:$I,"MDAW*")+SUMIFS('BSE - Other Index Options'!$M:$M,'BSE - Other Index Options'!$C:$C,$A256,'BSE - Other Index Options'!$B:$B,E$147,'BSE - Other Index Options'!$I:$I,"Weekly*")+SUMIFS('BSE - Other Index Options'!$M:$M,'BSE - Other Index Options'!$C:$C,$A256,'BSE - Other Index Options'!$B:$B,E$147,'BSE - Other Index Options'!$I:$I,"MDAW*"))</f>
        <v/>
      </c>
      <c r="F256" s="26">
        <f>IF(SUMIFS('BSE - SENSEX Index Options'!$M:$M,'BSE - SENSEX Index Options'!$C:$C,$A256,'BSE - SENSEX Index Options'!$B:$B,F$147,'BSE - SENSEX Index Options'!$I:$I,"Weekly*")+SUMIFS('BSE - SENSEX Index Options'!$M:$M,'BSE - SENSEX Index Options'!$C:$C,$A256,'BSE - SENSEX Index Options'!$B:$B,F$147,'BSE - SENSEX Index Options'!$I:$I,"MDAW*")+SUMIFS('BSE - Other Index Options'!$M:$M,'BSE - Other Index Options'!$C:$C,$A256,'BSE - Other Index Options'!$B:$B,F$147,'BSE - Other Index Options'!$I:$I,"Weekly*")+SUMIFS('BSE - Other Index Options'!$M:$M,'BSE - Other Index Options'!$C:$C,$A256,'BSE - Other Index Options'!$B:$B,F$147,'BSE - Other Index Options'!$I:$I,"MDAW*")=0,"",SUMIFS('BSE - SENSEX Index Options'!$M:$M,'BSE - SENSEX Index Options'!$C:$C,$A256,'BSE - SENSEX Index Options'!$B:$B,F$147,'BSE - SENSEX Index Options'!$I:$I,"Weekly*")+SUMIFS('BSE - SENSEX Index Options'!$M:$M,'BSE - SENSEX Index Options'!$C:$C,$A256,'BSE - SENSEX Index Options'!$B:$B,F$147,'BSE - SENSEX Index Options'!$I:$I,"MDAW*")+SUMIFS('BSE - Other Index Options'!$M:$M,'BSE - Other Index Options'!$C:$C,$A256,'BSE - Other Index Options'!$B:$B,F$147,'BSE - Other Index Options'!$I:$I,"Weekly*")+SUMIFS('BSE - Other Index Options'!$M:$M,'BSE - Other Index Options'!$C:$C,$A256,'BSE - Other Index Options'!$B:$B,F$147,'BSE - Other Index Options'!$I:$I,"MDAW*"))</f>
        <v/>
      </c>
      <c r="G256" s="26">
        <f>IF(SUMIFS('BSE - SENSEX Index Options'!$M:$M,'BSE - SENSEX Index Options'!$C:$C,$A256,'BSE - SENSEX Index Options'!$B:$B,G$147,'BSE - SENSEX Index Options'!$I:$I,"Weekly*")+SUMIFS('BSE - SENSEX Index Options'!$M:$M,'BSE - SENSEX Index Options'!$C:$C,$A256,'BSE - SENSEX Index Options'!$B:$B,G$147,'BSE - SENSEX Index Options'!$I:$I,"MDAW*")+SUMIFS('BSE - Other Index Options'!$M:$M,'BSE - Other Index Options'!$C:$C,$A256,'BSE - Other Index Options'!$B:$B,G$147,'BSE - Other Index Options'!$I:$I,"Weekly*")+SUMIFS('BSE - Other Index Options'!$M:$M,'BSE - Other Index Options'!$C:$C,$A256,'BSE - Other Index Options'!$B:$B,G$147,'BSE - Other Index Options'!$I:$I,"MDAW*")=0,"",SUMIFS('BSE - SENSEX Index Options'!$M:$M,'BSE - SENSEX Index Options'!$C:$C,$A256,'BSE - SENSEX Index Options'!$B:$B,G$147,'BSE - SENSEX Index Options'!$I:$I,"Weekly*")+SUMIFS('BSE - SENSEX Index Options'!$M:$M,'BSE - SENSEX Index Options'!$C:$C,$A256,'BSE - SENSEX Index Options'!$B:$B,G$147,'BSE - SENSEX Index Options'!$I:$I,"MDAW*")+SUMIFS('BSE - Other Index Options'!$M:$M,'BSE - Other Index Options'!$C:$C,$A256,'BSE - Other Index Options'!$B:$B,G$147,'BSE - Other Index Options'!$I:$I,"Weekly*")+SUMIFS('BSE - Other Index Options'!$M:$M,'BSE - Other Index Options'!$C:$C,$A256,'BSE - Other Index Options'!$B:$B,G$147,'BSE - Other Index Options'!$I:$I,"MDAW*"))</f>
        <v/>
      </c>
      <c r="H256" s="26">
        <f>IF(SUM(B256:G256)=0,"",SUM(B256:G256))</f>
        <v/>
      </c>
    </row>
    <row r="257" hidden="1" outlineLevel="1">
      <c r="A257" t="inlineStr">
        <is>
          <t>Week2-Jul-2027</t>
        </is>
      </c>
      <c r="B257" s="26">
        <f>IF(SUMIFS('BSE - SENSEX Index Options'!$M:$M,'BSE - SENSEX Index Options'!$C:$C,$A257,'BSE - SENSEX Index Options'!$B:$B,B$147,'BSE - SENSEX Index Options'!$I:$I,"Weekly*")+SUMIFS('BSE - SENSEX Index Options'!$M:$M,'BSE - SENSEX Index Options'!$C:$C,$A257,'BSE - SENSEX Index Options'!$B:$B,B$147,'BSE - SENSEX Index Options'!$I:$I,"MDAW*")+SUMIFS('BSE - Other Index Options'!$M:$M,'BSE - Other Index Options'!$C:$C,$A257,'BSE - Other Index Options'!$B:$B,B$147,'BSE - Other Index Options'!$I:$I,"Weekly*")+SUMIFS('BSE - Other Index Options'!$M:$M,'BSE - Other Index Options'!$C:$C,$A257,'BSE - Other Index Options'!$B:$B,B$147,'BSE - Other Index Options'!$I:$I,"MDAW*")=0,"",SUMIFS('BSE - SENSEX Index Options'!$M:$M,'BSE - SENSEX Index Options'!$C:$C,$A257,'BSE - SENSEX Index Options'!$B:$B,B$147,'BSE - SENSEX Index Options'!$I:$I,"Weekly*")+SUMIFS('BSE - SENSEX Index Options'!$M:$M,'BSE - SENSEX Index Options'!$C:$C,$A257,'BSE - SENSEX Index Options'!$B:$B,B$147,'BSE - SENSEX Index Options'!$I:$I,"MDAW*")+SUMIFS('BSE - Other Index Options'!$M:$M,'BSE - Other Index Options'!$C:$C,$A257,'BSE - Other Index Options'!$B:$B,B$147,'BSE - Other Index Options'!$I:$I,"Weekly*")+SUMIFS('BSE - Other Index Options'!$M:$M,'BSE - Other Index Options'!$C:$C,$A257,'BSE - Other Index Options'!$B:$B,B$147,'BSE - Other Index Options'!$I:$I,"MDAW*"))</f>
        <v/>
      </c>
      <c r="C257" s="26">
        <f>IF(SUMIFS('BSE - SENSEX Index Options'!$M:$M,'BSE - SENSEX Index Options'!$C:$C,$A257,'BSE - SENSEX Index Options'!$B:$B,C$147,'BSE - SENSEX Index Options'!$I:$I,"Weekly*")+SUMIFS('BSE - SENSEX Index Options'!$M:$M,'BSE - SENSEX Index Options'!$C:$C,$A257,'BSE - SENSEX Index Options'!$B:$B,C$147,'BSE - SENSEX Index Options'!$I:$I,"MDAW*")+SUMIFS('BSE - Other Index Options'!$M:$M,'BSE - Other Index Options'!$C:$C,$A257,'BSE - Other Index Options'!$B:$B,C$147,'BSE - Other Index Options'!$I:$I,"Weekly*")+SUMIFS('BSE - Other Index Options'!$M:$M,'BSE - Other Index Options'!$C:$C,$A257,'BSE - Other Index Options'!$B:$B,C$147,'BSE - Other Index Options'!$I:$I,"MDAW*")=0,"",SUMIFS('BSE - SENSEX Index Options'!$M:$M,'BSE - SENSEX Index Options'!$C:$C,$A257,'BSE - SENSEX Index Options'!$B:$B,C$147,'BSE - SENSEX Index Options'!$I:$I,"Weekly*")+SUMIFS('BSE - SENSEX Index Options'!$M:$M,'BSE - SENSEX Index Options'!$C:$C,$A257,'BSE - SENSEX Index Options'!$B:$B,C$147,'BSE - SENSEX Index Options'!$I:$I,"MDAW*")+SUMIFS('BSE - Other Index Options'!$M:$M,'BSE - Other Index Options'!$C:$C,$A257,'BSE - Other Index Options'!$B:$B,C$147,'BSE - Other Index Options'!$I:$I,"Weekly*")+SUMIFS('BSE - Other Index Options'!$M:$M,'BSE - Other Index Options'!$C:$C,$A257,'BSE - Other Index Options'!$B:$B,C$147,'BSE - Other Index Options'!$I:$I,"MDAW*"))</f>
        <v/>
      </c>
      <c r="D257" s="26">
        <f>IF(SUMIFS('BSE - SENSEX Index Options'!$M:$M,'BSE - SENSEX Index Options'!$C:$C,$A257,'BSE - SENSEX Index Options'!$B:$B,D$147,'BSE - SENSEX Index Options'!$I:$I,"Weekly*")+SUMIFS('BSE - SENSEX Index Options'!$M:$M,'BSE - SENSEX Index Options'!$C:$C,$A257,'BSE - SENSEX Index Options'!$B:$B,D$147,'BSE - SENSEX Index Options'!$I:$I,"MDAW*")+SUMIFS('BSE - Other Index Options'!$M:$M,'BSE - Other Index Options'!$C:$C,$A257,'BSE - Other Index Options'!$B:$B,D$147,'BSE - Other Index Options'!$I:$I,"Weekly*")+SUMIFS('BSE - Other Index Options'!$M:$M,'BSE - Other Index Options'!$C:$C,$A257,'BSE - Other Index Options'!$B:$B,D$147,'BSE - Other Index Options'!$I:$I,"MDAW*")=0,"",SUMIFS('BSE - SENSEX Index Options'!$M:$M,'BSE - SENSEX Index Options'!$C:$C,$A257,'BSE - SENSEX Index Options'!$B:$B,D$147,'BSE - SENSEX Index Options'!$I:$I,"Weekly*")+SUMIFS('BSE - SENSEX Index Options'!$M:$M,'BSE - SENSEX Index Options'!$C:$C,$A257,'BSE - SENSEX Index Options'!$B:$B,D$147,'BSE - SENSEX Index Options'!$I:$I,"MDAW*")+SUMIFS('BSE - Other Index Options'!$M:$M,'BSE - Other Index Options'!$C:$C,$A257,'BSE - Other Index Options'!$B:$B,D$147,'BSE - Other Index Options'!$I:$I,"Weekly*")+SUMIFS('BSE - Other Index Options'!$M:$M,'BSE - Other Index Options'!$C:$C,$A257,'BSE - Other Index Options'!$B:$B,D$147,'BSE - Other Index Options'!$I:$I,"MDAW*"))</f>
        <v/>
      </c>
      <c r="E257" s="26">
        <f>IF(SUMIFS('BSE - SENSEX Index Options'!$M:$M,'BSE - SENSEX Index Options'!$C:$C,$A257,'BSE - SENSEX Index Options'!$B:$B,E$147,'BSE - SENSEX Index Options'!$I:$I,"Weekly*")+SUMIFS('BSE - SENSEX Index Options'!$M:$M,'BSE - SENSEX Index Options'!$C:$C,$A257,'BSE - SENSEX Index Options'!$B:$B,E$147,'BSE - SENSEX Index Options'!$I:$I,"MDAW*")+SUMIFS('BSE - Other Index Options'!$M:$M,'BSE - Other Index Options'!$C:$C,$A257,'BSE - Other Index Options'!$B:$B,E$147,'BSE - Other Index Options'!$I:$I,"Weekly*")+SUMIFS('BSE - Other Index Options'!$M:$M,'BSE - Other Index Options'!$C:$C,$A257,'BSE - Other Index Options'!$B:$B,E$147,'BSE - Other Index Options'!$I:$I,"MDAW*")=0,"",SUMIFS('BSE - SENSEX Index Options'!$M:$M,'BSE - SENSEX Index Options'!$C:$C,$A257,'BSE - SENSEX Index Options'!$B:$B,E$147,'BSE - SENSEX Index Options'!$I:$I,"Weekly*")+SUMIFS('BSE - SENSEX Index Options'!$M:$M,'BSE - SENSEX Index Options'!$C:$C,$A257,'BSE - SENSEX Index Options'!$B:$B,E$147,'BSE - SENSEX Index Options'!$I:$I,"MDAW*")+SUMIFS('BSE - Other Index Options'!$M:$M,'BSE - Other Index Options'!$C:$C,$A257,'BSE - Other Index Options'!$B:$B,E$147,'BSE - Other Index Options'!$I:$I,"Weekly*")+SUMIFS('BSE - Other Index Options'!$M:$M,'BSE - Other Index Options'!$C:$C,$A257,'BSE - Other Index Options'!$B:$B,E$147,'BSE - Other Index Options'!$I:$I,"MDAW*"))</f>
        <v/>
      </c>
      <c r="F257" s="26">
        <f>IF(SUMIFS('BSE - SENSEX Index Options'!$M:$M,'BSE - SENSEX Index Options'!$C:$C,$A257,'BSE - SENSEX Index Options'!$B:$B,F$147,'BSE - SENSEX Index Options'!$I:$I,"Weekly*")+SUMIFS('BSE - SENSEX Index Options'!$M:$M,'BSE - SENSEX Index Options'!$C:$C,$A257,'BSE - SENSEX Index Options'!$B:$B,F$147,'BSE - SENSEX Index Options'!$I:$I,"MDAW*")+SUMIFS('BSE - Other Index Options'!$M:$M,'BSE - Other Index Options'!$C:$C,$A257,'BSE - Other Index Options'!$B:$B,F$147,'BSE - Other Index Options'!$I:$I,"Weekly*")+SUMIFS('BSE - Other Index Options'!$M:$M,'BSE - Other Index Options'!$C:$C,$A257,'BSE - Other Index Options'!$B:$B,F$147,'BSE - Other Index Options'!$I:$I,"MDAW*")=0,"",SUMIFS('BSE - SENSEX Index Options'!$M:$M,'BSE - SENSEX Index Options'!$C:$C,$A257,'BSE - SENSEX Index Options'!$B:$B,F$147,'BSE - SENSEX Index Options'!$I:$I,"Weekly*")+SUMIFS('BSE - SENSEX Index Options'!$M:$M,'BSE - SENSEX Index Options'!$C:$C,$A257,'BSE - SENSEX Index Options'!$B:$B,F$147,'BSE - SENSEX Index Options'!$I:$I,"MDAW*")+SUMIFS('BSE - Other Index Options'!$M:$M,'BSE - Other Index Options'!$C:$C,$A257,'BSE - Other Index Options'!$B:$B,F$147,'BSE - Other Index Options'!$I:$I,"Weekly*")+SUMIFS('BSE - Other Index Options'!$M:$M,'BSE - Other Index Options'!$C:$C,$A257,'BSE - Other Index Options'!$B:$B,F$147,'BSE - Other Index Options'!$I:$I,"MDAW*"))</f>
        <v/>
      </c>
      <c r="G257" s="26">
        <f>IF(SUMIFS('BSE - SENSEX Index Options'!$M:$M,'BSE - SENSEX Index Options'!$C:$C,$A257,'BSE - SENSEX Index Options'!$B:$B,G$147,'BSE - SENSEX Index Options'!$I:$I,"Weekly*")+SUMIFS('BSE - SENSEX Index Options'!$M:$M,'BSE - SENSEX Index Options'!$C:$C,$A257,'BSE - SENSEX Index Options'!$B:$B,G$147,'BSE - SENSEX Index Options'!$I:$I,"MDAW*")+SUMIFS('BSE - Other Index Options'!$M:$M,'BSE - Other Index Options'!$C:$C,$A257,'BSE - Other Index Options'!$B:$B,G$147,'BSE - Other Index Options'!$I:$I,"Weekly*")+SUMIFS('BSE - Other Index Options'!$M:$M,'BSE - Other Index Options'!$C:$C,$A257,'BSE - Other Index Options'!$B:$B,G$147,'BSE - Other Index Options'!$I:$I,"MDAW*")=0,"",SUMIFS('BSE - SENSEX Index Options'!$M:$M,'BSE - SENSEX Index Options'!$C:$C,$A257,'BSE - SENSEX Index Options'!$B:$B,G$147,'BSE - SENSEX Index Options'!$I:$I,"Weekly*")+SUMIFS('BSE - SENSEX Index Options'!$M:$M,'BSE - SENSEX Index Options'!$C:$C,$A257,'BSE - SENSEX Index Options'!$B:$B,G$147,'BSE - SENSEX Index Options'!$I:$I,"MDAW*")+SUMIFS('BSE - Other Index Options'!$M:$M,'BSE - Other Index Options'!$C:$C,$A257,'BSE - Other Index Options'!$B:$B,G$147,'BSE - Other Index Options'!$I:$I,"Weekly*")+SUMIFS('BSE - Other Index Options'!$M:$M,'BSE - Other Index Options'!$C:$C,$A257,'BSE - Other Index Options'!$B:$B,G$147,'BSE - Other Index Options'!$I:$I,"MDAW*"))</f>
        <v/>
      </c>
      <c r="H257" s="26">
        <f>IF(SUM(B257:G257)=0,"",SUM(B257:G257))</f>
        <v/>
      </c>
    </row>
    <row r="258" hidden="1" outlineLevel="1">
      <c r="A258" t="inlineStr">
        <is>
          <t>Week3-Jul-2027</t>
        </is>
      </c>
      <c r="B258" s="26">
        <f>IF(SUMIFS('BSE - SENSEX Index Options'!$M:$M,'BSE - SENSEX Index Options'!$C:$C,$A258,'BSE - SENSEX Index Options'!$B:$B,B$147,'BSE - SENSEX Index Options'!$I:$I,"Weekly*")+SUMIFS('BSE - SENSEX Index Options'!$M:$M,'BSE - SENSEX Index Options'!$C:$C,$A258,'BSE - SENSEX Index Options'!$B:$B,B$147,'BSE - SENSEX Index Options'!$I:$I,"MDAW*")+SUMIFS('BSE - Other Index Options'!$M:$M,'BSE - Other Index Options'!$C:$C,$A258,'BSE - Other Index Options'!$B:$B,B$147,'BSE - Other Index Options'!$I:$I,"Weekly*")+SUMIFS('BSE - Other Index Options'!$M:$M,'BSE - Other Index Options'!$C:$C,$A258,'BSE - Other Index Options'!$B:$B,B$147,'BSE - Other Index Options'!$I:$I,"MDAW*")=0,"",SUMIFS('BSE - SENSEX Index Options'!$M:$M,'BSE - SENSEX Index Options'!$C:$C,$A258,'BSE - SENSEX Index Options'!$B:$B,B$147,'BSE - SENSEX Index Options'!$I:$I,"Weekly*")+SUMIFS('BSE - SENSEX Index Options'!$M:$M,'BSE - SENSEX Index Options'!$C:$C,$A258,'BSE - SENSEX Index Options'!$B:$B,B$147,'BSE - SENSEX Index Options'!$I:$I,"MDAW*")+SUMIFS('BSE - Other Index Options'!$M:$M,'BSE - Other Index Options'!$C:$C,$A258,'BSE - Other Index Options'!$B:$B,B$147,'BSE - Other Index Options'!$I:$I,"Weekly*")+SUMIFS('BSE - Other Index Options'!$M:$M,'BSE - Other Index Options'!$C:$C,$A258,'BSE - Other Index Options'!$B:$B,B$147,'BSE - Other Index Options'!$I:$I,"MDAW*"))</f>
        <v/>
      </c>
      <c r="C258" s="26">
        <f>IF(SUMIFS('BSE - SENSEX Index Options'!$M:$M,'BSE - SENSEX Index Options'!$C:$C,$A258,'BSE - SENSEX Index Options'!$B:$B,C$147,'BSE - SENSEX Index Options'!$I:$I,"Weekly*")+SUMIFS('BSE - SENSEX Index Options'!$M:$M,'BSE - SENSEX Index Options'!$C:$C,$A258,'BSE - SENSEX Index Options'!$B:$B,C$147,'BSE - SENSEX Index Options'!$I:$I,"MDAW*")+SUMIFS('BSE - Other Index Options'!$M:$M,'BSE - Other Index Options'!$C:$C,$A258,'BSE - Other Index Options'!$B:$B,C$147,'BSE - Other Index Options'!$I:$I,"Weekly*")+SUMIFS('BSE - Other Index Options'!$M:$M,'BSE - Other Index Options'!$C:$C,$A258,'BSE - Other Index Options'!$B:$B,C$147,'BSE - Other Index Options'!$I:$I,"MDAW*")=0,"",SUMIFS('BSE - SENSEX Index Options'!$M:$M,'BSE - SENSEX Index Options'!$C:$C,$A258,'BSE - SENSEX Index Options'!$B:$B,C$147,'BSE - SENSEX Index Options'!$I:$I,"Weekly*")+SUMIFS('BSE - SENSEX Index Options'!$M:$M,'BSE - SENSEX Index Options'!$C:$C,$A258,'BSE - SENSEX Index Options'!$B:$B,C$147,'BSE - SENSEX Index Options'!$I:$I,"MDAW*")+SUMIFS('BSE - Other Index Options'!$M:$M,'BSE - Other Index Options'!$C:$C,$A258,'BSE - Other Index Options'!$B:$B,C$147,'BSE - Other Index Options'!$I:$I,"Weekly*")+SUMIFS('BSE - Other Index Options'!$M:$M,'BSE - Other Index Options'!$C:$C,$A258,'BSE - Other Index Options'!$B:$B,C$147,'BSE - Other Index Options'!$I:$I,"MDAW*"))</f>
        <v/>
      </c>
      <c r="D258" s="26">
        <f>IF(SUMIFS('BSE - SENSEX Index Options'!$M:$M,'BSE - SENSEX Index Options'!$C:$C,$A258,'BSE - SENSEX Index Options'!$B:$B,D$147,'BSE - SENSEX Index Options'!$I:$I,"Weekly*")+SUMIFS('BSE - SENSEX Index Options'!$M:$M,'BSE - SENSEX Index Options'!$C:$C,$A258,'BSE - SENSEX Index Options'!$B:$B,D$147,'BSE - SENSEX Index Options'!$I:$I,"MDAW*")+SUMIFS('BSE - Other Index Options'!$M:$M,'BSE - Other Index Options'!$C:$C,$A258,'BSE - Other Index Options'!$B:$B,D$147,'BSE - Other Index Options'!$I:$I,"Weekly*")+SUMIFS('BSE - Other Index Options'!$M:$M,'BSE - Other Index Options'!$C:$C,$A258,'BSE - Other Index Options'!$B:$B,D$147,'BSE - Other Index Options'!$I:$I,"MDAW*")=0,"",SUMIFS('BSE - SENSEX Index Options'!$M:$M,'BSE - SENSEX Index Options'!$C:$C,$A258,'BSE - SENSEX Index Options'!$B:$B,D$147,'BSE - SENSEX Index Options'!$I:$I,"Weekly*")+SUMIFS('BSE - SENSEX Index Options'!$M:$M,'BSE - SENSEX Index Options'!$C:$C,$A258,'BSE - SENSEX Index Options'!$B:$B,D$147,'BSE - SENSEX Index Options'!$I:$I,"MDAW*")+SUMIFS('BSE - Other Index Options'!$M:$M,'BSE - Other Index Options'!$C:$C,$A258,'BSE - Other Index Options'!$B:$B,D$147,'BSE - Other Index Options'!$I:$I,"Weekly*")+SUMIFS('BSE - Other Index Options'!$M:$M,'BSE - Other Index Options'!$C:$C,$A258,'BSE - Other Index Options'!$B:$B,D$147,'BSE - Other Index Options'!$I:$I,"MDAW*"))</f>
        <v/>
      </c>
      <c r="E258" s="26">
        <f>IF(SUMIFS('BSE - SENSEX Index Options'!$M:$M,'BSE - SENSEX Index Options'!$C:$C,$A258,'BSE - SENSEX Index Options'!$B:$B,E$147,'BSE - SENSEX Index Options'!$I:$I,"Weekly*")+SUMIFS('BSE - SENSEX Index Options'!$M:$M,'BSE - SENSEX Index Options'!$C:$C,$A258,'BSE - SENSEX Index Options'!$B:$B,E$147,'BSE - SENSEX Index Options'!$I:$I,"MDAW*")+SUMIFS('BSE - Other Index Options'!$M:$M,'BSE - Other Index Options'!$C:$C,$A258,'BSE - Other Index Options'!$B:$B,E$147,'BSE - Other Index Options'!$I:$I,"Weekly*")+SUMIFS('BSE - Other Index Options'!$M:$M,'BSE - Other Index Options'!$C:$C,$A258,'BSE - Other Index Options'!$B:$B,E$147,'BSE - Other Index Options'!$I:$I,"MDAW*")=0,"",SUMIFS('BSE - SENSEX Index Options'!$M:$M,'BSE - SENSEX Index Options'!$C:$C,$A258,'BSE - SENSEX Index Options'!$B:$B,E$147,'BSE - SENSEX Index Options'!$I:$I,"Weekly*")+SUMIFS('BSE - SENSEX Index Options'!$M:$M,'BSE - SENSEX Index Options'!$C:$C,$A258,'BSE - SENSEX Index Options'!$B:$B,E$147,'BSE - SENSEX Index Options'!$I:$I,"MDAW*")+SUMIFS('BSE - Other Index Options'!$M:$M,'BSE - Other Index Options'!$C:$C,$A258,'BSE - Other Index Options'!$B:$B,E$147,'BSE - Other Index Options'!$I:$I,"Weekly*")+SUMIFS('BSE - Other Index Options'!$M:$M,'BSE - Other Index Options'!$C:$C,$A258,'BSE - Other Index Options'!$B:$B,E$147,'BSE - Other Index Options'!$I:$I,"MDAW*"))</f>
        <v/>
      </c>
      <c r="F258" s="26">
        <f>IF(SUMIFS('BSE - SENSEX Index Options'!$M:$M,'BSE - SENSEX Index Options'!$C:$C,$A258,'BSE - SENSEX Index Options'!$B:$B,F$147,'BSE - SENSEX Index Options'!$I:$I,"Weekly*")+SUMIFS('BSE - SENSEX Index Options'!$M:$M,'BSE - SENSEX Index Options'!$C:$C,$A258,'BSE - SENSEX Index Options'!$B:$B,F$147,'BSE - SENSEX Index Options'!$I:$I,"MDAW*")+SUMIFS('BSE - Other Index Options'!$M:$M,'BSE - Other Index Options'!$C:$C,$A258,'BSE - Other Index Options'!$B:$B,F$147,'BSE - Other Index Options'!$I:$I,"Weekly*")+SUMIFS('BSE - Other Index Options'!$M:$M,'BSE - Other Index Options'!$C:$C,$A258,'BSE - Other Index Options'!$B:$B,F$147,'BSE - Other Index Options'!$I:$I,"MDAW*")=0,"",SUMIFS('BSE - SENSEX Index Options'!$M:$M,'BSE - SENSEX Index Options'!$C:$C,$A258,'BSE - SENSEX Index Options'!$B:$B,F$147,'BSE - SENSEX Index Options'!$I:$I,"Weekly*")+SUMIFS('BSE - SENSEX Index Options'!$M:$M,'BSE - SENSEX Index Options'!$C:$C,$A258,'BSE - SENSEX Index Options'!$B:$B,F$147,'BSE - SENSEX Index Options'!$I:$I,"MDAW*")+SUMIFS('BSE - Other Index Options'!$M:$M,'BSE - Other Index Options'!$C:$C,$A258,'BSE - Other Index Options'!$B:$B,F$147,'BSE - Other Index Options'!$I:$I,"Weekly*")+SUMIFS('BSE - Other Index Options'!$M:$M,'BSE - Other Index Options'!$C:$C,$A258,'BSE - Other Index Options'!$B:$B,F$147,'BSE - Other Index Options'!$I:$I,"MDAW*"))</f>
        <v/>
      </c>
      <c r="G258" s="26">
        <f>IF(SUMIFS('BSE - SENSEX Index Options'!$M:$M,'BSE - SENSEX Index Options'!$C:$C,$A258,'BSE - SENSEX Index Options'!$B:$B,G$147,'BSE - SENSEX Index Options'!$I:$I,"Weekly*")+SUMIFS('BSE - SENSEX Index Options'!$M:$M,'BSE - SENSEX Index Options'!$C:$C,$A258,'BSE - SENSEX Index Options'!$B:$B,G$147,'BSE - SENSEX Index Options'!$I:$I,"MDAW*")+SUMIFS('BSE - Other Index Options'!$M:$M,'BSE - Other Index Options'!$C:$C,$A258,'BSE - Other Index Options'!$B:$B,G$147,'BSE - Other Index Options'!$I:$I,"Weekly*")+SUMIFS('BSE - Other Index Options'!$M:$M,'BSE - Other Index Options'!$C:$C,$A258,'BSE - Other Index Options'!$B:$B,G$147,'BSE - Other Index Options'!$I:$I,"MDAW*")=0,"",SUMIFS('BSE - SENSEX Index Options'!$M:$M,'BSE - SENSEX Index Options'!$C:$C,$A258,'BSE - SENSEX Index Options'!$B:$B,G$147,'BSE - SENSEX Index Options'!$I:$I,"Weekly*")+SUMIFS('BSE - SENSEX Index Options'!$M:$M,'BSE - SENSEX Index Options'!$C:$C,$A258,'BSE - SENSEX Index Options'!$B:$B,G$147,'BSE - SENSEX Index Options'!$I:$I,"MDAW*")+SUMIFS('BSE - Other Index Options'!$M:$M,'BSE - Other Index Options'!$C:$C,$A258,'BSE - Other Index Options'!$B:$B,G$147,'BSE - Other Index Options'!$I:$I,"Weekly*")+SUMIFS('BSE - Other Index Options'!$M:$M,'BSE - Other Index Options'!$C:$C,$A258,'BSE - Other Index Options'!$B:$B,G$147,'BSE - Other Index Options'!$I:$I,"MDAW*"))</f>
        <v/>
      </c>
      <c r="H258" s="26">
        <f>IF(SUM(B258:G258)=0,"",SUM(B258:G258))</f>
        <v/>
      </c>
    </row>
    <row r="259" hidden="1" outlineLevel="1">
      <c r="A259" t="inlineStr">
        <is>
          <t>Week4-Jul-2027</t>
        </is>
      </c>
      <c r="B259" s="26">
        <f>IF(SUMIFS('BSE - SENSEX Index Options'!$M:$M,'BSE - SENSEX Index Options'!$C:$C,$A259,'BSE - SENSEX Index Options'!$B:$B,B$147,'BSE - SENSEX Index Options'!$I:$I,"Weekly*")+SUMIFS('BSE - SENSEX Index Options'!$M:$M,'BSE - SENSEX Index Options'!$C:$C,$A259,'BSE - SENSEX Index Options'!$B:$B,B$147,'BSE - SENSEX Index Options'!$I:$I,"MDAW*")+SUMIFS('BSE - Other Index Options'!$M:$M,'BSE - Other Index Options'!$C:$C,$A259,'BSE - Other Index Options'!$B:$B,B$147,'BSE - Other Index Options'!$I:$I,"Weekly*")+SUMIFS('BSE - Other Index Options'!$M:$M,'BSE - Other Index Options'!$C:$C,$A259,'BSE - Other Index Options'!$B:$B,B$147,'BSE - Other Index Options'!$I:$I,"MDAW*")=0,"",SUMIFS('BSE - SENSEX Index Options'!$M:$M,'BSE - SENSEX Index Options'!$C:$C,$A259,'BSE - SENSEX Index Options'!$B:$B,B$147,'BSE - SENSEX Index Options'!$I:$I,"Weekly*")+SUMIFS('BSE - SENSEX Index Options'!$M:$M,'BSE - SENSEX Index Options'!$C:$C,$A259,'BSE - SENSEX Index Options'!$B:$B,B$147,'BSE - SENSEX Index Options'!$I:$I,"MDAW*")+SUMIFS('BSE - Other Index Options'!$M:$M,'BSE - Other Index Options'!$C:$C,$A259,'BSE - Other Index Options'!$B:$B,B$147,'BSE - Other Index Options'!$I:$I,"Weekly*")+SUMIFS('BSE - Other Index Options'!$M:$M,'BSE - Other Index Options'!$C:$C,$A259,'BSE - Other Index Options'!$B:$B,B$147,'BSE - Other Index Options'!$I:$I,"MDAW*"))</f>
        <v/>
      </c>
      <c r="C259" s="26">
        <f>IF(SUMIFS('BSE - SENSEX Index Options'!$M:$M,'BSE - SENSEX Index Options'!$C:$C,$A259,'BSE - SENSEX Index Options'!$B:$B,C$147,'BSE - SENSEX Index Options'!$I:$I,"Weekly*")+SUMIFS('BSE - SENSEX Index Options'!$M:$M,'BSE - SENSEX Index Options'!$C:$C,$A259,'BSE - SENSEX Index Options'!$B:$B,C$147,'BSE - SENSEX Index Options'!$I:$I,"MDAW*")+SUMIFS('BSE - Other Index Options'!$M:$M,'BSE - Other Index Options'!$C:$C,$A259,'BSE - Other Index Options'!$B:$B,C$147,'BSE - Other Index Options'!$I:$I,"Weekly*")+SUMIFS('BSE - Other Index Options'!$M:$M,'BSE - Other Index Options'!$C:$C,$A259,'BSE - Other Index Options'!$B:$B,C$147,'BSE - Other Index Options'!$I:$I,"MDAW*")=0,"",SUMIFS('BSE - SENSEX Index Options'!$M:$M,'BSE - SENSEX Index Options'!$C:$C,$A259,'BSE - SENSEX Index Options'!$B:$B,C$147,'BSE - SENSEX Index Options'!$I:$I,"Weekly*")+SUMIFS('BSE - SENSEX Index Options'!$M:$M,'BSE - SENSEX Index Options'!$C:$C,$A259,'BSE - SENSEX Index Options'!$B:$B,C$147,'BSE - SENSEX Index Options'!$I:$I,"MDAW*")+SUMIFS('BSE - Other Index Options'!$M:$M,'BSE - Other Index Options'!$C:$C,$A259,'BSE - Other Index Options'!$B:$B,C$147,'BSE - Other Index Options'!$I:$I,"Weekly*")+SUMIFS('BSE - Other Index Options'!$M:$M,'BSE - Other Index Options'!$C:$C,$A259,'BSE - Other Index Options'!$B:$B,C$147,'BSE - Other Index Options'!$I:$I,"MDAW*"))</f>
        <v/>
      </c>
      <c r="D259" s="26">
        <f>IF(SUMIFS('BSE - SENSEX Index Options'!$M:$M,'BSE - SENSEX Index Options'!$C:$C,$A259,'BSE - SENSEX Index Options'!$B:$B,D$147,'BSE - SENSEX Index Options'!$I:$I,"Weekly*")+SUMIFS('BSE - SENSEX Index Options'!$M:$M,'BSE - SENSEX Index Options'!$C:$C,$A259,'BSE - SENSEX Index Options'!$B:$B,D$147,'BSE - SENSEX Index Options'!$I:$I,"MDAW*")+SUMIFS('BSE - Other Index Options'!$M:$M,'BSE - Other Index Options'!$C:$C,$A259,'BSE - Other Index Options'!$B:$B,D$147,'BSE - Other Index Options'!$I:$I,"Weekly*")+SUMIFS('BSE - Other Index Options'!$M:$M,'BSE - Other Index Options'!$C:$C,$A259,'BSE - Other Index Options'!$B:$B,D$147,'BSE - Other Index Options'!$I:$I,"MDAW*")=0,"",SUMIFS('BSE - SENSEX Index Options'!$M:$M,'BSE - SENSEX Index Options'!$C:$C,$A259,'BSE - SENSEX Index Options'!$B:$B,D$147,'BSE - SENSEX Index Options'!$I:$I,"Weekly*")+SUMIFS('BSE - SENSEX Index Options'!$M:$M,'BSE - SENSEX Index Options'!$C:$C,$A259,'BSE - SENSEX Index Options'!$B:$B,D$147,'BSE - SENSEX Index Options'!$I:$I,"MDAW*")+SUMIFS('BSE - Other Index Options'!$M:$M,'BSE - Other Index Options'!$C:$C,$A259,'BSE - Other Index Options'!$B:$B,D$147,'BSE - Other Index Options'!$I:$I,"Weekly*")+SUMIFS('BSE - Other Index Options'!$M:$M,'BSE - Other Index Options'!$C:$C,$A259,'BSE - Other Index Options'!$B:$B,D$147,'BSE - Other Index Options'!$I:$I,"MDAW*"))</f>
        <v/>
      </c>
      <c r="E259" s="26">
        <f>IF(SUMIFS('BSE - SENSEX Index Options'!$M:$M,'BSE - SENSEX Index Options'!$C:$C,$A259,'BSE - SENSEX Index Options'!$B:$B,E$147,'BSE - SENSEX Index Options'!$I:$I,"Weekly*")+SUMIFS('BSE - SENSEX Index Options'!$M:$M,'BSE - SENSEX Index Options'!$C:$C,$A259,'BSE - SENSEX Index Options'!$B:$B,E$147,'BSE - SENSEX Index Options'!$I:$I,"MDAW*")+SUMIFS('BSE - Other Index Options'!$M:$M,'BSE - Other Index Options'!$C:$C,$A259,'BSE - Other Index Options'!$B:$B,E$147,'BSE - Other Index Options'!$I:$I,"Weekly*")+SUMIFS('BSE - Other Index Options'!$M:$M,'BSE - Other Index Options'!$C:$C,$A259,'BSE - Other Index Options'!$B:$B,E$147,'BSE - Other Index Options'!$I:$I,"MDAW*")=0,"",SUMIFS('BSE - SENSEX Index Options'!$M:$M,'BSE - SENSEX Index Options'!$C:$C,$A259,'BSE - SENSEX Index Options'!$B:$B,E$147,'BSE - SENSEX Index Options'!$I:$I,"Weekly*")+SUMIFS('BSE - SENSEX Index Options'!$M:$M,'BSE - SENSEX Index Options'!$C:$C,$A259,'BSE - SENSEX Index Options'!$B:$B,E$147,'BSE - SENSEX Index Options'!$I:$I,"MDAW*")+SUMIFS('BSE - Other Index Options'!$M:$M,'BSE - Other Index Options'!$C:$C,$A259,'BSE - Other Index Options'!$B:$B,E$147,'BSE - Other Index Options'!$I:$I,"Weekly*")+SUMIFS('BSE - Other Index Options'!$M:$M,'BSE - Other Index Options'!$C:$C,$A259,'BSE - Other Index Options'!$B:$B,E$147,'BSE - Other Index Options'!$I:$I,"MDAW*"))</f>
        <v/>
      </c>
      <c r="F259" s="26">
        <f>IF(SUMIFS('BSE - SENSEX Index Options'!$M:$M,'BSE - SENSEX Index Options'!$C:$C,$A259,'BSE - SENSEX Index Options'!$B:$B,F$147,'BSE - SENSEX Index Options'!$I:$I,"Weekly*")+SUMIFS('BSE - SENSEX Index Options'!$M:$M,'BSE - SENSEX Index Options'!$C:$C,$A259,'BSE - SENSEX Index Options'!$B:$B,F$147,'BSE - SENSEX Index Options'!$I:$I,"MDAW*")+SUMIFS('BSE - Other Index Options'!$M:$M,'BSE - Other Index Options'!$C:$C,$A259,'BSE - Other Index Options'!$B:$B,F$147,'BSE - Other Index Options'!$I:$I,"Weekly*")+SUMIFS('BSE - Other Index Options'!$M:$M,'BSE - Other Index Options'!$C:$C,$A259,'BSE - Other Index Options'!$B:$B,F$147,'BSE - Other Index Options'!$I:$I,"MDAW*")=0,"",SUMIFS('BSE - SENSEX Index Options'!$M:$M,'BSE - SENSEX Index Options'!$C:$C,$A259,'BSE - SENSEX Index Options'!$B:$B,F$147,'BSE - SENSEX Index Options'!$I:$I,"Weekly*")+SUMIFS('BSE - SENSEX Index Options'!$M:$M,'BSE - SENSEX Index Options'!$C:$C,$A259,'BSE - SENSEX Index Options'!$B:$B,F$147,'BSE - SENSEX Index Options'!$I:$I,"MDAW*")+SUMIFS('BSE - Other Index Options'!$M:$M,'BSE - Other Index Options'!$C:$C,$A259,'BSE - Other Index Options'!$B:$B,F$147,'BSE - Other Index Options'!$I:$I,"Weekly*")+SUMIFS('BSE - Other Index Options'!$M:$M,'BSE - Other Index Options'!$C:$C,$A259,'BSE - Other Index Options'!$B:$B,F$147,'BSE - Other Index Options'!$I:$I,"MDAW*"))</f>
        <v/>
      </c>
      <c r="G259" s="26">
        <f>IF(SUMIFS('BSE - SENSEX Index Options'!$M:$M,'BSE - SENSEX Index Options'!$C:$C,$A259,'BSE - SENSEX Index Options'!$B:$B,G$147,'BSE - SENSEX Index Options'!$I:$I,"Weekly*")+SUMIFS('BSE - SENSEX Index Options'!$M:$M,'BSE - SENSEX Index Options'!$C:$C,$A259,'BSE - SENSEX Index Options'!$B:$B,G$147,'BSE - SENSEX Index Options'!$I:$I,"MDAW*")+SUMIFS('BSE - Other Index Options'!$M:$M,'BSE - Other Index Options'!$C:$C,$A259,'BSE - Other Index Options'!$B:$B,G$147,'BSE - Other Index Options'!$I:$I,"Weekly*")+SUMIFS('BSE - Other Index Options'!$M:$M,'BSE - Other Index Options'!$C:$C,$A259,'BSE - Other Index Options'!$B:$B,G$147,'BSE - Other Index Options'!$I:$I,"MDAW*")=0,"",SUMIFS('BSE - SENSEX Index Options'!$M:$M,'BSE - SENSEX Index Options'!$C:$C,$A259,'BSE - SENSEX Index Options'!$B:$B,G$147,'BSE - SENSEX Index Options'!$I:$I,"Weekly*")+SUMIFS('BSE - SENSEX Index Options'!$M:$M,'BSE - SENSEX Index Options'!$C:$C,$A259,'BSE - SENSEX Index Options'!$B:$B,G$147,'BSE - SENSEX Index Options'!$I:$I,"MDAW*")+SUMIFS('BSE - Other Index Options'!$M:$M,'BSE - Other Index Options'!$C:$C,$A259,'BSE - Other Index Options'!$B:$B,G$147,'BSE - Other Index Options'!$I:$I,"Weekly*")+SUMIFS('BSE - Other Index Options'!$M:$M,'BSE - Other Index Options'!$C:$C,$A259,'BSE - Other Index Options'!$B:$B,G$147,'BSE - Other Index Options'!$I:$I,"MDAW*"))</f>
        <v/>
      </c>
      <c r="H259" s="26">
        <f>IF(SUM(B259:G259)=0,"",SUM(B259:G259))</f>
        <v/>
      </c>
    </row>
    <row r="260" hidden="1" outlineLevel="1">
      <c r="A260" t="inlineStr">
        <is>
          <t>Week5-Jul-2027</t>
        </is>
      </c>
      <c r="B260" s="26">
        <f>IF(SUMIFS('BSE - SENSEX Index Options'!$M:$M,'BSE - SENSEX Index Options'!$C:$C,$A260,'BSE - SENSEX Index Options'!$B:$B,B$147,'BSE - SENSEX Index Options'!$I:$I,"Weekly*")+SUMIFS('BSE - SENSEX Index Options'!$M:$M,'BSE - SENSEX Index Options'!$C:$C,$A260,'BSE - SENSEX Index Options'!$B:$B,B$147,'BSE - SENSEX Index Options'!$I:$I,"MDAW*")+SUMIFS('BSE - Other Index Options'!$M:$M,'BSE - Other Index Options'!$C:$C,$A260,'BSE - Other Index Options'!$B:$B,B$147,'BSE - Other Index Options'!$I:$I,"Weekly*")+SUMIFS('BSE - Other Index Options'!$M:$M,'BSE - Other Index Options'!$C:$C,$A260,'BSE - Other Index Options'!$B:$B,B$147,'BSE - Other Index Options'!$I:$I,"MDAW*")=0,"",SUMIFS('BSE - SENSEX Index Options'!$M:$M,'BSE - SENSEX Index Options'!$C:$C,$A260,'BSE - SENSEX Index Options'!$B:$B,B$147,'BSE - SENSEX Index Options'!$I:$I,"Weekly*")+SUMIFS('BSE - SENSEX Index Options'!$M:$M,'BSE - SENSEX Index Options'!$C:$C,$A260,'BSE - SENSEX Index Options'!$B:$B,B$147,'BSE - SENSEX Index Options'!$I:$I,"MDAW*")+SUMIFS('BSE - Other Index Options'!$M:$M,'BSE - Other Index Options'!$C:$C,$A260,'BSE - Other Index Options'!$B:$B,B$147,'BSE - Other Index Options'!$I:$I,"Weekly*")+SUMIFS('BSE - Other Index Options'!$M:$M,'BSE - Other Index Options'!$C:$C,$A260,'BSE - Other Index Options'!$B:$B,B$147,'BSE - Other Index Options'!$I:$I,"MDAW*"))</f>
        <v/>
      </c>
      <c r="C260" s="26">
        <f>IF(SUMIFS('BSE - SENSEX Index Options'!$M:$M,'BSE - SENSEX Index Options'!$C:$C,$A260,'BSE - SENSEX Index Options'!$B:$B,C$147,'BSE - SENSEX Index Options'!$I:$I,"Weekly*")+SUMIFS('BSE - SENSEX Index Options'!$M:$M,'BSE - SENSEX Index Options'!$C:$C,$A260,'BSE - SENSEX Index Options'!$B:$B,C$147,'BSE - SENSEX Index Options'!$I:$I,"MDAW*")+SUMIFS('BSE - Other Index Options'!$M:$M,'BSE - Other Index Options'!$C:$C,$A260,'BSE - Other Index Options'!$B:$B,C$147,'BSE - Other Index Options'!$I:$I,"Weekly*")+SUMIFS('BSE - Other Index Options'!$M:$M,'BSE - Other Index Options'!$C:$C,$A260,'BSE - Other Index Options'!$B:$B,C$147,'BSE - Other Index Options'!$I:$I,"MDAW*")=0,"",SUMIFS('BSE - SENSEX Index Options'!$M:$M,'BSE - SENSEX Index Options'!$C:$C,$A260,'BSE - SENSEX Index Options'!$B:$B,C$147,'BSE - SENSEX Index Options'!$I:$I,"Weekly*")+SUMIFS('BSE - SENSEX Index Options'!$M:$M,'BSE - SENSEX Index Options'!$C:$C,$A260,'BSE - SENSEX Index Options'!$B:$B,C$147,'BSE - SENSEX Index Options'!$I:$I,"MDAW*")+SUMIFS('BSE - Other Index Options'!$M:$M,'BSE - Other Index Options'!$C:$C,$A260,'BSE - Other Index Options'!$B:$B,C$147,'BSE - Other Index Options'!$I:$I,"Weekly*")+SUMIFS('BSE - Other Index Options'!$M:$M,'BSE - Other Index Options'!$C:$C,$A260,'BSE - Other Index Options'!$B:$B,C$147,'BSE - Other Index Options'!$I:$I,"MDAW*"))</f>
        <v/>
      </c>
      <c r="D260" s="26">
        <f>IF(SUMIFS('BSE - SENSEX Index Options'!$M:$M,'BSE - SENSEX Index Options'!$C:$C,$A260,'BSE - SENSEX Index Options'!$B:$B,D$147,'BSE - SENSEX Index Options'!$I:$I,"Weekly*")+SUMIFS('BSE - SENSEX Index Options'!$M:$M,'BSE - SENSEX Index Options'!$C:$C,$A260,'BSE - SENSEX Index Options'!$B:$B,D$147,'BSE - SENSEX Index Options'!$I:$I,"MDAW*")+SUMIFS('BSE - Other Index Options'!$M:$M,'BSE - Other Index Options'!$C:$C,$A260,'BSE - Other Index Options'!$B:$B,D$147,'BSE - Other Index Options'!$I:$I,"Weekly*")+SUMIFS('BSE - Other Index Options'!$M:$M,'BSE - Other Index Options'!$C:$C,$A260,'BSE - Other Index Options'!$B:$B,D$147,'BSE - Other Index Options'!$I:$I,"MDAW*")=0,"",SUMIFS('BSE - SENSEX Index Options'!$M:$M,'BSE - SENSEX Index Options'!$C:$C,$A260,'BSE - SENSEX Index Options'!$B:$B,D$147,'BSE - SENSEX Index Options'!$I:$I,"Weekly*")+SUMIFS('BSE - SENSEX Index Options'!$M:$M,'BSE - SENSEX Index Options'!$C:$C,$A260,'BSE - SENSEX Index Options'!$B:$B,D$147,'BSE - SENSEX Index Options'!$I:$I,"MDAW*")+SUMIFS('BSE - Other Index Options'!$M:$M,'BSE - Other Index Options'!$C:$C,$A260,'BSE - Other Index Options'!$B:$B,D$147,'BSE - Other Index Options'!$I:$I,"Weekly*")+SUMIFS('BSE - Other Index Options'!$M:$M,'BSE - Other Index Options'!$C:$C,$A260,'BSE - Other Index Options'!$B:$B,D$147,'BSE - Other Index Options'!$I:$I,"MDAW*"))</f>
        <v/>
      </c>
      <c r="E260" s="26">
        <f>IF(SUMIFS('BSE - SENSEX Index Options'!$M:$M,'BSE - SENSEX Index Options'!$C:$C,$A260,'BSE - SENSEX Index Options'!$B:$B,E$147,'BSE - SENSEX Index Options'!$I:$I,"Weekly*")+SUMIFS('BSE - SENSEX Index Options'!$M:$M,'BSE - SENSEX Index Options'!$C:$C,$A260,'BSE - SENSEX Index Options'!$B:$B,E$147,'BSE - SENSEX Index Options'!$I:$I,"MDAW*")+SUMIFS('BSE - Other Index Options'!$M:$M,'BSE - Other Index Options'!$C:$C,$A260,'BSE - Other Index Options'!$B:$B,E$147,'BSE - Other Index Options'!$I:$I,"Weekly*")+SUMIFS('BSE - Other Index Options'!$M:$M,'BSE - Other Index Options'!$C:$C,$A260,'BSE - Other Index Options'!$B:$B,E$147,'BSE - Other Index Options'!$I:$I,"MDAW*")=0,"",SUMIFS('BSE - SENSEX Index Options'!$M:$M,'BSE - SENSEX Index Options'!$C:$C,$A260,'BSE - SENSEX Index Options'!$B:$B,E$147,'BSE - SENSEX Index Options'!$I:$I,"Weekly*")+SUMIFS('BSE - SENSEX Index Options'!$M:$M,'BSE - SENSEX Index Options'!$C:$C,$A260,'BSE - SENSEX Index Options'!$B:$B,E$147,'BSE - SENSEX Index Options'!$I:$I,"MDAW*")+SUMIFS('BSE - Other Index Options'!$M:$M,'BSE - Other Index Options'!$C:$C,$A260,'BSE - Other Index Options'!$B:$B,E$147,'BSE - Other Index Options'!$I:$I,"Weekly*")+SUMIFS('BSE - Other Index Options'!$M:$M,'BSE - Other Index Options'!$C:$C,$A260,'BSE - Other Index Options'!$B:$B,E$147,'BSE - Other Index Options'!$I:$I,"MDAW*"))</f>
        <v/>
      </c>
      <c r="F260" s="26">
        <f>IF(SUMIFS('BSE - SENSEX Index Options'!$M:$M,'BSE - SENSEX Index Options'!$C:$C,$A260,'BSE - SENSEX Index Options'!$B:$B,F$147,'BSE - SENSEX Index Options'!$I:$I,"Weekly*")+SUMIFS('BSE - SENSEX Index Options'!$M:$M,'BSE - SENSEX Index Options'!$C:$C,$A260,'BSE - SENSEX Index Options'!$B:$B,F$147,'BSE - SENSEX Index Options'!$I:$I,"MDAW*")+SUMIFS('BSE - Other Index Options'!$M:$M,'BSE - Other Index Options'!$C:$C,$A260,'BSE - Other Index Options'!$B:$B,F$147,'BSE - Other Index Options'!$I:$I,"Weekly*")+SUMIFS('BSE - Other Index Options'!$M:$M,'BSE - Other Index Options'!$C:$C,$A260,'BSE - Other Index Options'!$B:$B,F$147,'BSE - Other Index Options'!$I:$I,"MDAW*")=0,"",SUMIFS('BSE - SENSEX Index Options'!$M:$M,'BSE - SENSEX Index Options'!$C:$C,$A260,'BSE - SENSEX Index Options'!$B:$B,F$147,'BSE - SENSEX Index Options'!$I:$I,"Weekly*")+SUMIFS('BSE - SENSEX Index Options'!$M:$M,'BSE - SENSEX Index Options'!$C:$C,$A260,'BSE - SENSEX Index Options'!$B:$B,F$147,'BSE - SENSEX Index Options'!$I:$I,"MDAW*")+SUMIFS('BSE - Other Index Options'!$M:$M,'BSE - Other Index Options'!$C:$C,$A260,'BSE - Other Index Options'!$B:$B,F$147,'BSE - Other Index Options'!$I:$I,"Weekly*")+SUMIFS('BSE - Other Index Options'!$M:$M,'BSE - Other Index Options'!$C:$C,$A260,'BSE - Other Index Options'!$B:$B,F$147,'BSE - Other Index Options'!$I:$I,"MDAW*"))</f>
        <v/>
      </c>
      <c r="G260" s="26">
        <f>IF(SUMIFS('BSE - SENSEX Index Options'!$M:$M,'BSE - SENSEX Index Options'!$C:$C,$A260,'BSE - SENSEX Index Options'!$B:$B,G$147,'BSE - SENSEX Index Options'!$I:$I,"Weekly*")+SUMIFS('BSE - SENSEX Index Options'!$M:$M,'BSE - SENSEX Index Options'!$C:$C,$A260,'BSE - SENSEX Index Options'!$B:$B,G$147,'BSE - SENSEX Index Options'!$I:$I,"MDAW*")+SUMIFS('BSE - Other Index Options'!$M:$M,'BSE - Other Index Options'!$C:$C,$A260,'BSE - Other Index Options'!$B:$B,G$147,'BSE - Other Index Options'!$I:$I,"Weekly*")+SUMIFS('BSE - Other Index Options'!$M:$M,'BSE - Other Index Options'!$C:$C,$A260,'BSE - Other Index Options'!$B:$B,G$147,'BSE - Other Index Options'!$I:$I,"MDAW*")=0,"",SUMIFS('BSE - SENSEX Index Options'!$M:$M,'BSE - SENSEX Index Options'!$C:$C,$A260,'BSE - SENSEX Index Options'!$B:$B,G$147,'BSE - SENSEX Index Options'!$I:$I,"Weekly*")+SUMIFS('BSE - SENSEX Index Options'!$M:$M,'BSE - SENSEX Index Options'!$C:$C,$A260,'BSE - SENSEX Index Options'!$B:$B,G$147,'BSE - SENSEX Index Options'!$I:$I,"MDAW*")+SUMIFS('BSE - Other Index Options'!$M:$M,'BSE - Other Index Options'!$C:$C,$A260,'BSE - Other Index Options'!$B:$B,G$147,'BSE - Other Index Options'!$I:$I,"Weekly*")+SUMIFS('BSE - Other Index Options'!$M:$M,'BSE - Other Index Options'!$C:$C,$A260,'BSE - Other Index Options'!$B:$B,G$147,'BSE - Other Index Options'!$I:$I,"MDAW*"))</f>
        <v/>
      </c>
      <c r="H260" s="26">
        <f>IF(SUM(B260:G260)=0,"",SUM(B260:G260))</f>
        <v/>
      </c>
    </row>
    <row r="261" hidden="1" outlineLevel="1">
      <c r="A261" t="inlineStr">
        <is>
          <t>Week1-Aug-2027</t>
        </is>
      </c>
      <c r="B261" s="26">
        <f>IF(SUMIFS('BSE - SENSEX Index Options'!$M:$M,'BSE - SENSEX Index Options'!$C:$C,$A261,'BSE - SENSEX Index Options'!$B:$B,B$147,'BSE - SENSEX Index Options'!$I:$I,"Weekly*")+SUMIFS('BSE - SENSEX Index Options'!$M:$M,'BSE - SENSEX Index Options'!$C:$C,$A261,'BSE - SENSEX Index Options'!$B:$B,B$147,'BSE - SENSEX Index Options'!$I:$I,"MDAW*")+SUMIFS('BSE - Other Index Options'!$M:$M,'BSE - Other Index Options'!$C:$C,$A261,'BSE - Other Index Options'!$B:$B,B$147,'BSE - Other Index Options'!$I:$I,"Weekly*")+SUMIFS('BSE - Other Index Options'!$M:$M,'BSE - Other Index Options'!$C:$C,$A261,'BSE - Other Index Options'!$B:$B,B$147,'BSE - Other Index Options'!$I:$I,"MDAW*")=0,"",SUMIFS('BSE - SENSEX Index Options'!$M:$M,'BSE - SENSEX Index Options'!$C:$C,$A261,'BSE - SENSEX Index Options'!$B:$B,B$147,'BSE - SENSEX Index Options'!$I:$I,"Weekly*")+SUMIFS('BSE - SENSEX Index Options'!$M:$M,'BSE - SENSEX Index Options'!$C:$C,$A261,'BSE - SENSEX Index Options'!$B:$B,B$147,'BSE - SENSEX Index Options'!$I:$I,"MDAW*")+SUMIFS('BSE - Other Index Options'!$M:$M,'BSE - Other Index Options'!$C:$C,$A261,'BSE - Other Index Options'!$B:$B,B$147,'BSE - Other Index Options'!$I:$I,"Weekly*")+SUMIFS('BSE - Other Index Options'!$M:$M,'BSE - Other Index Options'!$C:$C,$A261,'BSE - Other Index Options'!$B:$B,B$147,'BSE - Other Index Options'!$I:$I,"MDAW*"))</f>
        <v/>
      </c>
      <c r="C261" s="26">
        <f>IF(SUMIFS('BSE - SENSEX Index Options'!$M:$M,'BSE - SENSEX Index Options'!$C:$C,$A261,'BSE - SENSEX Index Options'!$B:$B,C$147,'BSE - SENSEX Index Options'!$I:$I,"Weekly*")+SUMIFS('BSE - SENSEX Index Options'!$M:$M,'BSE - SENSEX Index Options'!$C:$C,$A261,'BSE - SENSEX Index Options'!$B:$B,C$147,'BSE - SENSEX Index Options'!$I:$I,"MDAW*")+SUMIFS('BSE - Other Index Options'!$M:$M,'BSE - Other Index Options'!$C:$C,$A261,'BSE - Other Index Options'!$B:$B,C$147,'BSE - Other Index Options'!$I:$I,"Weekly*")+SUMIFS('BSE - Other Index Options'!$M:$M,'BSE - Other Index Options'!$C:$C,$A261,'BSE - Other Index Options'!$B:$B,C$147,'BSE - Other Index Options'!$I:$I,"MDAW*")=0,"",SUMIFS('BSE - SENSEX Index Options'!$M:$M,'BSE - SENSEX Index Options'!$C:$C,$A261,'BSE - SENSEX Index Options'!$B:$B,C$147,'BSE - SENSEX Index Options'!$I:$I,"Weekly*")+SUMIFS('BSE - SENSEX Index Options'!$M:$M,'BSE - SENSEX Index Options'!$C:$C,$A261,'BSE - SENSEX Index Options'!$B:$B,C$147,'BSE - SENSEX Index Options'!$I:$I,"MDAW*")+SUMIFS('BSE - Other Index Options'!$M:$M,'BSE - Other Index Options'!$C:$C,$A261,'BSE - Other Index Options'!$B:$B,C$147,'BSE - Other Index Options'!$I:$I,"Weekly*")+SUMIFS('BSE - Other Index Options'!$M:$M,'BSE - Other Index Options'!$C:$C,$A261,'BSE - Other Index Options'!$B:$B,C$147,'BSE - Other Index Options'!$I:$I,"MDAW*"))</f>
        <v/>
      </c>
      <c r="D261" s="26">
        <f>IF(SUMIFS('BSE - SENSEX Index Options'!$M:$M,'BSE - SENSEX Index Options'!$C:$C,$A261,'BSE - SENSEX Index Options'!$B:$B,D$147,'BSE - SENSEX Index Options'!$I:$I,"Weekly*")+SUMIFS('BSE - SENSEX Index Options'!$M:$M,'BSE - SENSEX Index Options'!$C:$C,$A261,'BSE - SENSEX Index Options'!$B:$B,D$147,'BSE - SENSEX Index Options'!$I:$I,"MDAW*")+SUMIFS('BSE - Other Index Options'!$M:$M,'BSE - Other Index Options'!$C:$C,$A261,'BSE - Other Index Options'!$B:$B,D$147,'BSE - Other Index Options'!$I:$I,"Weekly*")+SUMIFS('BSE - Other Index Options'!$M:$M,'BSE - Other Index Options'!$C:$C,$A261,'BSE - Other Index Options'!$B:$B,D$147,'BSE - Other Index Options'!$I:$I,"MDAW*")=0,"",SUMIFS('BSE - SENSEX Index Options'!$M:$M,'BSE - SENSEX Index Options'!$C:$C,$A261,'BSE - SENSEX Index Options'!$B:$B,D$147,'BSE - SENSEX Index Options'!$I:$I,"Weekly*")+SUMIFS('BSE - SENSEX Index Options'!$M:$M,'BSE - SENSEX Index Options'!$C:$C,$A261,'BSE - SENSEX Index Options'!$B:$B,D$147,'BSE - SENSEX Index Options'!$I:$I,"MDAW*")+SUMIFS('BSE - Other Index Options'!$M:$M,'BSE - Other Index Options'!$C:$C,$A261,'BSE - Other Index Options'!$B:$B,D$147,'BSE - Other Index Options'!$I:$I,"Weekly*")+SUMIFS('BSE - Other Index Options'!$M:$M,'BSE - Other Index Options'!$C:$C,$A261,'BSE - Other Index Options'!$B:$B,D$147,'BSE - Other Index Options'!$I:$I,"MDAW*"))</f>
        <v/>
      </c>
      <c r="E261" s="26">
        <f>IF(SUMIFS('BSE - SENSEX Index Options'!$M:$M,'BSE - SENSEX Index Options'!$C:$C,$A261,'BSE - SENSEX Index Options'!$B:$B,E$147,'BSE - SENSEX Index Options'!$I:$I,"Weekly*")+SUMIFS('BSE - SENSEX Index Options'!$M:$M,'BSE - SENSEX Index Options'!$C:$C,$A261,'BSE - SENSEX Index Options'!$B:$B,E$147,'BSE - SENSEX Index Options'!$I:$I,"MDAW*")+SUMIFS('BSE - Other Index Options'!$M:$M,'BSE - Other Index Options'!$C:$C,$A261,'BSE - Other Index Options'!$B:$B,E$147,'BSE - Other Index Options'!$I:$I,"Weekly*")+SUMIFS('BSE - Other Index Options'!$M:$M,'BSE - Other Index Options'!$C:$C,$A261,'BSE - Other Index Options'!$B:$B,E$147,'BSE - Other Index Options'!$I:$I,"MDAW*")=0,"",SUMIFS('BSE - SENSEX Index Options'!$M:$M,'BSE - SENSEX Index Options'!$C:$C,$A261,'BSE - SENSEX Index Options'!$B:$B,E$147,'BSE - SENSEX Index Options'!$I:$I,"Weekly*")+SUMIFS('BSE - SENSEX Index Options'!$M:$M,'BSE - SENSEX Index Options'!$C:$C,$A261,'BSE - SENSEX Index Options'!$B:$B,E$147,'BSE - SENSEX Index Options'!$I:$I,"MDAW*")+SUMIFS('BSE - Other Index Options'!$M:$M,'BSE - Other Index Options'!$C:$C,$A261,'BSE - Other Index Options'!$B:$B,E$147,'BSE - Other Index Options'!$I:$I,"Weekly*")+SUMIFS('BSE - Other Index Options'!$M:$M,'BSE - Other Index Options'!$C:$C,$A261,'BSE - Other Index Options'!$B:$B,E$147,'BSE - Other Index Options'!$I:$I,"MDAW*"))</f>
        <v/>
      </c>
      <c r="F261" s="26">
        <f>IF(SUMIFS('BSE - SENSEX Index Options'!$M:$M,'BSE - SENSEX Index Options'!$C:$C,$A261,'BSE - SENSEX Index Options'!$B:$B,F$147,'BSE - SENSEX Index Options'!$I:$I,"Weekly*")+SUMIFS('BSE - SENSEX Index Options'!$M:$M,'BSE - SENSEX Index Options'!$C:$C,$A261,'BSE - SENSEX Index Options'!$B:$B,F$147,'BSE - SENSEX Index Options'!$I:$I,"MDAW*")+SUMIFS('BSE - Other Index Options'!$M:$M,'BSE - Other Index Options'!$C:$C,$A261,'BSE - Other Index Options'!$B:$B,F$147,'BSE - Other Index Options'!$I:$I,"Weekly*")+SUMIFS('BSE - Other Index Options'!$M:$M,'BSE - Other Index Options'!$C:$C,$A261,'BSE - Other Index Options'!$B:$B,F$147,'BSE - Other Index Options'!$I:$I,"MDAW*")=0,"",SUMIFS('BSE - SENSEX Index Options'!$M:$M,'BSE - SENSEX Index Options'!$C:$C,$A261,'BSE - SENSEX Index Options'!$B:$B,F$147,'BSE - SENSEX Index Options'!$I:$I,"Weekly*")+SUMIFS('BSE - SENSEX Index Options'!$M:$M,'BSE - SENSEX Index Options'!$C:$C,$A261,'BSE - SENSEX Index Options'!$B:$B,F$147,'BSE - SENSEX Index Options'!$I:$I,"MDAW*")+SUMIFS('BSE - Other Index Options'!$M:$M,'BSE - Other Index Options'!$C:$C,$A261,'BSE - Other Index Options'!$B:$B,F$147,'BSE - Other Index Options'!$I:$I,"Weekly*")+SUMIFS('BSE - Other Index Options'!$M:$M,'BSE - Other Index Options'!$C:$C,$A261,'BSE - Other Index Options'!$B:$B,F$147,'BSE - Other Index Options'!$I:$I,"MDAW*"))</f>
        <v/>
      </c>
      <c r="G261" s="26">
        <f>IF(SUMIFS('BSE - SENSEX Index Options'!$M:$M,'BSE - SENSEX Index Options'!$C:$C,$A261,'BSE - SENSEX Index Options'!$B:$B,G$147,'BSE - SENSEX Index Options'!$I:$I,"Weekly*")+SUMIFS('BSE - SENSEX Index Options'!$M:$M,'BSE - SENSEX Index Options'!$C:$C,$A261,'BSE - SENSEX Index Options'!$B:$B,G$147,'BSE - SENSEX Index Options'!$I:$I,"MDAW*")+SUMIFS('BSE - Other Index Options'!$M:$M,'BSE - Other Index Options'!$C:$C,$A261,'BSE - Other Index Options'!$B:$B,G$147,'BSE - Other Index Options'!$I:$I,"Weekly*")+SUMIFS('BSE - Other Index Options'!$M:$M,'BSE - Other Index Options'!$C:$C,$A261,'BSE - Other Index Options'!$B:$B,G$147,'BSE - Other Index Options'!$I:$I,"MDAW*")=0,"",SUMIFS('BSE - SENSEX Index Options'!$M:$M,'BSE - SENSEX Index Options'!$C:$C,$A261,'BSE - SENSEX Index Options'!$B:$B,G$147,'BSE - SENSEX Index Options'!$I:$I,"Weekly*")+SUMIFS('BSE - SENSEX Index Options'!$M:$M,'BSE - SENSEX Index Options'!$C:$C,$A261,'BSE - SENSEX Index Options'!$B:$B,G$147,'BSE - SENSEX Index Options'!$I:$I,"MDAW*")+SUMIFS('BSE - Other Index Options'!$M:$M,'BSE - Other Index Options'!$C:$C,$A261,'BSE - Other Index Options'!$B:$B,G$147,'BSE - Other Index Options'!$I:$I,"Weekly*")+SUMIFS('BSE - Other Index Options'!$M:$M,'BSE - Other Index Options'!$C:$C,$A261,'BSE - Other Index Options'!$B:$B,G$147,'BSE - Other Index Options'!$I:$I,"MDAW*"))</f>
        <v/>
      </c>
      <c r="H261" s="26">
        <f>IF(SUM(B261:G261)=0,"",SUM(B261:G261))</f>
        <v/>
      </c>
    </row>
    <row r="262" hidden="1" outlineLevel="1">
      <c r="A262" t="inlineStr">
        <is>
          <t>Week2-Aug-2027</t>
        </is>
      </c>
      <c r="B262" s="26">
        <f>IF(SUMIFS('BSE - SENSEX Index Options'!$M:$M,'BSE - SENSEX Index Options'!$C:$C,$A262,'BSE - SENSEX Index Options'!$B:$B,B$147,'BSE - SENSEX Index Options'!$I:$I,"Weekly*")+SUMIFS('BSE - SENSEX Index Options'!$M:$M,'BSE - SENSEX Index Options'!$C:$C,$A262,'BSE - SENSEX Index Options'!$B:$B,B$147,'BSE - SENSEX Index Options'!$I:$I,"MDAW*")+SUMIFS('BSE - Other Index Options'!$M:$M,'BSE - Other Index Options'!$C:$C,$A262,'BSE - Other Index Options'!$B:$B,B$147,'BSE - Other Index Options'!$I:$I,"Weekly*")+SUMIFS('BSE - Other Index Options'!$M:$M,'BSE - Other Index Options'!$C:$C,$A262,'BSE - Other Index Options'!$B:$B,B$147,'BSE - Other Index Options'!$I:$I,"MDAW*")=0,"",SUMIFS('BSE - SENSEX Index Options'!$M:$M,'BSE - SENSEX Index Options'!$C:$C,$A262,'BSE - SENSEX Index Options'!$B:$B,B$147,'BSE - SENSEX Index Options'!$I:$I,"Weekly*")+SUMIFS('BSE - SENSEX Index Options'!$M:$M,'BSE - SENSEX Index Options'!$C:$C,$A262,'BSE - SENSEX Index Options'!$B:$B,B$147,'BSE - SENSEX Index Options'!$I:$I,"MDAW*")+SUMIFS('BSE - Other Index Options'!$M:$M,'BSE - Other Index Options'!$C:$C,$A262,'BSE - Other Index Options'!$B:$B,B$147,'BSE - Other Index Options'!$I:$I,"Weekly*")+SUMIFS('BSE - Other Index Options'!$M:$M,'BSE - Other Index Options'!$C:$C,$A262,'BSE - Other Index Options'!$B:$B,B$147,'BSE - Other Index Options'!$I:$I,"MDAW*"))</f>
        <v/>
      </c>
      <c r="C262" s="26">
        <f>IF(SUMIFS('BSE - SENSEX Index Options'!$M:$M,'BSE - SENSEX Index Options'!$C:$C,$A262,'BSE - SENSEX Index Options'!$B:$B,C$147,'BSE - SENSEX Index Options'!$I:$I,"Weekly*")+SUMIFS('BSE - SENSEX Index Options'!$M:$M,'BSE - SENSEX Index Options'!$C:$C,$A262,'BSE - SENSEX Index Options'!$B:$B,C$147,'BSE - SENSEX Index Options'!$I:$I,"MDAW*")+SUMIFS('BSE - Other Index Options'!$M:$M,'BSE - Other Index Options'!$C:$C,$A262,'BSE - Other Index Options'!$B:$B,C$147,'BSE - Other Index Options'!$I:$I,"Weekly*")+SUMIFS('BSE - Other Index Options'!$M:$M,'BSE - Other Index Options'!$C:$C,$A262,'BSE - Other Index Options'!$B:$B,C$147,'BSE - Other Index Options'!$I:$I,"MDAW*")=0,"",SUMIFS('BSE - SENSEX Index Options'!$M:$M,'BSE - SENSEX Index Options'!$C:$C,$A262,'BSE - SENSEX Index Options'!$B:$B,C$147,'BSE - SENSEX Index Options'!$I:$I,"Weekly*")+SUMIFS('BSE - SENSEX Index Options'!$M:$M,'BSE - SENSEX Index Options'!$C:$C,$A262,'BSE - SENSEX Index Options'!$B:$B,C$147,'BSE - SENSEX Index Options'!$I:$I,"MDAW*")+SUMIFS('BSE - Other Index Options'!$M:$M,'BSE - Other Index Options'!$C:$C,$A262,'BSE - Other Index Options'!$B:$B,C$147,'BSE - Other Index Options'!$I:$I,"Weekly*")+SUMIFS('BSE - Other Index Options'!$M:$M,'BSE - Other Index Options'!$C:$C,$A262,'BSE - Other Index Options'!$B:$B,C$147,'BSE - Other Index Options'!$I:$I,"MDAW*"))</f>
        <v/>
      </c>
      <c r="D262" s="26">
        <f>IF(SUMIFS('BSE - SENSEX Index Options'!$M:$M,'BSE - SENSEX Index Options'!$C:$C,$A262,'BSE - SENSEX Index Options'!$B:$B,D$147,'BSE - SENSEX Index Options'!$I:$I,"Weekly*")+SUMIFS('BSE - SENSEX Index Options'!$M:$M,'BSE - SENSEX Index Options'!$C:$C,$A262,'BSE - SENSEX Index Options'!$B:$B,D$147,'BSE - SENSEX Index Options'!$I:$I,"MDAW*")+SUMIFS('BSE - Other Index Options'!$M:$M,'BSE - Other Index Options'!$C:$C,$A262,'BSE - Other Index Options'!$B:$B,D$147,'BSE - Other Index Options'!$I:$I,"Weekly*")+SUMIFS('BSE - Other Index Options'!$M:$M,'BSE - Other Index Options'!$C:$C,$A262,'BSE - Other Index Options'!$B:$B,D$147,'BSE - Other Index Options'!$I:$I,"MDAW*")=0,"",SUMIFS('BSE - SENSEX Index Options'!$M:$M,'BSE - SENSEX Index Options'!$C:$C,$A262,'BSE - SENSEX Index Options'!$B:$B,D$147,'BSE - SENSEX Index Options'!$I:$I,"Weekly*")+SUMIFS('BSE - SENSEX Index Options'!$M:$M,'BSE - SENSEX Index Options'!$C:$C,$A262,'BSE - SENSEX Index Options'!$B:$B,D$147,'BSE - SENSEX Index Options'!$I:$I,"MDAW*")+SUMIFS('BSE - Other Index Options'!$M:$M,'BSE - Other Index Options'!$C:$C,$A262,'BSE - Other Index Options'!$B:$B,D$147,'BSE - Other Index Options'!$I:$I,"Weekly*")+SUMIFS('BSE - Other Index Options'!$M:$M,'BSE - Other Index Options'!$C:$C,$A262,'BSE - Other Index Options'!$B:$B,D$147,'BSE - Other Index Options'!$I:$I,"MDAW*"))</f>
        <v/>
      </c>
      <c r="E262" s="26">
        <f>IF(SUMIFS('BSE - SENSEX Index Options'!$M:$M,'BSE - SENSEX Index Options'!$C:$C,$A262,'BSE - SENSEX Index Options'!$B:$B,E$147,'BSE - SENSEX Index Options'!$I:$I,"Weekly*")+SUMIFS('BSE - SENSEX Index Options'!$M:$M,'BSE - SENSEX Index Options'!$C:$C,$A262,'BSE - SENSEX Index Options'!$B:$B,E$147,'BSE - SENSEX Index Options'!$I:$I,"MDAW*")+SUMIFS('BSE - Other Index Options'!$M:$M,'BSE - Other Index Options'!$C:$C,$A262,'BSE - Other Index Options'!$B:$B,E$147,'BSE - Other Index Options'!$I:$I,"Weekly*")+SUMIFS('BSE - Other Index Options'!$M:$M,'BSE - Other Index Options'!$C:$C,$A262,'BSE - Other Index Options'!$B:$B,E$147,'BSE - Other Index Options'!$I:$I,"MDAW*")=0,"",SUMIFS('BSE - SENSEX Index Options'!$M:$M,'BSE - SENSEX Index Options'!$C:$C,$A262,'BSE - SENSEX Index Options'!$B:$B,E$147,'BSE - SENSEX Index Options'!$I:$I,"Weekly*")+SUMIFS('BSE - SENSEX Index Options'!$M:$M,'BSE - SENSEX Index Options'!$C:$C,$A262,'BSE - SENSEX Index Options'!$B:$B,E$147,'BSE - SENSEX Index Options'!$I:$I,"MDAW*")+SUMIFS('BSE - Other Index Options'!$M:$M,'BSE - Other Index Options'!$C:$C,$A262,'BSE - Other Index Options'!$B:$B,E$147,'BSE - Other Index Options'!$I:$I,"Weekly*")+SUMIFS('BSE - Other Index Options'!$M:$M,'BSE - Other Index Options'!$C:$C,$A262,'BSE - Other Index Options'!$B:$B,E$147,'BSE - Other Index Options'!$I:$I,"MDAW*"))</f>
        <v/>
      </c>
      <c r="F262" s="26">
        <f>IF(SUMIFS('BSE - SENSEX Index Options'!$M:$M,'BSE - SENSEX Index Options'!$C:$C,$A262,'BSE - SENSEX Index Options'!$B:$B,F$147,'BSE - SENSEX Index Options'!$I:$I,"Weekly*")+SUMIFS('BSE - SENSEX Index Options'!$M:$M,'BSE - SENSEX Index Options'!$C:$C,$A262,'BSE - SENSEX Index Options'!$B:$B,F$147,'BSE - SENSEX Index Options'!$I:$I,"MDAW*")+SUMIFS('BSE - Other Index Options'!$M:$M,'BSE - Other Index Options'!$C:$C,$A262,'BSE - Other Index Options'!$B:$B,F$147,'BSE - Other Index Options'!$I:$I,"Weekly*")+SUMIFS('BSE - Other Index Options'!$M:$M,'BSE - Other Index Options'!$C:$C,$A262,'BSE - Other Index Options'!$B:$B,F$147,'BSE - Other Index Options'!$I:$I,"MDAW*")=0,"",SUMIFS('BSE - SENSEX Index Options'!$M:$M,'BSE - SENSEX Index Options'!$C:$C,$A262,'BSE - SENSEX Index Options'!$B:$B,F$147,'BSE - SENSEX Index Options'!$I:$I,"Weekly*")+SUMIFS('BSE - SENSEX Index Options'!$M:$M,'BSE - SENSEX Index Options'!$C:$C,$A262,'BSE - SENSEX Index Options'!$B:$B,F$147,'BSE - SENSEX Index Options'!$I:$I,"MDAW*")+SUMIFS('BSE - Other Index Options'!$M:$M,'BSE - Other Index Options'!$C:$C,$A262,'BSE - Other Index Options'!$B:$B,F$147,'BSE - Other Index Options'!$I:$I,"Weekly*")+SUMIFS('BSE - Other Index Options'!$M:$M,'BSE - Other Index Options'!$C:$C,$A262,'BSE - Other Index Options'!$B:$B,F$147,'BSE - Other Index Options'!$I:$I,"MDAW*"))</f>
        <v/>
      </c>
      <c r="G262" s="26">
        <f>IF(SUMIFS('BSE - SENSEX Index Options'!$M:$M,'BSE - SENSEX Index Options'!$C:$C,$A262,'BSE - SENSEX Index Options'!$B:$B,G$147,'BSE - SENSEX Index Options'!$I:$I,"Weekly*")+SUMIFS('BSE - SENSEX Index Options'!$M:$M,'BSE - SENSEX Index Options'!$C:$C,$A262,'BSE - SENSEX Index Options'!$B:$B,G$147,'BSE - SENSEX Index Options'!$I:$I,"MDAW*")+SUMIFS('BSE - Other Index Options'!$M:$M,'BSE - Other Index Options'!$C:$C,$A262,'BSE - Other Index Options'!$B:$B,G$147,'BSE - Other Index Options'!$I:$I,"Weekly*")+SUMIFS('BSE - Other Index Options'!$M:$M,'BSE - Other Index Options'!$C:$C,$A262,'BSE - Other Index Options'!$B:$B,G$147,'BSE - Other Index Options'!$I:$I,"MDAW*")=0,"",SUMIFS('BSE - SENSEX Index Options'!$M:$M,'BSE - SENSEX Index Options'!$C:$C,$A262,'BSE - SENSEX Index Options'!$B:$B,G$147,'BSE - SENSEX Index Options'!$I:$I,"Weekly*")+SUMIFS('BSE - SENSEX Index Options'!$M:$M,'BSE - SENSEX Index Options'!$C:$C,$A262,'BSE - SENSEX Index Options'!$B:$B,G$147,'BSE - SENSEX Index Options'!$I:$I,"MDAW*")+SUMIFS('BSE - Other Index Options'!$M:$M,'BSE - Other Index Options'!$C:$C,$A262,'BSE - Other Index Options'!$B:$B,G$147,'BSE - Other Index Options'!$I:$I,"Weekly*")+SUMIFS('BSE - Other Index Options'!$M:$M,'BSE - Other Index Options'!$C:$C,$A262,'BSE - Other Index Options'!$B:$B,G$147,'BSE - Other Index Options'!$I:$I,"MDAW*"))</f>
        <v/>
      </c>
      <c r="H262" s="26">
        <f>IF(SUM(B262:G262)=0,"",SUM(B262:G262))</f>
        <v/>
      </c>
    </row>
    <row r="263" hidden="1" outlineLevel="1">
      <c r="A263" t="inlineStr">
        <is>
          <t>Week3-Aug-2027</t>
        </is>
      </c>
      <c r="B263" s="26">
        <f>IF(SUMIFS('BSE - SENSEX Index Options'!$M:$M,'BSE - SENSEX Index Options'!$C:$C,$A263,'BSE - SENSEX Index Options'!$B:$B,B$147,'BSE - SENSEX Index Options'!$I:$I,"Weekly*")+SUMIFS('BSE - SENSEX Index Options'!$M:$M,'BSE - SENSEX Index Options'!$C:$C,$A263,'BSE - SENSEX Index Options'!$B:$B,B$147,'BSE - SENSEX Index Options'!$I:$I,"MDAW*")+SUMIFS('BSE - Other Index Options'!$M:$M,'BSE - Other Index Options'!$C:$C,$A263,'BSE - Other Index Options'!$B:$B,B$147,'BSE - Other Index Options'!$I:$I,"Weekly*")+SUMIFS('BSE - Other Index Options'!$M:$M,'BSE - Other Index Options'!$C:$C,$A263,'BSE - Other Index Options'!$B:$B,B$147,'BSE - Other Index Options'!$I:$I,"MDAW*")=0,"",SUMIFS('BSE - SENSEX Index Options'!$M:$M,'BSE - SENSEX Index Options'!$C:$C,$A263,'BSE - SENSEX Index Options'!$B:$B,B$147,'BSE - SENSEX Index Options'!$I:$I,"Weekly*")+SUMIFS('BSE - SENSEX Index Options'!$M:$M,'BSE - SENSEX Index Options'!$C:$C,$A263,'BSE - SENSEX Index Options'!$B:$B,B$147,'BSE - SENSEX Index Options'!$I:$I,"MDAW*")+SUMIFS('BSE - Other Index Options'!$M:$M,'BSE - Other Index Options'!$C:$C,$A263,'BSE - Other Index Options'!$B:$B,B$147,'BSE - Other Index Options'!$I:$I,"Weekly*")+SUMIFS('BSE - Other Index Options'!$M:$M,'BSE - Other Index Options'!$C:$C,$A263,'BSE - Other Index Options'!$B:$B,B$147,'BSE - Other Index Options'!$I:$I,"MDAW*"))</f>
        <v/>
      </c>
      <c r="C263" s="26">
        <f>IF(SUMIFS('BSE - SENSEX Index Options'!$M:$M,'BSE - SENSEX Index Options'!$C:$C,$A263,'BSE - SENSEX Index Options'!$B:$B,C$147,'BSE - SENSEX Index Options'!$I:$I,"Weekly*")+SUMIFS('BSE - SENSEX Index Options'!$M:$M,'BSE - SENSEX Index Options'!$C:$C,$A263,'BSE - SENSEX Index Options'!$B:$B,C$147,'BSE - SENSEX Index Options'!$I:$I,"MDAW*")+SUMIFS('BSE - Other Index Options'!$M:$M,'BSE - Other Index Options'!$C:$C,$A263,'BSE - Other Index Options'!$B:$B,C$147,'BSE - Other Index Options'!$I:$I,"Weekly*")+SUMIFS('BSE - Other Index Options'!$M:$M,'BSE - Other Index Options'!$C:$C,$A263,'BSE - Other Index Options'!$B:$B,C$147,'BSE - Other Index Options'!$I:$I,"MDAW*")=0,"",SUMIFS('BSE - SENSEX Index Options'!$M:$M,'BSE - SENSEX Index Options'!$C:$C,$A263,'BSE - SENSEX Index Options'!$B:$B,C$147,'BSE - SENSEX Index Options'!$I:$I,"Weekly*")+SUMIFS('BSE - SENSEX Index Options'!$M:$M,'BSE - SENSEX Index Options'!$C:$C,$A263,'BSE - SENSEX Index Options'!$B:$B,C$147,'BSE - SENSEX Index Options'!$I:$I,"MDAW*")+SUMIFS('BSE - Other Index Options'!$M:$M,'BSE - Other Index Options'!$C:$C,$A263,'BSE - Other Index Options'!$B:$B,C$147,'BSE - Other Index Options'!$I:$I,"Weekly*")+SUMIFS('BSE - Other Index Options'!$M:$M,'BSE - Other Index Options'!$C:$C,$A263,'BSE - Other Index Options'!$B:$B,C$147,'BSE - Other Index Options'!$I:$I,"MDAW*"))</f>
        <v/>
      </c>
      <c r="D263" s="26">
        <f>IF(SUMIFS('BSE - SENSEX Index Options'!$M:$M,'BSE - SENSEX Index Options'!$C:$C,$A263,'BSE - SENSEX Index Options'!$B:$B,D$147,'BSE - SENSEX Index Options'!$I:$I,"Weekly*")+SUMIFS('BSE - SENSEX Index Options'!$M:$M,'BSE - SENSEX Index Options'!$C:$C,$A263,'BSE - SENSEX Index Options'!$B:$B,D$147,'BSE - SENSEX Index Options'!$I:$I,"MDAW*")+SUMIFS('BSE - Other Index Options'!$M:$M,'BSE - Other Index Options'!$C:$C,$A263,'BSE - Other Index Options'!$B:$B,D$147,'BSE - Other Index Options'!$I:$I,"Weekly*")+SUMIFS('BSE - Other Index Options'!$M:$M,'BSE - Other Index Options'!$C:$C,$A263,'BSE - Other Index Options'!$B:$B,D$147,'BSE - Other Index Options'!$I:$I,"MDAW*")=0,"",SUMIFS('BSE - SENSEX Index Options'!$M:$M,'BSE - SENSEX Index Options'!$C:$C,$A263,'BSE - SENSEX Index Options'!$B:$B,D$147,'BSE - SENSEX Index Options'!$I:$I,"Weekly*")+SUMIFS('BSE - SENSEX Index Options'!$M:$M,'BSE - SENSEX Index Options'!$C:$C,$A263,'BSE - SENSEX Index Options'!$B:$B,D$147,'BSE - SENSEX Index Options'!$I:$I,"MDAW*")+SUMIFS('BSE - Other Index Options'!$M:$M,'BSE - Other Index Options'!$C:$C,$A263,'BSE - Other Index Options'!$B:$B,D$147,'BSE - Other Index Options'!$I:$I,"Weekly*")+SUMIFS('BSE - Other Index Options'!$M:$M,'BSE - Other Index Options'!$C:$C,$A263,'BSE - Other Index Options'!$B:$B,D$147,'BSE - Other Index Options'!$I:$I,"MDAW*"))</f>
        <v/>
      </c>
      <c r="E263" s="26">
        <f>IF(SUMIFS('BSE - SENSEX Index Options'!$M:$M,'BSE - SENSEX Index Options'!$C:$C,$A263,'BSE - SENSEX Index Options'!$B:$B,E$147,'BSE - SENSEX Index Options'!$I:$I,"Weekly*")+SUMIFS('BSE - SENSEX Index Options'!$M:$M,'BSE - SENSEX Index Options'!$C:$C,$A263,'BSE - SENSEX Index Options'!$B:$B,E$147,'BSE - SENSEX Index Options'!$I:$I,"MDAW*")+SUMIFS('BSE - Other Index Options'!$M:$M,'BSE - Other Index Options'!$C:$C,$A263,'BSE - Other Index Options'!$B:$B,E$147,'BSE - Other Index Options'!$I:$I,"Weekly*")+SUMIFS('BSE - Other Index Options'!$M:$M,'BSE - Other Index Options'!$C:$C,$A263,'BSE - Other Index Options'!$B:$B,E$147,'BSE - Other Index Options'!$I:$I,"MDAW*")=0,"",SUMIFS('BSE - SENSEX Index Options'!$M:$M,'BSE - SENSEX Index Options'!$C:$C,$A263,'BSE - SENSEX Index Options'!$B:$B,E$147,'BSE - SENSEX Index Options'!$I:$I,"Weekly*")+SUMIFS('BSE - SENSEX Index Options'!$M:$M,'BSE - SENSEX Index Options'!$C:$C,$A263,'BSE - SENSEX Index Options'!$B:$B,E$147,'BSE - SENSEX Index Options'!$I:$I,"MDAW*")+SUMIFS('BSE - Other Index Options'!$M:$M,'BSE - Other Index Options'!$C:$C,$A263,'BSE - Other Index Options'!$B:$B,E$147,'BSE - Other Index Options'!$I:$I,"Weekly*")+SUMIFS('BSE - Other Index Options'!$M:$M,'BSE - Other Index Options'!$C:$C,$A263,'BSE - Other Index Options'!$B:$B,E$147,'BSE - Other Index Options'!$I:$I,"MDAW*"))</f>
        <v/>
      </c>
      <c r="F263" s="26">
        <f>IF(SUMIFS('BSE - SENSEX Index Options'!$M:$M,'BSE - SENSEX Index Options'!$C:$C,$A263,'BSE - SENSEX Index Options'!$B:$B,F$147,'BSE - SENSEX Index Options'!$I:$I,"Weekly*")+SUMIFS('BSE - SENSEX Index Options'!$M:$M,'BSE - SENSEX Index Options'!$C:$C,$A263,'BSE - SENSEX Index Options'!$B:$B,F$147,'BSE - SENSEX Index Options'!$I:$I,"MDAW*")+SUMIFS('BSE - Other Index Options'!$M:$M,'BSE - Other Index Options'!$C:$C,$A263,'BSE - Other Index Options'!$B:$B,F$147,'BSE - Other Index Options'!$I:$I,"Weekly*")+SUMIFS('BSE - Other Index Options'!$M:$M,'BSE - Other Index Options'!$C:$C,$A263,'BSE - Other Index Options'!$B:$B,F$147,'BSE - Other Index Options'!$I:$I,"MDAW*")=0,"",SUMIFS('BSE - SENSEX Index Options'!$M:$M,'BSE - SENSEX Index Options'!$C:$C,$A263,'BSE - SENSEX Index Options'!$B:$B,F$147,'BSE - SENSEX Index Options'!$I:$I,"Weekly*")+SUMIFS('BSE - SENSEX Index Options'!$M:$M,'BSE - SENSEX Index Options'!$C:$C,$A263,'BSE - SENSEX Index Options'!$B:$B,F$147,'BSE - SENSEX Index Options'!$I:$I,"MDAW*")+SUMIFS('BSE - Other Index Options'!$M:$M,'BSE - Other Index Options'!$C:$C,$A263,'BSE - Other Index Options'!$B:$B,F$147,'BSE - Other Index Options'!$I:$I,"Weekly*")+SUMIFS('BSE - Other Index Options'!$M:$M,'BSE - Other Index Options'!$C:$C,$A263,'BSE - Other Index Options'!$B:$B,F$147,'BSE - Other Index Options'!$I:$I,"MDAW*"))</f>
        <v/>
      </c>
      <c r="G263" s="26">
        <f>IF(SUMIFS('BSE - SENSEX Index Options'!$M:$M,'BSE - SENSEX Index Options'!$C:$C,$A263,'BSE - SENSEX Index Options'!$B:$B,G$147,'BSE - SENSEX Index Options'!$I:$I,"Weekly*")+SUMIFS('BSE - SENSEX Index Options'!$M:$M,'BSE - SENSEX Index Options'!$C:$C,$A263,'BSE - SENSEX Index Options'!$B:$B,G$147,'BSE - SENSEX Index Options'!$I:$I,"MDAW*")+SUMIFS('BSE - Other Index Options'!$M:$M,'BSE - Other Index Options'!$C:$C,$A263,'BSE - Other Index Options'!$B:$B,G$147,'BSE - Other Index Options'!$I:$I,"Weekly*")+SUMIFS('BSE - Other Index Options'!$M:$M,'BSE - Other Index Options'!$C:$C,$A263,'BSE - Other Index Options'!$B:$B,G$147,'BSE - Other Index Options'!$I:$I,"MDAW*")=0,"",SUMIFS('BSE - SENSEX Index Options'!$M:$M,'BSE - SENSEX Index Options'!$C:$C,$A263,'BSE - SENSEX Index Options'!$B:$B,G$147,'BSE - SENSEX Index Options'!$I:$I,"Weekly*")+SUMIFS('BSE - SENSEX Index Options'!$M:$M,'BSE - SENSEX Index Options'!$C:$C,$A263,'BSE - SENSEX Index Options'!$B:$B,G$147,'BSE - SENSEX Index Options'!$I:$I,"MDAW*")+SUMIFS('BSE - Other Index Options'!$M:$M,'BSE - Other Index Options'!$C:$C,$A263,'BSE - Other Index Options'!$B:$B,G$147,'BSE - Other Index Options'!$I:$I,"Weekly*")+SUMIFS('BSE - Other Index Options'!$M:$M,'BSE - Other Index Options'!$C:$C,$A263,'BSE - Other Index Options'!$B:$B,G$147,'BSE - Other Index Options'!$I:$I,"MDAW*"))</f>
        <v/>
      </c>
      <c r="H263" s="26">
        <f>IF(SUM(B263:G263)=0,"",SUM(B263:G263))</f>
        <v/>
      </c>
    </row>
    <row r="264" hidden="1" outlineLevel="1">
      <c r="A264" t="inlineStr">
        <is>
          <t>Week4-Aug-2027</t>
        </is>
      </c>
      <c r="B264" s="26">
        <f>IF(SUMIFS('BSE - SENSEX Index Options'!$M:$M,'BSE - SENSEX Index Options'!$C:$C,$A264,'BSE - SENSEX Index Options'!$B:$B,B$147,'BSE - SENSEX Index Options'!$I:$I,"Weekly*")+SUMIFS('BSE - SENSEX Index Options'!$M:$M,'BSE - SENSEX Index Options'!$C:$C,$A264,'BSE - SENSEX Index Options'!$B:$B,B$147,'BSE - SENSEX Index Options'!$I:$I,"MDAW*")+SUMIFS('BSE - Other Index Options'!$M:$M,'BSE - Other Index Options'!$C:$C,$A264,'BSE - Other Index Options'!$B:$B,B$147,'BSE - Other Index Options'!$I:$I,"Weekly*")+SUMIFS('BSE - Other Index Options'!$M:$M,'BSE - Other Index Options'!$C:$C,$A264,'BSE - Other Index Options'!$B:$B,B$147,'BSE - Other Index Options'!$I:$I,"MDAW*")=0,"",SUMIFS('BSE - SENSEX Index Options'!$M:$M,'BSE - SENSEX Index Options'!$C:$C,$A264,'BSE - SENSEX Index Options'!$B:$B,B$147,'BSE - SENSEX Index Options'!$I:$I,"Weekly*")+SUMIFS('BSE - SENSEX Index Options'!$M:$M,'BSE - SENSEX Index Options'!$C:$C,$A264,'BSE - SENSEX Index Options'!$B:$B,B$147,'BSE - SENSEX Index Options'!$I:$I,"MDAW*")+SUMIFS('BSE - Other Index Options'!$M:$M,'BSE - Other Index Options'!$C:$C,$A264,'BSE - Other Index Options'!$B:$B,B$147,'BSE - Other Index Options'!$I:$I,"Weekly*")+SUMIFS('BSE - Other Index Options'!$M:$M,'BSE - Other Index Options'!$C:$C,$A264,'BSE - Other Index Options'!$B:$B,B$147,'BSE - Other Index Options'!$I:$I,"MDAW*"))</f>
        <v/>
      </c>
      <c r="C264" s="26">
        <f>IF(SUMIFS('BSE - SENSEX Index Options'!$M:$M,'BSE - SENSEX Index Options'!$C:$C,$A264,'BSE - SENSEX Index Options'!$B:$B,C$147,'BSE - SENSEX Index Options'!$I:$I,"Weekly*")+SUMIFS('BSE - SENSEX Index Options'!$M:$M,'BSE - SENSEX Index Options'!$C:$C,$A264,'BSE - SENSEX Index Options'!$B:$B,C$147,'BSE - SENSEX Index Options'!$I:$I,"MDAW*")+SUMIFS('BSE - Other Index Options'!$M:$M,'BSE - Other Index Options'!$C:$C,$A264,'BSE - Other Index Options'!$B:$B,C$147,'BSE - Other Index Options'!$I:$I,"Weekly*")+SUMIFS('BSE - Other Index Options'!$M:$M,'BSE - Other Index Options'!$C:$C,$A264,'BSE - Other Index Options'!$B:$B,C$147,'BSE - Other Index Options'!$I:$I,"MDAW*")=0,"",SUMIFS('BSE - SENSEX Index Options'!$M:$M,'BSE - SENSEX Index Options'!$C:$C,$A264,'BSE - SENSEX Index Options'!$B:$B,C$147,'BSE - SENSEX Index Options'!$I:$I,"Weekly*")+SUMIFS('BSE - SENSEX Index Options'!$M:$M,'BSE - SENSEX Index Options'!$C:$C,$A264,'BSE - SENSEX Index Options'!$B:$B,C$147,'BSE - SENSEX Index Options'!$I:$I,"MDAW*")+SUMIFS('BSE - Other Index Options'!$M:$M,'BSE - Other Index Options'!$C:$C,$A264,'BSE - Other Index Options'!$B:$B,C$147,'BSE - Other Index Options'!$I:$I,"Weekly*")+SUMIFS('BSE - Other Index Options'!$M:$M,'BSE - Other Index Options'!$C:$C,$A264,'BSE - Other Index Options'!$B:$B,C$147,'BSE - Other Index Options'!$I:$I,"MDAW*"))</f>
        <v/>
      </c>
      <c r="D264" s="26">
        <f>IF(SUMIFS('BSE - SENSEX Index Options'!$M:$M,'BSE - SENSEX Index Options'!$C:$C,$A264,'BSE - SENSEX Index Options'!$B:$B,D$147,'BSE - SENSEX Index Options'!$I:$I,"Weekly*")+SUMIFS('BSE - SENSEX Index Options'!$M:$M,'BSE - SENSEX Index Options'!$C:$C,$A264,'BSE - SENSEX Index Options'!$B:$B,D$147,'BSE - SENSEX Index Options'!$I:$I,"MDAW*")+SUMIFS('BSE - Other Index Options'!$M:$M,'BSE - Other Index Options'!$C:$C,$A264,'BSE - Other Index Options'!$B:$B,D$147,'BSE - Other Index Options'!$I:$I,"Weekly*")+SUMIFS('BSE - Other Index Options'!$M:$M,'BSE - Other Index Options'!$C:$C,$A264,'BSE - Other Index Options'!$B:$B,D$147,'BSE - Other Index Options'!$I:$I,"MDAW*")=0,"",SUMIFS('BSE - SENSEX Index Options'!$M:$M,'BSE - SENSEX Index Options'!$C:$C,$A264,'BSE - SENSEX Index Options'!$B:$B,D$147,'BSE - SENSEX Index Options'!$I:$I,"Weekly*")+SUMIFS('BSE - SENSEX Index Options'!$M:$M,'BSE - SENSEX Index Options'!$C:$C,$A264,'BSE - SENSEX Index Options'!$B:$B,D$147,'BSE - SENSEX Index Options'!$I:$I,"MDAW*")+SUMIFS('BSE - Other Index Options'!$M:$M,'BSE - Other Index Options'!$C:$C,$A264,'BSE - Other Index Options'!$B:$B,D$147,'BSE - Other Index Options'!$I:$I,"Weekly*")+SUMIFS('BSE - Other Index Options'!$M:$M,'BSE - Other Index Options'!$C:$C,$A264,'BSE - Other Index Options'!$B:$B,D$147,'BSE - Other Index Options'!$I:$I,"MDAW*"))</f>
        <v/>
      </c>
      <c r="E264" s="26">
        <f>IF(SUMIFS('BSE - SENSEX Index Options'!$M:$M,'BSE - SENSEX Index Options'!$C:$C,$A264,'BSE - SENSEX Index Options'!$B:$B,E$147,'BSE - SENSEX Index Options'!$I:$I,"Weekly*")+SUMIFS('BSE - SENSEX Index Options'!$M:$M,'BSE - SENSEX Index Options'!$C:$C,$A264,'BSE - SENSEX Index Options'!$B:$B,E$147,'BSE - SENSEX Index Options'!$I:$I,"MDAW*")+SUMIFS('BSE - Other Index Options'!$M:$M,'BSE - Other Index Options'!$C:$C,$A264,'BSE - Other Index Options'!$B:$B,E$147,'BSE - Other Index Options'!$I:$I,"Weekly*")+SUMIFS('BSE - Other Index Options'!$M:$M,'BSE - Other Index Options'!$C:$C,$A264,'BSE - Other Index Options'!$B:$B,E$147,'BSE - Other Index Options'!$I:$I,"MDAW*")=0,"",SUMIFS('BSE - SENSEX Index Options'!$M:$M,'BSE - SENSEX Index Options'!$C:$C,$A264,'BSE - SENSEX Index Options'!$B:$B,E$147,'BSE - SENSEX Index Options'!$I:$I,"Weekly*")+SUMIFS('BSE - SENSEX Index Options'!$M:$M,'BSE - SENSEX Index Options'!$C:$C,$A264,'BSE - SENSEX Index Options'!$B:$B,E$147,'BSE - SENSEX Index Options'!$I:$I,"MDAW*")+SUMIFS('BSE - Other Index Options'!$M:$M,'BSE - Other Index Options'!$C:$C,$A264,'BSE - Other Index Options'!$B:$B,E$147,'BSE - Other Index Options'!$I:$I,"Weekly*")+SUMIFS('BSE - Other Index Options'!$M:$M,'BSE - Other Index Options'!$C:$C,$A264,'BSE - Other Index Options'!$B:$B,E$147,'BSE - Other Index Options'!$I:$I,"MDAW*"))</f>
        <v/>
      </c>
      <c r="F264" s="26">
        <f>IF(SUMIFS('BSE - SENSEX Index Options'!$M:$M,'BSE - SENSEX Index Options'!$C:$C,$A264,'BSE - SENSEX Index Options'!$B:$B,F$147,'BSE - SENSEX Index Options'!$I:$I,"Weekly*")+SUMIFS('BSE - SENSEX Index Options'!$M:$M,'BSE - SENSEX Index Options'!$C:$C,$A264,'BSE - SENSEX Index Options'!$B:$B,F$147,'BSE - SENSEX Index Options'!$I:$I,"MDAW*")+SUMIFS('BSE - Other Index Options'!$M:$M,'BSE - Other Index Options'!$C:$C,$A264,'BSE - Other Index Options'!$B:$B,F$147,'BSE - Other Index Options'!$I:$I,"Weekly*")+SUMIFS('BSE - Other Index Options'!$M:$M,'BSE - Other Index Options'!$C:$C,$A264,'BSE - Other Index Options'!$B:$B,F$147,'BSE - Other Index Options'!$I:$I,"MDAW*")=0,"",SUMIFS('BSE - SENSEX Index Options'!$M:$M,'BSE - SENSEX Index Options'!$C:$C,$A264,'BSE - SENSEX Index Options'!$B:$B,F$147,'BSE - SENSEX Index Options'!$I:$I,"Weekly*")+SUMIFS('BSE - SENSEX Index Options'!$M:$M,'BSE - SENSEX Index Options'!$C:$C,$A264,'BSE - SENSEX Index Options'!$B:$B,F$147,'BSE - SENSEX Index Options'!$I:$I,"MDAW*")+SUMIFS('BSE - Other Index Options'!$M:$M,'BSE - Other Index Options'!$C:$C,$A264,'BSE - Other Index Options'!$B:$B,F$147,'BSE - Other Index Options'!$I:$I,"Weekly*")+SUMIFS('BSE - Other Index Options'!$M:$M,'BSE - Other Index Options'!$C:$C,$A264,'BSE - Other Index Options'!$B:$B,F$147,'BSE - Other Index Options'!$I:$I,"MDAW*"))</f>
        <v/>
      </c>
      <c r="G264" s="26">
        <f>IF(SUMIFS('BSE - SENSEX Index Options'!$M:$M,'BSE - SENSEX Index Options'!$C:$C,$A264,'BSE - SENSEX Index Options'!$B:$B,G$147,'BSE - SENSEX Index Options'!$I:$I,"Weekly*")+SUMIFS('BSE - SENSEX Index Options'!$M:$M,'BSE - SENSEX Index Options'!$C:$C,$A264,'BSE - SENSEX Index Options'!$B:$B,G$147,'BSE - SENSEX Index Options'!$I:$I,"MDAW*")+SUMIFS('BSE - Other Index Options'!$M:$M,'BSE - Other Index Options'!$C:$C,$A264,'BSE - Other Index Options'!$B:$B,G$147,'BSE - Other Index Options'!$I:$I,"Weekly*")+SUMIFS('BSE - Other Index Options'!$M:$M,'BSE - Other Index Options'!$C:$C,$A264,'BSE - Other Index Options'!$B:$B,G$147,'BSE - Other Index Options'!$I:$I,"MDAW*")=0,"",SUMIFS('BSE - SENSEX Index Options'!$M:$M,'BSE - SENSEX Index Options'!$C:$C,$A264,'BSE - SENSEX Index Options'!$B:$B,G$147,'BSE - SENSEX Index Options'!$I:$I,"Weekly*")+SUMIFS('BSE - SENSEX Index Options'!$M:$M,'BSE - SENSEX Index Options'!$C:$C,$A264,'BSE - SENSEX Index Options'!$B:$B,G$147,'BSE - SENSEX Index Options'!$I:$I,"MDAW*")+SUMIFS('BSE - Other Index Options'!$M:$M,'BSE - Other Index Options'!$C:$C,$A264,'BSE - Other Index Options'!$B:$B,G$147,'BSE - Other Index Options'!$I:$I,"Weekly*")+SUMIFS('BSE - Other Index Options'!$M:$M,'BSE - Other Index Options'!$C:$C,$A264,'BSE - Other Index Options'!$B:$B,G$147,'BSE - Other Index Options'!$I:$I,"MDAW*"))</f>
        <v/>
      </c>
      <c r="H264" s="26">
        <f>IF(SUM(B264:G264)=0,"",SUM(B264:G264))</f>
        <v/>
      </c>
    </row>
    <row r="265" hidden="1" outlineLevel="1">
      <c r="A265" t="inlineStr">
        <is>
          <t>Week5-Aug-2027</t>
        </is>
      </c>
      <c r="B265" s="26">
        <f>IF(SUMIFS('BSE - SENSEX Index Options'!$M:$M,'BSE - SENSEX Index Options'!$C:$C,$A265,'BSE - SENSEX Index Options'!$B:$B,B$147,'BSE - SENSEX Index Options'!$I:$I,"Weekly*")+SUMIFS('BSE - SENSEX Index Options'!$M:$M,'BSE - SENSEX Index Options'!$C:$C,$A265,'BSE - SENSEX Index Options'!$B:$B,B$147,'BSE - SENSEX Index Options'!$I:$I,"MDAW*")+SUMIFS('BSE - Other Index Options'!$M:$M,'BSE - Other Index Options'!$C:$C,$A265,'BSE - Other Index Options'!$B:$B,B$147,'BSE - Other Index Options'!$I:$I,"Weekly*")+SUMIFS('BSE - Other Index Options'!$M:$M,'BSE - Other Index Options'!$C:$C,$A265,'BSE - Other Index Options'!$B:$B,B$147,'BSE - Other Index Options'!$I:$I,"MDAW*")=0,"",SUMIFS('BSE - SENSEX Index Options'!$M:$M,'BSE - SENSEX Index Options'!$C:$C,$A265,'BSE - SENSEX Index Options'!$B:$B,B$147,'BSE - SENSEX Index Options'!$I:$I,"Weekly*")+SUMIFS('BSE - SENSEX Index Options'!$M:$M,'BSE - SENSEX Index Options'!$C:$C,$A265,'BSE - SENSEX Index Options'!$B:$B,B$147,'BSE - SENSEX Index Options'!$I:$I,"MDAW*")+SUMIFS('BSE - Other Index Options'!$M:$M,'BSE - Other Index Options'!$C:$C,$A265,'BSE - Other Index Options'!$B:$B,B$147,'BSE - Other Index Options'!$I:$I,"Weekly*")+SUMIFS('BSE - Other Index Options'!$M:$M,'BSE - Other Index Options'!$C:$C,$A265,'BSE - Other Index Options'!$B:$B,B$147,'BSE - Other Index Options'!$I:$I,"MDAW*"))</f>
        <v/>
      </c>
      <c r="C265" s="26">
        <f>IF(SUMIFS('BSE - SENSEX Index Options'!$M:$M,'BSE - SENSEX Index Options'!$C:$C,$A265,'BSE - SENSEX Index Options'!$B:$B,C$147,'BSE - SENSEX Index Options'!$I:$I,"Weekly*")+SUMIFS('BSE - SENSEX Index Options'!$M:$M,'BSE - SENSEX Index Options'!$C:$C,$A265,'BSE - SENSEX Index Options'!$B:$B,C$147,'BSE - SENSEX Index Options'!$I:$I,"MDAW*")+SUMIFS('BSE - Other Index Options'!$M:$M,'BSE - Other Index Options'!$C:$C,$A265,'BSE - Other Index Options'!$B:$B,C$147,'BSE - Other Index Options'!$I:$I,"Weekly*")+SUMIFS('BSE - Other Index Options'!$M:$M,'BSE - Other Index Options'!$C:$C,$A265,'BSE - Other Index Options'!$B:$B,C$147,'BSE - Other Index Options'!$I:$I,"MDAW*")=0,"",SUMIFS('BSE - SENSEX Index Options'!$M:$M,'BSE - SENSEX Index Options'!$C:$C,$A265,'BSE - SENSEX Index Options'!$B:$B,C$147,'BSE - SENSEX Index Options'!$I:$I,"Weekly*")+SUMIFS('BSE - SENSEX Index Options'!$M:$M,'BSE - SENSEX Index Options'!$C:$C,$A265,'BSE - SENSEX Index Options'!$B:$B,C$147,'BSE - SENSEX Index Options'!$I:$I,"MDAW*")+SUMIFS('BSE - Other Index Options'!$M:$M,'BSE - Other Index Options'!$C:$C,$A265,'BSE - Other Index Options'!$B:$B,C$147,'BSE - Other Index Options'!$I:$I,"Weekly*")+SUMIFS('BSE - Other Index Options'!$M:$M,'BSE - Other Index Options'!$C:$C,$A265,'BSE - Other Index Options'!$B:$B,C$147,'BSE - Other Index Options'!$I:$I,"MDAW*"))</f>
        <v/>
      </c>
      <c r="D265" s="26">
        <f>IF(SUMIFS('BSE - SENSEX Index Options'!$M:$M,'BSE - SENSEX Index Options'!$C:$C,$A265,'BSE - SENSEX Index Options'!$B:$B,D$147,'BSE - SENSEX Index Options'!$I:$I,"Weekly*")+SUMIFS('BSE - SENSEX Index Options'!$M:$M,'BSE - SENSEX Index Options'!$C:$C,$A265,'BSE - SENSEX Index Options'!$B:$B,D$147,'BSE - SENSEX Index Options'!$I:$I,"MDAW*")+SUMIFS('BSE - Other Index Options'!$M:$M,'BSE - Other Index Options'!$C:$C,$A265,'BSE - Other Index Options'!$B:$B,D$147,'BSE - Other Index Options'!$I:$I,"Weekly*")+SUMIFS('BSE - Other Index Options'!$M:$M,'BSE - Other Index Options'!$C:$C,$A265,'BSE - Other Index Options'!$B:$B,D$147,'BSE - Other Index Options'!$I:$I,"MDAW*")=0,"",SUMIFS('BSE - SENSEX Index Options'!$M:$M,'BSE - SENSEX Index Options'!$C:$C,$A265,'BSE - SENSEX Index Options'!$B:$B,D$147,'BSE - SENSEX Index Options'!$I:$I,"Weekly*")+SUMIFS('BSE - SENSEX Index Options'!$M:$M,'BSE - SENSEX Index Options'!$C:$C,$A265,'BSE - SENSEX Index Options'!$B:$B,D$147,'BSE - SENSEX Index Options'!$I:$I,"MDAW*")+SUMIFS('BSE - Other Index Options'!$M:$M,'BSE - Other Index Options'!$C:$C,$A265,'BSE - Other Index Options'!$B:$B,D$147,'BSE - Other Index Options'!$I:$I,"Weekly*")+SUMIFS('BSE - Other Index Options'!$M:$M,'BSE - Other Index Options'!$C:$C,$A265,'BSE - Other Index Options'!$B:$B,D$147,'BSE - Other Index Options'!$I:$I,"MDAW*"))</f>
        <v/>
      </c>
      <c r="E265" s="26">
        <f>IF(SUMIFS('BSE - SENSEX Index Options'!$M:$M,'BSE - SENSEX Index Options'!$C:$C,$A265,'BSE - SENSEX Index Options'!$B:$B,E$147,'BSE - SENSEX Index Options'!$I:$I,"Weekly*")+SUMIFS('BSE - SENSEX Index Options'!$M:$M,'BSE - SENSEX Index Options'!$C:$C,$A265,'BSE - SENSEX Index Options'!$B:$B,E$147,'BSE - SENSEX Index Options'!$I:$I,"MDAW*")+SUMIFS('BSE - Other Index Options'!$M:$M,'BSE - Other Index Options'!$C:$C,$A265,'BSE - Other Index Options'!$B:$B,E$147,'BSE - Other Index Options'!$I:$I,"Weekly*")+SUMIFS('BSE - Other Index Options'!$M:$M,'BSE - Other Index Options'!$C:$C,$A265,'BSE - Other Index Options'!$B:$B,E$147,'BSE - Other Index Options'!$I:$I,"MDAW*")=0,"",SUMIFS('BSE - SENSEX Index Options'!$M:$M,'BSE - SENSEX Index Options'!$C:$C,$A265,'BSE - SENSEX Index Options'!$B:$B,E$147,'BSE - SENSEX Index Options'!$I:$I,"Weekly*")+SUMIFS('BSE - SENSEX Index Options'!$M:$M,'BSE - SENSEX Index Options'!$C:$C,$A265,'BSE - SENSEX Index Options'!$B:$B,E$147,'BSE - SENSEX Index Options'!$I:$I,"MDAW*")+SUMIFS('BSE - Other Index Options'!$M:$M,'BSE - Other Index Options'!$C:$C,$A265,'BSE - Other Index Options'!$B:$B,E$147,'BSE - Other Index Options'!$I:$I,"Weekly*")+SUMIFS('BSE - Other Index Options'!$M:$M,'BSE - Other Index Options'!$C:$C,$A265,'BSE - Other Index Options'!$B:$B,E$147,'BSE - Other Index Options'!$I:$I,"MDAW*"))</f>
        <v/>
      </c>
      <c r="F265" s="26">
        <f>IF(SUMIFS('BSE - SENSEX Index Options'!$M:$M,'BSE - SENSEX Index Options'!$C:$C,$A265,'BSE - SENSEX Index Options'!$B:$B,F$147,'BSE - SENSEX Index Options'!$I:$I,"Weekly*")+SUMIFS('BSE - SENSEX Index Options'!$M:$M,'BSE - SENSEX Index Options'!$C:$C,$A265,'BSE - SENSEX Index Options'!$B:$B,F$147,'BSE - SENSEX Index Options'!$I:$I,"MDAW*")+SUMIFS('BSE - Other Index Options'!$M:$M,'BSE - Other Index Options'!$C:$C,$A265,'BSE - Other Index Options'!$B:$B,F$147,'BSE - Other Index Options'!$I:$I,"Weekly*")+SUMIFS('BSE - Other Index Options'!$M:$M,'BSE - Other Index Options'!$C:$C,$A265,'BSE - Other Index Options'!$B:$B,F$147,'BSE - Other Index Options'!$I:$I,"MDAW*")=0,"",SUMIFS('BSE - SENSEX Index Options'!$M:$M,'BSE - SENSEX Index Options'!$C:$C,$A265,'BSE - SENSEX Index Options'!$B:$B,F$147,'BSE - SENSEX Index Options'!$I:$I,"Weekly*")+SUMIFS('BSE - SENSEX Index Options'!$M:$M,'BSE - SENSEX Index Options'!$C:$C,$A265,'BSE - SENSEX Index Options'!$B:$B,F$147,'BSE - SENSEX Index Options'!$I:$I,"MDAW*")+SUMIFS('BSE - Other Index Options'!$M:$M,'BSE - Other Index Options'!$C:$C,$A265,'BSE - Other Index Options'!$B:$B,F$147,'BSE - Other Index Options'!$I:$I,"Weekly*")+SUMIFS('BSE - Other Index Options'!$M:$M,'BSE - Other Index Options'!$C:$C,$A265,'BSE - Other Index Options'!$B:$B,F$147,'BSE - Other Index Options'!$I:$I,"MDAW*"))</f>
        <v/>
      </c>
      <c r="G265" s="26">
        <f>IF(SUMIFS('BSE - SENSEX Index Options'!$M:$M,'BSE - SENSEX Index Options'!$C:$C,$A265,'BSE - SENSEX Index Options'!$B:$B,G$147,'BSE - SENSEX Index Options'!$I:$I,"Weekly*")+SUMIFS('BSE - SENSEX Index Options'!$M:$M,'BSE - SENSEX Index Options'!$C:$C,$A265,'BSE - SENSEX Index Options'!$B:$B,G$147,'BSE - SENSEX Index Options'!$I:$I,"MDAW*")+SUMIFS('BSE - Other Index Options'!$M:$M,'BSE - Other Index Options'!$C:$C,$A265,'BSE - Other Index Options'!$B:$B,G$147,'BSE - Other Index Options'!$I:$I,"Weekly*")+SUMIFS('BSE - Other Index Options'!$M:$M,'BSE - Other Index Options'!$C:$C,$A265,'BSE - Other Index Options'!$B:$B,G$147,'BSE - Other Index Options'!$I:$I,"MDAW*")=0,"",SUMIFS('BSE - SENSEX Index Options'!$M:$M,'BSE - SENSEX Index Options'!$C:$C,$A265,'BSE - SENSEX Index Options'!$B:$B,G$147,'BSE - SENSEX Index Options'!$I:$I,"Weekly*")+SUMIFS('BSE - SENSEX Index Options'!$M:$M,'BSE - SENSEX Index Options'!$C:$C,$A265,'BSE - SENSEX Index Options'!$B:$B,G$147,'BSE - SENSEX Index Options'!$I:$I,"MDAW*")+SUMIFS('BSE - Other Index Options'!$M:$M,'BSE - Other Index Options'!$C:$C,$A265,'BSE - Other Index Options'!$B:$B,G$147,'BSE - Other Index Options'!$I:$I,"Weekly*")+SUMIFS('BSE - Other Index Options'!$M:$M,'BSE - Other Index Options'!$C:$C,$A265,'BSE - Other Index Options'!$B:$B,G$147,'BSE - Other Index Options'!$I:$I,"MDAW*"))</f>
        <v/>
      </c>
      <c r="H265" s="26">
        <f>IF(SUM(B265:G265)=0,"",SUM(B265:G265))</f>
        <v/>
      </c>
    </row>
    <row r="266" hidden="1" outlineLevel="1">
      <c r="A266" t="inlineStr">
        <is>
          <t>Week1-Sep-2027</t>
        </is>
      </c>
      <c r="B266" s="26">
        <f>IF(SUMIFS('BSE - SENSEX Index Options'!$M:$M,'BSE - SENSEX Index Options'!$C:$C,$A266,'BSE - SENSEX Index Options'!$B:$B,B$147,'BSE - SENSEX Index Options'!$I:$I,"Weekly*")+SUMIFS('BSE - SENSEX Index Options'!$M:$M,'BSE - SENSEX Index Options'!$C:$C,$A266,'BSE - SENSEX Index Options'!$B:$B,B$147,'BSE - SENSEX Index Options'!$I:$I,"MDAW*")+SUMIFS('BSE - Other Index Options'!$M:$M,'BSE - Other Index Options'!$C:$C,$A266,'BSE - Other Index Options'!$B:$B,B$147,'BSE - Other Index Options'!$I:$I,"Weekly*")+SUMIFS('BSE - Other Index Options'!$M:$M,'BSE - Other Index Options'!$C:$C,$A266,'BSE - Other Index Options'!$B:$B,B$147,'BSE - Other Index Options'!$I:$I,"MDAW*")=0,"",SUMIFS('BSE - SENSEX Index Options'!$M:$M,'BSE - SENSEX Index Options'!$C:$C,$A266,'BSE - SENSEX Index Options'!$B:$B,B$147,'BSE - SENSEX Index Options'!$I:$I,"Weekly*")+SUMIFS('BSE - SENSEX Index Options'!$M:$M,'BSE - SENSEX Index Options'!$C:$C,$A266,'BSE - SENSEX Index Options'!$B:$B,B$147,'BSE - SENSEX Index Options'!$I:$I,"MDAW*")+SUMIFS('BSE - Other Index Options'!$M:$M,'BSE - Other Index Options'!$C:$C,$A266,'BSE - Other Index Options'!$B:$B,B$147,'BSE - Other Index Options'!$I:$I,"Weekly*")+SUMIFS('BSE - Other Index Options'!$M:$M,'BSE - Other Index Options'!$C:$C,$A266,'BSE - Other Index Options'!$B:$B,B$147,'BSE - Other Index Options'!$I:$I,"MDAW*"))</f>
        <v/>
      </c>
      <c r="C266" s="26">
        <f>IF(SUMIFS('BSE - SENSEX Index Options'!$M:$M,'BSE - SENSEX Index Options'!$C:$C,$A266,'BSE - SENSEX Index Options'!$B:$B,C$147,'BSE - SENSEX Index Options'!$I:$I,"Weekly*")+SUMIFS('BSE - SENSEX Index Options'!$M:$M,'BSE - SENSEX Index Options'!$C:$C,$A266,'BSE - SENSEX Index Options'!$B:$B,C$147,'BSE - SENSEX Index Options'!$I:$I,"MDAW*")+SUMIFS('BSE - Other Index Options'!$M:$M,'BSE - Other Index Options'!$C:$C,$A266,'BSE - Other Index Options'!$B:$B,C$147,'BSE - Other Index Options'!$I:$I,"Weekly*")+SUMIFS('BSE - Other Index Options'!$M:$M,'BSE - Other Index Options'!$C:$C,$A266,'BSE - Other Index Options'!$B:$B,C$147,'BSE - Other Index Options'!$I:$I,"MDAW*")=0,"",SUMIFS('BSE - SENSEX Index Options'!$M:$M,'BSE - SENSEX Index Options'!$C:$C,$A266,'BSE - SENSEX Index Options'!$B:$B,C$147,'BSE - SENSEX Index Options'!$I:$I,"Weekly*")+SUMIFS('BSE - SENSEX Index Options'!$M:$M,'BSE - SENSEX Index Options'!$C:$C,$A266,'BSE - SENSEX Index Options'!$B:$B,C$147,'BSE - SENSEX Index Options'!$I:$I,"MDAW*")+SUMIFS('BSE - Other Index Options'!$M:$M,'BSE - Other Index Options'!$C:$C,$A266,'BSE - Other Index Options'!$B:$B,C$147,'BSE - Other Index Options'!$I:$I,"Weekly*")+SUMIFS('BSE - Other Index Options'!$M:$M,'BSE - Other Index Options'!$C:$C,$A266,'BSE - Other Index Options'!$B:$B,C$147,'BSE - Other Index Options'!$I:$I,"MDAW*"))</f>
        <v/>
      </c>
      <c r="D266" s="26">
        <f>IF(SUMIFS('BSE - SENSEX Index Options'!$M:$M,'BSE - SENSEX Index Options'!$C:$C,$A266,'BSE - SENSEX Index Options'!$B:$B,D$147,'BSE - SENSEX Index Options'!$I:$I,"Weekly*")+SUMIFS('BSE - SENSEX Index Options'!$M:$M,'BSE - SENSEX Index Options'!$C:$C,$A266,'BSE - SENSEX Index Options'!$B:$B,D$147,'BSE - SENSEX Index Options'!$I:$I,"MDAW*")+SUMIFS('BSE - Other Index Options'!$M:$M,'BSE - Other Index Options'!$C:$C,$A266,'BSE - Other Index Options'!$B:$B,D$147,'BSE - Other Index Options'!$I:$I,"Weekly*")+SUMIFS('BSE - Other Index Options'!$M:$M,'BSE - Other Index Options'!$C:$C,$A266,'BSE - Other Index Options'!$B:$B,D$147,'BSE - Other Index Options'!$I:$I,"MDAW*")=0,"",SUMIFS('BSE - SENSEX Index Options'!$M:$M,'BSE - SENSEX Index Options'!$C:$C,$A266,'BSE - SENSEX Index Options'!$B:$B,D$147,'BSE - SENSEX Index Options'!$I:$I,"Weekly*")+SUMIFS('BSE - SENSEX Index Options'!$M:$M,'BSE - SENSEX Index Options'!$C:$C,$A266,'BSE - SENSEX Index Options'!$B:$B,D$147,'BSE - SENSEX Index Options'!$I:$I,"MDAW*")+SUMIFS('BSE - Other Index Options'!$M:$M,'BSE - Other Index Options'!$C:$C,$A266,'BSE - Other Index Options'!$B:$B,D$147,'BSE - Other Index Options'!$I:$I,"Weekly*")+SUMIFS('BSE - Other Index Options'!$M:$M,'BSE - Other Index Options'!$C:$C,$A266,'BSE - Other Index Options'!$B:$B,D$147,'BSE - Other Index Options'!$I:$I,"MDAW*"))</f>
        <v/>
      </c>
      <c r="E266" s="26">
        <f>IF(SUMIFS('BSE - SENSEX Index Options'!$M:$M,'BSE - SENSEX Index Options'!$C:$C,$A266,'BSE - SENSEX Index Options'!$B:$B,E$147,'BSE - SENSEX Index Options'!$I:$I,"Weekly*")+SUMIFS('BSE - SENSEX Index Options'!$M:$M,'BSE - SENSEX Index Options'!$C:$C,$A266,'BSE - SENSEX Index Options'!$B:$B,E$147,'BSE - SENSEX Index Options'!$I:$I,"MDAW*")+SUMIFS('BSE - Other Index Options'!$M:$M,'BSE - Other Index Options'!$C:$C,$A266,'BSE - Other Index Options'!$B:$B,E$147,'BSE - Other Index Options'!$I:$I,"Weekly*")+SUMIFS('BSE - Other Index Options'!$M:$M,'BSE - Other Index Options'!$C:$C,$A266,'BSE - Other Index Options'!$B:$B,E$147,'BSE - Other Index Options'!$I:$I,"MDAW*")=0,"",SUMIFS('BSE - SENSEX Index Options'!$M:$M,'BSE - SENSEX Index Options'!$C:$C,$A266,'BSE - SENSEX Index Options'!$B:$B,E$147,'BSE - SENSEX Index Options'!$I:$I,"Weekly*")+SUMIFS('BSE - SENSEX Index Options'!$M:$M,'BSE - SENSEX Index Options'!$C:$C,$A266,'BSE - SENSEX Index Options'!$B:$B,E$147,'BSE - SENSEX Index Options'!$I:$I,"MDAW*")+SUMIFS('BSE - Other Index Options'!$M:$M,'BSE - Other Index Options'!$C:$C,$A266,'BSE - Other Index Options'!$B:$B,E$147,'BSE - Other Index Options'!$I:$I,"Weekly*")+SUMIFS('BSE - Other Index Options'!$M:$M,'BSE - Other Index Options'!$C:$C,$A266,'BSE - Other Index Options'!$B:$B,E$147,'BSE - Other Index Options'!$I:$I,"MDAW*"))</f>
        <v/>
      </c>
      <c r="F266" s="26">
        <f>IF(SUMIFS('BSE - SENSEX Index Options'!$M:$M,'BSE - SENSEX Index Options'!$C:$C,$A266,'BSE - SENSEX Index Options'!$B:$B,F$147,'BSE - SENSEX Index Options'!$I:$I,"Weekly*")+SUMIFS('BSE - SENSEX Index Options'!$M:$M,'BSE - SENSEX Index Options'!$C:$C,$A266,'BSE - SENSEX Index Options'!$B:$B,F$147,'BSE - SENSEX Index Options'!$I:$I,"MDAW*")+SUMIFS('BSE - Other Index Options'!$M:$M,'BSE - Other Index Options'!$C:$C,$A266,'BSE - Other Index Options'!$B:$B,F$147,'BSE - Other Index Options'!$I:$I,"Weekly*")+SUMIFS('BSE - Other Index Options'!$M:$M,'BSE - Other Index Options'!$C:$C,$A266,'BSE - Other Index Options'!$B:$B,F$147,'BSE - Other Index Options'!$I:$I,"MDAW*")=0,"",SUMIFS('BSE - SENSEX Index Options'!$M:$M,'BSE - SENSEX Index Options'!$C:$C,$A266,'BSE - SENSEX Index Options'!$B:$B,F$147,'BSE - SENSEX Index Options'!$I:$I,"Weekly*")+SUMIFS('BSE - SENSEX Index Options'!$M:$M,'BSE - SENSEX Index Options'!$C:$C,$A266,'BSE - SENSEX Index Options'!$B:$B,F$147,'BSE - SENSEX Index Options'!$I:$I,"MDAW*")+SUMIFS('BSE - Other Index Options'!$M:$M,'BSE - Other Index Options'!$C:$C,$A266,'BSE - Other Index Options'!$B:$B,F$147,'BSE - Other Index Options'!$I:$I,"Weekly*")+SUMIFS('BSE - Other Index Options'!$M:$M,'BSE - Other Index Options'!$C:$C,$A266,'BSE - Other Index Options'!$B:$B,F$147,'BSE - Other Index Options'!$I:$I,"MDAW*"))</f>
        <v/>
      </c>
      <c r="G266" s="26">
        <f>IF(SUMIFS('BSE - SENSEX Index Options'!$M:$M,'BSE - SENSEX Index Options'!$C:$C,$A266,'BSE - SENSEX Index Options'!$B:$B,G$147,'BSE - SENSEX Index Options'!$I:$I,"Weekly*")+SUMIFS('BSE - SENSEX Index Options'!$M:$M,'BSE - SENSEX Index Options'!$C:$C,$A266,'BSE - SENSEX Index Options'!$B:$B,G$147,'BSE - SENSEX Index Options'!$I:$I,"MDAW*")+SUMIFS('BSE - Other Index Options'!$M:$M,'BSE - Other Index Options'!$C:$C,$A266,'BSE - Other Index Options'!$B:$B,G$147,'BSE - Other Index Options'!$I:$I,"Weekly*")+SUMIFS('BSE - Other Index Options'!$M:$M,'BSE - Other Index Options'!$C:$C,$A266,'BSE - Other Index Options'!$B:$B,G$147,'BSE - Other Index Options'!$I:$I,"MDAW*")=0,"",SUMIFS('BSE - SENSEX Index Options'!$M:$M,'BSE - SENSEX Index Options'!$C:$C,$A266,'BSE - SENSEX Index Options'!$B:$B,G$147,'BSE - SENSEX Index Options'!$I:$I,"Weekly*")+SUMIFS('BSE - SENSEX Index Options'!$M:$M,'BSE - SENSEX Index Options'!$C:$C,$A266,'BSE - SENSEX Index Options'!$B:$B,G$147,'BSE - SENSEX Index Options'!$I:$I,"MDAW*")+SUMIFS('BSE - Other Index Options'!$M:$M,'BSE - Other Index Options'!$C:$C,$A266,'BSE - Other Index Options'!$B:$B,G$147,'BSE - Other Index Options'!$I:$I,"Weekly*")+SUMIFS('BSE - Other Index Options'!$M:$M,'BSE - Other Index Options'!$C:$C,$A266,'BSE - Other Index Options'!$B:$B,G$147,'BSE - Other Index Options'!$I:$I,"MDAW*"))</f>
        <v/>
      </c>
      <c r="H266" s="26">
        <f>IF(SUM(B266:G266)=0,"",SUM(B266:G266))</f>
        <v/>
      </c>
    </row>
    <row r="267" hidden="1" outlineLevel="1">
      <c r="A267" t="inlineStr">
        <is>
          <t>Week2-Sep-2027</t>
        </is>
      </c>
      <c r="B267" s="26">
        <f>IF(SUMIFS('BSE - SENSEX Index Options'!$M:$M,'BSE - SENSEX Index Options'!$C:$C,$A267,'BSE - SENSEX Index Options'!$B:$B,B$147,'BSE - SENSEX Index Options'!$I:$I,"Weekly*")+SUMIFS('BSE - SENSEX Index Options'!$M:$M,'BSE - SENSEX Index Options'!$C:$C,$A267,'BSE - SENSEX Index Options'!$B:$B,B$147,'BSE - SENSEX Index Options'!$I:$I,"MDAW*")+SUMIFS('BSE - Other Index Options'!$M:$M,'BSE - Other Index Options'!$C:$C,$A267,'BSE - Other Index Options'!$B:$B,B$147,'BSE - Other Index Options'!$I:$I,"Weekly*")+SUMIFS('BSE - Other Index Options'!$M:$M,'BSE - Other Index Options'!$C:$C,$A267,'BSE - Other Index Options'!$B:$B,B$147,'BSE - Other Index Options'!$I:$I,"MDAW*")=0,"",SUMIFS('BSE - SENSEX Index Options'!$M:$M,'BSE - SENSEX Index Options'!$C:$C,$A267,'BSE - SENSEX Index Options'!$B:$B,B$147,'BSE - SENSEX Index Options'!$I:$I,"Weekly*")+SUMIFS('BSE - SENSEX Index Options'!$M:$M,'BSE - SENSEX Index Options'!$C:$C,$A267,'BSE - SENSEX Index Options'!$B:$B,B$147,'BSE - SENSEX Index Options'!$I:$I,"MDAW*")+SUMIFS('BSE - Other Index Options'!$M:$M,'BSE - Other Index Options'!$C:$C,$A267,'BSE - Other Index Options'!$B:$B,B$147,'BSE - Other Index Options'!$I:$I,"Weekly*")+SUMIFS('BSE - Other Index Options'!$M:$M,'BSE - Other Index Options'!$C:$C,$A267,'BSE - Other Index Options'!$B:$B,B$147,'BSE - Other Index Options'!$I:$I,"MDAW*"))</f>
        <v/>
      </c>
      <c r="C267" s="26">
        <f>IF(SUMIFS('BSE - SENSEX Index Options'!$M:$M,'BSE - SENSEX Index Options'!$C:$C,$A267,'BSE - SENSEX Index Options'!$B:$B,C$147,'BSE - SENSEX Index Options'!$I:$I,"Weekly*")+SUMIFS('BSE - SENSEX Index Options'!$M:$M,'BSE - SENSEX Index Options'!$C:$C,$A267,'BSE - SENSEX Index Options'!$B:$B,C$147,'BSE - SENSEX Index Options'!$I:$I,"MDAW*")+SUMIFS('BSE - Other Index Options'!$M:$M,'BSE - Other Index Options'!$C:$C,$A267,'BSE - Other Index Options'!$B:$B,C$147,'BSE - Other Index Options'!$I:$I,"Weekly*")+SUMIFS('BSE - Other Index Options'!$M:$M,'BSE - Other Index Options'!$C:$C,$A267,'BSE - Other Index Options'!$B:$B,C$147,'BSE - Other Index Options'!$I:$I,"MDAW*")=0,"",SUMIFS('BSE - SENSEX Index Options'!$M:$M,'BSE - SENSEX Index Options'!$C:$C,$A267,'BSE - SENSEX Index Options'!$B:$B,C$147,'BSE - SENSEX Index Options'!$I:$I,"Weekly*")+SUMIFS('BSE - SENSEX Index Options'!$M:$M,'BSE - SENSEX Index Options'!$C:$C,$A267,'BSE - SENSEX Index Options'!$B:$B,C$147,'BSE - SENSEX Index Options'!$I:$I,"MDAW*")+SUMIFS('BSE - Other Index Options'!$M:$M,'BSE - Other Index Options'!$C:$C,$A267,'BSE - Other Index Options'!$B:$B,C$147,'BSE - Other Index Options'!$I:$I,"Weekly*")+SUMIFS('BSE - Other Index Options'!$M:$M,'BSE - Other Index Options'!$C:$C,$A267,'BSE - Other Index Options'!$B:$B,C$147,'BSE - Other Index Options'!$I:$I,"MDAW*"))</f>
        <v/>
      </c>
      <c r="D267" s="26">
        <f>IF(SUMIFS('BSE - SENSEX Index Options'!$M:$M,'BSE - SENSEX Index Options'!$C:$C,$A267,'BSE - SENSEX Index Options'!$B:$B,D$147,'BSE - SENSEX Index Options'!$I:$I,"Weekly*")+SUMIFS('BSE - SENSEX Index Options'!$M:$M,'BSE - SENSEX Index Options'!$C:$C,$A267,'BSE - SENSEX Index Options'!$B:$B,D$147,'BSE - SENSEX Index Options'!$I:$I,"MDAW*")+SUMIFS('BSE - Other Index Options'!$M:$M,'BSE - Other Index Options'!$C:$C,$A267,'BSE - Other Index Options'!$B:$B,D$147,'BSE - Other Index Options'!$I:$I,"Weekly*")+SUMIFS('BSE - Other Index Options'!$M:$M,'BSE - Other Index Options'!$C:$C,$A267,'BSE - Other Index Options'!$B:$B,D$147,'BSE - Other Index Options'!$I:$I,"MDAW*")=0,"",SUMIFS('BSE - SENSEX Index Options'!$M:$M,'BSE - SENSEX Index Options'!$C:$C,$A267,'BSE - SENSEX Index Options'!$B:$B,D$147,'BSE - SENSEX Index Options'!$I:$I,"Weekly*")+SUMIFS('BSE - SENSEX Index Options'!$M:$M,'BSE - SENSEX Index Options'!$C:$C,$A267,'BSE - SENSEX Index Options'!$B:$B,D$147,'BSE - SENSEX Index Options'!$I:$I,"MDAW*")+SUMIFS('BSE - Other Index Options'!$M:$M,'BSE - Other Index Options'!$C:$C,$A267,'BSE - Other Index Options'!$B:$B,D$147,'BSE - Other Index Options'!$I:$I,"Weekly*")+SUMIFS('BSE - Other Index Options'!$M:$M,'BSE - Other Index Options'!$C:$C,$A267,'BSE - Other Index Options'!$B:$B,D$147,'BSE - Other Index Options'!$I:$I,"MDAW*"))</f>
        <v/>
      </c>
      <c r="E267" s="26">
        <f>IF(SUMIFS('BSE - SENSEX Index Options'!$M:$M,'BSE - SENSEX Index Options'!$C:$C,$A267,'BSE - SENSEX Index Options'!$B:$B,E$147,'BSE - SENSEX Index Options'!$I:$I,"Weekly*")+SUMIFS('BSE - SENSEX Index Options'!$M:$M,'BSE - SENSEX Index Options'!$C:$C,$A267,'BSE - SENSEX Index Options'!$B:$B,E$147,'BSE - SENSEX Index Options'!$I:$I,"MDAW*")+SUMIFS('BSE - Other Index Options'!$M:$M,'BSE - Other Index Options'!$C:$C,$A267,'BSE - Other Index Options'!$B:$B,E$147,'BSE - Other Index Options'!$I:$I,"Weekly*")+SUMIFS('BSE - Other Index Options'!$M:$M,'BSE - Other Index Options'!$C:$C,$A267,'BSE - Other Index Options'!$B:$B,E$147,'BSE - Other Index Options'!$I:$I,"MDAW*")=0,"",SUMIFS('BSE - SENSEX Index Options'!$M:$M,'BSE - SENSEX Index Options'!$C:$C,$A267,'BSE - SENSEX Index Options'!$B:$B,E$147,'BSE - SENSEX Index Options'!$I:$I,"Weekly*")+SUMIFS('BSE - SENSEX Index Options'!$M:$M,'BSE - SENSEX Index Options'!$C:$C,$A267,'BSE - SENSEX Index Options'!$B:$B,E$147,'BSE - SENSEX Index Options'!$I:$I,"MDAW*")+SUMIFS('BSE - Other Index Options'!$M:$M,'BSE - Other Index Options'!$C:$C,$A267,'BSE - Other Index Options'!$B:$B,E$147,'BSE - Other Index Options'!$I:$I,"Weekly*")+SUMIFS('BSE - Other Index Options'!$M:$M,'BSE - Other Index Options'!$C:$C,$A267,'BSE - Other Index Options'!$B:$B,E$147,'BSE - Other Index Options'!$I:$I,"MDAW*"))</f>
        <v/>
      </c>
      <c r="F267" s="26">
        <f>IF(SUMIFS('BSE - SENSEX Index Options'!$M:$M,'BSE - SENSEX Index Options'!$C:$C,$A267,'BSE - SENSEX Index Options'!$B:$B,F$147,'BSE - SENSEX Index Options'!$I:$I,"Weekly*")+SUMIFS('BSE - SENSEX Index Options'!$M:$M,'BSE - SENSEX Index Options'!$C:$C,$A267,'BSE - SENSEX Index Options'!$B:$B,F$147,'BSE - SENSEX Index Options'!$I:$I,"MDAW*")+SUMIFS('BSE - Other Index Options'!$M:$M,'BSE - Other Index Options'!$C:$C,$A267,'BSE - Other Index Options'!$B:$B,F$147,'BSE - Other Index Options'!$I:$I,"Weekly*")+SUMIFS('BSE - Other Index Options'!$M:$M,'BSE - Other Index Options'!$C:$C,$A267,'BSE - Other Index Options'!$B:$B,F$147,'BSE - Other Index Options'!$I:$I,"MDAW*")=0,"",SUMIFS('BSE - SENSEX Index Options'!$M:$M,'BSE - SENSEX Index Options'!$C:$C,$A267,'BSE - SENSEX Index Options'!$B:$B,F$147,'BSE - SENSEX Index Options'!$I:$I,"Weekly*")+SUMIFS('BSE - SENSEX Index Options'!$M:$M,'BSE - SENSEX Index Options'!$C:$C,$A267,'BSE - SENSEX Index Options'!$B:$B,F$147,'BSE - SENSEX Index Options'!$I:$I,"MDAW*")+SUMIFS('BSE - Other Index Options'!$M:$M,'BSE - Other Index Options'!$C:$C,$A267,'BSE - Other Index Options'!$B:$B,F$147,'BSE - Other Index Options'!$I:$I,"Weekly*")+SUMIFS('BSE - Other Index Options'!$M:$M,'BSE - Other Index Options'!$C:$C,$A267,'BSE - Other Index Options'!$B:$B,F$147,'BSE - Other Index Options'!$I:$I,"MDAW*"))</f>
        <v/>
      </c>
      <c r="G267" s="26">
        <f>IF(SUMIFS('BSE - SENSEX Index Options'!$M:$M,'BSE - SENSEX Index Options'!$C:$C,$A267,'BSE - SENSEX Index Options'!$B:$B,G$147,'BSE - SENSEX Index Options'!$I:$I,"Weekly*")+SUMIFS('BSE - SENSEX Index Options'!$M:$M,'BSE - SENSEX Index Options'!$C:$C,$A267,'BSE - SENSEX Index Options'!$B:$B,G$147,'BSE - SENSEX Index Options'!$I:$I,"MDAW*")+SUMIFS('BSE - Other Index Options'!$M:$M,'BSE - Other Index Options'!$C:$C,$A267,'BSE - Other Index Options'!$B:$B,G$147,'BSE - Other Index Options'!$I:$I,"Weekly*")+SUMIFS('BSE - Other Index Options'!$M:$M,'BSE - Other Index Options'!$C:$C,$A267,'BSE - Other Index Options'!$B:$B,G$147,'BSE - Other Index Options'!$I:$I,"MDAW*")=0,"",SUMIFS('BSE - SENSEX Index Options'!$M:$M,'BSE - SENSEX Index Options'!$C:$C,$A267,'BSE - SENSEX Index Options'!$B:$B,G$147,'BSE - SENSEX Index Options'!$I:$I,"Weekly*")+SUMIFS('BSE - SENSEX Index Options'!$M:$M,'BSE - SENSEX Index Options'!$C:$C,$A267,'BSE - SENSEX Index Options'!$B:$B,G$147,'BSE - SENSEX Index Options'!$I:$I,"MDAW*")+SUMIFS('BSE - Other Index Options'!$M:$M,'BSE - Other Index Options'!$C:$C,$A267,'BSE - Other Index Options'!$B:$B,G$147,'BSE - Other Index Options'!$I:$I,"Weekly*")+SUMIFS('BSE - Other Index Options'!$M:$M,'BSE - Other Index Options'!$C:$C,$A267,'BSE - Other Index Options'!$B:$B,G$147,'BSE - Other Index Options'!$I:$I,"MDAW*"))</f>
        <v/>
      </c>
      <c r="H267" s="26">
        <f>IF(SUM(B267:G267)=0,"",SUM(B267:G267))</f>
        <v/>
      </c>
    </row>
    <row r="268" hidden="1" outlineLevel="1">
      <c r="A268" t="inlineStr">
        <is>
          <t>Week3-Sep-2027</t>
        </is>
      </c>
      <c r="B268" s="26">
        <f>IF(SUMIFS('BSE - SENSEX Index Options'!$M:$M,'BSE - SENSEX Index Options'!$C:$C,$A268,'BSE - SENSEX Index Options'!$B:$B,B$147,'BSE - SENSEX Index Options'!$I:$I,"Weekly*")+SUMIFS('BSE - SENSEX Index Options'!$M:$M,'BSE - SENSEX Index Options'!$C:$C,$A268,'BSE - SENSEX Index Options'!$B:$B,B$147,'BSE - SENSEX Index Options'!$I:$I,"MDAW*")+SUMIFS('BSE - Other Index Options'!$M:$M,'BSE - Other Index Options'!$C:$C,$A268,'BSE - Other Index Options'!$B:$B,B$147,'BSE - Other Index Options'!$I:$I,"Weekly*")+SUMIFS('BSE - Other Index Options'!$M:$M,'BSE - Other Index Options'!$C:$C,$A268,'BSE - Other Index Options'!$B:$B,B$147,'BSE - Other Index Options'!$I:$I,"MDAW*")=0,"",SUMIFS('BSE - SENSEX Index Options'!$M:$M,'BSE - SENSEX Index Options'!$C:$C,$A268,'BSE - SENSEX Index Options'!$B:$B,B$147,'BSE - SENSEX Index Options'!$I:$I,"Weekly*")+SUMIFS('BSE - SENSEX Index Options'!$M:$M,'BSE - SENSEX Index Options'!$C:$C,$A268,'BSE - SENSEX Index Options'!$B:$B,B$147,'BSE - SENSEX Index Options'!$I:$I,"MDAW*")+SUMIFS('BSE - Other Index Options'!$M:$M,'BSE - Other Index Options'!$C:$C,$A268,'BSE - Other Index Options'!$B:$B,B$147,'BSE - Other Index Options'!$I:$I,"Weekly*")+SUMIFS('BSE - Other Index Options'!$M:$M,'BSE - Other Index Options'!$C:$C,$A268,'BSE - Other Index Options'!$B:$B,B$147,'BSE - Other Index Options'!$I:$I,"MDAW*"))</f>
        <v/>
      </c>
      <c r="C268" s="26">
        <f>IF(SUMIFS('BSE - SENSEX Index Options'!$M:$M,'BSE - SENSEX Index Options'!$C:$C,$A268,'BSE - SENSEX Index Options'!$B:$B,C$147,'BSE - SENSEX Index Options'!$I:$I,"Weekly*")+SUMIFS('BSE - SENSEX Index Options'!$M:$M,'BSE - SENSEX Index Options'!$C:$C,$A268,'BSE - SENSEX Index Options'!$B:$B,C$147,'BSE - SENSEX Index Options'!$I:$I,"MDAW*")+SUMIFS('BSE - Other Index Options'!$M:$M,'BSE - Other Index Options'!$C:$C,$A268,'BSE - Other Index Options'!$B:$B,C$147,'BSE - Other Index Options'!$I:$I,"Weekly*")+SUMIFS('BSE - Other Index Options'!$M:$M,'BSE - Other Index Options'!$C:$C,$A268,'BSE - Other Index Options'!$B:$B,C$147,'BSE - Other Index Options'!$I:$I,"MDAW*")=0,"",SUMIFS('BSE - SENSEX Index Options'!$M:$M,'BSE - SENSEX Index Options'!$C:$C,$A268,'BSE - SENSEX Index Options'!$B:$B,C$147,'BSE - SENSEX Index Options'!$I:$I,"Weekly*")+SUMIFS('BSE - SENSEX Index Options'!$M:$M,'BSE - SENSEX Index Options'!$C:$C,$A268,'BSE - SENSEX Index Options'!$B:$B,C$147,'BSE - SENSEX Index Options'!$I:$I,"MDAW*")+SUMIFS('BSE - Other Index Options'!$M:$M,'BSE - Other Index Options'!$C:$C,$A268,'BSE - Other Index Options'!$B:$B,C$147,'BSE - Other Index Options'!$I:$I,"Weekly*")+SUMIFS('BSE - Other Index Options'!$M:$M,'BSE - Other Index Options'!$C:$C,$A268,'BSE - Other Index Options'!$B:$B,C$147,'BSE - Other Index Options'!$I:$I,"MDAW*"))</f>
        <v/>
      </c>
      <c r="D268" s="26">
        <f>IF(SUMIFS('BSE - SENSEX Index Options'!$M:$M,'BSE - SENSEX Index Options'!$C:$C,$A268,'BSE - SENSEX Index Options'!$B:$B,D$147,'BSE - SENSEX Index Options'!$I:$I,"Weekly*")+SUMIFS('BSE - SENSEX Index Options'!$M:$M,'BSE - SENSEX Index Options'!$C:$C,$A268,'BSE - SENSEX Index Options'!$B:$B,D$147,'BSE - SENSEX Index Options'!$I:$I,"MDAW*")+SUMIFS('BSE - Other Index Options'!$M:$M,'BSE - Other Index Options'!$C:$C,$A268,'BSE - Other Index Options'!$B:$B,D$147,'BSE - Other Index Options'!$I:$I,"Weekly*")+SUMIFS('BSE - Other Index Options'!$M:$M,'BSE - Other Index Options'!$C:$C,$A268,'BSE - Other Index Options'!$B:$B,D$147,'BSE - Other Index Options'!$I:$I,"MDAW*")=0,"",SUMIFS('BSE - SENSEX Index Options'!$M:$M,'BSE - SENSEX Index Options'!$C:$C,$A268,'BSE - SENSEX Index Options'!$B:$B,D$147,'BSE - SENSEX Index Options'!$I:$I,"Weekly*")+SUMIFS('BSE - SENSEX Index Options'!$M:$M,'BSE - SENSEX Index Options'!$C:$C,$A268,'BSE - SENSEX Index Options'!$B:$B,D$147,'BSE - SENSEX Index Options'!$I:$I,"MDAW*")+SUMIFS('BSE - Other Index Options'!$M:$M,'BSE - Other Index Options'!$C:$C,$A268,'BSE - Other Index Options'!$B:$B,D$147,'BSE - Other Index Options'!$I:$I,"Weekly*")+SUMIFS('BSE - Other Index Options'!$M:$M,'BSE - Other Index Options'!$C:$C,$A268,'BSE - Other Index Options'!$B:$B,D$147,'BSE - Other Index Options'!$I:$I,"MDAW*"))</f>
        <v/>
      </c>
      <c r="E268" s="26">
        <f>IF(SUMIFS('BSE - SENSEX Index Options'!$M:$M,'BSE - SENSEX Index Options'!$C:$C,$A268,'BSE - SENSEX Index Options'!$B:$B,E$147,'BSE - SENSEX Index Options'!$I:$I,"Weekly*")+SUMIFS('BSE - SENSEX Index Options'!$M:$M,'BSE - SENSEX Index Options'!$C:$C,$A268,'BSE - SENSEX Index Options'!$B:$B,E$147,'BSE - SENSEX Index Options'!$I:$I,"MDAW*")+SUMIFS('BSE - Other Index Options'!$M:$M,'BSE - Other Index Options'!$C:$C,$A268,'BSE - Other Index Options'!$B:$B,E$147,'BSE - Other Index Options'!$I:$I,"Weekly*")+SUMIFS('BSE - Other Index Options'!$M:$M,'BSE - Other Index Options'!$C:$C,$A268,'BSE - Other Index Options'!$B:$B,E$147,'BSE - Other Index Options'!$I:$I,"MDAW*")=0,"",SUMIFS('BSE - SENSEX Index Options'!$M:$M,'BSE - SENSEX Index Options'!$C:$C,$A268,'BSE - SENSEX Index Options'!$B:$B,E$147,'BSE - SENSEX Index Options'!$I:$I,"Weekly*")+SUMIFS('BSE - SENSEX Index Options'!$M:$M,'BSE - SENSEX Index Options'!$C:$C,$A268,'BSE - SENSEX Index Options'!$B:$B,E$147,'BSE - SENSEX Index Options'!$I:$I,"MDAW*")+SUMIFS('BSE - Other Index Options'!$M:$M,'BSE - Other Index Options'!$C:$C,$A268,'BSE - Other Index Options'!$B:$B,E$147,'BSE - Other Index Options'!$I:$I,"Weekly*")+SUMIFS('BSE - Other Index Options'!$M:$M,'BSE - Other Index Options'!$C:$C,$A268,'BSE - Other Index Options'!$B:$B,E$147,'BSE - Other Index Options'!$I:$I,"MDAW*"))</f>
        <v/>
      </c>
      <c r="F268" s="26">
        <f>IF(SUMIFS('BSE - SENSEX Index Options'!$M:$M,'BSE - SENSEX Index Options'!$C:$C,$A268,'BSE - SENSEX Index Options'!$B:$B,F$147,'BSE - SENSEX Index Options'!$I:$I,"Weekly*")+SUMIFS('BSE - SENSEX Index Options'!$M:$M,'BSE - SENSEX Index Options'!$C:$C,$A268,'BSE - SENSEX Index Options'!$B:$B,F$147,'BSE - SENSEX Index Options'!$I:$I,"MDAW*")+SUMIFS('BSE - Other Index Options'!$M:$M,'BSE - Other Index Options'!$C:$C,$A268,'BSE - Other Index Options'!$B:$B,F$147,'BSE - Other Index Options'!$I:$I,"Weekly*")+SUMIFS('BSE - Other Index Options'!$M:$M,'BSE - Other Index Options'!$C:$C,$A268,'BSE - Other Index Options'!$B:$B,F$147,'BSE - Other Index Options'!$I:$I,"MDAW*")=0,"",SUMIFS('BSE - SENSEX Index Options'!$M:$M,'BSE - SENSEX Index Options'!$C:$C,$A268,'BSE - SENSEX Index Options'!$B:$B,F$147,'BSE - SENSEX Index Options'!$I:$I,"Weekly*")+SUMIFS('BSE - SENSEX Index Options'!$M:$M,'BSE - SENSEX Index Options'!$C:$C,$A268,'BSE - SENSEX Index Options'!$B:$B,F$147,'BSE - SENSEX Index Options'!$I:$I,"MDAW*")+SUMIFS('BSE - Other Index Options'!$M:$M,'BSE - Other Index Options'!$C:$C,$A268,'BSE - Other Index Options'!$B:$B,F$147,'BSE - Other Index Options'!$I:$I,"Weekly*")+SUMIFS('BSE - Other Index Options'!$M:$M,'BSE - Other Index Options'!$C:$C,$A268,'BSE - Other Index Options'!$B:$B,F$147,'BSE - Other Index Options'!$I:$I,"MDAW*"))</f>
        <v/>
      </c>
      <c r="G268" s="26">
        <f>IF(SUMIFS('BSE - SENSEX Index Options'!$M:$M,'BSE - SENSEX Index Options'!$C:$C,$A268,'BSE - SENSEX Index Options'!$B:$B,G$147,'BSE - SENSEX Index Options'!$I:$I,"Weekly*")+SUMIFS('BSE - SENSEX Index Options'!$M:$M,'BSE - SENSEX Index Options'!$C:$C,$A268,'BSE - SENSEX Index Options'!$B:$B,G$147,'BSE - SENSEX Index Options'!$I:$I,"MDAW*")+SUMIFS('BSE - Other Index Options'!$M:$M,'BSE - Other Index Options'!$C:$C,$A268,'BSE - Other Index Options'!$B:$B,G$147,'BSE - Other Index Options'!$I:$I,"Weekly*")+SUMIFS('BSE - Other Index Options'!$M:$M,'BSE - Other Index Options'!$C:$C,$A268,'BSE - Other Index Options'!$B:$B,G$147,'BSE - Other Index Options'!$I:$I,"MDAW*")=0,"",SUMIFS('BSE - SENSEX Index Options'!$M:$M,'BSE - SENSEX Index Options'!$C:$C,$A268,'BSE - SENSEX Index Options'!$B:$B,G$147,'BSE - SENSEX Index Options'!$I:$I,"Weekly*")+SUMIFS('BSE - SENSEX Index Options'!$M:$M,'BSE - SENSEX Index Options'!$C:$C,$A268,'BSE - SENSEX Index Options'!$B:$B,G$147,'BSE - SENSEX Index Options'!$I:$I,"MDAW*")+SUMIFS('BSE - Other Index Options'!$M:$M,'BSE - Other Index Options'!$C:$C,$A268,'BSE - Other Index Options'!$B:$B,G$147,'BSE - Other Index Options'!$I:$I,"Weekly*")+SUMIFS('BSE - Other Index Options'!$M:$M,'BSE - Other Index Options'!$C:$C,$A268,'BSE - Other Index Options'!$B:$B,G$147,'BSE - Other Index Options'!$I:$I,"MDAW*"))</f>
        <v/>
      </c>
      <c r="H268" s="26">
        <f>IF(SUM(B268:G268)=0,"",SUM(B268:G268))</f>
        <v/>
      </c>
    </row>
    <row r="269" hidden="1" outlineLevel="1">
      <c r="A269" t="inlineStr">
        <is>
          <t>Week4-Sep-2027</t>
        </is>
      </c>
      <c r="B269" s="26">
        <f>IF(SUMIFS('BSE - SENSEX Index Options'!$M:$M,'BSE - SENSEX Index Options'!$C:$C,$A269,'BSE - SENSEX Index Options'!$B:$B,B$147,'BSE - SENSEX Index Options'!$I:$I,"Weekly*")+SUMIFS('BSE - SENSEX Index Options'!$M:$M,'BSE - SENSEX Index Options'!$C:$C,$A269,'BSE - SENSEX Index Options'!$B:$B,B$147,'BSE - SENSEX Index Options'!$I:$I,"MDAW*")+SUMIFS('BSE - Other Index Options'!$M:$M,'BSE - Other Index Options'!$C:$C,$A269,'BSE - Other Index Options'!$B:$B,B$147,'BSE - Other Index Options'!$I:$I,"Weekly*")+SUMIFS('BSE - Other Index Options'!$M:$M,'BSE - Other Index Options'!$C:$C,$A269,'BSE - Other Index Options'!$B:$B,B$147,'BSE - Other Index Options'!$I:$I,"MDAW*")=0,"",SUMIFS('BSE - SENSEX Index Options'!$M:$M,'BSE - SENSEX Index Options'!$C:$C,$A269,'BSE - SENSEX Index Options'!$B:$B,B$147,'BSE - SENSEX Index Options'!$I:$I,"Weekly*")+SUMIFS('BSE - SENSEX Index Options'!$M:$M,'BSE - SENSEX Index Options'!$C:$C,$A269,'BSE - SENSEX Index Options'!$B:$B,B$147,'BSE - SENSEX Index Options'!$I:$I,"MDAW*")+SUMIFS('BSE - Other Index Options'!$M:$M,'BSE - Other Index Options'!$C:$C,$A269,'BSE - Other Index Options'!$B:$B,B$147,'BSE - Other Index Options'!$I:$I,"Weekly*")+SUMIFS('BSE - Other Index Options'!$M:$M,'BSE - Other Index Options'!$C:$C,$A269,'BSE - Other Index Options'!$B:$B,B$147,'BSE - Other Index Options'!$I:$I,"MDAW*"))</f>
        <v/>
      </c>
      <c r="C269" s="26">
        <f>IF(SUMIFS('BSE - SENSEX Index Options'!$M:$M,'BSE - SENSEX Index Options'!$C:$C,$A269,'BSE - SENSEX Index Options'!$B:$B,C$147,'BSE - SENSEX Index Options'!$I:$I,"Weekly*")+SUMIFS('BSE - SENSEX Index Options'!$M:$M,'BSE - SENSEX Index Options'!$C:$C,$A269,'BSE - SENSEX Index Options'!$B:$B,C$147,'BSE - SENSEX Index Options'!$I:$I,"MDAW*")+SUMIFS('BSE - Other Index Options'!$M:$M,'BSE - Other Index Options'!$C:$C,$A269,'BSE - Other Index Options'!$B:$B,C$147,'BSE - Other Index Options'!$I:$I,"Weekly*")+SUMIFS('BSE - Other Index Options'!$M:$M,'BSE - Other Index Options'!$C:$C,$A269,'BSE - Other Index Options'!$B:$B,C$147,'BSE - Other Index Options'!$I:$I,"MDAW*")=0,"",SUMIFS('BSE - SENSEX Index Options'!$M:$M,'BSE - SENSEX Index Options'!$C:$C,$A269,'BSE - SENSEX Index Options'!$B:$B,C$147,'BSE - SENSEX Index Options'!$I:$I,"Weekly*")+SUMIFS('BSE - SENSEX Index Options'!$M:$M,'BSE - SENSEX Index Options'!$C:$C,$A269,'BSE - SENSEX Index Options'!$B:$B,C$147,'BSE - SENSEX Index Options'!$I:$I,"MDAW*")+SUMIFS('BSE - Other Index Options'!$M:$M,'BSE - Other Index Options'!$C:$C,$A269,'BSE - Other Index Options'!$B:$B,C$147,'BSE - Other Index Options'!$I:$I,"Weekly*")+SUMIFS('BSE - Other Index Options'!$M:$M,'BSE - Other Index Options'!$C:$C,$A269,'BSE - Other Index Options'!$B:$B,C$147,'BSE - Other Index Options'!$I:$I,"MDAW*"))</f>
        <v/>
      </c>
      <c r="D269" s="26">
        <f>IF(SUMIFS('BSE - SENSEX Index Options'!$M:$M,'BSE - SENSEX Index Options'!$C:$C,$A269,'BSE - SENSEX Index Options'!$B:$B,D$147,'BSE - SENSEX Index Options'!$I:$I,"Weekly*")+SUMIFS('BSE - SENSEX Index Options'!$M:$M,'BSE - SENSEX Index Options'!$C:$C,$A269,'BSE - SENSEX Index Options'!$B:$B,D$147,'BSE - SENSEX Index Options'!$I:$I,"MDAW*")+SUMIFS('BSE - Other Index Options'!$M:$M,'BSE - Other Index Options'!$C:$C,$A269,'BSE - Other Index Options'!$B:$B,D$147,'BSE - Other Index Options'!$I:$I,"Weekly*")+SUMIFS('BSE - Other Index Options'!$M:$M,'BSE - Other Index Options'!$C:$C,$A269,'BSE - Other Index Options'!$B:$B,D$147,'BSE - Other Index Options'!$I:$I,"MDAW*")=0,"",SUMIFS('BSE - SENSEX Index Options'!$M:$M,'BSE - SENSEX Index Options'!$C:$C,$A269,'BSE - SENSEX Index Options'!$B:$B,D$147,'BSE - SENSEX Index Options'!$I:$I,"Weekly*")+SUMIFS('BSE - SENSEX Index Options'!$M:$M,'BSE - SENSEX Index Options'!$C:$C,$A269,'BSE - SENSEX Index Options'!$B:$B,D$147,'BSE - SENSEX Index Options'!$I:$I,"MDAW*")+SUMIFS('BSE - Other Index Options'!$M:$M,'BSE - Other Index Options'!$C:$C,$A269,'BSE - Other Index Options'!$B:$B,D$147,'BSE - Other Index Options'!$I:$I,"Weekly*")+SUMIFS('BSE - Other Index Options'!$M:$M,'BSE - Other Index Options'!$C:$C,$A269,'BSE - Other Index Options'!$B:$B,D$147,'BSE - Other Index Options'!$I:$I,"MDAW*"))</f>
        <v/>
      </c>
      <c r="E269" s="26">
        <f>IF(SUMIFS('BSE - SENSEX Index Options'!$M:$M,'BSE - SENSEX Index Options'!$C:$C,$A269,'BSE - SENSEX Index Options'!$B:$B,E$147,'BSE - SENSEX Index Options'!$I:$I,"Weekly*")+SUMIFS('BSE - SENSEX Index Options'!$M:$M,'BSE - SENSEX Index Options'!$C:$C,$A269,'BSE - SENSEX Index Options'!$B:$B,E$147,'BSE - SENSEX Index Options'!$I:$I,"MDAW*")+SUMIFS('BSE - Other Index Options'!$M:$M,'BSE - Other Index Options'!$C:$C,$A269,'BSE - Other Index Options'!$B:$B,E$147,'BSE - Other Index Options'!$I:$I,"Weekly*")+SUMIFS('BSE - Other Index Options'!$M:$M,'BSE - Other Index Options'!$C:$C,$A269,'BSE - Other Index Options'!$B:$B,E$147,'BSE - Other Index Options'!$I:$I,"MDAW*")=0,"",SUMIFS('BSE - SENSEX Index Options'!$M:$M,'BSE - SENSEX Index Options'!$C:$C,$A269,'BSE - SENSEX Index Options'!$B:$B,E$147,'BSE - SENSEX Index Options'!$I:$I,"Weekly*")+SUMIFS('BSE - SENSEX Index Options'!$M:$M,'BSE - SENSEX Index Options'!$C:$C,$A269,'BSE - SENSEX Index Options'!$B:$B,E$147,'BSE - SENSEX Index Options'!$I:$I,"MDAW*")+SUMIFS('BSE - Other Index Options'!$M:$M,'BSE - Other Index Options'!$C:$C,$A269,'BSE - Other Index Options'!$B:$B,E$147,'BSE - Other Index Options'!$I:$I,"Weekly*")+SUMIFS('BSE - Other Index Options'!$M:$M,'BSE - Other Index Options'!$C:$C,$A269,'BSE - Other Index Options'!$B:$B,E$147,'BSE - Other Index Options'!$I:$I,"MDAW*"))</f>
        <v/>
      </c>
      <c r="F269" s="26">
        <f>IF(SUMIFS('BSE - SENSEX Index Options'!$M:$M,'BSE - SENSEX Index Options'!$C:$C,$A269,'BSE - SENSEX Index Options'!$B:$B,F$147,'BSE - SENSEX Index Options'!$I:$I,"Weekly*")+SUMIFS('BSE - SENSEX Index Options'!$M:$M,'BSE - SENSEX Index Options'!$C:$C,$A269,'BSE - SENSEX Index Options'!$B:$B,F$147,'BSE - SENSEX Index Options'!$I:$I,"MDAW*")+SUMIFS('BSE - Other Index Options'!$M:$M,'BSE - Other Index Options'!$C:$C,$A269,'BSE - Other Index Options'!$B:$B,F$147,'BSE - Other Index Options'!$I:$I,"Weekly*")+SUMIFS('BSE - Other Index Options'!$M:$M,'BSE - Other Index Options'!$C:$C,$A269,'BSE - Other Index Options'!$B:$B,F$147,'BSE - Other Index Options'!$I:$I,"MDAW*")=0,"",SUMIFS('BSE - SENSEX Index Options'!$M:$M,'BSE - SENSEX Index Options'!$C:$C,$A269,'BSE - SENSEX Index Options'!$B:$B,F$147,'BSE - SENSEX Index Options'!$I:$I,"Weekly*")+SUMIFS('BSE - SENSEX Index Options'!$M:$M,'BSE - SENSEX Index Options'!$C:$C,$A269,'BSE - SENSEX Index Options'!$B:$B,F$147,'BSE - SENSEX Index Options'!$I:$I,"MDAW*")+SUMIFS('BSE - Other Index Options'!$M:$M,'BSE - Other Index Options'!$C:$C,$A269,'BSE - Other Index Options'!$B:$B,F$147,'BSE - Other Index Options'!$I:$I,"Weekly*")+SUMIFS('BSE - Other Index Options'!$M:$M,'BSE - Other Index Options'!$C:$C,$A269,'BSE - Other Index Options'!$B:$B,F$147,'BSE - Other Index Options'!$I:$I,"MDAW*"))</f>
        <v/>
      </c>
      <c r="G269" s="26">
        <f>IF(SUMIFS('BSE - SENSEX Index Options'!$M:$M,'BSE - SENSEX Index Options'!$C:$C,$A269,'BSE - SENSEX Index Options'!$B:$B,G$147,'BSE - SENSEX Index Options'!$I:$I,"Weekly*")+SUMIFS('BSE - SENSEX Index Options'!$M:$M,'BSE - SENSEX Index Options'!$C:$C,$A269,'BSE - SENSEX Index Options'!$B:$B,G$147,'BSE - SENSEX Index Options'!$I:$I,"MDAW*")+SUMIFS('BSE - Other Index Options'!$M:$M,'BSE - Other Index Options'!$C:$C,$A269,'BSE - Other Index Options'!$B:$B,G$147,'BSE - Other Index Options'!$I:$I,"Weekly*")+SUMIFS('BSE - Other Index Options'!$M:$M,'BSE - Other Index Options'!$C:$C,$A269,'BSE - Other Index Options'!$B:$B,G$147,'BSE - Other Index Options'!$I:$I,"MDAW*")=0,"",SUMIFS('BSE - SENSEX Index Options'!$M:$M,'BSE - SENSEX Index Options'!$C:$C,$A269,'BSE - SENSEX Index Options'!$B:$B,G$147,'BSE - SENSEX Index Options'!$I:$I,"Weekly*")+SUMIFS('BSE - SENSEX Index Options'!$M:$M,'BSE - SENSEX Index Options'!$C:$C,$A269,'BSE - SENSEX Index Options'!$B:$B,G$147,'BSE - SENSEX Index Options'!$I:$I,"MDAW*")+SUMIFS('BSE - Other Index Options'!$M:$M,'BSE - Other Index Options'!$C:$C,$A269,'BSE - Other Index Options'!$B:$B,G$147,'BSE - Other Index Options'!$I:$I,"Weekly*")+SUMIFS('BSE - Other Index Options'!$M:$M,'BSE - Other Index Options'!$C:$C,$A269,'BSE - Other Index Options'!$B:$B,G$147,'BSE - Other Index Options'!$I:$I,"MDAW*"))</f>
        <v/>
      </c>
      <c r="H269" s="26">
        <f>IF(SUM(B269:G269)=0,"",SUM(B269:G269))</f>
        <v/>
      </c>
    </row>
    <row r="270" hidden="1" outlineLevel="1">
      <c r="A270" t="inlineStr">
        <is>
          <t>Week5-Sep-2027</t>
        </is>
      </c>
      <c r="B270" s="26">
        <f>IF(SUMIFS('BSE - SENSEX Index Options'!$M:$M,'BSE - SENSEX Index Options'!$C:$C,$A270,'BSE - SENSEX Index Options'!$B:$B,B$147,'BSE - SENSEX Index Options'!$I:$I,"Weekly*")+SUMIFS('BSE - SENSEX Index Options'!$M:$M,'BSE - SENSEX Index Options'!$C:$C,$A270,'BSE - SENSEX Index Options'!$B:$B,B$147,'BSE - SENSEX Index Options'!$I:$I,"MDAW*")+SUMIFS('BSE - Other Index Options'!$M:$M,'BSE - Other Index Options'!$C:$C,$A270,'BSE - Other Index Options'!$B:$B,B$147,'BSE - Other Index Options'!$I:$I,"Weekly*")+SUMIFS('BSE - Other Index Options'!$M:$M,'BSE - Other Index Options'!$C:$C,$A270,'BSE - Other Index Options'!$B:$B,B$147,'BSE - Other Index Options'!$I:$I,"MDAW*")=0,"",SUMIFS('BSE - SENSEX Index Options'!$M:$M,'BSE - SENSEX Index Options'!$C:$C,$A270,'BSE - SENSEX Index Options'!$B:$B,B$147,'BSE - SENSEX Index Options'!$I:$I,"Weekly*")+SUMIFS('BSE - SENSEX Index Options'!$M:$M,'BSE - SENSEX Index Options'!$C:$C,$A270,'BSE - SENSEX Index Options'!$B:$B,B$147,'BSE - SENSEX Index Options'!$I:$I,"MDAW*")+SUMIFS('BSE - Other Index Options'!$M:$M,'BSE - Other Index Options'!$C:$C,$A270,'BSE - Other Index Options'!$B:$B,B$147,'BSE - Other Index Options'!$I:$I,"Weekly*")+SUMIFS('BSE - Other Index Options'!$M:$M,'BSE - Other Index Options'!$C:$C,$A270,'BSE - Other Index Options'!$B:$B,B$147,'BSE - Other Index Options'!$I:$I,"MDAW*"))</f>
        <v/>
      </c>
      <c r="C270" s="26">
        <f>IF(SUMIFS('BSE - SENSEX Index Options'!$M:$M,'BSE - SENSEX Index Options'!$C:$C,$A270,'BSE - SENSEX Index Options'!$B:$B,C$147,'BSE - SENSEX Index Options'!$I:$I,"Weekly*")+SUMIFS('BSE - SENSEX Index Options'!$M:$M,'BSE - SENSEX Index Options'!$C:$C,$A270,'BSE - SENSEX Index Options'!$B:$B,C$147,'BSE - SENSEX Index Options'!$I:$I,"MDAW*")+SUMIFS('BSE - Other Index Options'!$M:$M,'BSE - Other Index Options'!$C:$C,$A270,'BSE - Other Index Options'!$B:$B,C$147,'BSE - Other Index Options'!$I:$I,"Weekly*")+SUMIFS('BSE - Other Index Options'!$M:$M,'BSE - Other Index Options'!$C:$C,$A270,'BSE - Other Index Options'!$B:$B,C$147,'BSE - Other Index Options'!$I:$I,"MDAW*")=0,"",SUMIFS('BSE - SENSEX Index Options'!$M:$M,'BSE - SENSEX Index Options'!$C:$C,$A270,'BSE - SENSEX Index Options'!$B:$B,C$147,'BSE - SENSEX Index Options'!$I:$I,"Weekly*")+SUMIFS('BSE - SENSEX Index Options'!$M:$M,'BSE - SENSEX Index Options'!$C:$C,$A270,'BSE - SENSEX Index Options'!$B:$B,C$147,'BSE - SENSEX Index Options'!$I:$I,"MDAW*")+SUMIFS('BSE - Other Index Options'!$M:$M,'BSE - Other Index Options'!$C:$C,$A270,'BSE - Other Index Options'!$B:$B,C$147,'BSE - Other Index Options'!$I:$I,"Weekly*")+SUMIFS('BSE - Other Index Options'!$M:$M,'BSE - Other Index Options'!$C:$C,$A270,'BSE - Other Index Options'!$B:$B,C$147,'BSE - Other Index Options'!$I:$I,"MDAW*"))</f>
        <v/>
      </c>
      <c r="D270" s="26">
        <f>IF(SUMIFS('BSE - SENSEX Index Options'!$M:$M,'BSE - SENSEX Index Options'!$C:$C,$A270,'BSE - SENSEX Index Options'!$B:$B,D$147,'BSE - SENSEX Index Options'!$I:$I,"Weekly*")+SUMIFS('BSE - SENSEX Index Options'!$M:$M,'BSE - SENSEX Index Options'!$C:$C,$A270,'BSE - SENSEX Index Options'!$B:$B,D$147,'BSE - SENSEX Index Options'!$I:$I,"MDAW*")+SUMIFS('BSE - Other Index Options'!$M:$M,'BSE - Other Index Options'!$C:$C,$A270,'BSE - Other Index Options'!$B:$B,D$147,'BSE - Other Index Options'!$I:$I,"Weekly*")+SUMIFS('BSE - Other Index Options'!$M:$M,'BSE - Other Index Options'!$C:$C,$A270,'BSE - Other Index Options'!$B:$B,D$147,'BSE - Other Index Options'!$I:$I,"MDAW*")=0,"",SUMIFS('BSE - SENSEX Index Options'!$M:$M,'BSE - SENSEX Index Options'!$C:$C,$A270,'BSE - SENSEX Index Options'!$B:$B,D$147,'BSE - SENSEX Index Options'!$I:$I,"Weekly*")+SUMIFS('BSE - SENSEX Index Options'!$M:$M,'BSE - SENSEX Index Options'!$C:$C,$A270,'BSE - SENSEX Index Options'!$B:$B,D$147,'BSE - SENSEX Index Options'!$I:$I,"MDAW*")+SUMIFS('BSE - Other Index Options'!$M:$M,'BSE - Other Index Options'!$C:$C,$A270,'BSE - Other Index Options'!$B:$B,D$147,'BSE - Other Index Options'!$I:$I,"Weekly*")+SUMIFS('BSE - Other Index Options'!$M:$M,'BSE - Other Index Options'!$C:$C,$A270,'BSE - Other Index Options'!$B:$B,D$147,'BSE - Other Index Options'!$I:$I,"MDAW*"))</f>
        <v/>
      </c>
      <c r="E270" s="26">
        <f>IF(SUMIFS('BSE - SENSEX Index Options'!$M:$M,'BSE - SENSEX Index Options'!$C:$C,$A270,'BSE - SENSEX Index Options'!$B:$B,E$147,'BSE - SENSEX Index Options'!$I:$I,"Weekly*")+SUMIFS('BSE - SENSEX Index Options'!$M:$M,'BSE - SENSEX Index Options'!$C:$C,$A270,'BSE - SENSEX Index Options'!$B:$B,E$147,'BSE - SENSEX Index Options'!$I:$I,"MDAW*")+SUMIFS('BSE - Other Index Options'!$M:$M,'BSE - Other Index Options'!$C:$C,$A270,'BSE - Other Index Options'!$B:$B,E$147,'BSE - Other Index Options'!$I:$I,"Weekly*")+SUMIFS('BSE - Other Index Options'!$M:$M,'BSE - Other Index Options'!$C:$C,$A270,'BSE - Other Index Options'!$B:$B,E$147,'BSE - Other Index Options'!$I:$I,"MDAW*")=0,"",SUMIFS('BSE - SENSEX Index Options'!$M:$M,'BSE - SENSEX Index Options'!$C:$C,$A270,'BSE - SENSEX Index Options'!$B:$B,E$147,'BSE - SENSEX Index Options'!$I:$I,"Weekly*")+SUMIFS('BSE - SENSEX Index Options'!$M:$M,'BSE - SENSEX Index Options'!$C:$C,$A270,'BSE - SENSEX Index Options'!$B:$B,E$147,'BSE - SENSEX Index Options'!$I:$I,"MDAW*")+SUMIFS('BSE - Other Index Options'!$M:$M,'BSE - Other Index Options'!$C:$C,$A270,'BSE - Other Index Options'!$B:$B,E$147,'BSE - Other Index Options'!$I:$I,"Weekly*")+SUMIFS('BSE - Other Index Options'!$M:$M,'BSE - Other Index Options'!$C:$C,$A270,'BSE - Other Index Options'!$B:$B,E$147,'BSE - Other Index Options'!$I:$I,"MDAW*"))</f>
        <v/>
      </c>
      <c r="F270" s="26">
        <f>IF(SUMIFS('BSE - SENSEX Index Options'!$M:$M,'BSE - SENSEX Index Options'!$C:$C,$A270,'BSE - SENSEX Index Options'!$B:$B,F$147,'BSE - SENSEX Index Options'!$I:$I,"Weekly*")+SUMIFS('BSE - SENSEX Index Options'!$M:$M,'BSE - SENSEX Index Options'!$C:$C,$A270,'BSE - SENSEX Index Options'!$B:$B,F$147,'BSE - SENSEX Index Options'!$I:$I,"MDAW*")+SUMIFS('BSE - Other Index Options'!$M:$M,'BSE - Other Index Options'!$C:$C,$A270,'BSE - Other Index Options'!$B:$B,F$147,'BSE - Other Index Options'!$I:$I,"Weekly*")+SUMIFS('BSE - Other Index Options'!$M:$M,'BSE - Other Index Options'!$C:$C,$A270,'BSE - Other Index Options'!$B:$B,F$147,'BSE - Other Index Options'!$I:$I,"MDAW*")=0,"",SUMIFS('BSE - SENSEX Index Options'!$M:$M,'BSE - SENSEX Index Options'!$C:$C,$A270,'BSE - SENSEX Index Options'!$B:$B,F$147,'BSE - SENSEX Index Options'!$I:$I,"Weekly*")+SUMIFS('BSE - SENSEX Index Options'!$M:$M,'BSE - SENSEX Index Options'!$C:$C,$A270,'BSE - SENSEX Index Options'!$B:$B,F$147,'BSE - SENSEX Index Options'!$I:$I,"MDAW*")+SUMIFS('BSE - Other Index Options'!$M:$M,'BSE - Other Index Options'!$C:$C,$A270,'BSE - Other Index Options'!$B:$B,F$147,'BSE - Other Index Options'!$I:$I,"Weekly*")+SUMIFS('BSE - Other Index Options'!$M:$M,'BSE - Other Index Options'!$C:$C,$A270,'BSE - Other Index Options'!$B:$B,F$147,'BSE - Other Index Options'!$I:$I,"MDAW*"))</f>
        <v/>
      </c>
      <c r="G270" s="26">
        <f>IF(SUMIFS('BSE - SENSEX Index Options'!$M:$M,'BSE - SENSEX Index Options'!$C:$C,$A270,'BSE - SENSEX Index Options'!$B:$B,G$147,'BSE - SENSEX Index Options'!$I:$I,"Weekly*")+SUMIFS('BSE - SENSEX Index Options'!$M:$M,'BSE - SENSEX Index Options'!$C:$C,$A270,'BSE - SENSEX Index Options'!$B:$B,G$147,'BSE - SENSEX Index Options'!$I:$I,"MDAW*")+SUMIFS('BSE - Other Index Options'!$M:$M,'BSE - Other Index Options'!$C:$C,$A270,'BSE - Other Index Options'!$B:$B,G$147,'BSE - Other Index Options'!$I:$I,"Weekly*")+SUMIFS('BSE - Other Index Options'!$M:$M,'BSE - Other Index Options'!$C:$C,$A270,'BSE - Other Index Options'!$B:$B,G$147,'BSE - Other Index Options'!$I:$I,"MDAW*")=0,"",SUMIFS('BSE - SENSEX Index Options'!$M:$M,'BSE - SENSEX Index Options'!$C:$C,$A270,'BSE - SENSEX Index Options'!$B:$B,G$147,'BSE - SENSEX Index Options'!$I:$I,"Weekly*")+SUMIFS('BSE - SENSEX Index Options'!$M:$M,'BSE - SENSEX Index Options'!$C:$C,$A270,'BSE - SENSEX Index Options'!$B:$B,G$147,'BSE - SENSEX Index Options'!$I:$I,"MDAW*")+SUMIFS('BSE - Other Index Options'!$M:$M,'BSE - Other Index Options'!$C:$C,$A270,'BSE - Other Index Options'!$B:$B,G$147,'BSE - Other Index Options'!$I:$I,"Weekly*")+SUMIFS('BSE - Other Index Options'!$M:$M,'BSE - Other Index Options'!$C:$C,$A270,'BSE - Other Index Options'!$B:$B,G$147,'BSE - Other Index Options'!$I:$I,"MDAW*"))</f>
        <v/>
      </c>
      <c r="H270" s="26">
        <f>IF(SUM(B270:G270)=0,"",SUM(B270:G270))</f>
        <v/>
      </c>
    </row>
    <row r="271" hidden="1" outlineLevel="1">
      <c r="A271" t="inlineStr">
        <is>
          <t>Week1-Oct-2027</t>
        </is>
      </c>
      <c r="B271" s="26">
        <f>IF(SUMIFS('BSE - SENSEX Index Options'!$M:$M,'BSE - SENSEX Index Options'!$C:$C,$A271,'BSE - SENSEX Index Options'!$B:$B,B$147,'BSE - SENSEX Index Options'!$I:$I,"Weekly*")+SUMIFS('BSE - SENSEX Index Options'!$M:$M,'BSE - SENSEX Index Options'!$C:$C,$A271,'BSE - SENSEX Index Options'!$B:$B,B$147,'BSE - SENSEX Index Options'!$I:$I,"MDAW*")+SUMIFS('BSE - Other Index Options'!$M:$M,'BSE - Other Index Options'!$C:$C,$A271,'BSE - Other Index Options'!$B:$B,B$147,'BSE - Other Index Options'!$I:$I,"Weekly*")+SUMIFS('BSE - Other Index Options'!$M:$M,'BSE - Other Index Options'!$C:$C,$A271,'BSE - Other Index Options'!$B:$B,B$147,'BSE - Other Index Options'!$I:$I,"MDAW*")=0,"",SUMIFS('BSE - SENSEX Index Options'!$M:$M,'BSE - SENSEX Index Options'!$C:$C,$A271,'BSE - SENSEX Index Options'!$B:$B,B$147,'BSE - SENSEX Index Options'!$I:$I,"Weekly*")+SUMIFS('BSE - SENSEX Index Options'!$M:$M,'BSE - SENSEX Index Options'!$C:$C,$A271,'BSE - SENSEX Index Options'!$B:$B,B$147,'BSE - SENSEX Index Options'!$I:$I,"MDAW*")+SUMIFS('BSE - Other Index Options'!$M:$M,'BSE - Other Index Options'!$C:$C,$A271,'BSE - Other Index Options'!$B:$B,B$147,'BSE - Other Index Options'!$I:$I,"Weekly*")+SUMIFS('BSE - Other Index Options'!$M:$M,'BSE - Other Index Options'!$C:$C,$A271,'BSE - Other Index Options'!$B:$B,B$147,'BSE - Other Index Options'!$I:$I,"MDAW*"))</f>
        <v/>
      </c>
      <c r="C271" s="26">
        <f>IF(SUMIFS('BSE - SENSEX Index Options'!$M:$M,'BSE - SENSEX Index Options'!$C:$C,$A271,'BSE - SENSEX Index Options'!$B:$B,C$147,'BSE - SENSEX Index Options'!$I:$I,"Weekly*")+SUMIFS('BSE - SENSEX Index Options'!$M:$M,'BSE - SENSEX Index Options'!$C:$C,$A271,'BSE - SENSEX Index Options'!$B:$B,C$147,'BSE - SENSEX Index Options'!$I:$I,"MDAW*")+SUMIFS('BSE - Other Index Options'!$M:$M,'BSE - Other Index Options'!$C:$C,$A271,'BSE - Other Index Options'!$B:$B,C$147,'BSE - Other Index Options'!$I:$I,"Weekly*")+SUMIFS('BSE - Other Index Options'!$M:$M,'BSE - Other Index Options'!$C:$C,$A271,'BSE - Other Index Options'!$B:$B,C$147,'BSE - Other Index Options'!$I:$I,"MDAW*")=0,"",SUMIFS('BSE - SENSEX Index Options'!$M:$M,'BSE - SENSEX Index Options'!$C:$C,$A271,'BSE - SENSEX Index Options'!$B:$B,C$147,'BSE - SENSEX Index Options'!$I:$I,"Weekly*")+SUMIFS('BSE - SENSEX Index Options'!$M:$M,'BSE - SENSEX Index Options'!$C:$C,$A271,'BSE - SENSEX Index Options'!$B:$B,C$147,'BSE - SENSEX Index Options'!$I:$I,"MDAW*")+SUMIFS('BSE - Other Index Options'!$M:$M,'BSE - Other Index Options'!$C:$C,$A271,'BSE - Other Index Options'!$B:$B,C$147,'BSE - Other Index Options'!$I:$I,"Weekly*")+SUMIFS('BSE - Other Index Options'!$M:$M,'BSE - Other Index Options'!$C:$C,$A271,'BSE - Other Index Options'!$B:$B,C$147,'BSE - Other Index Options'!$I:$I,"MDAW*"))</f>
        <v/>
      </c>
      <c r="D271" s="26">
        <f>IF(SUMIFS('BSE - SENSEX Index Options'!$M:$M,'BSE - SENSEX Index Options'!$C:$C,$A271,'BSE - SENSEX Index Options'!$B:$B,D$147,'BSE - SENSEX Index Options'!$I:$I,"Weekly*")+SUMIFS('BSE - SENSEX Index Options'!$M:$M,'BSE - SENSEX Index Options'!$C:$C,$A271,'BSE - SENSEX Index Options'!$B:$B,D$147,'BSE - SENSEX Index Options'!$I:$I,"MDAW*")+SUMIFS('BSE - Other Index Options'!$M:$M,'BSE - Other Index Options'!$C:$C,$A271,'BSE - Other Index Options'!$B:$B,D$147,'BSE - Other Index Options'!$I:$I,"Weekly*")+SUMIFS('BSE - Other Index Options'!$M:$M,'BSE - Other Index Options'!$C:$C,$A271,'BSE - Other Index Options'!$B:$B,D$147,'BSE - Other Index Options'!$I:$I,"MDAW*")=0,"",SUMIFS('BSE - SENSEX Index Options'!$M:$M,'BSE - SENSEX Index Options'!$C:$C,$A271,'BSE - SENSEX Index Options'!$B:$B,D$147,'BSE - SENSEX Index Options'!$I:$I,"Weekly*")+SUMIFS('BSE - SENSEX Index Options'!$M:$M,'BSE - SENSEX Index Options'!$C:$C,$A271,'BSE - SENSEX Index Options'!$B:$B,D$147,'BSE - SENSEX Index Options'!$I:$I,"MDAW*")+SUMIFS('BSE - Other Index Options'!$M:$M,'BSE - Other Index Options'!$C:$C,$A271,'BSE - Other Index Options'!$B:$B,D$147,'BSE - Other Index Options'!$I:$I,"Weekly*")+SUMIFS('BSE - Other Index Options'!$M:$M,'BSE - Other Index Options'!$C:$C,$A271,'BSE - Other Index Options'!$B:$B,D$147,'BSE - Other Index Options'!$I:$I,"MDAW*"))</f>
        <v/>
      </c>
      <c r="E271" s="26">
        <f>IF(SUMIFS('BSE - SENSEX Index Options'!$M:$M,'BSE - SENSEX Index Options'!$C:$C,$A271,'BSE - SENSEX Index Options'!$B:$B,E$147,'BSE - SENSEX Index Options'!$I:$I,"Weekly*")+SUMIFS('BSE - SENSEX Index Options'!$M:$M,'BSE - SENSEX Index Options'!$C:$C,$A271,'BSE - SENSEX Index Options'!$B:$B,E$147,'BSE - SENSEX Index Options'!$I:$I,"MDAW*")+SUMIFS('BSE - Other Index Options'!$M:$M,'BSE - Other Index Options'!$C:$C,$A271,'BSE - Other Index Options'!$B:$B,E$147,'BSE - Other Index Options'!$I:$I,"Weekly*")+SUMIFS('BSE - Other Index Options'!$M:$M,'BSE - Other Index Options'!$C:$C,$A271,'BSE - Other Index Options'!$B:$B,E$147,'BSE - Other Index Options'!$I:$I,"MDAW*")=0,"",SUMIFS('BSE - SENSEX Index Options'!$M:$M,'BSE - SENSEX Index Options'!$C:$C,$A271,'BSE - SENSEX Index Options'!$B:$B,E$147,'BSE - SENSEX Index Options'!$I:$I,"Weekly*")+SUMIFS('BSE - SENSEX Index Options'!$M:$M,'BSE - SENSEX Index Options'!$C:$C,$A271,'BSE - SENSEX Index Options'!$B:$B,E$147,'BSE - SENSEX Index Options'!$I:$I,"MDAW*")+SUMIFS('BSE - Other Index Options'!$M:$M,'BSE - Other Index Options'!$C:$C,$A271,'BSE - Other Index Options'!$B:$B,E$147,'BSE - Other Index Options'!$I:$I,"Weekly*")+SUMIFS('BSE - Other Index Options'!$M:$M,'BSE - Other Index Options'!$C:$C,$A271,'BSE - Other Index Options'!$B:$B,E$147,'BSE - Other Index Options'!$I:$I,"MDAW*"))</f>
        <v/>
      </c>
      <c r="F271" s="26">
        <f>IF(SUMIFS('BSE - SENSEX Index Options'!$M:$M,'BSE - SENSEX Index Options'!$C:$C,$A271,'BSE - SENSEX Index Options'!$B:$B,F$147,'BSE - SENSEX Index Options'!$I:$I,"Weekly*")+SUMIFS('BSE - SENSEX Index Options'!$M:$M,'BSE - SENSEX Index Options'!$C:$C,$A271,'BSE - SENSEX Index Options'!$B:$B,F$147,'BSE - SENSEX Index Options'!$I:$I,"MDAW*")+SUMIFS('BSE - Other Index Options'!$M:$M,'BSE - Other Index Options'!$C:$C,$A271,'BSE - Other Index Options'!$B:$B,F$147,'BSE - Other Index Options'!$I:$I,"Weekly*")+SUMIFS('BSE - Other Index Options'!$M:$M,'BSE - Other Index Options'!$C:$C,$A271,'BSE - Other Index Options'!$B:$B,F$147,'BSE - Other Index Options'!$I:$I,"MDAW*")=0,"",SUMIFS('BSE - SENSEX Index Options'!$M:$M,'BSE - SENSEX Index Options'!$C:$C,$A271,'BSE - SENSEX Index Options'!$B:$B,F$147,'BSE - SENSEX Index Options'!$I:$I,"Weekly*")+SUMIFS('BSE - SENSEX Index Options'!$M:$M,'BSE - SENSEX Index Options'!$C:$C,$A271,'BSE - SENSEX Index Options'!$B:$B,F$147,'BSE - SENSEX Index Options'!$I:$I,"MDAW*")+SUMIFS('BSE - Other Index Options'!$M:$M,'BSE - Other Index Options'!$C:$C,$A271,'BSE - Other Index Options'!$B:$B,F$147,'BSE - Other Index Options'!$I:$I,"Weekly*")+SUMIFS('BSE - Other Index Options'!$M:$M,'BSE - Other Index Options'!$C:$C,$A271,'BSE - Other Index Options'!$B:$B,F$147,'BSE - Other Index Options'!$I:$I,"MDAW*"))</f>
        <v/>
      </c>
      <c r="G271" s="26">
        <f>IF(SUMIFS('BSE - SENSEX Index Options'!$M:$M,'BSE - SENSEX Index Options'!$C:$C,$A271,'BSE - SENSEX Index Options'!$B:$B,G$147,'BSE - SENSEX Index Options'!$I:$I,"Weekly*")+SUMIFS('BSE - SENSEX Index Options'!$M:$M,'BSE - SENSEX Index Options'!$C:$C,$A271,'BSE - SENSEX Index Options'!$B:$B,G$147,'BSE - SENSEX Index Options'!$I:$I,"MDAW*")+SUMIFS('BSE - Other Index Options'!$M:$M,'BSE - Other Index Options'!$C:$C,$A271,'BSE - Other Index Options'!$B:$B,G$147,'BSE - Other Index Options'!$I:$I,"Weekly*")+SUMIFS('BSE - Other Index Options'!$M:$M,'BSE - Other Index Options'!$C:$C,$A271,'BSE - Other Index Options'!$B:$B,G$147,'BSE - Other Index Options'!$I:$I,"MDAW*")=0,"",SUMIFS('BSE - SENSEX Index Options'!$M:$M,'BSE - SENSEX Index Options'!$C:$C,$A271,'BSE - SENSEX Index Options'!$B:$B,G$147,'BSE - SENSEX Index Options'!$I:$I,"Weekly*")+SUMIFS('BSE - SENSEX Index Options'!$M:$M,'BSE - SENSEX Index Options'!$C:$C,$A271,'BSE - SENSEX Index Options'!$B:$B,G$147,'BSE - SENSEX Index Options'!$I:$I,"MDAW*")+SUMIFS('BSE - Other Index Options'!$M:$M,'BSE - Other Index Options'!$C:$C,$A271,'BSE - Other Index Options'!$B:$B,G$147,'BSE - Other Index Options'!$I:$I,"Weekly*")+SUMIFS('BSE - Other Index Options'!$M:$M,'BSE - Other Index Options'!$C:$C,$A271,'BSE - Other Index Options'!$B:$B,G$147,'BSE - Other Index Options'!$I:$I,"MDAW*"))</f>
        <v/>
      </c>
      <c r="H271" s="26">
        <f>IF(SUM(B271:G271)=0,"",SUM(B271:G271))</f>
        <v/>
      </c>
    </row>
    <row r="272" hidden="1" outlineLevel="1">
      <c r="A272" t="inlineStr">
        <is>
          <t>Week2-Oct-2027</t>
        </is>
      </c>
      <c r="B272" s="26">
        <f>IF(SUMIFS('BSE - SENSEX Index Options'!$M:$M,'BSE - SENSEX Index Options'!$C:$C,$A272,'BSE - SENSEX Index Options'!$B:$B,B$147,'BSE - SENSEX Index Options'!$I:$I,"Weekly*")+SUMIFS('BSE - SENSEX Index Options'!$M:$M,'BSE - SENSEX Index Options'!$C:$C,$A272,'BSE - SENSEX Index Options'!$B:$B,B$147,'BSE - SENSEX Index Options'!$I:$I,"MDAW*")+SUMIFS('BSE - Other Index Options'!$M:$M,'BSE - Other Index Options'!$C:$C,$A272,'BSE - Other Index Options'!$B:$B,B$147,'BSE - Other Index Options'!$I:$I,"Weekly*")+SUMIFS('BSE - Other Index Options'!$M:$M,'BSE - Other Index Options'!$C:$C,$A272,'BSE - Other Index Options'!$B:$B,B$147,'BSE - Other Index Options'!$I:$I,"MDAW*")=0,"",SUMIFS('BSE - SENSEX Index Options'!$M:$M,'BSE - SENSEX Index Options'!$C:$C,$A272,'BSE - SENSEX Index Options'!$B:$B,B$147,'BSE - SENSEX Index Options'!$I:$I,"Weekly*")+SUMIFS('BSE - SENSEX Index Options'!$M:$M,'BSE - SENSEX Index Options'!$C:$C,$A272,'BSE - SENSEX Index Options'!$B:$B,B$147,'BSE - SENSEX Index Options'!$I:$I,"MDAW*")+SUMIFS('BSE - Other Index Options'!$M:$M,'BSE - Other Index Options'!$C:$C,$A272,'BSE - Other Index Options'!$B:$B,B$147,'BSE - Other Index Options'!$I:$I,"Weekly*")+SUMIFS('BSE - Other Index Options'!$M:$M,'BSE - Other Index Options'!$C:$C,$A272,'BSE - Other Index Options'!$B:$B,B$147,'BSE - Other Index Options'!$I:$I,"MDAW*"))</f>
        <v/>
      </c>
      <c r="C272" s="26">
        <f>IF(SUMIFS('BSE - SENSEX Index Options'!$M:$M,'BSE - SENSEX Index Options'!$C:$C,$A272,'BSE - SENSEX Index Options'!$B:$B,C$147,'BSE - SENSEX Index Options'!$I:$I,"Weekly*")+SUMIFS('BSE - SENSEX Index Options'!$M:$M,'BSE - SENSEX Index Options'!$C:$C,$A272,'BSE - SENSEX Index Options'!$B:$B,C$147,'BSE - SENSEX Index Options'!$I:$I,"MDAW*")+SUMIFS('BSE - Other Index Options'!$M:$M,'BSE - Other Index Options'!$C:$C,$A272,'BSE - Other Index Options'!$B:$B,C$147,'BSE - Other Index Options'!$I:$I,"Weekly*")+SUMIFS('BSE - Other Index Options'!$M:$M,'BSE - Other Index Options'!$C:$C,$A272,'BSE - Other Index Options'!$B:$B,C$147,'BSE - Other Index Options'!$I:$I,"MDAW*")=0,"",SUMIFS('BSE - SENSEX Index Options'!$M:$M,'BSE - SENSEX Index Options'!$C:$C,$A272,'BSE - SENSEX Index Options'!$B:$B,C$147,'BSE - SENSEX Index Options'!$I:$I,"Weekly*")+SUMIFS('BSE - SENSEX Index Options'!$M:$M,'BSE - SENSEX Index Options'!$C:$C,$A272,'BSE - SENSEX Index Options'!$B:$B,C$147,'BSE - SENSEX Index Options'!$I:$I,"MDAW*")+SUMIFS('BSE - Other Index Options'!$M:$M,'BSE - Other Index Options'!$C:$C,$A272,'BSE - Other Index Options'!$B:$B,C$147,'BSE - Other Index Options'!$I:$I,"Weekly*")+SUMIFS('BSE - Other Index Options'!$M:$M,'BSE - Other Index Options'!$C:$C,$A272,'BSE - Other Index Options'!$B:$B,C$147,'BSE - Other Index Options'!$I:$I,"MDAW*"))</f>
        <v/>
      </c>
      <c r="D272" s="26">
        <f>IF(SUMIFS('BSE - SENSEX Index Options'!$M:$M,'BSE - SENSEX Index Options'!$C:$C,$A272,'BSE - SENSEX Index Options'!$B:$B,D$147,'BSE - SENSEX Index Options'!$I:$I,"Weekly*")+SUMIFS('BSE - SENSEX Index Options'!$M:$M,'BSE - SENSEX Index Options'!$C:$C,$A272,'BSE - SENSEX Index Options'!$B:$B,D$147,'BSE - SENSEX Index Options'!$I:$I,"MDAW*")+SUMIFS('BSE - Other Index Options'!$M:$M,'BSE - Other Index Options'!$C:$C,$A272,'BSE - Other Index Options'!$B:$B,D$147,'BSE - Other Index Options'!$I:$I,"Weekly*")+SUMIFS('BSE - Other Index Options'!$M:$M,'BSE - Other Index Options'!$C:$C,$A272,'BSE - Other Index Options'!$B:$B,D$147,'BSE - Other Index Options'!$I:$I,"MDAW*")=0,"",SUMIFS('BSE - SENSEX Index Options'!$M:$M,'BSE - SENSEX Index Options'!$C:$C,$A272,'BSE - SENSEX Index Options'!$B:$B,D$147,'BSE - SENSEX Index Options'!$I:$I,"Weekly*")+SUMIFS('BSE - SENSEX Index Options'!$M:$M,'BSE - SENSEX Index Options'!$C:$C,$A272,'BSE - SENSEX Index Options'!$B:$B,D$147,'BSE - SENSEX Index Options'!$I:$I,"MDAW*")+SUMIFS('BSE - Other Index Options'!$M:$M,'BSE - Other Index Options'!$C:$C,$A272,'BSE - Other Index Options'!$B:$B,D$147,'BSE - Other Index Options'!$I:$I,"Weekly*")+SUMIFS('BSE - Other Index Options'!$M:$M,'BSE - Other Index Options'!$C:$C,$A272,'BSE - Other Index Options'!$B:$B,D$147,'BSE - Other Index Options'!$I:$I,"MDAW*"))</f>
        <v/>
      </c>
      <c r="E272" s="26">
        <f>IF(SUMIFS('BSE - SENSEX Index Options'!$M:$M,'BSE - SENSEX Index Options'!$C:$C,$A272,'BSE - SENSEX Index Options'!$B:$B,E$147,'BSE - SENSEX Index Options'!$I:$I,"Weekly*")+SUMIFS('BSE - SENSEX Index Options'!$M:$M,'BSE - SENSEX Index Options'!$C:$C,$A272,'BSE - SENSEX Index Options'!$B:$B,E$147,'BSE - SENSEX Index Options'!$I:$I,"MDAW*")+SUMIFS('BSE - Other Index Options'!$M:$M,'BSE - Other Index Options'!$C:$C,$A272,'BSE - Other Index Options'!$B:$B,E$147,'BSE - Other Index Options'!$I:$I,"Weekly*")+SUMIFS('BSE - Other Index Options'!$M:$M,'BSE - Other Index Options'!$C:$C,$A272,'BSE - Other Index Options'!$B:$B,E$147,'BSE - Other Index Options'!$I:$I,"MDAW*")=0,"",SUMIFS('BSE - SENSEX Index Options'!$M:$M,'BSE - SENSEX Index Options'!$C:$C,$A272,'BSE - SENSEX Index Options'!$B:$B,E$147,'BSE - SENSEX Index Options'!$I:$I,"Weekly*")+SUMIFS('BSE - SENSEX Index Options'!$M:$M,'BSE - SENSEX Index Options'!$C:$C,$A272,'BSE - SENSEX Index Options'!$B:$B,E$147,'BSE - SENSEX Index Options'!$I:$I,"MDAW*")+SUMIFS('BSE - Other Index Options'!$M:$M,'BSE - Other Index Options'!$C:$C,$A272,'BSE - Other Index Options'!$B:$B,E$147,'BSE - Other Index Options'!$I:$I,"Weekly*")+SUMIFS('BSE - Other Index Options'!$M:$M,'BSE - Other Index Options'!$C:$C,$A272,'BSE - Other Index Options'!$B:$B,E$147,'BSE - Other Index Options'!$I:$I,"MDAW*"))</f>
        <v/>
      </c>
      <c r="F272" s="26">
        <f>IF(SUMIFS('BSE - SENSEX Index Options'!$M:$M,'BSE - SENSEX Index Options'!$C:$C,$A272,'BSE - SENSEX Index Options'!$B:$B,F$147,'BSE - SENSEX Index Options'!$I:$I,"Weekly*")+SUMIFS('BSE - SENSEX Index Options'!$M:$M,'BSE - SENSEX Index Options'!$C:$C,$A272,'BSE - SENSEX Index Options'!$B:$B,F$147,'BSE - SENSEX Index Options'!$I:$I,"MDAW*")+SUMIFS('BSE - Other Index Options'!$M:$M,'BSE - Other Index Options'!$C:$C,$A272,'BSE - Other Index Options'!$B:$B,F$147,'BSE - Other Index Options'!$I:$I,"Weekly*")+SUMIFS('BSE - Other Index Options'!$M:$M,'BSE - Other Index Options'!$C:$C,$A272,'BSE - Other Index Options'!$B:$B,F$147,'BSE - Other Index Options'!$I:$I,"MDAW*")=0,"",SUMIFS('BSE - SENSEX Index Options'!$M:$M,'BSE - SENSEX Index Options'!$C:$C,$A272,'BSE - SENSEX Index Options'!$B:$B,F$147,'BSE - SENSEX Index Options'!$I:$I,"Weekly*")+SUMIFS('BSE - SENSEX Index Options'!$M:$M,'BSE - SENSEX Index Options'!$C:$C,$A272,'BSE - SENSEX Index Options'!$B:$B,F$147,'BSE - SENSEX Index Options'!$I:$I,"MDAW*")+SUMIFS('BSE - Other Index Options'!$M:$M,'BSE - Other Index Options'!$C:$C,$A272,'BSE - Other Index Options'!$B:$B,F$147,'BSE - Other Index Options'!$I:$I,"Weekly*")+SUMIFS('BSE - Other Index Options'!$M:$M,'BSE - Other Index Options'!$C:$C,$A272,'BSE - Other Index Options'!$B:$B,F$147,'BSE - Other Index Options'!$I:$I,"MDAW*"))</f>
        <v/>
      </c>
      <c r="G272" s="26">
        <f>IF(SUMIFS('BSE - SENSEX Index Options'!$M:$M,'BSE - SENSEX Index Options'!$C:$C,$A272,'BSE - SENSEX Index Options'!$B:$B,G$147,'BSE - SENSEX Index Options'!$I:$I,"Weekly*")+SUMIFS('BSE - SENSEX Index Options'!$M:$M,'BSE - SENSEX Index Options'!$C:$C,$A272,'BSE - SENSEX Index Options'!$B:$B,G$147,'BSE - SENSEX Index Options'!$I:$I,"MDAW*")+SUMIFS('BSE - Other Index Options'!$M:$M,'BSE - Other Index Options'!$C:$C,$A272,'BSE - Other Index Options'!$B:$B,G$147,'BSE - Other Index Options'!$I:$I,"Weekly*")+SUMIFS('BSE - Other Index Options'!$M:$M,'BSE - Other Index Options'!$C:$C,$A272,'BSE - Other Index Options'!$B:$B,G$147,'BSE - Other Index Options'!$I:$I,"MDAW*")=0,"",SUMIFS('BSE - SENSEX Index Options'!$M:$M,'BSE - SENSEX Index Options'!$C:$C,$A272,'BSE - SENSEX Index Options'!$B:$B,G$147,'BSE - SENSEX Index Options'!$I:$I,"Weekly*")+SUMIFS('BSE - SENSEX Index Options'!$M:$M,'BSE - SENSEX Index Options'!$C:$C,$A272,'BSE - SENSEX Index Options'!$B:$B,G$147,'BSE - SENSEX Index Options'!$I:$I,"MDAW*")+SUMIFS('BSE - Other Index Options'!$M:$M,'BSE - Other Index Options'!$C:$C,$A272,'BSE - Other Index Options'!$B:$B,G$147,'BSE - Other Index Options'!$I:$I,"Weekly*")+SUMIFS('BSE - Other Index Options'!$M:$M,'BSE - Other Index Options'!$C:$C,$A272,'BSE - Other Index Options'!$B:$B,G$147,'BSE - Other Index Options'!$I:$I,"MDAW*"))</f>
        <v/>
      </c>
      <c r="H272" s="26">
        <f>IF(SUM(B272:G272)=0,"",SUM(B272:G272))</f>
        <v/>
      </c>
    </row>
    <row r="273" hidden="1" outlineLevel="1">
      <c r="A273" t="inlineStr">
        <is>
          <t>Week3-Oct-2027</t>
        </is>
      </c>
      <c r="B273" s="26">
        <f>IF(SUMIFS('BSE - SENSEX Index Options'!$M:$M,'BSE - SENSEX Index Options'!$C:$C,$A273,'BSE - SENSEX Index Options'!$B:$B,B$147,'BSE - SENSEX Index Options'!$I:$I,"Weekly*")+SUMIFS('BSE - SENSEX Index Options'!$M:$M,'BSE - SENSEX Index Options'!$C:$C,$A273,'BSE - SENSEX Index Options'!$B:$B,B$147,'BSE - SENSEX Index Options'!$I:$I,"MDAW*")+SUMIFS('BSE - Other Index Options'!$M:$M,'BSE - Other Index Options'!$C:$C,$A273,'BSE - Other Index Options'!$B:$B,B$147,'BSE - Other Index Options'!$I:$I,"Weekly*")+SUMIFS('BSE - Other Index Options'!$M:$M,'BSE - Other Index Options'!$C:$C,$A273,'BSE - Other Index Options'!$B:$B,B$147,'BSE - Other Index Options'!$I:$I,"MDAW*")=0,"",SUMIFS('BSE - SENSEX Index Options'!$M:$M,'BSE - SENSEX Index Options'!$C:$C,$A273,'BSE - SENSEX Index Options'!$B:$B,B$147,'BSE - SENSEX Index Options'!$I:$I,"Weekly*")+SUMIFS('BSE - SENSEX Index Options'!$M:$M,'BSE - SENSEX Index Options'!$C:$C,$A273,'BSE - SENSEX Index Options'!$B:$B,B$147,'BSE - SENSEX Index Options'!$I:$I,"MDAW*")+SUMIFS('BSE - Other Index Options'!$M:$M,'BSE - Other Index Options'!$C:$C,$A273,'BSE - Other Index Options'!$B:$B,B$147,'BSE - Other Index Options'!$I:$I,"Weekly*")+SUMIFS('BSE - Other Index Options'!$M:$M,'BSE - Other Index Options'!$C:$C,$A273,'BSE - Other Index Options'!$B:$B,B$147,'BSE - Other Index Options'!$I:$I,"MDAW*"))</f>
        <v/>
      </c>
      <c r="C273" s="26">
        <f>IF(SUMIFS('BSE - SENSEX Index Options'!$M:$M,'BSE - SENSEX Index Options'!$C:$C,$A273,'BSE - SENSEX Index Options'!$B:$B,C$147,'BSE - SENSEX Index Options'!$I:$I,"Weekly*")+SUMIFS('BSE - SENSEX Index Options'!$M:$M,'BSE - SENSEX Index Options'!$C:$C,$A273,'BSE - SENSEX Index Options'!$B:$B,C$147,'BSE - SENSEX Index Options'!$I:$I,"MDAW*")+SUMIFS('BSE - Other Index Options'!$M:$M,'BSE - Other Index Options'!$C:$C,$A273,'BSE - Other Index Options'!$B:$B,C$147,'BSE - Other Index Options'!$I:$I,"Weekly*")+SUMIFS('BSE - Other Index Options'!$M:$M,'BSE - Other Index Options'!$C:$C,$A273,'BSE - Other Index Options'!$B:$B,C$147,'BSE - Other Index Options'!$I:$I,"MDAW*")=0,"",SUMIFS('BSE - SENSEX Index Options'!$M:$M,'BSE - SENSEX Index Options'!$C:$C,$A273,'BSE - SENSEX Index Options'!$B:$B,C$147,'BSE - SENSEX Index Options'!$I:$I,"Weekly*")+SUMIFS('BSE - SENSEX Index Options'!$M:$M,'BSE - SENSEX Index Options'!$C:$C,$A273,'BSE - SENSEX Index Options'!$B:$B,C$147,'BSE - SENSEX Index Options'!$I:$I,"MDAW*")+SUMIFS('BSE - Other Index Options'!$M:$M,'BSE - Other Index Options'!$C:$C,$A273,'BSE - Other Index Options'!$B:$B,C$147,'BSE - Other Index Options'!$I:$I,"Weekly*")+SUMIFS('BSE - Other Index Options'!$M:$M,'BSE - Other Index Options'!$C:$C,$A273,'BSE - Other Index Options'!$B:$B,C$147,'BSE - Other Index Options'!$I:$I,"MDAW*"))</f>
        <v/>
      </c>
      <c r="D273" s="26">
        <f>IF(SUMIFS('BSE - SENSEX Index Options'!$M:$M,'BSE - SENSEX Index Options'!$C:$C,$A273,'BSE - SENSEX Index Options'!$B:$B,D$147,'BSE - SENSEX Index Options'!$I:$I,"Weekly*")+SUMIFS('BSE - SENSEX Index Options'!$M:$M,'BSE - SENSEX Index Options'!$C:$C,$A273,'BSE - SENSEX Index Options'!$B:$B,D$147,'BSE - SENSEX Index Options'!$I:$I,"MDAW*")+SUMIFS('BSE - Other Index Options'!$M:$M,'BSE - Other Index Options'!$C:$C,$A273,'BSE - Other Index Options'!$B:$B,D$147,'BSE - Other Index Options'!$I:$I,"Weekly*")+SUMIFS('BSE - Other Index Options'!$M:$M,'BSE - Other Index Options'!$C:$C,$A273,'BSE - Other Index Options'!$B:$B,D$147,'BSE - Other Index Options'!$I:$I,"MDAW*")=0,"",SUMIFS('BSE - SENSEX Index Options'!$M:$M,'BSE - SENSEX Index Options'!$C:$C,$A273,'BSE - SENSEX Index Options'!$B:$B,D$147,'BSE - SENSEX Index Options'!$I:$I,"Weekly*")+SUMIFS('BSE - SENSEX Index Options'!$M:$M,'BSE - SENSEX Index Options'!$C:$C,$A273,'BSE - SENSEX Index Options'!$B:$B,D$147,'BSE - SENSEX Index Options'!$I:$I,"MDAW*")+SUMIFS('BSE - Other Index Options'!$M:$M,'BSE - Other Index Options'!$C:$C,$A273,'BSE - Other Index Options'!$B:$B,D$147,'BSE - Other Index Options'!$I:$I,"Weekly*")+SUMIFS('BSE - Other Index Options'!$M:$M,'BSE - Other Index Options'!$C:$C,$A273,'BSE - Other Index Options'!$B:$B,D$147,'BSE - Other Index Options'!$I:$I,"MDAW*"))</f>
        <v/>
      </c>
      <c r="E273" s="26">
        <f>IF(SUMIFS('BSE - SENSEX Index Options'!$M:$M,'BSE - SENSEX Index Options'!$C:$C,$A273,'BSE - SENSEX Index Options'!$B:$B,E$147,'BSE - SENSEX Index Options'!$I:$I,"Weekly*")+SUMIFS('BSE - SENSEX Index Options'!$M:$M,'BSE - SENSEX Index Options'!$C:$C,$A273,'BSE - SENSEX Index Options'!$B:$B,E$147,'BSE - SENSEX Index Options'!$I:$I,"MDAW*")+SUMIFS('BSE - Other Index Options'!$M:$M,'BSE - Other Index Options'!$C:$C,$A273,'BSE - Other Index Options'!$B:$B,E$147,'BSE - Other Index Options'!$I:$I,"Weekly*")+SUMIFS('BSE - Other Index Options'!$M:$M,'BSE - Other Index Options'!$C:$C,$A273,'BSE - Other Index Options'!$B:$B,E$147,'BSE - Other Index Options'!$I:$I,"MDAW*")=0,"",SUMIFS('BSE - SENSEX Index Options'!$M:$M,'BSE - SENSEX Index Options'!$C:$C,$A273,'BSE - SENSEX Index Options'!$B:$B,E$147,'BSE - SENSEX Index Options'!$I:$I,"Weekly*")+SUMIFS('BSE - SENSEX Index Options'!$M:$M,'BSE - SENSEX Index Options'!$C:$C,$A273,'BSE - SENSEX Index Options'!$B:$B,E$147,'BSE - SENSEX Index Options'!$I:$I,"MDAW*")+SUMIFS('BSE - Other Index Options'!$M:$M,'BSE - Other Index Options'!$C:$C,$A273,'BSE - Other Index Options'!$B:$B,E$147,'BSE - Other Index Options'!$I:$I,"Weekly*")+SUMIFS('BSE - Other Index Options'!$M:$M,'BSE - Other Index Options'!$C:$C,$A273,'BSE - Other Index Options'!$B:$B,E$147,'BSE - Other Index Options'!$I:$I,"MDAW*"))</f>
        <v/>
      </c>
      <c r="F273" s="26">
        <f>IF(SUMIFS('BSE - SENSEX Index Options'!$M:$M,'BSE - SENSEX Index Options'!$C:$C,$A273,'BSE - SENSEX Index Options'!$B:$B,F$147,'BSE - SENSEX Index Options'!$I:$I,"Weekly*")+SUMIFS('BSE - SENSEX Index Options'!$M:$M,'BSE - SENSEX Index Options'!$C:$C,$A273,'BSE - SENSEX Index Options'!$B:$B,F$147,'BSE - SENSEX Index Options'!$I:$I,"MDAW*")+SUMIFS('BSE - Other Index Options'!$M:$M,'BSE - Other Index Options'!$C:$C,$A273,'BSE - Other Index Options'!$B:$B,F$147,'BSE - Other Index Options'!$I:$I,"Weekly*")+SUMIFS('BSE - Other Index Options'!$M:$M,'BSE - Other Index Options'!$C:$C,$A273,'BSE - Other Index Options'!$B:$B,F$147,'BSE - Other Index Options'!$I:$I,"MDAW*")=0,"",SUMIFS('BSE - SENSEX Index Options'!$M:$M,'BSE - SENSEX Index Options'!$C:$C,$A273,'BSE - SENSEX Index Options'!$B:$B,F$147,'BSE - SENSEX Index Options'!$I:$I,"Weekly*")+SUMIFS('BSE - SENSEX Index Options'!$M:$M,'BSE - SENSEX Index Options'!$C:$C,$A273,'BSE - SENSEX Index Options'!$B:$B,F$147,'BSE - SENSEX Index Options'!$I:$I,"MDAW*")+SUMIFS('BSE - Other Index Options'!$M:$M,'BSE - Other Index Options'!$C:$C,$A273,'BSE - Other Index Options'!$B:$B,F$147,'BSE - Other Index Options'!$I:$I,"Weekly*")+SUMIFS('BSE - Other Index Options'!$M:$M,'BSE - Other Index Options'!$C:$C,$A273,'BSE - Other Index Options'!$B:$B,F$147,'BSE - Other Index Options'!$I:$I,"MDAW*"))</f>
        <v/>
      </c>
      <c r="G273" s="26">
        <f>IF(SUMIFS('BSE - SENSEX Index Options'!$M:$M,'BSE - SENSEX Index Options'!$C:$C,$A273,'BSE - SENSEX Index Options'!$B:$B,G$147,'BSE - SENSEX Index Options'!$I:$I,"Weekly*")+SUMIFS('BSE - SENSEX Index Options'!$M:$M,'BSE - SENSEX Index Options'!$C:$C,$A273,'BSE - SENSEX Index Options'!$B:$B,G$147,'BSE - SENSEX Index Options'!$I:$I,"MDAW*")+SUMIFS('BSE - Other Index Options'!$M:$M,'BSE - Other Index Options'!$C:$C,$A273,'BSE - Other Index Options'!$B:$B,G$147,'BSE - Other Index Options'!$I:$I,"Weekly*")+SUMIFS('BSE - Other Index Options'!$M:$M,'BSE - Other Index Options'!$C:$C,$A273,'BSE - Other Index Options'!$B:$B,G$147,'BSE - Other Index Options'!$I:$I,"MDAW*")=0,"",SUMIFS('BSE - SENSEX Index Options'!$M:$M,'BSE - SENSEX Index Options'!$C:$C,$A273,'BSE - SENSEX Index Options'!$B:$B,G$147,'BSE - SENSEX Index Options'!$I:$I,"Weekly*")+SUMIFS('BSE - SENSEX Index Options'!$M:$M,'BSE - SENSEX Index Options'!$C:$C,$A273,'BSE - SENSEX Index Options'!$B:$B,G$147,'BSE - SENSEX Index Options'!$I:$I,"MDAW*")+SUMIFS('BSE - Other Index Options'!$M:$M,'BSE - Other Index Options'!$C:$C,$A273,'BSE - Other Index Options'!$B:$B,G$147,'BSE - Other Index Options'!$I:$I,"Weekly*")+SUMIFS('BSE - Other Index Options'!$M:$M,'BSE - Other Index Options'!$C:$C,$A273,'BSE - Other Index Options'!$B:$B,G$147,'BSE - Other Index Options'!$I:$I,"MDAW*"))</f>
        <v/>
      </c>
      <c r="H273" s="26">
        <f>IF(SUM(B273:G273)=0,"",SUM(B273:G273))</f>
        <v/>
      </c>
    </row>
    <row r="274" hidden="1" outlineLevel="1">
      <c r="A274" t="inlineStr">
        <is>
          <t>Week4-Oct-2027</t>
        </is>
      </c>
      <c r="B274" s="26">
        <f>IF(SUMIFS('BSE - SENSEX Index Options'!$M:$M,'BSE - SENSEX Index Options'!$C:$C,$A274,'BSE - SENSEX Index Options'!$B:$B,B$147,'BSE - SENSEX Index Options'!$I:$I,"Weekly*")+SUMIFS('BSE - SENSEX Index Options'!$M:$M,'BSE - SENSEX Index Options'!$C:$C,$A274,'BSE - SENSEX Index Options'!$B:$B,B$147,'BSE - SENSEX Index Options'!$I:$I,"MDAW*")+SUMIFS('BSE - Other Index Options'!$M:$M,'BSE - Other Index Options'!$C:$C,$A274,'BSE - Other Index Options'!$B:$B,B$147,'BSE - Other Index Options'!$I:$I,"Weekly*")+SUMIFS('BSE - Other Index Options'!$M:$M,'BSE - Other Index Options'!$C:$C,$A274,'BSE - Other Index Options'!$B:$B,B$147,'BSE - Other Index Options'!$I:$I,"MDAW*")=0,"",SUMIFS('BSE - SENSEX Index Options'!$M:$M,'BSE - SENSEX Index Options'!$C:$C,$A274,'BSE - SENSEX Index Options'!$B:$B,B$147,'BSE - SENSEX Index Options'!$I:$I,"Weekly*")+SUMIFS('BSE - SENSEX Index Options'!$M:$M,'BSE - SENSEX Index Options'!$C:$C,$A274,'BSE - SENSEX Index Options'!$B:$B,B$147,'BSE - SENSEX Index Options'!$I:$I,"MDAW*")+SUMIFS('BSE - Other Index Options'!$M:$M,'BSE - Other Index Options'!$C:$C,$A274,'BSE - Other Index Options'!$B:$B,B$147,'BSE - Other Index Options'!$I:$I,"Weekly*")+SUMIFS('BSE - Other Index Options'!$M:$M,'BSE - Other Index Options'!$C:$C,$A274,'BSE - Other Index Options'!$B:$B,B$147,'BSE - Other Index Options'!$I:$I,"MDAW*"))</f>
        <v/>
      </c>
      <c r="C274" s="26">
        <f>IF(SUMIFS('BSE - SENSEX Index Options'!$M:$M,'BSE - SENSEX Index Options'!$C:$C,$A274,'BSE - SENSEX Index Options'!$B:$B,C$147,'BSE - SENSEX Index Options'!$I:$I,"Weekly*")+SUMIFS('BSE - SENSEX Index Options'!$M:$M,'BSE - SENSEX Index Options'!$C:$C,$A274,'BSE - SENSEX Index Options'!$B:$B,C$147,'BSE - SENSEX Index Options'!$I:$I,"MDAW*")+SUMIFS('BSE - Other Index Options'!$M:$M,'BSE - Other Index Options'!$C:$C,$A274,'BSE - Other Index Options'!$B:$B,C$147,'BSE - Other Index Options'!$I:$I,"Weekly*")+SUMIFS('BSE - Other Index Options'!$M:$M,'BSE - Other Index Options'!$C:$C,$A274,'BSE - Other Index Options'!$B:$B,C$147,'BSE - Other Index Options'!$I:$I,"MDAW*")=0,"",SUMIFS('BSE - SENSEX Index Options'!$M:$M,'BSE - SENSEX Index Options'!$C:$C,$A274,'BSE - SENSEX Index Options'!$B:$B,C$147,'BSE - SENSEX Index Options'!$I:$I,"Weekly*")+SUMIFS('BSE - SENSEX Index Options'!$M:$M,'BSE - SENSEX Index Options'!$C:$C,$A274,'BSE - SENSEX Index Options'!$B:$B,C$147,'BSE - SENSEX Index Options'!$I:$I,"MDAW*")+SUMIFS('BSE - Other Index Options'!$M:$M,'BSE - Other Index Options'!$C:$C,$A274,'BSE - Other Index Options'!$B:$B,C$147,'BSE - Other Index Options'!$I:$I,"Weekly*")+SUMIFS('BSE - Other Index Options'!$M:$M,'BSE - Other Index Options'!$C:$C,$A274,'BSE - Other Index Options'!$B:$B,C$147,'BSE - Other Index Options'!$I:$I,"MDAW*"))</f>
        <v/>
      </c>
      <c r="D274" s="26">
        <f>IF(SUMIFS('BSE - SENSEX Index Options'!$M:$M,'BSE - SENSEX Index Options'!$C:$C,$A274,'BSE - SENSEX Index Options'!$B:$B,D$147,'BSE - SENSEX Index Options'!$I:$I,"Weekly*")+SUMIFS('BSE - SENSEX Index Options'!$M:$M,'BSE - SENSEX Index Options'!$C:$C,$A274,'BSE - SENSEX Index Options'!$B:$B,D$147,'BSE - SENSEX Index Options'!$I:$I,"MDAW*")+SUMIFS('BSE - Other Index Options'!$M:$M,'BSE - Other Index Options'!$C:$C,$A274,'BSE - Other Index Options'!$B:$B,D$147,'BSE - Other Index Options'!$I:$I,"Weekly*")+SUMIFS('BSE - Other Index Options'!$M:$M,'BSE - Other Index Options'!$C:$C,$A274,'BSE - Other Index Options'!$B:$B,D$147,'BSE - Other Index Options'!$I:$I,"MDAW*")=0,"",SUMIFS('BSE - SENSEX Index Options'!$M:$M,'BSE - SENSEX Index Options'!$C:$C,$A274,'BSE - SENSEX Index Options'!$B:$B,D$147,'BSE - SENSEX Index Options'!$I:$I,"Weekly*")+SUMIFS('BSE - SENSEX Index Options'!$M:$M,'BSE - SENSEX Index Options'!$C:$C,$A274,'BSE - SENSEX Index Options'!$B:$B,D$147,'BSE - SENSEX Index Options'!$I:$I,"MDAW*")+SUMIFS('BSE - Other Index Options'!$M:$M,'BSE - Other Index Options'!$C:$C,$A274,'BSE - Other Index Options'!$B:$B,D$147,'BSE - Other Index Options'!$I:$I,"Weekly*")+SUMIFS('BSE - Other Index Options'!$M:$M,'BSE - Other Index Options'!$C:$C,$A274,'BSE - Other Index Options'!$B:$B,D$147,'BSE - Other Index Options'!$I:$I,"MDAW*"))</f>
        <v/>
      </c>
      <c r="E274" s="26">
        <f>IF(SUMIFS('BSE - SENSEX Index Options'!$M:$M,'BSE - SENSEX Index Options'!$C:$C,$A274,'BSE - SENSEX Index Options'!$B:$B,E$147,'BSE - SENSEX Index Options'!$I:$I,"Weekly*")+SUMIFS('BSE - SENSEX Index Options'!$M:$M,'BSE - SENSEX Index Options'!$C:$C,$A274,'BSE - SENSEX Index Options'!$B:$B,E$147,'BSE - SENSEX Index Options'!$I:$I,"MDAW*")+SUMIFS('BSE - Other Index Options'!$M:$M,'BSE - Other Index Options'!$C:$C,$A274,'BSE - Other Index Options'!$B:$B,E$147,'BSE - Other Index Options'!$I:$I,"Weekly*")+SUMIFS('BSE - Other Index Options'!$M:$M,'BSE - Other Index Options'!$C:$C,$A274,'BSE - Other Index Options'!$B:$B,E$147,'BSE - Other Index Options'!$I:$I,"MDAW*")=0,"",SUMIFS('BSE - SENSEX Index Options'!$M:$M,'BSE - SENSEX Index Options'!$C:$C,$A274,'BSE - SENSEX Index Options'!$B:$B,E$147,'BSE - SENSEX Index Options'!$I:$I,"Weekly*")+SUMIFS('BSE - SENSEX Index Options'!$M:$M,'BSE - SENSEX Index Options'!$C:$C,$A274,'BSE - SENSEX Index Options'!$B:$B,E$147,'BSE - SENSEX Index Options'!$I:$I,"MDAW*")+SUMIFS('BSE - Other Index Options'!$M:$M,'BSE - Other Index Options'!$C:$C,$A274,'BSE - Other Index Options'!$B:$B,E$147,'BSE - Other Index Options'!$I:$I,"Weekly*")+SUMIFS('BSE - Other Index Options'!$M:$M,'BSE - Other Index Options'!$C:$C,$A274,'BSE - Other Index Options'!$B:$B,E$147,'BSE - Other Index Options'!$I:$I,"MDAW*"))</f>
        <v/>
      </c>
      <c r="F274" s="26">
        <f>IF(SUMIFS('BSE - SENSEX Index Options'!$M:$M,'BSE - SENSEX Index Options'!$C:$C,$A274,'BSE - SENSEX Index Options'!$B:$B,F$147,'BSE - SENSEX Index Options'!$I:$I,"Weekly*")+SUMIFS('BSE - SENSEX Index Options'!$M:$M,'BSE - SENSEX Index Options'!$C:$C,$A274,'BSE - SENSEX Index Options'!$B:$B,F$147,'BSE - SENSEX Index Options'!$I:$I,"MDAW*")+SUMIFS('BSE - Other Index Options'!$M:$M,'BSE - Other Index Options'!$C:$C,$A274,'BSE - Other Index Options'!$B:$B,F$147,'BSE - Other Index Options'!$I:$I,"Weekly*")+SUMIFS('BSE - Other Index Options'!$M:$M,'BSE - Other Index Options'!$C:$C,$A274,'BSE - Other Index Options'!$B:$B,F$147,'BSE - Other Index Options'!$I:$I,"MDAW*")=0,"",SUMIFS('BSE - SENSEX Index Options'!$M:$M,'BSE - SENSEX Index Options'!$C:$C,$A274,'BSE - SENSEX Index Options'!$B:$B,F$147,'BSE - SENSEX Index Options'!$I:$I,"Weekly*")+SUMIFS('BSE - SENSEX Index Options'!$M:$M,'BSE - SENSEX Index Options'!$C:$C,$A274,'BSE - SENSEX Index Options'!$B:$B,F$147,'BSE - SENSEX Index Options'!$I:$I,"MDAW*")+SUMIFS('BSE - Other Index Options'!$M:$M,'BSE - Other Index Options'!$C:$C,$A274,'BSE - Other Index Options'!$B:$B,F$147,'BSE - Other Index Options'!$I:$I,"Weekly*")+SUMIFS('BSE - Other Index Options'!$M:$M,'BSE - Other Index Options'!$C:$C,$A274,'BSE - Other Index Options'!$B:$B,F$147,'BSE - Other Index Options'!$I:$I,"MDAW*"))</f>
        <v/>
      </c>
      <c r="G274" s="26">
        <f>IF(SUMIFS('BSE - SENSEX Index Options'!$M:$M,'BSE - SENSEX Index Options'!$C:$C,$A274,'BSE - SENSEX Index Options'!$B:$B,G$147,'BSE - SENSEX Index Options'!$I:$I,"Weekly*")+SUMIFS('BSE - SENSEX Index Options'!$M:$M,'BSE - SENSEX Index Options'!$C:$C,$A274,'BSE - SENSEX Index Options'!$B:$B,G$147,'BSE - SENSEX Index Options'!$I:$I,"MDAW*")+SUMIFS('BSE - Other Index Options'!$M:$M,'BSE - Other Index Options'!$C:$C,$A274,'BSE - Other Index Options'!$B:$B,G$147,'BSE - Other Index Options'!$I:$I,"Weekly*")+SUMIFS('BSE - Other Index Options'!$M:$M,'BSE - Other Index Options'!$C:$C,$A274,'BSE - Other Index Options'!$B:$B,G$147,'BSE - Other Index Options'!$I:$I,"MDAW*")=0,"",SUMIFS('BSE - SENSEX Index Options'!$M:$M,'BSE - SENSEX Index Options'!$C:$C,$A274,'BSE - SENSEX Index Options'!$B:$B,G$147,'BSE - SENSEX Index Options'!$I:$I,"Weekly*")+SUMIFS('BSE - SENSEX Index Options'!$M:$M,'BSE - SENSEX Index Options'!$C:$C,$A274,'BSE - SENSEX Index Options'!$B:$B,G$147,'BSE - SENSEX Index Options'!$I:$I,"MDAW*")+SUMIFS('BSE - Other Index Options'!$M:$M,'BSE - Other Index Options'!$C:$C,$A274,'BSE - Other Index Options'!$B:$B,G$147,'BSE - Other Index Options'!$I:$I,"Weekly*")+SUMIFS('BSE - Other Index Options'!$M:$M,'BSE - Other Index Options'!$C:$C,$A274,'BSE - Other Index Options'!$B:$B,G$147,'BSE - Other Index Options'!$I:$I,"MDAW*"))</f>
        <v/>
      </c>
      <c r="H274" s="26">
        <f>IF(SUM(B274:G274)=0,"",SUM(B274:G274))</f>
        <v/>
      </c>
    </row>
    <row r="275" hidden="1" outlineLevel="1">
      <c r="A275" t="inlineStr">
        <is>
          <t>Week5-Oct-2027</t>
        </is>
      </c>
      <c r="B275" s="26">
        <f>IF(SUMIFS('BSE - SENSEX Index Options'!$M:$M,'BSE - SENSEX Index Options'!$C:$C,$A275,'BSE - SENSEX Index Options'!$B:$B,B$147,'BSE - SENSEX Index Options'!$I:$I,"Weekly*")+SUMIFS('BSE - SENSEX Index Options'!$M:$M,'BSE - SENSEX Index Options'!$C:$C,$A275,'BSE - SENSEX Index Options'!$B:$B,B$147,'BSE - SENSEX Index Options'!$I:$I,"MDAW*")+SUMIFS('BSE - Other Index Options'!$M:$M,'BSE - Other Index Options'!$C:$C,$A275,'BSE - Other Index Options'!$B:$B,B$147,'BSE - Other Index Options'!$I:$I,"Weekly*")+SUMIFS('BSE - Other Index Options'!$M:$M,'BSE - Other Index Options'!$C:$C,$A275,'BSE - Other Index Options'!$B:$B,B$147,'BSE - Other Index Options'!$I:$I,"MDAW*")=0,"",SUMIFS('BSE - SENSEX Index Options'!$M:$M,'BSE - SENSEX Index Options'!$C:$C,$A275,'BSE - SENSEX Index Options'!$B:$B,B$147,'BSE - SENSEX Index Options'!$I:$I,"Weekly*")+SUMIFS('BSE - SENSEX Index Options'!$M:$M,'BSE - SENSEX Index Options'!$C:$C,$A275,'BSE - SENSEX Index Options'!$B:$B,B$147,'BSE - SENSEX Index Options'!$I:$I,"MDAW*")+SUMIFS('BSE - Other Index Options'!$M:$M,'BSE - Other Index Options'!$C:$C,$A275,'BSE - Other Index Options'!$B:$B,B$147,'BSE - Other Index Options'!$I:$I,"Weekly*")+SUMIFS('BSE - Other Index Options'!$M:$M,'BSE - Other Index Options'!$C:$C,$A275,'BSE - Other Index Options'!$B:$B,B$147,'BSE - Other Index Options'!$I:$I,"MDAW*"))</f>
        <v/>
      </c>
      <c r="C275" s="26">
        <f>IF(SUMIFS('BSE - SENSEX Index Options'!$M:$M,'BSE - SENSEX Index Options'!$C:$C,$A275,'BSE - SENSEX Index Options'!$B:$B,C$147,'BSE - SENSEX Index Options'!$I:$I,"Weekly*")+SUMIFS('BSE - SENSEX Index Options'!$M:$M,'BSE - SENSEX Index Options'!$C:$C,$A275,'BSE - SENSEX Index Options'!$B:$B,C$147,'BSE - SENSEX Index Options'!$I:$I,"MDAW*")+SUMIFS('BSE - Other Index Options'!$M:$M,'BSE - Other Index Options'!$C:$C,$A275,'BSE - Other Index Options'!$B:$B,C$147,'BSE - Other Index Options'!$I:$I,"Weekly*")+SUMIFS('BSE - Other Index Options'!$M:$M,'BSE - Other Index Options'!$C:$C,$A275,'BSE - Other Index Options'!$B:$B,C$147,'BSE - Other Index Options'!$I:$I,"MDAW*")=0,"",SUMIFS('BSE - SENSEX Index Options'!$M:$M,'BSE - SENSEX Index Options'!$C:$C,$A275,'BSE - SENSEX Index Options'!$B:$B,C$147,'BSE - SENSEX Index Options'!$I:$I,"Weekly*")+SUMIFS('BSE - SENSEX Index Options'!$M:$M,'BSE - SENSEX Index Options'!$C:$C,$A275,'BSE - SENSEX Index Options'!$B:$B,C$147,'BSE - SENSEX Index Options'!$I:$I,"MDAW*")+SUMIFS('BSE - Other Index Options'!$M:$M,'BSE - Other Index Options'!$C:$C,$A275,'BSE - Other Index Options'!$B:$B,C$147,'BSE - Other Index Options'!$I:$I,"Weekly*")+SUMIFS('BSE - Other Index Options'!$M:$M,'BSE - Other Index Options'!$C:$C,$A275,'BSE - Other Index Options'!$B:$B,C$147,'BSE - Other Index Options'!$I:$I,"MDAW*"))</f>
        <v/>
      </c>
      <c r="D275" s="26">
        <f>IF(SUMIFS('BSE - SENSEX Index Options'!$M:$M,'BSE - SENSEX Index Options'!$C:$C,$A275,'BSE - SENSEX Index Options'!$B:$B,D$147,'BSE - SENSEX Index Options'!$I:$I,"Weekly*")+SUMIFS('BSE - SENSEX Index Options'!$M:$M,'BSE - SENSEX Index Options'!$C:$C,$A275,'BSE - SENSEX Index Options'!$B:$B,D$147,'BSE - SENSEX Index Options'!$I:$I,"MDAW*")+SUMIFS('BSE - Other Index Options'!$M:$M,'BSE - Other Index Options'!$C:$C,$A275,'BSE - Other Index Options'!$B:$B,D$147,'BSE - Other Index Options'!$I:$I,"Weekly*")+SUMIFS('BSE - Other Index Options'!$M:$M,'BSE - Other Index Options'!$C:$C,$A275,'BSE - Other Index Options'!$B:$B,D$147,'BSE - Other Index Options'!$I:$I,"MDAW*")=0,"",SUMIFS('BSE - SENSEX Index Options'!$M:$M,'BSE - SENSEX Index Options'!$C:$C,$A275,'BSE - SENSEX Index Options'!$B:$B,D$147,'BSE - SENSEX Index Options'!$I:$I,"Weekly*")+SUMIFS('BSE - SENSEX Index Options'!$M:$M,'BSE - SENSEX Index Options'!$C:$C,$A275,'BSE - SENSEX Index Options'!$B:$B,D$147,'BSE - SENSEX Index Options'!$I:$I,"MDAW*")+SUMIFS('BSE - Other Index Options'!$M:$M,'BSE - Other Index Options'!$C:$C,$A275,'BSE - Other Index Options'!$B:$B,D$147,'BSE - Other Index Options'!$I:$I,"Weekly*")+SUMIFS('BSE - Other Index Options'!$M:$M,'BSE - Other Index Options'!$C:$C,$A275,'BSE - Other Index Options'!$B:$B,D$147,'BSE - Other Index Options'!$I:$I,"MDAW*"))</f>
        <v/>
      </c>
      <c r="E275" s="26">
        <f>IF(SUMIFS('BSE - SENSEX Index Options'!$M:$M,'BSE - SENSEX Index Options'!$C:$C,$A275,'BSE - SENSEX Index Options'!$B:$B,E$147,'BSE - SENSEX Index Options'!$I:$I,"Weekly*")+SUMIFS('BSE - SENSEX Index Options'!$M:$M,'BSE - SENSEX Index Options'!$C:$C,$A275,'BSE - SENSEX Index Options'!$B:$B,E$147,'BSE - SENSEX Index Options'!$I:$I,"MDAW*")+SUMIFS('BSE - Other Index Options'!$M:$M,'BSE - Other Index Options'!$C:$C,$A275,'BSE - Other Index Options'!$B:$B,E$147,'BSE - Other Index Options'!$I:$I,"Weekly*")+SUMIFS('BSE - Other Index Options'!$M:$M,'BSE - Other Index Options'!$C:$C,$A275,'BSE - Other Index Options'!$B:$B,E$147,'BSE - Other Index Options'!$I:$I,"MDAW*")=0,"",SUMIFS('BSE - SENSEX Index Options'!$M:$M,'BSE - SENSEX Index Options'!$C:$C,$A275,'BSE - SENSEX Index Options'!$B:$B,E$147,'BSE - SENSEX Index Options'!$I:$I,"Weekly*")+SUMIFS('BSE - SENSEX Index Options'!$M:$M,'BSE - SENSEX Index Options'!$C:$C,$A275,'BSE - SENSEX Index Options'!$B:$B,E$147,'BSE - SENSEX Index Options'!$I:$I,"MDAW*")+SUMIFS('BSE - Other Index Options'!$M:$M,'BSE - Other Index Options'!$C:$C,$A275,'BSE - Other Index Options'!$B:$B,E$147,'BSE - Other Index Options'!$I:$I,"Weekly*")+SUMIFS('BSE - Other Index Options'!$M:$M,'BSE - Other Index Options'!$C:$C,$A275,'BSE - Other Index Options'!$B:$B,E$147,'BSE - Other Index Options'!$I:$I,"MDAW*"))</f>
        <v/>
      </c>
      <c r="F275" s="26">
        <f>IF(SUMIFS('BSE - SENSEX Index Options'!$M:$M,'BSE - SENSEX Index Options'!$C:$C,$A275,'BSE - SENSEX Index Options'!$B:$B,F$147,'BSE - SENSEX Index Options'!$I:$I,"Weekly*")+SUMIFS('BSE - SENSEX Index Options'!$M:$M,'BSE - SENSEX Index Options'!$C:$C,$A275,'BSE - SENSEX Index Options'!$B:$B,F$147,'BSE - SENSEX Index Options'!$I:$I,"MDAW*")+SUMIFS('BSE - Other Index Options'!$M:$M,'BSE - Other Index Options'!$C:$C,$A275,'BSE - Other Index Options'!$B:$B,F$147,'BSE - Other Index Options'!$I:$I,"Weekly*")+SUMIFS('BSE - Other Index Options'!$M:$M,'BSE - Other Index Options'!$C:$C,$A275,'BSE - Other Index Options'!$B:$B,F$147,'BSE - Other Index Options'!$I:$I,"MDAW*")=0,"",SUMIFS('BSE - SENSEX Index Options'!$M:$M,'BSE - SENSEX Index Options'!$C:$C,$A275,'BSE - SENSEX Index Options'!$B:$B,F$147,'BSE - SENSEX Index Options'!$I:$I,"Weekly*")+SUMIFS('BSE - SENSEX Index Options'!$M:$M,'BSE - SENSEX Index Options'!$C:$C,$A275,'BSE - SENSEX Index Options'!$B:$B,F$147,'BSE - SENSEX Index Options'!$I:$I,"MDAW*")+SUMIFS('BSE - Other Index Options'!$M:$M,'BSE - Other Index Options'!$C:$C,$A275,'BSE - Other Index Options'!$B:$B,F$147,'BSE - Other Index Options'!$I:$I,"Weekly*")+SUMIFS('BSE - Other Index Options'!$M:$M,'BSE - Other Index Options'!$C:$C,$A275,'BSE - Other Index Options'!$B:$B,F$147,'BSE - Other Index Options'!$I:$I,"MDAW*"))</f>
        <v/>
      </c>
      <c r="G275" s="26">
        <f>IF(SUMIFS('BSE - SENSEX Index Options'!$M:$M,'BSE - SENSEX Index Options'!$C:$C,$A275,'BSE - SENSEX Index Options'!$B:$B,G$147,'BSE - SENSEX Index Options'!$I:$I,"Weekly*")+SUMIFS('BSE - SENSEX Index Options'!$M:$M,'BSE - SENSEX Index Options'!$C:$C,$A275,'BSE - SENSEX Index Options'!$B:$B,G$147,'BSE - SENSEX Index Options'!$I:$I,"MDAW*")+SUMIFS('BSE - Other Index Options'!$M:$M,'BSE - Other Index Options'!$C:$C,$A275,'BSE - Other Index Options'!$B:$B,G$147,'BSE - Other Index Options'!$I:$I,"Weekly*")+SUMIFS('BSE - Other Index Options'!$M:$M,'BSE - Other Index Options'!$C:$C,$A275,'BSE - Other Index Options'!$B:$B,G$147,'BSE - Other Index Options'!$I:$I,"MDAW*")=0,"",SUMIFS('BSE - SENSEX Index Options'!$M:$M,'BSE - SENSEX Index Options'!$C:$C,$A275,'BSE - SENSEX Index Options'!$B:$B,G$147,'BSE - SENSEX Index Options'!$I:$I,"Weekly*")+SUMIFS('BSE - SENSEX Index Options'!$M:$M,'BSE - SENSEX Index Options'!$C:$C,$A275,'BSE - SENSEX Index Options'!$B:$B,G$147,'BSE - SENSEX Index Options'!$I:$I,"MDAW*")+SUMIFS('BSE - Other Index Options'!$M:$M,'BSE - Other Index Options'!$C:$C,$A275,'BSE - Other Index Options'!$B:$B,G$147,'BSE - Other Index Options'!$I:$I,"Weekly*")+SUMIFS('BSE - Other Index Options'!$M:$M,'BSE - Other Index Options'!$C:$C,$A275,'BSE - Other Index Options'!$B:$B,G$147,'BSE - Other Index Options'!$I:$I,"MDAW*"))</f>
        <v/>
      </c>
      <c r="H275" s="26">
        <f>IF(SUM(B275:G275)=0,"",SUM(B275:G275))</f>
        <v/>
      </c>
    </row>
    <row r="276" hidden="1" outlineLevel="1">
      <c r="A276" t="inlineStr">
        <is>
          <t>Week1-Nov-2027</t>
        </is>
      </c>
      <c r="B276" s="26">
        <f>IF(SUMIFS('BSE - SENSEX Index Options'!$M:$M,'BSE - SENSEX Index Options'!$C:$C,$A276,'BSE - SENSEX Index Options'!$B:$B,B$147,'BSE - SENSEX Index Options'!$I:$I,"Weekly*")+SUMIFS('BSE - SENSEX Index Options'!$M:$M,'BSE - SENSEX Index Options'!$C:$C,$A276,'BSE - SENSEX Index Options'!$B:$B,B$147,'BSE - SENSEX Index Options'!$I:$I,"MDAW*")+SUMIFS('BSE - Other Index Options'!$M:$M,'BSE - Other Index Options'!$C:$C,$A276,'BSE - Other Index Options'!$B:$B,B$147,'BSE - Other Index Options'!$I:$I,"Weekly*")+SUMIFS('BSE - Other Index Options'!$M:$M,'BSE - Other Index Options'!$C:$C,$A276,'BSE - Other Index Options'!$B:$B,B$147,'BSE - Other Index Options'!$I:$I,"MDAW*")=0,"",SUMIFS('BSE - SENSEX Index Options'!$M:$M,'BSE - SENSEX Index Options'!$C:$C,$A276,'BSE - SENSEX Index Options'!$B:$B,B$147,'BSE - SENSEX Index Options'!$I:$I,"Weekly*")+SUMIFS('BSE - SENSEX Index Options'!$M:$M,'BSE - SENSEX Index Options'!$C:$C,$A276,'BSE - SENSEX Index Options'!$B:$B,B$147,'BSE - SENSEX Index Options'!$I:$I,"MDAW*")+SUMIFS('BSE - Other Index Options'!$M:$M,'BSE - Other Index Options'!$C:$C,$A276,'BSE - Other Index Options'!$B:$B,B$147,'BSE - Other Index Options'!$I:$I,"Weekly*")+SUMIFS('BSE - Other Index Options'!$M:$M,'BSE - Other Index Options'!$C:$C,$A276,'BSE - Other Index Options'!$B:$B,B$147,'BSE - Other Index Options'!$I:$I,"MDAW*"))</f>
        <v/>
      </c>
      <c r="C276" s="26">
        <f>IF(SUMIFS('BSE - SENSEX Index Options'!$M:$M,'BSE - SENSEX Index Options'!$C:$C,$A276,'BSE - SENSEX Index Options'!$B:$B,C$147,'BSE - SENSEX Index Options'!$I:$I,"Weekly*")+SUMIFS('BSE - SENSEX Index Options'!$M:$M,'BSE - SENSEX Index Options'!$C:$C,$A276,'BSE - SENSEX Index Options'!$B:$B,C$147,'BSE - SENSEX Index Options'!$I:$I,"MDAW*")+SUMIFS('BSE - Other Index Options'!$M:$M,'BSE - Other Index Options'!$C:$C,$A276,'BSE - Other Index Options'!$B:$B,C$147,'BSE - Other Index Options'!$I:$I,"Weekly*")+SUMIFS('BSE - Other Index Options'!$M:$M,'BSE - Other Index Options'!$C:$C,$A276,'BSE - Other Index Options'!$B:$B,C$147,'BSE - Other Index Options'!$I:$I,"MDAW*")=0,"",SUMIFS('BSE - SENSEX Index Options'!$M:$M,'BSE - SENSEX Index Options'!$C:$C,$A276,'BSE - SENSEX Index Options'!$B:$B,C$147,'BSE - SENSEX Index Options'!$I:$I,"Weekly*")+SUMIFS('BSE - SENSEX Index Options'!$M:$M,'BSE - SENSEX Index Options'!$C:$C,$A276,'BSE - SENSEX Index Options'!$B:$B,C$147,'BSE - SENSEX Index Options'!$I:$I,"MDAW*")+SUMIFS('BSE - Other Index Options'!$M:$M,'BSE - Other Index Options'!$C:$C,$A276,'BSE - Other Index Options'!$B:$B,C$147,'BSE - Other Index Options'!$I:$I,"Weekly*")+SUMIFS('BSE - Other Index Options'!$M:$M,'BSE - Other Index Options'!$C:$C,$A276,'BSE - Other Index Options'!$B:$B,C$147,'BSE - Other Index Options'!$I:$I,"MDAW*"))</f>
        <v/>
      </c>
      <c r="D276" s="26">
        <f>IF(SUMIFS('BSE - SENSEX Index Options'!$M:$M,'BSE - SENSEX Index Options'!$C:$C,$A276,'BSE - SENSEX Index Options'!$B:$B,D$147,'BSE - SENSEX Index Options'!$I:$I,"Weekly*")+SUMIFS('BSE - SENSEX Index Options'!$M:$M,'BSE - SENSEX Index Options'!$C:$C,$A276,'BSE - SENSEX Index Options'!$B:$B,D$147,'BSE - SENSEX Index Options'!$I:$I,"MDAW*")+SUMIFS('BSE - Other Index Options'!$M:$M,'BSE - Other Index Options'!$C:$C,$A276,'BSE - Other Index Options'!$B:$B,D$147,'BSE - Other Index Options'!$I:$I,"Weekly*")+SUMIFS('BSE - Other Index Options'!$M:$M,'BSE - Other Index Options'!$C:$C,$A276,'BSE - Other Index Options'!$B:$B,D$147,'BSE - Other Index Options'!$I:$I,"MDAW*")=0,"",SUMIFS('BSE - SENSEX Index Options'!$M:$M,'BSE - SENSEX Index Options'!$C:$C,$A276,'BSE - SENSEX Index Options'!$B:$B,D$147,'BSE - SENSEX Index Options'!$I:$I,"Weekly*")+SUMIFS('BSE - SENSEX Index Options'!$M:$M,'BSE - SENSEX Index Options'!$C:$C,$A276,'BSE - SENSEX Index Options'!$B:$B,D$147,'BSE - SENSEX Index Options'!$I:$I,"MDAW*")+SUMIFS('BSE - Other Index Options'!$M:$M,'BSE - Other Index Options'!$C:$C,$A276,'BSE - Other Index Options'!$B:$B,D$147,'BSE - Other Index Options'!$I:$I,"Weekly*")+SUMIFS('BSE - Other Index Options'!$M:$M,'BSE - Other Index Options'!$C:$C,$A276,'BSE - Other Index Options'!$B:$B,D$147,'BSE - Other Index Options'!$I:$I,"MDAW*"))</f>
        <v/>
      </c>
      <c r="E276" s="26">
        <f>IF(SUMIFS('BSE - SENSEX Index Options'!$M:$M,'BSE - SENSEX Index Options'!$C:$C,$A276,'BSE - SENSEX Index Options'!$B:$B,E$147,'BSE - SENSEX Index Options'!$I:$I,"Weekly*")+SUMIFS('BSE - SENSEX Index Options'!$M:$M,'BSE - SENSEX Index Options'!$C:$C,$A276,'BSE - SENSEX Index Options'!$B:$B,E$147,'BSE - SENSEX Index Options'!$I:$I,"MDAW*")+SUMIFS('BSE - Other Index Options'!$M:$M,'BSE - Other Index Options'!$C:$C,$A276,'BSE - Other Index Options'!$B:$B,E$147,'BSE - Other Index Options'!$I:$I,"Weekly*")+SUMIFS('BSE - Other Index Options'!$M:$M,'BSE - Other Index Options'!$C:$C,$A276,'BSE - Other Index Options'!$B:$B,E$147,'BSE - Other Index Options'!$I:$I,"MDAW*")=0,"",SUMIFS('BSE - SENSEX Index Options'!$M:$M,'BSE - SENSEX Index Options'!$C:$C,$A276,'BSE - SENSEX Index Options'!$B:$B,E$147,'BSE - SENSEX Index Options'!$I:$I,"Weekly*")+SUMIFS('BSE - SENSEX Index Options'!$M:$M,'BSE - SENSEX Index Options'!$C:$C,$A276,'BSE - SENSEX Index Options'!$B:$B,E$147,'BSE - SENSEX Index Options'!$I:$I,"MDAW*")+SUMIFS('BSE - Other Index Options'!$M:$M,'BSE - Other Index Options'!$C:$C,$A276,'BSE - Other Index Options'!$B:$B,E$147,'BSE - Other Index Options'!$I:$I,"Weekly*")+SUMIFS('BSE - Other Index Options'!$M:$M,'BSE - Other Index Options'!$C:$C,$A276,'BSE - Other Index Options'!$B:$B,E$147,'BSE - Other Index Options'!$I:$I,"MDAW*"))</f>
        <v/>
      </c>
      <c r="F276" s="26">
        <f>IF(SUMIFS('BSE - SENSEX Index Options'!$M:$M,'BSE - SENSEX Index Options'!$C:$C,$A276,'BSE - SENSEX Index Options'!$B:$B,F$147,'BSE - SENSEX Index Options'!$I:$I,"Weekly*")+SUMIFS('BSE - SENSEX Index Options'!$M:$M,'BSE - SENSEX Index Options'!$C:$C,$A276,'BSE - SENSEX Index Options'!$B:$B,F$147,'BSE - SENSEX Index Options'!$I:$I,"MDAW*")+SUMIFS('BSE - Other Index Options'!$M:$M,'BSE - Other Index Options'!$C:$C,$A276,'BSE - Other Index Options'!$B:$B,F$147,'BSE - Other Index Options'!$I:$I,"Weekly*")+SUMIFS('BSE - Other Index Options'!$M:$M,'BSE - Other Index Options'!$C:$C,$A276,'BSE - Other Index Options'!$B:$B,F$147,'BSE - Other Index Options'!$I:$I,"MDAW*")=0,"",SUMIFS('BSE - SENSEX Index Options'!$M:$M,'BSE - SENSEX Index Options'!$C:$C,$A276,'BSE - SENSEX Index Options'!$B:$B,F$147,'BSE - SENSEX Index Options'!$I:$I,"Weekly*")+SUMIFS('BSE - SENSEX Index Options'!$M:$M,'BSE - SENSEX Index Options'!$C:$C,$A276,'BSE - SENSEX Index Options'!$B:$B,F$147,'BSE - SENSEX Index Options'!$I:$I,"MDAW*")+SUMIFS('BSE - Other Index Options'!$M:$M,'BSE - Other Index Options'!$C:$C,$A276,'BSE - Other Index Options'!$B:$B,F$147,'BSE - Other Index Options'!$I:$I,"Weekly*")+SUMIFS('BSE - Other Index Options'!$M:$M,'BSE - Other Index Options'!$C:$C,$A276,'BSE - Other Index Options'!$B:$B,F$147,'BSE - Other Index Options'!$I:$I,"MDAW*"))</f>
        <v/>
      </c>
      <c r="G276" s="26">
        <f>IF(SUMIFS('BSE - SENSEX Index Options'!$M:$M,'BSE - SENSEX Index Options'!$C:$C,$A276,'BSE - SENSEX Index Options'!$B:$B,G$147,'BSE - SENSEX Index Options'!$I:$I,"Weekly*")+SUMIFS('BSE - SENSEX Index Options'!$M:$M,'BSE - SENSEX Index Options'!$C:$C,$A276,'BSE - SENSEX Index Options'!$B:$B,G$147,'BSE - SENSEX Index Options'!$I:$I,"MDAW*")+SUMIFS('BSE - Other Index Options'!$M:$M,'BSE - Other Index Options'!$C:$C,$A276,'BSE - Other Index Options'!$B:$B,G$147,'BSE - Other Index Options'!$I:$I,"Weekly*")+SUMIFS('BSE - Other Index Options'!$M:$M,'BSE - Other Index Options'!$C:$C,$A276,'BSE - Other Index Options'!$B:$B,G$147,'BSE - Other Index Options'!$I:$I,"MDAW*")=0,"",SUMIFS('BSE - SENSEX Index Options'!$M:$M,'BSE - SENSEX Index Options'!$C:$C,$A276,'BSE - SENSEX Index Options'!$B:$B,G$147,'BSE - SENSEX Index Options'!$I:$I,"Weekly*")+SUMIFS('BSE - SENSEX Index Options'!$M:$M,'BSE - SENSEX Index Options'!$C:$C,$A276,'BSE - SENSEX Index Options'!$B:$B,G$147,'BSE - SENSEX Index Options'!$I:$I,"MDAW*")+SUMIFS('BSE - Other Index Options'!$M:$M,'BSE - Other Index Options'!$C:$C,$A276,'BSE - Other Index Options'!$B:$B,G$147,'BSE - Other Index Options'!$I:$I,"Weekly*")+SUMIFS('BSE - Other Index Options'!$M:$M,'BSE - Other Index Options'!$C:$C,$A276,'BSE - Other Index Options'!$B:$B,G$147,'BSE - Other Index Options'!$I:$I,"MDAW*"))</f>
        <v/>
      </c>
      <c r="H276" s="26">
        <f>IF(SUM(B276:G276)=0,"",SUM(B276:G276))</f>
        <v/>
      </c>
    </row>
    <row r="277" hidden="1" outlineLevel="1">
      <c r="A277" t="inlineStr">
        <is>
          <t>Week2-Nov-2027</t>
        </is>
      </c>
      <c r="B277" s="26">
        <f>IF(SUMIFS('BSE - SENSEX Index Options'!$M:$M,'BSE - SENSEX Index Options'!$C:$C,$A277,'BSE - SENSEX Index Options'!$B:$B,B$147,'BSE - SENSEX Index Options'!$I:$I,"Weekly*")+SUMIFS('BSE - SENSEX Index Options'!$M:$M,'BSE - SENSEX Index Options'!$C:$C,$A277,'BSE - SENSEX Index Options'!$B:$B,B$147,'BSE - SENSEX Index Options'!$I:$I,"MDAW*")+SUMIFS('BSE - Other Index Options'!$M:$M,'BSE - Other Index Options'!$C:$C,$A277,'BSE - Other Index Options'!$B:$B,B$147,'BSE - Other Index Options'!$I:$I,"Weekly*")+SUMIFS('BSE - Other Index Options'!$M:$M,'BSE - Other Index Options'!$C:$C,$A277,'BSE - Other Index Options'!$B:$B,B$147,'BSE - Other Index Options'!$I:$I,"MDAW*")=0,"",SUMIFS('BSE - SENSEX Index Options'!$M:$M,'BSE - SENSEX Index Options'!$C:$C,$A277,'BSE - SENSEX Index Options'!$B:$B,B$147,'BSE - SENSEX Index Options'!$I:$I,"Weekly*")+SUMIFS('BSE - SENSEX Index Options'!$M:$M,'BSE - SENSEX Index Options'!$C:$C,$A277,'BSE - SENSEX Index Options'!$B:$B,B$147,'BSE - SENSEX Index Options'!$I:$I,"MDAW*")+SUMIFS('BSE - Other Index Options'!$M:$M,'BSE - Other Index Options'!$C:$C,$A277,'BSE - Other Index Options'!$B:$B,B$147,'BSE - Other Index Options'!$I:$I,"Weekly*")+SUMIFS('BSE - Other Index Options'!$M:$M,'BSE - Other Index Options'!$C:$C,$A277,'BSE - Other Index Options'!$B:$B,B$147,'BSE - Other Index Options'!$I:$I,"MDAW*"))</f>
        <v/>
      </c>
      <c r="C277" s="26">
        <f>IF(SUMIFS('BSE - SENSEX Index Options'!$M:$M,'BSE - SENSEX Index Options'!$C:$C,$A277,'BSE - SENSEX Index Options'!$B:$B,C$147,'BSE - SENSEX Index Options'!$I:$I,"Weekly*")+SUMIFS('BSE - SENSEX Index Options'!$M:$M,'BSE - SENSEX Index Options'!$C:$C,$A277,'BSE - SENSEX Index Options'!$B:$B,C$147,'BSE - SENSEX Index Options'!$I:$I,"MDAW*")+SUMIFS('BSE - Other Index Options'!$M:$M,'BSE - Other Index Options'!$C:$C,$A277,'BSE - Other Index Options'!$B:$B,C$147,'BSE - Other Index Options'!$I:$I,"Weekly*")+SUMIFS('BSE - Other Index Options'!$M:$M,'BSE - Other Index Options'!$C:$C,$A277,'BSE - Other Index Options'!$B:$B,C$147,'BSE - Other Index Options'!$I:$I,"MDAW*")=0,"",SUMIFS('BSE - SENSEX Index Options'!$M:$M,'BSE - SENSEX Index Options'!$C:$C,$A277,'BSE - SENSEX Index Options'!$B:$B,C$147,'BSE - SENSEX Index Options'!$I:$I,"Weekly*")+SUMIFS('BSE - SENSEX Index Options'!$M:$M,'BSE - SENSEX Index Options'!$C:$C,$A277,'BSE - SENSEX Index Options'!$B:$B,C$147,'BSE - SENSEX Index Options'!$I:$I,"MDAW*")+SUMIFS('BSE - Other Index Options'!$M:$M,'BSE - Other Index Options'!$C:$C,$A277,'BSE - Other Index Options'!$B:$B,C$147,'BSE - Other Index Options'!$I:$I,"Weekly*")+SUMIFS('BSE - Other Index Options'!$M:$M,'BSE - Other Index Options'!$C:$C,$A277,'BSE - Other Index Options'!$B:$B,C$147,'BSE - Other Index Options'!$I:$I,"MDAW*"))</f>
        <v/>
      </c>
      <c r="D277" s="26">
        <f>IF(SUMIFS('BSE - SENSEX Index Options'!$M:$M,'BSE - SENSEX Index Options'!$C:$C,$A277,'BSE - SENSEX Index Options'!$B:$B,D$147,'BSE - SENSEX Index Options'!$I:$I,"Weekly*")+SUMIFS('BSE - SENSEX Index Options'!$M:$M,'BSE - SENSEX Index Options'!$C:$C,$A277,'BSE - SENSEX Index Options'!$B:$B,D$147,'BSE - SENSEX Index Options'!$I:$I,"MDAW*")+SUMIFS('BSE - Other Index Options'!$M:$M,'BSE - Other Index Options'!$C:$C,$A277,'BSE - Other Index Options'!$B:$B,D$147,'BSE - Other Index Options'!$I:$I,"Weekly*")+SUMIFS('BSE - Other Index Options'!$M:$M,'BSE - Other Index Options'!$C:$C,$A277,'BSE - Other Index Options'!$B:$B,D$147,'BSE - Other Index Options'!$I:$I,"MDAW*")=0,"",SUMIFS('BSE - SENSEX Index Options'!$M:$M,'BSE - SENSEX Index Options'!$C:$C,$A277,'BSE - SENSEX Index Options'!$B:$B,D$147,'BSE - SENSEX Index Options'!$I:$I,"Weekly*")+SUMIFS('BSE - SENSEX Index Options'!$M:$M,'BSE - SENSEX Index Options'!$C:$C,$A277,'BSE - SENSEX Index Options'!$B:$B,D$147,'BSE - SENSEX Index Options'!$I:$I,"MDAW*")+SUMIFS('BSE - Other Index Options'!$M:$M,'BSE - Other Index Options'!$C:$C,$A277,'BSE - Other Index Options'!$B:$B,D$147,'BSE - Other Index Options'!$I:$I,"Weekly*")+SUMIFS('BSE - Other Index Options'!$M:$M,'BSE - Other Index Options'!$C:$C,$A277,'BSE - Other Index Options'!$B:$B,D$147,'BSE - Other Index Options'!$I:$I,"MDAW*"))</f>
        <v/>
      </c>
      <c r="E277" s="26">
        <f>IF(SUMIFS('BSE - SENSEX Index Options'!$M:$M,'BSE - SENSEX Index Options'!$C:$C,$A277,'BSE - SENSEX Index Options'!$B:$B,E$147,'BSE - SENSEX Index Options'!$I:$I,"Weekly*")+SUMIFS('BSE - SENSEX Index Options'!$M:$M,'BSE - SENSEX Index Options'!$C:$C,$A277,'BSE - SENSEX Index Options'!$B:$B,E$147,'BSE - SENSEX Index Options'!$I:$I,"MDAW*")+SUMIFS('BSE - Other Index Options'!$M:$M,'BSE - Other Index Options'!$C:$C,$A277,'BSE - Other Index Options'!$B:$B,E$147,'BSE - Other Index Options'!$I:$I,"Weekly*")+SUMIFS('BSE - Other Index Options'!$M:$M,'BSE - Other Index Options'!$C:$C,$A277,'BSE - Other Index Options'!$B:$B,E$147,'BSE - Other Index Options'!$I:$I,"MDAW*")=0,"",SUMIFS('BSE - SENSEX Index Options'!$M:$M,'BSE - SENSEX Index Options'!$C:$C,$A277,'BSE - SENSEX Index Options'!$B:$B,E$147,'BSE - SENSEX Index Options'!$I:$I,"Weekly*")+SUMIFS('BSE - SENSEX Index Options'!$M:$M,'BSE - SENSEX Index Options'!$C:$C,$A277,'BSE - SENSEX Index Options'!$B:$B,E$147,'BSE - SENSEX Index Options'!$I:$I,"MDAW*")+SUMIFS('BSE - Other Index Options'!$M:$M,'BSE - Other Index Options'!$C:$C,$A277,'BSE - Other Index Options'!$B:$B,E$147,'BSE - Other Index Options'!$I:$I,"Weekly*")+SUMIFS('BSE - Other Index Options'!$M:$M,'BSE - Other Index Options'!$C:$C,$A277,'BSE - Other Index Options'!$B:$B,E$147,'BSE - Other Index Options'!$I:$I,"MDAW*"))</f>
        <v/>
      </c>
      <c r="F277" s="26">
        <f>IF(SUMIFS('BSE - SENSEX Index Options'!$M:$M,'BSE - SENSEX Index Options'!$C:$C,$A277,'BSE - SENSEX Index Options'!$B:$B,F$147,'BSE - SENSEX Index Options'!$I:$I,"Weekly*")+SUMIFS('BSE - SENSEX Index Options'!$M:$M,'BSE - SENSEX Index Options'!$C:$C,$A277,'BSE - SENSEX Index Options'!$B:$B,F$147,'BSE - SENSEX Index Options'!$I:$I,"MDAW*")+SUMIFS('BSE - Other Index Options'!$M:$M,'BSE - Other Index Options'!$C:$C,$A277,'BSE - Other Index Options'!$B:$B,F$147,'BSE - Other Index Options'!$I:$I,"Weekly*")+SUMIFS('BSE - Other Index Options'!$M:$M,'BSE - Other Index Options'!$C:$C,$A277,'BSE - Other Index Options'!$B:$B,F$147,'BSE - Other Index Options'!$I:$I,"MDAW*")=0,"",SUMIFS('BSE - SENSEX Index Options'!$M:$M,'BSE - SENSEX Index Options'!$C:$C,$A277,'BSE - SENSEX Index Options'!$B:$B,F$147,'BSE - SENSEX Index Options'!$I:$I,"Weekly*")+SUMIFS('BSE - SENSEX Index Options'!$M:$M,'BSE - SENSEX Index Options'!$C:$C,$A277,'BSE - SENSEX Index Options'!$B:$B,F$147,'BSE - SENSEX Index Options'!$I:$I,"MDAW*")+SUMIFS('BSE - Other Index Options'!$M:$M,'BSE - Other Index Options'!$C:$C,$A277,'BSE - Other Index Options'!$B:$B,F$147,'BSE - Other Index Options'!$I:$I,"Weekly*")+SUMIFS('BSE - Other Index Options'!$M:$M,'BSE - Other Index Options'!$C:$C,$A277,'BSE - Other Index Options'!$B:$B,F$147,'BSE - Other Index Options'!$I:$I,"MDAW*"))</f>
        <v/>
      </c>
      <c r="G277" s="26">
        <f>IF(SUMIFS('BSE - SENSEX Index Options'!$M:$M,'BSE - SENSEX Index Options'!$C:$C,$A277,'BSE - SENSEX Index Options'!$B:$B,G$147,'BSE - SENSEX Index Options'!$I:$I,"Weekly*")+SUMIFS('BSE - SENSEX Index Options'!$M:$M,'BSE - SENSEX Index Options'!$C:$C,$A277,'BSE - SENSEX Index Options'!$B:$B,G$147,'BSE - SENSEX Index Options'!$I:$I,"MDAW*")+SUMIFS('BSE - Other Index Options'!$M:$M,'BSE - Other Index Options'!$C:$C,$A277,'BSE - Other Index Options'!$B:$B,G$147,'BSE - Other Index Options'!$I:$I,"Weekly*")+SUMIFS('BSE - Other Index Options'!$M:$M,'BSE - Other Index Options'!$C:$C,$A277,'BSE - Other Index Options'!$B:$B,G$147,'BSE - Other Index Options'!$I:$I,"MDAW*")=0,"",SUMIFS('BSE - SENSEX Index Options'!$M:$M,'BSE - SENSEX Index Options'!$C:$C,$A277,'BSE - SENSEX Index Options'!$B:$B,G$147,'BSE - SENSEX Index Options'!$I:$I,"Weekly*")+SUMIFS('BSE - SENSEX Index Options'!$M:$M,'BSE - SENSEX Index Options'!$C:$C,$A277,'BSE - SENSEX Index Options'!$B:$B,G$147,'BSE - SENSEX Index Options'!$I:$I,"MDAW*")+SUMIFS('BSE - Other Index Options'!$M:$M,'BSE - Other Index Options'!$C:$C,$A277,'BSE - Other Index Options'!$B:$B,G$147,'BSE - Other Index Options'!$I:$I,"Weekly*")+SUMIFS('BSE - Other Index Options'!$M:$M,'BSE - Other Index Options'!$C:$C,$A277,'BSE - Other Index Options'!$B:$B,G$147,'BSE - Other Index Options'!$I:$I,"MDAW*"))</f>
        <v/>
      </c>
      <c r="H277" s="26">
        <f>IF(SUM(B277:G277)=0,"",SUM(B277:G277))</f>
        <v/>
      </c>
    </row>
    <row r="278" hidden="1" outlineLevel="1">
      <c r="A278" t="inlineStr">
        <is>
          <t>Week3-Nov-2027</t>
        </is>
      </c>
      <c r="B278" s="26">
        <f>IF(SUMIFS('BSE - SENSEX Index Options'!$M:$M,'BSE - SENSEX Index Options'!$C:$C,$A278,'BSE - SENSEX Index Options'!$B:$B,B$147,'BSE - SENSEX Index Options'!$I:$I,"Weekly*")+SUMIFS('BSE - SENSEX Index Options'!$M:$M,'BSE - SENSEX Index Options'!$C:$C,$A278,'BSE - SENSEX Index Options'!$B:$B,B$147,'BSE - SENSEX Index Options'!$I:$I,"MDAW*")+SUMIFS('BSE - Other Index Options'!$M:$M,'BSE - Other Index Options'!$C:$C,$A278,'BSE - Other Index Options'!$B:$B,B$147,'BSE - Other Index Options'!$I:$I,"Weekly*")+SUMIFS('BSE - Other Index Options'!$M:$M,'BSE - Other Index Options'!$C:$C,$A278,'BSE - Other Index Options'!$B:$B,B$147,'BSE - Other Index Options'!$I:$I,"MDAW*")=0,"",SUMIFS('BSE - SENSEX Index Options'!$M:$M,'BSE - SENSEX Index Options'!$C:$C,$A278,'BSE - SENSEX Index Options'!$B:$B,B$147,'BSE - SENSEX Index Options'!$I:$I,"Weekly*")+SUMIFS('BSE - SENSEX Index Options'!$M:$M,'BSE - SENSEX Index Options'!$C:$C,$A278,'BSE - SENSEX Index Options'!$B:$B,B$147,'BSE - SENSEX Index Options'!$I:$I,"MDAW*")+SUMIFS('BSE - Other Index Options'!$M:$M,'BSE - Other Index Options'!$C:$C,$A278,'BSE - Other Index Options'!$B:$B,B$147,'BSE - Other Index Options'!$I:$I,"Weekly*")+SUMIFS('BSE - Other Index Options'!$M:$M,'BSE - Other Index Options'!$C:$C,$A278,'BSE - Other Index Options'!$B:$B,B$147,'BSE - Other Index Options'!$I:$I,"MDAW*"))</f>
        <v/>
      </c>
      <c r="C278" s="26">
        <f>IF(SUMIFS('BSE - SENSEX Index Options'!$M:$M,'BSE - SENSEX Index Options'!$C:$C,$A278,'BSE - SENSEX Index Options'!$B:$B,C$147,'BSE - SENSEX Index Options'!$I:$I,"Weekly*")+SUMIFS('BSE - SENSEX Index Options'!$M:$M,'BSE - SENSEX Index Options'!$C:$C,$A278,'BSE - SENSEX Index Options'!$B:$B,C$147,'BSE - SENSEX Index Options'!$I:$I,"MDAW*")+SUMIFS('BSE - Other Index Options'!$M:$M,'BSE - Other Index Options'!$C:$C,$A278,'BSE - Other Index Options'!$B:$B,C$147,'BSE - Other Index Options'!$I:$I,"Weekly*")+SUMIFS('BSE - Other Index Options'!$M:$M,'BSE - Other Index Options'!$C:$C,$A278,'BSE - Other Index Options'!$B:$B,C$147,'BSE - Other Index Options'!$I:$I,"MDAW*")=0,"",SUMIFS('BSE - SENSEX Index Options'!$M:$M,'BSE - SENSEX Index Options'!$C:$C,$A278,'BSE - SENSEX Index Options'!$B:$B,C$147,'BSE - SENSEX Index Options'!$I:$I,"Weekly*")+SUMIFS('BSE - SENSEX Index Options'!$M:$M,'BSE - SENSEX Index Options'!$C:$C,$A278,'BSE - SENSEX Index Options'!$B:$B,C$147,'BSE - SENSEX Index Options'!$I:$I,"MDAW*")+SUMIFS('BSE - Other Index Options'!$M:$M,'BSE - Other Index Options'!$C:$C,$A278,'BSE - Other Index Options'!$B:$B,C$147,'BSE - Other Index Options'!$I:$I,"Weekly*")+SUMIFS('BSE - Other Index Options'!$M:$M,'BSE - Other Index Options'!$C:$C,$A278,'BSE - Other Index Options'!$B:$B,C$147,'BSE - Other Index Options'!$I:$I,"MDAW*"))</f>
        <v/>
      </c>
      <c r="D278" s="26">
        <f>IF(SUMIFS('BSE - SENSEX Index Options'!$M:$M,'BSE - SENSEX Index Options'!$C:$C,$A278,'BSE - SENSEX Index Options'!$B:$B,D$147,'BSE - SENSEX Index Options'!$I:$I,"Weekly*")+SUMIFS('BSE - SENSEX Index Options'!$M:$M,'BSE - SENSEX Index Options'!$C:$C,$A278,'BSE - SENSEX Index Options'!$B:$B,D$147,'BSE - SENSEX Index Options'!$I:$I,"MDAW*")+SUMIFS('BSE - Other Index Options'!$M:$M,'BSE - Other Index Options'!$C:$C,$A278,'BSE - Other Index Options'!$B:$B,D$147,'BSE - Other Index Options'!$I:$I,"Weekly*")+SUMIFS('BSE - Other Index Options'!$M:$M,'BSE - Other Index Options'!$C:$C,$A278,'BSE - Other Index Options'!$B:$B,D$147,'BSE - Other Index Options'!$I:$I,"MDAW*")=0,"",SUMIFS('BSE - SENSEX Index Options'!$M:$M,'BSE - SENSEX Index Options'!$C:$C,$A278,'BSE - SENSEX Index Options'!$B:$B,D$147,'BSE - SENSEX Index Options'!$I:$I,"Weekly*")+SUMIFS('BSE - SENSEX Index Options'!$M:$M,'BSE - SENSEX Index Options'!$C:$C,$A278,'BSE - SENSEX Index Options'!$B:$B,D$147,'BSE - SENSEX Index Options'!$I:$I,"MDAW*")+SUMIFS('BSE - Other Index Options'!$M:$M,'BSE - Other Index Options'!$C:$C,$A278,'BSE - Other Index Options'!$B:$B,D$147,'BSE - Other Index Options'!$I:$I,"Weekly*")+SUMIFS('BSE - Other Index Options'!$M:$M,'BSE - Other Index Options'!$C:$C,$A278,'BSE - Other Index Options'!$B:$B,D$147,'BSE - Other Index Options'!$I:$I,"MDAW*"))</f>
        <v/>
      </c>
      <c r="E278" s="26">
        <f>IF(SUMIFS('BSE - SENSEX Index Options'!$M:$M,'BSE - SENSEX Index Options'!$C:$C,$A278,'BSE - SENSEX Index Options'!$B:$B,E$147,'BSE - SENSEX Index Options'!$I:$I,"Weekly*")+SUMIFS('BSE - SENSEX Index Options'!$M:$M,'BSE - SENSEX Index Options'!$C:$C,$A278,'BSE - SENSEX Index Options'!$B:$B,E$147,'BSE - SENSEX Index Options'!$I:$I,"MDAW*")+SUMIFS('BSE - Other Index Options'!$M:$M,'BSE - Other Index Options'!$C:$C,$A278,'BSE - Other Index Options'!$B:$B,E$147,'BSE - Other Index Options'!$I:$I,"Weekly*")+SUMIFS('BSE - Other Index Options'!$M:$M,'BSE - Other Index Options'!$C:$C,$A278,'BSE - Other Index Options'!$B:$B,E$147,'BSE - Other Index Options'!$I:$I,"MDAW*")=0,"",SUMIFS('BSE - SENSEX Index Options'!$M:$M,'BSE - SENSEX Index Options'!$C:$C,$A278,'BSE - SENSEX Index Options'!$B:$B,E$147,'BSE - SENSEX Index Options'!$I:$I,"Weekly*")+SUMIFS('BSE - SENSEX Index Options'!$M:$M,'BSE - SENSEX Index Options'!$C:$C,$A278,'BSE - SENSEX Index Options'!$B:$B,E$147,'BSE - SENSEX Index Options'!$I:$I,"MDAW*")+SUMIFS('BSE - Other Index Options'!$M:$M,'BSE - Other Index Options'!$C:$C,$A278,'BSE - Other Index Options'!$B:$B,E$147,'BSE - Other Index Options'!$I:$I,"Weekly*")+SUMIFS('BSE - Other Index Options'!$M:$M,'BSE - Other Index Options'!$C:$C,$A278,'BSE - Other Index Options'!$B:$B,E$147,'BSE - Other Index Options'!$I:$I,"MDAW*"))</f>
        <v/>
      </c>
      <c r="F278" s="26">
        <f>IF(SUMIFS('BSE - SENSEX Index Options'!$M:$M,'BSE - SENSEX Index Options'!$C:$C,$A278,'BSE - SENSEX Index Options'!$B:$B,F$147,'BSE - SENSEX Index Options'!$I:$I,"Weekly*")+SUMIFS('BSE - SENSEX Index Options'!$M:$M,'BSE - SENSEX Index Options'!$C:$C,$A278,'BSE - SENSEX Index Options'!$B:$B,F$147,'BSE - SENSEX Index Options'!$I:$I,"MDAW*")+SUMIFS('BSE - Other Index Options'!$M:$M,'BSE - Other Index Options'!$C:$C,$A278,'BSE - Other Index Options'!$B:$B,F$147,'BSE - Other Index Options'!$I:$I,"Weekly*")+SUMIFS('BSE - Other Index Options'!$M:$M,'BSE - Other Index Options'!$C:$C,$A278,'BSE - Other Index Options'!$B:$B,F$147,'BSE - Other Index Options'!$I:$I,"MDAW*")=0,"",SUMIFS('BSE - SENSEX Index Options'!$M:$M,'BSE - SENSEX Index Options'!$C:$C,$A278,'BSE - SENSEX Index Options'!$B:$B,F$147,'BSE - SENSEX Index Options'!$I:$I,"Weekly*")+SUMIFS('BSE - SENSEX Index Options'!$M:$M,'BSE - SENSEX Index Options'!$C:$C,$A278,'BSE - SENSEX Index Options'!$B:$B,F$147,'BSE - SENSEX Index Options'!$I:$I,"MDAW*")+SUMIFS('BSE - Other Index Options'!$M:$M,'BSE - Other Index Options'!$C:$C,$A278,'BSE - Other Index Options'!$B:$B,F$147,'BSE - Other Index Options'!$I:$I,"Weekly*")+SUMIFS('BSE - Other Index Options'!$M:$M,'BSE - Other Index Options'!$C:$C,$A278,'BSE - Other Index Options'!$B:$B,F$147,'BSE - Other Index Options'!$I:$I,"MDAW*"))</f>
        <v/>
      </c>
      <c r="G278" s="26">
        <f>IF(SUMIFS('BSE - SENSEX Index Options'!$M:$M,'BSE - SENSEX Index Options'!$C:$C,$A278,'BSE - SENSEX Index Options'!$B:$B,G$147,'BSE - SENSEX Index Options'!$I:$I,"Weekly*")+SUMIFS('BSE - SENSEX Index Options'!$M:$M,'BSE - SENSEX Index Options'!$C:$C,$A278,'BSE - SENSEX Index Options'!$B:$B,G$147,'BSE - SENSEX Index Options'!$I:$I,"MDAW*")+SUMIFS('BSE - Other Index Options'!$M:$M,'BSE - Other Index Options'!$C:$C,$A278,'BSE - Other Index Options'!$B:$B,G$147,'BSE - Other Index Options'!$I:$I,"Weekly*")+SUMIFS('BSE - Other Index Options'!$M:$M,'BSE - Other Index Options'!$C:$C,$A278,'BSE - Other Index Options'!$B:$B,G$147,'BSE - Other Index Options'!$I:$I,"MDAW*")=0,"",SUMIFS('BSE - SENSEX Index Options'!$M:$M,'BSE - SENSEX Index Options'!$C:$C,$A278,'BSE - SENSEX Index Options'!$B:$B,G$147,'BSE - SENSEX Index Options'!$I:$I,"Weekly*")+SUMIFS('BSE - SENSEX Index Options'!$M:$M,'BSE - SENSEX Index Options'!$C:$C,$A278,'BSE - SENSEX Index Options'!$B:$B,G$147,'BSE - SENSEX Index Options'!$I:$I,"MDAW*")+SUMIFS('BSE - Other Index Options'!$M:$M,'BSE - Other Index Options'!$C:$C,$A278,'BSE - Other Index Options'!$B:$B,G$147,'BSE - Other Index Options'!$I:$I,"Weekly*")+SUMIFS('BSE - Other Index Options'!$M:$M,'BSE - Other Index Options'!$C:$C,$A278,'BSE - Other Index Options'!$B:$B,G$147,'BSE - Other Index Options'!$I:$I,"MDAW*"))</f>
        <v/>
      </c>
      <c r="H278" s="26">
        <f>IF(SUM(B278:G278)=0,"",SUM(B278:G278))</f>
        <v/>
      </c>
    </row>
    <row r="279" hidden="1" outlineLevel="1">
      <c r="A279" t="inlineStr">
        <is>
          <t>Week4-Nov-2027</t>
        </is>
      </c>
      <c r="B279" s="26">
        <f>IF(SUMIFS('BSE - SENSEX Index Options'!$M:$M,'BSE - SENSEX Index Options'!$C:$C,$A279,'BSE - SENSEX Index Options'!$B:$B,B$147,'BSE - SENSEX Index Options'!$I:$I,"Weekly*")+SUMIFS('BSE - SENSEX Index Options'!$M:$M,'BSE - SENSEX Index Options'!$C:$C,$A279,'BSE - SENSEX Index Options'!$B:$B,B$147,'BSE - SENSEX Index Options'!$I:$I,"MDAW*")+SUMIFS('BSE - Other Index Options'!$M:$M,'BSE - Other Index Options'!$C:$C,$A279,'BSE - Other Index Options'!$B:$B,B$147,'BSE - Other Index Options'!$I:$I,"Weekly*")+SUMIFS('BSE - Other Index Options'!$M:$M,'BSE - Other Index Options'!$C:$C,$A279,'BSE - Other Index Options'!$B:$B,B$147,'BSE - Other Index Options'!$I:$I,"MDAW*")=0,"",SUMIFS('BSE - SENSEX Index Options'!$M:$M,'BSE - SENSEX Index Options'!$C:$C,$A279,'BSE - SENSEX Index Options'!$B:$B,B$147,'BSE - SENSEX Index Options'!$I:$I,"Weekly*")+SUMIFS('BSE - SENSEX Index Options'!$M:$M,'BSE - SENSEX Index Options'!$C:$C,$A279,'BSE - SENSEX Index Options'!$B:$B,B$147,'BSE - SENSEX Index Options'!$I:$I,"MDAW*")+SUMIFS('BSE - Other Index Options'!$M:$M,'BSE - Other Index Options'!$C:$C,$A279,'BSE - Other Index Options'!$B:$B,B$147,'BSE - Other Index Options'!$I:$I,"Weekly*")+SUMIFS('BSE - Other Index Options'!$M:$M,'BSE - Other Index Options'!$C:$C,$A279,'BSE - Other Index Options'!$B:$B,B$147,'BSE - Other Index Options'!$I:$I,"MDAW*"))</f>
        <v/>
      </c>
      <c r="C279" s="26">
        <f>IF(SUMIFS('BSE - SENSEX Index Options'!$M:$M,'BSE - SENSEX Index Options'!$C:$C,$A279,'BSE - SENSEX Index Options'!$B:$B,C$147,'BSE - SENSEX Index Options'!$I:$I,"Weekly*")+SUMIFS('BSE - SENSEX Index Options'!$M:$M,'BSE - SENSEX Index Options'!$C:$C,$A279,'BSE - SENSEX Index Options'!$B:$B,C$147,'BSE - SENSEX Index Options'!$I:$I,"MDAW*")+SUMIFS('BSE - Other Index Options'!$M:$M,'BSE - Other Index Options'!$C:$C,$A279,'BSE - Other Index Options'!$B:$B,C$147,'BSE - Other Index Options'!$I:$I,"Weekly*")+SUMIFS('BSE - Other Index Options'!$M:$M,'BSE - Other Index Options'!$C:$C,$A279,'BSE - Other Index Options'!$B:$B,C$147,'BSE - Other Index Options'!$I:$I,"MDAW*")=0,"",SUMIFS('BSE - SENSEX Index Options'!$M:$M,'BSE - SENSEX Index Options'!$C:$C,$A279,'BSE - SENSEX Index Options'!$B:$B,C$147,'BSE - SENSEX Index Options'!$I:$I,"Weekly*")+SUMIFS('BSE - SENSEX Index Options'!$M:$M,'BSE - SENSEX Index Options'!$C:$C,$A279,'BSE - SENSEX Index Options'!$B:$B,C$147,'BSE - SENSEX Index Options'!$I:$I,"MDAW*")+SUMIFS('BSE - Other Index Options'!$M:$M,'BSE - Other Index Options'!$C:$C,$A279,'BSE - Other Index Options'!$B:$B,C$147,'BSE - Other Index Options'!$I:$I,"Weekly*")+SUMIFS('BSE - Other Index Options'!$M:$M,'BSE - Other Index Options'!$C:$C,$A279,'BSE - Other Index Options'!$B:$B,C$147,'BSE - Other Index Options'!$I:$I,"MDAW*"))</f>
        <v/>
      </c>
      <c r="D279" s="26">
        <f>IF(SUMIFS('BSE - SENSEX Index Options'!$M:$M,'BSE - SENSEX Index Options'!$C:$C,$A279,'BSE - SENSEX Index Options'!$B:$B,D$147,'BSE - SENSEX Index Options'!$I:$I,"Weekly*")+SUMIFS('BSE - SENSEX Index Options'!$M:$M,'BSE - SENSEX Index Options'!$C:$C,$A279,'BSE - SENSEX Index Options'!$B:$B,D$147,'BSE - SENSEX Index Options'!$I:$I,"MDAW*")+SUMIFS('BSE - Other Index Options'!$M:$M,'BSE - Other Index Options'!$C:$C,$A279,'BSE - Other Index Options'!$B:$B,D$147,'BSE - Other Index Options'!$I:$I,"Weekly*")+SUMIFS('BSE - Other Index Options'!$M:$M,'BSE - Other Index Options'!$C:$C,$A279,'BSE - Other Index Options'!$B:$B,D$147,'BSE - Other Index Options'!$I:$I,"MDAW*")=0,"",SUMIFS('BSE - SENSEX Index Options'!$M:$M,'BSE - SENSEX Index Options'!$C:$C,$A279,'BSE - SENSEX Index Options'!$B:$B,D$147,'BSE - SENSEX Index Options'!$I:$I,"Weekly*")+SUMIFS('BSE - SENSEX Index Options'!$M:$M,'BSE - SENSEX Index Options'!$C:$C,$A279,'BSE - SENSEX Index Options'!$B:$B,D$147,'BSE - SENSEX Index Options'!$I:$I,"MDAW*")+SUMIFS('BSE - Other Index Options'!$M:$M,'BSE - Other Index Options'!$C:$C,$A279,'BSE - Other Index Options'!$B:$B,D$147,'BSE - Other Index Options'!$I:$I,"Weekly*")+SUMIFS('BSE - Other Index Options'!$M:$M,'BSE - Other Index Options'!$C:$C,$A279,'BSE - Other Index Options'!$B:$B,D$147,'BSE - Other Index Options'!$I:$I,"MDAW*"))</f>
        <v/>
      </c>
      <c r="E279" s="26">
        <f>IF(SUMIFS('BSE - SENSEX Index Options'!$M:$M,'BSE - SENSEX Index Options'!$C:$C,$A279,'BSE - SENSEX Index Options'!$B:$B,E$147,'BSE - SENSEX Index Options'!$I:$I,"Weekly*")+SUMIFS('BSE - SENSEX Index Options'!$M:$M,'BSE - SENSEX Index Options'!$C:$C,$A279,'BSE - SENSEX Index Options'!$B:$B,E$147,'BSE - SENSEX Index Options'!$I:$I,"MDAW*")+SUMIFS('BSE - Other Index Options'!$M:$M,'BSE - Other Index Options'!$C:$C,$A279,'BSE - Other Index Options'!$B:$B,E$147,'BSE - Other Index Options'!$I:$I,"Weekly*")+SUMIFS('BSE - Other Index Options'!$M:$M,'BSE - Other Index Options'!$C:$C,$A279,'BSE - Other Index Options'!$B:$B,E$147,'BSE - Other Index Options'!$I:$I,"MDAW*")=0,"",SUMIFS('BSE - SENSEX Index Options'!$M:$M,'BSE - SENSEX Index Options'!$C:$C,$A279,'BSE - SENSEX Index Options'!$B:$B,E$147,'BSE - SENSEX Index Options'!$I:$I,"Weekly*")+SUMIFS('BSE - SENSEX Index Options'!$M:$M,'BSE - SENSEX Index Options'!$C:$C,$A279,'BSE - SENSEX Index Options'!$B:$B,E$147,'BSE - SENSEX Index Options'!$I:$I,"MDAW*")+SUMIFS('BSE - Other Index Options'!$M:$M,'BSE - Other Index Options'!$C:$C,$A279,'BSE - Other Index Options'!$B:$B,E$147,'BSE - Other Index Options'!$I:$I,"Weekly*")+SUMIFS('BSE - Other Index Options'!$M:$M,'BSE - Other Index Options'!$C:$C,$A279,'BSE - Other Index Options'!$B:$B,E$147,'BSE - Other Index Options'!$I:$I,"MDAW*"))</f>
        <v/>
      </c>
      <c r="F279" s="26">
        <f>IF(SUMIFS('BSE - SENSEX Index Options'!$M:$M,'BSE - SENSEX Index Options'!$C:$C,$A279,'BSE - SENSEX Index Options'!$B:$B,F$147,'BSE - SENSEX Index Options'!$I:$I,"Weekly*")+SUMIFS('BSE - SENSEX Index Options'!$M:$M,'BSE - SENSEX Index Options'!$C:$C,$A279,'BSE - SENSEX Index Options'!$B:$B,F$147,'BSE - SENSEX Index Options'!$I:$I,"MDAW*")+SUMIFS('BSE - Other Index Options'!$M:$M,'BSE - Other Index Options'!$C:$C,$A279,'BSE - Other Index Options'!$B:$B,F$147,'BSE - Other Index Options'!$I:$I,"Weekly*")+SUMIFS('BSE - Other Index Options'!$M:$M,'BSE - Other Index Options'!$C:$C,$A279,'BSE - Other Index Options'!$B:$B,F$147,'BSE - Other Index Options'!$I:$I,"MDAW*")=0,"",SUMIFS('BSE - SENSEX Index Options'!$M:$M,'BSE - SENSEX Index Options'!$C:$C,$A279,'BSE - SENSEX Index Options'!$B:$B,F$147,'BSE - SENSEX Index Options'!$I:$I,"Weekly*")+SUMIFS('BSE - SENSEX Index Options'!$M:$M,'BSE - SENSEX Index Options'!$C:$C,$A279,'BSE - SENSEX Index Options'!$B:$B,F$147,'BSE - SENSEX Index Options'!$I:$I,"MDAW*")+SUMIFS('BSE - Other Index Options'!$M:$M,'BSE - Other Index Options'!$C:$C,$A279,'BSE - Other Index Options'!$B:$B,F$147,'BSE - Other Index Options'!$I:$I,"Weekly*")+SUMIFS('BSE - Other Index Options'!$M:$M,'BSE - Other Index Options'!$C:$C,$A279,'BSE - Other Index Options'!$B:$B,F$147,'BSE - Other Index Options'!$I:$I,"MDAW*"))</f>
        <v/>
      </c>
      <c r="G279" s="26">
        <f>IF(SUMIFS('BSE - SENSEX Index Options'!$M:$M,'BSE - SENSEX Index Options'!$C:$C,$A279,'BSE - SENSEX Index Options'!$B:$B,G$147,'BSE - SENSEX Index Options'!$I:$I,"Weekly*")+SUMIFS('BSE - SENSEX Index Options'!$M:$M,'BSE - SENSEX Index Options'!$C:$C,$A279,'BSE - SENSEX Index Options'!$B:$B,G$147,'BSE - SENSEX Index Options'!$I:$I,"MDAW*")+SUMIFS('BSE - Other Index Options'!$M:$M,'BSE - Other Index Options'!$C:$C,$A279,'BSE - Other Index Options'!$B:$B,G$147,'BSE - Other Index Options'!$I:$I,"Weekly*")+SUMIFS('BSE - Other Index Options'!$M:$M,'BSE - Other Index Options'!$C:$C,$A279,'BSE - Other Index Options'!$B:$B,G$147,'BSE - Other Index Options'!$I:$I,"MDAW*")=0,"",SUMIFS('BSE - SENSEX Index Options'!$M:$M,'BSE - SENSEX Index Options'!$C:$C,$A279,'BSE - SENSEX Index Options'!$B:$B,G$147,'BSE - SENSEX Index Options'!$I:$I,"Weekly*")+SUMIFS('BSE - SENSEX Index Options'!$M:$M,'BSE - SENSEX Index Options'!$C:$C,$A279,'BSE - SENSEX Index Options'!$B:$B,G$147,'BSE - SENSEX Index Options'!$I:$I,"MDAW*")+SUMIFS('BSE - Other Index Options'!$M:$M,'BSE - Other Index Options'!$C:$C,$A279,'BSE - Other Index Options'!$B:$B,G$147,'BSE - Other Index Options'!$I:$I,"Weekly*")+SUMIFS('BSE - Other Index Options'!$M:$M,'BSE - Other Index Options'!$C:$C,$A279,'BSE - Other Index Options'!$B:$B,G$147,'BSE - Other Index Options'!$I:$I,"MDAW*"))</f>
        <v/>
      </c>
      <c r="H279" s="26">
        <f>IF(SUM(B279:G279)=0,"",SUM(B279:G279))</f>
        <v/>
      </c>
    </row>
    <row r="280" hidden="1" outlineLevel="1">
      <c r="A280" t="inlineStr">
        <is>
          <t>Week5-Nov-2027</t>
        </is>
      </c>
      <c r="B280" s="26">
        <f>IF(SUMIFS('BSE - SENSEX Index Options'!$M:$M,'BSE - SENSEX Index Options'!$C:$C,$A280,'BSE - SENSEX Index Options'!$B:$B,B$147,'BSE - SENSEX Index Options'!$I:$I,"Weekly*")+SUMIFS('BSE - SENSEX Index Options'!$M:$M,'BSE - SENSEX Index Options'!$C:$C,$A280,'BSE - SENSEX Index Options'!$B:$B,B$147,'BSE - SENSEX Index Options'!$I:$I,"MDAW*")+SUMIFS('BSE - Other Index Options'!$M:$M,'BSE - Other Index Options'!$C:$C,$A280,'BSE - Other Index Options'!$B:$B,B$147,'BSE - Other Index Options'!$I:$I,"Weekly*")+SUMIFS('BSE - Other Index Options'!$M:$M,'BSE - Other Index Options'!$C:$C,$A280,'BSE - Other Index Options'!$B:$B,B$147,'BSE - Other Index Options'!$I:$I,"MDAW*")=0,"",SUMIFS('BSE - SENSEX Index Options'!$M:$M,'BSE - SENSEX Index Options'!$C:$C,$A280,'BSE - SENSEX Index Options'!$B:$B,B$147,'BSE - SENSEX Index Options'!$I:$I,"Weekly*")+SUMIFS('BSE - SENSEX Index Options'!$M:$M,'BSE - SENSEX Index Options'!$C:$C,$A280,'BSE - SENSEX Index Options'!$B:$B,B$147,'BSE - SENSEX Index Options'!$I:$I,"MDAW*")+SUMIFS('BSE - Other Index Options'!$M:$M,'BSE - Other Index Options'!$C:$C,$A280,'BSE - Other Index Options'!$B:$B,B$147,'BSE - Other Index Options'!$I:$I,"Weekly*")+SUMIFS('BSE - Other Index Options'!$M:$M,'BSE - Other Index Options'!$C:$C,$A280,'BSE - Other Index Options'!$B:$B,B$147,'BSE - Other Index Options'!$I:$I,"MDAW*"))</f>
        <v/>
      </c>
      <c r="C280" s="26">
        <f>IF(SUMIFS('BSE - SENSEX Index Options'!$M:$M,'BSE - SENSEX Index Options'!$C:$C,$A280,'BSE - SENSEX Index Options'!$B:$B,C$147,'BSE - SENSEX Index Options'!$I:$I,"Weekly*")+SUMIFS('BSE - SENSEX Index Options'!$M:$M,'BSE - SENSEX Index Options'!$C:$C,$A280,'BSE - SENSEX Index Options'!$B:$B,C$147,'BSE - SENSEX Index Options'!$I:$I,"MDAW*")+SUMIFS('BSE - Other Index Options'!$M:$M,'BSE - Other Index Options'!$C:$C,$A280,'BSE - Other Index Options'!$B:$B,C$147,'BSE - Other Index Options'!$I:$I,"Weekly*")+SUMIFS('BSE - Other Index Options'!$M:$M,'BSE - Other Index Options'!$C:$C,$A280,'BSE - Other Index Options'!$B:$B,C$147,'BSE - Other Index Options'!$I:$I,"MDAW*")=0,"",SUMIFS('BSE - SENSEX Index Options'!$M:$M,'BSE - SENSEX Index Options'!$C:$C,$A280,'BSE - SENSEX Index Options'!$B:$B,C$147,'BSE - SENSEX Index Options'!$I:$I,"Weekly*")+SUMIFS('BSE - SENSEX Index Options'!$M:$M,'BSE - SENSEX Index Options'!$C:$C,$A280,'BSE - SENSEX Index Options'!$B:$B,C$147,'BSE - SENSEX Index Options'!$I:$I,"MDAW*")+SUMIFS('BSE - Other Index Options'!$M:$M,'BSE - Other Index Options'!$C:$C,$A280,'BSE - Other Index Options'!$B:$B,C$147,'BSE - Other Index Options'!$I:$I,"Weekly*")+SUMIFS('BSE - Other Index Options'!$M:$M,'BSE - Other Index Options'!$C:$C,$A280,'BSE - Other Index Options'!$B:$B,C$147,'BSE - Other Index Options'!$I:$I,"MDAW*"))</f>
        <v/>
      </c>
      <c r="D280" s="26">
        <f>IF(SUMIFS('BSE - SENSEX Index Options'!$M:$M,'BSE - SENSEX Index Options'!$C:$C,$A280,'BSE - SENSEX Index Options'!$B:$B,D$147,'BSE - SENSEX Index Options'!$I:$I,"Weekly*")+SUMIFS('BSE - SENSEX Index Options'!$M:$M,'BSE - SENSEX Index Options'!$C:$C,$A280,'BSE - SENSEX Index Options'!$B:$B,D$147,'BSE - SENSEX Index Options'!$I:$I,"MDAW*")+SUMIFS('BSE - Other Index Options'!$M:$M,'BSE - Other Index Options'!$C:$C,$A280,'BSE - Other Index Options'!$B:$B,D$147,'BSE - Other Index Options'!$I:$I,"Weekly*")+SUMIFS('BSE - Other Index Options'!$M:$M,'BSE - Other Index Options'!$C:$C,$A280,'BSE - Other Index Options'!$B:$B,D$147,'BSE - Other Index Options'!$I:$I,"MDAW*")=0,"",SUMIFS('BSE - SENSEX Index Options'!$M:$M,'BSE - SENSEX Index Options'!$C:$C,$A280,'BSE - SENSEX Index Options'!$B:$B,D$147,'BSE - SENSEX Index Options'!$I:$I,"Weekly*")+SUMIFS('BSE - SENSEX Index Options'!$M:$M,'BSE - SENSEX Index Options'!$C:$C,$A280,'BSE - SENSEX Index Options'!$B:$B,D$147,'BSE - SENSEX Index Options'!$I:$I,"MDAW*")+SUMIFS('BSE - Other Index Options'!$M:$M,'BSE - Other Index Options'!$C:$C,$A280,'BSE - Other Index Options'!$B:$B,D$147,'BSE - Other Index Options'!$I:$I,"Weekly*")+SUMIFS('BSE - Other Index Options'!$M:$M,'BSE - Other Index Options'!$C:$C,$A280,'BSE - Other Index Options'!$B:$B,D$147,'BSE - Other Index Options'!$I:$I,"MDAW*"))</f>
        <v/>
      </c>
      <c r="E280" s="26">
        <f>IF(SUMIFS('BSE - SENSEX Index Options'!$M:$M,'BSE - SENSEX Index Options'!$C:$C,$A280,'BSE - SENSEX Index Options'!$B:$B,E$147,'BSE - SENSEX Index Options'!$I:$I,"Weekly*")+SUMIFS('BSE - SENSEX Index Options'!$M:$M,'BSE - SENSEX Index Options'!$C:$C,$A280,'BSE - SENSEX Index Options'!$B:$B,E$147,'BSE - SENSEX Index Options'!$I:$I,"MDAW*")+SUMIFS('BSE - Other Index Options'!$M:$M,'BSE - Other Index Options'!$C:$C,$A280,'BSE - Other Index Options'!$B:$B,E$147,'BSE - Other Index Options'!$I:$I,"Weekly*")+SUMIFS('BSE - Other Index Options'!$M:$M,'BSE - Other Index Options'!$C:$C,$A280,'BSE - Other Index Options'!$B:$B,E$147,'BSE - Other Index Options'!$I:$I,"MDAW*")=0,"",SUMIFS('BSE - SENSEX Index Options'!$M:$M,'BSE - SENSEX Index Options'!$C:$C,$A280,'BSE - SENSEX Index Options'!$B:$B,E$147,'BSE - SENSEX Index Options'!$I:$I,"Weekly*")+SUMIFS('BSE - SENSEX Index Options'!$M:$M,'BSE - SENSEX Index Options'!$C:$C,$A280,'BSE - SENSEX Index Options'!$B:$B,E$147,'BSE - SENSEX Index Options'!$I:$I,"MDAW*")+SUMIFS('BSE - Other Index Options'!$M:$M,'BSE - Other Index Options'!$C:$C,$A280,'BSE - Other Index Options'!$B:$B,E$147,'BSE - Other Index Options'!$I:$I,"Weekly*")+SUMIFS('BSE - Other Index Options'!$M:$M,'BSE - Other Index Options'!$C:$C,$A280,'BSE - Other Index Options'!$B:$B,E$147,'BSE - Other Index Options'!$I:$I,"MDAW*"))</f>
        <v/>
      </c>
      <c r="F280" s="26">
        <f>IF(SUMIFS('BSE - SENSEX Index Options'!$M:$M,'BSE - SENSEX Index Options'!$C:$C,$A280,'BSE - SENSEX Index Options'!$B:$B,F$147,'BSE - SENSEX Index Options'!$I:$I,"Weekly*")+SUMIFS('BSE - SENSEX Index Options'!$M:$M,'BSE - SENSEX Index Options'!$C:$C,$A280,'BSE - SENSEX Index Options'!$B:$B,F$147,'BSE - SENSEX Index Options'!$I:$I,"MDAW*")+SUMIFS('BSE - Other Index Options'!$M:$M,'BSE - Other Index Options'!$C:$C,$A280,'BSE - Other Index Options'!$B:$B,F$147,'BSE - Other Index Options'!$I:$I,"Weekly*")+SUMIFS('BSE - Other Index Options'!$M:$M,'BSE - Other Index Options'!$C:$C,$A280,'BSE - Other Index Options'!$B:$B,F$147,'BSE - Other Index Options'!$I:$I,"MDAW*")=0,"",SUMIFS('BSE - SENSEX Index Options'!$M:$M,'BSE - SENSEX Index Options'!$C:$C,$A280,'BSE - SENSEX Index Options'!$B:$B,F$147,'BSE - SENSEX Index Options'!$I:$I,"Weekly*")+SUMIFS('BSE - SENSEX Index Options'!$M:$M,'BSE - SENSEX Index Options'!$C:$C,$A280,'BSE - SENSEX Index Options'!$B:$B,F$147,'BSE - SENSEX Index Options'!$I:$I,"MDAW*")+SUMIFS('BSE - Other Index Options'!$M:$M,'BSE - Other Index Options'!$C:$C,$A280,'BSE - Other Index Options'!$B:$B,F$147,'BSE - Other Index Options'!$I:$I,"Weekly*")+SUMIFS('BSE - Other Index Options'!$M:$M,'BSE - Other Index Options'!$C:$C,$A280,'BSE - Other Index Options'!$B:$B,F$147,'BSE - Other Index Options'!$I:$I,"MDAW*"))</f>
        <v/>
      </c>
      <c r="G280" s="26">
        <f>IF(SUMIFS('BSE - SENSEX Index Options'!$M:$M,'BSE - SENSEX Index Options'!$C:$C,$A280,'BSE - SENSEX Index Options'!$B:$B,G$147,'BSE - SENSEX Index Options'!$I:$I,"Weekly*")+SUMIFS('BSE - SENSEX Index Options'!$M:$M,'BSE - SENSEX Index Options'!$C:$C,$A280,'BSE - SENSEX Index Options'!$B:$B,G$147,'BSE - SENSEX Index Options'!$I:$I,"MDAW*")+SUMIFS('BSE - Other Index Options'!$M:$M,'BSE - Other Index Options'!$C:$C,$A280,'BSE - Other Index Options'!$B:$B,G$147,'BSE - Other Index Options'!$I:$I,"Weekly*")+SUMIFS('BSE - Other Index Options'!$M:$M,'BSE - Other Index Options'!$C:$C,$A280,'BSE - Other Index Options'!$B:$B,G$147,'BSE - Other Index Options'!$I:$I,"MDAW*")=0,"",SUMIFS('BSE - SENSEX Index Options'!$M:$M,'BSE - SENSEX Index Options'!$C:$C,$A280,'BSE - SENSEX Index Options'!$B:$B,G$147,'BSE - SENSEX Index Options'!$I:$I,"Weekly*")+SUMIFS('BSE - SENSEX Index Options'!$M:$M,'BSE - SENSEX Index Options'!$C:$C,$A280,'BSE - SENSEX Index Options'!$B:$B,G$147,'BSE - SENSEX Index Options'!$I:$I,"MDAW*")+SUMIFS('BSE - Other Index Options'!$M:$M,'BSE - Other Index Options'!$C:$C,$A280,'BSE - Other Index Options'!$B:$B,G$147,'BSE - Other Index Options'!$I:$I,"Weekly*")+SUMIFS('BSE - Other Index Options'!$M:$M,'BSE - Other Index Options'!$C:$C,$A280,'BSE - Other Index Options'!$B:$B,G$147,'BSE - Other Index Options'!$I:$I,"MDAW*"))</f>
        <v/>
      </c>
      <c r="H280" s="26">
        <f>IF(SUM(B280:G280)=0,"",SUM(B280:G280))</f>
        <v/>
      </c>
    </row>
    <row r="281" hidden="1" outlineLevel="1">
      <c r="A281" t="inlineStr">
        <is>
          <t>Week1-Dec-2027</t>
        </is>
      </c>
      <c r="B281" s="26">
        <f>IF(SUMIFS('BSE - SENSEX Index Options'!$M:$M,'BSE - SENSEX Index Options'!$C:$C,$A281,'BSE - SENSEX Index Options'!$B:$B,B$147,'BSE - SENSEX Index Options'!$I:$I,"Weekly*")+SUMIFS('BSE - SENSEX Index Options'!$M:$M,'BSE - SENSEX Index Options'!$C:$C,$A281,'BSE - SENSEX Index Options'!$B:$B,B$147,'BSE - SENSEX Index Options'!$I:$I,"MDAW*")+SUMIFS('BSE - Other Index Options'!$M:$M,'BSE - Other Index Options'!$C:$C,$A281,'BSE - Other Index Options'!$B:$B,B$147,'BSE - Other Index Options'!$I:$I,"Weekly*")+SUMIFS('BSE - Other Index Options'!$M:$M,'BSE - Other Index Options'!$C:$C,$A281,'BSE - Other Index Options'!$B:$B,B$147,'BSE - Other Index Options'!$I:$I,"MDAW*")=0,"",SUMIFS('BSE - SENSEX Index Options'!$M:$M,'BSE - SENSEX Index Options'!$C:$C,$A281,'BSE - SENSEX Index Options'!$B:$B,B$147,'BSE - SENSEX Index Options'!$I:$I,"Weekly*")+SUMIFS('BSE - SENSEX Index Options'!$M:$M,'BSE - SENSEX Index Options'!$C:$C,$A281,'BSE - SENSEX Index Options'!$B:$B,B$147,'BSE - SENSEX Index Options'!$I:$I,"MDAW*")+SUMIFS('BSE - Other Index Options'!$M:$M,'BSE - Other Index Options'!$C:$C,$A281,'BSE - Other Index Options'!$B:$B,B$147,'BSE - Other Index Options'!$I:$I,"Weekly*")+SUMIFS('BSE - Other Index Options'!$M:$M,'BSE - Other Index Options'!$C:$C,$A281,'BSE - Other Index Options'!$B:$B,B$147,'BSE - Other Index Options'!$I:$I,"MDAW*"))</f>
        <v/>
      </c>
      <c r="C281" s="26">
        <f>IF(SUMIFS('BSE - SENSEX Index Options'!$M:$M,'BSE - SENSEX Index Options'!$C:$C,$A281,'BSE - SENSEX Index Options'!$B:$B,C$147,'BSE - SENSEX Index Options'!$I:$I,"Weekly*")+SUMIFS('BSE - SENSEX Index Options'!$M:$M,'BSE - SENSEX Index Options'!$C:$C,$A281,'BSE - SENSEX Index Options'!$B:$B,C$147,'BSE - SENSEX Index Options'!$I:$I,"MDAW*")+SUMIFS('BSE - Other Index Options'!$M:$M,'BSE - Other Index Options'!$C:$C,$A281,'BSE - Other Index Options'!$B:$B,C$147,'BSE - Other Index Options'!$I:$I,"Weekly*")+SUMIFS('BSE - Other Index Options'!$M:$M,'BSE - Other Index Options'!$C:$C,$A281,'BSE - Other Index Options'!$B:$B,C$147,'BSE - Other Index Options'!$I:$I,"MDAW*")=0,"",SUMIFS('BSE - SENSEX Index Options'!$M:$M,'BSE - SENSEX Index Options'!$C:$C,$A281,'BSE - SENSEX Index Options'!$B:$B,C$147,'BSE - SENSEX Index Options'!$I:$I,"Weekly*")+SUMIFS('BSE - SENSEX Index Options'!$M:$M,'BSE - SENSEX Index Options'!$C:$C,$A281,'BSE - SENSEX Index Options'!$B:$B,C$147,'BSE - SENSEX Index Options'!$I:$I,"MDAW*")+SUMIFS('BSE - Other Index Options'!$M:$M,'BSE - Other Index Options'!$C:$C,$A281,'BSE - Other Index Options'!$B:$B,C$147,'BSE - Other Index Options'!$I:$I,"Weekly*")+SUMIFS('BSE - Other Index Options'!$M:$M,'BSE - Other Index Options'!$C:$C,$A281,'BSE - Other Index Options'!$B:$B,C$147,'BSE - Other Index Options'!$I:$I,"MDAW*"))</f>
        <v/>
      </c>
      <c r="D281" s="26">
        <f>IF(SUMIFS('BSE - SENSEX Index Options'!$M:$M,'BSE - SENSEX Index Options'!$C:$C,$A281,'BSE - SENSEX Index Options'!$B:$B,D$147,'BSE - SENSEX Index Options'!$I:$I,"Weekly*")+SUMIFS('BSE - SENSEX Index Options'!$M:$M,'BSE - SENSEX Index Options'!$C:$C,$A281,'BSE - SENSEX Index Options'!$B:$B,D$147,'BSE - SENSEX Index Options'!$I:$I,"MDAW*")+SUMIFS('BSE - Other Index Options'!$M:$M,'BSE - Other Index Options'!$C:$C,$A281,'BSE - Other Index Options'!$B:$B,D$147,'BSE - Other Index Options'!$I:$I,"Weekly*")+SUMIFS('BSE - Other Index Options'!$M:$M,'BSE - Other Index Options'!$C:$C,$A281,'BSE - Other Index Options'!$B:$B,D$147,'BSE - Other Index Options'!$I:$I,"MDAW*")=0,"",SUMIFS('BSE - SENSEX Index Options'!$M:$M,'BSE - SENSEX Index Options'!$C:$C,$A281,'BSE - SENSEX Index Options'!$B:$B,D$147,'BSE - SENSEX Index Options'!$I:$I,"Weekly*")+SUMIFS('BSE - SENSEX Index Options'!$M:$M,'BSE - SENSEX Index Options'!$C:$C,$A281,'BSE - SENSEX Index Options'!$B:$B,D$147,'BSE - SENSEX Index Options'!$I:$I,"MDAW*")+SUMIFS('BSE - Other Index Options'!$M:$M,'BSE - Other Index Options'!$C:$C,$A281,'BSE - Other Index Options'!$B:$B,D$147,'BSE - Other Index Options'!$I:$I,"Weekly*")+SUMIFS('BSE - Other Index Options'!$M:$M,'BSE - Other Index Options'!$C:$C,$A281,'BSE - Other Index Options'!$B:$B,D$147,'BSE - Other Index Options'!$I:$I,"MDAW*"))</f>
        <v/>
      </c>
      <c r="E281" s="26">
        <f>IF(SUMIFS('BSE - SENSEX Index Options'!$M:$M,'BSE - SENSEX Index Options'!$C:$C,$A281,'BSE - SENSEX Index Options'!$B:$B,E$147,'BSE - SENSEX Index Options'!$I:$I,"Weekly*")+SUMIFS('BSE - SENSEX Index Options'!$M:$M,'BSE - SENSEX Index Options'!$C:$C,$A281,'BSE - SENSEX Index Options'!$B:$B,E$147,'BSE - SENSEX Index Options'!$I:$I,"MDAW*")+SUMIFS('BSE - Other Index Options'!$M:$M,'BSE - Other Index Options'!$C:$C,$A281,'BSE - Other Index Options'!$B:$B,E$147,'BSE - Other Index Options'!$I:$I,"Weekly*")+SUMIFS('BSE - Other Index Options'!$M:$M,'BSE - Other Index Options'!$C:$C,$A281,'BSE - Other Index Options'!$B:$B,E$147,'BSE - Other Index Options'!$I:$I,"MDAW*")=0,"",SUMIFS('BSE - SENSEX Index Options'!$M:$M,'BSE - SENSEX Index Options'!$C:$C,$A281,'BSE - SENSEX Index Options'!$B:$B,E$147,'BSE - SENSEX Index Options'!$I:$I,"Weekly*")+SUMIFS('BSE - SENSEX Index Options'!$M:$M,'BSE - SENSEX Index Options'!$C:$C,$A281,'BSE - SENSEX Index Options'!$B:$B,E$147,'BSE - SENSEX Index Options'!$I:$I,"MDAW*")+SUMIFS('BSE - Other Index Options'!$M:$M,'BSE - Other Index Options'!$C:$C,$A281,'BSE - Other Index Options'!$B:$B,E$147,'BSE - Other Index Options'!$I:$I,"Weekly*")+SUMIFS('BSE - Other Index Options'!$M:$M,'BSE - Other Index Options'!$C:$C,$A281,'BSE - Other Index Options'!$B:$B,E$147,'BSE - Other Index Options'!$I:$I,"MDAW*"))</f>
        <v/>
      </c>
      <c r="F281" s="26">
        <f>IF(SUMIFS('BSE - SENSEX Index Options'!$M:$M,'BSE - SENSEX Index Options'!$C:$C,$A281,'BSE - SENSEX Index Options'!$B:$B,F$147,'BSE - SENSEX Index Options'!$I:$I,"Weekly*")+SUMIFS('BSE - SENSEX Index Options'!$M:$M,'BSE - SENSEX Index Options'!$C:$C,$A281,'BSE - SENSEX Index Options'!$B:$B,F$147,'BSE - SENSEX Index Options'!$I:$I,"MDAW*")+SUMIFS('BSE - Other Index Options'!$M:$M,'BSE - Other Index Options'!$C:$C,$A281,'BSE - Other Index Options'!$B:$B,F$147,'BSE - Other Index Options'!$I:$I,"Weekly*")+SUMIFS('BSE - Other Index Options'!$M:$M,'BSE - Other Index Options'!$C:$C,$A281,'BSE - Other Index Options'!$B:$B,F$147,'BSE - Other Index Options'!$I:$I,"MDAW*")=0,"",SUMIFS('BSE - SENSEX Index Options'!$M:$M,'BSE - SENSEX Index Options'!$C:$C,$A281,'BSE - SENSEX Index Options'!$B:$B,F$147,'BSE - SENSEX Index Options'!$I:$I,"Weekly*")+SUMIFS('BSE - SENSEX Index Options'!$M:$M,'BSE - SENSEX Index Options'!$C:$C,$A281,'BSE - SENSEX Index Options'!$B:$B,F$147,'BSE - SENSEX Index Options'!$I:$I,"MDAW*")+SUMIFS('BSE - Other Index Options'!$M:$M,'BSE - Other Index Options'!$C:$C,$A281,'BSE - Other Index Options'!$B:$B,F$147,'BSE - Other Index Options'!$I:$I,"Weekly*")+SUMIFS('BSE - Other Index Options'!$M:$M,'BSE - Other Index Options'!$C:$C,$A281,'BSE - Other Index Options'!$B:$B,F$147,'BSE - Other Index Options'!$I:$I,"MDAW*"))</f>
        <v/>
      </c>
      <c r="G281" s="26">
        <f>IF(SUMIFS('BSE - SENSEX Index Options'!$M:$M,'BSE - SENSEX Index Options'!$C:$C,$A281,'BSE - SENSEX Index Options'!$B:$B,G$147,'BSE - SENSEX Index Options'!$I:$I,"Weekly*")+SUMIFS('BSE - SENSEX Index Options'!$M:$M,'BSE - SENSEX Index Options'!$C:$C,$A281,'BSE - SENSEX Index Options'!$B:$B,G$147,'BSE - SENSEX Index Options'!$I:$I,"MDAW*")+SUMIFS('BSE - Other Index Options'!$M:$M,'BSE - Other Index Options'!$C:$C,$A281,'BSE - Other Index Options'!$B:$B,G$147,'BSE - Other Index Options'!$I:$I,"Weekly*")+SUMIFS('BSE - Other Index Options'!$M:$M,'BSE - Other Index Options'!$C:$C,$A281,'BSE - Other Index Options'!$B:$B,G$147,'BSE - Other Index Options'!$I:$I,"MDAW*")=0,"",SUMIFS('BSE - SENSEX Index Options'!$M:$M,'BSE - SENSEX Index Options'!$C:$C,$A281,'BSE - SENSEX Index Options'!$B:$B,G$147,'BSE - SENSEX Index Options'!$I:$I,"Weekly*")+SUMIFS('BSE - SENSEX Index Options'!$M:$M,'BSE - SENSEX Index Options'!$C:$C,$A281,'BSE - SENSEX Index Options'!$B:$B,G$147,'BSE - SENSEX Index Options'!$I:$I,"MDAW*")+SUMIFS('BSE - Other Index Options'!$M:$M,'BSE - Other Index Options'!$C:$C,$A281,'BSE - Other Index Options'!$B:$B,G$147,'BSE - Other Index Options'!$I:$I,"Weekly*")+SUMIFS('BSE - Other Index Options'!$M:$M,'BSE - Other Index Options'!$C:$C,$A281,'BSE - Other Index Options'!$B:$B,G$147,'BSE - Other Index Options'!$I:$I,"MDAW*"))</f>
        <v/>
      </c>
      <c r="H281" s="26">
        <f>IF(SUM(B281:G281)=0,"",SUM(B281:G281))</f>
        <v/>
      </c>
    </row>
    <row r="282" hidden="1" outlineLevel="1">
      <c r="A282" t="inlineStr">
        <is>
          <t>Week2-Dec-2027</t>
        </is>
      </c>
      <c r="B282" s="26">
        <f>IF(SUMIFS('BSE - SENSEX Index Options'!$M:$M,'BSE - SENSEX Index Options'!$C:$C,$A282,'BSE - SENSEX Index Options'!$B:$B,B$147,'BSE - SENSEX Index Options'!$I:$I,"Weekly*")+SUMIFS('BSE - SENSEX Index Options'!$M:$M,'BSE - SENSEX Index Options'!$C:$C,$A282,'BSE - SENSEX Index Options'!$B:$B,B$147,'BSE - SENSEX Index Options'!$I:$I,"MDAW*")+SUMIFS('BSE - Other Index Options'!$M:$M,'BSE - Other Index Options'!$C:$C,$A282,'BSE - Other Index Options'!$B:$B,B$147,'BSE - Other Index Options'!$I:$I,"Weekly*")+SUMIFS('BSE - Other Index Options'!$M:$M,'BSE - Other Index Options'!$C:$C,$A282,'BSE - Other Index Options'!$B:$B,B$147,'BSE - Other Index Options'!$I:$I,"MDAW*")=0,"",SUMIFS('BSE - SENSEX Index Options'!$M:$M,'BSE - SENSEX Index Options'!$C:$C,$A282,'BSE - SENSEX Index Options'!$B:$B,B$147,'BSE - SENSEX Index Options'!$I:$I,"Weekly*")+SUMIFS('BSE - SENSEX Index Options'!$M:$M,'BSE - SENSEX Index Options'!$C:$C,$A282,'BSE - SENSEX Index Options'!$B:$B,B$147,'BSE - SENSEX Index Options'!$I:$I,"MDAW*")+SUMIFS('BSE - Other Index Options'!$M:$M,'BSE - Other Index Options'!$C:$C,$A282,'BSE - Other Index Options'!$B:$B,B$147,'BSE - Other Index Options'!$I:$I,"Weekly*")+SUMIFS('BSE - Other Index Options'!$M:$M,'BSE - Other Index Options'!$C:$C,$A282,'BSE - Other Index Options'!$B:$B,B$147,'BSE - Other Index Options'!$I:$I,"MDAW*"))</f>
        <v/>
      </c>
      <c r="C282" s="26">
        <f>IF(SUMIFS('BSE - SENSEX Index Options'!$M:$M,'BSE - SENSEX Index Options'!$C:$C,$A282,'BSE - SENSEX Index Options'!$B:$B,C$147,'BSE - SENSEX Index Options'!$I:$I,"Weekly*")+SUMIFS('BSE - SENSEX Index Options'!$M:$M,'BSE - SENSEX Index Options'!$C:$C,$A282,'BSE - SENSEX Index Options'!$B:$B,C$147,'BSE - SENSEX Index Options'!$I:$I,"MDAW*")+SUMIFS('BSE - Other Index Options'!$M:$M,'BSE - Other Index Options'!$C:$C,$A282,'BSE - Other Index Options'!$B:$B,C$147,'BSE - Other Index Options'!$I:$I,"Weekly*")+SUMIFS('BSE - Other Index Options'!$M:$M,'BSE - Other Index Options'!$C:$C,$A282,'BSE - Other Index Options'!$B:$B,C$147,'BSE - Other Index Options'!$I:$I,"MDAW*")=0,"",SUMIFS('BSE - SENSEX Index Options'!$M:$M,'BSE - SENSEX Index Options'!$C:$C,$A282,'BSE - SENSEX Index Options'!$B:$B,C$147,'BSE - SENSEX Index Options'!$I:$I,"Weekly*")+SUMIFS('BSE - SENSEX Index Options'!$M:$M,'BSE - SENSEX Index Options'!$C:$C,$A282,'BSE - SENSEX Index Options'!$B:$B,C$147,'BSE - SENSEX Index Options'!$I:$I,"MDAW*")+SUMIFS('BSE - Other Index Options'!$M:$M,'BSE - Other Index Options'!$C:$C,$A282,'BSE - Other Index Options'!$B:$B,C$147,'BSE - Other Index Options'!$I:$I,"Weekly*")+SUMIFS('BSE - Other Index Options'!$M:$M,'BSE - Other Index Options'!$C:$C,$A282,'BSE - Other Index Options'!$B:$B,C$147,'BSE - Other Index Options'!$I:$I,"MDAW*"))</f>
        <v/>
      </c>
      <c r="D282" s="26">
        <f>IF(SUMIFS('BSE - SENSEX Index Options'!$M:$M,'BSE - SENSEX Index Options'!$C:$C,$A282,'BSE - SENSEX Index Options'!$B:$B,D$147,'BSE - SENSEX Index Options'!$I:$I,"Weekly*")+SUMIFS('BSE - SENSEX Index Options'!$M:$M,'BSE - SENSEX Index Options'!$C:$C,$A282,'BSE - SENSEX Index Options'!$B:$B,D$147,'BSE - SENSEX Index Options'!$I:$I,"MDAW*")+SUMIFS('BSE - Other Index Options'!$M:$M,'BSE - Other Index Options'!$C:$C,$A282,'BSE - Other Index Options'!$B:$B,D$147,'BSE - Other Index Options'!$I:$I,"Weekly*")+SUMIFS('BSE - Other Index Options'!$M:$M,'BSE - Other Index Options'!$C:$C,$A282,'BSE - Other Index Options'!$B:$B,D$147,'BSE - Other Index Options'!$I:$I,"MDAW*")=0,"",SUMIFS('BSE - SENSEX Index Options'!$M:$M,'BSE - SENSEX Index Options'!$C:$C,$A282,'BSE - SENSEX Index Options'!$B:$B,D$147,'BSE - SENSEX Index Options'!$I:$I,"Weekly*")+SUMIFS('BSE - SENSEX Index Options'!$M:$M,'BSE - SENSEX Index Options'!$C:$C,$A282,'BSE - SENSEX Index Options'!$B:$B,D$147,'BSE - SENSEX Index Options'!$I:$I,"MDAW*")+SUMIFS('BSE - Other Index Options'!$M:$M,'BSE - Other Index Options'!$C:$C,$A282,'BSE - Other Index Options'!$B:$B,D$147,'BSE - Other Index Options'!$I:$I,"Weekly*")+SUMIFS('BSE - Other Index Options'!$M:$M,'BSE - Other Index Options'!$C:$C,$A282,'BSE - Other Index Options'!$B:$B,D$147,'BSE - Other Index Options'!$I:$I,"MDAW*"))</f>
        <v/>
      </c>
      <c r="E282" s="26">
        <f>IF(SUMIFS('BSE - SENSEX Index Options'!$M:$M,'BSE - SENSEX Index Options'!$C:$C,$A282,'BSE - SENSEX Index Options'!$B:$B,E$147,'BSE - SENSEX Index Options'!$I:$I,"Weekly*")+SUMIFS('BSE - SENSEX Index Options'!$M:$M,'BSE - SENSEX Index Options'!$C:$C,$A282,'BSE - SENSEX Index Options'!$B:$B,E$147,'BSE - SENSEX Index Options'!$I:$I,"MDAW*")+SUMIFS('BSE - Other Index Options'!$M:$M,'BSE - Other Index Options'!$C:$C,$A282,'BSE - Other Index Options'!$B:$B,E$147,'BSE - Other Index Options'!$I:$I,"Weekly*")+SUMIFS('BSE - Other Index Options'!$M:$M,'BSE - Other Index Options'!$C:$C,$A282,'BSE - Other Index Options'!$B:$B,E$147,'BSE - Other Index Options'!$I:$I,"MDAW*")=0,"",SUMIFS('BSE - SENSEX Index Options'!$M:$M,'BSE - SENSEX Index Options'!$C:$C,$A282,'BSE - SENSEX Index Options'!$B:$B,E$147,'BSE - SENSEX Index Options'!$I:$I,"Weekly*")+SUMIFS('BSE - SENSEX Index Options'!$M:$M,'BSE - SENSEX Index Options'!$C:$C,$A282,'BSE - SENSEX Index Options'!$B:$B,E$147,'BSE - SENSEX Index Options'!$I:$I,"MDAW*")+SUMIFS('BSE - Other Index Options'!$M:$M,'BSE - Other Index Options'!$C:$C,$A282,'BSE - Other Index Options'!$B:$B,E$147,'BSE - Other Index Options'!$I:$I,"Weekly*")+SUMIFS('BSE - Other Index Options'!$M:$M,'BSE - Other Index Options'!$C:$C,$A282,'BSE - Other Index Options'!$B:$B,E$147,'BSE - Other Index Options'!$I:$I,"MDAW*"))</f>
        <v/>
      </c>
      <c r="F282" s="26">
        <f>IF(SUMIFS('BSE - SENSEX Index Options'!$M:$M,'BSE - SENSEX Index Options'!$C:$C,$A282,'BSE - SENSEX Index Options'!$B:$B,F$147,'BSE - SENSEX Index Options'!$I:$I,"Weekly*")+SUMIFS('BSE - SENSEX Index Options'!$M:$M,'BSE - SENSEX Index Options'!$C:$C,$A282,'BSE - SENSEX Index Options'!$B:$B,F$147,'BSE - SENSEX Index Options'!$I:$I,"MDAW*")+SUMIFS('BSE - Other Index Options'!$M:$M,'BSE - Other Index Options'!$C:$C,$A282,'BSE - Other Index Options'!$B:$B,F$147,'BSE - Other Index Options'!$I:$I,"Weekly*")+SUMIFS('BSE - Other Index Options'!$M:$M,'BSE - Other Index Options'!$C:$C,$A282,'BSE - Other Index Options'!$B:$B,F$147,'BSE - Other Index Options'!$I:$I,"MDAW*")=0,"",SUMIFS('BSE - SENSEX Index Options'!$M:$M,'BSE - SENSEX Index Options'!$C:$C,$A282,'BSE - SENSEX Index Options'!$B:$B,F$147,'BSE - SENSEX Index Options'!$I:$I,"Weekly*")+SUMIFS('BSE - SENSEX Index Options'!$M:$M,'BSE - SENSEX Index Options'!$C:$C,$A282,'BSE - SENSEX Index Options'!$B:$B,F$147,'BSE - SENSEX Index Options'!$I:$I,"MDAW*")+SUMIFS('BSE - Other Index Options'!$M:$M,'BSE - Other Index Options'!$C:$C,$A282,'BSE - Other Index Options'!$B:$B,F$147,'BSE - Other Index Options'!$I:$I,"Weekly*")+SUMIFS('BSE - Other Index Options'!$M:$M,'BSE - Other Index Options'!$C:$C,$A282,'BSE - Other Index Options'!$B:$B,F$147,'BSE - Other Index Options'!$I:$I,"MDAW*"))</f>
        <v/>
      </c>
      <c r="G282" s="26">
        <f>IF(SUMIFS('BSE - SENSEX Index Options'!$M:$M,'BSE - SENSEX Index Options'!$C:$C,$A282,'BSE - SENSEX Index Options'!$B:$B,G$147,'BSE - SENSEX Index Options'!$I:$I,"Weekly*")+SUMIFS('BSE - SENSEX Index Options'!$M:$M,'BSE - SENSEX Index Options'!$C:$C,$A282,'BSE - SENSEX Index Options'!$B:$B,G$147,'BSE - SENSEX Index Options'!$I:$I,"MDAW*")+SUMIFS('BSE - Other Index Options'!$M:$M,'BSE - Other Index Options'!$C:$C,$A282,'BSE - Other Index Options'!$B:$B,G$147,'BSE - Other Index Options'!$I:$I,"Weekly*")+SUMIFS('BSE - Other Index Options'!$M:$M,'BSE - Other Index Options'!$C:$C,$A282,'BSE - Other Index Options'!$B:$B,G$147,'BSE - Other Index Options'!$I:$I,"MDAW*")=0,"",SUMIFS('BSE - SENSEX Index Options'!$M:$M,'BSE - SENSEX Index Options'!$C:$C,$A282,'BSE - SENSEX Index Options'!$B:$B,G$147,'BSE - SENSEX Index Options'!$I:$I,"Weekly*")+SUMIFS('BSE - SENSEX Index Options'!$M:$M,'BSE - SENSEX Index Options'!$C:$C,$A282,'BSE - SENSEX Index Options'!$B:$B,G$147,'BSE - SENSEX Index Options'!$I:$I,"MDAW*")+SUMIFS('BSE - Other Index Options'!$M:$M,'BSE - Other Index Options'!$C:$C,$A282,'BSE - Other Index Options'!$B:$B,G$147,'BSE - Other Index Options'!$I:$I,"Weekly*")+SUMIFS('BSE - Other Index Options'!$M:$M,'BSE - Other Index Options'!$C:$C,$A282,'BSE - Other Index Options'!$B:$B,G$147,'BSE - Other Index Options'!$I:$I,"MDAW*"))</f>
        <v/>
      </c>
      <c r="H282" s="26">
        <f>IF(SUM(B282:G282)=0,"",SUM(B282:G282))</f>
        <v/>
      </c>
    </row>
    <row r="283" hidden="1" outlineLevel="1">
      <c r="A283" t="inlineStr">
        <is>
          <t>Week3-Dec-2027</t>
        </is>
      </c>
      <c r="B283" s="26">
        <f>IF(SUMIFS('BSE - SENSEX Index Options'!$M:$M,'BSE - SENSEX Index Options'!$C:$C,$A283,'BSE - SENSEX Index Options'!$B:$B,B$147,'BSE - SENSEX Index Options'!$I:$I,"Weekly*")+SUMIFS('BSE - SENSEX Index Options'!$M:$M,'BSE - SENSEX Index Options'!$C:$C,$A283,'BSE - SENSEX Index Options'!$B:$B,B$147,'BSE - SENSEX Index Options'!$I:$I,"MDAW*")+SUMIFS('BSE - Other Index Options'!$M:$M,'BSE - Other Index Options'!$C:$C,$A283,'BSE - Other Index Options'!$B:$B,B$147,'BSE - Other Index Options'!$I:$I,"Weekly*")+SUMIFS('BSE - Other Index Options'!$M:$M,'BSE - Other Index Options'!$C:$C,$A283,'BSE - Other Index Options'!$B:$B,B$147,'BSE - Other Index Options'!$I:$I,"MDAW*")=0,"",SUMIFS('BSE - SENSEX Index Options'!$M:$M,'BSE - SENSEX Index Options'!$C:$C,$A283,'BSE - SENSEX Index Options'!$B:$B,B$147,'BSE - SENSEX Index Options'!$I:$I,"Weekly*")+SUMIFS('BSE - SENSEX Index Options'!$M:$M,'BSE - SENSEX Index Options'!$C:$C,$A283,'BSE - SENSEX Index Options'!$B:$B,B$147,'BSE - SENSEX Index Options'!$I:$I,"MDAW*")+SUMIFS('BSE - Other Index Options'!$M:$M,'BSE - Other Index Options'!$C:$C,$A283,'BSE - Other Index Options'!$B:$B,B$147,'BSE - Other Index Options'!$I:$I,"Weekly*")+SUMIFS('BSE - Other Index Options'!$M:$M,'BSE - Other Index Options'!$C:$C,$A283,'BSE - Other Index Options'!$B:$B,B$147,'BSE - Other Index Options'!$I:$I,"MDAW*"))</f>
        <v/>
      </c>
      <c r="C283" s="26">
        <f>IF(SUMIFS('BSE - SENSEX Index Options'!$M:$M,'BSE - SENSEX Index Options'!$C:$C,$A283,'BSE - SENSEX Index Options'!$B:$B,C$147,'BSE - SENSEX Index Options'!$I:$I,"Weekly*")+SUMIFS('BSE - SENSEX Index Options'!$M:$M,'BSE - SENSEX Index Options'!$C:$C,$A283,'BSE - SENSEX Index Options'!$B:$B,C$147,'BSE - SENSEX Index Options'!$I:$I,"MDAW*")+SUMIFS('BSE - Other Index Options'!$M:$M,'BSE - Other Index Options'!$C:$C,$A283,'BSE - Other Index Options'!$B:$B,C$147,'BSE - Other Index Options'!$I:$I,"Weekly*")+SUMIFS('BSE - Other Index Options'!$M:$M,'BSE - Other Index Options'!$C:$C,$A283,'BSE - Other Index Options'!$B:$B,C$147,'BSE - Other Index Options'!$I:$I,"MDAW*")=0,"",SUMIFS('BSE - SENSEX Index Options'!$M:$M,'BSE - SENSEX Index Options'!$C:$C,$A283,'BSE - SENSEX Index Options'!$B:$B,C$147,'BSE - SENSEX Index Options'!$I:$I,"Weekly*")+SUMIFS('BSE - SENSEX Index Options'!$M:$M,'BSE - SENSEX Index Options'!$C:$C,$A283,'BSE - SENSEX Index Options'!$B:$B,C$147,'BSE - SENSEX Index Options'!$I:$I,"MDAW*")+SUMIFS('BSE - Other Index Options'!$M:$M,'BSE - Other Index Options'!$C:$C,$A283,'BSE - Other Index Options'!$B:$B,C$147,'BSE - Other Index Options'!$I:$I,"Weekly*")+SUMIFS('BSE - Other Index Options'!$M:$M,'BSE - Other Index Options'!$C:$C,$A283,'BSE - Other Index Options'!$B:$B,C$147,'BSE - Other Index Options'!$I:$I,"MDAW*"))</f>
        <v/>
      </c>
      <c r="D283" s="26">
        <f>IF(SUMIFS('BSE - SENSEX Index Options'!$M:$M,'BSE - SENSEX Index Options'!$C:$C,$A283,'BSE - SENSEX Index Options'!$B:$B,D$147,'BSE - SENSEX Index Options'!$I:$I,"Weekly*")+SUMIFS('BSE - SENSEX Index Options'!$M:$M,'BSE - SENSEX Index Options'!$C:$C,$A283,'BSE - SENSEX Index Options'!$B:$B,D$147,'BSE - SENSEX Index Options'!$I:$I,"MDAW*")+SUMIFS('BSE - Other Index Options'!$M:$M,'BSE - Other Index Options'!$C:$C,$A283,'BSE - Other Index Options'!$B:$B,D$147,'BSE - Other Index Options'!$I:$I,"Weekly*")+SUMIFS('BSE - Other Index Options'!$M:$M,'BSE - Other Index Options'!$C:$C,$A283,'BSE - Other Index Options'!$B:$B,D$147,'BSE - Other Index Options'!$I:$I,"MDAW*")=0,"",SUMIFS('BSE - SENSEX Index Options'!$M:$M,'BSE - SENSEX Index Options'!$C:$C,$A283,'BSE - SENSEX Index Options'!$B:$B,D$147,'BSE - SENSEX Index Options'!$I:$I,"Weekly*")+SUMIFS('BSE - SENSEX Index Options'!$M:$M,'BSE - SENSEX Index Options'!$C:$C,$A283,'BSE - SENSEX Index Options'!$B:$B,D$147,'BSE - SENSEX Index Options'!$I:$I,"MDAW*")+SUMIFS('BSE - Other Index Options'!$M:$M,'BSE - Other Index Options'!$C:$C,$A283,'BSE - Other Index Options'!$B:$B,D$147,'BSE - Other Index Options'!$I:$I,"Weekly*")+SUMIFS('BSE - Other Index Options'!$M:$M,'BSE - Other Index Options'!$C:$C,$A283,'BSE - Other Index Options'!$B:$B,D$147,'BSE - Other Index Options'!$I:$I,"MDAW*"))</f>
        <v/>
      </c>
      <c r="E283" s="26">
        <f>IF(SUMIFS('BSE - SENSEX Index Options'!$M:$M,'BSE - SENSEX Index Options'!$C:$C,$A283,'BSE - SENSEX Index Options'!$B:$B,E$147,'BSE - SENSEX Index Options'!$I:$I,"Weekly*")+SUMIFS('BSE - SENSEX Index Options'!$M:$M,'BSE - SENSEX Index Options'!$C:$C,$A283,'BSE - SENSEX Index Options'!$B:$B,E$147,'BSE - SENSEX Index Options'!$I:$I,"MDAW*")+SUMIFS('BSE - Other Index Options'!$M:$M,'BSE - Other Index Options'!$C:$C,$A283,'BSE - Other Index Options'!$B:$B,E$147,'BSE - Other Index Options'!$I:$I,"Weekly*")+SUMIFS('BSE - Other Index Options'!$M:$M,'BSE - Other Index Options'!$C:$C,$A283,'BSE - Other Index Options'!$B:$B,E$147,'BSE - Other Index Options'!$I:$I,"MDAW*")=0,"",SUMIFS('BSE - SENSEX Index Options'!$M:$M,'BSE - SENSEX Index Options'!$C:$C,$A283,'BSE - SENSEX Index Options'!$B:$B,E$147,'BSE - SENSEX Index Options'!$I:$I,"Weekly*")+SUMIFS('BSE - SENSEX Index Options'!$M:$M,'BSE - SENSEX Index Options'!$C:$C,$A283,'BSE - SENSEX Index Options'!$B:$B,E$147,'BSE - SENSEX Index Options'!$I:$I,"MDAW*")+SUMIFS('BSE - Other Index Options'!$M:$M,'BSE - Other Index Options'!$C:$C,$A283,'BSE - Other Index Options'!$B:$B,E$147,'BSE - Other Index Options'!$I:$I,"Weekly*")+SUMIFS('BSE - Other Index Options'!$M:$M,'BSE - Other Index Options'!$C:$C,$A283,'BSE - Other Index Options'!$B:$B,E$147,'BSE - Other Index Options'!$I:$I,"MDAW*"))</f>
        <v/>
      </c>
      <c r="F283" s="26">
        <f>IF(SUMIFS('BSE - SENSEX Index Options'!$M:$M,'BSE - SENSEX Index Options'!$C:$C,$A283,'BSE - SENSEX Index Options'!$B:$B,F$147,'BSE - SENSEX Index Options'!$I:$I,"Weekly*")+SUMIFS('BSE - SENSEX Index Options'!$M:$M,'BSE - SENSEX Index Options'!$C:$C,$A283,'BSE - SENSEX Index Options'!$B:$B,F$147,'BSE - SENSEX Index Options'!$I:$I,"MDAW*")+SUMIFS('BSE - Other Index Options'!$M:$M,'BSE - Other Index Options'!$C:$C,$A283,'BSE - Other Index Options'!$B:$B,F$147,'BSE - Other Index Options'!$I:$I,"Weekly*")+SUMIFS('BSE - Other Index Options'!$M:$M,'BSE - Other Index Options'!$C:$C,$A283,'BSE - Other Index Options'!$B:$B,F$147,'BSE - Other Index Options'!$I:$I,"MDAW*")=0,"",SUMIFS('BSE - SENSEX Index Options'!$M:$M,'BSE - SENSEX Index Options'!$C:$C,$A283,'BSE - SENSEX Index Options'!$B:$B,F$147,'BSE - SENSEX Index Options'!$I:$I,"Weekly*")+SUMIFS('BSE - SENSEX Index Options'!$M:$M,'BSE - SENSEX Index Options'!$C:$C,$A283,'BSE - SENSEX Index Options'!$B:$B,F$147,'BSE - SENSEX Index Options'!$I:$I,"MDAW*")+SUMIFS('BSE - Other Index Options'!$M:$M,'BSE - Other Index Options'!$C:$C,$A283,'BSE - Other Index Options'!$B:$B,F$147,'BSE - Other Index Options'!$I:$I,"Weekly*")+SUMIFS('BSE - Other Index Options'!$M:$M,'BSE - Other Index Options'!$C:$C,$A283,'BSE - Other Index Options'!$B:$B,F$147,'BSE - Other Index Options'!$I:$I,"MDAW*"))</f>
        <v/>
      </c>
      <c r="G283" s="26">
        <f>IF(SUMIFS('BSE - SENSEX Index Options'!$M:$M,'BSE - SENSEX Index Options'!$C:$C,$A283,'BSE - SENSEX Index Options'!$B:$B,G$147,'BSE - SENSEX Index Options'!$I:$I,"Weekly*")+SUMIFS('BSE - SENSEX Index Options'!$M:$M,'BSE - SENSEX Index Options'!$C:$C,$A283,'BSE - SENSEX Index Options'!$B:$B,G$147,'BSE - SENSEX Index Options'!$I:$I,"MDAW*")+SUMIFS('BSE - Other Index Options'!$M:$M,'BSE - Other Index Options'!$C:$C,$A283,'BSE - Other Index Options'!$B:$B,G$147,'BSE - Other Index Options'!$I:$I,"Weekly*")+SUMIFS('BSE - Other Index Options'!$M:$M,'BSE - Other Index Options'!$C:$C,$A283,'BSE - Other Index Options'!$B:$B,G$147,'BSE - Other Index Options'!$I:$I,"MDAW*")=0,"",SUMIFS('BSE - SENSEX Index Options'!$M:$M,'BSE - SENSEX Index Options'!$C:$C,$A283,'BSE - SENSEX Index Options'!$B:$B,G$147,'BSE - SENSEX Index Options'!$I:$I,"Weekly*")+SUMIFS('BSE - SENSEX Index Options'!$M:$M,'BSE - SENSEX Index Options'!$C:$C,$A283,'BSE - SENSEX Index Options'!$B:$B,G$147,'BSE - SENSEX Index Options'!$I:$I,"MDAW*")+SUMIFS('BSE - Other Index Options'!$M:$M,'BSE - Other Index Options'!$C:$C,$A283,'BSE - Other Index Options'!$B:$B,G$147,'BSE - Other Index Options'!$I:$I,"Weekly*")+SUMIFS('BSE - Other Index Options'!$M:$M,'BSE - Other Index Options'!$C:$C,$A283,'BSE - Other Index Options'!$B:$B,G$147,'BSE - Other Index Options'!$I:$I,"MDAW*"))</f>
        <v/>
      </c>
      <c r="H283" s="26">
        <f>IF(SUM(B283:G283)=0,"",SUM(B283:G283))</f>
        <v/>
      </c>
    </row>
    <row r="284" hidden="1" outlineLevel="1">
      <c r="A284" t="inlineStr">
        <is>
          <t>Week4-Dec-2027</t>
        </is>
      </c>
      <c r="B284" s="26">
        <f>IF(SUMIFS('BSE - SENSEX Index Options'!$M:$M,'BSE - SENSEX Index Options'!$C:$C,$A284,'BSE - SENSEX Index Options'!$B:$B,B$147,'BSE - SENSEX Index Options'!$I:$I,"Weekly*")+SUMIFS('BSE - SENSEX Index Options'!$M:$M,'BSE - SENSEX Index Options'!$C:$C,$A284,'BSE - SENSEX Index Options'!$B:$B,B$147,'BSE - SENSEX Index Options'!$I:$I,"MDAW*")+SUMIFS('BSE - Other Index Options'!$M:$M,'BSE - Other Index Options'!$C:$C,$A284,'BSE - Other Index Options'!$B:$B,B$147,'BSE - Other Index Options'!$I:$I,"Weekly*")+SUMIFS('BSE - Other Index Options'!$M:$M,'BSE - Other Index Options'!$C:$C,$A284,'BSE - Other Index Options'!$B:$B,B$147,'BSE - Other Index Options'!$I:$I,"MDAW*")=0,"",SUMIFS('BSE - SENSEX Index Options'!$M:$M,'BSE - SENSEX Index Options'!$C:$C,$A284,'BSE - SENSEX Index Options'!$B:$B,B$147,'BSE - SENSEX Index Options'!$I:$I,"Weekly*")+SUMIFS('BSE - SENSEX Index Options'!$M:$M,'BSE - SENSEX Index Options'!$C:$C,$A284,'BSE - SENSEX Index Options'!$B:$B,B$147,'BSE - SENSEX Index Options'!$I:$I,"MDAW*")+SUMIFS('BSE - Other Index Options'!$M:$M,'BSE - Other Index Options'!$C:$C,$A284,'BSE - Other Index Options'!$B:$B,B$147,'BSE - Other Index Options'!$I:$I,"Weekly*")+SUMIFS('BSE - Other Index Options'!$M:$M,'BSE - Other Index Options'!$C:$C,$A284,'BSE - Other Index Options'!$B:$B,B$147,'BSE - Other Index Options'!$I:$I,"MDAW*"))</f>
        <v/>
      </c>
      <c r="C284" s="26">
        <f>IF(SUMIFS('BSE - SENSEX Index Options'!$M:$M,'BSE - SENSEX Index Options'!$C:$C,$A284,'BSE - SENSEX Index Options'!$B:$B,C$147,'BSE - SENSEX Index Options'!$I:$I,"Weekly*")+SUMIFS('BSE - SENSEX Index Options'!$M:$M,'BSE - SENSEX Index Options'!$C:$C,$A284,'BSE - SENSEX Index Options'!$B:$B,C$147,'BSE - SENSEX Index Options'!$I:$I,"MDAW*")+SUMIFS('BSE - Other Index Options'!$M:$M,'BSE - Other Index Options'!$C:$C,$A284,'BSE - Other Index Options'!$B:$B,C$147,'BSE - Other Index Options'!$I:$I,"Weekly*")+SUMIFS('BSE - Other Index Options'!$M:$M,'BSE - Other Index Options'!$C:$C,$A284,'BSE - Other Index Options'!$B:$B,C$147,'BSE - Other Index Options'!$I:$I,"MDAW*")=0,"",SUMIFS('BSE - SENSEX Index Options'!$M:$M,'BSE - SENSEX Index Options'!$C:$C,$A284,'BSE - SENSEX Index Options'!$B:$B,C$147,'BSE - SENSEX Index Options'!$I:$I,"Weekly*")+SUMIFS('BSE - SENSEX Index Options'!$M:$M,'BSE - SENSEX Index Options'!$C:$C,$A284,'BSE - SENSEX Index Options'!$B:$B,C$147,'BSE - SENSEX Index Options'!$I:$I,"MDAW*")+SUMIFS('BSE - Other Index Options'!$M:$M,'BSE - Other Index Options'!$C:$C,$A284,'BSE - Other Index Options'!$B:$B,C$147,'BSE - Other Index Options'!$I:$I,"Weekly*")+SUMIFS('BSE - Other Index Options'!$M:$M,'BSE - Other Index Options'!$C:$C,$A284,'BSE - Other Index Options'!$B:$B,C$147,'BSE - Other Index Options'!$I:$I,"MDAW*"))</f>
        <v/>
      </c>
      <c r="D284" s="26">
        <f>IF(SUMIFS('BSE - SENSEX Index Options'!$M:$M,'BSE - SENSEX Index Options'!$C:$C,$A284,'BSE - SENSEX Index Options'!$B:$B,D$147,'BSE - SENSEX Index Options'!$I:$I,"Weekly*")+SUMIFS('BSE - SENSEX Index Options'!$M:$M,'BSE - SENSEX Index Options'!$C:$C,$A284,'BSE - SENSEX Index Options'!$B:$B,D$147,'BSE - SENSEX Index Options'!$I:$I,"MDAW*")+SUMIFS('BSE - Other Index Options'!$M:$M,'BSE - Other Index Options'!$C:$C,$A284,'BSE - Other Index Options'!$B:$B,D$147,'BSE - Other Index Options'!$I:$I,"Weekly*")+SUMIFS('BSE - Other Index Options'!$M:$M,'BSE - Other Index Options'!$C:$C,$A284,'BSE - Other Index Options'!$B:$B,D$147,'BSE - Other Index Options'!$I:$I,"MDAW*")=0,"",SUMIFS('BSE - SENSEX Index Options'!$M:$M,'BSE - SENSEX Index Options'!$C:$C,$A284,'BSE - SENSEX Index Options'!$B:$B,D$147,'BSE - SENSEX Index Options'!$I:$I,"Weekly*")+SUMIFS('BSE - SENSEX Index Options'!$M:$M,'BSE - SENSEX Index Options'!$C:$C,$A284,'BSE - SENSEX Index Options'!$B:$B,D$147,'BSE - SENSEX Index Options'!$I:$I,"MDAW*")+SUMIFS('BSE - Other Index Options'!$M:$M,'BSE - Other Index Options'!$C:$C,$A284,'BSE - Other Index Options'!$B:$B,D$147,'BSE - Other Index Options'!$I:$I,"Weekly*")+SUMIFS('BSE - Other Index Options'!$M:$M,'BSE - Other Index Options'!$C:$C,$A284,'BSE - Other Index Options'!$B:$B,D$147,'BSE - Other Index Options'!$I:$I,"MDAW*"))</f>
        <v/>
      </c>
      <c r="E284" s="26">
        <f>IF(SUMIFS('BSE - SENSEX Index Options'!$M:$M,'BSE - SENSEX Index Options'!$C:$C,$A284,'BSE - SENSEX Index Options'!$B:$B,E$147,'BSE - SENSEX Index Options'!$I:$I,"Weekly*")+SUMIFS('BSE - SENSEX Index Options'!$M:$M,'BSE - SENSEX Index Options'!$C:$C,$A284,'BSE - SENSEX Index Options'!$B:$B,E$147,'BSE - SENSEX Index Options'!$I:$I,"MDAW*")+SUMIFS('BSE - Other Index Options'!$M:$M,'BSE - Other Index Options'!$C:$C,$A284,'BSE - Other Index Options'!$B:$B,E$147,'BSE - Other Index Options'!$I:$I,"Weekly*")+SUMIFS('BSE - Other Index Options'!$M:$M,'BSE - Other Index Options'!$C:$C,$A284,'BSE - Other Index Options'!$B:$B,E$147,'BSE - Other Index Options'!$I:$I,"MDAW*")=0,"",SUMIFS('BSE - SENSEX Index Options'!$M:$M,'BSE - SENSEX Index Options'!$C:$C,$A284,'BSE - SENSEX Index Options'!$B:$B,E$147,'BSE - SENSEX Index Options'!$I:$I,"Weekly*")+SUMIFS('BSE - SENSEX Index Options'!$M:$M,'BSE - SENSEX Index Options'!$C:$C,$A284,'BSE - SENSEX Index Options'!$B:$B,E$147,'BSE - SENSEX Index Options'!$I:$I,"MDAW*")+SUMIFS('BSE - Other Index Options'!$M:$M,'BSE - Other Index Options'!$C:$C,$A284,'BSE - Other Index Options'!$B:$B,E$147,'BSE - Other Index Options'!$I:$I,"Weekly*")+SUMIFS('BSE - Other Index Options'!$M:$M,'BSE - Other Index Options'!$C:$C,$A284,'BSE - Other Index Options'!$B:$B,E$147,'BSE - Other Index Options'!$I:$I,"MDAW*"))</f>
        <v/>
      </c>
      <c r="F284" s="26">
        <f>IF(SUMIFS('BSE - SENSEX Index Options'!$M:$M,'BSE - SENSEX Index Options'!$C:$C,$A284,'BSE - SENSEX Index Options'!$B:$B,F$147,'BSE - SENSEX Index Options'!$I:$I,"Weekly*")+SUMIFS('BSE - SENSEX Index Options'!$M:$M,'BSE - SENSEX Index Options'!$C:$C,$A284,'BSE - SENSEX Index Options'!$B:$B,F$147,'BSE - SENSEX Index Options'!$I:$I,"MDAW*")+SUMIFS('BSE - Other Index Options'!$M:$M,'BSE - Other Index Options'!$C:$C,$A284,'BSE - Other Index Options'!$B:$B,F$147,'BSE - Other Index Options'!$I:$I,"Weekly*")+SUMIFS('BSE - Other Index Options'!$M:$M,'BSE - Other Index Options'!$C:$C,$A284,'BSE - Other Index Options'!$B:$B,F$147,'BSE - Other Index Options'!$I:$I,"MDAW*")=0,"",SUMIFS('BSE - SENSEX Index Options'!$M:$M,'BSE - SENSEX Index Options'!$C:$C,$A284,'BSE - SENSEX Index Options'!$B:$B,F$147,'BSE - SENSEX Index Options'!$I:$I,"Weekly*")+SUMIFS('BSE - SENSEX Index Options'!$M:$M,'BSE - SENSEX Index Options'!$C:$C,$A284,'BSE - SENSEX Index Options'!$B:$B,F$147,'BSE - SENSEX Index Options'!$I:$I,"MDAW*")+SUMIFS('BSE - Other Index Options'!$M:$M,'BSE - Other Index Options'!$C:$C,$A284,'BSE - Other Index Options'!$B:$B,F$147,'BSE - Other Index Options'!$I:$I,"Weekly*")+SUMIFS('BSE - Other Index Options'!$M:$M,'BSE - Other Index Options'!$C:$C,$A284,'BSE - Other Index Options'!$B:$B,F$147,'BSE - Other Index Options'!$I:$I,"MDAW*"))</f>
        <v/>
      </c>
      <c r="G284" s="26">
        <f>IF(SUMIFS('BSE - SENSEX Index Options'!$M:$M,'BSE - SENSEX Index Options'!$C:$C,$A284,'BSE - SENSEX Index Options'!$B:$B,G$147,'BSE - SENSEX Index Options'!$I:$I,"Weekly*")+SUMIFS('BSE - SENSEX Index Options'!$M:$M,'BSE - SENSEX Index Options'!$C:$C,$A284,'BSE - SENSEX Index Options'!$B:$B,G$147,'BSE - SENSEX Index Options'!$I:$I,"MDAW*")+SUMIFS('BSE - Other Index Options'!$M:$M,'BSE - Other Index Options'!$C:$C,$A284,'BSE - Other Index Options'!$B:$B,G$147,'BSE - Other Index Options'!$I:$I,"Weekly*")+SUMIFS('BSE - Other Index Options'!$M:$M,'BSE - Other Index Options'!$C:$C,$A284,'BSE - Other Index Options'!$B:$B,G$147,'BSE - Other Index Options'!$I:$I,"MDAW*")=0,"",SUMIFS('BSE - SENSEX Index Options'!$M:$M,'BSE - SENSEX Index Options'!$C:$C,$A284,'BSE - SENSEX Index Options'!$B:$B,G$147,'BSE - SENSEX Index Options'!$I:$I,"Weekly*")+SUMIFS('BSE - SENSEX Index Options'!$M:$M,'BSE - SENSEX Index Options'!$C:$C,$A284,'BSE - SENSEX Index Options'!$B:$B,G$147,'BSE - SENSEX Index Options'!$I:$I,"MDAW*")+SUMIFS('BSE - Other Index Options'!$M:$M,'BSE - Other Index Options'!$C:$C,$A284,'BSE - Other Index Options'!$B:$B,G$147,'BSE - Other Index Options'!$I:$I,"Weekly*")+SUMIFS('BSE - Other Index Options'!$M:$M,'BSE - Other Index Options'!$C:$C,$A284,'BSE - Other Index Options'!$B:$B,G$147,'BSE - Other Index Options'!$I:$I,"MDAW*"))</f>
        <v/>
      </c>
      <c r="H284" s="26">
        <f>IF(SUM(B284:G284)=0,"",SUM(B284:G284))</f>
        <v/>
      </c>
    </row>
    <row r="285" hidden="1" outlineLevel="1">
      <c r="A285" t="inlineStr">
        <is>
          <t>Week5-Dec-2027</t>
        </is>
      </c>
      <c r="B285" s="26">
        <f>IF(SUMIFS('BSE - SENSEX Index Options'!$M:$M,'BSE - SENSEX Index Options'!$C:$C,$A285,'BSE - SENSEX Index Options'!$B:$B,B$147,'BSE - SENSEX Index Options'!$I:$I,"Weekly*")+SUMIFS('BSE - SENSEX Index Options'!$M:$M,'BSE - SENSEX Index Options'!$C:$C,$A285,'BSE - SENSEX Index Options'!$B:$B,B$147,'BSE - SENSEX Index Options'!$I:$I,"MDAW*")+SUMIFS('BSE - Other Index Options'!$M:$M,'BSE - Other Index Options'!$C:$C,$A285,'BSE - Other Index Options'!$B:$B,B$147,'BSE - Other Index Options'!$I:$I,"Weekly*")+SUMIFS('BSE - Other Index Options'!$M:$M,'BSE - Other Index Options'!$C:$C,$A285,'BSE - Other Index Options'!$B:$B,B$147,'BSE - Other Index Options'!$I:$I,"MDAW*")=0,"",SUMIFS('BSE - SENSEX Index Options'!$M:$M,'BSE - SENSEX Index Options'!$C:$C,$A285,'BSE - SENSEX Index Options'!$B:$B,B$147,'BSE - SENSEX Index Options'!$I:$I,"Weekly*")+SUMIFS('BSE - SENSEX Index Options'!$M:$M,'BSE - SENSEX Index Options'!$C:$C,$A285,'BSE - SENSEX Index Options'!$B:$B,B$147,'BSE - SENSEX Index Options'!$I:$I,"MDAW*")+SUMIFS('BSE - Other Index Options'!$M:$M,'BSE - Other Index Options'!$C:$C,$A285,'BSE - Other Index Options'!$B:$B,B$147,'BSE - Other Index Options'!$I:$I,"Weekly*")+SUMIFS('BSE - Other Index Options'!$M:$M,'BSE - Other Index Options'!$C:$C,$A285,'BSE - Other Index Options'!$B:$B,B$147,'BSE - Other Index Options'!$I:$I,"MDAW*"))</f>
        <v/>
      </c>
      <c r="C285" s="26">
        <f>IF(SUMIFS('BSE - SENSEX Index Options'!$M:$M,'BSE - SENSEX Index Options'!$C:$C,$A285,'BSE - SENSEX Index Options'!$B:$B,C$147,'BSE - SENSEX Index Options'!$I:$I,"Weekly*")+SUMIFS('BSE - SENSEX Index Options'!$M:$M,'BSE - SENSEX Index Options'!$C:$C,$A285,'BSE - SENSEX Index Options'!$B:$B,C$147,'BSE - SENSEX Index Options'!$I:$I,"MDAW*")+SUMIFS('BSE - Other Index Options'!$M:$M,'BSE - Other Index Options'!$C:$C,$A285,'BSE - Other Index Options'!$B:$B,C$147,'BSE - Other Index Options'!$I:$I,"Weekly*")+SUMIFS('BSE - Other Index Options'!$M:$M,'BSE - Other Index Options'!$C:$C,$A285,'BSE - Other Index Options'!$B:$B,C$147,'BSE - Other Index Options'!$I:$I,"MDAW*")=0,"",SUMIFS('BSE - SENSEX Index Options'!$M:$M,'BSE - SENSEX Index Options'!$C:$C,$A285,'BSE - SENSEX Index Options'!$B:$B,C$147,'BSE - SENSEX Index Options'!$I:$I,"Weekly*")+SUMIFS('BSE - SENSEX Index Options'!$M:$M,'BSE - SENSEX Index Options'!$C:$C,$A285,'BSE - SENSEX Index Options'!$B:$B,C$147,'BSE - SENSEX Index Options'!$I:$I,"MDAW*")+SUMIFS('BSE - Other Index Options'!$M:$M,'BSE - Other Index Options'!$C:$C,$A285,'BSE - Other Index Options'!$B:$B,C$147,'BSE - Other Index Options'!$I:$I,"Weekly*")+SUMIFS('BSE - Other Index Options'!$M:$M,'BSE - Other Index Options'!$C:$C,$A285,'BSE - Other Index Options'!$B:$B,C$147,'BSE - Other Index Options'!$I:$I,"MDAW*"))</f>
        <v/>
      </c>
      <c r="D285" s="26">
        <f>IF(SUMIFS('BSE - SENSEX Index Options'!$M:$M,'BSE - SENSEX Index Options'!$C:$C,$A285,'BSE - SENSEX Index Options'!$B:$B,D$147,'BSE - SENSEX Index Options'!$I:$I,"Weekly*")+SUMIFS('BSE - SENSEX Index Options'!$M:$M,'BSE - SENSEX Index Options'!$C:$C,$A285,'BSE - SENSEX Index Options'!$B:$B,D$147,'BSE - SENSEX Index Options'!$I:$I,"MDAW*")+SUMIFS('BSE - Other Index Options'!$M:$M,'BSE - Other Index Options'!$C:$C,$A285,'BSE - Other Index Options'!$B:$B,D$147,'BSE - Other Index Options'!$I:$I,"Weekly*")+SUMIFS('BSE - Other Index Options'!$M:$M,'BSE - Other Index Options'!$C:$C,$A285,'BSE - Other Index Options'!$B:$B,D$147,'BSE - Other Index Options'!$I:$I,"MDAW*")=0,"",SUMIFS('BSE - SENSEX Index Options'!$M:$M,'BSE - SENSEX Index Options'!$C:$C,$A285,'BSE - SENSEX Index Options'!$B:$B,D$147,'BSE - SENSEX Index Options'!$I:$I,"Weekly*")+SUMIFS('BSE - SENSEX Index Options'!$M:$M,'BSE - SENSEX Index Options'!$C:$C,$A285,'BSE - SENSEX Index Options'!$B:$B,D$147,'BSE - SENSEX Index Options'!$I:$I,"MDAW*")+SUMIFS('BSE - Other Index Options'!$M:$M,'BSE - Other Index Options'!$C:$C,$A285,'BSE - Other Index Options'!$B:$B,D$147,'BSE - Other Index Options'!$I:$I,"Weekly*")+SUMIFS('BSE - Other Index Options'!$M:$M,'BSE - Other Index Options'!$C:$C,$A285,'BSE - Other Index Options'!$B:$B,D$147,'BSE - Other Index Options'!$I:$I,"MDAW*"))</f>
        <v/>
      </c>
      <c r="E285" s="26">
        <f>IF(SUMIFS('BSE - SENSEX Index Options'!$M:$M,'BSE - SENSEX Index Options'!$C:$C,$A285,'BSE - SENSEX Index Options'!$B:$B,E$147,'BSE - SENSEX Index Options'!$I:$I,"Weekly*")+SUMIFS('BSE - SENSEX Index Options'!$M:$M,'BSE - SENSEX Index Options'!$C:$C,$A285,'BSE - SENSEX Index Options'!$B:$B,E$147,'BSE - SENSEX Index Options'!$I:$I,"MDAW*")+SUMIFS('BSE - Other Index Options'!$M:$M,'BSE - Other Index Options'!$C:$C,$A285,'BSE - Other Index Options'!$B:$B,E$147,'BSE - Other Index Options'!$I:$I,"Weekly*")+SUMIFS('BSE - Other Index Options'!$M:$M,'BSE - Other Index Options'!$C:$C,$A285,'BSE - Other Index Options'!$B:$B,E$147,'BSE - Other Index Options'!$I:$I,"MDAW*")=0,"",SUMIFS('BSE - SENSEX Index Options'!$M:$M,'BSE - SENSEX Index Options'!$C:$C,$A285,'BSE - SENSEX Index Options'!$B:$B,E$147,'BSE - SENSEX Index Options'!$I:$I,"Weekly*")+SUMIFS('BSE - SENSEX Index Options'!$M:$M,'BSE - SENSEX Index Options'!$C:$C,$A285,'BSE - SENSEX Index Options'!$B:$B,E$147,'BSE - SENSEX Index Options'!$I:$I,"MDAW*")+SUMIFS('BSE - Other Index Options'!$M:$M,'BSE - Other Index Options'!$C:$C,$A285,'BSE - Other Index Options'!$B:$B,E$147,'BSE - Other Index Options'!$I:$I,"Weekly*")+SUMIFS('BSE - Other Index Options'!$M:$M,'BSE - Other Index Options'!$C:$C,$A285,'BSE - Other Index Options'!$B:$B,E$147,'BSE - Other Index Options'!$I:$I,"MDAW*"))</f>
        <v/>
      </c>
      <c r="F285" s="26">
        <f>IF(SUMIFS('BSE - SENSEX Index Options'!$M:$M,'BSE - SENSEX Index Options'!$C:$C,$A285,'BSE - SENSEX Index Options'!$B:$B,F$147,'BSE - SENSEX Index Options'!$I:$I,"Weekly*")+SUMIFS('BSE - SENSEX Index Options'!$M:$M,'BSE - SENSEX Index Options'!$C:$C,$A285,'BSE - SENSEX Index Options'!$B:$B,F$147,'BSE - SENSEX Index Options'!$I:$I,"MDAW*")+SUMIFS('BSE - Other Index Options'!$M:$M,'BSE - Other Index Options'!$C:$C,$A285,'BSE - Other Index Options'!$B:$B,F$147,'BSE - Other Index Options'!$I:$I,"Weekly*")+SUMIFS('BSE - Other Index Options'!$M:$M,'BSE - Other Index Options'!$C:$C,$A285,'BSE - Other Index Options'!$B:$B,F$147,'BSE - Other Index Options'!$I:$I,"MDAW*")=0,"",SUMIFS('BSE - SENSEX Index Options'!$M:$M,'BSE - SENSEX Index Options'!$C:$C,$A285,'BSE - SENSEX Index Options'!$B:$B,F$147,'BSE - SENSEX Index Options'!$I:$I,"Weekly*")+SUMIFS('BSE - SENSEX Index Options'!$M:$M,'BSE - SENSEX Index Options'!$C:$C,$A285,'BSE - SENSEX Index Options'!$B:$B,F$147,'BSE - SENSEX Index Options'!$I:$I,"MDAW*")+SUMIFS('BSE - Other Index Options'!$M:$M,'BSE - Other Index Options'!$C:$C,$A285,'BSE - Other Index Options'!$B:$B,F$147,'BSE - Other Index Options'!$I:$I,"Weekly*")+SUMIFS('BSE - Other Index Options'!$M:$M,'BSE - Other Index Options'!$C:$C,$A285,'BSE - Other Index Options'!$B:$B,F$147,'BSE - Other Index Options'!$I:$I,"MDAW*"))</f>
        <v/>
      </c>
      <c r="G285" s="26">
        <f>IF(SUMIFS('BSE - SENSEX Index Options'!$M:$M,'BSE - SENSEX Index Options'!$C:$C,$A285,'BSE - SENSEX Index Options'!$B:$B,G$147,'BSE - SENSEX Index Options'!$I:$I,"Weekly*")+SUMIFS('BSE - SENSEX Index Options'!$M:$M,'BSE - SENSEX Index Options'!$C:$C,$A285,'BSE - SENSEX Index Options'!$B:$B,G$147,'BSE - SENSEX Index Options'!$I:$I,"MDAW*")+SUMIFS('BSE - Other Index Options'!$M:$M,'BSE - Other Index Options'!$C:$C,$A285,'BSE - Other Index Options'!$B:$B,G$147,'BSE - Other Index Options'!$I:$I,"Weekly*")+SUMIFS('BSE - Other Index Options'!$M:$M,'BSE - Other Index Options'!$C:$C,$A285,'BSE - Other Index Options'!$B:$B,G$147,'BSE - Other Index Options'!$I:$I,"MDAW*")=0,"",SUMIFS('BSE - SENSEX Index Options'!$M:$M,'BSE - SENSEX Index Options'!$C:$C,$A285,'BSE - SENSEX Index Options'!$B:$B,G$147,'BSE - SENSEX Index Options'!$I:$I,"Weekly*")+SUMIFS('BSE - SENSEX Index Options'!$M:$M,'BSE - SENSEX Index Options'!$C:$C,$A285,'BSE - SENSEX Index Options'!$B:$B,G$147,'BSE - SENSEX Index Options'!$I:$I,"MDAW*")+SUMIFS('BSE - Other Index Options'!$M:$M,'BSE - Other Index Options'!$C:$C,$A285,'BSE - Other Index Options'!$B:$B,G$147,'BSE - Other Index Options'!$I:$I,"Weekly*")+SUMIFS('BSE - Other Index Options'!$M:$M,'BSE - Other Index Options'!$C:$C,$A285,'BSE - Other Index Options'!$B:$B,G$147,'BSE - Other Index Options'!$I:$I,"MDAW*"))</f>
        <v/>
      </c>
      <c r="H285" s="26">
        <f>IF(SUM(B285:G285)=0,"",SUM(B285:G285))</f>
        <v/>
      </c>
    </row>
    <row r="286" collapsed="1">
      <c r="A286" s="32" t="inlineStr">
        <is>
          <t>Total</t>
        </is>
      </c>
      <c r="B286" s="33">
        <f>IF(SUM(B148:B285)=0,"",SUM(B148:B285))</f>
        <v/>
      </c>
      <c r="C286" s="33">
        <f>IF(SUM(C148:C285)=0,"",SUM(C148:C285))</f>
        <v/>
      </c>
      <c r="D286" s="33">
        <f>IF(SUM(D148:D285)=0,"",SUM(D148:D285))</f>
        <v/>
      </c>
      <c r="E286" s="33">
        <f>IF(SUM(E148:E285)=0,"",SUM(E148:E285))</f>
        <v/>
      </c>
      <c r="F286" s="33">
        <f>IF(SUM(F148:F285)=0,"",SUM(F148:F285))</f>
        <v/>
      </c>
      <c r="G286" s="33">
        <f>IF(SUM(G148:G285)=0,"",SUM(G148:G285))</f>
        <v/>
      </c>
      <c r="H286" s="33">
        <f>IF(SUM(H148:H285)=0,"",SUM(H148:H285))</f>
        <v/>
      </c>
    </row>
    <row r="289">
      <c r="A289" s="32" t="inlineStr">
        <is>
          <t>NSE Market Share</t>
        </is>
      </c>
    </row>
    <row r="290">
      <c r="A290" s="32" t="inlineStr">
        <is>
          <t>Trade Week-Month-Year</t>
        </is>
      </c>
      <c r="B290" s="32" t="inlineStr">
        <is>
          <t>Monday</t>
        </is>
      </c>
      <c r="C290" s="32" t="inlineStr">
        <is>
          <t>Tuesday</t>
        </is>
      </c>
      <c r="D290" s="32" t="inlineStr">
        <is>
          <t>Wednesday</t>
        </is>
      </c>
      <c r="E290" s="32" t="inlineStr">
        <is>
          <t>Thursday</t>
        </is>
      </c>
      <c r="F290" s="32" t="inlineStr">
        <is>
          <t>Friday</t>
        </is>
      </c>
      <c r="G290" s="32" t="inlineStr">
        <is>
          <t>Sunday</t>
        </is>
      </c>
      <c r="H290" s="32" t="inlineStr">
        <is>
          <t>Total</t>
        </is>
      </c>
    </row>
    <row r="291">
      <c r="A291" t="inlineStr">
        <is>
          <t>Week1-Sep-2025</t>
        </is>
      </c>
      <c r="B291" s="27">
        <f>IF(SUM(B5,B148)=0,"",SUM(B5)/SUM(B5,B148))</f>
        <v/>
      </c>
      <c r="C291" s="27">
        <f>IF(SUM(C5,C148)=0,"",SUM(C5)/SUM(C5,C148))</f>
        <v/>
      </c>
      <c r="D291" s="27">
        <f>IF(SUM(D5,D148)=0,"",SUM(D5)/SUM(D5,D148))</f>
        <v/>
      </c>
      <c r="E291" s="27">
        <f>IF(SUM(E5,E148)=0,"",SUM(E5)/SUM(E5,E148))</f>
        <v/>
      </c>
      <c r="F291" s="27">
        <f>IF(SUM(F5,F148)=0,"",SUM(F5)/SUM(F5,F148))</f>
        <v/>
      </c>
      <c r="G291" s="27">
        <f>IF(SUM(G5,G148)=0,"",SUM(G5)/SUM(G5,G148))</f>
        <v/>
      </c>
      <c r="H291" s="27">
        <f>IF(SUM(H5,H148)=0,"",SUM(H5)/SUM(H5,H148))</f>
        <v/>
      </c>
    </row>
    <row r="292">
      <c r="A292" t="inlineStr">
        <is>
          <t>Week2-Sep-2025</t>
        </is>
      </c>
      <c r="B292" s="27">
        <f>IF(SUM(B6,B149)=0,"",SUM(B6)/SUM(B6,B149))</f>
        <v/>
      </c>
      <c r="C292" s="27">
        <f>IF(SUM(C6,C149)=0,"",SUM(C6)/SUM(C6,C149))</f>
        <v/>
      </c>
      <c r="D292" s="27">
        <f>IF(SUM(D6,D149)=0,"",SUM(D6)/SUM(D6,D149))</f>
        <v/>
      </c>
      <c r="E292" s="27">
        <f>IF(SUM(E6,E149)=0,"",SUM(E6)/SUM(E6,E149))</f>
        <v/>
      </c>
      <c r="F292" s="27">
        <f>IF(SUM(F6,F149)=0,"",SUM(F6)/SUM(F6,F149))</f>
        <v/>
      </c>
      <c r="G292" s="27">
        <f>IF(SUM(G6,G149)=0,"",SUM(G6)/SUM(G6,G149))</f>
        <v/>
      </c>
      <c r="H292" s="27">
        <f>IF(SUM(H6,H149)=0,"",SUM(H6)/SUM(H6,H149))</f>
        <v/>
      </c>
    </row>
    <row r="293">
      <c r="A293" t="inlineStr">
        <is>
          <t>Week3-Sep-2025</t>
        </is>
      </c>
      <c r="B293" s="27">
        <f>IF(SUM(B7,B150)=0,"",SUM(B7)/SUM(B7,B150))</f>
        <v/>
      </c>
      <c r="C293" s="27">
        <f>IF(SUM(C7,C150)=0,"",SUM(C7)/SUM(C7,C150))</f>
        <v/>
      </c>
      <c r="D293" s="27">
        <f>IF(SUM(D7,D150)=0,"",SUM(D7)/SUM(D7,D150))</f>
        <v/>
      </c>
      <c r="E293" s="27">
        <f>IF(SUM(E7,E150)=0,"",SUM(E7)/SUM(E7,E150))</f>
        <v/>
      </c>
      <c r="F293" s="27">
        <f>IF(SUM(F7,F150)=0,"",SUM(F7)/SUM(F7,F150))</f>
        <v/>
      </c>
      <c r="G293" s="27">
        <f>IF(SUM(G7,G150)=0,"",SUM(G7)/SUM(G7,G150))</f>
        <v/>
      </c>
      <c r="H293" s="27">
        <f>IF(SUM(H7,H150)=0,"",SUM(H7)/SUM(H7,H150))</f>
        <v/>
      </c>
    </row>
    <row r="294">
      <c r="A294" t="inlineStr">
        <is>
          <t>Week4-Sep-2025</t>
        </is>
      </c>
      <c r="B294" s="27">
        <f>IF(SUM(B8,B151)=0,"",SUM(B8)/SUM(B8,B151))</f>
        <v/>
      </c>
      <c r="C294" s="27">
        <f>IF(SUM(C8,C151)=0,"",SUM(C8)/SUM(C8,C151))</f>
        <v/>
      </c>
      <c r="D294" s="27">
        <f>IF(SUM(D8,D151)=0,"",SUM(D8)/SUM(D8,D151))</f>
        <v/>
      </c>
      <c r="E294" s="27">
        <f>IF(SUM(E8,E151)=0,"",SUM(E8)/SUM(E8,E151))</f>
        <v/>
      </c>
      <c r="F294" s="27">
        <f>IF(SUM(F8,F151)=0,"",SUM(F8)/SUM(F8,F151))</f>
        <v/>
      </c>
      <c r="G294" s="27">
        <f>IF(SUM(G8,G151)=0,"",SUM(G8)/SUM(G8,G151))</f>
        <v/>
      </c>
      <c r="H294" s="27">
        <f>IF(SUM(H8,H151)=0,"",SUM(H8)/SUM(H8,H151))</f>
        <v/>
      </c>
    </row>
    <row r="295">
      <c r="A295" t="inlineStr">
        <is>
          <t>Week5-Sep-2025</t>
        </is>
      </c>
      <c r="B295" s="27">
        <f>IF(SUM(B9,B152)=0,"",SUM(B9)/SUM(B9,B152))</f>
        <v/>
      </c>
      <c r="C295" s="27">
        <f>IF(SUM(C9,C152)=0,"",SUM(C9)/SUM(C9,C152))</f>
        <v/>
      </c>
      <c r="D295" s="27">
        <f>IF(SUM(D9,D152)=0,"",SUM(D9)/SUM(D9,D152))</f>
        <v/>
      </c>
      <c r="E295" s="27">
        <f>IF(SUM(E9,E152)=0,"",SUM(E9)/SUM(E9,E152))</f>
        <v/>
      </c>
      <c r="F295" s="27">
        <f>IF(SUM(F9,F152)=0,"",SUM(F9)/SUM(F9,F152))</f>
        <v/>
      </c>
      <c r="G295" s="27">
        <f>IF(SUM(G9,G152)=0,"",SUM(G9)/SUM(G9,G152))</f>
        <v/>
      </c>
      <c r="H295" s="27">
        <f>IF(SUM(H9,H152)=0,"",SUM(H9)/SUM(H9,H152))</f>
        <v/>
      </c>
    </row>
    <row r="296">
      <c r="A296" t="inlineStr">
        <is>
          <t>Week1-Oct-2025</t>
        </is>
      </c>
      <c r="B296" s="27">
        <f>IF(SUM(B10,B153)=0,"",SUM(B10)/SUM(B10,B153))</f>
        <v/>
      </c>
      <c r="C296" s="27">
        <f>IF(SUM(C10,C153)=0,"",SUM(C10)/SUM(C10,C153))</f>
        <v/>
      </c>
      <c r="D296" s="27">
        <f>IF(SUM(D10,D153)=0,"",SUM(D10)/SUM(D10,D153))</f>
        <v/>
      </c>
      <c r="E296" s="27">
        <f>IF(SUM(E10,E153)=0,"",SUM(E10)/SUM(E10,E153))</f>
        <v/>
      </c>
      <c r="F296" s="27">
        <f>IF(SUM(F10,F153)=0,"",SUM(F10)/SUM(F10,F153))</f>
        <v/>
      </c>
      <c r="G296" s="27">
        <f>IF(SUM(G10,G153)=0,"",SUM(G10)/SUM(G10,G153))</f>
        <v/>
      </c>
      <c r="H296" s="27">
        <f>IF(SUM(H10,H153)=0,"",SUM(H10)/SUM(H10,H153))</f>
        <v/>
      </c>
    </row>
    <row r="297">
      <c r="A297" t="inlineStr">
        <is>
          <t>Week2-Oct-2025</t>
        </is>
      </c>
      <c r="B297" s="27">
        <f>IF(SUM(B11,B154)=0,"",SUM(B11)/SUM(B11,B154))</f>
        <v/>
      </c>
      <c r="C297" s="27">
        <f>IF(SUM(C11,C154)=0,"",SUM(C11)/SUM(C11,C154))</f>
        <v/>
      </c>
      <c r="D297" s="27">
        <f>IF(SUM(D11,D154)=0,"",SUM(D11)/SUM(D11,D154))</f>
        <v/>
      </c>
      <c r="E297" s="27">
        <f>IF(SUM(E11,E154)=0,"",SUM(E11)/SUM(E11,E154))</f>
        <v/>
      </c>
      <c r="F297" s="27">
        <f>IF(SUM(F11,F154)=0,"",SUM(F11)/SUM(F11,F154))</f>
        <v/>
      </c>
      <c r="G297" s="27">
        <f>IF(SUM(G11,G154)=0,"",SUM(G11)/SUM(G11,G154))</f>
        <v/>
      </c>
      <c r="H297" s="27">
        <f>IF(SUM(H11,H154)=0,"",SUM(H11)/SUM(H11,H154))</f>
        <v/>
      </c>
    </row>
    <row r="298">
      <c r="A298" t="inlineStr">
        <is>
          <t>Week3-Oct-2025</t>
        </is>
      </c>
      <c r="B298" s="27">
        <f>IF(SUM(B12,B155)=0,"",SUM(B12)/SUM(B12,B155))</f>
        <v/>
      </c>
      <c r="C298" s="27">
        <f>IF(SUM(C12,C155)=0,"",SUM(C12)/SUM(C12,C155))</f>
        <v/>
      </c>
      <c r="D298" s="27">
        <f>IF(SUM(D12,D155)=0,"",SUM(D12)/SUM(D12,D155))</f>
        <v/>
      </c>
      <c r="E298" s="27">
        <f>IF(SUM(E12,E155)=0,"",SUM(E12)/SUM(E12,E155))</f>
        <v/>
      </c>
      <c r="F298" s="27">
        <f>IF(SUM(F12,F155)=0,"",SUM(F12)/SUM(F12,F155))</f>
        <v/>
      </c>
      <c r="G298" s="27">
        <f>IF(SUM(G12,G155)=0,"",SUM(G12)/SUM(G12,G155))</f>
        <v/>
      </c>
      <c r="H298" s="27">
        <f>IF(SUM(H12,H155)=0,"",SUM(H12)/SUM(H12,H155))</f>
        <v/>
      </c>
    </row>
    <row r="299">
      <c r="A299" t="inlineStr">
        <is>
          <t>Week4-Oct-2025</t>
        </is>
      </c>
      <c r="B299" s="27">
        <f>IF(SUM(B13,B156)=0,"",SUM(B13)/SUM(B13,B156))</f>
        <v/>
      </c>
      <c r="C299" s="27">
        <f>IF(SUM(C13,C156)=0,"",SUM(C13)/SUM(C13,C156))</f>
        <v/>
      </c>
      <c r="D299" s="27">
        <f>IF(SUM(D13,D156)=0,"",SUM(D13)/SUM(D13,D156))</f>
        <v/>
      </c>
      <c r="E299" s="27">
        <f>IF(SUM(E13,E156)=0,"",SUM(E13)/SUM(E13,E156))</f>
        <v/>
      </c>
      <c r="F299" s="27">
        <f>IF(SUM(F13,F156)=0,"",SUM(F13)/SUM(F13,F156))</f>
        <v/>
      </c>
      <c r="G299" s="27">
        <f>IF(SUM(G13,G156)=0,"",SUM(G13)/SUM(G13,G156))</f>
        <v/>
      </c>
      <c r="H299" s="27">
        <f>IF(SUM(H13,H156)=0,"",SUM(H13)/SUM(H13,H156))</f>
        <v/>
      </c>
    </row>
    <row r="300">
      <c r="A300" t="inlineStr">
        <is>
          <t>Week5-Oct-2025</t>
        </is>
      </c>
      <c r="B300" s="27">
        <f>IF(SUM(B14,B157)=0,"",SUM(B14)/SUM(B14,B157))</f>
        <v/>
      </c>
      <c r="C300" s="27">
        <f>IF(SUM(C14,C157)=0,"",SUM(C14)/SUM(C14,C157))</f>
        <v/>
      </c>
      <c r="D300" s="27">
        <f>IF(SUM(D14,D157)=0,"",SUM(D14)/SUM(D14,D157))</f>
        <v/>
      </c>
      <c r="E300" s="27">
        <f>IF(SUM(E14,E157)=0,"",SUM(E14)/SUM(E14,E157))</f>
        <v/>
      </c>
      <c r="F300" s="27">
        <f>IF(SUM(F14,F157)=0,"",SUM(F14)/SUM(F14,F157))</f>
        <v/>
      </c>
      <c r="G300" s="27">
        <f>IF(SUM(G14,G157)=0,"",SUM(G14)/SUM(G14,G157))</f>
        <v/>
      </c>
      <c r="H300" s="27">
        <f>IF(SUM(H14,H157)=0,"",SUM(H14)/SUM(H14,H157))</f>
        <v/>
      </c>
    </row>
    <row r="301">
      <c r="A301" t="inlineStr">
        <is>
          <t>Week1-Nov-2025</t>
        </is>
      </c>
      <c r="B301" s="27">
        <f>IF(SUM(B15,B158)=0,"",SUM(B15)/SUM(B15,B158))</f>
        <v/>
      </c>
      <c r="C301" s="27">
        <f>IF(SUM(C15,C158)=0,"",SUM(C15)/SUM(C15,C158))</f>
        <v/>
      </c>
      <c r="D301" s="27">
        <f>IF(SUM(D15,D158)=0,"",SUM(D15)/SUM(D15,D158))</f>
        <v/>
      </c>
      <c r="E301" s="27">
        <f>IF(SUM(E15,E158)=0,"",SUM(E15)/SUM(E15,E158))</f>
        <v/>
      </c>
      <c r="F301" s="27">
        <f>IF(SUM(F15,F158)=0,"",SUM(F15)/SUM(F15,F158))</f>
        <v/>
      </c>
      <c r="G301" s="27">
        <f>IF(SUM(G15,G158)=0,"",SUM(G15)/SUM(G15,G158))</f>
        <v/>
      </c>
      <c r="H301" s="27">
        <f>IF(SUM(H15,H158)=0,"",SUM(H15)/SUM(H15,H158))</f>
        <v/>
      </c>
    </row>
    <row r="302">
      <c r="A302" t="inlineStr">
        <is>
          <t>Week2-Nov-2025</t>
        </is>
      </c>
      <c r="B302" s="27">
        <f>IF(SUM(B16,B159)=0,"",SUM(B16)/SUM(B16,B159))</f>
        <v/>
      </c>
      <c r="C302" s="27">
        <f>IF(SUM(C16,C159)=0,"",SUM(C16)/SUM(C16,C159))</f>
        <v/>
      </c>
      <c r="D302" s="27">
        <f>IF(SUM(D16,D159)=0,"",SUM(D16)/SUM(D16,D159))</f>
        <v/>
      </c>
      <c r="E302" s="27">
        <f>IF(SUM(E16,E159)=0,"",SUM(E16)/SUM(E16,E159))</f>
        <v/>
      </c>
      <c r="F302" s="27">
        <f>IF(SUM(F16,F159)=0,"",SUM(F16)/SUM(F16,F159))</f>
        <v/>
      </c>
      <c r="G302" s="27">
        <f>IF(SUM(G16,G159)=0,"",SUM(G16)/SUM(G16,G159))</f>
        <v/>
      </c>
      <c r="H302" s="27">
        <f>IF(SUM(H16,H159)=0,"",SUM(H16)/SUM(H16,H159))</f>
        <v/>
      </c>
    </row>
    <row r="303">
      <c r="A303" t="inlineStr">
        <is>
          <t>Week3-Nov-2025</t>
        </is>
      </c>
      <c r="B303" s="27">
        <f>IF(SUM(B17,B160)=0,"",SUM(B17)/SUM(B17,B160))</f>
        <v/>
      </c>
      <c r="C303" s="27">
        <f>IF(SUM(C17,C160)=0,"",SUM(C17)/SUM(C17,C160))</f>
        <v/>
      </c>
      <c r="D303" s="27">
        <f>IF(SUM(D17,D160)=0,"",SUM(D17)/SUM(D17,D160))</f>
        <v/>
      </c>
      <c r="E303" s="27">
        <f>IF(SUM(E17,E160)=0,"",SUM(E17)/SUM(E17,E160))</f>
        <v/>
      </c>
      <c r="F303" s="27">
        <f>IF(SUM(F17,F160)=0,"",SUM(F17)/SUM(F17,F160))</f>
        <v/>
      </c>
      <c r="G303" s="27">
        <f>IF(SUM(G17,G160)=0,"",SUM(G17)/SUM(G17,G160))</f>
        <v/>
      </c>
      <c r="H303" s="27">
        <f>IF(SUM(H17,H160)=0,"",SUM(H17)/SUM(H17,H160))</f>
        <v/>
      </c>
    </row>
    <row r="304">
      <c r="A304" t="inlineStr">
        <is>
          <t>Week4-Nov-2025</t>
        </is>
      </c>
      <c r="B304" s="27">
        <f>IF(SUM(B18,B161)=0,"",SUM(B18)/SUM(B18,B161))</f>
        <v/>
      </c>
      <c r="C304" s="27">
        <f>IF(SUM(C18,C161)=0,"",SUM(C18)/SUM(C18,C161))</f>
        <v/>
      </c>
      <c r="D304" s="27">
        <f>IF(SUM(D18,D161)=0,"",SUM(D18)/SUM(D18,D161))</f>
        <v/>
      </c>
      <c r="E304" s="27">
        <f>IF(SUM(E18,E161)=0,"",SUM(E18)/SUM(E18,E161))</f>
        <v/>
      </c>
      <c r="F304" s="27">
        <f>IF(SUM(F18,F161)=0,"",SUM(F18)/SUM(F18,F161))</f>
        <v/>
      </c>
      <c r="G304" s="27">
        <f>IF(SUM(G18,G161)=0,"",SUM(G18)/SUM(G18,G161))</f>
        <v/>
      </c>
      <c r="H304" s="27">
        <f>IF(SUM(H18,H161)=0,"",SUM(H18)/SUM(H18,H161))</f>
        <v/>
      </c>
    </row>
    <row r="305">
      <c r="A305" t="inlineStr">
        <is>
          <t>Week5-Nov-2025</t>
        </is>
      </c>
      <c r="B305" s="27">
        <f>IF(SUM(B19,B162)=0,"",SUM(B19)/SUM(B19,B162))</f>
        <v/>
      </c>
      <c r="C305" s="27">
        <f>IF(SUM(C19,C162)=0,"",SUM(C19)/SUM(C19,C162))</f>
        <v/>
      </c>
      <c r="D305" s="27">
        <f>IF(SUM(D19,D162)=0,"",SUM(D19)/SUM(D19,D162))</f>
        <v/>
      </c>
      <c r="E305" s="27">
        <f>IF(SUM(E19,E162)=0,"",SUM(E19)/SUM(E19,E162))</f>
        <v/>
      </c>
      <c r="F305" s="27">
        <f>IF(SUM(F19,F162)=0,"",SUM(F19)/SUM(F19,F162))</f>
        <v/>
      </c>
      <c r="G305" s="27">
        <f>IF(SUM(G19,G162)=0,"",SUM(G19)/SUM(G19,G162))</f>
        <v/>
      </c>
      <c r="H305" s="27">
        <f>IF(SUM(H19,H162)=0,"",SUM(H19)/SUM(H19,H162))</f>
        <v/>
      </c>
    </row>
    <row r="306">
      <c r="A306" t="inlineStr">
        <is>
          <t>Week1-Dec-2025</t>
        </is>
      </c>
      <c r="B306" s="27">
        <f>IF(SUM(B20,B163)=0,"",SUM(B20)/SUM(B20,B163))</f>
        <v/>
      </c>
      <c r="C306" s="27">
        <f>IF(SUM(C20,C163)=0,"",SUM(C20)/SUM(C20,C163))</f>
        <v/>
      </c>
      <c r="D306" s="27">
        <f>IF(SUM(D20,D163)=0,"",SUM(D20)/SUM(D20,D163))</f>
        <v/>
      </c>
      <c r="E306" s="27">
        <f>IF(SUM(E20,E163)=0,"",SUM(E20)/SUM(E20,E163))</f>
        <v/>
      </c>
      <c r="F306" s="27">
        <f>IF(SUM(F20,F163)=0,"",SUM(F20)/SUM(F20,F163))</f>
        <v/>
      </c>
      <c r="G306" s="27">
        <f>IF(SUM(G20,G163)=0,"",SUM(G20)/SUM(G20,G163))</f>
        <v/>
      </c>
      <c r="H306" s="27">
        <f>IF(SUM(H20,H163)=0,"",SUM(H20)/SUM(H20,H163))</f>
        <v/>
      </c>
    </row>
    <row r="307">
      <c r="A307" t="inlineStr">
        <is>
          <t>Week2-Dec-2025</t>
        </is>
      </c>
      <c r="B307" s="27">
        <f>IF(SUM(B21,B164)=0,"",SUM(B21)/SUM(B21,B164))</f>
        <v/>
      </c>
      <c r="C307" s="27">
        <f>IF(SUM(C21,C164)=0,"",SUM(C21)/SUM(C21,C164))</f>
        <v/>
      </c>
      <c r="D307" s="27">
        <f>IF(SUM(D21,D164)=0,"",SUM(D21)/SUM(D21,D164))</f>
        <v/>
      </c>
      <c r="E307" s="27">
        <f>IF(SUM(E21,E164)=0,"",SUM(E21)/SUM(E21,E164))</f>
        <v/>
      </c>
      <c r="F307" s="27">
        <f>IF(SUM(F21,F164)=0,"",SUM(F21)/SUM(F21,F164))</f>
        <v/>
      </c>
      <c r="G307" s="27">
        <f>IF(SUM(G21,G164)=0,"",SUM(G21)/SUM(G21,G164))</f>
        <v/>
      </c>
      <c r="H307" s="27">
        <f>IF(SUM(H21,H164)=0,"",SUM(H21)/SUM(H21,H164))</f>
        <v/>
      </c>
    </row>
    <row r="308">
      <c r="A308" t="inlineStr">
        <is>
          <t>Week3-Dec-2025</t>
        </is>
      </c>
      <c r="B308" s="27">
        <f>IF(SUM(B22,B165)=0,"",SUM(B22)/SUM(B22,B165))</f>
        <v/>
      </c>
      <c r="C308" s="27">
        <f>IF(SUM(C22,C165)=0,"",SUM(C22)/SUM(C22,C165))</f>
        <v/>
      </c>
      <c r="D308" s="27">
        <f>IF(SUM(D22,D165)=0,"",SUM(D22)/SUM(D22,D165))</f>
        <v/>
      </c>
      <c r="E308" s="27">
        <f>IF(SUM(E22,E165)=0,"",SUM(E22)/SUM(E22,E165))</f>
        <v/>
      </c>
      <c r="F308" s="27">
        <f>IF(SUM(F22,F165)=0,"",SUM(F22)/SUM(F22,F165))</f>
        <v/>
      </c>
      <c r="G308" s="27">
        <f>IF(SUM(G22,G165)=0,"",SUM(G22)/SUM(G22,G165))</f>
        <v/>
      </c>
      <c r="H308" s="27">
        <f>IF(SUM(H22,H165)=0,"",SUM(H22)/SUM(H22,H165))</f>
        <v/>
      </c>
    </row>
    <row r="309">
      <c r="A309" t="inlineStr">
        <is>
          <t>Week4-Dec-2025</t>
        </is>
      </c>
      <c r="B309" s="27">
        <f>IF(SUM(B23,B166)=0,"",SUM(B23)/SUM(B23,B166))</f>
        <v/>
      </c>
      <c r="C309" s="27">
        <f>IF(SUM(C23,C166)=0,"",SUM(C23)/SUM(C23,C166))</f>
        <v/>
      </c>
      <c r="D309" s="27">
        <f>IF(SUM(D23,D166)=0,"",SUM(D23)/SUM(D23,D166))</f>
        <v/>
      </c>
      <c r="E309" s="27">
        <f>IF(SUM(E23,E166)=0,"",SUM(E23)/SUM(E23,E166))</f>
        <v/>
      </c>
      <c r="F309" s="27">
        <f>IF(SUM(F23,F166)=0,"",SUM(F23)/SUM(F23,F166))</f>
        <v/>
      </c>
      <c r="G309" s="27">
        <f>IF(SUM(G23,G166)=0,"",SUM(G23)/SUM(G23,G166))</f>
        <v/>
      </c>
      <c r="H309" s="27">
        <f>IF(SUM(H23,H166)=0,"",SUM(H23)/SUM(H23,H166))</f>
        <v/>
      </c>
    </row>
    <row r="310">
      <c r="A310" t="inlineStr">
        <is>
          <t>Week5-Dec-2025</t>
        </is>
      </c>
      <c r="B310" s="27">
        <f>IF(SUM(B24,B167)=0,"",SUM(B24)/SUM(B24,B167))</f>
        <v/>
      </c>
      <c r="C310" s="27">
        <f>IF(SUM(C24,C167)=0,"",SUM(C24)/SUM(C24,C167))</f>
        <v/>
      </c>
      <c r="D310" s="27">
        <f>IF(SUM(D24,D167)=0,"",SUM(D24)/SUM(D24,D167))</f>
        <v/>
      </c>
      <c r="E310" s="27">
        <f>IF(SUM(E24,E167)=0,"",SUM(E24)/SUM(E24,E167))</f>
        <v/>
      </c>
      <c r="F310" s="27">
        <f>IF(SUM(F24,F167)=0,"",SUM(F24)/SUM(F24,F167))</f>
        <v/>
      </c>
      <c r="G310" s="27">
        <f>IF(SUM(G24,G167)=0,"",SUM(G24)/SUM(G24,G167))</f>
        <v/>
      </c>
      <c r="H310" s="27">
        <f>IF(SUM(H24,H167)=0,"",SUM(H24)/SUM(H24,H167))</f>
        <v/>
      </c>
    </row>
    <row r="311">
      <c r="A311" t="inlineStr">
        <is>
          <t>Week1-Jan-2026</t>
        </is>
      </c>
      <c r="B311" s="27">
        <f>IF(SUM(B25,B168)=0,"",SUM(B25)/SUM(B25,B168))</f>
        <v/>
      </c>
      <c r="C311" s="27">
        <f>IF(SUM(C25,C168)=0,"",SUM(C25)/SUM(C25,C168))</f>
        <v/>
      </c>
      <c r="D311" s="27">
        <f>IF(SUM(D25,D168)=0,"",SUM(D25)/SUM(D25,D168))</f>
        <v/>
      </c>
      <c r="E311" s="27">
        <f>IF(SUM(E25,E168)=0,"",SUM(E25)/SUM(E25,E168))</f>
        <v/>
      </c>
      <c r="F311" s="27">
        <f>IF(SUM(F25,F168)=0,"",SUM(F25)/SUM(F25,F168))</f>
        <v/>
      </c>
      <c r="G311" s="27">
        <f>IF(SUM(G25,G168)=0,"",SUM(G25)/SUM(G25,G168))</f>
        <v/>
      </c>
      <c r="H311" s="27">
        <f>IF(SUM(H25,H168)=0,"",SUM(H25)/SUM(H25,H168))</f>
        <v/>
      </c>
    </row>
    <row r="312">
      <c r="A312" t="inlineStr">
        <is>
          <t>Week2-Jan-2026</t>
        </is>
      </c>
      <c r="B312" s="27">
        <f>IF(SUM(B26,B169)=0,"",SUM(B26)/SUM(B26,B169))</f>
        <v/>
      </c>
      <c r="C312" s="27">
        <f>IF(SUM(C26,C169)=0,"",SUM(C26)/SUM(C26,C169))</f>
        <v/>
      </c>
      <c r="D312" s="27">
        <f>IF(SUM(D26,D169)=0,"",SUM(D26)/SUM(D26,D169))</f>
        <v/>
      </c>
      <c r="E312" s="27">
        <f>IF(SUM(E26,E169)=0,"",SUM(E26)/SUM(E26,E169))</f>
        <v/>
      </c>
      <c r="F312" s="27">
        <f>IF(SUM(F26,F169)=0,"",SUM(F26)/SUM(F26,F169))</f>
        <v/>
      </c>
      <c r="G312" s="27">
        <f>IF(SUM(G26,G169)=0,"",SUM(G26)/SUM(G26,G169))</f>
        <v/>
      </c>
      <c r="H312" s="27">
        <f>IF(SUM(H26,H169)=0,"",SUM(H26)/SUM(H26,H169))</f>
        <v/>
      </c>
    </row>
    <row r="313">
      <c r="A313" t="inlineStr">
        <is>
          <t>Week3-Jan-2026</t>
        </is>
      </c>
      <c r="B313" s="27">
        <f>IF(SUM(B27,B170)=0,"",SUM(B27)/SUM(B27,B170))</f>
        <v/>
      </c>
      <c r="C313" s="27">
        <f>IF(SUM(C27,C170)=0,"",SUM(C27)/SUM(C27,C170))</f>
        <v/>
      </c>
      <c r="D313" s="27">
        <f>IF(SUM(D27,D170)=0,"",SUM(D27)/SUM(D27,D170))</f>
        <v/>
      </c>
      <c r="E313" s="27">
        <f>IF(SUM(E27,E170)=0,"",SUM(E27)/SUM(E27,E170))</f>
        <v/>
      </c>
      <c r="F313" s="27">
        <f>IF(SUM(F27,F170)=0,"",SUM(F27)/SUM(F27,F170))</f>
        <v/>
      </c>
      <c r="G313" s="27">
        <f>IF(SUM(G27,G170)=0,"",SUM(G27)/SUM(G27,G170))</f>
        <v/>
      </c>
      <c r="H313" s="27">
        <f>IF(SUM(H27,H170)=0,"",SUM(H27)/SUM(H27,H170))</f>
        <v/>
      </c>
    </row>
    <row r="314">
      <c r="A314" t="inlineStr">
        <is>
          <t>Week4-Jan-2026</t>
        </is>
      </c>
      <c r="B314" s="27">
        <f>IF(SUM(B28,B171)=0,"",SUM(B28)/SUM(B28,B171))</f>
        <v/>
      </c>
      <c r="C314" s="27">
        <f>IF(SUM(C28,C171)=0,"",SUM(C28)/SUM(C28,C171))</f>
        <v/>
      </c>
      <c r="D314" s="27">
        <f>IF(SUM(D28,D171)=0,"",SUM(D28)/SUM(D28,D171))</f>
        <v/>
      </c>
      <c r="E314" s="27">
        <f>IF(SUM(E28,E171)=0,"",SUM(E28)/SUM(E28,E171))</f>
        <v/>
      </c>
      <c r="F314" s="27">
        <f>IF(SUM(F28,F171)=0,"",SUM(F28)/SUM(F28,F171))</f>
        <v/>
      </c>
      <c r="G314" s="27">
        <f>IF(SUM(G28,G171)=0,"",SUM(G28)/SUM(G28,G171))</f>
        <v/>
      </c>
      <c r="H314" s="27">
        <f>IF(SUM(H28,H171)=0,"",SUM(H28)/SUM(H28,H171))</f>
        <v/>
      </c>
    </row>
    <row r="315">
      <c r="A315" t="inlineStr">
        <is>
          <t>Week5-Jan-2026</t>
        </is>
      </c>
      <c r="B315" s="27">
        <f>IF(SUM(B29,B172)=0,"",SUM(B29)/SUM(B29,B172))</f>
        <v/>
      </c>
      <c r="C315" s="27">
        <f>IF(SUM(C29,C172)=0,"",SUM(C29)/SUM(C29,C172))</f>
        <v/>
      </c>
      <c r="D315" s="27">
        <f>IF(SUM(D29,D172)=0,"",SUM(D29)/SUM(D29,D172))</f>
        <v/>
      </c>
      <c r="E315" s="27">
        <f>IF(SUM(E29,E172)=0,"",SUM(E29)/SUM(E29,E172))</f>
        <v/>
      </c>
      <c r="F315" s="27">
        <f>IF(SUM(F29,F172)=0,"",SUM(F29)/SUM(F29,F172))</f>
        <v/>
      </c>
      <c r="G315" s="27">
        <f>IF(SUM(G29,G172)=0,"",SUM(G29)/SUM(G29,G172))</f>
        <v/>
      </c>
      <c r="H315" s="27">
        <f>IF(SUM(H29,H172)=0,"",SUM(H29)/SUM(H29,H172))</f>
        <v/>
      </c>
    </row>
    <row r="316">
      <c r="A316" t="inlineStr">
        <is>
          <t>Week1-Feb-2026</t>
        </is>
      </c>
      <c r="B316" s="27">
        <f>IF(SUM(B30,B173)=0,"",SUM(B30)/SUM(B30,B173))</f>
        <v/>
      </c>
      <c r="C316" s="27">
        <f>IF(SUM(C30,C173)=0,"",SUM(C30)/SUM(C30,C173))</f>
        <v/>
      </c>
      <c r="D316" s="27">
        <f>IF(SUM(D30,D173)=0,"",SUM(D30)/SUM(D30,D173))</f>
        <v/>
      </c>
      <c r="E316" s="27">
        <f>IF(SUM(E30,E173)=0,"",SUM(E30)/SUM(E30,E173))</f>
        <v/>
      </c>
      <c r="F316" s="27">
        <f>IF(SUM(F30,F173)=0,"",SUM(F30)/SUM(F30,F173))</f>
        <v/>
      </c>
      <c r="G316" s="27">
        <f>IF(SUM(G30,G173)=0,"",SUM(G30)/SUM(G30,G173))</f>
        <v/>
      </c>
      <c r="H316" s="27">
        <f>IF(SUM(H30,H173)=0,"",SUM(H30)/SUM(H30,H173))</f>
        <v/>
      </c>
    </row>
    <row r="317">
      <c r="A317" t="inlineStr">
        <is>
          <t>Week2-Feb-2026</t>
        </is>
      </c>
      <c r="B317" s="27">
        <f>IF(SUM(B31,B174)=0,"",SUM(B31)/SUM(B31,B174))</f>
        <v/>
      </c>
      <c r="C317" s="27">
        <f>IF(SUM(C31,C174)=0,"",SUM(C31)/SUM(C31,C174))</f>
        <v/>
      </c>
      <c r="D317" s="27">
        <f>IF(SUM(D31,D174)=0,"",SUM(D31)/SUM(D31,D174))</f>
        <v/>
      </c>
      <c r="E317" s="27">
        <f>IF(SUM(E31,E174)=0,"",SUM(E31)/SUM(E31,E174))</f>
        <v/>
      </c>
      <c r="F317" s="27">
        <f>IF(SUM(F31,F174)=0,"",SUM(F31)/SUM(F31,F174))</f>
        <v/>
      </c>
      <c r="G317" s="27">
        <f>IF(SUM(G31,G174)=0,"",SUM(G31)/SUM(G31,G174))</f>
        <v/>
      </c>
      <c r="H317" s="27">
        <f>IF(SUM(H31,H174)=0,"",SUM(H31)/SUM(H31,H174))</f>
        <v/>
      </c>
    </row>
    <row r="318">
      <c r="A318" t="inlineStr">
        <is>
          <t>Week3-Feb-2026</t>
        </is>
      </c>
      <c r="B318" s="27">
        <f>IF(SUM(B32,B175)=0,"",SUM(B32)/SUM(B32,B175))</f>
        <v/>
      </c>
      <c r="C318" s="27">
        <f>IF(SUM(C32,C175)=0,"",SUM(C32)/SUM(C32,C175))</f>
        <v/>
      </c>
      <c r="D318" s="27">
        <f>IF(SUM(D32,D175)=0,"",SUM(D32)/SUM(D32,D175))</f>
        <v/>
      </c>
      <c r="E318" s="27">
        <f>IF(SUM(E32,E175)=0,"",SUM(E32)/SUM(E32,E175))</f>
        <v/>
      </c>
      <c r="F318" s="27">
        <f>IF(SUM(F32,F175)=0,"",SUM(F32)/SUM(F32,F175))</f>
        <v/>
      </c>
      <c r="G318" s="27">
        <f>IF(SUM(G32,G175)=0,"",SUM(G32)/SUM(G32,G175))</f>
        <v/>
      </c>
      <c r="H318" s="27">
        <f>IF(SUM(H32,H175)=0,"",SUM(H32)/SUM(H32,H175))</f>
        <v/>
      </c>
    </row>
    <row r="319">
      <c r="A319" t="inlineStr">
        <is>
          <t>Week4-Feb-2026</t>
        </is>
      </c>
      <c r="B319" s="27">
        <f>IF(SUM(B33,B176)=0,"",SUM(B33)/SUM(B33,B176))</f>
        <v/>
      </c>
      <c r="C319" s="27">
        <f>IF(SUM(C33,C176)=0,"",SUM(C33)/SUM(C33,C176))</f>
        <v/>
      </c>
      <c r="D319" s="27">
        <f>IF(SUM(D33,D176)=0,"",SUM(D33)/SUM(D33,D176))</f>
        <v/>
      </c>
      <c r="E319" s="27">
        <f>IF(SUM(E33,E176)=0,"",SUM(E33)/SUM(E33,E176))</f>
        <v/>
      </c>
      <c r="F319" s="27">
        <f>IF(SUM(F33,F176)=0,"",SUM(F33)/SUM(F33,F176))</f>
        <v/>
      </c>
      <c r="G319" s="27">
        <f>IF(SUM(G33,G176)=0,"",SUM(G33)/SUM(G33,G176))</f>
        <v/>
      </c>
      <c r="H319" s="27">
        <f>IF(SUM(H33,H176)=0,"",SUM(H33)/SUM(H33,H176))</f>
        <v/>
      </c>
    </row>
    <row r="320">
      <c r="A320" t="inlineStr">
        <is>
          <t>Week1-Mar-2026</t>
        </is>
      </c>
      <c r="B320" s="27">
        <f>IF(SUM(B34,B177)=0,"",SUM(B34)/SUM(B34,B177))</f>
        <v/>
      </c>
      <c r="C320" s="27">
        <f>IF(SUM(C34,C177)=0,"",SUM(C34)/SUM(C34,C177))</f>
        <v/>
      </c>
      <c r="D320" s="27">
        <f>IF(SUM(D34,D177)=0,"",SUM(D34)/SUM(D34,D177))</f>
        <v/>
      </c>
      <c r="E320" s="27">
        <f>IF(SUM(E34,E177)=0,"",SUM(E34)/SUM(E34,E177))</f>
        <v/>
      </c>
      <c r="F320" s="27">
        <f>IF(SUM(F34,F177)=0,"",SUM(F34)/SUM(F34,F177))</f>
        <v/>
      </c>
      <c r="G320" s="27">
        <f>IF(SUM(G34,G177)=0,"",SUM(G34)/SUM(G34,G177))</f>
        <v/>
      </c>
      <c r="H320" s="27">
        <f>IF(SUM(H34,H177)=0,"",SUM(H34)/SUM(H34,H177))</f>
        <v/>
      </c>
    </row>
    <row r="321">
      <c r="A321" t="inlineStr">
        <is>
          <t>Week2-Mar-2026</t>
        </is>
      </c>
      <c r="B321" s="27">
        <f>IF(SUM(B35,B178)=0,"",SUM(B35)/SUM(B35,B178))</f>
        <v/>
      </c>
      <c r="C321" s="27">
        <f>IF(SUM(C35,C178)=0,"",SUM(C35)/SUM(C35,C178))</f>
        <v/>
      </c>
      <c r="D321" s="27">
        <f>IF(SUM(D35,D178)=0,"",SUM(D35)/SUM(D35,D178))</f>
        <v/>
      </c>
      <c r="E321" s="27">
        <f>IF(SUM(E35,E178)=0,"",SUM(E35)/SUM(E35,E178))</f>
        <v/>
      </c>
      <c r="F321" s="27">
        <f>IF(SUM(F35,F178)=0,"",SUM(F35)/SUM(F35,F178))</f>
        <v/>
      </c>
      <c r="G321" s="27">
        <f>IF(SUM(G35,G178)=0,"",SUM(G35)/SUM(G35,G178))</f>
        <v/>
      </c>
      <c r="H321" s="27">
        <f>IF(SUM(H35,H178)=0,"",SUM(H35)/SUM(H35,H178))</f>
        <v/>
      </c>
    </row>
    <row r="322">
      <c r="A322" t="inlineStr">
        <is>
          <t>Week3-Mar-2026</t>
        </is>
      </c>
      <c r="B322" s="27">
        <f>IF(SUM(B36,B179)=0,"",SUM(B36)/SUM(B36,B179))</f>
        <v/>
      </c>
      <c r="C322" s="27">
        <f>IF(SUM(C36,C179)=0,"",SUM(C36)/SUM(C36,C179))</f>
        <v/>
      </c>
      <c r="D322" s="27">
        <f>IF(SUM(D36,D179)=0,"",SUM(D36)/SUM(D36,D179))</f>
        <v/>
      </c>
      <c r="E322" s="27">
        <f>IF(SUM(E36,E179)=0,"",SUM(E36)/SUM(E36,E179))</f>
        <v/>
      </c>
      <c r="F322" s="27">
        <f>IF(SUM(F36,F179)=0,"",SUM(F36)/SUM(F36,F179))</f>
        <v/>
      </c>
      <c r="G322" s="27">
        <f>IF(SUM(G36,G179)=0,"",SUM(G36)/SUM(G36,G179))</f>
        <v/>
      </c>
      <c r="H322" s="27">
        <f>IF(SUM(H36,H179)=0,"",SUM(H36)/SUM(H36,H179))</f>
        <v/>
      </c>
    </row>
    <row r="323">
      <c r="A323" t="inlineStr">
        <is>
          <t>Week4-Mar-2026</t>
        </is>
      </c>
      <c r="B323" s="27">
        <f>IF(SUM(B37,B180)=0,"",SUM(B37)/SUM(B37,B180))</f>
        <v/>
      </c>
      <c r="C323" s="27">
        <f>IF(SUM(C37,C180)=0,"",SUM(C37)/SUM(C37,C180))</f>
        <v/>
      </c>
      <c r="D323" s="27">
        <f>IF(SUM(D37,D180)=0,"",SUM(D37)/SUM(D37,D180))</f>
        <v/>
      </c>
      <c r="E323" s="27">
        <f>IF(SUM(E37,E180)=0,"",SUM(E37)/SUM(E37,E180))</f>
        <v/>
      </c>
      <c r="F323" s="27">
        <f>IF(SUM(F37,F180)=0,"",SUM(F37)/SUM(F37,F180))</f>
        <v/>
      </c>
      <c r="G323" s="27">
        <f>IF(SUM(G37,G180)=0,"",SUM(G37)/SUM(G37,G180))</f>
        <v/>
      </c>
      <c r="H323" s="27">
        <f>IF(SUM(H37,H180)=0,"",SUM(H37)/SUM(H37,H180))</f>
        <v/>
      </c>
    </row>
    <row r="324">
      <c r="A324" t="inlineStr">
        <is>
          <t>Week5-Mar-2026</t>
        </is>
      </c>
      <c r="B324" s="27">
        <f>IF(SUM(B38,B181)=0,"",SUM(B38)/SUM(B38,B181))</f>
        <v/>
      </c>
      <c r="C324" s="27">
        <f>IF(SUM(C38,C181)=0,"",SUM(C38)/SUM(C38,C181))</f>
        <v/>
      </c>
      <c r="D324" s="27">
        <f>IF(SUM(D38,D181)=0,"",SUM(D38)/SUM(D38,D181))</f>
        <v/>
      </c>
      <c r="E324" s="27">
        <f>IF(SUM(E38,E181)=0,"",SUM(E38)/SUM(E38,E181))</f>
        <v/>
      </c>
      <c r="F324" s="27">
        <f>IF(SUM(F38,F181)=0,"",SUM(F38)/SUM(F38,F181))</f>
        <v/>
      </c>
      <c r="G324" s="27">
        <f>IF(SUM(G38,G181)=0,"",SUM(G38)/SUM(G38,G181))</f>
        <v/>
      </c>
      <c r="H324" s="27">
        <f>IF(SUM(H38,H181)=0,"",SUM(H38)/SUM(H38,H181))</f>
        <v/>
      </c>
    </row>
    <row r="325">
      <c r="A325" t="inlineStr">
        <is>
          <t>Week1-Apr-2026</t>
        </is>
      </c>
      <c r="B325" s="27">
        <f>IF(SUM(B39,B182)=0,"",SUM(B39)/SUM(B39,B182))</f>
        <v/>
      </c>
      <c r="C325" s="27">
        <f>IF(SUM(C39,C182)=0,"",SUM(C39)/SUM(C39,C182))</f>
        <v/>
      </c>
      <c r="D325" s="27">
        <f>IF(SUM(D39,D182)=0,"",SUM(D39)/SUM(D39,D182))</f>
        <v/>
      </c>
      <c r="E325" s="27">
        <f>IF(SUM(E39,E182)=0,"",SUM(E39)/SUM(E39,E182))</f>
        <v/>
      </c>
      <c r="F325" s="27">
        <f>IF(SUM(F39,F182)=0,"",SUM(F39)/SUM(F39,F182))</f>
        <v/>
      </c>
      <c r="G325" s="27">
        <f>IF(SUM(G39,G182)=0,"",SUM(G39)/SUM(G39,G182))</f>
        <v/>
      </c>
      <c r="H325" s="27">
        <f>IF(SUM(H39,H182)=0,"",SUM(H39)/SUM(H39,H182))</f>
        <v/>
      </c>
    </row>
    <row r="326">
      <c r="A326" t="inlineStr">
        <is>
          <t>Week2-Apr-2026</t>
        </is>
      </c>
      <c r="B326" s="27">
        <f>IF(SUM(B40,B183)=0,"",SUM(B40)/SUM(B40,B183))</f>
        <v/>
      </c>
      <c r="C326" s="27">
        <f>IF(SUM(C40,C183)=0,"",SUM(C40)/SUM(C40,C183))</f>
        <v/>
      </c>
      <c r="D326" s="27">
        <f>IF(SUM(D40,D183)=0,"",SUM(D40)/SUM(D40,D183))</f>
        <v/>
      </c>
      <c r="E326" s="27">
        <f>IF(SUM(E40,E183)=0,"",SUM(E40)/SUM(E40,E183))</f>
        <v/>
      </c>
      <c r="F326" s="27">
        <f>IF(SUM(F40,F183)=0,"",SUM(F40)/SUM(F40,F183))</f>
        <v/>
      </c>
      <c r="G326" s="27">
        <f>IF(SUM(G40,G183)=0,"",SUM(G40)/SUM(G40,G183))</f>
        <v/>
      </c>
      <c r="H326" s="27">
        <f>IF(SUM(H40,H183)=0,"",SUM(H40)/SUM(H40,H183))</f>
        <v/>
      </c>
    </row>
    <row r="327">
      <c r="A327" t="inlineStr">
        <is>
          <t>Week3-Apr-2026</t>
        </is>
      </c>
      <c r="B327" s="27">
        <f>IF(SUM(B41,B184)=0,"",SUM(B41)/SUM(B41,B184))</f>
        <v/>
      </c>
      <c r="C327" s="27">
        <f>IF(SUM(C41,C184)=0,"",SUM(C41)/SUM(C41,C184))</f>
        <v/>
      </c>
      <c r="D327" s="27">
        <f>IF(SUM(D41,D184)=0,"",SUM(D41)/SUM(D41,D184))</f>
        <v/>
      </c>
      <c r="E327" s="27">
        <f>IF(SUM(E41,E184)=0,"",SUM(E41)/SUM(E41,E184))</f>
        <v/>
      </c>
      <c r="F327" s="27">
        <f>IF(SUM(F41,F184)=0,"",SUM(F41)/SUM(F41,F184))</f>
        <v/>
      </c>
      <c r="G327" s="27">
        <f>IF(SUM(G41,G184)=0,"",SUM(G41)/SUM(G41,G184))</f>
        <v/>
      </c>
      <c r="H327" s="27">
        <f>IF(SUM(H41,H184)=0,"",SUM(H41)/SUM(H41,H184))</f>
        <v/>
      </c>
    </row>
    <row r="328">
      <c r="A328" t="inlineStr">
        <is>
          <t>Week4-Apr-2026</t>
        </is>
      </c>
      <c r="B328" s="27">
        <f>IF(SUM(B42,B185)=0,"",SUM(B42)/SUM(B42,B185))</f>
        <v/>
      </c>
      <c r="C328" s="27">
        <f>IF(SUM(C42,C185)=0,"",SUM(C42)/SUM(C42,C185))</f>
        <v/>
      </c>
      <c r="D328" s="27">
        <f>IF(SUM(D42,D185)=0,"",SUM(D42)/SUM(D42,D185))</f>
        <v/>
      </c>
      <c r="E328" s="27">
        <f>IF(SUM(E42,E185)=0,"",SUM(E42)/SUM(E42,E185))</f>
        <v/>
      </c>
      <c r="F328" s="27">
        <f>IF(SUM(F42,F185)=0,"",SUM(F42)/SUM(F42,F185))</f>
        <v/>
      </c>
      <c r="G328" s="27">
        <f>IF(SUM(G42,G185)=0,"",SUM(G42)/SUM(G42,G185))</f>
        <v/>
      </c>
      <c r="H328" s="27">
        <f>IF(SUM(H42,H185)=0,"",SUM(H42)/SUM(H42,H185))</f>
        <v/>
      </c>
    </row>
    <row r="329">
      <c r="A329" t="inlineStr">
        <is>
          <t>Week5-Apr-2026</t>
        </is>
      </c>
      <c r="B329" s="27">
        <f>IF(SUM(B43,B186)=0,"",SUM(B43)/SUM(B43,B186))</f>
        <v/>
      </c>
      <c r="C329" s="27">
        <f>IF(SUM(C43,C186)=0,"",SUM(C43)/SUM(C43,C186))</f>
        <v/>
      </c>
      <c r="D329" s="27">
        <f>IF(SUM(D43,D186)=0,"",SUM(D43)/SUM(D43,D186))</f>
        <v/>
      </c>
      <c r="E329" s="27">
        <f>IF(SUM(E43,E186)=0,"",SUM(E43)/SUM(E43,E186))</f>
        <v/>
      </c>
      <c r="F329" s="27">
        <f>IF(SUM(F43,F186)=0,"",SUM(F43)/SUM(F43,F186))</f>
        <v/>
      </c>
      <c r="G329" s="27">
        <f>IF(SUM(G43,G186)=0,"",SUM(G43)/SUM(G43,G186))</f>
        <v/>
      </c>
      <c r="H329" s="27">
        <f>IF(SUM(H43,H186)=0,"",SUM(H43)/SUM(H43,H186))</f>
        <v/>
      </c>
    </row>
    <row r="330">
      <c r="A330" t="inlineStr">
        <is>
          <t>Week1-May-2026</t>
        </is>
      </c>
      <c r="B330" s="27">
        <f>IF(SUM(B44,B187)=0,"",SUM(B44)/SUM(B44,B187))</f>
        <v/>
      </c>
      <c r="C330" s="27">
        <f>IF(SUM(C44,C187)=0,"",SUM(C44)/SUM(C44,C187))</f>
        <v/>
      </c>
      <c r="D330" s="27">
        <f>IF(SUM(D44,D187)=0,"",SUM(D44)/SUM(D44,D187))</f>
        <v/>
      </c>
      <c r="E330" s="27">
        <f>IF(SUM(E44,E187)=0,"",SUM(E44)/SUM(E44,E187))</f>
        <v/>
      </c>
      <c r="F330" s="27">
        <f>IF(SUM(F44,F187)=0,"",SUM(F44)/SUM(F44,F187))</f>
        <v/>
      </c>
      <c r="G330" s="27">
        <f>IF(SUM(G44,G187)=0,"",SUM(G44)/SUM(G44,G187))</f>
        <v/>
      </c>
      <c r="H330" s="27">
        <f>IF(SUM(H44,H187)=0,"",SUM(H44)/SUM(H44,H187))</f>
        <v/>
      </c>
    </row>
    <row r="331">
      <c r="A331" t="inlineStr">
        <is>
          <t>Week2-May-2026</t>
        </is>
      </c>
      <c r="B331" s="27">
        <f>IF(SUM(B45,B188)=0,"",SUM(B45)/SUM(B45,B188))</f>
        <v/>
      </c>
      <c r="C331" s="27">
        <f>IF(SUM(C45,C188)=0,"",SUM(C45)/SUM(C45,C188))</f>
        <v/>
      </c>
      <c r="D331" s="27">
        <f>IF(SUM(D45,D188)=0,"",SUM(D45)/SUM(D45,D188))</f>
        <v/>
      </c>
      <c r="E331" s="27">
        <f>IF(SUM(E45,E188)=0,"",SUM(E45)/SUM(E45,E188))</f>
        <v/>
      </c>
      <c r="F331" s="27">
        <f>IF(SUM(F45,F188)=0,"",SUM(F45)/SUM(F45,F188))</f>
        <v/>
      </c>
      <c r="G331" s="27">
        <f>IF(SUM(G45,G188)=0,"",SUM(G45)/SUM(G45,G188))</f>
        <v/>
      </c>
      <c r="H331" s="27">
        <f>IF(SUM(H45,H188)=0,"",SUM(H45)/SUM(H45,H188))</f>
        <v/>
      </c>
    </row>
    <row r="332">
      <c r="A332" t="inlineStr">
        <is>
          <t>Week3-May-2026</t>
        </is>
      </c>
      <c r="B332" s="27">
        <f>IF(SUM(B46,B189)=0,"",SUM(B46)/SUM(B46,B189))</f>
        <v/>
      </c>
      <c r="C332" s="27">
        <f>IF(SUM(C46,C189)=0,"",SUM(C46)/SUM(C46,C189))</f>
        <v/>
      </c>
      <c r="D332" s="27">
        <f>IF(SUM(D46,D189)=0,"",SUM(D46)/SUM(D46,D189))</f>
        <v/>
      </c>
      <c r="E332" s="27">
        <f>IF(SUM(E46,E189)=0,"",SUM(E46)/SUM(E46,E189))</f>
        <v/>
      </c>
      <c r="F332" s="27">
        <f>IF(SUM(F46,F189)=0,"",SUM(F46)/SUM(F46,F189))</f>
        <v/>
      </c>
      <c r="G332" s="27">
        <f>IF(SUM(G46,G189)=0,"",SUM(G46)/SUM(G46,G189))</f>
        <v/>
      </c>
      <c r="H332" s="27">
        <f>IF(SUM(H46,H189)=0,"",SUM(H46)/SUM(H46,H189))</f>
        <v/>
      </c>
    </row>
    <row r="333">
      <c r="A333" t="inlineStr">
        <is>
          <t>Week4-May-2026</t>
        </is>
      </c>
      <c r="B333" s="27">
        <f>IF(SUM(B47,B190)=0,"",SUM(B47)/SUM(B47,B190))</f>
        <v/>
      </c>
      <c r="C333" s="27">
        <f>IF(SUM(C47,C190)=0,"",SUM(C47)/SUM(C47,C190))</f>
        <v/>
      </c>
      <c r="D333" s="27">
        <f>IF(SUM(D47,D190)=0,"",SUM(D47)/SUM(D47,D190))</f>
        <v/>
      </c>
      <c r="E333" s="27">
        <f>IF(SUM(E47,E190)=0,"",SUM(E47)/SUM(E47,E190))</f>
        <v/>
      </c>
      <c r="F333" s="27">
        <f>IF(SUM(F47,F190)=0,"",SUM(F47)/SUM(F47,F190))</f>
        <v/>
      </c>
      <c r="G333" s="27">
        <f>IF(SUM(G47,G190)=0,"",SUM(G47)/SUM(G47,G190))</f>
        <v/>
      </c>
      <c r="H333" s="27">
        <f>IF(SUM(H47,H190)=0,"",SUM(H47)/SUM(H47,H190))</f>
        <v/>
      </c>
    </row>
    <row r="334">
      <c r="A334" t="inlineStr">
        <is>
          <t>Week5-May-2026</t>
        </is>
      </c>
      <c r="B334" s="27">
        <f>IF(SUM(B48,B191)=0,"",SUM(B48)/SUM(B48,B191))</f>
        <v/>
      </c>
      <c r="C334" s="27">
        <f>IF(SUM(C48,C191)=0,"",SUM(C48)/SUM(C48,C191))</f>
        <v/>
      </c>
      <c r="D334" s="27">
        <f>IF(SUM(D48,D191)=0,"",SUM(D48)/SUM(D48,D191))</f>
        <v/>
      </c>
      <c r="E334" s="27">
        <f>IF(SUM(E48,E191)=0,"",SUM(E48)/SUM(E48,E191))</f>
        <v/>
      </c>
      <c r="F334" s="27">
        <f>IF(SUM(F48,F191)=0,"",SUM(F48)/SUM(F48,F191))</f>
        <v/>
      </c>
      <c r="G334" s="27">
        <f>IF(SUM(G48,G191)=0,"",SUM(G48)/SUM(G48,G191))</f>
        <v/>
      </c>
      <c r="H334" s="27">
        <f>IF(SUM(H48,H191)=0,"",SUM(H48)/SUM(H48,H191))</f>
        <v/>
      </c>
    </row>
    <row r="335">
      <c r="A335" t="inlineStr">
        <is>
          <t>Week1-Jun-2026</t>
        </is>
      </c>
      <c r="B335" s="27">
        <f>IF(SUM(B49,B192)=0,"",SUM(B49)/SUM(B49,B192))</f>
        <v/>
      </c>
      <c r="C335" s="27">
        <f>IF(SUM(C49,C192)=0,"",SUM(C49)/SUM(C49,C192))</f>
        <v/>
      </c>
      <c r="D335" s="27">
        <f>IF(SUM(D49,D192)=0,"",SUM(D49)/SUM(D49,D192))</f>
        <v/>
      </c>
      <c r="E335" s="27">
        <f>IF(SUM(E49,E192)=0,"",SUM(E49)/SUM(E49,E192))</f>
        <v/>
      </c>
      <c r="F335" s="27">
        <f>IF(SUM(F49,F192)=0,"",SUM(F49)/SUM(F49,F192))</f>
        <v/>
      </c>
      <c r="G335" s="27">
        <f>IF(SUM(G49,G192)=0,"",SUM(G49)/SUM(G49,G192))</f>
        <v/>
      </c>
      <c r="H335" s="27">
        <f>IF(SUM(H49,H192)=0,"",SUM(H49)/SUM(H49,H192))</f>
        <v/>
      </c>
    </row>
    <row r="336">
      <c r="A336" t="inlineStr">
        <is>
          <t>Week2-Jun-2026</t>
        </is>
      </c>
      <c r="B336" s="27">
        <f>IF(SUM(B50,B193)=0,"",SUM(B50)/SUM(B50,B193))</f>
        <v/>
      </c>
      <c r="C336" s="27">
        <f>IF(SUM(C50,C193)=0,"",SUM(C50)/SUM(C50,C193))</f>
        <v/>
      </c>
      <c r="D336" s="27">
        <f>IF(SUM(D50,D193)=0,"",SUM(D50)/SUM(D50,D193))</f>
        <v/>
      </c>
      <c r="E336" s="27">
        <f>IF(SUM(E50,E193)=0,"",SUM(E50)/SUM(E50,E193))</f>
        <v/>
      </c>
      <c r="F336" s="27">
        <f>IF(SUM(F50,F193)=0,"",SUM(F50)/SUM(F50,F193))</f>
        <v/>
      </c>
      <c r="G336" s="27">
        <f>IF(SUM(G50,G193)=0,"",SUM(G50)/SUM(G50,G193))</f>
        <v/>
      </c>
      <c r="H336" s="27">
        <f>IF(SUM(H50,H193)=0,"",SUM(H50)/SUM(H50,H193))</f>
        <v/>
      </c>
    </row>
    <row r="337">
      <c r="A337" t="inlineStr">
        <is>
          <t>Week3-Jun-2026</t>
        </is>
      </c>
      <c r="B337" s="27">
        <f>IF(SUM(B51,B194)=0,"",SUM(B51)/SUM(B51,B194))</f>
        <v/>
      </c>
      <c r="C337" s="27">
        <f>IF(SUM(C51,C194)=0,"",SUM(C51)/SUM(C51,C194))</f>
        <v/>
      </c>
      <c r="D337" s="27">
        <f>IF(SUM(D51,D194)=0,"",SUM(D51)/SUM(D51,D194))</f>
        <v/>
      </c>
      <c r="E337" s="27">
        <f>IF(SUM(E51,E194)=0,"",SUM(E51)/SUM(E51,E194))</f>
        <v/>
      </c>
      <c r="F337" s="27">
        <f>IF(SUM(F51,F194)=0,"",SUM(F51)/SUM(F51,F194))</f>
        <v/>
      </c>
      <c r="G337" s="27">
        <f>IF(SUM(G51,G194)=0,"",SUM(G51)/SUM(G51,G194))</f>
        <v/>
      </c>
      <c r="H337" s="27">
        <f>IF(SUM(H51,H194)=0,"",SUM(H51)/SUM(H51,H194))</f>
        <v/>
      </c>
    </row>
    <row r="338">
      <c r="A338" t="inlineStr">
        <is>
          <t>Week4-Jun-2026</t>
        </is>
      </c>
      <c r="B338" s="27">
        <f>IF(SUM(B52,B195)=0,"",SUM(B52)/SUM(B52,B195))</f>
        <v/>
      </c>
      <c r="C338" s="27">
        <f>IF(SUM(C52,C195)=0,"",SUM(C52)/SUM(C52,C195))</f>
        <v/>
      </c>
      <c r="D338" s="27">
        <f>IF(SUM(D52,D195)=0,"",SUM(D52)/SUM(D52,D195))</f>
        <v/>
      </c>
      <c r="E338" s="27">
        <f>IF(SUM(E52,E195)=0,"",SUM(E52)/SUM(E52,E195))</f>
        <v/>
      </c>
      <c r="F338" s="27">
        <f>IF(SUM(F52,F195)=0,"",SUM(F52)/SUM(F52,F195))</f>
        <v/>
      </c>
      <c r="G338" s="27">
        <f>IF(SUM(G52,G195)=0,"",SUM(G52)/SUM(G52,G195))</f>
        <v/>
      </c>
      <c r="H338" s="27">
        <f>IF(SUM(H52,H195)=0,"",SUM(H52)/SUM(H52,H195))</f>
        <v/>
      </c>
    </row>
    <row r="339">
      <c r="A339" t="inlineStr">
        <is>
          <t>Week5-Jun-2026</t>
        </is>
      </c>
      <c r="B339" s="27">
        <f>IF(SUM(B53,B196)=0,"",SUM(B53)/SUM(B53,B196))</f>
        <v/>
      </c>
      <c r="C339" s="27">
        <f>IF(SUM(C53,C196)=0,"",SUM(C53)/SUM(C53,C196))</f>
        <v/>
      </c>
      <c r="D339" s="27">
        <f>IF(SUM(D53,D196)=0,"",SUM(D53)/SUM(D53,D196))</f>
        <v/>
      </c>
      <c r="E339" s="27">
        <f>IF(SUM(E53,E196)=0,"",SUM(E53)/SUM(E53,E196))</f>
        <v/>
      </c>
      <c r="F339" s="27">
        <f>IF(SUM(F53,F196)=0,"",SUM(F53)/SUM(F53,F196))</f>
        <v/>
      </c>
      <c r="G339" s="27">
        <f>IF(SUM(G53,G196)=0,"",SUM(G53)/SUM(G53,G196))</f>
        <v/>
      </c>
      <c r="H339" s="27">
        <f>IF(SUM(H53,H196)=0,"",SUM(H53)/SUM(H53,H196))</f>
        <v/>
      </c>
    </row>
    <row r="340">
      <c r="A340" t="inlineStr">
        <is>
          <t>Week1-Jul-2026</t>
        </is>
      </c>
      <c r="B340" s="27">
        <f>IF(SUM(B54,B197)=0,"",SUM(B54)/SUM(B54,B197))</f>
        <v/>
      </c>
      <c r="C340" s="27">
        <f>IF(SUM(C54,C197)=0,"",SUM(C54)/SUM(C54,C197))</f>
        <v/>
      </c>
      <c r="D340" s="27">
        <f>IF(SUM(D54,D197)=0,"",SUM(D54)/SUM(D54,D197))</f>
        <v/>
      </c>
      <c r="E340" s="27">
        <f>IF(SUM(E54,E197)=0,"",SUM(E54)/SUM(E54,E197))</f>
        <v/>
      </c>
      <c r="F340" s="27">
        <f>IF(SUM(F54,F197)=0,"",SUM(F54)/SUM(F54,F197))</f>
        <v/>
      </c>
      <c r="G340" s="27">
        <f>IF(SUM(G54,G197)=0,"",SUM(G54)/SUM(G54,G197))</f>
        <v/>
      </c>
      <c r="H340" s="27">
        <f>IF(SUM(H54,H197)=0,"",SUM(H54)/SUM(H54,H197))</f>
        <v/>
      </c>
    </row>
    <row r="341">
      <c r="A341" t="inlineStr">
        <is>
          <t>Week2-Jul-2026</t>
        </is>
      </c>
      <c r="B341" s="27">
        <f>IF(SUM(B55,B198)=0,"",SUM(B55)/SUM(B55,B198))</f>
        <v/>
      </c>
      <c r="C341" s="27">
        <f>IF(SUM(C55,C198)=0,"",SUM(C55)/SUM(C55,C198))</f>
        <v/>
      </c>
      <c r="D341" s="27">
        <f>IF(SUM(D55,D198)=0,"",SUM(D55)/SUM(D55,D198))</f>
        <v/>
      </c>
      <c r="E341" s="27">
        <f>IF(SUM(E55,E198)=0,"",SUM(E55)/SUM(E55,E198))</f>
        <v/>
      </c>
      <c r="F341" s="27">
        <f>IF(SUM(F55,F198)=0,"",SUM(F55)/SUM(F55,F198))</f>
        <v/>
      </c>
      <c r="G341" s="27">
        <f>IF(SUM(G55,G198)=0,"",SUM(G55)/SUM(G55,G198))</f>
        <v/>
      </c>
      <c r="H341" s="27">
        <f>IF(SUM(H55,H198)=0,"",SUM(H55)/SUM(H55,H198))</f>
        <v/>
      </c>
    </row>
    <row r="342">
      <c r="A342" t="inlineStr">
        <is>
          <t>Week3-Jul-2026</t>
        </is>
      </c>
      <c r="B342" s="27">
        <f>IF(SUM(B56,B199)=0,"",SUM(B56)/SUM(B56,B199))</f>
        <v/>
      </c>
      <c r="C342" s="27">
        <f>IF(SUM(C56,C199)=0,"",SUM(C56)/SUM(C56,C199))</f>
        <v/>
      </c>
      <c r="D342" s="27">
        <f>IF(SUM(D56,D199)=0,"",SUM(D56)/SUM(D56,D199))</f>
        <v/>
      </c>
      <c r="E342" s="27">
        <f>IF(SUM(E56,E199)=0,"",SUM(E56)/SUM(E56,E199))</f>
        <v/>
      </c>
      <c r="F342" s="27">
        <f>IF(SUM(F56,F199)=0,"",SUM(F56)/SUM(F56,F199))</f>
        <v/>
      </c>
      <c r="G342" s="27">
        <f>IF(SUM(G56,G199)=0,"",SUM(G56)/SUM(G56,G199))</f>
        <v/>
      </c>
      <c r="H342" s="27">
        <f>IF(SUM(H56,H199)=0,"",SUM(H56)/SUM(H56,H199))</f>
        <v/>
      </c>
    </row>
    <row r="343">
      <c r="A343" t="inlineStr">
        <is>
          <t>Week4-Jul-2026</t>
        </is>
      </c>
      <c r="B343" s="27">
        <f>IF(SUM(B57,B200)=0,"",SUM(B57)/SUM(B57,B200))</f>
        <v/>
      </c>
      <c r="C343" s="27">
        <f>IF(SUM(C57,C200)=0,"",SUM(C57)/SUM(C57,C200))</f>
        <v/>
      </c>
      <c r="D343" s="27">
        <f>IF(SUM(D57,D200)=0,"",SUM(D57)/SUM(D57,D200))</f>
        <v/>
      </c>
      <c r="E343" s="27">
        <f>IF(SUM(E57,E200)=0,"",SUM(E57)/SUM(E57,E200))</f>
        <v/>
      </c>
      <c r="F343" s="27">
        <f>IF(SUM(F57,F200)=0,"",SUM(F57)/SUM(F57,F200))</f>
        <v/>
      </c>
      <c r="G343" s="27">
        <f>IF(SUM(G57,G200)=0,"",SUM(G57)/SUM(G57,G200))</f>
        <v/>
      </c>
      <c r="H343" s="27">
        <f>IF(SUM(H57,H200)=0,"",SUM(H57)/SUM(H57,H200))</f>
        <v/>
      </c>
    </row>
    <row r="344">
      <c r="A344" t="inlineStr">
        <is>
          <t>Week5-Jul-2026</t>
        </is>
      </c>
      <c r="B344" s="27">
        <f>IF(SUM(B58,B201)=0,"",SUM(B58)/SUM(B58,B201))</f>
        <v/>
      </c>
      <c r="C344" s="27">
        <f>IF(SUM(C58,C201)=0,"",SUM(C58)/SUM(C58,C201))</f>
        <v/>
      </c>
      <c r="D344" s="27">
        <f>IF(SUM(D58,D201)=0,"",SUM(D58)/SUM(D58,D201))</f>
        <v/>
      </c>
      <c r="E344" s="27">
        <f>IF(SUM(E58,E201)=0,"",SUM(E58)/SUM(E58,E201))</f>
        <v/>
      </c>
      <c r="F344" s="27">
        <f>IF(SUM(F58,F201)=0,"",SUM(F58)/SUM(F58,F201))</f>
        <v/>
      </c>
      <c r="G344" s="27">
        <f>IF(SUM(G58,G201)=0,"",SUM(G58)/SUM(G58,G201))</f>
        <v/>
      </c>
      <c r="H344" s="27">
        <f>IF(SUM(H58,H201)=0,"",SUM(H58)/SUM(H58,H201))</f>
        <v/>
      </c>
    </row>
    <row r="345">
      <c r="A345" t="inlineStr">
        <is>
          <t>Week1-Aug-2026</t>
        </is>
      </c>
      <c r="B345" s="27">
        <f>IF(SUM(B59,B202)=0,"",SUM(B59)/SUM(B59,B202))</f>
        <v/>
      </c>
      <c r="C345" s="27">
        <f>IF(SUM(C59,C202)=0,"",SUM(C59)/SUM(C59,C202))</f>
        <v/>
      </c>
      <c r="D345" s="27">
        <f>IF(SUM(D59,D202)=0,"",SUM(D59)/SUM(D59,D202))</f>
        <v/>
      </c>
      <c r="E345" s="27">
        <f>IF(SUM(E59,E202)=0,"",SUM(E59)/SUM(E59,E202))</f>
        <v/>
      </c>
      <c r="F345" s="27">
        <f>IF(SUM(F59,F202)=0,"",SUM(F59)/SUM(F59,F202))</f>
        <v/>
      </c>
      <c r="G345" s="27">
        <f>IF(SUM(G59,G202)=0,"",SUM(G59)/SUM(G59,G202))</f>
        <v/>
      </c>
      <c r="H345" s="27">
        <f>IF(SUM(H59,H202)=0,"",SUM(H59)/SUM(H59,H202))</f>
        <v/>
      </c>
    </row>
    <row r="346" hidden="1" outlineLevel="1">
      <c r="A346" t="inlineStr">
        <is>
          <t>Week2-Aug-2026</t>
        </is>
      </c>
      <c r="B346" s="27">
        <f>IF(SUM(B60,B203)=0,"",SUM(B60)/SUM(B60,B203))</f>
        <v/>
      </c>
      <c r="C346" s="27">
        <f>IF(SUM(C60,C203)=0,"",SUM(C60)/SUM(C60,C203))</f>
        <v/>
      </c>
      <c r="D346" s="27">
        <f>IF(SUM(D60,D203)=0,"",SUM(D60)/SUM(D60,D203))</f>
        <v/>
      </c>
      <c r="E346" s="27">
        <f>IF(SUM(E60,E203)=0,"",SUM(E60)/SUM(E60,E203))</f>
        <v/>
      </c>
      <c r="F346" s="27">
        <f>IF(SUM(F60,F203)=0,"",SUM(F60)/SUM(F60,F203))</f>
        <v/>
      </c>
      <c r="G346" s="27">
        <f>IF(SUM(G60,G203)=0,"",SUM(G60)/SUM(G60,G203))</f>
        <v/>
      </c>
      <c r="H346" s="27">
        <f>IF(SUM(H60,H203)=0,"",SUM(H60)/SUM(H60,H203))</f>
        <v/>
      </c>
    </row>
    <row r="347" hidden="1" outlineLevel="1">
      <c r="A347" t="inlineStr">
        <is>
          <t>Week3-Aug-2026</t>
        </is>
      </c>
      <c r="B347" s="27">
        <f>IF(SUM(B61,B204)=0,"",SUM(B61)/SUM(B61,B204))</f>
        <v/>
      </c>
      <c r="C347" s="27">
        <f>IF(SUM(C61,C204)=0,"",SUM(C61)/SUM(C61,C204))</f>
        <v/>
      </c>
      <c r="D347" s="27">
        <f>IF(SUM(D61,D204)=0,"",SUM(D61)/SUM(D61,D204))</f>
        <v/>
      </c>
      <c r="E347" s="27">
        <f>IF(SUM(E61,E204)=0,"",SUM(E61)/SUM(E61,E204))</f>
        <v/>
      </c>
      <c r="F347" s="27">
        <f>IF(SUM(F61,F204)=0,"",SUM(F61)/SUM(F61,F204))</f>
        <v/>
      </c>
      <c r="G347" s="27">
        <f>IF(SUM(G61,G204)=0,"",SUM(G61)/SUM(G61,G204))</f>
        <v/>
      </c>
      <c r="H347" s="27">
        <f>IF(SUM(H61,H204)=0,"",SUM(H61)/SUM(H61,H204))</f>
        <v/>
      </c>
    </row>
    <row r="348" hidden="1" outlineLevel="1">
      <c r="A348" t="inlineStr">
        <is>
          <t>Week4-Aug-2026</t>
        </is>
      </c>
      <c r="B348" s="27">
        <f>IF(SUM(B62,B205)=0,"",SUM(B62)/SUM(B62,B205))</f>
        <v/>
      </c>
      <c r="C348" s="27">
        <f>IF(SUM(C62,C205)=0,"",SUM(C62)/SUM(C62,C205))</f>
        <v/>
      </c>
      <c r="D348" s="27">
        <f>IF(SUM(D62,D205)=0,"",SUM(D62)/SUM(D62,D205))</f>
        <v/>
      </c>
      <c r="E348" s="27">
        <f>IF(SUM(E62,E205)=0,"",SUM(E62)/SUM(E62,E205))</f>
        <v/>
      </c>
      <c r="F348" s="27">
        <f>IF(SUM(F62,F205)=0,"",SUM(F62)/SUM(F62,F205))</f>
        <v/>
      </c>
      <c r="G348" s="27">
        <f>IF(SUM(G62,G205)=0,"",SUM(G62)/SUM(G62,G205))</f>
        <v/>
      </c>
      <c r="H348" s="27">
        <f>IF(SUM(H62,H205)=0,"",SUM(H62)/SUM(H62,H205))</f>
        <v/>
      </c>
    </row>
    <row r="349" hidden="1" outlineLevel="1">
      <c r="A349" t="inlineStr">
        <is>
          <t>Week5-Aug-2026</t>
        </is>
      </c>
      <c r="B349" s="27">
        <f>IF(SUM(B63,B206)=0,"",SUM(B63)/SUM(B63,B206))</f>
        <v/>
      </c>
      <c r="C349" s="27">
        <f>IF(SUM(C63,C206)=0,"",SUM(C63)/SUM(C63,C206))</f>
        <v/>
      </c>
      <c r="D349" s="27">
        <f>IF(SUM(D63,D206)=0,"",SUM(D63)/SUM(D63,D206))</f>
        <v/>
      </c>
      <c r="E349" s="27">
        <f>IF(SUM(E63,E206)=0,"",SUM(E63)/SUM(E63,E206))</f>
        <v/>
      </c>
      <c r="F349" s="27">
        <f>IF(SUM(F63,F206)=0,"",SUM(F63)/SUM(F63,F206))</f>
        <v/>
      </c>
      <c r="G349" s="27">
        <f>IF(SUM(G63,G206)=0,"",SUM(G63)/SUM(G63,G206))</f>
        <v/>
      </c>
      <c r="H349" s="27">
        <f>IF(SUM(H63,H206)=0,"",SUM(H63)/SUM(H63,H206))</f>
        <v/>
      </c>
    </row>
    <row r="350" hidden="1" outlineLevel="1">
      <c r="A350" t="inlineStr">
        <is>
          <t>Week1-Sep-2026</t>
        </is>
      </c>
      <c r="B350" s="27">
        <f>IF(SUM(B64,B207)=0,"",SUM(B64)/SUM(B64,B207))</f>
        <v/>
      </c>
      <c r="C350" s="27">
        <f>IF(SUM(C64,C207)=0,"",SUM(C64)/SUM(C64,C207))</f>
        <v/>
      </c>
      <c r="D350" s="27">
        <f>IF(SUM(D64,D207)=0,"",SUM(D64)/SUM(D64,D207))</f>
        <v/>
      </c>
      <c r="E350" s="27">
        <f>IF(SUM(E64,E207)=0,"",SUM(E64)/SUM(E64,E207))</f>
        <v/>
      </c>
      <c r="F350" s="27">
        <f>IF(SUM(F64,F207)=0,"",SUM(F64)/SUM(F64,F207))</f>
        <v/>
      </c>
      <c r="G350" s="27">
        <f>IF(SUM(G64,G207)=0,"",SUM(G64)/SUM(G64,G207))</f>
        <v/>
      </c>
      <c r="H350" s="27">
        <f>IF(SUM(H64,H207)=0,"",SUM(H64)/SUM(H64,H207))</f>
        <v/>
      </c>
    </row>
    <row r="351" hidden="1" outlineLevel="1">
      <c r="A351" t="inlineStr">
        <is>
          <t>Week2-Sep-2026</t>
        </is>
      </c>
      <c r="B351" s="27">
        <f>IF(SUM(B65,B208)=0,"",SUM(B65)/SUM(B65,B208))</f>
        <v/>
      </c>
      <c r="C351" s="27">
        <f>IF(SUM(C65,C208)=0,"",SUM(C65)/SUM(C65,C208))</f>
        <v/>
      </c>
      <c r="D351" s="27">
        <f>IF(SUM(D65,D208)=0,"",SUM(D65)/SUM(D65,D208))</f>
        <v/>
      </c>
      <c r="E351" s="27">
        <f>IF(SUM(E65,E208)=0,"",SUM(E65)/SUM(E65,E208))</f>
        <v/>
      </c>
      <c r="F351" s="27">
        <f>IF(SUM(F65,F208)=0,"",SUM(F65)/SUM(F65,F208))</f>
        <v/>
      </c>
      <c r="G351" s="27">
        <f>IF(SUM(G65,G208)=0,"",SUM(G65)/SUM(G65,G208))</f>
        <v/>
      </c>
      <c r="H351" s="27">
        <f>IF(SUM(H65,H208)=0,"",SUM(H65)/SUM(H65,H208))</f>
        <v/>
      </c>
    </row>
    <row r="352" hidden="1" outlineLevel="1">
      <c r="A352" t="inlineStr">
        <is>
          <t>Week3-Sep-2026</t>
        </is>
      </c>
      <c r="B352" s="27">
        <f>IF(SUM(B66,B209)=0,"",SUM(B66)/SUM(B66,B209))</f>
        <v/>
      </c>
      <c r="C352" s="27">
        <f>IF(SUM(C66,C209)=0,"",SUM(C66)/SUM(C66,C209))</f>
        <v/>
      </c>
      <c r="D352" s="27">
        <f>IF(SUM(D66,D209)=0,"",SUM(D66)/SUM(D66,D209))</f>
        <v/>
      </c>
      <c r="E352" s="27">
        <f>IF(SUM(E66,E209)=0,"",SUM(E66)/SUM(E66,E209))</f>
        <v/>
      </c>
      <c r="F352" s="27">
        <f>IF(SUM(F66,F209)=0,"",SUM(F66)/SUM(F66,F209))</f>
        <v/>
      </c>
      <c r="G352" s="27">
        <f>IF(SUM(G66,G209)=0,"",SUM(G66)/SUM(G66,G209))</f>
        <v/>
      </c>
      <c r="H352" s="27">
        <f>IF(SUM(H66,H209)=0,"",SUM(H66)/SUM(H66,H209))</f>
        <v/>
      </c>
    </row>
    <row r="353" hidden="1" outlineLevel="1">
      <c r="A353" t="inlineStr">
        <is>
          <t>Week4-Sep-2026</t>
        </is>
      </c>
      <c r="B353" s="27">
        <f>IF(SUM(B67,B210)=0,"",SUM(B67)/SUM(B67,B210))</f>
        <v/>
      </c>
      <c r="C353" s="27">
        <f>IF(SUM(C67,C210)=0,"",SUM(C67)/SUM(C67,C210))</f>
        <v/>
      </c>
      <c r="D353" s="27">
        <f>IF(SUM(D67,D210)=0,"",SUM(D67)/SUM(D67,D210))</f>
        <v/>
      </c>
      <c r="E353" s="27">
        <f>IF(SUM(E67,E210)=0,"",SUM(E67)/SUM(E67,E210))</f>
        <v/>
      </c>
      <c r="F353" s="27">
        <f>IF(SUM(F67,F210)=0,"",SUM(F67)/SUM(F67,F210))</f>
        <v/>
      </c>
      <c r="G353" s="27">
        <f>IF(SUM(G67,G210)=0,"",SUM(G67)/SUM(G67,G210))</f>
        <v/>
      </c>
      <c r="H353" s="27">
        <f>IF(SUM(H67,H210)=0,"",SUM(H67)/SUM(H67,H210))</f>
        <v/>
      </c>
    </row>
    <row r="354" hidden="1" outlineLevel="1">
      <c r="A354" t="inlineStr">
        <is>
          <t>Week5-Sep-2026</t>
        </is>
      </c>
      <c r="B354" s="27">
        <f>IF(SUM(B68,B211)=0,"",SUM(B68)/SUM(B68,B211))</f>
        <v/>
      </c>
      <c r="C354" s="27">
        <f>IF(SUM(C68,C211)=0,"",SUM(C68)/SUM(C68,C211))</f>
        <v/>
      </c>
      <c r="D354" s="27">
        <f>IF(SUM(D68,D211)=0,"",SUM(D68)/SUM(D68,D211))</f>
        <v/>
      </c>
      <c r="E354" s="27">
        <f>IF(SUM(E68,E211)=0,"",SUM(E68)/SUM(E68,E211))</f>
        <v/>
      </c>
      <c r="F354" s="27">
        <f>IF(SUM(F68,F211)=0,"",SUM(F68)/SUM(F68,F211))</f>
        <v/>
      </c>
      <c r="G354" s="27">
        <f>IF(SUM(G68,G211)=0,"",SUM(G68)/SUM(G68,G211))</f>
        <v/>
      </c>
      <c r="H354" s="27">
        <f>IF(SUM(H68,H211)=0,"",SUM(H68)/SUM(H68,H211))</f>
        <v/>
      </c>
    </row>
    <row r="355" hidden="1" outlineLevel="1">
      <c r="A355" t="inlineStr">
        <is>
          <t>Week1-Oct-2026</t>
        </is>
      </c>
      <c r="B355" s="27">
        <f>IF(SUM(B69,B212)=0,"",SUM(B69)/SUM(B69,B212))</f>
        <v/>
      </c>
      <c r="C355" s="27">
        <f>IF(SUM(C69,C212)=0,"",SUM(C69)/SUM(C69,C212))</f>
        <v/>
      </c>
      <c r="D355" s="27">
        <f>IF(SUM(D69,D212)=0,"",SUM(D69)/SUM(D69,D212))</f>
        <v/>
      </c>
      <c r="E355" s="27">
        <f>IF(SUM(E69,E212)=0,"",SUM(E69)/SUM(E69,E212))</f>
        <v/>
      </c>
      <c r="F355" s="27">
        <f>IF(SUM(F69,F212)=0,"",SUM(F69)/SUM(F69,F212))</f>
        <v/>
      </c>
      <c r="G355" s="27">
        <f>IF(SUM(G69,G212)=0,"",SUM(G69)/SUM(G69,G212))</f>
        <v/>
      </c>
      <c r="H355" s="27">
        <f>IF(SUM(H69,H212)=0,"",SUM(H69)/SUM(H69,H212))</f>
        <v/>
      </c>
    </row>
    <row r="356" hidden="1" outlineLevel="1">
      <c r="A356" t="inlineStr">
        <is>
          <t>Week2-Oct-2026</t>
        </is>
      </c>
      <c r="B356" s="27">
        <f>IF(SUM(B70,B213)=0,"",SUM(B70)/SUM(B70,B213))</f>
        <v/>
      </c>
      <c r="C356" s="27">
        <f>IF(SUM(C70,C213)=0,"",SUM(C70)/SUM(C70,C213))</f>
        <v/>
      </c>
      <c r="D356" s="27">
        <f>IF(SUM(D70,D213)=0,"",SUM(D70)/SUM(D70,D213))</f>
        <v/>
      </c>
      <c r="E356" s="27">
        <f>IF(SUM(E70,E213)=0,"",SUM(E70)/SUM(E70,E213))</f>
        <v/>
      </c>
      <c r="F356" s="27">
        <f>IF(SUM(F70,F213)=0,"",SUM(F70)/SUM(F70,F213))</f>
        <v/>
      </c>
      <c r="G356" s="27">
        <f>IF(SUM(G70,G213)=0,"",SUM(G70)/SUM(G70,G213))</f>
        <v/>
      </c>
      <c r="H356" s="27">
        <f>IF(SUM(H70,H213)=0,"",SUM(H70)/SUM(H70,H213))</f>
        <v/>
      </c>
    </row>
    <row r="357" hidden="1" outlineLevel="1">
      <c r="A357" t="inlineStr">
        <is>
          <t>Week3-Oct-2026</t>
        </is>
      </c>
      <c r="B357" s="27">
        <f>IF(SUM(B71,B214)=0,"",SUM(B71)/SUM(B71,B214))</f>
        <v/>
      </c>
      <c r="C357" s="27">
        <f>IF(SUM(C71,C214)=0,"",SUM(C71)/SUM(C71,C214))</f>
        <v/>
      </c>
      <c r="D357" s="27">
        <f>IF(SUM(D71,D214)=0,"",SUM(D71)/SUM(D71,D214))</f>
        <v/>
      </c>
      <c r="E357" s="27">
        <f>IF(SUM(E71,E214)=0,"",SUM(E71)/SUM(E71,E214))</f>
        <v/>
      </c>
      <c r="F357" s="27">
        <f>IF(SUM(F71,F214)=0,"",SUM(F71)/SUM(F71,F214))</f>
        <v/>
      </c>
      <c r="G357" s="27">
        <f>IF(SUM(G71,G214)=0,"",SUM(G71)/SUM(G71,G214))</f>
        <v/>
      </c>
      <c r="H357" s="27">
        <f>IF(SUM(H71,H214)=0,"",SUM(H71)/SUM(H71,H214))</f>
        <v/>
      </c>
    </row>
    <row r="358" hidden="1" outlineLevel="1">
      <c r="A358" t="inlineStr">
        <is>
          <t>Week4-Oct-2026</t>
        </is>
      </c>
      <c r="B358" s="27">
        <f>IF(SUM(B72,B215)=0,"",SUM(B72)/SUM(B72,B215))</f>
        <v/>
      </c>
      <c r="C358" s="27">
        <f>IF(SUM(C72,C215)=0,"",SUM(C72)/SUM(C72,C215))</f>
        <v/>
      </c>
      <c r="D358" s="27">
        <f>IF(SUM(D72,D215)=0,"",SUM(D72)/SUM(D72,D215))</f>
        <v/>
      </c>
      <c r="E358" s="27">
        <f>IF(SUM(E72,E215)=0,"",SUM(E72)/SUM(E72,E215))</f>
        <v/>
      </c>
      <c r="F358" s="27">
        <f>IF(SUM(F72,F215)=0,"",SUM(F72)/SUM(F72,F215))</f>
        <v/>
      </c>
      <c r="G358" s="27">
        <f>IF(SUM(G72,G215)=0,"",SUM(G72)/SUM(G72,G215))</f>
        <v/>
      </c>
      <c r="H358" s="27">
        <f>IF(SUM(H72,H215)=0,"",SUM(H72)/SUM(H72,H215))</f>
        <v/>
      </c>
    </row>
    <row r="359" hidden="1" outlineLevel="1">
      <c r="A359" t="inlineStr">
        <is>
          <t>Week5-Oct-2026</t>
        </is>
      </c>
      <c r="B359" s="27">
        <f>IF(SUM(B73,B216)=0,"",SUM(B73)/SUM(B73,B216))</f>
        <v/>
      </c>
      <c r="C359" s="27">
        <f>IF(SUM(C73,C216)=0,"",SUM(C73)/SUM(C73,C216))</f>
        <v/>
      </c>
      <c r="D359" s="27">
        <f>IF(SUM(D73,D216)=0,"",SUM(D73)/SUM(D73,D216))</f>
        <v/>
      </c>
      <c r="E359" s="27">
        <f>IF(SUM(E73,E216)=0,"",SUM(E73)/SUM(E73,E216))</f>
        <v/>
      </c>
      <c r="F359" s="27">
        <f>IF(SUM(F73,F216)=0,"",SUM(F73)/SUM(F73,F216))</f>
        <v/>
      </c>
      <c r="G359" s="27">
        <f>IF(SUM(G73,G216)=0,"",SUM(G73)/SUM(G73,G216))</f>
        <v/>
      </c>
      <c r="H359" s="27">
        <f>IF(SUM(H73,H216)=0,"",SUM(H73)/SUM(H73,H216))</f>
        <v/>
      </c>
    </row>
    <row r="360" hidden="1" outlineLevel="1">
      <c r="A360" t="inlineStr">
        <is>
          <t>Week1-Nov-2026</t>
        </is>
      </c>
      <c r="B360" s="27">
        <f>IF(SUM(B74,B217)=0,"",SUM(B74)/SUM(B74,B217))</f>
        <v/>
      </c>
      <c r="C360" s="27">
        <f>IF(SUM(C74,C217)=0,"",SUM(C74)/SUM(C74,C217))</f>
        <v/>
      </c>
      <c r="D360" s="27">
        <f>IF(SUM(D74,D217)=0,"",SUM(D74)/SUM(D74,D217))</f>
        <v/>
      </c>
      <c r="E360" s="27">
        <f>IF(SUM(E74,E217)=0,"",SUM(E74)/SUM(E74,E217))</f>
        <v/>
      </c>
      <c r="F360" s="27">
        <f>IF(SUM(F74,F217)=0,"",SUM(F74)/SUM(F74,F217))</f>
        <v/>
      </c>
      <c r="G360" s="27">
        <f>IF(SUM(G74,G217)=0,"",SUM(G74)/SUM(G74,G217))</f>
        <v/>
      </c>
      <c r="H360" s="27">
        <f>IF(SUM(H74,H217)=0,"",SUM(H74)/SUM(H74,H217))</f>
        <v/>
      </c>
    </row>
    <row r="361" hidden="1" outlineLevel="1">
      <c r="A361" t="inlineStr">
        <is>
          <t>Week2-Nov-2026</t>
        </is>
      </c>
      <c r="B361" s="27">
        <f>IF(SUM(B75,B218)=0,"",SUM(B75)/SUM(B75,B218))</f>
        <v/>
      </c>
      <c r="C361" s="27">
        <f>IF(SUM(C75,C218)=0,"",SUM(C75)/SUM(C75,C218))</f>
        <v/>
      </c>
      <c r="D361" s="27">
        <f>IF(SUM(D75,D218)=0,"",SUM(D75)/SUM(D75,D218))</f>
        <v/>
      </c>
      <c r="E361" s="27">
        <f>IF(SUM(E75,E218)=0,"",SUM(E75)/SUM(E75,E218))</f>
        <v/>
      </c>
      <c r="F361" s="27">
        <f>IF(SUM(F75,F218)=0,"",SUM(F75)/SUM(F75,F218))</f>
        <v/>
      </c>
      <c r="G361" s="27">
        <f>IF(SUM(G75,G218)=0,"",SUM(G75)/SUM(G75,G218))</f>
        <v/>
      </c>
      <c r="H361" s="27">
        <f>IF(SUM(H75,H218)=0,"",SUM(H75)/SUM(H75,H218))</f>
        <v/>
      </c>
    </row>
    <row r="362" hidden="1" outlineLevel="1">
      <c r="A362" t="inlineStr">
        <is>
          <t>Week3-Nov-2026</t>
        </is>
      </c>
      <c r="B362" s="27">
        <f>IF(SUM(B76,B219)=0,"",SUM(B76)/SUM(B76,B219))</f>
        <v/>
      </c>
      <c r="C362" s="27">
        <f>IF(SUM(C76,C219)=0,"",SUM(C76)/SUM(C76,C219))</f>
        <v/>
      </c>
      <c r="D362" s="27">
        <f>IF(SUM(D76,D219)=0,"",SUM(D76)/SUM(D76,D219))</f>
        <v/>
      </c>
      <c r="E362" s="27">
        <f>IF(SUM(E76,E219)=0,"",SUM(E76)/SUM(E76,E219))</f>
        <v/>
      </c>
      <c r="F362" s="27">
        <f>IF(SUM(F76,F219)=0,"",SUM(F76)/SUM(F76,F219))</f>
        <v/>
      </c>
      <c r="G362" s="27">
        <f>IF(SUM(G76,G219)=0,"",SUM(G76)/SUM(G76,G219))</f>
        <v/>
      </c>
      <c r="H362" s="27">
        <f>IF(SUM(H76,H219)=0,"",SUM(H76)/SUM(H76,H219))</f>
        <v/>
      </c>
    </row>
    <row r="363" hidden="1" outlineLevel="1">
      <c r="A363" t="inlineStr">
        <is>
          <t>Week4-Nov-2026</t>
        </is>
      </c>
      <c r="B363" s="27">
        <f>IF(SUM(B77,B220)=0,"",SUM(B77)/SUM(B77,B220))</f>
        <v/>
      </c>
      <c r="C363" s="27">
        <f>IF(SUM(C77,C220)=0,"",SUM(C77)/SUM(C77,C220))</f>
        <v/>
      </c>
      <c r="D363" s="27">
        <f>IF(SUM(D77,D220)=0,"",SUM(D77)/SUM(D77,D220))</f>
        <v/>
      </c>
      <c r="E363" s="27">
        <f>IF(SUM(E77,E220)=0,"",SUM(E77)/SUM(E77,E220))</f>
        <v/>
      </c>
      <c r="F363" s="27">
        <f>IF(SUM(F77,F220)=0,"",SUM(F77)/SUM(F77,F220))</f>
        <v/>
      </c>
      <c r="G363" s="27">
        <f>IF(SUM(G77,G220)=0,"",SUM(G77)/SUM(G77,G220))</f>
        <v/>
      </c>
      <c r="H363" s="27">
        <f>IF(SUM(H77,H220)=0,"",SUM(H77)/SUM(H77,H220))</f>
        <v/>
      </c>
    </row>
    <row r="364" hidden="1" outlineLevel="1">
      <c r="A364" t="inlineStr">
        <is>
          <t>Week5-Nov-2026</t>
        </is>
      </c>
      <c r="B364" s="27">
        <f>IF(SUM(B78,B221)=0,"",SUM(B78)/SUM(B78,B221))</f>
        <v/>
      </c>
      <c r="C364" s="27">
        <f>IF(SUM(C78,C221)=0,"",SUM(C78)/SUM(C78,C221))</f>
        <v/>
      </c>
      <c r="D364" s="27">
        <f>IF(SUM(D78,D221)=0,"",SUM(D78)/SUM(D78,D221))</f>
        <v/>
      </c>
      <c r="E364" s="27">
        <f>IF(SUM(E78,E221)=0,"",SUM(E78)/SUM(E78,E221))</f>
        <v/>
      </c>
      <c r="F364" s="27">
        <f>IF(SUM(F78,F221)=0,"",SUM(F78)/SUM(F78,F221))</f>
        <v/>
      </c>
      <c r="G364" s="27">
        <f>IF(SUM(G78,G221)=0,"",SUM(G78)/SUM(G78,G221))</f>
        <v/>
      </c>
      <c r="H364" s="27">
        <f>IF(SUM(H78,H221)=0,"",SUM(H78)/SUM(H78,H221))</f>
        <v/>
      </c>
    </row>
    <row r="365" hidden="1" outlineLevel="1">
      <c r="A365" t="inlineStr">
        <is>
          <t>Week1-Dec-2026</t>
        </is>
      </c>
      <c r="B365" s="27">
        <f>IF(SUM(B79,B222)=0,"",SUM(B79)/SUM(B79,B222))</f>
        <v/>
      </c>
      <c r="C365" s="27">
        <f>IF(SUM(C79,C222)=0,"",SUM(C79)/SUM(C79,C222))</f>
        <v/>
      </c>
      <c r="D365" s="27">
        <f>IF(SUM(D79,D222)=0,"",SUM(D79)/SUM(D79,D222))</f>
        <v/>
      </c>
      <c r="E365" s="27">
        <f>IF(SUM(E79,E222)=0,"",SUM(E79)/SUM(E79,E222))</f>
        <v/>
      </c>
      <c r="F365" s="27">
        <f>IF(SUM(F79,F222)=0,"",SUM(F79)/SUM(F79,F222))</f>
        <v/>
      </c>
      <c r="G365" s="27">
        <f>IF(SUM(G79,G222)=0,"",SUM(G79)/SUM(G79,G222))</f>
        <v/>
      </c>
      <c r="H365" s="27">
        <f>IF(SUM(H79,H222)=0,"",SUM(H79)/SUM(H79,H222))</f>
        <v/>
      </c>
    </row>
    <row r="366" hidden="1" outlineLevel="1">
      <c r="A366" t="inlineStr">
        <is>
          <t>Week2-Dec-2026</t>
        </is>
      </c>
      <c r="B366" s="27">
        <f>IF(SUM(B80,B223)=0,"",SUM(B80)/SUM(B80,B223))</f>
        <v/>
      </c>
      <c r="C366" s="27">
        <f>IF(SUM(C80,C223)=0,"",SUM(C80)/SUM(C80,C223))</f>
        <v/>
      </c>
      <c r="D366" s="27">
        <f>IF(SUM(D80,D223)=0,"",SUM(D80)/SUM(D80,D223))</f>
        <v/>
      </c>
      <c r="E366" s="27">
        <f>IF(SUM(E80,E223)=0,"",SUM(E80)/SUM(E80,E223))</f>
        <v/>
      </c>
      <c r="F366" s="27">
        <f>IF(SUM(F80,F223)=0,"",SUM(F80)/SUM(F80,F223))</f>
        <v/>
      </c>
      <c r="G366" s="27">
        <f>IF(SUM(G80,G223)=0,"",SUM(G80)/SUM(G80,G223))</f>
        <v/>
      </c>
      <c r="H366" s="27">
        <f>IF(SUM(H80,H223)=0,"",SUM(H80)/SUM(H80,H223))</f>
        <v/>
      </c>
    </row>
    <row r="367" hidden="1" outlineLevel="1">
      <c r="A367" t="inlineStr">
        <is>
          <t>Week3-Dec-2026</t>
        </is>
      </c>
      <c r="B367" s="27">
        <f>IF(SUM(B81,B224)=0,"",SUM(B81)/SUM(B81,B224))</f>
        <v/>
      </c>
      <c r="C367" s="27">
        <f>IF(SUM(C81,C224)=0,"",SUM(C81)/SUM(C81,C224))</f>
        <v/>
      </c>
      <c r="D367" s="27">
        <f>IF(SUM(D81,D224)=0,"",SUM(D81)/SUM(D81,D224))</f>
        <v/>
      </c>
      <c r="E367" s="27">
        <f>IF(SUM(E81,E224)=0,"",SUM(E81)/SUM(E81,E224))</f>
        <v/>
      </c>
      <c r="F367" s="27">
        <f>IF(SUM(F81,F224)=0,"",SUM(F81)/SUM(F81,F224))</f>
        <v/>
      </c>
      <c r="G367" s="27">
        <f>IF(SUM(G81,G224)=0,"",SUM(G81)/SUM(G81,G224))</f>
        <v/>
      </c>
      <c r="H367" s="27">
        <f>IF(SUM(H81,H224)=0,"",SUM(H81)/SUM(H81,H224))</f>
        <v/>
      </c>
    </row>
    <row r="368" hidden="1" outlineLevel="1">
      <c r="A368" t="inlineStr">
        <is>
          <t>Week4-Dec-2026</t>
        </is>
      </c>
      <c r="B368" s="27">
        <f>IF(SUM(B82,B225)=0,"",SUM(B82)/SUM(B82,B225))</f>
        <v/>
      </c>
      <c r="C368" s="27">
        <f>IF(SUM(C82,C225)=0,"",SUM(C82)/SUM(C82,C225))</f>
        <v/>
      </c>
      <c r="D368" s="27">
        <f>IF(SUM(D82,D225)=0,"",SUM(D82)/SUM(D82,D225))</f>
        <v/>
      </c>
      <c r="E368" s="27">
        <f>IF(SUM(E82,E225)=0,"",SUM(E82)/SUM(E82,E225))</f>
        <v/>
      </c>
      <c r="F368" s="27">
        <f>IF(SUM(F82,F225)=0,"",SUM(F82)/SUM(F82,F225))</f>
        <v/>
      </c>
      <c r="G368" s="27">
        <f>IF(SUM(G82,G225)=0,"",SUM(G82)/SUM(G82,G225))</f>
        <v/>
      </c>
      <c r="H368" s="27">
        <f>IF(SUM(H82,H225)=0,"",SUM(H82)/SUM(H82,H225))</f>
        <v/>
      </c>
    </row>
    <row r="369" hidden="1" outlineLevel="1">
      <c r="A369" t="inlineStr">
        <is>
          <t>Week5-Dec-2026</t>
        </is>
      </c>
      <c r="B369" s="27">
        <f>IF(SUM(B83,B226)=0,"",SUM(B83)/SUM(B83,B226))</f>
        <v/>
      </c>
      <c r="C369" s="27">
        <f>IF(SUM(C83,C226)=0,"",SUM(C83)/SUM(C83,C226))</f>
        <v/>
      </c>
      <c r="D369" s="27">
        <f>IF(SUM(D83,D226)=0,"",SUM(D83)/SUM(D83,D226))</f>
        <v/>
      </c>
      <c r="E369" s="27">
        <f>IF(SUM(E83,E226)=0,"",SUM(E83)/SUM(E83,E226))</f>
        <v/>
      </c>
      <c r="F369" s="27">
        <f>IF(SUM(F83,F226)=0,"",SUM(F83)/SUM(F83,F226))</f>
        <v/>
      </c>
      <c r="G369" s="27">
        <f>IF(SUM(G83,G226)=0,"",SUM(G83)/SUM(G83,G226))</f>
        <v/>
      </c>
      <c r="H369" s="27">
        <f>IF(SUM(H83,H226)=0,"",SUM(H83)/SUM(H83,H226))</f>
        <v/>
      </c>
    </row>
    <row r="370" hidden="1" outlineLevel="1">
      <c r="A370" t="inlineStr">
        <is>
          <t>Week1-Jan-2027</t>
        </is>
      </c>
      <c r="B370" s="27">
        <f>IF(SUM(B84,B227)=0,"",SUM(B84)/SUM(B84,B227))</f>
        <v/>
      </c>
      <c r="C370" s="27">
        <f>IF(SUM(C84,C227)=0,"",SUM(C84)/SUM(C84,C227))</f>
        <v/>
      </c>
      <c r="D370" s="27">
        <f>IF(SUM(D84,D227)=0,"",SUM(D84)/SUM(D84,D227))</f>
        <v/>
      </c>
      <c r="E370" s="27">
        <f>IF(SUM(E84,E227)=0,"",SUM(E84)/SUM(E84,E227))</f>
        <v/>
      </c>
      <c r="F370" s="27">
        <f>IF(SUM(F84,F227)=0,"",SUM(F84)/SUM(F84,F227))</f>
        <v/>
      </c>
      <c r="G370" s="27">
        <f>IF(SUM(G84,G227)=0,"",SUM(G84)/SUM(G84,G227))</f>
        <v/>
      </c>
      <c r="H370" s="27">
        <f>IF(SUM(H84,H227)=0,"",SUM(H84)/SUM(H84,H227))</f>
        <v/>
      </c>
    </row>
    <row r="371" hidden="1" outlineLevel="1">
      <c r="A371" t="inlineStr">
        <is>
          <t>Week2-Jan-2027</t>
        </is>
      </c>
      <c r="B371" s="27">
        <f>IF(SUM(B85,B228)=0,"",SUM(B85)/SUM(B85,B228))</f>
        <v/>
      </c>
      <c r="C371" s="27">
        <f>IF(SUM(C85,C228)=0,"",SUM(C85)/SUM(C85,C228))</f>
        <v/>
      </c>
      <c r="D371" s="27">
        <f>IF(SUM(D85,D228)=0,"",SUM(D85)/SUM(D85,D228))</f>
        <v/>
      </c>
      <c r="E371" s="27">
        <f>IF(SUM(E85,E228)=0,"",SUM(E85)/SUM(E85,E228))</f>
        <v/>
      </c>
      <c r="F371" s="27">
        <f>IF(SUM(F85,F228)=0,"",SUM(F85)/SUM(F85,F228))</f>
        <v/>
      </c>
      <c r="G371" s="27">
        <f>IF(SUM(G85,G228)=0,"",SUM(G85)/SUM(G85,G228))</f>
        <v/>
      </c>
      <c r="H371" s="27">
        <f>IF(SUM(H85,H228)=0,"",SUM(H85)/SUM(H85,H228))</f>
        <v/>
      </c>
    </row>
    <row r="372" hidden="1" outlineLevel="1">
      <c r="A372" t="inlineStr">
        <is>
          <t>Week3-Jan-2027</t>
        </is>
      </c>
      <c r="B372" s="27">
        <f>IF(SUM(B86,B229)=0,"",SUM(B86)/SUM(B86,B229))</f>
        <v/>
      </c>
      <c r="C372" s="27">
        <f>IF(SUM(C86,C229)=0,"",SUM(C86)/SUM(C86,C229))</f>
        <v/>
      </c>
      <c r="D372" s="27">
        <f>IF(SUM(D86,D229)=0,"",SUM(D86)/SUM(D86,D229))</f>
        <v/>
      </c>
      <c r="E372" s="27">
        <f>IF(SUM(E86,E229)=0,"",SUM(E86)/SUM(E86,E229))</f>
        <v/>
      </c>
      <c r="F372" s="27">
        <f>IF(SUM(F86,F229)=0,"",SUM(F86)/SUM(F86,F229))</f>
        <v/>
      </c>
      <c r="G372" s="27">
        <f>IF(SUM(G86,G229)=0,"",SUM(G86)/SUM(G86,G229))</f>
        <v/>
      </c>
      <c r="H372" s="27">
        <f>IF(SUM(H86,H229)=0,"",SUM(H86)/SUM(H86,H229))</f>
        <v/>
      </c>
    </row>
    <row r="373" hidden="1" outlineLevel="1">
      <c r="A373" t="inlineStr">
        <is>
          <t>Week4-Jan-2027</t>
        </is>
      </c>
      <c r="B373" s="27">
        <f>IF(SUM(B87,B230)=0,"",SUM(B87)/SUM(B87,B230))</f>
        <v/>
      </c>
      <c r="C373" s="27">
        <f>IF(SUM(C87,C230)=0,"",SUM(C87)/SUM(C87,C230))</f>
        <v/>
      </c>
      <c r="D373" s="27">
        <f>IF(SUM(D87,D230)=0,"",SUM(D87)/SUM(D87,D230))</f>
        <v/>
      </c>
      <c r="E373" s="27">
        <f>IF(SUM(E87,E230)=0,"",SUM(E87)/SUM(E87,E230))</f>
        <v/>
      </c>
      <c r="F373" s="27">
        <f>IF(SUM(F87,F230)=0,"",SUM(F87)/SUM(F87,F230))</f>
        <v/>
      </c>
      <c r="G373" s="27">
        <f>IF(SUM(G87,G230)=0,"",SUM(G87)/SUM(G87,G230))</f>
        <v/>
      </c>
      <c r="H373" s="27">
        <f>IF(SUM(H87,H230)=0,"",SUM(H87)/SUM(H87,H230))</f>
        <v/>
      </c>
    </row>
    <row r="374" hidden="1" outlineLevel="1">
      <c r="A374" t="inlineStr">
        <is>
          <t>Week5-Jan-2027</t>
        </is>
      </c>
      <c r="B374" s="27">
        <f>IF(SUM(B88,B231)=0,"",SUM(B88)/SUM(B88,B231))</f>
        <v/>
      </c>
      <c r="C374" s="27">
        <f>IF(SUM(C88,C231)=0,"",SUM(C88)/SUM(C88,C231))</f>
        <v/>
      </c>
      <c r="D374" s="27">
        <f>IF(SUM(D88,D231)=0,"",SUM(D88)/SUM(D88,D231))</f>
        <v/>
      </c>
      <c r="E374" s="27">
        <f>IF(SUM(E88,E231)=0,"",SUM(E88)/SUM(E88,E231))</f>
        <v/>
      </c>
      <c r="F374" s="27">
        <f>IF(SUM(F88,F231)=0,"",SUM(F88)/SUM(F88,F231))</f>
        <v/>
      </c>
      <c r="G374" s="27">
        <f>IF(SUM(G88,G231)=0,"",SUM(G88)/SUM(G88,G231))</f>
        <v/>
      </c>
      <c r="H374" s="27">
        <f>IF(SUM(H88,H231)=0,"",SUM(H88)/SUM(H88,H231))</f>
        <v/>
      </c>
    </row>
    <row r="375" hidden="1" outlineLevel="1">
      <c r="A375" t="inlineStr">
        <is>
          <t>Week1-Feb-2027</t>
        </is>
      </c>
      <c r="B375" s="27">
        <f>IF(SUM(B89,B232)=0,"",SUM(B89)/SUM(B89,B232))</f>
        <v/>
      </c>
      <c r="C375" s="27">
        <f>IF(SUM(C89,C232)=0,"",SUM(C89)/SUM(C89,C232))</f>
        <v/>
      </c>
      <c r="D375" s="27">
        <f>IF(SUM(D89,D232)=0,"",SUM(D89)/SUM(D89,D232))</f>
        <v/>
      </c>
      <c r="E375" s="27">
        <f>IF(SUM(E89,E232)=0,"",SUM(E89)/SUM(E89,E232))</f>
        <v/>
      </c>
      <c r="F375" s="27">
        <f>IF(SUM(F89,F232)=0,"",SUM(F89)/SUM(F89,F232))</f>
        <v/>
      </c>
      <c r="G375" s="27">
        <f>IF(SUM(G89,G232)=0,"",SUM(G89)/SUM(G89,G232))</f>
        <v/>
      </c>
      <c r="H375" s="27">
        <f>IF(SUM(H89,H232)=0,"",SUM(H89)/SUM(H89,H232))</f>
        <v/>
      </c>
    </row>
    <row r="376" hidden="1" outlineLevel="1">
      <c r="A376" t="inlineStr">
        <is>
          <t>Week2-Feb-2027</t>
        </is>
      </c>
      <c r="B376" s="27">
        <f>IF(SUM(B90,B233)=0,"",SUM(B90)/SUM(B90,B233))</f>
        <v/>
      </c>
      <c r="C376" s="27">
        <f>IF(SUM(C90,C233)=0,"",SUM(C90)/SUM(C90,C233))</f>
        <v/>
      </c>
      <c r="D376" s="27">
        <f>IF(SUM(D90,D233)=0,"",SUM(D90)/SUM(D90,D233))</f>
        <v/>
      </c>
      <c r="E376" s="27">
        <f>IF(SUM(E90,E233)=0,"",SUM(E90)/SUM(E90,E233))</f>
        <v/>
      </c>
      <c r="F376" s="27">
        <f>IF(SUM(F90,F233)=0,"",SUM(F90)/SUM(F90,F233))</f>
        <v/>
      </c>
      <c r="G376" s="27">
        <f>IF(SUM(G90,G233)=0,"",SUM(G90)/SUM(G90,G233))</f>
        <v/>
      </c>
      <c r="H376" s="27">
        <f>IF(SUM(H90,H233)=0,"",SUM(H90)/SUM(H90,H233))</f>
        <v/>
      </c>
    </row>
    <row r="377" hidden="1" outlineLevel="1">
      <c r="A377" t="inlineStr">
        <is>
          <t>Week3-Feb-2027</t>
        </is>
      </c>
      <c r="B377" s="27">
        <f>IF(SUM(B91,B234)=0,"",SUM(B91)/SUM(B91,B234))</f>
        <v/>
      </c>
      <c r="C377" s="27">
        <f>IF(SUM(C91,C234)=0,"",SUM(C91)/SUM(C91,C234))</f>
        <v/>
      </c>
      <c r="D377" s="27">
        <f>IF(SUM(D91,D234)=0,"",SUM(D91)/SUM(D91,D234))</f>
        <v/>
      </c>
      <c r="E377" s="27">
        <f>IF(SUM(E91,E234)=0,"",SUM(E91)/SUM(E91,E234))</f>
        <v/>
      </c>
      <c r="F377" s="27">
        <f>IF(SUM(F91,F234)=0,"",SUM(F91)/SUM(F91,F234))</f>
        <v/>
      </c>
      <c r="G377" s="27">
        <f>IF(SUM(G91,G234)=0,"",SUM(G91)/SUM(G91,G234))</f>
        <v/>
      </c>
      <c r="H377" s="27">
        <f>IF(SUM(H91,H234)=0,"",SUM(H91)/SUM(H91,H234))</f>
        <v/>
      </c>
    </row>
    <row r="378" hidden="1" outlineLevel="1">
      <c r="A378" t="inlineStr">
        <is>
          <t>Week4-Feb-2027</t>
        </is>
      </c>
      <c r="B378" s="27">
        <f>IF(SUM(B92,B235)=0,"",SUM(B92)/SUM(B92,B235))</f>
        <v/>
      </c>
      <c r="C378" s="27">
        <f>IF(SUM(C92,C235)=0,"",SUM(C92)/SUM(C92,C235))</f>
        <v/>
      </c>
      <c r="D378" s="27">
        <f>IF(SUM(D92,D235)=0,"",SUM(D92)/SUM(D92,D235))</f>
        <v/>
      </c>
      <c r="E378" s="27">
        <f>IF(SUM(E92,E235)=0,"",SUM(E92)/SUM(E92,E235))</f>
        <v/>
      </c>
      <c r="F378" s="27">
        <f>IF(SUM(F92,F235)=0,"",SUM(F92)/SUM(F92,F235))</f>
        <v/>
      </c>
      <c r="G378" s="27">
        <f>IF(SUM(G92,G235)=0,"",SUM(G92)/SUM(G92,G235))</f>
        <v/>
      </c>
      <c r="H378" s="27">
        <f>IF(SUM(H92,H235)=0,"",SUM(H92)/SUM(H92,H235))</f>
        <v/>
      </c>
    </row>
    <row r="379" hidden="1" outlineLevel="1">
      <c r="A379" t="inlineStr">
        <is>
          <t>Week1-Mar-2027</t>
        </is>
      </c>
      <c r="B379" s="27">
        <f>IF(SUM(B93,B236)=0,"",SUM(B93)/SUM(B93,B236))</f>
        <v/>
      </c>
      <c r="C379" s="27">
        <f>IF(SUM(C93,C236)=0,"",SUM(C93)/SUM(C93,C236))</f>
        <v/>
      </c>
      <c r="D379" s="27">
        <f>IF(SUM(D93,D236)=0,"",SUM(D93)/SUM(D93,D236))</f>
        <v/>
      </c>
      <c r="E379" s="27">
        <f>IF(SUM(E93,E236)=0,"",SUM(E93)/SUM(E93,E236))</f>
        <v/>
      </c>
      <c r="F379" s="27">
        <f>IF(SUM(F93,F236)=0,"",SUM(F93)/SUM(F93,F236))</f>
        <v/>
      </c>
      <c r="G379" s="27">
        <f>IF(SUM(G93,G236)=0,"",SUM(G93)/SUM(G93,G236))</f>
        <v/>
      </c>
      <c r="H379" s="27">
        <f>IF(SUM(H93,H236)=0,"",SUM(H93)/SUM(H93,H236))</f>
        <v/>
      </c>
    </row>
    <row r="380" hidden="1" outlineLevel="1">
      <c r="A380" t="inlineStr">
        <is>
          <t>Week2-Mar-2027</t>
        </is>
      </c>
      <c r="B380" s="27">
        <f>IF(SUM(B94,B237)=0,"",SUM(B94)/SUM(B94,B237))</f>
        <v/>
      </c>
      <c r="C380" s="27">
        <f>IF(SUM(C94,C237)=0,"",SUM(C94)/SUM(C94,C237))</f>
        <v/>
      </c>
      <c r="D380" s="27">
        <f>IF(SUM(D94,D237)=0,"",SUM(D94)/SUM(D94,D237))</f>
        <v/>
      </c>
      <c r="E380" s="27">
        <f>IF(SUM(E94,E237)=0,"",SUM(E94)/SUM(E94,E237))</f>
        <v/>
      </c>
      <c r="F380" s="27">
        <f>IF(SUM(F94,F237)=0,"",SUM(F94)/SUM(F94,F237))</f>
        <v/>
      </c>
      <c r="G380" s="27">
        <f>IF(SUM(G94,G237)=0,"",SUM(G94)/SUM(G94,G237))</f>
        <v/>
      </c>
      <c r="H380" s="27">
        <f>IF(SUM(H94,H237)=0,"",SUM(H94)/SUM(H94,H237))</f>
        <v/>
      </c>
    </row>
    <row r="381" hidden="1" outlineLevel="1">
      <c r="A381" t="inlineStr">
        <is>
          <t>Week3-Mar-2027</t>
        </is>
      </c>
      <c r="B381" s="27">
        <f>IF(SUM(B95,B238)=0,"",SUM(B95)/SUM(B95,B238))</f>
        <v/>
      </c>
      <c r="C381" s="27">
        <f>IF(SUM(C95,C238)=0,"",SUM(C95)/SUM(C95,C238))</f>
        <v/>
      </c>
      <c r="D381" s="27">
        <f>IF(SUM(D95,D238)=0,"",SUM(D95)/SUM(D95,D238))</f>
        <v/>
      </c>
      <c r="E381" s="27">
        <f>IF(SUM(E95,E238)=0,"",SUM(E95)/SUM(E95,E238))</f>
        <v/>
      </c>
      <c r="F381" s="27">
        <f>IF(SUM(F95,F238)=0,"",SUM(F95)/SUM(F95,F238))</f>
        <v/>
      </c>
      <c r="G381" s="27">
        <f>IF(SUM(G95,G238)=0,"",SUM(G95)/SUM(G95,G238))</f>
        <v/>
      </c>
      <c r="H381" s="27">
        <f>IF(SUM(H95,H238)=0,"",SUM(H95)/SUM(H95,H238))</f>
        <v/>
      </c>
    </row>
    <row r="382" hidden="1" outlineLevel="1">
      <c r="A382" t="inlineStr">
        <is>
          <t>Week4-Mar-2027</t>
        </is>
      </c>
      <c r="B382" s="27">
        <f>IF(SUM(B96,B239)=0,"",SUM(B96)/SUM(B96,B239))</f>
        <v/>
      </c>
      <c r="C382" s="27">
        <f>IF(SUM(C96,C239)=0,"",SUM(C96)/SUM(C96,C239))</f>
        <v/>
      </c>
      <c r="D382" s="27">
        <f>IF(SUM(D96,D239)=0,"",SUM(D96)/SUM(D96,D239))</f>
        <v/>
      </c>
      <c r="E382" s="27">
        <f>IF(SUM(E96,E239)=0,"",SUM(E96)/SUM(E96,E239))</f>
        <v/>
      </c>
      <c r="F382" s="27">
        <f>IF(SUM(F96,F239)=0,"",SUM(F96)/SUM(F96,F239))</f>
        <v/>
      </c>
      <c r="G382" s="27">
        <f>IF(SUM(G96,G239)=0,"",SUM(G96)/SUM(G96,G239))</f>
        <v/>
      </c>
      <c r="H382" s="27">
        <f>IF(SUM(H96,H239)=0,"",SUM(H96)/SUM(H96,H239))</f>
        <v/>
      </c>
    </row>
    <row r="383" hidden="1" outlineLevel="1">
      <c r="A383" t="inlineStr">
        <is>
          <t>Week5-Mar-2027</t>
        </is>
      </c>
      <c r="B383" s="27">
        <f>IF(SUM(B97,B240)=0,"",SUM(B97)/SUM(B97,B240))</f>
        <v/>
      </c>
      <c r="C383" s="27">
        <f>IF(SUM(C97,C240)=0,"",SUM(C97)/SUM(C97,C240))</f>
        <v/>
      </c>
      <c r="D383" s="27">
        <f>IF(SUM(D97,D240)=0,"",SUM(D97)/SUM(D97,D240))</f>
        <v/>
      </c>
      <c r="E383" s="27">
        <f>IF(SUM(E97,E240)=0,"",SUM(E97)/SUM(E97,E240))</f>
        <v/>
      </c>
      <c r="F383" s="27">
        <f>IF(SUM(F97,F240)=0,"",SUM(F97)/SUM(F97,F240))</f>
        <v/>
      </c>
      <c r="G383" s="27">
        <f>IF(SUM(G97,G240)=0,"",SUM(G97)/SUM(G97,G240))</f>
        <v/>
      </c>
      <c r="H383" s="27">
        <f>IF(SUM(H97,H240)=0,"",SUM(H97)/SUM(H97,H240))</f>
        <v/>
      </c>
    </row>
    <row r="384" hidden="1" outlineLevel="1">
      <c r="A384" t="inlineStr">
        <is>
          <t>Week1-Apr-2027</t>
        </is>
      </c>
      <c r="B384" s="27">
        <f>IF(SUM(B98,B241)=0,"",SUM(B98)/SUM(B98,B241))</f>
        <v/>
      </c>
      <c r="C384" s="27">
        <f>IF(SUM(C98,C241)=0,"",SUM(C98)/SUM(C98,C241))</f>
        <v/>
      </c>
      <c r="D384" s="27">
        <f>IF(SUM(D98,D241)=0,"",SUM(D98)/SUM(D98,D241))</f>
        <v/>
      </c>
      <c r="E384" s="27">
        <f>IF(SUM(E98,E241)=0,"",SUM(E98)/SUM(E98,E241))</f>
        <v/>
      </c>
      <c r="F384" s="27">
        <f>IF(SUM(F98,F241)=0,"",SUM(F98)/SUM(F98,F241))</f>
        <v/>
      </c>
      <c r="G384" s="27">
        <f>IF(SUM(G98,G241)=0,"",SUM(G98)/SUM(G98,G241))</f>
        <v/>
      </c>
      <c r="H384" s="27">
        <f>IF(SUM(H98,H241)=0,"",SUM(H98)/SUM(H98,H241))</f>
        <v/>
      </c>
    </row>
    <row r="385" hidden="1" outlineLevel="1">
      <c r="A385" t="inlineStr">
        <is>
          <t>Week2-Apr-2027</t>
        </is>
      </c>
      <c r="B385" s="27">
        <f>IF(SUM(B99,B242)=0,"",SUM(B99)/SUM(B99,B242))</f>
        <v/>
      </c>
      <c r="C385" s="27">
        <f>IF(SUM(C99,C242)=0,"",SUM(C99)/SUM(C99,C242))</f>
        <v/>
      </c>
      <c r="D385" s="27">
        <f>IF(SUM(D99,D242)=0,"",SUM(D99)/SUM(D99,D242))</f>
        <v/>
      </c>
      <c r="E385" s="27">
        <f>IF(SUM(E99,E242)=0,"",SUM(E99)/SUM(E99,E242))</f>
        <v/>
      </c>
      <c r="F385" s="27">
        <f>IF(SUM(F99,F242)=0,"",SUM(F99)/SUM(F99,F242))</f>
        <v/>
      </c>
      <c r="G385" s="27">
        <f>IF(SUM(G99,G242)=0,"",SUM(G99)/SUM(G99,G242))</f>
        <v/>
      </c>
      <c r="H385" s="27">
        <f>IF(SUM(H99,H242)=0,"",SUM(H99)/SUM(H99,H242))</f>
        <v/>
      </c>
    </row>
    <row r="386" hidden="1" outlineLevel="1">
      <c r="A386" t="inlineStr">
        <is>
          <t>Week3-Apr-2027</t>
        </is>
      </c>
      <c r="B386" s="27">
        <f>IF(SUM(B100,B243)=0,"",SUM(B100)/SUM(B100,B243))</f>
        <v/>
      </c>
      <c r="C386" s="27">
        <f>IF(SUM(C100,C243)=0,"",SUM(C100)/SUM(C100,C243))</f>
        <v/>
      </c>
      <c r="D386" s="27">
        <f>IF(SUM(D100,D243)=0,"",SUM(D100)/SUM(D100,D243))</f>
        <v/>
      </c>
      <c r="E386" s="27">
        <f>IF(SUM(E100,E243)=0,"",SUM(E100)/SUM(E100,E243))</f>
        <v/>
      </c>
      <c r="F386" s="27">
        <f>IF(SUM(F100,F243)=0,"",SUM(F100)/SUM(F100,F243))</f>
        <v/>
      </c>
      <c r="G386" s="27">
        <f>IF(SUM(G100,G243)=0,"",SUM(G100)/SUM(G100,G243))</f>
        <v/>
      </c>
      <c r="H386" s="27">
        <f>IF(SUM(H100,H243)=0,"",SUM(H100)/SUM(H100,H243))</f>
        <v/>
      </c>
    </row>
    <row r="387" hidden="1" outlineLevel="1">
      <c r="A387" t="inlineStr">
        <is>
          <t>Week4-Apr-2027</t>
        </is>
      </c>
      <c r="B387" s="27">
        <f>IF(SUM(B101,B244)=0,"",SUM(B101)/SUM(B101,B244))</f>
        <v/>
      </c>
      <c r="C387" s="27">
        <f>IF(SUM(C101,C244)=0,"",SUM(C101)/SUM(C101,C244))</f>
        <v/>
      </c>
      <c r="D387" s="27">
        <f>IF(SUM(D101,D244)=0,"",SUM(D101)/SUM(D101,D244))</f>
        <v/>
      </c>
      <c r="E387" s="27">
        <f>IF(SUM(E101,E244)=0,"",SUM(E101)/SUM(E101,E244))</f>
        <v/>
      </c>
      <c r="F387" s="27">
        <f>IF(SUM(F101,F244)=0,"",SUM(F101)/SUM(F101,F244))</f>
        <v/>
      </c>
      <c r="G387" s="27">
        <f>IF(SUM(G101,G244)=0,"",SUM(G101)/SUM(G101,G244))</f>
        <v/>
      </c>
      <c r="H387" s="27">
        <f>IF(SUM(H101,H244)=0,"",SUM(H101)/SUM(H101,H244))</f>
        <v/>
      </c>
    </row>
    <row r="388" hidden="1" outlineLevel="1">
      <c r="A388" t="inlineStr">
        <is>
          <t>Week5-Apr-2027</t>
        </is>
      </c>
      <c r="B388" s="27">
        <f>IF(SUM(B102,B245)=0,"",SUM(B102)/SUM(B102,B245))</f>
        <v/>
      </c>
      <c r="C388" s="27">
        <f>IF(SUM(C102,C245)=0,"",SUM(C102)/SUM(C102,C245))</f>
        <v/>
      </c>
      <c r="D388" s="27">
        <f>IF(SUM(D102,D245)=0,"",SUM(D102)/SUM(D102,D245))</f>
        <v/>
      </c>
      <c r="E388" s="27">
        <f>IF(SUM(E102,E245)=0,"",SUM(E102)/SUM(E102,E245))</f>
        <v/>
      </c>
      <c r="F388" s="27">
        <f>IF(SUM(F102,F245)=0,"",SUM(F102)/SUM(F102,F245))</f>
        <v/>
      </c>
      <c r="G388" s="27">
        <f>IF(SUM(G102,G245)=0,"",SUM(G102)/SUM(G102,G245))</f>
        <v/>
      </c>
      <c r="H388" s="27">
        <f>IF(SUM(H102,H245)=0,"",SUM(H102)/SUM(H102,H245))</f>
        <v/>
      </c>
    </row>
    <row r="389" hidden="1" outlineLevel="1">
      <c r="A389" t="inlineStr">
        <is>
          <t>Week1-May-2027</t>
        </is>
      </c>
      <c r="B389" s="27">
        <f>IF(SUM(B103,B246)=0,"",SUM(B103)/SUM(B103,B246))</f>
        <v/>
      </c>
      <c r="C389" s="27">
        <f>IF(SUM(C103,C246)=0,"",SUM(C103)/SUM(C103,C246))</f>
        <v/>
      </c>
      <c r="D389" s="27">
        <f>IF(SUM(D103,D246)=0,"",SUM(D103)/SUM(D103,D246))</f>
        <v/>
      </c>
      <c r="E389" s="27">
        <f>IF(SUM(E103,E246)=0,"",SUM(E103)/SUM(E103,E246))</f>
        <v/>
      </c>
      <c r="F389" s="27">
        <f>IF(SUM(F103,F246)=0,"",SUM(F103)/SUM(F103,F246))</f>
        <v/>
      </c>
      <c r="G389" s="27">
        <f>IF(SUM(G103,G246)=0,"",SUM(G103)/SUM(G103,G246))</f>
        <v/>
      </c>
      <c r="H389" s="27">
        <f>IF(SUM(H103,H246)=0,"",SUM(H103)/SUM(H103,H246))</f>
        <v/>
      </c>
    </row>
    <row r="390" hidden="1" outlineLevel="1">
      <c r="A390" t="inlineStr">
        <is>
          <t>Week2-May-2027</t>
        </is>
      </c>
      <c r="B390" s="27">
        <f>IF(SUM(B104,B247)=0,"",SUM(B104)/SUM(B104,B247))</f>
        <v/>
      </c>
      <c r="C390" s="27">
        <f>IF(SUM(C104,C247)=0,"",SUM(C104)/SUM(C104,C247))</f>
        <v/>
      </c>
      <c r="D390" s="27">
        <f>IF(SUM(D104,D247)=0,"",SUM(D104)/SUM(D104,D247))</f>
        <v/>
      </c>
      <c r="E390" s="27">
        <f>IF(SUM(E104,E247)=0,"",SUM(E104)/SUM(E104,E247))</f>
        <v/>
      </c>
      <c r="F390" s="27">
        <f>IF(SUM(F104,F247)=0,"",SUM(F104)/SUM(F104,F247))</f>
        <v/>
      </c>
      <c r="G390" s="27">
        <f>IF(SUM(G104,G247)=0,"",SUM(G104)/SUM(G104,G247))</f>
        <v/>
      </c>
      <c r="H390" s="27">
        <f>IF(SUM(H104,H247)=0,"",SUM(H104)/SUM(H104,H247))</f>
        <v/>
      </c>
    </row>
    <row r="391" hidden="1" outlineLevel="1">
      <c r="A391" t="inlineStr">
        <is>
          <t>Week3-May-2027</t>
        </is>
      </c>
      <c r="B391" s="27">
        <f>IF(SUM(B105,B248)=0,"",SUM(B105)/SUM(B105,B248))</f>
        <v/>
      </c>
      <c r="C391" s="27">
        <f>IF(SUM(C105,C248)=0,"",SUM(C105)/SUM(C105,C248))</f>
        <v/>
      </c>
      <c r="D391" s="27">
        <f>IF(SUM(D105,D248)=0,"",SUM(D105)/SUM(D105,D248))</f>
        <v/>
      </c>
      <c r="E391" s="27">
        <f>IF(SUM(E105,E248)=0,"",SUM(E105)/SUM(E105,E248))</f>
        <v/>
      </c>
      <c r="F391" s="27">
        <f>IF(SUM(F105,F248)=0,"",SUM(F105)/SUM(F105,F248))</f>
        <v/>
      </c>
      <c r="G391" s="27">
        <f>IF(SUM(G105,G248)=0,"",SUM(G105)/SUM(G105,G248))</f>
        <v/>
      </c>
      <c r="H391" s="27">
        <f>IF(SUM(H105,H248)=0,"",SUM(H105)/SUM(H105,H248))</f>
        <v/>
      </c>
    </row>
    <row r="392" hidden="1" outlineLevel="1">
      <c r="A392" t="inlineStr">
        <is>
          <t>Week4-May-2027</t>
        </is>
      </c>
      <c r="B392" s="27">
        <f>IF(SUM(B106,B249)=0,"",SUM(B106)/SUM(B106,B249))</f>
        <v/>
      </c>
      <c r="C392" s="27">
        <f>IF(SUM(C106,C249)=0,"",SUM(C106)/SUM(C106,C249))</f>
        <v/>
      </c>
      <c r="D392" s="27">
        <f>IF(SUM(D106,D249)=0,"",SUM(D106)/SUM(D106,D249))</f>
        <v/>
      </c>
      <c r="E392" s="27">
        <f>IF(SUM(E106,E249)=0,"",SUM(E106)/SUM(E106,E249))</f>
        <v/>
      </c>
      <c r="F392" s="27">
        <f>IF(SUM(F106,F249)=0,"",SUM(F106)/SUM(F106,F249))</f>
        <v/>
      </c>
      <c r="G392" s="27">
        <f>IF(SUM(G106,G249)=0,"",SUM(G106)/SUM(G106,G249))</f>
        <v/>
      </c>
      <c r="H392" s="27">
        <f>IF(SUM(H106,H249)=0,"",SUM(H106)/SUM(H106,H249))</f>
        <v/>
      </c>
    </row>
    <row r="393" hidden="1" outlineLevel="1">
      <c r="A393" t="inlineStr">
        <is>
          <t>Week5-May-2027</t>
        </is>
      </c>
      <c r="B393" s="27">
        <f>IF(SUM(B107,B250)=0,"",SUM(B107)/SUM(B107,B250))</f>
        <v/>
      </c>
      <c r="C393" s="27">
        <f>IF(SUM(C107,C250)=0,"",SUM(C107)/SUM(C107,C250))</f>
        <v/>
      </c>
      <c r="D393" s="27">
        <f>IF(SUM(D107,D250)=0,"",SUM(D107)/SUM(D107,D250))</f>
        <v/>
      </c>
      <c r="E393" s="27">
        <f>IF(SUM(E107,E250)=0,"",SUM(E107)/SUM(E107,E250))</f>
        <v/>
      </c>
      <c r="F393" s="27">
        <f>IF(SUM(F107,F250)=0,"",SUM(F107)/SUM(F107,F250))</f>
        <v/>
      </c>
      <c r="G393" s="27">
        <f>IF(SUM(G107,G250)=0,"",SUM(G107)/SUM(G107,G250))</f>
        <v/>
      </c>
      <c r="H393" s="27">
        <f>IF(SUM(H107,H250)=0,"",SUM(H107)/SUM(H107,H250))</f>
        <v/>
      </c>
    </row>
    <row r="394" hidden="1" outlineLevel="1">
      <c r="A394" t="inlineStr">
        <is>
          <t>Week1-Jun-2027</t>
        </is>
      </c>
      <c r="B394" s="27">
        <f>IF(SUM(B108,B251)=0,"",SUM(B108)/SUM(B108,B251))</f>
        <v/>
      </c>
      <c r="C394" s="27">
        <f>IF(SUM(C108,C251)=0,"",SUM(C108)/SUM(C108,C251))</f>
        <v/>
      </c>
      <c r="D394" s="27">
        <f>IF(SUM(D108,D251)=0,"",SUM(D108)/SUM(D108,D251))</f>
        <v/>
      </c>
      <c r="E394" s="27">
        <f>IF(SUM(E108,E251)=0,"",SUM(E108)/SUM(E108,E251))</f>
        <v/>
      </c>
      <c r="F394" s="27">
        <f>IF(SUM(F108,F251)=0,"",SUM(F108)/SUM(F108,F251))</f>
        <v/>
      </c>
      <c r="G394" s="27">
        <f>IF(SUM(G108,G251)=0,"",SUM(G108)/SUM(G108,G251))</f>
        <v/>
      </c>
      <c r="H394" s="27">
        <f>IF(SUM(H108,H251)=0,"",SUM(H108)/SUM(H108,H251))</f>
        <v/>
      </c>
    </row>
    <row r="395" hidden="1" outlineLevel="1">
      <c r="A395" t="inlineStr">
        <is>
          <t>Week2-Jun-2027</t>
        </is>
      </c>
      <c r="B395" s="27">
        <f>IF(SUM(B109,B252)=0,"",SUM(B109)/SUM(B109,B252))</f>
        <v/>
      </c>
      <c r="C395" s="27">
        <f>IF(SUM(C109,C252)=0,"",SUM(C109)/SUM(C109,C252))</f>
        <v/>
      </c>
      <c r="D395" s="27">
        <f>IF(SUM(D109,D252)=0,"",SUM(D109)/SUM(D109,D252))</f>
        <v/>
      </c>
      <c r="E395" s="27">
        <f>IF(SUM(E109,E252)=0,"",SUM(E109)/SUM(E109,E252))</f>
        <v/>
      </c>
      <c r="F395" s="27">
        <f>IF(SUM(F109,F252)=0,"",SUM(F109)/SUM(F109,F252))</f>
        <v/>
      </c>
      <c r="G395" s="27">
        <f>IF(SUM(G109,G252)=0,"",SUM(G109)/SUM(G109,G252))</f>
        <v/>
      </c>
      <c r="H395" s="27">
        <f>IF(SUM(H109,H252)=0,"",SUM(H109)/SUM(H109,H252))</f>
        <v/>
      </c>
    </row>
    <row r="396" hidden="1" outlineLevel="1">
      <c r="A396" t="inlineStr">
        <is>
          <t>Week3-Jun-2027</t>
        </is>
      </c>
      <c r="B396" s="27">
        <f>IF(SUM(B110,B253)=0,"",SUM(B110)/SUM(B110,B253))</f>
        <v/>
      </c>
      <c r="C396" s="27">
        <f>IF(SUM(C110,C253)=0,"",SUM(C110)/SUM(C110,C253))</f>
        <v/>
      </c>
      <c r="D396" s="27">
        <f>IF(SUM(D110,D253)=0,"",SUM(D110)/SUM(D110,D253))</f>
        <v/>
      </c>
      <c r="E396" s="27">
        <f>IF(SUM(E110,E253)=0,"",SUM(E110)/SUM(E110,E253))</f>
        <v/>
      </c>
      <c r="F396" s="27">
        <f>IF(SUM(F110,F253)=0,"",SUM(F110)/SUM(F110,F253))</f>
        <v/>
      </c>
      <c r="G396" s="27">
        <f>IF(SUM(G110,G253)=0,"",SUM(G110)/SUM(G110,G253))</f>
        <v/>
      </c>
      <c r="H396" s="27">
        <f>IF(SUM(H110,H253)=0,"",SUM(H110)/SUM(H110,H253))</f>
        <v/>
      </c>
    </row>
    <row r="397" hidden="1" outlineLevel="1">
      <c r="A397" t="inlineStr">
        <is>
          <t>Week4-Jun-2027</t>
        </is>
      </c>
      <c r="B397" s="27">
        <f>IF(SUM(B111,B254)=0,"",SUM(B111)/SUM(B111,B254))</f>
        <v/>
      </c>
      <c r="C397" s="27">
        <f>IF(SUM(C111,C254)=0,"",SUM(C111)/SUM(C111,C254))</f>
        <v/>
      </c>
      <c r="D397" s="27">
        <f>IF(SUM(D111,D254)=0,"",SUM(D111)/SUM(D111,D254))</f>
        <v/>
      </c>
      <c r="E397" s="27">
        <f>IF(SUM(E111,E254)=0,"",SUM(E111)/SUM(E111,E254))</f>
        <v/>
      </c>
      <c r="F397" s="27">
        <f>IF(SUM(F111,F254)=0,"",SUM(F111)/SUM(F111,F254))</f>
        <v/>
      </c>
      <c r="G397" s="27">
        <f>IF(SUM(G111,G254)=0,"",SUM(G111)/SUM(G111,G254))</f>
        <v/>
      </c>
      <c r="H397" s="27">
        <f>IF(SUM(H111,H254)=0,"",SUM(H111)/SUM(H111,H254))</f>
        <v/>
      </c>
    </row>
    <row r="398" hidden="1" outlineLevel="1">
      <c r="A398" t="inlineStr">
        <is>
          <t>Week5-Jun-2027</t>
        </is>
      </c>
      <c r="B398" s="27">
        <f>IF(SUM(B112,B255)=0,"",SUM(B112)/SUM(B112,B255))</f>
        <v/>
      </c>
      <c r="C398" s="27">
        <f>IF(SUM(C112,C255)=0,"",SUM(C112)/SUM(C112,C255))</f>
        <v/>
      </c>
      <c r="D398" s="27">
        <f>IF(SUM(D112,D255)=0,"",SUM(D112)/SUM(D112,D255))</f>
        <v/>
      </c>
      <c r="E398" s="27">
        <f>IF(SUM(E112,E255)=0,"",SUM(E112)/SUM(E112,E255))</f>
        <v/>
      </c>
      <c r="F398" s="27">
        <f>IF(SUM(F112,F255)=0,"",SUM(F112)/SUM(F112,F255))</f>
        <v/>
      </c>
      <c r="G398" s="27">
        <f>IF(SUM(G112,G255)=0,"",SUM(G112)/SUM(G112,G255))</f>
        <v/>
      </c>
      <c r="H398" s="27">
        <f>IF(SUM(H112,H255)=0,"",SUM(H112)/SUM(H112,H255))</f>
        <v/>
      </c>
    </row>
    <row r="399" hidden="1" outlineLevel="1">
      <c r="A399" t="inlineStr">
        <is>
          <t>Week1-Jul-2027</t>
        </is>
      </c>
      <c r="B399" s="27">
        <f>IF(SUM(B113,B256)=0,"",SUM(B113)/SUM(B113,B256))</f>
        <v/>
      </c>
      <c r="C399" s="27">
        <f>IF(SUM(C113,C256)=0,"",SUM(C113)/SUM(C113,C256))</f>
        <v/>
      </c>
      <c r="D399" s="27">
        <f>IF(SUM(D113,D256)=0,"",SUM(D113)/SUM(D113,D256))</f>
        <v/>
      </c>
      <c r="E399" s="27">
        <f>IF(SUM(E113,E256)=0,"",SUM(E113)/SUM(E113,E256))</f>
        <v/>
      </c>
      <c r="F399" s="27">
        <f>IF(SUM(F113,F256)=0,"",SUM(F113)/SUM(F113,F256))</f>
        <v/>
      </c>
      <c r="G399" s="27">
        <f>IF(SUM(G113,G256)=0,"",SUM(G113)/SUM(G113,G256))</f>
        <v/>
      </c>
      <c r="H399" s="27">
        <f>IF(SUM(H113,H256)=0,"",SUM(H113)/SUM(H113,H256))</f>
        <v/>
      </c>
    </row>
    <row r="400" hidden="1" outlineLevel="1">
      <c r="A400" t="inlineStr">
        <is>
          <t>Week2-Jul-2027</t>
        </is>
      </c>
      <c r="B400" s="27">
        <f>IF(SUM(B114,B257)=0,"",SUM(B114)/SUM(B114,B257))</f>
        <v/>
      </c>
      <c r="C400" s="27">
        <f>IF(SUM(C114,C257)=0,"",SUM(C114)/SUM(C114,C257))</f>
        <v/>
      </c>
      <c r="D400" s="27">
        <f>IF(SUM(D114,D257)=0,"",SUM(D114)/SUM(D114,D257))</f>
        <v/>
      </c>
      <c r="E400" s="27">
        <f>IF(SUM(E114,E257)=0,"",SUM(E114)/SUM(E114,E257))</f>
        <v/>
      </c>
      <c r="F400" s="27">
        <f>IF(SUM(F114,F257)=0,"",SUM(F114)/SUM(F114,F257))</f>
        <v/>
      </c>
      <c r="G400" s="27">
        <f>IF(SUM(G114,G257)=0,"",SUM(G114)/SUM(G114,G257))</f>
        <v/>
      </c>
      <c r="H400" s="27">
        <f>IF(SUM(H114,H257)=0,"",SUM(H114)/SUM(H114,H257))</f>
        <v/>
      </c>
    </row>
    <row r="401" hidden="1" outlineLevel="1">
      <c r="A401" t="inlineStr">
        <is>
          <t>Week3-Jul-2027</t>
        </is>
      </c>
      <c r="B401" s="27">
        <f>IF(SUM(B115,B258)=0,"",SUM(B115)/SUM(B115,B258))</f>
        <v/>
      </c>
      <c r="C401" s="27">
        <f>IF(SUM(C115,C258)=0,"",SUM(C115)/SUM(C115,C258))</f>
        <v/>
      </c>
      <c r="D401" s="27">
        <f>IF(SUM(D115,D258)=0,"",SUM(D115)/SUM(D115,D258))</f>
        <v/>
      </c>
      <c r="E401" s="27">
        <f>IF(SUM(E115,E258)=0,"",SUM(E115)/SUM(E115,E258))</f>
        <v/>
      </c>
      <c r="F401" s="27">
        <f>IF(SUM(F115,F258)=0,"",SUM(F115)/SUM(F115,F258))</f>
        <v/>
      </c>
      <c r="G401" s="27">
        <f>IF(SUM(G115,G258)=0,"",SUM(G115)/SUM(G115,G258))</f>
        <v/>
      </c>
      <c r="H401" s="27">
        <f>IF(SUM(H115,H258)=0,"",SUM(H115)/SUM(H115,H258))</f>
        <v/>
      </c>
    </row>
    <row r="402" hidden="1" outlineLevel="1">
      <c r="A402" t="inlineStr">
        <is>
          <t>Week4-Jul-2027</t>
        </is>
      </c>
      <c r="B402" s="27">
        <f>IF(SUM(B116,B259)=0,"",SUM(B116)/SUM(B116,B259))</f>
        <v/>
      </c>
      <c r="C402" s="27">
        <f>IF(SUM(C116,C259)=0,"",SUM(C116)/SUM(C116,C259))</f>
        <v/>
      </c>
      <c r="D402" s="27">
        <f>IF(SUM(D116,D259)=0,"",SUM(D116)/SUM(D116,D259))</f>
        <v/>
      </c>
      <c r="E402" s="27">
        <f>IF(SUM(E116,E259)=0,"",SUM(E116)/SUM(E116,E259))</f>
        <v/>
      </c>
      <c r="F402" s="27">
        <f>IF(SUM(F116,F259)=0,"",SUM(F116)/SUM(F116,F259))</f>
        <v/>
      </c>
      <c r="G402" s="27">
        <f>IF(SUM(G116,G259)=0,"",SUM(G116)/SUM(G116,G259))</f>
        <v/>
      </c>
      <c r="H402" s="27">
        <f>IF(SUM(H116,H259)=0,"",SUM(H116)/SUM(H116,H259))</f>
        <v/>
      </c>
    </row>
    <row r="403" hidden="1" outlineLevel="1">
      <c r="A403" t="inlineStr">
        <is>
          <t>Week5-Jul-2027</t>
        </is>
      </c>
      <c r="B403" s="27">
        <f>IF(SUM(B117,B260)=0,"",SUM(B117)/SUM(B117,B260))</f>
        <v/>
      </c>
      <c r="C403" s="27">
        <f>IF(SUM(C117,C260)=0,"",SUM(C117)/SUM(C117,C260))</f>
        <v/>
      </c>
      <c r="D403" s="27">
        <f>IF(SUM(D117,D260)=0,"",SUM(D117)/SUM(D117,D260))</f>
        <v/>
      </c>
      <c r="E403" s="27">
        <f>IF(SUM(E117,E260)=0,"",SUM(E117)/SUM(E117,E260))</f>
        <v/>
      </c>
      <c r="F403" s="27">
        <f>IF(SUM(F117,F260)=0,"",SUM(F117)/SUM(F117,F260))</f>
        <v/>
      </c>
      <c r="G403" s="27">
        <f>IF(SUM(G117,G260)=0,"",SUM(G117)/SUM(G117,G260))</f>
        <v/>
      </c>
      <c r="H403" s="27">
        <f>IF(SUM(H117,H260)=0,"",SUM(H117)/SUM(H117,H260))</f>
        <v/>
      </c>
    </row>
    <row r="404" hidden="1" outlineLevel="1">
      <c r="A404" t="inlineStr">
        <is>
          <t>Week1-Aug-2027</t>
        </is>
      </c>
      <c r="B404" s="27">
        <f>IF(SUM(B118,B261)=0,"",SUM(B118)/SUM(B118,B261))</f>
        <v/>
      </c>
      <c r="C404" s="27">
        <f>IF(SUM(C118,C261)=0,"",SUM(C118)/SUM(C118,C261))</f>
        <v/>
      </c>
      <c r="D404" s="27">
        <f>IF(SUM(D118,D261)=0,"",SUM(D118)/SUM(D118,D261))</f>
        <v/>
      </c>
      <c r="E404" s="27">
        <f>IF(SUM(E118,E261)=0,"",SUM(E118)/SUM(E118,E261))</f>
        <v/>
      </c>
      <c r="F404" s="27">
        <f>IF(SUM(F118,F261)=0,"",SUM(F118)/SUM(F118,F261))</f>
        <v/>
      </c>
      <c r="G404" s="27">
        <f>IF(SUM(G118,G261)=0,"",SUM(G118)/SUM(G118,G261))</f>
        <v/>
      </c>
      <c r="H404" s="27">
        <f>IF(SUM(H118,H261)=0,"",SUM(H118)/SUM(H118,H261))</f>
        <v/>
      </c>
    </row>
    <row r="405" hidden="1" outlineLevel="1">
      <c r="A405" t="inlineStr">
        <is>
          <t>Week2-Aug-2027</t>
        </is>
      </c>
      <c r="B405" s="27">
        <f>IF(SUM(B119,B262)=0,"",SUM(B119)/SUM(B119,B262))</f>
        <v/>
      </c>
      <c r="C405" s="27">
        <f>IF(SUM(C119,C262)=0,"",SUM(C119)/SUM(C119,C262))</f>
        <v/>
      </c>
      <c r="D405" s="27">
        <f>IF(SUM(D119,D262)=0,"",SUM(D119)/SUM(D119,D262))</f>
        <v/>
      </c>
      <c r="E405" s="27">
        <f>IF(SUM(E119,E262)=0,"",SUM(E119)/SUM(E119,E262))</f>
        <v/>
      </c>
      <c r="F405" s="27">
        <f>IF(SUM(F119,F262)=0,"",SUM(F119)/SUM(F119,F262))</f>
        <v/>
      </c>
      <c r="G405" s="27">
        <f>IF(SUM(G119,G262)=0,"",SUM(G119)/SUM(G119,G262))</f>
        <v/>
      </c>
      <c r="H405" s="27">
        <f>IF(SUM(H119,H262)=0,"",SUM(H119)/SUM(H119,H262))</f>
        <v/>
      </c>
    </row>
    <row r="406" hidden="1" outlineLevel="1">
      <c r="A406" t="inlineStr">
        <is>
          <t>Week3-Aug-2027</t>
        </is>
      </c>
      <c r="B406" s="27">
        <f>IF(SUM(B120,B263)=0,"",SUM(B120)/SUM(B120,B263))</f>
        <v/>
      </c>
      <c r="C406" s="27">
        <f>IF(SUM(C120,C263)=0,"",SUM(C120)/SUM(C120,C263))</f>
        <v/>
      </c>
      <c r="D406" s="27">
        <f>IF(SUM(D120,D263)=0,"",SUM(D120)/SUM(D120,D263))</f>
        <v/>
      </c>
      <c r="E406" s="27">
        <f>IF(SUM(E120,E263)=0,"",SUM(E120)/SUM(E120,E263))</f>
        <v/>
      </c>
      <c r="F406" s="27">
        <f>IF(SUM(F120,F263)=0,"",SUM(F120)/SUM(F120,F263))</f>
        <v/>
      </c>
      <c r="G406" s="27">
        <f>IF(SUM(G120,G263)=0,"",SUM(G120)/SUM(G120,G263))</f>
        <v/>
      </c>
      <c r="H406" s="27">
        <f>IF(SUM(H120,H263)=0,"",SUM(H120)/SUM(H120,H263))</f>
        <v/>
      </c>
    </row>
    <row r="407" hidden="1" outlineLevel="1">
      <c r="A407" t="inlineStr">
        <is>
          <t>Week4-Aug-2027</t>
        </is>
      </c>
      <c r="B407" s="27">
        <f>IF(SUM(B121,B264)=0,"",SUM(B121)/SUM(B121,B264))</f>
        <v/>
      </c>
      <c r="C407" s="27">
        <f>IF(SUM(C121,C264)=0,"",SUM(C121)/SUM(C121,C264))</f>
        <v/>
      </c>
      <c r="D407" s="27">
        <f>IF(SUM(D121,D264)=0,"",SUM(D121)/SUM(D121,D264))</f>
        <v/>
      </c>
      <c r="E407" s="27">
        <f>IF(SUM(E121,E264)=0,"",SUM(E121)/SUM(E121,E264))</f>
        <v/>
      </c>
      <c r="F407" s="27">
        <f>IF(SUM(F121,F264)=0,"",SUM(F121)/SUM(F121,F264))</f>
        <v/>
      </c>
      <c r="G407" s="27">
        <f>IF(SUM(G121,G264)=0,"",SUM(G121)/SUM(G121,G264))</f>
        <v/>
      </c>
      <c r="H407" s="27">
        <f>IF(SUM(H121,H264)=0,"",SUM(H121)/SUM(H121,H264))</f>
        <v/>
      </c>
    </row>
    <row r="408" hidden="1" outlineLevel="1">
      <c r="A408" t="inlineStr">
        <is>
          <t>Week5-Aug-2027</t>
        </is>
      </c>
      <c r="B408" s="27">
        <f>IF(SUM(B122,B265)=0,"",SUM(B122)/SUM(B122,B265))</f>
        <v/>
      </c>
      <c r="C408" s="27">
        <f>IF(SUM(C122,C265)=0,"",SUM(C122)/SUM(C122,C265))</f>
        <v/>
      </c>
      <c r="D408" s="27">
        <f>IF(SUM(D122,D265)=0,"",SUM(D122)/SUM(D122,D265))</f>
        <v/>
      </c>
      <c r="E408" s="27">
        <f>IF(SUM(E122,E265)=0,"",SUM(E122)/SUM(E122,E265))</f>
        <v/>
      </c>
      <c r="F408" s="27">
        <f>IF(SUM(F122,F265)=0,"",SUM(F122)/SUM(F122,F265))</f>
        <v/>
      </c>
      <c r="G408" s="27">
        <f>IF(SUM(G122,G265)=0,"",SUM(G122)/SUM(G122,G265))</f>
        <v/>
      </c>
      <c r="H408" s="27">
        <f>IF(SUM(H122,H265)=0,"",SUM(H122)/SUM(H122,H265))</f>
        <v/>
      </c>
    </row>
    <row r="409" hidden="1" outlineLevel="1">
      <c r="A409" t="inlineStr">
        <is>
          <t>Week1-Sep-2027</t>
        </is>
      </c>
      <c r="B409" s="27">
        <f>IF(SUM(B123,B266)=0,"",SUM(B123)/SUM(B123,B266))</f>
        <v/>
      </c>
      <c r="C409" s="27">
        <f>IF(SUM(C123,C266)=0,"",SUM(C123)/SUM(C123,C266))</f>
        <v/>
      </c>
      <c r="D409" s="27">
        <f>IF(SUM(D123,D266)=0,"",SUM(D123)/SUM(D123,D266))</f>
        <v/>
      </c>
      <c r="E409" s="27">
        <f>IF(SUM(E123,E266)=0,"",SUM(E123)/SUM(E123,E266))</f>
        <v/>
      </c>
      <c r="F409" s="27">
        <f>IF(SUM(F123,F266)=0,"",SUM(F123)/SUM(F123,F266))</f>
        <v/>
      </c>
      <c r="G409" s="27">
        <f>IF(SUM(G123,G266)=0,"",SUM(G123)/SUM(G123,G266))</f>
        <v/>
      </c>
      <c r="H409" s="27">
        <f>IF(SUM(H123,H266)=0,"",SUM(H123)/SUM(H123,H266))</f>
        <v/>
      </c>
    </row>
    <row r="410" hidden="1" outlineLevel="1">
      <c r="A410" t="inlineStr">
        <is>
          <t>Week2-Sep-2027</t>
        </is>
      </c>
      <c r="B410" s="27">
        <f>IF(SUM(B124,B267)=0,"",SUM(B124)/SUM(B124,B267))</f>
        <v/>
      </c>
      <c r="C410" s="27">
        <f>IF(SUM(C124,C267)=0,"",SUM(C124)/SUM(C124,C267))</f>
        <v/>
      </c>
      <c r="D410" s="27">
        <f>IF(SUM(D124,D267)=0,"",SUM(D124)/SUM(D124,D267))</f>
        <v/>
      </c>
      <c r="E410" s="27">
        <f>IF(SUM(E124,E267)=0,"",SUM(E124)/SUM(E124,E267))</f>
        <v/>
      </c>
      <c r="F410" s="27">
        <f>IF(SUM(F124,F267)=0,"",SUM(F124)/SUM(F124,F267))</f>
        <v/>
      </c>
      <c r="G410" s="27">
        <f>IF(SUM(G124,G267)=0,"",SUM(G124)/SUM(G124,G267))</f>
        <v/>
      </c>
      <c r="H410" s="27">
        <f>IF(SUM(H124,H267)=0,"",SUM(H124)/SUM(H124,H267))</f>
        <v/>
      </c>
    </row>
    <row r="411" hidden="1" outlineLevel="1">
      <c r="A411" t="inlineStr">
        <is>
          <t>Week3-Sep-2027</t>
        </is>
      </c>
      <c r="B411" s="27">
        <f>IF(SUM(B125,B268)=0,"",SUM(B125)/SUM(B125,B268))</f>
        <v/>
      </c>
      <c r="C411" s="27">
        <f>IF(SUM(C125,C268)=0,"",SUM(C125)/SUM(C125,C268))</f>
        <v/>
      </c>
      <c r="D411" s="27">
        <f>IF(SUM(D125,D268)=0,"",SUM(D125)/SUM(D125,D268))</f>
        <v/>
      </c>
      <c r="E411" s="27">
        <f>IF(SUM(E125,E268)=0,"",SUM(E125)/SUM(E125,E268))</f>
        <v/>
      </c>
      <c r="F411" s="27">
        <f>IF(SUM(F125,F268)=0,"",SUM(F125)/SUM(F125,F268))</f>
        <v/>
      </c>
      <c r="G411" s="27">
        <f>IF(SUM(G125,G268)=0,"",SUM(G125)/SUM(G125,G268))</f>
        <v/>
      </c>
      <c r="H411" s="27">
        <f>IF(SUM(H125,H268)=0,"",SUM(H125)/SUM(H125,H268))</f>
        <v/>
      </c>
    </row>
    <row r="412" hidden="1" outlineLevel="1">
      <c r="A412" t="inlineStr">
        <is>
          <t>Week4-Sep-2027</t>
        </is>
      </c>
      <c r="B412" s="27">
        <f>IF(SUM(B126,B269)=0,"",SUM(B126)/SUM(B126,B269))</f>
        <v/>
      </c>
      <c r="C412" s="27">
        <f>IF(SUM(C126,C269)=0,"",SUM(C126)/SUM(C126,C269))</f>
        <v/>
      </c>
      <c r="D412" s="27">
        <f>IF(SUM(D126,D269)=0,"",SUM(D126)/SUM(D126,D269))</f>
        <v/>
      </c>
      <c r="E412" s="27">
        <f>IF(SUM(E126,E269)=0,"",SUM(E126)/SUM(E126,E269))</f>
        <v/>
      </c>
      <c r="F412" s="27">
        <f>IF(SUM(F126,F269)=0,"",SUM(F126)/SUM(F126,F269))</f>
        <v/>
      </c>
      <c r="G412" s="27">
        <f>IF(SUM(G126,G269)=0,"",SUM(G126)/SUM(G126,G269))</f>
        <v/>
      </c>
      <c r="H412" s="27">
        <f>IF(SUM(H126,H269)=0,"",SUM(H126)/SUM(H126,H269))</f>
        <v/>
      </c>
    </row>
    <row r="413" hidden="1" outlineLevel="1">
      <c r="A413" t="inlineStr">
        <is>
          <t>Week5-Sep-2027</t>
        </is>
      </c>
      <c r="B413" s="27">
        <f>IF(SUM(B127,B270)=0,"",SUM(B127)/SUM(B127,B270))</f>
        <v/>
      </c>
      <c r="C413" s="27">
        <f>IF(SUM(C127,C270)=0,"",SUM(C127)/SUM(C127,C270))</f>
        <v/>
      </c>
      <c r="D413" s="27">
        <f>IF(SUM(D127,D270)=0,"",SUM(D127)/SUM(D127,D270))</f>
        <v/>
      </c>
      <c r="E413" s="27">
        <f>IF(SUM(E127,E270)=0,"",SUM(E127)/SUM(E127,E270))</f>
        <v/>
      </c>
      <c r="F413" s="27">
        <f>IF(SUM(F127,F270)=0,"",SUM(F127)/SUM(F127,F270))</f>
        <v/>
      </c>
      <c r="G413" s="27">
        <f>IF(SUM(G127,G270)=0,"",SUM(G127)/SUM(G127,G270))</f>
        <v/>
      </c>
      <c r="H413" s="27">
        <f>IF(SUM(H127,H270)=0,"",SUM(H127)/SUM(H127,H270))</f>
        <v/>
      </c>
    </row>
    <row r="414" hidden="1" outlineLevel="1">
      <c r="A414" t="inlineStr">
        <is>
          <t>Week1-Oct-2027</t>
        </is>
      </c>
      <c r="B414" s="27">
        <f>IF(SUM(B128,B271)=0,"",SUM(B128)/SUM(B128,B271))</f>
        <v/>
      </c>
      <c r="C414" s="27">
        <f>IF(SUM(C128,C271)=0,"",SUM(C128)/SUM(C128,C271))</f>
        <v/>
      </c>
      <c r="D414" s="27">
        <f>IF(SUM(D128,D271)=0,"",SUM(D128)/SUM(D128,D271))</f>
        <v/>
      </c>
      <c r="E414" s="27">
        <f>IF(SUM(E128,E271)=0,"",SUM(E128)/SUM(E128,E271))</f>
        <v/>
      </c>
      <c r="F414" s="27">
        <f>IF(SUM(F128,F271)=0,"",SUM(F128)/SUM(F128,F271))</f>
        <v/>
      </c>
      <c r="G414" s="27">
        <f>IF(SUM(G128,G271)=0,"",SUM(G128)/SUM(G128,G271))</f>
        <v/>
      </c>
      <c r="H414" s="27">
        <f>IF(SUM(H128,H271)=0,"",SUM(H128)/SUM(H128,H271))</f>
        <v/>
      </c>
    </row>
    <row r="415" hidden="1" outlineLevel="1">
      <c r="A415" t="inlineStr">
        <is>
          <t>Week2-Oct-2027</t>
        </is>
      </c>
      <c r="B415" s="27">
        <f>IF(SUM(B129,B272)=0,"",SUM(B129)/SUM(B129,B272))</f>
        <v/>
      </c>
      <c r="C415" s="27">
        <f>IF(SUM(C129,C272)=0,"",SUM(C129)/SUM(C129,C272))</f>
        <v/>
      </c>
      <c r="D415" s="27">
        <f>IF(SUM(D129,D272)=0,"",SUM(D129)/SUM(D129,D272))</f>
        <v/>
      </c>
      <c r="E415" s="27">
        <f>IF(SUM(E129,E272)=0,"",SUM(E129)/SUM(E129,E272))</f>
        <v/>
      </c>
      <c r="F415" s="27">
        <f>IF(SUM(F129,F272)=0,"",SUM(F129)/SUM(F129,F272))</f>
        <v/>
      </c>
      <c r="G415" s="27">
        <f>IF(SUM(G129,G272)=0,"",SUM(G129)/SUM(G129,G272))</f>
        <v/>
      </c>
      <c r="H415" s="27">
        <f>IF(SUM(H129,H272)=0,"",SUM(H129)/SUM(H129,H272))</f>
        <v/>
      </c>
    </row>
    <row r="416" hidden="1" outlineLevel="1">
      <c r="A416" t="inlineStr">
        <is>
          <t>Week3-Oct-2027</t>
        </is>
      </c>
      <c r="B416" s="27">
        <f>IF(SUM(B130,B273)=0,"",SUM(B130)/SUM(B130,B273))</f>
        <v/>
      </c>
      <c r="C416" s="27">
        <f>IF(SUM(C130,C273)=0,"",SUM(C130)/SUM(C130,C273))</f>
        <v/>
      </c>
      <c r="D416" s="27">
        <f>IF(SUM(D130,D273)=0,"",SUM(D130)/SUM(D130,D273))</f>
        <v/>
      </c>
      <c r="E416" s="27">
        <f>IF(SUM(E130,E273)=0,"",SUM(E130)/SUM(E130,E273))</f>
        <v/>
      </c>
      <c r="F416" s="27">
        <f>IF(SUM(F130,F273)=0,"",SUM(F130)/SUM(F130,F273))</f>
        <v/>
      </c>
      <c r="G416" s="27">
        <f>IF(SUM(G130,G273)=0,"",SUM(G130)/SUM(G130,G273))</f>
        <v/>
      </c>
      <c r="H416" s="27">
        <f>IF(SUM(H130,H273)=0,"",SUM(H130)/SUM(H130,H273))</f>
        <v/>
      </c>
    </row>
    <row r="417" hidden="1" outlineLevel="1">
      <c r="A417" t="inlineStr">
        <is>
          <t>Week4-Oct-2027</t>
        </is>
      </c>
      <c r="B417" s="27">
        <f>IF(SUM(B131,B274)=0,"",SUM(B131)/SUM(B131,B274))</f>
        <v/>
      </c>
      <c r="C417" s="27">
        <f>IF(SUM(C131,C274)=0,"",SUM(C131)/SUM(C131,C274))</f>
        <v/>
      </c>
      <c r="D417" s="27">
        <f>IF(SUM(D131,D274)=0,"",SUM(D131)/SUM(D131,D274))</f>
        <v/>
      </c>
      <c r="E417" s="27">
        <f>IF(SUM(E131,E274)=0,"",SUM(E131)/SUM(E131,E274))</f>
        <v/>
      </c>
      <c r="F417" s="27">
        <f>IF(SUM(F131,F274)=0,"",SUM(F131)/SUM(F131,F274))</f>
        <v/>
      </c>
      <c r="G417" s="27">
        <f>IF(SUM(G131,G274)=0,"",SUM(G131)/SUM(G131,G274))</f>
        <v/>
      </c>
      <c r="H417" s="27">
        <f>IF(SUM(H131,H274)=0,"",SUM(H131)/SUM(H131,H274))</f>
        <v/>
      </c>
    </row>
    <row r="418" hidden="1" outlineLevel="1">
      <c r="A418" t="inlineStr">
        <is>
          <t>Week5-Oct-2027</t>
        </is>
      </c>
      <c r="B418" s="27">
        <f>IF(SUM(B132,B275)=0,"",SUM(B132)/SUM(B132,B275))</f>
        <v/>
      </c>
      <c r="C418" s="27">
        <f>IF(SUM(C132,C275)=0,"",SUM(C132)/SUM(C132,C275))</f>
        <v/>
      </c>
      <c r="D418" s="27">
        <f>IF(SUM(D132,D275)=0,"",SUM(D132)/SUM(D132,D275))</f>
        <v/>
      </c>
      <c r="E418" s="27">
        <f>IF(SUM(E132,E275)=0,"",SUM(E132)/SUM(E132,E275))</f>
        <v/>
      </c>
      <c r="F418" s="27">
        <f>IF(SUM(F132,F275)=0,"",SUM(F132)/SUM(F132,F275))</f>
        <v/>
      </c>
      <c r="G418" s="27">
        <f>IF(SUM(G132,G275)=0,"",SUM(G132)/SUM(G132,G275))</f>
        <v/>
      </c>
      <c r="H418" s="27">
        <f>IF(SUM(H132,H275)=0,"",SUM(H132)/SUM(H132,H275))</f>
        <v/>
      </c>
    </row>
    <row r="419" hidden="1" outlineLevel="1">
      <c r="A419" t="inlineStr">
        <is>
          <t>Week1-Nov-2027</t>
        </is>
      </c>
      <c r="B419" s="27">
        <f>IF(SUM(B133,B276)=0,"",SUM(B133)/SUM(B133,B276))</f>
        <v/>
      </c>
      <c r="C419" s="27">
        <f>IF(SUM(C133,C276)=0,"",SUM(C133)/SUM(C133,C276))</f>
        <v/>
      </c>
      <c r="D419" s="27">
        <f>IF(SUM(D133,D276)=0,"",SUM(D133)/SUM(D133,D276))</f>
        <v/>
      </c>
      <c r="E419" s="27">
        <f>IF(SUM(E133,E276)=0,"",SUM(E133)/SUM(E133,E276))</f>
        <v/>
      </c>
      <c r="F419" s="27">
        <f>IF(SUM(F133,F276)=0,"",SUM(F133)/SUM(F133,F276))</f>
        <v/>
      </c>
      <c r="G419" s="27">
        <f>IF(SUM(G133,G276)=0,"",SUM(G133)/SUM(G133,G276))</f>
        <v/>
      </c>
      <c r="H419" s="27">
        <f>IF(SUM(H133,H276)=0,"",SUM(H133)/SUM(H133,H276))</f>
        <v/>
      </c>
    </row>
    <row r="420" hidden="1" outlineLevel="1">
      <c r="A420" t="inlineStr">
        <is>
          <t>Week2-Nov-2027</t>
        </is>
      </c>
      <c r="B420" s="27">
        <f>IF(SUM(B134,B277)=0,"",SUM(B134)/SUM(B134,B277))</f>
        <v/>
      </c>
      <c r="C420" s="27">
        <f>IF(SUM(C134,C277)=0,"",SUM(C134)/SUM(C134,C277))</f>
        <v/>
      </c>
      <c r="D420" s="27">
        <f>IF(SUM(D134,D277)=0,"",SUM(D134)/SUM(D134,D277))</f>
        <v/>
      </c>
      <c r="E420" s="27">
        <f>IF(SUM(E134,E277)=0,"",SUM(E134)/SUM(E134,E277))</f>
        <v/>
      </c>
      <c r="F420" s="27">
        <f>IF(SUM(F134,F277)=0,"",SUM(F134)/SUM(F134,F277))</f>
        <v/>
      </c>
      <c r="G420" s="27">
        <f>IF(SUM(G134,G277)=0,"",SUM(G134)/SUM(G134,G277))</f>
        <v/>
      </c>
      <c r="H420" s="27">
        <f>IF(SUM(H134,H277)=0,"",SUM(H134)/SUM(H134,H277))</f>
        <v/>
      </c>
    </row>
    <row r="421" hidden="1" outlineLevel="1">
      <c r="A421" t="inlineStr">
        <is>
          <t>Week3-Nov-2027</t>
        </is>
      </c>
      <c r="B421" s="27">
        <f>IF(SUM(B135,B278)=0,"",SUM(B135)/SUM(B135,B278))</f>
        <v/>
      </c>
      <c r="C421" s="27">
        <f>IF(SUM(C135,C278)=0,"",SUM(C135)/SUM(C135,C278))</f>
        <v/>
      </c>
      <c r="D421" s="27">
        <f>IF(SUM(D135,D278)=0,"",SUM(D135)/SUM(D135,D278))</f>
        <v/>
      </c>
      <c r="E421" s="27">
        <f>IF(SUM(E135,E278)=0,"",SUM(E135)/SUM(E135,E278))</f>
        <v/>
      </c>
      <c r="F421" s="27">
        <f>IF(SUM(F135,F278)=0,"",SUM(F135)/SUM(F135,F278))</f>
        <v/>
      </c>
      <c r="G421" s="27">
        <f>IF(SUM(G135,G278)=0,"",SUM(G135)/SUM(G135,G278))</f>
        <v/>
      </c>
      <c r="H421" s="27">
        <f>IF(SUM(H135,H278)=0,"",SUM(H135)/SUM(H135,H278))</f>
        <v/>
      </c>
    </row>
    <row r="422" hidden="1" outlineLevel="1">
      <c r="A422" t="inlineStr">
        <is>
          <t>Week4-Nov-2027</t>
        </is>
      </c>
      <c r="B422" s="27">
        <f>IF(SUM(B136,B279)=0,"",SUM(B136)/SUM(B136,B279))</f>
        <v/>
      </c>
      <c r="C422" s="27">
        <f>IF(SUM(C136,C279)=0,"",SUM(C136)/SUM(C136,C279))</f>
        <v/>
      </c>
      <c r="D422" s="27">
        <f>IF(SUM(D136,D279)=0,"",SUM(D136)/SUM(D136,D279))</f>
        <v/>
      </c>
      <c r="E422" s="27">
        <f>IF(SUM(E136,E279)=0,"",SUM(E136)/SUM(E136,E279))</f>
        <v/>
      </c>
      <c r="F422" s="27">
        <f>IF(SUM(F136,F279)=0,"",SUM(F136)/SUM(F136,F279))</f>
        <v/>
      </c>
      <c r="G422" s="27">
        <f>IF(SUM(G136,G279)=0,"",SUM(G136)/SUM(G136,G279))</f>
        <v/>
      </c>
      <c r="H422" s="27">
        <f>IF(SUM(H136,H279)=0,"",SUM(H136)/SUM(H136,H279))</f>
        <v/>
      </c>
    </row>
    <row r="423" hidden="1" outlineLevel="1">
      <c r="A423" t="inlineStr">
        <is>
          <t>Week5-Nov-2027</t>
        </is>
      </c>
      <c r="B423" s="27">
        <f>IF(SUM(B137,B280)=0,"",SUM(B137)/SUM(B137,B280))</f>
        <v/>
      </c>
      <c r="C423" s="27">
        <f>IF(SUM(C137,C280)=0,"",SUM(C137)/SUM(C137,C280))</f>
        <v/>
      </c>
      <c r="D423" s="27">
        <f>IF(SUM(D137,D280)=0,"",SUM(D137)/SUM(D137,D280))</f>
        <v/>
      </c>
      <c r="E423" s="27">
        <f>IF(SUM(E137,E280)=0,"",SUM(E137)/SUM(E137,E280))</f>
        <v/>
      </c>
      <c r="F423" s="27">
        <f>IF(SUM(F137,F280)=0,"",SUM(F137)/SUM(F137,F280))</f>
        <v/>
      </c>
      <c r="G423" s="27">
        <f>IF(SUM(G137,G280)=0,"",SUM(G137)/SUM(G137,G280))</f>
        <v/>
      </c>
      <c r="H423" s="27">
        <f>IF(SUM(H137,H280)=0,"",SUM(H137)/SUM(H137,H280))</f>
        <v/>
      </c>
    </row>
    <row r="424" hidden="1" outlineLevel="1">
      <c r="A424" t="inlineStr">
        <is>
          <t>Week1-Dec-2027</t>
        </is>
      </c>
      <c r="B424" s="27">
        <f>IF(SUM(B138,B281)=0,"",SUM(B138)/SUM(B138,B281))</f>
        <v/>
      </c>
      <c r="C424" s="27">
        <f>IF(SUM(C138,C281)=0,"",SUM(C138)/SUM(C138,C281))</f>
        <v/>
      </c>
      <c r="D424" s="27">
        <f>IF(SUM(D138,D281)=0,"",SUM(D138)/SUM(D138,D281))</f>
        <v/>
      </c>
      <c r="E424" s="27">
        <f>IF(SUM(E138,E281)=0,"",SUM(E138)/SUM(E138,E281))</f>
        <v/>
      </c>
      <c r="F424" s="27">
        <f>IF(SUM(F138,F281)=0,"",SUM(F138)/SUM(F138,F281))</f>
        <v/>
      </c>
      <c r="G424" s="27">
        <f>IF(SUM(G138,G281)=0,"",SUM(G138)/SUM(G138,G281))</f>
        <v/>
      </c>
      <c r="H424" s="27">
        <f>IF(SUM(H138,H281)=0,"",SUM(H138)/SUM(H138,H281))</f>
        <v/>
      </c>
    </row>
    <row r="425" hidden="1" outlineLevel="1">
      <c r="A425" t="inlineStr">
        <is>
          <t>Week2-Dec-2027</t>
        </is>
      </c>
      <c r="B425" s="27">
        <f>IF(SUM(B139,B282)=0,"",SUM(B139)/SUM(B139,B282))</f>
        <v/>
      </c>
      <c r="C425" s="27">
        <f>IF(SUM(C139,C282)=0,"",SUM(C139)/SUM(C139,C282))</f>
        <v/>
      </c>
      <c r="D425" s="27">
        <f>IF(SUM(D139,D282)=0,"",SUM(D139)/SUM(D139,D282))</f>
        <v/>
      </c>
      <c r="E425" s="27">
        <f>IF(SUM(E139,E282)=0,"",SUM(E139)/SUM(E139,E282))</f>
        <v/>
      </c>
      <c r="F425" s="27">
        <f>IF(SUM(F139,F282)=0,"",SUM(F139)/SUM(F139,F282))</f>
        <v/>
      </c>
      <c r="G425" s="27">
        <f>IF(SUM(G139,G282)=0,"",SUM(G139)/SUM(G139,G282))</f>
        <v/>
      </c>
      <c r="H425" s="27">
        <f>IF(SUM(H139,H282)=0,"",SUM(H139)/SUM(H139,H282))</f>
        <v/>
      </c>
    </row>
    <row r="426" hidden="1" outlineLevel="1">
      <c r="A426" t="inlineStr">
        <is>
          <t>Week3-Dec-2027</t>
        </is>
      </c>
      <c r="B426" s="27">
        <f>IF(SUM(B140,B283)=0,"",SUM(B140)/SUM(B140,B283))</f>
        <v/>
      </c>
      <c r="C426" s="27">
        <f>IF(SUM(C140,C283)=0,"",SUM(C140)/SUM(C140,C283))</f>
        <v/>
      </c>
      <c r="D426" s="27">
        <f>IF(SUM(D140,D283)=0,"",SUM(D140)/SUM(D140,D283))</f>
        <v/>
      </c>
      <c r="E426" s="27">
        <f>IF(SUM(E140,E283)=0,"",SUM(E140)/SUM(E140,E283))</f>
        <v/>
      </c>
      <c r="F426" s="27">
        <f>IF(SUM(F140,F283)=0,"",SUM(F140)/SUM(F140,F283))</f>
        <v/>
      </c>
      <c r="G426" s="27">
        <f>IF(SUM(G140,G283)=0,"",SUM(G140)/SUM(G140,G283))</f>
        <v/>
      </c>
      <c r="H426" s="27">
        <f>IF(SUM(H140,H283)=0,"",SUM(H140)/SUM(H140,H283))</f>
        <v/>
      </c>
    </row>
    <row r="427" hidden="1" outlineLevel="1">
      <c r="A427" t="inlineStr">
        <is>
          <t>Week4-Dec-2027</t>
        </is>
      </c>
      <c r="B427" s="27">
        <f>IF(SUM(B141,B284)=0,"",SUM(B141)/SUM(B141,B284))</f>
        <v/>
      </c>
      <c r="C427" s="27">
        <f>IF(SUM(C141,C284)=0,"",SUM(C141)/SUM(C141,C284))</f>
        <v/>
      </c>
      <c r="D427" s="27">
        <f>IF(SUM(D141,D284)=0,"",SUM(D141)/SUM(D141,D284))</f>
        <v/>
      </c>
      <c r="E427" s="27">
        <f>IF(SUM(E141,E284)=0,"",SUM(E141)/SUM(E141,E284))</f>
        <v/>
      </c>
      <c r="F427" s="27">
        <f>IF(SUM(F141,F284)=0,"",SUM(F141)/SUM(F141,F284))</f>
        <v/>
      </c>
      <c r="G427" s="27">
        <f>IF(SUM(G141,G284)=0,"",SUM(G141)/SUM(G141,G284))</f>
        <v/>
      </c>
      <c r="H427" s="27">
        <f>IF(SUM(H141,H284)=0,"",SUM(H141)/SUM(H141,H284))</f>
        <v/>
      </c>
    </row>
    <row r="428" hidden="1" outlineLevel="1">
      <c r="A428" t="inlineStr">
        <is>
          <t>Week5-Dec-2027</t>
        </is>
      </c>
      <c r="B428" s="27">
        <f>IF(SUM(B142,B285)=0,"",SUM(B142)/SUM(B142,B285))</f>
        <v/>
      </c>
      <c r="C428" s="27">
        <f>IF(SUM(C142,C285)=0,"",SUM(C142)/SUM(C142,C285))</f>
        <v/>
      </c>
      <c r="D428" s="27">
        <f>IF(SUM(D142,D285)=0,"",SUM(D142)/SUM(D142,D285))</f>
        <v/>
      </c>
      <c r="E428" s="27">
        <f>IF(SUM(E142,E285)=0,"",SUM(E142)/SUM(E142,E285))</f>
        <v/>
      </c>
      <c r="F428" s="27">
        <f>IF(SUM(F142,F285)=0,"",SUM(F142)/SUM(F142,F285))</f>
        <v/>
      </c>
      <c r="G428" s="27">
        <f>IF(SUM(G142,G285)=0,"",SUM(G142)/SUM(G142,G285))</f>
        <v/>
      </c>
      <c r="H428" s="27">
        <f>IF(SUM(H142,H285)=0,"",SUM(H142)/SUM(H142,H285))</f>
        <v/>
      </c>
    </row>
    <row r="429" collapsed="1">
      <c r="A429" s="32" t="inlineStr">
        <is>
          <t>Total</t>
        </is>
      </c>
      <c r="B429" s="34">
        <f>IF(SUM(B143,B286)=0,"",SUM(B143)/SUM(B143,B286))</f>
        <v/>
      </c>
      <c r="C429" s="34">
        <f>IF(SUM(C143,C286)=0,"",SUM(C143)/SUM(C143,C286))</f>
        <v/>
      </c>
      <c r="D429" s="34">
        <f>IF(SUM(D143,D286)=0,"",SUM(D143)/SUM(D143,D286))</f>
        <v/>
      </c>
      <c r="E429" s="34">
        <f>IF(SUM(E143,E286)=0,"",SUM(E143)/SUM(E143,E286))</f>
        <v/>
      </c>
      <c r="F429" s="34">
        <f>IF(SUM(F143,F286)=0,"",SUM(F143)/SUM(F143,F286))</f>
        <v/>
      </c>
      <c r="G429" s="34">
        <f>IF(SUM(G143,G286)=0,"",SUM(G143)/SUM(G143,G286))</f>
        <v/>
      </c>
      <c r="H429" s="34">
        <f>IF(SUM(H143,H286)=0,"",SUM(H143)/SUM(H143,H286))</f>
        <v/>
      </c>
    </row>
    <row r="432">
      <c r="A432" s="32" t="inlineStr">
        <is>
          <t>BSE Market Share</t>
        </is>
      </c>
    </row>
    <row r="433">
      <c r="A433" s="32" t="inlineStr">
        <is>
          <t>Trade Week-Month-Year</t>
        </is>
      </c>
      <c r="B433" s="32" t="inlineStr">
        <is>
          <t>Monday</t>
        </is>
      </c>
      <c r="C433" s="32" t="inlineStr">
        <is>
          <t>Tuesday</t>
        </is>
      </c>
      <c r="D433" s="32" t="inlineStr">
        <is>
          <t>Wednesday</t>
        </is>
      </c>
      <c r="E433" s="32" t="inlineStr">
        <is>
          <t>Thursday</t>
        </is>
      </c>
      <c r="F433" s="32" t="inlineStr">
        <is>
          <t>Friday</t>
        </is>
      </c>
      <c r="G433" s="32" t="inlineStr">
        <is>
          <t>Sunday</t>
        </is>
      </c>
      <c r="H433" s="32" t="inlineStr">
        <is>
          <t>Total</t>
        </is>
      </c>
    </row>
    <row r="434">
      <c r="A434" t="inlineStr">
        <is>
          <t>Week1-Sep-2025</t>
        </is>
      </c>
      <c r="B434" s="27">
        <f>IF(SUM(B5,B148)=0,"",SUM(B148)/SUM(B5,B148))</f>
        <v/>
      </c>
      <c r="C434" s="27">
        <f>IF(SUM(C5,C148)=0,"",SUM(C148)/SUM(C5,C148))</f>
        <v/>
      </c>
      <c r="D434" s="27">
        <f>IF(SUM(D5,D148)=0,"",SUM(D148)/SUM(D5,D148))</f>
        <v/>
      </c>
      <c r="E434" s="27">
        <f>IF(SUM(E5,E148)=0,"",SUM(E148)/SUM(E5,E148))</f>
        <v/>
      </c>
      <c r="F434" s="27">
        <f>IF(SUM(F5,F148)=0,"",SUM(F148)/SUM(F5,F148))</f>
        <v/>
      </c>
      <c r="G434" s="27">
        <f>IF(SUM(G5,G148)=0,"",SUM(G148)/SUM(G5,G148))</f>
        <v/>
      </c>
      <c r="H434" s="27">
        <f>IF(SUM(H5,H148)=0,"",SUM(H148)/SUM(H5,H148))</f>
        <v/>
      </c>
    </row>
    <row r="435">
      <c r="A435" t="inlineStr">
        <is>
          <t>Week2-Sep-2025</t>
        </is>
      </c>
      <c r="B435" s="27">
        <f>IF(SUM(B6,B149)=0,"",SUM(B149)/SUM(B6,B149))</f>
        <v/>
      </c>
      <c r="C435" s="27">
        <f>IF(SUM(C6,C149)=0,"",SUM(C149)/SUM(C6,C149))</f>
        <v/>
      </c>
      <c r="D435" s="27">
        <f>IF(SUM(D6,D149)=0,"",SUM(D149)/SUM(D6,D149))</f>
        <v/>
      </c>
      <c r="E435" s="27">
        <f>IF(SUM(E6,E149)=0,"",SUM(E149)/SUM(E6,E149))</f>
        <v/>
      </c>
      <c r="F435" s="27">
        <f>IF(SUM(F6,F149)=0,"",SUM(F149)/SUM(F6,F149))</f>
        <v/>
      </c>
      <c r="G435" s="27">
        <f>IF(SUM(G6,G149)=0,"",SUM(G149)/SUM(G6,G149))</f>
        <v/>
      </c>
      <c r="H435" s="27">
        <f>IF(SUM(H6,H149)=0,"",SUM(H149)/SUM(H6,H149))</f>
        <v/>
      </c>
    </row>
    <row r="436">
      <c r="A436" t="inlineStr">
        <is>
          <t>Week3-Sep-2025</t>
        </is>
      </c>
      <c r="B436" s="27">
        <f>IF(SUM(B7,B150)=0,"",SUM(B150)/SUM(B7,B150))</f>
        <v/>
      </c>
      <c r="C436" s="27">
        <f>IF(SUM(C7,C150)=0,"",SUM(C150)/SUM(C7,C150))</f>
        <v/>
      </c>
      <c r="D436" s="27">
        <f>IF(SUM(D7,D150)=0,"",SUM(D150)/SUM(D7,D150))</f>
        <v/>
      </c>
      <c r="E436" s="27">
        <f>IF(SUM(E7,E150)=0,"",SUM(E150)/SUM(E7,E150))</f>
        <v/>
      </c>
      <c r="F436" s="27">
        <f>IF(SUM(F7,F150)=0,"",SUM(F150)/SUM(F7,F150))</f>
        <v/>
      </c>
      <c r="G436" s="27">
        <f>IF(SUM(G7,G150)=0,"",SUM(G150)/SUM(G7,G150))</f>
        <v/>
      </c>
      <c r="H436" s="27">
        <f>IF(SUM(H7,H150)=0,"",SUM(H150)/SUM(H7,H150))</f>
        <v/>
      </c>
    </row>
    <row r="437">
      <c r="A437" t="inlineStr">
        <is>
          <t>Week4-Sep-2025</t>
        </is>
      </c>
      <c r="B437" s="27">
        <f>IF(SUM(B8,B151)=0,"",SUM(B151)/SUM(B8,B151))</f>
        <v/>
      </c>
      <c r="C437" s="27">
        <f>IF(SUM(C8,C151)=0,"",SUM(C151)/SUM(C8,C151))</f>
        <v/>
      </c>
      <c r="D437" s="27">
        <f>IF(SUM(D8,D151)=0,"",SUM(D151)/SUM(D8,D151))</f>
        <v/>
      </c>
      <c r="E437" s="27">
        <f>IF(SUM(E8,E151)=0,"",SUM(E151)/SUM(E8,E151))</f>
        <v/>
      </c>
      <c r="F437" s="27">
        <f>IF(SUM(F8,F151)=0,"",SUM(F151)/SUM(F8,F151))</f>
        <v/>
      </c>
      <c r="G437" s="27">
        <f>IF(SUM(G8,G151)=0,"",SUM(G151)/SUM(G8,G151))</f>
        <v/>
      </c>
      <c r="H437" s="27">
        <f>IF(SUM(H8,H151)=0,"",SUM(H151)/SUM(H8,H151))</f>
        <v/>
      </c>
    </row>
    <row r="438">
      <c r="A438" t="inlineStr">
        <is>
          <t>Week5-Sep-2025</t>
        </is>
      </c>
      <c r="B438" s="27">
        <f>IF(SUM(B9,B152)=0,"",SUM(B152)/SUM(B9,B152))</f>
        <v/>
      </c>
      <c r="C438" s="27">
        <f>IF(SUM(C9,C152)=0,"",SUM(C152)/SUM(C9,C152))</f>
        <v/>
      </c>
      <c r="D438" s="27">
        <f>IF(SUM(D9,D152)=0,"",SUM(D152)/SUM(D9,D152))</f>
        <v/>
      </c>
      <c r="E438" s="27">
        <f>IF(SUM(E9,E152)=0,"",SUM(E152)/SUM(E9,E152))</f>
        <v/>
      </c>
      <c r="F438" s="27">
        <f>IF(SUM(F9,F152)=0,"",SUM(F152)/SUM(F9,F152))</f>
        <v/>
      </c>
      <c r="G438" s="27">
        <f>IF(SUM(G9,G152)=0,"",SUM(G152)/SUM(G9,G152))</f>
        <v/>
      </c>
      <c r="H438" s="27">
        <f>IF(SUM(H9,H152)=0,"",SUM(H152)/SUM(H9,H152))</f>
        <v/>
      </c>
    </row>
    <row r="439">
      <c r="A439" t="inlineStr">
        <is>
          <t>Week1-Oct-2025</t>
        </is>
      </c>
      <c r="B439" s="27">
        <f>IF(SUM(B10,B153)=0,"",SUM(B153)/SUM(B10,B153))</f>
        <v/>
      </c>
      <c r="C439" s="27">
        <f>IF(SUM(C10,C153)=0,"",SUM(C153)/SUM(C10,C153))</f>
        <v/>
      </c>
      <c r="D439" s="27">
        <f>IF(SUM(D10,D153)=0,"",SUM(D153)/SUM(D10,D153))</f>
        <v/>
      </c>
      <c r="E439" s="27">
        <f>IF(SUM(E10,E153)=0,"",SUM(E153)/SUM(E10,E153))</f>
        <v/>
      </c>
      <c r="F439" s="27">
        <f>IF(SUM(F10,F153)=0,"",SUM(F153)/SUM(F10,F153))</f>
        <v/>
      </c>
      <c r="G439" s="27">
        <f>IF(SUM(G10,G153)=0,"",SUM(G153)/SUM(G10,G153))</f>
        <v/>
      </c>
      <c r="H439" s="27">
        <f>IF(SUM(H10,H153)=0,"",SUM(H153)/SUM(H10,H153))</f>
        <v/>
      </c>
    </row>
    <row r="440">
      <c r="A440" t="inlineStr">
        <is>
          <t>Week2-Oct-2025</t>
        </is>
      </c>
      <c r="B440" s="27">
        <f>IF(SUM(B11,B154)=0,"",SUM(B154)/SUM(B11,B154))</f>
        <v/>
      </c>
      <c r="C440" s="27">
        <f>IF(SUM(C11,C154)=0,"",SUM(C154)/SUM(C11,C154))</f>
        <v/>
      </c>
      <c r="D440" s="27">
        <f>IF(SUM(D11,D154)=0,"",SUM(D154)/SUM(D11,D154))</f>
        <v/>
      </c>
      <c r="E440" s="27">
        <f>IF(SUM(E11,E154)=0,"",SUM(E154)/SUM(E11,E154))</f>
        <v/>
      </c>
      <c r="F440" s="27">
        <f>IF(SUM(F11,F154)=0,"",SUM(F154)/SUM(F11,F154))</f>
        <v/>
      </c>
      <c r="G440" s="27">
        <f>IF(SUM(G11,G154)=0,"",SUM(G154)/SUM(G11,G154))</f>
        <v/>
      </c>
      <c r="H440" s="27">
        <f>IF(SUM(H11,H154)=0,"",SUM(H154)/SUM(H11,H154))</f>
        <v/>
      </c>
    </row>
    <row r="441">
      <c r="A441" t="inlineStr">
        <is>
          <t>Week3-Oct-2025</t>
        </is>
      </c>
      <c r="B441" s="27">
        <f>IF(SUM(B12,B155)=0,"",SUM(B155)/SUM(B12,B155))</f>
        <v/>
      </c>
      <c r="C441" s="27">
        <f>IF(SUM(C12,C155)=0,"",SUM(C155)/SUM(C12,C155))</f>
        <v/>
      </c>
      <c r="D441" s="27">
        <f>IF(SUM(D12,D155)=0,"",SUM(D155)/SUM(D12,D155))</f>
        <v/>
      </c>
      <c r="E441" s="27">
        <f>IF(SUM(E12,E155)=0,"",SUM(E155)/SUM(E12,E155))</f>
        <v/>
      </c>
      <c r="F441" s="27">
        <f>IF(SUM(F12,F155)=0,"",SUM(F155)/SUM(F12,F155))</f>
        <v/>
      </c>
      <c r="G441" s="27">
        <f>IF(SUM(G12,G155)=0,"",SUM(G155)/SUM(G12,G155))</f>
        <v/>
      </c>
      <c r="H441" s="27">
        <f>IF(SUM(H12,H155)=0,"",SUM(H155)/SUM(H12,H155))</f>
        <v/>
      </c>
    </row>
    <row r="442">
      <c r="A442" t="inlineStr">
        <is>
          <t>Week4-Oct-2025</t>
        </is>
      </c>
      <c r="B442" s="27">
        <f>IF(SUM(B13,B156)=0,"",SUM(B156)/SUM(B13,B156))</f>
        <v/>
      </c>
      <c r="C442" s="27">
        <f>IF(SUM(C13,C156)=0,"",SUM(C156)/SUM(C13,C156))</f>
        <v/>
      </c>
      <c r="D442" s="27">
        <f>IF(SUM(D13,D156)=0,"",SUM(D156)/SUM(D13,D156))</f>
        <v/>
      </c>
      <c r="E442" s="27">
        <f>IF(SUM(E13,E156)=0,"",SUM(E156)/SUM(E13,E156))</f>
        <v/>
      </c>
      <c r="F442" s="27">
        <f>IF(SUM(F13,F156)=0,"",SUM(F156)/SUM(F13,F156))</f>
        <v/>
      </c>
      <c r="G442" s="27">
        <f>IF(SUM(G13,G156)=0,"",SUM(G156)/SUM(G13,G156))</f>
        <v/>
      </c>
      <c r="H442" s="27">
        <f>IF(SUM(H13,H156)=0,"",SUM(H156)/SUM(H13,H156))</f>
        <v/>
      </c>
    </row>
    <row r="443">
      <c r="A443" t="inlineStr">
        <is>
          <t>Week5-Oct-2025</t>
        </is>
      </c>
      <c r="B443" s="27">
        <f>IF(SUM(B14,B157)=0,"",SUM(B157)/SUM(B14,B157))</f>
        <v/>
      </c>
      <c r="C443" s="27">
        <f>IF(SUM(C14,C157)=0,"",SUM(C157)/SUM(C14,C157))</f>
        <v/>
      </c>
      <c r="D443" s="27">
        <f>IF(SUM(D14,D157)=0,"",SUM(D157)/SUM(D14,D157))</f>
        <v/>
      </c>
      <c r="E443" s="27">
        <f>IF(SUM(E14,E157)=0,"",SUM(E157)/SUM(E14,E157))</f>
        <v/>
      </c>
      <c r="F443" s="27">
        <f>IF(SUM(F14,F157)=0,"",SUM(F157)/SUM(F14,F157))</f>
        <v/>
      </c>
      <c r="G443" s="27">
        <f>IF(SUM(G14,G157)=0,"",SUM(G157)/SUM(G14,G157))</f>
        <v/>
      </c>
      <c r="H443" s="27">
        <f>IF(SUM(H14,H157)=0,"",SUM(H157)/SUM(H14,H157))</f>
        <v/>
      </c>
    </row>
    <row r="444">
      <c r="A444" t="inlineStr">
        <is>
          <t>Week1-Nov-2025</t>
        </is>
      </c>
      <c r="B444" s="27">
        <f>IF(SUM(B15,B158)=0,"",SUM(B158)/SUM(B15,B158))</f>
        <v/>
      </c>
      <c r="C444" s="27">
        <f>IF(SUM(C15,C158)=0,"",SUM(C158)/SUM(C15,C158))</f>
        <v/>
      </c>
      <c r="D444" s="27">
        <f>IF(SUM(D15,D158)=0,"",SUM(D158)/SUM(D15,D158))</f>
        <v/>
      </c>
      <c r="E444" s="27">
        <f>IF(SUM(E15,E158)=0,"",SUM(E158)/SUM(E15,E158))</f>
        <v/>
      </c>
      <c r="F444" s="27">
        <f>IF(SUM(F15,F158)=0,"",SUM(F158)/SUM(F15,F158))</f>
        <v/>
      </c>
      <c r="G444" s="27">
        <f>IF(SUM(G15,G158)=0,"",SUM(G158)/SUM(G15,G158))</f>
        <v/>
      </c>
      <c r="H444" s="27">
        <f>IF(SUM(H15,H158)=0,"",SUM(H158)/SUM(H15,H158))</f>
        <v/>
      </c>
    </row>
    <row r="445">
      <c r="A445" t="inlineStr">
        <is>
          <t>Week2-Nov-2025</t>
        </is>
      </c>
      <c r="B445" s="27">
        <f>IF(SUM(B16,B159)=0,"",SUM(B159)/SUM(B16,B159))</f>
        <v/>
      </c>
      <c r="C445" s="27">
        <f>IF(SUM(C16,C159)=0,"",SUM(C159)/SUM(C16,C159))</f>
        <v/>
      </c>
      <c r="D445" s="27">
        <f>IF(SUM(D16,D159)=0,"",SUM(D159)/SUM(D16,D159))</f>
        <v/>
      </c>
      <c r="E445" s="27">
        <f>IF(SUM(E16,E159)=0,"",SUM(E159)/SUM(E16,E159))</f>
        <v/>
      </c>
      <c r="F445" s="27">
        <f>IF(SUM(F16,F159)=0,"",SUM(F159)/SUM(F16,F159))</f>
        <v/>
      </c>
      <c r="G445" s="27">
        <f>IF(SUM(G16,G159)=0,"",SUM(G159)/SUM(G16,G159))</f>
        <v/>
      </c>
      <c r="H445" s="27">
        <f>IF(SUM(H16,H159)=0,"",SUM(H159)/SUM(H16,H159))</f>
        <v/>
      </c>
    </row>
    <row r="446">
      <c r="A446" t="inlineStr">
        <is>
          <t>Week3-Nov-2025</t>
        </is>
      </c>
      <c r="B446" s="27">
        <f>IF(SUM(B17,B160)=0,"",SUM(B160)/SUM(B17,B160))</f>
        <v/>
      </c>
      <c r="C446" s="27">
        <f>IF(SUM(C17,C160)=0,"",SUM(C160)/SUM(C17,C160))</f>
        <v/>
      </c>
      <c r="D446" s="27">
        <f>IF(SUM(D17,D160)=0,"",SUM(D160)/SUM(D17,D160))</f>
        <v/>
      </c>
      <c r="E446" s="27">
        <f>IF(SUM(E17,E160)=0,"",SUM(E160)/SUM(E17,E160))</f>
        <v/>
      </c>
      <c r="F446" s="27">
        <f>IF(SUM(F17,F160)=0,"",SUM(F160)/SUM(F17,F160))</f>
        <v/>
      </c>
      <c r="G446" s="27">
        <f>IF(SUM(G17,G160)=0,"",SUM(G160)/SUM(G17,G160))</f>
        <v/>
      </c>
      <c r="H446" s="27">
        <f>IF(SUM(H17,H160)=0,"",SUM(H160)/SUM(H17,H160))</f>
        <v/>
      </c>
    </row>
    <row r="447">
      <c r="A447" t="inlineStr">
        <is>
          <t>Week4-Nov-2025</t>
        </is>
      </c>
      <c r="B447" s="27">
        <f>IF(SUM(B18,B161)=0,"",SUM(B161)/SUM(B18,B161))</f>
        <v/>
      </c>
      <c r="C447" s="27">
        <f>IF(SUM(C18,C161)=0,"",SUM(C161)/SUM(C18,C161))</f>
        <v/>
      </c>
      <c r="D447" s="27">
        <f>IF(SUM(D18,D161)=0,"",SUM(D161)/SUM(D18,D161))</f>
        <v/>
      </c>
      <c r="E447" s="27">
        <f>IF(SUM(E18,E161)=0,"",SUM(E161)/SUM(E18,E161))</f>
        <v/>
      </c>
      <c r="F447" s="27">
        <f>IF(SUM(F18,F161)=0,"",SUM(F161)/SUM(F18,F161))</f>
        <v/>
      </c>
      <c r="G447" s="27">
        <f>IF(SUM(G18,G161)=0,"",SUM(G161)/SUM(G18,G161))</f>
        <v/>
      </c>
      <c r="H447" s="27">
        <f>IF(SUM(H18,H161)=0,"",SUM(H161)/SUM(H18,H161))</f>
        <v/>
      </c>
    </row>
    <row r="448">
      <c r="A448" t="inlineStr">
        <is>
          <t>Week5-Nov-2025</t>
        </is>
      </c>
      <c r="B448" s="27">
        <f>IF(SUM(B19,B162)=0,"",SUM(B162)/SUM(B19,B162))</f>
        <v/>
      </c>
      <c r="C448" s="27">
        <f>IF(SUM(C19,C162)=0,"",SUM(C162)/SUM(C19,C162))</f>
        <v/>
      </c>
      <c r="D448" s="27">
        <f>IF(SUM(D19,D162)=0,"",SUM(D162)/SUM(D19,D162))</f>
        <v/>
      </c>
      <c r="E448" s="27">
        <f>IF(SUM(E19,E162)=0,"",SUM(E162)/SUM(E19,E162))</f>
        <v/>
      </c>
      <c r="F448" s="27">
        <f>IF(SUM(F19,F162)=0,"",SUM(F162)/SUM(F19,F162))</f>
        <v/>
      </c>
      <c r="G448" s="27">
        <f>IF(SUM(G19,G162)=0,"",SUM(G162)/SUM(G19,G162))</f>
        <v/>
      </c>
      <c r="H448" s="27">
        <f>IF(SUM(H19,H162)=0,"",SUM(H162)/SUM(H19,H162))</f>
        <v/>
      </c>
    </row>
    <row r="449">
      <c r="A449" t="inlineStr">
        <is>
          <t>Week1-Dec-2025</t>
        </is>
      </c>
      <c r="B449" s="27">
        <f>IF(SUM(B20,B163)=0,"",SUM(B163)/SUM(B20,B163))</f>
        <v/>
      </c>
      <c r="C449" s="27">
        <f>IF(SUM(C20,C163)=0,"",SUM(C163)/SUM(C20,C163))</f>
        <v/>
      </c>
      <c r="D449" s="27">
        <f>IF(SUM(D20,D163)=0,"",SUM(D163)/SUM(D20,D163))</f>
        <v/>
      </c>
      <c r="E449" s="27">
        <f>IF(SUM(E20,E163)=0,"",SUM(E163)/SUM(E20,E163))</f>
        <v/>
      </c>
      <c r="F449" s="27">
        <f>IF(SUM(F20,F163)=0,"",SUM(F163)/SUM(F20,F163))</f>
        <v/>
      </c>
      <c r="G449" s="27">
        <f>IF(SUM(G20,G163)=0,"",SUM(G163)/SUM(G20,G163))</f>
        <v/>
      </c>
      <c r="H449" s="27">
        <f>IF(SUM(H20,H163)=0,"",SUM(H163)/SUM(H20,H163))</f>
        <v/>
      </c>
    </row>
    <row r="450">
      <c r="A450" t="inlineStr">
        <is>
          <t>Week2-Dec-2025</t>
        </is>
      </c>
      <c r="B450" s="27">
        <f>IF(SUM(B21,B164)=0,"",SUM(B164)/SUM(B21,B164))</f>
        <v/>
      </c>
      <c r="C450" s="27">
        <f>IF(SUM(C21,C164)=0,"",SUM(C164)/SUM(C21,C164))</f>
        <v/>
      </c>
      <c r="D450" s="27">
        <f>IF(SUM(D21,D164)=0,"",SUM(D164)/SUM(D21,D164))</f>
        <v/>
      </c>
      <c r="E450" s="27">
        <f>IF(SUM(E21,E164)=0,"",SUM(E164)/SUM(E21,E164))</f>
        <v/>
      </c>
      <c r="F450" s="27">
        <f>IF(SUM(F21,F164)=0,"",SUM(F164)/SUM(F21,F164))</f>
        <v/>
      </c>
      <c r="G450" s="27">
        <f>IF(SUM(G21,G164)=0,"",SUM(G164)/SUM(G21,G164))</f>
        <v/>
      </c>
      <c r="H450" s="27">
        <f>IF(SUM(H21,H164)=0,"",SUM(H164)/SUM(H21,H164))</f>
        <v/>
      </c>
    </row>
    <row r="451">
      <c r="A451" t="inlineStr">
        <is>
          <t>Week3-Dec-2025</t>
        </is>
      </c>
      <c r="B451" s="27">
        <f>IF(SUM(B22,B165)=0,"",SUM(B165)/SUM(B22,B165))</f>
        <v/>
      </c>
      <c r="C451" s="27">
        <f>IF(SUM(C22,C165)=0,"",SUM(C165)/SUM(C22,C165))</f>
        <v/>
      </c>
      <c r="D451" s="27">
        <f>IF(SUM(D22,D165)=0,"",SUM(D165)/SUM(D22,D165))</f>
        <v/>
      </c>
      <c r="E451" s="27">
        <f>IF(SUM(E22,E165)=0,"",SUM(E165)/SUM(E22,E165))</f>
        <v/>
      </c>
      <c r="F451" s="27">
        <f>IF(SUM(F22,F165)=0,"",SUM(F165)/SUM(F22,F165))</f>
        <v/>
      </c>
      <c r="G451" s="27">
        <f>IF(SUM(G22,G165)=0,"",SUM(G165)/SUM(G22,G165))</f>
        <v/>
      </c>
      <c r="H451" s="27">
        <f>IF(SUM(H22,H165)=0,"",SUM(H165)/SUM(H22,H165))</f>
        <v/>
      </c>
    </row>
    <row r="452">
      <c r="A452" t="inlineStr">
        <is>
          <t>Week4-Dec-2025</t>
        </is>
      </c>
      <c r="B452" s="27">
        <f>IF(SUM(B23,B166)=0,"",SUM(B166)/SUM(B23,B166))</f>
        <v/>
      </c>
      <c r="C452" s="27">
        <f>IF(SUM(C23,C166)=0,"",SUM(C166)/SUM(C23,C166))</f>
        <v/>
      </c>
      <c r="D452" s="27">
        <f>IF(SUM(D23,D166)=0,"",SUM(D166)/SUM(D23,D166))</f>
        <v/>
      </c>
      <c r="E452" s="27">
        <f>IF(SUM(E23,E166)=0,"",SUM(E166)/SUM(E23,E166))</f>
        <v/>
      </c>
      <c r="F452" s="27">
        <f>IF(SUM(F23,F166)=0,"",SUM(F166)/SUM(F23,F166))</f>
        <v/>
      </c>
      <c r="G452" s="27">
        <f>IF(SUM(G23,G166)=0,"",SUM(G166)/SUM(G23,G166))</f>
        <v/>
      </c>
      <c r="H452" s="27">
        <f>IF(SUM(H23,H166)=0,"",SUM(H166)/SUM(H23,H166))</f>
        <v/>
      </c>
    </row>
    <row r="453">
      <c r="A453" t="inlineStr">
        <is>
          <t>Week5-Dec-2025</t>
        </is>
      </c>
      <c r="B453" s="27">
        <f>IF(SUM(B24,B167)=0,"",SUM(B167)/SUM(B24,B167))</f>
        <v/>
      </c>
      <c r="C453" s="27">
        <f>IF(SUM(C24,C167)=0,"",SUM(C167)/SUM(C24,C167))</f>
        <v/>
      </c>
      <c r="D453" s="27">
        <f>IF(SUM(D24,D167)=0,"",SUM(D167)/SUM(D24,D167))</f>
        <v/>
      </c>
      <c r="E453" s="27">
        <f>IF(SUM(E24,E167)=0,"",SUM(E167)/SUM(E24,E167))</f>
        <v/>
      </c>
      <c r="F453" s="27">
        <f>IF(SUM(F24,F167)=0,"",SUM(F167)/SUM(F24,F167))</f>
        <v/>
      </c>
      <c r="G453" s="27">
        <f>IF(SUM(G24,G167)=0,"",SUM(G167)/SUM(G24,G167))</f>
        <v/>
      </c>
      <c r="H453" s="27">
        <f>IF(SUM(H24,H167)=0,"",SUM(H167)/SUM(H24,H167))</f>
        <v/>
      </c>
    </row>
    <row r="454">
      <c r="A454" t="inlineStr">
        <is>
          <t>Week1-Jan-2026</t>
        </is>
      </c>
      <c r="B454" s="27">
        <f>IF(SUM(B25,B168)=0,"",SUM(B168)/SUM(B25,B168))</f>
        <v/>
      </c>
      <c r="C454" s="27">
        <f>IF(SUM(C25,C168)=0,"",SUM(C168)/SUM(C25,C168))</f>
        <v/>
      </c>
      <c r="D454" s="27">
        <f>IF(SUM(D25,D168)=0,"",SUM(D168)/SUM(D25,D168))</f>
        <v/>
      </c>
      <c r="E454" s="27">
        <f>IF(SUM(E25,E168)=0,"",SUM(E168)/SUM(E25,E168))</f>
        <v/>
      </c>
      <c r="F454" s="27">
        <f>IF(SUM(F25,F168)=0,"",SUM(F168)/SUM(F25,F168))</f>
        <v/>
      </c>
      <c r="G454" s="27">
        <f>IF(SUM(G25,G168)=0,"",SUM(G168)/SUM(G25,G168))</f>
        <v/>
      </c>
      <c r="H454" s="27">
        <f>IF(SUM(H25,H168)=0,"",SUM(H168)/SUM(H25,H168))</f>
        <v/>
      </c>
    </row>
    <row r="455">
      <c r="A455" t="inlineStr">
        <is>
          <t>Week2-Jan-2026</t>
        </is>
      </c>
      <c r="B455" s="27">
        <f>IF(SUM(B26,B169)=0,"",SUM(B169)/SUM(B26,B169))</f>
        <v/>
      </c>
      <c r="C455" s="27">
        <f>IF(SUM(C26,C169)=0,"",SUM(C169)/SUM(C26,C169))</f>
        <v/>
      </c>
      <c r="D455" s="27">
        <f>IF(SUM(D26,D169)=0,"",SUM(D169)/SUM(D26,D169))</f>
        <v/>
      </c>
      <c r="E455" s="27">
        <f>IF(SUM(E26,E169)=0,"",SUM(E169)/SUM(E26,E169))</f>
        <v/>
      </c>
      <c r="F455" s="27">
        <f>IF(SUM(F26,F169)=0,"",SUM(F169)/SUM(F26,F169))</f>
        <v/>
      </c>
      <c r="G455" s="27">
        <f>IF(SUM(G26,G169)=0,"",SUM(G169)/SUM(G26,G169))</f>
        <v/>
      </c>
      <c r="H455" s="27">
        <f>IF(SUM(H26,H169)=0,"",SUM(H169)/SUM(H26,H169))</f>
        <v/>
      </c>
    </row>
    <row r="456">
      <c r="A456" t="inlineStr">
        <is>
          <t>Week3-Jan-2026</t>
        </is>
      </c>
      <c r="B456" s="27">
        <f>IF(SUM(B27,B170)=0,"",SUM(B170)/SUM(B27,B170))</f>
        <v/>
      </c>
      <c r="C456" s="27">
        <f>IF(SUM(C27,C170)=0,"",SUM(C170)/SUM(C27,C170))</f>
        <v/>
      </c>
      <c r="D456" s="27">
        <f>IF(SUM(D27,D170)=0,"",SUM(D170)/SUM(D27,D170))</f>
        <v/>
      </c>
      <c r="E456" s="27">
        <f>IF(SUM(E27,E170)=0,"",SUM(E170)/SUM(E27,E170))</f>
        <v/>
      </c>
      <c r="F456" s="27">
        <f>IF(SUM(F27,F170)=0,"",SUM(F170)/SUM(F27,F170))</f>
        <v/>
      </c>
      <c r="G456" s="27">
        <f>IF(SUM(G27,G170)=0,"",SUM(G170)/SUM(G27,G170))</f>
        <v/>
      </c>
      <c r="H456" s="27">
        <f>IF(SUM(H27,H170)=0,"",SUM(H170)/SUM(H27,H170))</f>
        <v/>
      </c>
    </row>
    <row r="457">
      <c r="A457" t="inlineStr">
        <is>
          <t>Week4-Jan-2026</t>
        </is>
      </c>
      <c r="B457" s="27">
        <f>IF(SUM(B28,B171)=0,"",SUM(B171)/SUM(B28,B171))</f>
        <v/>
      </c>
      <c r="C457" s="27">
        <f>IF(SUM(C28,C171)=0,"",SUM(C171)/SUM(C28,C171))</f>
        <v/>
      </c>
      <c r="D457" s="27">
        <f>IF(SUM(D28,D171)=0,"",SUM(D171)/SUM(D28,D171))</f>
        <v/>
      </c>
      <c r="E457" s="27">
        <f>IF(SUM(E28,E171)=0,"",SUM(E171)/SUM(E28,E171))</f>
        <v/>
      </c>
      <c r="F457" s="27">
        <f>IF(SUM(F28,F171)=0,"",SUM(F171)/SUM(F28,F171))</f>
        <v/>
      </c>
      <c r="G457" s="27">
        <f>IF(SUM(G28,G171)=0,"",SUM(G171)/SUM(G28,G171))</f>
        <v/>
      </c>
      <c r="H457" s="27">
        <f>IF(SUM(H28,H171)=0,"",SUM(H171)/SUM(H28,H171))</f>
        <v/>
      </c>
    </row>
    <row r="458">
      <c r="A458" t="inlineStr">
        <is>
          <t>Week5-Jan-2026</t>
        </is>
      </c>
      <c r="B458" s="27">
        <f>IF(SUM(B29,B172)=0,"",SUM(B172)/SUM(B29,B172))</f>
        <v/>
      </c>
      <c r="C458" s="27">
        <f>IF(SUM(C29,C172)=0,"",SUM(C172)/SUM(C29,C172))</f>
        <v/>
      </c>
      <c r="D458" s="27">
        <f>IF(SUM(D29,D172)=0,"",SUM(D172)/SUM(D29,D172))</f>
        <v/>
      </c>
      <c r="E458" s="27">
        <f>IF(SUM(E29,E172)=0,"",SUM(E172)/SUM(E29,E172))</f>
        <v/>
      </c>
      <c r="F458" s="27">
        <f>IF(SUM(F29,F172)=0,"",SUM(F172)/SUM(F29,F172))</f>
        <v/>
      </c>
      <c r="G458" s="27">
        <f>IF(SUM(G29,G172)=0,"",SUM(G172)/SUM(G29,G172))</f>
        <v/>
      </c>
      <c r="H458" s="27">
        <f>IF(SUM(H29,H172)=0,"",SUM(H172)/SUM(H29,H172))</f>
        <v/>
      </c>
    </row>
    <row r="459">
      <c r="A459" t="inlineStr">
        <is>
          <t>Week1-Feb-2026</t>
        </is>
      </c>
      <c r="B459" s="27">
        <f>IF(SUM(B30,B173)=0,"",SUM(B173)/SUM(B30,B173))</f>
        <v/>
      </c>
      <c r="C459" s="27">
        <f>IF(SUM(C30,C173)=0,"",SUM(C173)/SUM(C30,C173))</f>
        <v/>
      </c>
      <c r="D459" s="27">
        <f>IF(SUM(D30,D173)=0,"",SUM(D173)/SUM(D30,D173))</f>
        <v/>
      </c>
      <c r="E459" s="27">
        <f>IF(SUM(E30,E173)=0,"",SUM(E173)/SUM(E30,E173))</f>
        <v/>
      </c>
      <c r="F459" s="27">
        <f>IF(SUM(F30,F173)=0,"",SUM(F173)/SUM(F30,F173))</f>
        <v/>
      </c>
      <c r="G459" s="27">
        <f>IF(SUM(G30,G173)=0,"",SUM(G173)/SUM(G30,G173))</f>
        <v/>
      </c>
      <c r="H459" s="27">
        <f>IF(SUM(H30,H173)=0,"",SUM(H173)/SUM(H30,H173))</f>
        <v/>
      </c>
    </row>
    <row r="460">
      <c r="A460" t="inlineStr">
        <is>
          <t>Week2-Feb-2026</t>
        </is>
      </c>
      <c r="B460" s="27">
        <f>IF(SUM(B31,B174)=0,"",SUM(B174)/SUM(B31,B174))</f>
        <v/>
      </c>
      <c r="C460" s="27">
        <f>IF(SUM(C31,C174)=0,"",SUM(C174)/SUM(C31,C174))</f>
        <v/>
      </c>
      <c r="D460" s="27">
        <f>IF(SUM(D31,D174)=0,"",SUM(D174)/SUM(D31,D174))</f>
        <v/>
      </c>
      <c r="E460" s="27">
        <f>IF(SUM(E31,E174)=0,"",SUM(E174)/SUM(E31,E174))</f>
        <v/>
      </c>
      <c r="F460" s="27">
        <f>IF(SUM(F31,F174)=0,"",SUM(F174)/SUM(F31,F174))</f>
        <v/>
      </c>
      <c r="G460" s="27">
        <f>IF(SUM(G31,G174)=0,"",SUM(G174)/SUM(G31,G174))</f>
        <v/>
      </c>
      <c r="H460" s="27">
        <f>IF(SUM(H31,H174)=0,"",SUM(H174)/SUM(H31,H174))</f>
        <v/>
      </c>
    </row>
    <row r="461">
      <c r="A461" t="inlineStr">
        <is>
          <t>Week3-Feb-2026</t>
        </is>
      </c>
      <c r="B461" s="27">
        <f>IF(SUM(B32,B175)=0,"",SUM(B175)/SUM(B32,B175))</f>
        <v/>
      </c>
      <c r="C461" s="27">
        <f>IF(SUM(C32,C175)=0,"",SUM(C175)/SUM(C32,C175))</f>
        <v/>
      </c>
      <c r="D461" s="27">
        <f>IF(SUM(D32,D175)=0,"",SUM(D175)/SUM(D32,D175))</f>
        <v/>
      </c>
      <c r="E461" s="27">
        <f>IF(SUM(E32,E175)=0,"",SUM(E175)/SUM(E32,E175))</f>
        <v/>
      </c>
      <c r="F461" s="27">
        <f>IF(SUM(F32,F175)=0,"",SUM(F175)/SUM(F32,F175))</f>
        <v/>
      </c>
      <c r="G461" s="27">
        <f>IF(SUM(G32,G175)=0,"",SUM(G175)/SUM(G32,G175))</f>
        <v/>
      </c>
      <c r="H461" s="27">
        <f>IF(SUM(H32,H175)=0,"",SUM(H175)/SUM(H32,H175))</f>
        <v/>
      </c>
    </row>
    <row r="462">
      <c r="A462" t="inlineStr">
        <is>
          <t>Week4-Feb-2026</t>
        </is>
      </c>
      <c r="B462" s="27">
        <f>IF(SUM(B33,B176)=0,"",SUM(B176)/SUM(B33,B176))</f>
        <v/>
      </c>
      <c r="C462" s="27">
        <f>IF(SUM(C33,C176)=0,"",SUM(C176)/SUM(C33,C176))</f>
        <v/>
      </c>
      <c r="D462" s="27">
        <f>IF(SUM(D33,D176)=0,"",SUM(D176)/SUM(D33,D176))</f>
        <v/>
      </c>
      <c r="E462" s="27">
        <f>IF(SUM(E33,E176)=0,"",SUM(E176)/SUM(E33,E176))</f>
        <v/>
      </c>
      <c r="F462" s="27">
        <f>IF(SUM(F33,F176)=0,"",SUM(F176)/SUM(F33,F176))</f>
        <v/>
      </c>
      <c r="G462" s="27">
        <f>IF(SUM(G33,G176)=0,"",SUM(G176)/SUM(G33,G176))</f>
        <v/>
      </c>
      <c r="H462" s="27">
        <f>IF(SUM(H33,H176)=0,"",SUM(H176)/SUM(H33,H176))</f>
        <v/>
      </c>
    </row>
    <row r="463">
      <c r="A463" t="inlineStr">
        <is>
          <t>Week1-Mar-2026</t>
        </is>
      </c>
      <c r="B463" s="27">
        <f>IF(SUM(B34,B177)=0,"",SUM(B177)/SUM(B34,B177))</f>
        <v/>
      </c>
      <c r="C463" s="27">
        <f>IF(SUM(C34,C177)=0,"",SUM(C177)/SUM(C34,C177))</f>
        <v/>
      </c>
      <c r="D463" s="27">
        <f>IF(SUM(D34,D177)=0,"",SUM(D177)/SUM(D34,D177))</f>
        <v/>
      </c>
      <c r="E463" s="27">
        <f>IF(SUM(E34,E177)=0,"",SUM(E177)/SUM(E34,E177))</f>
        <v/>
      </c>
      <c r="F463" s="27">
        <f>IF(SUM(F34,F177)=0,"",SUM(F177)/SUM(F34,F177))</f>
        <v/>
      </c>
      <c r="G463" s="27">
        <f>IF(SUM(G34,G177)=0,"",SUM(G177)/SUM(G34,G177))</f>
        <v/>
      </c>
      <c r="H463" s="27">
        <f>IF(SUM(H34,H177)=0,"",SUM(H177)/SUM(H34,H177))</f>
        <v/>
      </c>
    </row>
    <row r="464">
      <c r="A464" t="inlineStr">
        <is>
          <t>Week2-Mar-2026</t>
        </is>
      </c>
      <c r="B464" s="27">
        <f>IF(SUM(B35,B178)=0,"",SUM(B178)/SUM(B35,B178))</f>
        <v/>
      </c>
      <c r="C464" s="27">
        <f>IF(SUM(C35,C178)=0,"",SUM(C178)/SUM(C35,C178))</f>
        <v/>
      </c>
      <c r="D464" s="27">
        <f>IF(SUM(D35,D178)=0,"",SUM(D178)/SUM(D35,D178))</f>
        <v/>
      </c>
      <c r="E464" s="27">
        <f>IF(SUM(E35,E178)=0,"",SUM(E178)/SUM(E35,E178))</f>
        <v/>
      </c>
      <c r="F464" s="27">
        <f>IF(SUM(F35,F178)=0,"",SUM(F178)/SUM(F35,F178))</f>
        <v/>
      </c>
      <c r="G464" s="27">
        <f>IF(SUM(G35,G178)=0,"",SUM(G178)/SUM(G35,G178))</f>
        <v/>
      </c>
      <c r="H464" s="27">
        <f>IF(SUM(H35,H178)=0,"",SUM(H178)/SUM(H35,H178))</f>
        <v/>
      </c>
    </row>
    <row r="465">
      <c r="A465" t="inlineStr">
        <is>
          <t>Week3-Mar-2026</t>
        </is>
      </c>
      <c r="B465" s="27">
        <f>IF(SUM(B36,B179)=0,"",SUM(B179)/SUM(B36,B179))</f>
        <v/>
      </c>
      <c r="C465" s="27">
        <f>IF(SUM(C36,C179)=0,"",SUM(C179)/SUM(C36,C179))</f>
        <v/>
      </c>
      <c r="D465" s="27">
        <f>IF(SUM(D36,D179)=0,"",SUM(D179)/SUM(D36,D179))</f>
        <v/>
      </c>
      <c r="E465" s="27">
        <f>IF(SUM(E36,E179)=0,"",SUM(E179)/SUM(E36,E179))</f>
        <v/>
      </c>
      <c r="F465" s="27">
        <f>IF(SUM(F36,F179)=0,"",SUM(F179)/SUM(F36,F179))</f>
        <v/>
      </c>
      <c r="G465" s="27">
        <f>IF(SUM(G36,G179)=0,"",SUM(G179)/SUM(G36,G179))</f>
        <v/>
      </c>
      <c r="H465" s="27">
        <f>IF(SUM(H36,H179)=0,"",SUM(H179)/SUM(H36,H179))</f>
        <v/>
      </c>
    </row>
    <row r="466">
      <c r="A466" t="inlineStr">
        <is>
          <t>Week4-Mar-2026</t>
        </is>
      </c>
      <c r="B466" s="27">
        <f>IF(SUM(B37,B180)=0,"",SUM(B180)/SUM(B37,B180))</f>
        <v/>
      </c>
      <c r="C466" s="27">
        <f>IF(SUM(C37,C180)=0,"",SUM(C180)/SUM(C37,C180))</f>
        <v/>
      </c>
      <c r="D466" s="27">
        <f>IF(SUM(D37,D180)=0,"",SUM(D180)/SUM(D37,D180))</f>
        <v/>
      </c>
      <c r="E466" s="27">
        <f>IF(SUM(E37,E180)=0,"",SUM(E180)/SUM(E37,E180))</f>
        <v/>
      </c>
      <c r="F466" s="27">
        <f>IF(SUM(F37,F180)=0,"",SUM(F180)/SUM(F37,F180))</f>
        <v/>
      </c>
      <c r="G466" s="27">
        <f>IF(SUM(G37,G180)=0,"",SUM(G180)/SUM(G37,G180))</f>
        <v/>
      </c>
      <c r="H466" s="27">
        <f>IF(SUM(H37,H180)=0,"",SUM(H180)/SUM(H37,H180))</f>
        <v/>
      </c>
    </row>
    <row r="467">
      <c r="A467" t="inlineStr">
        <is>
          <t>Week5-Mar-2026</t>
        </is>
      </c>
      <c r="B467" s="27">
        <f>IF(SUM(B38,B181)=0,"",SUM(B181)/SUM(B38,B181))</f>
        <v/>
      </c>
      <c r="C467" s="27">
        <f>IF(SUM(C38,C181)=0,"",SUM(C181)/SUM(C38,C181))</f>
        <v/>
      </c>
      <c r="D467" s="27">
        <f>IF(SUM(D38,D181)=0,"",SUM(D181)/SUM(D38,D181))</f>
        <v/>
      </c>
      <c r="E467" s="27">
        <f>IF(SUM(E38,E181)=0,"",SUM(E181)/SUM(E38,E181))</f>
        <v/>
      </c>
      <c r="F467" s="27">
        <f>IF(SUM(F38,F181)=0,"",SUM(F181)/SUM(F38,F181))</f>
        <v/>
      </c>
      <c r="G467" s="27">
        <f>IF(SUM(G38,G181)=0,"",SUM(G181)/SUM(G38,G181))</f>
        <v/>
      </c>
      <c r="H467" s="27">
        <f>IF(SUM(H38,H181)=0,"",SUM(H181)/SUM(H38,H181))</f>
        <v/>
      </c>
    </row>
    <row r="468">
      <c r="A468" t="inlineStr">
        <is>
          <t>Week1-Apr-2026</t>
        </is>
      </c>
      <c r="B468" s="27">
        <f>IF(SUM(B39,B182)=0,"",SUM(B182)/SUM(B39,B182))</f>
        <v/>
      </c>
      <c r="C468" s="27">
        <f>IF(SUM(C39,C182)=0,"",SUM(C182)/SUM(C39,C182))</f>
        <v/>
      </c>
      <c r="D468" s="27">
        <f>IF(SUM(D39,D182)=0,"",SUM(D182)/SUM(D39,D182))</f>
        <v/>
      </c>
      <c r="E468" s="27">
        <f>IF(SUM(E39,E182)=0,"",SUM(E182)/SUM(E39,E182))</f>
        <v/>
      </c>
      <c r="F468" s="27">
        <f>IF(SUM(F39,F182)=0,"",SUM(F182)/SUM(F39,F182))</f>
        <v/>
      </c>
      <c r="G468" s="27">
        <f>IF(SUM(G39,G182)=0,"",SUM(G182)/SUM(G39,G182))</f>
        <v/>
      </c>
      <c r="H468" s="27">
        <f>IF(SUM(H39,H182)=0,"",SUM(H182)/SUM(H39,H182))</f>
        <v/>
      </c>
    </row>
    <row r="469">
      <c r="A469" t="inlineStr">
        <is>
          <t>Week2-Apr-2026</t>
        </is>
      </c>
      <c r="B469" s="27">
        <f>IF(SUM(B40,B183)=0,"",SUM(B183)/SUM(B40,B183))</f>
        <v/>
      </c>
      <c r="C469" s="27">
        <f>IF(SUM(C40,C183)=0,"",SUM(C183)/SUM(C40,C183))</f>
        <v/>
      </c>
      <c r="D469" s="27">
        <f>IF(SUM(D40,D183)=0,"",SUM(D183)/SUM(D40,D183))</f>
        <v/>
      </c>
      <c r="E469" s="27">
        <f>IF(SUM(E40,E183)=0,"",SUM(E183)/SUM(E40,E183))</f>
        <v/>
      </c>
      <c r="F469" s="27">
        <f>IF(SUM(F40,F183)=0,"",SUM(F183)/SUM(F40,F183))</f>
        <v/>
      </c>
      <c r="G469" s="27">
        <f>IF(SUM(G40,G183)=0,"",SUM(G183)/SUM(G40,G183))</f>
        <v/>
      </c>
      <c r="H469" s="27">
        <f>IF(SUM(H40,H183)=0,"",SUM(H183)/SUM(H40,H183))</f>
        <v/>
      </c>
    </row>
    <row r="470">
      <c r="A470" t="inlineStr">
        <is>
          <t>Week3-Apr-2026</t>
        </is>
      </c>
      <c r="B470" s="27">
        <f>IF(SUM(B41,B184)=0,"",SUM(B184)/SUM(B41,B184))</f>
        <v/>
      </c>
      <c r="C470" s="27">
        <f>IF(SUM(C41,C184)=0,"",SUM(C184)/SUM(C41,C184))</f>
        <v/>
      </c>
      <c r="D470" s="27">
        <f>IF(SUM(D41,D184)=0,"",SUM(D184)/SUM(D41,D184))</f>
        <v/>
      </c>
      <c r="E470" s="27">
        <f>IF(SUM(E41,E184)=0,"",SUM(E184)/SUM(E41,E184))</f>
        <v/>
      </c>
      <c r="F470" s="27">
        <f>IF(SUM(F41,F184)=0,"",SUM(F184)/SUM(F41,F184))</f>
        <v/>
      </c>
      <c r="G470" s="27">
        <f>IF(SUM(G41,G184)=0,"",SUM(G184)/SUM(G41,G184))</f>
        <v/>
      </c>
      <c r="H470" s="27">
        <f>IF(SUM(H41,H184)=0,"",SUM(H184)/SUM(H41,H184))</f>
        <v/>
      </c>
    </row>
    <row r="471">
      <c r="A471" t="inlineStr">
        <is>
          <t>Week4-Apr-2026</t>
        </is>
      </c>
      <c r="B471" s="27">
        <f>IF(SUM(B42,B185)=0,"",SUM(B185)/SUM(B42,B185))</f>
        <v/>
      </c>
      <c r="C471" s="27">
        <f>IF(SUM(C42,C185)=0,"",SUM(C185)/SUM(C42,C185))</f>
        <v/>
      </c>
      <c r="D471" s="27">
        <f>IF(SUM(D42,D185)=0,"",SUM(D185)/SUM(D42,D185))</f>
        <v/>
      </c>
      <c r="E471" s="27">
        <f>IF(SUM(E42,E185)=0,"",SUM(E185)/SUM(E42,E185))</f>
        <v/>
      </c>
      <c r="F471" s="27">
        <f>IF(SUM(F42,F185)=0,"",SUM(F185)/SUM(F42,F185))</f>
        <v/>
      </c>
      <c r="G471" s="27">
        <f>IF(SUM(G42,G185)=0,"",SUM(G185)/SUM(G42,G185))</f>
        <v/>
      </c>
      <c r="H471" s="27">
        <f>IF(SUM(H42,H185)=0,"",SUM(H185)/SUM(H42,H185))</f>
        <v/>
      </c>
    </row>
    <row r="472">
      <c r="A472" t="inlineStr">
        <is>
          <t>Week5-Apr-2026</t>
        </is>
      </c>
      <c r="B472" s="27">
        <f>IF(SUM(B43,B186)=0,"",SUM(B186)/SUM(B43,B186))</f>
        <v/>
      </c>
      <c r="C472" s="27">
        <f>IF(SUM(C43,C186)=0,"",SUM(C186)/SUM(C43,C186))</f>
        <v/>
      </c>
      <c r="D472" s="27">
        <f>IF(SUM(D43,D186)=0,"",SUM(D186)/SUM(D43,D186))</f>
        <v/>
      </c>
      <c r="E472" s="27">
        <f>IF(SUM(E43,E186)=0,"",SUM(E186)/SUM(E43,E186))</f>
        <v/>
      </c>
      <c r="F472" s="27">
        <f>IF(SUM(F43,F186)=0,"",SUM(F186)/SUM(F43,F186))</f>
        <v/>
      </c>
      <c r="G472" s="27">
        <f>IF(SUM(G43,G186)=0,"",SUM(G186)/SUM(G43,G186))</f>
        <v/>
      </c>
      <c r="H472" s="27">
        <f>IF(SUM(H43,H186)=0,"",SUM(H186)/SUM(H43,H186))</f>
        <v/>
      </c>
    </row>
    <row r="473">
      <c r="A473" t="inlineStr">
        <is>
          <t>Week1-May-2026</t>
        </is>
      </c>
      <c r="B473" s="27">
        <f>IF(SUM(B44,B187)=0,"",SUM(B187)/SUM(B44,B187))</f>
        <v/>
      </c>
      <c r="C473" s="27">
        <f>IF(SUM(C44,C187)=0,"",SUM(C187)/SUM(C44,C187))</f>
        <v/>
      </c>
      <c r="D473" s="27">
        <f>IF(SUM(D44,D187)=0,"",SUM(D187)/SUM(D44,D187))</f>
        <v/>
      </c>
      <c r="E473" s="27">
        <f>IF(SUM(E44,E187)=0,"",SUM(E187)/SUM(E44,E187))</f>
        <v/>
      </c>
      <c r="F473" s="27">
        <f>IF(SUM(F44,F187)=0,"",SUM(F187)/SUM(F44,F187))</f>
        <v/>
      </c>
      <c r="G473" s="27">
        <f>IF(SUM(G44,G187)=0,"",SUM(G187)/SUM(G44,G187))</f>
        <v/>
      </c>
      <c r="H473" s="27">
        <f>IF(SUM(H44,H187)=0,"",SUM(H187)/SUM(H44,H187))</f>
        <v/>
      </c>
    </row>
    <row r="474">
      <c r="A474" t="inlineStr">
        <is>
          <t>Week2-May-2026</t>
        </is>
      </c>
      <c r="B474" s="27">
        <f>IF(SUM(B45,B188)=0,"",SUM(B188)/SUM(B45,B188))</f>
        <v/>
      </c>
      <c r="C474" s="27">
        <f>IF(SUM(C45,C188)=0,"",SUM(C188)/SUM(C45,C188))</f>
        <v/>
      </c>
      <c r="D474" s="27">
        <f>IF(SUM(D45,D188)=0,"",SUM(D188)/SUM(D45,D188))</f>
        <v/>
      </c>
      <c r="E474" s="27">
        <f>IF(SUM(E45,E188)=0,"",SUM(E188)/SUM(E45,E188))</f>
        <v/>
      </c>
      <c r="F474" s="27">
        <f>IF(SUM(F45,F188)=0,"",SUM(F188)/SUM(F45,F188))</f>
        <v/>
      </c>
      <c r="G474" s="27">
        <f>IF(SUM(G45,G188)=0,"",SUM(G188)/SUM(G45,G188))</f>
        <v/>
      </c>
      <c r="H474" s="27">
        <f>IF(SUM(H45,H188)=0,"",SUM(H188)/SUM(H45,H188))</f>
        <v/>
      </c>
    </row>
    <row r="475">
      <c r="A475" t="inlineStr">
        <is>
          <t>Week3-May-2026</t>
        </is>
      </c>
      <c r="B475" s="27">
        <f>IF(SUM(B46,B189)=0,"",SUM(B189)/SUM(B46,B189))</f>
        <v/>
      </c>
      <c r="C475" s="27">
        <f>IF(SUM(C46,C189)=0,"",SUM(C189)/SUM(C46,C189))</f>
        <v/>
      </c>
      <c r="D475" s="27">
        <f>IF(SUM(D46,D189)=0,"",SUM(D189)/SUM(D46,D189))</f>
        <v/>
      </c>
      <c r="E475" s="27">
        <f>IF(SUM(E46,E189)=0,"",SUM(E189)/SUM(E46,E189))</f>
        <v/>
      </c>
      <c r="F475" s="27">
        <f>IF(SUM(F46,F189)=0,"",SUM(F189)/SUM(F46,F189))</f>
        <v/>
      </c>
      <c r="G475" s="27">
        <f>IF(SUM(G46,G189)=0,"",SUM(G189)/SUM(G46,G189))</f>
        <v/>
      </c>
      <c r="H475" s="27">
        <f>IF(SUM(H46,H189)=0,"",SUM(H189)/SUM(H46,H189))</f>
        <v/>
      </c>
    </row>
    <row r="476">
      <c r="A476" t="inlineStr">
        <is>
          <t>Week4-May-2026</t>
        </is>
      </c>
      <c r="B476" s="27">
        <f>IF(SUM(B47,B190)=0,"",SUM(B190)/SUM(B47,B190))</f>
        <v/>
      </c>
      <c r="C476" s="27">
        <f>IF(SUM(C47,C190)=0,"",SUM(C190)/SUM(C47,C190))</f>
        <v/>
      </c>
      <c r="D476" s="27">
        <f>IF(SUM(D47,D190)=0,"",SUM(D190)/SUM(D47,D190))</f>
        <v/>
      </c>
      <c r="E476" s="27">
        <f>IF(SUM(E47,E190)=0,"",SUM(E190)/SUM(E47,E190))</f>
        <v/>
      </c>
      <c r="F476" s="27">
        <f>IF(SUM(F47,F190)=0,"",SUM(F190)/SUM(F47,F190))</f>
        <v/>
      </c>
      <c r="G476" s="27">
        <f>IF(SUM(G47,G190)=0,"",SUM(G190)/SUM(G47,G190))</f>
        <v/>
      </c>
      <c r="H476" s="27">
        <f>IF(SUM(H47,H190)=0,"",SUM(H190)/SUM(H47,H190))</f>
        <v/>
      </c>
    </row>
    <row r="477">
      <c r="A477" t="inlineStr">
        <is>
          <t>Week5-May-2026</t>
        </is>
      </c>
      <c r="B477" s="27">
        <f>IF(SUM(B48,B191)=0,"",SUM(B191)/SUM(B48,B191))</f>
        <v/>
      </c>
      <c r="C477" s="27">
        <f>IF(SUM(C48,C191)=0,"",SUM(C191)/SUM(C48,C191))</f>
        <v/>
      </c>
      <c r="D477" s="27">
        <f>IF(SUM(D48,D191)=0,"",SUM(D191)/SUM(D48,D191))</f>
        <v/>
      </c>
      <c r="E477" s="27">
        <f>IF(SUM(E48,E191)=0,"",SUM(E191)/SUM(E48,E191))</f>
        <v/>
      </c>
      <c r="F477" s="27">
        <f>IF(SUM(F48,F191)=0,"",SUM(F191)/SUM(F48,F191))</f>
        <v/>
      </c>
      <c r="G477" s="27">
        <f>IF(SUM(G48,G191)=0,"",SUM(G191)/SUM(G48,G191))</f>
        <v/>
      </c>
      <c r="H477" s="27">
        <f>IF(SUM(H48,H191)=0,"",SUM(H191)/SUM(H48,H191))</f>
        <v/>
      </c>
    </row>
    <row r="478">
      <c r="A478" t="inlineStr">
        <is>
          <t>Week1-Jun-2026</t>
        </is>
      </c>
      <c r="B478" s="27">
        <f>IF(SUM(B49,B192)=0,"",SUM(B192)/SUM(B49,B192))</f>
        <v/>
      </c>
      <c r="C478" s="27">
        <f>IF(SUM(C49,C192)=0,"",SUM(C192)/SUM(C49,C192))</f>
        <v/>
      </c>
      <c r="D478" s="27">
        <f>IF(SUM(D49,D192)=0,"",SUM(D192)/SUM(D49,D192))</f>
        <v/>
      </c>
      <c r="E478" s="27">
        <f>IF(SUM(E49,E192)=0,"",SUM(E192)/SUM(E49,E192))</f>
        <v/>
      </c>
      <c r="F478" s="27">
        <f>IF(SUM(F49,F192)=0,"",SUM(F192)/SUM(F49,F192))</f>
        <v/>
      </c>
      <c r="G478" s="27">
        <f>IF(SUM(G49,G192)=0,"",SUM(G192)/SUM(G49,G192))</f>
        <v/>
      </c>
      <c r="H478" s="27">
        <f>IF(SUM(H49,H192)=0,"",SUM(H192)/SUM(H49,H192))</f>
        <v/>
      </c>
    </row>
    <row r="479">
      <c r="A479" t="inlineStr">
        <is>
          <t>Week2-Jun-2026</t>
        </is>
      </c>
      <c r="B479" s="27">
        <f>IF(SUM(B50,B193)=0,"",SUM(B193)/SUM(B50,B193))</f>
        <v/>
      </c>
      <c r="C479" s="27">
        <f>IF(SUM(C50,C193)=0,"",SUM(C193)/SUM(C50,C193))</f>
        <v/>
      </c>
      <c r="D479" s="27">
        <f>IF(SUM(D50,D193)=0,"",SUM(D193)/SUM(D50,D193))</f>
        <v/>
      </c>
      <c r="E479" s="27">
        <f>IF(SUM(E50,E193)=0,"",SUM(E193)/SUM(E50,E193))</f>
        <v/>
      </c>
      <c r="F479" s="27">
        <f>IF(SUM(F50,F193)=0,"",SUM(F193)/SUM(F50,F193))</f>
        <v/>
      </c>
      <c r="G479" s="27">
        <f>IF(SUM(G50,G193)=0,"",SUM(G193)/SUM(G50,G193))</f>
        <v/>
      </c>
      <c r="H479" s="27">
        <f>IF(SUM(H50,H193)=0,"",SUM(H193)/SUM(H50,H193))</f>
        <v/>
      </c>
    </row>
    <row r="480">
      <c r="A480" t="inlineStr">
        <is>
          <t>Week3-Jun-2026</t>
        </is>
      </c>
      <c r="B480" s="27">
        <f>IF(SUM(B51,B194)=0,"",SUM(B194)/SUM(B51,B194))</f>
        <v/>
      </c>
      <c r="C480" s="27">
        <f>IF(SUM(C51,C194)=0,"",SUM(C194)/SUM(C51,C194))</f>
        <v/>
      </c>
      <c r="D480" s="27">
        <f>IF(SUM(D51,D194)=0,"",SUM(D194)/SUM(D51,D194))</f>
        <v/>
      </c>
      <c r="E480" s="27">
        <f>IF(SUM(E51,E194)=0,"",SUM(E194)/SUM(E51,E194))</f>
        <v/>
      </c>
      <c r="F480" s="27">
        <f>IF(SUM(F51,F194)=0,"",SUM(F194)/SUM(F51,F194))</f>
        <v/>
      </c>
      <c r="G480" s="27">
        <f>IF(SUM(G51,G194)=0,"",SUM(G194)/SUM(G51,G194))</f>
        <v/>
      </c>
      <c r="H480" s="27">
        <f>IF(SUM(H51,H194)=0,"",SUM(H194)/SUM(H51,H194))</f>
        <v/>
      </c>
    </row>
    <row r="481">
      <c r="A481" t="inlineStr">
        <is>
          <t>Week4-Jun-2026</t>
        </is>
      </c>
      <c r="B481" s="27">
        <f>IF(SUM(B52,B195)=0,"",SUM(B195)/SUM(B52,B195))</f>
        <v/>
      </c>
      <c r="C481" s="27">
        <f>IF(SUM(C52,C195)=0,"",SUM(C195)/SUM(C52,C195))</f>
        <v/>
      </c>
      <c r="D481" s="27">
        <f>IF(SUM(D52,D195)=0,"",SUM(D195)/SUM(D52,D195))</f>
        <v/>
      </c>
      <c r="E481" s="27">
        <f>IF(SUM(E52,E195)=0,"",SUM(E195)/SUM(E52,E195))</f>
        <v/>
      </c>
      <c r="F481" s="27">
        <f>IF(SUM(F52,F195)=0,"",SUM(F195)/SUM(F52,F195))</f>
        <v/>
      </c>
      <c r="G481" s="27">
        <f>IF(SUM(G52,G195)=0,"",SUM(G195)/SUM(G52,G195))</f>
        <v/>
      </c>
      <c r="H481" s="27">
        <f>IF(SUM(H52,H195)=0,"",SUM(H195)/SUM(H52,H195))</f>
        <v/>
      </c>
    </row>
    <row r="482">
      <c r="A482" t="inlineStr">
        <is>
          <t>Week5-Jun-2026</t>
        </is>
      </c>
      <c r="B482" s="27">
        <f>IF(SUM(B53,B196)=0,"",SUM(B196)/SUM(B53,B196))</f>
        <v/>
      </c>
      <c r="C482" s="27">
        <f>IF(SUM(C53,C196)=0,"",SUM(C196)/SUM(C53,C196))</f>
        <v/>
      </c>
      <c r="D482" s="27">
        <f>IF(SUM(D53,D196)=0,"",SUM(D196)/SUM(D53,D196))</f>
        <v/>
      </c>
      <c r="E482" s="27">
        <f>IF(SUM(E53,E196)=0,"",SUM(E196)/SUM(E53,E196))</f>
        <v/>
      </c>
      <c r="F482" s="27">
        <f>IF(SUM(F53,F196)=0,"",SUM(F196)/SUM(F53,F196))</f>
        <v/>
      </c>
      <c r="G482" s="27">
        <f>IF(SUM(G53,G196)=0,"",SUM(G196)/SUM(G53,G196))</f>
        <v/>
      </c>
      <c r="H482" s="27">
        <f>IF(SUM(H53,H196)=0,"",SUM(H196)/SUM(H53,H196))</f>
        <v/>
      </c>
    </row>
    <row r="483">
      <c r="A483" t="inlineStr">
        <is>
          <t>Week1-Jul-2026</t>
        </is>
      </c>
      <c r="B483" s="27">
        <f>IF(SUM(B54,B197)=0,"",SUM(B197)/SUM(B54,B197))</f>
        <v/>
      </c>
      <c r="C483" s="27">
        <f>IF(SUM(C54,C197)=0,"",SUM(C197)/SUM(C54,C197))</f>
        <v/>
      </c>
      <c r="D483" s="27">
        <f>IF(SUM(D54,D197)=0,"",SUM(D197)/SUM(D54,D197))</f>
        <v/>
      </c>
      <c r="E483" s="27">
        <f>IF(SUM(E54,E197)=0,"",SUM(E197)/SUM(E54,E197))</f>
        <v/>
      </c>
      <c r="F483" s="27">
        <f>IF(SUM(F54,F197)=0,"",SUM(F197)/SUM(F54,F197))</f>
        <v/>
      </c>
      <c r="G483" s="27">
        <f>IF(SUM(G54,G197)=0,"",SUM(G197)/SUM(G54,G197))</f>
        <v/>
      </c>
      <c r="H483" s="27">
        <f>IF(SUM(H54,H197)=0,"",SUM(H197)/SUM(H54,H197))</f>
        <v/>
      </c>
    </row>
    <row r="484">
      <c r="A484" t="inlineStr">
        <is>
          <t>Week2-Jul-2026</t>
        </is>
      </c>
      <c r="B484" s="27">
        <f>IF(SUM(B55,B198)=0,"",SUM(B198)/SUM(B55,B198))</f>
        <v/>
      </c>
      <c r="C484" s="27">
        <f>IF(SUM(C55,C198)=0,"",SUM(C198)/SUM(C55,C198))</f>
        <v/>
      </c>
      <c r="D484" s="27">
        <f>IF(SUM(D55,D198)=0,"",SUM(D198)/SUM(D55,D198))</f>
        <v/>
      </c>
      <c r="E484" s="27">
        <f>IF(SUM(E55,E198)=0,"",SUM(E198)/SUM(E55,E198))</f>
        <v/>
      </c>
      <c r="F484" s="27">
        <f>IF(SUM(F55,F198)=0,"",SUM(F198)/SUM(F55,F198))</f>
        <v/>
      </c>
      <c r="G484" s="27">
        <f>IF(SUM(G55,G198)=0,"",SUM(G198)/SUM(G55,G198))</f>
        <v/>
      </c>
      <c r="H484" s="27">
        <f>IF(SUM(H55,H198)=0,"",SUM(H198)/SUM(H55,H198))</f>
        <v/>
      </c>
    </row>
    <row r="485">
      <c r="A485" t="inlineStr">
        <is>
          <t>Week3-Jul-2026</t>
        </is>
      </c>
      <c r="B485" s="27">
        <f>IF(SUM(B56,B199)=0,"",SUM(B199)/SUM(B56,B199))</f>
        <v/>
      </c>
      <c r="C485" s="27">
        <f>IF(SUM(C56,C199)=0,"",SUM(C199)/SUM(C56,C199))</f>
        <v/>
      </c>
      <c r="D485" s="27">
        <f>IF(SUM(D56,D199)=0,"",SUM(D199)/SUM(D56,D199))</f>
        <v/>
      </c>
      <c r="E485" s="27">
        <f>IF(SUM(E56,E199)=0,"",SUM(E199)/SUM(E56,E199))</f>
        <v/>
      </c>
      <c r="F485" s="27">
        <f>IF(SUM(F56,F199)=0,"",SUM(F199)/SUM(F56,F199))</f>
        <v/>
      </c>
      <c r="G485" s="27">
        <f>IF(SUM(G56,G199)=0,"",SUM(G199)/SUM(G56,G199))</f>
        <v/>
      </c>
      <c r="H485" s="27">
        <f>IF(SUM(H56,H199)=0,"",SUM(H199)/SUM(H56,H199))</f>
        <v/>
      </c>
    </row>
    <row r="486">
      <c r="A486" t="inlineStr">
        <is>
          <t>Week4-Jul-2026</t>
        </is>
      </c>
      <c r="B486" s="27">
        <f>IF(SUM(B57,B200)=0,"",SUM(B200)/SUM(B57,B200))</f>
        <v/>
      </c>
      <c r="C486" s="27">
        <f>IF(SUM(C57,C200)=0,"",SUM(C200)/SUM(C57,C200))</f>
        <v/>
      </c>
      <c r="D486" s="27">
        <f>IF(SUM(D57,D200)=0,"",SUM(D200)/SUM(D57,D200))</f>
        <v/>
      </c>
      <c r="E486" s="27">
        <f>IF(SUM(E57,E200)=0,"",SUM(E200)/SUM(E57,E200))</f>
        <v/>
      </c>
      <c r="F486" s="27">
        <f>IF(SUM(F57,F200)=0,"",SUM(F200)/SUM(F57,F200))</f>
        <v/>
      </c>
      <c r="G486" s="27">
        <f>IF(SUM(G57,G200)=0,"",SUM(G200)/SUM(G57,G200))</f>
        <v/>
      </c>
      <c r="H486" s="27">
        <f>IF(SUM(H57,H200)=0,"",SUM(H200)/SUM(H57,H200))</f>
        <v/>
      </c>
    </row>
    <row r="487">
      <c r="A487" t="inlineStr">
        <is>
          <t>Week5-Jul-2026</t>
        </is>
      </c>
      <c r="B487" s="27">
        <f>IF(SUM(B58,B201)=0,"",SUM(B201)/SUM(B58,B201))</f>
        <v/>
      </c>
      <c r="C487" s="27">
        <f>IF(SUM(C58,C201)=0,"",SUM(C201)/SUM(C58,C201))</f>
        <v/>
      </c>
      <c r="D487" s="27">
        <f>IF(SUM(D58,D201)=0,"",SUM(D201)/SUM(D58,D201))</f>
        <v/>
      </c>
      <c r="E487" s="27">
        <f>IF(SUM(E58,E201)=0,"",SUM(E201)/SUM(E58,E201))</f>
        <v/>
      </c>
      <c r="F487" s="27">
        <f>IF(SUM(F58,F201)=0,"",SUM(F201)/SUM(F58,F201))</f>
        <v/>
      </c>
      <c r="G487" s="27">
        <f>IF(SUM(G58,G201)=0,"",SUM(G201)/SUM(G58,G201))</f>
        <v/>
      </c>
      <c r="H487" s="27">
        <f>IF(SUM(H58,H201)=0,"",SUM(H201)/SUM(H58,H201))</f>
        <v/>
      </c>
    </row>
    <row r="488">
      <c r="A488" t="inlineStr">
        <is>
          <t>Week1-Aug-2026</t>
        </is>
      </c>
      <c r="B488" s="27">
        <f>IF(SUM(B59,B202)=0,"",SUM(B202)/SUM(B59,B202))</f>
        <v/>
      </c>
      <c r="C488" s="27">
        <f>IF(SUM(C59,C202)=0,"",SUM(C202)/SUM(C59,C202))</f>
        <v/>
      </c>
      <c r="D488" s="27">
        <f>IF(SUM(D59,D202)=0,"",SUM(D202)/SUM(D59,D202))</f>
        <v/>
      </c>
      <c r="E488" s="27">
        <f>IF(SUM(E59,E202)=0,"",SUM(E202)/SUM(E59,E202))</f>
        <v/>
      </c>
      <c r="F488" s="27">
        <f>IF(SUM(F59,F202)=0,"",SUM(F202)/SUM(F59,F202))</f>
        <v/>
      </c>
      <c r="G488" s="27">
        <f>IF(SUM(G59,G202)=0,"",SUM(G202)/SUM(G59,G202))</f>
        <v/>
      </c>
      <c r="H488" s="27">
        <f>IF(SUM(H59,H202)=0,"",SUM(H202)/SUM(H59,H202))</f>
        <v/>
      </c>
    </row>
    <row r="489" hidden="1" outlineLevel="1">
      <c r="A489" t="inlineStr">
        <is>
          <t>Week2-Aug-2026</t>
        </is>
      </c>
      <c r="B489" s="27">
        <f>IF(SUM(B60,B203)=0,"",SUM(B203)/SUM(B60,B203))</f>
        <v/>
      </c>
      <c r="C489" s="27">
        <f>IF(SUM(C60,C203)=0,"",SUM(C203)/SUM(C60,C203))</f>
        <v/>
      </c>
      <c r="D489" s="27">
        <f>IF(SUM(D60,D203)=0,"",SUM(D203)/SUM(D60,D203))</f>
        <v/>
      </c>
      <c r="E489" s="27">
        <f>IF(SUM(E60,E203)=0,"",SUM(E203)/SUM(E60,E203))</f>
        <v/>
      </c>
      <c r="F489" s="27">
        <f>IF(SUM(F60,F203)=0,"",SUM(F203)/SUM(F60,F203))</f>
        <v/>
      </c>
      <c r="G489" s="27">
        <f>IF(SUM(G60,G203)=0,"",SUM(G203)/SUM(G60,G203))</f>
        <v/>
      </c>
      <c r="H489" s="27">
        <f>IF(SUM(H60,H203)=0,"",SUM(H203)/SUM(H60,H203))</f>
        <v/>
      </c>
    </row>
    <row r="490" hidden="1" outlineLevel="1">
      <c r="A490" t="inlineStr">
        <is>
          <t>Week3-Aug-2026</t>
        </is>
      </c>
      <c r="B490" s="27">
        <f>IF(SUM(B61,B204)=0,"",SUM(B204)/SUM(B61,B204))</f>
        <v/>
      </c>
      <c r="C490" s="27">
        <f>IF(SUM(C61,C204)=0,"",SUM(C204)/SUM(C61,C204))</f>
        <v/>
      </c>
      <c r="D490" s="27">
        <f>IF(SUM(D61,D204)=0,"",SUM(D204)/SUM(D61,D204))</f>
        <v/>
      </c>
      <c r="E490" s="27">
        <f>IF(SUM(E61,E204)=0,"",SUM(E204)/SUM(E61,E204))</f>
        <v/>
      </c>
      <c r="F490" s="27">
        <f>IF(SUM(F61,F204)=0,"",SUM(F204)/SUM(F61,F204))</f>
        <v/>
      </c>
      <c r="G490" s="27">
        <f>IF(SUM(G61,G204)=0,"",SUM(G204)/SUM(G61,G204))</f>
        <v/>
      </c>
      <c r="H490" s="27">
        <f>IF(SUM(H61,H204)=0,"",SUM(H204)/SUM(H61,H204))</f>
        <v/>
      </c>
    </row>
    <row r="491" hidden="1" outlineLevel="1">
      <c r="A491" t="inlineStr">
        <is>
          <t>Week4-Aug-2026</t>
        </is>
      </c>
      <c r="B491" s="27">
        <f>IF(SUM(B62,B205)=0,"",SUM(B205)/SUM(B62,B205))</f>
        <v/>
      </c>
      <c r="C491" s="27">
        <f>IF(SUM(C62,C205)=0,"",SUM(C205)/SUM(C62,C205))</f>
        <v/>
      </c>
      <c r="D491" s="27">
        <f>IF(SUM(D62,D205)=0,"",SUM(D205)/SUM(D62,D205))</f>
        <v/>
      </c>
      <c r="E491" s="27">
        <f>IF(SUM(E62,E205)=0,"",SUM(E205)/SUM(E62,E205))</f>
        <v/>
      </c>
      <c r="F491" s="27">
        <f>IF(SUM(F62,F205)=0,"",SUM(F205)/SUM(F62,F205))</f>
        <v/>
      </c>
      <c r="G491" s="27">
        <f>IF(SUM(G62,G205)=0,"",SUM(G205)/SUM(G62,G205))</f>
        <v/>
      </c>
      <c r="H491" s="27">
        <f>IF(SUM(H62,H205)=0,"",SUM(H205)/SUM(H62,H205))</f>
        <v/>
      </c>
    </row>
    <row r="492" hidden="1" outlineLevel="1">
      <c r="A492" t="inlineStr">
        <is>
          <t>Week5-Aug-2026</t>
        </is>
      </c>
      <c r="B492" s="27">
        <f>IF(SUM(B63,B206)=0,"",SUM(B206)/SUM(B63,B206))</f>
        <v/>
      </c>
      <c r="C492" s="27">
        <f>IF(SUM(C63,C206)=0,"",SUM(C206)/SUM(C63,C206))</f>
        <v/>
      </c>
      <c r="D492" s="27">
        <f>IF(SUM(D63,D206)=0,"",SUM(D206)/SUM(D63,D206))</f>
        <v/>
      </c>
      <c r="E492" s="27">
        <f>IF(SUM(E63,E206)=0,"",SUM(E206)/SUM(E63,E206))</f>
        <v/>
      </c>
      <c r="F492" s="27">
        <f>IF(SUM(F63,F206)=0,"",SUM(F206)/SUM(F63,F206))</f>
        <v/>
      </c>
      <c r="G492" s="27">
        <f>IF(SUM(G63,G206)=0,"",SUM(G206)/SUM(G63,G206))</f>
        <v/>
      </c>
      <c r="H492" s="27">
        <f>IF(SUM(H63,H206)=0,"",SUM(H206)/SUM(H63,H206))</f>
        <v/>
      </c>
    </row>
    <row r="493" hidden="1" outlineLevel="1">
      <c r="A493" t="inlineStr">
        <is>
          <t>Week1-Sep-2026</t>
        </is>
      </c>
      <c r="B493" s="27">
        <f>IF(SUM(B64,B207)=0,"",SUM(B207)/SUM(B64,B207))</f>
        <v/>
      </c>
      <c r="C493" s="27">
        <f>IF(SUM(C64,C207)=0,"",SUM(C207)/SUM(C64,C207))</f>
        <v/>
      </c>
      <c r="D493" s="27">
        <f>IF(SUM(D64,D207)=0,"",SUM(D207)/SUM(D64,D207))</f>
        <v/>
      </c>
      <c r="E493" s="27">
        <f>IF(SUM(E64,E207)=0,"",SUM(E207)/SUM(E64,E207))</f>
        <v/>
      </c>
      <c r="F493" s="27">
        <f>IF(SUM(F64,F207)=0,"",SUM(F207)/SUM(F64,F207))</f>
        <v/>
      </c>
      <c r="G493" s="27">
        <f>IF(SUM(G64,G207)=0,"",SUM(G207)/SUM(G64,G207))</f>
        <v/>
      </c>
      <c r="H493" s="27">
        <f>IF(SUM(H64,H207)=0,"",SUM(H207)/SUM(H64,H207))</f>
        <v/>
      </c>
    </row>
    <row r="494" hidden="1" outlineLevel="1">
      <c r="A494" t="inlineStr">
        <is>
          <t>Week2-Sep-2026</t>
        </is>
      </c>
      <c r="B494" s="27">
        <f>IF(SUM(B65,B208)=0,"",SUM(B208)/SUM(B65,B208))</f>
        <v/>
      </c>
      <c r="C494" s="27">
        <f>IF(SUM(C65,C208)=0,"",SUM(C208)/SUM(C65,C208))</f>
        <v/>
      </c>
      <c r="D494" s="27">
        <f>IF(SUM(D65,D208)=0,"",SUM(D208)/SUM(D65,D208))</f>
        <v/>
      </c>
      <c r="E494" s="27">
        <f>IF(SUM(E65,E208)=0,"",SUM(E208)/SUM(E65,E208))</f>
        <v/>
      </c>
      <c r="F494" s="27">
        <f>IF(SUM(F65,F208)=0,"",SUM(F208)/SUM(F65,F208))</f>
        <v/>
      </c>
      <c r="G494" s="27">
        <f>IF(SUM(G65,G208)=0,"",SUM(G208)/SUM(G65,G208))</f>
        <v/>
      </c>
      <c r="H494" s="27">
        <f>IF(SUM(H65,H208)=0,"",SUM(H208)/SUM(H65,H208))</f>
        <v/>
      </c>
    </row>
    <row r="495" hidden="1" outlineLevel="1">
      <c r="A495" t="inlineStr">
        <is>
          <t>Week3-Sep-2026</t>
        </is>
      </c>
      <c r="B495" s="27">
        <f>IF(SUM(B66,B209)=0,"",SUM(B209)/SUM(B66,B209))</f>
        <v/>
      </c>
      <c r="C495" s="27">
        <f>IF(SUM(C66,C209)=0,"",SUM(C209)/SUM(C66,C209))</f>
        <v/>
      </c>
      <c r="D495" s="27">
        <f>IF(SUM(D66,D209)=0,"",SUM(D209)/SUM(D66,D209))</f>
        <v/>
      </c>
      <c r="E495" s="27">
        <f>IF(SUM(E66,E209)=0,"",SUM(E209)/SUM(E66,E209))</f>
        <v/>
      </c>
      <c r="F495" s="27">
        <f>IF(SUM(F66,F209)=0,"",SUM(F209)/SUM(F66,F209))</f>
        <v/>
      </c>
      <c r="G495" s="27">
        <f>IF(SUM(G66,G209)=0,"",SUM(G209)/SUM(G66,G209))</f>
        <v/>
      </c>
      <c r="H495" s="27">
        <f>IF(SUM(H66,H209)=0,"",SUM(H209)/SUM(H66,H209))</f>
        <v/>
      </c>
    </row>
    <row r="496" hidden="1" outlineLevel="1">
      <c r="A496" t="inlineStr">
        <is>
          <t>Week4-Sep-2026</t>
        </is>
      </c>
      <c r="B496" s="27">
        <f>IF(SUM(B67,B210)=0,"",SUM(B210)/SUM(B67,B210))</f>
        <v/>
      </c>
      <c r="C496" s="27">
        <f>IF(SUM(C67,C210)=0,"",SUM(C210)/SUM(C67,C210))</f>
        <v/>
      </c>
      <c r="D496" s="27">
        <f>IF(SUM(D67,D210)=0,"",SUM(D210)/SUM(D67,D210))</f>
        <v/>
      </c>
      <c r="E496" s="27">
        <f>IF(SUM(E67,E210)=0,"",SUM(E210)/SUM(E67,E210))</f>
        <v/>
      </c>
      <c r="F496" s="27">
        <f>IF(SUM(F67,F210)=0,"",SUM(F210)/SUM(F67,F210))</f>
        <v/>
      </c>
      <c r="G496" s="27">
        <f>IF(SUM(G67,G210)=0,"",SUM(G210)/SUM(G67,G210))</f>
        <v/>
      </c>
      <c r="H496" s="27">
        <f>IF(SUM(H67,H210)=0,"",SUM(H210)/SUM(H67,H210))</f>
        <v/>
      </c>
    </row>
    <row r="497" hidden="1" outlineLevel="1">
      <c r="A497" t="inlineStr">
        <is>
          <t>Week5-Sep-2026</t>
        </is>
      </c>
      <c r="B497" s="27">
        <f>IF(SUM(B68,B211)=0,"",SUM(B211)/SUM(B68,B211))</f>
        <v/>
      </c>
      <c r="C497" s="27">
        <f>IF(SUM(C68,C211)=0,"",SUM(C211)/SUM(C68,C211))</f>
        <v/>
      </c>
      <c r="D497" s="27">
        <f>IF(SUM(D68,D211)=0,"",SUM(D211)/SUM(D68,D211))</f>
        <v/>
      </c>
      <c r="E497" s="27">
        <f>IF(SUM(E68,E211)=0,"",SUM(E211)/SUM(E68,E211))</f>
        <v/>
      </c>
      <c r="F497" s="27">
        <f>IF(SUM(F68,F211)=0,"",SUM(F211)/SUM(F68,F211))</f>
        <v/>
      </c>
      <c r="G497" s="27">
        <f>IF(SUM(G68,G211)=0,"",SUM(G211)/SUM(G68,G211))</f>
        <v/>
      </c>
      <c r="H497" s="27">
        <f>IF(SUM(H68,H211)=0,"",SUM(H211)/SUM(H68,H211))</f>
        <v/>
      </c>
    </row>
    <row r="498" hidden="1" outlineLevel="1">
      <c r="A498" t="inlineStr">
        <is>
          <t>Week1-Oct-2026</t>
        </is>
      </c>
      <c r="B498" s="27">
        <f>IF(SUM(B69,B212)=0,"",SUM(B212)/SUM(B69,B212))</f>
        <v/>
      </c>
      <c r="C498" s="27">
        <f>IF(SUM(C69,C212)=0,"",SUM(C212)/SUM(C69,C212))</f>
        <v/>
      </c>
      <c r="D498" s="27">
        <f>IF(SUM(D69,D212)=0,"",SUM(D212)/SUM(D69,D212))</f>
        <v/>
      </c>
      <c r="E498" s="27">
        <f>IF(SUM(E69,E212)=0,"",SUM(E212)/SUM(E69,E212))</f>
        <v/>
      </c>
      <c r="F498" s="27">
        <f>IF(SUM(F69,F212)=0,"",SUM(F212)/SUM(F69,F212))</f>
        <v/>
      </c>
      <c r="G498" s="27">
        <f>IF(SUM(G69,G212)=0,"",SUM(G212)/SUM(G69,G212))</f>
        <v/>
      </c>
      <c r="H498" s="27">
        <f>IF(SUM(H69,H212)=0,"",SUM(H212)/SUM(H69,H212))</f>
        <v/>
      </c>
    </row>
    <row r="499" hidden="1" outlineLevel="1">
      <c r="A499" t="inlineStr">
        <is>
          <t>Week2-Oct-2026</t>
        </is>
      </c>
      <c r="B499" s="27">
        <f>IF(SUM(B70,B213)=0,"",SUM(B213)/SUM(B70,B213))</f>
        <v/>
      </c>
      <c r="C499" s="27">
        <f>IF(SUM(C70,C213)=0,"",SUM(C213)/SUM(C70,C213))</f>
        <v/>
      </c>
      <c r="D499" s="27">
        <f>IF(SUM(D70,D213)=0,"",SUM(D213)/SUM(D70,D213))</f>
        <v/>
      </c>
      <c r="E499" s="27">
        <f>IF(SUM(E70,E213)=0,"",SUM(E213)/SUM(E70,E213))</f>
        <v/>
      </c>
      <c r="F499" s="27">
        <f>IF(SUM(F70,F213)=0,"",SUM(F213)/SUM(F70,F213))</f>
        <v/>
      </c>
      <c r="G499" s="27">
        <f>IF(SUM(G70,G213)=0,"",SUM(G213)/SUM(G70,G213))</f>
        <v/>
      </c>
      <c r="H499" s="27">
        <f>IF(SUM(H70,H213)=0,"",SUM(H213)/SUM(H70,H213))</f>
        <v/>
      </c>
    </row>
    <row r="500" hidden="1" outlineLevel="1">
      <c r="A500" t="inlineStr">
        <is>
          <t>Week3-Oct-2026</t>
        </is>
      </c>
      <c r="B500" s="27">
        <f>IF(SUM(B71,B214)=0,"",SUM(B214)/SUM(B71,B214))</f>
        <v/>
      </c>
      <c r="C500" s="27">
        <f>IF(SUM(C71,C214)=0,"",SUM(C214)/SUM(C71,C214))</f>
        <v/>
      </c>
      <c r="D500" s="27">
        <f>IF(SUM(D71,D214)=0,"",SUM(D214)/SUM(D71,D214))</f>
        <v/>
      </c>
      <c r="E500" s="27">
        <f>IF(SUM(E71,E214)=0,"",SUM(E214)/SUM(E71,E214))</f>
        <v/>
      </c>
      <c r="F500" s="27">
        <f>IF(SUM(F71,F214)=0,"",SUM(F214)/SUM(F71,F214))</f>
        <v/>
      </c>
      <c r="G500" s="27">
        <f>IF(SUM(G71,G214)=0,"",SUM(G214)/SUM(G71,G214))</f>
        <v/>
      </c>
      <c r="H500" s="27">
        <f>IF(SUM(H71,H214)=0,"",SUM(H214)/SUM(H71,H214))</f>
        <v/>
      </c>
    </row>
    <row r="501" hidden="1" outlineLevel="1">
      <c r="A501" t="inlineStr">
        <is>
          <t>Week4-Oct-2026</t>
        </is>
      </c>
      <c r="B501" s="27">
        <f>IF(SUM(B72,B215)=0,"",SUM(B215)/SUM(B72,B215))</f>
        <v/>
      </c>
      <c r="C501" s="27">
        <f>IF(SUM(C72,C215)=0,"",SUM(C215)/SUM(C72,C215))</f>
        <v/>
      </c>
      <c r="D501" s="27">
        <f>IF(SUM(D72,D215)=0,"",SUM(D215)/SUM(D72,D215))</f>
        <v/>
      </c>
      <c r="E501" s="27">
        <f>IF(SUM(E72,E215)=0,"",SUM(E215)/SUM(E72,E215))</f>
        <v/>
      </c>
      <c r="F501" s="27">
        <f>IF(SUM(F72,F215)=0,"",SUM(F215)/SUM(F72,F215))</f>
        <v/>
      </c>
      <c r="G501" s="27">
        <f>IF(SUM(G72,G215)=0,"",SUM(G215)/SUM(G72,G215))</f>
        <v/>
      </c>
      <c r="H501" s="27">
        <f>IF(SUM(H72,H215)=0,"",SUM(H215)/SUM(H72,H215))</f>
        <v/>
      </c>
    </row>
    <row r="502" hidden="1" outlineLevel="1">
      <c r="A502" t="inlineStr">
        <is>
          <t>Week5-Oct-2026</t>
        </is>
      </c>
      <c r="B502" s="27">
        <f>IF(SUM(B73,B216)=0,"",SUM(B216)/SUM(B73,B216))</f>
        <v/>
      </c>
      <c r="C502" s="27">
        <f>IF(SUM(C73,C216)=0,"",SUM(C216)/SUM(C73,C216))</f>
        <v/>
      </c>
      <c r="D502" s="27">
        <f>IF(SUM(D73,D216)=0,"",SUM(D216)/SUM(D73,D216))</f>
        <v/>
      </c>
      <c r="E502" s="27">
        <f>IF(SUM(E73,E216)=0,"",SUM(E216)/SUM(E73,E216))</f>
        <v/>
      </c>
      <c r="F502" s="27">
        <f>IF(SUM(F73,F216)=0,"",SUM(F216)/SUM(F73,F216))</f>
        <v/>
      </c>
      <c r="G502" s="27">
        <f>IF(SUM(G73,G216)=0,"",SUM(G216)/SUM(G73,G216))</f>
        <v/>
      </c>
      <c r="H502" s="27">
        <f>IF(SUM(H73,H216)=0,"",SUM(H216)/SUM(H73,H216))</f>
        <v/>
      </c>
    </row>
    <row r="503" hidden="1" outlineLevel="1">
      <c r="A503" t="inlineStr">
        <is>
          <t>Week1-Nov-2026</t>
        </is>
      </c>
      <c r="B503" s="27">
        <f>IF(SUM(B74,B217)=0,"",SUM(B217)/SUM(B74,B217))</f>
        <v/>
      </c>
      <c r="C503" s="27">
        <f>IF(SUM(C74,C217)=0,"",SUM(C217)/SUM(C74,C217))</f>
        <v/>
      </c>
      <c r="D503" s="27">
        <f>IF(SUM(D74,D217)=0,"",SUM(D217)/SUM(D74,D217))</f>
        <v/>
      </c>
      <c r="E503" s="27">
        <f>IF(SUM(E74,E217)=0,"",SUM(E217)/SUM(E74,E217))</f>
        <v/>
      </c>
      <c r="F503" s="27">
        <f>IF(SUM(F74,F217)=0,"",SUM(F217)/SUM(F74,F217))</f>
        <v/>
      </c>
      <c r="G503" s="27">
        <f>IF(SUM(G74,G217)=0,"",SUM(G217)/SUM(G74,G217))</f>
        <v/>
      </c>
      <c r="H503" s="27">
        <f>IF(SUM(H74,H217)=0,"",SUM(H217)/SUM(H74,H217))</f>
        <v/>
      </c>
    </row>
    <row r="504" hidden="1" outlineLevel="1">
      <c r="A504" t="inlineStr">
        <is>
          <t>Week2-Nov-2026</t>
        </is>
      </c>
      <c r="B504" s="27">
        <f>IF(SUM(B75,B218)=0,"",SUM(B218)/SUM(B75,B218))</f>
        <v/>
      </c>
      <c r="C504" s="27">
        <f>IF(SUM(C75,C218)=0,"",SUM(C218)/SUM(C75,C218))</f>
        <v/>
      </c>
      <c r="D504" s="27">
        <f>IF(SUM(D75,D218)=0,"",SUM(D218)/SUM(D75,D218))</f>
        <v/>
      </c>
      <c r="E504" s="27">
        <f>IF(SUM(E75,E218)=0,"",SUM(E218)/SUM(E75,E218))</f>
        <v/>
      </c>
      <c r="F504" s="27">
        <f>IF(SUM(F75,F218)=0,"",SUM(F218)/SUM(F75,F218))</f>
        <v/>
      </c>
      <c r="G504" s="27">
        <f>IF(SUM(G75,G218)=0,"",SUM(G218)/SUM(G75,G218))</f>
        <v/>
      </c>
      <c r="H504" s="27">
        <f>IF(SUM(H75,H218)=0,"",SUM(H218)/SUM(H75,H218))</f>
        <v/>
      </c>
    </row>
    <row r="505" hidden="1" outlineLevel="1">
      <c r="A505" t="inlineStr">
        <is>
          <t>Week3-Nov-2026</t>
        </is>
      </c>
      <c r="B505" s="27">
        <f>IF(SUM(B76,B219)=0,"",SUM(B219)/SUM(B76,B219))</f>
        <v/>
      </c>
      <c r="C505" s="27">
        <f>IF(SUM(C76,C219)=0,"",SUM(C219)/SUM(C76,C219))</f>
        <v/>
      </c>
      <c r="D505" s="27">
        <f>IF(SUM(D76,D219)=0,"",SUM(D219)/SUM(D76,D219))</f>
        <v/>
      </c>
      <c r="E505" s="27">
        <f>IF(SUM(E76,E219)=0,"",SUM(E219)/SUM(E76,E219))</f>
        <v/>
      </c>
      <c r="F505" s="27">
        <f>IF(SUM(F76,F219)=0,"",SUM(F219)/SUM(F76,F219))</f>
        <v/>
      </c>
      <c r="G505" s="27">
        <f>IF(SUM(G76,G219)=0,"",SUM(G219)/SUM(G76,G219))</f>
        <v/>
      </c>
      <c r="H505" s="27">
        <f>IF(SUM(H76,H219)=0,"",SUM(H219)/SUM(H76,H219))</f>
        <v/>
      </c>
    </row>
    <row r="506" hidden="1" outlineLevel="1">
      <c r="A506" t="inlineStr">
        <is>
          <t>Week4-Nov-2026</t>
        </is>
      </c>
      <c r="B506" s="27">
        <f>IF(SUM(B77,B220)=0,"",SUM(B220)/SUM(B77,B220))</f>
        <v/>
      </c>
      <c r="C506" s="27">
        <f>IF(SUM(C77,C220)=0,"",SUM(C220)/SUM(C77,C220))</f>
        <v/>
      </c>
      <c r="D506" s="27">
        <f>IF(SUM(D77,D220)=0,"",SUM(D220)/SUM(D77,D220))</f>
        <v/>
      </c>
      <c r="E506" s="27">
        <f>IF(SUM(E77,E220)=0,"",SUM(E220)/SUM(E77,E220))</f>
        <v/>
      </c>
      <c r="F506" s="27">
        <f>IF(SUM(F77,F220)=0,"",SUM(F220)/SUM(F77,F220))</f>
        <v/>
      </c>
      <c r="G506" s="27">
        <f>IF(SUM(G77,G220)=0,"",SUM(G220)/SUM(G77,G220))</f>
        <v/>
      </c>
      <c r="H506" s="27">
        <f>IF(SUM(H77,H220)=0,"",SUM(H220)/SUM(H77,H220))</f>
        <v/>
      </c>
    </row>
    <row r="507" hidden="1" outlineLevel="1">
      <c r="A507" t="inlineStr">
        <is>
          <t>Week5-Nov-2026</t>
        </is>
      </c>
      <c r="B507" s="27">
        <f>IF(SUM(B78,B221)=0,"",SUM(B221)/SUM(B78,B221))</f>
        <v/>
      </c>
      <c r="C507" s="27">
        <f>IF(SUM(C78,C221)=0,"",SUM(C221)/SUM(C78,C221))</f>
        <v/>
      </c>
      <c r="D507" s="27">
        <f>IF(SUM(D78,D221)=0,"",SUM(D221)/SUM(D78,D221))</f>
        <v/>
      </c>
      <c r="E507" s="27">
        <f>IF(SUM(E78,E221)=0,"",SUM(E221)/SUM(E78,E221))</f>
        <v/>
      </c>
      <c r="F507" s="27">
        <f>IF(SUM(F78,F221)=0,"",SUM(F221)/SUM(F78,F221))</f>
        <v/>
      </c>
      <c r="G507" s="27">
        <f>IF(SUM(G78,G221)=0,"",SUM(G221)/SUM(G78,G221))</f>
        <v/>
      </c>
      <c r="H507" s="27">
        <f>IF(SUM(H78,H221)=0,"",SUM(H221)/SUM(H78,H221))</f>
        <v/>
      </c>
    </row>
    <row r="508" hidden="1" outlineLevel="1">
      <c r="A508" t="inlineStr">
        <is>
          <t>Week1-Dec-2026</t>
        </is>
      </c>
      <c r="B508" s="27">
        <f>IF(SUM(B79,B222)=0,"",SUM(B222)/SUM(B79,B222))</f>
        <v/>
      </c>
      <c r="C508" s="27">
        <f>IF(SUM(C79,C222)=0,"",SUM(C222)/SUM(C79,C222))</f>
        <v/>
      </c>
      <c r="D508" s="27">
        <f>IF(SUM(D79,D222)=0,"",SUM(D222)/SUM(D79,D222))</f>
        <v/>
      </c>
      <c r="E508" s="27">
        <f>IF(SUM(E79,E222)=0,"",SUM(E222)/SUM(E79,E222))</f>
        <v/>
      </c>
      <c r="F508" s="27">
        <f>IF(SUM(F79,F222)=0,"",SUM(F222)/SUM(F79,F222))</f>
        <v/>
      </c>
      <c r="G508" s="27">
        <f>IF(SUM(G79,G222)=0,"",SUM(G222)/SUM(G79,G222))</f>
        <v/>
      </c>
      <c r="H508" s="27">
        <f>IF(SUM(H79,H222)=0,"",SUM(H222)/SUM(H79,H222))</f>
        <v/>
      </c>
    </row>
    <row r="509" hidden="1" outlineLevel="1">
      <c r="A509" t="inlineStr">
        <is>
          <t>Week2-Dec-2026</t>
        </is>
      </c>
      <c r="B509" s="27">
        <f>IF(SUM(B80,B223)=0,"",SUM(B223)/SUM(B80,B223))</f>
        <v/>
      </c>
      <c r="C509" s="27">
        <f>IF(SUM(C80,C223)=0,"",SUM(C223)/SUM(C80,C223))</f>
        <v/>
      </c>
      <c r="D509" s="27">
        <f>IF(SUM(D80,D223)=0,"",SUM(D223)/SUM(D80,D223))</f>
        <v/>
      </c>
      <c r="E509" s="27">
        <f>IF(SUM(E80,E223)=0,"",SUM(E223)/SUM(E80,E223))</f>
        <v/>
      </c>
      <c r="F509" s="27">
        <f>IF(SUM(F80,F223)=0,"",SUM(F223)/SUM(F80,F223))</f>
        <v/>
      </c>
      <c r="G509" s="27">
        <f>IF(SUM(G80,G223)=0,"",SUM(G223)/SUM(G80,G223))</f>
        <v/>
      </c>
      <c r="H509" s="27">
        <f>IF(SUM(H80,H223)=0,"",SUM(H223)/SUM(H80,H223))</f>
        <v/>
      </c>
    </row>
    <row r="510" hidden="1" outlineLevel="1">
      <c r="A510" t="inlineStr">
        <is>
          <t>Week3-Dec-2026</t>
        </is>
      </c>
      <c r="B510" s="27">
        <f>IF(SUM(B81,B224)=0,"",SUM(B224)/SUM(B81,B224))</f>
        <v/>
      </c>
      <c r="C510" s="27">
        <f>IF(SUM(C81,C224)=0,"",SUM(C224)/SUM(C81,C224))</f>
        <v/>
      </c>
      <c r="D510" s="27">
        <f>IF(SUM(D81,D224)=0,"",SUM(D224)/SUM(D81,D224))</f>
        <v/>
      </c>
      <c r="E510" s="27">
        <f>IF(SUM(E81,E224)=0,"",SUM(E224)/SUM(E81,E224))</f>
        <v/>
      </c>
      <c r="F510" s="27">
        <f>IF(SUM(F81,F224)=0,"",SUM(F224)/SUM(F81,F224))</f>
        <v/>
      </c>
      <c r="G510" s="27">
        <f>IF(SUM(G81,G224)=0,"",SUM(G224)/SUM(G81,G224))</f>
        <v/>
      </c>
      <c r="H510" s="27">
        <f>IF(SUM(H81,H224)=0,"",SUM(H224)/SUM(H81,H224))</f>
        <v/>
      </c>
    </row>
    <row r="511" hidden="1" outlineLevel="1">
      <c r="A511" t="inlineStr">
        <is>
          <t>Week4-Dec-2026</t>
        </is>
      </c>
      <c r="B511" s="27">
        <f>IF(SUM(B82,B225)=0,"",SUM(B225)/SUM(B82,B225))</f>
        <v/>
      </c>
      <c r="C511" s="27">
        <f>IF(SUM(C82,C225)=0,"",SUM(C225)/SUM(C82,C225))</f>
        <v/>
      </c>
      <c r="D511" s="27">
        <f>IF(SUM(D82,D225)=0,"",SUM(D225)/SUM(D82,D225))</f>
        <v/>
      </c>
      <c r="E511" s="27">
        <f>IF(SUM(E82,E225)=0,"",SUM(E225)/SUM(E82,E225))</f>
        <v/>
      </c>
      <c r="F511" s="27">
        <f>IF(SUM(F82,F225)=0,"",SUM(F225)/SUM(F82,F225))</f>
        <v/>
      </c>
      <c r="G511" s="27">
        <f>IF(SUM(G82,G225)=0,"",SUM(G225)/SUM(G82,G225))</f>
        <v/>
      </c>
      <c r="H511" s="27">
        <f>IF(SUM(H82,H225)=0,"",SUM(H225)/SUM(H82,H225))</f>
        <v/>
      </c>
    </row>
    <row r="512" hidden="1" outlineLevel="1">
      <c r="A512" t="inlineStr">
        <is>
          <t>Week5-Dec-2026</t>
        </is>
      </c>
      <c r="B512" s="27">
        <f>IF(SUM(B83,B226)=0,"",SUM(B226)/SUM(B83,B226))</f>
        <v/>
      </c>
      <c r="C512" s="27">
        <f>IF(SUM(C83,C226)=0,"",SUM(C226)/SUM(C83,C226))</f>
        <v/>
      </c>
      <c r="D512" s="27">
        <f>IF(SUM(D83,D226)=0,"",SUM(D226)/SUM(D83,D226))</f>
        <v/>
      </c>
      <c r="E512" s="27">
        <f>IF(SUM(E83,E226)=0,"",SUM(E226)/SUM(E83,E226))</f>
        <v/>
      </c>
      <c r="F512" s="27">
        <f>IF(SUM(F83,F226)=0,"",SUM(F226)/SUM(F83,F226))</f>
        <v/>
      </c>
      <c r="G512" s="27">
        <f>IF(SUM(G83,G226)=0,"",SUM(G226)/SUM(G83,G226))</f>
        <v/>
      </c>
      <c r="H512" s="27">
        <f>IF(SUM(H83,H226)=0,"",SUM(H226)/SUM(H83,H226))</f>
        <v/>
      </c>
    </row>
    <row r="513" hidden="1" outlineLevel="1">
      <c r="A513" t="inlineStr">
        <is>
          <t>Week1-Jan-2027</t>
        </is>
      </c>
      <c r="B513" s="27">
        <f>IF(SUM(B84,B227)=0,"",SUM(B227)/SUM(B84,B227))</f>
        <v/>
      </c>
      <c r="C513" s="27">
        <f>IF(SUM(C84,C227)=0,"",SUM(C227)/SUM(C84,C227))</f>
        <v/>
      </c>
      <c r="D513" s="27">
        <f>IF(SUM(D84,D227)=0,"",SUM(D227)/SUM(D84,D227))</f>
        <v/>
      </c>
      <c r="E513" s="27">
        <f>IF(SUM(E84,E227)=0,"",SUM(E227)/SUM(E84,E227))</f>
        <v/>
      </c>
      <c r="F513" s="27">
        <f>IF(SUM(F84,F227)=0,"",SUM(F227)/SUM(F84,F227))</f>
        <v/>
      </c>
      <c r="G513" s="27">
        <f>IF(SUM(G84,G227)=0,"",SUM(G227)/SUM(G84,G227))</f>
        <v/>
      </c>
      <c r="H513" s="27">
        <f>IF(SUM(H84,H227)=0,"",SUM(H227)/SUM(H84,H227))</f>
        <v/>
      </c>
    </row>
    <row r="514" hidden="1" outlineLevel="1">
      <c r="A514" t="inlineStr">
        <is>
          <t>Week2-Jan-2027</t>
        </is>
      </c>
      <c r="B514" s="27">
        <f>IF(SUM(B85,B228)=0,"",SUM(B228)/SUM(B85,B228))</f>
        <v/>
      </c>
      <c r="C514" s="27">
        <f>IF(SUM(C85,C228)=0,"",SUM(C228)/SUM(C85,C228))</f>
        <v/>
      </c>
      <c r="D514" s="27">
        <f>IF(SUM(D85,D228)=0,"",SUM(D228)/SUM(D85,D228))</f>
        <v/>
      </c>
      <c r="E514" s="27">
        <f>IF(SUM(E85,E228)=0,"",SUM(E228)/SUM(E85,E228))</f>
        <v/>
      </c>
      <c r="F514" s="27">
        <f>IF(SUM(F85,F228)=0,"",SUM(F228)/SUM(F85,F228))</f>
        <v/>
      </c>
      <c r="G514" s="27">
        <f>IF(SUM(G85,G228)=0,"",SUM(G228)/SUM(G85,G228))</f>
        <v/>
      </c>
      <c r="H514" s="27">
        <f>IF(SUM(H85,H228)=0,"",SUM(H228)/SUM(H85,H228))</f>
        <v/>
      </c>
    </row>
    <row r="515" hidden="1" outlineLevel="1">
      <c r="A515" t="inlineStr">
        <is>
          <t>Week3-Jan-2027</t>
        </is>
      </c>
      <c r="B515" s="27">
        <f>IF(SUM(B86,B229)=0,"",SUM(B229)/SUM(B86,B229))</f>
        <v/>
      </c>
      <c r="C515" s="27">
        <f>IF(SUM(C86,C229)=0,"",SUM(C229)/SUM(C86,C229))</f>
        <v/>
      </c>
      <c r="D515" s="27">
        <f>IF(SUM(D86,D229)=0,"",SUM(D229)/SUM(D86,D229))</f>
        <v/>
      </c>
      <c r="E515" s="27">
        <f>IF(SUM(E86,E229)=0,"",SUM(E229)/SUM(E86,E229))</f>
        <v/>
      </c>
      <c r="F515" s="27">
        <f>IF(SUM(F86,F229)=0,"",SUM(F229)/SUM(F86,F229))</f>
        <v/>
      </c>
      <c r="G515" s="27">
        <f>IF(SUM(G86,G229)=0,"",SUM(G229)/SUM(G86,G229))</f>
        <v/>
      </c>
      <c r="H515" s="27">
        <f>IF(SUM(H86,H229)=0,"",SUM(H229)/SUM(H86,H229))</f>
        <v/>
      </c>
    </row>
    <row r="516" hidden="1" outlineLevel="1">
      <c r="A516" t="inlineStr">
        <is>
          <t>Week4-Jan-2027</t>
        </is>
      </c>
      <c r="B516" s="27">
        <f>IF(SUM(B87,B230)=0,"",SUM(B230)/SUM(B87,B230))</f>
        <v/>
      </c>
      <c r="C516" s="27">
        <f>IF(SUM(C87,C230)=0,"",SUM(C230)/SUM(C87,C230))</f>
        <v/>
      </c>
      <c r="D516" s="27">
        <f>IF(SUM(D87,D230)=0,"",SUM(D230)/SUM(D87,D230))</f>
        <v/>
      </c>
      <c r="E516" s="27">
        <f>IF(SUM(E87,E230)=0,"",SUM(E230)/SUM(E87,E230))</f>
        <v/>
      </c>
      <c r="F516" s="27">
        <f>IF(SUM(F87,F230)=0,"",SUM(F230)/SUM(F87,F230))</f>
        <v/>
      </c>
      <c r="G516" s="27">
        <f>IF(SUM(G87,G230)=0,"",SUM(G230)/SUM(G87,G230))</f>
        <v/>
      </c>
      <c r="H516" s="27">
        <f>IF(SUM(H87,H230)=0,"",SUM(H230)/SUM(H87,H230))</f>
        <v/>
      </c>
    </row>
    <row r="517" hidden="1" outlineLevel="1">
      <c r="A517" t="inlineStr">
        <is>
          <t>Week5-Jan-2027</t>
        </is>
      </c>
      <c r="B517" s="27">
        <f>IF(SUM(B88,B231)=0,"",SUM(B231)/SUM(B88,B231))</f>
        <v/>
      </c>
      <c r="C517" s="27">
        <f>IF(SUM(C88,C231)=0,"",SUM(C231)/SUM(C88,C231))</f>
        <v/>
      </c>
      <c r="D517" s="27">
        <f>IF(SUM(D88,D231)=0,"",SUM(D231)/SUM(D88,D231))</f>
        <v/>
      </c>
      <c r="E517" s="27">
        <f>IF(SUM(E88,E231)=0,"",SUM(E231)/SUM(E88,E231))</f>
        <v/>
      </c>
      <c r="F517" s="27">
        <f>IF(SUM(F88,F231)=0,"",SUM(F231)/SUM(F88,F231))</f>
        <v/>
      </c>
      <c r="G517" s="27">
        <f>IF(SUM(G88,G231)=0,"",SUM(G231)/SUM(G88,G231))</f>
        <v/>
      </c>
      <c r="H517" s="27">
        <f>IF(SUM(H88,H231)=0,"",SUM(H231)/SUM(H88,H231))</f>
        <v/>
      </c>
    </row>
    <row r="518" hidden="1" outlineLevel="1">
      <c r="A518" t="inlineStr">
        <is>
          <t>Week1-Feb-2027</t>
        </is>
      </c>
      <c r="B518" s="27">
        <f>IF(SUM(B89,B232)=0,"",SUM(B232)/SUM(B89,B232))</f>
        <v/>
      </c>
      <c r="C518" s="27">
        <f>IF(SUM(C89,C232)=0,"",SUM(C232)/SUM(C89,C232))</f>
        <v/>
      </c>
      <c r="D518" s="27">
        <f>IF(SUM(D89,D232)=0,"",SUM(D232)/SUM(D89,D232))</f>
        <v/>
      </c>
      <c r="E518" s="27">
        <f>IF(SUM(E89,E232)=0,"",SUM(E232)/SUM(E89,E232))</f>
        <v/>
      </c>
      <c r="F518" s="27">
        <f>IF(SUM(F89,F232)=0,"",SUM(F232)/SUM(F89,F232))</f>
        <v/>
      </c>
      <c r="G518" s="27">
        <f>IF(SUM(G89,G232)=0,"",SUM(G232)/SUM(G89,G232))</f>
        <v/>
      </c>
      <c r="H518" s="27">
        <f>IF(SUM(H89,H232)=0,"",SUM(H232)/SUM(H89,H232))</f>
        <v/>
      </c>
    </row>
    <row r="519" hidden="1" outlineLevel="1">
      <c r="A519" t="inlineStr">
        <is>
          <t>Week2-Feb-2027</t>
        </is>
      </c>
      <c r="B519" s="27">
        <f>IF(SUM(B90,B233)=0,"",SUM(B233)/SUM(B90,B233))</f>
        <v/>
      </c>
      <c r="C519" s="27">
        <f>IF(SUM(C90,C233)=0,"",SUM(C233)/SUM(C90,C233))</f>
        <v/>
      </c>
      <c r="D519" s="27">
        <f>IF(SUM(D90,D233)=0,"",SUM(D233)/SUM(D90,D233))</f>
        <v/>
      </c>
      <c r="E519" s="27">
        <f>IF(SUM(E90,E233)=0,"",SUM(E233)/SUM(E90,E233))</f>
        <v/>
      </c>
      <c r="F519" s="27">
        <f>IF(SUM(F90,F233)=0,"",SUM(F233)/SUM(F90,F233))</f>
        <v/>
      </c>
      <c r="G519" s="27">
        <f>IF(SUM(G90,G233)=0,"",SUM(G233)/SUM(G90,G233))</f>
        <v/>
      </c>
      <c r="H519" s="27">
        <f>IF(SUM(H90,H233)=0,"",SUM(H233)/SUM(H90,H233))</f>
        <v/>
      </c>
    </row>
    <row r="520" hidden="1" outlineLevel="1">
      <c r="A520" t="inlineStr">
        <is>
          <t>Week3-Feb-2027</t>
        </is>
      </c>
      <c r="B520" s="27">
        <f>IF(SUM(B91,B234)=0,"",SUM(B234)/SUM(B91,B234))</f>
        <v/>
      </c>
      <c r="C520" s="27">
        <f>IF(SUM(C91,C234)=0,"",SUM(C234)/SUM(C91,C234))</f>
        <v/>
      </c>
      <c r="D520" s="27">
        <f>IF(SUM(D91,D234)=0,"",SUM(D234)/SUM(D91,D234))</f>
        <v/>
      </c>
      <c r="E520" s="27">
        <f>IF(SUM(E91,E234)=0,"",SUM(E234)/SUM(E91,E234))</f>
        <v/>
      </c>
      <c r="F520" s="27">
        <f>IF(SUM(F91,F234)=0,"",SUM(F234)/SUM(F91,F234))</f>
        <v/>
      </c>
      <c r="G520" s="27">
        <f>IF(SUM(G91,G234)=0,"",SUM(G234)/SUM(G91,G234))</f>
        <v/>
      </c>
      <c r="H520" s="27">
        <f>IF(SUM(H91,H234)=0,"",SUM(H234)/SUM(H91,H234))</f>
        <v/>
      </c>
    </row>
    <row r="521" hidden="1" outlineLevel="1">
      <c r="A521" t="inlineStr">
        <is>
          <t>Week4-Feb-2027</t>
        </is>
      </c>
      <c r="B521" s="27">
        <f>IF(SUM(B92,B235)=0,"",SUM(B235)/SUM(B92,B235))</f>
        <v/>
      </c>
      <c r="C521" s="27">
        <f>IF(SUM(C92,C235)=0,"",SUM(C235)/SUM(C92,C235))</f>
        <v/>
      </c>
      <c r="D521" s="27">
        <f>IF(SUM(D92,D235)=0,"",SUM(D235)/SUM(D92,D235))</f>
        <v/>
      </c>
      <c r="E521" s="27">
        <f>IF(SUM(E92,E235)=0,"",SUM(E235)/SUM(E92,E235))</f>
        <v/>
      </c>
      <c r="F521" s="27">
        <f>IF(SUM(F92,F235)=0,"",SUM(F235)/SUM(F92,F235))</f>
        <v/>
      </c>
      <c r="G521" s="27">
        <f>IF(SUM(G92,G235)=0,"",SUM(G235)/SUM(G92,G235))</f>
        <v/>
      </c>
      <c r="H521" s="27">
        <f>IF(SUM(H92,H235)=0,"",SUM(H235)/SUM(H92,H235))</f>
        <v/>
      </c>
    </row>
    <row r="522" hidden="1" outlineLevel="1">
      <c r="A522" t="inlineStr">
        <is>
          <t>Week1-Mar-2027</t>
        </is>
      </c>
      <c r="B522" s="27">
        <f>IF(SUM(B93,B236)=0,"",SUM(B236)/SUM(B93,B236))</f>
        <v/>
      </c>
      <c r="C522" s="27">
        <f>IF(SUM(C93,C236)=0,"",SUM(C236)/SUM(C93,C236))</f>
        <v/>
      </c>
      <c r="D522" s="27">
        <f>IF(SUM(D93,D236)=0,"",SUM(D236)/SUM(D93,D236))</f>
        <v/>
      </c>
      <c r="E522" s="27">
        <f>IF(SUM(E93,E236)=0,"",SUM(E236)/SUM(E93,E236))</f>
        <v/>
      </c>
      <c r="F522" s="27">
        <f>IF(SUM(F93,F236)=0,"",SUM(F236)/SUM(F93,F236))</f>
        <v/>
      </c>
      <c r="G522" s="27">
        <f>IF(SUM(G93,G236)=0,"",SUM(G236)/SUM(G93,G236))</f>
        <v/>
      </c>
      <c r="H522" s="27">
        <f>IF(SUM(H93,H236)=0,"",SUM(H236)/SUM(H93,H236))</f>
        <v/>
      </c>
    </row>
    <row r="523" hidden="1" outlineLevel="1">
      <c r="A523" t="inlineStr">
        <is>
          <t>Week2-Mar-2027</t>
        </is>
      </c>
      <c r="B523" s="27">
        <f>IF(SUM(B94,B237)=0,"",SUM(B237)/SUM(B94,B237))</f>
        <v/>
      </c>
      <c r="C523" s="27">
        <f>IF(SUM(C94,C237)=0,"",SUM(C237)/SUM(C94,C237))</f>
        <v/>
      </c>
      <c r="D523" s="27">
        <f>IF(SUM(D94,D237)=0,"",SUM(D237)/SUM(D94,D237))</f>
        <v/>
      </c>
      <c r="E523" s="27">
        <f>IF(SUM(E94,E237)=0,"",SUM(E237)/SUM(E94,E237))</f>
        <v/>
      </c>
      <c r="F523" s="27">
        <f>IF(SUM(F94,F237)=0,"",SUM(F237)/SUM(F94,F237))</f>
        <v/>
      </c>
      <c r="G523" s="27">
        <f>IF(SUM(G94,G237)=0,"",SUM(G237)/SUM(G94,G237))</f>
        <v/>
      </c>
      <c r="H523" s="27">
        <f>IF(SUM(H94,H237)=0,"",SUM(H237)/SUM(H94,H237))</f>
        <v/>
      </c>
    </row>
    <row r="524" hidden="1" outlineLevel="1">
      <c r="A524" t="inlineStr">
        <is>
          <t>Week3-Mar-2027</t>
        </is>
      </c>
      <c r="B524" s="27">
        <f>IF(SUM(B95,B238)=0,"",SUM(B238)/SUM(B95,B238))</f>
        <v/>
      </c>
      <c r="C524" s="27">
        <f>IF(SUM(C95,C238)=0,"",SUM(C238)/SUM(C95,C238))</f>
        <v/>
      </c>
      <c r="D524" s="27">
        <f>IF(SUM(D95,D238)=0,"",SUM(D238)/SUM(D95,D238))</f>
        <v/>
      </c>
      <c r="E524" s="27">
        <f>IF(SUM(E95,E238)=0,"",SUM(E238)/SUM(E95,E238))</f>
        <v/>
      </c>
      <c r="F524" s="27">
        <f>IF(SUM(F95,F238)=0,"",SUM(F238)/SUM(F95,F238))</f>
        <v/>
      </c>
      <c r="G524" s="27">
        <f>IF(SUM(G95,G238)=0,"",SUM(G238)/SUM(G95,G238))</f>
        <v/>
      </c>
      <c r="H524" s="27">
        <f>IF(SUM(H95,H238)=0,"",SUM(H238)/SUM(H95,H238))</f>
        <v/>
      </c>
    </row>
    <row r="525" hidden="1" outlineLevel="1">
      <c r="A525" t="inlineStr">
        <is>
          <t>Week4-Mar-2027</t>
        </is>
      </c>
      <c r="B525" s="27">
        <f>IF(SUM(B96,B239)=0,"",SUM(B239)/SUM(B96,B239))</f>
        <v/>
      </c>
      <c r="C525" s="27">
        <f>IF(SUM(C96,C239)=0,"",SUM(C239)/SUM(C96,C239))</f>
        <v/>
      </c>
      <c r="D525" s="27">
        <f>IF(SUM(D96,D239)=0,"",SUM(D239)/SUM(D96,D239))</f>
        <v/>
      </c>
      <c r="E525" s="27">
        <f>IF(SUM(E96,E239)=0,"",SUM(E239)/SUM(E96,E239))</f>
        <v/>
      </c>
      <c r="F525" s="27">
        <f>IF(SUM(F96,F239)=0,"",SUM(F239)/SUM(F96,F239))</f>
        <v/>
      </c>
      <c r="G525" s="27">
        <f>IF(SUM(G96,G239)=0,"",SUM(G239)/SUM(G96,G239))</f>
        <v/>
      </c>
      <c r="H525" s="27">
        <f>IF(SUM(H96,H239)=0,"",SUM(H239)/SUM(H96,H239))</f>
        <v/>
      </c>
    </row>
    <row r="526" hidden="1" outlineLevel="1">
      <c r="A526" t="inlineStr">
        <is>
          <t>Week5-Mar-2027</t>
        </is>
      </c>
      <c r="B526" s="27">
        <f>IF(SUM(B97,B240)=0,"",SUM(B240)/SUM(B97,B240))</f>
        <v/>
      </c>
      <c r="C526" s="27">
        <f>IF(SUM(C97,C240)=0,"",SUM(C240)/SUM(C97,C240))</f>
        <v/>
      </c>
      <c r="D526" s="27">
        <f>IF(SUM(D97,D240)=0,"",SUM(D240)/SUM(D97,D240))</f>
        <v/>
      </c>
      <c r="E526" s="27">
        <f>IF(SUM(E97,E240)=0,"",SUM(E240)/SUM(E97,E240))</f>
        <v/>
      </c>
      <c r="F526" s="27">
        <f>IF(SUM(F97,F240)=0,"",SUM(F240)/SUM(F97,F240))</f>
        <v/>
      </c>
      <c r="G526" s="27">
        <f>IF(SUM(G97,G240)=0,"",SUM(G240)/SUM(G97,G240))</f>
        <v/>
      </c>
      <c r="H526" s="27">
        <f>IF(SUM(H97,H240)=0,"",SUM(H240)/SUM(H97,H240))</f>
        <v/>
      </c>
    </row>
    <row r="527" hidden="1" outlineLevel="1">
      <c r="A527" t="inlineStr">
        <is>
          <t>Week1-Apr-2027</t>
        </is>
      </c>
      <c r="B527" s="27">
        <f>IF(SUM(B98,B241)=0,"",SUM(B241)/SUM(B98,B241))</f>
        <v/>
      </c>
      <c r="C527" s="27">
        <f>IF(SUM(C98,C241)=0,"",SUM(C241)/SUM(C98,C241))</f>
        <v/>
      </c>
      <c r="D527" s="27">
        <f>IF(SUM(D98,D241)=0,"",SUM(D241)/SUM(D98,D241))</f>
        <v/>
      </c>
      <c r="E527" s="27">
        <f>IF(SUM(E98,E241)=0,"",SUM(E241)/SUM(E98,E241))</f>
        <v/>
      </c>
      <c r="F527" s="27">
        <f>IF(SUM(F98,F241)=0,"",SUM(F241)/SUM(F98,F241))</f>
        <v/>
      </c>
      <c r="G527" s="27">
        <f>IF(SUM(G98,G241)=0,"",SUM(G241)/SUM(G98,G241))</f>
        <v/>
      </c>
      <c r="H527" s="27">
        <f>IF(SUM(H98,H241)=0,"",SUM(H241)/SUM(H98,H241))</f>
        <v/>
      </c>
    </row>
    <row r="528" hidden="1" outlineLevel="1">
      <c r="A528" t="inlineStr">
        <is>
          <t>Week2-Apr-2027</t>
        </is>
      </c>
      <c r="B528" s="27">
        <f>IF(SUM(B99,B242)=0,"",SUM(B242)/SUM(B99,B242))</f>
        <v/>
      </c>
      <c r="C528" s="27">
        <f>IF(SUM(C99,C242)=0,"",SUM(C242)/SUM(C99,C242))</f>
        <v/>
      </c>
      <c r="D528" s="27">
        <f>IF(SUM(D99,D242)=0,"",SUM(D242)/SUM(D99,D242))</f>
        <v/>
      </c>
      <c r="E528" s="27">
        <f>IF(SUM(E99,E242)=0,"",SUM(E242)/SUM(E99,E242))</f>
        <v/>
      </c>
      <c r="F528" s="27">
        <f>IF(SUM(F99,F242)=0,"",SUM(F242)/SUM(F99,F242))</f>
        <v/>
      </c>
      <c r="G528" s="27">
        <f>IF(SUM(G99,G242)=0,"",SUM(G242)/SUM(G99,G242))</f>
        <v/>
      </c>
      <c r="H528" s="27">
        <f>IF(SUM(H99,H242)=0,"",SUM(H242)/SUM(H99,H242))</f>
        <v/>
      </c>
    </row>
    <row r="529" hidden="1" outlineLevel="1">
      <c r="A529" t="inlineStr">
        <is>
          <t>Week3-Apr-2027</t>
        </is>
      </c>
      <c r="B529" s="27">
        <f>IF(SUM(B100,B243)=0,"",SUM(B243)/SUM(B100,B243))</f>
        <v/>
      </c>
      <c r="C529" s="27">
        <f>IF(SUM(C100,C243)=0,"",SUM(C243)/SUM(C100,C243))</f>
        <v/>
      </c>
      <c r="D529" s="27">
        <f>IF(SUM(D100,D243)=0,"",SUM(D243)/SUM(D100,D243))</f>
        <v/>
      </c>
      <c r="E529" s="27">
        <f>IF(SUM(E100,E243)=0,"",SUM(E243)/SUM(E100,E243))</f>
        <v/>
      </c>
      <c r="F529" s="27">
        <f>IF(SUM(F100,F243)=0,"",SUM(F243)/SUM(F100,F243))</f>
        <v/>
      </c>
      <c r="G529" s="27">
        <f>IF(SUM(G100,G243)=0,"",SUM(G243)/SUM(G100,G243))</f>
        <v/>
      </c>
      <c r="H529" s="27">
        <f>IF(SUM(H100,H243)=0,"",SUM(H243)/SUM(H100,H243))</f>
        <v/>
      </c>
    </row>
    <row r="530" hidden="1" outlineLevel="1">
      <c r="A530" t="inlineStr">
        <is>
          <t>Week4-Apr-2027</t>
        </is>
      </c>
      <c r="B530" s="27">
        <f>IF(SUM(B101,B244)=0,"",SUM(B244)/SUM(B101,B244))</f>
        <v/>
      </c>
      <c r="C530" s="27">
        <f>IF(SUM(C101,C244)=0,"",SUM(C244)/SUM(C101,C244))</f>
        <v/>
      </c>
      <c r="D530" s="27">
        <f>IF(SUM(D101,D244)=0,"",SUM(D244)/SUM(D101,D244))</f>
        <v/>
      </c>
      <c r="E530" s="27">
        <f>IF(SUM(E101,E244)=0,"",SUM(E244)/SUM(E101,E244))</f>
        <v/>
      </c>
      <c r="F530" s="27">
        <f>IF(SUM(F101,F244)=0,"",SUM(F244)/SUM(F101,F244))</f>
        <v/>
      </c>
      <c r="G530" s="27">
        <f>IF(SUM(G101,G244)=0,"",SUM(G244)/SUM(G101,G244))</f>
        <v/>
      </c>
      <c r="H530" s="27">
        <f>IF(SUM(H101,H244)=0,"",SUM(H244)/SUM(H101,H244))</f>
        <v/>
      </c>
    </row>
    <row r="531" hidden="1" outlineLevel="1">
      <c r="A531" t="inlineStr">
        <is>
          <t>Week5-Apr-2027</t>
        </is>
      </c>
      <c r="B531" s="27">
        <f>IF(SUM(B102,B245)=0,"",SUM(B245)/SUM(B102,B245))</f>
        <v/>
      </c>
      <c r="C531" s="27">
        <f>IF(SUM(C102,C245)=0,"",SUM(C245)/SUM(C102,C245))</f>
        <v/>
      </c>
      <c r="D531" s="27">
        <f>IF(SUM(D102,D245)=0,"",SUM(D245)/SUM(D102,D245))</f>
        <v/>
      </c>
      <c r="E531" s="27">
        <f>IF(SUM(E102,E245)=0,"",SUM(E245)/SUM(E102,E245))</f>
        <v/>
      </c>
      <c r="F531" s="27">
        <f>IF(SUM(F102,F245)=0,"",SUM(F245)/SUM(F102,F245))</f>
        <v/>
      </c>
      <c r="G531" s="27">
        <f>IF(SUM(G102,G245)=0,"",SUM(G245)/SUM(G102,G245))</f>
        <v/>
      </c>
      <c r="H531" s="27">
        <f>IF(SUM(H102,H245)=0,"",SUM(H245)/SUM(H102,H245))</f>
        <v/>
      </c>
    </row>
    <row r="532" hidden="1" outlineLevel="1">
      <c r="A532" t="inlineStr">
        <is>
          <t>Week1-May-2027</t>
        </is>
      </c>
      <c r="B532" s="27">
        <f>IF(SUM(B103,B246)=0,"",SUM(B246)/SUM(B103,B246))</f>
        <v/>
      </c>
      <c r="C532" s="27">
        <f>IF(SUM(C103,C246)=0,"",SUM(C246)/SUM(C103,C246))</f>
        <v/>
      </c>
      <c r="D532" s="27">
        <f>IF(SUM(D103,D246)=0,"",SUM(D246)/SUM(D103,D246))</f>
        <v/>
      </c>
      <c r="E532" s="27">
        <f>IF(SUM(E103,E246)=0,"",SUM(E246)/SUM(E103,E246))</f>
        <v/>
      </c>
      <c r="F532" s="27">
        <f>IF(SUM(F103,F246)=0,"",SUM(F246)/SUM(F103,F246))</f>
        <v/>
      </c>
      <c r="G532" s="27">
        <f>IF(SUM(G103,G246)=0,"",SUM(G246)/SUM(G103,G246))</f>
        <v/>
      </c>
      <c r="H532" s="27">
        <f>IF(SUM(H103,H246)=0,"",SUM(H246)/SUM(H103,H246))</f>
        <v/>
      </c>
    </row>
    <row r="533" hidden="1" outlineLevel="1">
      <c r="A533" t="inlineStr">
        <is>
          <t>Week2-May-2027</t>
        </is>
      </c>
      <c r="B533" s="27">
        <f>IF(SUM(B104,B247)=0,"",SUM(B247)/SUM(B104,B247))</f>
        <v/>
      </c>
      <c r="C533" s="27">
        <f>IF(SUM(C104,C247)=0,"",SUM(C247)/SUM(C104,C247))</f>
        <v/>
      </c>
      <c r="D533" s="27">
        <f>IF(SUM(D104,D247)=0,"",SUM(D247)/SUM(D104,D247))</f>
        <v/>
      </c>
      <c r="E533" s="27">
        <f>IF(SUM(E104,E247)=0,"",SUM(E247)/SUM(E104,E247))</f>
        <v/>
      </c>
      <c r="F533" s="27">
        <f>IF(SUM(F104,F247)=0,"",SUM(F247)/SUM(F104,F247))</f>
        <v/>
      </c>
      <c r="G533" s="27">
        <f>IF(SUM(G104,G247)=0,"",SUM(G247)/SUM(G104,G247))</f>
        <v/>
      </c>
      <c r="H533" s="27">
        <f>IF(SUM(H104,H247)=0,"",SUM(H247)/SUM(H104,H247))</f>
        <v/>
      </c>
    </row>
    <row r="534" hidden="1" outlineLevel="1">
      <c r="A534" t="inlineStr">
        <is>
          <t>Week3-May-2027</t>
        </is>
      </c>
      <c r="B534" s="27">
        <f>IF(SUM(B105,B248)=0,"",SUM(B248)/SUM(B105,B248))</f>
        <v/>
      </c>
      <c r="C534" s="27">
        <f>IF(SUM(C105,C248)=0,"",SUM(C248)/SUM(C105,C248))</f>
        <v/>
      </c>
      <c r="D534" s="27">
        <f>IF(SUM(D105,D248)=0,"",SUM(D248)/SUM(D105,D248))</f>
        <v/>
      </c>
      <c r="E534" s="27">
        <f>IF(SUM(E105,E248)=0,"",SUM(E248)/SUM(E105,E248))</f>
        <v/>
      </c>
      <c r="F534" s="27">
        <f>IF(SUM(F105,F248)=0,"",SUM(F248)/SUM(F105,F248))</f>
        <v/>
      </c>
      <c r="G534" s="27">
        <f>IF(SUM(G105,G248)=0,"",SUM(G248)/SUM(G105,G248))</f>
        <v/>
      </c>
      <c r="H534" s="27">
        <f>IF(SUM(H105,H248)=0,"",SUM(H248)/SUM(H105,H248))</f>
        <v/>
      </c>
    </row>
    <row r="535" hidden="1" outlineLevel="1">
      <c r="A535" t="inlineStr">
        <is>
          <t>Week4-May-2027</t>
        </is>
      </c>
      <c r="B535" s="27">
        <f>IF(SUM(B106,B249)=0,"",SUM(B249)/SUM(B106,B249))</f>
        <v/>
      </c>
      <c r="C535" s="27">
        <f>IF(SUM(C106,C249)=0,"",SUM(C249)/SUM(C106,C249))</f>
        <v/>
      </c>
      <c r="D535" s="27">
        <f>IF(SUM(D106,D249)=0,"",SUM(D249)/SUM(D106,D249))</f>
        <v/>
      </c>
      <c r="E535" s="27">
        <f>IF(SUM(E106,E249)=0,"",SUM(E249)/SUM(E106,E249))</f>
        <v/>
      </c>
      <c r="F535" s="27">
        <f>IF(SUM(F106,F249)=0,"",SUM(F249)/SUM(F106,F249))</f>
        <v/>
      </c>
      <c r="G535" s="27">
        <f>IF(SUM(G106,G249)=0,"",SUM(G249)/SUM(G106,G249))</f>
        <v/>
      </c>
      <c r="H535" s="27">
        <f>IF(SUM(H106,H249)=0,"",SUM(H249)/SUM(H106,H249))</f>
        <v/>
      </c>
    </row>
    <row r="536" hidden="1" outlineLevel="1">
      <c r="A536" t="inlineStr">
        <is>
          <t>Week5-May-2027</t>
        </is>
      </c>
      <c r="B536" s="27">
        <f>IF(SUM(B107,B250)=0,"",SUM(B250)/SUM(B107,B250))</f>
        <v/>
      </c>
      <c r="C536" s="27">
        <f>IF(SUM(C107,C250)=0,"",SUM(C250)/SUM(C107,C250))</f>
        <v/>
      </c>
      <c r="D536" s="27">
        <f>IF(SUM(D107,D250)=0,"",SUM(D250)/SUM(D107,D250))</f>
        <v/>
      </c>
      <c r="E536" s="27">
        <f>IF(SUM(E107,E250)=0,"",SUM(E250)/SUM(E107,E250))</f>
        <v/>
      </c>
      <c r="F536" s="27">
        <f>IF(SUM(F107,F250)=0,"",SUM(F250)/SUM(F107,F250))</f>
        <v/>
      </c>
      <c r="G536" s="27">
        <f>IF(SUM(G107,G250)=0,"",SUM(G250)/SUM(G107,G250))</f>
        <v/>
      </c>
      <c r="H536" s="27">
        <f>IF(SUM(H107,H250)=0,"",SUM(H250)/SUM(H107,H250))</f>
        <v/>
      </c>
    </row>
    <row r="537" hidden="1" outlineLevel="1">
      <c r="A537" t="inlineStr">
        <is>
          <t>Week1-Jun-2027</t>
        </is>
      </c>
      <c r="B537" s="27">
        <f>IF(SUM(B108,B251)=0,"",SUM(B251)/SUM(B108,B251))</f>
        <v/>
      </c>
      <c r="C537" s="27">
        <f>IF(SUM(C108,C251)=0,"",SUM(C251)/SUM(C108,C251))</f>
        <v/>
      </c>
      <c r="D537" s="27">
        <f>IF(SUM(D108,D251)=0,"",SUM(D251)/SUM(D108,D251))</f>
        <v/>
      </c>
      <c r="E537" s="27">
        <f>IF(SUM(E108,E251)=0,"",SUM(E251)/SUM(E108,E251))</f>
        <v/>
      </c>
      <c r="F537" s="27">
        <f>IF(SUM(F108,F251)=0,"",SUM(F251)/SUM(F108,F251))</f>
        <v/>
      </c>
      <c r="G537" s="27">
        <f>IF(SUM(G108,G251)=0,"",SUM(G251)/SUM(G108,G251))</f>
        <v/>
      </c>
      <c r="H537" s="27">
        <f>IF(SUM(H108,H251)=0,"",SUM(H251)/SUM(H108,H251))</f>
        <v/>
      </c>
    </row>
    <row r="538" hidden="1" outlineLevel="1">
      <c r="A538" t="inlineStr">
        <is>
          <t>Week2-Jun-2027</t>
        </is>
      </c>
      <c r="B538" s="27">
        <f>IF(SUM(B109,B252)=0,"",SUM(B252)/SUM(B109,B252))</f>
        <v/>
      </c>
      <c r="C538" s="27">
        <f>IF(SUM(C109,C252)=0,"",SUM(C252)/SUM(C109,C252))</f>
        <v/>
      </c>
      <c r="D538" s="27">
        <f>IF(SUM(D109,D252)=0,"",SUM(D252)/SUM(D109,D252))</f>
        <v/>
      </c>
      <c r="E538" s="27">
        <f>IF(SUM(E109,E252)=0,"",SUM(E252)/SUM(E109,E252))</f>
        <v/>
      </c>
      <c r="F538" s="27">
        <f>IF(SUM(F109,F252)=0,"",SUM(F252)/SUM(F109,F252))</f>
        <v/>
      </c>
      <c r="G538" s="27">
        <f>IF(SUM(G109,G252)=0,"",SUM(G252)/SUM(G109,G252))</f>
        <v/>
      </c>
      <c r="H538" s="27">
        <f>IF(SUM(H109,H252)=0,"",SUM(H252)/SUM(H109,H252))</f>
        <v/>
      </c>
    </row>
    <row r="539" hidden="1" outlineLevel="1">
      <c r="A539" t="inlineStr">
        <is>
          <t>Week3-Jun-2027</t>
        </is>
      </c>
      <c r="B539" s="27">
        <f>IF(SUM(B110,B253)=0,"",SUM(B253)/SUM(B110,B253))</f>
        <v/>
      </c>
      <c r="C539" s="27">
        <f>IF(SUM(C110,C253)=0,"",SUM(C253)/SUM(C110,C253))</f>
        <v/>
      </c>
      <c r="D539" s="27">
        <f>IF(SUM(D110,D253)=0,"",SUM(D253)/SUM(D110,D253))</f>
        <v/>
      </c>
      <c r="E539" s="27">
        <f>IF(SUM(E110,E253)=0,"",SUM(E253)/SUM(E110,E253))</f>
        <v/>
      </c>
      <c r="F539" s="27">
        <f>IF(SUM(F110,F253)=0,"",SUM(F253)/SUM(F110,F253))</f>
        <v/>
      </c>
      <c r="G539" s="27">
        <f>IF(SUM(G110,G253)=0,"",SUM(G253)/SUM(G110,G253))</f>
        <v/>
      </c>
      <c r="H539" s="27">
        <f>IF(SUM(H110,H253)=0,"",SUM(H253)/SUM(H110,H253))</f>
        <v/>
      </c>
    </row>
    <row r="540" hidden="1" outlineLevel="1">
      <c r="A540" t="inlineStr">
        <is>
          <t>Week4-Jun-2027</t>
        </is>
      </c>
      <c r="B540" s="27">
        <f>IF(SUM(B111,B254)=0,"",SUM(B254)/SUM(B111,B254))</f>
        <v/>
      </c>
      <c r="C540" s="27">
        <f>IF(SUM(C111,C254)=0,"",SUM(C254)/SUM(C111,C254))</f>
        <v/>
      </c>
      <c r="D540" s="27">
        <f>IF(SUM(D111,D254)=0,"",SUM(D254)/SUM(D111,D254))</f>
        <v/>
      </c>
      <c r="E540" s="27">
        <f>IF(SUM(E111,E254)=0,"",SUM(E254)/SUM(E111,E254))</f>
        <v/>
      </c>
      <c r="F540" s="27">
        <f>IF(SUM(F111,F254)=0,"",SUM(F254)/SUM(F111,F254))</f>
        <v/>
      </c>
      <c r="G540" s="27">
        <f>IF(SUM(G111,G254)=0,"",SUM(G254)/SUM(G111,G254))</f>
        <v/>
      </c>
      <c r="H540" s="27">
        <f>IF(SUM(H111,H254)=0,"",SUM(H254)/SUM(H111,H254))</f>
        <v/>
      </c>
    </row>
    <row r="541" hidden="1" outlineLevel="1">
      <c r="A541" t="inlineStr">
        <is>
          <t>Week5-Jun-2027</t>
        </is>
      </c>
      <c r="B541" s="27">
        <f>IF(SUM(B112,B255)=0,"",SUM(B255)/SUM(B112,B255))</f>
        <v/>
      </c>
      <c r="C541" s="27">
        <f>IF(SUM(C112,C255)=0,"",SUM(C255)/SUM(C112,C255))</f>
        <v/>
      </c>
      <c r="D541" s="27">
        <f>IF(SUM(D112,D255)=0,"",SUM(D255)/SUM(D112,D255))</f>
        <v/>
      </c>
      <c r="E541" s="27">
        <f>IF(SUM(E112,E255)=0,"",SUM(E255)/SUM(E112,E255))</f>
        <v/>
      </c>
      <c r="F541" s="27">
        <f>IF(SUM(F112,F255)=0,"",SUM(F255)/SUM(F112,F255))</f>
        <v/>
      </c>
      <c r="G541" s="27">
        <f>IF(SUM(G112,G255)=0,"",SUM(G255)/SUM(G112,G255))</f>
        <v/>
      </c>
      <c r="H541" s="27">
        <f>IF(SUM(H112,H255)=0,"",SUM(H255)/SUM(H112,H255))</f>
        <v/>
      </c>
    </row>
    <row r="542" hidden="1" outlineLevel="1">
      <c r="A542" t="inlineStr">
        <is>
          <t>Week1-Jul-2027</t>
        </is>
      </c>
      <c r="B542" s="27">
        <f>IF(SUM(B113,B256)=0,"",SUM(B256)/SUM(B113,B256))</f>
        <v/>
      </c>
      <c r="C542" s="27">
        <f>IF(SUM(C113,C256)=0,"",SUM(C256)/SUM(C113,C256))</f>
        <v/>
      </c>
      <c r="D542" s="27">
        <f>IF(SUM(D113,D256)=0,"",SUM(D256)/SUM(D113,D256))</f>
        <v/>
      </c>
      <c r="E542" s="27">
        <f>IF(SUM(E113,E256)=0,"",SUM(E256)/SUM(E113,E256))</f>
        <v/>
      </c>
      <c r="F542" s="27">
        <f>IF(SUM(F113,F256)=0,"",SUM(F256)/SUM(F113,F256))</f>
        <v/>
      </c>
      <c r="G542" s="27">
        <f>IF(SUM(G113,G256)=0,"",SUM(G256)/SUM(G113,G256))</f>
        <v/>
      </c>
      <c r="H542" s="27">
        <f>IF(SUM(H113,H256)=0,"",SUM(H256)/SUM(H113,H256))</f>
        <v/>
      </c>
    </row>
    <row r="543" hidden="1" outlineLevel="1">
      <c r="A543" t="inlineStr">
        <is>
          <t>Week2-Jul-2027</t>
        </is>
      </c>
      <c r="B543" s="27">
        <f>IF(SUM(B114,B257)=0,"",SUM(B257)/SUM(B114,B257))</f>
        <v/>
      </c>
      <c r="C543" s="27">
        <f>IF(SUM(C114,C257)=0,"",SUM(C257)/SUM(C114,C257))</f>
        <v/>
      </c>
      <c r="D543" s="27">
        <f>IF(SUM(D114,D257)=0,"",SUM(D257)/SUM(D114,D257))</f>
        <v/>
      </c>
      <c r="E543" s="27">
        <f>IF(SUM(E114,E257)=0,"",SUM(E257)/SUM(E114,E257))</f>
        <v/>
      </c>
      <c r="F543" s="27">
        <f>IF(SUM(F114,F257)=0,"",SUM(F257)/SUM(F114,F257))</f>
        <v/>
      </c>
      <c r="G543" s="27">
        <f>IF(SUM(G114,G257)=0,"",SUM(G257)/SUM(G114,G257))</f>
        <v/>
      </c>
      <c r="H543" s="27">
        <f>IF(SUM(H114,H257)=0,"",SUM(H257)/SUM(H114,H257))</f>
        <v/>
      </c>
    </row>
    <row r="544" hidden="1" outlineLevel="1">
      <c r="A544" t="inlineStr">
        <is>
          <t>Week3-Jul-2027</t>
        </is>
      </c>
      <c r="B544" s="27">
        <f>IF(SUM(B115,B258)=0,"",SUM(B258)/SUM(B115,B258))</f>
        <v/>
      </c>
      <c r="C544" s="27">
        <f>IF(SUM(C115,C258)=0,"",SUM(C258)/SUM(C115,C258))</f>
        <v/>
      </c>
      <c r="D544" s="27">
        <f>IF(SUM(D115,D258)=0,"",SUM(D258)/SUM(D115,D258))</f>
        <v/>
      </c>
      <c r="E544" s="27">
        <f>IF(SUM(E115,E258)=0,"",SUM(E258)/SUM(E115,E258))</f>
        <v/>
      </c>
      <c r="F544" s="27">
        <f>IF(SUM(F115,F258)=0,"",SUM(F258)/SUM(F115,F258))</f>
        <v/>
      </c>
      <c r="G544" s="27">
        <f>IF(SUM(G115,G258)=0,"",SUM(G258)/SUM(G115,G258))</f>
        <v/>
      </c>
      <c r="H544" s="27">
        <f>IF(SUM(H115,H258)=0,"",SUM(H258)/SUM(H115,H258))</f>
        <v/>
      </c>
    </row>
    <row r="545" hidden="1" outlineLevel="1">
      <c r="A545" t="inlineStr">
        <is>
          <t>Week4-Jul-2027</t>
        </is>
      </c>
      <c r="B545" s="27">
        <f>IF(SUM(B116,B259)=0,"",SUM(B259)/SUM(B116,B259))</f>
        <v/>
      </c>
      <c r="C545" s="27">
        <f>IF(SUM(C116,C259)=0,"",SUM(C259)/SUM(C116,C259))</f>
        <v/>
      </c>
      <c r="D545" s="27">
        <f>IF(SUM(D116,D259)=0,"",SUM(D259)/SUM(D116,D259))</f>
        <v/>
      </c>
      <c r="E545" s="27">
        <f>IF(SUM(E116,E259)=0,"",SUM(E259)/SUM(E116,E259))</f>
        <v/>
      </c>
      <c r="F545" s="27">
        <f>IF(SUM(F116,F259)=0,"",SUM(F259)/SUM(F116,F259))</f>
        <v/>
      </c>
      <c r="G545" s="27">
        <f>IF(SUM(G116,G259)=0,"",SUM(G259)/SUM(G116,G259))</f>
        <v/>
      </c>
      <c r="H545" s="27">
        <f>IF(SUM(H116,H259)=0,"",SUM(H259)/SUM(H116,H259))</f>
        <v/>
      </c>
    </row>
    <row r="546" hidden="1" outlineLevel="1">
      <c r="A546" t="inlineStr">
        <is>
          <t>Week5-Jul-2027</t>
        </is>
      </c>
      <c r="B546" s="27">
        <f>IF(SUM(B117,B260)=0,"",SUM(B260)/SUM(B117,B260))</f>
        <v/>
      </c>
      <c r="C546" s="27">
        <f>IF(SUM(C117,C260)=0,"",SUM(C260)/SUM(C117,C260))</f>
        <v/>
      </c>
      <c r="D546" s="27">
        <f>IF(SUM(D117,D260)=0,"",SUM(D260)/SUM(D117,D260))</f>
        <v/>
      </c>
      <c r="E546" s="27">
        <f>IF(SUM(E117,E260)=0,"",SUM(E260)/SUM(E117,E260))</f>
        <v/>
      </c>
      <c r="F546" s="27">
        <f>IF(SUM(F117,F260)=0,"",SUM(F260)/SUM(F117,F260))</f>
        <v/>
      </c>
      <c r="G546" s="27">
        <f>IF(SUM(G117,G260)=0,"",SUM(G260)/SUM(G117,G260))</f>
        <v/>
      </c>
      <c r="H546" s="27">
        <f>IF(SUM(H117,H260)=0,"",SUM(H260)/SUM(H117,H260))</f>
        <v/>
      </c>
    </row>
    <row r="547" hidden="1" outlineLevel="1">
      <c r="A547" t="inlineStr">
        <is>
          <t>Week1-Aug-2027</t>
        </is>
      </c>
      <c r="B547" s="27">
        <f>IF(SUM(B118,B261)=0,"",SUM(B261)/SUM(B118,B261))</f>
        <v/>
      </c>
      <c r="C547" s="27">
        <f>IF(SUM(C118,C261)=0,"",SUM(C261)/SUM(C118,C261))</f>
        <v/>
      </c>
      <c r="D547" s="27">
        <f>IF(SUM(D118,D261)=0,"",SUM(D261)/SUM(D118,D261))</f>
        <v/>
      </c>
      <c r="E547" s="27">
        <f>IF(SUM(E118,E261)=0,"",SUM(E261)/SUM(E118,E261))</f>
        <v/>
      </c>
      <c r="F547" s="27">
        <f>IF(SUM(F118,F261)=0,"",SUM(F261)/SUM(F118,F261))</f>
        <v/>
      </c>
      <c r="G547" s="27">
        <f>IF(SUM(G118,G261)=0,"",SUM(G261)/SUM(G118,G261))</f>
        <v/>
      </c>
      <c r="H547" s="27">
        <f>IF(SUM(H118,H261)=0,"",SUM(H261)/SUM(H118,H261))</f>
        <v/>
      </c>
    </row>
    <row r="548" hidden="1" outlineLevel="1">
      <c r="A548" t="inlineStr">
        <is>
          <t>Week2-Aug-2027</t>
        </is>
      </c>
      <c r="B548" s="27">
        <f>IF(SUM(B119,B262)=0,"",SUM(B262)/SUM(B119,B262))</f>
        <v/>
      </c>
      <c r="C548" s="27">
        <f>IF(SUM(C119,C262)=0,"",SUM(C262)/SUM(C119,C262))</f>
        <v/>
      </c>
      <c r="D548" s="27">
        <f>IF(SUM(D119,D262)=0,"",SUM(D262)/SUM(D119,D262))</f>
        <v/>
      </c>
      <c r="E548" s="27">
        <f>IF(SUM(E119,E262)=0,"",SUM(E262)/SUM(E119,E262))</f>
        <v/>
      </c>
      <c r="F548" s="27">
        <f>IF(SUM(F119,F262)=0,"",SUM(F262)/SUM(F119,F262))</f>
        <v/>
      </c>
      <c r="G548" s="27">
        <f>IF(SUM(G119,G262)=0,"",SUM(G262)/SUM(G119,G262))</f>
        <v/>
      </c>
      <c r="H548" s="27">
        <f>IF(SUM(H119,H262)=0,"",SUM(H262)/SUM(H119,H262))</f>
        <v/>
      </c>
    </row>
    <row r="549" hidden="1" outlineLevel="1">
      <c r="A549" t="inlineStr">
        <is>
          <t>Week3-Aug-2027</t>
        </is>
      </c>
      <c r="B549" s="27">
        <f>IF(SUM(B120,B263)=0,"",SUM(B263)/SUM(B120,B263))</f>
        <v/>
      </c>
      <c r="C549" s="27">
        <f>IF(SUM(C120,C263)=0,"",SUM(C263)/SUM(C120,C263))</f>
        <v/>
      </c>
      <c r="D549" s="27">
        <f>IF(SUM(D120,D263)=0,"",SUM(D263)/SUM(D120,D263))</f>
        <v/>
      </c>
      <c r="E549" s="27">
        <f>IF(SUM(E120,E263)=0,"",SUM(E263)/SUM(E120,E263))</f>
        <v/>
      </c>
      <c r="F549" s="27">
        <f>IF(SUM(F120,F263)=0,"",SUM(F263)/SUM(F120,F263))</f>
        <v/>
      </c>
      <c r="G549" s="27">
        <f>IF(SUM(G120,G263)=0,"",SUM(G263)/SUM(G120,G263))</f>
        <v/>
      </c>
      <c r="H549" s="27">
        <f>IF(SUM(H120,H263)=0,"",SUM(H263)/SUM(H120,H263))</f>
        <v/>
      </c>
    </row>
    <row r="550" hidden="1" outlineLevel="1">
      <c r="A550" t="inlineStr">
        <is>
          <t>Week4-Aug-2027</t>
        </is>
      </c>
      <c r="B550" s="27">
        <f>IF(SUM(B121,B264)=0,"",SUM(B264)/SUM(B121,B264))</f>
        <v/>
      </c>
      <c r="C550" s="27">
        <f>IF(SUM(C121,C264)=0,"",SUM(C264)/SUM(C121,C264))</f>
        <v/>
      </c>
      <c r="D550" s="27">
        <f>IF(SUM(D121,D264)=0,"",SUM(D264)/SUM(D121,D264))</f>
        <v/>
      </c>
      <c r="E550" s="27">
        <f>IF(SUM(E121,E264)=0,"",SUM(E264)/SUM(E121,E264))</f>
        <v/>
      </c>
      <c r="F550" s="27">
        <f>IF(SUM(F121,F264)=0,"",SUM(F264)/SUM(F121,F264))</f>
        <v/>
      </c>
      <c r="G550" s="27">
        <f>IF(SUM(G121,G264)=0,"",SUM(G264)/SUM(G121,G264))</f>
        <v/>
      </c>
      <c r="H550" s="27">
        <f>IF(SUM(H121,H264)=0,"",SUM(H264)/SUM(H121,H264))</f>
        <v/>
      </c>
    </row>
    <row r="551" hidden="1" outlineLevel="1">
      <c r="A551" t="inlineStr">
        <is>
          <t>Week5-Aug-2027</t>
        </is>
      </c>
      <c r="B551" s="27">
        <f>IF(SUM(B122,B265)=0,"",SUM(B265)/SUM(B122,B265))</f>
        <v/>
      </c>
      <c r="C551" s="27">
        <f>IF(SUM(C122,C265)=0,"",SUM(C265)/SUM(C122,C265))</f>
        <v/>
      </c>
      <c r="D551" s="27">
        <f>IF(SUM(D122,D265)=0,"",SUM(D265)/SUM(D122,D265))</f>
        <v/>
      </c>
      <c r="E551" s="27">
        <f>IF(SUM(E122,E265)=0,"",SUM(E265)/SUM(E122,E265))</f>
        <v/>
      </c>
      <c r="F551" s="27">
        <f>IF(SUM(F122,F265)=0,"",SUM(F265)/SUM(F122,F265))</f>
        <v/>
      </c>
      <c r="G551" s="27">
        <f>IF(SUM(G122,G265)=0,"",SUM(G265)/SUM(G122,G265))</f>
        <v/>
      </c>
      <c r="H551" s="27">
        <f>IF(SUM(H122,H265)=0,"",SUM(H265)/SUM(H122,H265))</f>
        <v/>
      </c>
    </row>
    <row r="552" hidden="1" outlineLevel="1">
      <c r="A552" t="inlineStr">
        <is>
          <t>Week1-Sep-2027</t>
        </is>
      </c>
      <c r="B552" s="27">
        <f>IF(SUM(B123,B266)=0,"",SUM(B266)/SUM(B123,B266))</f>
        <v/>
      </c>
      <c r="C552" s="27">
        <f>IF(SUM(C123,C266)=0,"",SUM(C266)/SUM(C123,C266))</f>
        <v/>
      </c>
      <c r="D552" s="27">
        <f>IF(SUM(D123,D266)=0,"",SUM(D266)/SUM(D123,D266))</f>
        <v/>
      </c>
      <c r="E552" s="27">
        <f>IF(SUM(E123,E266)=0,"",SUM(E266)/SUM(E123,E266))</f>
        <v/>
      </c>
      <c r="F552" s="27">
        <f>IF(SUM(F123,F266)=0,"",SUM(F266)/SUM(F123,F266))</f>
        <v/>
      </c>
      <c r="G552" s="27">
        <f>IF(SUM(G123,G266)=0,"",SUM(G266)/SUM(G123,G266))</f>
        <v/>
      </c>
      <c r="H552" s="27">
        <f>IF(SUM(H123,H266)=0,"",SUM(H266)/SUM(H123,H266))</f>
        <v/>
      </c>
    </row>
    <row r="553" hidden="1" outlineLevel="1">
      <c r="A553" t="inlineStr">
        <is>
          <t>Week2-Sep-2027</t>
        </is>
      </c>
      <c r="B553" s="27">
        <f>IF(SUM(B124,B267)=0,"",SUM(B267)/SUM(B124,B267))</f>
        <v/>
      </c>
      <c r="C553" s="27">
        <f>IF(SUM(C124,C267)=0,"",SUM(C267)/SUM(C124,C267))</f>
        <v/>
      </c>
      <c r="D553" s="27">
        <f>IF(SUM(D124,D267)=0,"",SUM(D267)/SUM(D124,D267))</f>
        <v/>
      </c>
      <c r="E553" s="27">
        <f>IF(SUM(E124,E267)=0,"",SUM(E267)/SUM(E124,E267))</f>
        <v/>
      </c>
      <c r="F553" s="27">
        <f>IF(SUM(F124,F267)=0,"",SUM(F267)/SUM(F124,F267))</f>
        <v/>
      </c>
      <c r="G553" s="27">
        <f>IF(SUM(G124,G267)=0,"",SUM(G267)/SUM(G124,G267))</f>
        <v/>
      </c>
      <c r="H553" s="27">
        <f>IF(SUM(H124,H267)=0,"",SUM(H267)/SUM(H124,H267))</f>
        <v/>
      </c>
    </row>
    <row r="554" hidden="1" outlineLevel="1">
      <c r="A554" t="inlineStr">
        <is>
          <t>Week3-Sep-2027</t>
        </is>
      </c>
      <c r="B554" s="27">
        <f>IF(SUM(B125,B268)=0,"",SUM(B268)/SUM(B125,B268))</f>
        <v/>
      </c>
      <c r="C554" s="27">
        <f>IF(SUM(C125,C268)=0,"",SUM(C268)/SUM(C125,C268))</f>
        <v/>
      </c>
      <c r="D554" s="27">
        <f>IF(SUM(D125,D268)=0,"",SUM(D268)/SUM(D125,D268))</f>
        <v/>
      </c>
      <c r="E554" s="27">
        <f>IF(SUM(E125,E268)=0,"",SUM(E268)/SUM(E125,E268))</f>
        <v/>
      </c>
      <c r="F554" s="27">
        <f>IF(SUM(F125,F268)=0,"",SUM(F268)/SUM(F125,F268))</f>
        <v/>
      </c>
      <c r="G554" s="27">
        <f>IF(SUM(G125,G268)=0,"",SUM(G268)/SUM(G125,G268))</f>
        <v/>
      </c>
      <c r="H554" s="27">
        <f>IF(SUM(H125,H268)=0,"",SUM(H268)/SUM(H125,H268))</f>
        <v/>
      </c>
    </row>
    <row r="555" hidden="1" outlineLevel="1">
      <c r="A555" t="inlineStr">
        <is>
          <t>Week4-Sep-2027</t>
        </is>
      </c>
      <c r="B555" s="27">
        <f>IF(SUM(B126,B269)=0,"",SUM(B269)/SUM(B126,B269))</f>
        <v/>
      </c>
      <c r="C555" s="27">
        <f>IF(SUM(C126,C269)=0,"",SUM(C269)/SUM(C126,C269))</f>
        <v/>
      </c>
      <c r="D555" s="27">
        <f>IF(SUM(D126,D269)=0,"",SUM(D269)/SUM(D126,D269))</f>
        <v/>
      </c>
      <c r="E555" s="27">
        <f>IF(SUM(E126,E269)=0,"",SUM(E269)/SUM(E126,E269))</f>
        <v/>
      </c>
      <c r="F555" s="27">
        <f>IF(SUM(F126,F269)=0,"",SUM(F269)/SUM(F126,F269))</f>
        <v/>
      </c>
      <c r="G555" s="27">
        <f>IF(SUM(G126,G269)=0,"",SUM(G269)/SUM(G126,G269))</f>
        <v/>
      </c>
      <c r="H555" s="27">
        <f>IF(SUM(H126,H269)=0,"",SUM(H269)/SUM(H126,H269))</f>
        <v/>
      </c>
    </row>
    <row r="556" hidden="1" outlineLevel="1">
      <c r="A556" t="inlineStr">
        <is>
          <t>Week5-Sep-2027</t>
        </is>
      </c>
      <c r="B556" s="27">
        <f>IF(SUM(B127,B270)=0,"",SUM(B270)/SUM(B127,B270))</f>
        <v/>
      </c>
      <c r="C556" s="27">
        <f>IF(SUM(C127,C270)=0,"",SUM(C270)/SUM(C127,C270))</f>
        <v/>
      </c>
      <c r="D556" s="27">
        <f>IF(SUM(D127,D270)=0,"",SUM(D270)/SUM(D127,D270))</f>
        <v/>
      </c>
      <c r="E556" s="27">
        <f>IF(SUM(E127,E270)=0,"",SUM(E270)/SUM(E127,E270))</f>
        <v/>
      </c>
      <c r="F556" s="27">
        <f>IF(SUM(F127,F270)=0,"",SUM(F270)/SUM(F127,F270))</f>
        <v/>
      </c>
      <c r="G556" s="27">
        <f>IF(SUM(G127,G270)=0,"",SUM(G270)/SUM(G127,G270))</f>
        <v/>
      </c>
      <c r="H556" s="27">
        <f>IF(SUM(H127,H270)=0,"",SUM(H270)/SUM(H127,H270))</f>
        <v/>
      </c>
    </row>
    <row r="557" hidden="1" outlineLevel="1">
      <c r="A557" t="inlineStr">
        <is>
          <t>Week1-Oct-2027</t>
        </is>
      </c>
      <c r="B557" s="27">
        <f>IF(SUM(B128,B271)=0,"",SUM(B271)/SUM(B128,B271))</f>
        <v/>
      </c>
      <c r="C557" s="27">
        <f>IF(SUM(C128,C271)=0,"",SUM(C271)/SUM(C128,C271))</f>
        <v/>
      </c>
      <c r="D557" s="27">
        <f>IF(SUM(D128,D271)=0,"",SUM(D271)/SUM(D128,D271))</f>
        <v/>
      </c>
      <c r="E557" s="27">
        <f>IF(SUM(E128,E271)=0,"",SUM(E271)/SUM(E128,E271))</f>
        <v/>
      </c>
      <c r="F557" s="27">
        <f>IF(SUM(F128,F271)=0,"",SUM(F271)/SUM(F128,F271))</f>
        <v/>
      </c>
      <c r="G557" s="27">
        <f>IF(SUM(G128,G271)=0,"",SUM(G271)/SUM(G128,G271))</f>
        <v/>
      </c>
      <c r="H557" s="27">
        <f>IF(SUM(H128,H271)=0,"",SUM(H271)/SUM(H128,H271))</f>
        <v/>
      </c>
    </row>
    <row r="558" hidden="1" outlineLevel="1">
      <c r="A558" t="inlineStr">
        <is>
          <t>Week2-Oct-2027</t>
        </is>
      </c>
      <c r="B558" s="27">
        <f>IF(SUM(B129,B272)=0,"",SUM(B272)/SUM(B129,B272))</f>
        <v/>
      </c>
      <c r="C558" s="27">
        <f>IF(SUM(C129,C272)=0,"",SUM(C272)/SUM(C129,C272))</f>
        <v/>
      </c>
      <c r="D558" s="27">
        <f>IF(SUM(D129,D272)=0,"",SUM(D272)/SUM(D129,D272))</f>
        <v/>
      </c>
      <c r="E558" s="27">
        <f>IF(SUM(E129,E272)=0,"",SUM(E272)/SUM(E129,E272))</f>
        <v/>
      </c>
      <c r="F558" s="27">
        <f>IF(SUM(F129,F272)=0,"",SUM(F272)/SUM(F129,F272))</f>
        <v/>
      </c>
      <c r="G558" s="27">
        <f>IF(SUM(G129,G272)=0,"",SUM(G272)/SUM(G129,G272))</f>
        <v/>
      </c>
      <c r="H558" s="27">
        <f>IF(SUM(H129,H272)=0,"",SUM(H272)/SUM(H129,H272))</f>
        <v/>
      </c>
    </row>
    <row r="559" hidden="1" outlineLevel="1">
      <c r="A559" t="inlineStr">
        <is>
          <t>Week3-Oct-2027</t>
        </is>
      </c>
      <c r="B559" s="27">
        <f>IF(SUM(B130,B273)=0,"",SUM(B273)/SUM(B130,B273))</f>
        <v/>
      </c>
      <c r="C559" s="27">
        <f>IF(SUM(C130,C273)=0,"",SUM(C273)/SUM(C130,C273))</f>
        <v/>
      </c>
      <c r="D559" s="27">
        <f>IF(SUM(D130,D273)=0,"",SUM(D273)/SUM(D130,D273))</f>
        <v/>
      </c>
      <c r="E559" s="27">
        <f>IF(SUM(E130,E273)=0,"",SUM(E273)/SUM(E130,E273))</f>
        <v/>
      </c>
      <c r="F559" s="27">
        <f>IF(SUM(F130,F273)=0,"",SUM(F273)/SUM(F130,F273))</f>
        <v/>
      </c>
      <c r="G559" s="27">
        <f>IF(SUM(G130,G273)=0,"",SUM(G273)/SUM(G130,G273))</f>
        <v/>
      </c>
      <c r="H559" s="27">
        <f>IF(SUM(H130,H273)=0,"",SUM(H273)/SUM(H130,H273))</f>
        <v/>
      </c>
    </row>
    <row r="560" hidden="1" outlineLevel="1">
      <c r="A560" t="inlineStr">
        <is>
          <t>Week4-Oct-2027</t>
        </is>
      </c>
      <c r="B560" s="27">
        <f>IF(SUM(B131,B274)=0,"",SUM(B274)/SUM(B131,B274))</f>
        <v/>
      </c>
      <c r="C560" s="27">
        <f>IF(SUM(C131,C274)=0,"",SUM(C274)/SUM(C131,C274))</f>
        <v/>
      </c>
      <c r="D560" s="27">
        <f>IF(SUM(D131,D274)=0,"",SUM(D274)/SUM(D131,D274))</f>
        <v/>
      </c>
      <c r="E560" s="27">
        <f>IF(SUM(E131,E274)=0,"",SUM(E274)/SUM(E131,E274))</f>
        <v/>
      </c>
      <c r="F560" s="27">
        <f>IF(SUM(F131,F274)=0,"",SUM(F274)/SUM(F131,F274))</f>
        <v/>
      </c>
      <c r="G560" s="27">
        <f>IF(SUM(G131,G274)=0,"",SUM(G274)/SUM(G131,G274))</f>
        <v/>
      </c>
      <c r="H560" s="27">
        <f>IF(SUM(H131,H274)=0,"",SUM(H274)/SUM(H131,H274))</f>
        <v/>
      </c>
    </row>
    <row r="561" hidden="1" outlineLevel="1">
      <c r="A561" t="inlineStr">
        <is>
          <t>Week5-Oct-2027</t>
        </is>
      </c>
      <c r="B561" s="27">
        <f>IF(SUM(B132,B275)=0,"",SUM(B275)/SUM(B132,B275))</f>
        <v/>
      </c>
      <c r="C561" s="27">
        <f>IF(SUM(C132,C275)=0,"",SUM(C275)/SUM(C132,C275))</f>
        <v/>
      </c>
      <c r="D561" s="27">
        <f>IF(SUM(D132,D275)=0,"",SUM(D275)/SUM(D132,D275))</f>
        <v/>
      </c>
      <c r="E561" s="27">
        <f>IF(SUM(E132,E275)=0,"",SUM(E275)/SUM(E132,E275))</f>
        <v/>
      </c>
      <c r="F561" s="27">
        <f>IF(SUM(F132,F275)=0,"",SUM(F275)/SUM(F132,F275))</f>
        <v/>
      </c>
      <c r="G561" s="27">
        <f>IF(SUM(G132,G275)=0,"",SUM(G275)/SUM(G132,G275))</f>
        <v/>
      </c>
      <c r="H561" s="27">
        <f>IF(SUM(H132,H275)=0,"",SUM(H275)/SUM(H132,H275))</f>
        <v/>
      </c>
    </row>
    <row r="562" hidden="1" outlineLevel="1">
      <c r="A562" t="inlineStr">
        <is>
          <t>Week1-Nov-2027</t>
        </is>
      </c>
      <c r="B562" s="27">
        <f>IF(SUM(B133,B276)=0,"",SUM(B276)/SUM(B133,B276))</f>
        <v/>
      </c>
      <c r="C562" s="27">
        <f>IF(SUM(C133,C276)=0,"",SUM(C276)/SUM(C133,C276))</f>
        <v/>
      </c>
      <c r="D562" s="27">
        <f>IF(SUM(D133,D276)=0,"",SUM(D276)/SUM(D133,D276))</f>
        <v/>
      </c>
      <c r="E562" s="27">
        <f>IF(SUM(E133,E276)=0,"",SUM(E276)/SUM(E133,E276))</f>
        <v/>
      </c>
      <c r="F562" s="27">
        <f>IF(SUM(F133,F276)=0,"",SUM(F276)/SUM(F133,F276))</f>
        <v/>
      </c>
      <c r="G562" s="27">
        <f>IF(SUM(G133,G276)=0,"",SUM(G276)/SUM(G133,G276))</f>
        <v/>
      </c>
      <c r="H562" s="27">
        <f>IF(SUM(H133,H276)=0,"",SUM(H276)/SUM(H133,H276))</f>
        <v/>
      </c>
    </row>
    <row r="563" hidden="1" outlineLevel="1">
      <c r="A563" t="inlineStr">
        <is>
          <t>Week2-Nov-2027</t>
        </is>
      </c>
      <c r="B563" s="27">
        <f>IF(SUM(B134,B277)=0,"",SUM(B277)/SUM(B134,B277))</f>
        <v/>
      </c>
      <c r="C563" s="27">
        <f>IF(SUM(C134,C277)=0,"",SUM(C277)/SUM(C134,C277))</f>
        <v/>
      </c>
      <c r="D563" s="27">
        <f>IF(SUM(D134,D277)=0,"",SUM(D277)/SUM(D134,D277))</f>
        <v/>
      </c>
      <c r="E563" s="27">
        <f>IF(SUM(E134,E277)=0,"",SUM(E277)/SUM(E134,E277))</f>
        <v/>
      </c>
      <c r="F563" s="27">
        <f>IF(SUM(F134,F277)=0,"",SUM(F277)/SUM(F134,F277))</f>
        <v/>
      </c>
      <c r="G563" s="27">
        <f>IF(SUM(G134,G277)=0,"",SUM(G277)/SUM(G134,G277))</f>
        <v/>
      </c>
      <c r="H563" s="27">
        <f>IF(SUM(H134,H277)=0,"",SUM(H277)/SUM(H134,H277))</f>
        <v/>
      </c>
    </row>
    <row r="564" hidden="1" outlineLevel="1">
      <c r="A564" t="inlineStr">
        <is>
          <t>Week3-Nov-2027</t>
        </is>
      </c>
      <c r="B564" s="27">
        <f>IF(SUM(B135,B278)=0,"",SUM(B278)/SUM(B135,B278))</f>
        <v/>
      </c>
      <c r="C564" s="27">
        <f>IF(SUM(C135,C278)=0,"",SUM(C278)/SUM(C135,C278))</f>
        <v/>
      </c>
      <c r="D564" s="27">
        <f>IF(SUM(D135,D278)=0,"",SUM(D278)/SUM(D135,D278))</f>
        <v/>
      </c>
      <c r="E564" s="27">
        <f>IF(SUM(E135,E278)=0,"",SUM(E278)/SUM(E135,E278))</f>
        <v/>
      </c>
      <c r="F564" s="27">
        <f>IF(SUM(F135,F278)=0,"",SUM(F278)/SUM(F135,F278))</f>
        <v/>
      </c>
      <c r="G564" s="27">
        <f>IF(SUM(G135,G278)=0,"",SUM(G278)/SUM(G135,G278))</f>
        <v/>
      </c>
      <c r="H564" s="27">
        <f>IF(SUM(H135,H278)=0,"",SUM(H278)/SUM(H135,H278))</f>
        <v/>
      </c>
    </row>
    <row r="565" hidden="1" outlineLevel="1">
      <c r="A565" t="inlineStr">
        <is>
          <t>Week4-Nov-2027</t>
        </is>
      </c>
      <c r="B565" s="27">
        <f>IF(SUM(B136,B279)=0,"",SUM(B279)/SUM(B136,B279))</f>
        <v/>
      </c>
      <c r="C565" s="27">
        <f>IF(SUM(C136,C279)=0,"",SUM(C279)/SUM(C136,C279))</f>
        <v/>
      </c>
      <c r="D565" s="27">
        <f>IF(SUM(D136,D279)=0,"",SUM(D279)/SUM(D136,D279))</f>
        <v/>
      </c>
      <c r="E565" s="27">
        <f>IF(SUM(E136,E279)=0,"",SUM(E279)/SUM(E136,E279))</f>
        <v/>
      </c>
      <c r="F565" s="27">
        <f>IF(SUM(F136,F279)=0,"",SUM(F279)/SUM(F136,F279))</f>
        <v/>
      </c>
      <c r="G565" s="27">
        <f>IF(SUM(G136,G279)=0,"",SUM(G279)/SUM(G136,G279))</f>
        <v/>
      </c>
      <c r="H565" s="27">
        <f>IF(SUM(H136,H279)=0,"",SUM(H279)/SUM(H136,H279))</f>
        <v/>
      </c>
    </row>
    <row r="566" hidden="1" outlineLevel="1">
      <c r="A566" t="inlineStr">
        <is>
          <t>Week5-Nov-2027</t>
        </is>
      </c>
      <c r="B566" s="27">
        <f>IF(SUM(B137,B280)=0,"",SUM(B280)/SUM(B137,B280))</f>
        <v/>
      </c>
      <c r="C566" s="27">
        <f>IF(SUM(C137,C280)=0,"",SUM(C280)/SUM(C137,C280))</f>
        <v/>
      </c>
      <c r="D566" s="27">
        <f>IF(SUM(D137,D280)=0,"",SUM(D280)/SUM(D137,D280))</f>
        <v/>
      </c>
      <c r="E566" s="27">
        <f>IF(SUM(E137,E280)=0,"",SUM(E280)/SUM(E137,E280))</f>
        <v/>
      </c>
      <c r="F566" s="27">
        <f>IF(SUM(F137,F280)=0,"",SUM(F280)/SUM(F137,F280))</f>
        <v/>
      </c>
      <c r="G566" s="27">
        <f>IF(SUM(G137,G280)=0,"",SUM(G280)/SUM(G137,G280))</f>
        <v/>
      </c>
      <c r="H566" s="27">
        <f>IF(SUM(H137,H280)=0,"",SUM(H280)/SUM(H137,H280))</f>
        <v/>
      </c>
    </row>
    <row r="567" hidden="1" outlineLevel="1">
      <c r="A567" t="inlineStr">
        <is>
          <t>Week1-Dec-2027</t>
        </is>
      </c>
      <c r="B567" s="27">
        <f>IF(SUM(B138,B281)=0,"",SUM(B281)/SUM(B138,B281))</f>
        <v/>
      </c>
      <c r="C567" s="27">
        <f>IF(SUM(C138,C281)=0,"",SUM(C281)/SUM(C138,C281))</f>
        <v/>
      </c>
      <c r="D567" s="27">
        <f>IF(SUM(D138,D281)=0,"",SUM(D281)/SUM(D138,D281))</f>
        <v/>
      </c>
      <c r="E567" s="27">
        <f>IF(SUM(E138,E281)=0,"",SUM(E281)/SUM(E138,E281))</f>
        <v/>
      </c>
      <c r="F567" s="27">
        <f>IF(SUM(F138,F281)=0,"",SUM(F281)/SUM(F138,F281))</f>
        <v/>
      </c>
      <c r="G567" s="27">
        <f>IF(SUM(G138,G281)=0,"",SUM(G281)/SUM(G138,G281))</f>
        <v/>
      </c>
      <c r="H567" s="27">
        <f>IF(SUM(H138,H281)=0,"",SUM(H281)/SUM(H138,H281))</f>
        <v/>
      </c>
    </row>
    <row r="568" hidden="1" outlineLevel="1">
      <c r="A568" t="inlineStr">
        <is>
          <t>Week2-Dec-2027</t>
        </is>
      </c>
      <c r="B568" s="27">
        <f>IF(SUM(B139,B282)=0,"",SUM(B282)/SUM(B139,B282))</f>
        <v/>
      </c>
      <c r="C568" s="27">
        <f>IF(SUM(C139,C282)=0,"",SUM(C282)/SUM(C139,C282))</f>
        <v/>
      </c>
      <c r="D568" s="27">
        <f>IF(SUM(D139,D282)=0,"",SUM(D282)/SUM(D139,D282))</f>
        <v/>
      </c>
      <c r="E568" s="27">
        <f>IF(SUM(E139,E282)=0,"",SUM(E282)/SUM(E139,E282))</f>
        <v/>
      </c>
      <c r="F568" s="27">
        <f>IF(SUM(F139,F282)=0,"",SUM(F282)/SUM(F139,F282))</f>
        <v/>
      </c>
      <c r="G568" s="27">
        <f>IF(SUM(G139,G282)=0,"",SUM(G282)/SUM(G139,G282))</f>
        <v/>
      </c>
      <c r="H568" s="27">
        <f>IF(SUM(H139,H282)=0,"",SUM(H282)/SUM(H139,H282))</f>
        <v/>
      </c>
    </row>
    <row r="569" hidden="1" outlineLevel="1">
      <c r="A569" t="inlineStr">
        <is>
          <t>Week3-Dec-2027</t>
        </is>
      </c>
      <c r="B569" s="27">
        <f>IF(SUM(B140,B283)=0,"",SUM(B283)/SUM(B140,B283))</f>
        <v/>
      </c>
      <c r="C569" s="27">
        <f>IF(SUM(C140,C283)=0,"",SUM(C283)/SUM(C140,C283))</f>
        <v/>
      </c>
      <c r="D569" s="27">
        <f>IF(SUM(D140,D283)=0,"",SUM(D283)/SUM(D140,D283))</f>
        <v/>
      </c>
      <c r="E569" s="27">
        <f>IF(SUM(E140,E283)=0,"",SUM(E283)/SUM(E140,E283))</f>
        <v/>
      </c>
      <c r="F569" s="27">
        <f>IF(SUM(F140,F283)=0,"",SUM(F283)/SUM(F140,F283))</f>
        <v/>
      </c>
      <c r="G569" s="27">
        <f>IF(SUM(G140,G283)=0,"",SUM(G283)/SUM(G140,G283))</f>
        <v/>
      </c>
      <c r="H569" s="27">
        <f>IF(SUM(H140,H283)=0,"",SUM(H283)/SUM(H140,H283))</f>
        <v/>
      </c>
    </row>
    <row r="570" hidden="1" outlineLevel="1">
      <c r="A570" t="inlineStr">
        <is>
          <t>Week4-Dec-2027</t>
        </is>
      </c>
      <c r="B570" s="27">
        <f>IF(SUM(B141,B284)=0,"",SUM(B284)/SUM(B141,B284))</f>
        <v/>
      </c>
      <c r="C570" s="27">
        <f>IF(SUM(C141,C284)=0,"",SUM(C284)/SUM(C141,C284))</f>
        <v/>
      </c>
      <c r="D570" s="27">
        <f>IF(SUM(D141,D284)=0,"",SUM(D284)/SUM(D141,D284))</f>
        <v/>
      </c>
      <c r="E570" s="27">
        <f>IF(SUM(E141,E284)=0,"",SUM(E284)/SUM(E141,E284))</f>
        <v/>
      </c>
      <c r="F570" s="27">
        <f>IF(SUM(F141,F284)=0,"",SUM(F284)/SUM(F141,F284))</f>
        <v/>
      </c>
      <c r="G570" s="27">
        <f>IF(SUM(G141,G284)=0,"",SUM(G284)/SUM(G141,G284))</f>
        <v/>
      </c>
      <c r="H570" s="27">
        <f>IF(SUM(H141,H284)=0,"",SUM(H284)/SUM(H141,H284))</f>
        <v/>
      </c>
    </row>
    <row r="571" hidden="1" outlineLevel="1">
      <c r="A571" t="inlineStr">
        <is>
          <t>Week5-Dec-2027</t>
        </is>
      </c>
      <c r="B571" s="27">
        <f>IF(SUM(B142,B285)=0,"",SUM(B285)/SUM(B142,B285))</f>
        <v/>
      </c>
      <c r="C571" s="27">
        <f>IF(SUM(C142,C285)=0,"",SUM(C285)/SUM(C142,C285))</f>
        <v/>
      </c>
      <c r="D571" s="27">
        <f>IF(SUM(D142,D285)=0,"",SUM(D285)/SUM(D142,D285))</f>
        <v/>
      </c>
      <c r="E571" s="27">
        <f>IF(SUM(E142,E285)=0,"",SUM(E285)/SUM(E142,E285))</f>
        <v/>
      </c>
      <c r="F571" s="27">
        <f>IF(SUM(F142,F285)=0,"",SUM(F285)/SUM(F142,F285))</f>
        <v/>
      </c>
      <c r="G571" s="27">
        <f>IF(SUM(G142,G285)=0,"",SUM(G285)/SUM(G142,G285))</f>
        <v/>
      </c>
      <c r="H571" s="27">
        <f>IF(SUM(H142,H285)=0,"",SUM(H285)/SUM(H142,H285))</f>
        <v/>
      </c>
    </row>
    <row r="572" collapsed="1">
      <c r="A572" s="32" t="inlineStr">
        <is>
          <t>Total</t>
        </is>
      </c>
      <c r="B572" s="34">
        <f>IF(SUM(B143,B286)=0,"",SUM(B286)/SUM(B143,B286))</f>
        <v/>
      </c>
      <c r="C572" s="34">
        <f>IF(SUM(C143,C286)=0,"",SUM(C286)/SUM(C143,C286))</f>
        <v/>
      </c>
      <c r="D572" s="34">
        <f>IF(SUM(D143,D286)=0,"",SUM(D286)/SUM(D143,D286))</f>
        <v/>
      </c>
      <c r="E572" s="34">
        <f>IF(SUM(E143,E286)=0,"",SUM(E286)/SUM(E143,E286))</f>
        <v/>
      </c>
      <c r="F572" s="34">
        <f>IF(SUM(F143,F286)=0,"",SUM(F286)/SUM(F143,F286))</f>
        <v/>
      </c>
      <c r="G572" s="34">
        <f>IF(SUM(G143,G286)=0,"",SUM(G286)/SUM(G143,G286))</f>
        <v/>
      </c>
      <c r="H572" s="34">
        <f>IF(SUM(H143,H286)=0,"",SUM(H286)/SUM(H143,H286))</f>
        <v/>
      </c>
    </row>
    <row r="576">
      <c r="A576" t="inlineStr">
        <is>
          <t>Mean</t>
        </is>
      </c>
      <c r="B576" s="27">
        <f>AVERAGE(B434:B483)</f>
        <v/>
      </c>
      <c r="C576" s="27">
        <f>AVERAGE(C434:C483)</f>
        <v/>
      </c>
      <c r="D576" s="27">
        <f>AVERAGE(D434:D483)</f>
        <v/>
      </c>
      <c r="E576" s="27">
        <f>AVERAGE(E434:E483)</f>
        <v/>
      </c>
      <c r="F576" s="27">
        <f>AVERAGE(F434:F483)</f>
        <v/>
      </c>
      <c r="G576" s="27">
        <f>AVERAGE(G434:G483)</f>
        <v/>
      </c>
      <c r="H576" s="27">
        <f>AVERAGE(H434:H483)</f>
        <v/>
      </c>
    </row>
    <row r="577">
      <c r="A577" t="inlineStr">
        <is>
          <t>SD</t>
        </is>
      </c>
      <c r="B577" s="27">
        <f>_xlfn.STDEV.P(B434:B487)</f>
        <v/>
      </c>
      <c r="C577" s="27">
        <f>_xlfn.STDEV.P(C434:C487)</f>
        <v/>
      </c>
      <c r="D577" s="27">
        <f>_xlfn.STDEV.P(D434:D487)</f>
        <v/>
      </c>
      <c r="E577" s="27">
        <f>_xlfn.STDEV.P(E434:E487)</f>
        <v/>
      </c>
      <c r="F577" s="27">
        <f>_xlfn.STDEV.P(F434:F487)</f>
        <v/>
      </c>
      <c r="G577" s="27">
        <f>_xlfn.STDEV.P(G434:G487)</f>
        <v/>
      </c>
      <c r="H577" s="27">
        <f>_xlfn.STDEV.P(H434:H487)</f>
        <v/>
      </c>
    </row>
    <row r="578">
      <c r="A578" t="inlineStr">
        <is>
          <t>Max</t>
        </is>
      </c>
      <c r="B578" s="27">
        <f>MAX(B434:B487)</f>
        <v/>
      </c>
      <c r="C578" s="27">
        <f>MAX(C434:C487)</f>
        <v/>
      </c>
      <c r="D578" s="27">
        <f>MAX(D434:D487)</f>
        <v/>
      </c>
      <c r="E578" s="27">
        <f>MAX(E434:E487)</f>
        <v/>
      </c>
      <c r="F578" s="27">
        <f>MAX(F434:F487)</f>
        <v/>
      </c>
      <c r="G578" s="27">
        <f>MAX(G434:G487)</f>
        <v/>
      </c>
      <c r="H578" s="27">
        <f>MAX(H434:H487)</f>
        <v/>
      </c>
    </row>
    <row r="579">
      <c r="A579" t="inlineStr">
        <is>
          <t>Min</t>
        </is>
      </c>
      <c r="B579" s="27">
        <f>MIN(B434:B487)</f>
        <v/>
      </c>
      <c r="C579" s="27">
        <f>MIN(C434:C487)</f>
        <v/>
      </c>
      <c r="D579" s="27">
        <f>MIN(D434:D487)</f>
        <v/>
      </c>
      <c r="E579" s="27">
        <f>MIN(E434:E487)</f>
        <v/>
      </c>
      <c r="F579" s="27">
        <f>MIN(F434:F487)</f>
        <v/>
      </c>
      <c r="G579" s="27">
        <f>MIN(G434:G487)</f>
        <v/>
      </c>
      <c r="H579" s="27">
        <f>MIN(H434:H487)</f>
        <v/>
      </c>
    </row>
  </sheetData>
  <conditionalFormatting sqref="B291:B4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4:B57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1:C4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4:C57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1:D4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4:D57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1:E4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4:E57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1:F4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4:F57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1:G4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4:G57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1:H4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4:H57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72"/>
  <sheetViews>
    <sheetView showGridLines="0" workbookViewId="0">
      <selection activeCell="O27" sqref="O27"/>
    </sheetView>
  </sheetViews>
  <sheetFormatPr baseColWidth="10" defaultColWidth="8.83203125" defaultRowHeight="16" outlineLevelRow="1"/>
  <cols>
    <col width="20" customWidth="1" min="1" max="1"/>
    <col width="16" customWidth="1" min="2" max="8"/>
    <col width="22" customWidth="1" min="11" max="11"/>
    <col width="8" customWidth="1" min="12" max="12"/>
  </cols>
  <sheetData>
    <row r="1">
      <c r="A1" s="32" t="inlineStr">
        <is>
          <t>Weekly Time Series by Trade Day — NSE vs BSE (all index options), Expiry Type 2 = Monthly (Sep-2025 onwards, live)</t>
        </is>
      </c>
      <c r="K1" s="28" t="inlineStr">
        <is>
          <t>Cuts / Scope</t>
        </is>
      </c>
    </row>
    <row r="2">
      <c r="A2" s="48" t="inlineStr">
        <is>
          <t xml:space="preserve">Same week x day matrices as Analysis3 but only MONTHLY premium (Expiry Type 2 = Monthly, i.e. monthly contracts trading MORE than 6 days before expiry). </t>
        </is>
      </c>
      <c r="K2" t="inlineStr">
        <is>
          <t>Index Options</t>
        </is>
      </c>
      <c r="L2" s="56" t="inlineStr">
        <is>
          <t>Yes</t>
        </is>
      </c>
    </row>
    <row r="3">
      <c r="A3" s="32" t="inlineStr">
        <is>
          <t>NSE Premium Turnover (INR Bn)</t>
        </is>
      </c>
      <c r="K3" t="inlineStr">
        <is>
          <t>Stock Options</t>
        </is>
      </c>
      <c r="L3" s="49" t="inlineStr">
        <is>
          <t>No</t>
        </is>
      </c>
    </row>
    <row r="4">
      <c r="A4" s="32" t="inlineStr">
        <is>
          <t>Trade Week-Month-Year</t>
        </is>
      </c>
      <c r="B4" s="32" t="inlineStr">
        <is>
          <t>Monday</t>
        </is>
      </c>
      <c r="C4" s="32" t="inlineStr">
        <is>
          <t>Tuesday</t>
        </is>
      </c>
      <c r="D4" s="32" t="inlineStr">
        <is>
          <t>Wednesday</t>
        </is>
      </c>
      <c r="E4" s="32" t="inlineStr">
        <is>
          <t>Thursday</t>
        </is>
      </c>
      <c r="F4" s="32" t="inlineStr">
        <is>
          <t>Friday</t>
        </is>
      </c>
      <c r="G4" s="32" t="inlineStr">
        <is>
          <t>Sunday</t>
        </is>
      </c>
      <c r="H4" s="32" t="inlineStr">
        <is>
          <t>Total</t>
        </is>
      </c>
      <c r="K4" t="inlineStr">
        <is>
          <t>Index Futures</t>
        </is>
      </c>
      <c r="L4" s="49" t="inlineStr">
        <is>
          <t>No</t>
        </is>
      </c>
    </row>
    <row r="5">
      <c r="A5" t="inlineStr">
        <is>
          <t>Week1-Sep-2025</t>
        </is>
      </c>
      <c r="B5" s="26">
        <f>IF(SUMIFS('NSE - NIFTY Index Options'!$M:$M,'NSE - NIFTY Index Options'!$C:$C,$A5,'NSE - NIFTY Index Options'!$B:$B,B$4,'NSE - NIFTY Index Options'!$I:$I,"Monthly*")+SUMIFS('NSE - Other Index Options'!$M:$M,'NSE - Other Index Options'!$C:$C,$A5,'NSE - Other Index Options'!$B:$B,B$4,'NSE - Other Index Options'!$I:$I,"Monthly*")=0,"",SUMIFS('NSE - NIFTY Index Options'!$M:$M,'NSE - NIFTY Index Options'!$C:$C,$A5,'NSE - NIFTY Index Options'!$B:$B,B$4,'NSE - NIFTY Index Options'!$I:$I,"Monthly*")+SUMIFS('NSE - Other Index Options'!$M:$M,'NSE - Other Index Options'!$C:$C,$A5,'NSE - Other Index Options'!$B:$B,B$4,'NSE - Other Index Options'!$I:$I,"Monthly*"))</f>
        <v/>
      </c>
      <c r="C5" s="26">
        <f>IF(SUMIFS('NSE - NIFTY Index Options'!$M:$M,'NSE - NIFTY Index Options'!$C:$C,$A5,'NSE - NIFTY Index Options'!$B:$B,C$4,'NSE - NIFTY Index Options'!$I:$I,"Monthly*")+SUMIFS('NSE - Other Index Options'!$M:$M,'NSE - Other Index Options'!$C:$C,$A5,'NSE - Other Index Options'!$B:$B,C$4,'NSE - Other Index Options'!$I:$I,"Monthly*")=0,"",SUMIFS('NSE - NIFTY Index Options'!$M:$M,'NSE - NIFTY Index Options'!$C:$C,$A5,'NSE - NIFTY Index Options'!$B:$B,C$4,'NSE - NIFTY Index Options'!$I:$I,"Monthly*")+SUMIFS('NSE - Other Index Options'!$M:$M,'NSE - Other Index Options'!$C:$C,$A5,'NSE - Other Index Options'!$B:$B,C$4,'NSE - Other Index Options'!$I:$I,"Monthly*"))</f>
        <v/>
      </c>
      <c r="D5" s="26">
        <f>IF(SUMIFS('NSE - NIFTY Index Options'!$M:$M,'NSE - NIFTY Index Options'!$C:$C,$A5,'NSE - NIFTY Index Options'!$B:$B,D$4,'NSE - NIFTY Index Options'!$I:$I,"Monthly*")+SUMIFS('NSE - Other Index Options'!$M:$M,'NSE - Other Index Options'!$C:$C,$A5,'NSE - Other Index Options'!$B:$B,D$4,'NSE - Other Index Options'!$I:$I,"Monthly*")=0,"",SUMIFS('NSE - NIFTY Index Options'!$M:$M,'NSE - NIFTY Index Options'!$C:$C,$A5,'NSE - NIFTY Index Options'!$B:$B,D$4,'NSE - NIFTY Index Options'!$I:$I,"Monthly*")+SUMIFS('NSE - Other Index Options'!$M:$M,'NSE - Other Index Options'!$C:$C,$A5,'NSE - Other Index Options'!$B:$B,D$4,'NSE - Other Index Options'!$I:$I,"Monthly*"))</f>
        <v/>
      </c>
      <c r="E5" s="26">
        <f>IF(SUMIFS('NSE - NIFTY Index Options'!$M:$M,'NSE - NIFTY Index Options'!$C:$C,$A5,'NSE - NIFTY Index Options'!$B:$B,E$4,'NSE - NIFTY Index Options'!$I:$I,"Monthly*")+SUMIFS('NSE - Other Index Options'!$M:$M,'NSE - Other Index Options'!$C:$C,$A5,'NSE - Other Index Options'!$B:$B,E$4,'NSE - Other Index Options'!$I:$I,"Monthly*")=0,"",SUMIFS('NSE - NIFTY Index Options'!$M:$M,'NSE - NIFTY Index Options'!$C:$C,$A5,'NSE - NIFTY Index Options'!$B:$B,E$4,'NSE - NIFTY Index Options'!$I:$I,"Monthly*")+SUMIFS('NSE - Other Index Options'!$M:$M,'NSE - Other Index Options'!$C:$C,$A5,'NSE - Other Index Options'!$B:$B,E$4,'NSE - Other Index Options'!$I:$I,"Monthly*"))</f>
        <v/>
      </c>
      <c r="F5" s="26">
        <f>IF(SUMIFS('NSE - NIFTY Index Options'!$M:$M,'NSE - NIFTY Index Options'!$C:$C,$A5,'NSE - NIFTY Index Options'!$B:$B,F$4,'NSE - NIFTY Index Options'!$I:$I,"Monthly*")+SUMIFS('NSE - Other Index Options'!$M:$M,'NSE - Other Index Options'!$C:$C,$A5,'NSE - Other Index Options'!$B:$B,F$4,'NSE - Other Index Options'!$I:$I,"Monthly*")=0,"",SUMIFS('NSE - NIFTY Index Options'!$M:$M,'NSE - NIFTY Index Options'!$C:$C,$A5,'NSE - NIFTY Index Options'!$B:$B,F$4,'NSE - NIFTY Index Options'!$I:$I,"Monthly*")+SUMIFS('NSE - Other Index Options'!$M:$M,'NSE - Other Index Options'!$C:$C,$A5,'NSE - Other Index Options'!$B:$B,F$4,'NSE - Other Index Options'!$I:$I,"Monthly*"))</f>
        <v/>
      </c>
      <c r="G5" s="26">
        <f>IF(SUMIFS('NSE - NIFTY Index Options'!$M:$M,'NSE - NIFTY Index Options'!$C:$C,$A5,'NSE - NIFTY Index Options'!$B:$B,G$4,'NSE - NIFTY Index Options'!$I:$I,"Monthly*")+SUMIFS('NSE - Other Index Options'!$M:$M,'NSE - Other Index Options'!$C:$C,$A5,'NSE - Other Index Options'!$B:$B,G$4,'NSE - Other Index Options'!$I:$I,"Monthly*")=0,"",SUMIFS('NSE - NIFTY Index Options'!$M:$M,'NSE - NIFTY Index Options'!$C:$C,$A5,'NSE - NIFTY Index Options'!$B:$B,G$4,'NSE - NIFTY Index Options'!$I:$I,"Monthly*")+SUMIFS('NSE - Other Index Options'!$M:$M,'NSE - Other Index Options'!$C:$C,$A5,'NSE - Other Index Options'!$B:$B,G$4,'NSE - Other Index Options'!$I:$I,"Monthly*"))</f>
        <v/>
      </c>
      <c r="H5" s="26">
        <f>IF(SUM(B5:G5)=0,"",SUM(B5:G5))</f>
        <v/>
      </c>
      <c r="K5" t="inlineStr">
        <is>
          <t>NSE</t>
        </is>
      </c>
      <c r="L5" s="56" t="inlineStr">
        <is>
          <t>Yes</t>
        </is>
      </c>
    </row>
    <row r="6">
      <c r="A6" t="inlineStr">
        <is>
          <t>Week2-Sep-2025</t>
        </is>
      </c>
      <c r="B6" s="26">
        <f>IF(SUMIFS('NSE - NIFTY Index Options'!$M:$M,'NSE - NIFTY Index Options'!$C:$C,$A6,'NSE - NIFTY Index Options'!$B:$B,B$4,'NSE - NIFTY Index Options'!$I:$I,"Monthly*")+SUMIFS('NSE - Other Index Options'!$M:$M,'NSE - Other Index Options'!$C:$C,$A6,'NSE - Other Index Options'!$B:$B,B$4,'NSE - Other Index Options'!$I:$I,"Monthly*")=0,"",SUMIFS('NSE - NIFTY Index Options'!$M:$M,'NSE - NIFTY Index Options'!$C:$C,$A6,'NSE - NIFTY Index Options'!$B:$B,B$4,'NSE - NIFTY Index Options'!$I:$I,"Monthly*")+SUMIFS('NSE - Other Index Options'!$M:$M,'NSE - Other Index Options'!$C:$C,$A6,'NSE - Other Index Options'!$B:$B,B$4,'NSE - Other Index Options'!$I:$I,"Monthly*"))</f>
        <v/>
      </c>
      <c r="C6" s="26">
        <f>IF(SUMIFS('NSE - NIFTY Index Options'!$M:$M,'NSE - NIFTY Index Options'!$C:$C,$A6,'NSE - NIFTY Index Options'!$B:$B,C$4,'NSE - NIFTY Index Options'!$I:$I,"Monthly*")+SUMIFS('NSE - Other Index Options'!$M:$M,'NSE - Other Index Options'!$C:$C,$A6,'NSE - Other Index Options'!$B:$B,C$4,'NSE - Other Index Options'!$I:$I,"Monthly*")=0,"",SUMIFS('NSE - NIFTY Index Options'!$M:$M,'NSE - NIFTY Index Options'!$C:$C,$A6,'NSE - NIFTY Index Options'!$B:$B,C$4,'NSE - NIFTY Index Options'!$I:$I,"Monthly*")+SUMIFS('NSE - Other Index Options'!$M:$M,'NSE - Other Index Options'!$C:$C,$A6,'NSE - Other Index Options'!$B:$B,C$4,'NSE - Other Index Options'!$I:$I,"Monthly*"))</f>
        <v/>
      </c>
      <c r="D6" s="26">
        <f>IF(SUMIFS('NSE - NIFTY Index Options'!$M:$M,'NSE - NIFTY Index Options'!$C:$C,$A6,'NSE - NIFTY Index Options'!$B:$B,D$4,'NSE - NIFTY Index Options'!$I:$I,"Monthly*")+SUMIFS('NSE - Other Index Options'!$M:$M,'NSE - Other Index Options'!$C:$C,$A6,'NSE - Other Index Options'!$B:$B,D$4,'NSE - Other Index Options'!$I:$I,"Monthly*")=0,"",SUMIFS('NSE - NIFTY Index Options'!$M:$M,'NSE - NIFTY Index Options'!$C:$C,$A6,'NSE - NIFTY Index Options'!$B:$B,D$4,'NSE - NIFTY Index Options'!$I:$I,"Monthly*")+SUMIFS('NSE - Other Index Options'!$M:$M,'NSE - Other Index Options'!$C:$C,$A6,'NSE - Other Index Options'!$B:$B,D$4,'NSE - Other Index Options'!$I:$I,"Monthly*"))</f>
        <v/>
      </c>
      <c r="E6" s="26">
        <f>IF(SUMIFS('NSE - NIFTY Index Options'!$M:$M,'NSE - NIFTY Index Options'!$C:$C,$A6,'NSE - NIFTY Index Options'!$B:$B,E$4,'NSE - NIFTY Index Options'!$I:$I,"Monthly*")+SUMIFS('NSE - Other Index Options'!$M:$M,'NSE - Other Index Options'!$C:$C,$A6,'NSE - Other Index Options'!$B:$B,E$4,'NSE - Other Index Options'!$I:$I,"Monthly*")=0,"",SUMIFS('NSE - NIFTY Index Options'!$M:$M,'NSE - NIFTY Index Options'!$C:$C,$A6,'NSE - NIFTY Index Options'!$B:$B,E$4,'NSE - NIFTY Index Options'!$I:$I,"Monthly*")+SUMIFS('NSE - Other Index Options'!$M:$M,'NSE - Other Index Options'!$C:$C,$A6,'NSE - Other Index Options'!$B:$B,E$4,'NSE - Other Index Options'!$I:$I,"Monthly*"))</f>
        <v/>
      </c>
      <c r="F6" s="26">
        <f>IF(SUMIFS('NSE - NIFTY Index Options'!$M:$M,'NSE - NIFTY Index Options'!$C:$C,$A6,'NSE - NIFTY Index Options'!$B:$B,F$4,'NSE - NIFTY Index Options'!$I:$I,"Monthly*")+SUMIFS('NSE - Other Index Options'!$M:$M,'NSE - Other Index Options'!$C:$C,$A6,'NSE - Other Index Options'!$B:$B,F$4,'NSE - Other Index Options'!$I:$I,"Monthly*")=0,"",SUMIFS('NSE - NIFTY Index Options'!$M:$M,'NSE - NIFTY Index Options'!$C:$C,$A6,'NSE - NIFTY Index Options'!$B:$B,F$4,'NSE - NIFTY Index Options'!$I:$I,"Monthly*")+SUMIFS('NSE - Other Index Options'!$M:$M,'NSE - Other Index Options'!$C:$C,$A6,'NSE - Other Index Options'!$B:$B,F$4,'NSE - Other Index Options'!$I:$I,"Monthly*"))</f>
        <v/>
      </c>
      <c r="G6" s="26">
        <f>IF(SUMIFS('NSE - NIFTY Index Options'!$M:$M,'NSE - NIFTY Index Options'!$C:$C,$A6,'NSE - NIFTY Index Options'!$B:$B,G$4,'NSE - NIFTY Index Options'!$I:$I,"Monthly*")+SUMIFS('NSE - Other Index Options'!$M:$M,'NSE - Other Index Options'!$C:$C,$A6,'NSE - Other Index Options'!$B:$B,G$4,'NSE - Other Index Options'!$I:$I,"Monthly*")=0,"",SUMIFS('NSE - NIFTY Index Options'!$M:$M,'NSE - NIFTY Index Options'!$C:$C,$A6,'NSE - NIFTY Index Options'!$B:$B,G$4,'NSE - NIFTY Index Options'!$I:$I,"Monthly*")+SUMIFS('NSE - Other Index Options'!$M:$M,'NSE - Other Index Options'!$C:$C,$A6,'NSE - Other Index Options'!$B:$B,G$4,'NSE - Other Index Options'!$I:$I,"Monthly*"))</f>
        <v/>
      </c>
      <c r="H6" s="26">
        <f>IF(SUM(B6:G6)=0,"",SUM(B6:G6))</f>
        <v/>
      </c>
      <c r="K6" t="inlineStr">
        <is>
          <t>BSE</t>
        </is>
      </c>
      <c r="L6" s="56" t="inlineStr">
        <is>
          <t>Yes</t>
        </is>
      </c>
    </row>
    <row r="7">
      <c r="A7" t="inlineStr">
        <is>
          <t>Week3-Sep-2025</t>
        </is>
      </c>
      <c r="B7" s="26">
        <f>IF(SUMIFS('NSE - NIFTY Index Options'!$M:$M,'NSE - NIFTY Index Options'!$C:$C,$A7,'NSE - NIFTY Index Options'!$B:$B,B$4,'NSE - NIFTY Index Options'!$I:$I,"Monthly*")+SUMIFS('NSE - Other Index Options'!$M:$M,'NSE - Other Index Options'!$C:$C,$A7,'NSE - Other Index Options'!$B:$B,B$4,'NSE - Other Index Options'!$I:$I,"Monthly*")=0,"",SUMIFS('NSE - NIFTY Index Options'!$M:$M,'NSE - NIFTY Index Options'!$C:$C,$A7,'NSE - NIFTY Index Options'!$B:$B,B$4,'NSE - NIFTY Index Options'!$I:$I,"Monthly*")+SUMIFS('NSE - Other Index Options'!$M:$M,'NSE - Other Index Options'!$C:$C,$A7,'NSE - Other Index Options'!$B:$B,B$4,'NSE - Other Index Options'!$I:$I,"Monthly*"))</f>
        <v/>
      </c>
      <c r="C7" s="26">
        <f>IF(SUMIFS('NSE - NIFTY Index Options'!$M:$M,'NSE - NIFTY Index Options'!$C:$C,$A7,'NSE - NIFTY Index Options'!$B:$B,C$4,'NSE - NIFTY Index Options'!$I:$I,"Monthly*")+SUMIFS('NSE - Other Index Options'!$M:$M,'NSE - Other Index Options'!$C:$C,$A7,'NSE - Other Index Options'!$B:$B,C$4,'NSE - Other Index Options'!$I:$I,"Monthly*")=0,"",SUMIFS('NSE - NIFTY Index Options'!$M:$M,'NSE - NIFTY Index Options'!$C:$C,$A7,'NSE - NIFTY Index Options'!$B:$B,C$4,'NSE - NIFTY Index Options'!$I:$I,"Monthly*")+SUMIFS('NSE - Other Index Options'!$M:$M,'NSE - Other Index Options'!$C:$C,$A7,'NSE - Other Index Options'!$B:$B,C$4,'NSE - Other Index Options'!$I:$I,"Monthly*"))</f>
        <v/>
      </c>
      <c r="D7" s="26">
        <f>IF(SUMIFS('NSE - NIFTY Index Options'!$M:$M,'NSE - NIFTY Index Options'!$C:$C,$A7,'NSE - NIFTY Index Options'!$B:$B,D$4,'NSE - NIFTY Index Options'!$I:$I,"Monthly*")+SUMIFS('NSE - Other Index Options'!$M:$M,'NSE - Other Index Options'!$C:$C,$A7,'NSE - Other Index Options'!$B:$B,D$4,'NSE - Other Index Options'!$I:$I,"Monthly*")=0,"",SUMIFS('NSE - NIFTY Index Options'!$M:$M,'NSE - NIFTY Index Options'!$C:$C,$A7,'NSE - NIFTY Index Options'!$B:$B,D$4,'NSE - NIFTY Index Options'!$I:$I,"Monthly*")+SUMIFS('NSE - Other Index Options'!$M:$M,'NSE - Other Index Options'!$C:$C,$A7,'NSE - Other Index Options'!$B:$B,D$4,'NSE - Other Index Options'!$I:$I,"Monthly*"))</f>
        <v/>
      </c>
      <c r="E7" s="26">
        <f>IF(SUMIFS('NSE - NIFTY Index Options'!$M:$M,'NSE - NIFTY Index Options'!$C:$C,$A7,'NSE - NIFTY Index Options'!$B:$B,E$4,'NSE - NIFTY Index Options'!$I:$I,"Monthly*")+SUMIFS('NSE - Other Index Options'!$M:$M,'NSE - Other Index Options'!$C:$C,$A7,'NSE - Other Index Options'!$B:$B,E$4,'NSE - Other Index Options'!$I:$I,"Monthly*")=0,"",SUMIFS('NSE - NIFTY Index Options'!$M:$M,'NSE - NIFTY Index Options'!$C:$C,$A7,'NSE - NIFTY Index Options'!$B:$B,E$4,'NSE - NIFTY Index Options'!$I:$I,"Monthly*")+SUMIFS('NSE - Other Index Options'!$M:$M,'NSE - Other Index Options'!$C:$C,$A7,'NSE - Other Index Options'!$B:$B,E$4,'NSE - Other Index Options'!$I:$I,"Monthly*"))</f>
        <v/>
      </c>
      <c r="F7" s="26">
        <f>IF(SUMIFS('NSE - NIFTY Index Options'!$M:$M,'NSE - NIFTY Index Options'!$C:$C,$A7,'NSE - NIFTY Index Options'!$B:$B,F$4,'NSE - NIFTY Index Options'!$I:$I,"Monthly*")+SUMIFS('NSE - Other Index Options'!$M:$M,'NSE - Other Index Options'!$C:$C,$A7,'NSE - Other Index Options'!$B:$B,F$4,'NSE - Other Index Options'!$I:$I,"Monthly*")=0,"",SUMIFS('NSE - NIFTY Index Options'!$M:$M,'NSE - NIFTY Index Options'!$C:$C,$A7,'NSE - NIFTY Index Options'!$B:$B,F$4,'NSE - NIFTY Index Options'!$I:$I,"Monthly*")+SUMIFS('NSE - Other Index Options'!$M:$M,'NSE - Other Index Options'!$C:$C,$A7,'NSE - Other Index Options'!$B:$B,F$4,'NSE - Other Index Options'!$I:$I,"Monthly*"))</f>
        <v/>
      </c>
      <c r="G7" s="26">
        <f>IF(SUMIFS('NSE - NIFTY Index Options'!$M:$M,'NSE - NIFTY Index Options'!$C:$C,$A7,'NSE - NIFTY Index Options'!$B:$B,G$4,'NSE - NIFTY Index Options'!$I:$I,"Monthly*")+SUMIFS('NSE - Other Index Options'!$M:$M,'NSE - Other Index Options'!$C:$C,$A7,'NSE - Other Index Options'!$B:$B,G$4,'NSE - Other Index Options'!$I:$I,"Monthly*")=0,"",SUMIFS('NSE - NIFTY Index Options'!$M:$M,'NSE - NIFTY Index Options'!$C:$C,$A7,'NSE - NIFTY Index Options'!$B:$B,G$4,'NSE - NIFTY Index Options'!$I:$I,"Monthly*")+SUMIFS('NSE - Other Index Options'!$M:$M,'NSE - Other Index Options'!$C:$C,$A7,'NSE - Other Index Options'!$B:$B,G$4,'NSE - Other Index Options'!$I:$I,"Monthly*"))</f>
        <v/>
      </c>
      <c r="H7" s="26">
        <f>IF(SUM(B7:G7)=0,"",SUM(B7:G7))</f>
        <v/>
      </c>
      <c r="K7" t="inlineStr">
        <is>
          <t>NIFTY Index</t>
        </is>
      </c>
      <c r="L7" s="56" t="inlineStr">
        <is>
          <t>Yes</t>
        </is>
      </c>
    </row>
    <row r="8">
      <c r="A8" t="inlineStr">
        <is>
          <t>Week4-Sep-2025</t>
        </is>
      </c>
      <c r="B8" s="26">
        <f>IF(SUMIFS('NSE - NIFTY Index Options'!$M:$M,'NSE - NIFTY Index Options'!$C:$C,$A8,'NSE - NIFTY Index Options'!$B:$B,B$4,'NSE - NIFTY Index Options'!$I:$I,"Monthly*")+SUMIFS('NSE - Other Index Options'!$M:$M,'NSE - Other Index Options'!$C:$C,$A8,'NSE - Other Index Options'!$B:$B,B$4,'NSE - Other Index Options'!$I:$I,"Monthly*")=0,"",SUMIFS('NSE - NIFTY Index Options'!$M:$M,'NSE - NIFTY Index Options'!$C:$C,$A8,'NSE - NIFTY Index Options'!$B:$B,B$4,'NSE - NIFTY Index Options'!$I:$I,"Monthly*")+SUMIFS('NSE - Other Index Options'!$M:$M,'NSE - Other Index Options'!$C:$C,$A8,'NSE - Other Index Options'!$B:$B,B$4,'NSE - Other Index Options'!$I:$I,"Monthly*"))</f>
        <v/>
      </c>
      <c r="C8" s="26">
        <f>IF(SUMIFS('NSE - NIFTY Index Options'!$M:$M,'NSE - NIFTY Index Options'!$C:$C,$A8,'NSE - NIFTY Index Options'!$B:$B,C$4,'NSE - NIFTY Index Options'!$I:$I,"Monthly*")+SUMIFS('NSE - Other Index Options'!$M:$M,'NSE - Other Index Options'!$C:$C,$A8,'NSE - Other Index Options'!$B:$B,C$4,'NSE - Other Index Options'!$I:$I,"Monthly*")=0,"",SUMIFS('NSE - NIFTY Index Options'!$M:$M,'NSE - NIFTY Index Options'!$C:$C,$A8,'NSE - NIFTY Index Options'!$B:$B,C$4,'NSE - NIFTY Index Options'!$I:$I,"Monthly*")+SUMIFS('NSE - Other Index Options'!$M:$M,'NSE - Other Index Options'!$C:$C,$A8,'NSE - Other Index Options'!$B:$B,C$4,'NSE - Other Index Options'!$I:$I,"Monthly*"))</f>
        <v/>
      </c>
      <c r="D8" s="26">
        <f>IF(SUMIFS('NSE - NIFTY Index Options'!$M:$M,'NSE - NIFTY Index Options'!$C:$C,$A8,'NSE - NIFTY Index Options'!$B:$B,D$4,'NSE - NIFTY Index Options'!$I:$I,"Monthly*")+SUMIFS('NSE - Other Index Options'!$M:$M,'NSE - Other Index Options'!$C:$C,$A8,'NSE - Other Index Options'!$B:$B,D$4,'NSE - Other Index Options'!$I:$I,"Monthly*")=0,"",SUMIFS('NSE - NIFTY Index Options'!$M:$M,'NSE - NIFTY Index Options'!$C:$C,$A8,'NSE - NIFTY Index Options'!$B:$B,D$4,'NSE - NIFTY Index Options'!$I:$I,"Monthly*")+SUMIFS('NSE - Other Index Options'!$M:$M,'NSE - Other Index Options'!$C:$C,$A8,'NSE - Other Index Options'!$B:$B,D$4,'NSE - Other Index Options'!$I:$I,"Monthly*"))</f>
        <v/>
      </c>
      <c r="E8" s="26">
        <f>IF(SUMIFS('NSE - NIFTY Index Options'!$M:$M,'NSE - NIFTY Index Options'!$C:$C,$A8,'NSE - NIFTY Index Options'!$B:$B,E$4,'NSE - NIFTY Index Options'!$I:$I,"Monthly*")+SUMIFS('NSE - Other Index Options'!$M:$M,'NSE - Other Index Options'!$C:$C,$A8,'NSE - Other Index Options'!$B:$B,E$4,'NSE - Other Index Options'!$I:$I,"Monthly*")=0,"",SUMIFS('NSE - NIFTY Index Options'!$M:$M,'NSE - NIFTY Index Options'!$C:$C,$A8,'NSE - NIFTY Index Options'!$B:$B,E$4,'NSE - NIFTY Index Options'!$I:$I,"Monthly*")+SUMIFS('NSE - Other Index Options'!$M:$M,'NSE - Other Index Options'!$C:$C,$A8,'NSE - Other Index Options'!$B:$B,E$4,'NSE - Other Index Options'!$I:$I,"Monthly*"))</f>
        <v/>
      </c>
      <c r="F8" s="26">
        <f>IF(SUMIFS('NSE - NIFTY Index Options'!$M:$M,'NSE - NIFTY Index Options'!$C:$C,$A8,'NSE - NIFTY Index Options'!$B:$B,F$4,'NSE - NIFTY Index Options'!$I:$I,"Monthly*")+SUMIFS('NSE - Other Index Options'!$M:$M,'NSE - Other Index Options'!$C:$C,$A8,'NSE - Other Index Options'!$B:$B,F$4,'NSE - Other Index Options'!$I:$I,"Monthly*")=0,"",SUMIFS('NSE - NIFTY Index Options'!$M:$M,'NSE - NIFTY Index Options'!$C:$C,$A8,'NSE - NIFTY Index Options'!$B:$B,F$4,'NSE - NIFTY Index Options'!$I:$I,"Monthly*")+SUMIFS('NSE - Other Index Options'!$M:$M,'NSE - Other Index Options'!$C:$C,$A8,'NSE - Other Index Options'!$B:$B,F$4,'NSE - Other Index Options'!$I:$I,"Monthly*"))</f>
        <v/>
      </c>
      <c r="G8" s="26">
        <f>IF(SUMIFS('NSE - NIFTY Index Options'!$M:$M,'NSE - NIFTY Index Options'!$C:$C,$A8,'NSE - NIFTY Index Options'!$B:$B,G$4,'NSE - NIFTY Index Options'!$I:$I,"Monthly*")+SUMIFS('NSE - Other Index Options'!$M:$M,'NSE - Other Index Options'!$C:$C,$A8,'NSE - Other Index Options'!$B:$B,G$4,'NSE - Other Index Options'!$I:$I,"Monthly*")=0,"",SUMIFS('NSE - NIFTY Index Options'!$M:$M,'NSE - NIFTY Index Options'!$C:$C,$A8,'NSE - NIFTY Index Options'!$B:$B,G$4,'NSE - NIFTY Index Options'!$I:$I,"Monthly*")+SUMIFS('NSE - Other Index Options'!$M:$M,'NSE - Other Index Options'!$C:$C,$A8,'NSE - Other Index Options'!$B:$B,G$4,'NSE - Other Index Options'!$I:$I,"Monthly*"))</f>
        <v/>
      </c>
      <c r="H8" s="26">
        <f>IF(SUM(B8:G8)=0,"",SUM(B8:G8))</f>
        <v/>
      </c>
      <c r="K8" t="inlineStr">
        <is>
          <t>Other NSE Indices</t>
        </is>
      </c>
      <c r="L8" s="56" t="inlineStr">
        <is>
          <t>Yes</t>
        </is>
      </c>
    </row>
    <row r="9">
      <c r="A9" t="inlineStr">
        <is>
          <t>Week5-Sep-2025</t>
        </is>
      </c>
      <c r="B9" s="26">
        <f>IF(SUMIFS('NSE - NIFTY Index Options'!$M:$M,'NSE - NIFTY Index Options'!$C:$C,$A9,'NSE - NIFTY Index Options'!$B:$B,B$4,'NSE - NIFTY Index Options'!$I:$I,"Monthly*")+SUMIFS('NSE - Other Index Options'!$M:$M,'NSE - Other Index Options'!$C:$C,$A9,'NSE - Other Index Options'!$B:$B,B$4,'NSE - Other Index Options'!$I:$I,"Monthly*")=0,"",SUMIFS('NSE - NIFTY Index Options'!$M:$M,'NSE - NIFTY Index Options'!$C:$C,$A9,'NSE - NIFTY Index Options'!$B:$B,B$4,'NSE - NIFTY Index Options'!$I:$I,"Monthly*")+SUMIFS('NSE - Other Index Options'!$M:$M,'NSE - Other Index Options'!$C:$C,$A9,'NSE - Other Index Options'!$B:$B,B$4,'NSE - Other Index Options'!$I:$I,"Monthly*"))</f>
        <v/>
      </c>
      <c r="C9" s="26">
        <f>IF(SUMIFS('NSE - NIFTY Index Options'!$M:$M,'NSE - NIFTY Index Options'!$C:$C,$A9,'NSE - NIFTY Index Options'!$B:$B,C$4,'NSE - NIFTY Index Options'!$I:$I,"Monthly*")+SUMIFS('NSE - Other Index Options'!$M:$M,'NSE - Other Index Options'!$C:$C,$A9,'NSE - Other Index Options'!$B:$B,C$4,'NSE - Other Index Options'!$I:$I,"Monthly*")=0,"",SUMIFS('NSE - NIFTY Index Options'!$M:$M,'NSE - NIFTY Index Options'!$C:$C,$A9,'NSE - NIFTY Index Options'!$B:$B,C$4,'NSE - NIFTY Index Options'!$I:$I,"Monthly*")+SUMIFS('NSE - Other Index Options'!$M:$M,'NSE - Other Index Options'!$C:$C,$A9,'NSE - Other Index Options'!$B:$B,C$4,'NSE - Other Index Options'!$I:$I,"Monthly*"))</f>
        <v/>
      </c>
      <c r="D9" s="26">
        <f>IF(SUMIFS('NSE - NIFTY Index Options'!$M:$M,'NSE - NIFTY Index Options'!$C:$C,$A9,'NSE - NIFTY Index Options'!$B:$B,D$4,'NSE - NIFTY Index Options'!$I:$I,"Monthly*")+SUMIFS('NSE - Other Index Options'!$M:$M,'NSE - Other Index Options'!$C:$C,$A9,'NSE - Other Index Options'!$B:$B,D$4,'NSE - Other Index Options'!$I:$I,"Monthly*")=0,"",SUMIFS('NSE - NIFTY Index Options'!$M:$M,'NSE - NIFTY Index Options'!$C:$C,$A9,'NSE - NIFTY Index Options'!$B:$B,D$4,'NSE - NIFTY Index Options'!$I:$I,"Monthly*")+SUMIFS('NSE - Other Index Options'!$M:$M,'NSE - Other Index Options'!$C:$C,$A9,'NSE - Other Index Options'!$B:$B,D$4,'NSE - Other Index Options'!$I:$I,"Monthly*"))</f>
        <v/>
      </c>
      <c r="E9" s="26">
        <f>IF(SUMIFS('NSE - NIFTY Index Options'!$M:$M,'NSE - NIFTY Index Options'!$C:$C,$A9,'NSE - NIFTY Index Options'!$B:$B,E$4,'NSE - NIFTY Index Options'!$I:$I,"Monthly*")+SUMIFS('NSE - Other Index Options'!$M:$M,'NSE - Other Index Options'!$C:$C,$A9,'NSE - Other Index Options'!$B:$B,E$4,'NSE - Other Index Options'!$I:$I,"Monthly*")=0,"",SUMIFS('NSE - NIFTY Index Options'!$M:$M,'NSE - NIFTY Index Options'!$C:$C,$A9,'NSE - NIFTY Index Options'!$B:$B,E$4,'NSE - NIFTY Index Options'!$I:$I,"Monthly*")+SUMIFS('NSE - Other Index Options'!$M:$M,'NSE - Other Index Options'!$C:$C,$A9,'NSE - Other Index Options'!$B:$B,E$4,'NSE - Other Index Options'!$I:$I,"Monthly*"))</f>
        <v/>
      </c>
      <c r="F9" s="26">
        <f>IF(SUMIFS('NSE - NIFTY Index Options'!$M:$M,'NSE - NIFTY Index Options'!$C:$C,$A9,'NSE - NIFTY Index Options'!$B:$B,F$4,'NSE - NIFTY Index Options'!$I:$I,"Monthly*")+SUMIFS('NSE - Other Index Options'!$M:$M,'NSE - Other Index Options'!$C:$C,$A9,'NSE - Other Index Options'!$B:$B,F$4,'NSE - Other Index Options'!$I:$I,"Monthly*")=0,"",SUMIFS('NSE - NIFTY Index Options'!$M:$M,'NSE - NIFTY Index Options'!$C:$C,$A9,'NSE - NIFTY Index Options'!$B:$B,F$4,'NSE - NIFTY Index Options'!$I:$I,"Monthly*")+SUMIFS('NSE - Other Index Options'!$M:$M,'NSE - Other Index Options'!$C:$C,$A9,'NSE - Other Index Options'!$B:$B,F$4,'NSE - Other Index Options'!$I:$I,"Monthly*"))</f>
        <v/>
      </c>
      <c r="G9" s="26">
        <f>IF(SUMIFS('NSE - NIFTY Index Options'!$M:$M,'NSE - NIFTY Index Options'!$C:$C,$A9,'NSE - NIFTY Index Options'!$B:$B,G$4,'NSE - NIFTY Index Options'!$I:$I,"Monthly*")+SUMIFS('NSE - Other Index Options'!$M:$M,'NSE - Other Index Options'!$C:$C,$A9,'NSE - Other Index Options'!$B:$B,G$4,'NSE - Other Index Options'!$I:$I,"Monthly*")=0,"",SUMIFS('NSE - NIFTY Index Options'!$M:$M,'NSE - NIFTY Index Options'!$C:$C,$A9,'NSE - NIFTY Index Options'!$B:$B,G$4,'NSE - NIFTY Index Options'!$I:$I,"Monthly*")+SUMIFS('NSE - Other Index Options'!$M:$M,'NSE - Other Index Options'!$C:$C,$A9,'NSE - Other Index Options'!$B:$B,G$4,'NSE - Other Index Options'!$I:$I,"Monthly*"))</f>
        <v/>
      </c>
      <c r="H9" s="26">
        <f>IF(SUM(B9:G9)=0,"",SUM(B9:G9))</f>
        <v/>
      </c>
      <c r="K9" t="inlineStr">
        <is>
          <t>SENSEX Index</t>
        </is>
      </c>
      <c r="L9" s="56" t="inlineStr">
        <is>
          <t>Yes</t>
        </is>
      </c>
    </row>
    <row r="10">
      <c r="A10" t="inlineStr">
        <is>
          <t>Week1-Oct-2025</t>
        </is>
      </c>
      <c r="B10" s="26">
        <f>IF(SUMIFS('NSE - NIFTY Index Options'!$M:$M,'NSE - NIFTY Index Options'!$C:$C,$A10,'NSE - NIFTY Index Options'!$B:$B,B$4,'NSE - NIFTY Index Options'!$I:$I,"Monthly*")+SUMIFS('NSE - Other Index Options'!$M:$M,'NSE - Other Index Options'!$C:$C,$A10,'NSE - Other Index Options'!$B:$B,B$4,'NSE - Other Index Options'!$I:$I,"Monthly*")=0,"",SUMIFS('NSE - NIFTY Index Options'!$M:$M,'NSE - NIFTY Index Options'!$C:$C,$A10,'NSE - NIFTY Index Options'!$B:$B,B$4,'NSE - NIFTY Index Options'!$I:$I,"Monthly*")+SUMIFS('NSE - Other Index Options'!$M:$M,'NSE - Other Index Options'!$C:$C,$A10,'NSE - Other Index Options'!$B:$B,B$4,'NSE - Other Index Options'!$I:$I,"Monthly*"))</f>
        <v/>
      </c>
      <c r="C10" s="26">
        <f>IF(SUMIFS('NSE - NIFTY Index Options'!$M:$M,'NSE - NIFTY Index Options'!$C:$C,$A10,'NSE - NIFTY Index Options'!$B:$B,C$4,'NSE - NIFTY Index Options'!$I:$I,"Monthly*")+SUMIFS('NSE - Other Index Options'!$M:$M,'NSE - Other Index Options'!$C:$C,$A10,'NSE - Other Index Options'!$B:$B,C$4,'NSE - Other Index Options'!$I:$I,"Monthly*")=0,"",SUMIFS('NSE - NIFTY Index Options'!$M:$M,'NSE - NIFTY Index Options'!$C:$C,$A10,'NSE - NIFTY Index Options'!$B:$B,C$4,'NSE - NIFTY Index Options'!$I:$I,"Monthly*")+SUMIFS('NSE - Other Index Options'!$M:$M,'NSE - Other Index Options'!$C:$C,$A10,'NSE - Other Index Options'!$B:$B,C$4,'NSE - Other Index Options'!$I:$I,"Monthly*"))</f>
        <v/>
      </c>
      <c r="D10" s="26">
        <f>IF(SUMIFS('NSE - NIFTY Index Options'!$M:$M,'NSE - NIFTY Index Options'!$C:$C,$A10,'NSE - NIFTY Index Options'!$B:$B,D$4,'NSE - NIFTY Index Options'!$I:$I,"Monthly*")+SUMIFS('NSE - Other Index Options'!$M:$M,'NSE - Other Index Options'!$C:$C,$A10,'NSE - Other Index Options'!$B:$B,D$4,'NSE - Other Index Options'!$I:$I,"Monthly*")=0,"",SUMIFS('NSE - NIFTY Index Options'!$M:$M,'NSE - NIFTY Index Options'!$C:$C,$A10,'NSE - NIFTY Index Options'!$B:$B,D$4,'NSE - NIFTY Index Options'!$I:$I,"Monthly*")+SUMIFS('NSE - Other Index Options'!$M:$M,'NSE - Other Index Options'!$C:$C,$A10,'NSE - Other Index Options'!$B:$B,D$4,'NSE - Other Index Options'!$I:$I,"Monthly*"))</f>
        <v/>
      </c>
      <c r="E10" s="26">
        <f>IF(SUMIFS('NSE - NIFTY Index Options'!$M:$M,'NSE - NIFTY Index Options'!$C:$C,$A10,'NSE - NIFTY Index Options'!$B:$B,E$4,'NSE - NIFTY Index Options'!$I:$I,"Monthly*")+SUMIFS('NSE - Other Index Options'!$M:$M,'NSE - Other Index Options'!$C:$C,$A10,'NSE - Other Index Options'!$B:$B,E$4,'NSE - Other Index Options'!$I:$I,"Monthly*")=0,"",SUMIFS('NSE - NIFTY Index Options'!$M:$M,'NSE - NIFTY Index Options'!$C:$C,$A10,'NSE - NIFTY Index Options'!$B:$B,E$4,'NSE - NIFTY Index Options'!$I:$I,"Monthly*")+SUMIFS('NSE - Other Index Options'!$M:$M,'NSE - Other Index Options'!$C:$C,$A10,'NSE - Other Index Options'!$B:$B,E$4,'NSE - Other Index Options'!$I:$I,"Monthly*"))</f>
        <v/>
      </c>
      <c r="F10" s="26">
        <f>IF(SUMIFS('NSE - NIFTY Index Options'!$M:$M,'NSE - NIFTY Index Options'!$C:$C,$A10,'NSE - NIFTY Index Options'!$B:$B,F$4,'NSE - NIFTY Index Options'!$I:$I,"Monthly*")+SUMIFS('NSE - Other Index Options'!$M:$M,'NSE - Other Index Options'!$C:$C,$A10,'NSE - Other Index Options'!$B:$B,F$4,'NSE - Other Index Options'!$I:$I,"Monthly*")=0,"",SUMIFS('NSE - NIFTY Index Options'!$M:$M,'NSE - NIFTY Index Options'!$C:$C,$A10,'NSE - NIFTY Index Options'!$B:$B,F$4,'NSE - NIFTY Index Options'!$I:$I,"Monthly*")+SUMIFS('NSE - Other Index Options'!$M:$M,'NSE - Other Index Options'!$C:$C,$A10,'NSE - Other Index Options'!$B:$B,F$4,'NSE - Other Index Options'!$I:$I,"Monthly*"))</f>
        <v/>
      </c>
      <c r="G10" s="26">
        <f>IF(SUMIFS('NSE - NIFTY Index Options'!$M:$M,'NSE - NIFTY Index Options'!$C:$C,$A10,'NSE - NIFTY Index Options'!$B:$B,G$4,'NSE - NIFTY Index Options'!$I:$I,"Monthly*")+SUMIFS('NSE - Other Index Options'!$M:$M,'NSE - Other Index Options'!$C:$C,$A10,'NSE - Other Index Options'!$B:$B,G$4,'NSE - Other Index Options'!$I:$I,"Monthly*")=0,"",SUMIFS('NSE - NIFTY Index Options'!$M:$M,'NSE - NIFTY Index Options'!$C:$C,$A10,'NSE - NIFTY Index Options'!$B:$B,G$4,'NSE - NIFTY Index Options'!$I:$I,"Monthly*")+SUMIFS('NSE - Other Index Options'!$M:$M,'NSE - Other Index Options'!$C:$C,$A10,'NSE - Other Index Options'!$B:$B,G$4,'NSE - Other Index Options'!$I:$I,"Monthly*"))</f>
        <v/>
      </c>
      <c r="H10" s="26">
        <f>IF(SUM(B10:G10)=0,"",SUM(B10:G10))</f>
        <v/>
      </c>
      <c r="K10" t="inlineStr">
        <is>
          <t>Other BSE Indices</t>
        </is>
      </c>
      <c r="L10" s="57" t="inlineStr">
        <is>
          <t>Yes</t>
        </is>
      </c>
    </row>
    <row r="11">
      <c r="A11" t="inlineStr">
        <is>
          <t>Week2-Oct-2025</t>
        </is>
      </c>
      <c r="B11" s="26">
        <f>IF(SUMIFS('NSE - NIFTY Index Options'!$M:$M,'NSE - NIFTY Index Options'!$C:$C,$A11,'NSE - NIFTY Index Options'!$B:$B,B$4,'NSE - NIFTY Index Options'!$I:$I,"Monthly*")+SUMIFS('NSE - Other Index Options'!$M:$M,'NSE - Other Index Options'!$C:$C,$A11,'NSE - Other Index Options'!$B:$B,B$4,'NSE - Other Index Options'!$I:$I,"Monthly*")=0,"",SUMIFS('NSE - NIFTY Index Options'!$M:$M,'NSE - NIFTY Index Options'!$C:$C,$A11,'NSE - NIFTY Index Options'!$B:$B,B$4,'NSE - NIFTY Index Options'!$I:$I,"Monthly*")+SUMIFS('NSE - Other Index Options'!$M:$M,'NSE - Other Index Options'!$C:$C,$A11,'NSE - Other Index Options'!$B:$B,B$4,'NSE - Other Index Options'!$I:$I,"Monthly*"))</f>
        <v/>
      </c>
      <c r="C11" s="26">
        <f>IF(SUMIFS('NSE - NIFTY Index Options'!$M:$M,'NSE - NIFTY Index Options'!$C:$C,$A11,'NSE - NIFTY Index Options'!$B:$B,C$4,'NSE - NIFTY Index Options'!$I:$I,"Monthly*")+SUMIFS('NSE - Other Index Options'!$M:$M,'NSE - Other Index Options'!$C:$C,$A11,'NSE - Other Index Options'!$B:$B,C$4,'NSE - Other Index Options'!$I:$I,"Monthly*")=0,"",SUMIFS('NSE - NIFTY Index Options'!$M:$M,'NSE - NIFTY Index Options'!$C:$C,$A11,'NSE - NIFTY Index Options'!$B:$B,C$4,'NSE - NIFTY Index Options'!$I:$I,"Monthly*")+SUMIFS('NSE - Other Index Options'!$M:$M,'NSE - Other Index Options'!$C:$C,$A11,'NSE - Other Index Options'!$B:$B,C$4,'NSE - Other Index Options'!$I:$I,"Monthly*"))</f>
        <v/>
      </c>
      <c r="D11" s="26">
        <f>IF(SUMIFS('NSE - NIFTY Index Options'!$M:$M,'NSE - NIFTY Index Options'!$C:$C,$A11,'NSE - NIFTY Index Options'!$B:$B,D$4,'NSE - NIFTY Index Options'!$I:$I,"Monthly*")+SUMIFS('NSE - Other Index Options'!$M:$M,'NSE - Other Index Options'!$C:$C,$A11,'NSE - Other Index Options'!$B:$B,D$4,'NSE - Other Index Options'!$I:$I,"Monthly*")=0,"",SUMIFS('NSE - NIFTY Index Options'!$M:$M,'NSE - NIFTY Index Options'!$C:$C,$A11,'NSE - NIFTY Index Options'!$B:$B,D$4,'NSE - NIFTY Index Options'!$I:$I,"Monthly*")+SUMIFS('NSE - Other Index Options'!$M:$M,'NSE - Other Index Options'!$C:$C,$A11,'NSE - Other Index Options'!$B:$B,D$4,'NSE - Other Index Options'!$I:$I,"Monthly*"))</f>
        <v/>
      </c>
      <c r="E11" s="26">
        <f>IF(SUMIFS('NSE - NIFTY Index Options'!$M:$M,'NSE - NIFTY Index Options'!$C:$C,$A11,'NSE - NIFTY Index Options'!$B:$B,E$4,'NSE - NIFTY Index Options'!$I:$I,"Monthly*")+SUMIFS('NSE - Other Index Options'!$M:$M,'NSE - Other Index Options'!$C:$C,$A11,'NSE - Other Index Options'!$B:$B,E$4,'NSE - Other Index Options'!$I:$I,"Monthly*")=0,"",SUMIFS('NSE - NIFTY Index Options'!$M:$M,'NSE - NIFTY Index Options'!$C:$C,$A11,'NSE - NIFTY Index Options'!$B:$B,E$4,'NSE - NIFTY Index Options'!$I:$I,"Monthly*")+SUMIFS('NSE - Other Index Options'!$M:$M,'NSE - Other Index Options'!$C:$C,$A11,'NSE - Other Index Options'!$B:$B,E$4,'NSE - Other Index Options'!$I:$I,"Monthly*"))</f>
        <v/>
      </c>
      <c r="F11" s="26">
        <f>IF(SUMIFS('NSE - NIFTY Index Options'!$M:$M,'NSE - NIFTY Index Options'!$C:$C,$A11,'NSE - NIFTY Index Options'!$B:$B,F$4,'NSE - NIFTY Index Options'!$I:$I,"Monthly*")+SUMIFS('NSE - Other Index Options'!$M:$M,'NSE - Other Index Options'!$C:$C,$A11,'NSE - Other Index Options'!$B:$B,F$4,'NSE - Other Index Options'!$I:$I,"Monthly*")=0,"",SUMIFS('NSE - NIFTY Index Options'!$M:$M,'NSE - NIFTY Index Options'!$C:$C,$A11,'NSE - NIFTY Index Options'!$B:$B,F$4,'NSE - NIFTY Index Options'!$I:$I,"Monthly*")+SUMIFS('NSE - Other Index Options'!$M:$M,'NSE - Other Index Options'!$C:$C,$A11,'NSE - Other Index Options'!$B:$B,F$4,'NSE - Other Index Options'!$I:$I,"Monthly*"))</f>
        <v/>
      </c>
      <c r="G11" s="26">
        <f>IF(SUMIFS('NSE - NIFTY Index Options'!$M:$M,'NSE - NIFTY Index Options'!$C:$C,$A11,'NSE - NIFTY Index Options'!$B:$B,G$4,'NSE - NIFTY Index Options'!$I:$I,"Monthly*")+SUMIFS('NSE - Other Index Options'!$M:$M,'NSE - Other Index Options'!$C:$C,$A11,'NSE - Other Index Options'!$B:$B,G$4,'NSE - Other Index Options'!$I:$I,"Monthly*")=0,"",SUMIFS('NSE - NIFTY Index Options'!$M:$M,'NSE - NIFTY Index Options'!$C:$C,$A11,'NSE - NIFTY Index Options'!$B:$B,G$4,'NSE - NIFTY Index Options'!$I:$I,"Monthly*")+SUMIFS('NSE - Other Index Options'!$M:$M,'NSE - Other Index Options'!$C:$C,$A11,'NSE - Other Index Options'!$B:$B,G$4,'NSE - Other Index Options'!$I:$I,"Monthly*"))</f>
        <v/>
      </c>
      <c r="H11" s="26">
        <f>IF(SUM(B11:G11)=0,"",SUM(B11:G11))</f>
        <v/>
      </c>
      <c r="K11" t="inlineStr">
        <is>
          <t>Expiry Type 2 - Weekly</t>
        </is>
      </c>
      <c r="L11" s="58" t="inlineStr">
        <is>
          <t>No</t>
        </is>
      </c>
    </row>
    <row r="12">
      <c r="A12" t="inlineStr">
        <is>
          <t>Week3-Oct-2025</t>
        </is>
      </c>
      <c r="B12" s="26">
        <f>IF(SUMIFS('NSE - NIFTY Index Options'!$M:$M,'NSE - NIFTY Index Options'!$C:$C,$A12,'NSE - NIFTY Index Options'!$B:$B,B$4,'NSE - NIFTY Index Options'!$I:$I,"Monthly*")+SUMIFS('NSE - Other Index Options'!$M:$M,'NSE - Other Index Options'!$C:$C,$A12,'NSE - Other Index Options'!$B:$B,B$4,'NSE - Other Index Options'!$I:$I,"Monthly*")=0,"",SUMIFS('NSE - NIFTY Index Options'!$M:$M,'NSE - NIFTY Index Options'!$C:$C,$A12,'NSE - NIFTY Index Options'!$B:$B,B$4,'NSE - NIFTY Index Options'!$I:$I,"Monthly*")+SUMIFS('NSE - Other Index Options'!$M:$M,'NSE - Other Index Options'!$C:$C,$A12,'NSE - Other Index Options'!$B:$B,B$4,'NSE - Other Index Options'!$I:$I,"Monthly*"))</f>
        <v/>
      </c>
      <c r="C12" s="26">
        <f>IF(SUMIFS('NSE - NIFTY Index Options'!$M:$M,'NSE - NIFTY Index Options'!$C:$C,$A12,'NSE - NIFTY Index Options'!$B:$B,C$4,'NSE - NIFTY Index Options'!$I:$I,"Monthly*")+SUMIFS('NSE - Other Index Options'!$M:$M,'NSE - Other Index Options'!$C:$C,$A12,'NSE - Other Index Options'!$B:$B,C$4,'NSE - Other Index Options'!$I:$I,"Monthly*")=0,"",SUMIFS('NSE - NIFTY Index Options'!$M:$M,'NSE - NIFTY Index Options'!$C:$C,$A12,'NSE - NIFTY Index Options'!$B:$B,C$4,'NSE - NIFTY Index Options'!$I:$I,"Monthly*")+SUMIFS('NSE - Other Index Options'!$M:$M,'NSE - Other Index Options'!$C:$C,$A12,'NSE - Other Index Options'!$B:$B,C$4,'NSE - Other Index Options'!$I:$I,"Monthly*"))</f>
        <v/>
      </c>
      <c r="D12" s="26">
        <f>IF(SUMIFS('NSE - NIFTY Index Options'!$M:$M,'NSE - NIFTY Index Options'!$C:$C,$A12,'NSE - NIFTY Index Options'!$B:$B,D$4,'NSE - NIFTY Index Options'!$I:$I,"Monthly*")+SUMIFS('NSE - Other Index Options'!$M:$M,'NSE - Other Index Options'!$C:$C,$A12,'NSE - Other Index Options'!$B:$B,D$4,'NSE - Other Index Options'!$I:$I,"Monthly*")=0,"",SUMIFS('NSE - NIFTY Index Options'!$M:$M,'NSE - NIFTY Index Options'!$C:$C,$A12,'NSE - NIFTY Index Options'!$B:$B,D$4,'NSE - NIFTY Index Options'!$I:$I,"Monthly*")+SUMIFS('NSE - Other Index Options'!$M:$M,'NSE - Other Index Options'!$C:$C,$A12,'NSE - Other Index Options'!$B:$B,D$4,'NSE - Other Index Options'!$I:$I,"Monthly*"))</f>
        <v/>
      </c>
      <c r="E12" s="26">
        <f>IF(SUMIFS('NSE - NIFTY Index Options'!$M:$M,'NSE - NIFTY Index Options'!$C:$C,$A12,'NSE - NIFTY Index Options'!$B:$B,E$4,'NSE - NIFTY Index Options'!$I:$I,"Monthly*")+SUMIFS('NSE - Other Index Options'!$M:$M,'NSE - Other Index Options'!$C:$C,$A12,'NSE - Other Index Options'!$B:$B,E$4,'NSE - Other Index Options'!$I:$I,"Monthly*")=0,"",SUMIFS('NSE - NIFTY Index Options'!$M:$M,'NSE - NIFTY Index Options'!$C:$C,$A12,'NSE - NIFTY Index Options'!$B:$B,E$4,'NSE - NIFTY Index Options'!$I:$I,"Monthly*")+SUMIFS('NSE - Other Index Options'!$M:$M,'NSE - Other Index Options'!$C:$C,$A12,'NSE - Other Index Options'!$B:$B,E$4,'NSE - Other Index Options'!$I:$I,"Monthly*"))</f>
        <v/>
      </c>
      <c r="F12" s="26">
        <f>IF(SUMIFS('NSE - NIFTY Index Options'!$M:$M,'NSE - NIFTY Index Options'!$C:$C,$A12,'NSE - NIFTY Index Options'!$B:$B,F$4,'NSE - NIFTY Index Options'!$I:$I,"Monthly*")+SUMIFS('NSE - Other Index Options'!$M:$M,'NSE - Other Index Options'!$C:$C,$A12,'NSE - Other Index Options'!$B:$B,F$4,'NSE - Other Index Options'!$I:$I,"Monthly*")=0,"",SUMIFS('NSE - NIFTY Index Options'!$M:$M,'NSE - NIFTY Index Options'!$C:$C,$A12,'NSE - NIFTY Index Options'!$B:$B,F$4,'NSE - NIFTY Index Options'!$I:$I,"Monthly*")+SUMIFS('NSE - Other Index Options'!$M:$M,'NSE - Other Index Options'!$C:$C,$A12,'NSE - Other Index Options'!$B:$B,F$4,'NSE - Other Index Options'!$I:$I,"Monthly*"))</f>
        <v/>
      </c>
      <c r="G12" s="26">
        <f>IF(SUMIFS('NSE - NIFTY Index Options'!$M:$M,'NSE - NIFTY Index Options'!$C:$C,$A12,'NSE - NIFTY Index Options'!$B:$B,G$4,'NSE - NIFTY Index Options'!$I:$I,"Monthly*")+SUMIFS('NSE - Other Index Options'!$M:$M,'NSE - Other Index Options'!$C:$C,$A12,'NSE - Other Index Options'!$B:$B,G$4,'NSE - Other Index Options'!$I:$I,"Monthly*")=0,"",SUMIFS('NSE - NIFTY Index Options'!$M:$M,'NSE - NIFTY Index Options'!$C:$C,$A12,'NSE - NIFTY Index Options'!$B:$B,G$4,'NSE - NIFTY Index Options'!$I:$I,"Monthly*")+SUMIFS('NSE - Other Index Options'!$M:$M,'NSE - Other Index Options'!$C:$C,$A12,'NSE - Other Index Options'!$B:$B,G$4,'NSE - Other Index Options'!$I:$I,"Monthly*"))</f>
        <v/>
      </c>
      <c r="H12" s="26">
        <f>IF(SUM(B12:G12)=0,"",SUM(B12:G12))</f>
        <v/>
      </c>
      <c r="K12" t="inlineStr">
        <is>
          <t>Expiry Type 2 - MDAW</t>
        </is>
      </c>
      <c r="L12" s="58" t="inlineStr">
        <is>
          <t>No</t>
        </is>
      </c>
    </row>
    <row r="13">
      <c r="A13" t="inlineStr">
        <is>
          <t>Week4-Oct-2025</t>
        </is>
      </c>
      <c r="B13" s="26">
        <f>IF(SUMIFS('NSE - NIFTY Index Options'!$M:$M,'NSE - NIFTY Index Options'!$C:$C,$A13,'NSE - NIFTY Index Options'!$B:$B,B$4,'NSE - NIFTY Index Options'!$I:$I,"Monthly*")+SUMIFS('NSE - Other Index Options'!$M:$M,'NSE - Other Index Options'!$C:$C,$A13,'NSE - Other Index Options'!$B:$B,B$4,'NSE - Other Index Options'!$I:$I,"Monthly*")=0,"",SUMIFS('NSE - NIFTY Index Options'!$M:$M,'NSE - NIFTY Index Options'!$C:$C,$A13,'NSE - NIFTY Index Options'!$B:$B,B$4,'NSE - NIFTY Index Options'!$I:$I,"Monthly*")+SUMIFS('NSE - Other Index Options'!$M:$M,'NSE - Other Index Options'!$C:$C,$A13,'NSE - Other Index Options'!$B:$B,B$4,'NSE - Other Index Options'!$I:$I,"Monthly*"))</f>
        <v/>
      </c>
      <c r="C13" s="26">
        <f>IF(SUMIFS('NSE - NIFTY Index Options'!$M:$M,'NSE - NIFTY Index Options'!$C:$C,$A13,'NSE - NIFTY Index Options'!$B:$B,C$4,'NSE - NIFTY Index Options'!$I:$I,"Monthly*")+SUMIFS('NSE - Other Index Options'!$M:$M,'NSE - Other Index Options'!$C:$C,$A13,'NSE - Other Index Options'!$B:$B,C$4,'NSE - Other Index Options'!$I:$I,"Monthly*")=0,"",SUMIFS('NSE - NIFTY Index Options'!$M:$M,'NSE - NIFTY Index Options'!$C:$C,$A13,'NSE - NIFTY Index Options'!$B:$B,C$4,'NSE - NIFTY Index Options'!$I:$I,"Monthly*")+SUMIFS('NSE - Other Index Options'!$M:$M,'NSE - Other Index Options'!$C:$C,$A13,'NSE - Other Index Options'!$B:$B,C$4,'NSE - Other Index Options'!$I:$I,"Monthly*"))</f>
        <v/>
      </c>
      <c r="D13" s="26">
        <f>IF(SUMIFS('NSE - NIFTY Index Options'!$M:$M,'NSE - NIFTY Index Options'!$C:$C,$A13,'NSE - NIFTY Index Options'!$B:$B,D$4,'NSE - NIFTY Index Options'!$I:$I,"Monthly*")+SUMIFS('NSE - Other Index Options'!$M:$M,'NSE - Other Index Options'!$C:$C,$A13,'NSE - Other Index Options'!$B:$B,D$4,'NSE - Other Index Options'!$I:$I,"Monthly*")=0,"",SUMIFS('NSE - NIFTY Index Options'!$M:$M,'NSE - NIFTY Index Options'!$C:$C,$A13,'NSE - NIFTY Index Options'!$B:$B,D$4,'NSE - NIFTY Index Options'!$I:$I,"Monthly*")+SUMIFS('NSE - Other Index Options'!$M:$M,'NSE - Other Index Options'!$C:$C,$A13,'NSE - Other Index Options'!$B:$B,D$4,'NSE - Other Index Options'!$I:$I,"Monthly*"))</f>
        <v/>
      </c>
      <c r="E13" s="26">
        <f>IF(SUMIFS('NSE - NIFTY Index Options'!$M:$M,'NSE - NIFTY Index Options'!$C:$C,$A13,'NSE - NIFTY Index Options'!$B:$B,E$4,'NSE - NIFTY Index Options'!$I:$I,"Monthly*")+SUMIFS('NSE - Other Index Options'!$M:$M,'NSE - Other Index Options'!$C:$C,$A13,'NSE - Other Index Options'!$B:$B,E$4,'NSE - Other Index Options'!$I:$I,"Monthly*")=0,"",SUMIFS('NSE - NIFTY Index Options'!$M:$M,'NSE - NIFTY Index Options'!$C:$C,$A13,'NSE - NIFTY Index Options'!$B:$B,E$4,'NSE - NIFTY Index Options'!$I:$I,"Monthly*")+SUMIFS('NSE - Other Index Options'!$M:$M,'NSE - Other Index Options'!$C:$C,$A13,'NSE - Other Index Options'!$B:$B,E$4,'NSE - Other Index Options'!$I:$I,"Monthly*"))</f>
        <v/>
      </c>
      <c r="F13" s="26">
        <f>IF(SUMIFS('NSE - NIFTY Index Options'!$M:$M,'NSE - NIFTY Index Options'!$C:$C,$A13,'NSE - NIFTY Index Options'!$B:$B,F$4,'NSE - NIFTY Index Options'!$I:$I,"Monthly*")+SUMIFS('NSE - Other Index Options'!$M:$M,'NSE - Other Index Options'!$C:$C,$A13,'NSE - Other Index Options'!$B:$B,F$4,'NSE - Other Index Options'!$I:$I,"Monthly*")=0,"",SUMIFS('NSE - NIFTY Index Options'!$M:$M,'NSE - NIFTY Index Options'!$C:$C,$A13,'NSE - NIFTY Index Options'!$B:$B,F$4,'NSE - NIFTY Index Options'!$I:$I,"Monthly*")+SUMIFS('NSE - Other Index Options'!$M:$M,'NSE - Other Index Options'!$C:$C,$A13,'NSE - Other Index Options'!$B:$B,F$4,'NSE - Other Index Options'!$I:$I,"Monthly*"))</f>
        <v/>
      </c>
      <c r="G13" s="26">
        <f>IF(SUMIFS('NSE - NIFTY Index Options'!$M:$M,'NSE - NIFTY Index Options'!$C:$C,$A13,'NSE - NIFTY Index Options'!$B:$B,G$4,'NSE - NIFTY Index Options'!$I:$I,"Monthly*")+SUMIFS('NSE - Other Index Options'!$M:$M,'NSE - Other Index Options'!$C:$C,$A13,'NSE - Other Index Options'!$B:$B,G$4,'NSE - Other Index Options'!$I:$I,"Monthly*")=0,"",SUMIFS('NSE - NIFTY Index Options'!$M:$M,'NSE - NIFTY Index Options'!$C:$C,$A13,'NSE - NIFTY Index Options'!$B:$B,G$4,'NSE - NIFTY Index Options'!$I:$I,"Monthly*")+SUMIFS('NSE - Other Index Options'!$M:$M,'NSE - Other Index Options'!$C:$C,$A13,'NSE - Other Index Options'!$B:$B,G$4,'NSE - Other Index Options'!$I:$I,"Monthly*"))</f>
        <v/>
      </c>
      <c r="H13" s="26">
        <f>IF(SUM(B13:G13)=0,"",SUM(B13:G13))</f>
        <v/>
      </c>
      <c r="K13" t="inlineStr">
        <is>
          <t>Expiry Type 2 - Monthly</t>
        </is>
      </c>
      <c r="L13" s="57" t="inlineStr">
        <is>
          <t>Yes</t>
        </is>
      </c>
    </row>
    <row r="14">
      <c r="A14" t="inlineStr">
        <is>
          <t>Week5-Oct-2025</t>
        </is>
      </c>
      <c r="B14" s="26">
        <f>IF(SUMIFS('NSE - NIFTY Index Options'!$M:$M,'NSE - NIFTY Index Options'!$C:$C,$A14,'NSE - NIFTY Index Options'!$B:$B,B$4,'NSE - NIFTY Index Options'!$I:$I,"Monthly*")+SUMIFS('NSE - Other Index Options'!$M:$M,'NSE - Other Index Options'!$C:$C,$A14,'NSE - Other Index Options'!$B:$B,B$4,'NSE - Other Index Options'!$I:$I,"Monthly*")=0,"",SUMIFS('NSE - NIFTY Index Options'!$M:$M,'NSE - NIFTY Index Options'!$C:$C,$A14,'NSE - NIFTY Index Options'!$B:$B,B$4,'NSE - NIFTY Index Options'!$I:$I,"Monthly*")+SUMIFS('NSE - Other Index Options'!$M:$M,'NSE - Other Index Options'!$C:$C,$A14,'NSE - Other Index Options'!$B:$B,B$4,'NSE - Other Index Options'!$I:$I,"Monthly*"))</f>
        <v/>
      </c>
      <c r="C14" s="26">
        <f>IF(SUMIFS('NSE - NIFTY Index Options'!$M:$M,'NSE - NIFTY Index Options'!$C:$C,$A14,'NSE - NIFTY Index Options'!$B:$B,C$4,'NSE - NIFTY Index Options'!$I:$I,"Monthly*")+SUMIFS('NSE - Other Index Options'!$M:$M,'NSE - Other Index Options'!$C:$C,$A14,'NSE - Other Index Options'!$B:$B,C$4,'NSE - Other Index Options'!$I:$I,"Monthly*")=0,"",SUMIFS('NSE - NIFTY Index Options'!$M:$M,'NSE - NIFTY Index Options'!$C:$C,$A14,'NSE - NIFTY Index Options'!$B:$B,C$4,'NSE - NIFTY Index Options'!$I:$I,"Monthly*")+SUMIFS('NSE - Other Index Options'!$M:$M,'NSE - Other Index Options'!$C:$C,$A14,'NSE - Other Index Options'!$B:$B,C$4,'NSE - Other Index Options'!$I:$I,"Monthly*"))</f>
        <v/>
      </c>
      <c r="D14" s="26">
        <f>IF(SUMIFS('NSE - NIFTY Index Options'!$M:$M,'NSE - NIFTY Index Options'!$C:$C,$A14,'NSE - NIFTY Index Options'!$B:$B,D$4,'NSE - NIFTY Index Options'!$I:$I,"Monthly*")+SUMIFS('NSE - Other Index Options'!$M:$M,'NSE - Other Index Options'!$C:$C,$A14,'NSE - Other Index Options'!$B:$B,D$4,'NSE - Other Index Options'!$I:$I,"Monthly*")=0,"",SUMIFS('NSE - NIFTY Index Options'!$M:$M,'NSE - NIFTY Index Options'!$C:$C,$A14,'NSE - NIFTY Index Options'!$B:$B,D$4,'NSE - NIFTY Index Options'!$I:$I,"Monthly*")+SUMIFS('NSE - Other Index Options'!$M:$M,'NSE - Other Index Options'!$C:$C,$A14,'NSE - Other Index Options'!$B:$B,D$4,'NSE - Other Index Options'!$I:$I,"Monthly*"))</f>
        <v/>
      </c>
      <c r="E14" s="26">
        <f>IF(SUMIFS('NSE - NIFTY Index Options'!$M:$M,'NSE - NIFTY Index Options'!$C:$C,$A14,'NSE - NIFTY Index Options'!$B:$B,E$4,'NSE - NIFTY Index Options'!$I:$I,"Monthly*")+SUMIFS('NSE - Other Index Options'!$M:$M,'NSE - Other Index Options'!$C:$C,$A14,'NSE - Other Index Options'!$B:$B,E$4,'NSE - Other Index Options'!$I:$I,"Monthly*")=0,"",SUMIFS('NSE - NIFTY Index Options'!$M:$M,'NSE - NIFTY Index Options'!$C:$C,$A14,'NSE - NIFTY Index Options'!$B:$B,E$4,'NSE - NIFTY Index Options'!$I:$I,"Monthly*")+SUMIFS('NSE - Other Index Options'!$M:$M,'NSE - Other Index Options'!$C:$C,$A14,'NSE - Other Index Options'!$B:$B,E$4,'NSE - Other Index Options'!$I:$I,"Monthly*"))</f>
        <v/>
      </c>
      <c r="F14" s="26">
        <f>IF(SUMIFS('NSE - NIFTY Index Options'!$M:$M,'NSE - NIFTY Index Options'!$C:$C,$A14,'NSE - NIFTY Index Options'!$B:$B,F$4,'NSE - NIFTY Index Options'!$I:$I,"Monthly*")+SUMIFS('NSE - Other Index Options'!$M:$M,'NSE - Other Index Options'!$C:$C,$A14,'NSE - Other Index Options'!$B:$B,F$4,'NSE - Other Index Options'!$I:$I,"Monthly*")=0,"",SUMIFS('NSE - NIFTY Index Options'!$M:$M,'NSE - NIFTY Index Options'!$C:$C,$A14,'NSE - NIFTY Index Options'!$B:$B,F$4,'NSE - NIFTY Index Options'!$I:$I,"Monthly*")+SUMIFS('NSE - Other Index Options'!$M:$M,'NSE - Other Index Options'!$C:$C,$A14,'NSE - Other Index Options'!$B:$B,F$4,'NSE - Other Index Options'!$I:$I,"Monthly*"))</f>
        <v/>
      </c>
      <c r="G14" s="26">
        <f>IF(SUMIFS('NSE - NIFTY Index Options'!$M:$M,'NSE - NIFTY Index Options'!$C:$C,$A14,'NSE - NIFTY Index Options'!$B:$B,G$4,'NSE - NIFTY Index Options'!$I:$I,"Monthly*")+SUMIFS('NSE - Other Index Options'!$M:$M,'NSE - Other Index Options'!$C:$C,$A14,'NSE - Other Index Options'!$B:$B,G$4,'NSE - Other Index Options'!$I:$I,"Monthly*")=0,"",SUMIFS('NSE - NIFTY Index Options'!$M:$M,'NSE - NIFTY Index Options'!$C:$C,$A14,'NSE - NIFTY Index Options'!$B:$B,G$4,'NSE - NIFTY Index Options'!$I:$I,"Monthly*")+SUMIFS('NSE - Other Index Options'!$M:$M,'NSE - Other Index Options'!$C:$C,$A14,'NSE - Other Index Options'!$B:$B,G$4,'NSE - Other Index Options'!$I:$I,"Monthly*"))</f>
        <v/>
      </c>
      <c r="H14" s="26">
        <f>IF(SUM(B14:G14)=0,"",SUM(B14:G14))</f>
        <v/>
      </c>
    </row>
    <row r="15">
      <c r="A15" t="inlineStr">
        <is>
          <t>Week1-Nov-2025</t>
        </is>
      </c>
      <c r="B15" s="26">
        <f>IF(SUMIFS('NSE - NIFTY Index Options'!$M:$M,'NSE - NIFTY Index Options'!$C:$C,$A15,'NSE - NIFTY Index Options'!$B:$B,B$4,'NSE - NIFTY Index Options'!$I:$I,"Monthly*")+SUMIFS('NSE - Other Index Options'!$M:$M,'NSE - Other Index Options'!$C:$C,$A15,'NSE - Other Index Options'!$B:$B,B$4,'NSE - Other Index Options'!$I:$I,"Monthly*")=0,"",SUMIFS('NSE - NIFTY Index Options'!$M:$M,'NSE - NIFTY Index Options'!$C:$C,$A15,'NSE - NIFTY Index Options'!$B:$B,B$4,'NSE - NIFTY Index Options'!$I:$I,"Monthly*")+SUMIFS('NSE - Other Index Options'!$M:$M,'NSE - Other Index Options'!$C:$C,$A15,'NSE - Other Index Options'!$B:$B,B$4,'NSE - Other Index Options'!$I:$I,"Monthly*"))</f>
        <v/>
      </c>
      <c r="C15" s="26">
        <f>IF(SUMIFS('NSE - NIFTY Index Options'!$M:$M,'NSE - NIFTY Index Options'!$C:$C,$A15,'NSE - NIFTY Index Options'!$B:$B,C$4,'NSE - NIFTY Index Options'!$I:$I,"Monthly*")+SUMIFS('NSE - Other Index Options'!$M:$M,'NSE - Other Index Options'!$C:$C,$A15,'NSE - Other Index Options'!$B:$B,C$4,'NSE - Other Index Options'!$I:$I,"Monthly*")=0,"",SUMIFS('NSE - NIFTY Index Options'!$M:$M,'NSE - NIFTY Index Options'!$C:$C,$A15,'NSE - NIFTY Index Options'!$B:$B,C$4,'NSE - NIFTY Index Options'!$I:$I,"Monthly*")+SUMIFS('NSE - Other Index Options'!$M:$M,'NSE - Other Index Options'!$C:$C,$A15,'NSE - Other Index Options'!$B:$B,C$4,'NSE - Other Index Options'!$I:$I,"Monthly*"))</f>
        <v/>
      </c>
      <c r="D15" s="26">
        <f>IF(SUMIFS('NSE - NIFTY Index Options'!$M:$M,'NSE - NIFTY Index Options'!$C:$C,$A15,'NSE - NIFTY Index Options'!$B:$B,D$4,'NSE - NIFTY Index Options'!$I:$I,"Monthly*")+SUMIFS('NSE - Other Index Options'!$M:$M,'NSE - Other Index Options'!$C:$C,$A15,'NSE - Other Index Options'!$B:$B,D$4,'NSE - Other Index Options'!$I:$I,"Monthly*")=0,"",SUMIFS('NSE - NIFTY Index Options'!$M:$M,'NSE - NIFTY Index Options'!$C:$C,$A15,'NSE - NIFTY Index Options'!$B:$B,D$4,'NSE - NIFTY Index Options'!$I:$I,"Monthly*")+SUMIFS('NSE - Other Index Options'!$M:$M,'NSE - Other Index Options'!$C:$C,$A15,'NSE - Other Index Options'!$B:$B,D$4,'NSE - Other Index Options'!$I:$I,"Monthly*"))</f>
        <v/>
      </c>
      <c r="E15" s="26">
        <f>IF(SUMIFS('NSE - NIFTY Index Options'!$M:$M,'NSE - NIFTY Index Options'!$C:$C,$A15,'NSE - NIFTY Index Options'!$B:$B,E$4,'NSE - NIFTY Index Options'!$I:$I,"Monthly*")+SUMIFS('NSE - Other Index Options'!$M:$M,'NSE - Other Index Options'!$C:$C,$A15,'NSE - Other Index Options'!$B:$B,E$4,'NSE - Other Index Options'!$I:$I,"Monthly*")=0,"",SUMIFS('NSE - NIFTY Index Options'!$M:$M,'NSE - NIFTY Index Options'!$C:$C,$A15,'NSE - NIFTY Index Options'!$B:$B,E$4,'NSE - NIFTY Index Options'!$I:$I,"Monthly*")+SUMIFS('NSE - Other Index Options'!$M:$M,'NSE - Other Index Options'!$C:$C,$A15,'NSE - Other Index Options'!$B:$B,E$4,'NSE - Other Index Options'!$I:$I,"Monthly*"))</f>
        <v/>
      </c>
      <c r="F15" s="26">
        <f>IF(SUMIFS('NSE - NIFTY Index Options'!$M:$M,'NSE - NIFTY Index Options'!$C:$C,$A15,'NSE - NIFTY Index Options'!$B:$B,F$4,'NSE - NIFTY Index Options'!$I:$I,"Monthly*")+SUMIFS('NSE - Other Index Options'!$M:$M,'NSE - Other Index Options'!$C:$C,$A15,'NSE - Other Index Options'!$B:$B,F$4,'NSE - Other Index Options'!$I:$I,"Monthly*")=0,"",SUMIFS('NSE - NIFTY Index Options'!$M:$M,'NSE - NIFTY Index Options'!$C:$C,$A15,'NSE - NIFTY Index Options'!$B:$B,F$4,'NSE - NIFTY Index Options'!$I:$I,"Monthly*")+SUMIFS('NSE - Other Index Options'!$M:$M,'NSE - Other Index Options'!$C:$C,$A15,'NSE - Other Index Options'!$B:$B,F$4,'NSE - Other Index Options'!$I:$I,"Monthly*"))</f>
        <v/>
      </c>
      <c r="G15" s="26">
        <f>IF(SUMIFS('NSE - NIFTY Index Options'!$M:$M,'NSE - NIFTY Index Options'!$C:$C,$A15,'NSE - NIFTY Index Options'!$B:$B,G$4,'NSE - NIFTY Index Options'!$I:$I,"Monthly*")+SUMIFS('NSE - Other Index Options'!$M:$M,'NSE - Other Index Options'!$C:$C,$A15,'NSE - Other Index Options'!$B:$B,G$4,'NSE - Other Index Options'!$I:$I,"Monthly*")=0,"",SUMIFS('NSE - NIFTY Index Options'!$M:$M,'NSE - NIFTY Index Options'!$C:$C,$A15,'NSE - NIFTY Index Options'!$B:$B,G$4,'NSE - NIFTY Index Options'!$I:$I,"Monthly*")+SUMIFS('NSE - Other Index Options'!$M:$M,'NSE - Other Index Options'!$C:$C,$A15,'NSE - Other Index Options'!$B:$B,G$4,'NSE - Other Index Options'!$I:$I,"Monthly*"))</f>
        <v/>
      </c>
      <c r="H15" s="26">
        <f>IF(SUM(B15:G15)=0,"",SUM(B15:G15))</f>
        <v/>
      </c>
    </row>
    <row r="16">
      <c r="A16" t="inlineStr">
        <is>
          <t>Week2-Nov-2025</t>
        </is>
      </c>
      <c r="B16" s="26">
        <f>IF(SUMIFS('NSE - NIFTY Index Options'!$M:$M,'NSE - NIFTY Index Options'!$C:$C,$A16,'NSE - NIFTY Index Options'!$B:$B,B$4,'NSE - NIFTY Index Options'!$I:$I,"Monthly*")+SUMIFS('NSE - Other Index Options'!$M:$M,'NSE - Other Index Options'!$C:$C,$A16,'NSE - Other Index Options'!$B:$B,B$4,'NSE - Other Index Options'!$I:$I,"Monthly*")=0,"",SUMIFS('NSE - NIFTY Index Options'!$M:$M,'NSE - NIFTY Index Options'!$C:$C,$A16,'NSE - NIFTY Index Options'!$B:$B,B$4,'NSE - NIFTY Index Options'!$I:$I,"Monthly*")+SUMIFS('NSE - Other Index Options'!$M:$M,'NSE - Other Index Options'!$C:$C,$A16,'NSE - Other Index Options'!$B:$B,B$4,'NSE - Other Index Options'!$I:$I,"Monthly*"))</f>
        <v/>
      </c>
      <c r="C16" s="26">
        <f>IF(SUMIFS('NSE - NIFTY Index Options'!$M:$M,'NSE - NIFTY Index Options'!$C:$C,$A16,'NSE - NIFTY Index Options'!$B:$B,C$4,'NSE - NIFTY Index Options'!$I:$I,"Monthly*")+SUMIFS('NSE - Other Index Options'!$M:$M,'NSE - Other Index Options'!$C:$C,$A16,'NSE - Other Index Options'!$B:$B,C$4,'NSE - Other Index Options'!$I:$I,"Monthly*")=0,"",SUMIFS('NSE - NIFTY Index Options'!$M:$M,'NSE - NIFTY Index Options'!$C:$C,$A16,'NSE - NIFTY Index Options'!$B:$B,C$4,'NSE - NIFTY Index Options'!$I:$I,"Monthly*")+SUMIFS('NSE - Other Index Options'!$M:$M,'NSE - Other Index Options'!$C:$C,$A16,'NSE - Other Index Options'!$B:$B,C$4,'NSE - Other Index Options'!$I:$I,"Monthly*"))</f>
        <v/>
      </c>
      <c r="D16" s="26">
        <f>IF(SUMIFS('NSE - NIFTY Index Options'!$M:$M,'NSE - NIFTY Index Options'!$C:$C,$A16,'NSE - NIFTY Index Options'!$B:$B,D$4,'NSE - NIFTY Index Options'!$I:$I,"Monthly*")+SUMIFS('NSE - Other Index Options'!$M:$M,'NSE - Other Index Options'!$C:$C,$A16,'NSE - Other Index Options'!$B:$B,D$4,'NSE - Other Index Options'!$I:$I,"Monthly*")=0,"",SUMIFS('NSE - NIFTY Index Options'!$M:$M,'NSE - NIFTY Index Options'!$C:$C,$A16,'NSE - NIFTY Index Options'!$B:$B,D$4,'NSE - NIFTY Index Options'!$I:$I,"Monthly*")+SUMIFS('NSE - Other Index Options'!$M:$M,'NSE - Other Index Options'!$C:$C,$A16,'NSE - Other Index Options'!$B:$B,D$4,'NSE - Other Index Options'!$I:$I,"Monthly*"))</f>
        <v/>
      </c>
      <c r="E16" s="26">
        <f>IF(SUMIFS('NSE - NIFTY Index Options'!$M:$M,'NSE - NIFTY Index Options'!$C:$C,$A16,'NSE - NIFTY Index Options'!$B:$B,E$4,'NSE - NIFTY Index Options'!$I:$I,"Monthly*")+SUMIFS('NSE - Other Index Options'!$M:$M,'NSE - Other Index Options'!$C:$C,$A16,'NSE - Other Index Options'!$B:$B,E$4,'NSE - Other Index Options'!$I:$I,"Monthly*")=0,"",SUMIFS('NSE - NIFTY Index Options'!$M:$M,'NSE - NIFTY Index Options'!$C:$C,$A16,'NSE - NIFTY Index Options'!$B:$B,E$4,'NSE - NIFTY Index Options'!$I:$I,"Monthly*")+SUMIFS('NSE - Other Index Options'!$M:$M,'NSE - Other Index Options'!$C:$C,$A16,'NSE - Other Index Options'!$B:$B,E$4,'NSE - Other Index Options'!$I:$I,"Monthly*"))</f>
        <v/>
      </c>
      <c r="F16" s="26">
        <f>IF(SUMIFS('NSE - NIFTY Index Options'!$M:$M,'NSE - NIFTY Index Options'!$C:$C,$A16,'NSE - NIFTY Index Options'!$B:$B,F$4,'NSE - NIFTY Index Options'!$I:$I,"Monthly*")+SUMIFS('NSE - Other Index Options'!$M:$M,'NSE - Other Index Options'!$C:$C,$A16,'NSE - Other Index Options'!$B:$B,F$4,'NSE - Other Index Options'!$I:$I,"Monthly*")=0,"",SUMIFS('NSE - NIFTY Index Options'!$M:$M,'NSE - NIFTY Index Options'!$C:$C,$A16,'NSE - NIFTY Index Options'!$B:$B,F$4,'NSE - NIFTY Index Options'!$I:$I,"Monthly*")+SUMIFS('NSE - Other Index Options'!$M:$M,'NSE - Other Index Options'!$C:$C,$A16,'NSE - Other Index Options'!$B:$B,F$4,'NSE - Other Index Options'!$I:$I,"Monthly*"))</f>
        <v/>
      </c>
      <c r="G16" s="26">
        <f>IF(SUMIFS('NSE - NIFTY Index Options'!$M:$M,'NSE - NIFTY Index Options'!$C:$C,$A16,'NSE - NIFTY Index Options'!$B:$B,G$4,'NSE - NIFTY Index Options'!$I:$I,"Monthly*")+SUMIFS('NSE - Other Index Options'!$M:$M,'NSE - Other Index Options'!$C:$C,$A16,'NSE - Other Index Options'!$B:$B,G$4,'NSE - Other Index Options'!$I:$I,"Monthly*")=0,"",SUMIFS('NSE - NIFTY Index Options'!$M:$M,'NSE - NIFTY Index Options'!$C:$C,$A16,'NSE - NIFTY Index Options'!$B:$B,G$4,'NSE - NIFTY Index Options'!$I:$I,"Monthly*")+SUMIFS('NSE - Other Index Options'!$M:$M,'NSE - Other Index Options'!$C:$C,$A16,'NSE - Other Index Options'!$B:$B,G$4,'NSE - Other Index Options'!$I:$I,"Monthly*"))</f>
        <v/>
      </c>
      <c r="H16" s="26">
        <f>IF(SUM(B16:G16)=0,"",SUM(B16:G16))</f>
        <v/>
      </c>
    </row>
    <row r="17">
      <c r="A17" t="inlineStr">
        <is>
          <t>Week3-Nov-2025</t>
        </is>
      </c>
      <c r="B17" s="26">
        <f>IF(SUMIFS('NSE - NIFTY Index Options'!$M:$M,'NSE - NIFTY Index Options'!$C:$C,$A17,'NSE - NIFTY Index Options'!$B:$B,B$4,'NSE - NIFTY Index Options'!$I:$I,"Monthly*")+SUMIFS('NSE - Other Index Options'!$M:$M,'NSE - Other Index Options'!$C:$C,$A17,'NSE - Other Index Options'!$B:$B,B$4,'NSE - Other Index Options'!$I:$I,"Monthly*")=0,"",SUMIFS('NSE - NIFTY Index Options'!$M:$M,'NSE - NIFTY Index Options'!$C:$C,$A17,'NSE - NIFTY Index Options'!$B:$B,B$4,'NSE - NIFTY Index Options'!$I:$I,"Monthly*")+SUMIFS('NSE - Other Index Options'!$M:$M,'NSE - Other Index Options'!$C:$C,$A17,'NSE - Other Index Options'!$B:$B,B$4,'NSE - Other Index Options'!$I:$I,"Monthly*"))</f>
        <v/>
      </c>
      <c r="C17" s="26">
        <f>IF(SUMIFS('NSE - NIFTY Index Options'!$M:$M,'NSE - NIFTY Index Options'!$C:$C,$A17,'NSE - NIFTY Index Options'!$B:$B,C$4,'NSE - NIFTY Index Options'!$I:$I,"Monthly*")+SUMIFS('NSE - Other Index Options'!$M:$M,'NSE - Other Index Options'!$C:$C,$A17,'NSE - Other Index Options'!$B:$B,C$4,'NSE - Other Index Options'!$I:$I,"Monthly*")=0,"",SUMIFS('NSE - NIFTY Index Options'!$M:$M,'NSE - NIFTY Index Options'!$C:$C,$A17,'NSE - NIFTY Index Options'!$B:$B,C$4,'NSE - NIFTY Index Options'!$I:$I,"Monthly*")+SUMIFS('NSE - Other Index Options'!$M:$M,'NSE - Other Index Options'!$C:$C,$A17,'NSE - Other Index Options'!$B:$B,C$4,'NSE - Other Index Options'!$I:$I,"Monthly*"))</f>
        <v/>
      </c>
      <c r="D17" s="26">
        <f>IF(SUMIFS('NSE - NIFTY Index Options'!$M:$M,'NSE - NIFTY Index Options'!$C:$C,$A17,'NSE - NIFTY Index Options'!$B:$B,D$4,'NSE - NIFTY Index Options'!$I:$I,"Monthly*")+SUMIFS('NSE - Other Index Options'!$M:$M,'NSE - Other Index Options'!$C:$C,$A17,'NSE - Other Index Options'!$B:$B,D$4,'NSE - Other Index Options'!$I:$I,"Monthly*")=0,"",SUMIFS('NSE - NIFTY Index Options'!$M:$M,'NSE - NIFTY Index Options'!$C:$C,$A17,'NSE - NIFTY Index Options'!$B:$B,D$4,'NSE - NIFTY Index Options'!$I:$I,"Monthly*")+SUMIFS('NSE - Other Index Options'!$M:$M,'NSE - Other Index Options'!$C:$C,$A17,'NSE - Other Index Options'!$B:$B,D$4,'NSE - Other Index Options'!$I:$I,"Monthly*"))</f>
        <v/>
      </c>
      <c r="E17" s="26">
        <f>IF(SUMIFS('NSE - NIFTY Index Options'!$M:$M,'NSE - NIFTY Index Options'!$C:$C,$A17,'NSE - NIFTY Index Options'!$B:$B,E$4,'NSE - NIFTY Index Options'!$I:$I,"Monthly*")+SUMIFS('NSE - Other Index Options'!$M:$M,'NSE - Other Index Options'!$C:$C,$A17,'NSE - Other Index Options'!$B:$B,E$4,'NSE - Other Index Options'!$I:$I,"Monthly*")=0,"",SUMIFS('NSE - NIFTY Index Options'!$M:$M,'NSE - NIFTY Index Options'!$C:$C,$A17,'NSE - NIFTY Index Options'!$B:$B,E$4,'NSE - NIFTY Index Options'!$I:$I,"Monthly*")+SUMIFS('NSE - Other Index Options'!$M:$M,'NSE - Other Index Options'!$C:$C,$A17,'NSE - Other Index Options'!$B:$B,E$4,'NSE - Other Index Options'!$I:$I,"Monthly*"))</f>
        <v/>
      </c>
      <c r="F17" s="26">
        <f>IF(SUMIFS('NSE - NIFTY Index Options'!$M:$M,'NSE - NIFTY Index Options'!$C:$C,$A17,'NSE - NIFTY Index Options'!$B:$B,F$4,'NSE - NIFTY Index Options'!$I:$I,"Monthly*")+SUMIFS('NSE - Other Index Options'!$M:$M,'NSE - Other Index Options'!$C:$C,$A17,'NSE - Other Index Options'!$B:$B,F$4,'NSE - Other Index Options'!$I:$I,"Monthly*")=0,"",SUMIFS('NSE - NIFTY Index Options'!$M:$M,'NSE - NIFTY Index Options'!$C:$C,$A17,'NSE - NIFTY Index Options'!$B:$B,F$4,'NSE - NIFTY Index Options'!$I:$I,"Monthly*")+SUMIFS('NSE - Other Index Options'!$M:$M,'NSE - Other Index Options'!$C:$C,$A17,'NSE - Other Index Options'!$B:$B,F$4,'NSE - Other Index Options'!$I:$I,"Monthly*"))</f>
        <v/>
      </c>
      <c r="G17" s="26">
        <f>IF(SUMIFS('NSE - NIFTY Index Options'!$M:$M,'NSE - NIFTY Index Options'!$C:$C,$A17,'NSE - NIFTY Index Options'!$B:$B,G$4,'NSE - NIFTY Index Options'!$I:$I,"Monthly*")+SUMIFS('NSE - Other Index Options'!$M:$M,'NSE - Other Index Options'!$C:$C,$A17,'NSE - Other Index Options'!$B:$B,G$4,'NSE - Other Index Options'!$I:$I,"Monthly*")=0,"",SUMIFS('NSE - NIFTY Index Options'!$M:$M,'NSE - NIFTY Index Options'!$C:$C,$A17,'NSE - NIFTY Index Options'!$B:$B,G$4,'NSE - NIFTY Index Options'!$I:$I,"Monthly*")+SUMIFS('NSE - Other Index Options'!$M:$M,'NSE - Other Index Options'!$C:$C,$A17,'NSE - Other Index Options'!$B:$B,G$4,'NSE - Other Index Options'!$I:$I,"Monthly*"))</f>
        <v/>
      </c>
      <c r="H17" s="26">
        <f>IF(SUM(B17:G17)=0,"",SUM(B17:G17))</f>
        <v/>
      </c>
    </row>
    <row r="18">
      <c r="A18" t="inlineStr">
        <is>
          <t>Week4-Nov-2025</t>
        </is>
      </c>
      <c r="B18" s="26">
        <f>IF(SUMIFS('NSE - NIFTY Index Options'!$M:$M,'NSE - NIFTY Index Options'!$C:$C,$A18,'NSE - NIFTY Index Options'!$B:$B,B$4,'NSE - NIFTY Index Options'!$I:$I,"Monthly*")+SUMIFS('NSE - Other Index Options'!$M:$M,'NSE - Other Index Options'!$C:$C,$A18,'NSE - Other Index Options'!$B:$B,B$4,'NSE - Other Index Options'!$I:$I,"Monthly*")=0,"",SUMIFS('NSE - NIFTY Index Options'!$M:$M,'NSE - NIFTY Index Options'!$C:$C,$A18,'NSE - NIFTY Index Options'!$B:$B,B$4,'NSE - NIFTY Index Options'!$I:$I,"Monthly*")+SUMIFS('NSE - Other Index Options'!$M:$M,'NSE - Other Index Options'!$C:$C,$A18,'NSE - Other Index Options'!$B:$B,B$4,'NSE - Other Index Options'!$I:$I,"Monthly*"))</f>
        <v/>
      </c>
      <c r="C18" s="26">
        <f>IF(SUMIFS('NSE - NIFTY Index Options'!$M:$M,'NSE - NIFTY Index Options'!$C:$C,$A18,'NSE - NIFTY Index Options'!$B:$B,C$4,'NSE - NIFTY Index Options'!$I:$I,"Monthly*")+SUMIFS('NSE - Other Index Options'!$M:$M,'NSE - Other Index Options'!$C:$C,$A18,'NSE - Other Index Options'!$B:$B,C$4,'NSE - Other Index Options'!$I:$I,"Monthly*")=0,"",SUMIFS('NSE - NIFTY Index Options'!$M:$M,'NSE - NIFTY Index Options'!$C:$C,$A18,'NSE - NIFTY Index Options'!$B:$B,C$4,'NSE - NIFTY Index Options'!$I:$I,"Monthly*")+SUMIFS('NSE - Other Index Options'!$M:$M,'NSE - Other Index Options'!$C:$C,$A18,'NSE - Other Index Options'!$B:$B,C$4,'NSE - Other Index Options'!$I:$I,"Monthly*"))</f>
        <v/>
      </c>
      <c r="D18" s="26">
        <f>IF(SUMIFS('NSE - NIFTY Index Options'!$M:$M,'NSE - NIFTY Index Options'!$C:$C,$A18,'NSE - NIFTY Index Options'!$B:$B,D$4,'NSE - NIFTY Index Options'!$I:$I,"Monthly*")+SUMIFS('NSE - Other Index Options'!$M:$M,'NSE - Other Index Options'!$C:$C,$A18,'NSE - Other Index Options'!$B:$B,D$4,'NSE - Other Index Options'!$I:$I,"Monthly*")=0,"",SUMIFS('NSE - NIFTY Index Options'!$M:$M,'NSE - NIFTY Index Options'!$C:$C,$A18,'NSE - NIFTY Index Options'!$B:$B,D$4,'NSE - NIFTY Index Options'!$I:$I,"Monthly*")+SUMIFS('NSE - Other Index Options'!$M:$M,'NSE - Other Index Options'!$C:$C,$A18,'NSE - Other Index Options'!$B:$B,D$4,'NSE - Other Index Options'!$I:$I,"Monthly*"))</f>
        <v/>
      </c>
      <c r="E18" s="26">
        <f>IF(SUMIFS('NSE - NIFTY Index Options'!$M:$M,'NSE - NIFTY Index Options'!$C:$C,$A18,'NSE - NIFTY Index Options'!$B:$B,E$4,'NSE - NIFTY Index Options'!$I:$I,"Monthly*")+SUMIFS('NSE - Other Index Options'!$M:$M,'NSE - Other Index Options'!$C:$C,$A18,'NSE - Other Index Options'!$B:$B,E$4,'NSE - Other Index Options'!$I:$I,"Monthly*")=0,"",SUMIFS('NSE - NIFTY Index Options'!$M:$M,'NSE - NIFTY Index Options'!$C:$C,$A18,'NSE - NIFTY Index Options'!$B:$B,E$4,'NSE - NIFTY Index Options'!$I:$I,"Monthly*")+SUMIFS('NSE - Other Index Options'!$M:$M,'NSE - Other Index Options'!$C:$C,$A18,'NSE - Other Index Options'!$B:$B,E$4,'NSE - Other Index Options'!$I:$I,"Monthly*"))</f>
        <v/>
      </c>
      <c r="F18" s="26">
        <f>IF(SUMIFS('NSE - NIFTY Index Options'!$M:$M,'NSE - NIFTY Index Options'!$C:$C,$A18,'NSE - NIFTY Index Options'!$B:$B,F$4,'NSE - NIFTY Index Options'!$I:$I,"Monthly*")+SUMIFS('NSE - Other Index Options'!$M:$M,'NSE - Other Index Options'!$C:$C,$A18,'NSE - Other Index Options'!$B:$B,F$4,'NSE - Other Index Options'!$I:$I,"Monthly*")=0,"",SUMIFS('NSE - NIFTY Index Options'!$M:$M,'NSE - NIFTY Index Options'!$C:$C,$A18,'NSE - NIFTY Index Options'!$B:$B,F$4,'NSE - NIFTY Index Options'!$I:$I,"Monthly*")+SUMIFS('NSE - Other Index Options'!$M:$M,'NSE - Other Index Options'!$C:$C,$A18,'NSE - Other Index Options'!$B:$B,F$4,'NSE - Other Index Options'!$I:$I,"Monthly*"))</f>
        <v/>
      </c>
      <c r="G18" s="26">
        <f>IF(SUMIFS('NSE - NIFTY Index Options'!$M:$M,'NSE - NIFTY Index Options'!$C:$C,$A18,'NSE - NIFTY Index Options'!$B:$B,G$4,'NSE - NIFTY Index Options'!$I:$I,"Monthly*")+SUMIFS('NSE - Other Index Options'!$M:$M,'NSE - Other Index Options'!$C:$C,$A18,'NSE - Other Index Options'!$B:$B,G$4,'NSE - Other Index Options'!$I:$I,"Monthly*")=0,"",SUMIFS('NSE - NIFTY Index Options'!$M:$M,'NSE - NIFTY Index Options'!$C:$C,$A18,'NSE - NIFTY Index Options'!$B:$B,G$4,'NSE - NIFTY Index Options'!$I:$I,"Monthly*")+SUMIFS('NSE - Other Index Options'!$M:$M,'NSE - Other Index Options'!$C:$C,$A18,'NSE - Other Index Options'!$B:$B,G$4,'NSE - Other Index Options'!$I:$I,"Monthly*"))</f>
        <v/>
      </c>
      <c r="H18" s="26">
        <f>IF(SUM(B18:G18)=0,"",SUM(B18:G18))</f>
        <v/>
      </c>
    </row>
    <row r="19">
      <c r="A19" t="inlineStr">
        <is>
          <t>Week5-Nov-2025</t>
        </is>
      </c>
      <c r="B19" s="26">
        <f>IF(SUMIFS('NSE - NIFTY Index Options'!$M:$M,'NSE - NIFTY Index Options'!$C:$C,$A19,'NSE - NIFTY Index Options'!$B:$B,B$4,'NSE - NIFTY Index Options'!$I:$I,"Monthly*")+SUMIFS('NSE - Other Index Options'!$M:$M,'NSE - Other Index Options'!$C:$C,$A19,'NSE - Other Index Options'!$B:$B,B$4,'NSE - Other Index Options'!$I:$I,"Monthly*")=0,"",SUMIFS('NSE - NIFTY Index Options'!$M:$M,'NSE - NIFTY Index Options'!$C:$C,$A19,'NSE - NIFTY Index Options'!$B:$B,B$4,'NSE - NIFTY Index Options'!$I:$I,"Monthly*")+SUMIFS('NSE - Other Index Options'!$M:$M,'NSE - Other Index Options'!$C:$C,$A19,'NSE - Other Index Options'!$B:$B,B$4,'NSE - Other Index Options'!$I:$I,"Monthly*"))</f>
        <v/>
      </c>
      <c r="C19" s="26">
        <f>IF(SUMIFS('NSE - NIFTY Index Options'!$M:$M,'NSE - NIFTY Index Options'!$C:$C,$A19,'NSE - NIFTY Index Options'!$B:$B,C$4,'NSE - NIFTY Index Options'!$I:$I,"Monthly*")+SUMIFS('NSE - Other Index Options'!$M:$M,'NSE - Other Index Options'!$C:$C,$A19,'NSE - Other Index Options'!$B:$B,C$4,'NSE - Other Index Options'!$I:$I,"Monthly*")=0,"",SUMIFS('NSE - NIFTY Index Options'!$M:$M,'NSE - NIFTY Index Options'!$C:$C,$A19,'NSE - NIFTY Index Options'!$B:$B,C$4,'NSE - NIFTY Index Options'!$I:$I,"Monthly*")+SUMIFS('NSE - Other Index Options'!$M:$M,'NSE - Other Index Options'!$C:$C,$A19,'NSE - Other Index Options'!$B:$B,C$4,'NSE - Other Index Options'!$I:$I,"Monthly*"))</f>
        <v/>
      </c>
      <c r="D19" s="26">
        <f>IF(SUMIFS('NSE - NIFTY Index Options'!$M:$M,'NSE - NIFTY Index Options'!$C:$C,$A19,'NSE - NIFTY Index Options'!$B:$B,D$4,'NSE - NIFTY Index Options'!$I:$I,"Monthly*")+SUMIFS('NSE - Other Index Options'!$M:$M,'NSE - Other Index Options'!$C:$C,$A19,'NSE - Other Index Options'!$B:$B,D$4,'NSE - Other Index Options'!$I:$I,"Monthly*")=0,"",SUMIFS('NSE - NIFTY Index Options'!$M:$M,'NSE - NIFTY Index Options'!$C:$C,$A19,'NSE - NIFTY Index Options'!$B:$B,D$4,'NSE - NIFTY Index Options'!$I:$I,"Monthly*")+SUMIFS('NSE - Other Index Options'!$M:$M,'NSE - Other Index Options'!$C:$C,$A19,'NSE - Other Index Options'!$B:$B,D$4,'NSE - Other Index Options'!$I:$I,"Monthly*"))</f>
        <v/>
      </c>
      <c r="E19" s="26">
        <f>IF(SUMIFS('NSE - NIFTY Index Options'!$M:$M,'NSE - NIFTY Index Options'!$C:$C,$A19,'NSE - NIFTY Index Options'!$B:$B,E$4,'NSE - NIFTY Index Options'!$I:$I,"Monthly*")+SUMIFS('NSE - Other Index Options'!$M:$M,'NSE - Other Index Options'!$C:$C,$A19,'NSE - Other Index Options'!$B:$B,E$4,'NSE - Other Index Options'!$I:$I,"Monthly*")=0,"",SUMIFS('NSE - NIFTY Index Options'!$M:$M,'NSE - NIFTY Index Options'!$C:$C,$A19,'NSE - NIFTY Index Options'!$B:$B,E$4,'NSE - NIFTY Index Options'!$I:$I,"Monthly*")+SUMIFS('NSE - Other Index Options'!$M:$M,'NSE - Other Index Options'!$C:$C,$A19,'NSE - Other Index Options'!$B:$B,E$4,'NSE - Other Index Options'!$I:$I,"Monthly*"))</f>
        <v/>
      </c>
      <c r="F19" s="26">
        <f>IF(SUMIFS('NSE - NIFTY Index Options'!$M:$M,'NSE - NIFTY Index Options'!$C:$C,$A19,'NSE - NIFTY Index Options'!$B:$B,F$4,'NSE - NIFTY Index Options'!$I:$I,"Monthly*")+SUMIFS('NSE - Other Index Options'!$M:$M,'NSE - Other Index Options'!$C:$C,$A19,'NSE - Other Index Options'!$B:$B,F$4,'NSE - Other Index Options'!$I:$I,"Monthly*")=0,"",SUMIFS('NSE - NIFTY Index Options'!$M:$M,'NSE - NIFTY Index Options'!$C:$C,$A19,'NSE - NIFTY Index Options'!$B:$B,F$4,'NSE - NIFTY Index Options'!$I:$I,"Monthly*")+SUMIFS('NSE - Other Index Options'!$M:$M,'NSE - Other Index Options'!$C:$C,$A19,'NSE - Other Index Options'!$B:$B,F$4,'NSE - Other Index Options'!$I:$I,"Monthly*"))</f>
        <v/>
      </c>
      <c r="G19" s="26">
        <f>IF(SUMIFS('NSE - NIFTY Index Options'!$M:$M,'NSE - NIFTY Index Options'!$C:$C,$A19,'NSE - NIFTY Index Options'!$B:$B,G$4,'NSE - NIFTY Index Options'!$I:$I,"Monthly*")+SUMIFS('NSE - Other Index Options'!$M:$M,'NSE - Other Index Options'!$C:$C,$A19,'NSE - Other Index Options'!$B:$B,G$4,'NSE - Other Index Options'!$I:$I,"Monthly*")=0,"",SUMIFS('NSE - NIFTY Index Options'!$M:$M,'NSE - NIFTY Index Options'!$C:$C,$A19,'NSE - NIFTY Index Options'!$B:$B,G$4,'NSE - NIFTY Index Options'!$I:$I,"Monthly*")+SUMIFS('NSE - Other Index Options'!$M:$M,'NSE - Other Index Options'!$C:$C,$A19,'NSE - Other Index Options'!$B:$B,G$4,'NSE - Other Index Options'!$I:$I,"Monthly*"))</f>
        <v/>
      </c>
      <c r="H19" s="26">
        <f>IF(SUM(B19:G19)=0,"",SUM(B19:G19))</f>
        <v/>
      </c>
    </row>
    <row r="20">
      <c r="A20" t="inlineStr">
        <is>
          <t>Week1-Dec-2025</t>
        </is>
      </c>
      <c r="B20" s="26">
        <f>IF(SUMIFS('NSE - NIFTY Index Options'!$M:$M,'NSE - NIFTY Index Options'!$C:$C,$A20,'NSE - NIFTY Index Options'!$B:$B,B$4,'NSE - NIFTY Index Options'!$I:$I,"Monthly*")+SUMIFS('NSE - Other Index Options'!$M:$M,'NSE - Other Index Options'!$C:$C,$A20,'NSE - Other Index Options'!$B:$B,B$4,'NSE - Other Index Options'!$I:$I,"Monthly*")=0,"",SUMIFS('NSE - NIFTY Index Options'!$M:$M,'NSE - NIFTY Index Options'!$C:$C,$A20,'NSE - NIFTY Index Options'!$B:$B,B$4,'NSE - NIFTY Index Options'!$I:$I,"Monthly*")+SUMIFS('NSE - Other Index Options'!$M:$M,'NSE - Other Index Options'!$C:$C,$A20,'NSE - Other Index Options'!$B:$B,B$4,'NSE - Other Index Options'!$I:$I,"Monthly*"))</f>
        <v/>
      </c>
      <c r="C20" s="26">
        <f>IF(SUMIFS('NSE - NIFTY Index Options'!$M:$M,'NSE - NIFTY Index Options'!$C:$C,$A20,'NSE - NIFTY Index Options'!$B:$B,C$4,'NSE - NIFTY Index Options'!$I:$I,"Monthly*")+SUMIFS('NSE - Other Index Options'!$M:$M,'NSE - Other Index Options'!$C:$C,$A20,'NSE - Other Index Options'!$B:$B,C$4,'NSE - Other Index Options'!$I:$I,"Monthly*")=0,"",SUMIFS('NSE - NIFTY Index Options'!$M:$M,'NSE - NIFTY Index Options'!$C:$C,$A20,'NSE - NIFTY Index Options'!$B:$B,C$4,'NSE - NIFTY Index Options'!$I:$I,"Monthly*")+SUMIFS('NSE - Other Index Options'!$M:$M,'NSE - Other Index Options'!$C:$C,$A20,'NSE - Other Index Options'!$B:$B,C$4,'NSE - Other Index Options'!$I:$I,"Monthly*"))</f>
        <v/>
      </c>
      <c r="D20" s="26">
        <f>IF(SUMIFS('NSE - NIFTY Index Options'!$M:$M,'NSE - NIFTY Index Options'!$C:$C,$A20,'NSE - NIFTY Index Options'!$B:$B,D$4,'NSE - NIFTY Index Options'!$I:$I,"Monthly*")+SUMIFS('NSE - Other Index Options'!$M:$M,'NSE - Other Index Options'!$C:$C,$A20,'NSE - Other Index Options'!$B:$B,D$4,'NSE - Other Index Options'!$I:$I,"Monthly*")=0,"",SUMIFS('NSE - NIFTY Index Options'!$M:$M,'NSE - NIFTY Index Options'!$C:$C,$A20,'NSE - NIFTY Index Options'!$B:$B,D$4,'NSE - NIFTY Index Options'!$I:$I,"Monthly*")+SUMIFS('NSE - Other Index Options'!$M:$M,'NSE - Other Index Options'!$C:$C,$A20,'NSE - Other Index Options'!$B:$B,D$4,'NSE - Other Index Options'!$I:$I,"Monthly*"))</f>
        <v/>
      </c>
      <c r="E20" s="26">
        <f>IF(SUMIFS('NSE - NIFTY Index Options'!$M:$M,'NSE - NIFTY Index Options'!$C:$C,$A20,'NSE - NIFTY Index Options'!$B:$B,E$4,'NSE - NIFTY Index Options'!$I:$I,"Monthly*")+SUMIFS('NSE - Other Index Options'!$M:$M,'NSE - Other Index Options'!$C:$C,$A20,'NSE - Other Index Options'!$B:$B,E$4,'NSE - Other Index Options'!$I:$I,"Monthly*")=0,"",SUMIFS('NSE - NIFTY Index Options'!$M:$M,'NSE - NIFTY Index Options'!$C:$C,$A20,'NSE - NIFTY Index Options'!$B:$B,E$4,'NSE - NIFTY Index Options'!$I:$I,"Monthly*")+SUMIFS('NSE - Other Index Options'!$M:$M,'NSE - Other Index Options'!$C:$C,$A20,'NSE - Other Index Options'!$B:$B,E$4,'NSE - Other Index Options'!$I:$I,"Monthly*"))</f>
        <v/>
      </c>
      <c r="F20" s="26">
        <f>IF(SUMIFS('NSE - NIFTY Index Options'!$M:$M,'NSE - NIFTY Index Options'!$C:$C,$A20,'NSE - NIFTY Index Options'!$B:$B,F$4,'NSE - NIFTY Index Options'!$I:$I,"Monthly*")+SUMIFS('NSE - Other Index Options'!$M:$M,'NSE - Other Index Options'!$C:$C,$A20,'NSE - Other Index Options'!$B:$B,F$4,'NSE - Other Index Options'!$I:$I,"Monthly*")=0,"",SUMIFS('NSE - NIFTY Index Options'!$M:$M,'NSE - NIFTY Index Options'!$C:$C,$A20,'NSE - NIFTY Index Options'!$B:$B,F$4,'NSE - NIFTY Index Options'!$I:$I,"Monthly*")+SUMIFS('NSE - Other Index Options'!$M:$M,'NSE - Other Index Options'!$C:$C,$A20,'NSE - Other Index Options'!$B:$B,F$4,'NSE - Other Index Options'!$I:$I,"Monthly*"))</f>
        <v/>
      </c>
      <c r="G20" s="26">
        <f>IF(SUMIFS('NSE - NIFTY Index Options'!$M:$M,'NSE - NIFTY Index Options'!$C:$C,$A20,'NSE - NIFTY Index Options'!$B:$B,G$4,'NSE - NIFTY Index Options'!$I:$I,"Monthly*")+SUMIFS('NSE - Other Index Options'!$M:$M,'NSE - Other Index Options'!$C:$C,$A20,'NSE - Other Index Options'!$B:$B,G$4,'NSE - Other Index Options'!$I:$I,"Monthly*")=0,"",SUMIFS('NSE - NIFTY Index Options'!$M:$M,'NSE - NIFTY Index Options'!$C:$C,$A20,'NSE - NIFTY Index Options'!$B:$B,G$4,'NSE - NIFTY Index Options'!$I:$I,"Monthly*")+SUMIFS('NSE - Other Index Options'!$M:$M,'NSE - Other Index Options'!$C:$C,$A20,'NSE - Other Index Options'!$B:$B,G$4,'NSE - Other Index Options'!$I:$I,"Monthly*"))</f>
        <v/>
      </c>
      <c r="H20" s="26">
        <f>IF(SUM(B20:G20)=0,"",SUM(B20:G20))</f>
        <v/>
      </c>
    </row>
    <row r="21">
      <c r="A21" t="inlineStr">
        <is>
          <t>Week2-Dec-2025</t>
        </is>
      </c>
      <c r="B21" s="26">
        <f>IF(SUMIFS('NSE - NIFTY Index Options'!$M:$M,'NSE - NIFTY Index Options'!$C:$C,$A21,'NSE - NIFTY Index Options'!$B:$B,B$4,'NSE - NIFTY Index Options'!$I:$I,"Monthly*")+SUMIFS('NSE - Other Index Options'!$M:$M,'NSE - Other Index Options'!$C:$C,$A21,'NSE - Other Index Options'!$B:$B,B$4,'NSE - Other Index Options'!$I:$I,"Monthly*")=0,"",SUMIFS('NSE - NIFTY Index Options'!$M:$M,'NSE - NIFTY Index Options'!$C:$C,$A21,'NSE - NIFTY Index Options'!$B:$B,B$4,'NSE - NIFTY Index Options'!$I:$I,"Monthly*")+SUMIFS('NSE - Other Index Options'!$M:$M,'NSE - Other Index Options'!$C:$C,$A21,'NSE - Other Index Options'!$B:$B,B$4,'NSE - Other Index Options'!$I:$I,"Monthly*"))</f>
        <v/>
      </c>
      <c r="C21" s="26">
        <f>IF(SUMIFS('NSE - NIFTY Index Options'!$M:$M,'NSE - NIFTY Index Options'!$C:$C,$A21,'NSE - NIFTY Index Options'!$B:$B,C$4,'NSE - NIFTY Index Options'!$I:$I,"Monthly*")+SUMIFS('NSE - Other Index Options'!$M:$M,'NSE - Other Index Options'!$C:$C,$A21,'NSE - Other Index Options'!$B:$B,C$4,'NSE - Other Index Options'!$I:$I,"Monthly*")=0,"",SUMIFS('NSE - NIFTY Index Options'!$M:$M,'NSE - NIFTY Index Options'!$C:$C,$A21,'NSE - NIFTY Index Options'!$B:$B,C$4,'NSE - NIFTY Index Options'!$I:$I,"Monthly*")+SUMIFS('NSE - Other Index Options'!$M:$M,'NSE - Other Index Options'!$C:$C,$A21,'NSE - Other Index Options'!$B:$B,C$4,'NSE - Other Index Options'!$I:$I,"Monthly*"))</f>
        <v/>
      </c>
      <c r="D21" s="26">
        <f>IF(SUMIFS('NSE - NIFTY Index Options'!$M:$M,'NSE - NIFTY Index Options'!$C:$C,$A21,'NSE - NIFTY Index Options'!$B:$B,D$4,'NSE - NIFTY Index Options'!$I:$I,"Monthly*")+SUMIFS('NSE - Other Index Options'!$M:$M,'NSE - Other Index Options'!$C:$C,$A21,'NSE - Other Index Options'!$B:$B,D$4,'NSE - Other Index Options'!$I:$I,"Monthly*")=0,"",SUMIFS('NSE - NIFTY Index Options'!$M:$M,'NSE - NIFTY Index Options'!$C:$C,$A21,'NSE - NIFTY Index Options'!$B:$B,D$4,'NSE - NIFTY Index Options'!$I:$I,"Monthly*")+SUMIFS('NSE - Other Index Options'!$M:$M,'NSE - Other Index Options'!$C:$C,$A21,'NSE - Other Index Options'!$B:$B,D$4,'NSE - Other Index Options'!$I:$I,"Monthly*"))</f>
        <v/>
      </c>
      <c r="E21" s="26">
        <f>IF(SUMIFS('NSE - NIFTY Index Options'!$M:$M,'NSE - NIFTY Index Options'!$C:$C,$A21,'NSE - NIFTY Index Options'!$B:$B,E$4,'NSE - NIFTY Index Options'!$I:$I,"Monthly*")+SUMIFS('NSE - Other Index Options'!$M:$M,'NSE - Other Index Options'!$C:$C,$A21,'NSE - Other Index Options'!$B:$B,E$4,'NSE - Other Index Options'!$I:$I,"Monthly*")=0,"",SUMIFS('NSE - NIFTY Index Options'!$M:$M,'NSE - NIFTY Index Options'!$C:$C,$A21,'NSE - NIFTY Index Options'!$B:$B,E$4,'NSE - NIFTY Index Options'!$I:$I,"Monthly*")+SUMIFS('NSE - Other Index Options'!$M:$M,'NSE - Other Index Options'!$C:$C,$A21,'NSE - Other Index Options'!$B:$B,E$4,'NSE - Other Index Options'!$I:$I,"Monthly*"))</f>
        <v/>
      </c>
      <c r="F21" s="26">
        <f>IF(SUMIFS('NSE - NIFTY Index Options'!$M:$M,'NSE - NIFTY Index Options'!$C:$C,$A21,'NSE - NIFTY Index Options'!$B:$B,F$4,'NSE - NIFTY Index Options'!$I:$I,"Monthly*")+SUMIFS('NSE - Other Index Options'!$M:$M,'NSE - Other Index Options'!$C:$C,$A21,'NSE - Other Index Options'!$B:$B,F$4,'NSE - Other Index Options'!$I:$I,"Monthly*")=0,"",SUMIFS('NSE - NIFTY Index Options'!$M:$M,'NSE - NIFTY Index Options'!$C:$C,$A21,'NSE - NIFTY Index Options'!$B:$B,F$4,'NSE - NIFTY Index Options'!$I:$I,"Monthly*")+SUMIFS('NSE - Other Index Options'!$M:$M,'NSE - Other Index Options'!$C:$C,$A21,'NSE - Other Index Options'!$B:$B,F$4,'NSE - Other Index Options'!$I:$I,"Monthly*"))</f>
        <v/>
      </c>
      <c r="G21" s="26">
        <f>IF(SUMIFS('NSE - NIFTY Index Options'!$M:$M,'NSE - NIFTY Index Options'!$C:$C,$A21,'NSE - NIFTY Index Options'!$B:$B,G$4,'NSE - NIFTY Index Options'!$I:$I,"Monthly*")+SUMIFS('NSE - Other Index Options'!$M:$M,'NSE - Other Index Options'!$C:$C,$A21,'NSE - Other Index Options'!$B:$B,G$4,'NSE - Other Index Options'!$I:$I,"Monthly*")=0,"",SUMIFS('NSE - NIFTY Index Options'!$M:$M,'NSE - NIFTY Index Options'!$C:$C,$A21,'NSE - NIFTY Index Options'!$B:$B,G$4,'NSE - NIFTY Index Options'!$I:$I,"Monthly*")+SUMIFS('NSE - Other Index Options'!$M:$M,'NSE - Other Index Options'!$C:$C,$A21,'NSE - Other Index Options'!$B:$B,G$4,'NSE - Other Index Options'!$I:$I,"Monthly*"))</f>
        <v/>
      </c>
      <c r="H21" s="26">
        <f>IF(SUM(B21:G21)=0,"",SUM(B21:G21))</f>
        <v/>
      </c>
    </row>
    <row r="22">
      <c r="A22" t="inlineStr">
        <is>
          <t>Week3-Dec-2025</t>
        </is>
      </c>
      <c r="B22" s="26">
        <f>IF(SUMIFS('NSE - NIFTY Index Options'!$M:$M,'NSE - NIFTY Index Options'!$C:$C,$A22,'NSE - NIFTY Index Options'!$B:$B,B$4,'NSE - NIFTY Index Options'!$I:$I,"Monthly*")+SUMIFS('NSE - Other Index Options'!$M:$M,'NSE - Other Index Options'!$C:$C,$A22,'NSE - Other Index Options'!$B:$B,B$4,'NSE - Other Index Options'!$I:$I,"Monthly*")=0,"",SUMIFS('NSE - NIFTY Index Options'!$M:$M,'NSE - NIFTY Index Options'!$C:$C,$A22,'NSE - NIFTY Index Options'!$B:$B,B$4,'NSE - NIFTY Index Options'!$I:$I,"Monthly*")+SUMIFS('NSE - Other Index Options'!$M:$M,'NSE - Other Index Options'!$C:$C,$A22,'NSE - Other Index Options'!$B:$B,B$4,'NSE - Other Index Options'!$I:$I,"Monthly*"))</f>
        <v/>
      </c>
      <c r="C22" s="26">
        <f>IF(SUMIFS('NSE - NIFTY Index Options'!$M:$M,'NSE - NIFTY Index Options'!$C:$C,$A22,'NSE - NIFTY Index Options'!$B:$B,C$4,'NSE - NIFTY Index Options'!$I:$I,"Monthly*")+SUMIFS('NSE - Other Index Options'!$M:$M,'NSE - Other Index Options'!$C:$C,$A22,'NSE - Other Index Options'!$B:$B,C$4,'NSE - Other Index Options'!$I:$I,"Monthly*")=0,"",SUMIFS('NSE - NIFTY Index Options'!$M:$M,'NSE - NIFTY Index Options'!$C:$C,$A22,'NSE - NIFTY Index Options'!$B:$B,C$4,'NSE - NIFTY Index Options'!$I:$I,"Monthly*")+SUMIFS('NSE - Other Index Options'!$M:$M,'NSE - Other Index Options'!$C:$C,$A22,'NSE - Other Index Options'!$B:$B,C$4,'NSE - Other Index Options'!$I:$I,"Monthly*"))</f>
        <v/>
      </c>
      <c r="D22" s="26">
        <f>IF(SUMIFS('NSE - NIFTY Index Options'!$M:$M,'NSE - NIFTY Index Options'!$C:$C,$A22,'NSE - NIFTY Index Options'!$B:$B,D$4,'NSE - NIFTY Index Options'!$I:$I,"Monthly*")+SUMIFS('NSE - Other Index Options'!$M:$M,'NSE - Other Index Options'!$C:$C,$A22,'NSE - Other Index Options'!$B:$B,D$4,'NSE - Other Index Options'!$I:$I,"Monthly*")=0,"",SUMIFS('NSE - NIFTY Index Options'!$M:$M,'NSE - NIFTY Index Options'!$C:$C,$A22,'NSE - NIFTY Index Options'!$B:$B,D$4,'NSE - NIFTY Index Options'!$I:$I,"Monthly*")+SUMIFS('NSE - Other Index Options'!$M:$M,'NSE - Other Index Options'!$C:$C,$A22,'NSE - Other Index Options'!$B:$B,D$4,'NSE - Other Index Options'!$I:$I,"Monthly*"))</f>
        <v/>
      </c>
      <c r="E22" s="26">
        <f>IF(SUMIFS('NSE - NIFTY Index Options'!$M:$M,'NSE - NIFTY Index Options'!$C:$C,$A22,'NSE - NIFTY Index Options'!$B:$B,E$4,'NSE - NIFTY Index Options'!$I:$I,"Monthly*")+SUMIFS('NSE - Other Index Options'!$M:$M,'NSE - Other Index Options'!$C:$C,$A22,'NSE - Other Index Options'!$B:$B,E$4,'NSE - Other Index Options'!$I:$I,"Monthly*")=0,"",SUMIFS('NSE - NIFTY Index Options'!$M:$M,'NSE - NIFTY Index Options'!$C:$C,$A22,'NSE - NIFTY Index Options'!$B:$B,E$4,'NSE - NIFTY Index Options'!$I:$I,"Monthly*")+SUMIFS('NSE - Other Index Options'!$M:$M,'NSE - Other Index Options'!$C:$C,$A22,'NSE - Other Index Options'!$B:$B,E$4,'NSE - Other Index Options'!$I:$I,"Monthly*"))</f>
        <v/>
      </c>
      <c r="F22" s="26">
        <f>IF(SUMIFS('NSE - NIFTY Index Options'!$M:$M,'NSE - NIFTY Index Options'!$C:$C,$A22,'NSE - NIFTY Index Options'!$B:$B,F$4,'NSE - NIFTY Index Options'!$I:$I,"Monthly*")+SUMIFS('NSE - Other Index Options'!$M:$M,'NSE - Other Index Options'!$C:$C,$A22,'NSE - Other Index Options'!$B:$B,F$4,'NSE - Other Index Options'!$I:$I,"Monthly*")=0,"",SUMIFS('NSE - NIFTY Index Options'!$M:$M,'NSE - NIFTY Index Options'!$C:$C,$A22,'NSE - NIFTY Index Options'!$B:$B,F$4,'NSE - NIFTY Index Options'!$I:$I,"Monthly*")+SUMIFS('NSE - Other Index Options'!$M:$M,'NSE - Other Index Options'!$C:$C,$A22,'NSE - Other Index Options'!$B:$B,F$4,'NSE - Other Index Options'!$I:$I,"Monthly*"))</f>
        <v/>
      </c>
      <c r="G22" s="26">
        <f>IF(SUMIFS('NSE - NIFTY Index Options'!$M:$M,'NSE - NIFTY Index Options'!$C:$C,$A22,'NSE - NIFTY Index Options'!$B:$B,G$4,'NSE - NIFTY Index Options'!$I:$I,"Monthly*")+SUMIFS('NSE - Other Index Options'!$M:$M,'NSE - Other Index Options'!$C:$C,$A22,'NSE - Other Index Options'!$B:$B,G$4,'NSE - Other Index Options'!$I:$I,"Monthly*")=0,"",SUMIFS('NSE - NIFTY Index Options'!$M:$M,'NSE - NIFTY Index Options'!$C:$C,$A22,'NSE - NIFTY Index Options'!$B:$B,G$4,'NSE - NIFTY Index Options'!$I:$I,"Monthly*")+SUMIFS('NSE - Other Index Options'!$M:$M,'NSE - Other Index Options'!$C:$C,$A22,'NSE - Other Index Options'!$B:$B,G$4,'NSE - Other Index Options'!$I:$I,"Monthly*"))</f>
        <v/>
      </c>
      <c r="H22" s="26">
        <f>IF(SUM(B22:G22)=0,"",SUM(B22:G22))</f>
        <v/>
      </c>
    </row>
    <row r="23">
      <c r="A23" t="inlineStr">
        <is>
          <t>Week4-Dec-2025</t>
        </is>
      </c>
      <c r="B23" s="26">
        <f>IF(SUMIFS('NSE - NIFTY Index Options'!$M:$M,'NSE - NIFTY Index Options'!$C:$C,$A23,'NSE - NIFTY Index Options'!$B:$B,B$4,'NSE - NIFTY Index Options'!$I:$I,"Monthly*")+SUMIFS('NSE - Other Index Options'!$M:$M,'NSE - Other Index Options'!$C:$C,$A23,'NSE - Other Index Options'!$B:$B,B$4,'NSE - Other Index Options'!$I:$I,"Monthly*")=0,"",SUMIFS('NSE - NIFTY Index Options'!$M:$M,'NSE - NIFTY Index Options'!$C:$C,$A23,'NSE - NIFTY Index Options'!$B:$B,B$4,'NSE - NIFTY Index Options'!$I:$I,"Monthly*")+SUMIFS('NSE - Other Index Options'!$M:$M,'NSE - Other Index Options'!$C:$C,$A23,'NSE - Other Index Options'!$B:$B,B$4,'NSE - Other Index Options'!$I:$I,"Monthly*"))</f>
        <v/>
      </c>
      <c r="C23" s="26">
        <f>IF(SUMIFS('NSE - NIFTY Index Options'!$M:$M,'NSE - NIFTY Index Options'!$C:$C,$A23,'NSE - NIFTY Index Options'!$B:$B,C$4,'NSE - NIFTY Index Options'!$I:$I,"Monthly*")+SUMIFS('NSE - Other Index Options'!$M:$M,'NSE - Other Index Options'!$C:$C,$A23,'NSE - Other Index Options'!$B:$B,C$4,'NSE - Other Index Options'!$I:$I,"Monthly*")=0,"",SUMIFS('NSE - NIFTY Index Options'!$M:$M,'NSE - NIFTY Index Options'!$C:$C,$A23,'NSE - NIFTY Index Options'!$B:$B,C$4,'NSE - NIFTY Index Options'!$I:$I,"Monthly*")+SUMIFS('NSE - Other Index Options'!$M:$M,'NSE - Other Index Options'!$C:$C,$A23,'NSE - Other Index Options'!$B:$B,C$4,'NSE - Other Index Options'!$I:$I,"Monthly*"))</f>
        <v/>
      </c>
      <c r="D23" s="26">
        <f>IF(SUMIFS('NSE - NIFTY Index Options'!$M:$M,'NSE - NIFTY Index Options'!$C:$C,$A23,'NSE - NIFTY Index Options'!$B:$B,D$4,'NSE - NIFTY Index Options'!$I:$I,"Monthly*")+SUMIFS('NSE - Other Index Options'!$M:$M,'NSE - Other Index Options'!$C:$C,$A23,'NSE - Other Index Options'!$B:$B,D$4,'NSE - Other Index Options'!$I:$I,"Monthly*")=0,"",SUMIFS('NSE - NIFTY Index Options'!$M:$M,'NSE - NIFTY Index Options'!$C:$C,$A23,'NSE - NIFTY Index Options'!$B:$B,D$4,'NSE - NIFTY Index Options'!$I:$I,"Monthly*")+SUMIFS('NSE - Other Index Options'!$M:$M,'NSE - Other Index Options'!$C:$C,$A23,'NSE - Other Index Options'!$B:$B,D$4,'NSE - Other Index Options'!$I:$I,"Monthly*"))</f>
        <v/>
      </c>
      <c r="E23" s="26">
        <f>IF(SUMIFS('NSE - NIFTY Index Options'!$M:$M,'NSE - NIFTY Index Options'!$C:$C,$A23,'NSE - NIFTY Index Options'!$B:$B,E$4,'NSE - NIFTY Index Options'!$I:$I,"Monthly*")+SUMIFS('NSE - Other Index Options'!$M:$M,'NSE - Other Index Options'!$C:$C,$A23,'NSE - Other Index Options'!$B:$B,E$4,'NSE - Other Index Options'!$I:$I,"Monthly*")=0,"",SUMIFS('NSE - NIFTY Index Options'!$M:$M,'NSE - NIFTY Index Options'!$C:$C,$A23,'NSE - NIFTY Index Options'!$B:$B,E$4,'NSE - NIFTY Index Options'!$I:$I,"Monthly*")+SUMIFS('NSE - Other Index Options'!$M:$M,'NSE - Other Index Options'!$C:$C,$A23,'NSE - Other Index Options'!$B:$B,E$4,'NSE - Other Index Options'!$I:$I,"Monthly*"))</f>
        <v/>
      </c>
      <c r="F23" s="26">
        <f>IF(SUMIFS('NSE - NIFTY Index Options'!$M:$M,'NSE - NIFTY Index Options'!$C:$C,$A23,'NSE - NIFTY Index Options'!$B:$B,F$4,'NSE - NIFTY Index Options'!$I:$I,"Monthly*")+SUMIFS('NSE - Other Index Options'!$M:$M,'NSE - Other Index Options'!$C:$C,$A23,'NSE - Other Index Options'!$B:$B,F$4,'NSE - Other Index Options'!$I:$I,"Monthly*")=0,"",SUMIFS('NSE - NIFTY Index Options'!$M:$M,'NSE - NIFTY Index Options'!$C:$C,$A23,'NSE - NIFTY Index Options'!$B:$B,F$4,'NSE - NIFTY Index Options'!$I:$I,"Monthly*")+SUMIFS('NSE - Other Index Options'!$M:$M,'NSE - Other Index Options'!$C:$C,$A23,'NSE - Other Index Options'!$B:$B,F$4,'NSE - Other Index Options'!$I:$I,"Monthly*"))</f>
        <v/>
      </c>
      <c r="G23" s="26">
        <f>IF(SUMIFS('NSE - NIFTY Index Options'!$M:$M,'NSE - NIFTY Index Options'!$C:$C,$A23,'NSE - NIFTY Index Options'!$B:$B,G$4,'NSE - NIFTY Index Options'!$I:$I,"Monthly*")+SUMIFS('NSE - Other Index Options'!$M:$M,'NSE - Other Index Options'!$C:$C,$A23,'NSE - Other Index Options'!$B:$B,G$4,'NSE - Other Index Options'!$I:$I,"Monthly*")=0,"",SUMIFS('NSE - NIFTY Index Options'!$M:$M,'NSE - NIFTY Index Options'!$C:$C,$A23,'NSE - NIFTY Index Options'!$B:$B,G$4,'NSE - NIFTY Index Options'!$I:$I,"Monthly*")+SUMIFS('NSE - Other Index Options'!$M:$M,'NSE - Other Index Options'!$C:$C,$A23,'NSE - Other Index Options'!$B:$B,G$4,'NSE - Other Index Options'!$I:$I,"Monthly*"))</f>
        <v/>
      </c>
      <c r="H23" s="26">
        <f>IF(SUM(B23:G23)=0,"",SUM(B23:G23))</f>
        <v/>
      </c>
    </row>
    <row r="24">
      <c r="A24" t="inlineStr">
        <is>
          <t>Week5-Dec-2025</t>
        </is>
      </c>
      <c r="B24" s="26">
        <f>IF(SUMIFS('NSE - NIFTY Index Options'!$M:$M,'NSE - NIFTY Index Options'!$C:$C,$A24,'NSE - NIFTY Index Options'!$B:$B,B$4,'NSE - NIFTY Index Options'!$I:$I,"Monthly*")+SUMIFS('NSE - Other Index Options'!$M:$M,'NSE - Other Index Options'!$C:$C,$A24,'NSE - Other Index Options'!$B:$B,B$4,'NSE - Other Index Options'!$I:$I,"Monthly*")=0,"",SUMIFS('NSE - NIFTY Index Options'!$M:$M,'NSE - NIFTY Index Options'!$C:$C,$A24,'NSE - NIFTY Index Options'!$B:$B,B$4,'NSE - NIFTY Index Options'!$I:$I,"Monthly*")+SUMIFS('NSE - Other Index Options'!$M:$M,'NSE - Other Index Options'!$C:$C,$A24,'NSE - Other Index Options'!$B:$B,B$4,'NSE - Other Index Options'!$I:$I,"Monthly*"))</f>
        <v/>
      </c>
      <c r="C24" s="26">
        <f>IF(SUMIFS('NSE - NIFTY Index Options'!$M:$M,'NSE - NIFTY Index Options'!$C:$C,$A24,'NSE - NIFTY Index Options'!$B:$B,C$4,'NSE - NIFTY Index Options'!$I:$I,"Monthly*")+SUMIFS('NSE - Other Index Options'!$M:$M,'NSE - Other Index Options'!$C:$C,$A24,'NSE - Other Index Options'!$B:$B,C$4,'NSE - Other Index Options'!$I:$I,"Monthly*")=0,"",SUMIFS('NSE - NIFTY Index Options'!$M:$M,'NSE - NIFTY Index Options'!$C:$C,$A24,'NSE - NIFTY Index Options'!$B:$B,C$4,'NSE - NIFTY Index Options'!$I:$I,"Monthly*")+SUMIFS('NSE - Other Index Options'!$M:$M,'NSE - Other Index Options'!$C:$C,$A24,'NSE - Other Index Options'!$B:$B,C$4,'NSE - Other Index Options'!$I:$I,"Monthly*"))</f>
        <v/>
      </c>
      <c r="D24" s="26">
        <f>IF(SUMIFS('NSE - NIFTY Index Options'!$M:$M,'NSE - NIFTY Index Options'!$C:$C,$A24,'NSE - NIFTY Index Options'!$B:$B,D$4,'NSE - NIFTY Index Options'!$I:$I,"Monthly*")+SUMIFS('NSE - Other Index Options'!$M:$M,'NSE - Other Index Options'!$C:$C,$A24,'NSE - Other Index Options'!$B:$B,D$4,'NSE - Other Index Options'!$I:$I,"Monthly*")=0,"",SUMIFS('NSE - NIFTY Index Options'!$M:$M,'NSE - NIFTY Index Options'!$C:$C,$A24,'NSE - NIFTY Index Options'!$B:$B,D$4,'NSE - NIFTY Index Options'!$I:$I,"Monthly*")+SUMIFS('NSE - Other Index Options'!$M:$M,'NSE - Other Index Options'!$C:$C,$A24,'NSE - Other Index Options'!$B:$B,D$4,'NSE - Other Index Options'!$I:$I,"Monthly*"))</f>
        <v/>
      </c>
      <c r="E24" s="26">
        <f>IF(SUMIFS('NSE - NIFTY Index Options'!$M:$M,'NSE - NIFTY Index Options'!$C:$C,$A24,'NSE - NIFTY Index Options'!$B:$B,E$4,'NSE - NIFTY Index Options'!$I:$I,"Monthly*")+SUMIFS('NSE - Other Index Options'!$M:$M,'NSE - Other Index Options'!$C:$C,$A24,'NSE - Other Index Options'!$B:$B,E$4,'NSE - Other Index Options'!$I:$I,"Monthly*")=0,"",SUMIFS('NSE - NIFTY Index Options'!$M:$M,'NSE - NIFTY Index Options'!$C:$C,$A24,'NSE - NIFTY Index Options'!$B:$B,E$4,'NSE - NIFTY Index Options'!$I:$I,"Monthly*")+SUMIFS('NSE - Other Index Options'!$M:$M,'NSE - Other Index Options'!$C:$C,$A24,'NSE - Other Index Options'!$B:$B,E$4,'NSE - Other Index Options'!$I:$I,"Monthly*"))</f>
        <v/>
      </c>
      <c r="F24" s="26">
        <f>IF(SUMIFS('NSE - NIFTY Index Options'!$M:$M,'NSE - NIFTY Index Options'!$C:$C,$A24,'NSE - NIFTY Index Options'!$B:$B,F$4,'NSE - NIFTY Index Options'!$I:$I,"Monthly*")+SUMIFS('NSE - Other Index Options'!$M:$M,'NSE - Other Index Options'!$C:$C,$A24,'NSE - Other Index Options'!$B:$B,F$4,'NSE - Other Index Options'!$I:$I,"Monthly*")=0,"",SUMIFS('NSE - NIFTY Index Options'!$M:$M,'NSE - NIFTY Index Options'!$C:$C,$A24,'NSE - NIFTY Index Options'!$B:$B,F$4,'NSE - NIFTY Index Options'!$I:$I,"Monthly*")+SUMIFS('NSE - Other Index Options'!$M:$M,'NSE - Other Index Options'!$C:$C,$A24,'NSE - Other Index Options'!$B:$B,F$4,'NSE - Other Index Options'!$I:$I,"Monthly*"))</f>
        <v/>
      </c>
      <c r="G24" s="26">
        <f>IF(SUMIFS('NSE - NIFTY Index Options'!$M:$M,'NSE - NIFTY Index Options'!$C:$C,$A24,'NSE - NIFTY Index Options'!$B:$B,G$4,'NSE - NIFTY Index Options'!$I:$I,"Monthly*")+SUMIFS('NSE - Other Index Options'!$M:$M,'NSE - Other Index Options'!$C:$C,$A24,'NSE - Other Index Options'!$B:$B,G$4,'NSE - Other Index Options'!$I:$I,"Monthly*")=0,"",SUMIFS('NSE - NIFTY Index Options'!$M:$M,'NSE - NIFTY Index Options'!$C:$C,$A24,'NSE - NIFTY Index Options'!$B:$B,G$4,'NSE - NIFTY Index Options'!$I:$I,"Monthly*")+SUMIFS('NSE - Other Index Options'!$M:$M,'NSE - Other Index Options'!$C:$C,$A24,'NSE - Other Index Options'!$B:$B,G$4,'NSE - Other Index Options'!$I:$I,"Monthly*"))</f>
        <v/>
      </c>
      <c r="H24" s="26">
        <f>IF(SUM(B24:G24)=0,"",SUM(B24:G24))</f>
        <v/>
      </c>
    </row>
    <row r="25">
      <c r="A25" t="inlineStr">
        <is>
          <t>Week1-Jan-2026</t>
        </is>
      </c>
      <c r="B25" s="26">
        <f>IF(SUMIFS('NSE - NIFTY Index Options'!$M:$M,'NSE - NIFTY Index Options'!$C:$C,$A25,'NSE - NIFTY Index Options'!$B:$B,B$4,'NSE - NIFTY Index Options'!$I:$I,"Monthly*")+SUMIFS('NSE - Other Index Options'!$M:$M,'NSE - Other Index Options'!$C:$C,$A25,'NSE - Other Index Options'!$B:$B,B$4,'NSE - Other Index Options'!$I:$I,"Monthly*")=0,"",SUMIFS('NSE - NIFTY Index Options'!$M:$M,'NSE - NIFTY Index Options'!$C:$C,$A25,'NSE - NIFTY Index Options'!$B:$B,B$4,'NSE - NIFTY Index Options'!$I:$I,"Monthly*")+SUMIFS('NSE - Other Index Options'!$M:$M,'NSE - Other Index Options'!$C:$C,$A25,'NSE - Other Index Options'!$B:$B,B$4,'NSE - Other Index Options'!$I:$I,"Monthly*"))</f>
        <v/>
      </c>
      <c r="C25" s="26">
        <f>IF(SUMIFS('NSE - NIFTY Index Options'!$M:$M,'NSE - NIFTY Index Options'!$C:$C,$A25,'NSE - NIFTY Index Options'!$B:$B,C$4,'NSE - NIFTY Index Options'!$I:$I,"Monthly*")+SUMIFS('NSE - Other Index Options'!$M:$M,'NSE - Other Index Options'!$C:$C,$A25,'NSE - Other Index Options'!$B:$B,C$4,'NSE - Other Index Options'!$I:$I,"Monthly*")=0,"",SUMIFS('NSE - NIFTY Index Options'!$M:$M,'NSE - NIFTY Index Options'!$C:$C,$A25,'NSE - NIFTY Index Options'!$B:$B,C$4,'NSE - NIFTY Index Options'!$I:$I,"Monthly*")+SUMIFS('NSE - Other Index Options'!$M:$M,'NSE - Other Index Options'!$C:$C,$A25,'NSE - Other Index Options'!$B:$B,C$4,'NSE - Other Index Options'!$I:$I,"Monthly*"))</f>
        <v/>
      </c>
      <c r="D25" s="26">
        <f>IF(SUMIFS('NSE - NIFTY Index Options'!$M:$M,'NSE - NIFTY Index Options'!$C:$C,$A25,'NSE - NIFTY Index Options'!$B:$B,D$4,'NSE - NIFTY Index Options'!$I:$I,"Monthly*")+SUMIFS('NSE - Other Index Options'!$M:$M,'NSE - Other Index Options'!$C:$C,$A25,'NSE - Other Index Options'!$B:$B,D$4,'NSE - Other Index Options'!$I:$I,"Monthly*")=0,"",SUMIFS('NSE - NIFTY Index Options'!$M:$M,'NSE - NIFTY Index Options'!$C:$C,$A25,'NSE - NIFTY Index Options'!$B:$B,D$4,'NSE - NIFTY Index Options'!$I:$I,"Monthly*")+SUMIFS('NSE - Other Index Options'!$M:$M,'NSE - Other Index Options'!$C:$C,$A25,'NSE - Other Index Options'!$B:$B,D$4,'NSE - Other Index Options'!$I:$I,"Monthly*"))</f>
        <v/>
      </c>
      <c r="E25" s="26">
        <f>IF(SUMIFS('NSE - NIFTY Index Options'!$M:$M,'NSE - NIFTY Index Options'!$C:$C,$A25,'NSE - NIFTY Index Options'!$B:$B,E$4,'NSE - NIFTY Index Options'!$I:$I,"Monthly*")+SUMIFS('NSE - Other Index Options'!$M:$M,'NSE - Other Index Options'!$C:$C,$A25,'NSE - Other Index Options'!$B:$B,E$4,'NSE - Other Index Options'!$I:$I,"Monthly*")=0,"",SUMIFS('NSE - NIFTY Index Options'!$M:$M,'NSE - NIFTY Index Options'!$C:$C,$A25,'NSE - NIFTY Index Options'!$B:$B,E$4,'NSE - NIFTY Index Options'!$I:$I,"Monthly*")+SUMIFS('NSE - Other Index Options'!$M:$M,'NSE - Other Index Options'!$C:$C,$A25,'NSE - Other Index Options'!$B:$B,E$4,'NSE - Other Index Options'!$I:$I,"Monthly*"))</f>
        <v/>
      </c>
      <c r="F25" s="26">
        <f>IF(SUMIFS('NSE - NIFTY Index Options'!$M:$M,'NSE - NIFTY Index Options'!$C:$C,$A25,'NSE - NIFTY Index Options'!$B:$B,F$4,'NSE - NIFTY Index Options'!$I:$I,"Monthly*")+SUMIFS('NSE - Other Index Options'!$M:$M,'NSE - Other Index Options'!$C:$C,$A25,'NSE - Other Index Options'!$B:$B,F$4,'NSE - Other Index Options'!$I:$I,"Monthly*")=0,"",SUMIFS('NSE - NIFTY Index Options'!$M:$M,'NSE - NIFTY Index Options'!$C:$C,$A25,'NSE - NIFTY Index Options'!$B:$B,F$4,'NSE - NIFTY Index Options'!$I:$I,"Monthly*")+SUMIFS('NSE - Other Index Options'!$M:$M,'NSE - Other Index Options'!$C:$C,$A25,'NSE - Other Index Options'!$B:$B,F$4,'NSE - Other Index Options'!$I:$I,"Monthly*"))</f>
        <v/>
      </c>
      <c r="G25" s="26">
        <f>IF(SUMIFS('NSE - NIFTY Index Options'!$M:$M,'NSE - NIFTY Index Options'!$C:$C,$A25,'NSE - NIFTY Index Options'!$B:$B,G$4,'NSE - NIFTY Index Options'!$I:$I,"Monthly*")+SUMIFS('NSE - Other Index Options'!$M:$M,'NSE - Other Index Options'!$C:$C,$A25,'NSE - Other Index Options'!$B:$B,G$4,'NSE - Other Index Options'!$I:$I,"Monthly*")=0,"",SUMIFS('NSE - NIFTY Index Options'!$M:$M,'NSE - NIFTY Index Options'!$C:$C,$A25,'NSE - NIFTY Index Options'!$B:$B,G$4,'NSE - NIFTY Index Options'!$I:$I,"Monthly*")+SUMIFS('NSE - Other Index Options'!$M:$M,'NSE - Other Index Options'!$C:$C,$A25,'NSE - Other Index Options'!$B:$B,G$4,'NSE - Other Index Options'!$I:$I,"Monthly*"))</f>
        <v/>
      </c>
      <c r="H25" s="26">
        <f>IF(SUM(B25:G25)=0,"",SUM(B25:G25))</f>
        <v/>
      </c>
    </row>
    <row r="26">
      <c r="A26" t="inlineStr">
        <is>
          <t>Week2-Jan-2026</t>
        </is>
      </c>
      <c r="B26" s="26">
        <f>IF(SUMIFS('NSE - NIFTY Index Options'!$M:$M,'NSE - NIFTY Index Options'!$C:$C,$A26,'NSE - NIFTY Index Options'!$B:$B,B$4,'NSE - NIFTY Index Options'!$I:$I,"Monthly*")+SUMIFS('NSE - Other Index Options'!$M:$M,'NSE - Other Index Options'!$C:$C,$A26,'NSE - Other Index Options'!$B:$B,B$4,'NSE - Other Index Options'!$I:$I,"Monthly*")=0,"",SUMIFS('NSE - NIFTY Index Options'!$M:$M,'NSE - NIFTY Index Options'!$C:$C,$A26,'NSE - NIFTY Index Options'!$B:$B,B$4,'NSE - NIFTY Index Options'!$I:$I,"Monthly*")+SUMIFS('NSE - Other Index Options'!$M:$M,'NSE - Other Index Options'!$C:$C,$A26,'NSE - Other Index Options'!$B:$B,B$4,'NSE - Other Index Options'!$I:$I,"Monthly*"))</f>
        <v/>
      </c>
      <c r="C26" s="26">
        <f>IF(SUMIFS('NSE - NIFTY Index Options'!$M:$M,'NSE - NIFTY Index Options'!$C:$C,$A26,'NSE - NIFTY Index Options'!$B:$B,C$4,'NSE - NIFTY Index Options'!$I:$I,"Monthly*")+SUMIFS('NSE - Other Index Options'!$M:$M,'NSE - Other Index Options'!$C:$C,$A26,'NSE - Other Index Options'!$B:$B,C$4,'NSE - Other Index Options'!$I:$I,"Monthly*")=0,"",SUMIFS('NSE - NIFTY Index Options'!$M:$M,'NSE - NIFTY Index Options'!$C:$C,$A26,'NSE - NIFTY Index Options'!$B:$B,C$4,'NSE - NIFTY Index Options'!$I:$I,"Monthly*")+SUMIFS('NSE - Other Index Options'!$M:$M,'NSE - Other Index Options'!$C:$C,$A26,'NSE - Other Index Options'!$B:$B,C$4,'NSE - Other Index Options'!$I:$I,"Monthly*"))</f>
        <v/>
      </c>
      <c r="D26" s="26">
        <f>IF(SUMIFS('NSE - NIFTY Index Options'!$M:$M,'NSE - NIFTY Index Options'!$C:$C,$A26,'NSE - NIFTY Index Options'!$B:$B,D$4,'NSE - NIFTY Index Options'!$I:$I,"Monthly*")+SUMIFS('NSE - Other Index Options'!$M:$M,'NSE - Other Index Options'!$C:$C,$A26,'NSE - Other Index Options'!$B:$B,D$4,'NSE - Other Index Options'!$I:$I,"Monthly*")=0,"",SUMIFS('NSE - NIFTY Index Options'!$M:$M,'NSE - NIFTY Index Options'!$C:$C,$A26,'NSE - NIFTY Index Options'!$B:$B,D$4,'NSE - NIFTY Index Options'!$I:$I,"Monthly*")+SUMIFS('NSE - Other Index Options'!$M:$M,'NSE - Other Index Options'!$C:$C,$A26,'NSE - Other Index Options'!$B:$B,D$4,'NSE - Other Index Options'!$I:$I,"Monthly*"))</f>
        <v/>
      </c>
      <c r="E26" s="26">
        <f>IF(SUMIFS('NSE - NIFTY Index Options'!$M:$M,'NSE - NIFTY Index Options'!$C:$C,$A26,'NSE - NIFTY Index Options'!$B:$B,E$4,'NSE - NIFTY Index Options'!$I:$I,"Monthly*")+SUMIFS('NSE - Other Index Options'!$M:$M,'NSE - Other Index Options'!$C:$C,$A26,'NSE - Other Index Options'!$B:$B,E$4,'NSE - Other Index Options'!$I:$I,"Monthly*")=0,"",SUMIFS('NSE - NIFTY Index Options'!$M:$M,'NSE - NIFTY Index Options'!$C:$C,$A26,'NSE - NIFTY Index Options'!$B:$B,E$4,'NSE - NIFTY Index Options'!$I:$I,"Monthly*")+SUMIFS('NSE - Other Index Options'!$M:$M,'NSE - Other Index Options'!$C:$C,$A26,'NSE - Other Index Options'!$B:$B,E$4,'NSE - Other Index Options'!$I:$I,"Monthly*"))</f>
        <v/>
      </c>
      <c r="F26" s="26">
        <f>IF(SUMIFS('NSE - NIFTY Index Options'!$M:$M,'NSE - NIFTY Index Options'!$C:$C,$A26,'NSE - NIFTY Index Options'!$B:$B,F$4,'NSE - NIFTY Index Options'!$I:$I,"Monthly*")+SUMIFS('NSE - Other Index Options'!$M:$M,'NSE - Other Index Options'!$C:$C,$A26,'NSE - Other Index Options'!$B:$B,F$4,'NSE - Other Index Options'!$I:$I,"Monthly*")=0,"",SUMIFS('NSE - NIFTY Index Options'!$M:$M,'NSE - NIFTY Index Options'!$C:$C,$A26,'NSE - NIFTY Index Options'!$B:$B,F$4,'NSE - NIFTY Index Options'!$I:$I,"Monthly*")+SUMIFS('NSE - Other Index Options'!$M:$M,'NSE - Other Index Options'!$C:$C,$A26,'NSE - Other Index Options'!$B:$B,F$4,'NSE - Other Index Options'!$I:$I,"Monthly*"))</f>
        <v/>
      </c>
      <c r="G26" s="26">
        <f>IF(SUMIFS('NSE - NIFTY Index Options'!$M:$M,'NSE - NIFTY Index Options'!$C:$C,$A26,'NSE - NIFTY Index Options'!$B:$B,G$4,'NSE - NIFTY Index Options'!$I:$I,"Monthly*")+SUMIFS('NSE - Other Index Options'!$M:$M,'NSE - Other Index Options'!$C:$C,$A26,'NSE - Other Index Options'!$B:$B,G$4,'NSE - Other Index Options'!$I:$I,"Monthly*")=0,"",SUMIFS('NSE - NIFTY Index Options'!$M:$M,'NSE - NIFTY Index Options'!$C:$C,$A26,'NSE - NIFTY Index Options'!$B:$B,G$4,'NSE - NIFTY Index Options'!$I:$I,"Monthly*")+SUMIFS('NSE - Other Index Options'!$M:$M,'NSE - Other Index Options'!$C:$C,$A26,'NSE - Other Index Options'!$B:$B,G$4,'NSE - Other Index Options'!$I:$I,"Monthly*"))</f>
        <v/>
      </c>
      <c r="H26" s="26">
        <f>IF(SUM(B26:G26)=0,"",SUM(B26:G26))</f>
        <v/>
      </c>
    </row>
    <row r="27">
      <c r="A27" t="inlineStr">
        <is>
          <t>Week3-Jan-2026</t>
        </is>
      </c>
      <c r="B27" s="26">
        <f>IF(SUMIFS('NSE - NIFTY Index Options'!$M:$M,'NSE - NIFTY Index Options'!$C:$C,$A27,'NSE - NIFTY Index Options'!$B:$B,B$4,'NSE - NIFTY Index Options'!$I:$I,"Monthly*")+SUMIFS('NSE - Other Index Options'!$M:$M,'NSE - Other Index Options'!$C:$C,$A27,'NSE - Other Index Options'!$B:$B,B$4,'NSE - Other Index Options'!$I:$I,"Monthly*")=0,"",SUMIFS('NSE - NIFTY Index Options'!$M:$M,'NSE - NIFTY Index Options'!$C:$C,$A27,'NSE - NIFTY Index Options'!$B:$B,B$4,'NSE - NIFTY Index Options'!$I:$I,"Monthly*")+SUMIFS('NSE - Other Index Options'!$M:$M,'NSE - Other Index Options'!$C:$C,$A27,'NSE - Other Index Options'!$B:$B,B$4,'NSE - Other Index Options'!$I:$I,"Monthly*"))</f>
        <v/>
      </c>
      <c r="C27" s="26">
        <f>IF(SUMIFS('NSE - NIFTY Index Options'!$M:$M,'NSE - NIFTY Index Options'!$C:$C,$A27,'NSE - NIFTY Index Options'!$B:$B,C$4,'NSE - NIFTY Index Options'!$I:$I,"Monthly*")+SUMIFS('NSE - Other Index Options'!$M:$M,'NSE - Other Index Options'!$C:$C,$A27,'NSE - Other Index Options'!$B:$B,C$4,'NSE - Other Index Options'!$I:$I,"Monthly*")=0,"",SUMIFS('NSE - NIFTY Index Options'!$M:$M,'NSE - NIFTY Index Options'!$C:$C,$A27,'NSE - NIFTY Index Options'!$B:$B,C$4,'NSE - NIFTY Index Options'!$I:$I,"Monthly*")+SUMIFS('NSE - Other Index Options'!$M:$M,'NSE - Other Index Options'!$C:$C,$A27,'NSE - Other Index Options'!$B:$B,C$4,'NSE - Other Index Options'!$I:$I,"Monthly*"))</f>
        <v/>
      </c>
      <c r="D27" s="26">
        <f>IF(SUMIFS('NSE - NIFTY Index Options'!$M:$M,'NSE - NIFTY Index Options'!$C:$C,$A27,'NSE - NIFTY Index Options'!$B:$B,D$4,'NSE - NIFTY Index Options'!$I:$I,"Monthly*")+SUMIFS('NSE - Other Index Options'!$M:$M,'NSE - Other Index Options'!$C:$C,$A27,'NSE - Other Index Options'!$B:$B,D$4,'NSE - Other Index Options'!$I:$I,"Monthly*")=0,"",SUMIFS('NSE - NIFTY Index Options'!$M:$M,'NSE - NIFTY Index Options'!$C:$C,$A27,'NSE - NIFTY Index Options'!$B:$B,D$4,'NSE - NIFTY Index Options'!$I:$I,"Monthly*")+SUMIFS('NSE - Other Index Options'!$M:$M,'NSE - Other Index Options'!$C:$C,$A27,'NSE - Other Index Options'!$B:$B,D$4,'NSE - Other Index Options'!$I:$I,"Monthly*"))</f>
        <v/>
      </c>
      <c r="E27" s="26">
        <f>IF(SUMIFS('NSE - NIFTY Index Options'!$M:$M,'NSE - NIFTY Index Options'!$C:$C,$A27,'NSE - NIFTY Index Options'!$B:$B,E$4,'NSE - NIFTY Index Options'!$I:$I,"Monthly*")+SUMIFS('NSE - Other Index Options'!$M:$M,'NSE - Other Index Options'!$C:$C,$A27,'NSE - Other Index Options'!$B:$B,E$4,'NSE - Other Index Options'!$I:$I,"Monthly*")=0,"",SUMIFS('NSE - NIFTY Index Options'!$M:$M,'NSE - NIFTY Index Options'!$C:$C,$A27,'NSE - NIFTY Index Options'!$B:$B,E$4,'NSE - NIFTY Index Options'!$I:$I,"Monthly*")+SUMIFS('NSE - Other Index Options'!$M:$M,'NSE - Other Index Options'!$C:$C,$A27,'NSE - Other Index Options'!$B:$B,E$4,'NSE - Other Index Options'!$I:$I,"Monthly*"))</f>
        <v/>
      </c>
      <c r="F27" s="26">
        <f>IF(SUMIFS('NSE - NIFTY Index Options'!$M:$M,'NSE - NIFTY Index Options'!$C:$C,$A27,'NSE - NIFTY Index Options'!$B:$B,F$4,'NSE - NIFTY Index Options'!$I:$I,"Monthly*")+SUMIFS('NSE - Other Index Options'!$M:$M,'NSE - Other Index Options'!$C:$C,$A27,'NSE - Other Index Options'!$B:$B,F$4,'NSE - Other Index Options'!$I:$I,"Monthly*")=0,"",SUMIFS('NSE - NIFTY Index Options'!$M:$M,'NSE - NIFTY Index Options'!$C:$C,$A27,'NSE - NIFTY Index Options'!$B:$B,F$4,'NSE - NIFTY Index Options'!$I:$I,"Monthly*")+SUMIFS('NSE - Other Index Options'!$M:$M,'NSE - Other Index Options'!$C:$C,$A27,'NSE - Other Index Options'!$B:$B,F$4,'NSE - Other Index Options'!$I:$I,"Monthly*"))</f>
        <v/>
      </c>
      <c r="G27" s="26">
        <f>IF(SUMIFS('NSE - NIFTY Index Options'!$M:$M,'NSE - NIFTY Index Options'!$C:$C,$A27,'NSE - NIFTY Index Options'!$B:$B,G$4,'NSE - NIFTY Index Options'!$I:$I,"Monthly*")+SUMIFS('NSE - Other Index Options'!$M:$M,'NSE - Other Index Options'!$C:$C,$A27,'NSE - Other Index Options'!$B:$B,G$4,'NSE - Other Index Options'!$I:$I,"Monthly*")=0,"",SUMIFS('NSE - NIFTY Index Options'!$M:$M,'NSE - NIFTY Index Options'!$C:$C,$A27,'NSE - NIFTY Index Options'!$B:$B,G$4,'NSE - NIFTY Index Options'!$I:$I,"Monthly*")+SUMIFS('NSE - Other Index Options'!$M:$M,'NSE - Other Index Options'!$C:$C,$A27,'NSE - Other Index Options'!$B:$B,G$4,'NSE - Other Index Options'!$I:$I,"Monthly*"))</f>
        <v/>
      </c>
      <c r="H27" s="26">
        <f>IF(SUM(B27:G27)=0,"",SUM(B27:G27))</f>
        <v/>
      </c>
    </row>
    <row r="28">
      <c r="A28" t="inlineStr">
        <is>
          <t>Week4-Jan-2026</t>
        </is>
      </c>
      <c r="B28" s="26">
        <f>IF(SUMIFS('NSE - NIFTY Index Options'!$M:$M,'NSE - NIFTY Index Options'!$C:$C,$A28,'NSE - NIFTY Index Options'!$B:$B,B$4,'NSE - NIFTY Index Options'!$I:$I,"Monthly*")+SUMIFS('NSE - Other Index Options'!$M:$M,'NSE - Other Index Options'!$C:$C,$A28,'NSE - Other Index Options'!$B:$B,B$4,'NSE - Other Index Options'!$I:$I,"Monthly*")=0,"",SUMIFS('NSE - NIFTY Index Options'!$M:$M,'NSE - NIFTY Index Options'!$C:$C,$A28,'NSE - NIFTY Index Options'!$B:$B,B$4,'NSE - NIFTY Index Options'!$I:$I,"Monthly*")+SUMIFS('NSE - Other Index Options'!$M:$M,'NSE - Other Index Options'!$C:$C,$A28,'NSE - Other Index Options'!$B:$B,B$4,'NSE - Other Index Options'!$I:$I,"Monthly*"))</f>
        <v/>
      </c>
      <c r="C28" s="26">
        <f>IF(SUMIFS('NSE - NIFTY Index Options'!$M:$M,'NSE - NIFTY Index Options'!$C:$C,$A28,'NSE - NIFTY Index Options'!$B:$B,C$4,'NSE - NIFTY Index Options'!$I:$I,"Monthly*")+SUMIFS('NSE - Other Index Options'!$M:$M,'NSE - Other Index Options'!$C:$C,$A28,'NSE - Other Index Options'!$B:$B,C$4,'NSE - Other Index Options'!$I:$I,"Monthly*")=0,"",SUMIFS('NSE - NIFTY Index Options'!$M:$M,'NSE - NIFTY Index Options'!$C:$C,$A28,'NSE - NIFTY Index Options'!$B:$B,C$4,'NSE - NIFTY Index Options'!$I:$I,"Monthly*")+SUMIFS('NSE - Other Index Options'!$M:$M,'NSE - Other Index Options'!$C:$C,$A28,'NSE - Other Index Options'!$B:$B,C$4,'NSE - Other Index Options'!$I:$I,"Monthly*"))</f>
        <v/>
      </c>
      <c r="D28" s="26">
        <f>IF(SUMIFS('NSE - NIFTY Index Options'!$M:$M,'NSE - NIFTY Index Options'!$C:$C,$A28,'NSE - NIFTY Index Options'!$B:$B,D$4,'NSE - NIFTY Index Options'!$I:$I,"Monthly*")+SUMIFS('NSE - Other Index Options'!$M:$M,'NSE - Other Index Options'!$C:$C,$A28,'NSE - Other Index Options'!$B:$B,D$4,'NSE - Other Index Options'!$I:$I,"Monthly*")=0,"",SUMIFS('NSE - NIFTY Index Options'!$M:$M,'NSE - NIFTY Index Options'!$C:$C,$A28,'NSE - NIFTY Index Options'!$B:$B,D$4,'NSE - NIFTY Index Options'!$I:$I,"Monthly*")+SUMIFS('NSE - Other Index Options'!$M:$M,'NSE - Other Index Options'!$C:$C,$A28,'NSE - Other Index Options'!$B:$B,D$4,'NSE - Other Index Options'!$I:$I,"Monthly*"))</f>
        <v/>
      </c>
      <c r="E28" s="26">
        <f>IF(SUMIFS('NSE - NIFTY Index Options'!$M:$M,'NSE - NIFTY Index Options'!$C:$C,$A28,'NSE - NIFTY Index Options'!$B:$B,E$4,'NSE - NIFTY Index Options'!$I:$I,"Monthly*")+SUMIFS('NSE - Other Index Options'!$M:$M,'NSE - Other Index Options'!$C:$C,$A28,'NSE - Other Index Options'!$B:$B,E$4,'NSE - Other Index Options'!$I:$I,"Monthly*")=0,"",SUMIFS('NSE - NIFTY Index Options'!$M:$M,'NSE - NIFTY Index Options'!$C:$C,$A28,'NSE - NIFTY Index Options'!$B:$B,E$4,'NSE - NIFTY Index Options'!$I:$I,"Monthly*")+SUMIFS('NSE - Other Index Options'!$M:$M,'NSE - Other Index Options'!$C:$C,$A28,'NSE - Other Index Options'!$B:$B,E$4,'NSE - Other Index Options'!$I:$I,"Monthly*"))</f>
        <v/>
      </c>
      <c r="F28" s="26">
        <f>IF(SUMIFS('NSE - NIFTY Index Options'!$M:$M,'NSE - NIFTY Index Options'!$C:$C,$A28,'NSE - NIFTY Index Options'!$B:$B,F$4,'NSE - NIFTY Index Options'!$I:$I,"Monthly*")+SUMIFS('NSE - Other Index Options'!$M:$M,'NSE - Other Index Options'!$C:$C,$A28,'NSE - Other Index Options'!$B:$B,F$4,'NSE - Other Index Options'!$I:$I,"Monthly*")=0,"",SUMIFS('NSE - NIFTY Index Options'!$M:$M,'NSE - NIFTY Index Options'!$C:$C,$A28,'NSE - NIFTY Index Options'!$B:$B,F$4,'NSE - NIFTY Index Options'!$I:$I,"Monthly*")+SUMIFS('NSE - Other Index Options'!$M:$M,'NSE - Other Index Options'!$C:$C,$A28,'NSE - Other Index Options'!$B:$B,F$4,'NSE - Other Index Options'!$I:$I,"Monthly*"))</f>
        <v/>
      </c>
      <c r="G28" s="26">
        <f>IF(SUMIFS('NSE - NIFTY Index Options'!$M:$M,'NSE - NIFTY Index Options'!$C:$C,$A28,'NSE - NIFTY Index Options'!$B:$B,G$4,'NSE - NIFTY Index Options'!$I:$I,"Monthly*")+SUMIFS('NSE - Other Index Options'!$M:$M,'NSE - Other Index Options'!$C:$C,$A28,'NSE - Other Index Options'!$B:$B,G$4,'NSE - Other Index Options'!$I:$I,"Monthly*")=0,"",SUMIFS('NSE - NIFTY Index Options'!$M:$M,'NSE - NIFTY Index Options'!$C:$C,$A28,'NSE - NIFTY Index Options'!$B:$B,G$4,'NSE - NIFTY Index Options'!$I:$I,"Monthly*")+SUMIFS('NSE - Other Index Options'!$M:$M,'NSE - Other Index Options'!$C:$C,$A28,'NSE - Other Index Options'!$B:$B,G$4,'NSE - Other Index Options'!$I:$I,"Monthly*"))</f>
        <v/>
      </c>
      <c r="H28" s="26">
        <f>IF(SUM(B28:G28)=0,"",SUM(B28:G28))</f>
        <v/>
      </c>
    </row>
    <row r="29">
      <c r="A29" t="inlineStr">
        <is>
          <t>Week5-Jan-2026</t>
        </is>
      </c>
      <c r="B29" s="26">
        <f>IF(SUMIFS('NSE - NIFTY Index Options'!$M:$M,'NSE - NIFTY Index Options'!$C:$C,$A29,'NSE - NIFTY Index Options'!$B:$B,B$4,'NSE - NIFTY Index Options'!$I:$I,"Monthly*")+SUMIFS('NSE - Other Index Options'!$M:$M,'NSE - Other Index Options'!$C:$C,$A29,'NSE - Other Index Options'!$B:$B,B$4,'NSE - Other Index Options'!$I:$I,"Monthly*")=0,"",SUMIFS('NSE - NIFTY Index Options'!$M:$M,'NSE - NIFTY Index Options'!$C:$C,$A29,'NSE - NIFTY Index Options'!$B:$B,B$4,'NSE - NIFTY Index Options'!$I:$I,"Monthly*")+SUMIFS('NSE - Other Index Options'!$M:$M,'NSE - Other Index Options'!$C:$C,$A29,'NSE - Other Index Options'!$B:$B,B$4,'NSE - Other Index Options'!$I:$I,"Monthly*"))</f>
        <v/>
      </c>
      <c r="C29" s="26">
        <f>IF(SUMIFS('NSE - NIFTY Index Options'!$M:$M,'NSE - NIFTY Index Options'!$C:$C,$A29,'NSE - NIFTY Index Options'!$B:$B,C$4,'NSE - NIFTY Index Options'!$I:$I,"Monthly*")+SUMIFS('NSE - Other Index Options'!$M:$M,'NSE - Other Index Options'!$C:$C,$A29,'NSE - Other Index Options'!$B:$B,C$4,'NSE - Other Index Options'!$I:$I,"Monthly*")=0,"",SUMIFS('NSE - NIFTY Index Options'!$M:$M,'NSE - NIFTY Index Options'!$C:$C,$A29,'NSE - NIFTY Index Options'!$B:$B,C$4,'NSE - NIFTY Index Options'!$I:$I,"Monthly*")+SUMIFS('NSE - Other Index Options'!$M:$M,'NSE - Other Index Options'!$C:$C,$A29,'NSE - Other Index Options'!$B:$B,C$4,'NSE - Other Index Options'!$I:$I,"Monthly*"))</f>
        <v/>
      </c>
      <c r="D29" s="26">
        <f>IF(SUMIFS('NSE - NIFTY Index Options'!$M:$M,'NSE - NIFTY Index Options'!$C:$C,$A29,'NSE - NIFTY Index Options'!$B:$B,D$4,'NSE - NIFTY Index Options'!$I:$I,"Monthly*")+SUMIFS('NSE - Other Index Options'!$M:$M,'NSE - Other Index Options'!$C:$C,$A29,'NSE - Other Index Options'!$B:$B,D$4,'NSE - Other Index Options'!$I:$I,"Monthly*")=0,"",SUMIFS('NSE - NIFTY Index Options'!$M:$M,'NSE - NIFTY Index Options'!$C:$C,$A29,'NSE - NIFTY Index Options'!$B:$B,D$4,'NSE - NIFTY Index Options'!$I:$I,"Monthly*")+SUMIFS('NSE - Other Index Options'!$M:$M,'NSE - Other Index Options'!$C:$C,$A29,'NSE - Other Index Options'!$B:$B,D$4,'NSE - Other Index Options'!$I:$I,"Monthly*"))</f>
        <v/>
      </c>
      <c r="E29" s="26">
        <f>IF(SUMIFS('NSE - NIFTY Index Options'!$M:$M,'NSE - NIFTY Index Options'!$C:$C,$A29,'NSE - NIFTY Index Options'!$B:$B,E$4,'NSE - NIFTY Index Options'!$I:$I,"Monthly*")+SUMIFS('NSE - Other Index Options'!$M:$M,'NSE - Other Index Options'!$C:$C,$A29,'NSE - Other Index Options'!$B:$B,E$4,'NSE - Other Index Options'!$I:$I,"Monthly*")=0,"",SUMIFS('NSE - NIFTY Index Options'!$M:$M,'NSE - NIFTY Index Options'!$C:$C,$A29,'NSE - NIFTY Index Options'!$B:$B,E$4,'NSE - NIFTY Index Options'!$I:$I,"Monthly*")+SUMIFS('NSE - Other Index Options'!$M:$M,'NSE - Other Index Options'!$C:$C,$A29,'NSE - Other Index Options'!$B:$B,E$4,'NSE - Other Index Options'!$I:$I,"Monthly*"))</f>
        <v/>
      </c>
      <c r="F29" s="26">
        <f>IF(SUMIFS('NSE - NIFTY Index Options'!$M:$M,'NSE - NIFTY Index Options'!$C:$C,$A29,'NSE - NIFTY Index Options'!$B:$B,F$4,'NSE - NIFTY Index Options'!$I:$I,"Monthly*")+SUMIFS('NSE - Other Index Options'!$M:$M,'NSE - Other Index Options'!$C:$C,$A29,'NSE - Other Index Options'!$B:$B,F$4,'NSE - Other Index Options'!$I:$I,"Monthly*")=0,"",SUMIFS('NSE - NIFTY Index Options'!$M:$M,'NSE - NIFTY Index Options'!$C:$C,$A29,'NSE - NIFTY Index Options'!$B:$B,F$4,'NSE - NIFTY Index Options'!$I:$I,"Monthly*")+SUMIFS('NSE - Other Index Options'!$M:$M,'NSE - Other Index Options'!$C:$C,$A29,'NSE - Other Index Options'!$B:$B,F$4,'NSE - Other Index Options'!$I:$I,"Monthly*"))</f>
        <v/>
      </c>
      <c r="G29" s="26">
        <f>IF(SUMIFS('NSE - NIFTY Index Options'!$M:$M,'NSE - NIFTY Index Options'!$C:$C,$A29,'NSE - NIFTY Index Options'!$B:$B,G$4,'NSE - NIFTY Index Options'!$I:$I,"Monthly*")+SUMIFS('NSE - Other Index Options'!$M:$M,'NSE - Other Index Options'!$C:$C,$A29,'NSE - Other Index Options'!$B:$B,G$4,'NSE - Other Index Options'!$I:$I,"Monthly*")=0,"",SUMIFS('NSE - NIFTY Index Options'!$M:$M,'NSE - NIFTY Index Options'!$C:$C,$A29,'NSE - NIFTY Index Options'!$B:$B,G$4,'NSE - NIFTY Index Options'!$I:$I,"Monthly*")+SUMIFS('NSE - Other Index Options'!$M:$M,'NSE - Other Index Options'!$C:$C,$A29,'NSE - Other Index Options'!$B:$B,G$4,'NSE - Other Index Options'!$I:$I,"Monthly*"))</f>
        <v/>
      </c>
      <c r="H29" s="26">
        <f>IF(SUM(B29:G29)=0,"",SUM(B29:G29))</f>
        <v/>
      </c>
    </row>
    <row r="30">
      <c r="A30" t="inlineStr">
        <is>
          <t>Week1-Feb-2026</t>
        </is>
      </c>
      <c r="B30" s="26">
        <f>IF(SUMIFS('NSE - NIFTY Index Options'!$M:$M,'NSE - NIFTY Index Options'!$C:$C,$A30,'NSE - NIFTY Index Options'!$B:$B,B$4,'NSE - NIFTY Index Options'!$I:$I,"Monthly*")+SUMIFS('NSE - Other Index Options'!$M:$M,'NSE - Other Index Options'!$C:$C,$A30,'NSE - Other Index Options'!$B:$B,B$4,'NSE - Other Index Options'!$I:$I,"Monthly*")=0,"",SUMIFS('NSE - NIFTY Index Options'!$M:$M,'NSE - NIFTY Index Options'!$C:$C,$A30,'NSE - NIFTY Index Options'!$B:$B,B$4,'NSE - NIFTY Index Options'!$I:$I,"Monthly*")+SUMIFS('NSE - Other Index Options'!$M:$M,'NSE - Other Index Options'!$C:$C,$A30,'NSE - Other Index Options'!$B:$B,B$4,'NSE - Other Index Options'!$I:$I,"Monthly*"))</f>
        <v/>
      </c>
      <c r="C30" s="26">
        <f>IF(SUMIFS('NSE - NIFTY Index Options'!$M:$M,'NSE - NIFTY Index Options'!$C:$C,$A30,'NSE - NIFTY Index Options'!$B:$B,C$4,'NSE - NIFTY Index Options'!$I:$I,"Monthly*")+SUMIFS('NSE - Other Index Options'!$M:$M,'NSE - Other Index Options'!$C:$C,$A30,'NSE - Other Index Options'!$B:$B,C$4,'NSE - Other Index Options'!$I:$I,"Monthly*")=0,"",SUMIFS('NSE - NIFTY Index Options'!$M:$M,'NSE - NIFTY Index Options'!$C:$C,$A30,'NSE - NIFTY Index Options'!$B:$B,C$4,'NSE - NIFTY Index Options'!$I:$I,"Monthly*")+SUMIFS('NSE - Other Index Options'!$M:$M,'NSE - Other Index Options'!$C:$C,$A30,'NSE - Other Index Options'!$B:$B,C$4,'NSE - Other Index Options'!$I:$I,"Monthly*"))</f>
        <v/>
      </c>
      <c r="D30" s="26">
        <f>IF(SUMIFS('NSE - NIFTY Index Options'!$M:$M,'NSE - NIFTY Index Options'!$C:$C,$A30,'NSE - NIFTY Index Options'!$B:$B,D$4,'NSE - NIFTY Index Options'!$I:$I,"Monthly*")+SUMIFS('NSE - Other Index Options'!$M:$M,'NSE - Other Index Options'!$C:$C,$A30,'NSE - Other Index Options'!$B:$B,D$4,'NSE - Other Index Options'!$I:$I,"Monthly*")=0,"",SUMIFS('NSE - NIFTY Index Options'!$M:$M,'NSE - NIFTY Index Options'!$C:$C,$A30,'NSE - NIFTY Index Options'!$B:$B,D$4,'NSE - NIFTY Index Options'!$I:$I,"Monthly*")+SUMIFS('NSE - Other Index Options'!$M:$M,'NSE - Other Index Options'!$C:$C,$A30,'NSE - Other Index Options'!$B:$B,D$4,'NSE - Other Index Options'!$I:$I,"Monthly*"))</f>
        <v/>
      </c>
      <c r="E30" s="26">
        <f>IF(SUMIFS('NSE - NIFTY Index Options'!$M:$M,'NSE - NIFTY Index Options'!$C:$C,$A30,'NSE - NIFTY Index Options'!$B:$B,E$4,'NSE - NIFTY Index Options'!$I:$I,"Monthly*")+SUMIFS('NSE - Other Index Options'!$M:$M,'NSE - Other Index Options'!$C:$C,$A30,'NSE - Other Index Options'!$B:$B,E$4,'NSE - Other Index Options'!$I:$I,"Monthly*")=0,"",SUMIFS('NSE - NIFTY Index Options'!$M:$M,'NSE - NIFTY Index Options'!$C:$C,$A30,'NSE - NIFTY Index Options'!$B:$B,E$4,'NSE - NIFTY Index Options'!$I:$I,"Monthly*")+SUMIFS('NSE - Other Index Options'!$M:$M,'NSE - Other Index Options'!$C:$C,$A30,'NSE - Other Index Options'!$B:$B,E$4,'NSE - Other Index Options'!$I:$I,"Monthly*"))</f>
        <v/>
      </c>
      <c r="F30" s="26">
        <f>IF(SUMIFS('NSE - NIFTY Index Options'!$M:$M,'NSE - NIFTY Index Options'!$C:$C,$A30,'NSE - NIFTY Index Options'!$B:$B,F$4,'NSE - NIFTY Index Options'!$I:$I,"Monthly*")+SUMIFS('NSE - Other Index Options'!$M:$M,'NSE - Other Index Options'!$C:$C,$A30,'NSE - Other Index Options'!$B:$B,F$4,'NSE - Other Index Options'!$I:$I,"Monthly*")=0,"",SUMIFS('NSE - NIFTY Index Options'!$M:$M,'NSE - NIFTY Index Options'!$C:$C,$A30,'NSE - NIFTY Index Options'!$B:$B,F$4,'NSE - NIFTY Index Options'!$I:$I,"Monthly*")+SUMIFS('NSE - Other Index Options'!$M:$M,'NSE - Other Index Options'!$C:$C,$A30,'NSE - Other Index Options'!$B:$B,F$4,'NSE - Other Index Options'!$I:$I,"Monthly*"))</f>
        <v/>
      </c>
      <c r="G30" s="26">
        <f>IF(SUMIFS('NSE - NIFTY Index Options'!$M:$M,'NSE - NIFTY Index Options'!$C:$C,$A30,'NSE - NIFTY Index Options'!$B:$B,G$4,'NSE - NIFTY Index Options'!$I:$I,"Monthly*")+SUMIFS('NSE - Other Index Options'!$M:$M,'NSE - Other Index Options'!$C:$C,$A30,'NSE - Other Index Options'!$B:$B,G$4,'NSE - Other Index Options'!$I:$I,"Monthly*")=0,"",SUMIFS('NSE - NIFTY Index Options'!$M:$M,'NSE - NIFTY Index Options'!$C:$C,$A30,'NSE - NIFTY Index Options'!$B:$B,G$4,'NSE - NIFTY Index Options'!$I:$I,"Monthly*")+SUMIFS('NSE - Other Index Options'!$M:$M,'NSE - Other Index Options'!$C:$C,$A30,'NSE - Other Index Options'!$B:$B,G$4,'NSE - Other Index Options'!$I:$I,"Monthly*"))</f>
        <v/>
      </c>
      <c r="H30" s="26">
        <f>IF(SUM(B30:G30)=0,"",SUM(B30:G30))</f>
        <v/>
      </c>
    </row>
    <row r="31">
      <c r="A31" t="inlineStr">
        <is>
          <t>Week2-Feb-2026</t>
        </is>
      </c>
      <c r="B31" s="26">
        <f>IF(SUMIFS('NSE - NIFTY Index Options'!$M:$M,'NSE - NIFTY Index Options'!$C:$C,$A31,'NSE - NIFTY Index Options'!$B:$B,B$4,'NSE - NIFTY Index Options'!$I:$I,"Monthly*")+SUMIFS('NSE - Other Index Options'!$M:$M,'NSE - Other Index Options'!$C:$C,$A31,'NSE - Other Index Options'!$B:$B,B$4,'NSE - Other Index Options'!$I:$I,"Monthly*")=0,"",SUMIFS('NSE - NIFTY Index Options'!$M:$M,'NSE - NIFTY Index Options'!$C:$C,$A31,'NSE - NIFTY Index Options'!$B:$B,B$4,'NSE - NIFTY Index Options'!$I:$I,"Monthly*")+SUMIFS('NSE - Other Index Options'!$M:$M,'NSE - Other Index Options'!$C:$C,$A31,'NSE - Other Index Options'!$B:$B,B$4,'NSE - Other Index Options'!$I:$I,"Monthly*"))</f>
        <v/>
      </c>
      <c r="C31" s="26">
        <f>IF(SUMIFS('NSE - NIFTY Index Options'!$M:$M,'NSE - NIFTY Index Options'!$C:$C,$A31,'NSE - NIFTY Index Options'!$B:$B,C$4,'NSE - NIFTY Index Options'!$I:$I,"Monthly*")+SUMIFS('NSE - Other Index Options'!$M:$M,'NSE - Other Index Options'!$C:$C,$A31,'NSE - Other Index Options'!$B:$B,C$4,'NSE - Other Index Options'!$I:$I,"Monthly*")=0,"",SUMIFS('NSE - NIFTY Index Options'!$M:$M,'NSE - NIFTY Index Options'!$C:$C,$A31,'NSE - NIFTY Index Options'!$B:$B,C$4,'NSE - NIFTY Index Options'!$I:$I,"Monthly*")+SUMIFS('NSE - Other Index Options'!$M:$M,'NSE - Other Index Options'!$C:$C,$A31,'NSE - Other Index Options'!$B:$B,C$4,'NSE - Other Index Options'!$I:$I,"Monthly*"))</f>
        <v/>
      </c>
      <c r="D31" s="26">
        <f>IF(SUMIFS('NSE - NIFTY Index Options'!$M:$M,'NSE - NIFTY Index Options'!$C:$C,$A31,'NSE - NIFTY Index Options'!$B:$B,D$4,'NSE - NIFTY Index Options'!$I:$I,"Monthly*")+SUMIFS('NSE - Other Index Options'!$M:$M,'NSE - Other Index Options'!$C:$C,$A31,'NSE - Other Index Options'!$B:$B,D$4,'NSE - Other Index Options'!$I:$I,"Monthly*")=0,"",SUMIFS('NSE - NIFTY Index Options'!$M:$M,'NSE - NIFTY Index Options'!$C:$C,$A31,'NSE - NIFTY Index Options'!$B:$B,D$4,'NSE - NIFTY Index Options'!$I:$I,"Monthly*")+SUMIFS('NSE - Other Index Options'!$M:$M,'NSE - Other Index Options'!$C:$C,$A31,'NSE - Other Index Options'!$B:$B,D$4,'NSE - Other Index Options'!$I:$I,"Monthly*"))</f>
        <v/>
      </c>
      <c r="E31" s="26">
        <f>IF(SUMIFS('NSE - NIFTY Index Options'!$M:$M,'NSE - NIFTY Index Options'!$C:$C,$A31,'NSE - NIFTY Index Options'!$B:$B,E$4,'NSE - NIFTY Index Options'!$I:$I,"Monthly*")+SUMIFS('NSE - Other Index Options'!$M:$M,'NSE - Other Index Options'!$C:$C,$A31,'NSE - Other Index Options'!$B:$B,E$4,'NSE - Other Index Options'!$I:$I,"Monthly*")=0,"",SUMIFS('NSE - NIFTY Index Options'!$M:$M,'NSE - NIFTY Index Options'!$C:$C,$A31,'NSE - NIFTY Index Options'!$B:$B,E$4,'NSE - NIFTY Index Options'!$I:$I,"Monthly*")+SUMIFS('NSE - Other Index Options'!$M:$M,'NSE - Other Index Options'!$C:$C,$A31,'NSE - Other Index Options'!$B:$B,E$4,'NSE - Other Index Options'!$I:$I,"Monthly*"))</f>
        <v/>
      </c>
      <c r="F31" s="26">
        <f>IF(SUMIFS('NSE - NIFTY Index Options'!$M:$M,'NSE - NIFTY Index Options'!$C:$C,$A31,'NSE - NIFTY Index Options'!$B:$B,F$4,'NSE - NIFTY Index Options'!$I:$I,"Monthly*")+SUMIFS('NSE - Other Index Options'!$M:$M,'NSE - Other Index Options'!$C:$C,$A31,'NSE - Other Index Options'!$B:$B,F$4,'NSE - Other Index Options'!$I:$I,"Monthly*")=0,"",SUMIFS('NSE - NIFTY Index Options'!$M:$M,'NSE - NIFTY Index Options'!$C:$C,$A31,'NSE - NIFTY Index Options'!$B:$B,F$4,'NSE - NIFTY Index Options'!$I:$I,"Monthly*")+SUMIFS('NSE - Other Index Options'!$M:$M,'NSE - Other Index Options'!$C:$C,$A31,'NSE - Other Index Options'!$B:$B,F$4,'NSE - Other Index Options'!$I:$I,"Monthly*"))</f>
        <v/>
      </c>
      <c r="G31" s="26">
        <f>IF(SUMIFS('NSE - NIFTY Index Options'!$M:$M,'NSE - NIFTY Index Options'!$C:$C,$A31,'NSE - NIFTY Index Options'!$B:$B,G$4,'NSE - NIFTY Index Options'!$I:$I,"Monthly*")+SUMIFS('NSE - Other Index Options'!$M:$M,'NSE - Other Index Options'!$C:$C,$A31,'NSE - Other Index Options'!$B:$B,G$4,'NSE - Other Index Options'!$I:$I,"Monthly*")=0,"",SUMIFS('NSE - NIFTY Index Options'!$M:$M,'NSE - NIFTY Index Options'!$C:$C,$A31,'NSE - NIFTY Index Options'!$B:$B,G$4,'NSE - NIFTY Index Options'!$I:$I,"Monthly*")+SUMIFS('NSE - Other Index Options'!$M:$M,'NSE - Other Index Options'!$C:$C,$A31,'NSE - Other Index Options'!$B:$B,G$4,'NSE - Other Index Options'!$I:$I,"Monthly*"))</f>
        <v/>
      </c>
      <c r="H31" s="26">
        <f>IF(SUM(B31:G31)=0,"",SUM(B31:G31))</f>
        <v/>
      </c>
    </row>
    <row r="32">
      <c r="A32" t="inlineStr">
        <is>
          <t>Week3-Feb-2026</t>
        </is>
      </c>
      <c r="B32" s="26">
        <f>IF(SUMIFS('NSE - NIFTY Index Options'!$M:$M,'NSE - NIFTY Index Options'!$C:$C,$A32,'NSE - NIFTY Index Options'!$B:$B,B$4,'NSE - NIFTY Index Options'!$I:$I,"Monthly*")+SUMIFS('NSE - Other Index Options'!$M:$M,'NSE - Other Index Options'!$C:$C,$A32,'NSE - Other Index Options'!$B:$B,B$4,'NSE - Other Index Options'!$I:$I,"Monthly*")=0,"",SUMIFS('NSE - NIFTY Index Options'!$M:$M,'NSE - NIFTY Index Options'!$C:$C,$A32,'NSE - NIFTY Index Options'!$B:$B,B$4,'NSE - NIFTY Index Options'!$I:$I,"Monthly*")+SUMIFS('NSE - Other Index Options'!$M:$M,'NSE - Other Index Options'!$C:$C,$A32,'NSE - Other Index Options'!$B:$B,B$4,'NSE - Other Index Options'!$I:$I,"Monthly*"))</f>
        <v/>
      </c>
      <c r="C32" s="26">
        <f>IF(SUMIFS('NSE - NIFTY Index Options'!$M:$M,'NSE - NIFTY Index Options'!$C:$C,$A32,'NSE - NIFTY Index Options'!$B:$B,C$4,'NSE - NIFTY Index Options'!$I:$I,"Monthly*")+SUMIFS('NSE - Other Index Options'!$M:$M,'NSE - Other Index Options'!$C:$C,$A32,'NSE - Other Index Options'!$B:$B,C$4,'NSE - Other Index Options'!$I:$I,"Monthly*")=0,"",SUMIFS('NSE - NIFTY Index Options'!$M:$M,'NSE - NIFTY Index Options'!$C:$C,$A32,'NSE - NIFTY Index Options'!$B:$B,C$4,'NSE - NIFTY Index Options'!$I:$I,"Monthly*")+SUMIFS('NSE - Other Index Options'!$M:$M,'NSE - Other Index Options'!$C:$C,$A32,'NSE - Other Index Options'!$B:$B,C$4,'NSE - Other Index Options'!$I:$I,"Monthly*"))</f>
        <v/>
      </c>
      <c r="D32" s="26">
        <f>IF(SUMIFS('NSE - NIFTY Index Options'!$M:$M,'NSE - NIFTY Index Options'!$C:$C,$A32,'NSE - NIFTY Index Options'!$B:$B,D$4,'NSE - NIFTY Index Options'!$I:$I,"Monthly*")+SUMIFS('NSE - Other Index Options'!$M:$M,'NSE - Other Index Options'!$C:$C,$A32,'NSE - Other Index Options'!$B:$B,D$4,'NSE - Other Index Options'!$I:$I,"Monthly*")=0,"",SUMIFS('NSE - NIFTY Index Options'!$M:$M,'NSE - NIFTY Index Options'!$C:$C,$A32,'NSE - NIFTY Index Options'!$B:$B,D$4,'NSE - NIFTY Index Options'!$I:$I,"Monthly*")+SUMIFS('NSE - Other Index Options'!$M:$M,'NSE - Other Index Options'!$C:$C,$A32,'NSE - Other Index Options'!$B:$B,D$4,'NSE - Other Index Options'!$I:$I,"Monthly*"))</f>
        <v/>
      </c>
      <c r="E32" s="26">
        <f>IF(SUMIFS('NSE - NIFTY Index Options'!$M:$M,'NSE - NIFTY Index Options'!$C:$C,$A32,'NSE - NIFTY Index Options'!$B:$B,E$4,'NSE - NIFTY Index Options'!$I:$I,"Monthly*")+SUMIFS('NSE - Other Index Options'!$M:$M,'NSE - Other Index Options'!$C:$C,$A32,'NSE - Other Index Options'!$B:$B,E$4,'NSE - Other Index Options'!$I:$I,"Monthly*")=0,"",SUMIFS('NSE - NIFTY Index Options'!$M:$M,'NSE - NIFTY Index Options'!$C:$C,$A32,'NSE - NIFTY Index Options'!$B:$B,E$4,'NSE - NIFTY Index Options'!$I:$I,"Monthly*")+SUMIFS('NSE - Other Index Options'!$M:$M,'NSE - Other Index Options'!$C:$C,$A32,'NSE - Other Index Options'!$B:$B,E$4,'NSE - Other Index Options'!$I:$I,"Monthly*"))</f>
        <v/>
      </c>
      <c r="F32" s="26">
        <f>IF(SUMIFS('NSE - NIFTY Index Options'!$M:$M,'NSE - NIFTY Index Options'!$C:$C,$A32,'NSE - NIFTY Index Options'!$B:$B,F$4,'NSE - NIFTY Index Options'!$I:$I,"Monthly*")+SUMIFS('NSE - Other Index Options'!$M:$M,'NSE - Other Index Options'!$C:$C,$A32,'NSE - Other Index Options'!$B:$B,F$4,'NSE - Other Index Options'!$I:$I,"Monthly*")=0,"",SUMIFS('NSE - NIFTY Index Options'!$M:$M,'NSE - NIFTY Index Options'!$C:$C,$A32,'NSE - NIFTY Index Options'!$B:$B,F$4,'NSE - NIFTY Index Options'!$I:$I,"Monthly*")+SUMIFS('NSE - Other Index Options'!$M:$M,'NSE - Other Index Options'!$C:$C,$A32,'NSE - Other Index Options'!$B:$B,F$4,'NSE - Other Index Options'!$I:$I,"Monthly*"))</f>
        <v/>
      </c>
      <c r="G32" s="26">
        <f>IF(SUMIFS('NSE - NIFTY Index Options'!$M:$M,'NSE - NIFTY Index Options'!$C:$C,$A32,'NSE - NIFTY Index Options'!$B:$B,G$4,'NSE - NIFTY Index Options'!$I:$I,"Monthly*")+SUMIFS('NSE - Other Index Options'!$M:$M,'NSE - Other Index Options'!$C:$C,$A32,'NSE - Other Index Options'!$B:$B,G$4,'NSE - Other Index Options'!$I:$I,"Monthly*")=0,"",SUMIFS('NSE - NIFTY Index Options'!$M:$M,'NSE - NIFTY Index Options'!$C:$C,$A32,'NSE - NIFTY Index Options'!$B:$B,G$4,'NSE - NIFTY Index Options'!$I:$I,"Monthly*")+SUMIFS('NSE - Other Index Options'!$M:$M,'NSE - Other Index Options'!$C:$C,$A32,'NSE - Other Index Options'!$B:$B,G$4,'NSE - Other Index Options'!$I:$I,"Monthly*"))</f>
        <v/>
      </c>
      <c r="H32" s="26">
        <f>IF(SUM(B32:G32)=0,"",SUM(B32:G32))</f>
        <v/>
      </c>
    </row>
    <row r="33">
      <c r="A33" t="inlineStr">
        <is>
          <t>Week4-Feb-2026</t>
        </is>
      </c>
      <c r="B33" s="26">
        <f>IF(SUMIFS('NSE - NIFTY Index Options'!$M:$M,'NSE - NIFTY Index Options'!$C:$C,$A33,'NSE - NIFTY Index Options'!$B:$B,B$4,'NSE - NIFTY Index Options'!$I:$I,"Monthly*")+SUMIFS('NSE - Other Index Options'!$M:$M,'NSE - Other Index Options'!$C:$C,$A33,'NSE - Other Index Options'!$B:$B,B$4,'NSE - Other Index Options'!$I:$I,"Monthly*")=0,"",SUMIFS('NSE - NIFTY Index Options'!$M:$M,'NSE - NIFTY Index Options'!$C:$C,$A33,'NSE - NIFTY Index Options'!$B:$B,B$4,'NSE - NIFTY Index Options'!$I:$I,"Monthly*")+SUMIFS('NSE - Other Index Options'!$M:$M,'NSE - Other Index Options'!$C:$C,$A33,'NSE - Other Index Options'!$B:$B,B$4,'NSE - Other Index Options'!$I:$I,"Monthly*"))</f>
        <v/>
      </c>
      <c r="C33" s="26">
        <f>IF(SUMIFS('NSE - NIFTY Index Options'!$M:$M,'NSE - NIFTY Index Options'!$C:$C,$A33,'NSE - NIFTY Index Options'!$B:$B,C$4,'NSE - NIFTY Index Options'!$I:$I,"Monthly*")+SUMIFS('NSE - Other Index Options'!$M:$M,'NSE - Other Index Options'!$C:$C,$A33,'NSE - Other Index Options'!$B:$B,C$4,'NSE - Other Index Options'!$I:$I,"Monthly*")=0,"",SUMIFS('NSE - NIFTY Index Options'!$M:$M,'NSE - NIFTY Index Options'!$C:$C,$A33,'NSE - NIFTY Index Options'!$B:$B,C$4,'NSE - NIFTY Index Options'!$I:$I,"Monthly*")+SUMIFS('NSE - Other Index Options'!$M:$M,'NSE - Other Index Options'!$C:$C,$A33,'NSE - Other Index Options'!$B:$B,C$4,'NSE - Other Index Options'!$I:$I,"Monthly*"))</f>
        <v/>
      </c>
      <c r="D33" s="26">
        <f>IF(SUMIFS('NSE - NIFTY Index Options'!$M:$M,'NSE - NIFTY Index Options'!$C:$C,$A33,'NSE - NIFTY Index Options'!$B:$B,D$4,'NSE - NIFTY Index Options'!$I:$I,"Monthly*")+SUMIFS('NSE - Other Index Options'!$M:$M,'NSE - Other Index Options'!$C:$C,$A33,'NSE - Other Index Options'!$B:$B,D$4,'NSE - Other Index Options'!$I:$I,"Monthly*")=0,"",SUMIFS('NSE - NIFTY Index Options'!$M:$M,'NSE - NIFTY Index Options'!$C:$C,$A33,'NSE - NIFTY Index Options'!$B:$B,D$4,'NSE - NIFTY Index Options'!$I:$I,"Monthly*")+SUMIFS('NSE - Other Index Options'!$M:$M,'NSE - Other Index Options'!$C:$C,$A33,'NSE - Other Index Options'!$B:$B,D$4,'NSE - Other Index Options'!$I:$I,"Monthly*"))</f>
        <v/>
      </c>
      <c r="E33" s="26">
        <f>IF(SUMIFS('NSE - NIFTY Index Options'!$M:$M,'NSE - NIFTY Index Options'!$C:$C,$A33,'NSE - NIFTY Index Options'!$B:$B,E$4,'NSE - NIFTY Index Options'!$I:$I,"Monthly*")+SUMIFS('NSE - Other Index Options'!$M:$M,'NSE - Other Index Options'!$C:$C,$A33,'NSE - Other Index Options'!$B:$B,E$4,'NSE - Other Index Options'!$I:$I,"Monthly*")=0,"",SUMIFS('NSE - NIFTY Index Options'!$M:$M,'NSE - NIFTY Index Options'!$C:$C,$A33,'NSE - NIFTY Index Options'!$B:$B,E$4,'NSE - NIFTY Index Options'!$I:$I,"Monthly*")+SUMIFS('NSE - Other Index Options'!$M:$M,'NSE - Other Index Options'!$C:$C,$A33,'NSE - Other Index Options'!$B:$B,E$4,'NSE - Other Index Options'!$I:$I,"Monthly*"))</f>
        <v/>
      </c>
      <c r="F33" s="26">
        <f>IF(SUMIFS('NSE - NIFTY Index Options'!$M:$M,'NSE - NIFTY Index Options'!$C:$C,$A33,'NSE - NIFTY Index Options'!$B:$B,F$4,'NSE - NIFTY Index Options'!$I:$I,"Monthly*")+SUMIFS('NSE - Other Index Options'!$M:$M,'NSE - Other Index Options'!$C:$C,$A33,'NSE - Other Index Options'!$B:$B,F$4,'NSE - Other Index Options'!$I:$I,"Monthly*")=0,"",SUMIFS('NSE - NIFTY Index Options'!$M:$M,'NSE - NIFTY Index Options'!$C:$C,$A33,'NSE - NIFTY Index Options'!$B:$B,F$4,'NSE - NIFTY Index Options'!$I:$I,"Monthly*")+SUMIFS('NSE - Other Index Options'!$M:$M,'NSE - Other Index Options'!$C:$C,$A33,'NSE - Other Index Options'!$B:$B,F$4,'NSE - Other Index Options'!$I:$I,"Monthly*"))</f>
        <v/>
      </c>
      <c r="G33" s="26">
        <f>IF(SUMIFS('NSE - NIFTY Index Options'!$M:$M,'NSE - NIFTY Index Options'!$C:$C,$A33,'NSE - NIFTY Index Options'!$B:$B,G$4,'NSE - NIFTY Index Options'!$I:$I,"Monthly*")+SUMIFS('NSE - Other Index Options'!$M:$M,'NSE - Other Index Options'!$C:$C,$A33,'NSE - Other Index Options'!$B:$B,G$4,'NSE - Other Index Options'!$I:$I,"Monthly*")=0,"",SUMIFS('NSE - NIFTY Index Options'!$M:$M,'NSE - NIFTY Index Options'!$C:$C,$A33,'NSE - NIFTY Index Options'!$B:$B,G$4,'NSE - NIFTY Index Options'!$I:$I,"Monthly*")+SUMIFS('NSE - Other Index Options'!$M:$M,'NSE - Other Index Options'!$C:$C,$A33,'NSE - Other Index Options'!$B:$B,G$4,'NSE - Other Index Options'!$I:$I,"Monthly*"))</f>
        <v/>
      </c>
      <c r="H33" s="26">
        <f>IF(SUM(B33:G33)=0,"",SUM(B33:G33))</f>
        <v/>
      </c>
    </row>
    <row r="34">
      <c r="A34" t="inlineStr">
        <is>
          <t>Week1-Mar-2026</t>
        </is>
      </c>
      <c r="B34" s="26">
        <f>IF(SUMIFS('NSE - NIFTY Index Options'!$M:$M,'NSE - NIFTY Index Options'!$C:$C,$A34,'NSE - NIFTY Index Options'!$B:$B,B$4,'NSE - NIFTY Index Options'!$I:$I,"Monthly*")+SUMIFS('NSE - Other Index Options'!$M:$M,'NSE - Other Index Options'!$C:$C,$A34,'NSE - Other Index Options'!$B:$B,B$4,'NSE - Other Index Options'!$I:$I,"Monthly*")=0,"",SUMIFS('NSE - NIFTY Index Options'!$M:$M,'NSE - NIFTY Index Options'!$C:$C,$A34,'NSE - NIFTY Index Options'!$B:$B,B$4,'NSE - NIFTY Index Options'!$I:$I,"Monthly*")+SUMIFS('NSE - Other Index Options'!$M:$M,'NSE - Other Index Options'!$C:$C,$A34,'NSE - Other Index Options'!$B:$B,B$4,'NSE - Other Index Options'!$I:$I,"Monthly*"))</f>
        <v/>
      </c>
      <c r="C34" s="26">
        <f>IF(SUMIFS('NSE - NIFTY Index Options'!$M:$M,'NSE - NIFTY Index Options'!$C:$C,$A34,'NSE - NIFTY Index Options'!$B:$B,C$4,'NSE - NIFTY Index Options'!$I:$I,"Monthly*")+SUMIFS('NSE - Other Index Options'!$M:$M,'NSE - Other Index Options'!$C:$C,$A34,'NSE - Other Index Options'!$B:$B,C$4,'NSE - Other Index Options'!$I:$I,"Monthly*")=0,"",SUMIFS('NSE - NIFTY Index Options'!$M:$M,'NSE - NIFTY Index Options'!$C:$C,$A34,'NSE - NIFTY Index Options'!$B:$B,C$4,'NSE - NIFTY Index Options'!$I:$I,"Monthly*")+SUMIFS('NSE - Other Index Options'!$M:$M,'NSE - Other Index Options'!$C:$C,$A34,'NSE - Other Index Options'!$B:$B,C$4,'NSE - Other Index Options'!$I:$I,"Monthly*"))</f>
        <v/>
      </c>
      <c r="D34" s="26">
        <f>IF(SUMIFS('NSE - NIFTY Index Options'!$M:$M,'NSE - NIFTY Index Options'!$C:$C,$A34,'NSE - NIFTY Index Options'!$B:$B,D$4,'NSE - NIFTY Index Options'!$I:$I,"Monthly*")+SUMIFS('NSE - Other Index Options'!$M:$M,'NSE - Other Index Options'!$C:$C,$A34,'NSE - Other Index Options'!$B:$B,D$4,'NSE - Other Index Options'!$I:$I,"Monthly*")=0,"",SUMIFS('NSE - NIFTY Index Options'!$M:$M,'NSE - NIFTY Index Options'!$C:$C,$A34,'NSE - NIFTY Index Options'!$B:$B,D$4,'NSE - NIFTY Index Options'!$I:$I,"Monthly*")+SUMIFS('NSE - Other Index Options'!$M:$M,'NSE - Other Index Options'!$C:$C,$A34,'NSE - Other Index Options'!$B:$B,D$4,'NSE - Other Index Options'!$I:$I,"Monthly*"))</f>
        <v/>
      </c>
      <c r="E34" s="26">
        <f>IF(SUMIFS('NSE - NIFTY Index Options'!$M:$M,'NSE - NIFTY Index Options'!$C:$C,$A34,'NSE - NIFTY Index Options'!$B:$B,E$4,'NSE - NIFTY Index Options'!$I:$I,"Monthly*")+SUMIFS('NSE - Other Index Options'!$M:$M,'NSE - Other Index Options'!$C:$C,$A34,'NSE - Other Index Options'!$B:$B,E$4,'NSE - Other Index Options'!$I:$I,"Monthly*")=0,"",SUMIFS('NSE - NIFTY Index Options'!$M:$M,'NSE - NIFTY Index Options'!$C:$C,$A34,'NSE - NIFTY Index Options'!$B:$B,E$4,'NSE - NIFTY Index Options'!$I:$I,"Monthly*")+SUMIFS('NSE - Other Index Options'!$M:$M,'NSE - Other Index Options'!$C:$C,$A34,'NSE - Other Index Options'!$B:$B,E$4,'NSE - Other Index Options'!$I:$I,"Monthly*"))</f>
        <v/>
      </c>
      <c r="F34" s="26">
        <f>IF(SUMIFS('NSE - NIFTY Index Options'!$M:$M,'NSE - NIFTY Index Options'!$C:$C,$A34,'NSE - NIFTY Index Options'!$B:$B,F$4,'NSE - NIFTY Index Options'!$I:$I,"Monthly*")+SUMIFS('NSE - Other Index Options'!$M:$M,'NSE - Other Index Options'!$C:$C,$A34,'NSE - Other Index Options'!$B:$B,F$4,'NSE - Other Index Options'!$I:$I,"Monthly*")=0,"",SUMIFS('NSE - NIFTY Index Options'!$M:$M,'NSE - NIFTY Index Options'!$C:$C,$A34,'NSE - NIFTY Index Options'!$B:$B,F$4,'NSE - NIFTY Index Options'!$I:$I,"Monthly*")+SUMIFS('NSE - Other Index Options'!$M:$M,'NSE - Other Index Options'!$C:$C,$A34,'NSE - Other Index Options'!$B:$B,F$4,'NSE - Other Index Options'!$I:$I,"Monthly*"))</f>
        <v/>
      </c>
      <c r="G34" s="26">
        <f>IF(SUMIFS('NSE - NIFTY Index Options'!$M:$M,'NSE - NIFTY Index Options'!$C:$C,$A34,'NSE - NIFTY Index Options'!$B:$B,G$4,'NSE - NIFTY Index Options'!$I:$I,"Monthly*")+SUMIFS('NSE - Other Index Options'!$M:$M,'NSE - Other Index Options'!$C:$C,$A34,'NSE - Other Index Options'!$B:$B,G$4,'NSE - Other Index Options'!$I:$I,"Monthly*")=0,"",SUMIFS('NSE - NIFTY Index Options'!$M:$M,'NSE - NIFTY Index Options'!$C:$C,$A34,'NSE - NIFTY Index Options'!$B:$B,G$4,'NSE - NIFTY Index Options'!$I:$I,"Monthly*")+SUMIFS('NSE - Other Index Options'!$M:$M,'NSE - Other Index Options'!$C:$C,$A34,'NSE - Other Index Options'!$B:$B,G$4,'NSE - Other Index Options'!$I:$I,"Monthly*"))</f>
        <v/>
      </c>
      <c r="H34" s="26">
        <f>IF(SUM(B34:G34)=0,"",SUM(B34:G34))</f>
        <v/>
      </c>
    </row>
    <row r="35">
      <c r="A35" t="inlineStr">
        <is>
          <t>Week2-Mar-2026</t>
        </is>
      </c>
      <c r="B35" s="26">
        <f>IF(SUMIFS('NSE - NIFTY Index Options'!$M:$M,'NSE - NIFTY Index Options'!$C:$C,$A35,'NSE - NIFTY Index Options'!$B:$B,B$4,'NSE - NIFTY Index Options'!$I:$I,"Monthly*")+SUMIFS('NSE - Other Index Options'!$M:$M,'NSE - Other Index Options'!$C:$C,$A35,'NSE - Other Index Options'!$B:$B,B$4,'NSE - Other Index Options'!$I:$I,"Monthly*")=0,"",SUMIFS('NSE - NIFTY Index Options'!$M:$M,'NSE - NIFTY Index Options'!$C:$C,$A35,'NSE - NIFTY Index Options'!$B:$B,B$4,'NSE - NIFTY Index Options'!$I:$I,"Monthly*")+SUMIFS('NSE - Other Index Options'!$M:$M,'NSE - Other Index Options'!$C:$C,$A35,'NSE - Other Index Options'!$B:$B,B$4,'NSE - Other Index Options'!$I:$I,"Monthly*"))</f>
        <v/>
      </c>
      <c r="C35" s="26">
        <f>IF(SUMIFS('NSE - NIFTY Index Options'!$M:$M,'NSE - NIFTY Index Options'!$C:$C,$A35,'NSE - NIFTY Index Options'!$B:$B,C$4,'NSE - NIFTY Index Options'!$I:$I,"Monthly*")+SUMIFS('NSE - Other Index Options'!$M:$M,'NSE - Other Index Options'!$C:$C,$A35,'NSE - Other Index Options'!$B:$B,C$4,'NSE - Other Index Options'!$I:$I,"Monthly*")=0,"",SUMIFS('NSE - NIFTY Index Options'!$M:$M,'NSE - NIFTY Index Options'!$C:$C,$A35,'NSE - NIFTY Index Options'!$B:$B,C$4,'NSE - NIFTY Index Options'!$I:$I,"Monthly*")+SUMIFS('NSE - Other Index Options'!$M:$M,'NSE - Other Index Options'!$C:$C,$A35,'NSE - Other Index Options'!$B:$B,C$4,'NSE - Other Index Options'!$I:$I,"Monthly*"))</f>
        <v/>
      </c>
      <c r="D35" s="26">
        <f>IF(SUMIFS('NSE - NIFTY Index Options'!$M:$M,'NSE - NIFTY Index Options'!$C:$C,$A35,'NSE - NIFTY Index Options'!$B:$B,D$4,'NSE - NIFTY Index Options'!$I:$I,"Monthly*")+SUMIFS('NSE - Other Index Options'!$M:$M,'NSE - Other Index Options'!$C:$C,$A35,'NSE - Other Index Options'!$B:$B,D$4,'NSE - Other Index Options'!$I:$I,"Monthly*")=0,"",SUMIFS('NSE - NIFTY Index Options'!$M:$M,'NSE - NIFTY Index Options'!$C:$C,$A35,'NSE - NIFTY Index Options'!$B:$B,D$4,'NSE - NIFTY Index Options'!$I:$I,"Monthly*")+SUMIFS('NSE - Other Index Options'!$M:$M,'NSE - Other Index Options'!$C:$C,$A35,'NSE - Other Index Options'!$B:$B,D$4,'NSE - Other Index Options'!$I:$I,"Monthly*"))</f>
        <v/>
      </c>
      <c r="E35" s="26">
        <f>IF(SUMIFS('NSE - NIFTY Index Options'!$M:$M,'NSE - NIFTY Index Options'!$C:$C,$A35,'NSE - NIFTY Index Options'!$B:$B,E$4,'NSE - NIFTY Index Options'!$I:$I,"Monthly*")+SUMIFS('NSE - Other Index Options'!$M:$M,'NSE - Other Index Options'!$C:$C,$A35,'NSE - Other Index Options'!$B:$B,E$4,'NSE - Other Index Options'!$I:$I,"Monthly*")=0,"",SUMIFS('NSE - NIFTY Index Options'!$M:$M,'NSE - NIFTY Index Options'!$C:$C,$A35,'NSE - NIFTY Index Options'!$B:$B,E$4,'NSE - NIFTY Index Options'!$I:$I,"Monthly*")+SUMIFS('NSE - Other Index Options'!$M:$M,'NSE - Other Index Options'!$C:$C,$A35,'NSE - Other Index Options'!$B:$B,E$4,'NSE - Other Index Options'!$I:$I,"Monthly*"))</f>
        <v/>
      </c>
      <c r="F35" s="26">
        <f>IF(SUMIFS('NSE - NIFTY Index Options'!$M:$M,'NSE - NIFTY Index Options'!$C:$C,$A35,'NSE - NIFTY Index Options'!$B:$B,F$4,'NSE - NIFTY Index Options'!$I:$I,"Monthly*")+SUMIFS('NSE - Other Index Options'!$M:$M,'NSE - Other Index Options'!$C:$C,$A35,'NSE - Other Index Options'!$B:$B,F$4,'NSE - Other Index Options'!$I:$I,"Monthly*")=0,"",SUMIFS('NSE - NIFTY Index Options'!$M:$M,'NSE - NIFTY Index Options'!$C:$C,$A35,'NSE - NIFTY Index Options'!$B:$B,F$4,'NSE - NIFTY Index Options'!$I:$I,"Monthly*")+SUMIFS('NSE - Other Index Options'!$M:$M,'NSE - Other Index Options'!$C:$C,$A35,'NSE - Other Index Options'!$B:$B,F$4,'NSE - Other Index Options'!$I:$I,"Monthly*"))</f>
        <v/>
      </c>
      <c r="G35" s="26">
        <f>IF(SUMIFS('NSE - NIFTY Index Options'!$M:$M,'NSE - NIFTY Index Options'!$C:$C,$A35,'NSE - NIFTY Index Options'!$B:$B,G$4,'NSE - NIFTY Index Options'!$I:$I,"Monthly*")+SUMIFS('NSE - Other Index Options'!$M:$M,'NSE - Other Index Options'!$C:$C,$A35,'NSE - Other Index Options'!$B:$B,G$4,'NSE - Other Index Options'!$I:$I,"Monthly*")=0,"",SUMIFS('NSE - NIFTY Index Options'!$M:$M,'NSE - NIFTY Index Options'!$C:$C,$A35,'NSE - NIFTY Index Options'!$B:$B,G$4,'NSE - NIFTY Index Options'!$I:$I,"Monthly*")+SUMIFS('NSE - Other Index Options'!$M:$M,'NSE - Other Index Options'!$C:$C,$A35,'NSE - Other Index Options'!$B:$B,G$4,'NSE - Other Index Options'!$I:$I,"Monthly*"))</f>
        <v/>
      </c>
      <c r="H35" s="26">
        <f>IF(SUM(B35:G35)=0,"",SUM(B35:G35))</f>
        <v/>
      </c>
    </row>
    <row r="36">
      <c r="A36" t="inlineStr">
        <is>
          <t>Week3-Mar-2026</t>
        </is>
      </c>
      <c r="B36" s="26">
        <f>IF(SUMIFS('NSE - NIFTY Index Options'!$M:$M,'NSE - NIFTY Index Options'!$C:$C,$A36,'NSE - NIFTY Index Options'!$B:$B,B$4,'NSE - NIFTY Index Options'!$I:$I,"Monthly*")+SUMIFS('NSE - Other Index Options'!$M:$M,'NSE - Other Index Options'!$C:$C,$A36,'NSE - Other Index Options'!$B:$B,B$4,'NSE - Other Index Options'!$I:$I,"Monthly*")=0,"",SUMIFS('NSE - NIFTY Index Options'!$M:$M,'NSE - NIFTY Index Options'!$C:$C,$A36,'NSE - NIFTY Index Options'!$B:$B,B$4,'NSE - NIFTY Index Options'!$I:$I,"Monthly*")+SUMIFS('NSE - Other Index Options'!$M:$M,'NSE - Other Index Options'!$C:$C,$A36,'NSE - Other Index Options'!$B:$B,B$4,'NSE - Other Index Options'!$I:$I,"Monthly*"))</f>
        <v/>
      </c>
      <c r="C36" s="26">
        <f>IF(SUMIFS('NSE - NIFTY Index Options'!$M:$M,'NSE - NIFTY Index Options'!$C:$C,$A36,'NSE - NIFTY Index Options'!$B:$B,C$4,'NSE - NIFTY Index Options'!$I:$I,"Monthly*")+SUMIFS('NSE - Other Index Options'!$M:$M,'NSE - Other Index Options'!$C:$C,$A36,'NSE - Other Index Options'!$B:$B,C$4,'NSE - Other Index Options'!$I:$I,"Monthly*")=0,"",SUMIFS('NSE - NIFTY Index Options'!$M:$M,'NSE - NIFTY Index Options'!$C:$C,$A36,'NSE - NIFTY Index Options'!$B:$B,C$4,'NSE - NIFTY Index Options'!$I:$I,"Monthly*")+SUMIFS('NSE - Other Index Options'!$M:$M,'NSE - Other Index Options'!$C:$C,$A36,'NSE - Other Index Options'!$B:$B,C$4,'NSE - Other Index Options'!$I:$I,"Monthly*"))</f>
        <v/>
      </c>
      <c r="D36" s="26">
        <f>IF(SUMIFS('NSE - NIFTY Index Options'!$M:$M,'NSE - NIFTY Index Options'!$C:$C,$A36,'NSE - NIFTY Index Options'!$B:$B,D$4,'NSE - NIFTY Index Options'!$I:$I,"Monthly*")+SUMIFS('NSE - Other Index Options'!$M:$M,'NSE - Other Index Options'!$C:$C,$A36,'NSE - Other Index Options'!$B:$B,D$4,'NSE - Other Index Options'!$I:$I,"Monthly*")=0,"",SUMIFS('NSE - NIFTY Index Options'!$M:$M,'NSE - NIFTY Index Options'!$C:$C,$A36,'NSE - NIFTY Index Options'!$B:$B,D$4,'NSE - NIFTY Index Options'!$I:$I,"Monthly*")+SUMIFS('NSE - Other Index Options'!$M:$M,'NSE - Other Index Options'!$C:$C,$A36,'NSE - Other Index Options'!$B:$B,D$4,'NSE - Other Index Options'!$I:$I,"Monthly*"))</f>
        <v/>
      </c>
      <c r="E36" s="26">
        <f>IF(SUMIFS('NSE - NIFTY Index Options'!$M:$M,'NSE - NIFTY Index Options'!$C:$C,$A36,'NSE - NIFTY Index Options'!$B:$B,E$4,'NSE - NIFTY Index Options'!$I:$I,"Monthly*")+SUMIFS('NSE - Other Index Options'!$M:$M,'NSE - Other Index Options'!$C:$C,$A36,'NSE - Other Index Options'!$B:$B,E$4,'NSE - Other Index Options'!$I:$I,"Monthly*")=0,"",SUMIFS('NSE - NIFTY Index Options'!$M:$M,'NSE - NIFTY Index Options'!$C:$C,$A36,'NSE - NIFTY Index Options'!$B:$B,E$4,'NSE - NIFTY Index Options'!$I:$I,"Monthly*")+SUMIFS('NSE - Other Index Options'!$M:$M,'NSE - Other Index Options'!$C:$C,$A36,'NSE - Other Index Options'!$B:$B,E$4,'NSE - Other Index Options'!$I:$I,"Monthly*"))</f>
        <v/>
      </c>
      <c r="F36" s="26">
        <f>IF(SUMIFS('NSE - NIFTY Index Options'!$M:$M,'NSE - NIFTY Index Options'!$C:$C,$A36,'NSE - NIFTY Index Options'!$B:$B,F$4,'NSE - NIFTY Index Options'!$I:$I,"Monthly*")+SUMIFS('NSE - Other Index Options'!$M:$M,'NSE - Other Index Options'!$C:$C,$A36,'NSE - Other Index Options'!$B:$B,F$4,'NSE - Other Index Options'!$I:$I,"Monthly*")=0,"",SUMIFS('NSE - NIFTY Index Options'!$M:$M,'NSE - NIFTY Index Options'!$C:$C,$A36,'NSE - NIFTY Index Options'!$B:$B,F$4,'NSE - NIFTY Index Options'!$I:$I,"Monthly*")+SUMIFS('NSE - Other Index Options'!$M:$M,'NSE - Other Index Options'!$C:$C,$A36,'NSE - Other Index Options'!$B:$B,F$4,'NSE - Other Index Options'!$I:$I,"Monthly*"))</f>
        <v/>
      </c>
      <c r="G36" s="26">
        <f>IF(SUMIFS('NSE - NIFTY Index Options'!$M:$M,'NSE - NIFTY Index Options'!$C:$C,$A36,'NSE - NIFTY Index Options'!$B:$B,G$4,'NSE - NIFTY Index Options'!$I:$I,"Monthly*")+SUMIFS('NSE - Other Index Options'!$M:$M,'NSE - Other Index Options'!$C:$C,$A36,'NSE - Other Index Options'!$B:$B,G$4,'NSE - Other Index Options'!$I:$I,"Monthly*")=0,"",SUMIFS('NSE - NIFTY Index Options'!$M:$M,'NSE - NIFTY Index Options'!$C:$C,$A36,'NSE - NIFTY Index Options'!$B:$B,G$4,'NSE - NIFTY Index Options'!$I:$I,"Monthly*")+SUMIFS('NSE - Other Index Options'!$M:$M,'NSE - Other Index Options'!$C:$C,$A36,'NSE - Other Index Options'!$B:$B,G$4,'NSE - Other Index Options'!$I:$I,"Monthly*"))</f>
        <v/>
      </c>
      <c r="H36" s="26">
        <f>IF(SUM(B36:G36)=0,"",SUM(B36:G36))</f>
        <v/>
      </c>
    </row>
    <row r="37">
      <c r="A37" t="inlineStr">
        <is>
          <t>Week4-Mar-2026</t>
        </is>
      </c>
      <c r="B37" s="26">
        <f>IF(SUMIFS('NSE - NIFTY Index Options'!$M:$M,'NSE - NIFTY Index Options'!$C:$C,$A37,'NSE - NIFTY Index Options'!$B:$B,B$4,'NSE - NIFTY Index Options'!$I:$I,"Monthly*")+SUMIFS('NSE - Other Index Options'!$M:$M,'NSE - Other Index Options'!$C:$C,$A37,'NSE - Other Index Options'!$B:$B,B$4,'NSE - Other Index Options'!$I:$I,"Monthly*")=0,"",SUMIFS('NSE - NIFTY Index Options'!$M:$M,'NSE - NIFTY Index Options'!$C:$C,$A37,'NSE - NIFTY Index Options'!$B:$B,B$4,'NSE - NIFTY Index Options'!$I:$I,"Monthly*")+SUMIFS('NSE - Other Index Options'!$M:$M,'NSE - Other Index Options'!$C:$C,$A37,'NSE - Other Index Options'!$B:$B,B$4,'NSE - Other Index Options'!$I:$I,"Monthly*"))</f>
        <v/>
      </c>
      <c r="C37" s="26">
        <f>IF(SUMIFS('NSE - NIFTY Index Options'!$M:$M,'NSE - NIFTY Index Options'!$C:$C,$A37,'NSE - NIFTY Index Options'!$B:$B,C$4,'NSE - NIFTY Index Options'!$I:$I,"Monthly*")+SUMIFS('NSE - Other Index Options'!$M:$M,'NSE - Other Index Options'!$C:$C,$A37,'NSE - Other Index Options'!$B:$B,C$4,'NSE - Other Index Options'!$I:$I,"Monthly*")=0,"",SUMIFS('NSE - NIFTY Index Options'!$M:$M,'NSE - NIFTY Index Options'!$C:$C,$A37,'NSE - NIFTY Index Options'!$B:$B,C$4,'NSE - NIFTY Index Options'!$I:$I,"Monthly*")+SUMIFS('NSE - Other Index Options'!$M:$M,'NSE - Other Index Options'!$C:$C,$A37,'NSE - Other Index Options'!$B:$B,C$4,'NSE - Other Index Options'!$I:$I,"Monthly*"))</f>
        <v/>
      </c>
      <c r="D37" s="26">
        <f>IF(SUMIFS('NSE - NIFTY Index Options'!$M:$M,'NSE - NIFTY Index Options'!$C:$C,$A37,'NSE - NIFTY Index Options'!$B:$B,D$4,'NSE - NIFTY Index Options'!$I:$I,"Monthly*")+SUMIFS('NSE - Other Index Options'!$M:$M,'NSE - Other Index Options'!$C:$C,$A37,'NSE - Other Index Options'!$B:$B,D$4,'NSE - Other Index Options'!$I:$I,"Monthly*")=0,"",SUMIFS('NSE - NIFTY Index Options'!$M:$M,'NSE - NIFTY Index Options'!$C:$C,$A37,'NSE - NIFTY Index Options'!$B:$B,D$4,'NSE - NIFTY Index Options'!$I:$I,"Monthly*")+SUMIFS('NSE - Other Index Options'!$M:$M,'NSE - Other Index Options'!$C:$C,$A37,'NSE - Other Index Options'!$B:$B,D$4,'NSE - Other Index Options'!$I:$I,"Monthly*"))</f>
        <v/>
      </c>
      <c r="E37" s="26">
        <f>IF(SUMIFS('NSE - NIFTY Index Options'!$M:$M,'NSE - NIFTY Index Options'!$C:$C,$A37,'NSE - NIFTY Index Options'!$B:$B,E$4,'NSE - NIFTY Index Options'!$I:$I,"Monthly*")+SUMIFS('NSE - Other Index Options'!$M:$M,'NSE - Other Index Options'!$C:$C,$A37,'NSE - Other Index Options'!$B:$B,E$4,'NSE - Other Index Options'!$I:$I,"Monthly*")=0,"",SUMIFS('NSE - NIFTY Index Options'!$M:$M,'NSE - NIFTY Index Options'!$C:$C,$A37,'NSE - NIFTY Index Options'!$B:$B,E$4,'NSE - NIFTY Index Options'!$I:$I,"Monthly*")+SUMIFS('NSE - Other Index Options'!$M:$M,'NSE - Other Index Options'!$C:$C,$A37,'NSE - Other Index Options'!$B:$B,E$4,'NSE - Other Index Options'!$I:$I,"Monthly*"))</f>
        <v/>
      </c>
      <c r="F37" s="26">
        <f>IF(SUMIFS('NSE - NIFTY Index Options'!$M:$M,'NSE - NIFTY Index Options'!$C:$C,$A37,'NSE - NIFTY Index Options'!$B:$B,F$4,'NSE - NIFTY Index Options'!$I:$I,"Monthly*")+SUMIFS('NSE - Other Index Options'!$M:$M,'NSE - Other Index Options'!$C:$C,$A37,'NSE - Other Index Options'!$B:$B,F$4,'NSE - Other Index Options'!$I:$I,"Monthly*")=0,"",SUMIFS('NSE - NIFTY Index Options'!$M:$M,'NSE - NIFTY Index Options'!$C:$C,$A37,'NSE - NIFTY Index Options'!$B:$B,F$4,'NSE - NIFTY Index Options'!$I:$I,"Monthly*")+SUMIFS('NSE - Other Index Options'!$M:$M,'NSE - Other Index Options'!$C:$C,$A37,'NSE - Other Index Options'!$B:$B,F$4,'NSE - Other Index Options'!$I:$I,"Monthly*"))</f>
        <v/>
      </c>
      <c r="G37" s="26">
        <f>IF(SUMIFS('NSE - NIFTY Index Options'!$M:$M,'NSE - NIFTY Index Options'!$C:$C,$A37,'NSE - NIFTY Index Options'!$B:$B,G$4,'NSE - NIFTY Index Options'!$I:$I,"Monthly*")+SUMIFS('NSE - Other Index Options'!$M:$M,'NSE - Other Index Options'!$C:$C,$A37,'NSE - Other Index Options'!$B:$B,G$4,'NSE - Other Index Options'!$I:$I,"Monthly*")=0,"",SUMIFS('NSE - NIFTY Index Options'!$M:$M,'NSE - NIFTY Index Options'!$C:$C,$A37,'NSE - NIFTY Index Options'!$B:$B,G$4,'NSE - NIFTY Index Options'!$I:$I,"Monthly*")+SUMIFS('NSE - Other Index Options'!$M:$M,'NSE - Other Index Options'!$C:$C,$A37,'NSE - Other Index Options'!$B:$B,G$4,'NSE - Other Index Options'!$I:$I,"Monthly*"))</f>
        <v/>
      </c>
      <c r="H37" s="26">
        <f>IF(SUM(B37:G37)=0,"",SUM(B37:G37))</f>
        <v/>
      </c>
    </row>
    <row r="38">
      <c r="A38" t="inlineStr">
        <is>
          <t>Week5-Mar-2026</t>
        </is>
      </c>
      <c r="B38" s="26">
        <f>IF(SUMIFS('NSE - NIFTY Index Options'!$M:$M,'NSE - NIFTY Index Options'!$C:$C,$A38,'NSE - NIFTY Index Options'!$B:$B,B$4,'NSE - NIFTY Index Options'!$I:$I,"Monthly*")+SUMIFS('NSE - Other Index Options'!$M:$M,'NSE - Other Index Options'!$C:$C,$A38,'NSE - Other Index Options'!$B:$B,B$4,'NSE - Other Index Options'!$I:$I,"Monthly*")=0,"",SUMIFS('NSE - NIFTY Index Options'!$M:$M,'NSE - NIFTY Index Options'!$C:$C,$A38,'NSE - NIFTY Index Options'!$B:$B,B$4,'NSE - NIFTY Index Options'!$I:$I,"Monthly*")+SUMIFS('NSE - Other Index Options'!$M:$M,'NSE - Other Index Options'!$C:$C,$A38,'NSE - Other Index Options'!$B:$B,B$4,'NSE - Other Index Options'!$I:$I,"Monthly*"))</f>
        <v/>
      </c>
      <c r="C38" s="26">
        <f>IF(SUMIFS('NSE - NIFTY Index Options'!$M:$M,'NSE - NIFTY Index Options'!$C:$C,$A38,'NSE - NIFTY Index Options'!$B:$B,C$4,'NSE - NIFTY Index Options'!$I:$I,"Monthly*")+SUMIFS('NSE - Other Index Options'!$M:$M,'NSE - Other Index Options'!$C:$C,$A38,'NSE - Other Index Options'!$B:$B,C$4,'NSE - Other Index Options'!$I:$I,"Monthly*")=0,"",SUMIFS('NSE - NIFTY Index Options'!$M:$M,'NSE - NIFTY Index Options'!$C:$C,$A38,'NSE - NIFTY Index Options'!$B:$B,C$4,'NSE - NIFTY Index Options'!$I:$I,"Monthly*")+SUMIFS('NSE - Other Index Options'!$M:$M,'NSE - Other Index Options'!$C:$C,$A38,'NSE - Other Index Options'!$B:$B,C$4,'NSE - Other Index Options'!$I:$I,"Monthly*"))</f>
        <v/>
      </c>
      <c r="D38" s="26">
        <f>IF(SUMIFS('NSE - NIFTY Index Options'!$M:$M,'NSE - NIFTY Index Options'!$C:$C,$A38,'NSE - NIFTY Index Options'!$B:$B,D$4,'NSE - NIFTY Index Options'!$I:$I,"Monthly*")+SUMIFS('NSE - Other Index Options'!$M:$M,'NSE - Other Index Options'!$C:$C,$A38,'NSE - Other Index Options'!$B:$B,D$4,'NSE - Other Index Options'!$I:$I,"Monthly*")=0,"",SUMIFS('NSE - NIFTY Index Options'!$M:$M,'NSE - NIFTY Index Options'!$C:$C,$A38,'NSE - NIFTY Index Options'!$B:$B,D$4,'NSE - NIFTY Index Options'!$I:$I,"Monthly*")+SUMIFS('NSE - Other Index Options'!$M:$M,'NSE - Other Index Options'!$C:$C,$A38,'NSE - Other Index Options'!$B:$B,D$4,'NSE - Other Index Options'!$I:$I,"Monthly*"))</f>
        <v/>
      </c>
      <c r="E38" s="26">
        <f>IF(SUMIFS('NSE - NIFTY Index Options'!$M:$M,'NSE - NIFTY Index Options'!$C:$C,$A38,'NSE - NIFTY Index Options'!$B:$B,E$4,'NSE - NIFTY Index Options'!$I:$I,"Monthly*")+SUMIFS('NSE - Other Index Options'!$M:$M,'NSE - Other Index Options'!$C:$C,$A38,'NSE - Other Index Options'!$B:$B,E$4,'NSE - Other Index Options'!$I:$I,"Monthly*")=0,"",SUMIFS('NSE - NIFTY Index Options'!$M:$M,'NSE - NIFTY Index Options'!$C:$C,$A38,'NSE - NIFTY Index Options'!$B:$B,E$4,'NSE - NIFTY Index Options'!$I:$I,"Monthly*")+SUMIFS('NSE - Other Index Options'!$M:$M,'NSE - Other Index Options'!$C:$C,$A38,'NSE - Other Index Options'!$B:$B,E$4,'NSE - Other Index Options'!$I:$I,"Monthly*"))</f>
        <v/>
      </c>
      <c r="F38" s="26">
        <f>IF(SUMIFS('NSE - NIFTY Index Options'!$M:$M,'NSE - NIFTY Index Options'!$C:$C,$A38,'NSE - NIFTY Index Options'!$B:$B,F$4,'NSE - NIFTY Index Options'!$I:$I,"Monthly*")+SUMIFS('NSE - Other Index Options'!$M:$M,'NSE - Other Index Options'!$C:$C,$A38,'NSE - Other Index Options'!$B:$B,F$4,'NSE - Other Index Options'!$I:$I,"Monthly*")=0,"",SUMIFS('NSE - NIFTY Index Options'!$M:$M,'NSE - NIFTY Index Options'!$C:$C,$A38,'NSE - NIFTY Index Options'!$B:$B,F$4,'NSE - NIFTY Index Options'!$I:$I,"Monthly*")+SUMIFS('NSE - Other Index Options'!$M:$M,'NSE - Other Index Options'!$C:$C,$A38,'NSE - Other Index Options'!$B:$B,F$4,'NSE - Other Index Options'!$I:$I,"Monthly*"))</f>
        <v/>
      </c>
      <c r="G38" s="26">
        <f>IF(SUMIFS('NSE - NIFTY Index Options'!$M:$M,'NSE - NIFTY Index Options'!$C:$C,$A38,'NSE - NIFTY Index Options'!$B:$B,G$4,'NSE - NIFTY Index Options'!$I:$I,"Monthly*")+SUMIFS('NSE - Other Index Options'!$M:$M,'NSE - Other Index Options'!$C:$C,$A38,'NSE - Other Index Options'!$B:$B,G$4,'NSE - Other Index Options'!$I:$I,"Monthly*")=0,"",SUMIFS('NSE - NIFTY Index Options'!$M:$M,'NSE - NIFTY Index Options'!$C:$C,$A38,'NSE - NIFTY Index Options'!$B:$B,G$4,'NSE - NIFTY Index Options'!$I:$I,"Monthly*")+SUMIFS('NSE - Other Index Options'!$M:$M,'NSE - Other Index Options'!$C:$C,$A38,'NSE - Other Index Options'!$B:$B,G$4,'NSE - Other Index Options'!$I:$I,"Monthly*"))</f>
        <v/>
      </c>
      <c r="H38" s="26">
        <f>IF(SUM(B38:G38)=0,"",SUM(B38:G38))</f>
        <v/>
      </c>
    </row>
    <row r="39">
      <c r="A39" t="inlineStr">
        <is>
          <t>Week1-Apr-2026</t>
        </is>
      </c>
      <c r="B39" s="26">
        <f>IF(SUMIFS('NSE - NIFTY Index Options'!$M:$M,'NSE - NIFTY Index Options'!$C:$C,$A39,'NSE - NIFTY Index Options'!$B:$B,B$4,'NSE - NIFTY Index Options'!$I:$I,"Monthly*")+SUMIFS('NSE - Other Index Options'!$M:$M,'NSE - Other Index Options'!$C:$C,$A39,'NSE - Other Index Options'!$B:$B,B$4,'NSE - Other Index Options'!$I:$I,"Monthly*")=0,"",SUMIFS('NSE - NIFTY Index Options'!$M:$M,'NSE - NIFTY Index Options'!$C:$C,$A39,'NSE - NIFTY Index Options'!$B:$B,B$4,'NSE - NIFTY Index Options'!$I:$I,"Monthly*")+SUMIFS('NSE - Other Index Options'!$M:$M,'NSE - Other Index Options'!$C:$C,$A39,'NSE - Other Index Options'!$B:$B,B$4,'NSE - Other Index Options'!$I:$I,"Monthly*"))</f>
        <v/>
      </c>
      <c r="C39" s="26">
        <f>IF(SUMIFS('NSE - NIFTY Index Options'!$M:$M,'NSE - NIFTY Index Options'!$C:$C,$A39,'NSE - NIFTY Index Options'!$B:$B,C$4,'NSE - NIFTY Index Options'!$I:$I,"Monthly*")+SUMIFS('NSE - Other Index Options'!$M:$M,'NSE - Other Index Options'!$C:$C,$A39,'NSE - Other Index Options'!$B:$B,C$4,'NSE - Other Index Options'!$I:$I,"Monthly*")=0,"",SUMIFS('NSE - NIFTY Index Options'!$M:$M,'NSE - NIFTY Index Options'!$C:$C,$A39,'NSE - NIFTY Index Options'!$B:$B,C$4,'NSE - NIFTY Index Options'!$I:$I,"Monthly*")+SUMIFS('NSE - Other Index Options'!$M:$M,'NSE - Other Index Options'!$C:$C,$A39,'NSE - Other Index Options'!$B:$B,C$4,'NSE - Other Index Options'!$I:$I,"Monthly*"))</f>
        <v/>
      </c>
      <c r="D39" s="26">
        <f>IF(SUMIFS('NSE - NIFTY Index Options'!$M:$M,'NSE - NIFTY Index Options'!$C:$C,$A39,'NSE - NIFTY Index Options'!$B:$B,D$4,'NSE - NIFTY Index Options'!$I:$I,"Monthly*")+SUMIFS('NSE - Other Index Options'!$M:$M,'NSE - Other Index Options'!$C:$C,$A39,'NSE - Other Index Options'!$B:$B,D$4,'NSE - Other Index Options'!$I:$I,"Monthly*")=0,"",SUMIFS('NSE - NIFTY Index Options'!$M:$M,'NSE - NIFTY Index Options'!$C:$C,$A39,'NSE - NIFTY Index Options'!$B:$B,D$4,'NSE - NIFTY Index Options'!$I:$I,"Monthly*")+SUMIFS('NSE - Other Index Options'!$M:$M,'NSE - Other Index Options'!$C:$C,$A39,'NSE - Other Index Options'!$B:$B,D$4,'NSE - Other Index Options'!$I:$I,"Monthly*"))</f>
        <v/>
      </c>
      <c r="E39" s="26">
        <f>IF(SUMIFS('NSE - NIFTY Index Options'!$M:$M,'NSE - NIFTY Index Options'!$C:$C,$A39,'NSE - NIFTY Index Options'!$B:$B,E$4,'NSE - NIFTY Index Options'!$I:$I,"Monthly*")+SUMIFS('NSE - Other Index Options'!$M:$M,'NSE - Other Index Options'!$C:$C,$A39,'NSE - Other Index Options'!$B:$B,E$4,'NSE - Other Index Options'!$I:$I,"Monthly*")=0,"",SUMIFS('NSE - NIFTY Index Options'!$M:$M,'NSE - NIFTY Index Options'!$C:$C,$A39,'NSE - NIFTY Index Options'!$B:$B,E$4,'NSE - NIFTY Index Options'!$I:$I,"Monthly*")+SUMIFS('NSE - Other Index Options'!$M:$M,'NSE - Other Index Options'!$C:$C,$A39,'NSE - Other Index Options'!$B:$B,E$4,'NSE - Other Index Options'!$I:$I,"Monthly*"))</f>
        <v/>
      </c>
      <c r="F39" s="26">
        <f>IF(SUMIFS('NSE - NIFTY Index Options'!$M:$M,'NSE - NIFTY Index Options'!$C:$C,$A39,'NSE - NIFTY Index Options'!$B:$B,F$4,'NSE - NIFTY Index Options'!$I:$I,"Monthly*")+SUMIFS('NSE - Other Index Options'!$M:$M,'NSE - Other Index Options'!$C:$C,$A39,'NSE - Other Index Options'!$B:$B,F$4,'NSE - Other Index Options'!$I:$I,"Monthly*")=0,"",SUMIFS('NSE - NIFTY Index Options'!$M:$M,'NSE - NIFTY Index Options'!$C:$C,$A39,'NSE - NIFTY Index Options'!$B:$B,F$4,'NSE - NIFTY Index Options'!$I:$I,"Monthly*")+SUMIFS('NSE - Other Index Options'!$M:$M,'NSE - Other Index Options'!$C:$C,$A39,'NSE - Other Index Options'!$B:$B,F$4,'NSE - Other Index Options'!$I:$I,"Monthly*"))</f>
        <v/>
      </c>
      <c r="G39" s="26">
        <f>IF(SUMIFS('NSE - NIFTY Index Options'!$M:$M,'NSE - NIFTY Index Options'!$C:$C,$A39,'NSE - NIFTY Index Options'!$B:$B,G$4,'NSE - NIFTY Index Options'!$I:$I,"Monthly*")+SUMIFS('NSE - Other Index Options'!$M:$M,'NSE - Other Index Options'!$C:$C,$A39,'NSE - Other Index Options'!$B:$B,G$4,'NSE - Other Index Options'!$I:$I,"Monthly*")=0,"",SUMIFS('NSE - NIFTY Index Options'!$M:$M,'NSE - NIFTY Index Options'!$C:$C,$A39,'NSE - NIFTY Index Options'!$B:$B,G$4,'NSE - NIFTY Index Options'!$I:$I,"Monthly*")+SUMIFS('NSE - Other Index Options'!$M:$M,'NSE - Other Index Options'!$C:$C,$A39,'NSE - Other Index Options'!$B:$B,G$4,'NSE - Other Index Options'!$I:$I,"Monthly*"))</f>
        <v/>
      </c>
      <c r="H39" s="26">
        <f>IF(SUM(B39:G39)=0,"",SUM(B39:G39))</f>
        <v/>
      </c>
    </row>
    <row r="40">
      <c r="A40" t="inlineStr">
        <is>
          <t>Week2-Apr-2026</t>
        </is>
      </c>
      <c r="B40" s="26">
        <f>IF(SUMIFS('NSE - NIFTY Index Options'!$M:$M,'NSE - NIFTY Index Options'!$C:$C,$A40,'NSE - NIFTY Index Options'!$B:$B,B$4,'NSE - NIFTY Index Options'!$I:$I,"Monthly*")+SUMIFS('NSE - Other Index Options'!$M:$M,'NSE - Other Index Options'!$C:$C,$A40,'NSE - Other Index Options'!$B:$B,B$4,'NSE - Other Index Options'!$I:$I,"Monthly*")=0,"",SUMIFS('NSE - NIFTY Index Options'!$M:$M,'NSE - NIFTY Index Options'!$C:$C,$A40,'NSE - NIFTY Index Options'!$B:$B,B$4,'NSE - NIFTY Index Options'!$I:$I,"Monthly*")+SUMIFS('NSE - Other Index Options'!$M:$M,'NSE - Other Index Options'!$C:$C,$A40,'NSE - Other Index Options'!$B:$B,B$4,'NSE - Other Index Options'!$I:$I,"Monthly*"))</f>
        <v/>
      </c>
      <c r="C40" s="26">
        <f>IF(SUMIFS('NSE - NIFTY Index Options'!$M:$M,'NSE - NIFTY Index Options'!$C:$C,$A40,'NSE - NIFTY Index Options'!$B:$B,C$4,'NSE - NIFTY Index Options'!$I:$I,"Monthly*")+SUMIFS('NSE - Other Index Options'!$M:$M,'NSE - Other Index Options'!$C:$C,$A40,'NSE - Other Index Options'!$B:$B,C$4,'NSE - Other Index Options'!$I:$I,"Monthly*")=0,"",SUMIFS('NSE - NIFTY Index Options'!$M:$M,'NSE - NIFTY Index Options'!$C:$C,$A40,'NSE - NIFTY Index Options'!$B:$B,C$4,'NSE - NIFTY Index Options'!$I:$I,"Monthly*")+SUMIFS('NSE - Other Index Options'!$M:$M,'NSE - Other Index Options'!$C:$C,$A40,'NSE - Other Index Options'!$B:$B,C$4,'NSE - Other Index Options'!$I:$I,"Monthly*"))</f>
        <v/>
      </c>
      <c r="D40" s="26">
        <f>IF(SUMIFS('NSE - NIFTY Index Options'!$M:$M,'NSE - NIFTY Index Options'!$C:$C,$A40,'NSE - NIFTY Index Options'!$B:$B,D$4,'NSE - NIFTY Index Options'!$I:$I,"Monthly*")+SUMIFS('NSE - Other Index Options'!$M:$M,'NSE - Other Index Options'!$C:$C,$A40,'NSE - Other Index Options'!$B:$B,D$4,'NSE - Other Index Options'!$I:$I,"Monthly*")=0,"",SUMIFS('NSE - NIFTY Index Options'!$M:$M,'NSE - NIFTY Index Options'!$C:$C,$A40,'NSE - NIFTY Index Options'!$B:$B,D$4,'NSE - NIFTY Index Options'!$I:$I,"Monthly*")+SUMIFS('NSE - Other Index Options'!$M:$M,'NSE - Other Index Options'!$C:$C,$A40,'NSE - Other Index Options'!$B:$B,D$4,'NSE - Other Index Options'!$I:$I,"Monthly*"))</f>
        <v/>
      </c>
      <c r="E40" s="26">
        <f>IF(SUMIFS('NSE - NIFTY Index Options'!$M:$M,'NSE - NIFTY Index Options'!$C:$C,$A40,'NSE - NIFTY Index Options'!$B:$B,E$4,'NSE - NIFTY Index Options'!$I:$I,"Monthly*")+SUMIFS('NSE - Other Index Options'!$M:$M,'NSE - Other Index Options'!$C:$C,$A40,'NSE - Other Index Options'!$B:$B,E$4,'NSE - Other Index Options'!$I:$I,"Monthly*")=0,"",SUMIFS('NSE - NIFTY Index Options'!$M:$M,'NSE - NIFTY Index Options'!$C:$C,$A40,'NSE - NIFTY Index Options'!$B:$B,E$4,'NSE - NIFTY Index Options'!$I:$I,"Monthly*")+SUMIFS('NSE - Other Index Options'!$M:$M,'NSE - Other Index Options'!$C:$C,$A40,'NSE - Other Index Options'!$B:$B,E$4,'NSE - Other Index Options'!$I:$I,"Monthly*"))</f>
        <v/>
      </c>
      <c r="F40" s="26">
        <f>IF(SUMIFS('NSE - NIFTY Index Options'!$M:$M,'NSE - NIFTY Index Options'!$C:$C,$A40,'NSE - NIFTY Index Options'!$B:$B,F$4,'NSE - NIFTY Index Options'!$I:$I,"Monthly*")+SUMIFS('NSE - Other Index Options'!$M:$M,'NSE - Other Index Options'!$C:$C,$A40,'NSE - Other Index Options'!$B:$B,F$4,'NSE - Other Index Options'!$I:$I,"Monthly*")=0,"",SUMIFS('NSE - NIFTY Index Options'!$M:$M,'NSE - NIFTY Index Options'!$C:$C,$A40,'NSE - NIFTY Index Options'!$B:$B,F$4,'NSE - NIFTY Index Options'!$I:$I,"Monthly*")+SUMIFS('NSE - Other Index Options'!$M:$M,'NSE - Other Index Options'!$C:$C,$A40,'NSE - Other Index Options'!$B:$B,F$4,'NSE - Other Index Options'!$I:$I,"Monthly*"))</f>
        <v/>
      </c>
      <c r="G40" s="26">
        <f>IF(SUMIFS('NSE - NIFTY Index Options'!$M:$M,'NSE - NIFTY Index Options'!$C:$C,$A40,'NSE - NIFTY Index Options'!$B:$B,G$4,'NSE - NIFTY Index Options'!$I:$I,"Monthly*")+SUMIFS('NSE - Other Index Options'!$M:$M,'NSE - Other Index Options'!$C:$C,$A40,'NSE - Other Index Options'!$B:$B,G$4,'NSE - Other Index Options'!$I:$I,"Monthly*")=0,"",SUMIFS('NSE - NIFTY Index Options'!$M:$M,'NSE - NIFTY Index Options'!$C:$C,$A40,'NSE - NIFTY Index Options'!$B:$B,G$4,'NSE - NIFTY Index Options'!$I:$I,"Monthly*")+SUMIFS('NSE - Other Index Options'!$M:$M,'NSE - Other Index Options'!$C:$C,$A40,'NSE - Other Index Options'!$B:$B,G$4,'NSE - Other Index Options'!$I:$I,"Monthly*"))</f>
        <v/>
      </c>
      <c r="H40" s="26">
        <f>IF(SUM(B40:G40)=0,"",SUM(B40:G40))</f>
        <v/>
      </c>
    </row>
    <row r="41">
      <c r="A41" t="inlineStr">
        <is>
          <t>Week3-Apr-2026</t>
        </is>
      </c>
      <c r="B41" s="26">
        <f>IF(SUMIFS('NSE - NIFTY Index Options'!$M:$M,'NSE - NIFTY Index Options'!$C:$C,$A41,'NSE - NIFTY Index Options'!$B:$B,B$4,'NSE - NIFTY Index Options'!$I:$I,"Monthly*")+SUMIFS('NSE - Other Index Options'!$M:$M,'NSE - Other Index Options'!$C:$C,$A41,'NSE - Other Index Options'!$B:$B,B$4,'NSE - Other Index Options'!$I:$I,"Monthly*")=0,"",SUMIFS('NSE - NIFTY Index Options'!$M:$M,'NSE - NIFTY Index Options'!$C:$C,$A41,'NSE - NIFTY Index Options'!$B:$B,B$4,'NSE - NIFTY Index Options'!$I:$I,"Monthly*")+SUMIFS('NSE - Other Index Options'!$M:$M,'NSE - Other Index Options'!$C:$C,$A41,'NSE - Other Index Options'!$B:$B,B$4,'NSE - Other Index Options'!$I:$I,"Monthly*"))</f>
        <v/>
      </c>
      <c r="C41" s="26">
        <f>IF(SUMIFS('NSE - NIFTY Index Options'!$M:$M,'NSE - NIFTY Index Options'!$C:$C,$A41,'NSE - NIFTY Index Options'!$B:$B,C$4,'NSE - NIFTY Index Options'!$I:$I,"Monthly*")+SUMIFS('NSE - Other Index Options'!$M:$M,'NSE - Other Index Options'!$C:$C,$A41,'NSE - Other Index Options'!$B:$B,C$4,'NSE - Other Index Options'!$I:$I,"Monthly*")=0,"",SUMIFS('NSE - NIFTY Index Options'!$M:$M,'NSE - NIFTY Index Options'!$C:$C,$A41,'NSE - NIFTY Index Options'!$B:$B,C$4,'NSE - NIFTY Index Options'!$I:$I,"Monthly*")+SUMIFS('NSE - Other Index Options'!$M:$M,'NSE - Other Index Options'!$C:$C,$A41,'NSE - Other Index Options'!$B:$B,C$4,'NSE - Other Index Options'!$I:$I,"Monthly*"))</f>
        <v/>
      </c>
      <c r="D41" s="26">
        <f>IF(SUMIFS('NSE - NIFTY Index Options'!$M:$M,'NSE - NIFTY Index Options'!$C:$C,$A41,'NSE - NIFTY Index Options'!$B:$B,D$4,'NSE - NIFTY Index Options'!$I:$I,"Monthly*")+SUMIFS('NSE - Other Index Options'!$M:$M,'NSE - Other Index Options'!$C:$C,$A41,'NSE - Other Index Options'!$B:$B,D$4,'NSE - Other Index Options'!$I:$I,"Monthly*")=0,"",SUMIFS('NSE - NIFTY Index Options'!$M:$M,'NSE - NIFTY Index Options'!$C:$C,$A41,'NSE - NIFTY Index Options'!$B:$B,D$4,'NSE - NIFTY Index Options'!$I:$I,"Monthly*")+SUMIFS('NSE - Other Index Options'!$M:$M,'NSE - Other Index Options'!$C:$C,$A41,'NSE - Other Index Options'!$B:$B,D$4,'NSE - Other Index Options'!$I:$I,"Monthly*"))</f>
        <v/>
      </c>
      <c r="E41" s="26">
        <f>IF(SUMIFS('NSE - NIFTY Index Options'!$M:$M,'NSE - NIFTY Index Options'!$C:$C,$A41,'NSE - NIFTY Index Options'!$B:$B,E$4,'NSE - NIFTY Index Options'!$I:$I,"Monthly*")+SUMIFS('NSE - Other Index Options'!$M:$M,'NSE - Other Index Options'!$C:$C,$A41,'NSE - Other Index Options'!$B:$B,E$4,'NSE - Other Index Options'!$I:$I,"Monthly*")=0,"",SUMIFS('NSE - NIFTY Index Options'!$M:$M,'NSE - NIFTY Index Options'!$C:$C,$A41,'NSE - NIFTY Index Options'!$B:$B,E$4,'NSE - NIFTY Index Options'!$I:$I,"Monthly*")+SUMIFS('NSE - Other Index Options'!$M:$M,'NSE - Other Index Options'!$C:$C,$A41,'NSE - Other Index Options'!$B:$B,E$4,'NSE - Other Index Options'!$I:$I,"Monthly*"))</f>
        <v/>
      </c>
      <c r="F41" s="26">
        <f>IF(SUMIFS('NSE - NIFTY Index Options'!$M:$M,'NSE - NIFTY Index Options'!$C:$C,$A41,'NSE - NIFTY Index Options'!$B:$B,F$4,'NSE - NIFTY Index Options'!$I:$I,"Monthly*")+SUMIFS('NSE - Other Index Options'!$M:$M,'NSE - Other Index Options'!$C:$C,$A41,'NSE - Other Index Options'!$B:$B,F$4,'NSE - Other Index Options'!$I:$I,"Monthly*")=0,"",SUMIFS('NSE - NIFTY Index Options'!$M:$M,'NSE - NIFTY Index Options'!$C:$C,$A41,'NSE - NIFTY Index Options'!$B:$B,F$4,'NSE - NIFTY Index Options'!$I:$I,"Monthly*")+SUMIFS('NSE - Other Index Options'!$M:$M,'NSE - Other Index Options'!$C:$C,$A41,'NSE - Other Index Options'!$B:$B,F$4,'NSE - Other Index Options'!$I:$I,"Monthly*"))</f>
        <v/>
      </c>
      <c r="G41" s="26">
        <f>IF(SUMIFS('NSE - NIFTY Index Options'!$M:$M,'NSE - NIFTY Index Options'!$C:$C,$A41,'NSE - NIFTY Index Options'!$B:$B,G$4,'NSE - NIFTY Index Options'!$I:$I,"Monthly*")+SUMIFS('NSE - Other Index Options'!$M:$M,'NSE - Other Index Options'!$C:$C,$A41,'NSE - Other Index Options'!$B:$B,G$4,'NSE - Other Index Options'!$I:$I,"Monthly*")=0,"",SUMIFS('NSE - NIFTY Index Options'!$M:$M,'NSE - NIFTY Index Options'!$C:$C,$A41,'NSE - NIFTY Index Options'!$B:$B,G$4,'NSE - NIFTY Index Options'!$I:$I,"Monthly*")+SUMIFS('NSE - Other Index Options'!$M:$M,'NSE - Other Index Options'!$C:$C,$A41,'NSE - Other Index Options'!$B:$B,G$4,'NSE - Other Index Options'!$I:$I,"Monthly*"))</f>
        <v/>
      </c>
      <c r="H41" s="26">
        <f>IF(SUM(B41:G41)=0,"",SUM(B41:G41))</f>
        <v/>
      </c>
    </row>
    <row r="42">
      <c r="A42" t="inlineStr">
        <is>
          <t>Week4-Apr-2026</t>
        </is>
      </c>
      <c r="B42" s="26">
        <f>IF(SUMIFS('NSE - NIFTY Index Options'!$M:$M,'NSE - NIFTY Index Options'!$C:$C,$A42,'NSE - NIFTY Index Options'!$B:$B,B$4,'NSE - NIFTY Index Options'!$I:$I,"Monthly*")+SUMIFS('NSE - Other Index Options'!$M:$M,'NSE - Other Index Options'!$C:$C,$A42,'NSE - Other Index Options'!$B:$B,B$4,'NSE - Other Index Options'!$I:$I,"Monthly*")=0,"",SUMIFS('NSE - NIFTY Index Options'!$M:$M,'NSE - NIFTY Index Options'!$C:$C,$A42,'NSE - NIFTY Index Options'!$B:$B,B$4,'NSE - NIFTY Index Options'!$I:$I,"Monthly*")+SUMIFS('NSE - Other Index Options'!$M:$M,'NSE - Other Index Options'!$C:$C,$A42,'NSE - Other Index Options'!$B:$B,B$4,'NSE - Other Index Options'!$I:$I,"Monthly*"))</f>
        <v/>
      </c>
      <c r="C42" s="26">
        <f>IF(SUMIFS('NSE - NIFTY Index Options'!$M:$M,'NSE - NIFTY Index Options'!$C:$C,$A42,'NSE - NIFTY Index Options'!$B:$B,C$4,'NSE - NIFTY Index Options'!$I:$I,"Monthly*")+SUMIFS('NSE - Other Index Options'!$M:$M,'NSE - Other Index Options'!$C:$C,$A42,'NSE - Other Index Options'!$B:$B,C$4,'NSE - Other Index Options'!$I:$I,"Monthly*")=0,"",SUMIFS('NSE - NIFTY Index Options'!$M:$M,'NSE - NIFTY Index Options'!$C:$C,$A42,'NSE - NIFTY Index Options'!$B:$B,C$4,'NSE - NIFTY Index Options'!$I:$I,"Monthly*")+SUMIFS('NSE - Other Index Options'!$M:$M,'NSE - Other Index Options'!$C:$C,$A42,'NSE - Other Index Options'!$B:$B,C$4,'NSE - Other Index Options'!$I:$I,"Monthly*"))</f>
        <v/>
      </c>
      <c r="D42" s="26">
        <f>IF(SUMIFS('NSE - NIFTY Index Options'!$M:$M,'NSE - NIFTY Index Options'!$C:$C,$A42,'NSE - NIFTY Index Options'!$B:$B,D$4,'NSE - NIFTY Index Options'!$I:$I,"Monthly*")+SUMIFS('NSE - Other Index Options'!$M:$M,'NSE - Other Index Options'!$C:$C,$A42,'NSE - Other Index Options'!$B:$B,D$4,'NSE - Other Index Options'!$I:$I,"Monthly*")=0,"",SUMIFS('NSE - NIFTY Index Options'!$M:$M,'NSE - NIFTY Index Options'!$C:$C,$A42,'NSE - NIFTY Index Options'!$B:$B,D$4,'NSE - NIFTY Index Options'!$I:$I,"Monthly*")+SUMIFS('NSE - Other Index Options'!$M:$M,'NSE - Other Index Options'!$C:$C,$A42,'NSE - Other Index Options'!$B:$B,D$4,'NSE - Other Index Options'!$I:$I,"Monthly*"))</f>
        <v/>
      </c>
      <c r="E42" s="26">
        <f>IF(SUMIFS('NSE - NIFTY Index Options'!$M:$M,'NSE - NIFTY Index Options'!$C:$C,$A42,'NSE - NIFTY Index Options'!$B:$B,E$4,'NSE - NIFTY Index Options'!$I:$I,"Monthly*")+SUMIFS('NSE - Other Index Options'!$M:$M,'NSE - Other Index Options'!$C:$C,$A42,'NSE - Other Index Options'!$B:$B,E$4,'NSE - Other Index Options'!$I:$I,"Monthly*")=0,"",SUMIFS('NSE - NIFTY Index Options'!$M:$M,'NSE - NIFTY Index Options'!$C:$C,$A42,'NSE - NIFTY Index Options'!$B:$B,E$4,'NSE - NIFTY Index Options'!$I:$I,"Monthly*")+SUMIFS('NSE - Other Index Options'!$M:$M,'NSE - Other Index Options'!$C:$C,$A42,'NSE - Other Index Options'!$B:$B,E$4,'NSE - Other Index Options'!$I:$I,"Monthly*"))</f>
        <v/>
      </c>
      <c r="F42" s="26">
        <f>IF(SUMIFS('NSE - NIFTY Index Options'!$M:$M,'NSE - NIFTY Index Options'!$C:$C,$A42,'NSE - NIFTY Index Options'!$B:$B,F$4,'NSE - NIFTY Index Options'!$I:$I,"Monthly*")+SUMIFS('NSE - Other Index Options'!$M:$M,'NSE - Other Index Options'!$C:$C,$A42,'NSE - Other Index Options'!$B:$B,F$4,'NSE - Other Index Options'!$I:$I,"Monthly*")=0,"",SUMIFS('NSE - NIFTY Index Options'!$M:$M,'NSE - NIFTY Index Options'!$C:$C,$A42,'NSE - NIFTY Index Options'!$B:$B,F$4,'NSE - NIFTY Index Options'!$I:$I,"Monthly*")+SUMIFS('NSE - Other Index Options'!$M:$M,'NSE - Other Index Options'!$C:$C,$A42,'NSE - Other Index Options'!$B:$B,F$4,'NSE - Other Index Options'!$I:$I,"Monthly*"))</f>
        <v/>
      </c>
      <c r="G42" s="26">
        <f>IF(SUMIFS('NSE - NIFTY Index Options'!$M:$M,'NSE - NIFTY Index Options'!$C:$C,$A42,'NSE - NIFTY Index Options'!$B:$B,G$4,'NSE - NIFTY Index Options'!$I:$I,"Monthly*")+SUMIFS('NSE - Other Index Options'!$M:$M,'NSE - Other Index Options'!$C:$C,$A42,'NSE - Other Index Options'!$B:$B,G$4,'NSE - Other Index Options'!$I:$I,"Monthly*")=0,"",SUMIFS('NSE - NIFTY Index Options'!$M:$M,'NSE - NIFTY Index Options'!$C:$C,$A42,'NSE - NIFTY Index Options'!$B:$B,G$4,'NSE - NIFTY Index Options'!$I:$I,"Monthly*")+SUMIFS('NSE - Other Index Options'!$M:$M,'NSE - Other Index Options'!$C:$C,$A42,'NSE - Other Index Options'!$B:$B,G$4,'NSE - Other Index Options'!$I:$I,"Monthly*"))</f>
        <v/>
      </c>
      <c r="H42" s="26">
        <f>IF(SUM(B42:G42)=0,"",SUM(B42:G42))</f>
        <v/>
      </c>
    </row>
    <row r="43">
      <c r="A43" t="inlineStr">
        <is>
          <t>Week5-Apr-2026</t>
        </is>
      </c>
      <c r="B43" s="26">
        <f>IF(SUMIFS('NSE - NIFTY Index Options'!$M:$M,'NSE - NIFTY Index Options'!$C:$C,$A43,'NSE - NIFTY Index Options'!$B:$B,B$4,'NSE - NIFTY Index Options'!$I:$I,"Monthly*")+SUMIFS('NSE - Other Index Options'!$M:$M,'NSE - Other Index Options'!$C:$C,$A43,'NSE - Other Index Options'!$B:$B,B$4,'NSE - Other Index Options'!$I:$I,"Monthly*")=0,"",SUMIFS('NSE - NIFTY Index Options'!$M:$M,'NSE - NIFTY Index Options'!$C:$C,$A43,'NSE - NIFTY Index Options'!$B:$B,B$4,'NSE - NIFTY Index Options'!$I:$I,"Monthly*")+SUMIFS('NSE - Other Index Options'!$M:$M,'NSE - Other Index Options'!$C:$C,$A43,'NSE - Other Index Options'!$B:$B,B$4,'NSE - Other Index Options'!$I:$I,"Monthly*"))</f>
        <v/>
      </c>
      <c r="C43" s="26">
        <f>IF(SUMIFS('NSE - NIFTY Index Options'!$M:$M,'NSE - NIFTY Index Options'!$C:$C,$A43,'NSE - NIFTY Index Options'!$B:$B,C$4,'NSE - NIFTY Index Options'!$I:$I,"Monthly*")+SUMIFS('NSE - Other Index Options'!$M:$M,'NSE - Other Index Options'!$C:$C,$A43,'NSE - Other Index Options'!$B:$B,C$4,'NSE - Other Index Options'!$I:$I,"Monthly*")=0,"",SUMIFS('NSE - NIFTY Index Options'!$M:$M,'NSE - NIFTY Index Options'!$C:$C,$A43,'NSE - NIFTY Index Options'!$B:$B,C$4,'NSE - NIFTY Index Options'!$I:$I,"Monthly*")+SUMIFS('NSE - Other Index Options'!$M:$M,'NSE - Other Index Options'!$C:$C,$A43,'NSE - Other Index Options'!$B:$B,C$4,'NSE - Other Index Options'!$I:$I,"Monthly*"))</f>
        <v/>
      </c>
      <c r="D43" s="26">
        <f>IF(SUMIFS('NSE - NIFTY Index Options'!$M:$M,'NSE - NIFTY Index Options'!$C:$C,$A43,'NSE - NIFTY Index Options'!$B:$B,D$4,'NSE - NIFTY Index Options'!$I:$I,"Monthly*")+SUMIFS('NSE - Other Index Options'!$M:$M,'NSE - Other Index Options'!$C:$C,$A43,'NSE - Other Index Options'!$B:$B,D$4,'NSE - Other Index Options'!$I:$I,"Monthly*")=0,"",SUMIFS('NSE - NIFTY Index Options'!$M:$M,'NSE - NIFTY Index Options'!$C:$C,$A43,'NSE - NIFTY Index Options'!$B:$B,D$4,'NSE - NIFTY Index Options'!$I:$I,"Monthly*")+SUMIFS('NSE - Other Index Options'!$M:$M,'NSE - Other Index Options'!$C:$C,$A43,'NSE - Other Index Options'!$B:$B,D$4,'NSE - Other Index Options'!$I:$I,"Monthly*"))</f>
        <v/>
      </c>
      <c r="E43" s="26">
        <f>IF(SUMIFS('NSE - NIFTY Index Options'!$M:$M,'NSE - NIFTY Index Options'!$C:$C,$A43,'NSE - NIFTY Index Options'!$B:$B,E$4,'NSE - NIFTY Index Options'!$I:$I,"Monthly*")+SUMIFS('NSE - Other Index Options'!$M:$M,'NSE - Other Index Options'!$C:$C,$A43,'NSE - Other Index Options'!$B:$B,E$4,'NSE - Other Index Options'!$I:$I,"Monthly*")=0,"",SUMIFS('NSE - NIFTY Index Options'!$M:$M,'NSE - NIFTY Index Options'!$C:$C,$A43,'NSE - NIFTY Index Options'!$B:$B,E$4,'NSE - NIFTY Index Options'!$I:$I,"Monthly*")+SUMIFS('NSE - Other Index Options'!$M:$M,'NSE - Other Index Options'!$C:$C,$A43,'NSE - Other Index Options'!$B:$B,E$4,'NSE - Other Index Options'!$I:$I,"Monthly*"))</f>
        <v/>
      </c>
      <c r="F43" s="26">
        <f>IF(SUMIFS('NSE - NIFTY Index Options'!$M:$M,'NSE - NIFTY Index Options'!$C:$C,$A43,'NSE - NIFTY Index Options'!$B:$B,F$4,'NSE - NIFTY Index Options'!$I:$I,"Monthly*")+SUMIFS('NSE - Other Index Options'!$M:$M,'NSE - Other Index Options'!$C:$C,$A43,'NSE - Other Index Options'!$B:$B,F$4,'NSE - Other Index Options'!$I:$I,"Monthly*")=0,"",SUMIFS('NSE - NIFTY Index Options'!$M:$M,'NSE - NIFTY Index Options'!$C:$C,$A43,'NSE - NIFTY Index Options'!$B:$B,F$4,'NSE - NIFTY Index Options'!$I:$I,"Monthly*")+SUMIFS('NSE - Other Index Options'!$M:$M,'NSE - Other Index Options'!$C:$C,$A43,'NSE - Other Index Options'!$B:$B,F$4,'NSE - Other Index Options'!$I:$I,"Monthly*"))</f>
        <v/>
      </c>
      <c r="G43" s="26">
        <f>IF(SUMIFS('NSE - NIFTY Index Options'!$M:$M,'NSE - NIFTY Index Options'!$C:$C,$A43,'NSE - NIFTY Index Options'!$B:$B,G$4,'NSE - NIFTY Index Options'!$I:$I,"Monthly*")+SUMIFS('NSE - Other Index Options'!$M:$M,'NSE - Other Index Options'!$C:$C,$A43,'NSE - Other Index Options'!$B:$B,G$4,'NSE - Other Index Options'!$I:$I,"Monthly*")=0,"",SUMIFS('NSE - NIFTY Index Options'!$M:$M,'NSE - NIFTY Index Options'!$C:$C,$A43,'NSE - NIFTY Index Options'!$B:$B,G$4,'NSE - NIFTY Index Options'!$I:$I,"Monthly*")+SUMIFS('NSE - Other Index Options'!$M:$M,'NSE - Other Index Options'!$C:$C,$A43,'NSE - Other Index Options'!$B:$B,G$4,'NSE - Other Index Options'!$I:$I,"Monthly*"))</f>
        <v/>
      </c>
      <c r="H43" s="26">
        <f>IF(SUM(B43:G43)=0,"",SUM(B43:G43))</f>
        <v/>
      </c>
    </row>
    <row r="44">
      <c r="A44" t="inlineStr">
        <is>
          <t>Week1-May-2026</t>
        </is>
      </c>
      <c r="B44" s="26">
        <f>IF(SUMIFS('NSE - NIFTY Index Options'!$M:$M,'NSE - NIFTY Index Options'!$C:$C,$A44,'NSE - NIFTY Index Options'!$B:$B,B$4,'NSE - NIFTY Index Options'!$I:$I,"Monthly*")+SUMIFS('NSE - Other Index Options'!$M:$M,'NSE - Other Index Options'!$C:$C,$A44,'NSE - Other Index Options'!$B:$B,B$4,'NSE - Other Index Options'!$I:$I,"Monthly*")=0,"",SUMIFS('NSE - NIFTY Index Options'!$M:$M,'NSE - NIFTY Index Options'!$C:$C,$A44,'NSE - NIFTY Index Options'!$B:$B,B$4,'NSE - NIFTY Index Options'!$I:$I,"Monthly*")+SUMIFS('NSE - Other Index Options'!$M:$M,'NSE - Other Index Options'!$C:$C,$A44,'NSE - Other Index Options'!$B:$B,B$4,'NSE - Other Index Options'!$I:$I,"Monthly*"))</f>
        <v/>
      </c>
      <c r="C44" s="26">
        <f>IF(SUMIFS('NSE - NIFTY Index Options'!$M:$M,'NSE - NIFTY Index Options'!$C:$C,$A44,'NSE - NIFTY Index Options'!$B:$B,C$4,'NSE - NIFTY Index Options'!$I:$I,"Monthly*")+SUMIFS('NSE - Other Index Options'!$M:$M,'NSE - Other Index Options'!$C:$C,$A44,'NSE - Other Index Options'!$B:$B,C$4,'NSE - Other Index Options'!$I:$I,"Monthly*")=0,"",SUMIFS('NSE - NIFTY Index Options'!$M:$M,'NSE - NIFTY Index Options'!$C:$C,$A44,'NSE - NIFTY Index Options'!$B:$B,C$4,'NSE - NIFTY Index Options'!$I:$I,"Monthly*")+SUMIFS('NSE - Other Index Options'!$M:$M,'NSE - Other Index Options'!$C:$C,$A44,'NSE - Other Index Options'!$B:$B,C$4,'NSE - Other Index Options'!$I:$I,"Monthly*"))</f>
        <v/>
      </c>
      <c r="D44" s="26">
        <f>IF(SUMIFS('NSE - NIFTY Index Options'!$M:$M,'NSE - NIFTY Index Options'!$C:$C,$A44,'NSE - NIFTY Index Options'!$B:$B,D$4,'NSE - NIFTY Index Options'!$I:$I,"Monthly*")+SUMIFS('NSE - Other Index Options'!$M:$M,'NSE - Other Index Options'!$C:$C,$A44,'NSE - Other Index Options'!$B:$B,D$4,'NSE - Other Index Options'!$I:$I,"Monthly*")=0,"",SUMIFS('NSE - NIFTY Index Options'!$M:$M,'NSE - NIFTY Index Options'!$C:$C,$A44,'NSE - NIFTY Index Options'!$B:$B,D$4,'NSE - NIFTY Index Options'!$I:$I,"Monthly*")+SUMIFS('NSE - Other Index Options'!$M:$M,'NSE - Other Index Options'!$C:$C,$A44,'NSE - Other Index Options'!$B:$B,D$4,'NSE - Other Index Options'!$I:$I,"Monthly*"))</f>
        <v/>
      </c>
      <c r="E44" s="26">
        <f>IF(SUMIFS('NSE - NIFTY Index Options'!$M:$M,'NSE - NIFTY Index Options'!$C:$C,$A44,'NSE - NIFTY Index Options'!$B:$B,E$4,'NSE - NIFTY Index Options'!$I:$I,"Monthly*")+SUMIFS('NSE - Other Index Options'!$M:$M,'NSE - Other Index Options'!$C:$C,$A44,'NSE - Other Index Options'!$B:$B,E$4,'NSE - Other Index Options'!$I:$I,"Monthly*")=0,"",SUMIFS('NSE - NIFTY Index Options'!$M:$M,'NSE - NIFTY Index Options'!$C:$C,$A44,'NSE - NIFTY Index Options'!$B:$B,E$4,'NSE - NIFTY Index Options'!$I:$I,"Monthly*")+SUMIFS('NSE - Other Index Options'!$M:$M,'NSE - Other Index Options'!$C:$C,$A44,'NSE - Other Index Options'!$B:$B,E$4,'NSE - Other Index Options'!$I:$I,"Monthly*"))</f>
        <v/>
      </c>
      <c r="F44" s="26">
        <f>IF(SUMIFS('NSE - NIFTY Index Options'!$M:$M,'NSE - NIFTY Index Options'!$C:$C,$A44,'NSE - NIFTY Index Options'!$B:$B,F$4,'NSE - NIFTY Index Options'!$I:$I,"Monthly*")+SUMIFS('NSE - Other Index Options'!$M:$M,'NSE - Other Index Options'!$C:$C,$A44,'NSE - Other Index Options'!$B:$B,F$4,'NSE - Other Index Options'!$I:$I,"Monthly*")=0,"",SUMIFS('NSE - NIFTY Index Options'!$M:$M,'NSE - NIFTY Index Options'!$C:$C,$A44,'NSE - NIFTY Index Options'!$B:$B,F$4,'NSE - NIFTY Index Options'!$I:$I,"Monthly*")+SUMIFS('NSE - Other Index Options'!$M:$M,'NSE - Other Index Options'!$C:$C,$A44,'NSE - Other Index Options'!$B:$B,F$4,'NSE - Other Index Options'!$I:$I,"Monthly*"))</f>
        <v/>
      </c>
      <c r="G44" s="26">
        <f>IF(SUMIFS('NSE - NIFTY Index Options'!$M:$M,'NSE - NIFTY Index Options'!$C:$C,$A44,'NSE - NIFTY Index Options'!$B:$B,G$4,'NSE - NIFTY Index Options'!$I:$I,"Monthly*")+SUMIFS('NSE - Other Index Options'!$M:$M,'NSE - Other Index Options'!$C:$C,$A44,'NSE - Other Index Options'!$B:$B,G$4,'NSE - Other Index Options'!$I:$I,"Monthly*")=0,"",SUMIFS('NSE - NIFTY Index Options'!$M:$M,'NSE - NIFTY Index Options'!$C:$C,$A44,'NSE - NIFTY Index Options'!$B:$B,G$4,'NSE - NIFTY Index Options'!$I:$I,"Monthly*")+SUMIFS('NSE - Other Index Options'!$M:$M,'NSE - Other Index Options'!$C:$C,$A44,'NSE - Other Index Options'!$B:$B,G$4,'NSE - Other Index Options'!$I:$I,"Monthly*"))</f>
        <v/>
      </c>
      <c r="H44" s="26">
        <f>IF(SUM(B44:G44)=0,"",SUM(B44:G44))</f>
        <v/>
      </c>
    </row>
    <row r="45">
      <c r="A45" t="inlineStr">
        <is>
          <t>Week2-May-2026</t>
        </is>
      </c>
      <c r="B45" s="26">
        <f>IF(SUMIFS('NSE - NIFTY Index Options'!$M:$M,'NSE - NIFTY Index Options'!$C:$C,$A45,'NSE - NIFTY Index Options'!$B:$B,B$4,'NSE - NIFTY Index Options'!$I:$I,"Monthly*")+SUMIFS('NSE - Other Index Options'!$M:$M,'NSE - Other Index Options'!$C:$C,$A45,'NSE - Other Index Options'!$B:$B,B$4,'NSE - Other Index Options'!$I:$I,"Monthly*")=0,"",SUMIFS('NSE - NIFTY Index Options'!$M:$M,'NSE - NIFTY Index Options'!$C:$C,$A45,'NSE - NIFTY Index Options'!$B:$B,B$4,'NSE - NIFTY Index Options'!$I:$I,"Monthly*")+SUMIFS('NSE - Other Index Options'!$M:$M,'NSE - Other Index Options'!$C:$C,$A45,'NSE - Other Index Options'!$B:$B,B$4,'NSE - Other Index Options'!$I:$I,"Monthly*"))</f>
        <v/>
      </c>
      <c r="C45" s="26">
        <f>IF(SUMIFS('NSE - NIFTY Index Options'!$M:$M,'NSE - NIFTY Index Options'!$C:$C,$A45,'NSE - NIFTY Index Options'!$B:$B,C$4,'NSE - NIFTY Index Options'!$I:$I,"Monthly*")+SUMIFS('NSE - Other Index Options'!$M:$M,'NSE - Other Index Options'!$C:$C,$A45,'NSE - Other Index Options'!$B:$B,C$4,'NSE - Other Index Options'!$I:$I,"Monthly*")=0,"",SUMIFS('NSE - NIFTY Index Options'!$M:$M,'NSE - NIFTY Index Options'!$C:$C,$A45,'NSE - NIFTY Index Options'!$B:$B,C$4,'NSE - NIFTY Index Options'!$I:$I,"Monthly*")+SUMIFS('NSE - Other Index Options'!$M:$M,'NSE - Other Index Options'!$C:$C,$A45,'NSE - Other Index Options'!$B:$B,C$4,'NSE - Other Index Options'!$I:$I,"Monthly*"))</f>
        <v/>
      </c>
      <c r="D45" s="26">
        <f>IF(SUMIFS('NSE - NIFTY Index Options'!$M:$M,'NSE - NIFTY Index Options'!$C:$C,$A45,'NSE - NIFTY Index Options'!$B:$B,D$4,'NSE - NIFTY Index Options'!$I:$I,"Monthly*")+SUMIFS('NSE - Other Index Options'!$M:$M,'NSE - Other Index Options'!$C:$C,$A45,'NSE - Other Index Options'!$B:$B,D$4,'NSE - Other Index Options'!$I:$I,"Monthly*")=0,"",SUMIFS('NSE - NIFTY Index Options'!$M:$M,'NSE - NIFTY Index Options'!$C:$C,$A45,'NSE - NIFTY Index Options'!$B:$B,D$4,'NSE - NIFTY Index Options'!$I:$I,"Monthly*")+SUMIFS('NSE - Other Index Options'!$M:$M,'NSE - Other Index Options'!$C:$C,$A45,'NSE - Other Index Options'!$B:$B,D$4,'NSE - Other Index Options'!$I:$I,"Monthly*"))</f>
        <v/>
      </c>
      <c r="E45" s="26">
        <f>IF(SUMIFS('NSE - NIFTY Index Options'!$M:$M,'NSE - NIFTY Index Options'!$C:$C,$A45,'NSE - NIFTY Index Options'!$B:$B,E$4,'NSE - NIFTY Index Options'!$I:$I,"Monthly*")+SUMIFS('NSE - Other Index Options'!$M:$M,'NSE - Other Index Options'!$C:$C,$A45,'NSE - Other Index Options'!$B:$B,E$4,'NSE - Other Index Options'!$I:$I,"Monthly*")=0,"",SUMIFS('NSE - NIFTY Index Options'!$M:$M,'NSE - NIFTY Index Options'!$C:$C,$A45,'NSE - NIFTY Index Options'!$B:$B,E$4,'NSE - NIFTY Index Options'!$I:$I,"Monthly*")+SUMIFS('NSE - Other Index Options'!$M:$M,'NSE - Other Index Options'!$C:$C,$A45,'NSE - Other Index Options'!$B:$B,E$4,'NSE - Other Index Options'!$I:$I,"Monthly*"))</f>
        <v/>
      </c>
      <c r="F45" s="26">
        <f>IF(SUMIFS('NSE - NIFTY Index Options'!$M:$M,'NSE - NIFTY Index Options'!$C:$C,$A45,'NSE - NIFTY Index Options'!$B:$B,F$4,'NSE - NIFTY Index Options'!$I:$I,"Monthly*")+SUMIFS('NSE - Other Index Options'!$M:$M,'NSE - Other Index Options'!$C:$C,$A45,'NSE - Other Index Options'!$B:$B,F$4,'NSE - Other Index Options'!$I:$I,"Monthly*")=0,"",SUMIFS('NSE - NIFTY Index Options'!$M:$M,'NSE - NIFTY Index Options'!$C:$C,$A45,'NSE - NIFTY Index Options'!$B:$B,F$4,'NSE - NIFTY Index Options'!$I:$I,"Monthly*")+SUMIFS('NSE - Other Index Options'!$M:$M,'NSE - Other Index Options'!$C:$C,$A45,'NSE - Other Index Options'!$B:$B,F$4,'NSE - Other Index Options'!$I:$I,"Monthly*"))</f>
        <v/>
      </c>
      <c r="G45" s="26">
        <f>IF(SUMIFS('NSE - NIFTY Index Options'!$M:$M,'NSE - NIFTY Index Options'!$C:$C,$A45,'NSE - NIFTY Index Options'!$B:$B,G$4,'NSE - NIFTY Index Options'!$I:$I,"Monthly*")+SUMIFS('NSE - Other Index Options'!$M:$M,'NSE - Other Index Options'!$C:$C,$A45,'NSE - Other Index Options'!$B:$B,G$4,'NSE - Other Index Options'!$I:$I,"Monthly*")=0,"",SUMIFS('NSE - NIFTY Index Options'!$M:$M,'NSE - NIFTY Index Options'!$C:$C,$A45,'NSE - NIFTY Index Options'!$B:$B,G$4,'NSE - NIFTY Index Options'!$I:$I,"Monthly*")+SUMIFS('NSE - Other Index Options'!$M:$M,'NSE - Other Index Options'!$C:$C,$A45,'NSE - Other Index Options'!$B:$B,G$4,'NSE - Other Index Options'!$I:$I,"Monthly*"))</f>
        <v/>
      </c>
      <c r="H45" s="26">
        <f>IF(SUM(B45:G45)=0,"",SUM(B45:G45))</f>
        <v/>
      </c>
    </row>
    <row r="46">
      <c r="A46" t="inlineStr">
        <is>
          <t>Week3-May-2026</t>
        </is>
      </c>
      <c r="B46" s="26">
        <f>IF(SUMIFS('NSE - NIFTY Index Options'!$M:$M,'NSE - NIFTY Index Options'!$C:$C,$A46,'NSE - NIFTY Index Options'!$B:$B,B$4,'NSE - NIFTY Index Options'!$I:$I,"Monthly*")+SUMIFS('NSE - Other Index Options'!$M:$M,'NSE - Other Index Options'!$C:$C,$A46,'NSE - Other Index Options'!$B:$B,B$4,'NSE - Other Index Options'!$I:$I,"Monthly*")=0,"",SUMIFS('NSE - NIFTY Index Options'!$M:$M,'NSE - NIFTY Index Options'!$C:$C,$A46,'NSE - NIFTY Index Options'!$B:$B,B$4,'NSE - NIFTY Index Options'!$I:$I,"Monthly*")+SUMIFS('NSE - Other Index Options'!$M:$M,'NSE - Other Index Options'!$C:$C,$A46,'NSE - Other Index Options'!$B:$B,B$4,'NSE - Other Index Options'!$I:$I,"Monthly*"))</f>
        <v/>
      </c>
      <c r="C46" s="26">
        <f>IF(SUMIFS('NSE - NIFTY Index Options'!$M:$M,'NSE - NIFTY Index Options'!$C:$C,$A46,'NSE - NIFTY Index Options'!$B:$B,C$4,'NSE - NIFTY Index Options'!$I:$I,"Monthly*")+SUMIFS('NSE - Other Index Options'!$M:$M,'NSE - Other Index Options'!$C:$C,$A46,'NSE - Other Index Options'!$B:$B,C$4,'NSE - Other Index Options'!$I:$I,"Monthly*")=0,"",SUMIFS('NSE - NIFTY Index Options'!$M:$M,'NSE - NIFTY Index Options'!$C:$C,$A46,'NSE - NIFTY Index Options'!$B:$B,C$4,'NSE - NIFTY Index Options'!$I:$I,"Monthly*")+SUMIFS('NSE - Other Index Options'!$M:$M,'NSE - Other Index Options'!$C:$C,$A46,'NSE - Other Index Options'!$B:$B,C$4,'NSE - Other Index Options'!$I:$I,"Monthly*"))</f>
        <v/>
      </c>
      <c r="D46" s="26">
        <f>IF(SUMIFS('NSE - NIFTY Index Options'!$M:$M,'NSE - NIFTY Index Options'!$C:$C,$A46,'NSE - NIFTY Index Options'!$B:$B,D$4,'NSE - NIFTY Index Options'!$I:$I,"Monthly*")+SUMIFS('NSE - Other Index Options'!$M:$M,'NSE - Other Index Options'!$C:$C,$A46,'NSE - Other Index Options'!$B:$B,D$4,'NSE - Other Index Options'!$I:$I,"Monthly*")=0,"",SUMIFS('NSE - NIFTY Index Options'!$M:$M,'NSE - NIFTY Index Options'!$C:$C,$A46,'NSE - NIFTY Index Options'!$B:$B,D$4,'NSE - NIFTY Index Options'!$I:$I,"Monthly*")+SUMIFS('NSE - Other Index Options'!$M:$M,'NSE - Other Index Options'!$C:$C,$A46,'NSE - Other Index Options'!$B:$B,D$4,'NSE - Other Index Options'!$I:$I,"Monthly*"))</f>
        <v/>
      </c>
      <c r="E46" s="26">
        <f>IF(SUMIFS('NSE - NIFTY Index Options'!$M:$M,'NSE - NIFTY Index Options'!$C:$C,$A46,'NSE - NIFTY Index Options'!$B:$B,E$4,'NSE - NIFTY Index Options'!$I:$I,"Monthly*")+SUMIFS('NSE - Other Index Options'!$M:$M,'NSE - Other Index Options'!$C:$C,$A46,'NSE - Other Index Options'!$B:$B,E$4,'NSE - Other Index Options'!$I:$I,"Monthly*")=0,"",SUMIFS('NSE - NIFTY Index Options'!$M:$M,'NSE - NIFTY Index Options'!$C:$C,$A46,'NSE - NIFTY Index Options'!$B:$B,E$4,'NSE - NIFTY Index Options'!$I:$I,"Monthly*")+SUMIFS('NSE - Other Index Options'!$M:$M,'NSE - Other Index Options'!$C:$C,$A46,'NSE - Other Index Options'!$B:$B,E$4,'NSE - Other Index Options'!$I:$I,"Monthly*"))</f>
        <v/>
      </c>
      <c r="F46" s="26">
        <f>IF(SUMIFS('NSE - NIFTY Index Options'!$M:$M,'NSE - NIFTY Index Options'!$C:$C,$A46,'NSE - NIFTY Index Options'!$B:$B,F$4,'NSE - NIFTY Index Options'!$I:$I,"Monthly*")+SUMIFS('NSE - Other Index Options'!$M:$M,'NSE - Other Index Options'!$C:$C,$A46,'NSE - Other Index Options'!$B:$B,F$4,'NSE - Other Index Options'!$I:$I,"Monthly*")=0,"",SUMIFS('NSE - NIFTY Index Options'!$M:$M,'NSE - NIFTY Index Options'!$C:$C,$A46,'NSE - NIFTY Index Options'!$B:$B,F$4,'NSE - NIFTY Index Options'!$I:$I,"Monthly*")+SUMIFS('NSE - Other Index Options'!$M:$M,'NSE - Other Index Options'!$C:$C,$A46,'NSE - Other Index Options'!$B:$B,F$4,'NSE - Other Index Options'!$I:$I,"Monthly*"))</f>
        <v/>
      </c>
      <c r="G46" s="26">
        <f>IF(SUMIFS('NSE - NIFTY Index Options'!$M:$M,'NSE - NIFTY Index Options'!$C:$C,$A46,'NSE - NIFTY Index Options'!$B:$B,G$4,'NSE - NIFTY Index Options'!$I:$I,"Monthly*")+SUMIFS('NSE - Other Index Options'!$M:$M,'NSE - Other Index Options'!$C:$C,$A46,'NSE - Other Index Options'!$B:$B,G$4,'NSE - Other Index Options'!$I:$I,"Monthly*")=0,"",SUMIFS('NSE - NIFTY Index Options'!$M:$M,'NSE - NIFTY Index Options'!$C:$C,$A46,'NSE - NIFTY Index Options'!$B:$B,G$4,'NSE - NIFTY Index Options'!$I:$I,"Monthly*")+SUMIFS('NSE - Other Index Options'!$M:$M,'NSE - Other Index Options'!$C:$C,$A46,'NSE - Other Index Options'!$B:$B,G$4,'NSE - Other Index Options'!$I:$I,"Monthly*"))</f>
        <v/>
      </c>
      <c r="H46" s="26">
        <f>IF(SUM(B46:G46)=0,"",SUM(B46:G46))</f>
        <v/>
      </c>
    </row>
    <row r="47">
      <c r="A47" t="inlineStr">
        <is>
          <t>Week4-May-2026</t>
        </is>
      </c>
      <c r="B47" s="26">
        <f>IF(SUMIFS('NSE - NIFTY Index Options'!$M:$M,'NSE - NIFTY Index Options'!$C:$C,$A47,'NSE - NIFTY Index Options'!$B:$B,B$4,'NSE - NIFTY Index Options'!$I:$I,"Monthly*")+SUMIFS('NSE - Other Index Options'!$M:$M,'NSE - Other Index Options'!$C:$C,$A47,'NSE - Other Index Options'!$B:$B,B$4,'NSE - Other Index Options'!$I:$I,"Monthly*")=0,"",SUMIFS('NSE - NIFTY Index Options'!$M:$M,'NSE - NIFTY Index Options'!$C:$C,$A47,'NSE - NIFTY Index Options'!$B:$B,B$4,'NSE - NIFTY Index Options'!$I:$I,"Monthly*")+SUMIFS('NSE - Other Index Options'!$M:$M,'NSE - Other Index Options'!$C:$C,$A47,'NSE - Other Index Options'!$B:$B,B$4,'NSE - Other Index Options'!$I:$I,"Monthly*"))</f>
        <v/>
      </c>
      <c r="C47" s="26">
        <f>IF(SUMIFS('NSE - NIFTY Index Options'!$M:$M,'NSE - NIFTY Index Options'!$C:$C,$A47,'NSE - NIFTY Index Options'!$B:$B,C$4,'NSE - NIFTY Index Options'!$I:$I,"Monthly*")+SUMIFS('NSE - Other Index Options'!$M:$M,'NSE - Other Index Options'!$C:$C,$A47,'NSE - Other Index Options'!$B:$B,C$4,'NSE - Other Index Options'!$I:$I,"Monthly*")=0,"",SUMIFS('NSE - NIFTY Index Options'!$M:$M,'NSE - NIFTY Index Options'!$C:$C,$A47,'NSE - NIFTY Index Options'!$B:$B,C$4,'NSE - NIFTY Index Options'!$I:$I,"Monthly*")+SUMIFS('NSE - Other Index Options'!$M:$M,'NSE - Other Index Options'!$C:$C,$A47,'NSE - Other Index Options'!$B:$B,C$4,'NSE - Other Index Options'!$I:$I,"Monthly*"))</f>
        <v/>
      </c>
      <c r="D47" s="26">
        <f>IF(SUMIFS('NSE - NIFTY Index Options'!$M:$M,'NSE - NIFTY Index Options'!$C:$C,$A47,'NSE - NIFTY Index Options'!$B:$B,D$4,'NSE - NIFTY Index Options'!$I:$I,"Monthly*")+SUMIFS('NSE - Other Index Options'!$M:$M,'NSE - Other Index Options'!$C:$C,$A47,'NSE - Other Index Options'!$B:$B,D$4,'NSE - Other Index Options'!$I:$I,"Monthly*")=0,"",SUMIFS('NSE - NIFTY Index Options'!$M:$M,'NSE - NIFTY Index Options'!$C:$C,$A47,'NSE - NIFTY Index Options'!$B:$B,D$4,'NSE - NIFTY Index Options'!$I:$I,"Monthly*")+SUMIFS('NSE - Other Index Options'!$M:$M,'NSE - Other Index Options'!$C:$C,$A47,'NSE - Other Index Options'!$B:$B,D$4,'NSE - Other Index Options'!$I:$I,"Monthly*"))</f>
        <v/>
      </c>
      <c r="E47" s="26">
        <f>IF(SUMIFS('NSE - NIFTY Index Options'!$M:$M,'NSE - NIFTY Index Options'!$C:$C,$A47,'NSE - NIFTY Index Options'!$B:$B,E$4,'NSE - NIFTY Index Options'!$I:$I,"Monthly*")+SUMIFS('NSE - Other Index Options'!$M:$M,'NSE - Other Index Options'!$C:$C,$A47,'NSE - Other Index Options'!$B:$B,E$4,'NSE - Other Index Options'!$I:$I,"Monthly*")=0,"",SUMIFS('NSE - NIFTY Index Options'!$M:$M,'NSE - NIFTY Index Options'!$C:$C,$A47,'NSE - NIFTY Index Options'!$B:$B,E$4,'NSE - NIFTY Index Options'!$I:$I,"Monthly*")+SUMIFS('NSE - Other Index Options'!$M:$M,'NSE - Other Index Options'!$C:$C,$A47,'NSE - Other Index Options'!$B:$B,E$4,'NSE - Other Index Options'!$I:$I,"Monthly*"))</f>
        <v/>
      </c>
      <c r="F47" s="26">
        <f>IF(SUMIFS('NSE - NIFTY Index Options'!$M:$M,'NSE - NIFTY Index Options'!$C:$C,$A47,'NSE - NIFTY Index Options'!$B:$B,F$4,'NSE - NIFTY Index Options'!$I:$I,"Monthly*")+SUMIFS('NSE - Other Index Options'!$M:$M,'NSE - Other Index Options'!$C:$C,$A47,'NSE - Other Index Options'!$B:$B,F$4,'NSE - Other Index Options'!$I:$I,"Monthly*")=0,"",SUMIFS('NSE - NIFTY Index Options'!$M:$M,'NSE - NIFTY Index Options'!$C:$C,$A47,'NSE - NIFTY Index Options'!$B:$B,F$4,'NSE - NIFTY Index Options'!$I:$I,"Monthly*")+SUMIFS('NSE - Other Index Options'!$M:$M,'NSE - Other Index Options'!$C:$C,$A47,'NSE - Other Index Options'!$B:$B,F$4,'NSE - Other Index Options'!$I:$I,"Monthly*"))</f>
        <v/>
      </c>
      <c r="G47" s="26">
        <f>IF(SUMIFS('NSE - NIFTY Index Options'!$M:$M,'NSE - NIFTY Index Options'!$C:$C,$A47,'NSE - NIFTY Index Options'!$B:$B,G$4,'NSE - NIFTY Index Options'!$I:$I,"Monthly*")+SUMIFS('NSE - Other Index Options'!$M:$M,'NSE - Other Index Options'!$C:$C,$A47,'NSE - Other Index Options'!$B:$B,G$4,'NSE - Other Index Options'!$I:$I,"Monthly*")=0,"",SUMIFS('NSE - NIFTY Index Options'!$M:$M,'NSE - NIFTY Index Options'!$C:$C,$A47,'NSE - NIFTY Index Options'!$B:$B,G$4,'NSE - NIFTY Index Options'!$I:$I,"Monthly*")+SUMIFS('NSE - Other Index Options'!$M:$M,'NSE - Other Index Options'!$C:$C,$A47,'NSE - Other Index Options'!$B:$B,G$4,'NSE - Other Index Options'!$I:$I,"Monthly*"))</f>
        <v/>
      </c>
      <c r="H47" s="26">
        <f>IF(SUM(B47:G47)=0,"",SUM(B47:G47))</f>
        <v/>
      </c>
    </row>
    <row r="48">
      <c r="A48" t="inlineStr">
        <is>
          <t>Week5-May-2026</t>
        </is>
      </c>
      <c r="B48" s="26">
        <f>IF(SUMIFS('NSE - NIFTY Index Options'!$M:$M,'NSE - NIFTY Index Options'!$C:$C,$A48,'NSE - NIFTY Index Options'!$B:$B,B$4,'NSE - NIFTY Index Options'!$I:$I,"Monthly*")+SUMIFS('NSE - Other Index Options'!$M:$M,'NSE - Other Index Options'!$C:$C,$A48,'NSE - Other Index Options'!$B:$B,B$4,'NSE - Other Index Options'!$I:$I,"Monthly*")=0,"",SUMIFS('NSE - NIFTY Index Options'!$M:$M,'NSE - NIFTY Index Options'!$C:$C,$A48,'NSE - NIFTY Index Options'!$B:$B,B$4,'NSE - NIFTY Index Options'!$I:$I,"Monthly*")+SUMIFS('NSE - Other Index Options'!$M:$M,'NSE - Other Index Options'!$C:$C,$A48,'NSE - Other Index Options'!$B:$B,B$4,'NSE - Other Index Options'!$I:$I,"Monthly*"))</f>
        <v/>
      </c>
      <c r="C48" s="26">
        <f>IF(SUMIFS('NSE - NIFTY Index Options'!$M:$M,'NSE - NIFTY Index Options'!$C:$C,$A48,'NSE - NIFTY Index Options'!$B:$B,C$4,'NSE - NIFTY Index Options'!$I:$I,"Monthly*")+SUMIFS('NSE - Other Index Options'!$M:$M,'NSE - Other Index Options'!$C:$C,$A48,'NSE - Other Index Options'!$B:$B,C$4,'NSE - Other Index Options'!$I:$I,"Monthly*")=0,"",SUMIFS('NSE - NIFTY Index Options'!$M:$M,'NSE - NIFTY Index Options'!$C:$C,$A48,'NSE - NIFTY Index Options'!$B:$B,C$4,'NSE - NIFTY Index Options'!$I:$I,"Monthly*")+SUMIFS('NSE - Other Index Options'!$M:$M,'NSE - Other Index Options'!$C:$C,$A48,'NSE - Other Index Options'!$B:$B,C$4,'NSE - Other Index Options'!$I:$I,"Monthly*"))</f>
        <v/>
      </c>
      <c r="D48" s="26">
        <f>IF(SUMIFS('NSE - NIFTY Index Options'!$M:$M,'NSE - NIFTY Index Options'!$C:$C,$A48,'NSE - NIFTY Index Options'!$B:$B,D$4,'NSE - NIFTY Index Options'!$I:$I,"Monthly*")+SUMIFS('NSE - Other Index Options'!$M:$M,'NSE - Other Index Options'!$C:$C,$A48,'NSE - Other Index Options'!$B:$B,D$4,'NSE - Other Index Options'!$I:$I,"Monthly*")=0,"",SUMIFS('NSE - NIFTY Index Options'!$M:$M,'NSE - NIFTY Index Options'!$C:$C,$A48,'NSE - NIFTY Index Options'!$B:$B,D$4,'NSE - NIFTY Index Options'!$I:$I,"Monthly*")+SUMIFS('NSE - Other Index Options'!$M:$M,'NSE - Other Index Options'!$C:$C,$A48,'NSE - Other Index Options'!$B:$B,D$4,'NSE - Other Index Options'!$I:$I,"Monthly*"))</f>
        <v/>
      </c>
      <c r="E48" s="26">
        <f>IF(SUMIFS('NSE - NIFTY Index Options'!$M:$M,'NSE - NIFTY Index Options'!$C:$C,$A48,'NSE - NIFTY Index Options'!$B:$B,E$4,'NSE - NIFTY Index Options'!$I:$I,"Monthly*")+SUMIFS('NSE - Other Index Options'!$M:$M,'NSE - Other Index Options'!$C:$C,$A48,'NSE - Other Index Options'!$B:$B,E$4,'NSE - Other Index Options'!$I:$I,"Monthly*")=0,"",SUMIFS('NSE - NIFTY Index Options'!$M:$M,'NSE - NIFTY Index Options'!$C:$C,$A48,'NSE - NIFTY Index Options'!$B:$B,E$4,'NSE - NIFTY Index Options'!$I:$I,"Monthly*")+SUMIFS('NSE - Other Index Options'!$M:$M,'NSE - Other Index Options'!$C:$C,$A48,'NSE - Other Index Options'!$B:$B,E$4,'NSE - Other Index Options'!$I:$I,"Monthly*"))</f>
        <v/>
      </c>
      <c r="F48" s="26">
        <f>IF(SUMIFS('NSE - NIFTY Index Options'!$M:$M,'NSE - NIFTY Index Options'!$C:$C,$A48,'NSE - NIFTY Index Options'!$B:$B,F$4,'NSE - NIFTY Index Options'!$I:$I,"Monthly*")+SUMIFS('NSE - Other Index Options'!$M:$M,'NSE - Other Index Options'!$C:$C,$A48,'NSE - Other Index Options'!$B:$B,F$4,'NSE - Other Index Options'!$I:$I,"Monthly*")=0,"",SUMIFS('NSE - NIFTY Index Options'!$M:$M,'NSE - NIFTY Index Options'!$C:$C,$A48,'NSE - NIFTY Index Options'!$B:$B,F$4,'NSE - NIFTY Index Options'!$I:$I,"Monthly*")+SUMIFS('NSE - Other Index Options'!$M:$M,'NSE - Other Index Options'!$C:$C,$A48,'NSE - Other Index Options'!$B:$B,F$4,'NSE - Other Index Options'!$I:$I,"Monthly*"))</f>
        <v/>
      </c>
      <c r="G48" s="26">
        <f>IF(SUMIFS('NSE - NIFTY Index Options'!$M:$M,'NSE - NIFTY Index Options'!$C:$C,$A48,'NSE - NIFTY Index Options'!$B:$B,G$4,'NSE - NIFTY Index Options'!$I:$I,"Monthly*")+SUMIFS('NSE - Other Index Options'!$M:$M,'NSE - Other Index Options'!$C:$C,$A48,'NSE - Other Index Options'!$B:$B,G$4,'NSE - Other Index Options'!$I:$I,"Monthly*")=0,"",SUMIFS('NSE - NIFTY Index Options'!$M:$M,'NSE - NIFTY Index Options'!$C:$C,$A48,'NSE - NIFTY Index Options'!$B:$B,G$4,'NSE - NIFTY Index Options'!$I:$I,"Monthly*")+SUMIFS('NSE - Other Index Options'!$M:$M,'NSE - Other Index Options'!$C:$C,$A48,'NSE - Other Index Options'!$B:$B,G$4,'NSE - Other Index Options'!$I:$I,"Monthly*"))</f>
        <v/>
      </c>
      <c r="H48" s="26">
        <f>IF(SUM(B48:G48)=0,"",SUM(B48:G48))</f>
        <v/>
      </c>
    </row>
    <row r="49">
      <c r="A49" t="inlineStr">
        <is>
          <t>Week1-Jun-2026</t>
        </is>
      </c>
      <c r="B49" s="26">
        <f>IF(SUMIFS('NSE - NIFTY Index Options'!$M:$M,'NSE - NIFTY Index Options'!$C:$C,$A49,'NSE - NIFTY Index Options'!$B:$B,B$4,'NSE - NIFTY Index Options'!$I:$I,"Monthly*")+SUMIFS('NSE - Other Index Options'!$M:$M,'NSE - Other Index Options'!$C:$C,$A49,'NSE - Other Index Options'!$B:$B,B$4,'NSE - Other Index Options'!$I:$I,"Monthly*")=0,"",SUMIFS('NSE - NIFTY Index Options'!$M:$M,'NSE - NIFTY Index Options'!$C:$C,$A49,'NSE - NIFTY Index Options'!$B:$B,B$4,'NSE - NIFTY Index Options'!$I:$I,"Monthly*")+SUMIFS('NSE - Other Index Options'!$M:$M,'NSE - Other Index Options'!$C:$C,$A49,'NSE - Other Index Options'!$B:$B,B$4,'NSE - Other Index Options'!$I:$I,"Monthly*"))</f>
        <v/>
      </c>
      <c r="C49" s="26">
        <f>IF(SUMIFS('NSE - NIFTY Index Options'!$M:$M,'NSE - NIFTY Index Options'!$C:$C,$A49,'NSE - NIFTY Index Options'!$B:$B,C$4,'NSE - NIFTY Index Options'!$I:$I,"Monthly*")+SUMIFS('NSE - Other Index Options'!$M:$M,'NSE - Other Index Options'!$C:$C,$A49,'NSE - Other Index Options'!$B:$B,C$4,'NSE - Other Index Options'!$I:$I,"Monthly*")=0,"",SUMIFS('NSE - NIFTY Index Options'!$M:$M,'NSE - NIFTY Index Options'!$C:$C,$A49,'NSE - NIFTY Index Options'!$B:$B,C$4,'NSE - NIFTY Index Options'!$I:$I,"Monthly*")+SUMIFS('NSE - Other Index Options'!$M:$M,'NSE - Other Index Options'!$C:$C,$A49,'NSE - Other Index Options'!$B:$B,C$4,'NSE - Other Index Options'!$I:$I,"Monthly*"))</f>
        <v/>
      </c>
      <c r="D49" s="26">
        <f>IF(SUMIFS('NSE - NIFTY Index Options'!$M:$M,'NSE - NIFTY Index Options'!$C:$C,$A49,'NSE - NIFTY Index Options'!$B:$B,D$4,'NSE - NIFTY Index Options'!$I:$I,"Monthly*")+SUMIFS('NSE - Other Index Options'!$M:$M,'NSE - Other Index Options'!$C:$C,$A49,'NSE - Other Index Options'!$B:$B,D$4,'NSE - Other Index Options'!$I:$I,"Monthly*")=0,"",SUMIFS('NSE - NIFTY Index Options'!$M:$M,'NSE - NIFTY Index Options'!$C:$C,$A49,'NSE - NIFTY Index Options'!$B:$B,D$4,'NSE - NIFTY Index Options'!$I:$I,"Monthly*")+SUMIFS('NSE - Other Index Options'!$M:$M,'NSE - Other Index Options'!$C:$C,$A49,'NSE - Other Index Options'!$B:$B,D$4,'NSE - Other Index Options'!$I:$I,"Monthly*"))</f>
        <v/>
      </c>
      <c r="E49" s="26">
        <f>IF(SUMIFS('NSE - NIFTY Index Options'!$M:$M,'NSE - NIFTY Index Options'!$C:$C,$A49,'NSE - NIFTY Index Options'!$B:$B,E$4,'NSE - NIFTY Index Options'!$I:$I,"Monthly*")+SUMIFS('NSE - Other Index Options'!$M:$M,'NSE - Other Index Options'!$C:$C,$A49,'NSE - Other Index Options'!$B:$B,E$4,'NSE - Other Index Options'!$I:$I,"Monthly*")=0,"",SUMIFS('NSE - NIFTY Index Options'!$M:$M,'NSE - NIFTY Index Options'!$C:$C,$A49,'NSE - NIFTY Index Options'!$B:$B,E$4,'NSE - NIFTY Index Options'!$I:$I,"Monthly*")+SUMIFS('NSE - Other Index Options'!$M:$M,'NSE - Other Index Options'!$C:$C,$A49,'NSE - Other Index Options'!$B:$B,E$4,'NSE - Other Index Options'!$I:$I,"Monthly*"))</f>
        <v/>
      </c>
      <c r="F49" s="26">
        <f>IF(SUMIFS('NSE - NIFTY Index Options'!$M:$M,'NSE - NIFTY Index Options'!$C:$C,$A49,'NSE - NIFTY Index Options'!$B:$B,F$4,'NSE - NIFTY Index Options'!$I:$I,"Monthly*")+SUMIFS('NSE - Other Index Options'!$M:$M,'NSE - Other Index Options'!$C:$C,$A49,'NSE - Other Index Options'!$B:$B,F$4,'NSE - Other Index Options'!$I:$I,"Monthly*")=0,"",SUMIFS('NSE - NIFTY Index Options'!$M:$M,'NSE - NIFTY Index Options'!$C:$C,$A49,'NSE - NIFTY Index Options'!$B:$B,F$4,'NSE - NIFTY Index Options'!$I:$I,"Monthly*")+SUMIFS('NSE - Other Index Options'!$M:$M,'NSE - Other Index Options'!$C:$C,$A49,'NSE - Other Index Options'!$B:$B,F$4,'NSE - Other Index Options'!$I:$I,"Monthly*"))</f>
        <v/>
      </c>
      <c r="G49" s="26">
        <f>IF(SUMIFS('NSE - NIFTY Index Options'!$M:$M,'NSE - NIFTY Index Options'!$C:$C,$A49,'NSE - NIFTY Index Options'!$B:$B,G$4,'NSE - NIFTY Index Options'!$I:$I,"Monthly*")+SUMIFS('NSE - Other Index Options'!$M:$M,'NSE - Other Index Options'!$C:$C,$A49,'NSE - Other Index Options'!$B:$B,G$4,'NSE - Other Index Options'!$I:$I,"Monthly*")=0,"",SUMIFS('NSE - NIFTY Index Options'!$M:$M,'NSE - NIFTY Index Options'!$C:$C,$A49,'NSE - NIFTY Index Options'!$B:$B,G$4,'NSE - NIFTY Index Options'!$I:$I,"Monthly*")+SUMIFS('NSE - Other Index Options'!$M:$M,'NSE - Other Index Options'!$C:$C,$A49,'NSE - Other Index Options'!$B:$B,G$4,'NSE - Other Index Options'!$I:$I,"Monthly*"))</f>
        <v/>
      </c>
      <c r="H49" s="26">
        <f>IF(SUM(B49:G49)=0,"",SUM(B49:G49))</f>
        <v/>
      </c>
    </row>
    <row r="50">
      <c r="A50" t="inlineStr">
        <is>
          <t>Week2-Jun-2026</t>
        </is>
      </c>
      <c r="B50" s="26">
        <f>IF(SUMIFS('NSE - NIFTY Index Options'!$M:$M,'NSE - NIFTY Index Options'!$C:$C,$A50,'NSE - NIFTY Index Options'!$B:$B,B$4,'NSE - NIFTY Index Options'!$I:$I,"Monthly*")+SUMIFS('NSE - Other Index Options'!$M:$M,'NSE - Other Index Options'!$C:$C,$A50,'NSE - Other Index Options'!$B:$B,B$4,'NSE - Other Index Options'!$I:$I,"Monthly*")=0,"",SUMIFS('NSE - NIFTY Index Options'!$M:$M,'NSE - NIFTY Index Options'!$C:$C,$A50,'NSE - NIFTY Index Options'!$B:$B,B$4,'NSE - NIFTY Index Options'!$I:$I,"Monthly*")+SUMIFS('NSE - Other Index Options'!$M:$M,'NSE - Other Index Options'!$C:$C,$A50,'NSE - Other Index Options'!$B:$B,B$4,'NSE - Other Index Options'!$I:$I,"Monthly*"))</f>
        <v/>
      </c>
      <c r="C50" s="26">
        <f>IF(SUMIFS('NSE - NIFTY Index Options'!$M:$M,'NSE - NIFTY Index Options'!$C:$C,$A50,'NSE - NIFTY Index Options'!$B:$B,C$4,'NSE - NIFTY Index Options'!$I:$I,"Monthly*")+SUMIFS('NSE - Other Index Options'!$M:$M,'NSE - Other Index Options'!$C:$C,$A50,'NSE - Other Index Options'!$B:$B,C$4,'NSE - Other Index Options'!$I:$I,"Monthly*")=0,"",SUMIFS('NSE - NIFTY Index Options'!$M:$M,'NSE - NIFTY Index Options'!$C:$C,$A50,'NSE - NIFTY Index Options'!$B:$B,C$4,'NSE - NIFTY Index Options'!$I:$I,"Monthly*")+SUMIFS('NSE - Other Index Options'!$M:$M,'NSE - Other Index Options'!$C:$C,$A50,'NSE - Other Index Options'!$B:$B,C$4,'NSE - Other Index Options'!$I:$I,"Monthly*"))</f>
        <v/>
      </c>
      <c r="D50" s="26">
        <f>IF(SUMIFS('NSE - NIFTY Index Options'!$M:$M,'NSE - NIFTY Index Options'!$C:$C,$A50,'NSE - NIFTY Index Options'!$B:$B,D$4,'NSE - NIFTY Index Options'!$I:$I,"Monthly*")+SUMIFS('NSE - Other Index Options'!$M:$M,'NSE - Other Index Options'!$C:$C,$A50,'NSE - Other Index Options'!$B:$B,D$4,'NSE - Other Index Options'!$I:$I,"Monthly*")=0,"",SUMIFS('NSE - NIFTY Index Options'!$M:$M,'NSE - NIFTY Index Options'!$C:$C,$A50,'NSE - NIFTY Index Options'!$B:$B,D$4,'NSE - NIFTY Index Options'!$I:$I,"Monthly*")+SUMIFS('NSE - Other Index Options'!$M:$M,'NSE - Other Index Options'!$C:$C,$A50,'NSE - Other Index Options'!$B:$B,D$4,'NSE - Other Index Options'!$I:$I,"Monthly*"))</f>
        <v/>
      </c>
      <c r="E50" s="26">
        <f>IF(SUMIFS('NSE - NIFTY Index Options'!$M:$M,'NSE - NIFTY Index Options'!$C:$C,$A50,'NSE - NIFTY Index Options'!$B:$B,E$4,'NSE - NIFTY Index Options'!$I:$I,"Monthly*")+SUMIFS('NSE - Other Index Options'!$M:$M,'NSE - Other Index Options'!$C:$C,$A50,'NSE - Other Index Options'!$B:$B,E$4,'NSE - Other Index Options'!$I:$I,"Monthly*")=0,"",SUMIFS('NSE - NIFTY Index Options'!$M:$M,'NSE - NIFTY Index Options'!$C:$C,$A50,'NSE - NIFTY Index Options'!$B:$B,E$4,'NSE - NIFTY Index Options'!$I:$I,"Monthly*")+SUMIFS('NSE - Other Index Options'!$M:$M,'NSE - Other Index Options'!$C:$C,$A50,'NSE - Other Index Options'!$B:$B,E$4,'NSE - Other Index Options'!$I:$I,"Monthly*"))</f>
        <v/>
      </c>
      <c r="F50" s="26">
        <f>IF(SUMIFS('NSE - NIFTY Index Options'!$M:$M,'NSE - NIFTY Index Options'!$C:$C,$A50,'NSE - NIFTY Index Options'!$B:$B,F$4,'NSE - NIFTY Index Options'!$I:$I,"Monthly*")+SUMIFS('NSE - Other Index Options'!$M:$M,'NSE - Other Index Options'!$C:$C,$A50,'NSE - Other Index Options'!$B:$B,F$4,'NSE - Other Index Options'!$I:$I,"Monthly*")=0,"",SUMIFS('NSE - NIFTY Index Options'!$M:$M,'NSE - NIFTY Index Options'!$C:$C,$A50,'NSE - NIFTY Index Options'!$B:$B,F$4,'NSE - NIFTY Index Options'!$I:$I,"Monthly*")+SUMIFS('NSE - Other Index Options'!$M:$M,'NSE - Other Index Options'!$C:$C,$A50,'NSE - Other Index Options'!$B:$B,F$4,'NSE - Other Index Options'!$I:$I,"Monthly*"))</f>
        <v/>
      </c>
      <c r="G50" s="26">
        <f>IF(SUMIFS('NSE - NIFTY Index Options'!$M:$M,'NSE - NIFTY Index Options'!$C:$C,$A50,'NSE - NIFTY Index Options'!$B:$B,G$4,'NSE - NIFTY Index Options'!$I:$I,"Monthly*")+SUMIFS('NSE - Other Index Options'!$M:$M,'NSE - Other Index Options'!$C:$C,$A50,'NSE - Other Index Options'!$B:$B,G$4,'NSE - Other Index Options'!$I:$I,"Monthly*")=0,"",SUMIFS('NSE - NIFTY Index Options'!$M:$M,'NSE - NIFTY Index Options'!$C:$C,$A50,'NSE - NIFTY Index Options'!$B:$B,G$4,'NSE - NIFTY Index Options'!$I:$I,"Monthly*")+SUMIFS('NSE - Other Index Options'!$M:$M,'NSE - Other Index Options'!$C:$C,$A50,'NSE - Other Index Options'!$B:$B,G$4,'NSE - Other Index Options'!$I:$I,"Monthly*"))</f>
        <v/>
      </c>
      <c r="H50" s="26">
        <f>IF(SUM(B50:G50)=0,"",SUM(B50:G50))</f>
        <v/>
      </c>
    </row>
    <row r="51">
      <c r="A51" t="inlineStr">
        <is>
          <t>Week3-Jun-2026</t>
        </is>
      </c>
      <c r="B51" s="26">
        <f>IF(SUMIFS('NSE - NIFTY Index Options'!$M:$M,'NSE - NIFTY Index Options'!$C:$C,$A51,'NSE - NIFTY Index Options'!$B:$B,B$4,'NSE - NIFTY Index Options'!$I:$I,"Monthly*")+SUMIFS('NSE - Other Index Options'!$M:$M,'NSE - Other Index Options'!$C:$C,$A51,'NSE - Other Index Options'!$B:$B,B$4,'NSE - Other Index Options'!$I:$I,"Monthly*")=0,"",SUMIFS('NSE - NIFTY Index Options'!$M:$M,'NSE - NIFTY Index Options'!$C:$C,$A51,'NSE - NIFTY Index Options'!$B:$B,B$4,'NSE - NIFTY Index Options'!$I:$I,"Monthly*")+SUMIFS('NSE - Other Index Options'!$M:$M,'NSE - Other Index Options'!$C:$C,$A51,'NSE - Other Index Options'!$B:$B,B$4,'NSE - Other Index Options'!$I:$I,"Monthly*"))</f>
        <v/>
      </c>
      <c r="C51" s="26">
        <f>IF(SUMIFS('NSE - NIFTY Index Options'!$M:$M,'NSE - NIFTY Index Options'!$C:$C,$A51,'NSE - NIFTY Index Options'!$B:$B,C$4,'NSE - NIFTY Index Options'!$I:$I,"Monthly*")+SUMIFS('NSE - Other Index Options'!$M:$M,'NSE - Other Index Options'!$C:$C,$A51,'NSE - Other Index Options'!$B:$B,C$4,'NSE - Other Index Options'!$I:$I,"Monthly*")=0,"",SUMIFS('NSE - NIFTY Index Options'!$M:$M,'NSE - NIFTY Index Options'!$C:$C,$A51,'NSE - NIFTY Index Options'!$B:$B,C$4,'NSE - NIFTY Index Options'!$I:$I,"Monthly*")+SUMIFS('NSE - Other Index Options'!$M:$M,'NSE - Other Index Options'!$C:$C,$A51,'NSE - Other Index Options'!$B:$B,C$4,'NSE - Other Index Options'!$I:$I,"Monthly*"))</f>
        <v/>
      </c>
      <c r="D51" s="26">
        <f>IF(SUMIFS('NSE - NIFTY Index Options'!$M:$M,'NSE - NIFTY Index Options'!$C:$C,$A51,'NSE - NIFTY Index Options'!$B:$B,D$4,'NSE - NIFTY Index Options'!$I:$I,"Monthly*")+SUMIFS('NSE - Other Index Options'!$M:$M,'NSE - Other Index Options'!$C:$C,$A51,'NSE - Other Index Options'!$B:$B,D$4,'NSE - Other Index Options'!$I:$I,"Monthly*")=0,"",SUMIFS('NSE - NIFTY Index Options'!$M:$M,'NSE - NIFTY Index Options'!$C:$C,$A51,'NSE - NIFTY Index Options'!$B:$B,D$4,'NSE - NIFTY Index Options'!$I:$I,"Monthly*")+SUMIFS('NSE - Other Index Options'!$M:$M,'NSE - Other Index Options'!$C:$C,$A51,'NSE - Other Index Options'!$B:$B,D$4,'NSE - Other Index Options'!$I:$I,"Monthly*"))</f>
        <v/>
      </c>
      <c r="E51" s="26">
        <f>IF(SUMIFS('NSE - NIFTY Index Options'!$M:$M,'NSE - NIFTY Index Options'!$C:$C,$A51,'NSE - NIFTY Index Options'!$B:$B,E$4,'NSE - NIFTY Index Options'!$I:$I,"Monthly*")+SUMIFS('NSE - Other Index Options'!$M:$M,'NSE - Other Index Options'!$C:$C,$A51,'NSE - Other Index Options'!$B:$B,E$4,'NSE - Other Index Options'!$I:$I,"Monthly*")=0,"",SUMIFS('NSE - NIFTY Index Options'!$M:$M,'NSE - NIFTY Index Options'!$C:$C,$A51,'NSE - NIFTY Index Options'!$B:$B,E$4,'NSE - NIFTY Index Options'!$I:$I,"Monthly*")+SUMIFS('NSE - Other Index Options'!$M:$M,'NSE - Other Index Options'!$C:$C,$A51,'NSE - Other Index Options'!$B:$B,E$4,'NSE - Other Index Options'!$I:$I,"Monthly*"))</f>
        <v/>
      </c>
      <c r="F51" s="26">
        <f>IF(SUMIFS('NSE - NIFTY Index Options'!$M:$M,'NSE - NIFTY Index Options'!$C:$C,$A51,'NSE - NIFTY Index Options'!$B:$B,F$4,'NSE - NIFTY Index Options'!$I:$I,"Monthly*")+SUMIFS('NSE - Other Index Options'!$M:$M,'NSE - Other Index Options'!$C:$C,$A51,'NSE - Other Index Options'!$B:$B,F$4,'NSE - Other Index Options'!$I:$I,"Monthly*")=0,"",SUMIFS('NSE - NIFTY Index Options'!$M:$M,'NSE - NIFTY Index Options'!$C:$C,$A51,'NSE - NIFTY Index Options'!$B:$B,F$4,'NSE - NIFTY Index Options'!$I:$I,"Monthly*")+SUMIFS('NSE - Other Index Options'!$M:$M,'NSE - Other Index Options'!$C:$C,$A51,'NSE - Other Index Options'!$B:$B,F$4,'NSE - Other Index Options'!$I:$I,"Monthly*"))</f>
        <v/>
      </c>
      <c r="G51" s="26">
        <f>IF(SUMIFS('NSE - NIFTY Index Options'!$M:$M,'NSE - NIFTY Index Options'!$C:$C,$A51,'NSE - NIFTY Index Options'!$B:$B,G$4,'NSE - NIFTY Index Options'!$I:$I,"Monthly*")+SUMIFS('NSE - Other Index Options'!$M:$M,'NSE - Other Index Options'!$C:$C,$A51,'NSE - Other Index Options'!$B:$B,G$4,'NSE - Other Index Options'!$I:$I,"Monthly*")=0,"",SUMIFS('NSE - NIFTY Index Options'!$M:$M,'NSE - NIFTY Index Options'!$C:$C,$A51,'NSE - NIFTY Index Options'!$B:$B,G$4,'NSE - NIFTY Index Options'!$I:$I,"Monthly*")+SUMIFS('NSE - Other Index Options'!$M:$M,'NSE - Other Index Options'!$C:$C,$A51,'NSE - Other Index Options'!$B:$B,G$4,'NSE - Other Index Options'!$I:$I,"Monthly*"))</f>
        <v/>
      </c>
      <c r="H51" s="26">
        <f>IF(SUM(B51:G51)=0,"",SUM(B51:G51))</f>
        <v/>
      </c>
    </row>
    <row r="52">
      <c r="A52" t="inlineStr">
        <is>
          <t>Week4-Jun-2026</t>
        </is>
      </c>
      <c r="B52" s="26">
        <f>IF(SUMIFS('NSE - NIFTY Index Options'!$M:$M,'NSE - NIFTY Index Options'!$C:$C,$A52,'NSE - NIFTY Index Options'!$B:$B,B$4,'NSE - NIFTY Index Options'!$I:$I,"Monthly*")+SUMIFS('NSE - Other Index Options'!$M:$M,'NSE - Other Index Options'!$C:$C,$A52,'NSE - Other Index Options'!$B:$B,B$4,'NSE - Other Index Options'!$I:$I,"Monthly*")=0,"",SUMIFS('NSE - NIFTY Index Options'!$M:$M,'NSE - NIFTY Index Options'!$C:$C,$A52,'NSE - NIFTY Index Options'!$B:$B,B$4,'NSE - NIFTY Index Options'!$I:$I,"Monthly*")+SUMIFS('NSE - Other Index Options'!$M:$M,'NSE - Other Index Options'!$C:$C,$A52,'NSE - Other Index Options'!$B:$B,B$4,'NSE - Other Index Options'!$I:$I,"Monthly*"))</f>
        <v/>
      </c>
      <c r="C52" s="26">
        <f>IF(SUMIFS('NSE - NIFTY Index Options'!$M:$M,'NSE - NIFTY Index Options'!$C:$C,$A52,'NSE - NIFTY Index Options'!$B:$B,C$4,'NSE - NIFTY Index Options'!$I:$I,"Monthly*")+SUMIFS('NSE - Other Index Options'!$M:$M,'NSE - Other Index Options'!$C:$C,$A52,'NSE - Other Index Options'!$B:$B,C$4,'NSE - Other Index Options'!$I:$I,"Monthly*")=0,"",SUMIFS('NSE - NIFTY Index Options'!$M:$M,'NSE - NIFTY Index Options'!$C:$C,$A52,'NSE - NIFTY Index Options'!$B:$B,C$4,'NSE - NIFTY Index Options'!$I:$I,"Monthly*")+SUMIFS('NSE - Other Index Options'!$M:$M,'NSE - Other Index Options'!$C:$C,$A52,'NSE - Other Index Options'!$B:$B,C$4,'NSE - Other Index Options'!$I:$I,"Monthly*"))</f>
        <v/>
      </c>
      <c r="D52" s="26">
        <f>IF(SUMIFS('NSE - NIFTY Index Options'!$M:$M,'NSE - NIFTY Index Options'!$C:$C,$A52,'NSE - NIFTY Index Options'!$B:$B,D$4,'NSE - NIFTY Index Options'!$I:$I,"Monthly*")+SUMIFS('NSE - Other Index Options'!$M:$M,'NSE - Other Index Options'!$C:$C,$A52,'NSE - Other Index Options'!$B:$B,D$4,'NSE - Other Index Options'!$I:$I,"Monthly*")=0,"",SUMIFS('NSE - NIFTY Index Options'!$M:$M,'NSE - NIFTY Index Options'!$C:$C,$A52,'NSE - NIFTY Index Options'!$B:$B,D$4,'NSE - NIFTY Index Options'!$I:$I,"Monthly*")+SUMIFS('NSE - Other Index Options'!$M:$M,'NSE - Other Index Options'!$C:$C,$A52,'NSE - Other Index Options'!$B:$B,D$4,'NSE - Other Index Options'!$I:$I,"Monthly*"))</f>
        <v/>
      </c>
      <c r="E52" s="26">
        <f>IF(SUMIFS('NSE - NIFTY Index Options'!$M:$M,'NSE - NIFTY Index Options'!$C:$C,$A52,'NSE - NIFTY Index Options'!$B:$B,E$4,'NSE - NIFTY Index Options'!$I:$I,"Monthly*")+SUMIFS('NSE - Other Index Options'!$M:$M,'NSE - Other Index Options'!$C:$C,$A52,'NSE - Other Index Options'!$B:$B,E$4,'NSE - Other Index Options'!$I:$I,"Monthly*")=0,"",SUMIFS('NSE - NIFTY Index Options'!$M:$M,'NSE - NIFTY Index Options'!$C:$C,$A52,'NSE - NIFTY Index Options'!$B:$B,E$4,'NSE - NIFTY Index Options'!$I:$I,"Monthly*")+SUMIFS('NSE - Other Index Options'!$M:$M,'NSE - Other Index Options'!$C:$C,$A52,'NSE - Other Index Options'!$B:$B,E$4,'NSE - Other Index Options'!$I:$I,"Monthly*"))</f>
        <v/>
      </c>
      <c r="F52" s="26">
        <f>IF(SUMIFS('NSE - NIFTY Index Options'!$M:$M,'NSE - NIFTY Index Options'!$C:$C,$A52,'NSE - NIFTY Index Options'!$B:$B,F$4,'NSE - NIFTY Index Options'!$I:$I,"Monthly*")+SUMIFS('NSE - Other Index Options'!$M:$M,'NSE - Other Index Options'!$C:$C,$A52,'NSE - Other Index Options'!$B:$B,F$4,'NSE - Other Index Options'!$I:$I,"Monthly*")=0,"",SUMIFS('NSE - NIFTY Index Options'!$M:$M,'NSE - NIFTY Index Options'!$C:$C,$A52,'NSE - NIFTY Index Options'!$B:$B,F$4,'NSE - NIFTY Index Options'!$I:$I,"Monthly*")+SUMIFS('NSE - Other Index Options'!$M:$M,'NSE - Other Index Options'!$C:$C,$A52,'NSE - Other Index Options'!$B:$B,F$4,'NSE - Other Index Options'!$I:$I,"Monthly*"))</f>
        <v/>
      </c>
      <c r="G52" s="26">
        <f>IF(SUMIFS('NSE - NIFTY Index Options'!$M:$M,'NSE - NIFTY Index Options'!$C:$C,$A52,'NSE - NIFTY Index Options'!$B:$B,G$4,'NSE - NIFTY Index Options'!$I:$I,"Monthly*")+SUMIFS('NSE - Other Index Options'!$M:$M,'NSE - Other Index Options'!$C:$C,$A52,'NSE - Other Index Options'!$B:$B,G$4,'NSE - Other Index Options'!$I:$I,"Monthly*")=0,"",SUMIFS('NSE - NIFTY Index Options'!$M:$M,'NSE - NIFTY Index Options'!$C:$C,$A52,'NSE - NIFTY Index Options'!$B:$B,G$4,'NSE - NIFTY Index Options'!$I:$I,"Monthly*")+SUMIFS('NSE - Other Index Options'!$M:$M,'NSE - Other Index Options'!$C:$C,$A52,'NSE - Other Index Options'!$B:$B,G$4,'NSE - Other Index Options'!$I:$I,"Monthly*"))</f>
        <v/>
      </c>
      <c r="H52" s="26">
        <f>IF(SUM(B52:G52)=0,"",SUM(B52:G52))</f>
        <v/>
      </c>
    </row>
    <row r="53">
      <c r="A53" t="inlineStr">
        <is>
          <t>Week5-Jun-2026</t>
        </is>
      </c>
      <c r="B53" s="26">
        <f>IF(SUMIFS('NSE - NIFTY Index Options'!$M:$M,'NSE - NIFTY Index Options'!$C:$C,$A53,'NSE - NIFTY Index Options'!$B:$B,B$4,'NSE - NIFTY Index Options'!$I:$I,"Monthly*")+SUMIFS('NSE - Other Index Options'!$M:$M,'NSE - Other Index Options'!$C:$C,$A53,'NSE - Other Index Options'!$B:$B,B$4,'NSE - Other Index Options'!$I:$I,"Monthly*")=0,"",SUMIFS('NSE - NIFTY Index Options'!$M:$M,'NSE - NIFTY Index Options'!$C:$C,$A53,'NSE - NIFTY Index Options'!$B:$B,B$4,'NSE - NIFTY Index Options'!$I:$I,"Monthly*")+SUMIFS('NSE - Other Index Options'!$M:$M,'NSE - Other Index Options'!$C:$C,$A53,'NSE - Other Index Options'!$B:$B,B$4,'NSE - Other Index Options'!$I:$I,"Monthly*"))</f>
        <v/>
      </c>
      <c r="C53" s="26">
        <f>IF(SUMIFS('NSE - NIFTY Index Options'!$M:$M,'NSE - NIFTY Index Options'!$C:$C,$A53,'NSE - NIFTY Index Options'!$B:$B,C$4,'NSE - NIFTY Index Options'!$I:$I,"Monthly*")+SUMIFS('NSE - Other Index Options'!$M:$M,'NSE - Other Index Options'!$C:$C,$A53,'NSE - Other Index Options'!$B:$B,C$4,'NSE - Other Index Options'!$I:$I,"Monthly*")=0,"",SUMIFS('NSE - NIFTY Index Options'!$M:$M,'NSE - NIFTY Index Options'!$C:$C,$A53,'NSE - NIFTY Index Options'!$B:$B,C$4,'NSE - NIFTY Index Options'!$I:$I,"Monthly*")+SUMIFS('NSE - Other Index Options'!$M:$M,'NSE - Other Index Options'!$C:$C,$A53,'NSE - Other Index Options'!$B:$B,C$4,'NSE - Other Index Options'!$I:$I,"Monthly*"))</f>
        <v/>
      </c>
      <c r="D53" s="26">
        <f>IF(SUMIFS('NSE - NIFTY Index Options'!$M:$M,'NSE - NIFTY Index Options'!$C:$C,$A53,'NSE - NIFTY Index Options'!$B:$B,D$4,'NSE - NIFTY Index Options'!$I:$I,"Monthly*")+SUMIFS('NSE - Other Index Options'!$M:$M,'NSE - Other Index Options'!$C:$C,$A53,'NSE - Other Index Options'!$B:$B,D$4,'NSE - Other Index Options'!$I:$I,"Monthly*")=0,"",SUMIFS('NSE - NIFTY Index Options'!$M:$M,'NSE - NIFTY Index Options'!$C:$C,$A53,'NSE - NIFTY Index Options'!$B:$B,D$4,'NSE - NIFTY Index Options'!$I:$I,"Monthly*")+SUMIFS('NSE - Other Index Options'!$M:$M,'NSE - Other Index Options'!$C:$C,$A53,'NSE - Other Index Options'!$B:$B,D$4,'NSE - Other Index Options'!$I:$I,"Monthly*"))</f>
        <v/>
      </c>
      <c r="E53" s="26">
        <f>IF(SUMIFS('NSE - NIFTY Index Options'!$M:$M,'NSE - NIFTY Index Options'!$C:$C,$A53,'NSE - NIFTY Index Options'!$B:$B,E$4,'NSE - NIFTY Index Options'!$I:$I,"Monthly*")+SUMIFS('NSE - Other Index Options'!$M:$M,'NSE - Other Index Options'!$C:$C,$A53,'NSE - Other Index Options'!$B:$B,E$4,'NSE - Other Index Options'!$I:$I,"Monthly*")=0,"",SUMIFS('NSE - NIFTY Index Options'!$M:$M,'NSE - NIFTY Index Options'!$C:$C,$A53,'NSE - NIFTY Index Options'!$B:$B,E$4,'NSE - NIFTY Index Options'!$I:$I,"Monthly*")+SUMIFS('NSE - Other Index Options'!$M:$M,'NSE - Other Index Options'!$C:$C,$A53,'NSE - Other Index Options'!$B:$B,E$4,'NSE - Other Index Options'!$I:$I,"Monthly*"))</f>
        <v/>
      </c>
      <c r="F53" s="26">
        <f>IF(SUMIFS('NSE - NIFTY Index Options'!$M:$M,'NSE - NIFTY Index Options'!$C:$C,$A53,'NSE - NIFTY Index Options'!$B:$B,F$4,'NSE - NIFTY Index Options'!$I:$I,"Monthly*")+SUMIFS('NSE - Other Index Options'!$M:$M,'NSE - Other Index Options'!$C:$C,$A53,'NSE - Other Index Options'!$B:$B,F$4,'NSE - Other Index Options'!$I:$I,"Monthly*")=0,"",SUMIFS('NSE - NIFTY Index Options'!$M:$M,'NSE - NIFTY Index Options'!$C:$C,$A53,'NSE - NIFTY Index Options'!$B:$B,F$4,'NSE - NIFTY Index Options'!$I:$I,"Monthly*")+SUMIFS('NSE - Other Index Options'!$M:$M,'NSE - Other Index Options'!$C:$C,$A53,'NSE - Other Index Options'!$B:$B,F$4,'NSE - Other Index Options'!$I:$I,"Monthly*"))</f>
        <v/>
      </c>
      <c r="G53" s="26">
        <f>IF(SUMIFS('NSE - NIFTY Index Options'!$M:$M,'NSE - NIFTY Index Options'!$C:$C,$A53,'NSE - NIFTY Index Options'!$B:$B,G$4,'NSE - NIFTY Index Options'!$I:$I,"Monthly*")+SUMIFS('NSE - Other Index Options'!$M:$M,'NSE - Other Index Options'!$C:$C,$A53,'NSE - Other Index Options'!$B:$B,G$4,'NSE - Other Index Options'!$I:$I,"Monthly*")=0,"",SUMIFS('NSE - NIFTY Index Options'!$M:$M,'NSE - NIFTY Index Options'!$C:$C,$A53,'NSE - NIFTY Index Options'!$B:$B,G$4,'NSE - NIFTY Index Options'!$I:$I,"Monthly*")+SUMIFS('NSE - Other Index Options'!$M:$M,'NSE - Other Index Options'!$C:$C,$A53,'NSE - Other Index Options'!$B:$B,G$4,'NSE - Other Index Options'!$I:$I,"Monthly*"))</f>
        <v/>
      </c>
      <c r="H53" s="26">
        <f>IF(SUM(B53:G53)=0,"",SUM(B53:G53))</f>
        <v/>
      </c>
    </row>
    <row r="54">
      <c r="A54" t="inlineStr">
        <is>
          <t>Week1-Jul-2026</t>
        </is>
      </c>
      <c r="B54" s="26">
        <f>IF(SUMIFS('NSE - NIFTY Index Options'!$M:$M,'NSE - NIFTY Index Options'!$C:$C,$A54,'NSE - NIFTY Index Options'!$B:$B,B$4,'NSE - NIFTY Index Options'!$I:$I,"Monthly*")+SUMIFS('NSE - Other Index Options'!$M:$M,'NSE - Other Index Options'!$C:$C,$A54,'NSE - Other Index Options'!$B:$B,B$4,'NSE - Other Index Options'!$I:$I,"Monthly*")=0,"",SUMIFS('NSE - NIFTY Index Options'!$M:$M,'NSE - NIFTY Index Options'!$C:$C,$A54,'NSE - NIFTY Index Options'!$B:$B,B$4,'NSE - NIFTY Index Options'!$I:$I,"Monthly*")+SUMIFS('NSE - Other Index Options'!$M:$M,'NSE - Other Index Options'!$C:$C,$A54,'NSE - Other Index Options'!$B:$B,B$4,'NSE - Other Index Options'!$I:$I,"Monthly*"))</f>
        <v/>
      </c>
      <c r="C54" s="26">
        <f>IF(SUMIFS('NSE - NIFTY Index Options'!$M:$M,'NSE - NIFTY Index Options'!$C:$C,$A54,'NSE - NIFTY Index Options'!$B:$B,C$4,'NSE - NIFTY Index Options'!$I:$I,"Monthly*")+SUMIFS('NSE - Other Index Options'!$M:$M,'NSE - Other Index Options'!$C:$C,$A54,'NSE - Other Index Options'!$B:$B,C$4,'NSE - Other Index Options'!$I:$I,"Monthly*")=0,"",SUMIFS('NSE - NIFTY Index Options'!$M:$M,'NSE - NIFTY Index Options'!$C:$C,$A54,'NSE - NIFTY Index Options'!$B:$B,C$4,'NSE - NIFTY Index Options'!$I:$I,"Monthly*")+SUMIFS('NSE - Other Index Options'!$M:$M,'NSE - Other Index Options'!$C:$C,$A54,'NSE - Other Index Options'!$B:$B,C$4,'NSE - Other Index Options'!$I:$I,"Monthly*"))</f>
        <v/>
      </c>
      <c r="D54" s="26">
        <f>IF(SUMIFS('NSE - NIFTY Index Options'!$M:$M,'NSE - NIFTY Index Options'!$C:$C,$A54,'NSE - NIFTY Index Options'!$B:$B,D$4,'NSE - NIFTY Index Options'!$I:$I,"Monthly*")+SUMIFS('NSE - Other Index Options'!$M:$M,'NSE - Other Index Options'!$C:$C,$A54,'NSE - Other Index Options'!$B:$B,D$4,'NSE - Other Index Options'!$I:$I,"Monthly*")=0,"",SUMIFS('NSE - NIFTY Index Options'!$M:$M,'NSE - NIFTY Index Options'!$C:$C,$A54,'NSE - NIFTY Index Options'!$B:$B,D$4,'NSE - NIFTY Index Options'!$I:$I,"Monthly*")+SUMIFS('NSE - Other Index Options'!$M:$M,'NSE - Other Index Options'!$C:$C,$A54,'NSE - Other Index Options'!$B:$B,D$4,'NSE - Other Index Options'!$I:$I,"Monthly*"))</f>
        <v/>
      </c>
      <c r="E54" s="26">
        <f>IF(SUMIFS('NSE - NIFTY Index Options'!$M:$M,'NSE - NIFTY Index Options'!$C:$C,$A54,'NSE - NIFTY Index Options'!$B:$B,E$4,'NSE - NIFTY Index Options'!$I:$I,"Monthly*")+SUMIFS('NSE - Other Index Options'!$M:$M,'NSE - Other Index Options'!$C:$C,$A54,'NSE - Other Index Options'!$B:$B,E$4,'NSE - Other Index Options'!$I:$I,"Monthly*")=0,"",SUMIFS('NSE - NIFTY Index Options'!$M:$M,'NSE - NIFTY Index Options'!$C:$C,$A54,'NSE - NIFTY Index Options'!$B:$B,E$4,'NSE - NIFTY Index Options'!$I:$I,"Monthly*")+SUMIFS('NSE - Other Index Options'!$M:$M,'NSE - Other Index Options'!$C:$C,$A54,'NSE - Other Index Options'!$B:$B,E$4,'NSE - Other Index Options'!$I:$I,"Monthly*"))</f>
        <v/>
      </c>
      <c r="F54" s="26">
        <f>IF(SUMIFS('NSE - NIFTY Index Options'!$M:$M,'NSE - NIFTY Index Options'!$C:$C,$A54,'NSE - NIFTY Index Options'!$B:$B,F$4,'NSE - NIFTY Index Options'!$I:$I,"Monthly*")+SUMIFS('NSE - Other Index Options'!$M:$M,'NSE - Other Index Options'!$C:$C,$A54,'NSE - Other Index Options'!$B:$B,F$4,'NSE - Other Index Options'!$I:$I,"Monthly*")=0,"",SUMIFS('NSE - NIFTY Index Options'!$M:$M,'NSE - NIFTY Index Options'!$C:$C,$A54,'NSE - NIFTY Index Options'!$B:$B,F$4,'NSE - NIFTY Index Options'!$I:$I,"Monthly*")+SUMIFS('NSE - Other Index Options'!$M:$M,'NSE - Other Index Options'!$C:$C,$A54,'NSE - Other Index Options'!$B:$B,F$4,'NSE - Other Index Options'!$I:$I,"Monthly*"))</f>
        <v/>
      </c>
      <c r="G54" s="26">
        <f>IF(SUMIFS('NSE - NIFTY Index Options'!$M:$M,'NSE - NIFTY Index Options'!$C:$C,$A54,'NSE - NIFTY Index Options'!$B:$B,G$4,'NSE - NIFTY Index Options'!$I:$I,"Monthly*")+SUMIFS('NSE - Other Index Options'!$M:$M,'NSE - Other Index Options'!$C:$C,$A54,'NSE - Other Index Options'!$B:$B,G$4,'NSE - Other Index Options'!$I:$I,"Monthly*")=0,"",SUMIFS('NSE - NIFTY Index Options'!$M:$M,'NSE - NIFTY Index Options'!$C:$C,$A54,'NSE - NIFTY Index Options'!$B:$B,G$4,'NSE - NIFTY Index Options'!$I:$I,"Monthly*")+SUMIFS('NSE - Other Index Options'!$M:$M,'NSE - Other Index Options'!$C:$C,$A54,'NSE - Other Index Options'!$B:$B,G$4,'NSE - Other Index Options'!$I:$I,"Monthly*"))</f>
        <v/>
      </c>
      <c r="H54" s="26">
        <f>IF(SUM(B54:G54)=0,"",SUM(B54:G54))</f>
        <v/>
      </c>
    </row>
    <row r="55">
      <c r="A55" t="inlineStr">
        <is>
          <t>Week2-Jul-2026</t>
        </is>
      </c>
      <c r="B55" s="26">
        <f>IF(SUMIFS('NSE - NIFTY Index Options'!$M:$M,'NSE - NIFTY Index Options'!$C:$C,$A55,'NSE - NIFTY Index Options'!$B:$B,B$4,'NSE - NIFTY Index Options'!$I:$I,"Monthly*")+SUMIFS('NSE - Other Index Options'!$M:$M,'NSE - Other Index Options'!$C:$C,$A55,'NSE - Other Index Options'!$B:$B,B$4,'NSE - Other Index Options'!$I:$I,"Monthly*")=0,"",SUMIFS('NSE - NIFTY Index Options'!$M:$M,'NSE - NIFTY Index Options'!$C:$C,$A55,'NSE - NIFTY Index Options'!$B:$B,B$4,'NSE - NIFTY Index Options'!$I:$I,"Monthly*")+SUMIFS('NSE - Other Index Options'!$M:$M,'NSE - Other Index Options'!$C:$C,$A55,'NSE - Other Index Options'!$B:$B,B$4,'NSE - Other Index Options'!$I:$I,"Monthly*"))</f>
        <v/>
      </c>
      <c r="C55" s="26">
        <f>IF(SUMIFS('NSE - NIFTY Index Options'!$M:$M,'NSE - NIFTY Index Options'!$C:$C,$A55,'NSE - NIFTY Index Options'!$B:$B,C$4,'NSE - NIFTY Index Options'!$I:$I,"Monthly*")+SUMIFS('NSE - Other Index Options'!$M:$M,'NSE - Other Index Options'!$C:$C,$A55,'NSE - Other Index Options'!$B:$B,C$4,'NSE - Other Index Options'!$I:$I,"Monthly*")=0,"",SUMIFS('NSE - NIFTY Index Options'!$M:$M,'NSE - NIFTY Index Options'!$C:$C,$A55,'NSE - NIFTY Index Options'!$B:$B,C$4,'NSE - NIFTY Index Options'!$I:$I,"Monthly*")+SUMIFS('NSE - Other Index Options'!$M:$M,'NSE - Other Index Options'!$C:$C,$A55,'NSE - Other Index Options'!$B:$B,C$4,'NSE - Other Index Options'!$I:$I,"Monthly*"))</f>
        <v/>
      </c>
      <c r="D55" s="26">
        <f>IF(SUMIFS('NSE - NIFTY Index Options'!$M:$M,'NSE - NIFTY Index Options'!$C:$C,$A55,'NSE - NIFTY Index Options'!$B:$B,D$4,'NSE - NIFTY Index Options'!$I:$I,"Monthly*")+SUMIFS('NSE - Other Index Options'!$M:$M,'NSE - Other Index Options'!$C:$C,$A55,'NSE - Other Index Options'!$B:$B,D$4,'NSE - Other Index Options'!$I:$I,"Monthly*")=0,"",SUMIFS('NSE - NIFTY Index Options'!$M:$M,'NSE - NIFTY Index Options'!$C:$C,$A55,'NSE - NIFTY Index Options'!$B:$B,D$4,'NSE - NIFTY Index Options'!$I:$I,"Monthly*")+SUMIFS('NSE - Other Index Options'!$M:$M,'NSE - Other Index Options'!$C:$C,$A55,'NSE - Other Index Options'!$B:$B,D$4,'NSE - Other Index Options'!$I:$I,"Monthly*"))</f>
        <v/>
      </c>
      <c r="E55" s="26">
        <f>IF(SUMIFS('NSE - NIFTY Index Options'!$M:$M,'NSE - NIFTY Index Options'!$C:$C,$A55,'NSE - NIFTY Index Options'!$B:$B,E$4,'NSE - NIFTY Index Options'!$I:$I,"Monthly*")+SUMIFS('NSE - Other Index Options'!$M:$M,'NSE - Other Index Options'!$C:$C,$A55,'NSE - Other Index Options'!$B:$B,E$4,'NSE - Other Index Options'!$I:$I,"Monthly*")=0,"",SUMIFS('NSE - NIFTY Index Options'!$M:$M,'NSE - NIFTY Index Options'!$C:$C,$A55,'NSE - NIFTY Index Options'!$B:$B,E$4,'NSE - NIFTY Index Options'!$I:$I,"Monthly*")+SUMIFS('NSE - Other Index Options'!$M:$M,'NSE - Other Index Options'!$C:$C,$A55,'NSE - Other Index Options'!$B:$B,E$4,'NSE - Other Index Options'!$I:$I,"Monthly*"))</f>
        <v/>
      </c>
      <c r="F55" s="26">
        <f>IF(SUMIFS('NSE - NIFTY Index Options'!$M:$M,'NSE - NIFTY Index Options'!$C:$C,$A55,'NSE - NIFTY Index Options'!$B:$B,F$4,'NSE - NIFTY Index Options'!$I:$I,"Monthly*")+SUMIFS('NSE - Other Index Options'!$M:$M,'NSE - Other Index Options'!$C:$C,$A55,'NSE - Other Index Options'!$B:$B,F$4,'NSE - Other Index Options'!$I:$I,"Monthly*")=0,"",SUMIFS('NSE - NIFTY Index Options'!$M:$M,'NSE - NIFTY Index Options'!$C:$C,$A55,'NSE - NIFTY Index Options'!$B:$B,F$4,'NSE - NIFTY Index Options'!$I:$I,"Monthly*")+SUMIFS('NSE - Other Index Options'!$M:$M,'NSE - Other Index Options'!$C:$C,$A55,'NSE - Other Index Options'!$B:$B,F$4,'NSE - Other Index Options'!$I:$I,"Monthly*"))</f>
        <v/>
      </c>
      <c r="G55" s="26">
        <f>IF(SUMIFS('NSE - NIFTY Index Options'!$M:$M,'NSE - NIFTY Index Options'!$C:$C,$A55,'NSE - NIFTY Index Options'!$B:$B,G$4,'NSE - NIFTY Index Options'!$I:$I,"Monthly*")+SUMIFS('NSE - Other Index Options'!$M:$M,'NSE - Other Index Options'!$C:$C,$A55,'NSE - Other Index Options'!$B:$B,G$4,'NSE - Other Index Options'!$I:$I,"Monthly*")=0,"",SUMIFS('NSE - NIFTY Index Options'!$M:$M,'NSE - NIFTY Index Options'!$C:$C,$A55,'NSE - NIFTY Index Options'!$B:$B,G$4,'NSE - NIFTY Index Options'!$I:$I,"Monthly*")+SUMIFS('NSE - Other Index Options'!$M:$M,'NSE - Other Index Options'!$C:$C,$A55,'NSE - Other Index Options'!$B:$B,G$4,'NSE - Other Index Options'!$I:$I,"Monthly*"))</f>
        <v/>
      </c>
      <c r="H55" s="26">
        <f>IF(SUM(B55:G55)=0,"",SUM(B55:G55))</f>
        <v/>
      </c>
    </row>
    <row r="56">
      <c r="A56" t="inlineStr">
        <is>
          <t>Week3-Jul-2026</t>
        </is>
      </c>
      <c r="B56" s="26">
        <f>IF(SUMIFS('NSE - NIFTY Index Options'!$M:$M,'NSE - NIFTY Index Options'!$C:$C,$A56,'NSE - NIFTY Index Options'!$B:$B,B$4,'NSE - NIFTY Index Options'!$I:$I,"Monthly*")+SUMIFS('NSE - Other Index Options'!$M:$M,'NSE - Other Index Options'!$C:$C,$A56,'NSE - Other Index Options'!$B:$B,B$4,'NSE - Other Index Options'!$I:$I,"Monthly*")=0,"",SUMIFS('NSE - NIFTY Index Options'!$M:$M,'NSE - NIFTY Index Options'!$C:$C,$A56,'NSE - NIFTY Index Options'!$B:$B,B$4,'NSE - NIFTY Index Options'!$I:$I,"Monthly*")+SUMIFS('NSE - Other Index Options'!$M:$M,'NSE - Other Index Options'!$C:$C,$A56,'NSE - Other Index Options'!$B:$B,B$4,'NSE - Other Index Options'!$I:$I,"Monthly*"))</f>
        <v/>
      </c>
      <c r="C56" s="26">
        <f>IF(SUMIFS('NSE - NIFTY Index Options'!$M:$M,'NSE - NIFTY Index Options'!$C:$C,$A56,'NSE - NIFTY Index Options'!$B:$B,C$4,'NSE - NIFTY Index Options'!$I:$I,"Monthly*")+SUMIFS('NSE - Other Index Options'!$M:$M,'NSE - Other Index Options'!$C:$C,$A56,'NSE - Other Index Options'!$B:$B,C$4,'NSE - Other Index Options'!$I:$I,"Monthly*")=0,"",SUMIFS('NSE - NIFTY Index Options'!$M:$M,'NSE - NIFTY Index Options'!$C:$C,$A56,'NSE - NIFTY Index Options'!$B:$B,C$4,'NSE - NIFTY Index Options'!$I:$I,"Monthly*")+SUMIFS('NSE - Other Index Options'!$M:$M,'NSE - Other Index Options'!$C:$C,$A56,'NSE - Other Index Options'!$B:$B,C$4,'NSE - Other Index Options'!$I:$I,"Monthly*"))</f>
        <v/>
      </c>
      <c r="D56" s="26">
        <f>IF(SUMIFS('NSE - NIFTY Index Options'!$M:$M,'NSE - NIFTY Index Options'!$C:$C,$A56,'NSE - NIFTY Index Options'!$B:$B,D$4,'NSE - NIFTY Index Options'!$I:$I,"Monthly*")+SUMIFS('NSE - Other Index Options'!$M:$M,'NSE - Other Index Options'!$C:$C,$A56,'NSE - Other Index Options'!$B:$B,D$4,'NSE - Other Index Options'!$I:$I,"Monthly*")=0,"",SUMIFS('NSE - NIFTY Index Options'!$M:$M,'NSE - NIFTY Index Options'!$C:$C,$A56,'NSE - NIFTY Index Options'!$B:$B,D$4,'NSE - NIFTY Index Options'!$I:$I,"Monthly*")+SUMIFS('NSE - Other Index Options'!$M:$M,'NSE - Other Index Options'!$C:$C,$A56,'NSE - Other Index Options'!$B:$B,D$4,'NSE - Other Index Options'!$I:$I,"Monthly*"))</f>
        <v/>
      </c>
      <c r="E56" s="26">
        <f>IF(SUMIFS('NSE - NIFTY Index Options'!$M:$M,'NSE - NIFTY Index Options'!$C:$C,$A56,'NSE - NIFTY Index Options'!$B:$B,E$4,'NSE - NIFTY Index Options'!$I:$I,"Monthly*")+SUMIFS('NSE - Other Index Options'!$M:$M,'NSE - Other Index Options'!$C:$C,$A56,'NSE - Other Index Options'!$B:$B,E$4,'NSE - Other Index Options'!$I:$I,"Monthly*")=0,"",SUMIFS('NSE - NIFTY Index Options'!$M:$M,'NSE - NIFTY Index Options'!$C:$C,$A56,'NSE - NIFTY Index Options'!$B:$B,E$4,'NSE - NIFTY Index Options'!$I:$I,"Monthly*")+SUMIFS('NSE - Other Index Options'!$M:$M,'NSE - Other Index Options'!$C:$C,$A56,'NSE - Other Index Options'!$B:$B,E$4,'NSE - Other Index Options'!$I:$I,"Monthly*"))</f>
        <v/>
      </c>
      <c r="F56" s="26">
        <f>IF(SUMIFS('NSE - NIFTY Index Options'!$M:$M,'NSE - NIFTY Index Options'!$C:$C,$A56,'NSE - NIFTY Index Options'!$B:$B,F$4,'NSE - NIFTY Index Options'!$I:$I,"Monthly*")+SUMIFS('NSE - Other Index Options'!$M:$M,'NSE - Other Index Options'!$C:$C,$A56,'NSE - Other Index Options'!$B:$B,F$4,'NSE - Other Index Options'!$I:$I,"Monthly*")=0,"",SUMIFS('NSE - NIFTY Index Options'!$M:$M,'NSE - NIFTY Index Options'!$C:$C,$A56,'NSE - NIFTY Index Options'!$B:$B,F$4,'NSE - NIFTY Index Options'!$I:$I,"Monthly*")+SUMIFS('NSE - Other Index Options'!$M:$M,'NSE - Other Index Options'!$C:$C,$A56,'NSE - Other Index Options'!$B:$B,F$4,'NSE - Other Index Options'!$I:$I,"Monthly*"))</f>
        <v/>
      </c>
      <c r="G56" s="26">
        <f>IF(SUMIFS('NSE - NIFTY Index Options'!$M:$M,'NSE - NIFTY Index Options'!$C:$C,$A56,'NSE - NIFTY Index Options'!$B:$B,G$4,'NSE - NIFTY Index Options'!$I:$I,"Monthly*")+SUMIFS('NSE - Other Index Options'!$M:$M,'NSE - Other Index Options'!$C:$C,$A56,'NSE - Other Index Options'!$B:$B,G$4,'NSE - Other Index Options'!$I:$I,"Monthly*")=0,"",SUMIFS('NSE - NIFTY Index Options'!$M:$M,'NSE - NIFTY Index Options'!$C:$C,$A56,'NSE - NIFTY Index Options'!$B:$B,G$4,'NSE - NIFTY Index Options'!$I:$I,"Monthly*")+SUMIFS('NSE - Other Index Options'!$M:$M,'NSE - Other Index Options'!$C:$C,$A56,'NSE - Other Index Options'!$B:$B,G$4,'NSE - Other Index Options'!$I:$I,"Monthly*"))</f>
        <v/>
      </c>
      <c r="H56" s="26">
        <f>IF(SUM(B56:G56)=0,"",SUM(B56:G56))</f>
        <v/>
      </c>
    </row>
    <row r="57">
      <c r="A57" t="inlineStr">
        <is>
          <t>Week4-Jul-2026</t>
        </is>
      </c>
      <c r="B57" s="26">
        <f>IF(SUMIFS('NSE - NIFTY Index Options'!$M:$M,'NSE - NIFTY Index Options'!$C:$C,$A57,'NSE - NIFTY Index Options'!$B:$B,B$4,'NSE - NIFTY Index Options'!$I:$I,"Monthly*")+SUMIFS('NSE - Other Index Options'!$M:$M,'NSE - Other Index Options'!$C:$C,$A57,'NSE - Other Index Options'!$B:$B,B$4,'NSE - Other Index Options'!$I:$I,"Monthly*")=0,"",SUMIFS('NSE - NIFTY Index Options'!$M:$M,'NSE - NIFTY Index Options'!$C:$C,$A57,'NSE - NIFTY Index Options'!$B:$B,B$4,'NSE - NIFTY Index Options'!$I:$I,"Monthly*")+SUMIFS('NSE - Other Index Options'!$M:$M,'NSE - Other Index Options'!$C:$C,$A57,'NSE - Other Index Options'!$B:$B,B$4,'NSE - Other Index Options'!$I:$I,"Monthly*"))</f>
        <v/>
      </c>
      <c r="C57" s="26">
        <f>IF(SUMIFS('NSE - NIFTY Index Options'!$M:$M,'NSE - NIFTY Index Options'!$C:$C,$A57,'NSE - NIFTY Index Options'!$B:$B,C$4,'NSE - NIFTY Index Options'!$I:$I,"Monthly*")+SUMIFS('NSE - Other Index Options'!$M:$M,'NSE - Other Index Options'!$C:$C,$A57,'NSE - Other Index Options'!$B:$B,C$4,'NSE - Other Index Options'!$I:$I,"Monthly*")=0,"",SUMIFS('NSE - NIFTY Index Options'!$M:$M,'NSE - NIFTY Index Options'!$C:$C,$A57,'NSE - NIFTY Index Options'!$B:$B,C$4,'NSE - NIFTY Index Options'!$I:$I,"Monthly*")+SUMIFS('NSE - Other Index Options'!$M:$M,'NSE - Other Index Options'!$C:$C,$A57,'NSE - Other Index Options'!$B:$B,C$4,'NSE - Other Index Options'!$I:$I,"Monthly*"))</f>
        <v/>
      </c>
      <c r="D57" s="26">
        <f>IF(SUMIFS('NSE - NIFTY Index Options'!$M:$M,'NSE - NIFTY Index Options'!$C:$C,$A57,'NSE - NIFTY Index Options'!$B:$B,D$4,'NSE - NIFTY Index Options'!$I:$I,"Monthly*")+SUMIFS('NSE - Other Index Options'!$M:$M,'NSE - Other Index Options'!$C:$C,$A57,'NSE - Other Index Options'!$B:$B,D$4,'NSE - Other Index Options'!$I:$I,"Monthly*")=0,"",SUMIFS('NSE - NIFTY Index Options'!$M:$M,'NSE - NIFTY Index Options'!$C:$C,$A57,'NSE - NIFTY Index Options'!$B:$B,D$4,'NSE - NIFTY Index Options'!$I:$I,"Monthly*")+SUMIFS('NSE - Other Index Options'!$M:$M,'NSE - Other Index Options'!$C:$C,$A57,'NSE - Other Index Options'!$B:$B,D$4,'NSE - Other Index Options'!$I:$I,"Monthly*"))</f>
        <v/>
      </c>
      <c r="E57" s="26">
        <f>IF(SUMIFS('NSE - NIFTY Index Options'!$M:$M,'NSE - NIFTY Index Options'!$C:$C,$A57,'NSE - NIFTY Index Options'!$B:$B,E$4,'NSE - NIFTY Index Options'!$I:$I,"Monthly*")+SUMIFS('NSE - Other Index Options'!$M:$M,'NSE - Other Index Options'!$C:$C,$A57,'NSE - Other Index Options'!$B:$B,E$4,'NSE - Other Index Options'!$I:$I,"Monthly*")=0,"",SUMIFS('NSE - NIFTY Index Options'!$M:$M,'NSE - NIFTY Index Options'!$C:$C,$A57,'NSE - NIFTY Index Options'!$B:$B,E$4,'NSE - NIFTY Index Options'!$I:$I,"Monthly*")+SUMIFS('NSE - Other Index Options'!$M:$M,'NSE - Other Index Options'!$C:$C,$A57,'NSE - Other Index Options'!$B:$B,E$4,'NSE - Other Index Options'!$I:$I,"Monthly*"))</f>
        <v/>
      </c>
      <c r="F57" s="26">
        <f>IF(SUMIFS('NSE - NIFTY Index Options'!$M:$M,'NSE - NIFTY Index Options'!$C:$C,$A57,'NSE - NIFTY Index Options'!$B:$B,F$4,'NSE - NIFTY Index Options'!$I:$I,"Monthly*")+SUMIFS('NSE - Other Index Options'!$M:$M,'NSE - Other Index Options'!$C:$C,$A57,'NSE - Other Index Options'!$B:$B,F$4,'NSE - Other Index Options'!$I:$I,"Monthly*")=0,"",SUMIFS('NSE - NIFTY Index Options'!$M:$M,'NSE - NIFTY Index Options'!$C:$C,$A57,'NSE - NIFTY Index Options'!$B:$B,F$4,'NSE - NIFTY Index Options'!$I:$I,"Monthly*")+SUMIFS('NSE - Other Index Options'!$M:$M,'NSE - Other Index Options'!$C:$C,$A57,'NSE - Other Index Options'!$B:$B,F$4,'NSE - Other Index Options'!$I:$I,"Monthly*"))</f>
        <v/>
      </c>
      <c r="G57" s="26">
        <f>IF(SUMIFS('NSE - NIFTY Index Options'!$M:$M,'NSE - NIFTY Index Options'!$C:$C,$A57,'NSE - NIFTY Index Options'!$B:$B,G$4,'NSE - NIFTY Index Options'!$I:$I,"Monthly*")+SUMIFS('NSE - Other Index Options'!$M:$M,'NSE - Other Index Options'!$C:$C,$A57,'NSE - Other Index Options'!$B:$B,G$4,'NSE - Other Index Options'!$I:$I,"Monthly*")=0,"",SUMIFS('NSE - NIFTY Index Options'!$M:$M,'NSE - NIFTY Index Options'!$C:$C,$A57,'NSE - NIFTY Index Options'!$B:$B,G$4,'NSE - NIFTY Index Options'!$I:$I,"Monthly*")+SUMIFS('NSE - Other Index Options'!$M:$M,'NSE - Other Index Options'!$C:$C,$A57,'NSE - Other Index Options'!$B:$B,G$4,'NSE - Other Index Options'!$I:$I,"Monthly*"))</f>
        <v/>
      </c>
      <c r="H57" s="26">
        <f>IF(SUM(B57:G57)=0,"",SUM(B57:G57))</f>
        <v/>
      </c>
    </row>
    <row r="58">
      <c r="A58" t="inlineStr">
        <is>
          <t>Week5-Jul-2026</t>
        </is>
      </c>
      <c r="B58" s="26">
        <f>IF(SUMIFS('NSE - NIFTY Index Options'!$M:$M,'NSE - NIFTY Index Options'!$C:$C,$A58,'NSE - NIFTY Index Options'!$B:$B,B$4,'NSE - NIFTY Index Options'!$I:$I,"Monthly*")+SUMIFS('NSE - Other Index Options'!$M:$M,'NSE - Other Index Options'!$C:$C,$A58,'NSE - Other Index Options'!$B:$B,B$4,'NSE - Other Index Options'!$I:$I,"Monthly*")=0,"",SUMIFS('NSE - NIFTY Index Options'!$M:$M,'NSE - NIFTY Index Options'!$C:$C,$A58,'NSE - NIFTY Index Options'!$B:$B,B$4,'NSE - NIFTY Index Options'!$I:$I,"Monthly*")+SUMIFS('NSE - Other Index Options'!$M:$M,'NSE - Other Index Options'!$C:$C,$A58,'NSE - Other Index Options'!$B:$B,B$4,'NSE - Other Index Options'!$I:$I,"Monthly*"))</f>
        <v/>
      </c>
      <c r="C58" s="26">
        <f>IF(SUMIFS('NSE - NIFTY Index Options'!$M:$M,'NSE - NIFTY Index Options'!$C:$C,$A58,'NSE - NIFTY Index Options'!$B:$B,C$4,'NSE - NIFTY Index Options'!$I:$I,"Monthly*")+SUMIFS('NSE - Other Index Options'!$M:$M,'NSE - Other Index Options'!$C:$C,$A58,'NSE - Other Index Options'!$B:$B,C$4,'NSE - Other Index Options'!$I:$I,"Monthly*")=0,"",SUMIFS('NSE - NIFTY Index Options'!$M:$M,'NSE - NIFTY Index Options'!$C:$C,$A58,'NSE - NIFTY Index Options'!$B:$B,C$4,'NSE - NIFTY Index Options'!$I:$I,"Monthly*")+SUMIFS('NSE - Other Index Options'!$M:$M,'NSE - Other Index Options'!$C:$C,$A58,'NSE - Other Index Options'!$B:$B,C$4,'NSE - Other Index Options'!$I:$I,"Monthly*"))</f>
        <v/>
      </c>
      <c r="D58" s="26">
        <f>IF(SUMIFS('NSE - NIFTY Index Options'!$M:$M,'NSE - NIFTY Index Options'!$C:$C,$A58,'NSE - NIFTY Index Options'!$B:$B,D$4,'NSE - NIFTY Index Options'!$I:$I,"Monthly*")+SUMIFS('NSE - Other Index Options'!$M:$M,'NSE - Other Index Options'!$C:$C,$A58,'NSE - Other Index Options'!$B:$B,D$4,'NSE - Other Index Options'!$I:$I,"Monthly*")=0,"",SUMIFS('NSE - NIFTY Index Options'!$M:$M,'NSE - NIFTY Index Options'!$C:$C,$A58,'NSE - NIFTY Index Options'!$B:$B,D$4,'NSE - NIFTY Index Options'!$I:$I,"Monthly*")+SUMIFS('NSE - Other Index Options'!$M:$M,'NSE - Other Index Options'!$C:$C,$A58,'NSE - Other Index Options'!$B:$B,D$4,'NSE - Other Index Options'!$I:$I,"Monthly*"))</f>
        <v/>
      </c>
      <c r="E58" s="26">
        <f>IF(SUMIFS('NSE - NIFTY Index Options'!$M:$M,'NSE - NIFTY Index Options'!$C:$C,$A58,'NSE - NIFTY Index Options'!$B:$B,E$4,'NSE - NIFTY Index Options'!$I:$I,"Monthly*")+SUMIFS('NSE - Other Index Options'!$M:$M,'NSE - Other Index Options'!$C:$C,$A58,'NSE - Other Index Options'!$B:$B,E$4,'NSE - Other Index Options'!$I:$I,"Monthly*")=0,"",SUMIFS('NSE - NIFTY Index Options'!$M:$M,'NSE - NIFTY Index Options'!$C:$C,$A58,'NSE - NIFTY Index Options'!$B:$B,E$4,'NSE - NIFTY Index Options'!$I:$I,"Monthly*")+SUMIFS('NSE - Other Index Options'!$M:$M,'NSE - Other Index Options'!$C:$C,$A58,'NSE - Other Index Options'!$B:$B,E$4,'NSE - Other Index Options'!$I:$I,"Monthly*"))</f>
        <v/>
      </c>
      <c r="F58" s="26">
        <f>IF(SUMIFS('NSE - NIFTY Index Options'!$M:$M,'NSE - NIFTY Index Options'!$C:$C,$A58,'NSE - NIFTY Index Options'!$B:$B,F$4,'NSE - NIFTY Index Options'!$I:$I,"Monthly*")+SUMIFS('NSE - Other Index Options'!$M:$M,'NSE - Other Index Options'!$C:$C,$A58,'NSE - Other Index Options'!$B:$B,F$4,'NSE - Other Index Options'!$I:$I,"Monthly*")=0,"",SUMIFS('NSE - NIFTY Index Options'!$M:$M,'NSE - NIFTY Index Options'!$C:$C,$A58,'NSE - NIFTY Index Options'!$B:$B,F$4,'NSE - NIFTY Index Options'!$I:$I,"Monthly*")+SUMIFS('NSE - Other Index Options'!$M:$M,'NSE - Other Index Options'!$C:$C,$A58,'NSE - Other Index Options'!$B:$B,F$4,'NSE - Other Index Options'!$I:$I,"Monthly*"))</f>
        <v/>
      </c>
      <c r="G58" s="26">
        <f>IF(SUMIFS('NSE - NIFTY Index Options'!$M:$M,'NSE - NIFTY Index Options'!$C:$C,$A58,'NSE - NIFTY Index Options'!$B:$B,G$4,'NSE - NIFTY Index Options'!$I:$I,"Monthly*")+SUMIFS('NSE - Other Index Options'!$M:$M,'NSE - Other Index Options'!$C:$C,$A58,'NSE - Other Index Options'!$B:$B,G$4,'NSE - Other Index Options'!$I:$I,"Monthly*")=0,"",SUMIFS('NSE - NIFTY Index Options'!$M:$M,'NSE - NIFTY Index Options'!$C:$C,$A58,'NSE - NIFTY Index Options'!$B:$B,G$4,'NSE - NIFTY Index Options'!$I:$I,"Monthly*")+SUMIFS('NSE - Other Index Options'!$M:$M,'NSE - Other Index Options'!$C:$C,$A58,'NSE - Other Index Options'!$B:$B,G$4,'NSE - Other Index Options'!$I:$I,"Monthly*"))</f>
        <v/>
      </c>
      <c r="H58" s="26">
        <f>IF(SUM(B58:G58)=0,"",SUM(B58:G58))</f>
        <v/>
      </c>
    </row>
    <row r="59">
      <c r="A59" t="inlineStr">
        <is>
          <t>Week1-Aug-2026</t>
        </is>
      </c>
      <c r="B59" s="26">
        <f>IF(SUMIFS('NSE - NIFTY Index Options'!$M:$M,'NSE - NIFTY Index Options'!$C:$C,$A59,'NSE - NIFTY Index Options'!$B:$B,B$4,'NSE - NIFTY Index Options'!$I:$I,"Monthly*")+SUMIFS('NSE - Other Index Options'!$M:$M,'NSE - Other Index Options'!$C:$C,$A59,'NSE - Other Index Options'!$B:$B,B$4,'NSE - Other Index Options'!$I:$I,"Monthly*")=0,"",SUMIFS('NSE - NIFTY Index Options'!$M:$M,'NSE - NIFTY Index Options'!$C:$C,$A59,'NSE - NIFTY Index Options'!$B:$B,B$4,'NSE - NIFTY Index Options'!$I:$I,"Monthly*")+SUMIFS('NSE - Other Index Options'!$M:$M,'NSE - Other Index Options'!$C:$C,$A59,'NSE - Other Index Options'!$B:$B,B$4,'NSE - Other Index Options'!$I:$I,"Monthly*"))</f>
        <v/>
      </c>
      <c r="C59" s="26">
        <f>IF(SUMIFS('NSE - NIFTY Index Options'!$M:$M,'NSE - NIFTY Index Options'!$C:$C,$A59,'NSE - NIFTY Index Options'!$B:$B,C$4,'NSE - NIFTY Index Options'!$I:$I,"Monthly*")+SUMIFS('NSE - Other Index Options'!$M:$M,'NSE - Other Index Options'!$C:$C,$A59,'NSE - Other Index Options'!$B:$B,C$4,'NSE - Other Index Options'!$I:$I,"Monthly*")=0,"",SUMIFS('NSE - NIFTY Index Options'!$M:$M,'NSE - NIFTY Index Options'!$C:$C,$A59,'NSE - NIFTY Index Options'!$B:$B,C$4,'NSE - NIFTY Index Options'!$I:$I,"Monthly*")+SUMIFS('NSE - Other Index Options'!$M:$M,'NSE - Other Index Options'!$C:$C,$A59,'NSE - Other Index Options'!$B:$B,C$4,'NSE - Other Index Options'!$I:$I,"Monthly*"))</f>
        <v/>
      </c>
      <c r="D59" s="26">
        <f>IF(SUMIFS('NSE - NIFTY Index Options'!$M:$M,'NSE - NIFTY Index Options'!$C:$C,$A59,'NSE - NIFTY Index Options'!$B:$B,D$4,'NSE - NIFTY Index Options'!$I:$I,"Monthly*")+SUMIFS('NSE - Other Index Options'!$M:$M,'NSE - Other Index Options'!$C:$C,$A59,'NSE - Other Index Options'!$B:$B,D$4,'NSE - Other Index Options'!$I:$I,"Monthly*")=0,"",SUMIFS('NSE - NIFTY Index Options'!$M:$M,'NSE - NIFTY Index Options'!$C:$C,$A59,'NSE - NIFTY Index Options'!$B:$B,D$4,'NSE - NIFTY Index Options'!$I:$I,"Monthly*")+SUMIFS('NSE - Other Index Options'!$M:$M,'NSE - Other Index Options'!$C:$C,$A59,'NSE - Other Index Options'!$B:$B,D$4,'NSE - Other Index Options'!$I:$I,"Monthly*"))</f>
        <v/>
      </c>
      <c r="E59" s="26">
        <f>IF(SUMIFS('NSE - NIFTY Index Options'!$M:$M,'NSE - NIFTY Index Options'!$C:$C,$A59,'NSE - NIFTY Index Options'!$B:$B,E$4,'NSE - NIFTY Index Options'!$I:$I,"Monthly*")+SUMIFS('NSE - Other Index Options'!$M:$M,'NSE - Other Index Options'!$C:$C,$A59,'NSE - Other Index Options'!$B:$B,E$4,'NSE - Other Index Options'!$I:$I,"Monthly*")=0,"",SUMIFS('NSE - NIFTY Index Options'!$M:$M,'NSE - NIFTY Index Options'!$C:$C,$A59,'NSE - NIFTY Index Options'!$B:$B,E$4,'NSE - NIFTY Index Options'!$I:$I,"Monthly*")+SUMIFS('NSE - Other Index Options'!$M:$M,'NSE - Other Index Options'!$C:$C,$A59,'NSE - Other Index Options'!$B:$B,E$4,'NSE - Other Index Options'!$I:$I,"Monthly*"))</f>
        <v/>
      </c>
      <c r="F59" s="26">
        <f>IF(SUMIFS('NSE - NIFTY Index Options'!$M:$M,'NSE - NIFTY Index Options'!$C:$C,$A59,'NSE - NIFTY Index Options'!$B:$B,F$4,'NSE - NIFTY Index Options'!$I:$I,"Monthly*")+SUMIFS('NSE - Other Index Options'!$M:$M,'NSE - Other Index Options'!$C:$C,$A59,'NSE - Other Index Options'!$B:$B,F$4,'NSE - Other Index Options'!$I:$I,"Monthly*")=0,"",SUMIFS('NSE - NIFTY Index Options'!$M:$M,'NSE - NIFTY Index Options'!$C:$C,$A59,'NSE - NIFTY Index Options'!$B:$B,F$4,'NSE - NIFTY Index Options'!$I:$I,"Monthly*")+SUMIFS('NSE - Other Index Options'!$M:$M,'NSE - Other Index Options'!$C:$C,$A59,'NSE - Other Index Options'!$B:$B,F$4,'NSE - Other Index Options'!$I:$I,"Monthly*"))</f>
        <v/>
      </c>
      <c r="G59" s="26">
        <f>IF(SUMIFS('NSE - NIFTY Index Options'!$M:$M,'NSE - NIFTY Index Options'!$C:$C,$A59,'NSE - NIFTY Index Options'!$B:$B,G$4,'NSE - NIFTY Index Options'!$I:$I,"Monthly*")+SUMIFS('NSE - Other Index Options'!$M:$M,'NSE - Other Index Options'!$C:$C,$A59,'NSE - Other Index Options'!$B:$B,G$4,'NSE - Other Index Options'!$I:$I,"Monthly*")=0,"",SUMIFS('NSE - NIFTY Index Options'!$M:$M,'NSE - NIFTY Index Options'!$C:$C,$A59,'NSE - NIFTY Index Options'!$B:$B,G$4,'NSE - NIFTY Index Options'!$I:$I,"Monthly*")+SUMIFS('NSE - Other Index Options'!$M:$M,'NSE - Other Index Options'!$C:$C,$A59,'NSE - Other Index Options'!$B:$B,G$4,'NSE - Other Index Options'!$I:$I,"Monthly*"))</f>
        <v/>
      </c>
      <c r="H59" s="26">
        <f>IF(SUM(B59:G59)=0,"",SUM(B59:G59))</f>
        <v/>
      </c>
    </row>
    <row r="60" hidden="1" outlineLevel="1">
      <c r="A60" t="inlineStr">
        <is>
          <t>Week2-Aug-2026</t>
        </is>
      </c>
      <c r="B60" s="26">
        <f>IF(SUMIFS('NSE - NIFTY Index Options'!$M:$M,'NSE - NIFTY Index Options'!$C:$C,$A60,'NSE - NIFTY Index Options'!$B:$B,B$4,'NSE - NIFTY Index Options'!$I:$I,"Monthly*")+SUMIFS('NSE - Other Index Options'!$M:$M,'NSE - Other Index Options'!$C:$C,$A60,'NSE - Other Index Options'!$B:$B,B$4,'NSE - Other Index Options'!$I:$I,"Monthly*")=0,"",SUMIFS('NSE - NIFTY Index Options'!$M:$M,'NSE - NIFTY Index Options'!$C:$C,$A60,'NSE - NIFTY Index Options'!$B:$B,B$4,'NSE - NIFTY Index Options'!$I:$I,"Monthly*")+SUMIFS('NSE - Other Index Options'!$M:$M,'NSE - Other Index Options'!$C:$C,$A60,'NSE - Other Index Options'!$B:$B,B$4,'NSE - Other Index Options'!$I:$I,"Monthly*"))</f>
        <v/>
      </c>
      <c r="C60" s="26">
        <f>IF(SUMIFS('NSE - NIFTY Index Options'!$M:$M,'NSE - NIFTY Index Options'!$C:$C,$A60,'NSE - NIFTY Index Options'!$B:$B,C$4,'NSE - NIFTY Index Options'!$I:$I,"Monthly*")+SUMIFS('NSE - Other Index Options'!$M:$M,'NSE - Other Index Options'!$C:$C,$A60,'NSE - Other Index Options'!$B:$B,C$4,'NSE - Other Index Options'!$I:$I,"Monthly*")=0,"",SUMIFS('NSE - NIFTY Index Options'!$M:$M,'NSE - NIFTY Index Options'!$C:$C,$A60,'NSE - NIFTY Index Options'!$B:$B,C$4,'NSE - NIFTY Index Options'!$I:$I,"Monthly*")+SUMIFS('NSE - Other Index Options'!$M:$M,'NSE - Other Index Options'!$C:$C,$A60,'NSE - Other Index Options'!$B:$B,C$4,'NSE - Other Index Options'!$I:$I,"Monthly*"))</f>
        <v/>
      </c>
      <c r="D60" s="26">
        <f>IF(SUMIFS('NSE - NIFTY Index Options'!$M:$M,'NSE - NIFTY Index Options'!$C:$C,$A60,'NSE - NIFTY Index Options'!$B:$B,D$4,'NSE - NIFTY Index Options'!$I:$I,"Monthly*")+SUMIFS('NSE - Other Index Options'!$M:$M,'NSE - Other Index Options'!$C:$C,$A60,'NSE - Other Index Options'!$B:$B,D$4,'NSE - Other Index Options'!$I:$I,"Monthly*")=0,"",SUMIFS('NSE - NIFTY Index Options'!$M:$M,'NSE - NIFTY Index Options'!$C:$C,$A60,'NSE - NIFTY Index Options'!$B:$B,D$4,'NSE - NIFTY Index Options'!$I:$I,"Monthly*")+SUMIFS('NSE - Other Index Options'!$M:$M,'NSE - Other Index Options'!$C:$C,$A60,'NSE - Other Index Options'!$B:$B,D$4,'NSE - Other Index Options'!$I:$I,"Monthly*"))</f>
        <v/>
      </c>
      <c r="E60" s="26">
        <f>IF(SUMIFS('NSE - NIFTY Index Options'!$M:$M,'NSE - NIFTY Index Options'!$C:$C,$A60,'NSE - NIFTY Index Options'!$B:$B,E$4,'NSE - NIFTY Index Options'!$I:$I,"Monthly*")+SUMIFS('NSE - Other Index Options'!$M:$M,'NSE - Other Index Options'!$C:$C,$A60,'NSE - Other Index Options'!$B:$B,E$4,'NSE - Other Index Options'!$I:$I,"Monthly*")=0,"",SUMIFS('NSE - NIFTY Index Options'!$M:$M,'NSE - NIFTY Index Options'!$C:$C,$A60,'NSE - NIFTY Index Options'!$B:$B,E$4,'NSE - NIFTY Index Options'!$I:$I,"Monthly*")+SUMIFS('NSE - Other Index Options'!$M:$M,'NSE - Other Index Options'!$C:$C,$A60,'NSE - Other Index Options'!$B:$B,E$4,'NSE - Other Index Options'!$I:$I,"Monthly*"))</f>
        <v/>
      </c>
      <c r="F60" s="26">
        <f>IF(SUMIFS('NSE - NIFTY Index Options'!$M:$M,'NSE - NIFTY Index Options'!$C:$C,$A60,'NSE - NIFTY Index Options'!$B:$B,F$4,'NSE - NIFTY Index Options'!$I:$I,"Monthly*")+SUMIFS('NSE - Other Index Options'!$M:$M,'NSE - Other Index Options'!$C:$C,$A60,'NSE - Other Index Options'!$B:$B,F$4,'NSE - Other Index Options'!$I:$I,"Monthly*")=0,"",SUMIFS('NSE - NIFTY Index Options'!$M:$M,'NSE - NIFTY Index Options'!$C:$C,$A60,'NSE - NIFTY Index Options'!$B:$B,F$4,'NSE - NIFTY Index Options'!$I:$I,"Monthly*")+SUMIFS('NSE - Other Index Options'!$M:$M,'NSE - Other Index Options'!$C:$C,$A60,'NSE - Other Index Options'!$B:$B,F$4,'NSE - Other Index Options'!$I:$I,"Monthly*"))</f>
        <v/>
      </c>
      <c r="G60" s="26">
        <f>IF(SUMIFS('NSE - NIFTY Index Options'!$M:$M,'NSE - NIFTY Index Options'!$C:$C,$A60,'NSE - NIFTY Index Options'!$B:$B,G$4,'NSE - NIFTY Index Options'!$I:$I,"Monthly*")+SUMIFS('NSE - Other Index Options'!$M:$M,'NSE - Other Index Options'!$C:$C,$A60,'NSE - Other Index Options'!$B:$B,G$4,'NSE - Other Index Options'!$I:$I,"Monthly*")=0,"",SUMIFS('NSE - NIFTY Index Options'!$M:$M,'NSE - NIFTY Index Options'!$C:$C,$A60,'NSE - NIFTY Index Options'!$B:$B,G$4,'NSE - NIFTY Index Options'!$I:$I,"Monthly*")+SUMIFS('NSE - Other Index Options'!$M:$M,'NSE - Other Index Options'!$C:$C,$A60,'NSE - Other Index Options'!$B:$B,G$4,'NSE - Other Index Options'!$I:$I,"Monthly*"))</f>
        <v/>
      </c>
      <c r="H60" s="26">
        <f>IF(SUM(B60:G60)=0,"",SUM(B60:G60))</f>
        <v/>
      </c>
    </row>
    <row r="61" hidden="1" outlineLevel="1">
      <c r="A61" t="inlineStr">
        <is>
          <t>Week3-Aug-2026</t>
        </is>
      </c>
      <c r="B61" s="26">
        <f>IF(SUMIFS('NSE - NIFTY Index Options'!$M:$M,'NSE - NIFTY Index Options'!$C:$C,$A61,'NSE - NIFTY Index Options'!$B:$B,B$4,'NSE - NIFTY Index Options'!$I:$I,"Monthly*")+SUMIFS('NSE - Other Index Options'!$M:$M,'NSE - Other Index Options'!$C:$C,$A61,'NSE - Other Index Options'!$B:$B,B$4,'NSE - Other Index Options'!$I:$I,"Monthly*")=0,"",SUMIFS('NSE - NIFTY Index Options'!$M:$M,'NSE - NIFTY Index Options'!$C:$C,$A61,'NSE - NIFTY Index Options'!$B:$B,B$4,'NSE - NIFTY Index Options'!$I:$I,"Monthly*")+SUMIFS('NSE - Other Index Options'!$M:$M,'NSE - Other Index Options'!$C:$C,$A61,'NSE - Other Index Options'!$B:$B,B$4,'NSE - Other Index Options'!$I:$I,"Monthly*"))</f>
        <v/>
      </c>
      <c r="C61" s="26">
        <f>IF(SUMIFS('NSE - NIFTY Index Options'!$M:$M,'NSE - NIFTY Index Options'!$C:$C,$A61,'NSE - NIFTY Index Options'!$B:$B,C$4,'NSE - NIFTY Index Options'!$I:$I,"Monthly*")+SUMIFS('NSE - Other Index Options'!$M:$M,'NSE - Other Index Options'!$C:$C,$A61,'NSE - Other Index Options'!$B:$B,C$4,'NSE - Other Index Options'!$I:$I,"Monthly*")=0,"",SUMIFS('NSE - NIFTY Index Options'!$M:$M,'NSE - NIFTY Index Options'!$C:$C,$A61,'NSE - NIFTY Index Options'!$B:$B,C$4,'NSE - NIFTY Index Options'!$I:$I,"Monthly*")+SUMIFS('NSE - Other Index Options'!$M:$M,'NSE - Other Index Options'!$C:$C,$A61,'NSE - Other Index Options'!$B:$B,C$4,'NSE - Other Index Options'!$I:$I,"Monthly*"))</f>
        <v/>
      </c>
      <c r="D61" s="26">
        <f>IF(SUMIFS('NSE - NIFTY Index Options'!$M:$M,'NSE - NIFTY Index Options'!$C:$C,$A61,'NSE - NIFTY Index Options'!$B:$B,D$4,'NSE - NIFTY Index Options'!$I:$I,"Monthly*")+SUMIFS('NSE - Other Index Options'!$M:$M,'NSE - Other Index Options'!$C:$C,$A61,'NSE - Other Index Options'!$B:$B,D$4,'NSE - Other Index Options'!$I:$I,"Monthly*")=0,"",SUMIFS('NSE - NIFTY Index Options'!$M:$M,'NSE - NIFTY Index Options'!$C:$C,$A61,'NSE - NIFTY Index Options'!$B:$B,D$4,'NSE - NIFTY Index Options'!$I:$I,"Monthly*")+SUMIFS('NSE - Other Index Options'!$M:$M,'NSE - Other Index Options'!$C:$C,$A61,'NSE - Other Index Options'!$B:$B,D$4,'NSE - Other Index Options'!$I:$I,"Monthly*"))</f>
        <v/>
      </c>
      <c r="E61" s="26">
        <f>IF(SUMIFS('NSE - NIFTY Index Options'!$M:$M,'NSE - NIFTY Index Options'!$C:$C,$A61,'NSE - NIFTY Index Options'!$B:$B,E$4,'NSE - NIFTY Index Options'!$I:$I,"Monthly*")+SUMIFS('NSE - Other Index Options'!$M:$M,'NSE - Other Index Options'!$C:$C,$A61,'NSE - Other Index Options'!$B:$B,E$4,'NSE - Other Index Options'!$I:$I,"Monthly*")=0,"",SUMIFS('NSE - NIFTY Index Options'!$M:$M,'NSE - NIFTY Index Options'!$C:$C,$A61,'NSE - NIFTY Index Options'!$B:$B,E$4,'NSE - NIFTY Index Options'!$I:$I,"Monthly*")+SUMIFS('NSE - Other Index Options'!$M:$M,'NSE - Other Index Options'!$C:$C,$A61,'NSE - Other Index Options'!$B:$B,E$4,'NSE - Other Index Options'!$I:$I,"Monthly*"))</f>
        <v/>
      </c>
      <c r="F61" s="26">
        <f>IF(SUMIFS('NSE - NIFTY Index Options'!$M:$M,'NSE - NIFTY Index Options'!$C:$C,$A61,'NSE - NIFTY Index Options'!$B:$B,F$4,'NSE - NIFTY Index Options'!$I:$I,"Monthly*")+SUMIFS('NSE - Other Index Options'!$M:$M,'NSE - Other Index Options'!$C:$C,$A61,'NSE - Other Index Options'!$B:$B,F$4,'NSE - Other Index Options'!$I:$I,"Monthly*")=0,"",SUMIFS('NSE - NIFTY Index Options'!$M:$M,'NSE - NIFTY Index Options'!$C:$C,$A61,'NSE - NIFTY Index Options'!$B:$B,F$4,'NSE - NIFTY Index Options'!$I:$I,"Monthly*")+SUMIFS('NSE - Other Index Options'!$M:$M,'NSE - Other Index Options'!$C:$C,$A61,'NSE - Other Index Options'!$B:$B,F$4,'NSE - Other Index Options'!$I:$I,"Monthly*"))</f>
        <v/>
      </c>
      <c r="G61" s="26">
        <f>IF(SUMIFS('NSE - NIFTY Index Options'!$M:$M,'NSE - NIFTY Index Options'!$C:$C,$A61,'NSE - NIFTY Index Options'!$B:$B,G$4,'NSE - NIFTY Index Options'!$I:$I,"Monthly*")+SUMIFS('NSE - Other Index Options'!$M:$M,'NSE - Other Index Options'!$C:$C,$A61,'NSE - Other Index Options'!$B:$B,G$4,'NSE - Other Index Options'!$I:$I,"Monthly*")=0,"",SUMIFS('NSE - NIFTY Index Options'!$M:$M,'NSE - NIFTY Index Options'!$C:$C,$A61,'NSE - NIFTY Index Options'!$B:$B,G$4,'NSE - NIFTY Index Options'!$I:$I,"Monthly*")+SUMIFS('NSE - Other Index Options'!$M:$M,'NSE - Other Index Options'!$C:$C,$A61,'NSE - Other Index Options'!$B:$B,G$4,'NSE - Other Index Options'!$I:$I,"Monthly*"))</f>
        <v/>
      </c>
      <c r="H61" s="26">
        <f>IF(SUM(B61:G61)=0,"",SUM(B61:G61))</f>
        <v/>
      </c>
    </row>
    <row r="62" hidden="1" outlineLevel="1">
      <c r="A62" t="inlineStr">
        <is>
          <t>Week4-Aug-2026</t>
        </is>
      </c>
      <c r="B62" s="26">
        <f>IF(SUMIFS('NSE - NIFTY Index Options'!$M:$M,'NSE - NIFTY Index Options'!$C:$C,$A62,'NSE - NIFTY Index Options'!$B:$B,B$4,'NSE - NIFTY Index Options'!$I:$I,"Monthly*")+SUMIFS('NSE - Other Index Options'!$M:$M,'NSE - Other Index Options'!$C:$C,$A62,'NSE - Other Index Options'!$B:$B,B$4,'NSE - Other Index Options'!$I:$I,"Monthly*")=0,"",SUMIFS('NSE - NIFTY Index Options'!$M:$M,'NSE - NIFTY Index Options'!$C:$C,$A62,'NSE - NIFTY Index Options'!$B:$B,B$4,'NSE - NIFTY Index Options'!$I:$I,"Monthly*")+SUMIFS('NSE - Other Index Options'!$M:$M,'NSE - Other Index Options'!$C:$C,$A62,'NSE - Other Index Options'!$B:$B,B$4,'NSE - Other Index Options'!$I:$I,"Monthly*"))</f>
        <v/>
      </c>
      <c r="C62" s="26">
        <f>IF(SUMIFS('NSE - NIFTY Index Options'!$M:$M,'NSE - NIFTY Index Options'!$C:$C,$A62,'NSE - NIFTY Index Options'!$B:$B,C$4,'NSE - NIFTY Index Options'!$I:$I,"Monthly*")+SUMIFS('NSE - Other Index Options'!$M:$M,'NSE - Other Index Options'!$C:$C,$A62,'NSE - Other Index Options'!$B:$B,C$4,'NSE - Other Index Options'!$I:$I,"Monthly*")=0,"",SUMIFS('NSE - NIFTY Index Options'!$M:$M,'NSE - NIFTY Index Options'!$C:$C,$A62,'NSE - NIFTY Index Options'!$B:$B,C$4,'NSE - NIFTY Index Options'!$I:$I,"Monthly*")+SUMIFS('NSE - Other Index Options'!$M:$M,'NSE - Other Index Options'!$C:$C,$A62,'NSE - Other Index Options'!$B:$B,C$4,'NSE - Other Index Options'!$I:$I,"Monthly*"))</f>
        <v/>
      </c>
      <c r="D62" s="26">
        <f>IF(SUMIFS('NSE - NIFTY Index Options'!$M:$M,'NSE - NIFTY Index Options'!$C:$C,$A62,'NSE - NIFTY Index Options'!$B:$B,D$4,'NSE - NIFTY Index Options'!$I:$I,"Monthly*")+SUMIFS('NSE - Other Index Options'!$M:$M,'NSE - Other Index Options'!$C:$C,$A62,'NSE - Other Index Options'!$B:$B,D$4,'NSE - Other Index Options'!$I:$I,"Monthly*")=0,"",SUMIFS('NSE - NIFTY Index Options'!$M:$M,'NSE - NIFTY Index Options'!$C:$C,$A62,'NSE - NIFTY Index Options'!$B:$B,D$4,'NSE - NIFTY Index Options'!$I:$I,"Monthly*")+SUMIFS('NSE - Other Index Options'!$M:$M,'NSE - Other Index Options'!$C:$C,$A62,'NSE - Other Index Options'!$B:$B,D$4,'NSE - Other Index Options'!$I:$I,"Monthly*"))</f>
        <v/>
      </c>
      <c r="E62" s="26">
        <f>IF(SUMIFS('NSE - NIFTY Index Options'!$M:$M,'NSE - NIFTY Index Options'!$C:$C,$A62,'NSE - NIFTY Index Options'!$B:$B,E$4,'NSE - NIFTY Index Options'!$I:$I,"Monthly*")+SUMIFS('NSE - Other Index Options'!$M:$M,'NSE - Other Index Options'!$C:$C,$A62,'NSE - Other Index Options'!$B:$B,E$4,'NSE - Other Index Options'!$I:$I,"Monthly*")=0,"",SUMIFS('NSE - NIFTY Index Options'!$M:$M,'NSE - NIFTY Index Options'!$C:$C,$A62,'NSE - NIFTY Index Options'!$B:$B,E$4,'NSE - NIFTY Index Options'!$I:$I,"Monthly*")+SUMIFS('NSE - Other Index Options'!$M:$M,'NSE - Other Index Options'!$C:$C,$A62,'NSE - Other Index Options'!$B:$B,E$4,'NSE - Other Index Options'!$I:$I,"Monthly*"))</f>
        <v/>
      </c>
      <c r="F62" s="26">
        <f>IF(SUMIFS('NSE - NIFTY Index Options'!$M:$M,'NSE - NIFTY Index Options'!$C:$C,$A62,'NSE - NIFTY Index Options'!$B:$B,F$4,'NSE - NIFTY Index Options'!$I:$I,"Monthly*")+SUMIFS('NSE - Other Index Options'!$M:$M,'NSE - Other Index Options'!$C:$C,$A62,'NSE - Other Index Options'!$B:$B,F$4,'NSE - Other Index Options'!$I:$I,"Monthly*")=0,"",SUMIFS('NSE - NIFTY Index Options'!$M:$M,'NSE - NIFTY Index Options'!$C:$C,$A62,'NSE - NIFTY Index Options'!$B:$B,F$4,'NSE - NIFTY Index Options'!$I:$I,"Monthly*")+SUMIFS('NSE - Other Index Options'!$M:$M,'NSE - Other Index Options'!$C:$C,$A62,'NSE - Other Index Options'!$B:$B,F$4,'NSE - Other Index Options'!$I:$I,"Monthly*"))</f>
        <v/>
      </c>
      <c r="G62" s="26">
        <f>IF(SUMIFS('NSE - NIFTY Index Options'!$M:$M,'NSE - NIFTY Index Options'!$C:$C,$A62,'NSE - NIFTY Index Options'!$B:$B,G$4,'NSE - NIFTY Index Options'!$I:$I,"Monthly*")+SUMIFS('NSE - Other Index Options'!$M:$M,'NSE - Other Index Options'!$C:$C,$A62,'NSE - Other Index Options'!$B:$B,G$4,'NSE - Other Index Options'!$I:$I,"Monthly*")=0,"",SUMIFS('NSE - NIFTY Index Options'!$M:$M,'NSE - NIFTY Index Options'!$C:$C,$A62,'NSE - NIFTY Index Options'!$B:$B,G$4,'NSE - NIFTY Index Options'!$I:$I,"Monthly*")+SUMIFS('NSE - Other Index Options'!$M:$M,'NSE - Other Index Options'!$C:$C,$A62,'NSE - Other Index Options'!$B:$B,G$4,'NSE - Other Index Options'!$I:$I,"Monthly*"))</f>
        <v/>
      </c>
      <c r="H62" s="26">
        <f>IF(SUM(B62:G62)=0,"",SUM(B62:G62))</f>
        <v/>
      </c>
    </row>
    <row r="63" hidden="1" outlineLevel="1">
      <c r="A63" t="inlineStr">
        <is>
          <t>Week5-Aug-2026</t>
        </is>
      </c>
      <c r="B63" s="26">
        <f>IF(SUMIFS('NSE - NIFTY Index Options'!$M:$M,'NSE - NIFTY Index Options'!$C:$C,$A63,'NSE - NIFTY Index Options'!$B:$B,B$4,'NSE - NIFTY Index Options'!$I:$I,"Monthly*")+SUMIFS('NSE - Other Index Options'!$M:$M,'NSE - Other Index Options'!$C:$C,$A63,'NSE - Other Index Options'!$B:$B,B$4,'NSE - Other Index Options'!$I:$I,"Monthly*")=0,"",SUMIFS('NSE - NIFTY Index Options'!$M:$M,'NSE - NIFTY Index Options'!$C:$C,$A63,'NSE - NIFTY Index Options'!$B:$B,B$4,'NSE - NIFTY Index Options'!$I:$I,"Monthly*")+SUMIFS('NSE - Other Index Options'!$M:$M,'NSE - Other Index Options'!$C:$C,$A63,'NSE - Other Index Options'!$B:$B,B$4,'NSE - Other Index Options'!$I:$I,"Monthly*"))</f>
        <v/>
      </c>
      <c r="C63" s="26">
        <f>IF(SUMIFS('NSE - NIFTY Index Options'!$M:$M,'NSE - NIFTY Index Options'!$C:$C,$A63,'NSE - NIFTY Index Options'!$B:$B,C$4,'NSE - NIFTY Index Options'!$I:$I,"Monthly*")+SUMIFS('NSE - Other Index Options'!$M:$M,'NSE - Other Index Options'!$C:$C,$A63,'NSE - Other Index Options'!$B:$B,C$4,'NSE - Other Index Options'!$I:$I,"Monthly*")=0,"",SUMIFS('NSE - NIFTY Index Options'!$M:$M,'NSE - NIFTY Index Options'!$C:$C,$A63,'NSE - NIFTY Index Options'!$B:$B,C$4,'NSE - NIFTY Index Options'!$I:$I,"Monthly*")+SUMIFS('NSE - Other Index Options'!$M:$M,'NSE - Other Index Options'!$C:$C,$A63,'NSE - Other Index Options'!$B:$B,C$4,'NSE - Other Index Options'!$I:$I,"Monthly*"))</f>
        <v/>
      </c>
      <c r="D63" s="26">
        <f>IF(SUMIFS('NSE - NIFTY Index Options'!$M:$M,'NSE - NIFTY Index Options'!$C:$C,$A63,'NSE - NIFTY Index Options'!$B:$B,D$4,'NSE - NIFTY Index Options'!$I:$I,"Monthly*")+SUMIFS('NSE - Other Index Options'!$M:$M,'NSE - Other Index Options'!$C:$C,$A63,'NSE - Other Index Options'!$B:$B,D$4,'NSE - Other Index Options'!$I:$I,"Monthly*")=0,"",SUMIFS('NSE - NIFTY Index Options'!$M:$M,'NSE - NIFTY Index Options'!$C:$C,$A63,'NSE - NIFTY Index Options'!$B:$B,D$4,'NSE - NIFTY Index Options'!$I:$I,"Monthly*")+SUMIFS('NSE - Other Index Options'!$M:$M,'NSE - Other Index Options'!$C:$C,$A63,'NSE - Other Index Options'!$B:$B,D$4,'NSE - Other Index Options'!$I:$I,"Monthly*"))</f>
        <v/>
      </c>
      <c r="E63" s="26">
        <f>IF(SUMIFS('NSE - NIFTY Index Options'!$M:$M,'NSE - NIFTY Index Options'!$C:$C,$A63,'NSE - NIFTY Index Options'!$B:$B,E$4,'NSE - NIFTY Index Options'!$I:$I,"Monthly*")+SUMIFS('NSE - Other Index Options'!$M:$M,'NSE - Other Index Options'!$C:$C,$A63,'NSE - Other Index Options'!$B:$B,E$4,'NSE - Other Index Options'!$I:$I,"Monthly*")=0,"",SUMIFS('NSE - NIFTY Index Options'!$M:$M,'NSE - NIFTY Index Options'!$C:$C,$A63,'NSE - NIFTY Index Options'!$B:$B,E$4,'NSE - NIFTY Index Options'!$I:$I,"Monthly*")+SUMIFS('NSE - Other Index Options'!$M:$M,'NSE - Other Index Options'!$C:$C,$A63,'NSE - Other Index Options'!$B:$B,E$4,'NSE - Other Index Options'!$I:$I,"Monthly*"))</f>
        <v/>
      </c>
      <c r="F63" s="26">
        <f>IF(SUMIFS('NSE - NIFTY Index Options'!$M:$M,'NSE - NIFTY Index Options'!$C:$C,$A63,'NSE - NIFTY Index Options'!$B:$B,F$4,'NSE - NIFTY Index Options'!$I:$I,"Monthly*")+SUMIFS('NSE - Other Index Options'!$M:$M,'NSE - Other Index Options'!$C:$C,$A63,'NSE - Other Index Options'!$B:$B,F$4,'NSE - Other Index Options'!$I:$I,"Monthly*")=0,"",SUMIFS('NSE - NIFTY Index Options'!$M:$M,'NSE - NIFTY Index Options'!$C:$C,$A63,'NSE - NIFTY Index Options'!$B:$B,F$4,'NSE - NIFTY Index Options'!$I:$I,"Monthly*")+SUMIFS('NSE - Other Index Options'!$M:$M,'NSE - Other Index Options'!$C:$C,$A63,'NSE - Other Index Options'!$B:$B,F$4,'NSE - Other Index Options'!$I:$I,"Monthly*"))</f>
        <v/>
      </c>
      <c r="G63" s="26">
        <f>IF(SUMIFS('NSE - NIFTY Index Options'!$M:$M,'NSE - NIFTY Index Options'!$C:$C,$A63,'NSE - NIFTY Index Options'!$B:$B,G$4,'NSE - NIFTY Index Options'!$I:$I,"Monthly*")+SUMIFS('NSE - Other Index Options'!$M:$M,'NSE - Other Index Options'!$C:$C,$A63,'NSE - Other Index Options'!$B:$B,G$4,'NSE - Other Index Options'!$I:$I,"Monthly*")=0,"",SUMIFS('NSE - NIFTY Index Options'!$M:$M,'NSE - NIFTY Index Options'!$C:$C,$A63,'NSE - NIFTY Index Options'!$B:$B,G$4,'NSE - NIFTY Index Options'!$I:$I,"Monthly*")+SUMIFS('NSE - Other Index Options'!$M:$M,'NSE - Other Index Options'!$C:$C,$A63,'NSE - Other Index Options'!$B:$B,G$4,'NSE - Other Index Options'!$I:$I,"Monthly*"))</f>
        <v/>
      </c>
      <c r="H63" s="26">
        <f>IF(SUM(B63:G63)=0,"",SUM(B63:G63))</f>
        <v/>
      </c>
    </row>
    <row r="64" hidden="1" outlineLevel="1">
      <c r="A64" t="inlineStr">
        <is>
          <t>Week1-Sep-2026</t>
        </is>
      </c>
      <c r="B64" s="26">
        <f>IF(SUMIFS('NSE - NIFTY Index Options'!$M:$M,'NSE - NIFTY Index Options'!$C:$C,$A64,'NSE - NIFTY Index Options'!$B:$B,B$4,'NSE - NIFTY Index Options'!$I:$I,"Monthly*")+SUMIFS('NSE - Other Index Options'!$M:$M,'NSE - Other Index Options'!$C:$C,$A64,'NSE - Other Index Options'!$B:$B,B$4,'NSE - Other Index Options'!$I:$I,"Monthly*")=0,"",SUMIFS('NSE - NIFTY Index Options'!$M:$M,'NSE - NIFTY Index Options'!$C:$C,$A64,'NSE - NIFTY Index Options'!$B:$B,B$4,'NSE - NIFTY Index Options'!$I:$I,"Monthly*")+SUMIFS('NSE - Other Index Options'!$M:$M,'NSE - Other Index Options'!$C:$C,$A64,'NSE - Other Index Options'!$B:$B,B$4,'NSE - Other Index Options'!$I:$I,"Monthly*"))</f>
        <v/>
      </c>
      <c r="C64" s="26">
        <f>IF(SUMIFS('NSE - NIFTY Index Options'!$M:$M,'NSE - NIFTY Index Options'!$C:$C,$A64,'NSE - NIFTY Index Options'!$B:$B,C$4,'NSE - NIFTY Index Options'!$I:$I,"Monthly*")+SUMIFS('NSE - Other Index Options'!$M:$M,'NSE - Other Index Options'!$C:$C,$A64,'NSE - Other Index Options'!$B:$B,C$4,'NSE - Other Index Options'!$I:$I,"Monthly*")=0,"",SUMIFS('NSE - NIFTY Index Options'!$M:$M,'NSE - NIFTY Index Options'!$C:$C,$A64,'NSE - NIFTY Index Options'!$B:$B,C$4,'NSE - NIFTY Index Options'!$I:$I,"Monthly*")+SUMIFS('NSE - Other Index Options'!$M:$M,'NSE - Other Index Options'!$C:$C,$A64,'NSE - Other Index Options'!$B:$B,C$4,'NSE - Other Index Options'!$I:$I,"Monthly*"))</f>
        <v/>
      </c>
      <c r="D64" s="26">
        <f>IF(SUMIFS('NSE - NIFTY Index Options'!$M:$M,'NSE - NIFTY Index Options'!$C:$C,$A64,'NSE - NIFTY Index Options'!$B:$B,D$4,'NSE - NIFTY Index Options'!$I:$I,"Monthly*")+SUMIFS('NSE - Other Index Options'!$M:$M,'NSE - Other Index Options'!$C:$C,$A64,'NSE - Other Index Options'!$B:$B,D$4,'NSE - Other Index Options'!$I:$I,"Monthly*")=0,"",SUMIFS('NSE - NIFTY Index Options'!$M:$M,'NSE - NIFTY Index Options'!$C:$C,$A64,'NSE - NIFTY Index Options'!$B:$B,D$4,'NSE - NIFTY Index Options'!$I:$I,"Monthly*")+SUMIFS('NSE - Other Index Options'!$M:$M,'NSE - Other Index Options'!$C:$C,$A64,'NSE - Other Index Options'!$B:$B,D$4,'NSE - Other Index Options'!$I:$I,"Monthly*"))</f>
        <v/>
      </c>
      <c r="E64" s="26">
        <f>IF(SUMIFS('NSE - NIFTY Index Options'!$M:$M,'NSE - NIFTY Index Options'!$C:$C,$A64,'NSE - NIFTY Index Options'!$B:$B,E$4,'NSE - NIFTY Index Options'!$I:$I,"Monthly*")+SUMIFS('NSE - Other Index Options'!$M:$M,'NSE - Other Index Options'!$C:$C,$A64,'NSE - Other Index Options'!$B:$B,E$4,'NSE - Other Index Options'!$I:$I,"Monthly*")=0,"",SUMIFS('NSE - NIFTY Index Options'!$M:$M,'NSE - NIFTY Index Options'!$C:$C,$A64,'NSE - NIFTY Index Options'!$B:$B,E$4,'NSE - NIFTY Index Options'!$I:$I,"Monthly*")+SUMIFS('NSE - Other Index Options'!$M:$M,'NSE - Other Index Options'!$C:$C,$A64,'NSE - Other Index Options'!$B:$B,E$4,'NSE - Other Index Options'!$I:$I,"Monthly*"))</f>
        <v/>
      </c>
      <c r="F64" s="26">
        <f>IF(SUMIFS('NSE - NIFTY Index Options'!$M:$M,'NSE - NIFTY Index Options'!$C:$C,$A64,'NSE - NIFTY Index Options'!$B:$B,F$4,'NSE - NIFTY Index Options'!$I:$I,"Monthly*")+SUMIFS('NSE - Other Index Options'!$M:$M,'NSE - Other Index Options'!$C:$C,$A64,'NSE - Other Index Options'!$B:$B,F$4,'NSE - Other Index Options'!$I:$I,"Monthly*")=0,"",SUMIFS('NSE - NIFTY Index Options'!$M:$M,'NSE - NIFTY Index Options'!$C:$C,$A64,'NSE - NIFTY Index Options'!$B:$B,F$4,'NSE - NIFTY Index Options'!$I:$I,"Monthly*")+SUMIFS('NSE - Other Index Options'!$M:$M,'NSE - Other Index Options'!$C:$C,$A64,'NSE - Other Index Options'!$B:$B,F$4,'NSE - Other Index Options'!$I:$I,"Monthly*"))</f>
        <v/>
      </c>
      <c r="G64" s="26">
        <f>IF(SUMIFS('NSE - NIFTY Index Options'!$M:$M,'NSE - NIFTY Index Options'!$C:$C,$A64,'NSE - NIFTY Index Options'!$B:$B,G$4,'NSE - NIFTY Index Options'!$I:$I,"Monthly*")+SUMIFS('NSE - Other Index Options'!$M:$M,'NSE - Other Index Options'!$C:$C,$A64,'NSE - Other Index Options'!$B:$B,G$4,'NSE - Other Index Options'!$I:$I,"Monthly*")=0,"",SUMIFS('NSE - NIFTY Index Options'!$M:$M,'NSE - NIFTY Index Options'!$C:$C,$A64,'NSE - NIFTY Index Options'!$B:$B,G$4,'NSE - NIFTY Index Options'!$I:$I,"Monthly*")+SUMIFS('NSE - Other Index Options'!$M:$M,'NSE - Other Index Options'!$C:$C,$A64,'NSE - Other Index Options'!$B:$B,G$4,'NSE - Other Index Options'!$I:$I,"Monthly*"))</f>
        <v/>
      </c>
      <c r="H64" s="26">
        <f>IF(SUM(B64:G64)=0,"",SUM(B64:G64))</f>
        <v/>
      </c>
    </row>
    <row r="65" hidden="1" outlineLevel="1">
      <c r="A65" t="inlineStr">
        <is>
          <t>Week2-Sep-2026</t>
        </is>
      </c>
      <c r="B65" s="26">
        <f>IF(SUMIFS('NSE - NIFTY Index Options'!$M:$M,'NSE - NIFTY Index Options'!$C:$C,$A65,'NSE - NIFTY Index Options'!$B:$B,B$4,'NSE - NIFTY Index Options'!$I:$I,"Monthly*")+SUMIFS('NSE - Other Index Options'!$M:$M,'NSE - Other Index Options'!$C:$C,$A65,'NSE - Other Index Options'!$B:$B,B$4,'NSE - Other Index Options'!$I:$I,"Monthly*")=0,"",SUMIFS('NSE - NIFTY Index Options'!$M:$M,'NSE - NIFTY Index Options'!$C:$C,$A65,'NSE - NIFTY Index Options'!$B:$B,B$4,'NSE - NIFTY Index Options'!$I:$I,"Monthly*")+SUMIFS('NSE - Other Index Options'!$M:$M,'NSE - Other Index Options'!$C:$C,$A65,'NSE - Other Index Options'!$B:$B,B$4,'NSE - Other Index Options'!$I:$I,"Monthly*"))</f>
        <v/>
      </c>
      <c r="C65" s="26">
        <f>IF(SUMIFS('NSE - NIFTY Index Options'!$M:$M,'NSE - NIFTY Index Options'!$C:$C,$A65,'NSE - NIFTY Index Options'!$B:$B,C$4,'NSE - NIFTY Index Options'!$I:$I,"Monthly*")+SUMIFS('NSE - Other Index Options'!$M:$M,'NSE - Other Index Options'!$C:$C,$A65,'NSE - Other Index Options'!$B:$B,C$4,'NSE - Other Index Options'!$I:$I,"Monthly*")=0,"",SUMIFS('NSE - NIFTY Index Options'!$M:$M,'NSE - NIFTY Index Options'!$C:$C,$A65,'NSE - NIFTY Index Options'!$B:$B,C$4,'NSE - NIFTY Index Options'!$I:$I,"Monthly*")+SUMIFS('NSE - Other Index Options'!$M:$M,'NSE - Other Index Options'!$C:$C,$A65,'NSE - Other Index Options'!$B:$B,C$4,'NSE - Other Index Options'!$I:$I,"Monthly*"))</f>
        <v/>
      </c>
      <c r="D65" s="26">
        <f>IF(SUMIFS('NSE - NIFTY Index Options'!$M:$M,'NSE - NIFTY Index Options'!$C:$C,$A65,'NSE - NIFTY Index Options'!$B:$B,D$4,'NSE - NIFTY Index Options'!$I:$I,"Monthly*")+SUMIFS('NSE - Other Index Options'!$M:$M,'NSE - Other Index Options'!$C:$C,$A65,'NSE - Other Index Options'!$B:$B,D$4,'NSE - Other Index Options'!$I:$I,"Monthly*")=0,"",SUMIFS('NSE - NIFTY Index Options'!$M:$M,'NSE - NIFTY Index Options'!$C:$C,$A65,'NSE - NIFTY Index Options'!$B:$B,D$4,'NSE - NIFTY Index Options'!$I:$I,"Monthly*")+SUMIFS('NSE - Other Index Options'!$M:$M,'NSE - Other Index Options'!$C:$C,$A65,'NSE - Other Index Options'!$B:$B,D$4,'NSE - Other Index Options'!$I:$I,"Monthly*"))</f>
        <v/>
      </c>
      <c r="E65" s="26">
        <f>IF(SUMIFS('NSE - NIFTY Index Options'!$M:$M,'NSE - NIFTY Index Options'!$C:$C,$A65,'NSE - NIFTY Index Options'!$B:$B,E$4,'NSE - NIFTY Index Options'!$I:$I,"Monthly*")+SUMIFS('NSE - Other Index Options'!$M:$M,'NSE - Other Index Options'!$C:$C,$A65,'NSE - Other Index Options'!$B:$B,E$4,'NSE - Other Index Options'!$I:$I,"Monthly*")=0,"",SUMIFS('NSE - NIFTY Index Options'!$M:$M,'NSE - NIFTY Index Options'!$C:$C,$A65,'NSE - NIFTY Index Options'!$B:$B,E$4,'NSE - NIFTY Index Options'!$I:$I,"Monthly*")+SUMIFS('NSE - Other Index Options'!$M:$M,'NSE - Other Index Options'!$C:$C,$A65,'NSE - Other Index Options'!$B:$B,E$4,'NSE - Other Index Options'!$I:$I,"Monthly*"))</f>
        <v/>
      </c>
      <c r="F65" s="26">
        <f>IF(SUMIFS('NSE - NIFTY Index Options'!$M:$M,'NSE - NIFTY Index Options'!$C:$C,$A65,'NSE - NIFTY Index Options'!$B:$B,F$4,'NSE - NIFTY Index Options'!$I:$I,"Monthly*")+SUMIFS('NSE - Other Index Options'!$M:$M,'NSE - Other Index Options'!$C:$C,$A65,'NSE - Other Index Options'!$B:$B,F$4,'NSE - Other Index Options'!$I:$I,"Monthly*")=0,"",SUMIFS('NSE - NIFTY Index Options'!$M:$M,'NSE - NIFTY Index Options'!$C:$C,$A65,'NSE - NIFTY Index Options'!$B:$B,F$4,'NSE - NIFTY Index Options'!$I:$I,"Monthly*")+SUMIFS('NSE - Other Index Options'!$M:$M,'NSE - Other Index Options'!$C:$C,$A65,'NSE - Other Index Options'!$B:$B,F$4,'NSE - Other Index Options'!$I:$I,"Monthly*"))</f>
        <v/>
      </c>
      <c r="G65" s="26">
        <f>IF(SUMIFS('NSE - NIFTY Index Options'!$M:$M,'NSE - NIFTY Index Options'!$C:$C,$A65,'NSE - NIFTY Index Options'!$B:$B,G$4,'NSE - NIFTY Index Options'!$I:$I,"Monthly*")+SUMIFS('NSE - Other Index Options'!$M:$M,'NSE - Other Index Options'!$C:$C,$A65,'NSE - Other Index Options'!$B:$B,G$4,'NSE - Other Index Options'!$I:$I,"Monthly*")=0,"",SUMIFS('NSE - NIFTY Index Options'!$M:$M,'NSE - NIFTY Index Options'!$C:$C,$A65,'NSE - NIFTY Index Options'!$B:$B,G$4,'NSE - NIFTY Index Options'!$I:$I,"Monthly*")+SUMIFS('NSE - Other Index Options'!$M:$M,'NSE - Other Index Options'!$C:$C,$A65,'NSE - Other Index Options'!$B:$B,G$4,'NSE - Other Index Options'!$I:$I,"Monthly*"))</f>
        <v/>
      </c>
      <c r="H65" s="26">
        <f>IF(SUM(B65:G65)=0,"",SUM(B65:G65))</f>
        <v/>
      </c>
    </row>
    <row r="66" hidden="1" outlineLevel="1">
      <c r="A66" t="inlineStr">
        <is>
          <t>Week3-Sep-2026</t>
        </is>
      </c>
      <c r="B66" s="26">
        <f>IF(SUMIFS('NSE - NIFTY Index Options'!$M:$M,'NSE - NIFTY Index Options'!$C:$C,$A66,'NSE - NIFTY Index Options'!$B:$B,B$4,'NSE - NIFTY Index Options'!$I:$I,"Monthly*")+SUMIFS('NSE - Other Index Options'!$M:$M,'NSE - Other Index Options'!$C:$C,$A66,'NSE - Other Index Options'!$B:$B,B$4,'NSE - Other Index Options'!$I:$I,"Monthly*")=0,"",SUMIFS('NSE - NIFTY Index Options'!$M:$M,'NSE - NIFTY Index Options'!$C:$C,$A66,'NSE - NIFTY Index Options'!$B:$B,B$4,'NSE - NIFTY Index Options'!$I:$I,"Monthly*")+SUMIFS('NSE - Other Index Options'!$M:$M,'NSE - Other Index Options'!$C:$C,$A66,'NSE - Other Index Options'!$B:$B,B$4,'NSE - Other Index Options'!$I:$I,"Monthly*"))</f>
        <v/>
      </c>
      <c r="C66" s="26">
        <f>IF(SUMIFS('NSE - NIFTY Index Options'!$M:$M,'NSE - NIFTY Index Options'!$C:$C,$A66,'NSE - NIFTY Index Options'!$B:$B,C$4,'NSE - NIFTY Index Options'!$I:$I,"Monthly*")+SUMIFS('NSE - Other Index Options'!$M:$M,'NSE - Other Index Options'!$C:$C,$A66,'NSE - Other Index Options'!$B:$B,C$4,'NSE - Other Index Options'!$I:$I,"Monthly*")=0,"",SUMIFS('NSE - NIFTY Index Options'!$M:$M,'NSE - NIFTY Index Options'!$C:$C,$A66,'NSE - NIFTY Index Options'!$B:$B,C$4,'NSE - NIFTY Index Options'!$I:$I,"Monthly*")+SUMIFS('NSE - Other Index Options'!$M:$M,'NSE - Other Index Options'!$C:$C,$A66,'NSE - Other Index Options'!$B:$B,C$4,'NSE - Other Index Options'!$I:$I,"Monthly*"))</f>
        <v/>
      </c>
      <c r="D66" s="26">
        <f>IF(SUMIFS('NSE - NIFTY Index Options'!$M:$M,'NSE - NIFTY Index Options'!$C:$C,$A66,'NSE - NIFTY Index Options'!$B:$B,D$4,'NSE - NIFTY Index Options'!$I:$I,"Monthly*")+SUMIFS('NSE - Other Index Options'!$M:$M,'NSE - Other Index Options'!$C:$C,$A66,'NSE - Other Index Options'!$B:$B,D$4,'NSE - Other Index Options'!$I:$I,"Monthly*")=0,"",SUMIFS('NSE - NIFTY Index Options'!$M:$M,'NSE - NIFTY Index Options'!$C:$C,$A66,'NSE - NIFTY Index Options'!$B:$B,D$4,'NSE - NIFTY Index Options'!$I:$I,"Monthly*")+SUMIFS('NSE - Other Index Options'!$M:$M,'NSE - Other Index Options'!$C:$C,$A66,'NSE - Other Index Options'!$B:$B,D$4,'NSE - Other Index Options'!$I:$I,"Monthly*"))</f>
        <v/>
      </c>
      <c r="E66" s="26">
        <f>IF(SUMIFS('NSE - NIFTY Index Options'!$M:$M,'NSE - NIFTY Index Options'!$C:$C,$A66,'NSE - NIFTY Index Options'!$B:$B,E$4,'NSE - NIFTY Index Options'!$I:$I,"Monthly*")+SUMIFS('NSE - Other Index Options'!$M:$M,'NSE - Other Index Options'!$C:$C,$A66,'NSE - Other Index Options'!$B:$B,E$4,'NSE - Other Index Options'!$I:$I,"Monthly*")=0,"",SUMIFS('NSE - NIFTY Index Options'!$M:$M,'NSE - NIFTY Index Options'!$C:$C,$A66,'NSE - NIFTY Index Options'!$B:$B,E$4,'NSE - NIFTY Index Options'!$I:$I,"Monthly*")+SUMIFS('NSE - Other Index Options'!$M:$M,'NSE - Other Index Options'!$C:$C,$A66,'NSE - Other Index Options'!$B:$B,E$4,'NSE - Other Index Options'!$I:$I,"Monthly*"))</f>
        <v/>
      </c>
      <c r="F66" s="26">
        <f>IF(SUMIFS('NSE - NIFTY Index Options'!$M:$M,'NSE - NIFTY Index Options'!$C:$C,$A66,'NSE - NIFTY Index Options'!$B:$B,F$4,'NSE - NIFTY Index Options'!$I:$I,"Monthly*")+SUMIFS('NSE - Other Index Options'!$M:$M,'NSE - Other Index Options'!$C:$C,$A66,'NSE - Other Index Options'!$B:$B,F$4,'NSE - Other Index Options'!$I:$I,"Monthly*")=0,"",SUMIFS('NSE - NIFTY Index Options'!$M:$M,'NSE - NIFTY Index Options'!$C:$C,$A66,'NSE - NIFTY Index Options'!$B:$B,F$4,'NSE - NIFTY Index Options'!$I:$I,"Monthly*")+SUMIFS('NSE - Other Index Options'!$M:$M,'NSE - Other Index Options'!$C:$C,$A66,'NSE - Other Index Options'!$B:$B,F$4,'NSE - Other Index Options'!$I:$I,"Monthly*"))</f>
        <v/>
      </c>
      <c r="G66" s="26">
        <f>IF(SUMIFS('NSE - NIFTY Index Options'!$M:$M,'NSE - NIFTY Index Options'!$C:$C,$A66,'NSE - NIFTY Index Options'!$B:$B,G$4,'NSE - NIFTY Index Options'!$I:$I,"Monthly*")+SUMIFS('NSE - Other Index Options'!$M:$M,'NSE - Other Index Options'!$C:$C,$A66,'NSE - Other Index Options'!$B:$B,G$4,'NSE - Other Index Options'!$I:$I,"Monthly*")=0,"",SUMIFS('NSE - NIFTY Index Options'!$M:$M,'NSE - NIFTY Index Options'!$C:$C,$A66,'NSE - NIFTY Index Options'!$B:$B,G$4,'NSE - NIFTY Index Options'!$I:$I,"Monthly*")+SUMIFS('NSE - Other Index Options'!$M:$M,'NSE - Other Index Options'!$C:$C,$A66,'NSE - Other Index Options'!$B:$B,G$4,'NSE - Other Index Options'!$I:$I,"Monthly*"))</f>
        <v/>
      </c>
      <c r="H66" s="26">
        <f>IF(SUM(B66:G66)=0,"",SUM(B66:G66))</f>
        <v/>
      </c>
    </row>
    <row r="67" hidden="1" outlineLevel="1">
      <c r="A67" t="inlineStr">
        <is>
          <t>Week4-Sep-2026</t>
        </is>
      </c>
      <c r="B67" s="26">
        <f>IF(SUMIFS('NSE - NIFTY Index Options'!$M:$M,'NSE - NIFTY Index Options'!$C:$C,$A67,'NSE - NIFTY Index Options'!$B:$B,B$4,'NSE - NIFTY Index Options'!$I:$I,"Monthly*")+SUMIFS('NSE - Other Index Options'!$M:$M,'NSE - Other Index Options'!$C:$C,$A67,'NSE - Other Index Options'!$B:$B,B$4,'NSE - Other Index Options'!$I:$I,"Monthly*")=0,"",SUMIFS('NSE - NIFTY Index Options'!$M:$M,'NSE - NIFTY Index Options'!$C:$C,$A67,'NSE - NIFTY Index Options'!$B:$B,B$4,'NSE - NIFTY Index Options'!$I:$I,"Monthly*")+SUMIFS('NSE - Other Index Options'!$M:$M,'NSE - Other Index Options'!$C:$C,$A67,'NSE - Other Index Options'!$B:$B,B$4,'NSE - Other Index Options'!$I:$I,"Monthly*"))</f>
        <v/>
      </c>
      <c r="C67" s="26">
        <f>IF(SUMIFS('NSE - NIFTY Index Options'!$M:$M,'NSE - NIFTY Index Options'!$C:$C,$A67,'NSE - NIFTY Index Options'!$B:$B,C$4,'NSE - NIFTY Index Options'!$I:$I,"Monthly*")+SUMIFS('NSE - Other Index Options'!$M:$M,'NSE - Other Index Options'!$C:$C,$A67,'NSE - Other Index Options'!$B:$B,C$4,'NSE - Other Index Options'!$I:$I,"Monthly*")=0,"",SUMIFS('NSE - NIFTY Index Options'!$M:$M,'NSE - NIFTY Index Options'!$C:$C,$A67,'NSE - NIFTY Index Options'!$B:$B,C$4,'NSE - NIFTY Index Options'!$I:$I,"Monthly*")+SUMIFS('NSE - Other Index Options'!$M:$M,'NSE - Other Index Options'!$C:$C,$A67,'NSE - Other Index Options'!$B:$B,C$4,'NSE - Other Index Options'!$I:$I,"Monthly*"))</f>
        <v/>
      </c>
      <c r="D67" s="26">
        <f>IF(SUMIFS('NSE - NIFTY Index Options'!$M:$M,'NSE - NIFTY Index Options'!$C:$C,$A67,'NSE - NIFTY Index Options'!$B:$B,D$4,'NSE - NIFTY Index Options'!$I:$I,"Monthly*")+SUMIFS('NSE - Other Index Options'!$M:$M,'NSE - Other Index Options'!$C:$C,$A67,'NSE - Other Index Options'!$B:$B,D$4,'NSE - Other Index Options'!$I:$I,"Monthly*")=0,"",SUMIFS('NSE - NIFTY Index Options'!$M:$M,'NSE - NIFTY Index Options'!$C:$C,$A67,'NSE - NIFTY Index Options'!$B:$B,D$4,'NSE - NIFTY Index Options'!$I:$I,"Monthly*")+SUMIFS('NSE - Other Index Options'!$M:$M,'NSE - Other Index Options'!$C:$C,$A67,'NSE - Other Index Options'!$B:$B,D$4,'NSE - Other Index Options'!$I:$I,"Monthly*"))</f>
        <v/>
      </c>
      <c r="E67" s="26">
        <f>IF(SUMIFS('NSE - NIFTY Index Options'!$M:$M,'NSE - NIFTY Index Options'!$C:$C,$A67,'NSE - NIFTY Index Options'!$B:$B,E$4,'NSE - NIFTY Index Options'!$I:$I,"Monthly*")+SUMIFS('NSE - Other Index Options'!$M:$M,'NSE - Other Index Options'!$C:$C,$A67,'NSE - Other Index Options'!$B:$B,E$4,'NSE - Other Index Options'!$I:$I,"Monthly*")=0,"",SUMIFS('NSE - NIFTY Index Options'!$M:$M,'NSE - NIFTY Index Options'!$C:$C,$A67,'NSE - NIFTY Index Options'!$B:$B,E$4,'NSE - NIFTY Index Options'!$I:$I,"Monthly*")+SUMIFS('NSE - Other Index Options'!$M:$M,'NSE - Other Index Options'!$C:$C,$A67,'NSE - Other Index Options'!$B:$B,E$4,'NSE - Other Index Options'!$I:$I,"Monthly*"))</f>
        <v/>
      </c>
      <c r="F67" s="26">
        <f>IF(SUMIFS('NSE - NIFTY Index Options'!$M:$M,'NSE - NIFTY Index Options'!$C:$C,$A67,'NSE - NIFTY Index Options'!$B:$B,F$4,'NSE - NIFTY Index Options'!$I:$I,"Monthly*")+SUMIFS('NSE - Other Index Options'!$M:$M,'NSE - Other Index Options'!$C:$C,$A67,'NSE - Other Index Options'!$B:$B,F$4,'NSE - Other Index Options'!$I:$I,"Monthly*")=0,"",SUMIFS('NSE - NIFTY Index Options'!$M:$M,'NSE - NIFTY Index Options'!$C:$C,$A67,'NSE - NIFTY Index Options'!$B:$B,F$4,'NSE - NIFTY Index Options'!$I:$I,"Monthly*")+SUMIFS('NSE - Other Index Options'!$M:$M,'NSE - Other Index Options'!$C:$C,$A67,'NSE - Other Index Options'!$B:$B,F$4,'NSE - Other Index Options'!$I:$I,"Monthly*"))</f>
        <v/>
      </c>
      <c r="G67" s="26">
        <f>IF(SUMIFS('NSE - NIFTY Index Options'!$M:$M,'NSE - NIFTY Index Options'!$C:$C,$A67,'NSE - NIFTY Index Options'!$B:$B,G$4,'NSE - NIFTY Index Options'!$I:$I,"Monthly*")+SUMIFS('NSE - Other Index Options'!$M:$M,'NSE - Other Index Options'!$C:$C,$A67,'NSE - Other Index Options'!$B:$B,G$4,'NSE - Other Index Options'!$I:$I,"Monthly*")=0,"",SUMIFS('NSE - NIFTY Index Options'!$M:$M,'NSE - NIFTY Index Options'!$C:$C,$A67,'NSE - NIFTY Index Options'!$B:$B,G$4,'NSE - NIFTY Index Options'!$I:$I,"Monthly*")+SUMIFS('NSE - Other Index Options'!$M:$M,'NSE - Other Index Options'!$C:$C,$A67,'NSE - Other Index Options'!$B:$B,G$4,'NSE - Other Index Options'!$I:$I,"Monthly*"))</f>
        <v/>
      </c>
      <c r="H67" s="26">
        <f>IF(SUM(B67:G67)=0,"",SUM(B67:G67))</f>
        <v/>
      </c>
    </row>
    <row r="68" hidden="1" outlineLevel="1">
      <c r="A68" t="inlineStr">
        <is>
          <t>Week5-Sep-2026</t>
        </is>
      </c>
      <c r="B68" s="26">
        <f>IF(SUMIFS('NSE - NIFTY Index Options'!$M:$M,'NSE - NIFTY Index Options'!$C:$C,$A68,'NSE - NIFTY Index Options'!$B:$B,B$4,'NSE - NIFTY Index Options'!$I:$I,"Monthly*")+SUMIFS('NSE - Other Index Options'!$M:$M,'NSE - Other Index Options'!$C:$C,$A68,'NSE - Other Index Options'!$B:$B,B$4,'NSE - Other Index Options'!$I:$I,"Monthly*")=0,"",SUMIFS('NSE - NIFTY Index Options'!$M:$M,'NSE - NIFTY Index Options'!$C:$C,$A68,'NSE - NIFTY Index Options'!$B:$B,B$4,'NSE - NIFTY Index Options'!$I:$I,"Monthly*")+SUMIFS('NSE - Other Index Options'!$M:$M,'NSE - Other Index Options'!$C:$C,$A68,'NSE - Other Index Options'!$B:$B,B$4,'NSE - Other Index Options'!$I:$I,"Monthly*"))</f>
        <v/>
      </c>
      <c r="C68" s="26">
        <f>IF(SUMIFS('NSE - NIFTY Index Options'!$M:$M,'NSE - NIFTY Index Options'!$C:$C,$A68,'NSE - NIFTY Index Options'!$B:$B,C$4,'NSE - NIFTY Index Options'!$I:$I,"Monthly*")+SUMIFS('NSE - Other Index Options'!$M:$M,'NSE - Other Index Options'!$C:$C,$A68,'NSE - Other Index Options'!$B:$B,C$4,'NSE - Other Index Options'!$I:$I,"Monthly*")=0,"",SUMIFS('NSE - NIFTY Index Options'!$M:$M,'NSE - NIFTY Index Options'!$C:$C,$A68,'NSE - NIFTY Index Options'!$B:$B,C$4,'NSE - NIFTY Index Options'!$I:$I,"Monthly*")+SUMIFS('NSE - Other Index Options'!$M:$M,'NSE - Other Index Options'!$C:$C,$A68,'NSE - Other Index Options'!$B:$B,C$4,'NSE - Other Index Options'!$I:$I,"Monthly*"))</f>
        <v/>
      </c>
      <c r="D68" s="26">
        <f>IF(SUMIFS('NSE - NIFTY Index Options'!$M:$M,'NSE - NIFTY Index Options'!$C:$C,$A68,'NSE - NIFTY Index Options'!$B:$B,D$4,'NSE - NIFTY Index Options'!$I:$I,"Monthly*")+SUMIFS('NSE - Other Index Options'!$M:$M,'NSE - Other Index Options'!$C:$C,$A68,'NSE - Other Index Options'!$B:$B,D$4,'NSE - Other Index Options'!$I:$I,"Monthly*")=0,"",SUMIFS('NSE - NIFTY Index Options'!$M:$M,'NSE - NIFTY Index Options'!$C:$C,$A68,'NSE - NIFTY Index Options'!$B:$B,D$4,'NSE - NIFTY Index Options'!$I:$I,"Monthly*")+SUMIFS('NSE - Other Index Options'!$M:$M,'NSE - Other Index Options'!$C:$C,$A68,'NSE - Other Index Options'!$B:$B,D$4,'NSE - Other Index Options'!$I:$I,"Monthly*"))</f>
        <v/>
      </c>
      <c r="E68" s="26">
        <f>IF(SUMIFS('NSE - NIFTY Index Options'!$M:$M,'NSE - NIFTY Index Options'!$C:$C,$A68,'NSE - NIFTY Index Options'!$B:$B,E$4,'NSE - NIFTY Index Options'!$I:$I,"Monthly*")+SUMIFS('NSE - Other Index Options'!$M:$M,'NSE - Other Index Options'!$C:$C,$A68,'NSE - Other Index Options'!$B:$B,E$4,'NSE - Other Index Options'!$I:$I,"Monthly*")=0,"",SUMIFS('NSE - NIFTY Index Options'!$M:$M,'NSE - NIFTY Index Options'!$C:$C,$A68,'NSE - NIFTY Index Options'!$B:$B,E$4,'NSE - NIFTY Index Options'!$I:$I,"Monthly*")+SUMIFS('NSE - Other Index Options'!$M:$M,'NSE - Other Index Options'!$C:$C,$A68,'NSE - Other Index Options'!$B:$B,E$4,'NSE - Other Index Options'!$I:$I,"Monthly*"))</f>
        <v/>
      </c>
      <c r="F68" s="26">
        <f>IF(SUMIFS('NSE - NIFTY Index Options'!$M:$M,'NSE - NIFTY Index Options'!$C:$C,$A68,'NSE - NIFTY Index Options'!$B:$B,F$4,'NSE - NIFTY Index Options'!$I:$I,"Monthly*")+SUMIFS('NSE - Other Index Options'!$M:$M,'NSE - Other Index Options'!$C:$C,$A68,'NSE - Other Index Options'!$B:$B,F$4,'NSE - Other Index Options'!$I:$I,"Monthly*")=0,"",SUMIFS('NSE - NIFTY Index Options'!$M:$M,'NSE - NIFTY Index Options'!$C:$C,$A68,'NSE - NIFTY Index Options'!$B:$B,F$4,'NSE - NIFTY Index Options'!$I:$I,"Monthly*")+SUMIFS('NSE - Other Index Options'!$M:$M,'NSE - Other Index Options'!$C:$C,$A68,'NSE - Other Index Options'!$B:$B,F$4,'NSE - Other Index Options'!$I:$I,"Monthly*"))</f>
        <v/>
      </c>
      <c r="G68" s="26">
        <f>IF(SUMIFS('NSE - NIFTY Index Options'!$M:$M,'NSE - NIFTY Index Options'!$C:$C,$A68,'NSE - NIFTY Index Options'!$B:$B,G$4,'NSE - NIFTY Index Options'!$I:$I,"Monthly*")+SUMIFS('NSE - Other Index Options'!$M:$M,'NSE - Other Index Options'!$C:$C,$A68,'NSE - Other Index Options'!$B:$B,G$4,'NSE - Other Index Options'!$I:$I,"Monthly*")=0,"",SUMIFS('NSE - NIFTY Index Options'!$M:$M,'NSE - NIFTY Index Options'!$C:$C,$A68,'NSE - NIFTY Index Options'!$B:$B,G$4,'NSE - NIFTY Index Options'!$I:$I,"Monthly*")+SUMIFS('NSE - Other Index Options'!$M:$M,'NSE - Other Index Options'!$C:$C,$A68,'NSE - Other Index Options'!$B:$B,G$4,'NSE - Other Index Options'!$I:$I,"Monthly*"))</f>
        <v/>
      </c>
      <c r="H68" s="26">
        <f>IF(SUM(B68:G68)=0,"",SUM(B68:G68))</f>
        <v/>
      </c>
    </row>
    <row r="69" hidden="1" outlineLevel="1">
      <c r="A69" t="inlineStr">
        <is>
          <t>Week1-Oct-2026</t>
        </is>
      </c>
      <c r="B69" s="26">
        <f>IF(SUMIFS('NSE - NIFTY Index Options'!$M:$M,'NSE - NIFTY Index Options'!$C:$C,$A69,'NSE - NIFTY Index Options'!$B:$B,B$4,'NSE - NIFTY Index Options'!$I:$I,"Monthly*")+SUMIFS('NSE - Other Index Options'!$M:$M,'NSE - Other Index Options'!$C:$C,$A69,'NSE - Other Index Options'!$B:$B,B$4,'NSE - Other Index Options'!$I:$I,"Monthly*")=0,"",SUMIFS('NSE - NIFTY Index Options'!$M:$M,'NSE - NIFTY Index Options'!$C:$C,$A69,'NSE - NIFTY Index Options'!$B:$B,B$4,'NSE - NIFTY Index Options'!$I:$I,"Monthly*")+SUMIFS('NSE - Other Index Options'!$M:$M,'NSE - Other Index Options'!$C:$C,$A69,'NSE - Other Index Options'!$B:$B,B$4,'NSE - Other Index Options'!$I:$I,"Monthly*"))</f>
        <v/>
      </c>
      <c r="C69" s="26">
        <f>IF(SUMIFS('NSE - NIFTY Index Options'!$M:$M,'NSE - NIFTY Index Options'!$C:$C,$A69,'NSE - NIFTY Index Options'!$B:$B,C$4,'NSE - NIFTY Index Options'!$I:$I,"Monthly*")+SUMIFS('NSE - Other Index Options'!$M:$M,'NSE - Other Index Options'!$C:$C,$A69,'NSE - Other Index Options'!$B:$B,C$4,'NSE - Other Index Options'!$I:$I,"Monthly*")=0,"",SUMIFS('NSE - NIFTY Index Options'!$M:$M,'NSE - NIFTY Index Options'!$C:$C,$A69,'NSE - NIFTY Index Options'!$B:$B,C$4,'NSE - NIFTY Index Options'!$I:$I,"Monthly*")+SUMIFS('NSE - Other Index Options'!$M:$M,'NSE - Other Index Options'!$C:$C,$A69,'NSE - Other Index Options'!$B:$B,C$4,'NSE - Other Index Options'!$I:$I,"Monthly*"))</f>
        <v/>
      </c>
      <c r="D69" s="26">
        <f>IF(SUMIFS('NSE - NIFTY Index Options'!$M:$M,'NSE - NIFTY Index Options'!$C:$C,$A69,'NSE - NIFTY Index Options'!$B:$B,D$4,'NSE - NIFTY Index Options'!$I:$I,"Monthly*")+SUMIFS('NSE - Other Index Options'!$M:$M,'NSE - Other Index Options'!$C:$C,$A69,'NSE - Other Index Options'!$B:$B,D$4,'NSE - Other Index Options'!$I:$I,"Monthly*")=0,"",SUMIFS('NSE - NIFTY Index Options'!$M:$M,'NSE - NIFTY Index Options'!$C:$C,$A69,'NSE - NIFTY Index Options'!$B:$B,D$4,'NSE - NIFTY Index Options'!$I:$I,"Monthly*")+SUMIFS('NSE - Other Index Options'!$M:$M,'NSE - Other Index Options'!$C:$C,$A69,'NSE - Other Index Options'!$B:$B,D$4,'NSE - Other Index Options'!$I:$I,"Monthly*"))</f>
        <v/>
      </c>
      <c r="E69" s="26">
        <f>IF(SUMIFS('NSE - NIFTY Index Options'!$M:$M,'NSE - NIFTY Index Options'!$C:$C,$A69,'NSE - NIFTY Index Options'!$B:$B,E$4,'NSE - NIFTY Index Options'!$I:$I,"Monthly*")+SUMIFS('NSE - Other Index Options'!$M:$M,'NSE - Other Index Options'!$C:$C,$A69,'NSE - Other Index Options'!$B:$B,E$4,'NSE - Other Index Options'!$I:$I,"Monthly*")=0,"",SUMIFS('NSE - NIFTY Index Options'!$M:$M,'NSE - NIFTY Index Options'!$C:$C,$A69,'NSE - NIFTY Index Options'!$B:$B,E$4,'NSE - NIFTY Index Options'!$I:$I,"Monthly*")+SUMIFS('NSE - Other Index Options'!$M:$M,'NSE - Other Index Options'!$C:$C,$A69,'NSE - Other Index Options'!$B:$B,E$4,'NSE - Other Index Options'!$I:$I,"Monthly*"))</f>
        <v/>
      </c>
      <c r="F69" s="26">
        <f>IF(SUMIFS('NSE - NIFTY Index Options'!$M:$M,'NSE - NIFTY Index Options'!$C:$C,$A69,'NSE - NIFTY Index Options'!$B:$B,F$4,'NSE - NIFTY Index Options'!$I:$I,"Monthly*")+SUMIFS('NSE - Other Index Options'!$M:$M,'NSE - Other Index Options'!$C:$C,$A69,'NSE - Other Index Options'!$B:$B,F$4,'NSE - Other Index Options'!$I:$I,"Monthly*")=0,"",SUMIFS('NSE - NIFTY Index Options'!$M:$M,'NSE - NIFTY Index Options'!$C:$C,$A69,'NSE - NIFTY Index Options'!$B:$B,F$4,'NSE - NIFTY Index Options'!$I:$I,"Monthly*")+SUMIFS('NSE - Other Index Options'!$M:$M,'NSE - Other Index Options'!$C:$C,$A69,'NSE - Other Index Options'!$B:$B,F$4,'NSE - Other Index Options'!$I:$I,"Monthly*"))</f>
        <v/>
      </c>
      <c r="G69" s="26">
        <f>IF(SUMIFS('NSE - NIFTY Index Options'!$M:$M,'NSE - NIFTY Index Options'!$C:$C,$A69,'NSE - NIFTY Index Options'!$B:$B,G$4,'NSE - NIFTY Index Options'!$I:$I,"Monthly*")+SUMIFS('NSE - Other Index Options'!$M:$M,'NSE - Other Index Options'!$C:$C,$A69,'NSE - Other Index Options'!$B:$B,G$4,'NSE - Other Index Options'!$I:$I,"Monthly*")=0,"",SUMIFS('NSE - NIFTY Index Options'!$M:$M,'NSE - NIFTY Index Options'!$C:$C,$A69,'NSE - NIFTY Index Options'!$B:$B,G$4,'NSE - NIFTY Index Options'!$I:$I,"Monthly*")+SUMIFS('NSE - Other Index Options'!$M:$M,'NSE - Other Index Options'!$C:$C,$A69,'NSE - Other Index Options'!$B:$B,G$4,'NSE - Other Index Options'!$I:$I,"Monthly*"))</f>
        <v/>
      </c>
      <c r="H69" s="26">
        <f>IF(SUM(B69:G69)=0,"",SUM(B69:G69))</f>
        <v/>
      </c>
    </row>
    <row r="70" hidden="1" outlineLevel="1">
      <c r="A70" t="inlineStr">
        <is>
          <t>Week2-Oct-2026</t>
        </is>
      </c>
      <c r="B70" s="26">
        <f>IF(SUMIFS('NSE - NIFTY Index Options'!$M:$M,'NSE - NIFTY Index Options'!$C:$C,$A70,'NSE - NIFTY Index Options'!$B:$B,B$4,'NSE - NIFTY Index Options'!$I:$I,"Monthly*")+SUMIFS('NSE - Other Index Options'!$M:$M,'NSE - Other Index Options'!$C:$C,$A70,'NSE - Other Index Options'!$B:$B,B$4,'NSE - Other Index Options'!$I:$I,"Monthly*")=0,"",SUMIFS('NSE - NIFTY Index Options'!$M:$M,'NSE - NIFTY Index Options'!$C:$C,$A70,'NSE - NIFTY Index Options'!$B:$B,B$4,'NSE - NIFTY Index Options'!$I:$I,"Monthly*")+SUMIFS('NSE - Other Index Options'!$M:$M,'NSE - Other Index Options'!$C:$C,$A70,'NSE - Other Index Options'!$B:$B,B$4,'NSE - Other Index Options'!$I:$I,"Monthly*"))</f>
        <v/>
      </c>
      <c r="C70" s="26">
        <f>IF(SUMIFS('NSE - NIFTY Index Options'!$M:$M,'NSE - NIFTY Index Options'!$C:$C,$A70,'NSE - NIFTY Index Options'!$B:$B,C$4,'NSE - NIFTY Index Options'!$I:$I,"Monthly*")+SUMIFS('NSE - Other Index Options'!$M:$M,'NSE - Other Index Options'!$C:$C,$A70,'NSE - Other Index Options'!$B:$B,C$4,'NSE - Other Index Options'!$I:$I,"Monthly*")=0,"",SUMIFS('NSE - NIFTY Index Options'!$M:$M,'NSE - NIFTY Index Options'!$C:$C,$A70,'NSE - NIFTY Index Options'!$B:$B,C$4,'NSE - NIFTY Index Options'!$I:$I,"Monthly*")+SUMIFS('NSE - Other Index Options'!$M:$M,'NSE - Other Index Options'!$C:$C,$A70,'NSE - Other Index Options'!$B:$B,C$4,'NSE - Other Index Options'!$I:$I,"Monthly*"))</f>
        <v/>
      </c>
      <c r="D70" s="26">
        <f>IF(SUMIFS('NSE - NIFTY Index Options'!$M:$M,'NSE - NIFTY Index Options'!$C:$C,$A70,'NSE - NIFTY Index Options'!$B:$B,D$4,'NSE - NIFTY Index Options'!$I:$I,"Monthly*")+SUMIFS('NSE - Other Index Options'!$M:$M,'NSE - Other Index Options'!$C:$C,$A70,'NSE - Other Index Options'!$B:$B,D$4,'NSE - Other Index Options'!$I:$I,"Monthly*")=0,"",SUMIFS('NSE - NIFTY Index Options'!$M:$M,'NSE - NIFTY Index Options'!$C:$C,$A70,'NSE - NIFTY Index Options'!$B:$B,D$4,'NSE - NIFTY Index Options'!$I:$I,"Monthly*")+SUMIFS('NSE - Other Index Options'!$M:$M,'NSE - Other Index Options'!$C:$C,$A70,'NSE - Other Index Options'!$B:$B,D$4,'NSE - Other Index Options'!$I:$I,"Monthly*"))</f>
        <v/>
      </c>
      <c r="E70" s="26">
        <f>IF(SUMIFS('NSE - NIFTY Index Options'!$M:$M,'NSE - NIFTY Index Options'!$C:$C,$A70,'NSE - NIFTY Index Options'!$B:$B,E$4,'NSE - NIFTY Index Options'!$I:$I,"Monthly*")+SUMIFS('NSE - Other Index Options'!$M:$M,'NSE - Other Index Options'!$C:$C,$A70,'NSE - Other Index Options'!$B:$B,E$4,'NSE - Other Index Options'!$I:$I,"Monthly*")=0,"",SUMIFS('NSE - NIFTY Index Options'!$M:$M,'NSE - NIFTY Index Options'!$C:$C,$A70,'NSE - NIFTY Index Options'!$B:$B,E$4,'NSE - NIFTY Index Options'!$I:$I,"Monthly*")+SUMIFS('NSE - Other Index Options'!$M:$M,'NSE - Other Index Options'!$C:$C,$A70,'NSE - Other Index Options'!$B:$B,E$4,'NSE - Other Index Options'!$I:$I,"Monthly*"))</f>
        <v/>
      </c>
      <c r="F70" s="26">
        <f>IF(SUMIFS('NSE - NIFTY Index Options'!$M:$M,'NSE - NIFTY Index Options'!$C:$C,$A70,'NSE - NIFTY Index Options'!$B:$B,F$4,'NSE - NIFTY Index Options'!$I:$I,"Monthly*")+SUMIFS('NSE - Other Index Options'!$M:$M,'NSE - Other Index Options'!$C:$C,$A70,'NSE - Other Index Options'!$B:$B,F$4,'NSE - Other Index Options'!$I:$I,"Monthly*")=0,"",SUMIFS('NSE - NIFTY Index Options'!$M:$M,'NSE - NIFTY Index Options'!$C:$C,$A70,'NSE - NIFTY Index Options'!$B:$B,F$4,'NSE - NIFTY Index Options'!$I:$I,"Monthly*")+SUMIFS('NSE - Other Index Options'!$M:$M,'NSE - Other Index Options'!$C:$C,$A70,'NSE - Other Index Options'!$B:$B,F$4,'NSE - Other Index Options'!$I:$I,"Monthly*"))</f>
        <v/>
      </c>
      <c r="G70" s="26">
        <f>IF(SUMIFS('NSE - NIFTY Index Options'!$M:$M,'NSE - NIFTY Index Options'!$C:$C,$A70,'NSE - NIFTY Index Options'!$B:$B,G$4,'NSE - NIFTY Index Options'!$I:$I,"Monthly*")+SUMIFS('NSE - Other Index Options'!$M:$M,'NSE - Other Index Options'!$C:$C,$A70,'NSE - Other Index Options'!$B:$B,G$4,'NSE - Other Index Options'!$I:$I,"Monthly*")=0,"",SUMIFS('NSE - NIFTY Index Options'!$M:$M,'NSE - NIFTY Index Options'!$C:$C,$A70,'NSE - NIFTY Index Options'!$B:$B,G$4,'NSE - NIFTY Index Options'!$I:$I,"Monthly*")+SUMIFS('NSE - Other Index Options'!$M:$M,'NSE - Other Index Options'!$C:$C,$A70,'NSE - Other Index Options'!$B:$B,G$4,'NSE - Other Index Options'!$I:$I,"Monthly*"))</f>
        <v/>
      </c>
      <c r="H70" s="26">
        <f>IF(SUM(B70:G70)=0,"",SUM(B70:G70))</f>
        <v/>
      </c>
    </row>
    <row r="71" hidden="1" outlineLevel="1">
      <c r="A71" t="inlineStr">
        <is>
          <t>Week3-Oct-2026</t>
        </is>
      </c>
      <c r="B71" s="26">
        <f>IF(SUMIFS('NSE - NIFTY Index Options'!$M:$M,'NSE - NIFTY Index Options'!$C:$C,$A71,'NSE - NIFTY Index Options'!$B:$B,B$4,'NSE - NIFTY Index Options'!$I:$I,"Monthly*")+SUMIFS('NSE - Other Index Options'!$M:$M,'NSE - Other Index Options'!$C:$C,$A71,'NSE - Other Index Options'!$B:$B,B$4,'NSE - Other Index Options'!$I:$I,"Monthly*")=0,"",SUMIFS('NSE - NIFTY Index Options'!$M:$M,'NSE - NIFTY Index Options'!$C:$C,$A71,'NSE - NIFTY Index Options'!$B:$B,B$4,'NSE - NIFTY Index Options'!$I:$I,"Monthly*")+SUMIFS('NSE - Other Index Options'!$M:$M,'NSE - Other Index Options'!$C:$C,$A71,'NSE - Other Index Options'!$B:$B,B$4,'NSE - Other Index Options'!$I:$I,"Monthly*"))</f>
        <v/>
      </c>
      <c r="C71" s="26">
        <f>IF(SUMIFS('NSE - NIFTY Index Options'!$M:$M,'NSE - NIFTY Index Options'!$C:$C,$A71,'NSE - NIFTY Index Options'!$B:$B,C$4,'NSE - NIFTY Index Options'!$I:$I,"Monthly*")+SUMIFS('NSE - Other Index Options'!$M:$M,'NSE - Other Index Options'!$C:$C,$A71,'NSE - Other Index Options'!$B:$B,C$4,'NSE - Other Index Options'!$I:$I,"Monthly*")=0,"",SUMIFS('NSE - NIFTY Index Options'!$M:$M,'NSE - NIFTY Index Options'!$C:$C,$A71,'NSE - NIFTY Index Options'!$B:$B,C$4,'NSE - NIFTY Index Options'!$I:$I,"Monthly*")+SUMIFS('NSE - Other Index Options'!$M:$M,'NSE - Other Index Options'!$C:$C,$A71,'NSE - Other Index Options'!$B:$B,C$4,'NSE - Other Index Options'!$I:$I,"Monthly*"))</f>
        <v/>
      </c>
      <c r="D71" s="26">
        <f>IF(SUMIFS('NSE - NIFTY Index Options'!$M:$M,'NSE - NIFTY Index Options'!$C:$C,$A71,'NSE - NIFTY Index Options'!$B:$B,D$4,'NSE - NIFTY Index Options'!$I:$I,"Monthly*")+SUMIFS('NSE - Other Index Options'!$M:$M,'NSE - Other Index Options'!$C:$C,$A71,'NSE - Other Index Options'!$B:$B,D$4,'NSE - Other Index Options'!$I:$I,"Monthly*")=0,"",SUMIFS('NSE - NIFTY Index Options'!$M:$M,'NSE - NIFTY Index Options'!$C:$C,$A71,'NSE - NIFTY Index Options'!$B:$B,D$4,'NSE - NIFTY Index Options'!$I:$I,"Monthly*")+SUMIFS('NSE - Other Index Options'!$M:$M,'NSE - Other Index Options'!$C:$C,$A71,'NSE - Other Index Options'!$B:$B,D$4,'NSE - Other Index Options'!$I:$I,"Monthly*"))</f>
        <v/>
      </c>
      <c r="E71" s="26">
        <f>IF(SUMIFS('NSE - NIFTY Index Options'!$M:$M,'NSE - NIFTY Index Options'!$C:$C,$A71,'NSE - NIFTY Index Options'!$B:$B,E$4,'NSE - NIFTY Index Options'!$I:$I,"Monthly*")+SUMIFS('NSE - Other Index Options'!$M:$M,'NSE - Other Index Options'!$C:$C,$A71,'NSE - Other Index Options'!$B:$B,E$4,'NSE - Other Index Options'!$I:$I,"Monthly*")=0,"",SUMIFS('NSE - NIFTY Index Options'!$M:$M,'NSE - NIFTY Index Options'!$C:$C,$A71,'NSE - NIFTY Index Options'!$B:$B,E$4,'NSE - NIFTY Index Options'!$I:$I,"Monthly*")+SUMIFS('NSE - Other Index Options'!$M:$M,'NSE - Other Index Options'!$C:$C,$A71,'NSE - Other Index Options'!$B:$B,E$4,'NSE - Other Index Options'!$I:$I,"Monthly*"))</f>
        <v/>
      </c>
      <c r="F71" s="26">
        <f>IF(SUMIFS('NSE - NIFTY Index Options'!$M:$M,'NSE - NIFTY Index Options'!$C:$C,$A71,'NSE - NIFTY Index Options'!$B:$B,F$4,'NSE - NIFTY Index Options'!$I:$I,"Monthly*")+SUMIFS('NSE - Other Index Options'!$M:$M,'NSE - Other Index Options'!$C:$C,$A71,'NSE - Other Index Options'!$B:$B,F$4,'NSE - Other Index Options'!$I:$I,"Monthly*")=0,"",SUMIFS('NSE - NIFTY Index Options'!$M:$M,'NSE - NIFTY Index Options'!$C:$C,$A71,'NSE - NIFTY Index Options'!$B:$B,F$4,'NSE - NIFTY Index Options'!$I:$I,"Monthly*")+SUMIFS('NSE - Other Index Options'!$M:$M,'NSE - Other Index Options'!$C:$C,$A71,'NSE - Other Index Options'!$B:$B,F$4,'NSE - Other Index Options'!$I:$I,"Monthly*"))</f>
        <v/>
      </c>
      <c r="G71" s="26">
        <f>IF(SUMIFS('NSE - NIFTY Index Options'!$M:$M,'NSE - NIFTY Index Options'!$C:$C,$A71,'NSE - NIFTY Index Options'!$B:$B,G$4,'NSE - NIFTY Index Options'!$I:$I,"Monthly*")+SUMIFS('NSE - Other Index Options'!$M:$M,'NSE - Other Index Options'!$C:$C,$A71,'NSE - Other Index Options'!$B:$B,G$4,'NSE - Other Index Options'!$I:$I,"Monthly*")=0,"",SUMIFS('NSE - NIFTY Index Options'!$M:$M,'NSE - NIFTY Index Options'!$C:$C,$A71,'NSE - NIFTY Index Options'!$B:$B,G$4,'NSE - NIFTY Index Options'!$I:$I,"Monthly*")+SUMIFS('NSE - Other Index Options'!$M:$M,'NSE - Other Index Options'!$C:$C,$A71,'NSE - Other Index Options'!$B:$B,G$4,'NSE - Other Index Options'!$I:$I,"Monthly*"))</f>
        <v/>
      </c>
      <c r="H71" s="26">
        <f>IF(SUM(B71:G71)=0,"",SUM(B71:G71))</f>
        <v/>
      </c>
    </row>
    <row r="72" hidden="1" outlineLevel="1">
      <c r="A72" t="inlineStr">
        <is>
          <t>Week4-Oct-2026</t>
        </is>
      </c>
      <c r="B72" s="26">
        <f>IF(SUMIFS('NSE - NIFTY Index Options'!$M:$M,'NSE - NIFTY Index Options'!$C:$C,$A72,'NSE - NIFTY Index Options'!$B:$B,B$4,'NSE - NIFTY Index Options'!$I:$I,"Monthly*")+SUMIFS('NSE - Other Index Options'!$M:$M,'NSE - Other Index Options'!$C:$C,$A72,'NSE - Other Index Options'!$B:$B,B$4,'NSE - Other Index Options'!$I:$I,"Monthly*")=0,"",SUMIFS('NSE - NIFTY Index Options'!$M:$M,'NSE - NIFTY Index Options'!$C:$C,$A72,'NSE - NIFTY Index Options'!$B:$B,B$4,'NSE - NIFTY Index Options'!$I:$I,"Monthly*")+SUMIFS('NSE - Other Index Options'!$M:$M,'NSE - Other Index Options'!$C:$C,$A72,'NSE - Other Index Options'!$B:$B,B$4,'NSE - Other Index Options'!$I:$I,"Monthly*"))</f>
        <v/>
      </c>
      <c r="C72" s="26">
        <f>IF(SUMIFS('NSE - NIFTY Index Options'!$M:$M,'NSE - NIFTY Index Options'!$C:$C,$A72,'NSE - NIFTY Index Options'!$B:$B,C$4,'NSE - NIFTY Index Options'!$I:$I,"Monthly*")+SUMIFS('NSE - Other Index Options'!$M:$M,'NSE - Other Index Options'!$C:$C,$A72,'NSE - Other Index Options'!$B:$B,C$4,'NSE - Other Index Options'!$I:$I,"Monthly*")=0,"",SUMIFS('NSE - NIFTY Index Options'!$M:$M,'NSE - NIFTY Index Options'!$C:$C,$A72,'NSE - NIFTY Index Options'!$B:$B,C$4,'NSE - NIFTY Index Options'!$I:$I,"Monthly*")+SUMIFS('NSE - Other Index Options'!$M:$M,'NSE - Other Index Options'!$C:$C,$A72,'NSE - Other Index Options'!$B:$B,C$4,'NSE - Other Index Options'!$I:$I,"Monthly*"))</f>
        <v/>
      </c>
      <c r="D72" s="26">
        <f>IF(SUMIFS('NSE - NIFTY Index Options'!$M:$M,'NSE - NIFTY Index Options'!$C:$C,$A72,'NSE - NIFTY Index Options'!$B:$B,D$4,'NSE - NIFTY Index Options'!$I:$I,"Monthly*")+SUMIFS('NSE - Other Index Options'!$M:$M,'NSE - Other Index Options'!$C:$C,$A72,'NSE - Other Index Options'!$B:$B,D$4,'NSE - Other Index Options'!$I:$I,"Monthly*")=0,"",SUMIFS('NSE - NIFTY Index Options'!$M:$M,'NSE - NIFTY Index Options'!$C:$C,$A72,'NSE - NIFTY Index Options'!$B:$B,D$4,'NSE - NIFTY Index Options'!$I:$I,"Monthly*")+SUMIFS('NSE - Other Index Options'!$M:$M,'NSE - Other Index Options'!$C:$C,$A72,'NSE - Other Index Options'!$B:$B,D$4,'NSE - Other Index Options'!$I:$I,"Monthly*"))</f>
        <v/>
      </c>
      <c r="E72" s="26">
        <f>IF(SUMIFS('NSE - NIFTY Index Options'!$M:$M,'NSE - NIFTY Index Options'!$C:$C,$A72,'NSE - NIFTY Index Options'!$B:$B,E$4,'NSE - NIFTY Index Options'!$I:$I,"Monthly*")+SUMIFS('NSE - Other Index Options'!$M:$M,'NSE - Other Index Options'!$C:$C,$A72,'NSE - Other Index Options'!$B:$B,E$4,'NSE - Other Index Options'!$I:$I,"Monthly*")=0,"",SUMIFS('NSE - NIFTY Index Options'!$M:$M,'NSE - NIFTY Index Options'!$C:$C,$A72,'NSE - NIFTY Index Options'!$B:$B,E$4,'NSE - NIFTY Index Options'!$I:$I,"Monthly*")+SUMIFS('NSE - Other Index Options'!$M:$M,'NSE - Other Index Options'!$C:$C,$A72,'NSE - Other Index Options'!$B:$B,E$4,'NSE - Other Index Options'!$I:$I,"Monthly*"))</f>
        <v/>
      </c>
      <c r="F72" s="26">
        <f>IF(SUMIFS('NSE - NIFTY Index Options'!$M:$M,'NSE - NIFTY Index Options'!$C:$C,$A72,'NSE - NIFTY Index Options'!$B:$B,F$4,'NSE - NIFTY Index Options'!$I:$I,"Monthly*")+SUMIFS('NSE - Other Index Options'!$M:$M,'NSE - Other Index Options'!$C:$C,$A72,'NSE - Other Index Options'!$B:$B,F$4,'NSE - Other Index Options'!$I:$I,"Monthly*")=0,"",SUMIFS('NSE - NIFTY Index Options'!$M:$M,'NSE - NIFTY Index Options'!$C:$C,$A72,'NSE - NIFTY Index Options'!$B:$B,F$4,'NSE - NIFTY Index Options'!$I:$I,"Monthly*")+SUMIFS('NSE - Other Index Options'!$M:$M,'NSE - Other Index Options'!$C:$C,$A72,'NSE - Other Index Options'!$B:$B,F$4,'NSE - Other Index Options'!$I:$I,"Monthly*"))</f>
        <v/>
      </c>
      <c r="G72" s="26">
        <f>IF(SUMIFS('NSE - NIFTY Index Options'!$M:$M,'NSE - NIFTY Index Options'!$C:$C,$A72,'NSE - NIFTY Index Options'!$B:$B,G$4,'NSE - NIFTY Index Options'!$I:$I,"Monthly*")+SUMIFS('NSE - Other Index Options'!$M:$M,'NSE - Other Index Options'!$C:$C,$A72,'NSE - Other Index Options'!$B:$B,G$4,'NSE - Other Index Options'!$I:$I,"Monthly*")=0,"",SUMIFS('NSE - NIFTY Index Options'!$M:$M,'NSE - NIFTY Index Options'!$C:$C,$A72,'NSE - NIFTY Index Options'!$B:$B,G$4,'NSE - NIFTY Index Options'!$I:$I,"Monthly*")+SUMIFS('NSE - Other Index Options'!$M:$M,'NSE - Other Index Options'!$C:$C,$A72,'NSE - Other Index Options'!$B:$B,G$4,'NSE - Other Index Options'!$I:$I,"Monthly*"))</f>
        <v/>
      </c>
      <c r="H72" s="26">
        <f>IF(SUM(B72:G72)=0,"",SUM(B72:G72))</f>
        <v/>
      </c>
    </row>
    <row r="73" hidden="1" outlineLevel="1">
      <c r="A73" t="inlineStr">
        <is>
          <t>Week5-Oct-2026</t>
        </is>
      </c>
      <c r="B73" s="26">
        <f>IF(SUMIFS('NSE - NIFTY Index Options'!$M:$M,'NSE - NIFTY Index Options'!$C:$C,$A73,'NSE - NIFTY Index Options'!$B:$B,B$4,'NSE - NIFTY Index Options'!$I:$I,"Monthly*")+SUMIFS('NSE - Other Index Options'!$M:$M,'NSE - Other Index Options'!$C:$C,$A73,'NSE - Other Index Options'!$B:$B,B$4,'NSE - Other Index Options'!$I:$I,"Monthly*")=0,"",SUMIFS('NSE - NIFTY Index Options'!$M:$M,'NSE - NIFTY Index Options'!$C:$C,$A73,'NSE - NIFTY Index Options'!$B:$B,B$4,'NSE - NIFTY Index Options'!$I:$I,"Monthly*")+SUMIFS('NSE - Other Index Options'!$M:$M,'NSE - Other Index Options'!$C:$C,$A73,'NSE - Other Index Options'!$B:$B,B$4,'NSE - Other Index Options'!$I:$I,"Monthly*"))</f>
        <v/>
      </c>
      <c r="C73" s="26">
        <f>IF(SUMIFS('NSE - NIFTY Index Options'!$M:$M,'NSE - NIFTY Index Options'!$C:$C,$A73,'NSE - NIFTY Index Options'!$B:$B,C$4,'NSE - NIFTY Index Options'!$I:$I,"Monthly*")+SUMIFS('NSE - Other Index Options'!$M:$M,'NSE - Other Index Options'!$C:$C,$A73,'NSE - Other Index Options'!$B:$B,C$4,'NSE - Other Index Options'!$I:$I,"Monthly*")=0,"",SUMIFS('NSE - NIFTY Index Options'!$M:$M,'NSE - NIFTY Index Options'!$C:$C,$A73,'NSE - NIFTY Index Options'!$B:$B,C$4,'NSE - NIFTY Index Options'!$I:$I,"Monthly*")+SUMIFS('NSE - Other Index Options'!$M:$M,'NSE - Other Index Options'!$C:$C,$A73,'NSE - Other Index Options'!$B:$B,C$4,'NSE - Other Index Options'!$I:$I,"Monthly*"))</f>
        <v/>
      </c>
      <c r="D73" s="26">
        <f>IF(SUMIFS('NSE - NIFTY Index Options'!$M:$M,'NSE - NIFTY Index Options'!$C:$C,$A73,'NSE - NIFTY Index Options'!$B:$B,D$4,'NSE - NIFTY Index Options'!$I:$I,"Monthly*")+SUMIFS('NSE - Other Index Options'!$M:$M,'NSE - Other Index Options'!$C:$C,$A73,'NSE - Other Index Options'!$B:$B,D$4,'NSE - Other Index Options'!$I:$I,"Monthly*")=0,"",SUMIFS('NSE - NIFTY Index Options'!$M:$M,'NSE - NIFTY Index Options'!$C:$C,$A73,'NSE - NIFTY Index Options'!$B:$B,D$4,'NSE - NIFTY Index Options'!$I:$I,"Monthly*")+SUMIFS('NSE - Other Index Options'!$M:$M,'NSE - Other Index Options'!$C:$C,$A73,'NSE - Other Index Options'!$B:$B,D$4,'NSE - Other Index Options'!$I:$I,"Monthly*"))</f>
        <v/>
      </c>
      <c r="E73" s="26">
        <f>IF(SUMIFS('NSE - NIFTY Index Options'!$M:$M,'NSE - NIFTY Index Options'!$C:$C,$A73,'NSE - NIFTY Index Options'!$B:$B,E$4,'NSE - NIFTY Index Options'!$I:$I,"Monthly*")+SUMIFS('NSE - Other Index Options'!$M:$M,'NSE - Other Index Options'!$C:$C,$A73,'NSE - Other Index Options'!$B:$B,E$4,'NSE - Other Index Options'!$I:$I,"Monthly*")=0,"",SUMIFS('NSE - NIFTY Index Options'!$M:$M,'NSE - NIFTY Index Options'!$C:$C,$A73,'NSE - NIFTY Index Options'!$B:$B,E$4,'NSE - NIFTY Index Options'!$I:$I,"Monthly*")+SUMIFS('NSE - Other Index Options'!$M:$M,'NSE - Other Index Options'!$C:$C,$A73,'NSE - Other Index Options'!$B:$B,E$4,'NSE - Other Index Options'!$I:$I,"Monthly*"))</f>
        <v/>
      </c>
      <c r="F73" s="26">
        <f>IF(SUMIFS('NSE - NIFTY Index Options'!$M:$M,'NSE - NIFTY Index Options'!$C:$C,$A73,'NSE - NIFTY Index Options'!$B:$B,F$4,'NSE - NIFTY Index Options'!$I:$I,"Monthly*")+SUMIFS('NSE - Other Index Options'!$M:$M,'NSE - Other Index Options'!$C:$C,$A73,'NSE - Other Index Options'!$B:$B,F$4,'NSE - Other Index Options'!$I:$I,"Monthly*")=0,"",SUMIFS('NSE - NIFTY Index Options'!$M:$M,'NSE - NIFTY Index Options'!$C:$C,$A73,'NSE - NIFTY Index Options'!$B:$B,F$4,'NSE - NIFTY Index Options'!$I:$I,"Monthly*")+SUMIFS('NSE - Other Index Options'!$M:$M,'NSE - Other Index Options'!$C:$C,$A73,'NSE - Other Index Options'!$B:$B,F$4,'NSE - Other Index Options'!$I:$I,"Monthly*"))</f>
        <v/>
      </c>
      <c r="G73" s="26">
        <f>IF(SUMIFS('NSE - NIFTY Index Options'!$M:$M,'NSE - NIFTY Index Options'!$C:$C,$A73,'NSE - NIFTY Index Options'!$B:$B,G$4,'NSE - NIFTY Index Options'!$I:$I,"Monthly*")+SUMIFS('NSE - Other Index Options'!$M:$M,'NSE - Other Index Options'!$C:$C,$A73,'NSE - Other Index Options'!$B:$B,G$4,'NSE - Other Index Options'!$I:$I,"Monthly*")=0,"",SUMIFS('NSE - NIFTY Index Options'!$M:$M,'NSE - NIFTY Index Options'!$C:$C,$A73,'NSE - NIFTY Index Options'!$B:$B,G$4,'NSE - NIFTY Index Options'!$I:$I,"Monthly*")+SUMIFS('NSE - Other Index Options'!$M:$M,'NSE - Other Index Options'!$C:$C,$A73,'NSE - Other Index Options'!$B:$B,G$4,'NSE - Other Index Options'!$I:$I,"Monthly*"))</f>
        <v/>
      </c>
      <c r="H73" s="26">
        <f>IF(SUM(B73:G73)=0,"",SUM(B73:G73))</f>
        <v/>
      </c>
    </row>
    <row r="74" hidden="1" outlineLevel="1">
      <c r="A74" t="inlineStr">
        <is>
          <t>Week1-Nov-2026</t>
        </is>
      </c>
      <c r="B74" s="26">
        <f>IF(SUMIFS('NSE - NIFTY Index Options'!$M:$M,'NSE - NIFTY Index Options'!$C:$C,$A74,'NSE - NIFTY Index Options'!$B:$B,B$4,'NSE - NIFTY Index Options'!$I:$I,"Monthly*")+SUMIFS('NSE - Other Index Options'!$M:$M,'NSE - Other Index Options'!$C:$C,$A74,'NSE - Other Index Options'!$B:$B,B$4,'NSE - Other Index Options'!$I:$I,"Monthly*")=0,"",SUMIFS('NSE - NIFTY Index Options'!$M:$M,'NSE - NIFTY Index Options'!$C:$C,$A74,'NSE - NIFTY Index Options'!$B:$B,B$4,'NSE - NIFTY Index Options'!$I:$I,"Monthly*")+SUMIFS('NSE - Other Index Options'!$M:$M,'NSE - Other Index Options'!$C:$C,$A74,'NSE - Other Index Options'!$B:$B,B$4,'NSE - Other Index Options'!$I:$I,"Monthly*"))</f>
        <v/>
      </c>
      <c r="C74" s="26">
        <f>IF(SUMIFS('NSE - NIFTY Index Options'!$M:$M,'NSE - NIFTY Index Options'!$C:$C,$A74,'NSE - NIFTY Index Options'!$B:$B,C$4,'NSE - NIFTY Index Options'!$I:$I,"Monthly*")+SUMIFS('NSE - Other Index Options'!$M:$M,'NSE - Other Index Options'!$C:$C,$A74,'NSE - Other Index Options'!$B:$B,C$4,'NSE - Other Index Options'!$I:$I,"Monthly*")=0,"",SUMIFS('NSE - NIFTY Index Options'!$M:$M,'NSE - NIFTY Index Options'!$C:$C,$A74,'NSE - NIFTY Index Options'!$B:$B,C$4,'NSE - NIFTY Index Options'!$I:$I,"Monthly*")+SUMIFS('NSE - Other Index Options'!$M:$M,'NSE - Other Index Options'!$C:$C,$A74,'NSE - Other Index Options'!$B:$B,C$4,'NSE - Other Index Options'!$I:$I,"Monthly*"))</f>
        <v/>
      </c>
      <c r="D74" s="26">
        <f>IF(SUMIFS('NSE - NIFTY Index Options'!$M:$M,'NSE - NIFTY Index Options'!$C:$C,$A74,'NSE - NIFTY Index Options'!$B:$B,D$4,'NSE - NIFTY Index Options'!$I:$I,"Monthly*")+SUMIFS('NSE - Other Index Options'!$M:$M,'NSE - Other Index Options'!$C:$C,$A74,'NSE - Other Index Options'!$B:$B,D$4,'NSE - Other Index Options'!$I:$I,"Monthly*")=0,"",SUMIFS('NSE - NIFTY Index Options'!$M:$M,'NSE - NIFTY Index Options'!$C:$C,$A74,'NSE - NIFTY Index Options'!$B:$B,D$4,'NSE - NIFTY Index Options'!$I:$I,"Monthly*")+SUMIFS('NSE - Other Index Options'!$M:$M,'NSE - Other Index Options'!$C:$C,$A74,'NSE - Other Index Options'!$B:$B,D$4,'NSE - Other Index Options'!$I:$I,"Monthly*"))</f>
        <v/>
      </c>
      <c r="E74" s="26">
        <f>IF(SUMIFS('NSE - NIFTY Index Options'!$M:$M,'NSE - NIFTY Index Options'!$C:$C,$A74,'NSE - NIFTY Index Options'!$B:$B,E$4,'NSE - NIFTY Index Options'!$I:$I,"Monthly*")+SUMIFS('NSE - Other Index Options'!$M:$M,'NSE - Other Index Options'!$C:$C,$A74,'NSE - Other Index Options'!$B:$B,E$4,'NSE - Other Index Options'!$I:$I,"Monthly*")=0,"",SUMIFS('NSE - NIFTY Index Options'!$M:$M,'NSE - NIFTY Index Options'!$C:$C,$A74,'NSE - NIFTY Index Options'!$B:$B,E$4,'NSE - NIFTY Index Options'!$I:$I,"Monthly*")+SUMIFS('NSE - Other Index Options'!$M:$M,'NSE - Other Index Options'!$C:$C,$A74,'NSE - Other Index Options'!$B:$B,E$4,'NSE - Other Index Options'!$I:$I,"Monthly*"))</f>
        <v/>
      </c>
      <c r="F74" s="26">
        <f>IF(SUMIFS('NSE - NIFTY Index Options'!$M:$M,'NSE - NIFTY Index Options'!$C:$C,$A74,'NSE - NIFTY Index Options'!$B:$B,F$4,'NSE - NIFTY Index Options'!$I:$I,"Monthly*")+SUMIFS('NSE - Other Index Options'!$M:$M,'NSE - Other Index Options'!$C:$C,$A74,'NSE - Other Index Options'!$B:$B,F$4,'NSE - Other Index Options'!$I:$I,"Monthly*")=0,"",SUMIFS('NSE - NIFTY Index Options'!$M:$M,'NSE - NIFTY Index Options'!$C:$C,$A74,'NSE - NIFTY Index Options'!$B:$B,F$4,'NSE - NIFTY Index Options'!$I:$I,"Monthly*")+SUMIFS('NSE - Other Index Options'!$M:$M,'NSE - Other Index Options'!$C:$C,$A74,'NSE - Other Index Options'!$B:$B,F$4,'NSE - Other Index Options'!$I:$I,"Monthly*"))</f>
        <v/>
      </c>
      <c r="G74" s="26">
        <f>IF(SUMIFS('NSE - NIFTY Index Options'!$M:$M,'NSE - NIFTY Index Options'!$C:$C,$A74,'NSE - NIFTY Index Options'!$B:$B,G$4,'NSE - NIFTY Index Options'!$I:$I,"Monthly*")+SUMIFS('NSE - Other Index Options'!$M:$M,'NSE - Other Index Options'!$C:$C,$A74,'NSE - Other Index Options'!$B:$B,G$4,'NSE - Other Index Options'!$I:$I,"Monthly*")=0,"",SUMIFS('NSE - NIFTY Index Options'!$M:$M,'NSE - NIFTY Index Options'!$C:$C,$A74,'NSE - NIFTY Index Options'!$B:$B,G$4,'NSE - NIFTY Index Options'!$I:$I,"Monthly*")+SUMIFS('NSE - Other Index Options'!$M:$M,'NSE - Other Index Options'!$C:$C,$A74,'NSE - Other Index Options'!$B:$B,G$4,'NSE - Other Index Options'!$I:$I,"Monthly*"))</f>
        <v/>
      </c>
      <c r="H74" s="26">
        <f>IF(SUM(B74:G74)=0,"",SUM(B74:G74))</f>
        <v/>
      </c>
    </row>
    <row r="75" hidden="1" outlineLevel="1">
      <c r="A75" t="inlineStr">
        <is>
          <t>Week2-Nov-2026</t>
        </is>
      </c>
      <c r="B75" s="26">
        <f>IF(SUMIFS('NSE - NIFTY Index Options'!$M:$M,'NSE - NIFTY Index Options'!$C:$C,$A75,'NSE - NIFTY Index Options'!$B:$B,B$4,'NSE - NIFTY Index Options'!$I:$I,"Monthly*")+SUMIFS('NSE - Other Index Options'!$M:$M,'NSE - Other Index Options'!$C:$C,$A75,'NSE - Other Index Options'!$B:$B,B$4,'NSE - Other Index Options'!$I:$I,"Monthly*")=0,"",SUMIFS('NSE - NIFTY Index Options'!$M:$M,'NSE - NIFTY Index Options'!$C:$C,$A75,'NSE - NIFTY Index Options'!$B:$B,B$4,'NSE - NIFTY Index Options'!$I:$I,"Monthly*")+SUMIFS('NSE - Other Index Options'!$M:$M,'NSE - Other Index Options'!$C:$C,$A75,'NSE - Other Index Options'!$B:$B,B$4,'NSE - Other Index Options'!$I:$I,"Monthly*"))</f>
        <v/>
      </c>
      <c r="C75" s="26">
        <f>IF(SUMIFS('NSE - NIFTY Index Options'!$M:$M,'NSE - NIFTY Index Options'!$C:$C,$A75,'NSE - NIFTY Index Options'!$B:$B,C$4,'NSE - NIFTY Index Options'!$I:$I,"Monthly*")+SUMIFS('NSE - Other Index Options'!$M:$M,'NSE - Other Index Options'!$C:$C,$A75,'NSE - Other Index Options'!$B:$B,C$4,'NSE - Other Index Options'!$I:$I,"Monthly*")=0,"",SUMIFS('NSE - NIFTY Index Options'!$M:$M,'NSE - NIFTY Index Options'!$C:$C,$A75,'NSE - NIFTY Index Options'!$B:$B,C$4,'NSE - NIFTY Index Options'!$I:$I,"Monthly*")+SUMIFS('NSE - Other Index Options'!$M:$M,'NSE - Other Index Options'!$C:$C,$A75,'NSE - Other Index Options'!$B:$B,C$4,'NSE - Other Index Options'!$I:$I,"Monthly*"))</f>
        <v/>
      </c>
      <c r="D75" s="26">
        <f>IF(SUMIFS('NSE - NIFTY Index Options'!$M:$M,'NSE - NIFTY Index Options'!$C:$C,$A75,'NSE - NIFTY Index Options'!$B:$B,D$4,'NSE - NIFTY Index Options'!$I:$I,"Monthly*")+SUMIFS('NSE - Other Index Options'!$M:$M,'NSE - Other Index Options'!$C:$C,$A75,'NSE - Other Index Options'!$B:$B,D$4,'NSE - Other Index Options'!$I:$I,"Monthly*")=0,"",SUMIFS('NSE - NIFTY Index Options'!$M:$M,'NSE - NIFTY Index Options'!$C:$C,$A75,'NSE - NIFTY Index Options'!$B:$B,D$4,'NSE - NIFTY Index Options'!$I:$I,"Monthly*")+SUMIFS('NSE - Other Index Options'!$M:$M,'NSE - Other Index Options'!$C:$C,$A75,'NSE - Other Index Options'!$B:$B,D$4,'NSE - Other Index Options'!$I:$I,"Monthly*"))</f>
        <v/>
      </c>
      <c r="E75" s="26">
        <f>IF(SUMIFS('NSE - NIFTY Index Options'!$M:$M,'NSE - NIFTY Index Options'!$C:$C,$A75,'NSE - NIFTY Index Options'!$B:$B,E$4,'NSE - NIFTY Index Options'!$I:$I,"Monthly*")+SUMIFS('NSE - Other Index Options'!$M:$M,'NSE - Other Index Options'!$C:$C,$A75,'NSE - Other Index Options'!$B:$B,E$4,'NSE - Other Index Options'!$I:$I,"Monthly*")=0,"",SUMIFS('NSE - NIFTY Index Options'!$M:$M,'NSE - NIFTY Index Options'!$C:$C,$A75,'NSE - NIFTY Index Options'!$B:$B,E$4,'NSE - NIFTY Index Options'!$I:$I,"Monthly*")+SUMIFS('NSE - Other Index Options'!$M:$M,'NSE - Other Index Options'!$C:$C,$A75,'NSE - Other Index Options'!$B:$B,E$4,'NSE - Other Index Options'!$I:$I,"Monthly*"))</f>
        <v/>
      </c>
      <c r="F75" s="26">
        <f>IF(SUMIFS('NSE - NIFTY Index Options'!$M:$M,'NSE - NIFTY Index Options'!$C:$C,$A75,'NSE - NIFTY Index Options'!$B:$B,F$4,'NSE - NIFTY Index Options'!$I:$I,"Monthly*")+SUMIFS('NSE - Other Index Options'!$M:$M,'NSE - Other Index Options'!$C:$C,$A75,'NSE - Other Index Options'!$B:$B,F$4,'NSE - Other Index Options'!$I:$I,"Monthly*")=0,"",SUMIFS('NSE - NIFTY Index Options'!$M:$M,'NSE - NIFTY Index Options'!$C:$C,$A75,'NSE - NIFTY Index Options'!$B:$B,F$4,'NSE - NIFTY Index Options'!$I:$I,"Monthly*")+SUMIFS('NSE - Other Index Options'!$M:$M,'NSE - Other Index Options'!$C:$C,$A75,'NSE - Other Index Options'!$B:$B,F$4,'NSE - Other Index Options'!$I:$I,"Monthly*"))</f>
        <v/>
      </c>
      <c r="G75" s="26">
        <f>IF(SUMIFS('NSE - NIFTY Index Options'!$M:$M,'NSE - NIFTY Index Options'!$C:$C,$A75,'NSE - NIFTY Index Options'!$B:$B,G$4,'NSE - NIFTY Index Options'!$I:$I,"Monthly*")+SUMIFS('NSE - Other Index Options'!$M:$M,'NSE - Other Index Options'!$C:$C,$A75,'NSE - Other Index Options'!$B:$B,G$4,'NSE - Other Index Options'!$I:$I,"Monthly*")=0,"",SUMIFS('NSE - NIFTY Index Options'!$M:$M,'NSE - NIFTY Index Options'!$C:$C,$A75,'NSE - NIFTY Index Options'!$B:$B,G$4,'NSE - NIFTY Index Options'!$I:$I,"Monthly*")+SUMIFS('NSE - Other Index Options'!$M:$M,'NSE - Other Index Options'!$C:$C,$A75,'NSE - Other Index Options'!$B:$B,G$4,'NSE - Other Index Options'!$I:$I,"Monthly*"))</f>
        <v/>
      </c>
      <c r="H75" s="26">
        <f>IF(SUM(B75:G75)=0,"",SUM(B75:G75))</f>
        <v/>
      </c>
    </row>
    <row r="76" hidden="1" outlineLevel="1">
      <c r="A76" t="inlineStr">
        <is>
          <t>Week3-Nov-2026</t>
        </is>
      </c>
      <c r="B76" s="26">
        <f>IF(SUMIFS('NSE - NIFTY Index Options'!$M:$M,'NSE - NIFTY Index Options'!$C:$C,$A76,'NSE - NIFTY Index Options'!$B:$B,B$4,'NSE - NIFTY Index Options'!$I:$I,"Monthly*")+SUMIFS('NSE - Other Index Options'!$M:$M,'NSE - Other Index Options'!$C:$C,$A76,'NSE - Other Index Options'!$B:$B,B$4,'NSE - Other Index Options'!$I:$I,"Monthly*")=0,"",SUMIFS('NSE - NIFTY Index Options'!$M:$M,'NSE - NIFTY Index Options'!$C:$C,$A76,'NSE - NIFTY Index Options'!$B:$B,B$4,'NSE - NIFTY Index Options'!$I:$I,"Monthly*")+SUMIFS('NSE - Other Index Options'!$M:$M,'NSE - Other Index Options'!$C:$C,$A76,'NSE - Other Index Options'!$B:$B,B$4,'NSE - Other Index Options'!$I:$I,"Monthly*"))</f>
        <v/>
      </c>
      <c r="C76" s="26">
        <f>IF(SUMIFS('NSE - NIFTY Index Options'!$M:$M,'NSE - NIFTY Index Options'!$C:$C,$A76,'NSE - NIFTY Index Options'!$B:$B,C$4,'NSE - NIFTY Index Options'!$I:$I,"Monthly*")+SUMIFS('NSE - Other Index Options'!$M:$M,'NSE - Other Index Options'!$C:$C,$A76,'NSE - Other Index Options'!$B:$B,C$4,'NSE - Other Index Options'!$I:$I,"Monthly*")=0,"",SUMIFS('NSE - NIFTY Index Options'!$M:$M,'NSE - NIFTY Index Options'!$C:$C,$A76,'NSE - NIFTY Index Options'!$B:$B,C$4,'NSE - NIFTY Index Options'!$I:$I,"Monthly*")+SUMIFS('NSE - Other Index Options'!$M:$M,'NSE - Other Index Options'!$C:$C,$A76,'NSE - Other Index Options'!$B:$B,C$4,'NSE - Other Index Options'!$I:$I,"Monthly*"))</f>
        <v/>
      </c>
      <c r="D76" s="26">
        <f>IF(SUMIFS('NSE - NIFTY Index Options'!$M:$M,'NSE - NIFTY Index Options'!$C:$C,$A76,'NSE - NIFTY Index Options'!$B:$B,D$4,'NSE - NIFTY Index Options'!$I:$I,"Monthly*")+SUMIFS('NSE - Other Index Options'!$M:$M,'NSE - Other Index Options'!$C:$C,$A76,'NSE - Other Index Options'!$B:$B,D$4,'NSE - Other Index Options'!$I:$I,"Monthly*")=0,"",SUMIFS('NSE - NIFTY Index Options'!$M:$M,'NSE - NIFTY Index Options'!$C:$C,$A76,'NSE - NIFTY Index Options'!$B:$B,D$4,'NSE - NIFTY Index Options'!$I:$I,"Monthly*")+SUMIFS('NSE - Other Index Options'!$M:$M,'NSE - Other Index Options'!$C:$C,$A76,'NSE - Other Index Options'!$B:$B,D$4,'NSE - Other Index Options'!$I:$I,"Monthly*"))</f>
        <v/>
      </c>
      <c r="E76" s="26">
        <f>IF(SUMIFS('NSE - NIFTY Index Options'!$M:$M,'NSE - NIFTY Index Options'!$C:$C,$A76,'NSE - NIFTY Index Options'!$B:$B,E$4,'NSE - NIFTY Index Options'!$I:$I,"Monthly*")+SUMIFS('NSE - Other Index Options'!$M:$M,'NSE - Other Index Options'!$C:$C,$A76,'NSE - Other Index Options'!$B:$B,E$4,'NSE - Other Index Options'!$I:$I,"Monthly*")=0,"",SUMIFS('NSE - NIFTY Index Options'!$M:$M,'NSE - NIFTY Index Options'!$C:$C,$A76,'NSE - NIFTY Index Options'!$B:$B,E$4,'NSE - NIFTY Index Options'!$I:$I,"Monthly*")+SUMIFS('NSE - Other Index Options'!$M:$M,'NSE - Other Index Options'!$C:$C,$A76,'NSE - Other Index Options'!$B:$B,E$4,'NSE - Other Index Options'!$I:$I,"Monthly*"))</f>
        <v/>
      </c>
      <c r="F76" s="26">
        <f>IF(SUMIFS('NSE - NIFTY Index Options'!$M:$M,'NSE - NIFTY Index Options'!$C:$C,$A76,'NSE - NIFTY Index Options'!$B:$B,F$4,'NSE - NIFTY Index Options'!$I:$I,"Monthly*")+SUMIFS('NSE - Other Index Options'!$M:$M,'NSE - Other Index Options'!$C:$C,$A76,'NSE - Other Index Options'!$B:$B,F$4,'NSE - Other Index Options'!$I:$I,"Monthly*")=0,"",SUMIFS('NSE - NIFTY Index Options'!$M:$M,'NSE - NIFTY Index Options'!$C:$C,$A76,'NSE - NIFTY Index Options'!$B:$B,F$4,'NSE - NIFTY Index Options'!$I:$I,"Monthly*")+SUMIFS('NSE - Other Index Options'!$M:$M,'NSE - Other Index Options'!$C:$C,$A76,'NSE - Other Index Options'!$B:$B,F$4,'NSE - Other Index Options'!$I:$I,"Monthly*"))</f>
        <v/>
      </c>
      <c r="G76" s="26">
        <f>IF(SUMIFS('NSE - NIFTY Index Options'!$M:$M,'NSE - NIFTY Index Options'!$C:$C,$A76,'NSE - NIFTY Index Options'!$B:$B,G$4,'NSE - NIFTY Index Options'!$I:$I,"Monthly*")+SUMIFS('NSE - Other Index Options'!$M:$M,'NSE - Other Index Options'!$C:$C,$A76,'NSE - Other Index Options'!$B:$B,G$4,'NSE - Other Index Options'!$I:$I,"Monthly*")=0,"",SUMIFS('NSE - NIFTY Index Options'!$M:$M,'NSE - NIFTY Index Options'!$C:$C,$A76,'NSE - NIFTY Index Options'!$B:$B,G$4,'NSE - NIFTY Index Options'!$I:$I,"Monthly*")+SUMIFS('NSE - Other Index Options'!$M:$M,'NSE - Other Index Options'!$C:$C,$A76,'NSE - Other Index Options'!$B:$B,G$4,'NSE - Other Index Options'!$I:$I,"Monthly*"))</f>
        <v/>
      </c>
      <c r="H76" s="26">
        <f>IF(SUM(B76:G76)=0,"",SUM(B76:G76))</f>
        <v/>
      </c>
    </row>
    <row r="77" hidden="1" outlineLevel="1">
      <c r="A77" t="inlineStr">
        <is>
          <t>Week4-Nov-2026</t>
        </is>
      </c>
      <c r="B77" s="26">
        <f>IF(SUMIFS('NSE - NIFTY Index Options'!$M:$M,'NSE - NIFTY Index Options'!$C:$C,$A77,'NSE - NIFTY Index Options'!$B:$B,B$4,'NSE - NIFTY Index Options'!$I:$I,"Monthly*")+SUMIFS('NSE - Other Index Options'!$M:$M,'NSE - Other Index Options'!$C:$C,$A77,'NSE - Other Index Options'!$B:$B,B$4,'NSE - Other Index Options'!$I:$I,"Monthly*")=0,"",SUMIFS('NSE - NIFTY Index Options'!$M:$M,'NSE - NIFTY Index Options'!$C:$C,$A77,'NSE - NIFTY Index Options'!$B:$B,B$4,'NSE - NIFTY Index Options'!$I:$I,"Monthly*")+SUMIFS('NSE - Other Index Options'!$M:$M,'NSE - Other Index Options'!$C:$C,$A77,'NSE - Other Index Options'!$B:$B,B$4,'NSE - Other Index Options'!$I:$I,"Monthly*"))</f>
        <v/>
      </c>
      <c r="C77" s="26">
        <f>IF(SUMIFS('NSE - NIFTY Index Options'!$M:$M,'NSE - NIFTY Index Options'!$C:$C,$A77,'NSE - NIFTY Index Options'!$B:$B,C$4,'NSE - NIFTY Index Options'!$I:$I,"Monthly*")+SUMIFS('NSE - Other Index Options'!$M:$M,'NSE - Other Index Options'!$C:$C,$A77,'NSE - Other Index Options'!$B:$B,C$4,'NSE - Other Index Options'!$I:$I,"Monthly*")=0,"",SUMIFS('NSE - NIFTY Index Options'!$M:$M,'NSE - NIFTY Index Options'!$C:$C,$A77,'NSE - NIFTY Index Options'!$B:$B,C$4,'NSE - NIFTY Index Options'!$I:$I,"Monthly*")+SUMIFS('NSE - Other Index Options'!$M:$M,'NSE - Other Index Options'!$C:$C,$A77,'NSE - Other Index Options'!$B:$B,C$4,'NSE - Other Index Options'!$I:$I,"Monthly*"))</f>
        <v/>
      </c>
      <c r="D77" s="26">
        <f>IF(SUMIFS('NSE - NIFTY Index Options'!$M:$M,'NSE - NIFTY Index Options'!$C:$C,$A77,'NSE - NIFTY Index Options'!$B:$B,D$4,'NSE - NIFTY Index Options'!$I:$I,"Monthly*")+SUMIFS('NSE - Other Index Options'!$M:$M,'NSE - Other Index Options'!$C:$C,$A77,'NSE - Other Index Options'!$B:$B,D$4,'NSE - Other Index Options'!$I:$I,"Monthly*")=0,"",SUMIFS('NSE - NIFTY Index Options'!$M:$M,'NSE - NIFTY Index Options'!$C:$C,$A77,'NSE - NIFTY Index Options'!$B:$B,D$4,'NSE - NIFTY Index Options'!$I:$I,"Monthly*")+SUMIFS('NSE - Other Index Options'!$M:$M,'NSE - Other Index Options'!$C:$C,$A77,'NSE - Other Index Options'!$B:$B,D$4,'NSE - Other Index Options'!$I:$I,"Monthly*"))</f>
        <v/>
      </c>
      <c r="E77" s="26">
        <f>IF(SUMIFS('NSE - NIFTY Index Options'!$M:$M,'NSE - NIFTY Index Options'!$C:$C,$A77,'NSE - NIFTY Index Options'!$B:$B,E$4,'NSE - NIFTY Index Options'!$I:$I,"Monthly*")+SUMIFS('NSE - Other Index Options'!$M:$M,'NSE - Other Index Options'!$C:$C,$A77,'NSE - Other Index Options'!$B:$B,E$4,'NSE - Other Index Options'!$I:$I,"Monthly*")=0,"",SUMIFS('NSE - NIFTY Index Options'!$M:$M,'NSE - NIFTY Index Options'!$C:$C,$A77,'NSE - NIFTY Index Options'!$B:$B,E$4,'NSE - NIFTY Index Options'!$I:$I,"Monthly*")+SUMIFS('NSE - Other Index Options'!$M:$M,'NSE - Other Index Options'!$C:$C,$A77,'NSE - Other Index Options'!$B:$B,E$4,'NSE - Other Index Options'!$I:$I,"Monthly*"))</f>
        <v/>
      </c>
      <c r="F77" s="26">
        <f>IF(SUMIFS('NSE - NIFTY Index Options'!$M:$M,'NSE - NIFTY Index Options'!$C:$C,$A77,'NSE - NIFTY Index Options'!$B:$B,F$4,'NSE - NIFTY Index Options'!$I:$I,"Monthly*")+SUMIFS('NSE - Other Index Options'!$M:$M,'NSE - Other Index Options'!$C:$C,$A77,'NSE - Other Index Options'!$B:$B,F$4,'NSE - Other Index Options'!$I:$I,"Monthly*")=0,"",SUMIFS('NSE - NIFTY Index Options'!$M:$M,'NSE - NIFTY Index Options'!$C:$C,$A77,'NSE - NIFTY Index Options'!$B:$B,F$4,'NSE - NIFTY Index Options'!$I:$I,"Monthly*")+SUMIFS('NSE - Other Index Options'!$M:$M,'NSE - Other Index Options'!$C:$C,$A77,'NSE - Other Index Options'!$B:$B,F$4,'NSE - Other Index Options'!$I:$I,"Monthly*"))</f>
        <v/>
      </c>
      <c r="G77" s="26">
        <f>IF(SUMIFS('NSE - NIFTY Index Options'!$M:$M,'NSE - NIFTY Index Options'!$C:$C,$A77,'NSE - NIFTY Index Options'!$B:$B,G$4,'NSE - NIFTY Index Options'!$I:$I,"Monthly*")+SUMIFS('NSE - Other Index Options'!$M:$M,'NSE - Other Index Options'!$C:$C,$A77,'NSE - Other Index Options'!$B:$B,G$4,'NSE - Other Index Options'!$I:$I,"Monthly*")=0,"",SUMIFS('NSE - NIFTY Index Options'!$M:$M,'NSE - NIFTY Index Options'!$C:$C,$A77,'NSE - NIFTY Index Options'!$B:$B,G$4,'NSE - NIFTY Index Options'!$I:$I,"Monthly*")+SUMIFS('NSE - Other Index Options'!$M:$M,'NSE - Other Index Options'!$C:$C,$A77,'NSE - Other Index Options'!$B:$B,G$4,'NSE - Other Index Options'!$I:$I,"Monthly*"))</f>
        <v/>
      </c>
      <c r="H77" s="26">
        <f>IF(SUM(B77:G77)=0,"",SUM(B77:G77))</f>
        <v/>
      </c>
    </row>
    <row r="78" hidden="1" outlineLevel="1">
      <c r="A78" t="inlineStr">
        <is>
          <t>Week5-Nov-2026</t>
        </is>
      </c>
      <c r="B78" s="26">
        <f>IF(SUMIFS('NSE - NIFTY Index Options'!$M:$M,'NSE - NIFTY Index Options'!$C:$C,$A78,'NSE - NIFTY Index Options'!$B:$B,B$4,'NSE - NIFTY Index Options'!$I:$I,"Monthly*")+SUMIFS('NSE - Other Index Options'!$M:$M,'NSE - Other Index Options'!$C:$C,$A78,'NSE - Other Index Options'!$B:$B,B$4,'NSE - Other Index Options'!$I:$I,"Monthly*")=0,"",SUMIFS('NSE - NIFTY Index Options'!$M:$M,'NSE - NIFTY Index Options'!$C:$C,$A78,'NSE - NIFTY Index Options'!$B:$B,B$4,'NSE - NIFTY Index Options'!$I:$I,"Monthly*")+SUMIFS('NSE - Other Index Options'!$M:$M,'NSE - Other Index Options'!$C:$C,$A78,'NSE - Other Index Options'!$B:$B,B$4,'NSE - Other Index Options'!$I:$I,"Monthly*"))</f>
        <v/>
      </c>
      <c r="C78" s="26">
        <f>IF(SUMIFS('NSE - NIFTY Index Options'!$M:$M,'NSE - NIFTY Index Options'!$C:$C,$A78,'NSE - NIFTY Index Options'!$B:$B,C$4,'NSE - NIFTY Index Options'!$I:$I,"Monthly*")+SUMIFS('NSE - Other Index Options'!$M:$M,'NSE - Other Index Options'!$C:$C,$A78,'NSE - Other Index Options'!$B:$B,C$4,'NSE - Other Index Options'!$I:$I,"Monthly*")=0,"",SUMIFS('NSE - NIFTY Index Options'!$M:$M,'NSE - NIFTY Index Options'!$C:$C,$A78,'NSE - NIFTY Index Options'!$B:$B,C$4,'NSE - NIFTY Index Options'!$I:$I,"Monthly*")+SUMIFS('NSE - Other Index Options'!$M:$M,'NSE - Other Index Options'!$C:$C,$A78,'NSE - Other Index Options'!$B:$B,C$4,'NSE - Other Index Options'!$I:$I,"Monthly*"))</f>
        <v/>
      </c>
      <c r="D78" s="26">
        <f>IF(SUMIFS('NSE - NIFTY Index Options'!$M:$M,'NSE - NIFTY Index Options'!$C:$C,$A78,'NSE - NIFTY Index Options'!$B:$B,D$4,'NSE - NIFTY Index Options'!$I:$I,"Monthly*")+SUMIFS('NSE - Other Index Options'!$M:$M,'NSE - Other Index Options'!$C:$C,$A78,'NSE - Other Index Options'!$B:$B,D$4,'NSE - Other Index Options'!$I:$I,"Monthly*")=0,"",SUMIFS('NSE - NIFTY Index Options'!$M:$M,'NSE - NIFTY Index Options'!$C:$C,$A78,'NSE - NIFTY Index Options'!$B:$B,D$4,'NSE - NIFTY Index Options'!$I:$I,"Monthly*")+SUMIFS('NSE - Other Index Options'!$M:$M,'NSE - Other Index Options'!$C:$C,$A78,'NSE - Other Index Options'!$B:$B,D$4,'NSE - Other Index Options'!$I:$I,"Monthly*"))</f>
        <v/>
      </c>
      <c r="E78" s="26">
        <f>IF(SUMIFS('NSE - NIFTY Index Options'!$M:$M,'NSE - NIFTY Index Options'!$C:$C,$A78,'NSE - NIFTY Index Options'!$B:$B,E$4,'NSE - NIFTY Index Options'!$I:$I,"Monthly*")+SUMIFS('NSE - Other Index Options'!$M:$M,'NSE - Other Index Options'!$C:$C,$A78,'NSE - Other Index Options'!$B:$B,E$4,'NSE - Other Index Options'!$I:$I,"Monthly*")=0,"",SUMIFS('NSE - NIFTY Index Options'!$M:$M,'NSE - NIFTY Index Options'!$C:$C,$A78,'NSE - NIFTY Index Options'!$B:$B,E$4,'NSE - NIFTY Index Options'!$I:$I,"Monthly*")+SUMIFS('NSE - Other Index Options'!$M:$M,'NSE - Other Index Options'!$C:$C,$A78,'NSE - Other Index Options'!$B:$B,E$4,'NSE - Other Index Options'!$I:$I,"Monthly*"))</f>
        <v/>
      </c>
      <c r="F78" s="26">
        <f>IF(SUMIFS('NSE - NIFTY Index Options'!$M:$M,'NSE - NIFTY Index Options'!$C:$C,$A78,'NSE - NIFTY Index Options'!$B:$B,F$4,'NSE - NIFTY Index Options'!$I:$I,"Monthly*")+SUMIFS('NSE - Other Index Options'!$M:$M,'NSE - Other Index Options'!$C:$C,$A78,'NSE - Other Index Options'!$B:$B,F$4,'NSE - Other Index Options'!$I:$I,"Monthly*")=0,"",SUMIFS('NSE - NIFTY Index Options'!$M:$M,'NSE - NIFTY Index Options'!$C:$C,$A78,'NSE - NIFTY Index Options'!$B:$B,F$4,'NSE - NIFTY Index Options'!$I:$I,"Monthly*")+SUMIFS('NSE - Other Index Options'!$M:$M,'NSE - Other Index Options'!$C:$C,$A78,'NSE - Other Index Options'!$B:$B,F$4,'NSE - Other Index Options'!$I:$I,"Monthly*"))</f>
        <v/>
      </c>
      <c r="G78" s="26">
        <f>IF(SUMIFS('NSE - NIFTY Index Options'!$M:$M,'NSE - NIFTY Index Options'!$C:$C,$A78,'NSE - NIFTY Index Options'!$B:$B,G$4,'NSE - NIFTY Index Options'!$I:$I,"Monthly*")+SUMIFS('NSE - Other Index Options'!$M:$M,'NSE - Other Index Options'!$C:$C,$A78,'NSE - Other Index Options'!$B:$B,G$4,'NSE - Other Index Options'!$I:$I,"Monthly*")=0,"",SUMIFS('NSE - NIFTY Index Options'!$M:$M,'NSE - NIFTY Index Options'!$C:$C,$A78,'NSE - NIFTY Index Options'!$B:$B,G$4,'NSE - NIFTY Index Options'!$I:$I,"Monthly*")+SUMIFS('NSE - Other Index Options'!$M:$M,'NSE - Other Index Options'!$C:$C,$A78,'NSE - Other Index Options'!$B:$B,G$4,'NSE - Other Index Options'!$I:$I,"Monthly*"))</f>
        <v/>
      </c>
      <c r="H78" s="26">
        <f>IF(SUM(B78:G78)=0,"",SUM(B78:G78))</f>
        <v/>
      </c>
    </row>
    <row r="79" hidden="1" outlineLevel="1">
      <c r="A79" t="inlineStr">
        <is>
          <t>Week1-Dec-2026</t>
        </is>
      </c>
      <c r="B79" s="26">
        <f>IF(SUMIFS('NSE - NIFTY Index Options'!$M:$M,'NSE - NIFTY Index Options'!$C:$C,$A79,'NSE - NIFTY Index Options'!$B:$B,B$4,'NSE - NIFTY Index Options'!$I:$I,"Monthly*")+SUMIFS('NSE - Other Index Options'!$M:$M,'NSE - Other Index Options'!$C:$C,$A79,'NSE - Other Index Options'!$B:$B,B$4,'NSE - Other Index Options'!$I:$I,"Monthly*")=0,"",SUMIFS('NSE - NIFTY Index Options'!$M:$M,'NSE - NIFTY Index Options'!$C:$C,$A79,'NSE - NIFTY Index Options'!$B:$B,B$4,'NSE - NIFTY Index Options'!$I:$I,"Monthly*")+SUMIFS('NSE - Other Index Options'!$M:$M,'NSE - Other Index Options'!$C:$C,$A79,'NSE - Other Index Options'!$B:$B,B$4,'NSE - Other Index Options'!$I:$I,"Monthly*"))</f>
        <v/>
      </c>
      <c r="C79" s="26">
        <f>IF(SUMIFS('NSE - NIFTY Index Options'!$M:$M,'NSE - NIFTY Index Options'!$C:$C,$A79,'NSE - NIFTY Index Options'!$B:$B,C$4,'NSE - NIFTY Index Options'!$I:$I,"Monthly*")+SUMIFS('NSE - Other Index Options'!$M:$M,'NSE - Other Index Options'!$C:$C,$A79,'NSE - Other Index Options'!$B:$B,C$4,'NSE - Other Index Options'!$I:$I,"Monthly*")=0,"",SUMIFS('NSE - NIFTY Index Options'!$M:$M,'NSE - NIFTY Index Options'!$C:$C,$A79,'NSE - NIFTY Index Options'!$B:$B,C$4,'NSE - NIFTY Index Options'!$I:$I,"Monthly*")+SUMIFS('NSE - Other Index Options'!$M:$M,'NSE - Other Index Options'!$C:$C,$A79,'NSE - Other Index Options'!$B:$B,C$4,'NSE - Other Index Options'!$I:$I,"Monthly*"))</f>
        <v/>
      </c>
      <c r="D79" s="26">
        <f>IF(SUMIFS('NSE - NIFTY Index Options'!$M:$M,'NSE - NIFTY Index Options'!$C:$C,$A79,'NSE - NIFTY Index Options'!$B:$B,D$4,'NSE - NIFTY Index Options'!$I:$I,"Monthly*")+SUMIFS('NSE - Other Index Options'!$M:$M,'NSE - Other Index Options'!$C:$C,$A79,'NSE - Other Index Options'!$B:$B,D$4,'NSE - Other Index Options'!$I:$I,"Monthly*")=0,"",SUMIFS('NSE - NIFTY Index Options'!$M:$M,'NSE - NIFTY Index Options'!$C:$C,$A79,'NSE - NIFTY Index Options'!$B:$B,D$4,'NSE - NIFTY Index Options'!$I:$I,"Monthly*")+SUMIFS('NSE - Other Index Options'!$M:$M,'NSE - Other Index Options'!$C:$C,$A79,'NSE - Other Index Options'!$B:$B,D$4,'NSE - Other Index Options'!$I:$I,"Monthly*"))</f>
        <v/>
      </c>
      <c r="E79" s="26">
        <f>IF(SUMIFS('NSE - NIFTY Index Options'!$M:$M,'NSE - NIFTY Index Options'!$C:$C,$A79,'NSE - NIFTY Index Options'!$B:$B,E$4,'NSE - NIFTY Index Options'!$I:$I,"Monthly*")+SUMIFS('NSE - Other Index Options'!$M:$M,'NSE - Other Index Options'!$C:$C,$A79,'NSE - Other Index Options'!$B:$B,E$4,'NSE - Other Index Options'!$I:$I,"Monthly*")=0,"",SUMIFS('NSE - NIFTY Index Options'!$M:$M,'NSE - NIFTY Index Options'!$C:$C,$A79,'NSE - NIFTY Index Options'!$B:$B,E$4,'NSE - NIFTY Index Options'!$I:$I,"Monthly*")+SUMIFS('NSE - Other Index Options'!$M:$M,'NSE - Other Index Options'!$C:$C,$A79,'NSE - Other Index Options'!$B:$B,E$4,'NSE - Other Index Options'!$I:$I,"Monthly*"))</f>
        <v/>
      </c>
      <c r="F79" s="26">
        <f>IF(SUMIFS('NSE - NIFTY Index Options'!$M:$M,'NSE - NIFTY Index Options'!$C:$C,$A79,'NSE - NIFTY Index Options'!$B:$B,F$4,'NSE - NIFTY Index Options'!$I:$I,"Monthly*")+SUMIFS('NSE - Other Index Options'!$M:$M,'NSE - Other Index Options'!$C:$C,$A79,'NSE - Other Index Options'!$B:$B,F$4,'NSE - Other Index Options'!$I:$I,"Monthly*")=0,"",SUMIFS('NSE - NIFTY Index Options'!$M:$M,'NSE - NIFTY Index Options'!$C:$C,$A79,'NSE - NIFTY Index Options'!$B:$B,F$4,'NSE - NIFTY Index Options'!$I:$I,"Monthly*")+SUMIFS('NSE - Other Index Options'!$M:$M,'NSE - Other Index Options'!$C:$C,$A79,'NSE - Other Index Options'!$B:$B,F$4,'NSE - Other Index Options'!$I:$I,"Monthly*"))</f>
        <v/>
      </c>
      <c r="G79" s="26">
        <f>IF(SUMIFS('NSE - NIFTY Index Options'!$M:$M,'NSE - NIFTY Index Options'!$C:$C,$A79,'NSE - NIFTY Index Options'!$B:$B,G$4,'NSE - NIFTY Index Options'!$I:$I,"Monthly*")+SUMIFS('NSE - Other Index Options'!$M:$M,'NSE - Other Index Options'!$C:$C,$A79,'NSE - Other Index Options'!$B:$B,G$4,'NSE - Other Index Options'!$I:$I,"Monthly*")=0,"",SUMIFS('NSE - NIFTY Index Options'!$M:$M,'NSE - NIFTY Index Options'!$C:$C,$A79,'NSE - NIFTY Index Options'!$B:$B,G$4,'NSE - NIFTY Index Options'!$I:$I,"Monthly*")+SUMIFS('NSE - Other Index Options'!$M:$M,'NSE - Other Index Options'!$C:$C,$A79,'NSE - Other Index Options'!$B:$B,G$4,'NSE - Other Index Options'!$I:$I,"Monthly*"))</f>
        <v/>
      </c>
      <c r="H79" s="26">
        <f>IF(SUM(B79:G79)=0,"",SUM(B79:G79))</f>
        <v/>
      </c>
    </row>
    <row r="80" hidden="1" outlineLevel="1">
      <c r="A80" t="inlineStr">
        <is>
          <t>Week2-Dec-2026</t>
        </is>
      </c>
      <c r="B80" s="26">
        <f>IF(SUMIFS('NSE - NIFTY Index Options'!$M:$M,'NSE - NIFTY Index Options'!$C:$C,$A80,'NSE - NIFTY Index Options'!$B:$B,B$4,'NSE - NIFTY Index Options'!$I:$I,"Monthly*")+SUMIFS('NSE - Other Index Options'!$M:$M,'NSE - Other Index Options'!$C:$C,$A80,'NSE - Other Index Options'!$B:$B,B$4,'NSE - Other Index Options'!$I:$I,"Monthly*")=0,"",SUMIFS('NSE - NIFTY Index Options'!$M:$M,'NSE - NIFTY Index Options'!$C:$C,$A80,'NSE - NIFTY Index Options'!$B:$B,B$4,'NSE - NIFTY Index Options'!$I:$I,"Monthly*")+SUMIFS('NSE - Other Index Options'!$M:$M,'NSE - Other Index Options'!$C:$C,$A80,'NSE - Other Index Options'!$B:$B,B$4,'NSE - Other Index Options'!$I:$I,"Monthly*"))</f>
        <v/>
      </c>
      <c r="C80" s="26">
        <f>IF(SUMIFS('NSE - NIFTY Index Options'!$M:$M,'NSE - NIFTY Index Options'!$C:$C,$A80,'NSE - NIFTY Index Options'!$B:$B,C$4,'NSE - NIFTY Index Options'!$I:$I,"Monthly*")+SUMIFS('NSE - Other Index Options'!$M:$M,'NSE - Other Index Options'!$C:$C,$A80,'NSE - Other Index Options'!$B:$B,C$4,'NSE - Other Index Options'!$I:$I,"Monthly*")=0,"",SUMIFS('NSE - NIFTY Index Options'!$M:$M,'NSE - NIFTY Index Options'!$C:$C,$A80,'NSE - NIFTY Index Options'!$B:$B,C$4,'NSE - NIFTY Index Options'!$I:$I,"Monthly*")+SUMIFS('NSE - Other Index Options'!$M:$M,'NSE - Other Index Options'!$C:$C,$A80,'NSE - Other Index Options'!$B:$B,C$4,'NSE - Other Index Options'!$I:$I,"Monthly*"))</f>
        <v/>
      </c>
      <c r="D80" s="26">
        <f>IF(SUMIFS('NSE - NIFTY Index Options'!$M:$M,'NSE - NIFTY Index Options'!$C:$C,$A80,'NSE - NIFTY Index Options'!$B:$B,D$4,'NSE - NIFTY Index Options'!$I:$I,"Monthly*")+SUMIFS('NSE - Other Index Options'!$M:$M,'NSE - Other Index Options'!$C:$C,$A80,'NSE - Other Index Options'!$B:$B,D$4,'NSE - Other Index Options'!$I:$I,"Monthly*")=0,"",SUMIFS('NSE - NIFTY Index Options'!$M:$M,'NSE - NIFTY Index Options'!$C:$C,$A80,'NSE - NIFTY Index Options'!$B:$B,D$4,'NSE - NIFTY Index Options'!$I:$I,"Monthly*")+SUMIFS('NSE - Other Index Options'!$M:$M,'NSE - Other Index Options'!$C:$C,$A80,'NSE - Other Index Options'!$B:$B,D$4,'NSE - Other Index Options'!$I:$I,"Monthly*"))</f>
        <v/>
      </c>
      <c r="E80" s="26">
        <f>IF(SUMIFS('NSE - NIFTY Index Options'!$M:$M,'NSE - NIFTY Index Options'!$C:$C,$A80,'NSE - NIFTY Index Options'!$B:$B,E$4,'NSE - NIFTY Index Options'!$I:$I,"Monthly*")+SUMIFS('NSE - Other Index Options'!$M:$M,'NSE - Other Index Options'!$C:$C,$A80,'NSE - Other Index Options'!$B:$B,E$4,'NSE - Other Index Options'!$I:$I,"Monthly*")=0,"",SUMIFS('NSE - NIFTY Index Options'!$M:$M,'NSE - NIFTY Index Options'!$C:$C,$A80,'NSE - NIFTY Index Options'!$B:$B,E$4,'NSE - NIFTY Index Options'!$I:$I,"Monthly*")+SUMIFS('NSE - Other Index Options'!$M:$M,'NSE - Other Index Options'!$C:$C,$A80,'NSE - Other Index Options'!$B:$B,E$4,'NSE - Other Index Options'!$I:$I,"Monthly*"))</f>
        <v/>
      </c>
      <c r="F80" s="26">
        <f>IF(SUMIFS('NSE - NIFTY Index Options'!$M:$M,'NSE - NIFTY Index Options'!$C:$C,$A80,'NSE - NIFTY Index Options'!$B:$B,F$4,'NSE - NIFTY Index Options'!$I:$I,"Monthly*")+SUMIFS('NSE - Other Index Options'!$M:$M,'NSE - Other Index Options'!$C:$C,$A80,'NSE - Other Index Options'!$B:$B,F$4,'NSE - Other Index Options'!$I:$I,"Monthly*")=0,"",SUMIFS('NSE - NIFTY Index Options'!$M:$M,'NSE - NIFTY Index Options'!$C:$C,$A80,'NSE - NIFTY Index Options'!$B:$B,F$4,'NSE - NIFTY Index Options'!$I:$I,"Monthly*")+SUMIFS('NSE - Other Index Options'!$M:$M,'NSE - Other Index Options'!$C:$C,$A80,'NSE - Other Index Options'!$B:$B,F$4,'NSE - Other Index Options'!$I:$I,"Monthly*"))</f>
        <v/>
      </c>
      <c r="G80" s="26">
        <f>IF(SUMIFS('NSE - NIFTY Index Options'!$M:$M,'NSE - NIFTY Index Options'!$C:$C,$A80,'NSE - NIFTY Index Options'!$B:$B,G$4,'NSE - NIFTY Index Options'!$I:$I,"Monthly*")+SUMIFS('NSE - Other Index Options'!$M:$M,'NSE - Other Index Options'!$C:$C,$A80,'NSE - Other Index Options'!$B:$B,G$4,'NSE - Other Index Options'!$I:$I,"Monthly*")=0,"",SUMIFS('NSE - NIFTY Index Options'!$M:$M,'NSE - NIFTY Index Options'!$C:$C,$A80,'NSE - NIFTY Index Options'!$B:$B,G$4,'NSE - NIFTY Index Options'!$I:$I,"Monthly*")+SUMIFS('NSE - Other Index Options'!$M:$M,'NSE - Other Index Options'!$C:$C,$A80,'NSE - Other Index Options'!$B:$B,G$4,'NSE - Other Index Options'!$I:$I,"Monthly*"))</f>
        <v/>
      </c>
      <c r="H80" s="26">
        <f>IF(SUM(B80:G80)=0,"",SUM(B80:G80))</f>
        <v/>
      </c>
    </row>
    <row r="81" hidden="1" outlineLevel="1">
      <c r="A81" t="inlineStr">
        <is>
          <t>Week3-Dec-2026</t>
        </is>
      </c>
      <c r="B81" s="26">
        <f>IF(SUMIFS('NSE - NIFTY Index Options'!$M:$M,'NSE - NIFTY Index Options'!$C:$C,$A81,'NSE - NIFTY Index Options'!$B:$B,B$4,'NSE - NIFTY Index Options'!$I:$I,"Monthly*")+SUMIFS('NSE - Other Index Options'!$M:$M,'NSE - Other Index Options'!$C:$C,$A81,'NSE - Other Index Options'!$B:$B,B$4,'NSE - Other Index Options'!$I:$I,"Monthly*")=0,"",SUMIFS('NSE - NIFTY Index Options'!$M:$M,'NSE - NIFTY Index Options'!$C:$C,$A81,'NSE - NIFTY Index Options'!$B:$B,B$4,'NSE - NIFTY Index Options'!$I:$I,"Monthly*")+SUMIFS('NSE - Other Index Options'!$M:$M,'NSE - Other Index Options'!$C:$C,$A81,'NSE - Other Index Options'!$B:$B,B$4,'NSE - Other Index Options'!$I:$I,"Monthly*"))</f>
        <v/>
      </c>
      <c r="C81" s="26">
        <f>IF(SUMIFS('NSE - NIFTY Index Options'!$M:$M,'NSE - NIFTY Index Options'!$C:$C,$A81,'NSE - NIFTY Index Options'!$B:$B,C$4,'NSE - NIFTY Index Options'!$I:$I,"Monthly*")+SUMIFS('NSE - Other Index Options'!$M:$M,'NSE - Other Index Options'!$C:$C,$A81,'NSE - Other Index Options'!$B:$B,C$4,'NSE - Other Index Options'!$I:$I,"Monthly*")=0,"",SUMIFS('NSE - NIFTY Index Options'!$M:$M,'NSE - NIFTY Index Options'!$C:$C,$A81,'NSE - NIFTY Index Options'!$B:$B,C$4,'NSE - NIFTY Index Options'!$I:$I,"Monthly*")+SUMIFS('NSE - Other Index Options'!$M:$M,'NSE - Other Index Options'!$C:$C,$A81,'NSE - Other Index Options'!$B:$B,C$4,'NSE - Other Index Options'!$I:$I,"Monthly*"))</f>
        <v/>
      </c>
      <c r="D81" s="26">
        <f>IF(SUMIFS('NSE - NIFTY Index Options'!$M:$M,'NSE - NIFTY Index Options'!$C:$C,$A81,'NSE - NIFTY Index Options'!$B:$B,D$4,'NSE - NIFTY Index Options'!$I:$I,"Monthly*")+SUMIFS('NSE - Other Index Options'!$M:$M,'NSE - Other Index Options'!$C:$C,$A81,'NSE - Other Index Options'!$B:$B,D$4,'NSE - Other Index Options'!$I:$I,"Monthly*")=0,"",SUMIFS('NSE - NIFTY Index Options'!$M:$M,'NSE - NIFTY Index Options'!$C:$C,$A81,'NSE - NIFTY Index Options'!$B:$B,D$4,'NSE - NIFTY Index Options'!$I:$I,"Monthly*")+SUMIFS('NSE - Other Index Options'!$M:$M,'NSE - Other Index Options'!$C:$C,$A81,'NSE - Other Index Options'!$B:$B,D$4,'NSE - Other Index Options'!$I:$I,"Monthly*"))</f>
        <v/>
      </c>
      <c r="E81" s="26">
        <f>IF(SUMIFS('NSE - NIFTY Index Options'!$M:$M,'NSE - NIFTY Index Options'!$C:$C,$A81,'NSE - NIFTY Index Options'!$B:$B,E$4,'NSE - NIFTY Index Options'!$I:$I,"Monthly*")+SUMIFS('NSE - Other Index Options'!$M:$M,'NSE - Other Index Options'!$C:$C,$A81,'NSE - Other Index Options'!$B:$B,E$4,'NSE - Other Index Options'!$I:$I,"Monthly*")=0,"",SUMIFS('NSE - NIFTY Index Options'!$M:$M,'NSE - NIFTY Index Options'!$C:$C,$A81,'NSE - NIFTY Index Options'!$B:$B,E$4,'NSE - NIFTY Index Options'!$I:$I,"Monthly*")+SUMIFS('NSE - Other Index Options'!$M:$M,'NSE - Other Index Options'!$C:$C,$A81,'NSE - Other Index Options'!$B:$B,E$4,'NSE - Other Index Options'!$I:$I,"Monthly*"))</f>
        <v/>
      </c>
      <c r="F81" s="26">
        <f>IF(SUMIFS('NSE - NIFTY Index Options'!$M:$M,'NSE - NIFTY Index Options'!$C:$C,$A81,'NSE - NIFTY Index Options'!$B:$B,F$4,'NSE - NIFTY Index Options'!$I:$I,"Monthly*")+SUMIFS('NSE - Other Index Options'!$M:$M,'NSE - Other Index Options'!$C:$C,$A81,'NSE - Other Index Options'!$B:$B,F$4,'NSE - Other Index Options'!$I:$I,"Monthly*")=0,"",SUMIFS('NSE - NIFTY Index Options'!$M:$M,'NSE - NIFTY Index Options'!$C:$C,$A81,'NSE - NIFTY Index Options'!$B:$B,F$4,'NSE - NIFTY Index Options'!$I:$I,"Monthly*")+SUMIFS('NSE - Other Index Options'!$M:$M,'NSE - Other Index Options'!$C:$C,$A81,'NSE - Other Index Options'!$B:$B,F$4,'NSE - Other Index Options'!$I:$I,"Monthly*"))</f>
        <v/>
      </c>
      <c r="G81" s="26">
        <f>IF(SUMIFS('NSE - NIFTY Index Options'!$M:$M,'NSE - NIFTY Index Options'!$C:$C,$A81,'NSE - NIFTY Index Options'!$B:$B,G$4,'NSE - NIFTY Index Options'!$I:$I,"Monthly*")+SUMIFS('NSE - Other Index Options'!$M:$M,'NSE - Other Index Options'!$C:$C,$A81,'NSE - Other Index Options'!$B:$B,G$4,'NSE - Other Index Options'!$I:$I,"Monthly*")=0,"",SUMIFS('NSE - NIFTY Index Options'!$M:$M,'NSE - NIFTY Index Options'!$C:$C,$A81,'NSE - NIFTY Index Options'!$B:$B,G$4,'NSE - NIFTY Index Options'!$I:$I,"Monthly*")+SUMIFS('NSE - Other Index Options'!$M:$M,'NSE - Other Index Options'!$C:$C,$A81,'NSE - Other Index Options'!$B:$B,G$4,'NSE - Other Index Options'!$I:$I,"Monthly*"))</f>
        <v/>
      </c>
      <c r="H81" s="26">
        <f>IF(SUM(B81:G81)=0,"",SUM(B81:G81))</f>
        <v/>
      </c>
    </row>
    <row r="82" hidden="1" outlineLevel="1">
      <c r="A82" t="inlineStr">
        <is>
          <t>Week4-Dec-2026</t>
        </is>
      </c>
      <c r="B82" s="26">
        <f>IF(SUMIFS('NSE - NIFTY Index Options'!$M:$M,'NSE - NIFTY Index Options'!$C:$C,$A82,'NSE - NIFTY Index Options'!$B:$B,B$4,'NSE - NIFTY Index Options'!$I:$I,"Monthly*")+SUMIFS('NSE - Other Index Options'!$M:$M,'NSE - Other Index Options'!$C:$C,$A82,'NSE - Other Index Options'!$B:$B,B$4,'NSE - Other Index Options'!$I:$I,"Monthly*")=0,"",SUMIFS('NSE - NIFTY Index Options'!$M:$M,'NSE - NIFTY Index Options'!$C:$C,$A82,'NSE - NIFTY Index Options'!$B:$B,B$4,'NSE - NIFTY Index Options'!$I:$I,"Monthly*")+SUMIFS('NSE - Other Index Options'!$M:$M,'NSE - Other Index Options'!$C:$C,$A82,'NSE - Other Index Options'!$B:$B,B$4,'NSE - Other Index Options'!$I:$I,"Monthly*"))</f>
        <v/>
      </c>
      <c r="C82" s="26">
        <f>IF(SUMIFS('NSE - NIFTY Index Options'!$M:$M,'NSE - NIFTY Index Options'!$C:$C,$A82,'NSE - NIFTY Index Options'!$B:$B,C$4,'NSE - NIFTY Index Options'!$I:$I,"Monthly*")+SUMIFS('NSE - Other Index Options'!$M:$M,'NSE - Other Index Options'!$C:$C,$A82,'NSE - Other Index Options'!$B:$B,C$4,'NSE - Other Index Options'!$I:$I,"Monthly*")=0,"",SUMIFS('NSE - NIFTY Index Options'!$M:$M,'NSE - NIFTY Index Options'!$C:$C,$A82,'NSE - NIFTY Index Options'!$B:$B,C$4,'NSE - NIFTY Index Options'!$I:$I,"Monthly*")+SUMIFS('NSE - Other Index Options'!$M:$M,'NSE - Other Index Options'!$C:$C,$A82,'NSE - Other Index Options'!$B:$B,C$4,'NSE - Other Index Options'!$I:$I,"Monthly*"))</f>
        <v/>
      </c>
      <c r="D82" s="26">
        <f>IF(SUMIFS('NSE - NIFTY Index Options'!$M:$M,'NSE - NIFTY Index Options'!$C:$C,$A82,'NSE - NIFTY Index Options'!$B:$B,D$4,'NSE - NIFTY Index Options'!$I:$I,"Monthly*")+SUMIFS('NSE - Other Index Options'!$M:$M,'NSE - Other Index Options'!$C:$C,$A82,'NSE - Other Index Options'!$B:$B,D$4,'NSE - Other Index Options'!$I:$I,"Monthly*")=0,"",SUMIFS('NSE - NIFTY Index Options'!$M:$M,'NSE - NIFTY Index Options'!$C:$C,$A82,'NSE - NIFTY Index Options'!$B:$B,D$4,'NSE - NIFTY Index Options'!$I:$I,"Monthly*")+SUMIFS('NSE - Other Index Options'!$M:$M,'NSE - Other Index Options'!$C:$C,$A82,'NSE - Other Index Options'!$B:$B,D$4,'NSE - Other Index Options'!$I:$I,"Monthly*"))</f>
        <v/>
      </c>
      <c r="E82" s="26">
        <f>IF(SUMIFS('NSE - NIFTY Index Options'!$M:$M,'NSE - NIFTY Index Options'!$C:$C,$A82,'NSE - NIFTY Index Options'!$B:$B,E$4,'NSE - NIFTY Index Options'!$I:$I,"Monthly*")+SUMIFS('NSE - Other Index Options'!$M:$M,'NSE - Other Index Options'!$C:$C,$A82,'NSE - Other Index Options'!$B:$B,E$4,'NSE - Other Index Options'!$I:$I,"Monthly*")=0,"",SUMIFS('NSE - NIFTY Index Options'!$M:$M,'NSE - NIFTY Index Options'!$C:$C,$A82,'NSE - NIFTY Index Options'!$B:$B,E$4,'NSE - NIFTY Index Options'!$I:$I,"Monthly*")+SUMIFS('NSE - Other Index Options'!$M:$M,'NSE - Other Index Options'!$C:$C,$A82,'NSE - Other Index Options'!$B:$B,E$4,'NSE - Other Index Options'!$I:$I,"Monthly*"))</f>
        <v/>
      </c>
      <c r="F82" s="26">
        <f>IF(SUMIFS('NSE - NIFTY Index Options'!$M:$M,'NSE - NIFTY Index Options'!$C:$C,$A82,'NSE - NIFTY Index Options'!$B:$B,F$4,'NSE - NIFTY Index Options'!$I:$I,"Monthly*")+SUMIFS('NSE - Other Index Options'!$M:$M,'NSE - Other Index Options'!$C:$C,$A82,'NSE - Other Index Options'!$B:$B,F$4,'NSE - Other Index Options'!$I:$I,"Monthly*")=0,"",SUMIFS('NSE - NIFTY Index Options'!$M:$M,'NSE - NIFTY Index Options'!$C:$C,$A82,'NSE - NIFTY Index Options'!$B:$B,F$4,'NSE - NIFTY Index Options'!$I:$I,"Monthly*")+SUMIFS('NSE - Other Index Options'!$M:$M,'NSE - Other Index Options'!$C:$C,$A82,'NSE - Other Index Options'!$B:$B,F$4,'NSE - Other Index Options'!$I:$I,"Monthly*"))</f>
        <v/>
      </c>
      <c r="G82" s="26">
        <f>IF(SUMIFS('NSE - NIFTY Index Options'!$M:$M,'NSE - NIFTY Index Options'!$C:$C,$A82,'NSE - NIFTY Index Options'!$B:$B,G$4,'NSE - NIFTY Index Options'!$I:$I,"Monthly*")+SUMIFS('NSE - Other Index Options'!$M:$M,'NSE - Other Index Options'!$C:$C,$A82,'NSE - Other Index Options'!$B:$B,G$4,'NSE - Other Index Options'!$I:$I,"Monthly*")=0,"",SUMIFS('NSE - NIFTY Index Options'!$M:$M,'NSE - NIFTY Index Options'!$C:$C,$A82,'NSE - NIFTY Index Options'!$B:$B,G$4,'NSE - NIFTY Index Options'!$I:$I,"Monthly*")+SUMIFS('NSE - Other Index Options'!$M:$M,'NSE - Other Index Options'!$C:$C,$A82,'NSE - Other Index Options'!$B:$B,G$4,'NSE - Other Index Options'!$I:$I,"Monthly*"))</f>
        <v/>
      </c>
      <c r="H82" s="26">
        <f>IF(SUM(B82:G82)=0,"",SUM(B82:G82))</f>
        <v/>
      </c>
    </row>
    <row r="83" hidden="1" outlineLevel="1">
      <c r="A83" t="inlineStr">
        <is>
          <t>Week5-Dec-2026</t>
        </is>
      </c>
      <c r="B83" s="26">
        <f>IF(SUMIFS('NSE - NIFTY Index Options'!$M:$M,'NSE - NIFTY Index Options'!$C:$C,$A83,'NSE - NIFTY Index Options'!$B:$B,B$4,'NSE - NIFTY Index Options'!$I:$I,"Monthly*")+SUMIFS('NSE - Other Index Options'!$M:$M,'NSE - Other Index Options'!$C:$C,$A83,'NSE - Other Index Options'!$B:$B,B$4,'NSE - Other Index Options'!$I:$I,"Monthly*")=0,"",SUMIFS('NSE - NIFTY Index Options'!$M:$M,'NSE - NIFTY Index Options'!$C:$C,$A83,'NSE - NIFTY Index Options'!$B:$B,B$4,'NSE - NIFTY Index Options'!$I:$I,"Monthly*")+SUMIFS('NSE - Other Index Options'!$M:$M,'NSE - Other Index Options'!$C:$C,$A83,'NSE - Other Index Options'!$B:$B,B$4,'NSE - Other Index Options'!$I:$I,"Monthly*"))</f>
        <v/>
      </c>
      <c r="C83" s="26">
        <f>IF(SUMIFS('NSE - NIFTY Index Options'!$M:$M,'NSE - NIFTY Index Options'!$C:$C,$A83,'NSE - NIFTY Index Options'!$B:$B,C$4,'NSE - NIFTY Index Options'!$I:$I,"Monthly*")+SUMIFS('NSE - Other Index Options'!$M:$M,'NSE - Other Index Options'!$C:$C,$A83,'NSE - Other Index Options'!$B:$B,C$4,'NSE - Other Index Options'!$I:$I,"Monthly*")=0,"",SUMIFS('NSE - NIFTY Index Options'!$M:$M,'NSE - NIFTY Index Options'!$C:$C,$A83,'NSE - NIFTY Index Options'!$B:$B,C$4,'NSE - NIFTY Index Options'!$I:$I,"Monthly*")+SUMIFS('NSE - Other Index Options'!$M:$M,'NSE - Other Index Options'!$C:$C,$A83,'NSE - Other Index Options'!$B:$B,C$4,'NSE - Other Index Options'!$I:$I,"Monthly*"))</f>
        <v/>
      </c>
      <c r="D83" s="26">
        <f>IF(SUMIFS('NSE - NIFTY Index Options'!$M:$M,'NSE - NIFTY Index Options'!$C:$C,$A83,'NSE - NIFTY Index Options'!$B:$B,D$4,'NSE - NIFTY Index Options'!$I:$I,"Monthly*")+SUMIFS('NSE - Other Index Options'!$M:$M,'NSE - Other Index Options'!$C:$C,$A83,'NSE - Other Index Options'!$B:$B,D$4,'NSE - Other Index Options'!$I:$I,"Monthly*")=0,"",SUMIFS('NSE - NIFTY Index Options'!$M:$M,'NSE - NIFTY Index Options'!$C:$C,$A83,'NSE - NIFTY Index Options'!$B:$B,D$4,'NSE - NIFTY Index Options'!$I:$I,"Monthly*")+SUMIFS('NSE - Other Index Options'!$M:$M,'NSE - Other Index Options'!$C:$C,$A83,'NSE - Other Index Options'!$B:$B,D$4,'NSE - Other Index Options'!$I:$I,"Monthly*"))</f>
        <v/>
      </c>
      <c r="E83" s="26">
        <f>IF(SUMIFS('NSE - NIFTY Index Options'!$M:$M,'NSE - NIFTY Index Options'!$C:$C,$A83,'NSE - NIFTY Index Options'!$B:$B,E$4,'NSE - NIFTY Index Options'!$I:$I,"Monthly*")+SUMIFS('NSE - Other Index Options'!$M:$M,'NSE - Other Index Options'!$C:$C,$A83,'NSE - Other Index Options'!$B:$B,E$4,'NSE - Other Index Options'!$I:$I,"Monthly*")=0,"",SUMIFS('NSE - NIFTY Index Options'!$M:$M,'NSE - NIFTY Index Options'!$C:$C,$A83,'NSE - NIFTY Index Options'!$B:$B,E$4,'NSE - NIFTY Index Options'!$I:$I,"Monthly*")+SUMIFS('NSE - Other Index Options'!$M:$M,'NSE - Other Index Options'!$C:$C,$A83,'NSE - Other Index Options'!$B:$B,E$4,'NSE - Other Index Options'!$I:$I,"Monthly*"))</f>
        <v/>
      </c>
      <c r="F83" s="26">
        <f>IF(SUMIFS('NSE - NIFTY Index Options'!$M:$M,'NSE - NIFTY Index Options'!$C:$C,$A83,'NSE - NIFTY Index Options'!$B:$B,F$4,'NSE - NIFTY Index Options'!$I:$I,"Monthly*")+SUMIFS('NSE - Other Index Options'!$M:$M,'NSE - Other Index Options'!$C:$C,$A83,'NSE - Other Index Options'!$B:$B,F$4,'NSE - Other Index Options'!$I:$I,"Monthly*")=0,"",SUMIFS('NSE - NIFTY Index Options'!$M:$M,'NSE - NIFTY Index Options'!$C:$C,$A83,'NSE - NIFTY Index Options'!$B:$B,F$4,'NSE - NIFTY Index Options'!$I:$I,"Monthly*")+SUMIFS('NSE - Other Index Options'!$M:$M,'NSE - Other Index Options'!$C:$C,$A83,'NSE - Other Index Options'!$B:$B,F$4,'NSE - Other Index Options'!$I:$I,"Monthly*"))</f>
        <v/>
      </c>
      <c r="G83" s="26">
        <f>IF(SUMIFS('NSE - NIFTY Index Options'!$M:$M,'NSE - NIFTY Index Options'!$C:$C,$A83,'NSE - NIFTY Index Options'!$B:$B,G$4,'NSE - NIFTY Index Options'!$I:$I,"Monthly*")+SUMIFS('NSE - Other Index Options'!$M:$M,'NSE - Other Index Options'!$C:$C,$A83,'NSE - Other Index Options'!$B:$B,G$4,'NSE - Other Index Options'!$I:$I,"Monthly*")=0,"",SUMIFS('NSE - NIFTY Index Options'!$M:$M,'NSE - NIFTY Index Options'!$C:$C,$A83,'NSE - NIFTY Index Options'!$B:$B,G$4,'NSE - NIFTY Index Options'!$I:$I,"Monthly*")+SUMIFS('NSE - Other Index Options'!$M:$M,'NSE - Other Index Options'!$C:$C,$A83,'NSE - Other Index Options'!$B:$B,G$4,'NSE - Other Index Options'!$I:$I,"Monthly*"))</f>
        <v/>
      </c>
      <c r="H83" s="26">
        <f>IF(SUM(B83:G83)=0,"",SUM(B83:G83))</f>
        <v/>
      </c>
    </row>
    <row r="84" hidden="1" outlineLevel="1">
      <c r="A84" t="inlineStr">
        <is>
          <t>Week1-Jan-2027</t>
        </is>
      </c>
      <c r="B84" s="26">
        <f>IF(SUMIFS('NSE - NIFTY Index Options'!$M:$M,'NSE - NIFTY Index Options'!$C:$C,$A84,'NSE - NIFTY Index Options'!$B:$B,B$4,'NSE - NIFTY Index Options'!$I:$I,"Monthly*")+SUMIFS('NSE - Other Index Options'!$M:$M,'NSE - Other Index Options'!$C:$C,$A84,'NSE - Other Index Options'!$B:$B,B$4,'NSE - Other Index Options'!$I:$I,"Monthly*")=0,"",SUMIFS('NSE - NIFTY Index Options'!$M:$M,'NSE - NIFTY Index Options'!$C:$C,$A84,'NSE - NIFTY Index Options'!$B:$B,B$4,'NSE - NIFTY Index Options'!$I:$I,"Monthly*")+SUMIFS('NSE - Other Index Options'!$M:$M,'NSE - Other Index Options'!$C:$C,$A84,'NSE - Other Index Options'!$B:$B,B$4,'NSE - Other Index Options'!$I:$I,"Monthly*"))</f>
        <v/>
      </c>
      <c r="C84" s="26">
        <f>IF(SUMIFS('NSE - NIFTY Index Options'!$M:$M,'NSE - NIFTY Index Options'!$C:$C,$A84,'NSE - NIFTY Index Options'!$B:$B,C$4,'NSE - NIFTY Index Options'!$I:$I,"Monthly*")+SUMIFS('NSE - Other Index Options'!$M:$M,'NSE - Other Index Options'!$C:$C,$A84,'NSE - Other Index Options'!$B:$B,C$4,'NSE - Other Index Options'!$I:$I,"Monthly*")=0,"",SUMIFS('NSE - NIFTY Index Options'!$M:$M,'NSE - NIFTY Index Options'!$C:$C,$A84,'NSE - NIFTY Index Options'!$B:$B,C$4,'NSE - NIFTY Index Options'!$I:$I,"Monthly*")+SUMIFS('NSE - Other Index Options'!$M:$M,'NSE - Other Index Options'!$C:$C,$A84,'NSE - Other Index Options'!$B:$B,C$4,'NSE - Other Index Options'!$I:$I,"Monthly*"))</f>
        <v/>
      </c>
      <c r="D84" s="26">
        <f>IF(SUMIFS('NSE - NIFTY Index Options'!$M:$M,'NSE - NIFTY Index Options'!$C:$C,$A84,'NSE - NIFTY Index Options'!$B:$B,D$4,'NSE - NIFTY Index Options'!$I:$I,"Monthly*")+SUMIFS('NSE - Other Index Options'!$M:$M,'NSE - Other Index Options'!$C:$C,$A84,'NSE - Other Index Options'!$B:$B,D$4,'NSE - Other Index Options'!$I:$I,"Monthly*")=0,"",SUMIFS('NSE - NIFTY Index Options'!$M:$M,'NSE - NIFTY Index Options'!$C:$C,$A84,'NSE - NIFTY Index Options'!$B:$B,D$4,'NSE - NIFTY Index Options'!$I:$I,"Monthly*")+SUMIFS('NSE - Other Index Options'!$M:$M,'NSE - Other Index Options'!$C:$C,$A84,'NSE - Other Index Options'!$B:$B,D$4,'NSE - Other Index Options'!$I:$I,"Monthly*"))</f>
        <v/>
      </c>
      <c r="E84" s="26">
        <f>IF(SUMIFS('NSE - NIFTY Index Options'!$M:$M,'NSE - NIFTY Index Options'!$C:$C,$A84,'NSE - NIFTY Index Options'!$B:$B,E$4,'NSE - NIFTY Index Options'!$I:$I,"Monthly*")+SUMIFS('NSE - Other Index Options'!$M:$M,'NSE - Other Index Options'!$C:$C,$A84,'NSE - Other Index Options'!$B:$B,E$4,'NSE - Other Index Options'!$I:$I,"Monthly*")=0,"",SUMIFS('NSE - NIFTY Index Options'!$M:$M,'NSE - NIFTY Index Options'!$C:$C,$A84,'NSE - NIFTY Index Options'!$B:$B,E$4,'NSE - NIFTY Index Options'!$I:$I,"Monthly*")+SUMIFS('NSE - Other Index Options'!$M:$M,'NSE - Other Index Options'!$C:$C,$A84,'NSE - Other Index Options'!$B:$B,E$4,'NSE - Other Index Options'!$I:$I,"Monthly*"))</f>
        <v/>
      </c>
      <c r="F84" s="26">
        <f>IF(SUMIFS('NSE - NIFTY Index Options'!$M:$M,'NSE - NIFTY Index Options'!$C:$C,$A84,'NSE - NIFTY Index Options'!$B:$B,F$4,'NSE - NIFTY Index Options'!$I:$I,"Monthly*")+SUMIFS('NSE - Other Index Options'!$M:$M,'NSE - Other Index Options'!$C:$C,$A84,'NSE - Other Index Options'!$B:$B,F$4,'NSE - Other Index Options'!$I:$I,"Monthly*")=0,"",SUMIFS('NSE - NIFTY Index Options'!$M:$M,'NSE - NIFTY Index Options'!$C:$C,$A84,'NSE - NIFTY Index Options'!$B:$B,F$4,'NSE - NIFTY Index Options'!$I:$I,"Monthly*")+SUMIFS('NSE - Other Index Options'!$M:$M,'NSE - Other Index Options'!$C:$C,$A84,'NSE - Other Index Options'!$B:$B,F$4,'NSE - Other Index Options'!$I:$I,"Monthly*"))</f>
        <v/>
      </c>
      <c r="G84" s="26">
        <f>IF(SUMIFS('NSE - NIFTY Index Options'!$M:$M,'NSE - NIFTY Index Options'!$C:$C,$A84,'NSE - NIFTY Index Options'!$B:$B,G$4,'NSE - NIFTY Index Options'!$I:$I,"Monthly*")+SUMIFS('NSE - Other Index Options'!$M:$M,'NSE - Other Index Options'!$C:$C,$A84,'NSE - Other Index Options'!$B:$B,G$4,'NSE - Other Index Options'!$I:$I,"Monthly*")=0,"",SUMIFS('NSE - NIFTY Index Options'!$M:$M,'NSE - NIFTY Index Options'!$C:$C,$A84,'NSE - NIFTY Index Options'!$B:$B,G$4,'NSE - NIFTY Index Options'!$I:$I,"Monthly*")+SUMIFS('NSE - Other Index Options'!$M:$M,'NSE - Other Index Options'!$C:$C,$A84,'NSE - Other Index Options'!$B:$B,G$4,'NSE - Other Index Options'!$I:$I,"Monthly*"))</f>
        <v/>
      </c>
      <c r="H84" s="26">
        <f>IF(SUM(B84:G84)=0,"",SUM(B84:G84))</f>
        <v/>
      </c>
    </row>
    <row r="85" hidden="1" outlineLevel="1">
      <c r="A85" t="inlineStr">
        <is>
          <t>Week2-Jan-2027</t>
        </is>
      </c>
      <c r="B85" s="26">
        <f>IF(SUMIFS('NSE - NIFTY Index Options'!$M:$M,'NSE - NIFTY Index Options'!$C:$C,$A85,'NSE - NIFTY Index Options'!$B:$B,B$4,'NSE - NIFTY Index Options'!$I:$I,"Monthly*")+SUMIFS('NSE - Other Index Options'!$M:$M,'NSE - Other Index Options'!$C:$C,$A85,'NSE - Other Index Options'!$B:$B,B$4,'NSE - Other Index Options'!$I:$I,"Monthly*")=0,"",SUMIFS('NSE - NIFTY Index Options'!$M:$M,'NSE - NIFTY Index Options'!$C:$C,$A85,'NSE - NIFTY Index Options'!$B:$B,B$4,'NSE - NIFTY Index Options'!$I:$I,"Monthly*")+SUMIFS('NSE - Other Index Options'!$M:$M,'NSE - Other Index Options'!$C:$C,$A85,'NSE - Other Index Options'!$B:$B,B$4,'NSE - Other Index Options'!$I:$I,"Monthly*"))</f>
        <v/>
      </c>
      <c r="C85" s="26">
        <f>IF(SUMIFS('NSE - NIFTY Index Options'!$M:$M,'NSE - NIFTY Index Options'!$C:$C,$A85,'NSE - NIFTY Index Options'!$B:$B,C$4,'NSE - NIFTY Index Options'!$I:$I,"Monthly*")+SUMIFS('NSE - Other Index Options'!$M:$M,'NSE - Other Index Options'!$C:$C,$A85,'NSE - Other Index Options'!$B:$B,C$4,'NSE - Other Index Options'!$I:$I,"Monthly*")=0,"",SUMIFS('NSE - NIFTY Index Options'!$M:$M,'NSE - NIFTY Index Options'!$C:$C,$A85,'NSE - NIFTY Index Options'!$B:$B,C$4,'NSE - NIFTY Index Options'!$I:$I,"Monthly*")+SUMIFS('NSE - Other Index Options'!$M:$M,'NSE - Other Index Options'!$C:$C,$A85,'NSE - Other Index Options'!$B:$B,C$4,'NSE - Other Index Options'!$I:$I,"Monthly*"))</f>
        <v/>
      </c>
      <c r="D85" s="26">
        <f>IF(SUMIFS('NSE - NIFTY Index Options'!$M:$M,'NSE - NIFTY Index Options'!$C:$C,$A85,'NSE - NIFTY Index Options'!$B:$B,D$4,'NSE - NIFTY Index Options'!$I:$I,"Monthly*")+SUMIFS('NSE - Other Index Options'!$M:$M,'NSE - Other Index Options'!$C:$C,$A85,'NSE - Other Index Options'!$B:$B,D$4,'NSE - Other Index Options'!$I:$I,"Monthly*")=0,"",SUMIFS('NSE - NIFTY Index Options'!$M:$M,'NSE - NIFTY Index Options'!$C:$C,$A85,'NSE - NIFTY Index Options'!$B:$B,D$4,'NSE - NIFTY Index Options'!$I:$I,"Monthly*")+SUMIFS('NSE - Other Index Options'!$M:$M,'NSE - Other Index Options'!$C:$C,$A85,'NSE - Other Index Options'!$B:$B,D$4,'NSE - Other Index Options'!$I:$I,"Monthly*"))</f>
        <v/>
      </c>
      <c r="E85" s="26">
        <f>IF(SUMIFS('NSE - NIFTY Index Options'!$M:$M,'NSE - NIFTY Index Options'!$C:$C,$A85,'NSE - NIFTY Index Options'!$B:$B,E$4,'NSE - NIFTY Index Options'!$I:$I,"Monthly*")+SUMIFS('NSE - Other Index Options'!$M:$M,'NSE - Other Index Options'!$C:$C,$A85,'NSE - Other Index Options'!$B:$B,E$4,'NSE - Other Index Options'!$I:$I,"Monthly*")=0,"",SUMIFS('NSE - NIFTY Index Options'!$M:$M,'NSE - NIFTY Index Options'!$C:$C,$A85,'NSE - NIFTY Index Options'!$B:$B,E$4,'NSE - NIFTY Index Options'!$I:$I,"Monthly*")+SUMIFS('NSE - Other Index Options'!$M:$M,'NSE - Other Index Options'!$C:$C,$A85,'NSE - Other Index Options'!$B:$B,E$4,'NSE - Other Index Options'!$I:$I,"Monthly*"))</f>
        <v/>
      </c>
      <c r="F85" s="26">
        <f>IF(SUMIFS('NSE - NIFTY Index Options'!$M:$M,'NSE - NIFTY Index Options'!$C:$C,$A85,'NSE - NIFTY Index Options'!$B:$B,F$4,'NSE - NIFTY Index Options'!$I:$I,"Monthly*")+SUMIFS('NSE - Other Index Options'!$M:$M,'NSE - Other Index Options'!$C:$C,$A85,'NSE - Other Index Options'!$B:$B,F$4,'NSE - Other Index Options'!$I:$I,"Monthly*")=0,"",SUMIFS('NSE - NIFTY Index Options'!$M:$M,'NSE - NIFTY Index Options'!$C:$C,$A85,'NSE - NIFTY Index Options'!$B:$B,F$4,'NSE - NIFTY Index Options'!$I:$I,"Monthly*")+SUMIFS('NSE - Other Index Options'!$M:$M,'NSE - Other Index Options'!$C:$C,$A85,'NSE - Other Index Options'!$B:$B,F$4,'NSE - Other Index Options'!$I:$I,"Monthly*"))</f>
        <v/>
      </c>
      <c r="G85" s="26">
        <f>IF(SUMIFS('NSE - NIFTY Index Options'!$M:$M,'NSE - NIFTY Index Options'!$C:$C,$A85,'NSE - NIFTY Index Options'!$B:$B,G$4,'NSE - NIFTY Index Options'!$I:$I,"Monthly*")+SUMIFS('NSE - Other Index Options'!$M:$M,'NSE - Other Index Options'!$C:$C,$A85,'NSE - Other Index Options'!$B:$B,G$4,'NSE - Other Index Options'!$I:$I,"Monthly*")=0,"",SUMIFS('NSE - NIFTY Index Options'!$M:$M,'NSE - NIFTY Index Options'!$C:$C,$A85,'NSE - NIFTY Index Options'!$B:$B,G$4,'NSE - NIFTY Index Options'!$I:$I,"Monthly*")+SUMIFS('NSE - Other Index Options'!$M:$M,'NSE - Other Index Options'!$C:$C,$A85,'NSE - Other Index Options'!$B:$B,G$4,'NSE - Other Index Options'!$I:$I,"Monthly*"))</f>
        <v/>
      </c>
      <c r="H85" s="26">
        <f>IF(SUM(B85:G85)=0,"",SUM(B85:G85))</f>
        <v/>
      </c>
    </row>
    <row r="86" hidden="1" outlineLevel="1">
      <c r="A86" t="inlineStr">
        <is>
          <t>Week3-Jan-2027</t>
        </is>
      </c>
      <c r="B86" s="26">
        <f>IF(SUMIFS('NSE - NIFTY Index Options'!$M:$M,'NSE - NIFTY Index Options'!$C:$C,$A86,'NSE - NIFTY Index Options'!$B:$B,B$4,'NSE - NIFTY Index Options'!$I:$I,"Monthly*")+SUMIFS('NSE - Other Index Options'!$M:$M,'NSE - Other Index Options'!$C:$C,$A86,'NSE - Other Index Options'!$B:$B,B$4,'NSE - Other Index Options'!$I:$I,"Monthly*")=0,"",SUMIFS('NSE - NIFTY Index Options'!$M:$M,'NSE - NIFTY Index Options'!$C:$C,$A86,'NSE - NIFTY Index Options'!$B:$B,B$4,'NSE - NIFTY Index Options'!$I:$I,"Monthly*")+SUMIFS('NSE - Other Index Options'!$M:$M,'NSE - Other Index Options'!$C:$C,$A86,'NSE - Other Index Options'!$B:$B,B$4,'NSE - Other Index Options'!$I:$I,"Monthly*"))</f>
        <v/>
      </c>
      <c r="C86" s="26">
        <f>IF(SUMIFS('NSE - NIFTY Index Options'!$M:$M,'NSE - NIFTY Index Options'!$C:$C,$A86,'NSE - NIFTY Index Options'!$B:$B,C$4,'NSE - NIFTY Index Options'!$I:$I,"Monthly*")+SUMIFS('NSE - Other Index Options'!$M:$M,'NSE - Other Index Options'!$C:$C,$A86,'NSE - Other Index Options'!$B:$B,C$4,'NSE - Other Index Options'!$I:$I,"Monthly*")=0,"",SUMIFS('NSE - NIFTY Index Options'!$M:$M,'NSE - NIFTY Index Options'!$C:$C,$A86,'NSE - NIFTY Index Options'!$B:$B,C$4,'NSE - NIFTY Index Options'!$I:$I,"Monthly*")+SUMIFS('NSE - Other Index Options'!$M:$M,'NSE - Other Index Options'!$C:$C,$A86,'NSE - Other Index Options'!$B:$B,C$4,'NSE - Other Index Options'!$I:$I,"Monthly*"))</f>
        <v/>
      </c>
      <c r="D86" s="26">
        <f>IF(SUMIFS('NSE - NIFTY Index Options'!$M:$M,'NSE - NIFTY Index Options'!$C:$C,$A86,'NSE - NIFTY Index Options'!$B:$B,D$4,'NSE - NIFTY Index Options'!$I:$I,"Monthly*")+SUMIFS('NSE - Other Index Options'!$M:$M,'NSE - Other Index Options'!$C:$C,$A86,'NSE - Other Index Options'!$B:$B,D$4,'NSE - Other Index Options'!$I:$I,"Monthly*")=0,"",SUMIFS('NSE - NIFTY Index Options'!$M:$M,'NSE - NIFTY Index Options'!$C:$C,$A86,'NSE - NIFTY Index Options'!$B:$B,D$4,'NSE - NIFTY Index Options'!$I:$I,"Monthly*")+SUMIFS('NSE - Other Index Options'!$M:$M,'NSE - Other Index Options'!$C:$C,$A86,'NSE - Other Index Options'!$B:$B,D$4,'NSE - Other Index Options'!$I:$I,"Monthly*"))</f>
        <v/>
      </c>
      <c r="E86" s="26">
        <f>IF(SUMIFS('NSE - NIFTY Index Options'!$M:$M,'NSE - NIFTY Index Options'!$C:$C,$A86,'NSE - NIFTY Index Options'!$B:$B,E$4,'NSE - NIFTY Index Options'!$I:$I,"Monthly*")+SUMIFS('NSE - Other Index Options'!$M:$M,'NSE - Other Index Options'!$C:$C,$A86,'NSE - Other Index Options'!$B:$B,E$4,'NSE - Other Index Options'!$I:$I,"Monthly*")=0,"",SUMIFS('NSE - NIFTY Index Options'!$M:$M,'NSE - NIFTY Index Options'!$C:$C,$A86,'NSE - NIFTY Index Options'!$B:$B,E$4,'NSE - NIFTY Index Options'!$I:$I,"Monthly*")+SUMIFS('NSE - Other Index Options'!$M:$M,'NSE - Other Index Options'!$C:$C,$A86,'NSE - Other Index Options'!$B:$B,E$4,'NSE - Other Index Options'!$I:$I,"Monthly*"))</f>
        <v/>
      </c>
      <c r="F86" s="26">
        <f>IF(SUMIFS('NSE - NIFTY Index Options'!$M:$M,'NSE - NIFTY Index Options'!$C:$C,$A86,'NSE - NIFTY Index Options'!$B:$B,F$4,'NSE - NIFTY Index Options'!$I:$I,"Monthly*")+SUMIFS('NSE - Other Index Options'!$M:$M,'NSE - Other Index Options'!$C:$C,$A86,'NSE - Other Index Options'!$B:$B,F$4,'NSE - Other Index Options'!$I:$I,"Monthly*")=0,"",SUMIFS('NSE - NIFTY Index Options'!$M:$M,'NSE - NIFTY Index Options'!$C:$C,$A86,'NSE - NIFTY Index Options'!$B:$B,F$4,'NSE - NIFTY Index Options'!$I:$I,"Monthly*")+SUMIFS('NSE - Other Index Options'!$M:$M,'NSE - Other Index Options'!$C:$C,$A86,'NSE - Other Index Options'!$B:$B,F$4,'NSE - Other Index Options'!$I:$I,"Monthly*"))</f>
        <v/>
      </c>
      <c r="G86" s="26">
        <f>IF(SUMIFS('NSE - NIFTY Index Options'!$M:$M,'NSE - NIFTY Index Options'!$C:$C,$A86,'NSE - NIFTY Index Options'!$B:$B,G$4,'NSE - NIFTY Index Options'!$I:$I,"Monthly*")+SUMIFS('NSE - Other Index Options'!$M:$M,'NSE - Other Index Options'!$C:$C,$A86,'NSE - Other Index Options'!$B:$B,G$4,'NSE - Other Index Options'!$I:$I,"Monthly*")=0,"",SUMIFS('NSE - NIFTY Index Options'!$M:$M,'NSE - NIFTY Index Options'!$C:$C,$A86,'NSE - NIFTY Index Options'!$B:$B,G$4,'NSE - NIFTY Index Options'!$I:$I,"Monthly*")+SUMIFS('NSE - Other Index Options'!$M:$M,'NSE - Other Index Options'!$C:$C,$A86,'NSE - Other Index Options'!$B:$B,G$4,'NSE - Other Index Options'!$I:$I,"Monthly*"))</f>
        <v/>
      </c>
      <c r="H86" s="26">
        <f>IF(SUM(B86:G86)=0,"",SUM(B86:G86))</f>
        <v/>
      </c>
    </row>
    <row r="87" hidden="1" outlineLevel="1">
      <c r="A87" t="inlineStr">
        <is>
          <t>Week4-Jan-2027</t>
        </is>
      </c>
      <c r="B87" s="26">
        <f>IF(SUMIFS('NSE - NIFTY Index Options'!$M:$M,'NSE - NIFTY Index Options'!$C:$C,$A87,'NSE - NIFTY Index Options'!$B:$B,B$4,'NSE - NIFTY Index Options'!$I:$I,"Monthly*")+SUMIFS('NSE - Other Index Options'!$M:$M,'NSE - Other Index Options'!$C:$C,$A87,'NSE - Other Index Options'!$B:$B,B$4,'NSE - Other Index Options'!$I:$I,"Monthly*")=0,"",SUMIFS('NSE - NIFTY Index Options'!$M:$M,'NSE - NIFTY Index Options'!$C:$C,$A87,'NSE - NIFTY Index Options'!$B:$B,B$4,'NSE - NIFTY Index Options'!$I:$I,"Monthly*")+SUMIFS('NSE - Other Index Options'!$M:$M,'NSE - Other Index Options'!$C:$C,$A87,'NSE - Other Index Options'!$B:$B,B$4,'NSE - Other Index Options'!$I:$I,"Monthly*"))</f>
        <v/>
      </c>
      <c r="C87" s="26">
        <f>IF(SUMIFS('NSE - NIFTY Index Options'!$M:$M,'NSE - NIFTY Index Options'!$C:$C,$A87,'NSE - NIFTY Index Options'!$B:$B,C$4,'NSE - NIFTY Index Options'!$I:$I,"Monthly*")+SUMIFS('NSE - Other Index Options'!$M:$M,'NSE - Other Index Options'!$C:$C,$A87,'NSE - Other Index Options'!$B:$B,C$4,'NSE - Other Index Options'!$I:$I,"Monthly*")=0,"",SUMIFS('NSE - NIFTY Index Options'!$M:$M,'NSE - NIFTY Index Options'!$C:$C,$A87,'NSE - NIFTY Index Options'!$B:$B,C$4,'NSE - NIFTY Index Options'!$I:$I,"Monthly*")+SUMIFS('NSE - Other Index Options'!$M:$M,'NSE - Other Index Options'!$C:$C,$A87,'NSE - Other Index Options'!$B:$B,C$4,'NSE - Other Index Options'!$I:$I,"Monthly*"))</f>
        <v/>
      </c>
      <c r="D87" s="26">
        <f>IF(SUMIFS('NSE - NIFTY Index Options'!$M:$M,'NSE - NIFTY Index Options'!$C:$C,$A87,'NSE - NIFTY Index Options'!$B:$B,D$4,'NSE - NIFTY Index Options'!$I:$I,"Monthly*")+SUMIFS('NSE - Other Index Options'!$M:$M,'NSE - Other Index Options'!$C:$C,$A87,'NSE - Other Index Options'!$B:$B,D$4,'NSE - Other Index Options'!$I:$I,"Monthly*")=0,"",SUMIFS('NSE - NIFTY Index Options'!$M:$M,'NSE - NIFTY Index Options'!$C:$C,$A87,'NSE - NIFTY Index Options'!$B:$B,D$4,'NSE - NIFTY Index Options'!$I:$I,"Monthly*")+SUMIFS('NSE - Other Index Options'!$M:$M,'NSE - Other Index Options'!$C:$C,$A87,'NSE - Other Index Options'!$B:$B,D$4,'NSE - Other Index Options'!$I:$I,"Monthly*"))</f>
        <v/>
      </c>
      <c r="E87" s="26">
        <f>IF(SUMIFS('NSE - NIFTY Index Options'!$M:$M,'NSE - NIFTY Index Options'!$C:$C,$A87,'NSE - NIFTY Index Options'!$B:$B,E$4,'NSE - NIFTY Index Options'!$I:$I,"Monthly*")+SUMIFS('NSE - Other Index Options'!$M:$M,'NSE - Other Index Options'!$C:$C,$A87,'NSE - Other Index Options'!$B:$B,E$4,'NSE - Other Index Options'!$I:$I,"Monthly*")=0,"",SUMIFS('NSE - NIFTY Index Options'!$M:$M,'NSE - NIFTY Index Options'!$C:$C,$A87,'NSE - NIFTY Index Options'!$B:$B,E$4,'NSE - NIFTY Index Options'!$I:$I,"Monthly*")+SUMIFS('NSE - Other Index Options'!$M:$M,'NSE - Other Index Options'!$C:$C,$A87,'NSE - Other Index Options'!$B:$B,E$4,'NSE - Other Index Options'!$I:$I,"Monthly*"))</f>
        <v/>
      </c>
      <c r="F87" s="26">
        <f>IF(SUMIFS('NSE - NIFTY Index Options'!$M:$M,'NSE - NIFTY Index Options'!$C:$C,$A87,'NSE - NIFTY Index Options'!$B:$B,F$4,'NSE - NIFTY Index Options'!$I:$I,"Monthly*")+SUMIFS('NSE - Other Index Options'!$M:$M,'NSE - Other Index Options'!$C:$C,$A87,'NSE - Other Index Options'!$B:$B,F$4,'NSE - Other Index Options'!$I:$I,"Monthly*")=0,"",SUMIFS('NSE - NIFTY Index Options'!$M:$M,'NSE - NIFTY Index Options'!$C:$C,$A87,'NSE - NIFTY Index Options'!$B:$B,F$4,'NSE - NIFTY Index Options'!$I:$I,"Monthly*")+SUMIFS('NSE - Other Index Options'!$M:$M,'NSE - Other Index Options'!$C:$C,$A87,'NSE - Other Index Options'!$B:$B,F$4,'NSE - Other Index Options'!$I:$I,"Monthly*"))</f>
        <v/>
      </c>
      <c r="G87" s="26">
        <f>IF(SUMIFS('NSE - NIFTY Index Options'!$M:$M,'NSE - NIFTY Index Options'!$C:$C,$A87,'NSE - NIFTY Index Options'!$B:$B,G$4,'NSE - NIFTY Index Options'!$I:$I,"Monthly*")+SUMIFS('NSE - Other Index Options'!$M:$M,'NSE - Other Index Options'!$C:$C,$A87,'NSE - Other Index Options'!$B:$B,G$4,'NSE - Other Index Options'!$I:$I,"Monthly*")=0,"",SUMIFS('NSE - NIFTY Index Options'!$M:$M,'NSE - NIFTY Index Options'!$C:$C,$A87,'NSE - NIFTY Index Options'!$B:$B,G$4,'NSE - NIFTY Index Options'!$I:$I,"Monthly*")+SUMIFS('NSE - Other Index Options'!$M:$M,'NSE - Other Index Options'!$C:$C,$A87,'NSE - Other Index Options'!$B:$B,G$4,'NSE - Other Index Options'!$I:$I,"Monthly*"))</f>
        <v/>
      </c>
      <c r="H87" s="26">
        <f>IF(SUM(B87:G87)=0,"",SUM(B87:G87))</f>
        <v/>
      </c>
    </row>
    <row r="88" hidden="1" outlineLevel="1">
      <c r="A88" t="inlineStr">
        <is>
          <t>Week5-Jan-2027</t>
        </is>
      </c>
      <c r="B88" s="26">
        <f>IF(SUMIFS('NSE - NIFTY Index Options'!$M:$M,'NSE - NIFTY Index Options'!$C:$C,$A88,'NSE - NIFTY Index Options'!$B:$B,B$4,'NSE - NIFTY Index Options'!$I:$I,"Monthly*")+SUMIFS('NSE - Other Index Options'!$M:$M,'NSE - Other Index Options'!$C:$C,$A88,'NSE - Other Index Options'!$B:$B,B$4,'NSE - Other Index Options'!$I:$I,"Monthly*")=0,"",SUMIFS('NSE - NIFTY Index Options'!$M:$M,'NSE - NIFTY Index Options'!$C:$C,$A88,'NSE - NIFTY Index Options'!$B:$B,B$4,'NSE - NIFTY Index Options'!$I:$I,"Monthly*")+SUMIFS('NSE - Other Index Options'!$M:$M,'NSE - Other Index Options'!$C:$C,$A88,'NSE - Other Index Options'!$B:$B,B$4,'NSE - Other Index Options'!$I:$I,"Monthly*"))</f>
        <v/>
      </c>
      <c r="C88" s="26">
        <f>IF(SUMIFS('NSE - NIFTY Index Options'!$M:$M,'NSE - NIFTY Index Options'!$C:$C,$A88,'NSE - NIFTY Index Options'!$B:$B,C$4,'NSE - NIFTY Index Options'!$I:$I,"Monthly*")+SUMIFS('NSE - Other Index Options'!$M:$M,'NSE - Other Index Options'!$C:$C,$A88,'NSE - Other Index Options'!$B:$B,C$4,'NSE - Other Index Options'!$I:$I,"Monthly*")=0,"",SUMIFS('NSE - NIFTY Index Options'!$M:$M,'NSE - NIFTY Index Options'!$C:$C,$A88,'NSE - NIFTY Index Options'!$B:$B,C$4,'NSE - NIFTY Index Options'!$I:$I,"Monthly*")+SUMIFS('NSE - Other Index Options'!$M:$M,'NSE - Other Index Options'!$C:$C,$A88,'NSE - Other Index Options'!$B:$B,C$4,'NSE - Other Index Options'!$I:$I,"Monthly*"))</f>
        <v/>
      </c>
      <c r="D88" s="26">
        <f>IF(SUMIFS('NSE - NIFTY Index Options'!$M:$M,'NSE - NIFTY Index Options'!$C:$C,$A88,'NSE - NIFTY Index Options'!$B:$B,D$4,'NSE - NIFTY Index Options'!$I:$I,"Monthly*")+SUMIFS('NSE - Other Index Options'!$M:$M,'NSE - Other Index Options'!$C:$C,$A88,'NSE - Other Index Options'!$B:$B,D$4,'NSE - Other Index Options'!$I:$I,"Monthly*")=0,"",SUMIFS('NSE - NIFTY Index Options'!$M:$M,'NSE - NIFTY Index Options'!$C:$C,$A88,'NSE - NIFTY Index Options'!$B:$B,D$4,'NSE - NIFTY Index Options'!$I:$I,"Monthly*")+SUMIFS('NSE - Other Index Options'!$M:$M,'NSE - Other Index Options'!$C:$C,$A88,'NSE - Other Index Options'!$B:$B,D$4,'NSE - Other Index Options'!$I:$I,"Monthly*"))</f>
        <v/>
      </c>
      <c r="E88" s="26">
        <f>IF(SUMIFS('NSE - NIFTY Index Options'!$M:$M,'NSE - NIFTY Index Options'!$C:$C,$A88,'NSE - NIFTY Index Options'!$B:$B,E$4,'NSE - NIFTY Index Options'!$I:$I,"Monthly*")+SUMIFS('NSE - Other Index Options'!$M:$M,'NSE - Other Index Options'!$C:$C,$A88,'NSE - Other Index Options'!$B:$B,E$4,'NSE - Other Index Options'!$I:$I,"Monthly*")=0,"",SUMIFS('NSE - NIFTY Index Options'!$M:$M,'NSE - NIFTY Index Options'!$C:$C,$A88,'NSE - NIFTY Index Options'!$B:$B,E$4,'NSE - NIFTY Index Options'!$I:$I,"Monthly*")+SUMIFS('NSE - Other Index Options'!$M:$M,'NSE - Other Index Options'!$C:$C,$A88,'NSE - Other Index Options'!$B:$B,E$4,'NSE - Other Index Options'!$I:$I,"Monthly*"))</f>
        <v/>
      </c>
      <c r="F88" s="26">
        <f>IF(SUMIFS('NSE - NIFTY Index Options'!$M:$M,'NSE - NIFTY Index Options'!$C:$C,$A88,'NSE - NIFTY Index Options'!$B:$B,F$4,'NSE - NIFTY Index Options'!$I:$I,"Monthly*")+SUMIFS('NSE - Other Index Options'!$M:$M,'NSE - Other Index Options'!$C:$C,$A88,'NSE - Other Index Options'!$B:$B,F$4,'NSE - Other Index Options'!$I:$I,"Monthly*")=0,"",SUMIFS('NSE - NIFTY Index Options'!$M:$M,'NSE - NIFTY Index Options'!$C:$C,$A88,'NSE - NIFTY Index Options'!$B:$B,F$4,'NSE - NIFTY Index Options'!$I:$I,"Monthly*")+SUMIFS('NSE - Other Index Options'!$M:$M,'NSE - Other Index Options'!$C:$C,$A88,'NSE - Other Index Options'!$B:$B,F$4,'NSE - Other Index Options'!$I:$I,"Monthly*"))</f>
        <v/>
      </c>
      <c r="G88" s="26">
        <f>IF(SUMIFS('NSE - NIFTY Index Options'!$M:$M,'NSE - NIFTY Index Options'!$C:$C,$A88,'NSE - NIFTY Index Options'!$B:$B,G$4,'NSE - NIFTY Index Options'!$I:$I,"Monthly*")+SUMIFS('NSE - Other Index Options'!$M:$M,'NSE - Other Index Options'!$C:$C,$A88,'NSE - Other Index Options'!$B:$B,G$4,'NSE - Other Index Options'!$I:$I,"Monthly*")=0,"",SUMIFS('NSE - NIFTY Index Options'!$M:$M,'NSE - NIFTY Index Options'!$C:$C,$A88,'NSE - NIFTY Index Options'!$B:$B,G$4,'NSE - NIFTY Index Options'!$I:$I,"Monthly*")+SUMIFS('NSE - Other Index Options'!$M:$M,'NSE - Other Index Options'!$C:$C,$A88,'NSE - Other Index Options'!$B:$B,G$4,'NSE - Other Index Options'!$I:$I,"Monthly*"))</f>
        <v/>
      </c>
      <c r="H88" s="26">
        <f>IF(SUM(B88:G88)=0,"",SUM(B88:G88))</f>
        <v/>
      </c>
    </row>
    <row r="89" hidden="1" outlineLevel="1">
      <c r="A89" t="inlineStr">
        <is>
          <t>Week1-Feb-2027</t>
        </is>
      </c>
      <c r="B89" s="26">
        <f>IF(SUMIFS('NSE - NIFTY Index Options'!$M:$M,'NSE - NIFTY Index Options'!$C:$C,$A89,'NSE - NIFTY Index Options'!$B:$B,B$4,'NSE - NIFTY Index Options'!$I:$I,"Monthly*")+SUMIFS('NSE - Other Index Options'!$M:$M,'NSE - Other Index Options'!$C:$C,$A89,'NSE - Other Index Options'!$B:$B,B$4,'NSE - Other Index Options'!$I:$I,"Monthly*")=0,"",SUMIFS('NSE - NIFTY Index Options'!$M:$M,'NSE - NIFTY Index Options'!$C:$C,$A89,'NSE - NIFTY Index Options'!$B:$B,B$4,'NSE - NIFTY Index Options'!$I:$I,"Monthly*")+SUMIFS('NSE - Other Index Options'!$M:$M,'NSE - Other Index Options'!$C:$C,$A89,'NSE - Other Index Options'!$B:$B,B$4,'NSE - Other Index Options'!$I:$I,"Monthly*"))</f>
        <v/>
      </c>
      <c r="C89" s="26">
        <f>IF(SUMIFS('NSE - NIFTY Index Options'!$M:$M,'NSE - NIFTY Index Options'!$C:$C,$A89,'NSE - NIFTY Index Options'!$B:$B,C$4,'NSE - NIFTY Index Options'!$I:$I,"Monthly*")+SUMIFS('NSE - Other Index Options'!$M:$M,'NSE - Other Index Options'!$C:$C,$A89,'NSE - Other Index Options'!$B:$B,C$4,'NSE - Other Index Options'!$I:$I,"Monthly*")=0,"",SUMIFS('NSE - NIFTY Index Options'!$M:$M,'NSE - NIFTY Index Options'!$C:$C,$A89,'NSE - NIFTY Index Options'!$B:$B,C$4,'NSE - NIFTY Index Options'!$I:$I,"Monthly*")+SUMIFS('NSE - Other Index Options'!$M:$M,'NSE - Other Index Options'!$C:$C,$A89,'NSE - Other Index Options'!$B:$B,C$4,'NSE - Other Index Options'!$I:$I,"Monthly*"))</f>
        <v/>
      </c>
      <c r="D89" s="26">
        <f>IF(SUMIFS('NSE - NIFTY Index Options'!$M:$M,'NSE - NIFTY Index Options'!$C:$C,$A89,'NSE - NIFTY Index Options'!$B:$B,D$4,'NSE - NIFTY Index Options'!$I:$I,"Monthly*")+SUMIFS('NSE - Other Index Options'!$M:$M,'NSE - Other Index Options'!$C:$C,$A89,'NSE - Other Index Options'!$B:$B,D$4,'NSE - Other Index Options'!$I:$I,"Monthly*")=0,"",SUMIFS('NSE - NIFTY Index Options'!$M:$M,'NSE - NIFTY Index Options'!$C:$C,$A89,'NSE - NIFTY Index Options'!$B:$B,D$4,'NSE - NIFTY Index Options'!$I:$I,"Monthly*")+SUMIFS('NSE - Other Index Options'!$M:$M,'NSE - Other Index Options'!$C:$C,$A89,'NSE - Other Index Options'!$B:$B,D$4,'NSE - Other Index Options'!$I:$I,"Monthly*"))</f>
        <v/>
      </c>
      <c r="E89" s="26">
        <f>IF(SUMIFS('NSE - NIFTY Index Options'!$M:$M,'NSE - NIFTY Index Options'!$C:$C,$A89,'NSE - NIFTY Index Options'!$B:$B,E$4,'NSE - NIFTY Index Options'!$I:$I,"Monthly*")+SUMIFS('NSE - Other Index Options'!$M:$M,'NSE - Other Index Options'!$C:$C,$A89,'NSE - Other Index Options'!$B:$B,E$4,'NSE - Other Index Options'!$I:$I,"Monthly*")=0,"",SUMIFS('NSE - NIFTY Index Options'!$M:$M,'NSE - NIFTY Index Options'!$C:$C,$A89,'NSE - NIFTY Index Options'!$B:$B,E$4,'NSE - NIFTY Index Options'!$I:$I,"Monthly*")+SUMIFS('NSE - Other Index Options'!$M:$M,'NSE - Other Index Options'!$C:$C,$A89,'NSE - Other Index Options'!$B:$B,E$4,'NSE - Other Index Options'!$I:$I,"Monthly*"))</f>
        <v/>
      </c>
      <c r="F89" s="26">
        <f>IF(SUMIFS('NSE - NIFTY Index Options'!$M:$M,'NSE - NIFTY Index Options'!$C:$C,$A89,'NSE - NIFTY Index Options'!$B:$B,F$4,'NSE - NIFTY Index Options'!$I:$I,"Monthly*")+SUMIFS('NSE - Other Index Options'!$M:$M,'NSE - Other Index Options'!$C:$C,$A89,'NSE - Other Index Options'!$B:$B,F$4,'NSE - Other Index Options'!$I:$I,"Monthly*")=0,"",SUMIFS('NSE - NIFTY Index Options'!$M:$M,'NSE - NIFTY Index Options'!$C:$C,$A89,'NSE - NIFTY Index Options'!$B:$B,F$4,'NSE - NIFTY Index Options'!$I:$I,"Monthly*")+SUMIFS('NSE - Other Index Options'!$M:$M,'NSE - Other Index Options'!$C:$C,$A89,'NSE - Other Index Options'!$B:$B,F$4,'NSE - Other Index Options'!$I:$I,"Monthly*"))</f>
        <v/>
      </c>
      <c r="G89" s="26">
        <f>IF(SUMIFS('NSE - NIFTY Index Options'!$M:$M,'NSE - NIFTY Index Options'!$C:$C,$A89,'NSE - NIFTY Index Options'!$B:$B,G$4,'NSE - NIFTY Index Options'!$I:$I,"Monthly*")+SUMIFS('NSE - Other Index Options'!$M:$M,'NSE - Other Index Options'!$C:$C,$A89,'NSE - Other Index Options'!$B:$B,G$4,'NSE - Other Index Options'!$I:$I,"Monthly*")=0,"",SUMIFS('NSE - NIFTY Index Options'!$M:$M,'NSE - NIFTY Index Options'!$C:$C,$A89,'NSE - NIFTY Index Options'!$B:$B,G$4,'NSE - NIFTY Index Options'!$I:$I,"Monthly*")+SUMIFS('NSE - Other Index Options'!$M:$M,'NSE - Other Index Options'!$C:$C,$A89,'NSE - Other Index Options'!$B:$B,G$4,'NSE - Other Index Options'!$I:$I,"Monthly*"))</f>
        <v/>
      </c>
      <c r="H89" s="26">
        <f>IF(SUM(B89:G89)=0,"",SUM(B89:G89))</f>
        <v/>
      </c>
    </row>
    <row r="90" hidden="1" outlineLevel="1">
      <c r="A90" t="inlineStr">
        <is>
          <t>Week2-Feb-2027</t>
        </is>
      </c>
      <c r="B90" s="26">
        <f>IF(SUMIFS('NSE - NIFTY Index Options'!$M:$M,'NSE - NIFTY Index Options'!$C:$C,$A90,'NSE - NIFTY Index Options'!$B:$B,B$4,'NSE - NIFTY Index Options'!$I:$I,"Monthly*")+SUMIFS('NSE - Other Index Options'!$M:$M,'NSE - Other Index Options'!$C:$C,$A90,'NSE - Other Index Options'!$B:$B,B$4,'NSE - Other Index Options'!$I:$I,"Monthly*")=0,"",SUMIFS('NSE - NIFTY Index Options'!$M:$M,'NSE - NIFTY Index Options'!$C:$C,$A90,'NSE - NIFTY Index Options'!$B:$B,B$4,'NSE - NIFTY Index Options'!$I:$I,"Monthly*")+SUMIFS('NSE - Other Index Options'!$M:$M,'NSE - Other Index Options'!$C:$C,$A90,'NSE - Other Index Options'!$B:$B,B$4,'NSE - Other Index Options'!$I:$I,"Monthly*"))</f>
        <v/>
      </c>
      <c r="C90" s="26">
        <f>IF(SUMIFS('NSE - NIFTY Index Options'!$M:$M,'NSE - NIFTY Index Options'!$C:$C,$A90,'NSE - NIFTY Index Options'!$B:$B,C$4,'NSE - NIFTY Index Options'!$I:$I,"Monthly*")+SUMIFS('NSE - Other Index Options'!$M:$M,'NSE - Other Index Options'!$C:$C,$A90,'NSE - Other Index Options'!$B:$B,C$4,'NSE - Other Index Options'!$I:$I,"Monthly*")=0,"",SUMIFS('NSE - NIFTY Index Options'!$M:$M,'NSE - NIFTY Index Options'!$C:$C,$A90,'NSE - NIFTY Index Options'!$B:$B,C$4,'NSE - NIFTY Index Options'!$I:$I,"Monthly*")+SUMIFS('NSE - Other Index Options'!$M:$M,'NSE - Other Index Options'!$C:$C,$A90,'NSE - Other Index Options'!$B:$B,C$4,'NSE - Other Index Options'!$I:$I,"Monthly*"))</f>
        <v/>
      </c>
      <c r="D90" s="26">
        <f>IF(SUMIFS('NSE - NIFTY Index Options'!$M:$M,'NSE - NIFTY Index Options'!$C:$C,$A90,'NSE - NIFTY Index Options'!$B:$B,D$4,'NSE - NIFTY Index Options'!$I:$I,"Monthly*")+SUMIFS('NSE - Other Index Options'!$M:$M,'NSE - Other Index Options'!$C:$C,$A90,'NSE - Other Index Options'!$B:$B,D$4,'NSE - Other Index Options'!$I:$I,"Monthly*")=0,"",SUMIFS('NSE - NIFTY Index Options'!$M:$M,'NSE - NIFTY Index Options'!$C:$C,$A90,'NSE - NIFTY Index Options'!$B:$B,D$4,'NSE - NIFTY Index Options'!$I:$I,"Monthly*")+SUMIFS('NSE - Other Index Options'!$M:$M,'NSE - Other Index Options'!$C:$C,$A90,'NSE - Other Index Options'!$B:$B,D$4,'NSE - Other Index Options'!$I:$I,"Monthly*"))</f>
        <v/>
      </c>
      <c r="E90" s="26">
        <f>IF(SUMIFS('NSE - NIFTY Index Options'!$M:$M,'NSE - NIFTY Index Options'!$C:$C,$A90,'NSE - NIFTY Index Options'!$B:$B,E$4,'NSE - NIFTY Index Options'!$I:$I,"Monthly*")+SUMIFS('NSE - Other Index Options'!$M:$M,'NSE - Other Index Options'!$C:$C,$A90,'NSE - Other Index Options'!$B:$B,E$4,'NSE - Other Index Options'!$I:$I,"Monthly*")=0,"",SUMIFS('NSE - NIFTY Index Options'!$M:$M,'NSE - NIFTY Index Options'!$C:$C,$A90,'NSE - NIFTY Index Options'!$B:$B,E$4,'NSE - NIFTY Index Options'!$I:$I,"Monthly*")+SUMIFS('NSE - Other Index Options'!$M:$M,'NSE - Other Index Options'!$C:$C,$A90,'NSE - Other Index Options'!$B:$B,E$4,'NSE - Other Index Options'!$I:$I,"Monthly*"))</f>
        <v/>
      </c>
      <c r="F90" s="26">
        <f>IF(SUMIFS('NSE - NIFTY Index Options'!$M:$M,'NSE - NIFTY Index Options'!$C:$C,$A90,'NSE - NIFTY Index Options'!$B:$B,F$4,'NSE - NIFTY Index Options'!$I:$I,"Monthly*")+SUMIFS('NSE - Other Index Options'!$M:$M,'NSE - Other Index Options'!$C:$C,$A90,'NSE - Other Index Options'!$B:$B,F$4,'NSE - Other Index Options'!$I:$I,"Monthly*")=0,"",SUMIFS('NSE - NIFTY Index Options'!$M:$M,'NSE - NIFTY Index Options'!$C:$C,$A90,'NSE - NIFTY Index Options'!$B:$B,F$4,'NSE - NIFTY Index Options'!$I:$I,"Monthly*")+SUMIFS('NSE - Other Index Options'!$M:$M,'NSE - Other Index Options'!$C:$C,$A90,'NSE - Other Index Options'!$B:$B,F$4,'NSE - Other Index Options'!$I:$I,"Monthly*"))</f>
        <v/>
      </c>
      <c r="G90" s="26">
        <f>IF(SUMIFS('NSE - NIFTY Index Options'!$M:$M,'NSE - NIFTY Index Options'!$C:$C,$A90,'NSE - NIFTY Index Options'!$B:$B,G$4,'NSE - NIFTY Index Options'!$I:$I,"Monthly*")+SUMIFS('NSE - Other Index Options'!$M:$M,'NSE - Other Index Options'!$C:$C,$A90,'NSE - Other Index Options'!$B:$B,G$4,'NSE - Other Index Options'!$I:$I,"Monthly*")=0,"",SUMIFS('NSE - NIFTY Index Options'!$M:$M,'NSE - NIFTY Index Options'!$C:$C,$A90,'NSE - NIFTY Index Options'!$B:$B,G$4,'NSE - NIFTY Index Options'!$I:$I,"Monthly*")+SUMIFS('NSE - Other Index Options'!$M:$M,'NSE - Other Index Options'!$C:$C,$A90,'NSE - Other Index Options'!$B:$B,G$4,'NSE - Other Index Options'!$I:$I,"Monthly*"))</f>
        <v/>
      </c>
      <c r="H90" s="26">
        <f>IF(SUM(B90:G90)=0,"",SUM(B90:G90))</f>
        <v/>
      </c>
    </row>
    <row r="91" hidden="1" outlineLevel="1">
      <c r="A91" t="inlineStr">
        <is>
          <t>Week3-Feb-2027</t>
        </is>
      </c>
      <c r="B91" s="26">
        <f>IF(SUMIFS('NSE - NIFTY Index Options'!$M:$M,'NSE - NIFTY Index Options'!$C:$C,$A91,'NSE - NIFTY Index Options'!$B:$B,B$4,'NSE - NIFTY Index Options'!$I:$I,"Monthly*")+SUMIFS('NSE - Other Index Options'!$M:$M,'NSE - Other Index Options'!$C:$C,$A91,'NSE - Other Index Options'!$B:$B,B$4,'NSE - Other Index Options'!$I:$I,"Monthly*")=0,"",SUMIFS('NSE - NIFTY Index Options'!$M:$M,'NSE - NIFTY Index Options'!$C:$C,$A91,'NSE - NIFTY Index Options'!$B:$B,B$4,'NSE - NIFTY Index Options'!$I:$I,"Monthly*")+SUMIFS('NSE - Other Index Options'!$M:$M,'NSE - Other Index Options'!$C:$C,$A91,'NSE - Other Index Options'!$B:$B,B$4,'NSE - Other Index Options'!$I:$I,"Monthly*"))</f>
        <v/>
      </c>
      <c r="C91" s="26">
        <f>IF(SUMIFS('NSE - NIFTY Index Options'!$M:$M,'NSE - NIFTY Index Options'!$C:$C,$A91,'NSE - NIFTY Index Options'!$B:$B,C$4,'NSE - NIFTY Index Options'!$I:$I,"Monthly*")+SUMIFS('NSE - Other Index Options'!$M:$M,'NSE - Other Index Options'!$C:$C,$A91,'NSE - Other Index Options'!$B:$B,C$4,'NSE - Other Index Options'!$I:$I,"Monthly*")=0,"",SUMIFS('NSE - NIFTY Index Options'!$M:$M,'NSE - NIFTY Index Options'!$C:$C,$A91,'NSE - NIFTY Index Options'!$B:$B,C$4,'NSE - NIFTY Index Options'!$I:$I,"Monthly*")+SUMIFS('NSE - Other Index Options'!$M:$M,'NSE - Other Index Options'!$C:$C,$A91,'NSE - Other Index Options'!$B:$B,C$4,'NSE - Other Index Options'!$I:$I,"Monthly*"))</f>
        <v/>
      </c>
      <c r="D91" s="26">
        <f>IF(SUMIFS('NSE - NIFTY Index Options'!$M:$M,'NSE - NIFTY Index Options'!$C:$C,$A91,'NSE - NIFTY Index Options'!$B:$B,D$4,'NSE - NIFTY Index Options'!$I:$I,"Monthly*")+SUMIFS('NSE - Other Index Options'!$M:$M,'NSE - Other Index Options'!$C:$C,$A91,'NSE - Other Index Options'!$B:$B,D$4,'NSE - Other Index Options'!$I:$I,"Monthly*")=0,"",SUMIFS('NSE - NIFTY Index Options'!$M:$M,'NSE - NIFTY Index Options'!$C:$C,$A91,'NSE - NIFTY Index Options'!$B:$B,D$4,'NSE - NIFTY Index Options'!$I:$I,"Monthly*")+SUMIFS('NSE - Other Index Options'!$M:$M,'NSE - Other Index Options'!$C:$C,$A91,'NSE - Other Index Options'!$B:$B,D$4,'NSE - Other Index Options'!$I:$I,"Monthly*"))</f>
        <v/>
      </c>
      <c r="E91" s="26">
        <f>IF(SUMIFS('NSE - NIFTY Index Options'!$M:$M,'NSE - NIFTY Index Options'!$C:$C,$A91,'NSE - NIFTY Index Options'!$B:$B,E$4,'NSE - NIFTY Index Options'!$I:$I,"Monthly*")+SUMIFS('NSE - Other Index Options'!$M:$M,'NSE - Other Index Options'!$C:$C,$A91,'NSE - Other Index Options'!$B:$B,E$4,'NSE - Other Index Options'!$I:$I,"Monthly*")=0,"",SUMIFS('NSE - NIFTY Index Options'!$M:$M,'NSE - NIFTY Index Options'!$C:$C,$A91,'NSE - NIFTY Index Options'!$B:$B,E$4,'NSE - NIFTY Index Options'!$I:$I,"Monthly*")+SUMIFS('NSE - Other Index Options'!$M:$M,'NSE - Other Index Options'!$C:$C,$A91,'NSE - Other Index Options'!$B:$B,E$4,'NSE - Other Index Options'!$I:$I,"Monthly*"))</f>
        <v/>
      </c>
      <c r="F91" s="26">
        <f>IF(SUMIFS('NSE - NIFTY Index Options'!$M:$M,'NSE - NIFTY Index Options'!$C:$C,$A91,'NSE - NIFTY Index Options'!$B:$B,F$4,'NSE - NIFTY Index Options'!$I:$I,"Monthly*")+SUMIFS('NSE - Other Index Options'!$M:$M,'NSE - Other Index Options'!$C:$C,$A91,'NSE - Other Index Options'!$B:$B,F$4,'NSE - Other Index Options'!$I:$I,"Monthly*")=0,"",SUMIFS('NSE - NIFTY Index Options'!$M:$M,'NSE - NIFTY Index Options'!$C:$C,$A91,'NSE - NIFTY Index Options'!$B:$B,F$4,'NSE - NIFTY Index Options'!$I:$I,"Monthly*")+SUMIFS('NSE - Other Index Options'!$M:$M,'NSE - Other Index Options'!$C:$C,$A91,'NSE - Other Index Options'!$B:$B,F$4,'NSE - Other Index Options'!$I:$I,"Monthly*"))</f>
        <v/>
      </c>
      <c r="G91" s="26">
        <f>IF(SUMIFS('NSE - NIFTY Index Options'!$M:$M,'NSE - NIFTY Index Options'!$C:$C,$A91,'NSE - NIFTY Index Options'!$B:$B,G$4,'NSE - NIFTY Index Options'!$I:$I,"Monthly*")+SUMIFS('NSE - Other Index Options'!$M:$M,'NSE - Other Index Options'!$C:$C,$A91,'NSE - Other Index Options'!$B:$B,G$4,'NSE - Other Index Options'!$I:$I,"Monthly*")=0,"",SUMIFS('NSE - NIFTY Index Options'!$M:$M,'NSE - NIFTY Index Options'!$C:$C,$A91,'NSE - NIFTY Index Options'!$B:$B,G$4,'NSE - NIFTY Index Options'!$I:$I,"Monthly*")+SUMIFS('NSE - Other Index Options'!$M:$M,'NSE - Other Index Options'!$C:$C,$A91,'NSE - Other Index Options'!$B:$B,G$4,'NSE - Other Index Options'!$I:$I,"Monthly*"))</f>
        <v/>
      </c>
      <c r="H91" s="26">
        <f>IF(SUM(B91:G91)=0,"",SUM(B91:G91))</f>
        <v/>
      </c>
    </row>
    <row r="92" hidden="1" outlineLevel="1">
      <c r="A92" t="inlineStr">
        <is>
          <t>Week4-Feb-2027</t>
        </is>
      </c>
      <c r="B92" s="26">
        <f>IF(SUMIFS('NSE - NIFTY Index Options'!$M:$M,'NSE - NIFTY Index Options'!$C:$C,$A92,'NSE - NIFTY Index Options'!$B:$B,B$4,'NSE - NIFTY Index Options'!$I:$I,"Monthly*")+SUMIFS('NSE - Other Index Options'!$M:$M,'NSE - Other Index Options'!$C:$C,$A92,'NSE - Other Index Options'!$B:$B,B$4,'NSE - Other Index Options'!$I:$I,"Monthly*")=0,"",SUMIFS('NSE - NIFTY Index Options'!$M:$M,'NSE - NIFTY Index Options'!$C:$C,$A92,'NSE - NIFTY Index Options'!$B:$B,B$4,'NSE - NIFTY Index Options'!$I:$I,"Monthly*")+SUMIFS('NSE - Other Index Options'!$M:$M,'NSE - Other Index Options'!$C:$C,$A92,'NSE - Other Index Options'!$B:$B,B$4,'NSE - Other Index Options'!$I:$I,"Monthly*"))</f>
        <v/>
      </c>
      <c r="C92" s="26">
        <f>IF(SUMIFS('NSE - NIFTY Index Options'!$M:$M,'NSE - NIFTY Index Options'!$C:$C,$A92,'NSE - NIFTY Index Options'!$B:$B,C$4,'NSE - NIFTY Index Options'!$I:$I,"Monthly*")+SUMIFS('NSE - Other Index Options'!$M:$M,'NSE - Other Index Options'!$C:$C,$A92,'NSE - Other Index Options'!$B:$B,C$4,'NSE - Other Index Options'!$I:$I,"Monthly*")=0,"",SUMIFS('NSE - NIFTY Index Options'!$M:$M,'NSE - NIFTY Index Options'!$C:$C,$A92,'NSE - NIFTY Index Options'!$B:$B,C$4,'NSE - NIFTY Index Options'!$I:$I,"Monthly*")+SUMIFS('NSE - Other Index Options'!$M:$M,'NSE - Other Index Options'!$C:$C,$A92,'NSE - Other Index Options'!$B:$B,C$4,'NSE - Other Index Options'!$I:$I,"Monthly*"))</f>
        <v/>
      </c>
      <c r="D92" s="26">
        <f>IF(SUMIFS('NSE - NIFTY Index Options'!$M:$M,'NSE - NIFTY Index Options'!$C:$C,$A92,'NSE - NIFTY Index Options'!$B:$B,D$4,'NSE - NIFTY Index Options'!$I:$I,"Monthly*")+SUMIFS('NSE - Other Index Options'!$M:$M,'NSE - Other Index Options'!$C:$C,$A92,'NSE - Other Index Options'!$B:$B,D$4,'NSE - Other Index Options'!$I:$I,"Monthly*")=0,"",SUMIFS('NSE - NIFTY Index Options'!$M:$M,'NSE - NIFTY Index Options'!$C:$C,$A92,'NSE - NIFTY Index Options'!$B:$B,D$4,'NSE - NIFTY Index Options'!$I:$I,"Monthly*")+SUMIFS('NSE - Other Index Options'!$M:$M,'NSE - Other Index Options'!$C:$C,$A92,'NSE - Other Index Options'!$B:$B,D$4,'NSE - Other Index Options'!$I:$I,"Monthly*"))</f>
        <v/>
      </c>
      <c r="E92" s="26">
        <f>IF(SUMIFS('NSE - NIFTY Index Options'!$M:$M,'NSE - NIFTY Index Options'!$C:$C,$A92,'NSE - NIFTY Index Options'!$B:$B,E$4,'NSE - NIFTY Index Options'!$I:$I,"Monthly*")+SUMIFS('NSE - Other Index Options'!$M:$M,'NSE - Other Index Options'!$C:$C,$A92,'NSE - Other Index Options'!$B:$B,E$4,'NSE - Other Index Options'!$I:$I,"Monthly*")=0,"",SUMIFS('NSE - NIFTY Index Options'!$M:$M,'NSE - NIFTY Index Options'!$C:$C,$A92,'NSE - NIFTY Index Options'!$B:$B,E$4,'NSE - NIFTY Index Options'!$I:$I,"Monthly*")+SUMIFS('NSE - Other Index Options'!$M:$M,'NSE - Other Index Options'!$C:$C,$A92,'NSE - Other Index Options'!$B:$B,E$4,'NSE - Other Index Options'!$I:$I,"Monthly*"))</f>
        <v/>
      </c>
      <c r="F92" s="26">
        <f>IF(SUMIFS('NSE - NIFTY Index Options'!$M:$M,'NSE - NIFTY Index Options'!$C:$C,$A92,'NSE - NIFTY Index Options'!$B:$B,F$4,'NSE - NIFTY Index Options'!$I:$I,"Monthly*")+SUMIFS('NSE - Other Index Options'!$M:$M,'NSE - Other Index Options'!$C:$C,$A92,'NSE - Other Index Options'!$B:$B,F$4,'NSE - Other Index Options'!$I:$I,"Monthly*")=0,"",SUMIFS('NSE - NIFTY Index Options'!$M:$M,'NSE - NIFTY Index Options'!$C:$C,$A92,'NSE - NIFTY Index Options'!$B:$B,F$4,'NSE - NIFTY Index Options'!$I:$I,"Monthly*")+SUMIFS('NSE - Other Index Options'!$M:$M,'NSE - Other Index Options'!$C:$C,$A92,'NSE - Other Index Options'!$B:$B,F$4,'NSE - Other Index Options'!$I:$I,"Monthly*"))</f>
        <v/>
      </c>
      <c r="G92" s="26">
        <f>IF(SUMIFS('NSE - NIFTY Index Options'!$M:$M,'NSE - NIFTY Index Options'!$C:$C,$A92,'NSE - NIFTY Index Options'!$B:$B,G$4,'NSE - NIFTY Index Options'!$I:$I,"Monthly*")+SUMIFS('NSE - Other Index Options'!$M:$M,'NSE - Other Index Options'!$C:$C,$A92,'NSE - Other Index Options'!$B:$B,G$4,'NSE - Other Index Options'!$I:$I,"Monthly*")=0,"",SUMIFS('NSE - NIFTY Index Options'!$M:$M,'NSE - NIFTY Index Options'!$C:$C,$A92,'NSE - NIFTY Index Options'!$B:$B,G$4,'NSE - NIFTY Index Options'!$I:$I,"Monthly*")+SUMIFS('NSE - Other Index Options'!$M:$M,'NSE - Other Index Options'!$C:$C,$A92,'NSE - Other Index Options'!$B:$B,G$4,'NSE - Other Index Options'!$I:$I,"Monthly*"))</f>
        <v/>
      </c>
      <c r="H92" s="26">
        <f>IF(SUM(B92:G92)=0,"",SUM(B92:G92))</f>
        <v/>
      </c>
    </row>
    <row r="93" hidden="1" outlineLevel="1">
      <c r="A93" t="inlineStr">
        <is>
          <t>Week1-Mar-2027</t>
        </is>
      </c>
      <c r="B93" s="26">
        <f>IF(SUMIFS('NSE - NIFTY Index Options'!$M:$M,'NSE - NIFTY Index Options'!$C:$C,$A93,'NSE - NIFTY Index Options'!$B:$B,B$4,'NSE - NIFTY Index Options'!$I:$I,"Monthly*")+SUMIFS('NSE - Other Index Options'!$M:$M,'NSE - Other Index Options'!$C:$C,$A93,'NSE - Other Index Options'!$B:$B,B$4,'NSE - Other Index Options'!$I:$I,"Monthly*")=0,"",SUMIFS('NSE - NIFTY Index Options'!$M:$M,'NSE - NIFTY Index Options'!$C:$C,$A93,'NSE - NIFTY Index Options'!$B:$B,B$4,'NSE - NIFTY Index Options'!$I:$I,"Monthly*")+SUMIFS('NSE - Other Index Options'!$M:$M,'NSE - Other Index Options'!$C:$C,$A93,'NSE - Other Index Options'!$B:$B,B$4,'NSE - Other Index Options'!$I:$I,"Monthly*"))</f>
        <v/>
      </c>
      <c r="C93" s="26">
        <f>IF(SUMIFS('NSE - NIFTY Index Options'!$M:$M,'NSE - NIFTY Index Options'!$C:$C,$A93,'NSE - NIFTY Index Options'!$B:$B,C$4,'NSE - NIFTY Index Options'!$I:$I,"Monthly*")+SUMIFS('NSE - Other Index Options'!$M:$M,'NSE - Other Index Options'!$C:$C,$A93,'NSE - Other Index Options'!$B:$B,C$4,'NSE - Other Index Options'!$I:$I,"Monthly*")=0,"",SUMIFS('NSE - NIFTY Index Options'!$M:$M,'NSE - NIFTY Index Options'!$C:$C,$A93,'NSE - NIFTY Index Options'!$B:$B,C$4,'NSE - NIFTY Index Options'!$I:$I,"Monthly*")+SUMIFS('NSE - Other Index Options'!$M:$M,'NSE - Other Index Options'!$C:$C,$A93,'NSE - Other Index Options'!$B:$B,C$4,'NSE - Other Index Options'!$I:$I,"Monthly*"))</f>
        <v/>
      </c>
      <c r="D93" s="26">
        <f>IF(SUMIFS('NSE - NIFTY Index Options'!$M:$M,'NSE - NIFTY Index Options'!$C:$C,$A93,'NSE - NIFTY Index Options'!$B:$B,D$4,'NSE - NIFTY Index Options'!$I:$I,"Monthly*")+SUMIFS('NSE - Other Index Options'!$M:$M,'NSE - Other Index Options'!$C:$C,$A93,'NSE - Other Index Options'!$B:$B,D$4,'NSE - Other Index Options'!$I:$I,"Monthly*")=0,"",SUMIFS('NSE - NIFTY Index Options'!$M:$M,'NSE - NIFTY Index Options'!$C:$C,$A93,'NSE - NIFTY Index Options'!$B:$B,D$4,'NSE - NIFTY Index Options'!$I:$I,"Monthly*")+SUMIFS('NSE - Other Index Options'!$M:$M,'NSE - Other Index Options'!$C:$C,$A93,'NSE - Other Index Options'!$B:$B,D$4,'NSE - Other Index Options'!$I:$I,"Monthly*"))</f>
        <v/>
      </c>
      <c r="E93" s="26">
        <f>IF(SUMIFS('NSE - NIFTY Index Options'!$M:$M,'NSE - NIFTY Index Options'!$C:$C,$A93,'NSE - NIFTY Index Options'!$B:$B,E$4,'NSE - NIFTY Index Options'!$I:$I,"Monthly*")+SUMIFS('NSE - Other Index Options'!$M:$M,'NSE - Other Index Options'!$C:$C,$A93,'NSE - Other Index Options'!$B:$B,E$4,'NSE - Other Index Options'!$I:$I,"Monthly*")=0,"",SUMIFS('NSE - NIFTY Index Options'!$M:$M,'NSE - NIFTY Index Options'!$C:$C,$A93,'NSE - NIFTY Index Options'!$B:$B,E$4,'NSE - NIFTY Index Options'!$I:$I,"Monthly*")+SUMIFS('NSE - Other Index Options'!$M:$M,'NSE - Other Index Options'!$C:$C,$A93,'NSE - Other Index Options'!$B:$B,E$4,'NSE - Other Index Options'!$I:$I,"Monthly*"))</f>
        <v/>
      </c>
      <c r="F93" s="26">
        <f>IF(SUMIFS('NSE - NIFTY Index Options'!$M:$M,'NSE - NIFTY Index Options'!$C:$C,$A93,'NSE - NIFTY Index Options'!$B:$B,F$4,'NSE - NIFTY Index Options'!$I:$I,"Monthly*")+SUMIFS('NSE - Other Index Options'!$M:$M,'NSE - Other Index Options'!$C:$C,$A93,'NSE - Other Index Options'!$B:$B,F$4,'NSE - Other Index Options'!$I:$I,"Monthly*")=0,"",SUMIFS('NSE - NIFTY Index Options'!$M:$M,'NSE - NIFTY Index Options'!$C:$C,$A93,'NSE - NIFTY Index Options'!$B:$B,F$4,'NSE - NIFTY Index Options'!$I:$I,"Monthly*")+SUMIFS('NSE - Other Index Options'!$M:$M,'NSE - Other Index Options'!$C:$C,$A93,'NSE - Other Index Options'!$B:$B,F$4,'NSE - Other Index Options'!$I:$I,"Monthly*"))</f>
        <v/>
      </c>
      <c r="G93" s="26">
        <f>IF(SUMIFS('NSE - NIFTY Index Options'!$M:$M,'NSE - NIFTY Index Options'!$C:$C,$A93,'NSE - NIFTY Index Options'!$B:$B,G$4,'NSE - NIFTY Index Options'!$I:$I,"Monthly*")+SUMIFS('NSE - Other Index Options'!$M:$M,'NSE - Other Index Options'!$C:$C,$A93,'NSE - Other Index Options'!$B:$B,G$4,'NSE - Other Index Options'!$I:$I,"Monthly*")=0,"",SUMIFS('NSE - NIFTY Index Options'!$M:$M,'NSE - NIFTY Index Options'!$C:$C,$A93,'NSE - NIFTY Index Options'!$B:$B,G$4,'NSE - NIFTY Index Options'!$I:$I,"Monthly*")+SUMIFS('NSE - Other Index Options'!$M:$M,'NSE - Other Index Options'!$C:$C,$A93,'NSE - Other Index Options'!$B:$B,G$4,'NSE - Other Index Options'!$I:$I,"Monthly*"))</f>
        <v/>
      </c>
      <c r="H93" s="26">
        <f>IF(SUM(B93:G93)=0,"",SUM(B93:G93))</f>
        <v/>
      </c>
    </row>
    <row r="94" hidden="1" outlineLevel="1">
      <c r="A94" t="inlineStr">
        <is>
          <t>Week2-Mar-2027</t>
        </is>
      </c>
      <c r="B94" s="26">
        <f>IF(SUMIFS('NSE - NIFTY Index Options'!$M:$M,'NSE - NIFTY Index Options'!$C:$C,$A94,'NSE - NIFTY Index Options'!$B:$B,B$4,'NSE - NIFTY Index Options'!$I:$I,"Monthly*")+SUMIFS('NSE - Other Index Options'!$M:$M,'NSE - Other Index Options'!$C:$C,$A94,'NSE - Other Index Options'!$B:$B,B$4,'NSE - Other Index Options'!$I:$I,"Monthly*")=0,"",SUMIFS('NSE - NIFTY Index Options'!$M:$M,'NSE - NIFTY Index Options'!$C:$C,$A94,'NSE - NIFTY Index Options'!$B:$B,B$4,'NSE - NIFTY Index Options'!$I:$I,"Monthly*")+SUMIFS('NSE - Other Index Options'!$M:$M,'NSE - Other Index Options'!$C:$C,$A94,'NSE - Other Index Options'!$B:$B,B$4,'NSE - Other Index Options'!$I:$I,"Monthly*"))</f>
        <v/>
      </c>
      <c r="C94" s="26">
        <f>IF(SUMIFS('NSE - NIFTY Index Options'!$M:$M,'NSE - NIFTY Index Options'!$C:$C,$A94,'NSE - NIFTY Index Options'!$B:$B,C$4,'NSE - NIFTY Index Options'!$I:$I,"Monthly*")+SUMIFS('NSE - Other Index Options'!$M:$M,'NSE - Other Index Options'!$C:$C,$A94,'NSE - Other Index Options'!$B:$B,C$4,'NSE - Other Index Options'!$I:$I,"Monthly*")=0,"",SUMIFS('NSE - NIFTY Index Options'!$M:$M,'NSE - NIFTY Index Options'!$C:$C,$A94,'NSE - NIFTY Index Options'!$B:$B,C$4,'NSE - NIFTY Index Options'!$I:$I,"Monthly*")+SUMIFS('NSE - Other Index Options'!$M:$M,'NSE - Other Index Options'!$C:$C,$A94,'NSE - Other Index Options'!$B:$B,C$4,'NSE - Other Index Options'!$I:$I,"Monthly*"))</f>
        <v/>
      </c>
      <c r="D94" s="26">
        <f>IF(SUMIFS('NSE - NIFTY Index Options'!$M:$M,'NSE - NIFTY Index Options'!$C:$C,$A94,'NSE - NIFTY Index Options'!$B:$B,D$4,'NSE - NIFTY Index Options'!$I:$I,"Monthly*")+SUMIFS('NSE - Other Index Options'!$M:$M,'NSE - Other Index Options'!$C:$C,$A94,'NSE - Other Index Options'!$B:$B,D$4,'NSE - Other Index Options'!$I:$I,"Monthly*")=0,"",SUMIFS('NSE - NIFTY Index Options'!$M:$M,'NSE - NIFTY Index Options'!$C:$C,$A94,'NSE - NIFTY Index Options'!$B:$B,D$4,'NSE - NIFTY Index Options'!$I:$I,"Monthly*")+SUMIFS('NSE - Other Index Options'!$M:$M,'NSE - Other Index Options'!$C:$C,$A94,'NSE - Other Index Options'!$B:$B,D$4,'NSE - Other Index Options'!$I:$I,"Monthly*"))</f>
        <v/>
      </c>
      <c r="E94" s="26">
        <f>IF(SUMIFS('NSE - NIFTY Index Options'!$M:$M,'NSE - NIFTY Index Options'!$C:$C,$A94,'NSE - NIFTY Index Options'!$B:$B,E$4,'NSE - NIFTY Index Options'!$I:$I,"Monthly*")+SUMIFS('NSE - Other Index Options'!$M:$M,'NSE - Other Index Options'!$C:$C,$A94,'NSE - Other Index Options'!$B:$B,E$4,'NSE - Other Index Options'!$I:$I,"Monthly*")=0,"",SUMIFS('NSE - NIFTY Index Options'!$M:$M,'NSE - NIFTY Index Options'!$C:$C,$A94,'NSE - NIFTY Index Options'!$B:$B,E$4,'NSE - NIFTY Index Options'!$I:$I,"Monthly*")+SUMIFS('NSE - Other Index Options'!$M:$M,'NSE - Other Index Options'!$C:$C,$A94,'NSE - Other Index Options'!$B:$B,E$4,'NSE - Other Index Options'!$I:$I,"Monthly*"))</f>
        <v/>
      </c>
      <c r="F94" s="26">
        <f>IF(SUMIFS('NSE - NIFTY Index Options'!$M:$M,'NSE - NIFTY Index Options'!$C:$C,$A94,'NSE - NIFTY Index Options'!$B:$B,F$4,'NSE - NIFTY Index Options'!$I:$I,"Monthly*")+SUMIFS('NSE - Other Index Options'!$M:$M,'NSE - Other Index Options'!$C:$C,$A94,'NSE - Other Index Options'!$B:$B,F$4,'NSE - Other Index Options'!$I:$I,"Monthly*")=0,"",SUMIFS('NSE - NIFTY Index Options'!$M:$M,'NSE - NIFTY Index Options'!$C:$C,$A94,'NSE - NIFTY Index Options'!$B:$B,F$4,'NSE - NIFTY Index Options'!$I:$I,"Monthly*")+SUMIFS('NSE - Other Index Options'!$M:$M,'NSE - Other Index Options'!$C:$C,$A94,'NSE - Other Index Options'!$B:$B,F$4,'NSE - Other Index Options'!$I:$I,"Monthly*"))</f>
        <v/>
      </c>
      <c r="G94" s="26">
        <f>IF(SUMIFS('NSE - NIFTY Index Options'!$M:$M,'NSE - NIFTY Index Options'!$C:$C,$A94,'NSE - NIFTY Index Options'!$B:$B,G$4,'NSE - NIFTY Index Options'!$I:$I,"Monthly*")+SUMIFS('NSE - Other Index Options'!$M:$M,'NSE - Other Index Options'!$C:$C,$A94,'NSE - Other Index Options'!$B:$B,G$4,'NSE - Other Index Options'!$I:$I,"Monthly*")=0,"",SUMIFS('NSE - NIFTY Index Options'!$M:$M,'NSE - NIFTY Index Options'!$C:$C,$A94,'NSE - NIFTY Index Options'!$B:$B,G$4,'NSE - NIFTY Index Options'!$I:$I,"Monthly*")+SUMIFS('NSE - Other Index Options'!$M:$M,'NSE - Other Index Options'!$C:$C,$A94,'NSE - Other Index Options'!$B:$B,G$4,'NSE - Other Index Options'!$I:$I,"Monthly*"))</f>
        <v/>
      </c>
      <c r="H94" s="26">
        <f>IF(SUM(B94:G94)=0,"",SUM(B94:G94))</f>
        <v/>
      </c>
    </row>
    <row r="95" hidden="1" outlineLevel="1">
      <c r="A95" t="inlineStr">
        <is>
          <t>Week3-Mar-2027</t>
        </is>
      </c>
      <c r="B95" s="26">
        <f>IF(SUMIFS('NSE - NIFTY Index Options'!$M:$M,'NSE - NIFTY Index Options'!$C:$C,$A95,'NSE - NIFTY Index Options'!$B:$B,B$4,'NSE - NIFTY Index Options'!$I:$I,"Monthly*")+SUMIFS('NSE - Other Index Options'!$M:$M,'NSE - Other Index Options'!$C:$C,$A95,'NSE - Other Index Options'!$B:$B,B$4,'NSE - Other Index Options'!$I:$I,"Monthly*")=0,"",SUMIFS('NSE - NIFTY Index Options'!$M:$M,'NSE - NIFTY Index Options'!$C:$C,$A95,'NSE - NIFTY Index Options'!$B:$B,B$4,'NSE - NIFTY Index Options'!$I:$I,"Monthly*")+SUMIFS('NSE - Other Index Options'!$M:$M,'NSE - Other Index Options'!$C:$C,$A95,'NSE - Other Index Options'!$B:$B,B$4,'NSE - Other Index Options'!$I:$I,"Monthly*"))</f>
        <v/>
      </c>
      <c r="C95" s="26">
        <f>IF(SUMIFS('NSE - NIFTY Index Options'!$M:$M,'NSE - NIFTY Index Options'!$C:$C,$A95,'NSE - NIFTY Index Options'!$B:$B,C$4,'NSE - NIFTY Index Options'!$I:$I,"Monthly*")+SUMIFS('NSE - Other Index Options'!$M:$M,'NSE - Other Index Options'!$C:$C,$A95,'NSE - Other Index Options'!$B:$B,C$4,'NSE - Other Index Options'!$I:$I,"Monthly*")=0,"",SUMIFS('NSE - NIFTY Index Options'!$M:$M,'NSE - NIFTY Index Options'!$C:$C,$A95,'NSE - NIFTY Index Options'!$B:$B,C$4,'NSE - NIFTY Index Options'!$I:$I,"Monthly*")+SUMIFS('NSE - Other Index Options'!$M:$M,'NSE - Other Index Options'!$C:$C,$A95,'NSE - Other Index Options'!$B:$B,C$4,'NSE - Other Index Options'!$I:$I,"Monthly*"))</f>
        <v/>
      </c>
      <c r="D95" s="26">
        <f>IF(SUMIFS('NSE - NIFTY Index Options'!$M:$M,'NSE - NIFTY Index Options'!$C:$C,$A95,'NSE - NIFTY Index Options'!$B:$B,D$4,'NSE - NIFTY Index Options'!$I:$I,"Monthly*")+SUMIFS('NSE - Other Index Options'!$M:$M,'NSE - Other Index Options'!$C:$C,$A95,'NSE - Other Index Options'!$B:$B,D$4,'NSE - Other Index Options'!$I:$I,"Monthly*")=0,"",SUMIFS('NSE - NIFTY Index Options'!$M:$M,'NSE - NIFTY Index Options'!$C:$C,$A95,'NSE - NIFTY Index Options'!$B:$B,D$4,'NSE - NIFTY Index Options'!$I:$I,"Monthly*")+SUMIFS('NSE - Other Index Options'!$M:$M,'NSE - Other Index Options'!$C:$C,$A95,'NSE - Other Index Options'!$B:$B,D$4,'NSE - Other Index Options'!$I:$I,"Monthly*"))</f>
        <v/>
      </c>
      <c r="E95" s="26">
        <f>IF(SUMIFS('NSE - NIFTY Index Options'!$M:$M,'NSE - NIFTY Index Options'!$C:$C,$A95,'NSE - NIFTY Index Options'!$B:$B,E$4,'NSE - NIFTY Index Options'!$I:$I,"Monthly*")+SUMIFS('NSE - Other Index Options'!$M:$M,'NSE - Other Index Options'!$C:$C,$A95,'NSE - Other Index Options'!$B:$B,E$4,'NSE - Other Index Options'!$I:$I,"Monthly*")=0,"",SUMIFS('NSE - NIFTY Index Options'!$M:$M,'NSE - NIFTY Index Options'!$C:$C,$A95,'NSE - NIFTY Index Options'!$B:$B,E$4,'NSE - NIFTY Index Options'!$I:$I,"Monthly*")+SUMIFS('NSE - Other Index Options'!$M:$M,'NSE - Other Index Options'!$C:$C,$A95,'NSE - Other Index Options'!$B:$B,E$4,'NSE - Other Index Options'!$I:$I,"Monthly*"))</f>
        <v/>
      </c>
      <c r="F95" s="26">
        <f>IF(SUMIFS('NSE - NIFTY Index Options'!$M:$M,'NSE - NIFTY Index Options'!$C:$C,$A95,'NSE - NIFTY Index Options'!$B:$B,F$4,'NSE - NIFTY Index Options'!$I:$I,"Monthly*")+SUMIFS('NSE - Other Index Options'!$M:$M,'NSE - Other Index Options'!$C:$C,$A95,'NSE - Other Index Options'!$B:$B,F$4,'NSE - Other Index Options'!$I:$I,"Monthly*")=0,"",SUMIFS('NSE - NIFTY Index Options'!$M:$M,'NSE - NIFTY Index Options'!$C:$C,$A95,'NSE - NIFTY Index Options'!$B:$B,F$4,'NSE - NIFTY Index Options'!$I:$I,"Monthly*")+SUMIFS('NSE - Other Index Options'!$M:$M,'NSE - Other Index Options'!$C:$C,$A95,'NSE - Other Index Options'!$B:$B,F$4,'NSE - Other Index Options'!$I:$I,"Monthly*"))</f>
        <v/>
      </c>
      <c r="G95" s="26">
        <f>IF(SUMIFS('NSE - NIFTY Index Options'!$M:$M,'NSE - NIFTY Index Options'!$C:$C,$A95,'NSE - NIFTY Index Options'!$B:$B,G$4,'NSE - NIFTY Index Options'!$I:$I,"Monthly*")+SUMIFS('NSE - Other Index Options'!$M:$M,'NSE - Other Index Options'!$C:$C,$A95,'NSE - Other Index Options'!$B:$B,G$4,'NSE - Other Index Options'!$I:$I,"Monthly*")=0,"",SUMIFS('NSE - NIFTY Index Options'!$M:$M,'NSE - NIFTY Index Options'!$C:$C,$A95,'NSE - NIFTY Index Options'!$B:$B,G$4,'NSE - NIFTY Index Options'!$I:$I,"Monthly*")+SUMIFS('NSE - Other Index Options'!$M:$M,'NSE - Other Index Options'!$C:$C,$A95,'NSE - Other Index Options'!$B:$B,G$4,'NSE - Other Index Options'!$I:$I,"Monthly*"))</f>
        <v/>
      </c>
      <c r="H95" s="26">
        <f>IF(SUM(B95:G95)=0,"",SUM(B95:G95))</f>
        <v/>
      </c>
    </row>
    <row r="96" hidden="1" outlineLevel="1">
      <c r="A96" t="inlineStr">
        <is>
          <t>Week4-Mar-2027</t>
        </is>
      </c>
      <c r="B96" s="26">
        <f>IF(SUMIFS('NSE - NIFTY Index Options'!$M:$M,'NSE - NIFTY Index Options'!$C:$C,$A96,'NSE - NIFTY Index Options'!$B:$B,B$4,'NSE - NIFTY Index Options'!$I:$I,"Monthly*")+SUMIFS('NSE - Other Index Options'!$M:$M,'NSE - Other Index Options'!$C:$C,$A96,'NSE - Other Index Options'!$B:$B,B$4,'NSE - Other Index Options'!$I:$I,"Monthly*")=0,"",SUMIFS('NSE - NIFTY Index Options'!$M:$M,'NSE - NIFTY Index Options'!$C:$C,$A96,'NSE - NIFTY Index Options'!$B:$B,B$4,'NSE - NIFTY Index Options'!$I:$I,"Monthly*")+SUMIFS('NSE - Other Index Options'!$M:$M,'NSE - Other Index Options'!$C:$C,$A96,'NSE - Other Index Options'!$B:$B,B$4,'NSE - Other Index Options'!$I:$I,"Monthly*"))</f>
        <v/>
      </c>
      <c r="C96" s="26">
        <f>IF(SUMIFS('NSE - NIFTY Index Options'!$M:$M,'NSE - NIFTY Index Options'!$C:$C,$A96,'NSE - NIFTY Index Options'!$B:$B,C$4,'NSE - NIFTY Index Options'!$I:$I,"Monthly*")+SUMIFS('NSE - Other Index Options'!$M:$M,'NSE - Other Index Options'!$C:$C,$A96,'NSE - Other Index Options'!$B:$B,C$4,'NSE - Other Index Options'!$I:$I,"Monthly*")=0,"",SUMIFS('NSE - NIFTY Index Options'!$M:$M,'NSE - NIFTY Index Options'!$C:$C,$A96,'NSE - NIFTY Index Options'!$B:$B,C$4,'NSE - NIFTY Index Options'!$I:$I,"Monthly*")+SUMIFS('NSE - Other Index Options'!$M:$M,'NSE - Other Index Options'!$C:$C,$A96,'NSE - Other Index Options'!$B:$B,C$4,'NSE - Other Index Options'!$I:$I,"Monthly*"))</f>
        <v/>
      </c>
      <c r="D96" s="26">
        <f>IF(SUMIFS('NSE - NIFTY Index Options'!$M:$M,'NSE - NIFTY Index Options'!$C:$C,$A96,'NSE - NIFTY Index Options'!$B:$B,D$4,'NSE - NIFTY Index Options'!$I:$I,"Monthly*")+SUMIFS('NSE - Other Index Options'!$M:$M,'NSE - Other Index Options'!$C:$C,$A96,'NSE - Other Index Options'!$B:$B,D$4,'NSE - Other Index Options'!$I:$I,"Monthly*")=0,"",SUMIFS('NSE - NIFTY Index Options'!$M:$M,'NSE - NIFTY Index Options'!$C:$C,$A96,'NSE - NIFTY Index Options'!$B:$B,D$4,'NSE - NIFTY Index Options'!$I:$I,"Monthly*")+SUMIFS('NSE - Other Index Options'!$M:$M,'NSE - Other Index Options'!$C:$C,$A96,'NSE - Other Index Options'!$B:$B,D$4,'NSE - Other Index Options'!$I:$I,"Monthly*"))</f>
        <v/>
      </c>
      <c r="E96" s="26">
        <f>IF(SUMIFS('NSE - NIFTY Index Options'!$M:$M,'NSE - NIFTY Index Options'!$C:$C,$A96,'NSE - NIFTY Index Options'!$B:$B,E$4,'NSE - NIFTY Index Options'!$I:$I,"Monthly*")+SUMIFS('NSE - Other Index Options'!$M:$M,'NSE - Other Index Options'!$C:$C,$A96,'NSE - Other Index Options'!$B:$B,E$4,'NSE - Other Index Options'!$I:$I,"Monthly*")=0,"",SUMIFS('NSE - NIFTY Index Options'!$M:$M,'NSE - NIFTY Index Options'!$C:$C,$A96,'NSE - NIFTY Index Options'!$B:$B,E$4,'NSE - NIFTY Index Options'!$I:$I,"Monthly*")+SUMIFS('NSE - Other Index Options'!$M:$M,'NSE - Other Index Options'!$C:$C,$A96,'NSE - Other Index Options'!$B:$B,E$4,'NSE - Other Index Options'!$I:$I,"Monthly*"))</f>
        <v/>
      </c>
      <c r="F96" s="26">
        <f>IF(SUMIFS('NSE - NIFTY Index Options'!$M:$M,'NSE - NIFTY Index Options'!$C:$C,$A96,'NSE - NIFTY Index Options'!$B:$B,F$4,'NSE - NIFTY Index Options'!$I:$I,"Monthly*")+SUMIFS('NSE - Other Index Options'!$M:$M,'NSE - Other Index Options'!$C:$C,$A96,'NSE - Other Index Options'!$B:$B,F$4,'NSE - Other Index Options'!$I:$I,"Monthly*")=0,"",SUMIFS('NSE - NIFTY Index Options'!$M:$M,'NSE - NIFTY Index Options'!$C:$C,$A96,'NSE - NIFTY Index Options'!$B:$B,F$4,'NSE - NIFTY Index Options'!$I:$I,"Monthly*")+SUMIFS('NSE - Other Index Options'!$M:$M,'NSE - Other Index Options'!$C:$C,$A96,'NSE - Other Index Options'!$B:$B,F$4,'NSE - Other Index Options'!$I:$I,"Monthly*"))</f>
        <v/>
      </c>
      <c r="G96" s="26">
        <f>IF(SUMIFS('NSE - NIFTY Index Options'!$M:$M,'NSE - NIFTY Index Options'!$C:$C,$A96,'NSE - NIFTY Index Options'!$B:$B,G$4,'NSE - NIFTY Index Options'!$I:$I,"Monthly*")+SUMIFS('NSE - Other Index Options'!$M:$M,'NSE - Other Index Options'!$C:$C,$A96,'NSE - Other Index Options'!$B:$B,G$4,'NSE - Other Index Options'!$I:$I,"Monthly*")=0,"",SUMIFS('NSE - NIFTY Index Options'!$M:$M,'NSE - NIFTY Index Options'!$C:$C,$A96,'NSE - NIFTY Index Options'!$B:$B,G$4,'NSE - NIFTY Index Options'!$I:$I,"Monthly*")+SUMIFS('NSE - Other Index Options'!$M:$M,'NSE - Other Index Options'!$C:$C,$A96,'NSE - Other Index Options'!$B:$B,G$4,'NSE - Other Index Options'!$I:$I,"Monthly*"))</f>
        <v/>
      </c>
      <c r="H96" s="26">
        <f>IF(SUM(B96:G96)=0,"",SUM(B96:G96))</f>
        <v/>
      </c>
    </row>
    <row r="97" hidden="1" outlineLevel="1">
      <c r="A97" t="inlineStr">
        <is>
          <t>Week5-Mar-2027</t>
        </is>
      </c>
      <c r="B97" s="26">
        <f>IF(SUMIFS('NSE - NIFTY Index Options'!$M:$M,'NSE - NIFTY Index Options'!$C:$C,$A97,'NSE - NIFTY Index Options'!$B:$B,B$4,'NSE - NIFTY Index Options'!$I:$I,"Monthly*")+SUMIFS('NSE - Other Index Options'!$M:$M,'NSE - Other Index Options'!$C:$C,$A97,'NSE - Other Index Options'!$B:$B,B$4,'NSE - Other Index Options'!$I:$I,"Monthly*")=0,"",SUMIFS('NSE - NIFTY Index Options'!$M:$M,'NSE - NIFTY Index Options'!$C:$C,$A97,'NSE - NIFTY Index Options'!$B:$B,B$4,'NSE - NIFTY Index Options'!$I:$I,"Monthly*")+SUMIFS('NSE - Other Index Options'!$M:$M,'NSE - Other Index Options'!$C:$C,$A97,'NSE - Other Index Options'!$B:$B,B$4,'NSE - Other Index Options'!$I:$I,"Monthly*"))</f>
        <v/>
      </c>
      <c r="C97" s="26">
        <f>IF(SUMIFS('NSE - NIFTY Index Options'!$M:$M,'NSE - NIFTY Index Options'!$C:$C,$A97,'NSE - NIFTY Index Options'!$B:$B,C$4,'NSE - NIFTY Index Options'!$I:$I,"Monthly*")+SUMIFS('NSE - Other Index Options'!$M:$M,'NSE - Other Index Options'!$C:$C,$A97,'NSE - Other Index Options'!$B:$B,C$4,'NSE - Other Index Options'!$I:$I,"Monthly*")=0,"",SUMIFS('NSE - NIFTY Index Options'!$M:$M,'NSE - NIFTY Index Options'!$C:$C,$A97,'NSE - NIFTY Index Options'!$B:$B,C$4,'NSE - NIFTY Index Options'!$I:$I,"Monthly*")+SUMIFS('NSE - Other Index Options'!$M:$M,'NSE - Other Index Options'!$C:$C,$A97,'NSE - Other Index Options'!$B:$B,C$4,'NSE - Other Index Options'!$I:$I,"Monthly*"))</f>
        <v/>
      </c>
      <c r="D97" s="26">
        <f>IF(SUMIFS('NSE - NIFTY Index Options'!$M:$M,'NSE - NIFTY Index Options'!$C:$C,$A97,'NSE - NIFTY Index Options'!$B:$B,D$4,'NSE - NIFTY Index Options'!$I:$I,"Monthly*")+SUMIFS('NSE - Other Index Options'!$M:$M,'NSE - Other Index Options'!$C:$C,$A97,'NSE - Other Index Options'!$B:$B,D$4,'NSE - Other Index Options'!$I:$I,"Monthly*")=0,"",SUMIFS('NSE - NIFTY Index Options'!$M:$M,'NSE - NIFTY Index Options'!$C:$C,$A97,'NSE - NIFTY Index Options'!$B:$B,D$4,'NSE - NIFTY Index Options'!$I:$I,"Monthly*")+SUMIFS('NSE - Other Index Options'!$M:$M,'NSE - Other Index Options'!$C:$C,$A97,'NSE - Other Index Options'!$B:$B,D$4,'NSE - Other Index Options'!$I:$I,"Monthly*"))</f>
        <v/>
      </c>
      <c r="E97" s="26">
        <f>IF(SUMIFS('NSE - NIFTY Index Options'!$M:$M,'NSE - NIFTY Index Options'!$C:$C,$A97,'NSE - NIFTY Index Options'!$B:$B,E$4,'NSE - NIFTY Index Options'!$I:$I,"Monthly*")+SUMIFS('NSE - Other Index Options'!$M:$M,'NSE - Other Index Options'!$C:$C,$A97,'NSE - Other Index Options'!$B:$B,E$4,'NSE - Other Index Options'!$I:$I,"Monthly*")=0,"",SUMIFS('NSE - NIFTY Index Options'!$M:$M,'NSE - NIFTY Index Options'!$C:$C,$A97,'NSE - NIFTY Index Options'!$B:$B,E$4,'NSE - NIFTY Index Options'!$I:$I,"Monthly*")+SUMIFS('NSE - Other Index Options'!$M:$M,'NSE - Other Index Options'!$C:$C,$A97,'NSE - Other Index Options'!$B:$B,E$4,'NSE - Other Index Options'!$I:$I,"Monthly*"))</f>
        <v/>
      </c>
      <c r="F97" s="26">
        <f>IF(SUMIFS('NSE - NIFTY Index Options'!$M:$M,'NSE - NIFTY Index Options'!$C:$C,$A97,'NSE - NIFTY Index Options'!$B:$B,F$4,'NSE - NIFTY Index Options'!$I:$I,"Monthly*")+SUMIFS('NSE - Other Index Options'!$M:$M,'NSE - Other Index Options'!$C:$C,$A97,'NSE - Other Index Options'!$B:$B,F$4,'NSE - Other Index Options'!$I:$I,"Monthly*")=0,"",SUMIFS('NSE - NIFTY Index Options'!$M:$M,'NSE - NIFTY Index Options'!$C:$C,$A97,'NSE - NIFTY Index Options'!$B:$B,F$4,'NSE - NIFTY Index Options'!$I:$I,"Monthly*")+SUMIFS('NSE - Other Index Options'!$M:$M,'NSE - Other Index Options'!$C:$C,$A97,'NSE - Other Index Options'!$B:$B,F$4,'NSE - Other Index Options'!$I:$I,"Monthly*"))</f>
        <v/>
      </c>
      <c r="G97" s="26">
        <f>IF(SUMIFS('NSE - NIFTY Index Options'!$M:$M,'NSE - NIFTY Index Options'!$C:$C,$A97,'NSE - NIFTY Index Options'!$B:$B,G$4,'NSE - NIFTY Index Options'!$I:$I,"Monthly*")+SUMIFS('NSE - Other Index Options'!$M:$M,'NSE - Other Index Options'!$C:$C,$A97,'NSE - Other Index Options'!$B:$B,G$4,'NSE - Other Index Options'!$I:$I,"Monthly*")=0,"",SUMIFS('NSE - NIFTY Index Options'!$M:$M,'NSE - NIFTY Index Options'!$C:$C,$A97,'NSE - NIFTY Index Options'!$B:$B,G$4,'NSE - NIFTY Index Options'!$I:$I,"Monthly*")+SUMIFS('NSE - Other Index Options'!$M:$M,'NSE - Other Index Options'!$C:$C,$A97,'NSE - Other Index Options'!$B:$B,G$4,'NSE - Other Index Options'!$I:$I,"Monthly*"))</f>
        <v/>
      </c>
      <c r="H97" s="26">
        <f>IF(SUM(B97:G97)=0,"",SUM(B97:G97))</f>
        <v/>
      </c>
    </row>
    <row r="98" hidden="1" outlineLevel="1">
      <c r="A98" t="inlineStr">
        <is>
          <t>Week1-Apr-2027</t>
        </is>
      </c>
      <c r="B98" s="26">
        <f>IF(SUMIFS('NSE - NIFTY Index Options'!$M:$M,'NSE - NIFTY Index Options'!$C:$C,$A98,'NSE - NIFTY Index Options'!$B:$B,B$4,'NSE - NIFTY Index Options'!$I:$I,"Monthly*")+SUMIFS('NSE - Other Index Options'!$M:$M,'NSE - Other Index Options'!$C:$C,$A98,'NSE - Other Index Options'!$B:$B,B$4,'NSE - Other Index Options'!$I:$I,"Monthly*")=0,"",SUMIFS('NSE - NIFTY Index Options'!$M:$M,'NSE - NIFTY Index Options'!$C:$C,$A98,'NSE - NIFTY Index Options'!$B:$B,B$4,'NSE - NIFTY Index Options'!$I:$I,"Monthly*")+SUMIFS('NSE - Other Index Options'!$M:$M,'NSE - Other Index Options'!$C:$C,$A98,'NSE - Other Index Options'!$B:$B,B$4,'NSE - Other Index Options'!$I:$I,"Monthly*"))</f>
        <v/>
      </c>
      <c r="C98" s="26">
        <f>IF(SUMIFS('NSE - NIFTY Index Options'!$M:$M,'NSE - NIFTY Index Options'!$C:$C,$A98,'NSE - NIFTY Index Options'!$B:$B,C$4,'NSE - NIFTY Index Options'!$I:$I,"Monthly*")+SUMIFS('NSE - Other Index Options'!$M:$M,'NSE - Other Index Options'!$C:$C,$A98,'NSE - Other Index Options'!$B:$B,C$4,'NSE - Other Index Options'!$I:$I,"Monthly*")=0,"",SUMIFS('NSE - NIFTY Index Options'!$M:$M,'NSE - NIFTY Index Options'!$C:$C,$A98,'NSE - NIFTY Index Options'!$B:$B,C$4,'NSE - NIFTY Index Options'!$I:$I,"Monthly*")+SUMIFS('NSE - Other Index Options'!$M:$M,'NSE - Other Index Options'!$C:$C,$A98,'NSE - Other Index Options'!$B:$B,C$4,'NSE - Other Index Options'!$I:$I,"Monthly*"))</f>
        <v/>
      </c>
      <c r="D98" s="26">
        <f>IF(SUMIFS('NSE - NIFTY Index Options'!$M:$M,'NSE - NIFTY Index Options'!$C:$C,$A98,'NSE - NIFTY Index Options'!$B:$B,D$4,'NSE - NIFTY Index Options'!$I:$I,"Monthly*")+SUMIFS('NSE - Other Index Options'!$M:$M,'NSE - Other Index Options'!$C:$C,$A98,'NSE - Other Index Options'!$B:$B,D$4,'NSE - Other Index Options'!$I:$I,"Monthly*")=0,"",SUMIFS('NSE - NIFTY Index Options'!$M:$M,'NSE - NIFTY Index Options'!$C:$C,$A98,'NSE - NIFTY Index Options'!$B:$B,D$4,'NSE - NIFTY Index Options'!$I:$I,"Monthly*")+SUMIFS('NSE - Other Index Options'!$M:$M,'NSE - Other Index Options'!$C:$C,$A98,'NSE - Other Index Options'!$B:$B,D$4,'NSE - Other Index Options'!$I:$I,"Monthly*"))</f>
        <v/>
      </c>
      <c r="E98" s="26">
        <f>IF(SUMIFS('NSE - NIFTY Index Options'!$M:$M,'NSE - NIFTY Index Options'!$C:$C,$A98,'NSE - NIFTY Index Options'!$B:$B,E$4,'NSE - NIFTY Index Options'!$I:$I,"Monthly*")+SUMIFS('NSE - Other Index Options'!$M:$M,'NSE - Other Index Options'!$C:$C,$A98,'NSE - Other Index Options'!$B:$B,E$4,'NSE - Other Index Options'!$I:$I,"Monthly*")=0,"",SUMIFS('NSE - NIFTY Index Options'!$M:$M,'NSE - NIFTY Index Options'!$C:$C,$A98,'NSE - NIFTY Index Options'!$B:$B,E$4,'NSE - NIFTY Index Options'!$I:$I,"Monthly*")+SUMIFS('NSE - Other Index Options'!$M:$M,'NSE - Other Index Options'!$C:$C,$A98,'NSE - Other Index Options'!$B:$B,E$4,'NSE - Other Index Options'!$I:$I,"Monthly*"))</f>
        <v/>
      </c>
      <c r="F98" s="26">
        <f>IF(SUMIFS('NSE - NIFTY Index Options'!$M:$M,'NSE - NIFTY Index Options'!$C:$C,$A98,'NSE - NIFTY Index Options'!$B:$B,F$4,'NSE - NIFTY Index Options'!$I:$I,"Monthly*")+SUMIFS('NSE - Other Index Options'!$M:$M,'NSE - Other Index Options'!$C:$C,$A98,'NSE - Other Index Options'!$B:$B,F$4,'NSE - Other Index Options'!$I:$I,"Monthly*")=0,"",SUMIFS('NSE - NIFTY Index Options'!$M:$M,'NSE - NIFTY Index Options'!$C:$C,$A98,'NSE - NIFTY Index Options'!$B:$B,F$4,'NSE - NIFTY Index Options'!$I:$I,"Monthly*")+SUMIFS('NSE - Other Index Options'!$M:$M,'NSE - Other Index Options'!$C:$C,$A98,'NSE - Other Index Options'!$B:$B,F$4,'NSE - Other Index Options'!$I:$I,"Monthly*"))</f>
        <v/>
      </c>
      <c r="G98" s="26">
        <f>IF(SUMIFS('NSE - NIFTY Index Options'!$M:$M,'NSE - NIFTY Index Options'!$C:$C,$A98,'NSE - NIFTY Index Options'!$B:$B,G$4,'NSE - NIFTY Index Options'!$I:$I,"Monthly*")+SUMIFS('NSE - Other Index Options'!$M:$M,'NSE - Other Index Options'!$C:$C,$A98,'NSE - Other Index Options'!$B:$B,G$4,'NSE - Other Index Options'!$I:$I,"Monthly*")=0,"",SUMIFS('NSE - NIFTY Index Options'!$M:$M,'NSE - NIFTY Index Options'!$C:$C,$A98,'NSE - NIFTY Index Options'!$B:$B,G$4,'NSE - NIFTY Index Options'!$I:$I,"Monthly*")+SUMIFS('NSE - Other Index Options'!$M:$M,'NSE - Other Index Options'!$C:$C,$A98,'NSE - Other Index Options'!$B:$B,G$4,'NSE - Other Index Options'!$I:$I,"Monthly*"))</f>
        <v/>
      </c>
      <c r="H98" s="26">
        <f>IF(SUM(B98:G98)=0,"",SUM(B98:G98))</f>
        <v/>
      </c>
    </row>
    <row r="99" hidden="1" outlineLevel="1">
      <c r="A99" t="inlineStr">
        <is>
          <t>Week2-Apr-2027</t>
        </is>
      </c>
      <c r="B99" s="26">
        <f>IF(SUMIFS('NSE - NIFTY Index Options'!$M:$M,'NSE - NIFTY Index Options'!$C:$C,$A99,'NSE - NIFTY Index Options'!$B:$B,B$4,'NSE - NIFTY Index Options'!$I:$I,"Monthly*")+SUMIFS('NSE - Other Index Options'!$M:$M,'NSE - Other Index Options'!$C:$C,$A99,'NSE - Other Index Options'!$B:$B,B$4,'NSE - Other Index Options'!$I:$I,"Monthly*")=0,"",SUMIFS('NSE - NIFTY Index Options'!$M:$M,'NSE - NIFTY Index Options'!$C:$C,$A99,'NSE - NIFTY Index Options'!$B:$B,B$4,'NSE - NIFTY Index Options'!$I:$I,"Monthly*")+SUMIFS('NSE - Other Index Options'!$M:$M,'NSE - Other Index Options'!$C:$C,$A99,'NSE - Other Index Options'!$B:$B,B$4,'NSE - Other Index Options'!$I:$I,"Monthly*"))</f>
        <v/>
      </c>
      <c r="C99" s="26">
        <f>IF(SUMIFS('NSE - NIFTY Index Options'!$M:$M,'NSE - NIFTY Index Options'!$C:$C,$A99,'NSE - NIFTY Index Options'!$B:$B,C$4,'NSE - NIFTY Index Options'!$I:$I,"Monthly*")+SUMIFS('NSE - Other Index Options'!$M:$M,'NSE - Other Index Options'!$C:$C,$A99,'NSE - Other Index Options'!$B:$B,C$4,'NSE - Other Index Options'!$I:$I,"Monthly*")=0,"",SUMIFS('NSE - NIFTY Index Options'!$M:$M,'NSE - NIFTY Index Options'!$C:$C,$A99,'NSE - NIFTY Index Options'!$B:$B,C$4,'NSE - NIFTY Index Options'!$I:$I,"Monthly*")+SUMIFS('NSE - Other Index Options'!$M:$M,'NSE - Other Index Options'!$C:$C,$A99,'NSE - Other Index Options'!$B:$B,C$4,'NSE - Other Index Options'!$I:$I,"Monthly*"))</f>
        <v/>
      </c>
      <c r="D99" s="26">
        <f>IF(SUMIFS('NSE - NIFTY Index Options'!$M:$M,'NSE - NIFTY Index Options'!$C:$C,$A99,'NSE - NIFTY Index Options'!$B:$B,D$4,'NSE - NIFTY Index Options'!$I:$I,"Monthly*")+SUMIFS('NSE - Other Index Options'!$M:$M,'NSE - Other Index Options'!$C:$C,$A99,'NSE - Other Index Options'!$B:$B,D$4,'NSE - Other Index Options'!$I:$I,"Monthly*")=0,"",SUMIFS('NSE - NIFTY Index Options'!$M:$M,'NSE - NIFTY Index Options'!$C:$C,$A99,'NSE - NIFTY Index Options'!$B:$B,D$4,'NSE - NIFTY Index Options'!$I:$I,"Monthly*")+SUMIFS('NSE - Other Index Options'!$M:$M,'NSE - Other Index Options'!$C:$C,$A99,'NSE - Other Index Options'!$B:$B,D$4,'NSE - Other Index Options'!$I:$I,"Monthly*"))</f>
        <v/>
      </c>
      <c r="E99" s="26">
        <f>IF(SUMIFS('NSE - NIFTY Index Options'!$M:$M,'NSE - NIFTY Index Options'!$C:$C,$A99,'NSE - NIFTY Index Options'!$B:$B,E$4,'NSE - NIFTY Index Options'!$I:$I,"Monthly*")+SUMIFS('NSE - Other Index Options'!$M:$M,'NSE - Other Index Options'!$C:$C,$A99,'NSE - Other Index Options'!$B:$B,E$4,'NSE - Other Index Options'!$I:$I,"Monthly*")=0,"",SUMIFS('NSE - NIFTY Index Options'!$M:$M,'NSE - NIFTY Index Options'!$C:$C,$A99,'NSE - NIFTY Index Options'!$B:$B,E$4,'NSE - NIFTY Index Options'!$I:$I,"Monthly*")+SUMIFS('NSE - Other Index Options'!$M:$M,'NSE - Other Index Options'!$C:$C,$A99,'NSE - Other Index Options'!$B:$B,E$4,'NSE - Other Index Options'!$I:$I,"Monthly*"))</f>
        <v/>
      </c>
      <c r="F99" s="26">
        <f>IF(SUMIFS('NSE - NIFTY Index Options'!$M:$M,'NSE - NIFTY Index Options'!$C:$C,$A99,'NSE - NIFTY Index Options'!$B:$B,F$4,'NSE - NIFTY Index Options'!$I:$I,"Monthly*")+SUMIFS('NSE - Other Index Options'!$M:$M,'NSE - Other Index Options'!$C:$C,$A99,'NSE - Other Index Options'!$B:$B,F$4,'NSE - Other Index Options'!$I:$I,"Monthly*")=0,"",SUMIFS('NSE - NIFTY Index Options'!$M:$M,'NSE - NIFTY Index Options'!$C:$C,$A99,'NSE - NIFTY Index Options'!$B:$B,F$4,'NSE - NIFTY Index Options'!$I:$I,"Monthly*")+SUMIFS('NSE - Other Index Options'!$M:$M,'NSE - Other Index Options'!$C:$C,$A99,'NSE - Other Index Options'!$B:$B,F$4,'NSE - Other Index Options'!$I:$I,"Monthly*"))</f>
        <v/>
      </c>
      <c r="G99" s="26">
        <f>IF(SUMIFS('NSE - NIFTY Index Options'!$M:$M,'NSE - NIFTY Index Options'!$C:$C,$A99,'NSE - NIFTY Index Options'!$B:$B,G$4,'NSE - NIFTY Index Options'!$I:$I,"Monthly*")+SUMIFS('NSE - Other Index Options'!$M:$M,'NSE - Other Index Options'!$C:$C,$A99,'NSE - Other Index Options'!$B:$B,G$4,'NSE - Other Index Options'!$I:$I,"Monthly*")=0,"",SUMIFS('NSE - NIFTY Index Options'!$M:$M,'NSE - NIFTY Index Options'!$C:$C,$A99,'NSE - NIFTY Index Options'!$B:$B,G$4,'NSE - NIFTY Index Options'!$I:$I,"Monthly*")+SUMIFS('NSE - Other Index Options'!$M:$M,'NSE - Other Index Options'!$C:$C,$A99,'NSE - Other Index Options'!$B:$B,G$4,'NSE - Other Index Options'!$I:$I,"Monthly*"))</f>
        <v/>
      </c>
      <c r="H99" s="26">
        <f>IF(SUM(B99:G99)=0,"",SUM(B99:G99))</f>
        <v/>
      </c>
    </row>
    <row r="100" hidden="1" outlineLevel="1">
      <c r="A100" t="inlineStr">
        <is>
          <t>Week3-Apr-2027</t>
        </is>
      </c>
      <c r="B100" s="26">
        <f>IF(SUMIFS('NSE - NIFTY Index Options'!$M:$M,'NSE - NIFTY Index Options'!$C:$C,$A100,'NSE - NIFTY Index Options'!$B:$B,B$4,'NSE - NIFTY Index Options'!$I:$I,"Monthly*")+SUMIFS('NSE - Other Index Options'!$M:$M,'NSE - Other Index Options'!$C:$C,$A100,'NSE - Other Index Options'!$B:$B,B$4,'NSE - Other Index Options'!$I:$I,"Monthly*")=0,"",SUMIFS('NSE - NIFTY Index Options'!$M:$M,'NSE - NIFTY Index Options'!$C:$C,$A100,'NSE - NIFTY Index Options'!$B:$B,B$4,'NSE - NIFTY Index Options'!$I:$I,"Monthly*")+SUMIFS('NSE - Other Index Options'!$M:$M,'NSE - Other Index Options'!$C:$C,$A100,'NSE - Other Index Options'!$B:$B,B$4,'NSE - Other Index Options'!$I:$I,"Monthly*"))</f>
        <v/>
      </c>
      <c r="C100" s="26">
        <f>IF(SUMIFS('NSE - NIFTY Index Options'!$M:$M,'NSE - NIFTY Index Options'!$C:$C,$A100,'NSE - NIFTY Index Options'!$B:$B,C$4,'NSE - NIFTY Index Options'!$I:$I,"Monthly*")+SUMIFS('NSE - Other Index Options'!$M:$M,'NSE - Other Index Options'!$C:$C,$A100,'NSE - Other Index Options'!$B:$B,C$4,'NSE - Other Index Options'!$I:$I,"Monthly*")=0,"",SUMIFS('NSE - NIFTY Index Options'!$M:$M,'NSE - NIFTY Index Options'!$C:$C,$A100,'NSE - NIFTY Index Options'!$B:$B,C$4,'NSE - NIFTY Index Options'!$I:$I,"Monthly*")+SUMIFS('NSE - Other Index Options'!$M:$M,'NSE - Other Index Options'!$C:$C,$A100,'NSE - Other Index Options'!$B:$B,C$4,'NSE - Other Index Options'!$I:$I,"Monthly*"))</f>
        <v/>
      </c>
      <c r="D100" s="26">
        <f>IF(SUMIFS('NSE - NIFTY Index Options'!$M:$M,'NSE - NIFTY Index Options'!$C:$C,$A100,'NSE - NIFTY Index Options'!$B:$B,D$4,'NSE - NIFTY Index Options'!$I:$I,"Monthly*")+SUMIFS('NSE - Other Index Options'!$M:$M,'NSE - Other Index Options'!$C:$C,$A100,'NSE - Other Index Options'!$B:$B,D$4,'NSE - Other Index Options'!$I:$I,"Monthly*")=0,"",SUMIFS('NSE - NIFTY Index Options'!$M:$M,'NSE - NIFTY Index Options'!$C:$C,$A100,'NSE - NIFTY Index Options'!$B:$B,D$4,'NSE - NIFTY Index Options'!$I:$I,"Monthly*")+SUMIFS('NSE - Other Index Options'!$M:$M,'NSE - Other Index Options'!$C:$C,$A100,'NSE - Other Index Options'!$B:$B,D$4,'NSE - Other Index Options'!$I:$I,"Monthly*"))</f>
        <v/>
      </c>
      <c r="E100" s="26">
        <f>IF(SUMIFS('NSE - NIFTY Index Options'!$M:$M,'NSE - NIFTY Index Options'!$C:$C,$A100,'NSE - NIFTY Index Options'!$B:$B,E$4,'NSE - NIFTY Index Options'!$I:$I,"Monthly*")+SUMIFS('NSE - Other Index Options'!$M:$M,'NSE - Other Index Options'!$C:$C,$A100,'NSE - Other Index Options'!$B:$B,E$4,'NSE - Other Index Options'!$I:$I,"Monthly*")=0,"",SUMIFS('NSE - NIFTY Index Options'!$M:$M,'NSE - NIFTY Index Options'!$C:$C,$A100,'NSE - NIFTY Index Options'!$B:$B,E$4,'NSE - NIFTY Index Options'!$I:$I,"Monthly*")+SUMIFS('NSE - Other Index Options'!$M:$M,'NSE - Other Index Options'!$C:$C,$A100,'NSE - Other Index Options'!$B:$B,E$4,'NSE - Other Index Options'!$I:$I,"Monthly*"))</f>
        <v/>
      </c>
      <c r="F100" s="26">
        <f>IF(SUMIFS('NSE - NIFTY Index Options'!$M:$M,'NSE - NIFTY Index Options'!$C:$C,$A100,'NSE - NIFTY Index Options'!$B:$B,F$4,'NSE - NIFTY Index Options'!$I:$I,"Monthly*")+SUMIFS('NSE - Other Index Options'!$M:$M,'NSE - Other Index Options'!$C:$C,$A100,'NSE - Other Index Options'!$B:$B,F$4,'NSE - Other Index Options'!$I:$I,"Monthly*")=0,"",SUMIFS('NSE - NIFTY Index Options'!$M:$M,'NSE - NIFTY Index Options'!$C:$C,$A100,'NSE - NIFTY Index Options'!$B:$B,F$4,'NSE - NIFTY Index Options'!$I:$I,"Monthly*")+SUMIFS('NSE - Other Index Options'!$M:$M,'NSE - Other Index Options'!$C:$C,$A100,'NSE - Other Index Options'!$B:$B,F$4,'NSE - Other Index Options'!$I:$I,"Monthly*"))</f>
        <v/>
      </c>
      <c r="G100" s="26">
        <f>IF(SUMIFS('NSE - NIFTY Index Options'!$M:$M,'NSE - NIFTY Index Options'!$C:$C,$A100,'NSE - NIFTY Index Options'!$B:$B,G$4,'NSE - NIFTY Index Options'!$I:$I,"Monthly*")+SUMIFS('NSE - Other Index Options'!$M:$M,'NSE - Other Index Options'!$C:$C,$A100,'NSE - Other Index Options'!$B:$B,G$4,'NSE - Other Index Options'!$I:$I,"Monthly*")=0,"",SUMIFS('NSE - NIFTY Index Options'!$M:$M,'NSE - NIFTY Index Options'!$C:$C,$A100,'NSE - NIFTY Index Options'!$B:$B,G$4,'NSE - NIFTY Index Options'!$I:$I,"Monthly*")+SUMIFS('NSE - Other Index Options'!$M:$M,'NSE - Other Index Options'!$C:$C,$A100,'NSE - Other Index Options'!$B:$B,G$4,'NSE - Other Index Options'!$I:$I,"Monthly*"))</f>
        <v/>
      </c>
      <c r="H100" s="26">
        <f>IF(SUM(B100:G100)=0,"",SUM(B100:G100))</f>
        <v/>
      </c>
    </row>
    <row r="101" hidden="1" outlineLevel="1">
      <c r="A101" t="inlineStr">
        <is>
          <t>Week4-Apr-2027</t>
        </is>
      </c>
      <c r="B101" s="26">
        <f>IF(SUMIFS('NSE - NIFTY Index Options'!$M:$M,'NSE - NIFTY Index Options'!$C:$C,$A101,'NSE - NIFTY Index Options'!$B:$B,B$4,'NSE - NIFTY Index Options'!$I:$I,"Monthly*")+SUMIFS('NSE - Other Index Options'!$M:$M,'NSE - Other Index Options'!$C:$C,$A101,'NSE - Other Index Options'!$B:$B,B$4,'NSE - Other Index Options'!$I:$I,"Monthly*")=0,"",SUMIFS('NSE - NIFTY Index Options'!$M:$M,'NSE - NIFTY Index Options'!$C:$C,$A101,'NSE - NIFTY Index Options'!$B:$B,B$4,'NSE - NIFTY Index Options'!$I:$I,"Monthly*")+SUMIFS('NSE - Other Index Options'!$M:$M,'NSE - Other Index Options'!$C:$C,$A101,'NSE - Other Index Options'!$B:$B,B$4,'NSE - Other Index Options'!$I:$I,"Monthly*"))</f>
        <v/>
      </c>
      <c r="C101" s="26">
        <f>IF(SUMIFS('NSE - NIFTY Index Options'!$M:$M,'NSE - NIFTY Index Options'!$C:$C,$A101,'NSE - NIFTY Index Options'!$B:$B,C$4,'NSE - NIFTY Index Options'!$I:$I,"Monthly*")+SUMIFS('NSE - Other Index Options'!$M:$M,'NSE - Other Index Options'!$C:$C,$A101,'NSE - Other Index Options'!$B:$B,C$4,'NSE - Other Index Options'!$I:$I,"Monthly*")=0,"",SUMIFS('NSE - NIFTY Index Options'!$M:$M,'NSE - NIFTY Index Options'!$C:$C,$A101,'NSE - NIFTY Index Options'!$B:$B,C$4,'NSE - NIFTY Index Options'!$I:$I,"Monthly*")+SUMIFS('NSE - Other Index Options'!$M:$M,'NSE - Other Index Options'!$C:$C,$A101,'NSE - Other Index Options'!$B:$B,C$4,'NSE - Other Index Options'!$I:$I,"Monthly*"))</f>
        <v/>
      </c>
      <c r="D101" s="26">
        <f>IF(SUMIFS('NSE - NIFTY Index Options'!$M:$M,'NSE - NIFTY Index Options'!$C:$C,$A101,'NSE - NIFTY Index Options'!$B:$B,D$4,'NSE - NIFTY Index Options'!$I:$I,"Monthly*")+SUMIFS('NSE - Other Index Options'!$M:$M,'NSE - Other Index Options'!$C:$C,$A101,'NSE - Other Index Options'!$B:$B,D$4,'NSE - Other Index Options'!$I:$I,"Monthly*")=0,"",SUMIFS('NSE - NIFTY Index Options'!$M:$M,'NSE - NIFTY Index Options'!$C:$C,$A101,'NSE - NIFTY Index Options'!$B:$B,D$4,'NSE - NIFTY Index Options'!$I:$I,"Monthly*")+SUMIFS('NSE - Other Index Options'!$M:$M,'NSE - Other Index Options'!$C:$C,$A101,'NSE - Other Index Options'!$B:$B,D$4,'NSE - Other Index Options'!$I:$I,"Monthly*"))</f>
        <v/>
      </c>
      <c r="E101" s="26">
        <f>IF(SUMIFS('NSE - NIFTY Index Options'!$M:$M,'NSE - NIFTY Index Options'!$C:$C,$A101,'NSE - NIFTY Index Options'!$B:$B,E$4,'NSE - NIFTY Index Options'!$I:$I,"Monthly*")+SUMIFS('NSE - Other Index Options'!$M:$M,'NSE - Other Index Options'!$C:$C,$A101,'NSE - Other Index Options'!$B:$B,E$4,'NSE - Other Index Options'!$I:$I,"Monthly*")=0,"",SUMIFS('NSE - NIFTY Index Options'!$M:$M,'NSE - NIFTY Index Options'!$C:$C,$A101,'NSE - NIFTY Index Options'!$B:$B,E$4,'NSE - NIFTY Index Options'!$I:$I,"Monthly*")+SUMIFS('NSE - Other Index Options'!$M:$M,'NSE - Other Index Options'!$C:$C,$A101,'NSE - Other Index Options'!$B:$B,E$4,'NSE - Other Index Options'!$I:$I,"Monthly*"))</f>
        <v/>
      </c>
      <c r="F101" s="26">
        <f>IF(SUMIFS('NSE - NIFTY Index Options'!$M:$M,'NSE - NIFTY Index Options'!$C:$C,$A101,'NSE - NIFTY Index Options'!$B:$B,F$4,'NSE - NIFTY Index Options'!$I:$I,"Monthly*")+SUMIFS('NSE - Other Index Options'!$M:$M,'NSE - Other Index Options'!$C:$C,$A101,'NSE - Other Index Options'!$B:$B,F$4,'NSE - Other Index Options'!$I:$I,"Monthly*")=0,"",SUMIFS('NSE - NIFTY Index Options'!$M:$M,'NSE - NIFTY Index Options'!$C:$C,$A101,'NSE - NIFTY Index Options'!$B:$B,F$4,'NSE - NIFTY Index Options'!$I:$I,"Monthly*")+SUMIFS('NSE - Other Index Options'!$M:$M,'NSE - Other Index Options'!$C:$C,$A101,'NSE - Other Index Options'!$B:$B,F$4,'NSE - Other Index Options'!$I:$I,"Monthly*"))</f>
        <v/>
      </c>
      <c r="G101" s="26">
        <f>IF(SUMIFS('NSE - NIFTY Index Options'!$M:$M,'NSE - NIFTY Index Options'!$C:$C,$A101,'NSE - NIFTY Index Options'!$B:$B,G$4,'NSE - NIFTY Index Options'!$I:$I,"Monthly*")+SUMIFS('NSE - Other Index Options'!$M:$M,'NSE - Other Index Options'!$C:$C,$A101,'NSE - Other Index Options'!$B:$B,G$4,'NSE - Other Index Options'!$I:$I,"Monthly*")=0,"",SUMIFS('NSE - NIFTY Index Options'!$M:$M,'NSE - NIFTY Index Options'!$C:$C,$A101,'NSE - NIFTY Index Options'!$B:$B,G$4,'NSE - NIFTY Index Options'!$I:$I,"Monthly*")+SUMIFS('NSE - Other Index Options'!$M:$M,'NSE - Other Index Options'!$C:$C,$A101,'NSE - Other Index Options'!$B:$B,G$4,'NSE - Other Index Options'!$I:$I,"Monthly*"))</f>
        <v/>
      </c>
      <c r="H101" s="26">
        <f>IF(SUM(B101:G101)=0,"",SUM(B101:G101))</f>
        <v/>
      </c>
    </row>
    <row r="102" hidden="1" outlineLevel="1">
      <c r="A102" t="inlineStr">
        <is>
          <t>Week5-Apr-2027</t>
        </is>
      </c>
      <c r="B102" s="26">
        <f>IF(SUMIFS('NSE - NIFTY Index Options'!$M:$M,'NSE - NIFTY Index Options'!$C:$C,$A102,'NSE - NIFTY Index Options'!$B:$B,B$4,'NSE - NIFTY Index Options'!$I:$I,"Monthly*")+SUMIFS('NSE - Other Index Options'!$M:$M,'NSE - Other Index Options'!$C:$C,$A102,'NSE - Other Index Options'!$B:$B,B$4,'NSE - Other Index Options'!$I:$I,"Monthly*")=0,"",SUMIFS('NSE - NIFTY Index Options'!$M:$M,'NSE - NIFTY Index Options'!$C:$C,$A102,'NSE - NIFTY Index Options'!$B:$B,B$4,'NSE - NIFTY Index Options'!$I:$I,"Monthly*")+SUMIFS('NSE - Other Index Options'!$M:$M,'NSE - Other Index Options'!$C:$C,$A102,'NSE - Other Index Options'!$B:$B,B$4,'NSE - Other Index Options'!$I:$I,"Monthly*"))</f>
        <v/>
      </c>
      <c r="C102" s="26">
        <f>IF(SUMIFS('NSE - NIFTY Index Options'!$M:$M,'NSE - NIFTY Index Options'!$C:$C,$A102,'NSE - NIFTY Index Options'!$B:$B,C$4,'NSE - NIFTY Index Options'!$I:$I,"Monthly*")+SUMIFS('NSE - Other Index Options'!$M:$M,'NSE - Other Index Options'!$C:$C,$A102,'NSE - Other Index Options'!$B:$B,C$4,'NSE - Other Index Options'!$I:$I,"Monthly*")=0,"",SUMIFS('NSE - NIFTY Index Options'!$M:$M,'NSE - NIFTY Index Options'!$C:$C,$A102,'NSE - NIFTY Index Options'!$B:$B,C$4,'NSE - NIFTY Index Options'!$I:$I,"Monthly*")+SUMIFS('NSE - Other Index Options'!$M:$M,'NSE - Other Index Options'!$C:$C,$A102,'NSE - Other Index Options'!$B:$B,C$4,'NSE - Other Index Options'!$I:$I,"Monthly*"))</f>
        <v/>
      </c>
      <c r="D102" s="26">
        <f>IF(SUMIFS('NSE - NIFTY Index Options'!$M:$M,'NSE - NIFTY Index Options'!$C:$C,$A102,'NSE - NIFTY Index Options'!$B:$B,D$4,'NSE - NIFTY Index Options'!$I:$I,"Monthly*")+SUMIFS('NSE - Other Index Options'!$M:$M,'NSE - Other Index Options'!$C:$C,$A102,'NSE - Other Index Options'!$B:$B,D$4,'NSE - Other Index Options'!$I:$I,"Monthly*")=0,"",SUMIFS('NSE - NIFTY Index Options'!$M:$M,'NSE - NIFTY Index Options'!$C:$C,$A102,'NSE - NIFTY Index Options'!$B:$B,D$4,'NSE - NIFTY Index Options'!$I:$I,"Monthly*")+SUMIFS('NSE - Other Index Options'!$M:$M,'NSE - Other Index Options'!$C:$C,$A102,'NSE - Other Index Options'!$B:$B,D$4,'NSE - Other Index Options'!$I:$I,"Monthly*"))</f>
        <v/>
      </c>
      <c r="E102" s="26">
        <f>IF(SUMIFS('NSE - NIFTY Index Options'!$M:$M,'NSE - NIFTY Index Options'!$C:$C,$A102,'NSE - NIFTY Index Options'!$B:$B,E$4,'NSE - NIFTY Index Options'!$I:$I,"Monthly*")+SUMIFS('NSE - Other Index Options'!$M:$M,'NSE - Other Index Options'!$C:$C,$A102,'NSE - Other Index Options'!$B:$B,E$4,'NSE - Other Index Options'!$I:$I,"Monthly*")=0,"",SUMIFS('NSE - NIFTY Index Options'!$M:$M,'NSE - NIFTY Index Options'!$C:$C,$A102,'NSE - NIFTY Index Options'!$B:$B,E$4,'NSE - NIFTY Index Options'!$I:$I,"Monthly*")+SUMIFS('NSE - Other Index Options'!$M:$M,'NSE - Other Index Options'!$C:$C,$A102,'NSE - Other Index Options'!$B:$B,E$4,'NSE - Other Index Options'!$I:$I,"Monthly*"))</f>
        <v/>
      </c>
      <c r="F102" s="26">
        <f>IF(SUMIFS('NSE - NIFTY Index Options'!$M:$M,'NSE - NIFTY Index Options'!$C:$C,$A102,'NSE - NIFTY Index Options'!$B:$B,F$4,'NSE - NIFTY Index Options'!$I:$I,"Monthly*")+SUMIFS('NSE - Other Index Options'!$M:$M,'NSE - Other Index Options'!$C:$C,$A102,'NSE - Other Index Options'!$B:$B,F$4,'NSE - Other Index Options'!$I:$I,"Monthly*")=0,"",SUMIFS('NSE - NIFTY Index Options'!$M:$M,'NSE - NIFTY Index Options'!$C:$C,$A102,'NSE - NIFTY Index Options'!$B:$B,F$4,'NSE - NIFTY Index Options'!$I:$I,"Monthly*")+SUMIFS('NSE - Other Index Options'!$M:$M,'NSE - Other Index Options'!$C:$C,$A102,'NSE - Other Index Options'!$B:$B,F$4,'NSE - Other Index Options'!$I:$I,"Monthly*"))</f>
        <v/>
      </c>
      <c r="G102" s="26">
        <f>IF(SUMIFS('NSE - NIFTY Index Options'!$M:$M,'NSE - NIFTY Index Options'!$C:$C,$A102,'NSE - NIFTY Index Options'!$B:$B,G$4,'NSE - NIFTY Index Options'!$I:$I,"Monthly*")+SUMIFS('NSE - Other Index Options'!$M:$M,'NSE - Other Index Options'!$C:$C,$A102,'NSE - Other Index Options'!$B:$B,G$4,'NSE - Other Index Options'!$I:$I,"Monthly*")=0,"",SUMIFS('NSE - NIFTY Index Options'!$M:$M,'NSE - NIFTY Index Options'!$C:$C,$A102,'NSE - NIFTY Index Options'!$B:$B,G$4,'NSE - NIFTY Index Options'!$I:$I,"Monthly*")+SUMIFS('NSE - Other Index Options'!$M:$M,'NSE - Other Index Options'!$C:$C,$A102,'NSE - Other Index Options'!$B:$B,G$4,'NSE - Other Index Options'!$I:$I,"Monthly*"))</f>
        <v/>
      </c>
      <c r="H102" s="26">
        <f>IF(SUM(B102:G102)=0,"",SUM(B102:G102))</f>
        <v/>
      </c>
    </row>
    <row r="103" hidden="1" outlineLevel="1">
      <c r="A103" t="inlineStr">
        <is>
          <t>Week1-May-2027</t>
        </is>
      </c>
      <c r="B103" s="26">
        <f>IF(SUMIFS('NSE - NIFTY Index Options'!$M:$M,'NSE - NIFTY Index Options'!$C:$C,$A103,'NSE - NIFTY Index Options'!$B:$B,B$4,'NSE - NIFTY Index Options'!$I:$I,"Monthly*")+SUMIFS('NSE - Other Index Options'!$M:$M,'NSE - Other Index Options'!$C:$C,$A103,'NSE - Other Index Options'!$B:$B,B$4,'NSE - Other Index Options'!$I:$I,"Monthly*")=0,"",SUMIFS('NSE - NIFTY Index Options'!$M:$M,'NSE - NIFTY Index Options'!$C:$C,$A103,'NSE - NIFTY Index Options'!$B:$B,B$4,'NSE - NIFTY Index Options'!$I:$I,"Monthly*")+SUMIFS('NSE - Other Index Options'!$M:$M,'NSE - Other Index Options'!$C:$C,$A103,'NSE - Other Index Options'!$B:$B,B$4,'NSE - Other Index Options'!$I:$I,"Monthly*"))</f>
        <v/>
      </c>
      <c r="C103" s="26">
        <f>IF(SUMIFS('NSE - NIFTY Index Options'!$M:$M,'NSE - NIFTY Index Options'!$C:$C,$A103,'NSE - NIFTY Index Options'!$B:$B,C$4,'NSE - NIFTY Index Options'!$I:$I,"Monthly*")+SUMIFS('NSE - Other Index Options'!$M:$M,'NSE - Other Index Options'!$C:$C,$A103,'NSE - Other Index Options'!$B:$B,C$4,'NSE - Other Index Options'!$I:$I,"Monthly*")=0,"",SUMIFS('NSE - NIFTY Index Options'!$M:$M,'NSE - NIFTY Index Options'!$C:$C,$A103,'NSE - NIFTY Index Options'!$B:$B,C$4,'NSE - NIFTY Index Options'!$I:$I,"Monthly*")+SUMIFS('NSE - Other Index Options'!$M:$M,'NSE - Other Index Options'!$C:$C,$A103,'NSE - Other Index Options'!$B:$B,C$4,'NSE - Other Index Options'!$I:$I,"Monthly*"))</f>
        <v/>
      </c>
      <c r="D103" s="26">
        <f>IF(SUMIFS('NSE - NIFTY Index Options'!$M:$M,'NSE - NIFTY Index Options'!$C:$C,$A103,'NSE - NIFTY Index Options'!$B:$B,D$4,'NSE - NIFTY Index Options'!$I:$I,"Monthly*")+SUMIFS('NSE - Other Index Options'!$M:$M,'NSE - Other Index Options'!$C:$C,$A103,'NSE - Other Index Options'!$B:$B,D$4,'NSE - Other Index Options'!$I:$I,"Monthly*")=0,"",SUMIFS('NSE - NIFTY Index Options'!$M:$M,'NSE - NIFTY Index Options'!$C:$C,$A103,'NSE - NIFTY Index Options'!$B:$B,D$4,'NSE - NIFTY Index Options'!$I:$I,"Monthly*")+SUMIFS('NSE - Other Index Options'!$M:$M,'NSE - Other Index Options'!$C:$C,$A103,'NSE - Other Index Options'!$B:$B,D$4,'NSE - Other Index Options'!$I:$I,"Monthly*"))</f>
        <v/>
      </c>
      <c r="E103" s="26">
        <f>IF(SUMIFS('NSE - NIFTY Index Options'!$M:$M,'NSE - NIFTY Index Options'!$C:$C,$A103,'NSE - NIFTY Index Options'!$B:$B,E$4,'NSE - NIFTY Index Options'!$I:$I,"Monthly*")+SUMIFS('NSE - Other Index Options'!$M:$M,'NSE - Other Index Options'!$C:$C,$A103,'NSE - Other Index Options'!$B:$B,E$4,'NSE - Other Index Options'!$I:$I,"Monthly*")=0,"",SUMIFS('NSE - NIFTY Index Options'!$M:$M,'NSE - NIFTY Index Options'!$C:$C,$A103,'NSE - NIFTY Index Options'!$B:$B,E$4,'NSE - NIFTY Index Options'!$I:$I,"Monthly*")+SUMIFS('NSE - Other Index Options'!$M:$M,'NSE - Other Index Options'!$C:$C,$A103,'NSE - Other Index Options'!$B:$B,E$4,'NSE - Other Index Options'!$I:$I,"Monthly*"))</f>
        <v/>
      </c>
      <c r="F103" s="26">
        <f>IF(SUMIFS('NSE - NIFTY Index Options'!$M:$M,'NSE - NIFTY Index Options'!$C:$C,$A103,'NSE - NIFTY Index Options'!$B:$B,F$4,'NSE - NIFTY Index Options'!$I:$I,"Monthly*")+SUMIFS('NSE - Other Index Options'!$M:$M,'NSE - Other Index Options'!$C:$C,$A103,'NSE - Other Index Options'!$B:$B,F$4,'NSE - Other Index Options'!$I:$I,"Monthly*")=0,"",SUMIFS('NSE - NIFTY Index Options'!$M:$M,'NSE - NIFTY Index Options'!$C:$C,$A103,'NSE - NIFTY Index Options'!$B:$B,F$4,'NSE - NIFTY Index Options'!$I:$I,"Monthly*")+SUMIFS('NSE - Other Index Options'!$M:$M,'NSE - Other Index Options'!$C:$C,$A103,'NSE - Other Index Options'!$B:$B,F$4,'NSE - Other Index Options'!$I:$I,"Monthly*"))</f>
        <v/>
      </c>
      <c r="G103" s="26">
        <f>IF(SUMIFS('NSE - NIFTY Index Options'!$M:$M,'NSE - NIFTY Index Options'!$C:$C,$A103,'NSE - NIFTY Index Options'!$B:$B,G$4,'NSE - NIFTY Index Options'!$I:$I,"Monthly*")+SUMIFS('NSE - Other Index Options'!$M:$M,'NSE - Other Index Options'!$C:$C,$A103,'NSE - Other Index Options'!$B:$B,G$4,'NSE - Other Index Options'!$I:$I,"Monthly*")=0,"",SUMIFS('NSE - NIFTY Index Options'!$M:$M,'NSE - NIFTY Index Options'!$C:$C,$A103,'NSE - NIFTY Index Options'!$B:$B,G$4,'NSE - NIFTY Index Options'!$I:$I,"Monthly*")+SUMIFS('NSE - Other Index Options'!$M:$M,'NSE - Other Index Options'!$C:$C,$A103,'NSE - Other Index Options'!$B:$B,G$4,'NSE - Other Index Options'!$I:$I,"Monthly*"))</f>
        <v/>
      </c>
      <c r="H103" s="26">
        <f>IF(SUM(B103:G103)=0,"",SUM(B103:G103))</f>
        <v/>
      </c>
    </row>
    <row r="104" hidden="1" outlineLevel="1">
      <c r="A104" t="inlineStr">
        <is>
          <t>Week2-May-2027</t>
        </is>
      </c>
      <c r="B104" s="26">
        <f>IF(SUMIFS('NSE - NIFTY Index Options'!$M:$M,'NSE - NIFTY Index Options'!$C:$C,$A104,'NSE - NIFTY Index Options'!$B:$B,B$4,'NSE - NIFTY Index Options'!$I:$I,"Monthly*")+SUMIFS('NSE - Other Index Options'!$M:$M,'NSE - Other Index Options'!$C:$C,$A104,'NSE - Other Index Options'!$B:$B,B$4,'NSE - Other Index Options'!$I:$I,"Monthly*")=0,"",SUMIFS('NSE - NIFTY Index Options'!$M:$M,'NSE - NIFTY Index Options'!$C:$C,$A104,'NSE - NIFTY Index Options'!$B:$B,B$4,'NSE - NIFTY Index Options'!$I:$I,"Monthly*")+SUMIFS('NSE - Other Index Options'!$M:$M,'NSE - Other Index Options'!$C:$C,$A104,'NSE - Other Index Options'!$B:$B,B$4,'NSE - Other Index Options'!$I:$I,"Monthly*"))</f>
        <v/>
      </c>
      <c r="C104" s="26">
        <f>IF(SUMIFS('NSE - NIFTY Index Options'!$M:$M,'NSE - NIFTY Index Options'!$C:$C,$A104,'NSE - NIFTY Index Options'!$B:$B,C$4,'NSE - NIFTY Index Options'!$I:$I,"Monthly*")+SUMIFS('NSE - Other Index Options'!$M:$M,'NSE - Other Index Options'!$C:$C,$A104,'NSE - Other Index Options'!$B:$B,C$4,'NSE - Other Index Options'!$I:$I,"Monthly*")=0,"",SUMIFS('NSE - NIFTY Index Options'!$M:$M,'NSE - NIFTY Index Options'!$C:$C,$A104,'NSE - NIFTY Index Options'!$B:$B,C$4,'NSE - NIFTY Index Options'!$I:$I,"Monthly*")+SUMIFS('NSE - Other Index Options'!$M:$M,'NSE - Other Index Options'!$C:$C,$A104,'NSE - Other Index Options'!$B:$B,C$4,'NSE - Other Index Options'!$I:$I,"Monthly*"))</f>
        <v/>
      </c>
      <c r="D104" s="26">
        <f>IF(SUMIFS('NSE - NIFTY Index Options'!$M:$M,'NSE - NIFTY Index Options'!$C:$C,$A104,'NSE - NIFTY Index Options'!$B:$B,D$4,'NSE - NIFTY Index Options'!$I:$I,"Monthly*")+SUMIFS('NSE - Other Index Options'!$M:$M,'NSE - Other Index Options'!$C:$C,$A104,'NSE - Other Index Options'!$B:$B,D$4,'NSE - Other Index Options'!$I:$I,"Monthly*")=0,"",SUMIFS('NSE - NIFTY Index Options'!$M:$M,'NSE - NIFTY Index Options'!$C:$C,$A104,'NSE - NIFTY Index Options'!$B:$B,D$4,'NSE - NIFTY Index Options'!$I:$I,"Monthly*")+SUMIFS('NSE - Other Index Options'!$M:$M,'NSE - Other Index Options'!$C:$C,$A104,'NSE - Other Index Options'!$B:$B,D$4,'NSE - Other Index Options'!$I:$I,"Monthly*"))</f>
        <v/>
      </c>
      <c r="E104" s="26">
        <f>IF(SUMIFS('NSE - NIFTY Index Options'!$M:$M,'NSE - NIFTY Index Options'!$C:$C,$A104,'NSE - NIFTY Index Options'!$B:$B,E$4,'NSE - NIFTY Index Options'!$I:$I,"Monthly*")+SUMIFS('NSE - Other Index Options'!$M:$M,'NSE - Other Index Options'!$C:$C,$A104,'NSE - Other Index Options'!$B:$B,E$4,'NSE - Other Index Options'!$I:$I,"Monthly*")=0,"",SUMIFS('NSE - NIFTY Index Options'!$M:$M,'NSE - NIFTY Index Options'!$C:$C,$A104,'NSE - NIFTY Index Options'!$B:$B,E$4,'NSE - NIFTY Index Options'!$I:$I,"Monthly*")+SUMIFS('NSE - Other Index Options'!$M:$M,'NSE - Other Index Options'!$C:$C,$A104,'NSE - Other Index Options'!$B:$B,E$4,'NSE - Other Index Options'!$I:$I,"Monthly*"))</f>
        <v/>
      </c>
      <c r="F104" s="26">
        <f>IF(SUMIFS('NSE - NIFTY Index Options'!$M:$M,'NSE - NIFTY Index Options'!$C:$C,$A104,'NSE - NIFTY Index Options'!$B:$B,F$4,'NSE - NIFTY Index Options'!$I:$I,"Monthly*")+SUMIFS('NSE - Other Index Options'!$M:$M,'NSE - Other Index Options'!$C:$C,$A104,'NSE - Other Index Options'!$B:$B,F$4,'NSE - Other Index Options'!$I:$I,"Monthly*")=0,"",SUMIFS('NSE - NIFTY Index Options'!$M:$M,'NSE - NIFTY Index Options'!$C:$C,$A104,'NSE - NIFTY Index Options'!$B:$B,F$4,'NSE - NIFTY Index Options'!$I:$I,"Monthly*")+SUMIFS('NSE - Other Index Options'!$M:$M,'NSE - Other Index Options'!$C:$C,$A104,'NSE - Other Index Options'!$B:$B,F$4,'NSE - Other Index Options'!$I:$I,"Monthly*"))</f>
        <v/>
      </c>
      <c r="G104" s="26">
        <f>IF(SUMIFS('NSE - NIFTY Index Options'!$M:$M,'NSE - NIFTY Index Options'!$C:$C,$A104,'NSE - NIFTY Index Options'!$B:$B,G$4,'NSE - NIFTY Index Options'!$I:$I,"Monthly*")+SUMIFS('NSE - Other Index Options'!$M:$M,'NSE - Other Index Options'!$C:$C,$A104,'NSE - Other Index Options'!$B:$B,G$4,'NSE - Other Index Options'!$I:$I,"Monthly*")=0,"",SUMIFS('NSE - NIFTY Index Options'!$M:$M,'NSE - NIFTY Index Options'!$C:$C,$A104,'NSE - NIFTY Index Options'!$B:$B,G$4,'NSE - NIFTY Index Options'!$I:$I,"Monthly*")+SUMIFS('NSE - Other Index Options'!$M:$M,'NSE - Other Index Options'!$C:$C,$A104,'NSE - Other Index Options'!$B:$B,G$4,'NSE - Other Index Options'!$I:$I,"Monthly*"))</f>
        <v/>
      </c>
      <c r="H104" s="26">
        <f>IF(SUM(B104:G104)=0,"",SUM(B104:G104))</f>
        <v/>
      </c>
    </row>
    <row r="105" hidden="1" outlineLevel="1">
      <c r="A105" t="inlineStr">
        <is>
          <t>Week3-May-2027</t>
        </is>
      </c>
      <c r="B105" s="26">
        <f>IF(SUMIFS('NSE - NIFTY Index Options'!$M:$M,'NSE - NIFTY Index Options'!$C:$C,$A105,'NSE - NIFTY Index Options'!$B:$B,B$4,'NSE - NIFTY Index Options'!$I:$I,"Monthly*")+SUMIFS('NSE - Other Index Options'!$M:$M,'NSE - Other Index Options'!$C:$C,$A105,'NSE - Other Index Options'!$B:$B,B$4,'NSE - Other Index Options'!$I:$I,"Monthly*")=0,"",SUMIFS('NSE - NIFTY Index Options'!$M:$M,'NSE - NIFTY Index Options'!$C:$C,$A105,'NSE - NIFTY Index Options'!$B:$B,B$4,'NSE - NIFTY Index Options'!$I:$I,"Monthly*")+SUMIFS('NSE - Other Index Options'!$M:$M,'NSE - Other Index Options'!$C:$C,$A105,'NSE - Other Index Options'!$B:$B,B$4,'NSE - Other Index Options'!$I:$I,"Monthly*"))</f>
        <v/>
      </c>
      <c r="C105" s="26">
        <f>IF(SUMIFS('NSE - NIFTY Index Options'!$M:$M,'NSE - NIFTY Index Options'!$C:$C,$A105,'NSE - NIFTY Index Options'!$B:$B,C$4,'NSE - NIFTY Index Options'!$I:$I,"Monthly*")+SUMIFS('NSE - Other Index Options'!$M:$M,'NSE - Other Index Options'!$C:$C,$A105,'NSE - Other Index Options'!$B:$B,C$4,'NSE - Other Index Options'!$I:$I,"Monthly*")=0,"",SUMIFS('NSE - NIFTY Index Options'!$M:$M,'NSE - NIFTY Index Options'!$C:$C,$A105,'NSE - NIFTY Index Options'!$B:$B,C$4,'NSE - NIFTY Index Options'!$I:$I,"Monthly*")+SUMIFS('NSE - Other Index Options'!$M:$M,'NSE - Other Index Options'!$C:$C,$A105,'NSE - Other Index Options'!$B:$B,C$4,'NSE - Other Index Options'!$I:$I,"Monthly*"))</f>
        <v/>
      </c>
      <c r="D105" s="26">
        <f>IF(SUMIFS('NSE - NIFTY Index Options'!$M:$M,'NSE - NIFTY Index Options'!$C:$C,$A105,'NSE - NIFTY Index Options'!$B:$B,D$4,'NSE - NIFTY Index Options'!$I:$I,"Monthly*")+SUMIFS('NSE - Other Index Options'!$M:$M,'NSE - Other Index Options'!$C:$C,$A105,'NSE - Other Index Options'!$B:$B,D$4,'NSE - Other Index Options'!$I:$I,"Monthly*")=0,"",SUMIFS('NSE - NIFTY Index Options'!$M:$M,'NSE - NIFTY Index Options'!$C:$C,$A105,'NSE - NIFTY Index Options'!$B:$B,D$4,'NSE - NIFTY Index Options'!$I:$I,"Monthly*")+SUMIFS('NSE - Other Index Options'!$M:$M,'NSE - Other Index Options'!$C:$C,$A105,'NSE - Other Index Options'!$B:$B,D$4,'NSE - Other Index Options'!$I:$I,"Monthly*"))</f>
        <v/>
      </c>
      <c r="E105" s="26">
        <f>IF(SUMIFS('NSE - NIFTY Index Options'!$M:$M,'NSE - NIFTY Index Options'!$C:$C,$A105,'NSE - NIFTY Index Options'!$B:$B,E$4,'NSE - NIFTY Index Options'!$I:$I,"Monthly*")+SUMIFS('NSE - Other Index Options'!$M:$M,'NSE - Other Index Options'!$C:$C,$A105,'NSE - Other Index Options'!$B:$B,E$4,'NSE - Other Index Options'!$I:$I,"Monthly*")=0,"",SUMIFS('NSE - NIFTY Index Options'!$M:$M,'NSE - NIFTY Index Options'!$C:$C,$A105,'NSE - NIFTY Index Options'!$B:$B,E$4,'NSE - NIFTY Index Options'!$I:$I,"Monthly*")+SUMIFS('NSE - Other Index Options'!$M:$M,'NSE - Other Index Options'!$C:$C,$A105,'NSE - Other Index Options'!$B:$B,E$4,'NSE - Other Index Options'!$I:$I,"Monthly*"))</f>
        <v/>
      </c>
      <c r="F105" s="26">
        <f>IF(SUMIFS('NSE - NIFTY Index Options'!$M:$M,'NSE - NIFTY Index Options'!$C:$C,$A105,'NSE - NIFTY Index Options'!$B:$B,F$4,'NSE - NIFTY Index Options'!$I:$I,"Monthly*")+SUMIFS('NSE - Other Index Options'!$M:$M,'NSE - Other Index Options'!$C:$C,$A105,'NSE - Other Index Options'!$B:$B,F$4,'NSE - Other Index Options'!$I:$I,"Monthly*")=0,"",SUMIFS('NSE - NIFTY Index Options'!$M:$M,'NSE - NIFTY Index Options'!$C:$C,$A105,'NSE - NIFTY Index Options'!$B:$B,F$4,'NSE - NIFTY Index Options'!$I:$I,"Monthly*")+SUMIFS('NSE - Other Index Options'!$M:$M,'NSE - Other Index Options'!$C:$C,$A105,'NSE - Other Index Options'!$B:$B,F$4,'NSE - Other Index Options'!$I:$I,"Monthly*"))</f>
        <v/>
      </c>
      <c r="G105" s="26">
        <f>IF(SUMIFS('NSE - NIFTY Index Options'!$M:$M,'NSE - NIFTY Index Options'!$C:$C,$A105,'NSE - NIFTY Index Options'!$B:$B,G$4,'NSE - NIFTY Index Options'!$I:$I,"Monthly*")+SUMIFS('NSE - Other Index Options'!$M:$M,'NSE - Other Index Options'!$C:$C,$A105,'NSE - Other Index Options'!$B:$B,G$4,'NSE - Other Index Options'!$I:$I,"Monthly*")=0,"",SUMIFS('NSE - NIFTY Index Options'!$M:$M,'NSE - NIFTY Index Options'!$C:$C,$A105,'NSE - NIFTY Index Options'!$B:$B,G$4,'NSE - NIFTY Index Options'!$I:$I,"Monthly*")+SUMIFS('NSE - Other Index Options'!$M:$M,'NSE - Other Index Options'!$C:$C,$A105,'NSE - Other Index Options'!$B:$B,G$4,'NSE - Other Index Options'!$I:$I,"Monthly*"))</f>
        <v/>
      </c>
      <c r="H105" s="26">
        <f>IF(SUM(B105:G105)=0,"",SUM(B105:G105))</f>
        <v/>
      </c>
    </row>
    <row r="106" hidden="1" outlineLevel="1">
      <c r="A106" t="inlineStr">
        <is>
          <t>Week4-May-2027</t>
        </is>
      </c>
      <c r="B106" s="26">
        <f>IF(SUMIFS('NSE - NIFTY Index Options'!$M:$M,'NSE - NIFTY Index Options'!$C:$C,$A106,'NSE - NIFTY Index Options'!$B:$B,B$4,'NSE - NIFTY Index Options'!$I:$I,"Monthly*")+SUMIFS('NSE - Other Index Options'!$M:$M,'NSE - Other Index Options'!$C:$C,$A106,'NSE - Other Index Options'!$B:$B,B$4,'NSE - Other Index Options'!$I:$I,"Monthly*")=0,"",SUMIFS('NSE - NIFTY Index Options'!$M:$M,'NSE - NIFTY Index Options'!$C:$C,$A106,'NSE - NIFTY Index Options'!$B:$B,B$4,'NSE - NIFTY Index Options'!$I:$I,"Monthly*")+SUMIFS('NSE - Other Index Options'!$M:$M,'NSE - Other Index Options'!$C:$C,$A106,'NSE - Other Index Options'!$B:$B,B$4,'NSE - Other Index Options'!$I:$I,"Monthly*"))</f>
        <v/>
      </c>
      <c r="C106" s="26">
        <f>IF(SUMIFS('NSE - NIFTY Index Options'!$M:$M,'NSE - NIFTY Index Options'!$C:$C,$A106,'NSE - NIFTY Index Options'!$B:$B,C$4,'NSE - NIFTY Index Options'!$I:$I,"Monthly*")+SUMIFS('NSE - Other Index Options'!$M:$M,'NSE - Other Index Options'!$C:$C,$A106,'NSE - Other Index Options'!$B:$B,C$4,'NSE - Other Index Options'!$I:$I,"Monthly*")=0,"",SUMIFS('NSE - NIFTY Index Options'!$M:$M,'NSE - NIFTY Index Options'!$C:$C,$A106,'NSE - NIFTY Index Options'!$B:$B,C$4,'NSE - NIFTY Index Options'!$I:$I,"Monthly*")+SUMIFS('NSE - Other Index Options'!$M:$M,'NSE - Other Index Options'!$C:$C,$A106,'NSE - Other Index Options'!$B:$B,C$4,'NSE - Other Index Options'!$I:$I,"Monthly*"))</f>
        <v/>
      </c>
      <c r="D106" s="26">
        <f>IF(SUMIFS('NSE - NIFTY Index Options'!$M:$M,'NSE - NIFTY Index Options'!$C:$C,$A106,'NSE - NIFTY Index Options'!$B:$B,D$4,'NSE - NIFTY Index Options'!$I:$I,"Monthly*")+SUMIFS('NSE - Other Index Options'!$M:$M,'NSE - Other Index Options'!$C:$C,$A106,'NSE - Other Index Options'!$B:$B,D$4,'NSE - Other Index Options'!$I:$I,"Monthly*")=0,"",SUMIFS('NSE - NIFTY Index Options'!$M:$M,'NSE - NIFTY Index Options'!$C:$C,$A106,'NSE - NIFTY Index Options'!$B:$B,D$4,'NSE - NIFTY Index Options'!$I:$I,"Monthly*")+SUMIFS('NSE - Other Index Options'!$M:$M,'NSE - Other Index Options'!$C:$C,$A106,'NSE - Other Index Options'!$B:$B,D$4,'NSE - Other Index Options'!$I:$I,"Monthly*"))</f>
        <v/>
      </c>
      <c r="E106" s="26">
        <f>IF(SUMIFS('NSE - NIFTY Index Options'!$M:$M,'NSE - NIFTY Index Options'!$C:$C,$A106,'NSE - NIFTY Index Options'!$B:$B,E$4,'NSE - NIFTY Index Options'!$I:$I,"Monthly*")+SUMIFS('NSE - Other Index Options'!$M:$M,'NSE - Other Index Options'!$C:$C,$A106,'NSE - Other Index Options'!$B:$B,E$4,'NSE - Other Index Options'!$I:$I,"Monthly*")=0,"",SUMIFS('NSE - NIFTY Index Options'!$M:$M,'NSE - NIFTY Index Options'!$C:$C,$A106,'NSE - NIFTY Index Options'!$B:$B,E$4,'NSE - NIFTY Index Options'!$I:$I,"Monthly*")+SUMIFS('NSE - Other Index Options'!$M:$M,'NSE - Other Index Options'!$C:$C,$A106,'NSE - Other Index Options'!$B:$B,E$4,'NSE - Other Index Options'!$I:$I,"Monthly*"))</f>
        <v/>
      </c>
      <c r="F106" s="26">
        <f>IF(SUMIFS('NSE - NIFTY Index Options'!$M:$M,'NSE - NIFTY Index Options'!$C:$C,$A106,'NSE - NIFTY Index Options'!$B:$B,F$4,'NSE - NIFTY Index Options'!$I:$I,"Monthly*")+SUMIFS('NSE - Other Index Options'!$M:$M,'NSE - Other Index Options'!$C:$C,$A106,'NSE - Other Index Options'!$B:$B,F$4,'NSE - Other Index Options'!$I:$I,"Monthly*")=0,"",SUMIFS('NSE - NIFTY Index Options'!$M:$M,'NSE - NIFTY Index Options'!$C:$C,$A106,'NSE - NIFTY Index Options'!$B:$B,F$4,'NSE - NIFTY Index Options'!$I:$I,"Monthly*")+SUMIFS('NSE - Other Index Options'!$M:$M,'NSE - Other Index Options'!$C:$C,$A106,'NSE - Other Index Options'!$B:$B,F$4,'NSE - Other Index Options'!$I:$I,"Monthly*"))</f>
        <v/>
      </c>
      <c r="G106" s="26">
        <f>IF(SUMIFS('NSE - NIFTY Index Options'!$M:$M,'NSE - NIFTY Index Options'!$C:$C,$A106,'NSE - NIFTY Index Options'!$B:$B,G$4,'NSE - NIFTY Index Options'!$I:$I,"Monthly*")+SUMIFS('NSE - Other Index Options'!$M:$M,'NSE - Other Index Options'!$C:$C,$A106,'NSE - Other Index Options'!$B:$B,G$4,'NSE - Other Index Options'!$I:$I,"Monthly*")=0,"",SUMIFS('NSE - NIFTY Index Options'!$M:$M,'NSE - NIFTY Index Options'!$C:$C,$A106,'NSE - NIFTY Index Options'!$B:$B,G$4,'NSE - NIFTY Index Options'!$I:$I,"Monthly*")+SUMIFS('NSE - Other Index Options'!$M:$M,'NSE - Other Index Options'!$C:$C,$A106,'NSE - Other Index Options'!$B:$B,G$4,'NSE - Other Index Options'!$I:$I,"Monthly*"))</f>
        <v/>
      </c>
      <c r="H106" s="26">
        <f>IF(SUM(B106:G106)=0,"",SUM(B106:G106))</f>
        <v/>
      </c>
    </row>
    <row r="107" hidden="1" outlineLevel="1">
      <c r="A107" t="inlineStr">
        <is>
          <t>Week5-May-2027</t>
        </is>
      </c>
      <c r="B107" s="26">
        <f>IF(SUMIFS('NSE - NIFTY Index Options'!$M:$M,'NSE - NIFTY Index Options'!$C:$C,$A107,'NSE - NIFTY Index Options'!$B:$B,B$4,'NSE - NIFTY Index Options'!$I:$I,"Monthly*")+SUMIFS('NSE - Other Index Options'!$M:$M,'NSE - Other Index Options'!$C:$C,$A107,'NSE - Other Index Options'!$B:$B,B$4,'NSE - Other Index Options'!$I:$I,"Monthly*")=0,"",SUMIFS('NSE - NIFTY Index Options'!$M:$M,'NSE - NIFTY Index Options'!$C:$C,$A107,'NSE - NIFTY Index Options'!$B:$B,B$4,'NSE - NIFTY Index Options'!$I:$I,"Monthly*")+SUMIFS('NSE - Other Index Options'!$M:$M,'NSE - Other Index Options'!$C:$C,$A107,'NSE - Other Index Options'!$B:$B,B$4,'NSE - Other Index Options'!$I:$I,"Monthly*"))</f>
        <v/>
      </c>
      <c r="C107" s="26">
        <f>IF(SUMIFS('NSE - NIFTY Index Options'!$M:$M,'NSE - NIFTY Index Options'!$C:$C,$A107,'NSE - NIFTY Index Options'!$B:$B,C$4,'NSE - NIFTY Index Options'!$I:$I,"Monthly*")+SUMIFS('NSE - Other Index Options'!$M:$M,'NSE - Other Index Options'!$C:$C,$A107,'NSE - Other Index Options'!$B:$B,C$4,'NSE - Other Index Options'!$I:$I,"Monthly*")=0,"",SUMIFS('NSE - NIFTY Index Options'!$M:$M,'NSE - NIFTY Index Options'!$C:$C,$A107,'NSE - NIFTY Index Options'!$B:$B,C$4,'NSE - NIFTY Index Options'!$I:$I,"Monthly*")+SUMIFS('NSE - Other Index Options'!$M:$M,'NSE - Other Index Options'!$C:$C,$A107,'NSE - Other Index Options'!$B:$B,C$4,'NSE - Other Index Options'!$I:$I,"Monthly*"))</f>
        <v/>
      </c>
      <c r="D107" s="26">
        <f>IF(SUMIFS('NSE - NIFTY Index Options'!$M:$M,'NSE - NIFTY Index Options'!$C:$C,$A107,'NSE - NIFTY Index Options'!$B:$B,D$4,'NSE - NIFTY Index Options'!$I:$I,"Monthly*")+SUMIFS('NSE - Other Index Options'!$M:$M,'NSE - Other Index Options'!$C:$C,$A107,'NSE - Other Index Options'!$B:$B,D$4,'NSE - Other Index Options'!$I:$I,"Monthly*")=0,"",SUMIFS('NSE - NIFTY Index Options'!$M:$M,'NSE - NIFTY Index Options'!$C:$C,$A107,'NSE - NIFTY Index Options'!$B:$B,D$4,'NSE - NIFTY Index Options'!$I:$I,"Monthly*")+SUMIFS('NSE - Other Index Options'!$M:$M,'NSE - Other Index Options'!$C:$C,$A107,'NSE - Other Index Options'!$B:$B,D$4,'NSE - Other Index Options'!$I:$I,"Monthly*"))</f>
        <v/>
      </c>
      <c r="E107" s="26">
        <f>IF(SUMIFS('NSE - NIFTY Index Options'!$M:$M,'NSE - NIFTY Index Options'!$C:$C,$A107,'NSE - NIFTY Index Options'!$B:$B,E$4,'NSE - NIFTY Index Options'!$I:$I,"Monthly*")+SUMIFS('NSE - Other Index Options'!$M:$M,'NSE - Other Index Options'!$C:$C,$A107,'NSE - Other Index Options'!$B:$B,E$4,'NSE - Other Index Options'!$I:$I,"Monthly*")=0,"",SUMIFS('NSE - NIFTY Index Options'!$M:$M,'NSE - NIFTY Index Options'!$C:$C,$A107,'NSE - NIFTY Index Options'!$B:$B,E$4,'NSE - NIFTY Index Options'!$I:$I,"Monthly*")+SUMIFS('NSE - Other Index Options'!$M:$M,'NSE - Other Index Options'!$C:$C,$A107,'NSE - Other Index Options'!$B:$B,E$4,'NSE - Other Index Options'!$I:$I,"Monthly*"))</f>
        <v/>
      </c>
      <c r="F107" s="26">
        <f>IF(SUMIFS('NSE - NIFTY Index Options'!$M:$M,'NSE - NIFTY Index Options'!$C:$C,$A107,'NSE - NIFTY Index Options'!$B:$B,F$4,'NSE - NIFTY Index Options'!$I:$I,"Monthly*")+SUMIFS('NSE - Other Index Options'!$M:$M,'NSE - Other Index Options'!$C:$C,$A107,'NSE - Other Index Options'!$B:$B,F$4,'NSE - Other Index Options'!$I:$I,"Monthly*")=0,"",SUMIFS('NSE - NIFTY Index Options'!$M:$M,'NSE - NIFTY Index Options'!$C:$C,$A107,'NSE - NIFTY Index Options'!$B:$B,F$4,'NSE - NIFTY Index Options'!$I:$I,"Monthly*")+SUMIFS('NSE - Other Index Options'!$M:$M,'NSE - Other Index Options'!$C:$C,$A107,'NSE - Other Index Options'!$B:$B,F$4,'NSE - Other Index Options'!$I:$I,"Monthly*"))</f>
        <v/>
      </c>
      <c r="G107" s="26">
        <f>IF(SUMIFS('NSE - NIFTY Index Options'!$M:$M,'NSE - NIFTY Index Options'!$C:$C,$A107,'NSE - NIFTY Index Options'!$B:$B,G$4,'NSE - NIFTY Index Options'!$I:$I,"Monthly*")+SUMIFS('NSE - Other Index Options'!$M:$M,'NSE - Other Index Options'!$C:$C,$A107,'NSE - Other Index Options'!$B:$B,G$4,'NSE - Other Index Options'!$I:$I,"Monthly*")=0,"",SUMIFS('NSE - NIFTY Index Options'!$M:$M,'NSE - NIFTY Index Options'!$C:$C,$A107,'NSE - NIFTY Index Options'!$B:$B,G$4,'NSE - NIFTY Index Options'!$I:$I,"Monthly*")+SUMIFS('NSE - Other Index Options'!$M:$M,'NSE - Other Index Options'!$C:$C,$A107,'NSE - Other Index Options'!$B:$B,G$4,'NSE - Other Index Options'!$I:$I,"Monthly*"))</f>
        <v/>
      </c>
      <c r="H107" s="26">
        <f>IF(SUM(B107:G107)=0,"",SUM(B107:G107))</f>
        <v/>
      </c>
    </row>
    <row r="108" hidden="1" outlineLevel="1">
      <c r="A108" t="inlineStr">
        <is>
          <t>Week1-Jun-2027</t>
        </is>
      </c>
      <c r="B108" s="26">
        <f>IF(SUMIFS('NSE - NIFTY Index Options'!$M:$M,'NSE - NIFTY Index Options'!$C:$C,$A108,'NSE - NIFTY Index Options'!$B:$B,B$4,'NSE - NIFTY Index Options'!$I:$I,"Monthly*")+SUMIFS('NSE - Other Index Options'!$M:$M,'NSE - Other Index Options'!$C:$C,$A108,'NSE - Other Index Options'!$B:$B,B$4,'NSE - Other Index Options'!$I:$I,"Monthly*")=0,"",SUMIFS('NSE - NIFTY Index Options'!$M:$M,'NSE - NIFTY Index Options'!$C:$C,$A108,'NSE - NIFTY Index Options'!$B:$B,B$4,'NSE - NIFTY Index Options'!$I:$I,"Monthly*")+SUMIFS('NSE - Other Index Options'!$M:$M,'NSE - Other Index Options'!$C:$C,$A108,'NSE - Other Index Options'!$B:$B,B$4,'NSE - Other Index Options'!$I:$I,"Monthly*"))</f>
        <v/>
      </c>
      <c r="C108" s="26">
        <f>IF(SUMIFS('NSE - NIFTY Index Options'!$M:$M,'NSE - NIFTY Index Options'!$C:$C,$A108,'NSE - NIFTY Index Options'!$B:$B,C$4,'NSE - NIFTY Index Options'!$I:$I,"Monthly*")+SUMIFS('NSE - Other Index Options'!$M:$M,'NSE - Other Index Options'!$C:$C,$A108,'NSE - Other Index Options'!$B:$B,C$4,'NSE - Other Index Options'!$I:$I,"Monthly*")=0,"",SUMIFS('NSE - NIFTY Index Options'!$M:$M,'NSE - NIFTY Index Options'!$C:$C,$A108,'NSE - NIFTY Index Options'!$B:$B,C$4,'NSE - NIFTY Index Options'!$I:$I,"Monthly*")+SUMIFS('NSE - Other Index Options'!$M:$M,'NSE - Other Index Options'!$C:$C,$A108,'NSE - Other Index Options'!$B:$B,C$4,'NSE - Other Index Options'!$I:$I,"Monthly*"))</f>
        <v/>
      </c>
      <c r="D108" s="26">
        <f>IF(SUMIFS('NSE - NIFTY Index Options'!$M:$M,'NSE - NIFTY Index Options'!$C:$C,$A108,'NSE - NIFTY Index Options'!$B:$B,D$4,'NSE - NIFTY Index Options'!$I:$I,"Monthly*")+SUMIFS('NSE - Other Index Options'!$M:$M,'NSE - Other Index Options'!$C:$C,$A108,'NSE - Other Index Options'!$B:$B,D$4,'NSE - Other Index Options'!$I:$I,"Monthly*")=0,"",SUMIFS('NSE - NIFTY Index Options'!$M:$M,'NSE - NIFTY Index Options'!$C:$C,$A108,'NSE - NIFTY Index Options'!$B:$B,D$4,'NSE - NIFTY Index Options'!$I:$I,"Monthly*")+SUMIFS('NSE - Other Index Options'!$M:$M,'NSE - Other Index Options'!$C:$C,$A108,'NSE - Other Index Options'!$B:$B,D$4,'NSE - Other Index Options'!$I:$I,"Monthly*"))</f>
        <v/>
      </c>
      <c r="E108" s="26">
        <f>IF(SUMIFS('NSE - NIFTY Index Options'!$M:$M,'NSE - NIFTY Index Options'!$C:$C,$A108,'NSE - NIFTY Index Options'!$B:$B,E$4,'NSE - NIFTY Index Options'!$I:$I,"Monthly*")+SUMIFS('NSE - Other Index Options'!$M:$M,'NSE - Other Index Options'!$C:$C,$A108,'NSE - Other Index Options'!$B:$B,E$4,'NSE - Other Index Options'!$I:$I,"Monthly*")=0,"",SUMIFS('NSE - NIFTY Index Options'!$M:$M,'NSE - NIFTY Index Options'!$C:$C,$A108,'NSE - NIFTY Index Options'!$B:$B,E$4,'NSE - NIFTY Index Options'!$I:$I,"Monthly*")+SUMIFS('NSE - Other Index Options'!$M:$M,'NSE - Other Index Options'!$C:$C,$A108,'NSE - Other Index Options'!$B:$B,E$4,'NSE - Other Index Options'!$I:$I,"Monthly*"))</f>
        <v/>
      </c>
      <c r="F108" s="26">
        <f>IF(SUMIFS('NSE - NIFTY Index Options'!$M:$M,'NSE - NIFTY Index Options'!$C:$C,$A108,'NSE - NIFTY Index Options'!$B:$B,F$4,'NSE - NIFTY Index Options'!$I:$I,"Monthly*")+SUMIFS('NSE - Other Index Options'!$M:$M,'NSE - Other Index Options'!$C:$C,$A108,'NSE - Other Index Options'!$B:$B,F$4,'NSE - Other Index Options'!$I:$I,"Monthly*")=0,"",SUMIFS('NSE - NIFTY Index Options'!$M:$M,'NSE - NIFTY Index Options'!$C:$C,$A108,'NSE - NIFTY Index Options'!$B:$B,F$4,'NSE - NIFTY Index Options'!$I:$I,"Monthly*")+SUMIFS('NSE - Other Index Options'!$M:$M,'NSE - Other Index Options'!$C:$C,$A108,'NSE - Other Index Options'!$B:$B,F$4,'NSE - Other Index Options'!$I:$I,"Monthly*"))</f>
        <v/>
      </c>
      <c r="G108" s="26">
        <f>IF(SUMIFS('NSE - NIFTY Index Options'!$M:$M,'NSE - NIFTY Index Options'!$C:$C,$A108,'NSE - NIFTY Index Options'!$B:$B,G$4,'NSE - NIFTY Index Options'!$I:$I,"Monthly*")+SUMIFS('NSE - Other Index Options'!$M:$M,'NSE - Other Index Options'!$C:$C,$A108,'NSE - Other Index Options'!$B:$B,G$4,'NSE - Other Index Options'!$I:$I,"Monthly*")=0,"",SUMIFS('NSE - NIFTY Index Options'!$M:$M,'NSE - NIFTY Index Options'!$C:$C,$A108,'NSE - NIFTY Index Options'!$B:$B,G$4,'NSE - NIFTY Index Options'!$I:$I,"Monthly*")+SUMIFS('NSE - Other Index Options'!$M:$M,'NSE - Other Index Options'!$C:$C,$A108,'NSE - Other Index Options'!$B:$B,G$4,'NSE - Other Index Options'!$I:$I,"Monthly*"))</f>
        <v/>
      </c>
      <c r="H108" s="26">
        <f>IF(SUM(B108:G108)=0,"",SUM(B108:G108))</f>
        <v/>
      </c>
    </row>
    <row r="109" hidden="1" outlineLevel="1">
      <c r="A109" t="inlineStr">
        <is>
          <t>Week2-Jun-2027</t>
        </is>
      </c>
      <c r="B109" s="26">
        <f>IF(SUMIFS('NSE - NIFTY Index Options'!$M:$M,'NSE - NIFTY Index Options'!$C:$C,$A109,'NSE - NIFTY Index Options'!$B:$B,B$4,'NSE - NIFTY Index Options'!$I:$I,"Monthly*")+SUMIFS('NSE - Other Index Options'!$M:$M,'NSE - Other Index Options'!$C:$C,$A109,'NSE - Other Index Options'!$B:$B,B$4,'NSE - Other Index Options'!$I:$I,"Monthly*")=0,"",SUMIFS('NSE - NIFTY Index Options'!$M:$M,'NSE - NIFTY Index Options'!$C:$C,$A109,'NSE - NIFTY Index Options'!$B:$B,B$4,'NSE - NIFTY Index Options'!$I:$I,"Monthly*")+SUMIFS('NSE - Other Index Options'!$M:$M,'NSE - Other Index Options'!$C:$C,$A109,'NSE - Other Index Options'!$B:$B,B$4,'NSE - Other Index Options'!$I:$I,"Monthly*"))</f>
        <v/>
      </c>
      <c r="C109" s="26">
        <f>IF(SUMIFS('NSE - NIFTY Index Options'!$M:$M,'NSE - NIFTY Index Options'!$C:$C,$A109,'NSE - NIFTY Index Options'!$B:$B,C$4,'NSE - NIFTY Index Options'!$I:$I,"Monthly*")+SUMIFS('NSE - Other Index Options'!$M:$M,'NSE - Other Index Options'!$C:$C,$A109,'NSE - Other Index Options'!$B:$B,C$4,'NSE - Other Index Options'!$I:$I,"Monthly*")=0,"",SUMIFS('NSE - NIFTY Index Options'!$M:$M,'NSE - NIFTY Index Options'!$C:$C,$A109,'NSE - NIFTY Index Options'!$B:$B,C$4,'NSE - NIFTY Index Options'!$I:$I,"Monthly*")+SUMIFS('NSE - Other Index Options'!$M:$M,'NSE - Other Index Options'!$C:$C,$A109,'NSE - Other Index Options'!$B:$B,C$4,'NSE - Other Index Options'!$I:$I,"Monthly*"))</f>
        <v/>
      </c>
      <c r="D109" s="26">
        <f>IF(SUMIFS('NSE - NIFTY Index Options'!$M:$M,'NSE - NIFTY Index Options'!$C:$C,$A109,'NSE - NIFTY Index Options'!$B:$B,D$4,'NSE - NIFTY Index Options'!$I:$I,"Monthly*")+SUMIFS('NSE - Other Index Options'!$M:$M,'NSE - Other Index Options'!$C:$C,$A109,'NSE - Other Index Options'!$B:$B,D$4,'NSE - Other Index Options'!$I:$I,"Monthly*")=0,"",SUMIFS('NSE - NIFTY Index Options'!$M:$M,'NSE - NIFTY Index Options'!$C:$C,$A109,'NSE - NIFTY Index Options'!$B:$B,D$4,'NSE - NIFTY Index Options'!$I:$I,"Monthly*")+SUMIFS('NSE - Other Index Options'!$M:$M,'NSE - Other Index Options'!$C:$C,$A109,'NSE - Other Index Options'!$B:$B,D$4,'NSE - Other Index Options'!$I:$I,"Monthly*"))</f>
        <v/>
      </c>
      <c r="E109" s="26">
        <f>IF(SUMIFS('NSE - NIFTY Index Options'!$M:$M,'NSE - NIFTY Index Options'!$C:$C,$A109,'NSE - NIFTY Index Options'!$B:$B,E$4,'NSE - NIFTY Index Options'!$I:$I,"Monthly*")+SUMIFS('NSE - Other Index Options'!$M:$M,'NSE - Other Index Options'!$C:$C,$A109,'NSE - Other Index Options'!$B:$B,E$4,'NSE - Other Index Options'!$I:$I,"Monthly*")=0,"",SUMIFS('NSE - NIFTY Index Options'!$M:$M,'NSE - NIFTY Index Options'!$C:$C,$A109,'NSE - NIFTY Index Options'!$B:$B,E$4,'NSE - NIFTY Index Options'!$I:$I,"Monthly*")+SUMIFS('NSE - Other Index Options'!$M:$M,'NSE - Other Index Options'!$C:$C,$A109,'NSE - Other Index Options'!$B:$B,E$4,'NSE - Other Index Options'!$I:$I,"Monthly*"))</f>
        <v/>
      </c>
      <c r="F109" s="26">
        <f>IF(SUMIFS('NSE - NIFTY Index Options'!$M:$M,'NSE - NIFTY Index Options'!$C:$C,$A109,'NSE - NIFTY Index Options'!$B:$B,F$4,'NSE - NIFTY Index Options'!$I:$I,"Monthly*")+SUMIFS('NSE - Other Index Options'!$M:$M,'NSE - Other Index Options'!$C:$C,$A109,'NSE - Other Index Options'!$B:$B,F$4,'NSE - Other Index Options'!$I:$I,"Monthly*")=0,"",SUMIFS('NSE - NIFTY Index Options'!$M:$M,'NSE - NIFTY Index Options'!$C:$C,$A109,'NSE - NIFTY Index Options'!$B:$B,F$4,'NSE - NIFTY Index Options'!$I:$I,"Monthly*")+SUMIFS('NSE - Other Index Options'!$M:$M,'NSE - Other Index Options'!$C:$C,$A109,'NSE - Other Index Options'!$B:$B,F$4,'NSE - Other Index Options'!$I:$I,"Monthly*"))</f>
        <v/>
      </c>
      <c r="G109" s="26">
        <f>IF(SUMIFS('NSE - NIFTY Index Options'!$M:$M,'NSE - NIFTY Index Options'!$C:$C,$A109,'NSE - NIFTY Index Options'!$B:$B,G$4,'NSE - NIFTY Index Options'!$I:$I,"Monthly*")+SUMIFS('NSE - Other Index Options'!$M:$M,'NSE - Other Index Options'!$C:$C,$A109,'NSE - Other Index Options'!$B:$B,G$4,'NSE - Other Index Options'!$I:$I,"Monthly*")=0,"",SUMIFS('NSE - NIFTY Index Options'!$M:$M,'NSE - NIFTY Index Options'!$C:$C,$A109,'NSE - NIFTY Index Options'!$B:$B,G$4,'NSE - NIFTY Index Options'!$I:$I,"Monthly*")+SUMIFS('NSE - Other Index Options'!$M:$M,'NSE - Other Index Options'!$C:$C,$A109,'NSE - Other Index Options'!$B:$B,G$4,'NSE - Other Index Options'!$I:$I,"Monthly*"))</f>
        <v/>
      </c>
      <c r="H109" s="26">
        <f>IF(SUM(B109:G109)=0,"",SUM(B109:G109))</f>
        <v/>
      </c>
    </row>
    <row r="110" hidden="1" outlineLevel="1">
      <c r="A110" t="inlineStr">
        <is>
          <t>Week3-Jun-2027</t>
        </is>
      </c>
      <c r="B110" s="26">
        <f>IF(SUMIFS('NSE - NIFTY Index Options'!$M:$M,'NSE - NIFTY Index Options'!$C:$C,$A110,'NSE - NIFTY Index Options'!$B:$B,B$4,'NSE - NIFTY Index Options'!$I:$I,"Monthly*")+SUMIFS('NSE - Other Index Options'!$M:$M,'NSE - Other Index Options'!$C:$C,$A110,'NSE - Other Index Options'!$B:$B,B$4,'NSE - Other Index Options'!$I:$I,"Monthly*")=0,"",SUMIFS('NSE - NIFTY Index Options'!$M:$M,'NSE - NIFTY Index Options'!$C:$C,$A110,'NSE - NIFTY Index Options'!$B:$B,B$4,'NSE - NIFTY Index Options'!$I:$I,"Monthly*")+SUMIFS('NSE - Other Index Options'!$M:$M,'NSE - Other Index Options'!$C:$C,$A110,'NSE - Other Index Options'!$B:$B,B$4,'NSE - Other Index Options'!$I:$I,"Monthly*"))</f>
        <v/>
      </c>
      <c r="C110" s="26">
        <f>IF(SUMIFS('NSE - NIFTY Index Options'!$M:$M,'NSE - NIFTY Index Options'!$C:$C,$A110,'NSE - NIFTY Index Options'!$B:$B,C$4,'NSE - NIFTY Index Options'!$I:$I,"Monthly*")+SUMIFS('NSE - Other Index Options'!$M:$M,'NSE - Other Index Options'!$C:$C,$A110,'NSE - Other Index Options'!$B:$B,C$4,'NSE - Other Index Options'!$I:$I,"Monthly*")=0,"",SUMIFS('NSE - NIFTY Index Options'!$M:$M,'NSE - NIFTY Index Options'!$C:$C,$A110,'NSE - NIFTY Index Options'!$B:$B,C$4,'NSE - NIFTY Index Options'!$I:$I,"Monthly*")+SUMIFS('NSE - Other Index Options'!$M:$M,'NSE - Other Index Options'!$C:$C,$A110,'NSE - Other Index Options'!$B:$B,C$4,'NSE - Other Index Options'!$I:$I,"Monthly*"))</f>
        <v/>
      </c>
      <c r="D110" s="26">
        <f>IF(SUMIFS('NSE - NIFTY Index Options'!$M:$M,'NSE - NIFTY Index Options'!$C:$C,$A110,'NSE - NIFTY Index Options'!$B:$B,D$4,'NSE - NIFTY Index Options'!$I:$I,"Monthly*")+SUMIFS('NSE - Other Index Options'!$M:$M,'NSE - Other Index Options'!$C:$C,$A110,'NSE - Other Index Options'!$B:$B,D$4,'NSE - Other Index Options'!$I:$I,"Monthly*")=0,"",SUMIFS('NSE - NIFTY Index Options'!$M:$M,'NSE - NIFTY Index Options'!$C:$C,$A110,'NSE - NIFTY Index Options'!$B:$B,D$4,'NSE - NIFTY Index Options'!$I:$I,"Monthly*")+SUMIFS('NSE - Other Index Options'!$M:$M,'NSE - Other Index Options'!$C:$C,$A110,'NSE - Other Index Options'!$B:$B,D$4,'NSE - Other Index Options'!$I:$I,"Monthly*"))</f>
        <v/>
      </c>
      <c r="E110" s="26">
        <f>IF(SUMIFS('NSE - NIFTY Index Options'!$M:$M,'NSE - NIFTY Index Options'!$C:$C,$A110,'NSE - NIFTY Index Options'!$B:$B,E$4,'NSE - NIFTY Index Options'!$I:$I,"Monthly*")+SUMIFS('NSE - Other Index Options'!$M:$M,'NSE - Other Index Options'!$C:$C,$A110,'NSE - Other Index Options'!$B:$B,E$4,'NSE - Other Index Options'!$I:$I,"Monthly*")=0,"",SUMIFS('NSE - NIFTY Index Options'!$M:$M,'NSE - NIFTY Index Options'!$C:$C,$A110,'NSE - NIFTY Index Options'!$B:$B,E$4,'NSE - NIFTY Index Options'!$I:$I,"Monthly*")+SUMIFS('NSE - Other Index Options'!$M:$M,'NSE - Other Index Options'!$C:$C,$A110,'NSE - Other Index Options'!$B:$B,E$4,'NSE - Other Index Options'!$I:$I,"Monthly*"))</f>
        <v/>
      </c>
      <c r="F110" s="26">
        <f>IF(SUMIFS('NSE - NIFTY Index Options'!$M:$M,'NSE - NIFTY Index Options'!$C:$C,$A110,'NSE - NIFTY Index Options'!$B:$B,F$4,'NSE - NIFTY Index Options'!$I:$I,"Monthly*")+SUMIFS('NSE - Other Index Options'!$M:$M,'NSE - Other Index Options'!$C:$C,$A110,'NSE - Other Index Options'!$B:$B,F$4,'NSE - Other Index Options'!$I:$I,"Monthly*")=0,"",SUMIFS('NSE - NIFTY Index Options'!$M:$M,'NSE - NIFTY Index Options'!$C:$C,$A110,'NSE - NIFTY Index Options'!$B:$B,F$4,'NSE - NIFTY Index Options'!$I:$I,"Monthly*")+SUMIFS('NSE - Other Index Options'!$M:$M,'NSE - Other Index Options'!$C:$C,$A110,'NSE - Other Index Options'!$B:$B,F$4,'NSE - Other Index Options'!$I:$I,"Monthly*"))</f>
        <v/>
      </c>
      <c r="G110" s="26">
        <f>IF(SUMIFS('NSE - NIFTY Index Options'!$M:$M,'NSE - NIFTY Index Options'!$C:$C,$A110,'NSE - NIFTY Index Options'!$B:$B,G$4,'NSE - NIFTY Index Options'!$I:$I,"Monthly*")+SUMIFS('NSE - Other Index Options'!$M:$M,'NSE - Other Index Options'!$C:$C,$A110,'NSE - Other Index Options'!$B:$B,G$4,'NSE - Other Index Options'!$I:$I,"Monthly*")=0,"",SUMIFS('NSE - NIFTY Index Options'!$M:$M,'NSE - NIFTY Index Options'!$C:$C,$A110,'NSE - NIFTY Index Options'!$B:$B,G$4,'NSE - NIFTY Index Options'!$I:$I,"Monthly*")+SUMIFS('NSE - Other Index Options'!$M:$M,'NSE - Other Index Options'!$C:$C,$A110,'NSE - Other Index Options'!$B:$B,G$4,'NSE - Other Index Options'!$I:$I,"Monthly*"))</f>
        <v/>
      </c>
      <c r="H110" s="26">
        <f>IF(SUM(B110:G110)=0,"",SUM(B110:G110))</f>
        <v/>
      </c>
    </row>
    <row r="111" hidden="1" outlineLevel="1">
      <c r="A111" t="inlineStr">
        <is>
          <t>Week4-Jun-2027</t>
        </is>
      </c>
      <c r="B111" s="26">
        <f>IF(SUMIFS('NSE - NIFTY Index Options'!$M:$M,'NSE - NIFTY Index Options'!$C:$C,$A111,'NSE - NIFTY Index Options'!$B:$B,B$4,'NSE - NIFTY Index Options'!$I:$I,"Monthly*")+SUMIFS('NSE - Other Index Options'!$M:$M,'NSE - Other Index Options'!$C:$C,$A111,'NSE - Other Index Options'!$B:$B,B$4,'NSE - Other Index Options'!$I:$I,"Monthly*")=0,"",SUMIFS('NSE - NIFTY Index Options'!$M:$M,'NSE - NIFTY Index Options'!$C:$C,$A111,'NSE - NIFTY Index Options'!$B:$B,B$4,'NSE - NIFTY Index Options'!$I:$I,"Monthly*")+SUMIFS('NSE - Other Index Options'!$M:$M,'NSE - Other Index Options'!$C:$C,$A111,'NSE - Other Index Options'!$B:$B,B$4,'NSE - Other Index Options'!$I:$I,"Monthly*"))</f>
        <v/>
      </c>
      <c r="C111" s="26">
        <f>IF(SUMIFS('NSE - NIFTY Index Options'!$M:$M,'NSE - NIFTY Index Options'!$C:$C,$A111,'NSE - NIFTY Index Options'!$B:$B,C$4,'NSE - NIFTY Index Options'!$I:$I,"Monthly*")+SUMIFS('NSE - Other Index Options'!$M:$M,'NSE - Other Index Options'!$C:$C,$A111,'NSE - Other Index Options'!$B:$B,C$4,'NSE - Other Index Options'!$I:$I,"Monthly*")=0,"",SUMIFS('NSE - NIFTY Index Options'!$M:$M,'NSE - NIFTY Index Options'!$C:$C,$A111,'NSE - NIFTY Index Options'!$B:$B,C$4,'NSE - NIFTY Index Options'!$I:$I,"Monthly*")+SUMIFS('NSE - Other Index Options'!$M:$M,'NSE - Other Index Options'!$C:$C,$A111,'NSE - Other Index Options'!$B:$B,C$4,'NSE - Other Index Options'!$I:$I,"Monthly*"))</f>
        <v/>
      </c>
      <c r="D111" s="26">
        <f>IF(SUMIFS('NSE - NIFTY Index Options'!$M:$M,'NSE - NIFTY Index Options'!$C:$C,$A111,'NSE - NIFTY Index Options'!$B:$B,D$4,'NSE - NIFTY Index Options'!$I:$I,"Monthly*")+SUMIFS('NSE - Other Index Options'!$M:$M,'NSE - Other Index Options'!$C:$C,$A111,'NSE - Other Index Options'!$B:$B,D$4,'NSE - Other Index Options'!$I:$I,"Monthly*")=0,"",SUMIFS('NSE - NIFTY Index Options'!$M:$M,'NSE - NIFTY Index Options'!$C:$C,$A111,'NSE - NIFTY Index Options'!$B:$B,D$4,'NSE - NIFTY Index Options'!$I:$I,"Monthly*")+SUMIFS('NSE - Other Index Options'!$M:$M,'NSE - Other Index Options'!$C:$C,$A111,'NSE - Other Index Options'!$B:$B,D$4,'NSE - Other Index Options'!$I:$I,"Monthly*"))</f>
        <v/>
      </c>
      <c r="E111" s="26">
        <f>IF(SUMIFS('NSE - NIFTY Index Options'!$M:$M,'NSE - NIFTY Index Options'!$C:$C,$A111,'NSE - NIFTY Index Options'!$B:$B,E$4,'NSE - NIFTY Index Options'!$I:$I,"Monthly*")+SUMIFS('NSE - Other Index Options'!$M:$M,'NSE - Other Index Options'!$C:$C,$A111,'NSE - Other Index Options'!$B:$B,E$4,'NSE - Other Index Options'!$I:$I,"Monthly*")=0,"",SUMIFS('NSE - NIFTY Index Options'!$M:$M,'NSE - NIFTY Index Options'!$C:$C,$A111,'NSE - NIFTY Index Options'!$B:$B,E$4,'NSE - NIFTY Index Options'!$I:$I,"Monthly*")+SUMIFS('NSE - Other Index Options'!$M:$M,'NSE - Other Index Options'!$C:$C,$A111,'NSE - Other Index Options'!$B:$B,E$4,'NSE - Other Index Options'!$I:$I,"Monthly*"))</f>
        <v/>
      </c>
      <c r="F111" s="26">
        <f>IF(SUMIFS('NSE - NIFTY Index Options'!$M:$M,'NSE - NIFTY Index Options'!$C:$C,$A111,'NSE - NIFTY Index Options'!$B:$B,F$4,'NSE - NIFTY Index Options'!$I:$I,"Monthly*")+SUMIFS('NSE - Other Index Options'!$M:$M,'NSE - Other Index Options'!$C:$C,$A111,'NSE - Other Index Options'!$B:$B,F$4,'NSE - Other Index Options'!$I:$I,"Monthly*")=0,"",SUMIFS('NSE - NIFTY Index Options'!$M:$M,'NSE - NIFTY Index Options'!$C:$C,$A111,'NSE - NIFTY Index Options'!$B:$B,F$4,'NSE - NIFTY Index Options'!$I:$I,"Monthly*")+SUMIFS('NSE - Other Index Options'!$M:$M,'NSE - Other Index Options'!$C:$C,$A111,'NSE - Other Index Options'!$B:$B,F$4,'NSE - Other Index Options'!$I:$I,"Monthly*"))</f>
        <v/>
      </c>
      <c r="G111" s="26">
        <f>IF(SUMIFS('NSE - NIFTY Index Options'!$M:$M,'NSE - NIFTY Index Options'!$C:$C,$A111,'NSE - NIFTY Index Options'!$B:$B,G$4,'NSE - NIFTY Index Options'!$I:$I,"Monthly*")+SUMIFS('NSE - Other Index Options'!$M:$M,'NSE - Other Index Options'!$C:$C,$A111,'NSE - Other Index Options'!$B:$B,G$4,'NSE - Other Index Options'!$I:$I,"Monthly*")=0,"",SUMIFS('NSE - NIFTY Index Options'!$M:$M,'NSE - NIFTY Index Options'!$C:$C,$A111,'NSE - NIFTY Index Options'!$B:$B,G$4,'NSE - NIFTY Index Options'!$I:$I,"Monthly*")+SUMIFS('NSE - Other Index Options'!$M:$M,'NSE - Other Index Options'!$C:$C,$A111,'NSE - Other Index Options'!$B:$B,G$4,'NSE - Other Index Options'!$I:$I,"Monthly*"))</f>
        <v/>
      </c>
      <c r="H111" s="26">
        <f>IF(SUM(B111:G111)=0,"",SUM(B111:G111))</f>
        <v/>
      </c>
    </row>
    <row r="112" hidden="1" outlineLevel="1">
      <c r="A112" t="inlineStr">
        <is>
          <t>Week5-Jun-2027</t>
        </is>
      </c>
      <c r="B112" s="26">
        <f>IF(SUMIFS('NSE - NIFTY Index Options'!$M:$M,'NSE - NIFTY Index Options'!$C:$C,$A112,'NSE - NIFTY Index Options'!$B:$B,B$4,'NSE - NIFTY Index Options'!$I:$I,"Monthly*")+SUMIFS('NSE - Other Index Options'!$M:$M,'NSE - Other Index Options'!$C:$C,$A112,'NSE - Other Index Options'!$B:$B,B$4,'NSE - Other Index Options'!$I:$I,"Monthly*")=0,"",SUMIFS('NSE - NIFTY Index Options'!$M:$M,'NSE - NIFTY Index Options'!$C:$C,$A112,'NSE - NIFTY Index Options'!$B:$B,B$4,'NSE - NIFTY Index Options'!$I:$I,"Monthly*")+SUMIFS('NSE - Other Index Options'!$M:$M,'NSE - Other Index Options'!$C:$C,$A112,'NSE - Other Index Options'!$B:$B,B$4,'NSE - Other Index Options'!$I:$I,"Monthly*"))</f>
        <v/>
      </c>
      <c r="C112" s="26">
        <f>IF(SUMIFS('NSE - NIFTY Index Options'!$M:$M,'NSE - NIFTY Index Options'!$C:$C,$A112,'NSE - NIFTY Index Options'!$B:$B,C$4,'NSE - NIFTY Index Options'!$I:$I,"Monthly*")+SUMIFS('NSE - Other Index Options'!$M:$M,'NSE - Other Index Options'!$C:$C,$A112,'NSE - Other Index Options'!$B:$B,C$4,'NSE - Other Index Options'!$I:$I,"Monthly*")=0,"",SUMIFS('NSE - NIFTY Index Options'!$M:$M,'NSE - NIFTY Index Options'!$C:$C,$A112,'NSE - NIFTY Index Options'!$B:$B,C$4,'NSE - NIFTY Index Options'!$I:$I,"Monthly*")+SUMIFS('NSE - Other Index Options'!$M:$M,'NSE - Other Index Options'!$C:$C,$A112,'NSE - Other Index Options'!$B:$B,C$4,'NSE - Other Index Options'!$I:$I,"Monthly*"))</f>
        <v/>
      </c>
      <c r="D112" s="26">
        <f>IF(SUMIFS('NSE - NIFTY Index Options'!$M:$M,'NSE - NIFTY Index Options'!$C:$C,$A112,'NSE - NIFTY Index Options'!$B:$B,D$4,'NSE - NIFTY Index Options'!$I:$I,"Monthly*")+SUMIFS('NSE - Other Index Options'!$M:$M,'NSE - Other Index Options'!$C:$C,$A112,'NSE - Other Index Options'!$B:$B,D$4,'NSE - Other Index Options'!$I:$I,"Monthly*")=0,"",SUMIFS('NSE - NIFTY Index Options'!$M:$M,'NSE - NIFTY Index Options'!$C:$C,$A112,'NSE - NIFTY Index Options'!$B:$B,D$4,'NSE - NIFTY Index Options'!$I:$I,"Monthly*")+SUMIFS('NSE - Other Index Options'!$M:$M,'NSE - Other Index Options'!$C:$C,$A112,'NSE - Other Index Options'!$B:$B,D$4,'NSE - Other Index Options'!$I:$I,"Monthly*"))</f>
        <v/>
      </c>
      <c r="E112" s="26">
        <f>IF(SUMIFS('NSE - NIFTY Index Options'!$M:$M,'NSE - NIFTY Index Options'!$C:$C,$A112,'NSE - NIFTY Index Options'!$B:$B,E$4,'NSE - NIFTY Index Options'!$I:$I,"Monthly*")+SUMIFS('NSE - Other Index Options'!$M:$M,'NSE - Other Index Options'!$C:$C,$A112,'NSE - Other Index Options'!$B:$B,E$4,'NSE - Other Index Options'!$I:$I,"Monthly*")=0,"",SUMIFS('NSE - NIFTY Index Options'!$M:$M,'NSE - NIFTY Index Options'!$C:$C,$A112,'NSE - NIFTY Index Options'!$B:$B,E$4,'NSE - NIFTY Index Options'!$I:$I,"Monthly*")+SUMIFS('NSE - Other Index Options'!$M:$M,'NSE - Other Index Options'!$C:$C,$A112,'NSE - Other Index Options'!$B:$B,E$4,'NSE - Other Index Options'!$I:$I,"Monthly*"))</f>
        <v/>
      </c>
      <c r="F112" s="26">
        <f>IF(SUMIFS('NSE - NIFTY Index Options'!$M:$M,'NSE - NIFTY Index Options'!$C:$C,$A112,'NSE - NIFTY Index Options'!$B:$B,F$4,'NSE - NIFTY Index Options'!$I:$I,"Monthly*")+SUMIFS('NSE - Other Index Options'!$M:$M,'NSE - Other Index Options'!$C:$C,$A112,'NSE - Other Index Options'!$B:$B,F$4,'NSE - Other Index Options'!$I:$I,"Monthly*")=0,"",SUMIFS('NSE - NIFTY Index Options'!$M:$M,'NSE - NIFTY Index Options'!$C:$C,$A112,'NSE - NIFTY Index Options'!$B:$B,F$4,'NSE - NIFTY Index Options'!$I:$I,"Monthly*")+SUMIFS('NSE - Other Index Options'!$M:$M,'NSE - Other Index Options'!$C:$C,$A112,'NSE - Other Index Options'!$B:$B,F$4,'NSE - Other Index Options'!$I:$I,"Monthly*"))</f>
        <v/>
      </c>
      <c r="G112" s="26">
        <f>IF(SUMIFS('NSE - NIFTY Index Options'!$M:$M,'NSE - NIFTY Index Options'!$C:$C,$A112,'NSE - NIFTY Index Options'!$B:$B,G$4,'NSE - NIFTY Index Options'!$I:$I,"Monthly*")+SUMIFS('NSE - Other Index Options'!$M:$M,'NSE - Other Index Options'!$C:$C,$A112,'NSE - Other Index Options'!$B:$B,G$4,'NSE - Other Index Options'!$I:$I,"Monthly*")=0,"",SUMIFS('NSE - NIFTY Index Options'!$M:$M,'NSE - NIFTY Index Options'!$C:$C,$A112,'NSE - NIFTY Index Options'!$B:$B,G$4,'NSE - NIFTY Index Options'!$I:$I,"Monthly*")+SUMIFS('NSE - Other Index Options'!$M:$M,'NSE - Other Index Options'!$C:$C,$A112,'NSE - Other Index Options'!$B:$B,G$4,'NSE - Other Index Options'!$I:$I,"Monthly*"))</f>
        <v/>
      </c>
      <c r="H112" s="26">
        <f>IF(SUM(B112:G112)=0,"",SUM(B112:G112))</f>
        <v/>
      </c>
    </row>
    <row r="113" hidden="1" outlineLevel="1">
      <c r="A113" t="inlineStr">
        <is>
          <t>Week1-Jul-2027</t>
        </is>
      </c>
      <c r="B113" s="26">
        <f>IF(SUMIFS('NSE - NIFTY Index Options'!$M:$M,'NSE - NIFTY Index Options'!$C:$C,$A113,'NSE - NIFTY Index Options'!$B:$B,B$4,'NSE - NIFTY Index Options'!$I:$I,"Monthly*")+SUMIFS('NSE - Other Index Options'!$M:$M,'NSE - Other Index Options'!$C:$C,$A113,'NSE - Other Index Options'!$B:$B,B$4,'NSE - Other Index Options'!$I:$I,"Monthly*")=0,"",SUMIFS('NSE - NIFTY Index Options'!$M:$M,'NSE - NIFTY Index Options'!$C:$C,$A113,'NSE - NIFTY Index Options'!$B:$B,B$4,'NSE - NIFTY Index Options'!$I:$I,"Monthly*")+SUMIFS('NSE - Other Index Options'!$M:$M,'NSE - Other Index Options'!$C:$C,$A113,'NSE - Other Index Options'!$B:$B,B$4,'NSE - Other Index Options'!$I:$I,"Monthly*"))</f>
        <v/>
      </c>
      <c r="C113" s="26">
        <f>IF(SUMIFS('NSE - NIFTY Index Options'!$M:$M,'NSE - NIFTY Index Options'!$C:$C,$A113,'NSE - NIFTY Index Options'!$B:$B,C$4,'NSE - NIFTY Index Options'!$I:$I,"Monthly*")+SUMIFS('NSE - Other Index Options'!$M:$M,'NSE - Other Index Options'!$C:$C,$A113,'NSE - Other Index Options'!$B:$B,C$4,'NSE - Other Index Options'!$I:$I,"Monthly*")=0,"",SUMIFS('NSE - NIFTY Index Options'!$M:$M,'NSE - NIFTY Index Options'!$C:$C,$A113,'NSE - NIFTY Index Options'!$B:$B,C$4,'NSE - NIFTY Index Options'!$I:$I,"Monthly*")+SUMIFS('NSE - Other Index Options'!$M:$M,'NSE - Other Index Options'!$C:$C,$A113,'NSE - Other Index Options'!$B:$B,C$4,'NSE - Other Index Options'!$I:$I,"Monthly*"))</f>
        <v/>
      </c>
      <c r="D113" s="26">
        <f>IF(SUMIFS('NSE - NIFTY Index Options'!$M:$M,'NSE - NIFTY Index Options'!$C:$C,$A113,'NSE - NIFTY Index Options'!$B:$B,D$4,'NSE - NIFTY Index Options'!$I:$I,"Monthly*")+SUMIFS('NSE - Other Index Options'!$M:$M,'NSE - Other Index Options'!$C:$C,$A113,'NSE - Other Index Options'!$B:$B,D$4,'NSE - Other Index Options'!$I:$I,"Monthly*")=0,"",SUMIFS('NSE - NIFTY Index Options'!$M:$M,'NSE - NIFTY Index Options'!$C:$C,$A113,'NSE - NIFTY Index Options'!$B:$B,D$4,'NSE - NIFTY Index Options'!$I:$I,"Monthly*")+SUMIFS('NSE - Other Index Options'!$M:$M,'NSE - Other Index Options'!$C:$C,$A113,'NSE - Other Index Options'!$B:$B,D$4,'NSE - Other Index Options'!$I:$I,"Monthly*"))</f>
        <v/>
      </c>
      <c r="E113" s="26">
        <f>IF(SUMIFS('NSE - NIFTY Index Options'!$M:$M,'NSE - NIFTY Index Options'!$C:$C,$A113,'NSE - NIFTY Index Options'!$B:$B,E$4,'NSE - NIFTY Index Options'!$I:$I,"Monthly*")+SUMIFS('NSE - Other Index Options'!$M:$M,'NSE - Other Index Options'!$C:$C,$A113,'NSE - Other Index Options'!$B:$B,E$4,'NSE - Other Index Options'!$I:$I,"Monthly*")=0,"",SUMIFS('NSE - NIFTY Index Options'!$M:$M,'NSE - NIFTY Index Options'!$C:$C,$A113,'NSE - NIFTY Index Options'!$B:$B,E$4,'NSE - NIFTY Index Options'!$I:$I,"Monthly*")+SUMIFS('NSE - Other Index Options'!$M:$M,'NSE - Other Index Options'!$C:$C,$A113,'NSE - Other Index Options'!$B:$B,E$4,'NSE - Other Index Options'!$I:$I,"Monthly*"))</f>
        <v/>
      </c>
      <c r="F113" s="26">
        <f>IF(SUMIFS('NSE - NIFTY Index Options'!$M:$M,'NSE - NIFTY Index Options'!$C:$C,$A113,'NSE - NIFTY Index Options'!$B:$B,F$4,'NSE - NIFTY Index Options'!$I:$I,"Monthly*")+SUMIFS('NSE - Other Index Options'!$M:$M,'NSE - Other Index Options'!$C:$C,$A113,'NSE - Other Index Options'!$B:$B,F$4,'NSE - Other Index Options'!$I:$I,"Monthly*")=0,"",SUMIFS('NSE - NIFTY Index Options'!$M:$M,'NSE - NIFTY Index Options'!$C:$C,$A113,'NSE - NIFTY Index Options'!$B:$B,F$4,'NSE - NIFTY Index Options'!$I:$I,"Monthly*")+SUMIFS('NSE - Other Index Options'!$M:$M,'NSE - Other Index Options'!$C:$C,$A113,'NSE - Other Index Options'!$B:$B,F$4,'NSE - Other Index Options'!$I:$I,"Monthly*"))</f>
        <v/>
      </c>
      <c r="G113" s="26">
        <f>IF(SUMIFS('NSE - NIFTY Index Options'!$M:$M,'NSE - NIFTY Index Options'!$C:$C,$A113,'NSE - NIFTY Index Options'!$B:$B,G$4,'NSE - NIFTY Index Options'!$I:$I,"Monthly*")+SUMIFS('NSE - Other Index Options'!$M:$M,'NSE - Other Index Options'!$C:$C,$A113,'NSE - Other Index Options'!$B:$B,G$4,'NSE - Other Index Options'!$I:$I,"Monthly*")=0,"",SUMIFS('NSE - NIFTY Index Options'!$M:$M,'NSE - NIFTY Index Options'!$C:$C,$A113,'NSE - NIFTY Index Options'!$B:$B,G$4,'NSE - NIFTY Index Options'!$I:$I,"Monthly*")+SUMIFS('NSE - Other Index Options'!$M:$M,'NSE - Other Index Options'!$C:$C,$A113,'NSE - Other Index Options'!$B:$B,G$4,'NSE - Other Index Options'!$I:$I,"Monthly*"))</f>
        <v/>
      </c>
      <c r="H113" s="26">
        <f>IF(SUM(B113:G113)=0,"",SUM(B113:G113))</f>
        <v/>
      </c>
    </row>
    <row r="114" hidden="1" outlineLevel="1">
      <c r="A114" t="inlineStr">
        <is>
          <t>Week2-Jul-2027</t>
        </is>
      </c>
      <c r="B114" s="26">
        <f>IF(SUMIFS('NSE - NIFTY Index Options'!$M:$M,'NSE - NIFTY Index Options'!$C:$C,$A114,'NSE - NIFTY Index Options'!$B:$B,B$4,'NSE - NIFTY Index Options'!$I:$I,"Monthly*")+SUMIFS('NSE - Other Index Options'!$M:$M,'NSE - Other Index Options'!$C:$C,$A114,'NSE - Other Index Options'!$B:$B,B$4,'NSE - Other Index Options'!$I:$I,"Monthly*")=0,"",SUMIFS('NSE - NIFTY Index Options'!$M:$M,'NSE - NIFTY Index Options'!$C:$C,$A114,'NSE - NIFTY Index Options'!$B:$B,B$4,'NSE - NIFTY Index Options'!$I:$I,"Monthly*")+SUMIFS('NSE - Other Index Options'!$M:$M,'NSE - Other Index Options'!$C:$C,$A114,'NSE - Other Index Options'!$B:$B,B$4,'NSE - Other Index Options'!$I:$I,"Monthly*"))</f>
        <v/>
      </c>
      <c r="C114" s="26">
        <f>IF(SUMIFS('NSE - NIFTY Index Options'!$M:$M,'NSE - NIFTY Index Options'!$C:$C,$A114,'NSE - NIFTY Index Options'!$B:$B,C$4,'NSE - NIFTY Index Options'!$I:$I,"Monthly*")+SUMIFS('NSE - Other Index Options'!$M:$M,'NSE - Other Index Options'!$C:$C,$A114,'NSE - Other Index Options'!$B:$B,C$4,'NSE - Other Index Options'!$I:$I,"Monthly*")=0,"",SUMIFS('NSE - NIFTY Index Options'!$M:$M,'NSE - NIFTY Index Options'!$C:$C,$A114,'NSE - NIFTY Index Options'!$B:$B,C$4,'NSE - NIFTY Index Options'!$I:$I,"Monthly*")+SUMIFS('NSE - Other Index Options'!$M:$M,'NSE - Other Index Options'!$C:$C,$A114,'NSE - Other Index Options'!$B:$B,C$4,'NSE - Other Index Options'!$I:$I,"Monthly*"))</f>
        <v/>
      </c>
      <c r="D114" s="26">
        <f>IF(SUMIFS('NSE - NIFTY Index Options'!$M:$M,'NSE - NIFTY Index Options'!$C:$C,$A114,'NSE - NIFTY Index Options'!$B:$B,D$4,'NSE - NIFTY Index Options'!$I:$I,"Monthly*")+SUMIFS('NSE - Other Index Options'!$M:$M,'NSE - Other Index Options'!$C:$C,$A114,'NSE - Other Index Options'!$B:$B,D$4,'NSE - Other Index Options'!$I:$I,"Monthly*")=0,"",SUMIFS('NSE - NIFTY Index Options'!$M:$M,'NSE - NIFTY Index Options'!$C:$C,$A114,'NSE - NIFTY Index Options'!$B:$B,D$4,'NSE - NIFTY Index Options'!$I:$I,"Monthly*")+SUMIFS('NSE - Other Index Options'!$M:$M,'NSE - Other Index Options'!$C:$C,$A114,'NSE - Other Index Options'!$B:$B,D$4,'NSE - Other Index Options'!$I:$I,"Monthly*"))</f>
        <v/>
      </c>
      <c r="E114" s="26">
        <f>IF(SUMIFS('NSE - NIFTY Index Options'!$M:$M,'NSE - NIFTY Index Options'!$C:$C,$A114,'NSE - NIFTY Index Options'!$B:$B,E$4,'NSE - NIFTY Index Options'!$I:$I,"Monthly*")+SUMIFS('NSE - Other Index Options'!$M:$M,'NSE - Other Index Options'!$C:$C,$A114,'NSE - Other Index Options'!$B:$B,E$4,'NSE - Other Index Options'!$I:$I,"Monthly*")=0,"",SUMIFS('NSE - NIFTY Index Options'!$M:$M,'NSE - NIFTY Index Options'!$C:$C,$A114,'NSE - NIFTY Index Options'!$B:$B,E$4,'NSE - NIFTY Index Options'!$I:$I,"Monthly*")+SUMIFS('NSE - Other Index Options'!$M:$M,'NSE - Other Index Options'!$C:$C,$A114,'NSE - Other Index Options'!$B:$B,E$4,'NSE - Other Index Options'!$I:$I,"Monthly*"))</f>
        <v/>
      </c>
      <c r="F114" s="26">
        <f>IF(SUMIFS('NSE - NIFTY Index Options'!$M:$M,'NSE - NIFTY Index Options'!$C:$C,$A114,'NSE - NIFTY Index Options'!$B:$B,F$4,'NSE - NIFTY Index Options'!$I:$I,"Monthly*")+SUMIFS('NSE - Other Index Options'!$M:$M,'NSE - Other Index Options'!$C:$C,$A114,'NSE - Other Index Options'!$B:$B,F$4,'NSE - Other Index Options'!$I:$I,"Monthly*")=0,"",SUMIFS('NSE - NIFTY Index Options'!$M:$M,'NSE - NIFTY Index Options'!$C:$C,$A114,'NSE - NIFTY Index Options'!$B:$B,F$4,'NSE - NIFTY Index Options'!$I:$I,"Monthly*")+SUMIFS('NSE - Other Index Options'!$M:$M,'NSE - Other Index Options'!$C:$C,$A114,'NSE - Other Index Options'!$B:$B,F$4,'NSE - Other Index Options'!$I:$I,"Monthly*"))</f>
        <v/>
      </c>
      <c r="G114" s="26">
        <f>IF(SUMIFS('NSE - NIFTY Index Options'!$M:$M,'NSE - NIFTY Index Options'!$C:$C,$A114,'NSE - NIFTY Index Options'!$B:$B,G$4,'NSE - NIFTY Index Options'!$I:$I,"Monthly*")+SUMIFS('NSE - Other Index Options'!$M:$M,'NSE - Other Index Options'!$C:$C,$A114,'NSE - Other Index Options'!$B:$B,G$4,'NSE - Other Index Options'!$I:$I,"Monthly*")=0,"",SUMIFS('NSE - NIFTY Index Options'!$M:$M,'NSE - NIFTY Index Options'!$C:$C,$A114,'NSE - NIFTY Index Options'!$B:$B,G$4,'NSE - NIFTY Index Options'!$I:$I,"Monthly*")+SUMIFS('NSE - Other Index Options'!$M:$M,'NSE - Other Index Options'!$C:$C,$A114,'NSE - Other Index Options'!$B:$B,G$4,'NSE - Other Index Options'!$I:$I,"Monthly*"))</f>
        <v/>
      </c>
      <c r="H114" s="26">
        <f>IF(SUM(B114:G114)=0,"",SUM(B114:G114))</f>
        <v/>
      </c>
    </row>
    <row r="115" hidden="1" outlineLevel="1">
      <c r="A115" t="inlineStr">
        <is>
          <t>Week3-Jul-2027</t>
        </is>
      </c>
      <c r="B115" s="26">
        <f>IF(SUMIFS('NSE - NIFTY Index Options'!$M:$M,'NSE - NIFTY Index Options'!$C:$C,$A115,'NSE - NIFTY Index Options'!$B:$B,B$4,'NSE - NIFTY Index Options'!$I:$I,"Monthly*")+SUMIFS('NSE - Other Index Options'!$M:$M,'NSE - Other Index Options'!$C:$C,$A115,'NSE - Other Index Options'!$B:$B,B$4,'NSE - Other Index Options'!$I:$I,"Monthly*")=0,"",SUMIFS('NSE - NIFTY Index Options'!$M:$M,'NSE - NIFTY Index Options'!$C:$C,$A115,'NSE - NIFTY Index Options'!$B:$B,B$4,'NSE - NIFTY Index Options'!$I:$I,"Monthly*")+SUMIFS('NSE - Other Index Options'!$M:$M,'NSE - Other Index Options'!$C:$C,$A115,'NSE - Other Index Options'!$B:$B,B$4,'NSE - Other Index Options'!$I:$I,"Monthly*"))</f>
        <v/>
      </c>
      <c r="C115" s="26">
        <f>IF(SUMIFS('NSE - NIFTY Index Options'!$M:$M,'NSE - NIFTY Index Options'!$C:$C,$A115,'NSE - NIFTY Index Options'!$B:$B,C$4,'NSE - NIFTY Index Options'!$I:$I,"Monthly*")+SUMIFS('NSE - Other Index Options'!$M:$M,'NSE - Other Index Options'!$C:$C,$A115,'NSE - Other Index Options'!$B:$B,C$4,'NSE - Other Index Options'!$I:$I,"Monthly*")=0,"",SUMIFS('NSE - NIFTY Index Options'!$M:$M,'NSE - NIFTY Index Options'!$C:$C,$A115,'NSE - NIFTY Index Options'!$B:$B,C$4,'NSE - NIFTY Index Options'!$I:$I,"Monthly*")+SUMIFS('NSE - Other Index Options'!$M:$M,'NSE - Other Index Options'!$C:$C,$A115,'NSE - Other Index Options'!$B:$B,C$4,'NSE - Other Index Options'!$I:$I,"Monthly*"))</f>
        <v/>
      </c>
      <c r="D115" s="26">
        <f>IF(SUMIFS('NSE - NIFTY Index Options'!$M:$M,'NSE - NIFTY Index Options'!$C:$C,$A115,'NSE - NIFTY Index Options'!$B:$B,D$4,'NSE - NIFTY Index Options'!$I:$I,"Monthly*")+SUMIFS('NSE - Other Index Options'!$M:$M,'NSE - Other Index Options'!$C:$C,$A115,'NSE - Other Index Options'!$B:$B,D$4,'NSE - Other Index Options'!$I:$I,"Monthly*")=0,"",SUMIFS('NSE - NIFTY Index Options'!$M:$M,'NSE - NIFTY Index Options'!$C:$C,$A115,'NSE - NIFTY Index Options'!$B:$B,D$4,'NSE - NIFTY Index Options'!$I:$I,"Monthly*")+SUMIFS('NSE - Other Index Options'!$M:$M,'NSE - Other Index Options'!$C:$C,$A115,'NSE - Other Index Options'!$B:$B,D$4,'NSE - Other Index Options'!$I:$I,"Monthly*"))</f>
        <v/>
      </c>
      <c r="E115" s="26">
        <f>IF(SUMIFS('NSE - NIFTY Index Options'!$M:$M,'NSE - NIFTY Index Options'!$C:$C,$A115,'NSE - NIFTY Index Options'!$B:$B,E$4,'NSE - NIFTY Index Options'!$I:$I,"Monthly*")+SUMIFS('NSE - Other Index Options'!$M:$M,'NSE - Other Index Options'!$C:$C,$A115,'NSE - Other Index Options'!$B:$B,E$4,'NSE - Other Index Options'!$I:$I,"Monthly*")=0,"",SUMIFS('NSE - NIFTY Index Options'!$M:$M,'NSE - NIFTY Index Options'!$C:$C,$A115,'NSE - NIFTY Index Options'!$B:$B,E$4,'NSE - NIFTY Index Options'!$I:$I,"Monthly*")+SUMIFS('NSE - Other Index Options'!$M:$M,'NSE - Other Index Options'!$C:$C,$A115,'NSE - Other Index Options'!$B:$B,E$4,'NSE - Other Index Options'!$I:$I,"Monthly*"))</f>
        <v/>
      </c>
      <c r="F115" s="26">
        <f>IF(SUMIFS('NSE - NIFTY Index Options'!$M:$M,'NSE - NIFTY Index Options'!$C:$C,$A115,'NSE - NIFTY Index Options'!$B:$B,F$4,'NSE - NIFTY Index Options'!$I:$I,"Monthly*")+SUMIFS('NSE - Other Index Options'!$M:$M,'NSE - Other Index Options'!$C:$C,$A115,'NSE - Other Index Options'!$B:$B,F$4,'NSE - Other Index Options'!$I:$I,"Monthly*")=0,"",SUMIFS('NSE - NIFTY Index Options'!$M:$M,'NSE - NIFTY Index Options'!$C:$C,$A115,'NSE - NIFTY Index Options'!$B:$B,F$4,'NSE - NIFTY Index Options'!$I:$I,"Monthly*")+SUMIFS('NSE - Other Index Options'!$M:$M,'NSE - Other Index Options'!$C:$C,$A115,'NSE - Other Index Options'!$B:$B,F$4,'NSE - Other Index Options'!$I:$I,"Monthly*"))</f>
        <v/>
      </c>
      <c r="G115" s="26">
        <f>IF(SUMIFS('NSE - NIFTY Index Options'!$M:$M,'NSE - NIFTY Index Options'!$C:$C,$A115,'NSE - NIFTY Index Options'!$B:$B,G$4,'NSE - NIFTY Index Options'!$I:$I,"Monthly*")+SUMIFS('NSE - Other Index Options'!$M:$M,'NSE - Other Index Options'!$C:$C,$A115,'NSE - Other Index Options'!$B:$B,G$4,'NSE - Other Index Options'!$I:$I,"Monthly*")=0,"",SUMIFS('NSE - NIFTY Index Options'!$M:$M,'NSE - NIFTY Index Options'!$C:$C,$A115,'NSE - NIFTY Index Options'!$B:$B,G$4,'NSE - NIFTY Index Options'!$I:$I,"Monthly*")+SUMIFS('NSE - Other Index Options'!$M:$M,'NSE - Other Index Options'!$C:$C,$A115,'NSE - Other Index Options'!$B:$B,G$4,'NSE - Other Index Options'!$I:$I,"Monthly*"))</f>
        <v/>
      </c>
      <c r="H115" s="26">
        <f>IF(SUM(B115:G115)=0,"",SUM(B115:G115))</f>
        <v/>
      </c>
    </row>
    <row r="116" hidden="1" outlineLevel="1">
      <c r="A116" t="inlineStr">
        <is>
          <t>Week4-Jul-2027</t>
        </is>
      </c>
      <c r="B116" s="26">
        <f>IF(SUMIFS('NSE - NIFTY Index Options'!$M:$M,'NSE - NIFTY Index Options'!$C:$C,$A116,'NSE - NIFTY Index Options'!$B:$B,B$4,'NSE - NIFTY Index Options'!$I:$I,"Monthly*")+SUMIFS('NSE - Other Index Options'!$M:$M,'NSE - Other Index Options'!$C:$C,$A116,'NSE - Other Index Options'!$B:$B,B$4,'NSE - Other Index Options'!$I:$I,"Monthly*")=0,"",SUMIFS('NSE - NIFTY Index Options'!$M:$M,'NSE - NIFTY Index Options'!$C:$C,$A116,'NSE - NIFTY Index Options'!$B:$B,B$4,'NSE - NIFTY Index Options'!$I:$I,"Monthly*")+SUMIFS('NSE - Other Index Options'!$M:$M,'NSE - Other Index Options'!$C:$C,$A116,'NSE - Other Index Options'!$B:$B,B$4,'NSE - Other Index Options'!$I:$I,"Monthly*"))</f>
        <v/>
      </c>
      <c r="C116" s="26">
        <f>IF(SUMIFS('NSE - NIFTY Index Options'!$M:$M,'NSE - NIFTY Index Options'!$C:$C,$A116,'NSE - NIFTY Index Options'!$B:$B,C$4,'NSE - NIFTY Index Options'!$I:$I,"Monthly*")+SUMIFS('NSE - Other Index Options'!$M:$M,'NSE - Other Index Options'!$C:$C,$A116,'NSE - Other Index Options'!$B:$B,C$4,'NSE - Other Index Options'!$I:$I,"Monthly*")=0,"",SUMIFS('NSE - NIFTY Index Options'!$M:$M,'NSE - NIFTY Index Options'!$C:$C,$A116,'NSE - NIFTY Index Options'!$B:$B,C$4,'NSE - NIFTY Index Options'!$I:$I,"Monthly*")+SUMIFS('NSE - Other Index Options'!$M:$M,'NSE - Other Index Options'!$C:$C,$A116,'NSE - Other Index Options'!$B:$B,C$4,'NSE - Other Index Options'!$I:$I,"Monthly*"))</f>
        <v/>
      </c>
      <c r="D116" s="26">
        <f>IF(SUMIFS('NSE - NIFTY Index Options'!$M:$M,'NSE - NIFTY Index Options'!$C:$C,$A116,'NSE - NIFTY Index Options'!$B:$B,D$4,'NSE - NIFTY Index Options'!$I:$I,"Monthly*")+SUMIFS('NSE - Other Index Options'!$M:$M,'NSE - Other Index Options'!$C:$C,$A116,'NSE - Other Index Options'!$B:$B,D$4,'NSE - Other Index Options'!$I:$I,"Monthly*")=0,"",SUMIFS('NSE - NIFTY Index Options'!$M:$M,'NSE - NIFTY Index Options'!$C:$C,$A116,'NSE - NIFTY Index Options'!$B:$B,D$4,'NSE - NIFTY Index Options'!$I:$I,"Monthly*")+SUMIFS('NSE - Other Index Options'!$M:$M,'NSE - Other Index Options'!$C:$C,$A116,'NSE - Other Index Options'!$B:$B,D$4,'NSE - Other Index Options'!$I:$I,"Monthly*"))</f>
        <v/>
      </c>
      <c r="E116" s="26">
        <f>IF(SUMIFS('NSE - NIFTY Index Options'!$M:$M,'NSE - NIFTY Index Options'!$C:$C,$A116,'NSE - NIFTY Index Options'!$B:$B,E$4,'NSE - NIFTY Index Options'!$I:$I,"Monthly*")+SUMIFS('NSE - Other Index Options'!$M:$M,'NSE - Other Index Options'!$C:$C,$A116,'NSE - Other Index Options'!$B:$B,E$4,'NSE - Other Index Options'!$I:$I,"Monthly*")=0,"",SUMIFS('NSE - NIFTY Index Options'!$M:$M,'NSE - NIFTY Index Options'!$C:$C,$A116,'NSE - NIFTY Index Options'!$B:$B,E$4,'NSE - NIFTY Index Options'!$I:$I,"Monthly*")+SUMIFS('NSE - Other Index Options'!$M:$M,'NSE - Other Index Options'!$C:$C,$A116,'NSE - Other Index Options'!$B:$B,E$4,'NSE - Other Index Options'!$I:$I,"Monthly*"))</f>
        <v/>
      </c>
      <c r="F116" s="26">
        <f>IF(SUMIFS('NSE - NIFTY Index Options'!$M:$M,'NSE - NIFTY Index Options'!$C:$C,$A116,'NSE - NIFTY Index Options'!$B:$B,F$4,'NSE - NIFTY Index Options'!$I:$I,"Monthly*")+SUMIFS('NSE - Other Index Options'!$M:$M,'NSE - Other Index Options'!$C:$C,$A116,'NSE - Other Index Options'!$B:$B,F$4,'NSE - Other Index Options'!$I:$I,"Monthly*")=0,"",SUMIFS('NSE - NIFTY Index Options'!$M:$M,'NSE - NIFTY Index Options'!$C:$C,$A116,'NSE - NIFTY Index Options'!$B:$B,F$4,'NSE - NIFTY Index Options'!$I:$I,"Monthly*")+SUMIFS('NSE - Other Index Options'!$M:$M,'NSE - Other Index Options'!$C:$C,$A116,'NSE - Other Index Options'!$B:$B,F$4,'NSE - Other Index Options'!$I:$I,"Monthly*"))</f>
        <v/>
      </c>
      <c r="G116" s="26">
        <f>IF(SUMIFS('NSE - NIFTY Index Options'!$M:$M,'NSE - NIFTY Index Options'!$C:$C,$A116,'NSE - NIFTY Index Options'!$B:$B,G$4,'NSE - NIFTY Index Options'!$I:$I,"Monthly*")+SUMIFS('NSE - Other Index Options'!$M:$M,'NSE - Other Index Options'!$C:$C,$A116,'NSE - Other Index Options'!$B:$B,G$4,'NSE - Other Index Options'!$I:$I,"Monthly*")=0,"",SUMIFS('NSE - NIFTY Index Options'!$M:$M,'NSE - NIFTY Index Options'!$C:$C,$A116,'NSE - NIFTY Index Options'!$B:$B,G$4,'NSE - NIFTY Index Options'!$I:$I,"Monthly*")+SUMIFS('NSE - Other Index Options'!$M:$M,'NSE - Other Index Options'!$C:$C,$A116,'NSE - Other Index Options'!$B:$B,G$4,'NSE - Other Index Options'!$I:$I,"Monthly*"))</f>
        <v/>
      </c>
      <c r="H116" s="26">
        <f>IF(SUM(B116:G116)=0,"",SUM(B116:G116))</f>
        <v/>
      </c>
    </row>
    <row r="117" hidden="1" outlineLevel="1">
      <c r="A117" t="inlineStr">
        <is>
          <t>Week5-Jul-2027</t>
        </is>
      </c>
      <c r="B117" s="26">
        <f>IF(SUMIFS('NSE - NIFTY Index Options'!$M:$M,'NSE - NIFTY Index Options'!$C:$C,$A117,'NSE - NIFTY Index Options'!$B:$B,B$4,'NSE - NIFTY Index Options'!$I:$I,"Monthly*")+SUMIFS('NSE - Other Index Options'!$M:$M,'NSE - Other Index Options'!$C:$C,$A117,'NSE - Other Index Options'!$B:$B,B$4,'NSE - Other Index Options'!$I:$I,"Monthly*")=0,"",SUMIFS('NSE - NIFTY Index Options'!$M:$M,'NSE - NIFTY Index Options'!$C:$C,$A117,'NSE - NIFTY Index Options'!$B:$B,B$4,'NSE - NIFTY Index Options'!$I:$I,"Monthly*")+SUMIFS('NSE - Other Index Options'!$M:$M,'NSE - Other Index Options'!$C:$C,$A117,'NSE - Other Index Options'!$B:$B,B$4,'NSE - Other Index Options'!$I:$I,"Monthly*"))</f>
        <v/>
      </c>
      <c r="C117" s="26">
        <f>IF(SUMIFS('NSE - NIFTY Index Options'!$M:$M,'NSE - NIFTY Index Options'!$C:$C,$A117,'NSE - NIFTY Index Options'!$B:$B,C$4,'NSE - NIFTY Index Options'!$I:$I,"Monthly*")+SUMIFS('NSE - Other Index Options'!$M:$M,'NSE - Other Index Options'!$C:$C,$A117,'NSE - Other Index Options'!$B:$B,C$4,'NSE - Other Index Options'!$I:$I,"Monthly*")=0,"",SUMIFS('NSE - NIFTY Index Options'!$M:$M,'NSE - NIFTY Index Options'!$C:$C,$A117,'NSE - NIFTY Index Options'!$B:$B,C$4,'NSE - NIFTY Index Options'!$I:$I,"Monthly*")+SUMIFS('NSE - Other Index Options'!$M:$M,'NSE - Other Index Options'!$C:$C,$A117,'NSE - Other Index Options'!$B:$B,C$4,'NSE - Other Index Options'!$I:$I,"Monthly*"))</f>
        <v/>
      </c>
      <c r="D117" s="26">
        <f>IF(SUMIFS('NSE - NIFTY Index Options'!$M:$M,'NSE - NIFTY Index Options'!$C:$C,$A117,'NSE - NIFTY Index Options'!$B:$B,D$4,'NSE - NIFTY Index Options'!$I:$I,"Monthly*")+SUMIFS('NSE - Other Index Options'!$M:$M,'NSE - Other Index Options'!$C:$C,$A117,'NSE - Other Index Options'!$B:$B,D$4,'NSE - Other Index Options'!$I:$I,"Monthly*")=0,"",SUMIFS('NSE - NIFTY Index Options'!$M:$M,'NSE - NIFTY Index Options'!$C:$C,$A117,'NSE - NIFTY Index Options'!$B:$B,D$4,'NSE - NIFTY Index Options'!$I:$I,"Monthly*")+SUMIFS('NSE - Other Index Options'!$M:$M,'NSE - Other Index Options'!$C:$C,$A117,'NSE - Other Index Options'!$B:$B,D$4,'NSE - Other Index Options'!$I:$I,"Monthly*"))</f>
        <v/>
      </c>
      <c r="E117" s="26">
        <f>IF(SUMIFS('NSE - NIFTY Index Options'!$M:$M,'NSE - NIFTY Index Options'!$C:$C,$A117,'NSE - NIFTY Index Options'!$B:$B,E$4,'NSE - NIFTY Index Options'!$I:$I,"Monthly*")+SUMIFS('NSE - Other Index Options'!$M:$M,'NSE - Other Index Options'!$C:$C,$A117,'NSE - Other Index Options'!$B:$B,E$4,'NSE - Other Index Options'!$I:$I,"Monthly*")=0,"",SUMIFS('NSE - NIFTY Index Options'!$M:$M,'NSE - NIFTY Index Options'!$C:$C,$A117,'NSE - NIFTY Index Options'!$B:$B,E$4,'NSE - NIFTY Index Options'!$I:$I,"Monthly*")+SUMIFS('NSE - Other Index Options'!$M:$M,'NSE - Other Index Options'!$C:$C,$A117,'NSE - Other Index Options'!$B:$B,E$4,'NSE - Other Index Options'!$I:$I,"Monthly*"))</f>
        <v/>
      </c>
      <c r="F117" s="26">
        <f>IF(SUMIFS('NSE - NIFTY Index Options'!$M:$M,'NSE - NIFTY Index Options'!$C:$C,$A117,'NSE - NIFTY Index Options'!$B:$B,F$4,'NSE - NIFTY Index Options'!$I:$I,"Monthly*")+SUMIFS('NSE - Other Index Options'!$M:$M,'NSE - Other Index Options'!$C:$C,$A117,'NSE - Other Index Options'!$B:$B,F$4,'NSE - Other Index Options'!$I:$I,"Monthly*")=0,"",SUMIFS('NSE - NIFTY Index Options'!$M:$M,'NSE - NIFTY Index Options'!$C:$C,$A117,'NSE - NIFTY Index Options'!$B:$B,F$4,'NSE - NIFTY Index Options'!$I:$I,"Monthly*")+SUMIFS('NSE - Other Index Options'!$M:$M,'NSE - Other Index Options'!$C:$C,$A117,'NSE - Other Index Options'!$B:$B,F$4,'NSE - Other Index Options'!$I:$I,"Monthly*"))</f>
        <v/>
      </c>
      <c r="G117" s="26">
        <f>IF(SUMIFS('NSE - NIFTY Index Options'!$M:$M,'NSE - NIFTY Index Options'!$C:$C,$A117,'NSE - NIFTY Index Options'!$B:$B,G$4,'NSE - NIFTY Index Options'!$I:$I,"Monthly*")+SUMIFS('NSE - Other Index Options'!$M:$M,'NSE - Other Index Options'!$C:$C,$A117,'NSE - Other Index Options'!$B:$B,G$4,'NSE - Other Index Options'!$I:$I,"Monthly*")=0,"",SUMIFS('NSE - NIFTY Index Options'!$M:$M,'NSE - NIFTY Index Options'!$C:$C,$A117,'NSE - NIFTY Index Options'!$B:$B,G$4,'NSE - NIFTY Index Options'!$I:$I,"Monthly*")+SUMIFS('NSE - Other Index Options'!$M:$M,'NSE - Other Index Options'!$C:$C,$A117,'NSE - Other Index Options'!$B:$B,G$4,'NSE - Other Index Options'!$I:$I,"Monthly*"))</f>
        <v/>
      </c>
      <c r="H117" s="26">
        <f>IF(SUM(B117:G117)=0,"",SUM(B117:G117))</f>
        <v/>
      </c>
    </row>
    <row r="118" hidden="1" outlineLevel="1">
      <c r="A118" t="inlineStr">
        <is>
          <t>Week1-Aug-2027</t>
        </is>
      </c>
      <c r="B118" s="26">
        <f>IF(SUMIFS('NSE - NIFTY Index Options'!$M:$M,'NSE - NIFTY Index Options'!$C:$C,$A118,'NSE - NIFTY Index Options'!$B:$B,B$4,'NSE - NIFTY Index Options'!$I:$I,"Monthly*")+SUMIFS('NSE - Other Index Options'!$M:$M,'NSE - Other Index Options'!$C:$C,$A118,'NSE - Other Index Options'!$B:$B,B$4,'NSE - Other Index Options'!$I:$I,"Monthly*")=0,"",SUMIFS('NSE - NIFTY Index Options'!$M:$M,'NSE - NIFTY Index Options'!$C:$C,$A118,'NSE - NIFTY Index Options'!$B:$B,B$4,'NSE - NIFTY Index Options'!$I:$I,"Monthly*")+SUMIFS('NSE - Other Index Options'!$M:$M,'NSE - Other Index Options'!$C:$C,$A118,'NSE - Other Index Options'!$B:$B,B$4,'NSE - Other Index Options'!$I:$I,"Monthly*"))</f>
        <v/>
      </c>
      <c r="C118" s="26">
        <f>IF(SUMIFS('NSE - NIFTY Index Options'!$M:$M,'NSE - NIFTY Index Options'!$C:$C,$A118,'NSE - NIFTY Index Options'!$B:$B,C$4,'NSE - NIFTY Index Options'!$I:$I,"Monthly*")+SUMIFS('NSE - Other Index Options'!$M:$M,'NSE - Other Index Options'!$C:$C,$A118,'NSE - Other Index Options'!$B:$B,C$4,'NSE - Other Index Options'!$I:$I,"Monthly*")=0,"",SUMIFS('NSE - NIFTY Index Options'!$M:$M,'NSE - NIFTY Index Options'!$C:$C,$A118,'NSE - NIFTY Index Options'!$B:$B,C$4,'NSE - NIFTY Index Options'!$I:$I,"Monthly*")+SUMIFS('NSE - Other Index Options'!$M:$M,'NSE - Other Index Options'!$C:$C,$A118,'NSE - Other Index Options'!$B:$B,C$4,'NSE - Other Index Options'!$I:$I,"Monthly*"))</f>
        <v/>
      </c>
      <c r="D118" s="26">
        <f>IF(SUMIFS('NSE - NIFTY Index Options'!$M:$M,'NSE - NIFTY Index Options'!$C:$C,$A118,'NSE - NIFTY Index Options'!$B:$B,D$4,'NSE - NIFTY Index Options'!$I:$I,"Monthly*")+SUMIFS('NSE - Other Index Options'!$M:$M,'NSE - Other Index Options'!$C:$C,$A118,'NSE - Other Index Options'!$B:$B,D$4,'NSE - Other Index Options'!$I:$I,"Monthly*")=0,"",SUMIFS('NSE - NIFTY Index Options'!$M:$M,'NSE - NIFTY Index Options'!$C:$C,$A118,'NSE - NIFTY Index Options'!$B:$B,D$4,'NSE - NIFTY Index Options'!$I:$I,"Monthly*")+SUMIFS('NSE - Other Index Options'!$M:$M,'NSE - Other Index Options'!$C:$C,$A118,'NSE - Other Index Options'!$B:$B,D$4,'NSE - Other Index Options'!$I:$I,"Monthly*"))</f>
        <v/>
      </c>
      <c r="E118" s="26">
        <f>IF(SUMIFS('NSE - NIFTY Index Options'!$M:$M,'NSE - NIFTY Index Options'!$C:$C,$A118,'NSE - NIFTY Index Options'!$B:$B,E$4,'NSE - NIFTY Index Options'!$I:$I,"Monthly*")+SUMIFS('NSE - Other Index Options'!$M:$M,'NSE - Other Index Options'!$C:$C,$A118,'NSE - Other Index Options'!$B:$B,E$4,'NSE - Other Index Options'!$I:$I,"Monthly*")=0,"",SUMIFS('NSE - NIFTY Index Options'!$M:$M,'NSE - NIFTY Index Options'!$C:$C,$A118,'NSE - NIFTY Index Options'!$B:$B,E$4,'NSE - NIFTY Index Options'!$I:$I,"Monthly*")+SUMIFS('NSE - Other Index Options'!$M:$M,'NSE - Other Index Options'!$C:$C,$A118,'NSE - Other Index Options'!$B:$B,E$4,'NSE - Other Index Options'!$I:$I,"Monthly*"))</f>
        <v/>
      </c>
      <c r="F118" s="26">
        <f>IF(SUMIFS('NSE - NIFTY Index Options'!$M:$M,'NSE - NIFTY Index Options'!$C:$C,$A118,'NSE - NIFTY Index Options'!$B:$B,F$4,'NSE - NIFTY Index Options'!$I:$I,"Monthly*")+SUMIFS('NSE - Other Index Options'!$M:$M,'NSE - Other Index Options'!$C:$C,$A118,'NSE - Other Index Options'!$B:$B,F$4,'NSE - Other Index Options'!$I:$I,"Monthly*")=0,"",SUMIFS('NSE - NIFTY Index Options'!$M:$M,'NSE - NIFTY Index Options'!$C:$C,$A118,'NSE - NIFTY Index Options'!$B:$B,F$4,'NSE - NIFTY Index Options'!$I:$I,"Monthly*")+SUMIFS('NSE - Other Index Options'!$M:$M,'NSE - Other Index Options'!$C:$C,$A118,'NSE - Other Index Options'!$B:$B,F$4,'NSE - Other Index Options'!$I:$I,"Monthly*"))</f>
        <v/>
      </c>
      <c r="G118" s="26">
        <f>IF(SUMIFS('NSE - NIFTY Index Options'!$M:$M,'NSE - NIFTY Index Options'!$C:$C,$A118,'NSE - NIFTY Index Options'!$B:$B,G$4,'NSE - NIFTY Index Options'!$I:$I,"Monthly*")+SUMIFS('NSE - Other Index Options'!$M:$M,'NSE - Other Index Options'!$C:$C,$A118,'NSE - Other Index Options'!$B:$B,G$4,'NSE - Other Index Options'!$I:$I,"Monthly*")=0,"",SUMIFS('NSE - NIFTY Index Options'!$M:$M,'NSE - NIFTY Index Options'!$C:$C,$A118,'NSE - NIFTY Index Options'!$B:$B,G$4,'NSE - NIFTY Index Options'!$I:$I,"Monthly*")+SUMIFS('NSE - Other Index Options'!$M:$M,'NSE - Other Index Options'!$C:$C,$A118,'NSE - Other Index Options'!$B:$B,G$4,'NSE - Other Index Options'!$I:$I,"Monthly*"))</f>
        <v/>
      </c>
      <c r="H118" s="26">
        <f>IF(SUM(B118:G118)=0,"",SUM(B118:G118))</f>
        <v/>
      </c>
    </row>
    <row r="119" hidden="1" outlineLevel="1">
      <c r="A119" t="inlineStr">
        <is>
          <t>Week2-Aug-2027</t>
        </is>
      </c>
      <c r="B119" s="26">
        <f>IF(SUMIFS('NSE - NIFTY Index Options'!$M:$M,'NSE - NIFTY Index Options'!$C:$C,$A119,'NSE - NIFTY Index Options'!$B:$B,B$4,'NSE - NIFTY Index Options'!$I:$I,"Monthly*")+SUMIFS('NSE - Other Index Options'!$M:$M,'NSE - Other Index Options'!$C:$C,$A119,'NSE - Other Index Options'!$B:$B,B$4,'NSE - Other Index Options'!$I:$I,"Monthly*")=0,"",SUMIFS('NSE - NIFTY Index Options'!$M:$M,'NSE - NIFTY Index Options'!$C:$C,$A119,'NSE - NIFTY Index Options'!$B:$B,B$4,'NSE - NIFTY Index Options'!$I:$I,"Monthly*")+SUMIFS('NSE - Other Index Options'!$M:$M,'NSE - Other Index Options'!$C:$C,$A119,'NSE - Other Index Options'!$B:$B,B$4,'NSE - Other Index Options'!$I:$I,"Monthly*"))</f>
        <v/>
      </c>
      <c r="C119" s="26">
        <f>IF(SUMIFS('NSE - NIFTY Index Options'!$M:$M,'NSE - NIFTY Index Options'!$C:$C,$A119,'NSE - NIFTY Index Options'!$B:$B,C$4,'NSE - NIFTY Index Options'!$I:$I,"Monthly*")+SUMIFS('NSE - Other Index Options'!$M:$M,'NSE - Other Index Options'!$C:$C,$A119,'NSE - Other Index Options'!$B:$B,C$4,'NSE - Other Index Options'!$I:$I,"Monthly*")=0,"",SUMIFS('NSE - NIFTY Index Options'!$M:$M,'NSE - NIFTY Index Options'!$C:$C,$A119,'NSE - NIFTY Index Options'!$B:$B,C$4,'NSE - NIFTY Index Options'!$I:$I,"Monthly*")+SUMIFS('NSE - Other Index Options'!$M:$M,'NSE - Other Index Options'!$C:$C,$A119,'NSE - Other Index Options'!$B:$B,C$4,'NSE - Other Index Options'!$I:$I,"Monthly*"))</f>
        <v/>
      </c>
      <c r="D119" s="26">
        <f>IF(SUMIFS('NSE - NIFTY Index Options'!$M:$M,'NSE - NIFTY Index Options'!$C:$C,$A119,'NSE - NIFTY Index Options'!$B:$B,D$4,'NSE - NIFTY Index Options'!$I:$I,"Monthly*")+SUMIFS('NSE - Other Index Options'!$M:$M,'NSE - Other Index Options'!$C:$C,$A119,'NSE - Other Index Options'!$B:$B,D$4,'NSE - Other Index Options'!$I:$I,"Monthly*")=0,"",SUMIFS('NSE - NIFTY Index Options'!$M:$M,'NSE - NIFTY Index Options'!$C:$C,$A119,'NSE - NIFTY Index Options'!$B:$B,D$4,'NSE - NIFTY Index Options'!$I:$I,"Monthly*")+SUMIFS('NSE - Other Index Options'!$M:$M,'NSE - Other Index Options'!$C:$C,$A119,'NSE - Other Index Options'!$B:$B,D$4,'NSE - Other Index Options'!$I:$I,"Monthly*"))</f>
        <v/>
      </c>
      <c r="E119" s="26">
        <f>IF(SUMIFS('NSE - NIFTY Index Options'!$M:$M,'NSE - NIFTY Index Options'!$C:$C,$A119,'NSE - NIFTY Index Options'!$B:$B,E$4,'NSE - NIFTY Index Options'!$I:$I,"Monthly*")+SUMIFS('NSE - Other Index Options'!$M:$M,'NSE - Other Index Options'!$C:$C,$A119,'NSE - Other Index Options'!$B:$B,E$4,'NSE - Other Index Options'!$I:$I,"Monthly*")=0,"",SUMIFS('NSE - NIFTY Index Options'!$M:$M,'NSE - NIFTY Index Options'!$C:$C,$A119,'NSE - NIFTY Index Options'!$B:$B,E$4,'NSE - NIFTY Index Options'!$I:$I,"Monthly*")+SUMIFS('NSE - Other Index Options'!$M:$M,'NSE - Other Index Options'!$C:$C,$A119,'NSE - Other Index Options'!$B:$B,E$4,'NSE - Other Index Options'!$I:$I,"Monthly*"))</f>
        <v/>
      </c>
      <c r="F119" s="26">
        <f>IF(SUMIFS('NSE - NIFTY Index Options'!$M:$M,'NSE - NIFTY Index Options'!$C:$C,$A119,'NSE - NIFTY Index Options'!$B:$B,F$4,'NSE - NIFTY Index Options'!$I:$I,"Monthly*")+SUMIFS('NSE - Other Index Options'!$M:$M,'NSE - Other Index Options'!$C:$C,$A119,'NSE - Other Index Options'!$B:$B,F$4,'NSE - Other Index Options'!$I:$I,"Monthly*")=0,"",SUMIFS('NSE - NIFTY Index Options'!$M:$M,'NSE - NIFTY Index Options'!$C:$C,$A119,'NSE - NIFTY Index Options'!$B:$B,F$4,'NSE - NIFTY Index Options'!$I:$I,"Monthly*")+SUMIFS('NSE - Other Index Options'!$M:$M,'NSE - Other Index Options'!$C:$C,$A119,'NSE - Other Index Options'!$B:$B,F$4,'NSE - Other Index Options'!$I:$I,"Monthly*"))</f>
        <v/>
      </c>
      <c r="G119" s="26">
        <f>IF(SUMIFS('NSE - NIFTY Index Options'!$M:$M,'NSE - NIFTY Index Options'!$C:$C,$A119,'NSE - NIFTY Index Options'!$B:$B,G$4,'NSE - NIFTY Index Options'!$I:$I,"Monthly*")+SUMIFS('NSE - Other Index Options'!$M:$M,'NSE - Other Index Options'!$C:$C,$A119,'NSE - Other Index Options'!$B:$B,G$4,'NSE - Other Index Options'!$I:$I,"Monthly*")=0,"",SUMIFS('NSE - NIFTY Index Options'!$M:$M,'NSE - NIFTY Index Options'!$C:$C,$A119,'NSE - NIFTY Index Options'!$B:$B,G$4,'NSE - NIFTY Index Options'!$I:$I,"Monthly*")+SUMIFS('NSE - Other Index Options'!$M:$M,'NSE - Other Index Options'!$C:$C,$A119,'NSE - Other Index Options'!$B:$B,G$4,'NSE - Other Index Options'!$I:$I,"Monthly*"))</f>
        <v/>
      </c>
      <c r="H119" s="26">
        <f>IF(SUM(B119:G119)=0,"",SUM(B119:G119))</f>
        <v/>
      </c>
    </row>
    <row r="120" hidden="1" outlineLevel="1">
      <c r="A120" t="inlineStr">
        <is>
          <t>Week3-Aug-2027</t>
        </is>
      </c>
      <c r="B120" s="26">
        <f>IF(SUMIFS('NSE - NIFTY Index Options'!$M:$M,'NSE - NIFTY Index Options'!$C:$C,$A120,'NSE - NIFTY Index Options'!$B:$B,B$4,'NSE - NIFTY Index Options'!$I:$I,"Monthly*")+SUMIFS('NSE - Other Index Options'!$M:$M,'NSE - Other Index Options'!$C:$C,$A120,'NSE - Other Index Options'!$B:$B,B$4,'NSE - Other Index Options'!$I:$I,"Monthly*")=0,"",SUMIFS('NSE - NIFTY Index Options'!$M:$M,'NSE - NIFTY Index Options'!$C:$C,$A120,'NSE - NIFTY Index Options'!$B:$B,B$4,'NSE - NIFTY Index Options'!$I:$I,"Monthly*")+SUMIFS('NSE - Other Index Options'!$M:$M,'NSE - Other Index Options'!$C:$C,$A120,'NSE - Other Index Options'!$B:$B,B$4,'NSE - Other Index Options'!$I:$I,"Monthly*"))</f>
        <v/>
      </c>
      <c r="C120" s="26">
        <f>IF(SUMIFS('NSE - NIFTY Index Options'!$M:$M,'NSE - NIFTY Index Options'!$C:$C,$A120,'NSE - NIFTY Index Options'!$B:$B,C$4,'NSE - NIFTY Index Options'!$I:$I,"Monthly*")+SUMIFS('NSE - Other Index Options'!$M:$M,'NSE - Other Index Options'!$C:$C,$A120,'NSE - Other Index Options'!$B:$B,C$4,'NSE - Other Index Options'!$I:$I,"Monthly*")=0,"",SUMIFS('NSE - NIFTY Index Options'!$M:$M,'NSE - NIFTY Index Options'!$C:$C,$A120,'NSE - NIFTY Index Options'!$B:$B,C$4,'NSE - NIFTY Index Options'!$I:$I,"Monthly*")+SUMIFS('NSE - Other Index Options'!$M:$M,'NSE - Other Index Options'!$C:$C,$A120,'NSE - Other Index Options'!$B:$B,C$4,'NSE - Other Index Options'!$I:$I,"Monthly*"))</f>
        <v/>
      </c>
      <c r="D120" s="26">
        <f>IF(SUMIFS('NSE - NIFTY Index Options'!$M:$M,'NSE - NIFTY Index Options'!$C:$C,$A120,'NSE - NIFTY Index Options'!$B:$B,D$4,'NSE - NIFTY Index Options'!$I:$I,"Monthly*")+SUMIFS('NSE - Other Index Options'!$M:$M,'NSE - Other Index Options'!$C:$C,$A120,'NSE - Other Index Options'!$B:$B,D$4,'NSE - Other Index Options'!$I:$I,"Monthly*")=0,"",SUMIFS('NSE - NIFTY Index Options'!$M:$M,'NSE - NIFTY Index Options'!$C:$C,$A120,'NSE - NIFTY Index Options'!$B:$B,D$4,'NSE - NIFTY Index Options'!$I:$I,"Monthly*")+SUMIFS('NSE - Other Index Options'!$M:$M,'NSE - Other Index Options'!$C:$C,$A120,'NSE - Other Index Options'!$B:$B,D$4,'NSE - Other Index Options'!$I:$I,"Monthly*"))</f>
        <v/>
      </c>
      <c r="E120" s="26">
        <f>IF(SUMIFS('NSE - NIFTY Index Options'!$M:$M,'NSE - NIFTY Index Options'!$C:$C,$A120,'NSE - NIFTY Index Options'!$B:$B,E$4,'NSE - NIFTY Index Options'!$I:$I,"Monthly*")+SUMIFS('NSE - Other Index Options'!$M:$M,'NSE - Other Index Options'!$C:$C,$A120,'NSE - Other Index Options'!$B:$B,E$4,'NSE - Other Index Options'!$I:$I,"Monthly*")=0,"",SUMIFS('NSE - NIFTY Index Options'!$M:$M,'NSE - NIFTY Index Options'!$C:$C,$A120,'NSE - NIFTY Index Options'!$B:$B,E$4,'NSE - NIFTY Index Options'!$I:$I,"Monthly*")+SUMIFS('NSE - Other Index Options'!$M:$M,'NSE - Other Index Options'!$C:$C,$A120,'NSE - Other Index Options'!$B:$B,E$4,'NSE - Other Index Options'!$I:$I,"Monthly*"))</f>
        <v/>
      </c>
      <c r="F120" s="26">
        <f>IF(SUMIFS('NSE - NIFTY Index Options'!$M:$M,'NSE - NIFTY Index Options'!$C:$C,$A120,'NSE - NIFTY Index Options'!$B:$B,F$4,'NSE - NIFTY Index Options'!$I:$I,"Monthly*")+SUMIFS('NSE - Other Index Options'!$M:$M,'NSE - Other Index Options'!$C:$C,$A120,'NSE - Other Index Options'!$B:$B,F$4,'NSE - Other Index Options'!$I:$I,"Monthly*")=0,"",SUMIFS('NSE - NIFTY Index Options'!$M:$M,'NSE - NIFTY Index Options'!$C:$C,$A120,'NSE - NIFTY Index Options'!$B:$B,F$4,'NSE - NIFTY Index Options'!$I:$I,"Monthly*")+SUMIFS('NSE - Other Index Options'!$M:$M,'NSE - Other Index Options'!$C:$C,$A120,'NSE - Other Index Options'!$B:$B,F$4,'NSE - Other Index Options'!$I:$I,"Monthly*"))</f>
        <v/>
      </c>
      <c r="G120" s="26">
        <f>IF(SUMIFS('NSE - NIFTY Index Options'!$M:$M,'NSE - NIFTY Index Options'!$C:$C,$A120,'NSE - NIFTY Index Options'!$B:$B,G$4,'NSE - NIFTY Index Options'!$I:$I,"Monthly*")+SUMIFS('NSE - Other Index Options'!$M:$M,'NSE - Other Index Options'!$C:$C,$A120,'NSE - Other Index Options'!$B:$B,G$4,'NSE - Other Index Options'!$I:$I,"Monthly*")=0,"",SUMIFS('NSE - NIFTY Index Options'!$M:$M,'NSE - NIFTY Index Options'!$C:$C,$A120,'NSE - NIFTY Index Options'!$B:$B,G$4,'NSE - NIFTY Index Options'!$I:$I,"Monthly*")+SUMIFS('NSE - Other Index Options'!$M:$M,'NSE - Other Index Options'!$C:$C,$A120,'NSE - Other Index Options'!$B:$B,G$4,'NSE - Other Index Options'!$I:$I,"Monthly*"))</f>
        <v/>
      </c>
      <c r="H120" s="26">
        <f>IF(SUM(B120:G120)=0,"",SUM(B120:G120))</f>
        <v/>
      </c>
    </row>
    <row r="121" hidden="1" outlineLevel="1">
      <c r="A121" t="inlineStr">
        <is>
          <t>Week4-Aug-2027</t>
        </is>
      </c>
      <c r="B121" s="26">
        <f>IF(SUMIFS('NSE - NIFTY Index Options'!$M:$M,'NSE - NIFTY Index Options'!$C:$C,$A121,'NSE - NIFTY Index Options'!$B:$B,B$4,'NSE - NIFTY Index Options'!$I:$I,"Monthly*")+SUMIFS('NSE - Other Index Options'!$M:$M,'NSE - Other Index Options'!$C:$C,$A121,'NSE - Other Index Options'!$B:$B,B$4,'NSE - Other Index Options'!$I:$I,"Monthly*")=0,"",SUMIFS('NSE - NIFTY Index Options'!$M:$M,'NSE - NIFTY Index Options'!$C:$C,$A121,'NSE - NIFTY Index Options'!$B:$B,B$4,'NSE - NIFTY Index Options'!$I:$I,"Monthly*")+SUMIFS('NSE - Other Index Options'!$M:$M,'NSE - Other Index Options'!$C:$C,$A121,'NSE - Other Index Options'!$B:$B,B$4,'NSE - Other Index Options'!$I:$I,"Monthly*"))</f>
        <v/>
      </c>
      <c r="C121" s="26">
        <f>IF(SUMIFS('NSE - NIFTY Index Options'!$M:$M,'NSE - NIFTY Index Options'!$C:$C,$A121,'NSE - NIFTY Index Options'!$B:$B,C$4,'NSE - NIFTY Index Options'!$I:$I,"Monthly*")+SUMIFS('NSE - Other Index Options'!$M:$M,'NSE - Other Index Options'!$C:$C,$A121,'NSE - Other Index Options'!$B:$B,C$4,'NSE - Other Index Options'!$I:$I,"Monthly*")=0,"",SUMIFS('NSE - NIFTY Index Options'!$M:$M,'NSE - NIFTY Index Options'!$C:$C,$A121,'NSE - NIFTY Index Options'!$B:$B,C$4,'NSE - NIFTY Index Options'!$I:$I,"Monthly*")+SUMIFS('NSE - Other Index Options'!$M:$M,'NSE - Other Index Options'!$C:$C,$A121,'NSE - Other Index Options'!$B:$B,C$4,'NSE - Other Index Options'!$I:$I,"Monthly*"))</f>
        <v/>
      </c>
      <c r="D121" s="26">
        <f>IF(SUMIFS('NSE - NIFTY Index Options'!$M:$M,'NSE - NIFTY Index Options'!$C:$C,$A121,'NSE - NIFTY Index Options'!$B:$B,D$4,'NSE - NIFTY Index Options'!$I:$I,"Monthly*")+SUMIFS('NSE - Other Index Options'!$M:$M,'NSE - Other Index Options'!$C:$C,$A121,'NSE - Other Index Options'!$B:$B,D$4,'NSE - Other Index Options'!$I:$I,"Monthly*")=0,"",SUMIFS('NSE - NIFTY Index Options'!$M:$M,'NSE - NIFTY Index Options'!$C:$C,$A121,'NSE - NIFTY Index Options'!$B:$B,D$4,'NSE - NIFTY Index Options'!$I:$I,"Monthly*")+SUMIFS('NSE - Other Index Options'!$M:$M,'NSE - Other Index Options'!$C:$C,$A121,'NSE - Other Index Options'!$B:$B,D$4,'NSE - Other Index Options'!$I:$I,"Monthly*"))</f>
        <v/>
      </c>
      <c r="E121" s="26">
        <f>IF(SUMIFS('NSE - NIFTY Index Options'!$M:$M,'NSE - NIFTY Index Options'!$C:$C,$A121,'NSE - NIFTY Index Options'!$B:$B,E$4,'NSE - NIFTY Index Options'!$I:$I,"Monthly*")+SUMIFS('NSE - Other Index Options'!$M:$M,'NSE - Other Index Options'!$C:$C,$A121,'NSE - Other Index Options'!$B:$B,E$4,'NSE - Other Index Options'!$I:$I,"Monthly*")=0,"",SUMIFS('NSE - NIFTY Index Options'!$M:$M,'NSE - NIFTY Index Options'!$C:$C,$A121,'NSE - NIFTY Index Options'!$B:$B,E$4,'NSE - NIFTY Index Options'!$I:$I,"Monthly*")+SUMIFS('NSE - Other Index Options'!$M:$M,'NSE - Other Index Options'!$C:$C,$A121,'NSE - Other Index Options'!$B:$B,E$4,'NSE - Other Index Options'!$I:$I,"Monthly*"))</f>
        <v/>
      </c>
      <c r="F121" s="26">
        <f>IF(SUMIFS('NSE - NIFTY Index Options'!$M:$M,'NSE - NIFTY Index Options'!$C:$C,$A121,'NSE - NIFTY Index Options'!$B:$B,F$4,'NSE - NIFTY Index Options'!$I:$I,"Monthly*")+SUMIFS('NSE - Other Index Options'!$M:$M,'NSE - Other Index Options'!$C:$C,$A121,'NSE - Other Index Options'!$B:$B,F$4,'NSE - Other Index Options'!$I:$I,"Monthly*")=0,"",SUMIFS('NSE - NIFTY Index Options'!$M:$M,'NSE - NIFTY Index Options'!$C:$C,$A121,'NSE - NIFTY Index Options'!$B:$B,F$4,'NSE - NIFTY Index Options'!$I:$I,"Monthly*")+SUMIFS('NSE - Other Index Options'!$M:$M,'NSE - Other Index Options'!$C:$C,$A121,'NSE - Other Index Options'!$B:$B,F$4,'NSE - Other Index Options'!$I:$I,"Monthly*"))</f>
        <v/>
      </c>
      <c r="G121" s="26">
        <f>IF(SUMIFS('NSE - NIFTY Index Options'!$M:$M,'NSE - NIFTY Index Options'!$C:$C,$A121,'NSE - NIFTY Index Options'!$B:$B,G$4,'NSE - NIFTY Index Options'!$I:$I,"Monthly*")+SUMIFS('NSE - Other Index Options'!$M:$M,'NSE - Other Index Options'!$C:$C,$A121,'NSE - Other Index Options'!$B:$B,G$4,'NSE - Other Index Options'!$I:$I,"Monthly*")=0,"",SUMIFS('NSE - NIFTY Index Options'!$M:$M,'NSE - NIFTY Index Options'!$C:$C,$A121,'NSE - NIFTY Index Options'!$B:$B,G$4,'NSE - NIFTY Index Options'!$I:$I,"Monthly*")+SUMIFS('NSE - Other Index Options'!$M:$M,'NSE - Other Index Options'!$C:$C,$A121,'NSE - Other Index Options'!$B:$B,G$4,'NSE - Other Index Options'!$I:$I,"Monthly*"))</f>
        <v/>
      </c>
      <c r="H121" s="26">
        <f>IF(SUM(B121:G121)=0,"",SUM(B121:G121))</f>
        <v/>
      </c>
    </row>
    <row r="122" hidden="1" outlineLevel="1">
      <c r="A122" t="inlineStr">
        <is>
          <t>Week5-Aug-2027</t>
        </is>
      </c>
      <c r="B122" s="26">
        <f>IF(SUMIFS('NSE - NIFTY Index Options'!$M:$M,'NSE - NIFTY Index Options'!$C:$C,$A122,'NSE - NIFTY Index Options'!$B:$B,B$4,'NSE - NIFTY Index Options'!$I:$I,"Monthly*")+SUMIFS('NSE - Other Index Options'!$M:$M,'NSE - Other Index Options'!$C:$C,$A122,'NSE - Other Index Options'!$B:$B,B$4,'NSE - Other Index Options'!$I:$I,"Monthly*")=0,"",SUMIFS('NSE - NIFTY Index Options'!$M:$M,'NSE - NIFTY Index Options'!$C:$C,$A122,'NSE - NIFTY Index Options'!$B:$B,B$4,'NSE - NIFTY Index Options'!$I:$I,"Monthly*")+SUMIFS('NSE - Other Index Options'!$M:$M,'NSE - Other Index Options'!$C:$C,$A122,'NSE - Other Index Options'!$B:$B,B$4,'NSE - Other Index Options'!$I:$I,"Monthly*"))</f>
        <v/>
      </c>
      <c r="C122" s="26">
        <f>IF(SUMIFS('NSE - NIFTY Index Options'!$M:$M,'NSE - NIFTY Index Options'!$C:$C,$A122,'NSE - NIFTY Index Options'!$B:$B,C$4,'NSE - NIFTY Index Options'!$I:$I,"Monthly*")+SUMIFS('NSE - Other Index Options'!$M:$M,'NSE - Other Index Options'!$C:$C,$A122,'NSE - Other Index Options'!$B:$B,C$4,'NSE - Other Index Options'!$I:$I,"Monthly*")=0,"",SUMIFS('NSE - NIFTY Index Options'!$M:$M,'NSE - NIFTY Index Options'!$C:$C,$A122,'NSE - NIFTY Index Options'!$B:$B,C$4,'NSE - NIFTY Index Options'!$I:$I,"Monthly*")+SUMIFS('NSE - Other Index Options'!$M:$M,'NSE - Other Index Options'!$C:$C,$A122,'NSE - Other Index Options'!$B:$B,C$4,'NSE - Other Index Options'!$I:$I,"Monthly*"))</f>
        <v/>
      </c>
      <c r="D122" s="26">
        <f>IF(SUMIFS('NSE - NIFTY Index Options'!$M:$M,'NSE - NIFTY Index Options'!$C:$C,$A122,'NSE - NIFTY Index Options'!$B:$B,D$4,'NSE - NIFTY Index Options'!$I:$I,"Monthly*")+SUMIFS('NSE - Other Index Options'!$M:$M,'NSE - Other Index Options'!$C:$C,$A122,'NSE - Other Index Options'!$B:$B,D$4,'NSE - Other Index Options'!$I:$I,"Monthly*")=0,"",SUMIFS('NSE - NIFTY Index Options'!$M:$M,'NSE - NIFTY Index Options'!$C:$C,$A122,'NSE - NIFTY Index Options'!$B:$B,D$4,'NSE - NIFTY Index Options'!$I:$I,"Monthly*")+SUMIFS('NSE - Other Index Options'!$M:$M,'NSE - Other Index Options'!$C:$C,$A122,'NSE - Other Index Options'!$B:$B,D$4,'NSE - Other Index Options'!$I:$I,"Monthly*"))</f>
        <v/>
      </c>
      <c r="E122" s="26">
        <f>IF(SUMIFS('NSE - NIFTY Index Options'!$M:$M,'NSE - NIFTY Index Options'!$C:$C,$A122,'NSE - NIFTY Index Options'!$B:$B,E$4,'NSE - NIFTY Index Options'!$I:$I,"Monthly*")+SUMIFS('NSE - Other Index Options'!$M:$M,'NSE - Other Index Options'!$C:$C,$A122,'NSE - Other Index Options'!$B:$B,E$4,'NSE - Other Index Options'!$I:$I,"Monthly*")=0,"",SUMIFS('NSE - NIFTY Index Options'!$M:$M,'NSE - NIFTY Index Options'!$C:$C,$A122,'NSE - NIFTY Index Options'!$B:$B,E$4,'NSE - NIFTY Index Options'!$I:$I,"Monthly*")+SUMIFS('NSE - Other Index Options'!$M:$M,'NSE - Other Index Options'!$C:$C,$A122,'NSE - Other Index Options'!$B:$B,E$4,'NSE - Other Index Options'!$I:$I,"Monthly*"))</f>
        <v/>
      </c>
      <c r="F122" s="26">
        <f>IF(SUMIFS('NSE - NIFTY Index Options'!$M:$M,'NSE - NIFTY Index Options'!$C:$C,$A122,'NSE - NIFTY Index Options'!$B:$B,F$4,'NSE - NIFTY Index Options'!$I:$I,"Monthly*")+SUMIFS('NSE - Other Index Options'!$M:$M,'NSE - Other Index Options'!$C:$C,$A122,'NSE - Other Index Options'!$B:$B,F$4,'NSE - Other Index Options'!$I:$I,"Monthly*")=0,"",SUMIFS('NSE - NIFTY Index Options'!$M:$M,'NSE - NIFTY Index Options'!$C:$C,$A122,'NSE - NIFTY Index Options'!$B:$B,F$4,'NSE - NIFTY Index Options'!$I:$I,"Monthly*")+SUMIFS('NSE - Other Index Options'!$M:$M,'NSE - Other Index Options'!$C:$C,$A122,'NSE - Other Index Options'!$B:$B,F$4,'NSE - Other Index Options'!$I:$I,"Monthly*"))</f>
        <v/>
      </c>
      <c r="G122" s="26">
        <f>IF(SUMIFS('NSE - NIFTY Index Options'!$M:$M,'NSE - NIFTY Index Options'!$C:$C,$A122,'NSE - NIFTY Index Options'!$B:$B,G$4,'NSE - NIFTY Index Options'!$I:$I,"Monthly*")+SUMIFS('NSE - Other Index Options'!$M:$M,'NSE - Other Index Options'!$C:$C,$A122,'NSE - Other Index Options'!$B:$B,G$4,'NSE - Other Index Options'!$I:$I,"Monthly*")=0,"",SUMIFS('NSE - NIFTY Index Options'!$M:$M,'NSE - NIFTY Index Options'!$C:$C,$A122,'NSE - NIFTY Index Options'!$B:$B,G$4,'NSE - NIFTY Index Options'!$I:$I,"Monthly*")+SUMIFS('NSE - Other Index Options'!$M:$M,'NSE - Other Index Options'!$C:$C,$A122,'NSE - Other Index Options'!$B:$B,G$4,'NSE - Other Index Options'!$I:$I,"Monthly*"))</f>
        <v/>
      </c>
      <c r="H122" s="26">
        <f>IF(SUM(B122:G122)=0,"",SUM(B122:G122))</f>
        <v/>
      </c>
    </row>
    <row r="123" hidden="1" outlineLevel="1">
      <c r="A123" t="inlineStr">
        <is>
          <t>Week1-Sep-2027</t>
        </is>
      </c>
      <c r="B123" s="26">
        <f>IF(SUMIFS('NSE - NIFTY Index Options'!$M:$M,'NSE - NIFTY Index Options'!$C:$C,$A123,'NSE - NIFTY Index Options'!$B:$B,B$4,'NSE - NIFTY Index Options'!$I:$I,"Monthly*")+SUMIFS('NSE - Other Index Options'!$M:$M,'NSE - Other Index Options'!$C:$C,$A123,'NSE - Other Index Options'!$B:$B,B$4,'NSE - Other Index Options'!$I:$I,"Monthly*")=0,"",SUMIFS('NSE - NIFTY Index Options'!$M:$M,'NSE - NIFTY Index Options'!$C:$C,$A123,'NSE - NIFTY Index Options'!$B:$B,B$4,'NSE - NIFTY Index Options'!$I:$I,"Monthly*")+SUMIFS('NSE - Other Index Options'!$M:$M,'NSE - Other Index Options'!$C:$C,$A123,'NSE - Other Index Options'!$B:$B,B$4,'NSE - Other Index Options'!$I:$I,"Monthly*"))</f>
        <v/>
      </c>
      <c r="C123" s="26">
        <f>IF(SUMIFS('NSE - NIFTY Index Options'!$M:$M,'NSE - NIFTY Index Options'!$C:$C,$A123,'NSE - NIFTY Index Options'!$B:$B,C$4,'NSE - NIFTY Index Options'!$I:$I,"Monthly*")+SUMIFS('NSE - Other Index Options'!$M:$M,'NSE - Other Index Options'!$C:$C,$A123,'NSE - Other Index Options'!$B:$B,C$4,'NSE - Other Index Options'!$I:$I,"Monthly*")=0,"",SUMIFS('NSE - NIFTY Index Options'!$M:$M,'NSE - NIFTY Index Options'!$C:$C,$A123,'NSE - NIFTY Index Options'!$B:$B,C$4,'NSE - NIFTY Index Options'!$I:$I,"Monthly*")+SUMIFS('NSE - Other Index Options'!$M:$M,'NSE - Other Index Options'!$C:$C,$A123,'NSE - Other Index Options'!$B:$B,C$4,'NSE - Other Index Options'!$I:$I,"Monthly*"))</f>
        <v/>
      </c>
      <c r="D123" s="26">
        <f>IF(SUMIFS('NSE - NIFTY Index Options'!$M:$M,'NSE - NIFTY Index Options'!$C:$C,$A123,'NSE - NIFTY Index Options'!$B:$B,D$4,'NSE - NIFTY Index Options'!$I:$I,"Monthly*")+SUMIFS('NSE - Other Index Options'!$M:$M,'NSE - Other Index Options'!$C:$C,$A123,'NSE - Other Index Options'!$B:$B,D$4,'NSE - Other Index Options'!$I:$I,"Monthly*")=0,"",SUMIFS('NSE - NIFTY Index Options'!$M:$M,'NSE - NIFTY Index Options'!$C:$C,$A123,'NSE - NIFTY Index Options'!$B:$B,D$4,'NSE - NIFTY Index Options'!$I:$I,"Monthly*")+SUMIFS('NSE - Other Index Options'!$M:$M,'NSE - Other Index Options'!$C:$C,$A123,'NSE - Other Index Options'!$B:$B,D$4,'NSE - Other Index Options'!$I:$I,"Monthly*"))</f>
        <v/>
      </c>
      <c r="E123" s="26">
        <f>IF(SUMIFS('NSE - NIFTY Index Options'!$M:$M,'NSE - NIFTY Index Options'!$C:$C,$A123,'NSE - NIFTY Index Options'!$B:$B,E$4,'NSE - NIFTY Index Options'!$I:$I,"Monthly*")+SUMIFS('NSE - Other Index Options'!$M:$M,'NSE - Other Index Options'!$C:$C,$A123,'NSE - Other Index Options'!$B:$B,E$4,'NSE - Other Index Options'!$I:$I,"Monthly*")=0,"",SUMIFS('NSE - NIFTY Index Options'!$M:$M,'NSE - NIFTY Index Options'!$C:$C,$A123,'NSE - NIFTY Index Options'!$B:$B,E$4,'NSE - NIFTY Index Options'!$I:$I,"Monthly*")+SUMIFS('NSE - Other Index Options'!$M:$M,'NSE - Other Index Options'!$C:$C,$A123,'NSE - Other Index Options'!$B:$B,E$4,'NSE - Other Index Options'!$I:$I,"Monthly*"))</f>
        <v/>
      </c>
      <c r="F123" s="26">
        <f>IF(SUMIFS('NSE - NIFTY Index Options'!$M:$M,'NSE - NIFTY Index Options'!$C:$C,$A123,'NSE - NIFTY Index Options'!$B:$B,F$4,'NSE - NIFTY Index Options'!$I:$I,"Monthly*")+SUMIFS('NSE - Other Index Options'!$M:$M,'NSE - Other Index Options'!$C:$C,$A123,'NSE - Other Index Options'!$B:$B,F$4,'NSE - Other Index Options'!$I:$I,"Monthly*")=0,"",SUMIFS('NSE - NIFTY Index Options'!$M:$M,'NSE - NIFTY Index Options'!$C:$C,$A123,'NSE - NIFTY Index Options'!$B:$B,F$4,'NSE - NIFTY Index Options'!$I:$I,"Monthly*")+SUMIFS('NSE - Other Index Options'!$M:$M,'NSE - Other Index Options'!$C:$C,$A123,'NSE - Other Index Options'!$B:$B,F$4,'NSE - Other Index Options'!$I:$I,"Monthly*"))</f>
        <v/>
      </c>
      <c r="G123" s="26">
        <f>IF(SUMIFS('NSE - NIFTY Index Options'!$M:$M,'NSE - NIFTY Index Options'!$C:$C,$A123,'NSE - NIFTY Index Options'!$B:$B,G$4,'NSE - NIFTY Index Options'!$I:$I,"Monthly*")+SUMIFS('NSE - Other Index Options'!$M:$M,'NSE - Other Index Options'!$C:$C,$A123,'NSE - Other Index Options'!$B:$B,G$4,'NSE - Other Index Options'!$I:$I,"Monthly*")=0,"",SUMIFS('NSE - NIFTY Index Options'!$M:$M,'NSE - NIFTY Index Options'!$C:$C,$A123,'NSE - NIFTY Index Options'!$B:$B,G$4,'NSE - NIFTY Index Options'!$I:$I,"Monthly*")+SUMIFS('NSE - Other Index Options'!$M:$M,'NSE - Other Index Options'!$C:$C,$A123,'NSE - Other Index Options'!$B:$B,G$4,'NSE - Other Index Options'!$I:$I,"Monthly*"))</f>
        <v/>
      </c>
      <c r="H123" s="26">
        <f>IF(SUM(B123:G123)=0,"",SUM(B123:G123))</f>
        <v/>
      </c>
    </row>
    <row r="124" hidden="1" outlineLevel="1">
      <c r="A124" t="inlineStr">
        <is>
          <t>Week2-Sep-2027</t>
        </is>
      </c>
      <c r="B124" s="26">
        <f>IF(SUMIFS('NSE - NIFTY Index Options'!$M:$M,'NSE - NIFTY Index Options'!$C:$C,$A124,'NSE - NIFTY Index Options'!$B:$B,B$4,'NSE - NIFTY Index Options'!$I:$I,"Monthly*")+SUMIFS('NSE - Other Index Options'!$M:$M,'NSE - Other Index Options'!$C:$C,$A124,'NSE - Other Index Options'!$B:$B,B$4,'NSE - Other Index Options'!$I:$I,"Monthly*")=0,"",SUMIFS('NSE - NIFTY Index Options'!$M:$M,'NSE - NIFTY Index Options'!$C:$C,$A124,'NSE - NIFTY Index Options'!$B:$B,B$4,'NSE - NIFTY Index Options'!$I:$I,"Monthly*")+SUMIFS('NSE - Other Index Options'!$M:$M,'NSE - Other Index Options'!$C:$C,$A124,'NSE - Other Index Options'!$B:$B,B$4,'NSE - Other Index Options'!$I:$I,"Monthly*"))</f>
        <v/>
      </c>
      <c r="C124" s="26">
        <f>IF(SUMIFS('NSE - NIFTY Index Options'!$M:$M,'NSE - NIFTY Index Options'!$C:$C,$A124,'NSE - NIFTY Index Options'!$B:$B,C$4,'NSE - NIFTY Index Options'!$I:$I,"Monthly*")+SUMIFS('NSE - Other Index Options'!$M:$M,'NSE - Other Index Options'!$C:$C,$A124,'NSE - Other Index Options'!$B:$B,C$4,'NSE - Other Index Options'!$I:$I,"Monthly*")=0,"",SUMIFS('NSE - NIFTY Index Options'!$M:$M,'NSE - NIFTY Index Options'!$C:$C,$A124,'NSE - NIFTY Index Options'!$B:$B,C$4,'NSE - NIFTY Index Options'!$I:$I,"Monthly*")+SUMIFS('NSE - Other Index Options'!$M:$M,'NSE - Other Index Options'!$C:$C,$A124,'NSE - Other Index Options'!$B:$B,C$4,'NSE - Other Index Options'!$I:$I,"Monthly*"))</f>
        <v/>
      </c>
      <c r="D124" s="26">
        <f>IF(SUMIFS('NSE - NIFTY Index Options'!$M:$M,'NSE - NIFTY Index Options'!$C:$C,$A124,'NSE - NIFTY Index Options'!$B:$B,D$4,'NSE - NIFTY Index Options'!$I:$I,"Monthly*")+SUMIFS('NSE - Other Index Options'!$M:$M,'NSE - Other Index Options'!$C:$C,$A124,'NSE - Other Index Options'!$B:$B,D$4,'NSE - Other Index Options'!$I:$I,"Monthly*")=0,"",SUMIFS('NSE - NIFTY Index Options'!$M:$M,'NSE - NIFTY Index Options'!$C:$C,$A124,'NSE - NIFTY Index Options'!$B:$B,D$4,'NSE - NIFTY Index Options'!$I:$I,"Monthly*")+SUMIFS('NSE - Other Index Options'!$M:$M,'NSE - Other Index Options'!$C:$C,$A124,'NSE - Other Index Options'!$B:$B,D$4,'NSE - Other Index Options'!$I:$I,"Monthly*"))</f>
        <v/>
      </c>
      <c r="E124" s="26">
        <f>IF(SUMIFS('NSE - NIFTY Index Options'!$M:$M,'NSE - NIFTY Index Options'!$C:$C,$A124,'NSE - NIFTY Index Options'!$B:$B,E$4,'NSE - NIFTY Index Options'!$I:$I,"Monthly*")+SUMIFS('NSE - Other Index Options'!$M:$M,'NSE - Other Index Options'!$C:$C,$A124,'NSE - Other Index Options'!$B:$B,E$4,'NSE - Other Index Options'!$I:$I,"Monthly*")=0,"",SUMIFS('NSE - NIFTY Index Options'!$M:$M,'NSE - NIFTY Index Options'!$C:$C,$A124,'NSE - NIFTY Index Options'!$B:$B,E$4,'NSE - NIFTY Index Options'!$I:$I,"Monthly*")+SUMIFS('NSE - Other Index Options'!$M:$M,'NSE - Other Index Options'!$C:$C,$A124,'NSE - Other Index Options'!$B:$B,E$4,'NSE - Other Index Options'!$I:$I,"Monthly*"))</f>
        <v/>
      </c>
      <c r="F124" s="26">
        <f>IF(SUMIFS('NSE - NIFTY Index Options'!$M:$M,'NSE - NIFTY Index Options'!$C:$C,$A124,'NSE - NIFTY Index Options'!$B:$B,F$4,'NSE - NIFTY Index Options'!$I:$I,"Monthly*")+SUMIFS('NSE - Other Index Options'!$M:$M,'NSE - Other Index Options'!$C:$C,$A124,'NSE - Other Index Options'!$B:$B,F$4,'NSE - Other Index Options'!$I:$I,"Monthly*")=0,"",SUMIFS('NSE - NIFTY Index Options'!$M:$M,'NSE - NIFTY Index Options'!$C:$C,$A124,'NSE - NIFTY Index Options'!$B:$B,F$4,'NSE - NIFTY Index Options'!$I:$I,"Monthly*")+SUMIFS('NSE - Other Index Options'!$M:$M,'NSE - Other Index Options'!$C:$C,$A124,'NSE - Other Index Options'!$B:$B,F$4,'NSE - Other Index Options'!$I:$I,"Monthly*"))</f>
        <v/>
      </c>
      <c r="G124" s="26">
        <f>IF(SUMIFS('NSE - NIFTY Index Options'!$M:$M,'NSE - NIFTY Index Options'!$C:$C,$A124,'NSE - NIFTY Index Options'!$B:$B,G$4,'NSE - NIFTY Index Options'!$I:$I,"Monthly*")+SUMIFS('NSE - Other Index Options'!$M:$M,'NSE - Other Index Options'!$C:$C,$A124,'NSE - Other Index Options'!$B:$B,G$4,'NSE - Other Index Options'!$I:$I,"Monthly*")=0,"",SUMIFS('NSE - NIFTY Index Options'!$M:$M,'NSE - NIFTY Index Options'!$C:$C,$A124,'NSE - NIFTY Index Options'!$B:$B,G$4,'NSE - NIFTY Index Options'!$I:$I,"Monthly*")+SUMIFS('NSE - Other Index Options'!$M:$M,'NSE - Other Index Options'!$C:$C,$A124,'NSE - Other Index Options'!$B:$B,G$4,'NSE - Other Index Options'!$I:$I,"Monthly*"))</f>
        <v/>
      </c>
      <c r="H124" s="26">
        <f>IF(SUM(B124:G124)=0,"",SUM(B124:G124))</f>
        <v/>
      </c>
    </row>
    <row r="125" hidden="1" outlineLevel="1">
      <c r="A125" t="inlineStr">
        <is>
          <t>Week3-Sep-2027</t>
        </is>
      </c>
      <c r="B125" s="26">
        <f>IF(SUMIFS('NSE - NIFTY Index Options'!$M:$M,'NSE - NIFTY Index Options'!$C:$C,$A125,'NSE - NIFTY Index Options'!$B:$B,B$4,'NSE - NIFTY Index Options'!$I:$I,"Monthly*")+SUMIFS('NSE - Other Index Options'!$M:$M,'NSE - Other Index Options'!$C:$C,$A125,'NSE - Other Index Options'!$B:$B,B$4,'NSE - Other Index Options'!$I:$I,"Monthly*")=0,"",SUMIFS('NSE - NIFTY Index Options'!$M:$M,'NSE - NIFTY Index Options'!$C:$C,$A125,'NSE - NIFTY Index Options'!$B:$B,B$4,'NSE - NIFTY Index Options'!$I:$I,"Monthly*")+SUMIFS('NSE - Other Index Options'!$M:$M,'NSE - Other Index Options'!$C:$C,$A125,'NSE - Other Index Options'!$B:$B,B$4,'NSE - Other Index Options'!$I:$I,"Monthly*"))</f>
        <v/>
      </c>
      <c r="C125" s="26">
        <f>IF(SUMIFS('NSE - NIFTY Index Options'!$M:$M,'NSE - NIFTY Index Options'!$C:$C,$A125,'NSE - NIFTY Index Options'!$B:$B,C$4,'NSE - NIFTY Index Options'!$I:$I,"Monthly*")+SUMIFS('NSE - Other Index Options'!$M:$M,'NSE - Other Index Options'!$C:$C,$A125,'NSE - Other Index Options'!$B:$B,C$4,'NSE - Other Index Options'!$I:$I,"Monthly*")=0,"",SUMIFS('NSE - NIFTY Index Options'!$M:$M,'NSE - NIFTY Index Options'!$C:$C,$A125,'NSE - NIFTY Index Options'!$B:$B,C$4,'NSE - NIFTY Index Options'!$I:$I,"Monthly*")+SUMIFS('NSE - Other Index Options'!$M:$M,'NSE - Other Index Options'!$C:$C,$A125,'NSE - Other Index Options'!$B:$B,C$4,'NSE - Other Index Options'!$I:$I,"Monthly*"))</f>
        <v/>
      </c>
      <c r="D125" s="26">
        <f>IF(SUMIFS('NSE - NIFTY Index Options'!$M:$M,'NSE - NIFTY Index Options'!$C:$C,$A125,'NSE - NIFTY Index Options'!$B:$B,D$4,'NSE - NIFTY Index Options'!$I:$I,"Monthly*")+SUMIFS('NSE - Other Index Options'!$M:$M,'NSE - Other Index Options'!$C:$C,$A125,'NSE - Other Index Options'!$B:$B,D$4,'NSE - Other Index Options'!$I:$I,"Monthly*")=0,"",SUMIFS('NSE - NIFTY Index Options'!$M:$M,'NSE - NIFTY Index Options'!$C:$C,$A125,'NSE - NIFTY Index Options'!$B:$B,D$4,'NSE - NIFTY Index Options'!$I:$I,"Monthly*")+SUMIFS('NSE - Other Index Options'!$M:$M,'NSE - Other Index Options'!$C:$C,$A125,'NSE - Other Index Options'!$B:$B,D$4,'NSE - Other Index Options'!$I:$I,"Monthly*"))</f>
        <v/>
      </c>
      <c r="E125" s="26">
        <f>IF(SUMIFS('NSE - NIFTY Index Options'!$M:$M,'NSE - NIFTY Index Options'!$C:$C,$A125,'NSE - NIFTY Index Options'!$B:$B,E$4,'NSE - NIFTY Index Options'!$I:$I,"Monthly*")+SUMIFS('NSE - Other Index Options'!$M:$M,'NSE - Other Index Options'!$C:$C,$A125,'NSE - Other Index Options'!$B:$B,E$4,'NSE - Other Index Options'!$I:$I,"Monthly*")=0,"",SUMIFS('NSE - NIFTY Index Options'!$M:$M,'NSE - NIFTY Index Options'!$C:$C,$A125,'NSE - NIFTY Index Options'!$B:$B,E$4,'NSE - NIFTY Index Options'!$I:$I,"Monthly*")+SUMIFS('NSE - Other Index Options'!$M:$M,'NSE - Other Index Options'!$C:$C,$A125,'NSE - Other Index Options'!$B:$B,E$4,'NSE - Other Index Options'!$I:$I,"Monthly*"))</f>
        <v/>
      </c>
      <c r="F125" s="26">
        <f>IF(SUMIFS('NSE - NIFTY Index Options'!$M:$M,'NSE - NIFTY Index Options'!$C:$C,$A125,'NSE - NIFTY Index Options'!$B:$B,F$4,'NSE - NIFTY Index Options'!$I:$I,"Monthly*")+SUMIFS('NSE - Other Index Options'!$M:$M,'NSE - Other Index Options'!$C:$C,$A125,'NSE - Other Index Options'!$B:$B,F$4,'NSE - Other Index Options'!$I:$I,"Monthly*")=0,"",SUMIFS('NSE - NIFTY Index Options'!$M:$M,'NSE - NIFTY Index Options'!$C:$C,$A125,'NSE - NIFTY Index Options'!$B:$B,F$4,'NSE - NIFTY Index Options'!$I:$I,"Monthly*")+SUMIFS('NSE - Other Index Options'!$M:$M,'NSE - Other Index Options'!$C:$C,$A125,'NSE - Other Index Options'!$B:$B,F$4,'NSE - Other Index Options'!$I:$I,"Monthly*"))</f>
        <v/>
      </c>
      <c r="G125" s="26">
        <f>IF(SUMIFS('NSE - NIFTY Index Options'!$M:$M,'NSE - NIFTY Index Options'!$C:$C,$A125,'NSE - NIFTY Index Options'!$B:$B,G$4,'NSE - NIFTY Index Options'!$I:$I,"Monthly*")+SUMIFS('NSE - Other Index Options'!$M:$M,'NSE - Other Index Options'!$C:$C,$A125,'NSE - Other Index Options'!$B:$B,G$4,'NSE - Other Index Options'!$I:$I,"Monthly*")=0,"",SUMIFS('NSE - NIFTY Index Options'!$M:$M,'NSE - NIFTY Index Options'!$C:$C,$A125,'NSE - NIFTY Index Options'!$B:$B,G$4,'NSE - NIFTY Index Options'!$I:$I,"Monthly*")+SUMIFS('NSE - Other Index Options'!$M:$M,'NSE - Other Index Options'!$C:$C,$A125,'NSE - Other Index Options'!$B:$B,G$4,'NSE - Other Index Options'!$I:$I,"Monthly*"))</f>
        <v/>
      </c>
      <c r="H125" s="26">
        <f>IF(SUM(B125:G125)=0,"",SUM(B125:G125))</f>
        <v/>
      </c>
    </row>
    <row r="126" hidden="1" outlineLevel="1">
      <c r="A126" t="inlineStr">
        <is>
          <t>Week4-Sep-2027</t>
        </is>
      </c>
      <c r="B126" s="26">
        <f>IF(SUMIFS('NSE - NIFTY Index Options'!$M:$M,'NSE - NIFTY Index Options'!$C:$C,$A126,'NSE - NIFTY Index Options'!$B:$B,B$4,'NSE - NIFTY Index Options'!$I:$I,"Monthly*")+SUMIFS('NSE - Other Index Options'!$M:$M,'NSE - Other Index Options'!$C:$C,$A126,'NSE - Other Index Options'!$B:$B,B$4,'NSE - Other Index Options'!$I:$I,"Monthly*")=0,"",SUMIFS('NSE - NIFTY Index Options'!$M:$M,'NSE - NIFTY Index Options'!$C:$C,$A126,'NSE - NIFTY Index Options'!$B:$B,B$4,'NSE - NIFTY Index Options'!$I:$I,"Monthly*")+SUMIFS('NSE - Other Index Options'!$M:$M,'NSE - Other Index Options'!$C:$C,$A126,'NSE - Other Index Options'!$B:$B,B$4,'NSE - Other Index Options'!$I:$I,"Monthly*"))</f>
        <v/>
      </c>
      <c r="C126" s="26">
        <f>IF(SUMIFS('NSE - NIFTY Index Options'!$M:$M,'NSE - NIFTY Index Options'!$C:$C,$A126,'NSE - NIFTY Index Options'!$B:$B,C$4,'NSE - NIFTY Index Options'!$I:$I,"Monthly*")+SUMIFS('NSE - Other Index Options'!$M:$M,'NSE - Other Index Options'!$C:$C,$A126,'NSE - Other Index Options'!$B:$B,C$4,'NSE - Other Index Options'!$I:$I,"Monthly*")=0,"",SUMIFS('NSE - NIFTY Index Options'!$M:$M,'NSE - NIFTY Index Options'!$C:$C,$A126,'NSE - NIFTY Index Options'!$B:$B,C$4,'NSE - NIFTY Index Options'!$I:$I,"Monthly*")+SUMIFS('NSE - Other Index Options'!$M:$M,'NSE - Other Index Options'!$C:$C,$A126,'NSE - Other Index Options'!$B:$B,C$4,'NSE - Other Index Options'!$I:$I,"Monthly*"))</f>
        <v/>
      </c>
      <c r="D126" s="26">
        <f>IF(SUMIFS('NSE - NIFTY Index Options'!$M:$M,'NSE - NIFTY Index Options'!$C:$C,$A126,'NSE - NIFTY Index Options'!$B:$B,D$4,'NSE - NIFTY Index Options'!$I:$I,"Monthly*")+SUMIFS('NSE - Other Index Options'!$M:$M,'NSE - Other Index Options'!$C:$C,$A126,'NSE - Other Index Options'!$B:$B,D$4,'NSE - Other Index Options'!$I:$I,"Monthly*")=0,"",SUMIFS('NSE - NIFTY Index Options'!$M:$M,'NSE - NIFTY Index Options'!$C:$C,$A126,'NSE - NIFTY Index Options'!$B:$B,D$4,'NSE - NIFTY Index Options'!$I:$I,"Monthly*")+SUMIFS('NSE - Other Index Options'!$M:$M,'NSE - Other Index Options'!$C:$C,$A126,'NSE - Other Index Options'!$B:$B,D$4,'NSE - Other Index Options'!$I:$I,"Monthly*"))</f>
        <v/>
      </c>
      <c r="E126" s="26">
        <f>IF(SUMIFS('NSE - NIFTY Index Options'!$M:$M,'NSE - NIFTY Index Options'!$C:$C,$A126,'NSE - NIFTY Index Options'!$B:$B,E$4,'NSE - NIFTY Index Options'!$I:$I,"Monthly*")+SUMIFS('NSE - Other Index Options'!$M:$M,'NSE - Other Index Options'!$C:$C,$A126,'NSE - Other Index Options'!$B:$B,E$4,'NSE - Other Index Options'!$I:$I,"Monthly*")=0,"",SUMIFS('NSE - NIFTY Index Options'!$M:$M,'NSE - NIFTY Index Options'!$C:$C,$A126,'NSE - NIFTY Index Options'!$B:$B,E$4,'NSE - NIFTY Index Options'!$I:$I,"Monthly*")+SUMIFS('NSE - Other Index Options'!$M:$M,'NSE - Other Index Options'!$C:$C,$A126,'NSE - Other Index Options'!$B:$B,E$4,'NSE - Other Index Options'!$I:$I,"Monthly*"))</f>
        <v/>
      </c>
      <c r="F126" s="26">
        <f>IF(SUMIFS('NSE - NIFTY Index Options'!$M:$M,'NSE - NIFTY Index Options'!$C:$C,$A126,'NSE - NIFTY Index Options'!$B:$B,F$4,'NSE - NIFTY Index Options'!$I:$I,"Monthly*")+SUMIFS('NSE - Other Index Options'!$M:$M,'NSE - Other Index Options'!$C:$C,$A126,'NSE - Other Index Options'!$B:$B,F$4,'NSE - Other Index Options'!$I:$I,"Monthly*")=0,"",SUMIFS('NSE - NIFTY Index Options'!$M:$M,'NSE - NIFTY Index Options'!$C:$C,$A126,'NSE - NIFTY Index Options'!$B:$B,F$4,'NSE - NIFTY Index Options'!$I:$I,"Monthly*")+SUMIFS('NSE - Other Index Options'!$M:$M,'NSE - Other Index Options'!$C:$C,$A126,'NSE - Other Index Options'!$B:$B,F$4,'NSE - Other Index Options'!$I:$I,"Monthly*"))</f>
        <v/>
      </c>
      <c r="G126" s="26">
        <f>IF(SUMIFS('NSE - NIFTY Index Options'!$M:$M,'NSE - NIFTY Index Options'!$C:$C,$A126,'NSE - NIFTY Index Options'!$B:$B,G$4,'NSE - NIFTY Index Options'!$I:$I,"Monthly*")+SUMIFS('NSE - Other Index Options'!$M:$M,'NSE - Other Index Options'!$C:$C,$A126,'NSE - Other Index Options'!$B:$B,G$4,'NSE - Other Index Options'!$I:$I,"Monthly*")=0,"",SUMIFS('NSE - NIFTY Index Options'!$M:$M,'NSE - NIFTY Index Options'!$C:$C,$A126,'NSE - NIFTY Index Options'!$B:$B,G$4,'NSE - NIFTY Index Options'!$I:$I,"Monthly*")+SUMIFS('NSE - Other Index Options'!$M:$M,'NSE - Other Index Options'!$C:$C,$A126,'NSE - Other Index Options'!$B:$B,G$4,'NSE - Other Index Options'!$I:$I,"Monthly*"))</f>
        <v/>
      </c>
      <c r="H126" s="26">
        <f>IF(SUM(B126:G126)=0,"",SUM(B126:G126))</f>
        <v/>
      </c>
    </row>
    <row r="127" hidden="1" outlineLevel="1">
      <c r="A127" t="inlineStr">
        <is>
          <t>Week5-Sep-2027</t>
        </is>
      </c>
      <c r="B127" s="26">
        <f>IF(SUMIFS('NSE - NIFTY Index Options'!$M:$M,'NSE - NIFTY Index Options'!$C:$C,$A127,'NSE - NIFTY Index Options'!$B:$B,B$4,'NSE - NIFTY Index Options'!$I:$I,"Monthly*")+SUMIFS('NSE - Other Index Options'!$M:$M,'NSE - Other Index Options'!$C:$C,$A127,'NSE - Other Index Options'!$B:$B,B$4,'NSE - Other Index Options'!$I:$I,"Monthly*")=0,"",SUMIFS('NSE - NIFTY Index Options'!$M:$M,'NSE - NIFTY Index Options'!$C:$C,$A127,'NSE - NIFTY Index Options'!$B:$B,B$4,'NSE - NIFTY Index Options'!$I:$I,"Monthly*")+SUMIFS('NSE - Other Index Options'!$M:$M,'NSE - Other Index Options'!$C:$C,$A127,'NSE - Other Index Options'!$B:$B,B$4,'NSE - Other Index Options'!$I:$I,"Monthly*"))</f>
        <v/>
      </c>
      <c r="C127" s="26">
        <f>IF(SUMIFS('NSE - NIFTY Index Options'!$M:$M,'NSE - NIFTY Index Options'!$C:$C,$A127,'NSE - NIFTY Index Options'!$B:$B,C$4,'NSE - NIFTY Index Options'!$I:$I,"Monthly*")+SUMIFS('NSE - Other Index Options'!$M:$M,'NSE - Other Index Options'!$C:$C,$A127,'NSE - Other Index Options'!$B:$B,C$4,'NSE - Other Index Options'!$I:$I,"Monthly*")=0,"",SUMIFS('NSE - NIFTY Index Options'!$M:$M,'NSE - NIFTY Index Options'!$C:$C,$A127,'NSE - NIFTY Index Options'!$B:$B,C$4,'NSE - NIFTY Index Options'!$I:$I,"Monthly*")+SUMIFS('NSE - Other Index Options'!$M:$M,'NSE - Other Index Options'!$C:$C,$A127,'NSE - Other Index Options'!$B:$B,C$4,'NSE - Other Index Options'!$I:$I,"Monthly*"))</f>
        <v/>
      </c>
      <c r="D127" s="26">
        <f>IF(SUMIFS('NSE - NIFTY Index Options'!$M:$M,'NSE - NIFTY Index Options'!$C:$C,$A127,'NSE - NIFTY Index Options'!$B:$B,D$4,'NSE - NIFTY Index Options'!$I:$I,"Monthly*")+SUMIFS('NSE - Other Index Options'!$M:$M,'NSE - Other Index Options'!$C:$C,$A127,'NSE - Other Index Options'!$B:$B,D$4,'NSE - Other Index Options'!$I:$I,"Monthly*")=0,"",SUMIFS('NSE - NIFTY Index Options'!$M:$M,'NSE - NIFTY Index Options'!$C:$C,$A127,'NSE - NIFTY Index Options'!$B:$B,D$4,'NSE - NIFTY Index Options'!$I:$I,"Monthly*")+SUMIFS('NSE - Other Index Options'!$M:$M,'NSE - Other Index Options'!$C:$C,$A127,'NSE - Other Index Options'!$B:$B,D$4,'NSE - Other Index Options'!$I:$I,"Monthly*"))</f>
        <v/>
      </c>
      <c r="E127" s="26">
        <f>IF(SUMIFS('NSE - NIFTY Index Options'!$M:$M,'NSE - NIFTY Index Options'!$C:$C,$A127,'NSE - NIFTY Index Options'!$B:$B,E$4,'NSE - NIFTY Index Options'!$I:$I,"Monthly*")+SUMIFS('NSE - Other Index Options'!$M:$M,'NSE - Other Index Options'!$C:$C,$A127,'NSE - Other Index Options'!$B:$B,E$4,'NSE - Other Index Options'!$I:$I,"Monthly*")=0,"",SUMIFS('NSE - NIFTY Index Options'!$M:$M,'NSE - NIFTY Index Options'!$C:$C,$A127,'NSE - NIFTY Index Options'!$B:$B,E$4,'NSE - NIFTY Index Options'!$I:$I,"Monthly*")+SUMIFS('NSE - Other Index Options'!$M:$M,'NSE - Other Index Options'!$C:$C,$A127,'NSE - Other Index Options'!$B:$B,E$4,'NSE - Other Index Options'!$I:$I,"Monthly*"))</f>
        <v/>
      </c>
      <c r="F127" s="26">
        <f>IF(SUMIFS('NSE - NIFTY Index Options'!$M:$M,'NSE - NIFTY Index Options'!$C:$C,$A127,'NSE - NIFTY Index Options'!$B:$B,F$4,'NSE - NIFTY Index Options'!$I:$I,"Monthly*")+SUMIFS('NSE - Other Index Options'!$M:$M,'NSE - Other Index Options'!$C:$C,$A127,'NSE - Other Index Options'!$B:$B,F$4,'NSE - Other Index Options'!$I:$I,"Monthly*")=0,"",SUMIFS('NSE - NIFTY Index Options'!$M:$M,'NSE - NIFTY Index Options'!$C:$C,$A127,'NSE - NIFTY Index Options'!$B:$B,F$4,'NSE - NIFTY Index Options'!$I:$I,"Monthly*")+SUMIFS('NSE - Other Index Options'!$M:$M,'NSE - Other Index Options'!$C:$C,$A127,'NSE - Other Index Options'!$B:$B,F$4,'NSE - Other Index Options'!$I:$I,"Monthly*"))</f>
        <v/>
      </c>
      <c r="G127" s="26">
        <f>IF(SUMIFS('NSE - NIFTY Index Options'!$M:$M,'NSE - NIFTY Index Options'!$C:$C,$A127,'NSE - NIFTY Index Options'!$B:$B,G$4,'NSE - NIFTY Index Options'!$I:$I,"Monthly*")+SUMIFS('NSE - Other Index Options'!$M:$M,'NSE - Other Index Options'!$C:$C,$A127,'NSE - Other Index Options'!$B:$B,G$4,'NSE - Other Index Options'!$I:$I,"Monthly*")=0,"",SUMIFS('NSE - NIFTY Index Options'!$M:$M,'NSE - NIFTY Index Options'!$C:$C,$A127,'NSE - NIFTY Index Options'!$B:$B,G$4,'NSE - NIFTY Index Options'!$I:$I,"Monthly*")+SUMIFS('NSE - Other Index Options'!$M:$M,'NSE - Other Index Options'!$C:$C,$A127,'NSE - Other Index Options'!$B:$B,G$4,'NSE - Other Index Options'!$I:$I,"Monthly*"))</f>
        <v/>
      </c>
      <c r="H127" s="26">
        <f>IF(SUM(B127:G127)=0,"",SUM(B127:G127))</f>
        <v/>
      </c>
    </row>
    <row r="128" hidden="1" outlineLevel="1">
      <c r="A128" t="inlineStr">
        <is>
          <t>Week1-Oct-2027</t>
        </is>
      </c>
      <c r="B128" s="26">
        <f>IF(SUMIFS('NSE - NIFTY Index Options'!$M:$M,'NSE - NIFTY Index Options'!$C:$C,$A128,'NSE - NIFTY Index Options'!$B:$B,B$4,'NSE - NIFTY Index Options'!$I:$I,"Monthly*")+SUMIFS('NSE - Other Index Options'!$M:$M,'NSE - Other Index Options'!$C:$C,$A128,'NSE - Other Index Options'!$B:$B,B$4,'NSE - Other Index Options'!$I:$I,"Monthly*")=0,"",SUMIFS('NSE - NIFTY Index Options'!$M:$M,'NSE - NIFTY Index Options'!$C:$C,$A128,'NSE - NIFTY Index Options'!$B:$B,B$4,'NSE - NIFTY Index Options'!$I:$I,"Monthly*")+SUMIFS('NSE - Other Index Options'!$M:$M,'NSE - Other Index Options'!$C:$C,$A128,'NSE - Other Index Options'!$B:$B,B$4,'NSE - Other Index Options'!$I:$I,"Monthly*"))</f>
        <v/>
      </c>
      <c r="C128" s="26">
        <f>IF(SUMIFS('NSE - NIFTY Index Options'!$M:$M,'NSE - NIFTY Index Options'!$C:$C,$A128,'NSE - NIFTY Index Options'!$B:$B,C$4,'NSE - NIFTY Index Options'!$I:$I,"Monthly*")+SUMIFS('NSE - Other Index Options'!$M:$M,'NSE - Other Index Options'!$C:$C,$A128,'NSE - Other Index Options'!$B:$B,C$4,'NSE - Other Index Options'!$I:$I,"Monthly*")=0,"",SUMIFS('NSE - NIFTY Index Options'!$M:$M,'NSE - NIFTY Index Options'!$C:$C,$A128,'NSE - NIFTY Index Options'!$B:$B,C$4,'NSE - NIFTY Index Options'!$I:$I,"Monthly*")+SUMIFS('NSE - Other Index Options'!$M:$M,'NSE - Other Index Options'!$C:$C,$A128,'NSE - Other Index Options'!$B:$B,C$4,'NSE - Other Index Options'!$I:$I,"Monthly*"))</f>
        <v/>
      </c>
      <c r="D128" s="26">
        <f>IF(SUMIFS('NSE - NIFTY Index Options'!$M:$M,'NSE - NIFTY Index Options'!$C:$C,$A128,'NSE - NIFTY Index Options'!$B:$B,D$4,'NSE - NIFTY Index Options'!$I:$I,"Monthly*")+SUMIFS('NSE - Other Index Options'!$M:$M,'NSE - Other Index Options'!$C:$C,$A128,'NSE - Other Index Options'!$B:$B,D$4,'NSE - Other Index Options'!$I:$I,"Monthly*")=0,"",SUMIFS('NSE - NIFTY Index Options'!$M:$M,'NSE - NIFTY Index Options'!$C:$C,$A128,'NSE - NIFTY Index Options'!$B:$B,D$4,'NSE - NIFTY Index Options'!$I:$I,"Monthly*")+SUMIFS('NSE - Other Index Options'!$M:$M,'NSE - Other Index Options'!$C:$C,$A128,'NSE - Other Index Options'!$B:$B,D$4,'NSE - Other Index Options'!$I:$I,"Monthly*"))</f>
        <v/>
      </c>
      <c r="E128" s="26">
        <f>IF(SUMIFS('NSE - NIFTY Index Options'!$M:$M,'NSE - NIFTY Index Options'!$C:$C,$A128,'NSE - NIFTY Index Options'!$B:$B,E$4,'NSE - NIFTY Index Options'!$I:$I,"Monthly*")+SUMIFS('NSE - Other Index Options'!$M:$M,'NSE - Other Index Options'!$C:$C,$A128,'NSE - Other Index Options'!$B:$B,E$4,'NSE - Other Index Options'!$I:$I,"Monthly*")=0,"",SUMIFS('NSE - NIFTY Index Options'!$M:$M,'NSE - NIFTY Index Options'!$C:$C,$A128,'NSE - NIFTY Index Options'!$B:$B,E$4,'NSE - NIFTY Index Options'!$I:$I,"Monthly*")+SUMIFS('NSE - Other Index Options'!$M:$M,'NSE - Other Index Options'!$C:$C,$A128,'NSE - Other Index Options'!$B:$B,E$4,'NSE - Other Index Options'!$I:$I,"Monthly*"))</f>
        <v/>
      </c>
      <c r="F128" s="26">
        <f>IF(SUMIFS('NSE - NIFTY Index Options'!$M:$M,'NSE - NIFTY Index Options'!$C:$C,$A128,'NSE - NIFTY Index Options'!$B:$B,F$4,'NSE - NIFTY Index Options'!$I:$I,"Monthly*")+SUMIFS('NSE - Other Index Options'!$M:$M,'NSE - Other Index Options'!$C:$C,$A128,'NSE - Other Index Options'!$B:$B,F$4,'NSE - Other Index Options'!$I:$I,"Monthly*")=0,"",SUMIFS('NSE - NIFTY Index Options'!$M:$M,'NSE - NIFTY Index Options'!$C:$C,$A128,'NSE - NIFTY Index Options'!$B:$B,F$4,'NSE - NIFTY Index Options'!$I:$I,"Monthly*")+SUMIFS('NSE - Other Index Options'!$M:$M,'NSE - Other Index Options'!$C:$C,$A128,'NSE - Other Index Options'!$B:$B,F$4,'NSE - Other Index Options'!$I:$I,"Monthly*"))</f>
        <v/>
      </c>
      <c r="G128" s="26">
        <f>IF(SUMIFS('NSE - NIFTY Index Options'!$M:$M,'NSE - NIFTY Index Options'!$C:$C,$A128,'NSE - NIFTY Index Options'!$B:$B,G$4,'NSE - NIFTY Index Options'!$I:$I,"Monthly*")+SUMIFS('NSE - Other Index Options'!$M:$M,'NSE - Other Index Options'!$C:$C,$A128,'NSE - Other Index Options'!$B:$B,G$4,'NSE - Other Index Options'!$I:$I,"Monthly*")=0,"",SUMIFS('NSE - NIFTY Index Options'!$M:$M,'NSE - NIFTY Index Options'!$C:$C,$A128,'NSE - NIFTY Index Options'!$B:$B,G$4,'NSE - NIFTY Index Options'!$I:$I,"Monthly*")+SUMIFS('NSE - Other Index Options'!$M:$M,'NSE - Other Index Options'!$C:$C,$A128,'NSE - Other Index Options'!$B:$B,G$4,'NSE - Other Index Options'!$I:$I,"Monthly*"))</f>
        <v/>
      </c>
      <c r="H128" s="26">
        <f>IF(SUM(B128:G128)=0,"",SUM(B128:G128))</f>
        <v/>
      </c>
    </row>
    <row r="129" hidden="1" outlineLevel="1">
      <c r="A129" t="inlineStr">
        <is>
          <t>Week2-Oct-2027</t>
        </is>
      </c>
      <c r="B129" s="26">
        <f>IF(SUMIFS('NSE - NIFTY Index Options'!$M:$M,'NSE - NIFTY Index Options'!$C:$C,$A129,'NSE - NIFTY Index Options'!$B:$B,B$4,'NSE - NIFTY Index Options'!$I:$I,"Monthly*")+SUMIFS('NSE - Other Index Options'!$M:$M,'NSE - Other Index Options'!$C:$C,$A129,'NSE - Other Index Options'!$B:$B,B$4,'NSE - Other Index Options'!$I:$I,"Monthly*")=0,"",SUMIFS('NSE - NIFTY Index Options'!$M:$M,'NSE - NIFTY Index Options'!$C:$C,$A129,'NSE - NIFTY Index Options'!$B:$B,B$4,'NSE - NIFTY Index Options'!$I:$I,"Monthly*")+SUMIFS('NSE - Other Index Options'!$M:$M,'NSE - Other Index Options'!$C:$C,$A129,'NSE - Other Index Options'!$B:$B,B$4,'NSE - Other Index Options'!$I:$I,"Monthly*"))</f>
        <v/>
      </c>
      <c r="C129" s="26">
        <f>IF(SUMIFS('NSE - NIFTY Index Options'!$M:$M,'NSE - NIFTY Index Options'!$C:$C,$A129,'NSE - NIFTY Index Options'!$B:$B,C$4,'NSE - NIFTY Index Options'!$I:$I,"Monthly*")+SUMIFS('NSE - Other Index Options'!$M:$M,'NSE - Other Index Options'!$C:$C,$A129,'NSE - Other Index Options'!$B:$B,C$4,'NSE - Other Index Options'!$I:$I,"Monthly*")=0,"",SUMIFS('NSE - NIFTY Index Options'!$M:$M,'NSE - NIFTY Index Options'!$C:$C,$A129,'NSE - NIFTY Index Options'!$B:$B,C$4,'NSE - NIFTY Index Options'!$I:$I,"Monthly*")+SUMIFS('NSE - Other Index Options'!$M:$M,'NSE - Other Index Options'!$C:$C,$A129,'NSE - Other Index Options'!$B:$B,C$4,'NSE - Other Index Options'!$I:$I,"Monthly*"))</f>
        <v/>
      </c>
      <c r="D129" s="26">
        <f>IF(SUMIFS('NSE - NIFTY Index Options'!$M:$M,'NSE - NIFTY Index Options'!$C:$C,$A129,'NSE - NIFTY Index Options'!$B:$B,D$4,'NSE - NIFTY Index Options'!$I:$I,"Monthly*")+SUMIFS('NSE - Other Index Options'!$M:$M,'NSE - Other Index Options'!$C:$C,$A129,'NSE - Other Index Options'!$B:$B,D$4,'NSE - Other Index Options'!$I:$I,"Monthly*")=0,"",SUMIFS('NSE - NIFTY Index Options'!$M:$M,'NSE - NIFTY Index Options'!$C:$C,$A129,'NSE - NIFTY Index Options'!$B:$B,D$4,'NSE - NIFTY Index Options'!$I:$I,"Monthly*")+SUMIFS('NSE - Other Index Options'!$M:$M,'NSE - Other Index Options'!$C:$C,$A129,'NSE - Other Index Options'!$B:$B,D$4,'NSE - Other Index Options'!$I:$I,"Monthly*"))</f>
        <v/>
      </c>
      <c r="E129" s="26">
        <f>IF(SUMIFS('NSE - NIFTY Index Options'!$M:$M,'NSE - NIFTY Index Options'!$C:$C,$A129,'NSE - NIFTY Index Options'!$B:$B,E$4,'NSE - NIFTY Index Options'!$I:$I,"Monthly*")+SUMIFS('NSE - Other Index Options'!$M:$M,'NSE - Other Index Options'!$C:$C,$A129,'NSE - Other Index Options'!$B:$B,E$4,'NSE - Other Index Options'!$I:$I,"Monthly*")=0,"",SUMIFS('NSE - NIFTY Index Options'!$M:$M,'NSE - NIFTY Index Options'!$C:$C,$A129,'NSE - NIFTY Index Options'!$B:$B,E$4,'NSE - NIFTY Index Options'!$I:$I,"Monthly*")+SUMIFS('NSE - Other Index Options'!$M:$M,'NSE - Other Index Options'!$C:$C,$A129,'NSE - Other Index Options'!$B:$B,E$4,'NSE - Other Index Options'!$I:$I,"Monthly*"))</f>
        <v/>
      </c>
      <c r="F129" s="26">
        <f>IF(SUMIFS('NSE - NIFTY Index Options'!$M:$M,'NSE - NIFTY Index Options'!$C:$C,$A129,'NSE - NIFTY Index Options'!$B:$B,F$4,'NSE - NIFTY Index Options'!$I:$I,"Monthly*")+SUMIFS('NSE - Other Index Options'!$M:$M,'NSE - Other Index Options'!$C:$C,$A129,'NSE - Other Index Options'!$B:$B,F$4,'NSE - Other Index Options'!$I:$I,"Monthly*")=0,"",SUMIFS('NSE - NIFTY Index Options'!$M:$M,'NSE - NIFTY Index Options'!$C:$C,$A129,'NSE - NIFTY Index Options'!$B:$B,F$4,'NSE - NIFTY Index Options'!$I:$I,"Monthly*")+SUMIFS('NSE - Other Index Options'!$M:$M,'NSE - Other Index Options'!$C:$C,$A129,'NSE - Other Index Options'!$B:$B,F$4,'NSE - Other Index Options'!$I:$I,"Monthly*"))</f>
        <v/>
      </c>
      <c r="G129" s="26">
        <f>IF(SUMIFS('NSE - NIFTY Index Options'!$M:$M,'NSE - NIFTY Index Options'!$C:$C,$A129,'NSE - NIFTY Index Options'!$B:$B,G$4,'NSE - NIFTY Index Options'!$I:$I,"Monthly*")+SUMIFS('NSE - Other Index Options'!$M:$M,'NSE - Other Index Options'!$C:$C,$A129,'NSE - Other Index Options'!$B:$B,G$4,'NSE - Other Index Options'!$I:$I,"Monthly*")=0,"",SUMIFS('NSE - NIFTY Index Options'!$M:$M,'NSE - NIFTY Index Options'!$C:$C,$A129,'NSE - NIFTY Index Options'!$B:$B,G$4,'NSE - NIFTY Index Options'!$I:$I,"Monthly*")+SUMIFS('NSE - Other Index Options'!$M:$M,'NSE - Other Index Options'!$C:$C,$A129,'NSE - Other Index Options'!$B:$B,G$4,'NSE - Other Index Options'!$I:$I,"Monthly*"))</f>
        <v/>
      </c>
      <c r="H129" s="26">
        <f>IF(SUM(B129:G129)=0,"",SUM(B129:G129))</f>
        <v/>
      </c>
    </row>
    <row r="130" hidden="1" outlineLevel="1">
      <c r="A130" t="inlineStr">
        <is>
          <t>Week3-Oct-2027</t>
        </is>
      </c>
      <c r="B130" s="26">
        <f>IF(SUMIFS('NSE - NIFTY Index Options'!$M:$M,'NSE - NIFTY Index Options'!$C:$C,$A130,'NSE - NIFTY Index Options'!$B:$B,B$4,'NSE - NIFTY Index Options'!$I:$I,"Monthly*")+SUMIFS('NSE - Other Index Options'!$M:$M,'NSE - Other Index Options'!$C:$C,$A130,'NSE - Other Index Options'!$B:$B,B$4,'NSE - Other Index Options'!$I:$I,"Monthly*")=0,"",SUMIFS('NSE - NIFTY Index Options'!$M:$M,'NSE - NIFTY Index Options'!$C:$C,$A130,'NSE - NIFTY Index Options'!$B:$B,B$4,'NSE - NIFTY Index Options'!$I:$I,"Monthly*")+SUMIFS('NSE - Other Index Options'!$M:$M,'NSE - Other Index Options'!$C:$C,$A130,'NSE - Other Index Options'!$B:$B,B$4,'NSE - Other Index Options'!$I:$I,"Monthly*"))</f>
        <v/>
      </c>
      <c r="C130" s="26">
        <f>IF(SUMIFS('NSE - NIFTY Index Options'!$M:$M,'NSE - NIFTY Index Options'!$C:$C,$A130,'NSE - NIFTY Index Options'!$B:$B,C$4,'NSE - NIFTY Index Options'!$I:$I,"Monthly*")+SUMIFS('NSE - Other Index Options'!$M:$M,'NSE - Other Index Options'!$C:$C,$A130,'NSE - Other Index Options'!$B:$B,C$4,'NSE - Other Index Options'!$I:$I,"Monthly*")=0,"",SUMIFS('NSE - NIFTY Index Options'!$M:$M,'NSE - NIFTY Index Options'!$C:$C,$A130,'NSE - NIFTY Index Options'!$B:$B,C$4,'NSE - NIFTY Index Options'!$I:$I,"Monthly*")+SUMIFS('NSE - Other Index Options'!$M:$M,'NSE - Other Index Options'!$C:$C,$A130,'NSE - Other Index Options'!$B:$B,C$4,'NSE - Other Index Options'!$I:$I,"Monthly*"))</f>
        <v/>
      </c>
      <c r="D130" s="26">
        <f>IF(SUMIFS('NSE - NIFTY Index Options'!$M:$M,'NSE - NIFTY Index Options'!$C:$C,$A130,'NSE - NIFTY Index Options'!$B:$B,D$4,'NSE - NIFTY Index Options'!$I:$I,"Monthly*")+SUMIFS('NSE - Other Index Options'!$M:$M,'NSE - Other Index Options'!$C:$C,$A130,'NSE - Other Index Options'!$B:$B,D$4,'NSE - Other Index Options'!$I:$I,"Monthly*")=0,"",SUMIFS('NSE - NIFTY Index Options'!$M:$M,'NSE - NIFTY Index Options'!$C:$C,$A130,'NSE - NIFTY Index Options'!$B:$B,D$4,'NSE - NIFTY Index Options'!$I:$I,"Monthly*")+SUMIFS('NSE - Other Index Options'!$M:$M,'NSE - Other Index Options'!$C:$C,$A130,'NSE - Other Index Options'!$B:$B,D$4,'NSE - Other Index Options'!$I:$I,"Monthly*"))</f>
        <v/>
      </c>
      <c r="E130" s="26">
        <f>IF(SUMIFS('NSE - NIFTY Index Options'!$M:$M,'NSE - NIFTY Index Options'!$C:$C,$A130,'NSE - NIFTY Index Options'!$B:$B,E$4,'NSE - NIFTY Index Options'!$I:$I,"Monthly*")+SUMIFS('NSE - Other Index Options'!$M:$M,'NSE - Other Index Options'!$C:$C,$A130,'NSE - Other Index Options'!$B:$B,E$4,'NSE - Other Index Options'!$I:$I,"Monthly*")=0,"",SUMIFS('NSE - NIFTY Index Options'!$M:$M,'NSE - NIFTY Index Options'!$C:$C,$A130,'NSE - NIFTY Index Options'!$B:$B,E$4,'NSE - NIFTY Index Options'!$I:$I,"Monthly*")+SUMIFS('NSE - Other Index Options'!$M:$M,'NSE - Other Index Options'!$C:$C,$A130,'NSE - Other Index Options'!$B:$B,E$4,'NSE - Other Index Options'!$I:$I,"Monthly*"))</f>
        <v/>
      </c>
      <c r="F130" s="26">
        <f>IF(SUMIFS('NSE - NIFTY Index Options'!$M:$M,'NSE - NIFTY Index Options'!$C:$C,$A130,'NSE - NIFTY Index Options'!$B:$B,F$4,'NSE - NIFTY Index Options'!$I:$I,"Monthly*")+SUMIFS('NSE - Other Index Options'!$M:$M,'NSE - Other Index Options'!$C:$C,$A130,'NSE - Other Index Options'!$B:$B,F$4,'NSE - Other Index Options'!$I:$I,"Monthly*")=0,"",SUMIFS('NSE - NIFTY Index Options'!$M:$M,'NSE - NIFTY Index Options'!$C:$C,$A130,'NSE - NIFTY Index Options'!$B:$B,F$4,'NSE - NIFTY Index Options'!$I:$I,"Monthly*")+SUMIFS('NSE - Other Index Options'!$M:$M,'NSE - Other Index Options'!$C:$C,$A130,'NSE - Other Index Options'!$B:$B,F$4,'NSE - Other Index Options'!$I:$I,"Monthly*"))</f>
        <v/>
      </c>
      <c r="G130" s="26">
        <f>IF(SUMIFS('NSE - NIFTY Index Options'!$M:$M,'NSE - NIFTY Index Options'!$C:$C,$A130,'NSE - NIFTY Index Options'!$B:$B,G$4,'NSE - NIFTY Index Options'!$I:$I,"Monthly*")+SUMIFS('NSE - Other Index Options'!$M:$M,'NSE - Other Index Options'!$C:$C,$A130,'NSE - Other Index Options'!$B:$B,G$4,'NSE - Other Index Options'!$I:$I,"Monthly*")=0,"",SUMIFS('NSE - NIFTY Index Options'!$M:$M,'NSE - NIFTY Index Options'!$C:$C,$A130,'NSE - NIFTY Index Options'!$B:$B,G$4,'NSE - NIFTY Index Options'!$I:$I,"Monthly*")+SUMIFS('NSE - Other Index Options'!$M:$M,'NSE - Other Index Options'!$C:$C,$A130,'NSE - Other Index Options'!$B:$B,G$4,'NSE - Other Index Options'!$I:$I,"Monthly*"))</f>
        <v/>
      </c>
      <c r="H130" s="26">
        <f>IF(SUM(B130:G130)=0,"",SUM(B130:G130))</f>
        <v/>
      </c>
    </row>
    <row r="131" hidden="1" outlineLevel="1">
      <c r="A131" t="inlineStr">
        <is>
          <t>Week4-Oct-2027</t>
        </is>
      </c>
      <c r="B131" s="26">
        <f>IF(SUMIFS('NSE - NIFTY Index Options'!$M:$M,'NSE - NIFTY Index Options'!$C:$C,$A131,'NSE - NIFTY Index Options'!$B:$B,B$4,'NSE - NIFTY Index Options'!$I:$I,"Monthly*")+SUMIFS('NSE - Other Index Options'!$M:$M,'NSE - Other Index Options'!$C:$C,$A131,'NSE - Other Index Options'!$B:$B,B$4,'NSE - Other Index Options'!$I:$I,"Monthly*")=0,"",SUMIFS('NSE - NIFTY Index Options'!$M:$M,'NSE - NIFTY Index Options'!$C:$C,$A131,'NSE - NIFTY Index Options'!$B:$B,B$4,'NSE - NIFTY Index Options'!$I:$I,"Monthly*")+SUMIFS('NSE - Other Index Options'!$M:$M,'NSE - Other Index Options'!$C:$C,$A131,'NSE - Other Index Options'!$B:$B,B$4,'NSE - Other Index Options'!$I:$I,"Monthly*"))</f>
        <v/>
      </c>
      <c r="C131" s="26">
        <f>IF(SUMIFS('NSE - NIFTY Index Options'!$M:$M,'NSE - NIFTY Index Options'!$C:$C,$A131,'NSE - NIFTY Index Options'!$B:$B,C$4,'NSE - NIFTY Index Options'!$I:$I,"Monthly*")+SUMIFS('NSE - Other Index Options'!$M:$M,'NSE - Other Index Options'!$C:$C,$A131,'NSE - Other Index Options'!$B:$B,C$4,'NSE - Other Index Options'!$I:$I,"Monthly*")=0,"",SUMIFS('NSE - NIFTY Index Options'!$M:$M,'NSE - NIFTY Index Options'!$C:$C,$A131,'NSE - NIFTY Index Options'!$B:$B,C$4,'NSE - NIFTY Index Options'!$I:$I,"Monthly*")+SUMIFS('NSE - Other Index Options'!$M:$M,'NSE - Other Index Options'!$C:$C,$A131,'NSE - Other Index Options'!$B:$B,C$4,'NSE - Other Index Options'!$I:$I,"Monthly*"))</f>
        <v/>
      </c>
      <c r="D131" s="26">
        <f>IF(SUMIFS('NSE - NIFTY Index Options'!$M:$M,'NSE - NIFTY Index Options'!$C:$C,$A131,'NSE - NIFTY Index Options'!$B:$B,D$4,'NSE - NIFTY Index Options'!$I:$I,"Monthly*")+SUMIFS('NSE - Other Index Options'!$M:$M,'NSE - Other Index Options'!$C:$C,$A131,'NSE - Other Index Options'!$B:$B,D$4,'NSE - Other Index Options'!$I:$I,"Monthly*")=0,"",SUMIFS('NSE - NIFTY Index Options'!$M:$M,'NSE - NIFTY Index Options'!$C:$C,$A131,'NSE - NIFTY Index Options'!$B:$B,D$4,'NSE - NIFTY Index Options'!$I:$I,"Monthly*")+SUMIFS('NSE - Other Index Options'!$M:$M,'NSE - Other Index Options'!$C:$C,$A131,'NSE - Other Index Options'!$B:$B,D$4,'NSE - Other Index Options'!$I:$I,"Monthly*"))</f>
        <v/>
      </c>
      <c r="E131" s="26">
        <f>IF(SUMIFS('NSE - NIFTY Index Options'!$M:$M,'NSE - NIFTY Index Options'!$C:$C,$A131,'NSE - NIFTY Index Options'!$B:$B,E$4,'NSE - NIFTY Index Options'!$I:$I,"Monthly*")+SUMIFS('NSE - Other Index Options'!$M:$M,'NSE - Other Index Options'!$C:$C,$A131,'NSE - Other Index Options'!$B:$B,E$4,'NSE - Other Index Options'!$I:$I,"Monthly*")=0,"",SUMIFS('NSE - NIFTY Index Options'!$M:$M,'NSE - NIFTY Index Options'!$C:$C,$A131,'NSE - NIFTY Index Options'!$B:$B,E$4,'NSE - NIFTY Index Options'!$I:$I,"Monthly*")+SUMIFS('NSE - Other Index Options'!$M:$M,'NSE - Other Index Options'!$C:$C,$A131,'NSE - Other Index Options'!$B:$B,E$4,'NSE - Other Index Options'!$I:$I,"Monthly*"))</f>
        <v/>
      </c>
      <c r="F131" s="26">
        <f>IF(SUMIFS('NSE - NIFTY Index Options'!$M:$M,'NSE - NIFTY Index Options'!$C:$C,$A131,'NSE - NIFTY Index Options'!$B:$B,F$4,'NSE - NIFTY Index Options'!$I:$I,"Monthly*")+SUMIFS('NSE - Other Index Options'!$M:$M,'NSE - Other Index Options'!$C:$C,$A131,'NSE - Other Index Options'!$B:$B,F$4,'NSE - Other Index Options'!$I:$I,"Monthly*")=0,"",SUMIFS('NSE - NIFTY Index Options'!$M:$M,'NSE - NIFTY Index Options'!$C:$C,$A131,'NSE - NIFTY Index Options'!$B:$B,F$4,'NSE - NIFTY Index Options'!$I:$I,"Monthly*")+SUMIFS('NSE - Other Index Options'!$M:$M,'NSE - Other Index Options'!$C:$C,$A131,'NSE - Other Index Options'!$B:$B,F$4,'NSE - Other Index Options'!$I:$I,"Monthly*"))</f>
        <v/>
      </c>
      <c r="G131" s="26">
        <f>IF(SUMIFS('NSE - NIFTY Index Options'!$M:$M,'NSE - NIFTY Index Options'!$C:$C,$A131,'NSE - NIFTY Index Options'!$B:$B,G$4,'NSE - NIFTY Index Options'!$I:$I,"Monthly*")+SUMIFS('NSE - Other Index Options'!$M:$M,'NSE - Other Index Options'!$C:$C,$A131,'NSE - Other Index Options'!$B:$B,G$4,'NSE - Other Index Options'!$I:$I,"Monthly*")=0,"",SUMIFS('NSE - NIFTY Index Options'!$M:$M,'NSE - NIFTY Index Options'!$C:$C,$A131,'NSE - NIFTY Index Options'!$B:$B,G$4,'NSE - NIFTY Index Options'!$I:$I,"Monthly*")+SUMIFS('NSE - Other Index Options'!$M:$M,'NSE - Other Index Options'!$C:$C,$A131,'NSE - Other Index Options'!$B:$B,G$4,'NSE - Other Index Options'!$I:$I,"Monthly*"))</f>
        <v/>
      </c>
      <c r="H131" s="26">
        <f>IF(SUM(B131:G131)=0,"",SUM(B131:G131))</f>
        <v/>
      </c>
    </row>
    <row r="132" hidden="1" outlineLevel="1">
      <c r="A132" t="inlineStr">
        <is>
          <t>Week5-Oct-2027</t>
        </is>
      </c>
      <c r="B132" s="26">
        <f>IF(SUMIFS('NSE - NIFTY Index Options'!$M:$M,'NSE - NIFTY Index Options'!$C:$C,$A132,'NSE - NIFTY Index Options'!$B:$B,B$4,'NSE - NIFTY Index Options'!$I:$I,"Monthly*")+SUMIFS('NSE - Other Index Options'!$M:$M,'NSE - Other Index Options'!$C:$C,$A132,'NSE - Other Index Options'!$B:$B,B$4,'NSE - Other Index Options'!$I:$I,"Monthly*")=0,"",SUMIFS('NSE - NIFTY Index Options'!$M:$M,'NSE - NIFTY Index Options'!$C:$C,$A132,'NSE - NIFTY Index Options'!$B:$B,B$4,'NSE - NIFTY Index Options'!$I:$I,"Monthly*")+SUMIFS('NSE - Other Index Options'!$M:$M,'NSE - Other Index Options'!$C:$C,$A132,'NSE - Other Index Options'!$B:$B,B$4,'NSE - Other Index Options'!$I:$I,"Monthly*"))</f>
        <v/>
      </c>
      <c r="C132" s="26">
        <f>IF(SUMIFS('NSE - NIFTY Index Options'!$M:$M,'NSE - NIFTY Index Options'!$C:$C,$A132,'NSE - NIFTY Index Options'!$B:$B,C$4,'NSE - NIFTY Index Options'!$I:$I,"Monthly*")+SUMIFS('NSE - Other Index Options'!$M:$M,'NSE - Other Index Options'!$C:$C,$A132,'NSE - Other Index Options'!$B:$B,C$4,'NSE - Other Index Options'!$I:$I,"Monthly*")=0,"",SUMIFS('NSE - NIFTY Index Options'!$M:$M,'NSE - NIFTY Index Options'!$C:$C,$A132,'NSE - NIFTY Index Options'!$B:$B,C$4,'NSE - NIFTY Index Options'!$I:$I,"Monthly*")+SUMIFS('NSE - Other Index Options'!$M:$M,'NSE - Other Index Options'!$C:$C,$A132,'NSE - Other Index Options'!$B:$B,C$4,'NSE - Other Index Options'!$I:$I,"Monthly*"))</f>
        <v/>
      </c>
      <c r="D132" s="26">
        <f>IF(SUMIFS('NSE - NIFTY Index Options'!$M:$M,'NSE - NIFTY Index Options'!$C:$C,$A132,'NSE - NIFTY Index Options'!$B:$B,D$4,'NSE - NIFTY Index Options'!$I:$I,"Monthly*")+SUMIFS('NSE - Other Index Options'!$M:$M,'NSE - Other Index Options'!$C:$C,$A132,'NSE - Other Index Options'!$B:$B,D$4,'NSE - Other Index Options'!$I:$I,"Monthly*")=0,"",SUMIFS('NSE - NIFTY Index Options'!$M:$M,'NSE - NIFTY Index Options'!$C:$C,$A132,'NSE - NIFTY Index Options'!$B:$B,D$4,'NSE - NIFTY Index Options'!$I:$I,"Monthly*")+SUMIFS('NSE - Other Index Options'!$M:$M,'NSE - Other Index Options'!$C:$C,$A132,'NSE - Other Index Options'!$B:$B,D$4,'NSE - Other Index Options'!$I:$I,"Monthly*"))</f>
        <v/>
      </c>
      <c r="E132" s="26">
        <f>IF(SUMIFS('NSE - NIFTY Index Options'!$M:$M,'NSE - NIFTY Index Options'!$C:$C,$A132,'NSE - NIFTY Index Options'!$B:$B,E$4,'NSE - NIFTY Index Options'!$I:$I,"Monthly*")+SUMIFS('NSE - Other Index Options'!$M:$M,'NSE - Other Index Options'!$C:$C,$A132,'NSE - Other Index Options'!$B:$B,E$4,'NSE - Other Index Options'!$I:$I,"Monthly*")=0,"",SUMIFS('NSE - NIFTY Index Options'!$M:$M,'NSE - NIFTY Index Options'!$C:$C,$A132,'NSE - NIFTY Index Options'!$B:$B,E$4,'NSE - NIFTY Index Options'!$I:$I,"Monthly*")+SUMIFS('NSE - Other Index Options'!$M:$M,'NSE - Other Index Options'!$C:$C,$A132,'NSE - Other Index Options'!$B:$B,E$4,'NSE - Other Index Options'!$I:$I,"Monthly*"))</f>
        <v/>
      </c>
      <c r="F132" s="26">
        <f>IF(SUMIFS('NSE - NIFTY Index Options'!$M:$M,'NSE - NIFTY Index Options'!$C:$C,$A132,'NSE - NIFTY Index Options'!$B:$B,F$4,'NSE - NIFTY Index Options'!$I:$I,"Monthly*")+SUMIFS('NSE - Other Index Options'!$M:$M,'NSE - Other Index Options'!$C:$C,$A132,'NSE - Other Index Options'!$B:$B,F$4,'NSE - Other Index Options'!$I:$I,"Monthly*")=0,"",SUMIFS('NSE - NIFTY Index Options'!$M:$M,'NSE - NIFTY Index Options'!$C:$C,$A132,'NSE - NIFTY Index Options'!$B:$B,F$4,'NSE - NIFTY Index Options'!$I:$I,"Monthly*")+SUMIFS('NSE - Other Index Options'!$M:$M,'NSE - Other Index Options'!$C:$C,$A132,'NSE - Other Index Options'!$B:$B,F$4,'NSE - Other Index Options'!$I:$I,"Monthly*"))</f>
        <v/>
      </c>
      <c r="G132" s="26">
        <f>IF(SUMIFS('NSE - NIFTY Index Options'!$M:$M,'NSE - NIFTY Index Options'!$C:$C,$A132,'NSE - NIFTY Index Options'!$B:$B,G$4,'NSE - NIFTY Index Options'!$I:$I,"Monthly*")+SUMIFS('NSE - Other Index Options'!$M:$M,'NSE - Other Index Options'!$C:$C,$A132,'NSE - Other Index Options'!$B:$B,G$4,'NSE - Other Index Options'!$I:$I,"Monthly*")=0,"",SUMIFS('NSE - NIFTY Index Options'!$M:$M,'NSE - NIFTY Index Options'!$C:$C,$A132,'NSE - NIFTY Index Options'!$B:$B,G$4,'NSE - NIFTY Index Options'!$I:$I,"Monthly*")+SUMIFS('NSE - Other Index Options'!$M:$M,'NSE - Other Index Options'!$C:$C,$A132,'NSE - Other Index Options'!$B:$B,G$4,'NSE - Other Index Options'!$I:$I,"Monthly*"))</f>
        <v/>
      </c>
      <c r="H132" s="26">
        <f>IF(SUM(B132:G132)=0,"",SUM(B132:G132))</f>
        <v/>
      </c>
    </row>
    <row r="133" hidden="1" outlineLevel="1">
      <c r="A133" t="inlineStr">
        <is>
          <t>Week1-Nov-2027</t>
        </is>
      </c>
      <c r="B133" s="26">
        <f>IF(SUMIFS('NSE - NIFTY Index Options'!$M:$M,'NSE - NIFTY Index Options'!$C:$C,$A133,'NSE - NIFTY Index Options'!$B:$B,B$4,'NSE - NIFTY Index Options'!$I:$I,"Monthly*")+SUMIFS('NSE - Other Index Options'!$M:$M,'NSE - Other Index Options'!$C:$C,$A133,'NSE - Other Index Options'!$B:$B,B$4,'NSE - Other Index Options'!$I:$I,"Monthly*")=0,"",SUMIFS('NSE - NIFTY Index Options'!$M:$M,'NSE - NIFTY Index Options'!$C:$C,$A133,'NSE - NIFTY Index Options'!$B:$B,B$4,'NSE - NIFTY Index Options'!$I:$I,"Monthly*")+SUMIFS('NSE - Other Index Options'!$M:$M,'NSE - Other Index Options'!$C:$C,$A133,'NSE - Other Index Options'!$B:$B,B$4,'NSE - Other Index Options'!$I:$I,"Monthly*"))</f>
        <v/>
      </c>
      <c r="C133" s="26">
        <f>IF(SUMIFS('NSE - NIFTY Index Options'!$M:$M,'NSE - NIFTY Index Options'!$C:$C,$A133,'NSE - NIFTY Index Options'!$B:$B,C$4,'NSE - NIFTY Index Options'!$I:$I,"Monthly*")+SUMIFS('NSE - Other Index Options'!$M:$M,'NSE - Other Index Options'!$C:$C,$A133,'NSE - Other Index Options'!$B:$B,C$4,'NSE - Other Index Options'!$I:$I,"Monthly*")=0,"",SUMIFS('NSE - NIFTY Index Options'!$M:$M,'NSE - NIFTY Index Options'!$C:$C,$A133,'NSE - NIFTY Index Options'!$B:$B,C$4,'NSE - NIFTY Index Options'!$I:$I,"Monthly*")+SUMIFS('NSE - Other Index Options'!$M:$M,'NSE - Other Index Options'!$C:$C,$A133,'NSE - Other Index Options'!$B:$B,C$4,'NSE - Other Index Options'!$I:$I,"Monthly*"))</f>
        <v/>
      </c>
      <c r="D133" s="26">
        <f>IF(SUMIFS('NSE - NIFTY Index Options'!$M:$M,'NSE - NIFTY Index Options'!$C:$C,$A133,'NSE - NIFTY Index Options'!$B:$B,D$4,'NSE - NIFTY Index Options'!$I:$I,"Monthly*")+SUMIFS('NSE - Other Index Options'!$M:$M,'NSE - Other Index Options'!$C:$C,$A133,'NSE - Other Index Options'!$B:$B,D$4,'NSE - Other Index Options'!$I:$I,"Monthly*")=0,"",SUMIFS('NSE - NIFTY Index Options'!$M:$M,'NSE - NIFTY Index Options'!$C:$C,$A133,'NSE - NIFTY Index Options'!$B:$B,D$4,'NSE - NIFTY Index Options'!$I:$I,"Monthly*")+SUMIFS('NSE - Other Index Options'!$M:$M,'NSE - Other Index Options'!$C:$C,$A133,'NSE - Other Index Options'!$B:$B,D$4,'NSE - Other Index Options'!$I:$I,"Monthly*"))</f>
        <v/>
      </c>
      <c r="E133" s="26">
        <f>IF(SUMIFS('NSE - NIFTY Index Options'!$M:$M,'NSE - NIFTY Index Options'!$C:$C,$A133,'NSE - NIFTY Index Options'!$B:$B,E$4,'NSE - NIFTY Index Options'!$I:$I,"Monthly*")+SUMIFS('NSE - Other Index Options'!$M:$M,'NSE - Other Index Options'!$C:$C,$A133,'NSE - Other Index Options'!$B:$B,E$4,'NSE - Other Index Options'!$I:$I,"Monthly*")=0,"",SUMIFS('NSE - NIFTY Index Options'!$M:$M,'NSE - NIFTY Index Options'!$C:$C,$A133,'NSE - NIFTY Index Options'!$B:$B,E$4,'NSE - NIFTY Index Options'!$I:$I,"Monthly*")+SUMIFS('NSE - Other Index Options'!$M:$M,'NSE - Other Index Options'!$C:$C,$A133,'NSE - Other Index Options'!$B:$B,E$4,'NSE - Other Index Options'!$I:$I,"Monthly*"))</f>
        <v/>
      </c>
      <c r="F133" s="26">
        <f>IF(SUMIFS('NSE - NIFTY Index Options'!$M:$M,'NSE - NIFTY Index Options'!$C:$C,$A133,'NSE - NIFTY Index Options'!$B:$B,F$4,'NSE - NIFTY Index Options'!$I:$I,"Monthly*")+SUMIFS('NSE - Other Index Options'!$M:$M,'NSE - Other Index Options'!$C:$C,$A133,'NSE - Other Index Options'!$B:$B,F$4,'NSE - Other Index Options'!$I:$I,"Monthly*")=0,"",SUMIFS('NSE - NIFTY Index Options'!$M:$M,'NSE - NIFTY Index Options'!$C:$C,$A133,'NSE - NIFTY Index Options'!$B:$B,F$4,'NSE - NIFTY Index Options'!$I:$I,"Monthly*")+SUMIFS('NSE - Other Index Options'!$M:$M,'NSE - Other Index Options'!$C:$C,$A133,'NSE - Other Index Options'!$B:$B,F$4,'NSE - Other Index Options'!$I:$I,"Monthly*"))</f>
        <v/>
      </c>
      <c r="G133" s="26">
        <f>IF(SUMIFS('NSE - NIFTY Index Options'!$M:$M,'NSE - NIFTY Index Options'!$C:$C,$A133,'NSE - NIFTY Index Options'!$B:$B,G$4,'NSE - NIFTY Index Options'!$I:$I,"Monthly*")+SUMIFS('NSE - Other Index Options'!$M:$M,'NSE - Other Index Options'!$C:$C,$A133,'NSE - Other Index Options'!$B:$B,G$4,'NSE - Other Index Options'!$I:$I,"Monthly*")=0,"",SUMIFS('NSE - NIFTY Index Options'!$M:$M,'NSE - NIFTY Index Options'!$C:$C,$A133,'NSE - NIFTY Index Options'!$B:$B,G$4,'NSE - NIFTY Index Options'!$I:$I,"Monthly*")+SUMIFS('NSE - Other Index Options'!$M:$M,'NSE - Other Index Options'!$C:$C,$A133,'NSE - Other Index Options'!$B:$B,G$4,'NSE - Other Index Options'!$I:$I,"Monthly*"))</f>
        <v/>
      </c>
      <c r="H133" s="26">
        <f>IF(SUM(B133:G133)=0,"",SUM(B133:G133))</f>
        <v/>
      </c>
    </row>
    <row r="134" hidden="1" outlineLevel="1">
      <c r="A134" t="inlineStr">
        <is>
          <t>Week2-Nov-2027</t>
        </is>
      </c>
      <c r="B134" s="26">
        <f>IF(SUMIFS('NSE - NIFTY Index Options'!$M:$M,'NSE - NIFTY Index Options'!$C:$C,$A134,'NSE - NIFTY Index Options'!$B:$B,B$4,'NSE - NIFTY Index Options'!$I:$I,"Monthly*")+SUMIFS('NSE - Other Index Options'!$M:$M,'NSE - Other Index Options'!$C:$C,$A134,'NSE - Other Index Options'!$B:$B,B$4,'NSE - Other Index Options'!$I:$I,"Monthly*")=0,"",SUMIFS('NSE - NIFTY Index Options'!$M:$M,'NSE - NIFTY Index Options'!$C:$C,$A134,'NSE - NIFTY Index Options'!$B:$B,B$4,'NSE - NIFTY Index Options'!$I:$I,"Monthly*")+SUMIFS('NSE - Other Index Options'!$M:$M,'NSE - Other Index Options'!$C:$C,$A134,'NSE - Other Index Options'!$B:$B,B$4,'NSE - Other Index Options'!$I:$I,"Monthly*"))</f>
        <v/>
      </c>
      <c r="C134" s="26">
        <f>IF(SUMIFS('NSE - NIFTY Index Options'!$M:$M,'NSE - NIFTY Index Options'!$C:$C,$A134,'NSE - NIFTY Index Options'!$B:$B,C$4,'NSE - NIFTY Index Options'!$I:$I,"Monthly*")+SUMIFS('NSE - Other Index Options'!$M:$M,'NSE - Other Index Options'!$C:$C,$A134,'NSE - Other Index Options'!$B:$B,C$4,'NSE - Other Index Options'!$I:$I,"Monthly*")=0,"",SUMIFS('NSE - NIFTY Index Options'!$M:$M,'NSE - NIFTY Index Options'!$C:$C,$A134,'NSE - NIFTY Index Options'!$B:$B,C$4,'NSE - NIFTY Index Options'!$I:$I,"Monthly*")+SUMIFS('NSE - Other Index Options'!$M:$M,'NSE - Other Index Options'!$C:$C,$A134,'NSE - Other Index Options'!$B:$B,C$4,'NSE - Other Index Options'!$I:$I,"Monthly*"))</f>
        <v/>
      </c>
      <c r="D134" s="26">
        <f>IF(SUMIFS('NSE - NIFTY Index Options'!$M:$M,'NSE - NIFTY Index Options'!$C:$C,$A134,'NSE - NIFTY Index Options'!$B:$B,D$4,'NSE - NIFTY Index Options'!$I:$I,"Monthly*")+SUMIFS('NSE - Other Index Options'!$M:$M,'NSE - Other Index Options'!$C:$C,$A134,'NSE - Other Index Options'!$B:$B,D$4,'NSE - Other Index Options'!$I:$I,"Monthly*")=0,"",SUMIFS('NSE - NIFTY Index Options'!$M:$M,'NSE - NIFTY Index Options'!$C:$C,$A134,'NSE - NIFTY Index Options'!$B:$B,D$4,'NSE - NIFTY Index Options'!$I:$I,"Monthly*")+SUMIFS('NSE - Other Index Options'!$M:$M,'NSE - Other Index Options'!$C:$C,$A134,'NSE - Other Index Options'!$B:$B,D$4,'NSE - Other Index Options'!$I:$I,"Monthly*"))</f>
        <v/>
      </c>
      <c r="E134" s="26">
        <f>IF(SUMIFS('NSE - NIFTY Index Options'!$M:$M,'NSE - NIFTY Index Options'!$C:$C,$A134,'NSE - NIFTY Index Options'!$B:$B,E$4,'NSE - NIFTY Index Options'!$I:$I,"Monthly*")+SUMIFS('NSE - Other Index Options'!$M:$M,'NSE - Other Index Options'!$C:$C,$A134,'NSE - Other Index Options'!$B:$B,E$4,'NSE - Other Index Options'!$I:$I,"Monthly*")=0,"",SUMIFS('NSE - NIFTY Index Options'!$M:$M,'NSE - NIFTY Index Options'!$C:$C,$A134,'NSE - NIFTY Index Options'!$B:$B,E$4,'NSE - NIFTY Index Options'!$I:$I,"Monthly*")+SUMIFS('NSE - Other Index Options'!$M:$M,'NSE - Other Index Options'!$C:$C,$A134,'NSE - Other Index Options'!$B:$B,E$4,'NSE - Other Index Options'!$I:$I,"Monthly*"))</f>
        <v/>
      </c>
      <c r="F134" s="26">
        <f>IF(SUMIFS('NSE - NIFTY Index Options'!$M:$M,'NSE - NIFTY Index Options'!$C:$C,$A134,'NSE - NIFTY Index Options'!$B:$B,F$4,'NSE - NIFTY Index Options'!$I:$I,"Monthly*")+SUMIFS('NSE - Other Index Options'!$M:$M,'NSE - Other Index Options'!$C:$C,$A134,'NSE - Other Index Options'!$B:$B,F$4,'NSE - Other Index Options'!$I:$I,"Monthly*")=0,"",SUMIFS('NSE - NIFTY Index Options'!$M:$M,'NSE - NIFTY Index Options'!$C:$C,$A134,'NSE - NIFTY Index Options'!$B:$B,F$4,'NSE - NIFTY Index Options'!$I:$I,"Monthly*")+SUMIFS('NSE - Other Index Options'!$M:$M,'NSE - Other Index Options'!$C:$C,$A134,'NSE - Other Index Options'!$B:$B,F$4,'NSE - Other Index Options'!$I:$I,"Monthly*"))</f>
        <v/>
      </c>
      <c r="G134" s="26">
        <f>IF(SUMIFS('NSE - NIFTY Index Options'!$M:$M,'NSE - NIFTY Index Options'!$C:$C,$A134,'NSE - NIFTY Index Options'!$B:$B,G$4,'NSE - NIFTY Index Options'!$I:$I,"Monthly*")+SUMIFS('NSE - Other Index Options'!$M:$M,'NSE - Other Index Options'!$C:$C,$A134,'NSE - Other Index Options'!$B:$B,G$4,'NSE - Other Index Options'!$I:$I,"Monthly*")=0,"",SUMIFS('NSE - NIFTY Index Options'!$M:$M,'NSE - NIFTY Index Options'!$C:$C,$A134,'NSE - NIFTY Index Options'!$B:$B,G$4,'NSE - NIFTY Index Options'!$I:$I,"Monthly*")+SUMIFS('NSE - Other Index Options'!$M:$M,'NSE - Other Index Options'!$C:$C,$A134,'NSE - Other Index Options'!$B:$B,G$4,'NSE - Other Index Options'!$I:$I,"Monthly*"))</f>
        <v/>
      </c>
      <c r="H134" s="26">
        <f>IF(SUM(B134:G134)=0,"",SUM(B134:G134))</f>
        <v/>
      </c>
    </row>
    <row r="135" hidden="1" outlineLevel="1">
      <c r="A135" t="inlineStr">
        <is>
          <t>Week3-Nov-2027</t>
        </is>
      </c>
      <c r="B135" s="26">
        <f>IF(SUMIFS('NSE - NIFTY Index Options'!$M:$M,'NSE - NIFTY Index Options'!$C:$C,$A135,'NSE - NIFTY Index Options'!$B:$B,B$4,'NSE - NIFTY Index Options'!$I:$I,"Monthly*")+SUMIFS('NSE - Other Index Options'!$M:$M,'NSE - Other Index Options'!$C:$C,$A135,'NSE - Other Index Options'!$B:$B,B$4,'NSE - Other Index Options'!$I:$I,"Monthly*")=0,"",SUMIFS('NSE - NIFTY Index Options'!$M:$M,'NSE - NIFTY Index Options'!$C:$C,$A135,'NSE - NIFTY Index Options'!$B:$B,B$4,'NSE - NIFTY Index Options'!$I:$I,"Monthly*")+SUMIFS('NSE - Other Index Options'!$M:$M,'NSE - Other Index Options'!$C:$C,$A135,'NSE - Other Index Options'!$B:$B,B$4,'NSE - Other Index Options'!$I:$I,"Monthly*"))</f>
        <v/>
      </c>
      <c r="C135" s="26">
        <f>IF(SUMIFS('NSE - NIFTY Index Options'!$M:$M,'NSE - NIFTY Index Options'!$C:$C,$A135,'NSE - NIFTY Index Options'!$B:$B,C$4,'NSE - NIFTY Index Options'!$I:$I,"Monthly*")+SUMIFS('NSE - Other Index Options'!$M:$M,'NSE - Other Index Options'!$C:$C,$A135,'NSE - Other Index Options'!$B:$B,C$4,'NSE - Other Index Options'!$I:$I,"Monthly*")=0,"",SUMIFS('NSE - NIFTY Index Options'!$M:$M,'NSE - NIFTY Index Options'!$C:$C,$A135,'NSE - NIFTY Index Options'!$B:$B,C$4,'NSE - NIFTY Index Options'!$I:$I,"Monthly*")+SUMIFS('NSE - Other Index Options'!$M:$M,'NSE - Other Index Options'!$C:$C,$A135,'NSE - Other Index Options'!$B:$B,C$4,'NSE - Other Index Options'!$I:$I,"Monthly*"))</f>
        <v/>
      </c>
      <c r="D135" s="26">
        <f>IF(SUMIFS('NSE - NIFTY Index Options'!$M:$M,'NSE - NIFTY Index Options'!$C:$C,$A135,'NSE - NIFTY Index Options'!$B:$B,D$4,'NSE - NIFTY Index Options'!$I:$I,"Monthly*")+SUMIFS('NSE - Other Index Options'!$M:$M,'NSE - Other Index Options'!$C:$C,$A135,'NSE - Other Index Options'!$B:$B,D$4,'NSE - Other Index Options'!$I:$I,"Monthly*")=0,"",SUMIFS('NSE - NIFTY Index Options'!$M:$M,'NSE - NIFTY Index Options'!$C:$C,$A135,'NSE - NIFTY Index Options'!$B:$B,D$4,'NSE - NIFTY Index Options'!$I:$I,"Monthly*")+SUMIFS('NSE - Other Index Options'!$M:$M,'NSE - Other Index Options'!$C:$C,$A135,'NSE - Other Index Options'!$B:$B,D$4,'NSE - Other Index Options'!$I:$I,"Monthly*"))</f>
        <v/>
      </c>
      <c r="E135" s="26">
        <f>IF(SUMIFS('NSE - NIFTY Index Options'!$M:$M,'NSE - NIFTY Index Options'!$C:$C,$A135,'NSE - NIFTY Index Options'!$B:$B,E$4,'NSE - NIFTY Index Options'!$I:$I,"Monthly*")+SUMIFS('NSE - Other Index Options'!$M:$M,'NSE - Other Index Options'!$C:$C,$A135,'NSE - Other Index Options'!$B:$B,E$4,'NSE - Other Index Options'!$I:$I,"Monthly*")=0,"",SUMIFS('NSE - NIFTY Index Options'!$M:$M,'NSE - NIFTY Index Options'!$C:$C,$A135,'NSE - NIFTY Index Options'!$B:$B,E$4,'NSE - NIFTY Index Options'!$I:$I,"Monthly*")+SUMIFS('NSE - Other Index Options'!$M:$M,'NSE - Other Index Options'!$C:$C,$A135,'NSE - Other Index Options'!$B:$B,E$4,'NSE - Other Index Options'!$I:$I,"Monthly*"))</f>
        <v/>
      </c>
      <c r="F135" s="26">
        <f>IF(SUMIFS('NSE - NIFTY Index Options'!$M:$M,'NSE - NIFTY Index Options'!$C:$C,$A135,'NSE - NIFTY Index Options'!$B:$B,F$4,'NSE - NIFTY Index Options'!$I:$I,"Monthly*")+SUMIFS('NSE - Other Index Options'!$M:$M,'NSE - Other Index Options'!$C:$C,$A135,'NSE - Other Index Options'!$B:$B,F$4,'NSE - Other Index Options'!$I:$I,"Monthly*")=0,"",SUMIFS('NSE - NIFTY Index Options'!$M:$M,'NSE - NIFTY Index Options'!$C:$C,$A135,'NSE - NIFTY Index Options'!$B:$B,F$4,'NSE - NIFTY Index Options'!$I:$I,"Monthly*")+SUMIFS('NSE - Other Index Options'!$M:$M,'NSE - Other Index Options'!$C:$C,$A135,'NSE - Other Index Options'!$B:$B,F$4,'NSE - Other Index Options'!$I:$I,"Monthly*"))</f>
        <v/>
      </c>
      <c r="G135" s="26">
        <f>IF(SUMIFS('NSE - NIFTY Index Options'!$M:$M,'NSE - NIFTY Index Options'!$C:$C,$A135,'NSE - NIFTY Index Options'!$B:$B,G$4,'NSE - NIFTY Index Options'!$I:$I,"Monthly*")+SUMIFS('NSE - Other Index Options'!$M:$M,'NSE - Other Index Options'!$C:$C,$A135,'NSE - Other Index Options'!$B:$B,G$4,'NSE - Other Index Options'!$I:$I,"Monthly*")=0,"",SUMIFS('NSE - NIFTY Index Options'!$M:$M,'NSE - NIFTY Index Options'!$C:$C,$A135,'NSE - NIFTY Index Options'!$B:$B,G$4,'NSE - NIFTY Index Options'!$I:$I,"Monthly*")+SUMIFS('NSE - Other Index Options'!$M:$M,'NSE - Other Index Options'!$C:$C,$A135,'NSE - Other Index Options'!$B:$B,G$4,'NSE - Other Index Options'!$I:$I,"Monthly*"))</f>
        <v/>
      </c>
      <c r="H135" s="26">
        <f>IF(SUM(B135:G135)=0,"",SUM(B135:G135))</f>
        <v/>
      </c>
    </row>
    <row r="136" hidden="1" outlineLevel="1">
      <c r="A136" t="inlineStr">
        <is>
          <t>Week4-Nov-2027</t>
        </is>
      </c>
      <c r="B136" s="26">
        <f>IF(SUMIFS('NSE - NIFTY Index Options'!$M:$M,'NSE - NIFTY Index Options'!$C:$C,$A136,'NSE - NIFTY Index Options'!$B:$B,B$4,'NSE - NIFTY Index Options'!$I:$I,"Monthly*")+SUMIFS('NSE - Other Index Options'!$M:$M,'NSE - Other Index Options'!$C:$C,$A136,'NSE - Other Index Options'!$B:$B,B$4,'NSE - Other Index Options'!$I:$I,"Monthly*")=0,"",SUMIFS('NSE - NIFTY Index Options'!$M:$M,'NSE - NIFTY Index Options'!$C:$C,$A136,'NSE - NIFTY Index Options'!$B:$B,B$4,'NSE - NIFTY Index Options'!$I:$I,"Monthly*")+SUMIFS('NSE - Other Index Options'!$M:$M,'NSE - Other Index Options'!$C:$C,$A136,'NSE - Other Index Options'!$B:$B,B$4,'NSE - Other Index Options'!$I:$I,"Monthly*"))</f>
        <v/>
      </c>
      <c r="C136" s="26">
        <f>IF(SUMIFS('NSE - NIFTY Index Options'!$M:$M,'NSE - NIFTY Index Options'!$C:$C,$A136,'NSE - NIFTY Index Options'!$B:$B,C$4,'NSE - NIFTY Index Options'!$I:$I,"Monthly*")+SUMIFS('NSE - Other Index Options'!$M:$M,'NSE - Other Index Options'!$C:$C,$A136,'NSE - Other Index Options'!$B:$B,C$4,'NSE - Other Index Options'!$I:$I,"Monthly*")=0,"",SUMIFS('NSE - NIFTY Index Options'!$M:$M,'NSE - NIFTY Index Options'!$C:$C,$A136,'NSE - NIFTY Index Options'!$B:$B,C$4,'NSE - NIFTY Index Options'!$I:$I,"Monthly*")+SUMIFS('NSE - Other Index Options'!$M:$M,'NSE - Other Index Options'!$C:$C,$A136,'NSE - Other Index Options'!$B:$B,C$4,'NSE - Other Index Options'!$I:$I,"Monthly*"))</f>
        <v/>
      </c>
      <c r="D136" s="26">
        <f>IF(SUMIFS('NSE - NIFTY Index Options'!$M:$M,'NSE - NIFTY Index Options'!$C:$C,$A136,'NSE - NIFTY Index Options'!$B:$B,D$4,'NSE - NIFTY Index Options'!$I:$I,"Monthly*")+SUMIFS('NSE - Other Index Options'!$M:$M,'NSE - Other Index Options'!$C:$C,$A136,'NSE - Other Index Options'!$B:$B,D$4,'NSE - Other Index Options'!$I:$I,"Monthly*")=0,"",SUMIFS('NSE - NIFTY Index Options'!$M:$M,'NSE - NIFTY Index Options'!$C:$C,$A136,'NSE - NIFTY Index Options'!$B:$B,D$4,'NSE - NIFTY Index Options'!$I:$I,"Monthly*")+SUMIFS('NSE - Other Index Options'!$M:$M,'NSE - Other Index Options'!$C:$C,$A136,'NSE - Other Index Options'!$B:$B,D$4,'NSE - Other Index Options'!$I:$I,"Monthly*"))</f>
        <v/>
      </c>
      <c r="E136" s="26">
        <f>IF(SUMIFS('NSE - NIFTY Index Options'!$M:$M,'NSE - NIFTY Index Options'!$C:$C,$A136,'NSE - NIFTY Index Options'!$B:$B,E$4,'NSE - NIFTY Index Options'!$I:$I,"Monthly*")+SUMIFS('NSE - Other Index Options'!$M:$M,'NSE - Other Index Options'!$C:$C,$A136,'NSE - Other Index Options'!$B:$B,E$4,'NSE - Other Index Options'!$I:$I,"Monthly*")=0,"",SUMIFS('NSE - NIFTY Index Options'!$M:$M,'NSE - NIFTY Index Options'!$C:$C,$A136,'NSE - NIFTY Index Options'!$B:$B,E$4,'NSE - NIFTY Index Options'!$I:$I,"Monthly*")+SUMIFS('NSE - Other Index Options'!$M:$M,'NSE - Other Index Options'!$C:$C,$A136,'NSE - Other Index Options'!$B:$B,E$4,'NSE - Other Index Options'!$I:$I,"Monthly*"))</f>
        <v/>
      </c>
      <c r="F136" s="26">
        <f>IF(SUMIFS('NSE - NIFTY Index Options'!$M:$M,'NSE - NIFTY Index Options'!$C:$C,$A136,'NSE - NIFTY Index Options'!$B:$B,F$4,'NSE - NIFTY Index Options'!$I:$I,"Monthly*")+SUMIFS('NSE - Other Index Options'!$M:$M,'NSE - Other Index Options'!$C:$C,$A136,'NSE - Other Index Options'!$B:$B,F$4,'NSE - Other Index Options'!$I:$I,"Monthly*")=0,"",SUMIFS('NSE - NIFTY Index Options'!$M:$M,'NSE - NIFTY Index Options'!$C:$C,$A136,'NSE - NIFTY Index Options'!$B:$B,F$4,'NSE - NIFTY Index Options'!$I:$I,"Monthly*")+SUMIFS('NSE - Other Index Options'!$M:$M,'NSE - Other Index Options'!$C:$C,$A136,'NSE - Other Index Options'!$B:$B,F$4,'NSE - Other Index Options'!$I:$I,"Monthly*"))</f>
        <v/>
      </c>
      <c r="G136" s="26">
        <f>IF(SUMIFS('NSE - NIFTY Index Options'!$M:$M,'NSE - NIFTY Index Options'!$C:$C,$A136,'NSE - NIFTY Index Options'!$B:$B,G$4,'NSE - NIFTY Index Options'!$I:$I,"Monthly*")+SUMIFS('NSE - Other Index Options'!$M:$M,'NSE - Other Index Options'!$C:$C,$A136,'NSE - Other Index Options'!$B:$B,G$4,'NSE - Other Index Options'!$I:$I,"Monthly*")=0,"",SUMIFS('NSE - NIFTY Index Options'!$M:$M,'NSE - NIFTY Index Options'!$C:$C,$A136,'NSE - NIFTY Index Options'!$B:$B,G$4,'NSE - NIFTY Index Options'!$I:$I,"Monthly*")+SUMIFS('NSE - Other Index Options'!$M:$M,'NSE - Other Index Options'!$C:$C,$A136,'NSE - Other Index Options'!$B:$B,G$4,'NSE - Other Index Options'!$I:$I,"Monthly*"))</f>
        <v/>
      </c>
      <c r="H136" s="26">
        <f>IF(SUM(B136:G136)=0,"",SUM(B136:G136))</f>
        <v/>
      </c>
    </row>
    <row r="137" hidden="1" outlineLevel="1">
      <c r="A137" t="inlineStr">
        <is>
          <t>Week5-Nov-2027</t>
        </is>
      </c>
      <c r="B137" s="26">
        <f>IF(SUMIFS('NSE - NIFTY Index Options'!$M:$M,'NSE - NIFTY Index Options'!$C:$C,$A137,'NSE - NIFTY Index Options'!$B:$B,B$4,'NSE - NIFTY Index Options'!$I:$I,"Monthly*")+SUMIFS('NSE - Other Index Options'!$M:$M,'NSE - Other Index Options'!$C:$C,$A137,'NSE - Other Index Options'!$B:$B,B$4,'NSE - Other Index Options'!$I:$I,"Monthly*")=0,"",SUMIFS('NSE - NIFTY Index Options'!$M:$M,'NSE - NIFTY Index Options'!$C:$C,$A137,'NSE - NIFTY Index Options'!$B:$B,B$4,'NSE - NIFTY Index Options'!$I:$I,"Monthly*")+SUMIFS('NSE - Other Index Options'!$M:$M,'NSE - Other Index Options'!$C:$C,$A137,'NSE - Other Index Options'!$B:$B,B$4,'NSE - Other Index Options'!$I:$I,"Monthly*"))</f>
        <v/>
      </c>
      <c r="C137" s="26">
        <f>IF(SUMIFS('NSE - NIFTY Index Options'!$M:$M,'NSE - NIFTY Index Options'!$C:$C,$A137,'NSE - NIFTY Index Options'!$B:$B,C$4,'NSE - NIFTY Index Options'!$I:$I,"Monthly*")+SUMIFS('NSE - Other Index Options'!$M:$M,'NSE - Other Index Options'!$C:$C,$A137,'NSE - Other Index Options'!$B:$B,C$4,'NSE - Other Index Options'!$I:$I,"Monthly*")=0,"",SUMIFS('NSE - NIFTY Index Options'!$M:$M,'NSE - NIFTY Index Options'!$C:$C,$A137,'NSE - NIFTY Index Options'!$B:$B,C$4,'NSE - NIFTY Index Options'!$I:$I,"Monthly*")+SUMIFS('NSE - Other Index Options'!$M:$M,'NSE - Other Index Options'!$C:$C,$A137,'NSE - Other Index Options'!$B:$B,C$4,'NSE - Other Index Options'!$I:$I,"Monthly*"))</f>
        <v/>
      </c>
      <c r="D137" s="26">
        <f>IF(SUMIFS('NSE - NIFTY Index Options'!$M:$M,'NSE - NIFTY Index Options'!$C:$C,$A137,'NSE - NIFTY Index Options'!$B:$B,D$4,'NSE - NIFTY Index Options'!$I:$I,"Monthly*")+SUMIFS('NSE - Other Index Options'!$M:$M,'NSE - Other Index Options'!$C:$C,$A137,'NSE - Other Index Options'!$B:$B,D$4,'NSE - Other Index Options'!$I:$I,"Monthly*")=0,"",SUMIFS('NSE - NIFTY Index Options'!$M:$M,'NSE - NIFTY Index Options'!$C:$C,$A137,'NSE - NIFTY Index Options'!$B:$B,D$4,'NSE - NIFTY Index Options'!$I:$I,"Monthly*")+SUMIFS('NSE - Other Index Options'!$M:$M,'NSE - Other Index Options'!$C:$C,$A137,'NSE - Other Index Options'!$B:$B,D$4,'NSE - Other Index Options'!$I:$I,"Monthly*"))</f>
        <v/>
      </c>
      <c r="E137" s="26">
        <f>IF(SUMIFS('NSE - NIFTY Index Options'!$M:$M,'NSE - NIFTY Index Options'!$C:$C,$A137,'NSE - NIFTY Index Options'!$B:$B,E$4,'NSE - NIFTY Index Options'!$I:$I,"Monthly*")+SUMIFS('NSE - Other Index Options'!$M:$M,'NSE - Other Index Options'!$C:$C,$A137,'NSE - Other Index Options'!$B:$B,E$4,'NSE - Other Index Options'!$I:$I,"Monthly*")=0,"",SUMIFS('NSE - NIFTY Index Options'!$M:$M,'NSE - NIFTY Index Options'!$C:$C,$A137,'NSE - NIFTY Index Options'!$B:$B,E$4,'NSE - NIFTY Index Options'!$I:$I,"Monthly*")+SUMIFS('NSE - Other Index Options'!$M:$M,'NSE - Other Index Options'!$C:$C,$A137,'NSE - Other Index Options'!$B:$B,E$4,'NSE - Other Index Options'!$I:$I,"Monthly*"))</f>
        <v/>
      </c>
      <c r="F137" s="26">
        <f>IF(SUMIFS('NSE - NIFTY Index Options'!$M:$M,'NSE - NIFTY Index Options'!$C:$C,$A137,'NSE - NIFTY Index Options'!$B:$B,F$4,'NSE - NIFTY Index Options'!$I:$I,"Monthly*")+SUMIFS('NSE - Other Index Options'!$M:$M,'NSE - Other Index Options'!$C:$C,$A137,'NSE - Other Index Options'!$B:$B,F$4,'NSE - Other Index Options'!$I:$I,"Monthly*")=0,"",SUMIFS('NSE - NIFTY Index Options'!$M:$M,'NSE - NIFTY Index Options'!$C:$C,$A137,'NSE - NIFTY Index Options'!$B:$B,F$4,'NSE - NIFTY Index Options'!$I:$I,"Monthly*")+SUMIFS('NSE - Other Index Options'!$M:$M,'NSE - Other Index Options'!$C:$C,$A137,'NSE - Other Index Options'!$B:$B,F$4,'NSE - Other Index Options'!$I:$I,"Monthly*"))</f>
        <v/>
      </c>
      <c r="G137" s="26">
        <f>IF(SUMIFS('NSE - NIFTY Index Options'!$M:$M,'NSE - NIFTY Index Options'!$C:$C,$A137,'NSE - NIFTY Index Options'!$B:$B,G$4,'NSE - NIFTY Index Options'!$I:$I,"Monthly*")+SUMIFS('NSE - Other Index Options'!$M:$M,'NSE - Other Index Options'!$C:$C,$A137,'NSE - Other Index Options'!$B:$B,G$4,'NSE - Other Index Options'!$I:$I,"Monthly*")=0,"",SUMIFS('NSE - NIFTY Index Options'!$M:$M,'NSE - NIFTY Index Options'!$C:$C,$A137,'NSE - NIFTY Index Options'!$B:$B,G$4,'NSE - NIFTY Index Options'!$I:$I,"Monthly*")+SUMIFS('NSE - Other Index Options'!$M:$M,'NSE - Other Index Options'!$C:$C,$A137,'NSE - Other Index Options'!$B:$B,G$4,'NSE - Other Index Options'!$I:$I,"Monthly*"))</f>
        <v/>
      </c>
      <c r="H137" s="26">
        <f>IF(SUM(B137:G137)=0,"",SUM(B137:G137))</f>
        <v/>
      </c>
    </row>
    <row r="138" hidden="1" outlineLevel="1">
      <c r="A138" t="inlineStr">
        <is>
          <t>Week1-Dec-2027</t>
        </is>
      </c>
      <c r="B138" s="26">
        <f>IF(SUMIFS('NSE - NIFTY Index Options'!$M:$M,'NSE - NIFTY Index Options'!$C:$C,$A138,'NSE - NIFTY Index Options'!$B:$B,B$4,'NSE - NIFTY Index Options'!$I:$I,"Monthly*")+SUMIFS('NSE - Other Index Options'!$M:$M,'NSE - Other Index Options'!$C:$C,$A138,'NSE - Other Index Options'!$B:$B,B$4,'NSE - Other Index Options'!$I:$I,"Monthly*")=0,"",SUMIFS('NSE - NIFTY Index Options'!$M:$M,'NSE - NIFTY Index Options'!$C:$C,$A138,'NSE - NIFTY Index Options'!$B:$B,B$4,'NSE - NIFTY Index Options'!$I:$I,"Monthly*")+SUMIFS('NSE - Other Index Options'!$M:$M,'NSE - Other Index Options'!$C:$C,$A138,'NSE - Other Index Options'!$B:$B,B$4,'NSE - Other Index Options'!$I:$I,"Monthly*"))</f>
        <v/>
      </c>
      <c r="C138" s="26">
        <f>IF(SUMIFS('NSE - NIFTY Index Options'!$M:$M,'NSE - NIFTY Index Options'!$C:$C,$A138,'NSE - NIFTY Index Options'!$B:$B,C$4,'NSE - NIFTY Index Options'!$I:$I,"Monthly*")+SUMIFS('NSE - Other Index Options'!$M:$M,'NSE - Other Index Options'!$C:$C,$A138,'NSE - Other Index Options'!$B:$B,C$4,'NSE - Other Index Options'!$I:$I,"Monthly*")=0,"",SUMIFS('NSE - NIFTY Index Options'!$M:$M,'NSE - NIFTY Index Options'!$C:$C,$A138,'NSE - NIFTY Index Options'!$B:$B,C$4,'NSE - NIFTY Index Options'!$I:$I,"Monthly*")+SUMIFS('NSE - Other Index Options'!$M:$M,'NSE - Other Index Options'!$C:$C,$A138,'NSE - Other Index Options'!$B:$B,C$4,'NSE - Other Index Options'!$I:$I,"Monthly*"))</f>
        <v/>
      </c>
      <c r="D138" s="26">
        <f>IF(SUMIFS('NSE - NIFTY Index Options'!$M:$M,'NSE - NIFTY Index Options'!$C:$C,$A138,'NSE - NIFTY Index Options'!$B:$B,D$4,'NSE - NIFTY Index Options'!$I:$I,"Monthly*")+SUMIFS('NSE - Other Index Options'!$M:$M,'NSE - Other Index Options'!$C:$C,$A138,'NSE - Other Index Options'!$B:$B,D$4,'NSE - Other Index Options'!$I:$I,"Monthly*")=0,"",SUMIFS('NSE - NIFTY Index Options'!$M:$M,'NSE - NIFTY Index Options'!$C:$C,$A138,'NSE - NIFTY Index Options'!$B:$B,D$4,'NSE - NIFTY Index Options'!$I:$I,"Monthly*")+SUMIFS('NSE - Other Index Options'!$M:$M,'NSE - Other Index Options'!$C:$C,$A138,'NSE - Other Index Options'!$B:$B,D$4,'NSE - Other Index Options'!$I:$I,"Monthly*"))</f>
        <v/>
      </c>
      <c r="E138" s="26">
        <f>IF(SUMIFS('NSE - NIFTY Index Options'!$M:$M,'NSE - NIFTY Index Options'!$C:$C,$A138,'NSE - NIFTY Index Options'!$B:$B,E$4,'NSE - NIFTY Index Options'!$I:$I,"Monthly*")+SUMIFS('NSE - Other Index Options'!$M:$M,'NSE - Other Index Options'!$C:$C,$A138,'NSE - Other Index Options'!$B:$B,E$4,'NSE - Other Index Options'!$I:$I,"Monthly*")=0,"",SUMIFS('NSE - NIFTY Index Options'!$M:$M,'NSE - NIFTY Index Options'!$C:$C,$A138,'NSE - NIFTY Index Options'!$B:$B,E$4,'NSE - NIFTY Index Options'!$I:$I,"Monthly*")+SUMIFS('NSE - Other Index Options'!$M:$M,'NSE - Other Index Options'!$C:$C,$A138,'NSE - Other Index Options'!$B:$B,E$4,'NSE - Other Index Options'!$I:$I,"Monthly*"))</f>
        <v/>
      </c>
      <c r="F138" s="26">
        <f>IF(SUMIFS('NSE - NIFTY Index Options'!$M:$M,'NSE - NIFTY Index Options'!$C:$C,$A138,'NSE - NIFTY Index Options'!$B:$B,F$4,'NSE - NIFTY Index Options'!$I:$I,"Monthly*")+SUMIFS('NSE - Other Index Options'!$M:$M,'NSE - Other Index Options'!$C:$C,$A138,'NSE - Other Index Options'!$B:$B,F$4,'NSE - Other Index Options'!$I:$I,"Monthly*")=0,"",SUMIFS('NSE - NIFTY Index Options'!$M:$M,'NSE - NIFTY Index Options'!$C:$C,$A138,'NSE - NIFTY Index Options'!$B:$B,F$4,'NSE - NIFTY Index Options'!$I:$I,"Monthly*")+SUMIFS('NSE - Other Index Options'!$M:$M,'NSE - Other Index Options'!$C:$C,$A138,'NSE - Other Index Options'!$B:$B,F$4,'NSE - Other Index Options'!$I:$I,"Monthly*"))</f>
        <v/>
      </c>
      <c r="G138" s="26">
        <f>IF(SUMIFS('NSE - NIFTY Index Options'!$M:$M,'NSE - NIFTY Index Options'!$C:$C,$A138,'NSE - NIFTY Index Options'!$B:$B,G$4,'NSE - NIFTY Index Options'!$I:$I,"Monthly*")+SUMIFS('NSE - Other Index Options'!$M:$M,'NSE - Other Index Options'!$C:$C,$A138,'NSE - Other Index Options'!$B:$B,G$4,'NSE - Other Index Options'!$I:$I,"Monthly*")=0,"",SUMIFS('NSE - NIFTY Index Options'!$M:$M,'NSE - NIFTY Index Options'!$C:$C,$A138,'NSE - NIFTY Index Options'!$B:$B,G$4,'NSE - NIFTY Index Options'!$I:$I,"Monthly*")+SUMIFS('NSE - Other Index Options'!$M:$M,'NSE - Other Index Options'!$C:$C,$A138,'NSE - Other Index Options'!$B:$B,G$4,'NSE - Other Index Options'!$I:$I,"Monthly*"))</f>
        <v/>
      </c>
      <c r="H138" s="26">
        <f>IF(SUM(B138:G138)=0,"",SUM(B138:G138))</f>
        <v/>
      </c>
    </row>
    <row r="139" hidden="1" outlineLevel="1">
      <c r="A139" t="inlineStr">
        <is>
          <t>Week2-Dec-2027</t>
        </is>
      </c>
      <c r="B139" s="26">
        <f>IF(SUMIFS('NSE - NIFTY Index Options'!$M:$M,'NSE - NIFTY Index Options'!$C:$C,$A139,'NSE - NIFTY Index Options'!$B:$B,B$4,'NSE - NIFTY Index Options'!$I:$I,"Monthly*")+SUMIFS('NSE - Other Index Options'!$M:$M,'NSE - Other Index Options'!$C:$C,$A139,'NSE - Other Index Options'!$B:$B,B$4,'NSE - Other Index Options'!$I:$I,"Monthly*")=0,"",SUMIFS('NSE - NIFTY Index Options'!$M:$M,'NSE - NIFTY Index Options'!$C:$C,$A139,'NSE - NIFTY Index Options'!$B:$B,B$4,'NSE - NIFTY Index Options'!$I:$I,"Monthly*")+SUMIFS('NSE - Other Index Options'!$M:$M,'NSE - Other Index Options'!$C:$C,$A139,'NSE - Other Index Options'!$B:$B,B$4,'NSE - Other Index Options'!$I:$I,"Monthly*"))</f>
        <v/>
      </c>
      <c r="C139" s="26">
        <f>IF(SUMIFS('NSE - NIFTY Index Options'!$M:$M,'NSE - NIFTY Index Options'!$C:$C,$A139,'NSE - NIFTY Index Options'!$B:$B,C$4,'NSE - NIFTY Index Options'!$I:$I,"Monthly*")+SUMIFS('NSE - Other Index Options'!$M:$M,'NSE - Other Index Options'!$C:$C,$A139,'NSE - Other Index Options'!$B:$B,C$4,'NSE - Other Index Options'!$I:$I,"Monthly*")=0,"",SUMIFS('NSE - NIFTY Index Options'!$M:$M,'NSE - NIFTY Index Options'!$C:$C,$A139,'NSE - NIFTY Index Options'!$B:$B,C$4,'NSE - NIFTY Index Options'!$I:$I,"Monthly*")+SUMIFS('NSE - Other Index Options'!$M:$M,'NSE - Other Index Options'!$C:$C,$A139,'NSE - Other Index Options'!$B:$B,C$4,'NSE - Other Index Options'!$I:$I,"Monthly*"))</f>
        <v/>
      </c>
      <c r="D139" s="26">
        <f>IF(SUMIFS('NSE - NIFTY Index Options'!$M:$M,'NSE - NIFTY Index Options'!$C:$C,$A139,'NSE - NIFTY Index Options'!$B:$B,D$4,'NSE - NIFTY Index Options'!$I:$I,"Monthly*")+SUMIFS('NSE - Other Index Options'!$M:$M,'NSE - Other Index Options'!$C:$C,$A139,'NSE - Other Index Options'!$B:$B,D$4,'NSE - Other Index Options'!$I:$I,"Monthly*")=0,"",SUMIFS('NSE - NIFTY Index Options'!$M:$M,'NSE - NIFTY Index Options'!$C:$C,$A139,'NSE - NIFTY Index Options'!$B:$B,D$4,'NSE - NIFTY Index Options'!$I:$I,"Monthly*")+SUMIFS('NSE - Other Index Options'!$M:$M,'NSE - Other Index Options'!$C:$C,$A139,'NSE - Other Index Options'!$B:$B,D$4,'NSE - Other Index Options'!$I:$I,"Monthly*"))</f>
        <v/>
      </c>
      <c r="E139" s="26">
        <f>IF(SUMIFS('NSE - NIFTY Index Options'!$M:$M,'NSE - NIFTY Index Options'!$C:$C,$A139,'NSE - NIFTY Index Options'!$B:$B,E$4,'NSE - NIFTY Index Options'!$I:$I,"Monthly*")+SUMIFS('NSE - Other Index Options'!$M:$M,'NSE - Other Index Options'!$C:$C,$A139,'NSE - Other Index Options'!$B:$B,E$4,'NSE - Other Index Options'!$I:$I,"Monthly*")=0,"",SUMIFS('NSE - NIFTY Index Options'!$M:$M,'NSE - NIFTY Index Options'!$C:$C,$A139,'NSE - NIFTY Index Options'!$B:$B,E$4,'NSE - NIFTY Index Options'!$I:$I,"Monthly*")+SUMIFS('NSE - Other Index Options'!$M:$M,'NSE - Other Index Options'!$C:$C,$A139,'NSE - Other Index Options'!$B:$B,E$4,'NSE - Other Index Options'!$I:$I,"Monthly*"))</f>
        <v/>
      </c>
      <c r="F139" s="26">
        <f>IF(SUMIFS('NSE - NIFTY Index Options'!$M:$M,'NSE - NIFTY Index Options'!$C:$C,$A139,'NSE - NIFTY Index Options'!$B:$B,F$4,'NSE - NIFTY Index Options'!$I:$I,"Monthly*")+SUMIFS('NSE - Other Index Options'!$M:$M,'NSE - Other Index Options'!$C:$C,$A139,'NSE - Other Index Options'!$B:$B,F$4,'NSE - Other Index Options'!$I:$I,"Monthly*")=0,"",SUMIFS('NSE - NIFTY Index Options'!$M:$M,'NSE - NIFTY Index Options'!$C:$C,$A139,'NSE - NIFTY Index Options'!$B:$B,F$4,'NSE - NIFTY Index Options'!$I:$I,"Monthly*")+SUMIFS('NSE - Other Index Options'!$M:$M,'NSE - Other Index Options'!$C:$C,$A139,'NSE - Other Index Options'!$B:$B,F$4,'NSE - Other Index Options'!$I:$I,"Monthly*"))</f>
        <v/>
      </c>
      <c r="G139" s="26">
        <f>IF(SUMIFS('NSE - NIFTY Index Options'!$M:$M,'NSE - NIFTY Index Options'!$C:$C,$A139,'NSE - NIFTY Index Options'!$B:$B,G$4,'NSE - NIFTY Index Options'!$I:$I,"Monthly*")+SUMIFS('NSE - Other Index Options'!$M:$M,'NSE - Other Index Options'!$C:$C,$A139,'NSE - Other Index Options'!$B:$B,G$4,'NSE - Other Index Options'!$I:$I,"Monthly*")=0,"",SUMIFS('NSE - NIFTY Index Options'!$M:$M,'NSE - NIFTY Index Options'!$C:$C,$A139,'NSE - NIFTY Index Options'!$B:$B,G$4,'NSE - NIFTY Index Options'!$I:$I,"Monthly*")+SUMIFS('NSE - Other Index Options'!$M:$M,'NSE - Other Index Options'!$C:$C,$A139,'NSE - Other Index Options'!$B:$B,G$4,'NSE - Other Index Options'!$I:$I,"Monthly*"))</f>
        <v/>
      </c>
      <c r="H139" s="26">
        <f>IF(SUM(B139:G139)=0,"",SUM(B139:G139))</f>
        <v/>
      </c>
    </row>
    <row r="140" hidden="1" outlineLevel="1">
      <c r="A140" t="inlineStr">
        <is>
          <t>Week3-Dec-2027</t>
        </is>
      </c>
      <c r="B140" s="26">
        <f>IF(SUMIFS('NSE - NIFTY Index Options'!$M:$M,'NSE - NIFTY Index Options'!$C:$C,$A140,'NSE - NIFTY Index Options'!$B:$B,B$4,'NSE - NIFTY Index Options'!$I:$I,"Monthly*")+SUMIFS('NSE - Other Index Options'!$M:$M,'NSE - Other Index Options'!$C:$C,$A140,'NSE - Other Index Options'!$B:$B,B$4,'NSE - Other Index Options'!$I:$I,"Monthly*")=0,"",SUMIFS('NSE - NIFTY Index Options'!$M:$M,'NSE - NIFTY Index Options'!$C:$C,$A140,'NSE - NIFTY Index Options'!$B:$B,B$4,'NSE - NIFTY Index Options'!$I:$I,"Monthly*")+SUMIFS('NSE - Other Index Options'!$M:$M,'NSE - Other Index Options'!$C:$C,$A140,'NSE - Other Index Options'!$B:$B,B$4,'NSE - Other Index Options'!$I:$I,"Monthly*"))</f>
        <v/>
      </c>
      <c r="C140" s="26">
        <f>IF(SUMIFS('NSE - NIFTY Index Options'!$M:$M,'NSE - NIFTY Index Options'!$C:$C,$A140,'NSE - NIFTY Index Options'!$B:$B,C$4,'NSE - NIFTY Index Options'!$I:$I,"Monthly*")+SUMIFS('NSE - Other Index Options'!$M:$M,'NSE - Other Index Options'!$C:$C,$A140,'NSE - Other Index Options'!$B:$B,C$4,'NSE - Other Index Options'!$I:$I,"Monthly*")=0,"",SUMIFS('NSE - NIFTY Index Options'!$M:$M,'NSE - NIFTY Index Options'!$C:$C,$A140,'NSE - NIFTY Index Options'!$B:$B,C$4,'NSE - NIFTY Index Options'!$I:$I,"Monthly*")+SUMIFS('NSE - Other Index Options'!$M:$M,'NSE - Other Index Options'!$C:$C,$A140,'NSE - Other Index Options'!$B:$B,C$4,'NSE - Other Index Options'!$I:$I,"Monthly*"))</f>
        <v/>
      </c>
      <c r="D140" s="26">
        <f>IF(SUMIFS('NSE - NIFTY Index Options'!$M:$M,'NSE - NIFTY Index Options'!$C:$C,$A140,'NSE - NIFTY Index Options'!$B:$B,D$4,'NSE - NIFTY Index Options'!$I:$I,"Monthly*")+SUMIFS('NSE - Other Index Options'!$M:$M,'NSE - Other Index Options'!$C:$C,$A140,'NSE - Other Index Options'!$B:$B,D$4,'NSE - Other Index Options'!$I:$I,"Monthly*")=0,"",SUMIFS('NSE - NIFTY Index Options'!$M:$M,'NSE - NIFTY Index Options'!$C:$C,$A140,'NSE - NIFTY Index Options'!$B:$B,D$4,'NSE - NIFTY Index Options'!$I:$I,"Monthly*")+SUMIFS('NSE - Other Index Options'!$M:$M,'NSE - Other Index Options'!$C:$C,$A140,'NSE - Other Index Options'!$B:$B,D$4,'NSE - Other Index Options'!$I:$I,"Monthly*"))</f>
        <v/>
      </c>
      <c r="E140" s="26">
        <f>IF(SUMIFS('NSE - NIFTY Index Options'!$M:$M,'NSE - NIFTY Index Options'!$C:$C,$A140,'NSE - NIFTY Index Options'!$B:$B,E$4,'NSE - NIFTY Index Options'!$I:$I,"Monthly*")+SUMIFS('NSE - Other Index Options'!$M:$M,'NSE - Other Index Options'!$C:$C,$A140,'NSE - Other Index Options'!$B:$B,E$4,'NSE - Other Index Options'!$I:$I,"Monthly*")=0,"",SUMIFS('NSE - NIFTY Index Options'!$M:$M,'NSE - NIFTY Index Options'!$C:$C,$A140,'NSE - NIFTY Index Options'!$B:$B,E$4,'NSE - NIFTY Index Options'!$I:$I,"Monthly*")+SUMIFS('NSE - Other Index Options'!$M:$M,'NSE - Other Index Options'!$C:$C,$A140,'NSE - Other Index Options'!$B:$B,E$4,'NSE - Other Index Options'!$I:$I,"Monthly*"))</f>
        <v/>
      </c>
      <c r="F140" s="26">
        <f>IF(SUMIFS('NSE - NIFTY Index Options'!$M:$M,'NSE - NIFTY Index Options'!$C:$C,$A140,'NSE - NIFTY Index Options'!$B:$B,F$4,'NSE - NIFTY Index Options'!$I:$I,"Monthly*")+SUMIFS('NSE - Other Index Options'!$M:$M,'NSE - Other Index Options'!$C:$C,$A140,'NSE - Other Index Options'!$B:$B,F$4,'NSE - Other Index Options'!$I:$I,"Monthly*")=0,"",SUMIFS('NSE - NIFTY Index Options'!$M:$M,'NSE - NIFTY Index Options'!$C:$C,$A140,'NSE - NIFTY Index Options'!$B:$B,F$4,'NSE - NIFTY Index Options'!$I:$I,"Monthly*")+SUMIFS('NSE - Other Index Options'!$M:$M,'NSE - Other Index Options'!$C:$C,$A140,'NSE - Other Index Options'!$B:$B,F$4,'NSE - Other Index Options'!$I:$I,"Monthly*"))</f>
        <v/>
      </c>
      <c r="G140" s="26">
        <f>IF(SUMIFS('NSE - NIFTY Index Options'!$M:$M,'NSE - NIFTY Index Options'!$C:$C,$A140,'NSE - NIFTY Index Options'!$B:$B,G$4,'NSE - NIFTY Index Options'!$I:$I,"Monthly*")+SUMIFS('NSE - Other Index Options'!$M:$M,'NSE - Other Index Options'!$C:$C,$A140,'NSE - Other Index Options'!$B:$B,G$4,'NSE - Other Index Options'!$I:$I,"Monthly*")=0,"",SUMIFS('NSE - NIFTY Index Options'!$M:$M,'NSE - NIFTY Index Options'!$C:$C,$A140,'NSE - NIFTY Index Options'!$B:$B,G$4,'NSE - NIFTY Index Options'!$I:$I,"Monthly*")+SUMIFS('NSE - Other Index Options'!$M:$M,'NSE - Other Index Options'!$C:$C,$A140,'NSE - Other Index Options'!$B:$B,G$4,'NSE - Other Index Options'!$I:$I,"Monthly*"))</f>
        <v/>
      </c>
      <c r="H140" s="26">
        <f>IF(SUM(B140:G140)=0,"",SUM(B140:G140))</f>
        <v/>
      </c>
    </row>
    <row r="141" hidden="1" outlineLevel="1">
      <c r="A141" t="inlineStr">
        <is>
          <t>Week4-Dec-2027</t>
        </is>
      </c>
      <c r="B141" s="26">
        <f>IF(SUMIFS('NSE - NIFTY Index Options'!$M:$M,'NSE - NIFTY Index Options'!$C:$C,$A141,'NSE - NIFTY Index Options'!$B:$B,B$4,'NSE - NIFTY Index Options'!$I:$I,"Monthly*")+SUMIFS('NSE - Other Index Options'!$M:$M,'NSE - Other Index Options'!$C:$C,$A141,'NSE - Other Index Options'!$B:$B,B$4,'NSE - Other Index Options'!$I:$I,"Monthly*")=0,"",SUMIFS('NSE - NIFTY Index Options'!$M:$M,'NSE - NIFTY Index Options'!$C:$C,$A141,'NSE - NIFTY Index Options'!$B:$B,B$4,'NSE - NIFTY Index Options'!$I:$I,"Monthly*")+SUMIFS('NSE - Other Index Options'!$M:$M,'NSE - Other Index Options'!$C:$C,$A141,'NSE - Other Index Options'!$B:$B,B$4,'NSE - Other Index Options'!$I:$I,"Monthly*"))</f>
        <v/>
      </c>
      <c r="C141" s="26">
        <f>IF(SUMIFS('NSE - NIFTY Index Options'!$M:$M,'NSE - NIFTY Index Options'!$C:$C,$A141,'NSE - NIFTY Index Options'!$B:$B,C$4,'NSE - NIFTY Index Options'!$I:$I,"Monthly*")+SUMIFS('NSE - Other Index Options'!$M:$M,'NSE - Other Index Options'!$C:$C,$A141,'NSE - Other Index Options'!$B:$B,C$4,'NSE - Other Index Options'!$I:$I,"Monthly*")=0,"",SUMIFS('NSE - NIFTY Index Options'!$M:$M,'NSE - NIFTY Index Options'!$C:$C,$A141,'NSE - NIFTY Index Options'!$B:$B,C$4,'NSE - NIFTY Index Options'!$I:$I,"Monthly*")+SUMIFS('NSE - Other Index Options'!$M:$M,'NSE - Other Index Options'!$C:$C,$A141,'NSE - Other Index Options'!$B:$B,C$4,'NSE - Other Index Options'!$I:$I,"Monthly*"))</f>
        <v/>
      </c>
      <c r="D141" s="26">
        <f>IF(SUMIFS('NSE - NIFTY Index Options'!$M:$M,'NSE - NIFTY Index Options'!$C:$C,$A141,'NSE - NIFTY Index Options'!$B:$B,D$4,'NSE - NIFTY Index Options'!$I:$I,"Monthly*")+SUMIFS('NSE - Other Index Options'!$M:$M,'NSE - Other Index Options'!$C:$C,$A141,'NSE - Other Index Options'!$B:$B,D$4,'NSE - Other Index Options'!$I:$I,"Monthly*")=0,"",SUMIFS('NSE - NIFTY Index Options'!$M:$M,'NSE - NIFTY Index Options'!$C:$C,$A141,'NSE - NIFTY Index Options'!$B:$B,D$4,'NSE - NIFTY Index Options'!$I:$I,"Monthly*")+SUMIFS('NSE - Other Index Options'!$M:$M,'NSE - Other Index Options'!$C:$C,$A141,'NSE - Other Index Options'!$B:$B,D$4,'NSE - Other Index Options'!$I:$I,"Monthly*"))</f>
        <v/>
      </c>
      <c r="E141" s="26">
        <f>IF(SUMIFS('NSE - NIFTY Index Options'!$M:$M,'NSE - NIFTY Index Options'!$C:$C,$A141,'NSE - NIFTY Index Options'!$B:$B,E$4,'NSE - NIFTY Index Options'!$I:$I,"Monthly*")+SUMIFS('NSE - Other Index Options'!$M:$M,'NSE - Other Index Options'!$C:$C,$A141,'NSE - Other Index Options'!$B:$B,E$4,'NSE - Other Index Options'!$I:$I,"Monthly*")=0,"",SUMIFS('NSE - NIFTY Index Options'!$M:$M,'NSE - NIFTY Index Options'!$C:$C,$A141,'NSE - NIFTY Index Options'!$B:$B,E$4,'NSE - NIFTY Index Options'!$I:$I,"Monthly*")+SUMIFS('NSE - Other Index Options'!$M:$M,'NSE - Other Index Options'!$C:$C,$A141,'NSE - Other Index Options'!$B:$B,E$4,'NSE - Other Index Options'!$I:$I,"Monthly*"))</f>
        <v/>
      </c>
      <c r="F141" s="26">
        <f>IF(SUMIFS('NSE - NIFTY Index Options'!$M:$M,'NSE - NIFTY Index Options'!$C:$C,$A141,'NSE - NIFTY Index Options'!$B:$B,F$4,'NSE - NIFTY Index Options'!$I:$I,"Monthly*")+SUMIFS('NSE - Other Index Options'!$M:$M,'NSE - Other Index Options'!$C:$C,$A141,'NSE - Other Index Options'!$B:$B,F$4,'NSE - Other Index Options'!$I:$I,"Monthly*")=0,"",SUMIFS('NSE - NIFTY Index Options'!$M:$M,'NSE - NIFTY Index Options'!$C:$C,$A141,'NSE - NIFTY Index Options'!$B:$B,F$4,'NSE - NIFTY Index Options'!$I:$I,"Monthly*")+SUMIFS('NSE - Other Index Options'!$M:$M,'NSE - Other Index Options'!$C:$C,$A141,'NSE - Other Index Options'!$B:$B,F$4,'NSE - Other Index Options'!$I:$I,"Monthly*"))</f>
        <v/>
      </c>
      <c r="G141" s="26">
        <f>IF(SUMIFS('NSE - NIFTY Index Options'!$M:$M,'NSE - NIFTY Index Options'!$C:$C,$A141,'NSE - NIFTY Index Options'!$B:$B,G$4,'NSE - NIFTY Index Options'!$I:$I,"Monthly*")+SUMIFS('NSE - Other Index Options'!$M:$M,'NSE - Other Index Options'!$C:$C,$A141,'NSE - Other Index Options'!$B:$B,G$4,'NSE - Other Index Options'!$I:$I,"Monthly*")=0,"",SUMIFS('NSE - NIFTY Index Options'!$M:$M,'NSE - NIFTY Index Options'!$C:$C,$A141,'NSE - NIFTY Index Options'!$B:$B,G$4,'NSE - NIFTY Index Options'!$I:$I,"Monthly*")+SUMIFS('NSE - Other Index Options'!$M:$M,'NSE - Other Index Options'!$C:$C,$A141,'NSE - Other Index Options'!$B:$B,G$4,'NSE - Other Index Options'!$I:$I,"Monthly*"))</f>
        <v/>
      </c>
      <c r="H141" s="26">
        <f>IF(SUM(B141:G141)=0,"",SUM(B141:G141))</f>
        <v/>
      </c>
    </row>
    <row r="142" hidden="1" outlineLevel="1">
      <c r="A142" t="inlineStr">
        <is>
          <t>Week5-Dec-2027</t>
        </is>
      </c>
      <c r="B142" s="26">
        <f>IF(SUMIFS('NSE - NIFTY Index Options'!$M:$M,'NSE - NIFTY Index Options'!$C:$C,$A142,'NSE - NIFTY Index Options'!$B:$B,B$4,'NSE - NIFTY Index Options'!$I:$I,"Monthly*")+SUMIFS('NSE - Other Index Options'!$M:$M,'NSE - Other Index Options'!$C:$C,$A142,'NSE - Other Index Options'!$B:$B,B$4,'NSE - Other Index Options'!$I:$I,"Monthly*")=0,"",SUMIFS('NSE - NIFTY Index Options'!$M:$M,'NSE - NIFTY Index Options'!$C:$C,$A142,'NSE - NIFTY Index Options'!$B:$B,B$4,'NSE - NIFTY Index Options'!$I:$I,"Monthly*")+SUMIFS('NSE - Other Index Options'!$M:$M,'NSE - Other Index Options'!$C:$C,$A142,'NSE - Other Index Options'!$B:$B,B$4,'NSE - Other Index Options'!$I:$I,"Monthly*"))</f>
        <v/>
      </c>
      <c r="C142" s="26">
        <f>IF(SUMIFS('NSE - NIFTY Index Options'!$M:$M,'NSE - NIFTY Index Options'!$C:$C,$A142,'NSE - NIFTY Index Options'!$B:$B,C$4,'NSE - NIFTY Index Options'!$I:$I,"Monthly*")+SUMIFS('NSE - Other Index Options'!$M:$M,'NSE - Other Index Options'!$C:$C,$A142,'NSE - Other Index Options'!$B:$B,C$4,'NSE - Other Index Options'!$I:$I,"Monthly*")=0,"",SUMIFS('NSE - NIFTY Index Options'!$M:$M,'NSE - NIFTY Index Options'!$C:$C,$A142,'NSE - NIFTY Index Options'!$B:$B,C$4,'NSE - NIFTY Index Options'!$I:$I,"Monthly*")+SUMIFS('NSE - Other Index Options'!$M:$M,'NSE - Other Index Options'!$C:$C,$A142,'NSE - Other Index Options'!$B:$B,C$4,'NSE - Other Index Options'!$I:$I,"Monthly*"))</f>
        <v/>
      </c>
      <c r="D142" s="26">
        <f>IF(SUMIFS('NSE - NIFTY Index Options'!$M:$M,'NSE - NIFTY Index Options'!$C:$C,$A142,'NSE - NIFTY Index Options'!$B:$B,D$4,'NSE - NIFTY Index Options'!$I:$I,"Monthly*")+SUMIFS('NSE - Other Index Options'!$M:$M,'NSE - Other Index Options'!$C:$C,$A142,'NSE - Other Index Options'!$B:$B,D$4,'NSE - Other Index Options'!$I:$I,"Monthly*")=0,"",SUMIFS('NSE - NIFTY Index Options'!$M:$M,'NSE - NIFTY Index Options'!$C:$C,$A142,'NSE - NIFTY Index Options'!$B:$B,D$4,'NSE - NIFTY Index Options'!$I:$I,"Monthly*")+SUMIFS('NSE - Other Index Options'!$M:$M,'NSE - Other Index Options'!$C:$C,$A142,'NSE - Other Index Options'!$B:$B,D$4,'NSE - Other Index Options'!$I:$I,"Monthly*"))</f>
        <v/>
      </c>
      <c r="E142" s="26">
        <f>IF(SUMIFS('NSE - NIFTY Index Options'!$M:$M,'NSE - NIFTY Index Options'!$C:$C,$A142,'NSE - NIFTY Index Options'!$B:$B,E$4,'NSE - NIFTY Index Options'!$I:$I,"Monthly*")+SUMIFS('NSE - Other Index Options'!$M:$M,'NSE - Other Index Options'!$C:$C,$A142,'NSE - Other Index Options'!$B:$B,E$4,'NSE - Other Index Options'!$I:$I,"Monthly*")=0,"",SUMIFS('NSE - NIFTY Index Options'!$M:$M,'NSE - NIFTY Index Options'!$C:$C,$A142,'NSE - NIFTY Index Options'!$B:$B,E$4,'NSE - NIFTY Index Options'!$I:$I,"Monthly*")+SUMIFS('NSE - Other Index Options'!$M:$M,'NSE - Other Index Options'!$C:$C,$A142,'NSE - Other Index Options'!$B:$B,E$4,'NSE - Other Index Options'!$I:$I,"Monthly*"))</f>
        <v/>
      </c>
      <c r="F142" s="26">
        <f>IF(SUMIFS('NSE - NIFTY Index Options'!$M:$M,'NSE - NIFTY Index Options'!$C:$C,$A142,'NSE - NIFTY Index Options'!$B:$B,F$4,'NSE - NIFTY Index Options'!$I:$I,"Monthly*")+SUMIFS('NSE - Other Index Options'!$M:$M,'NSE - Other Index Options'!$C:$C,$A142,'NSE - Other Index Options'!$B:$B,F$4,'NSE - Other Index Options'!$I:$I,"Monthly*")=0,"",SUMIFS('NSE - NIFTY Index Options'!$M:$M,'NSE - NIFTY Index Options'!$C:$C,$A142,'NSE - NIFTY Index Options'!$B:$B,F$4,'NSE - NIFTY Index Options'!$I:$I,"Monthly*")+SUMIFS('NSE - Other Index Options'!$M:$M,'NSE - Other Index Options'!$C:$C,$A142,'NSE - Other Index Options'!$B:$B,F$4,'NSE - Other Index Options'!$I:$I,"Monthly*"))</f>
        <v/>
      </c>
      <c r="G142" s="26">
        <f>IF(SUMIFS('NSE - NIFTY Index Options'!$M:$M,'NSE - NIFTY Index Options'!$C:$C,$A142,'NSE - NIFTY Index Options'!$B:$B,G$4,'NSE - NIFTY Index Options'!$I:$I,"Monthly*")+SUMIFS('NSE - Other Index Options'!$M:$M,'NSE - Other Index Options'!$C:$C,$A142,'NSE - Other Index Options'!$B:$B,G$4,'NSE - Other Index Options'!$I:$I,"Monthly*")=0,"",SUMIFS('NSE - NIFTY Index Options'!$M:$M,'NSE - NIFTY Index Options'!$C:$C,$A142,'NSE - NIFTY Index Options'!$B:$B,G$4,'NSE - NIFTY Index Options'!$I:$I,"Monthly*")+SUMIFS('NSE - Other Index Options'!$M:$M,'NSE - Other Index Options'!$C:$C,$A142,'NSE - Other Index Options'!$B:$B,G$4,'NSE - Other Index Options'!$I:$I,"Monthly*"))</f>
        <v/>
      </c>
      <c r="H142" s="26">
        <f>IF(SUM(B142:G142)=0,"",SUM(B142:G142))</f>
        <v/>
      </c>
    </row>
    <row r="143" collapsed="1">
      <c r="A143" s="32" t="inlineStr">
        <is>
          <t>Total</t>
        </is>
      </c>
      <c r="B143" s="33">
        <f>IF(SUM(B5:B142)=0,"",SUM(B5:B142))</f>
        <v/>
      </c>
      <c r="C143" s="33">
        <f>IF(SUM(C5:C142)=0,"",SUM(C5:C142))</f>
        <v/>
      </c>
      <c r="D143" s="33">
        <f>IF(SUM(D5:D142)=0,"",SUM(D5:D142))</f>
        <v/>
      </c>
      <c r="E143" s="33">
        <f>IF(SUM(E5:E142)=0,"",SUM(E5:E142))</f>
        <v/>
      </c>
      <c r="F143" s="33">
        <f>IF(SUM(F5:F142)=0,"",SUM(F5:F142))</f>
        <v/>
      </c>
      <c r="G143" s="33">
        <f>IF(SUM(G5:G142)=0,"",SUM(G5:G142))</f>
        <v/>
      </c>
      <c r="H143" s="33">
        <f>IF(SUM(H5:H142)=0,"",SUM(H5:H142))</f>
        <v/>
      </c>
    </row>
    <row r="146">
      <c r="A146" s="32" t="inlineStr">
        <is>
          <t>BSE Premium Turnover (INR Bn)</t>
        </is>
      </c>
    </row>
    <row r="147">
      <c r="A147" s="32" t="inlineStr">
        <is>
          <t>Trade Week-Month-Year</t>
        </is>
      </c>
      <c r="B147" s="32" t="inlineStr">
        <is>
          <t>Monday</t>
        </is>
      </c>
      <c r="C147" s="32" t="inlineStr">
        <is>
          <t>Tuesday</t>
        </is>
      </c>
      <c r="D147" s="32" t="inlineStr">
        <is>
          <t>Wednesday</t>
        </is>
      </c>
      <c r="E147" s="32" t="inlineStr">
        <is>
          <t>Thursday</t>
        </is>
      </c>
      <c r="F147" s="32" t="inlineStr">
        <is>
          <t>Friday</t>
        </is>
      </c>
      <c r="G147" s="32" t="inlineStr">
        <is>
          <t>Sunday</t>
        </is>
      </c>
      <c r="H147" s="32" t="inlineStr">
        <is>
          <t>Total</t>
        </is>
      </c>
    </row>
    <row r="148">
      <c r="A148" t="inlineStr">
        <is>
          <t>Week1-Sep-2025</t>
        </is>
      </c>
      <c r="B148" s="26">
        <f>IF(SUMIFS('BSE - SENSEX Index Options'!$M:$M,'BSE - SENSEX Index Options'!$C:$C,$A148,'BSE - SENSEX Index Options'!$B:$B,B$147,'BSE - SENSEX Index Options'!$I:$I,"Monthly*")+SUMIFS('BSE - Other Index Options'!$M:$M,'BSE - Other Index Options'!$C:$C,$A148,'BSE - Other Index Options'!$B:$B,B$147,'BSE - Other Index Options'!$I:$I,"Monthly*")=0,"",SUMIFS('BSE - SENSEX Index Options'!$M:$M,'BSE - SENSEX Index Options'!$C:$C,$A148,'BSE - SENSEX Index Options'!$B:$B,B$147,'BSE - SENSEX Index Options'!$I:$I,"Monthly*")+SUMIFS('BSE - Other Index Options'!$M:$M,'BSE - Other Index Options'!$C:$C,$A148,'BSE - Other Index Options'!$B:$B,B$147,'BSE - Other Index Options'!$I:$I,"Monthly*"))</f>
        <v/>
      </c>
      <c r="C148" s="26">
        <f>IF(SUMIFS('BSE - SENSEX Index Options'!$M:$M,'BSE - SENSEX Index Options'!$C:$C,$A148,'BSE - SENSEX Index Options'!$B:$B,C$147,'BSE - SENSEX Index Options'!$I:$I,"Monthly*")+SUMIFS('BSE - Other Index Options'!$M:$M,'BSE - Other Index Options'!$C:$C,$A148,'BSE - Other Index Options'!$B:$B,C$147,'BSE - Other Index Options'!$I:$I,"Monthly*")=0,"",SUMIFS('BSE - SENSEX Index Options'!$M:$M,'BSE - SENSEX Index Options'!$C:$C,$A148,'BSE - SENSEX Index Options'!$B:$B,C$147,'BSE - SENSEX Index Options'!$I:$I,"Monthly*")+SUMIFS('BSE - Other Index Options'!$M:$M,'BSE - Other Index Options'!$C:$C,$A148,'BSE - Other Index Options'!$B:$B,C$147,'BSE - Other Index Options'!$I:$I,"Monthly*"))</f>
        <v/>
      </c>
      <c r="D148" s="26">
        <f>IF(SUMIFS('BSE - SENSEX Index Options'!$M:$M,'BSE - SENSEX Index Options'!$C:$C,$A148,'BSE - SENSEX Index Options'!$B:$B,D$147,'BSE - SENSEX Index Options'!$I:$I,"Monthly*")+SUMIFS('BSE - Other Index Options'!$M:$M,'BSE - Other Index Options'!$C:$C,$A148,'BSE - Other Index Options'!$B:$B,D$147,'BSE - Other Index Options'!$I:$I,"Monthly*")=0,"",SUMIFS('BSE - SENSEX Index Options'!$M:$M,'BSE - SENSEX Index Options'!$C:$C,$A148,'BSE - SENSEX Index Options'!$B:$B,D$147,'BSE - SENSEX Index Options'!$I:$I,"Monthly*")+SUMIFS('BSE - Other Index Options'!$M:$M,'BSE - Other Index Options'!$C:$C,$A148,'BSE - Other Index Options'!$B:$B,D$147,'BSE - Other Index Options'!$I:$I,"Monthly*"))</f>
        <v/>
      </c>
      <c r="E148" s="26">
        <f>IF(SUMIFS('BSE - SENSEX Index Options'!$M:$M,'BSE - SENSEX Index Options'!$C:$C,$A148,'BSE - SENSEX Index Options'!$B:$B,E$147,'BSE - SENSEX Index Options'!$I:$I,"Monthly*")+SUMIFS('BSE - Other Index Options'!$M:$M,'BSE - Other Index Options'!$C:$C,$A148,'BSE - Other Index Options'!$B:$B,E$147,'BSE - Other Index Options'!$I:$I,"Monthly*")=0,"",SUMIFS('BSE - SENSEX Index Options'!$M:$M,'BSE - SENSEX Index Options'!$C:$C,$A148,'BSE - SENSEX Index Options'!$B:$B,E$147,'BSE - SENSEX Index Options'!$I:$I,"Monthly*")+SUMIFS('BSE - Other Index Options'!$M:$M,'BSE - Other Index Options'!$C:$C,$A148,'BSE - Other Index Options'!$B:$B,E$147,'BSE - Other Index Options'!$I:$I,"Monthly*"))</f>
        <v/>
      </c>
      <c r="F148" s="26">
        <f>IF(SUMIFS('BSE - SENSEX Index Options'!$M:$M,'BSE - SENSEX Index Options'!$C:$C,$A148,'BSE - SENSEX Index Options'!$B:$B,F$147,'BSE - SENSEX Index Options'!$I:$I,"Monthly*")+SUMIFS('BSE - Other Index Options'!$M:$M,'BSE - Other Index Options'!$C:$C,$A148,'BSE - Other Index Options'!$B:$B,F$147,'BSE - Other Index Options'!$I:$I,"Monthly*")=0,"",SUMIFS('BSE - SENSEX Index Options'!$M:$M,'BSE - SENSEX Index Options'!$C:$C,$A148,'BSE - SENSEX Index Options'!$B:$B,F$147,'BSE - SENSEX Index Options'!$I:$I,"Monthly*")+SUMIFS('BSE - Other Index Options'!$M:$M,'BSE - Other Index Options'!$C:$C,$A148,'BSE - Other Index Options'!$B:$B,F$147,'BSE - Other Index Options'!$I:$I,"Monthly*"))</f>
        <v/>
      </c>
      <c r="G148" s="26">
        <f>IF(SUMIFS('BSE - SENSEX Index Options'!$M:$M,'BSE - SENSEX Index Options'!$C:$C,$A148,'BSE - SENSEX Index Options'!$B:$B,G$147,'BSE - SENSEX Index Options'!$I:$I,"Monthly*")+SUMIFS('BSE - Other Index Options'!$M:$M,'BSE - Other Index Options'!$C:$C,$A148,'BSE - Other Index Options'!$B:$B,G$147,'BSE - Other Index Options'!$I:$I,"Monthly*")=0,"",SUMIFS('BSE - SENSEX Index Options'!$M:$M,'BSE - SENSEX Index Options'!$C:$C,$A148,'BSE - SENSEX Index Options'!$B:$B,G$147,'BSE - SENSEX Index Options'!$I:$I,"Monthly*")+SUMIFS('BSE - Other Index Options'!$M:$M,'BSE - Other Index Options'!$C:$C,$A148,'BSE - Other Index Options'!$B:$B,G$147,'BSE - Other Index Options'!$I:$I,"Monthly*"))</f>
        <v/>
      </c>
      <c r="H148" s="26">
        <f>IF(SUM(B148:G148)=0,"",SUM(B148:G148))</f>
        <v/>
      </c>
    </row>
    <row r="149">
      <c r="A149" t="inlineStr">
        <is>
          <t>Week2-Sep-2025</t>
        </is>
      </c>
      <c r="B149" s="26">
        <f>IF(SUMIFS('BSE - SENSEX Index Options'!$M:$M,'BSE - SENSEX Index Options'!$C:$C,$A149,'BSE - SENSEX Index Options'!$B:$B,B$147,'BSE - SENSEX Index Options'!$I:$I,"Monthly*")+SUMIFS('BSE - Other Index Options'!$M:$M,'BSE - Other Index Options'!$C:$C,$A149,'BSE - Other Index Options'!$B:$B,B$147,'BSE - Other Index Options'!$I:$I,"Monthly*")=0,"",SUMIFS('BSE - SENSEX Index Options'!$M:$M,'BSE - SENSEX Index Options'!$C:$C,$A149,'BSE - SENSEX Index Options'!$B:$B,B$147,'BSE - SENSEX Index Options'!$I:$I,"Monthly*")+SUMIFS('BSE - Other Index Options'!$M:$M,'BSE - Other Index Options'!$C:$C,$A149,'BSE - Other Index Options'!$B:$B,B$147,'BSE - Other Index Options'!$I:$I,"Monthly*"))</f>
        <v/>
      </c>
      <c r="C149" s="26">
        <f>IF(SUMIFS('BSE - SENSEX Index Options'!$M:$M,'BSE - SENSEX Index Options'!$C:$C,$A149,'BSE - SENSEX Index Options'!$B:$B,C$147,'BSE - SENSEX Index Options'!$I:$I,"Monthly*")+SUMIFS('BSE - Other Index Options'!$M:$M,'BSE - Other Index Options'!$C:$C,$A149,'BSE - Other Index Options'!$B:$B,C$147,'BSE - Other Index Options'!$I:$I,"Monthly*")=0,"",SUMIFS('BSE - SENSEX Index Options'!$M:$M,'BSE - SENSEX Index Options'!$C:$C,$A149,'BSE - SENSEX Index Options'!$B:$B,C$147,'BSE - SENSEX Index Options'!$I:$I,"Monthly*")+SUMIFS('BSE - Other Index Options'!$M:$M,'BSE - Other Index Options'!$C:$C,$A149,'BSE - Other Index Options'!$B:$B,C$147,'BSE - Other Index Options'!$I:$I,"Monthly*"))</f>
        <v/>
      </c>
      <c r="D149" s="26">
        <f>IF(SUMIFS('BSE - SENSEX Index Options'!$M:$M,'BSE - SENSEX Index Options'!$C:$C,$A149,'BSE - SENSEX Index Options'!$B:$B,D$147,'BSE - SENSEX Index Options'!$I:$I,"Monthly*")+SUMIFS('BSE - Other Index Options'!$M:$M,'BSE - Other Index Options'!$C:$C,$A149,'BSE - Other Index Options'!$B:$B,D$147,'BSE - Other Index Options'!$I:$I,"Monthly*")=0,"",SUMIFS('BSE - SENSEX Index Options'!$M:$M,'BSE - SENSEX Index Options'!$C:$C,$A149,'BSE - SENSEX Index Options'!$B:$B,D$147,'BSE - SENSEX Index Options'!$I:$I,"Monthly*")+SUMIFS('BSE - Other Index Options'!$M:$M,'BSE - Other Index Options'!$C:$C,$A149,'BSE - Other Index Options'!$B:$B,D$147,'BSE - Other Index Options'!$I:$I,"Monthly*"))</f>
        <v/>
      </c>
      <c r="E149" s="26">
        <f>IF(SUMIFS('BSE - SENSEX Index Options'!$M:$M,'BSE - SENSEX Index Options'!$C:$C,$A149,'BSE - SENSEX Index Options'!$B:$B,E$147,'BSE - SENSEX Index Options'!$I:$I,"Monthly*")+SUMIFS('BSE - Other Index Options'!$M:$M,'BSE - Other Index Options'!$C:$C,$A149,'BSE - Other Index Options'!$B:$B,E$147,'BSE - Other Index Options'!$I:$I,"Monthly*")=0,"",SUMIFS('BSE - SENSEX Index Options'!$M:$M,'BSE - SENSEX Index Options'!$C:$C,$A149,'BSE - SENSEX Index Options'!$B:$B,E$147,'BSE - SENSEX Index Options'!$I:$I,"Monthly*")+SUMIFS('BSE - Other Index Options'!$M:$M,'BSE - Other Index Options'!$C:$C,$A149,'BSE - Other Index Options'!$B:$B,E$147,'BSE - Other Index Options'!$I:$I,"Monthly*"))</f>
        <v/>
      </c>
      <c r="F149" s="26">
        <f>IF(SUMIFS('BSE - SENSEX Index Options'!$M:$M,'BSE - SENSEX Index Options'!$C:$C,$A149,'BSE - SENSEX Index Options'!$B:$B,F$147,'BSE - SENSEX Index Options'!$I:$I,"Monthly*")+SUMIFS('BSE - Other Index Options'!$M:$M,'BSE - Other Index Options'!$C:$C,$A149,'BSE - Other Index Options'!$B:$B,F$147,'BSE - Other Index Options'!$I:$I,"Monthly*")=0,"",SUMIFS('BSE - SENSEX Index Options'!$M:$M,'BSE - SENSEX Index Options'!$C:$C,$A149,'BSE - SENSEX Index Options'!$B:$B,F$147,'BSE - SENSEX Index Options'!$I:$I,"Monthly*")+SUMIFS('BSE - Other Index Options'!$M:$M,'BSE - Other Index Options'!$C:$C,$A149,'BSE - Other Index Options'!$B:$B,F$147,'BSE - Other Index Options'!$I:$I,"Monthly*"))</f>
        <v/>
      </c>
      <c r="G149" s="26">
        <f>IF(SUMIFS('BSE - SENSEX Index Options'!$M:$M,'BSE - SENSEX Index Options'!$C:$C,$A149,'BSE - SENSEX Index Options'!$B:$B,G$147,'BSE - SENSEX Index Options'!$I:$I,"Monthly*")+SUMIFS('BSE - Other Index Options'!$M:$M,'BSE - Other Index Options'!$C:$C,$A149,'BSE - Other Index Options'!$B:$B,G$147,'BSE - Other Index Options'!$I:$I,"Monthly*")=0,"",SUMIFS('BSE - SENSEX Index Options'!$M:$M,'BSE - SENSEX Index Options'!$C:$C,$A149,'BSE - SENSEX Index Options'!$B:$B,G$147,'BSE - SENSEX Index Options'!$I:$I,"Monthly*")+SUMIFS('BSE - Other Index Options'!$M:$M,'BSE - Other Index Options'!$C:$C,$A149,'BSE - Other Index Options'!$B:$B,G$147,'BSE - Other Index Options'!$I:$I,"Monthly*"))</f>
        <v/>
      </c>
      <c r="H149" s="26">
        <f>IF(SUM(B149:G149)=0,"",SUM(B149:G149))</f>
        <v/>
      </c>
    </row>
    <row r="150">
      <c r="A150" t="inlineStr">
        <is>
          <t>Week3-Sep-2025</t>
        </is>
      </c>
      <c r="B150" s="26">
        <f>IF(SUMIFS('BSE - SENSEX Index Options'!$M:$M,'BSE - SENSEX Index Options'!$C:$C,$A150,'BSE - SENSEX Index Options'!$B:$B,B$147,'BSE - SENSEX Index Options'!$I:$I,"Monthly*")+SUMIFS('BSE - Other Index Options'!$M:$M,'BSE - Other Index Options'!$C:$C,$A150,'BSE - Other Index Options'!$B:$B,B$147,'BSE - Other Index Options'!$I:$I,"Monthly*")=0,"",SUMIFS('BSE - SENSEX Index Options'!$M:$M,'BSE - SENSEX Index Options'!$C:$C,$A150,'BSE - SENSEX Index Options'!$B:$B,B$147,'BSE - SENSEX Index Options'!$I:$I,"Monthly*")+SUMIFS('BSE - Other Index Options'!$M:$M,'BSE - Other Index Options'!$C:$C,$A150,'BSE - Other Index Options'!$B:$B,B$147,'BSE - Other Index Options'!$I:$I,"Monthly*"))</f>
        <v/>
      </c>
      <c r="C150" s="26">
        <f>IF(SUMIFS('BSE - SENSEX Index Options'!$M:$M,'BSE - SENSEX Index Options'!$C:$C,$A150,'BSE - SENSEX Index Options'!$B:$B,C$147,'BSE - SENSEX Index Options'!$I:$I,"Monthly*")+SUMIFS('BSE - Other Index Options'!$M:$M,'BSE - Other Index Options'!$C:$C,$A150,'BSE - Other Index Options'!$B:$B,C$147,'BSE - Other Index Options'!$I:$I,"Monthly*")=0,"",SUMIFS('BSE - SENSEX Index Options'!$M:$M,'BSE - SENSEX Index Options'!$C:$C,$A150,'BSE - SENSEX Index Options'!$B:$B,C$147,'BSE - SENSEX Index Options'!$I:$I,"Monthly*")+SUMIFS('BSE - Other Index Options'!$M:$M,'BSE - Other Index Options'!$C:$C,$A150,'BSE - Other Index Options'!$B:$B,C$147,'BSE - Other Index Options'!$I:$I,"Monthly*"))</f>
        <v/>
      </c>
      <c r="D150" s="26">
        <f>IF(SUMIFS('BSE - SENSEX Index Options'!$M:$M,'BSE - SENSEX Index Options'!$C:$C,$A150,'BSE - SENSEX Index Options'!$B:$B,D$147,'BSE - SENSEX Index Options'!$I:$I,"Monthly*")+SUMIFS('BSE - Other Index Options'!$M:$M,'BSE - Other Index Options'!$C:$C,$A150,'BSE - Other Index Options'!$B:$B,D$147,'BSE - Other Index Options'!$I:$I,"Monthly*")=0,"",SUMIFS('BSE - SENSEX Index Options'!$M:$M,'BSE - SENSEX Index Options'!$C:$C,$A150,'BSE - SENSEX Index Options'!$B:$B,D$147,'BSE - SENSEX Index Options'!$I:$I,"Monthly*")+SUMIFS('BSE - Other Index Options'!$M:$M,'BSE - Other Index Options'!$C:$C,$A150,'BSE - Other Index Options'!$B:$B,D$147,'BSE - Other Index Options'!$I:$I,"Monthly*"))</f>
        <v/>
      </c>
      <c r="E150" s="26">
        <f>IF(SUMIFS('BSE - SENSEX Index Options'!$M:$M,'BSE - SENSEX Index Options'!$C:$C,$A150,'BSE - SENSEX Index Options'!$B:$B,E$147,'BSE - SENSEX Index Options'!$I:$I,"Monthly*")+SUMIFS('BSE - Other Index Options'!$M:$M,'BSE - Other Index Options'!$C:$C,$A150,'BSE - Other Index Options'!$B:$B,E$147,'BSE - Other Index Options'!$I:$I,"Monthly*")=0,"",SUMIFS('BSE - SENSEX Index Options'!$M:$M,'BSE - SENSEX Index Options'!$C:$C,$A150,'BSE - SENSEX Index Options'!$B:$B,E$147,'BSE - SENSEX Index Options'!$I:$I,"Monthly*")+SUMIFS('BSE - Other Index Options'!$M:$M,'BSE - Other Index Options'!$C:$C,$A150,'BSE - Other Index Options'!$B:$B,E$147,'BSE - Other Index Options'!$I:$I,"Monthly*"))</f>
        <v/>
      </c>
      <c r="F150" s="26">
        <f>IF(SUMIFS('BSE - SENSEX Index Options'!$M:$M,'BSE - SENSEX Index Options'!$C:$C,$A150,'BSE - SENSEX Index Options'!$B:$B,F$147,'BSE - SENSEX Index Options'!$I:$I,"Monthly*")+SUMIFS('BSE - Other Index Options'!$M:$M,'BSE - Other Index Options'!$C:$C,$A150,'BSE - Other Index Options'!$B:$B,F$147,'BSE - Other Index Options'!$I:$I,"Monthly*")=0,"",SUMIFS('BSE - SENSEX Index Options'!$M:$M,'BSE - SENSEX Index Options'!$C:$C,$A150,'BSE - SENSEX Index Options'!$B:$B,F$147,'BSE - SENSEX Index Options'!$I:$I,"Monthly*")+SUMIFS('BSE - Other Index Options'!$M:$M,'BSE - Other Index Options'!$C:$C,$A150,'BSE - Other Index Options'!$B:$B,F$147,'BSE - Other Index Options'!$I:$I,"Monthly*"))</f>
        <v/>
      </c>
      <c r="G150" s="26">
        <f>IF(SUMIFS('BSE - SENSEX Index Options'!$M:$M,'BSE - SENSEX Index Options'!$C:$C,$A150,'BSE - SENSEX Index Options'!$B:$B,G$147,'BSE - SENSEX Index Options'!$I:$I,"Monthly*")+SUMIFS('BSE - Other Index Options'!$M:$M,'BSE - Other Index Options'!$C:$C,$A150,'BSE - Other Index Options'!$B:$B,G$147,'BSE - Other Index Options'!$I:$I,"Monthly*")=0,"",SUMIFS('BSE - SENSEX Index Options'!$M:$M,'BSE - SENSEX Index Options'!$C:$C,$A150,'BSE - SENSEX Index Options'!$B:$B,G$147,'BSE - SENSEX Index Options'!$I:$I,"Monthly*")+SUMIFS('BSE - Other Index Options'!$M:$M,'BSE - Other Index Options'!$C:$C,$A150,'BSE - Other Index Options'!$B:$B,G$147,'BSE - Other Index Options'!$I:$I,"Monthly*"))</f>
        <v/>
      </c>
      <c r="H150" s="26">
        <f>IF(SUM(B150:G150)=0,"",SUM(B150:G150))</f>
        <v/>
      </c>
    </row>
    <row r="151">
      <c r="A151" t="inlineStr">
        <is>
          <t>Week4-Sep-2025</t>
        </is>
      </c>
      <c r="B151" s="26">
        <f>IF(SUMIFS('BSE - SENSEX Index Options'!$M:$M,'BSE - SENSEX Index Options'!$C:$C,$A151,'BSE - SENSEX Index Options'!$B:$B,B$147,'BSE - SENSEX Index Options'!$I:$I,"Monthly*")+SUMIFS('BSE - Other Index Options'!$M:$M,'BSE - Other Index Options'!$C:$C,$A151,'BSE - Other Index Options'!$B:$B,B$147,'BSE - Other Index Options'!$I:$I,"Monthly*")=0,"",SUMIFS('BSE - SENSEX Index Options'!$M:$M,'BSE - SENSEX Index Options'!$C:$C,$A151,'BSE - SENSEX Index Options'!$B:$B,B$147,'BSE - SENSEX Index Options'!$I:$I,"Monthly*")+SUMIFS('BSE - Other Index Options'!$M:$M,'BSE - Other Index Options'!$C:$C,$A151,'BSE - Other Index Options'!$B:$B,B$147,'BSE - Other Index Options'!$I:$I,"Monthly*"))</f>
        <v/>
      </c>
      <c r="C151" s="26">
        <f>IF(SUMIFS('BSE - SENSEX Index Options'!$M:$M,'BSE - SENSEX Index Options'!$C:$C,$A151,'BSE - SENSEX Index Options'!$B:$B,C$147,'BSE - SENSEX Index Options'!$I:$I,"Monthly*")+SUMIFS('BSE - Other Index Options'!$M:$M,'BSE - Other Index Options'!$C:$C,$A151,'BSE - Other Index Options'!$B:$B,C$147,'BSE - Other Index Options'!$I:$I,"Monthly*")=0,"",SUMIFS('BSE - SENSEX Index Options'!$M:$M,'BSE - SENSEX Index Options'!$C:$C,$A151,'BSE - SENSEX Index Options'!$B:$B,C$147,'BSE - SENSEX Index Options'!$I:$I,"Monthly*")+SUMIFS('BSE - Other Index Options'!$M:$M,'BSE - Other Index Options'!$C:$C,$A151,'BSE - Other Index Options'!$B:$B,C$147,'BSE - Other Index Options'!$I:$I,"Monthly*"))</f>
        <v/>
      </c>
      <c r="D151" s="26">
        <f>IF(SUMIFS('BSE - SENSEX Index Options'!$M:$M,'BSE - SENSEX Index Options'!$C:$C,$A151,'BSE - SENSEX Index Options'!$B:$B,D$147,'BSE - SENSEX Index Options'!$I:$I,"Monthly*")+SUMIFS('BSE - Other Index Options'!$M:$M,'BSE - Other Index Options'!$C:$C,$A151,'BSE - Other Index Options'!$B:$B,D$147,'BSE - Other Index Options'!$I:$I,"Monthly*")=0,"",SUMIFS('BSE - SENSEX Index Options'!$M:$M,'BSE - SENSEX Index Options'!$C:$C,$A151,'BSE - SENSEX Index Options'!$B:$B,D$147,'BSE - SENSEX Index Options'!$I:$I,"Monthly*")+SUMIFS('BSE - Other Index Options'!$M:$M,'BSE - Other Index Options'!$C:$C,$A151,'BSE - Other Index Options'!$B:$B,D$147,'BSE - Other Index Options'!$I:$I,"Monthly*"))</f>
        <v/>
      </c>
      <c r="E151" s="26">
        <f>IF(SUMIFS('BSE - SENSEX Index Options'!$M:$M,'BSE - SENSEX Index Options'!$C:$C,$A151,'BSE - SENSEX Index Options'!$B:$B,E$147,'BSE - SENSEX Index Options'!$I:$I,"Monthly*")+SUMIFS('BSE - Other Index Options'!$M:$M,'BSE - Other Index Options'!$C:$C,$A151,'BSE - Other Index Options'!$B:$B,E$147,'BSE - Other Index Options'!$I:$I,"Monthly*")=0,"",SUMIFS('BSE - SENSEX Index Options'!$M:$M,'BSE - SENSEX Index Options'!$C:$C,$A151,'BSE - SENSEX Index Options'!$B:$B,E$147,'BSE - SENSEX Index Options'!$I:$I,"Monthly*")+SUMIFS('BSE - Other Index Options'!$M:$M,'BSE - Other Index Options'!$C:$C,$A151,'BSE - Other Index Options'!$B:$B,E$147,'BSE - Other Index Options'!$I:$I,"Monthly*"))</f>
        <v/>
      </c>
      <c r="F151" s="26">
        <f>IF(SUMIFS('BSE - SENSEX Index Options'!$M:$M,'BSE - SENSEX Index Options'!$C:$C,$A151,'BSE - SENSEX Index Options'!$B:$B,F$147,'BSE - SENSEX Index Options'!$I:$I,"Monthly*")+SUMIFS('BSE - Other Index Options'!$M:$M,'BSE - Other Index Options'!$C:$C,$A151,'BSE - Other Index Options'!$B:$B,F$147,'BSE - Other Index Options'!$I:$I,"Monthly*")=0,"",SUMIFS('BSE - SENSEX Index Options'!$M:$M,'BSE - SENSEX Index Options'!$C:$C,$A151,'BSE - SENSEX Index Options'!$B:$B,F$147,'BSE - SENSEX Index Options'!$I:$I,"Monthly*")+SUMIFS('BSE - Other Index Options'!$M:$M,'BSE - Other Index Options'!$C:$C,$A151,'BSE - Other Index Options'!$B:$B,F$147,'BSE - Other Index Options'!$I:$I,"Monthly*"))</f>
        <v/>
      </c>
      <c r="G151" s="26">
        <f>IF(SUMIFS('BSE - SENSEX Index Options'!$M:$M,'BSE - SENSEX Index Options'!$C:$C,$A151,'BSE - SENSEX Index Options'!$B:$B,G$147,'BSE - SENSEX Index Options'!$I:$I,"Monthly*")+SUMIFS('BSE - Other Index Options'!$M:$M,'BSE - Other Index Options'!$C:$C,$A151,'BSE - Other Index Options'!$B:$B,G$147,'BSE - Other Index Options'!$I:$I,"Monthly*")=0,"",SUMIFS('BSE - SENSEX Index Options'!$M:$M,'BSE - SENSEX Index Options'!$C:$C,$A151,'BSE - SENSEX Index Options'!$B:$B,G$147,'BSE - SENSEX Index Options'!$I:$I,"Monthly*")+SUMIFS('BSE - Other Index Options'!$M:$M,'BSE - Other Index Options'!$C:$C,$A151,'BSE - Other Index Options'!$B:$B,G$147,'BSE - Other Index Options'!$I:$I,"Monthly*"))</f>
        <v/>
      </c>
      <c r="H151" s="26">
        <f>IF(SUM(B151:G151)=0,"",SUM(B151:G151))</f>
        <v/>
      </c>
    </row>
    <row r="152">
      <c r="A152" t="inlineStr">
        <is>
          <t>Week5-Sep-2025</t>
        </is>
      </c>
      <c r="B152" s="26">
        <f>IF(SUMIFS('BSE - SENSEX Index Options'!$M:$M,'BSE - SENSEX Index Options'!$C:$C,$A152,'BSE - SENSEX Index Options'!$B:$B,B$147,'BSE - SENSEX Index Options'!$I:$I,"Monthly*")+SUMIFS('BSE - Other Index Options'!$M:$M,'BSE - Other Index Options'!$C:$C,$A152,'BSE - Other Index Options'!$B:$B,B$147,'BSE - Other Index Options'!$I:$I,"Monthly*")=0,"",SUMIFS('BSE - SENSEX Index Options'!$M:$M,'BSE - SENSEX Index Options'!$C:$C,$A152,'BSE - SENSEX Index Options'!$B:$B,B$147,'BSE - SENSEX Index Options'!$I:$I,"Monthly*")+SUMIFS('BSE - Other Index Options'!$M:$M,'BSE - Other Index Options'!$C:$C,$A152,'BSE - Other Index Options'!$B:$B,B$147,'BSE - Other Index Options'!$I:$I,"Monthly*"))</f>
        <v/>
      </c>
      <c r="C152" s="26">
        <f>IF(SUMIFS('BSE - SENSEX Index Options'!$M:$M,'BSE - SENSEX Index Options'!$C:$C,$A152,'BSE - SENSEX Index Options'!$B:$B,C$147,'BSE - SENSEX Index Options'!$I:$I,"Monthly*")+SUMIFS('BSE - Other Index Options'!$M:$M,'BSE - Other Index Options'!$C:$C,$A152,'BSE - Other Index Options'!$B:$B,C$147,'BSE - Other Index Options'!$I:$I,"Monthly*")=0,"",SUMIFS('BSE - SENSEX Index Options'!$M:$M,'BSE - SENSEX Index Options'!$C:$C,$A152,'BSE - SENSEX Index Options'!$B:$B,C$147,'BSE - SENSEX Index Options'!$I:$I,"Monthly*")+SUMIFS('BSE - Other Index Options'!$M:$M,'BSE - Other Index Options'!$C:$C,$A152,'BSE - Other Index Options'!$B:$B,C$147,'BSE - Other Index Options'!$I:$I,"Monthly*"))</f>
        <v/>
      </c>
      <c r="D152" s="26">
        <f>IF(SUMIFS('BSE - SENSEX Index Options'!$M:$M,'BSE - SENSEX Index Options'!$C:$C,$A152,'BSE - SENSEX Index Options'!$B:$B,D$147,'BSE - SENSEX Index Options'!$I:$I,"Monthly*")+SUMIFS('BSE - Other Index Options'!$M:$M,'BSE - Other Index Options'!$C:$C,$A152,'BSE - Other Index Options'!$B:$B,D$147,'BSE - Other Index Options'!$I:$I,"Monthly*")=0,"",SUMIFS('BSE - SENSEX Index Options'!$M:$M,'BSE - SENSEX Index Options'!$C:$C,$A152,'BSE - SENSEX Index Options'!$B:$B,D$147,'BSE - SENSEX Index Options'!$I:$I,"Monthly*")+SUMIFS('BSE - Other Index Options'!$M:$M,'BSE - Other Index Options'!$C:$C,$A152,'BSE - Other Index Options'!$B:$B,D$147,'BSE - Other Index Options'!$I:$I,"Monthly*"))</f>
        <v/>
      </c>
      <c r="E152" s="26">
        <f>IF(SUMIFS('BSE - SENSEX Index Options'!$M:$M,'BSE - SENSEX Index Options'!$C:$C,$A152,'BSE - SENSEX Index Options'!$B:$B,E$147,'BSE - SENSEX Index Options'!$I:$I,"Monthly*")+SUMIFS('BSE - Other Index Options'!$M:$M,'BSE - Other Index Options'!$C:$C,$A152,'BSE - Other Index Options'!$B:$B,E$147,'BSE - Other Index Options'!$I:$I,"Monthly*")=0,"",SUMIFS('BSE - SENSEX Index Options'!$M:$M,'BSE - SENSEX Index Options'!$C:$C,$A152,'BSE - SENSEX Index Options'!$B:$B,E$147,'BSE - SENSEX Index Options'!$I:$I,"Monthly*")+SUMIFS('BSE - Other Index Options'!$M:$M,'BSE - Other Index Options'!$C:$C,$A152,'BSE - Other Index Options'!$B:$B,E$147,'BSE - Other Index Options'!$I:$I,"Monthly*"))</f>
        <v/>
      </c>
      <c r="F152" s="26">
        <f>IF(SUMIFS('BSE - SENSEX Index Options'!$M:$M,'BSE - SENSEX Index Options'!$C:$C,$A152,'BSE - SENSEX Index Options'!$B:$B,F$147,'BSE - SENSEX Index Options'!$I:$I,"Monthly*")+SUMIFS('BSE - Other Index Options'!$M:$M,'BSE - Other Index Options'!$C:$C,$A152,'BSE - Other Index Options'!$B:$B,F$147,'BSE - Other Index Options'!$I:$I,"Monthly*")=0,"",SUMIFS('BSE - SENSEX Index Options'!$M:$M,'BSE - SENSEX Index Options'!$C:$C,$A152,'BSE - SENSEX Index Options'!$B:$B,F$147,'BSE - SENSEX Index Options'!$I:$I,"Monthly*")+SUMIFS('BSE - Other Index Options'!$M:$M,'BSE - Other Index Options'!$C:$C,$A152,'BSE - Other Index Options'!$B:$B,F$147,'BSE - Other Index Options'!$I:$I,"Monthly*"))</f>
        <v/>
      </c>
      <c r="G152" s="26">
        <f>IF(SUMIFS('BSE - SENSEX Index Options'!$M:$M,'BSE - SENSEX Index Options'!$C:$C,$A152,'BSE - SENSEX Index Options'!$B:$B,G$147,'BSE - SENSEX Index Options'!$I:$I,"Monthly*")+SUMIFS('BSE - Other Index Options'!$M:$M,'BSE - Other Index Options'!$C:$C,$A152,'BSE - Other Index Options'!$B:$B,G$147,'BSE - Other Index Options'!$I:$I,"Monthly*")=0,"",SUMIFS('BSE - SENSEX Index Options'!$M:$M,'BSE - SENSEX Index Options'!$C:$C,$A152,'BSE - SENSEX Index Options'!$B:$B,G$147,'BSE - SENSEX Index Options'!$I:$I,"Monthly*")+SUMIFS('BSE - Other Index Options'!$M:$M,'BSE - Other Index Options'!$C:$C,$A152,'BSE - Other Index Options'!$B:$B,G$147,'BSE - Other Index Options'!$I:$I,"Monthly*"))</f>
        <v/>
      </c>
      <c r="H152" s="26">
        <f>IF(SUM(B152:G152)=0,"",SUM(B152:G152))</f>
        <v/>
      </c>
    </row>
    <row r="153">
      <c r="A153" t="inlineStr">
        <is>
          <t>Week1-Oct-2025</t>
        </is>
      </c>
      <c r="B153" s="26">
        <f>IF(SUMIFS('BSE - SENSEX Index Options'!$M:$M,'BSE - SENSEX Index Options'!$C:$C,$A153,'BSE - SENSEX Index Options'!$B:$B,B$147,'BSE - SENSEX Index Options'!$I:$I,"Monthly*")+SUMIFS('BSE - Other Index Options'!$M:$M,'BSE - Other Index Options'!$C:$C,$A153,'BSE - Other Index Options'!$B:$B,B$147,'BSE - Other Index Options'!$I:$I,"Monthly*")=0,"",SUMIFS('BSE - SENSEX Index Options'!$M:$M,'BSE - SENSEX Index Options'!$C:$C,$A153,'BSE - SENSEX Index Options'!$B:$B,B$147,'BSE - SENSEX Index Options'!$I:$I,"Monthly*")+SUMIFS('BSE - Other Index Options'!$M:$M,'BSE - Other Index Options'!$C:$C,$A153,'BSE - Other Index Options'!$B:$B,B$147,'BSE - Other Index Options'!$I:$I,"Monthly*"))</f>
        <v/>
      </c>
      <c r="C153" s="26">
        <f>IF(SUMIFS('BSE - SENSEX Index Options'!$M:$M,'BSE - SENSEX Index Options'!$C:$C,$A153,'BSE - SENSEX Index Options'!$B:$B,C$147,'BSE - SENSEX Index Options'!$I:$I,"Monthly*")+SUMIFS('BSE - Other Index Options'!$M:$M,'BSE - Other Index Options'!$C:$C,$A153,'BSE - Other Index Options'!$B:$B,C$147,'BSE - Other Index Options'!$I:$I,"Monthly*")=0,"",SUMIFS('BSE - SENSEX Index Options'!$M:$M,'BSE - SENSEX Index Options'!$C:$C,$A153,'BSE - SENSEX Index Options'!$B:$B,C$147,'BSE - SENSEX Index Options'!$I:$I,"Monthly*")+SUMIFS('BSE - Other Index Options'!$M:$M,'BSE - Other Index Options'!$C:$C,$A153,'BSE - Other Index Options'!$B:$B,C$147,'BSE - Other Index Options'!$I:$I,"Monthly*"))</f>
        <v/>
      </c>
      <c r="D153" s="26">
        <f>IF(SUMIFS('BSE - SENSEX Index Options'!$M:$M,'BSE - SENSEX Index Options'!$C:$C,$A153,'BSE - SENSEX Index Options'!$B:$B,D$147,'BSE - SENSEX Index Options'!$I:$I,"Monthly*")+SUMIFS('BSE - Other Index Options'!$M:$M,'BSE - Other Index Options'!$C:$C,$A153,'BSE - Other Index Options'!$B:$B,D$147,'BSE - Other Index Options'!$I:$I,"Monthly*")=0,"",SUMIFS('BSE - SENSEX Index Options'!$M:$M,'BSE - SENSEX Index Options'!$C:$C,$A153,'BSE - SENSEX Index Options'!$B:$B,D$147,'BSE - SENSEX Index Options'!$I:$I,"Monthly*")+SUMIFS('BSE - Other Index Options'!$M:$M,'BSE - Other Index Options'!$C:$C,$A153,'BSE - Other Index Options'!$B:$B,D$147,'BSE - Other Index Options'!$I:$I,"Monthly*"))</f>
        <v/>
      </c>
      <c r="E153" s="26">
        <f>IF(SUMIFS('BSE - SENSEX Index Options'!$M:$M,'BSE - SENSEX Index Options'!$C:$C,$A153,'BSE - SENSEX Index Options'!$B:$B,E$147,'BSE - SENSEX Index Options'!$I:$I,"Monthly*")+SUMIFS('BSE - Other Index Options'!$M:$M,'BSE - Other Index Options'!$C:$C,$A153,'BSE - Other Index Options'!$B:$B,E$147,'BSE - Other Index Options'!$I:$I,"Monthly*")=0,"",SUMIFS('BSE - SENSEX Index Options'!$M:$M,'BSE - SENSEX Index Options'!$C:$C,$A153,'BSE - SENSEX Index Options'!$B:$B,E$147,'BSE - SENSEX Index Options'!$I:$I,"Monthly*")+SUMIFS('BSE - Other Index Options'!$M:$M,'BSE - Other Index Options'!$C:$C,$A153,'BSE - Other Index Options'!$B:$B,E$147,'BSE - Other Index Options'!$I:$I,"Monthly*"))</f>
        <v/>
      </c>
      <c r="F153" s="26">
        <f>IF(SUMIFS('BSE - SENSEX Index Options'!$M:$M,'BSE - SENSEX Index Options'!$C:$C,$A153,'BSE - SENSEX Index Options'!$B:$B,F$147,'BSE - SENSEX Index Options'!$I:$I,"Monthly*")+SUMIFS('BSE - Other Index Options'!$M:$M,'BSE - Other Index Options'!$C:$C,$A153,'BSE - Other Index Options'!$B:$B,F$147,'BSE - Other Index Options'!$I:$I,"Monthly*")=0,"",SUMIFS('BSE - SENSEX Index Options'!$M:$M,'BSE - SENSEX Index Options'!$C:$C,$A153,'BSE - SENSEX Index Options'!$B:$B,F$147,'BSE - SENSEX Index Options'!$I:$I,"Monthly*")+SUMIFS('BSE - Other Index Options'!$M:$M,'BSE - Other Index Options'!$C:$C,$A153,'BSE - Other Index Options'!$B:$B,F$147,'BSE - Other Index Options'!$I:$I,"Monthly*"))</f>
        <v/>
      </c>
      <c r="G153" s="26">
        <f>IF(SUMIFS('BSE - SENSEX Index Options'!$M:$M,'BSE - SENSEX Index Options'!$C:$C,$A153,'BSE - SENSEX Index Options'!$B:$B,G$147,'BSE - SENSEX Index Options'!$I:$I,"Monthly*")+SUMIFS('BSE - Other Index Options'!$M:$M,'BSE - Other Index Options'!$C:$C,$A153,'BSE - Other Index Options'!$B:$B,G$147,'BSE - Other Index Options'!$I:$I,"Monthly*")=0,"",SUMIFS('BSE - SENSEX Index Options'!$M:$M,'BSE - SENSEX Index Options'!$C:$C,$A153,'BSE - SENSEX Index Options'!$B:$B,G$147,'BSE - SENSEX Index Options'!$I:$I,"Monthly*")+SUMIFS('BSE - Other Index Options'!$M:$M,'BSE - Other Index Options'!$C:$C,$A153,'BSE - Other Index Options'!$B:$B,G$147,'BSE - Other Index Options'!$I:$I,"Monthly*"))</f>
        <v/>
      </c>
      <c r="H153" s="26">
        <f>IF(SUM(B153:G153)=0,"",SUM(B153:G153))</f>
        <v/>
      </c>
    </row>
    <row r="154">
      <c r="A154" t="inlineStr">
        <is>
          <t>Week2-Oct-2025</t>
        </is>
      </c>
      <c r="B154" s="26">
        <f>IF(SUMIFS('BSE - SENSEX Index Options'!$M:$M,'BSE - SENSEX Index Options'!$C:$C,$A154,'BSE - SENSEX Index Options'!$B:$B,B$147,'BSE - SENSEX Index Options'!$I:$I,"Monthly*")+SUMIFS('BSE - Other Index Options'!$M:$M,'BSE - Other Index Options'!$C:$C,$A154,'BSE - Other Index Options'!$B:$B,B$147,'BSE - Other Index Options'!$I:$I,"Monthly*")=0,"",SUMIFS('BSE - SENSEX Index Options'!$M:$M,'BSE - SENSEX Index Options'!$C:$C,$A154,'BSE - SENSEX Index Options'!$B:$B,B$147,'BSE - SENSEX Index Options'!$I:$I,"Monthly*")+SUMIFS('BSE - Other Index Options'!$M:$M,'BSE - Other Index Options'!$C:$C,$A154,'BSE - Other Index Options'!$B:$B,B$147,'BSE - Other Index Options'!$I:$I,"Monthly*"))</f>
        <v/>
      </c>
      <c r="C154" s="26">
        <f>IF(SUMIFS('BSE - SENSEX Index Options'!$M:$M,'BSE - SENSEX Index Options'!$C:$C,$A154,'BSE - SENSEX Index Options'!$B:$B,C$147,'BSE - SENSEX Index Options'!$I:$I,"Monthly*")+SUMIFS('BSE - Other Index Options'!$M:$M,'BSE - Other Index Options'!$C:$C,$A154,'BSE - Other Index Options'!$B:$B,C$147,'BSE - Other Index Options'!$I:$I,"Monthly*")=0,"",SUMIFS('BSE - SENSEX Index Options'!$M:$M,'BSE - SENSEX Index Options'!$C:$C,$A154,'BSE - SENSEX Index Options'!$B:$B,C$147,'BSE - SENSEX Index Options'!$I:$I,"Monthly*")+SUMIFS('BSE - Other Index Options'!$M:$M,'BSE - Other Index Options'!$C:$C,$A154,'BSE - Other Index Options'!$B:$B,C$147,'BSE - Other Index Options'!$I:$I,"Monthly*"))</f>
        <v/>
      </c>
      <c r="D154" s="26">
        <f>IF(SUMIFS('BSE - SENSEX Index Options'!$M:$M,'BSE - SENSEX Index Options'!$C:$C,$A154,'BSE - SENSEX Index Options'!$B:$B,D$147,'BSE - SENSEX Index Options'!$I:$I,"Monthly*")+SUMIFS('BSE - Other Index Options'!$M:$M,'BSE - Other Index Options'!$C:$C,$A154,'BSE - Other Index Options'!$B:$B,D$147,'BSE - Other Index Options'!$I:$I,"Monthly*")=0,"",SUMIFS('BSE - SENSEX Index Options'!$M:$M,'BSE - SENSEX Index Options'!$C:$C,$A154,'BSE - SENSEX Index Options'!$B:$B,D$147,'BSE - SENSEX Index Options'!$I:$I,"Monthly*")+SUMIFS('BSE - Other Index Options'!$M:$M,'BSE - Other Index Options'!$C:$C,$A154,'BSE - Other Index Options'!$B:$B,D$147,'BSE - Other Index Options'!$I:$I,"Monthly*"))</f>
        <v/>
      </c>
      <c r="E154" s="26">
        <f>IF(SUMIFS('BSE - SENSEX Index Options'!$M:$M,'BSE - SENSEX Index Options'!$C:$C,$A154,'BSE - SENSEX Index Options'!$B:$B,E$147,'BSE - SENSEX Index Options'!$I:$I,"Monthly*")+SUMIFS('BSE - Other Index Options'!$M:$M,'BSE - Other Index Options'!$C:$C,$A154,'BSE - Other Index Options'!$B:$B,E$147,'BSE - Other Index Options'!$I:$I,"Monthly*")=0,"",SUMIFS('BSE - SENSEX Index Options'!$M:$M,'BSE - SENSEX Index Options'!$C:$C,$A154,'BSE - SENSEX Index Options'!$B:$B,E$147,'BSE - SENSEX Index Options'!$I:$I,"Monthly*")+SUMIFS('BSE - Other Index Options'!$M:$M,'BSE - Other Index Options'!$C:$C,$A154,'BSE - Other Index Options'!$B:$B,E$147,'BSE - Other Index Options'!$I:$I,"Monthly*"))</f>
        <v/>
      </c>
      <c r="F154" s="26">
        <f>IF(SUMIFS('BSE - SENSEX Index Options'!$M:$M,'BSE - SENSEX Index Options'!$C:$C,$A154,'BSE - SENSEX Index Options'!$B:$B,F$147,'BSE - SENSEX Index Options'!$I:$I,"Monthly*")+SUMIFS('BSE - Other Index Options'!$M:$M,'BSE - Other Index Options'!$C:$C,$A154,'BSE - Other Index Options'!$B:$B,F$147,'BSE - Other Index Options'!$I:$I,"Monthly*")=0,"",SUMIFS('BSE - SENSEX Index Options'!$M:$M,'BSE - SENSEX Index Options'!$C:$C,$A154,'BSE - SENSEX Index Options'!$B:$B,F$147,'BSE - SENSEX Index Options'!$I:$I,"Monthly*")+SUMIFS('BSE - Other Index Options'!$M:$M,'BSE - Other Index Options'!$C:$C,$A154,'BSE - Other Index Options'!$B:$B,F$147,'BSE - Other Index Options'!$I:$I,"Monthly*"))</f>
        <v/>
      </c>
      <c r="G154" s="26">
        <f>IF(SUMIFS('BSE - SENSEX Index Options'!$M:$M,'BSE - SENSEX Index Options'!$C:$C,$A154,'BSE - SENSEX Index Options'!$B:$B,G$147,'BSE - SENSEX Index Options'!$I:$I,"Monthly*")+SUMIFS('BSE - Other Index Options'!$M:$M,'BSE - Other Index Options'!$C:$C,$A154,'BSE - Other Index Options'!$B:$B,G$147,'BSE - Other Index Options'!$I:$I,"Monthly*")=0,"",SUMIFS('BSE - SENSEX Index Options'!$M:$M,'BSE - SENSEX Index Options'!$C:$C,$A154,'BSE - SENSEX Index Options'!$B:$B,G$147,'BSE - SENSEX Index Options'!$I:$I,"Monthly*")+SUMIFS('BSE - Other Index Options'!$M:$M,'BSE - Other Index Options'!$C:$C,$A154,'BSE - Other Index Options'!$B:$B,G$147,'BSE - Other Index Options'!$I:$I,"Monthly*"))</f>
        <v/>
      </c>
      <c r="H154" s="26">
        <f>IF(SUM(B154:G154)=0,"",SUM(B154:G154))</f>
        <v/>
      </c>
    </row>
    <row r="155">
      <c r="A155" t="inlineStr">
        <is>
          <t>Week3-Oct-2025</t>
        </is>
      </c>
      <c r="B155" s="26">
        <f>IF(SUMIFS('BSE - SENSEX Index Options'!$M:$M,'BSE - SENSEX Index Options'!$C:$C,$A155,'BSE - SENSEX Index Options'!$B:$B,B$147,'BSE - SENSEX Index Options'!$I:$I,"Monthly*")+SUMIFS('BSE - Other Index Options'!$M:$M,'BSE - Other Index Options'!$C:$C,$A155,'BSE - Other Index Options'!$B:$B,B$147,'BSE - Other Index Options'!$I:$I,"Monthly*")=0,"",SUMIFS('BSE - SENSEX Index Options'!$M:$M,'BSE - SENSEX Index Options'!$C:$C,$A155,'BSE - SENSEX Index Options'!$B:$B,B$147,'BSE - SENSEX Index Options'!$I:$I,"Monthly*")+SUMIFS('BSE - Other Index Options'!$M:$M,'BSE - Other Index Options'!$C:$C,$A155,'BSE - Other Index Options'!$B:$B,B$147,'BSE - Other Index Options'!$I:$I,"Monthly*"))</f>
        <v/>
      </c>
      <c r="C155" s="26">
        <f>IF(SUMIFS('BSE - SENSEX Index Options'!$M:$M,'BSE - SENSEX Index Options'!$C:$C,$A155,'BSE - SENSEX Index Options'!$B:$B,C$147,'BSE - SENSEX Index Options'!$I:$I,"Monthly*")+SUMIFS('BSE - Other Index Options'!$M:$M,'BSE - Other Index Options'!$C:$C,$A155,'BSE - Other Index Options'!$B:$B,C$147,'BSE - Other Index Options'!$I:$I,"Monthly*")=0,"",SUMIFS('BSE - SENSEX Index Options'!$M:$M,'BSE - SENSEX Index Options'!$C:$C,$A155,'BSE - SENSEX Index Options'!$B:$B,C$147,'BSE - SENSEX Index Options'!$I:$I,"Monthly*")+SUMIFS('BSE - Other Index Options'!$M:$M,'BSE - Other Index Options'!$C:$C,$A155,'BSE - Other Index Options'!$B:$B,C$147,'BSE - Other Index Options'!$I:$I,"Monthly*"))</f>
        <v/>
      </c>
      <c r="D155" s="26">
        <f>IF(SUMIFS('BSE - SENSEX Index Options'!$M:$M,'BSE - SENSEX Index Options'!$C:$C,$A155,'BSE - SENSEX Index Options'!$B:$B,D$147,'BSE - SENSEX Index Options'!$I:$I,"Monthly*")+SUMIFS('BSE - Other Index Options'!$M:$M,'BSE - Other Index Options'!$C:$C,$A155,'BSE - Other Index Options'!$B:$B,D$147,'BSE - Other Index Options'!$I:$I,"Monthly*")=0,"",SUMIFS('BSE - SENSEX Index Options'!$M:$M,'BSE - SENSEX Index Options'!$C:$C,$A155,'BSE - SENSEX Index Options'!$B:$B,D$147,'BSE - SENSEX Index Options'!$I:$I,"Monthly*")+SUMIFS('BSE - Other Index Options'!$M:$M,'BSE - Other Index Options'!$C:$C,$A155,'BSE - Other Index Options'!$B:$B,D$147,'BSE - Other Index Options'!$I:$I,"Monthly*"))</f>
        <v/>
      </c>
      <c r="E155" s="26">
        <f>IF(SUMIFS('BSE - SENSEX Index Options'!$M:$M,'BSE - SENSEX Index Options'!$C:$C,$A155,'BSE - SENSEX Index Options'!$B:$B,E$147,'BSE - SENSEX Index Options'!$I:$I,"Monthly*")+SUMIFS('BSE - Other Index Options'!$M:$M,'BSE - Other Index Options'!$C:$C,$A155,'BSE - Other Index Options'!$B:$B,E$147,'BSE - Other Index Options'!$I:$I,"Monthly*")=0,"",SUMIFS('BSE - SENSEX Index Options'!$M:$M,'BSE - SENSEX Index Options'!$C:$C,$A155,'BSE - SENSEX Index Options'!$B:$B,E$147,'BSE - SENSEX Index Options'!$I:$I,"Monthly*")+SUMIFS('BSE - Other Index Options'!$M:$M,'BSE - Other Index Options'!$C:$C,$A155,'BSE - Other Index Options'!$B:$B,E$147,'BSE - Other Index Options'!$I:$I,"Monthly*"))</f>
        <v/>
      </c>
      <c r="F155" s="26">
        <f>IF(SUMIFS('BSE - SENSEX Index Options'!$M:$M,'BSE - SENSEX Index Options'!$C:$C,$A155,'BSE - SENSEX Index Options'!$B:$B,F$147,'BSE - SENSEX Index Options'!$I:$I,"Monthly*")+SUMIFS('BSE - Other Index Options'!$M:$M,'BSE - Other Index Options'!$C:$C,$A155,'BSE - Other Index Options'!$B:$B,F$147,'BSE - Other Index Options'!$I:$I,"Monthly*")=0,"",SUMIFS('BSE - SENSEX Index Options'!$M:$M,'BSE - SENSEX Index Options'!$C:$C,$A155,'BSE - SENSEX Index Options'!$B:$B,F$147,'BSE - SENSEX Index Options'!$I:$I,"Monthly*")+SUMIFS('BSE - Other Index Options'!$M:$M,'BSE - Other Index Options'!$C:$C,$A155,'BSE - Other Index Options'!$B:$B,F$147,'BSE - Other Index Options'!$I:$I,"Monthly*"))</f>
        <v/>
      </c>
      <c r="G155" s="26">
        <f>IF(SUMIFS('BSE - SENSEX Index Options'!$M:$M,'BSE - SENSEX Index Options'!$C:$C,$A155,'BSE - SENSEX Index Options'!$B:$B,G$147,'BSE - SENSEX Index Options'!$I:$I,"Monthly*")+SUMIFS('BSE - Other Index Options'!$M:$M,'BSE - Other Index Options'!$C:$C,$A155,'BSE - Other Index Options'!$B:$B,G$147,'BSE - Other Index Options'!$I:$I,"Monthly*")=0,"",SUMIFS('BSE - SENSEX Index Options'!$M:$M,'BSE - SENSEX Index Options'!$C:$C,$A155,'BSE - SENSEX Index Options'!$B:$B,G$147,'BSE - SENSEX Index Options'!$I:$I,"Monthly*")+SUMIFS('BSE - Other Index Options'!$M:$M,'BSE - Other Index Options'!$C:$C,$A155,'BSE - Other Index Options'!$B:$B,G$147,'BSE - Other Index Options'!$I:$I,"Monthly*"))</f>
        <v/>
      </c>
      <c r="H155" s="26">
        <f>IF(SUM(B155:G155)=0,"",SUM(B155:G155))</f>
        <v/>
      </c>
    </row>
    <row r="156">
      <c r="A156" t="inlineStr">
        <is>
          <t>Week4-Oct-2025</t>
        </is>
      </c>
      <c r="B156" s="26">
        <f>IF(SUMIFS('BSE - SENSEX Index Options'!$M:$M,'BSE - SENSEX Index Options'!$C:$C,$A156,'BSE - SENSEX Index Options'!$B:$B,B$147,'BSE - SENSEX Index Options'!$I:$I,"Monthly*")+SUMIFS('BSE - Other Index Options'!$M:$M,'BSE - Other Index Options'!$C:$C,$A156,'BSE - Other Index Options'!$B:$B,B$147,'BSE - Other Index Options'!$I:$I,"Monthly*")=0,"",SUMIFS('BSE - SENSEX Index Options'!$M:$M,'BSE - SENSEX Index Options'!$C:$C,$A156,'BSE - SENSEX Index Options'!$B:$B,B$147,'BSE - SENSEX Index Options'!$I:$I,"Monthly*")+SUMIFS('BSE - Other Index Options'!$M:$M,'BSE - Other Index Options'!$C:$C,$A156,'BSE - Other Index Options'!$B:$B,B$147,'BSE - Other Index Options'!$I:$I,"Monthly*"))</f>
        <v/>
      </c>
      <c r="C156" s="26">
        <f>IF(SUMIFS('BSE - SENSEX Index Options'!$M:$M,'BSE - SENSEX Index Options'!$C:$C,$A156,'BSE - SENSEX Index Options'!$B:$B,C$147,'BSE - SENSEX Index Options'!$I:$I,"Monthly*")+SUMIFS('BSE - Other Index Options'!$M:$M,'BSE - Other Index Options'!$C:$C,$A156,'BSE - Other Index Options'!$B:$B,C$147,'BSE - Other Index Options'!$I:$I,"Monthly*")=0,"",SUMIFS('BSE - SENSEX Index Options'!$M:$M,'BSE - SENSEX Index Options'!$C:$C,$A156,'BSE - SENSEX Index Options'!$B:$B,C$147,'BSE - SENSEX Index Options'!$I:$I,"Monthly*")+SUMIFS('BSE - Other Index Options'!$M:$M,'BSE - Other Index Options'!$C:$C,$A156,'BSE - Other Index Options'!$B:$B,C$147,'BSE - Other Index Options'!$I:$I,"Monthly*"))</f>
        <v/>
      </c>
      <c r="D156" s="26">
        <f>IF(SUMIFS('BSE - SENSEX Index Options'!$M:$M,'BSE - SENSEX Index Options'!$C:$C,$A156,'BSE - SENSEX Index Options'!$B:$B,D$147,'BSE - SENSEX Index Options'!$I:$I,"Monthly*")+SUMIFS('BSE - Other Index Options'!$M:$M,'BSE - Other Index Options'!$C:$C,$A156,'BSE - Other Index Options'!$B:$B,D$147,'BSE - Other Index Options'!$I:$I,"Monthly*")=0,"",SUMIFS('BSE - SENSEX Index Options'!$M:$M,'BSE - SENSEX Index Options'!$C:$C,$A156,'BSE - SENSEX Index Options'!$B:$B,D$147,'BSE - SENSEX Index Options'!$I:$I,"Monthly*")+SUMIFS('BSE - Other Index Options'!$M:$M,'BSE - Other Index Options'!$C:$C,$A156,'BSE - Other Index Options'!$B:$B,D$147,'BSE - Other Index Options'!$I:$I,"Monthly*"))</f>
        <v/>
      </c>
      <c r="E156" s="26">
        <f>IF(SUMIFS('BSE - SENSEX Index Options'!$M:$M,'BSE - SENSEX Index Options'!$C:$C,$A156,'BSE - SENSEX Index Options'!$B:$B,E$147,'BSE - SENSEX Index Options'!$I:$I,"Monthly*")+SUMIFS('BSE - Other Index Options'!$M:$M,'BSE - Other Index Options'!$C:$C,$A156,'BSE - Other Index Options'!$B:$B,E$147,'BSE - Other Index Options'!$I:$I,"Monthly*")=0,"",SUMIFS('BSE - SENSEX Index Options'!$M:$M,'BSE - SENSEX Index Options'!$C:$C,$A156,'BSE - SENSEX Index Options'!$B:$B,E$147,'BSE - SENSEX Index Options'!$I:$I,"Monthly*")+SUMIFS('BSE - Other Index Options'!$M:$M,'BSE - Other Index Options'!$C:$C,$A156,'BSE - Other Index Options'!$B:$B,E$147,'BSE - Other Index Options'!$I:$I,"Monthly*"))</f>
        <v/>
      </c>
      <c r="F156" s="26">
        <f>IF(SUMIFS('BSE - SENSEX Index Options'!$M:$M,'BSE - SENSEX Index Options'!$C:$C,$A156,'BSE - SENSEX Index Options'!$B:$B,F$147,'BSE - SENSEX Index Options'!$I:$I,"Monthly*")+SUMIFS('BSE - Other Index Options'!$M:$M,'BSE - Other Index Options'!$C:$C,$A156,'BSE - Other Index Options'!$B:$B,F$147,'BSE - Other Index Options'!$I:$I,"Monthly*")=0,"",SUMIFS('BSE - SENSEX Index Options'!$M:$M,'BSE - SENSEX Index Options'!$C:$C,$A156,'BSE - SENSEX Index Options'!$B:$B,F$147,'BSE - SENSEX Index Options'!$I:$I,"Monthly*")+SUMIFS('BSE - Other Index Options'!$M:$M,'BSE - Other Index Options'!$C:$C,$A156,'BSE - Other Index Options'!$B:$B,F$147,'BSE - Other Index Options'!$I:$I,"Monthly*"))</f>
        <v/>
      </c>
      <c r="G156" s="26">
        <f>IF(SUMIFS('BSE - SENSEX Index Options'!$M:$M,'BSE - SENSEX Index Options'!$C:$C,$A156,'BSE - SENSEX Index Options'!$B:$B,G$147,'BSE - SENSEX Index Options'!$I:$I,"Monthly*")+SUMIFS('BSE - Other Index Options'!$M:$M,'BSE - Other Index Options'!$C:$C,$A156,'BSE - Other Index Options'!$B:$B,G$147,'BSE - Other Index Options'!$I:$I,"Monthly*")=0,"",SUMIFS('BSE - SENSEX Index Options'!$M:$M,'BSE - SENSEX Index Options'!$C:$C,$A156,'BSE - SENSEX Index Options'!$B:$B,G$147,'BSE - SENSEX Index Options'!$I:$I,"Monthly*")+SUMIFS('BSE - Other Index Options'!$M:$M,'BSE - Other Index Options'!$C:$C,$A156,'BSE - Other Index Options'!$B:$B,G$147,'BSE - Other Index Options'!$I:$I,"Monthly*"))</f>
        <v/>
      </c>
      <c r="H156" s="26">
        <f>IF(SUM(B156:G156)=0,"",SUM(B156:G156))</f>
        <v/>
      </c>
    </row>
    <row r="157">
      <c r="A157" t="inlineStr">
        <is>
          <t>Week5-Oct-2025</t>
        </is>
      </c>
      <c r="B157" s="26">
        <f>IF(SUMIFS('BSE - SENSEX Index Options'!$M:$M,'BSE - SENSEX Index Options'!$C:$C,$A157,'BSE - SENSEX Index Options'!$B:$B,B$147,'BSE - SENSEX Index Options'!$I:$I,"Monthly*")+SUMIFS('BSE - Other Index Options'!$M:$M,'BSE - Other Index Options'!$C:$C,$A157,'BSE - Other Index Options'!$B:$B,B$147,'BSE - Other Index Options'!$I:$I,"Monthly*")=0,"",SUMIFS('BSE - SENSEX Index Options'!$M:$M,'BSE - SENSEX Index Options'!$C:$C,$A157,'BSE - SENSEX Index Options'!$B:$B,B$147,'BSE - SENSEX Index Options'!$I:$I,"Monthly*")+SUMIFS('BSE - Other Index Options'!$M:$M,'BSE - Other Index Options'!$C:$C,$A157,'BSE - Other Index Options'!$B:$B,B$147,'BSE - Other Index Options'!$I:$I,"Monthly*"))</f>
        <v/>
      </c>
      <c r="C157" s="26">
        <f>IF(SUMIFS('BSE - SENSEX Index Options'!$M:$M,'BSE - SENSEX Index Options'!$C:$C,$A157,'BSE - SENSEX Index Options'!$B:$B,C$147,'BSE - SENSEX Index Options'!$I:$I,"Monthly*")+SUMIFS('BSE - Other Index Options'!$M:$M,'BSE - Other Index Options'!$C:$C,$A157,'BSE - Other Index Options'!$B:$B,C$147,'BSE - Other Index Options'!$I:$I,"Monthly*")=0,"",SUMIFS('BSE - SENSEX Index Options'!$M:$M,'BSE - SENSEX Index Options'!$C:$C,$A157,'BSE - SENSEX Index Options'!$B:$B,C$147,'BSE - SENSEX Index Options'!$I:$I,"Monthly*")+SUMIFS('BSE - Other Index Options'!$M:$M,'BSE - Other Index Options'!$C:$C,$A157,'BSE - Other Index Options'!$B:$B,C$147,'BSE - Other Index Options'!$I:$I,"Monthly*"))</f>
        <v/>
      </c>
      <c r="D157" s="26">
        <f>IF(SUMIFS('BSE - SENSEX Index Options'!$M:$M,'BSE - SENSEX Index Options'!$C:$C,$A157,'BSE - SENSEX Index Options'!$B:$B,D$147,'BSE - SENSEX Index Options'!$I:$I,"Monthly*")+SUMIFS('BSE - Other Index Options'!$M:$M,'BSE - Other Index Options'!$C:$C,$A157,'BSE - Other Index Options'!$B:$B,D$147,'BSE - Other Index Options'!$I:$I,"Monthly*")=0,"",SUMIFS('BSE - SENSEX Index Options'!$M:$M,'BSE - SENSEX Index Options'!$C:$C,$A157,'BSE - SENSEX Index Options'!$B:$B,D$147,'BSE - SENSEX Index Options'!$I:$I,"Monthly*")+SUMIFS('BSE - Other Index Options'!$M:$M,'BSE - Other Index Options'!$C:$C,$A157,'BSE - Other Index Options'!$B:$B,D$147,'BSE - Other Index Options'!$I:$I,"Monthly*"))</f>
        <v/>
      </c>
      <c r="E157" s="26">
        <f>IF(SUMIFS('BSE - SENSEX Index Options'!$M:$M,'BSE - SENSEX Index Options'!$C:$C,$A157,'BSE - SENSEX Index Options'!$B:$B,E$147,'BSE - SENSEX Index Options'!$I:$I,"Monthly*")+SUMIFS('BSE - Other Index Options'!$M:$M,'BSE - Other Index Options'!$C:$C,$A157,'BSE - Other Index Options'!$B:$B,E$147,'BSE - Other Index Options'!$I:$I,"Monthly*")=0,"",SUMIFS('BSE - SENSEX Index Options'!$M:$M,'BSE - SENSEX Index Options'!$C:$C,$A157,'BSE - SENSEX Index Options'!$B:$B,E$147,'BSE - SENSEX Index Options'!$I:$I,"Monthly*")+SUMIFS('BSE - Other Index Options'!$M:$M,'BSE - Other Index Options'!$C:$C,$A157,'BSE - Other Index Options'!$B:$B,E$147,'BSE - Other Index Options'!$I:$I,"Monthly*"))</f>
        <v/>
      </c>
      <c r="F157" s="26">
        <f>IF(SUMIFS('BSE - SENSEX Index Options'!$M:$M,'BSE - SENSEX Index Options'!$C:$C,$A157,'BSE - SENSEX Index Options'!$B:$B,F$147,'BSE - SENSEX Index Options'!$I:$I,"Monthly*")+SUMIFS('BSE - Other Index Options'!$M:$M,'BSE - Other Index Options'!$C:$C,$A157,'BSE - Other Index Options'!$B:$B,F$147,'BSE - Other Index Options'!$I:$I,"Monthly*")=0,"",SUMIFS('BSE - SENSEX Index Options'!$M:$M,'BSE - SENSEX Index Options'!$C:$C,$A157,'BSE - SENSEX Index Options'!$B:$B,F$147,'BSE - SENSEX Index Options'!$I:$I,"Monthly*")+SUMIFS('BSE - Other Index Options'!$M:$M,'BSE - Other Index Options'!$C:$C,$A157,'BSE - Other Index Options'!$B:$B,F$147,'BSE - Other Index Options'!$I:$I,"Monthly*"))</f>
        <v/>
      </c>
      <c r="G157" s="26">
        <f>IF(SUMIFS('BSE - SENSEX Index Options'!$M:$M,'BSE - SENSEX Index Options'!$C:$C,$A157,'BSE - SENSEX Index Options'!$B:$B,G$147,'BSE - SENSEX Index Options'!$I:$I,"Monthly*")+SUMIFS('BSE - Other Index Options'!$M:$M,'BSE - Other Index Options'!$C:$C,$A157,'BSE - Other Index Options'!$B:$B,G$147,'BSE - Other Index Options'!$I:$I,"Monthly*")=0,"",SUMIFS('BSE - SENSEX Index Options'!$M:$M,'BSE - SENSEX Index Options'!$C:$C,$A157,'BSE - SENSEX Index Options'!$B:$B,G$147,'BSE - SENSEX Index Options'!$I:$I,"Monthly*")+SUMIFS('BSE - Other Index Options'!$M:$M,'BSE - Other Index Options'!$C:$C,$A157,'BSE - Other Index Options'!$B:$B,G$147,'BSE - Other Index Options'!$I:$I,"Monthly*"))</f>
        <v/>
      </c>
      <c r="H157" s="26">
        <f>IF(SUM(B157:G157)=0,"",SUM(B157:G157))</f>
        <v/>
      </c>
    </row>
    <row r="158">
      <c r="A158" t="inlineStr">
        <is>
          <t>Week1-Nov-2025</t>
        </is>
      </c>
      <c r="B158" s="26">
        <f>IF(SUMIFS('BSE - SENSEX Index Options'!$M:$M,'BSE - SENSEX Index Options'!$C:$C,$A158,'BSE - SENSEX Index Options'!$B:$B,B$147,'BSE - SENSEX Index Options'!$I:$I,"Monthly*")+SUMIFS('BSE - Other Index Options'!$M:$M,'BSE - Other Index Options'!$C:$C,$A158,'BSE - Other Index Options'!$B:$B,B$147,'BSE - Other Index Options'!$I:$I,"Monthly*")=0,"",SUMIFS('BSE - SENSEX Index Options'!$M:$M,'BSE - SENSEX Index Options'!$C:$C,$A158,'BSE - SENSEX Index Options'!$B:$B,B$147,'BSE - SENSEX Index Options'!$I:$I,"Monthly*")+SUMIFS('BSE - Other Index Options'!$M:$M,'BSE - Other Index Options'!$C:$C,$A158,'BSE - Other Index Options'!$B:$B,B$147,'BSE - Other Index Options'!$I:$I,"Monthly*"))</f>
        <v/>
      </c>
      <c r="C158" s="26">
        <f>IF(SUMIFS('BSE - SENSEX Index Options'!$M:$M,'BSE - SENSEX Index Options'!$C:$C,$A158,'BSE - SENSEX Index Options'!$B:$B,C$147,'BSE - SENSEX Index Options'!$I:$I,"Monthly*")+SUMIFS('BSE - Other Index Options'!$M:$M,'BSE - Other Index Options'!$C:$C,$A158,'BSE - Other Index Options'!$B:$B,C$147,'BSE - Other Index Options'!$I:$I,"Monthly*")=0,"",SUMIFS('BSE - SENSEX Index Options'!$M:$M,'BSE - SENSEX Index Options'!$C:$C,$A158,'BSE - SENSEX Index Options'!$B:$B,C$147,'BSE - SENSEX Index Options'!$I:$I,"Monthly*")+SUMIFS('BSE - Other Index Options'!$M:$M,'BSE - Other Index Options'!$C:$C,$A158,'BSE - Other Index Options'!$B:$B,C$147,'BSE - Other Index Options'!$I:$I,"Monthly*"))</f>
        <v/>
      </c>
      <c r="D158" s="26">
        <f>IF(SUMIFS('BSE - SENSEX Index Options'!$M:$M,'BSE - SENSEX Index Options'!$C:$C,$A158,'BSE - SENSEX Index Options'!$B:$B,D$147,'BSE - SENSEX Index Options'!$I:$I,"Monthly*")+SUMIFS('BSE - Other Index Options'!$M:$M,'BSE - Other Index Options'!$C:$C,$A158,'BSE - Other Index Options'!$B:$B,D$147,'BSE - Other Index Options'!$I:$I,"Monthly*")=0,"",SUMIFS('BSE - SENSEX Index Options'!$M:$M,'BSE - SENSEX Index Options'!$C:$C,$A158,'BSE - SENSEX Index Options'!$B:$B,D$147,'BSE - SENSEX Index Options'!$I:$I,"Monthly*")+SUMIFS('BSE - Other Index Options'!$M:$M,'BSE - Other Index Options'!$C:$C,$A158,'BSE - Other Index Options'!$B:$B,D$147,'BSE - Other Index Options'!$I:$I,"Monthly*"))</f>
        <v/>
      </c>
      <c r="E158" s="26">
        <f>IF(SUMIFS('BSE - SENSEX Index Options'!$M:$M,'BSE - SENSEX Index Options'!$C:$C,$A158,'BSE - SENSEX Index Options'!$B:$B,E$147,'BSE - SENSEX Index Options'!$I:$I,"Monthly*")+SUMIFS('BSE - Other Index Options'!$M:$M,'BSE - Other Index Options'!$C:$C,$A158,'BSE - Other Index Options'!$B:$B,E$147,'BSE - Other Index Options'!$I:$I,"Monthly*")=0,"",SUMIFS('BSE - SENSEX Index Options'!$M:$M,'BSE - SENSEX Index Options'!$C:$C,$A158,'BSE - SENSEX Index Options'!$B:$B,E$147,'BSE - SENSEX Index Options'!$I:$I,"Monthly*")+SUMIFS('BSE - Other Index Options'!$M:$M,'BSE - Other Index Options'!$C:$C,$A158,'BSE - Other Index Options'!$B:$B,E$147,'BSE - Other Index Options'!$I:$I,"Monthly*"))</f>
        <v/>
      </c>
      <c r="F158" s="26">
        <f>IF(SUMIFS('BSE - SENSEX Index Options'!$M:$M,'BSE - SENSEX Index Options'!$C:$C,$A158,'BSE - SENSEX Index Options'!$B:$B,F$147,'BSE - SENSEX Index Options'!$I:$I,"Monthly*")+SUMIFS('BSE - Other Index Options'!$M:$M,'BSE - Other Index Options'!$C:$C,$A158,'BSE - Other Index Options'!$B:$B,F$147,'BSE - Other Index Options'!$I:$I,"Monthly*")=0,"",SUMIFS('BSE - SENSEX Index Options'!$M:$M,'BSE - SENSEX Index Options'!$C:$C,$A158,'BSE - SENSEX Index Options'!$B:$B,F$147,'BSE - SENSEX Index Options'!$I:$I,"Monthly*")+SUMIFS('BSE - Other Index Options'!$M:$M,'BSE - Other Index Options'!$C:$C,$A158,'BSE - Other Index Options'!$B:$B,F$147,'BSE - Other Index Options'!$I:$I,"Monthly*"))</f>
        <v/>
      </c>
      <c r="G158" s="26">
        <f>IF(SUMIFS('BSE - SENSEX Index Options'!$M:$M,'BSE - SENSEX Index Options'!$C:$C,$A158,'BSE - SENSEX Index Options'!$B:$B,G$147,'BSE - SENSEX Index Options'!$I:$I,"Monthly*")+SUMIFS('BSE - Other Index Options'!$M:$M,'BSE - Other Index Options'!$C:$C,$A158,'BSE - Other Index Options'!$B:$B,G$147,'BSE - Other Index Options'!$I:$I,"Monthly*")=0,"",SUMIFS('BSE - SENSEX Index Options'!$M:$M,'BSE - SENSEX Index Options'!$C:$C,$A158,'BSE - SENSEX Index Options'!$B:$B,G$147,'BSE - SENSEX Index Options'!$I:$I,"Monthly*")+SUMIFS('BSE - Other Index Options'!$M:$M,'BSE - Other Index Options'!$C:$C,$A158,'BSE - Other Index Options'!$B:$B,G$147,'BSE - Other Index Options'!$I:$I,"Monthly*"))</f>
        <v/>
      </c>
      <c r="H158" s="26">
        <f>IF(SUM(B158:G158)=0,"",SUM(B158:G158))</f>
        <v/>
      </c>
    </row>
    <row r="159">
      <c r="A159" t="inlineStr">
        <is>
          <t>Week2-Nov-2025</t>
        </is>
      </c>
      <c r="B159" s="26">
        <f>IF(SUMIFS('BSE - SENSEX Index Options'!$M:$M,'BSE - SENSEX Index Options'!$C:$C,$A159,'BSE - SENSEX Index Options'!$B:$B,B$147,'BSE - SENSEX Index Options'!$I:$I,"Monthly*")+SUMIFS('BSE - Other Index Options'!$M:$M,'BSE - Other Index Options'!$C:$C,$A159,'BSE - Other Index Options'!$B:$B,B$147,'BSE - Other Index Options'!$I:$I,"Monthly*")=0,"",SUMIFS('BSE - SENSEX Index Options'!$M:$M,'BSE - SENSEX Index Options'!$C:$C,$A159,'BSE - SENSEX Index Options'!$B:$B,B$147,'BSE - SENSEX Index Options'!$I:$I,"Monthly*")+SUMIFS('BSE - Other Index Options'!$M:$M,'BSE - Other Index Options'!$C:$C,$A159,'BSE - Other Index Options'!$B:$B,B$147,'BSE - Other Index Options'!$I:$I,"Monthly*"))</f>
        <v/>
      </c>
      <c r="C159" s="26">
        <f>IF(SUMIFS('BSE - SENSEX Index Options'!$M:$M,'BSE - SENSEX Index Options'!$C:$C,$A159,'BSE - SENSEX Index Options'!$B:$B,C$147,'BSE - SENSEX Index Options'!$I:$I,"Monthly*")+SUMIFS('BSE - Other Index Options'!$M:$M,'BSE - Other Index Options'!$C:$C,$A159,'BSE - Other Index Options'!$B:$B,C$147,'BSE - Other Index Options'!$I:$I,"Monthly*")=0,"",SUMIFS('BSE - SENSEX Index Options'!$M:$M,'BSE - SENSEX Index Options'!$C:$C,$A159,'BSE - SENSEX Index Options'!$B:$B,C$147,'BSE - SENSEX Index Options'!$I:$I,"Monthly*")+SUMIFS('BSE - Other Index Options'!$M:$M,'BSE - Other Index Options'!$C:$C,$A159,'BSE - Other Index Options'!$B:$B,C$147,'BSE - Other Index Options'!$I:$I,"Monthly*"))</f>
        <v/>
      </c>
      <c r="D159" s="26">
        <f>IF(SUMIFS('BSE - SENSEX Index Options'!$M:$M,'BSE - SENSEX Index Options'!$C:$C,$A159,'BSE - SENSEX Index Options'!$B:$B,D$147,'BSE - SENSEX Index Options'!$I:$I,"Monthly*")+SUMIFS('BSE - Other Index Options'!$M:$M,'BSE - Other Index Options'!$C:$C,$A159,'BSE - Other Index Options'!$B:$B,D$147,'BSE - Other Index Options'!$I:$I,"Monthly*")=0,"",SUMIFS('BSE - SENSEX Index Options'!$M:$M,'BSE - SENSEX Index Options'!$C:$C,$A159,'BSE - SENSEX Index Options'!$B:$B,D$147,'BSE - SENSEX Index Options'!$I:$I,"Monthly*")+SUMIFS('BSE - Other Index Options'!$M:$M,'BSE - Other Index Options'!$C:$C,$A159,'BSE - Other Index Options'!$B:$B,D$147,'BSE - Other Index Options'!$I:$I,"Monthly*"))</f>
        <v/>
      </c>
      <c r="E159" s="26">
        <f>IF(SUMIFS('BSE - SENSEX Index Options'!$M:$M,'BSE - SENSEX Index Options'!$C:$C,$A159,'BSE - SENSEX Index Options'!$B:$B,E$147,'BSE - SENSEX Index Options'!$I:$I,"Monthly*")+SUMIFS('BSE - Other Index Options'!$M:$M,'BSE - Other Index Options'!$C:$C,$A159,'BSE - Other Index Options'!$B:$B,E$147,'BSE - Other Index Options'!$I:$I,"Monthly*")=0,"",SUMIFS('BSE - SENSEX Index Options'!$M:$M,'BSE - SENSEX Index Options'!$C:$C,$A159,'BSE - SENSEX Index Options'!$B:$B,E$147,'BSE - SENSEX Index Options'!$I:$I,"Monthly*")+SUMIFS('BSE - Other Index Options'!$M:$M,'BSE - Other Index Options'!$C:$C,$A159,'BSE - Other Index Options'!$B:$B,E$147,'BSE - Other Index Options'!$I:$I,"Monthly*"))</f>
        <v/>
      </c>
      <c r="F159" s="26">
        <f>IF(SUMIFS('BSE - SENSEX Index Options'!$M:$M,'BSE - SENSEX Index Options'!$C:$C,$A159,'BSE - SENSEX Index Options'!$B:$B,F$147,'BSE - SENSEX Index Options'!$I:$I,"Monthly*")+SUMIFS('BSE - Other Index Options'!$M:$M,'BSE - Other Index Options'!$C:$C,$A159,'BSE - Other Index Options'!$B:$B,F$147,'BSE - Other Index Options'!$I:$I,"Monthly*")=0,"",SUMIFS('BSE - SENSEX Index Options'!$M:$M,'BSE - SENSEX Index Options'!$C:$C,$A159,'BSE - SENSEX Index Options'!$B:$B,F$147,'BSE - SENSEX Index Options'!$I:$I,"Monthly*")+SUMIFS('BSE - Other Index Options'!$M:$M,'BSE - Other Index Options'!$C:$C,$A159,'BSE - Other Index Options'!$B:$B,F$147,'BSE - Other Index Options'!$I:$I,"Monthly*"))</f>
        <v/>
      </c>
      <c r="G159" s="26">
        <f>IF(SUMIFS('BSE - SENSEX Index Options'!$M:$M,'BSE - SENSEX Index Options'!$C:$C,$A159,'BSE - SENSEX Index Options'!$B:$B,G$147,'BSE - SENSEX Index Options'!$I:$I,"Monthly*")+SUMIFS('BSE - Other Index Options'!$M:$M,'BSE - Other Index Options'!$C:$C,$A159,'BSE - Other Index Options'!$B:$B,G$147,'BSE - Other Index Options'!$I:$I,"Monthly*")=0,"",SUMIFS('BSE - SENSEX Index Options'!$M:$M,'BSE - SENSEX Index Options'!$C:$C,$A159,'BSE - SENSEX Index Options'!$B:$B,G$147,'BSE - SENSEX Index Options'!$I:$I,"Monthly*")+SUMIFS('BSE - Other Index Options'!$M:$M,'BSE - Other Index Options'!$C:$C,$A159,'BSE - Other Index Options'!$B:$B,G$147,'BSE - Other Index Options'!$I:$I,"Monthly*"))</f>
        <v/>
      </c>
      <c r="H159" s="26">
        <f>IF(SUM(B159:G159)=0,"",SUM(B159:G159))</f>
        <v/>
      </c>
    </row>
    <row r="160">
      <c r="A160" t="inlineStr">
        <is>
          <t>Week3-Nov-2025</t>
        </is>
      </c>
      <c r="B160" s="26">
        <f>IF(SUMIFS('BSE - SENSEX Index Options'!$M:$M,'BSE - SENSEX Index Options'!$C:$C,$A160,'BSE - SENSEX Index Options'!$B:$B,B$147,'BSE - SENSEX Index Options'!$I:$I,"Monthly*")+SUMIFS('BSE - Other Index Options'!$M:$M,'BSE - Other Index Options'!$C:$C,$A160,'BSE - Other Index Options'!$B:$B,B$147,'BSE - Other Index Options'!$I:$I,"Monthly*")=0,"",SUMIFS('BSE - SENSEX Index Options'!$M:$M,'BSE - SENSEX Index Options'!$C:$C,$A160,'BSE - SENSEX Index Options'!$B:$B,B$147,'BSE - SENSEX Index Options'!$I:$I,"Monthly*")+SUMIFS('BSE - Other Index Options'!$M:$M,'BSE - Other Index Options'!$C:$C,$A160,'BSE - Other Index Options'!$B:$B,B$147,'BSE - Other Index Options'!$I:$I,"Monthly*"))</f>
        <v/>
      </c>
      <c r="C160" s="26">
        <f>IF(SUMIFS('BSE - SENSEX Index Options'!$M:$M,'BSE - SENSEX Index Options'!$C:$C,$A160,'BSE - SENSEX Index Options'!$B:$B,C$147,'BSE - SENSEX Index Options'!$I:$I,"Monthly*")+SUMIFS('BSE - Other Index Options'!$M:$M,'BSE - Other Index Options'!$C:$C,$A160,'BSE - Other Index Options'!$B:$B,C$147,'BSE - Other Index Options'!$I:$I,"Monthly*")=0,"",SUMIFS('BSE - SENSEX Index Options'!$M:$M,'BSE - SENSEX Index Options'!$C:$C,$A160,'BSE - SENSEX Index Options'!$B:$B,C$147,'BSE - SENSEX Index Options'!$I:$I,"Monthly*")+SUMIFS('BSE - Other Index Options'!$M:$M,'BSE - Other Index Options'!$C:$C,$A160,'BSE - Other Index Options'!$B:$B,C$147,'BSE - Other Index Options'!$I:$I,"Monthly*"))</f>
        <v/>
      </c>
      <c r="D160" s="26">
        <f>IF(SUMIFS('BSE - SENSEX Index Options'!$M:$M,'BSE - SENSEX Index Options'!$C:$C,$A160,'BSE - SENSEX Index Options'!$B:$B,D$147,'BSE - SENSEX Index Options'!$I:$I,"Monthly*")+SUMIFS('BSE - Other Index Options'!$M:$M,'BSE - Other Index Options'!$C:$C,$A160,'BSE - Other Index Options'!$B:$B,D$147,'BSE - Other Index Options'!$I:$I,"Monthly*")=0,"",SUMIFS('BSE - SENSEX Index Options'!$M:$M,'BSE - SENSEX Index Options'!$C:$C,$A160,'BSE - SENSEX Index Options'!$B:$B,D$147,'BSE - SENSEX Index Options'!$I:$I,"Monthly*")+SUMIFS('BSE - Other Index Options'!$M:$M,'BSE - Other Index Options'!$C:$C,$A160,'BSE - Other Index Options'!$B:$B,D$147,'BSE - Other Index Options'!$I:$I,"Monthly*"))</f>
        <v/>
      </c>
      <c r="E160" s="26">
        <f>IF(SUMIFS('BSE - SENSEX Index Options'!$M:$M,'BSE - SENSEX Index Options'!$C:$C,$A160,'BSE - SENSEX Index Options'!$B:$B,E$147,'BSE - SENSEX Index Options'!$I:$I,"Monthly*")+SUMIFS('BSE - Other Index Options'!$M:$M,'BSE - Other Index Options'!$C:$C,$A160,'BSE - Other Index Options'!$B:$B,E$147,'BSE - Other Index Options'!$I:$I,"Monthly*")=0,"",SUMIFS('BSE - SENSEX Index Options'!$M:$M,'BSE - SENSEX Index Options'!$C:$C,$A160,'BSE - SENSEX Index Options'!$B:$B,E$147,'BSE - SENSEX Index Options'!$I:$I,"Monthly*")+SUMIFS('BSE - Other Index Options'!$M:$M,'BSE - Other Index Options'!$C:$C,$A160,'BSE - Other Index Options'!$B:$B,E$147,'BSE - Other Index Options'!$I:$I,"Monthly*"))</f>
        <v/>
      </c>
      <c r="F160" s="26">
        <f>IF(SUMIFS('BSE - SENSEX Index Options'!$M:$M,'BSE - SENSEX Index Options'!$C:$C,$A160,'BSE - SENSEX Index Options'!$B:$B,F$147,'BSE - SENSEX Index Options'!$I:$I,"Monthly*")+SUMIFS('BSE - Other Index Options'!$M:$M,'BSE - Other Index Options'!$C:$C,$A160,'BSE - Other Index Options'!$B:$B,F$147,'BSE - Other Index Options'!$I:$I,"Monthly*")=0,"",SUMIFS('BSE - SENSEX Index Options'!$M:$M,'BSE - SENSEX Index Options'!$C:$C,$A160,'BSE - SENSEX Index Options'!$B:$B,F$147,'BSE - SENSEX Index Options'!$I:$I,"Monthly*")+SUMIFS('BSE - Other Index Options'!$M:$M,'BSE - Other Index Options'!$C:$C,$A160,'BSE - Other Index Options'!$B:$B,F$147,'BSE - Other Index Options'!$I:$I,"Monthly*"))</f>
        <v/>
      </c>
      <c r="G160" s="26">
        <f>IF(SUMIFS('BSE - SENSEX Index Options'!$M:$M,'BSE - SENSEX Index Options'!$C:$C,$A160,'BSE - SENSEX Index Options'!$B:$B,G$147,'BSE - SENSEX Index Options'!$I:$I,"Monthly*")+SUMIFS('BSE - Other Index Options'!$M:$M,'BSE - Other Index Options'!$C:$C,$A160,'BSE - Other Index Options'!$B:$B,G$147,'BSE - Other Index Options'!$I:$I,"Monthly*")=0,"",SUMIFS('BSE - SENSEX Index Options'!$M:$M,'BSE - SENSEX Index Options'!$C:$C,$A160,'BSE - SENSEX Index Options'!$B:$B,G$147,'BSE - SENSEX Index Options'!$I:$I,"Monthly*")+SUMIFS('BSE - Other Index Options'!$M:$M,'BSE - Other Index Options'!$C:$C,$A160,'BSE - Other Index Options'!$B:$B,G$147,'BSE - Other Index Options'!$I:$I,"Monthly*"))</f>
        <v/>
      </c>
      <c r="H160" s="26">
        <f>IF(SUM(B160:G160)=0,"",SUM(B160:G160))</f>
        <v/>
      </c>
    </row>
    <row r="161">
      <c r="A161" t="inlineStr">
        <is>
          <t>Week4-Nov-2025</t>
        </is>
      </c>
      <c r="B161" s="26">
        <f>IF(SUMIFS('BSE - SENSEX Index Options'!$M:$M,'BSE - SENSEX Index Options'!$C:$C,$A161,'BSE - SENSEX Index Options'!$B:$B,B$147,'BSE - SENSEX Index Options'!$I:$I,"Monthly*")+SUMIFS('BSE - Other Index Options'!$M:$M,'BSE - Other Index Options'!$C:$C,$A161,'BSE - Other Index Options'!$B:$B,B$147,'BSE - Other Index Options'!$I:$I,"Monthly*")=0,"",SUMIFS('BSE - SENSEX Index Options'!$M:$M,'BSE - SENSEX Index Options'!$C:$C,$A161,'BSE - SENSEX Index Options'!$B:$B,B$147,'BSE - SENSEX Index Options'!$I:$I,"Monthly*")+SUMIFS('BSE - Other Index Options'!$M:$M,'BSE - Other Index Options'!$C:$C,$A161,'BSE - Other Index Options'!$B:$B,B$147,'BSE - Other Index Options'!$I:$I,"Monthly*"))</f>
        <v/>
      </c>
      <c r="C161" s="26">
        <f>IF(SUMIFS('BSE - SENSEX Index Options'!$M:$M,'BSE - SENSEX Index Options'!$C:$C,$A161,'BSE - SENSEX Index Options'!$B:$B,C$147,'BSE - SENSEX Index Options'!$I:$I,"Monthly*")+SUMIFS('BSE - Other Index Options'!$M:$M,'BSE - Other Index Options'!$C:$C,$A161,'BSE - Other Index Options'!$B:$B,C$147,'BSE - Other Index Options'!$I:$I,"Monthly*")=0,"",SUMIFS('BSE - SENSEX Index Options'!$M:$M,'BSE - SENSEX Index Options'!$C:$C,$A161,'BSE - SENSEX Index Options'!$B:$B,C$147,'BSE - SENSEX Index Options'!$I:$I,"Monthly*")+SUMIFS('BSE - Other Index Options'!$M:$M,'BSE - Other Index Options'!$C:$C,$A161,'BSE - Other Index Options'!$B:$B,C$147,'BSE - Other Index Options'!$I:$I,"Monthly*"))</f>
        <v/>
      </c>
      <c r="D161" s="26">
        <f>IF(SUMIFS('BSE - SENSEX Index Options'!$M:$M,'BSE - SENSEX Index Options'!$C:$C,$A161,'BSE - SENSEX Index Options'!$B:$B,D$147,'BSE - SENSEX Index Options'!$I:$I,"Monthly*")+SUMIFS('BSE - Other Index Options'!$M:$M,'BSE - Other Index Options'!$C:$C,$A161,'BSE - Other Index Options'!$B:$B,D$147,'BSE - Other Index Options'!$I:$I,"Monthly*")=0,"",SUMIFS('BSE - SENSEX Index Options'!$M:$M,'BSE - SENSEX Index Options'!$C:$C,$A161,'BSE - SENSEX Index Options'!$B:$B,D$147,'BSE - SENSEX Index Options'!$I:$I,"Monthly*")+SUMIFS('BSE - Other Index Options'!$M:$M,'BSE - Other Index Options'!$C:$C,$A161,'BSE - Other Index Options'!$B:$B,D$147,'BSE - Other Index Options'!$I:$I,"Monthly*"))</f>
        <v/>
      </c>
      <c r="E161" s="26">
        <f>IF(SUMIFS('BSE - SENSEX Index Options'!$M:$M,'BSE - SENSEX Index Options'!$C:$C,$A161,'BSE - SENSEX Index Options'!$B:$B,E$147,'BSE - SENSEX Index Options'!$I:$I,"Monthly*")+SUMIFS('BSE - Other Index Options'!$M:$M,'BSE - Other Index Options'!$C:$C,$A161,'BSE - Other Index Options'!$B:$B,E$147,'BSE - Other Index Options'!$I:$I,"Monthly*")=0,"",SUMIFS('BSE - SENSEX Index Options'!$M:$M,'BSE - SENSEX Index Options'!$C:$C,$A161,'BSE - SENSEX Index Options'!$B:$B,E$147,'BSE - SENSEX Index Options'!$I:$I,"Monthly*")+SUMIFS('BSE - Other Index Options'!$M:$M,'BSE - Other Index Options'!$C:$C,$A161,'BSE - Other Index Options'!$B:$B,E$147,'BSE - Other Index Options'!$I:$I,"Monthly*"))</f>
        <v/>
      </c>
      <c r="F161" s="26">
        <f>IF(SUMIFS('BSE - SENSEX Index Options'!$M:$M,'BSE - SENSEX Index Options'!$C:$C,$A161,'BSE - SENSEX Index Options'!$B:$B,F$147,'BSE - SENSEX Index Options'!$I:$I,"Monthly*")+SUMIFS('BSE - Other Index Options'!$M:$M,'BSE - Other Index Options'!$C:$C,$A161,'BSE - Other Index Options'!$B:$B,F$147,'BSE - Other Index Options'!$I:$I,"Monthly*")=0,"",SUMIFS('BSE - SENSEX Index Options'!$M:$M,'BSE - SENSEX Index Options'!$C:$C,$A161,'BSE - SENSEX Index Options'!$B:$B,F$147,'BSE - SENSEX Index Options'!$I:$I,"Monthly*")+SUMIFS('BSE - Other Index Options'!$M:$M,'BSE - Other Index Options'!$C:$C,$A161,'BSE - Other Index Options'!$B:$B,F$147,'BSE - Other Index Options'!$I:$I,"Monthly*"))</f>
        <v/>
      </c>
      <c r="G161" s="26">
        <f>IF(SUMIFS('BSE - SENSEX Index Options'!$M:$M,'BSE - SENSEX Index Options'!$C:$C,$A161,'BSE - SENSEX Index Options'!$B:$B,G$147,'BSE - SENSEX Index Options'!$I:$I,"Monthly*")+SUMIFS('BSE - Other Index Options'!$M:$M,'BSE - Other Index Options'!$C:$C,$A161,'BSE - Other Index Options'!$B:$B,G$147,'BSE - Other Index Options'!$I:$I,"Monthly*")=0,"",SUMIFS('BSE - SENSEX Index Options'!$M:$M,'BSE - SENSEX Index Options'!$C:$C,$A161,'BSE - SENSEX Index Options'!$B:$B,G$147,'BSE - SENSEX Index Options'!$I:$I,"Monthly*")+SUMIFS('BSE - Other Index Options'!$M:$M,'BSE - Other Index Options'!$C:$C,$A161,'BSE - Other Index Options'!$B:$B,G$147,'BSE - Other Index Options'!$I:$I,"Monthly*"))</f>
        <v/>
      </c>
      <c r="H161" s="26">
        <f>IF(SUM(B161:G161)=0,"",SUM(B161:G161))</f>
        <v/>
      </c>
    </row>
    <row r="162">
      <c r="A162" t="inlineStr">
        <is>
          <t>Week5-Nov-2025</t>
        </is>
      </c>
      <c r="B162" s="26">
        <f>IF(SUMIFS('BSE - SENSEX Index Options'!$M:$M,'BSE - SENSEX Index Options'!$C:$C,$A162,'BSE - SENSEX Index Options'!$B:$B,B$147,'BSE - SENSEX Index Options'!$I:$I,"Monthly*")+SUMIFS('BSE - Other Index Options'!$M:$M,'BSE - Other Index Options'!$C:$C,$A162,'BSE - Other Index Options'!$B:$B,B$147,'BSE - Other Index Options'!$I:$I,"Monthly*")=0,"",SUMIFS('BSE - SENSEX Index Options'!$M:$M,'BSE - SENSEX Index Options'!$C:$C,$A162,'BSE - SENSEX Index Options'!$B:$B,B$147,'BSE - SENSEX Index Options'!$I:$I,"Monthly*")+SUMIFS('BSE - Other Index Options'!$M:$M,'BSE - Other Index Options'!$C:$C,$A162,'BSE - Other Index Options'!$B:$B,B$147,'BSE - Other Index Options'!$I:$I,"Monthly*"))</f>
        <v/>
      </c>
      <c r="C162" s="26">
        <f>IF(SUMIFS('BSE - SENSEX Index Options'!$M:$M,'BSE - SENSEX Index Options'!$C:$C,$A162,'BSE - SENSEX Index Options'!$B:$B,C$147,'BSE - SENSEX Index Options'!$I:$I,"Monthly*")+SUMIFS('BSE - Other Index Options'!$M:$M,'BSE - Other Index Options'!$C:$C,$A162,'BSE - Other Index Options'!$B:$B,C$147,'BSE - Other Index Options'!$I:$I,"Monthly*")=0,"",SUMIFS('BSE - SENSEX Index Options'!$M:$M,'BSE - SENSEX Index Options'!$C:$C,$A162,'BSE - SENSEX Index Options'!$B:$B,C$147,'BSE - SENSEX Index Options'!$I:$I,"Monthly*")+SUMIFS('BSE - Other Index Options'!$M:$M,'BSE - Other Index Options'!$C:$C,$A162,'BSE - Other Index Options'!$B:$B,C$147,'BSE - Other Index Options'!$I:$I,"Monthly*"))</f>
        <v/>
      </c>
      <c r="D162" s="26">
        <f>IF(SUMIFS('BSE - SENSEX Index Options'!$M:$M,'BSE - SENSEX Index Options'!$C:$C,$A162,'BSE - SENSEX Index Options'!$B:$B,D$147,'BSE - SENSEX Index Options'!$I:$I,"Monthly*")+SUMIFS('BSE - Other Index Options'!$M:$M,'BSE - Other Index Options'!$C:$C,$A162,'BSE - Other Index Options'!$B:$B,D$147,'BSE - Other Index Options'!$I:$I,"Monthly*")=0,"",SUMIFS('BSE - SENSEX Index Options'!$M:$M,'BSE - SENSEX Index Options'!$C:$C,$A162,'BSE - SENSEX Index Options'!$B:$B,D$147,'BSE - SENSEX Index Options'!$I:$I,"Monthly*")+SUMIFS('BSE - Other Index Options'!$M:$M,'BSE - Other Index Options'!$C:$C,$A162,'BSE - Other Index Options'!$B:$B,D$147,'BSE - Other Index Options'!$I:$I,"Monthly*"))</f>
        <v/>
      </c>
      <c r="E162" s="26">
        <f>IF(SUMIFS('BSE - SENSEX Index Options'!$M:$M,'BSE - SENSEX Index Options'!$C:$C,$A162,'BSE - SENSEX Index Options'!$B:$B,E$147,'BSE - SENSEX Index Options'!$I:$I,"Monthly*")+SUMIFS('BSE - Other Index Options'!$M:$M,'BSE - Other Index Options'!$C:$C,$A162,'BSE - Other Index Options'!$B:$B,E$147,'BSE - Other Index Options'!$I:$I,"Monthly*")=0,"",SUMIFS('BSE - SENSEX Index Options'!$M:$M,'BSE - SENSEX Index Options'!$C:$C,$A162,'BSE - SENSEX Index Options'!$B:$B,E$147,'BSE - SENSEX Index Options'!$I:$I,"Monthly*")+SUMIFS('BSE - Other Index Options'!$M:$M,'BSE - Other Index Options'!$C:$C,$A162,'BSE - Other Index Options'!$B:$B,E$147,'BSE - Other Index Options'!$I:$I,"Monthly*"))</f>
        <v/>
      </c>
      <c r="F162" s="26">
        <f>IF(SUMIFS('BSE - SENSEX Index Options'!$M:$M,'BSE - SENSEX Index Options'!$C:$C,$A162,'BSE - SENSEX Index Options'!$B:$B,F$147,'BSE - SENSEX Index Options'!$I:$I,"Monthly*")+SUMIFS('BSE - Other Index Options'!$M:$M,'BSE - Other Index Options'!$C:$C,$A162,'BSE - Other Index Options'!$B:$B,F$147,'BSE - Other Index Options'!$I:$I,"Monthly*")=0,"",SUMIFS('BSE - SENSEX Index Options'!$M:$M,'BSE - SENSEX Index Options'!$C:$C,$A162,'BSE - SENSEX Index Options'!$B:$B,F$147,'BSE - SENSEX Index Options'!$I:$I,"Monthly*")+SUMIFS('BSE - Other Index Options'!$M:$M,'BSE - Other Index Options'!$C:$C,$A162,'BSE - Other Index Options'!$B:$B,F$147,'BSE - Other Index Options'!$I:$I,"Monthly*"))</f>
        <v/>
      </c>
      <c r="G162" s="26">
        <f>IF(SUMIFS('BSE - SENSEX Index Options'!$M:$M,'BSE - SENSEX Index Options'!$C:$C,$A162,'BSE - SENSEX Index Options'!$B:$B,G$147,'BSE - SENSEX Index Options'!$I:$I,"Monthly*")+SUMIFS('BSE - Other Index Options'!$M:$M,'BSE - Other Index Options'!$C:$C,$A162,'BSE - Other Index Options'!$B:$B,G$147,'BSE - Other Index Options'!$I:$I,"Monthly*")=0,"",SUMIFS('BSE - SENSEX Index Options'!$M:$M,'BSE - SENSEX Index Options'!$C:$C,$A162,'BSE - SENSEX Index Options'!$B:$B,G$147,'BSE - SENSEX Index Options'!$I:$I,"Monthly*")+SUMIFS('BSE - Other Index Options'!$M:$M,'BSE - Other Index Options'!$C:$C,$A162,'BSE - Other Index Options'!$B:$B,G$147,'BSE - Other Index Options'!$I:$I,"Monthly*"))</f>
        <v/>
      </c>
      <c r="H162" s="26">
        <f>IF(SUM(B162:G162)=0,"",SUM(B162:G162))</f>
        <v/>
      </c>
    </row>
    <row r="163">
      <c r="A163" t="inlineStr">
        <is>
          <t>Week1-Dec-2025</t>
        </is>
      </c>
      <c r="B163" s="26">
        <f>IF(SUMIFS('BSE - SENSEX Index Options'!$M:$M,'BSE - SENSEX Index Options'!$C:$C,$A163,'BSE - SENSEX Index Options'!$B:$B,B$147,'BSE - SENSEX Index Options'!$I:$I,"Monthly*")+SUMIFS('BSE - Other Index Options'!$M:$M,'BSE - Other Index Options'!$C:$C,$A163,'BSE - Other Index Options'!$B:$B,B$147,'BSE - Other Index Options'!$I:$I,"Monthly*")=0,"",SUMIFS('BSE - SENSEX Index Options'!$M:$M,'BSE - SENSEX Index Options'!$C:$C,$A163,'BSE - SENSEX Index Options'!$B:$B,B$147,'BSE - SENSEX Index Options'!$I:$I,"Monthly*")+SUMIFS('BSE - Other Index Options'!$M:$M,'BSE - Other Index Options'!$C:$C,$A163,'BSE - Other Index Options'!$B:$B,B$147,'BSE - Other Index Options'!$I:$I,"Monthly*"))</f>
        <v/>
      </c>
      <c r="C163" s="26">
        <f>IF(SUMIFS('BSE - SENSEX Index Options'!$M:$M,'BSE - SENSEX Index Options'!$C:$C,$A163,'BSE - SENSEX Index Options'!$B:$B,C$147,'BSE - SENSEX Index Options'!$I:$I,"Monthly*")+SUMIFS('BSE - Other Index Options'!$M:$M,'BSE - Other Index Options'!$C:$C,$A163,'BSE - Other Index Options'!$B:$B,C$147,'BSE - Other Index Options'!$I:$I,"Monthly*")=0,"",SUMIFS('BSE - SENSEX Index Options'!$M:$M,'BSE - SENSEX Index Options'!$C:$C,$A163,'BSE - SENSEX Index Options'!$B:$B,C$147,'BSE - SENSEX Index Options'!$I:$I,"Monthly*")+SUMIFS('BSE - Other Index Options'!$M:$M,'BSE - Other Index Options'!$C:$C,$A163,'BSE - Other Index Options'!$B:$B,C$147,'BSE - Other Index Options'!$I:$I,"Monthly*"))</f>
        <v/>
      </c>
      <c r="D163" s="26">
        <f>IF(SUMIFS('BSE - SENSEX Index Options'!$M:$M,'BSE - SENSEX Index Options'!$C:$C,$A163,'BSE - SENSEX Index Options'!$B:$B,D$147,'BSE - SENSEX Index Options'!$I:$I,"Monthly*")+SUMIFS('BSE - Other Index Options'!$M:$M,'BSE - Other Index Options'!$C:$C,$A163,'BSE - Other Index Options'!$B:$B,D$147,'BSE - Other Index Options'!$I:$I,"Monthly*")=0,"",SUMIFS('BSE - SENSEX Index Options'!$M:$M,'BSE - SENSEX Index Options'!$C:$C,$A163,'BSE - SENSEX Index Options'!$B:$B,D$147,'BSE - SENSEX Index Options'!$I:$I,"Monthly*")+SUMIFS('BSE - Other Index Options'!$M:$M,'BSE - Other Index Options'!$C:$C,$A163,'BSE - Other Index Options'!$B:$B,D$147,'BSE - Other Index Options'!$I:$I,"Monthly*"))</f>
        <v/>
      </c>
      <c r="E163" s="26">
        <f>IF(SUMIFS('BSE - SENSEX Index Options'!$M:$M,'BSE - SENSEX Index Options'!$C:$C,$A163,'BSE - SENSEX Index Options'!$B:$B,E$147,'BSE - SENSEX Index Options'!$I:$I,"Monthly*")+SUMIFS('BSE - Other Index Options'!$M:$M,'BSE - Other Index Options'!$C:$C,$A163,'BSE - Other Index Options'!$B:$B,E$147,'BSE - Other Index Options'!$I:$I,"Monthly*")=0,"",SUMIFS('BSE - SENSEX Index Options'!$M:$M,'BSE - SENSEX Index Options'!$C:$C,$A163,'BSE - SENSEX Index Options'!$B:$B,E$147,'BSE - SENSEX Index Options'!$I:$I,"Monthly*")+SUMIFS('BSE - Other Index Options'!$M:$M,'BSE - Other Index Options'!$C:$C,$A163,'BSE - Other Index Options'!$B:$B,E$147,'BSE - Other Index Options'!$I:$I,"Monthly*"))</f>
        <v/>
      </c>
      <c r="F163" s="26">
        <f>IF(SUMIFS('BSE - SENSEX Index Options'!$M:$M,'BSE - SENSEX Index Options'!$C:$C,$A163,'BSE - SENSEX Index Options'!$B:$B,F$147,'BSE - SENSEX Index Options'!$I:$I,"Monthly*")+SUMIFS('BSE - Other Index Options'!$M:$M,'BSE - Other Index Options'!$C:$C,$A163,'BSE - Other Index Options'!$B:$B,F$147,'BSE - Other Index Options'!$I:$I,"Monthly*")=0,"",SUMIFS('BSE - SENSEX Index Options'!$M:$M,'BSE - SENSEX Index Options'!$C:$C,$A163,'BSE - SENSEX Index Options'!$B:$B,F$147,'BSE - SENSEX Index Options'!$I:$I,"Monthly*")+SUMIFS('BSE - Other Index Options'!$M:$M,'BSE - Other Index Options'!$C:$C,$A163,'BSE - Other Index Options'!$B:$B,F$147,'BSE - Other Index Options'!$I:$I,"Monthly*"))</f>
        <v/>
      </c>
      <c r="G163" s="26">
        <f>IF(SUMIFS('BSE - SENSEX Index Options'!$M:$M,'BSE - SENSEX Index Options'!$C:$C,$A163,'BSE - SENSEX Index Options'!$B:$B,G$147,'BSE - SENSEX Index Options'!$I:$I,"Monthly*")+SUMIFS('BSE - Other Index Options'!$M:$M,'BSE - Other Index Options'!$C:$C,$A163,'BSE - Other Index Options'!$B:$B,G$147,'BSE - Other Index Options'!$I:$I,"Monthly*")=0,"",SUMIFS('BSE - SENSEX Index Options'!$M:$M,'BSE - SENSEX Index Options'!$C:$C,$A163,'BSE - SENSEX Index Options'!$B:$B,G$147,'BSE - SENSEX Index Options'!$I:$I,"Monthly*")+SUMIFS('BSE - Other Index Options'!$M:$M,'BSE - Other Index Options'!$C:$C,$A163,'BSE - Other Index Options'!$B:$B,G$147,'BSE - Other Index Options'!$I:$I,"Monthly*"))</f>
        <v/>
      </c>
      <c r="H163" s="26">
        <f>IF(SUM(B163:G163)=0,"",SUM(B163:G163))</f>
        <v/>
      </c>
    </row>
    <row r="164">
      <c r="A164" t="inlineStr">
        <is>
          <t>Week2-Dec-2025</t>
        </is>
      </c>
      <c r="B164" s="26">
        <f>IF(SUMIFS('BSE - SENSEX Index Options'!$M:$M,'BSE - SENSEX Index Options'!$C:$C,$A164,'BSE - SENSEX Index Options'!$B:$B,B$147,'BSE - SENSEX Index Options'!$I:$I,"Monthly*")+SUMIFS('BSE - Other Index Options'!$M:$M,'BSE - Other Index Options'!$C:$C,$A164,'BSE - Other Index Options'!$B:$B,B$147,'BSE - Other Index Options'!$I:$I,"Monthly*")=0,"",SUMIFS('BSE - SENSEX Index Options'!$M:$M,'BSE - SENSEX Index Options'!$C:$C,$A164,'BSE - SENSEX Index Options'!$B:$B,B$147,'BSE - SENSEX Index Options'!$I:$I,"Monthly*")+SUMIFS('BSE - Other Index Options'!$M:$M,'BSE - Other Index Options'!$C:$C,$A164,'BSE - Other Index Options'!$B:$B,B$147,'BSE - Other Index Options'!$I:$I,"Monthly*"))</f>
        <v/>
      </c>
      <c r="C164" s="26">
        <f>IF(SUMIFS('BSE - SENSEX Index Options'!$M:$M,'BSE - SENSEX Index Options'!$C:$C,$A164,'BSE - SENSEX Index Options'!$B:$B,C$147,'BSE - SENSEX Index Options'!$I:$I,"Monthly*")+SUMIFS('BSE - Other Index Options'!$M:$M,'BSE - Other Index Options'!$C:$C,$A164,'BSE - Other Index Options'!$B:$B,C$147,'BSE - Other Index Options'!$I:$I,"Monthly*")=0,"",SUMIFS('BSE - SENSEX Index Options'!$M:$M,'BSE - SENSEX Index Options'!$C:$C,$A164,'BSE - SENSEX Index Options'!$B:$B,C$147,'BSE - SENSEX Index Options'!$I:$I,"Monthly*")+SUMIFS('BSE - Other Index Options'!$M:$M,'BSE - Other Index Options'!$C:$C,$A164,'BSE - Other Index Options'!$B:$B,C$147,'BSE - Other Index Options'!$I:$I,"Monthly*"))</f>
        <v/>
      </c>
      <c r="D164" s="26">
        <f>IF(SUMIFS('BSE - SENSEX Index Options'!$M:$M,'BSE - SENSEX Index Options'!$C:$C,$A164,'BSE - SENSEX Index Options'!$B:$B,D$147,'BSE - SENSEX Index Options'!$I:$I,"Monthly*")+SUMIFS('BSE - Other Index Options'!$M:$M,'BSE - Other Index Options'!$C:$C,$A164,'BSE - Other Index Options'!$B:$B,D$147,'BSE - Other Index Options'!$I:$I,"Monthly*")=0,"",SUMIFS('BSE - SENSEX Index Options'!$M:$M,'BSE - SENSEX Index Options'!$C:$C,$A164,'BSE - SENSEX Index Options'!$B:$B,D$147,'BSE - SENSEX Index Options'!$I:$I,"Monthly*")+SUMIFS('BSE - Other Index Options'!$M:$M,'BSE - Other Index Options'!$C:$C,$A164,'BSE - Other Index Options'!$B:$B,D$147,'BSE - Other Index Options'!$I:$I,"Monthly*"))</f>
        <v/>
      </c>
      <c r="E164" s="26">
        <f>IF(SUMIFS('BSE - SENSEX Index Options'!$M:$M,'BSE - SENSEX Index Options'!$C:$C,$A164,'BSE - SENSEX Index Options'!$B:$B,E$147,'BSE - SENSEX Index Options'!$I:$I,"Monthly*")+SUMIFS('BSE - Other Index Options'!$M:$M,'BSE - Other Index Options'!$C:$C,$A164,'BSE - Other Index Options'!$B:$B,E$147,'BSE - Other Index Options'!$I:$I,"Monthly*")=0,"",SUMIFS('BSE - SENSEX Index Options'!$M:$M,'BSE - SENSEX Index Options'!$C:$C,$A164,'BSE - SENSEX Index Options'!$B:$B,E$147,'BSE - SENSEX Index Options'!$I:$I,"Monthly*")+SUMIFS('BSE - Other Index Options'!$M:$M,'BSE - Other Index Options'!$C:$C,$A164,'BSE - Other Index Options'!$B:$B,E$147,'BSE - Other Index Options'!$I:$I,"Monthly*"))</f>
        <v/>
      </c>
      <c r="F164" s="26">
        <f>IF(SUMIFS('BSE - SENSEX Index Options'!$M:$M,'BSE - SENSEX Index Options'!$C:$C,$A164,'BSE - SENSEX Index Options'!$B:$B,F$147,'BSE - SENSEX Index Options'!$I:$I,"Monthly*")+SUMIFS('BSE - Other Index Options'!$M:$M,'BSE - Other Index Options'!$C:$C,$A164,'BSE - Other Index Options'!$B:$B,F$147,'BSE - Other Index Options'!$I:$I,"Monthly*")=0,"",SUMIFS('BSE - SENSEX Index Options'!$M:$M,'BSE - SENSEX Index Options'!$C:$C,$A164,'BSE - SENSEX Index Options'!$B:$B,F$147,'BSE - SENSEX Index Options'!$I:$I,"Monthly*")+SUMIFS('BSE - Other Index Options'!$M:$M,'BSE - Other Index Options'!$C:$C,$A164,'BSE - Other Index Options'!$B:$B,F$147,'BSE - Other Index Options'!$I:$I,"Monthly*"))</f>
        <v/>
      </c>
      <c r="G164" s="26">
        <f>IF(SUMIFS('BSE - SENSEX Index Options'!$M:$M,'BSE - SENSEX Index Options'!$C:$C,$A164,'BSE - SENSEX Index Options'!$B:$B,G$147,'BSE - SENSEX Index Options'!$I:$I,"Monthly*")+SUMIFS('BSE - Other Index Options'!$M:$M,'BSE - Other Index Options'!$C:$C,$A164,'BSE - Other Index Options'!$B:$B,G$147,'BSE - Other Index Options'!$I:$I,"Monthly*")=0,"",SUMIFS('BSE - SENSEX Index Options'!$M:$M,'BSE - SENSEX Index Options'!$C:$C,$A164,'BSE - SENSEX Index Options'!$B:$B,G$147,'BSE - SENSEX Index Options'!$I:$I,"Monthly*")+SUMIFS('BSE - Other Index Options'!$M:$M,'BSE - Other Index Options'!$C:$C,$A164,'BSE - Other Index Options'!$B:$B,G$147,'BSE - Other Index Options'!$I:$I,"Monthly*"))</f>
        <v/>
      </c>
      <c r="H164" s="26">
        <f>IF(SUM(B164:G164)=0,"",SUM(B164:G164))</f>
        <v/>
      </c>
    </row>
    <row r="165">
      <c r="A165" t="inlineStr">
        <is>
          <t>Week3-Dec-2025</t>
        </is>
      </c>
      <c r="B165" s="26">
        <f>IF(SUMIFS('BSE - SENSEX Index Options'!$M:$M,'BSE - SENSEX Index Options'!$C:$C,$A165,'BSE - SENSEX Index Options'!$B:$B,B$147,'BSE - SENSEX Index Options'!$I:$I,"Monthly*")+SUMIFS('BSE - Other Index Options'!$M:$M,'BSE - Other Index Options'!$C:$C,$A165,'BSE - Other Index Options'!$B:$B,B$147,'BSE - Other Index Options'!$I:$I,"Monthly*")=0,"",SUMIFS('BSE - SENSEX Index Options'!$M:$M,'BSE - SENSEX Index Options'!$C:$C,$A165,'BSE - SENSEX Index Options'!$B:$B,B$147,'BSE - SENSEX Index Options'!$I:$I,"Monthly*")+SUMIFS('BSE - Other Index Options'!$M:$M,'BSE - Other Index Options'!$C:$C,$A165,'BSE - Other Index Options'!$B:$B,B$147,'BSE - Other Index Options'!$I:$I,"Monthly*"))</f>
        <v/>
      </c>
      <c r="C165" s="26">
        <f>IF(SUMIFS('BSE - SENSEX Index Options'!$M:$M,'BSE - SENSEX Index Options'!$C:$C,$A165,'BSE - SENSEX Index Options'!$B:$B,C$147,'BSE - SENSEX Index Options'!$I:$I,"Monthly*")+SUMIFS('BSE - Other Index Options'!$M:$M,'BSE - Other Index Options'!$C:$C,$A165,'BSE - Other Index Options'!$B:$B,C$147,'BSE - Other Index Options'!$I:$I,"Monthly*")=0,"",SUMIFS('BSE - SENSEX Index Options'!$M:$M,'BSE - SENSEX Index Options'!$C:$C,$A165,'BSE - SENSEX Index Options'!$B:$B,C$147,'BSE - SENSEX Index Options'!$I:$I,"Monthly*")+SUMIFS('BSE - Other Index Options'!$M:$M,'BSE - Other Index Options'!$C:$C,$A165,'BSE - Other Index Options'!$B:$B,C$147,'BSE - Other Index Options'!$I:$I,"Monthly*"))</f>
        <v/>
      </c>
      <c r="D165" s="26">
        <f>IF(SUMIFS('BSE - SENSEX Index Options'!$M:$M,'BSE - SENSEX Index Options'!$C:$C,$A165,'BSE - SENSEX Index Options'!$B:$B,D$147,'BSE - SENSEX Index Options'!$I:$I,"Monthly*")+SUMIFS('BSE - Other Index Options'!$M:$M,'BSE - Other Index Options'!$C:$C,$A165,'BSE - Other Index Options'!$B:$B,D$147,'BSE - Other Index Options'!$I:$I,"Monthly*")=0,"",SUMIFS('BSE - SENSEX Index Options'!$M:$M,'BSE - SENSEX Index Options'!$C:$C,$A165,'BSE - SENSEX Index Options'!$B:$B,D$147,'BSE - SENSEX Index Options'!$I:$I,"Monthly*")+SUMIFS('BSE - Other Index Options'!$M:$M,'BSE - Other Index Options'!$C:$C,$A165,'BSE - Other Index Options'!$B:$B,D$147,'BSE - Other Index Options'!$I:$I,"Monthly*"))</f>
        <v/>
      </c>
      <c r="E165" s="26">
        <f>IF(SUMIFS('BSE - SENSEX Index Options'!$M:$M,'BSE - SENSEX Index Options'!$C:$C,$A165,'BSE - SENSEX Index Options'!$B:$B,E$147,'BSE - SENSEX Index Options'!$I:$I,"Monthly*")+SUMIFS('BSE - Other Index Options'!$M:$M,'BSE - Other Index Options'!$C:$C,$A165,'BSE - Other Index Options'!$B:$B,E$147,'BSE - Other Index Options'!$I:$I,"Monthly*")=0,"",SUMIFS('BSE - SENSEX Index Options'!$M:$M,'BSE - SENSEX Index Options'!$C:$C,$A165,'BSE - SENSEX Index Options'!$B:$B,E$147,'BSE - SENSEX Index Options'!$I:$I,"Monthly*")+SUMIFS('BSE - Other Index Options'!$M:$M,'BSE - Other Index Options'!$C:$C,$A165,'BSE - Other Index Options'!$B:$B,E$147,'BSE - Other Index Options'!$I:$I,"Monthly*"))</f>
        <v/>
      </c>
      <c r="F165" s="26">
        <f>IF(SUMIFS('BSE - SENSEX Index Options'!$M:$M,'BSE - SENSEX Index Options'!$C:$C,$A165,'BSE - SENSEX Index Options'!$B:$B,F$147,'BSE - SENSEX Index Options'!$I:$I,"Monthly*")+SUMIFS('BSE - Other Index Options'!$M:$M,'BSE - Other Index Options'!$C:$C,$A165,'BSE - Other Index Options'!$B:$B,F$147,'BSE - Other Index Options'!$I:$I,"Monthly*")=0,"",SUMIFS('BSE - SENSEX Index Options'!$M:$M,'BSE - SENSEX Index Options'!$C:$C,$A165,'BSE - SENSEX Index Options'!$B:$B,F$147,'BSE - SENSEX Index Options'!$I:$I,"Monthly*")+SUMIFS('BSE - Other Index Options'!$M:$M,'BSE - Other Index Options'!$C:$C,$A165,'BSE - Other Index Options'!$B:$B,F$147,'BSE - Other Index Options'!$I:$I,"Monthly*"))</f>
        <v/>
      </c>
      <c r="G165" s="26">
        <f>IF(SUMIFS('BSE - SENSEX Index Options'!$M:$M,'BSE - SENSEX Index Options'!$C:$C,$A165,'BSE - SENSEX Index Options'!$B:$B,G$147,'BSE - SENSEX Index Options'!$I:$I,"Monthly*")+SUMIFS('BSE - Other Index Options'!$M:$M,'BSE - Other Index Options'!$C:$C,$A165,'BSE - Other Index Options'!$B:$B,G$147,'BSE - Other Index Options'!$I:$I,"Monthly*")=0,"",SUMIFS('BSE - SENSEX Index Options'!$M:$M,'BSE - SENSEX Index Options'!$C:$C,$A165,'BSE - SENSEX Index Options'!$B:$B,G$147,'BSE - SENSEX Index Options'!$I:$I,"Monthly*")+SUMIFS('BSE - Other Index Options'!$M:$M,'BSE - Other Index Options'!$C:$C,$A165,'BSE - Other Index Options'!$B:$B,G$147,'BSE - Other Index Options'!$I:$I,"Monthly*"))</f>
        <v/>
      </c>
      <c r="H165" s="26">
        <f>IF(SUM(B165:G165)=0,"",SUM(B165:G165))</f>
        <v/>
      </c>
    </row>
    <row r="166">
      <c r="A166" t="inlineStr">
        <is>
          <t>Week4-Dec-2025</t>
        </is>
      </c>
      <c r="B166" s="26">
        <f>IF(SUMIFS('BSE - SENSEX Index Options'!$M:$M,'BSE - SENSEX Index Options'!$C:$C,$A166,'BSE - SENSEX Index Options'!$B:$B,B$147,'BSE - SENSEX Index Options'!$I:$I,"Monthly*")+SUMIFS('BSE - Other Index Options'!$M:$M,'BSE - Other Index Options'!$C:$C,$A166,'BSE - Other Index Options'!$B:$B,B$147,'BSE - Other Index Options'!$I:$I,"Monthly*")=0,"",SUMIFS('BSE - SENSEX Index Options'!$M:$M,'BSE - SENSEX Index Options'!$C:$C,$A166,'BSE - SENSEX Index Options'!$B:$B,B$147,'BSE - SENSEX Index Options'!$I:$I,"Monthly*")+SUMIFS('BSE - Other Index Options'!$M:$M,'BSE - Other Index Options'!$C:$C,$A166,'BSE - Other Index Options'!$B:$B,B$147,'BSE - Other Index Options'!$I:$I,"Monthly*"))</f>
        <v/>
      </c>
      <c r="C166" s="26">
        <f>IF(SUMIFS('BSE - SENSEX Index Options'!$M:$M,'BSE - SENSEX Index Options'!$C:$C,$A166,'BSE - SENSEX Index Options'!$B:$B,C$147,'BSE - SENSEX Index Options'!$I:$I,"Monthly*")+SUMIFS('BSE - Other Index Options'!$M:$M,'BSE - Other Index Options'!$C:$C,$A166,'BSE - Other Index Options'!$B:$B,C$147,'BSE - Other Index Options'!$I:$I,"Monthly*")=0,"",SUMIFS('BSE - SENSEX Index Options'!$M:$M,'BSE - SENSEX Index Options'!$C:$C,$A166,'BSE - SENSEX Index Options'!$B:$B,C$147,'BSE - SENSEX Index Options'!$I:$I,"Monthly*")+SUMIFS('BSE - Other Index Options'!$M:$M,'BSE - Other Index Options'!$C:$C,$A166,'BSE - Other Index Options'!$B:$B,C$147,'BSE - Other Index Options'!$I:$I,"Monthly*"))</f>
        <v/>
      </c>
      <c r="D166" s="26">
        <f>IF(SUMIFS('BSE - SENSEX Index Options'!$M:$M,'BSE - SENSEX Index Options'!$C:$C,$A166,'BSE - SENSEX Index Options'!$B:$B,D$147,'BSE - SENSEX Index Options'!$I:$I,"Monthly*")+SUMIFS('BSE - Other Index Options'!$M:$M,'BSE - Other Index Options'!$C:$C,$A166,'BSE - Other Index Options'!$B:$B,D$147,'BSE - Other Index Options'!$I:$I,"Monthly*")=0,"",SUMIFS('BSE - SENSEX Index Options'!$M:$M,'BSE - SENSEX Index Options'!$C:$C,$A166,'BSE - SENSEX Index Options'!$B:$B,D$147,'BSE - SENSEX Index Options'!$I:$I,"Monthly*")+SUMIFS('BSE - Other Index Options'!$M:$M,'BSE - Other Index Options'!$C:$C,$A166,'BSE - Other Index Options'!$B:$B,D$147,'BSE - Other Index Options'!$I:$I,"Monthly*"))</f>
        <v/>
      </c>
      <c r="E166" s="26">
        <f>IF(SUMIFS('BSE - SENSEX Index Options'!$M:$M,'BSE - SENSEX Index Options'!$C:$C,$A166,'BSE - SENSEX Index Options'!$B:$B,E$147,'BSE - SENSEX Index Options'!$I:$I,"Monthly*")+SUMIFS('BSE - Other Index Options'!$M:$M,'BSE - Other Index Options'!$C:$C,$A166,'BSE - Other Index Options'!$B:$B,E$147,'BSE - Other Index Options'!$I:$I,"Monthly*")=0,"",SUMIFS('BSE - SENSEX Index Options'!$M:$M,'BSE - SENSEX Index Options'!$C:$C,$A166,'BSE - SENSEX Index Options'!$B:$B,E$147,'BSE - SENSEX Index Options'!$I:$I,"Monthly*")+SUMIFS('BSE - Other Index Options'!$M:$M,'BSE - Other Index Options'!$C:$C,$A166,'BSE - Other Index Options'!$B:$B,E$147,'BSE - Other Index Options'!$I:$I,"Monthly*"))</f>
        <v/>
      </c>
      <c r="F166" s="26">
        <f>IF(SUMIFS('BSE - SENSEX Index Options'!$M:$M,'BSE - SENSEX Index Options'!$C:$C,$A166,'BSE - SENSEX Index Options'!$B:$B,F$147,'BSE - SENSEX Index Options'!$I:$I,"Monthly*")+SUMIFS('BSE - Other Index Options'!$M:$M,'BSE - Other Index Options'!$C:$C,$A166,'BSE - Other Index Options'!$B:$B,F$147,'BSE - Other Index Options'!$I:$I,"Monthly*")=0,"",SUMIFS('BSE - SENSEX Index Options'!$M:$M,'BSE - SENSEX Index Options'!$C:$C,$A166,'BSE - SENSEX Index Options'!$B:$B,F$147,'BSE - SENSEX Index Options'!$I:$I,"Monthly*")+SUMIFS('BSE - Other Index Options'!$M:$M,'BSE - Other Index Options'!$C:$C,$A166,'BSE - Other Index Options'!$B:$B,F$147,'BSE - Other Index Options'!$I:$I,"Monthly*"))</f>
        <v/>
      </c>
      <c r="G166" s="26">
        <f>IF(SUMIFS('BSE - SENSEX Index Options'!$M:$M,'BSE - SENSEX Index Options'!$C:$C,$A166,'BSE - SENSEX Index Options'!$B:$B,G$147,'BSE - SENSEX Index Options'!$I:$I,"Monthly*")+SUMIFS('BSE - Other Index Options'!$M:$M,'BSE - Other Index Options'!$C:$C,$A166,'BSE - Other Index Options'!$B:$B,G$147,'BSE - Other Index Options'!$I:$I,"Monthly*")=0,"",SUMIFS('BSE - SENSEX Index Options'!$M:$M,'BSE - SENSEX Index Options'!$C:$C,$A166,'BSE - SENSEX Index Options'!$B:$B,G$147,'BSE - SENSEX Index Options'!$I:$I,"Monthly*")+SUMIFS('BSE - Other Index Options'!$M:$M,'BSE - Other Index Options'!$C:$C,$A166,'BSE - Other Index Options'!$B:$B,G$147,'BSE - Other Index Options'!$I:$I,"Monthly*"))</f>
        <v/>
      </c>
      <c r="H166" s="26">
        <f>IF(SUM(B166:G166)=0,"",SUM(B166:G166))</f>
        <v/>
      </c>
    </row>
    <row r="167">
      <c r="A167" t="inlineStr">
        <is>
          <t>Week5-Dec-2025</t>
        </is>
      </c>
      <c r="B167" s="26">
        <f>IF(SUMIFS('BSE - SENSEX Index Options'!$M:$M,'BSE - SENSEX Index Options'!$C:$C,$A167,'BSE - SENSEX Index Options'!$B:$B,B$147,'BSE - SENSEX Index Options'!$I:$I,"Monthly*")+SUMIFS('BSE - Other Index Options'!$M:$M,'BSE - Other Index Options'!$C:$C,$A167,'BSE - Other Index Options'!$B:$B,B$147,'BSE - Other Index Options'!$I:$I,"Monthly*")=0,"",SUMIFS('BSE - SENSEX Index Options'!$M:$M,'BSE - SENSEX Index Options'!$C:$C,$A167,'BSE - SENSEX Index Options'!$B:$B,B$147,'BSE - SENSEX Index Options'!$I:$I,"Monthly*")+SUMIFS('BSE - Other Index Options'!$M:$M,'BSE - Other Index Options'!$C:$C,$A167,'BSE - Other Index Options'!$B:$B,B$147,'BSE - Other Index Options'!$I:$I,"Monthly*"))</f>
        <v/>
      </c>
      <c r="C167" s="26">
        <f>IF(SUMIFS('BSE - SENSEX Index Options'!$M:$M,'BSE - SENSEX Index Options'!$C:$C,$A167,'BSE - SENSEX Index Options'!$B:$B,C$147,'BSE - SENSEX Index Options'!$I:$I,"Monthly*")+SUMIFS('BSE - Other Index Options'!$M:$M,'BSE - Other Index Options'!$C:$C,$A167,'BSE - Other Index Options'!$B:$B,C$147,'BSE - Other Index Options'!$I:$I,"Monthly*")=0,"",SUMIFS('BSE - SENSEX Index Options'!$M:$M,'BSE - SENSEX Index Options'!$C:$C,$A167,'BSE - SENSEX Index Options'!$B:$B,C$147,'BSE - SENSEX Index Options'!$I:$I,"Monthly*")+SUMIFS('BSE - Other Index Options'!$M:$M,'BSE - Other Index Options'!$C:$C,$A167,'BSE - Other Index Options'!$B:$B,C$147,'BSE - Other Index Options'!$I:$I,"Monthly*"))</f>
        <v/>
      </c>
      <c r="D167" s="26">
        <f>IF(SUMIFS('BSE - SENSEX Index Options'!$M:$M,'BSE - SENSEX Index Options'!$C:$C,$A167,'BSE - SENSEX Index Options'!$B:$B,D$147,'BSE - SENSEX Index Options'!$I:$I,"Monthly*")+SUMIFS('BSE - Other Index Options'!$M:$M,'BSE - Other Index Options'!$C:$C,$A167,'BSE - Other Index Options'!$B:$B,D$147,'BSE - Other Index Options'!$I:$I,"Monthly*")=0,"",SUMIFS('BSE - SENSEX Index Options'!$M:$M,'BSE - SENSEX Index Options'!$C:$C,$A167,'BSE - SENSEX Index Options'!$B:$B,D$147,'BSE - SENSEX Index Options'!$I:$I,"Monthly*")+SUMIFS('BSE - Other Index Options'!$M:$M,'BSE - Other Index Options'!$C:$C,$A167,'BSE - Other Index Options'!$B:$B,D$147,'BSE - Other Index Options'!$I:$I,"Monthly*"))</f>
        <v/>
      </c>
      <c r="E167" s="26">
        <f>IF(SUMIFS('BSE - SENSEX Index Options'!$M:$M,'BSE - SENSEX Index Options'!$C:$C,$A167,'BSE - SENSEX Index Options'!$B:$B,E$147,'BSE - SENSEX Index Options'!$I:$I,"Monthly*")+SUMIFS('BSE - Other Index Options'!$M:$M,'BSE - Other Index Options'!$C:$C,$A167,'BSE - Other Index Options'!$B:$B,E$147,'BSE - Other Index Options'!$I:$I,"Monthly*")=0,"",SUMIFS('BSE - SENSEX Index Options'!$M:$M,'BSE - SENSEX Index Options'!$C:$C,$A167,'BSE - SENSEX Index Options'!$B:$B,E$147,'BSE - SENSEX Index Options'!$I:$I,"Monthly*")+SUMIFS('BSE - Other Index Options'!$M:$M,'BSE - Other Index Options'!$C:$C,$A167,'BSE - Other Index Options'!$B:$B,E$147,'BSE - Other Index Options'!$I:$I,"Monthly*"))</f>
        <v/>
      </c>
      <c r="F167" s="26">
        <f>IF(SUMIFS('BSE - SENSEX Index Options'!$M:$M,'BSE - SENSEX Index Options'!$C:$C,$A167,'BSE - SENSEX Index Options'!$B:$B,F$147,'BSE - SENSEX Index Options'!$I:$I,"Monthly*")+SUMIFS('BSE - Other Index Options'!$M:$M,'BSE - Other Index Options'!$C:$C,$A167,'BSE - Other Index Options'!$B:$B,F$147,'BSE - Other Index Options'!$I:$I,"Monthly*")=0,"",SUMIFS('BSE - SENSEX Index Options'!$M:$M,'BSE - SENSEX Index Options'!$C:$C,$A167,'BSE - SENSEX Index Options'!$B:$B,F$147,'BSE - SENSEX Index Options'!$I:$I,"Monthly*")+SUMIFS('BSE - Other Index Options'!$M:$M,'BSE - Other Index Options'!$C:$C,$A167,'BSE - Other Index Options'!$B:$B,F$147,'BSE - Other Index Options'!$I:$I,"Monthly*"))</f>
        <v/>
      </c>
      <c r="G167" s="26">
        <f>IF(SUMIFS('BSE - SENSEX Index Options'!$M:$M,'BSE - SENSEX Index Options'!$C:$C,$A167,'BSE - SENSEX Index Options'!$B:$B,G$147,'BSE - SENSEX Index Options'!$I:$I,"Monthly*")+SUMIFS('BSE - Other Index Options'!$M:$M,'BSE - Other Index Options'!$C:$C,$A167,'BSE - Other Index Options'!$B:$B,G$147,'BSE - Other Index Options'!$I:$I,"Monthly*")=0,"",SUMIFS('BSE - SENSEX Index Options'!$M:$M,'BSE - SENSEX Index Options'!$C:$C,$A167,'BSE - SENSEX Index Options'!$B:$B,G$147,'BSE - SENSEX Index Options'!$I:$I,"Monthly*")+SUMIFS('BSE - Other Index Options'!$M:$M,'BSE - Other Index Options'!$C:$C,$A167,'BSE - Other Index Options'!$B:$B,G$147,'BSE - Other Index Options'!$I:$I,"Monthly*"))</f>
        <v/>
      </c>
      <c r="H167" s="26">
        <f>IF(SUM(B167:G167)=0,"",SUM(B167:G167))</f>
        <v/>
      </c>
    </row>
    <row r="168">
      <c r="A168" t="inlineStr">
        <is>
          <t>Week1-Jan-2026</t>
        </is>
      </c>
      <c r="B168" s="26">
        <f>IF(SUMIFS('BSE - SENSEX Index Options'!$M:$M,'BSE - SENSEX Index Options'!$C:$C,$A168,'BSE - SENSEX Index Options'!$B:$B,B$147,'BSE - SENSEX Index Options'!$I:$I,"Monthly*")+SUMIFS('BSE - Other Index Options'!$M:$M,'BSE - Other Index Options'!$C:$C,$A168,'BSE - Other Index Options'!$B:$B,B$147,'BSE - Other Index Options'!$I:$I,"Monthly*")=0,"",SUMIFS('BSE - SENSEX Index Options'!$M:$M,'BSE - SENSEX Index Options'!$C:$C,$A168,'BSE - SENSEX Index Options'!$B:$B,B$147,'BSE - SENSEX Index Options'!$I:$I,"Monthly*")+SUMIFS('BSE - Other Index Options'!$M:$M,'BSE - Other Index Options'!$C:$C,$A168,'BSE - Other Index Options'!$B:$B,B$147,'BSE - Other Index Options'!$I:$I,"Monthly*"))</f>
        <v/>
      </c>
      <c r="C168" s="26">
        <f>IF(SUMIFS('BSE - SENSEX Index Options'!$M:$M,'BSE - SENSEX Index Options'!$C:$C,$A168,'BSE - SENSEX Index Options'!$B:$B,C$147,'BSE - SENSEX Index Options'!$I:$I,"Monthly*")+SUMIFS('BSE - Other Index Options'!$M:$M,'BSE - Other Index Options'!$C:$C,$A168,'BSE - Other Index Options'!$B:$B,C$147,'BSE - Other Index Options'!$I:$I,"Monthly*")=0,"",SUMIFS('BSE - SENSEX Index Options'!$M:$M,'BSE - SENSEX Index Options'!$C:$C,$A168,'BSE - SENSEX Index Options'!$B:$B,C$147,'BSE - SENSEX Index Options'!$I:$I,"Monthly*")+SUMIFS('BSE - Other Index Options'!$M:$M,'BSE - Other Index Options'!$C:$C,$A168,'BSE - Other Index Options'!$B:$B,C$147,'BSE - Other Index Options'!$I:$I,"Monthly*"))</f>
        <v/>
      </c>
      <c r="D168" s="26">
        <f>IF(SUMIFS('BSE - SENSEX Index Options'!$M:$M,'BSE - SENSEX Index Options'!$C:$C,$A168,'BSE - SENSEX Index Options'!$B:$B,D$147,'BSE - SENSEX Index Options'!$I:$I,"Monthly*")+SUMIFS('BSE - Other Index Options'!$M:$M,'BSE - Other Index Options'!$C:$C,$A168,'BSE - Other Index Options'!$B:$B,D$147,'BSE - Other Index Options'!$I:$I,"Monthly*")=0,"",SUMIFS('BSE - SENSEX Index Options'!$M:$M,'BSE - SENSEX Index Options'!$C:$C,$A168,'BSE - SENSEX Index Options'!$B:$B,D$147,'BSE - SENSEX Index Options'!$I:$I,"Monthly*")+SUMIFS('BSE - Other Index Options'!$M:$M,'BSE - Other Index Options'!$C:$C,$A168,'BSE - Other Index Options'!$B:$B,D$147,'BSE - Other Index Options'!$I:$I,"Monthly*"))</f>
        <v/>
      </c>
      <c r="E168" s="26">
        <f>IF(SUMIFS('BSE - SENSEX Index Options'!$M:$M,'BSE - SENSEX Index Options'!$C:$C,$A168,'BSE - SENSEX Index Options'!$B:$B,E$147,'BSE - SENSEX Index Options'!$I:$I,"Monthly*")+SUMIFS('BSE - Other Index Options'!$M:$M,'BSE - Other Index Options'!$C:$C,$A168,'BSE - Other Index Options'!$B:$B,E$147,'BSE - Other Index Options'!$I:$I,"Monthly*")=0,"",SUMIFS('BSE - SENSEX Index Options'!$M:$M,'BSE - SENSEX Index Options'!$C:$C,$A168,'BSE - SENSEX Index Options'!$B:$B,E$147,'BSE - SENSEX Index Options'!$I:$I,"Monthly*")+SUMIFS('BSE - Other Index Options'!$M:$M,'BSE - Other Index Options'!$C:$C,$A168,'BSE - Other Index Options'!$B:$B,E$147,'BSE - Other Index Options'!$I:$I,"Monthly*"))</f>
        <v/>
      </c>
      <c r="F168" s="26">
        <f>IF(SUMIFS('BSE - SENSEX Index Options'!$M:$M,'BSE - SENSEX Index Options'!$C:$C,$A168,'BSE - SENSEX Index Options'!$B:$B,F$147,'BSE - SENSEX Index Options'!$I:$I,"Monthly*")+SUMIFS('BSE - Other Index Options'!$M:$M,'BSE - Other Index Options'!$C:$C,$A168,'BSE - Other Index Options'!$B:$B,F$147,'BSE - Other Index Options'!$I:$I,"Monthly*")=0,"",SUMIFS('BSE - SENSEX Index Options'!$M:$M,'BSE - SENSEX Index Options'!$C:$C,$A168,'BSE - SENSEX Index Options'!$B:$B,F$147,'BSE - SENSEX Index Options'!$I:$I,"Monthly*")+SUMIFS('BSE - Other Index Options'!$M:$M,'BSE - Other Index Options'!$C:$C,$A168,'BSE - Other Index Options'!$B:$B,F$147,'BSE - Other Index Options'!$I:$I,"Monthly*"))</f>
        <v/>
      </c>
      <c r="G168" s="26">
        <f>IF(SUMIFS('BSE - SENSEX Index Options'!$M:$M,'BSE - SENSEX Index Options'!$C:$C,$A168,'BSE - SENSEX Index Options'!$B:$B,G$147,'BSE - SENSEX Index Options'!$I:$I,"Monthly*")+SUMIFS('BSE - Other Index Options'!$M:$M,'BSE - Other Index Options'!$C:$C,$A168,'BSE - Other Index Options'!$B:$B,G$147,'BSE - Other Index Options'!$I:$I,"Monthly*")=0,"",SUMIFS('BSE - SENSEX Index Options'!$M:$M,'BSE - SENSEX Index Options'!$C:$C,$A168,'BSE - SENSEX Index Options'!$B:$B,G$147,'BSE - SENSEX Index Options'!$I:$I,"Monthly*")+SUMIFS('BSE - Other Index Options'!$M:$M,'BSE - Other Index Options'!$C:$C,$A168,'BSE - Other Index Options'!$B:$B,G$147,'BSE - Other Index Options'!$I:$I,"Monthly*"))</f>
        <v/>
      </c>
      <c r="H168" s="26">
        <f>IF(SUM(B168:G168)=0,"",SUM(B168:G168))</f>
        <v/>
      </c>
    </row>
    <row r="169">
      <c r="A169" t="inlineStr">
        <is>
          <t>Week2-Jan-2026</t>
        </is>
      </c>
      <c r="B169" s="26">
        <f>IF(SUMIFS('BSE - SENSEX Index Options'!$M:$M,'BSE - SENSEX Index Options'!$C:$C,$A169,'BSE - SENSEX Index Options'!$B:$B,B$147,'BSE - SENSEX Index Options'!$I:$I,"Monthly*")+SUMIFS('BSE - Other Index Options'!$M:$M,'BSE - Other Index Options'!$C:$C,$A169,'BSE - Other Index Options'!$B:$B,B$147,'BSE - Other Index Options'!$I:$I,"Monthly*")=0,"",SUMIFS('BSE - SENSEX Index Options'!$M:$M,'BSE - SENSEX Index Options'!$C:$C,$A169,'BSE - SENSEX Index Options'!$B:$B,B$147,'BSE - SENSEX Index Options'!$I:$I,"Monthly*")+SUMIFS('BSE - Other Index Options'!$M:$M,'BSE - Other Index Options'!$C:$C,$A169,'BSE - Other Index Options'!$B:$B,B$147,'BSE - Other Index Options'!$I:$I,"Monthly*"))</f>
        <v/>
      </c>
      <c r="C169" s="26">
        <f>IF(SUMIFS('BSE - SENSEX Index Options'!$M:$M,'BSE - SENSEX Index Options'!$C:$C,$A169,'BSE - SENSEX Index Options'!$B:$B,C$147,'BSE - SENSEX Index Options'!$I:$I,"Monthly*")+SUMIFS('BSE - Other Index Options'!$M:$M,'BSE - Other Index Options'!$C:$C,$A169,'BSE - Other Index Options'!$B:$B,C$147,'BSE - Other Index Options'!$I:$I,"Monthly*")=0,"",SUMIFS('BSE - SENSEX Index Options'!$M:$M,'BSE - SENSEX Index Options'!$C:$C,$A169,'BSE - SENSEX Index Options'!$B:$B,C$147,'BSE - SENSEX Index Options'!$I:$I,"Monthly*")+SUMIFS('BSE - Other Index Options'!$M:$M,'BSE - Other Index Options'!$C:$C,$A169,'BSE - Other Index Options'!$B:$B,C$147,'BSE - Other Index Options'!$I:$I,"Monthly*"))</f>
        <v/>
      </c>
      <c r="D169" s="26">
        <f>IF(SUMIFS('BSE - SENSEX Index Options'!$M:$M,'BSE - SENSEX Index Options'!$C:$C,$A169,'BSE - SENSEX Index Options'!$B:$B,D$147,'BSE - SENSEX Index Options'!$I:$I,"Monthly*")+SUMIFS('BSE - Other Index Options'!$M:$M,'BSE - Other Index Options'!$C:$C,$A169,'BSE - Other Index Options'!$B:$B,D$147,'BSE - Other Index Options'!$I:$I,"Monthly*")=0,"",SUMIFS('BSE - SENSEX Index Options'!$M:$M,'BSE - SENSEX Index Options'!$C:$C,$A169,'BSE - SENSEX Index Options'!$B:$B,D$147,'BSE - SENSEX Index Options'!$I:$I,"Monthly*")+SUMIFS('BSE - Other Index Options'!$M:$M,'BSE - Other Index Options'!$C:$C,$A169,'BSE - Other Index Options'!$B:$B,D$147,'BSE - Other Index Options'!$I:$I,"Monthly*"))</f>
        <v/>
      </c>
      <c r="E169" s="26">
        <f>IF(SUMIFS('BSE - SENSEX Index Options'!$M:$M,'BSE - SENSEX Index Options'!$C:$C,$A169,'BSE - SENSEX Index Options'!$B:$B,E$147,'BSE - SENSEX Index Options'!$I:$I,"Monthly*")+SUMIFS('BSE - Other Index Options'!$M:$M,'BSE - Other Index Options'!$C:$C,$A169,'BSE - Other Index Options'!$B:$B,E$147,'BSE - Other Index Options'!$I:$I,"Monthly*")=0,"",SUMIFS('BSE - SENSEX Index Options'!$M:$M,'BSE - SENSEX Index Options'!$C:$C,$A169,'BSE - SENSEX Index Options'!$B:$B,E$147,'BSE - SENSEX Index Options'!$I:$I,"Monthly*")+SUMIFS('BSE - Other Index Options'!$M:$M,'BSE - Other Index Options'!$C:$C,$A169,'BSE - Other Index Options'!$B:$B,E$147,'BSE - Other Index Options'!$I:$I,"Monthly*"))</f>
        <v/>
      </c>
      <c r="F169" s="26">
        <f>IF(SUMIFS('BSE - SENSEX Index Options'!$M:$M,'BSE - SENSEX Index Options'!$C:$C,$A169,'BSE - SENSEX Index Options'!$B:$B,F$147,'BSE - SENSEX Index Options'!$I:$I,"Monthly*")+SUMIFS('BSE - Other Index Options'!$M:$M,'BSE - Other Index Options'!$C:$C,$A169,'BSE - Other Index Options'!$B:$B,F$147,'BSE - Other Index Options'!$I:$I,"Monthly*")=0,"",SUMIFS('BSE - SENSEX Index Options'!$M:$M,'BSE - SENSEX Index Options'!$C:$C,$A169,'BSE - SENSEX Index Options'!$B:$B,F$147,'BSE - SENSEX Index Options'!$I:$I,"Monthly*")+SUMIFS('BSE - Other Index Options'!$M:$M,'BSE - Other Index Options'!$C:$C,$A169,'BSE - Other Index Options'!$B:$B,F$147,'BSE - Other Index Options'!$I:$I,"Monthly*"))</f>
        <v/>
      </c>
      <c r="G169" s="26">
        <f>IF(SUMIFS('BSE - SENSEX Index Options'!$M:$M,'BSE - SENSEX Index Options'!$C:$C,$A169,'BSE - SENSEX Index Options'!$B:$B,G$147,'BSE - SENSEX Index Options'!$I:$I,"Monthly*")+SUMIFS('BSE - Other Index Options'!$M:$M,'BSE - Other Index Options'!$C:$C,$A169,'BSE - Other Index Options'!$B:$B,G$147,'BSE - Other Index Options'!$I:$I,"Monthly*")=0,"",SUMIFS('BSE - SENSEX Index Options'!$M:$M,'BSE - SENSEX Index Options'!$C:$C,$A169,'BSE - SENSEX Index Options'!$B:$B,G$147,'BSE - SENSEX Index Options'!$I:$I,"Monthly*")+SUMIFS('BSE - Other Index Options'!$M:$M,'BSE - Other Index Options'!$C:$C,$A169,'BSE - Other Index Options'!$B:$B,G$147,'BSE - Other Index Options'!$I:$I,"Monthly*"))</f>
        <v/>
      </c>
      <c r="H169" s="26">
        <f>IF(SUM(B169:G169)=0,"",SUM(B169:G169))</f>
        <v/>
      </c>
    </row>
    <row r="170">
      <c r="A170" t="inlineStr">
        <is>
          <t>Week3-Jan-2026</t>
        </is>
      </c>
      <c r="B170" s="26">
        <f>IF(SUMIFS('BSE - SENSEX Index Options'!$M:$M,'BSE - SENSEX Index Options'!$C:$C,$A170,'BSE - SENSEX Index Options'!$B:$B,B$147,'BSE - SENSEX Index Options'!$I:$I,"Monthly*")+SUMIFS('BSE - Other Index Options'!$M:$M,'BSE - Other Index Options'!$C:$C,$A170,'BSE - Other Index Options'!$B:$B,B$147,'BSE - Other Index Options'!$I:$I,"Monthly*")=0,"",SUMIFS('BSE - SENSEX Index Options'!$M:$M,'BSE - SENSEX Index Options'!$C:$C,$A170,'BSE - SENSEX Index Options'!$B:$B,B$147,'BSE - SENSEX Index Options'!$I:$I,"Monthly*")+SUMIFS('BSE - Other Index Options'!$M:$M,'BSE - Other Index Options'!$C:$C,$A170,'BSE - Other Index Options'!$B:$B,B$147,'BSE - Other Index Options'!$I:$I,"Monthly*"))</f>
        <v/>
      </c>
      <c r="C170" s="26">
        <f>IF(SUMIFS('BSE - SENSEX Index Options'!$M:$M,'BSE - SENSEX Index Options'!$C:$C,$A170,'BSE - SENSEX Index Options'!$B:$B,C$147,'BSE - SENSEX Index Options'!$I:$I,"Monthly*")+SUMIFS('BSE - Other Index Options'!$M:$M,'BSE - Other Index Options'!$C:$C,$A170,'BSE - Other Index Options'!$B:$B,C$147,'BSE - Other Index Options'!$I:$I,"Monthly*")=0,"",SUMIFS('BSE - SENSEX Index Options'!$M:$M,'BSE - SENSEX Index Options'!$C:$C,$A170,'BSE - SENSEX Index Options'!$B:$B,C$147,'BSE - SENSEX Index Options'!$I:$I,"Monthly*")+SUMIFS('BSE - Other Index Options'!$M:$M,'BSE - Other Index Options'!$C:$C,$A170,'BSE - Other Index Options'!$B:$B,C$147,'BSE - Other Index Options'!$I:$I,"Monthly*"))</f>
        <v/>
      </c>
      <c r="D170" s="26">
        <f>IF(SUMIFS('BSE - SENSEX Index Options'!$M:$M,'BSE - SENSEX Index Options'!$C:$C,$A170,'BSE - SENSEX Index Options'!$B:$B,D$147,'BSE - SENSEX Index Options'!$I:$I,"Monthly*")+SUMIFS('BSE - Other Index Options'!$M:$M,'BSE - Other Index Options'!$C:$C,$A170,'BSE - Other Index Options'!$B:$B,D$147,'BSE - Other Index Options'!$I:$I,"Monthly*")=0,"",SUMIFS('BSE - SENSEX Index Options'!$M:$M,'BSE - SENSEX Index Options'!$C:$C,$A170,'BSE - SENSEX Index Options'!$B:$B,D$147,'BSE - SENSEX Index Options'!$I:$I,"Monthly*")+SUMIFS('BSE - Other Index Options'!$M:$M,'BSE - Other Index Options'!$C:$C,$A170,'BSE - Other Index Options'!$B:$B,D$147,'BSE - Other Index Options'!$I:$I,"Monthly*"))</f>
        <v/>
      </c>
      <c r="E170" s="26">
        <f>IF(SUMIFS('BSE - SENSEX Index Options'!$M:$M,'BSE - SENSEX Index Options'!$C:$C,$A170,'BSE - SENSEX Index Options'!$B:$B,E$147,'BSE - SENSEX Index Options'!$I:$I,"Monthly*")+SUMIFS('BSE - Other Index Options'!$M:$M,'BSE - Other Index Options'!$C:$C,$A170,'BSE - Other Index Options'!$B:$B,E$147,'BSE - Other Index Options'!$I:$I,"Monthly*")=0,"",SUMIFS('BSE - SENSEX Index Options'!$M:$M,'BSE - SENSEX Index Options'!$C:$C,$A170,'BSE - SENSEX Index Options'!$B:$B,E$147,'BSE - SENSEX Index Options'!$I:$I,"Monthly*")+SUMIFS('BSE - Other Index Options'!$M:$M,'BSE - Other Index Options'!$C:$C,$A170,'BSE - Other Index Options'!$B:$B,E$147,'BSE - Other Index Options'!$I:$I,"Monthly*"))</f>
        <v/>
      </c>
      <c r="F170" s="26">
        <f>IF(SUMIFS('BSE - SENSEX Index Options'!$M:$M,'BSE - SENSEX Index Options'!$C:$C,$A170,'BSE - SENSEX Index Options'!$B:$B,F$147,'BSE - SENSEX Index Options'!$I:$I,"Monthly*")+SUMIFS('BSE - Other Index Options'!$M:$M,'BSE - Other Index Options'!$C:$C,$A170,'BSE - Other Index Options'!$B:$B,F$147,'BSE - Other Index Options'!$I:$I,"Monthly*")=0,"",SUMIFS('BSE - SENSEX Index Options'!$M:$M,'BSE - SENSEX Index Options'!$C:$C,$A170,'BSE - SENSEX Index Options'!$B:$B,F$147,'BSE - SENSEX Index Options'!$I:$I,"Monthly*")+SUMIFS('BSE - Other Index Options'!$M:$M,'BSE - Other Index Options'!$C:$C,$A170,'BSE - Other Index Options'!$B:$B,F$147,'BSE - Other Index Options'!$I:$I,"Monthly*"))</f>
        <v/>
      </c>
      <c r="G170" s="26">
        <f>IF(SUMIFS('BSE - SENSEX Index Options'!$M:$M,'BSE - SENSEX Index Options'!$C:$C,$A170,'BSE - SENSEX Index Options'!$B:$B,G$147,'BSE - SENSEX Index Options'!$I:$I,"Monthly*")+SUMIFS('BSE - Other Index Options'!$M:$M,'BSE - Other Index Options'!$C:$C,$A170,'BSE - Other Index Options'!$B:$B,G$147,'BSE - Other Index Options'!$I:$I,"Monthly*")=0,"",SUMIFS('BSE - SENSEX Index Options'!$M:$M,'BSE - SENSEX Index Options'!$C:$C,$A170,'BSE - SENSEX Index Options'!$B:$B,G$147,'BSE - SENSEX Index Options'!$I:$I,"Monthly*")+SUMIFS('BSE - Other Index Options'!$M:$M,'BSE - Other Index Options'!$C:$C,$A170,'BSE - Other Index Options'!$B:$B,G$147,'BSE - Other Index Options'!$I:$I,"Monthly*"))</f>
        <v/>
      </c>
      <c r="H170" s="26">
        <f>IF(SUM(B170:G170)=0,"",SUM(B170:G170))</f>
        <v/>
      </c>
    </row>
    <row r="171">
      <c r="A171" t="inlineStr">
        <is>
          <t>Week4-Jan-2026</t>
        </is>
      </c>
      <c r="B171" s="26">
        <f>IF(SUMIFS('BSE - SENSEX Index Options'!$M:$M,'BSE - SENSEX Index Options'!$C:$C,$A171,'BSE - SENSEX Index Options'!$B:$B,B$147,'BSE - SENSEX Index Options'!$I:$I,"Monthly*")+SUMIFS('BSE - Other Index Options'!$M:$M,'BSE - Other Index Options'!$C:$C,$A171,'BSE - Other Index Options'!$B:$B,B$147,'BSE - Other Index Options'!$I:$I,"Monthly*")=0,"",SUMIFS('BSE - SENSEX Index Options'!$M:$M,'BSE - SENSEX Index Options'!$C:$C,$A171,'BSE - SENSEX Index Options'!$B:$B,B$147,'BSE - SENSEX Index Options'!$I:$I,"Monthly*")+SUMIFS('BSE - Other Index Options'!$M:$M,'BSE - Other Index Options'!$C:$C,$A171,'BSE - Other Index Options'!$B:$B,B$147,'BSE - Other Index Options'!$I:$I,"Monthly*"))</f>
        <v/>
      </c>
      <c r="C171" s="26">
        <f>IF(SUMIFS('BSE - SENSEX Index Options'!$M:$M,'BSE - SENSEX Index Options'!$C:$C,$A171,'BSE - SENSEX Index Options'!$B:$B,C$147,'BSE - SENSEX Index Options'!$I:$I,"Monthly*")+SUMIFS('BSE - Other Index Options'!$M:$M,'BSE - Other Index Options'!$C:$C,$A171,'BSE - Other Index Options'!$B:$B,C$147,'BSE - Other Index Options'!$I:$I,"Monthly*")=0,"",SUMIFS('BSE - SENSEX Index Options'!$M:$M,'BSE - SENSEX Index Options'!$C:$C,$A171,'BSE - SENSEX Index Options'!$B:$B,C$147,'BSE - SENSEX Index Options'!$I:$I,"Monthly*")+SUMIFS('BSE - Other Index Options'!$M:$M,'BSE - Other Index Options'!$C:$C,$A171,'BSE - Other Index Options'!$B:$B,C$147,'BSE - Other Index Options'!$I:$I,"Monthly*"))</f>
        <v/>
      </c>
      <c r="D171" s="26">
        <f>IF(SUMIFS('BSE - SENSEX Index Options'!$M:$M,'BSE - SENSEX Index Options'!$C:$C,$A171,'BSE - SENSEX Index Options'!$B:$B,D$147,'BSE - SENSEX Index Options'!$I:$I,"Monthly*")+SUMIFS('BSE - Other Index Options'!$M:$M,'BSE - Other Index Options'!$C:$C,$A171,'BSE - Other Index Options'!$B:$B,D$147,'BSE - Other Index Options'!$I:$I,"Monthly*")=0,"",SUMIFS('BSE - SENSEX Index Options'!$M:$M,'BSE - SENSEX Index Options'!$C:$C,$A171,'BSE - SENSEX Index Options'!$B:$B,D$147,'BSE - SENSEX Index Options'!$I:$I,"Monthly*")+SUMIFS('BSE - Other Index Options'!$M:$M,'BSE - Other Index Options'!$C:$C,$A171,'BSE - Other Index Options'!$B:$B,D$147,'BSE - Other Index Options'!$I:$I,"Monthly*"))</f>
        <v/>
      </c>
      <c r="E171" s="26">
        <f>IF(SUMIFS('BSE - SENSEX Index Options'!$M:$M,'BSE - SENSEX Index Options'!$C:$C,$A171,'BSE - SENSEX Index Options'!$B:$B,E$147,'BSE - SENSEX Index Options'!$I:$I,"Monthly*")+SUMIFS('BSE - Other Index Options'!$M:$M,'BSE - Other Index Options'!$C:$C,$A171,'BSE - Other Index Options'!$B:$B,E$147,'BSE - Other Index Options'!$I:$I,"Monthly*")=0,"",SUMIFS('BSE - SENSEX Index Options'!$M:$M,'BSE - SENSEX Index Options'!$C:$C,$A171,'BSE - SENSEX Index Options'!$B:$B,E$147,'BSE - SENSEX Index Options'!$I:$I,"Monthly*")+SUMIFS('BSE - Other Index Options'!$M:$M,'BSE - Other Index Options'!$C:$C,$A171,'BSE - Other Index Options'!$B:$B,E$147,'BSE - Other Index Options'!$I:$I,"Monthly*"))</f>
        <v/>
      </c>
      <c r="F171" s="26">
        <f>IF(SUMIFS('BSE - SENSEX Index Options'!$M:$M,'BSE - SENSEX Index Options'!$C:$C,$A171,'BSE - SENSEX Index Options'!$B:$B,F$147,'BSE - SENSEX Index Options'!$I:$I,"Monthly*")+SUMIFS('BSE - Other Index Options'!$M:$M,'BSE - Other Index Options'!$C:$C,$A171,'BSE - Other Index Options'!$B:$B,F$147,'BSE - Other Index Options'!$I:$I,"Monthly*")=0,"",SUMIFS('BSE - SENSEX Index Options'!$M:$M,'BSE - SENSEX Index Options'!$C:$C,$A171,'BSE - SENSEX Index Options'!$B:$B,F$147,'BSE - SENSEX Index Options'!$I:$I,"Monthly*")+SUMIFS('BSE - Other Index Options'!$M:$M,'BSE - Other Index Options'!$C:$C,$A171,'BSE - Other Index Options'!$B:$B,F$147,'BSE - Other Index Options'!$I:$I,"Monthly*"))</f>
        <v/>
      </c>
      <c r="G171" s="26">
        <f>IF(SUMIFS('BSE - SENSEX Index Options'!$M:$M,'BSE - SENSEX Index Options'!$C:$C,$A171,'BSE - SENSEX Index Options'!$B:$B,G$147,'BSE - SENSEX Index Options'!$I:$I,"Monthly*")+SUMIFS('BSE - Other Index Options'!$M:$M,'BSE - Other Index Options'!$C:$C,$A171,'BSE - Other Index Options'!$B:$B,G$147,'BSE - Other Index Options'!$I:$I,"Monthly*")=0,"",SUMIFS('BSE - SENSEX Index Options'!$M:$M,'BSE - SENSEX Index Options'!$C:$C,$A171,'BSE - SENSEX Index Options'!$B:$B,G$147,'BSE - SENSEX Index Options'!$I:$I,"Monthly*")+SUMIFS('BSE - Other Index Options'!$M:$M,'BSE - Other Index Options'!$C:$C,$A171,'BSE - Other Index Options'!$B:$B,G$147,'BSE - Other Index Options'!$I:$I,"Monthly*"))</f>
        <v/>
      </c>
      <c r="H171" s="26">
        <f>IF(SUM(B171:G171)=0,"",SUM(B171:G171))</f>
        <v/>
      </c>
    </row>
    <row r="172">
      <c r="A172" t="inlineStr">
        <is>
          <t>Week5-Jan-2026</t>
        </is>
      </c>
      <c r="B172" s="26">
        <f>IF(SUMIFS('BSE - SENSEX Index Options'!$M:$M,'BSE - SENSEX Index Options'!$C:$C,$A172,'BSE - SENSEX Index Options'!$B:$B,B$147,'BSE - SENSEX Index Options'!$I:$I,"Monthly*")+SUMIFS('BSE - Other Index Options'!$M:$M,'BSE - Other Index Options'!$C:$C,$A172,'BSE - Other Index Options'!$B:$B,B$147,'BSE - Other Index Options'!$I:$I,"Monthly*")=0,"",SUMIFS('BSE - SENSEX Index Options'!$M:$M,'BSE - SENSEX Index Options'!$C:$C,$A172,'BSE - SENSEX Index Options'!$B:$B,B$147,'BSE - SENSEX Index Options'!$I:$I,"Monthly*")+SUMIFS('BSE - Other Index Options'!$M:$M,'BSE - Other Index Options'!$C:$C,$A172,'BSE - Other Index Options'!$B:$B,B$147,'BSE - Other Index Options'!$I:$I,"Monthly*"))</f>
        <v/>
      </c>
      <c r="C172" s="26">
        <f>IF(SUMIFS('BSE - SENSEX Index Options'!$M:$M,'BSE - SENSEX Index Options'!$C:$C,$A172,'BSE - SENSEX Index Options'!$B:$B,C$147,'BSE - SENSEX Index Options'!$I:$I,"Monthly*")+SUMIFS('BSE - Other Index Options'!$M:$M,'BSE - Other Index Options'!$C:$C,$A172,'BSE - Other Index Options'!$B:$B,C$147,'BSE - Other Index Options'!$I:$I,"Monthly*")=0,"",SUMIFS('BSE - SENSEX Index Options'!$M:$M,'BSE - SENSEX Index Options'!$C:$C,$A172,'BSE - SENSEX Index Options'!$B:$B,C$147,'BSE - SENSEX Index Options'!$I:$I,"Monthly*")+SUMIFS('BSE - Other Index Options'!$M:$M,'BSE - Other Index Options'!$C:$C,$A172,'BSE - Other Index Options'!$B:$B,C$147,'BSE - Other Index Options'!$I:$I,"Monthly*"))</f>
        <v/>
      </c>
      <c r="D172" s="26">
        <f>IF(SUMIFS('BSE - SENSEX Index Options'!$M:$M,'BSE - SENSEX Index Options'!$C:$C,$A172,'BSE - SENSEX Index Options'!$B:$B,D$147,'BSE - SENSEX Index Options'!$I:$I,"Monthly*")+SUMIFS('BSE - Other Index Options'!$M:$M,'BSE - Other Index Options'!$C:$C,$A172,'BSE - Other Index Options'!$B:$B,D$147,'BSE - Other Index Options'!$I:$I,"Monthly*")=0,"",SUMIFS('BSE - SENSEX Index Options'!$M:$M,'BSE - SENSEX Index Options'!$C:$C,$A172,'BSE - SENSEX Index Options'!$B:$B,D$147,'BSE - SENSEX Index Options'!$I:$I,"Monthly*")+SUMIFS('BSE - Other Index Options'!$M:$M,'BSE - Other Index Options'!$C:$C,$A172,'BSE - Other Index Options'!$B:$B,D$147,'BSE - Other Index Options'!$I:$I,"Monthly*"))</f>
        <v/>
      </c>
      <c r="E172" s="26">
        <f>IF(SUMIFS('BSE - SENSEX Index Options'!$M:$M,'BSE - SENSEX Index Options'!$C:$C,$A172,'BSE - SENSEX Index Options'!$B:$B,E$147,'BSE - SENSEX Index Options'!$I:$I,"Monthly*")+SUMIFS('BSE - Other Index Options'!$M:$M,'BSE - Other Index Options'!$C:$C,$A172,'BSE - Other Index Options'!$B:$B,E$147,'BSE - Other Index Options'!$I:$I,"Monthly*")=0,"",SUMIFS('BSE - SENSEX Index Options'!$M:$M,'BSE - SENSEX Index Options'!$C:$C,$A172,'BSE - SENSEX Index Options'!$B:$B,E$147,'BSE - SENSEX Index Options'!$I:$I,"Monthly*")+SUMIFS('BSE - Other Index Options'!$M:$M,'BSE - Other Index Options'!$C:$C,$A172,'BSE - Other Index Options'!$B:$B,E$147,'BSE - Other Index Options'!$I:$I,"Monthly*"))</f>
        <v/>
      </c>
      <c r="F172" s="26">
        <f>IF(SUMIFS('BSE - SENSEX Index Options'!$M:$M,'BSE - SENSEX Index Options'!$C:$C,$A172,'BSE - SENSEX Index Options'!$B:$B,F$147,'BSE - SENSEX Index Options'!$I:$I,"Monthly*")+SUMIFS('BSE - Other Index Options'!$M:$M,'BSE - Other Index Options'!$C:$C,$A172,'BSE - Other Index Options'!$B:$B,F$147,'BSE - Other Index Options'!$I:$I,"Monthly*")=0,"",SUMIFS('BSE - SENSEX Index Options'!$M:$M,'BSE - SENSEX Index Options'!$C:$C,$A172,'BSE - SENSEX Index Options'!$B:$B,F$147,'BSE - SENSEX Index Options'!$I:$I,"Monthly*")+SUMIFS('BSE - Other Index Options'!$M:$M,'BSE - Other Index Options'!$C:$C,$A172,'BSE - Other Index Options'!$B:$B,F$147,'BSE - Other Index Options'!$I:$I,"Monthly*"))</f>
        <v/>
      </c>
      <c r="G172" s="26">
        <f>IF(SUMIFS('BSE - SENSEX Index Options'!$M:$M,'BSE - SENSEX Index Options'!$C:$C,$A172,'BSE - SENSEX Index Options'!$B:$B,G$147,'BSE - SENSEX Index Options'!$I:$I,"Monthly*")+SUMIFS('BSE - Other Index Options'!$M:$M,'BSE - Other Index Options'!$C:$C,$A172,'BSE - Other Index Options'!$B:$B,G$147,'BSE - Other Index Options'!$I:$I,"Monthly*")=0,"",SUMIFS('BSE - SENSEX Index Options'!$M:$M,'BSE - SENSEX Index Options'!$C:$C,$A172,'BSE - SENSEX Index Options'!$B:$B,G$147,'BSE - SENSEX Index Options'!$I:$I,"Monthly*")+SUMIFS('BSE - Other Index Options'!$M:$M,'BSE - Other Index Options'!$C:$C,$A172,'BSE - Other Index Options'!$B:$B,G$147,'BSE - Other Index Options'!$I:$I,"Monthly*"))</f>
        <v/>
      </c>
      <c r="H172" s="26">
        <f>IF(SUM(B172:G172)=0,"",SUM(B172:G172))</f>
        <v/>
      </c>
    </row>
    <row r="173">
      <c r="A173" t="inlineStr">
        <is>
          <t>Week1-Feb-2026</t>
        </is>
      </c>
      <c r="B173" s="26">
        <f>IF(SUMIFS('BSE - SENSEX Index Options'!$M:$M,'BSE - SENSEX Index Options'!$C:$C,$A173,'BSE - SENSEX Index Options'!$B:$B,B$147,'BSE - SENSEX Index Options'!$I:$I,"Monthly*")+SUMIFS('BSE - Other Index Options'!$M:$M,'BSE - Other Index Options'!$C:$C,$A173,'BSE - Other Index Options'!$B:$B,B$147,'BSE - Other Index Options'!$I:$I,"Monthly*")=0,"",SUMIFS('BSE - SENSEX Index Options'!$M:$M,'BSE - SENSEX Index Options'!$C:$C,$A173,'BSE - SENSEX Index Options'!$B:$B,B$147,'BSE - SENSEX Index Options'!$I:$I,"Monthly*")+SUMIFS('BSE - Other Index Options'!$M:$M,'BSE - Other Index Options'!$C:$C,$A173,'BSE - Other Index Options'!$B:$B,B$147,'BSE - Other Index Options'!$I:$I,"Monthly*"))</f>
        <v/>
      </c>
      <c r="C173" s="26">
        <f>IF(SUMIFS('BSE - SENSEX Index Options'!$M:$M,'BSE - SENSEX Index Options'!$C:$C,$A173,'BSE - SENSEX Index Options'!$B:$B,C$147,'BSE - SENSEX Index Options'!$I:$I,"Monthly*")+SUMIFS('BSE - Other Index Options'!$M:$M,'BSE - Other Index Options'!$C:$C,$A173,'BSE - Other Index Options'!$B:$B,C$147,'BSE - Other Index Options'!$I:$I,"Monthly*")=0,"",SUMIFS('BSE - SENSEX Index Options'!$M:$M,'BSE - SENSEX Index Options'!$C:$C,$A173,'BSE - SENSEX Index Options'!$B:$B,C$147,'BSE - SENSEX Index Options'!$I:$I,"Monthly*")+SUMIFS('BSE - Other Index Options'!$M:$M,'BSE - Other Index Options'!$C:$C,$A173,'BSE - Other Index Options'!$B:$B,C$147,'BSE - Other Index Options'!$I:$I,"Monthly*"))</f>
        <v/>
      </c>
      <c r="D173" s="26">
        <f>IF(SUMIFS('BSE - SENSEX Index Options'!$M:$M,'BSE - SENSEX Index Options'!$C:$C,$A173,'BSE - SENSEX Index Options'!$B:$B,D$147,'BSE - SENSEX Index Options'!$I:$I,"Monthly*")+SUMIFS('BSE - Other Index Options'!$M:$M,'BSE - Other Index Options'!$C:$C,$A173,'BSE - Other Index Options'!$B:$B,D$147,'BSE - Other Index Options'!$I:$I,"Monthly*")=0,"",SUMIFS('BSE - SENSEX Index Options'!$M:$M,'BSE - SENSEX Index Options'!$C:$C,$A173,'BSE - SENSEX Index Options'!$B:$B,D$147,'BSE - SENSEX Index Options'!$I:$I,"Monthly*")+SUMIFS('BSE - Other Index Options'!$M:$M,'BSE - Other Index Options'!$C:$C,$A173,'BSE - Other Index Options'!$B:$B,D$147,'BSE - Other Index Options'!$I:$I,"Monthly*"))</f>
        <v/>
      </c>
      <c r="E173" s="26">
        <f>IF(SUMIFS('BSE - SENSEX Index Options'!$M:$M,'BSE - SENSEX Index Options'!$C:$C,$A173,'BSE - SENSEX Index Options'!$B:$B,E$147,'BSE - SENSEX Index Options'!$I:$I,"Monthly*")+SUMIFS('BSE - Other Index Options'!$M:$M,'BSE - Other Index Options'!$C:$C,$A173,'BSE - Other Index Options'!$B:$B,E$147,'BSE - Other Index Options'!$I:$I,"Monthly*")=0,"",SUMIFS('BSE - SENSEX Index Options'!$M:$M,'BSE - SENSEX Index Options'!$C:$C,$A173,'BSE - SENSEX Index Options'!$B:$B,E$147,'BSE - SENSEX Index Options'!$I:$I,"Monthly*")+SUMIFS('BSE - Other Index Options'!$M:$M,'BSE - Other Index Options'!$C:$C,$A173,'BSE - Other Index Options'!$B:$B,E$147,'BSE - Other Index Options'!$I:$I,"Monthly*"))</f>
        <v/>
      </c>
      <c r="F173" s="26">
        <f>IF(SUMIFS('BSE - SENSEX Index Options'!$M:$M,'BSE - SENSEX Index Options'!$C:$C,$A173,'BSE - SENSEX Index Options'!$B:$B,F$147,'BSE - SENSEX Index Options'!$I:$I,"Monthly*")+SUMIFS('BSE - Other Index Options'!$M:$M,'BSE - Other Index Options'!$C:$C,$A173,'BSE - Other Index Options'!$B:$B,F$147,'BSE - Other Index Options'!$I:$I,"Monthly*")=0,"",SUMIFS('BSE - SENSEX Index Options'!$M:$M,'BSE - SENSEX Index Options'!$C:$C,$A173,'BSE - SENSEX Index Options'!$B:$B,F$147,'BSE - SENSEX Index Options'!$I:$I,"Monthly*")+SUMIFS('BSE - Other Index Options'!$M:$M,'BSE - Other Index Options'!$C:$C,$A173,'BSE - Other Index Options'!$B:$B,F$147,'BSE - Other Index Options'!$I:$I,"Monthly*"))</f>
        <v/>
      </c>
      <c r="G173" s="26">
        <f>IF(SUMIFS('BSE - SENSEX Index Options'!$M:$M,'BSE - SENSEX Index Options'!$C:$C,$A173,'BSE - SENSEX Index Options'!$B:$B,G$147,'BSE - SENSEX Index Options'!$I:$I,"Monthly*")+SUMIFS('BSE - Other Index Options'!$M:$M,'BSE - Other Index Options'!$C:$C,$A173,'BSE - Other Index Options'!$B:$B,G$147,'BSE - Other Index Options'!$I:$I,"Monthly*")=0,"",SUMIFS('BSE - SENSEX Index Options'!$M:$M,'BSE - SENSEX Index Options'!$C:$C,$A173,'BSE - SENSEX Index Options'!$B:$B,G$147,'BSE - SENSEX Index Options'!$I:$I,"Monthly*")+SUMIFS('BSE - Other Index Options'!$M:$M,'BSE - Other Index Options'!$C:$C,$A173,'BSE - Other Index Options'!$B:$B,G$147,'BSE - Other Index Options'!$I:$I,"Monthly*"))</f>
        <v/>
      </c>
      <c r="H173" s="26">
        <f>IF(SUM(B173:G173)=0,"",SUM(B173:G173))</f>
        <v/>
      </c>
    </row>
    <row r="174">
      <c r="A174" t="inlineStr">
        <is>
          <t>Week2-Feb-2026</t>
        </is>
      </c>
      <c r="B174" s="26">
        <f>IF(SUMIFS('BSE - SENSEX Index Options'!$M:$M,'BSE - SENSEX Index Options'!$C:$C,$A174,'BSE - SENSEX Index Options'!$B:$B,B$147,'BSE - SENSEX Index Options'!$I:$I,"Monthly*")+SUMIFS('BSE - Other Index Options'!$M:$M,'BSE - Other Index Options'!$C:$C,$A174,'BSE - Other Index Options'!$B:$B,B$147,'BSE - Other Index Options'!$I:$I,"Monthly*")=0,"",SUMIFS('BSE - SENSEX Index Options'!$M:$M,'BSE - SENSEX Index Options'!$C:$C,$A174,'BSE - SENSEX Index Options'!$B:$B,B$147,'BSE - SENSEX Index Options'!$I:$I,"Monthly*")+SUMIFS('BSE - Other Index Options'!$M:$M,'BSE - Other Index Options'!$C:$C,$A174,'BSE - Other Index Options'!$B:$B,B$147,'BSE - Other Index Options'!$I:$I,"Monthly*"))</f>
        <v/>
      </c>
      <c r="C174" s="26">
        <f>IF(SUMIFS('BSE - SENSEX Index Options'!$M:$M,'BSE - SENSEX Index Options'!$C:$C,$A174,'BSE - SENSEX Index Options'!$B:$B,C$147,'BSE - SENSEX Index Options'!$I:$I,"Monthly*")+SUMIFS('BSE - Other Index Options'!$M:$M,'BSE - Other Index Options'!$C:$C,$A174,'BSE - Other Index Options'!$B:$B,C$147,'BSE - Other Index Options'!$I:$I,"Monthly*")=0,"",SUMIFS('BSE - SENSEX Index Options'!$M:$M,'BSE - SENSEX Index Options'!$C:$C,$A174,'BSE - SENSEX Index Options'!$B:$B,C$147,'BSE - SENSEX Index Options'!$I:$I,"Monthly*")+SUMIFS('BSE - Other Index Options'!$M:$M,'BSE - Other Index Options'!$C:$C,$A174,'BSE - Other Index Options'!$B:$B,C$147,'BSE - Other Index Options'!$I:$I,"Monthly*"))</f>
        <v/>
      </c>
      <c r="D174" s="26">
        <f>IF(SUMIFS('BSE - SENSEX Index Options'!$M:$M,'BSE - SENSEX Index Options'!$C:$C,$A174,'BSE - SENSEX Index Options'!$B:$B,D$147,'BSE - SENSEX Index Options'!$I:$I,"Monthly*")+SUMIFS('BSE - Other Index Options'!$M:$M,'BSE - Other Index Options'!$C:$C,$A174,'BSE - Other Index Options'!$B:$B,D$147,'BSE - Other Index Options'!$I:$I,"Monthly*")=0,"",SUMIFS('BSE - SENSEX Index Options'!$M:$M,'BSE - SENSEX Index Options'!$C:$C,$A174,'BSE - SENSEX Index Options'!$B:$B,D$147,'BSE - SENSEX Index Options'!$I:$I,"Monthly*")+SUMIFS('BSE - Other Index Options'!$M:$M,'BSE - Other Index Options'!$C:$C,$A174,'BSE - Other Index Options'!$B:$B,D$147,'BSE - Other Index Options'!$I:$I,"Monthly*"))</f>
        <v/>
      </c>
      <c r="E174" s="26">
        <f>IF(SUMIFS('BSE - SENSEX Index Options'!$M:$M,'BSE - SENSEX Index Options'!$C:$C,$A174,'BSE - SENSEX Index Options'!$B:$B,E$147,'BSE - SENSEX Index Options'!$I:$I,"Monthly*")+SUMIFS('BSE - Other Index Options'!$M:$M,'BSE - Other Index Options'!$C:$C,$A174,'BSE - Other Index Options'!$B:$B,E$147,'BSE - Other Index Options'!$I:$I,"Monthly*")=0,"",SUMIFS('BSE - SENSEX Index Options'!$M:$M,'BSE - SENSEX Index Options'!$C:$C,$A174,'BSE - SENSEX Index Options'!$B:$B,E$147,'BSE - SENSEX Index Options'!$I:$I,"Monthly*")+SUMIFS('BSE - Other Index Options'!$M:$M,'BSE - Other Index Options'!$C:$C,$A174,'BSE - Other Index Options'!$B:$B,E$147,'BSE - Other Index Options'!$I:$I,"Monthly*"))</f>
        <v/>
      </c>
      <c r="F174" s="26">
        <f>IF(SUMIFS('BSE - SENSEX Index Options'!$M:$M,'BSE - SENSEX Index Options'!$C:$C,$A174,'BSE - SENSEX Index Options'!$B:$B,F$147,'BSE - SENSEX Index Options'!$I:$I,"Monthly*")+SUMIFS('BSE - Other Index Options'!$M:$M,'BSE - Other Index Options'!$C:$C,$A174,'BSE - Other Index Options'!$B:$B,F$147,'BSE - Other Index Options'!$I:$I,"Monthly*")=0,"",SUMIFS('BSE - SENSEX Index Options'!$M:$M,'BSE - SENSEX Index Options'!$C:$C,$A174,'BSE - SENSEX Index Options'!$B:$B,F$147,'BSE - SENSEX Index Options'!$I:$I,"Monthly*")+SUMIFS('BSE - Other Index Options'!$M:$M,'BSE - Other Index Options'!$C:$C,$A174,'BSE - Other Index Options'!$B:$B,F$147,'BSE - Other Index Options'!$I:$I,"Monthly*"))</f>
        <v/>
      </c>
      <c r="G174" s="26">
        <f>IF(SUMIFS('BSE - SENSEX Index Options'!$M:$M,'BSE - SENSEX Index Options'!$C:$C,$A174,'BSE - SENSEX Index Options'!$B:$B,G$147,'BSE - SENSEX Index Options'!$I:$I,"Monthly*")+SUMIFS('BSE - Other Index Options'!$M:$M,'BSE - Other Index Options'!$C:$C,$A174,'BSE - Other Index Options'!$B:$B,G$147,'BSE - Other Index Options'!$I:$I,"Monthly*")=0,"",SUMIFS('BSE - SENSEX Index Options'!$M:$M,'BSE - SENSEX Index Options'!$C:$C,$A174,'BSE - SENSEX Index Options'!$B:$B,G$147,'BSE - SENSEX Index Options'!$I:$I,"Monthly*")+SUMIFS('BSE - Other Index Options'!$M:$M,'BSE - Other Index Options'!$C:$C,$A174,'BSE - Other Index Options'!$B:$B,G$147,'BSE - Other Index Options'!$I:$I,"Monthly*"))</f>
        <v/>
      </c>
      <c r="H174" s="26">
        <f>IF(SUM(B174:G174)=0,"",SUM(B174:G174))</f>
        <v/>
      </c>
    </row>
    <row r="175">
      <c r="A175" t="inlineStr">
        <is>
          <t>Week3-Feb-2026</t>
        </is>
      </c>
      <c r="B175" s="26">
        <f>IF(SUMIFS('BSE - SENSEX Index Options'!$M:$M,'BSE - SENSEX Index Options'!$C:$C,$A175,'BSE - SENSEX Index Options'!$B:$B,B$147,'BSE - SENSEX Index Options'!$I:$I,"Monthly*")+SUMIFS('BSE - Other Index Options'!$M:$M,'BSE - Other Index Options'!$C:$C,$A175,'BSE - Other Index Options'!$B:$B,B$147,'BSE - Other Index Options'!$I:$I,"Monthly*")=0,"",SUMIFS('BSE - SENSEX Index Options'!$M:$M,'BSE - SENSEX Index Options'!$C:$C,$A175,'BSE - SENSEX Index Options'!$B:$B,B$147,'BSE - SENSEX Index Options'!$I:$I,"Monthly*")+SUMIFS('BSE - Other Index Options'!$M:$M,'BSE - Other Index Options'!$C:$C,$A175,'BSE - Other Index Options'!$B:$B,B$147,'BSE - Other Index Options'!$I:$I,"Monthly*"))</f>
        <v/>
      </c>
      <c r="C175" s="26">
        <f>IF(SUMIFS('BSE - SENSEX Index Options'!$M:$M,'BSE - SENSEX Index Options'!$C:$C,$A175,'BSE - SENSEX Index Options'!$B:$B,C$147,'BSE - SENSEX Index Options'!$I:$I,"Monthly*")+SUMIFS('BSE - Other Index Options'!$M:$M,'BSE - Other Index Options'!$C:$C,$A175,'BSE - Other Index Options'!$B:$B,C$147,'BSE - Other Index Options'!$I:$I,"Monthly*")=0,"",SUMIFS('BSE - SENSEX Index Options'!$M:$M,'BSE - SENSEX Index Options'!$C:$C,$A175,'BSE - SENSEX Index Options'!$B:$B,C$147,'BSE - SENSEX Index Options'!$I:$I,"Monthly*")+SUMIFS('BSE - Other Index Options'!$M:$M,'BSE - Other Index Options'!$C:$C,$A175,'BSE - Other Index Options'!$B:$B,C$147,'BSE - Other Index Options'!$I:$I,"Monthly*"))</f>
        <v/>
      </c>
      <c r="D175" s="26">
        <f>IF(SUMIFS('BSE - SENSEX Index Options'!$M:$M,'BSE - SENSEX Index Options'!$C:$C,$A175,'BSE - SENSEX Index Options'!$B:$B,D$147,'BSE - SENSEX Index Options'!$I:$I,"Monthly*")+SUMIFS('BSE - Other Index Options'!$M:$M,'BSE - Other Index Options'!$C:$C,$A175,'BSE - Other Index Options'!$B:$B,D$147,'BSE - Other Index Options'!$I:$I,"Monthly*")=0,"",SUMIFS('BSE - SENSEX Index Options'!$M:$M,'BSE - SENSEX Index Options'!$C:$C,$A175,'BSE - SENSEX Index Options'!$B:$B,D$147,'BSE - SENSEX Index Options'!$I:$I,"Monthly*")+SUMIFS('BSE - Other Index Options'!$M:$M,'BSE - Other Index Options'!$C:$C,$A175,'BSE - Other Index Options'!$B:$B,D$147,'BSE - Other Index Options'!$I:$I,"Monthly*"))</f>
        <v/>
      </c>
      <c r="E175" s="26">
        <f>IF(SUMIFS('BSE - SENSEX Index Options'!$M:$M,'BSE - SENSEX Index Options'!$C:$C,$A175,'BSE - SENSEX Index Options'!$B:$B,E$147,'BSE - SENSEX Index Options'!$I:$I,"Monthly*")+SUMIFS('BSE - Other Index Options'!$M:$M,'BSE - Other Index Options'!$C:$C,$A175,'BSE - Other Index Options'!$B:$B,E$147,'BSE - Other Index Options'!$I:$I,"Monthly*")=0,"",SUMIFS('BSE - SENSEX Index Options'!$M:$M,'BSE - SENSEX Index Options'!$C:$C,$A175,'BSE - SENSEX Index Options'!$B:$B,E$147,'BSE - SENSEX Index Options'!$I:$I,"Monthly*")+SUMIFS('BSE - Other Index Options'!$M:$M,'BSE - Other Index Options'!$C:$C,$A175,'BSE - Other Index Options'!$B:$B,E$147,'BSE - Other Index Options'!$I:$I,"Monthly*"))</f>
        <v/>
      </c>
      <c r="F175" s="26">
        <f>IF(SUMIFS('BSE - SENSEX Index Options'!$M:$M,'BSE - SENSEX Index Options'!$C:$C,$A175,'BSE - SENSEX Index Options'!$B:$B,F$147,'BSE - SENSEX Index Options'!$I:$I,"Monthly*")+SUMIFS('BSE - Other Index Options'!$M:$M,'BSE - Other Index Options'!$C:$C,$A175,'BSE - Other Index Options'!$B:$B,F$147,'BSE - Other Index Options'!$I:$I,"Monthly*")=0,"",SUMIFS('BSE - SENSEX Index Options'!$M:$M,'BSE - SENSEX Index Options'!$C:$C,$A175,'BSE - SENSEX Index Options'!$B:$B,F$147,'BSE - SENSEX Index Options'!$I:$I,"Monthly*")+SUMIFS('BSE - Other Index Options'!$M:$M,'BSE - Other Index Options'!$C:$C,$A175,'BSE - Other Index Options'!$B:$B,F$147,'BSE - Other Index Options'!$I:$I,"Monthly*"))</f>
        <v/>
      </c>
      <c r="G175" s="26">
        <f>IF(SUMIFS('BSE - SENSEX Index Options'!$M:$M,'BSE - SENSEX Index Options'!$C:$C,$A175,'BSE - SENSEX Index Options'!$B:$B,G$147,'BSE - SENSEX Index Options'!$I:$I,"Monthly*")+SUMIFS('BSE - Other Index Options'!$M:$M,'BSE - Other Index Options'!$C:$C,$A175,'BSE - Other Index Options'!$B:$B,G$147,'BSE - Other Index Options'!$I:$I,"Monthly*")=0,"",SUMIFS('BSE - SENSEX Index Options'!$M:$M,'BSE - SENSEX Index Options'!$C:$C,$A175,'BSE - SENSEX Index Options'!$B:$B,G$147,'BSE - SENSEX Index Options'!$I:$I,"Monthly*")+SUMIFS('BSE - Other Index Options'!$M:$M,'BSE - Other Index Options'!$C:$C,$A175,'BSE - Other Index Options'!$B:$B,G$147,'BSE - Other Index Options'!$I:$I,"Monthly*"))</f>
        <v/>
      </c>
      <c r="H175" s="26">
        <f>IF(SUM(B175:G175)=0,"",SUM(B175:G175))</f>
        <v/>
      </c>
    </row>
    <row r="176">
      <c r="A176" t="inlineStr">
        <is>
          <t>Week4-Feb-2026</t>
        </is>
      </c>
      <c r="B176" s="26">
        <f>IF(SUMIFS('BSE - SENSEX Index Options'!$M:$M,'BSE - SENSEX Index Options'!$C:$C,$A176,'BSE - SENSEX Index Options'!$B:$B,B$147,'BSE - SENSEX Index Options'!$I:$I,"Monthly*")+SUMIFS('BSE - Other Index Options'!$M:$M,'BSE - Other Index Options'!$C:$C,$A176,'BSE - Other Index Options'!$B:$B,B$147,'BSE - Other Index Options'!$I:$I,"Monthly*")=0,"",SUMIFS('BSE - SENSEX Index Options'!$M:$M,'BSE - SENSEX Index Options'!$C:$C,$A176,'BSE - SENSEX Index Options'!$B:$B,B$147,'BSE - SENSEX Index Options'!$I:$I,"Monthly*")+SUMIFS('BSE - Other Index Options'!$M:$M,'BSE - Other Index Options'!$C:$C,$A176,'BSE - Other Index Options'!$B:$B,B$147,'BSE - Other Index Options'!$I:$I,"Monthly*"))</f>
        <v/>
      </c>
      <c r="C176" s="26">
        <f>IF(SUMIFS('BSE - SENSEX Index Options'!$M:$M,'BSE - SENSEX Index Options'!$C:$C,$A176,'BSE - SENSEX Index Options'!$B:$B,C$147,'BSE - SENSEX Index Options'!$I:$I,"Monthly*")+SUMIFS('BSE - Other Index Options'!$M:$M,'BSE - Other Index Options'!$C:$C,$A176,'BSE - Other Index Options'!$B:$B,C$147,'BSE - Other Index Options'!$I:$I,"Monthly*")=0,"",SUMIFS('BSE - SENSEX Index Options'!$M:$M,'BSE - SENSEX Index Options'!$C:$C,$A176,'BSE - SENSEX Index Options'!$B:$B,C$147,'BSE - SENSEX Index Options'!$I:$I,"Monthly*")+SUMIFS('BSE - Other Index Options'!$M:$M,'BSE - Other Index Options'!$C:$C,$A176,'BSE - Other Index Options'!$B:$B,C$147,'BSE - Other Index Options'!$I:$I,"Monthly*"))</f>
        <v/>
      </c>
      <c r="D176" s="26">
        <f>IF(SUMIFS('BSE - SENSEX Index Options'!$M:$M,'BSE - SENSEX Index Options'!$C:$C,$A176,'BSE - SENSEX Index Options'!$B:$B,D$147,'BSE - SENSEX Index Options'!$I:$I,"Monthly*")+SUMIFS('BSE - Other Index Options'!$M:$M,'BSE - Other Index Options'!$C:$C,$A176,'BSE - Other Index Options'!$B:$B,D$147,'BSE - Other Index Options'!$I:$I,"Monthly*")=0,"",SUMIFS('BSE - SENSEX Index Options'!$M:$M,'BSE - SENSEX Index Options'!$C:$C,$A176,'BSE - SENSEX Index Options'!$B:$B,D$147,'BSE - SENSEX Index Options'!$I:$I,"Monthly*")+SUMIFS('BSE - Other Index Options'!$M:$M,'BSE - Other Index Options'!$C:$C,$A176,'BSE - Other Index Options'!$B:$B,D$147,'BSE - Other Index Options'!$I:$I,"Monthly*"))</f>
        <v/>
      </c>
      <c r="E176" s="26">
        <f>IF(SUMIFS('BSE - SENSEX Index Options'!$M:$M,'BSE - SENSEX Index Options'!$C:$C,$A176,'BSE - SENSEX Index Options'!$B:$B,E$147,'BSE - SENSEX Index Options'!$I:$I,"Monthly*")+SUMIFS('BSE - Other Index Options'!$M:$M,'BSE - Other Index Options'!$C:$C,$A176,'BSE - Other Index Options'!$B:$B,E$147,'BSE - Other Index Options'!$I:$I,"Monthly*")=0,"",SUMIFS('BSE - SENSEX Index Options'!$M:$M,'BSE - SENSEX Index Options'!$C:$C,$A176,'BSE - SENSEX Index Options'!$B:$B,E$147,'BSE - SENSEX Index Options'!$I:$I,"Monthly*")+SUMIFS('BSE - Other Index Options'!$M:$M,'BSE - Other Index Options'!$C:$C,$A176,'BSE - Other Index Options'!$B:$B,E$147,'BSE - Other Index Options'!$I:$I,"Monthly*"))</f>
        <v/>
      </c>
      <c r="F176" s="26">
        <f>IF(SUMIFS('BSE - SENSEX Index Options'!$M:$M,'BSE - SENSEX Index Options'!$C:$C,$A176,'BSE - SENSEX Index Options'!$B:$B,F$147,'BSE - SENSEX Index Options'!$I:$I,"Monthly*")+SUMIFS('BSE - Other Index Options'!$M:$M,'BSE - Other Index Options'!$C:$C,$A176,'BSE - Other Index Options'!$B:$B,F$147,'BSE - Other Index Options'!$I:$I,"Monthly*")=0,"",SUMIFS('BSE - SENSEX Index Options'!$M:$M,'BSE - SENSEX Index Options'!$C:$C,$A176,'BSE - SENSEX Index Options'!$B:$B,F$147,'BSE - SENSEX Index Options'!$I:$I,"Monthly*")+SUMIFS('BSE - Other Index Options'!$M:$M,'BSE - Other Index Options'!$C:$C,$A176,'BSE - Other Index Options'!$B:$B,F$147,'BSE - Other Index Options'!$I:$I,"Monthly*"))</f>
        <v/>
      </c>
      <c r="G176" s="26">
        <f>IF(SUMIFS('BSE - SENSEX Index Options'!$M:$M,'BSE - SENSEX Index Options'!$C:$C,$A176,'BSE - SENSEX Index Options'!$B:$B,G$147,'BSE - SENSEX Index Options'!$I:$I,"Monthly*")+SUMIFS('BSE - Other Index Options'!$M:$M,'BSE - Other Index Options'!$C:$C,$A176,'BSE - Other Index Options'!$B:$B,G$147,'BSE - Other Index Options'!$I:$I,"Monthly*")=0,"",SUMIFS('BSE - SENSEX Index Options'!$M:$M,'BSE - SENSEX Index Options'!$C:$C,$A176,'BSE - SENSEX Index Options'!$B:$B,G$147,'BSE - SENSEX Index Options'!$I:$I,"Monthly*")+SUMIFS('BSE - Other Index Options'!$M:$M,'BSE - Other Index Options'!$C:$C,$A176,'BSE - Other Index Options'!$B:$B,G$147,'BSE - Other Index Options'!$I:$I,"Monthly*"))</f>
        <v/>
      </c>
      <c r="H176" s="26">
        <f>IF(SUM(B176:G176)=0,"",SUM(B176:G176))</f>
        <v/>
      </c>
    </row>
    <row r="177">
      <c r="A177" t="inlineStr">
        <is>
          <t>Week1-Mar-2026</t>
        </is>
      </c>
      <c r="B177" s="26">
        <f>IF(SUMIFS('BSE - SENSEX Index Options'!$M:$M,'BSE - SENSEX Index Options'!$C:$C,$A177,'BSE - SENSEX Index Options'!$B:$B,B$147,'BSE - SENSEX Index Options'!$I:$I,"Monthly*")+SUMIFS('BSE - Other Index Options'!$M:$M,'BSE - Other Index Options'!$C:$C,$A177,'BSE - Other Index Options'!$B:$B,B$147,'BSE - Other Index Options'!$I:$I,"Monthly*")=0,"",SUMIFS('BSE - SENSEX Index Options'!$M:$M,'BSE - SENSEX Index Options'!$C:$C,$A177,'BSE - SENSEX Index Options'!$B:$B,B$147,'BSE - SENSEX Index Options'!$I:$I,"Monthly*")+SUMIFS('BSE - Other Index Options'!$M:$M,'BSE - Other Index Options'!$C:$C,$A177,'BSE - Other Index Options'!$B:$B,B$147,'BSE - Other Index Options'!$I:$I,"Monthly*"))</f>
        <v/>
      </c>
      <c r="C177" s="26">
        <f>IF(SUMIFS('BSE - SENSEX Index Options'!$M:$M,'BSE - SENSEX Index Options'!$C:$C,$A177,'BSE - SENSEX Index Options'!$B:$B,C$147,'BSE - SENSEX Index Options'!$I:$I,"Monthly*")+SUMIFS('BSE - Other Index Options'!$M:$M,'BSE - Other Index Options'!$C:$C,$A177,'BSE - Other Index Options'!$B:$B,C$147,'BSE - Other Index Options'!$I:$I,"Monthly*")=0,"",SUMIFS('BSE - SENSEX Index Options'!$M:$M,'BSE - SENSEX Index Options'!$C:$C,$A177,'BSE - SENSEX Index Options'!$B:$B,C$147,'BSE - SENSEX Index Options'!$I:$I,"Monthly*")+SUMIFS('BSE - Other Index Options'!$M:$M,'BSE - Other Index Options'!$C:$C,$A177,'BSE - Other Index Options'!$B:$B,C$147,'BSE - Other Index Options'!$I:$I,"Monthly*"))</f>
        <v/>
      </c>
      <c r="D177" s="26">
        <f>IF(SUMIFS('BSE - SENSEX Index Options'!$M:$M,'BSE - SENSEX Index Options'!$C:$C,$A177,'BSE - SENSEX Index Options'!$B:$B,D$147,'BSE - SENSEX Index Options'!$I:$I,"Monthly*")+SUMIFS('BSE - Other Index Options'!$M:$M,'BSE - Other Index Options'!$C:$C,$A177,'BSE - Other Index Options'!$B:$B,D$147,'BSE - Other Index Options'!$I:$I,"Monthly*")=0,"",SUMIFS('BSE - SENSEX Index Options'!$M:$M,'BSE - SENSEX Index Options'!$C:$C,$A177,'BSE - SENSEX Index Options'!$B:$B,D$147,'BSE - SENSEX Index Options'!$I:$I,"Monthly*")+SUMIFS('BSE - Other Index Options'!$M:$M,'BSE - Other Index Options'!$C:$C,$A177,'BSE - Other Index Options'!$B:$B,D$147,'BSE - Other Index Options'!$I:$I,"Monthly*"))</f>
        <v/>
      </c>
      <c r="E177" s="26">
        <f>IF(SUMIFS('BSE - SENSEX Index Options'!$M:$M,'BSE - SENSEX Index Options'!$C:$C,$A177,'BSE - SENSEX Index Options'!$B:$B,E$147,'BSE - SENSEX Index Options'!$I:$I,"Monthly*")+SUMIFS('BSE - Other Index Options'!$M:$M,'BSE - Other Index Options'!$C:$C,$A177,'BSE - Other Index Options'!$B:$B,E$147,'BSE - Other Index Options'!$I:$I,"Monthly*")=0,"",SUMIFS('BSE - SENSEX Index Options'!$M:$M,'BSE - SENSEX Index Options'!$C:$C,$A177,'BSE - SENSEX Index Options'!$B:$B,E$147,'BSE - SENSEX Index Options'!$I:$I,"Monthly*")+SUMIFS('BSE - Other Index Options'!$M:$M,'BSE - Other Index Options'!$C:$C,$A177,'BSE - Other Index Options'!$B:$B,E$147,'BSE - Other Index Options'!$I:$I,"Monthly*"))</f>
        <v/>
      </c>
      <c r="F177" s="26">
        <f>IF(SUMIFS('BSE - SENSEX Index Options'!$M:$M,'BSE - SENSEX Index Options'!$C:$C,$A177,'BSE - SENSEX Index Options'!$B:$B,F$147,'BSE - SENSEX Index Options'!$I:$I,"Monthly*")+SUMIFS('BSE - Other Index Options'!$M:$M,'BSE - Other Index Options'!$C:$C,$A177,'BSE - Other Index Options'!$B:$B,F$147,'BSE - Other Index Options'!$I:$I,"Monthly*")=0,"",SUMIFS('BSE - SENSEX Index Options'!$M:$M,'BSE - SENSEX Index Options'!$C:$C,$A177,'BSE - SENSEX Index Options'!$B:$B,F$147,'BSE - SENSEX Index Options'!$I:$I,"Monthly*")+SUMIFS('BSE - Other Index Options'!$M:$M,'BSE - Other Index Options'!$C:$C,$A177,'BSE - Other Index Options'!$B:$B,F$147,'BSE - Other Index Options'!$I:$I,"Monthly*"))</f>
        <v/>
      </c>
      <c r="G177" s="26">
        <f>IF(SUMIFS('BSE - SENSEX Index Options'!$M:$M,'BSE - SENSEX Index Options'!$C:$C,$A177,'BSE - SENSEX Index Options'!$B:$B,G$147,'BSE - SENSEX Index Options'!$I:$I,"Monthly*")+SUMIFS('BSE - Other Index Options'!$M:$M,'BSE - Other Index Options'!$C:$C,$A177,'BSE - Other Index Options'!$B:$B,G$147,'BSE - Other Index Options'!$I:$I,"Monthly*")=0,"",SUMIFS('BSE - SENSEX Index Options'!$M:$M,'BSE - SENSEX Index Options'!$C:$C,$A177,'BSE - SENSEX Index Options'!$B:$B,G$147,'BSE - SENSEX Index Options'!$I:$I,"Monthly*")+SUMIFS('BSE - Other Index Options'!$M:$M,'BSE - Other Index Options'!$C:$C,$A177,'BSE - Other Index Options'!$B:$B,G$147,'BSE - Other Index Options'!$I:$I,"Monthly*"))</f>
        <v/>
      </c>
      <c r="H177" s="26">
        <f>IF(SUM(B177:G177)=0,"",SUM(B177:G177))</f>
        <v/>
      </c>
    </row>
    <row r="178">
      <c r="A178" t="inlineStr">
        <is>
          <t>Week2-Mar-2026</t>
        </is>
      </c>
      <c r="B178" s="26">
        <f>IF(SUMIFS('BSE - SENSEX Index Options'!$M:$M,'BSE - SENSEX Index Options'!$C:$C,$A178,'BSE - SENSEX Index Options'!$B:$B,B$147,'BSE - SENSEX Index Options'!$I:$I,"Monthly*")+SUMIFS('BSE - Other Index Options'!$M:$M,'BSE - Other Index Options'!$C:$C,$A178,'BSE - Other Index Options'!$B:$B,B$147,'BSE - Other Index Options'!$I:$I,"Monthly*")=0,"",SUMIFS('BSE - SENSEX Index Options'!$M:$M,'BSE - SENSEX Index Options'!$C:$C,$A178,'BSE - SENSEX Index Options'!$B:$B,B$147,'BSE - SENSEX Index Options'!$I:$I,"Monthly*")+SUMIFS('BSE - Other Index Options'!$M:$M,'BSE - Other Index Options'!$C:$C,$A178,'BSE - Other Index Options'!$B:$B,B$147,'BSE - Other Index Options'!$I:$I,"Monthly*"))</f>
        <v/>
      </c>
      <c r="C178" s="26">
        <f>IF(SUMIFS('BSE - SENSEX Index Options'!$M:$M,'BSE - SENSEX Index Options'!$C:$C,$A178,'BSE - SENSEX Index Options'!$B:$B,C$147,'BSE - SENSEX Index Options'!$I:$I,"Monthly*")+SUMIFS('BSE - Other Index Options'!$M:$M,'BSE - Other Index Options'!$C:$C,$A178,'BSE - Other Index Options'!$B:$B,C$147,'BSE - Other Index Options'!$I:$I,"Monthly*")=0,"",SUMIFS('BSE - SENSEX Index Options'!$M:$M,'BSE - SENSEX Index Options'!$C:$C,$A178,'BSE - SENSEX Index Options'!$B:$B,C$147,'BSE - SENSEX Index Options'!$I:$I,"Monthly*")+SUMIFS('BSE - Other Index Options'!$M:$M,'BSE - Other Index Options'!$C:$C,$A178,'BSE - Other Index Options'!$B:$B,C$147,'BSE - Other Index Options'!$I:$I,"Monthly*"))</f>
        <v/>
      </c>
      <c r="D178" s="26">
        <f>IF(SUMIFS('BSE - SENSEX Index Options'!$M:$M,'BSE - SENSEX Index Options'!$C:$C,$A178,'BSE - SENSEX Index Options'!$B:$B,D$147,'BSE - SENSEX Index Options'!$I:$I,"Monthly*")+SUMIFS('BSE - Other Index Options'!$M:$M,'BSE - Other Index Options'!$C:$C,$A178,'BSE - Other Index Options'!$B:$B,D$147,'BSE - Other Index Options'!$I:$I,"Monthly*")=0,"",SUMIFS('BSE - SENSEX Index Options'!$M:$M,'BSE - SENSEX Index Options'!$C:$C,$A178,'BSE - SENSEX Index Options'!$B:$B,D$147,'BSE - SENSEX Index Options'!$I:$I,"Monthly*")+SUMIFS('BSE - Other Index Options'!$M:$M,'BSE - Other Index Options'!$C:$C,$A178,'BSE - Other Index Options'!$B:$B,D$147,'BSE - Other Index Options'!$I:$I,"Monthly*"))</f>
        <v/>
      </c>
      <c r="E178" s="26">
        <f>IF(SUMIFS('BSE - SENSEX Index Options'!$M:$M,'BSE - SENSEX Index Options'!$C:$C,$A178,'BSE - SENSEX Index Options'!$B:$B,E$147,'BSE - SENSEX Index Options'!$I:$I,"Monthly*")+SUMIFS('BSE - Other Index Options'!$M:$M,'BSE - Other Index Options'!$C:$C,$A178,'BSE - Other Index Options'!$B:$B,E$147,'BSE - Other Index Options'!$I:$I,"Monthly*")=0,"",SUMIFS('BSE - SENSEX Index Options'!$M:$M,'BSE - SENSEX Index Options'!$C:$C,$A178,'BSE - SENSEX Index Options'!$B:$B,E$147,'BSE - SENSEX Index Options'!$I:$I,"Monthly*")+SUMIFS('BSE - Other Index Options'!$M:$M,'BSE - Other Index Options'!$C:$C,$A178,'BSE - Other Index Options'!$B:$B,E$147,'BSE - Other Index Options'!$I:$I,"Monthly*"))</f>
        <v/>
      </c>
      <c r="F178" s="26">
        <f>IF(SUMIFS('BSE - SENSEX Index Options'!$M:$M,'BSE - SENSEX Index Options'!$C:$C,$A178,'BSE - SENSEX Index Options'!$B:$B,F$147,'BSE - SENSEX Index Options'!$I:$I,"Monthly*")+SUMIFS('BSE - Other Index Options'!$M:$M,'BSE - Other Index Options'!$C:$C,$A178,'BSE - Other Index Options'!$B:$B,F$147,'BSE - Other Index Options'!$I:$I,"Monthly*")=0,"",SUMIFS('BSE - SENSEX Index Options'!$M:$M,'BSE - SENSEX Index Options'!$C:$C,$A178,'BSE - SENSEX Index Options'!$B:$B,F$147,'BSE - SENSEX Index Options'!$I:$I,"Monthly*")+SUMIFS('BSE - Other Index Options'!$M:$M,'BSE - Other Index Options'!$C:$C,$A178,'BSE - Other Index Options'!$B:$B,F$147,'BSE - Other Index Options'!$I:$I,"Monthly*"))</f>
        <v/>
      </c>
      <c r="G178" s="26">
        <f>IF(SUMIFS('BSE - SENSEX Index Options'!$M:$M,'BSE - SENSEX Index Options'!$C:$C,$A178,'BSE - SENSEX Index Options'!$B:$B,G$147,'BSE - SENSEX Index Options'!$I:$I,"Monthly*")+SUMIFS('BSE - Other Index Options'!$M:$M,'BSE - Other Index Options'!$C:$C,$A178,'BSE - Other Index Options'!$B:$B,G$147,'BSE - Other Index Options'!$I:$I,"Monthly*")=0,"",SUMIFS('BSE - SENSEX Index Options'!$M:$M,'BSE - SENSEX Index Options'!$C:$C,$A178,'BSE - SENSEX Index Options'!$B:$B,G$147,'BSE - SENSEX Index Options'!$I:$I,"Monthly*")+SUMIFS('BSE - Other Index Options'!$M:$M,'BSE - Other Index Options'!$C:$C,$A178,'BSE - Other Index Options'!$B:$B,G$147,'BSE - Other Index Options'!$I:$I,"Monthly*"))</f>
        <v/>
      </c>
      <c r="H178" s="26">
        <f>IF(SUM(B178:G178)=0,"",SUM(B178:G178))</f>
        <v/>
      </c>
    </row>
    <row r="179">
      <c r="A179" t="inlineStr">
        <is>
          <t>Week3-Mar-2026</t>
        </is>
      </c>
      <c r="B179" s="26">
        <f>IF(SUMIFS('BSE - SENSEX Index Options'!$M:$M,'BSE - SENSEX Index Options'!$C:$C,$A179,'BSE - SENSEX Index Options'!$B:$B,B$147,'BSE - SENSEX Index Options'!$I:$I,"Monthly*")+SUMIFS('BSE - Other Index Options'!$M:$M,'BSE - Other Index Options'!$C:$C,$A179,'BSE - Other Index Options'!$B:$B,B$147,'BSE - Other Index Options'!$I:$I,"Monthly*")=0,"",SUMIFS('BSE - SENSEX Index Options'!$M:$M,'BSE - SENSEX Index Options'!$C:$C,$A179,'BSE - SENSEX Index Options'!$B:$B,B$147,'BSE - SENSEX Index Options'!$I:$I,"Monthly*")+SUMIFS('BSE - Other Index Options'!$M:$M,'BSE - Other Index Options'!$C:$C,$A179,'BSE - Other Index Options'!$B:$B,B$147,'BSE - Other Index Options'!$I:$I,"Monthly*"))</f>
        <v/>
      </c>
      <c r="C179" s="26">
        <f>IF(SUMIFS('BSE - SENSEX Index Options'!$M:$M,'BSE - SENSEX Index Options'!$C:$C,$A179,'BSE - SENSEX Index Options'!$B:$B,C$147,'BSE - SENSEX Index Options'!$I:$I,"Monthly*")+SUMIFS('BSE - Other Index Options'!$M:$M,'BSE - Other Index Options'!$C:$C,$A179,'BSE - Other Index Options'!$B:$B,C$147,'BSE - Other Index Options'!$I:$I,"Monthly*")=0,"",SUMIFS('BSE - SENSEX Index Options'!$M:$M,'BSE - SENSEX Index Options'!$C:$C,$A179,'BSE - SENSEX Index Options'!$B:$B,C$147,'BSE - SENSEX Index Options'!$I:$I,"Monthly*")+SUMIFS('BSE - Other Index Options'!$M:$M,'BSE - Other Index Options'!$C:$C,$A179,'BSE - Other Index Options'!$B:$B,C$147,'BSE - Other Index Options'!$I:$I,"Monthly*"))</f>
        <v/>
      </c>
      <c r="D179" s="26">
        <f>IF(SUMIFS('BSE - SENSEX Index Options'!$M:$M,'BSE - SENSEX Index Options'!$C:$C,$A179,'BSE - SENSEX Index Options'!$B:$B,D$147,'BSE - SENSEX Index Options'!$I:$I,"Monthly*")+SUMIFS('BSE - Other Index Options'!$M:$M,'BSE - Other Index Options'!$C:$C,$A179,'BSE - Other Index Options'!$B:$B,D$147,'BSE - Other Index Options'!$I:$I,"Monthly*")=0,"",SUMIFS('BSE - SENSEX Index Options'!$M:$M,'BSE - SENSEX Index Options'!$C:$C,$A179,'BSE - SENSEX Index Options'!$B:$B,D$147,'BSE - SENSEX Index Options'!$I:$I,"Monthly*")+SUMIFS('BSE - Other Index Options'!$M:$M,'BSE - Other Index Options'!$C:$C,$A179,'BSE - Other Index Options'!$B:$B,D$147,'BSE - Other Index Options'!$I:$I,"Monthly*"))</f>
        <v/>
      </c>
      <c r="E179" s="26">
        <f>IF(SUMIFS('BSE - SENSEX Index Options'!$M:$M,'BSE - SENSEX Index Options'!$C:$C,$A179,'BSE - SENSEX Index Options'!$B:$B,E$147,'BSE - SENSEX Index Options'!$I:$I,"Monthly*")+SUMIFS('BSE - Other Index Options'!$M:$M,'BSE - Other Index Options'!$C:$C,$A179,'BSE - Other Index Options'!$B:$B,E$147,'BSE - Other Index Options'!$I:$I,"Monthly*")=0,"",SUMIFS('BSE - SENSEX Index Options'!$M:$M,'BSE - SENSEX Index Options'!$C:$C,$A179,'BSE - SENSEX Index Options'!$B:$B,E$147,'BSE - SENSEX Index Options'!$I:$I,"Monthly*")+SUMIFS('BSE - Other Index Options'!$M:$M,'BSE - Other Index Options'!$C:$C,$A179,'BSE - Other Index Options'!$B:$B,E$147,'BSE - Other Index Options'!$I:$I,"Monthly*"))</f>
        <v/>
      </c>
      <c r="F179" s="26">
        <f>IF(SUMIFS('BSE - SENSEX Index Options'!$M:$M,'BSE - SENSEX Index Options'!$C:$C,$A179,'BSE - SENSEX Index Options'!$B:$B,F$147,'BSE - SENSEX Index Options'!$I:$I,"Monthly*")+SUMIFS('BSE - Other Index Options'!$M:$M,'BSE - Other Index Options'!$C:$C,$A179,'BSE - Other Index Options'!$B:$B,F$147,'BSE - Other Index Options'!$I:$I,"Monthly*")=0,"",SUMIFS('BSE - SENSEX Index Options'!$M:$M,'BSE - SENSEX Index Options'!$C:$C,$A179,'BSE - SENSEX Index Options'!$B:$B,F$147,'BSE - SENSEX Index Options'!$I:$I,"Monthly*")+SUMIFS('BSE - Other Index Options'!$M:$M,'BSE - Other Index Options'!$C:$C,$A179,'BSE - Other Index Options'!$B:$B,F$147,'BSE - Other Index Options'!$I:$I,"Monthly*"))</f>
        <v/>
      </c>
      <c r="G179" s="26">
        <f>IF(SUMIFS('BSE - SENSEX Index Options'!$M:$M,'BSE - SENSEX Index Options'!$C:$C,$A179,'BSE - SENSEX Index Options'!$B:$B,G$147,'BSE - SENSEX Index Options'!$I:$I,"Monthly*")+SUMIFS('BSE - Other Index Options'!$M:$M,'BSE - Other Index Options'!$C:$C,$A179,'BSE - Other Index Options'!$B:$B,G$147,'BSE - Other Index Options'!$I:$I,"Monthly*")=0,"",SUMIFS('BSE - SENSEX Index Options'!$M:$M,'BSE - SENSEX Index Options'!$C:$C,$A179,'BSE - SENSEX Index Options'!$B:$B,G$147,'BSE - SENSEX Index Options'!$I:$I,"Monthly*")+SUMIFS('BSE - Other Index Options'!$M:$M,'BSE - Other Index Options'!$C:$C,$A179,'BSE - Other Index Options'!$B:$B,G$147,'BSE - Other Index Options'!$I:$I,"Monthly*"))</f>
        <v/>
      </c>
      <c r="H179" s="26">
        <f>IF(SUM(B179:G179)=0,"",SUM(B179:G179))</f>
        <v/>
      </c>
    </row>
    <row r="180">
      <c r="A180" t="inlineStr">
        <is>
          <t>Week4-Mar-2026</t>
        </is>
      </c>
      <c r="B180" s="26">
        <f>IF(SUMIFS('BSE - SENSEX Index Options'!$M:$M,'BSE - SENSEX Index Options'!$C:$C,$A180,'BSE - SENSEX Index Options'!$B:$B,B$147,'BSE - SENSEX Index Options'!$I:$I,"Monthly*")+SUMIFS('BSE - Other Index Options'!$M:$M,'BSE - Other Index Options'!$C:$C,$A180,'BSE - Other Index Options'!$B:$B,B$147,'BSE - Other Index Options'!$I:$I,"Monthly*")=0,"",SUMIFS('BSE - SENSEX Index Options'!$M:$M,'BSE - SENSEX Index Options'!$C:$C,$A180,'BSE - SENSEX Index Options'!$B:$B,B$147,'BSE - SENSEX Index Options'!$I:$I,"Monthly*")+SUMIFS('BSE - Other Index Options'!$M:$M,'BSE - Other Index Options'!$C:$C,$A180,'BSE - Other Index Options'!$B:$B,B$147,'BSE - Other Index Options'!$I:$I,"Monthly*"))</f>
        <v/>
      </c>
      <c r="C180" s="26">
        <f>IF(SUMIFS('BSE - SENSEX Index Options'!$M:$M,'BSE - SENSEX Index Options'!$C:$C,$A180,'BSE - SENSEX Index Options'!$B:$B,C$147,'BSE - SENSEX Index Options'!$I:$I,"Monthly*")+SUMIFS('BSE - Other Index Options'!$M:$M,'BSE - Other Index Options'!$C:$C,$A180,'BSE - Other Index Options'!$B:$B,C$147,'BSE - Other Index Options'!$I:$I,"Monthly*")=0,"",SUMIFS('BSE - SENSEX Index Options'!$M:$M,'BSE - SENSEX Index Options'!$C:$C,$A180,'BSE - SENSEX Index Options'!$B:$B,C$147,'BSE - SENSEX Index Options'!$I:$I,"Monthly*")+SUMIFS('BSE - Other Index Options'!$M:$M,'BSE - Other Index Options'!$C:$C,$A180,'BSE - Other Index Options'!$B:$B,C$147,'BSE - Other Index Options'!$I:$I,"Monthly*"))</f>
        <v/>
      </c>
      <c r="D180" s="26">
        <f>IF(SUMIFS('BSE - SENSEX Index Options'!$M:$M,'BSE - SENSEX Index Options'!$C:$C,$A180,'BSE - SENSEX Index Options'!$B:$B,D$147,'BSE - SENSEX Index Options'!$I:$I,"Monthly*")+SUMIFS('BSE - Other Index Options'!$M:$M,'BSE - Other Index Options'!$C:$C,$A180,'BSE - Other Index Options'!$B:$B,D$147,'BSE - Other Index Options'!$I:$I,"Monthly*")=0,"",SUMIFS('BSE - SENSEX Index Options'!$M:$M,'BSE - SENSEX Index Options'!$C:$C,$A180,'BSE - SENSEX Index Options'!$B:$B,D$147,'BSE - SENSEX Index Options'!$I:$I,"Monthly*")+SUMIFS('BSE - Other Index Options'!$M:$M,'BSE - Other Index Options'!$C:$C,$A180,'BSE - Other Index Options'!$B:$B,D$147,'BSE - Other Index Options'!$I:$I,"Monthly*"))</f>
        <v/>
      </c>
      <c r="E180" s="26">
        <f>IF(SUMIFS('BSE - SENSEX Index Options'!$M:$M,'BSE - SENSEX Index Options'!$C:$C,$A180,'BSE - SENSEX Index Options'!$B:$B,E$147,'BSE - SENSEX Index Options'!$I:$I,"Monthly*")+SUMIFS('BSE - Other Index Options'!$M:$M,'BSE - Other Index Options'!$C:$C,$A180,'BSE - Other Index Options'!$B:$B,E$147,'BSE - Other Index Options'!$I:$I,"Monthly*")=0,"",SUMIFS('BSE - SENSEX Index Options'!$M:$M,'BSE - SENSEX Index Options'!$C:$C,$A180,'BSE - SENSEX Index Options'!$B:$B,E$147,'BSE - SENSEX Index Options'!$I:$I,"Monthly*")+SUMIFS('BSE - Other Index Options'!$M:$M,'BSE - Other Index Options'!$C:$C,$A180,'BSE - Other Index Options'!$B:$B,E$147,'BSE - Other Index Options'!$I:$I,"Monthly*"))</f>
        <v/>
      </c>
      <c r="F180" s="26">
        <f>IF(SUMIFS('BSE - SENSEX Index Options'!$M:$M,'BSE - SENSEX Index Options'!$C:$C,$A180,'BSE - SENSEX Index Options'!$B:$B,F$147,'BSE - SENSEX Index Options'!$I:$I,"Monthly*")+SUMIFS('BSE - Other Index Options'!$M:$M,'BSE - Other Index Options'!$C:$C,$A180,'BSE - Other Index Options'!$B:$B,F$147,'BSE - Other Index Options'!$I:$I,"Monthly*")=0,"",SUMIFS('BSE - SENSEX Index Options'!$M:$M,'BSE - SENSEX Index Options'!$C:$C,$A180,'BSE - SENSEX Index Options'!$B:$B,F$147,'BSE - SENSEX Index Options'!$I:$I,"Monthly*")+SUMIFS('BSE - Other Index Options'!$M:$M,'BSE - Other Index Options'!$C:$C,$A180,'BSE - Other Index Options'!$B:$B,F$147,'BSE - Other Index Options'!$I:$I,"Monthly*"))</f>
        <v/>
      </c>
      <c r="G180" s="26">
        <f>IF(SUMIFS('BSE - SENSEX Index Options'!$M:$M,'BSE - SENSEX Index Options'!$C:$C,$A180,'BSE - SENSEX Index Options'!$B:$B,G$147,'BSE - SENSEX Index Options'!$I:$I,"Monthly*")+SUMIFS('BSE - Other Index Options'!$M:$M,'BSE - Other Index Options'!$C:$C,$A180,'BSE - Other Index Options'!$B:$B,G$147,'BSE - Other Index Options'!$I:$I,"Monthly*")=0,"",SUMIFS('BSE - SENSEX Index Options'!$M:$M,'BSE - SENSEX Index Options'!$C:$C,$A180,'BSE - SENSEX Index Options'!$B:$B,G$147,'BSE - SENSEX Index Options'!$I:$I,"Monthly*")+SUMIFS('BSE - Other Index Options'!$M:$M,'BSE - Other Index Options'!$C:$C,$A180,'BSE - Other Index Options'!$B:$B,G$147,'BSE - Other Index Options'!$I:$I,"Monthly*"))</f>
        <v/>
      </c>
      <c r="H180" s="26">
        <f>IF(SUM(B180:G180)=0,"",SUM(B180:G180))</f>
        <v/>
      </c>
    </row>
    <row r="181">
      <c r="A181" t="inlineStr">
        <is>
          <t>Week5-Mar-2026</t>
        </is>
      </c>
      <c r="B181" s="26">
        <f>IF(SUMIFS('BSE - SENSEX Index Options'!$M:$M,'BSE - SENSEX Index Options'!$C:$C,$A181,'BSE - SENSEX Index Options'!$B:$B,B$147,'BSE - SENSEX Index Options'!$I:$I,"Monthly*")+SUMIFS('BSE - Other Index Options'!$M:$M,'BSE - Other Index Options'!$C:$C,$A181,'BSE - Other Index Options'!$B:$B,B$147,'BSE - Other Index Options'!$I:$I,"Monthly*")=0,"",SUMIFS('BSE - SENSEX Index Options'!$M:$M,'BSE - SENSEX Index Options'!$C:$C,$A181,'BSE - SENSEX Index Options'!$B:$B,B$147,'BSE - SENSEX Index Options'!$I:$I,"Monthly*")+SUMIFS('BSE - Other Index Options'!$M:$M,'BSE - Other Index Options'!$C:$C,$A181,'BSE - Other Index Options'!$B:$B,B$147,'BSE - Other Index Options'!$I:$I,"Monthly*"))</f>
        <v/>
      </c>
      <c r="C181" s="26">
        <f>IF(SUMIFS('BSE - SENSEX Index Options'!$M:$M,'BSE - SENSEX Index Options'!$C:$C,$A181,'BSE - SENSEX Index Options'!$B:$B,C$147,'BSE - SENSEX Index Options'!$I:$I,"Monthly*")+SUMIFS('BSE - Other Index Options'!$M:$M,'BSE - Other Index Options'!$C:$C,$A181,'BSE - Other Index Options'!$B:$B,C$147,'BSE - Other Index Options'!$I:$I,"Monthly*")=0,"",SUMIFS('BSE - SENSEX Index Options'!$M:$M,'BSE - SENSEX Index Options'!$C:$C,$A181,'BSE - SENSEX Index Options'!$B:$B,C$147,'BSE - SENSEX Index Options'!$I:$I,"Monthly*")+SUMIFS('BSE - Other Index Options'!$M:$M,'BSE - Other Index Options'!$C:$C,$A181,'BSE - Other Index Options'!$B:$B,C$147,'BSE - Other Index Options'!$I:$I,"Monthly*"))</f>
        <v/>
      </c>
      <c r="D181" s="26">
        <f>IF(SUMIFS('BSE - SENSEX Index Options'!$M:$M,'BSE - SENSEX Index Options'!$C:$C,$A181,'BSE - SENSEX Index Options'!$B:$B,D$147,'BSE - SENSEX Index Options'!$I:$I,"Monthly*")+SUMIFS('BSE - Other Index Options'!$M:$M,'BSE - Other Index Options'!$C:$C,$A181,'BSE - Other Index Options'!$B:$B,D$147,'BSE - Other Index Options'!$I:$I,"Monthly*")=0,"",SUMIFS('BSE - SENSEX Index Options'!$M:$M,'BSE - SENSEX Index Options'!$C:$C,$A181,'BSE - SENSEX Index Options'!$B:$B,D$147,'BSE - SENSEX Index Options'!$I:$I,"Monthly*")+SUMIFS('BSE - Other Index Options'!$M:$M,'BSE - Other Index Options'!$C:$C,$A181,'BSE - Other Index Options'!$B:$B,D$147,'BSE - Other Index Options'!$I:$I,"Monthly*"))</f>
        <v/>
      </c>
      <c r="E181" s="26">
        <f>IF(SUMIFS('BSE - SENSEX Index Options'!$M:$M,'BSE - SENSEX Index Options'!$C:$C,$A181,'BSE - SENSEX Index Options'!$B:$B,E$147,'BSE - SENSEX Index Options'!$I:$I,"Monthly*")+SUMIFS('BSE - Other Index Options'!$M:$M,'BSE - Other Index Options'!$C:$C,$A181,'BSE - Other Index Options'!$B:$B,E$147,'BSE - Other Index Options'!$I:$I,"Monthly*")=0,"",SUMIFS('BSE - SENSEX Index Options'!$M:$M,'BSE - SENSEX Index Options'!$C:$C,$A181,'BSE - SENSEX Index Options'!$B:$B,E$147,'BSE - SENSEX Index Options'!$I:$I,"Monthly*")+SUMIFS('BSE - Other Index Options'!$M:$M,'BSE - Other Index Options'!$C:$C,$A181,'BSE - Other Index Options'!$B:$B,E$147,'BSE - Other Index Options'!$I:$I,"Monthly*"))</f>
        <v/>
      </c>
      <c r="F181" s="26">
        <f>IF(SUMIFS('BSE - SENSEX Index Options'!$M:$M,'BSE - SENSEX Index Options'!$C:$C,$A181,'BSE - SENSEX Index Options'!$B:$B,F$147,'BSE - SENSEX Index Options'!$I:$I,"Monthly*")+SUMIFS('BSE - Other Index Options'!$M:$M,'BSE - Other Index Options'!$C:$C,$A181,'BSE - Other Index Options'!$B:$B,F$147,'BSE - Other Index Options'!$I:$I,"Monthly*")=0,"",SUMIFS('BSE - SENSEX Index Options'!$M:$M,'BSE - SENSEX Index Options'!$C:$C,$A181,'BSE - SENSEX Index Options'!$B:$B,F$147,'BSE - SENSEX Index Options'!$I:$I,"Monthly*")+SUMIFS('BSE - Other Index Options'!$M:$M,'BSE - Other Index Options'!$C:$C,$A181,'BSE - Other Index Options'!$B:$B,F$147,'BSE - Other Index Options'!$I:$I,"Monthly*"))</f>
        <v/>
      </c>
      <c r="G181" s="26">
        <f>IF(SUMIFS('BSE - SENSEX Index Options'!$M:$M,'BSE - SENSEX Index Options'!$C:$C,$A181,'BSE - SENSEX Index Options'!$B:$B,G$147,'BSE - SENSEX Index Options'!$I:$I,"Monthly*")+SUMIFS('BSE - Other Index Options'!$M:$M,'BSE - Other Index Options'!$C:$C,$A181,'BSE - Other Index Options'!$B:$B,G$147,'BSE - Other Index Options'!$I:$I,"Monthly*")=0,"",SUMIFS('BSE - SENSEX Index Options'!$M:$M,'BSE - SENSEX Index Options'!$C:$C,$A181,'BSE - SENSEX Index Options'!$B:$B,G$147,'BSE - SENSEX Index Options'!$I:$I,"Monthly*")+SUMIFS('BSE - Other Index Options'!$M:$M,'BSE - Other Index Options'!$C:$C,$A181,'BSE - Other Index Options'!$B:$B,G$147,'BSE - Other Index Options'!$I:$I,"Monthly*"))</f>
        <v/>
      </c>
      <c r="H181" s="26">
        <f>IF(SUM(B181:G181)=0,"",SUM(B181:G181))</f>
        <v/>
      </c>
    </row>
    <row r="182">
      <c r="A182" t="inlineStr">
        <is>
          <t>Week1-Apr-2026</t>
        </is>
      </c>
      <c r="B182" s="26">
        <f>IF(SUMIFS('BSE - SENSEX Index Options'!$M:$M,'BSE - SENSEX Index Options'!$C:$C,$A182,'BSE - SENSEX Index Options'!$B:$B,B$147,'BSE - SENSEX Index Options'!$I:$I,"Monthly*")+SUMIFS('BSE - Other Index Options'!$M:$M,'BSE - Other Index Options'!$C:$C,$A182,'BSE - Other Index Options'!$B:$B,B$147,'BSE - Other Index Options'!$I:$I,"Monthly*")=0,"",SUMIFS('BSE - SENSEX Index Options'!$M:$M,'BSE - SENSEX Index Options'!$C:$C,$A182,'BSE - SENSEX Index Options'!$B:$B,B$147,'BSE - SENSEX Index Options'!$I:$I,"Monthly*")+SUMIFS('BSE - Other Index Options'!$M:$M,'BSE - Other Index Options'!$C:$C,$A182,'BSE - Other Index Options'!$B:$B,B$147,'BSE - Other Index Options'!$I:$I,"Monthly*"))</f>
        <v/>
      </c>
      <c r="C182" s="26">
        <f>IF(SUMIFS('BSE - SENSEX Index Options'!$M:$M,'BSE - SENSEX Index Options'!$C:$C,$A182,'BSE - SENSEX Index Options'!$B:$B,C$147,'BSE - SENSEX Index Options'!$I:$I,"Monthly*")+SUMIFS('BSE - Other Index Options'!$M:$M,'BSE - Other Index Options'!$C:$C,$A182,'BSE - Other Index Options'!$B:$B,C$147,'BSE - Other Index Options'!$I:$I,"Monthly*")=0,"",SUMIFS('BSE - SENSEX Index Options'!$M:$M,'BSE - SENSEX Index Options'!$C:$C,$A182,'BSE - SENSEX Index Options'!$B:$B,C$147,'BSE - SENSEX Index Options'!$I:$I,"Monthly*")+SUMIFS('BSE - Other Index Options'!$M:$M,'BSE - Other Index Options'!$C:$C,$A182,'BSE - Other Index Options'!$B:$B,C$147,'BSE - Other Index Options'!$I:$I,"Monthly*"))</f>
        <v/>
      </c>
      <c r="D182" s="26">
        <f>IF(SUMIFS('BSE - SENSEX Index Options'!$M:$M,'BSE - SENSEX Index Options'!$C:$C,$A182,'BSE - SENSEX Index Options'!$B:$B,D$147,'BSE - SENSEX Index Options'!$I:$I,"Monthly*")+SUMIFS('BSE - Other Index Options'!$M:$M,'BSE - Other Index Options'!$C:$C,$A182,'BSE - Other Index Options'!$B:$B,D$147,'BSE - Other Index Options'!$I:$I,"Monthly*")=0,"",SUMIFS('BSE - SENSEX Index Options'!$M:$M,'BSE - SENSEX Index Options'!$C:$C,$A182,'BSE - SENSEX Index Options'!$B:$B,D$147,'BSE - SENSEX Index Options'!$I:$I,"Monthly*")+SUMIFS('BSE - Other Index Options'!$M:$M,'BSE - Other Index Options'!$C:$C,$A182,'BSE - Other Index Options'!$B:$B,D$147,'BSE - Other Index Options'!$I:$I,"Monthly*"))</f>
        <v/>
      </c>
      <c r="E182" s="26">
        <f>IF(SUMIFS('BSE - SENSEX Index Options'!$M:$M,'BSE - SENSEX Index Options'!$C:$C,$A182,'BSE - SENSEX Index Options'!$B:$B,E$147,'BSE - SENSEX Index Options'!$I:$I,"Monthly*")+SUMIFS('BSE - Other Index Options'!$M:$M,'BSE - Other Index Options'!$C:$C,$A182,'BSE - Other Index Options'!$B:$B,E$147,'BSE - Other Index Options'!$I:$I,"Monthly*")=0,"",SUMIFS('BSE - SENSEX Index Options'!$M:$M,'BSE - SENSEX Index Options'!$C:$C,$A182,'BSE - SENSEX Index Options'!$B:$B,E$147,'BSE - SENSEX Index Options'!$I:$I,"Monthly*")+SUMIFS('BSE - Other Index Options'!$M:$M,'BSE - Other Index Options'!$C:$C,$A182,'BSE - Other Index Options'!$B:$B,E$147,'BSE - Other Index Options'!$I:$I,"Monthly*"))</f>
        <v/>
      </c>
      <c r="F182" s="26">
        <f>IF(SUMIFS('BSE - SENSEX Index Options'!$M:$M,'BSE - SENSEX Index Options'!$C:$C,$A182,'BSE - SENSEX Index Options'!$B:$B,F$147,'BSE - SENSEX Index Options'!$I:$I,"Monthly*")+SUMIFS('BSE - Other Index Options'!$M:$M,'BSE - Other Index Options'!$C:$C,$A182,'BSE - Other Index Options'!$B:$B,F$147,'BSE - Other Index Options'!$I:$I,"Monthly*")=0,"",SUMIFS('BSE - SENSEX Index Options'!$M:$M,'BSE - SENSEX Index Options'!$C:$C,$A182,'BSE - SENSEX Index Options'!$B:$B,F$147,'BSE - SENSEX Index Options'!$I:$I,"Monthly*")+SUMIFS('BSE - Other Index Options'!$M:$M,'BSE - Other Index Options'!$C:$C,$A182,'BSE - Other Index Options'!$B:$B,F$147,'BSE - Other Index Options'!$I:$I,"Monthly*"))</f>
        <v/>
      </c>
      <c r="G182" s="26">
        <f>IF(SUMIFS('BSE - SENSEX Index Options'!$M:$M,'BSE - SENSEX Index Options'!$C:$C,$A182,'BSE - SENSEX Index Options'!$B:$B,G$147,'BSE - SENSEX Index Options'!$I:$I,"Monthly*")+SUMIFS('BSE - Other Index Options'!$M:$M,'BSE - Other Index Options'!$C:$C,$A182,'BSE - Other Index Options'!$B:$B,G$147,'BSE - Other Index Options'!$I:$I,"Monthly*")=0,"",SUMIFS('BSE - SENSEX Index Options'!$M:$M,'BSE - SENSEX Index Options'!$C:$C,$A182,'BSE - SENSEX Index Options'!$B:$B,G$147,'BSE - SENSEX Index Options'!$I:$I,"Monthly*")+SUMIFS('BSE - Other Index Options'!$M:$M,'BSE - Other Index Options'!$C:$C,$A182,'BSE - Other Index Options'!$B:$B,G$147,'BSE - Other Index Options'!$I:$I,"Monthly*"))</f>
        <v/>
      </c>
      <c r="H182" s="26">
        <f>IF(SUM(B182:G182)=0,"",SUM(B182:G182))</f>
        <v/>
      </c>
    </row>
    <row r="183">
      <c r="A183" t="inlineStr">
        <is>
          <t>Week2-Apr-2026</t>
        </is>
      </c>
      <c r="B183" s="26">
        <f>IF(SUMIFS('BSE - SENSEX Index Options'!$M:$M,'BSE - SENSEX Index Options'!$C:$C,$A183,'BSE - SENSEX Index Options'!$B:$B,B$147,'BSE - SENSEX Index Options'!$I:$I,"Monthly*")+SUMIFS('BSE - Other Index Options'!$M:$M,'BSE - Other Index Options'!$C:$C,$A183,'BSE - Other Index Options'!$B:$B,B$147,'BSE - Other Index Options'!$I:$I,"Monthly*")=0,"",SUMIFS('BSE - SENSEX Index Options'!$M:$M,'BSE - SENSEX Index Options'!$C:$C,$A183,'BSE - SENSEX Index Options'!$B:$B,B$147,'BSE - SENSEX Index Options'!$I:$I,"Monthly*")+SUMIFS('BSE - Other Index Options'!$M:$M,'BSE - Other Index Options'!$C:$C,$A183,'BSE - Other Index Options'!$B:$B,B$147,'BSE - Other Index Options'!$I:$I,"Monthly*"))</f>
        <v/>
      </c>
      <c r="C183" s="26">
        <f>IF(SUMIFS('BSE - SENSEX Index Options'!$M:$M,'BSE - SENSEX Index Options'!$C:$C,$A183,'BSE - SENSEX Index Options'!$B:$B,C$147,'BSE - SENSEX Index Options'!$I:$I,"Monthly*")+SUMIFS('BSE - Other Index Options'!$M:$M,'BSE - Other Index Options'!$C:$C,$A183,'BSE - Other Index Options'!$B:$B,C$147,'BSE - Other Index Options'!$I:$I,"Monthly*")=0,"",SUMIFS('BSE - SENSEX Index Options'!$M:$M,'BSE - SENSEX Index Options'!$C:$C,$A183,'BSE - SENSEX Index Options'!$B:$B,C$147,'BSE - SENSEX Index Options'!$I:$I,"Monthly*")+SUMIFS('BSE - Other Index Options'!$M:$M,'BSE - Other Index Options'!$C:$C,$A183,'BSE - Other Index Options'!$B:$B,C$147,'BSE - Other Index Options'!$I:$I,"Monthly*"))</f>
        <v/>
      </c>
      <c r="D183" s="26">
        <f>IF(SUMIFS('BSE - SENSEX Index Options'!$M:$M,'BSE - SENSEX Index Options'!$C:$C,$A183,'BSE - SENSEX Index Options'!$B:$B,D$147,'BSE - SENSEX Index Options'!$I:$I,"Monthly*")+SUMIFS('BSE - Other Index Options'!$M:$M,'BSE - Other Index Options'!$C:$C,$A183,'BSE - Other Index Options'!$B:$B,D$147,'BSE - Other Index Options'!$I:$I,"Monthly*")=0,"",SUMIFS('BSE - SENSEX Index Options'!$M:$M,'BSE - SENSEX Index Options'!$C:$C,$A183,'BSE - SENSEX Index Options'!$B:$B,D$147,'BSE - SENSEX Index Options'!$I:$I,"Monthly*")+SUMIFS('BSE - Other Index Options'!$M:$M,'BSE - Other Index Options'!$C:$C,$A183,'BSE - Other Index Options'!$B:$B,D$147,'BSE - Other Index Options'!$I:$I,"Monthly*"))</f>
        <v/>
      </c>
      <c r="E183" s="26">
        <f>IF(SUMIFS('BSE - SENSEX Index Options'!$M:$M,'BSE - SENSEX Index Options'!$C:$C,$A183,'BSE - SENSEX Index Options'!$B:$B,E$147,'BSE - SENSEX Index Options'!$I:$I,"Monthly*")+SUMIFS('BSE - Other Index Options'!$M:$M,'BSE - Other Index Options'!$C:$C,$A183,'BSE - Other Index Options'!$B:$B,E$147,'BSE - Other Index Options'!$I:$I,"Monthly*")=0,"",SUMIFS('BSE - SENSEX Index Options'!$M:$M,'BSE - SENSEX Index Options'!$C:$C,$A183,'BSE - SENSEX Index Options'!$B:$B,E$147,'BSE - SENSEX Index Options'!$I:$I,"Monthly*")+SUMIFS('BSE - Other Index Options'!$M:$M,'BSE - Other Index Options'!$C:$C,$A183,'BSE - Other Index Options'!$B:$B,E$147,'BSE - Other Index Options'!$I:$I,"Monthly*"))</f>
        <v/>
      </c>
      <c r="F183" s="26">
        <f>IF(SUMIFS('BSE - SENSEX Index Options'!$M:$M,'BSE - SENSEX Index Options'!$C:$C,$A183,'BSE - SENSEX Index Options'!$B:$B,F$147,'BSE - SENSEX Index Options'!$I:$I,"Monthly*")+SUMIFS('BSE - Other Index Options'!$M:$M,'BSE - Other Index Options'!$C:$C,$A183,'BSE - Other Index Options'!$B:$B,F$147,'BSE - Other Index Options'!$I:$I,"Monthly*")=0,"",SUMIFS('BSE - SENSEX Index Options'!$M:$M,'BSE - SENSEX Index Options'!$C:$C,$A183,'BSE - SENSEX Index Options'!$B:$B,F$147,'BSE - SENSEX Index Options'!$I:$I,"Monthly*")+SUMIFS('BSE - Other Index Options'!$M:$M,'BSE - Other Index Options'!$C:$C,$A183,'BSE - Other Index Options'!$B:$B,F$147,'BSE - Other Index Options'!$I:$I,"Monthly*"))</f>
        <v/>
      </c>
      <c r="G183" s="26">
        <f>IF(SUMIFS('BSE - SENSEX Index Options'!$M:$M,'BSE - SENSEX Index Options'!$C:$C,$A183,'BSE - SENSEX Index Options'!$B:$B,G$147,'BSE - SENSEX Index Options'!$I:$I,"Monthly*")+SUMIFS('BSE - Other Index Options'!$M:$M,'BSE - Other Index Options'!$C:$C,$A183,'BSE - Other Index Options'!$B:$B,G$147,'BSE - Other Index Options'!$I:$I,"Monthly*")=0,"",SUMIFS('BSE - SENSEX Index Options'!$M:$M,'BSE - SENSEX Index Options'!$C:$C,$A183,'BSE - SENSEX Index Options'!$B:$B,G$147,'BSE - SENSEX Index Options'!$I:$I,"Monthly*")+SUMIFS('BSE - Other Index Options'!$M:$M,'BSE - Other Index Options'!$C:$C,$A183,'BSE - Other Index Options'!$B:$B,G$147,'BSE - Other Index Options'!$I:$I,"Monthly*"))</f>
        <v/>
      </c>
      <c r="H183" s="26">
        <f>IF(SUM(B183:G183)=0,"",SUM(B183:G183))</f>
        <v/>
      </c>
    </row>
    <row r="184">
      <c r="A184" t="inlineStr">
        <is>
          <t>Week3-Apr-2026</t>
        </is>
      </c>
      <c r="B184" s="26">
        <f>IF(SUMIFS('BSE - SENSEX Index Options'!$M:$M,'BSE - SENSEX Index Options'!$C:$C,$A184,'BSE - SENSEX Index Options'!$B:$B,B$147,'BSE - SENSEX Index Options'!$I:$I,"Monthly*")+SUMIFS('BSE - Other Index Options'!$M:$M,'BSE - Other Index Options'!$C:$C,$A184,'BSE - Other Index Options'!$B:$B,B$147,'BSE - Other Index Options'!$I:$I,"Monthly*")=0,"",SUMIFS('BSE - SENSEX Index Options'!$M:$M,'BSE - SENSEX Index Options'!$C:$C,$A184,'BSE - SENSEX Index Options'!$B:$B,B$147,'BSE - SENSEX Index Options'!$I:$I,"Monthly*")+SUMIFS('BSE - Other Index Options'!$M:$M,'BSE - Other Index Options'!$C:$C,$A184,'BSE - Other Index Options'!$B:$B,B$147,'BSE - Other Index Options'!$I:$I,"Monthly*"))</f>
        <v/>
      </c>
      <c r="C184" s="26">
        <f>IF(SUMIFS('BSE - SENSEX Index Options'!$M:$M,'BSE - SENSEX Index Options'!$C:$C,$A184,'BSE - SENSEX Index Options'!$B:$B,C$147,'BSE - SENSEX Index Options'!$I:$I,"Monthly*")+SUMIFS('BSE - Other Index Options'!$M:$M,'BSE - Other Index Options'!$C:$C,$A184,'BSE - Other Index Options'!$B:$B,C$147,'BSE - Other Index Options'!$I:$I,"Monthly*")=0,"",SUMIFS('BSE - SENSEX Index Options'!$M:$M,'BSE - SENSEX Index Options'!$C:$C,$A184,'BSE - SENSEX Index Options'!$B:$B,C$147,'BSE - SENSEX Index Options'!$I:$I,"Monthly*")+SUMIFS('BSE - Other Index Options'!$M:$M,'BSE - Other Index Options'!$C:$C,$A184,'BSE - Other Index Options'!$B:$B,C$147,'BSE - Other Index Options'!$I:$I,"Monthly*"))</f>
        <v/>
      </c>
      <c r="D184" s="26">
        <f>IF(SUMIFS('BSE - SENSEX Index Options'!$M:$M,'BSE - SENSEX Index Options'!$C:$C,$A184,'BSE - SENSEX Index Options'!$B:$B,D$147,'BSE - SENSEX Index Options'!$I:$I,"Monthly*")+SUMIFS('BSE - Other Index Options'!$M:$M,'BSE - Other Index Options'!$C:$C,$A184,'BSE - Other Index Options'!$B:$B,D$147,'BSE - Other Index Options'!$I:$I,"Monthly*")=0,"",SUMIFS('BSE - SENSEX Index Options'!$M:$M,'BSE - SENSEX Index Options'!$C:$C,$A184,'BSE - SENSEX Index Options'!$B:$B,D$147,'BSE - SENSEX Index Options'!$I:$I,"Monthly*")+SUMIFS('BSE - Other Index Options'!$M:$M,'BSE - Other Index Options'!$C:$C,$A184,'BSE - Other Index Options'!$B:$B,D$147,'BSE - Other Index Options'!$I:$I,"Monthly*"))</f>
        <v/>
      </c>
      <c r="E184" s="26">
        <f>IF(SUMIFS('BSE - SENSEX Index Options'!$M:$M,'BSE - SENSEX Index Options'!$C:$C,$A184,'BSE - SENSEX Index Options'!$B:$B,E$147,'BSE - SENSEX Index Options'!$I:$I,"Monthly*")+SUMIFS('BSE - Other Index Options'!$M:$M,'BSE - Other Index Options'!$C:$C,$A184,'BSE - Other Index Options'!$B:$B,E$147,'BSE - Other Index Options'!$I:$I,"Monthly*")=0,"",SUMIFS('BSE - SENSEX Index Options'!$M:$M,'BSE - SENSEX Index Options'!$C:$C,$A184,'BSE - SENSEX Index Options'!$B:$B,E$147,'BSE - SENSEX Index Options'!$I:$I,"Monthly*")+SUMIFS('BSE - Other Index Options'!$M:$M,'BSE - Other Index Options'!$C:$C,$A184,'BSE - Other Index Options'!$B:$B,E$147,'BSE - Other Index Options'!$I:$I,"Monthly*"))</f>
        <v/>
      </c>
      <c r="F184" s="26">
        <f>IF(SUMIFS('BSE - SENSEX Index Options'!$M:$M,'BSE - SENSEX Index Options'!$C:$C,$A184,'BSE - SENSEX Index Options'!$B:$B,F$147,'BSE - SENSEX Index Options'!$I:$I,"Monthly*")+SUMIFS('BSE - Other Index Options'!$M:$M,'BSE - Other Index Options'!$C:$C,$A184,'BSE - Other Index Options'!$B:$B,F$147,'BSE - Other Index Options'!$I:$I,"Monthly*")=0,"",SUMIFS('BSE - SENSEX Index Options'!$M:$M,'BSE - SENSEX Index Options'!$C:$C,$A184,'BSE - SENSEX Index Options'!$B:$B,F$147,'BSE - SENSEX Index Options'!$I:$I,"Monthly*")+SUMIFS('BSE - Other Index Options'!$M:$M,'BSE - Other Index Options'!$C:$C,$A184,'BSE - Other Index Options'!$B:$B,F$147,'BSE - Other Index Options'!$I:$I,"Monthly*"))</f>
        <v/>
      </c>
      <c r="G184" s="26">
        <f>IF(SUMIFS('BSE - SENSEX Index Options'!$M:$M,'BSE - SENSEX Index Options'!$C:$C,$A184,'BSE - SENSEX Index Options'!$B:$B,G$147,'BSE - SENSEX Index Options'!$I:$I,"Monthly*")+SUMIFS('BSE - Other Index Options'!$M:$M,'BSE - Other Index Options'!$C:$C,$A184,'BSE - Other Index Options'!$B:$B,G$147,'BSE - Other Index Options'!$I:$I,"Monthly*")=0,"",SUMIFS('BSE - SENSEX Index Options'!$M:$M,'BSE - SENSEX Index Options'!$C:$C,$A184,'BSE - SENSEX Index Options'!$B:$B,G$147,'BSE - SENSEX Index Options'!$I:$I,"Monthly*")+SUMIFS('BSE - Other Index Options'!$M:$M,'BSE - Other Index Options'!$C:$C,$A184,'BSE - Other Index Options'!$B:$B,G$147,'BSE - Other Index Options'!$I:$I,"Monthly*"))</f>
        <v/>
      </c>
      <c r="H184" s="26">
        <f>IF(SUM(B184:G184)=0,"",SUM(B184:G184))</f>
        <v/>
      </c>
    </row>
    <row r="185">
      <c r="A185" t="inlineStr">
        <is>
          <t>Week4-Apr-2026</t>
        </is>
      </c>
      <c r="B185" s="26">
        <f>IF(SUMIFS('BSE - SENSEX Index Options'!$M:$M,'BSE - SENSEX Index Options'!$C:$C,$A185,'BSE - SENSEX Index Options'!$B:$B,B$147,'BSE - SENSEX Index Options'!$I:$I,"Monthly*")+SUMIFS('BSE - Other Index Options'!$M:$M,'BSE - Other Index Options'!$C:$C,$A185,'BSE - Other Index Options'!$B:$B,B$147,'BSE - Other Index Options'!$I:$I,"Monthly*")=0,"",SUMIFS('BSE - SENSEX Index Options'!$M:$M,'BSE - SENSEX Index Options'!$C:$C,$A185,'BSE - SENSEX Index Options'!$B:$B,B$147,'BSE - SENSEX Index Options'!$I:$I,"Monthly*")+SUMIFS('BSE - Other Index Options'!$M:$M,'BSE - Other Index Options'!$C:$C,$A185,'BSE - Other Index Options'!$B:$B,B$147,'BSE - Other Index Options'!$I:$I,"Monthly*"))</f>
        <v/>
      </c>
      <c r="C185" s="26">
        <f>IF(SUMIFS('BSE - SENSEX Index Options'!$M:$M,'BSE - SENSEX Index Options'!$C:$C,$A185,'BSE - SENSEX Index Options'!$B:$B,C$147,'BSE - SENSEX Index Options'!$I:$I,"Monthly*")+SUMIFS('BSE - Other Index Options'!$M:$M,'BSE - Other Index Options'!$C:$C,$A185,'BSE - Other Index Options'!$B:$B,C$147,'BSE - Other Index Options'!$I:$I,"Monthly*")=0,"",SUMIFS('BSE - SENSEX Index Options'!$M:$M,'BSE - SENSEX Index Options'!$C:$C,$A185,'BSE - SENSEX Index Options'!$B:$B,C$147,'BSE - SENSEX Index Options'!$I:$I,"Monthly*")+SUMIFS('BSE - Other Index Options'!$M:$M,'BSE - Other Index Options'!$C:$C,$A185,'BSE - Other Index Options'!$B:$B,C$147,'BSE - Other Index Options'!$I:$I,"Monthly*"))</f>
        <v/>
      </c>
      <c r="D185" s="26">
        <f>IF(SUMIFS('BSE - SENSEX Index Options'!$M:$M,'BSE - SENSEX Index Options'!$C:$C,$A185,'BSE - SENSEX Index Options'!$B:$B,D$147,'BSE - SENSEX Index Options'!$I:$I,"Monthly*")+SUMIFS('BSE - Other Index Options'!$M:$M,'BSE - Other Index Options'!$C:$C,$A185,'BSE - Other Index Options'!$B:$B,D$147,'BSE - Other Index Options'!$I:$I,"Monthly*")=0,"",SUMIFS('BSE - SENSEX Index Options'!$M:$M,'BSE - SENSEX Index Options'!$C:$C,$A185,'BSE - SENSEX Index Options'!$B:$B,D$147,'BSE - SENSEX Index Options'!$I:$I,"Monthly*")+SUMIFS('BSE - Other Index Options'!$M:$M,'BSE - Other Index Options'!$C:$C,$A185,'BSE - Other Index Options'!$B:$B,D$147,'BSE - Other Index Options'!$I:$I,"Monthly*"))</f>
        <v/>
      </c>
      <c r="E185" s="26">
        <f>IF(SUMIFS('BSE - SENSEX Index Options'!$M:$M,'BSE - SENSEX Index Options'!$C:$C,$A185,'BSE - SENSEX Index Options'!$B:$B,E$147,'BSE - SENSEX Index Options'!$I:$I,"Monthly*")+SUMIFS('BSE - Other Index Options'!$M:$M,'BSE - Other Index Options'!$C:$C,$A185,'BSE - Other Index Options'!$B:$B,E$147,'BSE - Other Index Options'!$I:$I,"Monthly*")=0,"",SUMIFS('BSE - SENSEX Index Options'!$M:$M,'BSE - SENSEX Index Options'!$C:$C,$A185,'BSE - SENSEX Index Options'!$B:$B,E$147,'BSE - SENSEX Index Options'!$I:$I,"Monthly*")+SUMIFS('BSE - Other Index Options'!$M:$M,'BSE - Other Index Options'!$C:$C,$A185,'BSE - Other Index Options'!$B:$B,E$147,'BSE - Other Index Options'!$I:$I,"Monthly*"))</f>
        <v/>
      </c>
      <c r="F185" s="26">
        <f>IF(SUMIFS('BSE - SENSEX Index Options'!$M:$M,'BSE - SENSEX Index Options'!$C:$C,$A185,'BSE - SENSEX Index Options'!$B:$B,F$147,'BSE - SENSEX Index Options'!$I:$I,"Monthly*")+SUMIFS('BSE - Other Index Options'!$M:$M,'BSE - Other Index Options'!$C:$C,$A185,'BSE - Other Index Options'!$B:$B,F$147,'BSE - Other Index Options'!$I:$I,"Monthly*")=0,"",SUMIFS('BSE - SENSEX Index Options'!$M:$M,'BSE - SENSEX Index Options'!$C:$C,$A185,'BSE - SENSEX Index Options'!$B:$B,F$147,'BSE - SENSEX Index Options'!$I:$I,"Monthly*")+SUMIFS('BSE - Other Index Options'!$M:$M,'BSE - Other Index Options'!$C:$C,$A185,'BSE - Other Index Options'!$B:$B,F$147,'BSE - Other Index Options'!$I:$I,"Monthly*"))</f>
        <v/>
      </c>
      <c r="G185" s="26">
        <f>IF(SUMIFS('BSE - SENSEX Index Options'!$M:$M,'BSE - SENSEX Index Options'!$C:$C,$A185,'BSE - SENSEX Index Options'!$B:$B,G$147,'BSE - SENSEX Index Options'!$I:$I,"Monthly*")+SUMIFS('BSE - Other Index Options'!$M:$M,'BSE - Other Index Options'!$C:$C,$A185,'BSE - Other Index Options'!$B:$B,G$147,'BSE - Other Index Options'!$I:$I,"Monthly*")=0,"",SUMIFS('BSE - SENSEX Index Options'!$M:$M,'BSE - SENSEX Index Options'!$C:$C,$A185,'BSE - SENSEX Index Options'!$B:$B,G$147,'BSE - SENSEX Index Options'!$I:$I,"Monthly*")+SUMIFS('BSE - Other Index Options'!$M:$M,'BSE - Other Index Options'!$C:$C,$A185,'BSE - Other Index Options'!$B:$B,G$147,'BSE - Other Index Options'!$I:$I,"Monthly*"))</f>
        <v/>
      </c>
      <c r="H185" s="26">
        <f>IF(SUM(B185:G185)=0,"",SUM(B185:G185))</f>
        <v/>
      </c>
    </row>
    <row r="186">
      <c r="A186" t="inlineStr">
        <is>
          <t>Week5-Apr-2026</t>
        </is>
      </c>
      <c r="B186" s="26">
        <f>IF(SUMIFS('BSE - SENSEX Index Options'!$M:$M,'BSE - SENSEX Index Options'!$C:$C,$A186,'BSE - SENSEX Index Options'!$B:$B,B$147,'BSE - SENSEX Index Options'!$I:$I,"Monthly*")+SUMIFS('BSE - Other Index Options'!$M:$M,'BSE - Other Index Options'!$C:$C,$A186,'BSE - Other Index Options'!$B:$B,B$147,'BSE - Other Index Options'!$I:$I,"Monthly*")=0,"",SUMIFS('BSE - SENSEX Index Options'!$M:$M,'BSE - SENSEX Index Options'!$C:$C,$A186,'BSE - SENSEX Index Options'!$B:$B,B$147,'BSE - SENSEX Index Options'!$I:$I,"Monthly*")+SUMIFS('BSE - Other Index Options'!$M:$M,'BSE - Other Index Options'!$C:$C,$A186,'BSE - Other Index Options'!$B:$B,B$147,'BSE - Other Index Options'!$I:$I,"Monthly*"))</f>
        <v/>
      </c>
      <c r="C186" s="26">
        <f>IF(SUMIFS('BSE - SENSEX Index Options'!$M:$M,'BSE - SENSEX Index Options'!$C:$C,$A186,'BSE - SENSEX Index Options'!$B:$B,C$147,'BSE - SENSEX Index Options'!$I:$I,"Monthly*")+SUMIFS('BSE - Other Index Options'!$M:$M,'BSE - Other Index Options'!$C:$C,$A186,'BSE - Other Index Options'!$B:$B,C$147,'BSE - Other Index Options'!$I:$I,"Monthly*")=0,"",SUMIFS('BSE - SENSEX Index Options'!$M:$M,'BSE - SENSEX Index Options'!$C:$C,$A186,'BSE - SENSEX Index Options'!$B:$B,C$147,'BSE - SENSEX Index Options'!$I:$I,"Monthly*")+SUMIFS('BSE - Other Index Options'!$M:$M,'BSE - Other Index Options'!$C:$C,$A186,'BSE - Other Index Options'!$B:$B,C$147,'BSE - Other Index Options'!$I:$I,"Monthly*"))</f>
        <v/>
      </c>
      <c r="D186" s="26">
        <f>IF(SUMIFS('BSE - SENSEX Index Options'!$M:$M,'BSE - SENSEX Index Options'!$C:$C,$A186,'BSE - SENSEX Index Options'!$B:$B,D$147,'BSE - SENSEX Index Options'!$I:$I,"Monthly*")+SUMIFS('BSE - Other Index Options'!$M:$M,'BSE - Other Index Options'!$C:$C,$A186,'BSE - Other Index Options'!$B:$B,D$147,'BSE - Other Index Options'!$I:$I,"Monthly*")=0,"",SUMIFS('BSE - SENSEX Index Options'!$M:$M,'BSE - SENSEX Index Options'!$C:$C,$A186,'BSE - SENSEX Index Options'!$B:$B,D$147,'BSE - SENSEX Index Options'!$I:$I,"Monthly*")+SUMIFS('BSE - Other Index Options'!$M:$M,'BSE - Other Index Options'!$C:$C,$A186,'BSE - Other Index Options'!$B:$B,D$147,'BSE - Other Index Options'!$I:$I,"Monthly*"))</f>
        <v/>
      </c>
      <c r="E186" s="26">
        <f>IF(SUMIFS('BSE - SENSEX Index Options'!$M:$M,'BSE - SENSEX Index Options'!$C:$C,$A186,'BSE - SENSEX Index Options'!$B:$B,E$147,'BSE - SENSEX Index Options'!$I:$I,"Monthly*")+SUMIFS('BSE - Other Index Options'!$M:$M,'BSE - Other Index Options'!$C:$C,$A186,'BSE - Other Index Options'!$B:$B,E$147,'BSE - Other Index Options'!$I:$I,"Monthly*")=0,"",SUMIFS('BSE - SENSEX Index Options'!$M:$M,'BSE - SENSEX Index Options'!$C:$C,$A186,'BSE - SENSEX Index Options'!$B:$B,E$147,'BSE - SENSEX Index Options'!$I:$I,"Monthly*")+SUMIFS('BSE - Other Index Options'!$M:$M,'BSE - Other Index Options'!$C:$C,$A186,'BSE - Other Index Options'!$B:$B,E$147,'BSE - Other Index Options'!$I:$I,"Monthly*"))</f>
        <v/>
      </c>
      <c r="F186" s="26">
        <f>IF(SUMIFS('BSE - SENSEX Index Options'!$M:$M,'BSE - SENSEX Index Options'!$C:$C,$A186,'BSE - SENSEX Index Options'!$B:$B,F$147,'BSE - SENSEX Index Options'!$I:$I,"Monthly*")+SUMIFS('BSE - Other Index Options'!$M:$M,'BSE - Other Index Options'!$C:$C,$A186,'BSE - Other Index Options'!$B:$B,F$147,'BSE - Other Index Options'!$I:$I,"Monthly*")=0,"",SUMIFS('BSE - SENSEX Index Options'!$M:$M,'BSE - SENSEX Index Options'!$C:$C,$A186,'BSE - SENSEX Index Options'!$B:$B,F$147,'BSE - SENSEX Index Options'!$I:$I,"Monthly*")+SUMIFS('BSE - Other Index Options'!$M:$M,'BSE - Other Index Options'!$C:$C,$A186,'BSE - Other Index Options'!$B:$B,F$147,'BSE - Other Index Options'!$I:$I,"Monthly*"))</f>
        <v/>
      </c>
      <c r="G186" s="26">
        <f>IF(SUMIFS('BSE - SENSEX Index Options'!$M:$M,'BSE - SENSEX Index Options'!$C:$C,$A186,'BSE - SENSEX Index Options'!$B:$B,G$147,'BSE - SENSEX Index Options'!$I:$I,"Monthly*")+SUMIFS('BSE - Other Index Options'!$M:$M,'BSE - Other Index Options'!$C:$C,$A186,'BSE - Other Index Options'!$B:$B,G$147,'BSE - Other Index Options'!$I:$I,"Monthly*")=0,"",SUMIFS('BSE - SENSEX Index Options'!$M:$M,'BSE - SENSEX Index Options'!$C:$C,$A186,'BSE - SENSEX Index Options'!$B:$B,G$147,'BSE - SENSEX Index Options'!$I:$I,"Monthly*")+SUMIFS('BSE - Other Index Options'!$M:$M,'BSE - Other Index Options'!$C:$C,$A186,'BSE - Other Index Options'!$B:$B,G$147,'BSE - Other Index Options'!$I:$I,"Monthly*"))</f>
        <v/>
      </c>
      <c r="H186" s="26">
        <f>IF(SUM(B186:G186)=0,"",SUM(B186:G186))</f>
        <v/>
      </c>
    </row>
    <row r="187">
      <c r="A187" t="inlineStr">
        <is>
          <t>Week1-May-2026</t>
        </is>
      </c>
      <c r="B187" s="26">
        <f>IF(SUMIFS('BSE - SENSEX Index Options'!$M:$M,'BSE - SENSEX Index Options'!$C:$C,$A187,'BSE - SENSEX Index Options'!$B:$B,B$147,'BSE - SENSEX Index Options'!$I:$I,"Monthly*")+SUMIFS('BSE - Other Index Options'!$M:$M,'BSE - Other Index Options'!$C:$C,$A187,'BSE - Other Index Options'!$B:$B,B$147,'BSE - Other Index Options'!$I:$I,"Monthly*")=0,"",SUMIFS('BSE - SENSEX Index Options'!$M:$M,'BSE - SENSEX Index Options'!$C:$C,$A187,'BSE - SENSEX Index Options'!$B:$B,B$147,'BSE - SENSEX Index Options'!$I:$I,"Monthly*")+SUMIFS('BSE - Other Index Options'!$M:$M,'BSE - Other Index Options'!$C:$C,$A187,'BSE - Other Index Options'!$B:$B,B$147,'BSE - Other Index Options'!$I:$I,"Monthly*"))</f>
        <v/>
      </c>
      <c r="C187" s="26">
        <f>IF(SUMIFS('BSE - SENSEX Index Options'!$M:$M,'BSE - SENSEX Index Options'!$C:$C,$A187,'BSE - SENSEX Index Options'!$B:$B,C$147,'BSE - SENSEX Index Options'!$I:$I,"Monthly*")+SUMIFS('BSE - Other Index Options'!$M:$M,'BSE - Other Index Options'!$C:$C,$A187,'BSE - Other Index Options'!$B:$B,C$147,'BSE - Other Index Options'!$I:$I,"Monthly*")=0,"",SUMIFS('BSE - SENSEX Index Options'!$M:$M,'BSE - SENSEX Index Options'!$C:$C,$A187,'BSE - SENSEX Index Options'!$B:$B,C$147,'BSE - SENSEX Index Options'!$I:$I,"Monthly*")+SUMIFS('BSE - Other Index Options'!$M:$M,'BSE - Other Index Options'!$C:$C,$A187,'BSE - Other Index Options'!$B:$B,C$147,'BSE - Other Index Options'!$I:$I,"Monthly*"))</f>
        <v/>
      </c>
      <c r="D187" s="26">
        <f>IF(SUMIFS('BSE - SENSEX Index Options'!$M:$M,'BSE - SENSEX Index Options'!$C:$C,$A187,'BSE - SENSEX Index Options'!$B:$B,D$147,'BSE - SENSEX Index Options'!$I:$I,"Monthly*")+SUMIFS('BSE - Other Index Options'!$M:$M,'BSE - Other Index Options'!$C:$C,$A187,'BSE - Other Index Options'!$B:$B,D$147,'BSE - Other Index Options'!$I:$I,"Monthly*")=0,"",SUMIFS('BSE - SENSEX Index Options'!$M:$M,'BSE - SENSEX Index Options'!$C:$C,$A187,'BSE - SENSEX Index Options'!$B:$B,D$147,'BSE - SENSEX Index Options'!$I:$I,"Monthly*")+SUMIFS('BSE - Other Index Options'!$M:$M,'BSE - Other Index Options'!$C:$C,$A187,'BSE - Other Index Options'!$B:$B,D$147,'BSE - Other Index Options'!$I:$I,"Monthly*"))</f>
        <v/>
      </c>
      <c r="E187" s="26">
        <f>IF(SUMIFS('BSE - SENSEX Index Options'!$M:$M,'BSE - SENSEX Index Options'!$C:$C,$A187,'BSE - SENSEX Index Options'!$B:$B,E$147,'BSE - SENSEX Index Options'!$I:$I,"Monthly*")+SUMIFS('BSE - Other Index Options'!$M:$M,'BSE - Other Index Options'!$C:$C,$A187,'BSE - Other Index Options'!$B:$B,E$147,'BSE - Other Index Options'!$I:$I,"Monthly*")=0,"",SUMIFS('BSE - SENSEX Index Options'!$M:$M,'BSE - SENSEX Index Options'!$C:$C,$A187,'BSE - SENSEX Index Options'!$B:$B,E$147,'BSE - SENSEX Index Options'!$I:$I,"Monthly*")+SUMIFS('BSE - Other Index Options'!$M:$M,'BSE - Other Index Options'!$C:$C,$A187,'BSE - Other Index Options'!$B:$B,E$147,'BSE - Other Index Options'!$I:$I,"Monthly*"))</f>
        <v/>
      </c>
      <c r="F187" s="26">
        <f>IF(SUMIFS('BSE - SENSEX Index Options'!$M:$M,'BSE - SENSEX Index Options'!$C:$C,$A187,'BSE - SENSEX Index Options'!$B:$B,F$147,'BSE - SENSEX Index Options'!$I:$I,"Monthly*")+SUMIFS('BSE - Other Index Options'!$M:$M,'BSE - Other Index Options'!$C:$C,$A187,'BSE - Other Index Options'!$B:$B,F$147,'BSE - Other Index Options'!$I:$I,"Monthly*")=0,"",SUMIFS('BSE - SENSEX Index Options'!$M:$M,'BSE - SENSEX Index Options'!$C:$C,$A187,'BSE - SENSEX Index Options'!$B:$B,F$147,'BSE - SENSEX Index Options'!$I:$I,"Monthly*")+SUMIFS('BSE - Other Index Options'!$M:$M,'BSE - Other Index Options'!$C:$C,$A187,'BSE - Other Index Options'!$B:$B,F$147,'BSE - Other Index Options'!$I:$I,"Monthly*"))</f>
        <v/>
      </c>
      <c r="G187" s="26">
        <f>IF(SUMIFS('BSE - SENSEX Index Options'!$M:$M,'BSE - SENSEX Index Options'!$C:$C,$A187,'BSE - SENSEX Index Options'!$B:$B,G$147,'BSE - SENSEX Index Options'!$I:$I,"Monthly*")+SUMIFS('BSE - Other Index Options'!$M:$M,'BSE - Other Index Options'!$C:$C,$A187,'BSE - Other Index Options'!$B:$B,G$147,'BSE - Other Index Options'!$I:$I,"Monthly*")=0,"",SUMIFS('BSE - SENSEX Index Options'!$M:$M,'BSE - SENSEX Index Options'!$C:$C,$A187,'BSE - SENSEX Index Options'!$B:$B,G$147,'BSE - SENSEX Index Options'!$I:$I,"Monthly*")+SUMIFS('BSE - Other Index Options'!$M:$M,'BSE - Other Index Options'!$C:$C,$A187,'BSE - Other Index Options'!$B:$B,G$147,'BSE - Other Index Options'!$I:$I,"Monthly*"))</f>
        <v/>
      </c>
      <c r="H187" s="26">
        <f>IF(SUM(B187:G187)=0,"",SUM(B187:G187))</f>
        <v/>
      </c>
    </row>
    <row r="188">
      <c r="A188" t="inlineStr">
        <is>
          <t>Week2-May-2026</t>
        </is>
      </c>
      <c r="B188" s="26">
        <f>IF(SUMIFS('BSE - SENSEX Index Options'!$M:$M,'BSE - SENSEX Index Options'!$C:$C,$A188,'BSE - SENSEX Index Options'!$B:$B,B$147,'BSE - SENSEX Index Options'!$I:$I,"Monthly*")+SUMIFS('BSE - Other Index Options'!$M:$M,'BSE - Other Index Options'!$C:$C,$A188,'BSE - Other Index Options'!$B:$B,B$147,'BSE - Other Index Options'!$I:$I,"Monthly*")=0,"",SUMIFS('BSE - SENSEX Index Options'!$M:$M,'BSE - SENSEX Index Options'!$C:$C,$A188,'BSE - SENSEX Index Options'!$B:$B,B$147,'BSE - SENSEX Index Options'!$I:$I,"Monthly*")+SUMIFS('BSE - Other Index Options'!$M:$M,'BSE - Other Index Options'!$C:$C,$A188,'BSE - Other Index Options'!$B:$B,B$147,'BSE - Other Index Options'!$I:$I,"Monthly*"))</f>
        <v/>
      </c>
      <c r="C188" s="26">
        <f>IF(SUMIFS('BSE - SENSEX Index Options'!$M:$M,'BSE - SENSEX Index Options'!$C:$C,$A188,'BSE - SENSEX Index Options'!$B:$B,C$147,'BSE - SENSEX Index Options'!$I:$I,"Monthly*")+SUMIFS('BSE - Other Index Options'!$M:$M,'BSE - Other Index Options'!$C:$C,$A188,'BSE - Other Index Options'!$B:$B,C$147,'BSE - Other Index Options'!$I:$I,"Monthly*")=0,"",SUMIFS('BSE - SENSEX Index Options'!$M:$M,'BSE - SENSEX Index Options'!$C:$C,$A188,'BSE - SENSEX Index Options'!$B:$B,C$147,'BSE - SENSEX Index Options'!$I:$I,"Monthly*")+SUMIFS('BSE - Other Index Options'!$M:$M,'BSE - Other Index Options'!$C:$C,$A188,'BSE - Other Index Options'!$B:$B,C$147,'BSE - Other Index Options'!$I:$I,"Monthly*"))</f>
        <v/>
      </c>
      <c r="D188" s="26">
        <f>IF(SUMIFS('BSE - SENSEX Index Options'!$M:$M,'BSE - SENSEX Index Options'!$C:$C,$A188,'BSE - SENSEX Index Options'!$B:$B,D$147,'BSE - SENSEX Index Options'!$I:$I,"Monthly*")+SUMIFS('BSE - Other Index Options'!$M:$M,'BSE - Other Index Options'!$C:$C,$A188,'BSE - Other Index Options'!$B:$B,D$147,'BSE - Other Index Options'!$I:$I,"Monthly*")=0,"",SUMIFS('BSE - SENSEX Index Options'!$M:$M,'BSE - SENSEX Index Options'!$C:$C,$A188,'BSE - SENSEX Index Options'!$B:$B,D$147,'BSE - SENSEX Index Options'!$I:$I,"Monthly*")+SUMIFS('BSE - Other Index Options'!$M:$M,'BSE - Other Index Options'!$C:$C,$A188,'BSE - Other Index Options'!$B:$B,D$147,'BSE - Other Index Options'!$I:$I,"Monthly*"))</f>
        <v/>
      </c>
      <c r="E188" s="26">
        <f>IF(SUMIFS('BSE - SENSEX Index Options'!$M:$M,'BSE - SENSEX Index Options'!$C:$C,$A188,'BSE - SENSEX Index Options'!$B:$B,E$147,'BSE - SENSEX Index Options'!$I:$I,"Monthly*")+SUMIFS('BSE - Other Index Options'!$M:$M,'BSE - Other Index Options'!$C:$C,$A188,'BSE - Other Index Options'!$B:$B,E$147,'BSE - Other Index Options'!$I:$I,"Monthly*")=0,"",SUMIFS('BSE - SENSEX Index Options'!$M:$M,'BSE - SENSEX Index Options'!$C:$C,$A188,'BSE - SENSEX Index Options'!$B:$B,E$147,'BSE - SENSEX Index Options'!$I:$I,"Monthly*")+SUMIFS('BSE - Other Index Options'!$M:$M,'BSE - Other Index Options'!$C:$C,$A188,'BSE - Other Index Options'!$B:$B,E$147,'BSE - Other Index Options'!$I:$I,"Monthly*"))</f>
        <v/>
      </c>
      <c r="F188" s="26">
        <f>IF(SUMIFS('BSE - SENSEX Index Options'!$M:$M,'BSE - SENSEX Index Options'!$C:$C,$A188,'BSE - SENSEX Index Options'!$B:$B,F$147,'BSE - SENSEX Index Options'!$I:$I,"Monthly*")+SUMIFS('BSE - Other Index Options'!$M:$M,'BSE - Other Index Options'!$C:$C,$A188,'BSE - Other Index Options'!$B:$B,F$147,'BSE - Other Index Options'!$I:$I,"Monthly*")=0,"",SUMIFS('BSE - SENSEX Index Options'!$M:$M,'BSE - SENSEX Index Options'!$C:$C,$A188,'BSE - SENSEX Index Options'!$B:$B,F$147,'BSE - SENSEX Index Options'!$I:$I,"Monthly*")+SUMIFS('BSE - Other Index Options'!$M:$M,'BSE - Other Index Options'!$C:$C,$A188,'BSE - Other Index Options'!$B:$B,F$147,'BSE - Other Index Options'!$I:$I,"Monthly*"))</f>
        <v/>
      </c>
      <c r="G188" s="26">
        <f>IF(SUMIFS('BSE - SENSEX Index Options'!$M:$M,'BSE - SENSEX Index Options'!$C:$C,$A188,'BSE - SENSEX Index Options'!$B:$B,G$147,'BSE - SENSEX Index Options'!$I:$I,"Monthly*")+SUMIFS('BSE - Other Index Options'!$M:$M,'BSE - Other Index Options'!$C:$C,$A188,'BSE - Other Index Options'!$B:$B,G$147,'BSE - Other Index Options'!$I:$I,"Monthly*")=0,"",SUMIFS('BSE - SENSEX Index Options'!$M:$M,'BSE - SENSEX Index Options'!$C:$C,$A188,'BSE - SENSEX Index Options'!$B:$B,G$147,'BSE - SENSEX Index Options'!$I:$I,"Monthly*")+SUMIFS('BSE - Other Index Options'!$M:$M,'BSE - Other Index Options'!$C:$C,$A188,'BSE - Other Index Options'!$B:$B,G$147,'BSE - Other Index Options'!$I:$I,"Monthly*"))</f>
        <v/>
      </c>
      <c r="H188" s="26">
        <f>IF(SUM(B188:G188)=0,"",SUM(B188:G188))</f>
        <v/>
      </c>
    </row>
    <row r="189">
      <c r="A189" t="inlineStr">
        <is>
          <t>Week3-May-2026</t>
        </is>
      </c>
      <c r="B189" s="26">
        <f>IF(SUMIFS('BSE - SENSEX Index Options'!$M:$M,'BSE - SENSEX Index Options'!$C:$C,$A189,'BSE - SENSEX Index Options'!$B:$B,B$147,'BSE - SENSEX Index Options'!$I:$I,"Monthly*")+SUMIFS('BSE - Other Index Options'!$M:$M,'BSE - Other Index Options'!$C:$C,$A189,'BSE - Other Index Options'!$B:$B,B$147,'BSE - Other Index Options'!$I:$I,"Monthly*")=0,"",SUMIFS('BSE - SENSEX Index Options'!$M:$M,'BSE - SENSEX Index Options'!$C:$C,$A189,'BSE - SENSEX Index Options'!$B:$B,B$147,'BSE - SENSEX Index Options'!$I:$I,"Monthly*")+SUMIFS('BSE - Other Index Options'!$M:$M,'BSE - Other Index Options'!$C:$C,$A189,'BSE - Other Index Options'!$B:$B,B$147,'BSE - Other Index Options'!$I:$I,"Monthly*"))</f>
        <v/>
      </c>
      <c r="C189" s="26">
        <f>IF(SUMIFS('BSE - SENSEX Index Options'!$M:$M,'BSE - SENSEX Index Options'!$C:$C,$A189,'BSE - SENSEX Index Options'!$B:$B,C$147,'BSE - SENSEX Index Options'!$I:$I,"Monthly*")+SUMIFS('BSE - Other Index Options'!$M:$M,'BSE - Other Index Options'!$C:$C,$A189,'BSE - Other Index Options'!$B:$B,C$147,'BSE - Other Index Options'!$I:$I,"Monthly*")=0,"",SUMIFS('BSE - SENSEX Index Options'!$M:$M,'BSE - SENSEX Index Options'!$C:$C,$A189,'BSE - SENSEX Index Options'!$B:$B,C$147,'BSE - SENSEX Index Options'!$I:$I,"Monthly*")+SUMIFS('BSE - Other Index Options'!$M:$M,'BSE - Other Index Options'!$C:$C,$A189,'BSE - Other Index Options'!$B:$B,C$147,'BSE - Other Index Options'!$I:$I,"Monthly*"))</f>
        <v/>
      </c>
      <c r="D189" s="26">
        <f>IF(SUMIFS('BSE - SENSEX Index Options'!$M:$M,'BSE - SENSEX Index Options'!$C:$C,$A189,'BSE - SENSEX Index Options'!$B:$B,D$147,'BSE - SENSEX Index Options'!$I:$I,"Monthly*")+SUMIFS('BSE - Other Index Options'!$M:$M,'BSE - Other Index Options'!$C:$C,$A189,'BSE - Other Index Options'!$B:$B,D$147,'BSE - Other Index Options'!$I:$I,"Monthly*")=0,"",SUMIFS('BSE - SENSEX Index Options'!$M:$M,'BSE - SENSEX Index Options'!$C:$C,$A189,'BSE - SENSEX Index Options'!$B:$B,D$147,'BSE - SENSEX Index Options'!$I:$I,"Monthly*")+SUMIFS('BSE - Other Index Options'!$M:$M,'BSE - Other Index Options'!$C:$C,$A189,'BSE - Other Index Options'!$B:$B,D$147,'BSE - Other Index Options'!$I:$I,"Monthly*"))</f>
        <v/>
      </c>
      <c r="E189" s="26">
        <f>IF(SUMIFS('BSE - SENSEX Index Options'!$M:$M,'BSE - SENSEX Index Options'!$C:$C,$A189,'BSE - SENSEX Index Options'!$B:$B,E$147,'BSE - SENSEX Index Options'!$I:$I,"Monthly*")+SUMIFS('BSE - Other Index Options'!$M:$M,'BSE - Other Index Options'!$C:$C,$A189,'BSE - Other Index Options'!$B:$B,E$147,'BSE - Other Index Options'!$I:$I,"Monthly*")=0,"",SUMIFS('BSE - SENSEX Index Options'!$M:$M,'BSE - SENSEX Index Options'!$C:$C,$A189,'BSE - SENSEX Index Options'!$B:$B,E$147,'BSE - SENSEX Index Options'!$I:$I,"Monthly*")+SUMIFS('BSE - Other Index Options'!$M:$M,'BSE - Other Index Options'!$C:$C,$A189,'BSE - Other Index Options'!$B:$B,E$147,'BSE - Other Index Options'!$I:$I,"Monthly*"))</f>
        <v/>
      </c>
      <c r="F189" s="26">
        <f>IF(SUMIFS('BSE - SENSEX Index Options'!$M:$M,'BSE - SENSEX Index Options'!$C:$C,$A189,'BSE - SENSEX Index Options'!$B:$B,F$147,'BSE - SENSEX Index Options'!$I:$I,"Monthly*")+SUMIFS('BSE - Other Index Options'!$M:$M,'BSE - Other Index Options'!$C:$C,$A189,'BSE - Other Index Options'!$B:$B,F$147,'BSE - Other Index Options'!$I:$I,"Monthly*")=0,"",SUMIFS('BSE - SENSEX Index Options'!$M:$M,'BSE - SENSEX Index Options'!$C:$C,$A189,'BSE - SENSEX Index Options'!$B:$B,F$147,'BSE - SENSEX Index Options'!$I:$I,"Monthly*")+SUMIFS('BSE - Other Index Options'!$M:$M,'BSE - Other Index Options'!$C:$C,$A189,'BSE - Other Index Options'!$B:$B,F$147,'BSE - Other Index Options'!$I:$I,"Monthly*"))</f>
        <v/>
      </c>
      <c r="G189" s="26">
        <f>IF(SUMIFS('BSE - SENSEX Index Options'!$M:$M,'BSE - SENSEX Index Options'!$C:$C,$A189,'BSE - SENSEX Index Options'!$B:$B,G$147,'BSE - SENSEX Index Options'!$I:$I,"Monthly*")+SUMIFS('BSE - Other Index Options'!$M:$M,'BSE - Other Index Options'!$C:$C,$A189,'BSE - Other Index Options'!$B:$B,G$147,'BSE - Other Index Options'!$I:$I,"Monthly*")=0,"",SUMIFS('BSE - SENSEX Index Options'!$M:$M,'BSE - SENSEX Index Options'!$C:$C,$A189,'BSE - SENSEX Index Options'!$B:$B,G$147,'BSE - SENSEX Index Options'!$I:$I,"Monthly*")+SUMIFS('BSE - Other Index Options'!$M:$M,'BSE - Other Index Options'!$C:$C,$A189,'BSE - Other Index Options'!$B:$B,G$147,'BSE - Other Index Options'!$I:$I,"Monthly*"))</f>
        <v/>
      </c>
      <c r="H189" s="26">
        <f>IF(SUM(B189:G189)=0,"",SUM(B189:G189))</f>
        <v/>
      </c>
    </row>
    <row r="190">
      <c r="A190" t="inlineStr">
        <is>
          <t>Week4-May-2026</t>
        </is>
      </c>
      <c r="B190" s="26">
        <f>IF(SUMIFS('BSE - SENSEX Index Options'!$M:$M,'BSE - SENSEX Index Options'!$C:$C,$A190,'BSE - SENSEX Index Options'!$B:$B,B$147,'BSE - SENSEX Index Options'!$I:$I,"Monthly*")+SUMIFS('BSE - Other Index Options'!$M:$M,'BSE - Other Index Options'!$C:$C,$A190,'BSE - Other Index Options'!$B:$B,B$147,'BSE - Other Index Options'!$I:$I,"Monthly*")=0,"",SUMIFS('BSE - SENSEX Index Options'!$M:$M,'BSE - SENSEX Index Options'!$C:$C,$A190,'BSE - SENSEX Index Options'!$B:$B,B$147,'BSE - SENSEX Index Options'!$I:$I,"Monthly*")+SUMIFS('BSE - Other Index Options'!$M:$M,'BSE - Other Index Options'!$C:$C,$A190,'BSE - Other Index Options'!$B:$B,B$147,'BSE - Other Index Options'!$I:$I,"Monthly*"))</f>
        <v/>
      </c>
      <c r="C190" s="26">
        <f>IF(SUMIFS('BSE - SENSEX Index Options'!$M:$M,'BSE - SENSEX Index Options'!$C:$C,$A190,'BSE - SENSEX Index Options'!$B:$B,C$147,'BSE - SENSEX Index Options'!$I:$I,"Monthly*")+SUMIFS('BSE - Other Index Options'!$M:$M,'BSE - Other Index Options'!$C:$C,$A190,'BSE - Other Index Options'!$B:$B,C$147,'BSE - Other Index Options'!$I:$I,"Monthly*")=0,"",SUMIFS('BSE - SENSEX Index Options'!$M:$M,'BSE - SENSEX Index Options'!$C:$C,$A190,'BSE - SENSEX Index Options'!$B:$B,C$147,'BSE - SENSEX Index Options'!$I:$I,"Monthly*")+SUMIFS('BSE - Other Index Options'!$M:$M,'BSE - Other Index Options'!$C:$C,$A190,'BSE - Other Index Options'!$B:$B,C$147,'BSE - Other Index Options'!$I:$I,"Monthly*"))</f>
        <v/>
      </c>
      <c r="D190" s="26">
        <f>IF(SUMIFS('BSE - SENSEX Index Options'!$M:$M,'BSE - SENSEX Index Options'!$C:$C,$A190,'BSE - SENSEX Index Options'!$B:$B,D$147,'BSE - SENSEX Index Options'!$I:$I,"Monthly*")+SUMIFS('BSE - Other Index Options'!$M:$M,'BSE - Other Index Options'!$C:$C,$A190,'BSE - Other Index Options'!$B:$B,D$147,'BSE - Other Index Options'!$I:$I,"Monthly*")=0,"",SUMIFS('BSE - SENSEX Index Options'!$M:$M,'BSE - SENSEX Index Options'!$C:$C,$A190,'BSE - SENSEX Index Options'!$B:$B,D$147,'BSE - SENSEX Index Options'!$I:$I,"Monthly*")+SUMIFS('BSE - Other Index Options'!$M:$M,'BSE - Other Index Options'!$C:$C,$A190,'BSE - Other Index Options'!$B:$B,D$147,'BSE - Other Index Options'!$I:$I,"Monthly*"))</f>
        <v/>
      </c>
      <c r="E190" s="26">
        <f>IF(SUMIFS('BSE - SENSEX Index Options'!$M:$M,'BSE - SENSEX Index Options'!$C:$C,$A190,'BSE - SENSEX Index Options'!$B:$B,E$147,'BSE - SENSEX Index Options'!$I:$I,"Monthly*")+SUMIFS('BSE - Other Index Options'!$M:$M,'BSE - Other Index Options'!$C:$C,$A190,'BSE - Other Index Options'!$B:$B,E$147,'BSE - Other Index Options'!$I:$I,"Monthly*")=0,"",SUMIFS('BSE - SENSEX Index Options'!$M:$M,'BSE - SENSEX Index Options'!$C:$C,$A190,'BSE - SENSEX Index Options'!$B:$B,E$147,'BSE - SENSEX Index Options'!$I:$I,"Monthly*")+SUMIFS('BSE - Other Index Options'!$M:$M,'BSE - Other Index Options'!$C:$C,$A190,'BSE - Other Index Options'!$B:$B,E$147,'BSE - Other Index Options'!$I:$I,"Monthly*"))</f>
        <v/>
      </c>
      <c r="F190" s="26">
        <f>IF(SUMIFS('BSE - SENSEX Index Options'!$M:$M,'BSE - SENSEX Index Options'!$C:$C,$A190,'BSE - SENSEX Index Options'!$B:$B,F$147,'BSE - SENSEX Index Options'!$I:$I,"Monthly*")+SUMIFS('BSE - Other Index Options'!$M:$M,'BSE - Other Index Options'!$C:$C,$A190,'BSE - Other Index Options'!$B:$B,F$147,'BSE - Other Index Options'!$I:$I,"Monthly*")=0,"",SUMIFS('BSE - SENSEX Index Options'!$M:$M,'BSE - SENSEX Index Options'!$C:$C,$A190,'BSE - SENSEX Index Options'!$B:$B,F$147,'BSE - SENSEX Index Options'!$I:$I,"Monthly*")+SUMIFS('BSE - Other Index Options'!$M:$M,'BSE - Other Index Options'!$C:$C,$A190,'BSE - Other Index Options'!$B:$B,F$147,'BSE - Other Index Options'!$I:$I,"Monthly*"))</f>
        <v/>
      </c>
      <c r="G190" s="26">
        <f>IF(SUMIFS('BSE - SENSEX Index Options'!$M:$M,'BSE - SENSEX Index Options'!$C:$C,$A190,'BSE - SENSEX Index Options'!$B:$B,G$147,'BSE - SENSEX Index Options'!$I:$I,"Monthly*")+SUMIFS('BSE - Other Index Options'!$M:$M,'BSE - Other Index Options'!$C:$C,$A190,'BSE - Other Index Options'!$B:$B,G$147,'BSE - Other Index Options'!$I:$I,"Monthly*")=0,"",SUMIFS('BSE - SENSEX Index Options'!$M:$M,'BSE - SENSEX Index Options'!$C:$C,$A190,'BSE - SENSEX Index Options'!$B:$B,G$147,'BSE - SENSEX Index Options'!$I:$I,"Monthly*")+SUMIFS('BSE - Other Index Options'!$M:$M,'BSE - Other Index Options'!$C:$C,$A190,'BSE - Other Index Options'!$B:$B,G$147,'BSE - Other Index Options'!$I:$I,"Monthly*"))</f>
        <v/>
      </c>
      <c r="H190" s="26">
        <f>IF(SUM(B190:G190)=0,"",SUM(B190:G190))</f>
        <v/>
      </c>
    </row>
    <row r="191">
      <c r="A191" t="inlineStr">
        <is>
          <t>Week5-May-2026</t>
        </is>
      </c>
      <c r="B191" s="26">
        <f>IF(SUMIFS('BSE - SENSEX Index Options'!$M:$M,'BSE - SENSEX Index Options'!$C:$C,$A191,'BSE - SENSEX Index Options'!$B:$B,B$147,'BSE - SENSEX Index Options'!$I:$I,"Monthly*")+SUMIFS('BSE - Other Index Options'!$M:$M,'BSE - Other Index Options'!$C:$C,$A191,'BSE - Other Index Options'!$B:$B,B$147,'BSE - Other Index Options'!$I:$I,"Monthly*")=0,"",SUMIFS('BSE - SENSEX Index Options'!$M:$M,'BSE - SENSEX Index Options'!$C:$C,$A191,'BSE - SENSEX Index Options'!$B:$B,B$147,'BSE - SENSEX Index Options'!$I:$I,"Monthly*")+SUMIFS('BSE - Other Index Options'!$M:$M,'BSE - Other Index Options'!$C:$C,$A191,'BSE - Other Index Options'!$B:$B,B$147,'BSE - Other Index Options'!$I:$I,"Monthly*"))</f>
        <v/>
      </c>
      <c r="C191" s="26">
        <f>IF(SUMIFS('BSE - SENSEX Index Options'!$M:$M,'BSE - SENSEX Index Options'!$C:$C,$A191,'BSE - SENSEX Index Options'!$B:$B,C$147,'BSE - SENSEX Index Options'!$I:$I,"Monthly*")+SUMIFS('BSE - Other Index Options'!$M:$M,'BSE - Other Index Options'!$C:$C,$A191,'BSE - Other Index Options'!$B:$B,C$147,'BSE - Other Index Options'!$I:$I,"Monthly*")=0,"",SUMIFS('BSE - SENSEX Index Options'!$M:$M,'BSE - SENSEX Index Options'!$C:$C,$A191,'BSE - SENSEX Index Options'!$B:$B,C$147,'BSE - SENSEX Index Options'!$I:$I,"Monthly*")+SUMIFS('BSE - Other Index Options'!$M:$M,'BSE - Other Index Options'!$C:$C,$A191,'BSE - Other Index Options'!$B:$B,C$147,'BSE - Other Index Options'!$I:$I,"Monthly*"))</f>
        <v/>
      </c>
      <c r="D191" s="26">
        <f>IF(SUMIFS('BSE - SENSEX Index Options'!$M:$M,'BSE - SENSEX Index Options'!$C:$C,$A191,'BSE - SENSEX Index Options'!$B:$B,D$147,'BSE - SENSEX Index Options'!$I:$I,"Monthly*")+SUMIFS('BSE - Other Index Options'!$M:$M,'BSE - Other Index Options'!$C:$C,$A191,'BSE - Other Index Options'!$B:$B,D$147,'BSE - Other Index Options'!$I:$I,"Monthly*")=0,"",SUMIFS('BSE - SENSEX Index Options'!$M:$M,'BSE - SENSEX Index Options'!$C:$C,$A191,'BSE - SENSEX Index Options'!$B:$B,D$147,'BSE - SENSEX Index Options'!$I:$I,"Monthly*")+SUMIFS('BSE - Other Index Options'!$M:$M,'BSE - Other Index Options'!$C:$C,$A191,'BSE - Other Index Options'!$B:$B,D$147,'BSE - Other Index Options'!$I:$I,"Monthly*"))</f>
        <v/>
      </c>
      <c r="E191" s="26">
        <f>IF(SUMIFS('BSE - SENSEX Index Options'!$M:$M,'BSE - SENSEX Index Options'!$C:$C,$A191,'BSE - SENSEX Index Options'!$B:$B,E$147,'BSE - SENSEX Index Options'!$I:$I,"Monthly*")+SUMIFS('BSE - Other Index Options'!$M:$M,'BSE - Other Index Options'!$C:$C,$A191,'BSE - Other Index Options'!$B:$B,E$147,'BSE - Other Index Options'!$I:$I,"Monthly*")=0,"",SUMIFS('BSE - SENSEX Index Options'!$M:$M,'BSE - SENSEX Index Options'!$C:$C,$A191,'BSE - SENSEX Index Options'!$B:$B,E$147,'BSE - SENSEX Index Options'!$I:$I,"Monthly*")+SUMIFS('BSE - Other Index Options'!$M:$M,'BSE - Other Index Options'!$C:$C,$A191,'BSE - Other Index Options'!$B:$B,E$147,'BSE - Other Index Options'!$I:$I,"Monthly*"))</f>
        <v/>
      </c>
      <c r="F191" s="26">
        <f>IF(SUMIFS('BSE - SENSEX Index Options'!$M:$M,'BSE - SENSEX Index Options'!$C:$C,$A191,'BSE - SENSEX Index Options'!$B:$B,F$147,'BSE - SENSEX Index Options'!$I:$I,"Monthly*")+SUMIFS('BSE - Other Index Options'!$M:$M,'BSE - Other Index Options'!$C:$C,$A191,'BSE - Other Index Options'!$B:$B,F$147,'BSE - Other Index Options'!$I:$I,"Monthly*")=0,"",SUMIFS('BSE - SENSEX Index Options'!$M:$M,'BSE - SENSEX Index Options'!$C:$C,$A191,'BSE - SENSEX Index Options'!$B:$B,F$147,'BSE - SENSEX Index Options'!$I:$I,"Monthly*")+SUMIFS('BSE - Other Index Options'!$M:$M,'BSE - Other Index Options'!$C:$C,$A191,'BSE - Other Index Options'!$B:$B,F$147,'BSE - Other Index Options'!$I:$I,"Monthly*"))</f>
        <v/>
      </c>
      <c r="G191" s="26">
        <f>IF(SUMIFS('BSE - SENSEX Index Options'!$M:$M,'BSE - SENSEX Index Options'!$C:$C,$A191,'BSE - SENSEX Index Options'!$B:$B,G$147,'BSE - SENSEX Index Options'!$I:$I,"Monthly*")+SUMIFS('BSE - Other Index Options'!$M:$M,'BSE - Other Index Options'!$C:$C,$A191,'BSE - Other Index Options'!$B:$B,G$147,'BSE - Other Index Options'!$I:$I,"Monthly*")=0,"",SUMIFS('BSE - SENSEX Index Options'!$M:$M,'BSE - SENSEX Index Options'!$C:$C,$A191,'BSE - SENSEX Index Options'!$B:$B,G$147,'BSE - SENSEX Index Options'!$I:$I,"Monthly*")+SUMIFS('BSE - Other Index Options'!$M:$M,'BSE - Other Index Options'!$C:$C,$A191,'BSE - Other Index Options'!$B:$B,G$147,'BSE - Other Index Options'!$I:$I,"Monthly*"))</f>
        <v/>
      </c>
      <c r="H191" s="26">
        <f>IF(SUM(B191:G191)=0,"",SUM(B191:G191))</f>
        <v/>
      </c>
    </row>
    <row r="192">
      <c r="A192" t="inlineStr">
        <is>
          <t>Week1-Jun-2026</t>
        </is>
      </c>
      <c r="B192" s="26">
        <f>IF(SUMIFS('BSE - SENSEX Index Options'!$M:$M,'BSE - SENSEX Index Options'!$C:$C,$A192,'BSE - SENSEX Index Options'!$B:$B,B$147,'BSE - SENSEX Index Options'!$I:$I,"Monthly*")+SUMIFS('BSE - Other Index Options'!$M:$M,'BSE - Other Index Options'!$C:$C,$A192,'BSE - Other Index Options'!$B:$B,B$147,'BSE - Other Index Options'!$I:$I,"Monthly*")=0,"",SUMIFS('BSE - SENSEX Index Options'!$M:$M,'BSE - SENSEX Index Options'!$C:$C,$A192,'BSE - SENSEX Index Options'!$B:$B,B$147,'BSE - SENSEX Index Options'!$I:$I,"Monthly*")+SUMIFS('BSE - Other Index Options'!$M:$M,'BSE - Other Index Options'!$C:$C,$A192,'BSE - Other Index Options'!$B:$B,B$147,'BSE - Other Index Options'!$I:$I,"Monthly*"))</f>
        <v/>
      </c>
      <c r="C192" s="26">
        <f>IF(SUMIFS('BSE - SENSEX Index Options'!$M:$M,'BSE - SENSEX Index Options'!$C:$C,$A192,'BSE - SENSEX Index Options'!$B:$B,C$147,'BSE - SENSEX Index Options'!$I:$I,"Monthly*")+SUMIFS('BSE - Other Index Options'!$M:$M,'BSE - Other Index Options'!$C:$C,$A192,'BSE - Other Index Options'!$B:$B,C$147,'BSE - Other Index Options'!$I:$I,"Monthly*")=0,"",SUMIFS('BSE - SENSEX Index Options'!$M:$M,'BSE - SENSEX Index Options'!$C:$C,$A192,'BSE - SENSEX Index Options'!$B:$B,C$147,'BSE - SENSEX Index Options'!$I:$I,"Monthly*")+SUMIFS('BSE - Other Index Options'!$M:$M,'BSE - Other Index Options'!$C:$C,$A192,'BSE - Other Index Options'!$B:$B,C$147,'BSE - Other Index Options'!$I:$I,"Monthly*"))</f>
        <v/>
      </c>
      <c r="D192" s="26">
        <f>IF(SUMIFS('BSE - SENSEX Index Options'!$M:$M,'BSE - SENSEX Index Options'!$C:$C,$A192,'BSE - SENSEX Index Options'!$B:$B,D$147,'BSE - SENSEX Index Options'!$I:$I,"Monthly*")+SUMIFS('BSE - Other Index Options'!$M:$M,'BSE - Other Index Options'!$C:$C,$A192,'BSE - Other Index Options'!$B:$B,D$147,'BSE - Other Index Options'!$I:$I,"Monthly*")=0,"",SUMIFS('BSE - SENSEX Index Options'!$M:$M,'BSE - SENSEX Index Options'!$C:$C,$A192,'BSE - SENSEX Index Options'!$B:$B,D$147,'BSE - SENSEX Index Options'!$I:$I,"Monthly*")+SUMIFS('BSE - Other Index Options'!$M:$M,'BSE - Other Index Options'!$C:$C,$A192,'BSE - Other Index Options'!$B:$B,D$147,'BSE - Other Index Options'!$I:$I,"Monthly*"))</f>
        <v/>
      </c>
      <c r="E192" s="26">
        <f>IF(SUMIFS('BSE - SENSEX Index Options'!$M:$M,'BSE - SENSEX Index Options'!$C:$C,$A192,'BSE - SENSEX Index Options'!$B:$B,E$147,'BSE - SENSEX Index Options'!$I:$I,"Monthly*")+SUMIFS('BSE - Other Index Options'!$M:$M,'BSE - Other Index Options'!$C:$C,$A192,'BSE - Other Index Options'!$B:$B,E$147,'BSE - Other Index Options'!$I:$I,"Monthly*")=0,"",SUMIFS('BSE - SENSEX Index Options'!$M:$M,'BSE - SENSEX Index Options'!$C:$C,$A192,'BSE - SENSEX Index Options'!$B:$B,E$147,'BSE - SENSEX Index Options'!$I:$I,"Monthly*")+SUMIFS('BSE - Other Index Options'!$M:$M,'BSE - Other Index Options'!$C:$C,$A192,'BSE - Other Index Options'!$B:$B,E$147,'BSE - Other Index Options'!$I:$I,"Monthly*"))</f>
        <v/>
      </c>
      <c r="F192" s="26">
        <f>IF(SUMIFS('BSE - SENSEX Index Options'!$M:$M,'BSE - SENSEX Index Options'!$C:$C,$A192,'BSE - SENSEX Index Options'!$B:$B,F$147,'BSE - SENSEX Index Options'!$I:$I,"Monthly*")+SUMIFS('BSE - Other Index Options'!$M:$M,'BSE - Other Index Options'!$C:$C,$A192,'BSE - Other Index Options'!$B:$B,F$147,'BSE - Other Index Options'!$I:$I,"Monthly*")=0,"",SUMIFS('BSE - SENSEX Index Options'!$M:$M,'BSE - SENSEX Index Options'!$C:$C,$A192,'BSE - SENSEX Index Options'!$B:$B,F$147,'BSE - SENSEX Index Options'!$I:$I,"Monthly*")+SUMIFS('BSE - Other Index Options'!$M:$M,'BSE - Other Index Options'!$C:$C,$A192,'BSE - Other Index Options'!$B:$B,F$147,'BSE - Other Index Options'!$I:$I,"Monthly*"))</f>
        <v/>
      </c>
      <c r="G192" s="26">
        <f>IF(SUMIFS('BSE - SENSEX Index Options'!$M:$M,'BSE - SENSEX Index Options'!$C:$C,$A192,'BSE - SENSEX Index Options'!$B:$B,G$147,'BSE - SENSEX Index Options'!$I:$I,"Monthly*")+SUMIFS('BSE - Other Index Options'!$M:$M,'BSE - Other Index Options'!$C:$C,$A192,'BSE - Other Index Options'!$B:$B,G$147,'BSE - Other Index Options'!$I:$I,"Monthly*")=0,"",SUMIFS('BSE - SENSEX Index Options'!$M:$M,'BSE - SENSEX Index Options'!$C:$C,$A192,'BSE - SENSEX Index Options'!$B:$B,G$147,'BSE - SENSEX Index Options'!$I:$I,"Monthly*")+SUMIFS('BSE - Other Index Options'!$M:$M,'BSE - Other Index Options'!$C:$C,$A192,'BSE - Other Index Options'!$B:$B,G$147,'BSE - Other Index Options'!$I:$I,"Monthly*"))</f>
        <v/>
      </c>
      <c r="H192" s="26">
        <f>IF(SUM(B192:G192)=0,"",SUM(B192:G192))</f>
        <v/>
      </c>
    </row>
    <row r="193">
      <c r="A193" t="inlineStr">
        <is>
          <t>Week2-Jun-2026</t>
        </is>
      </c>
      <c r="B193" s="26">
        <f>IF(SUMIFS('BSE - SENSEX Index Options'!$M:$M,'BSE - SENSEX Index Options'!$C:$C,$A193,'BSE - SENSEX Index Options'!$B:$B,B$147,'BSE - SENSEX Index Options'!$I:$I,"Monthly*")+SUMIFS('BSE - Other Index Options'!$M:$M,'BSE - Other Index Options'!$C:$C,$A193,'BSE - Other Index Options'!$B:$B,B$147,'BSE - Other Index Options'!$I:$I,"Monthly*")=0,"",SUMIFS('BSE - SENSEX Index Options'!$M:$M,'BSE - SENSEX Index Options'!$C:$C,$A193,'BSE - SENSEX Index Options'!$B:$B,B$147,'BSE - SENSEX Index Options'!$I:$I,"Monthly*")+SUMIFS('BSE - Other Index Options'!$M:$M,'BSE - Other Index Options'!$C:$C,$A193,'BSE - Other Index Options'!$B:$B,B$147,'BSE - Other Index Options'!$I:$I,"Monthly*"))</f>
        <v/>
      </c>
      <c r="C193" s="26">
        <f>IF(SUMIFS('BSE - SENSEX Index Options'!$M:$M,'BSE - SENSEX Index Options'!$C:$C,$A193,'BSE - SENSEX Index Options'!$B:$B,C$147,'BSE - SENSEX Index Options'!$I:$I,"Monthly*")+SUMIFS('BSE - Other Index Options'!$M:$M,'BSE - Other Index Options'!$C:$C,$A193,'BSE - Other Index Options'!$B:$B,C$147,'BSE - Other Index Options'!$I:$I,"Monthly*")=0,"",SUMIFS('BSE - SENSEX Index Options'!$M:$M,'BSE - SENSEX Index Options'!$C:$C,$A193,'BSE - SENSEX Index Options'!$B:$B,C$147,'BSE - SENSEX Index Options'!$I:$I,"Monthly*")+SUMIFS('BSE - Other Index Options'!$M:$M,'BSE - Other Index Options'!$C:$C,$A193,'BSE - Other Index Options'!$B:$B,C$147,'BSE - Other Index Options'!$I:$I,"Monthly*"))</f>
        <v/>
      </c>
      <c r="D193" s="26">
        <f>IF(SUMIFS('BSE - SENSEX Index Options'!$M:$M,'BSE - SENSEX Index Options'!$C:$C,$A193,'BSE - SENSEX Index Options'!$B:$B,D$147,'BSE - SENSEX Index Options'!$I:$I,"Monthly*")+SUMIFS('BSE - Other Index Options'!$M:$M,'BSE - Other Index Options'!$C:$C,$A193,'BSE - Other Index Options'!$B:$B,D$147,'BSE - Other Index Options'!$I:$I,"Monthly*")=0,"",SUMIFS('BSE - SENSEX Index Options'!$M:$M,'BSE - SENSEX Index Options'!$C:$C,$A193,'BSE - SENSEX Index Options'!$B:$B,D$147,'BSE - SENSEX Index Options'!$I:$I,"Monthly*")+SUMIFS('BSE - Other Index Options'!$M:$M,'BSE - Other Index Options'!$C:$C,$A193,'BSE - Other Index Options'!$B:$B,D$147,'BSE - Other Index Options'!$I:$I,"Monthly*"))</f>
        <v/>
      </c>
      <c r="E193" s="26">
        <f>IF(SUMIFS('BSE - SENSEX Index Options'!$M:$M,'BSE - SENSEX Index Options'!$C:$C,$A193,'BSE - SENSEX Index Options'!$B:$B,E$147,'BSE - SENSEX Index Options'!$I:$I,"Monthly*")+SUMIFS('BSE - Other Index Options'!$M:$M,'BSE - Other Index Options'!$C:$C,$A193,'BSE - Other Index Options'!$B:$B,E$147,'BSE - Other Index Options'!$I:$I,"Monthly*")=0,"",SUMIFS('BSE - SENSEX Index Options'!$M:$M,'BSE - SENSEX Index Options'!$C:$C,$A193,'BSE - SENSEX Index Options'!$B:$B,E$147,'BSE - SENSEX Index Options'!$I:$I,"Monthly*")+SUMIFS('BSE - Other Index Options'!$M:$M,'BSE - Other Index Options'!$C:$C,$A193,'BSE - Other Index Options'!$B:$B,E$147,'BSE - Other Index Options'!$I:$I,"Monthly*"))</f>
        <v/>
      </c>
      <c r="F193" s="26">
        <f>IF(SUMIFS('BSE - SENSEX Index Options'!$M:$M,'BSE - SENSEX Index Options'!$C:$C,$A193,'BSE - SENSEX Index Options'!$B:$B,F$147,'BSE - SENSEX Index Options'!$I:$I,"Monthly*")+SUMIFS('BSE - Other Index Options'!$M:$M,'BSE - Other Index Options'!$C:$C,$A193,'BSE - Other Index Options'!$B:$B,F$147,'BSE - Other Index Options'!$I:$I,"Monthly*")=0,"",SUMIFS('BSE - SENSEX Index Options'!$M:$M,'BSE - SENSEX Index Options'!$C:$C,$A193,'BSE - SENSEX Index Options'!$B:$B,F$147,'BSE - SENSEX Index Options'!$I:$I,"Monthly*")+SUMIFS('BSE - Other Index Options'!$M:$M,'BSE - Other Index Options'!$C:$C,$A193,'BSE - Other Index Options'!$B:$B,F$147,'BSE - Other Index Options'!$I:$I,"Monthly*"))</f>
        <v/>
      </c>
      <c r="G193" s="26">
        <f>IF(SUMIFS('BSE - SENSEX Index Options'!$M:$M,'BSE - SENSEX Index Options'!$C:$C,$A193,'BSE - SENSEX Index Options'!$B:$B,G$147,'BSE - SENSEX Index Options'!$I:$I,"Monthly*")+SUMIFS('BSE - Other Index Options'!$M:$M,'BSE - Other Index Options'!$C:$C,$A193,'BSE - Other Index Options'!$B:$B,G$147,'BSE - Other Index Options'!$I:$I,"Monthly*")=0,"",SUMIFS('BSE - SENSEX Index Options'!$M:$M,'BSE - SENSEX Index Options'!$C:$C,$A193,'BSE - SENSEX Index Options'!$B:$B,G$147,'BSE - SENSEX Index Options'!$I:$I,"Monthly*")+SUMIFS('BSE - Other Index Options'!$M:$M,'BSE - Other Index Options'!$C:$C,$A193,'BSE - Other Index Options'!$B:$B,G$147,'BSE - Other Index Options'!$I:$I,"Monthly*"))</f>
        <v/>
      </c>
      <c r="H193" s="26">
        <f>IF(SUM(B193:G193)=0,"",SUM(B193:G193))</f>
        <v/>
      </c>
    </row>
    <row r="194">
      <c r="A194" t="inlineStr">
        <is>
          <t>Week3-Jun-2026</t>
        </is>
      </c>
      <c r="B194" s="26">
        <f>IF(SUMIFS('BSE - SENSEX Index Options'!$M:$M,'BSE - SENSEX Index Options'!$C:$C,$A194,'BSE - SENSEX Index Options'!$B:$B,B$147,'BSE - SENSEX Index Options'!$I:$I,"Monthly*")+SUMIFS('BSE - Other Index Options'!$M:$M,'BSE - Other Index Options'!$C:$C,$A194,'BSE - Other Index Options'!$B:$B,B$147,'BSE - Other Index Options'!$I:$I,"Monthly*")=0,"",SUMIFS('BSE - SENSEX Index Options'!$M:$M,'BSE - SENSEX Index Options'!$C:$C,$A194,'BSE - SENSEX Index Options'!$B:$B,B$147,'BSE - SENSEX Index Options'!$I:$I,"Monthly*")+SUMIFS('BSE - Other Index Options'!$M:$M,'BSE - Other Index Options'!$C:$C,$A194,'BSE - Other Index Options'!$B:$B,B$147,'BSE - Other Index Options'!$I:$I,"Monthly*"))</f>
        <v/>
      </c>
      <c r="C194" s="26">
        <f>IF(SUMIFS('BSE - SENSEX Index Options'!$M:$M,'BSE - SENSEX Index Options'!$C:$C,$A194,'BSE - SENSEX Index Options'!$B:$B,C$147,'BSE - SENSEX Index Options'!$I:$I,"Monthly*")+SUMIFS('BSE - Other Index Options'!$M:$M,'BSE - Other Index Options'!$C:$C,$A194,'BSE - Other Index Options'!$B:$B,C$147,'BSE - Other Index Options'!$I:$I,"Monthly*")=0,"",SUMIFS('BSE - SENSEX Index Options'!$M:$M,'BSE - SENSEX Index Options'!$C:$C,$A194,'BSE - SENSEX Index Options'!$B:$B,C$147,'BSE - SENSEX Index Options'!$I:$I,"Monthly*")+SUMIFS('BSE - Other Index Options'!$M:$M,'BSE - Other Index Options'!$C:$C,$A194,'BSE - Other Index Options'!$B:$B,C$147,'BSE - Other Index Options'!$I:$I,"Monthly*"))</f>
        <v/>
      </c>
      <c r="D194" s="26">
        <f>IF(SUMIFS('BSE - SENSEX Index Options'!$M:$M,'BSE - SENSEX Index Options'!$C:$C,$A194,'BSE - SENSEX Index Options'!$B:$B,D$147,'BSE - SENSEX Index Options'!$I:$I,"Monthly*")+SUMIFS('BSE - Other Index Options'!$M:$M,'BSE - Other Index Options'!$C:$C,$A194,'BSE - Other Index Options'!$B:$B,D$147,'BSE - Other Index Options'!$I:$I,"Monthly*")=0,"",SUMIFS('BSE - SENSEX Index Options'!$M:$M,'BSE - SENSEX Index Options'!$C:$C,$A194,'BSE - SENSEX Index Options'!$B:$B,D$147,'BSE - SENSEX Index Options'!$I:$I,"Monthly*")+SUMIFS('BSE - Other Index Options'!$M:$M,'BSE - Other Index Options'!$C:$C,$A194,'BSE - Other Index Options'!$B:$B,D$147,'BSE - Other Index Options'!$I:$I,"Monthly*"))</f>
        <v/>
      </c>
      <c r="E194" s="26">
        <f>IF(SUMIFS('BSE - SENSEX Index Options'!$M:$M,'BSE - SENSEX Index Options'!$C:$C,$A194,'BSE - SENSEX Index Options'!$B:$B,E$147,'BSE - SENSEX Index Options'!$I:$I,"Monthly*")+SUMIFS('BSE - Other Index Options'!$M:$M,'BSE - Other Index Options'!$C:$C,$A194,'BSE - Other Index Options'!$B:$B,E$147,'BSE - Other Index Options'!$I:$I,"Monthly*")=0,"",SUMIFS('BSE - SENSEX Index Options'!$M:$M,'BSE - SENSEX Index Options'!$C:$C,$A194,'BSE - SENSEX Index Options'!$B:$B,E$147,'BSE - SENSEX Index Options'!$I:$I,"Monthly*")+SUMIFS('BSE - Other Index Options'!$M:$M,'BSE - Other Index Options'!$C:$C,$A194,'BSE - Other Index Options'!$B:$B,E$147,'BSE - Other Index Options'!$I:$I,"Monthly*"))</f>
        <v/>
      </c>
      <c r="F194" s="26">
        <f>IF(SUMIFS('BSE - SENSEX Index Options'!$M:$M,'BSE - SENSEX Index Options'!$C:$C,$A194,'BSE - SENSEX Index Options'!$B:$B,F$147,'BSE - SENSEX Index Options'!$I:$I,"Monthly*")+SUMIFS('BSE - Other Index Options'!$M:$M,'BSE - Other Index Options'!$C:$C,$A194,'BSE - Other Index Options'!$B:$B,F$147,'BSE - Other Index Options'!$I:$I,"Monthly*")=0,"",SUMIFS('BSE - SENSEX Index Options'!$M:$M,'BSE - SENSEX Index Options'!$C:$C,$A194,'BSE - SENSEX Index Options'!$B:$B,F$147,'BSE - SENSEX Index Options'!$I:$I,"Monthly*")+SUMIFS('BSE - Other Index Options'!$M:$M,'BSE - Other Index Options'!$C:$C,$A194,'BSE - Other Index Options'!$B:$B,F$147,'BSE - Other Index Options'!$I:$I,"Monthly*"))</f>
        <v/>
      </c>
      <c r="G194" s="26">
        <f>IF(SUMIFS('BSE - SENSEX Index Options'!$M:$M,'BSE - SENSEX Index Options'!$C:$C,$A194,'BSE - SENSEX Index Options'!$B:$B,G$147,'BSE - SENSEX Index Options'!$I:$I,"Monthly*")+SUMIFS('BSE - Other Index Options'!$M:$M,'BSE - Other Index Options'!$C:$C,$A194,'BSE - Other Index Options'!$B:$B,G$147,'BSE - Other Index Options'!$I:$I,"Monthly*")=0,"",SUMIFS('BSE - SENSEX Index Options'!$M:$M,'BSE - SENSEX Index Options'!$C:$C,$A194,'BSE - SENSEX Index Options'!$B:$B,G$147,'BSE - SENSEX Index Options'!$I:$I,"Monthly*")+SUMIFS('BSE - Other Index Options'!$M:$M,'BSE - Other Index Options'!$C:$C,$A194,'BSE - Other Index Options'!$B:$B,G$147,'BSE - Other Index Options'!$I:$I,"Monthly*"))</f>
        <v/>
      </c>
      <c r="H194" s="26">
        <f>IF(SUM(B194:G194)=0,"",SUM(B194:G194))</f>
        <v/>
      </c>
    </row>
    <row r="195">
      <c r="A195" t="inlineStr">
        <is>
          <t>Week4-Jun-2026</t>
        </is>
      </c>
      <c r="B195" s="26">
        <f>IF(SUMIFS('BSE - SENSEX Index Options'!$M:$M,'BSE - SENSEX Index Options'!$C:$C,$A195,'BSE - SENSEX Index Options'!$B:$B,B$147,'BSE - SENSEX Index Options'!$I:$I,"Monthly*")+SUMIFS('BSE - Other Index Options'!$M:$M,'BSE - Other Index Options'!$C:$C,$A195,'BSE - Other Index Options'!$B:$B,B$147,'BSE - Other Index Options'!$I:$I,"Monthly*")=0,"",SUMIFS('BSE - SENSEX Index Options'!$M:$M,'BSE - SENSEX Index Options'!$C:$C,$A195,'BSE - SENSEX Index Options'!$B:$B,B$147,'BSE - SENSEX Index Options'!$I:$I,"Monthly*")+SUMIFS('BSE - Other Index Options'!$M:$M,'BSE - Other Index Options'!$C:$C,$A195,'BSE - Other Index Options'!$B:$B,B$147,'BSE - Other Index Options'!$I:$I,"Monthly*"))</f>
        <v/>
      </c>
      <c r="C195" s="26">
        <f>IF(SUMIFS('BSE - SENSEX Index Options'!$M:$M,'BSE - SENSEX Index Options'!$C:$C,$A195,'BSE - SENSEX Index Options'!$B:$B,C$147,'BSE - SENSEX Index Options'!$I:$I,"Monthly*")+SUMIFS('BSE - Other Index Options'!$M:$M,'BSE - Other Index Options'!$C:$C,$A195,'BSE - Other Index Options'!$B:$B,C$147,'BSE - Other Index Options'!$I:$I,"Monthly*")=0,"",SUMIFS('BSE - SENSEX Index Options'!$M:$M,'BSE - SENSEX Index Options'!$C:$C,$A195,'BSE - SENSEX Index Options'!$B:$B,C$147,'BSE - SENSEX Index Options'!$I:$I,"Monthly*")+SUMIFS('BSE - Other Index Options'!$M:$M,'BSE - Other Index Options'!$C:$C,$A195,'BSE - Other Index Options'!$B:$B,C$147,'BSE - Other Index Options'!$I:$I,"Monthly*"))</f>
        <v/>
      </c>
      <c r="D195" s="26">
        <f>IF(SUMIFS('BSE - SENSEX Index Options'!$M:$M,'BSE - SENSEX Index Options'!$C:$C,$A195,'BSE - SENSEX Index Options'!$B:$B,D$147,'BSE - SENSEX Index Options'!$I:$I,"Monthly*")+SUMIFS('BSE - Other Index Options'!$M:$M,'BSE - Other Index Options'!$C:$C,$A195,'BSE - Other Index Options'!$B:$B,D$147,'BSE - Other Index Options'!$I:$I,"Monthly*")=0,"",SUMIFS('BSE - SENSEX Index Options'!$M:$M,'BSE - SENSEX Index Options'!$C:$C,$A195,'BSE - SENSEX Index Options'!$B:$B,D$147,'BSE - SENSEX Index Options'!$I:$I,"Monthly*")+SUMIFS('BSE - Other Index Options'!$M:$M,'BSE - Other Index Options'!$C:$C,$A195,'BSE - Other Index Options'!$B:$B,D$147,'BSE - Other Index Options'!$I:$I,"Monthly*"))</f>
        <v/>
      </c>
      <c r="E195" s="26">
        <f>IF(SUMIFS('BSE - SENSEX Index Options'!$M:$M,'BSE - SENSEX Index Options'!$C:$C,$A195,'BSE - SENSEX Index Options'!$B:$B,E$147,'BSE - SENSEX Index Options'!$I:$I,"Monthly*")+SUMIFS('BSE - Other Index Options'!$M:$M,'BSE - Other Index Options'!$C:$C,$A195,'BSE - Other Index Options'!$B:$B,E$147,'BSE - Other Index Options'!$I:$I,"Monthly*")=0,"",SUMIFS('BSE - SENSEX Index Options'!$M:$M,'BSE - SENSEX Index Options'!$C:$C,$A195,'BSE - SENSEX Index Options'!$B:$B,E$147,'BSE - SENSEX Index Options'!$I:$I,"Monthly*")+SUMIFS('BSE - Other Index Options'!$M:$M,'BSE - Other Index Options'!$C:$C,$A195,'BSE - Other Index Options'!$B:$B,E$147,'BSE - Other Index Options'!$I:$I,"Monthly*"))</f>
        <v/>
      </c>
      <c r="F195" s="26">
        <f>IF(SUMIFS('BSE - SENSEX Index Options'!$M:$M,'BSE - SENSEX Index Options'!$C:$C,$A195,'BSE - SENSEX Index Options'!$B:$B,F$147,'BSE - SENSEX Index Options'!$I:$I,"Monthly*")+SUMIFS('BSE - Other Index Options'!$M:$M,'BSE - Other Index Options'!$C:$C,$A195,'BSE - Other Index Options'!$B:$B,F$147,'BSE - Other Index Options'!$I:$I,"Monthly*")=0,"",SUMIFS('BSE - SENSEX Index Options'!$M:$M,'BSE - SENSEX Index Options'!$C:$C,$A195,'BSE - SENSEX Index Options'!$B:$B,F$147,'BSE - SENSEX Index Options'!$I:$I,"Monthly*")+SUMIFS('BSE - Other Index Options'!$M:$M,'BSE - Other Index Options'!$C:$C,$A195,'BSE - Other Index Options'!$B:$B,F$147,'BSE - Other Index Options'!$I:$I,"Monthly*"))</f>
        <v/>
      </c>
      <c r="G195" s="26">
        <f>IF(SUMIFS('BSE - SENSEX Index Options'!$M:$M,'BSE - SENSEX Index Options'!$C:$C,$A195,'BSE - SENSEX Index Options'!$B:$B,G$147,'BSE - SENSEX Index Options'!$I:$I,"Monthly*")+SUMIFS('BSE - Other Index Options'!$M:$M,'BSE - Other Index Options'!$C:$C,$A195,'BSE - Other Index Options'!$B:$B,G$147,'BSE - Other Index Options'!$I:$I,"Monthly*")=0,"",SUMIFS('BSE - SENSEX Index Options'!$M:$M,'BSE - SENSEX Index Options'!$C:$C,$A195,'BSE - SENSEX Index Options'!$B:$B,G$147,'BSE - SENSEX Index Options'!$I:$I,"Monthly*")+SUMIFS('BSE - Other Index Options'!$M:$M,'BSE - Other Index Options'!$C:$C,$A195,'BSE - Other Index Options'!$B:$B,G$147,'BSE - Other Index Options'!$I:$I,"Monthly*"))</f>
        <v/>
      </c>
      <c r="H195" s="26">
        <f>IF(SUM(B195:G195)=0,"",SUM(B195:G195))</f>
        <v/>
      </c>
    </row>
    <row r="196">
      <c r="A196" t="inlineStr">
        <is>
          <t>Week5-Jun-2026</t>
        </is>
      </c>
      <c r="B196" s="26">
        <f>IF(SUMIFS('BSE - SENSEX Index Options'!$M:$M,'BSE - SENSEX Index Options'!$C:$C,$A196,'BSE - SENSEX Index Options'!$B:$B,B$147,'BSE - SENSEX Index Options'!$I:$I,"Monthly*")+SUMIFS('BSE - Other Index Options'!$M:$M,'BSE - Other Index Options'!$C:$C,$A196,'BSE - Other Index Options'!$B:$B,B$147,'BSE - Other Index Options'!$I:$I,"Monthly*")=0,"",SUMIFS('BSE - SENSEX Index Options'!$M:$M,'BSE - SENSEX Index Options'!$C:$C,$A196,'BSE - SENSEX Index Options'!$B:$B,B$147,'BSE - SENSEX Index Options'!$I:$I,"Monthly*")+SUMIFS('BSE - Other Index Options'!$M:$M,'BSE - Other Index Options'!$C:$C,$A196,'BSE - Other Index Options'!$B:$B,B$147,'BSE - Other Index Options'!$I:$I,"Monthly*"))</f>
        <v/>
      </c>
      <c r="C196" s="26">
        <f>IF(SUMIFS('BSE - SENSEX Index Options'!$M:$M,'BSE - SENSEX Index Options'!$C:$C,$A196,'BSE - SENSEX Index Options'!$B:$B,C$147,'BSE - SENSEX Index Options'!$I:$I,"Monthly*")+SUMIFS('BSE - Other Index Options'!$M:$M,'BSE - Other Index Options'!$C:$C,$A196,'BSE - Other Index Options'!$B:$B,C$147,'BSE - Other Index Options'!$I:$I,"Monthly*")=0,"",SUMIFS('BSE - SENSEX Index Options'!$M:$M,'BSE - SENSEX Index Options'!$C:$C,$A196,'BSE - SENSEX Index Options'!$B:$B,C$147,'BSE - SENSEX Index Options'!$I:$I,"Monthly*")+SUMIFS('BSE - Other Index Options'!$M:$M,'BSE - Other Index Options'!$C:$C,$A196,'BSE - Other Index Options'!$B:$B,C$147,'BSE - Other Index Options'!$I:$I,"Monthly*"))</f>
        <v/>
      </c>
      <c r="D196" s="26">
        <f>IF(SUMIFS('BSE - SENSEX Index Options'!$M:$M,'BSE - SENSEX Index Options'!$C:$C,$A196,'BSE - SENSEX Index Options'!$B:$B,D$147,'BSE - SENSEX Index Options'!$I:$I,"Monthly*")+SUMIFS('BSE - Other Index Options'!$M:$M,'BSE - Other Index Options'!$C:$C,$A196,'BSE - Other Index Options'!$B:$B,D$147,'BSE - Other Index Options'!$I:$I,"Monthly*")=0,"",SUMIFS('BSE - SENSEX Index Options'!$M:$M,'BSE - SENSEX Index Options'!$C:$C,$A196,'BSE - SENSEX Index Options'!$B:$B,D$147,'BSE - SENSEX Index Options'!$I:$I,"Monthly*")+SUMIFS('BSE - Other Index Options'!$M:$M,'BSE - Other Index Options'!$C:$C,$A196,'BSE - Other Index Options'!$B:$B,D$147,'BSE - Other Index Options'!$I:$I,"Monthly*"))</f>
        <v/>
      </c>
      <c r="E196" s="26">
        <f>IF(SUMIFS('BSE - SENSEX Index Options'!$M:$M,'BSE - SENSEX Index Options'!$C:$C,$A196,'BSE - SENSEX Index Options'!$B:$B,E$147,'BSE - SENSEX Index Options'!$I:$I,"Monthly*")+SUMIFS('BSE - Other Index Options'!$M:$M,'BSE - Other Index Options'!$C:$C,$A196,'BSE - Other Index Options'!$B:$B,E$147,'BSE - Other Index Options'!$I:$I,"Monthly*")=0,"",SUMIFS('BSE - SENSEX Index Options'!$M:$M,'BSE - SENSEX Index Options'!$C:$C,$A196,'BSE - SENSEX Index Options'!$B:$B,E$147,'BSE - SENSEX Index Options'!$I:$I,"Monthly*")+SUMIFS('BSE - Other Index Options'!$M:$M,'BSE - Other Index Options'!$C:$C,$A196,'BSE - Other Index Options'!$B:$B,E$147,'BSE - Other Index Options'!$I:$I,"Monthly*"))</f>
        <v/>
      </c>
      <c r="F196" s="26">
        <f>IF(SUMIFS('BSE - SENSEX Index Options'!$M:$M,'BSE - SENSEX Index Options'!$C:$C,$A196,'BSE - SENSEX Index Options'!$B:$B,F$147,'BSE - SENSEX Index Options'!$I:$I,"Monthly*")+SUMIFS('BSE - Other Index Options'!$M:$M,'BSE - Other Index Options'!$C:$C,$A196,'BSE - Other Index Options'!$B:$B,F$147,'BSE - Other Index Options'!$I:$I,"Monthly*")=0,"",SUMIFS('BSE - SENSEX Index Options'!$M:$M,'BSE - SENSEX Index Options'!$C:$C,$A196,'BSE - SENSEX Index Options'!$B:$B,F$147,'BSE - SENSEX Index Options'!$I:$I,"Monthly*")+SUMIFS('BSE - Other Index Options'!$M:$M,'BSE - Other Index Options'!$C:$C,$A196,'BSE - Other Index Options'!$B:$B,F$147,'BSE - Other Index Options'!$I:$I,"Monthly*"))</f>
        <v/>
      </c>
      <c r="G196" s="26">
        <f>IF(SUMIFS('BSE - SENSEX Index Options'!$M:$M,'BSE - SENSEX Index Options'!$C:$C,$A196,'BSE - SENSEX Index Options'!$B:$B,G$147,'BSE - SENSEX Index Options'!$I:$I,"Monthly*")+SUMIFS('BSE - Other Index Options'!$M:$M,'BSE - Other Index Options'!$C:$C,$A196,'BSE - Other Index Options'!$B:$B,G$147,'BSE - Other Index Options'!$I:$I,"Monthly*")=0,"",SUMIFS('BSE - SENSEX Index Options'!$M:$M,'BSE - SENSEX Index Options'!$C:$C,$A196,'BSE - SENSEX Index Options'!$B:$B,G$147,'BSE - SENSEX Index Options'!$I:$I,"Monthly*")+SUMIFS('BSE - Other Index Options'!$M:$M,'BSE - Other Index Options'!$C:$C,$A196,'BSE - Other Index Options'!$B:$B,G$147,'BSE - Other Index Options'!$I:$I,"Monthly*"))</f>
        <v/>
      </c>
      <c r="H196" s="26">
        <f>IF(SUM(B196:G196)=0,"",SUM(B196:G196))</f>
        <v/>
      </c>
    </row>
    <row r="197">
      <c r="A197" t="inlineStr">
        <is>
          <t>Week1-Jul-2026</t>
        </is>
      </c>
      <c r="B197" s="26">
        <f>IF(SUMIFS('BSE - SENSEX Index Options'!$M:$M,'BSE - SENSEX Index Options'!$C:$C,$A197,'BSE - SENSEX Index Options'!$B:$B,B$147,'BSE - SENSEX Index Options'!$I:$I,"Monthly*")+SUMIFS('BSE - Other Index Options'!$M:$M,'BSE - Other Index Options'!$C:$C,$A197,'BSE - Other Index Options'!$B:$B,B$147,'BSE - Other Index Options'!$I:$I,"Monthly*")=0,"",SUMIFS('BSE - SENSEX Index Options'!$M:$M,'BSE - SENSEX Index Options'!$C:$C,$A197,'BSE - SENSEX Index Options'!$B:$B,B$147,'BSE - SENSEX Index Options'!$I:$I,"Monthly*")+SUMIFS('BSE - Other Index Options'!$M:$M,'BSE - Other Index Options'!$C:$C,$A197,'BSE - Other Index Options'!$B:$B,B$147,'BSE - Other Index Options'!$I:$I,"Monthly*"))</f>
        <v/>
      </c>
      <c r="C197" s="26">
        <f>IF(SUMIFS('BSE - SENSEX Index Options'!$M:$M,'BSE - SENSEX Index Options'!$C:$C,$A197,'BSE - SENSEX Index Options'!$B:$B,C$147,'BSE - SENSEX Index Options'!$I:$I,"Monthly*")+SUMIFS('BSE - Other Index Options'!$M:$M,'BSE - Other Index Options'!$C:$C,$A197,'BSE - Other Index Options'!$B:$B,C$147,'BSE - Other Index Options'!$I:$I,"Monthly*")=0,"",SUMIFS('BSE - SENSEX Index Options'!$M:$M,'BSE - SENSEX Index Options'!$C:$C,$A197,'BSE - SENSEX Index Options'!$B:$B,C$147,'BSE - SENSEX Index Options'!$I:$I,"Monthly*")+SUMIFS('BSE - Other Index Options'!$M:$M,'BSE - Other Index Options'!$C:$C,$A197,'BSE - Other Index Options'!$B:$B,C$147,'BSE - Other Index Options'!$I:$I,"Monthly*"))</f>
        <v/>
      </c>
      <c r="D197" s="26">
        <f>IF(SUMIFS('BSE - SENSEX Index Options'!$M:$M,'BSE - SENSEX Index Options'!$C:$C,$A197,'BSE - SENSEX Index Options'!$B:$B,D$147,'BSE - SENSEX Index Options'!$I:$I,"Monthly*")+SUMIFS('BSE - Other Index Options'!$M:$M,'BSE - Other Index Options'!$C:$C,$A197,'BSE - Other Index Options'!$B:$B,D$147,'BSE - Other Index Options'!$I:$I,"Monthly*")=0,"",SUMIFS('BSE - SENSEX Index Options'!$M:$M,'BSE - SENSEX Index Options'!$C:$C,$A197,'BSE - SENSEX Index Options'!$B:$B,D$147,'BSE - SENSEX Index Options'!$I:$I,"Monthly*")+SUMIFS('BSE - Other Index Options'!$M:$M,'BSE - Other Index Options'!$C:$C,$A197,'BSE - Other Index Options'!$B:$B,D$147,'BSE - Other Index Options'!$I:$I,"Monthly*"))</f>
        <v/>
      </c>
      <c r="E197" s="26">
        <f>IF(SUMIFS('BSE - SENSEX Index Options'!$M:$M,'BSE - SENSEX Index Options'!$C:$C,$A197,'BSE - SENSEX Index Options'!$B:$B,E$147,'BSE - SENSEX Index Options'!$I:$I,"Monthly*")+SUMIFS('BSE - Other Index Options'!$M:$M,'BSE - Other Index Options'!$C:$C,$A197,'BSE - Other Index Options'!$B:$B,E$147,'BSE - Other Index Options'!$I:$I,"Monthly*")=0,"",SUMIFS('BSE - SENSEX Index Options'!$M:$M,'BSE - SENSEX Index Options'!$C:$C,$A197,'BSE - SENSEX Index Options'!$B:$B,E$147,'BSE - SENSEX Index Options'!$I:$I,"Monthly*")+SUMIFS('BSE - Other Index Options'!$M:$M,'BSE - Other Index Options'!$C:$C,$A197,'BSE - Other Index Options'!$B:$B,E$147,'BSE - Other Index Options'!$I:$I,"Monthly*"))</f>
        <v/>
      </c>
      <c r="F197" s="26">
        <f>IF(SUMIFS('BSE - SENSEX Index Options'!$M:$M,'BSE - SENSEX Index Options'!$C:$C,$A197,'BSE - SENSEX Index Options'!$B:$B,F$147,'BSE - SENSEX Index Options'!$I:$I,"Monthly*")+SUMIFS('BSE - Other Index Options'!$M:$M,'BSE - Other Index Options'!$C:$C,$A197,'BSE - Other Index Options'!$B:$B,F$147,'BSE - Other Index Options'!$I:$I,"Monthly*")=0,"",SUMIFS('BSE - SENSEX Index Options'!$M:$M,'BSE - SENSEX Index Options'!$C:$C,$A197,'BSE - SENSEX Index Options'!$B:$B,F$147,'BSE - SENSEX Index Options'!$I:$I,"Monthly*")+SUMIFS('BSE - Other Index Options'!$M:$M,'BSE - Other Index Options'!$C:$C,$A197,'BSE - Other Index Options'!$B:$B,F$147,'BSE - Other Index Options'!$I:$I,"Monthly*"))</f>
        <v/>
      </c>
      <c r="G197" s="26">
        <f>IF(SUMIFS('BSE - SENSEX Index Options'!$M:$M,'BSE - SENSEX Index Options'!$C:$C,$A197,'BSE - SENSEX Index Options'!$B:$B,G$147,'BSE - SENSEX Index Options'!$I:$I,"Monthly*")+SUMIFS('BSE - Other Index Options'!$M:$M,'BSE - Other Index Options'!$C:$C,$A197,'BSE - Other Index Options'!$B:$B,G$147,'BSE - Other Index Options'!$I:$I,"Monthly*")=0,"",SUMIFS('BSE - SENSEX Index Options'!$M:$M,'BSE - SENSEX Index Options'!$C:$C,$A197,'BSE - SENSEX Index Options'!$B:$B,G$147,'BSE - SENSEX Index Options'!$I:$I,"Monthly*")+SUMIFS('BSE - Other Index Options'!$M:$M,'BSE - Other Index Options'!$C:$C,$A197,'BSE - Other Index Options'!$B:$B,G$147,'BSE - Other Index Options'!$I:$I,"Monthly*"))</f>
        <v/>
      </c>
      <c r="H197" s="26">
        <f>IF(SUM(B197:G197)=0,"",SUM(B197:G197))</f>
        <v/>
      </c>
    </row>
    <row r="198">
      <c r="A198" t="inlineStr">
        <is>
          <t>Week2-Jul-2026</t>
        </is>
      </c>
      <c r="B198" s="26">
        <f>IF(SUMIFS('BSE - SENSEX Index Options'!$M:$M,'BSE - SENSEX Index Options'!$C:$C,$A198,'BSE - SENSEX Index Options'!$B:$B,B$147,'BSE - SENSEX Index Options'!$I:$I,"Monthly*")+SUMIFS('BSE - Other Index Options'!$M:$M,'BSE - Other Index Options'!$C:$C,$A198,'BSE - Other Index Options'!$B:$B,B$147,'BSE - Other Index Options'!$I:$I,"Monthly*")=0,"",SUMIFS('BSE - SENSEX Index Options'!$M:$M,'BSE - SENSEX Index Options'!$C:$C,$A198,'BSE - SENSEX Index Options'!$B:$B,B$147,'BSE - SENSEX Index Options'!$I:$I,"Monthly*")+SUMIFS('BSE - Other Index Options'!$M:$M,'BSE - Other Index Options'!$C:$C,$A198,'BSE - Other Index Options'!$B:$B,B$147,'BSE - Other Index Options'!$I:$I,"Monthly*"))</f>
        <v/>
      </c>
      <c r="C198" s="26">
        <f>IF(SUMIFS('BSE - SENSEX Index Options'!$M:$M,'BSE - SENSEX Index Options'!$C:$C,$A198,'BSE - SENSEX Index Options'!$B:$B,C$147,'BSE - SENSEX Index Options'!$I:$I,"Monthly*")+SUMIFS('BSE - Other Index Options'!$M:$M,'BSE - Other Index Options'!$C:$C,$A198,'BSE - Other Index Options'!$B:$B,C$147,'BSE - Other Index Options'!$I:$I,"Monthly*")=0,"",SUMIFS('BSE - SENSEX Index Options'!$M:$M,'BSE - SENSEX Index Options'!$C:$C,$A198,'BSE - SENSEX Index Options'!$B:$B,C$147,'BSE - SENSEX Index Options'!$I:$I,"Monthly*")+SUMIFS('BSE - Other Index Options'!$M:$M,'BSE - Other Index Options'!$C:$C,$A198,'BSE - Other Index Options'!$B:$B,C$147,'BSE - Other Index Options'!$I:$I,"Monthly*"))</f>
        <v/>
      </c>
      <c r="D198" s="26">
        <f>IF(SUMIFS('BSE - SENSEX Index Options'!$M:$M,'BSE - SENSEX Index Options'!$C:$C,$A198,'BSE - SENSEX Index Options'!$B:$B,D$147,'BSE - SENSEX Index Options'!$I:$I,"Monthly*")+SUMIFS('BSE - Other Index Options'!$M:$M,'BSE - Other Index Options'!$C:$C,$A198,'BSE - Other Index Options'!$B:$B,D$147,'BSE - Other Index Options'!$I:$I,"Monthly*")=0,"",SUMIFS('BSE - SENSEX Index Options'!$M:$M,'BSE - SENSEX Index Options'!$C:$C,$A198,'BSE - SENSEX Index Options'!$B:$B,D$147,'BSE - SENSEX Index Options'!$I:$I,"Monthly*")+SUMIFS('BSE - Other Index Options'!$M:$M,'BSE - Other Index Options'!$C:$C,$A198,'BSE - Other Index Options'!$B:$B,D$147,'BSE - Other Index Options'!$I:$I,"Monthly*"))</f>
        <v/>
      </c>
      <c r="E198" s="26">
        <f>IF(SUMIFS('BSE - SENSEX Index Options'!$M:$M,'BSE - SENSEX Index Options'!$C:$C,$A198,'BSE - SENSEX Index Options'!$B:$B,E$147,'BSE - SENSEX Index Options'!$I:$I,"Monthly*")+SUMIFS('BSE - Other Index Options'!$M:$M,'BSE - Other Index Options'!$C:$C,$A198,'BSE - Other Index Options'!$B:$B,E$147,'BSE - Other Index Options'!$I:$I,"Monthly*")=0,"",SUMIFS('BSE - SENSEX Index Options'!$M:$M,'BSE - SENSEX Index Options'!$C:$C,$A198,'BSE - SENSEX Index Options'!$B:$B,E$147,'BSE - SENSEX Index Options'!$I:$I,"Monthly*")+SUMIFS('BSE - Other Index Options'!$M:$M,'BSE - Other Index Options'!$C:$C,$A198,'BSE - Other Index Options'!$B:$B,E$147,'BSE - Other Index Options'!$I:$I,"Monthly*"))</f>
        <v/>
      </c>
      <c r="F198" s="26">
        <f>IF(SUMIFS('BSE - SENSEX Index Options'!$M:$M,'BSE - SENSEX Index Options'!$C:$C,$A198,'BSE - SENSEX Index Options'!$B:$B,F$147,'BSE - SENSEX Index Options'!$I:$I,"Monthly*")+SUMIFS('BSE - Other Index Options'!$M:$M,'BSE - Other Index Options'!$C:$C,$A198,'BSE - Other Index Options'!$B:$B,F$147,'BSE - Other Index Options'!$I:$I,"Monthly*")=0,"",SUMIFS('BSE - SENSEX Index Options'!$M:$M,'BSE - SENSEX Index Options'!$C:$C,$A198,'BSE - SENSEX Index Options'!$B:$B,F$147,'BSE - SENSEX Index Options'!$I:$I,"Monthly*")+SUMIFS('BSE - Other Index Options'!$M:$M,'BSE - Other Index Options'!$C:$C,$A198,'BSE - Other Index Options'!$B:$B,F$147,'BSE - Other Index Options'!$I:$I,"Monthly*"))</f>
        <v/>
      </c>
      <c r="G198" s="26">
        <f>IF(SUMIFS('BSE - SENSEX Index Options'!$M:$M,'BSE - SENSEX Index Options'!$C:$C,$A198,'BSE - SENSEX Index Options'!$B:$B,G$147,'BSE - SENSEX Index Options'!$I:$I,"Monthly*")+SUMIFS('BSE - Other Index Options'!$M:$M,'BSE - Other Index Options'!$C:$C,$A198,'BSE - Other Index Options'!$B:$B,G$147,'BSE - Other Index Options'!$I:$I,"Monthly*")=0,"",SUMIFS('BSE - SENSEX Index Options'!$M:$M,'BSE - SENSEX Index Options'!$C:$C,$A198,'BSE - SENSEX Index Options'!$B:$B,G$147,'BSE - SENSEX Index Options'!$I:$I,"Monthly*")+SUMIFS('BSE - Other Index Options'!$M:$M,'BSE - Other Index Options'!$C:$C,$A198,'BSE - Other Index Options'!$B:$B,G$147,'BSE - Other Index Options'!$I:$I,"Monthly*"))</f>
        <v/>
      </c>
      <c r="H198" s="26">
        <f>IF(SUM(B198:G198)=0,"",SUM(B198:G198))</f>
        <v/>
      </c>
    </row>
    <row r="199">
      <c r="A199" t="inlineStr">
        <is>
          <t>Week3-Jul-2026</t>
        </is>
      </c>
      <c r="B199" s="26">
        <f>IF(SUMIFS('BSE - SENSEX Index Options'!$M:$M,'BSE - SENSEX Index Options'!$C:$C,$A199,'BSE - SENSEX Index Options'!$B:$B,B$147,'BSE - SENSEX Index Options'!$I:$I,"Monthly*")+SUMIFS('BSE - Other Index Options'!$M:$M,'BSE - Other Index Options'!$C:$C,$A199,'BSE - Other Index Options'!$B:$B,B$147,'BSE - Other Index Options'!$I:$I,"Monthly*")=0,"",SUMIFS('BSE - SENSEX Index Options'!$M:$M,'BSE - SENSEX Index Options'!$C:$C,$A199,'BSE - SENSEX Index Options'!$B:$B,B$147,'BSE - SENSEX Index Options'!$I:$I,"Monthly*")+SUMIFS('BSE - Other Index Options'!$M:$M,'BSE - Other Index Options'!$C:$C,$A199,'BSE - Other Index Options'!$B:$B,B$147,'BSE - Other Index Options'!$I:$I,"Monthly*"))</f>
        <v/>
      </c>
      <c r="C199" s="26">
        <f>IF(SUMIFS('BSE - SENSEX Index Options'!$M:$M,'BSE - SENSEX Index Options'!$C:$C,$A199,'BSE - SENSEX Index Options'!$B:$B,C$147,'BSE - SENSEX Index Options'!$I:$I,"Monthly*")+SUMIFS('BSE - Other Index Options'!$M:$M,'BSE - Other Index Options'!$C:$C,$A199,'BSE - Other Index Options'!$B:$B,C$147,'BSE - Other Index Options'!$I:$I,"Monthly*")=0,"",SUMIFS('BSE - SENSEX Index Options'!$M:$M,'BSE - SENSEX Index Options'!$C:$C,$A199,'BSE - SENSEX Index Options'!$B:$B,C$147,'BSE - SENSEX Index Options'!$I:$I,"Monthly*")+SUMIFS('BSE - Other Index Options'!$M:$M,'BSE - Other Index Options'!$C:$C,$A199,'BSE - Other Index Options'!$B:$B,C$147,'BSE - Other Index Options'!$I:$I,"Monthly*"))</f>
        <v/>
      </c>
      <c r="D199" s="26">
        <f>IF(SUMIFS('BSE - SENSEX Index Options'!$M:$M,'BSE - SENSEX Index Options'!$C:$C,$A199,'BSE - SENSEX Index Options'!$B:$B,D$147,'BSE - SENSEX Index Options'!$I:$I,"Monthly*")+SUMIFS('BSE - Other Index Options'!$M:$M,'BSE - Other Index Options'!$C:$C,$A199,'BSE - Other Index Options'!$B:$B,D$147,'BSE - Other Index Options'!$I:$I,"Monthly*")=0,"",SUMIFS('BSE - SENSEX Index Options'!$M:$M,'BSE - SENSEX Index Options'!$C:$C,$A199,'BSE - SENSEX Index Options'!$B:$B,D$147,'BSE - SENSEX Index Options'!$I:$I,"Monthly*")+SUMIFS('BSE - Other Index Options'!$M:$M,'BSE - Other Index Options'!$C:$C,$A199,'BSE - Other Index Options'!$B:$B,D$147,'BSE - Other Index Options'!$I:$I,"Monthly*"))</f>
        <v/>
      </c>
      <c r="E199" s="26">
        <f>IF(SUMIFS('BSE - SENSEX Index Options'!$M:$M,'BSE - SENSEX Index Options'!$C:$C,$A199,'BSE - SENSEX Index Options'!$B:$B,E$147,'BSE - SENSEX Index Options'!$I:$I,"Monthly*")+SUMIFS('BSE - Other Index Options'!$M:$M,'BSE - Other Index Options'!$C:$C,$A199,'BSE - Other Index Options'!$B:$B,E$147,'BSE - Other Index Options'!$I:$I,"Monthly*")=0,"",SUMIFS('BSE - SENSEX Index Options'!$M:$M,'BSE - SENSEX Index Options'!$C:$C,$A199,'BSE - SENSEX Index Options'!$B:$B,E$147,'BSE - SENSEX Index Options'!$I:$I,"Monthly*")+SUMIFS('BSE - Other Index Options'!$M:$M,'BSE - Other Index Options'!$C:$C,$A199,'BSE - Other Index Options'!$B:$B,E$147,'BSE - Other Index Options'!$I:$I,"Monthly*"))</f>
        <v/>
      </c>
      <c r="F199" s="26">
        <f>IF(SUMIFS('BSE - SENSEX Index Options'!$M:$M,'BSE - SENSEX Index Options'!$C:$C,$A199,'BSE - SENSEX Index Options'!$B:$B,F$147,'BSE - SENSEX Index Options'!$I:$I,"Monthly*")+SUMIFS('BSE - Other Index Options'!$M:$M,'BSE - Other Index Options'!$C:$C,$A199,'BSE - Other Index Options'!$B:$B,F$147,'BSE - Other Index Options'!$I:$I,"Monthly*")=0,"",SUMIFS('BSE - SENSEX Index Options'!$M:$M,'BSE - SENSEX Index Options'!$C:$C,$A199,'BSE - SENSEX Index Options'!$B:$B,F$147,'BSE - SENSEX Index Options'!$I:$I,"Monthly*")+SUMIFS('BSE - Other Index Options'!$M:$M,'BSE - Other Index Options'!$C:$C,$A199,'BSE - Other Index Options'!$B:$B,F$147,'BSE - Other Index Options'!$I:$I,"Monthly*"))</f>
        <v/>
      </c>
      <c r="G199" s="26">
        <f>IF(SUMIFS('BSE - SENSEX Index Options'!$M:$M,'BSE - SENSEX Index Options'!$C:$C,$A199,'BSE - SENSEX Index Options'!$B:$B,G$147,'BSE - SENSEX Index Options'!$I:$I,"Monthly*")+SUMIFS('BSE - Other Index Options'!$M:$M,'BSE - Other Index Options'!$C:$C,$A199,'BSE - Other Index Options'!$B:$B,G$147,'BSE - Other Index Options'!$I:$I,"Monthly*")=0,"",SUMIFS('BSE - SENSEX Index Options'!$M:$M,'BSE - SENSEX Index Options'!$C:$C,$A199,'BSE - SENSEX Index Options'!$B:$B,G$147,'BSE - SENSEX Index Options'!$I:$I,"Monthly*")+SUMIFS('BSE - Other Index Options'!$M:$M,'BSE - Other Index Options'!$C:$C,$A199,'BSE - Other Index Options'!$B:$B,G$147,'BSE - Other Index Options'!$I:$I,"Monthly*"))</f>
        <v/>
      </c>
      <c r="H199" s="26">
        <f>IF(SUM(B199:G199)=0,"",SUM(B199:G199))</f>
        <v/>
      </c>
    </row>
    <row r="200">
      <c r="A200" t="inlineStr">
        <is>
          <t>Week4-Jul-2026</t>
        </is>
      </c>
      <c r="B200" s="26">
        <f>IF(SUMIFS('BSE - SENSEX Index Options'!$M:$M,'BSE - SENSEX Index Options'!$C:$C,$A200,'BSE - SENSEX Index Options'!$B:$B,B$147,'BSE - SENSEX Index Options'!$I:$I,"Monthly*")+SUMIFS('BSE - Other Index Options'!$M:$M,'BSE - Other Index Options'!$C:$C,$A200,'BSE - Other Index Options'!$B:$B,B$147,'BSE - Other Index Options'!$I:$I,"Monthly*")=0,"",SUMIFS('BSE - SENSEX Index Options'!$M:$M,'BSE - SENSEX Index Options'!$C:$C,$A200,'BSE - SENSEX Index Options'!$B:$B,B$147,'BSE - SENSEX Index Options'!$I:$I,"Monthly*")+SUMIFS('BSE - Other Index Options'!$M:$M,'BSE - Other Index Options'!$C:$C,$A200,'BSE - Other Index Options'!$B:$B,B$147,'BSE - Other Index Options'!$I:$I,"Monthly*"))</f>
        <v/>
      </c>
      <c r="C200" s="26">
        <f>IF(SUMIFS('BSE - SENSEX Index Options'!$M:$M,'BSE - SENSEX Index Options'!$C:$C,$A200,'BSE - SENSEX Index Options'!$B:$B,C$147,'BSE - SENSEX Index Options'!$I:$I,"Monthly*")+SUMIFS('BSE - Other Index Options'!$M:$M,'BSE - Other Index Options'!$C:$C,$A200,'BSE - Other Index Options'!$B:$B,C$147,'BSE - Other Index Options'!$I:$I,"Monthly*")=0,"",SUMIFS('BSE - SENSEX Index Options'!$M:$M,'BSE - SENSEX Index Options'!$C:$C,$A200,'BSE - SENSEX Index Options'!$B:$B,C$147,'BSE - SENSEX Index Options'!$I:$I,"Monthly*")+SUMIFS('BSE - Other Index Options'!$M:$M,'BSE - Other Index Options'!$C:$C,$A200,'BSE - Other Index Options'!$B:$B,C$147,'BSE - Other Index Options'!$I:$I,"Monthly*"))</f>
        <v/>
      </c>
      <c r="D200" s="26">
        <f>IF(SUMIFS('BSE - SENSEX Index Options'!$M:$M,'BSE - SENSEX Index Options'!$C:$C,$A200,'BSE - SENSEX Index Options'!$B:$B,D$147,'BSE - SENSEX Index Options'!$I:$I,"Monthly*")+SUMIFS('BSE - Other Index Options'!$M:$M,'BSE - Other Index Options'!$C:$C,$A200,'BSE - Other Index Options'!$B:$B,D$147,'BSE - Other Index Options'!$I:$I,"Monthly*")=0,"",SUMIFS('BSE - SENSEX Index Options'!$M:$M,'BSE - SENSEX Index Options'!$C:$C,$A200,'BSE - SENSEX Index Options'!$B:$B,D$147,'BSE - SENSEX Index Options'!$I:$I,"Monthly*")+SUMIFS('BSE - Other Index Options'!$M:$M,'BSE - Other Index Options'!$C:$C,$A200,'BSE - Other Index Options'!$B:$B,D$147,'BSE - Other Index Options'!$I:$I,"Monthly*"))</f>
        <v/>
      </c>
      <c r="E200" s="26">
        <f>IF(SUMIFS('BSE - SENSEX Index Options'!$M:$M,'BSE - SENSEX Index Options'!$C:$C,$A200,'BSE - SENSEX Index Options'!$B:$B,E$147,'BSE - SENSEX Index Options'!$I:$I,"Monthly*")+SUMIFS('BSE - Other Index Options'!$M:$M,'BSE - Other Index Options'!$C:$C,$A200,'BSE - Other Index Options'!$B:$B,E$147,'BSE - Other Index Options'!$I:$I,"Monthly*")=0,"",SUMIFS('BSE - SENSEX Index Options'!$M:$M,'BSE - SENSEX Index Options'!$C:$C,$A200,'BSE - SENSEX Index Options'!$B:$B,E$147,'BSE - SENSEX Index Options'!$I:$I,"Monthly*")+SUMIFS('BSE - Other Index Options'!$M:$M,'BSE - Other Index Options'!$C:$C,$A200,'BSE - Other Index Options'!$B:$B,E$147,'BSE - Other Index Options'!$I:$I,"Monthly*"))</f>
        <v/>
      </c>
      <c r="F200" s="26">
        <f>IF(SUMIFS('BSE - SENSEX Index Options'!$M:$M,'BSE - SENSEX Index Options'!$C:$C,$A200,'BSE - SENSEX Index Options'!$B:$B,F$147,'BSE - SENSEX Index Options'!$I:$I,"Monthly*")+SUMIFS('BSE - Other Index Options'!$M:$M,'BSE - Other Index Options'!$C:$C,$A200,'BSE - Other Index Options'!$B:$B,F$147,'BSE - Other Index Options'!$I:$I,"Monthly*")=0,"",SUMIFS('BSE - SENSEX Index Options'!$M:$M,'BSE - SENSEX Index Options'!$C:$C,$A200,'BSE - SENSEX Index Options'!$B:$B,F$147,'BSE - SENSEX Index Options'!$I:$I,"Monthly*")+SUMIFS('BSE - Other Index Options'!$M:$M,'BSE - Other Index Options'!$C:$C,$A200,'BSE - Other Index Options'!$B:$B,F$147,'BSE - Other Index Options'!$I:$I,"Monthly*"))</f>
        <v/>
      </c>
      <c r="G200" s="26">
        <f>IF(SUMIFS('BSE - SENSEX Index Options'!$M:$M,'BSE - SENSEX Index Options'!$C:$C,$A200,'BSE - SENSEX Index Options'!$B:$B,G$147,'BSE - SENSEX Index Options'!$I:$I,"Monthly*")+SUMIFS('BSE - Other Index Options'!$M:$M,'BSE - Other Index Options'!$C:$C,$A200,'BSE - Other Index Options'!$B:$B,G$147,'BSE - Other Index Options'!$I:$I,"Monthly*")=0,"",SUMIFS('BSE - SENSEX Index Options'!$M:$M,'BSE - SENSEX Index Options'!$C:$C,$A200,'BSE - SENSEX Index Options'!$B:$B,G$147,'BSE - SENSEX Index Options'!$I:$I,"Monthly*")+SUMIFS('BSE - Other Index Options'!$M:$M,'BSE - Other Index Options'!$C:$C,$A200,'BSE - Other Index Options'!$B:$B,G$147,'BSE - Other Index Options'!$I:$I,"Monthly*"))</f>
        <v/>
      </c>
      <c r="H200" s="26">
        <f>IF(SUM(B200:G200)=0,"",SUM(B200:G200))</f>
        <v/>
      </c>
    </row>
    <row r="201">
      <c r="A201" t="inlineStr">
        <is>
          <t>Week5-Jul-2026</t>
        </is>
      </c>
      <c r="B201" s="26">
        <f>IF(SUMIFS('BSE - SENSEX Index Options'!$M:$M,'BSE - SENSEX Index Options'!$C:$C,$A201,'BSE - SENSEX Index Options'!$B:$B,B$147,'BSE - SENSEX Index Options'!$I:$I,"Monthly*")+SUMIFS('BSE - Other Index Options'!$M:$M,'BSE - Other Index Options'!$C:$C,$A201,'BSE - Other Index Options'!$B:$B,B$147,'BSE - Other Index Options'!$I:$I,"Monthly*")=0,"",SUMIFS('BSE - SENSEX Index Options'!$M:$M,'BSE - SENSEX Index Options'!$C:$C,$A201,'BSE - SENSEX Index Options'!$B:$B,B$147,'BSE - SENSEX Index Options'!$I:$I,"Monthly*")+SUMIFS('BSE - Other Index Options'!$M:$M,'BSE - Other Index Options'!$C:$C,$A201,'BSE - Other Index Options'!$B:$B,B$147,'BSE - Other Index Options'!$I:$I,"Monthly*"))</f>
        <v/>
      </c>
      <c r="C201" s="26">
        <f>IF(SUMIFS('BSE - SENSEX Index Options'!$M:$M,'BSE - SENSEX Index Options'!$C:$C,$A201,'BSE - SENSEX Index Options'!$B:$B,C$147,'BSE - SENSEX Index Options'!$I:$I,"Monthly*")+SUMIFS('BSE - Other Index Options'!$M:$M,'BSE - Other Index Options'!$C:$C,$A201,'BSE - Other Index Options'!$B:$B,C$147,'BSE - Other Index Options'!$I:$I,"Monthly*")=0,"",SUMIFS('BSE - SENSEX Index Options'!$M:$M,'BSE - SENSEX Index Options'!$C:$C,$A201,'BSE - SENSEX Index Options'!$B:$B,C$147,'BSE - SENSEX Index Options'!$I:$I,"Monthly*")+SUMIFS('BSE - Other Index Options'!$M:$M,'BSE - Other Index Options'!$C:$C,$A201,'BSE - Other Index Options'!$B:$B,C$147,'BSE - Other Index Options'!$I:$I,"Monthly*"))</f>
        <v/>
      </c>
      <c r="D201" s="26">
        <f>IF(SUMIFS('BSE - SENSEX Index Options'!$M:$M,'BSE - SENSEX Index Options'!$C:$C,$A201,'BSE - SENSEX Index Options'!$B:$B,D$147,'BSE - SENSEX Index Options'!$I:$I,"Monthly*")+SUMIFS('BSE - Other Index Options'!$M:$M,'BSE - Other Index Options'!$C:$C,$A201,'BSE - Other Index Options'!$B:$B,D$147,'BSE - Other Index Options'!$I:$I,"Monthly*")=0,"",SUMIFS('BSE - SENSEX Index Options'!$M:$M,'BSE - SENSEX Index Options'!$C:$C,$A201,'BSE - SENSEX Index Options'!$B:$B,D$147,'BSE - SENSEX Index Options'!$I:$I,"Monthly*")+SUMIFS('BSE - Other Index Options'!$M:$M,'BSE - Other Index Options'!$C:$C,$A201,'BSE - Other Index Options'!$B:$B,D$147,'BSE - Other Index Options'!$I:$I,"Monthly*"))</f>
        <v/>
      </c>
      <c r="E201" s="26">
        <f>IF(SUMIFS('BSE - SENSEX Index Options'!$M:$M,'BSE - SENSEX Index Options'!$C:$C,$A201,'BSE - SENSEX Index Options'!$B:$B,E$147,'BSE - SENSEX Index Options'!$I:$I,"Monthly*")+SUMIFS('BSE - Other Index Options'!$M:$M,'BSE - Other Index Options'!$C:$C,$A201,'BSE - Other Index Options'!$B:$B,E$147,'BSE - Other Index Options'!$I:$I,"Monthly*")=0,"",SUMIFS('BSE - SENSEX Index Options'!$M:$M,'BSE - SENSEX Index Options'!$C:$C,$A201,'BSE - SENSEX Index Options'!$B:$B,E$147,'BSE - SENSEX Index Options'!$I:$I,"Monthly*")+SUMIFS('BSE - Other Index Options'!$M:$M,'BSE - Other Index Options'!$C:$C,$A201,'BSE - Other Index Options'!$B:$B,E$147,'BSE - Other Index Options'!$I:$I,"Monthly*"))</f>
        <v/>
      </c>
      <c r="F201" s="26">
        <f>IF(SUMIFS('BSE - SENSEX Index Options'!$M:$M,'BSE - SENSEX Index Options'!$C:$C,$A201,'BSE - SENSEX Index Options'!$B:$B,F$147,'BSE - SENSEX Index Options'!$I:$I,"Monthly*")+SUMIFS('BSE - Other Index Options'!$M:$M,'BSE - Other Index Options'!$C:$C,$A201,'BSE - Other Index Options'!$B:$B,F$147,'BSE - Other Index Options'!$I:$I,"Monthly*")=0,"",SUMIFS('BSE - SENSEX Index Options'!$M:$M,'BSE - SENSEX Index Options'!$C:$C,$A201,'BSE - SENSEX Index Options'!$B:$B,F$147,'BSE - SENSEX Index Options'!$I:$I,"Monthly*")+SUMIFS('BSE - Other Index Options'!$M:$M,'BSE - Other Index Options'!$C:$C,$A201,'BSE - Other Index Options'!$B:$B,F$147,'BSE - Other Index Options'!$I:$I,"Monthly*"))</f>
        <v/>
      </c>
      <c r="G201" s="26">
        <f>IF(SUMIFS('BSE - SENSEX Index Options'!$M:$M,'BSE - SENSEX Index Options'!$C:$C,$A201,'BSE - SENSEX Index Options'!$B:$B,G$147,'BSE - SENSEX Index Options'!$I:$I,"Monthly*")+SUMIFS('BSE - Other Index Options'!$M:$M,'BSE - Other Index Options'!$C:$C,$A201,'BSE - Other Index Options'!$B:$B,G$147,'BSE - Other Index Options'!$I:$I,"Monthly*")=0,"",SUMIFS('BSE - SENSEX Index Options'!$M:$M,'BSE - SENSEX Index Options'!$C:$C,$A201,'BSE - SENSEX Index Options'!$B:$B,G$147,'BSE - SENSEX Index Options'!$I:$I,"Monthly*")+SUMIFS('BSE - Other Index Options'!$M:$M,'BSE - Other Index Options'!$C:$C,$A201,'BSE - Other Index Options'!$B:$B,G$147,'BSE - Other Index Options'!$I:$I,"Monthly*"))</f>
        <v/>
      </c>
      <c r="H201" s="26">
        <f>IF(SUM(B201:G201)=0,"",SUM(B201:G201))</f>
        <v/>
      </c>
    </row>
    <row r="202">
      <c r="A202" t="inlineStr">
        <is>
          <t>Week1-Aug-2026</t>
        </is>
      </c>
      <c r="B202" s="26">
        <f>IF(SUMIFS('BSE - SENSEX Index Options'!$M:$M,'BSE - SENSEX Index Options'!$C:$C,$A202,'BSE - SENSEX Index Options'!$B:$B,B$147,'BSE - SENSEX Index Options'!$I:$I,"Monthly*")+SUMIFS('BSE - Other Index Options'!$M:$M,'BSE - Other Index Options'!$C:$C,$A202,'BSE - Other Index Options'!$B:$B,B$147,'BSE - Other Index Options'!$I:$I,"Monthly*")=0,"",SUMIFS('BSE - SENSEX Index Options'!$M:$M,'BSE - SENSEX Index Options'!$C:$C,$A202,'BSE - SENSEX Index Options'!$B:$B,B$147,'BSE - SENSEX Index Options'!$I:$I,"Monthly*")+SUMIFS('BSE - Other Index Options'!$M:$M,'BSE - Other Index Options'!$C:$C,$A202,'BSE - Other Index Options'!$B:$B,B$147,'BSE - Other Index Options'!$I:$I,"Monthly*"))</f>
        <v/>
      </c>
      <c r="C202" s="26">
        <f>IF(SUMIFS('BSE - SENSEX Index Options'!$M:$M,'BSE - SENSEX Index Options'!$C:$C,$A202,'BSE - SENSEX Index Options'!$B:$B,C$147,'BSE - SENSEX Index Options'!$I:$I,"Monthly*")+SUMIFS('BSE - Other Index Options'!$M:$M,'BSE - Other Index Options'!$C:$C,$A202,'BSE - Other Index Options'!$B:$B,C$147,'BSE - Other Index Options'!$I:$I,"Monthly*")=0,"",SUMIFS('BSE - SENSEX Index Options'!$M:$M,'BSE - SENSEX Index Options'!$C:$C,$A202,'BSE - SENSEX Index Options'!$B:$B,C$147,'BSE - SENSEX Index Options'!$I:$I,"Monthly*")+SUMIFS('BSE - Other Index Options'!$M:$M,'BSE - Other Index Options'!$C:$C,$A202,'BSE - Other Index Options'!$B:$B,C$147,'BSE - Other Index Options'!$I:$I,"Monthly*"))</f>
        <v/>
      </c>
      <c r="D202" s="26">
        <f>IF(SUMIFS('BSE - SENSEX Index Options'!$M:$M,'BSE - SENSEX Index Options'!$C:$C,$A202,'BSE - SENSEX Index Options'!$B:$B,D$147,'BSE - SENSEX Index Options'!$I:$I,"Monthly*")+SUMIFS('BSE - Other Index Options'!$M:$M,'BSE - Other Index Options'!$C:$C,$A202,'BSE - Other Index Options'!$B:$B,D$147,'BSE - Other Index Options'!$I:$I,"Monthly*")=0,"",SUMIFS('BSE - SENSEX Index Options'!$M:$M,'BSE - SENSEX Index Options'!$C:$C,$A202,'BSE - SENSEX Index Options'!$B:$B,D$147,'BSE - SENSEX Index Options'!$I:$I,"Monthly*")+SUMIFS('BSE - Other Index Options'!$M:$M,'BSE - Other Index Options'!$C:$C,$A202,'BSE - Other Index Options'!$B:$B,D$147,'BSE - Other Index Options'!$I:$I,"Monthly*"))</f>
        <v/>
      </c>
      <c r="E202" s="26">
        <f>IF(SUMIFS('BSE - SENSEX Index Options'!$M:$M,'BSE - SENSEX Index Options'!$C:$C,$A202,'BSE - SENSEX Index Options'!$B:$B,E$147,'BSE - SENSEX Index Options'!$I:$I,"Monthly*")+SUMIFS('BSE - Other Index Options'!$M:$M,'BSE - Other Index Options'!$C:$C,$A202,'BSE - Other Index Options'!$B:$B,E$147,'BSE - Other Index Options'!$I:$I,"Monthly*")=0,"",SUMIFS('BSE - SENSEX Index Options'!$M:$M,'BSE - SENSEX Index Options'!$C:$C,$A202,'BSE - SENSEX Index Options'!$B:$B,E$147,'BSE - SENSEX Index Options'!$I:$I,"Monthly*")+SUMIFS('BSE - Other Index Options'!$M:$M,'BSE - Other Index Options'!$C:$C,$A202,'BSE - Other Index Options'!$B:$B,E$147,'BSE - Other Index Options'!$I:$I,"Monthly*"))</f>
        <v/>
      </c>
      <c r="F202" s="26">
        <f>IF(SUMIFS('BSE - SENSEX Index Options'!$M:$M,'BSE - SENSEX Index Options'!$C:$C,$A202,'BSE - SENSEX Index Options'!$B:$B,F$147,'BSE - SENSEX Index Options'!$I:$I,"Monthly*")+SUMIFS('BSE - Other Index Options'!$M:$M,'BSE - Other Index Options'!$C:$C,$A202,'BSE - Other Index Options'!$B:$B,F$147,'BSE - Other Index Options'!$I:$I,"Monthly*")=0,"",SUMIFS('BSE - SENSEX Index Options'!$M:$M,'BSE - SENSEX Index Options'!$C:$C,$A202,'BSE - SENSEX Index Options'!$B:$B,F$147,'BSE - SENSEX Index Options'!$I:$I,"Monthly*")+SUMIFS('BSE - Other Index Options'!$M:$M,'BSE - Other Index Options'!$C:$C,$A202,'BSE - Other Index Options'!$B:$B,F$147,'BSE - Other Index Options'!$I:$I,"Monthly*"))</f>
        <v/>
      </c>
      <c r="G202" s="26">
        <f>IF(SUMIFS('BSE - SENSEX Index Options'!$M:$M,'BSE - SENSEX Index Options'!$C:$C,$A202,'BSE - SENSEX Index Options'!$B:$B,G$147,'BSE - SENSEX Index Options'!$I:$I,"Monthly*")+SUMIFS('BSE - Other Index Options'!$M:$M,'BSE - Other Index Options'!$C:$C,$A202,'BSE - Other Index Options'!$B:$B,G$147,'BSE - Other Index Options'!$I:$I,"Monthly*")=0,"",SUMIFS('BSE - SENSEX Index Options'!$M:$M,'BSE - SENSEX Index Options'!$C:$C,$A202,'BSE - SENSEX Index Options'!$B:$B,G$147,'BSE - SENSEX Index Options'!$I:$I,"Monthly*")+SUMIFS('BSE - Other Index Options'!$M:$M,'BSE - Other Index Options'!$C:$C,$A202,'BSE - Other Index Options'!$B:$B,G$147,'BSE - Other Index Options'!$I:$I,"Monthly*"))</f>
        <v/>
      </c>
      <c r="H202" s="26">
        <f>IF(SUM(B202:G202)=0,"",SUM(B202:G202))</f>
        <v/>
      </c>
    </row>
    <row r="203" hidden="1" outlineLevel="1">
      <c r="A203" t="inlineStr">
        <is>
          <t>Week2-Aug-2026</t>
        </is>
      </c>
      <c r="B203" s="26">
        <f>IF(SUMIFS('BSE - SENSEX Index Options'!$M:$M,'BSE - SENSEX Index Options'!$C:$C,$A203,'BSE - SENSEX Index Options'!$B:$B,B$147,'BSE - SENSEX Index Options'!$I:$I,"Monthly*")+SUMIFS('BSE - Other Index Options'!$M:$M,'BSE - Other Index Options'!$C:$C,$A203,'BSE - Other Index Options'!$B:$B,B$147,'BSE - Other Index Options'!$I:$I,"Monthly*")=0,"",SUMIFS('BSE - SENSEX Index Options'!$M:$M,'BSE - SENSEX Index Options'!$C:$C,$A203,'BSE - SENSEX Index Options'!$B:$B,B$147,'BSE - SENSEX Index Options'!$I:$I,"Monthly*")+SUMIFS('BSE - Other Index Options'!$M:$M,'BSE - Other Index Options'!$C:$C,$A203,'BSE - Other Index Options'!$B:$B,B$147,'BSE - Other Index Options'!$I:$I,"Monthly*"))</f>
        <v/>
      </c>
      <c r="C203" s="26">
        <f>IF(SUMIFS('BSE - SENSEX Index Options'!$M:$M,'BSE - SENSEX Index Options'!$C:$C,$A203,'BSE - SENSEX Index Options'!$B:$B,C$147,'BSE - SENSEX Index Options'!$I:$I,"Monthly*")+SUMIFS('BSE - Other Index Options'!$M:$M,'BSE - Other Index Options'!$C:$C,$A203,'BSE - Other Index Options'!$B:$B,C$147,'BSE - Other Index Options'!$I:$I,"Monthly*")=0,"",SUMIFS('BSE - SENSEX Index Options'!$M:$M,'BSE - SENSEX Index Options'!$C:$C,$A203,'BSE - SENSEX Index Options'!$B:$B,C$147,'BSE - SENSEX Index Options'!$I:$I,"Monthly*")+SUMIFS('BSE - Other Index Options'!$M:$M,'BSE - Other Index Options'!$C:$C,$A203,'BSE - Other Index Options'!$B:$B,C$147,'BSE - Other Index Options'!$I:$I,"Monthly*"))</f>
        <v/>
      </c>
      <c r="D203" s="26">
        <f>IF(SUMIFS('BSE - SENSEX Index Options'!$M:$M,'BSE - SENSEX Index Options'!$C:$C,$A203,'BSE - SENSEX Index Options'!$B:$B,D$147,'BSE - SENSEX Index Options'!$I:$I,"Monthly*")+SUMIFS('BSE - Other Index Options'!$M:$M,'BSE - Other Index Options'!$C:$C,$A203,'BSE - Other Index Options'!$B:$B,D$147,'BSE - Other Index Options'!$I:$I,"Monthly*")=0,"",SUMIFS('BSE - SENSEX Index Options'!$M:$M,'BSE - SENSEX Index Options'!$C:$C,$A203,'BSE - SENSEX Index Options'!$B:$B,D$147,'BSE - SENSEX Index Options'!$I:$I,"Monthly*")+SUMIFS('BSE - Other Index Options'!$M:$M,'BSE - Other Index Options'!$C:$C,$A203,'BSE - Other Index Options'!$B:$B,D$147,'BSE - Other Index Options'!$I:$I,"Monthly*"))</f>
        <v/>
      </c>
      <c r="E203" s="26">
        <f>IF(SUMIFS('BSE - SENSEX Index Options'!$M:$M,'BSE - SENSEX Index Options'!$C:$C,$A203,'BSE - SENSEX Index Options'!$B:$B,E$147,'BSE - SENSEX Index Options'!$I:$I,"Monthly*")+SUMIFS('BSE - Other Index Options'!$M:$M,'BSE - Other Index Options'!$C:$C,$A203,'BSE - Other Index Options'!$B:$B,E$147,'BSE - Other Index Options'!$I:$I,"Monthly*")=0,"",SUMIFS('BSE - SENSEX Index Options'!$M:$M,'BSE - SENSEX Index Options'!$C:$C,$A203,'BSE - SENSEX Index Options'!$B:$B,E$147,'BSE - SENSEX Index Options'!$I:$I,"Monthly*")+SUMIFS('BSE - Other Index Options'!$M:$M,'BSE - Other Index Options'!$C:$C,$A203,'BSE - Other Index Options'!$B:$B,E$147,'BSE - Other Index Options'!$I:$I,"Monthly*"))</f>
        <v/>
      </c>
      <c r="F203" s="26">
        <f>IF(SUMIFS('BSE - SENSEX Index Options'!$M:$M,'BSE - SENSEX Index Options'!$C:$C,$A203,'BSE - SENSEX Index Options'!$B:$B,F$147,'BSE - SENSEX Index Options'!$I:$I,"Monthly*")+SUMIFS('BSE - Other Index Options'!$M:$M,'BSE - Other Index Options'!$C:$C,$A203,'BSE - Other Index Options'!$B:$B,F$147,'BSE - Other Index Options'!$I:$I,"Monthly*")=0,"",SUMIFS('BSE - SENSEX Index Options'!$M:$M,'BSE - SENSEX Index Options'!$C:$C,$A203,'BSE - SENSEX Index Options'!$B:$B,F$147,'BSE - SENSEX Index Options'!$I:$I,"Monthly*")+SUMIFS('BSE - Other Index Options'!$M:$M,'BSE - Other Index Options'!$C:$C,$A203,'BSE - Other Index Options'!$B:$B,F$147,'BSE - Other Index Options'!$I:$I,"Monthly*"))</f>
        <v/>
      </c>
      <c r="G203" s="26">
        <f>IF(SUMIFS('BSE - SENSEX Index Options'!$M:$M,'BSE - SENSEX Index Options'!$C:$C,$A203,'BSE - SENSEX Index Options'!$B:$B,G$147,'BSE - SENSEX Index Options'!$I:$I,"Monthly*")+SUMIFS('BSE - Other Index Options'!$M:$M,'BSE - Other Index Options'!$C:$C,$A203,'BSE - Other Index Options'!$B:$B,G$147,'BSE - Other Index Options'!$I:$I,"Monthly*")=0,"",SUMIFS('BSE - SENSEX Index Options'!$M:$M,'BSE - SENSEX Index Options'!$C:$C,$A203,'BSE - SENSEX Index Options'!$B:$B,G$147,'BSE - SENSEX Index Options'!$I:$I,"Monthly*")+SUMIFS('BSE - Other Index Options'!$M:$M,'BSE - Other Index Options'!$C:$C,$A203,'BSE - Other Index Options'!$B:$B,G$147,'BSE - Other Index Options'!$I:$I,"Monthly*"))</f>
        <v/>
      </c>
      <c r="H203" s="26">
        <f>IF(SUM(B203:G203)=0,"",SUM(B203:G203))</f>
        <v/>
      </c>
    </row>
    <row r="204" hidden="1" outlineLevel="1">
      <c r="A204" t="inlineStr">
        <is>
          <t>Week3-Aug-2026</t>
        </is>
      </c>
      <c r="B204" s="26">
        <f>IF(SUMIFS('BSE - SENSEX Index Options'!$M:$M,'BSE - SENSEX Index Options'!$C:$C,$A204,'BSE - SENSEX Index Options'!$B:$B,B$147,'BSE - SENSEX Index Options'!$I:$I,"Monthly*")+SUMIFS('BSE - Other Index Options'!$M:$M,'BSE - Other Index Options'!$C:$C,$A204,'BSE - Other Index Options'!$B:$B,B$147,'BSE - Other Index Options'!$I:$I,"Monthly*")=0,"",SUMIFS('BSE - SENSEX Index Options'!$M:$M,'BSE - SENSEX Index Options'!$C:$C,$A204,'BSE - SENSEX Index Options'!$B:$B,B$147,'BSE - SENSEX Index Options'!$I:$I,"Monthly*")+SUMIFS('BSE - Other Index Options'!$M:$M,'BSE - Other Index Options'!$C:$C,$A204,'BSE - Other Index Options'!$B:$B,B$147,'BSE - Other Index Options'!$I:$I,"Monthly*"))</f>
        <v/>
      </c>
      <c r="C204" s="26">
        <f>IF(SUMIFS('BSE - SENSEX Index Options'!$M:$M,'BSE - SENSEX Index Options'!$C:$C,$A204,'BSE - SENSEX Index Options'!$B:$B,C$147,'BSE - SENSEX Index Options'!$I:$I,"Monthly*")+SUMIFS('BSE - Other Index Options'!$M:$M,'BSE - Other Index Options'!$C:$C,$A204,'BSE - Other Index Options'!$B:$B,C$147,'BSE - Other Index Options'!$I:$I,"Monthly*")=0,"",SUMIFS('BSE - SENSEX Index Options'!$M:$M,'BSE - SENSEX Index Options'!$C:$C,$A204,'BSE - SENSEX Index Options'!$B:$B,C$147,'BSE - SENSEX Index Options'!$I:$I,"Monthly*")+SUMIFS('BSE - Other Index Options'!$M:$M,'BSE - Other Index Options'!$C:$C,$A204,'BSE - Other Index Options'!$B:$B,C$147,'BSE - Other Index Options'!$I:$I,"Monthly*"))</f>
        <v/>
      </c>
      <c r="D204" s="26">
        <f>IF(SUMIFS('BSE - SENSEX Index Options'!$M:$M,'BSE - SENSEX Index Options'!$C:$C,$A204,'BSE - SENSEX Index Options'!$B:$B,D$147,'BSE - SENSEX Index Options'!$I:$I,"Monthly*")+SUMIFS('BSE - Other Index Options'!$M:$M,'BSE - Other Index Options'!$C:$C,$A204,'BSE - Other Index Options'!$B:$B,D$147,'BSE - Other Index Options'!$I:$I,"Monthly*")=0,"",SUMIFS('BSE - SENSEX Index Options'!$M:$M,'BSE - SENSEX Index Options'!$C:$C,$A204,'BSE - SENSEX Index Options'!$B:$B,D$147,'BSE - SENSEX Index Options'!$I:$I,"Monthly*")+SUMIFS('BSE - Other Index Options'!$M:$M,'BSE - Other Index Options'!$C:$C,$A204,'BSE - Other Index Options'!$B:$B,D$147,'BSE - Other Index Options'!$I:$I,"Monthly*"))</f>
        <v/>
      </c>
      <c r="E204" s="26">
        <f>IF(SUMIFS('BSE - SENSEX Index Options'!$M:$M,'BSE - SENSEX Index Options'!$C:$C,$A204,'BSE - SENSEX Index Options'!$B:$B,E$147,'BSE - SENSEX Index Options'!$I:$I,"Monthly*")+SUMIFS('BSE - Other Index Options'!$M:$M,'BSE - Other Index Options'!$C:$C,$A204,'BSE - Other Index Options'!$B:$B,E$147,'BSE - Other Index Options'!$I:$I,"Monthly*")=0,"",SUMIFS('BSE - SENSEX Index Options'!$M:$M,'BSE - SENSEX Index Options'!$C:$C,$A204,'BSE - SENSEX Index Options'!$B:$B,E$147,'BSE - SENSEX Index Options'!$I:$I,"Monthly*")+SUMIFS('BSE - Other Index Options'!$M:$M,'BSE - Other Index Options'!$C:$C,$A204,'BSE - Other Index Options'!$B:$B,E$147,'BSE - Other Index Options'!$I:$I,"Monthly*"))</f>
        <v/>
      </c>
      <c r="F204" s="26">
        <f>IF(SUMIFS('BSE - SENSEX Index Options'!$M:$M,'BSE - SENSEX Index Options'!$C:$C,$A204,'BSE - SENSEX Index Options'!$B:$B,F$147,'BSE - SENSEX Index Options'!$I:$I,"Monthly*")+SUMIFS('BSE - Other Index Options'!$M:$M,'BSE - Other Index Options'!$C:$C,$A204,'BSE - Other Index Options'!$B:$B,F$147,'BSE - Other Index Options'!$I:$I,"Monthly*")=0,"",SUMIFS('BSE - SENSEX Index Options'!$M:$M,'BSE - SENSEX Index Options'!$C:$C,$A204,'BSE - SENSEX Index Options'!$B:$B,F$147,'BSE - SENSEX Index Options'!$I:$I,"Monthly*")+SUMIFS('BSE - Other Index Options'!$M:$M,'BSE - Other Index Options'!$C:$C,$A204,'BSE - Other Index Options'!$B:$B,F$147,'BSE - Other Index Options'!$I:$I,"Monthly*"))</f>
        <v/>
      </c>
      <c r="G204" s="26">
        <f>IF(SUMIFS('BSE - SENSEX Index Options'!$M:$M,'BSE - SENSEX Index Options'!$C:$C,$A204,'BSE - SENSEX Index Options'!$B:$B,G$147,'BSE - SENSEX Index Options'!$I:$I,"Monthly*")+SUMIFS('BSE - Other Index Options'!$M:$M,'BSE - Other Index Options'!$C:$C,$A204,'BSE - Other Index Options'!$B:$B,G$147,'BSE - Other Index Options'!$I:$I,"Monthly*")=0,"",SUMIFS('BSE - SENSEX Index Options'!$M:$M,'BSE - SENSEX Index Options'!$C:$C,$A204,'BSE - SENSEX Index Options'!$B:$B,G$147,'BSE - SENSEX Index Options'!$I:$I,"Monthly*")+SUMIFS('BSE - Other Index Options'!$M:$M,'BSE - Other Index Options'!$C:$C,$A204,'BSE - Other Index Options'!$B:$B,G$147,'BSE - Other Index Options'!$I:$I,"Monthly*"))</f>
        <v/>
      </c>
      <c r="H204" s="26">
        <f>IF(SUM(B204:G204)=0,"",SUM(B204:G204))</f>
        <v/>
      </c>
    </row>
    <row r="205" hidden="1" outlineLevel="1">
      <c r="A205" t="inlineStr">
        <is>
          <t>Week4-Aug-2026</t>
        </is>
      </c>
      <c r="B205" s="26">
        <f>IF(SUMIFS('BSE - SENSEX Index Options'!$M:$M,'BSE - SENSEX Index Options'!$C:$C,$A205,'BSE - SENSEX Index Options'!$B:$B,B$147,'BSE - SENSEX Index Options'!$I:$I,"Monthly*")+SUMIFS('BSE - Other Index Options'!$M:$M,'BSE - Other Index Options'!$C:$C,$A205,'BSE - Other Index Options'!$B:$B,B$147,'BSE - Other Index Options'!$I:$I,"Monthly*")=0,"",SUMIFS('BSE - SENSEX Index Options'!$M:$M,'BSE - SENSEX Index Options'!$C:$C,$A205,'BSE - SENSEX Index Options'!$B:$B,B$147,'BSE - SENSEX Index Options'!$I:$I,"Monthly*")+SUMIFS('BSE - Other Index Options'!$M:$M,'BSE - Other Index Options'!$C:$C,$A205,'BSE - Other Index Options'!$B:$B,B$147,'BSE - Other Index Options'!$I:$I,"Monthly*"))</f>
        <v/>
      </c>
      <c r="C205" s="26">
        <f>IF(SUMIFS('BSE - SENSEX Index Options'!$M:$M,'BSE - SENSEX Index Options'!$C:$C,$A205,'BSE - SENSEX Index Options'!$B:$B,C$147,'BSE - SENSEX Index Options'!$I:$I,"Monthly*")+SUMIFS('BSE - Other Index Options'!$M:$M,'BSE - Other Index Options'!$C:$C,$A205,'BSE - Other Index Options'!$B:$B,C$147,'BSE - Other Index Options'!$I:$I,"Monthly*")=0,"",SUMIFS('BSE - SENSEX Index Options'!$M:$M,'BSE - SENSEX Index Options'!$C:$C,$A205,'BSE - SENSEX Index Options'!$B:$B,C$147,'BSE - SENSEX Index Options'!$I:$I,"Monthly*")+SUMIFS('BSE - Other Index Options'!$M:$M,'BSE - Other Index Options'!$C:$C,$A205,'BSE - Other Index Options'!$B:$B,C$147,'BSE - Other Index Options'!$I:$I,"Monthly*"))</f>
        <v/>
      </c>
      <c r="D205" s="26">
        <f>IF(SUMIFS('BSE - SENSEX Index Options'!$M:$M,'BSE - SENSEX Index Options'!$C:$C,$A205,'BSE - SENSEX Index Options'!$B:$B,D$147,'BSE - SENSEX Index Options'!$I:$I,"Monthly*")+SUMIFS('BSE - Other Index Options'!$M:$M,'BSE - Other Index Options'!$C:$C,$A205,'BSE - Other Index Options'!$B:$B,D$147,'BSE - Other Index Options'!$I:$I,"Monthly*")=0,"",SUMIFS('BSE - SENSEX Index Options'!$M:$M,'BSE - SENSEX Index Options'!$C:$C,$A205,'BSE - SENSEX Index Options'!$B:$B,D$147,'BSE - SENSEX Index Options'!$I:$I,"Monthly*")+SUMIFS('BSE - Other Index Options'!$M:$M,'BSE - Other Index Options'!$C:$C,$A205,'BSE - Other Index Options'!$B:$B,D$147,'BSE - Other Index Options'!$I:$I,"Monthly*"))</f>
        <v/>
      </c>
      <c r="E205" s="26">
        <f>IF(SUMIFS('BSE - SENSEX Index Options'!$M:$M,'BSE - SENSEX Index Options'!$C:$C,$A205,'BSE - SENSEX Index Options'!$B:$B,E$147,'BSE - SENSEX Index Options'!$I:$I,"Monthly*")+SUMIFS('BSE - Other Index Options'!$M:$M,'BSE - Other Index Options'!$C:$C,$A205,'BSE - Other Index Options'!$B:$B,E$147,'BSE - Other Index Options'!$I:$I,"Monthly*")=0,"",SUMIFS('BSE - SENSEX Index Options'!$M:$M,'BSE - SENSEX Index Options'!$C:$C,$A205,'BSE - SENSEX Index Options'!$B:$B,E$147,'BSE - SENSEX Index Options'!$I:$I,"Monthly*")+SUMIFS('BSE - Other Index Options'!$M:$M,'BSE - Other Index Options'!$C:$C,$A205,'BSE - Other Index Options'!$B:$B,E$147,'BSE - Other Index Options'!$I:$I,"Monthly*"))</f>
        <v/>
      </c>
      <c r="F205" s="26">
        <f>IF(SUMIFS('BSE - SENSEX Index Options'!$M:$M,'BSE - SENSEX Index Options'!$C:$C,$A205,'BSE - SENSEX Index Options'!$B:$B,F$147,'BSE - SENSEX Index Options'!$I:$I,"Monthly*")+SUMIFS('BSE - Other Index Options'!$M:$M,'BSE - Other Index Options'!$C:$C,$A205,'BSE - Other Index Options'!$B:$B,F$147,'BSE - Other Index Options'!$I:$I,"Monthly*")=0,"",SUMIFS('BSE - SENSEX Index Options'!$M:$M,'BSE - SENSEX Index Options'!$C:$C,$A205,'BSE - SENSEX Index Options'!$B:$B,F$147,'BSE - SENSEX Index Options'!$I:$I,"Monthly*")+SUMIFS('BSE - Other Index Options'!$M:$M,'BSE - Other Index Options'!$C:$C,$A205,'BSE - Other Index Options'!$B:$B,F$147,'BSE - Other Index Options'!$I:$I,"Monthly*"))</f>
        <v/>
      </c>
      <c r="G205" s="26">
        <f>IF(SUMIFS('BSE - SENSEX Index Options'!$M:$M,'BSE - SENSEX Index Options'!$C:$C,$A205,'BSE - SENSEX Index Options'!$B:$B,G$147,'BSE - SENSEX Index Options'!$I:$I,"Monthly*")+SUMIFS('BSE - Other Index Options'!$M:$M,'BSE - Other Index Options'!$C:$C,$A205,'BSE - Other Index Options'!$B:$B,G$147,'BSE - Other Index Options'!$I:$I,"Monthly*")=0,"",SUMIFS('BSE - SENSEX Index Options'!$M:$M,'BSE - SENSEX Index Options'!$C:$C,$A205,'BSE - SENSEX Index Options'!$B:$B,G$147,'BSE - SENSEX Index Options'!$I:$I,"Monthly*")+SUMIFS('BSE - Other Index Options'!$M:$M,'BSE - Other Index Options'!$C:$C,$A205,'BSE - Other Index Options'!$B:$B,G$147,'BSE - Other Index Options'!$I:$I,"Monthly*"))</f>
        <v/>
      </c>
      <c r="H205" s="26">
        <f>IF(SUM(B205:G205)=0,"",SUM(B205:G205))</f>
        <v/>
      </c>
    </row>
    <row r="206" hidden="1" outlineLevel="1">
      <c r="A206" t="inlineStr">
        <is>
          <t>Week5-Aug-2026</t>
        </is>
      </c>
      <c r="B206" s="26">
        <f>IF(SUMIFS('BSE - SENSEX Index Options'!$M:$M,'BSE - SENSEX Index Options'!$C:$C,$A206,'BSE - SENSEX Index Options'!$B:$B,B$147,'BSE - SENSEX Index Options'!$I:$I,"Monthly*")+SUMIFS('BSE - Other Index Options'!$M:$M,'BSE - Other Index Options'!$C:$C,$A206,'BSE - Other Index Options'!$B:$B,B$147,'BSE - Other Index Options'!$I:$I,"Monthly*")=0,"",SUMIFS('BSE - SENSEX Index Options'!$M:$M,'BSE - SENSEX Index Options'!$C:$C,$A206,'BSE - SENSEX Index Options'!$B:$B,B$147,'BSE - SENSEX Index Options'!$I:$I,"Monthly*")+SUMIFS('BSE - Other Index Options'!$M:$M,'BSE - Other Index Options'!$C:$C,$A206,'BSE - Other Index Options'!$B:$B,B$147,'BSE - Other Index Options'!$I:$I,"Monthly*"))</f>
        <v/>
      </c>
      <c r="C206" s="26">
        <f>IF(SUMIFS('BSE - SENSEX Index Options'!$M:$M,'BSE - SENSEX Index Options'!$C:$C,$A206,'BSE - SENSEX Index Options'!$B:$B,C$147,'BSE - SENSEX Index Options'!$I:$I,"Monthly*")+SUMIFS('BSE - Other Index Options'!$M:$M,'BSE - Other Index Options'!$C:$C,$A206,'BSE - Other Index Options'!$B:$B,C$147,'BSE - Other Index Options'!$I:$I,"Monthly*")=0,"",SUMIFS('BSE - SENSEX Index Options'!$M:$M,'BSE - SENSEX Index Options'!$C:$C,$A206,'BSE - SENSEX Index Options'!$B:$B,C$147,'BSE - SENSEX Index Options'!$I:$I,"Monthly*")+SUMIFS('BSE - Other Index Options'!$M:$M,'BSE - Other Index Options'!$C:$C,$A206,'BSE - Other Index Options'!$B:$B,C$147,'BSE - Other Index Options'!$I:$I,"Monthly*"))</f>
        <v/>
      </c>
      <c r="D206" s="26">
        <f>IF(SUMIFS('BSE - SENSEX Index Options'!$M:$M,'BSE - SENSEX Index Options'!$C:$C,$A206,'BSE - SENSEX Index Options'!$B:$B,D$147,'BSE - SENSEX Index Options'!$I:$I,"Monthly*")+SUMIFS('BSE - Other Index Options'!$M:$M,'BSE - Other Index Options'!$C:$C,$A206,'BSE - Other Index Options'!$B:$B,D$147,'BSE - Other Index Options'!$I:$I,"Monthly*")=0,"",SUMIFS('BSE - SENSEX Index Options'!$M:$M,'BSE - SENSEX Index Options'!$C:$C,$A206,'BSE - SENSEX Index Options'!$B:$B,D$147,'BSE - SENSEX Index Options'!$I:$I,"Monthly*")+SUMIFS('BSE - Other Index Options'!$M:$M,'BSE - Other Index Options'!$C:$C,$A206,'BSE - Other Index Options'!$B:$B,D$147,'BSE - Other Index Options'!$I:$I,"Monthly*"))</f>
        <v/>
      </c>
      <c r="E206" s="26">
        <f>IF(SUMIFS('BSE - SENSEX Index Options'!$M:$M,'BSE - SENSEX Index Options'!$C:$C,$A206,'BSE - SENSEX Index Options'!$B:$B,E$147,'BSE - SENSEX Index Options'!$I:$I,"Monthly*")+SUMIFS('BSE - Other Index Options'!$M:$M,'BSE - Other Index Options'!$C:$C,$A206,'BSE - Other Index Options'!$B:$B,E$147,'BSE - Other Index Options'!$I:$I,"Monthly*")=0,"",SUMIFS('BSE - SENSEX Index Options'!$M:$M,'BSE - SENSEX Index Options'!$C:$C,$A206,'BSE - SENSEX Index Options'!$B:$B,E$147,'BSE - SENSEX Index Options'!$I:$I,"Monthly*")+SUMIFS('BSE - Other Index Options'!$M:$M,'BSE - Other Index Options'!$C:$C,$A206,'BSE - Other Index Options'!$B:$B,E$147,'BSE - Other Index Options'!$I:$I,"Monthly*"))</f>
        <v/>
      </c>
      <c r="F206" s="26">
        <f>IF(SUMIFS('BSE - SENSEX Index Options'!$M:$M,'BSE - SENSEX Index Options'!$C:$C,$A206,'BSE - SENSEX Index Options'!$B:$B,F$147,'BSE - SENSEX Index Options'!$I:$I,"Monthly*")+SUMIFS('BSE - Other Index Options'!$M:$M,'BSE - Other Index Options'!$C:$C,$A206,'BSE - Other Index Options'!$B:$B,F$147,'BSE - Other Index Options'!$I:$I,"Monthly*")=0,"",SUMIFS('BSE - SENSEX Index Options'!$M:$M,'BSE - SENSEX Index Options'!$C:$C,$A206,'BSE - SENSEX Index Options'!$B:$B,F$147,'BSE - SENSEX Index Options'!$I:$I,"Monthly*")+SUMIFS('BSE - Other Index Options'!$M:$M,'BSE - Other Index Options'!$C:$C,$A206,'BSE - Other Index Options'!$B:$B,F$147,'BSE - Other Index Options'!$I:$I,"Monthly*"))</f>
        <v/>
      </c>
      <c r="G206" s="26">
        <f>IF(SUMIFS('BSE - SENSEX Index Options'!$M:$M,'BSE - SENSEX Index Options'!$C:$C,$A206,'BSE - SENSEX Index Options'!$B:$B,G$147,'BSE - SENSEX Index Options'!$I:$I,"Monthly*")+SUMIFS('BSE - Other Index Options'!$M:$M,'BSE - Other Index Options'!$C:$C,$A206,'BSE - Other Index Options'!$B:$B,G$147,'BSE - Other Index Options'!$I:$I,"Monthly*")=0,"",SUMIFS('BSE - SENSEX Index Options'!$M:$M,'BSE - SENSEX Index Options'!$C:$C,$A206,'BSE - SENSEX Index Options'!$B:$B,G$147,'BSE - SENSEX Index Options'!$I:$I,"Monthly*")+SUMIFS('BSE - Other Index Options'!$M:$M,'BSE - Other Index Options'!$C:$C,$A206,'BSE - Other Index Options'!$B:$B,G$147,'BSE - Other Index Options'!$I:$I,"Monthly*"))</f>
        <v/>
      </c>
      <c r="H206" s="26">
        <f>IF(SUM(B206:G206)=0,"",SUM(B206:G206))</f>
        <v/>
      </c>
    </row>
    <row r="207" hidden="1" outlineLevel="1">
      <c r="A207" t="inlineStr">
        <is>
          <t>Week1-Sep-2026</t>
        </is>
      </c>
      <c r="B207" s="26">
        <f>IF(SUMIFS('BSE - SENSEX Index Options'!$M:$M,'BSE - SENSEX Index Options'!$C:$C,$A207,'BSE - SENSEX Index Options'!$B:$B,B$147,'BSE - SENSEX Index Options'!$I:$I,"Monthly*")+SUMIFS('BSE - Other Index Options'!$M:$M,'BSE - Other Index Options'!$C:$C,$A207,'BSE - Other Index Options'!$B:$B,B$147,'BSE - Other Index Options'!$I:$I,"Monthly*")=0,"",SUMIFS('BSE - SENSEX Index Options'!$M:$M,'BSE - SENSEX Index Options'!$C:$C,$A207,'BSE - SENSEX Index Options'!$B:$B,B$147,'BSE - SENSEX Index Options'!$I:$I,"Monthly*")+SUMIFS('BSE - Other Index Options'!$M:$M,'BSE - Other Index Options'!$C:$C,$A207,'BSE - Other Index Options'!$B:$B,B$147,'BSE - Other Index Options'!$I:$I,"Monthly*"))</f>
        <v/>
      </c>
      <c r="C207" s="26">
        <f>IF(SUMIFS('BSE - SENSEX Index Options'!$M:$M,'BSE - SENSEX Index Options'!$C:$C,$A207,'BSE - SENSEX Index Options'!$B:$B,C$147,'BSE - SENSEX Index Options'!$I:$I,"Monthly*")+SUMIFS('BSE - Other Index Options'!$M:$M,'BSE - Other Index Options'!$C:$C,$A207,'BSE - Other Index Options'!$B:$B,C$147,'BSE - Other Index Options'!$I:$I,"Monthly*")=0,"",SUMIFS('BSE - SENSEX Index Options'!$M:$M,'BSE - SENSEX Index Options'!$C:$C,$A207,'BSE - SENSEX Index Options'!$B:$B,C$147,'BSE - SENSEX Index Options'!$I:$I,"Monthly*")+SUMIFS('BSE - Other Index Options'!$M:$M,'BSE - Other Index Options'!$C:$C,$A207,'BSE - Other Index Options'!$B:$B,C$147,'BSE - Other Index Options'!$I:$I,"Monthly*"))</f>
        <v/>
      </c>
      <c r="D207" s="26">
        <f>IF(SUMIFS('BSE - SENSEX Index Options'!$M:$M,'BSE - SENSEX Index Options'!$C:$C,$A207,'BSE - SENSEX Index Options'!$B:$B,D$147,'BSE - SENSEX Index Options'!$I:$I,"Monthly*")+SUMIFS('BSE - Other Index Options'!$M:$M,'BSE - Other Index Options'!$C:$C,$A207,'BSE - Other Index Options'!$B:$B,D$147,'BSE - Other Index Options'!$I:$I,"Monthly*")=0,"",SUMIFS('BSE - SENSEX Index Options'!$M:$M,'BSE - SENSEX Index Options'!$C:$C,$A207,'BSE - SENSEX Index Options'!$B:$B,D$147,'BSE - SENSEX Index Options'!$I:$I,"Monthly*")+SUMIFS('BSE - Other Index Options'!$M:$M,'BSE - Other Index Options'!$C:$C,$A207,'BSE - Other Index Options'!$B:$B,D$147,'BSE - Other Index Options'!$I:$I,"Monthly*"))</f>
        <v/>
      </c>
      <c r="E207" s="26">
        <f>IF(SUMIFS('BSE - SENSEX Index Options'!$M:$M,'BSE - SENSEX Index Options'!$C:$C,$A207,'BSE - SENSEX Index Options'!$B:$B,E$147,'BSE - SENSEX Index Options'!$I:$I,"Monthly*")+SUMIFS('BSE - Other Index Options'!$M:$M,'BSE - Other Index Options'!$C:$C,$A207,'BSE - Other Index Options'!$B:$B,E$147,'BSE - Other Index Options'!$I:$I,"Monthly*")=0,"",SUMIFS('BSE - SENSEX Index Options'!$M:$M,'BSE - SENSEX Index Options'!$C:$C,$A207,'BSE - SENSEX Index Options'!$B:$B,E$147,'BSE - SENSEX Index Options'!$I:$I,"Monthly*")+SUMIFS('BSE - Other Index Options'!$M:$M,'BSE - Other Index Options'!$C:$C,$A207,'BSE - Other Index Options'!$B:$B,E$147,'BSE - Other Index Options'!$I:$I,"Monthly*"))</f>
        <v/>
      </c>
      <c r="F207" s="26">
        <f>IF(SUMIFS('BSE - SENSEX Index Options'!$M:$M,'BSE - SENSEX Index Options'!$C:$C,$A207,'BSE - SENSEX Index Options'!$B:$B,F$147,'BSE - SENSEX Index Options'!$I:$I,"Monthly*")+SUMIFS('BSE - Other Index Options'!$M:$M,'BSE - Other Index Options'!$C:$C,$A207,'BSE - Other Index Options'!$B:$B,F$147,'BSE - Other Index Options'!$I:$I,"Monthly*")=0,"",SUMIFS('BSE - SENSEX Index Options'!$M:$M,'BSE - SENSEX Index Options'!$C:$C,$A207,'BSE - SENSEX Index Options'!$B:$B,F$147,'BSE - SENSEX Index Options'!$I:$I,"Monthly*")+SUMIFS('BSE - Other Index Options'!$M:$M,'BSE - Other Index Options'!$C:$C,$A207,'BSE - Other Index Options'!$B:$B,F$147,'BSE - Other Index Options'!$I:$I,"Monthly*"))</f>
        <v/>
      </c>
      <c r="G207" s="26">
        <f>IF(SUMIFS('BSE - SENSEX Index Options'!$M:$M,'BSE - SENSEX Index Options'!$C:$C,$A207,'BSE - SENSEX Index Options'!$B:$B,G$147,'BSE - SENSEX Index Options'!$I:$I,"Monthly*")+SUMIFS('BSE - Other Index Options'!$M:$M,'BSE - Other Index Options'!$C:$C,$A207,'BSE - Other Index Options'!$B:$B,G$147,'BSE - Other Index Options'!$I:$I,"Monthly*")=0,"",SUMIFS('BSE - SENSEX Index Options'!$M:$M,'BSE - SENSEX Index Options'!$C:$C,$A207,'BSE - SENSEX Index Options'!$B:$B,G$147,'BSE - SENSEX Index Options'!$I:$I,"Monthly*")+SUMIFS('BSE - Other Index Options'!$M:$M,'BSE - Other Index Options'!$C:$C,$A207,'BSE - Other Index Options'!$B:$B,G$147,'BSE - Other Index Options'!$I:$I,"Monthly*"))</f>
        <v/>
      </c>
      <c r="H207" s="26">
        <f>IF(SUM(B207:G207)=0,"",SUM(B207:G207))</f>
        <v/>
      </c>
    </row>
    <row r="208" hidden="1" outlineLevel="1">
      <c r="A208" t="inlineStr">
        <is>
          <t>Week2-Sep-2026</t>
        </is>
      </c>
      <c r="B208" s="26">
        <f>IF(SUMIFS('BSE - SENSEX Index Options'!$M:$M,'BSE - SENSEX Index Options'!$C:$C,$A208,'BSE - SENSEX Index Options'!$B:$B,B$147,'BSE - SENSEX Index Options'!$I:$I,"Monthly*")+SUMIFS('BSE - Other Index Options'!$M:$M,'BSE - Other Index Options'!$C:$C,$A208,'BSE - Other Index Options'!$B:$B,B$147,'BSE - Other Index Options'!$I:$I,"Monthly*")=0,"",SUMIFS('BSE - SENSEX Index Options'!$M:$M,'BSE - SENSEX Index Options'!$C:$C,$A208,'BSE - SENSEX Index Options'!$B:$B,B$147,'BSE - SENSEX Index Options'!$I:$I,"Monthly*")+SUMIFS('BSE - Other Index Options'!$M:$M,'BSE - Other Index Options'!$C:$C,$A208,'BSE - Other Index Options'!$B:$B,B$147,'BSE - Other Index Options'!$I:$I,"Monthly*"))</f>
        <v/>
      </c>
      <c r="C208" s="26">
        <f>IF(SUMIFS('BSE - SENSEX Index Options'!$M:$M,'BSE - SENSEX Index Options'!$C:$C,$A208,'BSE - SENSEX Index Options'!$B:$B,C$147,'BSE - SENSEX Index Options'!$I:$I,"Monthly*")+SUMIFS('BSE - Other Index Options'!$M:$M,'BSE - Other Index Options'!$C:$C,$A208,'BSE - Other Index Options'!$B:$B,C$147,'BSE - Other Index Options'!$I:$I,"Monthly*")=0,"",SUMIFS('BSE - SENSEX Index Options'!$M:$M,'BSE - SENSEX Index Options'!$C:$C,$A208,'BSE - SENSEX Index Options'!$B:$B,C$147,'BSE - SENSEX Index Options'!$I:$I,"Monthly*")+SUMIFS('BSE - Other Index Options'!$M:$M,'BSE - Other Index Options'!$C:$C,$A208,'BSE - Other Index Options'!$B:$B,C$147,'BSE - Other Index Options'!$I:$I,"Monthly*"))</f>
        <v/>
      </c>
      <c r="D208" s="26">
        <f>IF(SUMIFS('BSE - SENSEX Index Options'!$M:$M,'BSE - SENSEX Index Options'!$C:$C,$A208,'BSE - SENSEX Index Options'!$B:$B,D$147,'BSE - SENSEX Index Options'!$I:$I,"Monthly*")+SUMIFS('BSE - Other Index Options'!$M:$M,'BSE - Other Index Options'!$C:$C,$A208,'BSE - Other Index Options'!$B:$B,D$147,'BSE - Other Index Options'!$I:$I,"Monthly*")=0,"",SUMIFS('BSE - SENSEX Index Options'!$M:$M,'BSE - SENSEX Index Options'!$C:$C,$A208,'BSE - SENSEX Index Options'!$B:$B,D$147,'BSE - SENSEX Index Options'!$I:$I,"Monthly*")+SUMIFS('BSE - Other Index Options'!$M:$M,'BSE - Other Index Options'!$C:$C,$A208,'BSE - Other Index Options'!$B:$B,D$147,'BSE - Other Index Options'!$I:$I,"Monthly*"))</f>
        <v/>
      </c>
      <c r="E208" s="26">
        <f>IF(SUMIFS('BSE - SENSEX Index Options'!$M:$M,'BSE - SENSEX Index Options'!$C:$C,$A208,'BSE - SENSEX Index Options'!$B:$B,E$147,'BSE - SENSEX Index Options'!$I:$I,"Monthly*")+SUMIFS('BSE - Other Index Options'!$M:$M,'BSE - Other Index Options'!$C:$C,$A208,'BSE - Other Index Options'!$B:$B,E$147,'BSE - Other Index Options'!$I:$I,"Monthly*")=0,"",SUMIFS('BSE - SENSEX Index Options'!$M:$M,'BSE - SENSEX Index Options'!$C:$C,$A208,'BSE - SENSEX Index Options'!$B:$B,E$147,'BSE - SENSEX Index Options'!$I:$I,"Monthly*")+SUMIFS('BSE - Other Index Options'!$M:$M,'BSE - Other Index Options'!$C:$C,$A208,'BSE - Other Index Options'!$B:$B,E$147,'BSE - Other Index Options'!$I:$I,"Monthly*"))</f>
        <v/>
      </c>
      <c r="F208" s="26">
        <f>IF(SUMIFS('BSE - SENSEX Index Options'!$M:$M,'BSE - SENSEX Index Options'!$C:$C,$A208,'BSE - SENSEX Index Options'!$B:$B,F$147,'BSE - SENSEX Index Options'!$I:$I,"Monthly*")+SUMIFS('BSE - Other Index Options'!$M:$M,'BSE - Other Index Options'!$C:$C,$A208,'BSE - Other Index Options'!$B:$B,F$147,'BSE - Other Index Options'!$I:$I,"Monthly*")=0,"",SUMIFS('BSE - SENSEX Index Options'!$M:$M,'BSE - SENSEX Index Options'!$C:$C,$A208,'BSE - SENSEX Index Options'!$B:$B,F$147,'BSE - SENSEX Index Options'!$I:$I,"Monthly*")+SUMIFS('BSE - Other Index Options'!$M:$M,'BSE - Other Index Options'!$C:$C,$A208,'BSE - Other Index Options'!$B:$B,F$147,'BSE - Other Index Options'!$I:$I,"Monthly*"))</f>
        <v/>
      </c>
      <c r="G208" s="26">
        <f>IF(SUMIFS('BSE - SENSEX Index Options'!$M:$M,'BSE - SENSEX Index Options'!$C:$C,$A208,'BSE - SENSEX Index Options'!$B:$B,G$147,'BSE - SENSEX Index Options'!$I:$I,"Monthly*")+SUMIFS('BSE - Other Index Options'!$M:$M,'BSE - Other Index Options'!$C:$C,$A208,'BSE - Other Index Options'!$B:$B,G$147,'BSE - Other Index Options'!$I:$I,"Monthly*")=0,"",SUMIFS('BSE - SENSEX Index Options'!$M:$M,'BSE - SENSEX Index Options'!$C:$C,$A208,'BSE - SENSEX Index Options'!$B:$B,G$147,'BSE - SENSEX Index Options'!$I:$I,"Monthly*")+SUMIFS('BSE - Other Index Options'!$M:$M,'BSE - Other Index Options'!$C:$C,$A208,'BSE - Other Index Options'!$B:$B,G$147,'BSE - Other Index Options'!$I:$I,"Monthly*"))</f>
        <v/>
      </c>
      <c r="H208" s="26">
        <f>IF(SUM(B208:G208)=0,"",SUM(B208:G208))</f>
        <v/>
      </c>
    </row>
    <row r="209" hidden="1" outlineLevel="1">
      <c r="A209" t="inlineStr">
        <is>
          <t>Week3-Sep-2026</t>
        </is>
      </c>
      <c r="B209" s="26">
        <f>IF(SUMIFS('BSE - SENSEX Index Options'!$M:$M,'BSE - SENSEX Index Options'!$C:$C,$A209,'BSE - SENSEX Index Options'!$B:$B,B$147,'BSE - SENSEX Index Options'!$I:$I,"Monthly*")+SUMIFS('BSE - Other Index Options'!$M:$M,'BSE - Other Index Options'!$C:$C,$A209,'BSE - Other Index Options'!$B:$B,B$147,'BSE - Other Index Options'!$I:$I,"Monthly*")=0,"",SUMIFS('BSE - SENSEX Index Options'!$M:$M,'BSE - SENSEX Index Options'!$C:$C,$A209,'BSE - SENSEX Index Options'!$B:$B,B$147,'BSE - SENSEX Index Options'!$I:$I,"Monthly*")+SUMIFS('BSE - Other Index Options'!$M:$M,'BSE - Other Index Options'!$C:$C,$A209,'BSE - Other Index Options'!$B:$B,B$147,'BSE - Other Index Options'!$I:$I,"Monthly*"))</f>
        <v/>
      </c>
      <c r="C209" s="26">
        <f>IF(SUMIFS('BSE - SENSEX Index Options'!$M:$M,'BSE - SENSEX Index Options'!$C:$C,$A209,'BSE - SENSEX Index Options'!$B:$B,C$147,'BSE - SENSEX Index Options'!$I:$I,"Monthly*")+SUMIFS('BSE - Other Index Options'!$M:$M,'BSE - Other Index Options'!$C:$C,$A209,'BSE - Other Index Options'!$B:$B,C$147,'BSE - Other Index Options'!$I:$I,"Monthly*")=0,"",SUMIFS('BSE - SENSEX Index Options'!$M:$M,'BSE - SENSEX Index Options'!$C:$C,$A209,'BSE - SENSEX Index Options'!$B:$B,C$147,'BSE - SENSEX Index Options'!$I:$I,"Monthly*")+SUMIFS('BSE - Other Index Options'!$M:$M,'BSE - Other Index Options'!$C:$C,$A209,'BSE - Other Index Options'!$B:$B,C$147,'BSE - Other Index Options'!$I:$I,"Monthly*"))</f>
        <v/>
      </c>
      <c r="D209" s="26">
        <f>IF(SUMIFS('BSE - SENSEX Index Options'!$M:$M,'BSE - SENSEX Index Options'!$C:$C,$A209,'BSE - SENSEX Index Options'!$B:$B,D$147,'BSE - SENSEX Index Options'!$I:$I,"Monthly*")+SUMIFS('BSE - Other Index Options'!$M:$M,'BSE - Other Index Options'!$C:$C,$A209,'BSE - Other Index Options'!$B:$B,D$147,'BSE - Other Index Options'!$I:$I,"Monthly*")=0,"",SUMIFS('BSE - SENSEX Index Options'!$M:$M,'BSE - SENSEX Index Options'!$C:$C,$A209,'BSE - SENSEX Index Options'!$B:$B,D$147,'BSE - SENSEX Index Options'!$I:$I,"Monthly*")+SUMIFS('BSE - Other Index Options'!$M:$M,'BSE - Other Index Options'!$C:$C,$A209,'BSE - Other Index Options'!$B:$B,D$147,'BSE - Other Index Options'!$I:$I,"Monthly*"))</f>
        <v/>
      </c>
      <c r="E209" s="26">
        <f>IF(SUMIFS('BSE - SENSEX Index Options'!$M:$M,'BSE - SENSEX Index Options'!$C:$C,$A209,'BSE - SENSEX Index Options'!$B:$B,E$147,'BSE - SENSEX Index Options'!$I:$I,"Monthly*")+SUMIFS('BSE - Other Index Options'!$M:$M,'BSE - Other Index Options'!$C:$C,$A209,'BSE - Other Index Options'!$B:$B,E$147,'BSE - Other Index Options'!$I:$I,"Monthly*")=0,"",SUMIFS('BSE - SENSEX Index Options'!$M:$M,'BSE - SENSEX Index Options'!$C:$C,$A209,'BSE - SENSEX Index Options'!$B:$B,E$147,'BSE - SENSEX Index Options'!$I:$I,"Monthly*")+SUMIFS('BSE - Other Index Options'!$M:$M,'BSE - Other Index Options'!$C:$C,$A209,'BSE - Other Index Options'!$B:$B,E$147,'BSE - Other Index Options'!$I:$I,"Monthly*"))</f>
        <v/>
      </c>
      <c r="F209" s="26">
        <f>IF(SUMIFS('BSE - SENSEX Index Options'!$M:$M,'BSE - SENSEX Index Options'!$C:$C,$A209,'BSE - SENSEX Index Options'!$B:$B,F$147,'BSE - SENSEX Index Options'!$I:$I,"Monthly*")+SUMIFS('BSE - Other Index Options'!$M:$M,'BSE - Other Index Options'!$C:$C,$A209,'BSE - Other Index Options'!$B:$B,F$147,'BSE - Other Index Options'!$I:$I,"Monthly*")=0,"",SUMIFS('BSE - SENSEX Index Options'!$M:$M,'BSE - SENSEX Index Options'!$C:$C,$A209,'BSE - SENSEX Index Options'!$B:$B,F$147,'BSE - SENSEX Index Options'!$I:$I,"Monthly*")+SUMIFS('BSE - Other Index Options'!$M:$M,'BSE - Other Index Options'!$C:$C,$A209,'BSE - Other Index Options'!$B:$B,F$147,'BSE - Other Index Options'!$I:$I,"Monthly*"))</f>
        <v/>
      </c>
      <c r="G209" s="26">
        <f>IF(SUMIFS('BSE - SENSEX Index Options'!$M:$M,'BSE - SENSEX Index Options'!$C:$C,$A209,'BSE - SENSEX Index Options'!$B:$B,G$147,'BSE - SENSEX Index Options'!$I:$I,"Monthly*")+SUMIFS('BSE - Other Index Options'!$M:$M,'BSE - Other Index Options'!$C:$C,$A209,'BSE - Other Index Options'!$B:$B,G$147,'BSE - Other Index Options'!$I:$I,"Monthly*")=0,"",SUMIFS('BSE - SENSEX Index Options'!$M:$M,'BSE - SENSEX Index Options'!$C:$C,$A209,'BSE - SENSEX Index Options'!$B:$B,G$147,'BSE - SENSEX Index Options'!$I:$I,"Monthly*")+SUMIFS('BSE - Other Index Options'!$M:$M,'BSE - Other Index Options'!$C:$C,$A209,'BSE - Other Index Options'!$B:$B,G$147,'BSE - Other Index Options'!$I:$I,"Monthly*"))</f>
        <v/>
      </c>
      <c r="H209" s="26">
        <f>IF(SUM(B209:G209)=0,"",SUM(B209:G209))</f>
        <v/>
      </c>
    </row>
    <row r="210" hidden="1" outlineLevel="1">
      <c r="A210" t="inlineStr">
        <is>
          <t>Week4-Sep-2026</t>
        </is>
      </c>
      <c r="B210" s="26">
        <f>IF(SUMIFS('BSE - SENSEX Index Options'!$M:$M,'BSE - SENSEX Index Options'!$C:$C,$A210,'BSE - SENSEX Index Options'!$B:$B,B$147,'BSE - SENSEX Index Options'!$I:$I,"Monthly*")+SUMIFS('BSE - Other Index Options'!$M:$M,'BSE - Other Index Options'!$C:$C,$A210,'BSE - Other Index Options'!$B:$B,B$147,'BSE - Other Index Options'!$I:$I,"Monthly*")=0,"",SUMIFS('BSE - SENSEX Index Options'!$M:$M,'BSE - SENSEX Index Options'!$C:$C,$A210,'BSE - SENSEX Index Options'!$B:$B,B$147,'BSE - SENSEX Index Options'!$I:$I,"Monthly*")+SUMIFS('BSE - Other Index Options'!$M:$M,'BSE - Other Index Options'!$C:$C,$A210,'BSE - Other Index Options'!$B:$B,B$147,'BSE - Other Index Options'!$I:$I,"Monthly*"))</f>
        <v/>
      </c>
      <c r="C210" s="26">
        <f>IF(SUMIFS('BSE - SENSEX Index Options'!$M:$M,'BSE - SENSEX Index Options'!$C:$C,$A210,'BSE - SENSEX Index Options'!$B:$B,C$147,'BSE - SENSEX Index Options'!$I:$I,"Monthly*")+SUMIFS('BSE - Other Index Options'!$M:$M,'BSE - Other Index Options'!$C:$C,$A210,'BSE - Other Index Options'!$B:$B,C$147,'BSE - Other Index Options'!$I:$I,"Monthly*")=0,"",SUMIFS('BSE - SENSEX Index Options'!$M:$M,'BSE - SENSEX Index Options'!$C:$C,$A210,'BSE - SENSEX Index Options'!$B:$B,C$147,'BSE - SENSEX Index Options'!$I:$I,"Monthly*")+SUMIFS('BSE - Other Index Options'!$M:$M,'BSE - Other Index Options'!$C:$C,$A210,'BSE - Other Index Options'!$B:$B,C$147,'BSE - Other Index Options'!$I:$I,"Monthly*"))</f>
        <v/>
      </c>
      <c r="D210" s="26">
        <f>IF(SUMIFS('BSE - SENSEX Index Options'!$M:$M,'BSE - SENSEX Index Options'!$C:$C,$A210,'BSE - SENSEX Index Options'!$B:$B,D$147,'BSE - SENSEX Index Options'!$I:$I,"Monthly*")+SUMIFS('BSE - Other Index Options'!$M:$M,'BSE - Other Index Options'!$C:$C,$A210,'BSE - Other Index Options'!$B:$B,D$147,'BSE - Other Index Options'!$I:$I,"Monthly*")=0,"",SUMIFS('BSE - SENSEX Index Options'!$M:$M,'BSE - SENSEX Index Options'!$C:$C,$A210,'BSE - SENSEX Index Options'!$B:$B,D$147,'BSE - SENSEX Index Options'!$I:$I,"Monthly*")+SUMIFS('BSE - Other Index Options'!$M:$M,'BSE - Other Index Options'!$C:$C,$A210,'BSE - Other Index Options'!$B:$B,D$147,'BSE - Other Index Options'!$I:$I,"Monthly*"))</f>
        <v/>
      </c>
      <c r="E210" s="26">
        <f>IF(SUMIFS('BSE - SENSEX Index Options'!$M:$M,'BSE - SENSEX Index Options'!$C:$C,$A210,'BSE - SENSEX Index Options'!$B:$B,E$147,'BSE - SENSEX Index Options'!$I:$I,"Monthly*")+SUMIFS('BSE - Other Index Options'!$M:$M,'BSE - Other Index Options'!$C:$C,$A210,'BSE - Other Index Options'!$B:$B,E$147,'BSE - Other Index Options'!$I:$I,"Monthly*")=0,"",SUMIFS('BSE - SENSEX Index Options'!$M:$M,'BSE - SENSEX Index Options'!$C:$C,$A210,'BSE - SENSEX Index Options'!$B:$B,E$147,'BSE - SENSEX Index Options'!$I:$I,"Monthly*")+SUMIFS('BSE - Other Index Options'!$M:$M,'BSE - Other Index Options'!$C:$C,$A210,'BSE - Other Index Options'!$B:$B,E$147,'BSE - Other Index Options'!$I:$I,"Monthly*"))</f>
        <v/>
      </c>
      <c r="F210" s="26">
        <f>IF(SUMIFS('BSE - SENSEX Index Options'!$M:$M,'BSE - SENSEX Index Options'!$C:$C,$A210,'BSE - SENSEX Index Options'!$B:$B,F$147,'BSE - SENSEX Index Options'!$I:$I,"Monthly*")+SUMIFS('BSE - Other Index Options'!$M:$M,'BSE - Other Index Options'!$C:$C,$A210,'BSE - Other Index Options'!$B:$B,F$147,'BSE - Other Index Options'!$I:$I,"Monthly*")=0,"",SUMIFS('BSE - SENSEX Index Options'!$M:$M,'BSE - SENSEX Index Options'!$C:$C,$A210,'BSE - SENSEX Index Options'!$B:$B,F$147,'BSE - SENSEX Index Options'!$I:$I,"Monthly*")+SUMIFS('BSE - Other Index Options'!$M:$M,'BSE - Other Index Options'!$C:$C,$A210,'BSE - Other Index Options'!$B:$B,F$147,'BSE - Other Index Options'!$I:$I,"Monthly*"))</f>
        <v/>
      </c>
      <c r="G210" s="26">
        <f>IF(SUMIFS('BSE - SENSEX Index Options'!$M:$M,'BSE - SENSEX Index Options'!$C:$C,$A210,'BSE - SENSEX Index Options'!$B:$B,G$147,'BSE - SENSEX Index Options'!$I:$I,"Monthly*")+SUMIFS('BSE - Other Index Options'!$M:$M,'BSE - Other Index Options'!$C:$C,$A210,'BSE - Other Index Options'!$B:$B,G$147,'BSE - Other Index Options'!$I:$I,"Monthly*")=0,"",SUMIFS('BSE - SENSEX Index Options'!$M:$M,'BSE - SENSEX Index Options'!$C:$C,$A210,'BSE - SENSEX Index Options'!$B:$B,G$147,'BSE - SENSEX Index Options'!$I:$I,"Monthly*")+SUMIFS('BSE - Other Index Options'!$M:$M,'BSE - Other Index Options'!$C:$C,$A210,'BSE - Other Index Options'!$B:$B,G$147,'BSE - Other Index Options'!$I:$I,"Monthly*"))</f>
        <v/>
      </c>
      <c r="H210" s="26">
        <f>IF(SUM(B210:G210)=0,"",SUM(B210:G210))</f>
        <v/>
      </c>
    </row>
    <row r="211" hidden="1" outlineLevel="1">
      <c r="A211" t="inlineStr">
        <is>
          <t>Week5-Sep-2026</t>
        </is>
      </c>
      <c r="B211" s="26">
        <f>IF(SUMIFS('BSE - SENSEX Index Options'!$M:$M,'BSE - SENSEX Index Options'!$C:$C,$A211,'BSE - SENSEX Index Options'!$B:$B,B$147,'BSE - SENSEX Index Options'!$I:$I,"Monthly*")+SUMIFS('BSE - Other Index Options'!$M:$M,'BSE - Other Index Options'!$C:$C,$A211,'BSE - Other Index Options'!$B:$B,B$147,'BSE - Other Index Options'!$I:$I,"Monthly*")=0,"",SUMIFS('BSE - SENSEX Index Options'!$M:$M,'BSE - SENSEX Index Options'!$C:$C,$A211,'BSE - SENSEX Index Options'!$B:$B,B$147,'BSE - SENSEX Index Options'!$I:$I,"Monthly*")+SUMIFS('BSE - Other Index Options'!$M:$M,'BSE - Other Index Options'!$C:$C,$A211,'BSE - Other Index Options'!$B:$B,B$147,'BSE - Other Index Options'!$I:$I,"Monthly*"))</f>
        <v/>
      </c>
      <c r="C211" s="26">
        <f>IF(SUMIFS('BSE - SENSEX Index Options'!$M:$M,'BSE - SENSEX Index Options'!$C:$C,$A211,'BSE - SENSEX Index Options'!$B:$B,C$147,'BSE - SENSEX Index Options'!$I:$I,"Monthly*")+SUMIFS('BSE - Other Index Options'!$M:$M,'BSE - Other Index Options'!$C:$C,$A211,'BSE - Other Index Options'!$B:$B,C$147,'BSE - Other Index Options'!$I:$I,"Monthly*")=0,"",SUMIFS('BSE - SENSEX Index Options'!$M:$M,'BSE - SENSEX Index Options'!$C:$C,$A211,'BSE - SENSEX Index Options'!$B:$B,C$147,'BSE - SENSEX Index Options'!$I:$I,"Monthly*")+SUMIFS('BSE - Other Index Options'!$M:$M,'BSE - Other Index Options'!$C:$C,$A211,'BSE - Other Index Options'!$B:$B,C$147,'BSE - Other Index Options'!$I:$I,"Monthly*"))</f>
        <v/>
      </c>
      <c r="D211" s="26">
        <f>IF(SUMIFS('BSE - SENSEX Index Options'!$M:$M,'BSE - SENSEX Index Options'!$C:$C,$A211,'BSE - SENSEX Index Options'!$B:$B,D$147,'BSE - SENSEX Index Options'!$I:$I,"Monthly*")+SUMIFS('BSE - Other Index Options'!$M:$M,'BSE - Other Index Options'!$C:$C,$A211,'BSE - Other Index Options'!$B:$B,D$147,'BSE - Other Index Options'!$I:$I,"Monthly*")=0,"",SUMIFS('BSE - SENSEX Index Options'!$M:$M,'BSE - SENSEX Index Options'!$C:$C,$A211,'BSE - SENSEX Index Options'!$B:$B,D$147,'BSE - SENSEX Index Options'!$I:$I,"Monthly*")+SUMIFS('BSE - Other Index Options'!$M:$M,'BSE - Other Index Options'!$C:$C,$A211,'BSE - Other Index Options'!$B:$B,D$147,'BSE - Other Index Options'!$I:$I,"Monthly*"))</f>
        <v/>
      </c>
      <c r="E211" s="26">
        <f>IF(SUMIFS('BSE - SENSEX Index Options'!$M:$M,'BSE - SENSEX Index Options'!$C:$C,$A211,'BSE - SENSEX Index Options'!$B:$B,E$147,'BSE - SENSEX Index Options'!$I:$I,"Monthly*")+SUMIFS('BSE - Other Index Options'!$M:$M,'BSE - Other Index Options'!$C:$C,$A211,'BSE - Other Index Options'!$B:$B,E$147,'BSE - Other Index Options'!$I:$I,"Monthly*")=0,"",SUMIFS('BSE - SENSEX Index Options'!$M:$M,'BSE - SENSEX Index Options'!$C:$C,$A211,'BSE - SENSEX Index Options'!$B:$B,E$147,'BSE - SENSEX Index Options'!$I:$I,"Monthly*")+SUMIFS('BSE - Other Index Options'!$M:$M,'BSE - Other Index Options'!$C:$C,$A211,'BSE - Other Index Options'!$B:$B,E$147,'BSE - Other Index Options'!$I:$I,"Monthly*"))</f>
        <v/>
      </c>
      <c r="F211" s="26">
        <f>IF(SUMIFS('BSE - SENSEX Index Options'!$M:$M,'BSE - SENSEX Index Options'!$C:$C,$A211,'BSE - SENSEX Index Options'!$B:$B,F$147,'BSE - SENSEX Index Options'!$I:$I,"Monthly*")+SUMIFS('BSE - Other Index Options'!$M:$M,'BSE - Other Index Options'!$C:$C,$A211,'BSE - Other Index Options'!$B:$B,F$147,'BSE - Other Index Options'!$I:$I,"Monthly*")=0,"",SUMIFS('BSE - SENSEX Index Options'!$M:$M,'BSE - SENSEX Index Options'!$C:$C,$A211,'BSE - SENSEX Index Options'!$B:$B,F$147,'BSE - SENSEX Index Options'!$I:$I,"Monthly*")+SUMIFS('BSE - Other Index Options'!$M:$M,'BSE - Other Index Options'!$C:$C,$A211,'BSE - Other Index Options'!$B:$B,F$147,'BSE - Other Index Options'!$I:$I,"Monthly*"))</f>
        <v/>
      </c>
      <c r="G211" s="26">
        <f>IF(SUMIFS('BSE - SENSEX Index Options'!$M:$M,'BSE - SENSEX Index Options'!$C:$C,$A211,'BSE - SENSEX Index Options'!$B:$B,G$147,'BSE - SENSEX Index Options'!$I:$I,"Monthly*")+SUMIFS('BSE - Other Index Options'!$M:$M,'BSE - Other Index Options'!$C:$C,$A211,'BSE - Other Index Options'!$B:$B,G$147,'BSE - Other Index Options'!$I:$I,"Monthly*")=0,"",SUMIFS('BSE - SENSEX Index Options'!$M:$M,'BSE - SENSEX Index Options'!$C:$C,$A211,'BSE - SENSEX Index Options'!$B:$B,G$147,'BSE - SENSEX Index Options'!$I:$I,"Monthly*")+SUMIFS('BSE - Other Index Options'!$M:$M,'BSE - Other Index Options'!$C:$C,$A211,'BSE - Other Index Options'!$B:$B,G$147,'BSE - Other Index Options'!$I:$I,"Monthly*"))</f>
        <v/>
      </c>
      <c r="H211" s="26">
        <f>IF(SUM(B211:G211)=0,"",SUM(B211:G211))</f>
        <v/>
      </c>
    </row>
    <row r="212" hidden="1" outlineLevel="1">
      <c r="A212" t="inlineStr">
        <is>
          <t>Week1-Oct-2026</t>
        </is>
      </c>
      <c r="B212" s="26">
        <f>IF(SUMIFS('BSE - SENSEX Index Options'!$M:$M,'BSE - SENSEX Index Options'!$C:$C,$A212,'BSE - SENSEX Index Options'!$B:$B,B$147,'BSE - SENSEX Index Options'!$I:$I,"Monthly*")+SUMIFS('BSE - Other Index Options'!$M:$M,'BSE - Other Index Options'!$C:$C,$A212,'BSE - Other Index Options'!$B:$B,B$147,'BSE - Other Index Options'!$I:$I,"Monthly*")=0,"",SUMIFS('BSE - SENSEX Index Options'!$M:$M,'BSE - SENSEX Index Options'!$C:$C,$A212,'BSE - SENSEX Index Options'!$B:$B,B$147,'BSE - SENSEX Index Options'!$I:$I,"Monthly*")+SUMIFS('BSE - Other Index Options'!$M:$M,'BSE - Other Index Options'!$C:$C,$A212,'BSE - Other Index Options'!$B:$B,B$147,'BSE - Other Index Options'!$I:$I,"Monthly*"))</f>
        <v/>
      </c>
      <c r="C212" s="26">
        <f>IF(SUMIFS('BSE - SENSEX Index Options'!$M:$M,'BSE - SENSEX Index Options'!$C:$C,$A212,'BSE - SENSEX Index Options'!$B:$B,C$147,'BSE - SENSEX Index Options'!$I:$I,"Monthly*")+SUMIFS('BSE - Other Index Options'!$M:$M,'BSE - Other Index Options'!$C:$C,$A212,'BSE - Other Index Options'!$B:$B,C$147,'BSE - Other Index Options'!$I:$I,"Monthly*")=0,"",SUMIFS('BSE - SENSEX Index Options'!$M:$M,'BSE - SENSEX Index Options'!$C:$C,$A212,'BSE - SENSEX Index Options'!$B:$B,C$147,'BSE - SENSEX Index Options'!$I:$I,"Monthly*")+SUMIFS('BSE - Other Index Options'!$M:$M,'BSE - Other Index Options'!$C:$C,$A212,'BSE - Other Index Options'!$B:$B,C$147,'BSE - Other Index Options'!$I:$I,"Monthly*"))</f>
        <v/>
      </c>
      <c r="D212" s="26">
        <f>IF(SUMIFS('BSE - SENSEX Index Options'!$M:$M,'BSE - SENSEX Index Options'!$C:$C,$A212,'BSE - SENSEX Index Options'!$B:$B,D$147,'BSE - SENSEX Index Options'!$I:$I,"Monthly*")+SUMIFS('BSE - Other Index Options'!$M:$M,'BSE - Other Index Options'!$C:$C,$A212,'BSE - Other Index Options'!$B:$B,D$147,'BSE - Other Index Options'!$I:$I,"Monthly*")=0,"",SUMIFS('BSE - SENSEX Index Options'!$M:$M,'BSE - SENSEX Index Options'!$C:$C,$A212,'BSE - SENSEX Index Options'!$B:$B,D$147,'BSE - SENSEX Index Options'!$I:$I,"Monthly*")+SUMIFS('BSE - Other Index Options'!$M:$M,'BSE - Other Index Options'!$C:$C,$A212,'BSE - Other Index Options'!$B:$B,D$147,'BSE - Other Index Options'!$I:$I,"Monthly*"))</f>
        <v/>
      </c>
      <c r="E212" s="26">
        <f>IF(SUMIFS('BSE - SENSEX Index Options'!$M:$M,'BSE - SENSEX Index Options'!$C:$C,$A212,'BSE - SENSEX Index Options'!$B:$B,E$147,'BSE - SENSEX Index Options'!$I:$I,"Monthly*")+SUMIFS('BSE - Other Index Options'!$M:$M,'BSE - Other Index Options'!$C:$C,$A212,'BSE - Other Index Options'!$B:$B,E$147,'BSE - Other Index Options'!$I:$I,"Monthly*")=0,"",SUMIFS('BSE - SENSEX Index Options'!$M:$M,'BSE - SENSEX Index Options'!$C:$C,$A212,'BSE - SENSEX Index Options'!$B:$B,E$147,'BSE - SENSEX Index Options'!$I:$I,"Monthly*")+SUMIFS('BSE - Other Index Options'!$M:$M,'BSE - Other Index Options'!$C:$C,$A212,'BSE - Other Index Options'!$B:$B,E$147,'BSE - Other Index Options'!$I:$I,"Monthly*"))</f>
        <v/>
      </c>
      <c r="F212" s="26">
        <f>IF(SUMIFS('BSE - SENSEX Index Options'!$M:$M,'BSE - SENSEX Index Options'!$C:$C,$A212,'BSE - SENSEX Index Options'!$B:$B,F$147,'BSE - SENSEX Index Options'!$I:$I,"Monthly*")+SUMIFS('BSE - Other Index Options'!$M:$M,'BSE - Other Index Options'!$C:$C,$A212,'BSE - Other Index Options'!$B:$B,F$147,'BSE - Other Index Options'!$I:$I,"Monthly*")=0,"",SUMIFS('BSE - SENSEX Index Options'!$M:$M,'BSE - SENSEX Index Options'!$C:$C,$A212,'BSE - SENSEX Index Options'!$B:$B,F$147,'BSE - SENSEX Index Options'!$I:$I,"Monthly*")+SUMIFS('BSE - Other Index Options'!$M:$M,'BSE - Other Index Options'!$C:$C,$A212,'BSE - Other Index Options'!$B:$B,F$147,'BSE - Other Index Options'!$I:$I,"Monthly*"))</f>
        <v/>
      </c>
      <c r="G212" s="26">
        <f>IF(SUMIFS('BSE - SENSEX Index Options'!$M:$M,'BSE - SENSEX Index Options'!$C:$C,$A212,'BSE - SENSEX Index Options'!$B:$B,G$147,'BSE - SENSEX Index Options'!$I:$I,"Monthly*")+SUMIFS('BSE - Other Index Options'!$M:$M,'BSE - Other Index Options'!$C:$C,$A212,'BSE - Other Index Options'!$B:$B,G$147,'BSE - Other Index Options'!$I:$I,"Monthly*")=0,"",SUMIFS('BSE - SENSEX Index Options'!$M:$M,'BSE - SENSEX Index Options'!$C:$C,$A212,'BSE - SENSEX Index Options'!$B:$B,G$147,'BSE - SENSEX Index Options'!$I:$I,"Monthly*")+SUMIFS('BSE - Other Index Options'!$M:$M,'BSE - Other Index Options'!$C:$C,$A212,'BSE - Other Index Options'!$B:$B,G$147,'BSE - Other Index Options'!$I:$I,"Monthly*"))</f>
        <v/>
      </c>
      <c r="H212" s="26">
        <f>IF(SUM(B212:G212)=0,"",SUM(B212:G212))</f>
        <v/>
      </c>
    </row>
    <row r="213" hidden="1" outlineLevel="1">
      <c r="A213" t="inlineStr">
        <is>
          <t>Week2-Oct-2026</t>
        </is>
      </c>
      <c r="B213" s="26">
        <f>IF(SUMIFS('BSE - SENSEX Index Options'!$M:$M,'BSE - SENSEX Index Options'!$C:$C,$A213,'BSE - SENSEX Index Options'!$B:$B,B$147,'BSE - SENSEX Index Options'!$I:$I,"Monthly*")+SUMIFS('BSE - Other Index Options'!$M:$M,'BSE - Other Index Options'!$C:$C,$A213,'BSE - Other Index Options'!$B:$B,B$147,'BSE - Other Index Options'!$I:$I,"Monthly*")=0,"",SUMIFS('BSE - SENSEX Index Options'!$M:$M,'BSE - SENSEX Index Options'!$C:$C,$A213,'BSE - SENSEX Index Options'!$B:$B,B$147,'BSE - SENSEX Index Options'!$I:$I,"Monthly*")+SUMIFS('BSE - Other Index Options'!$M:$M,'BSE - Other Index Options'!$C:$C,$A213,'BSE - Other Index Options'!$B:$B,B$147,'BSE - Other Index Options'!$I:$I,"Monthly*"))</f>
        <v/>
      </c>
      <c r="C213" s="26">
        <f>IF(SUMIFS('BSE - SENSEX Index Options'!$M:$M,'BSE - SENSEX Index Options'!$C:$C,$A213,'BSE - SENSEX Index Options'!$B:$B,C$147,'BSE - SENSEX Index Options'!$I:$I,"Monthly*")+SUMIFS('BSE - Other Index Options'!$M:$M,'BSE - Other Index Options'!$C:$C,$A213,'BSE - Other Index Options'!$B:$B,C$147,'BSE - Other Index Options'!$I:$I,"Monthly*")=0,"",SUMIFS('BSE - SENSEX Index Options'!$M:$M,'BSE - SENSEX Index Options'!$C:$C,$A213,'BSE - SENSEX Index Options'!$B:$B,C$147,'BSE - SENSEX Index Options'!$I:$I,"Monthly*")+SUMIFS('BSE - Other Index Options'!$M:$M,'BSE - Other Index Options'!$C:$C,$A213,'BSE - Other Index Options'!$B:$B,C$147,'BSE - Other Index Options'!$I:$I,"Monthly*"))</f>
        <v/>
      </c>
      <c r="D213" s="26">
        <f>IF(SUMIFS('BSE - SENSEX Index Options'!$M:$M,'BSE - SENSEX Index Options'!$C:$C,$A213,'BSE - SENSEX Index Options'!$B:$B,D$147,'BSE - SENSEX Index Options'!$I:$I,"Monthly*")+SUMIFS('BSE - Other Index Options'!$M:$M,'BSE - Other Index Options'!$C:$C,$A213,'BSE - Other Index Options'!$B:$B,D$147,'BSE - Other Index Options'!$I:$I,"Monthly*")=0,"",SUMIFS('BSE - SENSEX Index Options'!$M:$M,'BSE - SENSEX Index Options'!$C:$C,$A213,'BSE - SENSEX Index Options'!$B:$B,D$147,'BSE - SENSEX Index Options'!$I:$I,"Monthly*")+SUMIFS('BSE - Other Index Options'!$M:$M,'BSE - Other Index Options'!$C:$C,$A213,'BSE - Other Index Options'!$B:$B,D$147,'BSE - Other Index Options'!$I:$I,"Monthly*"))</f>
        <v/>
      </c>
      <c r="E213" s="26">
        <f>IF(SUMIFS('BSE - SENSEX Index Options'!$M:$M,'BSE - SENSEX Index Options'!$C:$C,$A213,'BSE - SENSEX Index Options'!$B:$B,E$147,'BSE - SENSEX Index Options'!$I:$I,"Monthly*")+SUMIFS('BSE - Other Index Options'!$M:$M,'BSE - Other Index Options'!$C:$C,$A213,'BSE - Other Index Options'!$B:$B,E$147,'BSE - Other Index Options'!$I:$I,"Monthly*")=0,"",SUMIFS('BSE - SENSEX Index Options'!$M:$M,'BSE - SENSEX Index Options'!$C:$C,$A213,'BSE - SENSEX Index Options'!$B:$B,E$147,'BSE - SENSEX Index Options'!$I:$I,"Monthly*")+SUMIFS('BSE - Other Index Options'!$M:$M,'BSE - Other Index Options'!$C:$C,$A213,'BSE - Other Index Options'!$B:$B,E$147,'BSE - Other Index Options'!$I:$I,"Monthly*"))</f>
        <v/>
      </c>
      <c r="F213" s="26">
        <f>IF(SUMIFS('BSE - SENSEX Index Options'!$M:$M,'BSE - SENSEX Index Options'!$C:$C,$A213,'BSE - SENSEX Index Options'!$B:$B,F$147,'BSE - SENSEX Index Options'!$I:$I,"Monthly*")+SUMIFS('BSE - Other Index Options'!$M:$M,'BSE - Other Index Options'!$C:$C,$A213,'BSE - Other Index Options'!$B:$B,F$147,'BSE - Other Index Options'!$I:$I,"Monthly*")=0,"",SUMIFS('BSE - SENSEX Index Options'!$M:$M,'BSE - SENSEX Index Options'!$C:$C,$A213,'BSE - SENSEX Index Options'!$B:$B,F$147,'BSE - SENSEX Index Options'!$I:$I,"Monthly*")+SUMIFS('BSE - Other Index Options'!$M:$M,'BSE - Other Index Options'!$C:$C,$A213,'BSE - Other Index Options'!$B:$B,F$147,'BSE - Other Index Options'!$I:$I,"Monthly*"))</f>
        <v/>
      </c>
      <c r="G213" s="26">
        <f>IF(SUMIFS('BSE - SENSEX Index Options'!$M:$M,'BSE - SENSEX Index Options'!$C:$C,$A213,'BSE - SENSEX Index Options'!$B:$B,G$147,'BSE - SENSEX Index Options'!$I:$I,"Monthly*")+SUMIFS('BSE - Other Index Options'!$M:$M,'BSE - Other Index Options'!$C:$C,$A213,'BSE - Other Index Options'!$B:$B,G$147,'BSE - Other Index Options'!$I:$I,"Monthly*")=0,"",SUMIFS('BSE - SENSEX Index Options'!$M:$M,'BSE - SENSEX Index Options'!$C:$C,$A213,'BSE - SENSEX Index Options'!$B:$B,G$147,'BSE - SENSEX Index Options'!$I:$I,"Monthly*")+SUMIFS('BSE - Other Index Options'!$M:$M,'BSE - Other Index Options'!$C:$C,$A213,'BSE - Other Index Options'!$B:$B,G$147,'BSE - Other Index Options'!$I:$I,"Monthly*"))</f>
        <v/>
      </c>
      <c r="H213" s="26">
        <f>IF(SUM(B213:G213)=0,"",SUM(B213:G213))</f>
        <v/>
      </c>
    </row>
    <row r="214" hidden="1" outlineLevel="1">
      <c r="A214" t="inlineStr">
        <is>
          <t>Week3-Oct-2026</t>
        </is>
      </c>
      <c r="B214" s="26">
        <f>IF(SUMIFS('BSE - SENSEX Index Options'!$M:$M,'BSE - SENSEX Index Options'!$C:$C,$A214,'BSE - SENSEX Index Options'!$B:$B,B$147,'BSE - SENSEX Index Options'!$I:$I,"Monthly*")+SUMIFS('BSE - Other Index Options'!$M:$M,'BSE - Other Index Options'!$C:$C,$A214,'BSE - Other Index Options'!$B:$B,B$147,'BSE - Other Index Options'!$I:$I,"Monthly*")=0,"",SUMIFS('BSE - SENSEX Index Options'!$M:$M,'BSE - SENSEX Index Options'!$C:$C,$A214,'BSE - SENSEX Index Options'!$B:$B,B$147,'BSE - SENSEX Index Options'!$I:$I,"Monthly*")+SUMIFS('BSE - Other Index Options'!$M:$M,'BSE - Other Index Options'!$C:$C,$A214,'BSE - Other Index Options'!$B:$B,B$147,'BSE - Other Index Options'!$I:$I,"Monthly*"))</f>
        <v/>
      </c>
      <c r="C214" s="26">
        <f>IF(SUMIFS('BSE - SENSEX Index Options'!$M:$M,'BSE - SENSEX Index Options'!$C:$C,$A214,'BSE - SENSEX Index Options'!$B:$B,C$147,'BSE - SENSEX Index Options'!$I:$I,"Monthly*")+SUMIFS('BSE - Other Index Options'!$M:$M,'BSE - Other Index Options'!$C:$C,$A214,'BSE - Other Index Options'!$B:$B,C$147,'BSE - Other Index Options'!$I:$I,"Monthly*")=0,"",SUMIFS('BSE - SENSEX Index Options'!$M:$M,'BSE - SENSEX Index Options'!$C:$C,$A214,'BSE - SENSEX Index Options'!$B:$B,C$147,'BSE - SENSEX Index Options'!$I:$I,"Monthly*")+SUMIFS('BSE - Other Index Options'!$M:$M,'BSE - Other Index Options'!$C:$C,$A214,'BSE - Other Index Options'!$B:$B,C$147,'BSE - Other Index Options'!$I:$I,"Monthly*"))</f>
        <v/>
      </c>
      <c r="D214" s="26">
        <f>IF(SUMIFS('BSE - SENSEX Index Options'!$M:$M,'BSE - SENSEX Index Options'!$C:$C,$A214,'BSE - SENSEX Index Options'!$B:$B,D$147,'BSE - SENSEX Index Options'!$I:$I,"Monthly*")+SUMIFS('BSE - Other Index Options'!$M:$M,'BSE - Other Index Options'!$C:$C,$A214,'BSE - Other Index Options'!$B:$B,D$147,'BSE - Other Index Options'!$I:$I,"Monthly*")=0,"",SUMIFS('BSE - SENSEX Index Options'!$M:$M,'BSE - SENSEX Index Options'!$C:$C,$A214,'BSE - SENSEX Index Options'!$B:$B,D$147,'BSE - SENSEX Index Options'!$I:$I,"Monthly*")+SUMIFS('BSE - Other Index Options'!$M:$M,'BSE - Other Index Options'!$C:$C,$A214,'BSE - Other Index Options'!$B:$B,D$147,'BSE - Other Index Options'!$I:$I,"Monthly*"))</f>
        <v/>
      </c>
      <c r="E214" s="26">
        <f>IF(SUMIFS('BSE - SENSEX Index Options'!$M:$M,'BSE - SENSEX Index Options'!$C:$C,$A214,'BSE - SENSEX Index Options'!$B:$B,E$147,'BSE - SENSEX Index Options'!$I:$I,"Monthly*")+SUMIFS('BSE - Other Index Options'!$M:$M,'BSE - Other Index Options'!$C:$C,$A214,'BSE - Other Index Options'!$B:$B,E$147,'BSE - Other Index Options'!$I:$I,"Monthly*")=0,"",SUMIFS('BSE - SENSEX Index Options'!$M:$M,'BSE - SENSEX Index Options'!$C:$C,$A214,'BSE - SENSEX Index Options'!$B:$B,E$147,'BSE - SENSEX Index Options'!$I:$I,"Monthly*")+SUMIFS('BSE - Other Index Options'!$M:$M,'BSE - Other Index Options'!$C:$C,$A214,'BSE - Other Index Options'!$B:$B,E$147,'BSE - Other Index Options'!$I:$I,"Monthly*"))</f>
        <v/>
      </c>
      <c r="F214" s="26">
        <f>IF(SUMIFS('BSE - SENSEX Index Options'!$M:$M,'BSE - SENSEX Index Options'!$C:$C,$A214,'BSE - SENSEX Index Options'!$B:$B,F$147,'BSE - SENSEX Index Options'!$I:$I,"Monthly*")+SUMIFS('BSE - Other Index Options'!$M:$M,'BSE - Other Index Options'!$C:$C,$A214,'BSE - Other Index Options'!$B:$B,F$147,'BSE - Other Index Options'!$I:$I,"Monthly*")=0,"",SUMIFS('BSE - SENSEX Index Options'!$M:$M,'BSE - SENSEX Index Options'!$C:$C,$A214,'BSE - SENSEX Index Options'!$B:$B,F$147,'BSE - SENSEX Index Options'!$I:$I,"Monthly*")+SUMIFS('BSE - Other Index Options'!$M:$M,'BSE - Other Index Options'!$C:$C,$A214,'BSE - Other Index Options'!$B:$B,F$147,'BSE - Other Index Options'!$I:$I,"Monthly*"))</f>
        <v/>
      </c>
      <c r="G214" s="26">
        <f>IF(SUMIFS('BSE - SENSEX Index Options'!$M:$M,'BSE - SENSEX Index Options'!$C:$C,$A214,'BSE - SENSEX Index Options'!$B:$B,G$147,'BSE - SENSEX Index Options'!$I:$I,"Monthly*")+SUMIFS('BSE - Other Index Options'!$M:$M,'BSE - Other Index Options'!$C:$C,$A214,'BSE - Other Index Options'!$B:$B,G$147,'BSE - Other Index Options'!$I:$I,"Monthly*")=0,"",SUMIFS('BSE - SENSEX Index Options'!$M:$M,'BSE - SENSEX Index Options'!$C:$C,$A214,'BSE - SENSEX Index Options'!$B:$B,G$147,'BSE - SENSEX Index Options'!$I:$I,"Monthly*")+SUMIFS('BSE - Other Index Options'!$M:$M,'BSE - Other Index Options'!$C:$C,$A214,'BSE - Other Index Options'!$B:$B,G$147,'BSE - Other Index Options'!$I:$I,"Monthly*"))</f>
        <v/>
      </c>
      <c r="H214" s="26">
        <f>IF(SUM(B214:G214)=0,"",SUM(B214:G214))</f>
        <v/>
      </c>
    </row>
    <row r="215" hidden="1" outlineLevel="1">
      <c r="A215" t="inlineStr">
        <is>
          <t>Week4-Oct-2026</t>
        </is>
      </c>
      <c r="B215" s="26">
        <f>IF(SUMIFS('BSE - SENSEX Index Options'!$M:$M,'BSE - SENSEX Index Options'!$C:$C,$A215,'BSE - SENSEX Index Options'!$B:$B,B$147,'BSE - SENSEX Index Options'!$I:$I,"Monthly*")+SUMIFS('BSE - Other Index Options'!$M:$M,'BSE - Other Index Options'!$C:$C,$A215,'BSE - Other Index Options'!$B:$B,B$147,'BSE - Other Index Options'!$I:$I,"Monthly*")=0,"",SUMIFS('BSE - SENSEX Index Options'!$M:$M,'BSE - SENSEX Index Options'!$C:$C,$A215,'BSE - SENSEX Index Options'!$B:$B,B$147,'BSE - SENSEX Index Options'!$I:$I,"Monthly*")+SUMIFS('BSE - Other Index Options'!$M:$M,'BSE - Other Index Options'!$C:$C,$A215,'BSE - Other Index Options'!$B:$B,B$147,'BSE - Other Index Options'!$I:$I,"Monthly*"))</f>
        <v/>
      </c>
      <c r="C215" s="26">
        <f>IF(SUMIFS('BSE - SENSEX Index Options'!$M:$M,'BSE - SENSEX Index Options'!$C:$C,$A215,'BSE - SENSEX Index Options'!$B:$B,C$147,'BSE - SENSEX Index Options'!$I:$I,"Monthly*")+SUMIFS('BSE - Other Index Options'!$M:$M,'BSE - Other Index Options'!$C:$C,$A215,'BSE - Other Index Options'!$B:$B,C$147,'BSE - Other Index Options'!$I:$I,"Monthly*")=0,"",SUMIFS('BSE - SENSEX Index Options'!$M:$M,'BSE - SENSEX Index Options'!$C:$C,$A215,'BSE - SENSEX Index Options'!$B:$B,C$147,'BSE - SENSEX Index Options'!$I:$I,"Monthly*")+SUMIFS('BSE - Other Index Options'!$M:$M,'BSE - Other Index Options'!$C:$C,$A215,'BSE - Other Index Options'!$B:$B,C$147,'BSE - Other Index Options'!$I:$I,"Monthly*"))</f>
        <v/>
      </c>
      <c r="D215" s="26">
        <f>IF(SUMIFS('BSE - SENSEX Index Options'!$M:$M,'BSE - SENSEX Index Options'!$C:$C,$A215,'BSE - SENSEX Index Options'!$B:$B,D$147,'BSE - SENSEX Index Options'!$I:$I,"Monthly*")+SUMIFS('BSE - Other Index Options'!$M:$M,'BSE - Other Index Options'!$C:$C,$A215,'BSE - Other Index Options'!$B:$B,D$147,'BSE - Other Index Options'!$I:$I,"Monthly*")=0,"",SUMIFS('BSE - SENSEX Index Options'!$M:$M,'BSE - SENSEX Index Options'!$C:$C,$A215,'BSE - SENSEX Index Options'!$B:$B,D$147,'BSE - SENSEX Index Options'!$I:$I,"Monthly*")+SUMIFS('BSE - Other Index Options'!$M:$M,'BSE - Other Index Options'!$C:$C,$A215,'BSE - Other Index Options'!$B:$B,D$147,'BSE - Other Index Options'!$I:$I,"Monthly*"))</f>
        <v/>
      </c>
      <c r="E215" s="26">
        <f>IF(SUMIFS('BSE - SENSEX Index Options'!$M:$M,'BSE - SENSEX Index Options'!$C:$C,$A215,'BSE - SENSEX Index Options'!$B:$B,E$147,'BSE - SENSEX Index Options'!$I:$I,"Monthly*")+SUMIFS('BSE - Other Index Options'!$M:$M,'BSE - Other Index Options'!$C:$C,$A215,'BSE - Other Index Options'!$B:$B,E$147,'BSE - Other Index Options'!$I:$I,"Monthly*")=0,"",SUMIFS('BSE - SENSEX Index Options'!$M:$M,'BSE - SENSEX Index Options'!$C:$C,$A215,'BSE - SENSEX Index Options'!$B:$B,E$147,'BSE - SENSEX Index Options'!$I:$I,"Monthly*")+SUMIFS('BSE - Other Index Options'!$M:$M,'BSE - Other Index Options'!$C:$C,$A215,'BSE - Other Index Options'!$B:$B,E$147,'BSE - Other Index Options'!$I:$I,"Monthly*"))</f>
        <v/>
      </c>
      <c r="F215" s="26">
        <f>IF(SUMIFS('BSE - SENSEX Index Options'!$M:$M,'BSE - SENSEX Index Options'!$C:$C,$A215,'BSE - SENSEX Index Options'!$B:$B,F$147,'BSE - SENSEX Index Options'!$I:$I,"Monthly*")+SUMIFS('BSE - Other Index Options'!$M:$M,'BSE - Other Index Options'!$C:$C,$A215,'BSE - Other Index Options'!$B:$B,F$147,'BSE - Other Index Options'!$I:$I,"Monthly*")=0,"",SUMIFS('BSE - SENSEX Index Options'!$M:$M,'BSE - SENSEX Index Options'!$C:$C,$A215,'BSE - SENSEX Index Options'!$B:$B,F$147,'BSE - SENSEX Index Options'!$I:$I,"Monthly*")+SUMIFS('BSE - Other Index Options'!$M:$M,'BSE - Other Index Options'!$C:$C,$A215,'BSE - Other Index Options'!$B:$B,F$147,'BSE - Other Index Options'!$I:$I,"Monthly*"))</f>
        <v/>
      </c>
      <c r="G215" s="26">
        <f>IF(SUMIFS('BSE - SENSEX Index Options'!$M:$M,'BSE - SENSEX Index Options'!$C:$C,$A215,'BSE - SENSEX Index Options'!$B:$B,G$147,'BSE - SENSEX Index Options'!$I:$I,"Monthly*")+SUMIFS('BSE - Other Index Options'!$M:$M,'BSE - Other Index Options'!$C:$C,$A215,'BSE - Other Index Options'!$B:$B,G$147,'BSE - Other Index Options'!$I:$I,"Monthly*")=0,"",SUMIFS('BSE - SENSEX Index Options'!$M:$M,'BSE - SENSEX Index Options'!$C:$C,$A215,'BSE - SENSEX Index Options'!$B:$B,G$147,'BSE - SENSEX Index Options'!$I:$I,"Monthly*")+SUMIFS('BSE - Other Index Options'!$M:$M,'BSE - Other Index Options'!$C:$C,$A215,'BSE - Other Index Options'!$B:$B,G$147,'BSE - Other Index Options'!$I:$I,"Monthly*"))</f>
        <v/>
      </c>
      <c r="H215" s="26">
        <f>IF(SUM(B215:G215)=0,"",SUM(B215:G215))</f>
        <v/>
      </c>
    </row>
    <row r="216" hidden="1" outlineLevel="1">
      <c r="A216" t="inlineStr">
        <is>
          <t>Week5-Oct-2026</t>
        </is>
      </c>
      <c r="B216" s="26">
        <f>IF(SUMIFS('BSE - SENSEX Index Options'!$M:$M,'BSE - SENSEX Index Options'!$C:$C,$A216,'BSE - SENSEX Index Options'!$B:$B,B$147,'BSE - SENSEX Index Options'!$I:$I,"Monthly*")+SUMIFS('BSE - Other Index Options'!$M:$M,'BSE - Other Index Options'!$C:$C,$A216,'BSE - Other Index Options'!$B:$B,B$147,'BSE - Other Index Options'!$I:$I,"Monthly*")=0,"",SUMIFS('BSE - SENSEX Index Options'!$M:$M,'BSE - SENSEX Index Options'!$C:$C,$A216,'BSE - SENSEX Index Options'!$B:$B,B$147,'BSE - SENSEX Index Options'!$I:$I,"Monthly*")+SUMIFS('BSE - Other Index Options'!$M:$M,'BSE - Other Index Options'!$C:$C,$A216,'BSE - Other Index Options'!$B:$B,B$147,'BSE - Other Index Options'!$I:$I,"Monthly*"))</f>
        <v/>
      </c>
      <c r="C216" s="26">
        <f>IF(SUMIFS('BSE - SENSEX Index Options'!$M:$M,'BSE - SENSEX Index Options'!$C:$C,$A216,'BSE - SENSEX Index Options'!$B:$B,C$147,'BSE - SENSEX Index Options'!$I:$I,"Monthly*")+SUMIFS('BSE - Other Index Options'!$M:$M,'BSE - Other Index Options'!$C:$C,$A216,'BSE - Other Index Options'!$B:$B,C$147,'BSE - Other Index Options'!$I:$I,"Monthly*")=0,"",SUMIFS('BSE - SENSEX Index Options'!$M:$M,'BSE - SENSEX Index Options'!$C:$C,$A216,'BSE - SENSEX Index Options'!$B:$B,C$147,'BSE - SENSEX Index Options'!$I:$I,"Monthly*")+SUMIFS('BSE - Other Index Options'!$M:$M,'BSE - Other Index Options'!$C:$C,$A216,'BSE - Other Index Options'!$B:$B,C$147,'BSE - Other Index Options'!$I:$I,"Monthly*"))</f>
        <v/>
      </c>
      <c r="D216" s="26">
        <f>IF(SUMIFS('BSE - SENSEX Index Options'!$M:$M,'BSE - SENSEX Index Options'!$C:$C,$A216,'BSE - SENSEX Index Options'!$B:$B,D$147,'BSE - SENSEX Index Options'!$I:$I,"Monthly*")+SUMIFS('BSE - Other Index Options'!$M:$M,'BSE - Other Index Options'!$C:$C,$A216,'BSE - Other Index Options'!$B:$B,D$147,'BSE - Other Index Options'!$I:$I,"Monthly*")=0,"",SUMIFS('BSE - SENSEX Index Options'!$M:$M,'BSE - SENSEX Index Options'!$C:$C,$A216,'BSE - SENSEX Index Options'!$B:$B,D$147,'BSE - SENSEX Index Options'!$I:$I,"Monthly*")+SUMIFS('BSE - Other Index Options'!$M:$M,'BSE - Other Index Options'!$C:$C,$A216,'BSE - Other Index Options'!$B:$B,D$147,'BSE - Other Index Options'!$I:$I,"Monthly*"))</f>
        <v/>
      </c>
      <c r="E216" s="26">
        <f>IF(SUMIFS('BSE - SENSEX Index Options'!$M:$M,'BSE - SENSEX Index Options'!$C:$C,$A216,'BSE - SENSEX Index Options'!$B:$B,E$147,'BSE - SENSEX Index Options'!$I:$I,"Monthly*")+SUMIFS('BSE - Other Index Options'!$M:$M,'BSE - Other Index Options'!$C:$C,$A216,'BSE - Other Index Options'!$B:$B,E$147,'BSE - Other Index Options'!$I:$I,"Monthly*")=0,"",SUMIFS('BSE - SENSEX Index Options'!$M:$M,'BSE - SENSEX Index Options'!$C:$C,$A216,'BSE - SENSEX Index Options'!$B:$B,E$147,'BSE - SENSEX Index Options'!$I:$I,"Monthly*")+SUMIFS('BSE - Other Index Options'!$M:$M,'BSE - Other Index Options'!$C:$C,$A216,'BSE - Other Index Options'!$B:$B,E$147,'BSE - Other Index Options'!$I:$I,"Monthly*"))</f>
        <v/>
      </c>
      <c r="F216" s="26">
        <f>IF(SUMIFS('BSE - SENSEX Index Options'!$M:$M,'BSE - SENSEX Index Options'!$C:$C,$A216,'BSE - SENSEX Index Options'!$B:$B,F$147,'BSE - SENSEX Index Options'!$I:$I,"Monthly*")+SUMIFS('BSE - Other Index Options'!$M:$M,'BSE - Other Index Options'!$C:$C,$A216,'BSE - Other Index Options'!$B:$B,F$147,'BSE - Other Index Options'!$I:$I,"Monthly*")=0,"",SUMIFS('BSE - SENSEX Index Options'!$M:$M,'BSE - SENSEX Index Options'!$C:$C,$A216,'BSE - SENSEX Index Options'!$B:$B,F$147,'BSE - SENSEX Index Options'!$I:$I,"Monthly*")+SUMIFS('BSE - Other Index Options'!$M:$M,'BSE - Other Index Options'!$C:$C,$A216,'BSE - Other Index Options'!$B:$B,F$147,'BSE - Other Index Options'!$I:$I,"Monthly*"))</f>
        <v/>
      </c>
      <c r="G216" s="26">
        <f>IF(SUMIFS('BSE - SENSEX Index Options'!$M:$M,'BSE - SENSEX Index Options'!$C:$C,$A216,'BSE - SENSEX Index Options'!$B:$B,G$147,'BSE - SENSEX Index Options'!$I:$I,"Monthly*")+SUMIFS('BSE - Other Index Options'!$M:$M,'BSE - Other Index Options'!$C:$C,$A216,'BSE - Other Index Options'!$B:$B,G$147,'BSE - Other Index Options'!$I:$I,"Monthly*")=0,"",SUMIFS('BSE - SENSEX Index Options'!$M:$M,'BSE - SENSEX Index Options'!$C:$C,$A216,'BSE - SENSEX Index Options'!$B:$B,G$147,'BSE - SENSEX Index Options'!$I:$I,"Monthly*")+SUMIFS('BSE - Other Index Options'!$M:$M,'BSE - Other Index Options'!$C:$C,$A216,'BSE - Other Index Options'!$B:$B,G$147,'BSE - Other Index Options'!$I:$I,"Monthly*"))</f>
        <v/>
      </c>
      <c r="H216" s="26">
        <f>IF(SUM(B216:G216)=0,"",SUM(B216:G216))</f>
        <v/>
      </c>
    </row>
    <row r="217" hidden="1" outlineLevel="1">
      <c r="A217" t="inlineStr">
        <is>
          <t>Week1-Nov-2026</t>
        </is>
      </c>
      <c r="B217" s="26">
        <f>IF(SUMIFS('BSE - SENSEX Index Options'!$M:$M,'BSE - SENSEX Index Options'!$C:$C,$A217,'BSE - SENSEX Index Options'!$B:$B,B$147,'BSE - SENSEX Index Options'!$I:$I,"Monthly*")+SUMIFS('BSE - Other Index Options'!$M:$M,'BSE - Other Index Options'!$C:$C,$A217,'BSE - Other Index Options'!$B:$B,B$147,'BSE - Other Index Options'!$I:$I,"Monthly*")=0,"",SUMIFS('BSE - SENSEX Index Options'!$M:$M,'BSE - SENSEX Index Options'!$C:$C,$A217,'BSE - SENSEX Index Options'!$B:$B,B$147,'BSE - SENSEX Index Options'!$I:$I,"Monthly*")+SUMIFS('BSE - Other Index Options'!$M:$M,'BSE - Other Index Options'!$C:$C,$A217,'BSE - Other Index Options'!$B:$B,B$147,'BSE - Other Index Options'!$I:$I,"Monthly*"))</f>
        <v/>
      </c>
      <c r="C217" s="26">
        <f>IF(SUMIFS('BSE - SENSEX Index Options'!$M:$M,'BSE - SENSEX Index Options'!$C:$C,$A217,'BSE - SENSEX Index Options'!$B:$B,C$147,'BSE - SENSEX Index Options'!$I:$I,"Monthly*")+SUMIFS('BSE - Other Index Options'!$M:$M,'BSE - Other Index Options'!$C:$C,$A217,'BSE - Other Index Options'!$B:$B,C$147,'BSE - Other Index Options'!$I:$I,"Monthly*")=0,"",SUMIFS('BSE - SENSEX Index Options'!$M:$M,'BSE - SENSEX Index Options'!$C:$C,$A217,'BSE - SENSEX Index Options'!$B:$B,C$147,'BSE - SENSEX Index Options'!$I:$I,"Monthly*")+SUMIFS('BSE - Other Index Options'!$M:$M,'BSE - Other Index Options'!$C:$C,$A217,'BSE - Other Index Options'!$B:$B,C$147,'BSE - Other Index Options'!$I:$I,"Monthly*"))</f>
        <v/>
      </c>
      <c r="D217" s="26">
        <f>IF(SUMIFS('BSE - SENSEX Index Options'!$M:$M,'BSE - SENSEX Index Options'!$C:$C,$A217,'BSE - SENSEX Index Options'!$B:$B,D$147,'BSE - SENSEX Index Options'!$I:$I,"Monthly*")+SUMIFS('BSE - Other Index Options'!$M:$M,'BSE - Other Index Options'!$C:$C,$A217,'BSE - Other Index Options'!$B:$B,D$147,'BSE - Other Index Options'!$I:$I,"Monthly*")=0,"",SUMIFS('BSE - SENSEX Index Options'!$M:$M,'BSE - SENSEX Index Options'!$C:$C,$A217,'BSE - SENSEX Index Options'!$B:$B,D$147,'BSE - SENSEX Index Options'!$I:$I,"Monthly*")+SUMIFS('BSE - Other Index Options'!$M:$M,'BSE - Other Index Options'!$C:$C,$A217,'BSE - Other Index Options'!$B:$B,D$147,'BSE - Other Index Options'!$I:$I,"Monthly*"))</f>
        <v/>
      </c>
      <c r="E217" s="26">
        <f>IF(SUMIFS('BSE - SENSEX Index Options'!$M:$M,'BSE - SENSEX Index Options'!$C:$C,$A217,'BSE - SENSEX Index Options'!$B:$B,E$147,'BSE - SENSEX Index Options'!$I:$I,"Monthly*")+SUMIFS('BSE - Other Index Options'!$M:$M,'BSE - Other Index Options'!$C:$C,$A217,'BSE - Other Index Options'!$B:$B,E$147,'BSE - Other Index Options'!$I:$I,"Monthly*")=0,"",SUMIFS('BSE - SENSEX Index Options'!$M:$M,'BSE - SENSEX Index Options'!$C:$C,$A217,'BSE - SENSEX Index Options'!$B:$B,E$147,'BSE - SENSEX Index Options'!$I:$I,"Monthly*")+SUMIFS('BSE - Other Index Options'!$M:$M,'BSE - Other Index Options'!$C:$C,$A217,'BSE - Other Index Options'!$B:$B,E$147,'BSE - Other Index Options'!$I:$I,"Monthly*"))</f>
        <v/>
      </c>
      <c r="F217" s="26">
        <f>IF(SUMIFS('BSE - SENSEX Index Options'!$M:$M,'BSE - SENSEX Index Options'!$C:$C,$A217,'BSE - SENSEX Index Options'!$B:$B,F$147,'BSE - SENSEX Index Options'!$I:$I,"Monthly*")+SUMIFS('BSE - Other Index Options'!$M:$M,'BSE - Other Index Options'!$C:$C,$A217,'BSE - Other Index Options'!$B:$B,F$147,'BSE - Other Index Options'!$I:$I,"Monthly*")=0,"",SUMIFS('BSE - SENSEX Index Options'!$M:$M,'BSE - SENSEX Index Options'!$C:$C,$A217,'BSE - SENSEX Index Options'!$B:$B,F$147,'BSE - SENSEX Index Options'!$I:$I,"Monthly*")+SUMIFS('BSE - Other Index Options'!$M:$M,'BSE - Other Index Options'!$C:$C,$A217,'BSE - Other Index Options'!$B:$B,F$147,'BSE - Other Index Options'!$I:$I,"Monthly*"))</f>
        <v/>
      </c>
      <c r="G217" s="26">
        <f>IF(SUMIFS('BSE - SENSEX Index Options'!$M:$M,'BSE - SENSEX Index Options'!$C:$C,$A217,'BSE - SENSEX Index Options'!$B:$B,G$147,'BSE - SENSEX Index Options'!$I:$I,"Monthly*")+SUMIFS('BSE - Other Index Options'!$M:$M,'BSE - Other Index Options'!$C:$C,$A217,'BSE - Other Index Options'!$B:$B,G$147,'BSE - Other Index Options'!$I:$I,"Monthly*")=0,"",SUMIFS('BSE - SENSEX Index Options'!$M:$M,'BSE - SENSEX Index Options'!$C:$C,$A217,'BSE - SENSEX Index Options'!$B:$B,G$147,'BSE - SENSEX Index Options'!$I:$I,"Monthly*")+SUMIFS('BSE - Other Index Options'!$M:$M,'BSE - Other Index Options'!$C:$C,$A217,'BSE - Other Index Options'!$B:$B,G$147,'BSE - Other Index Options'!$I:$I,"Monthly*"))</f>
        <v/>
      </c>
      <c r="H217" s="26">
        <f>IF(SUM(B217:G217)=0,"",SUM(B217:G217))</f>
        <v/>
      </c>
    </row>
    <row r="218" hidden="1" outlineLevel="1">
      <c r="A218" t="inlineStr">
        <is>
          <t>Week2-Nov-2026</t>
        </is>
      </c>
      <c r="B218" s="26">
        <f>IF(SUMIFS('BSE - SENSEX Index Options'!$M:$M,'BSE - SENSEX Index Options'!$C:$C,$A218,'BSE - SENSEX Index Options'!$B:$B,B$147,'BSE - SENSEX Index Options'!$I:$I,"Monthly*")+SUMIFS('BSE - Other Index Options'!$M:$M,'BSE - Other Index Options'!$C:$C,$A218,'BSE - Other Index Options'!$B:$B,B$147,'BSE - Other Index Options'!$I:$I,"Monthly*")=0,"",SUMIFS('BSE - SENSEX Index Options'!$M:$M,'BSE - SENSEX Index Options'!$C:$C,$A218,'BSE - SENSEX Index Options'!$B:$B,B$147,'BSE - SENSEX Index Options'!$I:$I,"Monthly*")+SUMIFS('BSE - Other Index Options'!$M:$M,'BSE - Other Index Options'!$C:$C,$A218,'BSE - Other Index Options'!$B:$B,B$147,'BSE - Other Index Options'!$I:$I,"Monthly*"))</f>
        <v/>
      </c>
      <c r="C218" s="26">
        <f>IF(SUMIFS('BSE - SENSEX Index Options'!$M:$M,'BSE - SENSEX Index Options'!$C:$C,$A218,'BSE - SENSEX Index Options'!$B:$B,C$147,'BSE - SENSEX Index Options'!$I:$I,"Monthly*")+SUMIFS('BSE - Other Index Options'!$M:$M,'BSE - Other Index Options'!$C:$C,$A218,'BSE - Other Index Options'!$B:$B,C$147,'BSE - Other Index Options'!$I:$I,"Monthly*")=0,"",SUMIFS('BSE - SENSEX Index Options'!$M:$M,'BSE - SENSEX Index Options'!$C:$C,$A218,'BSE - SENSEX Index Options'!$B:$B,C$147,'BSE - SENSEX Index Options'!$I:$I,"Monthly*")+SUMIFS('BSE - Other Index Options'!$M:$M,'BSE - Other Index Options'!$C:$C,$A218,'BSE - Other Index Options'!$B:$B,C$147,'BSE - Other Index Options'!$I:$I,"Monthly*"))</f>
        <v/>
      </c>
      <c r="D218" s="26">
        <f>IF(SUMIFS('BSE - SENSEX Index Options'!$M:$M,'BSE - SENSEX Index Options'!$C:$C,$A218,'BSE - SENSEX Index Options'!$B:$B,D$147,'BSE - SENSEX Index Options'!$I:$I,"Monthly*")+SUMIFS('BSE - Other Index Options'!$M:$M,'BSE - Other Index Options'!$C:$C,$A218,'BSE - Other Index Options'!$B:$B,D$147,'BSE - Other Index Options'!$I:$I,"Monthly*")=0,"",SUMIFS('BSE - SENSEX Index Options'!$M:$M,'BSE - SENSEX Index Options'!$C:$C,$A218,'BSE - SENSEX Index Options'!$B:$B,D$147,'BSE - SENSEX Index Options'!$I:$I,"Monthly*")+SUMIFS('BSE - Other Index Options'!$M:$M,'BSE - Other Index Options'!$C:$C,$A218,'BSE - Other Index Options'!$B:$B,D$147,'BSE - Other Index Options'!$I:$I,"Monthly*"))</f>
        <v/>
      </c>
      <c r="E218" s="26">
        <f>IF(SUMIFS('BSE - SENSEX Index Options'!$M:$M,'BSE - SENSEX Index Options'!$C:$C,$A218,'BSE - SENSEX Index Options'!$B:$B,E$147,'BSE - SENSEX Index Options'!$I:$I,"Monthly*")+SUMIFS('BSE - Other Index Options'!$M:$M,'BSE - Other Index Options'!$C:$C,$A218,'BSE - Other Index Options'!$B:$B,E$147,'BSE - Other Index Options'!$I:$I,"Monthly*")=0,"",SUMIFS('BSE - SENSEX Index Options'!$M:$M,'BSE - SENSEX Index Options'!$C:$C,$A218,'BSE - SENSEX Index Options'!$B:$B,E$147,'BSE - SENSEX Index Options'!$I:$I,"Monthly*")+SUMIFS('BSE - Other Index Options'!$M:$M,'BSE - Other Index Options'!$C:$C,$A218,'BSE - Other Index Options'!$B:$B,E$147,'BSE - Other Index Options'!$I:$I,"Monthly*"))</f>
        <v/>
      </c>
      <c r="F218" s="26">
        <f>IF(SUMIFS('BSE - SENSEX Index Options'!$M:$M,'BSE - SENSEX Index Options'!$C:$C,$A218,'BSE - SENSEX Index Options'!$B:$B,F$147,'BSE - SENSEX Index Options'!$I:$I,"Monthly*")+SUMIFS('BSE - Other Index Options'!$M:$M,'BSE - Other Index Options'!$C:$C,$A218,'BSE - Other Index Options'!$B:$B,F$147,'BSE - Other Index Options'!$I:$I,"Monthly*")=0,"",SUMIFS('BSE - SENSEX Index Options'!$M:$M,'BSE - SENSEX Index Options'!$C:$C,$A218,'BSE - SENSEX Index Options'!$B:$B,F$147,'BSE - SENSEX Index Options'!$I:$I,"Monthly*")+SUMIFS('BSE - Other Index Options'!$M:$M,'BSE - Other Index Options'!$C:$C,$A218,'BSE - Other Index Options'!$B:$B,F$147,'BSE - Other Index Options'!$I:$I,"Monthly*"))</f>
        <v/>
      </c>
      <c r="G218" s="26">
        <f>IF(SUMIFS('BSE - SENSEX Index Options'!$M:$M,'BSE - SENSEX Index Options'!$C:$C,$A218,'BSE - SENSEX Index Options'!$B:$B,G$147,'BSE - SENSEX Index Options'!$I:$I,"Monthly*")+SUMIFS('BSE - Other Index Options'!$M:$M,'BSE - Other Index Options'!$C:$C,$A218,'BSE - Other Index Options'!$B:$B,G$147,'BSE - Other Index Options'!$I:$I,"Monthly*")=0,"",SUMIFS('BSE - SENSEX Index Options'!$M:$M,'BSE - SENSEX Index Options'!$C:$C,$A218,'BSE - SENSEX Index Options'!$B:$B,G$147,'BSE - SENSEX Index Options'!$I:$I,"Monthly*")+SUMIFS('BSE - Other Index Options'!$M:$M,'BSE - Other Index Options'!$C:$C,$A218,'BSE - Other Index Options'!$B:$B,G$147,'BSE - Other Index Options'!$I:$I,"Monthly*"))</f>
        <v/>
      </c>
      <c r="H218" s="26">
        <f>IF(SUM(B218:G218)=0,"",SUM(B218:G218))</f>
        <v/>
      </c>
    </row>
    <row r="219" hidden="1" outlineLevel="1">
      <c r="A219" t="inlineStr">
        <is>
          <t>Week3-Nov-2026</t>
        </is>
      </c>
      <c r="B219" s="26">
        <f>IF(SUMIFS('BSE - SENSEX Index Options'!$M:$M,'BSE - SENSEX Index Options'!$C:$C,$A219,'BSE - SENSEX Index Options'!$B:$B,B$147,'BSE - SENSEX Index Options'!$I:$I,"Monthly*")+SUMIFS('BSE - Other Index Options'!$M:$M,'BSE - Other Index Options'!$C:$C,$A219,'BSE - Other Index Options'!$B:$B,B$147,'BSE - Other Index Options'!$I:$I,"Monthly*")=0,"",SUMIFS('BSE - SENSEX Index Options'!$M:$M,'BSE - SENSEX Index Options'!$C:$C,$A219,'BSE - SENSEX Index Options'!$B:$B,B$147,'BSE - SENSEX Index Options'!$I:$I,"Monthly*")+SUMIFS('BSE - Other Index Options'!$M:$M,'BSE - Other Index Options'!$C:$C,$A219,'BSE - Other Index Options'!$B:$B,B$147,'BSE - Other Index Options'!$I:$I,"Monthly*"))</f>
        <v/>
      </c>
      <c r="C219" s="26">
        <f>IF(SUMIFS('BSE - SENSEX Index Options'!$M:$M,'BSE - SENSEX Index Options'!$C:$C,$A219,'BSE - SENSEX Index Options'!$B:$B,C$147,'BSE - SENSEX Index Options'!$I:$I,"Monthly*")+SUMIFS('BSE - Other Index Options'!$M:$M,'BSE - Other Index Options'!$C:$C,$A219,'BSE - Other Index Options'!$B:$B,C$147,'BSE - Other Index Options'!$I:$I,"Monthly*")=0,"",SUMIFS('BSE - SENSEX Index Options'!$M:$M,'BSE - SENSEX Index Options'!$C:$C,$A219,'BSE - SENSEX Index Options'!$B:$B,C$147,'BSE - SENSEX Index Options'!$I:$I,"Monthly*")+SUMIFS('BSE - Other Index Options'!$M:$M,'BSE - Other Index Options'!$C:$C,$A219,'BSE - Other Index Options'!$B:$B,C$147,'BSE - Other Index Options'!$I:$I,"Monthly*"))</f>
        <v/>
      </c>
      <c r="D219" s="26">
        <f>IF(SUMIFS('BSE - SENSEX Index Options'!$M:$M,'BSE - SENSEX Index Options'!$C:$C,$A219,'BSE - SENSEX Index Options'!$B:$B,D$147,'BSE - SENSEX Index Options'!$I:$I,"Monthly*")+SUMIFS('BSE - Other Index Options'!$M:$M,'BSE - Other Index Options'!$C:$C,$A219,'BSE - Other Index Options'!$B:$B,D$147,'BSE - Other Index Options'!$I:$I,"Monthly*")=0,"",SUMIFS('BSE - SENSEX Index Options'!$M:$M,'BSE - SENSEX Index Options'!$C:$C,$A219,'BSE - SENSEX Index Options'!$B:$B,D$147,'BSE - SENSEX Index Options'!$I:$I,"Monthly*")+SUMIFS('BSE - Other Index Options'!$M:$M,'BSE - Other Index Options'!$C:$C,$A219,'BSE - Other Index Options'!$B:$B,D$147,'BSE - Other Index Options'!$I:$I,"Monthly*"))</f>
        <v/>
      </c>
      <c r="E219" s="26">
        <f>IF(SUMIFS('BSE - SENSEX Index Options'!$M:$M,'BSE - SENSEX Index Options'!$C:$C,$A219,'BSE - SENSEX Index Options'!$B:$B,E$147,'BSE - SENSEX Index Options'!$I:$I,"Monthly*")+SUMIFS('BSE - Other Index Options'!$M:$M,'BSE - Other Index Options'!$C:$C,$A219,'BSE - Other Index Options'!$B:$B,E$147,'BSE - Other Index Options'!$I:$I,"Monthly*")=0,"",SUMIFS('BSE - SENSEX Index Options'!$M:$M,'BSE - SENSEX Index Options'!$C:$C,$A219,'BSE - SENSEX Index Options'!$B:$B,E$147,'BSE - SENSEX Index Options'!$I:$I,"Monthly*")+SUMIFS('BSE - Other Index Options'!$M:$M,'BSE - Other Index Options'!$C:$C,$A219,'BSE - Other Index Options'!$B:$B,E$147,'BSE - Other Index Options'!$I:$I,"Monthly*"))</f>
        <v/>
      </c>
      <c r="F219" s="26">
        <f>IF(SUMIFS('BSE - SENSEX Index Options'!$M:$M,'BSE - SENSEX Index Options'!$C:$C,$A219,'BSE - SENSEX Index Options'!$B:$B,F$147,'BSE - SENSEX Index Options'!$I:$I,"Monthly*")+SUMIFS('BSE - Other Index Options'!$M:$M,'BSE - Other Index Options'!$C:$C,$A219,'BSE - Other Index Options'!$B:$B,F$147,'BSE - Other Index Options'!$I:$I,"Monthly*")=0,"",SUMIFS('BSE - SENSEX Index Options'!$M:$M,'BSE - SENSEX Index Options'!$C:$C,$A219,'BSE - SENSEX Index Options'!$B:$B,F$147,'BSE - SENSEX Index Options'!$I:$I,"Monthly*")+SUMIFS('BSE - Other Index Options'!$M:$M,'BSE - Other Index Options'!$C:$C,$A219,'BSE - Other Index Options'!$B:$B,F$147,'BSE - Other Index Options'!$I:$I,"Monthly*"))</f>
        <v/>
      </c>
      <c r="G219" s="26">
        <f>IF(SUMIFS('BSE - SENSEX Index Options'!$M:$M,'BSE - SENSEX Index Options'!$C:$C,$A219,'BSE - SENSEX Index Options'!$B:$B,G$147,'BSE - SENSEX Index Options'!$I:$I,"Monthly*")+SUMIFS('BSE - Other Index Options'!$M:$M,'BSE - Other Index Options'!$C:$C,$A219,'BSE - Other Index Options'!$B:$B,G$147,'BSE - Other Index Options'!$I:$I,"Monthly*")=0,"",SUMIFS('BSE - SENSEX Index Options'!$M:$M,'BSE - SENSEX Index Options'!$C:$C,$A219,'BSE - SENSEX Index Options'!$B:$B,G$147,'BSE - SENSEX Index Options'!$I:$I,"Monthly*")+SUMIFS('BSE - Other Index Options'!$M:$M,'BSE - Other Index Options'!$C:$C,$A219,'BSE - Other Index Options'!$B:$B,G$147,'BSE - Other Index Options'!$I:$I,"Monthly*"))</f>
        <v/>
      </c>
      <c r="H219" s="26">
        <f>IF(SUM(B219:G219)=0,"",SUM(B219:G219))</f>
        <v/>
      </c>
    </row>
    <row r="220" hidden="1" outlineLevel="1">
      <c r="A220" t="inlineStr">
        <is>
          <t>Week4-Nov-2026</t>
        </is>
      </c>
      <c r="B220" s="26">
        <f>IF(SUMIFS('BSE - SENSEX Index Options'!$M:$M,'BSE - SENSEX Index Options'!$C:$C,$A220,'BSE - SENSEX Index Options'!$B:$B,B$147,'BSE - SENSEX Index Options'!$I:$I,"Monthly*")+SUMIFS('BSE - Other Index Options'!$M:$M,'BSE - Other Index Options'!$C:$C,$A220,'BSE - Other Index Options'!$B:$B,B$147,'BSE - Other Index Options'!$I:$I,"Monthly*")=0,"",SUMIFS('BSE - SENSEX Index Options'!$M:$M,'BSE - SENSEX Index Options'!$C:$C,$A220,'BSE - SENSEX Index Options'!$B:$B,B$147,'BSE - SENSEX Index Options'!$I:$I,"Monthly*")+SUMIFS('BSE - Other Index Options'!$M:$M,'BSE - Other Index Options'!$C:$C,$A220,'BSE - Other Index Options'!$B:$B,B$147,'BSE - Other Index Options'!$I:$I,"Monthly*"))</f>
        <v/>
      </c>
      <c r="C220" s="26">
        <f>IF(SUMIFS('BSE - SENSEX Index Options'!$M:$M,'BSE - SENSEX Index Options'!$C:$C,$A220,'BSE - SENSEX Index Options'!$B:$B,C$147,'BSE - SENSEX Index Options'!$I:$I,"Monthly*")+SUMIFS('BSE - Other Index Options'!$M:$M,'BSE - Other Index Options'!$C:$C,$A220,'BSE - Other Index Options'!$B:$B,C$147,'BSE - Other Index Options'!$I:$I,"Monthly*")=0,"",SUMIFS('BSE - SENSEX Index Options'!$M:$M,'BSE - SENSEX Index Options'!$C:$C,$A220,'BSE - SENSEX Index Options'!$B:$B,C$147,'BSE - SENSEX Index Options'!$I:$I,"Monthly*")+SUMIFS('BSE - Other Index Options'!$M:$M,'BSE - Other Index Options'!$C:$C,$A220,'BSE - Other Index Options'!$B:$B,C$147,'BSE - Other Index Options'!$I:$I,"Monthly*"))</f>
        <v/>
      </c>
      <c r="D220" s="26">
        <f>IF(SUMIFS('BSE - SENSEX Index Options'!$M:$M,'BSE - SENSEX Index Options'!$C:$C,$A220,'BSE - SENSEX Index Options'!$B:$B,D$147,'BSE - SENSEX Index Options'!$I:$I,"Monthly*")+SUMIFS('BSE - Other Index Options'!$M:$M,'BSE - Other Index Options'!$C:$C,$A220,'BSE - Other Index Options'!$B:$B,D$147,'BSE - Other Index Options'!$I:$I,"Monthly*")=0,"",SUMIFS('BSE - SENSEX Index Options'!$M:$M,'BSE - SENSEX Index Options'!$C:$C,$A220,'BSE - SENSEX Index Options'!$B:$B,D$147,'BSE - SENSEX Index Options'!$I:$I,"Monthly*")+SUMIFS('BSE - Other Index Options'!$M:$M,'BSE - Other Index Options'!$C:$C,$A220,'BSE - Other Index Options'!$B:$B,D$147,'BSE - Other Index Options'!$I:$I,"Monthly*"))</f>
        <v/>
      </c>
      <c r="E220" s="26">
        <f>IF(SUMIFS('BSE - SENSEX Index Options'!$M:$M,'BSE - SENSEX Index Options'!$C:$C,$A220,'BSE - SENSEX Index Options'!$B:$B,E$147,'BSE - SENSEX Index Options'!$I:$I,"Monthly*")+SUMIFS('BSE - Other Index Options'!$M:$M,'BSE - Other Index Options'!$C:$C,$A220,'BSE - Other Index Options'!$B:$B,E$147,'BSE - Other Index Options'!$I:$I,"Monthly*")=0,"",SUMIFS('BSE - SENSEX Index Options'!$M:$M,'BSE - SENSEX Index Options'!$C:$C,$A220,'BSE - SENSEX Index Options'!$B:$B,E$147,'BSE - SENSEX Index Options'!$I:$I,"Monthly*")+SUMIFS('BSE - Other Index Options'!$M:$M,'BSE - Other Index Options'!$C:$C,$A220,'BSE - Other Index Options'!$B:$B,E$147,'BSE - Other Index Options'!$I:$I,"Monthly*"))</f>
        <v/>
      </c>
      <c r="F220" s="26">
        <f>IF(SUMIFS('BSE - SENSEX Index Options'!$M:$M,'BSE - SENSEX Index Options'!$C:$C,$A220,'BSE - SENSEX Index Options'!$B:$B,F$147,'BSE - SENSEX Index Options'!$I:$I,"Monthly*")+SUMIFS('BSE - Other Index Options'!$M:$M,'BSE - Other Index Options'!$C:$C,$A220,'BSE - Other Index Options'!$B:$B,F$147,'BSE - Other Index Options'!$I:$I,"Monthly*")=0,"",SUMIFS('BSE - SENSEX Index Options'!$M:$M,'BSE - SENSEX Index Options'!$C:$C,$A220,'BSE - SENSEX Index Options'!$B:$B,F$147,'BSE - SENSEX Index Options'!$I:$I,"Monthly*")+SUMIFS('BSE - Other Index Options'!$M:$M,'BSE - Other Index Options'!$C:$C,$A220,'BSE - Other Index Options'!$B:$B,F$147,'BSE - Other Index Options'!$I:$I,"Monthly*"))</f>
        <v/>
      </c>
      <c r="G220" s="26">
        <f>IF(SUMIFS('BSE - SENSEX Index Options'!$M:$M,'BSE - SENSEX Index Options'!$C:$C,$A220,'BSE - SENSEX Index Options'!$B:$B,G$147,'BSE - SENSEX Index Options'!$I:$I,"Monthly*")+SUMIFS('BSE - Other Index Options'!$M:$M,'BSE - Other Index Options'!$C:$C,$A220,'BSE - Other Index Options'!$B:$B,G$147,'BSE - Other Index Options'!$I:$I,"Monthly*")=0,"",SUMIFS('BSE - SENSEX Index Options'!$M:$M,'BSE - SENSEX Index Options'!$C:$C,$A220,'BSE - SENSEX Index Options'!$B:$B,G$147,'BSE - SENSEX Index Options'!$I:$I,"Monthly*")+SUMIFS('BSE - Other Index Options'!$M:$M,'BSE - Other Index Options'!$C:$C,$A220,'BSE - Other Index Options'!$B:$B,G$147,'BSE - Other Index Options'!$I:$I,"Monthly*"))</f>
        <v/>
      </c>
      <c r="H220" s="26">
        <f>IF(SUM(B220:G220)=0,"",SUM(B220:G220))</f>
        <v/>
      </c>
    </row>
    <row r="221" hidden="1" outlineLevel="1">
      <c r="A221" t="inlineStr">
        <is>
          <t>Week5-Nov-2026</t>
        </is>
      </c>
      <c r="B221" s="26">
        <f>IF(SUMIFS('BSE - SENSEX Index Options'!$M:$M,'BSE - SENSEX Index Options'!$C:$C,$A221,'BSE - SENSEX Index Options'!$B:$B,B$147,'BSE - SENSEX Index Options'!$I:$I,"Monthly*")+SUMIFS('BSE - Other Index Options'!$M:$M,'BSE - Other Index Options'!$C:$C,$A221,'BSE - Other Index Options'!$B:$B,B$147,'BSE - Other Index Options'!$I:$I,"Monthly*")=0,"",SUMIFS('BSE - SENSEX Index Options'!$M:$M,'BSE - SENSEX Index Options'!$C:$C,$A221,'BSE - SENSEX Index Options'!$B:$B,B$147,'BSE - SENSEX Index Options'!$I:$I,"Monthly*")+SUMIFS('BSE - Other Index Options'!$M:$M,'BSE - Other Index Options'!$C:$C,$A221,'BSE - Other Index Options'!$B:$B,B$147,'BSE - Other Index Options'!$I:$I,"Monthly*"))</f>
        <v/>
      </c>
      <c r="C221" s="26">
        <f>IF(SUMIFS('BSE - SENSEX Index Options'!$M:$M,'BSE - SENSEX Index Options'!$C:$C,$A221,'BSE - SENSEX Index Options'!$B:$B,C$147,'BSE - SENSEX Index Options'!$I:$I,"Monthly*")+SUMIFS('BSE - Other Index Options'!$M:$M,'BSE - Other Index Options'!$C:$C,$A221,'BSE - Other Index Options'!$B:$B,C$147,'BSE - Other Index Options'!$I:$I,"Monthly*")=0,"",SUMIFS('BSE - SENSEX Index Options'!$M:$M,'BSE - SENSEX Index Options'!$C:$C,$A221,'BSE - SENSEX Index Options'!$B:$B,C$147,'BSE - SENSEX Index Options'!$I:$I,"Monthly*")+SUMIFS('BSE - Other Index Options'!$M:$M,'BSE - Other Index Options'!$C:$C,$A221,'BSE - Other Index Options'!$B:$B,C$147,'BSE - Other Index Options'!$I:$I,"Monthly*"))</f>
        <v/>
      </c>
      <c r="D221" s="26">
        <f>IF(SUMIFS('BSE - SENSEX Index Options'!$M:$M,'BSE - SENSEX Index Options'!$C:$C,$A221,'BSE - SENSEX Index Options'!$B:$B,D$147,'BSE - SENSEX Index Options'!$I:$I,"Monthly*")+SUMIFS('BSE - Other Index Options'!$M:$M,'BSE - Other Index Options'!$C:$C,$A221,'BSE - Other Index Options'!$B:$B,D$147,'BSE - Other Index Options'!$I:$I,"Monthly*")=0,"",SUMIFS('BSE - SENSEX Index Options'!$M:$M,'BSE - SENSEX Index Options'!$C:$C,$A221,'BSE - SENSEX Index Options'!$B:$B,D$147,'BSE - SENSEX Index Options'!$I:$I,"Monthly*")+SUMIFS('BSE - Other Index Options'!$M:$M,'BSE - Other Index Options'!$C:$C,$A221,'BSE - Other Index Options'!$B:$B,D$147,'BSE - Other Index Options'!$I:$I,"Monthly*"))</f>
        <v/>
      </c>
      <c r="E221" s="26">
        <f>IF(SUMIFS('BSE - SENSEX Index Options'!$M:$M,'BSE - SENSEX Index Options'!$C:$C,$A221,'BSE - SENSEX Index Options'!$B:$B,E$147,'BSE - SENSEX Index Options'!$I:$I,"Monthly*")+SUMIFS('BSE - Other Index Options'!$M:$M,'BSE - Other Index Options'!$C:$C,$A221,'BSE - Other Index Options'!$B:$B,E$147,'BSE - Other Index Options'!$I:$I,"Monthly*")=0,"",SUMIFS('BSE - SENSEX Index Options'!$M:$M,'BSE - SENSEX Index Options'!$C:$C,$A221,'BSE - SENSEX Index Options'!$B:$B,E$147,'BSE - SENSEX Index Options'!$I:$I,"Monthly*")+SUMIFS('BSE - Other Index Options'!$M:$M,'BSE - Other Index Options'!$C:$C,$A221,'BSE - Other Index Options'!$B:$B,E$147,'BSE - Other Index Options'!$I:$I,"Monthly*"))</f>
        <v/>
      </c>
      <c r="F221" s="26">
        <f>IF(SUMIFS('BSE - SENSEX Index Options'!$M:$M,'BSE - SENSEX Index Options'!$C:$C,$A221,'BSE - SENSEX Index Options'!$B:$B,F$147,'BSE - SENSEX Index Options'!$I:$I,"Monthly*")+SUMIFS('BSE - Other Index Options'!$M:$M,'BSE - Other Index Options'!$C:$C,$A221,'BSE - Other Index Options'!$B:$B,F$147,'BSE - Other Index Options'!$I:$I,"Monthly*")=0,"",SUMIFS('BSE - SENSEX Index Options'!$M:$M,'BSE - SENSEX Index Options'!$C:$C,$A221,'BSE - SENSEX Index Options'!$B:$B,F$147,'BSE - SENSEX Index Options'!$I:$I,"Monthly*")+SUMIFS('BSE - Other Index Options'!$M:$M,'BSE - Other Index Options'!$C:$C,$A221,'BSE - Other Index Options'!$B:$B,F$147,'BSE - Other Index Options'!$I:$I,"Monthly*"))</f>
        <v/>
      </c>
      <c r="G221" s="26">
        <f>IF(SUMIFS('BSE - SENSEX Index Options'!$M:$M,'BSE - SENSEX Index Options'!$C:$C,$A221,'BSE - SENSEX Index Options'!$B:$B,G$147,'BSE - SENSEX Index Options'!$I:$I,"Monthly*")+SUMIFS('BSE - Other Index Options'!$M:$M,'BSE - Other Index Options'!$C:$C,$A221,'BSE - Other Index Options'!$B:$B,G$147,'BSE - Other Index Options'!$I:$I,"Monthly*")=0,"",SUMIFS('BSE - SENSEX Index Options'!$M:$M,'BSE - SENSEX Index Options'!$C:$C,$A221,'BSE - SENSEX Index Options'!$B:$B,G$147,'BSE - SENSEX Index Options'!$I:$I,"Monthly*")+SUMIFS('BSE - Other Index Options'!$M:$M,'BSE - Other Index Options'!$C:$C,$A221,'BSE - Other Index Options'!$B:$B,G$147,'BSE - Other Index Options'!$I:$I,"Monthly*"))</f>
        <v/>
      </c>
      <c r="H221" s="26">
        <f>IF(SUM(B221:G221)=0,"",SUM(B221:G221))</f>
        <v/>
      </c>
    </row>
    <row r="222" hidden="1" outlineLevel="1">
      <c r="A222" t="inlineStr">
        <is>
          <t>Week1-Dec-2026</t>
        </is>
      </c>
      <c r="B222" s="26">
        <f>IF(SUMIFS('BSE - SENSEX Index Options'!$M:$M,'BSE - SENSEX Index Options'!$C:$C,$A222,'BSE - SENSEX Index Options'!$B:$B,B$147,'BSE - SENSEX Index Options'!$I:$I,"Monthly*")+SUMIFS('BSE - Other Index Options'!$M:$M,'BSE - Other Index Options'!$C:$C,$A222,'BSE - Other Index Options'!$B:$B,B$147,'BSE - Other Index Options'!$I:$I,"Monthly*")=0,"",SUMIFS('BSE - SENSEX Index Options'!$M:$M,'BSE - SENSEX Index Options'!$C:$C,$A222,'BSE - SENSEX Index Options'!$B:$B,B$147,'BSE - SENSEX Index Options'!$I:$I,"Monthly*")+SUMIFS('BSE - Other Index Options'!$M:$M,'BSE - Other Index Options'!$C:$C,$A222,'BSE - Other Index Options'!$B:$B,B$147,'BSE - Other Index Options'!$I:$I,"Monthly*"))</f>
        <v/>
      </c>
      <c r="C222" s="26">
        <f>IF(SUMIFS('BSE - SENSEX Index Options'!$M:$M,'BSE - SENSEX Index Options'!$C:$C,$A222,'BSE - SENSEX Index Options'!$B:$B,C$147,'BSE - SENSEX Index Options'!$I:$I,"Monthly*")+SUMIFS('BSE - Other Index Options'!$M:$M,'BSE - Other Index Options'!$C:$C,$A222,'BSE - Other Index Options'!$B:$B,C$147,'BSE - Other Index Options'!$I:$I,"Monthly*")=0,"",SUMIFS('BSE - SENSEX Index Options'!$M:$M,'BSE - SENSEX Index Options'!$C:$C,$A222,'BSE - SENSEX Index Options'!$B:$B,C$147,'BSE - SENSEX Index Options'!$I:$I,"Monthly*")+SUMIFS('BSE - Other Index Options'!$M:$M,'BSE - Other Index Options'!$C:$C,$A222,'BSE - Other Index Options'!$B:$B,C$147,'BSE - Other Index Options'!$I:$I,"Monthly*"))</f>
        <v/>
      </c>
      <c r="D222" s="26">
        <f>IF(SUMIFS('BSE - SENSEX Index Options'!$M:$M,'BSE - SENSEX Index Options'!$C:$C,$A222,'BSE - SENSEX Index Options'!$B:$B,D$147,'BSE - SENSEX Index Options'!$I:$I,"Monthly*")+SUMIFS('BSE - Other Index Options'!$M:$M,'BSE - Other Index Options'!$C:$C,$A222,'BSE - Other Index Options'!$B:$B,D$147,'BSE - Other Index Options'!$I:$I,"Monthly*")=0,"",SUMIFS('BSE - SENSEX Index Options'!$M:$M,'BSE - SENSEX Index Options'!$C:$C,$A222,'BSE - SENSEX Index Options'!$B:$B,D$147,'BSE - SENSEX Index Options'!$I:$I,"Monthly*")+SUMIFS('BSE - Other Index Options'!$M:$M,'BSE - Other Index Options'!$C:$C,$A222,'BSE - Other Index Options'!$B:$B,D$147,'BSE - Other Index Options'!$I:$I,"Monthly*"))</f>
        <v/>
      </c>
      <c r="E222" s="26">
        <f>IF(SUMIFS('BSE - SENSEX Index Options'!$M:$M,'BSE - SENSEX Index Options'!$C:$C,$A222,'BSE - SENSEX Index Options'!$B:$B,E$147,'BSE - SENSEX Index Options'!$I:$I,"Monthly*")+SUMIFS('BSE - Other Index Options'!$M:$M,'BSE - Other Index Options'!$C:$C,$A222,'BSE - Other Index Options'!$B:$B,E$147,'BSE - Other Index Options'!$I:$I,"Monthly*")=0,"",SUMIFS('BSE - SENSEX Index Options'!$M:$M,'BSE - SENSEX Index Options'!$C:$C,$A222,'BSE - SENSEX Index Options'!$B:$B,E$147,'BSE - SENSEX Index Options'!$I:$I,"Monthly*")+SUMIFS('BSE - Other Index Options'!$M:$M,'BSE - Other Index Options'!$C:$C,$A222,'BSE - Other Index Options'!$B:$B,E$147,'BSE - Other Index Options'!$I:$I,"Monthly*"))</f>
        <v/>
      </c>
      <c r="F222" s="26">
        <f>IF(SUMIFS('BSE - SENSEX Index Options'!$M:$M,'BSE - SENSEX Index Options'!$C:$C,$A222,'BSE - SENSEX Index Options'!$B:$B,F$147,'BSE - SENSEX Index Options'!$I:$I,"Monthly*")+SUMIFS('BSE - Other Index Options'!$M:$M,'BSE - Other Index Options'!$C:$C,$A222,'BSE - Other Index Options'!$B:$B,F$147,'BSE - Other Index Options'!$I:$I,"Monthly*")=0,"",SUMIFS('BSE - SENSEX Index Options'!$M:$M,'BSE - SENSEX Index Options'!$C:$C,$A222,'BSE - SENSEX Index Options'!$B:$B,F$147,'BSE - SENSEX Index Options'!$I:$I,"Monthly*")+SUMIFS('BSE - Other Index Options'!$M:$M,'BSE - Other Index Options'!$C:$C,$A222,'BSE - Other Index Options'!$B:$B,F$147,'BSE - Other Index Options'!$I:$I,"Monthly*"))</f>
        <v/>
      </c>
      <c r="G222" s="26">
        <f>IF(SUMIFS('BSE - SENSEX Index Options'!$M:$M,'BSE - SENSEX Index Options'!$C:$C,$A222,'BSE - SENSEX Index Options'!$B:$B,G$147,'BSE - SENSEX Index Options'!$I:$I,"Monthly*")+SUMIFS('BSE - Other Index Options'!$M:$M,'BSE - Other Index Options'!$C:$C,$A222,'BSE - Other Index Options'!$B:$B,G$147,'BSE - Other Index Options'!$I:$I,"Monthly*")=0,"",SUMIFS('BSE - SENSEX Index Options'!$M:$M,'BSE - SENSEX Index Options'!$C:$C,$A222,'BSE - SENSEX Index Options'!$B:$B,G$147,'BSE - SENSEX Index Options'!$I:$I,"Monthly*")+SUMIFS('BSE - Other Index Options'!$M:$M,'BSE - Other Index Options'!$C:$C,$A222,'BSE - Other Index Options'!$B:$B,G$147,'BSE - Other Index Options'!$I:$I,"Monthly*"))</f>
        <v/>
      </c>
      <c r="H222" s="26">
        <f>IF(SUM(B222:G222)=0,"",SUM(B222:G222))</f>
        <v/>
      </c>
    </row>
    <row r="223" hidden="1" outlineLevel="1">
      <c r="A223" t="inlineStr">
        <is>
          <t>Week2-Dec-2026</t>
        </is>
      </c>
      <c r="B223" s="26">
        <f>IF(SUMIFS('BSE - SENSEX Index Options'!$M:$M,'BSE - SENSEX Index Options'!$C:$C,$A223,'BSE - SENSEX Index Options'!$B:$B,B$147,'BSE - SENSEX Index Options'!$I:$I,"Monthly*")+SUMIFS('BSE - Other Index Options'!$M:$M,'BSE - Other Index Options'!$C:$C,$A223,'BSE - Other Index Options'!$B:$B,B$147,'BSE - Other Index Options'!$I:$I,"Monthly*")=0,"",SUMIFS('BSE - SENSEX Index Options'!$M:$M,'BSE - SENSEX Index Options'!$C:$C,$A223,'BSE - SENSEX Index Options'!$B:$B,B$147,'BSE - SENSEX Index Options'!$I:$I,"Monthly*")+SUMIFS('BSE - Other Index Options'!$M:$M,'BSE - Other Index Options'!$C:$C,$A223,'BSE - Other Index Options'!$B:$B,B$147,'BSE - Other Index Options'!$I:$I,"Monthly*"))</f>
        <v/>
      </c>
      <c r="C223" s="26">
        <f>IF(SUMIFS('BSE - SENSEX Index Options'!$M:$M,'BSE - SENSEX Index Options'!$C:$C,$A223,'BSE - SENSEX Index Options'!$B:$B,C$147,'BSE - SENSEX Index Options'!$I:$I,"Monthly*")+SUMIFS('BSE - Other Index Options'!$M:$M,'BSE - Other Index Options'!$C:$C,$A223,'BSE - Other Index Options'!$B:$B,C$147,'BSE - Other Index Options'!$I:$I,"Monthly*")=0,"",SUMIFS('BSE - SENSEX Index Options'!$M:$M,'BSE - SENSEX Index Options'!$C:$C,$A223,'BSE - SENSEX Index Options'!$B:$B,C$147,'BSE - SENSEX Index Options'!$I:$I,"Monthly*")+SUMIFS('BSE - Other Index Options'!$M:$M,'BSE - Other Index Options'!$C:$C,$A223,'BSE - Other Index Options'!$B:$B,C$147,'BSE - Other Index Options'!$I:$I,"Monthly*"))</f>
        <v/>
      </c>
      <c r="D223" s="26">
        <f>IF(SUMIFS('BSE - SENSEX Index Options'!$M:$M,'BSE - SENSEX Index Options'!$C:$C,$A223,'BSE - SENSEX Index Options'!$B:$B,D$147,'BSE - SENSEX Index Options'!$I:$I,"Monthly*")+SUMIFS('BSE - Other Index Options'!$M:$M,'BSE - Other Index Options'!$C:$C,$A223,'BSE - Other Index Options'!$B:$B,D$147,'BSE - Other Index Options'!$I:$I,"Monthly*")=0,"",SUMIFS('BSE - SENSEX Index Options'!$M:$M,'BSE - SENSEX Index Options'!$C:$C,$A223,'BSE - SENSEX Index Options'!$B:$B,D$147,'BSE - SENSEX Index Options'!$I:$I,"Monthly*")+SUMIFS('BSE - Other Index Options'!$M:$M,'BSE - Other Index Options'!$C:$C,$A223,'BSE - Other Index Options'!$B:$B,D$147,'BSE - Other Index Options'!$I:$I,"Monthly*"))</f>
        <v/>
      </c>
      <c r="E223" s="26">
        <f>IF(SUMIFS('BSE - SENSEX Index Options'!$M:$M,'BSE - SENSEX Index Options'!$C:$C,$A223,'BSE - SENSEX Index Options'!$B:$B,E$147,'BSE - SENSEX Index Options'!$I:$I,"Monthly*")+SUMIFS('BSE - Other Index Options'!$M:$M,'BSE - Other Index Options'!$C:$C,$A223,'BSE - Other Index Options'!$B:$B,E$147,'BSE - Other Index Options'!$I:$I,"Monthly*")=0,"",SUMIFS('BSE - SENSEX Index Options'!$M:$M,'BSE - SENSEX Index Options'!$C:$C,$A223,'BSE - SENSEX Index Options'!$B:$B,E$147,'BSE - SENSEX Index Options'!$I:$I,"Monthly*")+SUMIFS('BSE - Other Index Options'!$M:$M,'BSE - Other Index Options'!$C:$C,$A223,'BSE - Other Index Options'!$B:$B,E$147,'BSE - Other Index Options'!$I:$I,"Monthly*"))</f>
        <v/>
      </c>
      <c r="F223" s="26">
        <f>IF(SUMIFS('BSE - SENSEX Index Options'!$M:$M,'BSE - SENSEX Index Options'!$C:$C,$A223,'BSE - SENSEX Index Options'!$B:$B,F$147,'BSE - SENSEX Index Options'!$I:$I,"Monthly*")+SUMIFS('BSE - Other Index Options'!$M:$M,'BSE - Other Index Options'!$C:$C,$A223,'BSE - Other Index Options'!$B:$B,F$147,'BSE - Other Index Options'!$I:$I,"Monthly*")=0,"",SUMIFS('BSE - SENSEX Index Options'!$M:$M,'BSE - SENSEX Index Options'!$C:$C,$A223,'BSE - SENSEX Index Options'!$B:$B,F$147,'BSE - SENSEX Index Options'!$I:$I,"Monthly*")+SUMIFS('BSE - Other Index Options'!$M:$M,'BSE - Other Index Options'!$C:$C,$A223,'BSE - Other Index Options'!$B:$B,F$147,'BSE - Other Index Options'!$I:$I,"Monthly*"))</f>
        <v/>
      </c>
      <c r="G223" s="26">
        <f>IF(SUMIFS('BSE - SENSEX Index Options'!$M:$M,'BSE - SENSEX Index Options'!$C:$C,$A223,'BSE - SENSEX Index Options'!$B:$B,G$147,'BSE - SENSEX Index Options'!$I:$I,"Monthly*")+SUMIFS('BSE - Other Index Options'!$M:$M,'BSE - Other Index Options'!$C:$C,$A223,'BSE - Other Index Options'!$B:$B,G$147,'BSE - Other Index Options'!$I:$I,"Monthly*")=0,"",SUMIFS('BSE - SENSEX Index Options'!$M:$M,'BSE - SENSEX Index Options'!$C:$C,$A223,'BSE - SENSEX Index Options'!$B:$B,G$147,'BSE - SENSEX Index Options'!$I:$I,"Monthly*")+SUMIFS('BSE - Other Index Options'!$M:$M,'BSE - Other Index Options'!$C:$C,$A223,'BSE - Other Index Options'!$B:$B,G$147,'BSE - Other Index Options'!$I:$I,"Monthly*"))</f>
        <v/>
      </c>
      <c r="H223" s="26">
        <f>IF(SUM(B223:G223)=0,"",SUM(B223:G223))</f>
        <v/>
      </c>
    </row>
    <row r="224" hidden="1" outlineLevel="1">
      <c r="A224" t="inlineStr">
        <is>
          <t>Week3-Dec-2026</t>
        </is>
      </c>
      <c r="B224" s="26">
        <f>IF(SUMIFS('BSE - SENSEX Index Options'!$M:$M,'BSE - SENSEX Index Options'!$C:$C,$A224,'BSE - SENSEX Index Options'!$B:$B,B$147,'BSE - SENSEX Index Options'!$I:$I,"Monthly*")+SUMIFS('BSE - Other Index Options'!$M:$M,'BSE - Other Index Options'!$C:$C,$A224,'BSE - Other Index Options'!$B:$B,B$147,'BSE - Other Index Options'!$I:$I,"Monthly*")=0,"",SUMIFS('BSE - SENSEX Index Options'!$M:$M,'BSE - SENSEX Index Options'!$C:$C,$A224,'BSE - SENSEX Index Options'!$B:$B,B$147,'BSE - SENSEX Index Options'!$I:$I,"Monthly*")+SUMIFS('BSE - Other Index Options'!$M:$M,'BSE - Other Index Options'!$C:$C,$A224,'BSE - Other Index Options'!$B:$B,B$147,'BSE - Other Index Options'!$I:$I,"Monthly*"))</f>
        <v/>
      </c>
      <c r="C224" s="26">
        <f>IF(SUMIFS('BSE - SENSEX Index Options'!$M:$M,'BSE - SENSEX Index Options'!$C:$C,$A224,'BSE - SENSEX Index Options'!$B:$B,C$147,'BSE - SENSEX Index Options'!$I:$I,"Monthly*")+SUMIFS('BSE - Other Index Options'!$M:$M,'BSE - Other Index Options'!$C:$C,$A224,'BSE - Other Index Options'!$B:$B,C$147,'BSE - Other Index Options'!$I:$I,"Monthly*")=0,"",SUMIFS('BSE - SENSEX Index Options'!$M:$M,'BSE - SENSEX Index Options'!$C:$C,$A224,'BSE - SENSEX Index Options'!$B:$B,C$147,'BSE - SENSEX Index Options'!$I:$I,"Monthly*")+SUMIFS('BSE - Other Index Options'!$M:$M,'BSE - Other Index Options'!$C:$C,$A224,'BSE - Other Index Options'!$B:$B,C$147,'BSE - Other Index Options'!$I:$I,"Monthly*"))</f>
        <v/>
      </c>
      <c r="D224" s="26">
        <f>IF(SUMIFS('BSE - SENSEX Index Options'!$M:$M,'BSE - SENSEX Index Options'!$C:$C,$A224,'BSE - SENSEX Index Options'!$B:$B,D$147,'BSE - SENSEX Index Options'!$I:$I,"Monthly*")+SUMIFS('BSE - Other Index Options'!$M:$M,'BSE - Other Index Options'!$C:$C,$A224,'BSE - Other Index Options'!$B:$B,D$147,'BSE - Other Index Options'!$I:$I,"Monthly*")=0,"",SUMIFS('BSE - SENSEX Index Options'!$M:$M,'BSE - SENSEX Index Options'!$C:$C,$A224,'BSE - SENSEX Index Options'!$B:$B,D$147,'BSE - SENSEX Index Options'!$I:$I,"Monthly*")+SUMIFS('BSE - Other Index Options'!$M:$M,'BSE - Other Index Options'!$C:$C,$A224,'BSE - Other Index Options'!$B:$B,D$147,'BSE - Other Index Options'!$I:$I,"Monthly*"))</f>
        <v/>
      </c>
      <c r="E224" s="26">
        <f>IF(SUMIFS('BSE - SENSEX Index Options'!$M:$M,'BSE - SENSEX Index Options'!$C:$C,$A224,'BSE - SENSEX Index Options'!$B:$B,E$147,'BSE - SENSEX Index Options'!$I:$I,"Monthly*")+SUMIFS('BSE - Other Index Options'!$M:$M,'BSE - Other Index Options'!$C:$C,$A224,'BSE - Other Index Options'!$B:$B,E$147,'BSE - Other Index Options'!$I:$I,"Monthly*")=0,"",SUMIFS('BSE - SENSEX Index Options'!$M:$M,'BSE - SENSEX Index Options'!$C:$C,$A224,'BSE - SENSEX Index Options'!$B:$B,E$147,'BSE - SENSEX Index Options'!$I:$I,"Monthly*")+SUMIFS('BSE - Other Index Options'!$M:$M,'BSE - Other Index Options'!$C:$C,$A224,'BSE - Other Index Options'!$B:$B,E$147,'BSE - Other Index Options'!$I:$I,"Monthly*"))</f>
        <v/>
      </c>
      <c r="F224" s="26">
        <f>IF(SUMIFS('BSE - SENSEX Index Options'!$M:$M,'BSE - SENSEX Index Options'!$C:$C,$A224,'BSE - SENSEX Index Options'!$B:$B,F$147,'BSE - SENSEX Index Options'!$I:$I,"Monthly*")+SUMIFS('BSE - Other Index Options'!$M:$M,'BSE - Other Index Options'!$C:$C,$A224,'BSE - Other Index Options'!$B:$B,F$147,'BSE - Other Index Options'!$I:$I,"Monthly*")=0,"",SUMIFS('BSE - SENSEX Index Options'!$M:$M,'BSE - SENSEX Index Options'!$C:$C,$A224,'BSE - SENSEX Index Options'!$B:$B,F$147,'BSE - SENSEX Index Options'!$I:$I,"Monthly*")+SUMIFS('BSE - Other Index Options'!$M:$M,'BSE - Other Index Options'!$C:$C,$A224,'BSE - Other Index Options'!$B:$B,F$147,'BSE - Other Index Options'!$I:$I,"Monthly*"))</f>
        <v/>
      </c>
      <c r="G224" s="26">
        <f>IF(SUMIFS('BSE - SENSEX Index Options'!$M:$M,'BSE - SENSEX Index Options'!$C:$C,$A224,'BSE - SENSEX Index Options'!$B:$B,G$147,'BSE - SENSEX Index Options'!$I:$I,"Monthly*")+SUMIFS('BSE - Other Index Options'!$M:$M,'BSE - Other Index Options'!$C:$C,$A224,'BSE - Other Index Options'!$B:$B,G$147,'BSE - Other Index Options'!$I:$I,"Monthly*")=0,"",SUMIFS('BSE - SENSEX Index Options'!$M:$M,'BSE - SENSEX Index Options'!$C:$C,$A224,'BSE - SENSEX Index Options'!$B:$B,G$147,'BSE - SENSEX Index Options'!$I:$I,"Monthly*")+SUMIFS('BSE - Other Index Options'!$M:$M,'BSE - Other Index Options'!$C:$C,$A224,'BSE - Other Index Options'!$B:$B,G$147,'BSE - Other Index Options'!$I:$I,"Monthly*"))</f>
        <v/>
      </c>
      <c r="H224" s="26">
        <f>IF(SUM(B224:G224)=0,"",SUM(B224:G224))</f>
        <v/>
      </c>
    </row>
    <row r="225" hidden="1" outlineLevel="1">
      <c r="A225" t="inlineStr">
        <is>
          <t>Week4-Dec-2026</t>
        </is>
      </c>
      <c r="B225" s="26">
        <f>IF(SUMIFS('BSE - SENSEX Index Options'!$M:$M,'BSE - SENSEX Index Options'!$C:$C,$A225,'BSE - SENSEX Index Options'!$B:$B,B$147,'BSE - SENSEX Index Options'!$I:$I,"Monthly*")+SUMIFS('BSE - Other Index Options'!$M:$M,'BSE - Other Index Options'!$C:$C,$A225,'BSE - Other Index Options'!$B:$B,B$147,'BSE - Other Index Options'!$I:$I,"Monthly*")=0,"",SUMIFS('BSE - SENSEX Index Options'!$M:$M,'BSE - SENSEX Index Options'!$C:$C,$A225,'BSE - SENSEX Index Options'!$B:$B,B$147,'BSE - SENSEX Index Options'!$I:$I,"Monthly*")+SUMIFS('BSE - Other Index Options'!$M:$M,'BSE - Other Index Options'!$C:$C,$A225,'BSE - Other Index Options'!$B:$B,B$147,'BSE - Other Index Options'!$I:$I,"Monthly*"))</f>
        <v/>
      </c>
      <c r="C225" s="26">
        <f>IF(SUMIFS('BSE - SENSEX Index Options'!$M:$M,'BSE - SENSEX Index Options'!$C:$C,$A225,'BSE - SENSEX Index Options'!$B:$B,C$147,'BSE - SENSEX Index Options'!$I:$I,"Monthly*")+SUMIFS('BSE - Other Index Options'!$M:$M,'BSE - Other Index Options'!$C:$C,$A225,'BSE - Other Index Options'!$B:$B,C$147,'BSE - Other Index Options'!$I:$I,"Monthly*")=0,"",SUMIFS('BSE - SENSEX Index Options'!$M:$M,'BSE - SENSEX Index Options'!$C:$C,$A225,'BSE - SENSEX Index Options'!$B:$B,C$147,'BSE - SENSEX Index Options'!$I:$I,"Monthly*")+SUMIFS('BSE - Other Index Options'!$M:$M,'BSE - Other Index Options'!$C:$C,$A225,'BSE - Other Index Options'!$B:$B,C$147,'BSE - Other Index Options'!$I:$I,"Monthly*"))</f>
        <v/>
      </c>
      <c r="D225" s="26">
        <f>IF(SUMIFS('BSE - SENSEX Index Options'!$M:$M,'BSE - SENSEX Index Options'!$C:$C,$A225,'BSE - SENSEX Index Options'!$B:$B,D$147,'BSE - SENSEX Index Options'!$I:$I,"Monthly*")+SUMIFS('BSE - Other Index Options'!$M:$M,'BSE - Other Index Options'!$C:$C,$A225,'BSE - Other Index Options'!$B:$B,D$147,'BSE - Other Index Options'!$I:$I,"Monthly*")=0,"",SUMIFS('BSE - SENSEX Index Options'!$M:$M,'BSE - SENSEX Index Options'!$C:$C,$A225,'BSE - SENSEX Index Options'!$B:$B,D$147,'BSE - SENSEX Index Options'!$I:$I,"Monthly*")+SUMIFS('BSE - Other Index Options'!$M:$M,'BSE - Other Index Options'!$C:$C,$A225,'BSE - Other Index Options'!$B:$B,D$147,'BSE - Other Index Options'!$I:$I,"Monthly*"))</f>
        <v/>
      </c>
      <c r="E225" s="26">
        <f>IF(SUMIFS('BSE - SENSEX Index Options'!$M:$M,'BSE - SENSEX Index Options'!$C:$C,$A225,'BSE - SENSEX Index Options'!$B:$B,E$147,'BSE - SENSEX Index Options'!$I:$I,"Monthly*")+SUMIFS('BSE - Other Index Options'!$M:$M,'BSE - Other Index Options'!$C:$C,$A225,'BSE - Other Index Options'!$B:$B,E$147,'BSE - Other Index Options'!$I:$I,"Monthly*")=0,"",SUMIFS('BSE - SENSEX Index Options'!$M:$M,'BSE - SENSEX Index Options'!$C:$C,$A225,'BSE - SENSEX Index Options'!$B:$B,E$147,'BSE - SENSEX Index Options'!$I:$I,"Monthly*")+SUMIFS('BSE - Other Index Options'!$M:$M,'BSE - Other Index Options'!$C:$C,$A225,'BSE - Other Index Options'!$B:$B,E$147,'BSE - Other Index Options'!$I:$I,"Monthly*"))</f>
        <v/>
      </c>
      <c r="F225" s="26">
        <f>IF(SUMIFS('BSE - SENSEX Index Options'!$M:$M,'BSE - SENSEX Index Options'!$C:$C,$A225,'BSE - SENSEX Index Options'!$B:$B,F$147,'BSE - SENSEX Index Options'!$I:$I,"Monthly*")+SUMIFS('BSE - Other Index Options'!$M:$M,'BSE - Other Index Options'!$C:$C,$A225,'BSE - Other Index Options'!$B:$B,F$147,'BSE - Other Index Options'!$I:$I,"Monthly*")=0,"",SUMIFS('BSE - SENSEX Index Options'!$M:$M,'BSE - SENSEX Index Options'!$C:$C,$A225,'BSE - SENSEX Index Options'!$B:$B,F$147,'BSE - SENSEX Index Options'!$I:$I,"Monthly*")+SUMIFS('BSE - Other Index Options'!$M:$M,'BSE - Other Index Options'!$C:$C,$A225,'BSE - Other Index Options'!$B:$B,F$147,'BSE - Other Index Options'!$I:$I,"Monthly*"))</f>
        <v/>
      </c>
      <c r="G225" s="26">
        <f>IF(SUMIFS('BSE - SENSEX Index Options'!$M:$M,'BSE - SENSEX Index Options'!$C:$C,$A225,'BSE - SENSEX Index Options'!$B:$B,G$147,'BSE - SENSEX Index Options'!$I:$I,"Monthly*")+SUMIFS('BSE - Other Index Options'!$M:$M,'BSE - Other Index Options'!$C:$C,$A225,'BSE - Other Index Options'!$B:$B,G$147,'BSE - Other Index Options'!$I:$I,"Monthly*")=0,"",SUMIFS('BSE - SENSEX Index Options'!$M:$M,'BSE - SENSEX Index Options'!$C:$C,$A225,'BSE - SENSEX Index Options'!$B:$B,G$147,'BSE - SENSEX Index Options'!$I:$I,"Monthly*")+SUMIFS('BSE - Other Index Options'!$M:$M,'BSE - Other Index Options'!$C:$C,$A225,'BSE - Other Index Options'!$B:$B,G$147,'BSE - Other Index Options'!$I:$I,"Monthly*"))</f>
        <v/>
      </c>
      <c r="H225" s="26">
        <f>IF(SUM(B225:G225)=0,"",SUM(B225:G225))</f>
        <v/>
      </c>
    </row>
    <row r="226" hidden="1" outlineLevel="1">
      <c r="A226" t="inlineStr">
        <is>
          <t>Week5-Dec-2026</t>
        </is>
      </c>
      <c r="B226" s="26">
        <f>IF(SUMIFS('BSE - SENSEX Index Options'!$M:$M,'BSE - SENSEX Index Options'!$C:$C,$A226,'BSE - SENSEX Index Options'!$B:$B,B$147,'BSE - SENSEX Index Options'!$I:$I,"Monthly*")+SUMIFS('BSE - Other Index Options'!$M:$M,'BSE - Other Index Options'!$C:$C,$A226,'BSE - Other Index Options'!$B:$B,B$147,'BSE - Other Index Options'!$I:$I,"Monthly*")=0,"",SUMIFS('BSE - SENSEX Index Options'!$M:$M,'BSE - SENSEX Index Options'!$C:$C,$A226,'BSE - SENSEX Index Options'!$B:$B,B$147,'BSE - SENSEX Index Options'!$I:$I,"Monthly*")+SUMIFS('BSE - Other Index Options'!$M:$M,'BSE - Other Index Options'!$C:$C,$A226,'BSE - Other Index Options'!$B:$B,B$147,'BSE - Other Index Options'!$I:$I,"Monthly*"))</f>
        <v/>
      </c>
      <c r="C226" s="26">
        <f>IF(SUMIFS('BSE - SENSEX Index Options'!$M:$M,'BSE - SENSEX Index Options'!$C:$C,$A226,'BSE - SENSEX Index Options'!$B:$B,C$147,'BSE - SENSEX Index Options'!$I:$I,"Monthly*")+SUMIFS('BSE - Other Index Options'!$M:$M,'BSE - Other Index Options'!$C:$C,$A226,'BSE - Other Index Options'!$B:$B,C$147,'BSE - Other Index Options'!$I:$I,"Monthly*")=0,"",SUMIFS('BSE - SENSEX Index Options'!$M:$M,'BSE - SENSEX Index Options'!$C:$C,$A226,'BSE - SENSEX Index Options'!$B:$B,C$147,'BSE - SENSEX Index Options'!$I:$I,"Monthly*")+SUMIFS('BSE - Other Index Options'!$M:$M,'BSE - Other Index Options'!$C:$C,$A226,'BSE - Other Index Options'!$B:$B,C$147,'BSE - Other Index Options'!$I:$I,"Monthly*"))</f>
        <v/>
      </c>
      <c r="D226" s="26">
        <f>IF(SUMIFS('BSE - SENSEX Index Options'!$M:$M,'BSE - SENSEX Index Options'!$C:$C,$A226,'BSE - SENSEX Index Options'!$B:$B,D$147,'BSE - SENSEX Index Options'!$I:$I,"Monthly*")+SUMIFS('BSE - Other Index Options'!$M:$M,'BSE - Other Index Options'!$C:$C,$A226,'BSE - Other Index Options'!$B:$B,D$147,'BSE - Other Index Options'!$I:$I,"Monthly*")=0,"",SUMIFS('BSE - SENSEX Index Options'!$M:$M,'BSE - SENSEX Index Options'!$C:$C,$A226,'BSE - SENSEX Index Options'!$B:$B,D$147,'BSE - SENSEX Index Options'!$I:$I,"Monthly*")+SUMIFS('BSE - Other Index Options'!$M:$M,'BSE - Other Index Options'!$C:$C,$A226,'BSE - Other Index Options'!$B:$B,D$147,'BSE - Other Index Options'!$I:$I,"Monthly*"))</f>
        <v/>
      </c>
      <c r="E226" s="26">
        <f>IF(SUMIFS('BSE - SENSEX Index Options'!$M:$M,'BSE - SENSEX Index Options'!$C:$C,$A226,'BSE - SENSEX Index Options'!$B:$B,E$147,'BSE - SENSEX Index Options'!$I:$I,"Monthly*")+SUMIFS('BSE - Other Index Options'!$M:$M,'BSE - Other Index Options'!$C:$C,$A226,'BSE - Other Index Options'!$B:$B,E$147,'BSE - Other Index Options'!$I:$I,"Monthly*")=0,"",SUMIFS('BSE - SENSEX Index Options'!$M:$M,'BSE - SENSEX Index Options'!$C:$C,$A226,'BSE - SENSEX Index Options'!$B:$B,E$147,'BSE - SENSEX Index Options'!$I:$I,"Monthly*")+SUMIFS('BSE - Other Index Options'!$M:$M,'BSE - Other Index Options'!$C:$C,$A226,'BSE - Other Index Options'!$B:$B,E$147,'BSE - Other Index Options'!$I:$I,"Monthly*"))</f>
        <v/>
      </c>
      <c r="F226" s="26">
        <f>IF(SUMIFS('BSE - SENSEX Index Options'!$M:$M,'BSE - SENSEX Index Options'!$C:$C,$A226,'BSE - SENSEX Index Options'!$B:$B,F$147,'BSE - SENSEX Index Options'!$I:$I,"Monthly*")+SUMIFS('BSE - Other Index Options'!$M:$M,'BSE - Other Index Options'!$C:$C,$A226,'BSE - Other Index Options'!$B:$B,F$147,'BSE - Other Index Options'!$I:$I,"Monthly*")=0,"",SUMIFS('BSE - SENSEX Index Options'!$M:$M,'BSE - SENSEX Index Options'!$C:$C,$A226,'BSE - SENSEX Index Options'!$B:$B,F$147,'BSE - SENSEX Index Options'!$I:$I,"Monthly*")+SUMIFS('BSE - Other Index Options'!$M:$M,'BSE - Other Index Options'!$C:$C,$A226,'BSE - Other Index Options'!$B:$B,F$147,'BSE - Other Index Options'!$I:$I,"Monthly*"))</f>
        <v/>
      </c>
      <c r="G226" s="26">
        <f>IF(SUMIFS('BSE - SENSEX Index Options'!$M:$M,'BSE - SENSEX Index Options'!$C:$C,$A226,'BSE - SENSEX Index Options'!$B:$B,G$147,'BSE - SENSEX Index Options'!$I:$I,"Monthly*")+SUMIFS('BSE - Other Index Options'!$M:$M,'BSE - Other Index Options'!$C:$C,$A226,'BSE - Other Index Options'!$B:$B,G$147,'BSE - Other Index Options'!$I:$I,"Monthly*")=0,"",SUMIFS('BSE - SENSEX Index Options'!$M:$M,'BSE - SENSEX Index Options'!$C:$C,$A226,'BSE - SENSEX Index Options'!$B:$B,G$147,'BSE - SENSEX Index Options'!$I:$I,"Monthly*")+SUMIFS('BSE - Other Index Options'!$M:$M,'BSE - Other Index Options'!$C:$C,$A226,'BSE - Other Index Options'!$B:$B,G$147,'BSE - Other Index Options'!$I:$I,"Monthly*"))</f>
        <v/>
      </c>
      <c r="H226" s="26">
        <f>IF(SUM(B226:G226)=0,"",SUM(B226:G226))</f>
        <v/>
      </c>
    </row>
    <row r="227" hidden="1" outlineLevel="1">
      <c r="A227" t="inlineStr">
        <is>
          <t>Week1-Jan-2027</t>
        </is>
      </c>
      <c r="B227" s="26">
        <f>IF(SUMIFS('BSE - SENSEX Index Options'!$M:$M,'BSE - SENSEX Index Options'!$C:$C,$A227,'BSE - SENSEX Index Options'!$B:$B,B$147,'BSE - SENSEX Index Options'!$I:$I,"Monthly*")+SUMIFS('BSE - Other Index Options'!$M:$M,'BSE - Other Index Options'!$C:$C,$A227,'BSE - Other Index Options'!$B:$B,B$147,'BSE - Other Index Options'!$I:$I,"Monthly*")=0,"",SUMIFS('BSE - SENSEX Index Options'!$M:$M,'BSE - SENSEX Index Options'!$C:$C,$A227,'BSE - SENSEX Index Options'!$B:$B,B$147,'BSE - SENSEX Index Options'!$I:$I,"Monthly*")+SUMIFS('BSE - Other Index Options'!$M:$M,'BSE - Other Index Options'!$C:$C,$A227,'BSE - Other Index Options'!$B:$B,B$147,'BSE - Other Index Options'!$I:$I,"Monthly*"))</f>
        <v/>
      </c>
      <c r="C227" s="26">
        <f>IF(SUMIFS('BSE - SENSEX Index Options'!$M:$M,'BSE - SENSEX Index Options'!$C:$C,$A227,'BSE - SENSEX Index Options'!$B:$B,C$147,'BSE - SENSEX Index Options'!$I:$I,"Monthly*")+SUMIFS('BSE - Other Index Options'!$M:$M,'BSE - Other Index Options'!$C:$C,$A227,'BSE - Other Index Options'!$B:$B,C$147,'BSE - Other Index Options'!$I:$I,"Monthly*")=0,"",SUMIFS('BSE - SENSEX Index Options'!$M:$M,'BSE - SENSEX Index Options'!$C:$C,$A227,'BSE - SENSEX Index Options'!$B:$B,C$147,'BSE - SENSEX Index Options'!$I:$I,"Monthly*")+SUMIFS('BSE - Other Index Options'!$M:$M,'BSE - Other Index Options'!$C:$C,$A227,'BSE - Other Index Options'!$B:$B,C$147,'BSE - Other Index Options'!$I:$I,"Monthly*"))</f>
        <v/>
      </c>
      <c r="D227" s="26">
        <f>IF(SUMIFS('BSE - SENSEX Index Options'!$M:$M,'BSE - SENSEX Index Options'!$C:$C,$A227,'BSE - SENSEX Index Options'!$B:$B,D$147,'BSE - SENSEX Index Options'!$I:$I,"Monthly*")+SUMIFS('BSE - Other Index Options'!$M:$M,'BSE - Other Index Options'!$C:$C,$A227,'BSE - Other Index Options'!$B:$B,D$147,'BSE - Other Index Options'!$I:$I,"Monthly*")=0,"",SUMIFS('BSE - SENSEX Index Options'!$M:$M,'BSE - SENSEX Index Options'!$C:$C,$A227,'BSE - SENSEX Index Options'!$B:$B,D$147,'BSE - SENSEX Index Options'!$I:$I,"Monthly*")+SUMIFS('BSE - Other Index Options'!$M:$M,'BSE - Other Index Options'!$C:$C,$A227,'BSE - Other Index Options'!$B:$B,D$147,'BSE - Other Index Options'!$I:$I,"Monthly*"))</f>
        <v/>
      </c>
      <c r="E227" s="26">
        <f>IF(SUMIFS('BSE - SENSEX Index Options'!$M:$M,'BSE - SENSEX Index Options'!$C:$C,$A227,'BSE - SENSEX Index Options'!$B:$B,E$147,'BSE - SENSEX Index Options'!$I:$I,"Monthly*")+SUMIFS('BSE - Other Index Options'!$M:$M,'BSE - Other Index Options'!$C:$C,$A227,'BSE - Other Index Options'!$B:$B,E$147,'BSE - Other Index Options'!$I:$I,"Monthly*")=0,"",SUMIFS('BSE - SENSEX Index Options'!$M:$M,'BSE - SENSEX Index Options'!$C:$C,$A227,'BSE - SENSEX Index Options'!$B:$B,E$147,'BSE - SENSEX Index Options'!$I:$I,"Monthly*")+SUMIFS('BSE - Other Index Options'!$M:$M,'BSE - Other Index Options'!$C:$C,$A227,'BSE - Other Index Options'!$B:$B,E$147,'BSE - Other Index Options'!$I:$I,"Monthly*"))</f>
        <v/>
      </c>
      <c r="F227" s="26">
        <f>IF(SUMIFS('BSE - SENSEX Index Options'!$M:$M,'BSE - SENSEX Index Options'!$C:$C,$A227,'BSE - SENSEX Index Options'!$B:$B,F$147,'BSE - SENSEX Index Options'!$I:$I,"Monthly*")+SUMIFS('BSE - Other Index Options'!$M:$M,'BSE - Other Index Options'!$C:$C,$A227,'BSE - Other Index Options'!$B:$B,F$147,'BSE - Other Index Options'!$I:$I,"Monthly*")=0,"",SUMIFS('BSE - SENSEX Index Options'!$M:$M,'BSE - SENSEX Index Options'!$C:$C,$A227,'BSE - SENSEX Index Options'!$B:$B,F$147,'BSE - SENSEX Index Options'!$I:$I,"Monthly*")+SUMIFS('BSE - Other Index Options'!$M:$M,'BSE - Other Index Options'!$C:$C,$A227,'BSE - Other Index Options'!$B:$B,F$147,'BSE - Other Index Options'!$I:$I,"Monthly*"))</f>
        <v/>
      </c>
      <c r="G227" s="26">
        <f>IF(SUMIFS('BSE - SENSEX Index Options'!$M:$M,'BSE - SENSEX Index Options'!$C:$C,$A227,'BSE - SENSEX Index Options'!$B:$B,G$147,'BSE - SENSEX Index Options'!$I:$I,"Monthly*")+SUMIFS('BSE - Other Index Options'!$M:$M,'BSE - Other Index Options'!$C:$C,$A227,'BSE - Other Index Options'!$B:$B,G$147,'BSE - Other Index Options'!$I:$I,"Monthly*")=0,"",SUMIFS('BSE - SENSEX Index Options'!$M:$M,'BSE - SENSEX Index Options'!$C:$C,$A227,'BSE - SENSEX Index Options'!$B:$B,G$147,'BSE - SENSEX Index Options'!$I:$I,"Monthly*")+SUMIFS('BSE - Other Index Options'!$M:$M,'BSE - Other Index Options'!$C:$C,$A227,'BSE - Other Index Options'!$B:$B,G$147,'BSE - Other Index Options'!$I:$I,"Monthly*"))</f>
        <v/>
      </c>
      <c r="H227" s="26">
        <f>IF(SUM(B227:G227)=0,"",SUM(B227:G227))</f>
        <v/>
      </c>
    </row>
    <row r="228" hidden="1" outlineLevel="1">
      <c r="A228" t="inlineStr">
        <is>
          <t>Week2-Jan-2027</t>
        </is>
      </c>
      <c r="B228" s="26">
        <f>IF(SUMIFS('BSE - SENSEX Index Options'!$M:$M,'BSE - SENSEX Index Options'!$C:$C,$A228,'BSE - SENSEX Index Options'!$B:$B,B$147,'BSE - SENSEX Index Options'!$I:$I,"Monthly*")+SUMIFS('BSE - Other Index Options'!$M:$M,'BSE - Other Index Options'!$C:$C,$A228,'BSE - Other Index Options'!$B:$B,B$147,'BSE - Other Index Options'!$I:$I,"Monthly*")=0,"",SUMIFS('BSE - SENSEX Index Options'!$M:$M,'BSE - SENSEX Index Options'!$C:$C,$A228,'BSE - SENSEX Index Options'!$B:$B,B$147,'BSE - SENSEX Index Options'!$I:$I,"Monthly*")+SUMIFS('BSE - Other Index Options'!$M:$M,'BSE - Other Index Options'!$C:$C,$A228,'BSE - Other Index Options'!$B:$B,B$147,'BSE - Other Index Options'!$I:$I,"Monthly*"))</f>
        <v/>
      </c>
      <c r="C228" s="26">
        <f>IF(SUMIFS('BSE - SENSEX Index Options'!$M:$M,'BSE - SENSEX Index Options'!$C:$C,$A228,'BSE - SENSEX Index Options'!$B:$B,C$147,'BSE - SENSEX Index Options'!$I:$I,"Monthly*")+SUMIFS('BSE - Other Index Options'!$M:$M,'BSE - Other Index Options'!$C:$C,$A228,'BSE - Other Index Options'!$B:$B,C$147,'BSE - Other Index Options'!$I:$I,"Monthly*")=0,"",SUMIFS('BSE - SENSEX Index Options'!$M:$M,'BSE - SENSEX Index Options'!$C:$C,$A228,'BSE - SENSEX Index Options'!$B:$B,C$147,'BSE - SENSEX Index Options'!$I:$I,"Monthly*")+SUMIFS('BSE - Other Index Options'!$M:$M,'BSE - Other Index Options'!$C:$C,$A228,'BSE - Other Index Options'!$B:$B,C$147,'BSE - Other Index Options'!$I:$I,"Monthly*"))</f>
        <v/>
      </c>
      <c r="D228" s="26">
        <f>IF(SUMIFS('BSE - SENSEX Index Options'!$M:$M,'BSE - SENSEX Index Options'!$C:$C,$A228,'BSE - SENSEX Index Options'!$B:$B,D$147,'BSE - SENSEX Index Options'!$I:$I,"Monthly*")+SUMIFS('BSE - Other Index Options'!$M:$M,'BSE - Other Index Options'!$C:$C,$A228,'BSE - Other Index Options'!$B:$B,D$147,'BSE - Other Index Options'!$I:$I,"Monthly*")=0,"",SUMIFS('BSE - SENSEX Index Options'!$M:$M,'BSE - SENSEX Index Options'!$C:$C,$A228,'BSE - SENSEX Index Options'!$B:$B,D$147,'BSE - SENSEX Index Options'!$I:$I,"Monthly*")+SUMIFS('BSE - Other Index Options'!$M:$M,'BSE - Other Index Options'!$C:$C,$A228,'BSE - Other Index Options'!$B:$B,D$147,'BSE - Other Index Options'!$I:$I,"Monthly*"))</f>
        <v/>
      </c>
      <c r="E228" s="26">
        <f>IF(SUMIFS('BSE - SENSEX Index Options'!$M:$M,'BSE - SENSEX Index Options'!$C:$C,$A228,'BSE - SENSEX Index Options'!$B:$B,E$147,'BSE - SENSEX Index Options'!$I:$I,"Monthly*")+SUMIFS('BSE - Other Index Options'!$M:$M,'BSE - Other Index Options'!$C:$C,$A228,'BSE - Other Index Options'!$B:$B,E$147,'BSE - Other Index Options'!$I:$I,"Monthly*")=0,"",SUMIFS('BSE - SENSEX Index Options'!$M:$M,'BSE - SENSEX Index Options'!$C:$C,$A228,'BSE - SENSEX Index Options'!$B:$B,E$147,'BSE - SENSEX Index Options'!$I:$I,"Monthly*")+SUMIFS('BSE - Other Index Options'!$M:$M,'BSE - Other Index Options'!$C:$C,$A228,'BSE - Other Index Options'!$B:$B,E$147,'BSE - Other Index Options'!$I:$I,"Monthly*"))</f>
        <v/>
      </c>
      <c r="F228" s="26">
        <f>IF(SUMIFS('BSE - SENSEX Index Options'!$M:$M,'BSE - SENSEX Index Options'!$C:$C,$A228,'BSE - SENSEX Index Options'!$B:$B,F$147,'BSE - SENSEX Index Options'!$I:$I,"Monthly*")+SUMIFS('BSE - Other Index Options'!$M:$M,'BSE - Other Index Options'!$C:$C,$A228,'BSE - Other Index Options'!$B:$B,F$147,'BSE - Other Index Options'!$I:$I,"Monthly*")=0,"",SUMIFS('BSE - SENSEX Index Options'!$M:$M,'BSE - SENSEX Index Options'!$C:$C,$A228,'BSE - SENSEX Index Options'!$B:$B,F$147,'BSE - SENSEX Index Options'!$I:$I,"Monthly*")+SUMIFS('BSE - Other Index Options'!$M:$M,'BSE - Other Index Options'!$C:$C,$A228,'BSE - Other Index Options'!$B:$B,F$147,'BSE - Other Index Options'!$I:$I,"Monthly*"))</f>
        <v/>
      </c>
      <c r="G228" s="26">
        <f>IF(SUMIFS('BSE - SENSEX Index Options'!$M:$M,'BSE - SENSEX Index Options'!$C:$C,$A228,'BSE - SENSEX Index Options'!$B:$B,G$147,'BSE - SENSEX Index Options'!$I:$I,"Monthly*")+SUMIFS('BSE - Other Index Options'!$M:$M,'BSE - Other Index Options'!$C:$C,$A228,'BSE - Other Index Options'!$B:$B,G$147,'BSE - Other Index Options'!$I:$I,"Monthly*")=0,"",SUMIFS('BSE - SENSEX Index Options'!$M:$M,'BSE - SENSEX Index Options'!$C:$C,$A228,'BSE - SENSEX Index Options'!$B:$B,G$147,'BSE - SENSEX Index Options'!$I:$I,"Monthly*")+SUMIFS('BSE - Other Index Options'!$M:$M,'BSE - Other Index Options'!$C:$C,$A228,'BSE - Other Index Options'!$B:$B,G$147,'BSE - Other Index Options'!$I:$I,"Monthly*"))</f>
        <v/>
      </c>
      <c r="H228" s="26">
        <f>IF(SUM(B228:G228)=0,"",SUM(B228:G228))</f>
        <v/>
      </c>
    </row>
    <row r="229" hidden="1" outlineLevel="1">
      <c r="A229" t="inlineStr">
        <is>
          <t>Week3-Jan-2027</t>
        </is>
      </c>
      <c r="B229" s="26">
        <f>IF(SUMIFS('BSE - SENSEX Index Options'!$M:$M,'BSE - SENSEX Index Options'!$C:$C,$A229,'BSE - SENSEX Index Options'!$B:$B,B$147,'BSE - SENSEX Index Options'!$I:$I,"Monthly*")+SUMIFS('BSE - Other Index Options'!$M:$M,'BSE - Other Index Options'!$C:$C,$A229,'BSE - Other Index Options'!$B:$B,B$147,'BSE - Other Index Options'!$I:$I,"Monthly*")=0,"",SUMIFS('BSE - SENSEX Index Options'!$M:$M,'BSE - SENSEX Index Options'!$C:$C,$A229,'BSE - SENSEX Index Options'!$B:$B,B$147,'BSE - SENSEX Index Options'!$I:$I,"Monthly*")+SUMIFS('BSE - Other Index Options'!$M:$M,'BSE - Other Index Options'!$C:$C,$A229,'BSE - Other Index Options'!$B:$B,B$147,'BSE - Other Index Options'!$I:$I,"Monthly*"))</f>
        <v/>
      </c>
      <c r="C229" s="26">
        <f>IF(SUMIFS('BSE - SENSEX Index Options'!$M:$M,'BSE - SENSEX Index Options'!$C:$C,$A229,'BSE - SENSEX Index Options'!$B:$B,C$147,'BSE - SENSEX Index Options'!$I:$I,"Monthly*")+SUMIFS('BSE - Other Index Options'!$M:$M,'BSE - Other Index Options'!$C:$C,$A229,'BSE - Other Index Options'!$B:$B,C$147,'BSE - Other Index Options'!$I:$I,"Monthly*")=0,"",SUMIFS('BSE - SENSEX Index Options'!$M:$M,'BSE - SENSEX Index Options'!$C:$C,$A229,'BSE - SENSEX Index Options'!$B:$B,C$147,'BSE - SENSEX Index Options'!$I:$I,"Monthly*")+SUMIFS('BSE - Other Index Options'!$M:$M,'BSE - Other Index Options'!$C:$C,$A229,'BSE - Other Index Options'!$B:$B,C$147,'BSE - Other Index Options'!$I:$I,"Monthly*"))</f>
        <v/>
      </c>
      <c r="D229" s="26">
        <f>IF(SUMIFS('BSE - SENSEX Index Options'!$M:$M,'BSE - SENSEX Index Options'!$C:$C,$A229,'BSE - SENSEX Index Options'!$B:$B,D$147,'BSE - SENSEX Index Options'!$I:$I,"Monthly*")+SUMIFS('BSE - Other Index Options'!$M:$M,'BSE - Other Index Options'!$C:$C,$A229,'BSE - Other Index Options'!$B:$B,D$147,'BSE - Other Index Options'!$I:$I,"Monthly*")=0,"",SUMIFS('BSE - SENSEX Index Options'!$M:$M,'BSE - SENSEX Index Options'!$C:$C,$A229,'BSE - SENSEX Index Options'!$B:$B,D$147,'BSE - SENSEX Index Options'!$I:$I,"Monthly*")+SUMIFS('BSE - Other Index Options'!$M:$M,'BSE - Other Index Options'!$C:$C,$A229,'BSE - Other Index Options'!$B:$B,D$147,'BSE - Other Index Options'!$I:$I,"Monthly*"))</f>
        <v/>
      </c>
      <c r="E229" s="26">
        <f>IF(SUMIFS('BSE - SENSEX Index Options'!$M:$M,'BSE - SENSEX Index Options'!$C:$C,$A229,'BSE - SENSEX Index Options'!$B:$B,E$147,'BSE - SENSEX Index Options'!$I:$I,"Monthly*")+SUMIFS('BSE - Other Index Options'!$M:$M,'BSE - Other Index Options'!$C:$C,$A229,'BSE - Other Index Options'!$B:$B,E$147,'BSE - Other Index Options'!$I:$I,"Monthly*")=0,"",SUMIFS('BSE - SENSEX Index Options'!$M:$M,'BSE - SENSEX Index Options'!$C:$C,$A229,'BSE - SENSEX Index Options'!$B:$B,E$147,'BSE - SENSEX Index Options'!$I:$I,"Monthly*")+SUMIFS('BSE - Other Index Options'!$M:$M,'BSE - Other Index Options'!$C:$C,$A229,'BSE - Other Index Options'!$B:$B,E$147,'BSE - Other Index Options'!$I:$I,"Monthly*"))</f>
        <v/>
      </c>
      <c r="F229" s="26">
        <f>IF(SUMIFS('BSE - SENSEX Index Options'!$M:$M,'BSE - SENSEX Index Options'!$C:$C,$A229,'BSE - SENSEX Index Options'!$B:$B,F$147,'BSE - SENSEX Index Options'!$I:$I,"Monthly*")+SUMIFS('BSE - Other Index Options'!$M:$M,'BSE - Other Index Options'!$C:$C,$A229,'BSE - Other Index Options'!$B:$B,F$147,'BSE - Other Index Options'!$I:$I,"Monthly*")=0,"",SUMIFS('BSE - SENSEX Index Options'!$M:$M,'BSE - SENSEX Index Options'!$C:$C,$A229,'BSE - SENSEX Index Options'!$B:$B,F$147,'BSE - SENSEX Index Options'!$I:$I,"Monthly*")+SUMIFS('BSE - Other Index Options'!$M:$M,'BSE - Other Index Options'!$C:$C,$A229,'BSE - Other Index Options'!$B:$B,F$147,'BSE - Other Index Options'!$I:$I,"Monthly*"))</f>
        <v/>
      </c>
      <c r="G229" s="26">
        <f>IF(SUMIFS('BSE - SENSEX Index Options'!$M:$M,'BSE - SENSEX Index Options'!$C:$C,$A229,'BSE - SENSEX Index Options'!$B:$B,G$147,'BSE - SENSEX Index Options'!$I:$I,"Monthly*")+SUMIFS('BSE - Other Index Options'!$M:$M,'BSE - Other Index Options'!$C:$C,$A229,'BSE - Other Index Options'!$B:$B,G$147,'BSE - Other Index Options'!$I:$I,"Monthly*")=0,"",SUMIFS('BSE - SENSEX Index Options'!$M:$M,'BSE - SENSEX Index Options'!$C:$C,$A229,'BSE - SENSEX Index Options'!$B:$B,G$147,'BSE - SENSEX Index Options'!$I:$I,"Monthly*")+SUMIFS('BSE - Other Index Options'!$M:$M,'BSE - Other Index Options'!$C:$C,$A229,'BSE - Other Index Options'!$B:$B,G$147,'BSE - Other Index Options'!$I:$I,"Monthly*"))</f>
        <v/>
      </c>
      <c r="H229" s="26">
        <f>IF(SUM(B229:G229)=0,"",SUM(B229:G229))</f>
        <v/>
      </c>
    </row>
    <row r="230" hidden="1" outlineLevel="1">
      <c r="A230" t="inlineStr">
        <is>
          <t>Week4-Jan-2027</t>
        </is>
      </c>
      <c r="B230" s="26">
        <f>IF(SUMIFS('BSE - SENSEX Index Options'!$M:$M,'BSE - SENSEX Index Options'!$C:$C,$A230,'BSE - SENSEX Index Options'!$B:$B,B$147,'BSE - SENSEX Index Options'!$I:$I,"Monthly*")+SUMIFS('BSE - Other Index Options'!$M:$M,'BSE - Other Index Options'!$C:$C,$A230,'BSE - Other Index Options'!$B:$B,B$147,'BSE - Other Index Options'!$I:$I,"Monthly*")=0,"",SUMIFS('BSE - SENSEX Index Options'!$M:$M,'BSE - SENSEX Index Options'!$C:$C,$A230,'BSE - SENSEX Index Options'!$B:$B,B$147,'BSE - SENSEX Index Options'!$I:$I,"Monthly*")+SUMIFS('BSE - Other Index Options'!$M:$M,'BSE - Other Index Options'!$C:$C,$A230,'BSE - Other Index Options'!$B:$B,B$147,'BSE - Other Index Options'!$I:$I,"Monthly*"))</f>
        <v/>
      </c>
      <c r="C230" s="26">
        <f>IF(SUMIFS('BSE - SENSEX Index Options'!$M:$M,'BSE - SENSEX Index Options'!$C:$C,$A230,'BSE - SENSEX Index Options'!$B:$B,C$147,'BSE - SENSEX Index Options'!$I:$I,"Monthly*")+SUMIFS('BSE - Other Index Options'!$M:$M,'BSE - Other Index Options'!$C:$C,$A230,'BSE - Other Index Options'!$B:$B,C$147,'BSE - Other Index Options'!$I:$I,"Monthly*")=0,"",SUMIFS('BSE - SENSEX Index Options'!$M:$M,'BSE - SENSEX Index Options'!$C:$C,$A230,'BSE - SENSEX Index Options'!$B:$B,C$147,'BSE - SENSEX Index Options'!$I:$I,"Monthly*")+SUMIFS('BSE - Other Index Options'!$M:$M,'BSE - Other Index Options'!$C:$C,$A230,'BSE - Other Index Options'!$B:$B,C$147,'BSE - Other Index Options'!$I:$I,"Monthly*"))</f>
        <v/>
      </c>
      <c r="D230" s="26">
        <f>IF(SUMIFS('BSE - SENSEX Index Options'!$M:$M,'BSE - SENSEX Index Options'!$C:$C,$A230,'BSE - SENSEX Index Options'!$B:$B,D$147,'BSE - SENSEX Index Options'!$I:$I,"Monthly*")+SUMIFS('BSE - Other Index Options'!$M:$M,'BSE - Other Index Options'!$C:$C,$A230,'BSE - Other Index Options'!$B:$B,D$147,'BSE - Other Index Options'!$I:$I,"Monthly*")=0,"",SUMIFS('BSE - SENSEX Index Options'!$M:$M,'BSE - SENSEX Index Options'!$C:$C,$A230,'BSE - SENSEX Index Options'!$B:$B,D$147,'BSE - SENSEX Index Options'!$I:$I,"Monthly*")+SUMIFS('BSE - Other Index Options'!$M:$M,'BSE - Other Index Options'!$C:$C,$A230,'BSE - Other Index Options'!$B:$B,D$147,'BSE - Other Index Options'!$I:$I,"Monthly*"))</f>
        <v/>
      </c>
      <c r="E230" s="26">
        <f>IF(SUMIFS('BSE - SENSEX Index Options'!$M:$M,'BSE - SENSEX Index Options'!$C:$C,$A230,'BSE - SENSEX Index Options'!$B:$B,E$147,'BSE - SENSEX Index Options'!$I:$I,"Monthly*")+SUMIFS('BSE - Other Index Options'!$M:$M,'BSE - Other Index Options'!$C:$C,$A230,'BSE - Other Index Options'!$B:$B,E$147,'BSE - Other Index Options'!$I:$I,"Monthly*")=0,"",SUMIFS('BSE - SENSEX Index Options'!$M:$M,'BSE - SENSEX Index Options'!$C:$C,$A230,'BSE - SENSEX Index Options'!$B:$B,E$147,'BSE - SENSEX Index Options'!$I:$I,"Monthly*")+SUMIFS('BSE - Other Index Options'!$M:$M,'BSE - Other Index Options'!$C:$C,$A230,'BSE - Other Index Options'!$B:$B,E$147,'BSE - Other Index Options'!$I:$I,"Monthly*"))</f>
        <v/>
      </c>
      <c r="F230" s="26">
        <f>IF(SUMIFS('BSE - SENSEX Index Options'!$M:$M,'BSE - SENSEX Index Options'!$C:$C,$A230,'BSE - SENSEX Index Options'!$B:$B,F$147,'BSE - SENSEX Index Options'!$I:$I,"Monthly*")+SUMIFS('BSE - Other Index Options'!$M:$M,'BSE - Other Index Options'!$C:$C,$A230,'BSE - Other Index Options'!$B:$B,F$147,'BSE - Other Index Options'!$I:$I,"Monthly*")=0,"",SUMIFS('BSE - SENSEX Index Options'!$M:$M,'BSE - SENSEX Index Options'!$C:$C,$A230,'BSE - SENSEX Index Options'!$B:$B,F$147,'BSE - SENSEX Index Options'!$I:$I,"Monthly*")+SUMIFS('BSE - Other Index Options'!$M:$M,'BSE - Other Index Options'!$C:$C,$A230,'BSE - Other Index Options'!$B:$B,F$147,'BSE - Other Index Options'!$I:$I,"Monthly*"))</f>
        <v/>
      </c>
      <c r="G230" s="26">
        <f>IF(SUMIFS('BSE - SENSEX Index Options'!$M:$M,'BSE - SENSEX Index Options'!$C:$C,$A230,'BSE - SENSEX Index Options'!$B:$B,G$147,'BSE - SENSEX Index Options'!$I:$I,"Monthly*")+SUMIFS('BSE - Other Index Options'!$M:$M,'BSE - Other Index Options'!$C:$C,$A230,'BSE - Other Index Options'!$B:$B,G$147,'BSE - Other Index Options'!$I:$I,"Monthly*")=0,"",SUMIFS('BSE - SENSEX Index Options'!$M:$M,'BSE - SENSEX Index Options'!$C:$C,$A230,'BSE - SENSEX Index Options'!$B:$B,G$147,'BSE - SENSEX Index Options'!$I:$I,"Monthly*")+SUMIFS('BSE - Other Index Options'!$M:$M,'BSE - Other Index Options'!$C:$C,$A230,'BSE - Other Index Options'!$B:$B,G$147,'BSE - Other Index Options'!$I:$I,"Monthly*"))</f>
        <v/>
      </c>
      <c r="H230" s="26">
        <f>IF(SUM(B230:G230)=0,"",SUM(B230:G230))</f>
        <v/>
      </c>
    </row>
    <row r="231" hidden="1" outlineLevel="1">
      <c r="A231" t="inlineStr">
        <is>
          <t>Week5-Jan-2027</t>
        </is>
      </c>
      <c r="B231" s="26">
        <f>IF(SUMIFS('BSE - SENSEX Index Options'!$M:$M,'BSE - SENSEX Index Options'!$C:$C,$A231,'BSE - SENSEX Index Options'!$B:$B,B$147,'BSE - SENSEX Index Options'!$I:$I,"Monthly*")+SUMIFS('BSE - Other Index Options'!$M:$M,'BSE - Other Index Options'!$C:$C,$A231,'BSE - Other Index Options'!$B:$B,B$147,'BSE - Other Index Options'!$I:$I,"Monthly*")=0,"",SUMIFS('BSE - SENSEX Index Options'!$M:$M,'BSE - SENSEX Index Options'!$C:$C,$A231,'BSE - SENSEX Index Options'!$B:$B,B$147,'BSE - SENSEX Index Options'!$I:$I,"Monthly*")+SUMIFS('BSE - Other Index Options'!$M:$M,'BSE - Other Index Options'!$C:$C,$A231,'BSE - Other Index Options'!$B:$B,B$147,'BSE - Other Index Options'!$I:$I,"Monthly*"))</f>
        <v/>
      </c>
      <c r="C231" s="26">
        <f>IF(SUMIFS('BSE - SENSEX Index Options'!$M:$M,'BSE - SENSEX Index Options'!$C:$C,$A231,'BSE - SENSEX Index Options'!$B:$B,C$147,'BSE - SENSEX Index Options'!$I:$I,"Monthly*")+SUMIFS('BSE - Other Index Options'!$M:$M,'BSE - Other Index Options'!$C:$C,$A231,'BSE - Other Index Options'!$B:$B,C$147,'BSE - Other Index Options'!$I:$I,"Monthly*")=0,"",SUMIFS('BSE - SENSEX Index Options'!$M:$M,'BSE - SENSEX Index Options'!$C:$C,$A231,'BSE - SENSEX Index Options'!$B:$B,C$147,'BSE - SENSEX Index Options'!$I:$I,"Monthly*")+SUMIFS('BSE - Other Index Options'!$M:$M,'BSE - Other Index Options'!$C:$C,$A231,'BSE - Other Index Options'!$B:$B,C$147,'BSE - Other Index Options'!$I:$I,"Monthly*"))</f>
        <v/>
      </c>
      <c r="D231" s="26">
        <f>IF(SUMIFS('BSE - SENSEX Index Options'!$M:$M,'BSE - SENSEX Index Options'!$C:$C,$A231,'BSE - SENSEX Index Options'!$B:$B,D$147,'BSE - SENSEX Index Options'!$I:$I,"Monthly*")+SUMIFS('BSE - Other Index Options'!$M:$M,'BSE - Other Index Options'!$C:$C,$A231,'BSE - Other Index Options'!$B:$B,D$147,'BSE - Other Index Options'!$I:$I,"Monthly*")=0,"",SUMIFS('BSE - SENSEX Index Options'!$M:$M,'BSE - SENSEX Index Options'!$C:$C,$A231,'BSE - SENSEX Index Options'!$B:$B,D$147,'BSE - SENSEX Index Options'!$I:$I,"Monthly*")+SUMIFS('BSE - Other Index Options'!$M:$M,'BSE - Other Index Options'!$C:$C,$A231,'BSE - Other Index Options'!$B:$B,D$147,'BSE - Other Index Options'!$I:$I,"Monthly*"))</f>
        <v/>
      </c>
      <c r="E231" s="26">
        <f>IF(SUMIFS('BSE - SENSEX Index Options'!$M:$M,'BSE - SENSEX Index Options'!$C:$C,$A231,'BSE - SENSEX Index Options'!$B:$B,E$147,'BSE - SENSEX Index Options'!$I:$I,"Monthly*")+SUMIFS('BSE - Other Index Options'!$M:$M,'BSE - Other Index Options'!$C:$C,$A231,'BSE - Other Index Options'!$B:$B,E$147,'BSE - Other Index Options'!$I:$I,"Monthly*")=0,"",SUMIFS('BSE - SENSEX Index Options'!$M:$M,'BSE - SENSEX Index Options'!$C:$C,$A231,'BSE - SENSEX Index Options'!$B:$B,E$147,'BSE - SENSEX Index Options'!$I:$I,"Monthly*")+SUMIFS('BSE - Other Index Options'!$M:$M,'BSE - Other Index Options'!$C:$C,$A231,'BSE - Other Index Options'!$B:$B,E$147,'BSE - Other Index Options'!$I:$I,"Monthly*"))</f>
        <v/>
      </c>
      <c r="F231" s="26">
        <f>IF(SUMIFS('BSE - SENSEX Index Options'!$M:$M,'BSE - SENSEX Index Options'!$C:$C,$A231,'BSE - SENSEX Index Options'!$B:$B,F$147,'BSE - SENSEX Index Options'!$I:$I,"Monthly*")+SUMIFS('BSE - Other Index Options'!$M:$M,'BSE - Other Index Options'!$C:$C,$A231,'BSE - Other Index Options'!$B:$B,F$147,'BSE - Other Index Options'!$I:$I,"Monthly*")=0,"",SUMIFS('BSE - SENSEX Index Options'!$M:$M,'BSE - SENSEX Index Options'!$C:$C,$A231,'BSE - SENSEX Index Options'!$B:$B,F$147,'BSE - SENSEX Index Options'!$I:$I,"Monthly*")+SUMIFS('BSE - Other Index Options'!$M:$M,'BSE - Other Index Options'!$C:$C,$A231,'BSE - Other Index Options'!$B:$B,F$147,'BSE - Other Index Options'!$I:$I,"Monthly*"))</f>
        <v/>
      </c>
      <c r="G231" s="26">
        <f>IF(SUMIFS('BSE - SENSEX Index Options'!$M:$M,'BSE - SENSEX Index Options'!$C:$C,$A231,'BSE - SENSEX Index Options'!$B:$B,G$147,'BSE - SENSEX Index Options'!$I:$I,"Monthly*")+SUMIFS('BSE - Other Index Options'!$M:$M,'BSE - Other Index Options'!$C:$C,$A231,'BSE - Other Index Options'!$B:$B,G$147,'BSE - Other Index Options'!$I:$I,"Monthly*")=0,"",SUMIFS('BSE - SENSEX Index Options'!$M:$M,'BSE - SENSEX Index Options'!$C:$C,$A231,'BSE - SENSEX Index Options'!$B:$B,G$147,'BSE - SENSEX Index Options'!$I:$I,"Monthly*")+SUMIFS('BSE - Other Index Options'!$M:$M,'BSE - Other Index Options'!$C:$C,$A231,'BSE - Other Index Options'!$B:$B,G$147,'BSE - Other Index Options'!$I:$I,"Monthly*"))</f>
        <v/>
      </c>
      <c r="H231" s="26">
        <f>IF(SUM(B231:G231)=0,"",SUM(B231:G231))</f>
        <v/>
      </c>
    </row>
    <row r="232" hidden="1" outlineLevel="1">
      <c r="A232" t="inlineStr">
        <is>
          <t>Week1-Feb-2027</t>
        </is>
      </c>
      <c r="B232" s="26">
        <f>IF(SUMIFS('BSE - SENSEX Index Options'!$M:$M,'BSE - SENSEX Index Options'!$C:$C,$A232,'BSE - SENSEX Index Options'!$B:$B,B$147,'BSE - SENSEX Index Options'!$I:$I,"Monthly*")+SUMIFS('BSE - Other Index Options'!$M:$M,'BSE - Other Index Options'!$C:$C,$A232,'BSE - Other Index Options'!$B:$B,B$147,'BSE - Other Index Options'!$I:$I,"Monthly*")=0,"",SUMIFS('BSE - SENSEX Index Options'!$M:$M,'BSE - SENSEX Index Options'!$C:$C,$A232,'BSE - SENSEX Index Options'!$B:$B,B$147,'BSE - SENSEX Index Options'!$I:$I,"Monthly*")+SUMIFS('BSE - Other Index Options'!$M:$M,'BSE - Other Index Options'!$C:$C,$A232,'BSE - Other Index Options'!$B:$B,B$147,'BSE - Other Index Options'!$I:$I,"Monthly*"))</f>
        <v/>
      </c>
      <c r="C232" s="26">
        <f>IF(SUMIFS('BSE - SENSEX Index Options'!$M:$M,'BSE - SENSEX Index Options'!$C:$C,$A232,'BSE - SENSEX Index Options'!$B:$B,C$147,'BSE - SENSEX Index Options'!$I:$I,"Monthly*")+SUMIFS('BSE - Other Index Options'!$M:$M,'BSE - Other Index Options'!$C:$C,$A232,'BSE - Other Index Options'!$B:$B,C$147,'BSE - Other Index Options'!$I:$I,"Monthly*")=0,"",SUMIFS('BSE - SENSEX Index Options'!$M:$M,'BSE - SENSEX Index Options'!$C:$C,$A232,'BSE - SENSEX Index Options'!$B:$B,C$147,'BSE - SENSEX Index Options'!$I:$I,"Monthly*")+SUMIFS('BSE - Other Index Options'!$M:$M,'BSE - Other Index Options'!$C:$C,$A232,'BSE - Other Index Options'!$B:$B,C$147,'BSE - Other Index Options'!$I:$I,"Monthly*"))</f>
        <v/>
      </c>
      <c r="D232" s="26">
        <f>IF(SUMIFS('BSE - SENSEX Index Options'!$M:$M,'BSE - SENSEX Index Options'!$C:$C,$A232,'BSE - SENSEX Index Options'!$B:$B,D$147,'BSE - SENSEX Index Options'!$I:$I,"Monthly*")+SUMIFS('BSE - Other Index Options'!$M:$M,'BSE - Other Index Options'!$C:$C,$A232,'BSE - Other Index Options'!$B:$B,D$147,'BSE - Other Index Options'!$I:$I,"Monthly*")=0,"",SUMIFS('BSE - SENSEX Index Options'!$M:$M,'BSE - SENSEX Index Options'!$C:$C,$A232,'BSE - SENSEX Index Options'!$B:$B,D$147,'BSE - SENSEX Index Options'!$I:$I,"Monthly*")+SUMIFS('BSE - Other Index Options'!$M:$M,'BSE - Other Index Options'!$C:$C,$A232,'BSE - Other Index Options'!$B:$B,D$147,'BSE - Other Index Options'!$I:$I,"Monthly*"))</f>
        <v/>
      </c>
      <c r="E232" s="26">
        <f>IF(SUMIFS('BSE - SENSEX Index Options'!$M:$M,'BSE - SENSEX Index Options'!$C:$C,$A232,'BSE - SENSEX Index Options'!$B:$B,E$147,'BSE - SENSEX Index Options'!$I:$I,"Monthly*")+SUMIFS('BSE - Other Index Options'!$M:$M,'BSE - Other Index Options'!$C:$C,$A232,'BSE - Other Index Options'!$B:$B,E$147,'BSE - Other Index Options'!$I:$I,"Monthly*")=0,"",SUMIFS('BSE - SENSEX Index Options'!$M:$M,'BSE - SENSEX Index Options'!$C:$C,$A232,'BSE - SENSEX Index Options'!$B:$B,E$147,'BSE - SENSEX Index Options'!$I:$I,"Monthly*")+SUMIFS('BSE - Other Index Options'!$M:$M,'BSE - Other Index Options'!$C:$C,$A232,'BSE - Other Index Options'!$B:$B,E$147,'BSE - Other Index Options'!$I:$I,"Monthly*"))</f>
        <v/>
      </c>
      <c r="F232" s="26">
        <f>IF(SUMIFS('BSE - SENSEX Index Options'!$M:$M,'BSE - SENSEX Index Options'!$C:$C,$A232,'BSE - SENSEX Index Options'!$B:$B,F$147,'BSE - SENSEX Index Options'!$I:$I,"Monthly*")+SUMIFS('BSE - Other Index Options'!$M:$M,'BSE - Other Index Options'!$C:$C,$A232,'BSE - Other Index Options'!$B:$B,F$147,'BSE - Other Index Options'!$I:$I,"Monthly*")=0,"",SUMIFS('BSE - SENSEX Index Options'!$M:$M,'BSE - SENSEX Index Options'!$C:$C,$A232,'BSE - SENSEX Index Options'!$B:$B,F$147,'BSE - SENSEX Index Options'!$I:$I,"Monthly*")+SUMIFS('BSE - Other Index Options'!$M:$M,'BSE - Other Index Options'!$C:$C,$A232,'BSE - Other Index Options'!$B:$B,F$147,'BSE - Other Index Options'!$I:$I,"Monthly*"))</f>
        <v/>
      </c>
      <c r="G232" s="26">
        <f>IF(SUMIFS('BSE - SENSEX Index Options'!$M:$M,'BSE - SENSEX Index Options'!$C:$C,$A232,'BSE - SENSEX Index Options'!$B:$B,G$147,'BSE - SENSEX Index Options'!$I:$I,"Monthly*")+SUMIFS('BSE - Other Index Options'!$M:$M,'BSE - Other Index Options'!$C:$C,$A232,'BSE - Other Index Options'!$B:$B,G$147,'BSE - Other Index Options'!$I:$I,"Monthly*")=0,"",SUMIFS('BSE - SENSEX Index Options'!$M:$M,'BSE - SENSEX Index Options'!$C:$C,$A232,'BSE - SENSEX Index Options'!$B:$B,G$147,'BSE - SENSEX Index Options'!$I:$I,"Monthly*")+SUMIFS('BSE - Other Index Options'!$M:$M,'BSE - Other Index Options'!$C:$C,$A232,'BSE - Other Index Options'!$B:$B,G$147,'BSE - Other Index Options'!$I:$I,"Monthly*"))</f>
        <v/>
      </c>
      <c r="H232" s="26">
        <f>IF(SUM(B232:G232)=0,"",SUM(B232:G232))</f>
        <v/>
      </c>
    </row>
    <row r="233" hidden="1" outlineLevel="1">
      <c r="A233" t="inlineStr">
        <is>
          <t>Week2-Feb-2027</t>
        </is>
      </c>
      <c r="B233" s="26">
        <f>IF(SUMIFS('BSE - SENSEX Index Options'!$M:$M,'BSE - SENSEX Index Options'!$C:$C,$A233,'BSE - SENSEX Index Options'!$B:$B,B$147,'BSE - SENSEX Index Options'!$I:$I,"Monthly*")+SUMIFS('BSE - Other Index Options'!$M:$M,'BSE - Other Index Options'!$C:$C,$A233,'BSE - Other Index Options'!$B:$B,B$147,'BSE - Other Index Options'!$I:$I,"Monthly*")=0,"",SUMIFS('BSE - SENSEX Index Options'!$M:$M,'BSE - SENSEX Index Options'!$C:$C,$A233,'BSE - SENSEX Index Options'!$B:$B,B$147,'BSE - SENSEX Index Options'!$I:$I,"Monthly*")+SUMIFS('BSE - Other Index Options'!$M:$M,'BSE - Other Index Options'!$C:$C,$A233,'BSE - Other Index Options'!$B:$B,B$147,'BSE - Other Index Options'!$I:$I,"Monthly*"))</f>
        <v/>
      </c>
      <c r="C233" s="26">
        <f>IF(SUMIFS('BSE - SENSEX Index Options'!$M:$M,'BSE - SENSEX Index Options'!$C:$C,$A233,'BSE - SENSEX Index Options'!$B:$B,C$147,'BSE - SENSEX Index Options'!$I:$I,"Monthly*")+SUMIFS('BSE - Other Index Options'!$M:$M,'BSE - Other Index Options'!$C:$C,$A233,'BSE - Other Index Options'!$B:$B,C$147,'BSE - Other Index Options'!$I:$I,"Monthly*")=0,"",SUMIFS('BSE - SENSEX Index Options'!$M:$M,'BSE - SENSEX Index Options'!$C:$C,$A233,'BSE - SENSEX Index Options'!$B:$B,C$147,'BSE - SENSEX Index Options'!$I:$I,"Monthly*")+SUMIFS('BSE - Other Index Options'!$M:$M,'BSE - Other Index Options'!$C:$C,$A233,'BSE - Other Index Options'!$B:$B,C$147,'BSE - Other Index Options'!$I:$I,"Monthly*"))</f>
        <v/>
      </c>
      <c r="D233" s="26">
        <f>IF(SUMIFS('BSE - SENSEX Index Options'!$M:$M,'BSE - SENSEX Index Options'!$C:$C,$A233,'BSE - SENSEX Index Options'!$B:$B,D$147,'BSE - SENSEX Index Options'!$I:$I,"Monthly*")+SUMIFS('BSE - Other Index Options'!$M:$M,'BSE - Other Index Options'!$C:$C,$A233,'BSE - Other Index Options'!$B:$B,D$147,'BSE - Other Index Options'!$I:$I,"Monthly*")=0,"",SUMIFS('BSE - SENSEX Index Options'!$M:$M,'BSE - SENSEX Index Options'!$C:$C,$A233,'BSE - SENSEX Index Options'!$B:$B,D$147,'BSE - SENSEX Index Options'!$I:$I,"Monthly*")+SUMIFS('BSE - Other Index Options'!$M:$M,'BSE - Other Index Options'!$C:$C,$A233,'BSE - Other Index Options'!$B:$B,D$147,'BSE - Other Index Options'!$I:$I,"Monthly*"))</f>
        <v/>
      </c>
      <c r="E233" s="26">
        <f>IF(SUMIFS('BSE - SENSEX Index Options'!$M:$M,'BSE - SENSEX Index Options'!$C:$C,$A233,'BSE - SENSEX Index Options'!$B:$B,E$147,'BSE - SENSEX Index Options'!$I:$I,"Monthly*")+SUMIFS('BSE - Other Index Options'!$M:$M,'BSE - Other Index Options'!$C:$C,$A233,'BSE - Other Index Options'!$B:$B,E$147,'BSE - Other Index Options'!$I:$I,"Monthly*")=0,"",SUMIFS('BSE - SENSEX Index Options'!$M:$M,'BSE - SENSEX Index Options'!$C:$C,$A233,'BSE - SENSEX Index Options'!$B:$B,E$147,'BSE - SENSEX Index Options'!$I:$I,"Monthly*")+SUMIFS('BSE - Other Index Options'!$M:$M,'BSE - Other Index Options'!$C:$C,$A233,'BSE - Other Index Options'!$B:$B,E$147,'BSE - Other Index Options'!$I:$I,"Monthly*"))</f>
        <v/>
      </c>
      <c r="F233" s="26">
        <f>IF(SUMIFS('BSE - SENSEX Index Options'!$M:$M,'BSE - SENSEX Index Options'!$C:$C,$A233,'BSE - SENSEX Index Options'!$B:$B,F$147,'BSE - SENSEX Index Options'!$I:$I,"Monthly*")+SUMIFS('BSE - Other Index Options'!$M:$M,'BSE - Other Index Options'!$C:$C,$A233,'BSE - Other Index Options'!$B:$B,F$147,'BSE - Other Index Options'!$I:$I,"Monthly*")=0,"",SUMIFS('BSE - SENSEX Index Options'!$M:$M,'BSE - SENSEX Index Options'!$C:$C,$A233,'BSE - SENSEX Index Options'!$B:$B,F$147,'BSE - SENSEX Index Options'!$I:$I,"Monthly*")+SUMIFS('BSE - Other Index Options'!$M:$M,'BSE - Other Index Options'!$C:$C,$A233,'BSE - Other Index Options'!$B:$B,F$147,'BSE - Other Index Options'!$I:$I,"Monthly*"))</f>
        <v/>
      </c>
      <c r="G233" s="26">
        <f>IF(SUMIFS('BSE - SENSEX Index Options'!$M:$M,'BSE - SENSEX Index Options'!$C:$C,$A233,'BSE - SENSEX Index Options'!$B:$B,G$147,'BSE - SENSEX Index Options'!$I:$I,"Monthly*")+SUMIFS('BSE - Other Index Options'!$M:$M,'BSE - Other Index Options'!$C:$C,$A233,'BSE - Other Index Options'!$B:$B,G$147,'BSE - Other Index Options'!$I:$I,"Monthly*")=0,"",SUMIFS('BSE - SENSEX Index Options'!$M:$M,'BSE - SENSEX Index Options'!$C:$C,$A233,'BSE - SENSEX Index Options'!$B:$B,G$147,'BSE - SENSEX Index Options'!$I:$I,"Monthly*")+SUMIFS('BSE - Other Index Options'!$M:$M,'BSE - Other Index Options'!$C:$C,$A233,'BSE - Other Index Options'!$B:$B,G$147,'BSE - Other Index Options'!$I:$I,"Monthly*"))</f>
        <v/>
      </c>
      <c r="H233" s="26">
        <f>IF(SUM(B233:G233)=0,"",SUM(B233:G233))</f>
        <v/>
      </c>
    </row>
    <row r="234" hidden="1" outlineLevel="1">
      <c r="A234" t="inlineStr">
        <is>
          <t>Week3-Feb-2027</t>
        </is>
      </c>
      <c r="B234" s="26">
        <f>IF(SUMIFS('BSE - SENSEX Index Options'!$M:$M,'BSE - SENSEX Index Options'!$C:$C,$A234,'BSE - SENSEX Index Options'!$B:$B,B$147,'BSE - SENSEX Index Options'!$I:$I,"Monthly*")+SUMIFS('BSE - Other Index Options'!$M:$M,'BSE - Other Index Options'!$C:$C,$A234,'BSE - Other Index Options'!$B:$B,B$147,'BSE - Other Index Options'!$I:$I,"Monthly*")=0,"",SUMIFS('BSE - SENSEX Index Options'!$M:$M,'BSE - SENSEX Index Options'!$C:$C,$A234,'BSE - SENSEX Index Options'!$B:$B,B$147,'BSE - SENSEX Index Options'!$I:$I,"Monthly*")+SUMIFS('BSE - Other Index Options'!$M:$M,'BSE - Other Index Options'!$C:$C,$A234,'BSE - Other Index Options'!$B:$B,B$147,'BSE - Other Index Options'!$I:$I,"Monthly*"))</f>
        <v/>
      </c>
      <c r="C234" s="26">
        <f>IF(SUMIFS('BSE - SENSEX Index Options'!$M:$M,'BSE - SENSEX Index Options'!$C:$C,$A234,'BSE - SENSEX Index Options'!$B:$B,C$147,'BSE - SENSEX Index Options'!$I:$I,"Monthly*")+SUMIFS('BSE - Other Index Options'!$M:$M,'BSE - Other Index Options'!$C:$C,$A234,'BSE - Other Index Options'!$B:$B,C$147,'BSE - Other Index Options'!$I:$I,"Monthly*")=0,"",SUMIFS('BSE - SENSEX Index Options'!$M:$M,'BSE - SENSEX Index Options'!$C:$C,$A234,'BSE - SENSEX Index Options'!$B:$B,C$147,'BSE - SENSEX Index Options'!$I:$I,"Monthly*")+SUMIFS('BSE - Other Index Options'!$M:$M,'BSE - Other Index Options'!$C:$C,$A234,'BSE - Other Index Options'!$B:$B,C$147,'BSE - Other Index Options'!$I:$I,"Monthly*"))</f>
        <v/>
      </c>
      <c r="D234" s="26">
        <f>IF(SUMIFS('BSE - SENSEX Index Options'!$M:$M,'BSE - SENSEX Index Options'!$C:$C,$A234,'BSE - SENSEX Index Options'!$B:$B,D$147,'BSE - SENSEX Index Options'!$I:$I,"Monthly*")+SUMIFS('BSE - Other Index Options'!$M:$M,'BSE - Other Index Options'!$C:$C,$A234,'BSE - Other Index Options'!$B:$B,D$147,'BSE - Other Index Options'!$I:$I,"Monthly*")=0,"",SUMIFS('BSE - SENSEX Index Options'!$M:$M,'BSE - SENSEX Index Options'!$C:$C,$A234,'BSE - SENSEX Index Options'!$B:$B,D$147,'BSE - SENSEX Index Options'!$I:$I,"Monthly*")+SUMIFS('BSE - Other Index Options'!$M:$M,'BSE - Other Index Options'!$C:$C,$A234,'BSE - Other Index Options'!$B:$B,D$147,'BSE - Other Index Options'!$I:$I,"Monthly*"))</f>
        <v/>
      </c>
      <c r="E234" s="26">
        <f>IF(SUMIFS('BSE - SENSEX Index Options'!$M:$M,'BSE - SENSEX Index Options'!$C:$C,$A234,'BSE - SENSEX Index Options'!$B:$B,E$147,'BSE - SENSEX Index Options'!$I:$I,"Monthly*")+SUMIFS('BSE - Other Index Options'!$M:$M,'BSE - Other Index Options'!$C:$C,$A234,'BSE - Other Index Options'!$B:$B,E$147,'BSE - Other Index Options'!$I:$I,"Monthly*")=0,"",SUMIFS('BSE - SENSEX Index Options'!$M:$M,'BSE - SENSEX Index Options'!$C:$C,$A234,'BSE - SENSEX Index Options'!$B:$B,E$147,'BSE - SENSEX Index Options'!$I:$I,"Monthly*")+SUMIFS('BSE - Other Index Options'!$M:$M,'BSE - Other Index Options'!$C:$C,$A234,'BSE - Other Index Options'!$B:$B,E$147,'BSE - Other Index Options'!$I:$I,"Monthly*"))</f>
        <v/>
      </c>
      <c r="F234" s="26">
        <f>IF(SUMIFS('BSE - SENSEX Index Options'!$M:$M,'BSE - SENSEX Index Options'!$C:$C,$A234,'BSE - SENSEX Index Options'!$B:$B,F$147,'BSE - SENSEX Index Options'!$I:$I,"Monthly*")+SUMIFS('BSE - Other Index Options'!$M:$M,'BSE - Other Index Options'!$C:$C,$A234,'BSE - Other Index Options'!$B:$B,F$147,'BSE - Other Index Options'!$I:$I,"Monthly*")=0,"",SUMIFS('BSE - SENSEX Index Options'!$M:$M,'BSE - SENSEX Index Options'!$C:$C,$A234,'BSE - SENSEX Index Options'!$B:$B,F$147,'BSE - SENSEX Index Options'!$I:$I,"Monthly*")+SUMIFS('BSE - Other Index Options'!$M:$M,'BSE - Other Index Options'!$C:$C,$A234,'BSE - Other Index Options'!$B:$B,F$147,'BSE - Other Index Options'!$I:$I,"Monthly*"))</f>
        <v/>
      </c>
      <c r="G234" s="26">
        <f>IF(SUMIFS('BSE - SENSEX Index Options'!$M:$M,'BSE - SENSEX Index Options'!$C:$C,$A234,'BSE - SENSEX Index Options'!$B:$B,G$147,'BSE - SENSEX Index Options'!$I:$I,"Monthly*")+SUMIFS('BSE - Other Index Options'!$M:$M,'BSE - Other Index Options'!$C:$C,$A234,'BSE - Other Index Options'!$B:$B,G$147,'BSE - Other Index Options'!$I:$I,"Monthly*")=0,"",SUMIFS('BSE - SENSEX Index Options'!$M:$M,'BSE - SENSEX Index Options'!$C:$C,$A234,'BSE - SENSEX Index Options'!$B:$B,G$147,'BSE - SENSEX Index Options'!$I:$I,"Monthly*")+SUMIFS('BSE - Other Index Options'!$M:$M,'BSE - Other Index Options'!$C:$C,$A234,'BSE - Other Index Options'!$B:$B,G$147,'BSE - Other Index Options'!$I:$I,"Monthly*"))</f>
        <v/>
      </c>
      <c r="H234" s="26">
        <f>IF(SUM(B234:G234)=0,"",SUM(B234:G234))</f>
        <v/>
      </c>
    </row>
    <row r="235" hidden="1" outlineLevel="1">
      <c r="A235" t="inlineStr">
        <is>
          <t>Week4-Feb-2027</t>
        </is>
      </c>
      <c r="B235" s="26">
        <f>IF(SUMIFS('BSE - SENSEX Index Options'!$M:$M,'BSE - SENSEX Index Options'!$C:$C,$A235,'BSE - SENSEX Index Options'!$B:$B,B$147,'BSE - SENSEX Index Options'!$I:$I,"Monthly*")+SUMIFS('BSE - Other Index Options'!$M:$M,'BSE - Other Index Options'!$C:$C,$A235,'BSE - Other Index Options'!$B:$B,B$147,'BSE - Other Index Options'!$I:$I,"Monthly*")=0,"",SUMIFS('BSE - SENSEX Index Options'!$M:$M,'BSE - SENSEX Index Options'!$C:$C,$A235,'BSE - SENSEX Index Options'!$B:$B,B$147,'BSE - SENSEX Index Options'!$I:$I,"Monthly*")+SUMIFS('BSE - Other Index Options'!$M:$M,'BSE - Other Index Options'!$C:$C,$A235,'BSE - Other Index Options'!$B:$B,B$147,'BSE - Other Index Options'!$I:$I,"Monthly*"))</f>
        <v/>
      </c>
      <c r="C235" s="26">
        <f>IF(SUMIFS('BSE - SENSEX Index Options'!$M:$M,'BSE - SENSEX Index Options'!$C:$C,$A235,'BSE - SENSEX Index Options'!$B:$B,C$147,'BSE - SENSEX Index Options'!$I:$I,"Monthly*")+SUMIFS('BSE - Other Index Options'!$M:$M,'BSE - Other Index Options'!$C:$C,$A235,'BSE - Other Index Options'!$B:$B,C$147,'BSE - Other Index Options'!$I:$I,"Monthly*")=0,"",SUMIFS('BSE - SENSEX Index Options'!$M:$M,'BSE - SENSEX Index Options'!$C:$C,$A235,'BSE - SENSEX Index Options'!$B:$B,C$147,'BSE - SENSEX Index Options'!$I:$I,"Monthly*")+SUMIFS('BSE - Other Index Options'!$M:$M,'BSE - Other Index Options'!$C:$C,$A235,'BSE - Other Index Options'!$B:$B,C$147,'BSE - Other Index Options'!$I:$I,"Monthly*"))</f>
        <v/>
      </c>
      <c r="D235" s="26">
        <f>IF(SUMIFS('BSE - SENSEX Index Options'!$M:$M,'BSE - SENSEX Index Options'!$C:$C,$A235,'BSE - SENSEX Index Options'!$B:$B,D$147,'BSE - SENSEX Index Options'!$I:$I,"Monthly*")+SUMIFS('BSE - Other Index Options'!$M:$M,'BSE - Other Index Options'!$C:$C,$A235,'BSE - Other Index Options'!$B:$B,D$147,'BSE - Other Index Options'!$I:$I,"Monthly*")=0,"",SUMIFS('BSE - SENSEX Index Options'!$M:$M,'BSE - SENSEX Index Options'!$C:$C,$A235,'BSE - SENSEX Index Options'!$B:$B,D$147,'BSE - SENSEX Index Options'!$I:$I,"Monthly*")+SUMIFS('BSE - Other Index Options'!$M:$M,'BSE - Other Index Options'!$C:$C,$A235,'BSE - Other Index Options'!$B:$B,D$147,'BSE - Other Index Options'!$I:$I,"Monthly*"))</f>
        <v/>
      </c>
      <c r="E235" s="26">
        <f>IF(SUMIFS('BSE - SENSEX Index Options'!$M:$M,'BSE - SENSEX Index Options'!$C:$C,$A235,'BSE - SENSEX Index Options'!$B:$B,E$147,'BSE - SENSEX Index Options'!$I:$I,"Monthly*")+SUMIFS('BSE - Other Index Options'!$M:$M,'BSE - Other Index Options'!$C:$C,$A235,'BSE - Other Index Options'!$B:$B,E$147,'BSE - Other Index Options'!$I:$I,"Monthly*")=0,"",SUMIFS('BSE - SENSEX Index Options'!$M:$M,'BSE - SENSEX Index Options'!$C:$C,$A235,'BSE - SENSEX Index Options'!$B:$B,E$147,'BSE - SENSEX Index Options'!$I:$I,"Monthly*")+SUMIFS('BSE - Other Index Options'!$M:$M,'BSE - Other Index Options'!$C:$C,$A235,'BSE - Other Index Options'!$B:$B,E$147,'BSE - Other Index Options'!$I:$I,"Monthly*"))</f>
        <v/>
      </c>
      <c r="F235" s="26">
        <f>IF(SUMIFS('BSE - SENSEX Index Options'!$M:$M,'BSE - SENSEX Index Options'!$C:$C,$A235,'BSE - SENSEX Index Options'!$B:$B,F$147,'BSE - SENSEX Index Options'!$I:$I,"Monthly*")+SUMIFS('BSE - Other Index Options'!$M:$M,'BSE - Other Index Options'!$C:$C,$A235,'BSE - Other Index Options'!$B:$B,F$147,'BSE - Other Index Options'!$I:$I,"Monthly*")=0,"",SUMIFS('BSE - SENSEX Index Options'!$M:$M,'BSE - SENSEX Index Options'!$C:$C,$A235,'BSE - SENSEX Index Options'!$B:$B,F$147,'BSE - SENSEX Index Options'!$I:$I,"Monthly*")+SUMIFS('BSE - Other Index Options'!$M:$M,'BSE - Other Index Options'!$C:$C,$A235,'BSE - Other Index Options'!$B:$B,F$147,'BSE - Other Index Options'!$I:$I,"Monthly*"))</f>
        <v/>
      </c>
      <c r="G235" s="26">
        <f>IF(SUMIFS('BSE - SENSEX Index Options'!$M:$M,'BSE - SENSEX Index Options'!$C:$C,$A235,'BSE - SENSEX Index Options'!$B:$B,G$147,'BSE - SENSEX Index Options'!$I:$I,"Monthly*")+SUMIFS('BSE - Other Index Options'!$M:$M,'BSE - Other Index Options'!$C:$C,$A235,'BSE - Other Index Options'!$B:$B,G$147,'BSE - Other Index Options'!$I:$I,"Monthly*")=0,"",SUMIFS('BSE - SENSEX Index Options'!$M:$M,'BSE - SENSEX Index Options'!$C:$C,$A235,'BSE - SENSEX Index Options'!$B:$B,G$147,'BSE - SENSEX Index Options'!$I:$I,"Monthly*")+SUMIFS('BSE - Other Index Options'!$M:$M,'BSE - Other Index Options'!$C:$C,$A235,'BSE - Other Index Options'!$B:$B,G$147,'BSE - Other Index Options'!$I:$I,"Monthly*"))</f>
        <v/>
      </c>
      <c r="H235" s="26">
        <f>IF(SUM(B235:G235)=0,"",SUM(B235:G235))</f>
        <v/>
      </c>
    </row>
    <row r="236" hidden="1" outlineLevel="1">
      <c r="A236" t="inlineStr">
        <is>
          <t>Week1-Mar-2027</t>
        </is>
      </c>
      <c r="B236" s="26">
        <f>IF(SUMIFS('BSE - SENSEX Index Options'!$M:$M,'BSE - SENSEX Index Options'!$C:$C,$A236,'BSE - SENSEX Index Options'!$B:$B,B$147,'BSE - SENSEX Index Options'!$I:$I,"Monthly*")+SUMIFS('BSE - Other Index Options'!$M:$M,'BSE - Other Index Options'!$C:$C,$A236,'BSE - Other Index Options'!$B:$B,B$147,'BSE - Other Index Options'!$I:$I,"Monthly*")=0,"",SUMIFS('BSE - SENSEX Index Options'!$M:$M,'BSE - SENSEX Index Options'!$C:$C,$A236,'BSE - SENSEX Index Options'!$B:$B,B$147,'BSE - SENSEX Index Options'!$I:$I,"Monthly*")+SUMIFS('BSE - Other Index Options'!$M:$M,'BSE - Other Index Options'!$C:$C,$A236,'BSE - Other Index Options'!$B:$B,B$147,'BSE - Other Index Options'!$I:$I,"Monthly*"))</f>
        <v/>
      </c>
      <c r="C236" s="26">
        <f>IF(SUMIFS('BSE - SENSEX Index Options'!$M:$M,'BSE - SENSEX Index Options'!$C:$C,$A236,'BSE - SENSEX Index Options'!$B:$B,C$147,'BSE - SENSEX Index Options'!$I:$I,"Monthly*")+SUMIFS('BSE - Other Index Options'!$M:$M,'BSE - Other Index Options'!$C:$C,$A236,'BSE - Other Index Options'!$B:$B,C$147,'BSE - Other Index Options'!$I:$I,"Monthly*")=0,"",SUMIFS('BSE - SENSEX Index Options'!$M:$M,'BSE - SENSEX Index Options'!$C:$C,$A236,'BSE - SENSEX Index Options'!$B:$B,C$147,'BSE - SENSEX Index Options'!$I:$I,"Monthly*")+SUMIFS('BSE - Other Index Options'!$M:$M,'BSE - Other Index Options'!$C:$C,$A236,'BSE - Other Index Options'!$B:$B,C$147,'BSE - Other Index Options'!$I:$I,"Monthly*"))</f>
        <v/>
      </c>
      <c r="D236" s="26">
        <f>IF(SUMIFS('BSE - SENSEX Index Options'!$M:$M,'BSE - SENSEX Index Options'!$C:$C,$A236,'BSE - SENSEX Index Options'!$B:$B,D$147,'BSE - SENSEX Index Options'!$I:$I,"Monthly*")+SUMIFS('BSE - Other Index Options'!$M:$M,'BSE - Other Index Options'!$C:$C,$A236,'BSE - Other Index Options'!$B:$B,D$147,'BSE - Other Index Options'!$I:$I,"Monthly*")=0,"",SUMIFS('BSE - SENSEX Index Options'!$M:$M,'BSE - SENSEX Index Options'!$C:$C,$A236,'BSE - SENSEX Index Options'!$B:$B,D$147,'BSE - SENSEX Index Options'!$I:$I,"Monthly*")+SUMIFS('BSE - Other Index Options'!$M:$M,'BSE - Other Index Options'!$C:$C,$A236,'BSE - Other Index Options'!$B:$B,D$147,'BSE - Other Index Options'!$I:$I,"Monthly*"))</f>
        <v/>
      </c>
      <c r="E236" s="26">
        <f>IF(SUMIFS('BSE - SENSEX Index Options'!$M:$M,'BSE - SENSEX Index Options'!$C:$C,$A236,'BSE - SENSEX Index Options'!$B:$B,E$147,'BSE - SENSEX Index Options'!$I:$I,"Monthly*")+SUMIFS('BSE - Other Index Options'!$M:$M,'BSE - Other Index Options'!$C:$C,$A236,'BSE - Other Index Options'!$B:$B,E$147,'BSE - Other Index Options'!$I:$I,"Monthly*")=0,"",SUMIFS('BSE - SENSEX Index Options'!$M:$M,'BSE - SENSEX Index Options'!$C:$C,$A236,'BSE - SENSEX Index Options'!$B:$B,E$147,'BSE - SENSEX Index Options'!$I:$I,"Monthly*")+SUMIFS('BSE - Other Index Options'!$M:$M,'BSE - Other Index Options'!$C:$C,$A236,'BSE - Other Index Options'!$B:$B,E$147,'BSE - Other Index Options'!$I:$I,"Monthly*"))</f>
        <v/>
      </c>
      <c r="F236" s="26">
        <f>IF(SUMIFS('BSE - SENSEX Index Options'!$M:$M,'BSE - SENSEX Index Options'!$C:$C,$A236,'BSE - SENSEX Index Options'!$B:$B,F$147,'BSE - SENSEX Index Options'!$I:$I,"Monthly*")+SUMIFS('BSE - Other Index Options'!$M:$M,'BSE - Other Index Options'!$C:$C,$A236,'BSE - Other Index Options'!$B:$B,F$147,'BSE - Other Index Options'!$I:$I,"Monthly*")=0,"",SUMIFS('BSE - SENSEX Index Options'!$M:$M,'BSE - SENSEX Index Options'!$C:$C,$A236,'BSE - SENSEX Index Options'!$B:$B,F$147,'BSE - SENSEX Index Options'!$I:$I,"Monthly*")+SUMIFS('BSE - Other Index Options'!$M:$M,'BSE - Other Index Options'!$C:$C,$A236,'BSE - Other Index Options'!$B:$B,F$147,'BSE - Other Index Options'!$I:$I,"Monthly*"))</f>
        <v/>
      </c>
      <c r="G236" s="26">
        <f>IF(SUMIFS('BSE - SENSEX Index Options'!$M:$M,'BSE - SENSEX Index Options'!$C:$C,$A236,'BSE - SENSEX Index Options'!$B:$B,G$147,'BSE - SENSEX Index Options'!$I:$I,"Monthly*")+SUMIFS('BSE - Other Index Options'!$M:$M,'BSE - Other Index Options'!$C:$C,$A236,'BSE - Other Index Options'!$B:$B,G$147,'BSE - Other Index Options'!$I:$I,"Monthly*")=0,"",SUMIFS('BSE - SENSEX Index Options'!$M:$M,'BSE - SENSEX Index Options'!$C:$C,$A236,'BSE - SENSEX Index Options'!$B:$B,G$147,'BSE - SENSEX Index Options'!$I:$I,"Monthly*")+SUMIFS('BSE - Other Index Options'!$M:$M,'BSE - Other Index Options'!$C:$C,$A236,'BSE - Other Index Options'!$B:$B,G$147,'BSE - Other Index Options'!$I:$I,"Monthly*"))</f>
        <v/>
      </c>
      <c r="H236" s="26">
        <f>IF(SUM(B236:G236)=0,"",SUM(B236:G236))</f>
        <v/>
      </c>
    </row>
    <row r="237" hidden="1" outlineLevel="1">
      <c r="A237" t="inlineStr">
        <is>
          <t>Week2-Mar-2027</t>
        </is>
      </c>
      <c r="B237" s="26">
        <f>IF(SUMIFS('BSE - SENSEX Index Options'!$M:$M,'BSE - SENSEX Index Options'!$C:$C,$A237,'BSE - SENSEX Index Options'!$B:$B,B$147,'BSE - SENSEX Index Options'!$I:$I,"Monthly*")+SUMIFS('BSE - Other Index Options'!$M:$M,'BSE - Other Index Options'!$C:$C,$A237,'BSE - Other Index Options'!$B:$B,B$147,'BSE - Other Index Options'!$I:$I,"Monthly*")=0,"",SUMIFS('BSE - SENSEX Index Options'!$M:$M,'BSE - SENSEX Index Options'!$C:$C,$A237,'BSE - SENSEX Index Options'!$B:$B,B$147,'BSE - SENSEX Index Options'!$I:$I,"Monthly*")+SUMIFS('BSE - Other Index Options'!$M:$M,'BSE - Other Index Options'!$C:$C,$A237,'BSE - Other Index Options'!$B:$B,B$147,'BSE - Other Index Options'!$I:$I,"Monthly*"))</f>
        <v/>
      </c>
      <c r="C237" s="26">
        <f>IF(SUMIFS('BSE - SENSEX Index Options'!$M:$M,'BSE - SENSEX Index Options'!$C:$C,$A237,'BSE - SENSEX Index Options'!$B:$B,C$147,'BSE - SENSEX Index Options'!$I:$I,"Monthly*")+SUMIFS('BSE - Other Index Options'!$M:$M,'BSE - Other Index Options'!$C:$C,$A237,'BSE - Other Index Options'!$B:$B,C$147,'BSE - Other Index Options'!$I:$I,"Monthly*")=0,"",SUMIFS('BSE - SENSEX Index Options'!$M:$M,'BSE - SENSEX Index Options'!$C:$C,$A237,'BSE - SENSEX Index Options'!$B:$B,C$147,'BSE - SENSEX Index Options'!$I:$I,"Monthly*")+SUMIFS('BSE - Other Index Options'!$M:$M,'BSE - Other Index Options'!$C:$C,$A237,'BSE - Other Index Options'!$B:$B,C$147,'BSE - Other Index Options'!$I:$I,"Monthly*"))</f>
        <v/>
      </c>
      <c r="D237" s="26">
        <f>IF(SUMIFS('BSE - SENSEX Index Options'!$M:$M,'BSE - SENSEX Index Options'!$C:$C,$A237,'BSE - SENSEX Index Options'!$B:$B,D$147,'BSE - SENSEX Index Options'!$I:$I,"Monthly*")+SUMIFS('BSE - Other Index Options'!$M:$M,'BSE - Other Index Options'!$C:$C,$A237,'BSE - Other Index Options'!$B:$B,D$147,'BSE - Other Index Options'!$I:$I,"Monthly*")=0,"",SUMIFS('BSE - SENSEX Index Options'!$M:$M,'BSE - SENSEX Index Options'!$C:$C,$A237,'BSE - SENSEX Index Options'!$B:$B,D$147,'BSE - SENSEX Index Options'!$I:$I,"Monthly*")+SUMIFS('BSE - Other Index Options'!$M:$M,'BSE - Other Index Options'!$C:$C,$A237,'BSE - Other Index Options'!$B:$B,D$147,'BSE - Other Index Options'!$I:$I,"Monthly*"))</f>
        <v/>
      </c>
      <c r="E237" s="26">
        <f>IF(SUMIFS('BSE - SENSEX Index Options'!$M:$M,'BSE - SENSEX Index Options'!$C:$C,$A237,'BSE - SENSEX Index Options'!$B:$B,E$147,'BSE - SENSEX Index Options'!$I:$I,"Monthly*")+SUMIFS('BSE - Other Index Options'!$M:$M,'BSE - Other Index Options'!$C:$C,$A237,'BSE - Other Index Options'!$B:$B,E$147,'BSE - Other Index Options'!$I:$I,"Monthly*")=0,"",SUMIFS('BSE - SENSEX Index Options'!$M:$M,'BSE - SENSEX Index Options'!$C:$C,$A237,'BSE - SENSEX Index Options'!$B:$B,E$147,'BSE - SENSEX Index Options'!$I:$I,"Monthly*")+SUMIFS('BSE - Other Index Options'!$M:$M,'BSE - Other Index Options'!$C:$C,$A237,'BSE - Other Index Options'!$B:$B,E$147,'BSE - Other Index Options'!$I:$I,"Monthly*"))</f>
        <v/>
      </c>
      <c r="F237" s="26">
        <f>IF(SUMIFS('BSE - SENSEX Index Options'!$M:$M,'BSE - SENSEX Index Options'!$C:$C,$A237,'BSE - SENSEX Index Options'!$B:$B,F$147,'BSE - SENSEX Index Options'!$I:$I,"Monthly*")+SUMIFS('BSE - Other Index Options'!$M:$M,'BSE - Other Index Options'!$C:$C,$A237,'BSE - Other Index Options'!$B:$B,F$147,'BSE - Other Index Options'!$I:$I,"Monthly*")=0,"",SUMIFS('BSE - SENSEX Index Options'!$M:$M,'BSE - SENSEX Index Options'!$C:$C,$A237,'BSE - SENSEX Index Options'!$B:$B,F$147,'BSE - SENSEX Index Options'!$I:$I,"Monthly*")+SUMIFS('BSE - Other Index Options'!$M:$M,'BSE - Other Index Options'!$C:$C,$A237,'BSE - Other Index Options'!$B:$B,F$147,'BSE - Other Index Options'!$I:$I,"Monthly*"))</f>
        <v/>
      </c>
      <c r="G237" s="26">
        <f>IF(SUMIFS('BSE - SENSEX Index Options'!$M:$M,'BSE - SENSEX Index Options'!$C:$C,$A237,'BSE - SENSEX Index Options'!$B:$B,G$147,'BSE - SENSEX Index Options'!$I:$I,"Monthly*")+SUMIFS('BSE - Other Index Options'!$M:$M,'BSE - Other Index Options'!$C:$C,$A237,'BSE - Other Index Options'!$B:$B,G$147,'BSE - Other Index Options'!$I:$I,"Monthly*")=0,"",SUMIFS('BSE - SENSEX Index Options'!$M:$M,'BSE - SENSEX Index Options'!$C:$C,$A237,'BSE - SENSEX Index Options'!$B:$B,G$147,'BSE - SENSEX Index Options'!$I:$I,"Monthly*")+SUMIFS('BSE - Other Index Options'!$M:$M,'BSE - Other Index Options'!$C:$C,$A237,'BSE - Other Index Options'!$B:$B,G$147,'BSE - Other Index Options'!$I:$I,"Monthly*"))</f>
        <v/>
      </c>
      <c r="H237" s="26">
        <f>IF(SUM(B237:G237)=0,"",SUM(B237:G237))</f>
        <v/>
      </c>
    </row>
    <row r="238" hidden="1" outlineLevel="1">
      <c r="A238" t="inlineStr">
        <is>
          <t>Week3-Mar-2027</t>
        </is>
      </c>
      <c r="B238" s="26">
        <f>IF(SUMIFS('BSE - SENSEX Index Options'!$M:$M,'BSE - SENSEX Index Options'!$C:$C,$A238,'BSE - SENSEX Index Options'!$B:$B,B$147,'BSE - SENSEX Index Options'!$I:$I,"Monthly*")+SUMIFS('BSE - Other Index Options'!$M:$M,'BSE - Other Index Options'!$C:$C,$A238,'BSE - Other Index Options'!$B:$B,B$147,'BSE - Other Index Options'!$I:$I,"Monthly*")=0,"",SUMIFS('BSE - SENSEX Index Options'!$M:$M,'BSE - SENSEX Index Options'!$C:$C,$A238,'BSE - SENSEX Index Options'!$B:$B,B$147,'BSE - SENSEX Index Options'!$I:$I,"Monthly*")+SUMIFS('BSE - Other Index Options'!$M:$M,'BSE - Other Index Options'!$C:$C,$A238,'BSE - Other Index Options'!$B:$B,B$147,'BSE - Other Index Options'!$I:$I,"Monthly*"))</f>
        <v/>
      </c>
      <c r="C238" s="26">
        <f>IF(SUMIFS('BSE - SENSEX Index Options'!$M:$M,'BSE - SENSEX Index Options'!$C:$C,$A238,'BSE - SENSEX Index Options'!$B:$B,C$147,'BSE - SENSEX Index Options'!$I:$I,"Monthly*")+SUMIFS('BSE - Other Index Options'!$M:$M,'BSE - Other Index Options'!$C:$C,$A238,'BSE - Other Index Options'!$B:$B,C$147,'BSE - Other Index Options'!$I:$I,"Monthly*")=0,"",SUMIFS('BSE - SENSEX Index Options'!$M:$M,'BSE - SENSEX Index Options'!$C:$C,$A238,'BSE - SENSEX Index Options'!$B:$B,C$147,'BSE - SENSEX Index Options'!$I:$I,"Monthly*")+SUMIFS('BSE - Other Index Options'!$M:$M,'BSE - Other Index Options'!$C:$C,$A238,'BSE - Other Index Options'!$B:$B,C$147,'BSE - Other Index Options'!$I:$I,"Monthly*"))</f>
        <v/>
      </c>
      <c r="D238" s="26">
        <f>IF(SUMIFS('BSE - SENSEX Index Options'!$M:$M,'BSE - SENSEX Index Options'!$C:$C,$A238,'BSE - SENSEX Index Options'!$B:$B,D$147,'BSE - SENSEX Index Options'!$I:$I,"Monthly*")+SUMIFS('BSE - Other Index Options'!$M:$M,'BSE - Other Index Options'!$C:$C,$A238,'BSE - Other Index Options'!$B:$B,D$147,'BSE - Other Index Options'!$I:$I,"Monthly*")=0,"",SUMIFS('BSE - SENSEX Index Options'!$M:$M,'BSE - SENSEX Index Options'!$C:$C,$A238,'BSE - SENSEX Index Options'!$B:$B,D$147,'BSE - SENSEX Index Options'!$I:$I,"Monthly*")+SUMIFS('BSE - Other Index Options'!$M:$M,'BSE - Other Index Options'!$C:$C,$A238,'BSE - Other Index Options'!$B:$B,D$147,'BSE - Other Index Options'!$I:$I,"Monthly*"))</f>
        <v/>
      </c>
      <c r="E238" s="26">
        <f>IF(SUMIFS('BSE - SENSEX Index Options'!$M:$M,'BSE - SENSEX Index Options'!$C:$C,$A238,'BSE - SENSEX Index Options'!$B:$B,E$147,'BSE - SENSEX Index Options'!$I:$I,"Monthly*")+SUMIFS('BSE - Other Index Options'!$M:$M,'BSE - Other Index Options'!$C:$C,$A238,'BSE - Other Index Options'!$B:$B,E$147,'BSE - Other Index Options'!$I:$I,"Monthly*")=0,"",SUMIFS('BSE - SENSEX Index Options'!$M:$M,'BSE - SENSEX Index Options'!$C:$C,$A238,'BSE - SENSEX Index Options'!$B:$B,E$147,'BSE - SENSEX Index Options'!$I:$I,"Monthly*")+SUMIFS('BSE - Other Index Options'!$M:$M,'BSE - Other Index Options'!$C:$C,$A238,'BSE - Other Index Options'!$B:$B,E$147,'BSE - Other Index Options'!$I:$I,"Monthly*"))</f>
        <v/>
      </c>
      <c r="F238" s="26">
        <f>IF(SUMIFS('BSE - SENSEX Index Options'!$M:$M,'BSE - SENSEX Index Options'!$C:$C,$A238,'BSE - SENSEX Index Options'!$B:$B,F$147,'BSE - SENSEX Index Options'!$I:$I,"Monthly*")+SUMIFS('BSE - Other Index Options'!$M:$M,'BSE - Other Index Options'!$C:$C,$A238,'BSE - Other Index Options'!$B:$B,F$147,'BSE - Other Index Options'!$I:$I,"Monthly*")=0,"",SUMIFS('BSE - SENSEX Index Options'!$M:$M,'BSE - SENSEX Index Options'!$C:$C,$A238,'BSE - SENSEX Index Options'!$B:$B,F$147,'BSE - SENSEX Index Options'!$I:$I,"Monthly*")+SUMIFS('BSE - Other Index Options'!$M:$M,'BSE - Other Index Options'!$C:$C,$A238,'BSE - Other Index Options'!$B:$B,F$147,'BSE - Other Index Options'!$I:$I,"Monthly*"))</f>
        <v/>
      </c>
      <c r="G238" s="26">
        <f>IF(SUMIFS('BSE - SENSEX Index Options'!$M:$M,'BSE - SENSEX Index Options'!$C:$C,$A238,'BSE - SENSEX Index Options'!$B:$B,G$147,'BSE - SENSEX Index Options'!$I:$I,"Monthly*")+SUMIFS('BSE - Other Index Options'!$M:$M,'BSE - Other Index Options'!$C:$C,$A238,'BSE - Other Index Options'!$B:$B,G$147,'BSE - Other Index Options'!$I:$I,"Monthly*")=0,"",SUMIFS('BSE - SENSEX Index Options'!$M:$M,'BSE - SENSEX Index Options'!$C:$C,$A238,'BSE - SENSEX Index Options'!$B:$B,G$147,'BSE - SENSEX Index Options'!$I:$I,"Monthly*")+SUMIFS('BSE - Other Index Options'!$M:$M,'BSE - Other Index Options'!$C:$C,$A238,'BSE - Other Index Options'!$B:$B,G$147,'BSE - Other Index Options'!$I:$I,"Monthly*"))</f>
        <v/>
      </c>
      <c r="H238" s="26">
        <f>IF(SUM(B238:G238)=0,"",SUM(B238:G238))</f>
        <v/>
      </c>
    </row>
    <row r="239" hidden="1" outlineLevel="1">
      <c r="A239" t="inlineStr">
        <is>
          <t>Week4-Mar-2027</t>
        </is>
      </c>
      <c r="B239" s="26">
        <f>IF(SUMIFS('BSE - SENSEX Index Options'!$M:$M,'BSE - SENSEX Index Options'!$C:$C,$A239,'BSE - SENSEX Index Options'!$B:$B,B$147,'BSE - SENSEX Index Options'!$I:$I,"Monthly*")+SUMIFS('BSE - Other Index Options'!$M:$M,'BSE - Other Index Options'!$C:$C,$A239,'BSE - Other Index Options'!$B:$B,B$147,'BSE - Other Index Options'!$I:$I,"Monthly*")=0,"",SUMIFS('BSE - SENSEX Index Options'!$M:$M,'BSE - SENSEX Index Options'!$C:$C,$A239,'BSE - SENSEX Index Options'!$B:$B,B$147,'BSE - SENSEX Index Options'!$I:$I,"Monthly*")+SUMIFS('BSE - Other Index Options'!$M:$M,'BSE - Other Index Options'!$C:$C,$A239,'BSE - Other Index Options'!$B:$B,B$147,'BSE - Other Index Options'!$I:$I,"Monthly*"))</f>
        <v/>
      </c>
      <c r="C239" s="26">
        <f>IF(SUMIFS('BSE - SENSEX Index Options'!$M:$M,'BSE - SENSEX Index Options'!$C:$C,$A239,'BSE - SENSEX Index Options'!$B:$B,C$147,'BSE - SENSEX Index Options'!$I:$I,"Monthly*")+SUMIFS('BSE - Other Index Options'!$M:$M,'BSE - Other Index Options'!$C:$C,$A239,'BSE - Other Index Options'!$B:$B,C$147,'BSE - Other Index Options'!$I:$I,"Monthly*")=0,"",SUMIFS('BSE - SENSEX Index Options'!$M:$M,'BSE - SENSEX Index Options'!$C:$C,$A239,'BSE - SENSEX Index Options'!$B:$B,C$147,'BSE - SENSEX Index Options'!$I:$I,"Monthly*")+SUMIFS('BSE - Other Index Options'!$M:$M,'BSE - Other Index Options'!$C:$C,$A239,'BSE - Other Index Options'!$B:$B,C$147,'BSE - Other Index Options'!$I:$I,"Monthly*"))</f>
        <v/>
      </c>
      <c r="D239" s="26">
        <f>IF(SUMIFS('BSE - SENSEX Index Options'!$M:$M,'BSE - SENSEX Index Options'!$C:$C,$A239,'BSE - SENSEX Index Options'!$B:$B,D$147,'BSE - SENSEX Index Options'!$I:$I,"Monthly*")+SUMIFS('BSE - Other Index Options'!$M:$M,'BSE - Other Index Options'!$C:$C,$A239,'BSE - Other Index Options'!$B:$B,D$147,'BSE - Other Index Options'!$I:$I,"Monthly*")=0,"",SUMIFS('BSE - SENSEX Index Options'!$M:$M,'BSE - SENSEX Index Options'!$C:$C,$A239,'BSE - SENSEX Index Options'!$B:$B,D$147,'BSE - SENSEX Index Options'!$I:$I,"Monthly*")+SUMIFS('BSE - Other Index Options'!$M:$M,'BSE - Other Index Options'!$C:$C,$A239,'BSE - Other Index Options'!$B:$B,D$147,'BSE - Other Index Options'!$I:$I,"Monthly*"))</f>
        <v/>
      </c>
      <c r="E239" s="26">
        <f>IF(SUMIFS('BSE - SENSEX Index Options'!$M:$M,'BSE - SENSEX Index Options'!$C:$C,$A239,'BSE - SENSEX Index Options'!$B:$B,E$147,'BSE - SENSEX Index Options'!$I:$I,"Monthly*")+SUMIFS('BSE - Other Index Options'!$M:$M,'BSE - Other Index Options'!$C:$C,$A239,'BSE - Other Index Options'!$B:$B,E$147,'BSE - Other Index Options'!$I:$I,"Monthly*")=0,"",SUMIFS('BSE - SENSEX Index Options'!$M:$M,'BSE - SENSEX Index Options'!$C:$C,$A239,'BSE - SENSEX Index Options'!$B:$B,E$147,'BSE - SENSEX Index Options'!$I:$I,"Monthly*")+SUMIFS('BSE - Other Index Options'!$M:$M,'BSE - Other Index Options'!$C:$C,$A239,'BSE - Other Index Options'!$B:$B,E$147,'BSE - Other Index Options'!$I:$I,"Monthly*"))</f>
        <v/>
      </c>
      <c r="F239" s="26">
        <f>IF(SUMIFS('BSE - SENSEX Index Options'!$M:$M,'BSE - SENSEX Index Options'!$C:$C,$A239,'BSE - SENSEX Index Options'!$B:$B,F$147,'BSE - SENSEX Index Options'!$I:$I,"Monthly*")+SUMIFS('BSE - Other Index Options'!$M:$M,'BSE - Other Index Options'!$C:$C,$A239,'BSE - Other Index Options'!$B:$B,F$147,'BSE - Other Index Options'!$I:$I,"Monthly*")=0,"",SUMIFS('BSE - SENSEX Index Options'!$M:$M,'BSE - SENSEX Index Options'!$C:$C,$A239,'BSE - SENSEX Index Options'!$B:$B,F$147,'BSE - SENSEX Index Options'!$I:$I,"Monthly*")+SUMIFS('BSE - Other Index Options'!$M:$M,'BSE - Other Index Options'!$C:$C,$A239,'BSE - Other Index Options'!$B:$B,F$147,'BSE - Other Index Options'!$I:$I,"Monthly*"))</f>
        <v/>
      </c>
      <c r="G239" s="26">
        <f>IF(SUMIFS('BSE - SENSEX Index Options'!$M:$M,'BSE - SENSEX Index Options'!$C:$C,$A239,'BSE - SENSEX Index Options'!$B:$B,G$147,'BSE - SENSEX Index Options'!$I:$I,"Monthly*")+SUMIFS('BSE - Other Index Options'!$M:$M,'BSE - Other Index Options'!$C:$C,$A239,'BSE - Other Index Options'!$B:$B,G$147,'BSE - Other Index Options'!$I:$I,"Monthly*")=0,"",SUMIFS('BSE - SENSEX Index Options'!$M:$M,'BSE - SENSEX Index Options'!$C:$C,$A239,'BSE - SENSEX Index Options'!$B:$B,G$147,'BSE - SENSEX Index Options'!$I:$I,"Monthly*")+SUMIFS('BSE - Other Index Options'!$M:$M,'BSE - Other Index Options'!$C:$C,$A239,'BSE - Other Index Options'!$B:$B,G$147,'BSE - Other Index Options'!$I:$I,"Monthly*"))</f>
        <v/>
      </c>
      <c r="H239" s="26">
        <f>IF(SUM(B239:G239)=0,"",SUM(B239:G239))</f>
        <v/>
      </c>
    </row>
    <row r="240" hidden="1" outlineLevel="1">
      <c r="A240" t="inlineStr">
        <is>
          <t>Week5-Mar-2027</t>
        </is>
      </c>
      <c r="B240" s="26">
        <f>IF(SUMIFS('BSE - SENSEX Index Options'!$M:$M,'BSE - SENSEX Index Options'!$C:$C,$A240,'BSE - SENSEX Index Options'!$B:$B,B$147,'BSE - SENSEX Index Options'!$I:$I,"Monthly*")+SUMIFS('BSE - Other Index Options'!$M:$M,'BSE - Other Index Options'!$C:$C,$A240,'BSE - Other Index Options'!$B:$B,B$147,'BSE - Other Index Options'!$I:$I,"Monthly*")=0,"",SUMIFS('BSE - SENSEX Index Options'!$M:$M,'BSE - SENSEX Index Options'!$C:$C,$A240,'BSE - SENSEX Index Options'!$B:$B,B$147,'BSE - SENSEX Index Options'!$I:$I,"Monthly*")+SUMIFS('BSE - Other Index Options'!$M:$M,'BSE - Other Index Options'!$C:$C,$A240,'BSE - Other Index Options'!$B:$B,B$147,'BSE - Other Index Options'!$I:$I,"Monthly*"))</f>
        <v/>
      </c>
      <c r="C240" s="26">
        <f>IF(SUMIFS('BSE - SENSEX Index Options'!$M:$M,'BSE - SENSEX Index Options'!$C:$C,$A240,'BSE - SENSEX Index Options'!$B:$B,C$147,'BSE - SENSEX Index Options'!$I:$I,"Monthly*")+SUMIFS('BSE - Other Index Options'!$M:$M,'BSE - Other Index Options'!$C:$C,$A240,'BSE - Other Index Options'!$B:$B,C$147,'BSE - Other Index Options'!$I:$I,"Monthly*")=0,"",SUMIFS('BSE - SENSEX Index Options'!$M:$M,'BSE - SENSEX Index Options'!$C:$C,$A240,'BSE - SENSEX Index Options'!$B:$B,C$147,'BSE - SENSEX Index Options'!$I:$I,"Monthly*")+SUMIFS('BSE - Other Index Options'!$M:$M,'BSE - Other Index Options'!$C:$C,$A240,'BSE - Other Index Options'!$B:$B,C$147,'BSE - Other Index Options'!$I:$I,"Monthly*"))</f>
        <v/>
      </c>
      <c r="D240" s="26">
        <f>IF(SUMIFS('BSE - SENSEX Index Options'!$M:$M,'BSE - SENSEX Index Options'!$C:$C,$A240,'BSE - SENSEX Index Options'!$B:$B,D$147,'BSE - SENSEX Index Options'!$I:$I,"Monthly*")+SUMIFS('BSE - Other Index Options'!$M:$M,'BSE - Other Index Options'!$C:$C,$A240,'BSE - Other Index Options'!$B:$B,D$147,'BSE - Other Index Options'!$I:$I,"Monthly*")=0,"",SUMIFS('BSE - SENSEX Index Options'!$M:$M,'BSE - SENSEX Index Options'!$C:$C,$A240,'BSE - SENSEX Index Options'!$B:$B,D$147,'BSE - SENSEX Index Options'!$I:$I,"Monthly*")+SUMIFS('BSE - Other Index Options'!$M:$M,'BSE - Other Index Options'!$C:$C,$A240,'BSE - Other Index Options'!$B:$B,D$147,'BSE - Other Index Options'!$I:$I,"Monthly*"))</f>
        <v/>
      </c>
      <c r="E240" s="26">
        <f>IF(SUMIFS('BSE - SENSEX Index Options'!$M:$M,'BSE - SENSEX Index Options'!$C:$C,$A240,'BSE - SENSEX Index Options'!$B:$B,E$147,'BSE - SENSEX Index Options'!$I:$I,"Monthly*")+SUMIFS('BSE - Other Index Options'!$M:$M,'BSE - Other Index Options'!$C:$C,$A240,'BSE - Other Index Options'!$B:$B,E$147,'BSE - Other Index Options'!$I:$I,"Monthly*")=0,"",SUMIFS('BSE - SENSEX Index Options'!$M:$M,'BSE - SENSEX Index Options'!$C:$C,$A240,'BSE - SENSEX Index Options'!$B:$B,E$147,'BSE - SENSEX Index Options'!$I:$I,"Monthly*")+SUMIFS('BSE - Other Index Options'!$M:$M,'BSE - Other Index Options'!$C:$C,$A240,'BSE - Other Index Options'!$B:$B,E$147,'BSE - Other Index Options'!$I:$I,"Monthly*"))</f>
        <v/>
      </c>
      <c r="F240" s="26">
        <f>IF(SUMIFS('BSE - SENSEX Index Options'!$M:$M,'BSE - SENSEX Index Options'!$C:$C,$A240,'BSE - SENSEX Index Options'!$B:$B,F$147,'BSE - SENSEX Index Options'!$I:$I,"Monthly*")+SUMIFS('BSE - Other Index Options'!$M:$M,'BSE - Other Index Options'!$C:$C,$A240,'BSE - Other Index Options'!$B:$B,F$147,'BSE - Other Index Options'!$I:$I,"Monthly*")=0,"",SUMIFS('BSE - SENSEX Index Options'!$M:$M,'BSE - SENSEX Index Options'!$C:$C,$A240,'BSE - SENSEX Index Options'!$B:$B,F$147,'BSE - SENSEX Index Options'!$I:$I,"Monthly*")+SUMIFS('BSE - Other Index Options'!$M:$M,'BSE - Other Index Options'!$C:$C,$A240,'BSE - Other Index Options'!$B:$B,F$147,'BSE - Other Index Options'!$I:$I,"Monthly*"))</f>
        <v/>
      </c>
      <c r="G240" s="26">
        <f>IF(SUMIFS('BSE - SENSEX Index Options'!$M:$M,'BSE - SENSEX Index Options'!$C:$C,$A240,'BSE - SENSEX Index Options'!$B:$B,G$147,'BSE - SENSEX Index Options'!$I:$I,"Monthly*")+SUMIFS('BSE - Other Index Options'!$M:$M,'BSE - Other Index Options'!$C:$C,$A240,'BSE - Other Index Options'!$B:$B,G$147,'BSE - Other Index Options'!$I:$I,"Monthly*")=0,"",SUMIFS('BSE - SENSEX Index Options'!$M:$M,'BSE - SENSEX Index Options'!$C:$C,$A240,'BSE - SENSEX Index Options'!$B:$B,G$147,'BSE - SENSEX Index Options'!$I:$I,"Monthly*")+SUMIFS('BSE - Other Index Options'!$M:$M,'BSE - Other Index Options'!$C:$C,$A240,'BSE - Other Index Options'!$B:$B,G$147,'BSE - Other Index Options'!$I:$I,"Monthly*"))</f>
        <v/>
      </c>
      <c r="H240" s="26">
        <f>IF(SUM(B240:G240)=0,"",SUM(B240:G240))</f>
        <v/>
      </c>
    </row>
    <row r="241" hidden="1" outlineLevel="1">
      <c r="A241" t="inlineStr">
        <is>
          <t>Week1-Apr-2027</t>
        </is>
      </c>
      <c r="B241" s="26">
        <f>IF(SUMIFS('BSE - SENSEX Index Options'!$M:$M,'BSE - SENSEX Index Options'!$C:$C,$A241,'BSE - SENSEX Index Options'!$B:$B,B$147,'BSE - SENSEX Index Options'!$I:$I,"Monthly*")+SUMIFS('BSE - Other Index Options'!$M:$M,'BSE - Other Index Options'!$C:$C,$A241,'BSE - Other Index Options'!$B:$B,B$147,'BSE - Other Index Options'!$I:$I,"Monthly*")=0,"",SUMIFS('BSE - SENSEX Index Options'!$M:$M,'BSE - SENSEX Index Options'!$C:$C,$A241,'BSE - SENSEX Index Options'!$B:$B,B$147,'BSE - SENSEX Index Options'!$I:$I,"Monthly*")+SUMIFS('BSE - Other Index Options'!$M:$M,'BSE - Other Index Options'!$C:$C,$A241,'BSE - Other Index Options'!$B:$B,B$147,'BSE - Other Index Options'!$I:$I,"Monthly*"))</f>
        <v/>
      </c>
      <c r="C241" s="26">
        <f>IF(SUMIFS('BSE - SENSEX Index Options'!$M:$M,'BSE - SENSEX Index Options'!$C:$C,$A241,'BSE - SENSEX Index Options'!$B:$B,C$147,'BSE - SENSEX Index Options'!$I:$I,"Monthly*")+SUMIFS('BSE - Other Index Options'!$M:$M,'BSE - Other Index Options'!$C:$C,$A241,'BSE - Other Index Options'!$B:$B,C$147,'BSE - Other Index Options'!$I:$I,"Monthly*")=0,"",SUMIFS('BSE - SENSEX Index Options'!$M:$M,'BSE - SENSEX Index Options'!$C:$C,$A241,'BSE - SENSEX Index Options'!$B:$B,C$147,'BSE - SENSEX Index Options'!$I:$I,"Monthly*")+SUMIFS('BSE - Other Index Options'!$M:$M,'BSE - Other Index Options'!$C:$C,$A241,'BSE - Other Index Options'!$B:$B,C$147,'BSE - Other Index Options'!$I:$I,"Monthly*"))</f>
        <v/>
      </c>
      <c r="D241" s="26">
        <f>IF(SUMIFS('BSE - SENSEX Index Options'!$M:$M,'BSE - SENSEX Index Options'!$C:$C,$A241,'BSE - SENSEX Index Options'!$B:$B,D$147,'BSE - SENSEX Index Options'!$I:$I,"Monthly*")+SUMIFS('BSE - Other Index Options'!$M:$M,'BSE - Other Index Options'!$C:$C,$A241,'BSE - Other Index Options'!$B:$B,D$147,'BSE - Other Index Options'!$I:$I,"Monthly*")=0,"",SUMIFS('BSE - SENSEX Index Options'!$M:$M,'BSE - SENSEX Index Options'!$C:$C,$A241,'BSE - SENSEX Index Options'!$B:$B,D$147,'BSE - SENSEX Index Options'!$I:$I,"Monthly*")+SUMIFS('BSE - Other Index Options'!$M:$M,'BSE - Other Index Options'!$C:$C,$A241,'BSE - Other Index Options'!$B:$B,D$147,'BSE - Other Index Options'!$I:$I,"Monthly*"))</f>
        <v/>
      </c>
      <c r="E241" s="26">
        <f>IF(SUMIFS('BSE - SENSEX Index Options'!$M:$M,'BSE - SENSEX Index Options'!$C:$C,$A241,'BSE - SENSEX Index Options'!$B:$B,E$147,'BSE - SENSEX Index Options'!$I:$I,"Monthly*")+SUMIFS('BSE - Other Index Options'!$M:$M,'BSE - Other Index Options'!$C:$C,$A241,'BSE - Other Index Options'!$B:$B,E$147,'BSE - Other Index Options'!$I:$I,"Monthly*")=0,"",SUMIFS('BSE - SENSEX Index Options'!$M:$M,'BSE - SENSEX Index Options'!$C:$C,$A241,'BSE - SENSEX Index Options'!$B:$B,E$147,'BSE - SENSEX Index Options'!$I:$I,"Monthly*")+SUMIFS('BSE - Other Index Options'!$M:$M,'BSE - Other Index Options'!$C:$C,$A241,'BSE - Other Index Options'!$B:$B,E$147,'BSE - Other Index Options'!$I:$I,"Monthly*"))</f>
        <v/>
      </c>
      <c r="F241" s="26">
        <f>IF(SUMIFS('BSE - SENSEX Index Options'!$M:$M,'BSE - SENSEX Index Options'!$C:$C,$A241,'BSE - SENSEX Index Options'!$B:$B,F$147,'BSE - SENSEX Index Options'!$I:$I,"Monthly*")+SUMIFS('BSE - Other Index Options'!$M:$M,'BSE - Other Index Options'!$C:$C,$A241,'BSE - Other Index Options'!$B:$B,F$147,'BSE - Other Index Options'!$I:$I,"Monthly*")=0,"",SUMIFS('BSE - SENSEX Index Options'!$M:$M,'BSE - SENSEX Index Options'!$C:$C,$A241,'BSE - SENSEX Index Options'!$B:$B,F$147,'BSE - SENSEX Index Options'!$I:$I,"Monthly*")+SUMIFS('BSE - Other Index Options'!$M:$M,'BSE - Other Index Options'!$C:$C,$A241,'BSE - Other Index Options'!$B:$B,F$147,'BSE - Other Index Options'!$I:$I,"Monthly*"))</f>
        <v/>
      </c>
      <c r="G241" s="26">
        <f>IF(SUMIFS('BSE - SENSEX Index Options'!$M:$M,'BSE - SENSEX Index Options'!$C:$C,$A241,'BSE - SENSEX Index Options'!$B:$B,G$147,'BSE - SENSEX Index Options'!$I:$I,"Monthly*")+SUMIFS('BSE - Other Index Options'!$M:$M,'BSE - Other Index Options'!$C:$C,$A241,'BSE - Other Index Options'!$B:$B,G$147,'BSE - Other Index Options'!$I:$I,"Monthly*")=0,"",SUMIFS('BSE - SENSEX Index Options'!$M:$M,'BSE - SENSEX Index Options'!$C:$C,$A241,'BSE - SENSEX Index Options'!$B:$B,G$147,'BSE - SENSEX Index Options'!$I:$I,"Monthly*")+SUMIFS('BSE - Other Index Options'!$M:$M,'BSE - Other Index Options'!$C:$C,$A241,'BSE - Other Index Options'!$B:$B,G$147,'BSE - Other Index Options'!$I:$I,"Monthly*"))</f>
        <v/>
      </c>
      <c r="H241" s="26">
        <f>IF(SUM(B241:G241)=0,"",SUM(B241:G241))</f>
        <v/>
      </c>
    </row>
    <row r="242" hidden="1" outlineLevel="1">
      <c r="A242" t="inlineStr">
        <is>
          <t>Week2-Apr-2027</t>
        </is>
      </c>
      <c r="B242" s="26">
        <f>IF(SUMIFS('BSE - SENSEX Index Options'!$M:$M,'BSE - SENSEX Index Options'!$C:$C,$A242,'BSE - SENSEX Index Options'!$B:$B,B$147,'BSE - SENSEX Index Options'!$I:$I,"Monthly*")+SUMIFS('BSE - Other Index Options'!$M:$M,'BSE - Other Index Options'!$C:$C,$A242,'BSE - Other Index Options'!$B:$B,B$147,'BSE - Other Index Options'!$I:$I,"Monthly*")=0,"",SUMIFS('BSE - SENSEX Index Options'!$M:$M,'BSE - SENSEX Index Options'!$C:$C,$A242,'BSE - SENSEX Index Options'!$B:$B,B$147,'BSE - SENSEX Index Options'!$I:$I,"Monthly*")+SUMIFS('BSE - Other Index Options'!$M:$M,'BSE - Other Index Options'!$C:$C,$A242,'BSE - Other Index Options'!$B:$B,B$147,'BSE - Other Index Options'!$I:$I,"Monthly*"))</f>
        <v/>
      </c>
      <c r="C242" s="26">
        <f>IF(SUMIFS('BSE - SENSEX Index Options'!$M:$M,'BSE - SENSEX Index Options'!$C:$C,$A242,'BSE - SENSEX Index Options'!$B:$B,C$147,'BSE - SENSEX Index Options'!$I:$I,"Monthly*")+SUMIFS('BSE - Other Index Options'!$M:$M,'BSE - Other Index Options'!$C:$C,$A242,'BSE - Other Index Options'!$B:$B,C$147,'BSE - Other Index Options'!$I:$I,"Monthly*")=0,"",SUMIFS('BSE - SENSEX Index Options'!$M:$M,'BSE - SENSEX Index Options'!$C:$C,$A242,'BSE - SENSEX Index Options'!$B:$B,C$147,'BSE - SENSEX Index Options'!$I:$I,"Monthly*")+SUMIFS('BSE - Other Index Options'!$M:$M,'BSE - Other Index Options'!$C:$C,$A242,'BSE - Other Index Options'!$B:$B,C$147,'BSE - Other Index Options'!$I:$I,"Monthly*"))</f>
        <v/>
      </c>
      <c r="D242" s="26">
        <f>IF(SUMIFS('BSE - SENSEX Index Options'!$M:$M,'BSE - SENSEX Index Options'!$C:$C,$A242,'BSE - SENSEX Index Options'!$B:$B,D$147,'BSE - SENSEX Index Options'!$I:$I,"Monthly*")+SUMIFS('BSE - Other Index Options'!$M:$M,'BSE - Other Index Options'!$C:$C,$A242,'BSE - Other Index Options'!$B:$B,D$147,'BSE - Other Index Options'!$I:$I,"Monthly*")=0,"",SUMIFS('BSE - SENSEX Index Options'!$M:$M,'BSE - SENSEX Index Options'!$C:$C,$A242,'BSE - SENSEX Index Options'!$B:$B,D$147,'BSE - SENSEX Index Options'!$I:$I,"Monthly*")+SUMIFS('BSE - Other Index Options'!$M:$M,'BSE - Other Index Options'!$C:$C,$A242,'BSE - Other Index Options'!$B:$B,D$147,'BSE - Other Index Options'!$I:$I,"Monthly*"))</f>
        <v/>
      </c>
      <c r="E242" s="26">
        <f>IF(SUMIFS('BSE - SENSEX Index Options'!$M:$M,'BSE - SENSEX Index Options'!$C:$C,$A242,'BSE - SENSEX Index Options'!$B:$B,E$147,'BSE - SENSEX Index Options'!$I:$I,"Monthly*")+SUMIFS('BSE - Other Index Options'!$M:$M,'BSE - Other Index Options'!$C:$C,$A242,'BSE - Other Index Options'!$B:$B,E$147,'BSE - Other Index Options'!$I:$I,"Monthly*")=0,"",SUMIFS('BSE - SENSEX Index Options'!$M:$M,'BSE - SENSEX Index Options'!$C:$C,$A242,'BSE - SENSEX Index Options'!$B:$B,E$147,'BSE - SENSEX Index Options'!$I:$I,"Monthly*")+SUMIFS('BSE - Other Index Options'!$M:$M,'BSE - Other Index Options'!$C:$C,$A242,'BSE - Other Index Options'!$B:$B,E$147,'BSE - Other Index Options'!$I:$I,"Monthly*"))</f>
        <v/>
      </c>
      <c r="F242" s="26">
        <f>IF(SUMIFS('BSE - SENSEX Index Options'!$M:$M,'BSE - SENSEX Index Options'!$C:$C,$A242,'BSE - SENSEX Index Options'!$B:$B,F$147,'BSE - SENSEX Index Options'!$I:$I,"Monthly*")+SUMIFS('BSE - Other Index Options'!$M:$M,'BSE - Other Index Options'!$C:$C,$A242,'BSE - Other Index Options'!$B:$B,F$147,'BSE - Other Index Options'!$I:$I,"Monthly*")=0,"",SUMIFS('BSE - SENSEX Index Options'!$M:$M,'BSE - SENSEX Index Options'!$C:$C,$A242,'BSE - SENSEX Index Options'!$B:$B,F$147,'BSE - SENSEX Index Options'!$I:$I,"Monthly*")+SUMIFS('BSE - Other Index Options'!$M:$M,'BSE - Other Index Options'!$C:$C,$A242,'BSE - Other Index Options'!$B:$B,F$147,'BSE - Other Index Options'!$I:$I,"Monthly*"))</f>
        <v/>
      </c>
      <c r="G242" s="26">
        <f>IF(SUMIFS('BSE - SENSEX Index Options'!$M:$M,'BSE - SENSEX Index Options'!$C:$C,$A242,'BSE - SENSEX Index Options'!$B:$B,G$147,'BSE - SENSEX Index Options'!$I:$I,"Monthly*")+SUMIFS('BSE - Other Index Options'!$M:$M,'BSE - Other Index Options'!$C:$C,$A242,'BSE - Other Index Options'!$B:$B,G$147,'BSE - Other Index Options'!$I:$I,"Monthly*")=0,"",SUMIFS('BSE - SENSEX Index Options'!$M:$M,'BSE - SENSEX Index Options'!$C:$C,$A242,'BSE - SENSEX Index Options'!$B:$B,G$147,'BSE - SENSEX Index Options'!$I:$I,"Monthly*")+SUMIFS('BSE - Other Index Options'!$M:$M,'BSE - Other Index Options'!$C:$C,$A242,'BSE - Other Index Options'!$B:$B,G$147,'BSE - Other Index Options'!$I:$I,"Monthly*"))</f>
        <v/>
      </c>
      <c r="H242" s="26">
        <f>IF(SUM(B242:G242)=0,"",SUM(B242:G242))</f>
        <v/>
      </c>
    </row>
    <row r="243" hidden="1" outlineLevel="1">
      <c r="A243" t="inlineStr">
        <is>
          <t>Week3-Apr-2027</t>
        </is>
      </c>
      <c r="B243" s="26">
        <f>IF(SUMIFS('BSE - SENSEX Index Options'!$M:$M,'BSE - SENSEX Index Options'!$C:$C,$A243,'BSE - SENSEX Index Options'!$B:$B,B$147,'BSE - SENSEX Index Options'!$I:$I,"Monthly*")+SUMIFS('BSE - Other Index Options'!$M:$M,'BSE - Other Index Options'!$C:$C,$A243,'BSE - Other Index Options'!$B:$B,B$147,'BSE - Other Index Options'!$I:$I,"Monthly*")=0,"",SUMIFS('BSE - SENSEX Index Options'!$M:$M,'BSE - SENSEX Index Options'!$C:$C,$A243,'BSE - SENSEX Index Options'!$B:$B,B$147,'BSE - SENSEX Index Options'!$I:$I,"Monthly*")+SUMIFS('BSE - Other Index Options'!$M:$M,'BSE - Other Index Options'!$C:$C,$A243,'BSE - Other Index Options'!$B:$B,B$147,'BSE - Other Index Options'!$I:$I,"Monthly*"))</f>
        <v/>
      </c>
      <c r="C243" s="26">
        <f>IF(SUMIFS('BSE - SENSEX Index Options'!$M:$M,'BSE - SENSEX Index Options'!$C:$C,$A243,'BSE - SENSEX Index Options'!$B:$B,C$147,'BSE - SENSEX Index Options'!$I:$I,"Monthly*")+SUMIFS('BSE - Other Index Options'!$M:$M,'BSE - Other Index Options'!$C:$C,$A243,'BSE - Other Index Options'!$B:$B,C$147,'BSE - Other Index Options'!$I:$I,"Monthly*")=0,"",SUMIFS('BSE - SENSEX Index Options'!$M:$M,'BSE - SENSEX Index Options'!$C:$C,$A243,'BSE - SENSEX Index Options'!$B:$B,C$147,'BSE - SENSEX Index Options'!$I:$I,"Monthly*")+SUMIFS('BSE - Other Index Options'!$M:$M,'BSE - Other Index Options'!$C:$C,$A243,'BSE - Other Index Options'!$B:$B,C$147,'BSE - Other Index Options'!$I:$I,"Monthly*"))</f>
        <v/>
      </c>
      <c r="D243" s="26">
        <f>IF(SUMIFS('BSE - SENSEX Index Options'!$M:$M,'BSE - SENSEX Index Options'!$C:$C,$A243,'BSE - SENSEX Index Options'!$B:$B,D$147,'BSE - SENSEX Index Options'!$I:$I,"Monthly*")+SUMIFS('BSE - Other Index Options'!$M:$M,'BSE - Other Index Options'!$C:$C,$A243,'BSE - Other Index Options'!$B:$B,D$147,'BSE - Other Index Options'!$I:$I,"Monthly*")=0,"",SUMIFS('BSE - SENSEX Index Options'!$M:$M,'BSE - SENSEX Index Options'!$C:$C,$A243,'BSE - SENSEX Index Options'!$B:$B,D$147,'BSE - SENSEX Index Options'!$I:$I,"Monthly*")+SUMIFS('BSE - Other Index Options'!$M:$M,'BSE - Other Index Options'!$C:$C,$A243,'BSE - Other Index Options'!$B:$B,D$147,'BSE - Other Index Options'!$I:$I,"Monthly*"))</f>
        <v/>
      </c>
      <c r="E243" s="26">
        <f>IF(SUMIFS('BSE - SENSEX Index Options'!$M:$M,'BSE - SENSEX Index Options'!$C:$C,$A243,'BSE - SENSEX Index Options'!$B:$B,E$147,'BSE - SENSEX Index Options'!$I:$I,"Monthly*")+SUMIFS('BSE - Other Index Options'!$M:$M,'BSE - Other Index Options'!$C:$C,$A243,'BSE - Other Index Options'!$B:$B,E$147,'BSE - Other Index Options'!$I:$I,"Monthly*")=0,"",SUMIFS('BSE - SENSEX Index Options'!$M:$M,'BSE - SENSEX Index Options'!$C:$C,$A243,'BSE - SENSEX Index Options'!$B:$B,E$147,'BSE - SENSEX Index Options'!$I:$I,"Monthly*")+SUMIFS('BSE - Other Index Options'!$M:$M,'BSE - Other Index Options'!$C:$C,$A243,'BSE - Other Index Options'!$B:$B,E$147,'BSE - Other Index Options'!$I:$I,"Monthly*"))</f>
        <v/>
      </c>
      <c r="F243" s="26">
        <f>IF(SUMIFS('BSE - SENSEX Index Options'!$M:$M,'BSE - SENSEX Index Options'!$C:$C,$A243,'BSE - SENSEX Index Options'!$B:$B,F$147,'BSE - SENSEX Index Options'!$I:$I,"Monthly*")+SUMIFS('BSE - Other Index Options'!$M:$M,'BSE - Other Index Options'!$C:$C,$A243,'BSE - Other Index Options'!$B:$B,F$147,'BSE - Other Index Options'!$I:$I,"Monthly*")=0,"",SUMIFS('BSE - SENSEX Index Options'!$M:$M,'BSE - SENSEX Index Options'!$C:$C,$A243,'BSE - SENSEX Index Options'!$B:$B,F$147,'BSE - SENSEX Index Options'!$I:$I,"Monthly*")+SUMIFS('BSE - Other Index Options'!$M:$M,'BSE - Other Index Options'!$C:$C,$A243,'BSE - Other Index Options'!$B:$B,F$147,'BSE - Other Index Options'!$I:$I,"Monthly*"))</f>
        <v/>
      </c>
      <c r="G243" s="26">
        <f>IF(SUMIFS('BSE - SENSEX Index Options'!$M:$M,'BSE - SENSEX Index Options'!$C:$C,$A243,'BSE - SENSEX Index Options'!$B:$B,G$147,'BSE - SENSEX Index Options'!$I:$I,"Monthly*")+SUMIFS('BSE - Other Index Options'!$M:$M,'BSE - Other Index Options'!$C:$C,$A243,'BSE - Other Index Options'!$B:$B,G$147,'BSE - Other Index Options'!$I:$I,"Monthly*")=0,"",SUMIFS('BSE - SENSEX Index Options'!$M:$M,'BSE - SENSEX Index Options'!$C:$C,$A243,'BSE - SENSEX Index Options'!$B:$B,G$147,'BSE - SENSEX Index Options'!$I:$I,"Monthly*")+SUMIFS('BSE - Other Index Options'!$M:$M,'BSE - Other Index Options'!$C:$C,$A243,'BSE - Other Index Options'!$B:$B,G$147,'BSE - Other Index Options'!$I:$I,"Monthly*"))</f>
        <v/>
      </c>
      <c r="H243" s="26">
        <f>IF(SUM(B243:G243)=0,"",SUM(B243:G243))</f>
        <v/>
      </c>
    </row>
    <row r="244" hidden="1" outlineLevel="1">
      <c r="A244" t="inlineStr">
        <is>
          <t>Week4-Apr-2027</t>
        </is>
      </c>
      <c r="B244" s="26">
        <f>IF(SUMIFS('BSE - SENSEX Index Options'!$M:$M,'BSE - SENSEX Index Options'!$C:$C,$A244,'BSE - SENSEX Index Options'!$B:$B,B$147,'BSE - SENSEX Index Options'!$I:$I,"Monthly*")+SUMIFS('BSE - Other Index Options'!$M:$M,'BSE - Other Index Options'!$C:$C,$A244,'BSE - Other Index Options'!$B:$B,B$147,'BSE - Other Index Options'!$I:$I,"Monthly*")=0,"",SUMIFS('BSE - SENSEX Index Options'!$M:$M,'BSE - SENSEX Index Options'!$C:$C,$A244,'BSE - SENSEX Index Options'!$B:$B,B$147,'BSE - SENSEX Index Options'!$I:$I,"Monthly*")+SUMIFS('BSE - Other Index Options'!$M:$M,'BSE - Other Index Options'!$C:$C,$A244,'BSE - Other Index Options'!$B:$B,B$147,'BSE - Other Index Options'!$I:$I,"Monthly*"))</f>
        <v/>
      </c>
      <c r="C244" s="26">
        <f>IF(SUMIFS('BSE - SENSEX Index Options'!$M:$M,'BSE - SENSEX Index Options'!$C:$C,$A244,'BSE - SENSEX Index Options'!$B:$B,C$147,'BSE - SENSEX Index Options'!$I:$I,"Monthly*")+SUMIFS('BSE - Other Index Options'!$M:$M,'BSE - Other Index Options'!$C:$C,$A244,'BSE - Other Index Options'!$B:$B,C$147,'BSE - Other Index Options'!$I:$I,"Monthly*")=0,"",SUMIFS('BSE - SENSEX Index Options'!$M:$M,'BSE - SENSEX Index Options'!$C:$C,$A244,'BSE - SENSEX Index Options'!$B:$B,C$147,'BSE - SENSEX Index Options'!$I:$I,"Monthly*")+SUMIFS('BSE - Other Index Options'!$M:$M,'BSE - Other Index Options'!$C:$C,$A244,'BSE - Other Index Options'!$B:$B,C$147,'BSE - Other Index Options'!$I:$I,"Monthly*"))</f>
        <v/>
      </c>
      <c r="D244" s="26">
        <f>IF(SUMIFS('BSE - SENSEX Index Options'!$M:$M,'BSE - SENSEX Index Options'!$C:$C,$A244,'BSE - SENSEX Index Options'!$B:$B,D$147,'BSE - SENSEX Index Options'!$I:$I,"Monthly*")+SUMIFS('BSE - Other Index Options'!$M:$M,'BSE - Other Index Options'!$C:$C,$A244,'BSE - Other Index Options'!$B:$B,D$147,'BSE - Other Index Options'!$I:$I,"Monthly*")=0,"",SUMIFS('BSE - SENSEX Index Options'!$M:$M,'BSE - SENSEX Index Options'!$C:$C,$A244,'BSE - SENSEX Index Options'!$B:$B,D$147,'BSE - SENSEX Index Options'!$I:$I,"Monthly*")+SUMIFS('BSE - Other Index Options'!$M:$M,'BSE - Other Index Options'!$C:$C,$A244,'BSE - Other Index Options'!$B:$B,D$147,'BSE - Other Index Options'!$I:$I,"Monthly*"))</f>
        <v/>
      </c>
      <c r="E244" s="26">
        <f>IF(SUMIFS('BSE - SENSEX Index Options'!$M:$M,'BSE - SENSEX Index Options'!$C:$C,$A244,'BSE - SENSEX Index Options'!$B:$B,E$147,'BSE - SENSEX Index Options'!$I:$I,"Monthly*")+SUMIFS('BSE - Other Index Options'!$M:$M,'BSE - Other Index Options'!$C:$C,$A244,'BSE - Other Index Options'!$B:$B,E$147,'BSE - Other Index Options'!$I:$I,"Monthly*")=0,"",SUMIFS('BSE - SENSEX Index Options'!$M:$M,'BSE - SENSEX Index Options'!$C:$C,$A244,'BSE - SENSEX Index Options'!$B:$B,E$147,'BSE - SENSEX Index Options'!$I:$I,"Monthly*")+SUMIFS('BSE - Other Index Options'!$M:$M,'BSE - Other Index Options'!$C:$C,$A244,'BSE - Other Index Options'!$B:$B,E$147,'BSE - Other Index Options'!$I:$I,"Monthly*"))</f>
        <v/>
      </c>
      <c r="F244" s="26">
        <f>IF(SUMIFS('BSE - SENSEX Index Options'!$M:$M,'BSE - SENSEX Index Options'!$C:$C,$A244,'BSE - SENSEX Index Options'!$B:$B,F$147,'BSE - SENSEX Index Options'!$I:$I,"Monthly*")+SUMIFS('BSE - Other Index Options'!$M:$M,'BSE - Other Index Options'!$C:$C,$A244,'BSE - Other Index Options'!$B:$B,F$147,'BSE - Other Index Options'!$I:$I,"Monthly*")=0,"",SUMIFS('BSE - SENSEX Index Options'!$M:$M,'BSE - SENSEX Index Options'!$C:$C,$A244,'BSE - SENSEX Index Options'!$B:$B,F$147,'BSE - SENSEX Index Options'!$I:$I,"Monthly*")+SUMIFS('BSE - Other Index Options'!$M:$M,'BSE - Other Index Options'!$C:$C,$A244,'BSE - Other Index Options'!$B:$B,F$147,'BSE - Other Index Options'!$I:$I,"Monthly*"))</f>
        <v/>
      </c>
      <c r="G244" s="26">
        <f>IF(SUMIFS('BSE - SENSEX Index Options'!$M:$M,'BSE - SENSEX Index Options'!$C:$C,$A244,'BSE - SENSEX Index Options'!$B:$B,G$147,'BSE - SENSEX Index Options'!$I:$I,"Monthly*")+SUMIFS('BSE - Other Index Options'!$M:$M,'BSE - Other Index Options'!$C:$C,$A244,'BSE - Other Index Options'!$B:$B,G$147,'BSE - Other Index Options'!$I:$I,"Monthly*")=0,"",SUMIFS('BSE - SENSEX Index Options'!$M:$M,'BSE - SENSEX Index Options'!$C:$C,$A244,'BSE - SENSEX Index Options'!$B:$B,G$147,'BSE - SENSEX Index Options'!$I:$I,"Monthly*")+SUMIFS('BSE - Other Index Options'!$M:$M,'BSE - Other Index Options'!$C:$C,$A244,'BSE - Other Index Options'!$B:$B,G$147,'BSE - Other Index Options'!$I:$I,"Monthly*"))</f>
        <v/>
      </c>
      <c r="H244" s="26">
        <f>IF(SUM(B244:G244)=0,"",SUM(B244:G244))</f>
        <v/>
      </c>
    </row>
    <row r="245" hidden="1" outlineLevel="1">
      <c r="A245" t="inlineStr">
        <is>
          <t>Week5-Apr-2027</t>
        </is>
      </c>
      <c r="B245" s="26">
        <f>IF(SUMIFS('BSE - SENSEX Index Options'!$M:$M,'BSE - SENSEX Index Options'!$C:$C,$A245,'BSE - SENSEX Index Options'!$B:$B,B$147,'BSE - SENSEX Index Options'!$I:$I,"Monthly*")+SUMIFS('BSE - Other Index Options'!$M:$M,'BSE - Other Index Options'!$C:$C,$A245,'BSE - Other Index Options'!$B:$B,B$147,'BSE - Other Index Options'!$I:$I,"Monthly*")=0,"",SUMIFS('BSE - SENSEX Index Options'!$M:$M,'BSE - SENSEX Index Options'!$C:$C,$A245,'BSE - SENSEX Index Options'!$B:$B,B$147,'BSE - SENSEX Index Options'!$I:$I,"Monthly*")+SUMIFS('BSE - Other Index Options'!$M:$M,'BSE - Other Index Options'!$C:$C,$A245,'BSE - Other Index Options'!$B:$B,B$147,'BSE - Other Index Options'!$I:$I,"Monthly*"))</f>
        <v/>
      </c>
      <c r="C245" s="26">
        <f>IF(SUMIFS('BSE - SENSEX Index Options'!$M:$M,'BSE - SENSEX Index Options'!$C:$C,$A245,'BSE - SENSEX Index Options'!$B:$B,C$147,'BSE - SENSEX Index Options'!$I:$I,"Monthly*")+SUMIFS('BSE - Other Index Options'!$M:$M,'BSE - Other Index Options'!$C:$C,$A245,'BSE - Other Index Options'!$B:$B,C$147,'BSE - Other Index Options'!$I:$I,"Monthly*")=0,"",SUMIFS('BSE - SENSEX Index Options'!$M:$M,'BSE - SENSEX Index Options'!$C:$C,$A245,'BSE - SENSEX Index Options'!$B:$B,C$147,'BSE - SENSEX Index Options'!$I:$I,"Monthly*")+SUMIFS('BSE - Other Index Options'!$M:$M,'BSE - Other Index Options'!$C:$C,$A245,'BSE - Other Index Options'!$B:$B,C$147,'BSE - Other Index Options'!$I:$I,"Monthly*"))</f>
        <v/>
      </c>
      <c r="D245" s="26">
        <f>IF(SUMIFS('BSE - SENSEX Index Options'!$M:$M,'BSE - SENSEX Index Options'!$C:$C,$A245,'BSE - SENSEX Index Options'!$B:$B,D$147,'BSE - SENSEX Index Options'!$I:$I,"Monthly*")+SUMIFS('BSE - Other Index Options'!$M:$M,'BSE - Other Index Options'!$C:$C,$A245,'BSE - Other Index Options'!$B:$B,D$147,'BSE - Other Index Options'!$I:$I,"Monthly*")=0,"",SUMIFS('BSE - SENSEX Index Options'!$M:$M,'BSE - SENSEX Index Options'!$C:$C,$A245,'BSE - SENSEX Index Options'!$B:$B,D$147,'BSE - SENSEX Index Options'!$I:$I,"Monthly*")+SUMIFS('BSE - Other Index Options'!$M:$M,'BSE - Other Index Options'!$C:$C,$A245,'BSE - Other Index Options'!$B:$B,D$147,'BSE - Other Index Options'!$I:$I,"Monthly*"))</f>
        <v/>
      </c>
      <c r="E245" s="26">
        <f>IF(SUMIFS('BSE - SENSEX Index Options'!$M:$M,'BSE - SENSEX Index Options'!$C:$C,$A245,'BSE - SENSEX Index Options'!$B:$B,E$147,'BSE - SENSEX Index Options'!$I:$I,"Monthly*")+SUMIFS('BSE - Other Index Options'!$M:$M,'BSE - Other Index Options'!$C:$C,$A245,'BSE - Other Index Options'!$B:$B,E$147,'BSE - Other Index Options'!$I:$I,"Monthly*")=0,"",SUMIFS('BSE - SENSEX Index Options'!$M:$M,'BSE - SENSEX Index Options'!$C:$C,$A245,'BSE - SENSEX Index Options'!$B:$B,E$147,'BSE - SENSEX Index Options'!$I:$I,"Monthly*")+SUMIFS('BSE - Other Index Options'!$M:$M,'BSE - Other Index Options'!$C:$C,$A245,'BSE - Other Index Options'!$B:$B,E$147,'BSE - Other Index Options'!$I:$I,"Monthly*"))</f>
        <v/>
      </c>
      <c r="F245" s="26">
        <f>IF(SUMIFS('BSE - SENSEX Index Options'!$M:$M,'BSE - SENSEX Index Options'!$C:$C,$A245,'BSE - SENSEX Index Options'!$B:$B,F$147,'BSE - SENSEX Index Options'!$I:$I,"Monthly*")+SUMIFS('BSE - Other Index Options'!$M:$M,'BSE - Other Index Options'!$C:$C,$A245,'BSE - Other Index Options'!$B:$B,F$147,'BSE - Other Index Options'!$I:$I,"Monthly*")=0,"",SUMIFS('BSE - SENSEX Index Options'!$M:$M,'BSE - SENSEX Index Options'!$C:$C,$A245,'BSE - SENSEX Index Options'!$B:$B,F$147,'BSE - SENSEX Index Options'!$I:$I,"Monthly*")+SUMIFS('BSE - Other Index Options'!$M:$M,'BSE - Other Index Options'!$C:$C,$A245,'BSE - Other Index Options'!$B:$B,F$147,'BSE - Other Index Options'!$I:$I,"Monthly*"))</f>
        <v/>
      </c>
      <c r="G245" s="26">
        <f>IF(SUMIFS('BSE - SENSEX Index Options'!$M:$M,'BSE - SENSEX Index Options'!$C:$C,$A245,'BSE - SENSEX Index Options'!$B:$B,G$147,'BSE - SENSEX Index Options'!$I:$I,"Monthly*")+SUMIFS('BSE - Other Index Options'!$M:$M,'BSE - Other Index Options'!$C:$C,$A245,'BSE - Other Index Options'!$B:$B,G$147,'BSE - Other Index Options'!$I:$I,"Monthly*")=0,"",SUMIFS('BSE - SENSEX Index Options'!$M:$M,'BSE - SENSEX Index Options'!$C:$C,$A245,'BSE - SENSEX Index Options'!$B:$B,G$147,'BSE - SENSEX Index Options'!$I:$I,"Monthly*")+SUMIFS('BSE - Other Index Options'!$M:$M,'BSE - Other Index Options'!$C:$C,$A245,'BSE - Other Index Options'!$B:$B,G$147,'BSE - Other Index Options'!$I:$I,"Monthly*"))</f>
        <v/>
      </c>
      <c r="H245" s="26">
        <f>IF(SUM(B245:G245)=0,"",SUM(B245:G245))</f>
        <v/>
      </c>
    </row>
    <row r="246" hidden="1" outlineLevel="1">
      <c r="A246" t="inlineStr">
        <is>
          <t>Week1-May-2027</t>
        </is>
      </c>
      <c r="B246" s="26">
        <f>IF(SUMIFS('BSE - SENSEX Index Options'!$M:$M,'BSE - SENSEX Index Options'!$C:$C,$A246,'BSE - SENSEX Index Options'!$B:$B,B$147,'BSE - SENSEX Index Options'!$I:$I,"Monthly*")+SUMIFS('BSE - Other Index Options'!$M:$M,'BSE - Other Index Options'!$C:$C,$A246,'BSE - Other Index Options'!$B:$B,B$147,'BSE - Other Index Options'!$I:$I,"Monthly*")=0,"",SUMIFS('BSE - SENSEX Index Options'!$M:$M,'BSE - SENSEX Index Options'!$C:$C,$A246,'BSE - SENSEX Index Options'!$B:$B,B$147,'BSE - SENSEX Index Options'!$I:$I,"Monthly*")+SUMIFS('BSE - Other Index Options'!$M:$M,'BSE - Other Index Options'!$C:$C,$A246,'BSE - Other Index Options'!$B:$B,B$147,'BSE - Other Index Options'!$I:$I,"Monthly*"))</f>
        <v/>
      </c>
      <c r="C246" s="26">
        <f>IF(SUMIFS('BSE - SENSEX Index Options'!$M:$M,'BSE - SENSEX Index Options'!$C:$C,$A246,'BSE - SENSEX Index Options'!$B:$B,C$147,'BSE - SENSEX Index Options'!$I:$I,"Monthly*")+SUMIFS('BSE - Other Index Options'!$M:$M,'BSE - Other Index Options'!$C:$C,$A246,'BSE - Other Index Options'!$B:$B,C$147,'BSE - Other Index Options'!$I:$I,"Monthly*")=0,"",SUMIFS('BSE - SENSEX Index Options'!$M:$M,'BSE - SENSEX Index Options'!$C:$C,$A246,'BSE - SENSEX Index Options'!$B:$B,C$147,'BSE - SENSEX Index Options'!$I:$I,"Monthly*")+SUMIFS('BSE - Other Index Options'!$M:$M,'BSE - Other Index Options'!$C:$C,$A246,'BSE - Other Index Options'!$B:$B,C$147,'BSE - Other Index Options'!$I:$I,"Monthly*"))</f>
        <v/>
      </c>
      <c r="D246" s="26">
        <f>IF(SUMIFS('BSE - SENSEX Index Options'!$M:$M,'BSE - SENSEX Index Options'!$C:$C,$A246,'BSE - SENSEX Index Options'!$B:$B,D$147,'BSE - SENSEX Index Options'!$I:$I,"Monthly*")+SUMIFS('BSE - Other Index Options'!$M:$M,'BSE - Other Index Options'!$C:$C,$A246,'BSE - Other Index Options'!$B:$B,D$147,'BSE - Other Index Options'!$I:$I,"Monthly*")=0,"",SUMIFS('BSE - SENSEX Index Options'!$M:$M,'BSE - SENSEX Index Options'!$C:$C,$A246,'BSE - SENSEX Index Options'!$B:$B,D$147,'BSE - SENSEX Index Options'!$I:$I,"Monthly*")+SUMIFS('BSE - Other Index Options'!$M:$M,'BSE - Other Index Options'!$C:$C,$A246,'BSE - Other Index Options'!$B:$B,D$147,'BSE - Other Index Options'!$I:$I,"Monthly*"))</f>
        <v/>
      </c>
      <c r="E246" s="26">
        <f>IF(SUMIFS('BSE - SENSEX Index Options'!$M:$M,'BSE - SENSEX Index Options'!$C:$C,$A246,'BSE - SENSEX Index Options'!$B:$B,E$147,'BSE - SENSEX Index Options'!$I:$I,"Monthly*")+SUMIFS('BSE - Other Index Options'!$M:$M,'BSE - Other Index Options'!$C:$C,$A246,'BSE - Other Index Options'!$B:$B,E$147,'BSE - Other Index Options'!$I:$I,"Monthly*")=0,"",SUMIFS('BSE - SENSEX Index Options'!$M:$M,'BSE - SENSEX Index Options'!$C:$C,$A246,'BSE - SENSEX Index Options'!$B:$B,E$147,'BSE - SENSEX Index Options'!$I:$I,"Monthly*")+SUMIFS('BSE - Other Index Options'!$M:$M,'BSE - Other Index Options'!$C:$C,$A246,'BSE - Other Index Options'!$B:$B,E$147,'BSE - Other Index Options'!$I:$I,"Monthly*"))</f>
        <v/>
      </c>
      <c r="F246" s="26">
        <f>IF(SUMIFS('BSE - SENSEX Index Options'!$M:$M,'BSE - SENSEX Index Options'!$C:$C,$A246,'BSE - SENSEX Index Options'!$B:$B,F$147,'BSE - SENSEX Index Options'!$I:$I,"Monthly*")+SUMIFS('BSE - Other Index Options'!$M:$M,'BSE - Other Index Options'!$C:$C,$A246,'BSE - Other Index Options'!$B:$B,F$147,'BSE - Other Index Options'!$I:$I,"Monthly*")=0,"",SUMIFS('BSE - SENSEX Index Options'!$M:$M,'BSE - SENSEX Index Options'!$C:$C,$A246,'BSE - SENSEX Index Options'!$B:$B,F$147,'BSE - SENSEX Index Options'!$I:$I,"Monthly*")+SUMIFS('BSE - Other Index Options'!$M:$M,'BSE - Other Index Options'!$C:$C,$A246,'BSE - Other Index Options'!$B:$B,F$147,'BSE - Other Index Options'!$I:$I,"Monthly*"))</f>
        <v/>
      </c>
      <c r="G246" s="26">
        <f>IF(SUMIFS('BSE - SENSEX Index Options'!$M:$M,'BSE - SENSEX Index Options'!$C:$C,$A246,'BSE - SENSEX Index Options'!$B:$B,G$147,'BSE - SENSEX Index Options'!$I:$I,"Monthly*")+SUMIFS('BSE - Other Index Options'!$M:$M,'BSE - Other Index Options'!$C:$C,$A246,'BSE - Other Index Options'!$B:$B,G$147,'BSE - Other Index Options'!$I:$I,"Monthly*")=0,"",SUMIFS('BSE - SENSEX Index Options'!$M:$M,'BSE - SENSEX Index Options'!$C:$C,$A246,'BSE - SENSEX Index Options'!$B:$B,G$147,'BSE - SENSEX Index Options'!$I:$I,"Monthly*")+SUMIFS('BSE - Other Index Options'!$M:$M,'BSE - Other Index Options'!$C:$C,$A246,'BSE - Other Index Options'!$B:$B,G$147,'BSE - Other Index Options'!$I:$I,"Monthly*"))</f>
        <v/>
      </c>
      <c r="H246" s="26">
        <f>IF(SUM(B246:G246)=0,"",SUM(B246:G246))</f>
        <v/>
      </c>
    </row>
    <row r="247" hidden="1" outlineLevel="1">
      <c r="A247" t="inlineStr">
        <is>
          <t>Week2-May-2027</t>
        </is>
      </c>
      <c r="B247" s="26">
        <f>IF(SUMIFS('BSE - SENSEX Index Options'!$M:$M,'BSE - SENSEX Index Options'!$C:$C,$A247,'BSE - SENSEX Index Options'!$B:$B,B$147,'BSE - SENSEX Index Options'!$I:$I,"Monthly*")+SUMIFS('BSE - Other Index Options'!$M:$M,'BSE - Other Index Options'!$C:$C,$A247,'BSE - Other Index Options'!$B:$B,B$147,'BSE - Other Index Options'!$I:$I,"Monthly*")=0,"",SUMIFS('BSE - SENSEX Index Options'!$M:$M,'BSE - SENSEX Index Options'!$C:$C,$A247,'BSE - SENSEX Index Options'!$B:$B,B$147,'BSE - SENSEX Index Options'!$I:$I,"Monthly*")+SUMIFS('BSE - Other Index Options'!$M:$M,'BSE - Other Index Options'!$C:$C,$A247,'BSE - Other Index Options'!$B:$B,B$147,'BSE - Other Index Options'!$I:$I,"Monthly*"))</f>
        <v/>
      </c>
      <c r="C247" s="26">
        <f>IF(SUMIFS('BSE - SENSEX Index Options'!$M:$M,'BSE - SENSEX Index Options'!$C:$C,$A247,'BSE - SENSEX Index Options'!$B:$B,C$147,'BSE - SENSEX Index Options'!$I:$I,"Monthly*")+SUMIFS('BSE - Other Index Options'!$M:$M,'BSE - Other Index Options'!$C:$C,$A247,'BSE - Other Index Options'!$B:$B,C$147,'BSE - Other Index Options'!$I:$I,"Monthly*")=0,"",SUMIFS('BSE - SENSEX Index Options'!$M:$M,'BSE - SENSEX Index Options'!$C:$C,$A247,'BSE - SENSEX Index Options'!$B:$B,C$147,'BSE - SENSEX Index Options'!$I:$I,"Monthly*")+SUMIFS('BSE - Other Index Options'!$M:$M,'BSE - Other Index Options'!$C:$C,$A247,'BSE - Other Index Options'!$B:$B,C$147,'BSE - Other Index Options'!$I:$I,"Monthly*"))</f>
        <v/>
      </c>
      <c r="D247" s="26">
        <f>IF(SUMIFS('BSE - SENSEX Index Options'!$M:$M,'BSE - SENSEX Index Options'!$C:$C,$A247,'BSE - SENSEX Index Options'!$B:$B,D$147,'BSE - SENSEX Index Options'!$I:$I,"Monthly*")+SUMIFS('BSE - Other Index Options'!$M:$M,'BSE - Other Index Options'!$C:$C,$A247,'BSE - Other Index Options'!$B:$B,D$147,'BSE - Other Index Options'!$I:$I,"Monthly*")=0,"",SUMIFS('BSE - SENSEX Index Options'!$M:$M,'BSE - SENSEX Index Options'!$C:$C,$A247,'BSE - SENSEX Index Options'!$B:$B,D$147,'BSE - SENSEX Index Options'!$I:$I,"Monthly*")+SUMIFS('BSE - Other Index Options'!$M:$M,'BSE - Other Index Options'!$C:$C,$A247,'BSE - Other Index Options'!$B:$B,D$147,'BSE - Other Index Options'!$I:$I,"Monthly*"))</f>
        <v/>
      </c>
      <c r="E247" s="26">
        <f>IF(SUMIFS('BSE - SENSEX Index Options'!$M:$M,'BSE - SENSEX Index Options'!$C:$C,$A247,'BSE - SENSEX Index Options'!$B:$B,E$147,'BSE - SENSEX Index Options'!$I:$I,"Monthly*")+SUMIFS('BSE - Other Index Options'!$M:$M,'BSE - Other Index Options'!$C:$C,$A247,'BSE - Other Index Options'!$B:$B,E$147,'BSE - Other Index Options'!$I:$I,"Monthly*")=0,"",SUMIFS('BSE - SENSEX Index Options'!$M:$M,'BSE - SENSEX Index Options'!$C:$C,$A247,'BSE - SENSEX Index Options'!$B:$B,E$147,'BSE - SENSEX Index Options'!$I:$I,"Monthly*")+SUMIFS('BSE - Other Index Options'!$M:$M,'BSE - Other Index Options'!$C:$C,$A247,'BSE - Other Index Options'!$B:$B,E$147,'BSE - Other Index Options'!$I:$I,"Monthly*"))</f>
        <v/>
      </c>
      <c r="F247" s="26">
        <f>IF(SUMIFS('BSE - SENSEX Index Options'!$M:$M,'BSE - SENSEX Index Options'!$C:$C,$A247,'BSE - SENSEX Index Options'!$B:$B,F$147,'BSE - SENSEX Index Options'!$I:$I,"Monthly*")+SUMIFS('BSE - Other Index Options'!$M:$M,'BSE - Other Index Options'!$C:$C,$A247,'BSE - Other Index Options'!$B:$B,F$147,'BSE - Other Index Options'!$I:$I,"Monthly*")=0,"",SUMIFS('BSE - SENSEX Index Options'!$M:$M,'BSE - SENSEX Index Options'!$C:$C,$A247,'BSE - SENSEX Index Options'!$B:$B,F$147,'BSE - SENSEX Index Options'!$I:$I,"Monthly*")+SUMIFS('BSE - Other Index Options'!$M:$M,'BSE - Other Index Options'!$C:$C,$A247,'BSE - Other Index Options'!$B:$B,F$147,'BSE - Other Index Options'!$I:$I,"Monthly*"))</f>
        <v/>
      </c>
      <c r="G247" s="26">
        <f>IF(SUMIFS('BSE - SENSEX Index Options'!$M:$M,'BSE - SENSEX Index Options'!$C:$C,$A247,'BSE - SENSEX Index Options'!$B:$B,G$147,'BSE - SENSEX Index Options'!$I:$I,"Monthly*")+SUMIFS('BSE - Other Index Options'!$M:$M,'BSE - Other Index Options'!$C:$C,$A247,'BSE - Other Index Options'!$B:$B,G$147,'BSE - Other Index Options'!$I:$I,"Monthly*")=0,"",SUMIFS('BSE - SENSEX Index Options'!$M:$M,'BSE - SENSEX Index Options'!$C:$C,$A247,'BSE - SENSEX Index Options'!$B:$B,G$147,'BSE - SENSEX Index Options'!$I:$I,"Monthly*")+SUMIFS('BSE - Other Index Options'!$M:$M,'BSE - Other Index Options'!$C:$C,$A247,'BSE - Other Index Options'!$B:$B,G$147,'BSE - Other Index Options'!$I:$I,"Monthly*"))</f>
        <v/>
      </c>
      <c r="H247" s="26">
        <f>IF(SUM(B247:G247)=0,"",SUM(B247:G247))</f>
        <v/>
      </c>
    </row>
    <row r="248" hidden="1" outlineLevel="1">
      <c r="A248" t="inlineStr">
        <is>
          <t>Week3-May-2027</t>
        </is>
      </c>
      <c r="B248" s="26">
        <f>IF(SUMIFS('BSE - SENSEX Index Options'!$M:$M,'BSE - SENSEX Index Options'!$C:$C,$A248,'BSE - SENSEX Index Options'!$B:$B,B$147,'BSE - SENSEX Index Options'!$I:$I,"Monthly*")+SUMIFS('BSE - Other Index Options'!$M:$M,'BSE - Other Index Options'!$C:$C,$A248,'BSE - Other Index Options'!$B:$B,B$147,'BSE - Other Index Options'!$I:$I,"Monthly*")=0,"",SUMIFS('BSE - SENSEX Index Options'!$M:$M,'BSE - SENSEX Index Options'!$C:$C,$A248,'BSE - SENSEX Index Options'!$B:$B,B$147,'BSE - SENSEX Index Options'!$I:$I,"Monthly*")+SUMIFS('BSE - Other Index Options'!$M:$M,'BSE - Other Index Options'!$C:$C,$A248,'BSE - Other Index Options'!$B:$B,B$147,'BSE - Other Index Options'!$I:$I,"Monthly*"))</f>
        <v/>
      </c>
      <c r="C248" s="26">
        <f>IF(SUMIFS('BSE - SENSEX Index Options'!$M:$M,'BSE - SENSEX Index Options'!$C:$C,$A248,'BSE - SENSEX Index Options'!$B:$B,C$147,'BSE - SENSEX Index Options'!$I:$I,"Monthly*")+SUMIFS('BSE - Other Index Options'!$M:$M,'BSE - Other Index Options'!$C:$C,$A248,'BSE - Other Index Options'!$B:$B,C$147,'BSE - Other Index Options'!$I:$I,"Monthly*")=0,"",SUMIFS('BSE - SENSEX Index Options'!$M:$M,'BSE - SENSEX Index Options'!$C:$C,$A248,'BSE - SENSEX Index Options'!$B:$B,C$147,'BSE - SENSEX Index Options'!$I:$I,"Monthly*")+SUMIFS('BSE - Other Index Options'!$M:$M,'BSE - Other Index Options'!$C:$C,$A248,'BSE - Other Index Options'!$B:$B,C$147,'BSE - Other Index Options'!$I:$I,"Monthly*"))</f>
        <v/>
      </c>
      <c r="D248" s="26">
        <f>IF(SUMIFS('BSE - SENSEX Index Options'!$M:$M,'BSE - SENSEX Index Options'!$C:$C,$A248,'BSE - SENSEX Index Options'!$B:$B,D$147,'BSE - SENSEX Index Options'!$I:$I,"Monthly*")+SUMIFS('BSE - Other Index Options'!$M:$M,'BSE - Other Index Options'!$C:$C,$A248,'BSE - Other Index Options'!$B:$B,D$147,'BSE - Other Index Options'!$I:$I,"Monthly*")=0,"",SUMIFS('BSE - SENSEX Index Options'!$M:$M,'BSE - SENSEX Index Options'!$C:$C,$A248,'BSE - SENSEX Index Options'!$B:$B,D$147,'BSE - SENSEX Index Options'!$I:$I,"Monthly*")+SUMIFS('BSE - Other Index Options'!$M:$M,'BSE - Other Index Options'!$C:$C,$A248,'BSE - Other Index Options'!$B:$B,D$147,'BSE - Other Index Options'!$I:$I,"Monthly*"))</f>
        <v/>
      </c>
      <c r="E248" s="26">
        <f>IF(SUMIFS('BSE - SENSEX Index Options'!$M:$M,'BSE - SENSEX Index Options'!$C:$C,$A248,'BSE - SENSEX Index Options'!$B:$B,E$147,'BSE - SENSEX Index Options'!$I:$I,"Monthly*")+SUMIFS('BSE - Other Index Options'!$M:$M,'BSE - Other Index Options'!$C:$C,$A248,'BSE - Other Index Options'!$B:$B,E$147,'BSE - Other Index Options'!$I:$I,"Monthly*")=0,"",SUMIFS('BSE - SENSEX Index Options'!$M:$M,'BSE - SENSEX Index Options'!$C:$C,$A248,'BSE - SENSEX Index Options'!$B:$B,E$147,'BSE - SENSEX Index Options'!$I:$I,"Monthly*")+SUMIFS('BSE - Other Index Options'!$M:$M,'BSE - Other Index Options'!$C:$C,$A248,'BSE - Other Index Options'!$B:$B,E$147,'BSE - Other Index Options'!$I:$I,"Monthly*"))</f>
        <v/>
      </c>
      <c r="F248" s="26">
        <f>IF(SUMIFS('BSE - SENSEX Index Options'!$M:$M,'BSE - SENSEX Index Options'!$C:$C,$A248,'BSE - SENSEX Index Options'!$B:$B,F$147,'BSE - SENSEX Index Options'!$I:$I,"Monthly*")+SUMIFS('BSE - Other Index Options'!$M:$M,'BSE - Other Index Options'!$C:$C,$A248,'BSE - Other Index Options'!$B:$B,F$147,'BSE - Other Index Options'!$I:$I,"Monthly*")=0,"",SUMIFS('BSE - SENSEX Index Options'!$M:$M,'BSE - SENSEX Index Options'!$C:$C,$A248,'BSE - SENSEX Index Options'!$B:$B,F$147,'BSE - SENSEX Index Options'!$I:$I,"Monthly*")+SUMIFS('BSE - Other Index Options'!$M:$M,'BSE - Other Index Options'!$C:$C,$A248,'BSE - Other Index Options'!$B:$B,F$147,'BSE - Other Index Options'!$I:$I,"Monthly*"))</f>
        <v/>
      </c>
      <c r="G248" s="26">
        <f>IF(SUMIFS('BSE - SENSEX Index Options'!$M:$M,'BSE - SENSEX Index Options'!$C:$C,$A248,'BSE - SENSEX Index Options'!$B:$B,G$147,'BSE - SENSEX Index Options'!$I:$I,"Monthly*")+SUMIFS('BSE - Other Index Options'!$M:$M,'BSE - Other Index Options'!$C:$C,$A248,'BSE - Other Index Options'!$B:$B,G$147,'BSE - Other Index Options'!$I:$I,"Monthly*")=0,"",SUMIFS('BSE - SENSEX Index Options'!$M:$M,'BSE - SENSEX Index Options'!$C:$C,$A248,'BSE - SENSEX Index Options'!$B:$B,G$147,'BSE - SENSEX Index Options'!$I:$I,"Monthly*")+SUMIFS('BSE - Other Index Options'!$M:$M,'BSE - Other Index Options'!$C:$C,$A248,'BSE - Other Index Options'!$B:$B,G$147,'BSE - Other Index Options'!$I:$I,"Monthly*"))</f>
        <v/>
      </c>
      <c r="H248" s="26">
        <f>IF(SUM(B248:G248)=0,"",SUM(B248:G248))</f>
        <v/>
      </c>
    </row>
    <row r="249" hidden="1" outlineLevel="1">
      <c r="A249" t="inlineStr">
        <is>
          <t>Week4-May-2027</t>
        </is>
      </c>
      <c r="B249" s="26">
        <f>IF(SUMIFS('BSE - SENSEX Index Options'!$M:$M,'BSE - SENSEX Index Options'!$C:$C,$A249,'BSE - SENSEX Index Options'!$B:$B,B$147,'BSE - SENSEX Index Options'!$I:$I,"Monthly*")+SUMIFS('BSE - Other Index Options'!$M:$M,'BSE - Other Index Options'!$C:$C,$A249,'BSE - Other Index Options'!$B:$B,B$147,'BSE - Other Index Options'!$I:$I,"Monthly*")=0,"",SUMIFS('BSE - SENSEX Index Options'!$M:$M,'BSE - SENSEX Index Options'!$C:$C,$A249,'BSE - SENSEX Index Options'!$B:$B,B$147,'BSE - SENSEX Index Options'!$I:$I,"Monthly*")+SUMIFS('BSE - Other Index Options'!$M:$M,'BSE - Other Index Options'!$C:$C,$A249,'BSE - Other Index Options'!$B:$B,B$147,'BSE - Other Index Options'!$I:$I,"Monthly*"))</f>
        <v/>
      </c>
      <c r="C249" s="26">
        <f>IF(SUMIFS('BSE - SENSEX Index Options'!$M:$M,'BSE - SENSEX Index Options'!$C:$C,$A249,'BSE - SENSEX Index Options'!$B:$B,C$147,'BSE - SENSEX Index Options'!$I:$I,"Monthly*")+SUMIFS('BSE - Other Index Options'!$M:$M,'BSE - Other Index Options'!$C:$C,$A249,'BSE - Other Index Options'!$B:$B,C$147,'BSE - Other Index Options'!$I:$I,"Monthly*")=0,"",SUMIFS('BSE - SENSEX Index Options'!$M:$M,'BSE - SENSEX Index Options'!$C:$C,$A249,'BSE - SENSEX Index Options'!$B:$B,C$147,'BSE - SENSEX Index Options'!$I:$I,"Monthly*")+SUMIFS('BSE - Other Index Options'!$M:$M,'BSE - Other Index Options'!$C:$C,$A249,'BSE - Other Index Options'!$B:$B,C$147,'BSE - Other Index Options'!$I:$I,"Monthly*"))</f>
        <v/>
      </c>
      <c r="D249" s="26">
        <f>IF(SUMIFS('BSE - SENSEX Index Options'!$M:$M,'BSE - SENSEX Index Options'!$C:$C,$A249,'BSE - SENSEX Index Options'!$B:$B,D$147,'BSE - SENSEX Index Options'!$I:$I,"Monthly*")+SUMIFS('BSE - Other Index Options'!$M:$M,'BSE - Other Index Options'!$C:$C,$A249,'BSE - Other Index Options'!$B:$B,D$147,'BSE - Other Index Options'!$I:$I,"Monthly*")=0,"",SUMIFS('BSE - SENSEX Index Options'!$M:$M,'BSE - SENSEX Index Options'!$C:$C,$A249,'BSE - SENSEX Index Options'!$B:$B,D$147,'BSE - SENSEX Index Options'!$I:$I,"Monthly*")+SUMIFS('BSE - Other Index Options'!$M:$M,'BSE - Other Index Options'!$C:$C,$A249,'BSE - Other Index Options'!$B:$B,D$147,'BSE - Other Index Options'!$I:$I,"Monthly*"))</f>
        <v/>
      </c>
      <c r="E249" s="26">
        <f>IF(SUMIFS('BSE - SENSEX Index Options'!$M:$M,'BSE - SENSEX Index Options'!$C:$C,$A249,'BSE - SENSEX Index Options'!$B:$B,E$147,'BSE - SENSEX Index Options'!$I:$I,"Monthly*")+SUMIFS('BSE - Other Index Options'!$M:$M,'BSE - Other Index Options'!$C:$C,$A249,'BSE - Other Index Options'!$B:$B,E$147,'BSE - Other Index Options'!$I:$I,"Monthly*")=0,"",SUMIFS('BSE - SENSEX Index Options'!$M:$M,'BSE - SENSEX Index Options'!$C:$C,$A249,'BSE - SENSEX Index Options'!$B:$B,E$147,'BSE - SENSEX Index Options'!$I:$I,"Monthly*")+SUMIFS('BSE - Other Index Options'!$M:$M,'BSE - Other Index Options'!$C:$C,$A249,'BSE - Other Index Options'!$B:$B,E$147,'BSE - Other Index Options'!$I:$I,"Monthly*"))</f>
        <v/>
      </c>
      <c r="F249" s="26">
        <f>IF(SUMIFS('BSE - SENSEX Index Options'!$M:$M,'BSE - SENSEX Index Options'!$C:$C,$A249,'BSE - SENSEX Index Options'!$B:$B,F$147,'BSE - SENSEX Index Options'!$I:$I,"Monthly*")+SUMIFS('BSE - Other Index Options'!$M:$M,'BSE - Other Index Options'!$C:$C,$A249,'BSE - Other Index Options'!$B:$B,F$147,'BSE - Other Index Options'!$I:$I,"Monthly*")=0,"",SUMIFS('BSE - SENSEX Index Options'!$M:$M,'BSE - SENSEX Index Options'!$C:$C,$A249,'BSE - SENSEX Index Options'!$B:$B,F$147,'BSE - SENSEX Index Options'!$I:$I,"Monthly*")+SUMIFS('BSE - Other Index Options'!$M:$M,'BSE - Other Index Options'!$C:$C,$A249,'BSE - Other Index Options'!$B:$B,F$147,'BSE - Other Index Options'!$I:$I,"Monthly*"))</f>
        <v/>
      </c>
      <c r="G249" s="26">
        <f>IF(SUMIFS('BSE - SENSEX Index Options'!$M:$M,'BSE - SENSEX Index Options'!$C:$C,$A249,'BSE - SENSEX Index Options'!$B:$B,G$147,'BSE - SENSEX Index Options'!$I:$I,"Monthly*")+SUMIFS('BSE - Other Index Options'!$M:$M,'BSE - Other Index Options'!$C:$C,$A249,'BSE - Other Index Options'!$B:$B,G$147,'BSE - Other Index Options'!$I:$I,"Monthly*")=0,"",SUMIFS('BSE - SENSEX Index Options'!$M:$M,'BSE - SENSEX Index Options'!$C:$C,$A249,'BSE - SENSEX Index Options'!$B:$B,G$147,'BSE - SENSEX Index Options'!$I:$I,"Monthly*")+SUMIFS('BSE - Other Index Options'!$M:$M,'BSE - Other Index Options'!$C:$C,$A249,'BSE - Other Index Options'!$B:$B,G$147,'BSE - Other Index Options'!$I:$I,"Monthly*"))</f>
        <v/>
      </c>
      <c r="H249" s="26">
        <f>IF(SUM(B249:G249)=0,"",SUM(B249:G249))</f>
        <v/>
      </c>
    </row>
    <row r="250" hidden="1" outlineLevel="1">
      <c r="A250" t="inlineStr">
        <is>
          <t>Week5-May-2027</t>
        </is>
      </c>
      <c r="B250" s="26">
        <f>IF(SUMIFS('BSE - SENSEX Index Options'!$M:$M,'BSE - SENSEX Index Options'!$C:$C,$A250,'BSE - SENSEX Index Options'!$B:$B,B$147,'BSE - SENSEX Index Options'!$I:$I,"Monthly*")+SUMIFS('BSE - Other Index Options'!$M:$M,'BSE - Other Index Options'!$C:$C,$A250,'BSE - Other Index Options'!$B:$B,B$147,'BSE - Other Index Options'!$I:$I,"Monthly*")=0,"",SUMIFS('BSE - SENSEX Index Options'!$M:$M,'BSE - SENSEX Index Options'!$C:$C,$A250,'BSE - SENSEX Index Options'!$B:$B,B$147,'BSE - SENSEX Index Options'!$I:$I,"Monthly*")+SUMIFS('BSE - Other Index Options'!$M:$M,'BSE - Other Index Options'!$C:$C,$A250,'BSE - Other Index Options'!$B:$B,B$147,'BSE - Other Index Options'!$I:$I,"Monthly*"))</f>
        <v/>
      </c>
      <c r="C250" s="26">
        <f>IF(SUMIFS('BSE - SENSEX Index Options'!$M:$M,'BSE - SENSEX Index Options'!$C:$C,$A250,'BSE - SENSEX Index Options'!$B:$B,C$147,'BSE - SENSEX Index Options'!$I:$I,"Monthly*")+SUMIFS('BSE - Other Index Options'!$M:$M,'BSE - Other Index Options'!$C:$C,$A250,'BSE - Other Index Options'!$B:$B,C$147,'BSE - Other Index Options'!$I:$I,"Monthly*")=0,"",SUMIFS('BSE - SENSEX Index Options'!$M:$M,'BSE - SENSEX Index Options'!$C:$C,$A250,'BSE - SENSEX Index Options'!$B:$B,C$147,'BSE - SENSEX Index Options'!$I:$I,"Monthly*")+SUMIFS('BSE - Other Index Options'!$M:$M,'BSE - Other Index Options'!$C:$C,$A250,'BSE - Other Index Options'!$B:$B,C$147,'BSE - Other Index Options'!$I:$I,"Monthly*"))</f>
        <v/>
      </c>
      <c r="D250" s="26">
        <f>IF(SUMIFS('BSE - SENSEX Index Options'!$M:$M,'BSE - SENSEX Index Options'!$C:$C,$A250,'BSE - SENSEX Index Options'!$B:$B,D$147,'BSE - SENSEX Index Options'!$I:$I,"Monthly*")+SUMIFS('BSE - Other Index Options'!$M:$M,'BSE - Other Index Options'!$C:$C,$A250,'BSE - Other Index Options'!$B:$B,D$147,'BSE - Other Index Options'!$I:$I,"Monthly*")=0,"",SUMIFS('BSE - SENSEX Index Options'!$M:$M,'BSE - SENSEX Index Options'!$C:$C,$A250,'BSE - SENSEX Index Options'!$B:$B,D$147,'BSE - SENSEX Index Options'!$I:$I,"Monthly*")+SUMIFS('BSE - Other Index Options'!$M:$M,'BSE - Other Index Options'!$C:$C,$A250,'BSE - Other Index Options'!$B:$B,D$147,'BSE - Other Index Options'!$I:$I,"Monthly*"))</f>
        <v/>
      </c>
      <c r="E250" s="26">
        <f>IF(SUMIFS('BSE - SENSEX Index Options'!$M:$M,'BSE - SENSEX Index Options'!$C:$C,$A250,'BSE - SENSEX Index Options'!$B:$B,E$147,'BSE - SENSEX Index Options'!$I:$I,"Monthly*")+SUMIFS('BSE - Other Index Options'!$M:$M,'BSE - Other Index Options'!$C:$C,$A250,'BSE - Other Index Options'!$B:$B,E$147,'BSE - Other Index Options'!$I:$I,"Monthly*")=0,"",SUMIFS('BSE - SENSEX Index Options'!$M:$M,'BSE - SENSEX Index Options'!$C:$C,$A250,'BSE - SENSEX Index Options'!$B:$B,E$147,'BSE - SENSEX Index Options'!$I:$I,"Monthly*")+SUMIFS('BSE - Other Index Options'!$M:$M,'BSE - Other Index Options'!$C:$C,$A250,'BSE - Other Index Options'!$B:$B,E$147,'BSE - Other Index Options'!$I:$I,"Monthly*"))</f>
        <v/>
      </c>
      <c r="F250" s="26">
        <f>IF(SUMIFS('BSE - SENSEX Index Options'!$M:$M,'BSE - SENSEX Index Options'!$C:$C,$A250,'BSE - SENSEX Index Options'!$B:$B,F$147,'BSE - SENSEX Index Options'!$I:$I,"Monthly*")+SUMIFS('BSE - Other Index Options'!$M:$M,'BSE - Other Index Options'!$C:$C,$A250,'BSE - Other Index Options'!$B:$B,F$147,'BSE - Other Index Options'!$I:$I,"Monthly*")=0,"",SUMIFS('BSE - SENSEX Index Options'!$M:$M,'BSE - SENSEX Index Options'!$C:$C,$A250,'BSE - SENSEX Index Options'!$B:$B,F$147,'BSE - SENSEX Index Options'!$I:$I,"Monthly*")+SUMIFS('BSE - Other Index Options'!$M:$M,'BSE - Other Index Options'!$C:$C,$A250,'BSE - Other Index Options'!$B:$B,F$147,'BSE - Other Index Options'!$I:$I,"Monthly*"))</f>
        <v/>
      </c>
      <c r="G250" s="26">
        <f>IF(SUMIFS('BSE - SENSEX Index Options'!$M:$M,'BSE - SENSEX Index Options'!$C:$C,$A250,'BSE - SENSEX Index Options'!$B:$B,G$147,'BSE - SENSEX Index Options'!$I:$I,"Monthly*")+SUMIFS('BSE - Other Index Options'!$M:$M,'BSE - Other Index Options'!$C:$C,$A250,'BSE - Other Index Options'!$B:$B,G$147,'BSE - Other Index Options'!$I:$I,"Monthly*")=0,"",SUMIFS('BSE - SENSEX Index Options'!$M:$M,'BSE - SENSEX Index Options'!$C:$C,$A250,'BSE - SENSEX Index Options'!$B:$B,G$147,'BSE - SENSEX Index Options'!$I:$I,"Monthly*")+SUMIFS('BSE - Other Index Options'!$M:$M,'BSE - Other Index Options'!$C:$C,$A250,'BSE - Other Index Options'!$B:$B,G$147,'BSE - Other Index Options'!$I:$I,"Monthly*"))</f>
        <v/>
      </c>
      <c r="H250" s="26">
        <f>IF(SUM(B250:G250)=0,"",SUM(B250:G250))</f>
        <v/>
      </c>
    </row>
    <row r="251" hidden="1" outlineLevel="1">
      <c r="A251" t="inlineStr">
        <is>
          <t>Week1-Jun-2027</t>
        </is>
      </c>
      <c r="B251" s="26">
        <f>IF(SUMIFS('BSE - SENSEX Index Options'!$M:$M,'BSE - SENSEX Index Options'!$C:$C,$A251,'BSE - SENSEX Index Options'!$B:$B,B$147,'BSE - SENSEX Index Options'!$I:$I,"Monthly*")+SUMIFS('BSE - Other Index Options'!$M:$M,'BSE - Other Index Options'!$C:$C,$A251,'BSE - Other Index Options'!$B:$B,B$147,'BSE - Other Index Options'!$I:$I,"Monthly*")=0,"",SUMIFS('BSE - SENSEX Index Options'!$M:$M,'BSE - SENSEX Index Options'!$C:$C,$A251,'BSE - SENSEX Index Options'!$B:$B,B$147,'BSE - SENSEX Index Options'!$I:$I,"Monthly*")+SUMIFS('BSE - Other Index Options'!$M:$M,'BSE - Other Index Options'!$C:$C,$A251,'BSE - Other Index Options'!$B:$B,B$147,'BSE - Other Index Options'!$I:$I,"Monthly*"))</f>
        <v/>
      </c>
      <c r="C251" s="26">
        <f>IF(SUMIFS('BSE - SENSEX Index Options'!$M:$M,'BSE - SENSEX Index Options'!$C:$C,$A251,'BSE - SENSEX Index Options'!$B:$B,C$147,'BSE - SENSEX Index Options'!$I:$I,"Monthly*")+SUMIFS('BSE - Other Index Options'!$M:$M,'BSE - Other Index Options'!$C:$C,$A251,'BSE - Other Index Options'!$B:$B,C$147,'BSE - Other Index Options'!$I:$I,"Monthly*")=0,"",SUMIFS('BSE - SENSEX Index Options'!$M:$M,'BSE - SENSEX Index Options'!$C:$C,$A251,'BSE - SENSEX Index Options'!$B:$B,C$147,'BSE - SENSEX Index Options'!$I:$I,"Monthly*")+SUMIFS('BSE - Other Index Options'!$M:$M,'BSE - Other Index Options'!$C:$C,$A251,'BSE - Other Index Options'!$B:$B,C$147,'BSE - Other Index Options'!$I:$I,"Monthly*"))</f>
        <v/>
      </c>
      <c r="D251" s="26">
        <f>IF(SUMIFS('BSE - SENSEX Index Options'!$M:$M,'BSE - SENSEX Index Options'!$C:$C,$A251,'BSE - SENSEX Index Options'!$B:$B,D$147,'BSE - SENSEX Index Options'!$I:$I,"Monthly*")+SUMIFS('BSE - Other Index Options'!$M:$M,'BSE - Other Index Options'!$C:$C,$A251,'BSE - Other Index Options'!$B:$B,D$147,'BSE - Other Index Options'!$I:$I,"Monthly*")=0,"",SUMIFS('BSE - SENSEX Index Options'!$M:$M,'BSE - SENSEX Index Options'!$C:$C,$A251,'BSE - SENSEX Index Options'!$B:$B,D$147,'BSE - SENSEX Index Options'!$I:$I,"Monthly*")+SUMIFS('BSE - Other Index Options'!$M:$M,'BSE - Other Index Options'!$C:$C,$A251,'BSE - Other Index Options'!$B:$B,D$147,'BSE - Other Index Options'!$I:$I,"Monthly*"))</f>
        <v/>
      </c>
      <c r="E251" s="26">
        <f>IF(SUMIFS('BSE - SENSEX Index Options'!$M:$M,'BSE - SENSEX Index Options'!$C:$C,$A251,'BSE - SENSEX Index Options'!$B:$B,E$147,'BSE - SENSEX Index Options'!$I:$I,"Monthly*")+SUMIFS('BSE - Other Index Options'!$M:$M,'BSE - Other Index Options'!$C:$C,$A251,'BSE - Other Index Options'!$B:$B,E$147,'BSE - Other Index Options'!$I:$I,"Monthly*")=0,"",SUMIFS('BSE - SENSEX Index Options'!$M:$M,'BSE - SENSEX Index Options'!$C:$C,$A251,'BSE - SENSEX Index Options'!$B:$B,E$147,'BSE - SENSEX Index Options'!$I:$I,"Monthly*")+SUMIFS('BSE - Other Index Options'!$M:$M,'BSE - Other Index Options'!$C:$C,$A251,'BSE - Other Index Options'!$B:$B,E$147,'BSE - Other Index Options'!$I:$I,"Monthly*"))</f>
        <v/>
      </c>
      <c r="F251" s="26">
        <f>IF(SUMIFS('BSE - SENSEX Index Options'!$M:$M,'BSE - SENSEX Index Options'!$C:$C,$A251,'BSE - SENSEX Index Options'!$B:$B,F$147,'BSE - SENSEX Index Options'!$I:$I,"Monthly*")+SUMIFS('BSE - Other Index Options'!$M:$M,'BSE - Other Index Options'!$C:$C,$A251,'BSE - Other Index Options'!$B:$B,F$147,'BSE - Other Index Options'!$I:$I,"Monthly*")=0,"",SUMIFS('BSE - SENSEX Index Options'!$M:$M,'BSE - SENSEX Index Options'!$C:$C,$A251,'BSE - SENSEX Index Options'!$B:$B,F$147,'BSE - SENSEX Index Options'!$I:$I,"Monthly*")+SUMIFS('BSE - Other Index Options'!$M:$M,'BSE - Other Index Options'!$C:$C,$A251,'BSE - Other Index Options'!$B:$B,F$147,'BSE - Other Index Options'!$I:$I,"Monthly*"))</f>
        <v/>
      </c>
      <c r="G251" s="26">
        <f>IF(SUMIFS('BSE - SENSEX Index Options'!$M:$M,'BSE - SENSEX Index Options'!$C:$C,$A251,'BSE - SENSEX Index Options'!$B:$B,G$147,'BSE - SENSEX Index Options'!$I:$I,"Monthly*")+SUMIFS('BSE - Other Index Options'!$M:$M,'BSE - Other Index Options'!$C:$C,$A251,'BSE - Other Index Options'!$B:$B,G$147,'BSE - Other Index Options'!$I:$I,"Monthly*")=0,"",SUMIFS('BSE - SENSEX Index Options'!$M:$M,'BSE - SENSEX Index Options'!$C:$C,$A251,'BSE - SENSEX Index Options'!$B:$B,G$147,'BSE - SENSEX Index Options'!$I:$I,"Monthly*")+SUMIFS('BSE - Other Index Options'!$M:$M,'BSE - Other Index Options'!$C:$C,$A251,'BSE - Other Index Options'!$B:$B,G$147,'BSE - Other Index Options'!$I:$I,"Monthly*"))</f>
        <v/>
      </c>
      <c r="H251" s="26">
        <f>IF(SUM(B251:G251)=0,"",SUM(B251:G251))</f>
        <v/>
      </c>
    </row>
    <row r="252" hidden="1" outlineLevel="1">
      <c r="A252" t="inlineStr">
        <is>
          <t>Week2-Jun-2027</t>
        </is>
      </c>
      <c r="B252" s="26">
        <f>IF(SUMIFS('BSE - SENSEX Index Options'!$M:$M,'BSE - SENSEX Index Options'!$C:$C,$A252,'BSE - SENSEX Index Options'!$B:$B,B$147,'BSE - SENSEX Index Options'!$I:$I,"Monthly*")+SUMIFS('BSE - Other Index Options'!$M:$M,'BSE - Other Index Options'!$C:$C,$A252,'BSE - Other Index Options'!$B:$B,B$147,'BSE - Other Index Options'!$I:$I,"Monthly*")=0,"",SUMIFS('BSE - SENSEX Index Options'!$M:$M,'BSE - SENSEX Index Options'!$C:$C,$A252,'BSE - SENSEX Index Options'!$B:$B,B$147,'BSE - SENSEX Index Options'!$I:$I,"Monthly*")+SUMIFS('BSE - Other Index Options'!$M:$M,'BSE - Other Index Options'!$C:$C,$A252,'BSE - Other Index Options'!$B:$B,B$147,'BSE - Other Index Options'!$I:$I,"Monthly*"))</f>
        <v/>
      </c>
      <c r="C252" s="26">
        <f>IF(SUMIFS('BSE - SENSEX Index Options'!$M:$M,'BSE - SENSEX Index Options'!$C:$C,$A252,'BSE - SENSEX Index Options'!$B:$B,C$147,'BSE - SENSEX Index Options'!$I:$I,"Monthly*")+SUMIFS('BSE - Other Index Options'!$M:$M,'BSE - Other Index Options'!$C:$C,$A252,'BSE - Other Index Options'!$B:$B,C$147,'BSE - Other Index Options'!$I:$I,"Monthly*")=0,"",SUMIFS('BSE - SENSEX Index Options'!$M:$M,'BSE - SENSEX Index Options'!$C:$C,$A252,'BSE - SENSEX Index Options'!$B:$B,C$147,'BSE - SENSEX Index Options'!$I:$I,"Monthly*")+SUMIFS('BSE - Other Index Options'!$M:$M,'BSE - Other Index Options'!$C:$C,$A252,'BSE - Other Index Options'!$B:$B,C$147,'BSE - Other Index Options'!$I:$I,"Monthly*"))</f>
        <v/>
      </c>
      <c r="D252" s="26">
        <f>IF(SUMIFS('BSE - SENSEX Index Options'!$M:$M,'BSE - SENSEX Index Options'!$C:$C,$A252,'BSE - SENSEX Index Options'!$B:$B,D$147,'BSE - SENSEX Index Options'!$I:$I,"Monthly*")+SUMIFS('BSE - Other Index Options'!$M:$M,'BSE - Other Index Options'!$C:$C,$A252,'BSE - Other Index Options'!$B:$B,D$147,'BSE - Other Index Options'!$I:$I,"Monthly*")=0,"",SUMIFS('BSE - SENSEX Index Options'!$M:$M,'BSE - SENSEX Index Options'!$C:$C,$A252,'BSE - SENSEX Index Options'!$B:$B,D$147,'BSE - SENSEX Index Options'!$I:$I,"Monthly*")+SUMIFS('BSE - Other Index Options'!$M:$M,'BSE - Other Index Options'!$C:$C,$A252,'BSE - Other Index Options'!$B:$B,D$147,'BSE - Other Index Options'!$I:$I,"Monthly*"))</f>
        <v/>
      </c>
      <c r="E252" s="26">
        <f>IF(SUMIFS('BSE - SENSEX Index Options'!$M:$M,'BSE - SENSEX Index Options'!$C:$C,$A252,'BSE - SENSEX Index Options'!$B:$B,E$147,'BSE - SENSEX Index Options'!$I:$I,"Monthly*")+SUMIFS('BSE - Other Index Options'!$M:$M,'BSE - Other Index Options'!$C:$C,$A252,'BSE - Other Index Options'!$B:$B,E$147,'BSE - Other Index Options'!$I:$I,"Monthly*")=0,"",SUMIFS('BSE - SENSEX Index Options'!$M:$M,'BSE - SENSEX Index Options'!$C:$C,$A252,'BSE - SENSEX Index Options'!$B:$B,E$147,'BSE - SENSEX Index Options'!$I:$I,"Monthly*")+SUMIFS('BSE - Other Index Options'!$M:$M,'BSE - Other Index Options'!$C:$C,$A252,'BSE - Other Index Options'!$B:$B,E$147,'BSE - Other Index Options'!$I:$I,"Monthly*"))</f>
        <v/>
      </c>
      <c r="F252" s="26">
        <f>IF(SUMIFS('BSE - SENSEX Index Options'!$M:$M,'BSE - SENSEX Index Options'!$C:$C,$A252,'BSE - SENSEX Index Options'!$B:$B,F$147,'BSE - SENSEX Index Options'!$I:$I,"Monthly*")+SUMIFS('BSE - Other Index Options'!$M:$M,'BSE - Other Index Options'!$C:$C,$A252,'BSE - Other Index Options'!$B:$B,F$147,'BSE - Other Index Options'!$I:$I,"Monthly*")=0,"",SUMIFS('BSE - SENSEX Index Options'!$M:$M,'BSE - SENSEX Index Options'!$C:$C,$A252,'BSE - SENSEX Index Options'!$B:$B,F$147,'BSE - SENSEX Index Options'!$I:$I,"Monthly*")+SUMIFS('BSE - Other Index Options'!$M:$M,'BSE - Other Index Options'!$C:$C,$A252,'BSE - Other Index Options'!$B:$B,F$147,'BSE - Other Index Options'!$I:$I,"Monthly*"))</f>
        <v/>
      </c>
      <c r="G252" s="26">
        <f>IF(SUMIFS('BSE - SENSEX Index Options'!$M:$M,'BSE - SENSEX Index Options'!$C:$C,$A252,'BSE - SENSEX Index Options'!$B:$B,G$147,'BSE - SENSEX Index Options'!$I:$I,"Monthly*")+SUMIFS('BSE - Other Index Options'!$M:$M,'BSE - Other Index Options'!$C:$C,$A252,'BSE - Other Index Options'!$B:$B,G$147,'BSE - Other Index Options'!$I:$I,"Monthly*")=0,"",SUMIFS('BSE - SENSEX Index Options'!$M:$M,'BSE - SENSEX Index Options'!$C:$C,$A252,'BSE - SENSEX Index Options'!$B:$B,G$147,'BSE - SENSEX Index Options'!$I:$I,"Monthly*")+SUMIFS('BSE - Other Index Options'!$M:$M,'BSE - Other Index Options'!$C:$C,$A252,'BSE - Other Index Options'!$B:$B,G$147,'BSE - Other Index Options'!$I:$I,"Monthly*"))</f>
        <v/>
      </c>
      <c r="H252" s="26">
        <f>IF(SUM(B252:G252)=0,"",SUM(B252:G252))</f>
        <v/>
      </c>
    </row>
    <row r="253" hidden="1" outlineLevel="1">
      <c r="A253" t="inlineStr">
        <is>
          <t>Week3-Jun-2027</t>
        </is>
      </c>
      <c r="B253" s="26">
        <f>IF(SUMIFS('BSE - SENSEX Index Options'!$M:$M,'BSE - SENSEX Index Options'!$C:$C,$A253,'BSE - SENSEX Index Options'!$B:$B,B$147,'BSE - SENSEX Index Options'!$I:$I,"Monthly*")+SUMIFS('BSE - Other Index Options'!$M:$M,'BSE - Other Index Options'!$C:$C,$A253,'BSE - Other Index Options'!$B:$B,B$147,'BSE - Other Index Options'!$I:$I,"Monthly*")=0,"",SUMIFS('BSE - SENSEX Index Options'!$M:$M,'BSE - SENSEX Index Options'!$C:$C,$A253,'BSE - SENSEX Index Options'!$B:$B,B$147,'BSE - SENSEX Index Options'!$I:$I,"Monthly*")+SUMIFS('BSE - Other Index Options'!$M:$M,'BSE - Other Index Options'!$C:$C,$A253,'BSE - Other Index Options'!$B:$B,B$147,'BSE - Other Index Options'!$I:$I,"Monthly*"))</f>
        <v/>
      </c>
      <c r="C253" s="26">
        <f>IF(SUMIFS('BSE - SENSEX Index Options'!$M:$M,'BSE - SENSEX Index Options'!$C:$C,$A253,'BSE - SENSEX Index Options'!$B:$B,C$147,'BSE - SENSEX Index Options'!$I:$I,"Monthly*")+SUMIFS('BSE - Other Index Options'!$M:$M,'BSE - Other Index Options'!$C:$C,$A253,'BSE - Other Index Options'!$B:$B,C$147,'BSE - Other Index Options'!$I:$I,"Monthly*")=0,"",SUMIFS('BSE - SENSEX Index Options'!$M:$M,'BSE - SENSEX Index Options'!$C:$C,$A253,'BSE - SENSEX Index Options'!$B:$B,C$147,'BSE - SENSEX Index Options'!$I:$I,"Monthly*")+SUMIFS('BSE - Other Index Options'!$M:$M,'BSE - Other Index Options'!$C:$C,$A253,'BSE - Other Index Options'!$B:$B,C$147,'BSE - Other Index Options'!$I:$I,"Monthly*"))</f>
        <v/>
      </c>
      <c r="D253" s="26">
        <f>IF(SUMIFS('BSE - SENSEX Index Options'!$M:$M,'BSE - SENSEX Index Options'!$C:$C,$A253,'BSE - SENSEX Index Options'!$B:$B,D$147,'BSE - SENSEX Index Options'!$I:$I,"Monthly*")+SUMIFS('BSE - Other Index Options'!$M:$M,'BSE - Other Index Options'!$C:$C,$A253,'BSE - Other Index Options'!$B:$B,D$147,'BSE - Other Index Options'!$I:$I,"Monthly*")=0,"",SUMIFS('BSE - SENSEX Index Options'!$M:$M,'BSE - SENSEX Index Options'!$C:$C,$A253,'BSE - SENSEX Index Options'!$B:$B,D$147,'BSE - SENSEX Index Options'!$I:$I,"Monthly*")+SUMIFS('BSE - Other Index Options'!$M:$M,'BSE - Other Index Options'!$C:$C,$A253,'BSE - Other Index Options'!$B:$B,D$147,'BSE - Other Index Options'!$I:$I,"Monthly*"))</f>
        <v/>
      </c>
      <c r="E253" s="26">
        <f>IF(SUMIFS('BSE - SENSEX Index Options'!$M:$M,'BSE - SENSEX Index Options'!$C:$C,$A253,'BSE - SENSEX Index Options'!$B:$B,E$147,'BSE - SENSEX Index Options'!$I:$I,"Monthly*")+SUMIFS('BSE - Other Index Options'!$M:$M,'BSE - Other Index Options'!$C:$C,$A253,'BSE - Other Index Options'!$B:$B,E$147,'BSE - Other Index Options'!$I:$I,"Monthly*")=0,"",SUMIFS('BSE - SENSEX Index Options'!$M:$M,'BSE - SENSEX Index Options'!$C:$C,$A253,'BSE - SENSEX Index Options'!$B:$B,E$147,'BSE - SENSEX Index Options'!$I:$I,"Monthly*")+SUMIFS('BSE - Other Index Options'!$M:$M,'BSE - Other Index Options'!$C:$C,$A253,'BSE - Other Index Options'!$B:$B,E$147,'BSE - Other Index Options'!$I:$I,"Monthly*"))</f>
        <v/>
      </c>
      <c r="F253" s="26">
        <f>IF(SUMIFS('BSE - SENSEX Index Options'!$M:$M,'BSE - SENSEX Index Options'!$C:$C,$A253,'BSE - SENSEX Index Options'!$B:$B,F$147,'BSE - SENSEX Index Options'!$I:$I,"Monthly*")+SUMIFS('BSE - Other Index Options'!$M:$M,'BSE - Other Index Options'!$C:$C,$A253,'BSE - Other Index Options'!$B:$B,F$147,'BSE - Other Index Options'!$I:$I,"Monthly*")=0,"",SUMIFS('BSE - SENSEX Index Options'!$M:$M,'BSE - SENSEX Index Options'!$C:$C,$A253,'BSE - SENSEX Index Options'!$B:$B,F$147,'BSE - SENSEX Index Options'!$I:$I,"Monthly*")+SUMIFS('BSE - Other Index Options'!$M:$M,'BSE - Other Index Options'!$C:$C,$A253,'BSE - Other Index Options'!$B:$B,F$147,'BSE - Other Index Options'!$I:$I,"Monthly*"))</f>
        <v/>
      </c>
      <c r="G253" s="26">
        <f>IF(SUMIFS('BSE - SENSEX Index Options'!$M:$M,'BSE - SENSEX Index Options'!$C:$C,$A253,'BSE - SENSEX Index Options'!$B:$B,G$147,'BSE - SENSEX Index Options'!$I:$I,"Monthly*")+SUMIFS('BSE - Other Index Options'!$M:$M,'BSE - Other Index Options'!$C:$C,$A253,'BSE - Other Index Options'!$B:$B,G$147,'BSE - Other Index Options'!$I:$I,"Monthly*")=0,"",SUMIFS('BSE - SENSEX Index Options'!$M:$M,'BSE - SENSEX Index Options'!$C:$C,$A253,'BSE - SENSEX Index Options'!$B:$B,G$147,'BSE - SENSEX Index Options'!$I:$I,"Monthly*")+SUMIFS('BSE - Other Index Options'!$M:$M,'BSE - Other Index Options'!$C:$C,$A253,'BSE - Other Index Options'!$B:$B,G$147,'BSE - Other Index Options'!$I:$I,"Monthly*"))</f>
        <v/>
      </c>
      <c r="H253" s="26">
        <f>IF(SUM(B253:G253)=0,"",SUM(B253:G253))</f>
        <v/>
      </c>
    </row>
    <row r="254" hidden="1" outlineLevel="1">
      <c r="A254" t="inlineStr">
        <is>
          <t>Week4-Jun-2027</t>
        </is>
      </c>
      <c r="B254" s="26">
        <f>IF(SUMIFS('BSE - SENSEX Index Options'!$M:$M,'BSE - SENSEX Index Options'!$C:$C,$A254,'BSE - SENSEX Index Options'!$B:$B,B$147,'BSE - SENSEX Index Options'!$I:$I,"Monthly*")+SUMIFS('BSE - Other Index Options'!$M:$M,'BSE - Other Index Options'!$C:$C,$A254,'BSE - Other Index Options'!$B:$B,B$147,'BSE - Other Index Options'!$I:$I,"Monthly*")=0,"",SUMIFS('BSE - SENSEX Index Options'!$M:$M,'BSE - SENSEX Index Options'!$C:$C,$A254,'BSE - SENSEX Index Options'!$B:$B,B$147,'BSE - SENSEX Index Options'!$I:$I,"Monthly*")+SUMIFS('BSE - Other Index Options'!$M:$M,'BSE - Other Index Options'!$C:$C,$A254,'BSE - Other Index Options'!$B:$B,B$147,'BSE - Other Index Options'!$I:$I,"Monthly*"))</f>
        <v/>
      </c>
      <c r="C254" s="26">
        <f>IF(SUMIFS('BSE - SENSEX Index Options'!$M:$M,'BSE - SENSEX Index Options'!$C:$C,$A254,'BSE - SENSEX Index Options'!$B:$B,C$147,'BSE - SENSEX Index Options'!$I:$I,"Monthly*")+SUMIFS('BSE - Other Index Options'!$M:$M,'BSE - Other Index Options'!$C:$C,$A254,'BSE - Other Index Options'!$B:$B,C$147,'BSE - Other Index Options'!$I:$I,"Monthly*")=0,"",SUMIFS('BSE - SENSEX Index Options'!$M:$M,'BSE - SENSEX Index Options'!$C:$C,$A254,'BSE - SENSEX Index Options'!$B:$B,C$147,'BSE - SENSEX Index Options'!$I:$I,"Monthly*")+SUMIFS('BSE - Other Index Options'!$M:$M,'BSE - Other Index Options'!$C:$C,$A254,'BSE - Other Index Options'!$B:$B,C$147,'BSE - Other Index Options'!$I:$I,"Monthly*"))</f>
        <v/>
      </c>
      <c r="D254" s="26">
        <f>IF(SUMIFS('BSE - SENSEX Index Options'!$M:$M,'BSE - SENSEX Index Options'!$C:$C,$A254,'BSE - SENSEX Index Options'!$B:$B,D$147,'BSE - SENSEX Index Options'!$I:$I,"Monthly*")+SUMIFS('BSE - Other Index Options'!$M:$M,'BSE - Other Index Options'!$C:$C,$A254,'BSE - Other Index Options'!$B:$B,D$147,'BSE - Other Index Options'!$I:$I,"Monthly*")=0,"",SUMIFS('BSE - SENSEX Index Options'!$M:$M,'BSE - SENSEX Index Options'!$C:$C,$A254,'BSE - SENSEX Index Options'!$B:$B,D$147,'BSE - SENSEX Index Options'!$I:$I,"Monthly*")+SUMIFS('BSE - Other Index Options'!$M:$M,'BSE - Other Index Options'!$C:$C,$A254,'BSE - Other Index Options'!$B:$B,D$147,'BSE - Other Index Options'!$I:$I,"Monthly*"))</f>
        <v/>
      </c>
      <c r="E254" s="26">
        <f>IF(SUMIFS('BSE - SENSEX Index Options'!$M:$M,'BSE - SENSEX Index Options'!$C:$C,$A254,'BSE - SENSEX Index Options'!$B:$B,E$147,'BSE - SENSEX Index Options'!$I:$I,"Monthly*")+SUMIFS('BSE - Other Index Options'!$M:$M,'BSE - Other Index Options'!$C:$C,$A254,'BSE - Other Index Options'!$B:$B,E$147,'BSE - Other Index Options'!$I:$I,"Monthly*")=0,"",SUMIFS('BSE - SENSEX Index Options'!$M:$M,'BSE - SENSEX Index Options'!$C:$C,$A254,'BSE - SENSEX Index Options'!$B:$B,E$147,'BSE - SENSEX Index Options'!$I:$I,"Monthly*")+SUMIFS('BSE - Other Index Options'!$M:$M,'BSE - Other Index Options'!$C:$C,$A254,'BSE - Other Index Options'!$B:$B,E$147,'BSE - Other Index Options'!$I:$I,"Monthly*"))</f>
        <v/>
      </c>
      <c r="F254" s="26">
        <f>IF(SUMIFS('BSE - SENSEX Index Options'!$M:$M,'BSE - SENSEX Index Options'!$C:$C,$A254,'BSE - SENSEX Index Options'!$B:$B,F$147,'BSE - SENSEX Index Options'!$I:$I,"Monthly*")+SUMIFS('BSE - Other Index Options'!$M:$M,'BSE - Other Index Options'!$C:$C,$A254,'BSE - Other Index Options'!$B:$B,F$147,'BSE - Other Index Options'!$I:$I,"Monthly*")=0,"",SUMIFS('BSE - SENSEX Index Options'!$M:$M,'BSE - SENSEX Index Options'!$C:$C,$A254,'BSE - SENSEX Index Options'!$B:$B,F$147,'BSE - SENSEX Index Options'!$I:$I,"Monthly*")+SUMIFS('BSE - Other Index Options'!$M:$M,'BSE - Other Index Options'!$C:$C,$A254,'BSE - Other Index Options'!$B:$B,F$147,'BSE - Other Index Options'!$I:$I,"Monthly*"))</f>
        <v/>
      </c>
      <c r="G254" s="26">
        <f>IF(SUMIFS('BSE - SENSEX Index Options'!$M:$M,'BSE - SENSEX Index Options'!$C:$C,$A254,'BSE - SENSEX Index Options'!$B:$B,G$147,'BSE - SENSEX Index Options'!$I:$I,"Monthly*")+SUMIFS('BSE - Other Index Options'!$M:$M,'BSE - Other Index Options'!$C:$C,$A254,'BSE - Other Index Options'!$B:$B,G$147,'BSE - Other Index Options'!$I:$I,"Monthly*")=0,"",SUMIFS('BSE - SENSEX Index Options'!$M:$M,'BSE - SENSEX Index Options'!$C:$C,$A254,'BSE - SENSEX Index Options'!$B:$B,G$147,'BSE - SENSEX Index Options'!$I:$I,"Monthly*")+SUMIFS('BSE - Other Index Options'!$M:$M,'BSE - Other Index Options'!$C:$C,$A254,'BSE - Other Index Options'!$B:$B,G$147,'BSE - Other Index Options'!$I:$I,"Monthly*"))</f>
        <v/>
      </c>
      <c r="H254" s="26">
        <f>IF(SUM(B254:G254)=0,"",SUM(B254:G254))</f>
        <v/>
      </c>
    </row>
    <row r="255" hidden="1" outlineLevel="1">
      <c r="A255" t="inlineStr">
        <is>
          <t>Week5-Jun-2027</t>
        </is>
      </c>
      <c r="B255" s="26">
        <f>IF(SUMIFS('BSE - SENSEX Index Options'!$M:$M,'BSE - SENSEX Index Options'!$C:$C,$A255,'BSE - SENSEX Index Options'!$B:$B,B$147,'BSE - SENSEX Index Options'!$I:$I,"Monthly*")+SUMIFS('BSE - Other Index Options'!$M:$M,'BSE - Other Index Options'!$C:$C,$A255,'BSE - Other Index Options'!$B:$B,B$147,'BSE - Other Index Options'!$I:$I,"Monthly*")=0,"",SUMIFS('BSE - SENSEX Index Options'!$M:$M,'BSE - SENSEX Index Options'!$C:$C,$A255,'BSE - SENSEX Index Options'!$B:$B,B$147,'BSE - SENSEX Index Options'!$I:$I,"Monthly*")+SUMIFS('BSE - Other Index Options'!$M:$M,'BSE - Other Index Options'!$C:$C,$A255,'BSE - Other Index Options'!$B:$B,B$147,'BSE - Other Index Options'!$I:$I,"Monthly*"))</f>
        <v/>
      </c>
      <c r="C255" s="26">
        <f>IF(SUMIFS('BSE - SENSEX Index Options'!$M:$M,'BSE - SENSEX Index Options'!$C:$C,$A255,'BSE - SENSEX Index Options'!$B:$B,C$147,'BSE - SENSEX Index Options'!$I:$I,"Monthly*")+SUMIFS('BSE - Other Index Options'!$M:$M,'BSE - Other Index Options'!$C:$C,$A255,'BSE - Other Index Options'!$B:$B,C$147,'BSE - Other Index Options'!$I:$I,"Monthly*")=0,"",SUMIFS('BSE - SENSEX Index Options'!$M:$M,'BSE - SENSEX Index Options'!$C:$C,$A255,'BSE - SENSEX Index Options'!$B:$B,C$147,'BSE - SENSEX Index Options'!$I:$I,"Monthly*")+SUMIFS('BSE - Other Index Options'!$M:$M,'BSE - Other Index Options'!$C:$C,$A255,'BSE - Other Index Options'!$B:$B,C$147,'BSE - Other Index Options'!$I:$I,"Monthly*"))</f>
        <v/>
      </c>
      <c r="D255" s="26">
        <f>IF(SUMIFS('BSE - SENSEX Index Options'!$M:$M,'BSE - SENSEX Index Options'!$C:$C,$A255,'BSE - SENSEX Index Options'!$B:$B,D$147,'BSE - SENSEX Index Options'!$I:$I,"Monthly*")+SUMIFS('BSE - Other Index Options'!$M:$M,'BSE - Other Index Options'!$C:$C,$A255,'BSE - Other Index Options'!$B:$B,D$147,'BSE - Other Index Options'!$I:$I,"Monthly*")=0,"",SUMIFS('BSE - SENSEX Index Options'!$M:$M,'BSE - SENSEX Index Options'!$C:$C,$A255,'BSE - SENSEX Index Options'!$B:$B,D$147,'BSE - SENSEX Index Options'!$I:$I,"Monthly*")+SUMIFS('BSE - Other Index Options'!$M:$M,'BSE - Other Index Options'!$C:$C,$A255,'BSE - Other Index Options'!$B:$B,D$147,'BSE - Other Index Options'!$I:$I,"Monthly*"))</f>
        <v/>
      </c>
      <c r="E255" s="26">
        <f>IF(SUMIFS('BSE - SENSEX Index Options'!$M:$M,'BSE - SENSEX Index Options'!$C:$C,$A255,'BSE - SENSEX Index Options'!$B:$B,E$147,'BSE - SENSEX Index Options'!$I:$I,"Monthly*")+SUMIFS('BSE - Other Index Options'!$M:$M,'BSE - Other Index Options'!$C:$C,$A255,'BSE - Other Index Options'!$B:$B,E$147,'BSE - Other Index Options'!$I:$I,"Monthly*")=0,"",SUMIFS('BSE - SENSEX Index Options'!$M:$M,'BSE - SENSEX Index Options'!$C:$C,$A255,'BSE - SENSEX Index Options'!$B:$B,E$147,'BSE - SENSEX Index Options'!$I:$I,"Monthly*")+SUMIFS('BSE - Other Index Options'!$M:$M,'BSE - Other Index Options'!$C:$C,$A255,'BSE - Other Index Options'!$B:$B,E$147,'BSE - Other Index Options'!$I:$I,"Monthly*"))</f>
        <v/>
      </c>
      <c r="F255" s="26">
        <f>IF(SUMIFS('BSE - SENSEX Index Options'!$M:$M,'BSE - SENSEX Index Options'!$C:$C,$A255,'BSE - SENSEX Index Options'!$B:$B,F$147,'BSE - SENSEX Index Options'!$I:$I,"Monthly*")+SUMIFS('BSE - Other Index Options'!$M:$M,'BSE - Other Index Options'!$C:$C,$A255,'BSE - Other Index Options'!$B:$B,F$147,'BSE - Other Index Options'!$I:$I,"Monthly*")=0,"",SUMIFS('BSE - SENSEX Index Options'!$M:$M,'BSE - SENSEX Index Options'!$C:$C,$A255,'BSE - SENSEX Index Options'!$B:$B,F$147,'BSE - SENSEX Index Options'!$I:$I,"Monthly*")+SUMIFS('BSE - Other Index Options'!$M:$M,'BSE - Other Index Options'!$C:$C,$A255,'BSE - Other Index Options'!$B:$B,F$147,'BSE - Other Index Options'!$I:$I,"Monthly*"))</f>
        <v/>
      </c>
      <c r="G255" s="26">
        <f>IF(SUMIFS('BSE - SENSEX Index Options'!$M:$M,'BSE - SENSEX Index Options'!$C:$C,$A255,'BSE - SENSEX Index Options'!$B:$B,G$147,'BSE - SENSEX Index Options'!$I:$I,"Monthly*")+SUMIFS('BSE - Other Index Options'!$M:$M,'BSE - Other Index Options'!$C:$C,$A255,'BSE - Other Index Options'!$B:$B,G$147,'BSE - Other Index Options'!$I:$I,"Monthly*")=0,"",SUMIFS('BSE - SENSEX Index Options'!$M:$M,'BSE - SENSEX Index Options'!$C:$C,$A255,'BSE - SENSEX Index Options'!$B:$B,G$147,'BSE - SENSEX Index Options'!$I:$I,"Monthly*")+SUMIFS('BSE - Other Index Options'!$M:$M,'BSE - Other Index Options'!$C:$C,$A255,'BSE - Other Index Options'!$B:$B,G$147,'BSE - Other Index Options'!$I:$I,"Monthly*"))</f>
        <v/>
      </c>
      <c r="H255" s="26">
        <f>IF(SUM(B255:G255)=0,"",SUM(B255:G255))</f>
        <v/>
      </c>
    </row>
    <row r="256" hidden="1" outlineLevel="1">
      <c r="A256" t="inlineStr">
        <is>
          <t>Week1-Jul-2027</t>
        </is>
      </c>
      <c r="B256" s="26">
        <f>IF(SUMIFS('BSE - SENSEX Index Options'!$M:$M,'BSE - SENSEX Index Options'!$C:$C,$A256,'BSE - SENSEX Index Options'!$B:$B,B$147,'BSE - SENSEX Index Options'!$I:$I,"Monthly*")+SUMIFS('BSE - Other Index Options'!$M:$M,'BSE - Other Index Options'!$C:$C,$A256,'BSE - Other Index Options'!$B:$B,B$147,'BSE - Other Index Options'!$I:$I,"Monthly*")=0,"",SUMIFS('BSE - SENSEX Index Options'!$M:$M,'BSE - SENSEX Index Options'!$C:$C,$A256,'BSE - SENSEX Index Options'!$B:$B,B$147,'BSE - SENSEX Index Options'!$I:$I,"Monthly*")+SUMIFS('BSE - Other Index Options'!$M:$M,'BSE - Other Index Options'!$C:$C,$A256,'BSE - Other Index Options'!$B:$B,B$147,'BSE - Other Index Options'!$I:$I,"Monthly*"))</f>
        <v/>
      </c>
      <c r="C256" s="26">
        <f>IF(SUMIFS('BSE - SENSEX Index Options'!$M:$M,'BSE - SENSEX Index Options'!$C:$C,$A256,'BSE - SENSEX Index Options'!$B:$B,C$147,'BSE - SENSEX Index Options'!$I:$I,"Monthly*")+SUMIFS('BSE - Other Index Options'!$M:$M,'BSE - Other Index Options'!$C:$C,$A256,'BSE - Other Index Options'!$B:$B,C$147,'BSE - Other Index Options'!$I:$I,"Monthly*")=0,"",SUMIFS('BSE - SENSEX Index Options'!$M:$M,'BSE - SENSEX Index Options'!$C:$C,$A256,'BSE - SENSEX Index Options'!$B:$B,C$147,'BSE - SENSEX Index Options'!$I:$I,"Monthly*")+SUMIFS('BSE - Other Index Options'!$M:$M,'BSE - Other Index Options'!$C:$C,$A256,'BSE - Other Index Options'!$B:$B,C$147,'BSE - Other Index Options'!$I:$I,"Monthly*"))</f>
        <v/>
      </c>
      <c r="D256" s="26">
        <f>IF(SUMIFS('BSE - SENSEX Index Options'!$M:$M,'BSE - SENSEX Index Options'!$C:$C,$A256,'BSE - SENSEX Index Options'!$B:$B,D$147,'BSE - SENSEX Index Options'!$I:$I,"Monthly*")+SUMIFS('BSE - Other Index Options'!$M:$M,'BSE - Other Index Options'!$C:$C,$A256,'BSE - Other Index Options'!$B:$B,D$147,'BSE - Other Index Options'!$I:$I,"Monthly*")=0,"",SUMIFS('BSE - SENSEX Index Options'!$M:$M,'BSE - SENSEX Index Options'!$C:$C,$A256,'BSE - SENSEX Index Options'!$B:$B,D$147,'BSE - SENSEX Index Options'!$I:$I,"Monthly*")+SUMIFS('BSE - Other Index Options'!$M:$M,'BSE - Other Index Options'!$C:$C,$A256,'BSE - Other Index Options'!$B:$B,D$147,'BSE - Other Index Options'!$I:$I,"Monthly*"))</f>
        <v/>
      </c>
      <c r="E256" s="26">
        <f>IF(SUMIFS('BSE - SENSEX Index Options'!$M:$M,'BSE - SENSEX Index Options'!$C:$C,$A256,'BSE - SENSEX Index Options'!$B:$B,E$147,'BSE - SENSEX Index Options'!$I:$I,"Monthly*")+SUMIFS('BSE - Other Index Options'!$M:$M,'BSE - Other Index Options'!$C:$C,$A256,'BSE - Other Index Options'!$B:$B,E$147,'BSE - Other Index Options'!$I:$I,"Monthly*")=0,"",SUMIFS('BSE - SENSEX Index Options'!$M:$M,'BSE - SENSEX Index Options'!$C:$C,$A256,'BSE - SENSEX Index Options'!$B:$B,E$147,'BSE - SENSEX Index Options'!$I:$I,"Monthly*")+SUMIFS('BSE - Other Index Options'!$M:$M,'BSE - Other Index Options'!$C:$C,$A256,'BSE - Other Index Options'!$B:$B,E$147,'BSE - Other Index Options'!$I:$I,"Monthly*"))</f>
        <v/>
      </c>
      <c r="F256" s="26">
        <f>IF(SUMIFS('BSE - SENSEX Index Options'!$M:$M,'BSE - SENSEX Index Options'!$C:$C,$A256,'BSE - SENSEX Index Options'!$B:$B,F$147,'BSE - SENSEX Index Options'!$I:$I,"Monthly*")+SUMIFS('BSE - Other Index Options'!$M:$M,'BSE - Other Index Options'!$C:$C,$A256,'BSE - Other Index Options'!$B:$B,F$147,'BSE - Other Index Options'!$I:$I,"Monthly*")=0,"",SUMIFS('BSE - SENSEX Index Options'!$M:$M,'BSE - SENSEX Index Options'!$C:$C,$A256,'BSE - SENSEX Index Options'!$B:$B,F$147,'BSE - SENSEX Index Options'!$I:$I,"Monthly*")+SUMIFS('BSE - Other Index Options'!$M:$M,'BSE - Other Index Options'!$C:$C,$A256,'BSE - Other Index Options'!$B:$B,F$147,'BSE - Other Index Options'!$I:$I,"Monthly*"))</f>
        <v/>
      </c>
      <c r="G256" s="26">
        <f>IF(SUMIFS('BSE - SENSEX Index Options'!$M:$M,'BSE - SENSEX Index Options'!$C:$C,$A256,'BSE - SENSEX Index Options'!$B:$B,G$147,'BSE - SENSEX Index Options'!$I:$I,"Monthly*")+SUMIFS('BSE - Other Index Options'!$M:$M,'BSE - Other Index Options'!$C:$C,$A256,'BSE - Other Index Options'!$B:$B,G$147,'BSE - Other Index Options'!$I:$I,"Monthly*")=0,"",SUMIFS('BSE - SENSEX Index Options'!$M:$M,'BSE - SENSEX Index Options'!$C:$C,$A256,'BSE - SENSEX Index Options'!$B:$B,G$147,'BSE - SENSEX Index Options'!$I:$I,"Monthly*")+SUMIFS('BSE - Other Index Options'!$M:$M,'BSE - Other Index Options'!$C:$C,$A256,'BSE - Other Index Options'!$B:$B,G$147,'BSE - Other Index Options'!$I:$I,"Monthly*"))</f>
        <v/>
      </c>
      <c r="H256" s="26">
        <f>IF(SUM(B256:G256)=0,"",SUM(B256:G256))</f>
        <v/>
      </c>
    </row>
    <row r="257" hidden="1" outlineLevel="1">
      <c r="A257" t="inlineStr">
        <is>
          <t>Week2-Jul-2027</t>
        </is>
      </c>
      <c r="B257" s="26">
        <f>IF(SUMIFS('BSE - SENSEX Index Options'!$M:$M,'BSE - SENSEX Index Options'!$C:$C,$A257,'BSE - SENSEX Index Options'!$B:$B,B$147,'BSE - SENSEX Index Options'!$I:$I,"Monthly*")+SUMIFS('BSE - Other Index Options'!$M:$M,'BSE - Other Index Options'!$C:$C,$A257,'BSE - Other Index Options'!$B:$B,B$147,'BSE - Other Index Options'!$I:$I,"Monthly*")=0,"",SUMIFS('BSE - SENSEX Index Options'!$M:$M,'BSE - SENSEX Index Options'!$C:$C,$A257,'BSE - SENSEX Index Options'!$B:$B,B$147,'BSE - SENSEX Index Options'!$I:$I,"Monthly*")+SUMIFS('BSE - Other Index Options'!$M:$M,'BSE - Other Index Options'!$C:$C,$A257,'BSE - Other Index Options'!$B:$B,B$147,'BSE - Other Index Options'!$I:$I,"Monthly*"))</f>
        <v/>
      </c>
      <c r="C257" s="26">
        <f>IF(SUMIFS('BSE - SENSEX Index Options'!$M:$M,'BSE - SENSEX Index Options'!$C:$C,$A257,'BSE - SENSEX Index Options'!$B:$B,C$147,'BSE - SENSEX Index Options'!$I:$I,"Monthly*")+SUMIFS('BSE - Other Index Options'!$M:$M,'BSE - Other Index Options'!$C:$C,$A257,'BSE - Other Index Options'!$B:$B,C$147,'BSE - Other Index Options'!$I:$I,"Monthly*")=0,"",SUMIFS('BSE - SENSEX Index Options'!$M:$M,'BSE - SENSEX Index Options'!$C:$C,$A257,'BSE - SENSEX Index Options'!$B:$B,C$147,'BSE - SENSEX Index Options'!$I:$I,"Monthly*")+SUMIFS('BSE - Other Index Options'!$M:$M,'BSE - Other Index Options'!$C:$C,$A257,'BSE - Other Index Options'!$B:$B,C$147,'BSE - Other Index Options'!$I:$I,"Monthly*"))</f>
        <v/>
      </c>
      <c r="D257" s="26">
        <f>IF(SUMIFS('BSE - SENSEX Index Options'!$M:$M,'BSE - SENSEX Index Options'!$C:$C,$A257,'BSE - SENSEX Index Options'!$B:$B,D$147,'BSE - SENSEX Index Options'!$I:$I,"Monthly*")+SUMIFS('BSE - Other Index Options'!$M:$M,'BSE - Other Index Options'!$C:$C,$A257,'BSE - Other Index Options'!$B:$B,D$147,'BSE - Other Index Options'!$I:$I,"Monthly*")=0,"",SUMIFS('BSE - SENSEX Index Options'!$M:$M,'BSE - SENSEX Index Options'!$C:$C,$A257,'BSE - SENSEX Index Options'!$B:$B,D$147,'BSE - SENSEX Index Options'!$I:$I,"Monthly*")+SUMIFS('BSE - Other Index Options'!$M:$M,'BSE - Other Index Options'!$C:$C,$A257,'BSE - Other Index Options'!$B:$B,D$147,'BSE - Other Index Options'!$I:$I,"Monthly*"))</f>
        <v/>
      </c>
      <c r="E257" s="26">
        <f>IF(SUMIFS('BSE - SENSEX Index Options'!$M:$M,'BSE - SENSEX Index Options'!$C:$C,$A257,'BSE - SENSEX Index Options'!$B:$B,E$147,'BSE - SENSEX Index Options'!$I:$I,"Monthly*")+SUMIFS('BSE - Other Index Options'!$M:$M,'BSE - Other Index Options'!$C:$C,$A257,'BSE - Other Index Options'!$B:$B,E$147,'BSE - Other Index Options'!$I:$I,"Monthly*")=0,"",SUMIFS('BSE - SENSEX Index Options'!$M:$M,'BSE - SENSEX Index Options'!$C:$C,$A257,'BSE - SENSEX Index Options'!$B:$B,E$147,'BSE - SENSEX Index Options'!$I:$I,"Monthly*")+SUMIFS('BSE - Other Index Options'!$M:$M,'BSE - Other Index Options'!$C:$C,$A257,'BSE - Other Index Options'!$B:$B,E$147,'BSE - Other Index Options'!$I:$I,"Monthly*"))</f>
        <v/>
      </c>
      <c r="F257" s="26">
        <f>IF(SUMIFS('BSE - SENSEX Index Options'!$M:$M,'BSE - SENSEX Index Options'!$C:$C,$A257,'BSE - SENSEX Index Options'!$B:$B,F$147,'BSE - SENSEX Index Options'!$I:$I,"Monthly*")+SUMIFS('BSE - Other Index Options'!$M:$M,'BSE - Other Index Options'!$C:$C,$A257,'BSE - Other Index Options'!$B:$B,F$147,'BSE - Other Index Options'!$I:$I,"Monthly*")=0,"",SUMIFS('BSE - SENSEX Index Options'!$M:$M,'BSE - SENSEX Index Options'!$C:$C,$A257,'BSE - SENSEX Index Options'!$B:$B,F$147,'BSE - SENSEX Index Options'!$I:$I,"Monthly*")+SUMIFS('BSE - Other Index Options'!$M:$M,'BSE - Other Index Options'!$C:$C,$A257,'BSE - Other Index Options'!$B:$B,F$147,'BSE - Other Index Options'!$I:$I,"Monthly*"))</f>
        <v/>
      </c>
      <c r="G257" s="26">
        <f>IF(SUMIFS('BSE - SENSEX Index Options'!$M:$M,'BSE - SENSEX Index Options'!$C:$C,$A257,'BSE - SENSEX Index Options'!$B:$B,G$147,'BSE - SENSEX Index Options'!$I:$I,"Monthly*")+SUMIFS('BSE - Other Index Options'!$M:$M,'BSE - Other Index Options'!$C:$C,$A257,'BSE - Other Index Options'!$B:$B,G$147,'BSE - Other Index Options'!$I:$I,"Monthly*")=0,"",SUMIFS('BSE - SENSEX Index Options'!$M:$M,'BSE - SENSEX Index Options'!$C:$C,$A257,'BSE - SENSEX Index Options'!$B:$B,G$147,'BSE - SENSEX Index Options'!$I:$I,"Monthly*")+SUMIFS('BSE - Other Index Options'!$M:$M,'BSE - Other Index Options'!$C:$C,$A257,'BSE - Other Index Options'!$B:$B,G$147,'BSE - Other Index Options'!$I:$I,"Monthly*"))</f>
        <v/>
      </c>
      <c r="H257" s="26">
        <f>IF(SUM(B257:G257)=0,"",SUM(B257:G257))</f>
        <v/>
      </c>
    </row>
    <row r="258" hidden="1" outlineLevel="1">
      <c r="A258" t="inlineStr">
        <is>
          <t>Week3-Jul-2027</t>
        </is>
      </c>
      <c r="B258" s="26">
        <f>IF(SUMIFS('BSE - SENSEX Index Options'!$M:$M,'BSE - SENSEX Index Options'!$C:$C,$A258,'BSE - SENSEX Index Options'!$B:$B,B$147,'BSE - SENSEX Index Options'!$I:$I,"Monthly*")+SUMIFS('BSE - Other Index Options'!$M:$M,'BSE - Other Index Options'!$C:$C,$A258,'BSE - Other Index Options'!$B:$B,B$147,'BSE - Other Index Options'!$I:$I,"Monthly*")=0,"",SUMIFS('BSE - SENSEX Index Options'!$M:$M,'BSE - SENSEX Index Options'!$C:$C,$A258,'BSE - SENSEX Index Options'!$B:$B,B$147,'BSE - SENSEX Index Options'!$I:$I,"Monthly*")+SUMIFS('BSE - Other Index Options'!$M:$M,'BSE - Other Index Options'!$C:$C,$A258,'BSE - Other Index Options'!$B:$B,B$147,'BSE - Other Index Options'!$I:$I,"Monthly*"))</f>
        <v/>
      </c>
      <c r="C258" s="26">
        <f>IF(SUMIFS('BSE - SENSEX Index Options'!$M:$M,'BSE - SENSEX Index Options'!$C:$C,$A258,'BSE - SENSEX Index Options'!$B:$B,C$147,'BSE - SENSEX Index Options'!$I:$I,"Monthly*")+SUMIFS('BSE - Other Index Options'!$M:$M,'BSE - Other Index Options'!$C:$C,$A258,'BSE - Other Index Options'!$B:$B,C$147,'BSE - Other Index Options'!$I:$I,"Monthly*")=0,"",SUMIFS('BSE - SENSEX Index Options'!$M:$M,'BSE - SENSEX Index Options'!$C:$C,$A258,'BSE - SENSEX Index Options'!$B:$B,C$147,'BSE - SENSEX Index Options'!$I:$I,"Monthly*")+SUMIFS('BSE - Other Index Options'!$M:$M,'BSE - Other Index Options'!$C:$C,$A258,'BSE - Other Index Options'!$B:$B,C$147,'BSE - Other Index Options'!$I:$I,"Monthly*"))</f>
        <v/>
      </c>
      <c r="D258" s="26">
        <f>IF(SUMIFS('BSE - SENSEX Index Options'!$M:$M,'BSE - SENSEX Index Options'!$C:$C,$A258,'BSE - SENSEX Index Options'!$B:$B,D$147,'BSE - SENSEX Index Options'!$I:$I,"Monthly*")+SUMIFS('BSE - Other Index Options'!$M:$M,'BSE - Other Index Options'!$C:$C,$A258,'BSE - Other Index Options'!$B:$B,D$147,'BSE - Other Index Options'!$I:$I,"Monthly*")=0,"",SUMIFS('BSE - SENSEX Index Options'!$M:$M,'BSE - SENSEX Index Options'!$C:$C,$A258,'BSE - SENSEX Index Options'!$B:$B,D$147,'BSE - SENSEX Index Options'!$I:$I,"Monthly*")+SUMIFS('BSE - Other Index Options'!$M:$M,'BSE - Other Index Options'!$C:$C,$A258,'BSE - Other Index Options'!$B:$B,D$147,'BSE - Other Index Options'!$I:$I,"Monthly*"))</f>
        <v/>
      </c>
      <c r="E258" s="26">
        <f>IF(SUMIFS('BSE - SENSEX Index Options'!$M:$M,'BSE - SENSEX Index Options'!$C:$C,$A258,'BSE - SENSEX Index Options'!$B:$B,E$147,'BSE - SENSEX Index Options'!$I:$I,"Monthly*")+SUMIFS('BSE - Other Index Options'!$M:$M,'BSE - Other Index Options'!$C:$C,$A258,'BSE - Other Index Options'!$B:$B,E$147,'BSE - Other Index Options'!$I:$I,"Monthly*")=0,"",SUMIFS('BSE - SENSEX Index Options'!$M:$M,'BSE - SENSEX Index Options'!$C:$C,$A258,'BSE - SENSEX Index Options'!$B:$B,E$147,'BSE - SENSEX Index Options'!$I:$I,"Monthly*")+SUMIFS('BSE - Other Index Options'!$M:$M,'BSE - Other Index Options'!$C:$C,$A258,'BSE - Other Index Options'!$B:$B,E$147,'BSE - Other Index Options'!$I:$I,"Monthly*"))</f>
        <v/>
      </c>
      <c r="F258" s="26">
        <f>IF(SUMIFS('BSE - SENSEX Index Options'!$M:$M,'BSE - SENSEX Index Options'!$C:$C,$A258,'BSE - SENSEX Index Options'!$B:$B,F$147,'BSE - SENSEX Index Options'!$I:$I,"Monthly*")+SUMIFS('BSE - Other Index Options'!$M:$M,'BSE - Other Index Options'!$C:$C,$A258,'BSE - Other Index Options'!$B:$B,F$147,'BSE - Other Index Options'!$I:$I,"Monthly*")=0,"",SUMIFS('BSE - SENSEX Index Options'!$M:$M,'BSE - SENSEX Index Options'!$C:$C,$A258,'BSE - SENSEX Index Options'!$B:$B,F$147,'BSE - SENSEX Index Options'!$I:$I,"Monthly*")+SUMIFS('BSE - Other Index Options'!$M:$M,'BSE - Other Index Options'!$C:$C,$A258,'BSE - Other Index Options'!$B:$B,F$147,'BSE - Other Index Options'!$I:$I,"Monthly*"))</f>
        <v/>
      </c>
      <c r="G258" s="26">
        <f>IF(SUMIFS('BSE - SENSEX Index Options'!$M:$M,'BSE - SENSEX Index Options'!$C:$C,$A258,'BSE - SENSEX Index Options'!$B:$B,G$147,'BSE - SENSEX Index Options'!$I:$I,"Monthly*")+SUMIFS('BSE - Other Index Options'!$M:$M,'BSE - Other Index Options'!$C:$C,$A258,'BSE - Other Index Options'!$B:$B,G$147,'BSE - Other Index Options'!$I:$I,"Monthly*")=0,"",SUMIFS('BSE - SENSEX Index Options'!$M:$M,'BSE - SENSEX Index Options'!$C:$C,$A258,'BSE - SENSEX Index Options'!$B:$B,G$147,'BSE - SENSEX Index Options'!$I:$I,"Monthly*")+SUMIFS('BSE - Other Index Options'!$M:$M,'BSE - Other Index Options'!$C:$C,$A258,'BSE - Other Index Options'!$B:$B,G$147,'BSE - Other Index Options'!$I:$I,"Monthly*"))</f>
        <v/>
      </c>
      <c r="H258" s="26">
        <f>IF(SUM(B258:G258)=0,"",SUM(B258:G258))</f>
        <v/>
      </c>
    </row>
    <row r="259" hidden="1" outlineLevel="1">
      <c r="A259" t="inlineStr">
        <is>
          <t>Week4-Jul-2027</t>
        </is>
      </c>
      <c r="B259" s="26">
        <f>IF(SUMIFS('BSE - SENSEX Index Options'!$M:$M,'BSE - SENSEX Index Options'!$C:$C,$A259,'BSE - SENSEX Index Options'!$B:$B,B$147,'BSE - SENSEX Index Options'!$I:$I,"Monthly*")+SUMIFS('BSE - Other Index Options'!$M:$M,'BSE - Other Index Options'!$C:$C,$A259,'BSE - Other Index Options'!$B:$B,B$147,'BSE - Other Index Options'!$I:$I,"Monthly*")=0,"",SUMIFS('BSE - SENSEX Index Options'!$M:$M,'BSE - SENSEX Index Options'!$C:$C,$A259,'BSE - SENSEX Index Options'!$B:$B,B$147,'BSE - SENSEX Index Options'!$I:$I,"Monthly*")+SUMIFS('BSE - Other Index Options'!$M:$M,'BSE - Other Index Options'!$C:$C,$A259,'BSE - Other Index Options'!$B:$B,B$147,'BSE - Other Index Options'!$I:$I,"Monthly*"))</f>
        <v/>
      </c>
      <c r="C259" s="26">
        <f>IF(SUMIFS('BSE - SENSEX Index Options'!$M:$M,'BSE - SENSEX Index Options'!$C:$C,$A259,'BSE - SENSEX Index Options'!$B:$B,C$147,'BSE - SENSEX Index Options'!$I:$I,"Monthly*")+SUMIFS('BSE - Other Index Options'!$M:$M,'BSE - Other Index Options'!$C:$C,$A259,'BSE - Other Index Options'!$B:$B,C$147,'BSE - Other Index Options'!$I:$I,"Monthly*")=0,"",SUMIFS('BSE - SENSEX Index Options'!$M:$M,'BSE - SENSEX Index Options'!$C:$C,$A259,'BSE - SENSEX Index Options'!$B:$B,C$147,'BSE - SENSEX Index Options'!$I:$I,"Monthly*")+SUMIFS('BSE - Other Index Options'!$M:$M,'BSE - Other Index Options'!$C:$C,$A259,'BSE - Other Index Options'!$B:$B,C$147,'BSE - Other Index Options'!$I:$I,"Monthly*"))</f>
        <v/>
      </c>
      <c r="D259" s="26">
        <f>IF(SUMIFS('BSE - SENSEX Index Options'!$M:$M,'BSE - SENSEX Index Options'!$C:$C,$A259,'BSE - SENSEX Index Options'!$B:$B,D$147,'BSE - SENSEX Index Options'!$I:$I,"Monthly*")+SUMIFS('BSE - Other Index Options'!$M:$M,'BSE - Other Index Options'!$C:$C,$A259,'BSE - Other Index Options'!$B:$B,D$147,'BSE - Other Index Options'!$I:$I,"Monthly*")=0,"",SUMIFS('BSE - SENSEX Index Options'!$M:$M,'BSE - SENSEX Index Options'!$C:$C,$A259,'BSE - SENSEX Index Options'!$B:$B,D$147,'BSE - SENSEX Index Options'!$I:$I,"Monthly*")+SUMIFS('BSE - Other Index Options'!$M:$M,'BSE - Other Index Options'!$C:$C,$A259,'BSE - Other Index Options'!$B:$B,D$147,'BSE - Other Index Options'!$I:$I,"Monthly*"))</f>
        <v/>
      </c>
      <c r="E259" s="26">
        <f>IF(SUMIFS('BSE - SENSEX Index Options'!$M:$M,'BSE - SENSEX Index Options'!$C:$C,$A259,'BSE - SENSEX Index Options'!$B:$B,E$147,'BSE - SENSEX Index Options'!$I:$I,"Monthly*")+SUMIFS('BSE - Other Index Options'!$M:$M,'BSE - Other Index Options'!$C:$C,$A259,'BSE - Other Index Options'!$B:$B,E$147,'BSE - Other Index Options'!$I:$I,"Monthly*")=0,"",SUMIFS('BSE - SENSEX Index Options'!$M:$M,'BSE - SENSEX Index Options'!$C:$C,$A259,'BSE - SENSEX Index Options'!$B:$B,E$147,'BSE - SENSEX Index Options'!$I:$I,"Monthly*")+SUMIFS('BSE - Other Index Options'!$M:$M,'BSE - Other Index Options'!$C:$C,$A259,'BSE - Other Index Options'!$B:$B,E$147,'BSE - Other Index Options'!$I:$I,"Monthly*"))</f>
        <v/>
      </c>
      <c r="F259" s="26">
        <f>IF(SUMIFS('BSE - SENSEX Index Options'!$M:$M,'BSE - SENSEX Index Options'!$C:$C,$A259,'BSE - SENSEX Index Options'!$B:$B,F$147,'BSE - SENSEX Index Options'!$I:$I,"Monthly*")+SUMIFS('BSE - Other Index Options'!$M:$M,'BSE - Other Index Options'!$C:$C,$A259,'BSE - Other Index Options'!$B:$B,F$147,'BSE - Other Index Options'!$I:$I,"Monthly*")=0,"",SUMIFS('BSE - SENSEX Index Options'!$M:$M,'BSE - SENSEX Index Options'!$C:$C,$A259,'BSE - SENSEX Index Options'!$B:$B,F$147,'BSE - SENSEX Index Options'!$I:$I,"Monthly*")+SUMIFS('BSE - Other Index Options'!$M:$M,'BSE - Other Index Options'!$C:$C,$A259,'BSE - Other Index Options'!$B:$B,F$147,'BSE - Other Index Options'!$I:$I,"Monthly*"))</f>
        <v/>
      </c>
      <c r="G259" s="26">
        <f>IF(SUMIFS('BSE - SENSEX Index Options'!$M:$M,'BSE - SENSEX Index Options'!$C:$C,$A259,'BSE - SENSEX Index Options'!$B:$B,G$147,'BSE - SENSEX Index Options'!$I:$I,"Monthly*")+SUMIFS('BSE - Other Index Options'!$M:$M,'BSE - Other Index Options'!$C:$C,$A259,'BSE - Other Index Options'!$B:$B,G$147,'BSE - Other Index Options'!$I:$I,"Monthly*")=0,"",SUMIFS('BSE - SENSEX Index Options'!$M:$M,'BSE - SENSEX Index Options'!$C:$C,$A259,'BSE - SENSEX Index Options'!$B:$B,G$147,'BSE - SENSEX Index Options'!$I:$I,"Monthly*")+SUMIFS('BSE - Other Index Options'!$M:$M,'BSE - Other Index Options'!$C:$C,$A259,'BSE - Other Index Options'!$B:$B,G$147,'BSE - Other Index Options'!$I:$I,"Monthly*"))</f>
        <v/>
      </c>
      <c r="H259" s="26">
        <f>IF(SUM(B259:G259)=0,"",SUM(B259:G259))</f>
        <v/>
      </c>
    </row>
    <row r="260" hidden="1" outlineLevel="1">
      <c r="A260" t="inlineStr">
        <is>
          <t>Week5-Jul-2027</t>
        </is>
      </c>
      <c r="B260" s="26">
        <f>IF(SUMIFS('BSE - SENSEX Index Options'!$M:$M,'BSE - SENSEX Index Options'!$C:$C,$A260,'BSE - SENSEX Index Options'!$B:$B,B$147,'BSE - SENSEX Index Options'!$I:$I,"Monthly*")+SUMIFS('BSE - Other Index Options'!$M:$M,'BSE - Other Index Options'!$C:$C,$A260,'BSE - Other Index Options'!$B:$B,B$147,'BSE - Other Index Options'!$I:$I,"Monthly*")=0,"",SUMIFS('BSE - SENSEX Index Options'!$M:$M,'BSE - SENSEX Index Options'!$C:$C,$A260,'BSE - SENSEX Index Options'!$B:$B,B$147,'BSE - SENSEX Index Options'!$I:$I,"Monthly*")+SUMIFS('BSE - Other Index Options'!$M:$M,'BSE - Other Index Options'!$C:$C,$A260,'BSE - Other Index Options'!$B:$B,B$147,'BSE - Other Index Options'!$I:$I,"Monthly*"))</f>
        <v/>
      </c>
      <c r="C260" s="26">
        <f>IF(SUMIFS('BSE - SENSEX Index Options'!$M:$M,'BSE - SENSEX Index Options'!$C:$C,$A260,'BSE - SENSEX Index Options'!$B:$B,C$147,'BSE - SENSEX Index Options'!$I:$I,"Monthly*")+SUMIFS('BSE - Other Index Options'!$M:$M,'BSE - Other Index Options'!$C:$C,$A260,'BSE - Other Index Options'!$B:$B,C$147,'BSE - Other Index Options'!$I:$I,"Monthly*")=0,"",SUMIFS('BSE - SENSEX Index Options'!$M:$M,'BSE - SENSEX Index Options'!$C:$C,$A260,'BSE - SENSEX Index Options'!$B:$B,C$147,'BSE - SENSEX Index Options'!$I:$I,"Monthly*")+SUMIFS('BSE - Other Index Options'!$M:$M,'BSE - Other Index Options'!$C:$C,$A260,'BSE - Other Index Options'!$B:$B,C$147,'BSE - Other Index Options'!$I:$I,"Monthly*"))</f>
        <v/>
      </c>
      <c r="D260" s="26">
        <f>IF(SUMIFS('BSE - SENSEX Index Options'!$M:$M,'BSE - SENSEX Index Options'!$C:$C,$A260,'BSE - SENSEX Index Options'!$B:$B,D$147,'BSE - SENSEX Index Options'!$I:$I,"Monthly*")+SUMIFS('BSE - Other Index Options'!$M:$M,'BSE - Other Index Options'!$C:$C,$A260,'BSE - Other Index Options'!$B:$B,D$147,'BSE - Other Index Options'!$I:$I,"Monthly*")=0,"",SUMIFS('BSE - SENSEX Index Options'!$M:$M,'BSE - SENSEX Index Options'!$C:$C,$A260,'BSE - SENSEX Index Options'!$B:$B,D$147,'BSE - SENSEX Index Options'!$I:$I,"Monthly*")+SUMIFS('BSE - Other Index Options'!$M:$M,'BSE - Other Index Options'!$C:$C,$A260,'BSE - Other Index Options'!$B:$B,D$147,'BSE - Other Index Options'!$I:$I,"Monthly*"))</f>
        <v/>
      </c>
      <c r="E260" s="26">
        <f>IF(SUMIFS('BSE - SENSEX Index Options'!$M:$M,'BSE - SENSEX Index Options'!$C:$C,$A260,'BSE - SENSEX Index Options'!$B:$B,E$147,'BSE - SENSEX Index Options'!$I:$I,"Monthly*")+SUMIFS('BSE - Other Index Options'!$M:$M,'BSE - Other Index Options'!$C:$C,$A260,'BSE - Other Index Options'!$B:$B,E$147,'BSE - Other Index Options'!$I:$I,"Monthly*")=0,"",SUMIFS('BSE - SENSEX Index Options'!$M:$M,'BSE - SENSEX Index Options'!$C:$C,$A260,'BSE - SENSEX Index Options'!$B:$B,E$147,'BSE - SENSEX Index Options'!$I:$I,"Monthly*")+SUMIFS('BSE - Other Index Options'!$M:$M,'BSE - Other Index Options'!$C:$C,$A260,'BSE - Other Index Options'!$B:$B,E$147,'BSE - Other Index Options'!$I:$I,"Monthly*"))</f>
        <v/>
      </c>
      <c r="F260" s="26">
        <f>IF(SUMIFS('BSE - SENSEX Index Options'!$M:$M,'BSE - SENSEX Index Options'!$C:$C,$A260,'BSE - SENSEX Index Options'!$B:$B,F$147,'BSE - SENSEX Index Options'!$I:$I,"Monthly*")+SUMIFS('BSE - Other Index Options'!$M:$M,'BSE - Other Index Options'!$C:$C,$A260,'BSE - Other Index Options'!$B:$B,F$147,'BSE - Other Index Options'!$I:$I,"Monthly*")=0,"",SUMIFS('BSE - SENSEX Index Options'!$M:$M,'BSE - SENSEX Index Options'!$C:$C,$A260,'BSE - SENSEX Index Options'!$B:$B,F$147,'BSE - SENSEX Index Options'!$I:$I,"Monthly*")+SUMIFS('BSE - Other Index Options'!$M:$M,'BSE - Other Index Options'!$C:$C,$A260,'BSE - Other Index Options'!$B:$B,F$147,'BSE - Other Index Options'!$I:$I,"Monthly*"))</f>
        <v/>
      </c>
      <c r="G260" s="26">
        <f>IF(SUMIFS('BSE - SENSEX Index Options'!$M:$M,'BSE - SENSEX Index Options'!$C:$C,$A260,'BSE - SENSEX Index Options'!$B:$B,G$147,'BSE - SENSEX Index Options'!$I:$I,"Monthly*")+SUMIFS('BSE - Other Index Options'!$M:$M,'BSE - Other Index Options'!$C:$C,$A260,'BSE - Other Index Options'!$B:$B,G$147,'BSE - Other Index Options'!$I:$I,"Monthly*")=0,"",SUMIFS('BSE - SENSEX Index Options'!$M:$M,'BSE - SENSEX Index Options'!$C:$C,$A260,'BSE - SENSEX Index Options'!$B:$B,G$147,'BSE - SENSEX Index Options'!$I:$I,"Monthly*")+SUMIFS('BSE - Other Index Options'!$M:$M,'BSE - Other Index Options'!$C:$C,$A260,'BSE - Other Index Options'!$B:$B,G$147,'BSE - Other Index Options'!$I:$I,"Monthly*"))</f>
        <v/>
      </c>
      <c r="H260" s="26">
        <f>IF(SUM(B260:G260)=0,"",SUM(B260:G260))</f>
        <v/>
      </c>
    </row>
    <row r="261" hidden="1" outlineLevel="1">
      <c r="A261" t="inlineStr">
        <is>
          <t>Week1-Aug-2027</t>
        </is>
      </c>
      <c r="B261" s="26">
        <f>IF(SUMIFS('BSE - SENSEX Index Options'!$M:$M,'BSE - SENSEX Index Options'!$C:$C,$A261,'BSE - SENSEX Index Options'!$B:$B,B$147,'BSE - SENSEX Index Options'!$I:$I,"Monthly*")+SUMIFS('BSE - Other Index Options'!$M:$M,'BSE - Other Index Options'!$C:$C,$A261,'BSE - Other Index Options'!$B:$B,B$147,'BSE - Other Index Options'!$I:$I,"Monthly*")=0,"",SUMIFS('BSE - SENSEX Index Options'!$M:$M,'BSE - SENSEX Index Options'!$C:$C,$A261,'BSE - SENSEX Index Options'!$B:$B,B$147,'BSE - SENSEX Index Options'!$I:$I,"Monthly*")+SUMIFS('BSE - Other Index Options'!$M:$M,'BSE - Other Index Options'!$C:$C,$A261,'BSE - Other Index Options'!$B:$B,B$147,'BSE - Other Index Options'!$I:$I,"Monthly*"))</f>
        <v/>
      </c>
      <c r="C261" s="26">
        <f>IF(SUMIFS('BSE - SENSEX Index Options'!$M:$M,'BSE - SENSEX Index Options'!$C:$C,$A261,'BSE - SENSEX Index Options'!$B:$B,C$147,'BSE - SENSEX Index Options'!$I:$I,"Monthly*")+SUMIFS('BSE - Other Index Options'!$M:$M,'BSE - Other Index Options'!$C:$C,$A261,'BSE - Other Index Options'!$B:$B,C$147,'BSE - Other Index Options'!$I:$I,"Monthly*")=0,"",SUMIFS('BSE - SENSEX Index Options'!$M:$M,'BSE - SENSEX Index Options'!$C:$C,$A261,'BSE - SENSEX Index Options'!$B:$B,C$147,'BSE - SENSEX Index Options'!$I:$I,"Monthly*")+SUMIFS('BSE - Other Index Options'!$M:$M,'BSE - Other Index Options'!$C:$C,$A261,'BSE - Other Index Options'!$B:$B,C$147,'BSE - Other Index Options'!$I:$I,"Monthly*"))</f>
        <v/>
      </c>
      <c r="D261" s="26">
        <f>IF(SUMIFS('BSE - SENSEX Index Options'!$M:$M,'BSE - SENSEX Index Options'!$C:$C,$A261,'BSE - SENSEX Index Options'!$B:$B,D$147,'BSE - SENSEX Index Options'!$I:$I,"Monthly*")+SUMIFS('BSE - Other Index Options'!$M:$M,'BSE - Other Index Options'!$C:$C,$A261,'BSE - Other Index Options'!$B:$B,D$147,'BSE - Other Index Options'!$I:$I,"Monthly*")=0,"",SUMIFS('BSE - SENSEX Index Options'!$M:$M,'BSE - SENSEX Index Options'!$C:$C,$A261,'BSE - SENSEX Index Options'!$B:$B,D$147,'BSE - SENSEX Index Options'!$I:$I,"Monthly*")+SUMIFS('BSE - Other Index Options'!$M:$M,'BSE - Other Index Options'!$C:$C,$A261,'BSE - Other Index Options'!$B:$B,D$147,'BSE - Other Index Options'!$I:$I,"Monthly*"))</f>
        <v/>
      </c>
      <c r="E261" s="26">
        <f>IF(SUMIFS('BSE - SENSEX Index Options'!$M:$M,'BSE - SENSEX Index Options'!$C:$C,$A261,'BSE - SENSEX Index Options'!$B:$B,E$147,'BSE - SENSEX Index Options'!$I:$I,"Monthly*")+SUMIFS('BSE - Other Index Options'!$M:$M,'BSE - Other Index Options'!$C:$C,$A261,'BSE - Other Index Options'!$B:$B,E$147,'BSE - Other Index Options'!$I:$I,"Monthly*")=0,"",SUMIFS('BSE - SENSEX Index Options'!$M:$M,'BSE - SENSEX Index Options'!$C:$C,$A261,'BSE - SENSEX Index Options'!$B:$B,E$147,'BSE - SENSEX Index Options'!$I:$I,"Monthly*")+SUMIFS('BSE - Other Index Options'!$M:$M,'BSE - Other Index Options'!$C:$C,$A261,'BSE - Other Index Options'!$B:$B,E$147,'BSE - Other Index Options'!$I:$I,"Monthly*"))</f>
        <v/>
      </c>
      <c r="F261" s="26">
        <f>IF(SUMIFS('BSE - SENSEX Index Options'!$M:$M,'BSE - SENSEX Index Options'!$C:$C,$A261,'BSE - SENSEX Index Options'!$B:$B,F$147,'BSE - SENSEX Index Options'!$I:$I,"Monthly*")+SUMIFS('BSE - Other Index Options'!$M:$M,'BSE - Other Index Options'!$C:$C,$A261,'BSE - Other Index Options'!$B:$B,F$147,'BSE - Other Index Options'!$I:$I,"Monthly*")=0,"",SUMIFS('BSE - SENSEX Index Options'!$M:$M,'BSE - SENSEX Index Options'!$C:$C,$A261,'BSE - SENSEX Index Options'!$B:$B,F$147,'BSE - SENSEX Index Options'!$I:$I,"Monthly*")+SUMIFS('BSE - Other Index Options'!$M:$M,'BSE - Other Index Options'!$C:$C,$A261,'BSE - Other Index Options'!$B:$B,F$147,'BSE - Other Index Options'!$I:$I,"Monthly*"))</f>
        <v/>
      </c>
      <c r="G261" s="26">
        <f>IF(SUMIFS('BSE - SENSEX Index Options'!$M:$M,'BSE - SENSEX Index Options'!$C:$C,$A261,'BSE - SENSEX Index Options'!$B:$B,G$147,'BSE - SENSEX Index Options'!$I:$I,"Monthly*")+SUMIFS('BSE - Other Index Options'!$M:$M,'BSE - Other Index Options'!$C:$C,$A261,'BSE - Other Index Options'!$B:$B,G$147,'BSE - Other Index Options'!$I:$I,"Monthly*")=0,"",SUMIFS('BSE - SENSEX Index Options'!$M:$M,'BSE - SENSEX Index Options'!$C:$C,$A261,'BSE - SENSEX Index Options'!$B:$B,G$147,'BSE - SENSEX Index Options'!$I:$I,"Monthly*")+SUMIFS('BSE - Other Index Options'!$M:$M,'BSE - Other Index Options'!$C:$C,$A261,'BSE - Other Index Options'!$B:$B,G$147,'BSE - Other Index Options'!$I:$I,"Monthly*"))</f>
        <v/>
      </c>
      <c r="H261" s="26">
        <f>IF(SUM(B261:G261)=0,"",SUM(B261:G261))</f>
        <v/>
      </c>
    </row>
    <row r="262" hidden="1" outlineLevel="1">
      <c r="A262" t="inlineStr">
        <is>
          <t>Week2-Aug-2027</t>
        </is>
      </c>
      <c r="B262" s="26">
        <f>IF(SUMIFS('BSE - SENSEX Index Options'!$M:$M,'BSE - SENSEX Index Options'!$C:$C,$A262,'BSE - SENSEX Index Options'!$B:$B,B$147,'BSE - SENSEX Index Options'!$I:$I,"Monthly*")+SUMIFS('BSE - Other Index Options'!$M:$M,'BSE - Other Index Options'!$C:$C,$A262,'BSE - Other Index Options'!$B:$B,B$147,'BSE - Other Index Options'!$I:$I,"Monthly*")=0,"",SUMIFS('BSE - SENSEX Index Options'!$M:$M,'BSE - SENSEX Index Options'!$C:$C,$A262,'BSE - SENSEX Index Options'!$B:$B,B$147,'BSE - SENSEX Index Options'!$I:$I,"Monthly*")+SUMIFS('BSE - Other Index Options'!$M:$M,'BSE - Other Index Options'!$C:$C,$A262,'BSE - Other Index Options'!$B:$B,B$147,'BSE - Other Index Options'!$I:$I,"Monthly*"))</f>
        <v/>
      </c>
      <c r="C262" s="26">
        <f>IF(SUMIFS('BSE - SENSEX Index Options'!$M:$M,'BSE - SENSEX Index Options'!$C:$C,$A262,'BSE - SENSEX Index Options'!$B:$B,C$147,'BSE - SENSEX Index Options'!$I:$I,"Monthly*")+SUMIFS('BSE - Other Index Options'!$M:$M,'BSE - Other Index Options'!$C:$C,$A262,'BSE - Other Index Options'!$B:$B,C$147,'BSE - Other Index Options'!$I:$I,"Monthly*")=0,"",SUMIFS('BSE - SENSEX Index Options'!$M:$M,'BSE - SENSEX Index Options'!$C:$C,$A262,'BSE - SENSEX Index Options'!$B:$B,C$147,'BSE - SENSEX Index Options'!$I:$I,"Monthly*")+SUMIFS('BSE - Other Index Options'!$M:$M,'BSE - Other Index Options'!$C:$C,$A262,'BSE - Other Index Options'!$B:$B,C$147,'BSE - Other Index Options'!$I:$I,"Monthly*"))</f>
        <v/>
      </c>
      <c r="D262" s="26">
        <f>IF(SUMIFS('BSE - SENSEX Index Options'!$M:$M,'BSE - SENSEX Index Options'!$C:$C,$A262,'BSE - SENSEX Index Options'!$B:$B,D$147,'BSE - SENSEX Index Options'!$I:$I,"Monthly*")+SUMIFS('BSE - Other Index Options'!$M:$M,'BSE - Other Index Options'!$C:$C,$A262,'BSE - Other Index Options'!$B:$B,D$147,'BSE - Other Index Options'!$I:$I,"Monthly*")=0,"",SUMIFS('BSE - SENSEX Index Options'!$M:$M,'BSE - SENSEX Index Options'!$C:$C,$A262,'BSE - SENSEX Index Options'!$B:$B,D$147,'BSE - SENSEX Index Options'!$I:$I,"Monthly*")+SUMIFS('BSE - Other Index Options'!$M:$M,'BSE - Other Index Options'!$C:$C,$A262,'BSE - Other Index Options'!$B:$B,D$147,'BSE - Other Index Options'!$I:$I,"Monthly*"))</f>
        <v/>
      </c>
      <c r="E262" s="26">
        <f>IF(SUMIFS('BSE - SENSEX Index Options'!$M:$M,'BSE - SENSEX Index Options'!$C:$C,$A262,'BSE - SENSEX Index Options'!$B:$B,E$147,'BSE - SENSEX Index Options'!$I:$I,"Monthly*")+SUMIFS('BSE - Other Index Options'!$M:$M,'BSE - Other Index Options'!$C:$C,$A262,'BSE - Other Index Options'!$B:$B,E$147,'BSE - Other Index Options'!$I:$I,"Monthly*")=0,"",SUMIFS('BSE - SENSEX Index Options'!$M:$M,'BSE - SENSEX Index Options'!$C:$C,$A262,'BSE - SENSEX Index Options'!$B:$B,E$147,'BSE - SENSEX Index Options'!$I:$I,"Monthly*")+SUMIFS('BSE - Other Index Options'!$M:$M,'BSE - Other Index Options'!$C:$C,$A262,'BSE - Other Index Options'!$B:$B,E$147,'BSE - Other Index Options'!$I:$I,"Monthly*"))</f>
        <v/>
      </c>
      <c r="F262" s="26">
        <f>IF(SUMIFS('BSE - SENSEX Index Options'!$M:$M,'BSE - SENSEX Index Options'!$C:$C,$A262,'BSE - SENSEX Index Options'!$B:$B,F$147,'BSE - SENSEX Index Options'!$I:$I,"Monthly*")+SUMIFS('BSE - Other Index Options'!$M:$M,'BSE - Other Index Options'!$C:$C,$A262,'BSE - Other Index Options'!$B:$B,F$147,'BSE - Other Index Options'!$I:$I,"Monthly*")=0,"",SUMIFS('BSE - SENSEX Index Options'!$M:$M,'BSE - SENSEX Index Options'!$C:$C,$A262,'BSE - SENSEX Index Options'!$B:$B,F$147,'BSE - SENSEX Index Options'!$I:$I,"Monthly*")+SUMIFS('BSE - Other Index Options'!$M:$M,'BSE - Other Index Options'!$C:$C,$A262,'BSE - Other Index Options'!$B:$B,F$147,'BSE - Other Index Options'!$I:$I,"Monthly*"))</f>
        <v/>
      </c>
      <c r="G262" s="26">
        <f>IF(SUMIFS('BSE - SENSEX Index Options'!$M:$M,'BSE - SENSEX Index Options'!$C:$C,$A262,'BSE - SENSEX Index Options'!$B:$B,G$147,'BSE - SENSEX Index Options'!$I:$I,"Monthly*")+SUMIFS('BSE - Other Index Options'!$M:$M,'BSE - Other Index Options'!$C:$C,$A262,'BSE - Other Index Options'!$B:$B,G$147,'BSE - Other Index Options'!$I:$I,"Monthly*")=0,"",SUMIFS('BSE - SENSEX Index Options'!$M:$M,'BSE - SENSEX Index Options'!$C:$C,$A262,'BSE - SENSEX Index Options'!$B:$B,G$147,'BSE - SENSEX Index Options'!$I:$I,"Monthly*")+SUMIFS('BSE - Other Index Options'!$M:$M,'BSE - Other Index Options'!$C:$C,$A262,'BSE - Other Index Options'!$B:$B,G$147,'BSE - Other Index Options'!$I:$I,"Monthly*"))</f>
        <v/>
      </c>
      <c r="H262" s="26">
        <f>IF(SUM(B262:G262)=0,"",SUM(B262:G262))</f>
        <v/>
      </c>
    </row>
    <row r="263" hidden="1" outlineLevel="1">
      <c r="A263" t="inlineStr">
        <is>
          <t>Week3-Aug-2027</t>
        </is>
      </c>
      <c r="B263" s="26">
        <f>IF(SUMIFS('BSE - SENSEX Index Options'!$M:$M,'BSE - SENSEX Index Options'!$C:$C,$A263,'BSE - SENSEX Index Options'!$B:$B,B$147,'BSE - SENSEX Index Options'!$I:$I,"Monthly*")+SUMIFS('BSE - Other Index Options'!$M:$M,'BSE - Other Index Options'!$C:$C,$A263,'BSE - Other Index Options'!$B:$B,B$147,'BSE - Other Index Options'!$I:$I,"Monthly*")=0,"",SUMIFS('BSE - SENSEX Index Options'!$M:$M,'BSE - SENSEX Index Options'!$C:$C,$A263,'BSE - SENSEX Index Options'!$B:$B,B$147,'BSE - SENSEX Index Options'!$I:$I,"Monthly*")+SUMIFS('BSE - Other Index Options'!$M:$M,'BSE - Other Index Options'!$C:$C,$A263,'BSE - Other Index Options'!$B:$B,B$147,'BSE - Other Index Options'!$I:$I,"Monthly*"))</f>
        <v/>
      </c>
      <c r="C263" s="26">
        <f>IF(SUMIFS('BSE - SENSEX Index Options'!$M:$M,'BSE - SENSEX Index Options'!$C:$C,$A263,'BSE - SENSEX Index Options'!$B:$B,C$147,'BSE - SENSEX Index Options'!$I:$I,"Monthly*")+SUMIFS('BSE - Other Index Options'!$M:$M,'BSE - Other Index Options'!$C:$C,$A263,'BSE - Other Index Options'!$B:$B,C$147,'BSE - Other Index Options'!$I:$I,"Monthly*")=0,"",SUMIFS('BSE - SENSEX Index Options'!$M:$M,'BSE - SENSEX Index Options'!$C:$C,$A263,'BSE - SENSEX Index Options'!$B:$B,C$147,'BSE - SENSEX Index Options'!$I:$I,"Monthly*")+SUMIFS('BSE - Other Index Options'!$M:$M,'BSE - Other Index Options'!$C:$C,$A263,'BSE - Other Index Options'!$B:$B,C$147,'BSE - Other Index Options'!$I:$I,"Monthly*"))</f>
        <v/>
      </c>
      <c r="D263" s="26">
        <f>IF(SUMIFS('BSE - SENSEX Index Options'!$M:$M,'BSE - SENSEX Index Options'!$C:$C,$A263,'BSE - SENSEX Index Options'!$B:$B,D$147,'BSE - SENSEX Index Options'!$I:$I,"Monthly*")+SUMIFS('BSE - Other Index Options'!$M:$M,'BSE - Other Index Options'!$C:$C,$A263,'BSE - Other Index Options'!$B:$B,D$147,'BSE - Other Index Options'!$I:$I,"Monthly*")=0,"",SUMIFS('BSE - SENSEX Index Options'!$M:$M,'BSE - SENSEX Index Options'!$C:$C,$A263,'BSE - SENSEX Index Options'!$B:$B,D$147,'BSE - SENSEX Index Options'!$I:$I,"Monthly*")+SUMIFS('BSE - Other Index Options'!$M:$M,'BSE - Other Index Options'!$C:$C,$A263,'BSE - Other Index Options'!$B:$B,D$147,'BSE - Other Index Options'!$I:$I,"Monthly*"))</f>
        <v/>
      </c>
      <c r="E263" s="26">
        <f>IF(SUMIFS('BSE - SENSEX Index Options'!$M:$M,'BSE - SENSEX Index Options'!$C:$C,$A263,'BSE - SENSEX Index Options'!$B:$B,E$147,'BSE - SENSEX Index Options'!$I:$I,"Monthly*")+SUMIFS('BSE - Other Index Options'!$M:$M,'BSE - Other Index Options'!$C:$C,$A263,'BSE - Other Index Options'!$B:$B,E$147,'BSE - Other Index Options'!$I:$I,"Monthly*")=0,"",SUMIFS('BSE - SENSEX Index Options'!$M:$M,'BSE - SENSEX Index Options'!$C:$C,$A263,'BSE - SENSEX Index Options'!$B:$B,E$147,'BSE - SENSEX Index Options'!$I:$I,"Monthly*")+SUMIFS('BSE - Other Index Options'!$M:$M,'BSE - Other Index Options'!$C:$C,$A263,'BSE - Other Index Options'!$B:$B,E$147,'BSE - Other Index Options'!$I:$I,"Monthly*"))</f>
        <v/>
      </c>
      <c r="F263" s="26">
        <f>IF(SUMIFS('BSE - SENSEX Index Options'!$M:$M,'BSE - SENSEX Index Options'!$C:$C,$A263,'BSE - SENSEX Index Options'!$B:$B,F$147,'BSE - SENSEX Index Options'!$I:$I,"Monthly*")+SUMIFS('BSE - Other Index Options'!$M:$M,'BSE - Other Index Options'!$C:$C,$A263,'BSE - Other Index Options'!$B:$B,F$147,'BSE - Other Index Options'!$I:$I,"Monthly*")=0,"",SUMIFS('BSE - SENSEX Index Options'!$M:$M,'BSE - SENSEX Index Options'!$C:$C,$A263,'BSE - SENSEX Index Options'!$B:$B,F$147,'BSE - SENSEX Index Options'!$I:$I,"Monthly*")+SUMIFS('BSE - Other Index Options'!$M:$M,'BSE - Other Index Options'!$C:$C,$A263,'BSE - Other Index Options'!$B:$B,F$147,'BSE - Other Index Options'!$I:$I,"Monthly*"))</f>
        <v/>
      </c>
      <c r="G263" s="26">
        <f>IF(SUMIFS('BSE - SENSEX Index Options'!$M:$M,'BSE - SENSEX Index Options'!$C:$C,$A263,'BSE - SENSEX Index Options'!$B:$B,G$147,'BSE - SENSEX Index Options'!$I:$I,"Monthly*")+SUMIFS('BSE - Other Index Options'!$M:$M,'BSE - Other Index Options'!$C:$C,$A263,'BSE - Other Index Options'!$B:$B,G$147,'BSE - Other Index Options'!$I:$I,"Monthly*")=0,"",SUMIFS('BSE - SENSEX Index Options'!$M:$M,'BSE - SENSEX Index Options'!$C:$C,$A263,'BSE - SENSEX Index Options'!$B:$B,G$147,'BSE - SENSEX Index Options'!$I:$I,"Monthly*")+SUMIFS('BSE - Other Index Options'!$M:$M,'BSE - Other Index Options'!$C:$C,$A263,'BSE - Other Index Options'!$B:$B,G$147,'BSE - Other Index Options'!$I:$I,"Monthly*"))</f>
        <v/>
      </c>
      <c r="H263" s="26">
        <f>IF(SUM(B263:G263)=0,"",SUM(B263:G263))</f>
        <v/>
      </c>
    </row>
    <row r="264" hidden="1" outlineLevel="1">
      <c r="A264" t="inlineStr">
        <is>
          <t>Week4-Aug-2027</t>
        </is>
      </c>
      <c r="B264" s="26">
        <f>IF(SUMIFS('BSE - SENSEX Index Options'!$M:$M,'BSE - SENSEX Index Options'!$C:$C,$A264,'BSE - SENSEX Index Options'!$B:$B,B$147,'BSE - SENSEX Index Options'!$I:$I,"Monthly*")+SUMIFS('BSE - Other Index Options'!$M:$M,'BSE - Other Index Options'!$C:$C,$A264,'BSE - Other Index Options'!$B:$B,B$147,'BSE - Other Index Options'!$I:$I,"Monthly*")=0,"",SUMIFS('BSE - SENSEX Index Options'!$M:$M,'BSE - SENSEX Index Options'!$C:$C,$A264,'BSE - SENSEX Index Options'!$B:$B,B$147,'BSE - SENSEX Index Options'!$I:$I,"Monthly*")+SUMIFS('BSE - Other Index Options'!$M:$M,'BSE - Other Index Options'!$C:$C,$A264,'BSE - Other Index Options'!$B:$B,B$147,'BSE - Other Index Options'!$I:$I,"Monthly*"))</f>
        <v/>
      </c>
      <c r="C264" s="26">
        <f>IF(SUMIFS('BSE - SENSEX Index Options'!$M:$M,'BSE - SENSEX Index Options'!$C:$C,$A264,'BSE - SENSEX Index Options'!$B:$B,C$147,'BSE - SENSEX Index Options'!$I:$I,"Monthly*")+SUMIFS('BSE - Other Index Options'!$M:$M,'BSE - Other Index Options'!$C:$C,$A264,'BSE - Other Index Options'!$B:$B,C$147,'BSE - Other Index Options'!$I:$I,"Monthly*")=0,"",SUMIFS('BSE - SENSEX Index Options'!$M:$M,'BSE - SENSEX Index Options'!$C:$C,$A264,'BSE - SENSEX Index Options'!$B:$B,C$147,'BSE - SENSEX Index Options'!$I:$I,"Monthly*")+SUMIFS('BSE - Other Index Options'!$M:$M,'BSE - Other Index Options'!$C:$C,$A264,'BSE - Other Index Options'!$B:$B,C$147,'BSE - Other Index Options'!$I:$I,"Monthly*"))</f>
        <v/>
      </c>
      <c r="D264" s="26">
        <f>IF(SUMIFS('BSE - SENSEX Index Options'!$M:$M,'BSE - SENSEX Index Options'!$C:$C,$A264,'BSE - SENSEX Index Options'!$B:$B,D$147,'BSE - SENSEX Index Options'!$I:$I,"Monthly*")+SUMIFS('BSE - Other Index Options'!$M:$M,'BSE - Other Index Options'!$C:$C,$A264,'BSE - Other Index Options'!$B:$B,D$147,'BSE - Other Index Options'!$I:$I,"Monthly*")=0,"",SUMIFS('BSE - SENSEX Index Options'!$M:$M,'BSE - SENSEX Index Options'!$C:$C,$A264,'BSE - SENSEX Index Options'!$B:$B,D$147,'BSE - SENSEX Index Options'!$I:$I,"Monthly*")+SUMIFS('BSE - Other Index Options'!$M:$M,'BSE - Other Index Options'!$C:$C,$A264,'BSE - Other Index Options'!$B:$B,D$147,'BSE - Other Index Options'!$I:$I,"Monthly*"))</f>
        <v/>
      </c>
      <c r="E264" s="26">
        <f>IF(SUMIFS('BSE - SENSEX Index Options'!$M:$M,'BSE - SENSEX Index Options'!$C:$C,$A264,'BSE - SENSEX Index Options'!$B:$B,E$147,'BSE - SENSEX Index Options'!$I:$I,"Monthly*")+SUMIFS('BSE - Other Index Options'!$M:$M,'BSE - Other Index Options'!$C:$C,$A264,'BSE - Other Index Options'!$B:$B,E$147,'BSE - Other Index Options'!$I:$I,"Monthly*")=0,"",SUMIFS('BSE - SENSEX Index Options'!$M:$M,'BSE - SENSEX Index Options'!$C:$C,$A264,'BSE - SENSEX Index Options'!$B:$B,E$147,'BSE - SENSEX Index Options'!$I:$I,"Monthly*")+SUMIFS('BSE - Other Index Options'!$M:$M,'BSE - Other Index Options'!$C:$C,$A264,'BSE - Other Index Options'!$B:$B,E$147,'BSE - Other Index Options'!$I:$I,"Monthly*"))</f>
        <v/>
      </c>
      <c r="F264" s="26">
        <f>IF(SUMIFS('BSE - SENSEX Index Options'!$M:$M,'BSE - SENSEX Index Options'!$C:$C,$A264,'BSE - SENSEX Index Options'!$B:$B,F$147,'BSE - SENSEX Index Options'!$I:$I,"Monthly*")+SUMIFS('BSE - Other Index Options'!$M:$M,'BSE - Other Index Options'!$C:$C,$A264,'BSE - Other Index Options'!$B:$B,F$147,'BSE - Other Index Options'!$I:$I,"Monthly*")=0,"",SUMIFS('BSE - SENSEX Index Options'!$M:$M,'BSE - SENSEX Index Options'!$C:$C,$A264,'BSE - SENSEX Index Options'!$B:$B,F$147,'BSE - SENSEX Index Options'!$I:$I,"Monthly*")+SUMIFS('BSE - Other Index Options'!$M:$M,'BSE - Other Index Options'!$C:$C,$A264,'BSE - Other Index Options'!$B:$B,F$147,'BSE - Other Index Options'!$I:$I,"Monthly*"))</f>
        <v/>
      </c>
      <c r="G264" s="26">
        <f>IF(SUMIFS('BSE - SENSEX Index Options'!$M:$M,'BSE - SENSEX Index Options'!$C:$C,$A264,'BSE - SENSEX Index Options'!$B:$B,G$147,'BSE - SENSEX Index Options'!$I:$I,"Monthly*")+SUMIFS('BSE - Other Index Options'!$M:$M,'BSE - Other Index Options'!$C:$C,$A264,'BSE - Other Index Options'!$B:$B,G$147,'BSE - Other Index Options'!$I:$I,"Monthly*")=0,"",SUMIFS('BSE - SENSEX Index Options'!$M:$M,'BSE - SENSEX Index Options'!$C:$C,$A264,'BSE - SENSEX Index Options'!$B:$B,G$147,'BSE - SENSEX Index Options'!$I:$I,"Monthly*")+SUMIFS('BSE - Other Index Options'!$M:$M,'BSE - Other Index Options'!$C:$C,$A264,'BSE - Other Index Options'!$B:$B,G$147,'BSE - Other Index Options'!$I:$I,"Monthly*"))</f>
        <v/>
      </c>
      <c r="H264" s="26">
        <f>IF(SUM(B264:G264)=0,"",SUM(B264:G264))</f>
        <v/>
      </c>
    </row>
    <row r="265" hidden="1" outlineLevel="1">
      <c r="A265" t="inlineStr">
        <is>
          <t>Week5-Aug-2027</t>
        </is>
      </c>
      <c r="B265" s="26">
        <f>IF(SUMIFS('BSE - SENSEX Index Options'!$M:$M,'BSE - SENSEX Index Options'!$C:$C,$A265,'BSE - SENSEX Index Options'!$B:$B,B$147,'BSE - SENSEX Index Options'!$I:$I,"Monthly*")+SUMIFS('BSE - Other Index Options'!$M:$M,'BSE - Other Index Options'!$C:$C,$A265,'BSE - Other Index Options'!$B:$B,B$147,'BSE - Other Index Options'!$I:$I,"Monthly*")=0,"",SUMIFS('BSE - SENSEX Index Options'!$M:$M,'BSE - SENSEX Index Options'!$C:$C,$A265,'BSE - SENSEX Index Options'!$B:$B,B$147,'BSE - SENSEX Index Options'!$I:$I,"Monthly*")+SUMIFS('BSE - Other Index Options'!$M:$M,'BSE - Other Index Options'!$C:$C,$A265,'BSE - Other Index Options'!$B:$B,B$147,'BSE - Other Index Options'!$I:$I,"Monthly*"))</f>
        <v/>
      </c>
      <c r="C265" s="26">
        <f>IF(SUMIFS('BSE - SENSEX Index Options'!$M:$M,'BSE - SENSEX Index Options'!$C:$C,$A265,'BSE - SENSEX Index Options'!$B:$B,C$147,'BSE - SENSEX Index Options'!$I:$I,"Monthly*")+SUMIFS('BSE - Other Index Options'!$M:$M,'BSE - Other Index Options'!$C:$C,$A265,'BSE - Other Index Options'!$B:$B,C$147,'BSE - Other Index Options'!$I:$I,"Monthly*")=0,"",SUMIFS('BSE - SENSEX Index Options'!$M:$M,'BSE - SENSEX Index Options'!$C:$C,$A265,'BSE - SENSEX Index Options'!$B:$B,C$147,'BSE - SENSEX Index Options'!$I:$I,"Monthly*")+SUMIFS('BSE - Other Index Options'!$M:$M,'BSE - Other Index Options'!$C:$C,$A265,'BSE - Other Index Options'!$B:$B,C$147,'BSE - Other Index Options'!$I:$I,"Monthly*"))</f>
        <v/>
      </c>
      <c r="D265" s="26">
        <f>IF(SUMIFS('BSE - SENSEX Index Options'!$M:$M,'BSE - SENSEX Index Options'!$C:$C,$A265,'BSE - SENSEX Index Options'!$B:$B,D$147,'BSE - SENSEX Index Options'!$I:$I,"Monthly*")+SUMIFS('BSE - Other Index Options'!$M:$M,'BSE - Other Index Options'!$C:$C,$A265,'BSE - Other Index Options'!$B:$B,D$147,'BSE - Other Index Options'!$I:$I,"Monthly*")=0,"",SUMIFS('BSE - SENSEX Index Options'!$M:$M,'BSE - SENSEX Index Options'!$C:$C,$A265,'BSE - SENSEX Index Options'!$B:$B,D$147,'BSE - SENSEX Index Options'!$I:$I,"Monthly*")+SUMIFS('BSE - Other Index Options'!$M:$M,'BSE - Other Index Options'!$C:$C,$A265,'BSE - Other Index Options'!$B:$B,D$147,'BSE - Other Index Options'!$I:$I,"Monthly*"))</f>
        <v/>
      </c>
      <c r="E265" s="26">
        <f>IF(SUMIFS('BSE - SENSEX Index Options'!$M:$M,'BSE - SENSEX Index Options'!$C:$C,$A265,'BSE - SENSEX Index Options'!$B:$B,E$147,'BSE - SENSEX Index Options'!$I:$I,"Monthly*")+SUMIFS('BSE - Other Index Options'!$M:$M,'BSE - Other Index Options'!$C:$C,$A265,'BSE - Other Index Options'!$B:$B,E$147,'BSE - Other Index Options'!$I:$I,"Monthly*")=0,"",SUMIFS('BSE - SENSEX Index Options'!$M:$M,'BSE - SENSEX Index Options'!$C:$C,$A265,'BSE - SENSEX Index Options'!$B:$B,E$147,'BSE - SENSEX Index Options'!$I:$I,"Monthly*")+SUMIFS('BSE - Other Index Options'!$M:$M,'BSE - Other Index Options'!$C:$C,$A265,'BSE - Other Index Options'!$B:$B,E$147,'BSE - Other Index Options'!$I:$I,"Monthly*"))</f>
        <v/>
      </c>
      <c r="F265" s="26">
        <f>IF(SUMIFS('BSE - SENSEX Index Options'!$M:$M,'BSE - SENSEX Index Options'!$C:$C,$A265,'BSE - SENSEX Index Options'!$B:$B,F$147,'BSE - SENSEX Index Options'!$I:$I,"Monthly*")+SUMIFS('BSE - Other Index Options'!$M:$M,'BSE - Other Index Options'!$C:$C,$A265,'BSE - Other Index Options'!$B:$B,F$147,'BSE - Other Index Options'!$I:$I,"Monthly*")=0,"",SUMIFS('BSE - SENSEX Index Options'!$M:$M,'BSE - SENSEX Index Options'!$C:$C,$A265,'BSE - SENSEX Index Options'!$B:$B,F$147,'BSE - SENSEX Index Options'!$I:$I,"Monthly*")+SUMIFS('BSE - Other Index Options'!$M:$M,'BSE - Other Index Options'!$C:$C,$A265,'BSE - Other Index Options'!$B:$B,F$147,'BSE - Other Index Options'!$I:$I,"Monthly*"))</f>
        <v/>
      </c>
      <c r="G265" s="26">
        <f>IF(SUMIFS('BSE - SENSEX Index Options'!$M:$M,'BSE - SENSEX Index Options'!$C:$C,$A265,'BSE - SENSEX Index Options'!$B:$B,G$147,'BSE - SENSEX Index Options'!$I:$I,"Monthly*")+SUMIFS('BSE - Other Index Options'!$M:$M,'BSE - Other Index Options'!$C:$C,$A265,'BSE - Other Index Options'!$B:$B,G$147,'BSE - Other Index Options'!$I:$I,"Monthly*")=0,"",SUMIFS('BSE - SENSEX Index Options'!$M:$M,'BSE - SENSEX Index Options'!$C:$C,$A265,'BSE - SENSEX Index Options'!$B:$B,G$147,'BSE - SENSEX Index Options'!$I:$I,"Monthly*")+SUMIFS('BSE - Other Index Options'!$M:$M,'BSE - Other Index Options'!$C:$C,$A265,'BSE - Other Index Options'!$B:$B,G$147,'BSE - Other Index Options'!$I:$I,"Monthly*"))</f>
        <v/>
      </c>
      <c r="H265" s="26">
        <f>IF(SUM(B265:G265)=0,"",SUM(B265:G265))</f>
        <v/>
      </c>
    </row>
    <row r="266" hidden="1" outlineLevel="1">
      <c r="A266" t="inlineStr">
        <is>
          <t>Week1-Sep-2027</t>
        </is>
      </c>
      <c r="B266" s="26">
        <f>IF(SUMIFS('BSE - SENSEX Index Options'!$M:$M,'BSE - SENSEX Index Options'!$C:$C,$A266,'BSE - SENSEX Index Options'!$B:$B,B$147,'BSE - SENSEX Index Options'!$I:$I,"Monthly*")+SUMIFS('BSE - Other Index Options'!$M:$M,'BSE - Other Index Options'!$C:$C,$A266,'BSE - Other Index Options'!$B:$B,B$147,'BSE - Other Index Options'!$I:$I,"Monthly*")=0,"",SUMIFS('BSE - SENSEX Index Options'!$M:$M,'BSE - SENSEX Index Options'!$C:$C,$A266,'BSE - SENSEX Index Options'!$B:$B,B$147,'BSE - SENSEX Index Options'!$I:$I,"Monthly*")+SUMIFS('BSE - Other Index Options'!$M:$M,'BSE - Other Index Options'!$C:$C,$A266,'BSE - Other Index Options'!$B:$B,B$147,'BSE - Other Index Options'!$I:$I,"Monthly*"))</f>
        <v/>
      </c>
      <c r="C266" s="26">
        <f>IF(SUMIFS('BSE - SENSEX Index Options'!$M:$M,'BSE - SENSEX Index Options'!$C:$C,$A266,'BSE - SENSEX Index Options'!$B:$B,C$147,'BSE - SENSEX Index Options'!$I:$I,"Monthly*")+SUMIFS('BSE - Other Index Options'!$M:$M,'BSE - Other Index Options'!$C:$C,$A266,'BSE - Other Index Options'!$B:$B,C$147,'BSE - Other Index Options'!$I:$I,"Monthly*")=0,"",SUMIFS('BSE - SENSEX Index Options'!$M:$M,'BSE - SENSEX Index Options'!$C:$C,$A266,'BSE - SENSEX Index Options'!$B:$B,C$147,'BSE - SENSEX Index Options'!$I:$I,"Monthly*")+SUMIFS('BSE - Other Index Options'!$M:$M,'BSE - Other Index Options'!$C:$C,$A266,'BSE - Other Index Options'!$B:$B,C$147,'BSE - Other Index Options'!$I:$I,"Monthly*"))</f>
        <v/>
      </c>
      <c r="D266" s="26">
        <f>IF(SUMIFS('BSE - SENSEX Index Options'!$M:$M,'BSE - SENSEX Index Options'!$C:$C,$A266,'BSE - SENSEX Index Options'!$B:$B,D$147,'BSE - SENSEX Index Options'!$I:$I,"Monthly*")+SUMIFS('BSE - Other Index Options'!$M:$M,'BSE - Other Index Options'!$C:$C,$A266,'BSE - Other Index Options'!$B:$B,D$147,'BSE - Other Index Options'!$I:$I,"Monthly*")=0,"",SUMIFS('BSE - SENSEX Index Options'!$M:$M,'BSE - SENSEX Index Options'!$C:$C,$A266,'BSE - SENSEX Index Options'!$B:$B,D$147,'BSE - SENSEX Index Options'!$I:$I,"Monthly*")+SUMIFS('BSE - Other Index Options'!$M:$M,'BSE - Other Index Options'!$C:$C,$A266,'BSE - Other Index Options'!$B:$B,D$147,'BSE - Other Index Options'!$I:$I,"Monthly*"))</f>
        <v/>
      </c>
      <c r="E266" s="26">
        <f>IF(SUMIFS('BSE - SENSEX Index Options'!$M:$M,'BSE - SENSEX Index Options'!$C:$C,$A266,'BSE - SENSEX Index Options'!$B:$B,E$147,'BSE - SENSEX Index Options'!$I:$I,"Monthly*")+SUMIFS('BSE - Other Index Options'!$M:$M,'BSE - Other Index Options'!$C:$C,$A266,'BSE - Other Index Options'!$B:$B,E$147,'BSE - Other Index Options'!$I:$I,"Monthly*")=0,"",SUMIFS('BSE - SENSEX Index Options'!$M:$M,'BSE - SENSEX Index Options'!$C:$C,$A266,'BSE - SENSEX Index Options'!$B:$B,E$147,'BSE - SENSEX Index Options'!$I:$I,"Monthly*")+SUMIFS('BSE - Other Index Options'!$M:$M,'BSE - Other Index Options'!$C:$C,$A266,'BSE - Other Index Options'!$B:$B,E$147,'BSE - Other Index Options'!$I:$I,"Monthly*"))</f>
        <v/>
      </c>
      <c r="F266" s="26">
        <f>IF(SUMIFS('BSE - SENSEX Index Options'!$M:$M,'BSE - SENSEX Index Options'!$C:$C,$A266,'BSE - SENSEX Index Options'!$B:$B,F$147,'BSE - SENSEX Index Options'!$I:$I,"Monthly*")+SUMIFS('BSE - Other Index Options'!$M:$M,'BSE - Other Index Options'!$C:$C,$A266,'BSE - Other Index Options'!$B:$B,F$147,'BSE - Other Index Options'!$I:$I,"Monthly*")=0,"",SUMIFS('BSE - SENSEX Index Options'!$M:$M,'BSE - SENSEX Index Options'!$C:$C,$A266,'BSE - SENSEX Index Options'!$B:$B,F$147,'BSE - SENSEX Index Options'!$I:$I,"Monthly*")+SUMIFS('BSE - Other Index Options'!$M:$M,'BSE - Other Index Options'!$C:$C,$A266,'BSE - Other Index Options'!$B:$B,F$147,'BSE - Other Index Options'!$I:$I,"Monthly*"))</f>
        <v/>
      </c>
      <c r="G266" s="26">
        <f>IF(SUMIFS('BSE - SENSEX Index Options'!$M:$M,'BSE - SENSEX Index Options'!$C:$C,$A266,'BSE - SENSEX Index Options'!$B:$B,G$147,'BSE - SENSEX Index Options'!$I:$I,"Monthly*")+SUMIFS('BSE - Other Index Options'!$M:$M,'BSE - Other Index Options'!$C:$C,$A266,'BSE - Other Index Options'!$B:$B,G$147,'BSE - Other Index Options'!$I:$I,"Monthly*")=0,"",SUMIFS('BSE - SENSEX Index Options'!$M:$M,'BSE - SENSEX Index Options'!$C:$C,$A266,'BSE - SENSEX Index Options'!$B:$B,G$147,'BSE - SENSEX Index Options'!$I:$I,"Monthly*")+SUMIFS('BSE - Other Index Options'!$M:$M,'BSE - Other Index Options'!$C:$C,$A266,'BSE - Other Index Options'!$B:$B,G$147,'BSE - Other Index Options'!$I:$I,"Monthly*"))</f>
        <v/>
      </c>
      <c r="H266" s="26">
        <f>IF(SUM(B266:G266)=0,"",SUM(B266:G266))</f>
        <v/>
      </c>
    </row>
    <row r="267" hidden="1" outlineLevel="1">
      <c r="A267" t="inlineStr">
        <is>
          <t>Week2-Sep-2027</t>
        </is>
      </c>
      <c r="B267" s="26">
        <f>IF(SUMIFS('BSE - SENSEX Index Options'!$M:$M,'BSE - SENSEX Index Options'!$C:$C,$A267,'BSE - SENSEX Index Options'!$B:$B,B$147,'BSE - SENSEX Index Options'!$I:$I,"Monthly*")+SUMIFS('BSE - Other Index Options'!$M:$M,'BSE - Other Index Options'!$C:$C,$A267,'BSE - Other Index Options'!$B:$B,B$147,'BSE - Other Index Options'!$I:$I,"Monthly*")=0,"",SUMIFS('BSE - SENSEX Index Options'!$M:$M,'BSE - SENSEX Index Options'!$C:$C,$A267,'BSE - SENSEX Index Options'!$B:$B,B$147,'BSE - SENSEX Index Options'!$I:$I,"Monthly*")+SUMIFS('BSE - Other Index Options'!$M:$M,'BSE - Other Index Options'!$C:$C,$A267,'BSE - Other Index Options'!$B:$B,B$147,'BSE - Other Index Options'!$I:$I,"Monthly*"))</f>
        <v/>
      </c>
      <c r="C267" s="26">
        <f>IF(SUMIFS('BSE - SENSEX Index Options'!$M:$M,'BSE - SENSEX Index Options'!$C:$C,$A267,'BSE - SENSEX Index Options'!$B:$B,C$147,'BSE - SENSEX Index Options'!$I:$I,"Monthly*")+SUMIFS('BSE - Other Index Options'!$M:$M,'BSE - Other Index Options'!$C:$C,$A267,'BSE - Other Index Options'!$B:$B,C$147,'BSE - Other Index Options'!$I:$I,"Monthly*")=0,"",SUMIFS('BSE - SENSEX Index Options'!$M:$M,'BSE - SENSEX Index Options'!$C:$C,$A267,'BSE - SENSEX Index Options'!$B:$B,C$147,'BSE - SENSEX Index Options'!$I:$I,"Monthly*")+SUMIFS('BSE - Other Index Options'!$M:$M,'BSE - Other Index Options'!$C:$C,$A267,'BSE - Other Index Options'!$B:$B,C$147,'BSE - Other Index Options'!$I:$I,"Monthly*"))</f>
        <v/>
      </c>
      <c r="D267" s="26">
        <f>IF(SUMIFS('BSE - SENSEX Index Options'!$M:$M,'BSE - SENSEX Index Options'!$C:$C,$A267,'BSE - SENSEX Index Options'!$B:$B,D$147,'BSE - SENSEX Index Options'!$I:$I,"Monthly*")+SUMIFS('BSE - Other Index Options'!$M:$M,'BSE - Other Index Options'!$C:$C,$A267,'BSE - Other Index Options'!$B:$B,D$147,'BSE - Other Index Options'!$I:$I,"Monthly*")=0,"",SUMIFS('BSE - SENSEX Index Options'!$M:$M,'BSE - SENSEX Index Options'!$C:$C,$A267,'BSE - SENSEX Index Options'!$B:$B,D$147,'BSE - SENSEX Index Options'!$I:$I,"Monthly*")+SUMIFS('BSE - Other Index Options'!$M:$M,'BSE - Other Index Options'!$C:$C,$A267,'BSE - Other Index Options'!$B:$B,D$147,'BSE - Other Index Options'!$I:$I,"Monthly*"))</f>
        <v/>
      </c>
      <c r="E267" s="26">
        <f>IF(SUMIFS('BSE - SENSEX Index Options'!$M:$M,'BSE - SENSEX Index Options'!$C:$C,$A267,'BSE - SENSEX Index Options'!$B:$B,E$147,'BSE - SENSEX Index Options'!$I:$I,"Monthly*")+SUMIFS('BSE - Other Index Options'!$M:$M,'BSE - Other Index Options'!$C:$C,$A267,'BSE - Other Index Options'!$B:$B,E$147,'BSE - Other Index Options'!$I:$I,"Monthly*")=0,"",SUMIFS('BSE - SENSEX Index Options'!$M:$M,'BSE - SENSEX Index Options'!$C:$C,$A267,'BSE - SENSEX Index Options'!$B:$B,E$147,'BSE - SENSEX Index Options'!$I:$I,"Monthly*")+SUMIFS('BSE - Other Index Options'!$M:$M,'BSE - Other Index Options'!$C:$C,$A267,'BSE - Other Index Options'!$B:$B,E$147,'BSE - Other Index Options'!$I:$I,"Monthly*"))</f>
        <v/>
      </c>
      <c r="F267" s="26">
        <f>IF(SUMIFS('BSE - SENSEX Index Options'!$M:$M,'BSE - SENSEX Index Options'!$C:$C,$A267,'BSE - SENSEX Index Options'!$B:$B,F$147,'BSE - SENSEX Index Options'!$I:$I,"Monthly*")+SUMIFS('BSE - Other Index Options'!$M:$M,'BSE - Other Index Options'!$C:$C,$A267,'BSE - Other Index Options'!$B:$B,F$147,'BSE - Other Index Options'!$I:$I,"Monthly*")=0,"",SUMIFS('BSE - SENSEX Index Options'!$M:$M,'BSE - SENSEX Index Options'!$C:$C,$A267,'BSE - SENSEX Index Options'!$B:$B,F$147,'BSE - SENSEX Index Options'!$I:$I,"Monthly*")+SUMIFS('BSE - Other Index Options'!$M:$M,'BSE - Other Index Options'!$C:$C,$A267,'BSE - Other Index Options'!$B:$B,F$147,'BSE - Other Index Options'!$I:$I,"Monthly*"))</f>
        <v/>
      </c>
      <c r="G267" s="26">
        <f>IF(SUMIFS('BSE - SENSEX Index Options'!$M:$M,'BSE - SENSEX Index Options'!$C:$C,$A267,'BSE - SENSEX Index Options'!$B:$B,G$147,'BSE - SENSEX Index Options'!$I:$I,"Monthly*")+SUMIFS('BSE - Other Index Options'!$M:$M,'BSE - Other Index Options'!$C:$C,$A267,'BSE - Other Index Options'!$B:$B,G$147,'BSE - Other Index Options'!$I:$I,"Monthly*")=0,"",SUMIFS('BSE - SENSEX Index Options'!$M:$M,'BSE - SENSEX Index Options'!$C:$C,$A267,'BSE - SENSEX Index Options'!$B:$B,G$147,'BSE - SENSEX Index Options'!$I:$I,"Monthly*")+SUMIFS('BSE - Other Index Options'!$M:$M,'BSE - Other Index Options'!$C:$C,$A267,'BSE - Other Index Options'!$B:$B,G$147,'BSE - Other Index Options'!$I:$I,"Monthly*"))</f>
        <v/>
      </c>
      <c r="H267" s="26">
        <f>IF(SUM(B267:G267)=0,"",SUM(B267:G267))</f>
        <v/>
      </c>
    </row>
    <row r="268" hidden="1" outlineLevel="1">
      <c r="A268" t="inlineStr">
        <is>
          <t>Week3-Sep-2027</t>
        </is>
      </c>
      <c r="B268" s="26">
        <f>IF(SUMIFS('BSE - SENSEX Index Options'!$M:$M,'BSE - SENSEX Index Options'!$C:$C,$A268,'BSE - SENSEX Index Options'!$B:$B,B$147,'BSE - SENSEX Index Options'!$I:$I,"Monthly*")+SUMIFS('BSE - Other Index Options'!$M:$M,'BSE - Other Index Options'!$C:$C,$A268,'BSE - Other Index Options'!$B:$B,B$147,'BSE - Other Index Options'!$I:$I,"Monthly*")=0,"",SUMIFS('BSE - SENSEX Index Options'!$M:$M,'BSE - SENSEX Index Options'!$C:$C,$A268,'BSE - SENSEX Index Options'!$B:$B,B$147,'BSE - SENSEX Index Options'!$I:$I,"Monthly*")+SUMIFS('BSE - Other Index Options'!$M:$M,'BSE - Other Index Options'!$C:$C,$A268,'BSE - Other Index Options'!$B:$B,B$147,'BSE - Other Index Options'!$I:$I,"Monthly*"))</f>
        <v/>
      </c>
      <c r="C268" s="26">
        <f>IF(SUMIFS('BSE - SENSEX Index Options'!$M:$M,'BSE - SENSEX Index Options'!$C:$C,$A268,'BSE - SENSEX Index Options'!$B:$B,C$147,'BSE - SENSEX Index Options'!$I:$I,"Monthly*")+SUMIFS('BSE - Other Index Options'!$M:$M,'BSE - Other Index Options'!$C:$C,$A268,'BSE - Other Index Options'!$B:$B,C$147,'BSE - Other Index Options'!$I:$I,"Monthly*")=0,"",SUMIFS('BSE - SENSEX Index Options'!$M:$M,'BSE - SENSEX Index Options'!$C:$C,$A268,'BSE - SENSEX Index Options'!$B:$B,C$147,'BSE - SENSEX Index Options'!$I:$I,"Monthly*")+SUMIFS('BSE - Other Index Options'!$M:$M,'BSE - Other Index Options'!$C:$C,$A268,'BSE - Other Index Options'!$B:$B,C$147,'BSE - Other Index Options'!$I:$I,"Monthly*"))</f>
        <v/>
      </c>
      <c r="D268" s="26">
        <f>IF(SUMIFS('BSE - SENSEX Index Options'!$M:$M,'BSE - SENSEX Index Options'!$C:$C,$A268,'BSE - SENSEX Index Options'!$B:$B,D$147,'BSE - SENSEX Index Options'!$I:$I,"Monthly*")+SUMIFS('BSE - Other Index Options'!$M:$M,'BSE - Other Index Options'!$C:$C,$A268,'BSE - Other Index Options'!$B:$B,D$147,'BSE - Other Index Options'!$I:$I,"Monthly*")=0,"",SUMIFS('BSE - SENSEX Index Options'!$M:$M,'BSE - SENSEX Index Options'!$C:$C,$A268,'BSE - SENSEX Index Options'!$B:$B,D$147,'BSE - SENSEX Index Options'!$I:$I,"Monthly*")+SUMIFS('BSE - Other Index Options'!$M:$M,'BSE - Other Index Options'!$C:$C,$A268,'BSE - Other Index Options'!$B:$B,D$147,'BSE - Other Index Options'!$I:$I,"Monthly*"))</f>
        <v/>
      </c>
      <c r="E268" s="26">
        <f>IF(SUMIFS('BSE - SENSEX Index Options'!$M:$M,'BSE - SENSEX Index Options'!$C:$C,$A268,'BSE - SENSEX Index Options'!$B:$B,E$147,'BSE - SENSEX Index Options'!$I:$I,"Monthly*")+SUMIFS('BSE - Other Index Options'!$M:$M,'BSE - Other Index Options'!$C:$C,$A268,'BSE - Other Index Options'!$B:$B,E$147,'BSE - Other Index Options'!$I:$I,"Monthly*")=0,"",SUMIFS('BSE - SENSEX Index Options'!$M:$M,'BSE - SENSEX Index Options'!$C:$C,$A268,'BSE - SENSEX Index Options'!$B:$B,E$147,'BSE - SENSEX Index Options'!$I:$I,"Monthly*")+SUMIFS('BSE - Other Index Options'!$M:$M,'BSE - Other Index Options'!$C:$C,$A268,'BSE - Other Index Options'!$B:$B,E$147,'BSE - Other Index Options'!$I:$I,"Monthly*"))</f>
        <v/>
      </c>
      <c r="F268" s="26">
        <f>IF(SUMIFS('BSE - SENSEX Index Options'!$M:$M,'BSE - SENSEX Index Options'!$C:$C,$A268,'BSE - SENSEX Index Options'!$B:$B,F$147,'BSE - SENSEX Index Options'!$I:$I,"Monthly*")+SUMIFS('BSE - Other Index Options'!$M:$M,'BSE - Other Index Options'!$C:$C,$A268,'BSE - Other Index Options'!$B:$B,F$147,'BSE - Other Index Options'!$I:$I,"Monthly*")=0,"",SUMIFS('BSE - SENSEX Index Options'!$M:$M,'BSE - SENSEX Index Options'!$C:$C,$A268,'BSE - SENSEX Index Options'!$B:$B,F$147,'BSE - SENSEX Index Options'!$I:$I,"Monthly*")+SUMIFS('BSE - Other Index Options'!$M:$M,'BSE - Other Index Options'!$C:$C,$A268,'BSE - Other Index Options'!$B:$B,F$147,'BSE - Other Index Options'!$I:$I,"Monthly*"))</f>
        <v/>
      </c>
      <c r="G268" s="26">
        <f>IF(SUMIFS('BSE - SENSEX Index Options'!$M:$M,'BSE - SENSEX Index Options'!$C:$C,$A268,'BSE - SENSEX Index Options'!$B:$B,G$147,'BSE - SENSEX Index Options'!$I:$I,"Monthly*")+SUMIFS('BSE - Other Index Options'!$M:$M,'BSE - Other Index Options'!$C:$C,$A268,'BSE - Other Index Options'!$B:$B,G$147,'BSE - Other Index Options'!$I:$I,"Monthly*")=0,"",SUMIFS('BSE - SENSEX Index Options'!$M:$M,'BSE - SENSEX Index Options'!$C:$C,$A268,'BSE - SENSEX Index Options'!$B:$B,G$147,'BSE - SENSEX Index Options'!$I:$I,"Monthly*")+SUMIFS('BSE - Other Index Options'!$M:$M,'BSE - Other Index Options'!$C:$C,$A268,'BSE - Other Index Options'!$B:$B,G$147,'BSE - Other Index Options'!$I:$I,"Monthly*"))</f>
        <v/>
      </c>
      <c r="H268" s="26">
        <f>IF(SUM(B268:G268)=0,"",SUM(B268:G268))</f>
        <v/>
      </c>
    </row>
    <row r="269" hidden="1" outlineLevel="1">
      <c r="A269" t="inlineStr">
        <is>
          <t>Week4-Sep-2027</t>
        </is>
      </c>
      <c r="B269" s="26">
        <f>IF(SUMIFS('BSE - SENSEX Index Options'!$M:$M,'BSE - SENSEX Index Options'!$C:$C,$A269,'BSE - SENSEX Index Options'!$B:$B,B$147,'BSE - SENSEX Index Options'!$I:$I,"Monthly*")+SUMIFS('BSE - Other Index Options'!$M:$M,'BSE - Other Index Options'!$C:$C,$A269,'BSE - Other Index Options'!$B:$B,B$147,'BSE - Other Index Options'!$I:$I,"Monthly*")=0,"",SUMIFS('BSE - SENSEX Index Options'!$M:$M,'BSE - SENSEX Index Options'!$C:$C,$A269,'BSE - SENSEX Index Options'!$B:$B,B$147,'BSE - SENSEX Index Options'!$I:$I,"Monthly*")+SUMIFS('BSE - Other Index Options'!$M:$M,'BSE - Other Index Options'!$C:$C,$A269,'BSE - Other Index Options'!$B:$B,B$147,'BSE - Other Index Options'!$I:$I,"Monthly*"))</f>
        <v/>
      </c>
      <c r="C269" s="26">
        <f>IF(SUMIFS('BSE - SENSEX Index Options'!$M:$M,'BSE - SENSEX Index Options'!$C:$C,$A269,'BSE - SENSEX Index Options'!$B:$B,C$147,'BSE - SENSEX Index Options'!$I:$I,"Monthly*")+SUMIFS('BSE - Other Index Options'!$M:$M,'BSE - Other Index Options'!$C:$C,$A269,'BSE - Other Index Options'!$B:$B,C$147,'BSE - Other Index Options'!$I:$I,"Monthly*")=0,"",SUMIFS('BSE - SENSEX Index Options'!$M:$M,'BSE - SENSEX Index Options'!$C:$C,$A269,'BSE - SENSEX Index Options'!$B:$B,C$147,'BSE - SENSEX Index Options'!$I:$I,"Monthly*")+SUMIFS('BSE - Other Index Options'!$M:$M,'BSE - Other Index Options'!$C:$C,$A269,'BSE - Other Index Options'!$B:$B,C$147,'BSE - Other Index Options'!$I:$I,"Monthly*"))</f>
        <v/>
      </c>
      <c r="D269" s="26">
        <f>IF(SUMIFS('BSE - SENSEX Index Options'!$M:$M,'BSE - SENSEX Index Options'!$C:$C,$A269,'BSE - SENSEX Index Options'!$B:$B,D$147,'BSE - SENSEX Index Options'!$I:$I,"Monthly*")+SUMIFS('BSE - Other Index Options'!$M:$M,'BSE - Other Index Options'!$C:$C,$A269,'BSE - Other Index Options'!$B:$B,D$147,'BSE - Other Index Options'!$I:$I,"Monthly*")=0,"",SUMIFS('BSE - SENSEX Index Options'!$M:$M,'BSE - SENSEX Index Options'!$C:$C,$A269,'BSE - SENSEX Index Options'!$B:$B,D$147,'BSE - SENSEX Index Options'!$I:$I,"Monthly*")+SUMIFS('BSE - Other Index Options'!$M:$M,'BSE - Other Index Options'!$C:$C,$A269,'BSE - Other Index Options'!$B:$B,D$147,'BSE - Other Index Options'!$I:$I,"Monthly*"))</f>
        <v/>
      </c>
      <c r="E269" s="26">
        <f>IF(SUMIFS('BSE - SENSEX Index Options'!$M:$M,'BSE - SENSEX Index Options'!$C:$C,$A269,'BSE - SENSEX Index Options'!$B:$B,E$147,'BSE - SENSEX Index Options'!$I:$I,"Monthly*")+SUMIFS('BSE - Other Index Options'!$M:$M,'BSE - Other Index Options'!$C:$C,$A269,'BSE - Other Index Options'!$B:$B,E$147,'BSE - Other Index Options'!$I:$I,"Monthly*")=0,"",SUMIFS('BSE - SENSEX Index Options'!$M:$M,'BSE - SENSEX Index Options'!$C:$C,$A269,'BSE - SENSEX Index Options'!$B:$B,E$147,'BSE - SENSEX Index Options'!$I:$I,"Monthly*")+SUMIFS('BSE - Other Index Options'!$M:$M,'BSE - Other Index Options'!$C:$C,$A269,'BSE - Other Index Options'!$B:$B,E$147,'BSE - Other Index Options'!$I:$I,"Monthly*"))</f>
        <v/>
      </c>
      <c r="F269" s="26">
        <f>IF(SUMIFS('BSE - SENSEX Index Options'!$M:$M,'BSE - SENSEX Index Options'!$C:$C,$A269,'BSE - SENSEX Index Options'!$B:$B,F$147,'BSE - SENSEX Index Options'!$I:$I,"Monthly*")+SUMIFS('BSE - Other Index Options'!$M:$M,'BSE - Other Index Options'!$C:$C,$A269,'BSE - Other Index Options'!$B:$B,F$147,'BSE - Other Index Options'!$I:$I,"Monthly*")=0,"",SUMIFS('BSE - SENSEX Index Options'!$M:$M,'BSE - SENSEX Index Options'!$C:$C,$A269,'BSE - SENSEX Index Options'!$B:$B,F$147,'BSE - SENSEX Index Options'!$I:$I,"Monthly*")+SUMIFS('BSE - Other Index Options'!$M:$M,'BSE - Other Index Options'!$C:$C,$A269,'BSE - Other Index Options'!$B:$B,F$147,'BSE - Other Index Options'!$I:$I,"Monthly*"))</f>
        <v/>
      </c>
      <c r="G269" s="26">
        <f>IF(SUMIFS('BSE - SENSEX Index Options'!$M:$M,'BSE - SENSEX Index Options'!$C:$C,$A269,'BSE - SENSEX Index Options'!$B:$B,G$147,'BSE - SENSEX Index Options'!$I:$I,"Monthly*")+SUMIFS('BSE - Other Index Options'!$M:$M,'BSE - Other Index Options'!$C:$C,$A269,'BSE - Other Index Options'!$B:$B,G$147,'BSE - Other Index Options'!$I:$I,"Monthly*")=0,"",SUMIFS('BSE - SENSEX Index Options'!$M:$M,'BSE - SENSEX Index Options'!$C:$C,$A269,'BSE - SENSEX Index Options'!$B:$B,G$147,'BSE - SENSEX Index Options'!$I:$I,"Monthly*")+SUMIFS('BSE - Other Index Options'!$M:$M,'BSE - Other Index Options'!$C:$C,$A269,'BSE - Other Index Options'!$B:$B,G$147,'BSE - Other Index Options'!$I:$I,"Monthly*"))</f>
        <v/>
      </c>
      <c r="H269" s="26">
        <f>IF(SUM(B269:G269)=0,"",SUM(B269:G269))</f>
        <v/>
      </c>
    </row>
    <row r="270" hidden="1" outlineLevel="1">
      <c r="A270" t="inlineStr">
        <is>
          <t>Week5-Sep-2027</t>
        </is>
      </c>
      <c r="B270" s="26">
        <f>IF(SUMIFS('BSE - SENSEX Index Options'!$M:$M,'BSE - SENSEX Index Options'!$C:$C,$A270,'BSE - SENSEX Index Options'!$B:$B,B$147,'BSE - SENSEX Index Options'!$I:$I,"Monthly*")+SUMIFS('BSE - Other Index Options'!$M:$M,'BSE - Other Index Options'!$C:$C,$A270,'BSE - Other Index Options'!$B:$B,B$147,'BSE - Other Index Options'!$I:$I,"Monthly*")=0,"",SUMIFS('BSE - SENSEX Index Options'!$M:$M,'BSE - SENSEX Index Options'!$C:$C,$A270,'BSE - SENSEX Index Options'!$B:$B,B$147,'BSE - SENSEX Index Options'!$I:$I,"Monthly*")+SUMIFS('BSE - Other Index Options'!$M:$M,'BSE - Other Index Options'!$C:$C,$A270,'BSE - Other Index Options'!$B:$B,B$147,'BSE - Other Index Options'!$I:$I,"Monthly*"))</f>
        <v/>
      </c>
      <c r="C270" s="26">
        <f>IF(SUMIFS('BSE - SENSEX Index Options'!$M:$M,'BSE - SENSEX Index Options'!$C:$C,$A270,'BSE - SENSEX Index Options'!$B:$B,C$147,'BSE - SENSEX Index Options'!$I:$I,"Monthly*")+SUMIFS('BSE - Other Index Options'!$M:$M,'BSE - Other Index Options'!$C:$C,$A270,'BSE - Other Index Options'!$B:$B,C$147,'BSE - Other Index Options'!$I:$I,"Monthly*")=0,"",SUMIFS('BSE - SENSEX Index Options'!$M:$M,'BSE - SENSEX Index Options'!$C:$C,$A270,'BSE - SENSEX Index Options'!$B:$B,C$147,'BSE - SENSEX Index Options'!$I:$I,"Monthly*")+SUMIFS('BSE - Other Index Options'!$M:$M,'BSE - Other Index Options'!$C:$C,$A270,'BSE - Other Index Options'!$B:$B,C$147,'BSE - Other Index Options'!$I:$I,"Monthly*"))</f>
        <v/>
      </c>
      <c r="D270" s="26">
        <f>IF(SUMIFS('BSE - SENSEX Index Options'!$M:$M,'BSE - SENSEX Index Options'!$C:$C,$A270,'BSE - SENSEX Index Options'!$B:$B,D$147,'BSE - SENSEX Index Options'!$I:$I,"Monthly*")+SUMIFS('BSE - Other Index Options'!$M:$M,'BSE - Other Index Options'!$C:$C,$A270,'BSE - Other Index Options'!$B:$B,D$147,'BSE - Other Index Options'!$I:$I,"Monthly*")=0,"",SUMIFS('BSE - SENSEX Index Options'!$M:$M,'BSE - SENSEX Index Options'!$C:$C,$A270,'BSE - SENSEX Index Options'!$B:$B,D$147,'BSE - SENSEX Index Options'!$I:$I,"Monthly*")+SUMIFS('BSE - Other Index Options'!$M:$M,'BSE - Other Index Options'!$C:$C,$A270,'BSE - Other Index Options'!$B:$B,D$147,'BSE - Other Index Options'!$I:$I,"Monthly*"))</f>
        <v/>
      </c>
      <c r="E270" s="26">
        <f>IF(SUMIFS('BSE - SENSEX Index Options'!$M:$M,'BSE - SENSEX Index Options'!$C:$C,$A270,'BSE - SENSEX Index Options'!$B:$B,E$147,'BSE - SENSEX Index Options'!$I:$I,"Monthly*")+SUMIFS('BSE - Other Index Options'!$M:$M,'BSE - Other Index Options'!$C:$C,$A270,'BSE - Other Index Options'!$B:$B,E$147,'BSE - Other Index Options'!$I:$I,"Monthly*")=0,"",SUMIFS('BSE - SENSEX Index Options'!$M:$M,'BSE - SENSEX Index Options'!$C:$C,$A270,'BSE - SENSEX Index Options'!$B:$B,E$147,'BSE - SENSEX Index Options'!$I:$I,"Monthly*")+SUMIFS('BSE - Other Index Options'!$M:$M,'BSE - Other Index Options'!$C:$C,$A270,'BSE - Other Index Options'!$B:$B,E$147,'BSE - Other Index Options'!$I:$I,"Monthly*"))</f>
        <v/>
      </c>
      <c r="F270" s="26">
        <f>IF(SUMIFS('BSE - SENSEX Index Options'!$M:$M,'BSE - SENSEX Index Options'!$C:$C,$A270,'BSE - SENSEX Index Options'!$B:$B,F$147,'BSE - SENSEX Index Options'!$I:$I,"Monthly*")+SUMIFS('BSE - Other Index Options'!$M:$M,'BSE - Other Index Options'!$C:$C,$A270,'BSE - Other Index Options'!$B:$B,F$147,'BSE - Other Index Options'!$I:$I,"Monthly*")=0,"",SUMIFS('BSE - SENSEX Index Options'!$M:$M,'BSE - SENSEX Index Options'!$C:$C,$A270,'BSE - SENSEX Index Options'!$B:$B,F$147,'BSE - SENSEX Index Options'!$I:$I,"Monthly*")+SUMIFS('BSE - Other Index Options'!$M:$M,'BSE - Other Index Options'!$C:$C,$A270,'BSE - Other Index Options'!$B:$B,F$147,'BSE - Other Index Options'!$I:$I,"Monthly*"))</f>
        <v/>
      </c>
      <c r="G270" s="26">
        <f>IF(SUMIFS('BSE - SENSEX Index Options'!$M:$M,'BSE - SENSEX Index Options'!$C:$C,$A270,'BSE - SENSEX Index Options'!$B:$B,G$147,'BSE - SENSEX Index Options'!$I:$I,"Monthly*")+SUMIFS('BSE - Other Index Options'!$M:$M,'BSE - Other Index Options'!$C:$C,$A270,'BSE - Other Index Options'!$B:$B,G$147,'BSE - Other Index Options'!$I:$I,"Monthly*")=0,"",SUMIFS('BSE - SENSEX Index Options'!$M:$M,'BSE - SENSEX Index Options'!$C:$C,$A270,'BSE - SENSEX Index Options'!$B:$B,G$147,'BSE - SENSEX Index Options'!$I:$I,"Monthly*")+SUMIFS('BSE - Other Index Options'!$M:$M,'BSE - Other Index Options'!$C:$C,$A270,'BSE - Other Index Options'!$B:$B,G$147,'BSE - Other Index Options'!$I:$I,"Monthly*"))</f>
        <v/>
      </c>
      <c r="H270" s="26">
        <f>IF(SUM(B270:G270)=0,"",SUM(B270:G270))</f>
        <v/>
      </c>
    </row>
    <row r="271" hidden="1" outlineLevel="1">
      <c r="A271" t="inlineStr">
        <is>
          <t>Week1-Oct-2027</t>
        </is>
      </c>
      <c r="B271" s="26">
        <f>IF(SUMIFS('BSE - SENSEX Index Options'!$M:$M,'BSE - SENSEX Index Options'!$C:$C,$A271,'BSE - SENSEX Index Options'!$B:$B,B$147,'BSE - SENSEX Index Options'!$I:$I,"Monthly*")+SUMIFS('BSE - Other Index Options'!$M:$M,'BSE - Other Index Options'!$C:$C,$A271,'BSE - Other Index Options'!$B:$B,B$147,'BSE - Other Index Options'!$I:$I,"Monthly*")=0,"",SUMIFS('BSE - SENSEX Index Options'!$M:$M,'BSE - SENSEX Index Options'!$C:$C,$A271,'BSE - SENSEX Index Options'!$B:$B,B$147,'BSE - SENSEX Index Options'!$I:$I,"Monthly*")+SUMIFS('BSE - Other Index Options'!$M:$M,'BSE - Other Index Options'!$C:$C,$A271,'BSE - Other Index Options'!$B:$B,B$147,'BSE - Other Index Options'!$I:$I,"Monthly*"))</f>
        <v/>
      </c>
      <c r="C271" s="26">
        <f>IF(SUMIFS('BSE - SENSEX Index Options'!$M:$M,'BSE - SENSEX Index Options'!$C:$C,$A271,'BSE - SENSEX Index Options'!$B:$B,C$147,'BSE - SENSEX Index Options'!$I:$I,"Monthly*")+SUMIFS('BSE - Other Index Options'!$M:$M,'BSE - Other Index Options'!$C:$C,$A271,'BSE - Other Index Options'!$B:$B,C$147,'BSE - Other Index Options'!$I:$I,"Monthly*")=0,"",SUMIFS('BSE - SENSEX Index Options'!$M:$M,'BSE - SENSEX Index Options'!$C:$C,$A271,'BSE - SENSEX Index Options'!$B:$B,C$147,'BSE - SENSEX Index Options'!$I:$I,"Monthly*")+SUMIFS('BSE - Other Index Options'!$M:$M,'BSE - Other Index Options'!$C:$C,$A271,'BSE - Other Index Options'!$B:$B,C$147,'BSE - Other Index Options'!$I:$I,"Monthly*"))</f>
        <v/>
      </c>
      <c r="D271" s="26">
        <f>IF(SUMIFS('BSE - SENSEX Index Options'!$M:$M,'BSE - SENSEX Index Options'!$C:$C,$A271,'BSE - SENSEX Index Options'!$B:$B,D$147,'BSE - SENSEX Index Options'!$I:$I,"Monthly*")+SUMIFS('BSE - Other Index Options'!$M:$M,'BSE - Other Index Options'!$C:$C,$A271,'BSE - Other Index Options'!$B:$B,D$147,'BSE - Other Index Options'!$I:$I,"Monthly*")=0,"",SUMIFS('BSE - SENSEX Index Options'!$M:$M,'BSE - SENSEX Index Options'!$C:$C,$A271,'BSE - SENSEX Index Options'!$B:$B,D$147,'BSE - SENSEX Index Options'!$I:$I,"Monthly*")+SUMIFS('BSE - Other Index Options'!$M:$M,'BSE - Other Index Options'!$C:$C,$A271,'BSE - Other Index Options'!$B:$B,D$147,'BSE - Other Index Options'!$I:$I,"Monthly*"))</f>
        <v/>
      </c>
      <c r="E271" s="26">
        <f>IF(SUMIFS('BSE - SENSEX Index Options'!$M:$M,'BSE - SENSEX Index Options'!$C:$C,$A271,'BSE - SENSEX Index Options'!$B:$B,E$147,'BSE - SENSEX Index Options'!$I:$I,"Monthly*")+SUMIFS('BSE - Other Index Options'!$M:$M,'BSE - Other Index Options'!$C:$C,$A271,'BSE - Other Index Options'!$B:$B,E$147,'BSE - Other Index Options'!$I:$I,"Monthly*")=0,"",SUMIFS('BSE - SENSEX Index Options'!$M:$M,'BSE - SENSEX Index Options'!$C:$C,$A271,'BSE - SENSEX Index Options'!$B:$B,E$147,'BSE - SENSEX Index Options'!$I:$I,"Monthly*")+SUMIFS('BSE - Other Index Options'!$M:$M,'BSE - Other Index Options'!$C:$C,$A271,'BSE - Other Index Options'!$B:$B,E$147,'BSE - Other Index Options'!$I:$I,"Monthly*"))</f>
        <v/>
      </c>
      <c r="F271" s="26">
        <f>IF(SUMIFS('BSE - SENSEX Index Options'!$M:$M,'BSE - SENSEX Index Options'!$C:$C,$A271,'BSE - SENSEX Index Options'!$B:$B,F$147,'BSE - SENSEX Index Options'!$I:$I,"Monthly*")+SUMIFS('BSE - Other Index Options'!$M:$M,'BSE - Other Index Options'!$C:$C,$A271,'BSE - Other Index Options'!$B:$B,F$147,'BSE - Other Index Options'!$I:$I,"Monthly*")=0,"",SUMIFS('BSE - SENSEX Index Options'!$M:$M,'BSE - SENSEX Index Options'!$C:$C,$A271,'BSE - SENSEX Index Options'!$B:$B,F$147,'BSE - SENSEX Index Options'!$I:$I,"Monthly*")+SUMIFS('BSE - Other Index Options'!$M:$M,'BSE - Other Index Options'!$C:$C,$A271,'BSE - Other Index Options'!$B:$B,F$147,'BSE - Other Index Options'!$I:$I,"Monthly*"))</f>
        <v/>
      </c>
      <c r="G271" s="26">
        <f>IF(SUMIFS('BSE - SENSEX Index Options'!$M:$M,'BSE - SENSEX Index Options'!$C:$C,$A271,'BSE - SENSEX Index Options'!$B:$B,G$147,'BSE - SENSEX Index Options'!$I:$I,"Monthly*")+SUMIFS('BSE - Other Index Options'!$M:$M,'BSE - Other Index Options'!$C:$C,$A271,'BSE - Other Index Options'!$B:$B,G$147,'BSE - Other Index Options'!$I:$I,"Monthly*")=0,"",SUMIFS('BSE - SENSEX Index Options'!$M:$M,'BSE - SENSEX Index Options'!$C:$C,$A271,'BSE - SENSEX Index Options'!$B:$B,G$147,'BSE - SENSEX Index Options'!$I:$I,"Monthly*")+SUMIFS('BSE - Other Index Options'!$M:$M,'BSE - Other Index Options'!$C:$C,$A271,'BSE - Other Index Options'!$B:$B,G$147,'BSE - Other Index Options'!$I:$I,"Monthly*"))</f>
        <v/>
      </c>
      <c r="H271" s="26">
        <f>IF(SUM(B271:G271)=0,"",SUM(B271:G271))</f>
        <v/>
      </c>
    </row>
    <row r="272" hidden="1" outlineLevel="1">
      <c r="A272" t="inlineStr">
        <is>
          <t>Week2-Oct-2027</t>
        </is>
      </c>
      <c r="B272" s="26">
        <f>IF(SUMIFS('BSE - SENSEX Index Options'!$M:$M,'BSE - SENSEX Index Options'!$C:$C,$A272,'BSE - SENSEX Index Options'!$B:$B,B$147,'BSE - SENSEX Index Options'!$I:$I,"Monthly*")+SUMIFS('BSE - Other Index Options'!$M:$M,'BSE - Other Index Options'!$C:$C,$A272,'BSE - Other Index Options'!$B:$B,B$147,'BSE - Other Index Options'!$I:$I,"Monthly*")=0,"",SUMIFS('BSE - SENSEX Index Options'!$M:$M,'BSE - SENSEX Index Options'!$C:$C,$A272,'BSE - SENSEX Index Options'!$B:$B,B$147,'BSE - SENSEX Index Options'!$I:$I,"Monthly*")+SUMIFS('BSE - Other Index Options'!$M:$M,'BSE - Other Index Options'!$C:$C,$A272,'BSE - Other Index Options'!$B:$B,B$147,'BSE - Other Index Options'!$I:$I,"Monthly*"))</f>
        <v/>
      </c>
      <c r="C272" s="26">
        <f>IF(SUMIFS('BSE - SENSEX Index Options'!$M:$M,'BSE - SENSEX Index Options'!$C:$C,$A272,'BSE - SENSEX Index Options'!$B:$B,C$147,'BSE - SENSEX Index Options'!$I:$I,"Monthly*")+SUMIFS('BSE - Other Index Options'!$M:$M,'BSE - Other Index Options'!$C:$C,$A272,'BSE - Other Index Options'!$B:$B,C$147,'BSE - Other Index Options'!$I:$I,"Monthly*")=0,"",SUMIFS('BSE - SENSEX Index Options'!$M:$M,'BSE - SENSEX Index Options'!$C:$C,$A272,'BSE - SENSEX Index Options'!$B:$B,C$147,'BSE - SENSEX Index Options'!$I:$I,"Monthly*")+SUMIFS('BSE - Other Index Options'!$M:$M,'BSE - Other Index Options'!$C:$C,$A272,'BSE - Other Index Options'!$B:$B,C$147,'BSE - Other Index Options'!$I:$I,"Monthly*"))</f>
        <v/>
      </c>
      <c r="D272" s="26">
        <f>IF(SUMIFS('BSE - SENSEX Index Options'!$M:$M,'BSE - SENSEX Index Options'!$C:$C,$A272,'BSE - SENSEX Index Options'!$B:$B,D$147,'BSE - SENSEX Index Options'!$I:$I,"Monthly*")+SUMIFS('BSE - Other Index Options'!$M:$M,'BSE - Other Index Options'!$C:$C,$A272,'BSE - Other Index Options'!$B:$B,D$147,'BSE - Other Index Options'!$I:$I,"Monthly*")=0,"",SUMIFS('BSE - SENSEX Index Options'!$M:$M,'BSE - SENSEX Index Options'!$C:$C,$A272,'BSE - SENSEX Index Options'!$B:$B,D$147,'BSE - SENSEX Index Options'!$I:$I,"Monthly*")+SUMIFS('BSE - Other Index Options'!$M:$M,'BSE - Other Index Options'!$C:$C,$A272,'BSE - Other Index Options'!$B:$B,D$147,'BSE - Other Index Options'!$I:$I,"Monthly*"))</f>
        <v/>
      </c>
      <c r="E272" s="26">
        <f>IF(SUMIFS('BSE - SENSEX Index Options'!$M:$M,'BSE - SENSEX Index Options'!$C:$C,$A272,'BSE - SENSEX Index Options'!$B:$B,E$147,'BSE - SENSEX Index Options'!$I:$I,"Monthly*")+SUMIFS('BSE - Other Index Options'!$M:$M,'BSE - Other Index Options'!$C:$C,$A272,'BSE - Other Index Options'!$B:$B,E$147,'BSE - Other Index Options'!$I:$I,"Monthly*")=0,"",SUMIFS('BSE - SENSEX Index Options'!$M:$M,'BSE - SENSEX Index Options'!$C:$C,$A272,'BSE - SENSEX Index Options'!$B:$B,E$147,'BSE - SENSEX Index Options'!$I:$I,"Monthly*")+SUMIFS('BSE - Other Index Options'!$M:$M,'BSE - Other Index Options'!$C:$C,$A272,'BSE - Other Index Options'!$B:$B,E$147,'BSE - Other Index Options'!$I:$I,"Monthly*"))</f>
        <v/>
      </c>
      <c r="F272" s="26">
        <f>IF(SUMIFS('BSE - SENSEX Index Options'!$M:$M,'BSE - SENSEX Index Options'!$C:$C,$A272,'BSE - SENSEX Index Options'!$B:$B,F$147,'BSE - SENSEX Index Options'!$I:$I,"Monthly*")+SUMIFS('BSE - Other Index Options'!$M:$M,'BSE - Other Index Options'!$C:$C,$A272,'BSE - Other Index Options'!$B:$B,F$147,'BSE - Other Index Options'!$I:$I,"Monthly*")=0,"",SUMIFS('BSE - SENSEX Index Options'!$M:$M,'BSE - SENSEX Index Options'!$C:$C,$A272,'BSE - SENSEX Index Options'!$B:$B,F$147,'BSE - SENSEX Index Options'!$I:$I,"Monthly*")+SUMIFS('BSE - Other Index Options'!$M:$M,'BSE - Other Index Options'!$C:$C,$A272,'BSE - Other Index Options'!$B:$B,F$147,'BSE - Other Index Options'!$I:$I,"Monthly*"))</f>
        <v/>
      </c>
      <c r="G272" s="26">
        <f>IF(SUMIFS('BSE - SENSEX Index Options'!$M:$M,'BSE - SENSEX Index Options'!$C:$C,$A272,'BSE - SENSEX Index Options'!$B:$B,G$147,'BSE - SENSEX Index Options'!$I:$I,"Monthly*")+SUMIFS('BSE - Other Index Options'!$M:$M,'BSE - Other Index Options'!$C:$C,$A272,'BSE - Other Index Options'!$B:$B,G$147,'BSE - Other Index Options'!$I:$I,"Monthly*")=0,"",SUMIFS('BSE - SENSEX Index Options'!$M:$M,'BSE - SENSEX Index Options'!$C:$C,$A272,'BSE - SENSEX Index Options'!$B:$B,G$147,'BSE - SENSEX Index Options'!$I:$I,"Monthly*")+SUMIFS('BSE - Other Index Options'!$M:$M,'BSE - Other Index Options'!$C:$C,$A272,'BSE - Other Index Options'!$B:$B,G$147,'BSE - Other Index Options'!$I:$I,"Monthly*"))</f>
        <v/>
      </c>
      <c r="H272" s="26">
        <f>IF(SUM(B272:G272)=0,"",SUM(B272:G272))</f>
        <v/>
      </c>
    </row>
    <row r="273" hidden="1" outlineLevel="1">
      <c r="A273" t="inlineStr">
        <is>
          <t>Week3-Oct-2027</t>
        </is>
      </c>
      <c r="B273" s="26">
        <f>IF(SUMIFS('BSE - SENSEX Index Options'!$M:$M,'BSE - SENSEX Index Options'!$C:$C,$A273,'BSE - SENSEX Index Options'!$B:$B,B$147,'BSE - SENSEX Index Options'!$I:$I,"Monthly*")+SUMIFS('BSE - Other Index Options'!$M:$M,'BSE - Other Index Options'!$C:$C,$A273,'BSE - Other Index Options'!$B:$B,B$147,'BSE - Other Index Options'!$I:$I,"Monthly*")=0,"",SUMIFS('BSE - SENSEX Index Options'!$M:$M,'BSE - SENSEX Index Options'!$C:$C,$A273,'BSE - SENSEX Index Options'!$B:$B,B$147,'BSE - SENSEX Index Options'!$I:$I,"Monthly*")+SUMIFS('BSE - Other Index Options'!$M:$M,'BSE - Other Index Options'!$C:$C,$A273,'BSE - Other Index Options'!$B:$B,B$147,'BSE - Other Index Options'!$I:$I,"Monthly*"))</f>
        <v/>
      </c>
      <c r="C273" s="26">
        <f>IF(SUMIFS('BSE - SENSEX Index Options'!$M:$M,'BSE - SENSEX Index Options'!$C:$C,$A273,'BSE - SENSEX Index Options'!$B:$B,C$147,'BSE - SENSEX Index Options'!$I:$I,"Monthly*")+SUMIFS('BSE - Other Index Options'!$M:$M,'BSE - Other Index Options'!$C:$C,$A273,'BSE - Other Index Options'!$B:$B,C$147,'BSE - Other Index Options'!$I:$I,"Monthly*")=0,"",SUMIFS('BSE - SENSEX Index Options'!$M:$M,'BSE - SENSEX Index Options'!$C:$C,$A273,'BSE - SENSEX Index Options'!$B:$B,C$147,'BSE - SENSEX Index Options'!$I:$I,"Monthly*")+SUMIFS('BSE - Other Index Options'!$M:$M,'BSE - Other Index Options'!$C:$C,$A273,'BSE - Other Index Options'!$B:$B,C$147,'BSE - Other Index Options'!$I:$I,"Monthly*"))</f>
        <v/>
      </c>
      <c r="D273" s="26">
        <f>IF(SUMIFS('BSE - SENSEX Index Options'!$M:$M,'BSE - SENSEX Index Options'!$C:$C,$A273,'BSE - SENSEX Index Options'!$B:$B,D$147,'BSE - SENSEX Index Options'!$I:$I,"Monthly*")+SUMIFS('BSE - Other Index Options'!$M:$M,'BSE - Other Index Options'!$C:$C,$A273,'BSE - Other Index Options'!$B:$B,D$147,'BSE - Other Index Options'!$I:$I,"Monthly*")=0,"",SUMIFS('BSE - SENSEX Index Options'!$M:$M,'BSE - SENSEX Index Options'!$C:$C,$A273,'BSE - SENSEX Index Options'!$B:$B,D$147,'BSE - SENSEX Index Options'!$I:$I,"Monthly*")+SUMIFS('BSE - Other Index Options'!$M:$M,'BSE - Other Index Options'!$C:$C,$A273,'BSE - Other Index Options'!$B:$B,D$147,'BSE - Other Index Options'!$I:$I,"Monthly*"))</f>
        <v/>
      </c>
      <c r="E273" s="26">
        <f>IF(SUMIFS('BSE - SENSEX Index Options'!$M:$M,'BSE - SENSEX Index Options'!$C:$C,$A273,'BSE - SENSEX Index Options'!$B:$B,E$147,'BSE - SENSEX Index Options'!$I:$I,"Monthly*")+SUMIFS('BSE - Other Index Options'!$M:$M,'BSE - Other Index Options'!$C:$C,$A273,'BSE - Other Index Options'!$B:$B,E$147,'BSE - Other Index Options'!$I:$I,"Monthly*")=0,"",SUMIFS('BSE - SENSEX Index Options'!$M:$M,'BSE - SENSEX Index Options'!$C:$C,$A273,'BSE - SENSEX Index Options'!$B:$B,E$147,'BSE - SENSEX Index Options'!$I:$I,"Monthly*")+SUMIFS('BSE - Other Index Options'!$M:$M,'BSE - Other Index Options'!$C:$C,$A273,'BSE - Other Index Options'!$B:$B,E$147,'BSE - Other Index Options'!$I:$I,"Monthly*"))</f>
        <v/>
      </c>
      <c r="F273" s="26">
        <f>IF(SUMIFS('BSE - SENSEX Index Options'!$M:$M,'BSE - SENSEX Index Options'!$C:$C,$A273,'BSE - SENSEX Index Options'!$B:$B,F$147,'BSE - SENSEX Index Options'!$I:$I,"Monthly*")+SUMIFS('BSE - Other Index Options'!$M:$M,'BSE - Other Index Options'!$C:$C,$A273,'BSE - Other Index Options'!$B:$B,F$147,'BSE - Other Index Options'!$I:$I,"Monthly*")=0,"",SUMIFS('BSE - SENSEX Index Options'!$M:$M,'BSE - SENSEX Index Options'!$C:$C,$A273,'BSE - SENSEX Index Options'!$B:$B,F$147,'BSE - SENSEX Index Options'!$I:$I,"Monthly*")+SUMIFS('BSE - Other Index Options'!$M:$M,'BSE - Other Index Options'!$C:$C,$A273,'BSE - Other Index Options'!$B:$B,F$147,'BSE - Other Index Options'!$I:$I,"Monthly*"))</f>
        <v/>
      </c>
      <c r="G273" s="26">
        <f>IF(SUMIFS('BSE - SENSEX Index Options'!$M:$M,'BSE - SENSEX Index Options'!$C:$C,$A273,'BSE - SENSEX Index Options'!$B:$B,G$147,'BSE - SENSEX Index Options'!$I:$I,"Monthly*")+SUMIFS('BSE - Other Index Options'!$M:$M,'BSE - Other Index Options'!$C:$C,$A273,'BSE - Other Index Options'!$B:$B,G$147,'BSE - Other Index Options'!$I:$I,"Monthly*")=0,"",SUMIFS('BSE - SENSEX Index Options'!$M:$M,'BSE - SENSEX Index Options'!$C:$C,$A273,'BSE - SENSEX Index Options'!$B:$B,G$147,'BSE - SENSEX Index Options'!$I:$I,"Monthly*")+SUMIFS('BSE - Other Index Options'!$M:$M,'BSE - Other Index Options'!$C:$C,$A273,'BSE - Other Index Options'!$B:$B,G$147,'BSE - Other Index Options'!$I:$I,"Monthly*"))</f>
        <v/>
      </c>
      <c r="H273" s="26">
        <f>IF(SUM(B273:G273)=0,"",SUM(B273:G273))</f>
        <v/>
      </c>
    </row>
    <row r="274" hidden="1" outlineLevel="1">
      <c r="A274" t="inlineStr">
        <is>
          <t>Week4-Oct-2027</t>
        </is>
      </c>
      <c r="B274" s="26">
        <f>IF(SUMIFS('BSE - SENSEX Index Options'!$M:$M,'BSE - SENSEX Index Options'!$C:$C,$A274,'BSE - SENSEX Index Options'!$B:$B,B$147,'BSE - SENSEX Index Options'!$I:$I,"Monthly*")+SUMIFS('BSE - Other Index Options'!$M:$M,'BSE - Other Index Options'!$C:$C,$A274,'BSE - Other Index Options'!$B:$B,B$147,'BSE - Other Index Options'!$I:$I,"Monthly*")=0,"",SUMIFS('BSE - SENSEX Index Options'!$M:$M,'BSE - SENSEX Index Options'!$C:$C,$A274,'BSE - SENSEX Index Options'!$B:$B,B$147,'BSE - SENSEX Index Options'!$I:$I,"Monthly*")+SUMIFS('BSE - Other Index Options'!$M:$M,'BSE - Other Index Options'!$C:$C,$A274,'BSE - Other Index Options'!$B:$B,B$147,'BSE - Other Index Options'!$I:$I,"Monthly*"))</f>
        <v/>
      </c>
      <c r="C274" s="26">
        <f>IF(SUMIFS('BSE - SENSEX Index Options'!$M:$M,'BSE - SENSEX Index Options'!$C:$C,$A274,'BSE - SENSEX Index Options'!$B:$B,C$147,'BSE - SENSEX Index Options'!$I:$I,"Monthly*")+SUMIFS('BSE - Other Index Options'!$M:$M,'BSE - Other Index Options'!$C:$C,$A274,'BSE - Other Index Options'!$B:$B,C$147,'BSE - Other Index Options'!$I:$I,"Monthly*")=0,"",SUMIFS('BSE - SENSEX Index Options'!$M:$M,'BSE - SENSEX Index Options'!$C:$C,$A274,'BSE - SENSEX Index Options'!$B:$B,C$147,'BSE - SENSEX Index Options'!$I:$I,"Monthly*")+SUMIFS('BSE - Other Index Options'!$M:$M,'BSE - Other Index Options'!$C:$C,$A274,'BSE - Other Index Options'!$B:$B,C$147,'BSE - Other Index Options'!$I:$I,"Monthly*"))</f>
        <v/>
      </c>
      <c r="D274" s="26">
        <f>IF(SUMIFS('BSE - SENSEX Index Options'!$M:$M,'BSE - SENSEX Index Options'!$C:$C,$A274,'BSE - SENSEX Index Options'!$B:$B,D$147,'BSE - SENSEX Index Options'!$I:$I,"Monthly*")+SUMIFS('BSE - Other Index Options'!$M:$M,'BSE - Other Index Options'!$C:$C,$A274,'BSE - Other Index Options'!$B:$B,D$147,'BSE - Other Index Options'!$I:$I,"Monthly*")=0,"",SUMIFS('BSE - SENSEX Index Options'!$M:$M,'BSE - SENSEX Index Options'!$C:$C,$A274,'BSE - SENSEX Index Options'!$B:$B,D$147,'BSE - SENSEX Index Options'!$I:$I,"Monthly*")+SUMIFS('BSE - Other Index Options'!$M:$M,'BSE - Other Index Options'!$C:$C,$A274,'BSE - Other Index Options'!$B:$B,D$147,'BSE - Other Index Options'!$I:$I,"Monthly*"))</f>
        <v/>
      </c>
      <c r="E274" s="26">
        <f>IF(SUMIFS('BSE - SENSEX Index Options'!$M:$M,'BSE - SENSEX Index Options'!$C:$C,$A274,'BSE - SENSEX Index Options'!$B:$B,E$147,'BSE - SENSEX Index Options'!$I:$I,"Monthly*")+SUMIFS('BSE - Other Index Options'!$M:$M,'BSE - Other Index Options'!$C:$C,$A274,'BSE - Other Index Options'!$B:$B,E$147,'BSE - Other Index Options'!$I:$I,"Monthly*")=0,"",SUMIFS('BSE - SENSEX Index Options'!$M:$M,'BSE - SENSEX Index Options'!$C:$C,$A274,'BSE - SENSEX Index Options'!$B:$B,E$147,'BSE - SENSEX Index Options'!$I:$I,"Monthly*")+SUMIFS('BSE - Other Index Options'!$M:$M,'BSE - Other Index Options'!$C:$C,$A274,'BSE - Other Index Options'!$B:$B,E$147,'BSE - Other Index Options'!$I:$I,"Monthly*"))</f>
        <v/>
      </c>
      <c r="F274" s="26">
        <f>IF(SUMIFS('BSE - SENSEX Index Options'!$M:$M,'BSE - SENSEX Index Options'!$C:$C,$A274,'BSE - SENSEX Index Options'!$B:$B,F$147,'BSE - SENSEX Index Options'!$I:$I,"Monthly*")+SUMIFS('BSE - Other Index Options'!$M:$M,'BSE - Other Index Options'!$C:$C,$A274,'BSE - Other Index Options'!$B:$B,F$147,'BSE - Other Index Options'!$I:$I,"Monthly*")=0,"",SUMIFS('BSE - SENSEX Index Options'!$M:$M,'BSE - SENSEX Index Options'!$C:$C,$A274,'BSE - SENSEX Index Options'!$B:$B,F$147,'BSE - SENSEX Index Options'!$I:$I,"Monthly*")+SUMIFS('BSE - Other Index Options'!$M:$M,'BSE - Other Index Options'!$C:$C,$A274,'BSE - Other Index Options'!$B:$B,F$147,'BSE - Other Index Options'!$I:$I,"Monthly*"))</f>
        <v/>
      </c>
      <c r="G274" s="26">
        <f>IF(SUMIFS('BSE - SENSEX Index Options'!$M:$M,'BSE - SENSEX Index Options'!$C:$C,$A274,'BSE - SENSEX Index Options'!$B:$B,G$147,'BSE - SENSEX Index Options'!$I:$I,"Monthly*")+SUMIFS('BSE - Other Index Options'!$M:$M,'BSE - Other Index Options'!$C:$C,$A274,'BSE - Other Index Options'!$B:$B,G$147,'BSE - Other Index Options'!$I:$I,"Monthly*")=0,"",SUMIFS('BSE - SENSEX Index Options'!$M:$M,'BSE - SENSEX Index Options'!$C:$C,$A274,'BSE - SENSEX Index Options'!$B:$B,G$147,'BSE - SENSEX Index Options'!$I:$I,"Monthly*")+SUMIFS('BSE - Other Index Options'!$M:$M,'BSE - Other Index Options'!$C:$C,$A274,'BSE - Other Index Options'!$B:$B,G$147,'BSE - Other Index Options'!$I:$I,"Monthly*"))</f>
        <v/>
      </c>
      <c r="H274" s="26">
        <f>IF(SUM(B274:G274)=0,"",SUM(B274:G274))</f>
        <v/>
      </c>
    </row>
    <row r="275" hidden="1" outlineLevel="1">
      <c r="A275" t="inlineStr">
        <is>
          <t>Week5-Oct-2027</t>
        </is>
      </c>
      <c r="B275" s="26">
        <f>IF(SUMIFS('BSE - SENSEX Index Options'!$M:$M,'BSE - SENSEX Index Options'!$C:$C,$A275,'BSE - SENSEX Index Options'!$B:$B,B$147,'BSE - SENSEX Index Options'!$I:$I,"Monthly*")+SUMIFS('BSE - Other Index Options'!$M:$M,'BSE - Other Index Options'!$C:$C,$A275,'BSE - Other Index Options'!$B:$B,B$147,'BSE - Other Index Options'!$I:$I,"Monthly*")=0,"",SUMIFS('BSE - SENSEX Index Options'!$M:$M,'BSE - SENSEX Index Options'!$C:$C,$A275,'BSE - SENSEX Index Options'!$B:$B,B$147,'BSE - SENSEX Index Options'!$I:$I,"Monthly*")+SUMIFS('BSE - Other Index Options'!$M:$M,'BSE - Other Index Options'!$C:$C,$A275,'BSE - Other Index Options'!$B:$B,B$147,'BSE - Other Index Options'!$I:$I,"Monthly*"))</f>
        <v/>
      </c>
      <c r="C275" s="26">
        <f>IF(SUMIFS('BSE - SENSEX Index Options'!$M:$M,'BSE - SENSEX Index Options'!$C:$C,$A275,'BSE - SENSEX Index Options'!$B:$B,C$147,'BSE - SENSEX Index Options'!$I:$I,"Monthly*")+SUMIFS('BSE - Other Index Options'!$M:$M,'BSE - Other Index Options'!$C:$C,$A275,'BSE - Other Index Options'!$B:$B,C$147,'BSE - Other Index Options'!$I:$I,"Monthly*")=0,"",SUMIFS('BSE - SENSEX Index Options'!$M:$M,'BSE - SENSEX Index Options'!$C:$C,$A275,'BSE - SENSEX Index Options'!$B:$B,C$147,'BSE - SENSEX Index Options'!$I:$I,"Monthly*")+SUMIFS('BSE - Other Index Options'!$M:$M,'BSE - Other Index Options'!$C:$C,$A275,'BSE - Other Index Options'!$B:$B,C$147,'BSE - Other Index Options'!$I:$I,"Monthly*"))</f>
        <v/>
      </c>
      <c r="D275" s="26">
        <f>IF(SUMIFS('BSE - SENSEX Index Options'!$M:$M,'BSE - SENSEX Index Options'!$C:$C,$A275,'BSE - SENSEX Index Options'!$B:$B,D$147,'BSE - SENSEX Index Options'!$I:$I,"Monthly*")+SUMIFS('BSE - Other Index Options'!$M:$M,'BSE - Other Index Options'!$C:$C,$A275,'BSE - Other Index Options'!$B:$B,D$147,'BSE - Other Index Options'!$I:$I,"Monthly*")=0,"",SUMIFS('BSE - SENSEX Index Options'!$M:$M,'BSE - SENSEX Index Options'!$C:$C,$A275,'BSE - SENSEX Index Options'!$B:$B,D$147,'BSE - SENSEX Index Options'!$I:$I,"Monthly*")+SUMIFS('BSE - Other Index Options'!$M:$M,'BSE - Other Index Options'!$C:$C,$A275,'BSE - Other Index Options'!$B:$B,D$147,'BSE - Other Index Options'!$I:$I,"Monthly*"))</f>
        <v/>
      </c>
      <c r="E275" s="26">
        <f>IF(SUMIFS('BSE - SENSEX Index Options'!$M:$M,'BSE - SENSEX Index Options'!$C:$C,$A275,'BSE - SENSEX Index Options'!$B:$B,E$147,'BSE - SENSEX Index Options'!$I:$I,"Monthly*")+SUMIFS('BSE - Other Index Options'!$M:$M,'BSE - Other Index Options'!$C:$C,$A275,'BSE - Other Index Options'!$B:$B,E$147,'BSE - Other Index Options'!$I:$I,"Monthly*")=0,"",SUMIFS('BSE - SENSEX Index Options'!$M:$M,'BSE - SENSEX Index Options'!$C:$C,$A275,'BSE - SENSEX Index Options'!$B:$B,E$147,'BSE - SENSEX Index Options'!$I:$I,"Monthly*")+SUMIFS('BSE - Other Index Options'!$M:$M,'BSE - Other Index Options'!$C:$C,$A275,'BSE - Other Index Options'!$B:$B,E$147,'BSE - Other Index Options'!$I:$I,"Monthly*"))</f>
        <v/>
      </c>
      <c r="F275" s="26">
        <f>IF(SUMIFS('BSE - SENSEX Index Options'!$M:$M,'BSE - SENSEX Index Options'!$C:$C,$A275,'BSE - SENSEX Index Options'!$B:$B,F$147,'BSE - SENSEX Index Options'!$I:$I,"Monthly*")+SUMIFS('BSE - Other Index Options'!$M:$M,'BSE - Other Index Options'!$C:$C,$A275,'BSE - Other Index Options'!$B:$B,F$147,'BSE - Other Index Options'!$I:$I,"Monthly*")=0,"",SUMIFS('BSE - SENSEX Index Options'!$M:$M,'BSE - SENSEX Index Options'!$C:$C,$A275,'BSE - SENSEX Index Options'!$B:$B,F$147,'BSE - SENSEX Index Options'!$I:$I,"Monthly*")+SUMIFS('BSE - Other Index Options'!$M:$M,'BSE - Other Index Options'!$C:$C,$A275,'BSE - Other Index Options'!$B:$B,F$147,'BSE - Other Index Options'!$I:$I,"Monthly*"))</f>
        <v/>
      </c>
      <c r="G275" s="26">
        <f>IF(SUMIFS('BSE - SENSEX Index Options'!$M:$M,'BSE - SENSEX Index Options'!$C:$C,$A275,'BSE - SENSEX Index Options'!$B:$B,G$147,'BSE - SENSEX Index Options'!$I:$I,"Monthly*")+SUMIFS('BSE - Other Index Options'!$M:$M,'BSE - Other Index Options'!$C:$C,$A275,'BSE - Other Index Options'!$B:$B,G$147,'BSE - Other Index Options'!$I:$I,"Monthly*")=0,"",SUMIFS('BSE - SENSEX Index Options'!$M:$M,'BSE - SENSEX Index Options'!$C:$C,$A275,'BSE - SENSEX Index Options'!$B:$B,G$147,'BSE - SENSEX Index Options'!$I:$I,"Monthly*")+SUMIFS('BSE - Other Index Options'!$M:$M,'BSE - Other Index Options'!$C:$C,$A275,'BSE - Other Index Options'!$B:$B,G$147,'BSE - Other Index Options'!$I:$I,"Monthly*"))</f>
        <v/>
      </c>
      <c r="H275" s="26">
        <f>IF(SUM(B275:G275)=0,"",SUM(B275:G275))</f>
        <v/>
      </c>
    </row>
    <row r="276" hidden="1" outlineLevel="1">
      <c r="A276" t="inlineStr">
        <is>
          <t>Week1-Nov-2027</t>
        </is>
      </c>
      <c r="B276" s="26">
        <f>IF(SUMIFS('BSE - SENSEX Index Options'!$M:$M,'BSE - SENSEX Index Options'!$C:$C,$A276,'BSE - SENSEX Index Options'!$B:$B,B$147,'BSE - SENSEX Index Options'!$I:$I,"Monthly*")+SUMIFS('BSE - Other Index Options'!$M:$M,'BSE - Other Index Options'!$C:$C,$A276,'BSE - Other Index Options'!$B:$B,B$147,'BSE - Other Index Options'!$I:$I,"Monthly*")=0,"",SUMIFS('BSE - SENSEX Index Options'!$M:$M,'BSE - SENSEX Index Options'!$C:$C,$A276,'BSE - SENSEX Index Options'!$B:$B,B$147,'BSE - SENSEX Index Options'!$I:$I,"Monthly*")+SUMIFS('BSE - Other Index Options'!$M:$M,'BSE - Other Index Options'!$C:$C,$A276,'BSE - Other Index Options'!$B:$B,B$147,'BSE - Other Index Options'!$I:$I,"Monthly*"))</f>
        <v/>
      </c>
      <c r="C276" s="26">
        <f>IF(SUMIFS('BSE - SENSEX Index Options'!$M:$M,'BSE - SENSEX Index Options'!$C:$C,$A276,'BSE - SENSEX Index Options'!$B:$B,C$147,'BSE - SENSEX Index Options'!$I:$I,"Monthly*")+SUMIFS('BSE - Other Index Options'!$M:$M,'BSE - Other Index Options'!$C:$C,$A276,'BSE - Other Index Options'!$B:$B,C$147,'BSE - Other Index Options'!$I:$I,"Monthly*")=0,"",SUMIFS('BSE - SENSEX Index Options'!$M:$M,'BSE - SENSEX Index Options'!$C:$C,$A276,'BSE - SENSEX Index Options'!$B:$B,C$147,'BSE - SENSEX Index Options'!$I:$I,"Monthly*")+SUMIFS('BSE - Other Index Options'!$M:$M,'BSE - Other Index Options'!$C:$C,$A276,'BSE - Other Index Options'!$B:$B,C$147,'BSE - Other Index Options'!$I:$I,"Monthly*"))</f>
        <v/>
      </c>
      <c r="D276" s="26">
        <f>IF(SUMIFS('BSE - SENSEX Index Options'!$M:$M,'BSE - SENSEX Index Options'!$C:$C,$A276,'BSE - SENSEX Index Options'!$B:$B,D$147,'BSE - SENSEX Index Options'!$I:$I,"Monthly*")+SUMIFS('BSE - Other Index Options'!$M:$M,'BSE - Other Index Options'!$C:$C,$A276,'BSE - Other Index Options'!$B:$B,D$147,'BSE - Other Index Options'!$I:$I,"Monthly*")=0,"",SUMIFS('BSE - SENSEX Index Options'!$M:$M,'BSE - SENSEX Index Options'!$C:$C,$A276,'BSE - SENSEX Index Options'!$B:$B,D$147,'BSE - SENSEX Index Options'!$I:$I,"Monthly*")+SUMIFS('BSE - Other Index Options'!$M:$M,'BSE - Other Index Options'!$C:$C,$A276,'BSE - Other Index Options'!$B:$B,D$147,'BSE - Other Index Options'!$I:$I,"Monthly*"))</f>
        <v/>
      </c>
      <c r="E276" s="26">
        <f>IF(SUMIFS('BSE - SENSEX Index Options'!$M:$M,'BSE - SENSEX Index Options'!$C:$C,$A276,'BSE - SENSEX Index Options'!$B:$B,E$147,'BSE - SENSEX Index Options'!$I:$I,"Monthly*")+SUMIFS('BSE - Other Index Options'!$M:$M,'BSE - Other Index Options'!$C:$C,$A276,'BSE - Other Index Options'!$B:$B,E$147,'BSE - Other Index Options'!$I:$I,"Monthly*")=0,"",SUMIFS('BSE - SENSEX Index Options'!$M:$M,'BSE - SENSEX Index Options'!$C:$C,$A276,'BSE - SENSEX Index Options'!$B:$B,E$147,'BSE - SENSEX Index Options'!$I:$I,"Monthly*")+SUMIFS('BSE - Other Index Options'!$M:$M,'BSE - Other Index Options'!$C:$C,$A276,'BSE - Other Index Options'!$B:$B,E$147,'BSE - Other Index Options'!$I:$I,"Monthly*"))</f>
        <v/>
      </c>
      <c r="F276" s="26">
        <f>IF(SUMIFS('BSE - SENSEX Index Options'!$M:$M,'BSE - SENSEX Index Options'!$C:$C,$A276,'BSE - SENSEX Index Options'!$B:$B,F$147,'BSE - SENSEX Index Options'!$I:$I,"Monthly*")+SUMIFS('BSE - Other Index Options'!$M:$M,'BSE - Other Index Options'!$C:$C,$A276,'BSE - Other Index Options'!$B:$B,F$147,'BSE - Other Index Options'!$I:$I,"Monthly*")=0,"",SUMIFS('BSE - SENSEX Index Options'!$M:$M,'BSE - SENSEX Index Options'!$C:$C,$A276,'BSE - SENSEX Index Options'!$B:$B,F$147,'BSE - SENSEX Index Options'!$I:$I,"Monthly*")+SUMIFS('BSE - Other Index Options'!$M:$M,'BSE - Other Index Options'!$C:$C,$A276,'BSE - Other Index Options'!$B:$B,F$147,'BSE - Other Index Options'!$I:$I,"Monthly*"))</f>
        <v/>
      </c>
      <c r="G276" s="26">
        <f>IF(SUMIFS('BSE - SENSEX Index Options'!$M:$M,'BSE - SENSEX Index Options'!$C:$C,$A276,'BSE - SENSEX Index Options'!$B:$B,G$147,'BSE - SENSEX Index Options'!$I:$I,"Monthly*")+SUMIFS('BSE - Other Index Options'!$M:$M,'BSE - Other Index Options'!$C:$C,$A276,'BSE - Other Index Options'!$B:$B,G$147,'BSE - Other Index Options'!$I:$I,"Monthly*")=0,"",SUMIFS('BSE - SENSEX Index Options'!$M:$M,'BSE - SENSEX Index Options'!$C:$C,$A276,'BSE - SENSEX Index Options'!$B:$B,G$147,'BSE - SENSEX Index Options'!$I:$I,"Monthly*")+SUMIFS('BSE - Other Index Options'!$M:$M,'BSE - Other Index Options'!$C:$C,$A276,'BSE - Other Index Options'!$B:$B,G$147,'BSE - Other Index Options'!$I:$I,"Monthly*"))</f>
        <v/>
      </c>
      <c r="H276" s="26">
        <f>IF(SUM(B276:G276)=0,"",SUM(B276:G276))</f>
        <v/>
      </c>
    </row>
    <row r="277" hidden="1" outlineLevel="1">
      <c r="A277" t="inlineStr">
        <is>
          <t>Week2-Nov-2027</t>
        </is>
      </c>
      <c r="B277" s="26">
        <f>IF(SUMIFS('BSE - SENSEX Index Options'!$M:$M,'BSE - SENSEX Index Options'!$C:$C,$A277,'BSE - SENSEX Index Options'!$B:$B,B$147,'BSE - SENSEX Index Options'!$I:$I,"Monthly*")+SUMIFS('BSE - Other Index Options'!$M:$M,'BSE - Other Index Options'!$C:$C,$A277,'BSE - Other Index Options'!$B:$B,B$147,'BSE - Other Index Options'!$I:$I,"Monthly*")=0,"",SUMIFS('BSE - SENSEX Index Options'!$M:$M,'BSE - SENSEX Index Options'!$C:$C,$A277,'BSE - SENSEX Index Options'!$B:$B,B$147,'BSE - SENSEX Index Options'!$I:$I,"Monthly*")+SUMIFS('BSE - Other Index Options'!$M:$M,'BSE - Other Index Options'!$C:$C,$A277,'BSE - Other Index Options'!$B:$B,B$147,'BSE - Other Index Options'!$I:$I,"Monthly*"))</f>
        <v/>
      </c>
      <c r="C277" s="26">
        <f>IF(SUMIFS('BSE - SENSEX Index Options'!$M:$M,'BSE - SENSEX Index Options'!$C:$C,$A277,'BSE - SENSEX Index Options'!$B:$B,C$147,'BSE - SENSEX Index Options'!$I:$I,"Monthly*")+SUMIFS('BSE - Other Index Options'!$M:$M,'BSE - Other Index Options'!$C:$C,$A277,'BSE - Other Index Options'!$B:$B,C$147,'BSE - Other Index Options'!$I:$I,"Monthly*")=0,"",SUMIFS('BSE - SENSEX Index Options'!$M:$M,'BSE - SENSEX Index Options'!$C:$C,$A277,'BSE - SENSEX Index Options'!$B:$B,C$147,'BSE - SENSEX Index Options'!$I:$I,"Monthly*")+SUMIFS('BSE - Other Index Options'!$M:$M,'BSE - Other Index Options'!$C:$C,$A277,'BSE - Other Index Options'!$B:$B,C$147,'BSE - Other Index Options'!$I:$I,"Monthly*"))</f>
        <v/>
      </c>
      <c r="D277" s="26">
        <f>IF(SUMIFS('BSE - SENSEX Index Options'!$M:$M,'BSE - SENSEX Index Options'!$C:$C,$A277,'BSE - SENSEX Index Options'!$B:$B,D$147,'BSE - SENSEX Index Options'!$I:$I,"Monthly*")+SUMIFS('BSE - Other Index Options'!$M:$M,'BSE - Other Index Options'!$C:$C,$A277,'BSE - Other Index Options'!$B:$B,D$147,'BSE - Other Index Options'!$I:$I,"Monthly*")=0,"",SUMIFS('BSE - SENSEX Index Options'!$M:$M,'BSE - SENSEX Index Options'!$C:$C,$A277,'BSE - SENSEX Index Options'!$B:$B,D$147,'BSE - SENSEX Index Options'!$I:$I,"Monthly*")+SUMIFS('BSE - Other Index Options'!$M:$M,'BSE - Other Index Options'!$C:$C,$A277,'BSE - Other Index Options'!$B:$B,D$147,'BSE - Other Index Options'!$I:$I,"Monthly*"))</f>
        <v/>
      </c>
      <c r="E277" s="26">
        <f>IF(SUMIFS('BSE - SENSEX Index Options'!$M:$M,'BSE - SENSEX Index Options'!$C:$C,$A277,'BSE - SENSEX Index Options'!$B:$B,E$147,'BSE - SENSEX Index Options'!$I:$I,"Monthly*")+SUMIFS('BSE - Other Index Options'!$M:$M,'BSE - Other Index Options'!$C:$C,$A277,'BSE - Other Index Options'!$B:$B,E$147,'BSE - Other Index Options'!$I:$I,"Monthly*")=0,"",SUMIFS('BSE - SENSEX Index Options'!$M:$M,'BSE - SENSEX Index Options'!$C:$C,$A277,'BSE - SENSEX Index Options'!$B:$B,E$147,'BSE - SENSEX Index Options'!$I:$I,"Monthly*")+SUMIFS('BSE - Other Index Options'!$M:$M,'BSE - Other Index Options'!$C:$C,$A277,'BSE - Other Index Options'!$B:$B,E$147,'BSE - Other Index Options'!$I:$I,"Monthly*"))</f>
        <v/>
      </c>
      <c r="F277" s="26">
        <f>IF(SUMIFS('BSE - SENSEX Index Options'!$M:$M,'BSE - SENSEX Index Options'!$C:$C,$A277,'BSE - SENSEX Index Options'!$B:$B,F$147,'BSE - SENSEX Index Options'!$I:$I,"Monthly*")+SUMIFS('BSE - Other Index Options'!$M:$M,'BSE - Other Index Options'!$C:$C,$A277,'BSE - Other Index Options'!$B:$B,F$147,'BSE - Other Index Options'!$I:$I,"Monthly*")=0,"",SUMIFS('BSE - SENSEX Index Options'!$M:$M,'BSE - SENSEX Index Options'!$C:$C,$A277,'BSE - SENSEX Index Options'!$B:$B,F$147,'BSE - SENSEX Index Options'!$I:$I,"Monthly*")+SUMIFS('BSE - Other Index Options'!$M:$M,'BSE - Other Index Options'!$C:$C,$A277,'BSE - Other Index Options'!$B:$B,F$147,'BSE - Other Index Options'!$I:$I,"Monthly*"))</f>
        <v/>
      </c>
      <c r="G277" s="26">
        <f>IF(SUMIFS('BSE - SENSEX Index Options'!$M:$M,'BSE - SENSEX Index Options'!$C:$C,$A277,'BSE - SENSEX Index Options'!$B:$B,G$147,'BSE - SENSEX Index Options'!$I:$I,"Monthly*")+SUMIFS('BSE - Other Index Options'!$M:$M,'BSE - Other Index Options'!$C:$C,$A277,'BSE - Other Index Options'!$B:$B,G$147,'BSE - Other Index Options'!$I:$I,"Monthly*")=0,"",SUMIFS('BSE - SENSEX Index Options'!$M:$M,'BSE - SENSEX Index Options'!$C:$C,$A277,'BSE - SENSEX Index Options'!$B:$B,G$147,'BSE - SENSEX Index Options'!$I:$I,"Monthly*")+SUMIFS('BSE - Other Index Options'!$M:$M,'BSE - Other Index Options'!$C:$C,$A277,'BSE - Other Index Options'!$B:$B,G$147,'BSE - Other Index Options'!$I:$I,"Monthly*"))</f>
        <v/>
      </c>
      <c r="H277" s="26">
        <f>IF(SUM(B277:G277)=0,"",SUM(B277:G277))</f>
        <v/>
      </c>
    </row>
    <row r="278" hidden="1" outlineLevel="1">
      <c r="A278" t="inlineStr">
        <is>
          <t>Week3-Nov-2027</t>
        </is>
      </c>
      <c r="B278" s="26">
        <f>IF(SUMIFS('BSE - SENSEX Index Options'!$M:$M,'BSE - SENSEX Index Options'!$C:$C,$A278,'BSE - SENSEX Index Options'!$B:$B,B$147,'BSE - SENSEX Index Options'!$I:$I,"Monthly*")+SUMIFS('BSE - Other Index Options'!$M:$M,'BSE - Other Index Options'!$C:$C,$A278,'BSE - Other Index Options'!$B:$B,B$147,'BSE - Other Index Options'!$I:$I,"Monthly*")=0,"",SUMIFS('BSE - SENSEX Index Options'!$M:$M,'BSE - SENSEX Index Options'!$C:$C,$A278,'BSE - SENSEX Index Options'!$B:$B,B$147,'BSE - SENSEX Index Options'!$I:$I,"Monthly*")+SUMIFS('BSE - Other Index Options'!$M:$M,'BSE - Other Index Options'!$C:$C,$A278,'BSE - Other Index Options'!$B:$B,B$147,'BSE - Other Index Options'!$I:$I,"Monthly*"))</f>
        <v/>
      </c>
      <c r="C278" s="26">
        <f>IF(SUMIFS('BSE - SENSEX Index Options'!$M:$M,'BSE - SENSEX Index Options'!$C:$C,$A278,'BSE - SENSEX Index Options'!$B:$B,C$147,'BSE - SENSEX Index Options'!$I:$I,"Monthly*")+SUMIFS('BSE - Other Index Options'!$M:$M,'BSE - Other Index Options'!$C:$C,$A278,'BSE - Other Index Options'!$B:$B,C$147,'BSE - Other Index Options'!$I:$I,"Monthly*")=0,"",SUMIFS('BSE - SENSEX Index Options'!$M:$M,'BSE - SENSEX Index Options'!$C:$C,$A278,'BSE - SENSEX Index Options'!$B:$B,C$147,'BSE - SENSEX Index Options'!$I:$I,"Monthly*")+SUMIFS('BSE - Other Index Options'!$M:$M,'BSE - Other Index Options'!$C:$C,$A278,'BSE - Other Index Options'!$B:$B,C$147,'BSE - Other Index Options'!$I:$I,"Monthly*"))</f>
        <v/>
      </c>
      <c r="D278" s="26">
        <f>IF(SUMIFS('BSE - SENSEX Index Options'!$M:$M,'BSE - SENSEX Index Options'!$C:$C,$A278,'BSE - SENSEX Index Options'!$B:$B,D$147,'BSE - SENSEX Index Options'!$I:$I,"Monthly*")+SUMIFS('BSE - Other Index Options'!$M:$M,'BSE - Other Index Options'!$C:$C,$A278,'BSE - Other Index Options'!$B:$B,D$147,'BSE - Other Index Options'!$I:$I,"Monthly*")=0,"",SUMIFS('BSE - SENSEX Index Options'!$M:$M,'BSE - SENSEX Index Options'!$C:$C,$A278,'BSE - SENSEX Index Options'!$B:$B,D$147,'BSE - SENSEX Index Options'!$I:$I,"Monthly*")+SUMIFS('BSE - Other Index Options'!$M:$M,'BSE - Other Index Options'!$C:$C,$A278,'BSE - Other Index Options'!$B:$B,D$147,'BSE - Other Index Options'!$I:$I,"Monthly*"))</f>
        <v/>
      </c>
      <c r="E278" s="26">
        <f>IF(SUMIFS('BSE - SENSEX Index Options'!$M:$M,'BSE - SENSEX Index Options'!$C:$C,$A278,'BSE - SENSEX Index Options'!$B:$B,E$147,'BSE - SENSEX Index Options'!$I:$I,"Monthly*")+SUMIFS('BSE - Other Index Options'!$M:$M,'BSE - Other Index Options'!$C:$C,$A278,'BSE - Other Index Options'!$B:$B,E$147,'BSE - Other Index Options'!$I:$I,"Monthly*")=0,"",SUMIFS('BSE - SENSEX Index Options'!$M:$M,'BSE - SENSEX Index Options'!$C:$C,$A278,'BSE - SENSEX Index Options'!$B:$B,E$147,'BSE - SENSEX Index Options'!$I:$I,"Monthly*")+SUMIFS('BSE - Other Index Options'!$M:$M,'BSE - Other Index Options'!$C:$C,$A278,'BSE - Other Index Options'!$B:$B,E$147,'BSE - Other Index Options'!$I:$I,"Monthly*"))</f>
        <v/>
      </c>
      <c r="F278" s="26">
        <f>IF(SUMIFS('BSE - SENSEX Index Options'!$M:$M,'BSE - SENSEX Index Options'!$C:$C,$A278,'BSE - SENSEX Index Options'!$B:$B,F$147,'BSE - SENSEX Index Options'!$I:$I,"Monthly*")+SUMIFS('BSE - Other Index Options'!$M:$M,'BSE - Other Index Options'!$C:$C,$A278,'BSE - Other Index Options'!$B:$B,F$147,'BSE - Other Index Options'!$I:$I,"Monthly*")=0,"",SUMIFS('BSE - SENSEX Index Options'!$M:$M,'BSE - SENSEX Index Options'!$C:$C,$A278,'BSE - SENSEX Index Options'!$B:$B,F$147,'BSE - SENSEX Index Options'!$I:$I,"Monthly*")+SUMIFS('BSE - Other Index Options'!$M:$M,'BSE - Other Index Options'!$C:$C,$A278,'BSE - Other Index Options'!$B:$B,F$147,'BSE - Other Index Options'!$I:$I,"Monthly*"))</f>
        <v/>
      </c>
      <c r="G278" s="26">
        <f>IF(SUMIFS('BSE - SENSEX Index Options'!$M:$M,'BSE - SENSEX Index Options'!$C:$C,$A278,'BSE - SENSEX Index Options'!$B:$B,G$147,'BSE - SENSEX Index Options'!$I:$I,"Monthly*")+SUMIFS('BSE - Other Index Options'!$M:$M,'BSE - Other Index Options'!$C:$C,$A278,'BSE - Other Index Options'!$B:$B,G$147,'BSE - Other Index Options'!$I:$I,"Monthly*")=0,"",SUMIFS('BSE - SENSEX Index Options'!$M:$M,'BSE - SENSEX Index Options'!$C:$C,$A278,'BSE - SENSEX Index Options'!$B:$B,G$147,'BSE - SENSEX Index Options'!$I:$I,"Monthly*")+SUMIFS('BSE - Other Index Options'!$M:$M,'BSE - Other Index Options'!$C:$C,$A278,'BSE - Other Index Options'!$B:$B,G$147,'BSE - Other Index Options'!$I:$I,"Monthly*"))</f>
        <v/>
      </c>
      <c r="H278" s="26">
        <f>IF(SUM(B278:G278)=0,"",SUM(B278:G278))</f>
        <v/>
      </c>
    </row>
    <row r="279" hidden="1" outlineLevel="1">
      <c r="A279" t="inlineStr">
        <is>
          <t>Week4-Nov-2027</t>
        </is>
      </c>
      <c r="B279" s="26">
        <f>IF(SUMIFS('BSE - SENSEX Index Options'!$M:$M,'BSE - SENSEX Index Options'!$C:$C,$A279,'BSE - SENSEX Index Options'!$B:$B,B$147,'BSE - SENSEX Index Options'!$I:$I,"Monthly*")+SUMIFS('BSE - Other Index Options'!$M:$M,'BSE - Other Index Options'!$C:$C,$A279,'BSE - Other Index Options'!$B:$B,B$147,'BSE - Other Index Options'!$I:$I,"Monthly*")=0,"",SUMIFS('BSE - SENSEX Index Options'!$M:$M,'BSE - SENSEX Index Options'!$C:$C,$A279,'BSE - SENSEX Index Options'!$B:$B,B$147,'BSE - SENSEX Index Options'!$I:$I,"Monthly*")+SUMIFS('BSE - Other Index Options'!$M:$M,'BSE - Other Index Options'!$C:$C,$A279,'BSE - Other Index Options'!$B:$B,B$147,'BSE - Other Index Options'!$I:$I,"Monthly*"))</f>
        <v/>
      </c>
      <c r="C279" s="26">
        <f>IF(SUMIFS('BSE - SENSEX Index Options'!$M:$M,'BSE - SENSEX Index Options'!$C:$C,$A279,'BSE - SENSEX Index Options'!$B:$B,C$147,'BSE - SENSEX Index Options'!$I:$I,"Monthly*")+SUMIFS('BSE - Other Index Options'!$M:$M,'BSE - Other Index Options'!$C:$C,$A279,'BSE - Other Index Options'!$B:$B,C$147,'BSE - Other Index Options'!$I:$I,"Monthly*")=0,"",SUMIFS('BSE - SENSEX Index Options'!$M:$M,'BSE - SENSEX Index Options'!$C:$C,$A279,'BSE - SENSEX Index Options'!$B:$B,C$147,'BSE - SENSEX Index Options'!$I:$I,"Monthly*")+SUMIFS('BSE - Other Index Options'!$M:$M,'BSE - Other Index Options'!$C:$C,$A279,'BSE - Other Index Options'!$B:$B,C$147,'BSE - Other Index Options'!$I:$I,"Monthly*"))</f>
        <v/>
      </c>
      <c r="D279" s="26">
        <f>IF(SUMIFS('BSE - SENSEX Index Options'!$M:$M,'BSE - SENSEX Index Options'!$C:$C,$A279,'BSE - SENSEX Index Options'!$B:$B,D$147,'BSE - SENSEX Index Options'!$I:$I,"Monthly*")+SUMIFS('BSE - Other Index Options'!$M:$M,'BSE - Other Index Options'!$C:$C,$A279,'BSE - Other Index Options'!$B:$B,D$147,'BSE - Other Index Options'!$I:$I,"Monthly*")=0,"",SUMIFS('BSE - SENSEX Index Options'!$M:$M,'BSE - SENSEX Index Options'!$C:$C,$A279,'BSE - SENSEX Index Options'!$B:$B,D$147,'BSE - SENSEX Index Options'!$I:$I,"Monthly*")+SUMIFS('BSE - Other Index Options'!$M:$M,'BSE - Other Index Options'!$C:$C,$A279,'BSE - Other Index Options'!$B:$B,D$147,'BSE - Other Index Options'!$I:$I,"Monthly*"))</f>
        <v/>
      </c>
      <c r="E279" s="26">
        <f>IF(SUMIFS('BSE - SENSEX Index Options'!$M:$M,'BSE - SENSEX Index Options'!$C:$C,$A279,'BSE - SENSEX Index Options'!$B:$B,E$147,'BSE - SENSEX Index Options'!$I:$I,"Monthly*")+SUMIFS('BSE - Other Index Options'!$M:$M,'BSE - Other Index Options'!$C:$C,$A279,'BSE - Other Index Options'!$B:$B,E$147,'BSE - Other Index Options'!$I:$I,"Monthly*")=0,"",SUMIFS('BSE - SENSEX Index Options'!$M:$M,'BSE - SENSEX Index Options'!$C:$C,$A279,'BSE - SENSEX Index Options'!$B:$B,E$147,'BSE - SENSEX Index Options'!$I:$I,"Monthly*")+SUMIFS('BSE - Other Index Options'!$M:$M,'BSE - Other Index Options'!$C:$C,$A279,'BSE - Other Index Options'!$B:$B,E$147,'BSE - Other Index Options'!$I:$I,"Monthly*"))</f>
        <v/>
      </c>
      <c r="F279" s="26">
        <f>IF(SUMIFS('BSE - SENSEX Index Options'!$M:$M,'BSE - SENSEX Index Options'!$C:$C,$A279,'BSE - SENSEX Index Options'!$B:$B,F$147,'BSE - SENSEX Index Options'!$I:$I,"Monthly*")+SUMIFS('BSE - Other Index Options'!$M:$M,'BSE - Other Index Options'!$C:$C,$A279,'BSE - Other Index Options'!$B:$B,F$147,'BSE - Other Index Options'!$I:$I,"Monthly*")=0,"",SUMIFS('BSE - SENSEX Index Options'!$M:$M,'BSE - SENSEX Index Options'!$C:$C,$A279,'BSE - SENSEX Index Options'!$B:$B,F$147,'BSE - SENSEX Index Options'!$I:$I,"Monthly*")+SUMIFS('BSE - Other Index Options'!$M:$M,'BSE - Other Index Options'!$C:$C,$A279,'BSE - Other Index Options'!$B:$B,F$147,'BSE - Other Index Options'!$I:$I,"Monthly*"))</f>
        <v/>
      </c>
      <c r="G279" s="26">
        <f>IF(SUMIFS('BSE - SENSEX Index Options'!$M:$M,'BSE - SENSEX Index Options'!$C:$C,$A279,'BSE - SENSEX Index Options'!$B:$B,G$147,'BSE - SENSEX Index Options'!$I:$I,"Monthly*")+SUMIFS('BSE - Other Index Options'!$M:$M,'BSE - Other Index Options'!$C:$C,$A279,'BSE - Other Index Options'!$B:$B,G$147,'BSE - Other Index Options'!$I:$I,"Monthly*")=0,"",SUMIFS('BSE - SENSEX Index Options'!$M:$M,'BSE - SENSEX Index Options'!$C:$C,$A279,'BSE - SENSEX Index Options'!$B:$B,G$147,'BSE - SENSEX Index Options'!$I:$I,"Monthly*")+SUMIFS('BSE - Other Index Options'!$M:$M,'BSE - Other Index Options'!$C:$C,$A279,'BSE - Other Index Options'!$B:$B,G$147,'BSE - Other Index Options'!$I:$I,"Monthly*"))</f>
        <v/>
      </c>
      <c r="H279" s="26">
        <f>IF(SUM(B279:G279)=0,"",SUM(B279:G279))</f>
        <v/>
      </c>
    </row>
    <row r="280" hidden="1" outlineLevel="1">
      <c r="A280" t="inlineStr">
        <is>
          <t>Week5-Nov-2027</t>
        </is>
      </c>
      <c r="B280" s="26">
        <f>IF(SUMIFS('BSE - SENSEX Index Options'!$M:$M,'BSE - SENSEX Index Options'!$C:$C,$A280,'BSE - SENSEX Index Options'!$B:$B,B$147,'BSE - SENSEX Index Options'!$I:$I,"Monthly*")+SUMIFS('BSE - Other Index Options'!$M:$M,'BSE - Other Index Options'!$C:$C,$A280,'BSE - Other Index Options'!$B:$B,B$147,'BSE - Other Index Options'!$I:$I,"Monthly*")=0,"",SUMIFS('BSE - SENSEX Index Options'!$M:$M,'BSE - SENSEX Index Options'!$C:$C,$A280,'BSE - SENSEX Index Options'!$B:$B,B$147,'BSE - SENSEX Index Options'!$I:$I,"Monthly*")+SUMIFS('BSE - Other Index Options'!$M:$M,'BSE - Other Index Options'!$C:$C,$A280,'BSE - Other Index Options'!$B:$B,B$147,'BSE - Other Index Options'!$I:$I,"Monthly*"))</f>
        <v/>
      </c>
      <c r="C280" s="26">
        <f>IF(SUMIFS('BSE - SENSEX Index Options'!$M:$M,'BSE - SENSEX Index Options'!$C:$C,$A280,'BSE - SENSEX Index Options'!$B:$B,C$147,'BSE - SENSEX Index Options'!$I:$I,"Monthly*")+SUMIFS('BSE - Other Index Options'!$M:$M,'BSE - Other Index Options'!$C:$C,$A280,'BSE - Other Index Options'!$B:$B,C$147,'BSE - Other Index Options'!$I:$I,"Monthly*")=0,"",SUMIFS('BSE - SENSEX Index Options'!$M:$M,'BSE - SENSEX Index Options'!$C:$C,$A280,'BSE - SENSEX Index Options'!$B:$B,C$147,'BSE - SENSEX Index Options'!$I:$I,"Monthly*")+SUMIFS('BSE - Other Index Options'!$M:$M,'BSE - Other Index Options'!$C:$C,$A280,'BSE - Other Index Options'!$B:$B,C$147,'BSE - Other Index Options'!$I:$I,"Monthly*"))</f>
        <v/>
      </c>
      <c r="D280" s="26">
        <f>IF(SUMIFS('BSE - SENSEX Index Options'!$M:$M,'BSE - SENSEX Index Options'!$C:$C,$A280,'BSE - SENSEX Index Options'!$B:$B,D$147,'BSE - SENSEX Index Options'!$I:$I,"Monthly*")+SUMIFS('BSE - Other Index Options'!$M:$M,'BSE - Other Index Options'!$C:$C,$A280,'BSE - Other Index Options'!$B:$B,D$147,'BSE - Other Index Options'!$I:$I,"Monthly*")=0,"",SUMIFS('BSE - SENSEX Index Options'!$M:$M,'BSE - SENSEX Index Options'!$C:$C,$A280,'BSE - SENSEX Index Options'!$B:$B,D$147,'BSE - SENSEX Index Options'!$I:$I,"Monthly*")+SUMIFS('BSE - Other Index Options'!$M:$M,'BSE - Other Index Options'!$C:$C,$A280,'BSE - Other Index Options'!$B:$B,D$147,'BSE - Other Index Options'!$I:$I,"Monthly*"))</f>
        <v/>
      </c>
      <c r="E280" s="26">
        <f>IF(SUMIFS('BSE - SENSEX Index Options'!$M:$M,'BSE - SENSEX Index Options'!$C:$C,$A280,'BSE - SENSEX Index Options'!$B:$B,E$147,'BSE - SENSEX Index Options'!$I:$I,"Monthly*")+SUMIFS('BSE - Other Index Options'!$M:$M,'BSE - Other Index Options'!$C:$C,$A280,'BSE - Other Index Options'!$B:$B,E$147,'BSE - Other Index Options'!$I:$I,"Monthly*")=0,"",SUMIFS('BSE - SENSEX Index Options'!$M:$M,'BSE - SENSEX Index Options'!$C:$C,$A280,'BSE - SENSEX Index Options'!$B:$B,E$147,'BSE - SENSEX Index Options'!$I:$I,"Monthly*")+SUMIFS('BSE - Other Index Options'!$M:$M,'BSE - Other Index Options'!$C:$C,$A280,'BSE - Other Index Options'!$B:$B,E$147,'BSE - Other Index Options'!$I:$I,"Monthly*"))</f>
        <v/>
      </c>
      <c r="F280" s="26">
        <f>IF(SUMIFS('BSE - SENSEX Index Options'!$M:$M,'BSE - SENSEX Index Options'!$C:$C,$A280,'BSE - SENSEX Index Options'!$B:$B,F$147,'BSE - SENSEX Index Options'!$I:$I,"Monthly*")+SUMIFS('BSE - Other Index Options'!$M:$M,'BSE - Other Index Options'!$C:$C,$A280,'BSE - Other Index Options'!$B:$B,F$147,'BSE - Other Index Options'!$I:$I,"Monthly*")=0,"",SUMIFS('BSE - SENSEX Index Options'!$M:$M,'BSE - SENSEX Index Options'!$C:$C,$A280,'BSE - SENSEX Index Options'!$B:$B,F$147,'BSE - SENSEX Index Options'!$I:$I,"Monthly*")+SUMIFS('BSE - Other Index Options'!$M:$M,'BSE - Other Index Options'!$C:$C,$A280,'BSE - Other Index Options'!$B:$B,F$147,'BSE - Other Index Options'!$I:$I,"Monthly*"))</f>
        <v/>
      </c>
      <c r="G280" s="26">
        <f>IF(SUMIFS('BSE - SENSEX Index Options'!$M:$M,'BSE - SENSEX Index Options'!$C:$C,$A280,'BSE - SENSEX Index Options'!$B:$B,G$147,'BSE - SENSEX Index Options'!$I:$I,"Monthly*")+SUMIFS('BSE - Other Index Options'!$M:$M,'BSE - Other Index Options'!$C:$C,$A280,'BSE - Other Index Options'!$B:$B,G$147,'BSE - Other Index Options'!$I:$I,"Monthly*")=0,"",SUMIFS('BSE - SENSEX Index Options'!$M:$M,'BSE - SENSEX Index Options'!$C:$C,$A280,'BSE - SENSEX Index Options'!$B:$B,G$147,'BSE - SENSEX Index Options'!$I:$I,"Monthly*")+SUMIFS('BSE - Other Index Options'!$M:$M,'BSE - Other Index Options'!$C:$C,$A280,'BSE - Other Index Options'!$B:$B,G$147,'BSE - Other Index Options'!$I:$I,"Monthly*"))</f>
        <v/>
      </c>
      <c r="H280" s="26">
        <f>IF(SUM(B280:G280)=0,"",SUM(B280:G280))</f>
        <v/>
      </c>
    </row>
    <row r="281" hidden="1" outlineLevel="1">
      <c r="A281" t="inlineStr">
        <is>
          <t>Week1-Dec-2027</t>
        </is>
      </c>
      <c r="B281" s="26">
        <f>IF(SUMIFS('BSE - SENSEX Index Options'!$M:$M,'BSE - SENSEX Index Options'!$C:$C,$A281,'BSE - SENSEX Index Options'!$B:$B,B$147,'BSE - SENSEX Index Options'!$I:$I,"Monthly*")+SUMIFS('BSE - Other Index Options'!$M:$M,'BSE - Other Index Options'!$C:$C,$A281,'BSE - Other Index Options'!$B:$B,B$147,'BSE - Other Index Options'!$I:$I,"Monthly*")=0,"",SUMIFS('BSE - SENSEX Index Options'!$M:$M,'BSE - SENSEX Index Options'!$C:$C,$A281,'BSE - SENSEX Index Options'!$B:$B,B$147,'BSE - SENSEX Index Options'!$I:$I,"Monthly*")+SUMIFS('BSE - Other Index Options'!$M:$M,'BSE - Other Index Options'!$C:$C,$A281,'BSE - Other Index Options'!$B:$B,B$147,'BSE - Other Index Options'!$I:$I,"Monthly*"))</f>
        <v/>
      </c>
      <c r="C281" s="26">
        <f>IF(SUMIFS('BSE - SENSEX Index Options'!$M:$M,'BSE - SENSEX Index Options'!$C:$C,$A281,'BSE - SENSEX Index Options'!$B:$B,C$147,'BSE - SENSEX Index Options'!$I:$I,"Monthly*")+SUMIFS('BSE - Other Index Options'!$M:$M,'BSE - Other Index Options'!$C:$C,$A281,'BSE - Other Index Options'!$B:$B,C$147,'BSE - Other Index Options'!$I:$I,"Monthly*")=0,"",SUMIFS('BSE - SENSEX Index Options'!$M:$M,'BSE - SENSEX Index Options'!$C:$C,$A281,'BSE - SENSEX Index Options'!$B:$B,C$147,'BSE - SENSEX Index Options'!$I:$I,"Monthly*")+SUMIFS('BSE - Other Index Options'!$M:$M,'BSE - Other Index Options'!$C:$C,$A281,'BSE - Other Index Options'!$B:$B,C$147,'BSE - Other Index Options'!$I:$I,"Monthly*"))</f>
        <v/>
      </c>
      <c r="D281" s="26">
        <f>IF(SUMIFS('BSE - SENSEX Index Options'!$M:$M,'BSE - SENSEX Index Options'!$C:$C,$A281,'BSE - SENSEX Index Options'!$B:$B,D$147,'BSE - SENSEX Index Options'!$I:$I,"Monthly*")+SUMIFS('BSE - Other Index Options'!$M:$M,'BSE - Other Index Options'!$C:$C,$A281,'BSE - Other Index Options'!$B:$B,D$147,'BSE - Other Index Options'!$I:$I,"Monthly*")=0,"",SUMIFS('BSE - SENSEX Index Options'!$M:$M,'BSE - SENSEX Index Options'!$C:$C,$A281,'BSE - SENSEX Index Options'!$B:$B,D$147,'BSE - SENSEX Index Options'!$I:$I,"Monthly*")+SUMIFS('BSE - Other Index Options'!$M:$M,'BSE - Other Index Options'!$C:$C,$A281,'BSE - Other Index Options'!$B:$B,D$147,'BSE - Other Index Options'!$I:$I,"Monthly*"))</f>
        <v/>
      </c>
      <c r="E281" s="26">
        <f>IF(SUMIFS('BSE - SENSEX Index Options'!$M:$M,'BSE - SENSEX Index Options'!$C:$C,$A281,'BSE - SENSEX Index Options'!$B:$B,E$147,'BSE - SENSEX Index Options'!$I:$I,"Monthly*")+SUMIFS('BSE - Other Index Options'!$M:$M,'BSE - Other Index Options'!$C:$C,$A281,'BSE - Other Index Options'!$B:$B,E$147,'BSE - Other Index Options'!$I:$I,"Monthly*")=0,"",SUMIFS('BSE - SENSEX Index Options'!$M:$M,'BSE - SENSEX Index Options'!$C:$C,$A281,'BSE - SENSEX Index Options'!$B:$B,E$147,'BSE - SENSEX Index Options'!$I:$I,"Monthly*")+SUMIFS('BSE - Other Index Options'!$M:$M,'BSE - Other Index Options'!$C:$C,$A281,'BSE - Other Index Options'!$B:$B,E$147,'BSE - Other Index Options'!$I:$I,"Monthly*"))</f>
        <v/>
      </c>
      <c r="F281" s="26">
        <f>IF(SUMIFS('BSE - SENSEX Index Options'!$M:$M,'BSE - SENSEX Index Options'!$C:$C,$A281,'BSE - SENSEX Index Options'!$B:$B,F$147,'BSE - SENSEX Index Options'!$I:$I,"Monthly*")+SUMIFS('BSE - Other Index Options'!$M:$M,'BSE - Other Index Options'!$C:$C,$A281,'BSE - Other Index Options'!$B:$B,F$147,'BSE - Other Index Options'!$I:$I,"Monthly*")=0,"",SUMIFS('BSE - SENSEX Index Options'!$M:$M,'BSE - SENSEX Index Options'!$C:$C,$A281,'BSE - SENSEX Index Options'!$B:$B,F$147,'BSE - SENSEX Index Options'!$I:$I,"Monthly*")+SUMIFS('BSE - Other Index Options'!$M:$M,'BSE - Other Index Options'!$C:$C,$A281,'BSE - Other Index Options'!$B:$B,F$147,'BSE - Other Index Options'!$I:$I,"Monthly*"))</f>
        <v/>
      </c>
      <c r="G281" s="26">
        <f>IF(SUMIFS('BSE - SENSEX Index Options'!$M:$M,'BSE - SENSEX Index Options'!$C:$C,$A281,'BSE - SENSEX Index Options'!$B:$B,G$147,'BSE - SENSEX Index Options'!$I:$I,"Monthly*")+SUMIFS('BSE - Other Index Options'!$M:$M,'BSE - Other Index Options'!$C:$C,$A281,'BSE - Other Index Options'!$B:$B,G$147,'BSE - Other Index Options'!$I:$I,"Monthly*")=0,"",SUMIFS('BSE - SENSEX Index Options'!$M:$M,'BSE - SENSEX Index Options'!$C:$C,$A281,'BSE - SENSEX Index Options'!$B:$B,G$147,'BSE - SENSEX Index Options'!$I:$I,"Monthly*")+SUMIFS('BSE - Other Index Options'!$M:$M,'BSE - Other Index Options'!$C:$C,$A281,'BSE - Other Index Options'!$B:$B,G$147,'BSE - Other Index Options'!$I:$I,"Monthly*"))</f>
        <v/>
      </c>
      <c r="H281" s="26">
        <f>IF(SUM(B281:G281)=0,"",SUM(B281:G281))</f>
        <v/>
      </c>
    </row>
    <row r="282" hidden="1" outlineLevel="1">
      <c r="A282" t="inlineStr">
        <is>
          <t>Week2-Dec-2027</t>
        </is>
      </c>
      <c r="B282" s="26">
        <f>IF(SUMIFS('BSE - SENSEX Index Options'!$M:$M,'BSE - SENSEX Index Options'!$C:$C,$A282,'BSE - SENSEX Index Options'!$B:$B,B$147,'BSE - SENSEX Index Options'!$I:$I,"Monthly*")+SUMIFS('BSE - Other Index Options'!$M:$M,'BSE - Other Index Options'!$C:$C,$A282,'BSE - Other Index Options'!$B:$B,B$147,'BSE - Other Index Options'!$I:$I,"Monthly*")=0,"",SUMIFS('BSE - SENSEX Index Options'!$M:$M,'BSE - SENSEX Index Options'!$C:$C,$A282,'BSE - SENSEX Index Options'!$B:$B,B$147,'BSE - SENSEX Index Options'!$I:$I,"Monthly*")+SUMIFS('BSE - Other Index Options'!$M:$M,'BSE - Other Index Options'!$C:$C,$A282,'BSE - Other Index Options'!$B:$B,B$147,'BSE - Other Index Options'!$I:$I,"Monthly*"))</f>
        <v/>
      </c>
      <c r="C282" s="26">
        <f>IF(SUMIFS('BSE - SENSEX Index Options'!$M:$M,'BSE - SENSEX Index Options'!$C:$C,$A282,'BSE - SENSEX Index Options'!$B:$B,C$147,'BSE - SENSEX Index Options'!$I:$I,"Monthly*")+SUMIFS('BSE - Other Index Options'!$M:$M,'BSE - Other Index Options'!$C:$C,$A282,'BSE - Other Index Options'!$B:$B,C$147,'BSE - Other Index Options'!$I:$I,"Monthly*")=0,"",SUMIFS('BSE - SENSEX Index Options'!$M:$M,'BSE - SENSEX Index Options'!$C:$C,$A282,'BSE - SENSEX Index Options'!$B:$B,C$147,'BSE - SENSEX Index Options'!$I:$I,"Monthly*")+SUMIFS('BSE - Other Index Options'!$M:$M,'BSE - Other Index Options'!$C:$C,$A282,'BSE - Other Index Options'!$B:$B,C$147,'BSE - Other Index Options'!$I:$I,"Monthly*"))</f>
        <v/>
      </c>
      <c r="D282" s="26">
        <f>IF(SUMIFS('BSE - SENSEX Index Options'!$M:$M,'BSE - SENSEX Index Options'!$C:$C,$A282,'BSE - SENSEX Index Options'!$B:$B,D$147,'BSE - SENSEX Index Options'!$I:$I,"Monthly*")+SUMIFS('BSE - Other Index Options'!$M:$M,'BSE - Other Index Options'!$C:$C,$A282,'BSE - Other Index Options'!$B:$B,D$147,'BSE - Other Index Options'!$I:$I,"Monthly*")=0,"",SUMIFS('BSE - SENSEX Index Options'!$M:$M,'BSE - SENSEX Index Options'!$C:$C,$A282,'BSE - SENSEX Index Options'!$B:$B,D$147,'BSE - SENSEX Index Options'!$I:$I,"Monthly*")+SUMIFS('BSE - Other Index Options'!$M:$M,'BSE - Other Index Options'!$C:$C,$A282,'BSE - Other Index Options'!$B:$B,D$147,'BSE - Other Index Options'!$I:$I,"Monthly*"))</f>
        <v/>
      </c>
      <c r="E282" s="26">
        <f>IF(SUMIFS('BSE - SENSEX Index Options'!$M:$M,'BSE - SENSEX Index Options'!$C:$C,$A282,'BSE - SENSEX Index Options'!$B:$B,E$147,'BSE - SENSEX Index Options'!$I:$I,"Monthly*")+SUMIFS('BSE - Other Index Options'!$M:$M,'BSE - Other Index Options'!$C:$C,$A282,'BSE - Other Index Options'!$B:$B,E$147,'BSE - Other Index Options'!$I:$I,"Monthly*")=0,"",SUMIFS('BSE - SENSEX Index Options'!$M:$M,'BSE - SENSEX Index Options'!$C:$C,$A282,'BSE - SENSEX Index Options'!$B:$B,E$147,'BSE - SENSEX Index Options'!$I:$I,"Monthly*")+SUMIFS('BSE - Other Index Options'!$M:$M,'BSE - Other Index Options'!$C:$C,$A282,'BSE - Other Index Options'!$B:$B,E$147,'BSE - Other Index Options'!$I:$I,"Monthly*"))</f>
        <v/>
      </c>
      <c r="F282" s="26">
        <f>IF(SUMIFS('BSE - SENSEX Index Options'!$M:$M,'BSE - SENSEX Index Options'!$C:$C,$A282,'BSE - SENSEX Index Options'!$B:$B,F$147,'BSE - SENSEX Index Options'!$I:$I,"Monthly*")+SUMIFS('BSE - Other Index Options'!$M:$M,'BSE - Other Index Options'!$C:$C,$A282,'BSE - Other Index Options'!$B:$B,F$147,'BSE - Other Index Options'!$I:$I,"Monthly*")=0,"",SUMIFS('BSE - SENSEX Index Options'!$M:$M,'BSE - SENSEX Index Options'!$C:$C,$A282,'BSE - SENSEX Index Options'!$B:$B,F$147,'BSE - SENSEX Index Options'!$I:$I,"Monthly*")+SUMIFS('BSE - Other Index Options'!$M:$M,'BSE - Other Index Options'!$C:$C,$A282,'BSE - Other Index Options'!$B:$B,F$147,'BSE - Other Index Options'!$I:$I,"Monthly*"))</f>
        <v/>
      </c>
      <c r="G282" s="26">
        <f>IF(SUMIFS('BSE - SENSEX Index Options'!$M:$M,'BSE - SENSEX Index Options'!$C:$C,$A282,'BSE - SENSEX Index Options'!$B:$B,G$147,'BSE - SENSEX Index Options'!$I:$I,"Monthly*")+SUMIFS('BSE - Other Index Options'!$M:$M,'BSE - Other Index Options'!$C:$C,$A282,'BSE - Other Index Options'!$B:$B,G$147,'BSE - Other Index Options'!$I:$I,"Monthly*")=0,"",SUMIFS('BSE - SENSEX Index Options'!$M:$M,'BSE - SENSEX Index Options'!$C:$C,$A282,'BSE - SENSEX Index Options'!$B:$B,G$147,'BSE - SENSEX Index Options'!$I:$I,"Monthly*")+SUMIFS('BSE - Other Index Options'!$M:$M,'BSE - Other Index Options'!$C:$C,$A282,'BSE - Other Index Options'!$B:$B,G$147,'BSE - Other Index Options'!$I:$I,"Monthly*"))</f>
        <v/>
      </c>
      <c r="H282" s="26">
        <f>IF(SUM(B282:G282)=0,"",SUM(B282:G282))</f>
        <v/>
      </c>
    </row>
    <row r="283" hidden="1" outlineLevel="1">
      <c r="A283" t="inlineStr">
        <is>
          <t>Week3-Dec-2027</t>
        </is>
      </c>
      <c r="B283" s="26">
        <f>IF(SUMIFS('BSE - SENSEX Index Options'!$M:$M,'BSE - SENSEX Index Options'!$C:$C,$A283,'BSE - SENSEX Index Options'!$B:$B,B$147,'BSE - SENSEX Index Options'!$I:$I,"Monthly*")+SUMIFS('BSE - Other Index Options'!$M:$M,'BSE - Other Index Options'!$C:$C,$A283,'BSE - Other Index Options'!$B:$B,B$147,'BSE - Other Index Options'!$I:$I,"Monthly*")=0,"",SUMIFS('BSE - SENSEX Index Options'!$M:$M,'BSE - SENSEX Index Options'!$C:$C,$A283,'BSE - SENSEX Index Options'!$B:$B,B$147,'BSE - SENSEX Index Options'!$I:$I,"Monthly*")+SUMIFS('BSE - Other Index Options'!$M:$M,'BSE - Other Index Options'!$C:$C,$A283,'BSE - Other Index Options'!$B:$B,B$147,'BSE - Other Index Options'!$I:$I,"Monthly*"))</f>
        <v/>
      </c>
      <c r="C283" s="26">
        <f>IF(SUMIFS('BSE - SENSEX Index Options'!$M:$M,'BSE - SENSEX Index Options'!$C:$C,$A283,'BSE - SENSEX Index Options'!$B:$B,C$147,'BSE - SENSEX Index Options'!$I:$I,"Monthly*")+SUMIFS('BSE - Other Index Options'!$M:$M,'BSE - Other Index Options'!$C:$C,$A283,'BSE - Other Index Options'!$B:$B,C$147,'BSE - Other Index Options'!$I:$I,"Monthly*")=0,"",SUMIFS('BSE - SENSEX Index Options'!$M:$M,'BSE - SENSEX Index Options'!$C:$C,$A283,'BSE - SENSEX Index Options'!$B:$B,C$147,'BSE - SENSEX Index Options'!$I:$I,"Monthly*")+SUMIFS('BSE - Other Index Options'!$M:$M,'BSE - Other Index Options'!$C:$C,$A283,'BSE - Other Index Options'!$B:$B,C$147,'BSE - Other Index Options'!$I:$I,"Monthly*"))</f>
        <v/>
      </c>
      <c r="D283" s="26">
        <f>IF(SUMIFS('BSE - SENSEX Index Options'!$M:$M,'BSE - SENSEX Index Options'!$C:$C,$A283,'BSE - SENSEX Index Options'!$B:$B,D$147,'BSE - SENSEX Index Options'!$I:$I,"Monthly*")+SUMIFS('BSE - Other Index Options'!$M:$M,'BSE - Other Index Options'!$C:$C,$A283,'BSE - Other Index Options'!$B:$B,D$147,'BSE - Other Index Options'!$I:$I,"Monthly*")=0,"",SUMIFS('BSE - SENSEX Index Options'!$M:$M,'BSE - SENSEX Index Options'!$C:$C,$A283,'BSE - SENSEX Index Options'!$B:$B,D$147,'BSE - SENSEX Index Options'!$I:$I,"Monthly*")+SUMIFS('BSE - Other Index Options'!$M:$M,'BSE - Other Index Options'!$C:$C,$A283,'BSE - Other Index Options'!$B:$B,D$147,'BSE - Other Index Options'!$I:$I,"Monthly*"))</f>
        <v/>
      </c>
      <c r="E283" s="26">
        <f>IF(SUMIFS('BSE - SENSEX Index Options'!$M:$M,'BSE - SENSEX Index Options'!$C:$C,$A283,'BSE - SENSEX Index Options'!$B:$B,E$147,'BSE - SENSEX Index Options'!$I:$I,"Monthly*")+SUMIFS('BSE - Other Index Options'!$M:$M,'BSE - Other Index Options'!$C:$C,$A283,'BSE - Other Index Options'!$B:$B,E$147,'BSE - Other Index Options'!$I:$I,"Monthly*")=0,"",SUMIFS('BSE - SENSEX Index Options'!$M:$M,'BSE - SENSEX Index Options'!$C:$C,$A283,'BSE - SENSEX Index Options'!$B:$B,E$147,'BSE - SENSEX Index Options'!$I:$I,"Monthly*")+SUMIFS('BSE - Other Index Options'!$M:$M,'BSE - Other Index Options'!$C:$C,$A283,'BSE - Other Index Options'!$B:$B,E$147,'BSE - Other Index Options'!$I:$I,"Monthly*"))</f>
        <v/>
      </c>
      <c r="F283" s="26">
        <f>IF(SUMIFS('BSE - SENSEX Index Options'!$M:$M,'BSE - SENSEX Index Options'!$C:$C,$A283,'BSE - SENSEX Index Options'!$B:$B,F$147,'BSE - SENSEX Index Options'!$I:$I,"Monthly*")+SUMIFS('BSE - Other Index Options'!$M:$M,'BSE - Other Index Options'!$C:$C,$A283,'BSE - Other Index Options'!$B:$B,F$147,'BSE - Other Index Options'!$I:$I,"Monthly*")=0,"",SUMIFS('BSE - SENSEX Index Options'!$M:$M,'BSE - SENSEX Index Options'!$C:$C,$A283,'BSE - SENSEX Index Options'!$B:$B,F$147,'BSE - SENSEX Index Options'!$I:$I,"Monthly*")+SUMIFS('BSE - Other Index Options'!$M:$M,'BSE - Other Index Options'!$C:$C,$A283,'BSE - Other Index Options'!$B:$B,F$147,'BSE - Other Index Options'!$I:$I,"Monthly*"))</f>
        <v/>
      </c>
      <c r="G283" s="26">
        <f>IF(SUMIFS('BSE - SENSEX Index Options'!$M:$M,'BSE - SENSEX Index Options'!$C:$C,$A283,'BSE - SENSEX Index Options'!$B:$B,G$147,'BSE - SENSEX Index Options'!$I:$I,"Monthly*")+SUMIFS('BSE - Other Index Options'!$M:$M,'BSE - Other Index Options'!$C:$C,$A283,'BSE - Other Index Options'!$B:$B,G$147,'BSE - Other Index Options'!$I:$I,"Monthly*")=0,"",SUMIFS('BSE - SENSEX Index Options'!$M:$M,'BSE - SENSEX Index Options'!$C:$C,$A283,'BSE - SENSEX Index Options'!$B:$B,G$147,'BSE - SENSEX Index Options'!$I:$I,"Monthly*")+SUMIFS('BSE - Other Index Options'!$M:$M,'BSE - Other Index Options'!$C:$C,$A283,'BSE - Other Index Options'!$B:$B,G$147,'BSE - Other Index Options'!$I:$I,"Monthly*"))</f>
        <v/>
      </c>
      <c r="H283" s="26">
        <f>IF(SUM(B283:G283)=0,"",SUM(B283:G283))</f>
        <v/>
      </c>
    </row>
    <row r="284" hidden="1" outlineLevel="1">
      <c r="A284" t="inlineStr">
        <is>
          <t>Week4-Dec-2027</t>
        </is>
      </c>
      <c r="B284" s="26">
        <f>IF(SUMIFS('BSE - SENSEX Index Options'!$M:$M,'BSE - SENSEX Index Options'!$C:$C,$A284,'BSE - SENSEX Index Options'!$B:$B,B$147,'BSE - SENSEX Index Options'!$I:$I,"Monthly*")+SUMIFS('BSE - Other Index Options'!$M:$M,'BSE - Other Index Options'!$C:$C,$A284,'BSE - Other Index Options'!$B:$B,B$147,'BSE - Other Index Options'!$I:$I,"Monthly*")=0,"",SUMIFS('BSE - SENSEX Index Options'!$M:$M,'BSE - SENSEX Index Options'!$C:$C,$A284,'BSE - SENSEX Index Options'!$B:$B,B$147,'BSE - SENSEX Index Options'!$I:$I,"Monthly*")+SUMIFS('BSE - Other Index Options'!$M:$M,'BSE - Other Index Options'!$C:$C,$A284,'BSE - Other Index Options'!$B:$B,B$147,'BSE - Other Index Options'!$I:$I,"Monthly*"))</f>
        <v/>
      </c>
      <c r="C284" s="26">
        <f>IF(SUMIFS('BSE - SENSEX Index Options'!$M:$M,'BSE - SENSEX Index Options'!$C:$C,$A284,'BSE - SENSEX Index Options'!$B:$B,C$147,'BSE - SENSEX Index Options'!$I:$I,"Monthly*")+SUMIFS('BSE - Other Index Options'!$M:$M,'BSE - Other Index Options'!$C:$C,$A284,'BSE - Other Index Options'!$B:$B,C$147,'BSE - Other Index Options'!$I:$I,"Monthly*")=0,"",SUMIFS('BSE - SENSEX Index Options'!$M:$M,'BSE - SENSEX Index Options'!$C:$C,$A284,'BSE - SENSEX Index Options'!$B:$B,C$147,'BSE - SENSEX Index Options'!$I:$I,"Monthly*")+SUMIFS('BSE - Other Index Options'!$M:$M,'BSE - Other Index Options'!$C:$C,$A284,'BSE - Other Index Options'!$B:$B,C$147,'BSE - Other Index Options'!$I:$I,"Monthly*"))</f>
        <v/>
      </c>
      <c r="D284" s="26">
        <f>IF(SUMIFS('BSE - SENSEX Index Options'!$M:$M,'BSE - SENSEX Index Options'!$C:$C,$A284,'BSE - SENSEX Index Options'!$B:$B,D$147,'BSE - SENSEX Index Options'!$I:$I,"Monthly*")+SUMIFS('BSE - Other Index Options'!$M:$M,'BSE - Other Index Options'!$C:$C,$A284,'BSE - Other Index Options'!$B:$B,D$147,'BSE - Other Index Options'!$I:$I,"Monthly*")=0,"",SUMIFS('BSE - SENSEX Index Options'!$M:$M,'BSE - SENSEX Index Options'!$C:$C,$A284,'BSE - SENSEX Index Options'!$B:$B,D$147,'BSE - SENSEX Index Options'!$I:$I,"Monthly*")+SUMIFS('BSE - Other Index Options'!$M:$M,'BSE - Other Index Options'!$C:$C,$A284,'BSE - Other Index Options'!$B:$B,D$147,'BSE - Other Index Options'!$I:$I,"Monthly*"))</f>
        <v/>
      </c>
      <c r="E284" s="26">
        <f>IF(SUMIFS('BSE - SENSEX Index Options'!$M:$M,'BSE - SENSEX Index Options'!$C:$C,$A284,'BSE - SENSEX Index Options'!$B:$B,E$147,'BSE - SENSEX Index Options'!$I:$I,"Monthly*")+SUMIFS('BSE - Other Index Options'!$M:$M,'BSE - Other Index Options'!$C:$C,$A284,'BSE - Other Index Options'!$B:$B,E$147,'BSE - Other Index Options'!$I:$I,"Monthly*")=0,"",SUMIFS('BSE - SENSEX Index Options'!$M:$M,'BSE - SENSEX Index Options'!$C:$C,$A284,'BSE - SENSEX Index Options'!$B:$B,E$147,'BSE - SENSEX Index Options'!$I:$I,"Monthly*")+SUMIFS('BSE - Other Index Options'!$M:$M,'BSE - Other Index Options'!$C:$C,$A284,'BSE - Other Index Options'!$B:$B,E$147,'BSE - Other Index Options'!$I:$I,"Monthly*"))</f>
        <v/>
      </c>
      <c r="F284" s="26">
        <f>IF(SUMIFS('BSE - SENSEX Index Options'!$M:$M,'BSE - SENSEX Index Options'!$C:$C,$A284,'BSE - SENSEX Index Options'!$B:$B,F$147,'BSE - SENSEX Index Options'!$I:$I,"Monthly*")+SUMIFS('BSE - Other Index Options'!$M:$M,'BSE - Other Index Options'!$C:$C,$A284,'BSE - Other Index Options'!$B:$B,F$147,'BSE - Other Index Options'!$I:$I,"Monthly*")=0,"",SUMIFS('BSE - SENSEX Index Options'!$M:$M,'BSE - SENSEX Index Options'!$C:$C,$A284,'BSE - SENSEX Index Options'!$B:$B,F$147,'BSE - SENSEX Index Options'!$I:$I,"Monthly*")+SUMIFS('BSE - Other Index Options'!$M:$M,'BSE - Other Index Options'!$C:$C,$A284,'BSE - Other Index Options'!$B:$B,F$147,'BSE - Other Index Options'!$I:$I,"Monthly*"))</f>
        <v/>
      </c>
      <c r="G284" s="26">
        <f>IF(SUMIFS('BSE - SENSEX Index Options'!$M:$M,'BSE - SENSEX Index Options'!$C:$C,$A284,'BSE - SENSEX Index Options'!$B:$B,G$147,'BSE - SENSEX Index Options'!$I:$I,"Monthly*")+SUMIFS('BSE - Other Index Options'!$M:$M,'BSE - Other Index Options'!$C:$C,$A284,'BSE - Other Index Options'!$B:$B,G$147,'BSE - Other Index Options'!$I:$I,"Monthly*")=0,"",SUMIFS('BSE - SENSEX Index Options'!$M:$M,'BSE - SENSEX Index Options'!$C:$C,$A284,'BSE - SENSEX Index Options'!$B:$B,G$147,'BSE - SENSEX Index Options'!$I:$I,"Monthly*")+SUMIFS('BSE - Other Index Options'!$M:$M,'BSE - Other Index Options'!$C:$C,$A284,'BSE - Other Index Options'!$B:$B,G$147,'BSE - Other Index Options'!$I:$I,"Monthly*"))</f>
        <v/>
      </c>
      <c r="H284" s="26">
        <f>IF(SUM(B284:G284)=0,"",SUM(B284:G284))</f>
        <v/>
      </c>
    </row>
    <row r="285" hidden="1" outlineLevel="1">
      <c r="A285" t="inlineStr">
        <is>
          <t>Week5-Dec-2027</t>
        </is>
      </c>
      <c r="B285" s="26">
        <f>IF(SUMIFS('BSE - SENSEX Index Options'!$M:$M,'BSE - SENSEX Index Options'!$C:$C,$A285,'BSE - SENSEX Index Options'!$B:$B,B$147,'BSE - SENSEX Index Options'!$I:$I,"Monthly*")+SUMIFS('BSE - Other Index Options'!$M:$M,'BSE - Other Index Options'!$C:$C,$A285,'BSE - Other Index Options'!$B:$B,B$147,'BSE - Other Index Options'!$I:$I,"Monthly*")=0,"",SUMIFS('BSE - SENSEX Index Options'!$M:$M,'BSE - SENSEX Index Options'!$C:$C,$A285,'BSE - SENSEX Index Options'!$B:$B,B$147,'BSE - SENSEX Index Options'!$I:$I,"Monthly*")+SUMIFS('BSE - Other Index Options'!$M:$M,'BSE - Other Index Options'!$C:$C,$A285,'BSE - Other Index Options'!$B:$B,B$147,'BSE - Other Index Options'!$I:$I,"Monthly*"))</f>
        <v/>
      </c>
      <c r="C285" s="26">
        <f>IF(SUMIFS('BSE - SENSEX Index Options'!$M:$M,'BSE - SENSEX Index Options'!$C:$C,$A285,'BSE - SENSEX Index Options'!$B:$B,C$147,'BSE - SENSEX Index Options'!$I:$I,"Monthly*")+SUMIFS('BSE - Other Index Options'!$M:$M,'BSE - Other Index Options'!$C:$C,$A285,'BSE - Other Index Options'!$B:$B,C$147,'BSE - Other Index Options'!$I:$I,"Monthly*")=0,"",SUMIFS('BSE - SENSEX Index Options'!$M:$M,'BSE - SENSEX Index Options'!$C:$C,$A285,'BSE - SENSEX Index Options'!$B:$B,C$147,'BSE - SENSEX Index Options'!$I:$I,"Monthly*")+SUMIFS('BSE - Other Index Options'!$M:$M,'BSE - Other Index Options'!$C:$C,$A285,'BSE - Other Index Options'!$B:$B,C$147,'BSE - Other Index Options'!$I:$I,"Monthly*"))</f>
        <v/>
      </c>
      <c r="D285" s="26">
        <f>IF(SUMIFS('BSE - SENSEX Index Options'!$M:$M,'BSE - SENSEX Index Options'!$C:$C,$A285,'BSE - SENSEX Index Options'!$B:$B,D$147,'BSE - SENSEX Index Options'!$I:$I,"Monthly*")+SUMIFS('BSE - Other Index Options'!$M:$M,'BSE - Other Index Options'!$C:$C,$A285,'BSE - Other Index Options'!$B:$B,D$147,'BSE - Other Index Options'!$I:$I,"Monthly*")=0,"",SUMIFS('BSE - SENSEX Index Options'!$M:$M,'BSE - SENSEX Index Options'!$C:$C,$A285,'BSE - SENSEX Index Options'!$B:$B,D$147,'BSE - SENSEX Index Options'!$I:$I,"Monthly*")+SUMIFS('BSE - Other Index Options'!$M:$M,'BSE - Other Index Options'!$C:$C,$A285,'BSE - Other Index Options'!$B:$B,D$147,'BSE - Other Index Options'!$I:$I,"Monthly*"))</f>
        <v/>
      </c>
      <c r="E285" s="26">
        <f>IF(SUMIFS('BSE - SENSEX Index Options'!$M:$M,'BSE - SENSEX Index Options'!$C:$C,$A285,'BSE - SENSEX Index Options'!$B:$B,E$147,'BSE - SENSEX Index Options'!$I:$I,"Monthly*")+SUMIFS('BSE - Other Index Options'!$M:$M,'BSE - Other Index Options'!$C:$C,$A285,'BSE - Other Index Options'!$B:$B,E$147,'BSE - Other Index Options'!$I:$I,"Monthly*")=0,"",SUMIFS('BSE - SENSEX Index Options'!$M:$M,'BSE - SENSEX Index Options'!$C:$C,$A285,'BSE - SENSEX Index Options'!$B:$B,E$147,'BSE - SENSEX Index Options'!$I:$I,"Monthly*")+SUMIFS('BSE - Other Index Options'!$M:$M,'BSE - Other Index Options'!$C:$C,$A285,'BSE - Other Index Options'!$B:$B,E$147,'BSE - Other Index Options'!$I:$I,"Monthly*"))</f>
        <v/>
      </c>
      <c r="F285" s="26">
        <f>IF(SUMIFS('BSE - SENSEX Index Options'!$M:$M,'BSE - SENSEX Index Options'!$C:$C,$A285,'BSE - SENSEX Index Options'!$B:$B,F$147,'BSE - SENSEX Index Options'!$I:$I,"Monthly*")+SUMIFS('BSE - Other Index Options'!$M:$M,'BSE - Other Index Options'!$C:$C,$A285,'BSE - Other Index Options'!$B:$B,F$147,'BSE - Other Index Options'!$I:$I,"Monthly*")=0,"",SUMIFS('BSE - SENSEX Index Options'!$M:$M,'BSE - SENSEX Index Options'!$C:$C,$A285,'BSE - SENSEX Index Options'!$B:$B,F$147,'BSE - SENSEX Index Options'!$I:$I,"Monthly*")+SUMIFS('BSE - Other Index Options'!$M:$M,'BSE - Other Index Options'!$C:$C,$A285,'BSE - Other Index Options'!$B:$B,F$147,'BSE - Other Index Options'!$I:$I,"Monthly*"))</f>
        <v/>
      </c>
      <c r="G285" s="26">
        <f>IF(SUMIFS('BSE - SENSEX Index Options'!$M:$M,'BSE - SENSEX Index Options'!$C:$C,$A285,'BSE - SENSEX Index Options'!$B:$B,G$147,'BSE - SENSEX Index Options'!$I:$I,"Monthly*")+SUMIFS('BSE - Other Index Options'!$M:$M,'BSE - Other Index Options'!$C:$C,$A285,'BSE - Other Index Options'!$B:$B,G$147,'BSE - Other Index Options'!$I:$I,"Monthly*")=0,"",SUMIFS('BSE - SENSEX Index Options'!$M:$M,'BSE - SENSEX Index Options'!$C:$C,$A285,'BSE - SENSEX Index Options'!$B:$B,G$147,'BSE - SENSEX Index Options'!$I:$I,"Monthly*")+SUMIFS('BSE - Other Index Options'!$M:$M,'BSE - Other Index Options'!$C:$C,$A285,'BSE - Other Index Options'!$B:$B,G$147,'BSE - Other Index Options'!$I:$I,"Monthly*"))</f>
        <v/>
      </c>
      <c r="H285" s="26">
        <f>IF(SUM(B285:G285)=0,"",SUM(B285:G285))</f>
        <v/>
      </c>
    </row>
    <row r="286" collapsed="1">
      <c r="A286" s="32" t="inlineStr">
        <is>
          <t>Total</t>
        </is>
      </c>
      <c r="B286" s="33">
        <f>IF(SUM(B148:B285)=0,"",SUM(B148:B285))</f>
        <v/>
      </c>
      <c r="C286" s="33">
        <f>IF(SUM(C148:C285)=0,"",SUM(C148:C285))</f>
        <v/>
      </c>
      <c r="D286" s="33">
        <f>IF(SUM(D148:D285)=0,"",SUM(D148:D285))</f>
        <v/>
      </c>
      <c r="E286" s="33">
        <f>IF(SUM(E148:E285)=0,"",SUM(E148:E285))</f>
        <v/>
      </c>
      <c r="F286" s="33">
        <f>IF(SUM(F148:F285)=0,"",SUM(F148:F285))</f>
        <v/>
      </c>
      <c r="G286" s="33">
        <f>IF(SUM(G148:G285)=0,"",SUM(G148:G285))</f>
        <v/>
      </c>
      <c r="H286" s="33">
        <f>IF(SUM(H148:H285)=0,"",SUM(H148:H285))</f>
        <v/>
      </c>
    </row>
    <row r="289">
      <c r="A289" s="32" t="inlineStr">
        <is>
          <t>NSE Market Share</t>
        </is>
      </c>
    </row>
    <row r="290">
      <c r="A290" s="32" t="inlineStr">
        <is>
          <t>Trade Week-Month-Year</t>
        </is>
      </c>
      <c r="B290" s="32" t="inlineStr">
        <is>
          <t>Monday</t>
        </is>
      </c>
      <c r="C290" s="32" t="inlineStr">
        <is>
          <t>Tuesday</t>
        </is>
      </c>
      <c r="D290" s="32" t="inlineStr">
        <is>
          <t>Wednesday</t>
        </is>
      </c>
      <c r="E290" s="32" t="inlineStr">
        <is>
          <t>Thursday</t>
        </is>
      </c>
      <c r="F290" s="32" t="inlineStr">
        <is>
          <t>Friday</t>
        </is>
      </c>
      <c r="G290" s="32" t="inlineStr">
        <is>
          <t>Sunday</t>
        </is>
      </c>
      <c r="H290" s="32" t="inlineStr">
        <is>
          <t>Total</t>
        </is>
      </c>
    </row>
    <row r="291">
      <c r="A291" t="inlineStr">
        <is>
          <t>Week1-Sep-2025</t>
        </is>
      </c>
      <c r="B291" s="27">
        <f>IF(SUM(B5,B148)=0,"",SUM(B5)/SUM(B5,B148))</f>
        <v/>
      </c>
      <c r="C291" s="27">
        <f>IF(SUM(C5,C148)=0,"",SUM(C5)/SUM(C5,C148))</f>
        <v/>
      </c>
      <c r="D291" s="27">
        <f>IF(SUM(D5,D148)=0,"",SUM(D5)/SUM(D5,D148))</f>
        <v/>
      </c>
      <c r="E291" s="27">
        <f>IF(SUM(E5,E148)=0,"",SUM(E5)/SUM(E5,E148))</f>
        <v/>
      </c>
      <c r="F291" s="27">
        <f>IF(SUM(F5,F148)=0,"",SUM(F5)/SUM(F5,F148))</f>
        <v/>
      </c>
      <c r="G291" s="27">
        <f>IF(SUM(G5,G148)=0,"",SUM(G5)/SUM(G5,G148))</f>
        <v/>
      </c>
      <c r="H291" s="27">
        <f>IF(SUM(H5,H148)=0,"",SUM(H5)/SUM(H5,H148))</f>
        <v/>
      </c>
    </row>
    <row r="292">
      <c r="A292" t="inlineStr">
        <is>
          <t>Week2-Sep-2025</t>
        </is>
      </c>
      <c r="B292" s="27">
        <f>IF(SUM(B6,B149)=0,"",SUM(B6)/SUM(B6,B149))</f>
        <v/>
      </c>
      <c r="C292" s="27">
        <f>IF(SUM(C6,C149)=0,"",SUM(C6)/SUM(C6,C149))</f>
        <v/>
      </c>
      <c r="D292" s="27">
        <f>IF(SUM(D6,D149)=0,"",SUM(D6)/SUM(D6,D149))</f>
        <v/>
      </c>
      <c r="E292" s="27">
        <f>IF(SUM(E6,E149)=0,"",SUM(E6)/SUM(E6,E149))</f>
        <v/>
      </c>
      <c r="F292" s="27">
        <f>IF(SUM(F6,F149)=0,"",SUM(F6)/SUM(F6,F149))</f>
        <v/>
      </c>
      <c r="G292" s="27">
        <f>IF(SUM(G6,G149)=0,"",SUM(G6)/SUM(G6,G149))</f>
        <v/>
      </c>
      <c r="H292" s="27">
        <f>IF(SUM(H6,H149)=0,"",SUM(H6)/SUM(H6,H149))</f>
        <v/>
      </c>
    </row>
    <row r="293">
      <c r="A293" t="inlineStr">
        <is>
          <t>Week3-Sep-2025</t>
        </is>
      </c>
      <c r="B293" s="27">
        <f>IF(SUM(B7,B150)=0,"",SUM(B7)/SUM(B7,B150))</f>
        <v/>
      </c>
      <c r="C293" s="27">
        <f>IF(SUM(C7,C150)=0,"",SUM(C7)/SUM(C7,C150))</f>
        <v/>
      </c>
      <c r="D293" s="27">
        <f>IF(SUM(D7,D150)=0,"",SUM(D7)/SUM(D7,D150))</f>
        <v/>
      </c>
      <c r="E293" s="27">
        <f>IF(SUM(E7,E150)=0,"",SUM(E7)/SUM(E7,E150))</f>
        <v/>
      </c>
      <c r="F293" s="27">
        <f>IF(SUM(F7,F150)=0,"",SUM(F7)/SUM(F7,F150))</f>
        <v/>
      </c>
      <c r="G293" s="27">
        <f>IF(SUM(G7,G150)=0,"",SUM(G7)/SUM(G7,G150))</f>
        <v/>
      </c>
      <c r="H293" s="27">
        <f>IF(SUM(H7,H150)=0,"",SUM(H7)/SUM(H7,H150))</f>
        <v/>
      </c>
    </row>
    <row r="294">
      <c r="A294" t="inlineStr">
        <is>
          <t>Week4-Sep-2025</t>
        </is>
      </c>
      <c r="B294" s="27">
        <f>IF(SUM(B8,B151)=0,"",SUM(B8)/SUM(B8,B151))</f>
        <v/>
      </c>
      <c r="C294" s="27">
        <f>IF(SUM(C8,C151)=0,"",SUM(C8)/SUM(C8,C151))</f>
        <v/>
      </c>
      <c r="D294" s="27">
        <f>IF(SUM(D8,D151)=0,"",SUM(D8)/SUM(D8,D151))</f>
        <v/>
      </c>
      <c r="E294" s="27">
        <f>IF(SUM(E8,E151)=0,"",SUM(E8)/SUM(E8,E151))</f>
        <v/>
      </c>
      <c r="F294" s="27">
        <f>IF(SUM(F8,F151)=0,"",SUM(F8)/SUM(F8,F151))</f>
        <v/>
      </c>
      <c r="G294" s="27">
        <f>IF(SUM(G8,G151)=0,"",SUM(G8)/SUM(G8,G151))</f>
        <v/>
      </c>
      <c r="H294" s="27">
        <f>IF(SUM(H8,H151)=0,"",SUM(H8)/SUM(H8,H151))</f>
        <v/>
      </c>
    </row>
    <row r="295">
      <c r="A295" t="inlineStr">
        <is>
          <t>Week5-Sep-2025</t>
        </is>
      </c>
      <c r="B295" s="27">
        <f>IF(SUM(B9,B152)=0,"",SUM(B9)/SUM(B9,B152))</f>
        <v/>
      </c>
      <c r="C295" s="27">
        <f>IF(SUM(C9,C152)=0,"",SUM(C9)/SUM(C9,C152))</f>
        <v/>
      </c>
      <c r="D295" s="27">
        <f>IF(SUM(D9,D152)=0,"",SUM(D9)/SUM(D9,D152))</f>
        <v/>
      </c>
      <c r="E295" s="27">
        <f>IF(SUM(E9,E152)=0,"",SUM(E9)/SUM(E9,E152))</f>
        <v/>
      </c>
      <c r="F295" s="27">
        <f>IF(SUM(F9,F152)=0,"",SUM(F9)/SUM(F9,F152))</f>
        <v/>
      </c>
      <c r="G295" s="27">
        <f>IF(SUM(G9,G152)=0,"",SUM(G9)/SUM(G9,G152))</f>
        <v/>
      </c>
      <c r="H295" s="27">
        <f>IF(SUM(H9,H152)=0,"",SUM(H9)/SUM(H9,H152))</f>
        <v/>
      </c>
    </row>
    <row r="296">
      <c r="A296" t="inlineStr">
        <is>
          <t>Week1-Oct-2025</t>
        </is>
      </c>
      <c r="B296" s="27">
        <f>IF(SUM(B10,B153)=0,"",SUM(B10)/SUM(B10,B153))</f>
        <v/>
      </c>
      <c r="C296" s="27">
        <f>IF(SUM(C10,C153)=0,"",SUM(C10)/SUM(C10,C153))</f>
        <v/>
      </c>
      <c r="D296" s="27">
        <f>IF(SUM(D10,D153)=0,"",SUM(D10)/SUM(D10,D153))</f>
        <v/>
      </c>
      <c r="E296" s="27">
        <f>IF(SUM(E10,E153)=0,"",SUM(E10)/SUM(E10,E153))</f>
        <v/>
      </c>
      <c r="F296" s="27">
        <f>IF(SUM(F10,F153)=0,"",SUM(F10)/SUM(F10,F153))</f>
        <v/>
      </c>
      <c r="G296" s="27">
        <f>IF(SUM(G10,G153)=0,"",SUM(G10)/SUM(G10,G153))</f>
        <v/>
      </c>
      <c r="H296" s="27">
        <f>IF(SUM(H10,H153)=0,"",SUM(H10)/SUM(H10,H153))</f>
        <v/>
      </c>
    </row>
    <row r="297">
      <c r="A297" t="inlineStr">
        <is>
          <t>Week2-Oct-2025</t>
        </is>
      </c>
      <c r="B297" s="27">
        <f>IF(SUM(B11,B154)=0,"",SUM(B11)/SUM(B11,B154))</f>
        <v/>
      </c>
      <c r="C297" s="27">
        <f>IF(SUM(C11,C154)=0,"",SUM(C11)/SUM(C11,C154))</f>
        <v/>
      </c>
      <c r="D297" s="27">
        <f>IF(SUM(D11,D154)=0,"",SUM(D11)/SUM(D11,D154))</f>
        <v/>
      </c>
      <c r="E297" s="27">
        <f>IF(SUM(E11,E154)=0,"",SUM(E11)/SUM(E11,E154))</f>
        <v/>
      </c>
      <c r="F297" s="27">
        <f>IF(SUM(F11,F154)=0,"",SUM(F11)/SUM(F11,F154))</f>
        <v/>
      </c>
      <c r="G297" s="27">
        <f>IF(SUM(G11,G154)=0,"",SUM(G11)/SUM(G11,G154))</f>
        <v/>
      </c>
      <c r="H297" s="27">
        <f>IF(SUM(H11,H154)=0,"",SUM(H11)/SUM(H11,H154))</f>
        <v/>
      </c>
    </row>
    <row r="298">
      <c r="A298" t="inlineStr">
        <is>
          <t>Week3-Oct-2025</t>
        </is>
      </c>
      <c r="B298" s="27">
        <f>IF(SUM(B12,B155)=0,"",SUM(B12)/SUM(B12,B155))</f>
        <v/>
      </c>
      <c r="C298" s="27">
        <f>IF(SUM(C12,C155)=0,"",SUM(C12)/SUM(C12,C155))</f>
        <v/>
      </c>
      <c r="D298" s="27">
        <f>IF(SUM(D12,D155)=0,"",SUM(D12)/SUM(D12,D155))</f>
        <v/>
      </c>
      <c r="E298" s="27">
        <f>IF(SUM(E12,E155)=0,"",SUM(E12)/SUM(E12,E155))</f>
        <v/>
      </c>
      <c r="F298" s="27">
        <f>IF(SUM(F12,F155)=0,"",SUM(F12)/SUM(F12,F155))</f>
        <v/>
      </c>
      <c r="G298" s="27">
        <f>IF(SUM(G12,G155)=0,"",SUM(G12)/SUM(G12,G155))</f>
        <v/>
      </c>
      <c r="H298" s="27">
        <f>IF(SUM(H12,H155)=0,"",SUM(H12)/SUM(H12,H155))</f>
        <v/>
      </c>
    </row>
    <row r="299">
      <c r="A299" t="inlineStr">
        <is>
          <t>Week4-Oct-2025</t>
        </is>
      </c>
      <c r="B299" s="27">
        <f>IF(SUM(B13,B156)=0,"",SUM(B13)/SUM(B13,B156))</f>
        <v/>
      </c>
      <c r="C299" s="27">
        <f>IF(SUM(C13,C156)=0,"",SUM(C13)/SUM(C13,C156))</f>
        <v/>
      </c>
      <c r="D299" s="27">
        <f>IF(SUM(D13,D156)=0,"",SUM(D13)/SUM(D13,D156))</f>
        <v/>
      </c>
      <c r="E299" s="27">
        <f>IF(SUM(E13,E156)=0,"",SUM(E13)/SUM(E13,E156))</f>
        <v/>
      </c>
      <c r="F299" s="27">
        <f>IF(SUM(F13,F156)=0,"",SUM(F13)/SUM(F13,F156))</f>
        <v/>
      </c>
      <c r="G299" s="27">
        <f>IF(SUM(G13,G156)=0,"",SUM(G13)/SUM(G13,G156))</f>
        <v/>
      </c>
      <c r="H299" s="27">
        <f>IF(SUM(H13,H156)=0,"",SUM(H13)/SUM(H13,H156))</f>
        <v/>
      </c>
    </row>
    <row r="300">
      <c r="A300" t="inlineStr">
        <is>
          <t>Week5-Oct-2025</t>
        </is>
      </c>
      <c r="B300" s="27">
        <f>IF(SUM(B14,B157)=0,"",SUM(B14)/SUM(B14,B157))</f>
        <v/>
      </c>
      <c r="C300" s="27">
        <f>IF(SUM(C14,C157)=0,"",SUM(C14)/SUM(C14,C157))</f>
        <v/>
      </c>
      <c r="D300" s="27">
        <f>IF(SUM(D14,D157)=0,"",SUM(D14)/SUM(D14,D157))</f>
        <v/>
      </c>
      <c r="E300" s="27">
        <f>IF(SUM(E14,E157)=0,"",SUM(E14)/SUM(E14,E157))</f>
        <v/>
      </c>
      <c r="F300" s="27">
        <f>IF(SUM(F14,F157)=0,"",SUM(F14)/SUM(F14,F157))</f>
        <v/>
      </c>
      <c r="G300" s="27">
        <f>IF(SUM(G14,G157)=0,"",SUM(G14)/SUM(G14,G157))</f>
        <v/>
      </c>
      <c r="H300" s="27">
        <f>IF(SUM(H14,H157)=0,"",SUM(H14)/SUM(H14,H157))</f>
        <v/>
      </c>
    </row>
    <row r="301">
      <c r="A301" t="inlineStr">
        <is>
          <t>Week1-Nov-2025</t>
        </is>
      </c>
      <c r="B301" s="27">
        <f>IF(SUM(B15,B158)=0,"",SUM(B15)/SUM(B15,B158))</f>
        <v/>
      </c>
      <c r="C301" s="27">
        <f>IF(SUM(C15,C158)=0,"",SUM(C15)/SUM(C15,C158))</f>
        <v/>
      </c>
      <c r="D301" s="27">
        <f>IF(SUM(D15,D158)=0,"",SUM(D15)/SUM(D15,D158))</f>
        <v/>
      </c>
      <c r="E301" s="27">
        <f>IF(SUM(E15,E158)=0,"",SUM(E15)/SUM(E15,E158))</f>
        <v/>
      </c>
      <c r="F301" s="27">
        <f>IF(SUM(F15,F158)=0,"",SUM(F15)/SUM(F15,F158))</f>
        <v/>
      </c>
      <c r="G301" s="27">
        <f>IF(SUM(G15,G158)=0,"",SUM(G15)/SUM(G15,G158))</f>
        <v/>
      </c>
      <c r="H301" s="27">
        <f>IF(SUM(H15,H158)=0,"",SUM(H15)/SUM(H15,H158))</f>
        <v/>
      </c>
    </row>
    <row r="302">
      <c r="A302" t="inlineStr">
        <is>
          <t>Week2-Nov-2025</t>
        </is>
      </c>
      <c r="B302" s="27">
        <f>IF(SUM(B16,B159)=0,"",SUM(B16)/SUM(B16,B159))</f>
        <v/>
      </c>
      <c r="C302" s="27">
        <f>IF(SUM(C16,C159)=0,"",SUM(C16)/SUM(C16,C159))</f>
        <v/>
      </c>
      <c r="D302" s="27">
        <f>IF(SUM(D16,D159)=0,"",SUM(D16)/SUM(D16,D159))</f>
        <v/>
      </c>
      <c r="E302" s="27">
        <f>IF(SUM(E16,E159)=0,"",SUM(E16)/SUM(E16,E159))</f>
        <v/>
      </c>
      <c r="F302" s="27">
        <f>IF(SUM(F16,F159)=0,"",SUM(F16)/SUM(F16,F159))</f>
        <v/>
      </c>
      <c r="G302" s="27">
        <f>IF(SUM(G16,G159)=0,"",SUM(G16)/SUM(G16,G159))</f>
        <v/>
      </c>
      <c r="H302" s="27">
        <f>IF(SUM(H16,H159)=0,"",SUM(H16)/SUM(H16,H159))</f>
        <v/>
      </c>
    </row>
    <row r="303">
      <c r="A303" t="inlineStr">
        <is>
          <t>Week3-Nov-2025</t>
        </is>
      </c>
      <c r="B303" s="27">
        <f>IF(SUM(B17,B160)=0,"",SUM(B17)/SUM(B17,B160))</f>
        <v/>
      </c>
      <c r="C303" s="27">
        <f>IF(SUM(C17,C160)=0,"",SUM(C17)/SUM(C17,C160))</f>
        <v/>
      </c>
      <c r="D303" s="27">
        <f>IF(SUM(D17,D160)=0,"",SUM(D17)/SUM(D17,D160))</f>
        <v/>
      </c>
      <c r="E303" s="27">
        <f>IF(SUM(E17,E160)=0,"",SUM(E17)/SUM(E17,E160))</f>
        <v/>
      </c>
      <c r="F303" s="27">
        <f>IF(SUM(F17,F160)=0,"",SUM(F17)/SUM(F17,F160))</f>
        <v/>
      </c>
      <c r="G303" s="27">
        <f>IF(SUM(G17,G160)=0,"",SUM(G17)/SUM(G17,G160))</f>
        <v/>
      </c>
      <c r="H303" s="27">
        <f>IF(SUM(H17,H160)=0,"",SUM(H17)/SUM(H17,H160))</f>
        <v/>
      </c>
    </row>
    <row r="304">
      <c r="A304" t="inlineStr">
        <is>
          <t>Week4-Nov-2025</t>
        </is>
      </c>
      <c r="B304" s="27">
        <f>IF(SUM(B18,B161)=0,"",SUM(B18)/SUM(B18,B161))</f>
        <v/>
      </c>
      <c r="C304" s="27">
        <f>IF(SUM(C18,C161)=0,"",SUM(C18)/SUM(C18,C161))</f>
        <v/>
      </c>
      <c r="D304" s="27">
        <f>IF(SUM(D18,D161)=0,"",SUM(D18)/SUM(D18,D161))</f>
        <v/>
      </c>
      <c r="E304" s="27">
        <f>IF(SUM(E18,E161)=0,"",SUM(E18)/SUM(E18,E161))</f>
        <v/>
      </c>
      <c r="F304" s="27">
        <f>IF(SUM(F18,F161)=0,"",SUM(F18)/SUM(F18,F161))</f>
        <v/>
      </c>
      <c r="G304" s="27">
        <f>IF(SUM(G18,G161)=0,"",SUM(G18)/SUM(G18,G161))</f>
        <v/>
      </c>
      <c r="H304" s="27">
        <f>IF(SUM(H18,H161)=0,"",SUM(H18)/SUM(H18,H161))</f>
        <v/>
      </c>
    </row>
    <row r="305">
      <c r="A305" t="inlineStr">
        <is>
          <t>Week5-Nov-2025</t>
        </is>
      </c>
      <c r="B305" s="27">
        <f>IF(SUM(B19,B162)=0,"",SUM(B19)/SUM(B19,B162))</f>
        <v/>
      </c>
      <c r="C305" s="27">
        <f>IF(SUM(C19,C162)=0,"",SUM(C19)/SUM(C19,C162))</f>
        <v/>
      </c>
      <c r="D305" s="27">
        <f>IF(SUM(D19,D162)=0,"",SUM(D19)/SUM(D19,D162))</f>
        <v/>
      </c>
      <c r="E305" s="27">
        <f>IF(SUM(E19,E162)=0,"",SUM(E19)/SUM(E19,E162))</f>
        <v/>
      </c>
      <c r="F305" s="27">
        <f>IF(SUM(F19,F162)=0,"",SUM(F19)/SUM(F19,F162))</f>
        <v/>
      </c>
      <c r="G305" s="27">
        <f>IF(SUM(G19,G162)=0,"",SUM(G19)/SUM(G19,G162))</f>
        <v/>
      </c>
      <c r="H305" s="27">
        <f>IF(SUM(H19,H162)=0,"",SUM(H19)/SUM(H19,H162))</f>
        <v/>
      </c>
    </row>
    <row r="306">
      <c r="A306" t="inlineStr">
        <is>
          <t>Week1-Dec-2025</t>
        </is>
      </c>
      <c r="B306" s="27">
        <f>IF(SUM(B20,B163)=0,"",SUM(B20)/SUM(B20,B163))</f>
        <v/>
      </c>
      <c r="C306" s="27">
        <f>IF(SUM(C20,C163)=0,"",SUM(C20)/SUM(C20,C163))</f>
        <v/>
      </c>
      <c r="D306" s="27">
        <f>IF(SUM(D20,D163)=0,"",SUM(D20)/SUM(D20,D163))</f>
        <v/>
      </c>
      <c r="E306" s="27">
        <f>IF(SUM(E20,E163)=0,"",SUM(E20)/SUM(E20,E163))</f>
        <v/>
      </c>
      <c r="F306" s="27">
        <f>IF(SUM(F20,F163)=0,"",SUM(F20)/SUM(F20,F163))</f>
        <v/>
      </c>
      <c r="G306" s="27">
        <f>IF(SUM(G20,G163)=0,"",SUM(G20)/SUM(G20,G163))</f>
        <v/>
      </c>
      <c r="H306" s="27">
        <f>IF(SUM(H20,H163)=0,"",SUM(H20)/SUM(H20,H163))</f>
        <v/>
      </c>
    </row>
    <row r="307">
      <c r="A307" t="inlineStr">
        <is>
          <t>Week2-Dec-2025</t>
        </is>
      </c>
      <c r="B307" s="27">
        <f>IF(SUM(B21,B164)=0,"",SUM(B21)/SUM(B21,B164))</f>
        <v/>
      </c>
      <c r="C307" s="27">
        <f>IF(SUM(C21,C164)=0,"",SUM(C21)/SUM(C21,C164))</f>
        <v/>
      </c>
      <c r="D307" s="27">
        <f>IF(SUM(D21,D164)=0,"",SUM(D21)/SUM(D21,D164))</f>
        <v/>
      </c>
      <c r="E307" s="27">
        <f>IF(SUM(E21,E164)=0,"",SUM(E21)/SUM(E21,E164))</f>
        <v/>
      </c>
      <c r="F307" s="27">
        <f>IF(SUM(F21,F164)=0,"",SUM(F21)/SUM(F21,F164))</f>
        <v/>
      </c>
      <c r="G307" s="27">
        <f>IF(SUM(G21,G164)=0,"",SUM(G21)/SUM(G21,G164))</f>
        <v/>
      </c>
      <c r="H307" s="27">
        <f>IF(SUM(H21,H164)=0,"",SUM(H21)/SUM(H21,H164))</f>
        <v/>
      </c>
    </row>
    <row r="308">
      <c r="A308" t="inlineStr">
        <is>
          <t>Week3-Dec-2025</t>
        </is>
      </c>
      <c r="B308" s="27">
        <f>IF(SUM(B22,B165)=0,"",SUM(B22)/SUM(B22,B165))</f>
        <v/>
      </c>
      <c r="C308" s="27">
        <f>IF(SUM(C22,C165)=0,"",SUM(C22)/SUM(C22,C165))</f>
        <v/>
      </c>
      <c r="D308" s="27">
        <f>IF(SUM(D22,D165)=0,"",SUM(D22)/SUM(D22,D165))</f>
        <v/>
      </c>
      <c r="E308" s="27">
        <f>IF(SUM(E22,E165)=0,"",SUM(E22)/SUM(E22,E165))</f>
        <v/>
      </c>
      <c r="F308" s="27">
        <f>IF(SUM(F22,F165)=0,"",SUM(F22)/SUM(F22,F165))</f>
        <v/>
      </c>
      <c r="G308" s="27">
        <f>IF(SUM(G22,G165)=0,"",SUM(G22)/SUM(G22,G165))</f>
        <v/>
      </c>
      <c r="H308" s="27">
        <f>IF(SUM(H22,H165)=0,"",SUM(H22)/SUM(H22,H165))</f>
        <v/>
      </c>
    </row>
    <row r="309">
      <c r="A309" t="inlineStr">
        <is>
          <t>Week4-Dec-2025</t>
        </is>
      </c>
      <c r="B309" s="27">
        <f>IF(SUM(B23,B166)=0,"",SUM(B23)/SUM(B23,B166))</f>
        <v/>
      </c>
      <c r="C309" s="27">
        <f>IF(SUM(C23,C166)=0,"",SUM(C23)/SUM(C23,C166))</f>
        <v/>
      </c>
      <c r="D309" s="27">
        <f>IF(SUM(D23,D166)=0,"",SUM(D23)/SUM(D23,D166))</f>
        <v/>
      </c>
      <c r="E309" s="27">
        <f>IF(SUM(E23,E166)=0,"",SUM(E23)/SUM(E23,E166))</f>
        <v/>
      </c>
      <c r="F309" s="27">
        <f>IF(SUM(F23,F166)=0,"",SUM(F23)/SUM(F23,F166))</f>
        <v/>
      </c>
      <c r="G309" s="27">
        <f>IF(SUM(G23,G166)=0,"",SUM(G23)/SUM(G23,G166))</f>
        <v/>
      </c>
      <c r="H309" s="27">
        <f>IF(SUM(H23,H166)=0,"",SUM(H23)/SUM(H23,H166))</f>
        <v/>
      </c>
    </row>
    <row r="310">
      <c r="A310" t="inlineStr">
        <is>
          <t>Week5-Dec-2025</t>
        </is>
      </c>
      <c r="B310" s="27">
        <f>IF(SUM(B24,B167)=0,"",SUM(B24)/SUM(B24,B167))</f>
        <v/>
      </c>
      <c r="C310" s="27">
        <f>IF(SUM(C24,C167)=0,"",SUM(C24)/SUM(C24,C167))</f>
        <v/>
      </c>
      <c r="D310" s="27">
        <f>IF(SUM(D24,D167)=0,"",SUM(D24)/SUM(D24,D167))</f>
        <v/>
      </c>
      <c r="E310" s="27">
        <f>IF(SUM(E24,E167)=0,"",SUM(E24)/SUM(E24,E167))</f>
        <v/>
      </c>
      <c r="F310" s="27">
        <f>IF(SUM(F24,F167)=0,"",SUM(F24)/SUM(F24,F167))</f>
        <v/>
      </c>
      <c r="G310" s="27">
        <f>IF(SUM(G24,G167)=0,"",SUM(G24)/SUM(G24,G167))</f>
        <v/>
      </c>
      <c r="H310" s="27">
        <f>IF(SUM(H24,H167)=0,"",SUM(H24)/SUM(H24,H167))</f>
        <v/>
      </c>
    </row>
    <row r="311">
      <c r="A311" t="inlineStr">
        <is>
          <t>Week1-Jan-2026</t>
        </is>
      </c>
      <c r="B311" s="27">
        <f>IF(SUM(B25,B168)=0,"",SUM(B25)/SUM(B25,B168))</f>
        <v/>
      </c>
      <c r="C311" s="27">
        <f>IF(SUM(C25,C168)=0,"",SUM(C25)/SUM(C25,C168))</f>
        <v/>
      </c>
      <c r="D311" s="27">
        <f>IF(SUM(D25,D168)=0,"",SUM(D25)/SUM(D25,D168))</f>
        <v/>
      </c>
      <c r="E311" s="27">
        <f>IF(SUM(E25,E168)=0,"",SUM(E25)/SUM(E25,E168))</f>
        <v/>
      </c>
      <c r="F311" s="27">
        <f>IF(SUM(F25,F168)=0,"",SUM(F25)/SUM(F25,F168))</f>
        <v/>
      </c>
      <c r="G311" s="27">
        <f>IF(SUM(G25,G168)=0,"",SUM(G25)/SUM(G25,G168))</f>
        <v/>
      </c>
      <c r="H311" s="27">
        <f>IF(SUM(H25,H168)=0,"",SUM(H25)/SUM(H25,H168))</f>
        <v/>
      </c>
    </row>
    <row r="312">
      <c r="A312" t="inlineStr">
        <is>
          <t>Week2-Jan-2026</t>
        </is>
      </c>
      <c r="B312" s="27">
        <f>IF(SUM(B26,B169)=0,"",SUM(B26)/SUM(B26,B169))</f>
        <v/>
      </c>
      <c r="C312" s="27">
        <f>IF(SUM(C26,C169)=0,"",SUM(C26)/SUM(C26,C169))</f>
        <v/>
      </c>
      <c r="D312" s="27">
        <f>IF(SUM(D26,D169)=0,"",SUM(D26)/SUM(D26,D169))</f>
        <v/>
      </c>
      <c r="E312" s="27">
        <f>IF(SUM(E26,E169)=0,"",SUM(E26)/SUM(E26,E169))</f>
        <v/>
      </c>
      <c r="F312" s="27">
        <f>IF(SUM(F26,F169)=0,"",SUM(F26)/SUM(F26,F169))</f>
        <v/>
      </c>
      <c r="G312" s="27">
        <f>IF(SUM(G26,G169)=0,"",SUM(G26)/SUM(G26,G169))</f>
        <v/>
      </c>
      <c r="H312" s="27">
        <f>IF(SUM(H26,H169)=0,"",SUM(H26)/SUM(H26,H169))</f>
        <v/>
      </c>
    </row>
    <row r="313">
      <c r="A313" t="inlineStr">
        <is>
          <t>Week3-Jan-2026</t>
        </is>
      </c>
      <c r="B313" s="27">
        <f>IF(SUM(B27,B170)=0,"",SUM(B27)/SUM(B27,B170))</f>
        <v/>
      </c>
      <c r="C313" s="27">
        <f>IF(SUM(C27,C170)=0,"",SUM(C27)/SUM(C27,C170))</f>
        <v/>
      </c>
      <c r="D313" s="27">
        <f>IF(SUM(D27,D170)=0,"",SUM(D27)/SUM(D27,D170))</f>
        <v/>
      </c>
      <c r="E313" s="27">
        <f>IF(SUM(E27,E170)=0,"",SUM(E27)/SUM(E27,E170))</f>
        <v/>
      </c>
      <c r="F313" s="27">
        <f>IF(SUM(F27,F170)=0,"",SUM(F27)/SUM(F27,F170))</f>
        <v/>
      </c>
      <c r="G313" s="27">
        <f>IF(SUM(G27,G170)=0,"",SUM(G27)/SUM(G27,G170))</f>
        <v/>
      </c>
      <c r="H313" s="27">
        <f>IF(SUM(H27,H170)=0,"",SUM(H27)/SUM(H27,H170))</f>
        <v/>
      </c>
    </row>
    <row r="314">
      <c r="A314" t="inlineStr">
        <is>
          <t>Week4-Jan-2026</t>
        </is>
      </c>
      <c r="B314" s="27">
        <f>IF(SUM(B28,B171)=0,"",SUM(B28)/SUM(B28,B171))</f>
        <v/>
      </c>
      <c r="C314" s="27">
        <f>IF(SUM(C28,C171)=0,"",SUM(C28)/SUM(C28,C171))</f>
        <v/>
      </c>
      <c r="D314" s="27">
        <f>IF(SUM(D28,D171)=0,"",SUM(D28)/SUM(D28,D171))</f>
        <v/>
      </c>
      <c r="E314" s="27">
        <f>IF(SUM(E28,E171)=0,"",SUM(E28)/SUM(E28,E171))</f>
        <v/>
      </c>
      <c r="F314" s="27">
        <f>IF(SUM(F28,F171)=0,"",SUM(F28)/SUM(F28,F171))</f>
        <v/>
      </c>
      <c r="G314" s="27">
        <f>IF(SUM(G28,G171)=0,"",SUM(G28)/SUM(G28,G171))</f>
        <v/>
      </c>
      <c r="H314" s="27">
        <f>IF(SUM(H28,H171)=0,"",SUM(H28)/SUM(H28,H171))</f>
        <v/>
      </c>
    </row>
    <row r="315">
      <c r="A315" t="inlineStr">
        <is>
          <t>Week5-Jan-2026</t>
        </is>
      </c>
      <c r="B315" s="27">
        <f>IF(SUM(B29,B172)=0,"",SUM(B29)/SUM(B29,B172))</f>
        <v/>
      </c>
      <c r="C315" s="27">
        <f>IF(SUM(C29,C172)=0,"",SUM(C29)/SUM(C29,C172))</f>
        <v/>
      </c>
      <c r="D315" s="27">
        <f>IF(SUM(D29,D172)=0,"",SUM(D29)/SUM(D29,D172))</f>
        <v/>
      </c>
      <c r="E315" s="27">
        <f>IF(SUM(E29,E172)=0,"",SUM(E29)/SUM(E29,E172))</f>
        <v/>
      </c>
      <c r="F315" s="27">
        <f>IF(SUM(F29,F172)=0,"",SUM(F29)/SUM(F29,F172))</f>
        <v/>
      </c>
      <c r="G315" s="27">
        <f>IF(SUM(G29,G172)=0,"",SUM(G29)/SUM(G29,G172))</f>
        <v/>
      </c>
      <c r="H315" s="27">
        <f>IF(SUM(H29,H172)=0,"",SUM(H29)/SUM(H29,H172))</f>
        <v/>
      </c>
    </row>
    <row r="316">
      <c r="A316" t="inlineStr">
        <is>
          <t>Week1-Feb-2026</t>
        </is>
      </c>
      <c r="B316" s="27">
        <f>IF(SUM(B30,B173)=0,"",SUM(B30)/SUM(B30,B173))</f>
        <v/>
      </c>
      <c r="C316" s="27">
        <f>IF(SUM(C30,C173)=0,"",SUM(C30)/SUM(C30,C173))</f>
        <v/>
      </c>
      <c r="D316" s="27">
        <f>IF(SUM(D30,D173)=0,"",SUM(D30)/SUM(D30,D173))</f>
        <v/>
      </c>
      <c r="E316" s="27">
        <f>IF(SUM(E30,E173)=0,"",SUM(E30)/SUM(E30,E173))</f>
        <v/>
      </c>
      <c r="F316" s="27">
        <f>IF(SUM(F30,F173)=0,"",SUM(F30)/SUM(F30,F173))</f>
        <v/>
      </c>
      <c r="G316" s="27">
        <f>IF(SUM(G30,G173)=0,"",SUM(G30)/SUM(G30,G173))</f>
        <v/>
      </c>
      <c r="H316" s="27">
        <f>IF(SUM(H30,H173)=0,"",SUM(H30)/SUM(H30,H173))</f>
        <v/>
      </c>
    </row>
    <row r="317">
      <c r="A317" t="inlineStr">
        <is>
          <t>Week2-Feb-2026</t>
        </is>
      </c>
      <c r="B317" s="27">
        <f>IF(SUM(B31,B174)=0,"",SUM(B31)/SUM(B31,B174))</f>
        <v/>
      </c>
      <c r="C317" s="27">
        <f>IF(SUM(C31,C174)=0,"",SUM(C31)/SUM(C31,C174))</f>
        <v/>
      </c>
      <c r="D317" s="27">
        <f>IF(SUM(D31,D174)=0,"",SUM(D31)/SUM(D31,D174))</f>
        <v/>
      </c>
      <c r="E317" s="27">
        <f>IF(SUM(E31,E174)=0,"",SUM(E31)/SUM(E31,E174))</f>
        <v/>
      </c>
      <c r="F317" s="27">
        <f>IF(SUM(F31,F174)=0,"",SUM(F31)/SUM(F31,F174))</f>
        <v/>
      </c>
      <c r="G317" s="27">
        <f>IF(SUM(G31,G174)=0,"",SUM(G31)/SUM(G31,G174))</f>
        <v/>
      </c>
      <c r="H317" s="27">
        <f>IF(SUM(H31,H174)=0,"",SUM(H31)/SUM(H31,H174))</f>
        <v/>
      </c>
    </row>
    <row r="318">
      <c r="A318" t="inlineStr">
        <is>
          <t>Week3-Feb-2026</t>
        </is>
      </c>
      <c r="B318" s="27">
        <f>IF(SUM(B32,B175)=0,"",SUM(B32)/SUM(B32,B175))</f>
        <v/>
      </c>
      <c r="C318" s="27">
        <f>IF(SUM(C32,C175)=0,"",SUM(C32)/SUM(C32,C175))</f>
        <v/>
      </c>
      <c r="D318" s="27">
        <f>IF(SUM(D32,D175)=0,"",SUM(D32)/SUM(D32,D175))</f>
        <v/>
      </c>
      <c r="E318" s="27">
        <f>IF(SUM(E32,E175)=0,"",SUM(E32)/SUM(E32,E175))</f>
        <v/>
      </c>
      <c r="F318" s="27">
        <f>IF(SUM(F32,F175)=0,"",SUM(F32)/SUM(F32,F175))</f>
        <v/>
      </c>
      <c r="G318" s="27">
        <f>IF(SUM(G32,G175)=0,"",SUM(G32)/SUM(G32,G175))</f>
        <v/>
      </c>
      <c r="H318" s="27">
        <f>IF(SUM(H32,H175)=0,"",SUM(H32)/SUM(H32,H175))</f>
        <v/>
      </c>
    </row>
    <row r="319">
      <c r="A319" t="inlineStr">
        <is>
          <t>Week4-Feb-2026</t>
        </is>
      </c>
      <c r="B319" s="27">
        <f>IF(SUM(B33,B176)=0,"",SUM(B33)/SUM(B33,B176))</f>
        <v/>
      </c>
      <c r="C319" s="27">
        <f>IF(SUM(C33,C176)=0,"",SUM(C33)/SUM(C33,C176))</f>
        <v/>
      </c>
      <c r="D319" s="27">
        <f>IF(SUM(D33,D176)=0,"",SUM(D33)/SUM(D33,D176))</f>
        <v/>
      </c>
      <c r="E319" s="27">
        <f>IF(SUM(E33,E176)=0,"",SUM(E33)/SUM(E33,E176))</f>
        <v/>
      </c>
      <c r="F319" s="27">
        <f>IF(SUM(F33,F176)=0,"",SUM(F33)/SUM(F33,F176))</f>
        <v/>
      </c>
      <c r="G319" s="27">
        <f>IF(SUM(G33,G176)=0,"",SUM(G33)/SUM(G33,G176))</f>
        <v/>
      </c>
      <c r="H319" s="27">
        <f>IF(SUM(H33,H176)=0,"",SUM(H33)/SUM(H33,H176))</f>
        <v/>
      </c>
    </row>
    <row r="320">
      <c r="A320" t="inlineStr">
        <is>
          <t>Week1-Mar-2026</t>
        </is>
      </c>
      <c r="B320" s="27">
        <f>IF(SUM(B34,B177)=0,"",SUM(B34)/SUM(B34,B177))</f>
        <v/>
      </c>
      <c r="C320" s="27">
        <f>IF(SUM(C34,C177)=0,"",SUM(C34)/SUM(C34,C177))</f>
        <v/>
      </c>
      <c r="D320" s="27">
        <f>IF(SUM(D34,D177)=0,"",SUM(D34)/SUM(D34,D177))</f>
        <v/>
      </c>
      <c r="E320" s="27">
        <f>IF(SUM(E34,E177)=0,"",SUM(E34)/SUM(E34,E177))</f>
        <v/>
      </c>
      <c r="F320" s="27">
        <f>IF(SUM(F34,F177)=0,"",SUM(F34)/SUM(F34,F177))</f>
        <v/>
      </c>
      <c r="G320" s="27">
        <f>IF(SUM(G34,G177)=0,"",SUM(G34)/SUM(G34,G177))</f>
        <v/>
      </c>
      <c r="H320" s="27">
        <f>IF(SUM(H34,H177)=0,"",SUM(H34)/SUM(H34,H177))</f>
        <v/>
      </c>
    </row>
    <row r="321">
      <c r="A321" t="inlineStr">
        <is>
          <t>Week2-Mar-2026</t>
        </is>
      </c>
      <c r="B321" s="27">
        <f>IF(SUM(B35,B178)=0,"",SUM(B35)/SUM(B35,B178))</f>
        <v/>
      </c>
      <c r="C321" s="27">
        <f>IF(SUM(C35,C178)=0,"",SUM(C35)/SUM(C35,C178))</f>
        <v/>
      </c>
      <c r="D321" s="27">
        <f>IF(SUM(D35,D178)=0,"",SUM(D35)/SUM(D35,D178))</f>
        <v/>
      </c>
      <c r="E321" s="27">
        <f>IF(SUM(E35,E178)=0,"",SUM(E35)/SUM(E35,E178))</f>
        <v/>
      </c>
      <c r="F321" s="27">
        <f>IF(SUM(F35,F178)=0,"",SUM(F35)/SUM(F35,F178))</f>
        <v/>
      </c>
      <c r="G321" s="27">
        <f>IF(SUM(G35,G178)=0,"",SUM(G35)/SUM(G35,G178))</f>
        <v/>
      </c>
      <c r="H321" s="27">
        <f>IF(SUM(H35,H178)=0,"",SUM(H35)/SUM(H35,H178))</f>
        <v/>
      </c>
    </row>
    <row r="322">
      <c r="A322" t="inlineStr">
        <is>
          <t>Week3-Mar-2026</t>
        </is>
      </c>
      <c r="B322" s="27">
        <f>IF(SUM(B36,B179)=0,"",SUM(B36)/SUM(B36,B179))</f>
        <v/>
      </c>
      <c r="C322" s="27">
        <f>IF(SUM(C36,C179)=0,"",SUM(C36)/SUM(C36,C179))</f>
        <v/>
      </c>
      <c r="D322" s="27">
        <f>IF(SUM(D36,D179)=0,"",SUM(D36)/SUM(D36,D179))</f>
        <v/>
      </c>
      <c r="E322" s="27">
        <f>IF(SUM(E36,E179)=0,"",SUM(E36)/SUM(E36,E179))</f>
        <v/>
      </c>
      <c r="F322" s="27">
        <f>IF(SUM(F36,F179)=0,"",SUM(F36)/SUM(F36,F179))</f>
        <v/>
      </c>
      <c r="G322" s="27">
        <f>IF(SUM(G36,G179)=0,"",SUM(G36)/SUM(G36,G179))</f>
        <v/>
      </c>
      <c r="H322" s="27">
        <f>IF(SUM(H36,H179)=0,"",SUM(H36)/SUM(H36,H179))</f>
        <v/>
      </c>
    </row>
    <row r="323">
      <c r="A323" t="inlineStr">
        <is>
          <t>Week4-Mar-2026</t>
        </is>
      </c>
      <c r="B323" s="27">
        <f>IF(SUM(B37,B180)=0,"",SUM(B37)/SUM(B37,B180))</f>
        <v/>
      </c>
      <c r="C323" s="27">
        <f>IF(SUM(C37,C180)=0,"",SUM(C37)/SUM(C37,C180))</f>
        <v/>
      </c>
      <c r="D323" s="27">
        <f>IF(SUM(D37,D180)=0,"",SUM(D37)/SUM(D37,D180))</f>
        <v/>
      </c>
      <c r="E323" s="27">
        <f>IF(SUM(E37,E180)=0,"",SUM(E37)/SUM(E37,E180))</f>
        <v/>
      </c>
      <c r="F323" s="27">
        <f>IF(SUM(F37,F180)=0,"",SUM(F37)/SUM(F37,F180))</f>
        <v/>
      </c>
      <c r="G323" s="27">
        <f>IF(SUM(G37,G180)=0,"",SUM(G37)/SUM(G37,G180))</f>
        <v/>
      </c>
      <c r="H323" s="27">
        <f>IF(SUM(H37,H180)=0,"",SUM(H37)/SUM(H37,H180))</f>
        <v/>
      </c>
    </row>
    <row r="324">
      <c r="A324" t="inlineStr">
        <is>
          <t>Week5-Mar-2026</t>
        </is>
      </c>
      <c r="B324" s="27">
        <f>IF(SUM(B38,B181)=0,"",SUM(B38)/SUM(B38,B181))</f>
        <v/>
      </c>
      <c r="C324" s="27">
        <f>IF(SUM(C38,C181)=0,"",SUM(C38)/SUM(C38,C181))</f>
        <v/>
      </c>
      <c r="D324" s="27">
        <f>IF(SUM(D38,D181)=0,"",SUM(D38)/SUM(D38,D181))</f>
        <v/>
      </c>
      <c r="E324" s="27">
        <f>IF(SUM(E38,E181)=0,"",SUM(E38)/SUM(E38,E181))</f>
        <v/>
      </c>
      <c r="F324" s="27">
        <f>IF(SUM(F38,F181)=0,"",SUM(F38)/SUM(F38,F181))</f>
        <v/>
      </c>
      <c r="G324" s="27">
        <f>IF(SUM(G38,G181)=0,"",SUM(G38)/SUM(G38,G181))</f>
        <v/>
      </c>
      <c r="H324" s="27">
        <f>IF(SUM(H38,H181)=0,"",SUM(H38)/SUM(H38,H181))</f>
        <v/>
      </c>
    </row>
    <row r="325">
      <c r="A325" t="inlineStr">
        <is>
          <t>Week1-Apr-2026</t>
        </is>
      </c>
      <c r="B325" s="27">
        <f>IF(SUM(B39,B182)=0,"",SUM(B39)/SUM(B39,B182))</f>
        <v/>
      </c>
      <c r="C325" s="27">
        <f>IF(SUM(C39,C182)=0,"",SUM(C39)/SUM(C39,C182))</f>
        <v/>
      </c>
      <c r="D325" s="27">
        <f>IF(SUM(D39,D182)=0,"",SUM(D39)/SUM(D39,D182))</f>
        <v/>
      </c>
      <c r="E325" s="27">
        <f>IF(SUM(E39,E182)=0,"",SUM(E39)/SUM(E39,E182))</f>
        <v/>
      </c>
      <c r="F325" s="27">
        <f>IF(SUM(F39,F182)=0,"",SUM(F39)/SUM(F39,F182))</f>
        <v/>
      </c>
      <c r="G325" s="27">
        <f>IF(SUM(G39,G182)=0,"",SUM(G39)/SUM(G39,G182))</f>
        <v/>
      </c>
      <c r="H325" s="27">
        <f>IF(SUM(H39,H182)=0,"",SUM(H39)/SUM(H39,H182))</f>
        <v/>
      </c>
    </row>
    <row r="326">
      <c r="A326" t="inlineStr">
        <is>
          <t>Week2-Apr-2026</t>
        </is>
      </c>
      <c r="B326" s="27">
        <f>IF(SUM(B40,B183)=0,"",SUM(B40)/SUM(B40,B183))</f>
        <v/>
      </c>
      <c r="C326" s="27">
        <f>IF(SUM(C40,C183)=0,"",SUM(C40)/SUM(C40,C183))</f>
        <v/>
      </c>
      <c r="D326" s="27">
        <f>IF(SUM(D40,D183)=0,"",SUM(D40)/SUM(D40,D183))</f>
        <v/>
      </c>
      <c r="E326" s="27">
        <f>IF(SUM(E40,E183)=0,"",SUM(E40)/SUM(E40,E183))</f>
        <v/>
      </c>
      <c r="F326" s="27">
        <f>IF(SUM(F40,F183)=0,"",SUM(F40)/SUM(F40,F183))</f>
        <v/>
      </c>
      <c r="G326" s="27">
        <f>IF(SUM(G40,G183)=0,"",SUM(G40)/SUM(G40,G183))</f>
        <v/>
      </c>
      <c r="H326" s="27">
        <f>IF(SUM(H40,H183)=0,"",SUM(H40)/SUM(H40,H183))</f>
        <v/>
      </c>
    </row>
    <row r="327">
      <c r="A327" t="inlineStr">
        <is>
          <t>Week3-Apr-2026</t>
        </is>
      </c>
      <c r="B327" s="27">
        <f>IF(SUM(B41,B184)=0,"",SUM(B41)/SUM(B41,B184))</f>
        <v/>
      </c>
      <c r="C327" s="27">
        <f>IF(SUM(C41,C184)=0,"",SUM(C41)/SUM(C41,C184))</f>
        <v/>
      </c>
      <c r="D327" s="27">
        <f>IF(SUM(D41,D184)=0,"",SUM(D41)/SUM(D41,D184))</f>
        <v/>
      </c>
      <c r="E327" s="27">
        <f>IF(SUM(E41,E184)=0,"",SUM(E41)/SUM(E41,E184))</f>
        <v/>
      </c>
      <c r="F327" s="27">
        <f>IF(SUM(F41,F184)=0,"",SUM(F41)/SUM(F41,F184))</f>
        <v/>
      </c>
      <c r="G327" s="27">
        <f>IF(SUM(G41,G184)=0,"",SUM(G41)/SUM(G41,G184))</f>
        <v/>
      </c>
      <c r="H327" s="27">
        <f>IF(SUM(H41,H184)=0,"",SUM(H41)/SUM(H41,H184))</f>
        <v/>
      </c>
    </row>
    <row r="328">
      <c r="A328" t="inlineStr">
        <is>
          <t>Week4-Apr-2026</t>
        </is>
      </c>
      <c r="B328" s="27">
        <f>IF(SUM(B42,B185)=0,"",SUM(B42)/SUM(B42,B185))</f>
        <v/>
      </c>
      <c r="C328" s="27">
        <f>IF(SUM(C42,C185)=0,"",SUM(C42)/SUM(C42,C185))</f>
        <v/>
      </c>
      <c r="D328" s="27">
        <f>IF(SUM(D42,D185)=0,"",SUM(D42)/SUM(D42,D185))</f>
        <v/>
      </c>
      <c r="E328" s="27">
        <f>IF(SUM(E42,E185)=0,"",SUM(E42)/SUM(E42,E185))</f>
        <v/>
      </c>
      <c r="F328" s="27">
        <f>IF(SUM(F42,F185)=0,"",SUM(F42)/SUM(F42,F185))</f>
        <v/>
      </c>
      <c r="G328" s="27">
        <f>IF(SUM(G42,G185)=0,"",SUM(G42)/SUM(G42,G185))</f>
        <v/>
      </c>
      <c r="H328" s="27">
        <f>IF(SUM(H42,H185)=0,"",SUM(H42)/SUM(H42,H185))</f>
        <v/>
      </c>
    </row>
    <row r="329">
      <c r="A329" t="inlineStr">
        <is>
          <t>Week5-Apr-2026</t>
        </is>
      </c>
      <c r="B329" s="27">
        <f>IF(SUM(B43,B186)=0,"",SUM(B43)/SUM(B43,B186))</f>
        <v/>
      </c>
      <c r="C329" s="27">
        <f>IF(SUM(C43,C186)=0,"",SUM(C43)/SUM(C43,C186))</f>
        <v/>
      </c>
      <c r="D329" s="27">
        <f>IF(SUM(D43,D186)=0,"",SUM(D43)/SUM(D43,D186))</f>
        <v/>
      </c>
      <c r="E329" s="27">
        <f>IF(SUM(E43,E186)=0,"",SUM(E43)/SUM(E43,E186))</f>
        <v/>
      </c>
      <c r="F329" s="27">
        <f>IF(SUM(F43,F186)=0,"",SUM(F43)/SUM(F43,F186))</f>
        <v/>
      </c>
      <c r="G329" s="27">
        <f>IF(SUM(G43,G186)=0,"",SUM(G43)/SUM(G43,G186))</f>
        <v/>
      </c>
      <c r="H329" s="27">
        <f>IF(SUM(H43,H186)=0,"",SUM(H43)/SUM(H43,H186))</f>
        <v/>
      </c>
    </row>
    <row r="330">
      <c r="A330" t="inlineStr">
        <is>
          <t>Week1-May-2026</t>
        </is>
      </c>
      <c r="B330" s="27">
        <f>IF(SUM(B44,B187)=0,"",SUM(B44)/SUM(B44,B187))</f>
        <v/>
      </c>
      <c r="C330" s="27">
        <f>IF(SUM(C44,C187)=0,"",SUM(C44)/SUM(C44,C187))</f>
        <v/>
      </c>
      <c r="D330" s="27">
        <f>IF(SUM(D44,D187)=0,"",SUM(D44)/SUM(D44,D187))</f>
        <v/>
      </c>
      <c r="E330" s="27">
        <f>IF(SUM(E44,E187)=0,"",SUM(E44)/SUM(E44,E187))</f>
        <v/>
      </c>
      <c r="F330" s="27">
        <f>IF(SUM(F44,F187)=0,"",SUM(F44)/SUM(F44,F187))</f>
        <v/>
      </c>
      <c r="G330" s="27">
        <f>IF(SUM(G44,G187)=0,"",SUM(G44)/SUM(G44,G187))</f>
        <v/>
      </c>
      <c r="H330" s="27">
        <f>IF(SUM(H44,H187)=0,"",SUM(H44)/SUM(H44,H187))</f>
        <v/>
      </c>
    </row>
    <row r="331">
      <c r="A331" t="inlineStr">
        <is>
          <t>Week2-May-2026</t>
        </is>
      </c>
      <c r="B331" s="27">
        <f>IF(SUM(B45,B188)=0,"",SUM(B45)/SUM(B45,B188))</f>
        <v/>
      </c>
      <c r="C331" s="27">
        <f>IF(SUM(C45,C188)=0,"",SUM(C45)/SUM(C45,C188))</f>
        <v/>
      </c>
      <c r="D331" s="27">
        <f>IF(SUM(D45,D188)=0,"",SUM(D45)/SUM(D45,D188))</f>
        <v/>
      </c>
      <c r="E331" s="27">
        <f>IF(SUM(E45,E188)=0,"",SUM(E45)/SUM(E45,E188))</f>
        <v/>
      </c>
      <c r="F331" s="27">
        <f>IF(SUM(F45,F188)=0,"",SUM(F45)/SUM(F45,F188))</f>
        <v/>
      </c>
      <c r="G331" s="27">
        <f>IF(SUM(G45,G188)=0,"",SUM(G45)/SUM(G45,G188))</f>
        <v/>
      </c>
      <c r="H331" s="27">
        <f>IF(SUM(H45,H188)=0,"",SUM(H45)/SUM(H45,H188))</f>
        <v/>
      </c>
    </row>
    <row r="332">
      <c r="A332" t="inlineStr">
        <is>
          <t>Week3-May-2026</t>
        </is>
      </c>
      <c r="B332" s="27">
        <f>IF(SUM(B46,B189)=0,"",SUM(B46)/SUM(B46,B189))</f>
        <v/>
      </c>
      <c r="C332" s="27">
        <f>IF(SUM(C46,C189)=0,"",SUM(C46)/SUM(C46,C189))</f>
        <v/>
      </c>
      <c r="D332" s="27">
        <f>IF(SUM(D46,D189)=0,"",SUM(D46)/SUM(D46,D189))</f>
        <v/>
      </c>
      <c r="E332" s="27">
        <f>IF(SUM(E46,E189)=0,"",SUM(E46)/SUM(E46,E189))</f>
        <v/>
      </c>
      <c r="F332" s="27">
        <f>IF(SUM(F46,F189)=0,"",SUM(F46)/SUM(F46,F189))</f>
        <v/>
      </c>
      <c r="G332" s="27">
        <f>IF(SUM(G46,G189)=0,"",SUM(G46)/SUM(G46,G189))</f>
        <v/>
      </c>
      <c r="H332" s="27">
        <f>IF(SUM(H46,H189)=0,"",SUM(H46)/SUM(H46,H189))</f>
        <v/>
      </c>
    </row>
    <row r="333">
      <c r="A333" t="inlineStr">
        <is>
          <t>Week4-May-2026</t>
        </is>
      </c>
      <c r="B333" s="27">
        <f>IF(SUM(B47,B190)=0,"",SUM(B47)/SUM(B47,B190))</f>
        <v/>
      </c>
      <c r="C333" s="27">
        <f>IF(SUM(C47,C190)=0,"",SUM(C47)/SUM(C47,C190))</f>
        <v/>
      </c>
      <c r="D333" s="27">
        <f>IF(SUM(D47,D190)=0,"",SUM(D47)/SUM(D47,D190))</f>
        <v/>
      </c>
      <c r="E333" s="27">
        <f>IF(SUM(E47,E190)=0,"",SUM(E47)/SUM(E47,E190))</f>
        <v/>
      </c>
      <c r="F333" s="27">
        <f>IF(SUM(F47,F190)=0,"",SUM(F47)/SUM(F47,F190))</f>
        <v/>
      </c>
      <c r="G333" s="27">
        <f>IF(SUM(G47,G190)=0,"",SUM(G47)/SUM(G47,G190))</f>
        <v/>
      </c>
      <c r="H333" s="27">
        <f>IF(SUM(H47,H190)=0,"",SUM(H47)/SUM(H47,H190))</f>
        <v/>
      </c>
    </row>
    <row r="334">
      <c r="A334" t="inlineStr">
        <is>
          <t>Week5-May-2026</t>
        </is>
      </c>
      <c r="B334" s="27">
        <f>IF(SUM(B48,B191)=0,"",SUM(B48)/SUM(B48,B191))</f>
        <v/>
      </c>
      <c r="C334" s="27">
        <f>IF(SUM(C48,C191)=0,"",SUM(C48)/SUM(C48,C191))</f>
        <v/>
      </c>
      <c r="D334" s="27">
        <f>IF(SUM(D48,D191)=0,"",SUM(D48)/SUM(D48,D191))</f>
        <v/>
      </c>
      <c r="E334" s="27">
        <f>IF(SUM(E48,E191)=0,"",SUM(E48)/SUM(E48,E191))</f>
        <v/>
      </c>
      <c r="F334" s="27">
        <f>IF(SUM(F48,F191)=0,"",SUM(F48)/SUM(F48,F191))</f>
        <v/>
      </c>
      <c r="G334" s="27">
        <f>IF(SUM(G48,G191)=0,"",SUM(G48)/SUM(G48,G191))</f>
        <v/>
      </c>
      <c r="H334" s="27">
        <f>IF(SUM(H48,H191)=0,"",SUM(H48)/SUM(H48,H191))</f>
        <v/>
      </c>
    </row>
    <row r="335">
      <c r="A335" t="inlineStr">
        <is>
          <t>Week1-Jun-2026</t>
        </is>
      </c>
      <c r="B335" s="27">
        <f>IF(SUM(B49,B192)=0,"",SUM(B49)/SUM(B49,B192))</f>
        <v/>
      </c>
      <c r="C335" s="27">
        <f>IF(SUM(C49,C192)=0,"",SUM(C49)/SUM(C49,C192))</f>
        <v/>
      </c>
      <c r="D335" s="27">
        <f>IF(SUM(D49,D192)=0,"",SUM(D49)/SUM(D49,D192))</f>
        <v/>
      </c>
      <c r="E335" s="27">
        <f>IF(SUM(E49,E192)=0,"",SUM(E49)/SUM(E49,E192))</f>
        <v/>
      </c>
      <c r="F335" s="27">
        <f>IF(SUM(F49,F192)=0,"",SUM(F49)/SUM(F49,F192))</f>
        <v/>
      </c>
      <c r="G335" s="27">
        <f>IF(SUM(G49,G192)=0,"",SUM(G49)/SUM(G49,G192))</f>
        <v/>
      </c>
      <c r="H335" s="27">
        <f>IF(SUM(H49,H192)=0,"",SUM(H49)/SUM(H49,H192))</f>
        <v/>
      </c>
    </row>
    <row r="336">
      <c r="A336" t="inlineStr">
        <is>
          <t>Week2-Jun-2026</t>
        </is>
      </c>
      <c r="B336" s="27">
        <f>IF(SUM(B50,B193)=0,"",SUM(B50)/SUM(B50,B193))</f>
        <v/>
      </c>
      <c r="C336" s="27">
        <f>IF(SUM(C50,C193)=0,"",SUM(C50)/SUM(C50,C193))</f>
        <v/>
      </c>
      <c r="D336" s="27">
        <f>IF(SUM(D50,D193)=0,"",SUM(D50)/SUM(D50,D193))</f>
        <v/>
      </c>
      <c r="E336" s="27">
        <f>IF(SUM(E50,E193)=0,"",SUM(E50)/SUM(E50,E193))</f>
        <v/>
      </c>
      <c r="F336" s="27">
        <f>IF(SUM(F50,F193)=0,"",SUM(F50)/SUM(F50,F193))</f>
        <v/>
      </c>
      <c r="G336" s="27">
        <f>IF(SUM(G50,G193)=0,"",SUM(G50)/SUM(G50,G193))</f>
        <v/>
      </c>
      <c r="H336" s="27">
        <f>IF(SUM(H50,H193)=0,"",SUM(H50)/SUM(H50,H193))</f>
        <v/>
      </c>
    </row>
    <row r="337">
      <c r="A337" t="inlineStr">
        <is>
          <t>Week3-Jun-2026</t>
        </is>
      </c>
      <c r="B337" s="27">
        <f>IF(SUM(B51,B194)=0,"",SUM(B51)/SUM(B51,B194))</f>
        <v/>
      </c>
      <c r="C337" s="27">
        <f>IF(SUM(C51,C194)=0,"",SUM(C51)/SUM(C51,C194))</f>
        <v/>
      </c>
      <c r="D337" s="27">
        <f>IF(SUM(D51,D194)=0,"",SUM(D51)/SUM(D51,D194))</f>
        <v/>
      </c>
      <c r="E337" s="27">
        <f>IF(SUM(E51,E194)=0,"",SUM(E51)/SUM(E51,E194))</f>
        <v/>
      </c>
      <c r="F337" s="27">
        <f>IF(SUM(F51,F194)=0,"",SUM(F51)/SUM(F51,F194))</f>
        <v/>
      </c>
      <c r="G337" s="27">
        <f>IF(SUM(G51,G194)=0,"",SUM(G51)/SUM(G51,G194))</f>
        <v/>
      </c>
      <c r="H337" s="27">
        <f>IF(SUM(H51,H194)=0,"",SUM(H51)/SUM(H51,H194))</f>
        <v/>
      </c>
    </row>
    <row r="338">
      <c r="A338" t="inlineStr">
        <is>
          <t>Week4-Jun-2026</t>
        </is>
      </c>
      <c r="B338" s="27">
        <f>IF(SUM(B52,B195)=0,"",SUM(B52)/SUM(B52,B195))</f>
        <v/>
      </c>
      <c r="C338" s="27">
        <f>IF(SUM(C52,C195)=0,"",SUM(C52)/SUM(C52,C195))</f>
        <v/>
      </c>
      <c r="D338" s="27">
        <f>IF(SUM(D52,D195)=0,"",SUM(D52)/SUM(D52,D195))</f>
        <v/>
      </c>
      <c r="E338" s="27">
        <f>IF(SUM(E52,E195)=0,"",SUM(E52)/SUM(E52,E195))</f>
        <v/>
      </c>
      <c r="F338" s="27">
        <f>IF(SUM(F52,F195)=0,"",SUM(F52)/SUM(F52,F195))</f>
        <v/>
      </c>
      <c r="G338" s="27">
        <f>IF(SUM(G52,G195)=0,"",SUM(G52)/SUM(G52,G195))</f>
        <v/>
      </c>
      <c r="H338" s="27">
        <f>IF(SUM(H52,H195)=0,"",SUM(H52)/SUM(H52,H195))</f>
        <v/>
      </c>
    </row>
    <row r="339">
      <c r="A339" t="inlineStr">
        <is>
          <t>Week5-Jun-2026</t>
        </is>
      </c>
      <c r="B339" s="27">
        <f>IF(SUM(B53,B196)=0,"",SUM(B53)/SUM(B53,B196))</f>
        <v/>
      </c>
      <c r="C339" s="27">
        <f>IF(SUM(C53,C196)=0,"",SUM(C53)/SUM(C53,C196))</f>
        <v/>
      </c>
      <c r="D339" s="27">
        <f>IF(SUM(D53,D196)=0,"",SUM(D53)/SUM(D53,D196))</f>
        <v/>
      </c>
      <c r="E339" s="27">
        <f>IF(SUM(E53,E196)=0,"",SUM(E53)/SUM(E53,E196))</f>
        <v/>
      </c>
      <c r="F339" s="27">
        <f>IF(SUM(F53,F196)=0,"",SUM(F53)/SUM(F53,F196))</f>
        <v/>
      </c>
      <c r="G339" s="27">
        <f>IF(SUM(G53,G196)=0,"",SUM(G53)/SUM(G53,G196))</f>
        <v/>
      </c>
      <c r="H339" s="27">
        <f>IF(SUM(H53,H196)=0,"",SUM(H53)/SUM(H53,H196))</f>
        <v/>
      </c>
    </row>
    <row r="340">
      <c r="A340" t="inlineStr">
        <is>
          <t>Week1-Jul-2026</t>
        </is>
      </c>
      <c r="B340" s="27">
        <f>IF(SUM(B54,B197)=0,"",SUM(B54)/SUM(B54,B197))</f>
        <v/>
      </c>
      <c r="C340" s="27">
        <f>IF(SUM(C54,C197)=0,"",SUM(C54)/SUM(C54,C197))</f>
        <v/>
      </c>
      <c r="D340" s="27">
        <f>IF(SUM(D54,D197)=0,"",SUM(D54)/SUM(D54,D197))</f>
        <v/>
      </c>
      <c r="E340" s="27">
        <f>IF(SUM(E54,E197)=0,"",SUM(E54)/SUM(E54,E197))</f>
        <v/>
      </c>
      <c r="F340" s="27">
        <f>IF(SUM(F54,F197)=0,"",SUM(F54)/SUM(F54,F197))</f>
        <v/>
      </c>
      <c r="G340" s="27">
        <f>IF(SUM(G54,G197)=0,"",SUM(G54)/SUM(G54,G197))</f>
        <v/>
      </c>
      <c r="H340" s="27">
        <f>IF(SUM(H54,H197)=0,"",SUM(H54)/SUM(H54,H197))</f>
        <v/>
      </c>
    </row>
    <row r="341">
      <c r="A341" t="inlineStr">
        <is>
          <t>Week2-Jul-2026</t>
        </is>
      </c>
      <c r="B341" s="27">
        <f>IF(SUM(B55,B198)=0,"",SUM(B55)/SUM(B55,B198))</f>
        <v/>
      </c>
      <c r="C341" s="27">
        <f>IF(SUM(C55,C198)=0,"",SUM(C55)/SUM(C55,C198))</f>
        <v/>
      </c>
      <c r="D341" s="27">
        <f>IF(SUM(D55,D198)=0,"",SUM(D55)/SUM(D55,D198))</f>
        <v/>
      </c>
      <c r="E341" s="27">
        <f>IF(SUM(E55,E198)=0,"",SUM(E55)/SUM(E55,E198))</f>
        <v/>
      </c>
      <c r="F341" s="27">
        <f>IF(SUM(F55,F198)=0,"",SUM(F55)/SUM(F55,F198))</f>
        <v/>
      </c>
      <c r="G341" s="27">
        <f>IF(SUM(G55,G198)=0,"",SUM(G55)/SUM(G55,G198))</f>
        <v/>
      </c>
      <c r="H341" s="27">
        <f>IF(SUM(H55,H198)=0,"",SUM(H55)/SUM(H55,H198))</f>
        <v/>
      </c>
    </row>
    <row r="342">
      <c r="A342" t="inlineStr">
        <is>
          <t>Week3-Jul-2026</t>
        </is>
      </c>
      <c r="B342" s="27">
        <f>IF(SUM(B56,B199)=0,"",SUM(B56)/SUM(B56,B199))</f>
        <v/>
      </c>
      <c r="C342" s="27">
        <f>IF(SUM(C56,C199)=0,"",SUM(C56)/SUM(C56,C199))</f>
        <v/>
      </c>
      <c r="D342" s="27">
        <f>IF(SUM(D56,D199)=0,"",SUM(D56)/SUM(D56,D199))</f>
        <v/>
      </c>
      <c r="E342" s="27">
        <f>IF(SUM(E56,E199)=0,"",SUM(E56)/SUM(E56,E199))</f>
        <v/>
      </c>
      <c r="F342" s="27">
        <f>IF(SUM(F56,F199)=0,"",SUM(F56)/SUM(F56,F199))</f>
        <v/>
      </c>
      <c r="G342" s="27">
        <f>IF(SUM(G56,G199)=0,"",SUM(G56)/SUM(G56,G199))</f>
        <v/>
      </c>
      <c r="H342" s="27">
        <f>IF(SUM(H56,H199)=0,"",SUM(H56)/SUM(H56,H199))</f>
        <v/>
      </c>
    </row>
    <row r="343">
      <c r="A343" t="inlineStr">
        <is>
          <t>Week4-Jul-2026</t>
        </is>
      </c>
      <c r="B343" s="27">
        <f>IF(SUM(B57,B200)=0,"",SUM(B57)/SUM(B57,B200))</f>
        <v/>
      </c>
      <c r="C343" s="27">
        <f>IF(SUM(C57,C200)=0,"",SUM(C57)/SUM(C57,C200))</f>
        <v/>
      </c>
      <c r="D343" s="27">
        <f>IF(SUM(D57,D200)=0,"",SUM(D57)/SUM(D57,D200))</f>
        <v/>
      </c>
      <c r="E343" s="27">
        <f>IF(SUM(E57,E200)=0,"",SUM(E57)/SUM(E57,E200))</f>
        <v/>
      </c>
      <c r="F343" s="27">
        <f>IF(SUM(F57,F200)=0,"",SUM(F57)/SUM(F57,F200))</f>
        <v/>
      </c>
      <c r="G343" s="27">
        <f>IF(SUM(G57,G200)=0,"",SUM(G57)/SUM(G57,G200))</f>
        <v/>
      </c>
      <c r="H343" s="27">
        <f>IF(SUM(H57,H200)=0,"",SUM(H57)/SUM(H57,H200))</f>
        <v/>
      </c>
    </row>
    <row r="344">
      <c r="A344" t="inlineStr">
        <is>
          <t>Week5-Jul-2026</t>
        </is>
      </c>
      <c r="B344" s="27">
        <f>IF(SUM(B58,B201)=0,"",SUM(B58)/SUM(B58,B201))</f>
        <v/>
      </c>
      <c r="C344" s="27">
        <f>IF(SUM(C58,C201)=0,"",SUM(C58)/SUM(C58,C201))</f>
        <v/>
      </c>
      <c r="D344" s="27">
        <f>IF(SUM(D58,D201)=0,"",SUM(D58)/SUM(D58,D201))</f>
        <v/>
      </c>
      <c r="E344" s="27">
        <f>IF(SUM(E58,E201)=0,"",SUM(E58)/SUM(E58,E201))</f>
        <v/>
      </c>
      <c r="F344" s="27">
        <f>IF(SUM(F58,F201)=0,"",SUM(F58)/SUM(F58,F201))</f>
        <v/>
      </c>
      <c r="G344" s="27">
        <f>IF(SUM(G58,G201)=0,"",SUM(G58)/SUM(G58,G201))</f>
        <v/>
      </c>
      <c r="H344" s="27">
        <f>IF(SUM(H58,H201)=0,"",SUM(H58)/SUM(H58,H201))</f>
        <v/>
      </c>
    </row>
    <row r="345">
      <c r="A345" t="inlineStr">
        <is>
          <t>Week1-Aug-2026</t>
        </is>
      </c>
      <c r="B345" s="27">
        <f>IF(SUM(B59,B202)=0,"",SUM(B59)/SUM(B59,B202))</f>
        <v/>
      </c>
      <c r="C345" s="27">
        <f>IF(SUM(C59,C202)=0,"",SUM(C59)/SUM(C59,C202))</f>
        <v/>
      </c>
      <c r="D345" s="27">
        <f>IF(SUM(D59,D202)=0,"",SUM(D59)/SUM(D59,D202))</f>
        <v/>
      </c>
      <c r="E345" s="27">
        <f>IF(SUM(E59,E202)=0,"",SUM(E59)/SUM(E59,E202))</f>
        <v/>
      </c>
      <c r="F345" s="27">
        <f>IF(SUM(F59,F202)=0,"",SUM(F59)/SUM(F59,F202))</f>
        <v/>
      </c>
      <c r="G345" s="27">
        <f>IF(SUM(G59,G202)=0,"",SUM(G59)/SUM(G59,G202))</f>
        <v/>
      </c>
      <c r="H345" s="27">
        <f>IF(SUM(H59,H202)=0,"",SUM(H59)/SUM(H59,H202))</f>
        <v/>
      </c>
    </row>
    <row r="346" hidden="1" outlineLevel="1">
      <c r="A346" t="inlineStr">
        <is>
          <t>Week2-Aug-2026</t>
        </is>
      </c>
      <c r="B346" s="27">
        <f>IF(SUM(B60,B203)=0,"",SUM(B60)/SUM(B60,B203))</f>
        <v/>
      </c>
      <c r="C346" s="27">
        <f>IF(SUM(C60,C203)=0,"",SUM(C60)/SUM(C60,C203))</f>
        <v/>
      </c>
      <c r="D346" s="27">
        <f>IF(SUM(D60,D203)=0,"",SUM(D60)/SUM(D60,D203))</f>
        <v/>
      </c>
      <c r="E346" s="27">
        <f>IF(SUM(E60,E203)=0,"",SUM(E60)/SUM(E60,E203))</f>
        <v/>
      </c>
      <c r="F346" s="27">
        <f>IF(SUM(F60,F203)=0,"",SUM(F60)/SUM(F60,F203))</f>
        <v/>
      </c>
      <c r="G346" s="27">
        <f>IF(SUM(G60,G203)=0,"",SUM(G60)/SUM(G60,G203))</f>
        <v/>
      </c>
      <c r="H346" s="27">
        <f>IF(SUM(H60,H203)=0,"",SUM(H60)/SUM(H60,H203))</f>
        <v/>
      </c>
    </row>
    <row r="347" hidden="1" outlineLevel="1">
      <c r="A347" t="inlineStr">
        <is>
          <t>Week3-Aug-2026</t>
        </is>
      </c>
      <c r="B347" s="27">
        <f>IF(SUM(B61,B204)=0,"",SUM(B61)/SUM(B61,B204))</f>
        <v/>
      </c>
      <c r="C347" s="27">
        <f>IF(SUM(C61,C204)=0,"",SUM(C61)/SUM(C61,C204))</f>
        <v/>
      </c>
      <c r="D347" s="27">
        <f>IF(SUM(D61,D204)=0,"",SUM(D61)/SUM(D61,D204))</f>
        <v/>
      </c>
      <c r="E347" s="27">
        <f>IF(SUM(E61,E204)=0,"",SUM(E61)/SUM(E61,E204))</f>
        <v/>
      </c>
      <c r="F347" s="27">
        <f>IF(SUM(F61,F204)=0,"",SUM(F61)/SUM(F61,F204))</f>
        <v/>
      </c>
      <c r="G347" s="27">
        <f>IF(SUM(G61,G204)=0,"",SUM(G61)/SUM(G61,G204))</f>
        <v/>
      </c>
      <c r="H347" s="27">
        <f>IF(SUM(H61,H204)=0,"",SUM(H61)/SUM(H61,H204))</f>
        <v/>
      </c>
    </row>
    <row r="348" hidden="1" outlineLevel="1">
      <c r="A348" t="inlineStr">
        <is>
          <t>Week4-Aug-2026</t>
        </is>
      </c>
      <c r="B348" s="27">
        <f>IF(SUM(B62,B205)=0,"",SUM(B62)/SUM(B62,B205))</f>
        <v/>
      </c>
      <c r="C348" s="27">
        <f>IF(SUM(C62,C205)=0,"",SUM(C62)/SUM(C62,C205))</f>
        <v/>
      </c>
      <c r="D348" s="27">
        <f>IF(SUM(D62,D205)=0,"",SUM(D62)/SUM(D62,D205))</f>
        <v/>
      </c>
      <c r="E348" s="27">
        <f>IF(SUM(E62,E205)=0,"",SUM(E62)/SUM(E62,E205))</f>
        <v/>
      </c>
      <c r="F348" s="27">
        <f>IF(SUM(F62,F205)=0,"",SUM(F62)/SUM(F62,F205))</f>
        <v/>
      </c>
      <c r="G348" s="27">
        <f>IF(SUM(G62,G205)=0,"",SUM(G62)/SUM(G62,G205))</f>
        <v/>
      </c>
      <c r="H348" s="27">
        <f>IF(SUM(H62,H205)=0,"",SUM(H62)/SUM(H62,H205))</f>
        <v/>
      </c>
    </row>
    <row r="349" hidden="1" outlineLevel="1">
      <c r="A349" t="inlineStr">
        <is>
          <t>Week5-Aug-2026</t>
        </is>
      </c>
      <c r="B349" s="27">
        <f>IF(SUM(B63,B206)=0,"",SUM(B63)/SUM(B63,B206))</f>
        <v/>
      </c>
      <c r="C349" s="27">
        <f>IF(SUM(C63,C206)=0,"",SUM(C63)/SUM(C63,C206))</f>
        <v/>
      </c>
      <c r="D349" s="27">
        <f>IF(SUM(D63,D206)=0,"",SUM(D63)/SUM(D63,D206))</f>
        <v/>
      </c>
      <c r="E349" s="27">
        <f>IF(SUM(E63,E206)=0,"",SUM(E63)/SUM(E63,E206))</f>
        <v/>
      </c>
      <c r="F349" s="27">
        <f>IF(SUM(F63,F206)=0,"",SUM(F63)/SUM(F63,F206))</f>
        <v/>
      </c>
      <c r="G349" s="27">
        <f>IF(SUM(G63,G206)=0,"",SUM(G63)/SUM(G63,G206))</f>
        <v/>
      </c>
      <c r="H349" s="27">
        <f>IF(SUM(H63,H206)=0,"",SUM(H63)/SUM(H63,H206))</f>
        <v/>
      </c>
    </row>
    <row r="350" hidden="1" outlineLevel="1">
      <c r="A350" t="inlineStr">
        <is>
          <t>Week1-Sep-2026</t>
        </is>
      </c>
      <c r="B350" s="27">
        <f>IF(SUM(B64,B207)=0,"",SUM(B64)/SUM(B64,B207))</f>
        <v/>
      </c>
      <c r="C350" s="27">
        <f>IF(SUM(C64,C207)=0,"",SUM(C64)/SUM(C64,C207))</f>
        <v/>
      </c>
      <c r="D350" s="27">
        <f>IF(SUM(D64,D207)=0,"",SUM(D64)/SUM(D64,D207))</f>
        <v/>
      </c>
      <c r="E350" s="27">
        <f>IF(SUM(E64,E207)=0,"",SUM(E64)/SUM(E64,E207))</f>
        <v/>
      </c>
      <c r="F350" s="27">
        <f>IF(SUM(F64,F207)=0,"",SUM(F64)/SUM(F64,F207))</f>
        <v/>
      </c>
      <c r="G350" s="27">
        <f>IF(SUM(G64,G207)=0,"",SUM(G64)/SUM(G64,G207))</f>
        <v/>
      </c>
      <c r="H350" s="27">
        <f>IF(SUM(H64,H207)=0,"",SUM(H64)/SUM(H64,H207))</f>
        <v/>
      </c>
    </row>
    <row r="351" hidden="1" outlineLevel="1">
      <c r="A351" t="inlineStr">
        <is>
          <t>Week2-Sep-2026</t>
        </is>
      </c>
      <c r="B351" s="27">
        <f>IF(SUM(B65,B208)=0,"",SUM(B65)/SUM(B65,B208))</f>
        <v/>
      </c>
      <c r="C351" s="27">
        <f>IF(SUM(C65,C208)=0,"",SUM(C65)/SUM(C65,C208))</f>
        <v/>
      </c>
      <c r="D351" s="27">
        <f>IF(SUM(D65,D208)=0,"",SUM(D65)/SUM(D65,D208))</f>
        <v/>
      </c>
      <c r="E351" s="27">
        <f>IF(SUM(E65,E208)=0,"",SUM(E65)/SUM(E65,E208))</f>
        <v/>
      </c>
      <c r="F351" s="27">
        <f>IF(SUM(F65,F208)=0,"",SUM(F65)/SUM(F65,F208))</f>
        <v/>
      </c>
      <c r="G351" s="27">
        <f>IF(SUM(G65,G208)=0,"",SUM(G65)/SUM(G65,G208))</f>
        <v/>
      </c>
      <c r="H351" s="27">
        <f>IF(SUM(H65,H208)=0,"",SUM(H65)/SUM(H65,H208))</f>
        <v/>
      </c>
    </row>
    <row r="352" hidden="1" outlineLevel="1">
      <c r="A352" t="inlineStr">
        <is>
          <t>Week3-Sep-2026</t>
        </is>
      </c>
      <c r="B352" s="27">
        <f>IF(SUM(B66,B209)=0,"",SUM(B66)/SUM(B66,B209))</f>
        <v/>
      </c>
      <c r="C352" s="27">
        <f>IF(SUM(C66,C209)=0,"",SUM(C66)/SUM(C66,C209))</f>
        <v/>
      </c>
      <c r="D352" s="27">
        <f>IF(SUM(D66,D209)=0,"",SUM(D66)/SUM(D66,D209))</f>
        <v/>
      </c>
      <c r="E352" s="27">
        <f>IF(SUM(E66,E209)=0,"",SUM(E66)/SUM(E66,E209))</f>
        <v/>
      </c>
      <c r="F352" s="27">
        <f>IF(SUM(F66,F209)=0,"",SUM(F66)/SUM(F66,F209))</f>
        <v/>
      </c>
      <c r="G352" s="27">
        <f>IF(SUM(G66,G209)=0,"",SUM(G66)/SUM(G66,G209))</f>
        <v/>
      </c>
      <c r="H352" s="27">
        <f>IF(SUM(H66,H209)=0,"",SUM(H66)/SUM(H66,H209))</f>
        <v/>
      </c>
    </row>
    <row r="353" hidden="1" outlineLevel="1">
      <c r="A353" t="inlineStr">
        <is>
          <t>Week4-Sep-2026</t>
        </is>
      </c>
      <c r="B353" s="27">
        <f>IF(SUM(B67,B210)=0,"",SUM(B67)/SUM(B67,B210))</f>
        <v/>
      </c>
      <c r="C353" s="27">
        <f>IF(SUM(C67,C210)=0,"",SUM(C67)/SUM(C67,C210))</f>
        <v/>
      </c>
      <c r="D353" s="27">
        <f>IF(SUM(D67,D210)=0,"",SUM(D67)/SUM(D67,D210))</f>
        <v/>
      </c>
      <c r="E353" s="27">
        <f>IF(SUM(E67,E210)=0,"",SUM(E67)/SUM(E67,E210))</f>
        <v/>
      </c>
      <c r="F353" s="27">
        <f>IF(SUM(F67,F210)=0,"",SUM(F67)/SUM(F67,F210))</f>
        <v/>
      </c>
      <c r="G353" s="27">
        <f>IF(SUM(G67,G210)=0,"",SUM(G67)/SUM(G67,G210))</f>
        <v/>
      </c>
      <c r="H353" s="27">
        <f>IF(SUM(H67,H210)=0,"",SUM(H67)/SUM(H67,H210))</f>
        <v/>
      </c>
    </row>
    <row r="354" hidden="1" outlineLevel="1">
      <c r="A354" t="inlineStr">
        <is>
          <t>Week5-Sep-2026</t>
        </is>
      </c>
      <c r="B354" s="27">
        <f>IF(SUM(B68,B211)=0,"",SUM(B68)/SUM(B68,B211))</f>
        <v/>
      </c>
      <c r="C354" s="27">
        <f>IF(SUM(C68,C211)=0,"",SUM(C68)/SUM(C68,C211))</f>
        <v/>
      </c>
      <c r="D354" s="27">
        <f>IF(SUM(D68,D211)=0,"",SUM(D68)/SUM(D68,D211))</f>
        <v/>
      </c>
      <c r="E354" s="27">
        <f>IF(SUM(E68,E211)=0,"",SUM(E68)/SUM(E68,E211))</f>
        <v/>
      </c>
      <c r="F354" s="27">
        <f>IF(SUM(F68,F211)=0,"",SUM(F68)/SUM(F68,F211))</f>
        <v/>
      </c>
      <c r="G354" s="27">
        <f>IF(SUM(G68,G211)=0,"",SUM(G68)/SUM(G68,G211))</f>
        <v/>
      </c>
      <c r="H354" s="27">
        <f>IF(SUM(H68,H211)=0,"",SUM(H68)/SUM(H68,H211))</f>
        <v/>
      </c>
    </row>
    <row r="355" hidden="1" outlineLevel="1">
      <c r="A355" t="inlineStr">
        <is>
          <t>Week1-Oct-2026</t>
        </is>
      </c>
      <c r="B355" s="27">
        <f>IF(SUM(B69,B212)=0,"",SUM(B69)/SUM(B69,B212))</f>
        <v/>
      </c>
      <c r="C355" s="27">
        <f>IF(SUM(C69,C212)=0,"",SUM(C69)/SUM(C69,C212))</f>
        <v/>
      </c>
      <c r="D355" s="27">
        <f>IF(SUM(D69,D212)=0,"",SUM(D69)/SUM(D69,D212))</f>
        <v/>
      </c>
      <c r="E355" s="27">
        <f>IF(SUM(E69,E212)=0,"",SUM(E69)/SUM(E69,E212))</f>
        <v/>
      </c>
      <c r="F355" s="27">
        <f>IF(SUM(F69,F212)=0,"",SUM(F69)/SUM(F69,F212))</f>
        <v/>
      </c>
      <c r="G355" s="27">
        <f>IF(SUM(G69,G212)=0,"",SUM(G69)/SUM(G69,G212))</f>
        <v/>
      </c>
      <c r="H355" s="27">
        <f>IF(SUM(H69,H212)=0,"",SUM(H69)/SUM(H69,H212))</f>
        <v/>
      </c>
    </row>
    <row r="356" hidden="1" outlineLevel="1">
      <c r="A356" t="inlineStr">
        <is>
          <t>Week2-Oct-2026</t>
        </is>
      </c>
      <c r="B356" s="27">
        <f>IF(SUM(B70,B213)=0,"",SUM(B70)/SUM(B70,B213))</f>
        <v/>
      </c>
      <c r="C356" s="27">
        <f>IF(SUM(C70,C213)=0,"",SUM(C70)/SUM(C70,C213))</f>
        <v/>
      </c>
      <c r="D356" s="27">
        <f>IF(SUM(D70,D213)=0,"",SUM(D70)/SUM(D70,D213))</f>
        <v/>
      </c>
      <c r="E356" s="27">
        <f>IF(SUM(E70,E213)=0,"",SUM(E70)/SUM(E70,E213))</f>
        <v/>
      </c>
      <c r="F356" s="27">
        <f>IF(SUM(F70,F213)=0,"",SUM(F70)/SUM(F70,F213))</f>
        <v/>
      </c>
      <c r="G356" s="27">
        <f>IF(SUM(G70,G213)=0,"",SUM(G70)/SUM(G70,G213))</f>
        <v/>
      </c>
      <c r="H356" s="27">
        <f>IF(SUM(H70,H213)=0,"",SUM(H70)/SUM(H70,H213))</f>
        <v/>
      </c>
    </row>
    <row r="357" hidden="1" outlineLevel="1">
      <c r="A357" t="inlineStr">
        <is>
          <t>Week3-Oct-2026</t>
        </is>
      </c>
      <c r="B357" s="27">
        <f>IF(SUM(B71,B214)=0,"",SUM(B71)/SUM(B71,B214))</f>
        <v/>
      </c>
      <c r="C357" s="27">
        <f>IF(SUM(C71,C214)=0,"",SUM(C71)/SUM(C71,C214))</f>
        <v/>
      </c>
      <c r="D357" s="27">
        <f>IF(SUM(D71,D214)=0,"",SUM(D71)/SUM(D71,D214))</f>
        <v/>
      </c>
      <c r="E357" s="27">
        <f>IF(SUM(E71,E214)=0,"",SUM(E71)/SUM(E71,E214))</f>
        <v/>
      </c>
      <c r="F357" s="27">
        <f>IF(SUM(F71,F214)=0,"",SUM(F71)/SUM(F71,F214))</f>
        <v/>
      </c>
      <c r="G357" s="27">
        <f>IF(SUM(G71,G214)=0,"",SUM(G71)/SUM(G71,G214))</f>
        <v/>
      </c>
      <c r="H357" s="27">
        <f>IF(SUM(H71,H214)=0,"",SUM(H71)/SUM(H71,H214))</f>
        <v/>
      </c>
    </row>
    <row r="358" hidden="1" outlineLevel="1">
      <c r="A358" t="inlineStr">
        <is>
          <t>Week4-Oct-2026</t>
        </is>
      </c>
      <c r="B358" s="27">
        <f>IF(SUM(B72,B215)=0,"",SUM(B72)/SUM(B72,B215))</f>
        <v/>
      </c>
      <c r="C358" s="27">
        <f>IF(SUM(C72,C215)=0,"",SUM(C72)/SUM(C72,C215))</f>
        <v/>
      </c>
      <c r="D358" s="27">
        <f>IF(SUM(D72,D215)=0,"",SUM(D72)/SUM(D72,D215))</f>
        <v/>
      </c>
      <c r="E358" s="27">
        <f>IF(SUM(E72,E215)=0,"",SUM(E72)/SUM(E72,E215))</f>
        <v/>
      </c>
      <c r="F358" s="27">
        <f>IF(SUM(F72,F215)=0,"",SUM(F72)/SUM(F72,F215))</f>
        <v/>
      </c>
      <c r="G358" s="27">
        <f>IF(SUM(G72,G215)=0,"",SUM(G72)/SUM(G72,G215))</f>
        <v/>
      </c>
      <c r="H358" s="27">
        <f>IF(SUM(H72,H215)=0,"",SUM(H72)/SUM(H72,H215))</f>
        <v/>
      </c>
    </row>
    <row r="359" hidden="1" outlineLevel="1">
      <c r="A359" t="inlineStr">
        <is>
          <t>Week5-Oct-2026</t>
        </is>
      </c>
      <c r="B359" s="27">
        <f>IF(SUM(B73,B216)=0,"",SUM(B73)/SUM(B73,B216))</f>
        <v/>
      </c>
      <c r="C359" s="27">
        <f>IF(SUM(C73,C216)=0,"",SUM(C73)/SUM(C73,C216))</f>
        <v/>
      </c>
      <c r="D359" s="27">
        <f>IF(SUM(D73,D216)=0,"",SUM(D73)/SUM(D73,D216))</f>
        <v/>
      </c>
      <c r="E359" s="27">
        <f>IF(SUM(E73,E216)=0,"",SUM(E73)/SUM(E73,E216))</f>
        <v/>
      </c>
      <c r="F359" s="27">
        <f>IF(SUM(F73,F216)=0,"",SUM(F73)/SUM(F73,F216))</f>
        <v/>
      </c>
      <c r="G359" s="27">
        <f>IF(SUM(G73,G216)=0,"",SUM(G73)/SUM(G73,G216))</f>
        <v/>
      </c>
      <c r="H359" s="27">
        <f>IF(SUM(H73,H216)=0,"",SUM(H73)/SUM(H73,H216))</f>
        <v/>
      </c>
    </row>
    <row r="360" hidden="1" outlineLevel="1">
      <c r="A360" t="inlineStr">
        <is>
          <t>Week1-Nov-2026</t>
        </is>
      </c>
      <c r="B360" s="27">
        <f>IF(SUM(B74,B217)=0,"",SUM(B74)/SUM(B74,B217))</f>
        <v/>
      </c>
      <c r="C360" s="27">
        <f>IF(SUM(C74,C217)=0,"",SUM(C74)/SUM(C74,C217))</f>
        <v/>
      </c>
      <c r="D360" s="27">
        <f>IF(SUM(D74,D217)=0,"",SUM(D74)/SUM(D74,D217))</f>
        <v/>
      </c>
      <c r="E360" s="27">
        <f>IF(SUM(E74,E217)=0,"",SUM(E74)/SUM(E74,E217))</f>
        <v/>
      </c>
      <c r="F360" s="27">
        <f>IF(SUM(F74,F217)=0,"",SUM(F74)/SUM(F74,F217))</f>
        <v/>
      </c>
      <c r="G360" s="27">
        <f>IF(SUM(G74,G217)=0,"",SUM(G74)/SUM(G74,G217))</f>
        <v/>
      </c>
      <c r="H360" s="27">
        <f>IF(SUM(H74,H217)=0,"",SUM(H74)/SUM(H74,H217))</f>
        <v/>
      </c>
    </row>
    <row r="361" hidden="1" outlineLevel="1">
      <c r="A361" t="inlineStr">
        <is>
          <t>Week2-Nov-2026</t>
        </is>
      </c>
      <c r="B361" s="27">
        <f>IF(SUM(B75,B218)=0,"",SUM(B75)/SUM(B75,B218))</f>
        <v/>
      </c>
      <c r="C361" s="27">
        <f>IF(SUM(C75,C218)=0,"",SUM(C75)/SUM(C75,C218))</f>
        <v/>
      </c>
      <c r="D361" s="27">
        <f>IF(SUM(D75,D218)=0,"",SUM(D75)/SUM(D75,D218))</f>
        <v/>
      </c>
      <c r="E361" s="27">
        <f>IF(SUM(E75,E218)=0,"",SUM(E75)/SUM(E75,E218))</f>
        <v/>
      </c>
      <c r="F361" s="27">
        <f>IF(SUM(F75,F218)=0,"",SUM(F75)/SUM(F75,F218))</f>
        <v/>
      </c>
      <c r="G361" s="27">
        <f>IF(SUM(G75,G218)=0,"",SUM(G75)/SUM(G75,G218))</f>
        <v/>
      </c>
      <c r="H361" s="27">
        <f>IF(SUM(H75,H218)=0,"",SUM(H75)/SUM(H75,H218))</f>
        <v/>
      </c>
    </row>
    <row r="362" hidden="1" outlineLevel="1">
      <c r="A362" t="inlineStr">
        <is>
          <t>Week3-Nov-2026</t>
        </is>
      </c>
      <c r="B362" s="27">
        <f>IF(SUM(B76,B219)=0,"",SUM(B76)/SUM(B76,B219))</f>
        <v/>
      </c>
      <c r="C362" s="27">
        <f>IF(SUM(C76,C219)=0,"",SUM(C76)/SUM(C76,C219))</f>
        <v/>
      </c>
      <c r="D362" s="27">
        <f>IF(SUM(D76,D219)=0,"",SUM(D76)/SUM(D76,D219))</f>
        <v/>
      </c>
      <c r="E362" s="27">
        <f>IF(SUM(E76,E219)=0,"",SUM(E76)/SUM(E76,E219))</f>
        <v/>
      </c>
      <c r="F362" s="27">
        <f>IF(SUM(F76,F219)=0,"",SUM(F76)/SUM(F76,F219))</f>
        <v/>
      </c>
      <c r="G362" s="27">
        <f>IF(SUM(G76,G219)=0,"",SUM(G76)/SUM(G76,G219))</f>
        <v/>
      </c>
      <c r="H362" s="27">
        <f>IF(SUM(H76,H219)=0,"",SUM(H76)/SUM(H76,H219))</f>
        <v/>
      </c>
    </row>
    <row r="363" hidden="1" outlineLevel="1">
      <c r="A363" t="inlineStr">
        <is>
          <t>Week4-Nov-2026</t>
        </is>
      </c>
      <c r="B363" s="27">
        <f>IF(SUM(B77,B220)=0,"",SUM(B77)/SUM(B77,B220))</f>
        <v/>
      </c>
      <c r="C363" s="27">
        <f>IF(SUM(C77,C220)=0,"",SUM(C77)/SUM(C77,C220))</f>
        <v/>
      </c>
      <c r="D363" s="27">
        <f>IF(SUM(D77,D220)=0,"",SUM(D77)/SUM(D77,D220))</f>
        <v/>
      </c>
      <c r="E363" s="27">
        <f>IF(SUM(E77,E220)=0,"",SUM(E77)/SUM(E77,E220))</f>
        <v/>
      </c>
      <c r="F363" s="27">
        <f>IF(SUM(F77,F220)=0,"",SUM(F77)/SUM(F77,F220))</f>
        <v/>
      </c>
      <c r="G363" s="27">
        <f>IF(SUM(G77,G220)=0,"",SUM(G77)/SUM(G77,G220))</f>
        <v/>
      </c>
      <c r="H363" s="27">
        <f>IF(SUM(H77,H220)=0,"",SUM(H77)/SUM(H77,H220))</f>
        <v/>
      </c>
    </row>
    <row r="364" hidden="1" outlineLevel="1">
      <c r="A364" t="inlineStr">
        <is>
          <t>Week5-Nov-2026</t>
        </is>
      </c>
      <c r="B364" s="27">
        <f>IF(SUM(B78,B221)=0,"",SUM(B78)/SUM(B78,B221))</f>
        <v/>
      </c>
      <c r="C364" s="27">
        <f>IF(SUM(C78,C221)=0,"",SUM(C78)/SUM(C78,C221))</f>
        <v/>
      </c>
      <c r="D364" s="27">
        <f>IF(SUM(D78,D221)=0,"",SUM(D78)/SUM(D78,D221))</f>
        <v/>
      </c>
      <c r="E364" s="27">
        <f>IF(SUM(E78,E221)=0,"",SUM(E78)/SUM(E78,E221))</f>
        <v/>
      </c>
      <c r="F364" s="27">
        <f>IF(SUM(F78,F221)=0,"",SUM(F78)/SUM(F78,F221))</f>
        <v/>
      </c>
      <c r="G364" s="27">
        <f>IF(SUM(G78,G221)=0,"",SUM(G78)/SUM(G78,G221))</f>
        <v/>
      </c>
      <c r="H364" s="27">
        <f>IF(SUM(H78,H221)=0,"",SUM(H78)/SUM(H78,H221))</f>
        <v/>
      </c>
    </row>
    <row r="365" hidden="1" outlineLevel="1">
      <c r="A365" t="inlineStr">
        <is>
          <t>Week1-Dec-2026</t>
        </is>
      </c>
      <c r="B365" s="27">
        <f>IF(SUM(B79,B222)=0,"",SUM(B79)/SUM(B79,B222))</f>
        <v/>
      </c>
      <c r="C365" s="27">
        <f>IF(SUM(C79,C222)=0,"",SUM(C79)/SUM(C79,C222))</f>
        <v/>
      </c>
      <c r="D365" s="27">
        <f>IF(SUM(D79,D222)=0,"",SUM(D79)/SUM(D79,D222))</f>
        <v/>
      </c>
      <c r="E365" s="27">
        <f>IF(SUM(E79,E222)=0,"",SUM(E79)/SUM(E79,E222))</f>
        <v/>
      </c>
      <c r="F365" s="27">
        <f>IF(SUM(F79,F222)=0,"",SUM(F79)/SUM(F79,F222))</f>
        <v/>
      </c>
      <c r="G365" s="27">
        <f>IF(SUM(G79,G222)=0,"",SUM(G79)/SUM(G79,G222))</f>
        <v/>
      </c>
      <c r="H365" s="27">
        <f>IF(SUM(H79,H222)=0,"",SUM(H79)/SUM(H79,H222))</f>
        <v/>
      </c>
    </row>
    <row r="366" hidden="1" outlineLevel="1">
      <c r="A366" t="inlineStr">
        <is>
          <t>Week2-Dec-2026</t>
        </is>
      </c>
      <c r="B366" s="27">
        <f>IF(SUM(B80,B223)=0,"",SUM(B80)/SUM(B80,B223))</f>
        <v/>
      </c>
      <c r="C366" s="27">
        <f>IF(SUM(C80,C223)=0,"",SUM(C80)/SUM(C80,C223))</f>
        <v/>
      </c>
      <c r="D366" s="27">
        <f>IF(SUM(D80,D223)=0,"",SUM(D80)/SUM(D80,D223))</f>
        <v/>
      </c>
      <c r="E366" s="27">
        <f>IF(SUM(E80,E223)=0,"",SUM(E80)/SUM(E80,E223))</f>
        <v/>
      </c>
      <c r="F366" s="27">
        <f>IF(SUM(F80,F223)=0,"",SUM(F80)/SUM(F80,F223))</f>
        <v/>
      </c>
      <c r="G366" s="27">
        <f>IF(SUM(G80,G223)=0,"",SUM(G80)/SUM(G80,G223))</f>
        <v/>
      </c>
      <c r="H366" s="27">
        <f>IF(SUM(H80,H223)=0,"",SUM(H80)/SUM(H80,H223))</f>
        <v/>
      </c>
    </row>
    <row r="367" hidden="1" outlineLevel="1">
      <c r="A367" t="inlineStr">
        <is>
          <t>Week3-Dec-2026</t>
        </is>
      </c>
      <c r="B367" s="27">
        <f>IF(SUM(B81,B224)=0,"",SUM(B81)/SUM(B81,B224))</f>
        <v/>
      </c>
      <c r="C367" s="27">
        <f>IF(SUM(C81,C224)=0,"",SUM(C81)/SUM(C81,C224))</f>
        <v/>
      </c>
      <c r="D367" s="27">
        <f>IF(SUM(D81,D224)=0,"",SUM(D81)/SUM(D81,D224))</f>
        <v/>
      </c>
      <c r="E367" s="27">
        <f>IF(SUM(E81,E224)=0,"",SUM(E81)/SUM(E81,E224))</f>
        <v/>
      </c>
      <c r="F367" s="27">
        <f>IF(SUM(F81,F224)=0,"",SUM(F81)/SUM(F81,F224))</f>
        <v/>
      </c>
      <c r="G367" s="27">
        <f>IF(SUM(G81,G224)=0,"",SUM(G81)/SUM(G81,G224))</f>
        <v/>
      </c>
      <c r="H367" s="27">
        <f>IF(SUM(H81,H224)=0,"",SUM(H81)/SUM(H81,H224))</f>
        <v/>
      </c>
    </row>
    <row r="368" hidden="1" outlineLevel="1">
      <c r="A368" t="inlineStr">
        <is>
          <t>Week4-Dec-2026</t>
        </is>
      </c>
      <c r="B368" s="27">
        <f>IF(SUM(B82,B225)=0,"",SUM(B82)/SUM(B82,B225))</f>
        <v/>
      </c>
      <c r="C368" s="27">
        <f>IF(SUM(C82,C225)=0,"",SUM(C82)/SUM(C82,C225))</f>
        <v/>
      </c>
      <c r="D368" s="27">
        <f>IF(SUM(D82,D225)=0,"",SUM(D82)/SUM(D82,D225))</f>
        <v/>
      </c>
      <c r="E368" s="27">
        <f>IF(SUM(E82,E225)=0,"",SUM(E82)/SUM(E82,E225))</f>
        <v/>
      </c>
      <c r="F368" s="27">
        <f>IF(SUM(F82,F225)=0,"",SUM(F82)/SUM(F82,F225))</f>
        <v/>
      </c>
      <c r="G368" s="27">
        <f>IF(SUM(G82,G225)=0,"",SUM(G82)/SUM(G82,G225))</f>
        <v/>
      </c>
      <c r="H368" s="27">
        <f>IF(SUM(H82,H225)=0,"",SUM(H82)/SUM(H82,H225))</f>
        <v/>
      </c>
    </row>
    <row r="369" hidden="1" outlineLevel="1">
      <c r="A369" t="inlineStr">
        <is>
          <t>Week5-Dec-2026</t>
        </is>
      </c>
      <c r="B369" s="27">
        <f>IF(SUM(B83,B226)=0,"",SUM(B83)/SUM(B83,B226))</f>
        <v/>
      </c>
      <c r="C369" s="27">
        <f>IF(SUM(C83,C226)=0,"",SUM(C83)/SUM(C83,C226))</f>
        <v/>
      </c>
      <c r="D369" s="27">
        <f>IF(SUM(D83,D226)=0,"",SUM(D83)/SUM(D83,D226))</f>
        <v/>
      </c>
      <c r="E369" s="27">
        <f>IF(SUM(E83,E226)=0,"",SUM(E83)/SUM(E83,E226))</f>
        <v/>
      </c>
      <c r="F369" s="27">
        <f>IF(SUM(F83,F226)=0,"",SUM(F83)/SUM(F83,F226))</f>
        <v/>
      </c>
      <c r="G369" s="27">
        <f>IF(SUM(G83,G226)=0,"",SUM(G83)/SUM(G83,G226))</f>
        <v/>
      </c>
      <c r="H369" s="27">
        <f>IF(SUM(H83,H226)=0,"",SUM(H83)/SUM(H83,H226))</f>
        <v/>
      </c>
    </row>
    <row r="370" hidden="1" outlineLevel="1">
      <c r="A370" t="inlineStr">
        <is>
          <t>Week1-Jan-2027</t>
        </is>
      </c>
      <c r="B370" s="27">
        <f>IF(SUM(B84,B227)=0,"",SUM(B84)/SUM(B84,B227))</f>
        <v/>
      </c>
      <c r="C370" s="27">
        <f>IF(SUM(C84,C227)=0,"",SUM(C84)/SUM(C84,C227))</f>
        <v/>
      </c>
      <c r="D370" s="27">
        <f>IF(SUM(D84,D227)=0,"",SUM(D84)/SUM(D84,D227))</f>
        <v/>
      </c>
      <c r="E370" s="27">
        <f>IF(SUM(E84,E227)=0,"",SUM(E84)/SUM(E84,E227))</f>
        <v/>
      </c>
      <c r="F370" s="27">
        <f>IF(SUM(F84,F227)=0,"",SUM(F84)/SUM(F84,F227))</f>
        <v/>
      </c>
      <c r="G370" s="27">
        <f>IF(SUM(G84,G227)=0,"",SUM(G84)/SUM(G84,G227))</f>
        <v/>
      </c>
      <c r="H370" s="27">
        <f>IF(SUM(H84,H227)=0,"",SUM(H84)/SUM(H84,H227))</f>
        <v/>
      </c>
    </row>
    <row r="371" hidden="1" outlineLevel="1">
      <c r="A371" t="inlineStr">
        <is>
          <t>Week2-Jan-2027</t>
        </is>
      </c>
      <c r="B371" s="27">
        <f>IF(SUM(B85,B228)=0,"",SUM(B85)/SUM(B85,B228))</f>
        <v/>
      </c>
      <c r="C371" s="27">
        <f>IF(SUM(C85,C228)=0,"",SUM(C85)/SUM(C85,C228))</f>
        <v/>
      </c>
      <c r="D371" s="27">
        <f>IF(SUM(D85,D228)=0,"",SUM(D85)/SUM(D85,D228))</f>
        <v/>
      </c>
      <c r="E371" s="27">
        <f>IF(SUM(E85,E228)=0,"",SUM(E85)/SUM(E85,E228))</f>
        <v/>
      </c>
      <c r="F371" s="27">
        <f>IF(SUM(F85,F228)=0,"",SUM(F85)/SUM(F85,F228))</f>
        <v/>
      </c>
      <c r="G371" s="27">
        <f>IF(SUM(G85,G228)=0,"",SUM(G85)/SUM(G85,G228))</f>
        <v/>
      </c>
      <c r="H371" s="27">
        <f>IF(SUM(H85,H228)=0,"",SUM(H85)/SUM(H85,H228))</f>
        <v/>
      </c>
    </row>
    <row r="372" hidden="1" outlineLevel="1">
      <c r="A372" t="inlineStr">
        <is>
          <t>Week3-Jan-2027</t>
        </is>
      </c>
      <c r="B372" s="27">
        <f>IF(SUM(B86,B229)=0,"",SUM(B86)/SUM(B86,B229))</f>
        <v/>
      </c>
      <c r="C372" s="27">
        <f>IF(SUM(C86,C229)=0,"",SUM(C86)/SUM(C86,C229))</f>
        <v/>
      </c>
      <c r="D372" s="27">
        <f>IF(SUM(D86,D229)=0,"",SUM(D86)/SUM(D86,D229))</f>
        <v/>
      </c>
      <c r="E372" s="27">
        <f>IF(SUM(E86,E229)=0,"",SUM(E86)/SUM(E86,E229))</f>
        <v/>
      </c>
      <c r="F372" s="27">
        <f>IF(SUM(F86,F229)=0,"",SUM(F86)/SUM(F86,F229))</f>
        <v/>
      </c>
      <c r="G372" s="27">
        <f>IF(SUM(G86,G229)=0,"",SUM(G86)/SUM(G86,G229))</f>
        <v/>
      </c>
      <c r="H372" s="27">
        <f>IF(SUM(H86,H229)=0,"",SUM(H86)/SUM(H86,H229))</f>
        <v/>
      </c>
    </row>
    <row r="373" hidden="1" outlineLevel="1">
      <c r="A373" t="inlineStr">
        <is>
          <t>Week4-Jan-2027</t>
        </is>
      </c>
      <c r="B373" s="27">
        <f>IF(SUM(B87,B230)=0,"",SUM(B87)/SUM(B87,B230))</f>
        <v/>
      </c>
      <c r="C373" s="27">
        <f>IF(SUM(C87,C230)=0,"",SUM(C87)/SUM(C87,C230))</f>
        <v/>
      </c>
      <c r="D373" s="27">
        <f>IF(SUM(D87,D230)=0,"",SUM(D87)/SUM(D87,D230))</f>
        <v/>
      </c>
      <c r="E373" s="27">
        <f>IF(SUM(E87,E230)=0,"",SUM(E87)/SUM(E87,E230))</f>
        <v/>
      </c>
      <c r="F373" s="27">
        <f>IF(SUM(F87,F230)=0,"",SUM(F87)/SUM(F87,F230))</f>
        <v/>
      </c>
      <c r="G373" s="27">
        <f>IF(SUM(G87,G230)=0,"",SUM(G87)/SUM(G87,G230))</f>
        <v/>
      </c>
      <c r="H373" s="27">
        <f>IF(SUM(H87,H230)=0,"",SUM(H87)/SUM(H87,H230))</f>
        <v/>
      </c>
    </row>
    <row r="374" hidden="1" outlineLevel="1">
      <c r="A374" t="inlineStr">
        <is>
          <t>Week5-Jan-2027</t>
        </is>
      </c>
      <c r="B374" s="27">
        <f>IF(SUM(B88,B231)=0,"",SUM(B88)/SUM(B88,B231))</f>
        <v/>
      </c>
      <c r="C374" s="27">
        <f>IF(SUM(C88,C231)=0,"",SUM(C88)/SUM(C88,C231))</f>
        <v/>
      </c>
      <c r="D374" s="27">
        <f>IF(SUM(D88,D231)=0,"",SUM(D88)/SUM(D88,D231))</f>
        <v/>
      </c>
      <c r="E374" s="27">
        <f>IF(SUM(E88,E231)=0,"",SUM(E88)/SUM(E88,E231))</f>
        <v/>
      </c>
      <c r="F374" s="27">
        <f>IF(SUM(F88,F231)=0,"",SUM(F88)/SUM(F88,F231))</f>
        <v/>
      </c>
      <c r="G374" s="27">
        <f>IF(SUM(G88,G231)=0,"",SUM(G88)/SUM(G88,G231))</f>
        <v/>
      </c>
      <c r="H374" s="27">
        <f>IF(SUM(H88,H231)=0,"",SUM(H88)/SUM(H88,H231))</f>
        <v/>
      </c>
    </row>
    <row r="375" hidden="1" outlineLevel="1">
      <c r="A375" t="inlineStr">
        <is>
          <t>Week1-Feb-2027</t>
        </is>
      </c>
      <c r="B375" s="27">
        <f>IF(SUM(B89,B232)=0,"",SUM(B89)/SUM(B89,B232))</f>
        <v/>
      </c>
      <c r="C375" s="27">
        <f>IF(SUM(C89,C232)=0,"",SUM(C89)/SUM(C89,C232))</f>
        <v/>
      </c>
      <c r="D375" s="27">
        <f>IF(SUM(D89,D232)=0,"",SUM(D89)/SUM(D89,D232))</f>
        <v/>
      </c>
      <c r="E375" s="27">
        <f>IF(SUM(E89,E232)=0,"",SUM(E89)/SUM(E89,E232))</f>
        <v/>
      </c>
      <c r="F375" s="27">
        <f>IF(SUM(F89,F232)=0,"",SUM(F89)/SUM(F89,F232))</f>
        <v/>
      </c>
      <c r="G375" s="27">
        <f>IF(SUM(G89,G232)=0,"",SUM(G89)/SUM(G89,G232))</f>
        <v/>
      </c>
      <c r="H375" s="27">
        <f>IF(SUM(H89,H232)=0,"",SUM(H89)/SUM(H89,H232))</f>
        <v/>
      </c>
    </row>
    <row r="376" hidden="1" outlineLevel="1">
      <c r="A376" t="inlineStr">
        <is>
          <t>Week2-Feb-2027</t>
        </is>
      </c>
      <c r="B376" s="27">
        <f>IF(SUM(B90,B233)=0,"",SUM(B90)/SUM(B90,B233))</f>
        <v/>
      </c>
      <c r="C376" s="27">
        <f>IF(SUM(C90,C233)=0,"",SUM(C90)/SUM(C90,C233))</f>
        <v/>
      </c>
      <c r="D376" s="27">
        <f>IF(SUM(D90,D233)=0,"",SUM(D90)/SUM(D90,D233))</f>
        <v/>
      </c>
      <c r="E376" s="27">
        <f>IF(SUM(E90,E233)=0,"",SUM(E90)/SUM(E90,E233))</f>
        <v/>
      </c>
      <c r="F376" s="27">
        <f>IF(SUM(F90,F233)=0,"",SUM(F90)/SUM(F90,F233))</f>
        <v/>
      </c>
      <c r="G376" s="27">
        <f>IF(SUM(G90,G233)=0,"",SUM(G90)/SUM(G90,G233))</f>
        <v/>
      </c>
      <c r="H376" s="27">
        <f>IF(SUM(H90,H233)=0,"",SUM(H90)/SUM(H90,H233))</f>
        <v/>
      </c>
    </row>
    <row r="377" hidden="1" outlineLevel="1">
      <c r="A377" t="inlineStr">
        <is>
          <t>Week3-Feb-2027</t>
        </is>
      </c>
      <c r="B377" s="27">
        <f>IF(SUM(B91,B234)=0,"",SUM(B91)/SUM(B91,B234))</f>
        <v/>
      </c>
      <c r="C377" s="27">
        <f>IF(SUM(C91,C234)=0,"",SUM(C91)/SUM(C91,C234))</f>
        <v/>
      </c>
      <c r="D377" s="27">
        <f>IF(SUM(D91,D234)=0,"",SUM(D91)/SUM(D91,D234))</f>
        <v/>
      </c>
      <c r="E377" s="27">
        <f>IF(SUM(E91,E234)=0,"",SUM(E91)/SUM(E91,E234))</f>
        <v/>
      </c>
      <c r="F377" s="27">
        <f>IF(SUM(F91,F234)=0,"",SUM(F91)/SUM(F91,F234))</f>
        <v/>
      </c>
      <c r="G377" s="27">
        <f>IF(SUM(G91,G234)=0,"",SUM(G91)/SUM(G91,G234))</f>
        <v/>
      </c>
      <c r="H377" s="27">
        <f>IF(SUM(H91,H234)=0,"",SUM(H91)/SUM(H91,H234))</f>
        <v/>
      </c>
    </row>
    <row r="378" hidden="1" outlineLevel="1">
      <c r="A378" t="inlineStr">
        <is>
          <t>Week4-Feb-2027</t>
        </is>
      </c>
      <c r="B378" s="27">
        <f>IF(SUM(B92,B235)=0,"",SUM(B92)/SUM(B92,B235))</f>
        <v/>
      </c>
      <c r="C378" s="27">
        <f>IF(SUM(C92,C235)=0,"",SUM(C92)/SUM(C92,C235))</f>
        <v/>
      </c>
      <c r="D378" s="27">
        <f>IF(SUM(D92,D235)=0,"",SUM(D92)/SUM(D92,D235))</f>
        <v/>
      </c>
      <c r="E378" s="27">
        <f>IF(SUM(E92,E235)=0,"",SUM(E92)/SUM(E92,E235))</f>
        <v/>
      </c>
      <c r="F378" s="27">
        <f>IF(SUM(F92,F235)=0,"",SUM(F92)/SUM(F92,F235))</f>
        <v/>
      </c>
      <c r="G378" s="27">
        <f>IF(SUM(G92,G235)=0,"",SUM(G92)/SUM(G92,G235))</f>
        <v/>
      </c>
      <c r="H378" s="27">
        <f>IF(SUM(H92,H235)=0,"",SUM(H92)/SUM(H92,H235))</f>
        <v/>
      </c>
    </row>
    <row r="379" hidden="1" outlineLevel="1">
      <c r="A379" t="inlineStr">
        <is>
          <t>Week1-Mar-2027</t>
        </is>
      </c>
      <c r="B379" s="27">
        <f>IF(SUM(B93,B236)=0,"",SUM(B93)/SUM(B93,B236))</f>
        <v/>
      </c>
      <c r="C379" s="27">
        <f>IF(SUM(C93,C236)=0,"",SUM(C93)/SUM(C93,C236))</f>
        <v/>
      </c>
      <c r="D379" s="27">
        <f>IF(SUM(D93,D236)=0,"",SUM(D93)/SUM(D93,D236))</f>
        <v/>
      </c>
      <c r="E379" s="27">
        <f>IF(SUM(E93,E236)=0,"",SUM(E93)/SUM(E93,E236))</f>
        <v/>
      </c>
      <c r="F379" s="27">
        <f>IF(SUM(F93,F236)=0,"",SUM(F93)/SUM(F93,F236))</f>
        <v/>
      </c>
      <c r="G379" s="27">
        <f>IF(SUM(G93,G236)=0,"",SUM(G93)/SUM(G93,G236))</f>
        <v/>
      </c>
      <c r="H379" s="27">
        <f>IF(SUM(H93,H236)=0,"",SUM(H93)/SUM(H93,H236))</f>
        <v/>
      </c>
    </row>
    <row r="380" hidden="1" outlineLevel="1">
      <c r="A380" t="inlineStr">
        <is>
          <t>Week2-Mar-2027</t>
        </is>
      </c>
      <c r="B380" s="27">
        <f>IF(SUM(B94,B237)=0,"",SUM(B94)/SUM(B94,B237))</f>
        <v/>
      </c>
      <c r="C380" s="27">
        <f>IF(SUM(C94,C237)=0,"",SUM(C94)/SUM(C94,C237))</f>
        <v/>
      </c>
      <c r="D380" s="27">
        <f>IF(SUM(D94,D237)=0,"",SUM(D94)/SUM(D94,D237))</f>
        <v/>
      </c>
      <c r="E380" s="27">
        <f>IF(SUM(E94,E237)=0,"",SUM(E94)/SUM(E94,E237))</f>
        <v/>
      </c>
      <c r="F380" s="27">
        <f>IF(SUM(F94,F237)=0,"",SUM(F94)/SUM(F94,F237))</f>
        <v/>
      </c>
      <c r="G380" s="27">
        <f>IF(SUM(G94,G237)=0,"",SUM(G94)/SUM(G94,G237))</f>
        <v/>
      </c>
      <c r="H380" s="27">
        <f>IF(SUM(H94,H237)=0,"",SUM(H94)/SUM(H94,H237))</f>
        <v/>
      </c>
    </row>
    <row r="381" hidden="1" outlineLevel="1">
      <c r="A381" t="inlineStr">
        <is>
          <t>Week3-Mar-2027</t>
        </is>
      </c>
      <c r="B381" s="27">
        <f>IF(SUM(B95,B238)=0,"",SUM(B95)/SUM(B95,B238))</f>
        <v/>
      </c>
      <c r="C381" s="27">
        <f>IF(SUM(C95,C238)=0,"",SUM(C95)/SUM(C95,C238))</f>
        <v/>
      </c>
      <c r="D381" s="27">
        <f>IF(SUM(D95,D238)=0,"",SUM(D95)/SUM(D95,D238))</f>
        <v/>
      </c>
      <c r="E381" s="27">
        <f>IF(SUM(E95,E238)=0,"",SUM(E95)/SUM(E95,E238))</f>
        <v/>
      </c>
      <c r="F381" s="27">
        <f>IF(SUM(F95,F238)=0,"",SUM(F95)/SUM(F95,F238))</f>
        <v/>
      </c>
      <c r="G381" s="27">
        <f>IF(SUM(G95,G238)=0,"",SUM(G95)/SUM(G95,G238))</f>
        <v/>
      </c>
      <c r="H381" s="27">
        <f>IF(SUM(H95,H238)=0,"",SUM(H95)/SUM(H95,H238))</f>
        <v/>
      </c>
    </row>
    <row r="382" hidden="1" outlineLevel="1">
      <c r="A382" t="inlineStr">
        <is>
          <t>Week4-Mar-2027</t>
        </is>
      </c>
      <c r="B382" s="27">
        <f>IF(SUM(B96,B239)=0,"",SUM(B96)/SUM(B96,B239))</f>
        <v/>
      </c>
      <c r="C382" s="27">
        <f>IF(SUM(C96,C239)=0,"",SUM(C96)/SUM(C96,C239))</f>
        <v/>
      </c>
      <c r="D382" s="27">
        <f>IF(SUM(D96,D239)=0,"",SUM(D96)/SUM(D96,D239))</f>
        <v/>
      </c>
      <c r="E382" s="27">
        <f>IF(SUM(E96,E239)=0,"",SUM(E96)/SUM(E96,E239))</f>
        <v/>
      </c>
      <c r="F382" s="27">
        <f>IF(SUM(F96,F239)=0,"",SUM(F96)/SUM(F96,F239))</f>
        <v/>
      </c>
      <c r="G382" s="27">
        <f>IF(SUM(G96,G239)=0,"",SUM(G96)/SUM(G96,G239))</f>
        <v/>
      </c>
      <c r="H382" s="27">
        <f>IF(SUM(H96,H239)=0,"",SUM(H96)/SUM(H96,H239))</f>
        <v/>
      </c>
    </row>
    <row r="383" hidden="1" outlineLevel="1">
      <c r="A383" t="inlineStr">
        <is>
          <t>Week5-Mar-2027</t>
        </is>
      </c>
      <c r="B383" s="27">
        <f>IF(SUM(B97,B240)=0,"",SUM(B97)/SUM(B97,B240))</f>
        <v/>
      </c>
      <c r="C383" s="27">
        <f>IF(SUM(C97,C240)=0,"",SUM(C97)/SUM(C97,C240))</f>
        <v/>
      </c>
      <c r="D383" s="27">
        <f>IF(SUM(D97,D240)=0,"",SUM(D97)/SUM(D97,D240))</f>
        <v/>
      </c>
      <c r="E383" s="27">
        <f>IF(SUM(E97,E240)=0,"",SUM(E97)/SUM(E97,E240))</f>
        <v/>
      </c>
      <c r="F383" s="27">
        <f>IF(SUM(F97,F240)=0,"",SUM(F97)/SUM(F97,F240))</f>
        <v/>
      </c>
      <c r="G383" s="27">
        <f>IF(SUM(G97,G240)=0,"",SUM(G97)/SUM(G97,G240))</f>
        <v/>
      </c>
      <c r="H383" s="27">
        <f>IF(SUM(H97,H240)=0,"",SUM(H97)/SUM(H97,H240))</f>
        <v/>
      </c>
    </row>
    <row r="384" hidden="1" outlineLevel="1">
      <c r="A384" t="inlineStr">
        <is>
          <t>Week1-Apr-2027</t>
        </is>
      </c>
      <c r="B384" s="27">
        <f>IF(SUM(B98,B241)=0,"",SUM(B98)/SUM(B98,B241))</f>
        <v/>
      </c>
      <c r="C384" s="27">
        <f>IF(SUM(C98,C241)=0,"",SUM(C98)/SUM(C98,C241))</f>
        <v/>
      </c>
      <c r="D384" s="27">
        <f>IF(SUM(D98,D241)=0,"",SUM(D98)/SUM(D98,D241))</f>
        <v/>
      </c>
      <c r="E384" s="27">
        <f>IF(SUM(E98,E241)=0,"",SUM(E98)/SUM(E98,E241))</f>
        <v/>
      </c>
      <c r="F384" s="27">
        <f>IF(SUM(F98,F241)=0,"",SUM(F98)/SUM(F98,F241))</f>
        <v/>
      </c>
      <c r="G384" s="27">
        <f>IF(SUM(G98,G241)=0,"",SUM(G98)/SUM(G98,G241))</f>
        <v/>
      </c>
      <c r="H384" s="27">
        <f>IF(SUM(H98,H241)=0,"",SUM(H98)/SUM(H98,H241))</f>
        <v/>
      </c>
    </row>
    <row r="385" hidden="1" outlineLevel="1">
      <c r="A385" t="inlineStr">
        <is>
          <t>Week2-Apr-2027</t>
        </is>
      </c>
      <c r="B385" s="27">
        <f>IF(SUM(B99,B242)=0,"",SUM(B99)/SUM(B99,B242))</f>
        <v/>
      </c>
      <c r="C385" s="27">
        <f>IF(SUM(C99,C242)=0,"",SUM(C99)/SUM(C99,C242))</f>
        <v/>
      </c>
      <c r="D385" s="27">
        <f>IF(SUM(D99,D242)=0,"",SUM(D99)/SUM(D99,D242))</f>
        <v/>
      </c>
      <c r="E385" s="27">
        <f>IF(SUM(E99,E242)=0,"",SUM(E99)/SUM(E99,E242))</f>
        <v/>
      </c>
      <c r="F385" s="27">
        <f>IF(SUM(F99,F242)=0,"",SUM(F99)/SUM(F99,F242))</f>
        <v/>
      </c>
      <c r="G385" s="27">
        <f>IF(SUM(G99,G242)=0,"",SUM(G99)/SUM(G99,G242))</f>
        <v/>
      </c>
      <c r="H385" s="27">
        <f>IF(SUM(H99,H242)=0,"",SUM(H99)/SUM(H99,H242))</f>
        <v/>
      </c>
    </row>
    <row r="386" hidden="1" outlineLevel="1">
      <c r="A386" t="inlineStr">
        <is>
          <t>Week3-Apr-2027</t>
        </is>
      </c>
      <c r="B386" s="27">
        <f>IF(SUM(B100,B243)=0,"",SUM(B100)/SUM(B100,B243))</f>
        <v/>
      </c>
      <c r="C386" s="27">
        <f>IF(SUM(C100,C243)=0,"",SUM(C100)/SUM(C100,C243))</f>
        <v/>
      </c>
      <c r="D386" s="27">
        <f>IF(SUM(D100,D243)=0,"",SUM(D100)/SUM(D100,D243))</f>
        <v/>
      </c>
      <c r="E386" s="27">
        <f>IF(SUM(E100,E243)=0,"",SUM(E100)/SUM(E100,E243))</f>
        <v/>
      </c>
      <c r="F386" s="27">
        <f>IF(SUM(F100,F243)=0,"",SUM(F100)/SUM(F100,F243))</f>
        <v/>
      </c>
      <c r="G386" s="27">
        <f>IF(SUM(G100,G243)=0,"",SUM(G100)/SUM(G100,G243))</f>
        <v/>
      </c>
      <c r="H386" s="27">
        <f>IF(SUM(H100,H243)=0,"",SUM(H100)/SUM(H100,H243))</f>
        <v/>
      </c>
    </row>
    <row r="387" hidden="1" outlineLevel="1">
      <c r="A387" t="inlineStr">
        <is>
          <t>Week4-Apr-2027</t>
        </is>
      </c>
      <c r="B387" s="27">
        <f>IF(SUM(B101,B244)=0,"",SUM(B101)/SUM(B101,B244))</f>
        <v/>
      </c>
      <c r="C387" s="27">
        <f>IF(SUM(C101,C244)=0,"",SUM(C101)/SUM(C101,C244))</f>
        <v/>
      </c>
      <c r="D387" s="27">
        <f>IF(SUM(D101,D244)=0,"",SUM(D101)/SUM(D101,D244))</f>
        <v/>
      </c>
      <c r="E387" s="27">
        <f>IF(SUM(E101,E244)=0,"",SUM(E101)/SUM(E101,E244))</f>
        <v/>
      </c>
      <c r="F387" s="27">
        <f>IF(SUM(F101,F244)=0,"",SUM(F101)/SUM(F101,F244))</f>
        <v/>
      </c>
      <c r="G387" s="27">
        <f>IF(SUM(G101,G244)=0,"",SUM(G101)/SUM(G101,G244))</f>
        <v/>
      </c>
      <c r="H387" s="27">
        <f>IF(SUM(H101,H244)=0,"",SUM(H101)/SUM(H101,H244))</f>
        <v/>
      </c>
    </row>
    <row r="388" hidden="1" outlineLevel="1">
      <c r="A388" t="inlineStr">
        <is>
          <t>Week5-Apr-2027</t>
        </is>
      </c>
      <c r="B388" s="27">
        <f>IF(SUM(B102,B245)=0,"",SUM(B102)/SUM(B102,B245))</f>
        <v/>
      </c>
      <c r="C388" s="27">
        <f>IF(SUM(C102,C245)=0,"",SUM(C102)/SUM(C102,C245))</f>
        <v/>
      </c>
      <c r="D388" s="27">
        <f>IF(SUM(D102,D245)=0,"",SUM(D102)/SUM(D102,D245))</f>
        <v/>
      </c>
      <c r="E388" s="27">
        <f>IF(SUM(E102,E245)=0,"",SUM(E102)/SUM(E102,E245))</f>
        <v/>
      </c>
      <c r="F388" s="27">
        <f>IF(SUM(F102,F245)=0,"",SUM(F102)/SUM(F102,F245))</f>
        <v/>
      </c>
      <c r="G388" s="27">
        <f>IF(SUM(G102,G245)=0,"",SUM(G102)/SUM(G102,G245))</f>
        <v/>
      </c>
      <c r="H388" s="27">
        <f>IF(SUM(H102,H245)=0,"",SUM(H102)/SUM(H102,H245))</f>
        <v/>
      </c>
    </row>
    <row r="389" hidden="1" outlineLevel="1">
      <c r="A389" t="inlineStr">
        <is>
          <t>Week1-May-2027</t>
        </is>
      </c>
      <c r="B389" s="27">
        <f>IF(SUM(B103,B246)=0,"",SUM(B103)/SUM(B103,B246))</f>
        <v/>
      </c>
      <c r="C389" s="27">
        <f>IF(SUM(C103,C246)=0,"",SUM(C103)/SUM(C103,C246))</f>
        <v/>
      </c>
      <c r="D389" s="27">
        <f>IF(SUM(D103,D246)=0,"",SUM(D103)/SUM(D103,D246))</f>
        <v/>
      </c>
      <c r="E389" s="27">
        <f>IF(SUM(E103,E246)=0,"",SUM(E103)/SUM(E103,E246))</f>
        <v/>
      </c>
      <c r="F389" s="27">
        <f>IF(SUM(F103,F246)=0,"",SUM(F103)/SUM(F103,F246))</f>
        <v/>
      </c>
      <c r="G389" s="27">
        <f>IF(SUM(G103,G246)=0,"",SUM(G103)/SUM(G103,G246))</f>
        <v/>
      </c>
      <c r="H389" s="27">
        <f>IF(SUM(H103,H246)=0,"",SUM(H103)/SUM(H103,H246))</f>
        <v/>
      </c>
    </row>
    <row r="390" hidden="1" outlineLevel="1">
      <c r="A390" t="inlineStr">
        <is>
          <t>Week2-May-2027</t>
        </is>
      </c>
      <c r="B390" s="27">
        <f>IF(SUM(B104,B247)=0,"",SUM(B104)/SUM(B104,B247))</f>
        <v/>
      </c>
      <c r="C390" s="27">
        <f>IF(SUM(C104,C247)=0,"",SUM(C104)/SUM(C104,C247))</f>
        <v/>
      </c>
      <c r="D390" s="27">
        <f>IF(SUM(D104,D247)=0,"",SUM(D104)/SUM(D104,D247))</f>
        <v/>
      </c>
      <c r="E390" s="27">
        <f>IF(SUM(E104,E247)=0,"",SUM(E104)/SUM(E104,E247))</f>
        <v/>
      </c>
      <c r="F390" s="27">
        <f>IF(SUM(F104,F247)=0,"",SUM(F104)/SUM(F104,F247))</f>
        <v/>
      </c>
      <c r="G390" s="27">
        <f>IF(SUM(G104,G247)=0,"",SUM(G104)/SUM(G104,G247))</f>
        <v/>
      </c>
      <c r="H390" s="27">
        <f>IF(SUM(H104,H247)=0,"",SUM(H104)/SUM(H104,H247))</f>
        <v/>
      </c>
    </row>
    <row r="391" hidden="1" outlineLevel="1">
      <c r="A391" t="inlineStr">
        <is>
          <t>Week3-May-2027</t>
        </is>
      </c>
      <c r="B391" s="27">
        <f>IF(SUM(B105,B248)=0,"",SUM(B105)/SUM(B105,B248))</f>
        <v/>
      </c>
      <c r="C391" s="27">
        <f>IF(SUM(C105,C248)=0,"",SUM(C105)/SUM(C105,C248))</f>
        <v/>
      </c>
      <c r="D391" s="27">
        <f>IF(SUM(D105,D248)=0,"",SUM(D105)/SUM(D105,D248))</f>
        <v/>
      </c>
      <c r="E391" s="27">
        <f>IF(SUM(E105,E248)=0,"",SUM(E105)/SUM(E105,E248))</f>
        <v/>
      </c>
      <c r="F391" s="27">
        <f>IF(SUM(F105,F248)=0,"",SUM(F105)/SUM(F105,F248))</f>
        <v/>
      </c>
      <c r="G391" s="27">
        <f>IF(SUM(G105,G248)=0,"",SUM(G105)/SUM(G105,G248))</f>
        <v/>
      </c>
      <c r="H391" s="27">
        <f>IF(SUM(H105,H248)=0,"",SUM(H105)/SUM(H105,H248))</f>
        <v/>
      </c>
    </row>
    <row r="392" hidden="1" outlineLevel="1">
      <c r="A392" t="inlineStr">
        <is>
          <t>Week4-May-2027</t>
        </is>
      </c>
      <c r="B392" s="27">
        <f>IF(SUM(B106,B249)=0,"",SUM(B106)/SUM(B106,B249))</f>
        <v/>
      </c>
      <c r="C392" s="27">
        <f>IF(SUM(C106,C249)=0,"",SUM(C106)/SUM(C106,C249))</f>
        <v/>
      </c>
      <c r="D392" s="27">
        <f>IF(SUM(D106,D249)=0,"",SUM(D106)/SUM(D106,D249))</f>
        <v/>
      </c>
      <c r="E392" s="27">
        <f>IF(SUM(E106,E249)=0,"",SUM(E106)/SUM(E106,E249))</f>
        <v/>
      </c>
      <c r="F392" s="27">
        <f>IF(SUM(F106,F249)=0,"",SUM(F106)/SUM(F106,F249))</f>
        <v/>
      </c>
      <c r="G392" s="27">
        <f>IF(SUM(G106,G249)=0,"",SUM(G106)/SUM(G106,G249))</f>
        <v/>
      </c>
      <c r="H392" s="27">
        <f>IF(SUM(H106,H249)=0,"",SUM(H106)/SUM(H106,H249))</f>
        <v/>
      </c>
    </row>
    <row r="393" hidden="1" outlineLevel="1">
      <c r="A393" t="inlineStr">
        <is>
          <t>Week5-May-2027</t>
        </is>
      </c>
      <c r="B393" s="27">
        <f>IF(SUM(B107,B250)=0,"",SUM(B107)/SUM(B107,B250))</f>
        <v/>
      </c>
      <c r="C393" s="27">
        <f>IF(SUM(C107,C250)=0,"",SUM(C107)/SUM(C107,C250))</f>
        <v/>
      </c>
      <c r="D393" s="27">
        <f>IF(SUM(D107,D250)=0,"",SUM(D107)/SUM(D107,D250))</f>
        <v/>
      </c>
      <c r="E393" s="27">
        <f>IF(SUM(E107,E250)=0,"",SUM(E107)/SUM(E107,E250))</f>
        <v/>
      </c>
      <c r="F393" s="27">
        <f>IF(SUM(F107,F250)=0,"",SUM(F107)/SUM(F107,F250))</f>
        <v/>
      </c>
      <c r="G393" s="27">
        <f>IF(SUM(G107,G250)=0,"",SUM(G107)/SUM(G107,G250))</f>
        <v/>
      </c>
      <c r="H393" s="27">
        <f>IF(SUM(H107,H250)=0,"",SUM(H107)/SUM(H107,H250))</f>
        <v/>
      </c>
    </row>
    <row r="394" hidden="1" outlineLevel="1">
      <c r="A394" t="inlineStr">
        <is>
          <t>Week1-Jun-2027</t>
        </is>
      </c>
      <c r="B394" s="27">
        <f>IF(SUM(B108,B251)=0,"",SUM(B108)/SUM(B108,B251))</f>
        <v/>
      </c>
      <c r="C394" s="27">
        <f>IF(SUM(C108,C251)=0,"",SUM(C108)/SUM(C108,C251))</f>
        <v/>
      </c>
      <c r="D394" s="27">
        <f>IF(SUM(D108,D251)=0,"",SUM(D108)/SUM(D108,D251))</f>
        <v/>
      </c>
      <c r="E394" s="27">
        <f>IF(SUM(E108,E251)=0,"",SUM(E108)/SUM(E108,E251))</f>
        <v/>
      </c>
      <c r="F394" s="27">
        <f>IF(SUM(F108,F251)=0,"",SUM(F108)/SUM(F108,F251))</f>
        <v/>
      </c>
      <c r="G394" s="27">
        <f>IF(SUM(G108,G251)=0,"",SUM(G108)/SUM(G108,G251))</f>
        <v/>
      </c>
      <c r="H394" s="27">
        <f>IF(SUM(H108,H251)=0,"",SUM(H108)/SUM(H108,H251))</f>
        <v/>
      </c>
    </row>
    <row r="395" hidden="1" outlineLevel="1">
      <c r="A395" t="inlineStr">
        <is>
          <t>Week2-Jun-2027</t>
        </is>
      </c>
      <c r="B395" s="27">
        <f>IF(SUM(B109,B252)=0,"",SUM(B109)/SUM(B109,B252))</f>
        <v/>
      </c>
      <c r="C395" s="27">
        <f>IF(SUM(C109,C252)=0,"",SUM(C109)/SUM(C109,C252))</f>
        <v/>
      </c>
      <c r="D395" s="27">
        <f>IF(SUM(D109,D252)=0,"",SUM(D109)/SUM(D109,D252))</f>
        <v/>
      </c>
      <c r="E395" s="27">
        <f>IF(SUM(E109,E252)=0,"",SUM(E109)/SUM(E109,E252))</f>
        <v/>
      </c>
      <c r="F395" s="27">
        <f>IF(SUM(F109,F252)=0,"",SUM(F109)/SUM(F109,F252))</f>
        <v/>
      </c>
      <c r="G395" s="27">
        <f>IF(SUM(G109,G252)=0,"",SUM(G109)/SUM(G109,G252))</f>
        <v/>
      </c>
      <c r="H395" s="27">
        <f>IF(SUM(H109,H252)=0,"",SUM(H109)/SUM(H109,H252))</f>
        <v/>
      </c>
    </row>
    <row r="396" hidden="1" outlineLevel="1">
      <c r="A396" t="inlineStr">
        <is>
          <t>Week3-Jun-2027</t>
        </is>
      </c>
      <c r="B396" s="27">
        <f>IF(SUM(B110,B253)=0,"",SUM(B110)/SUM(B110,B253))</f>
        <v/>
      </c>
      <c r="C396" s="27">
        <f>IF(SUM(C110,C253)=0,"",SUM(C110)/SUM(C110,C253))</f>
        <v/>
      </c>
      <c r="D396" s="27">
        <f>IF(SUM(D110,D253)=0,"",SUM(D110)/SUM(D110,D253))</f>
        <v/>
      </c>
      <c r="E396" s="27">
        <f>IF(SUM(E110,E253)=0,"",SUM(E110)/SUM(E110,E253))</f>
        <v/>
      </c>
      <c r="F396" s="27">
        <f>IF(SUM(F110,F253)=0,"",SUM(F110)/SUM(F110,F253))</f>
        <v/>
      </c>
      <c r="G396" s="27">
        <f>IF(SUM(G110,G253)=0,"",SUM(G110)/SUM(G110,G253))</f>
        <v/>
      </c>
      <c r="H396" s="27">
        <f>IF(SUM(H110,H253)=0,"",SUM(H110)/SUM(H110,H253))</f>
        <v/>
      </c>
    </row>
    <row r="397" hidden="1" outlineLevel="1">
      <c r="A397" t="inlineStr">
        <is>
          <t>Week4-Jun-2027</t>
        </is>
      </c>
      <c r="B397" s="27">
        <f>IF(SUM(B111,B254)=0,"",SUM(B111)/SUM(B111,B254))</f>
        <v/>
      </c>
      <c r="C397" s="27">
        <f>IF(SUM(C111,C254)=0,"",SUM(C111)/SUM(C111,C254))</f>
        <v/>
      </c>
      <c r="D397" s="27">
        <f>IF(SUM(D111,D254)=0,"",SUM(D111)/SUM(D111,D254))</f>
        <v/>
      </c>
      <c r="E397" s="27">
        <f>IF(SUM(E111,E254)=0,"",SUM(E111)/SUM(E111,E254))</f>
        <v/>
      </c>
      <c r="F397" s="27">
        <f>IF(SUM(F111,F254)=0,"",SUM(F111)/SUM(F111,F254))</f>
        <v/>
      </c>
      <c r="G397" s="27">
        <f>IF(SUM(G111,G254)=0,"",SUM(G111)/SUM(G111,G254))</f>
        <v/>
      </c>
      <c r="H397" s="27">
        <f>IF(SUM(H111,H254)=0,"",SUM(H111)/SUM(H111,H254))</f>
        <v/>
      </c>
    </row>
    <row r="398" hidden="1" outlineLevel="1">
      <c r="A398" t="inlineStr">
        <is>
          <t>Week5-Jun-2027</t>
        </is>
      </c>
      <c r="B398" s="27">
        <f>IF(SUM(B112,B255)=0,"",SUM(B112)/SUM(B112,B255))</f>
        <v/>
      </c>
      <c r="C398" s="27">
        <f>IF(SUM(C112,C255)=0,"",SUM(C112)/SUM(C112,C255))</f>
        <v/>
      </c>
      <c r="D398" s="27">
        <f>IF(SUM(D112,D255)=0,"",SUM(D112)/SUM(D112,D255))</f>
        <v/>
      </c>
      <c r="E398" s="27">
        <f>IF(SUM(E112,E255)=0,"",SUM(E112)/SUM(E112,E255))</f>
        <v/>
      </c>
      <c r="F398" s="27">
        <f>IF(SUM(F112,F255)=0,"",SUM(F112)/SUM(F112,F255))</f>
        <v/>
      </c>
      <c r="G398" s="27">
        <f>IF(SUM(G112,G255)=0,"",SUM(G112)/SUM(G112,G255))</f>
        <v/>
      </c>
      <c r="H398" s="27">
        <f>IF(SUM(H112,H255)=0,"",SUM(H112)/SUM(H112,H255))</f>
        <v/>
      </c>
    </row>
    <row r="399" hidden="1" outlineLevel="1">
      <c r="A399" t="inlineStr">
        <is>
          <t>Week1-Jul-2027</t>
        </is>
      </c>
      <c r="B399" s="27">
        <f>IF(SUM(B113,B256)=0,"",SUM(B113)/SUM(B113,B256))</f>
        <v/>
      </c>
      <c r="C399" s="27">
        <f>IF(SUM(C113,C256)=0,"",SUM(C113)/SUM(C113,C256))</f>
        <v/>
      </c>
      <c r="D399" s="27">
        <f>IF(SUM(D113,D256)=0,"",SUM(D113)/SUM(D113,D256))</f>
        <v/>
      </c>
      <c r="E399" s="27">
        <f>IF(SUM(E113,E256)=0,"",SUM(E113)/SUM(E113,E256))</f>
        <v/>
      </c>
      <c r="F399" s="27">
        <f>IF(SUM(F113,F256)=0,"",SUM(F113)/SUM(F113,F256))</f>
        <v/>
      </c>
      <c r="G399" s="27">
        <f>IF(SUM(G113,G256)=0,"",SUM(G113)/SUM(G113,G256))</f>
        <v/>
      </c>
      <c r="H399" s="27">
        <f>IF(SUM(H113,H256)=0,"",SUM(H113)/SUM(H113,H256))</f>
        <v/>
      </c>
    </row>
    <row r="400" hidden="1" outlineLevel="1">
      <c r="A400" t="inlineStr">
        <is>
          <t>Week2-Jul-2027</t>
        </is>
      </c>
      <c r="B400" s="27">
        <f>IF(SUM(B114,B257)=0,"",SUM(B114)/SUM(B114,B257))</f>
        <v/>
      </c>
      <c r="C400" s="27">
        <f>IF(SUM(C114,C257)=0,"",SUM(C114)/SUM(C114,C257))</f>
        <v/>
      </c>
      <c r="D400" s="27">
        <f>IF(SUM(D114,D257)=0,"",SUM(D114)/SUM(D114,D257))</f>
        <v/>
      </c>
      <c r="E400" s="27">
        <f>IF(SUM(E114,E257)=0,"",SUM(E114)/SUM(E114,E257))</f>
        <v/>
      </c>
      <c r="F400" s="27">
        <f>IF(SUM(F114,F257)=0,"",SUM(F114)/SUM(F114,F257))</f>
        <v/>
      </c>
      <c r="G400" s="27">
        <f>IF(SUM(G114,G257)=0,"",SUM(G114)/SUM(G114,G257))</f>
        <v/>
      </c>
      <c r="H400" s="27">
        <f>IF(SUM(H114,H257)=0,"",SUM(H114)/SUM(H114,H257))</f>
        <v/>
      </c>
    </row>
    <row r="401" hidden="1" outlineLevel="1">
      <c r="A401" t="inlineStr">
        <is>
          <t>Week3-Jul-2027</t>
        </is>
      </c>
      <c r="B401" s="27">
        <f>IF(SUM(B115,B258)=0,"",SUM(B115)/SUM(B115,B258))</f>
        <v/>
      </c>
      <c r="C401" s="27">
        <f>IF(SUM(C115,C258)=0,"",SUM(C115)/SUM(C115,C258))</f>
        <v/>
      </c>
      <c r="D401" s="27">
        <f>IF(SUM(D115,D258)=0,"",SUM(D115)/SUM(D115,D258))</f>
        <v/>
      </c>
      <c r="E401" s="27">
        <f>IF(SUM(E115,E258)=0,"",SUM(E115)/SUM(E115,E258))</f>
        <v/>
      </c>
      <c r="F401" s="27">
        <f>IF(SUM(F115,F258)=0,"",SUM(F115)/SUM(F115,F258))</f>
        <v/>
      </c>
      <c r="G401" s="27">
        <f>IF(SUM(G115,G258)=0,"",SUM(G115)/SUM(G115,G258))</f>
        <v/>
      </c>
      <c r="H401" s="27">
        <f>IF(SUM(H115,H258)=0,"",SUM(H115)/SUM(H115,H258))</f>
        <v/>
      </c>
    </row>
    <row r="402" hidden="1" outlineLevel="1">
      <c r="A402" t="inlineStr">
        <is>
          <t>Week4-Jul-2027</t>
        </is>
      </c>
      <c r="B402" s="27">
        <f>IF(SUM(B116,B259)=0,"",SUM(B116)/SUM(B116,B259))</f>
        <v/>
      </c>
      <c r="C402" s="27">
        <f>IF(SUM(C116,C259)=0,"",SUM(C116)/SUM(C116,C259))</f>
        <v/>
      </c>
      <c r="D402" s="27">
        <f>IF(SUM(D116,D259)=0,"",SUM(D116)/SUM(D116,D259))</f>
        <v/>
      </c>
      <c r="E402" s="27">
        <f>IF(SUM(E116,E259)=0,"",SUM(E116)/SUM(E116,E259))</f>
        <v/>
      </c>
      <c r="F402" s="27">
        <f>IF(SUM(F116,F259)=0,"",SUM(F116)/SUM(F116,F259))</f>
        <v/>
      </c>
      <c r="G402" s="27">
        <f>IF(SUM(G116,G259)=0,"",SUM(G116)/SUM(G116,G259))</f>
        <v/>
      </c>
      <c r="H402" s="27">
        <f>IF(SUM(H116,H259)=0,"",SUM(H116)/SUM(H116,H259))</f>
        <v/>
      </c>
    </row>
    <row r="403" hidden="1" outlineLevel="1">
      <c r="A403" t="inlineStr">
        <is>
          <t>Week5-Jul-2027</t>
        </is>
      </c>
      <c r="B403" s="27">
        <f>IF(SUM(B117,B260)=0,"",SUM(B117)/SUM(B117,B260))</f>
        <v/>
      </c>
      <c r="C403" s="27">
        <f>IF(SUM(C117,C260)=0,"",SUM(C117)/SUM(C117,C260))</f>
        <v/>
      </c>
      <c r="D403" s="27">
        <f>IF(SUM(D117,D260)=0,"",SUM(D117)/SUM(D117,D260))</f>
        <v/>
      </c>
      <c r="E403" s="27">
        <f>IF(SUM(E117,E260)=0,"",SUM(E117)/SUM(E117,E260))</f>
        <v/>
      </c>
      <c r="F403" s="27">
        <f>IF(SUM(F117,F260)=0,"",SUM(F117)/SUM(F117,F260))</f>
        <v/>
      </c>
      <c r="G403" s="27">
        <f>IF(SUM(G117,G260)=0,"",SUM(G117)/SUM(G117,G260))</f>
        <v/>
      </c>
      <c r="H403" s="27">
        <f>IF(SUM(H117,H260)=0,"",SUM(H117)/SUM(H117,H260))</f>
        <v/>
      </c>
    </row>
    <row r="404" hidden="1" outlineLevel="1">
      <c r="A404" t="inlineStr">
        <is>
          <t>Week1-Aug-2027</t>
        </is>
      </c>
      <c r="B404" s="27">
        <f>IF(SUM(B118,B261)=0,"",SUM(B118)/SUM(B118,B261))</f>
        <v/>
      </c>
      <c r="C404" s="27">
        <f>IF(SUM(C118,C261)=0,"",SUM(C118)/SUM(C118,C261))</f>
        <v/>
      </c>
      <c r="D404" s="27">
        <f>IF(SUM(D118,D261)=0,"",SUM(D118)/SUM(D118,D261))</f>
        <v/>
      </c>
      <c r="E404" s="27">
        <f>IF(SUM(E118,E261)=0,"",SUM(E118)/SUM(E118,E261))</f>
        <v/>
      </c>
      <c r="F404" s="27">
        <f>IF(SUM(F118,F261)=0,"",SUM(F118)/SUM(F118,F261))</f>
        <v/>
      </c>
      <c r="G404" s="27">
        <f>IF(SUM(G118,G261)=0,"",SUM(G118)/SUM(G118,G261))</f>
        <v/>
      </c>
      <c r="H404" s="27">
        <f>IF(SUM(H118,H261)=0,"",SUM(H118)/SUM(H118,H261))</f>
        <v/>
      </c>
    </row>
    <row r="405" hidden="1" outlineLevel="1">
      <c r="A405" t="inlineStr">
        <is>
          <t>Week2-Aug-2027</t>
        </is>
      </c>
      <c r="B405" s="27">
        <f>IF(SUM(B119,B262)=0,"",SUM(B119)/SUM(B119,B262))</f>
        <v/>
      </c>
      <c r="C405" s="27">
        <f>IF(SUM(C119,C262)=0,"",SUM(C119)/SUM(C119,C262))</f>
        <v/>
      </c>
      <c r="D405" s="27">
        <f>IF(SUM(D119,D262)=0,"",SUM(D119)/SUM(D119,D262))</f>
        <v/>
      </c>
      <c r="E405" s="27">
        <f>IF(SUM(E119,E262)=0,"",SUM(E119)/SUM(E119,E262))</f>
        <v/>
      </c>
      <c r="F405" s="27">
        <f>IF(SUM(F119,F262)=0,"",SUM(F119)/SUM(F119,F262))</f>
        <v/>
      </c>
      <c r="G405" s="27">
        <f>IF(SUM(G119,G262)=0,"",SUM(G119)/SUM(G119,G262))</f>
        <v/>
      </c>
      <c r="H405" s="27">
        <f>IF(SUM(H119,H262)=0,"",SUM(H119)/SUM(H119,H262))</f>
        <v/>
      </c>
    </row>
    <row r="406" hidden="1" outlineLevel="1">
      <c r="A406" t="inlineStr">
        <is>
          <t>Week3-Aug-2027</t>
        </is>
      </c>
      <c r="B406" s="27">
        <f>IF(SUM(B120,B263)=0,"",SUM(B120)/SUM(B120,B263))</f>
        <v/>
      </c>
      <c r="C406" s="27">
        <f>IF(SUM(C120,C263)=0,"",SUM(C120)/SUM(C120,C263))</f>
        <v/>
      </c>
      <c r="D406" s="27">
        <f>IF(SUM(D120,D263)=0,"",SUM(D120)/SUM(D120,D263))</f>
        <v/>
      </c>
      <c r="E406" s="27">
        <f>IF(SUM(E120,E263)=0,"",SUM(E120)/SUM(E120,E263))</f>
        <v/>
      </c>
      <c r="F406" s="27">
        <f>IF(SUM(F120,F263)=0,"",SUM(F120)/SUM(F120,F263))</f>
        <v/>
      </c>
      <c r="G406" s="27">
        <f>IF(SUM(G120,G263)=0,"",SUM(G120)/SUM(G120,G263))</f>
        <v/>
      </c>
      <c r="H406" s="27">
        <f>IF(SUM(H120,H263)=0,"",SUM(H120)/SUM(H120,H263))</f>
        <v/>
      </c>
    </row>
    <row r="407" hidden="1" outlineLevel="1">
      <c r="A407" t="inlineStr">
        <is>
          <t>Week4-Aug-2027</t>
        </is>
      </c>
      <c r="B407" s="27">
        <f>IF(SUM(B121,B264)=0,"",SUM(B121)/SUM(B121,B264))</f>
        <v/>
      </c>
      <c r="C407" s="27">
        <f>IF(SUM(C121,C264)=0,"",SUM(C121)/SUM(C121,C264))</f>
        <v/>
      </c>
      <c r="D407" s="27">
        <f>IF(SUM(D121,D264)=0,"",SUM(D121)/SUM(D121,D264))</f>
        <v/>
      </c>
      <c r="E407" s="27">
        <f>IF(SUM(E121,E264)=0,"",SUM(E121)/SUM(E121,E264))</f>
        <v/>
      </c>
      <c r="F407" s="27">
        <f>IF(SUM(F121,F264)=0,"",SUM(F121)/SUM(F121,F264))</f>
        <v/>
      </c>
      <c r="G407" s="27">
        <f>IF(SUM(G121,G264)=0,"",SUM(G121)/SUM(G121,G264))</f>
        <v/>
      </c>
      <c r="H407" s="27">
        <f>IF(SUM(H121,H264)=0,"",SUM(H121)/SUM(H121,H264))</f>
        <v/>
      </c>
    </row>
    <row r="408" hidden="1" outlineLevel="1">
      <c r="A408" t="inlineStr">
        <is>
          <t>Week5-Aug-2027</t>
        </is>
      </c>
      <c r="B408" s="27">
        <f>IF(SUM(B122,B265)=0,"",SUM(B122)/SUM(B122,B265))</f>
        <v/>
      </c>
      <c r="C408" s="27">
        <f>IF(SUM(C122,C265)=0,"",SUM(C122)/SUM(C122,C265))</f>
        <v/>
      </c>
      <c r="D408" s="27">
        <f>IF(SUM(D122,D265)=0,"",SUM(D122)/SUM(D122,D265))</f>
        <v/>
      </c>
      <c r="E408" s="27">
        <f>IF(SUM(E122,E265)=0,"",SUM(E122)/SUM(E122,E265))</f>
        <v/>
      </c>
      <c r="F408" s="27">
        <f>IF(SUM(F122,F265)=0,"",SUM(F122)/SUM(F122,F265))</f>
        <v/>
      </c>
      <c r="G408" s="27">
        <f>IF(SUM(G122,G265)=0,"",SUM(G122)/SUM(G122,G265))</f>
        <v/>
      </c>
      <c r="H408" s="27">
        <f>IF(SUM(H122,H265)=0,"",SUM(H122)/SUM(H122,H265))</f>
        <v/>
      </c>
    </row>
    <row r="409" hidden="1" outlineLevel="1">
      <c r="A409" t="inlineStr">
        <is>
          <t>Week1-Sep-2027</t>
        </is>
      </c>
      <c r="B409" s="27">
        <f>IF(SUM(B123,B266)=0,"",SUM(B123)/SUM(B123,B266))</f>
        <v/>
      </c>
      <c r="C409" s="27">
        <f>IF(SUM(C123,C266)=0,"",SUM(C123)/SUM(C123,C266))</f>
        <v/>
      </c>
      <c r="D409" s="27">
        <f>IF(SUM(D123,D266)=0,"",SUM(D123)/SUM(D123,D266))</f>
        <v/>
      </c>
      <c r="E409" s="27">
        <f>IF(SUM(E123,E266)=0,"",SUM(E123)/SUM(E123,E266))</f>
        <v/>
      </c>
      <c r="F409" s="27">
        <f>IF(SUM(F123,F266)=0,"",SUM(F123)/SUM(F123,F266))</f>
        <v/>
      </c>
      <c r="G409" s="27">
        <f>IF(SUM(G123,G266)=0,"",SUM(G123)/SUM(G123,G266))</f>
        <v/>
      </c>
      <c r="H409" s="27">
        <f>IF(SUM(H123,H266)=0,"",SUM(H123)/SUM(H123,H266))</f>
        <v/>
      </c>
    </row>
    <row r="410" hidden="1" outlineLevel="1">
      <c r="A410" t="inlineStr">
        <is>
          <t>Week2-Sep-2027</t>
        </is>
      </c>
      <c r="B410" s="27">
        <f>IF(SUM(B124,B267)=0,"",SUM(B124)/SUM(B124,B267))</f>
        <v/>
      </c>
      <c r="C410" s="27">
        <f>IF(SUM(C124,C267)=0,"",SUM(C124)/SUM(C124,C267))</f>
        <v/>
      </c>
      <c r="D410" s="27">
        <f>IF(SUM(D124,D267)=0,"",SUM(D124)/SUM(D124,D267))</f>
        <v/>
      </c>
      <c r="E410" s="27">
        <f>IF(SUM(E124,E267)=0,"",SUM(E124)/SUM(E124,E267))</f>
        <v/>
      </c>
      <c r="F410" s="27">
        <f>IF(SUM(F124,F267)=0,"",SUM(F124)/SUM(F124,F267))</f>
        <v/>
      </c>
      <c r="G410" s="27">
        <f>IF(SUM(G124,G267)=0,"",SUM(G124)/SUM(G124,G267))</f>
        <v/>
      </c>
      <c r="H410" s="27">
        <f>IF(SUM(H124,H267)=0,"",SUM(H124)/SUM(H124,H267))</f>
        <v/>
      </c>
    </row>
    <row r="411" hidden="1" outlineLevel="1">
      <c r="A411" t="inlineStr">
        <is>
          <t>Week3-Sep-2027</t>
        </is>
      </c>
      <c r="B411" s="27">
        <f>IF(SUM(B125,B268)=0,"",SUM(B125)/SUM(B125,B268))</f>
        <v/>
      </c>
      <c r="C411" s="27">
        <f>IF(SUM(C125,C268)=0,"",SUM(C125)/SUM(C125,C268))</f>
        <v/>
      </c>
      <c r="D411" s="27">
        <f>IF(SUM(D125,D268)=0,"",SUM(D125)/SUM(D125,D268))</f>
        <v/>
      </c>
      <c r="E411" s="27">
        <f>IF(SUM(E125,E268)=0,"",SUM(E125)/SUM(E125,E268))</f>
        <v/>
      </c>
      <c r="F411" s="27">
        <f>IF(SUM(F125,F268)=0,"",SUM(F125)/SUM(F125,F268))</f>
        <v/>
      </c>
      <c r="G411" s="27">
        <f>IF(SUM(G125,G268)=0,"",SUM(G125)/SUM(G125,G268))</f>
        <v/>
      </c>
      <c r="H411" s="27">
        <f>IF(SUM(H125,H268)=0,"",SUM(H125)/SUM(H125,H268))</f>
        <v/>
      </c>
    </row>
    <row r="412" hidden="1" outlineLevel="1">
      <c r="A412" t="inlineStr">
        <is>
          <t>Week4-Sep-2027</t>
        </is>
      </c>
      <c r="B412" s="27">
        <f>IF(SUM(B126,B269)=0,"",SUM(B126)/SUM(B126,B269))</f>
        <v/>
      </c>
      <c r="C412" s="27">
        <f>IF(SUM(C126,C269)=0,"",SUM(C126)/SUM(C126,C269))</f>
        <v/>
      </c>
      <c r="D412" s="27">
        <f>IF(SUM(D126,D269)=0,"",SUM(D126)/SUM(D126,D269))</f>
        <v/>
      </c>
      <c r="E412" s="27">
        <f>IF(SUM(E126,E269)=0,"",SUM(E126)/SUM(E126,E269))</f>
        <v/>
      </c>
      <c r="F412" s="27">
        <f>IF(SUM(F126,F269)=0,"",SUM(F126)/SUM(F126,F269))</f>
        <v/>
      </c>
      <c r="G412" s="27">
        <f>IF(SUM(G126,G269)=0,"",SUM(G126)/SUM(G126,G269))</f>
        <v/>
      </c>
      <c r="H412" s="27">
        <f>IF(SUM(H126,H269)=0,"",SUM(H126)/SUM(H126,H269))</f>
        <v/>
      </c>
    </row>
    <row r="413" hidden="1" outlineLevel="1">
      <c r="A413" t="inlineStr">
        <is>
          <t>Week5-Sep-2027</t>
        </is>
      </c>
      <c r="B413" s="27">
        <f>IF(SUM(B127,B270)=0,"",SUM(B127)/SUM(B127,B270))</f>
        <v/>
      </c>
      <c r="C413" s="27">
        <f>IF(SUM(C127,C270)=0,"",SUM(C127)/SUM(C127,C270))</f>
        <v/>
      </c>
      <c r="D413" s="27">
        <f>IF(SUM(D127,D270)=0,"",SUM(D127)/SUM(D127,D270))</f>
        <v/>
      </c>
      <c r="E413" s="27">
        <f>IF(SUM(E127,E270)=0,"",SUM(E127)/SUM(E127,E270))</f>
        <v/>
      </c>
      <c r="F413" s="27">
        <f>IF(SUM(F127,F270)=0,"",SUM(F127)/SUM(F127,F270))</f>
        <v/>
      </c>
      <c r="G413" s="27">
        <f>IF(SUM(G127,G270)=0,"",SUM(G127)/SUM(G127,G270))</f>
        <v/>
      </c>
      <c r="H413" s="27">
        <f>IF(SUM(H127,H270)=0,"",SUM(H127)/SUM(H127,H270))</f>
        <v/>
      </c>
    </row>
    <row r="414" hidden="1" outlineLevel="1">
      <c r="A414" t="inlineStr">
        <is>
          <t>Week1-Oct-2027</t>
        </is>
      </c>
      <c r="B414" s="27">
        <f>IF(SUM(B128,B271)=0,"",SUM(B128)/SUM(B128,B271))</f>
        <v/>
      </c>
      <c r="C414" s="27">
        <f>IF(SUM(C128,C271)=0,"",SUM(C128)/SUM(C128,C271))</f>
        <v/>
      </c>
      <c r="D414" s="27">
        <f>IF(SUM(D128,D271)=0,"",SUM(D128)/SUM(D128,D271))</f>
        <v/>
      </c>
      <c r="E414" s="27">
        <f>IF(SUM(E128,E271)=0,"",SUM(E128)/SUM(E128,E271))</f>
        <v/>
      </c>
      <c r="F414" s="27">
        <f>IF(SUM(F128,F271)=0,"",SUM(F128)/SUM(F128,F271))</f>
        <v/>
      </c>
      <c r="G414" s="27">
        <f>IF(SUM(G128,G271)=0,"",SUM(G128)/SUM(G128,G271))</f>
        <v/>
      </c>
      <c r="H414" s="27">
        <f>IF(SUM(H128,H271)=0,"",SUM(H128)/SUM(H128,H271))</f>
        <v/>
      </c>
    </row>
    <row r="415" hidden="1" outlineLevel="1">
      <c r="A415" t="inlineStr">
        <is>
          <t>Week2-Oct-2027</t>
        </is>
      </c>
      <c r="B415" s="27">
        <f>IF(SUM(B129,B272)=0,"",SUM(B129)/SUM(B129,B272))</f>
        <v/>
      </c>
      <c r="C415" s="27">
        <f>IF(SUM(C129,C272)=0,"",SUM(C129)/SUM(C129,C272))</f>
        <v/>
      </c>
      <c r="D415" s="27">
        <f>IF(SUM(D129,D272)=0,"",SUM(D129)/SUM(D129,D272))</f>
        <v/>
      </c>
      <c r="E415" s="27">
        <f>IF(SUM(E129,E272)=0,"",SUM(E129)/SUM(E129,E272))</f>
        <v/>
      </c>
      <c r="F415" s="27">
        <f>IF(SUM(F129,F272)=0,"",SUM(F129)/SUM(F129,F272))</f>
        <v/>
      </c>
      <c r="G415" s="27">
        <f>IF(SUM(G129,G272)=0,"",SUM(G129)/SUM(G129,G272))</f>
        <v/>
      </c>
      <c r="H415" s="27">
        <f>IF(SUM(H129,H272)=0,"",SUM(H129)/SUM(H129,H272))</f>
        <v/>
      </c>
    </row>
    <row r="416" hidden="1" outlineLevel="1">
      <c r="A416" t="inlineStr">
        <is>
          <t>Week3-Oct-2027</t>
        </is>
      </c>
      <c r="B416" s="27">
        <f>IF(SUM(B130,B273)=0,"",SUM(B130)/SUM(B130,B273))</f>
        <v/>
      </c>
      <c r="C416" s="27">
        <f>IF(SUM(C130,C273)=0,"",SUM(C130)/SUM(C130,C273))</f>
        <v/>
      </c>
      <c r="D416" s="27">
        <f>IF(SUM(D130,D273)=0,"",SUM(D130)/SUM(D130,D273))</f>
        <v/>
      </c>
      <c r="E416" s="27">
        <f>IF(SUM(E130,E273)=0,"",SUM(E130)/SUM(E130,E273))</f>
        <v/>
      </c>
      <c r="F416" s="27">
        <f>IF(SUM(F130,F273)=0,"",SUM(F130)/SUM(F130,F273))</f>
        <v/>
      </c>
      <c r="G416" s="27">
        <f>IF(SUM(G130,G273)=0,"",SUM(G130)/SUM(G130,G273))</f>
        <v/>
      </c>
      <c r="H416" s="27">
        <f>IF(SUM(H130,H273)=0,"",SUM(H130)/SUM(H130,H273))</f>
        <v/>
      </c>
    </row>
    <row r="417" hidden="1" outlineLevel="1">
      <c r="A417" t="inlineStr">
        <is>
          <t>Week4-Oct-2027</t>
        </is>
      </c>
      <c r="B417" s="27">
        <f>IF(SUM(B131,B274)=0,"",SUM(B131)/SUM(B131,B274))</f>
        <v/>
      </c>
      <c r="C417" s="27">
        <f>IF(SUM(C131,C274)=0,"",SUM(C131)/SUM(C131,C274))</f>
        <v/>
      </c>
      <c r="D417" s="27">
        <f>IF(SUM(D131,D274)=0,"",SUM(D131)/SUM(D131,D274))</f>
        <v/>
      </c>
      <c r="E417" s="27">
        <f>IF(SUM(E131,E274)=0,"",SUM(E131)/SUM(E131,E274))</f>
        <v/>
      </c>
      <c r="F417" s="27">
        <f>IF(SUM(F131,F274)=0,"",SUM(F131)/SUM(F131,F274))</f>
        <v/>
      </c>
      <c r="G417" s="27">
        <f>IF(SUM(G131,G274)=0,"",SUM(G131)/SUM(G131,G274))</f>
        <v/>
      </c>
      <c r="H417" s="27">
        <f>IF(SUM(H131,H274)=0,"",SUM(H131)/SUM(H131,H274))</f>
        <v/>
      </c>
    </row>
    <row r="418" hidden="1" outlineLevel="1">
      <c r="A418" t="inlineStr">
        <is>
          <t>Week5-Oct-2027</t>
        </is>
      </c>
      <c r="B418" s="27">
        <f>IF(SUM(B132,B275)=0,"",SUM(B132)/SUM(B132,B275))</f>
        <v/>
      </c>
      <c r="C418" s="27">
        <f>IF(SUM(C132,C275)=0,"",SUM(C132)/SUM(C132,C275))</f>
        <v/>
      </c>
      <c r="D418" s="27">
        <f>IF(SUM(D132,D275)=0,"",SUM(D132)/SUM(D132,D275))</f>
        <v/>
      </c>
      <c r="E418" s="27">
        <f>IF(SUM(E132,E275)=0,"",SUM(E132)/SUM(E132,E275))</f>
        <v/>
      </c>
      <c r="F418" s="27">
        <f>IF(SUM(F132,F275)=0,"",SUM(F132)/SUM(F132,F275))</f>
        <v/>
      </c>
      <c r="G418" s="27">
        <f>IF(SUM(G132,G275)=0,"",SUM(G132)/SUM(G132,G275))</f>
        <v/>
      </c>
      <c r="H418" s="27">
        <f>IF(SUM(H132,H275)=0,"",SUM(H132)/SUM(H132,H275))</f>
        <v/>
      </c>
    </row>
    <row r="419" hidden="1" outlineLevel="1">
      <c r="A419" t="inlineStr">
        <is>
          <t>Week1-Nov-2027</t>
        </is>
      </c>
      <c r="B419" s="27">
        <f>IF(SUM(B133,B276)=0,"",SUM(B133)/SUM(B133,B276))</f>
        <v/>
      </c>
      <c r="C419" s="27">
        <f>IF(SUM(C133,C276)=0,"",SUM(C133)/SUM(C133,C276))</f>
        <v/>
      </c>
      <c r="D419" s="27">
        <f>IF(SUM(D133,D276)=0,"",SUM(D133)/SUM(D133,D276))</f>
        <v/>
      </c>
      <c r="E419" s="27">
        <f>IF(SUM(E133,E276)=0,"",SUM(E133)/SUM(E133,E276))</f>
        <v/>
      </c>
      <c r="F419" s="27">
        <f>IF(SUM(F133,F276)=0,"",SUM(F133)/SUM(F133,F276))</f>
        <v/>
      </c>
      <c r="G419" s="27">
        <f>IF(SUM(G133,G276)=0,"",SUM(G133)/SUM(G133,G276))</f>
        <v/>
      </c>
      <c r="H419" s="27">
        <f>IF(SUM(H133,H276)=0,"",SUM(H133)/SUM(H133,H276))</f>
        <v/>
      </c>
    </row>
    <row r="420" hidden="1" outlineLevel="1">
      <c r="A420" t="inlineStr">
        <is>
          <t>Week2-Nov-2027</t>
        </is>
      </c>
      <c r="B420" s="27">
        <f>IF(SUM(B134,B277)=0,"",SUM(B134)/SUM(B134,B277))</f>
        <v/>
      </c>
      <c r="C420" s="27">
        <f>IF(SUM(C134,C277)=0,"",SUM(C134)/SUM(C134,C277))</f>
        <v/>
      </c>
      <c r="D420" s="27">
        <f>IF(SUM(D134,D277)=0,"",SUM(D134)/SUM(D134,D277))</f>
        <v/>
      </c>
      <c r="E420" s="27">
        <f>IF(SUM(E134,E277)=0,"",SUM(E134)/SUM(E134,E277))</f>
        <v/>
      </c>
      <c r="F420" s="27">
        <f>IF(SUM(F134,F277)=0,"",SUM(F134)/SUM(F134,F277))</f>
        <v/>
      </c>
      <c r="G420" s="27">
        <f>IF(SUM(G134,G277)=0,"",SUM(G134)/SUM(G134,G277))</f>
        <v/>
      </c>
      <c r="H420" s="27">
        <f>IF(SUM(H134,H277)=0,"",SUM(H134)/SUM(H134,H277))</f>
        <v/>
      </c>
    </row>
    <row r="421" hidden="1" outlineLevel="1">
      <c r="A421" t="inlineStr">
        <is>
          <t>Week3-Nov-2027</t>
        </is>
      </c>
      <c r="B421" s="27">
        <f>IF(SUM(B135,B278)=0,"",SUM(B135)/SUM(B135,B278))</f>
        <v/>
      </c>
      <c r="C421" s="27">
        <f>IF(SUM(C135,C278)=0,"",SUM(C135)/SUM(C135,C278))</f>
        <v/>
      </c>
      <c r="D421" s="27">
        <f>IF(SUM(D135,D278)=0,"",SUM(D135)/SUM(D135,D278))</f>
        <v/>
      </c>
      <c r="E421" s="27">
        <f>IF(SUM(E135,E278)=0,"",SUM(E135)/SUM(E135,E278))</f>
        <v/>
      </c>
      <c r="F421" s="27">
        <f>IF(SUM(F135,F278)=0,"",SUM(F135)/SUM(F135,F278))</f>
        <v/>
      </c>
      <c r="G421" s="27">
        <f>IF(SUM(G135,G278)=0,"",SUM(G135)/SUM(G135,G278))</f>
        <v/>
      </c>
      <c r="H421" s="27">
        <f>IF(SUM(H135,H278)=0,"",SUM(H135)/SUM(H135,H278))</f>
        <v/>
      </c>
    </row>
    <row r="422" hidden="1" outlineLevel="1">
      <c r="A422" t="inlineStr">
        <is>
          <t>Week4-Nov-2027</t>
        </is>
      </c>
      <c r="B422" s="27">
        <f>IF(SUM(B136,B279)=0,"",SUM(B136)/SUM(B136,B279))</f>
        <v/>
      </c>
      <c r="C422" s="27">
        <f>IF(SUM(C136,C279)=0,"",SUM(C136)/SUM(C136,C279))</f>
        <v/>
      </c>
      <c r="D422" s="27">
        <f>IF(SUM(D136,D279)=0,"",SUM(D136)/SUM(D136,D279))</f>
        <v/>
      </c>
      <c r="E422" s="27">
        <f>IF(SUM(E136,E279)=0,"",SUM(E136)/SUM(E136,E279))</f>
        <v/>
      </c>
      <c r="F422" s="27">
        <f>IF(SUM(F136,F279)=0,"",SUM(F136)/SUM(F136,F279))</f>
        <v/>
      </c>
      <c r="G422" s="27">
        <f>IF(SUM(G136,G279)=0,"",SUM(G136)/SUM(G136,G279))</f>
        <v/>
      </c>
      <c r="H422" s="27">
        <f>IF(SUM(H136,H279)=0,"",SUM(H136)/SUM(H136,H279))</f>
        <v/>
      </c>
    </row>
    <row r="423" hidden="1" outlineLevel="1">
      <c r="A423" t="inlineStr">
        <is>
          <t>Week5-Nov-2027</t>
        </is>
      </c>
      <c r="B423" s="27">
        <f>IF(SUM(B137,B280)=0,"",SUM(B137)/SUM(B137,B280))</f>
        <v/>
      </c>
      <c r="C423" s="27">
        <f>IF(SUM(C137,C280)=0,"",SUM(C137)/SUM(C137,C280))</f>
        <v/>
      </c>
      <c r="D423" s="27">
        <f>IF(SUM(D137,D280)=0,"",SUM(D137)/SUM(D137,D280))</f>
        <v/>
      </c>
      <c r="E423" s="27">
        <f>IF(SUM(E137,E280)=0,"",SUM(E137)/SUM(E137,E280))</f>
        <v/>
      </c>
      <c r="F423" s="27">
        <f>IF(SUM(F137,F280)=0,"",SUM(F137)/SUM(F137,F280))</f>
        <v/>
      </c>
      <c r="G423" s="27">
        <f>IF(SUM(G137,G280)=0,"",SUM(G137)/SUM(G137,G280))</f>
        <v/>
      </c>
      <c r="H423" s="27">
        <f>IF(SUM(H137,H280)=0,"",SUM(H137)/SUM(H137,H280))</f>
        <v/>
      </c>
    </row>
    <row r="424" hidden="1" outlineLevel="1">
      <c r="A424" t="inlineStr">
        <is>
          <t>Week1-Dec-2027</t>
        </is>
      </c>
      <c r="B424" s="27">
        <f>IF(SUM(B138,B281)=0,"",SUM(B138)/SUM(B138,B281))</f>
        <v/>
      </c>
      <c r="C424" s="27">
        <f>IF(SUM(C138,C281)=0,"",SUM(C138)/SUM(C138,C281))</f>
        <v/>
      </c>
      <c r="D424" s="27">
        <f>IF(SUM(D138,D281)=0,"",SUM(D138)/SUM(D138,D281))</f>
        <v/>
      </c>
      <c r="E424" s="27">
        <f>IF(SUM(E138,E281)=0,"",SUM(E138)/SUM(E138,E281))</f>
        <v/>
      </c>
      <c r="F424" s="27">
        <f>IF(SUM(F138,F281)=0,"",SUM(F138)/SUM(F138,F281))</f>
        <v/>
      </c>
      <c r="G424" s="27">
        <f>IF(SUM(G138,G281)=0,"",SUM(G138)/SUM(G138,G281))</f>
        <v/>
      </c>
      <c r="H424" s="27">
        <f>IF(SUM(H138,H281)=0,"",SUM(H138)/SUM(H138,H281))</f>
        <v/>
      </c>
    </row>
    <row r="425" hidden="1" outlineLevel="1">
      <c r="A425" t="inlineStr">
        <is>
          <t>Week2-Dec-2027</t>
        </is>
      </c>
      <c r="B425" s="27">
        <f>IF(SUM(B139,B282)=0,"",SUM(B139)/SUM(B139,B282))</f>
        <v/>
      </c>
      <c r="C425" s="27">
        <f>IF(SUM(C139,C282)=0,"",SUM(C139)/SUM(C139,C282))</f>
        <v/>
      </c>
      <c r="D425" s="27">
        <f>IF(SUM(D139,D282)=0,"",SUM(D139)/SUM(D139,D282))</f>
        <v/>
      </c>
      <c r="E425" s="27">
        <f>IF(SUM(E139,E282)=0,"",SUM(E139)/SUM(E139,E282))</f>
        <v/>
      </c>
      <c r="F425" s="27">
        <f>IF(SUM(F139,F282)=0,"",SUM(F139)/SUM(F139,F282))</f>
        <v/>
      </c>
      <c r="G425" s="27">
        <f>IF(SUM(G139,G282)=0,"",SUM(G139)/SUM(G139,G282))</f>
        <v/>
      </c>
      <c r="H425" s="27">
        <f>IF(SUM(H139,H282)=0,"",SUM(H139)/SUM(H139,H282))</f>
        <v/>
      </c>
    </row>
    <row r="426" hidden="1" outlineLevel="1">
      <c r="A426" t="inlineStr">
        <is>
          <t>Week3-Dec-2027</t>
        </is>
      </c>
      <c r="B426" s="27">
        <f>IF(SUM(B140,B283)=0,"",SUM(B140)/SUM(B140,B283))</f>
        <v/>
      </c>
      <c r="C426" s="27">
        <f>IF(SUM(C140,C283)=0,"",SUM(C140)/SUM(C140,C283))</f>
        <v/>
      </c>
      <c r="D426" s="27">
        <f>IF(SUM(D140,D283)=0,"",SUM(D140)/SUM(D140,D283))</f>
        <v/>
      </c>
      <c r="E426" s="27">
        <f>IF(SUM(E140,E283)=0,"",SUM(E140)/SUM(E140,E283))</f>
        <v/>
      </c>
      <c r="F426" s="27">
        <f>IF(SUM(F140,F283)=0,"",SUM(F140)/SUM(F140,F283))</f>
        <v/>
      </c>
      <c r="G426" s="27">
        <f>IF(SUM(G140,G283)=0,"",SUM(G140)/SUM(G140,G283))</f>
        <v/>
      </c>
      <c r="H426" s="27">
        <f>IF(SUM(H140,H283)=0,"",SUM(H140)/SUM(H140,H283))</f>
        <v/>
      </c>
    </row>
    <row r="427" hidden="1" outlineLevel="1">
      <c r="A427" t="inlineStr">
        <is>
          <t>Week4-Dec-2027</t>
        </is>
      </c>
      <c r="B427" s="27">
        <f>IF(SUM(B141,B284)=0,"",SUM(B141)/SUM(B141,B284))</f>
        <v/>
      </c>
      <c r="C427" s="27">
        <f>IF(SUM(C141,C284)=0,"",SUM(C141)/SUM(C141,C284))</f>
        <v/>
      </c>
      <c r="D427" s="27">
        <f>IF(SUM(D141,D284)=0,"",SUM(D141)/SUM(D141,D284))</f>
        <v/>
      </c>
      <c r="E427" s="27">
        <f>IF(SUM(E141,E284)=0,"",SUM(E141)/SUM(E141,E284))</f>
        <v/>
      </c>
      <c r="F427" s="27">
        <f>IF(SUM(F141,F284)=0,"",SUM(F141)/SUM(F141,F284))</f>
        <v/>
      </c>
      <c r="G427" s="27">
        <f>IF(SUM(G141,G284)=0,"",SUM(G141)/SUM(G141,G284))</f>
        <v/>
      </c>
      <c r="H427" s="27">
        <f>IF(SUM(H141,H284)=0,"",SUM(H141)/SUM(H141,H284))</f>
        <v/>
      </c>
    </row>
    <row r="428" hidden="1" outlineLevel="1">
      <c r="A428" t="inlineStr">
        <is>
          <t>Week5-Dec-2027</t>
        </is>
      </c>
      <c r="B428" s="27">
        <f>IF(SUM(B142,B285)=0,"",SUM(B142)/SUM(B142,B285))</f>
        <v/>
      </c>
      <c r="C428" s="27">
        <f>IF(SUM(C142,C285)=0,"",SUM(C142)/SUM(C142,C285))</f>
        <v/>
      </c>
      <c r="D428" s="27">
        <f>IF(SUM(D142,D285)=0,"",SUM(D142)/SUM(D142,D285))</f>
        <v/>
      </c>
      <c r="E428" s="27">
        <f>IF(SUM(E142,E285)=0,"",SUM(E142)/SUM(E142,E285))</f>
        <v/>
      </c>
      <c r="F428" s="27">
        <f>IF(SUM(F142,F285)=0,"",SUM(F142)/SUM(F142,F285))</f>
        <v/>
      </c>
      <c r="G428" s="27">
        <f>IF(SUM(G142,G285)=0,"",SUM(G142)/SUM(G142,G285))</f>
        <v/>
      </c>
      <c r="H428" s="27">
        <f>IF(SUM(H142,H285)=0,"",SUM(H142)/SUM(H142,H285))</f>
        <v/>
      </c>
    </row>
    <row r="429" collapsed="1">
      <c r="A429" s="32" t="inlineStr">
        <is>
          <t>Total</t>
        </is>
      </c>
      <c r="B429" s="34">
        <f>IF(SUM(B143,B286)=0,"",SUM(B143)/SUM(B143,B286))</f>
        <v/>
      </c>
      <c r="C429" s="34">
        <f>IF(SUM(C143,C286)=0,"",SUM(C143)/SUM(C143,C286))</f>
        <v/>
      </c>
      <c r="D429" s="34">
        <f>IF(SUM(D143,D286)=0,"",SUM(D143)/SUM(D143,D286))</f>
        <v/>
      </c>
      <c r="E429" s="34">
        <f>IF(SUM(E143,E286)=0,"",SUM(E143)/SUM(E143,E286))</f>
        <v/>
      </c>
      <c r="F429" s="34">
        <f>IF(SUM(F143,F286)=0,"",SUM(F143)/SUM(F143,F286))</f>
        <v/>
      </c>
      <c r="G429" s="34">
        <f>IF(SUM(G143,G286)=0,"",SUM(G143)/SUM(G143,G286))</f>
        <v/>
      </c>
      <c r="H429" s="34">
        <f>IF(SUM(H143,H286)=0,"",SUM(H143)/SUM(H143,H286))</f>
        <v/>
      </c>
    </row>
    <row r="432">
      <c r="A432" s="32" t="inlineStr">
        <is>
          <t>BSE Market Share</t>
        </is>
      </c>
    </row>
    <row r="433">
      <c r="A433" s="32" t="inlineStr">
        <is>
          <t>Trade Week-Month-Year</t>
        </is>
      </c>
      <c r="B433" s="32" t="inlineStr">
        <is>
          <t>Monday</t>
        </is>
      </c>
      <c r="C433" s="32" t="inlineStr">
        <is>
          <t>Tuesday</t>
        </is>
      </c>
      <c r="D433" s="32" t="inlineStr">
        <is>
          <t>Wednesday</t>
        </is>
      </c>
      <c r="E433" s="32" t="inlineStr">
        <is>
          <t>Thursday</t>
        </is>
      </c>
      <c r="F433" s="32" t="inlineStr">
        <is>
          <t>Friday</t>
        </is>
      </c>
      <c r="G433" s="32" t="inlineStr">
        <is>
          <t>Sunday</t>
        </is>
      </c>
      <c r="H433" s="32" t="inlineStr">
        <is>
          <t>Total</t>
        </is>
      </c>
    </row>
    <row r="434">
      <c r="A434" t="inlineStr">
        <is>
          <t>Week1-Sep-2025</t>
        </is>
      </c>
      <c r="B434" s="27">
        <f>IF(SUM(B5,B148)=0,"",SUM(B148)/SUM(B5,B148))</f>
        <v/>
      </c>
      <c r="C434" s="27">
        <f>IF(SUM(C5,C148)=0,"",SUM(C148)/SUM(C5,C148))</f>
        <v/>
      </c>
      <c r="D434" s="27">
        <f>IF(SUM(D5,D148)=0,"",SUM(D148)/SUM(D5,D148))</f>
        <v/>
      </c>
      <c r="E434" s="27">
        <f>IF(SUM(E5,E148)=0,"",SUM(E148)/SUM(E5,E148))</f>
        <v/>
      </c>
      <c r="F434" s="27">
        <f>IF(SUM(F5,F148)=0,"",SUM(F148)/SUM(F5,F148))</f>
        <v/>
      </c>
      <c r="G434" s="27">
        <f>IF(SUM(G5,G148)=0,"",SUM(G148)/SUM(G5,G148))</f>
        <v/>
      </c>
      <c r="H434" s="27">
        <f>IF(SUM(H5,H148)=0,"",SUM(H148)/SUM(H5,H148))</f>
        <v/>
      </c>
    </row>
    <row r="435">
      <c r="A435" t="inlineStr">
        <is>
          <t>Week2-Sep-2025</t>
        </is>
      </c>
      <c r="B435" s="27">
        <f>IF(SUM(B6,B149)=0,"",SUM(B149)/SUM(B6,B149))</f>
        <v/>
      </c>
      <c r="C435" s="27">
        <f>IF(SUM(C6,C149)=0,"",SUM(C149)/SUM(C6,C149))</f>
        <v/>
      </c>
      <c r="D435" s="27">
        <f>IF(SUM(D6,D149)=0,"",SUM(D149)/SUM(D6,D149))</f>
        <v/>
      </c>
      <c r="E435" s="27">
        <f>IF(SUM(E6,E149)=0,"",SUM(E149)/SUM(E6,E149))</f>
        <v/>
      </c>
      <c r="F435" s="27">
        <f>IF(SUM(F6,F149)=0,"",SUM(F149)/SUM(F6,F149))</f>
        <v/>
      </c>
      <c r="G435" s="27">
        <f>IF(SUM(G6,G149)=0,"",SUM(G149)/SUM(G6,G149))</f>
        <v/>
      </c>
      <c r="H435" s="27">
        <f>IF(SUM(H6,H149)=0,"",SUM(H149)/SUM(H6,H149))</f>
        <v/>
      </c>
    </row>
    <row r="436">
      <c r="A436" t="inlineStr">
        <is>
          <t>Week3-Sep-2025</t>
        </is>
      </c>
      <c r="B436" s="27">
        <f>IF(SUM(B7,B150)=0,"",SUM(B150)/SUM(B7,B150))</f>
        <v/>
      </c>
      <c r="C436" s="27">
        <f>IF(SUM(C7,C150)=0,"",SUM(C150)/SUM(C7,C150))</f>
        <v/>
      </c>
      <c r="D436" s="27">
        <f>IF(SUM(D7,D150)=0,"",SUM(D150)/SUM(D7,D150))</f>
        <v/>
      </c>
      <c r="E436" s="27">
        <f>IF(SUM(E7,E150)=0,"",SUM(E150)/SUM(E7,E150))</f>
        <v/>
      </c>
      <c r="F436" s="27">
        <f>IF(SUM(F7,F150)=0,"",SUM(F150)/SUM(F7,F150))</f>
        <v/>
      </c>
      <c r="G436" s="27">
        <f>IF(SUM(G7,G150)=0,"",SUM(G150)/SUM(G7,G150))</f>
        <v/>
      </c>
      <c r="H436" s="27">
        <f>IF(SUM(H7,H150)=0,"",SUM(H150)/SUM(H7,H150))</f>
        <v/>
      </c>
    </row>
    <row r="437">
      <c r="A437" t="inlineStr">
        <is>
          <t>Week4-Sep-2025</t>
        </is>
      </c>
      <c r="B437" s="27">
        <f>IF(SUM(B8,B151)=0,"",SUM(B151)/SUM(B8,B151))</f>
        <v/>
      </c>
      <c r="C437" s="27">
        <f>IF(SUM(C8,C151)=0,"",SUM(C151)/SUM(C8,C151))</f>
        <v/>
      </c>
      <c r="D437" s="27">
        <f>IF(SUM(D8,D151)=0,"",SUM(D151)/SUM(D8,D151))</f>
        <v/>
      </c>
      <c r="E437" s="27">
        <f>IF(SUM(E8,E151)=0,"",SUM(E151)/SUM(E8,E151))</f>
        <v/>
      </c>
      <c r="F437" s="27">
        <f>IF(SUM(F8,F151)=0,"",SUM(F151)/SUM(F8,F151))</f>
        <v/>
      </c>
      <c r="G437" s="27">
        <f>IF(SUM(G8,G151)=0,"",SUM(G151)/SUM(G8,G151))</f>
        <v/>
      </c>
      <c r="H437" s="27">
        <f>IF(SUM(H8,H151)=0,"",SUM(H151)/SUM(H8,H151))</f>
        <v/>
      </c>
    </row>
    <row r="438">
      <c r="A438" t="inlineStr">
        <is>
          <t>Week5-Sep-2025</t>
        </is>
      </c>
      <c r="B438" s="27">
        <f>IF(SUM(B9,B152)=0,"",SUM(B152)/SUM(B9,B152))</f>
        <v/>
      </c>
      <c r="C438" s="27">
        <f>IF(SUM(C9,C152)=0,"",SUM(C152)/SUM(C9,C152))</f>
        <v/>
      </c>
      <c r="D438" s="27">
        <f>IF(SUM(D9,D152)=0,"",SUM(D152)/SUM(D9,D152))</f>
        <v/>
      </c>
      <c r="E438" s="27">
        <f>IF(SUM(E9,E152)=0,"",SUM(E152)/SUM(E9,E152))</f>
        <v/>
      </c>
      <c r="F438" s="27">
        <f>IF(SUM(F9,F152)=0,"",SUM(F152)/SUM(F9,F152))</f>
        <v/>
      </c>
      <c r="G438" s="27">
        <f>IF(SUM(G9,G152)=0,"",SUM(G152)/SUM(G9,G152))</f>
        <v/>
      </c>
      <c r="H438" s="27">
        <f>IF(SUM(H9,H152)=0,"",SUM(H152)/SUM(H9,H152))</f>
        <v/>
      </c>
    </row>
    <row r="439">
      <c r="A439" t="inlineStr">
        <is>
          <t>Week1-Oct-2025</t>
        </is>
      </c>
      <c r="B439" s="27">
        <f>IF(SUM(B10,B153)=0,"",SUM(B153)/SUM(B10,B153))</f>
        <v/>
      </c>
      <c r="C439" s="27">
        <f>IF(SUM(C10,C153)=0,"",SUM(C153)/SUM(C10,C153))</f>
        <v/>
      </c>
      <c r="D439" s="27">
        <f>IF(SUM(D10,D153)=0,"",SUM(D153)/SUM(D10,D153))</f>
        <v/>
      </c>
      <c r="E439" s="27">
        <f>IF(SUM(E10,E153)=0,"",SUM(E153)/SUM(E10,E153))</f>
        <v/>
      </c>
      <c r="F439" s="27">
        <f>IF(SUM(F10,F153)=0,"",SUM(F153)/SUM(F10,F153))</f>
        <v/>
      </c>
      <c r="G439" s="27">
        <f>IF(SUM(G10,G153)=0,"",SUM(G153)/SUM(G10,G153))</f>
        <v/>
      </c>
      <c r="H439" s="27">
        <f>IF(SUM(H10,H153)=0,"",SUM(H153)/SUM(H10,H153))</f>
        <v/>
      </c>
    </row>
    <row r="440">
      <c r="A440" t="inlineStr">
        <is>
          <t>Week2-Oct-2025</t>
        </is>
      </c>
      <c r="B440" s="27">
        <f>IF(SUM(B11,B154)=0,"",SUM(B154)/SUM(B11,B154))</f>
        <v/>
      </c>
      <c r="C440" s="27">
        <f>IF(SUM(C11,C154)=0,"",SUM(C154)/SUM(C11,C154))</f>
        <v/>
      </c>
      <c r="D440" s="27">
        <f>IF(SUM(D11,D154)=0,"",SUM(D154)/SUM(D11,D154))</f>
        <v/>
      </c>
      <c r="E440" s="27">
        <f>IF(SUM(E11,E154)=0,"",SUM(E154)/SUM(E11,E154))</f>
        <v/>
      </c>
      <c r="F440" s="27">
        <f>IF(SUM(F11,F154)=0,"",SUM(F154)/SUM(F11,F154))</f>
        <v/>
      </c>
      <c r="G440" s="27">
        <f>IF(SUM(G11,G154)=0,"",SUM(G154)/SUM(G11,G154))</f>
        <v/>
      </c>
      <c r="H440" s="27">
        <f>IF(SUM(H11,H154)=0,"",SUM(H154)/SUM(H11,H154))</f>
        <v/>
      </c>
    </row>
    <row r="441">
      <c r="A441" t="inlineStr">
        <is>
          <t>Week3-Oct-2025</t>
        </is>
      </c>
      <c r="B441" s="27">
        <f>IF(SUM(B12,B155)=0,"",SUM(B155)/SUM(B12,B155))</f>
        <v/>
      </c>
      <c r="C441" s="27">
        <f>IF(SUM(C12,C155)=0,"",SUM(C155)/SUM(C12,C155))</f>
        <v/>
      </c>
      <c r="D441" s="27">
        <f>IF(SUM(D12,D155)=0,"",SUM(D155)/SUM(D12,D155))</f>
        <v/>
      </c>
      <c r="E441" s="27">
        <f>IF(SUM(E12,E155)=0,"",SUM(E155)/SUM(E12,E155))</f>
        <v/>
      </c>
      <c r="F441" s="27">
        <f>IF(SUM(F12,F155)=0,"",SUM(F155)/SUM(F12,F155))</f>
        <v/>
      </c>
      <c r="G441" s="27">
        <f>IF(SUM(G12,G155)=0,"",SUM(G155)/SUM(G12,G155))</f>
        <v/>
      </c>
      <c r="H441" s="27">
        <f>IF(SUM(H12,H155)=0,"",SUM(H155)/SUM(H12,H155))</f>
        <v/>
      </c>
    </row>
    <row r="442">
      <c r="A442" t="inlineStr">
        <is>
          <t>Week4-Oct-2025</t>
        </is>
      </c>
      <c r="B442" s="27">
        <f>IF(SUM(B13,B156)=0,"",SUM(B156)/SUM(B13,B156))</f>
        <v/>
      </c>
      <c r="C442" s="27">
        <f>IF(SUM(C13,C156)=0,"",SUM(C156)/SUM(C13,C156))</f>
        <v/>
      </c>
      <c r="D442" s="27">
        <f>IF(SUM(D13,D156)=0,"",SUM(D156)/SUM(D13,D156))</f>
        <v/>
      </c>
      <c r="E442" s="27">
        <f>IF(SUM(E13,E156)=0,"",SUM(E156)/SUM(E13,E156))</f>
        <v/>
      </c>
      <c r="F442" s="27">
        <f>IF(SUM(F13,F156)=0,"",SUM(F156)/SUM(F13,F156))</f>
        <v/>
      </c>
      <c r="G442" s="27">
        <f>IF(SUM(G13,G156)=0,"",SUM(G156)/SUM(G13,G156))</f>
        <v/>
      </c>
      <c r="H442" s="27">
        <f>IF(SUM(H13,H156)=0,"",SUM(H156)/SUM(H13,H156))</f>
        <v/>
      </c>
    </row>
    <row r="443">
      <c r="A443" t="inlineStr">
        <is>
          <t>Week5-Oct-2025</t>
        </is>
      </c>
      <c r="B443" s="27">
        <f>IF(SUM(B14,B157)=0,"",SUM(B157)/SUM(B14,B157))</f>
        <v/>
      </c>
      <c r="C443" s="27">
        <f>IF(SUM(C14,C157)=0,"",SUM(C157)/SUM(C14,C157))</f>
        <v/>
      </c>
      <c r="D443" s="27">
        <f>IF(SUM(D14,D157)=0,"",SUM(D157)/SUM(D14,D157))</f>
        <v/>
      </c>
      <c r="E443" s="27">
        <f>IF(SUM(E14,E157)=0,"",SUM(E157)/SUM(E14,E157))</f>
        <v/>
      </c>
      <c r="F443" s="27">
        <f>IF(SUM(F14,F157)=0,"",SUM(F157)/SUM(F14,F157))</f>
        <v/>
      </c>
      <c r="G443" s="27">
        <f>IF(SUM(G14,G157)=0,"",SUM(G157)/SUM(G14,G157))</f>
        <v/>
      </c>
      <c r="H443" s="27">
        <f>IF(SUM(H14,H157)=0,"",SUM(H157)/SUM(H14,H157))</f>
        <v/>
      </c>
    </row>
    <row r="444">
      <c r="A444" t="inlineStr">
        <is>
          <t>Week1-Nov-2025</t>
        </is>
      </c>
      <c r="B444" s="27">
        <f>IF(SUM(B15,B158)=0,"",SUM(B158)/SUM(B15,B158))</f>
        <v/>
      </c>
      <c r="C444" s="27">
        <f>IF(SUM(C15,C158)=0,"",SUM(C158)/SUM(C15,C158))</f>
        <v/>
      </c>
      <c r="D444" s="27">
        <f>IF(SUM(D15,D158)=0,"",SUM(D158)/SUM(D15,D158))</f>
        <v/>
      </c>
      <c r="E444" s="27">
        <f>IF(SUM(E15,E158)=0,"",SUM(E158)/SUM(E15,E158))</f>
        <v/>
      </c>
      <c r="F444" s="27">
        <f>IF(SUM(F15,F158)=0,"",SUM(F158)/SUM(F15,F158))</f>
        <v/>
      </c>
      <c r="G444" s="27">
        <f>IF(SUM(G15,G158)=0,"",SUM(G158)/SUM(G15,G158))</f>
        <v/>
      </c>
      <c r="H444" s="27">
        <f>IF(SUM(H15,H158)=0,"",SUM(H158)/SUM(H15,H158))</f>
        <v/>
      </c>
    </row>
    <row r="445">
      <c r="A445" t="inlineStr">
        <is>
          <t>Week2-Nov-2025</t>
        </is>
      </c>
      <c r="B445" s="27">
        <f>IF(SUM(B16,B159)=0,"",SUM(B159)/SUM(B16,B159))</f>
        <v/>
      </c>
      <c r="C445" s="27">
        <f>IF(SUM(C16,C159)=0,"",SUM(C159)/SUM(C16,C159))</f>
        <v/>
      </c>
      <c r="D445" s="27">
        <f>IF(SUM(D16,D159)=0,"",SUM(D159)/SUM(D16,D159))</f>
        <v/>
      </c>
      <c r="E445" s="27">
        <f>IF(SUM(E16,E159)=0,"",SUM(E159)/SUM(E16,E159))</f>
        <v/>
      </c>
      <c r="F445" s="27">
        <f>IF(SUM(F16,F159)=0,"",SUM(F159)/SUM(F16,F159))</f>
        <v/>
      </c>
      <c r="G445" s="27">
        <f>IF(SUM(G16,G159)=0,"",SUM(G159)/SUM(G16,G159))</f>
        <v/>
      </c>
      <c r="H445" s="27">
        <f>IF(SUM(H16,H159)=0,"",SUM(H159)/SUM(H16,H159))</f>
        <v/>
      </c>
    </row>
    <row r="446">
      <c r="A446" t="inlineStr">
        <is>
          <t>Week3-Nov-2025</t>
        </is>
      </c>
      <c r="B446" s="27">
        <f>IF(SUM(B17,B160)=0,"",SUM(B160)/SUM(B17,B160))</f>
        <v/>
      </c>
      <c r="C446" s="27">
        <f>IF(SUM(C17,C160)=0,"",SUM(C160)/SUM(C17,C160))</f>
        <v/>
      </c>
      <c r="D446" s="27">
        <f>IF(SUM(D17,D160)=0,"",SUM(D160)/SUM(D17,D160))</f>
        <v/>
      </c>
      <c r="E446" s="27">
        <f>IF(SUM(E17,E160)=0,"",SUM(E160)/SUM(E17,E160))</f>
        <v/>
      </c>
      <c r="F446" s="27">
        <f>IF(SUM(F17,F160)=0,"",SUM(F160)/SUM(F17,F160))</f>
        <v/>
      </c>
      <c r="G446" s="27">
        <f>IF(SUM(G17,G160)=0,"",SUM(G160)/SUM(G17,G160))</f>
        <v/>
      </c>
      <c r="H446" s="27">
        <f>IF(SUM(H17,H160)=0,"",SUM(H160)/SUM(H17,H160))</f>
        <v/>
      </c>
    </row>
    <row r="447">
      <c r="A447" t="inlineStr">
        <is>
          <t>Week4-Nov-2025</t>
        </is>
      </c>
      <c r="B447" s="27">
        <f>IF(SUM(B18,B161)=0,"",SUM(B161)/SUM(B18,B161))</f>
        <v/>
      </c>
      <c r="C447" s="27">
        <f>IF(SUM(C18,C161)=0,"",SUM(C161)/SUM(C18,C161))</f>
        <v/>
      </c>
      <c r="D447" s="27">
        <f>IF(SUM(D18,D161)=0,"",SUM(D161)/SUM(D18,D161))</f>
        <v/>
      </c>
      <c r="E447" s="27">
        <f>IF(SUM(E18,E161)=0,"",SUM(E161)/SUM(E18,E161))</f>
        <v/>
      </c>
      <c r="F447" s="27">
        <f>IF(SUM(F18,F161)=0,"",SUM(F161)/SUM(F18,F161))</f>
        <v/>
      </c>
      <c r="G447" s="27">
        <f>IF(SUM(G18,G161)=0,"",SUM(G161)/SUM(G18,G161))</f>
        <v/>
      </c>
      <c r="H447" s="27">
        <f>IF(SUM(H18,H161)=0,"",SUM(H161)/SUM(H18,H161))</f>
        <v/>
      </c>
    </row>
    <row r="448">
      <c r="A448" t="inlineStr">
        <is>
          <t>Week5-Nov-2025</t>
        </is>
      </c>
      <c r="B448" s="27">
        <f>IF(SUM(B19,B162)=0,"",SUM(B162)/SUM(B19,B162))</f>
        <v/>
      </c>
      <c r="C448" s="27">
        <f>IF(SUM(C19,C162)=0,"",SUM(C162)/SUM(C19,C162))</f>
        <v/>
      </c>
      <c r="D448" s="27">
        <f>IF(SUM(D19,D162)=0,"",SUM(D162)/SUM(D19,D162))</f>
        <v/>
      </c>
      <c r="E448" s="27">
        <f>IF(SUM(E19,E162)=0,"",SUM(E162)/SUM(E19,E162))</f>
        <v/>
      </c>
      <c r="F448" s="27">
        <f>IF(SUM(F19,F162)=0,"",SUM(F162)/SUM(F19,F162))</f>
        <v/>
      </c>
      <c r="G448" s="27">
        <f>IF(SUM(G19,G162)=0,"",SUM(G162)/SUM(G19,G162))</f>
        <v/>
      </c>
      <c r="H448" s="27">
        <f>IF(SUM(H19,H162)=0,"",SUM(H162)/SUM(H19,H162))</f>
        <v/>
      </c>
    </row>
    <row r="449">
      <c r="A449" t="inlineStr">
        <is>
          <t>Week1-Dec-2025</t>
        </is>
      </c>
      <c r="B449" s="27">
        <f>IF(SUM(B20,B163)=0,"",SUM(B163)/SUM(B20,B163))</f>
        <v/>
      </c>
      <c r="C449" s="27">
        <f>IF(SUM(C20,C163)=0,"",SUM(C163)/SUM(C20,C163))</f>
        <v/>
      </c>
      <c r="D449" s="27">
        <f>IF(SUM(D20,D163)=0,"",SUM(D163)/SUM(D20,D163))</f>
        <v/>
      </c>
      <c r="E449" s="27">
        <f>IF(SUM(E20,E163)=0,"",SUM(E163)/SUM(E20,E163))</f>
        <v/>
      </c>
      <c r="F449" s="27">
        <f>IF(SUM(F20,F163)=0,"",SUM(F163)/SUM(F20,F163))</f>
        <v/>
      </c>
      <c r="G449" s="27">
        <f>IF(SUM(G20,G163)=0,"",SUM(G163)/SUM(G20,G163))</f>
        <v/>
      </c>
      <c r="H449" s="27">
        <f>IF(SUM(H20,H163)=0,"",SUM(H163)/SUM(H20,H163))</f>
        <v/>
      </c>
    </row>
    <row r="450">
      <c r="A450" t="inlineStr">
        <is>
          <t>Week2-Dec-2025</t>
        </is>
      </c>
      <c r="B450" s="27">
        <f>IF(SUM(B21,B164)=0,"",SUM(B164)/SUM(B21,B164))</f>
        <v/>
      </c>
      <c r="C450" s="27">
        <f>IF(SUM(C21,C164)=0,"",SUM(C164)/SUM(C21,C164))</f>
        <v/>
      </c>
      <c r="D450" s="27">
        <f>IF(SUM(D21,D164)=0,"",SUM(D164)/SUM(D21,D164))</f>
        <v/>
      </c>
      <c r="E450" s="27">
        <f>IF(SUM(E21,E164)=0,"",SUM(E164)/SUM(E21,E164))</f>
        <v/>
      </c>
      <c r="F450" s="27">
        <f>IF(SUM(F21,F164)=0,"",SUM(F164)/SUM(F21,F164))</f>
        <v/>
      </c>
      <c r="G450" s="27">
        <f>IF(SUM(G21,G164)=0,"",SUM(G164)/SUM(G21,G164))</f>
        <v/>
      </c>
      <c r="H450" s="27">
        <f>IF(SUM(H21,H164)=0,"",SUM(H164)/SUM(H21,H164))</f>
        <v/>
      </c>
    </row>
    <row r="451">
      <c r="A451" t="inlineStr">
        <is>
          <t>Week3-Dec-2025</t>
        </is>
      </c>
      <c r="B451" s="27">
        <f>IF(SUM(B22,B165)=0,"",SUM(B165)/SUM(B22,B165))</f>
        <v/>
      </c>
      <c r="C451" s="27">
        <f>IF(SUM(C22,C165)=0,"",SUM(C165)/SUM(C22,C165))</f>
        <v/>
      </c>
      <c r="D451" s="27">
        <f>IF(SUM(D22,D165)=0,"",SUM(D165)/SUM(D22,D165))</f>
        <v/>
      </c>
      <c r="E451" s="27">
        <f>IF(SUM(E22,E165)=0,"",SUM(E165)/SUM(E22,E165))</f>
        <v/>
      </c>
      <c r="F451" s="27">
        <f>IF(SUM(F22,F165)=0,"",SUM(F165)/SUM(F22,F165))</f>
        <v/>
      </c>
      <c r="G451" s="27">
        <f>IF(SUM(G22,G165)=0,"",SUM(G165)/SUM(G22,G165))</f>
        <v/>
      </c>
      <c r="H451" s="27">
        <f>IF(SUM(H22,H165)=0,"",SUM(H165)/SUM(H22,H165))</f>
        <v/>
      </c>
    </row>
    <row r="452">
      <c r="A452" t="inlineStr">
        <is>
          <t>Week4-Dec-2025</t>
        </is>
      </c>
      <c r="B452" s="27">
        <f>IF(SUM(B23,B166)=0,"",SUM(B166)/SUM(B23,B166))</f>
        <v/>
      </c>
      <c r="C452" s="27">
        <f>IF(SUM(C23,C166)=0,"",SUM(C166)/SUM(C23,C166))</f>
        <v/>
      </c>
      <c r="D452" s="27">
        <f>IF(SUM(D23,D166)=0,"",SUM(D166)/SUM(D23,D166))</f>
        <v/>
      </c>
      <c r="E452" s="27">
        <f>IF(SUM(E23,E166)=0,"",SUM(E166)/SUM(E23,E166))</f>
        <v/>
      </c>
      <c r="F452" s="27">
        <f>IF(SUM(F23,F166)=0,"",SUM(F166)/SUM(F23,F166))</f>
        <v/>
      </c>
      <c r="G452" s="27">
        <f>IF(SUM(G23,G166)=0,"",SUM(G166)/SUM(G23,G166))</f>
        <v/>
      </c>
      <c r="H452" s="27">
        <f>IF(SUM(H23,H166)=0,"",SUM(H166)/SUM(H23,H166))</f>
        <v/>
      </c>
    </row>
    <row r="453">
      <c r="A453" t="inlineStr">
        <is>
          <t>Week5-Dec-2025</t>
        </is>
      </c>
      <c r="B453" s="27">
        <f>IF(SUM(B24,B167)=0,"",SUM(B167)/SUM(B24,B167))</f>
        <v/>
      </c>
      <c r="C453" s="27">
        <f>IF(SUM(C24,C167)=0,"",SUM(C167)/SUM(C24,C167))</f>
        <v/>
      </c>
      <c r="D453" s="27">
        <f>IF(SUM(D24,D167)=0,"",SUM(D167)/SUM(D24,D167))</f>
        <v/>
      </c>
      <c r="E453" s="27">
        <f>IF(SUM(E24,E167)=0,"",SUM(E167)/SUM(E24,E167))</f>
        <v/>
      </c>
      <c r="F453" s="27">
        <f>IF(SUM(F24,F167)=0,"",SUM(F167)/SUM(F24,F167))</f>
        <v/>
      </c>
      <c r="G453" s="27">
        <f>IF(SUM(G24,G167)=0,"",SUM(G167)/SUM(G24,G167))</f>
        <v/>
      </c>
      <c r="H453" s="27">
        <f>IF(SUM(H24,H167)=0,"",SUM(H167)/SUM(H24,H167))</f>
        <v/>
      </c>
    </row>
    <row r="454">
      <c r="A454" t="inlineStr">
        <is>
          <t>Week1-Jan-2026</t>
        </is>
      </c>
      <c r="B454" s="27">
        <f>IF(SUM(B25,B168)=0,"",SUM(B168)/SUM(B25,B168))</f>
        <v/>
      </c>
      <c r="C454" s="27">
        <f>IF(SUM(C25,C168)=0,"",SUM(C168)/SUM(C25,C168))</f>
        <v/>
      </c>
      <c r="D454" s="27">
        <f>IF(SUM(D25,D168)=0,"",SUM(D168)/SUM(D25,D168))</f>
        <v/>
      </c>
      <c r="E454" s="27">
        <f>IF(SUM(E25,E168)=0,"",SUM(E168)/SUM(E25,E168))</f>
        <v/>
      </c>
      <c r="F454" s="27">
        <f>IF(SUM(F25,F168)=0,"",SUM(F168)/SUM(F25,F168))</f>
        <v/>
      </c>
      <c r="G454" s="27">
        <f>IF(SUM(G25,G168)=0,"",SUM(G168)/SUM(G25,G168))</f>
        <v/>
      </c>
      <c r="H454" s="27">
        <f>IF(SUM(H25,H168)=0,"",SUM(H168)/SUM(H25,H168))</f>
        <v/>
      </c>
    </row>
    <row r="455">
      <c r="A455" t="inlineStr">
        <is>
          <t>Week2-Jan-2026</t>
        </is>
      </c>
      <c r="B455" s="27">
        <f>IF(SUM(B26,B169)=0,"",SUM(B169)/SUM(B26,B169))</f>
        <v/>
      </c>
      <c r="C455" s="27">
        <f>IF(SUM(C26,C169)=0,"",SUM(C169)/SUM(C26,C169))</f>
        <v/>
      </c>
      <c r="D455" s="27">
        <f>IF(SUM(D26,D169)=0,"",SUM(D169)/SUM(D26,D169))</f>
        <v/>
      </c>
      <c r="E455" s="27">
        <f>IF(SUM(E26,E169)=0,"",SUM(E169)/SUM(E26,E169))</f>
        <v/>
      </c>
      <c r="F455" s="27">
        <f>IF(SUM(F26,F169)=0,"",SUM(F169)/SUM(F26,F169))</f>
        <v/>
      </c>
      <c r="G455" s="27">
        <f>IF(SUM(G26,G169)=0,"",SUM(G169)/SUM(G26,G169))</f>
        <v/>
      </c>
      <c r="H455" s="27">
        <f>IF(SUM(H26,H169)=0,"",SUM(H169)/SUM(H26,H169))</f>
        <v/>
      </c>
    </row>
    <row r="456">
      <c r="A456" t="inlineStr">
        <is>
          <t>Week3-Jan-2026</t>
        </is>
      </c>
      <c r="B456" s="27">
        <f>IF(SUM(B27,B170)=0,"",SUM(B170)/SUM(B27,B170))</f>
        <v/>
      </c>
      <c r="C456" s="27">
        <f>IF(SUM(C27,C170)=0,"",SUM(C170)/SUM(C27,C170))</f>
        <v/>
      </c>
      <c r="D456" s="27">
        <f>IF(SUM(D27,D170)=0,"",SUM(D170)/SUM(D27,D170))</f>
        <v/>
      </c>
      <c r="E456" s="27">
        <f>IF(SUM(E27,E170)=0,"",SUM(E170)/SUM(E27,E170))</f>
        <v/>
      </c>
      <c r="F456" s="27">
        <f>IF(SUM(F27,F170)=0,"",SUM(F170)/SUM(F27,F170))</f>
        <v/>
      </c>
      <c r="G456" s="27">
        <f>IF(SUM(G27,G170)=0,"",SUM(G170)/SUM(G27,G170))</f>
        <v/>
      </c>
      <c r="H456" s="27">
        <f>IF(SUM(H27,H170)=0,"",SUM(H170)/SUM(H27,H170))</f>
        <v/>
      </c>
    </row>
    <row r="457">
      <c r="A457" t="inlineStr">
        <is>
          <t>Week4-Jan-2026</t>
        </is>
      </c>
      <c r="B457" s="27">
        <f>IF(SUM(B28,B171)=0,"",SUM(B171)/SUM(B28,B171))</f>
        <v/>
      </c>
      <c r="C457" s="27">
        <f>IF(SUM(C28,C171)=0,"",SUM(C171)/SUM(C28,C171))</f>
        <v/>
      </c>
      <c r="D457" s="27">
        <f>IF(SUM(D28,D171)=0,"",SUM(D171)/SUM(D28,D171))</f>
        <v/>
      </c>
      <c r="E457" s="27">
        <f>IF(SUM(E28,E171)=0,"",SUM(E171)/SUM(E28,E171))</f>
        <v/>
      </c>
      <c r="F457" s="27">
        <f>IF(SUM(F28,F171)=0,"",SUM(F171)/SUM(F28,F171))</f>
        <v/>
      </c>
      <c r="G457" s="27">
        <f>IF(SUM(G28,G171)=0,"",SUM(G171)/SUM(G28,G171))</f>
        <v/>
      </c>
      <c r="H457" s="27">
        <f>IF(SUM(H28,H171)=0,"",SUM(H171)/SUM(H28,H171))</f>
        <v/>
      </c>
    </row>
    <row r="458">
      <c r="A458" t="inlineStr">
        <is>
          <t>Week5-Jan-2026</t>
        </is>
      </c>
      <c r="B458" s="27">
        <f>IF(SUM(B29,B172)=0,"",SUM(B172)/SUM(B29,B172))</f>
        <v/>
      </c>
      <c r="C458" s="27">
        <f>IF(SUM(C29,C172)=0,"",SUM(C172)/SUM(C29,C172))</f>
        <v/>
      </c>
      <c r="D458" s="27">
        <f>IF(SUM(D29,D172)=0,"",SUM(D172)/SUM(D29,D172))</f>
        <v/>
      </c>
      <c r="E458" s="27">
        <f>IF(SUM(E29,E172)=0,"",SUM(E172)/SUM(E29,E172))</f>
        <v/>
      </c>
      <c r="F458" s="27">
        <f>IF(SUM(F29,F172)=0,"",SUM(F172)/SUM(F29,F172))</f>
        <v/>
      </c>
      <c r="G458" s="27">
        <f>IF(SUM(G29,G172)=0,"",SUM(G172)/SUM(G29,G172))</f>
        <v/>
      </c>
      <c r="H458" s="27">
        <f>IF(SUM(H29,H172)=0,"",SUM(H172)/SUM(H29,H172))</f>
        <v/>
      </c>
    </row>
    <row r="459">
      <c r="A459" t="inlineStr">
        <is>
          <t>Week1-Feb-2026</t>
        </is>
      </c>
      <c r="B459" s="27">
        <f>IF(SUM(B30,B173)=0,"",SUM(B173)/SUM(B30,B173))</f>
        <v/>
      </c>
      <c r="C459" s="27">
        <f>IF(SUM(C30,C173)=0,"",SUM(C173)/SUM(C30,C173))</f>
        <v/>
      </c>
      <c r="D459" s="27">
        <f>IF(SUM(D30,D173)=0,"",SUM(D173)/SUM(D30,D173))</f>
        <v/>
      </c>
      <c r="E459" s="27">
        <f>IF(SUM(E30,E173)=0,"",SUM(E173)/SUM(E30,E173))</f>
        <v/>
      </c>
      <c r="F459" s="27">
        <f>IF(SUM(F30,F173)=0,"",SUM(F173)/SUM(F30,F173))</f>
        <v/>
      </c>
      <c r="G459" s="27">
        <f>IF(SUM(G30,G173)=0,"",SUM(G173)/SUM(G30,G173))</f>
        <v/>
      </c>
      <c r="H459" s="27">
        <f>IF(SUM(H30,H173)=0,"",SUM(H173)/SUM(H30,H173))</f>
        <v/>
      </c>
    </row>
    <row r="460">
      <c r="A460" t="inlineStr">
        <is>
          <t>Week2-Feb-2026</t>
        </is>
      </c>
      <c r="B460" s="27">
        <f>IF(SUM(B31,B174)=0,"",SUM(B174)/SUM(B31,B174))</f>
        <v/>
      </c>
      <c r="C460" s="27">
        <f>IF(SUM(C31,C174)=0,"",SUM(C174)/SUM(C31,C174))</f>
        <v/>
      </c>
      <c r="D460" s="27">
        <f>IF(SUM(D31,D174)=0,"",SUM(D174)/SUM(D31,D174))</f>
        <v/>
      </c>
      <c r="E460" s="27">
        <f>IF(SUM(E31,E174)=0,"",SUM(E174)/SUM(E31,E174))</f>
        <v/>
      </c>
      <c r="F460" s="27">
        <f>IF(SUM(F31,F174)=0,"",SUM(F174)/SUM(F31,F174))</f>
        <v/>
      </c>
      <c r="G460" s="27">
        <f>IF(SUM(G31,G174)=0,"",SUM(G174)/SUM(G31,G174))</f>
        <v/>
      </c>
      <c r="H460" s="27">
        <f>IF(SUM(H31,H174)=0,"",SUM(H174)/SUM(H31,H174))</f>
        <v/>
      </c>
    </row>
    <row r="461">
      <c r="A461" t="inlineStr">
        <is>
          <t>Week3-Feb-2026</t>
        </is>
      </c>
      <c r="B461" s="27">
        <f>IF(SUM(B32,B175)=0,"",SUM(B175)/SUM(B32,B175))</f>
        <v/>
      </c>
      <c r="C461" s="27">
        <f>IF(SUM(C32,C175)=0,"",SUM(C175)/SUM(C32,C175))</f>
        <v/>
      </c>
      <c r="D461" s="27">
        <f>IF(SUM(D32,D175)=0,"",SUM(D175)/SUM(D32,D175))</f>
        <v/>
      </c>
      <c r="E461" s="27">
        <f>IF(SUM(E32,E175)=0,"",SUM(E175)/SUM(E32,E175))</f>
        <v/>
      </c>
      <c r="F461" s="27">
        <f>IF(SUM(F32,F175)=0,"",SUM(F175)/SUM(F32,F175))</f>
        <v/>
      </c>
      <c r="G461" s="27">
        <f>IF(SUM(G32,G175)=0,"",SUM(G175)/SUM(G32,G175))</f>
        <v/>
      </c>
      <c r="H461" s="27">
        <f>IF(SUM(H32,H175)=0,"",SUM(H175)/SUM(H32,H175))</f>
        <v/>
      </c>
    </row>
    <row r="462">
      <c r="A462" t="inlineStr">
        <is>
          <t>Week4-Feb-2026</t>
        </is>
      </c>
      <c r="B462" s="27">
        <f>IF(SUM(B33,B176)=0,"",SUM(B176)/SUM(B33,B176))</f>
        <v/>
      </c>
      <c r="C462" s="27">
        <f>IF(SUM(C33,C176)=0,"",SUM(C176)/SUM(C33,C176))</f>
        <v/>
      </c>
      <c r="D462" s="27">
        <f>IF(SUM(D33,D176)=0,"",SUM(D176)/SUM(D33,D176))</f>
        <v/>
      </c>
      <c r="E462" s="27">
        <f>IF(SUM(E33,E176)=0,"",SUM(E176)/SUM(E33,E176))</f>
        <v/>
      </c>
      <c r="F462" s="27">
        <f>IF(SUM(F33,F176)=0,"",SUM(F176)/SUM(F33,F176))</f>
        <v/>
      </c>
      <c r="G462" s="27">
        <f>IF(SUM(G33,G176)=0,"",SUM(G176)/SUM(G33,G176))</f>
        <v/>
      </c>
      <c r="H462" s="27">
        <f>IF(SUM(H33,H176)=0,"",SUM(H176)/SUM(H33,H176))</f>
        <v/>
      </c>
    </row>
    <row r="463">
      <c r="A463" t="inlineStr">
        <is>
          <t>Week1-Mar-2026</t>
        </is>
      </c>
      <c r="B463" s="27">
        <f>IF(SUM(B34,B177)=0,"",SUM(B177)/SUM(B34,B177))</f>
        <v/>
      </c>
      <c r="C463" s="27">
        <f>IF(SUM(C34,C177)=0,"",SUM(C177)/SUM(C34,C177))</f>
        <v/>
      </c>
      <c r="D463" s="27">
        <f>IF(SUM(D34,D177)=0,"",SUM(D177)/SUM(D34,D177))</f>
        <v/>
      </c>
      <c r="E463" s="27">
        <f>IF(SUM(E34,E177)=0,"",SUM(E177)/SUM(E34,E177))</f>
        <v/>
      </c>
      <c r="F463" s="27">
        <f>IF(SUM(F34,F177)=0,"",SUM(F177)/SUM(F34,F177))</f>
        <v/>
      </c>
      <c r="G463" s="27">
        <f>IF(SUM(G34,G177)=0,"",SUM(G177)/SUM(G34,G177))</f>
        <v/>
      </c>
      <c r="H463" s="27">
        <f>IF(SUM(H34,H177)=0,"",SUM(H177)/SUM(H34,H177))</f>
        <v/>
      </c>
    </row>
    <row r="464">
      <c r="A464" t="inlineStr">
        <is>
          <t>Week2-Mar-2026</t>
        </is>
      </c>
      <c r="B464" s="27">
        <f>IF(SUM(B35,B178)=0,"",SUM(B178)/SUM(B35,B178))</f>
        <v/>
      </c>
      <c r="C464" s="27">
        <f>IF(SUM(C35,C178)=0,"",SUM(C178)/SUM(C35,C178))</f>
        <v/>
      </c>
      <c r="D464" s="27">
        <f>IF(SUM(D35,D178)=0,"",SUM(D178)/SUM(D35,D178))</f>
        <v/>
      </c>
      <c r="E464" s="27">
        <f>IF(SUM(E35,E178)=0,"",SUM(E178)/SUM(E35,E178))</f>
        <v/>
      </c>
      <c r="F464" s="27">
        <f>IF(SUM(F35,F178)=0,"",SUM(F178)/SUM(F35,F178))</f>
        <v/>
      </c>
      <c r="G464" s="27">
        <f>IF(SUM(G35,G178)=0,"",SUM(G178)/SUM(G35,G178))</f>
        <v/>
      </c>
      <c r="H464" s="27">
        <f>IF(SUM(H35,H178)=0,"",SUM(H178)/SUM(H35,H178))</f>
        <v/>
      </c>
    </row>
    <row r="465">
      <c r="A465" t="inlineStr">
        <is>
          <t>Week3-Mar-2026</t>
        </is>
      </c>
      <c r="B465" s="27">
        <f>IF(SUM(B36,B179)=0,"",SUM(B179)/SUM(B36,B179))</f>
        <v/>
      </c>
      <c r="C465" s="27">
        <f>IF(SUM(C36,C179)=0,"",SUM(C179)/SUM(C36,C179))</f>
        <v/>
      </c>
      <c r="D465" s="27">
        <f>IF(SUM(D36,D179)=0,"",SUM(D179)/SUM(D36,D179))</f>
        <v/>
      </c>
      <c r="E465" s="27">
        <f>IF(SUM(E36,E179)=0,"",SUM(E179)/SUM(E36,E179))</f>
        <v/>
      </c>
      <c r="F465" s="27">
        <f>IF(SUM(F36,F179)=0,"",SUM(F179)/SUM(F36,F179))</f>
        <v/>
      </c>
      <c r="G465" s="27">
        <f>IF(SUM(G36,G179)=0,"",SUM(G179)/SUM(G36,G179))</f>
        <v/>
      </c>
      <c r="H465" s="27">
        <f>IF(SUM(H36,H179)=0,"",SUM(H179)/SUM(H36,H179))</f>
        <v/>
      </c>
    </row>
    <row r="466">
      <c r="A466" t="inlineStr">
        <is>
          <t>Week4-Mar-2026</t>
        </is>
      </c>
      <c r="B466" s="27">
        <f>IF(SUM(B37,B180)=0,"",SUM(B180)/SUM(B37,B180))</f>
        <v/>
      </c>
      <c r="C466" s="27">
        <f>IF(SUM(C37,C180)=0,"",SUM(C180)/SUM(C37,C180))</f>
        <v/>
      </c>
      <c r="D466" s="27">
        <f>IF(SUM(D37,D180)=0,"",SUM(D180)/SUM(D37,D180))</f>
        <v/>
      </c>
      <c r="E466" s="27">
        <f>IF(SUM(E37,E180)=0,"",SUM(E180)/SUM(E37,E180))</f>
        <v/>
      </c>
      <c r="F466" s="27">
        <f>IF(SUM(F37,F180)=0,"",SUM(F180)/SUM(F37,F180))</f>
        <v/>
      </c>
      <c r="G466" s="27">
        <f>IF(SUM(G37,G180)=0,"",SUM(G180)/SUM(G37,G180))</f>
        <v/>
      </c>
      <c r="H466" s="27">
        <f>IF(SUM(H37,H180)=0,"",SUM(H180)/SUM(H37,H180))</f>
        <v/>
      </c>
    </row>
    <row r="467">
      <c r="A467" t="inlineStr">
        <is>
          <t>Week5-Mar-2026</t>
        </is>
      </c>
      <c r="B467" s="27">
        <f>IF(SUM(B38,B181)=0,"",SUM(B181)/SUM(B38,B181))</f>
        <v/>
      </c>
      <c r="C467" s="27">
        <f>IF(SUM(C38,C181)=0,"",SUM(C181)/SUM(C38,C181))</f>
        <v/>
      </c>
      <c r="D467" s="27">
        <f>IF(SUM(D38,D181)=0,"",SUM(D181)/SUM(D38,D181))</f>
        <v/>
      </c>
      <c r="E467" s="27">
        <f>IF(SUM(E38,E181)=0,"",SUM(E181)/SUM(E38,E181))</f>
        <v/>
      </c>
      <c r="F467" s="27">
        <f>IF(SUM(F38,F181)=0,"",SUM(F181)/SUM(F38,F181))</f>
        <v/>
      </c>
      <c r="G467" s="27">
        <f>IF(SUM(G38,G181)=0,"",SUM(G181)/SUM(G38,G181))</f>
        <v/>
      </c>
      <c r="H467" s="27">
        <f>IF(SUM(H38,H181)=0,"",SUM(H181)/SUM(H38,H181))</f>
        <v/>
      </c>
    </row>
    <row r="468">
      <c r="A468" t="inlineStr">
        <is>
          <t>Week1-Apr-2026</t>
        </is>
      </c>
      <c r="B468" s="27">
        <f>IF(SUM(B39,B182)=0,"",SUM(B182)/SUM(B39,B182))</f>
        <v/>
      </c>
      <c r="C468" s="27">
        <f>IF(SUM(C39,C182)=0,"",SUM(C182)/SUM(C39,C182))</f>
        <v/>
      </c>
      <c r="D468" s="27">
        <f>IF(SUM(D39,D182)=0,"",SUM(D182)/SUM(D39,D182))</f>
        <v/>
      </c>
      <c r="E468" s="27">
        <f>IF(SUM(E39,E182)=0,"",SUM(E182)/SUM(E39,E182))</f>
        <v/>
      </c>
      <c r="F468" s="27">
        <f>IF(SUM(F39,F182)=0,"",SUM(F182)/SUM(F39,F182))</f>
        <v/>
      </c>
      <c r="G468" s="27">
        <f>IF(SUM(G39,G182)=0,"",SUM(G182)/SUM(G39,G182))</f>
        <v/>
      </c>
      <c r="H468" s="27">
        <f>IF(SUM(H39,H182)=0,"",SUM(H182)/SUM(H39,H182))</f>
        <v/>
      </c>
    </row>
    <row r="469">
      <c r="A469" t="inlineStr">
        <is>
          <t>Week2-Apr-2026</t>
        </is>
      </c>
      <c r="B469" s="27">
        <f>IF(SUM(B40,B183)=0,"",SUM(B183)/SUM(B40,B183))</f>
        <v/>
      </c>
      <c r="C469" s="27">
        <f>IF(SUM(C40,C183)=0,"",SUM(C183)/SUM(C40,C183))</f>
        <v/>
      </c>
      <c r="D469" s="27">
        <f>IF(SUM(D40,D183)=0,"",SUM(D183)/SUM(D40,D183))</f>
        <v/>
      </c>
      <c r="E469" s="27">
        <f>IF(SUM(E40,E183)=0,"",SUM(E183)/SUM(E40,E183))</f>
        <v/>
      </c>
      <c r="F469" s="27">
        <f>IF(SUM(F40,F183)=0,"",SUM(F183)/SUM(F40,F183))</f>
        <v/>
      </c>
      <c r="G469" s="27">
        <f>IF(SUM(G40,G183)=0,"",SUM(G183)/SUM(G40,G183))</f>
        <v/>
      </c>
      <c r="H469" s="27">
        <f>IF(SUM(H40,H183)=0,"",SUM(H183)/SUM(H40,H183))</f>
        <v/>
      </c>
    </row>
    <row r="470">
      <c r="A470" t="inlineStr">
        <is>
          <t>Week3-Apr-2026</t>
        </is>
      </c>
      <c r="B470" s="27">
        <f>IF(SUM(B41,B184)=0,"",SUM(B184)/SUM(B41,B184))</f>
        <v/>
      </c>
      <c r="C470" s="27">
        <f>IF(SUM(C41,C184)=0,"",SUM(C184)/SUM(C41,C184))</f>
        <v/>
      </c>
      <c r="D470" s="27">
        <f>IF(SUM(D41,D184)=0,"",SUM(D184)/SUM(D41,D184))</f>
        <v/>
      </c>
      <c r="E470" s="27">
        <f>IF(SUM(E41,E184)=0,"",SUM(E184)/SUM(E41,E184))</f>
        <v/>
      </c>
      <c r="F470" s="27">
        <f>IF(SUM(F41,F184)=0,"",SUM(F184)/SUM(F41,F184))</f>
        <v/>
      </c>
      <c r="G470" s="27">
        <f>IF(SUM(G41,G184)=0,"",SUM(G184)/SUM(G41,G184))</f>
        <v/>
      </c>
      <c r="H470" s="27">
        <f>IF(SUM(H41,H184)=0,"",SUM(H184)/SUM(H41,H184))</f>
        <v/>
      </c>
    </row>
    <row r="471">
      <c r="A471" t="inlineStr">
        <is>
          <t>Week4-Apr-2026</t>
        </is>
      </c>
      <c r="B471" s="27">
        <f>IF(SUM(B42,B185)=0,"",SUM(B185)/SUM(B42,B185))</f>
        <v/>
      </c>
      <c r="C471" s="27">
        <f>IF(SUM(C42,C185)=0,"",SUM(C185)/SUM(C42,C185))</f>
        <v/>
      </c>
      <c r="D471" s="27">
        <f>IF(SUM(D42,D185)=0,"",SUM(D185)/SUM(D42,D185))</f>
        <v/>
      </c>
      <c r="E471" s="27">
        <f>IF(SUM(E42,E185)=0,"",SUM(E185)/SUM(E42,E185))</f>
        <v/>
      </c>
      <c r="F471" s="27">
        <f>IF(SUM(F42,F185)=0,"",SUM(F185)/SUM(F42,F185))</f>
        <v/>
      </c>
      <c r="G471" s="27">
        <f>IF(SUM(G42,G185)=0,"",SUM(G185)/SUM(G42,G185))</f>
        <v/>
      </c>
      <c r="H471" s="27">
        <f>IF(SUM(H42,H185)=0,"",SUM(H185)/SUM(H42,H185))</f>
        <v/>
      </c>
    </row>
    <row r="472">
      <c r="A472" t="inlineStr">
        <is>
          <t>Week5-Apr-2026</t>
        </is>
      </c>
      <c r="B472" s="27">
        <f>IF(SUM(B43,B186)=0,"",SUM(B186)/SUM(B43,B186))</f>
        <v/>
      </c>
      <c r="C472" s="27">
        <f>IF(SUM(C43,C186)=0,"",SUM(C186)/SUM(C43,C186))</f>
        <v/>
      </c>
      <c r="D472" s="27">
        <f>IF(SUM(D43,D186)=0,"",SUM(D186)/SUM(D43,D186))</f>
        <v/>
      </c>
      <c r="E472" s="27">
        <f>IF(SUM(E43,E186)=0,"",SUM(E186)/SUM(E43,E186))</f>
        <v/>
      </c>
      <c r="F472" s="27">
        <f>IF(SUM(F43,F186)=0,"",SUM(F186)/SUM(F43,F186))</f>
        <v/>
      </c>
      <c r="G472" s="27">
        <f>IF(SUM(G43,G186)=0,"",SUM(G186)/SUM(G43,G186))</f>
        <v/>
      </c>
      <c r="H472" s="27">
        <f>IF(SUM(H43,H186)=0,"",SUM(H186)/SUM(H43,H186))</f>
        <v/>
      </c>
    </row>
    <row r="473">
      <c r="A473" t="inlineStr">
        <is>
          <t>Week1-May-2026</t>
        </is>
      </c>
      <c r="B473" s="27">
        <f>IF(SUM(B44,B187)=0,"",SUM(B187)/SUM(B44,B187))</f>
        <v/>
      </c>
      <c r="C473" s="27">
        <f>IF(SUM(C44,C187)=0,"",SUM(C187)/SUM(C44,C187))</f>
        <v/>
      </c>
      <c r="D473" s="27">
        <f>IF(SUM(D44,D187)=0,"",SUM(D187)/SUM(D44,D187))</f>
        <v/>
      </c>
      <c r="E473" s="27">
        <f>IF(SUM(E44,E187)=0,"",SUM(E187)/SUM(E44,E187))</f>
        <v/>
      </c>
      <c r="F473" s="27">
        <f>IF(SUM(F44,F187)=0,"",SUM(F187)/SUM(F44,F187))</f>
        <v/>
      </c>
      <c r="G473" s="27">
        <f>IF(SUM(G44,G187)=0,"",SUM(G187)/SUM(G44,G187))</f>
        <v/>
      </c>
      <c r="H473" s="27">
        <f>IF(SUM(H44,H187)=0,"",SUM(H187)/SUM(H44,H187))</f>
        <v/>
      </c>
    </row>
    <row r="474">
      <c r="A474" t="inlineStr">
        <is>
          <t>Week2-May-2026</t>
        </is>
      </c>
      <c r="B474" s="27">
        <f>IF(SUM(B45,B188)=0,"",SUM(B188)/SUM(B45,B188))</f>
        <v/>
      </c>
      <c r="C474" s="27">
        <f>IF(SUM(C45,C188)=0,"",SUM(C188)/SUM(C45,C188))</f>
        <v/>
      </c>
      <c r="D474" s="27">
        <f>IF(SUM(D45,D188)=0,"",SUM(D188)/SUM(D45,D188))</f>
        <v/>
      </c>
      <c r="E474" s="27">
        <f>IF(SUM(E45,E188)=0,"",SUM(E188)/SUM(E45,E188))</f>
        <v/>
      </c>
      <c r="F474" s="27">
        <f>IF(SUM(F45,F188)=0,"",SUM(F188)/SUM(F45,F188))</f>
        <v/>
      </c>
      <c r="G474" s="27">
        <f>IF(SUM(G45,G188)=0,"",SUM(G188)/SUM(G45,G188))</f>
        <v/>
      </c>
      <c r="H474" s="27">
        <f>IF(SUM(H45,H188)=0,"",SUM(H188)/SUM(H45,H188))</f>
        <v/>
      </c>
    </row>
    <row r="475">
      <c r="A475" t="inlineStr">
        <is>
          <t>Week3-May-2026</t>
        </is>
      </c>
      <c r="B475" s="27">
        <f>IF(SUM(B46,B189)=0,"",SUM(B189)/SUM(B46,B189))</f>
        <v/>
      </c>
      <c r="C475" s="27">
        <f>IF(SUM(C46,C189)=0,"",SUM(C189)/SUM(C46,C189))</f>
        <v/>
      </c>
      <c r="D475" s="27">
        <f>IF(SUM(D46,D189)=0,"",SUM(D189)/SUM(D46,D189))</f>
        <v/>
      </c>
      <c r="E475" s="27">
        <f>IF(SUM(E46,E189)=0,"",SUM(E189)/SUM(E46,E189))</f>
        <v/>
      </c>
      <c r="F475" s="27">
        <f>IF(SUM(F46,F189)=0,"",SUM(F189)/SUM(F46,F189))</f>
        <v/>
      </c>
      <c r="G475" s="27">
        <f>IF(SUM(G46,G189)=0,"",SUM(G189)/SUM(G46,G189))</f>
        <v/>
      </c>
      <c r="H475" s="27">
        <f>IF(SUM(H46,H189)=0,"",SUM(H189)/SUM(H46,H189))</f>
        <v/>
      </c>
    </row>
    <row r="476">
      <c r="A476" t="inlineStr">
        <is>
          <t>Week4-May-2026</t>
        </is>
      </c>
      <c r="B476" s="27">
        <f>IF(SUM(B47,B190)=0,"",SUM(B190)/SUM(B47,B190))</f>
        <v/>
      </c>
      <c r="C476" s="27">
        <f>IF(SUM(C47,C190)=0,"",SUM(C190)/SUM(C47,C190))</f>
        <v/>
      </c>
      <c r="D476" s="27">
        <f>IF(SUM(D47,D190)=0,"",SUM(D190)/SUM(D47,D190))</f>
        <v/>
      </c>
      <c r="E476" s="27">
        <f>IF(SUM(E47,E190)=0,"",SUM(E190)/SUM(E47,E190))</f>
        <v/>
      </c>
      <c r="F476" s="27">
        <f>IF(SUM(F47,F190)=0,"",SUM(F190)/SUM(F47,F190))</f>
        <v/>
      </c>
      <c r="G476" s="27">
        <f>IF(SUM(G47,G190)=0,"",SUM(G190)/SUM(G47,G190))</f>
        <v/>
      </c>
      <c r="H476" s="27">
        <f>IF(SUM(H47,H190)=0,"",SUM(H190)/SUM(H47,H190))</f>
        <v/>
      </c>
    </row>
    <row r="477">
      <c r="A477" t="inlineStr">
        <is>
          <t>Week5-May-2026</t>
        </is>
      </c>
      <c r="B477" s="27">
        <f>IF(SUM(B48,B191)=0,"",SUM(B191)/SUM(B48,B191))</f>
        <v/>
      </c>
      <c r="C477" s="27">
        <f>IF(SUM(C48,C191)=0,"",SUM(C191)/SUM(C48,C191))</f>
        <v/>
      </c>
      <c r="D477" s="27">
        <f>IF(SUM(D48,D191)=0,"",SUM(D191)/SUM(D48,D191))</f>
        <v/>
      </c>
      <c r="E477" s="27">
        <f>IF(SUM(E48,E191)=0,"",SUM(E191)/SUM(E48,E191))</f>
        <v/>
      </c>
      <c r="F477" s="27">
        <f>IF(SUM(F48,F191)=0,"",SUM(F191)/SUM(F48,F191))</f>
        <v/>
      </c>
      <c r="G477" s="27">
        <f>IF(SUM(G48,G191)=0,"",SUM(G191)/SUM(G48,G191))</f>
        <v/>
      </c>
      <c r="H477" s="27">
        <f>IF(SUM(H48,H191)=0,"",SUM(H191)/SUM(H48,H191))</f>
        <v/>
      </c>
    </row>
    <row r="478">
      <c r="A478" t="inlineStr">
        <is>
          <t>Week1-Jun-2026</t>
        </is>
      </c>
      <c r="B478" s="27">
        <f>IF(SUM(B49,B192)=0,"",SUM(B192)/SUM(B49,B192))</f>
        <v/>
      </c>
      <c r="C478" s="27">
        <f>IF(SUM(C49,C192)=0,"",SUM(C192)/SUM(C49,C192))</f>
        <v/>
      </c>
      <c r="D478" s="27">
        <f>IF(SUM(D49,D192)=0,"",SUM(D192)/SUM(D49,D192))</f>
        <v/>
      </c>
      <c r="E478" s="27">
        <f>IF(SUM(E49,E192)=0,"",SUM(E192)/SUM(E49,E192))</f>
        <v/>
      </c>
      <c r="F478" s="27">
        <f>IF(SUM(F49,F192)=0,"",SUM(F192)/SUM(F49,F192))</f>
        <v/>
      </c>
      <c r="G478" s="27">
        <f>IF(SUM(G49,G192)=0,"",SUM(G192)/SUM(G49,G192))</f>
        <v/>
      </c>
      <c r="H478" s="27">
        <f>IF(SUM(H49,H192)=0,"",SUM(H192)/SUM(H49,H192))</f>
        <v/>
      </c>
    </row>
    <row r="479">
      <c r="A479" t="inlineStr">
        <is>
          <t>Week2-Jun-2026</t>
        </is>
      </c>
      <c r="B479" s="27">
        <f>IF(SUM(B50,B193)=0,"",SUM(B193)/SUM(B50,B193))</f>
        <v/>
      </c>
      <c r="C479" s="27">
        <f>IF(SUM(C50,C193)=0,"",SUM(C193)/SUM(C50,C193))</f>
        <v/>
      </c>
      <c r="D479" s="27">
        <f>IF(SUM(D50,D193)=0,"",SUM(D193)/SUM(D50,D193))</f>
        <v/>
      </c>
      <c r="E479" s="27">
        <f>IF(SUM(E50,E193)=0,"",SUM(E193)/SUM(E50,E193))</f>
        <v/>
      </c>
      <c r="F479" s="27">
        <f>IF(SUM(F50,F193)=0,"",SUM(F193)/SUM(F50,F193))</f>
        <v/>
      </c>
      <c r="G479" s="27">
        <f>IF(SUM(G50,G193)=0,"",SUM(G193)/SUM(G50,G193))</f>
        <v/>
      </c>
      <c r="H479" s="27">
        <f>IF(SUM(H50,H193)=0,"",SUM(H193)/SUM(H50,H193))</f>
        <v/>
      </c>
    </row>
    <row r="480">
      <c r="A480" t="inlineStr">
        <is>
          <t>Week3-Jun-2026</t>
        </is>
      </c>
      <c r="B480" s="27">
        <f>IF(SUM(B51,B194)=0,"",SUM(B194)/SUM(B51,B194))</f>
        <v/>
      </c>
      <c r="C480" s="27">
        <f>IF(SUM(C51,C194)=0,"",SUM(C194)/SUM(C51,C194))</f>
        <v/>
      </c>
      <c r="D480" s="27">
        <f>IF(SUM(D51,D194)=0,"",SUM(D194)/SUM(D51,D194))</f>
        <v/>
      </c>
      <c r="E480" s="27">
        <f>IF(SUM(E51,E194)=0,"",SUM(E194)/SUM(E51,E194))</f>
        <v/>
      </c>
      <c r="F480" s="27">
        <f>IF(SUM(F51,F194)=0,"",SUM(F194)/SUM(F51,F194))</f>
        <v/>
      </c>
      <c r="G480" s="27">
        <f>IF(SUM(G51,G194)=0,"",SUM(G194)/SUM(G51,G194))</f>
        <v/>
      </c>
      <c r="H480" s="27">
        <f>IF(SUM(H51,H194)=0,"",SUM(H194)/SUM(H51,H194))</f>
        <v/>
      </c>
    </row>
    <row r="481">
      <c r="A481" t="inlineStr">
        <is>
          <t>Week4-Jun-2026</t>
        </is>
      </c>
      <c r="B481" s="27">
        <f>IF(SUM(B52,B195)=0,"",SUM(B195)/SUM(B52,B195))</f>
        <v/>
      </c>
      <c r="C481" s="27">
        <f>IF(SUM(C52,C195)=0,"",SUM(C195)/SUM(C52,C195))</f>
        <v/>
      </c>
      <c r="D481" s="27">
        <f>IF(SUM(D52,D195)=0,"",SUM(D195)/SUM(D52,D195))</f>
        <v/>
      </c>
      <c r="E481" s="27">
        <f>IF(SUM(E52,E195)=0,"",SUM(E195)/SUM(E52,E195))</f>
        <v/>
      </c>
      <c r="F481" s="27">
        <f>IF(SUM(F52,F195)=0,"",SUM(F195)/SUM(F52,F195))</f>
        <v/>
      </c>
      <c r="G481" s="27">
        <f>IF(SUM(G52,G195)=0,"",SUM(G195)/SUM(G52,G195))</f>
        <v/>
      </c>
      <c r="H481" s="27">
        <f>IF(SUM(H52,H195)=0,"",SUM(H195)/SUM(H52,H195))</f>
        <v/>
      </c>
    </row>
    <row r="482">
      <c r="A482" t="inlineStr">
        <is>
          <t>Week5-Jun-2026</t>
        </is>
      </c>
      <c r="B482" s="27">
        <f>IF(SUM(B53,B196)=0,"",SUM(B196)/SUM(B53,B196))</f>
        <v/>
      </c>
      <c r="C482" s="27">
        <f>IF(SUM(C53,C196)=0,"",SUM(C196)/SUM(C53,C196))</f>
        <v/>
      </c>
      <c r="D482" s="27">
        <f>IF(SUM(D53,D196)=0,"",SUM(D196)/SUM(D53,D196))</f>
        <v/>
      </c>
      <c r="E482" s="27">
        <f>IF(SUM(E53,E196)=0,"",SUM(E196)/SUM(E53,E196))</f>
        <v/>
      </c>
      <c r="F482" s="27">
        <f>IF(SUM(F53,F196)=0,"",SUM(F196)/SUM(F53,F196))</f>
        <v/>
      </c>
      <c r="G482" s="27">
        <f>IF(SUM(G53,G196)=0,"",SUM(G196)/SUM(G53,G196))</f>
        <v/>
      </c>
      <c r="H482" s="27">
        <f>IF(SUM(H53,H196)=0,"",SUM(H196)/SUM(H53,H196))</f>
        <v/>
      </c>
    </row>
    <row r="483">
      <c r="A483" t="inlineStr">
        <is>
          <t>Week1-Jul-2026</t>
        </is>
      </c>
      <c r="B483" s="27">
        <f>IF(SUM(B54,B197)=0,"",SUM(B197)/SUM(B54,B197))</f>
        <v/>
      </c>
      <c r="C483" s="27">
        <f>IF(SUM(C54,C197)=0,"",SUM(C197)/SUM(C54,C197))</f>
        <v/>
      </c>
      <c r="D483" s="27">
        <f>IF(SUM(D54,D197)=0,"",SUM(D197)/SUM(D54,D197))</f>
        <v/>
      </c>
      <c r="E483" s="27">
        <f>IF(SUM(E54,E197)=0,"",SUM(E197)/SUM(E54,E197))</f>
        <v/>
      </c>
      <c r="F483" s="27">
        <f>IF(SUM(F54,F197)=0,"",SUM(F197)/SUM(F54,F197))</f>
        <v/>
      </c>
      <c r="G483" s="27">
        <f>IF(SUM(G54,G197)=0,"",SUM(G197)/SUM(G54,G197))</f>
        <v/>
      </c>
      <c r="H483" s="27">
        <f>IF(SUM(H54,H197)=0,"",SUM(H197)/SUM(H54,H197))</f>
        <v/>
      </c>
    </row>
    <row r="484">
      <c r="A484" t="inlineStr">
        <is>
          <t>Week2-Jul-2026</t>
        </is>
      </c>
      <c r="B484" s="27">
        <f>IF(SUM(B55,B198)=0,"",SUM(B198)/SUM(B55,B198))</f>
        <v/>
      </c>
      <c r="C484" s="27">
        <f>IF(SUM(C55,C198)=0,"",SUM(C198)/SUM(C55,C198))</f>
        <v/>
      </c>
      <c r="D484" s="27">
        <f>IF(SUM(D55,D198)=0,"",SUM(D198)/SUM(D55,D198))</f>
        <v/>
      </c>
      <c r="E484" s="27">
        <f>IF(SUM(E55,E198)=0,"",SUM(E198)/SUM(E55,E198))</f>
        <v/>
      </c>
      <c r="F484" s="27">
        <f>IF(SUM(F55,F198)=0,"",SUM(F198)/SUM(F55,F198))</f>
        <v/>
      </c>
      <c r="G484" s="27">
        <f>IF(SUM(G55,G198)=0,"",SUM(G198)/SUM(G55,G198))</f>
        <v/>
      </c>
      <c r="H484" s="27">
        <f>IF(SUM(H55,H198)=0,"",SUM(H198)/SUM(H55,H198))</f>
        <v/>
      </c>
    </row>
    <row r="485">
      <c r="A485" t="inlineStr">
        <is>
          <t>Week3-Jul-2026</t>
        </is>
      </c>
      <c r="B485" s="27">
        <f>IF(SUM(B56,B199)=0,"",SUM(B199)/SUM(B56,B199))</f>
        <v/>
      </c>
      <c r="C485" s="27">
        <f>IF(SUM(C56,C199)=0,"",SUM(C199)/SUM(C56,C199))</f>
        <v/>
      </c>
      <c r="D485" s="27">
        <f>IF(SUM(D56,D199)=0,"",SUM(D199)/SUM(D56,D199))</f>
        <v/>
      </c>
      <c r="E485" s="27">
        <f>IF(SUM(E56,E199)=0,"",SUM(E199)/SUM(E56,E199))</f>
        <v/>
      </c>
      <c r="F485" s="27">
        <f>IF(SUM(F56,F199)=0,"",SUM(F199)/SUM(F56,F199))</f>
        <v/>
      </c>
      <c r="G485" s="27">
        <f>IF(SUM(G56,G199)=0,"",SUM(G199)/SUM(G56,G199))</f>
        <v/>
      </c>
      <c r="H485" s="27">
        <f>IF(SUM(H56,H199)=0,"",SUM(H199)/SUM(H56,H199))</f>
        <v/>
      </c>
    </row>
    <row r="486">
      <c r="A486" t="inlineStr">
        <is>
          <t>Week4-Jul-2026</t>
        </is>
      </c>
      <c r="B486" s="27">
        <f>IF(SUM(B57,B200)=0,"",SUM(B200)/SUM(B57,B200))</f>
        <v/>
      </c>
      <c r="C486" s="27">
        <f>IF(SUM(C57,C200)=0,"",SUM(C200)/SUM(C57,C200))</f>
        <v/>
      </c>
      <c r="D486" s="27">
        <f>IF(SUM(D57,D200)=0,"",SUM(D200)/SUM(D57,D200))</f>
        <v/>
      </c>
      <c r="E486" s="27">
        <f>IF(SUM(E57,E200)=0,"",SUM(E200)/SUM(E57,E200))</f>
        <v/>
      </c>
      <c r="F486" s="27">
        <f>IF(SUM(F57,F200)=0,"",SUM(F200)/SUM(F57,F200))</f>
        <v/>
      </c>
      <c r="G486" s="27">
        <f>IF(SUM(G57,G200)=0,"",SUM(G200)/SUM(G57,G200))</f>
        <v/>
      </c>
      <c r="H486" s="27">
        <f>IF(SUM(H57,H200)=0,"",SUM(H200)/SUM(H57,H200))</f>
        <v/>
      </c>
    </row>
    <row r="487">
      <c r="A487" t="inlineStr">
        <is>
          <t>Week5-Jul-2026</t>
        </is>
      </c>
      <c r="B487" s="27">
        <f>IF(SUM(B58,B201)=0,"",SUM(B201)/SUM(B58,B201))</f>
        <v/>
      </c>
      <c r="C487" s="27">
        <f>IF(SUM(C58,C201)=0,"",SUM(C201)/SUM(C58,C201))</f>
        <v/>
      </c>
      <c r="D487" s="27">
        <f>IF(SUM(D58,D201)=0,"",SUM(D201)/SUM(D58,D201))</f>
        <v/>
      </c>
      <c r="E487" s="27">
        <f>IF(SUM(E58,E201)=0,"",SUM(E201)/SUM(E58,E201))</f>
        <v/>
      </c>
      <c r="F487" s="27">
        <f>IF(SUM(F58,F201)=0,"",SUM(F201)/SUM(F58,F201))</f>
        <v/>
      </c>
      <c r="G487" s="27">
        <f>IF(SUM(G58,G201)=0,"",SUM(G201)/SUM(G58,G201))</f>
        <v/>
      </c>
      <c r="H487" s="27">
        <f>IF(SUM(H58,H201)=0,"",SUM(H201)/SUM(H58,H201))</f>
        <v/>
      </c>
    </row>
    <row r="488">
      <c r="A488" t="inlineStr">
        <is>
          <t>Week1-Aug-2026</t>
        </is>
      </c>
      <c r="B488" s="27">
        <f>IF(SUM(B59,B202)=0,"",SUM(B202)/SUM(B59,B202))</f>
        <v/>
      </c>
      <c r="C488" s="27">
        <f>IF(SUM(C59,C202)=0,"",SUM(C202)/SUM(C59,C202))</f>
        <v/>
      </c>
      <c r="D488" s="27">
        <f>IF(SUM(D59,D202)=0,"",SUM(D202)/SUM(D59,D202))</f>
        <v/>
      </c>
      <c r="E488" s="27">
        <f>IF(SUM(E59,E202)=0,"",SUM(E202)/SUM(E59,E202))</f>
        <v/>
      </c>
      <c r="F488" s="27">
        <f>IF(SUM(F59,F202)=0,"",SUM(F202)/SUM(F59,F202))</f>
        <v/>
      </c>
      <c r="G488" s="27">
        <f>IF(SUM(G59,G202)=0,"",SUM(G202)/SUM(G59,G202))</f>
        <v/>
      </c>
      <c r="H488" s="27">
        <f>IF(SUM(H59,H202)=0,"",SUM(H202)/SUM(H59,H202))</f>
        <v/>
      </c>
    </row>
    <row r="489" hidden="1" outlineLevel="1">
      <c r="A489" t="inlineStr">
        <is>
          <t>Week2-Aug-2026</t>
        </is>
      </c>
      <c r="B489" s="27">
        <f>IF(SUM(B60,B203)=0,"",SUM(B203)/SUM(B60,B203))</f>
        <v/>
      </c>
      <c r="C489" s="27">
        <f>IF(SUM(C60,C203)=0,"",SUM(C203)/SUM(C60,C203))</f>
        <v/>
      </c>
      <c r="D489" s="27">
        <f>IF(SUM(D60,D203)=0,"",SUM(D203)/SUM(D60,D203))</f>
        <v/>
      </c>
      <c r="E489" s="27">
        <f>IF(SUM(E60,E203)=0,"",SUM(E203)/SUM(E60,E203))</f>
        <v/>
      </c>
      <c r="F489" s="27">
        <f>IF(SUM(F60,F203)=0,"",SUM(F203)/SUM(F60,F203))</f>
        <v/>
      </c>
      <c r="G489" s="27">
        <f>IF(SUM(G60,G203)=0,"",SUM(G203)/SUM(G60,G203))</f>
        <v/>
      </c>
      <c r="H489" s="27">
        <f>IF(SUM(H60,H203)=0,"",SUM(H203)/SUM(H60,H203))</f>
        <v/>
      </c>
    </row>
    <row r="490" hidden="1" outlineLevel="1">
      <c r="A490" t="inlineStr">
        <is>
          <t>Week3-Aug-2026</t>
        </is>
      </c>
      <c r="B490" s="27">
        <f>IF(SUM(B61,B204)=0,"",SUM(B204)/SUM(B61,B204))</f>
        <v/>
      </c>
      <c r="C490" s="27">
        <f>IF(SUM(C61,C204)=0,"",SUM(C204)/SUM(C61,C204))</f>
        <v/>
      </c>
      <c r="D490" s="27">
        <f>IF(SUM(D61,D204)=0,"",SUM(D204)/SUM(D61,D204))</f>
        <v/>
      </c>
      <c r="E490" s="27">
        <f>IF(SUM(E61,E204)=0,"",SUM(E204)/SUM(E61,E204))</f>
        <v/>
      </c>
      <c r="F490" s="27">
        <f>IF(SUM(F61,F204)=0,"",SUM(F204)/SUM(F61,F204))</f>
        <v/>
      </c>
      <c r="G490" s="27">
        <f>IF(SUM(G61,G204)=0,"",SUM(G204)/SUM(G61,G204))</f>
        <v/>
      </c>
      <c r="H490" s="27">
        <f>IF(SUM(H61,H204)=0,"",SUM(H204)/SUM(H61,H204))</f>
        <v/>
      </c>
    </row>
    <row r="491" hidden="1" outlineLevel="1">
      <c r="A491" t="inlineStr">
        <is>
          <t>Week4-Aug-2026</t>
        </is>
      </c>
      <c r="B491" s="27">
        <f>IF(SUM(B62,B205)=0,"",SUM(B205)/SUM(B62,B205))</f>
        <v/>
      </c>
      <c r="C491" s="27">
        <f>IF(SUM(C62,C205)=0,"",SUM(C205)/SUM(C62,C205))</f>
        <v/>
      </c>
      <c r="D491" s="27">
        <f>IF(SUM(D62,D205)=0,"",SUM(D205)/SUM(D62,D205))</f>
        <v/>
      </c>
      <c r="E491" s="27">
        <f>IF(SUM(E62,E205)=0,"",SUM(E205)/SUM(E62,E205))</f>
        <v/>
      </c>
      <c r="F491" s="27">
        <f>IF(SUM(F62,F205)=0,"",SUM(F205)/SUM(F62,F205))</f>
        <v/>
      </c>
      <c r="G491" s="27">
        <f>IF(SUM(G62,G205)=0,"",SUM(G205)/SUM(G62,G205))</f>
        <v/>
      </c>
      <c r="H491" s="27">
        <f>IF(SUM(H62,H205)=0,"",SUM(H205)/SUM(H62,H205))</f>
        <v/>
      </c>
    </row>
    <row r="492" hidden="1" outlineLevel="1">
      <c r="A492" t="inlineStr">
        <is>
          <t>Week5-Aug-2026</t>
        </is>
      </c>
      <c r="B492" s="27">
        <f>IF(SUM(B63,B206)=0,"",SUM(B206)/SUM(B63,B206))</f>
        <v/>
      </c>
      <c r="C492" s="27">
        <f>IF(SUM(C63,C206)=0,"",SUM(C206)/SUM(C63,C206))</f>
        <v/>
      </c>
      <c r="D492" s="27">
        <f>IF(SUM(D63,D206)=0,"",SUM(D206)/SUM(D63,D206))</f>
        <v/>
      </c>
      <c r="E492" s="27">
        <f>IF(SUM(E63,E206)=0,"",SUM(E206)/SUM(E63,E206))</f>
        <v/>
      </c>
      <c r="F492" s="27">
        <f>IF(SUM(F63,F206)=0,"",SUM(F206)/SUM(F63,F206))</f>
        <v/>
      </c>
      <c r="G492" s="27">
        <f>IF(SUM(G63,G206)=0,"",SUM(G206)/SUM(G63,G206))</f>
        <v/>
      </c>
      <c r="H492" s="27">
        <f>IF(SUM(H63,H206)=0,"",SUM(H206)/SUM(H63,H206))</f>
        <v/>
      </c>
    </row>
    <row r="493" hidden="1" outlineLevel="1">
      <c r="A493" t="inlineStr">
        <is>
          <t>Week1-Sep-2026</t>
        </is>
      </c>
      <c r="B493" s="27">
        <f>IF(SUM(B64,B207)=0,"",SUM(B207)/SUM(B64,B207))</f>
        <v/>
      </c>
      <c r="C493" s="27">
        <f>IF(SUM(C64,C207)=0,"",SUM(C207)/SUM(C64,C207))</f>
        <v/>
      </c>
      <c r="D493" s="27">
        <f>IF(SUM(D64,D207)=0,"",SUM(D207)/SUM(D64,D207))</f>
        <v/>
      </c>
      <c r="E493" s="27">
        <f>IF(SUM(E64,E207)=0,"",SUM(E207)/SUM(E64,E207))</f>
        <v/>
      </c>
      <c r="F493" s="27">
        <f>IF(SUM(F64,F207)=0,"",SUM(F207)/SUM(F64,F207))</f>
        <v/>
      </c>
      <c r="G493" s="27">
        <f>IF(SUM(G64,G207)=0,"",SUM(G207)/SUM(G64,G207))</f>
        <v/>
      </c>
      <c r="H493" s="27">
        <f>IF(SUM(H64,H207)=0,"",SUM(H207)/SUM(H64,H207))</f>
        <v/>
      </c>
    </row>
    <row r="494" hidden="1" outlineLevel="1">
      <c r="A494" t="inlineStr">
        <is>
          <t>Week2-Sep-2026</t>
        </is>
      </c>
      <c r="B494" s="27">
        <f>IF(SUM(B65,B208)=0,"",SUM(B208)/SUM(B65,B208))</f>
        <v/>
      </c>
      <c r="C494" s="27">
        <f>IF(SUM(C65,C208)=0,"",SUM(C208)/SUM(C65,C208))</f>
        <v/>
      </c>
      <c r="D494" s="27">
        <f>IF(SUM(D65,D208)=0,"",SUM(D208)/SUM(D65,D208))</f>
        <v/>
      </c>
      <c r="E494" s="27">
        <f>IF(SUM(E65,E208)=0,"",SUM(E208)/SUM(E65,E208))</f>
        <v/>
      </c>
      <c r="F494" s="27">
        <f>IF(SUM(F65,F208)=0,"",SUM(F208)/SUM(F65,F208))</f>
        <v/>
      </c>
      <c r="G494" s="27">
        <f>IF(SUM(G65,G208)=0,"",SUM(G208)/SUM(G65,G208))</f>
        <v/>
      </c>
      <c r="H494" s="27">
        <f>IF(SUM(H65,H208)=0,"",SUM(H208)/SUM(H65,H208))</f>
        <v/>
      </c>
    </row>
    <row r="495" hidden="1" outlineLevel="1">
      <c r="A495" t="inlineStr">
        <is>
          <t>Week3-Sep-2026</t>
        </is>
      </c>
      <c r="B495" s="27">
        <f>IF(SUM(B66,B209)=0,"",SUM(B209)/SUM(B66,B209))</f>
        <v/>
      </c>
      <c r="C495" s="27">
        <f>IF(SUM(C66,C209)=0,"",SUM(C209)/SUM(C66,C209))</f>
        <v/>
      </c>
      <c r="D495" s="27">
        <f>IF(SUM(D66,D209)=0,"",SUM(D209)/SUM(D66,D209))</f>
        <v/>
      </c>
      <c r="E495" s="27">
        <f>IF(SUM(E66,E209)=0,"",SUM(E209)/SUM(E66,E209))</f>
        <v/>
      </c>
      <c r="F495" s="27">
        <f>IF(SUM(F66,F209)=0,"",SUM(F209)/SUM(F66,F209))</f>
        <v/>
      </c>
      <c r="G495" s="27">
        <f>IF(SUM(G66,G209)=0,"",SUM(G209)/SUM(G66,G209))</f>
        <v/>
      </c>
      <c r="H495" s="27">
        <f>IF(SUM(H66,H209)=0,"",SUM(H209)/SUM(H66,H209))</f>
        <v/>
      </c>
    </row>
    <row r="496" hidden="1" outlineLevel="1">
      <c r="A496" t="inlineStr">
        <is>
          <t>Week4-Sep-2026</t>
        </is>
      </c>
      <c r="B496" s="27">
        <f>IF(SUM(B67,B210)=0,"",SUM(B210)/SUM(B67,B210))</f>
        <v/>
      </c>
      <c r="C496" s="27">
        <f>IF(SUM(C67,C210)=0,"",SUM(C210)/SUM(C67,C210))</f>
        <v/>
      </c>
      <c r="D496" s="27">
        <f>IF(SUM(D67,D210)=0,"",SUM(D210)/SUM(D67,D210))</f>
        <v/>
      </c>
      <c r="E496" s="27">
        <f>IF(SUM(E67,E210)=0,"",SUM(E210)/SUM(E67,E210))</f>
        <v/>
      </c>
      <c r="F496" s="27">
        <f>IF(SUM(F67,F210)=0,"",SUM(F210)/SUM(F67,F210))</f>
        <v/>
      </c>
      <c r="G496" s="27">
        <f>IF(SUM(G67,G210)=0,"",SUM(G210)/SUM(G67,G210))</f>
        <v/>
      </c>
      <c r="H496" s="27">
        <f>IF(SUM(H67,H210)=0,"",SUM(H210)/SUM(H67,H210))</f>
        <v/>
      </c>
    </row>
    <row r="497" hidden="1" outlineLevel="1">
      <c r="A497" t="inlineStr">
        <is>
          <t>Week5-Sep-2026</t>
        </is>
      </c>
      <c r="B497" s="27">
        <f>IF(SUM(B68,B211)=0,"",SUM(B211)/SUM(B68,B211))</f>
        <v/>
      </c>
      <c r="C497" s="27">
        <f>IF(SUM(C68,C211)=0,"",SUM(C211)/SUM(C68,C211))</f>
        <v/>
      </c>
      <c r="D497" s="27">
        <f>IF(SUM(D68,D211)=0,"",SUM(D211)/SUM(D68,D211))</f>
        <v/>
      </c>
      <c r="E497" s="27">
        <f>IF(SUM(E68,E211)=0,"",SUM(E211)/SUM(E68,E211))</f>
        <v/>
      </c>
      <c r="F497" s="27">
        <f>IF(SUM(F68,F211)=0,"",SUM(F211)/SUM(F68,F211))</f>
        <v/>
      </c>
      <c r="G497" s="27">
        <f>IF(SUM(G68,G211)=0,"",SUM(G211)/SUM(G68,G211))</f>
        <v/>
      </c>
      <c r="H497" s="27">
        <f>IF(SUM(H68,H211)=0,"",SUM(H211)/SUM(H68,H211))</f>
        <v/>
      </c>
    </row>
    <row r="498" hidden="1" outlineLevel="1">
      <c r="A498" t="inlineStr">
        <is>
          <t>Week1-Oct-2026</t>
        </is>
      </c>
      <c r="B498" s="27">
        <f>IF(SUM(B69,B212)=0,"",SUM(B212)/SUM(B69,B212))</f>
        <v/>
      </c>
      <c r="C498" s="27">
        <f>IF(SUM(C69,C212)=0,"",SUM(C212)/SUM(C69,C212))</f>
        <v/>
      </c>
      <c r="D498" s="27">
        <f>IF(SUM(D69,D212)=0,"",SUM(D212)/SUM(D69,D212))</f>
        <v/>
      </c>
      <c r="E498" s="27">
        <f>IF(SUM(E69,E212)=0,"",SUM(E212)/SUM(E69,E212))</f>
        <v/>
      </c>
      <c r="F498" s="27">
        <f>IF(SUM(F69,F212)=0,"",SUM(F212)/SUM(F69,F212))</f>
        <v/>
      </c>
      <c r="G498" s="27">
        <f>IF(SUM(G69,G212)=0,"",SUM(G212)/SUM(G69,G212))</f>
        <v/>
      </c>
      <c r="H498" s="27">
        <f>IF(SUM(H69,H212)=0,"",SUM(H212)/SUM(H69,H212))</f>
        <v/>
      </c>
    </row>
    <row r="499" hidden="1" outlineLevel="1">
      <c r="A499" t="inlineStr">
        <is>
          <t>Week2-Oct-2026</t>
        </is>
      </c>
      <c r="B499" s="27">
        <f>IF(SUM(B70,B213)=0,"",SUM(B213)/SUM(B70,B213))</f>
        <v/>
      </c>
      <c r="C499" s="27">
        <f>IF(SUM(C70,C213)=0,"",SUM(C213)/SUM(C70,C213))</f>
        <v/>
      </c>
      <c r="D499" s="27">
        <f>IF(SUM(D70,D213)=0,"",SUM(D213)/SUM(D70,D213))</f>
        <v/>
      </c>
      <c r="E499" s="27">
        <f>IF(SUM(E70,E213)=0,"",SUM(E213)/SUM(E70,E213))</f>
        <v/>
      </c>
      <c r="F499" s="27">
        <f>IF(SUM(F70,F213)=0,"",SUM(F213)/SUM(F70,F213))</f>
        <v/>
      </c>
      <c r="G499" s="27">
        <f>IF(SUM(G70,G213)=0,"",SUM(G213)/SUM(G70,G213))</f>
        <v/>
      </c>
      <c r="H499" s="27">
        <f>IF(SUM(H70,H213)=0,"",SUM(H213)/SUM(H70,H213))</f>
        <v/>
      </c>
    </row>
    <row r="500" hidden="1" outlineLevel="1">
      <c r="A500" t="inlineStr">
        <is>
          <t>Week3-Oct-2026</t>
        </is>
      </c>
      <c r="B500" s="27">
        <f>IF(SUM(B71,B214)=0,"",SUM(B214)/SUM(B71,B214))</f>
        <v/>
      </c>
      <c r="C500" s="27">
        <f>IF(SUM(C71,C214)=0,"",SUM(C214)/SUM(C71,C214))</f>
        <v/>
      </c>
      <c r="D500" s="27">
        <f>IF(SUM(D71,D214)=0,"",SUM(D214)/SUM(D71,D214))</f>
        <v/>
      </c>
      <c r="E500" s="27">
        <f>IF(SUM(E71,E214)=0,"",SUM(E214)/SUM(E71,E214))</f>
        <v/>
      </c>
      <c r="F500" s="27">
        <f>IF(SUM(F71,F214)=0,"",SUM(F214)/SUM(F71,F214))</f>
        <v/>
      </c>
      <c r="G500" s="27">
        <f>IF(SUM(G71,G214)=0,"",SUM(G214)/SUM(G71,G214))</f>
        <v/>
      </c>
      <c r="H500" s="27">
        <f>IF(SUM(H71,H214)=0,"",SUM(H214)/SUM(H71,H214))</f>
        <v/>
      </c>
    </row>
    <row r="501" hidden="1" outlineLevel="1">
      <c r="A501" t="inlineStr">
        <is>
          <t>Week4-Oct-2026</t>
        </is>
      </c>
      <c r="B501" s="27">
        <f>IF(SUM(B72,B215)=0,"",SUM(B215)/SUM(B72,B215))</f>
        <v/>
      </c>
      <c r="C501" s="27">
        <f>IF(SUM(C72,C215)=0,"",SUM(C215)/SUM(C72,C215))</f>
        <v/>
      </c>
      <c r="D501" s="27">
        <f>IF(SUM(D72,D215)=0,"",SUM(D215)/SUM(D72,D215))</f>
        <v/>
      </c>
      <c r="E501" s="27">
        <f>IF(SUM(E72,E215)=0,"",SUM(E215)/SUM(E72,E215))</f>
        <v/>
      </c>
      <c r="F501" s="27">
        <f>IF(SUM(F72,F215)=0,"",SUM(F215)/SUM(F72,F215))</f>
        <v/>
      </c>
      <c r="G501" s="27">
        <f>IF(SUM(G72,G215)=0,"",SUM(G215)/SUM(G72,G215))</f>
        <v/>
      </c>
      <c r="H501" s="27">
        <f>IF(SUM(H72,H215)=0,"",SUM(H215)/SUM(H72,H215))</f>
        <v/>
      </c>
    </row>
    <row r="502" hidden="1" outlineLevel="1">
      <c r="A502" t="inlineStr">
        <is>
          <t>Week5-Oct-2026</t>
        </is>
      </c>
      <c r="B502" s="27">
        <f>IF(SUM(B73,B216)=0,"",SUM(B216)/SUM(B73,B216))</f>
        <v/>
      </c>
      <c r="C502" s="27">
        <f>IF(SUM(C73,C216)=0,"",SUM(C216)/SUM(C73,C216))</f>
        <v/>
      </c>
      <c r="D502" s="27">
        <f>IF(SUM(D73,D216)=0,"",SUM(D216)/SUM(D73,D216))</f>
        <v/>
      </c>
      <c r="E502" s="27">
        <f>IF(SUM(E73,E216)=0,"",SUM(E216)/SUM(E73,E216))</f>
        <v/>
      </c>
      <c r="F502" s="27">
        <f>IF(SUM(F73,F216)=0,"",SUM(F216)/SUM(F73,F216))</f>
        <v/>
      </c>
      <c r="G502" s="27">
        <f>IF(SUM(G73,G216)=0,"",SUM(G216)/SUM(G73,G216))</f>
        <v/>
      </c>
      <c r="H502" s="27">
        <f>IF(SUM(H73,H216)=0,"",SUM(H216)/SUM(H73,H216))</f>
        <v/>
      </c>
    </row>
    <row r="503" hidden="1" outlineLevel="1">
      <c r="A503" t="inlineStr">
        <is>
          <t>Week1-Nov-2026</t>
        </is>
      </c>
      <c r="B503" s="27">
        <f>IF(SUM(B74,B217)=0,"",SUM(B217)/SUM(B74,B217))</f>
        <v/>
      </c>
      <c r="C503" s="27">
        <f>IF(SUM(C74,C217)=0,"",SUM(C217)/SUM(C74,C217))</f>
        <v/>
      </c>
      <c r="D503" s="27">
        <f>IF(SUM(D74,D217)=0,"",SUM(D217)/SUM(D74,D217))</f>
        <v/>
      </c>
      <c r="E503" s="27">
        <f>IF(SUM(E74,E217)=0,"",SUM(E217)/SUM(E74,E217))</f>
        <v/>
      </c>
      <c r="F503" s="27">
        <f>IF(SUM(F74,F217)=0,"",SUM(F217)/SUM(F74,F217))</f>
        <v/>
      </c>
      <c r="G503" s="27">
        <f>IF(SUM(G74,G217)=0,"",SUM(G217)/SUM(G74,G217))</f>
        <v/>
      </c>
      <c r="H503" s="27">
        <f>IF(SUM(H74,H217)=0,"",SUM(H217)/SUM(H74,H217))</f>
        <v/>
      </c>
    </row>
    <row r="504" hidden="1" outlineLevel="1">
      <c r="A504" t="inlineStr">
        <is>
          <t>Week2-Nov-2026</t>
        </is>
      </c>
      <c r="B504" s="27">
        <f>IF(SUM(B75,B218)=0,"",SUM(B218)/SUM(B75,B218))</f>
        <v/>
      </c>
      <c r="C504" s="27">
        <f>IF(SUM(C75,C218)=0,"",SUM(C218)/SUM(C75,C218))</f>
        <v/>
      </c>
      <c r="D504" s="27">
        <f>IF(SUM(D75,D218)=0,"",SUM(D218)/SUM(D75,D218))</f>
        <v/>
      </c>
      <c r="E504" s="27">
        <f>IF(SUM(E75,E218)=0,"",SUM(E218)/SUM(E75,E218))</f>
        <v/>
      </c>
      <c r="F504" s="27">
        <f>IF(SUM(F75,F218)=0,"",SUM(F218)/SUM(F75,F218))</f>
        <v/>
      </c>
      <c r="G504" s="27">
        <f>IF(SUM(G75,G218)=0,"",SUM(G218)/SUM(G75,G218))</f>
        <v/>
      </c>
      <c r="H504" s="27">
        <f>IF(SUM(H75,H218)=0,"",SUM(H218)/SUM(H75,H218))</f>
        <v/>
      </c>
    </row>
    <row r="505" hidden="1" outlineLevel="1">
      <c r="A505" t="inlineStr">
        <is>
          <t>Week3-Nov-2026</t>
        </is>
      </c>
      <c r="B505" s="27">
        <f>IF(SUM(B76,B219)=0,"",SUM(B219)/SUM(B76,B219))</f>
        <v/>
      </c>
      <c r="C505" s="27">
        <f>IF(SUM(C76,C219)=0,"",SUM(C219)/SUM(C76,C219))</f>
        <v/>
      </c>
      <c r="D505" s="27">
        <f>IF(SUM(D76,D219)=0,"",SUM(D219)/SUM(D76,D219))</f>
        <v/>
      </c>
      <c r="E505" s="27">
        <f>IF(SUM(E76,E219)=0,"",SUM(E219)/SUM(E76,E219))</f>
        <v/>
      </c>
      <c r="F505" s="27">
        <f>IF(SUM(F76,F219)=0,"",SUM(F219)/SUM(F76,F219))</f>
        <v/>
      </c>
      <c r="G505" s="27">
        <f>IF(SUM(G76,G219)=0,"",SUM(G219)/SUM(G76,G219))</f>
        <v/>
      </c>
      <c r="H505" s="27">
        <f>IF(SUM(H76,H219)=0,"",SUM(H219)/SUM(H76,H219))</f>
        <v/>
      </c>
    </row>
    <row r="506" hidden="1" outlineLevel="1">
      <c r="A506" t="inlineStr">
        <is>
          <t>Week4-Nov-2026</t>
        </is>
      </c>
      <c r="B506" s="27">
        <f>IF(SUM(B77,B220)=0,"",SUM(B220)/SUM(B77,B220))</f>
        <v/>
      </c>
      <c r="C506" s="27">
        <f>IF(SUM(C77,C220)=0,"",SUM(C220)/SUM(C77,C220))</f>
        <v/>
      </c>
      <c r="D506" s="27">
        <f>IF(SUM(D77,D220)=0,"",SUM(D220)/SUM(D77,D220))</f>
        <v/>
      </c>
      <c r="E506" s="27">
        <f>IF(SUM(E77,E220)=0,"",SUM(E220)/SUM(E77,E220))</f>
        <v/>
      </c>
      <c r="F506" s="27">
        <f>IF(SUM(F77,F220)=0,"",SUM(F220)/SUM(F77,F220))</f>
        <v/>
      </c>
      <c r="G506" s="27">
        <f>IF(SUM(G77,G220)=0,"",SUM(G220)/SUM(G77,G220))</f>
        <v/>
      </c>
      <c r="H506" s="27">
        <f>IF(SUM(H77,H220)=0,"",SUM(H220)/SUM(H77,H220))</f>
        <v/>
      </c>
    </row>
    <row r="507" hidden="1" outlineLevel="1">
      <c r="A507" t="inlineStr">
        <is>
          <t>Week5-Nov-2026</t>
        </is>
      </c>
      <c r="B507" s="27">
        <f>IF(SUM(B78,B221)=0,"",SUM(B221)/SUM(B78,B221))</f>
        <v/>
      </c>
      <c r="C507" s="27">
        <f>IF(SUM(C78,C221)=0,"",SUM(C221)/SUM(C78,C221))</f>
        <v/>
      </c>
      <c r="D507" s="27">
        <f>IF(SUM(D78,D221)=0,"",SUM(D221)/SUM(D78,D221))</f>
        <v/>
      </c>
      <c r="E507" s="27">
        <f>IF(SUM(E78,E221)=0,"",SUM(E221)/SUM(E78,E221))</f>
        <v/>
      </c>
      <c r="F507" s="27">
        <f>IF(SUM(F78,F221)=0,"",SUM(F221)/SUM(F78,F221))</f>
        <v/>
      </c>
      <c r="G507" s="27">
        <f>IF(SUM(G78,G221)=0,"",SUM(G221)/SUM(G78,G221))</f>
        <v/>
      </c>
      <c r="H507" s="27">
        <f>IF(SUM(H78,H221)=0,"",SUM(H221)/SUM(H78,H221))</f>
        <v/>
      </c>
    </row>
    <row r="508" hidden="1" outlineLevel="1">
      <c r="A508" t="inlineStr">
        <is>
          <t>Week1-Dec-2026</t>
        </is>
      </c>
      <c r="B508" s="27">
        <f>IF(SUM(B79,B222)=0,"",SUM(B222)/SUM(B79,B222))</f>
        <v/>
      </c>
      <c r="C508" s="27">
        <f>IF(SUM(C79,C222)=0,"",SUM(C222)/SUM(C79,C222))</f>
        <v/>
      </c>
      <c r="D508" s="27">
        <f>IF(SUM(D79,D222)=0,"",SUM(D222)/SUM(D79,D222))</f>
        <v/>
      </c>
      <c r="E508" s="27">
        <f>IF(SUM(E79,E222)=0,"",SUM(E222)/SUM(E79,E222))</f>
        <v/>
      </c>
      <c r="F508" s="27">
        <f>IF(SUM(F79,F222)=0,"",SUM(F222)/SUM(F79,F222))</f>
        <v/>
      </c>
      <c r="G508" s="27">
        <f>IF(SUM(G79,G222)=0,"",SUM(G222)/SUM(G79,G222))</f>
        <v/>
      </c>
      <c r="H508" s="27">
        <f>IF(SUM(H79,H222)=0,"",SUM(H222)/SUM(H79,H222))</f>
        <v/>
      </c>
    </row>
    <row r="509" hidden="1" outlineLevel="1">
      <c r="A509" t="inlineStr">
        <is>
          <t>Week2-Dec-2026</t>
        </is>
      </c>
      <c r="B509" s="27">
        <f>IF(SUM(B80,B223)=0,"",SUM(B223)/SUM(B80,B223))</f>
        <v/>
      </c>
      <c r="C509" s="27">
        <f>IF(SUM(C80,C223)=0,"",SUM(C223)/SUM(C80,C223))</f>
        <v/>
      </c>
      <c r="D509" s="27">
        <f>IF(SUM(D80,D223)=0,"",SUM(D223)/SUM(D80,D223))</f>
        <v/>
      </c>
      <c r="E509" s="27">
        <f>IF(SUM(E80,E223)=0,"",SUM(E223)/SUM(E80,E223))</f>
        <v/>
      </c>
      <c r="F509" s="27">
        <f>IF(SUM(F80,F223)=0,"",SUM(F223)/SUM(F80,F223))</f>
        <v/>
      </c>
      <c r="G509" s="27">
        <f>IF(SUM(G80,G223)=0,"",SUM(G223)/SUM(G80,G223))</f>
        <v/>
      </c>
      <c r="H509" s="27">
        <f>IF(SUM(H80,H223)=0,"",SUM(H223)/SUM(H80,H223))</f>
        <v/>
      </c>
    </row>
    <row r="510" hidden="1" outlineLevel="1">
      <c r="A510" t="inlineStr">
        <is>
          <t>Week3-Dec-2026</t>
        </is>
      </c>
      <c r="B510" s="27">
        <f>IF(SUM(B81,B224)=0,"",SUM(B224)/SUM(B81,B224))</f>
        <v/>
      </c>
      <c r="C510" s="27">
        <f>IF(SUM(C81,C224)=0,"",SUM(C224)/SUM(C81,C224))</f>
        <v/>
      </c>
      <c r="D510" s="27">
        <f>IF(SUM(D81,D224)=0,"",SUM(D224)/SUM(D81,D224))</f>
        <v/>
      </c>
      <c r="E510" s="27">
        <f>IF(SUM(E81,E224)=0,"",SUM(E224)/SUM(E81,E224))</f>
        <v/>
      </c>
      <c r="F510" s="27">
        <f>IF(SUM(F81,F224)=0,"",SUM(F224)/SUM(F81,F224))</f>
        <v/>
      </c>
      <c r="G510" s="27">
        <f>IF(SUM(G81,G224)=0,"",SUM(G224)/SUM(G81,G224))</f>
        <v/>
      </c>
      <c r="H510" s="27">
        <f>IF(SUM(H81,H224)=0,"",SUM(H224)/SUM(H81,H224))</f>
        <v/>
      </c>
    </row>
    <row r="511" hidden="1" outlineLevel="1">
      <c r="A511" t="inlineStr">
        <is>
          <t>Week4-Dec-2026</t>
        </is>
      </c>
      <c r="B511" s="27">
        <f>IF(SUM(B82,B225)=0,"",SUM(B225)/SUM(B82,B225))</f>
        <v/>
      </c>
      <c r="C511" s="27">
        <f>IF(SUM(C82,C225)=0,"",SUM(C225)/SUM(C82,C225))</f>
        <v/>
      </c>
      <c r="D511" s="27">
        <f>IF(SUM(D82,D225)=0,"",SUM(D225)/SUM(D82,D225))</f>
        <v/>
      </c>
      <c r="E511" s="27">
        <f>IF(SUM(E82,E225)=0,"",SUM(E225)/SUM(E82,E225))</f>
        <v/>
      </c>
      <c r="F511" s="27">
        <f>IF(SUM(F82,F225)=0,"",SUM(F225)/SUM(F82,F225))</f>
        <v/>
      </c>
      <c r="G511" s="27">
        <f>IF(SUM(G82,G225)=0,"",SUM(G225)/SUM(G82,G225))</f>
        <v/>
      </c>
      <c r="H511" s="27">
        <f>IF(SUM(H82,H225)=0,"",SUM(H225)/SUM(H82,H225))</f>
        <v/>
      </c>
    </row>
    <row r="512" hidden="1" outlineLevel="1">
      <c r="A512" t="inlineStr">
        <is>
          <t>Week5-Dec-2026</t>
        </is>
      </c>
      <c r="B512" s="27">
        <f>IF(SUM(B83,B226)=0,"",SUM(B226)/SUM(B83,B226))</f>
        <v/>
      </c>
      <c r="C512" s="27">
        <f>IF(SUM(C83,C226)=0,"",SUM(C226)/SUM(C83,C226))</f>
        <v/>
      </c>
      <c r="D512" s="27">
        <f>IF(SUM(D83,D226)=0,"",SUM(D226)/SUM(D83,D226))</f>
        <v/>
      </c>
      <c r="E512" s="27">
        <f>IF(SUM(E83,E226)=0,"",SUM(E226)/SUM(E83,E226))</f>
        <v/>
      </c>
      <c r="F512" s="27">
        <f>IF(SUM(F83,F226)=0,"",SUM(F226)/SUM(F83,F226))</f>
        <v/>
      </c>
      <c r="G512" s="27">
        <f>IF(SUM(G83,G226)=0,"",SUM(G226)/SUM(G83,G226))</f>
        <v/>
      </c>
      <c r="H512" s="27">
        <f>IF(SUM(H83,H226)=0,"",SUM(H226)/SUM(H83,H226))</f>
        <v/>
      </c>
    </row>
    <row r="513" hidden="1" outlineLevel="1">
      <c r="A513" t="inlineStr">
        <is>
          <t>Week1-Jan-2027</t>
        </is>
      </c>
      <c r="B513" s="27">
        <f>IF(SUM(B84,B227)=0,"",SUM(B227)/SUM(B84,B227))</f>
        <v/>
      </c>
      <c r="C513" s="27">
        <f>IF(SUM(C84,C227)=0,"",SUM(C227)/SUM(C84,C227))</f>
        <v/>
      </c>
      <c r="D513" s="27">
        <f>IF(SUM(D84,D227)=0,"",SUM(D227)/SUM(D84,D227))</f>
        <v/>
      </c>
      <c r="E513" s="27">
        <f>IF(SUM(E84,E227)=0,"",SUM(E227)/SUM(E84,E227))</f>
        <v/>
      </c>
      <c r="F513" s="27">
        <f>IF(SUM(F84,F227)=0,"",SUM(F227)/SUM(F84,F227))</f>
        <v/>
      </c>
      <c r="G513" s="27">
        <f>IF(SUM(G84,G227)=0,"",SUM(G227)/SUM(G84,G227))</f>
        <v/>
      </c>
      <c r="H513" s="27">
        <f>IF(SUM(H84,H227)=0,"",SUM(H227)/SUM(H84,H227))</f>
        <v/>
      </c>
    </row>
    <row r="514" hidden="1" outlineLevel="1">
      <c r="A514" t="inlineStr">
        <is>
          <t>Week2-Jan-2027</t>
        </is>
      </c>
      <c r="B514" s="27">
        <f>IF(SUM(B85,B228)=0,"",SUM(B228)/SUM(B85,B228))</f>
        <v/>
      </c>
      <c r="C514" s="27">
        <f>IF(SUM(C85,C228)=0,"",SUM(C228)/SUM(C85,C228))</f>
        <v/>
      </c>
      <c r="D514" s="27">
        <f>IF(SUM(D85,D228)=0,"",SUM(D228)/SUM(D85,D228))</f>
        <v/>
      </c>
      <c r="E514" s="27">
        <f>IF(SUM(E85,E228)=0,"",SUM(E228)/SUM(E85,E228))</f>
        <v/>
      </c>
      <c r="F514" s="27">
        <f>IF(SUM(F85,F228)=0,"",SUM(F228)/SUM(F85,F228))</f>
        <v/>
      </c>
      <c r="G514" s="27">
        <f>IF(SUM(G85,G228)=0,"",SUM(G228)/SUM(G85,G228))</f>
        <v/>
      </c>
      <c r="H514" s="27">
        <f>IF(SUM(H85,H228)=0,"",SUM(H228)/SUM(H85,H228))</f>
        <v/>
      </c>
    </row>
    <row r="515" hidden="1" outlineLevel="1">
      <c r="A515" t="inlineStr">
        <is>
          <t>Week3-Jan-2027</t>
        </is>
      </c>
      <c r="B515" s="27">
        <f>IF(SUM(B86,B229)=0,"",SUM(B229)/SUM(B86,B229))</f>
        <v/>
      </c>
      <c r="C515" s="27">
        <f>IF(SUM(C86,C229)=0,"",SUM(C229)/SUM(C86,C229))</f>
        <v/>
      </c>
      <c r="D515" s="27">
        <f>IF(SUM(D86,D229)=0,"",SUM(D229)/SUM(D86,D229))</f>
        <v/>
      </c>
      <c r="E515" s="27">
        <f>IF(SUM(E86,E229)=0,"",SUM(E229)/SUM(E86,E229))</f>
        <v/>
      </c>
      <c r="F515" s="27">
        <f>IF(SUM(F86,F229)=0,"",SUM(F229)/SUM(F86,F229))</f>
        <v/>
      </c>
      <c r="G515" s="27">
        <f>IF(SUM(G86,G229)=0,"",SUM(G229)/SUM(G86,G229))</f>
        <v/>
      </c>
      <c r="H515" s="27">
        <f>IF(SUM(H86,H229)=0,"",SUM(H229)/SUM(H86,H229))</f>
        <v/>
      </c>
    </row>
    <row r="516" hidden="1" outlineLevel="1">
      <c r="A516" t="inlineStr">
        <is>
          <t>Week4-Jan-2027</t>
        </is>
      </c>
      <c r="B516" s="27">
        <f>IF(SUM(B87,B230)=0,"",SUM(B230)/SUM(B87,B230))</f>
        <v/>
      </c>
      <c r="C516" s="27">
        <f>IF(SUM(C87,C230)=0,"",SUM(C230)/SUM(C87,C230))</f>
        <v/>
      </c>
      <c r="D516" s="27">
        <f>IF(SUM(D87,D230)=0,"",SUM(D230)/SUM(D87,D230))</f>
        <v/>
      </c>
      <c r="E516" s="27">
        <f>IF(SUM(E87,E230)=0,"",SUM(E230)/SUM(E87,E230))</f>
        <v/>
      </c>
      <c r="F516" s="27">
        <f>IF(SUM(F87,F230)=0,"",SUM(F230)/SUM(F87,F230))</f>
        <v/>
      </c>
      <c r="G516" s="27">
        <f>IF(SUM(G87,G230)=0,"",SUM(G230)/SUM(G87,G230))</f>
        <v/>
      </c>
      <c r="H516" s="27">
        <f>IF(SUM(H87,H230)=0,"",SUM(H230)/SUM(H87,H230))</f>
        <v/>
      </c>
    </row>
    <row r="517" hidden="1" outlineLevel="1">
      <c r="A517" t="inlineStr">
        <is>
          <t>Week5-Jan-2027</t>
        </is>
      </c>
      <c r="B517" s="27">
        <f>IF(SUM(B88,B231)=0,"",SUM(B231)/SUM(B88,B231))</f>
        <v/>
      </c>
      <c r="C517" s="27">
        <f>IF(SUM(C88,C231)=0,"",SUM(C231)/SUM(C88,C231))</f>
        <v/>
      </c>
      <c r="D517" s="27">
        <f>IF(SUM(D88,D231)=0,"",SUM(D231)/SUM(D88,D231))</f>
        <v/>
      </c>
      <c r="E517" s="27">
        <f>IF(SUM(E88,E231)=0,"",SUM(E231)/SUM(E88,E231))</f>
        <v/>
      </c>
      <c r="F517" s="27">
        <f>IF(SUM(F88,F231)=0,"",SUM(F231)/SUM(F88,F231))</f>
        <v/>
      </c>
      <c r="G517" s="27">
        <f>IF(SUM(G88,G231)=0,"",SUM(G231)/SUM(G88,G231))</f>
        <v/>
      </c>
      <c r="H517" s="27">
        <f>IF(SUM(H88,H231)=0,"",SUM(H231)/SUM(H88,H231))</f>
        <v/>
      </c>
    </row>
    <row r="518" hidden="1" outlineLevel="1">
      <c r="A518" t="inlineStr">
        <is>
          <t>Week1-Feb-2027</t>
        </is>
      </c>
      <c r="B518" s="27">
        <f>IF(SUM(B89,B232)=0,"",SUM(B232)/SUM(B89,B232))</f>
        <v/>
      </c>
      <c r="C518" s="27">
        <f>IF(SUM(C89,C232)=0,"",SUM(C232)/SUM(C89,C232))</f>
        <v/>
      </c>
      <c r="D518" s="27">
        <f>IF(SUM(D89,D232)=0,"",SUM(D232)/SUM(D89,D232))</f>
        <v/>
      </c>
      <c r="E518" s="27">
        <f>IF(SUM(E89,E232)=0,"",SUM(E232)/SUM(E89,E232))</f>
        <v/>
      </c>
      <c r="F518" s="27">
        <f>IF(SUM(F89,F232)=0,"",SUM(F232)/SUM(F89,F232))</f>
        <v/>
      </c>
      <c r="G518" s="27">
        <f>IF(SUM(G89,G232)=0,"",SUM(G232)/SUM(G89,G232))</f>
        <v/>
      </c>
      <c r="H518" s="27">
        <f>IF(SUM(H89,H232)=0,"",SUM(H232)/SUM(H89,H232))</f>
        <v/>
      </c>
    </row>
    <row r="519" hidden="1" outlineLevel="1">
      <c r="A519" t="inlineStr">
        <is>
          <t>Week2-Feb-2027</t>
        </is>
      </c>
      <c r="B519" s="27">
        <f>IF(SUM(B90,B233)=0,"",SUM(B233)/SUM(B90,B233))</f>
        <v/>
      </c>
      <c r="C519" s="27">
        <f>IF(SUM(C90,C233)=0,"",SUM(C233)/SUM(C90,C233))</f>
        <v/>
      </c>
      <c r="D519" s="27">
        <f>IF(SUM(D90,D233)=0,"",SUM(D233)/SUM(D90,D233))</f>
        <v/>
      </c>
      <c r="E519" s="27">
        <f>IF(SUM(E90,E233)=0,"",SUM(E233)/SUM(E90,E233))</f>
        <v/>
      </c>
      <c r="F519" s="27">
        <f>IF(SUM(F90,F233)=0,"",SUM(F233)/SUM(F90,F233))</f>
        <v/>
      </c>
      <c r="G519" s="27">
        <f>IF(SUM(G90,G233)=0,"",SUM(G233)/SUM(G90,G233))</f>
        <v/>
      </c>
      <c r="H519" s="27">
        <f>IF(SUM(H90,H233)=0,"",SUM(H233)/SUM(H90,H233))</f>
        <v/>
      </c>
    </row>
    <row r="520" hidden="1" outlineLevel="1">
      <c r="A520" t="inlineStr">
        <is>
          <t>Week3-Feb-2027</t>
        </is>
      </c>
      <c r="B520" s="27">
        <f>IF(SUM(B91,B234)=0,"",SUM(B234)/SUM(B91,B234))</f>
        <v/>
      </c>
      <c r="C520" s="27">
        <f>IF(SUM(C91,C234)=0,"",SUM(C234)/SUM(C91,C234))</f>
        <v/>
      </c>
      <c r="D520" s="27">
        <f>IF(SUM(D91,D234)=0,"",SUM(D234)/SUM(D91,D234))</f>
        <v/>
      </c>
      <c r="E520" s="27">
        <f>IF(SUM(E91,E234)=0,"",SUM(E234)/SUM(E91,E234))</f>
        <v/>
      </c>
      <c r="F520" s="27">
        <f>IF(SUM(F91,F234)=0,"",SUM(F234)/SUM(F91,F234))</f>
        <v/>
      </c>
      <c r="G520" s="27">
        <f>IF(SUM(G91,G234)=0,"",SUM(G234)/SUM(G91,G234))</f>
        <v/>
      </c>
      <c r="H520" s="27">
        <f>IF(SUM(H91,H234)=0,"",SUM(H234)/SUM(H91,H234))</f>
        <v/>
      </c>
    </row>
    <row r="521" hidden="1" outlineLevel="1">
      <c r="A521" t="inlineStr">
        <is>
          <t>Week4-Feb-2027</t>
        </is>
      </c>
      <c r="B521" s="27">
        <f>IF(SUM(B92,B235)=0,"",SUM(B235)/SUM(B92,B235))</f>
        <v/>
      </c>
      <c r="C521" s="27">
        <f>IF(SUM(C92,C235)=0,"",SUM(C235)/SUM(C92,C235))</f>
        <v/>
      </c>
      <c r="D521" s="27">
        <f>IF(SUM(D92,D235)=0,"",SUM(D235)/SUM(D92,D235))</f>
        <v/>
      </c>
      <c r="E521" s="27">
        <f>IF(SUM(E92,E235)=0,"",SUM(E235)/SUM(E92,E235))</f>
        <v/>
      </c>
      <c r="F521" s="27">
        <f>IF(SUM(F92,F235)=0,"",SUM(F235)/SUM(F92,F235))</f>
        <v/>
      </c>
      <c r="G521" s="27">
        <f>IF(SUM(G92,G235)=0,"",SUM(G235)/SUM(G92,G235))</f>
        <v/>
      </c>
      <c r="H521" s="27">
        <f>IF(SUM(H92,H235)=0,"",SUM(H235)/SUM(H92,H235))</f>
        <v/>
      </c>
    </row>
    <row r="522" hidden="1" outlineLevel="1">
      <c r="A522" t="inlineStr">
        <is>
          <t>Week1-Mar-2027</t>
        </is>
      </c>
      <c r="B522" s="27">
        <f>IF(SUM(B93,B236)=0,"",SUM(B236)/SUM(B93,B236))</f>
        <v/>
      </c>
      <c r="C522" s="27">
        <f>IF(SUM(C93,C236)=0,"",SUM(C236)/SUM(C93,C236))</f>
        <v/>
      </c>
      <c r="D522" s="27">
        <f>IF(SUM(D93,D236)=0,"",SUM(D236)/SUM(D93,D236))</f>
        <v/>
      </c>
      <c r="E522" s="27">
        <f>IF(SUM(E93,E236)=0,"",SUM(E236)/SUM(E93,E236))</f>
        <v/>
      </c>
      <c r="F522" s="27">
        <f>IF(SUM(F93,F236)=0,"",SUM(F236)/SUM(F93,F236))</f>
        <v/>
      </c>
      <c r="G522" s="27">
        <f>IF(SUM(G93,G236)=0,"",SUM(G236)/SUM(G93,G236))</f>
        <v/>
      </c>
      <c r="H522" s="27">
        <f>IF(SUM(H93,H236)=0,"",SUM(H236)/SUM(H93,H236))</f>
        <v/>
      </c>
    </row>
    <row r="523" hidden="1" outlineLevel="1">
      <c r="A523" t="inlineStr">
        <is>
          <t>Week2-Mar-2027</t>
        </is>
      </c>
      <c r="B523" s="27">
        <f>IF(SUM(B94,B237)=0,"",SUM(B237)/SUM(B94,B237))</f>
        <v/>
      </c>
      <c r="C523" s="27">
        <f>IF(SUM(C94,C237)=0,"",SUM(C237)/SUM(C94,C237))</f>
        <v/>
      </c>
      <c r="D523" s="27">
        <f>IF(SUM(D94,D237)=0,"",SUM(D237)/SUM(D94,D237))</f>
        <v/>
      </c>
      <c r="E523" s="27">
        <f>IF(SUM(E94,E237)=0,"",SUM(E237)/SUM(E94,E237))</f>
        <v/>
      </c>
      <c r="F523" s="27">
        <f>IF(SUM(F94,F237)=0,"",SUM(F237)/SUM(F94,F237))</f>
        <v/>
      </c>
      <c r="G523" s="27">
        <f>IF(SUM(G94,G237)=0,"",SUM(G237)/SUM(G94,G237))</f>
        <v/>
      </c>
      <c r="H523" s="27">
        <f>IF(SUM(H94,H237)=0,"",SUM(H237)/SUM(H94,H237))</f>
        <v/>
      </c>
    </row>
    <row r="524" hidden="1" outlineLevel="1">
      <c r="A524" t="inlineStr">
        <is>
          <t>Week3-Mar-2027</t>
        </is>
      </c>
      <c r="B524" s="27">
        <f>IF(SUM(B95,B238)=0,"",SUM(B238)/SUM(B95,B238))</f>
        <v/>
      </c>
      <c r="C524" s="27">
        <f>IF(SUM(C95,C238)=0,"",SUM(C238)/SUM(C95,C238))</f>
        <v/>
      </c>
      <c r="D524" s="27">
        <f>IF(SUM(D95,D238)=0,"",SUM(D238)/SUM(D95,D238))</f>
        <v/>
      </c>
      <c r="E524" s="27">
        <f>IF(SUM(E95,E238)=0,"",SUM(E238)/SUM(E95,E238))</f>
        <v/>
      </c>
      <c r="F524" s="27">
        <f>IF(SUM(F95,F238)=0,"",SUM(F238)/SUM(F95,F238))</f>
        <v/>
      </c>
      <c r="G524" s="27">
        <f>IF(SUM(G95,G238)=0,"",SUM(G238)/SUM(G95,G238))</f>
        <v/>
      </c>
      <c r="H524" s="27">
        <f>IF(SUM(H95,H238)=0,"",SUM(H238)/SUM(H95,H238))</f>
        <v/>
      </c>
    </row>
    <row r="525" hidden="1" outlineLevel="1">
      <c r="A525" t="inlineStr">
        <is>
          <t>Week4-Mar-2027</t>
        </is>
      </c>
      <c r="B525" s="27">
        <f>IF(SUM(B96,B239)=0,"",SUM(B239)/SUM(B96,B239))</f>
        <v/>
      </c>
      <c r="C525" s="27">
        <f>IF(SUM(C96,C239)=0,"",SUM(C239)/SUM(C96,C239))</f>
        <v/>
      </c>
      <c r="D525" s="27">
        <f>IF(SUM(D96,D239)=0,"",SUM(D239)/SUM(D96,D239))</f>
        <v/>
      </c>
      <c r="E525" s="27">
        <f>IF(SUM(E96,E239)=0,"",SUM(E239)/SUM(E96,E239))</f>
        <v/>
      </c>
      <c r="F525" s="27">
        <f>IF(SUM(F96,F239)=0,"",SUM(F239)/SUM(F96,F239))</f>
        <v/>
      </c>
      <c r="G525" s="27">
        <f>IF(SUM(G96,G239)=0,"",SUM(G239)/SUM(G96,G239))</f>
        <v/>
      </c>
      <c r="H525" s="27">
        <f>IF(SUM(H96,H239)=0,"",SUM(H239)/SUM(H96,H239))</f>
        <v/>
      </c>
    </row>
    <row r="526" hidden="1" outlineLevel="1">
      <c r="A526" t="inlineStr">
        <is>
          <t>Week5-Mar-2027</t>
        </is>
      </c>
      <c r="B526" s="27">
        <f>IF(SUM(B97,B240)=0,"",SUM(B240)/SUM(B97,B240))</f>
        <v/>
      </c>
      <c r="C526" s="27">
        <f>IF(SUM(C97,C240)=0,"",SUM(C240)/SUM(C97,C240))</f>
        <v/>
      </c>
      <c r="D526" s="27">
        <f>IF(SUM(D97,D240)=0,"",SUM(D240)/SUM(D97,D240))</f>
        <v/>
      </c>
      <c r="E526" s="27">
        <f>IF(SUM(E97,E240)=0,"",SUM(E240)/SUM(E97,E240))</f>
        <v/>
      </c>
      <c r="F526" s="27">
        <f>IF(SUM(F97,F240)=0,"",SUM(F240)/SUM(F97,F240))</f>
        <v/>
      </c>
      <c r="G526" s="27">
        <f>IF(SUM(G97,G240)=0,"",SUM(G240)/SUM(G97,G240))</f>
        <v/>
      </c>
      <c r="H526" s="27">
        <f>IF(SUM(H97,H240)=0,"",SUM(H240)/SUM(H97,H240))</f>
        <v/>
      </c>
    </row>
    <row r="527" hidden="1" outlineLevel="1">
      <c r="A527" t="inlineStr">
        <is>
          <t>Week1-Apr-2027</t>
        </is>
      </c>
      <c r="B527" s="27">
        <f>IF(SUM(B98,B241)=0,"",SUM(B241)/SUM(B98,B241))</f>
        <v/>
      </c>
      <c r="C527" s="27">
        <f>IF(SUM(C98,C241)=0,"",SUM(C241)/SUM(C98,C241))</f>
        <v/>
      </c>
      <c r="D527" s="27">
        <f>IF(SUM(D98,D241)=0,"",SUM(D241)/SUM(D98,D241))</f>
        <v/>
      </c>
      <c r="E527" s="27">
        <f>IF(SUM(E98,E241)=0,"",SUM(E241)/SUM(E98,E241))</f>
        <v/>
      </c>
      <c r="F527" s="27">
        <f>IF(SUM(F98,F241)=0,"",SUM(F241)/SUM(F98,F241))</f>
        <v/>
      </c>
      <c r="G527" s="27">
        <f>IF(SUM(G98,G241)=0,"",SUM(G241)/SUM(G98,G241))</f>
        <v/>
      </c>
      <c r="H527" s="27">
        <f>IF(SUM(H98,H241)=0,"",SUM(H241)/SUM(H98,H241))</f>
        <v/>
      </c>
    </row>
    <row r="528" hidden="1" outlineLevel="1">
      <c r="A528" t="inlineStr">
        <is>
          <t>Week2-Apr-2027</t>
        </is>
      </c>
      <c r="B528" s="27">
        <f>IF(SUM(B99,B242)=0,"",SUM(B242)/SUM(B99,B242))</f>
        <v/>
      </c>
      <c r="C528" s="27">
        <f>IF(SUM(C99,C242)=0,"",SUM(C242)/SUM(C99,C242))</f>
        <v/>
      </c>
      <c r="D528" s="27">
        <f>IF(SUM(D99,D242)=0,"",SUM(D242)/SUM(D99,D242))</f>
        <v/>
      </c>
      <c r="E528" s="27">
        <f>IF(SUM(E99,E242)=0,"",SUM(E242)/SUM(E99,E242))</f>
        <v/>
      </c>
      <c r="F528" s="27">
        <f>IF(SUM(F99,F242)=0,"",SUM(F242)/SUM(F99,F242))</f>
        <v/>
      </c>
      <c r="G528" s="27">
        <f>IF(SUM(G99,G242)=0,"",SUM(G242)/SUM(G99,G242))</f>
        <v/>
      </c>
      <c r="H528" s="27">
        <f>IF(SUM(H99,H242)=0,"",SUM(H242)/SUM(H99,H242))</f>
        <v/>
      </c>
    </row>
    <row r="529" hidden="1" outlineLevel="1">
      <c r="A529" t="inlineStr">
        <is>
          <t>Week3-Apr-2027</t>
        </is>
      </c>
      <c r="B529" s="27">
        <f>IF(SUM(B100,B243)=0,"",SUM(B243)/SUM(B100,B243))</f>
        <v/>
      </c>
      <c r="C529" s="27">
        <f>IF(SUM(C100,C243)=0,"",SUM(C243)/SUM(C100,C243))</f>
        <v/>
      </c>
      <c r="D529" s="27">
        <f>IF(SUM(D100,D243)=0,"",SUM(D243)/SUM(D100,D243))</f>
        <v/>
      </c>
      <c r="E529" s="27">
        <f>IF(SUM(E100,E243)=0,"",SUM(E243)/SUM(E100,E243))</f>
        <v/>
      </c>
      <c r="F529" s="27">
        <f>IF(SUM(F100,F243)=0,"",SUM(F243)/SUM(F100,F243))</f>
        <v/>
      </c>
      <c r="G529" s="27">
        <f>IF(SUM(G100,G243)=0,"",SUM(G243)/SUM(G100,G243))</f>
        <v/>
      </c>
      <c r="H529" s="27">
        <f>IF(SUM(H100,H243)=0,"",SUM(H243)/SUM(H100,H243))</f>
        <v/>
      </c>
    </row>
    <row r="530" hidden="1" outlineLevel="1">
      <c r="A530" t="inlineStr">
        <is>
          <t>Week4-Apr-2027</t>
        </is>
      </c>
      <c r="B530" s="27">
        <f>IF(SUM(B101,B244)=0,"",SUM(B244)/SUM(B101,B244))</f>
        <v/>
      </c>
      <c r="C530" s="27">
        <f>IF(SUM(C101,C244)=0,"",SUM(C244)/SUM(C101,C244))</f>
        <v/>
      </c>
      <c r="D530" s="27">
        <f>IF(SUM(D101,D244)=0,"",SUM(D244)/SUM(D101,D244))</f>
        <v/>
      </c>
      <c r="E530" s="27">
        <f>IF(SUM(E101,E244)=0,"",SUM(E244)/SUM(E101,E244))</f>
        <v/>
      </c>
      <c r="F530" s="27">
        <f>IF(SUM(F101,F244)=0,"",SUM(F244)/SUM(F101,F244))</f>
        <v/>
      </c>
      <c r="G530" s="27">
        <f>IF(SUM(G101,G244)=0,"",SUM(G244)/SUM(G101,G244))</f>
        <v/>
      </c>
      <c r="H530" s="27">
        <f>IF(SUM(H101,H244)=0,"",SUM(H244)/SUM(H101,H244))</f>
        <v/>
      </c>
    </row>
    <row r="531" hidden="1" outlineLevel="1">
      <c r="A531" t="inlineStr">
        <is>
          <t>Week5-Apr-2027</t>
        </is>
      </c>
      <c r="B531" s="27">
        <f>IF(SUM(B102,B245)=0,"",SUM(B245)/SUM(B102,B245))</f>
        <v/>
      </c>
      <c r="C531" s="27">
        <f>IF(SUM(C102,C245)=0,"",SUM(C245)/SUM(C102,C245))</f>
        <v/>
      </c>
      <c r="D531" s="27">
        <f>IF(SUM(D102,D245)=0,"",SUM(D245)/SUM(D102,D245))</f>
        <v/>
      </c>
      <c r="E531" s="27">
        <f>IF(SUM(E102,E245)=0,"",SUM(E245)/SUM(E102,E245))</f>
        <v/>
      </c>
      <c r="F531" s="27">
        <f>IF(SUM(F102,F245)=0,"",SUM(F245)/SUM(F102,F245))</f>
        <v/>
      </c>
      <c r="G531" s="27">
        <f>IF(SUM(G102,G245)=0,"",SUM(G245)/SUM(G102,G245))</f>
        <v/>
      </c>
      <c r="H531" s="27">
        <f>IF(SUM(H102,H245)=0,"",SUM(H245)/SUM(H102,H245))</f>
        <v/>
      </c>
    </row>
    <row r="532" hidden="1" outlineLevel="1">
      <c r="A532" t="inlineStr">
        <is>
          <t>Week1-May-2027</t>
        </is>
      </c>
      <c r="B532" s="27">
        <f>IF(SUM(B103,B246)=0,"",SUM(B246)/SUM(B103,B246))</f>
        <v/>
      </c>
      <c r="C532" s="27">
        <f>IF(SUM(C103,C246)=0,"",SUM(C246)/SUM(C103,C246))</f>
        <v/>
      </c>
      <c r="D532" s="27">
        <f>IF(SUM(D103,D246)=0,"",SUM(D246)/SUM(D103,D246))</f>
        <v/>
      </c>
      <c r="E532" s="27">
        <f>IF(SUM(E103,E246)=0,"",SUM(E246)/SUM(E103,E246))</f>
        <v/>
      </c>
      <c r="F532" s="27">
        <f>IF(SUM(F103,F246)=0,"",SUM(F246)/SUM(F103,F246))</f>
        <v/>
      </c>
      <c r="G532" s="27">
        <f>IF(SUM(G103,G246)=0,"",SUM(G246)/SUM(G103,G246))</f>
        <v/>
      </c>
      <c r="H532" s="27">
        <f>IF(SUM(H103,H246)=0,"",SUM(H246)/SUM(H103,H246))</f>
        <v/>
      </c>
    </row>
    <row r="533" hidden="1" outlineLevel="1">
      <c r="A533" t="inlineStr">
        <is>
          <t>Week2-May-2027</t>
        </is>
      </c>
      <c r="B533" s="27">
        <f>IF(SUM(B104,B247)=0,"",SUM(B247)/SUM(B104,B247))</f>
        <v/>
      </c>
      <c r="C533" s="27">
        <f>IF(SUM(C104,C247)=0,"",SUM(C247)/SUM(C104,C247))</f>
        <v/>
      </c>
      <c r="D533" s="27">
        <f>IF(SUM(D104,D247)=0,"",SUM(D247)/SUM(D104,D247))</f>
        <v/>
      </c>
      <c r="E533" s="27">
        <f>IF(SUM(E104,E247)=0,"",SUM(E247)/SUM(E104,E247))</f>
        <v/>
      </c>
      <c r="F533" s="27">
        <f>IF(SUM(F104,F247)=0,"",SUM(F247)/SUM(F104,F247))</f>
        <v/>
      </c>
      <c r="G533" s="27">
        <f>IF(SUM(G104,G247)=0,"",SUM(G247)/SUM(G104,G247))</f>
        <v/>
      </c>
      <c r="H533" s="27">
        <f>IF(SUM(H104,H247)=0,"",SUM(H247)/SUM(H104,H247))</f>
        <v/>
      </c>
    </row>
    <row r="534" hidden="1" outlineLevel="1">
      <c r="A534" t="inlineStr">
        <is>
          <t>Week3-May-2027</t>
        </is>
      </c>
      <c r="B534" s="27">
        <f>IF(SUM(B105,B248)=0,"",SUM(B248)/SUM(B105,B248))</f>
        <v/>
      </c>
      <c r="C534" s="27">
        <f>IF(SUM(C105,C248)=0,"",SUM(C248)/SUM(C105,C248))</f>
        <v/>
      </c>
      <c r="D534" s="27">
        <f>IF(SUM(D105,D248)=0,"",SUM(D248)/SUM(D105,D248))</f>
        <v/>
      </c>
      <c r="E534" s="27">
        <f>IF(SUM(E105,E248)=0,"",SUM(E248)/SUM(E105,E248))</f>
        <v/>
      </c>
      <c r="F534" s="27">
        <f>IF(SUM(F105,F248)=0,"",SUM(F248)/SUM(F105,F248))</f>
        <v/>
      </c>
      <c r="G534" s="27">
        <f>IF(SUM(G105,G248)=0,"",SUM(G248)/SUM(G105,G248))</f>
        <v/>
      </c>
      <c r="H534" s="27">
        <f>IF(SUM(H105,H248)=0,"",SUM(H248)/SUM(H105,H248))</f>
        <v/>
      </c>
    </row>
    <row r="535" hidden="1" outlineLevel="1">
      <c r="A535" t="inlineStr">
        <is>
          <t>Week4-May-2027</t>
        </is>
      </c>
      <c r="B535" s="27">
        <f>IF(SUM(B106,B249)=0,"",SUM(B249)/SUM(B106,B249))</f>
        <v/>
      </c>
      <c r="C535" s="27">
        <f>IF(SUM(C106,C249)=0,"",SUM(C249)/SUM(C106,C249))</f>
        <v/>
      </c>
      <c r="D535" s="27">
        <f>IF(SUM(D106,D249)=0,"",SUM(D249)/SUM(D106,D249))</f>
        <v/>
      </c>
      <c r="E535" s="27">
        <f>IF(SUM(E106,E249)=0,"",SUM(E249)/SUM(E106,E249))</f>
        <v/>
      </c>
      <c r="F535" s="27">
        <f>IF(SUM(F106,F249)=0,"",SUM(F249)/SUM(F106,F249))</f>
        <v/>
      </c>
      <c r="G535" s="27">
        <f>IF(SUM(G106,G249)=0,"",SUM(G249)/SUM(G106,G249))</f>
        <v/>
      </c>
      <c r="H535" s="27">
        <f>IF(SUM(H106,H249)=0,"",SUM(H249)/SUM(H106,H249))</f>
        <v/>
      </c>
    </row>
    <row r="536" hidden="1" outlineLevel="1">
      <c r="A536" t="inlineStr">
        <is>
          <t>Week5-May-2027</t>
        </is>
      </c>
      <c r="B536" s="27">
        <f>IF(SUM(B107,B250)=0,"",SUM(B250)/SUM(B107,B250))</f>
        <v/>
      </c>
      <c r="C536" s="27">
        <f>IF(SUM(C107,C250)=0,"",SUM(C250)/SUM(C107,C250))</f>
        <v/>
      </c>
      <c r="D536" s="27">
        <f>IF(SUM(D107,D250)=0,"",SUM(D250)/SUM(D107,D250))</f>
        <v/>
      </c>
      <c r="E536" s="27">
        <f>IF(SUM(E107,E250)=0,"",SUM(E250)/SUM(E107,E250))</f>
        <v/>
      </c>
      <c r="F536" s="27">
        <f>IF(SUM(F107,F250)=0,"",SUM(F250)/SUM(F107,F250))</f>
        <v/>
      </c>
      <c r="G536" s="27">
        <f>IF(SUM(G107,G250)=0,"",SUM(G250)/SUM(G107,G250))</f>
        <v/>
      </c>
      <c r="H536" s="27">
        <f>IF(SUM(H107,H250)=0,"",SUM(H250)/SUM(H107,H250))</f>
        <v/>
      </c>
    </row>
    <row r="537" hidden="1" outlineLevel="1">
      <c r="A537" t="inlineStr">
        <is>
          <t>Week1-Jun-2027</t>
        </is>
      </c>
      <c r="B537" s="27">
        <f>IF(SUM(B108,B251)=0,"",SUM(B251)/SUM(B108,B251))</f>
        <v/>
      </c>
      <c r="C537" s="27">
        <f>IF(SUM(C108,C251)=0,"",SUM(C251)/SUM(C108,C251))</f>
        <v/>
      </c>
      <c r="D537" s="27">
        <f>IF(SUM(D108,D251)=0,"",SUM(D251)/SUM(D108,D251))</f>
        <v/>
      </c>
      <c r="E537" s="27">
        <f>IF(SUM(E108,E251)=0,"",SUM(E251)/SUM(E108,E251))</f>
        <v/>
      </c>
      <c r="F537" s="27">
        <f>IF(SUM(F108,F251)=0,"",SUM(F251)/SUM(F108,F251))</f>
        <v/>
      </c>
      <c r="G537" s="27">
        <f>IF(SUM(G108,G251)=0,"",SUM(G251)/SUM(G108,G251))</f>
        <v/>
      </c>
      <c r="H537" s="27">
        <f>IF(SUM(H108,H251)=0,"",SUM(H251)/SUM(H108,H251))</f>
        <v/>
      </c>
    </row>
    <row r="538" hidden="1" outlineLevel="1">
      <c r="A538" t="inlineStr">
        <is>
          <t>Week2-Jun-2027</t>
        </is>
      </c>
      <c r="B538" s="27">
        <f>IF(SUM(B109,B252)=0,"",SUM(B252)/SUM(B109,B252))</f>
        <v/>
      </c>
      <c r="C538" s="27">
        <f>IF(SUM(C109,C252)=0,"",SUM(C252)/SUM(C109,C252))</f>
        <v/>
      </c>
      <c r="D538" s="27">
        <f>IF(SUM(D109,D252)=0,"",SUM(D252)/SUM(D109,D252))</f>
        <v/>
      </c>
      <c r="E538" s="27">
        <f>IF(SUM(E109,E252)=0,"",SUM(E252)/SUM(E109,E252))</f>
        <v/>
      </c>
      <c r="F538" s="27">
        <f>IF(SUM(F109,F252)=0,"",SUM(F252)/SUM(F109,F252))</f>
        <v/>
      </c>
      <c r="G538" s="27">
        <f>IF(SUM(G109,G252)=0,"",SUM(G252)/SUM(G109,G252))</f>
        <v/>
      </c>
      <c r="H538" s="27">
        <f>IF(SUM(H109,H252)=0,"",SUM(H252)/SUM(H109,H252))</f>
        <v/>
      </c>
    </row>
    <row r="539" hidden="1" outlineLevel="1">
      <c r="A539" t="inlineStr">
        <is>
          <t>Week3-Jun-2027</t>
        </is>
      </c>
      <c r="B539" s="27">
        <f>IF(SUM(B110,B253)=0,"",SUM(B253)/SUM(B110,B253))</f>
        <v/>
      </c>
      <c r="C539" s="27">
        <f>IF(SUM(C110,C253)=0,"",SUM(C253)/SUM(C110,C253))</f>
        <v/>
      </c>
      <c r="D539" s="27">
        <f>IF(SUM(D110,D253)=0,"",SUM(D253)/SUM(D110,D253))</f>
        <v/>
      </c>
      <c r="E539" s="27">
        <f>IF(SUM(E110,E253)=0,"",SUM(E253)/SUM(E110,E253))</f>
        <v/>
      </c>
      <c r="F539" s="27">
        <f>IF(SUM(F110,F253)=0,"",SUM(F253)/SUM(F110,F253))</f>
        <v/>
      </c>
      <c r="G539" s="27">
        <f>IF(SUM(G110,G253)=0,"",SUM(G253)/SUM(G110,G253))</f>
        <v/>
      </c>
      <c r="H539" s="27">
        <f>IF(SUM(H110,H253)=0,"",SUM(H253)/SUM(H110,H253))</f>
        <v/>
      </c>
    </row>
    <row r="540" hidden="1" outlineLevel="1">
      <c r="A540" t="inlineStr">
        <is>
          <t>Week4-Jun-2027</t>
        </is>
      </c>
      <c r="B540" s="27">
        <f>IF(SUM(B111,B254)=0,"",SUM(B254)/SUM(B111,B254))</f>
        <v/>
      </c>
      <c r="C540" s="27">
        <f>IF(SUM(C111,C254)=0,"",SUM(C254)/SUM(C111,C254))</f>
        <v/>
      </c>
      <c r="D540" s="27">
        <f>IF(SUM(D111,D254)=0,"",SUM(D254)/SUM(D111,D254))</f>
        <v/>
      </c>
      <c r="E540" s="27">
        <f>IF(SUM(E111,E254)=0,"",SUM(E254)/SUM(E111,E254))</f>
        <v/>
      </c>
      <c r="F540" s="27">
        <f>IF(SUM(F111,F254)=0,"",SUM(F254)/SUM(F111,F254))</f>
        <v/>
      </c>
      <c r="G540" s="27">
        <f>IF(SUM(G111,G254)=0,"",SUM(G254)/SUM(G111,G254))</f>
        <v/>
      </c>
      <c r="H540" s="27">
        <f>IF(SUM(H111,H254)=0,"",SUM(H254)/SUM(H111,H254))</f>
        <v/>
      </c>
    </row>
    <row r="541" hidden="1" outlineLevel="1">
      <c r="A541" t="inlineStr">
        <is>
          <t>Week5-Jun-2027</t>
        </is>
      </c>
      <c r="B541" s="27">
        <f>IF(SUM(B112,B255)=0,"",SUM(B255)/SUM(B112,B255))</f>
        <v/>
      </c>
      <c r="C541" s="27">
        <f>IF(SUM(C112,C255)=0,"",SUM(C255)/SUM(C112,C255))</f>
        <v/>
      </c>
      <c r="D541" s="27">
        <f>IF(SUM(D112,D255)=0,"",SUM(D255)/SUM(D112,D255))</f>
        <v/>
      </c>
      <c r="E541" s="27">
        <f>IF(SUM(E112,E255)=0,"",SUM(E255)/SUM(E112,E255))</f>
        <v/>
      </c>
      <c r="F541" s="27">
        <f>IF(SUM(F112,F255)=0,"",SUM(F255)/SUM(F112,F255))</f>
        <v/>
      </c>
      <c r="G541" s="27">
        <f>IF(SUM(G112,G255)=0,"",SUM(G255)/SUM(G112,G255))</f>
        <v/>
      </c>
      <c r="H541" s="27">
        <f>IF(SUM(H112,H255)=0,"",SUM(H255)/SUM(H112,H255))</f>
        <v/>
      </c>
    </row>
    <row r="542" hidden="1" outlineLevel="1">
      <c r="A542" t="inlineStr">
        <is>
          <t>Week1-Jul-2027</t>
        </is>
      </c>
      <c r="B542" s="27">
        <f>IF(SUM(B113,B256)=0,"",SUM(B256)/SUM(B113,B256))</f>
        <v/>
      </c>
      <c r="C542" s="27">
        <f>IF(SUM(C113,C256)=0,"",SUM(C256)/SUM(C113,C256))</f>
        <v/>
      </c>
      <c r="D542" s="27">
        <f>IF(SUM(D113,D256)=0,"",SUM(D256)/SUM(D113,D256))</f>
        <v/>
      </c>
      <c r="E542" s="27">
        <f>IF(SUM(E113,E256)=0,"",SUM(E256)/SUM(E113,E256))</f>
        <v/>
      </c>
      <c r="F542" s="27">
        <f>IF(SUM(F113,F256)=0,"",SUM(F256)/SUM(F113,F256))</f>
        <v/>
      </c>
      <c r="G542" s="27">
        <f>IF(SUM(G113,G256)=0,"",SUM(G256)/SUM(G113,G256))</f>
        <v/>
      </c>
      <c r="H542" s="27">
        <f>IF(SUM(H113,H256)=0,"",SUM(H256)/SUM(H113,H256))</f>
        <v/>
      </c>
    </row>
    <row r="543" hidden="1" outlineLevel="1">
      <c r="A543" t="inlineStr">
        <is>
          <t>Week2-Jul-2027</t>
        </is>
      </c>
      <c r="B543" s="27">
        <f>IF(SUM(B114,B257)=0,"",SUM(B257)/SUM(B114,B257))</f>
        <v/>
      </c>
      <c r="C543" s="27">
        <f>IF(SUM(C114,C257)=0,"",SUM(C257)/SUM(C114,C257))</f>
        <v/>
      </c>
      <c r="D543" s="27">
        <f>IF(SUM(D114,D257)=0,"",SUM(D257)/SUM(D114,D257))</f>
        <v/>
      </c>
      <c r="E543" s="27">
        <f>IF(SUM(E114,E257)=0,"",SUM(E257)/SUM(E114,E257))</f>
        <v/>
      </c>
      <c r="F543" s="27">
        <f>IF(SUM(F114,F257)=0,"",SUM(F257)/SUM(F114,F257))</f>
        <v/>
      </c>
      <c r="G543" s="27">
        <f>IF(SUM(G114,G257)=0,"",SUM(G257)/SUM(G114,G257))</f>
        <v/>
      </c>
      <c r="H543" s="27">
        <f>IF(SUM(H114,H257)=0,"",SUM(H257)/SUM(H114,H257))</f>
        <v/>
      </c>
    </row>
    <row r="544" hidden="1" outlineLevel="1">
      <c r="A544" t="inlineStr">
        <is>
          <t>Week3-Jul-2027</t>
        </is>
      </c>
      <c r="B544" s="27">
        <f>IF(SUM(B115,B258)=0,"",SUM(B258)/SUM(B115,B258))</f>
        <v/>
      </c>
      <c r="C544" s="27">
        <f>IF(SUM(C115,C258)=0,"",SUM(C258)/SUM(C115,C258))</f>
        <v/>
      </c>
      <c r="D544" s="27">
        <f>IF(SUM(D115,D258)=0,"",SUM(D258)/SUM(D115,D258))</f>
        <v/>
      </c>
      <c r="E544" s="27">
        <f>IF(SUM(E115,E258)=0,"",SUM(E258)/SUM(E115,E258))</f>
        <v/>
      </c>
      <c r="F544" s="27">
        <f>IF(SUM(F115,F258)=0,"",SUM(F258)/SUM(F115,F258))</f>
        <v/>
      </c>
      <c r="G544" s="27">
        <f>IF(SUM(G115,G258)=0,"",SUM(G258)/SUM(G115,G258))</f>
        <v/>
      </c>
      <c r="H544" s="27">
        <f>IF(SUM(H115,H258)=0,"",SUM(H258)/SUM(H115,H258))</f>
        <v/>
      </c>
    </row>
    <row r="545" hidden="1" outlineLevel="1">
      <c r="A545" t="inlineStr">
        <is>
          <t>Week4-Jul-2027</t>
        </is>
      </c>
      <c r="B545" s="27">
        <f>IF(SUM(B116,B259)=0,"",SUM(B259)/SUM(B116,B259))</f>
        <v/>
      </c>
      <c r="C545" s="27">
        <f>IF(SUM(C116,C259)=0,"",SUM(C259)/SUM(C116,C259))</f>
        <v/>
      </c>
      <c r="D545" s="27">
        <f>IF(SUM(D116,D259)=0,"",SUM(D259)/SUM(D116,D259))</f>
        <v/>
      </c>
      <c r="E545" s="27">
        <f>IF(SUM(E116,E259)=0,"",SUM(E259)/SUM(E116,E259))</f>
        <v/>
      </c>
      <c r="F545" s="27">
        <f>IF(SUM(F116,F259)=0,"",SUM(F259)/SUM(F116,F259))</f>
        <v/>
      </c>
      <c r="G545" s="27">
        <f>IF(SUM(G116,G259)=0,"",SUM(G259)/SUM(G116,G259))</f>
        <v/>
      </c>
      <c r="H545" s="27">
        <f>IF(SUM(H116,H259)=0,"",SUM(H259)/SUM(H116,H259))</f>
        <v/>
      </c>
    </row>
    <row r="546" hidden="1" outlineLevel="1">
      <c r="A546" t="inlineStr">
        <is>
          <t>Week5-Jul-2027</t>
        </is>
      </c>
      <c r="B546" s="27">
        <f>IF(SUM(B117,B260)=0,"",SUM(B260)/SUM(B117,B260))</f>
        <v/>
      </c>
      <c r="C546" s="27">
        <f>IF(SUM(C117,C260)=0,"",SUM(C260)/SUM(C117,C260))</f>
        <v/>
      </c>
      <c r="D546" s="27">
        <f>IF(SUM(D117,D260)=0,"",SUM(D260)/SUM(D117,D260))</f>
        <v/>
      </c>
      <c r="E546" s="27">
        <f>IF(SUM(E117,E260)=0,"",SUM(E260)/SUM(E117,E260))</f>
        <v/>
      </c>
      <c r="F546" s="27">
        <f>IF(SUM(F117,F260)=0,"",SUM(F260)/SUM(F117,F260))</f>
        <v/>
      </c>
      <c r="G546" s="27">
        <f>IF(SUM(G117,G260)=0,"",SUM(G260)/SUM(G117,G260))</f>
        <v/>
      </c>
      <c r="H546" s="27">
        <f>IF(SUM(H117,H260)=0,"",SUM(H260)/SUM(H117,H260))</f>
        <v/>
      </c>
    </row>
    <row r="547" hidden="1" outlineLevel="1">
      <c r="A547" t="inlineStr">
        <is>
          <t>Week1-Aug-2027</t>
        </is>
      </c>
      <c r="B547" s="27">
        <f>IF(SUM(B118,B261)=0,"",SUM(B261)/SUM(B118,B261))</f>
        <v/>
      </c>
      <c r="C547" s="27">
        <f>IF(SUM(C118,C261)=0,"",SUM(C261)/SUM(C118,C261))</f>
        <v/>
      </c>
      <c r="D547" s="27">
        <f>IF(SUM(D118,D261)=0,"",SUM(D261)/SUM(D118,D261))</f>
        <v/>
      </c>
      <c r="E547" s="27">
        <f>IF(SUM(E118,E261)=0,"",SUM(E261)/SUM(E118,E261))</f>
        <v/>
      </c>
      <c r="F547" s="27">
        <f>IF(SUM(F118,F261)=0,"",SUM(F261)/SUM(F118,F261))</f>
        <v/>
      </c>
      <c r="G547" s="27">
        <f>IF(SUM(G118,G261)=0,"",SUM(G261)/SUM(G118,G261))</f>
        <v/>
      </c>
      <c r="H547" s="27">
        <f>IF(SUM(H118,H261)=0,"",SUM(H261)/SUM(H118,H261))</f>
        <v/>
      </c>
    </row>
    <row r="548" hidden="1" outlineLevel="1">
      <c r="A548" t="inlineStr">
        <is>
          <t>Week2-Aug-2027</t>
        </is>
      </c>
      <c r="B548" s="27">
        <f>IF(SUM(B119,B262)=0,"",SUM(B262)/SUM(B119,B262))</f>
        <v/>
      </c>
      <c r="C548" s="27">
        <f>IF(SUM(C119,C262)=0,"",SUM(C262)/SUM(C119,C262))</f>
        <v/>
      </c>
      <c r="D548" s="27">
        <f>IF(SUM(D119,D262)=0,"",SUM(D262)/SUM(D119,D262))</f>
        <v/>
      </c>
      <c r="E548" s="27">
        <f>IF(SUM(E119,E262)=0,"",SUM(E262)/SUM(E119,E262))</f>
        <v/>
      </c>
      <c r="F548" s="27">
        <f>IF(SUM(F119,F262)=0,"",SUM(F262)/SUM(F119,F262))</f>
        <v/>
      </c>
      <c r="G548" s="27">
        <f>IF(SUM(G119,G262)=0,"",SUM(G262)/SUM(G119,G262))</f>
        <v/>
      </c>
      <c r="H548" s="27">
        <f>IF(SUM(H119,H262)=0,"",SUM(H262)/SUM(H119,H262))</f>
        <v/>
      </c>
    </row>
    <row r="549" hidden="1" outlineLevel="1">
      <c r="A549" t="inlineStr">
        <is>
          <t>Week3-Aug-2027</t>
        </is>
      </c>
      <c r="B549" s="27">
        <f>IF(SUM(B120,B263)=0,"",SUM(B263)/SUM(B120,B263))</f>
        <v/>
      </c>
      <c r="C549" s="27">
        <f>IF(SUM(C120,C263)=0,"",SUM(C263)/SUM(C120,C263))</f>
        <v/>
      </c>
      <c r="D549" s="27">
        <f>IF(SUM(D120,D263)=0,"",SUM(D263)/SUM(D120,D263))</f>
        <v/>
      </c>
      <c r="E549" s="27">
        <f>IF(SUM(E120,E263)=0,"",SUM(E263)/SUM(E120,E263))</f>
        <v/>
      </c>
      <c r="F549" s="27">
        <f>IF(SUM(F120,F263)=0,"",SUM(F263)/SUM(F120,F263))</f>
        <v/>
      </c>
      <c r="G549" s="27">
        <f>IF(SUM(G120,G263)=0,"",SUM(G263)/SUM(G120,G263))</f>
        <v/>
      </c>
      <c r="H549" s="27">
        <f>IF(SUM(H120,H263)=0,"",SUM(H263)/SUM(H120,H263))</f>
        <v/>
      </c>
    </row>
    <row r="550" hidden="1" outlineLevel="1">
      <c r="A550" t="inlineStr">
        <is>
          <t>Week4-Aug-2027</t>
        </is>
      </c>
      <c r="B550" s="27">
        <f>IF(SUM(B121,B264)=0,"",SUM(B264)/SUM(B121,B264))</f>
        <v/>
      </c>
      <c r="C550" s="27">
        <f>IF(SUM(C121,C264)=0,"",SUM(C264)/SUM(C121,C264))</f>
        <v/>
      </c>
      <c r="D550" s="27">
        <f>IF(SUM(D121,D264)=0,"",SUM(D264)/SUM(D121,D264))</f>
        <v/>
      </c>
      <c r="E550" s="27">
        <f>IF(SUM(E121,E264)=0,"",SUM(E264)/SUM(E121,E264))</f>
        <v/>
      </c>
      <c r="F550" s="27">
        <f>IF(SUM(F121,F264)=0,"",SUM(F264)/SUM(F121,F264))</f>
        <v/>
      </c>
      <c r="G550" s="27">
        <f>IF(SUM(G121,G264)=0,"",SUM(G264)/SUM(G121,G264))</f>
        <v/>
      </c>
      <c r="H550" s="27">
        <f>IF(SUM(H121,H264)=0,"",SUM(H264)/SUM(H121,H264))</f>
        <v/>
      </c>
    </row>
    <row r="551" hidden="1" outlineLevel="1">
      <c r="A551" t="inlineStr">
        <is>
          <t>Week5-Aug-2027</t>
        </is>
      </c>
      <c r="B551" s="27">
        <f>IF(SUM(B122,B265)=0,"",SUM(B265)/SUM(B122,B265))</f>
        <v/>
      </c>
      <c r="C551" s="27">
        <f>IF(SUM(C122,C265)=0,"",SUM(C265)/SUM(C122,C265))</f>
        <v/>
      </c>
      <c r="D551" s="27">
        <f>IF(SUM(D122,D265)=0,"",SUM(D265)/SUM(D122,D265))</f>
        <v/>
      </c>
      <c r="E551" s="27">
        <f>IF(SUM(E122,E265)=0,"",SUM(E265)/SUM(E122,E265))</f>
        <v/>
      </c>
      <c r="F551" s="27">
        <f>IF(SUM(F122,F265)=0,"",SUM(F265)/SUM(F122,F265))</f>
        <v/>
      </c>
      <c r="G551" s="27">
        <f>IF(SUM(G122,G265)=0,"",SUM(G265)/SUM(G122,G265))</f>
        <v/>
      </c>
      <c r="H551" s="27">
        <f>IF(SUM(H122,H265)=0,"",SUM(H265)/SUM(H122,H265))</f>
        <v/>
      </c>
    </row>
    <row r="552" hidden="1" outlineLevel="1">
      <c r="A552" t="inlineStr">
        <is>
          <t>Week1-Sep-2027</t>
        </is>
      </c>
      <c r="B552" s="27">
        <f>IF(SUM(B123,B266)=0,"",SUM(B266)/SUM(B123,B266))</f>
        <v/>
      </c>
      <c r="C552" s="27">
        <f>IF(SUM(C123,C266)=0,"",SUM(C266)/SUM(C123,C266))</f>
        <v/>
      </c>
      <c r="D552" s="27">
        <f>IF(SUM(D123,D266)=0,"",SUM(D266)/SUM(D123,D266))</f>
        <v/>
      </c>
      <c r="E552" s="27">
        <f>IF(SUM(E123,E266)=0,"",SUM(E266)/SUM(E123,E266))</f>
        <v/>
      </c>
      <c r="F552" s="27">
        <f>IF(SUM(F123,F266)=0,"",SUM(F266)/SUM(F123,F266))</f>
        <v/>
      </c>
      <c r="G552" s="27">
        <f>IF(SUM(G123,G266)=0,"",SUM(G266)/SUM(G123,G266))</f>
        <v/>
      </c>
      <c r="H552" s="27">
        <f>IF(SUM(H123,H266)=0,"",SUM(H266)/SUM(H123,H266))</f>
        <v/>
      </c>
    </row>
    <row r="553" hidden="1" outlineLevel="1">
      <c r="A553" t="inlineStr">
        <is>
          <t>Week2-Sep-2027</t>
        </is>
      </c>
      <c r="B553" s="27">
        <f>IF(SUM(B124,B267)=0,"",SUM(B267)/SUM(B124,B267))</f>
        <v/>
      </c>
      <c r="C553" s="27">
        <f>IF(SUM(C124,C267)=0,"",SUM(C267)/SUM(C124,C267))</f>
        <v/>
      </c>
      <c r="D553" s="27">
        <f>IF(SUM(D124,D267)=0,"",SUM(D267)/SUM(D124,D267))</f>
        <v/>
      </c>
      <c r="E553" s="27">
        <f>IF(SUM(E124,E267)=0,"",SUM(E267)/SUM(E124,E267))</f>
        <v/>
      </c>
      <c r="F553" s="27">
        <f>IF(SUM(F124,F267)=0,"",SUM(F267)/SUM(F124,F267))</f>
        <v/>
      </c>
      <c r="G553" s="27">
        <f>IF(SUM(G124,G267)=0,"",SUM(G267)/SUM(G124,G267))</f>
        <v/>
      </c>
      <c r="H553" s="27">
        <f>IF(SUM(H124,H267)=0,"",SUM(H267)/SUM(H124,H267))</f>
        <v/>
      </c>
    </row>
    <row r="554" hidden="1" outlineLevel="1">
      <c r="A554" t="inlineStr">
        <is>
          <t>Week3-Sep-2027</t>
        </is>
      </c>
      <c r="B554" s="27">
        <f>IF(SUM(B125,B268)=0,"",SUM(B268)/SUM(B125,B268))</f>
        <v/>
      </c>
      <c r="C554" s="27">
        <f>IF(SUM(C125,C268)=0,"",SUM(C268)/SUM(C125,C268))</f>
        <v/>
      </c>
      <c r="D554" s="27">
        <f>IF(SUM(D125,D268)=0,"",SUM(D268)/SUM(D125,D268))</f>
        <v/>
      </c>
      <c r="E554" s="27">
        <f>IF(SUM(E125,E268)=0,"",SUM(E268)/SUM(E125,E268))</f>
        <v/>
      </c>
      <c r="F554" s="27">
        <f>IF(SUM(F125,F268)=0,"",SUM(F268)/SUM(F125,F268))</f>
        <v/>
      </c>
      <c r="G554" s="27">
        <f>IF(SUM(G125,G268)=0,"",SUM(G268)/SUM(G125,G268))</f>
        <v/>
      </c>
      <c r="H554" s="27">
        <f>IF(SUM(H125,H268)=0,"",SUM(H268)/SUM(H125,H268))</f>
        <v/>
      </c>
    </row>
    <row r="555" hidden="1" outlineLevel="1">
      <c r="A555" t="inlineStr">
        <is>
          <t>Week4-Sep-2027</t>
        </is>
      </c>
      <c r="B555" s="27">
        <f>IF(SUM(B126,B269)=0,"",SUM(B269)/SUM(B126,B269))</f>
        <v/>
      </c>
      <c r="C555" s="27">
        <f>IF(SUM(C126,C269)=0,"",SUM(C269)/SUM(C126,C269))</f>
        <v/>
      </c>
      <c r="D555" s="27">
        <f>IF(SUM(D126,D269)=0,"",SUM(D269)/SUM(D126,D269))</f>
        <v/>
      </c>
      <c r="E555" s="27">
        <f>IF(SUM(E126,E269)=0,"",SUM(E269)/SUM(E126,E269))</f>
        <v/>
      </c>
      <c r="F555" s="27">
        <f>IF(SUM(F126,F269)=0,"",SUM(F269)/SUM(F126,F269))</f>
        <v/>
      </c>
      <c r="G555" s="27">
        <f>IF(SUM(G126,G269)=0,"",SUM(G269)/SUM(G126,G269))</f>
        <v/>
      </c>
      <c r="H555" s="27">
        <f>IF(SUM(H126,H269)=0,"",SUM(H269)/SUM(H126,H269))</f>
        <v/>
      </c>
    </row>
    <row r="556" hidden="1" outlineLevel="1">
      <c r="A556" t="inlineStr">
        <is>
          <t>Week5-Sep-2027</t>
        </is>
      </c>
      <c r="B556" s="27">
        <f>IF(SUM(B127,B270)=0,"",SUM(B270)/SUM(B127,B270))</f>
        <v/>
      </c>
      <c r="C556" s="27">
        <f>IF(SUM(C127,C270)=0,"",SUM(C270)/SUM(C127,C270))</f>
        <v/>
      </c>
      <c r="D556" s="27">
        <f>IF(SUM(D127,D270)=0,"",SUM(D270)/SUM(D127,D270))</f>
        <v/>
      </c>
      <c r="E556" s="27">
        <f>IF(SUM(E127,E270)=0,"",SUM(E270)/SUM(E127,E270))</f>
        <v/>
      </c>
      <c r="F556" s="27">
        <f>IF(SUM(F127,F270)=0,"",SUM(F270)/SUM(F127,F270))</f>
        <v/>
      </c>
      <c r="G556" s="27">
        <f>IF(SUM(G127,G270)=0,"",SUM(G270)/SUM(G127,G270))</f>
        <v/>
      </c>
      <c r="H556" s="27">
        <f>IF(SUM(H127,H270)=0,"",SUM(H270)/SUM(H127,H270))</f>
        <v/>
      </c>
    </row>
    <row r="557" hidden="1" outlineLevel="1">
      <c r="A557" t="inlineStr">
        <is>
          <t>Week1-Oct-2027</t>
        </is>
      </c>
      <c r="B557" s="27">
        <f>IF(SUM(B128,B271)=0,"",SUM(B271)/SUM(B128,B271))</f>
        <v/>
      </c>
      <c r="C557" s="27">
        <f>IF(SUM(C128,C271)=0,"",SUM(C271)/SUM(C128,C271))</f>
        <v/>
      </c>
      <c r="D557" s="27">
        <f>IF(SUM(D128,D271)=0,"",SUM(D271)/SUM(D128,D271))</f>
        <v/>
      </c>
      <c r="E557" s="27">
        <f>IF(SUM(E128,E271)=0,"",SUM(E271)/SUM(E128,E271))</f>
        <v/>
      </c>
      <c r="F557" s="27">
        <f>IF(SUM(F128,F271)=0,"",SUM(F271)/SUM(F128,F271))</f>
        <v/>
      </c>
      <c r="G557" s="27">
        <f>IF(SUM(G128,G271)=0,"",SUM(G271)/SUM(G128,G271))</f>
        <v/>
      </c>
      <c r="H557" s="27">
        <f>IF(SUM(H128,H271)=0,"",SUM(H271)/SUM(H128,H271))</f>
        <v/>
      </c>
    </row>
    <row r="558" hidden="1" outlineLevel="1">
      <c r="A558" t="inlineStr">
        <is>
          <t>Week2-Oct-2027</t>
        </is>
      </c>
      <c r="B558" s="27">
        <f>IF(SUM(B129,B272)=0,"",SUM(B272)/SUM(B129,B272))</f>
        <v/>
      </c>
      <c r="C558" s="27">
        <f>IF(SUM(C129,C272)=0,"",SUM(C272)/SUM(C129,C272))</f>
        <v/>
      </c>
      <c r="D558" s="27">
        <f>IF(SUM(D129,D272)=0,"",SUM(D272)/SUM(D129,D272))</f>
        <v/>
      </c>
      <c r="E558" s="27">
        <f>IF(SUM(E129,E272)=0,"",SUM(E272)/SUM(E129,E272))</f>
        <v/>
      </c>
      <c r="F558" s="27">
        <f>IF(SUM(F129,F272)=0,"",SUM(F272)/SUM(F129,F272))</f>
        <v/>
      </c>
      <c r="G558" s="27">
        <f>IF(SUM(G129,G272)=0,"",SUM(G272)/SUM(G129,G272))</f>
        <v/>
      </c>
      <c r="H558" s="27">
        <f>IF(SUM(H129,H272)=0,"",SUM(H272)/SUM(H129,H272))</f>
        <v/>
      </c>
    </row>
    <row r="559" hidden="1" outlineLevel="1">
      <c r="A559" t="inlineStr">
        <is>
          <t>Week3-Oct-2027</t>
        </is>
      </c>
      <c r="B559" s="27">
        <f>IF(SUM(B130,B273)=0,"",SUM(B273)/SUM(B130,B273))</f>
        <v/>
      </c>
      <c r="C559" s="27">
        <f>IF(SUM(C130,C273)=0,"",SUM(C273)/SUM(C130,C273))</f>
        <v/>
      </c>
      <c r="D559" s="27">
        <f>IF(SUM(D130,D273)=0,"",SUM(D273)/SUM(D130,D273))</f>
        <v/>
      </c>
      <c r="E559" s="27">
        <f>IF(SUM(E130,E273)=0,"",SUM(E273)/SUM(E130,E273))</f>
        <v/>
      </c>
      <c r="F559" s="27">
        <f>IF(SUM(F130,F273)=0,"",SUM(F273)/SUM(F130,F273))</f>
        <v/>
      </c>
      <c r="G559" s="27">
        <f>IF(SUM(G130,G273)=0,"",SUM(G273)/SUM(G130,G273))</f>
        <v/>
      </c>
      <c r="H559" s="27">
        <f>IF(SUM(H130,H273)=0,"",SUM(H273)/SUM(H130,H273))</f>
        <v/>
      </c>
    </row>
    <row r="560" hidden="1" outlineLevel="1">
      <c r="A560" t="inlineStr">
        <is>
          <t>Week4-Oct-2027</t>
        </is>
      </c>
      <c r="B560" s="27">
        <f>IF(SUM(B131,B274)=0,"",SUM(B274)/SUM(B131,B274))</f>
        <v/>
      </c>
      <c r="C560" s="27">
        <f>IF(SUM(C131,C274)=0,"",SUM(C274)/SUM(C131,C274))</f>
        <v/>
      </c>
      <c r="D560" s="27">
        <f>IF(SUM(D131,D274)=0,"",SUM(D274)/SUM(D131,D274))</f>
        <v/>
      </c>
      <c r="E560" s="27">
        <f>IF(SUM(E131,E274)=0,"",SUM(E274)/SUM(E131,E274))</f>
        <v/>
      </c>
      <c r="F560" s="27">
        <f>IF(SUM(F131,F274)=0,"",SUM(F274)/SUM(F131,F274))</f>
        <v/>
      </c>
      <c r="G560" s="27">
        <f>IF(SUM(G131,G274)=0,"",SUM(G274)/SUM(G131,G274))</f>
        <v/>
      </c>
      <c r="H560" s="27">
        <f>IF(SUM(H131,H274)=0,"",SUM(H274)/SUM(H131,H274))</f>
        <v/>
      </c>
    </row>
    <row r="561" hidden="1" outlineLevel="1">
      <c r="A561" t="inlineStr">
        <is>
          <t>Week5-Oct-2027</t>
        </is>
      </c>
      <c r="B561" s="27">
        <f>IF(SUM(B132,B275)=0,"",SUM(B275)/SUM(B132,B275))</f>
        <v/>
      </c>
      <c r="C561" s="27">
        <f>IF(SUM(C132,C275)=0,"",SUM(C275)/SUM(C132,C275))</f>
        <v/>
      </c>
      <c r="D561" s="27">
        <f>IF(SUM(D132,D275)=0,"",SUM(D275)/SUM(D132,D275))</f>
        <v/>
      </c>
      <c r="E561" s="27">
        <f>IF(SUM(E132,E275)=0,"",SUM(E275)/SUM(E132,E275))</f>
        <v/>
      </c>
      <c r="F561" s="27">
        <f>IF(SUM(F132,F275)=0,"",SUM(F275)/SUM(F132,F275))</f>
        <v/>
      </c>
      <c r="G561" s="27">
        <f>IF(SUM(G132,G275)=0,"",SUM(G275)/SUM(G132,G275))</f>
        <v/>
      </c>
      <c r="H561" s="27">
        <f>IF(SUM(H132,H275)=0,"",SUM(H275)/SUM(H132,H275))</f>
        <v/>
      </c>
    </row>
    <row r="562" hidden="1" outlineLevel="1">
      <c r="A562" t="inlineStr">
        <is>
          <t>Week1-Nov-2027</t>
        </is>
      </c>
      <c r="B562" s="27">
        <f>IF(SUM(B133,B276)=0,"",SUM(B276)/SUM(B133,B276))</f>
        <v/>
      </c>
      <c r="C562" s="27">
        <f>IF(SUM(C133,C276)=0,"",SUM(C276)/SUM(C133,C276))</f>
        <v/>
      </c>
      <c r="D562" s="27">
        <f>IF(SUM(D133,D276)=0,"",SUM(D276)/SUM(D133,D276))</f>
        <v/>
      </c>
      <c r="E562" s="27">
        <f>IF(SUM(E133,E276)=0,"",SUM(E276)/SUM(E133,E276))</f>
        <v/>
      </c>
      <c r="F562" s="27">
        <f>IF(SUM(F133,F276)=0,"",SUM(F276)/SUM(F133,F276))</f>
        <v/>
      </c>
      <c r="G562" s="27">
        <f>IF(SUM(G133,G276)=0,"",SUM(G276)/SUM(G133,G276))</f>
        <v/>
      </c>
      <c r="H562" s="27">
        <f>IF(SUM(H133,H276)=0,"",SUM(H276)/SUM(H133,H276))</f>
        <v/>
      </c>
    </row>
    <row r="563" hidden="1" outlineLevel="1">
      <c r="A563" t="inlineStr">
        <is>
          <t>Week2-Nov-2027</t>
        </is>
      </c>
      <c r="B563" s="27">
        <f>IF(SUM(B134,B277)=0,"",SUM(B277)/SUM(B134,B277))</f>
        <v/>
      </c>
      <c r="C563" s="27">
        <f>IF(SUM(C134,C277)=0,"",SUM(C277)/SUM(C134,C277))</f>
        <v/>
      </c>
      <c r="D563" s="27">
        <f>IF(SUM(D134,D277)=0,"",SUM(D277)/SUM(D134,D277))</f>
        <v/>
      </c>
      <c r="E563" s="27">
        <f>IF(SUM(E134,E277)=0,"",SUM(E277)/SUM(E134,E277))</f>
        <v/>
      </c>
      <c r="F563" s="27">
        <f>IF(SUM(F134,F277)=0,"",SUM(F277)/SUM(F134,F277))</f>
        <v/>
      </c>
      <c r="G563" s="27">
        <f>IF(SUM(G134,G277)=0,"",SUM(G277)/SUM(G134,G277))</f>
        <v/>
      </c>
      <c r="H563" s="27">
        <f>IF(SUM(H134,H277)=0,"",SUM(H277)/SUM(H134,H277))</f>
        <v/>
      </c>
    </row>
    <row r="564" hidden="1" outlineLevel="1">
      <c r="A564" t="inlineStr">
        <is>
          <t>Week3-Nov-2027</t>
        </is>
      </c>
      <c r="B564" s="27">
        <f>IF(SUM(B135,B278)=0,"",SUM(B278)/SUM(B135,B278))</f>
        <v/>
      </c>
      <c r="C564" s="27">
        <f>IF(SUM(C135,C278)=0,"",SUM(C278)/SUM(C135,C278))</f>
        <v/>
      </c>
      <c r="D564" s="27">
        <f>IF(SUM(D135,D278)=0,"",SUM(D278)/SUM(D135,D278))</f>
        <v/>
      </c>
      <c r="E564" s="27">
        <f>IF(SUM(E135,E278)=0,"",SUM(E278)/SUM(E135,E278))</f>
        <v/>
      </c>
      <c r="F564" s="27">
        <f>IF(SUM(F135,F278)=0,"",SUM(F278)/SUM(F135,F278))</f>
        <v/>
      </c>
      <c r="G564" s="27">
        <f>IF(SUM(G135,G278)=0,"",SUM(G278)/SUM(G135,G278))</f>
        <v/>
      </c>
      <c r="H564" s="27">
        <f>IF(SUM(H135,H278)=0,"",SUM(H278)/SUM(H135,H278))</f>
        <v/>
      </c>
    </row>
    <row r="565" hidden="1" outlineLevel="1">
      <c r="A565" t="inlineStr">
        <is>
          <t>Week4-Nov-2027</t>
        </is>
      </c>
      <c r="B565" s="27">
        <f>IF(SUM(B136,B279)=0,"",SUM(B279)/SUM(B136,B279))</f>
        <v/>
      </c>
      <c r="C565" s="27">
        <f>IF(SUM(C136,C279)=0,"",SUM(C279)/SUM(C136,C279))</f>
        <v/>
      </c>
      <c r="D565" s="27">
        <f>IF(SUM(D136,D279)=0,"",SUM(D279)/SUM(D136,D279))</f>
        <v/>
      </c>
      <c r="E565" s="27">
        <f>IF(SUM(E136,E279)=0,"",SUM(E279)/SUM(E136,E279))</f>
        <v/>
      </c>
      <c r="F565" s="27">
        <f>IF(SUM(F136,F279)=0,"",SUM(F279)/SUM(F136,F279))</f>
        <v/>
      </c>
      <c r="G565" s="27">
        <f>IF(SUM(G136,G279)=0,"",SUM(G279)/SUM(G136,G279))</f>
        <v/>
      </c>
      <c r="H565" s="27">
        <f>IF(SUM(H136,H279)=0,"",SUM(H279)/SUM(H136,H279))</f>
        <v/>
      </c>
    </row>
    <row r="566" hidden="1" outlineLevel="1">
      <c r="A566" t="inlineStr">
        <is>
          <t>Week5-Nov-2027</t>
        </is>
      </c>
      <c r="B566" s="27">
        <f>IF(SUM(B137,B280)=0,"",SUM(B280)/SUM(B137,B280))</f>
        <v/>
      </c>
      <c r="C566" s="27">
        <f>IF(SUM(C137,C280)=0,"",SUM(C280)/SUM(C137,C280))</f>
        <v/>
      </c>
      <c r="D566" s="27">
        <f>IF(SUM(D137,D280)=0,"",SUM(D280)/SUM(D137,D280))</f>
        <v/>
      </c>
      <c r="E566" s="27">
        <f>IF(SUM(E137,E280)=0,"",SUM(E280)/SUM(E137,E280))</f>
        <v/>
      </c>
      <c r="F566" s="27">
        <f>IF(SUM(F137,F280)=0,"",SUM(F280)/SUM(F137,F280))</f>
        <v/>
      </c>
      <c r="G566" s="27">
        <f>IF(SUM(G137,G280)=0,"",SUM(G280)/SUM(G137,G280))</f>
        <v/>
      </c>
      <c r="H566" s="27">
        <f>IF(SUM(H137,H280)=0,"",SUM(H280)/SUM(H137,H280))</f>
        <v/>
      </c>
    </row>
    <row r="567" hidden="1" outlineLevel="1">
      <c r="A567" t="inlineStr">
        <is>
          <t>Week1-Dec-2027</t>
        </is>
      </c>
      <c r="B567" s="27">
        <f>IF(SUM(B138,B281)=0,"",SUM(B281)/SUM(B138,B281))</f>
        <v/>
      </c>
      <c r="C567" s="27">
        <f>IF(SUM(C138,C281)=0,"",SUM(C281)/SUM(C138,C281))</f>
        <v/>
      </c>
      <c r="D567" s="27">
        <f>IF(SUM(D138,D281)=0,"",SUM(D281)/SUM(D138,D281))</f>
        <v/>
      </c>
      <c r="E567" s="27">
        <f>IF(SUM(E138,E281)=0,"",SUM(E281)/SUM(E138,E281))</f>
        <v/>
      </c>
      <c r="F567" s="27">
        <f>IF(SUM(F138,F281)=0,"",SUM(F281)/SUM(F138,F281))</f>
        <v/>
      </c>
      <c r="G567" s="27">
        <f>IF(SUM(G138,G281)=0,"",SUM(G281)/SUM(G138,G281))</f>
        <v/>
      </c>
      <c r="H567" s="27">
        <f>IF(SUM(H138,H281)=0,"",SUM(H281)/SUM(H138,H281))</f>
        <v/>
      </c>
    </row>
    <row r="568" hidden="1" outlineLevel="1">
      <c r="A568" t="inlineStr">
        <is>
          <t>Week2-Dec-2027</t>
        </is>
      </c>
      <c r="B568" s="27">
        <f>IF(SUM(B139,B282)=0,"",SUM(B282)/SUM(B139,B282))</f>
        <v/>
      </c>
      <c r="C568" s="27">
        <f>IF(SUM(C139,C282)=0,"",SUM(C282)/SUM(C139,C282))</f>
        <v/>
      </c>
      <c r="D568" s="27">
        <f>IF(SUM(D139,D282)=0,"",SUM(D282)/SUM(D139,D282))</f>
        <v/>
      </c>
      <c r="E568" s="27">
        <f>IF(SUM(E139,E282)=0,"",SUM(E282)/SUM(E139,E282))</f>
        <v/>
      </c>
      <c r="F568" s="27">
        <f>IF(SUM(F139,F282)=0,"",SUM(F282)/SUM(F139,F282))</f>
        <v/>
      </c>
      <c r="G568" s="27">
        <f>IF(SUM(G139,G282)=0,"",SUM(G282)/SUM(G139,G282))</f>
        <v/>
      </c>
      <c r="H568" s="27">
        <f>IF(SUM(H139,H282)=0,"",SUM(H282)/SUM(H139,H282))</f>
        <v/>
      </c>
    </row>
    <row r="569" hidden="1" outlineLevel="1">
      <c r="A569" t="inlineStr">
        <is>
          <t>Week3-Dec-2027</t>
        </is>
      </c>
      <c r="B569" s="27">
        <f>IF(SUM(B140,B283)=0,"",SUM(B283)/SUM(B140,B283))</f>
        <v/>
      </c>
      <c r="C569" s="27">
        <f>IF(SUM(C140,C283)=0,"",SUM(C283)/SUM(C140,C283))</f>
        <v/>
      </c>
      <c r="D569" s="27">
        <f>IF(SUM(D140,D283)=0,"",SUM(D283)/SUM(D140,D283))</f>
        <v/>
      </c>
      <c r="E569" s="27">
        <f>IF(SUM(E140,E283)=0,"",SUM(E283)/SUM(E140,E283))</f>
        <v/>
      </c>
      <c r="F569" s="27">
        <f>IF(SUM(F140,F283)=0,"",SUM(F283)/SUM(F140,F283))</f>
        <v/>
      </c>
      <c r="G569" s="27">
        <f>IF(SUM(G140,G283)=0,"",SUM(G283)/SUM(G140,G283))</f>
        <v/>
      </c>
      <c r="H569" s="27">
        <f>IF(SUM(H140,H283)=0,"",SUM(H283)/SUM(H140,H283))</f>
        <v/>
      </c>
    </row>
    <row r="570" hidden="1" outlineLevel="1">
      <c r="A570" t="inlineStr">
        <is>
          <t>Week4-Dec-2027</t>
        </is>
      </c>
      <c r="B570" s="27">
        <f>IF(SUM(B141,B284)=0,"",SUM(B284)/SUM(B141,B284))</f>
        <v/>
      </c>
      <c r="C570" s="27">
        <f>IF(SUM(C141,C284)=0,"",SUM(C284)/SUM(C141,C284))</f>
        <v/>
      </c>
      <c r="D570" s="27">
        <f>IF(SUM(D141,D284)=0,"",SUM(D284)/SUM(D141,D284))</f>
        <v/>
      </c>
      <c r="E570" s="27">
        <f>IF(SUM(E141,E284)=0,"",SUM(E284)/SUM(E141,E284))</f>
        <v/>
      </c>
      <c r="F570" s="27">
        <f>IF(SUM(F141,F284)=0,"",SUM(F284)/SUM(F141,F284))</f>
        <v/>
      </c>
      <c r="G570" s="27">
        <f>IF(SUM(G141,G284)=0,"",SUM(G284)/SUM(G141,G284))</f>
        <v/>
      </c>
      <c r="H570" s="27">
        <f>IF(SUM(H141,H284)=0,"",SUM(H284)/SUM(H141,H284))</f>
        <v/>
      </c>
    </row>
    <row r="571" hidden="1" outlineLevel="1">
      <c r="A571" t="inlineStr">
        <is>
          <t>Week5-Dec-2027</t>
        </is>
      </c>
      <c r="B571" s="27">
        <f>IF(SUM(B142,B285)=0,"",SUM(B285)/SUM(B142,B285))</f>
        <v/>
      </c>
      <c r="C571" s="27">
        <f>IF(SUM(C142,C285)=0,"",SUM(C285)/SUM(C142,C285))</f>
        <v/>
      </c>
      <c r="D571" s="27">
        <f>IF(SUM(D142,D285)=0,"",SUM(D285)/SUM(D142,D285))</f>
        <v/>
      </c>
      <c r="E571" s="27">
        <f>IF(SUM(E142,E285)=0,"",SUM(E285)/SUM(E142,E285))</f>
        <v/>
      </c>
      <c r="F571" s="27">
        <f>IF(SUM(F142,F285)=0,"",SUM(F285)/SUM(F142,F285))</f>
        <v/>
      </c>
      <c r="G571" s="27">
        <f>IF(SUM(G142,G285)=0,"",SUM(G285)/SUM(G142,G285))</f>
        <v/>
      </c>
      <c r="H571" s="27">
        <f>IF(SUM(H142,H285)=0,"",SUM(H285)/SUM(H142,H285))</f>
        <v/>
      </c>
    </row>
    <row r="572" collapsed="1">
      <c r="A572" s="32" t="inlineStr">
        <is>
          <t>Total</t>
        </is>
      </c>
      <c r="B572" s="34">
        <f>IF(SUM(B143,B286)=0,"",SUM(B286)/SUM(B143,B286))</f>
        <v/>
      </c>
      <c r="C572" s="34">
        <f>IF(SUM(C143,C286)=0,"",SUM(C286)/SUM(C143,C286))</f>
        <v/>
      </c>
      <c r="D572" s="34">
        <f>IF(SUM(D143,D286)=0,"",SUM(D286)/SUM(D143,D286))</f>
        <v/>
      </c>
      <c r="E572" s="34">
        <f>IF(SUM(E143,E286)=0,"",SUM(E286)/SUM(E143,E286))</f>
        <v/>
      </c>
      <c r="F572" s="34">
        <f>IF(SUM(F143,F286)=0,"",SUM(F286)/SUM(F143,F286))</f>
        <v/>
      </c>
      <c r="G572" s="34">
        <f>IF(SUM(G143,G286)=0,"",SUM(G286)/SUM(G143,G286))</f>
        <v/>
      </c>
      <c r="H572" s="34">
        <f>IF(SUM(H143,H286)=0,"",SUM(H286)/SUM(H143,H286))</f>
        <v/>
      </c>
    </row>
  </sheetData>
  <conditionalFormatting sqref="B291:B4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4:B57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1:C4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4:C57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1:D4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4:D57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1:E4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4:E57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1:F4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4:F57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1:G4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4:G57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1:H4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4:H57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topLeftCell="A12" workbookViewId="0">
      <selection activeCell="O27" sqref="O27"/>
    </sheetView>
  </sheetViews>
  <sheetFormatPr baseColWidth="10" defaultColWidth="8.83203125" defaultRowHeight="16" outlineLevelRow="1"/>
  <cols>
    <col width="12" customWidth="1" min="1" max="1"/>
    <col width="30" customWidth="1" min="2" max="3"/>
    <col width="16" customWidth="1" min="4" max="5"/>
    <col width="22" customWidth="1" min="11" max="11"/>
    <col width="8" customWidth="1" min="12" max="12"/>
  </cols>
  <sheetData>
    <row r="1">
      <c r="A1" s="32" t="inlineStr">
        <is>
          <t>Overall Monthly — NSE vs BSE (all index options) Premium Turnover &amp; Market Share by Expiry Type 2 (Sep-2025 onwards, live)</t>
        </is>
      </c>
      <c r="K1" s="28" t="inlineStr">
        <is>
          <t>Cuts / Scope</t>
        </is>
      </c>
    </row>
    <row r="2">
      <c r="A2" s="48" t="inlineStr">
        <is>
          <t>Overall level (no day split): monthly NSE vs BSE premium (INR Bn) &amp; market share in three tables — All expiry types / Weekly+MDAW combined / Monthly (by Expiry Type 2). MDAW = a monthly contract trading within 6 days of its expiry, i.e. acting as the front weekly (tagged on NIFTY &amp; SENSEX only).</t>
        </is>
      </c>
      <c r="K2" t="inlineStr">
        <is>
          <t>Index Options</t>
        </is>
      </c>
      <c r="L2" s="56" t="inlineStr">
        <is>
          <t>Yes</t>
        </is>
      </c>
    </row>
    <row r="3">
      <c r="A3" s="32" t="inlineStr">
        <is>
          <t>All Expiry Types</t>
        </is>
      </c>
      <c r="K3" t="inlineStr">
        <is>
          <t>Stock Options</t>
        </is>
      </c>
      <c r="L3" s="49" t="inlineStr">
        <is>
          <t>No</t>
        </is>
      </c>
    </row>
    <row r="4">
      <c r="A4" s="32" t="inlineStr">
        <is>
          <t>Month</t>
        </is>
      </c>
      <c r="B4" s="32" t="inlineStr">
        <is>
          <t>NSE Premium Turnover (INR Bn)</t>
        </is>
      </c>
      <c r="C4" s="32" t="inlineStr">
        <is>
          <t>BSE Premium Turnover (INR Bn)</t>
        </is>
      </c>
      <c r="D4" s="32" t="inlineStr">
        <is>
          <t>NSE Market Share</t>
        </is>
      </c>
      <c r="E4" s="32" t="inlineStr">
        <is>
          <t>BSE Market Share</t>
        </is>
      </c>
      <c r="K4" t="inlineStr">
        <is>
          <t>Index Futures</t>
        </is>
      </c>
      <c r="L4" s="49" t="inlineStr">
        <is>
          <t>No</t>
        </is>
      </c>
    </row>
    <row r="5">
      <c r="A5" s="24" t="n">
        <v>45901</v>
      </c>
      <c r="B5" s="26">
        <f>IF(SUMIFS('NSE - NIFTY Index Options'!$M:$M,'NSE - NIFTY Index Options'!$D:$D,$A5,'NSE - NIFTY Index Options'!$I:$I,"*")+SUMIFS('NSE - Other Index Options'!$M:$M,'NSE - Other Index Options'!$D:$D,$A5,'NSE - Other Index Options'!$I:$I,"*")=0,"",SUMIFS('NSE - NIFTY Index Options'!$M:$M,'NSE - NIFTY Index Options'!$D:$D,$A5,'NSE - NIFTY Index Options'!$I:$I,"*")+SUMIFS('NSE - Other Index Options'!$M:$M,'NSE - Other Index Options'!$D:$D,$A5,'NSE - Other Index Options'!$I:$I,"*"))</f>
        <v/>
      </c>
      <c r="C5" s="26">
        <f>IF(SUMIFS('BSE - SENSEX Index Options'!$M:$M,'BSE - SENSEX Index Options'!$D:$D,$A5,'BSE - SENSEX Index Options'!$I:$I,"*")+SUMIFS('BSE - Other Index Options'!$M:$M,'BSE - Other Index Options'!$D:$D,$A5,'BSE - Other Index Options'!$I:$I,"*")=0,"",SUMIFS('BSE - SENSEX Index Options'!$M:$M,'BSE - SENSEX Index Options'!$D:$D,$A5,'BSE - SENSEX Index Options'!$I:$I,"*")+SUMIFS('BSE - Other Index Options'!$M:$M,'BSE - Other Index Options'!$D:$D,$A5,'BSE - Other Index Options'!$I:$I,"*"))</f>
        <v/>
      </c>
      <c r="D5" s="27">
        <f>IF(SUM(B5:C5)=0,"",SUM(B5)/SUM(B5:C5))</f>
        <v/>
      </c>
      <c r="E5" s="27">
        <f>IF(SUM(B5:C5)=0,"",SUM(C5)/SUM(B5:C5))</f>
        <v/>
      </c>
      <c r="K5" t="inlineStr">
        <is>
          <t>NSE</t>
        </is>
      </c>
      <c r="L5" s="56" t="inlineStr">
        <is>
          <t>Yes</t>
        </is>
      </c>
    </row>
    <row r="6">
      <c r="A6" s="24" t="n">
        <v>45931</v>
      </c>
      <c r="B6" s="26">
        <f>IF(SUMIFS('NSE - NIFTY Index Options'!$M:$M,'NSE - NIFTY Index Options'!$D:$D,$A6,'NSE - NIFTY Index Options'!$I:$I,"*")+SUMIFS('NSE - Other Index Options'!$M:$M,'NSE - Other Index Options'!$D:$D,$A6,'NSE - Other Index Options'!$I:$I,"*")=0,"",SUMIFS('NSE - NIFTY Index Options'!$M:$M,'NSE - NIFTY Index Options'!$D:$D,$A6,'NSE - NIFTY Index Options'!$I:$I,"*")+SUMIFS('NSE - Other Index Options'!$M:$M,'NSE - Other Index Options'!$D:$D,$A6,'NSE - Other Index Options'!$I:$I,"*"))</f>
        <v/>
      </c>
      <c r="C6" s="26">
        <f>IF(SUMIFS('BSE - SENSEX Index Options'!$M:$M,'BSE - SENSEX Index Options'!$D:$D,$A6,'BSE - SENSEX Index Options'!$I:$I,"*")+SUMIFS('BSE - Other Index Options'!$M:$M,'BSE - Other Index Options'!$D:$D,$A6,'BSE - Other Index Options'!$I:$I,"*")=0,"",SUMIFS('BSE - SENSEX Index Options'!$M:$M,'BSE - SENSEX Index Options'!$D:$D,$A6,'BSE - SENSEX Index Options'!$I:$I,"*")+SUMIFS('BSE - Other Index Options'!$M:$M,'BSE - Other Index Options'!$D:$D,$A6,'BSE - Other Index Options'!$I:$I,"*"))</f>
        <v/>
      </c>
      <c r="D6" s="27">
        <f>IF(SUM(B6:C6)=0,"",SUM(B6)/SUM(B6:C6))</f>
        <v/>
      </c>
      <c r="E6" s="27">
        <f>IF(SUM(B6:C6)=0,"",SUM(C6)/SUM(B6:C6))</f>
        <v/>
      </c>
      <c r="K6" t="inlineStr">
        <is>
          <t>BSE</t>
        </is>
      </c>
      <c r="L6" s="56" t="inlineStr">
        <is>
          <t>Yes</t>
        </is>
      </c>
    </row>
    <row r="7">
      <c r="A7" s="24" t="n">
        <v>45962</v>
      </c>
      <c r="B7" s="26">
        <f>IF(SUMIFS('NSE - NIFTY Index Options'!$M:$M,'NSE - NIFTY Index Options'!$D:$D,$A7,'NSE - NIFTY Index Options'!$I:$I,"*")+SUMIFS('NSE - Other Index Options'!$M:$M,'NSE - Other Index Options'!$D:$D,$A7,'NSE - Other Index Options'!$I:$I,"*")=0,"",SUMIFS('NSE - NIFTY Index Options'!$M:$M,'NSE - NIFTY Index Options'!$D:$D,$A7,'NSE - NIFTY Index Options'!$I:$I,"*")+SUMIFS('NSE - Other Index Options'!$M:$M,'NSE - Other Index Options'!$D:$D,$A7,'NSE - Other Index Options'!$I:$I,"*"))</f>
        <v/>
      </c>
      <c r="C7" s="26">
        <f>IF(SUMIFS('BSE - SENSEX Index Options'!$M:$M,'BSE - SENSEX Index Options'!$D:$D,$A7,'BSE - SENSEX Index Options'!$I:$I,"*")+SUMIFS('BSE - Other Index Options'!$M:$M,'BSE - Other Index Options'!$D:$D,$A7,'BSE - Other Index Options'!$I:$I,"*")=0,"",SUMIFS('BSE - SENSEX Index Options'!$M:$M,'BSE - SENSEX Index Options'!$D:$D,$A7,'BSE - SENSEX Index Options'!$I:$I,"*")+SUMIFS('BSE - Other Index Options'!$M:$M,'BSE - Other Index Options'!$D:$D,$A7,'BSE - Other Index Options'!$I:$I,"*"))</f>
        <v/>
      </c>
      <c r="D7" s="27">
        <f>IF(SUM(B7:C7)=0,"",SUM(B7)/SUM(B7:C7))</f>
        <v/>
      </c>
      <c r="E7" s="27">
        <f>IF(SUM(B7:C7)=0,"",SUM(C7)/SUM(B7:C7))</f>
        <v/>
      </c>
      <c r="K7" t="inlineStr">
        <is>
          <t>NIFTY Index</t>
        </is>
      </c>
      <c r="L7" s="56" t="inlineStr">
        <is>
          <t>Yes</t>
        </is>
      </c>
    </row>
    <row r="8">
      <c r="A8" s="24" t="n">
        <v>45992</v>
      </c>
      <c r="B8" s="26">
        <f>IF(SUMIFS('NSE - NIFTY Index Options'!$M:$M,'NSE - NIFTY Index Options'!$D:$D,$A8,'NSE - NIFTY Index Options'!$I:$I,"*")+SUMIFS('NSE - Other Index Options'!$M:$M,'NSE - Other Index Options'!$D:$D,$A8,'NSE - Other Index Options'!$I:$I,"*")=0,"",SUMIFS('NSE - NIFTY Index Options'!$M:$M,'NSE - NIFTY Index Options'!$D:$D,$A8,'NSE - NIFTY Index Options'!$I:$I,"*")+SUMIFS('NSE - Other Index Options'!$M:$M,'NSE - Other Index Options'!$D:$D,$A8,'NSE - Other Index Options'!$I:$I,"*"))</f>
        <v/>
      </c>
      <c r="C8" s="26">
        <f>IF(SUMIFS('BSE - SENSEX Index Options'!$M:$M,'BSE - SENSEX Index Options'!$D:$D,$A8,'BSE - SENSEX Index Options'!$I:$I,"*")+SUMIFS('BSE - Other Index Options'!$M:$M,'BSE - Other Index Options'!$D:$D,$A8,'BSE - Other Index Options'!$I:$I,"*")=0,"",SUMIFS('BSE - SENSEX Index Options'!$M:$M,'BSE - SENSEX Index Options'!$D:$D,$A8,'BSE - SENSEX Index Options'!$I:$I,"*")+SUMIFS('BSE - Other Index Options'!$M:$M,'BSE - Other Index Options'!$D:$D,$A8,'BSE - Other Index Options'!$I:$I,"*"))</f>
        <v/>
      </c>
      <c r="D8" s="27">
        <f>IF(SUM(B8:C8)=0,"",SUM(B8)/SUM(B8:C8))</f>
        <v/>
      </c>
      <c r="E8" s="27">
        <f>IF(SUM(B8:C8)=0,"",SUM(C8)/SUM(B8:C8))</f>
        <v/>
      </c>
      <c r="K8" t="inlineStr">
        <is>
          <t>Other NSE Indices</t>
        </is>
      </c>
      <c r="L8" s="56" t="inlineStr">
        <is>
          <t>Yes</t>
        </is>
      </c>
    </row>
    <row r="9">
      <c r="A9" s="24" t="n">
        <v>46023</v>
      </c>
      <c r="B9" s="26">
        <f>IF(SUMIFS('NSE - NIFTY Index Options'!$M:$M,'NSE - NIFTY Index Options'!$D:$D,$A9,'NSE - NIFTY Index Options'!$I:$I,"*")+SUMIFS('NSE - Other Index Options'!$M:$M,'NSE - Other Index Options'!$D:$D,$A9,'NSE - Other Index Options'!$I:$I,"*")=0,"",SUMIFS('NSE - NIFTY Index Options'!$M:$M,'NSE - NIFTY Index Options'!$D:$D,$A9,'NSE - NIFTY Index Options'!$I:$I,"*")+SUMIFS('NSE - Other Index Options'!$M:$M,'NSE - Other Index Options'!$D:$D,$A9,'NSE - Other Index Options'!$I:$I,"*"))</f>
        <v/>
      </c>
      <c r="C9" s="26">
        <f>IF(SUMIFS('BSE - SENSEX Index Options'!$M:$M,'BSE - SENSEX Index Options'!$D:$D,$A9,'BSE - SENSEX Index Options'!$I:$I,"*")+SUMIFS('BSE - Other Index Options'!$M:$M,'BSE - Other Index Options'!$D:$D,$A9,'BSE - Other Index Options'!$I:$I,"*")=0,"",SUMIFS('BSE - SENSEX Index Options'!$M:$M,'BSE - SENSEX Index Options'!$D:$D,$A9,'BSE - SENSEX Index Options'!$I:$I,"*")+SUMIFS('BSE - Other Index Options'!$M:$M,'BSE - Other Index Options'!$D:$D,$A9,'BSE - Other Index Options'!$I:$I,"*"))</f>
        <v/>
      </c>
      <c r="D9" s="27">
        <f>IF(SUM(B9:C9)=0,"",SUM(B9)/SUM(B9:C9))</f>
        <v/>
      </c>
      <c r="E9" s="27">
        <f>IF(SUM(B9:C9)=0,"",SUM(C9)/SUM(B9:C9))</f>
        <v/>
      </c>
      <c r="K9" t="inlineStr">
        <is>
          <t>SENSEX Index</t>
        </is>
      </c>
      <c r="L9" s="56" t="inlineStr">
        <is>
          <t>Yes</t>
        </is>
      </c>
    </row>
    <row r="10">
      <c r="A10" s="24" t="n">
        <v>46054</v>
      </c>
      <c r="B10" s="26">
        <f>IF(SUMIFS('NSE - NIFTY Index Options'!$M:$M,'NSE - NIFTY Index Options'!$D:$D,$A10,'NSE - NIFTY Index Options'!$I:$I,"*")+SUMIFS('NSE - Other Index Options'!$M:$M,'NSE - Other Index Options'!$D:$D,$A10,'NSE - Other Index Options'!$I:$I,"*")=0,"",SUMIFS('NSE - NIFTY Index Options'!$M:$M,'NSE - NIFTY Index Options'!$D:$D,$A10,'NSE - NIFTY Index Options'!$I:$I,"*")+SUMIFS('NSE - Other Index Options'!$M:$M,'NSE - Other Index Options'!$D:$D,$A10,'NSE - Other Index Options'!$I:$I,"*"))</f>
        <v/>
      </c>
      <c r="C10" s="26">
        <f>IF(SUMIFS('BSE - SENSEX Index Options'!$M:$M,'BSE - SENSEX Index Options'!$D:$D,$A10,'BSE - SENSEX Index Options'!$I:$I,"*")+SUMIFS('BSE - Other Index Options'!$M:$M,'BSE - Other Index Options'!$D:$D,$A10,'BSE - Other Index Options'!$I:$I,"*")=0,"",SUMIFS('BSE - SENSEX Index Options'!$M:$M,'BSE - SENSEX Index Options'!$D:$D,$A10,'BSE - SENSEX Index Options'!$I:$I,"*")+SUMIFS('BSE - Other Index Options'!$M:$M,'BSE - Other Index Options'!$D:$D,$A10,'BSE - Other Index Options'!$I:$I,"*"))</f>
        <v/>
      </c>
      <c r="D10" s="27">
        <f>IF(SUM(B10:C10)=0,"",SUM(B10)/SUM(B10:C10))</f>
        <v/>
      </c>
      <c r="E10" s="27">
        <f>IF(SUM(B10:C10)=0,"",SUM(C10)/SUM(B10:C10))</f>
        <v/>
      </c>
      <c r="K10" t="inlineStr">
        <is>
          <t>Other BSE Indices</t>
        </is>
      </c>
      <c r="L10" s="57" t="inlineStr">
        <is>
          <t>Yes</t>
        </is>
      </c>
    </row>
    <row r="11">
      <c r="A11" s="24" t="n">
        <v>46082</v>
      </c>
      <c r="B11" s="26">
        <f>IF(SUMIFS('NSE - NIFTY Index Options'!$M:$M,'NSE - NIFTY Index Options'!$D:$D,$A11,'NSE - NIFTY Index Options'!$I:$I,"*")+SUMIFS('NSE - Other Index Options'!$M:$M,'NSE - Other Index Options'!$D:$D,$A11,'NSE - Other Index Options'!$I:$I,"*")=0,"",SUMIFS('NSE - NIFTY Index Options'!$M:$M,'NSE - NIFTY Index Options'!$D:$D,$A11,'NSE - NIFTY Index Options'!$I:$I,"*")+SUMIFS('NSE - Other Index Options'!$M:$M,'NSE - Other Index Options'!$D:$D,$A11,'NSE - Other Index Options'!$I:$I,"*"))</f>
        <v/>
      </c>
      <c r="C11" s="26">
        <f>IF(SUMIFS('BSE - SENSEX Index Options'!$M:$M,'BSE - SENSEX Index Options'!$D:$D,$A11,'BSE - SENSEX Index Options'!$I:$I,"*")+SUMIFS('BSE - Other Index Options'!$M:$M,'BSE - Other Index Options'!$D:$D,$A11,'BSE - Other Index Options'!$I:$I,"*")=0,"",SUMIFS('BSE - SENSEX Index Options'!$M:$M,'BSE - SENSEX Index Options'!$D:$D,$A11,'BSE - SENSEX Index Options'!$I:$I,"*")+SUMIFS('BSE - Other Index Options'!$M:$M,'BSE - Other Index Options'!$D:$D,$A11,'BSE - Other Index Options'!$I:$I,"*"))</f>
        <v/>
      </c>
      <c r="D11" s="27">
        <f>IF(SUM(B11:C11)=0,"",SUM(B11)/SUM(B11:C11))</f>
        <v/>
      </c>
      <c r="E11" s="27">
        <f>IF(SUM(B11:C11)=0,"",SUM(C11)/SUM(B11:C11))</f>
        <v/>
      </c>
      <c r="K11" t="inlineStr">
        <is>
          <t>Expiry Type 2 - Weekly</t>
        </is>
      </c>
      <c r="L11" s="57" t="inlineStr">
        <is>
          <t>Yes</t>
        </is>
      </c>
    </row>
    <row r="12">
      <c r="A12" s="24" t="n">
        <v>46113</v>
      </c>
      <c r="B12" s="26">
        <f>IF(SUMIFS('NSE - NIFTY Index Options'!$M:$M,'NSE - NIFTY Index Options'!$D:$D,$A12,'NSE - NIFTY Index Options'!$I:$I,"*")+SUMIFS('NSE - Other Index Options'!$M:$M,'NSE - Other Index Options'!$D:$D,$A12,'NSE - Other Index Options'!$I:$I,"*")=0,"",SUMIFS('NSE - NIFTY Index Options'!$M:$M,'NSE - NIFTY Index Options'!$D:$D,$A12,'NSE - NIFTY Index Options'!$I:$I,"*")+SUMIFS('NSE - Other Index Options'!$M:$M,'NSE - Other Index Options'!$D:$D,$A12,'NSE - Other Index Options'!$I:$I,"*"))</f>
        <v/>
      </c>
      <c r="C12" s="26">
        <f>IF(SUMIFS('BSE - SENSEX Index Options'!$M:$M,'BSE - SENSEX Index Options'!$D:$D,$A12,'BSE - SENSEX Index Options'!$I:$I,"*")+SUMIFS('BSE - Other Index Options'!$M:$M,'BSE - Other Index Options'!$D:$D,$A12,'BSE - Other Index Options'!$I:$I,"*")=0,"",SUMIFS('BSE - SENSEX Index Options'!$M:$M,'BSE - SENSEX Index Options'!$D:$D,$A12,'BSE - SENSEX Index Options'!$I:$I,"*")+SUMIFS('BSE - Other Index Options'!$M:$M,'BSE - Other Index Options'!$D:$D,$A12,'BSE - Other Index Options'!$I:$I,"*"))</f>
        <v/>
      </c>
      <c r="D12" s="27">
        <f>IF(SUM(B12:C12)=0,"",SUM(B12)/SUM(B12:C12))</f>
        <v/>
      </c>
      <c r="E12" s="27">
        <f>IF(SUM(B12:C12)=0,"",SUM(C12)/SUM(B12:C12))</f>
        <v/>
      </c>
      <c r="K12" t="inlineStr">
        <is>
          <t>Expiry Type 2 - MDAW</t>
        </is>
      </c>
      <c r="L12" s="57" t="inlineStr">
        <is>
          <t>Yes</t>
        </is>
      </c>
    </row>
    <row r="13">
      <c r="A13" s="24" t="n">
        <v>46143</v>
      </c>
      <c r="B13" s="26">
        <f>IF(SUMIFS('NSE - NIFTY Index Options'!$M:$M,'NSE - NIFTY Index Options'!$D:$D,$A13,'NSE - NIFTY Index Options'!$I:$I,"*")+SUMIFS('NSE - Other Index Options'!$M:$M,'NSE - Other Index Options'!$D:$D,$A13,'NSE - Other Index Options'!$I:$I,"*")=0,"",SUMIFS('NSE - NIFTY Index Options'!$M:$M,'NSE - NIFTY Index Options'!$D:$D,$A13,'NSE - NIFTY Index Options'!$I:$I,"*")+SUMIFS('NSE - Other Index Options'!$M:$M,'NSE - Other Index Options'!$D:$D,$A13,'NSE - Other Index Options'!$I:$I,"*"))</f>
        <v/>
      </c>
      <c r="C13" s="26">
        <f>IF(SUMIFS('BSE - SENSEX Index Options'!$M:$M,'BSE - SENSEX Index Options'!$D:$D,$A13,'BSE - SENSEX Index Options'!$I:$I,"*")+SUMIFS('BSE - Other Index Options'!$M:$M,'BSE - Other Index Options'!$D:$D,$A13,'BSE - Other Index Options'!$I:$I,"*")=0,"",SUMIFS('BSE - SENSEX Index Options'!$M:$M,'BSE - SENSEX Index Options'!$D:$D,$A13,'BSE - SENSEX Index Options'!$I:$I,"*")+SUMIFS('BSE - Other Index Options'!$M:$M,'BSE - Other Index Options'!$D:$D,$A13,'BSE - Other Index Options'!$I:$I,"*"))</f>
        <v/>
      </c>
      <c r="D13" s="27">
        <f>IF(SUM(B13:C13)=0,"",SUM(B13)/SUM(B13:C13))</f>
        <v/>
      </c>
      <c r="E13" s="27">
        <f>IF(SUM(B13:C13)=0,"",SUM(C13)/SUM(B13:C13))</f>
        <v/>
      </c>
      <c r="K13" t="inlineStr">
        <is>
          <t>Expiry Type 2 - Monthly</t>
        </is>
      </c>
      <c r="L13" s="57" t="inlineStr">
        <is>
          <t>Yes</t>
        </is>
      </c>
    </row>
    <row r="14">
      <c r="A14" s="24" t="n">
        <v>46174</v>
      </c>
      <c r="B14" s="26">
        <f>IF(SUMIFS('NSE - NIFTY Index Options'!$M:$M,'NSE - NIFTY Index Options'!$D:$D,$A14,'NSE - NIFTY Index Options'!$I:$I,"*")+SUMIFS('NSE - Other Index Options'!$M:$M,'NSE - Other Index Options'!$D:$D,$A14,'NSE - Other Index Options'!$I:$I,"*")=0,"",SUMIFS('NSE - NIFTY Index Options'!$M:$M,'NSE - NIFTY Index Options'!$D:$D,$A14,'NSE - NIFTY Index Options'!$I:$I,"*")+SUMIFS('NSE - Other Index Options'!$M:$M,'NSE - Other Index Options'!$D:$D,$A14,'NSE - Other Index Options'!$I:$I,"*"))</f>
        <v/>
      </c>
      <c r="C14" s="26">
        <f>IF(SUMIFS('BSE - SENSEX Index Options'!$M:$M,'BSE - SENSEX Index Options'!$D:$D,$A14,'BSE - SENSEX Index Options'!$I:$I,"*")+SUMIFS('BSE - Other Index Options'!$M:$M,'BSE - Other Index Options'!$D:$D,$A14,'BSE - Other Index Options'!$I:$I,"*")=0,"",SUMIFS('BSE - SENSEX Index Options'!$M:$M,'BSE - SENSEX Index Options'!$D:$D,$A14,'BSE - SENSEX Index Options'!$I:$I,"*")+SUMIFS('BSE - Other Index Options'!$M:$M,'BSE - Other Index Options'!$D:$D,$A14,'BSE - Other Index Options'!$I:$I,"*"))</f>
        <v/>
      </c>
      <c r="D14" s="27">
        <f>IF(SUM(B14:C14)=0,"",SUM(B14)/SUM(B14:C14))</f>
        <v/>
      </c>
      <c r="E14" s="27">
        <f>IF(SUM(B14:C14)=0,"",SUM(C14)/SUM(B14:C14))</f>
        <v/>
      </c>
    </row>
    <row r="15">
      <c r="A15" s="24" t="n">
        <v>46204</v>
      </c>
      <c r="B15" s="26">
        <f>IF(SUMIFS('NSE - NIFTY Index Options'!$M:$M,'NSE - NIFTY Index Options'!$D:$D,$A15,'NSE - NIFTY Index Options'!$I:$I,"*")+SUMIFS('NSE - Other Index Options'!$M:$M,'NSE - Other Index Options'!$D:$D,$A15,'NSE - Other Index Options'!$I:$I,"*")=0,"",SUMIFS('NSE - NIFTY Index Options'!$M:$M,'NSE - NIFTY Index Options'!$D:$D,$A15,'NSE - NIFTY Index Options'!$I:$I,"*")+SUMIFS('NSE - Other Index Options'!$M:$M,'NSE - Other Index Options'!$D:$D,$A15,'NSE - Other Index Options'!$I:$I,"*"))</f>
        <v/>
      </c>
      <c r="C15" s="26">
        <f>IF(SUMIFS('BSE - SENSEX Index Options'!$M:$M,'BSE - SENSEX Index Options'!$D:$D,$A15,'BSE - SENSEX Index Options'!$I:$I,"*")+SUMIFS('BSE - Other Index Options'!$M:$M,'BSE - Other Index Options'!$D:$D,$A15,'BSE - Other Index Options'!$I:$I,"*")=0,"",SUMIFS('BSE - SENSEX Index Options'!$M:$M,'BSE - SENSEX Index Options'!$D:$D,$A15,'BSE - SENSEX Index Options'!$I:$I,"*")+SUMIFS('BSE - Other Index Options'!$M:$M,'BSE - Other Index Options'!$D:$D,$A15,'BSE - Other Index Options'!$I:$I,"*"))</f>
        <v/>
      </c>
      <c r="D15" s="27">
        <f>IF(SUM(B15:C15)=0,"",SUM(B15)/SUM(B15:C15))</f>
        <v/>
      </c>
      <c r="E15" s="27">
        <f>IF(SUM(B15:C15)=0,"",SUM(C15)/SUM(B15:C15))</f>
        <v/>
      </c>
    </row>
    <row r="16">
      <c r="A16" s="24" t="n">
        <v>46235</v>
      </c>
      <c r="B16" s="26">
        <f>IF(SUMIFS('NSE - NIFTY Index Options'!$M:$M,'NSE - NIFTY Index Options'!$D:$D,$A16,'NSE - NIFTY Index Options'!$I:$I,"*")+SUMIFS('NSE - Other Index Options'!$M:$M,'NSE - Other Index Options'!$D:$D,$A16,'NSE - Other Index Options'!$I:$I,"*")=0,"",SUMIFS('NSE - NIFTY Index Options'!$M:$M,'NSE - NIFTY Index Options'!$D:$D,$A16,'NSE - NIFTY Index Options'!$I:$I,"*")+SUMIFS('NSE - Other Index Options'!$M:$M,'NSE - Other Index Options'!$D:$D,$A16,'NSE - Other Index Options'!$I:$I,"*"))</f>
        <v/>
      </c>
      <c r="C16" s="26">
        <f>IF(SUMIFS('BSE - SENSEX Index Options'!$M:$M,'BSE - SENSEX Index Options'!$D:$D,$A16,'BSE - SENSEX Index Options'!$I:$I,"*")+SUMIFS('BSE - Other Index Options'!$M:$M,'BSE - Other Index Options'!$D:$D,$A16,'BSE - Other Index Options'!$I:$I,"*")=0,"",SUMIFS('BSE - SENSEX Index Options'!$M:$M,'BSE - SENSEX Index Options'!$D:$D,$A16,'BSE - SENSEX Index Options'!$I:$I,"*")+SUMIFS('BSE - Other Index Options'!$M:$M,'BSE - Other Index Options'!$D:$D,$A16,'BSE - Other Index Options'!$I:$I,"*"))</f>
        <v/>
      </c>
      <c r="D16" s="27">
        <f>IF(SUM(B16:C16)=0,"",SUM(B16)/SUM(B16:C16))</f>
        <v/>
      </c>
      <c r="E16" s="27">
        <f>IF(SUM(B16:C16)=0,"",SUM(C16)/SUM(B16:C16))</f>
        <v/>
      </c>
    </row>
    <row r="17" hidden="1" outlineLevel="1">
      <c r="A17" s="24" t="n">
        <v>46266</v>
      </c>
      <c r="B17" s="26">
        <f>IF(SUMIFS('NSE - NIFTY Index Options'!$M:$M,'NSE - NIFTY Index Options'!$D:$D,$A17,'NSE - NIFTY Index Options'!$I:$I,"*")+SUMIFS('NSE - Other Index Options'!$M:$M,'NSE - Other Index Options'!$D:$D,$A17,'NSE - Other Index Options'!$I:$I,"*")=0,"",SUMIFS('NSE - NIFTY Index Options'!$M:$M,'NSE - NIFTY Index Options'!$D:$D,$A17,'NSE - NIFTY Index Options'!$I:$I,"*")+SUMIFS('NSE - Other Index Options'!$M:$M,'NSE - Other Index Options'!$D:$D,$A17,'NSE - Other Index Options'!$I:$I,"*"))</f>
        <v/>
      </c>
      <c r="C17" s="26">
        <f>IF(SUMIFS('BSE - SENSEX Index Options'!$M:$M,'BSE - SENSEX Index Options'!$D:$D,$A17,'BSE - SENSEX Index Options'!$I:$I,"*")+SUMIFS('BSE - Other Index Options'!$M:$M,'BSE - Other Index Options'!$D:$D,$A17,'BSE - Other Index Options'!$I:$I,"*")=0,"",SUMIFS('BSE - SENSEX Index Options'!$M:$M,'BSE - SENSEX Index Options'!$D:$D,$A17,'BSE - SENSEX Index Options'!$I:$I,"*")+SUMIFS('BSE - Other Index Options'!$M:$M,'BSE - Other Index Options'!$D:$D,$A17,'BSE - Other Index Options'!$I:$I,"*"))</f>
        <v/>
      </c>
      <c r="D17" s="27">
        <f>IF(SUM(B17:C17)=0,"",SUM(B17)/SUM(B17:C17))</f>
        <v/>
      </c>
      <c r="E17" s="27">
        <f>IF(SUM(B17:C17)=0,"",SUM(C17)/SUM(B17:C17))</f>
        <v/>
      </c>
    </row>
    <row r="18" hidden="1" outlineLevel="1">
      <c r="A18" s="24" t="n">
        <v>46296</v>
      </c>
      <c r="B18" s="26">
        <f>IF(SUMIFS('NSE - NIFTY Index Options'!$M:$M,'NSE - NIFTY Index Options'!$D:$D,$A18,'NSE - NIFTY Index Options'!$I:$I,"*")+SUMIFS('NSE - Other Index Options'!$M:$M,'NSE - Other Index Options'!$D:$D,$A18,'NSE - Other Index Options'!$I:$I,"*")=0,"",SUMIFS('NSE - NIFTY Index Options'!$M:$M,'NSE - NIFTY Index Options'!$D:$D,$A18,'NSE - NIFTY Index Options'!$I:$I,"*")+SUMIFS('NSE - Other Index Options'!$M:$M,'NSE - Other Index Options'!$D:$D,$A18,'NSE - Other Index Options'!$I:$I,"*"))</f>
        <v/>
      </c>
      <c r="C18" s="26">
        <f>IF(SUMIFS('BSE - SENSEX Index Options'!$M:$M,'BSE - SENSEX Index Options'!$D:$D,$A18,'BSE - SENSEX Index Options'!$I:$I,"*")+SUMIFS('BSE - Other Index Options'!$M:$M,'BSE - Other Index Options'!$D:$D,$A18,'BSE - Other Index Options'!$I:$I,"*")=0,"",SUMIFS('BSE - SENSEX Index Options'!$M:$M,'BSE - SENSEX Index Options'!$D:$D,$A18,'BSE - SENSEX Index Options'!$I:$I,"*")+SUMIFS('BSE - Other Index Options'!$M:$M,'BSE - Other Index Options'!$D:$D,$A18,'BSE - Other Index Options'!$I:$I,"*"))</f>
        <v/>
      </c>
      <c r="D18" s="27">
        <f>IF(SUM(B18:C18)=0,"",SUM(B18)/SUM(B18:C18))</f>
        <v/>
      </c>
      <c r="E18" s="27">
        <f>IF(SUM(B18:C18)=0,"",SUM(C18)/SUM(B18:C18))</f>
        <v/>
      </c>
    </row>
    <row r="19" hidden="1" outlineLevel="1">
      <c r="A19" s="24" t="n">
        <v>46327</v>
      </c>
      <c r="B19" s="26">
        <f>IF(SUMIFS('NSE - NIFTY Index Options'!$M:$M,'NSE - NIFTY Index Options'!$D:$D,$A19,'NSE - NIFTY Index Options'!$I:$I,"*")+SUMIFS('NSE - Other Index Options'!$M:$M,'NSE - Other Index Options'!$D:$D,$A19,'NSE - Other Index Options'!$I:$I,"*")=0,"",SUMIFS('NSE - NIFTY Index Options'!$M:$M,'NSE - NIFTY Index Options'!$D:$D,$A19,'NSE - NIFTY Index Options'!$I:$I,"*")+SUMIFS('NSE - Other Index Options'!$M:$M,'NSE - Other Index Options'!$D:$D,$A19,'NSE - Other Index Options'!$I:$I,"*"))</f>
        <v/>
      </c>
      <c r="C19" s="26">
        <f>IF(SUMIFS('BSE - SENSEX Index Options'!$M:$M,'BSE - SENSEX Index Options'!$D:$D,$A19,'BSE - SENSEX Index Options'!$I:$I,"*")+SUMIFS('BSE - Other Index Options'!$M:$M,'BSE - Other Index Options'!$D:$D,$A19,'BSE - Other Index Options'!$I:$I,"*")=0,"",SUMIFS('BSE - SENSEX Index Options'!$M:$M,'BSE - SENSEX Index Options'!$D:$D,$A19,'BSE - SENSEX Index Options'!$I:$I,"*")+SUMIFS('BSE - Other Index Options'!$M:$M,'BSE - Other Index Options'!$D:$D,$A19,'BSE - Other Index Options'!$I:$I,"*"))</f>
        <v/>
      </c>
      <c r="D19" s="27">
        <f>IF(SUM(B19:C19)=0,"",SUM(B19)/SUM(B19:C19))</f>
        <v/>
      </c>
      <c r="E19" s="27">
        <f>IF(SUM(B19:C19)=0,"",SUM(C19)/SUM(B19:C19))</f>
        <v/>
      </c>
    </row>
    <row r="20" hidden="1" outlineLevel="1">
      <c r="A20" s="24" t="n">
        <v>46357</v>
      </c>
      <c r="B20" s="26">
        <f>IF(SUMIFS('NSE - NIFTY Index Options'!$M:$M,'NSE - NIFTY Index Options'!$D:$D,$A20,'NSE - NIFTY Index Options'!$I:$I,"*")+SUMIFS('NSE - Other Index Options'!$M:$M,'NSE - Other Index Options'!$D:$D,$A20,'NSE - Other Index Options'!$I:$I,"*")=0,"",SUMIFS('NSE - NIFTY Index Options'!$M:$M,'NSE - NIFTY Index Options'!$D:$D,$A20,'NSE - NIFTY Index Options'!$I:$I,"*")+SUMIFS('NSE - Other Index Options'!$M:$M,'NSE - Other Index Options'!$D:$D,$A20,'NSE - Other Index Options'!$I:$I,"*"))</f>
        <v/>
      </c>
      <c r="C20" s="26">
        <f>IF(SUMIFS('BSE - SENSEX Index Options'!$M:$M,'BSE - SENSEX Index Options'!$D:$D,$A20,'BSE - SENSEX Index Options'!$I:$I,"*")+SUMIFS('BSE - Other Index Options'!$M:$M,'BSE - Other Index Options'!$D:$D,$A20,'BSE - Other Index Options'!$I:$I,"*")=0,"",SUMIFS('BSE - SENSEX Index Options'!$M:$M,'BSE - SENSEX Index Options'!$D:$D,$A20,'BSE - SENSEX Index Options'!$I:$I,"*")+SUMIFS('BSE - Other Index Options'!$M:$M,'BSE - Other Index Options'!$D:$D,$A20,'BSE - Other Index Options'!$I:$I,"*"))</f>
        <v/>
      </c>
      <c r="D20" s="27">
        <f>IF(SUM(B20:C20)=0,"",SUM(B20)/SUM(B20:C20))</f>
        <v/>
      </c>
      <c r="E20" s="27">
        <f>IF(SUM(B20:C20)=0,"",SUM(C20)/SUM(B20:C20))</f>
        <v/>
      </c>
    </row>
    <row r="21" hidden="1" outlineLevel="1">
      <c r="A21" s="24" t="n">
        <v>46388</v>
      </c>
      <c r="B21" s="26">
        <f>IF(SUMIFS('NSE - NIFTY Index Options'!$M:$M,'NSE - NIFTY Index Options'!$D:$D,$A21,'NSE - NIFTY Index Options'!$I:$I,"*")+SUMIFS('NSE - Other Index Options'!$M:$M,'NSE - Other Index Options'!$D:$D,$A21,'NSE - Other Index Options'!$I:$I,"*")=0,"",SUMIFS('NSE - NIFTY Index Options'!$M:$M,'NSE - NIFTY Index Options'!$D:$D,$A21,'NSE - NIFTY Index Options'!$I:$I,"*")+SUMIFS('NSE - Other Index Options'!$M:$M,'NSE - Other Index Options'!$D:$D,$A21,'NSE - Other Index Options'!$I:$I,"*"))</f>
        <v/>
      </c>
      <c r="C21" s="26">
        <f>IF(SUMIFS('BSE - SENSEX Index Options'!$M:$M,'BSE - SENSEX Index Options'!$D:$D,$A21,'BSE - SENSEX Index Options'!$I:$I,"*")+SUMIFS('BSE - Other Index Options'!$M:$M,'BSE - Other Index Options'!$D:$D,$A21,'BSE - Other Index Options'!$I:$I,"*")=0,"",SUMIFS('BSE - SENSEX Index Options'!$M:$M,'BSE - SENSEX Index Options'!$D:$D,$A21,'BSE - SENSEX Index Options'!$I:$I,"*")+SUMIFS('BSE - Other Index Options'!$M:$M,'BSE - Other Index Options'!$D:$D,$A21,'BSE - Other Index Options'!$I:$I,"*"))</f>
        <v/>
      </c>
      <c r="D21" s="27">
        <f>IF(SUM(B21:C21)=0,"",SUM(B21)/SUM(B21:C21))</f>
        <v/>
      </c>
      <c r="E21" s="27">
        <f>IF(SUM(B21:C21)=0,"",SUM(C21)/SUM(B21:C21))</f>
        <v/>
      </c>
    </row>
    <row r="22" hidden="1" outlineLevel="1">
      <c r="A22" s="24" t="n">
        <v>46419</v>
      </c>
      <c r="B22" s="26">
        <f>IF(SUMIFS('NSE - NIFTY Index Options'!$M:$M,'NSE - NIFTY Index Options'!$D:$D,$A22,'NSE - NIFTY Index Options'!$I:$I,"*")+SUMIFS('NSE - Other Index Options'!$M:$M,'NSE - Other Index Options'!$D:$D,$A22,'NSE - Other Index Options'!$I:$I,"*")=0,"",SUMIFS('NSE - NIFTY Index Options'!$M:$M,'NSE - NIFTY Index Options'!$D:$D,$A22,'NSE - NIFTY Index Options'!$I:$I,"*")+SUMIFS('NSE - Other Index Options'!$M:$M,'NSE - Other Index Options'!$D:$D,$A22,'NSE - Other Index Options'!$I:$I,"*"))</f>
        <v/>
      </c>
      <c r="C22" s="26">
        <f>IF(SUMIFS('BSE - SENSEX Index Options'!$M:$M,'BSE - SENSEX Index Options'!$D:$D,$A22,'BSE - SENSEX Index Options'!$I:$I,"*")+SUMIFS('BSE - Other Index Options'!$M:$M,'BSE - Other Index Options'!$D:$D,$A22,'BSE - Other Index Options'!$I:$I,"*")=0,"",SUMIFS('BSE - SENSEX Index Options'!$M:$M,'BSE - SENSEX Index Options'!$D:$D,$A22,'BSE - SENSEX Index Options'!$I:$I,"*")+SUMIFS('BSE - Other Index Options'!$M:$M,'BSE - Other Index Options'!$D:$D,$A22,'BSE - Other Index Options'!$I:$I,"*"))</f>
        <v/>
      </c>
      <c r="D22" s="27">
        <f>IF(SUM(B22:C22)=0,"",SUM(B22)/SUM(B22:C22))</f>
        <v/>
      </c>
      <c r="E22" s="27">
        <f>IF(SUM(B22:C22)=0,"",SUM(C22)/SUM(B22:C22))</f>
        <v/>
      </c>
    </row>
    <row r="23" hidden="1" outlineLevel="1">
      <c r="A23" s="24" t="n">
        <v>46447</v>
      </c>
      <c r="B23" s="26">
        <f>IF(SUMIFS('NSE - NIFTY Index Options'!$M:$M,'NSE - NIFTY Index Options'!$D:$D,$A23,'NSE - NIFTY Index Options'!$I:$I,"*")+SUMIFS('NSE - Other Index Options'!$M:$M,'NSE - Other Index Options'!$D:$D,$A23,'NSE - Other Index Options'!$I:$I,"*")=0,"",SUMIFS('NSE - NIFTY Index Options'!$M:$M,'NSE - NIFTY Index Options'!$D:$D,$A23,'NSE - NIFTY Index Options'!$I:$I,"*")+SUMIFS('NSE - Other Index Options'!$M:$M,'NSE - Other Index Options'!$D:$D,$A23,'NSE - Other Index Options'!$I:$I,"*"))</f>
        <v/>
      </c>
      <c r="C23" s="26">
        <f>IF(SUMIFS('BSE - SENSEX Index Options'!$M:$M,'BSE - SENSEX Index Options'!$D:$D,$A23,'BSE - SENSEX Index Options'!$I:$I,"*")+SUMIFS('BSE - Other Index Options'!$M:$M,'BSE - Other Index Options'!$D:$D,$A23,'BSE - Other Index Options'!$I:$I,"*")=0,"",SUMIFS('BSE - SENSEX Index Options'!$M:$M,'BSE - SENSEX Index Options'!$D:$D,$A23,'BSE - SENSEX Index Options'!$I:$I,"*")+SUMIFS('BSE - Other Index Options'!$M:$M,'BSE - Other Index Options'!$D:$D,$A23,'BSE - Other Index Options'!$I:$I,"*"))</f>
        <v/>
      </c>
      <c r="D23" s="27">
        <f>IF(SUM(B23:C23)=0,"",SUM(B23)/SUM(B23:C23))</f>
        <v/>
      </c>
      <c r="E23" s="27">
        <f>IF(SUM(B23:C23)=0,"",SUM(C23)/SUM(B23:C23))</f>
        <v/>
      </c>
    </row>
    <row r="24" hidden="1" outlineLevel="1">
      <c r="A24" s="24" t="n">
        <v>46478</v>
      </c>
      <c r="B24" s="26">
        <f>IF(SUMIFS('NSE - NIFTY Index Options'!$M:$M,'NSE - NIFTY Index Options'!$D:$D,$A24,'NSE - NIFTY Index Options'!$I:$I,"*")+SUMIFS('NSE - Other Index Options'!$M:$M,'NSE - Other Index Options'!$D:$D,$A24,'NSE - Other Index Options'!$I:$I,"*")=0,"",SUMIFS('NSE - NIFTY Index Options'!$M:$M,'NSE - NIFTY Index Options'!$D:$D,$A24,'NSE - NIFTY Index Options'!$I:$I,"*")+SUMIFS('NSE - Other Index Options'!$M:$M,'NSE - Other Index Options'!$D:$D,$A24,'NSE - Other Index Options'!$I:$I,"*"))</f>
        <v/>
      </c>
      <c r="C24" s="26">
        <f>IF(SUMIFS('BSE - SENSEX Index Options'!$M:$M,'BSE - SENSEX Index Options'!$D:$D,$A24,'BSE - SENSEX Index Options'!$I:$I,"*")+SUMIFS('BSE - Other Index Options'!$M:$M,'BSE - Other Index Options'!$D:$D,$A24,'BSE - Other Index Options'!$I:$I,"*")=0,"",SUMIFS('BSE - SENSEX Index Options'!$M:$M,'BSE - SENSEX Index Options'!$D:$D,$A24,'BSE - SENSEX Index Options'!$I:$I,"*")+SUMIFS('BSE - Other Index Options'!$M:$M,'BSE - Other Index Options'!$D:$D,$A24,'BSE - Other Index Options'!$I:$I,"*"))</f>
        <v/>
      </c>
      <c r="D24" s="27">
        <f>IF(SUM(B24:C24)=0,"",SUM(B24)/SUM(B24:C24))</f>
        <v/>
      </c>
      <c r="E24" s="27">
        <f>IF(SUM(B24:C24)=0,"",SUM(C24)/SUM(B24:C24))</f>
        <v/>
      </c>
    </row>
    <row r="25" hidden="1" outlineLevel="1">
      <c r="A25" s="24" t="n">
        <v>46508</v>
      </c>
      <c r="B25" s="26">
        <f>IF(SUMIFS('NSE - NIFTY Index Options'!$M:$M,'NSE - NIFTY Index Options'!$D:$D,$A25,'NSE - NIFTY Index Options'!$I:$I,"*")+SUMIFS('NSE - Other Index Options'!$M:$M,'NSE - Other Index Options'!$D:$D,$A25,'NSE - Other Index Options'!$I:$I,"*")=0,"",SUMIFS('NSE - NIFTY Index Options'!$M:$M,'NSE - NIFTY Index Options'!$D:$D,$A25,'NSE - NIFTY Index Options'!$I:$I,"*")+SUMIFS('NSE - Other Index Options'!$M:$M,'NSE - Other Index Options'!$D:$D,$A25,'NSE - Other Index Options'!$I:$I,"*"))</f>
        <v/>
      </c>
      <c r="C25" s="26">
        <f>IF(SUMIFS('BSE - SENSEX Index Options'!$M:$M,'BSE - SENSEX Index Options'!$D:$D,$A25,'BSE - SENSEX Index Options'!$I:$I,"*")+SUMIFS('BSE - Other Index Options'!$M:$M,'BSE - Other Index Options'!$D:$D,$A25,'BSE - Other Index Options'!$I:$I,"*")=0,"",SUMIFS('BSE - SENSEX Index Options'!$M:$M,'BSE - SENSEX Index Options'!$D:$D,$A25,'BSE - SENSEX Index Options'!$I:$I,"*")+SUMIFS('BSE - Other Index Options'!$M:$M,'BSE - Other Index Options'!$D:$D,$A25,'BSE - Other Index Options'!$I:$I,"*"))</f>
        <v/>
      </c>
      <c r="D25" s="27">
        <f>IF(SUM(B25:C25)=0,"",SUM(B25)/SUM(B25:C25))</f>
        <v/>
      </c>
      <c r="E25" s="27">
        <f>IF(SUM(B25:C25)=0,"",SUM(C25)/SUM(B25:C25))</f>
        <v/>
      </c>
    </row>
    <row r="26" hidden="1" outlineLevel="1">
      <c r="A26" s="24" t="n">
        <v>46539</v>
      </c>
      <c r="B26" s="26">
        <f>IF(SUMIFS('NSE - NIFTY Index Options'!$M:$M,'NSE - NIFTY Index Options'!$D:$D,$A26,'NSE - NIFTY Index Options'!$I:$I,"*")+SUMIFS('NSE - Other Index Options'!$M:$M,'NSE - Other Index Options'!$D:$D,$A26,'NSE - Other Index Options'!$I:$I,"*")=0,"",SUMIFS('NSE - NIFTY Index Options'!$M:$M,'NSE - NIFTY Index Options'!$D:$D,$A26,'NSE - NIFTY Index Options'!$I:$I,"*")+SUMIFS('NSE - Other Index Options'!$M:$M,'NSE - Other Index Options'!$D:$D,$A26,'NSE - Other Index Options'!$I:$I,"*"))</f>
        <v/>
      </c>
      <c r="C26" s="26">
        <f>IF(SUMIFS('BSE - SENSEX Index Options'!$M:$M,'BSE - SENSEX Index Options'!$D:$D,$A26,'BSE - SENSEX Index Options'!$I:$I,"*")+SUMIFS('BSE - Other Index Options'!$M:$M,'BSE - Other Index Options'!$D:$D,$A26,'BSE - Other Index Options'!$I:$I,"*")=0,"",SUMIFS('BSE - SENSEX Index Options'!$M:$M,'BSE - SENSEX Index Options'!$D:$D,$A26,'BSE - SENSEX Index Options'!$I:$I,"*")+SUMIFS('BSE - Other Index Options'!$M:$M,'BSE - Other Index Options'!$D:$D,$A26,'BSE - Other Index Options'!$I:$I,"*"))</f>
        <v/>
      </c>
      <c r="D26" s="27">
        <f>IF(SUM(B26:C26)=0,"",SUM(B26)/SUM(B26:C26))</f>
        <v/>
      </c>
      <c r="E26" s="27">
        <f>IF(SUM(B26:C26)=0,"",SUM(C26)/SUM(B26:C26))</f>
        <v/>
      </c>
    </row>
    <row r="27" hidden="1" outlineLevel="1">
      <c r="A27" s="24" t="n">
        <v>46569</v>
      </c>
      <c r="B27" s="26">
        <f>IF(SUMIFS('NSE - NIFTY Index Options'!$M:$M,'NSE - NIFTY Index Options'!$D:$D,$A27,'NSE - NIFTY Index Options'!$I:$I,"*")+SUMIFS('NSE - Other Index Options'!$M:$M,'NSE - Other Index Options'!$D:$D,$A27,'NSE - Other Index Options'!$I:$I,"*")=0,"",SUMIFS('NSE - NIFTY Index Options'!$M:$M,'NSE - NIFTY Index Options'!$D:$D,$A27,'NSE - NIFTY Index Options'!$I:$I,"*")+SUMIFS('NSE - Other Index Options'!$M:$M,'NSE - Other Index Options'!$D:$D,$A27,'NSE - Other Index Options'!$I:$I,"*"))</f>
        <v/>
      </c>
      <c r="C27" s="26">
        <f>IF(SUMIFS('BSE - SENSEX Index Options'!$M:$M,'BSE - SENSEX Index Options'!$D:$D,$A27,'BSE - SENSEX Index Options'!$I:$I,"*")+SUMIFS('BSE - Other Index Options'!$M:$M,'BSE - Other Index Options'!$D:$D,$A27,'BSE - Other Index Options'!$I:$I,"*")=0,"",SUMIFS('BSE - SENSEX Index Options'!$M:$M,'BSE - SENSEX Index Options'!$D:$D,$A27,'BSE - SENSEX Index Options'!$I:$I,"*")+SUMIFS('BSE - Other Index Options'!$M:$M,'BSE - Other Index Options'!$D:$D,$A27,'BSE - Other Index Options'!$I:$I,"*"))</f>
        <v/>
      </c>
      <c r="D27" s="27">
        <f>IF(SUM(B27:C27)=0,"",SUM(B27)/SUM(B27:C27))</f>
        <v/>
      </c>
      <c r="E27" s="27">
        <f>IF(SUM(B27:C27)=0,"",SUM(C27)/SUM(B27:C27))</f>
        <v/>
      </c>
    </row>
    <row r="28" hidden="1" outlineLevel="1">
      <c r="A28" s="24" t="n">
        <v>46600</v>
      </c>
      <c r="B28" s="26">
        <f>IF(SUMIFS('NSE - NIFTY Index Options'!$M:$M,'NSE - NIFTY Index Options'!$D:$D,$A28,'NSE - NIFTY Index Options'!$I:$I,"*")+SUMIFS('NSE - Other Index Options'!$M:$M,'NSE - Other Index Options'!$D:$D,$A28,'NSE - Other Index Options'!$I:$I,"*")=0,"",SUMIFS('NSE - NIFTY Index Options'!$M:$M,'NSE - NIFTY Index Options'!$D:$D,$A28,'NSE - NIFTY Index Options'!$I:$I,"*")+SUMIFS('NSE - Other Index Options'!$M:$M,'NSE - Other Index Options'!$D:$D,$A28,'NSE - Other Index Options'!$I:$I,"*"))</f>
        <v/>
      </c>
      <c r="C28" s="26">
        <f>IF(SUMIFS('BSE - SENSEX Index Options'!$M:$M,'BSE - SENSEX Index Options'!$D:$D,$A28,'BSE - SENSEX Index Options'!$I:$I,"*")+SUMIFS('BSE - Other Index Options'!$M:$M,'BSE - Other Index Options'!$D:$D,$A28,'BSE - Other Index Options'!$I:$I,"*")=0,"",SUMIFS('BSE - SENSEX Index Options'!$M:$M,'BSE - SENSEX Index Options'!$D:$D,$A28,'BSE - SENSEX Index Options'!$I:$I,"*")+SUMIFS('BSE - Other Index Options'!$M:$M,'BSE - Other Index Options'!$D:$D,$A28,'BSE - Other Index Options'!$I:$I,"*"))</f>
        <v/>
      </c>
      <c r="D28" s="27">
        <f>IF(SUM(B28:C28)=0,"",SUM(B28)/SUM(B28:C28))</f>
        <v/>
      </c>
      <c r="E28" s="27">
        <f>IF(SUM(B28:C28)=0,"",SUM(C28)/SUM(B28:C28))</f>
        <v/>
      </c>
    </row>
    <row r="29" hidden="1" outlineLevel="1">
      <c r="A29" s="24" t="n">
        <v>46631</v>
      </c>
      <c r="B29" s="26">
        <f>IF(SUMIFS('NSE - NIFTY Index Options'!$M:$M,'NSE - NIFTY Index Options'!$D:$D,$A29,'NSE - NIFTY Index Options'!$I:$I,"*")+SUMIFS('NSE - Other Index Options'!$M:$M,'NSE - Other Index Options'!$D:$D,$A29,'NSE - Other Index Options'!$I:$I,"*")=0,"",SUMIFS('NSE - NIFTY Index Options'!$M:$M,'NSE - NIFTY Index Options'!$D:$D,$A29,'NSE - NIFTY Index Options'!$I:$I,"*")+SUMIFS('NSE - Other Index Options'!$M:$M,'NSE - Other Index Options'!$D:$D,$A29,'NSE - Other Index Options'!$I:$I,"*"))</f>
        <v/>
      </c>
      <c r="C29" s="26">
        <f>IF(SUMIFS('BSE - SENSEX Index Options'!$M:$M,'BSE - SENSEX Index Options'!$D:$D,$A29,'BSE - SENSEX Index Options'!$I:$I,"*")+SUMIFS('BSE - Other Index Options'!$M:$M,'BSE - Other Index Options'!$D:$D,$A29,'BSE - Other Index Options'!$I:$I,"*")=0,"",SUMIFS('BSE - SENSEX Index Options'!$M:$M,'BSE - SENSEX Index Options'!$D:$D,$A29,'BSE - SENSEX Index Options'!$I:$I,"*")+SUMIFS('BSE - Other Index Options'!$M:$M,'BSE - Other Index Options'!$D:$D,$A29,'BSE - Other Index Options'!$I:$I,"*"))</f>
        <v/>
      </c>
      <c r="D29" s="27">
        <f>IF(SUM(B29:C29)=0,"",SUM(B29)/SUM(B29:C29))</f>
        <v/>
      </c>
      <c r="E29" s="27">
        <f>IF(SUM(B29:C29)=0,"",SUM(C29)/SUM(B29:C29))</f>
        <v/>
      </c>
    </row>
    <row r="30" hidden="1" outlineLevel="1">
      <c r="A30" s="24" t="n">
        <v>46661</v>
      </c>
      <c r="B30" s="26">
        <f>IF(SUMIFS('NSE - NIFTY Index Options'!$M:$M,'NSE - NIFTY Index Options'!$D:$D,$A30,'NSE - NIFTY Index Options'!$I:$I,"*")+SUMIFS('NSE - Other Index Options'!$M:$M,'NSE - Other Index Options'!$D:$D,$A30,'NSE - Other Index Options'!$I:$I,"*")=0,"",SUMIFS('NSE - NIFTY Index Options'!$M:$M,'NSE - NIFTY Index Options'!$D:$D,$A30,'NSE - NIFTY Index Options'!$I:$I,"*")+SUMIFS('NSE - Other Index Options'!$M:$M,'NSE - Other Index Options'!$D:$D,$A30,'NSE - Other Index Options'!$I:$I,"*"))</f>
        <v/>
      </c>
      <c r="C30" s="26">
        <f>IF(SUMIFS('BSE - SENSEX Index Options'!$M:$M,'BSE - SENSEX Index Options'!$D:$D,$A30,'BSE - SENSEX Index Options'!$I:$I,"*")+SUMIFS('BSE - Other Index Options'!$M:$M,'BSE - Other Index Options'!$D:$D,$A30,'BSE - Other Index Options'!$I:$I,"*")=0,"",SUMIFS('BSE - SENSEX Index Options'!$M:$M,'BSE - SENSEX Index Options'!$D:$D,$A30,'BSE - SENSEX Index Options'!$I:$I,"*")+SUMIFS('BSE - Other Index Options'!$M:$M,'BSE - Other Index Options'!$D:$D,$A30,'BSE - Other Index Options'!$I:$I,"*"))</f>
        <v/>
      </c>
      <c r="D30" s="27">
        <f>IF(SUM(B30:C30)=0,"",SUM(B30)/SUM(B30:C30))</f>
        <v/>
      </c>
      <c r="E30" s="27">
        <f>IF(SUM(B30:C30)=0,"",SUM(C30)/SUM(B30:C30))</f>
        <v/>
      </c>
    </row>
    <row r="31" hidden="1" outlineLevel="1">
      <c r="A31" s="24" t="n">
        <v>46692</v>
      </c>
      <c r="B31" s="26">
        <f>IF(SUMIFS('NSE - NIFTY Index Options'!$M:$M,'NSE - NIFTY Index Options'!$D:$D,$A31,'NSE - NIFTY Index Options'!$I:$I,"*")+SUMIFS('NSE - Other Index Options'!$M:$M,'NSE - Other Index Options'!$D:$D,$A31,'NSE - Other Index Options'!$I:$I,"*")=0,"",SUMIFS('NSE - NIFTY Index Options'!$M:$M,'NSE - NIFTY Index Options'!$D:$D,$A31,'NSE - NIFTY Index Options'!$I:$I,"*")+SUMIFS('NSE - Other Index Options'!$M:$M,'NSE - Other Index Options'!$D:$D,$A31,'NSE - Other Index Options'!$I:$I,"*"))</f>
        <v/>
      </c>
      <c r="C31" s="26">
        <f>IF(SUMIFS('BSE - SENSEX Index Options'!$M:$M,'BSE - SENSEX Index Options'!$D:$D,$A31,'BSE - SENSEX Index Options'!$I:$I,"*")+SUMIFS('BSE - Other Index Options'!$M:$M,'BSE - Other Index Options'!$D:$D,$A31,'BSE - Other Index Options'!$I:$I,"*")=0,"",SUMIFS('BSE - SENSEX Index Options'!$M:$M,'BSE - SENSEX Index Options'!$D:$D,$A31,'BSE - SENSEX Index Options'!$I:$I,"*")+SUMIFS('BSE - Other Index Options'!$M:$M,'BSE - Other Index Options'!$D:$D,$A31,'BSE - Other Index Options'!$I:$I,"*"))</f>
        <v/>
      </c>
      <c r="D31" s="27">
        <f>IF(SUM(B31:C31)=0,"",SUM(B31)/SUM(B31:C31))</f>
        <v/>
      </c>
      <c r="E31" s="27">
        <f>IF(SUM(B31:C31)=0,"",SUM(C31)/SUM(B31:C31))</f>
        <v/>
      </c>
    </row>
    <row r="32" hidden="1" outlineLevel="1">
      <c r="A32" s="24" t="n">
        <v>46722</v>
      </c>
      <c r="B32" s="26">
        <f>IF(SUMIFS('NSE - NIFTY Index Options'!$M:$M,'NSE - NIFTY Index Options'!$D:$D,$A32,'NSE - NIFTY Index Options'!$I:$I,"*")+SUMIFS('NSE - Other Index Options'!$M:$M,'NSE - Other Index Options'!$D:$D,$A32,'NSE - Other Index Options'!$I:$I,"*")=0,"",SUMIFS('NSE - NIFTY Index Options'!$M:$M,'NSE - NIFTY Index Options'!$D:$D,$A32,'NSE - NIFTY Index Options'!$I:$I,"*")+SUMIFS('NSE - Other Index Options'!$M:$M,'NSE - Other Index Options'!$D:$D,$A32,'NSE - Other Index Options'!$I:$I,"*"))</f>
        <v/>
      </c>
      <c r="C32" s="26">
        <f>IF(SUMIFS('BSE - SENSEX Index Options'!$M:$M,'BSE - SENSEX Index Options'!$D:$D,$A32,'BSE - SENSEX Index Options'!$I:$I,"*")+SUMIFS('BSE - Other Index Options'!$M:$M,'BSE - Other Index Options'!$D:$D,$A32,'BSE - Other Index Options'!$I:$I,"*")=0,"",SUMIFS('BSE - SENSEX Index Options'!$M:$M,'BSE - SENSEX Index Options'!$D:$D,$A32,'BSE - SENSEX Index Options'!$I:$I,"*")+SUMIFS('BSE - Other Index Options'!$M:$M,'BSE - Other Index Options'!$D:$D,$A32,'BSE - Other Index Options'!$I:$I,"*"))</f>
        <v/>
      </c>
      <c r="D32" s="27">
        <f>IF(SUM(B32:C32)=0,"",SUM(B32)/SUM(B32:C32))</f>
        <v/>
      </c>
      <c r="E32" s="27">
        <f>IF(SUM(B32:C32)=0,"",SUM(C32)/SUM(B32:C32))</f>
        <v/>
      </c>
    </row>
    <row r="33" collapsed="1">
      <c r="A33" s="32" t="inlineStr">
        <is>
          <t>Total</t>
        </is>
      </c>
      <c r="B33" s="33">
        <f>IF(SUM(B5:B32)=0,"",SUM(B5:B32))</f>
        <v/>
      </c>
      <c r="C33" s="33">
        <f>IF(SUM(C5:C32)=0,"",SUM(C5:C32))</f>
        <v/>
      </c>
      <c r="D33" s="34">
        <f>IF(SUM(B33:C33)=0,"",SUM(B33)/SUM(B33:C33))</f>
        <v/>
      </c>
      <c r="E33" s="34">
        <f>IF(SUM(B33:C33)=0,"",SUM(C33)/SUM(B33:C33))</f>
        <v/>
      </c>
    </row>
    <row r="36">
      <c r="A36" s="32" t="inlineStr">
        <is>
          <t>Weekly + MDAW (Expiry Type 2)</t>
        </is>
      </c>
    </row>
    <row r="37">
      <c r="A37" s="32" t="inlineStr">
        <is>
          <t>Month</t>
        </is>
      </c>
      <c r="B37" s="32" t="inlineStr">
        <is>
          <t>NSE Premium Turnover (INR Bn)</t>
        </is>
      </c>
      <c r="C37" s="32" t="inlineStr">
        <is>
          <t>BSE Premium Turnover (INR Bn)</t>
        </is>
      </c>
      <c r="D37" s="32" t="inlineStr">
        <is>
          <t>NSE Market Share</t>
        </is>
      </c>
      <c r="E37" s="32" t="inlineStr">
        <is>
          <t>BSE Market Share</t>
        </is>
      </c>
    </row>
    <row r="38">
      <c r="A38" s="24" t="n">
        <v>45901</v>
      </c>
      <c r="B38" s="26">
        <f>IF(SUMIFS('NSE - NIFTY Index Options'!$M:$M,'NSE - NIFTY Index Options'!$D:$D,$A38,'NSE - NIFTY Index Options'!$I:$I,"Weekly*")+SUMIFS('NSE - NIFTY Index Options'!$M:$M,'NSE - NIFTY Index Options'!$D:$D,$A38,'NSE - NIFTY Index Options'!$I:$I,"MDAW*")+SUMIFS('NSE - Other Index Options'!$M:$M,'NSE - Other Index Options'!$D:$D,$A38,'NSE - Other Index Options'!$I:$I,"Weekly*")+SUMIFS('NSE - Other Index Options'!$M:$M,'NSE - Other Index Options'!$D:$D,$A38,'NSE - Other Index Options'!$I:$I,"MDAW*")=0,"",SUMIFS('NSE - NIFTY Index Options'!$M:$M,'NSE - NIFTY Index Options'!$D:$D,$A38,'NSE - NIFTY Index Options'!$I:$I,"Weekly*")+SUMIFS('NSE - NIFTY Index Options'!$M:$M,'NSE - NIFTY Index Options'!$D:$D,$A38,'NSE - NIFTY Index Options'!$I:$I,"MDAW*")+SUMIFS('NSE - Other Index Options'!$M:$M,'NSE - Other Index Options'!$D:$D,$A38,'NSE - Other Index Options'!$I:$I,"Weekly*")+SUMIFS('NSE - Other Index Options'!$M:$M,'NSE - Other Index Options'!$D:$D,$A38,'NSE - Other Index Options'!$I:$I,"MDAW*"))</f>
        <v/>
      </c>
      <c r="C38" s="26">
        <f>IF(SUMIFS('BSE - SENSEX Index Options'!$M:$M,'BSE - SENSEX Index Options'!$D:$D,$A38,'BSE - SENSEX Index Options'!$I:$I,"Weekly*")+SUMIFS('BSE - SENSEX Index Options'!$M:$M,'BSE - SENSEX Index Options'!$D:$D,$A38,'BSE - SENSEX Index Options'!$I:$I,"MDAW*")+SUMIFS('BSE - Other Index Options'!$M:$M,'BSE - Other Index Options'!$D:$D,$A38,'BSE - Other Index Options'!$I:$I,"Weekly*")+SUMIFS('BSE - Other Index Options'!$M:$M,'BSE - Other Index Options'!$D:$D,$A38,'BSE - Other Index Options'!$I:$I,"MDAW*")=0,"",SUMIFS('BSE - SENSEX Index Options'!$M:$M,'BSE - SENSEX Index Options'!$D:$D,$A38,'BSE - SENSEX Index Options'!$I:$I,"Weekly*")+SUMIFS('BSE - SENSEX Index Options'!$M:$M,'BSE - SENSEX Index Options'!$D:$D,$A38,'BSE - SENSEX Index Options'!$I:$I,"MDAW*")+SUMIFS('BSE - Other Index Options'!$M:$M,'BSE - Other Index Options'!$D:$D,$A38,'BSE - Other Index Options'!$I:$I,"Weekly*")+SUMIFS('BSE - Other Index Options'!$M:$M,'BSE - Other Index Options'!$D:$D,$A38,'BSE - Other Index Options'!$I:$I,"MDAW*"))</f>
        <v/>
      </c>
      <c r="D38" s="27">
        <f>IF(SUM(B38:C38)=0,"",SUM(B38)/SUM(B38:C38))</f>
        <v/>
      </c>
      <c r="E38" s="27">
        <f>IF(SUM(B38:C38)=0,"",SUM(C38)/SUM(B38:C38))</f>
        <v/>
      </c>
    </row>
    <row r="39">
      <c r="A39" s="24" t="n">
        <v>45931</v>
      </c>
      <c r="B39" s="26">
        <f>IF(SUMIFS('NSE - NIFTY Index Options'!$M:$M,'NSE - NIFTY Index Options'!$D:$D,$A39,'NSE - NIFTY Index Options'!$I:$I,"Weekly*")+SUMIFS('NSE - NIFTY Index Options'!$M:$M,'NSE - NIFTY Index Options'!$D:$D,$A39,'NSE - NIFTY Index Options'!$I:$I,"MDAW*")+SUMIFS('NSE - Other Index Options'!$M:$M,'NSE - Other Index Options'!$D:$D,$A39,'NSE - Other Index Options'!$I:$I,"Weekly*")+SUMIFS('NSE - Other Index Options'!$M:$M,'NSE - Other Index Options'!$D:$D,$A39,'NSE - Other Index Options'!$I:$I,"MDAW*")=0,"",SUMIFS('NSE - NIFTY Index Options'!$M:$M,'NSE - NIFTY Index Options'!$D:$D,$A39,'NSE - NIFTY Index Options'!$I:$I,"Weekly*")+SUMIFS('NSE - NIFTY Index Options'!$M:$M,'NSE - NIFTY Index Options'!$D:$D,$A39,'NSE - NIFTY Index Options'!$I:$I,"MDAW*")+SUMIFS('NSE - Other Index Options'!$M:$M,'NSE - Other Index Options'!$D:$D,$A39,'NSE - Other Index Options'!$I:$I,"Weekly*")+SUMIFS('NSE - Other Index Options'!$M:$M,'NSE - Other Index Options'!$D:$D,$A39,'NSE - Other Index Options'!$I:$I,"MDAW*"))</f>
        <v/>
      </c>
      <c r="C39" s="26">
        <f>IF(SUMIFS('BSE - SENSEX Index Options'!$M:$M,'BSE - SENSEX Index Options'!$D:$D,$A39,'BSE - SENSEX Index Options'!$I:$I,"Weekly*")+SUMIFS('BSE - SENSEX Index Options'!$M:$M,'BSE - SENSEX Index Options'!$D:$D,$A39,'BSE - SENSEX Index Options'!$I:$I,"MDAW*")+SUMIFS('BSE - Other Index Options'!$M:$M,'BSE - Other Index Options'!$D:$D,$A39,'BSE - Other Index Options'!$I:$I,"Weekly*")+SUMIFS('BSE - Other Index Options'!$M:$M,'BSE - Other Index Options'!$D:$D,$A39,'BSE - Other Index Options'!$I:$I,"MDAW*")=0,"",SUMIFS('BSE - SENSEX Index Options'!$M:$M,'BSE - SENSEX Index Options'!$D:$D,$A39,'BSE - SENSEX Index Options'!$I:$I,"Weekly*")+SUMIFS('BSE - SENSEX Index Options'!$M:$M,'BSE - SENSEX Index Options'!$D:$D,$A39,'BSE - SENSEX Index Options'!$I:$I,"MDAW*")+SUMIFS('BSE - Other Index Options'!$M:$M,'BSE - Other Index Options'!$D:$D,$A39,'BSE - Other Index Options'!$I:$I,"Weekly*")+SUMIFS('BSE - Other Index Options'!$M:$M,'BSE - Other Index Options'!$D:$D,$A39,'BSE - Other Index Options'!$I:$I,"MDAW*"))</f>
        <v/>
      </c>
      <c r="D39" s="27">
        <f>IF(SUM(B39:C39)=0,"",SUM(B39)/SUM(B39:C39))</f>
        <v/>
      </c>
      <c r="E39" s="27">
        <f>IF(SUM(B39:C39)=0,"",SUM(C39)/SUM(B39:C39))</f>
        <v/>
      </c>
    </row>
    <row r="40">
      <c r="A40" s="24" t="n">
        <v>45962</v>
      </c>
      <c r="B40" s="26">
        <f>IF(SUMIFS('NSE - NIFTY Index Options'!$M:$M,'NSE - NIFTY Index Options'!$D:$D,$A40,'NSE - NIFTY Index Options'!$I:$I,"Weekly*")+SUMIFS('NSE - NIFTY Index Options'!$M:$M,'NSE - NIFTY Index Options'!$D:$D,$A40,'NSE - NIFTY Index Options'!$I:$I,"MDAW*")+SUMIFS('NSE - Other Index Options'!$M:$M,'NSE - Other Index Options'!$D:$D,$A40,'NSE - Other Index Options'!$I:$I,"Weekly*")+SUMIFS('NSE - Other Index Options'!$M:$M,'NSE - Other Index Options'!$D:$D,$A40,'NSE - Other Index Options'!$I:$I,"MDAW*")=0,"",SUMIFS('NSE - NIFTY Index Options'!$M:$M,'NSE - NIFTY Index Options'!$D:$D,$A40,'NSE - NIFTY Index Options'!$I:$I,"Weekly*")+SUMIFS('NSE - NIFTY Index Options'!$M:$M,'NSE - NIFTY Index Options'!$D:$D,$A40,'NSE - NIFTY Index Options'!$I:$I,"MDAW*")+SUMIFS('NSE - Other Index Options'!$M:$M,'NSE - Other Index Options'!$D:$D,$A40,'NSE - Other Index Options'!$I:$I,"Weekly*")+SUMIFS('NSE - Other Index Options'!$M:$M,'NSE - Other Index Options'!$D:$D,$A40,'NSE - Other Index Options'!$I:$I,"MDAW*"))</f>
        <v/>
      </c>
      <c r="C40" s="26">
        <f>IF(SUMIFS('BSE - SENSEX Index Options'!$M:$M,'BSE - SENSEX Index Options'!$D:$D,$A40,'BSE - SENSEX Index Options'!$I:$I,"Weekly*")+SUMIFS('BSE - SENSEX Index Options'!$M:$M,'BSE - SENSEX Index Options'!$D:$D,$A40,'BSE - SENSEX Index Options'!$I:$I,"MDAW*")+SUMIFS('BSE - Other Index Options'!$M:$M,'BSE - Other Index Options'!$D:$D,$A40,'BSE - Other Index Options'!$I:$I,"Weekly*")+SUMIFS('BSE - Other Index Options'!$M:$M,'BSE - Other Index Options'!$D:$D,$A40,'BSE - Other Index Options'!$I:$I,"MDAW*")=0,"",SUMIFS('BSE - SENSEX Index Options'!$M:$M,'BSE - SENSEX Index Options'!$D:$D,$A40,'BSE - SENSEX Index Options'!$I:$I,"Weekly*")+SUMIFS('BSE - SENSEX Index Options'!$M:$M,'BSE - SENSEX Index Options'!$D:$D,$A40,'BSE - SENSEX Index Options'!$I:$I,"MDAW*")+SUMIFS('BSE - Other Index Options'!$M:$M,'BSE - Other Index Options'!$D:$D,$A40,'BSE - Other Index Options'!$I:$I,"Weekly*")+SUMIFS('BSE - Other Index Options'!$M:$M,'BSE - Other Index Options'!$D:$D,$A40,'BSE - Other Index Options'!$I:$I,"MDAW*"))</f>
        <v/>
      </c>
      <c r="D40" s="27">
        <f>IF(SUM(B40:C40)=0,"",SUM(B40)/SUM(B40:C40))</f>
        <v/>
      </c>
      <c r="E40" s="27">
        <f>IF(SUM(B40:C40)=0,"",SUM(C40)/SUM(B40:C40))</f>
        <v/>
      </c>
    </row>
    <row r="41">
      <c r="A41" s="24" t="n">
        <v>45992</v>
      </c>
      <c r="B41" s="26">
        <f>IF(SUMIFS('NSE - NIFTY Index Options'!$M:$M,'NSE - NIFTY Index Options'!$D:$D,$A41,'NSE - NIFTY Index Options'!$I:$I,"Weekly*")+SUMIFS('NSE - NIFTY Index Options'!$M:$M,'NSE - NIFTY Index Options'!$D:$D,$A41,'NSE - NIFTY Index Options'!$I:$I,"MDAW*")+SUMIFS('NSE - Other Index Options'!$M:$M,'NSE - Other Index Options'!$D:$D,$A41,'NSE - Other Index Options'!$I:$I,"Weekly*")+SUMIFS('NSE - Other Index Options'!$M:$M,'NSE - Other Index Options'!$D:$D,$A41,'NSE - Other Index Options'!$I:$I,"MDAW*")=0,"",SUMIFS('NSE - NIFTY Index Options'!$M:$M,'NSE - NIFTY Index Options'!$D:$D,$A41,'NSE - NIFTY Index Options'!$I:$I,"Weekly*")+SUMIFS('NSE - NIFTY Index Options'!$M:$M,'NSE - NIFTY Index Options'!$D:$D,$A41,'NSE - NIFTY Index Options'!$I:$I,"MDAW*")+SUMIFS('NSE - Other Index Options'!$M:$M,'NSE - Other Index Options'!$D:$D,$A41,'NSE - Other Index Options'!$I:$I,"Weekly*")+SUMIFS('NSE - Other Index Options'!$M:$M,'NSE - Other Index Options'!$D:$D,$A41,'NSE - Other Index Options'!$I:$I,"MDAW*"))</f>
        <v/>
      </c>
      <c r="C41" s="26">
        <f>IF(SUMIFS('BSE - SENSEX Index Options'!$M:$M,'BSE - SENSEX Index Options'!$D:$D,$A41,'BSE - SENSEX Index Options'!$I:$I,"Weekly*")+SUMIFS('BSE - SENSEX Index Options'!$M:$M,'BSE - SENSEX Index Options'!$D:$D,$A41,'BSE - SENSEX Index Options'!$I:$I,"MDAW*")+SUMIFS('BSE - Other Index Options'!$M:$M,'BSE - Other Index Options'!$D:$D,$A41,'BSE - Other Index Options'!$I:$I,"Weekly*")+SUMIFS('BSE - Other Index Options'!$M:$M,'BSE - Other Index Options'!$D:$D,$A41,'BSE - Other Index Options'!$I:$I,"MDAW*")=0,"",SUMIFS('BSE - SENSEX Index Options'!$M:$M,'BSE - SENSEX Index Options'!$D:$D,$A41,'BSE - SENSEX Index Options'!$I:$I,"Weekly*")+SUMIFS('BSE - SENSEX Index Options'!$M:$M,'BSE - SENSEX Index Options'!$D:$D,$A41,'BSE - SENSEX Index Options'!$I:$I,"MDAW*")+SUMIFS('BSE - Other Index Options'!$M:$M,'BSE - Other Index Options'!$D:$D,$A41,'BSE - Other Index Options'!$I:$I,"Weekly*")+SUMIFS('BSE - Other Index Options'!$M:$M,'BSE - Other Index Options'!$D:$D,$A41,'BSE - Other Index Options'!$I:$I,"MDAW*"))</f>
        <v/>
      </c>
      <c r="D41" s="27">
        <f>IF(SUM(B41:C41)=0,"",SUM(B41)/SUM(B41:C41))</f>
        <v/>
      </c>
      <c r="E41" s="27">
        <f>IF(SUM(B41:C41)=0,"",SUM(C41)/SUM(B41:C41))</f>
        <v/>
      </c>
    </row>
    <row r="42">
      <c r="A42" s="24" t="n">
        <v>46023</v>
      </c>
      <c r="B42" s="26">
        <f>IF(SUMIFS('NSE - NIFTY Index Options'!$M:$M,'NSE - NIFTY Index Options'!$D:$D,$A42,'NSE - NIFTY Index Options'!$I:$I,"Weekly*")+SUMIFS('NSE - NIFTY Index Options'!$M:$M,'NSE - NIFTY Index Options'!$D:$D,$A42,'NSE - NIFTY Index Options'!$I:$I,"MDAW*")+SUMIFS('NSE - Other Index Options'!$M:$M,'NSE - Other Index Options'!$D:$D,$A42,'NSE - Other Index Options'!$I:$I,"Weekly*")+SUMIFS('NSE - Other Index Options'!$M:$M,'NSE - Other Index Options'!$D:$D,$A42,'NSE - Other Index Options'!$I:$I,"MDAW*")=0,"",SUMIFS('NSE - NIFTY Index Options'!$M:$M,'NSE - NIFTY Index Options'!$D:$D,$A42,'NSE - NIFTY Index Options'!$I:$I,"Weekly*")+SUMIFS('NSE - NIFTY Index Options'!$M:$M,'NSE - NIFTY Index Options'!$D:$D,$A42,'NSE - NIFTY Index Options'!$I:$I,"MDAW*")+SUMIFS('NSE - Other Index Options'!$M:$M,'NSE - Other Index Options'!$D:$D,$A42,'NSE - Other Index Options'!$I:$I,"Weekly*")+SUMIFS('NSE - Other Index Options'!$M:$M,'NSE - Other Index Options'!$D:$D,$A42,'NSE - Other Index Options'!$I:$I,"MDAW*"))</f>
        <v/>
      </c>
      <c r="C42" s="26">
        <f>IF(SUMIFS('BSE - SENSEX Index Options'!$M:$M,'BSE - SENSEX Index Options'!$D:$D,$A42,'BSE - SENSEX Index Options'!$I:$I,"Weekly*")+SUMIFS('BSE - SENSEX Index Options'!$M:$M,'BSE - SENSEX Index Options'!$D:$D,$A42,'BSE - SENSEX Index Options'!$I:$I,"MDAW*")+SUMIFS('BSE - Other Index Options'!$M:$M,'BSE - Other Index Options'!$D:$D,$A42,'BSE - Other Index Options'!$I:$I,"Weekly*")+SUMIFS('BSE - Other Index Options'!$M:$M,'BSE - Other Index Options'!$D:$D,$A42,'BSE - Other Index Options'!$I:$I,"MDAW*")=0,"",SUMIFS('BSE - SENSEX Index Options'!$M:$M,'BSE - SENSEX Index Options'!$D:$D,$A42,'BSE - SENSEX Index Options'!$I:$I,"Weekly*")+SUMIFS('BSE - SENSEX Index Options'!$M:$M,'BSE - SENSEX Index Options'!$D:$D,$A42,'BSE - SENSEX Index Options'!$I:$I,"MDAW*")+SUMIFS('BSE - Other Index Options'!$M:$M,'BSE - Other Index Options'!$D:$D,$A42,'BSE - Other Index Options'!$I:$I,"Weekly*")+SUMIFS('BSE - Other Index Options'!$M:$M,'BSE - Other Index Options'!$D:$D,$A42,'BSE - Other Index Options'!$I:$I,"MDAW*"))</f>
        <v/>
      </c>
      <c r="D42" s="27">
        <f>IF(SUM(B42:C42)=0,"",SUM(B42)/SUM(B42:C42))</f>
        <v/>
      </c>
      <c r="E42" s="27">
        <f>IF(SUM(B42:C42)=0,"",SUM(C42)/SUM(B42:C42))</f>
        <v/>
      </c>
    </row>
    <row r="43">
      <c r="A43" s="24" t="n">
        <v>46054</v>
      </c>
      <c r="B43" s="26">
        <f>IF(SUMIFS('NSE - NIFTY Index Options'!$M:$M,'NSE - NIFTY Index Options'!$D:$D,$A43,'NSE - NIFTY Index Options'!$I:$I,"Weekly*")+SUMIFS('NSE - NIFTY Index Options'!$M:$M,'NSE - NIFTY Index Options'!$D:$D,$A43,'NSE - NIFTY Index Options'!$I:$I,"MDAW*")+SUMIFS('NSE - Other Index Options'!$M:$M,'NSE - Other Index Options'!$D:$D,$A43,'NSE - Other Index Options'!$I:$I,"Weekly*")+SUMIFS('NSE - Other Index Options'!$M:$M,'NSE - Other Index Options'!$D:$D,$A43,'NSE - Other Index Options'!$I:$I,"MDAW*")=0,"",SUMIFS('NSE - NIFTY Index Options'!$M:$M,'NSE - NIFTY Index Options'!$D:$D,$A43,'NSE - NIFTY Index Options'!$I:$I,"Weekly*")+SUMIFS('NSE - NIFTY Index Options'!$M:$M,'NSE - NIFTY Index Options'!$D:$D,$A43,'NSE - NIFTY Index Options'!$I:$I,"MDAW*")+SUMIFS('NSE - Other Index Options'!$M:$M,'NSE - Other Index Options'!$D:$D,$A43,'NSE - Other Index Options'!$I:$I,"Weekly*")+SUMIFS('NSE - Other Index Options'!$M:$M,'NSE - Other Index Options'!$D:$D,$A43,'NSE - Other Index Options'!$I:$I,"MDAW*"))</f>
        <v/>
      </c>
      <c r="C43" s="26">
        <f>IF(SUMIFS('BSE - SENSEX Index Options'!$M:$M,'BSE - SENSEX Index Options'!$D:$D,$A43,'BSE - SENSEX Index Options'!$I:$I,"Weekly*")+SUMIFS('BSE - SENSEX Index Options'!$M:$M,'BSE - SENSEX Index Options'!$D:$D,$A43,'BSE - SENSEX Index Options'!$I:$I,"MDAW*")+SUMIFS('BSE - Other Index Options'!$M:$M,'BSE - Other Index Options'!$D:$D,$A43,'BSE - Other Index Options'!$I:$I,"Weekly*")+SUMIFS('BSE - Other Index Options'!$M:$M,'BSE - Other Index Options'!$D:$D,$A43,'BSE - Other Index Options'!$I:$I,"MDAW*")=0,"",SUMIFS('BSE - SENSEX Index Options'!$M:$M,'BSE - SENSEX Index Options'!$D:$D,$A43,'BSE - SENSEX Index Options'!$I:$I,"Weekly*")+SUMIFS('BSE - SENSEX Index Options'!$M:$M,'BSE - SENSEX Index Options'!$D:$D,$A43,'BSE - SENSEX Index Options'!$I:$I,"MDAW*")+SUMIFS('BSE - Other Index Options'!$M:$M,'BSE - Other Index Options'!$D:$D,$A43,'BSE - Other Index Options'!$I:$I,"Weekly*")+SUMIFS('BSE - Other Index Options'!$M:$M,'BSE - Other Index Options'!$D:$D,$A43,'BSE - Other Index Options'!$I:$I,"MDAW*"))</f>
        <v/>
      </c>
      <c r="D43" s="27">
        <f>IF(SUM(B43:C43)=0,"",SUM(B43)/SUM(B43:C43))</f>
        <v/>
      </c>
      <c r="E43" s="27">
        <f>IF(SUM(B43:C43)=0,"",SUM(C43)/SUM(B43:C43))</f>
        <v/>
      </c>
    </row>
    <row r="44">
      <c r="A44" s="24" t="n">
        <v>46082</v>
      </c>
      <c r="B44" s="26">
        <f>IF(SUMIFS('NSE - NIFTY Index Options'!$M:$M,'NSE - NIFTY Index Options'!$D:$D,$A44,'NSE - NIFTY Index Options'!$I:$I,"Weekly*")+SUMIFS('NSE - NIFTY Index Options'!$M:$M,'NSE - NIFTY Index Options'!$D:$D,$A44,'NSE - NIFTY Index Options'!$I:$I,"MDAW*")+SUMIFS('NSE - Other Index Options'!$M:$M,'NSE - Other Index Options'!$D:$D,$A44,'NSE - Other Index Options'!$I:$I,"Weekly*")+SUMIFS('NSE - Other Index Options'!$M:$M,'NSE - Other Index Options'!$D:$D,$A44,'NSE - Other Index Options'!$I:$I,"MDAW*")=0,"",SUMIFS('NSE - NIFTY Index Options'!$M:$M,'NSE - NIFTY Index Options'!$D:$D,$A44,'NSE - NIFTY Index Options'!$I:$I,"Weekly*")+SUMIFS('NSE - NIFTY Index Options'!$M:$M,'NSE - NIFTY Index Options'!$D:$D,$A44,'NSE - NIFTY Index Options'!$I:$I,"MDAW*")+SUMIFS('NSE - Other Index Options'!$M:$M,'NSE - Other Index Options'!$D:$D,$A44,'NSE - Other Index Options'!$I:$I,"Weekly*")+SUMIFS('NSE - Other Index Options'!$M:$M,'NSE - Other Index Options'!$D:$D,$A44,'NSE - Other Index Options'!$I:$I,"MDAW*"))</f>
        <v/>
      </c>
      <c r="C44" s="26">
        <f>IF(SUMIFS('BSE - SENSEX Index Options'!$M:$M,'BSE - SENSEX Index Options'!$D:$D,$A44,'BSE - SENSEX Index Options'!$I:$I,"Weekly*")+SUMIFS('BSE - SENSEX Index Options'!$M:$M,'BSE - SENSEX Index Options'!$D:$D,$A44,'BSE - SENSEX Index Options'!$I:$I,"MDAW*")+SUMIFS('BSE - Other Index Options'!$M:$M,'BSE - Other Index Options'!$D:$D,$A44,'BSE - Other Index Options'!$I:$I,"Weekly*")+SUMIFS('BSE - Other Index Options'!$M:$M,'BSE - Other Index Options'!$D:$D,$A44,'BSE - Other Index Options'!$I:$I,"MDAW*")=0,"",SUMIFS('BSE - SENSEX Index Options'!$M:$M,'BSE - SENSEX Index Options'!$D:$D,$A44,'BSE - SENSEX Index Options'!$I:$I,"Weekly*")+SUMIFS('BSE - SENSEX Index Options'!$M:$M,'BSE - SENSEX Index Options'!$D:$D,$A44,'BSE - SENSEX Index Options'!$I:$I,"MDAW*")+SUMIFS('BSE - Other Index Options'!$M:$M,'BSE - Other Index Options'!$D:$D,$A44,'BSE - Other Index Options'!$I:$I,"Weekly*")+SUMIFS('BSE - Other Index Options'!$M:$M,'BSE - Other Index Options'!$D:$D,$A44,'BSE - Other Index Options'!$I:$I,"MDAW*"))</f>
        <v/>
      </c>
      <c r="D44" s="27">
        <f>IF(SUM(B44:C44)=0,"",SUM(B44)/SUM(B44:C44))</f>
        <v/>
      </c>
      <c r="E44" s="27">
        <f>IF(SUM(B44:C44)=0,"",SUM(C44)/SUM(B44:C44))</f>
        <v/>
      </c>
    </row>
    <row r="45">
      <c r="A45" s="24" t="n">
        <v>46113</v>
      </c>
      <c r="B45" s="26">
        <f>IF(SUMIFS('NSE - NIFTY Index Options'!$M:$M,'NSE - NIFTY Index Options'!$D:$D,$A45,'NSE - NIFTY Index Options'!$I:$I,"Weekly*")+SUMIFS('NSE - NIFTY Index Options'!$M:$M,'NSE - NIFTY Index Options'!$D:$D,$A45,'NSE - NIFTY Index Options'!$I:$I,"MDAW*")+SUMIFS('NSE - Other Index Options'!$M:$M,'NSE - Other Index Options'!$D:$D,$A45,'NSE - Other Index Options'!$I:$I,"Weekly*")+SUMIFS('NSE - Other Index Options'!$M:$M,'NSE - Other Index Options'!$D:$D,$A45,'NSE - Other Index Options'!$I:$I,"MDAW*")=0,"",SUMIFS('NSE - NIFTY Index Options'!$M:$M,'NSE - NIFTY Index Options'!$D:$D,$A45,'NSE - NIFTY Index Options'!$I:$I,"Weekly*")+SUMIFS('NSE - NIFTY Index Options'!$M:$M,'NSE - NIFTY Index Options'!$D:$D,$A45,'NSE - NIFTY Index Options'!$I:$I,"MDAW*")+SUMIFS('NSE - Other Index Options'!$M:$M,'NSE - Other Index Options'!$D:$D,$A45,'NSE - Other Index Options'!$I:$I,"Weekly*")+SUMIFS('NSE - Other Index Options'!$M:$M,'NSE - Other Index Options'!$D:$D,$A45,'NSE - Other Index Options'!$I:$I,"MDAW*"))</f>
        <v/>
      </c>
      <c r="C45" s="26">
        <f>IF(SUMIFS('BSE - SENSEX Index Options'!$M:$M,'BSE - SENSEX Index Options'!$D:$D,$A45,'BSE - SENSEX Index Options'!$I:$I,"Weekly*")+SUMIFS('BSE - SENSEX Index Options'!$M:$M,'BSE - SENSEX Index Options'!$D:$D,$A45,'BSE - SENSEX Index Options'!$I:$I,"MDAW*")+SUMIFS('BSE - Other Index Options'!$M:$M,'BSE - Other Index Options'!$D:$D,$A45,'BSE - Other Index Options'!$I:$I,"Weekly*")+SUMIFS('BSE - Other Index Options'!$M:$M,'BSE - Other Index Options'!$D:$D,$A45,'BSE - Other Index Options'!$I:$I,"MDAW*")=0,"",SUMIFS('BSE - SENSEX Index Options'!$M:$M,'BSE - SENSEX Index Options'!$D:$D,$A45,'BSE - SENSEX Index Options'!$I:$I,"Weekly*")+SUMIFS('BSE - SENSEX Index Options'!$M:$M,'BSE - SENSEX Index Options'!$D:$D,$A45,'BSE - SENSEX Index Options'!$I:$I,"MDAW*")+SUMIFS('BSE - Other Index Options'!$M:$M,'BSE - Other Index Options'!$D:$D,$A45,'BSE - Other Index Options'!$I:$I,"Weekly*")+SUMIFS('BSE - Other Index Options'!$M:$M,'BSE - Other Index Options'!$D:$D,$A45,'BSE - Other Index Options'!$I:$I,"MDAW*"))</f>
        <v/>
      </c>
      <c r="D45" s="27">
        <f>IF(SUM(B45:C45)=0,"",SUM(B45)/SUM(B45:C45))</f>
        <v/>
      </c>
      <c r="E45" s="27">
        <f>IF(SUM(B45:C45)=0,"",SUM(C45)/SUM(B45:C45))</f>
        <v/>
      </c>
    </row>
    <row r="46">
      <c r="A46" s="24" t="n">
        <v>46143</v>
      </c>
      <c r="B46" s="26">
        <f>IF(SUMIFS('NSE - NIFTY Index Options'!$M:$M,'NSE - NIFTY Index Options'!$D:$D,$A46,'NSE - NIFTY Index Options'!$I:$I,"Weekly*")+SUMIFS('NSE - NIFTY Index Options'!$M:$M,'NSE - NIFTY Index Options'!$D:$D,$A46,'NSE - NIFTY Index Options'!$I:$I,"MDAW*")+SUMIFS('NSE - Other Index Options'!$M:$M,'NSE - Other Index Options'!$D:$D,$A46,'NSE - Other Index Options'!$I:$I,"Weekly*")+SUMIFS('NSE - Other Index Options'!$M:$M,'NSE - Other Index Options'!$D:$D,$A46,'NSE - Other Index Options'!$I:$I,"MDAW*")=0,"",SUMIFS('NSE - NIFTY Index Options'!$M:$M,'NSE - NIFTY Index Options'!$D:$D,$A46,'NSE - NIFTY Index Options'!$I:$I,"Weekly*")+SUMIFS('NSE - NIFTY Index Options'!$M:$M,'NSE - NIFTY Index Options'!$D:$D,$A46,'NSE - NIFTY Index Options'!$I:$I,"MDAW*")+SUMIFS('NSE - Other Index Options'!$M:$M,'NSE - Other Index Options'!$D:$D,$A46,'NSE - Other Index Options'!$I:$I,"Weekly*")+SUMIFS('NSE - Other Index Options'!$M:$M,'NSE - Other Index Options'!$D:$D,$A46,'NSE - Other Index Options'!$I:$I,"MDAW*"))</f>
        <v/>
      </c>
      <c r="C46" s="26">
        <f>IF(SUMIFS('BSE - SENSEX Index Options'!$M:$M,'BSE - SENSEX Index Options'!$D:$D,$A46,'BSE - SENSEX Index Options'!$I:$I,"Weekly*")+SUMIFS('BSE - SENSEX Index Options'!$M:$M,'BSE - SENSEX Index Options'!$D:$D,$A46,'BSE - SENSEX Index Options'!$I:$I,"MDAW*")+SUMIFS('BSE - Other Index Options'!$M:$M,'BSE - Other Index Options'!$D:$D,$A46,'BSE - Other Index Options'!$I:$I,"Weekly*")+SUMIFS('BSE - Other Index Options'!$M:$M,'BSE - Other Index Options'!$D:$D,$A46,'BSE - Other Index Options'!$I:$I,"MDAW*")=0,"",SUMIFS('BSE - SENSEX Index Options'!$M:$M,'BSE - SENSEX Index Options'!$D:$D,$A46,'BSE - SENSEX Index Options'!$I:$I,"Weekly*")+SUMIFS('BSE - SENSEX Index Options'!$M:$M,'BSE - SENSEX Index Options'!$D:$D,$A46,'BSE - SENSEX Index Options'!$I:$I,"MDAW*")+SUMIFS('BSE - Other Index Options'!$M:$M,'BSE - Other Index Options'!$D:$D,$A46,'BSE - Other Index Options'!$I:$I,"Weekly*")+SUMIFS('BSE - Other Index Options'!$M:$M,'BSE - Other Index Options'!$D:$D,$A46,'BSE - Other Index Options'!$I:$I,"MDAW*"))</f>
        <v/>
      </c>
      <c r="D46" s="27">
        <f>IF(SUM(B46:C46)=0,"",SUM(B46)/SUM(B46:C46))</f>
        <v/>
      </c>
      <c r="E46" s="27">
        <f>IF(SUM(B46:C46)=0,"",SUM(C46)/SUM(B46:C46))</f>
        <v/>
      </c>
    </row>
    <row r="47">
      <c r="A47" s="24" t="n">
        <v>46174</v>
      </c>
      <c r="B47" s="26">
        <f>IF(SUMIFS('NSE - NIFTY Index Options'!$M:$M,'NSE - NIFTY Index Options'!$D:$D,$A47,'NSE - NIFTY Index Options'!$I:$I,"Weekly*")+SUMIFS('NSE - NIFTY Index Options'!$M:$M,'NSE - NIFTY Index Options'!$D:$D,$A47,'NSE - NIFTY Index Options'!$I:$I,"MDAW*")+SUMIFS('NSE - Other Index Options'!$M:$M,'NSE - Other Index Options'!$D:$D,$A47,'NSE - Other Index Options'!$I:$I,"Weekly*")+SUMIFS('NSE - Other Index Options'!$M:$M,'NSE - Other Index Options'!$D:$D,$A47,'NSE - Other Index Options'!$I:$I,"MDAW*")=0,"",SUMIFS('NSE - NIFTY Index Options'!$M:$M,'NSE - NIFTY Index Options'!$D:$D,$A47,'NSE - NIFTY Index Options'!$I:$I,"Weekly*")+SUMIFS('NSE - NIFTY Index Options'!$M:$M,'NSE - NIFTY Index Options'!$D:$D,$A47,'NSE - NIFTY Index Options'!$I:$I,"MDAW*")+SUMIFS('NSE - Other Index Options'!$M:$M,'NSE - Other Index Options'!$D:$D,$A47,'NSE - Other Index Options'!$I:$I,"Weekly*")+SUMIFS('NSE - Other Index Options'!$M:$M,'NSE - Other Index Options'!$D:$D,$A47,'NSE - Other Index Options'!$I:$I,"MDAW*"))</f>
        <v/>
      </c>
      <c r="C47" s="26">
        <f>IF(SUMIFS('BSE - SENSEX Index Options'!$M:$M,'BSE - SENSEX Index Options'!$D:$D,$A47,'BSE - SENSEX Index Options'!$I:$I,"Weekly*")+SUMIFS('BSE - SENSEX Index Options'!$M:$M,'BSE - SENSEX Index Options'!$D:$D,$A47,'BSE - SENSEX Index Options'!$I:$I,"MDAW*")+SUMIFS('BSE - Other Index Options'!$M:$M,'BSE - Other Index Options'!$D:$D,$A47,'BSE - Other Index Options'!$I:$I,"Weekly*")+SUMIFS('BSE - Other Index Options'!$M:$M,'BSE - Other Index Options'!$D:$D,$A47,'BSE - Other Index Options'!$I:$I,"MDAW*")=0,"",SUMIFS('BSE - SENSEX Index Options'!$M:$M,'BSE - SENSEX Index Options'!$D:$D,$A47,'BSE - SENSEX Index Options'!$I:$I,"Weekly*")+SUMIFS('BSE - SENSEX Index Options'!$M:$M,'BSE - SENSEX Index Options'!$D:$D,$A47,'BSE - SENSEX Index Options'!$I:$I,"MDAW*")+SUMIFS('BSE - Other Index Options'!$M:$M,'BSE - Other Index Options'!$D:$D,$A47,'BSE - Other Index Options'!$I:$I,"Weekly*")+SUMIFS('BSE - Other Index Options'!$M:$M,'BSE - Other Index Options'!$D:$D,$A47,'BSE - Other Index Options'!$I:$I,"MDAW*"))</f>
        <v/>
      </c>
      <c r="D47" s="27">
        <f>IF(SUM(B47:C47)=0,"",SUM(B47)/SUM(B47:C47))</f>
        <v/>
      </c>
      <c r="E47" s="27">
        <f>IF(SUM(B47:C47)=0,"",SUM(C47)/SUM(B47:C47))</f>
        <v/>
      </c>
    </row>
    <row r="48">
      <c r="A48" s="24" t="n">
        <v>46204</v>
      </c>
      <c r="B48" s="26">
        <f>IF(SUMIFS('NSE - NIFTY Index Options'!$M:$M,'NSE - NIFTY Index Options'!$D:$D,$A48,'NSE - NIFTY Index Options'!$I:$I,"Weekly*")+SUMIFS('NSE - NIFTY Index Options'!$M:$M,'NSE - NIFTY Index Options'!$D:$D,$A48,'NSE - NIFTY Index Options'!$I:$I,"MDAW*")+SUMIFS('NSE - Other Index Options'!$M:$M,'NSE - Other Index Options'!$D:$D,$A48,'NSE - Other Index Options'!$I:$I,"Weekly*")+SUMIFS('NSE - Other Index Options'!$M:$M,'NSE - Other Index Options'!$D:$D,$A48,'NSE - Other Index Options'!$I:$I,"MDAW*")=0,"",SUMIFS('NSE - NIFTY Index Options'!$M:$M,'NSE - NIFTY Index Options'!$D:$D,$A48,'NSE - NIFTY Index Options'!$I:$I,"Weekly*")+SUMIFS('NSE - NIFTY Index Options'!$M:$M,'NSE - NIFTY Index Options'!$D:$D,$A48,'NSE - NIFTY Index Options'!$I:$I,"MDAW*")+SUMIFS('NSE - Other Index Options'!$M:$M,'NSE - Other Index Options'!$D:$D,$A48,'NSE - Other Index Options'!$I:$I,"Weekly*")+SUMIFS('NSE - Other Index Options'!$M:$M,'NSE - Other Index Options'!$D:$D,$A48,'NSE - Other Index Options'!$I:$I,"MDAW*"))</f>
        <v/>
      </c>
      <c r="C48" s="26">
        <f>IF(SUMIFS('BSE - SENSEX Index Options'!$M:$M,'BSE - SENSEX Index Options'!$D:$D,$A48,'BSE - SENSEX Index Options'!$I:$I,"Weekly*")+SUMIFS('BSE - SENSEX Index Options'!$M:$M,'BSE - SENSEX Index Options'!$D:$D,$A48,'BSE - SENSEX Index Options'!$I:$I,"MDAW*")+SUMIFS('BSE - Other Index Options'!$M:$M,'BSE - Other Index Options'!$D:$D,$A48,'BSE - Other Index Options'!$I:$I,"Weekly*")+SUMIFS('BSE - Other Index Options'!$M:$M,'BSE - Other Index Options'!$D:$D,$A48,'BSE - Other Index Options'!$I:$I,"MDAW*")=0,"",SUMIFS('BSE - SENSEX Index Options'!$M:$M,'BSE - SENSEX Index Options'!$D:$D,$A48,'BSE - SENSEX Index Options'!$I:$I,"Weekly*")+SUMIFS('BSE - SENSEX Index Options'!$M:$M,'BSE - SENSEX Index Options'!$D:$D,$A48,'BSE - SENSEX Index Options'!$I:$I,"MDAW*")+SUMIFS('BSE - Other Index Options'!$M:$M,'BSE - Other Index Options'!$D:$D,$A48,'BSE - Other Index Options'!$I:$I,"Weekly*")+SUMIFS('BSE - Other Index Options'!$M:$M,'BSE - Other Index Options'!$D:$D,$A48,'BSE - Other Index Options'!$I:$I,"MDAW*"))</f>
        <v/>
      </c>
      <c r="D48" s="27">
        <f>IF(SUM(B48:C48)=0,"",SUM(B48)/SUM(B48:C48))</f>
        <v/>
      </c>
      <c r="E48" s="27">
        <f>IF(SUM(B48:C48)=0,"",SUM(C48)/SUM(B48:C48))</f>
        <v/>
      </c>
    </row>
    <row r="49">
      <c r="A49" s="24" t="n">
        <v>46235</v>
      </c>
      <c r="B49" s="26">
        <f>IF(SUMIFS('NSE - NIFTY Index Options'!$M:$M,'NSE - NIFTY Index Options'!$D:$D,$A49,'NSE - NIFTY Index Options'!$I:$I,"Weekly*")+SUMIFS('NSE - NIFTY Index Options'!$M:$M,'NSE - NIFTY Index Options'!$D:$D,$A49,'NSE - NIFTY Index Options'!$I:$I,"MDAW*")+SUMIFS('NSE - Other Index Options'!$M:$M,'NSE - Other Index Options'!$D:$D,$A49,'NSE - Other Index Options'!$I:$I,"Weekly*")+SUMIFS('NSE - Other Index Options'!$M:$M,'NSE - Other Index Options'!$D:$D,$A49,'NSE - Other Index Options'!$I:$I,"MDAW*")=0,"",SUMIFS('NSE - NIFTY Index Options'!$M:$M,'NSE - NIFTY Index Options'!$D:$D,$A49,'NSE - NIFTY Index Options'!$I:$I,"Weekly*")+SUMIFS('NSE - NIFTY Index Options'!$M:$M,'NSE - NIFTY Index Options'!$D:$D,$A49,'NSE - NIFTY Index Options'!$I:$I,"MDAW*")+SUMIFS('NSE - Other Index Options'!$M:$M,'NSE - Other Index Options'!$D:$D,$A49,'NSE - Other Index Options'!$I:$I,"Weekly*")+SUMIFS('NSE - Other Index Options'!$M:$M,'NSE - Other Index Options'!$D:$D,$A49,'NSE - Other Index Options'!$I:$I,"MDAW*"))</f>
        <v/>
      </c>
      <c r="C49" s="26">
        <f>IF(SUMIFS('BSE - SENSEX Index Options'!$M:$M,'BSE - SENSEX Index Options'!$D:$D,$A49,'BSE - SENSEX Index Options'!$I:$I,"Weekly*")+SUMIFS('BSE - SENSEX Index Options'!$M:$M,'BSE - SENSEX Index Options'!$D:$D,$A49,'BSE - SENSEX Index Options'!$I:$I,"MDAW*")+SUMIFS('BSE - Other Index Options'!$M:$M,'BSE - Other Index Options'!$D:$D,$A49,'BSE - Other Index Options'!$I:$I,"Weekly*")+SUMIFS('BSE - Other Index Options'!$M:$M,'BSE - Other Index Options'!$D:$D,$A49,'BSE - Other Index Options'!$I:$I,"MDAW*")=0,"",SUMIFS('BSE - SENSEX Index Options'!$M:$M,'BSE - SENSEX Index Options'!$D:$D,$A49,'BSE - SENSEX Index Options'!$I:$I,"Weekly*")+SUMIFS('BSE - SENSEX Index Options'!$M:$M,'BSE - SENSEX Index Options'!$D:$D,$A49,'BSE - SENSEX Index Options'!$I:$I,"MDAW*")+SUMIFS('BSE - Other Index Options'!$M:$M,'BSE - Other Index Options'!$D:$D,$A49,'BSE - Other Index Options'!$I:$I,"Weekly*")+SUMIFS('BSE - Other Index Options'!$M:$M,'BSE - Other Index Options'!$D:$D,$A49,'BSE - Other Index Options'!$I:$I,"MDAW*"))</f>
        <v/>
      </c>
      <c r="D49" s="27">
        <f>IF(SUM(B49:C49)=0,"",SUM(B49)/SUM(B49:C49))</f>
        <v/>
      </c>
      <c r="E49" s="27">
        <f>IF(SUM(B49:C49)=0,"",SUM(C49)/SUM(B49:C49))</f>
        <v/>
      </c>
    </row>
    <row r="50" hidden="1" outlineLevel="1">
      <c r="A50" s="24" t="n">
        <v>46266</v>
      </c>
      <c r="B50" s="26">
        <f>IF(SUMIFS('NSE - NIFTY Index Options'!$M:$M,'NSE - NIFTY Index Options'!$D:$D,$A50,'NSE - NIFTY Index Options'!$I:$I,"Weekly*")+SUMIFS('NSE - NIFTY Index Options'!$M:$M,'NSE - NIFTY Index Options'!$D:$D,$A50,'NSE - NIFTY Index Options'!$I:$I,"MDAW*")+SUMIFS('NSE - Other Index Options'!$M:$M,'NSE - Other Index Options'!$D:$D,$A50,'NSE - Other Index Options'!$I:$I,"Weekly*")+SUMIFS('NSE - Other Index Options'!$M:$M,'NSE - Other Index Options'!$D:$D,$A50,'NSE - Other Index Options'!$I:$I,"MDAW*")=0,"",SUMIFS('NSE - NIFTY Index Options'!$M:$M,'NSE - NIFTY Index Options'!$D:$D,$A50,'NSE - NIFTY Index Options'!$I:$I,"Weekly*")+SUMIFS('NSE - NIFTY Index Options'!$M:$M,'NSE - NIFTY Index Options'!$D:$D,$A50,'NSE - NIFTY Index Options'!$I:$I,"MDAW*")+SUMIFS('NSE - Other Index Options'!$M:$M,'NSE - Other Index Options'!$D:$D,$A50,'NSE - Other Index Options'!$I:$I,"Weekly*")+SUMIFS('NSE - Other Index Options'!$M:$M,'NSE - Other Index Options'!$D:$D,$A50,'NSE - Other Index Options'!$I:$I,"MDAW*"))</f>
        <v/>
      </c>
      <c r="C50" s="26">
        <f>IF(SUMIFS('BSE - SENSEX Index Options'!$M:$M,'BSE - SENSEX Index Options'!$D:$D,$A50,'BSE - SENSEX Index Options'!$I:$I,"Weekly*")+SUMIFS('BSE - SENSEX Index Options'!$M:$M,'BSE - SENSEX Index Options'!$D:$D,$A50,'BSE - SENSEX Index Options'!$I:$I,"MDAW*")+SUMIFS('BSE - Other Index Options'!$M:$M,'BSE - Other Index Options'!$D:$D,$A50,'BSE - Other Index Options'!$I:$I,"Weekly*")+SUMIFS('BSE - Other Index Options'!$M:$M,'BSE - Other Index Options'!$D:$D,$A50,'BSE - Other Index Options'!$I:$I,"MDAW*")=0,"",SUMIFS('BSE - SENSEX Index Options'!$M:$M,'BSE - SENSEX Index Options'!$D:$D,$A50,'BSE - SENSEX Index Options'!$I:$I,"Weekly*")+SUMIFS('BSE - SENSEX Index Options'!$M:$M,'BSE - SENSEX Index Options'!$D:$D,$A50,'BSE - SENSEX Index Options'!$I:$I,"MDAW*")+SUMIFS('BSE - Other Index Options'!$M:$M,'BSE - Other Index Options'!$D:$D,$A50,'BSE - Other Index Options'!$I:$I,"Weekly*")+SUMIFS('BSE - Other Index Options'!$M:$M,'BSE - Other Index Options'!$D:$D,$A50,'BSE - Other Index Options'!$I:$I,"MDAW*"))</f>
        <v/>
      </c>
      <c r="D50" s="27">
        <f>IF(SUM(B50:C50)=0,"",SUM(B50)/SUM(B50:C50))</f>
        <v/>
      </c>
      <c r="E50" s="27">
        <f>IF(SUM(B50:C50)=0,"",SUM(C50)/SUM(B50:C50))</f>
        <v/>
      </c>
    </row>
    <row r="51" hidden="1" outlineLevel="1">
      <c r="A51" s="24" t="n">
        <v>46296</v>
      </c>
      <c r="B51" s="26">
        <f>IF(SUMIFS('NSE - NIFTY Index Options'!$M:$M,'NSE - NIFTY Index Options'!$D:$D,$A51,'NSE - NIFTY Index Options'!$I:$I,"Weekly*")+SUMIFS('NSE - NIFTY Index Options'!$M:$M,'NSE - NIFTY Index Options'!$D:$D,$A51,'NSE - NIFTY Index Options'!$I:$I,"MDAW*")+SUMIFS('NSE - Other Index Options'!$M:$M,'NSE - Other Index Options'!$D:$D,$A51,'NSE - Other Index Options'!$I:$I,"Weekly*")+SUMIFS('NSE - Other Index Options'!$M:$M,'NSE - Other Index Options'!$D:$D,$A51,'NSE - Other Index Options'!$I:$I,"MDAW*")=0,"",SUMIFS('NSE - NIFTY Index Options'!$M:$M,'NSE - NIFTY Index Options'!$D:$D,$A51,'NSE - NIFTY Index Options'!$I:$I,"Weekly*")+SUMIFS('NSE - NIFTY Index Options'!$M:$M,'NSE - NIFTY Index Options'!$D:$D,$A51,'NSE - NIFTY Index Options'!$I:$I,"MDAW*")+SUMIFS('NSE - Other Index Options'!$M:$M,'NSE - Other Index Options'!$D:$D,$A51,'NSE - Other Index Options'!$I:$I,"Weekly*")+SUMIFS('NSE - Other Index Options'!$M:$M,'NSE - Other Index Options'!$D:$D,$A51,'NSE - Other Index Options'!$I:$I,"MDAW*"))</f>
        <v/>
      </c>
      <c r="C51" s="26">
        <f>IF(SUMIFS('BSE - SENSEX Index Options'!$M:$M,'BSE - SENSEX Index Options'!$D:$D,$A51,'BSE - SENSEX Index Options'!$I:$I,"Weekly*")+SUMIFS('BSE - SENSEX Index Options'!$M:$M,'BSE - SENSEX Index Options'!$D:$D,$A51,'BSE - SENSEX Index Options'!$I:$I,"MDAW*")+SUMIFS('BSE - Other Index Options'!$M:$M,'BSE - Other Index Options'!$D:$D,$A51,'BSE - Other Index Options'!$I:$I,"Weekly*")+SUMIFS('BSE - Other Index Options'!$M:$M,'BSE - Other Index Options'!$D:$D,$A51,'BSE - Other Index Options'!$I:$I,"MDAW*")=0,"",SUMIFS('BSE - SENSEX Index Options'!$M:$M,'BSE - SENSEX Index Options'!$D:$D,$A51,'BSE - SENSEX Index Options'!$I:$I,"Weekly*")+SUMIFS('BSE - SENSEX Index Options'!$M:$M,'BSE - SENSEX Index Options'!$D:$D,$A51,'BSE - SENSEX Index Options'!$I:$I,"MDAW*")+SUMIFS('BSE - Other Index Options'!$M:$M,'BSE - Other Index Options'!$D:$D,$A51,'BSE - Other Index Options'!$I:$I,"Weekly*")+SUMIFS('BSE - Other Index Options'!$M:$M,'BSE - Other Index Options'!$D:$D,$A51,'BSE - Other Index Options'!$I:$I,"MDAW*"))</f>
        <v/>
      </c>
      <c r="D51" s="27">
        <f>IF(SUM(B51:C51)=0,"",SUM(B51)/SUM(B51:C51))</f>
        <v/>
      </c>
      <c r="E51" s="27">
        <f>IF(SUM(B51:C51)=0,"",SUM(C51)/SUM(B51:C51))</f>
        <v/>
      </c>
    </row>
    <row r="52" hidden="1" outlineLevel="1">
      <c r="A52" s="24" t="n">
        <v>46327</v>
      </c>
      <c r="B52" s="26">
        <f>IF(SUMIFS('NSE - NIFTY Index Options'!$M:$M,'NSE - NIFTY Index Options'!$D:$D,$A52,'NSE - NIFTY Index Options'!$I:$I,"Weekly*")+SUMIFS('NSE - NIFTY Index Options'!$M:$M,'NSE - NIFTY Index Options'!$D:$D,$A52,'NSE - NIFTY Index Options'!$I:$I,"MDAW*")+SUMIFS('NSE - Other Index Options'!$M:$M,'NSE - Other Index Options'!$D:$D,$A52,'NSE - Other Index Options'!$I:$I,"Weekly*")+SUMIFS('NSE - Other Index Options'!$M:$M,'NSE - Other Index Options'!$D:$D,$A52,'NSE - Other Index Options'!$I:$I,"MDAW*")=0,"",SUMIFS('NSE - NIFTY Index Options'!$M:$M,'NSE - NIFTY Index Options'!$D:$D,$A52,'NSE - NIFTY Index Options'!$I:$I,"Weekly*")+SUMIFS('NSE - NIFTY Index Options'!$M:$M,'NSE - NIFTY Index Options'!$D:$D,$A52,'NSE - NIFTY Index Options'!$I:$I,"MDAW*")+SUMIFS('NSE - Other Index Options'!$M:$M,'NSE - Other Index Options'!$D:$D,$A52,'NSE - Other Index Options'!$I:$I,"Weekly*")+SUMIFS('NSE - Other Index Options'!$M:$M,'NSE - Other Index Options'!$D:$D,$A52,'NSE - Other Index Options'!$I:$I,"MDAW*"))</f>
        <v/>
      </c>
      <c r="C52" s="26">
        <f>IF(SUMIFS('BSE - SENSEX Index Options'!$M:$M,'BSE - SENSEX Index Options'!$D:$D,$A52,'BSE - SENSEX Index Options'!$I:$I,"Weekly*")+SUMIFS('BSE - SENSEX Index Options'!$M:$M,'BSE - SENSEX Index Options'!$D:$D,$A52,'BSE - SENSEX Index Options'!$I:$I,"MDAW*")+SUMIFS('BSE - Other Index Options'!$M:$M,'BSE - Other Index Options'!$D:$D,$A52,'BSE - Other Index Options'!$I:$I,"Weekly*")+SUMIFS('BSE - Other Index Options'!$M:$M,'BSE - Other Index Options'!$D:$D,$A52,'BSE - Other Index Options'!$I:$I,"MDAW*")=0,"",SUMIFS('BSE - SENSEX Index Options'!$M:$M,'BSE - SENSEX Index Options'!$D:$D,$A52,'BSE - SENSEX Index Options'!$I:$I,"Weekly*")+SUMIFS('BSE - SENSEX Index Options'!$M:$M,'BSE - SENSEX Index Options'!$D:$D,$A52,'BSE - SENSEX Index Options'!$I:$I,"MDAW*")+SUMIFS('BSE - Other Index Options'!$M:$M,'BSE - Other Index Options'!$D:$D,$A52,'BSE - Other Index Options'!$I:$I,"Weekly*")+SUMIFS('BSE - Other Index Options'!$M:$M,'BSE - Other Index Options'!$D:$D,$A52,'BSE - Other Index Options'!$I:$I,"MDAW*"))</f>
        <v/>
      </c>
      <c r="D52" s="27">
        <f>IF(SUM(B52:C52)=0,"",SUM(B52)/SUM(B52:C52))</f>
        <v/>
      </c>
      <c r="E52" s="27">
        <f>IF(SUM(B52:C52)=0,"",SUM(C52)/SUM(B52:C52))</f>
        <v/>
      </c>
    </row>
    <row r="53" hidden="1" outlineLevel="1">
      <c r="A53" s="24" t="n">
        <v>46357</v>
      </c>
      <c r="B53" s="26">
        <f>IF(SUMIFS('NSE - NIFTY Index Options'!$M:$M,'NSE - NIFTY Index Options'!$D:$D,$A53,'NSE - NIFTY Index Options'!$I:$I,"Weekly*")+SUMIFS('NSE - NIFTY Index Options'!$M:$M,'NSE - NIFTY Index Options'!$D:$D,$A53,'NSE - NIFTY Index Options'!$I:$I,"MDAW*")+SUMIFS('NSE - Other Index Options'!$M:$M,'NSE - Other Index Options'!$D:$D,$A53,'NSE - Other Index Options'!$I:$I,"Weekly*")+SUMIFS('NSE - Other Index Options'!$M:$M,'NSE - Other Index Options'!$D:$D,$A53,'NSE - Other Index Options'!$I:$I,"MDAW*")=0,"",SUMIFS('NSE - NIFTY Index Options'!$M:$M,'NSE - NIFTY Index Options'!$D:$D,$A53,'NSE - NIFTY Index Options'!$I:$I,"Weekly*")+SUMIFS('NSE - NIFTY Index Options'!$M:$M,'NSE - NIFTY Index Options'!$D:$D,$A53,'NSE - NIFTY Index Options'!$I:$I,"MDAW*")+SUMIFS('NSE - Other Index Options'!$M:$M,'NSE - Other Index Options'!$D:$D,$A53,'NSE - Other Index Options'!$I:$I,"Weekly*")+SUMIFS('NSE - Other Index Options'!$M:$M,'NSE - Other Index Options'!$D:$D,$A53,'NSE - Other Index Options'!$I:$I,"MDAW*"))</f>
        <v/>
      </c>
      <c r="C53" s="26">
        <f>IF(SUMIFS('BSE - SENSEX Index Options'!$M:$M,'BSE - SENSEX Index Options'!$D:$D,$A53,'BSE - SENSEX Index Options'!$I:$I,"Weekly*")+SUMIFS('BSE - SENSEX Index Options'!$M:$M,'BSE - SENSEX Index Options'!$D:$D,$A53,'BSE - SENSEX Index Options'!$I:$I,"MDAW*")+SUMIFS('BSE - Other Index Options'!$M:$M,'BSE - Other Index Options'!$D:$D,$A53,'BSE - Other Index Options'!$I:$I,"Weekly*")+SUMIFS('BSE - Other Index Options'!$M:$M,'BSE - Other Index Options'!$D:$D,$A53,'BSE - Other Index Options'!$I:$I,"MDAW*")=0,"",SUMIFS('BSE - SENSEX Index Options'!$M:$M,'BSE - SENSEX Index Options'!$D:$D,$A53,'BSE - SENSEX Index Options'!$I:$I,"Weekly*")+SUMIFS('BSE - SENSEX Index Options'!$M:$M,'BSE - SENSEX Index Options'!$D:$D,$A53,'BSE - SENSEX Index Options'!$I:$I,"MDAW*")+SUMIFS('BSE - Other Index Options'!$M:$M,'BSE - Other Index Options'!$D:$D,$A53,'BSE - Other Index Options'!$I:$I,"Weekly*")+SUMIFS('BSE - Other Index Options'!$M:$M,'BSE - Other Index Options'!$D:$D,$A53,'BSE - Other Index Options'!$I:$I,"MDAW*"))</f>
        <v/>
      </c>
      <c r="D53" s="27">
        <f>IF(SUM(B53:C53)=0,"",SUM(B53)/SUM(B53:C53))</f>
        <v/>
      </c>
      <c r="E53" s="27">
        <f>IF(SUM(B53:C53)=0,"",SUM(C53)/SUM(B53:C53))</f>
        <v/>
      </c>
    </row>
    <row r="54" hidden="1" outlineLevel="1">
      <c r="A54" s="24" t="n">
        <v>46388</v>
      </c>
      <c r="B54" s="26">
        <f>IF(SUMIFS('NSE - NIFTY Index Options'!$M:$M,'NSE - NIFTY Index Options'!$D:$D,$A54,'NSE - NIFTY Index Options'!$I:$I,"Weekly*")+SUMIFS('NSE - NIFTY Index Options'!$M:$M,'NSE - NIFTY Index Options'!$D:$D,$A54,'NSE - NIFTY Index Options'!$I:$I,"MDAW*")+SUMIFS('NSE - Other Index Options'!$M:$M,'NSE - Other Index Options'!$D:$D,$A54,'NSE - Other Index Options'!$I:$I,"Weekly*")+SUMIFS('NSE - Other Index Options'!$M:$M,'NSE - Other Index Options'!$D:$D,$A54,'NSE - Other Index Options'!$I:$I,"MDAW*")=0,"",SUMIFS('NSE - NIFTY Index Options'!$M:$M,'NSE - NIFTY Index Options'!$D:$D,$A54,'NSE - NIFTY Index Options'!$I:$I,"Weekly*")+SUMIFS('NSE - NIFTY Index Options'!$M:$M,'NSE - NIFTY Index Options'!$D:$D,$A54,'NSE - NIFTY Index Options'!$I:$I,"MDAW*")+SUMIFS('NSE - Other Index Options'!$M:$M,'NSE - Other Index Options'!$D:$D,$A54,'NSE - Other Index Options'!$I:$I,"Weekly*")+SUMIFS('NSE - Other Index Options'!$M:$M,'NSE - Other Index Options'!$D:$D,$A54,'NSE - Other Index Options'!$I:$I,"MDAW*"))</f>
        <v/>
      </c>
      <c r="C54" s="26">
        <f>IF(SUMIFS('BSE - SENSEX Index Options'!$M:$M,'BSE - SENSEX Index Options'!$D:$D,$A54,'BSE - SENSEX Index Options'!$I:$I,"Weekly*")+SUMIFS('BSE - SENSEX Index Options'!$M:$M,'BSE - SENSEX Index Options'!$D:$D,$A54,'BSE - SENSEX Index Options'!$I:$I,"MDAW*")+SUMIFS('BSE - Other Index Options'!$M:$M,'BSE - Other Index Options'!$D:$D,$A54,'BSE - Other Index Options'!$I:$I,"Weekly*")+SUMIFS('BSE - Other Index Options'!$M:$M,'BSE - Other Index Options'!$D:$D,$A54,'BSE - Other Index Options'!$I:$I,"MDAW*")=0,"",SUMIFS('BSE - SENSEX Index Options'!$M:$M,'BSE - SENSEX Index Options'!$D:$D,$A54,'BSE - SENSEX Index Options'!$I:$I,"Weekly*")+SUMIFS('BSE - SENSEX Index Options'!$M:$M,'BSE - SENSEX Index Options'!$D:$D,$A54,'BSE - SENSEX Index Options'!$I:$I,"MDAW*")+SUMIFS('BSE - Other Index Options'!$M:$M,'BSE - Other Index Options'!$D:$D,$A54,'BSE - Other Index Options'!$I:$I,"Weekly*")+SUMIFS('BSE - Other Index Options'!$M:$M,'BSE - Other Index Options'!$D:$D,$A54,'BSE - Other Index Options'!$I:$I,"MDAW*"))</f>
        <v/>
      </c>
      <c r="D54" s="27">
        <f>IF(SUM(B54:C54)=0,"",SUM(B54)/SUM(B54:C54))</f>
        <v/>
      </c>
      <c r="E54" s="27">
        <f>IF(SUM(B54:C54)=0,"",SUM(C54)/SUM(B54:C54))</f>
        <v/>
      </c>
    </row>
    <row r="55" hidden="1" outlineLevel="1">
      <c r="A55" s="24" t="n">
        <v>46419</v>
      </c>
      <c r="B55" s="26">
        <f>IF(SUMIFS('NSE - NIFTY Index Options'!$M:$M,'NSE - NIFTY Index Options'!$D:$D,$A55,'NSE - NIFTY Index Options'!$I:$I,"Weekly*")+SUMIFS('NSE - NIFTY Index Options'!$M:$M,'NSE - NIFTY Index Options'!$D:$D,$A55,'NSE - NIFTY Index Options'!$I:$I,"MDAW*")+SUMIFS('NSE - Other Index Options'!$M:$M,'NSE - Other Index Options'!$D:$D,$A55,'NSE - Other Index Options'!$I:$I,"Weekly*")+SUMIFS('NSE - Other Index Options'!$M:$M,'NSE - Other Index Options'!$D:$D,$A55,'NSE - Other Index Options'!$I:$I,"MDAW*")=0,"",SUMIFS('NSE - NIFTY Index Options'!$M:$M,'NSE - NIFTY Index Options'!$D:$D,$A55,'NSE - NIFTY Index Options'!$I:$I,"Weekly*")+SUMIFS('NSE - NIFTY Index Options'!$M:$M,'NSE - NIFTY Index Options'!$D:$D,$A55,'NSE - NIFTY Index Options'!$I:$I,"MDAW*")+SUMIFS('NSE - Other Index Options'!$M:$M,'NSE - Other Index Options'!$D:$D,$A55,'NSE - Other Index Options'!$I:$I,"Weekly*")+SUMIFS('NSE - Other Index Options'!$M:$M,'NSE - Other Index Options'!$D:$D,$A55,'NSE - Other Index Options'!$I:$I,"MDAW*"))</f>
        <v/>
      </c>
      <c r="C55" s="26">
        <f>IF(SUMIFS('BSE - SENSEX Index Options'!$M:$M,'BSE - SENSEX Index Options'!$D:$D,$A55,'BSE - SENSEX Index Options'!$I:$I,"Weekly*")+SUMIFS('BSE - SENSEX Index Options'!$M:$M,'BSE - SENSEX Index Options'!$D:$D,$A55,'BSE - SENSEX Index Options'!$I:$I,"MDAW*")+SUMIFS('BSE - Other Index Options'!$M:$M,'BSE - Other Index Options'!$D:$D,$A55,'BSE - Other Index Options'!$I:$I,"Weekly*")+SUMIFS('BSE - Other Index Options'!$M:$M,'BSE - Other Index Options'!$D:$D,$A55,'BSE - Other Index Options'!$I:$I,"MDAW*")=0,"",SUMIFS('BSE - SENSEX Index Options'!$M:$M,'BSE - SENSEX Index Options'!$D:$D,$A55,'BSE - SENSEX Index Options'!$I:$I,"Weekly*")+SUMIFS('BSE - SENSEX Index Options'!$M:$M,'BSE - SENSEX Index Options'!$D:$D,$A55,'BSE - SENSEX Index Options'!$I:$I,"MDAW*")+SUMIFS('BSE - Other Index Options'!$M:$M,'BSE - Other Index Options'!$D:$D,$A55,'BSE - Other Index Options'!$I:$I,"Weekly*")+SUMIFS('BSE - Other Index Options'!$M:$M,'BSE - Other Index Options'!$D:$D,$A55,'BSE - Other Index Options'!$I:$I,"MDAW*"))</f>
        <v/>
      </c>
      <c r="D55" s="27">
        <f>IF(SUM(B55:C55)=0,"",SUM(B55)/SUM(B55:C55))</f>
        <v/>
      </c>
      <c r="E55" s="27">
        <f>IF(SUM(B55:C55)=0,"",SUM(C55)/SUM(B55:C55))</f>
        <v/>
      </c>
    </row>
    <row r="56" hidden="1" outlineLevel="1">
      <c r="A56" s="24" t="n">
        <v>46447</v>
      </c>
      <c r="B56" s="26">
        <f>IF(SUMIFS('NSE - NIFTY Index Options'!$M:$M,'NSE - NIFTY Index Options'!$D:$D,$A56,'NSE - NIFTY Index Options'!$I:$I,"Weekly*")+SUMIFS('NSE - NIFTY Index Options'!$M:$M,'NSE - NIFTY Index Options'!$D:$D,$A56,'NSE - NIFTY Index Options'!$I:$I,"MDAW*")+SUMIFS('NSE - Other Index Options'!$M:$M,'NSE - Other Index Options'!$D:$D,$A56,'NSE - Other Index Options'!$I:$I,"Weekly*")+SUMIFS('NSE - Other Index Options'!$M:$M,'NSE - Other Index Options'!$D:$D,$A56,'NSE - Other Index Options'!$I:$I,"MDAW*")=0,"",SUMIFS('NSE - NIFTY Index Options'!$M:$M,'NSE - NIFTY Index Options'!$D:$D,$A56,'NSE - NIFTY Index Options'!$I:$I,"Weekly*")+SUMIFS('NSE - NIFTY Index Options'!$M:$M,'NSE - NIFTY Index Options'!$D:$D,$A56,'NSE - NIFTY Index Options'!$I:$I,"MDAW*")+SUMIFS('NSE - Other Index Options'!$M:$M,'NSE - Other Index Options'!$D:$D,$A56,'NSE - Other Index Options'!$I:$I,"Weekly*")+SUMIFS('NSE - Other Index Options'!$M:$M,'NSE - Other Index Options'!$D:$D,$A56,'NSE - Other Index Options'!$I:$I,"MDAW*"))</f>
        <v/>
      </c>
      <c r="C56" s="26">
        <f>IF(SUMIFS('BSE - SENSEX Index Options'!$M:$M,'BSE - SENSEX Index Options'!$D:$D,$A56,'BSE - SENSEX Index Options'!$I:$I,"Weekly*")+SUMIFS('BSE - SENSEX Index Options'!$M:$M,'BSE - SENSEX Index Options'!$D:$D,$A56,'BSE - SENSEX Index Options'!$I:$I,"MDAW*")+SUMIFS('BSE - Other Index Options'!$M:$M,'BSE - Other Index Options'!$D:$D,$A56,'BSE - Other Index Options'!$I:$I,"Weekly*")+SUMIFS('BSE - Other Index Options'!$M:$M,'BSE - Other Index Options'!$D:$D,$A56,'BSE - Other Index Options'!$I:$I,"MDAW*")=0,"",SUMIFS('BSE - SENSEX Index Options'!$M:$M,'BSE - SENSEX Index Options'!$D:$D,$A56,'BSE - SENSEX Index Options'!$I:$I,"Weekly*")+SUMIFS('BSE - SENSEX Index Options'!$M:$M,'BSE - SENSEX Index Options'!$D:$D,$A56,'BSE - SENSEX Index Options'!$I:$I,"MDAW*")+SUMIFS('BSE - Other Index Options'!$M:$M,'BSE - Other Index Options'!$D:$D,$A56,'BSE - Other Index Options'!$I:$I,"Weekly*")+SUMIFS('BSE - Other Index Options'!$M:$M,'BSE - Other Index Options'!$D:$D,$A56,'BSE - Other Index Options'!$I:$I,"MDAW*"))</f>
        <v/>
      </c>
      <c r="D56" s="27">
        <f>IF(SUM(B56:C56)=0,"",SUM(B56)/SUM(B56:C56))</f>
        <v/>
      </c>
      <c r="E56" s="27">
        <f>IF(SUM(B56:C56)=0,"",SUM(C56)/SUM(B56:C56))</f>
        <v/>
      </c>
    </row>
    <row r="57" hidden="1" outlineLevel="1">
      <c r="A57" s="24" t="n">
        <v>46478</v>
      </c>
      <c r="B57" s="26">
        <f>IF(SUMIFS('NSE - NIFTY Index Options'!$M:$M,'NSE - NIFTY Index Options'!$D:$D,$A57,'NSE - NIFTY Index Options'!$I:$I,"Weekly*")+SUMIFS('NSE - NIFTY Index Options'!$M:$M,'NSE - NIFTY Index Options'!$D:$D,$A57,'NSE - NIFTY Index Options'!$I:$I,"MDAW*")+SUMIFS('NSE - Other Index Options'!$M:$M,'NSE - Other Index Options'!$D:$D,$A57,'NSE - Other Index Options'!$I:$I,"Weekly*")+SUMIFS('NSE - Other Index Options'!$M:$M,'NSE - Other Index Options'!$D:$D,$A57,'NSE - Other Index Options'!$I:$I,"MDAW*")=0,"",SUMIFS('NSE - NIFTY Index Options'!$M:$M,'NSE - NIFTY Index Options'!$D:$D,$A57,'NSE - NIFTY Index Options'!$I:$I,"Weekly*")+SUMIFS('NSE - NIFTY Index Options'!$M:$M,'NSE - NIFTY Index Options'!$D:$D,$A57,'NSE - NIFTY Index Options'!$I:$I,"MDAW*")+SUMIFS('NSE - Other Index Options'!$M:$M,'NSE - Other Index Options'!$D:$D,$A57,'NSE - Other Index Options'!$I:$I,"Weekly*")+SUMIFS('NSE - Other Index Options'!$M:$M,'NSE - Other Index Options'!$D:$D,$A57,'NSE - Other Index Options'!$I:$I,"MDAW*"))</f>
        <v/>
      </c>
      <c r="C57" s="26">
        <f>IF(SUMIFS('BSE - SENSEX Index Options'!$M:$M,'BSE - SENSEX Index Options'!$D:$D,$A57,'BSE - SENSEX Index Options'!$I:$I,"Weekly*")+SUMIFS('BSE - SENSEX Index Options'!$M:$M,'BSE - SENSEX Index Options'!$D:$D,$A57,'BSE - SENSEX Index Options'!$I:$I,"MDAW*")+SUMIFS('BSE - Other Index Options'!$M:$M,'BSE - Other Index Options'!$D:$D,$A57,'BSE - Other Index Options'!$I:$I,"Weekly*")+SUMIFS('BSE - Other Index Options'!$M:$M,'BSE - Other Index Options'!$D:$D,$A57,'BSE - Other Index Options'!$I:$I,"MDAW*")=0,"",SUMIFS('BSE - SENSEX Index Options'!$M:$M,'BSE - SENSEX Index Options'!$D:$D,$A57,'BSE - SENSEX Index Options'!$I:$I,"Weekly*")+SUMIFS('BSE - SENSEX Index Options'!$M:$M,'BSE - SENSEX Index Options'!$D:$D,$A57,'BSE - SENSEX Index Options'!$I:$I,"MDAW*")+SUMIFS('BSE - Other Index Options'!$M:$M,'BSE - Other Index Options'!$D:$D,$A57,'BSE - Other Index Options'!$I:$I,"Weekly*")+SUMIFS('BSE - Other Index Options'!$M:$M,'BSE - Other Index Options'!$D:$D,$A57,'BSE - Other Index Options'!$I:$I,"MDAW*"))</f>
        <v/>
      </c>
      <c r="D57" s="27">
        <f>IF(SUM(B57:C57)=0,"",SUM(B57)/SUM(B57:C57))</f>
        <v/>
      </c>
      <c r="E57" s="27">
        <f>IF(SUM(B57:C57)=0,"",SUM(C57)/SUM(B57:C57))</f>
        <v/>
      </c>
    </row>
    <row r="58" hidden="1" outlineLevel="1">
      <c r="A58" s="24" t="n">
        <v>46508</v>
      </c>
      <c r="B58" s="26">
        <f>IF(SUMIFS('NSE - NIFTY Index Options'!$M:$M,'NSE - NIFTY Index Options'!$D:$D,$A58,'NSE - NIFTY Index Options'!$I:$I,"Weekly*")+SUMIFS('NSE - NIFTY Index Options'!$M:$M,'NSE - NIFTY Index Options'!$D:$D,$A58,'NSE - NIFTY Index Options'!$I:$I,"MDAW*")+SUMIFS('NSE - Other Index Options'!$M:$M,'NSE - Other Index Options'!$D:$D,$A58,'NSE - Other Index Options'!$I:$I,"Weekly*")+SUMIFS('NSE - Other Index Options'!$M:$M,'NSE - Other Index Options'!$D:$D,$A58,'NSE - Other Index Options'!$I:$I,"MDAW*")=0,"",SUMIFS('NSE - NIFTY Index Options'!$M:$M,'NSE - NIFTY Index Options'!$D:$D,$A58,'NSE - NIFTY Index Options'!$I:$I,"Weekly*")+SUMIFS('NSE - NIFTY Index Options'!$M:$M,'NSE - NIFTY Index Options'!$D:$D,$A58,'NSE - NIFTY Index Options'!$I:$I,"MDAW*")+SUMIFS('NSE - Other Index Options'!$M:$M,'NSE - Other Index Options'!$D:$D,$A58,'NSE - Other Index Options'!$I:$I,"Weekly*")+SUMIFS('NSE - Other Index Options'!$M:$M,'NSE - Other Index Options'!$D:$D,$A58,'NSE - Other Index Options'!$I:$I,"MDAW*"))</f>
        <v/>
      </c>
      <c r="C58" s="26">
        <f>IF(SUMIFS('BSE - SENSEX Index Options'!$M:$M,'BSE - SENSEX Index Options'!$D:$D,$A58,'BSE - SENSEX Index Options'!$I:$I,"Weekly*")+SUMIFS('BSE - SENSEX Index Options'!$M:$M,'BSE - SENSEX Index Options'!$D:$D,$A58,'BSE - SENSEX Index Options'!$I:$I,"MDAW*")+SUMIFS('BSE - Other Index Options'!$M:$M,'BSE - Other Index Options'!$D:$D,$A58,'BSE - Other Index Options'!$I:$I,"Weekly*")+SUMIFS('BSE - Other Index Options'!$M:$M,'BSE - Other Index Options'!$D:$D,$A58,'BSE - Other Index Options'!$I:$I,"MDAW*")=0,"",SUMIFS('BSE - SENSEX Index Options'!$M:$M,'BSE - SENSEX Index Options'!$D:$D,$A58,'BSE - SENSEX Index Options'!$I:$I,"Weekly*")+SUMIFS('BSE - SENSEX Index Options'!$M:$M,'BSE - SENSEX Index Options'!$D:$D,$A58,'BSE - SENSEX Index Options'!$I:$I,"MDAW*")+SUMIFS('BSE - Other Index Options'!$M:$M,'BSE - Other Index Options'!$D:$D,$A58,'BSE - Other Index Options'!$I:$I,"Weekly*")+SUMIFS('BSE - Other Index Options'!$M:$M,'BSE - Other Index Options'!$D:$D,$A58,'BSE - Other Index Options'!$I:$I,"MDAW*"))</f>
        <v/>
      </c>
      <c r="D58" s="27">
        <f>IF(SUM(B58:C58)=0,"",SUM(B58)/SUM(B58:C58))</f>
        <v/>
      </c>
      <c r="E58" s="27">
        <f>IF(SUM(B58:C58)=0,"",SUM(C58)/SUM(B58:C58))</f>
        <v/>
      </c>
    </row>
    <row r="59" hidden="1" outlineLevel="1">
      <c r="A59" s="24" t="n">
        <v>46539</v>
      </c>
      <c r="B59" s="26">
        <f>IF(SUMIFS('NSE - NIFTY Index Options'!$M:$M,'NSE - NIFTY Index Options'!$D:$D,$A59,'NSE - NIFTY Index Options'!$I:$I,"Weekly*")+SUMIFS('NSE - NIFTY Index Options'!$M:$M,'NSE - NIFTY Index Options'!$D:$D,$A59,'NSE - NIFTY Index Options'!$I:$I,"MDAW*")+SUMIFS('NSE - Other Index Options'!$M:$M,'NSE - Other Index Options'!$D:$D,$A59,'NSE - Other Index Options'!$I:$I,"Weekly*")+SUMIFS('NSE - Other Index Options'!$M:$M,'NSE - Other Index Options'!$D:$D,$A59,'NSE - Other Index Options'!$I:$I,"MDAW*")=0,"",SUMIFS('NSE - NIFTY Index Options'!$M:$M,'NSE - NIFTY Index Options'!$D:$D,$A59,'NSE - NIFTY Index Options'!$I:$I,"Weekly*")+SUMIFS('NSE - NIFTY Index Options'!$M:$M,'NSE - NIFTY Index Options'!$D:$D,$A59,'NSE - NIFTY Index Options'!$I:$I,"MDAW*")+SUMIFS('NSE - Other Index Options'!$M:$M,'NSE - Other Index Options'!$D:$D,$A59,'NSE - Other Index Options'!$I:$I,"Weekly*")+SUMIFS('NSE - Other Index Options'!$M:$M,'NSE - Other Index Options'!$D:$D,$A59,'NSE - Other Index Options'!$I:$I,"MDAW*"))</f>
        <v/>
      </c>
      <c r="C59" s="26">
        <f>IF(SUMIFS('BSE - SENSEX Index Options'!$M:$M,'BSE - SENSEX Index Options'!$D:$D,$A59,'BSE - SENSEX Index Options'!$I:$I,"Weekly*")+SUMIFS('BSE - SENSEX Index Options'!$M:$M,'BSE - SENSEX Index Options'!$D:$D,$A59,'BSE - SENSEX Index Options'!$I:$I,"MDAW*")+SUMIFS('BSE - Other Index Options'!$M:$M,'BSE - Other Index Options'!$D:$D,$A59,'BSE - Other Index Options'!$I:$I,"Weekly*")+SUMIFS('BSE - Other Index Options'!$M:$M,'BSE - Other Index Options'!$D:$D,$A59,'BSE - Other Index Options'!$I:$I,"MDAW*")=0,"",SUMIFS('BSE - SENSEX Index Options'!$M:$M,'BSE - SENSEX Index Options'!$D:$D,$A59,'BSE - SENSEX Index Options'!$I:$I,"Weekly*")+SUMIFS('BSE - SENSEX Index Options'!$M:$M,'BSE - SENSEX Index Options'!$D:$D,$A59,'BSE - SENSEX Index Options'!$I:$I,"MDAW*")+SUMIFS('BSE - Other Index Options'!$M:$M,'BSE - Other Index Options'!$D:$D,$A59,'BSE - Other Index Options'!$I:$I,"Weekly*")+SUMIFS('BSE - Other Index Options'!$M:$M,'BSE - Other Index Options'!$D:$D,$A59,'BSE - Other Index Options'!$I:$I,"MDAW*"))</f>
        <v/>
      </c>
      <c r="D59" s="27">
        <f>IF(SUM(B59:C59)=0,"",SUM(B59)/SUM(B59:C59))</f>
        <v/>
      </c>
      <c r="E59" s="27">
        <f>IF(SUM(B59:C59)=0,"",SUM(C59)/SUM(B59:C59))</f>
        <v/>
      </c>
    </row>
    <row r="60" hidden="1" outlineLevel="1">
      <c r="A60" s="24" t="n">
        <v>46569</v>
      </c>
      <c r="B60" s="26">
        <f>IF(SUMIFS('NSE - NIFTY Index Options'!$M:$M,'NSE - NIFTY Index Options'!$D:$D,$A60,'NSE - NIFTY Index Options'!$I:$I,"Weekly*")+SUMIFS('NSE - NIFTY Index Options'!$M:$M,'NSE - NIFTY Index Options'!$D:$D,$A60,'NSE - NIFTY Index Options'!$I:$I,"MDAW*")+SUMIFS('NSE - Other Index Options'!$M:$M,'NSE - Other Index Options'!$D:$D,$A60,'NSE - Other Index Options'!$I:$I,"Weekly*")+SUMIFS('NSE - Other Index Options'!$M:$M,'NSE - Other Index Options'!$D:$D,$A60,'NSE - Other Index Options'!$I:$I,"MDAW*")=0,"",SUMIFS('NSE - NIFTY Index Options'!$M:$M,'NSE - NIFTY Index Options'!$D:$D,$A60,'NSE - NIFTY Index Options'!$I:$I,"Weekly*")+SUMIFS('NSE - NIFTY Index Options'!$M:$M,'NSE - NIFTY Index Options'!$D:$D,$A60,'NSE - NIFTY Index Options'!$I:$I,"MDAW*")+SUMIFS('NSE - Other Index Options'!$M:$M,'NSE - Other Index Options'!$D:$D,$A60,'NSE - Other Index Options'!$I:$I,"Weekly*")+SUMIFS('NSE - Other Index Options'!$M:$M,'NSE - Other Index Options'!$D:$D,$A60,'NSE - Other Index Options'!$I:$I,"MDAW*"))</f>
        <v/>
      </c>
      <c r="C60" s="26">
        <f>IF(SUMIFS('BSE - SENSEX Index Options'!$M:$M,'BSE - SENSEX Index Options'!$D:$D,$A60,'BSE - SENSEX Index Options'!$I:$I,"Weekly*")+SUMIFS('BSE - SENSEX Index Options'!$M:$M,'BSE - SENSEX Index Options'!$D:$D,$A60,'BSE - SENSEX Index Options'!$I:$I,"MDAW*")+SUMIFS('BSE - Other Index Options'!$M:$M,'BSE - Other Index Options'!$D:$D,$A60,'BSE - Other Index Options'!$I:$I,"Weekly*")+SUMIFS('BSE - Other Index Options'!$M:$M,'BSE - Other Index Options'!$D:$D,$A60,'BSE - Other Index Options'!$I:$I,"MDAW*")=0,"",SUMIFS('BSE - SENSEX Index Options'!$M:$M,'BSE - SENSEX Index Options'!$D:$D,$A60,'BSE - SENSEX Index Options'!$I:$I,"Weekly*")+SUMIFS('BSE - SENSEX Index Options'!$M:$M,'BSE - SENSEX Index Options'!$D:$D,$A60,'BSE - SENSEX Index Options'!$I:$I,"MDAW*")+SUMIFS('BSE - Other Index Options'!$M:$M,'BSE - Other Index Options'!$D:$D,$A60,'BSE - Other Index Options'!$I:$I,"Weekly*")+SUMIFS('BSE - Other Index Options'!$M:$M,'BSE - Other Index Options'!$D:$D,$A60,'BSE - Other Index Options'!$I:$I,"MDAW*"))</f>
        <v/>
      </c>
      <c r="D60" s="27">
        <f>IF(SUM(B60:C60)=0,"",SUM(B60)/SUM(B60:C60))</f>
        <v/>
      </c>
      <c r="E60" s="27">
        <f>IF(SUM(B60:C60)=0,"",SUM(C60)/SUM(B60:C60))</f>
        <v/>
      </c>
    </row>
    <row r="61" hidden="1" outlineLevel="1">
      <c r="A61" s="24" t="n">
        <v>46600</v>
      </c>
      <c r="B61" s="26">
        <f>IF(SUMIFS('NSE - NIFTY Index Options'!$M:$M,'NSE - NIFTY Index Options'!$D:$D,$A61,'NSE - NIFTY Index Options'!$I:$I,"Weekly*")+SUMIFS('NSE - NIFTY Index Options'!$M:$M,'NSE - NIFTY Index Options'!$D:$D,$A61,'NSE - NIFTY Index Options'!$I:$I,"MDAW*")+SUMIFS('NSE - Other Index Options'!$M:$M,'NSE - Other Index Options'!$D:$D,$A61,'NSE - Other Index Options'!$I:$I,"Weekly*")+SUMIFS('NSE - Other Index Options'!$M:$M,'NSE - Other Index Options'!$D:$D,$A61,'NSE - Other Index Options'!$I:$I,"MDAW*")=0,"",SUMIFS('NSE - NIFTY Index Options'!$M:$M,'NSE - NIFTY Index Options'!$D:$D,$A61,'NSE - NIFTY Index Options'!$I:$I,"Weekly*")+SUMIFS('NSE - NIFTY Index Options'!$M:$M,'NSE - NIFTY Index Options'!$D:$D,$A61,'NSE - NIFTY Index Options'!$I:$I,"MDAW*")+SUMIFS('NSE - Other Index Options'!$M:$M,'NSE - Other Index Options'!$D:$D,$A61,'NSE - Other Index Options'!$I:$I,"Weekly*")+SUMIFS('NSE - Other Index Options'!$M:$M,'NSE - Other Index Options'!$D:$D,$A61,'NSE - Other Index Options'!$I:$I,"MDAW*"))</f>
        <v/>
      </c>
      <c r="C61" s="26">
        <f>IF(SUMIFS('BSE - SENSEX Index Options'!$M:$M,'BSE - SENSEX Index Options'!$D:$D,$A61,'BSE - SENSEX Index Options'!$I:$I,"Weekly*")+SUMIFS('BSE - SENSEX Index Options'!$M:$M,'BSE - SENSEX Index Options'!$D:$D,$A61,'BSE - SENSEX Index Options'!$I:$I,"MDAW*")+SUMIFS('BSE - Other Index Options'!$M:$M,'BSE - Other Index Options'!$D:$D,$A61,'BSE - Other Index Options'!$I:$I,"Weekly*")+SUMIFS('BSE - Other Index Options'!$M:$M,'BSE - Other Index Options'!$D:$D,$A61,'BSE - Other Index Options'!$I:$I,"MDAW*")=0,"",SUMIFS('BSE - SENSEX Index Options'!$M:$M,'BSE - SENSEX Index Options'!$D:$D,$A61,'BSE - SENSEX Index Options'!$I:$I,"Weekly*")+SUMIFS('BSE - SENSEX Index Options'!$M:$M,'BSE - SENSEX Index Options'!$D:$D,$A61,'BSE - SENSEX Index Options'!$I:$I,"MDAW*")+SUMIFS('BSE - Other Index Options'!$M:$M,'BSE - Other Index Options'!$D:$D,$A61,'BSE - Other Index Options'!$I:$I,"Weekly*")+SUMIFS('BSE - Other Index Options'!$M:$M,'BSE - Other Index Options'!$D:$D,$A61,'BSE - Other Index Options'!$I:$I,"MDAW*"))</f>
        <v/>
      </c>
      <c r="D61" s="27">
        <f>IF(SUM(B61:C61)=0,"",SUM(B61)/SUM(B61:C61))</f>
        <v/>
      </c>
      <c r="E61" s="27">
        <f>IF(SUM(B61:C61)=0,"",SUM(C61)/SUM(B61:C61))</f>
        <v/>
      </c>
    </row>
    <row r="62" hidden="1" outlineLevel="1">
      <c r="A62" s="24" t="n">
        <v>46631</v>
      </c>
      <c r="B62" s="26">
        <f>IF(SUMIFS('NSE - NIFTY Index Options'!$M:$M,'NSE - NIFTY Index Options'!$D:$D,$A62,'NSE - NIFTY Index Options'!$I:$I,"Weekly*")+SUMIFS('NSE - NIFTY Index Options'!$M:$M,'NSE - NIFTY Index Options'!$D:$D,$A62,'NSE - NIFTY Index Options'!$I:$I,"MDAW*")+SUMIFS('NSE - Other Index Options'!$M:$M,'NSE - Other Index Options'!$D:$D,$A62,'NSE - Other Index Options'!$I:$I,"Weekly*")+SUMIFS('NSE - Other Index Options'!$M:$M,'NSE - Other Index Options'!$D:$D,$A62,'NSE - Other Index Options'!$I:$I,"MDAW*")=0,"",SUMIFS('NSE - NIFTY Index Options'!$M:$M,'NSE - NIFTY Index Options'!$D:$D,$A62,'NSE - NIFTY Index Options'!$I:$I,"Weekly*")+SUMIFS('NSE - NIFTY Index Options'!$M:$M,'NSE - NIFTY Index Options'!$D:$D,$A62,'NSE - NIFTY Index Options'!$I:$I,"MDAW*")+SUMIFS('NSE - Other Index Options'!$M:$M,'NSE - Other Index Options'!$D:$D,$A62,'NSE - Other Index Options'!$I:$I,"Weekly*")+SUMIFS('NSE - Other Index Options'!$M:$M,'NSE - Other Index Options'!$D:$D,$A62,'NSE - Other Index Options'!$I:$I,"MDAW*"))</f>
        <v/>
      </c>
      <c r="C62" s="26">
        <f>IF(SUMIFS('BSE - SENSEX Index Options'!$M:$M,'BSE - SENSEX Index Options'!$D:$D,$A62,'BSE - SENSEX Index Options'!$I:$I,"Weekly*")+SUMIFS('BSE - SENSEX Index Options'!$M:$M,'BSE - SENSEX Index Options'!$D:$D,$A62,'BSE - SENSEX Index Options'!$I:$I,"MDAW*")+SUMIFS('BSE - Other Index Options'!$M:$M,'BSE - Other Index Options'!$D:$D,$A62,'BSE - Other Index Options'!$I:$I,"Weekly*")+SUMIFS('BSE - Other Index Options'!$M:$M,'BSE - Other Index Options'!$D:$D,$A62,'BSE - Other Index Options'!$I:$I,"MDAW*")=0,"",SUMIFS('BSE - SENSEX Index Options'!$M:$M,'BSE - SENSEX Index Options'!$D:$D,$A62,'BSE - SENSEX Index Options'!$I:$I,"Weekly*")+SUMIFS('BSE - SENSEX Index Options'!$M:$M,'BSE - SENSEX Index Options'!$D:$D,$A62,'BSE - SENSEX Index Options'!$I:$I,"MDAW*")+SUMIFS('BSE - Other Index Options'!$M:$M,'BSE - Other Index Options'!$D:$D,$A62,'BSE - Other Index Options'!$I:$I,"Weekly*")+SUMIFS('BSE - Other Index Options'!$M:$M,'BSE - Other Index Options'!$D:$D,$A62,'BSE - Other Index Options'!$I:$I,"MDAW*"))</f>
        <v/>
      </c>
      <c r="D62" s="27">
        <f>IF(SUM(B62:C62)=0,"",SUM(B62)/SUM(B62:C62))</f>
        <v/>
      </c>
      <c r="E62" s="27">
        <f>IF(SUM(B62:C62)=0,"",SUM(C62)/SUM(B62:C62))</f>
        <v/>
      </c>
    </row>
    <row r="63" hidden="1" outlineLevel="1">
      <c r="A63" s="24" t="n">
        <v>46661</v>
      </c>
      <c r="B63" s="26">
        <f>IF(SUMIFS('NSE - NIFTY Index Options'!$M:$M,'NSE - NIFTY Index Options'!$D:$D,$A63,'NSE - NIFTY Index Options'!$I:$I,"Weekly*")+SUMIFS('NSE - NIFTY Index Options'!$M:$M,'NSE - NIFTY Index Options'!$D:$D,$A63,'NSE - NIFTY Index Options'!$I:$I,"MDAW*")+SUMIFS('NSE - Other Index Options'!$M:$M,'NSE - Other Index Options'!$D:$D,$A63,'NSE - Other Index Options'!$I:$I,"Weekly*")+SUMIFS('NSE - Other Index Options'!$M:$M,'NSE - Other Index Options'!$D:$D,$A63,'NSE - Other Index Options'!$I:$I,"MDAW*")=0,"",SUMIFS('NSE - NIFTY Index Options'!$M:$M,'NSE - NIFTY Index Options'!$D:$D,$A63,'NSE - NIFTY Index Options'!$I:$I,"Weekly*")+SUMIFS('NSE - NIFTY Index Options'!$M:$M,'NSE - NIFTY Index Options'!$D:$D,$A63,'NSE - NIFTY Index Options'!$I:$I,"MDAW*")+SUMIFS('NSE - Other Index Options'!$M:$M,'NSE - Other Index Options'!$D:$D,$A63,'NSE - Other Index Options'!$I:$I,"Weekly*")+SUMIFS('NSE - Other Index Options'!$M:$M,'NSE - Other Index Options'!$D:$D,$A63,'NSE - Other Index Options'!$I:$I,"MDAW*"))</f>
        <v/>
      </c>
      <c r="C63" s="26">
        <f>IF(SUMIFS('BSE - SENSEX Index Options'!$M:$M,'BSE - SENSEX Index Options'!$D:$D,$A63,'BSE - SENSEX Index Options'!$I:$I,"Weekly*")+SUMIFS('BSE - SENSEX Index Options'!$M:$M,'BSE - SENSEX Index Options'!$D:$D,$A63,'BSE - SENSEX Index Options'!$I:$I,"MDAW*")+SUMIFS('BSE - Other Index Options'!$M:$M,'BSE - Other Index Options'!$D:$D,$A63,'BSE - Other Index Options'!$I:$I,"Weekly*")+SUMIFS('BSE - Other Index Options'!$M:$M,'BSE - Other Index Options'!$D:$D,$A63,'BSE - Other Index Options'!$I:$I,"MDAW*")=0,"",SUMIFS('BSE - SENSEX Index Options'!$M:$M,'BSE - SENSEX Index Options'!$D:$D,$A63,'BSE - SENSEX Index Options'!$I:$I,"Weekly*")+SUMIFS('BSE - SENSEX Index Options'!$M:$M,'BSE - SENSEX Index Options'!$D:$D,$A63,'BSE - SENSEX Index Options'!$I:$I,"MDAW*")+SUMIFS('BSE - Other Index Options'!$M:$M,'BSE - Other Index Options'!$D:$D,$A63,'BSE - Other Index Options'!$I:$I,"Weekly*")+SUMIFS('BSE - Other Index Options'!$M:$M,'BSE - Other Index Options'!$D:$D,$A63,'BSE - Other Index Options'!$I:$I,"MDAW*"))</f>
        <v/>
      </c>
      <c r="D63" s="27">
        <f>IF(SUM(B63:C63)=0,"",SUM(B63)/SUM(B63:C63))</f>
        <v/>
      </c>
      <c r="E63" s="27">
        <f>IF(SUM(B63:C63)=0,"",SUM(C63)/SUM(B63:C63))</f>
        <v/>
      </c>
    </row>
    <row r="64" hidden="1" outlineLevel="1">
      <c r="A64" s="24" t="n">
        <v>46692</v>
      </c>
      <c r="B64" s="26">
        <f>IF(SUMIFS('NSE - NIFTY Index Options'!$M:$M,'NSE - NIFTY Index Options'!$D:$D,$A64,'NSE - NIFTY Index Options'!$I:$I,"Weekly*")+SUMIFS('NSE - NIFTY Index Options'!$M:$M,'NSE - NIFTY Index Options'!$D:$D,$A64,'NSE - NIFTY Index Options'!$I:$I,"MDAW*")+SUMIFS('NSE - Other Index Options'!$M:$M,'NSE - Other Index Options'!$D:$D,$A64,'NSE - Other Index Options'!$I:$I,"Weekly*")+SUMIFS('NSE - Other Index Options'!$M:$M,'NSE - Other Index Options'!$D:$D,$A64,'NSE - Other Index Options'!$I:$I,"MDAW*")=0,"",SUMIFS('NSE - NIFTY Index Options'!$M:$M,'NSE - NIFTY Index Options'!$D:$D,$A64,'NSE - NIFTY Index Options'!$I:$I,"Weekly*")+SUMIFS('NSE - NIFTY Index Options'!$M:$M,'NSE - NIFTY Index Options'!$D:$D,$A64,'NSE - NIFTY Index Options'!$I:$I,"MDAW*")+SUMIFS('NSE - Other Index Options'!$M:$M,'NSE - Other Index Options'!$D:$D,$A64,'NSE - Other Index Options'!$I:$I,"Weekly*")+SUMIFS('NSE - Other Index Options'!$M:$M,'NSE - Other Index Options'!$D:$D,$A64,'NSE - Other Index Options'!$I:$I,"MDAW*"))</f>
        <v/>
      </c>
      <c r="C64" s="26">
        <f>IF(SUMIFS('BSE - SENSEX Index Options'!$M:$M,'BSE - SENSEX Index Options'!$D:$D,$A64,'BSE - SENSEX Index Options'!$I:$I,"Weekly*")+SUMIFS('BSE - SENSEX Index Options'!$M:$M,'BSE - SENSEX Index Options'!$D:$D,$A64,'BSE - SENSEX Index Options'!$I:$I,"MDAW*")+SUMIFS('BSE - Other Index Options'!$M:$M,'BSE - Other Index Options'!$D:$D,$A64,'BSE - Other Index Options'!$I:$I,"Weekly*")+SUMIFS('BSE - Other Index Options'!$M:$M,'BSE - Other Index Options'!$D:$D,$A64,'BSE - Other Index Options'!$I:$I,"MDAW*")=0,"",SUMIFS('BSE - SENSEX Index Options'!$M:$M,'BSE - SENSEX Index Options'!$D:$D,$A64,'BSE - SENSEX Index Options'!$I:$I,"Weekly*")+SUMIFS('BSE - SENSEX Index Options'!$M:$M,'BSE - SENSEX Index Options'!$D:$D,$A64,'BSE - SENSEX Index Options'!$I:$I,"MDAW*")+SUMIFS('BSE - Other Index Options'!$M:$M,'BSE - Other Index Options'!$D:$D,$A64,'BSE - Other Index Options'!$I:$I,"Weekly*")+SUMIFS('BSE - Other Index Options'!$M:$M,'BSE - Other Index Options'!$D:$D,$A64,'BSE - Other Index Options'!$I:$I,"MDAW*"))</f>
        <v/>
      </c>
      <c r="D64" s="27">
        <f>IF(SUM(B64:C64)=0,"",SUM(B64)/SUM(B64:C64))</f>
        <v/>
      </c>
      <c r="E64" s="27">
        <f>IF(SUM(B64:C64)=0,"",SUM(C64)/SUM(B64:C64))</f>
        <v/>
      </c>
    </row>
    <row r="65" hidden="1" outlineLevel="1">
      <c r="A65" s="24" t="n">
        <v>46722</v>
      </c>
      <c r="B65" s="26">
        <f>IF(SUMIFS('NSE - NIFTY Index Options'!$M:$M,'NSE - NIFTY Index Options'!$D:$D,$A65,'NSE - NIFTY Index Options'!$I:$I,"Weekly*")+SUMIFS('NSE - NIFTY Index Options'!$M:$M,'NSE - NIFTY Index Options'!$D:$D,$A65,'NSE - NIFTY Index Options'!$I:$I,"MDAW*")+SUMIFS('NSE - Other Index Options'!$M:$M,'NSE - Other Index Options'!$D:$D,$A65,'NSE - Other Index Options'!$I:$I,"Weekly*")+SUMIFS('NSE - Other Index Options'!$M:$M,'NSE - Other Index Options'!$D:$D,$A65,'NSE - Other Index Options'!$I:$I,"MDAW*")=0,"",SUMIFS('NSE - NIFTY Index Options'!$M:$M,'NSE - NIFTY Index Options'!$D:$D,$A65,'NSE - NIFTY Index Options'!$I:$I,"Weekly*")+SUMIFS('NSE - NIFTY Index Options'!$M:$M,'NSE - NIFTY Index Options'!$D:$D,$A65,'NSE - NIFTY Index Options'!$I:$I,"MDAW*")+SUMIFS('NSE - Other Index Options'!$M:$M,'NSE - Other Index Options'!$D:$D,$A65,'NSE - Other Index Options'!$I:$I,"Weekly*")+SUMIFS('NSE - Other Index Options'!$M:$M,'NSE - Other Index Options'!$D:$D,$A65,'NSE - Other Index Options'!$I:$I,"MDAW*"))</f>
        <v/>
      </c>
      <c r="C65" s="26">
        <f>IF(SUMIFS('BSE - SENSEX Index Options'!$M:$M,'BSE - SENSEX Index Options'!$D:$D,$A65,'BSE - SENSEX Index Options'!$I:$I,"Weekly*")+SUMIFS('BSE - SENSEX Index Options'!$M:$M,'BSE - SENSEX Index Options'!$D:$D,$A65,'BSE - SENSEX Index Options'!$I:$I,"MDAW*")+SUMIFS('BSE - Other Index Options'!$M:$M,'BSE - Other Index Options'!$D:$D,$A65,'BSE - Other Index Options'!$I:$I,"Weekly*")+SUMIFS('BSE - Other Index Options'!$M:$M,'BSE - Other Index Options'!$D:$D,$A65,'BSE - Other Index Options'!$I:$I,"MDAW*")=0,"",SUMIFS('BSE - SENSEX Index Options'!$M:$M,'BSE - SENSEX Index Options'!$D:$D,$A65,'BSE - SENSEX Index Options'!$I:$I,"Weekly*")+SUMIFS('BSE - SENSEX Index Options'!$M:$M,'BSE - SENSEX Index Options'!$D:$D,$A65,'BSE - SENSEX Index Options'!$I:$I,"MDAW*")+SUMIFS('BSE - Other Index Options'!$M:$M,'BSE - Other Index Options'!$D:$D,$A65,'BSE - Other Index Options'!$I:$I,"Weekly*")+SUMIFS('BSE - Other Index Options'!$M:$M,'BSE - Other Index Options'!$D:$D,$A65,'BSE - Other Index Options'!$I:$I,"MDAW*"))</f>
        <v/>
      </c>
      <c r="D65" s="27">
        <f>IF(SUM(B65:C65)=0,"",SUM(B65)/SUM(B65:C65))</f>
        <v/>
      </c>
      <c r="E65" s="27">
        <f>IF(SUM(B65:C65)=0,"",SUM(C65)/SUM(B65:C65))</f>
        <v/>
      </c>
    </row>
    <row r="66" collapsed="1">
      <c r="A66" s="32" t="inlineStr">
        <is>
          <t>Total</t>
        </is>
      </c>
      <c r="B66" s="33">
        <f>IF(SUM(B38:B65)=0,"",SUM(B38:B65))</f>
        <v/>
      </c>
      <c r="C66" s="33">
        <f>IF(SUM(C38:C65)=0,"",SUM(C38:C65))</f>
        <v/>
      </c>
      <c r="D66" s="34">
        <f>IF(SUM(B66:C66)=0,"",SUM(B66)/SUM(B66:C66))</f>
        <v/>
      </c>
      <c r="E66" s="34">
        <f>IF(SUM(B66:C66)=0,"",SUM(C66)/SUM(B66:C66))</f>
        <v/>
      </c>
    </row>
    <row r="69">
      <c r="A69" s="32" t="inlineStr">
        <is>
          <t>Monthly (Expiry Type 2)</t>
        </is>
      </c>
    </row>
    <row r="70">
      <c r="A70" s="32" t="inlineStr">
        <is>
          <t>Month</t>
        </is>
      </c>
      <c r="B70" s="32" t="inlineStr">
        <is>
          <t>NSE Premium Turnover (INR Bn)</t>
        </is>
      </c>
      <c r="C70" s="32" t="inlineStr">
        <is>
          <t>BSE Premium Turnover (INR Bn)</t>
        </is>
      </c>
      <c r="D70" s="32" t="inlineStr">
        <is>
          <t>NSE Market Share</t>
        </is>
      </c>
      <c r="E70" s="32" t="inlineStr">
        <is>
          <t>BSE Market Share</t>
        </is>
      </c>
    </row>
    <row r="71">
      <c r="A71" s="24" t="n">
        <v>45901</v>
      </c>
      <c r="B71" s="26">
        <f>IF(SUMIFS('NSE - NIFTY Index Options'!$M:$M,'NSE - NIFTY Index Options'!$D:$D,$A71,'NSE - NIFTY Index Options'!$I:$I,"Monthly*")+SUMIFS('NSE - Other Index Options'!$M:$M,'NSE - Other Index Options'!$D:$D,$A71,'NSE - Other Index Options'!$I:$I,"Monthly*")=0,"",SUMIFS('NSE - NIFTY Index Options'!$M:$M,'NSE - NIFTY Index Options'!$D:$D,$A71,'NSE - NIFTY Index Options'!$I:$I,"Monthly*")+SUMIFS('NSE - Other Index Options'!$M:$M,'NSE - Other Index Options'!$D:$D,$A71,'NSE - Other Index Options'!$I:$I,"Monthly*"))</f>
        <v/>
      </c>
      <c r="C71" s="26">
        <f>IF(SUMIFS('BSE - SENSEX Index Options'!$M:$M,'BSE - SENSEX Index Options'!$D:$D,$A71,'BSE - SENSEX Index Options'!$I:$I,"Monthly*")+SUMIFS('BSE - Other Index Options'!$M:$M,'BSE - Other Index Options'!$D:$D,$A71,'BSE - Other Index Options'!$I:$I,"Monthly*")=0,"",SUMIFS('BSE - SENSEX Index Options'!$M:$M,'BSE - SENSEX Index Options'!$D:$D,$A71,'BSE - SENSEX Index Options'!$I:$I,"Monthly*")+SUMIFS('BSE - Other Index Options'!$M:$M,'BSE - Other Index Options'!$D:$D,$A71,'BSE - Other Index Options'!$I:$I,"Monthly*"))</f>
        <v/>
      </c>
      <c r="D71" s="27">
        <f>IF(SUM(B71:C71)=0,"",SUM(B71)/SUM(B71:C71))</f>
        <v/>
      </c>
      <c r="E71" s="27">
        <f>IF(SUM(B71:C71)=0,"",SUM(C71)/SUM(B71:C71))</f>
        <v/>
      </c>
    </row>
    <row r="72">
      <c r="A72" s="24" t="n">
        <v>45931</v>
      </c>
      <c r="B72" s="26">
        <f>IF(SUMIFS('NSE - NIFTY Index Options'!$M:$M,'NSE - NIFTY Index Options'!$D:$D,$A72,'NSE - NIFTY Index Options'!$I:$I,"Monthly*")+SUMIFS('NSE - Other Index Options'!$M:$M,'NSE - Other Index Options'!$D:$D,$A72,'NSE - Other Index Options'!$I:$I,"Monthly*")=0,"",SUMIFS('NSE - NIFTY Index Options'!$M:$M,'NSE - NIFTY Index Options'!$D:$D,$A72,'NSE - NIFTY Index Options'!$I:$I,"Monthly*")+SUMIFS('NSE - Other Index Options'!$M:$M,'NSE - Other Index Options'!$D:$D,$A72,'NSE - Other Index Options'!$I:$I,"Monthly*"))</f>
        <v/>
      </c>
      <c r="C72" s="26">
        <f>IF(SUMIFS('BSE - SENSEX Index Options'!$M:$M,'BSE - SENSEX Index Options'!$D:$D,$A72,'BSE - SENSEX Index Options'!$I:$I,"Monthly*")+SUMIFS('BSE - Other Index Options'!$M:$M,'BSE - Other Index Options'!$D:$D,$A72,'BSE - Other Index Options'!$I:$I,"Monthly*")=0,"",SUMIFS('BSE - SENSEX Index Options'!$M:$M,'BSE - SENSEX Index Options'!$D:$D,$A72,'BSE - SENSEX Index Options'!$I:$I,"Monthly*")+SUMIFS('BSE - Other Index Options'!$M:$M,'BSE - Other Index Options'!$D:$D,$A72,'BSE - Other Index Options'!$I:$I,"Monthly*"))</f>
        <v/>
      </c>
      <c r="D72" s="27">
        <f>IF(SUM(B72:C72)=0,"",SUM(B72)/SUM(B72:C72))</f>
        <v/>
      </c>
      <c r="E72" s="27">
        <f>IF(SUM(B72:C72)=0,"",SUM(C72)/SUM(B72:C72))</f>
        <v/>
      </c>
    </row>
    <row r="73">
      <c r="A73" s="24" t="n">
        <v>45962</v>
      </c>
      <c r="B73" s="26">
        <f>IF(SUMIFS('NSE - NIFTY Index Options'!$M:$M,'NSE - NIFTY Index Options'!$D:$D,$A73,'NSE - NIFTY Index Options'!$I:$I,"Monthly*")+SUMIFS('NSE - Other Index Options'!$M:$M,'NSE - Other Index Options'!$D:$D,$A73,'NSE - Other Index Options'!$I:$I,"Monthly*")=0,"",SUMIFS('NSE - NIFTY Index Options'!$M:$M,'NSE - NIFTY Index Options'!$D:$D,$A73,'NSE - NIFTY Index Options'!$I:$I,"Monthly*")+SUMIFS('NSE - Other Index Options'!$M:$M,'NSE - Other Index Options'!$D:$D,$A73,'NSE - Other Index Options'!$I:$I,"Monthly*"))</f>
        <v/>
      </c>
      <c r="C73" s="26">
        <f>IF(SUMIFS('BSE - SENSEX Index Options'!$M:$M,'BSE - SENSEX Index Options'!$D:$D,$A73,'BSE - SENSEX Index Options'!$I:$I,"Monthly*")+SUMIFS('BSE - Other Index Options'!$M:$M,'BSE - Other Index Options'!$D:$D,$A73,'BSE - Other Index Options'!$I:$I,"Monthly*")=0,"",SUMIFS('BSE - SENSEX Index Options'!$M:$M,'BSE - SENSEX Index Options'!$D:$D,$A73,'BSE - SENSEX Index Options'!$I:$I,"Monthly*")+SUMIFS('BSE - Other Index Options'!$M:$M,'BSE - Other Index Options'!$D:$D,$A73,'BSE - Other Index Options'!$I:$I,"Monthly*"))</f>
        <v/>
      </c>
      <c r="D73" s="27">
        <f>IF(SUM(B73:C73)=0,"",SUM(B73)/SUM(B73:C73))</f>
        <v/>
      </c>
      <c r="E73" s="27">
        <f>IF(SUM(B73:C73)=0,"",SUM(C73)/SUM(B73:C73))</f>
        <v/>
      </c>
    </row>
    <row r="74">
      <c r="A74" s="24" t="n">
        <v>45992</v>
      </c>
      <c r="B74" s="26">
        <f>IF(SUMIFS('NSE - NIFTY Index Options'!$M:$M,'NSE - NIFTY Index Options'!$D:$D,$A74,'NSE - NIFTY Index Options'!$I:$I,"Monthly*")+SUMIFS('NSE - Other Index Options'!$M:$M,'NSE - Other Index Options'!$D:$D,$A74,'NSE - Other Index Options'!$I:$I,"Monthly*")=0,"",SUMIFS('NSE - NIFTY Index Options'!$M:$M,'NSE - NIFTY Index Options'!$D:$D,$A74,'NSE - NIFTY Index Options'!$I:$I,"Monthly*")+SUMIFS('NSE - Other Index Options'!$M:$M,'NSE - Other Index Options'!$D:$D,$A74,'NSE - Other Index Options'!$I:$I,"Monthly*"))</f>
        <v/>
      </c>
      <c r="C74" s="26">
        <f>IF(SUMIFS('BSE - SENSEX Index Options'!$M:$M,'BSE - SENSEX Index Options'!$D:$D,$A74,'BSE - SENSEX Index Options'!$I:$I,"Monthly*")+SUMIFS('BSE - Other Index Options'!$M:$M,'BSE - Other Index Options'!$D:$D,$A74,'BSE - Other Index Options'!$I:$I,"Monthly*")=0,"",SUMIFS('BSE - SENSEX Index Options'!$M:$M,'BSE - SENSEX Index Options'!$D:$D,$A74,'BSE - SENSEX Index Options'!$I:$I,"Monthly*")+SUMIFS('BSE - Other Index Options'!$M:$M,'BSE - Other Index Options'!$D:$D,$A74,'BSE - Other Index Options'!$I:$I,"Monthly*"))</f>
        <v/>
      </c>
      <c r="D74" s="27">
        <f>IF(SUM(B74:C74)=0,"",SUM(B74)/SUM(B74:C74))</f>
        <v/>
      </c>
      <c r="E74" s="27">
        <f>IF(SUM(B74:C74)=0,"",SUM(C74)/SUM(B74:C74))</f>
        <v/>
      </c>
    </row>
    <row r="75">
      <c r="A75" s="24" t="n">
        <v>46023</v>
      </c>
      <c r="B75" s="26">
        <f>IF(SUMIFS('NSE - NIFTY Index Options'!$M:$M,'NSE - NIFTY Index Options'!$D:$D,$A75,'NSE - NIFTY Index Options'!$I:$I,"Monthly*")+SUMIFS('NSE - Other Index Options'!$M:$M,'NSE - Other Index Options'!$D:$D,$A75,'NSE - Other Index Options'!$I:$I,"Monthly*")=0,"",SUMIFS('NSE - NIFTY Index Options'!$M:$M,'NSE - NIFTY Index Options'!$D:$D,$A75,'NSE - NIFTY Index Options'!$I:$I,"Monthly*")+SUMIFS('NSE - Other Index Options'!$M:$M,'NSE - Other Index Options'!$D:$D,$A75,'NSE - Other Index Options'!$I:$I,"Monthly*"))</f>
        <v/>
      </c>
      <c r="C75" s="26">
        <f>IF(SUMIFS('BSE - SENSEX Index Options'!$M:$M,'BSE - SENSEX Index Options'!$D:$D,$A75,'BSE - SENSEX Index Options'!$I:$I,"Monthly*")+SUMIFS('BSE - Other Index Options'!$M:$M,'BSE - Other Index Options'!$D:$D,$A75,'BSE - Other Index Options'!$I:$I,"Monthly*")=0,"",SUMIFS('BSE - SENSEX Index Options'!$M:$M,'BSE - SENSEX Index Options'!$D:$D,$A75,'BSE - SENSEX Index Options'!$I:$I,"Monthly*")+SUMIFS('BSE - Other Index Options'!$M:$M,'BSE - Other Index Options'!$D:$D,$A75,'BSE - Other Index Options'!$I:$I,"Monthly*"))</f>
        <v/>
      </c>
      <c r="D75" s="27">
        <f>IF(SUM(B75:C75)=0,"",SUM(B75)/SUM(B75:C75))</f>
        <v/>
      </c>
      <c r="E75" s="27">
        <f>IF(SUM(B75:C75)=0,"",SUM(C75)/SUM(B75:C75))</f>
        <v/>
      </c>
    </row>
    <row r="76">
      <c r="A76" s="24" t="n">
        <v>46054</v>
      </c>
      <c r="B76" s="26">
        <f>IF(SUMIFS('NSE - NIFTY Index Options'!$M:$M,'NSE - NIFTY Index Options'!$D:$D,$A76,'NSE - NIFTY Index Options'!$I:$I,"Monthly*")+SUMIFS('NSE - Other Index Options'!$M:$M,'NSE - Other Index Options'!$D:$D,$A76,'NSE - Other Index Options'!$I:$I,"Monthly*")=0,"",SUMIFS('NSE - NIFTY Index Options'!$M:$M,'NSE - NIFTY Index Options'!$D:$D,$A76,'NSE - NIFTY Index Options'!$I:$I,"Monthly*")+SUMIFS('NSE - Other Index Options'!$M:$M,'NSE - Other Index Options'!$D:$D,$A76,'NSE - Other Index Options'!$I:$I,"Monthly*"))</f>
        <v/>
      </c>
      <c r="C76" s="26">
        <f>IF(SUMIFS('BSE - SENSEX Index Options'!$M:$M,'BSE - SENSEX Index Options'!$D:$D,$A76,'BSE - SENSEX Index Options'!$I:$I,"Monthly*")+SUMIFS('BSE - Other Index Options'!$M:$M,'BSE - Other Index Options'!$D:$D,$A76,'BSE - Other Index Options'!$I:$I,"Monthly*")=0,"",SUMIFS('BSE - SENSEX Index Options'!$M:$M,'BSE - SENSEX Index Options'!$D:$D,$A76,'BSE - SENSEX Index Options'!$I:$I,"Monthly*")+SUMIFS('BSE - Other Index Options'!$M:$M,'BSE - Other Index Options'!$D:$D,$A76,'BSE - Other Index Options'!$I:$I,"Monthly*"))</f>
        <v/>
      </c>
      <c r="D76" s="27">
        <f>IF(SUM(B76:C76)=0,"",SUM(B76)/SUM(B76:C76))</f>
        <v/>
      </c>
      <c r="E76" s="27">
        <f>IF(SUM(B76:C76)=0,"",SUM(C76)/SUM(B76:C76))</f>
        <v/>
      </c>
    </row>
    <row r="77">
      <c r="A77" s="24" t="n">
        <v>46082</v>
      </c>
      <c r="B77" s="26">
        <f>IF(SUMIFS('NSE - NIFTY Index Options'!$M:$M,'NSE - NIFTY Index Options'!$D:$D,$A77,'NSE - NIFTY Index Options'!$I:$I,"Monthly*")+SUMIFS('NSE - Other Index Options'!$M:$M,'NSE - Other Index Options'!$D:$D,$A77,'NSE - Other Index Options'!$I:$I,"Monthly*")=0,"",SUMIFS('NSE - NIFTY Index Options'!$M:$M,'NSE - NIFTY Index Options'!$D:$D,$A77,'NSE - NIFTY Index Options'!$I:$I,"Monthly*")+SUMIFS('NSE - Other Index Options'!$M:$M,'NSE - Other Index Options'!$D:$D,$A77,'NSE - Other Index Options'!$I:$I,"Monthly*"))</f>
        <v/>
      </c>
      <c r="C77" s="26">
        <f>IF(SUMIFS('BSE - SENSEX Index Options'!$M:$M,'BSE - SENSEX Index Options'!$D:$D,$A77,'BSE - SENSEX Index Options'!$I:$I,"Monthly*")+SUMIFS('BSE - Other Index Options'!$M:$M,'BSE - Other Index Options'!$D:$D,$A77,'BSE - Other Index Options'!$I:$I,"Monthly*")=0,"",SUMIFS('BSE - SENSEX Index Options'!$M:$M,'BSE - SENSEX Index Options'!$D:$D,$A77,'BSE - SENSEX Index Options'!$I:$I,"Monthly*")+SUMIFS('BSE - Other Index Options'!$M:$M,'BSE - Other Index Options'!$D:$D,$A77,'BSE - Other Index Options'!$I:$I,"Monthly*"))</f>
        <v/>
      </c>
      <c r="D77" s="27">
        <f>IF(SUM(B77:C77)=0,"",SUM(B77)/SUM(B77:C77))</f>
        <v/>
      </c>
      <c r="E77" s="27">
        <f>IF(SUM(B77:C77)=0,"",SUM(C77)/SUM(B77:C77))</f>
        <v/>
      </c>
    </row>
    <row r="78">
      <c r="A78" s="24" t="n">
        <v>46113</v>
      </c>
      <c r="B78" s="26">
        <f>IF(SUMIFS('NSE - NIFTY Index Options'!$M:$M,'NSE - NIFTY Index Options'!$D:$D,$A78,'NSE - NIFTY Index Options'!$I:$I,"Monthly*")+SUMIFS('NSE - Other Index Options'!$M:$M,'NSE - Other Index Options'!$D:$D,$A78,'NSE - Other Index Options'!$I:$I,"Monthly*")=0,"",SUMIFS('NSE - NIFTY Index Options'!$M:$M,'NSE - NIFTY Index Options'!$D:$D,$A78,'NSE - NIFTY Index Options'!$I:$I,"Monthly*")+SUMIFS('NSE - Other Index Options'!$M:$M,'NSE - Other Index Options'!$D:$D,$A78,'NSE - Other Index Options'!$I:$I,"Monthly*"))</f>
        <v/>
      </c>
      <c r="C78" s="26">
        <f>IF(SUMIFS('BSE - SENSEX Index Options'!$M:$M,'BSE - SENSEX Index Options'!$D:$D,$A78,'BSE - SENSEX Index Options'!$I:$I,"Monthly*")+SUMIFS('BSE - Other Index Options'!$M:$M,'BSE - Other Index Options'!$D:$D,$A78,'BSE - Other Index Options'!$I:$I,"Monthly*")=0,"",SUMIFS('BSE - SENSEX Index Options'!$M:$M,'BSE - SENSEX Index Options'!$D:$D,$A78,'BSE - SENSEX Index Options'!$I:$I,"Monthly*")+SUMIFS('BSE - Other Index Options'!$M:$M,'BSE - Other Index Options'!$D:$D,$A78,'BSE - Other Index Options'!$I:$I,"Monthly*"))</f>
        <v/>
      </c>
      <c r="D78" s="27">
        <f>IF(SUM(B78:C78)=0,"",SUM(B78)/SUM(B78:C78))</f>
        <v/>
      </c>
      <c r="E78" s="27">
        <f>IF(SUM(B78:C78)=0,"",SUM(C78)/SUM(B78:C78))</f>
        <v/>
      </c>
    </row>
    <row r="79">
      <c r="A79" s="24" t="n">
        <v>46143</v>
      </c>
      <c r="B79" s="26">
        <f>IF(SUMIFS('NSE - NIFTY Index Options'!$M:$M,'NSE - NIFTY Index Options'!$D:$D,$A79,'NSE - NIFTY Index Options'!$I:$I,"Monthly*")+SUMIFS('NSE - Other Index Options'!$M:$M,'NSE - Other Index Options'!$D:$D,$A79,'NSE - Other Index Options'!$I:$I,"Monthly*")=0,"",SUMIFS('NSE - NIFTY Index Options'!$M:$M,'NSE - NIFTY Index Options'!$D:$D,$A79,'NSE - NIFTY Index Options'!$I:$I,"Monthly*")+SUMIFS('NSE - Other Index Options'!$M:$M,'NSE - Other Index Options'!$D:$D,$A79,'NSE - Other Index Options'!$I:$I,"Monthly*"))</f>
        <v/>
      </c>
      <c r="C79" s="26">
        <f>IF(SUMIFS('BSE - SENSEX Index Options'!$M:$M,'BSE - SENSEX Index Options'!$D:$D,$A79,'BSE - SENSEX Index Options'!$I:$I,"Monthly*")+SUMIFS('BSE - Other Index Options'!$M:$M,'BSE - Other Index Options'!$D:$D,$A79,'BSE - Other Index Options'!$I:$I,"Monthly*")=0,"",SUMIFS('BSE - SENSEX Index Options'!$M:$M,'BSE - SENSEX Index Options'!$D:$D,$A79,'BSE - SENSEX Index Options'!$I:$I,"Monthly*")+SUMIFS('BSE - Other Index Options'!$M:$M,'BSE - Other Index Options'!$D:$D,$A79,'BSE - Other Index Options'!$I:$I,"Monthly*"))</f>
        <v/>
      </c>
      <c r="D79" s="27">
        <f>IF(SUM(B79:C79)=0,"",SUM(B79)/SUM(B79:C79))</f>
        <v/>
      </c>
      <c r="E79" s="27">
        <f>IF(SUM(B79:C79)=0,"",SUM(C79)/SUM(B79:C79))</f>
        <v/>
      </c>
    </row>
    <row r="80">
      <c r="A80" s="24" t="n">
        <v>46174</v>
      </c>
      <c r="B80" s="26">
        <f>IF(SUMIFS('NSE - NIFTY Index Options'!$M:$M,'NSE - NIFTY Index Options'!$D:$D,$A80,'NSE - NIFTY Index Options'!$I:$I,"Monthly*")+SUMIFS('NSE - Other Index Options'!$M:$M,'NSE - Other Index Options'!$D:$D,$A80,'NSE - Other Index Options'!$I:$I,"Monthly*")=0,"",SUMIFS('NSE - NIFTY Index Options'!$M:$M,'NSE - NIFTY Index Options'!$D:$D,$A80,'NSE - NIFTY Index Options'!$I:$I,"Monthly*")+SUMIFS('NSE - Other Index Options'!$M:$M,'NSE - Other Index Options'!$D:$D,$A80,'NSE - Other Index Options'!$I:$I,"Monthly*"))</f>
        <v/>
      </c>
      <c r="C80" s="26">
        <f>IF(SUMIFS('BSE - SENSEX Index Options'!$M:$M,'BSE - SENSEX Index Options'!$D:$D,$A80,'BSE - SENSEX Index Options'!$I:$I,"Monthly*")+SUMIFS('BSE - Other Index Options'!$M:$M,'BSE - Other Index Options'!$D:$D,$A80,'BSE - Other Index Options'!$I:$I,"Monthly*")=0,"",SUMIFS('BSE - SENSEX Index Options'!$M:$M,'BSE - SENSEX Index Options'!$D:$D,$A80,'BSE - SENSEX Index Options'!$I:$I,"Monthly*")+SUMIFS('BSE - Other Index Options'!$M:$M,'BSE - Other Index Options'!$D:$D,$A80,'BSE - Other Index Options'!$I:$I,"Monthly*"))</f>
        <v/>
      </c>
      <c r="D80" s="27">
        <f>IF(SUM(B80:C80)=0,"",SUM(B80)/SUM(B80:C80))</f>
        <v/>
      </c>
      <c r="E80" s="27">
        <f>IF(SUM(B80:C80)=0,"",SUM(C80)/SUM(B80:C80))</f>
        <v/>
      </c>
    </row>
    <row r="81">
      <c r="A81" s="24" t="n">
        <v>46204</v>
      </c>
      <c r="B81" s="26">
        <f>IF(SUMIFS('NSE - NIFTY Index Options'!$M:$M,'NSE - NIFTY Index Options'!$D:$D,$A81,'NSE - NIFTY Index Options'!$I:$I,"Monthly*")+SUMIFS('NSE - Other Index Options'!$M:$M,'NSE - Other Index Options'!$D:$D,$A81,'NSE - Other Index Options'!$I:$I,"Monthly*")=0,"",SUMIFS('NSE - NIFTY Index Options'!$M:$M,'NSE - NIFTY Index Options'!$D:$D,$A81,'NSE - NIFTY Index Options'!$I:$I,"Monthly*")+SUMIFS('NSE - Other Index Options'!$M:$M,'NSE - Other Index Options'!$D:$D,$A81,'NSE - Other Index Options'!$I:$I,"Monthly*"))</f>
        <v/>
      </c>
      <c r="C81" s="26">
        <f>IF(SUMIFS('BSE - SENSEX Index Options'!$M:$M,'BSE - SENSEX Index Options'!$D:$D,$A81,'BSE - SENSEX Index Options'!$I:$I,"Monthly*")+SUMIFS('BSE - Other Index Options'!$M:$M,'BSE - Other Index Options'!$D:$D,$A81,'BSE - Other Index Options'!$I:$I,"Monthly*")=0,"",SUMIFS('BSE - SENSEX Index Options'!$M:$M,'BSE - SENSEX Index Options'!$D:$D,$A81,'BSE - SENSEX Index Options'!$I:$I,"Monthly*")+SUMIFS('BSE - Other Index Options'!$M:$M,'BSE - Other Index Options'!$D:$D,$A81,'BSE - Other Index Options'!$I:$I,"Monthly*"))</f>
        <v/>
      </c>
      <c r="D81" s="27">
        <f>IF(SUM(B81:C81)=0,"",SUM(B81)/SUM(B81:C81))</f>
        <v/>
      </c>
      <c r="E81" s="27">
        <f>IF(SUM(B81:C81)=0,"",SUM(C81)/SUM(B81:C81))</f>
        <v/>
      </c>
    </row>
    <row r="82">
      <c r="A82" s="24" t="n">
        <v>46235</v>
      </c>
      <c r="B82" s="26">
        <f>IF(SUMIFS('NSE - NIFTY Index Options'!$M:$M,'NSE - NIFTY Index Options'!$D:$D,$A82,'NSE - NIFTY Index Options'!$I:$I,"Monthly*")+SUMIFS('NSE - Other Index Options'!$M:$M,'NSE - Other Index Options'!$D:$D,$A82,'NSE - Other Index Options'!$I:$I,"Monthly*")=0,"",SUMIFS('NSE - NIFTY Index Options'!$M:$M,'NSE - NIFTY Index Options'!$D:$D,$A82,'NSE - NIFTY Index Options'!$I:$I,"Monthly*")+SUMIFS('NSE - Other Index Options'!$M:$M,'NSE - Other Index Options'!$D:$D,$A82,'NSE - Other Index Options'!$I:$I,"Monthly*"))</f>
        <v/>
      </c>
      <c r="C82" s="26">
        <f>IF(SUMIFS('BSE - SENSEX Index Options'!$M:$M,'BSE - SENSEX Index Options'!$D:$D,$A82,'BSE - SENSEX Index Options'!$I:$I,"Monthly*")+SUMIFS('BSE - Other Index Options'!$M:$M,'BSE - Other Index Options'!$D:$D,$A82,'BSE - Other Index Options'!$I:$I,"Monthly*")=0,"",SUMIFS('BSE - SENSEX Index Options'!$M:$M,'BSE - SENSEX Index Options'!$D:$D,$A82,'BSE - SENSEX Index Options'!$I:$I,"Monthly*")+SUMIFS('BSE - Other Index Options'!$M:$M,'BSE - Other Index Options'!$D:$D,$A82,'BSE - Other Index Options'!$I:$I,"Monthly*"))</f>
        <v/>
      </c>
      <c r="D82" s="27">
        <f>IF(SUM(B82:C82)=0,"",SUM(B82)/SUM(B82:C82))</f>
        <v/>
      </c>
      <c r="E82" s="27">
        <f>IF(SUM(B82:C82)=0,"",SUM(C82)/SUM(B82:C82))</f>
        <v/>
      </c>
    </row>
    <row r="83" hidden="1" outlineLevel="1">
      <c r="A83" s="24" t="n">
        <v>46266</v>
      </c>
      <c r="B83" s="26">
        <f>IF(SUMIFS('NSE - NIFTY Index Options'!$M:$M,'NSE - NIFTY Index Options'!$D:$D,$A83,'NSE - NIFTY Index Options'!$I:$I,"Monthly*")+SUMIFS('NSE - Other Index Options'!$M:$M,'NSE - Other Index Options'!$D:$D,$A83,'NSE - Other Index Options'!$I:$I,"Monthly*")=0,"",SUMIFS('NSE - NIFTY Index Options'!$M:$M,'NSE - NIFTY Index Options'!$D:$D,$A83,'NSE - NIFTY Index Options'!$I:$I,"Monthly*")+SUMIFS('NSE - Other Index Options'!$M:$M,'NSE - Other Index Options'!$D:$D,$A83,'NSE - Other Index Options'!$I:$I,"Monthly*"))</f>
        <v/>
      </c>
      <c r="C83" s="26">
        <f>IF(SUMIFS('BSE - SENSEX Index Options'!$M:$M,'BSE - SENSEX Index Options'!$D:$D,$A83,'BSE - SENSEX Index Options'!$I:$I,"Monthly*")+SUMIFS('BSE - Other Index Options'!$M:$M,'BSE - Other Index Options'!$D:$D,$A83,'BSE - Other Index Options'!$I:$I,"Monthly*")=0,"",SUMIFS('BSE - SENSEX Index Options'!$M:$M,'BSE - SENSEX Index Options'!$D:$D,$A83,'BSE - SENSEX Index Options'!$I:$I,"Monthly*")+SUMIFS('BSE - Other Index Options'!$M:$M,'BSE - Other Index Options'!$D:$D,$A83,'BSE - Other Index Options'!$I:$I,"Monthly*"))</f>
        <v/>
      </c>
      <c r="D83" s="27">
        <f>IF(SUM(B83:C83)=0,"",SUM(B83)/SUM(B83:C83))</f>
        <v/>
      </c>
      <c r="E83" s="27">
        <f>IF(SUM(B83:C83)=0,"",SUM(C83)/SUM(B83:C83))</f>
        <v/>
      </c>
    </row>
    <row r="84" hidden="1" outlineLevel="1">
      <c r="A84" s="24" t="n">
        <v>46296</v>
      </c>
      <c r="B84" s="26">
        <f>IF(SUMIFS('NSE - NIFTY Index Options'!$M:$M,'NSE - NIFTY Index Options'!$D:$D,$A84,'NSE - NIFTY Index Options'!$I:$I,"Monthly*")+SUMIFS('NSE - Other Index Options'!$M:$M,'NSE - Other Index Options'!$D:$D,$A84,'NSE - Other Index Options'!$I:$I,"Monthly*")=0,"",SUMIFS('NSE - NIFTY Index Options'!$M:$M,'NSE - NIFTY Index Options'!$D:$D,$A84,'NSE - NIFTY Index Options'!$I:$I,"Monthly*")+SUMIFS('NSE - Other Index Options'!$M:$M,'NSE - Other Index Options'!$D:$D,$A84,'NSE - Other Index Options'!$I:$I,"Monthly*"))</f>
        <v/>
      </c>
      <c r="C84" s="26">
        <f>IF(SUMIFS('BSE - SENSEX Index Options'!$M:$M,'BSE - SENSEX Index Options'!$D:$D,$A84,'BSE - SENSEX Index Options'!$I:$I,"Monthly*")+SUMIFS('BSE - Other Index Options'!$M:$M,'BSE - Other Index Options'!$D:$D,$A84,'BSE - Other Index Options'!$I:$I,"Monthly*")=0,"",SUMIFS('BSE - SENSEX Index Options'!$M:$M,'BSE - SENSEX Index Options'!$D:$D,$A84,'BSE - SENSEX Index Options'!$I:$I,"Monthly*")+SUMIFS('BSE - Other Index Options'!$M:$M,'BSE - Other Index Options'!$D:$D,$A84,'BSE - Other Index Options'!$I:$I,"Monthly*"))</f>
        <v/>
      </c>
      <c r="D84" s="27">
        <f>IF(SUM(B84:C84)=0,"",SUM(B84)/SUM(B84:C84))</f>
        <v/>
      </c>
      <c r="E84" s="27">
        <f>IF(SUM(B84:C84)=0,"",SUM(C84)/SUM(B84:C84))</f>
        <v/>
      </c>
    </row>
    <row r="85" hidden="1" outlineLevel="1">
      <c r="A85" s="24" t="n">
        <v>46327</v>
      </c>
      <c r="B85" s="26">
        <f>IF(SUMIFS('NSE - NIFTY Index Options'!$M:$M,'NSE - NIFTY Index Options'!$D:$D,$A85,'NSE - NIFTY Index Options'!$I:$I,"Monthly*")+SUMIFS('NSE - Other Index Options'!$M:$M,'NSE - Other Index Options'!$D:$D,$A85,'NSE - Other Index Options'!$I:$I,"Monthly*")=0,"",SUMIFS('NSE - NIFTY Index Options'!$M:$M,'NSE - NIFTY Index Options'!$D:$D,$A85,'NSE - NIFTY Index Options'!$I:$I,"Monthly*")+SUMIFS('NSE - Other Index Options'!$M:$M,'NSE - Other Index Options'!$D:$D,$A85,'NSE - Other Index Options'!$I:$I,"Monthly*"))</f>
        <v/>
      </c>
      <c r="C85" s="26">
        <f>IF(SUMIFS('BSE - SENSEX Index Options'!$M:$M,'BSE - SENSEX Index Options'!$D:$D,$A85,'BSE - SENSEX Index Options'!$I:$I,"Monthly*")+SUMIFS('BSE - Other Index Options'!$M:$M,'BSE - Other Index Options'!$D:$D,$A85,'BSE - Other Index Options'!$I:$I,"Monthly*")=0,"",SUMIFS('BSE - SENSEX Index Options'!$M:$M,'BSE - SENSEX Index Options'!$D:$D,$A85,'BSE - SENSEX Index Options'!$I:$I,"Monthly*")+SUMIFS('BSE - Other Index Options'!$M:$M,'BSE - Other Index Options'!$D:$D,$A85,'BSE - Other Index Options'!$I:$I,"Monthly*"))</f>
        <v/>
      </c>
      <c r="D85" s="27">
        <f>IF(SUM(B85:C85)=0,"",SUM(B85)/SUM(B85:C85))</f>
        <v/>
      </c>
      <c r="E85" s="27">
        <f>IF(SUM(B85:C85)=0,"",SUM(C85)/SUM(B85:C85))</f>
        <v/>
      </c>
    </row>
    <row r="86" hidden="1" outlineLevel="1">
      <c r="A86" s="24" t="n">
        <v>46357</v>
      </c>
      <c r="B86" s="26">
        <f>IF(SUMIFS('NSE - NIFTY Index Options'!$M:$M,'NSE - NIFTY Index Options'!$D:$D,$A86,'NSE - NIFTY Index Options'!$I:$I,"Monthly*")+SUMIFS('NSE - Other Index Options'!$M:$M,'NSE - Other Index Options'!$D:$D,$A86,'NSE - Other Index Options'!$I:$I,"Monthly*")=0,"",SUMIFS('NSE - NIFTY Index Options'!$M:$M,'NSE - NIFTY Index Options'!$D:$D,$A86,'NSE - NIFTY Index Options'!$I:$I,"Monthly*")+SUMIFS('NSE - Other Index Options'!$M:$M,'NSE - Other Index Options'!$D:$D,$A86,'NSE - Other Index Options'!$I:$I,"Monthly*"))</f>
        <v/>
      </c>
      <c r="C86" s="26">
        <f>IF(SUMIFS('BSE - SENSEX Index Options'!$M:$M,'BSE - SENSEX Index Options'!$D:$D,$A86,'BSE - SENSEX Index Options'!$I:$I,"Monthly*")+SUMIFS('BSE - Other Index Options'!$M:$M,'BSE - Other Index Options'!$D:$D,$A86,'BSE - Other Index Options'!$I:$I,"Monthly*")=0,"",SUMIFS('BSE - SENSEX Index Options'!$M:$M,'BSE - SENSEX Index Options'!$D:$D,$A86,'BSE - SENSEX Index Options'!$I:$I,"Monthly*")+SUMIFS('BSE - Other Index Options'!$M:$M,'BSE - Other Index Options'!$D:$D,$A86,'BSE - Other Index Options'!$I:$I,"Monthly*"))</f>
        <v/>
      </c>
      <c r="D86" s="27">
        <f>IF(SUM(B86:C86)=0,"",SUM(B86)/SUM(B86:C86))</f>
        <v/>
      </c>
      <c r="E86" s="27">
        <f>IF(SUM(B86:C86)=0,"",SUM(C86)/SUM(B86:C86))</f>
        <v/>
      </c>
    </row>
    <row r="87" hidden="1" outlineLevel="1">
      <c r="A87" s="24" t="n">
        <v>46388</v>
      </c>
      <c r="B87" s="26">
        <f>IF(SUMIFS('NSE - NIFTY Index Options'!$M:$M,'NSE - NIFTY Index Options'!$D:$D,$A87,'NSE - NIFTY Index Options'!$I:$I,"Monthly*")+SUMIFS('NSE - Other Index Options'!$M:$M,'NSE - Other Index Options'!$D:$D,$A87,'NSE - Other Index Options'!$I:$I,"Monthly*")=0,"",SUMIFS('NSE - NIFTY Index Options'!$M:$M,'NSE - NIFTY Index Options'!$D:$D,$A87,'NSE - NIFTY Index Options'!$I:$I,"Monthly*")+SUMIFS('NSE - Other Index Options'!$M:$M,'NSE - Other Index Options'!$D:$D,$A87,'NSE - Other Index Options'!$I:$I,"Monthly*"))</f>
        <v/>
      </c>
      <c r="C87" s="26">
        <f>IF(SUMIFS('BSE - SENSEX Index Options'!$M:$M,'BSE - SENSEX Index Options'!$D:$D,$A87,'BSE - SENSEX Index Options'!$I:$I,"Monthly*")+SUMIFS('BSE - Other Index Options'!$M:$M,'BSE - Other Index Options'!$D:$D,$A87,'BSE - Other Index Options'!$I:$I,"Monthly*")=0,"",SUMIFS('BSE - SENSEX Index Options'!$M:$M,'BSE - SENSEX Index Options'!$D:$D,$A87,'BSE - SENSEX Index Options'!$I:$I,"Monthly*")+SUMIFS('BSE - Other Index Options'!$M:$M,'BSE - Other Index Options'!$D:$D,$A87,'BSE - Other Index Options'!$I:$I,"Monthly*"))</f>
        <v/>
      </c>
      <c r="D87" s="27">
        <f>IF(SUM(B87:C87)=0,"",SUM(B87)/SUM(B87:C87))</f>
        <v/>
      </c>
      <c r="E87" s="27">
        <f>IF(SUM(B87:C87)=0,"",SUM(C87)/SUM(B87:C87))</f>
        <v/>
      </c>
    </row>
    <row r="88" hidden="1" outlineLevel="1">
      <c r="A88" s="24" t="n">
        <v>46419</v>
      </c>
      <c r="B88" s="26">
        <f>IF(SUMIFS('NSE - NIFTY Index Options'!$M:$M,'NSE - NIFTY Index Options'!$D:$D,$A88,'NSE - NIFTY Index Options'!$I:$I,"Monthly*")+SUMIFS('NSE - Other Index Options'!$M:$M,'NSE - Other Index Options'!$D:$D,$A88,'NSE - Other Index Options'!$I:$I,"Monthly*")=0,"",SUMIFS('NSE - NIFTY Index Options'!$M:$M,'NSE - NIFTY Index Options'!$D:$D,$A88,'NSE - NIFTY Index Options'!$I:$I,"Monthly*")+SUMIFS('NSE - Other Index Options'!$M:$M,'NSE - Other Index Options'!$D:$D,$A88,'NSE - Other Index Options'!$I:$I,"Monthly*"))</f>
        <v/>
      </c>
      <c r="C88" s="26">
        <f>IF(SUMIFS('BSE - SENSEX Index Options'!$M:$M,'BSE - SENSEX Index Options'!$D:$D,$A88,'BSE - SENSEX Index Options'!$I:$I,"Monthly*")+SUMIFS('BSE - Other Index Options'!$M:$M,'BSE - Other Index Options'!$D:$D,$A88,'BSE - Other Index Options'!$I:$I,"Monthly*")=0,"",SUMIFS('BSE - SENSEX Index Options'!$M:$M,'BSE - SENSEX Index Options'!$D:$D,$A88,'BSE - SENSEX Index Options'!$I:$I,"Monthly*")+SUMIFS('BSE - Other Index Options'!$M:$M,'BSE - Other Index Options'!$D:$D,$A88,'BSE - Other Index Options'!$I:$I,"Monthly*"))</f>
        <v/>
      </c>
      <c r="D88" s="27">
        <f>IF(SUM(B88:C88)=0,"",SUM(B88)/SUM(B88:C88))</f>
        <v/>
      </c>
      <c r="E88" s="27">
        <f>IF(SUM(B88:C88)=0,"",SUM(C88)/SUM(B88:C88))</f>
        <v/>
      </c>
    </row>
    <row r="89" hidden="1" outlineLevel="1">
      <c r="A89" s="24" t="n">
        <v>46447</v>
      </c>
      <c r="B89" s="26">
        <f>IF(SUMIFS('NSE - NIFTY Index Options'!$M:$M,'NSE - NIFTY Index Options'!$D:$D,$A89,'NSE - NIFTY Index Options'!$I:$I,"Monthly*")+SUMIFS('NSE - Other Index Options'!$M:$M,'NSE - Other Index Options'!$D:$D,$A89,'NSE - Other Index Options'!$I:$I,"Monthly*")=0,"",SUMIFS('NSE - NIFTY Index Options'!$M:$M,'NSE - NIFTY Index Options'!$D:$D,$A89,'NSE - NIFTY Index Options'!$I:$I,"Monthly*")+SUMIFS('NSE - Other Index Options'!$M:$M,'NSE - Other Index Options'!$D:$D,$A89,'NSE - Other Index Options'!$I:$I,"Monthly*"))</f>
        <v/>
      </c>
      <c r="C89" s="26">
        <f>IF(SUMIFS('BSE - SENSEX Index Options'!$M:$M,'BSE - SENSEX Index Options'!$D:$D,$A89,'BSE - SENSEX Index Options'!$I:$I,"Monthly*")+SUMIFS('BSE - Other Index Options'!$M:$M,'BSE - Other Index Options'!$D:$D,$A89,'BSE - Other Index Options'!$I:$I,"Monthly*")=0,"",SUMIFS('BSE - SENSEX Index Options'!$M:$M,'BSE - SENSEX Index Options'!$D:$D,$A89,'BSE - SENSEX Index Options'!$I:$I,"Monthly*")+SUMIFS('BSE - Other Index Options'!$M:$M,'BSE - Other Index Options'!$D:$D,$A89,'BSE - Other Index Options'!$I:$I,"Monthly*"))</f>
        <v/>
      </c>
      <c r="D89" s="27">
        <f>IF(SUM(B89:C89)=0,"",SUM(B89)/SUM(B89:C89))</f>
        <v/>
      </c>
      <c r="E89" s="27">
        <f>IF(SUM(B89:C89)=0,"",SUM(C89)/SUM(B89:C89))</f>
        <v/>
      </c>
    </row>
    <row r="90" hidden="1" outlineLevel="1">
      <c r="A90" s="24" t="n">
        <v>46478</v>
      </c>
      <c r="B90" s="26">
        <f>IF(SUMIFS('NSE - NIFTY Index Options'!$M:$M,'NSE - NIFTY Index Options'!$D:$D,$A90,'NSE - NIFTY Index Options'!$I:$I,"Monthly*")+SUMIFS('NSE - Other Index Options'!$M:$M,'NSE - Other Index Options'!$D:$D,$A90,'NSE - Other Index Options'!$I:$I,"Monthly*")=0,"",SUMIFS('NSE - NIFTY Index Options'!$M:$M,'NSE - NIFTY Index Options'!$D:$D,$A90,'NSE - NIFTY Index Options'!$I:$I,"Monthly*")+SUMIFS('NSE - Other Index Options'!$M:$M,'NSE - Other Index Options'!$D:$D,$A90,'NSE - Other Index Options'!$I:$I,"Monthly*"))</f>
        <v/>
      </c>
      <c r="C90" s="26">
        <f>IF(SUMIFS('BSE - SENSEX Index Options'!$M:$M,'BSE - SENSEX Index Options'!$D:$D,$A90,'BSE - SENSEX Index Options'!$I:$I,"Monthly*")+SUMIFS('BSE - Other Index Options'!$M:$M,'BSE - Other Index Options'!$D:$D,$A90,'BSE - Other Index Options'!$I:$I,"Monthly*")=0,"",SUMIFS('BSE - SENSEX Index Options'!$M:$M,'BSE - SENSEX Index Options'!$D:$D,$A90,'BSE - SENSEX Index Options'!$I:$I,"Monthly*")+SUMIFS('BSE - Other Index Options'!$M:$M,'BSE - Other Index Options'!$D:$D,$A90,'BSE - Other Index Options'!$I:$I,"Monthly*"))</f>
        <v/>
      </c>
      <c r="D90" s="27">
        <f>IF(SUM(B90:C90)=0,"",SUM(B90)/SUM(B90:C90))</f>
        <v/>
      </c>
      <c r="E90" s="27">
        <f>IF(SUM(B90:C90)=0,"",SUM(C90)/SUM(B90:C90))</f>
        <v/>
      </c>
    </row>
    <row r="91" hidden="1" outlineLevel="1">
      <c r="A91" s="24" t="n">
        <v>46508</v>
      </c>
      <c r="B91" s="26">
        <f>IF(SUMIFS('NSE - NIFTY Index Options'!$M:$M,'NSE - NIFTY Index Options'!$D:$D,$A91,'NSE - NIFTY Index Options'!$I:$I,"Monthly*")+SUMIFS('NSE - Other Index Options'!$M:$M,'NSE - Other Index Options'!$D:$D,$A91,'NSE - Other Index Options'!$I:$I,"Monthly*")=0,"",SUMIFS('NSE - NIFTY Index Options'!$M:$M,'NSE - NIFTY Index Options'!$D:$D,$A91,'NSE - NIFTY Index Options'!$I:$I,"Monthly*")+SUMIFS('NSE - Other Index Options'!$M:$M,'NSE - Other Index Options'!$D:$D,$A91,'NSE - Other Index Options'!$I:$I,"Monthly*"))</f>
        <v/>
      </c>
      <c r="C91" s="26">
        <f>IF(SUMIFS('BSE - SENSEX Index Options'!$M:$M,'BSE - SENSEX Index Options'!$D:$D,$A91,'BSE - SENSEX Index Options'!$I:$I,"Monthly*")+SUMIFS('BSE - Other Index Options'!$M:$M,'BSE - Other Index Options'!$D:$D,$A91,'BSE - Other Index Options'!$I:$I,"Monthly*")=0,"",SUMIFS('BSE - SENSEX Index Options'!$M:$M,'BSE - SENSEX Index Options'!$D:$D,$A91,'BSE - SENSEX Index Options'!$I:$I,"Monthly*")+SUMIFS('BSE - Other Index Options'!$M:$M,'BSE - Other Index Options'!$D:$D,$A91,'BSE - Other Index Options'!$I:$I,"Monthly*"))</f>
        <v/>
      </c>
      <c r="D91" s="27">
        <f>IF(SUM(B91:C91)=0,"",SUM(B91)/SUM(B91:C91))</f>
        <v/>
      </c>
      <c r="E91" s="27">
        <f>IF(SUM(B91:C91)=0,"",SUM(C91)/SUM(B91:C91))</f>
        <v/>
      </c>
    </row>
    <row r="92" hidden="1" outlineLevel="1">
      <c r="A92" s="24" t="n">
        <v>46539</v>
      </c>
      <c r="B92" s="26">
        <f>IF(SUMIFS('NSE - NIFTY Index Options'!$M:$M,'NSE - NIFTY Index Options'!$D:$D,$A92,'NSE - NIFTY Index Options'!$I:$I,"Monthly*")+SUMIFS('NSE - Other Index Options'!$M:$M,'NSE - Other Index Options'!$D:$D,$A92,'NSE - Other Index Options'!$I:$I,"Monthly*")=0,"",SUMIFS('NSE - NIFTY Index Options'!$M:$M,'NSE - NIFTY Index Options'!$D:$D,$A92,'NSE - NIFTY Index Options'!$I:$I,"Monthly*")+SUMIFS('NSE - Other Index Options'!$M:$M,'NSE - Other Index Options'!$D:$D,$A92,'NSE - Other Index Options'!$I:$I,"Monthly*"))</f>
        <v/>
      </c>
      <c r="C92" s="26">
        <f>IF(SUMIFS('BSE - SENSEX Index Options'!$M:$M,'BSE - SENSEX Index Options'!$D:$D,$A92,'BSE - SENSEX Index Options'!$I:$I,"Monthly*")+SUMIFS('BSE - Other Index Options'!$M:$M,'BSE - Other Index Options'!$D:$D,$A92,'BSE - Other Index Options'!$I:$I,"Monthly*")=0,"",SUMIFS('BSE - SENSEX Index Options'!$M:$M,'BSE - SENSEX Index Options'!$D:$D,$A92,'BSE - SENSEX Index Options'!$I:$I,"Monthly*")+SUMIFS('BSE - Other Index Options'!$M:$M,'BSE - Other Index Options'!$D:$D,$A92,'BSE - Other Index Options'!$I:$I,"Monthly*"))</f>
        <v/>
      </c>
      <c r="D92" s="27">
        <f>IF(SUM(B92:C92)=0,"",SUM(B92)/SUM(B92:C92))</f>
        <v/>
      </c>
      <c r="E92" s="27">
        <f>IF(SUM(B92:C92)=0,"",SUM(C92)/SUM(B92:C92))</f>
        <v/>
      </c>
    </row>
    <row r="93" hidden="1" outlineLevel="1">
      <c r="A93" s="24" t="n">
        <v>46569</v>
      </c>
      <c r="B93" s="26">
        <f>IF(SUMIFS('NSE - NIFTY Index Options'!$M:$M,'NSE - NIFTY Index Options'!$D:$D,$A93,'NSE - NIFTY Index Options'!$I:$I,"Monthly*")+SUMIFS('NSE - Other Index Options'!$M:$M,'NSE - Other Index Options'!$D:$D,$A93,'NSE - Other Index Options'!$I:$I,"Monthly*")=0,"",SUMIFS('NSE - NIFTY Index Options'!$M:$M,'NSE - NIFTY Index Options'!$D:$D,$A93,'NSE - NIFTY Index Options'!$I:$I,"Monthly*")+SUMIFS('NSE - Other Index Options'!$M:$M,'NSE - Other Index Options'!$D:$D,$A93,'NSE - Other Index Options'!$I:$I,"Monthly*"))</f>
        <v/>
      </c>
      <c r="C93" s="26">
        <f>IF(SUMIFS('BSE - SENSEX Index Options'!$M:$M,'BSE - SENSEX Index Options'!$D:$D,$A93,'BSE - SENSEX Index Options'!$I:$I,"Monthly*")+SUMIFS('BSE - Other Index Options'!$M:$M,'BSE - Other Index Options'!$D:$D,$A93,'BSE - Other Index Options'!$I:$I,"Monthly*")=0,"",SUMIFS('BSE - SENSEX Index Options'!$M:$M,'BSE - SENSEX Index Options'!$D:$D,$A93,'BSE - SENSEX Index Options'!$I:$I,"Monthly*")+SUMIFS('BSE - Other Index Options'!$M:$M,'BSE - Other Index Options'!$D:$D,$A93,'BSE - Other Index Options'!$I:$I,"Monthly*"))</f>
        <v/>
      </c>
      <c r="D93" s="27">
        <f>IF(SUM(B93:C93)=0,"",SUM(B93)/SUM(B93:C93))</f>
        <v/>
      </c>
      <c r="E93" s="27">
        <f>IF(SUM(B93:C93)=0,"",SUM(C93)/SUM(B93:C93))</f>
        <v/>
      </c>
    </row>
    <row r="94" hidden="1" outlineLevel="1">
      <c r="A94" s="24" t="n">
        <v>46600</v>
      </c>
      <c r="B94" s="26">
        <f>IF(SUMIFS('NSE - NIFTY Index Options'!$M:$M,'NSE - NIFTY Index Options'!$D:$D,$A94,'NSE - NIFTY Index Options'!$I:$I,"Monthly*")+SUMIFS('NSE - Other Index Options'!$M:$M,'NSE - Other Index Options'!$D:$D,$A94,'NSE - Other Index Options'!$I:$I,"Monthly*")=0,"",SUMIFS('NSE - NIFTY Index Options'!$M:$M,'NSE - NIFTY Index Options'!$D:$D,$A94,'NSE - NIFTY Index Options'!$I:$I,"Monthly*")+SUMIFS('NSE - Other Index Options'!$M:$M,'NSE - Other Index Options'!$D:$D,$A94,'NSE - Other Index Options'!$I:$I,"Monthly*"))</f>
        <v/>
      </c>
      <c r="C94" s="26">
        <f>IF(SUMIFS('BSE - SENSEX Index Options'!$M:$M,'BSE - SENSEX Index Options'!$D:$D,$A94,'BSE - SENSEX Index Options'!$I:$I,"Monthly*")+SUMIFS('BSE - Other Index Options'!$M:$M,'BSE - Other Index Options'!$D:$D,$A94,'BSE - Other Index Options'!$I:$I,"Monthly*")=0,"",SUMIFS('BSE - SENSEX Index Options'!$M:$M,'BSE - SENSEX Index Options'!$D:$D,$A94,'BSE - SENSEX Index Options'!$I:$I,"Monthly*")+SUMIFS('BSE - Other Index Options'!$M:$M,'BSE - Other Index Options'!$D:$D,$A94,'BSE - Other Index Options'!$I:$I,"Monthly*"))</f>
        <v/>
      </c>
      <c r="D94" s="27">
        <f>IF(SUM(B94:C94)=0,"",SUM(B94)/SUM(B94:C94))</f>
        <v/>
      </c>
      <c r="E94" s="27">
        <f>IF(SUM(B94:C94)=0,"",SUM(C94)/SUM(B94:C94))</f>
        <v/>
      </c>
    </row>
    <row r="95" hidden="1" outlineLevel="1">
      <c r="A95" s="24" t="n">
        <v>46631</v>
      </c>
      <c r="B95" s="26">
        <f>IF(SUMIFS('NSE - NIFTY Index Options'!$M:$M,'NSE - NIFTY Index Options'!$D:$D,$A95,'NSE - NIFTY Index Options'!$I:$I,"Monthly*")+SUMIFS('NSE - Other Index Options'!$M:$M,'NSE - Other Index Options'!$D:$D,$A95,'NSE - Other Index Options'!$I:$I,"Monthly*")=0,"",SUMIFS('NSE - NIFTY Index Options'!$M:$M,'NSE - NIFTY Index Options'!$D:$D,$A95,'NSE - NIFTY Index Options'!$I:$I,"Monthly*")+SUMIFS('NSE - Other Index Options'!$M:$M,'NSE - Other Index Options'!$D:$D,$A95,'NSE - Other Index Options'!$I:$I,"Monthly*"))</f>
        <v/>
      </c>
      <c r="C95" s="26">
        <f>IF(SUMIFS('BSE - SENSEX Index Options'!$M:$M,'BSE - SENSEX Index Options'!$D:$D,$A95,'BSE - SENSEX Index Options'!$I:$I,"Monthly*")+SUMIFS('BSE - Other Index Options'!$M:$M,'BSE - Other Index Options'!$D:$D,$A95,'BSE - Other Index Options'!$I:$I,"Monthly*")=0,"",SUMIFS('BSE - SENSEX Index Options'!$M:$M,'BSE - SENSEX Index Options'!$D:$D,$A95,'BSE - SENSEX Index Options'!$I:$I,"Monthly*")+SUMIFS('BSE - Other Index Options'!$M:$M,'BSE - Other Index Options'!$D:$D,$A95,'BSE - Other Index Options'!$I:$I,"Monthly*"))</f>
        <v/>
      </c>
      <c r="D95" s="27">
        <f>IF(SUM(B95:C95)=0,"",SUM(B95)/SUM(B95:C95))</f>
        <v/>
      </c>
      <c r="E95" s="27">
        <f>IF(SUM(B95:C95)=0,"",SUM(C95)/SUM(B95:C95))</f>
        <v/>
      </c>
    </row>
    <row r="96" hidden="1" outlineLevel="1">
      <c r="A96" s="24" t="n">
        <v>46661</v>
      </c>
      <c r="B96" s="26">
        <f>IF(SUMIFS('NSE - NIFTY Index Options'!$M:$M,'NSE - NIFTY Index Options'!$D:$D,$A96,'NSE - NIFTY Index Options'!$I:$I,"Monthly*")+SUMIFS('NSE - Other Index Options'!$M:$M,'NSE - Other Index Options'!$D:$D,$A96,'NSE - Other Index Options'!$I:$I,"Monthly*")=0,"",SUMIFS('NSE - NIFTY Index Options'!$M:$M,'NSE - NIFTY Index Options'!$D:$D,$A96,'NSE - NIFTY Index Options'!$I:$I,"Monthly*")+SUMIFS('NSE - Other Index Options'!$M:$M,'NSE - Other Index Options'!$D:$D,$A96,'NSE - Other Index Options'!$I:$I,"Monthly*"))</f>
        <v/>
      </c>
      <c r="C96" s="26">
        <f>IF(SUMIFS('BSE - SENSEX Index Options'!$M:$M,'BSE - SENSEX Index Options'!$D:$D,$A96,'BSE - SENSEX Index Options'!$I:$I,"Monthly*")+SUMIFS('BSE - Other Index Options'!$M:$M,'BSE - Other Index Options'!$D:$D,$A96,'BSE - Other Index Options'!$I:$I,"Monthly*")=0,"",SUMIFS('BSE - SENSEX Index Options'!$M:$M,'BSE - SENSEX Index Options'!$D:$D,$A96,'BSE - SENSEX Index Options'!$I:$I,"Monthly*")+SUMIFS('BSE - Other Index Options'!$M:$M,'BSE - Other Index Options'!$D:$D,$A96,'BSE - Other Index Options'!$I:$I,"Monthly*"))</f>
        <v/>
      </c>
      <c r="D96" s="27">
        <f>IF(SUM(B96:C96)=0,"",SUM(B96)/SUM(B96:C96))</f>
        <v/>
      </c>
      <c r="E96" s="27">
        <f>IF(SUM(B96:C96)=0,"",SUM(C96)/SUM(B96:C96))</f>
        <v/>
      </c>
    </row>
    <row r="97" hidden="1" outlineLevel="1">
      <c r="A97" s="24" t="n">
        <v>46692</v>
      </c>
      <c r="B97" s="26">
        <f>IF(SUMIFS('NSE - NIFTY Index Options'!$M:$M,'NSE - NIFTY Index Options'!$D:$D,$A97,'NSE - NIFTY Index Options'!$I:$I,"Monthly*")+SUMIFS('NSE - Other Index Options'!$M:$M,'NSE - Other Index Options'!$D:$D,$A97,'NSE - Other Index Options'!$I:$I,"Monthly*")=0,"",SUMIFS('NSE - NIFTY Index Options'!$M:$M,'NSE - NIFTY Index Options'!$D:$D,$A97,'NSE - NIFTY Index Options'!$I:$I,"Monthly*")+SUMIFS('NSE - Other Index Options'!$M:$M,'NSE - Other Index Options'!$D:$D,$A97,'NSE - Other Index Options'!$I:$I,"Monthly*"))</f>
        <v/>
      </c>
      <c r="C97" s="26">
        <f>IF(SUMIFS('BSE - SENSEX Index Options'!$M:$M,'BSE - SENSEX Index Options'!$D:$D,$A97,'BSE - SENSEX Index Options'!$I:$I,"Monthly*")+SUMIFS('BSE - Other Index Options'!$M:$M,'BSE - Other Index Options'!$D:$D,$A97,'BSE - Other Index Options'!$I:$I,"Monthly*")=0,"",SUMIFS('BSE - SENSEX Index Options'!$M:$M,'BSE - SENSEX Index Options'!$D:$D,$A97,'BSE - SENSEX Index Options'!$I:$I,"Monthly*")+SUMIFS('BSE - Other Index Options'!$M:$M,'BSE - Other Index Options'!$D:$D,$A97,'BSE - Other Index Options'!$I:$I,"Monthly*"))</f>
        <v/>
      </c>
      <c r="D97" s="27">
        <f>IF(SUM(B97:C97)=0,"",SUM(B97)/SUM(B97:C97))</f>
        <v/>
      </c>
      <c r="E97" s="27">
        <f>IF(SUM(B97:C97)=0,"",SUM(C97)/SUM(B97:C97))</f>
        <v/>
      </c>
    </row>
    <row r="98" hidden="1" outlineLevel="1">
      <c r="A98" s="24" t="n">
        <v>46722</v>
      </c>
      <c r="B98" s="26">
        <f>IF(SUMIFS('NSE - NIFTY Index Options'!$M:$M,'NSE - NIFTY Index Options'!$D:$D,$A98,'NSE - NIFTY Index Options'!$I:$I,"Monthly*")+SUMIFS('NSE - Other Index Options'!$M:$M,'NSE - Other Index Options'!$D:$D,$A98,'NSE - Other Index Options'!$I:$I,"Monthly*")=0,"",SUMIFS('NSE - NIFTY Index Options'!$M:$M,'NSE - NIFTY Index Options'!$D:$D,$A98,'NSE - NIFTY Index Options'!$I:$I,"Monthly*")+SUMIFS('NSE - Other Index Options'!$M:$M,'NSE - Other Index Options'!$D:$D,$A98,'NSE - Other Index Options'!$I:$I,"Monthly*"))</f>
        <v/>
      </c>
      <c r="C98" s="26">
        <f>IF(SUMIFS('BSE - SENSEX Index Options'!$M:$M,'BSE - SENSEX Index Options'!$D:$D,$A98,'BSE - SENSEX Index Options'!$I:$I,"Monthly*")+SUMIFS('BSE - Other Index Options'!$M:$M,'BSE - Other Index Options'!$D:$D,$A98,'BSE - Other Index Options'!$I:$I,"Monthly*")=0,"",SUMIFS('BSE - SENSEX Index Options'!$M:$M,'BSE - SENSEX Index Options'!$D:$D,$A98,'BSE - SENSEX Index Options'!$I:$I,"Monthly*")+SUMIFS('BSE - Other Index Options'!$M:$M,'BSE - Other Index Options'!$D:$D,$A98,'BSE - Other Index Options'!$I:$I,"Monthly*"))</f>
        <v/>
      </c>
      <c r="D98" s="27">
        <f>IF(SUM(B98:C98)=0,"",SUM(B98)/SUM(B98:C98))</f>
        <v/>
      </c>
      <c r="E98" s="27">
        <f>IF(SUM(B98:C98)=0,"",SUM(C98)/SUM(B98:C98))</f>
        <v/>
      </c>
    </row>
    <row r="99" collapsed="1">
      <c r="A99" s="32" t="inlineStr">
        <is>
          <t>Total</t>
        </is>
      </c>
      <c r="B99" s="33">
        <f>IF(SUM(B71:B98)=0,"",SUM(B71:B98))</f>
        <v/>
      </c>
      <c r="C99" s="33">
        <f>IF(SUM(C71:C98)=0,"",SUM(C71:C98))</f>
        <v/>
      </c>
      <c r="D99" s="34">
        <f>IF(SUM(B99:C99)=0,"",SUM(B99)/SUM(B99:C99))</f>
        <v/>
      </c>
      <c r="E99" s="34">
        <f>IF(SUM(B99:C99)=0,"",SUM(C99)/SUM(B99:C99))</f>
        <v/>
      </c>
    </row>
  </sheetData>
  <conditionalFormatting sqref="D5:D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3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D4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D6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D8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D9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E4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E6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:E8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:E9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0070C0"/>
    <outlinePr summaryBelow="1" summaryRight="1"/>
    <pageSetUpPr/>
  </sheetPr>
  <dimension ref="A1:L132"/>
  <sheetViews>
    <sheetView showGridLines="0" workbookViewId="0">
      <selection activeCell="O27" sqref="O27"/>
    </sheetView>
  </sheetViews>
  <sheetFormatPr baseColWidth="10" defaultColWidth="8.83203125" defaultRowHeight="16" outlineLevelRow="1"/>
  <cols>
    <col width="12" customWidth="1" min="1" max="1"/>
    <col width="30" customWidth="1" min="2" max="3"/>
    <col width="16" customWidth="1" min="4" max="5"/>
    <col width="20" customWidth="1" min="7" max="8"/>
    <col width="24" customWidth="1" min="9" max="9"/>
    <col width="22" customWidth="1" min="11" max="11"/>
    <col width="8" customWidth="1" min="12" max="12"/>
  </cols>
  <sheetData>
    <row r="1">
      <c r="A1" s="36" t="inlineStr">
        <is>
          <t>Overall Monthly — NSE vs BSE Premium Turnover &amp; Market Share: All / Weekly / MDAW / Monthly (Sep-2025 onwards, live)</t>
        </is>
      </c>
      <c r="K1" s="28" t="inlineStr">
        <is>
          <t>Cuts / Scope</t>
        </is>
      </c>
    </row>
    <row r="2">
      <c r="A2" s="48" t="inlineStr">
        <is>
          <t>Overall level: monthly NSE vs BSE premium (INR Bn) &amp; market share in four tables — All / Weekly / MDAW / Monthly (Expiry Type 2 cuts). Right side: each cut as % of the same month's All-expiry premium — for NSE, BSE, and combined (NSE+BSE). MDAW = a monthly contract trading within 6 days of its expiry, i.e. acting as the front weekly (tagged on NIFTY &amp; SENSEX only).</t>
        </is>
      </c>
      <c r="K2" t="inlineStr">
        <is>
          <t>Index Options</t>
        </is>
      </c>
      <c r="L2" s="56" t="inlineStr">
        <is>
          <t>Yes</t>
        </is>
      </c>
    </row>
    <row r="3">
      <c r="A3" s="36" t="inlineStr">
        <is>
          <t>All Expiry Types</t>
        </is>
      </c>
      <c r="K3" t="inlineStr">
        <is>
          <t>Stock Options</t>
        </is>
      </c>
      <c r="L3" s="49" t="inlineStr">
        <is>
          <t>No</t>
        </is>
      </c>
    </row>
    <row r="4">
      <c r="A4" s="36" t="inlineStr">
        <is>
          <t>Month</t>
        </is>
      </c>
      <c r="B4" s="36" t="inlineStr">
        <is>
          <t>NSE Premium Turnover (INR Bn)</t>
        </is>
      </c>
      <c r="C4" s="36" t="inlineStr">
        <is>
          <t>BSE Premium Turnover (INR Bn)</t>
        </is>
      </c>
      <c r="D4" s="36" t="inlineStr">
        <is>
          <t>NSE Market Share</t>
        </is>
      </c>
      <c r="E4" s="36" t="inlineStr">
        <is>
          <t>BSE Market Share</t>
        </is>
      </c>
      <c r="K4" t="inlineStr">
        <is>
          <t>Index Futures</t>
        </is>
      </c>
      <c r="L4" s="49" t="inlineStr">
        <is>
          <t>No</t>
        </is>
      </c>
    </row>
    <row r="5">
      <c r="A5" s="24" t="n">
        <v>45901</v>
      </c>
      <c r="B5" s="26">
        <f>IF(SUMIFS('NSE - NIFTY Index Options'!$M:$M,'NSE - NIFTY Index Options'!$D:$D,$A5)+SUMIFS('NSE - Other Index Options'!$M:$M,'NSE - Other Index Options'!$D:$D,$A5)=0,"",SUMIFS('NSE - NIFTY Index Options'!$M:$M,'NSE - NIFTY Index Options'!$D:$D,$A5)+SUMIFS('NSE - Other Index Options'!$M:$M,'NSE - Other Index Options'!$D:$D,$A5))</f>
        <v/>
      </c>
      <c r="C5" s="26">
        <f>IF(SUMIFS('BSE - SENSEX Index Options'!$M:$M,'BSE - SENSEX Index Options'!$D:$D,$A5)+SUMIFS('BSE - Other Index Options'!$M:$M,'BSE - Other Index Options'!$D:$D,$A5)=0,"",SUMIFS('BSE - SENSEX Index Options'!$M:$M,'BSE - SENSEX Index Options'!$D:$D,$A5)+SUMIFS('BSE - Other Index Options'!$M:$M,'BSE - Other Index Options'!$D:$D,$A5))</f>
        <v/>
      </c>
      <c r="D5" s="27">
        <f>IF(SUM(B5:C5)=0,"",SUM(B5)/SUM(B5:C5))</f>
        <v/>
      </c>
      <c r="E5" s="27">
        <f>IF(SUM(B5:C5)=0,"",SUM(C5)/SUM(B5:C5))</f>
        <v/>
      </c>
      <c r="K5" t="inlineStr">
        <is>
          <t>NSE</t>
        </is>
      </c>
      <c r="L5" s="56" t="inlineStr">
        <is>
          <t>Yes</t>
        </is>
      </c>
    </row>
    <row r="6">
      <c r="A6" s="24" t="n">
        <v>45931</v>
      </c>
      <c r="B6" s="26">
        <f>IF(SUMIFS('NSE - NIFTY Index Options'!$M:$M,'NSE - NIFTY Index Options'!$D:$D,$A6)+SUMIFS('NSE - Other Index Options'!$M:$M,'NSE - Other Index Options'!$D:$D,$A6)=0,"",SUMIFS('NSE - NIFTY Index Options'!$M:$M,'NSE - NIFTY Index Options'!$D:$D,$A6)+SUMIFS('NSE - Other Index Options'!$M:$M,'NSE - Other Index Options'!$D:$D,$A6))</f>
        <v/>
      </c>
      <c r="C6" s="26">
        <f>IF(SUMIFS('BSE - SENSEX Index Options'!$M:$M,'BSE - SENSEX Index Options'!$D:$D,$A6)+SUMIFS('BSE - Other Index Options'!$M:$M,'BSE - Other Index Options'!$D:$D,$A6)=0,"",SUMIFS('BSE - SENSEX Index Options'!$M:$M,'BSE - SENSEX Index Options'!$D:$D,$A6)+SUMIFS('BSE - Other Index Options'!$M:$M,'BSE - Other Index Options'!$D:$D,$A6))</f>
        <v/>
      </c>
      <c r="D6" s="27">
        <f>IF(SUM(B6:C6)=0,"",SUM(B6)/SUM(B6:C6))</f>
        <v/>
      </c>
      <c r="E6" s="27">
        <f>IF(SUM(B6:C6)=0,"",SUM(C6)/SUM(B6:C6))</f>
        <v/>
      </c>
      <c r="K6" t="inlineStr">
        <is>
          <t>BSE</t>
        </is>
      </c>
      <c r="L6" s="56" t="inlineStr">
        <is>
          <t>Yes</t>
        </is>
      </c>
    </row>
    <row r="7">
      <c r="A7" s="24" t="n">
        <v>45962</v>
      </c>
      <c r="B7" s="26">
        <f>IF(SUMIFS('NSE - NIFTY Index Options'!$M:$M,'NSE - NIFTY Index Options'!$D:$D,$A7)+SUMIFS('NSE - Other Index Options'!$M:$M,'NSE - Other Index Options'!$D:$D,$A7)=0,"",SUMIFS('NSE - NIFTY Index Options'!$M:$M,'NSE - NIFTY Index Options'!$D:$D,$A7)+SUMIFS('NSE - Other Index Options'!$M:$M,'NSE - Other Index Options'!$D:$D,$A7))</f>
        <v/>
      </c>
      <c r="C7" s="26">
        <f>IF(SUMIFS('BSE - SENSEX Index Options'!$M:$M,'BSE - SENSEX Index Options'!$D:$D,$A7)+SUMIFS('BSE - Other Index Options'!$M:$M,'BSE - Other Index Options'!$D:$D,$A7)=0,"",SUMIFS('BSE - SENSEX Index Options'!$M:$M,'BSE - SENSEX Index Options'!$D:$D,$A7)+SUMIFS('BSE - Other Index Options'!$M:$M,'BSE - Other Index Options'!$D:$D,$A7))</f>
        <v/>
      </c>
      <c r="D7" s="27">
        <f>IF(SUM(B7:C7)=0,"",SUM(B7)/SUM(B7:C7))</f>
        <v/>
      </c>
      <c r="E7" s="27">
        <f>IF(SUM(B7:C7)=0,"",SUM(C7)/SUM(B7:C7))</f>
        <v/>
      </c>
      <c r="K7" t="inlineStr">
        <is>
          <t>NIFTY Index</t>
        </is>
      </c>
      <c r="L7" s="56" t="inlineStr">
        <is>
          <t>Yes</t>
        </is>
      </c>
    </row>
    <row r="8">
      <c r="A8" s="24" t="n">
        <v>45992</v>
      </c>
      <c r="B8" s="26">
        <f>IF(SUMIFS('NSE - NIFTY Index Options'!$M:$M,'NSE - NIFTY Index Options'!$D:$D,$A8)+SUMIFS('NSE - Other Index Options'!$M:$M,'NSE - Other Index Options'!$D:$D,$A8)=0,"",SUMIFS('NSE - NIFTY Index Options'!$M:$M,'NSE - NIFTY Index Options'!$D:$D,$A8)+SUMIFS('NSE - Other Index Options'!$M:$M,'NSE - Other Index Options'!$D:$D,$A8))</f>
        <v/>
      </c>
      <c r="C8" s="26">
        <f>IF(SUMIFS('BSE - SENSEX Index Options'!$M:$M,'BSE - SENSEX Index Options'!$D:$D,$A8)+SUMIFS('BSE - Other Index Options'!$M:$M,'BSE - Other Index Options'!$D:$D,$A8)=0,"",SUMIFS('BSE - SENSEX Index Options'!$M:$M,'BSE - SENSEX Index Options'!$D:$D,$A8)+SUMIFS('BSE - Other Index Options'!$M:$M,'BSE - Other Index Options'!$D:$D,$A8))</f>
        <v/>
      </c>
      <c r="D8" s="27">
        <f>IF(SUM(B8:C8)=0,"",SUM(B8)/SUM(B8:C8))</f>
        <v/>
      </c>
      <c r="E8" s="27">
        <f>IF(SUM(B8:C8)=0,"",SUM(C8)/SUM(B8:C8))</f>
        <v/>
      </c>
      <c r="K8" t="inlineStr">
        <is>
          <t>Other NSE Indices</t>
        </is>
      </c>
      <c r="L8" s="56" t="inlineStr">
        <is>
          <t>Yes</t>
        </is>
      </c>
    </row>
    <row r="9">
      <c r="A9" s="24" t="n">
        <v>46023</v>
      </c>
      <c r="B9" s="26">
        <f>IF(SUMIFS('NSE - NIFTY Index Options'!$M:$M,'NSE - NIFTY Index Options'!$D:$D,$A9)+SUMIFS('NSE - Other Index Options'!$M:$M,'NSE - Other Index Options'!$D:$D,$A9)=0,"",SUMIFS('NSE - NIFTY Index Options'!$M:$M,'NSE - NIFTY Index Options'!$D:$D,$A9)+SUMIFS('NSE - Other Index Options'!$M:$M,'NSE - Other Index Options'!$D:$D,$A9))</f>
        <v/>
      </c>
      <c r="C9" s="26">
        <f>IF(SUMIFS('BSE - SENSEX Index Options'!$M:$M,'BSE - SENSEX Index Options'!$D:$D,$A9)+SUMIFS('BSE - Other Index Options'!$M:$M,'BSE - Other Index Options'!$D:$D,$A9)=0,"",SUMIFS('BSE - SENSEX Index Options'!$M:$M,'BSE - SENSEX Index Options'!$D:$D,$A9)+SUMIFS('BSE - Other Index Options'!$M:$M,'BSE - Other Index Options'!$D:$D,$A9))</f>
        <v/>
      </c>
      <c r="D9" s="27">
        <f>IF(SUM(B9:C9)=0,"",SUM(B9)/SUM(B9:C9))</f>
        <v/>
      </c>
      <c r="E9" s="27">
        <f>IF(SUM(B9:C9)=0,"",SUM(C9)/SUM(B9:C9))</f>
        <v/>
      </c>
      <c r="K9" t="inlineStr">
        <is>
          <t>SENSEX Index</t>
        </is>
      </c>
      <c r="L9" s="56" t="inlineStr">
        <is>
          <t>Yes</t>
        </is>
      </c>
    </row>
    <row r="10">
      <c r="A10" s="24" t="n">
        <v>46054</v>
      </c>
      <c r="B10" s="26">
        <f>IF(SUMIFS('NSE - NIFTY Index Options'!$M:$M,'NSE - NIFTY Index Options'!$D:$D,$A10)+SUMIFS('NSE - Other Index Options'!$M:$M,'NSE - Other Index Options'!$D:$D,$A10)=0,"",SUMIFS('NSE - NIFTY Index Options'!$M:$M,'NSE - NIFTY Index Options'!$D:$D,$A10)+SUMIFS('NSE - Other Index Options'!$M:$M,'NSE - Other Index Options'!$D:$D,$A10))</f>
        <v/>
      </c>
      <c r="C10" s="26">
        <f>IF(SUMIFS('BSE - SENSEX Index Options'!$M:$M,'BSE - SENSEX Index Options'!$D:$D,$A10)+SUMIFS('BSE - Other Index Options'!$M:$M,'BSE - Other Index Options'!$D:$D,$A10)=0,"",SUMIFS('BSE - SENSEX Index Options'!$M:$M,'BSE - SENSEX Index Options'!$D:$D,$A10)+SUMIFS('BSE - Other Index Options'!$M:$M,'BSE - Other Index Options'!$D:$D,$A10))</f>
        <v/>
      </c>
      <c r="D10" s="27">
        <f>IF(SUM(B10:C10)=0,"",SUM(B10)/SUM(B10:C10))</f>
        <v/>
      </c>
      <c r="E10" s="27">
        <f>IF(SUM(B10:C10)=0,"",SUM(C10)/SUM(B10:C10))</f>
        <v/>
      </c>
      <c r="K10" t="inlineStr">
        <is>
          <t>Other BSE Indices</t>
        </is>
      </c>
      <c r="L10" s="57" t="inlineStr">
        <is>
          <t>Yes</t>
        </is>
      </c>
    </row>
    <row r="11">
      <c r="A11" s="24" t="n">
        <v>46082</v>
      </c>
      <c r="B11" s="26">
        <f>IF(SUMIFS('NSE - NIFTY Index Options'!$M:$M,'NSE - NIFTY Index Options'!$D:$D,$A11)+SUMIFS('NSE - Other Index Options'!$M:$M,'NSE - Other Index Options'!$D:$D,$A11)=0,"",SUMIFS('NSE - NIFTY Index Options'!$M:$M,'NSE - NIFTY Index Options'!$D:$D,$A11)+SUMIFS('NSE - Other Index Options'!$M:$M,'NSE - Other Index Options'!$D:$D,$A11))</f>
        <v/>
      </c>
      <c r="C11" s="26">
        <f>IF(SUMIFS('BSE - SENSEX Index Options'!$M:$M,'BSE - SENSEX Index Options'!$D:$D,$A11)+SUMIFS('BSE - Other Index Options'!$M:$M,'BSE - Other Index Options'!$D:$D,$A11)=0,"",SUMIFS('BSE - SENSEX Index Options'!$M:$M,'BSE - SENSEX Index Options'!$D:$D,$A11)+SUMIFS('BSE - Other Index Options'!$M:$M,'BSE - Other Index Options'!$D:$D,$A11))</f>
        <v/>
      </c>
      <c r="D11" s="27">
        <f>IF(SUM(B11:C11)=0,"",SUM(B11)/SUM(B11:C11))</f>
        <v/>
      </c>
      <c r="E11" s="27">
        <f>IF(SUM(B11:C11)=0,"",SUM(C11)/SUM(B11:C11))</f>
        <v/>
      </c>
      <c r="K11" t="inlineStr">
        <is>
          <t>Expiry Type 2 - Weekly</t>
        </is>
      </c>
      <c r="L11" s="57" t="inlineStr">
        <is>
          <t>Yes</t>
        </is>
      </c>
    </row>
    <row r="12">
      <c r="A12" s="24" t="n">
        <v>46113</v>
      </c>
      <c r="B12" s="26">
        <f>IF(SUMIFS('NSE - NIFTY Index Options'!$M:$M,'NSE - NIFTY Index Options'!$D:$D,$A12)+SUMIFS('NSE - Other Index Options'!$M:$M,'NSE - Other Index Options'!$D:$D,$A12)=0,"",SUMIFS('NSE - NIFTY Index Options'!$M:$M,'NSE - NIFTY Index Options'!$D:$D,$A12)+SUMIFS('NSE - Other Index Options'!$M:$M,'NSE - Other Index Options'!$D:$D,$A12))</f>
        <v/>
      </c>
      <c r="C12" s="26">
        <f>IF(SUMIFS('BSE - SENSEX Index Options'!$M:$M,'BSE - SENSEX Index Options'!$D:$D,$A12)+SUMIFS('BSE - Other Index Options'!$M:$M,'BSE - Other Index Options'!$D:$D,$A12)=0,"",SUMIFS('BSE - SENSEX Index Options'!$M:$M,'BSE - SENSEX Index Options'!$D:$D,$A12)+SUMIFS('BSE - Other Index Options'!$M:$M,'BSE - Other Index Options'!$D:$D,$A12))</f>
        <v/>
      </c>
      <c r="D12" s="27">
        <f>IF(SUM(B12:C12)=0,"",SUM(B12)/SUM(B12:C12))</f>
        <v/>
      </c>
      <c r="E12" s="27">
        <f>IF(SUM(B12:C12)=0,"",SUM(C12)/SUM(B12:C12))</f>
        <v/>
      </c>
      <c r="K12" t="inlineStr">
        <is>
          <t>Expiry Type 2 - MDAW</t>
        </is>
      </c>
      <c r="L12" s="57" t="inlineStr">
        <is>
          <t>Yes</t>
        </is>
      </c>
    </row>
    <row r="13">
      <c r="A13" s="24" t="n">
        <v>46143</v>
      </c>
      <c r="B13" s="26">
        <f>IF(SUMIFS('NSE - NIFTY Index Options'!$M:$M,'NSE - NIFTY Index Options'!$D:$D,$A13)+SUMIFS('NSE - Other Index Options'!$M:$M,'NSE - Other Index Options'!$D:$D,$A13)=0,"",SUMIFS('NSE - NIFTY Index Options'!$M:$M,'NSE - NIFTY Index Options'!$D:$D,$A13)+SUMIFS('NSE - Other Index Options'!$M:$M,'NSE - Other Index Options'!$D:$D,$A13))</f>
        <v/>
      </c>
      <c r="C13" s="26">
        <f>IF(SUMIFS('BSE - SENSEX Index Options'!$M:$M,'BSE - SENSEX Index Options'!$D:$D,$A13)+SUMIFS('BSE - Other Index Options'!$M:$M,'BSE - Other Index Options'!$D:$D,$A13)=0,"",SUMIFS('BSE - SENSEX Index Options'!$M:$M,'BSE - SENSEX Index Options'!$D:$D,$A13)+SUMIFS('BSE - Other Index Options'!$M:$M,'BSE - Other Index Options'!$D:$D,$A13))</f>
        <v/>
      </c>
      <c r="D13" s="27">
        <f>IF(SUM(B13:C13)=0,"",SUM(B13)/SUM(B13:C13))</f>
        <v/>
      </c>
      <c r="E13" s="27">
        <f>IF(SUM(B13:C13)=0,"",SUM(C13)/SUM(B13:C13))</f>
        <v/>
      </c>
      <c r="K13" t="inlineStr">
        <is>
          <t>Expiry Type 2 - Monthly</t>
        </is>
      </c>
      <c r="L13" s="57" t="inlineStr">
        <is>
          <t>Yes</t>
        </is>
      </c>
    </row>
    <row r="14">
      <c r="A14" s="24" t="n">
        <v>46174</v>
      </c>
      <c r="B14" s="26">
        <f>IF(SUMIFS('NSE - NIFTY Index Options'!$M:$M,'NSE - NIFTY Index Options'!$D:$D,$A14)+SUMIFS('NSE - Other Index Options'!$M:$M,'NSE - Other Index Options'!$D:$D,$A14)=0,"",SUMIFS('NSE - NIFTY Index Options'!$M:$M,'NSE - NIFTY Index Options'!$D:$D,$A14)+SUMIFS('NSE - Other Index Options'!$M:$M,'NSE - Other Index Options'!$D:$D,$A14))</f>
        <v/>
      </c>
      <c r="C14" s="26">
        <f>IF(SUMIFS('BSE - SENSEX Index Options'!$M:$M,'BSE - SENSEX Index Options'!$D:$D,$A14)+SUMIFS('BSE - Other Index Options'!$M:$M,'BSE - Other Index Options'!$D:$D,$A14)=0,"",SUMIFS('BSE - SENSEX Index Options'!$M:$M,'BSE - SENSEX Index Options'!$D:$D,$A14)+SUMIFS('BSE - Other Index Options'!$M:$M,'BSE - Other Index Options'!$D:$D,$A14))</f>
        <v/>
      </c>
      <c r="D14" s="27">
        <f>IF(SUM(B14:C14)=0,"",SUM(B14)/SUM(B14:C14))</f>
        <v/>
      </c>
      <c r="E14" s="27">
        <f>IF(SUM(B14:C14)=0,"",SUM(C14)/SUM(B14:C14))</f>
        <v/>
      </c>
    </row>
    <row r="15">
      <c r="A15" s="24" t="n">
        <v>46204</v>
      </c>
      <c r="B15" s="26">
        <f>IF(SUMIFS('NSE - NIFTY Index Options'!$M:$M,'NSE - NIFTY Index Options'!$D:$D,$A15)+SUMIFS('NSE - Other Index Options'!$M:$M,'NSE - Other Index Options'!$D:$D,$A15)=0,"",SUMIFS('NSE - NIFTY Index Options'!$M:$M,'NSE - NIFTY Index Options'!$D:$D,$A15)+SUMIFS('NSE - Other Index Options'!$M:$M,'NSE - Other Index Options'!$D:$D,$A15))</f>
        <v/>
      </c>
      <c r="C15" s="26">
        <f>IF(SUMIFS('BSE - SENSEX Index Options'!$M:$M,'BSE - SENSEX Index Options'!$D:$D,$A15)+SUMIFS('BSE - Other Index Options'!$M:$M,'BSE - Other Index Options'!$D:$D,$A15)=0,"",SUMIFS('BSE - SENSEX Index Options'!$M:$M,'BSE - SENSEX Index Options'!$D:$D,$A15)+SUMIFS('BSE - Other Index Options'!$M:$M,'BSE - Other Index Options'!$D:$D,$A15))</f>
        <v/>
      </c>
      <c r="D15" s="27">
        <f>IF(SUM(B15:C15)=0,"",SUM(B15)/SUM(B15:C15))</f>
        <v/>
      </c>
      <c r="E15" s="27">
        <f>IF(SUM(B15:C15)=0,"",SUM(C15)/SUM(B15:C15))</f>
        <v/>
      </c>
    </row>
    <row r="16">
      <c r="A16" s="24" t="n">
        <v>46235</v>
      </c>
      <c r="B16" s="26">
        <f>IF(SUMIFS('NSE - NIFTY Index Options'!$M:$M,'NSE - NIFTY Index Options'!$D:$D,$A16)+SUMIFS('NSE - Other Index Options'!$M:$M,'NSE - Other Index Options'!$D:$D,$A16)=0,"",SUMIFS('NSE - NIFTY Index Options'!$M:$M,'NSE - NIFTY Index Options'!$D:$D,$A16)+SUMIFS('NSE - Other Index Options'!$M:$M,'NSE - Other Index Options'!$D:$D,$A16))</f>
        <v/>
      </c>
      <c r="C16" s="26">
        <f>IF(SUMIFS('BSE - SENSEX Index Options'!$M:$M,'BSE - SENSEX Index Options'!$D:$D,$A16)+SUMIFS('BSE - Other Index Options'!$M:$M,'BSE - Other Index Options'!$D:$D,$A16)=0,"",SUMIFS('BSE - SENSEX Index Options'!$M:$M,'BSE - SENSEX Index Options'!$D:$D,$A16)+SUMIFS('BSE - Other Index Options'!$M:$M,'BSE - Other Index Options'!$D:$D,$A16))</f>
        <v/>
      </c>
      <c r="D16" s="27">
        <f>IF(SUM(B16:C16)=0,"",SUM(B16)/SUM(B16:C16))</f>
        <v/>
      </c>
      <c r="E16" s="27">
        <f>IF(SUM(B16:C16)=0,"",SUM(C16)/SUM(B16:C16))</f>
        <v/>
      </c>
    </row>
    <row r="17" hidden="1" outlineLevel="1">
      <c r="A17" s="24" t="n">
        <v>46266</v>
      </c>
      <c r="B17" s="26">
        <f>IF(SUMIFS('NSE - NIFTY Index Options'!$M:$M,'NSE - NIFTY Index Options'!$D:$D,$A17)+SUMIFS('NSE - Other Index Options'!$M:$M,'NSE - Other Index Options'!$D:$D,$A17)=0,"",SUMIFS('NSE - NIFTY Index Options'!$M:$M,'NSE - NIFTY Index Options'!$D:$D,$A17)+SUMIFS('NSE - Other Index Options'!$M:$M,'NSE - Other Index Options'!$D:$D,$A17))</f>
        <v/>
      </c>
      <c r="C17" s="26">
        <f>IF(SUMIFS('BSE - SENSEX Index Options'!$M:$M,'BSE - SENSEX Index Options'!$D:$D,$A17)+SUMIFS('BSE - Other Index Options'!$M:$M,'BSE - Other Index Options'!$D:$D,$A17)=0,"",SUMIFS('BSE - SENSEX Index Options'!$M:$M,'BSE - SENSEX Index Options'!$D:$D,$A17)+SUMIFS('BSE - Other Index Options'!$M:$M,'BSE - Other Index Options'!$D:$D,$A17))</f>
        <v/>
      </c>
      <c r="D17" s="27">
        <f>IF(SUM(B17:C17)=0,"",SUM(B17)/SUM(B17:C17))</f>
        <v/>
      </c>
      <c r="E17" s="27">
        <f>IF(SUM(B17:C17)=0,"",SUM(C17)/SUM(B17:C17))</f>
        <v/>
      </c>
    </row>
    <row r="18" hidden="1" outlineLevel="1">
      <c r="A18" s="24" t="n">
        <v>46296</v>
      </c>
      <c r="B18" s="26">
        <f>IF(SUMIFS('NSE - NIFTY Index Options'!$M:$M,'NSE - NIFTY Index Options'!$D:$D,$A18)+SUMIFS('NSE - Other Index Options'!$M:$M,'NSE - Other Index Options'!$D:$D,$A18)=0,"",SUMIFS('NSE - NIFTY Index Options'!$M:$M,'NSE - NIFTY Index Options'!$D:$D,$A18)+SUMIFS('NSE - Other Index Options'!$M:$M,'NSE - Other Index Options'!$D:$D,$A18))</f>
        <v/>
      </c>
      <c r="C18" s="26">
        <f>IF(SUMIFS('BSE - SENSEX Index Options'!$M:$M,'BSE - SENSEX Index Options'!$D:$D,$A18)+SUMIFS('BSE - Other Index Options'!$M:$M,'BSE - Other Index Options'!$D:$D,$A18)=0,"",SUMIFS('BSE - SENSEX Index Options'!$M:$M,'BSE - SENSEX Index Options'!$D:$D,$A18)+SUMIFS('BSE - Other Index Options'!$M:$M,'BSE - Other Index Options'!$D:$D,$A18))</f>
        <v/>
      </c>
      <c r="D18" s="27">
        <f>IF(SUM(B18:C18)=0,"",SUM(B18)/SUM(B18:C18))</f>
        <v/>
      </c>
      <c r="E18" s="27">
        <f>IF(SUM(B18:C18)=0,"",SUM(C18)/SUM(B18:C18))</f>
        <v/>
      </c>
    </row>
    <row r="19" hidden="1" outlineLevel="1">
      <c r="A19" s="24" t="n">
        <v>46327</v>
      </c>
      <c r="B19" s="26">
        <f>IF(SUMIFS('NSE - NIFTY Index Options'!$M:$M,'NSE - NIFTY Index Options'!$D:$D,$A19)+SUMIFS('NSE - Other Index Options'!$M:$M,'NSE - Other Index Options'!$D:$D,$A19)=0,"",SUMIFS('NSE - NIFTY Index Options'!$M:$M,'NSE - NIFTY Index Options'!$D:$D,$A19)+SUMIFS('NSE - Other Index Options'!$M:$M,'NSE - Other Index Options'!$D:$D,$A19))</f>
        <v/>
      </c>
      <c r="C19" s="26">
        <f>IF(SUMIFS('BSE - SENSEX Index Options'!$M:$M,'BSE - SENSEX Index Options'!$D:$D,$A19)+SUMIFS('BSE - Other Index Options'!$M:$M,'BSE - Other Index Options'!$D:$D,$A19)=0,"",SUMIFS('BSE - SENSEX Index Options'!$M:$M,'BSE - SENSEX Index Options'!$D:$D,$A19)+SUMIFS('BSE - Other Index Options'!$M:$M,'BSE - Other Index Options'!$D:$D,$A19))</f>
        <v/>
      </c>
      <c r="D19" s="27">
        <f>IF(SUM(B19:C19)=0,"",SUM(B19)/SUM(B19:C19))</f>
        <v/>
      </c>
      <c r="E19" s="27">
        <f>IF(SUM(B19:C19)=0,"",SUM(C19)/SUM(B19:C19))</f>
        <v/>
      </c>
    </row>
    <row r="20" hidden="1" outlineLevel="1">
      <c r="A20" s="24" t="n">
        <v>46357</v>
      </c>
      <c r="B20" s="26">
        <f>IF(SUMIFS('NSE - NIFTY Index Options'!$M:$M,'NSE - NIFTY Index Options'!$D:$D,$A20)+SUMIFS('NSE - Other Index Options'!$M:$M,'NSE - Other Index Options'!$D:$D,$A20)=0,"",SUMIFS('NSE - NIFTY Index Options'!$M:$M,'NSE - NIFTY Index Options'!$D:$D,$A20)+SUMIFS('NSE - Other Index Options'!$M:$M,'NSE - Other Index Options'!$D:$D,$A20))</f>
        <v/>
      </c>
      <c r="C20" s="26">
        <f>IF(SUMIFS('BSE - SENSEX Index Options'!$M:$M,'BSE - SENSEX Index Options'!$D:$D,$A20)+SUMIFS('BSE - Other Index Options'!$M:$M,'BSE - Other Index Options'!$D:$D,$A20)=0,"",SUMIFS('BSE - SENSEX Index Options'!$M:$M,'BSE - SENSEX Index Options'!$D:$D,$A20)+SUMIFS('BSE - Other Index Options'!$M:$M,'BSE - Other Index Options'!$D:$D,$A20))</f>
        <v/>
      </c>
      <c r="D20" s="27">
        <f>IF(SUM(B20:C20)=0,"",SUM(B20)/SUM(B20:C20))</f>
        <v/>
      </c>
      <c r="E20" s="27">
        <f>IF(SUM(B20:C20)=0,"",SUM(C20)/SUM(B20:C20))</f>
        <v/>
      </c>
    </row>
    <row r="21" hidden="1" outlineLevel="1">
      <c r="A21" s="24" t="n">
        <v>46388</v>
      </c>
      <c r="B21" s="26">
        <f>IF(SUMIFS('NSE - NIFTY Index Options'!$M:$M,'NSE - NIFTY Index Options'!$D:$D,$A21)+SUMIFS('NSE - Other Index Options'!$M:$M,'NSE - Other Index Options'!$D:$D,$A21)=0,"",SUMIFS('NSE - NIFTY Index Options'!$M:$M,'NSE - NIFTY Index Options'!$D:$D,$A21)+SUMIFS('NSE - Other Index Options'!$M:$M,'NSE - Other Index Options'!$D:$D,$A21))</f>
        <v/>
      </c>
      <c r="C21" s="26">
        <f>IF(SUMIFS('BSE - SENSEX Index Options'!$M:$M,'BSE - SENSEX Index Options'!$D:$D,$A21)+SUMIFS('BSE - Other Index Options'!$M:$M,'BSE - Other Index Options'!$D:$D,$A21)=0,"",SUMIFS('BSE - SENSEX Index Options'!$M:$M,'BSE - SENSEX Index Options'!$D:$D,$A21)+SUMIFS('BSE - Other Index Options'!$M:$M,'BSE - Other Index Options'!$D:$D,$A21))</f>
        <v/>
      </c>
      <c r="D21" s="27">
        <f>IF(SUM(B21:C21)=0,"",SUM(B21)/SUM(B21:C21))</f>
        <v/>
      </c>
      <c r="E21" s="27">
        <f>IF(SUM(B21:C21)=0,"",SUM(C21)/SUM(B21:C21))</f>
        <v/>
      </c>
    </row>
    <row r="22" hidden="1" outlineLevel="1">
      <c r="A22" s="24" t="n">
        <v>46419</v>
      </c>
      <c r="B22" s="26">
        <f>IF(SUMIFS('NSE - NIFTY Index Options'!$M:$M,'NSE - NIFTY Index Options'!$D:$D,$A22)+SUMIFS('NSE - Other Index Options'!$M:$M,'NSE - Other Index Options'!$D:$D,$A22)=0,"",SUMIFS('NSE - NIFTY Index Options'!$M:$M,'NSE - NIFTY Index Options'!$D:$D,$A22)+SUMIFS('NSE - Other Index Options'!$M:$M,'NSE - Other Index Options'!$D:$D,$A22))</f>
        <v/>
      </c>
      <c r="C22" s="26">
        <f>IF(SUMIFS('BSE - SENSEX Index Options'!$M:$M,'BSE - SENSEX Index Options'!$D:$D,$A22)+SUMIFS('BSE - Other Index Options'!$M:$M,'BSE - Other Index Options'!$D:$D,$A22)=0,"",SUMIFS('BSE - SENSEX Index Options'!$M:$M,'BSE - SENSEX Index Options'!$D:$D,$A22)+SUMIFS('BSE - Other Index Options'!$M:$M,'BSE - Other Index Options'!$D:$D,$A22))</f>
        <v/>
      </c>
      <c r="D22" s="27">
        <f>IF(SUM(B22:C22)=0,"",SUM(B22)/SUM(B22:C22))</f>
        <v/>
      </c>
      <c r="E22" s="27">
        <f>IF(SUM(B22:C22)=0,"",SUM(C22)/SUM(B22:C22))</f>
        <v/>
      </c>
    </row>
    <row r="23" hidden="1" outlineLevel="1">
      <c r="A23" s="24" t="n">
        <v>46447</v>
      </c>
      <c r="B23" s="26">
        <f>IF(SUMIFS('NSE - NIFTY Index Options'!$M:$M,'NSE - NIFTY Index Options'!$D:$D,$A23)+SUMIFS('NSE - Other Index Options'!$M:$M,'NSE - Other Index Options'!$D:$D,$A23)=0,"",SUMIFS('NSE - NIFTY Index Options'!$M:$M,'NSE - NIFTY Index Options'!$D:$D,$A23)+SUMIFS('NSE - Other Index Options'!$M:$M,'NSE - Other Index Options'!$D:$D,$A23))</f>
        <v/>
      </c>
      <c r="C23" s="26">
        <f>IF(SUMIFS('BSE - SENSEX Index Options'!$M:$M,'BSE - SENSEX Index Options'!$D:$D,$A23)+SUMIFS('BSE - Other Index Options'!$M:$M,'BSE - Other Index Options'!$D:$D,$A23)=0,"",SUMIFS('BSE - SENSEX Index Options'!$M:$M,'BSE - SENSEX Index Options'!$D:$D,$A23)+SUMIFS('BSE - Other Index Options'!$M:$M,'BSE - Other Index Options'!$D:$D,$A23))</f>
        <v/>
      </c>
      <c r="D23" s="27">
        <f>IF(SUM(B23:C23)=0,"",SUM(B23)/SUM(B23:C23))</f>
        <v/>
      </c>
      <c r="E23" s="27">
        <f>IF(SUM(B23:C23)=0,"",SUM(C23)/SUM(B23:C23))</f>
        <v/>
      </c>
    </row>
    <row r="24" hidden="1" outlineLevel="1">
      <c r="A24" s="24" t="n">
        <v>46478</v>
      </c>
      <c r="B24" s="26">
        <f>IF(SUMIFS('NSE - NIFTY Index Options'!$M:$M,'NSE - NIFTY Index Options'!$D:$D,$A24)+SUMIFS('NSE - Other Index Options'!$M:$M,'NSE - Other Index Options'!$D:$D,$A24)=0,"",SUMIFS('NSE - NIFTY Index Options'!$M:$M,'NSE - NIFTY Index Options'!$D:$D,$A24)+SUMIFS('NSE - Other Index Options'!$M:$M,'NSE - Other Index Options'!$D:$D,$A24))</f>
        <v/>
      </c>
      <c r="C24" s="26">
        <f>IF(SUMIFS('BSE - SENSEX Index Options'!$M:$M,'BSE - SENSEX Index Options'!$D:$D,$A24)+SUMIFS('BSE - Other Index Options'!$M:$M,'BSE - Other Index Options'!$D:$D,$A24)=0,"",SUMIFS('BSE - SENSEX Index Options'!$M:$M,'BSE - SENSEX Index Options'!$D:$D,$A24)+SUMIFS('BSE - Other Index Options'!$M:$M,'BSE - Other Index Options'!$D:$D,$A24))</f>
        <v/>
      </c>
      <c r="D24" s="27">
        <f>IF(SUM(B24:C24)=0,"",SUM(B24)/SUM(B24:C24))</f>
        <v/>
      </c>
      <c r="E24" s="27">
        <f>IF(SUM(B24:C24)=0,"",SUM(C24)/SUM(B24:C24))</f>
        <v/>
      </c>
    </row>
    <row r="25" hidden="1" outlineLevel="1">
      <c r="A25" s="24" t="n">
        <v>46508</v>
      </c>
      <c r="B25" s="26">
        <f>IF(SUMIFS('NSE - NIFTY Index Options'!$M:$M,'NSE - NIFTY Index Options'!$D:$D,$A25)+SUMIFS('NSE - Other Index Options'!$M:$M,'NSE - Other Index Options'!$D:$D,$A25)=0,"",SUMIFS('NSE - NIFTY Index Options'!$M:$M,'NSE - NIFTY Index Options'!$D:$D,$A25)+SUMIFS('NSE - Other Index Options'!$M:$M,'NSE - Other Index Options'!$D:$D,$A25))</f>
        <v/>
      </c>
      <c r="C25" s="26">
        <f>IF(SUMIFS('BSE - SENSEX Index Options'!$M:$M,'BSE - SENSEX Index Options'!$D:$D,$A25)+SUMIFS('BSE - Other Index Options'!$M:$M,'BSE - Other Index Options'!$D:$D,$A25)=0,"",SUMIFS('BSE - SENSEX Index Options'!$M:$M,'BSE - SENSEX Index Options'!$D:$D,$A25)+SUMIFS('BSE - Other Index Options'!$M:$M,'BSE - Other Index Options'!$D:$D,$A25))</f>
        <v/>
      </c>
      <c r="D25" s="27">
        <f>IF(SUM(B25:C25)=0,"",SUM(B25)/SUM(B25:C25))</f>
        <v/>
      </c>
      <c r="E25" s="27">
        <f>IF(SUM(B25:C25)=0,"",SUM(C25)/SUM(B25:C25))</f>
        <v/>
      </c>
    </row>
    <row r="26" hidden="1" outlineLevel="1">
      <c r="A26" s="24" t="n">
        <v>46539</v>
      </c>
      <c r="B26" s="26">
        <f>IF(SUMIFS('NSE - NIFTY Index Options'!$M:$M,'NSE - NIFTY Index Options'!$D:$D,$A26)+SUMIFS('NSE - Other Index Options'!$M:$M,'NSE - Other Index Options'!$D:$D,$A26)=0,"",SUMIFS('NSE - NIFTY Index Options'!$M:$M,'NSE - NIFTY Index Options'!$D:$D,$A26)+SUMIFS('NSE - Other Index Options'!$M:$M,'NSE - Other Index Options'!$D:$D,$A26))</f>
        <v/>
      </c>
      <c r="C26" s="26">
        <f>IF(SUMIFS('BSE - SENSEX Index Options'!$M:$M,'BSE - SENSEX Index Options'!$D:$D,$A26)+SUMIFS('BSE - Other Index Options'!$M:$M,'BSE - Other Index Options'!$D:$D,$A26)=0,"",SUMIFS('BSE - SENSEX Index Options'!$M:$M,'BSE - SENSEX Index Options'!$D:$D,$A26)+SUMIFS('BSE - Other Index Options'!$M:$M,'BSE - Other Index Options'!$D:$D,$A26))</f>
        <v/>
      </c>
      <c r="D26" s="27">
        <f>IF(SUM(B26:C26)=0,"",SUM(B26)/SUM(B26:C26))</f>
        <v/>
      </c>
      <c r="E26" s="27">
        <f>IF(SUM(B26:C26)=0,"",SUM(C26)/SUM(B26:C26))</f>
        <v/>
      </c>
    </row>
    <row r="27" hidden="1" outlineLevel="1">
      <c r="A27" s="24" t="n">
        <v>46569</v>
      </c>
      <c r="B27" s="26">
        <f>IF(SUMIFS('NSE - NIFTY Index Options'!$M:$M,'NSE - NIFTY Index Options'!$D:$D,$A27)+SUMIFS('NSE - Other Index Options'!$M:$M,'NSE - Other Index Options'!$D:$D,$A27)=0,"",SUMIFS('NSE - NIFTY Index Options'!$M:$M,'NSE - NIFTY Index Options'!$D:$D,$A27)+SUMIFS('NSE - Other Index Options'!$M:$M,'NSE - Other Index Options'!$D:$D,$A27))</f>
        <v/>
      </c>
      <c r="C27" s="26">
        <f>IF(SUMIFS('BSE - SENSEX Index Options'!$M:$M,'BSE - SENSEX Index Options'!$D:$D,$A27)+SUMIFS('BSE - Other Index Options'!$M:$M,'BSE - Other Index Options'!$D:$D,$A27)=0,"",SUMIFS('BSE - SENSEX Index Options'!$M:$M,'BSE - SENSEX Index Options'!$D:$D,$A27)+SUMIFS('BSE - Other Index Options'!$M:$M,'BSE - Other Index Options'!$D:$D,$A27))</f>
        <v/>
      </c>
      <c r="D27" s="27">
        <f>IF(SUM(B27:C27)=0,"",SUM(B27)/SUM(B27:C27))</f>
        <v/>
      </c>
      <c r="E27" s="27">
        <f>IF(SUM(B27:C27)=0,"",SUM(C27)/SUM(B27:C27))</f>
        <v/>
      </c>
    </row>
    <row r="28" hidden="1" outlineLevel="1">
      <c r="A28" s="24" t="n">
        <v>46600</v>
      </c>
      <c r="B28" s="26">
        <f>IF(SUMIFS('NSE - NIFTY Index Options'!$M:$M,'NSE - NIFTY Index Options'!$D:$D,$A28)+SUMIFS('NSE - Other Index Options'!$M:$M,'NSE - Other Index Options'!$D:$D,$A28)=0,"",SUMIFS('NSE - NIFTY Index Options'!$M:$M,'NSE - NIFTY Index Options'!$D:$D,$A28)+SUMIFS('NSE - Other Index Options'!$M:$M,'NSE - Other Index Options'!$D:$D,$A28))</f>
        <v/>
      </c>
      <c r="C28" s="26">
        <f>IF(SUMIFS('BSE - SENSEX Index Options'!$M:$M,'BSE - SENSEX Index Options'!$D:$D,$A28)+SUMIFS('BSE - Other Index Options'!$M:$M,'BSE - Other Index Options'!$D:$D,$A28)=0,"",SUMIFS('BSE - SENSEX Index Options'!$M:$M,'BSE - SENSEX Index Options'!$D:$D,$A28)+SUMIFS('BSE - Other Index Options'!$M:$M,'BSE - Other Index Options'!$D:$D,$A28))</f>
        <v/>
      </c>
      <c r="D28" s="27">
        <f>IF(SUM(B28:C28)=0,"",SUM(B28)/SUM(B28:C28))</f>
        <v/>
      </c>
      <c r="E28" s="27">
        <f>IF(SUM(B28:C28)=0,"",SUM(C28)/SUM(B28:C28))</f>
        <v/>
      </c>
    </row>
    <row r="29" hidden="1" outlineLevel="1">
      <c r="A29" s="24" t="n">
        <v>46631</v>
      </c>
      <c r="B29" s="26">
        <f>IF(SUMIFS('NSE - NIFTY Index Options'!$M:$M,'NSE - NIFTY Index Options'!$D:$D,$A29)+SUMIFS('NSE - Other Index Options'!$M:$M,'NSE - Other Index Options'!$D:$D,$A29)=0,"",SUMIFS('NSE - NIFTY Index Options'!$M:$M,'NSE - NIFTY Index Options'!$D:$D,$A29)+SUMIFS('NSE - Other Index Options'!$M:$M,'NSE - Other Index Options'!$D:$D,$A29))</f>
        <v/>
      </c>
      <c r="C29" s="26">
        <f>IF(SUMIFS('BSE - SENSEX Index Options'!$M:$M,'BSE - SENSEX Index Options'!$D:$D,$A29)+SUMIFS('BSE - Other Index Options'!$M:$M,'BSE - Other Index Options'!$D:$D,$A29)=0,"",SUMIFS('BSE - SENSEX Index Options'!$M:$M,'BSE - SENSEX Index Options'!$D:$D,$A29)+SUMIFS('BSE - Other Index Options'!$M:$M,'BSE - Other Index Options'!$D:$D,$A29))</f>
        <v/>
      </c>
      <c r="D29" s="27">
        <f>IF(SUM(B29:C29)=0,"",SUM(B29)/SUM(B29:C29))</f>
        <v/>
      </c>
      <c r="E29" s="27">
        <f>IF(SUM(B29:C29)=0,"",SUM(C29)/SUM(B29:C29))</f>
        <v/>
      </c>
    </row>
    <row r="30" hidden="1" outlineLevel="1">
      <c r="A30" s="24" t="n">
        <v>46661</v>
      </c>
      <c r="B30" s="26">
        <f>IF(SUMIFS('NSE - NIFTY Index Options'!$M:$M,'NSE - NIFTY Index Options'!$D:$D,$A30)+SUMIFS('NSE - Other Index Options'!$M:$M,'NSE - Other Index Options'!$D:$D,$A30)=0,"",SUMIFS('NSE - NIFTY Index Options'!$M:$M,'NSE - NIFTY Index Options'!$D:$D,$A30)+SUMIFS('NSE - Other Index Options'!$M:$M,'NSE - Other Index Options'!$D:$D,$A30))</f>
        <v/>
      </c>
      <c r="C30" s="26">
        <f>IF(SUMIFS('BSE - SENSEX Index Options'!$M:$M,'BSE - SENSEX Index Options'!$D:$D,$A30)+SUMIFS('BSE - Other Index Options'!$M:$M,'BSE - Other Index Options'!$D:$D,$A30)=0,"",SUMIFS('BSE - SENSEX Index Options'!$M:$M,'BSE - SENSEX Index Options'!$D:$D,$A30)+SUMIFS('BSE - Other Index Options'!$M:$M,'BSE - Other Index Options'!$D:$D,$A30))</f>
        <v/>
      </c>
      <c r="D30" s="27">
        <f>IF(SUM(B30:C30)=0,"",SUM(B30)/SUM(B30:C30))</f>
        <v/>
      </c>
      <c r="E30" s="27">
        <f>IF(SUM(B30:C30)=0,"",SUM(C30)/SUM(B30:C30))</f>
        <v/>
      </c>
    </row>
    <row r="31" hidden="1" outlineLevel="1">
      <c r="A31" s="24" t="n">
        <v>46692</v>
      </c>
      <c r="B31" s="26">
        <f>IF(SUMIFS('NSE - NIFTY Index Options'!$M:$M,'NSE - NIFTY Index Options'!$D:$D,$A31)+SUMIFS('NSE - Other Index Options'!$M:$M,'NSE - Other Index Options'!$D:$D,$A31)=0,"",SUMIFS('NSE - NIFTY Index Options'!$M:$M,'NSE - NIFTY Index Options'!$D:$D,$A31)+SUMIFS('NSE - Other Index Options'!$M:$M,'NSE - Other Index Options'!$D:$D,$A31))</f>
        <v/>
      </c>
      <c r="C31" s="26">
        <f>IF(SUMIFS('BSE - SENSEX Index Options'!$M:$M,'BSE - SENSEX Index Options'!$D:$D,$A31)+SUMIFS('BSE - Other Index Options'!$M:$M,'BSE - Other Index Options'!$D:$D,$A31)=0,"",SUMIFS('BSE - SENSEX Index Options'!$M:$M,'BSE - SENSEX Index Options'!$D:$D,$A31)+SUMIFS('BSE - Other Index Options'!$M:$M,'BSE - Other Index Options'!$D:$D,$A31))</f>
        <v/>
      </c>
      <c r="D31" s="27">
        <f>IF(SUM(B31:C31)=0,"",SUM(B31)/SUM(B31:C31))</f>
        <v/>
      </c>
      <c r="E31" s="27">
        <f>IF(SUM(B31:C31)=0,"",SUM(C31)/SUM(B31:C31))</f>
        <v/>
      </c>
    </row>
    <row r="32" hidden="1" outlineLevel="1">
      <c r="A32" s="24" t="n">
        <v>46722</v>
      </c>
      <c r="B32" s="26">
        <f>IF(SUMIFS('NSE - NIFTY Index Options'!$M:$M,'NSE - NIFTY Index Options'!$D:$D,$A32)+SUMIFS('NSE - Other Index Options'!$M:$M,'NSE - Other Index Options'!$D:$D,$A32)=0,"",SUMIFS('NSE - NIFTY Index Options'!$M:$M,'NSE - NIFTY Index Options'!$D:$D,$A32)+SUMIFS('NSE - Other Index Options'!$M:$M,'NSE - Other Index Options'!$D:$D,$A32))</f>
        <v/>
      </c>
      <c r="C32" s="26">
        <f>IF(SUMIFS('BSE - SENSEX Index Options'!$M:$M,'BSE - SENSEX Index Options'!$D:$D,$A32)+SUMIFS('BSE - Other Index Options'!$M:$M,'BSE - Other Index Options'!$D:$D,$A32)=0,"",SUMIFS('BSE - SENSEX Index Options'!$M:$M,'BSE - SENSEX Index Options'!$D:$D,$A32)+SUMIFS('BSE - Other Index Options'!$M:$M,'BSE - Other Index Options'!$D:$D,$A32))</f>
        <v/>
      </c>
      <c r="D32" s="27">
        <f>IF(SUM(B32:C32)=0,"",SUM(B32)/SUM(B32:C32))</f>
        <v/>
      </c>
      <c r="E32" s="27">
        <f>IF(SUM(B32:C32)=0,"",SUM(C32)/SUM(B32:C32))</f>
        <v/>
      </c>
    </row>
    <row r="33" collapsed="1">
      <c r="A33" s="36" t="inlineStr">
        <is>
          <t>Total</t>
        </is>
      </c>
      <c r="B33" s="37">
        <f>IF(SUM(B5:B32)=0,"",SUM(B5:B32))</f>
        <v/>
      </c>
      <c r="C33" s="37">
        <f>IF(SUM(C5:C32)=0,"",SUM(C5:C32))</f>
        <v/>
      </c>
      <c r="D33" s="38">
        <f>IF(SUM(B33:C33)=0,"",SUM(B33)/SUM(B33:C33))</f>
        <v/>
      </c>
      <c r="E33" s="38">
        <f>IF(SUM(B33:C33)=0,"",SUM(C33)/SUM(B33:C33))</f>
        <v/>
      </c>
    </row>
    <row r="36">
      <c r="A36" s="36" t="inlineStr">
        <is>
          <t>Weekly (Expiry Type 2)</t>
        </is>
      </c>
      <c r="G36" s="41" t="inlineStr">
        <is>
          <t>Composition — % of All Expiry Premium</t>
        </is>
      </c>
    </row>
    <row r="37">
      <c r="A37" s="36" t="inlineStr">
        <is>
          <t>Month</t>
        </is>
      </c>
      <c r="B37" s="36" t="inlineStr">
        <is>
          <t>NSE Premium Turnover (INR Bn)</t>
        </is>
      </c>
      <c r="C37" s="36" t="inlineStr">
        <is>
          <t>BSE Premium Turnover (INR Bn)</t>
        </is>
      </c>
      <c r="D37" s="36" t="inlineStr">
        <is>
          <t>NSE Market Share</t>
        </is>
      </c>
      <c r="E37" s="36" t="inlineStr">
        <is>
          <t>BSE Market Share</t>
        </is>
      </c>
      <c r="G37" s="39" t="inlineStr">
        <is>
          <t>NSE - % of NSE Total</t>
        </is>
      </c>
      <c r="H37" s="39" t="inlineStr">
        <is>
          <t>BSE - % of BSE Total</t>
        </is>
      </c>
      <c r="I37" s="40" t="inlineStr">
        <is>
          <t>Total - % of Total (NSE+BSE)</t>
        </is>
      </c>
    </row>
    <row r="38">
      <c r="A38" s="24" t="n">
        <v>45901</v>
      </c>
      <c r="B38" s="26">
        <f>IF(SUMIFS('NSE - NIFTY Index Options'!$M:$M,'NSE - NIFTY Index Options'!$D:$D,$A38,'NSE - NIFTY Index Options'!$I:$I,"Weekly*")+SUMIFS('NSE - Other Index Options'!$M:$M,'NSE - Other Index Options'!$D:$D,$A38,'NSE - Other Index Options'!$I:$I,"Weekly*")=0,"",SUMIFS('NSE - NIFTY Index Options'!$M:$M,'NSE - NIFTY Index Options'!$D:$D,$A38,'NSE - NIFTY Index Options'!$I:$I,"Weekly*")+SUMIFS('NSE - Other Index Options'!$M:$M,'NSE - Other Index Options'!$D:$D,$A38,'NSE - Other Index Options'!$I:$I,"Weekly*"))</f>
        <v/>
      </c>
      <c r="C38" s="26">
        <f>IF(SUMIFS('BSE - SENSEX Index Options'!$M:$M,'BSE - SENSEX Index Options'!$D:$D,$A38,'BSE - SENSEX Index Options'!$I:$I,"Weekly*")+SUMIFS('BSE - Other Index Options'!$M:$M,'BSE - Other Index Options'!$D:$D,$A38,'BSE - Other Index Options'!$I:$I,"Weekly*")=0,"",SUMIFS('BSE - SENSEX Index Options'!$M:$M,'BSE - SENSEX Index Options'!$D:$D,$A38,'BSE - SENSEX Index Options'!$I:$I,"Weekly*")+SUMIFS('BSE - Other Index Options'!$M:$M,'BSE - Other Index Options'!$D:$D,$A38,'BSE - Other Index Options'!$I:$I,"Weekly*"))</f>
        <v/>
      </c>
      <c r="D38" s="27">
        <f>IF(SUM(B38:C38)=0,"",SUM(B38)/SUM(B38:C38))</f>
        <v/>
      </c>
      <c r="E38" s="27">
        <f>IF(SUM(B38:C38)=0,"",SUM(C38)/SUM(B38:C38))</f>
        <v/>
      </c>
      <c r="G38" s="27">
        <f>IF(SUM(B5)=0,"",SUM(B38)/SUM(B5))</f>
        <v/>
      </c>
      <c r="H38" s="27">
        <f>IF(SUM(C5)=0,"",SUM(C38)/SUM(C5))</f>
        <v/>
      </c>
      <c r="I38" s="27">
        <f>IF(SUM(B5:C5)=0,"",SUM(B38:C38)/SUM(B5:C5))</f>
        <v/>
      </c>
    </row>
    <row r="39">
      <c r="A39" s="24" t="n">
        <v>45931</v>
      </c>
      <c r="B39" s="26">
        <f>IF(SUMIFS('NSE - NIFTY Index Options'!$M:$M,'NSE - NIFTY Index Options'!$D:$D,$A39,'NSE - NIFTY Index Options'!$I:$I,"Weekly*")+SUMIFS('NSE - Other Index Options'!$M:$M,'NSE - Other Index Options'!$D:$D,$A39,'NSE - Other Index Options'!$I:$I,"Weekly*")=0,"",SUMIFS('NSE - NIFTY Index Options'!$M:$M,'NSE - NIFTY Index Options'!$D:$D,$A39,'NSE - NIFTY Index Options'!$I:$I,"Weekly*")+SUMIFS('NSE - Other Index Options'!$M:$M,'NSE - Other Index Options'!$D:$D,$A39,'NSE - Other Index Options'!$I:$I,"Weekly*"))</f>
        <v/>
      </c>
      <c r="C39" s="26">
        <f>IF(SUMIFS('BSE - SENSEX Index Options'!$M:$M,'BSE - SENSEX Index Options'!$D:$D,$A39,'BSE - SENSEX Index Options'!$I:$I,"Weekly*")+SUMIFS('BSE - Other Index Options'!$M:$M,'BSE - Other Index Options'!$D:$D,$A39,'BSE - Other Index Options'!$I:$I,"Weekly*")=0,"",SUMIFS('BSE - SENSEX Index Options'!$M:$M,'BSE - SENSEX Index Options'!$D:$D,$A39,'BSE - SENSEX Index Options'!$I:$I,"Weekly*")+SUMIFS('BSE - Other Index Options'!$M:$M,'BSE - Other Index Options'!$D:$D,$A39,'BSE - Other Index Options'!$I:$I,"Weekly*"))</f>
        <v/>
      </c>
      <c r="D39" s="27">
        <f>IF(SUM(B39:C39)=0,"",SUM(B39)/SUM(B39:C39))</f>
        <v/>
      </c>
      <c r="E39" s="27">
        <f>IF(SUM(B39:C39)=0,"",SUM(C39)/SUM(B39:C39))</f>
        <v/>
      </c>
      <c r="G39" s="27">
        <f>IF(SUM(B6)=0,"",SUM(B39)/SUM(B6))</f>
        <v/>
      </c>
      <c r="H39" s="27">
        <f>IF(SUM(C6)=0,"",SUM(C39)/SUM(C6))</f>
        <v/>
      </c>
      <c r="I39" s="27">
        <f>IF(SUM(B6:C6)=0,"",SUM(B39:C39)/SUM(B6:C6))</f>
        <v/>
      </c>
    </row>
    <row r="40">
      <c r="A40" s="24" t="n">
        <v>45962</v>
      </c>
      <c r="B40" s="26">
        <f>IF(SUMIFS('NSE - NIFTY Index Options'!$M:$M,'NSE - NIFTY Index Options'!$D:$D,$A40,'NSE - NIFTY Index Options'!$I:$I,"Weekly*")+SUMIFS('NSE - Other Index Options'!$M:$M,'NSE - Other Index Options'!$D:$D,$A40,'NSE - Other Index Options'!$I:$I,"Weekly*")=0,"",SUMIFS('NSE - NIFTY Index Options'!$M:$M,'NSE - NIFTY Index Options'!$D:$D,$A40,'NSE - NIFTY Index Options'!$I:$I,"Weekly*")+SUMIFS('NSE - Other Index Options'!$M:$M,'NSE - Other Index Options'!$D:$D,$A40,'NSE - Other Index Options'!$I:$I,"Weekly*"))</f>
        <v/>
      </c>
      <c r="C40" s="26">
        <f>IF(SUMIFS('BSE - SENSEX Index Options'!$M:$M,'BSE - SENSEX Index Options'!$D:$D,$A40,'BSE - SENSEX Index Options'!$I:$I,"Weekly*")+SUMIFS('BSE - Other Index Options'!$M:$M,'BSE - Other Index Options'!$D:$D,$A40,'BSE - Other Index Options'!$I:$I,"Weekly*")=0,"",SUMIFS('BSE - SENSEX Index Options'!$M:$M,'BSE - SENSEX Index Options'!$D:$D,$A40,'BSE - SENSEX Index Options'!$I:$I,"Weekly*")+SUMIFS('BSE - Other Index Options'!$M:$M,'BSE - Other Index Options'!$D:$D,$A40,'BSE - Other Index Options'!$I:$I,"Weekly*"))</f>
        <v/>
      </c>
      <c r="D40" s="27">
        <f>IF(SUM(B40:C40)=0,"",SUM(B40)/SUM(B40:C40))</f>
        <v/>
      </c>
      <c r="E40" s="27">
        <f>IF(SUM(B40:C40)=0,"",SUM(C40)/SUM(B40:C40))</f>
        <v/>
      </c>
      <c r="G40" s="27">
        <f>IF(SUM(B7)=0,"",SUM(B40)/SUM(B7))</f>
        <v/>
      </c>
      <c r="H40" s="27">
        <f>IF(SUM(C7)=0,"",SUM(C40)/SUM(C7))</f>
        <v/>
      </c>
      <c r="I40" s="27">
        <f>IF(SUM(B7:C7)=0,"",SUM(B40:C40)/SUM(B7:C7))</f>
        <v/>
      </c>
    </row>
    <row r="41">
      <c r="A41" s="24" t="n">
        <v>45992</v>
      </c>
      <c r="B41" s="26">
        <f>IF(SUMIFS('NSE - NIFTY Index Options'!$M:$M,'NSE - NIFTY Index Options'!$D:$D,$A41,'NSE - NIFTY Index Options'!$I:$I,"Weekly*")+SUMIFS('NSE - Other Index Options'!$M:$M,'NSE - Other Index Options'!$D:$D,$A41,'NSE - Other Index Options'!$I:$I,"Weekly*")=0,"",SUMIFS('NSE - NIFTY Index Options'!$M:$M,'NSE - NIFTY Index Options'!$D:$D,$A41,'NSE - NIFTY Index Options'!$I:$I,"Weekly*")+SUMIFS('NSE - Other Index Options'!$M:$M,'NSE - Other Index Options'!$D:$D,$A41,'NSE - Other Index Options'!$I:$I,"Weekly*"))</f>
        <v/>
      </c>
      <c r="C41" s="26">
        <f>IF(SUMIFS('BSE - SENSEX Index Options'!$M:$M,'BSE - SENSEX Index Options'!$D:$D,$A41,'BSE - SENSEX Index Options'!$I:$I,"Weekly*")+SUMIFS('BSE - Other Index Options'!$M:$M,'BSE - Other Index Options'!$D:$D,$A41,'BSE - Other Index Options'!$I:$I,"Weekly*")=0,"",SUMIFS('BSE - SENSEX Index Options'!$M:$M,'BSE - SENSEX Index Options'!$D:$D,$A41,'BSE - SENSEX Index Options'!$I:$I,"Weekly*")+SUMIFS('BSE - Other Index Options'!$M:$M,'BSE - Other Index Options'!$D:$D,$A41,'BSE - Other Index Options'!$I:$I,"Weekly*"))</f>
        <v/>
      </c>
      <c r="D41" s="27">
        <f>IF(SUM(B41:C41)=0,"",SUM(B41)/SUM(B41:C41))</f>
        <v/>
      </c>
      <c r="E41" s="27">
        <f>IF(SUM(B41:C41)=0,"",SUM(C41)/SUM(B41:C41))</f>
        <v/>
      </c>
      <c r="G41" s="27">
        <f>IF(SUM(B8)=0,"",SUM(B41)/SUM(B8))</f>
        <v/>
      </c>
      <c r="H41" s="27">
        <f>IF(SUM(C8)=0,"",SUM(C41)/SUM(C8))</f>
        <v/>
      </c>
      <c r="I41" s="27">
        <f>IF(SUM(B8:C8)=0,"",SUM(B41:C41)/SUM(B8:C8))</f>
        <v/>
      </c>
    </row>
    <row r="42">
      <c r="A42" s="24" t="n">
        <v>46023</v>
      </c>
      <c r="B42" s="26">
        <f>IF(SUMIFS('NSE - NIFTY Index Options'!$M:$M,'NSE - NIFTY Index Options'!$D:$D,$A42,'NSE - NIFTY Index Options'!$I:$I,"Weekly*")+SUMIFS('NSE - Other Index Options'!$M:$M,'NSE - Other Index Options'!$D:$D,$A42,'NSE - Other Index Options'!$I:$I,"Weekly*")=0,"",SUMIFS('NSE - NIFTY Index Options'!$M:$M,'NSE - NIFTY Index Options'!$D:$D,$A42,'NSE - NIFTY Index Options'!$I:$I,"Weekly*")+SUMIFS('NSE - Other Index Options'!$M:$M,'NSE - Other Index Options'!$D:$D,$A42,'NSE - Other Index Options'!$I:$I,"Weekly*"))</f>
        <v/>
      </c>
      <c r="C42" s="26">
        <f>IF(SUMIFS('BSE - SENSEX Index Options'!$M:$M,'BSE - SENSEX Index Options'!$D:$D,$A42,'BSE - SENSEX Index Options'!$I:$I,"Weekly*")+SUMIFS('BSE - Other Index Options'!$M:$M,'BSE - Other Index Options'!$D:$D,$A42,'BSE - Other Index Options'!$I:$I,"Weekly*")=0,"",SUMIFS('BSE - SENSEX Index Options'!$M:$M,'BSE - SENSEX Index Options'!$D:$D,$A42,'BSE - SENSEX Index Options'!$I:$I,"Weekly*")+SUMIFS('BSE - Other Index Options'!$M:$M,'BSE - Other Index Options'!$D:$D,$A42,'BSE - Other Index Options'!$I:$I,"Weekly*"))</f>
        <v/>
      </c>
      <c r="D42" s="27">
        <f>IF(SUM(B42:C42)=0,"",SUM(B42)/SUM(B42:C42))</f>
        <v/>
      </c>
      <c r="E42" s="27">
        <f>IF(SUM(B42:C42)=0,"",SUM(C42)/SUM(B42:C42))</f>
        <v/>
      </c>
      <c r="G42" s="27">
        <f>IF(SUM(B9)=0,"",SUM(B42)/SUM(B9))</f>
        <v/>
      </c>
      <c r="H42" s="27">
        <f>IF(SUM(C9)=0,"",SUM(C42)/SUM(C9))</f>
        <v/>
      </c>
      <c r="I42" s="27">
        <f>IF(SUM(B9:C9)=0,"",SUM(B42:C42)/SUM(B9:C9))</f>
        <v/>
      </c>
    </row>
    <row r="43">
      <c r="A43" s="24" t="n">
        <v>46054</v>
      </c>
      <c r="B43" s="26">
        <f>IF(SUMIFS('NSE - NIFTY Index Options'!$M:$M,'NSE - NIFTY Index Options'!$D:$D,$A43,'NSE - NIFTY Index Options'!$I:$I,"Weekly*")+SUMIFS('NSE - Other Index Options'!$M:$M,'NSE - Other Index Options'!$D:$D,$A43,'NSE - Other Index Options'!$I:$I,"Weekly*")=0,"",SUMIFS('NSE - NIFTY Index Options'!$M:$M,'NSE - NIFTY Index Options'!$D:$D,$A43,'NSE - NIFTY Index Options'!$I:$I,"Weekly*")+SUMIFS('NSE - Other Index Options'!$M:$M,'NSE - Other Index Options'!$D:$D,$A43,'NSE - Other Index Options'!$I:$I,"Weekly*"))</f>
        <v/>
      </c>
      <c r="C43" s="26">
        <f>IF(SUMIFS('BSE - SENSEX Index Options'!$M:$M,'BSE - SENSEX Index Options'!$D:$D,$A43,'BSE - SENSEX Index Options'!$I:$I,"Weekly*")+SUMIFS('BSE - Other Index Options'!$M:$M,'BSE - Other Index Options'!$D:$D,$A43,'BSE - Other Index Options'!$I:$I,"Weekly*")=0,"",SUMIFS('BSE - SENSEX Index Options'!$M:$M,'BSE - SENSEX Index Options'!$D:$D,$A43,'BSE - SENSEX Index Options'!$I:$I,"Weekly*")+SUMIFS('BSE - Other Index Options'!$M:$M,'BSE - Other Index Options'!$D:$D,$A43,'BSE - Other Index Options'!$I:$I,"Weekly*"))</f>
        <v/>
      </c>
      <c r="D43" s="27">
        <f>IF(SUM(B43:C43)=0,"",SUM(B43)/SUM(B43:C43))</f>
        <v/>
      </c>
      <c r="E43" s="27">
        <f>IF(SUM(B43:C43)=0,"",SUM(C43)/SUM(B43:C43))</f>
        <v/>
      </c>
      <c r="G43" s="27">
        <f>IF(SUM(B10)=0,"",SUM(B43)/SUM(B10))</f>
        <v/>
      </c>
      <c r="H43" s="27">
        <f>IF(SUM(C10)=0,"",SUM(C43)/SUM(C10))</f>
        <v/>
      </c>
      <c r="I43" s="27">
        <f>IF(SUM(B10:C10)=0,"",SUM(B43:C43)/SUM(B10:C10))</f>
        <v/>
      </c>
    </row>
    <row r="44">
      <c r="A44" s="24" t="n">
        <v>46082</v>
      </c>
      <c r="B44" s="26">
        <f>IF(SUMIFS('NSE - NIFTY Index Options'!$M:$M,'NSE - NIFTY Index Options'!$D:$D,$A44,'NSE - NIFTY Index Options'!$I:$I,"Weekly*")+SUMIFS('NSE - Other Index Options'!$M:$M,'NSE - Other Index Options'!$D:$D,$A44,'NSE - Other Index Options'!$I:$I,"Weekly*")=0,"",SUMIFS('NSE - NIFTY Index Options'!$M:$M,'NSE - NIFTY Index Options'!$D:$D,$A44,'NSE - NIFTY Index Options'!$I:$I,"Weekly*")+SUMIFS('NSE - Other Index Options'!$M:$M,'NSE - Other Index Options'!$D:$D,$A44,'NSE - Other Index Options'!$I:$I,"Weekly*"))</f>
        <v/>
      </c>
      <c r="C44" s="26">
        <f>IF(SUMIFS('BSE - SENSEX Index Options'!$M:$M,'BSE - SENSEX Index Options'!$D:$D,$A44,'BSE - SENSEX Index Options'!$I:$I,"Weekly*")+SUMIFS('BSE - Other Index Options'!$M:$M,'BSE - Other Index Options'!$D:$D,$A44,'BSE - Other Index Options'!$I:$I,"Weekly*")=0,"",SUMIFS('BSE - SENSEX Index Options'!$M:$M,'BSE - SENSEX Index Options'!$D:$D,$A44,'BSE - SENSEX Index Options'!$I:$I,"Weekly*")+SUMIFS('BSE - Other Index Options'!$M:$M,'BSE - Other Index Options'!$D:$D,$A44,'BSE - Other Index Options'!$I:$I,"Weekly*"))</f>
        <v/>
      </c>
      <c r="D44" s="27">
        <f>IF(SUM(B44:C44)=0,"",SUM(B44)/SUM(B44:C44))</f>
        <v/>
      </c>
      <c r="E44" s="27">
        <f>IF(SUM(B44:C44)=0,"",SUM(C44)/SUM(B44:C44))</f>
        <v/>
      </c>
      <c r="G44" s="27">
        <f>IF(SUM(B11)=0,"",SUM(B44)/SUM(B11))</f>
        <v/>
      </c>
      <c r="H44" s="27">
        <f>IF(SUM(C11)=0,"",SUM(C44)/SUM(C11))</f>
        <v/>
      </c>
      <c r="I44" s="27">
        <f>IF(SUM(B11:C11)=0,"",SUM(B44:C44)/SUM(B11:C11))</f>
        <v/>
      </c>
    </row>
    <row r="45">
      <c r="A45" s="24" t="n">
        <v>46113</v>
      </c>
      <c r="B45" s="26">
        <f>IF(SUMIFS('NSE - NIFTY Index Options'!$M:$M,'NSE - NIFTY Index Options'!$D:$D,$A45,'NSE - NIFTY Index Options'!$I:$I,"Weekly*")+SUMIFS('NSE - Other Index Options'!$M:$M,'NSE - Other Index Options'!$D:$D,$A45,'NSE - Other Index Options'!$I:$I,"Weekly*")=0,"",SUMIFS('NSE - NIFTY Index Options'!$M:$M,'NSE - NIFTY Index Options'!$D:$D,$A45,'NSE - NIFTY Index Options'!$I:$I,"Weekly*")+SUMIFS('NSE - Other Index Options'!$M:$M,'NSE - Other Index Options'!$D:$D,$A45,'NSE - Other Index Options'!$I:$I,"Weekly*"))</f>
        <v/>
      </c>
      <c r="C45" s="26">
        <f>IF(SUMIFS('BSE - SENSEX Index Options'!$M:$M,'BSE - SENSEX Index Options'!$D:$D,$A45,'BSE - SENSEX Index Options'!$I:$I,"Weekly*")+SUMIFS('BSE - Other Index Options'!$M:$M,'BSE - Other Index Options'!$D:$D,$A45,'BSE - Other Index Options'!$I:$I,"Weekly*")=0,"",SUMIFS('BSE - SENSEX Index Options'!$M:$M,'BSE - SENSEX Index Options'!$D:$D,$A45,'BSE - SENSEX Index Options'!$I:$I,"Weekly*")+SUMIFS('BSE - Other Index Options'!$M:$M,'BSE - Other Index Options'!$D:$D,$A45,'BSE - Other Index Options'!$I:$I,"Weekly*"))</f>
        <v/>
      </c>
      <c r="D45" s="27">
        <f>IF(SUM(B45:C45)=0,"",SUM(B45)/SUM(B45:C45))</f>
        <v/>
      </c>
      <c r="E45" s="27">
        <f>IF(SUM(B45:C45)=0,"",SUM(C45)/SUM(B45:C45))</f>
        <v/>
      </c>
      <c r="G45" s="27">
        <f>IF(SUM(B12)=0,"",SUM(B45)/SUM(B12))</f>
        <v/>
      </c>
      <c r="H45" s="27">
        <f>IF(SUM(C12)=0,"",SUM(C45)/SUM(C12))</f>
        <v/>
      </c>
      <c r="I45" s="27">
        <f>IF(SUM(B12:C12)=0,"",SUM(B45:C45)/SUM(B12:C12))</f>
        <v/>
      </c>
    </row>
    <row r="46">
      <c r="A46" s="24" t="n">
        <v>46143</v>
      </c>
      <c r="B46" s="26">
        <f>IF(SUMIFS('NSE - NIFTY Index Options'!$M:$M,'NSE - NIFTY Index Options'!$D:$D,$A46,'NSE - NIFTY Index Options'!$I:$I,"Weekly*")+SUMIFS('NSE - Other Index Options'!$M:$M,'NSE - Other Index Options'!$D:$D,$A46,'NSE - Other Index Options'!$I:$I,"Weekly*")=0,"",SUMIFS('NSE - NIFTY Index Options'!$M:$M,'NSE - NIFTY Index Options'!$D:$D,$A46,'NSE - NIFTY Index Options'!$I:$I,"Weekly*")+SUMIFS('NSE - Other Index Options'!$M:$M,'NSE - Other Index Options'!$D:$D,$A46,'NSE - Other Index Options'!$I:$I,"Weekly*"))</f>
        <v/>
      </c>
      <c r="C46" s="26">
        <f>IF(SUMIFS('BSE - SENSEX Index Options'!$M:$M,'BSE - SENSEX Index Options'!$D:$D,$A46,'BSE - SENSEX Index Options'!$I:$I,"Weekly*")+SUMIFS('BSE - Other Index Options'!$M:$M,'BSE - Other Index Options'!$D:$D,$A46,'BSE - Other Index Options'!$I:$I,"Weekly*")=0,"",SUMIFS('BSE - SENSEX Index Options'!$M:$M,'BSE - SENSEX Index Options'!$D:$D,$A46,'BSE - SENSEX Index Options'!$I:$I,"Weekly*")+SUMIFS('BSE - Other Index Options'!$M:$M,'BSE - Other Index Options'!$D:$D,$A46,'BSE - Other Index Options'!$I:$I,"Weekly*"))</f>
        <v/>
      </c>
      <c r="D46" s="27">
        <f>IF(SUM(B46:C46)=0,"",SUM(B46)/SUM(B46:C46))</f>
        <v/>
      </c>
      <c r="E46" s="27">
        <f>IF(SUM(B46:C46)=0,"",SUM(C46)/SUM(B46:C46))</f>
        <v/>
      </c>
      <c r="G46" s="27">
        <f>IF(SUM(B13)=0,"",SUM(B46)/SUM(B13))</f>
        <v/>
      </c>
      <c r="H46" s="27">
        <f>IF(SUM(C13)=0,"",SUM(C46)/SUM(C13))</f>
        <v/>
      </c>
      <c r="I46" s="27">
        <f>IF(SUM(B13:C13)=0,"",SUM(B46:C46)/SUM(B13:C13))</f>
        <v/>
      </c>
    </row>
    <row r="47">
      <c r="A47" s="24" t="n">
        <v>46174</v>
      </c>
      <c r="B47" s="26">
        <f>IF(SUMIFS('NSE - NIFTY Index Options'!$M:$M,'NSE - NIFTY Index Options'!$D:$D,$A47,'NSE - NIFTY Index Options'!$I:$I,"Weekly*")+SUMIFS('NSE - Other Index Options'!$M:$M,'NSE - Other Index Options'!$D:$D,$A47,'NSE - Other Index Options'!$I:$I,"Weekly*")=0,"",SUMIFS('NSE - NIFTY Index Options'!$M:$M,'NSE - NIFTY Index Options'!$D:$D,$A47,'NSE - NIFTY Index Options'!$I:$I,"Weekly*")+SUMIFS('NSE - Other Index Options'!$M:$M,'NSE - Other Index Options'!$D:$D,$A47,'NSE - Other Index Options'!$I:$I,"Weekly*"))</f>
        <v/>
      </c>
      <c r="C47" s="26">
        <f>IF(SUMIFS('BSE - SENSEX Index Options'!$M:$M,'BSE - SENSEX Index Options'!$D:$D,$A47,'BSE - SENSEX Index Options'!$I:$I,"Weekly*")+SUMIFS('BSE - Other Index Options'!$M:$M,'BSE - Other Index Options'!$D:$D,$A47,'BSE - Other Index Options'!$I:$I,"Weekly*")=0,"",SUMIFS('BSE - SENSEX Index Options'!$M:$M,'BSE - SENSEX Index Options'!$D:$D,$A47,'BSE - SENSEX Index Options'!$I:$I,"Weekly*")+SUMIFS('BSE - Other Index Options'!$M:$M,'BSE - Other Index Options'!$D:$D,$A47,'BSE - Other Index Options'!$I:$I,"Weekly*"))</f>
        <v/>
      </c>
      <c r="D47" s="27">
        <f>IF(SUM(B47:C47)=0,"",SUM(B47)/SUM(B47:C47))</f>
        <v/>
      </c>
      <c r="E47" s="27">
        <f>IF(SUM(B47:C47)=0,"",SUM(C47)/SUM(B47:C47))</f>
        <v/>
      </c>
      <c r="G47" s="27">
        <f>IF(SUM(B14)=0,"",SUM(B47)/SUM(B14))</f>
        <v/>
      </c>
      <c r="H47" s="27">
        <f>IF(SUM(C14)=0,"",SUM(C47)/SUM(C14))</f>
        <v/>
      </c>
      <c r="I47" s="27">
        <f>IF(SUM(B14:C14)=0,"",SUM(B47:C47)/SUM(B14:C14))</f>
        <v/>
      </c>
    </row>
    <row r="48">
      <c r="A48" s="24" t="n">
        <v>46204</v>
      </c>
      <c r="B48" s="26">
        <f>IF(SUMIFS('NSE - NIFTY Index Options'!$M:$M,'NSE - NIFTY Index Options'!$D:$D,$A48,'NSE - NIFTY Index Options'!$I:$I,"Weekly*")+SUMIFS('NSE - Other Index Options'!$M:$M,'NSE - Other Index Options'!$D:$D,$A48,'NSE - Other Index Options'!$I:$I,"Weekly*")=0,"",SUMIFS('NSE - NIFTY Index Options'!$M:$M,'NSE - NIFTY Index Options'!$D:$D,$A48,'NSE - NIFTY Index Options'!$I:$I,"Weekly*")+SUMIFS('NSE - Other Index Options'!$M:$M,'NSE - Other Index Options'!$D:$D,$A48,'NSE - Other Index Options'!$I:$I,"Weekly*"))</f>
        <v/>
      </c>
      <c r="C48" s="26">
        <f>IF(SUMIFS('BSE - SENSEX Index Options'!$M:$M,'BSE - SENSEX Index Options'!$D:$D,$A48,'BSE - SENSEX Index Options'!$I:$I,"Weekly*")+SUMIFS('BSE - Other Index Options'!$M:$M,'BSE - Other Index Options'!$D:$D,$A48,'BSE - Other Index Options'!$I:$I,"Weekly*")=0,"",SUMIFS('BSE - SENSEX Index Options'!$M:$M,'BSE - SENSEX Index Options'!$D:$D,$A48,'BSE - SENSEX Index Options'!$I:$I,"Weekly*")+SUMIFS('BSE - Other Index Options'!$M:$M,'BSE - Other Index Options'!$D:$D,$A48,'BSE - Other Index Options'!$I:$I,"Weekly*"))</f>
        <v/>
      </c>
      <c r="D48" s="27">
        <f>IF(SUM(B48:C48)=0,"",SUM(B48)/SUM(B48:C48))</f>
        <v/>
      </c>
      <c r="E48" s="27">
        <f>IF(SUM(B48:C48)=0,"",SUM(C48)/SUM(B48:C48))</f>
        <v/>
      </c>
      <c r="G48" s="27">
        <f>IF(SUM(B15)=0,"",SUM(B48)/SUM(B15))</f>
        <v/>
      </c>
      <c r="H48" s="27">
        <f>IF(SUM(C15)=0,"",SUM(C48)/SUM(C15))</f>
        <v/>
      </c>
      <c r="I48" s="27">
        <f>IF(SUM(B15:C15)=0,"",SUM(B48:C48)/SUM(B15:C15))</f>
        <v/>
      </c>
    </row>
    <row r="49">
      <c r="A49" s="24" t="n">
        <v>46235</v>
      </c>
      <c r="B49" s="26">
        <f>IF(SUMIFS('NSE - NIFTY Index Options'!$M:$M,'NSE - NIFTY Index Options'!$D:$D,$A49,'NSE - NIFTY Index Options'!$I:$I,"Weekly*")+SUMIFS('NSE - Other Index Options'!$M:$M,'NSE - Other Index Options'!$D:$D,$A49,'NSE - Other Index Options'!$I:$I,"Weekly*")=0,"",SUMIFS('NSE - NIFTY Index Options'!$M:$M,'NSE - NIFTY Index Options'!$D:$D,$A49,'NSE - NIFTY Index Options'!$I:$I,"Weekly*")+SUMIFS('NSE - Other Index Options'!$M:$M,'NSE - Other Index Options'!$D:$D,$A49,'NSE - Other Index Options'!$I:$I,"Weekly*"))</f>
        <v/>
      </c>
      <c r="C49" s="26">
        <f>IF(SUMIFS('BSE - SENSEX Index Options'!$M:$M,'BSE - SENSEX Index Options'!$D:$D,$A49,'BSE - SENSEX Index Options'!$I:$I,"Weekly*")+SUMIFS('BSE - Other Index Options'!$M:$M,'BSE - Other Index Options'!$D:$D,$A49,'BSE - Other Index Options'!$I:$I,"Weekly*")=0,"",SUMIFS('BSE - SENSEX Index Options'!$M:$M,'BSE - SENSEX Index Options'!$D:$D,$A49,'BSE - SENSEX Index Options'!$I:$I,"Weekly*")+SUMIFS('BSE - Other Index Options'!$M:$M,'BSE - Other Index Options'!$D:$D,$A49,'BSE - Other Index Options'!$I:$I,"Weekly*"))</f>
        <v/>
      </c>
      <c r="D49" s="27">
        <f>IF(SUM(B49:C49)=0,"",SUM(B49)/SUM(B49:C49))</f>
        <v/>
      </c>
      <c r="E49" s="27">
        <f>IF(SUM(B49:C49)=0,"",SUM(C49)/SUM(B49:C49))</f>
        <v/>
      </c>
      <c r="G49" s="27">
        <f>IF(SUM(B16)=0,"",SUM(B49)/SUM(B16))</f>
        <v/>
      </c>
      <c r="H49" s="27">
        <f>IF(SUM(C16)=0,"",SUM(C49)/SUM(C16))</f>
        <v/>
      </c>
      <c r="I49" s="27">
        <f>IF(SUM(B16:C16)=0,"",SUM(B49:C49)/SUM(B16:C16))</f>
        <v/>
      </c>
    </row>
    <row r="50" hidden="1" outlineLevel="1">
      <c r="A50" s="24" t="n">
        <v>46266</v>
      </c>
      <c r="B50" s="26">
        <f>IF(SUMIFS('NSE - NIFTY Index Options'!$M:$M,'NSE - NIFTY Index Options'!$D:$D,$A50,'NSE - NIFTY Index Options'!$I:$I,"Weekly*")+SUMIFS('NSE - Other Index Options'!$M:$M,'NSE - Other Index Options'!$D:$D,$A50,'NSE - Other Index Options'!$I:$I,"Weekly*")=0,"",SUMIFS('NSE - NIFTY Index Options'!$M:$M,'NSE - NIFTY Index Options'!$D:$D,$A50,'NSE - NIFTY Index Options'!$I:$I,"Weekly*")+SUMIFS('NSE - Other Index Options'!$M:$M,'NSE - Other Index Options'!$D:$D,$A50,'NSE - Other Index Options'!$I:$I,"Weekly*"))</f>
        <v/>
      </c>
      <c r="C50" s="26">
        <f>IF(SUMIFS('BSE - SENSEX Index Options'!$M:$M,'BSE - SENSEX Index Options'!$D:$D,$A50,'BSE - SENSEX Index Options'!$I:$I,"Weekly*")+SUMIFS('BSE - Other Index Options'!$M:$M,'BSE - Other Index Options'!$D:$D,$A50,'BSE - Other Index Options'!$I:$I,"Weekly*")=0,"",SUMIFS('BSE - SENSEX Index Options'!$M:$M,'BSE - SENSEX Index Options'!$D:$D,$A50,'BSE - SENSEX Index Options'!$I:$I,"Weekly*")+SUMIFS('BSE - Other Index Options'!$M:$M,'BSE - Other Index Options'!$D:$D,$A50,'BSE - Other Index Options'!$I:$I,"Weekly*"))</f>
        <v/>
      </c>
      <c r="D50" s="27">
        <f>IF(SUM(B50:C50)=0,"",SUM(B50)/SUM(B50:C50))</f>
        <v/>
      </c>
      <c r="E50" s="27">
        <f>IF(SUM(B50:C50)=0,"",SUM(C50)/SUM(B50:C50))</f>
        <v/>
      </c>
      <c r="G50" s="27">
        <f>IF(SUM(B17)=0,"",SUM(B50)/SUM(B17))</f>
        <v/>
      </c>
      <c r="H50" s="27">
        <f>IF(SUM(C17)=0,"",SUM(C50)/SUM(C17))</f>
        <v/>
      </c>
      <c r="I50" s="27">
        <f>IF(SUM(B17:C17)=0,"",SUM(B50:C50)/SUM(B17:C17))</f>
        <v/>
      </c>
    </row>
    <row r="51" hidden="1" outlineLevel="1">
      <c r="A51" s="24" t="n">
        <v>46296</v>
      </c>
      <c r="B51" s="26">
        <f>IF(SUMIFS('NSE - NIFTY Index Options'!$M:$M,'NSE - NIFTY Index Options'!$D:$D,$A51,'NSE - NIFTY Index Options'!$I:$I,"Weekly*")+SUMIFS('NSE - Other Index Options'!$M:$M,'NSE - Other Index Options'!$D:$D,$A51,'NSE - Other Index Options'!$I:$I,"Weekly*")=0,"",SUMIFS('NSE - NIFTY Index Options'!$M:$M,'NSE - NIFTY Index Options'!$D:$D,$A51,'NSE - NIFTY Index Options'!$I:$I,"Weekly*")+SUMIFS('NSE - Other Index Options'!$M:$M,'NSE - Other Index Options'!$D:$D,$A51,'NSE - Other Index Options'!$I:$I,"Weekly*"))</f>
        <v/>
      </c>
      <c r="C51" s="26">
        <f>IF(SUMIFS('BSE - SENSEX Index Options'!$M:$M,'BSE - SENSEX Index Options'!$D:$D,$A51,'BSE - SENSEX Index Options'!$I:$I,"Weekly*")+SUMIFS('BSE - Other Index Options'!$M:$M,'BSE - Other Index Options'!$D:$D,$A51,'BSE - Other Index Options'!$I:$I,"Weekly*")=0,"",SUMIFS('BSE - SENSEX Index Options'!$M:$M,'BSE - SENSEX Index Options'!$D:$D,$A51,'BSE - SENSEX Index Options'!$I:$I,"Weekly*")+SUMIFS('BSE - Other Index Options'!$M:$M,'BSE - Other Index Options'!$D:$D,$A51,'BSE - Other Index Options'!$I:$I,"Weekly*"))</f>
        <v/>
      </c>
      <c r="D51" s="27">
        <f>IF(SUM(B51:C51)=0,"",SUM(B51)/SUM(B51:C51))</f>
        <v/>
      </c>
      <c r="E51" s="27">
        <f>IF(SUM(B51:C51)=0,"",SUM(C51)/SUM(B51:C51))</f>
        <v/>
      </c>
      <c r="G51" s="27">
        <f>IF(SUM(B18)=0,"",SUM(B51)/SUM(B18))</f>
        <v/>
      </c>
      <c r="H51" s="27">
        <f>IF(SUM(C18)=0,"",SUM(C51)/SUM(C18))</f>
        <v/>
      </c>
      <c r="I51" s="27">
        <f>IF(SUM(B18:C18)=0,"",SUM(B51:C51)/SUM(B18:C18))</f>
        <v/>
      </c>
    </row>
    <row r="52" hidden="1" outlineLevel="1">
      <c r="A52" s="24" t="n">
        <v>46327</v>
      </c>
      <c r="B52" s="26">
        <f>IF(SUMIFS('NSE - NIFTY Index Options'!$M:$M,'NSE - NIFTY Index Options'!$D:$D,$A52,'NSE - NIFTY Index Options'!$I:$I,"Weekly*")+SUMIFS('NSE - Other Index Options'!$M:$M,'NSE - Other Index Options'!$D:$D,$A52,'NSE - Other Index Options'!$I:$I,"Weekly*")=0,"",SUMIFS('NSE - NIFTY Index Options'!$M:$M,'NSE - NIFTY Index Options'!$D:$D,$A52,'NSE - NIFTY Index Options'!$I:$I,"Weekly*")+SUMIFS('NSE - Other Index Options'!$M:$M,'NSE - Other Index Options'!$D:$D,$A52,'NSE - Other Index Options'!$I:$I,"Weekly*"))</f>
        <v/>
      </c>
      <c r="C52" s="26">
        <f>IF(SUMIFS('BSE - SENSEX Index Options'!$M:$M,'BSE - SENSEX Index Options'!$D:$D,$A52,'BSE - SENSEX Index Options'!$I:$I,"Weekly*")+SUMIFS('BSE - Other Index Options'!$M:$M,'BSE - Other Index Options'!$D:$D,$A52,'BSE - Other Index Options'!$I:$I,"Weekly*")=0,"",SUMIFS('BSE - SENSEX Index Options'!$M:$M,'BSE - SENSEX Index Options'!$D:$D,$A52,'BSE - SENSEX Index Options'!$I:$I,"Weekly*")+SUMIFS('BSE - Other Index Options'!$M:$M,'BSE - Other Index Options'!$D:$D,$A52,'BSE - Other Index Options'!$I:$I,"Weekly*"))</f>
        <v/>
      </c>
      <c r="D52" s="27">
        <f>IF(SUM(B52:C52)=0,"",SUM(B52)/SUM(B52:C52))</f>
        <v/>
      </c>
      <c r="E52" s="27">
        <f>IF(SUM(B52:C52)=0,"",SUM(C52)/SUM(B52:C52))</f>
        <v/>
      </c>
      <c r="G52" s="27">
        <f>IF(SUM(B19)=0,"",SUM(B52)/SUM(B19))</f>
        <v/>
      </c>
      <c r="H52" s="27">
        <f>IF(SUM(C19)=0,"",SUM(C52)/SUM(C19))</f>
        <v/>
      </c>
      <c r="I52" s="27">
        <f>IF(SUM(B19:C19)=0,"",SUM(B52:C52)/SUM(B19:C19))</f>
        <v/>
      </c>
    </row>
    <row r="53" hidden="1" outlineLevel="1">
      <c r="A53" s="24" t="n">
        <v>46357</v>
      </c>
      <c r="B53" s="26">
        <f>IF(SUMIFS('NSE - NIFTY Index Options'!$M:$M,'NSE - NIFTY Index Options'!$D:$D,$A53,'NSE - NIFTY Index Options'!$I:$I,"Weekly*")+SUMIFS('NSE - Other Index Options'!$M:$M,'NSE - Other Index Options'!$D:$D,$A53,'NSE - Other Index Options'!$I:$I,"Weekly*")=0,"",SUMIFS('NSE - NIFTY Index Options'!$M:$M,'NSE - NIFTY Index Options'!$D:$D,$A53,'NSE - NIFTY Index Options'!$I:$I,"Weekly*")+SUMIFS('NSE - Other Index Options'!$M:$M,'NSE - Other Index Options'!$D:$D,$A53,'NSE - Other Index Options'!$I:$I,"Weekly*"))</f>
        <v/>
      </c>
      <c r="C53" s="26">
        <f>IF(SUMIFS('BSE - SENSEX Index Options'!$M:$M,'BSE - SENSEX Index Options'!$D:$D,$A53,'BSE - SENSEX Index Options'!$I:$I,"Weekly*")+SUMIFS('BSE - Other Index Options'!$M:$M,'BSE - Other Index Options'!$D:$D,$A53,'BSE - Other Index Options'!$I:$I,"Weekly*")=0,"",SUMIFS('BSE - SENSEX Index Options'!$M:$M,'BSE - SENSEX Index Options'!$D:$D,$A53,'BSE - SENSEX Index Options'!$I:$I,"Weekly*")+SUMIFS('BSE - Other Index Options'!$M:$M,'BSE - Other Index Options'!$D:$D,$A53,'BSE - Other Index Options'!$I:$I,"Weekly*"))</f>
        <v/>
      </c>
      <c r="D53" s="27">
        <f>IF(SUM(B53:C53)=0,"",SUM(B53)/SUM(B53:C53))</f>
        <v/>
      </c>
      <c r="E53" s="27">
        <f>IF(SUM(B53:C53)=0,"",SUM(C53)/SUM(B53:C53))</f>
        <v/>
      </c>
      <c r="G53" s="27">
        <f>IF(SUM(B20)=0,"",SUM(B53)/SUM(B20))</f>
        <v/>
      </c>
      <c r="H53" s="27">
        <f>IF(SUM(C20)=0,"",SUM(C53)/SUM(C20))</f>
        <v/>
      </c>
      <c r="I53" s="27">
        <f>IF(SUM(B20:C20)=0,"",SUM(B53:C53)/SUM(B20:C20))</f>
        <v/>
      </c>
    </row>
    <row r="54" hidden="1" outlineLevel="1">
      <c r="A54" s="24" t="n">
        <v>46388</v>
      </c>
      <c r="B54" s="26">
        <f>IF(SUMIFS('NSE - NIFTY Index Options'!$M:$M,'NSE - NIFTY Index Options'!$D:$D,$A54,'NSE - NIFTY Index Options'!$I:$I,"Weekly*")+SUMIFS('NSE - Other Index Options'!$M:$M,'NSE - Other Index Options'!$D:$D,$A54,'NSE - Other Index Options'!$I:$I,"Weekly*")=0,"",SUMIFS('NSE - NIFTY Index Options'!$M:$M,'NSE - NIFTY Index Options'!$D:$D,$A54,'NSE - NIFTY Index Options'!$I:$I,"Weekly*")+SUMIFS('NSE - Other Index Options'!$M:$M,'NSE - Other Index Options'!$D:$D,$A54,'NSE - Other Index Options'!$I:$I,"Weekly*"))</f>
        <v/>
      </c>
      <c r="C54" s="26">
        <f>IF(SUMIFS('BSE - SENSEX Index Options'!$M:$M,'BSE - SENSEX Index Options'!$D:$D,$A54,'BSE - SENSEX Index Options'!$I:$I,"Weekly*")+SUMIFS('BSE - Other Index Options'!$M:$M,'BSE - Other Index Options'!$D:$D,$A54,'BSE - Other Index Options'!$I:$I,"Weekly*")=0,"",SUMIFS('BSE - SENSEX Index Options'!$M:$M,'BSE - SENSEX Index Options'!$D:$D,$A54,'BSE - SENSEX Index Options'!$I:$I,"Weekly*")+SUMIFS('BSE - Other Index Options'!$M:$M,'BSE - Other Index Options'!$D:$D,$A54,'BSE - Other Index Options'!$I:$I,"Weekly*"))</f>
        <v/>
      </c>
      <c r="D54" s="27">
        <f>IF(SUM(B54:C54)=0,"",SUM(B54)/SUM(B54:C54))</f>
        <v/>
      </c>
      <c r="E54" s="27">
        <f>IF(SUM(B54:C54)=0,"",SUM(C54)/SUM(B54:C54))</f>
        <v/>
      </c>
      <c r="G54" s="27">
        <f>IF(SUM(B21)=0,"",SUM(B54)/SUM(B21))</f>
        <v/>
      </c>
      <c r="H54" s="27">
        <f>IF(SUM(C21)=0,"",SUM(C54)/SUM(C21))</f>
        <v/>
      </c>
      <c r="I54" s="27">
        <f>IF(SUM(B21:C21)=0,"",SUM(B54:C54)/SUM(B21:C21))</f>
        <v/>
      </c>
    </row>
    <row r="55" hidden="1" outlineLevel="1">
      <c r="A55" s="24" t="n">
        <v>46419</v>
      </c>
      <c r="B55" s="26">
        <f>IF(SUMIFS('NSE - NIFTY Index Options'!$M:$M,'NSE - NIFTY Index Options'!$D:$D,$A55,'NSE - NIFTY Index Options'!$I:$I,"Weekly*")+SUMIFS('NSE - Other Index Options'!$M:$M,'NSE - Other Index Options'!$D:$D,$A55,'NSE - Other Index Options'!$I:$I,"Weekly*")=0,"",SUMIFS('NSE - NIFTY Index Options'!$M:$M,'NSE - NIFTY Index Options'!$D:$D,$A55,'NSE - NIFTY Index Options'!$I:$I,"Weekly*")+SUMIFS('NSE - Other Index Options'!$M:$M,'NSE - Other Index Options'!$D:$D,$A55,'NSE - Other Index Options'!$I:$I,"Weekly*"))</f>
        <v/>
      </c>
      <c r="C55" s="26">
        <f>IF(SUMIFS('BSE - SENSEX Index Options'!$M:$M,'BSE - SENSEX Index Options'!$D:$D,$A55,'BSE - SENSEX Index Options'!$I:$I,"Weekly*")+SUMIFS('BSE - Other Index Options'!$M:$M,'BSE - Other Index Options'!$D:$D,$A55,'BSE - Other Index Options'!$I:$I,"Weekly*")=0,"",SUMIFS('BSE - SENSEX Index Options'!$M:$M,'BSE - SENSEX Index Options'!$D:$D,$A55,'BSE - SENSEX Index Options'!$I:$I,"Weekly*")+SUMIFS('BSE - Other Index Options'!$M:$M,'BSE - Other Index Options'!$D:$D,$A55,'BSE - Other Index Options'!$I:$I,"Weekly*"))</f>
        <v/>
      </c>
      <c r="D55" s="27">
        <f>IF(SUM(B55:C55)=0,"",SUM(B55)/SUM(B55:C55))</f>
        <v/>
      </c>
      <c r="E55" s="27">
        <f>IF(SUM(B55:C55)=0,"",SUM(C55)/SUM(B55:C55))</f>
        <v/>
      </c>
      <c r="G55" s="27">
        <f>IF(SUM(B22)=0,"",SUM(B55)/SUM(B22))</f>
        <v/>
      </c>
      <c r="H55" s="27">
        <f>IF(SUM(C22)=0,"",SUM(C55)/SUM(C22))</f>
        <v/>
      </c>
      <c r="I55" s="27">
        <f>IF(SUM(B22:C22)=0,"",SUM(B55:C55)/SUM(B22:C22))</f>
        <v/>
      </c>
    </row>
    <row r="56" hidden="1" outlineLevel="1">
      <c r="A56" s="24" t="n">
        <v>46447</v>
      </c>
      <c r="B56" s="26">
        <f>IF(SUMIFS('NSE - NIFTY Index Options'!$M:$M,'NSE - NIFTY Index Options'!$D:$D,$A56,'NSE - NIFTY Index Options'!$I:$I,"Weekly*")+SUMIFS('NSE - Other Index Options'!$M:$M,'NSE - Other Index Options'!$D:$D,$A56,'NSE - Other Index Options'!$I:$I,"Weekly*")=0,"",SUMIFS('NSE - NIFTY Index Options'!$M:$M,'NSE - NIFTY Index Options'!$D:$D,$A56,'NSE - NIFTY Index Options'!$I:$I,"Weekly*")+SUMIFS('NSE - Other Index Options'!$M:$M,'NSE - Other Index Options'!$D:$D,$A56,'NSE - Other Index Options'!$I:$I,"Weekly*"))</f>
        <v/>
      </c>
      <c r="C56" s="26">
        <f>IF(SUMIFS('BSE - SENSEX Index Options'!$M:$M,'BSE - SENSEX Index Options'!$D:$D,$A56,'BSE - SENSEX Index Options'!$I:$I,"Weekly*")+SUMIFS('BSE - Other Index Options'!$M:$M,'BSE - Other Index Options'!$D:$D,$A56,'BSE - Other Index Options'!$I:$I,"Weekly*")=0,"",SUMIFS('BSE - SENSEX Index Options'!$M:$M,'BSE - SENSEX Index Options'!$D:$D,$A56,'BSE - SENSEX Index Options'!$I:$I,"Weekly*")+SUMIFS('BSE - Other Index Options'!$M:$M,'BSE - Other Index Options'!$D:$D,$A56,'BSE - Other Index Options'!$I:$I,"Weekly*"))</f>
        <v/>
      </c>
      <c r="D56" s="27">
        <f>IF(SUM(B56:C56)=0,"",SUM(B56)/SUM(B56:C56))</f>
        <v/>
      </c>
      <c r="E56" s="27">
        <f>IF(SUM(B56:C56)=0,"",SUM(C56)/SUM(B56:C56))</f>
        <v/>
      </c>
      <c r="G56" s="27">
        <f>IF(SUM(B23)=0,"",SUM(B56)/SUM(B23))</f>
        <v/>
      </c>
      <c r="H56" s="27">
        <f>IF(SUM(C23)=0,"",SUM(C56)/SUM(C23))</f>
        <v/>
      </c>
      <c r="I56" s="27">
        <f>IF(SUM(B23:C23)=0,"",SUM(B56:C56)/SUM(B23:C23))</f>
        <v/>
      </c>
    </row>
    <row r="57" hidden="1" outlineLevel="1">
      <c r="A57" s="24" t="n">
        <v>46478</v>
      </c>
      <c r="B57" s="26">
        <f>IF(SUMIFS('NSE - NIFTY Index Options'!$M:$M,'NSE - NIFTY Index Options'!$D:$D,$A57,'NSE - NIFTY Index Options'!$I:$I,"Weekly*")+SUMIFS('NSE - Other Index Options'!$M:$M,'NSE - Other Index Options'!$D:$D,$A57,'NSE - Other Index Options'!$I:$I,"Weekly*")=0,"",SUMIFS('NSE - NIFTY Index Options'!$M:$M,'NSE - NIFTY Index Options'!$D:$D,$A57,'NSE - NIFTY Index Options'!$I:$I,"Weekly*")+SUMIFS('NSE - Other Index Options'!$M:$M,'NSE - Other Index Options'!$D:$D,$A57,'NSE - Other Index Options'!$I:$I,"Weekly*"))</f>
        <v/>
      </c>
      <c r="C57" s="26">
        <f>IF(SUMIFS('BSE - SENSEX Index Options'!$M:$M,'BSE - SENSEX Index Options'!$D:$D,$A57,'BSE - SENSEX Index Options'!$I:$I,"Weekly*")+SUMIFS('BSE - Other Index Options'!$M:$M,'BSE - Other Index Options'!$D:$D,$A57,'BSE - Other Index Options'!$I:$I,"Weekly*")=0,"",SUMIFS('BSE - SENSEX Index Options'!$M:$M,'BSE - SENSEX Index Options'!$D:$D,$A57,'BSE - SENSEX Index Options'!$I:$I,"Weekly*")+SUMIFS('BSE - Other Index Options'!$M:$M,'BSE - Other Index Options'!$D:$D,$A57,'BSE - Other Index Options'!$I:$I,"Weekly*"))</f>
        <v/>
      </c>
      <c r="D57" s="27">
        <f>IF(SUM(B57:C57)=0,"",SUM(B57)/SUM(B57:C57))</f>
        <v/>
      </c>
      <c r="E57" s="27">
        <f>IF(SUM(B57:C57)=0,"",SUM(C57)/SUM(B57:C57))</f>
        <v/>
      </c>
      <c r="G57" s="27">
        <f>IF(SUM(B24)=0,"",SUM(B57)/SUM(B24))</f>
        <v/>
      </c>
      <c r="H57" s="27">
        <f>IF(SUM(C24)=0,"",SUM(C57)/SUM(C24))</f>
        <v/>
      </c>
      <c r="I57" s="27">
        <f>IF(SUM(B24:C24)=0,"",SUM(B57:C57)/SUM(B24:C24))</f>
        <v/>
      </c>
    </row>
    <row r="58" hidden="1" outlineLevel="1">
      <c r="A58" s="24" t="n">
        <v>46508</v>
      </c>
      <c r="B58" s="26">
        <f>IF(SUMIFS('NSE - NIFTY Index Options'!$M:$M,'NSE - NIFTY Index Options'!$D:$D,$A58,'NSE - NIFTY Index Options'!$I:$I,"Weekly*")+SUMIFS('NSE - Other Index Options'!$M:$M,'NSE - Other Index Options'!$D:$D,$A58,'NSE - Other Index Options'!$I:$I,"Weekly*")=0,"",SUMIFS('NSE - NIFTY Index Options'!$M:$M,'NSE - NIFTY Index Options'!$D:$D,$A58,'NSE - NIFTY Index Options'!$I:$I,"Weekly*")+SUMIFS('NSE - Other Index Options'!$M:$M,'NSE - Other Index Options'!$D:$D,$A58,'NSE - Other Index Options'!$I:$I,"Weekly*"))</f>
        <v/>
      </c>
      <c r="C58" s="26">
        <f>IF(SUMIFS('BSE - SENSEX Index Options'!$M:$M,'BSE - SENSEX Index Options'!$D:$D,$A58,'BSE - SENSEX Index Options'!$I:$I,"Weekly*")+SUMIFS('BSE - Other Index Options'!$M:$M,'BSE - Other Index Options'!$D:$D,$A58,'BSE - Other Index Options'!$I:$I,"Weekly*")=0,"",SUMIFS('BSE - SENSEX Index Options'!$M:$M,'BSE - SENSEX Index Options'!$D:$D,$A58,'BSE - SENSEX Index Options'!$I:$I,"Weekly*")+SUMIFS('BSE - Other Index Options'!$M:$M,'BSE - Other Index Options'!$D:$D,$A58,'BSE - Other Index Options'!$I:$I,"Weekly*"))</f>
        <v/>
      </c>
      <c r="D58" s="27">
        <f>IF(SUM(B58:C58)=0,"",SUM(B58)/SUM(B58:C58))</f>
        <v/>
      </c>
      <c r="E58" s="27">
        <f>IF(SUM(B58:C58)=0,"",SUM(C58)/SUM(B58:C58))</f>
        <v/>
      </c>
      <c r="G58" s="27">
        <f>IF(SUM(B25)=0,"",SUM(B58)/SUM(B25))</f>
        <v/>
      </c>
      <c r="H58" s="27">
        <f>IF(SUM(C25)=0,"",SUM(C58)/SUM(C25))</f>
        <v/>
      </c>
      <c r="I58" s="27">
        <f>IF(SUM(B25:C25)=0,"",SUM(B58:C58)/SUM(B25:C25))</f>
        <v/>
      </c>
    </row>
    <row r="59" hidden="1" outlineLevel="1">
      <c r="A59" s="24" t="n">
        <v>46539</v>
      </c>
      <c r="B59" s="26">
        <f>IF(SUMIFS('NSE - NIFTY Index Options'!$M:$M,'NSE - NIFTY Index Options'!$D:$D,$A59,'NSE - NIFTY Index Options'!$I:$I,"Weekly*")+SUMIFS('NSE - Other Index Options'!$M:$M,'NSE - Other Index Options'!$D:$D,$A59,'NSE - Other Index Options'!$I:$I,"Weekly*")=0,"",SUMIFS('NSE - NIFTY Index Options'!$M:$M,'NSE - NIFTY Index Options'!$D:$D,$A59,'NSE - NIFTY Index Options'!$I:$I,"Weekly*")+SUMIFS('NSE - Other Index Options'!$M:$M,'NSE - Other Index Options'!$D:$D,$A59,'NSE - Other Index Options'!$I:$I,"Weekly*"))</f>
        <v/>
      </c>
      <c r="C59" s="26">
        <f>IF(SUMIFS('BSE - SENSEX Index Options'!$M:$M,'BSE - SENSEX Index Options'!$D:$D,$A59,'BSE - SENSEX Index Options'!$I:$I,"Weekly*")+SUMIFS('BSE - Other Index Options'!$M:$M,'BSE - Other Index Options'!$D:$D,$A59,'BSE - Other Index Options'!$I:$I,"Weekly*")=0,"",SUMIFS('BSE - SENSEX Index Options'!$M:$M,'BSE - SENSEX Index Options'!$D:$D,$A59,'BSE - SENSEX Index Options'!$I:$I,"Weekly*")+SUMIFS('BSE - Other Index Options'!$M:$M,'BSE - Other Index Options'!$D:$D,$A59,'BSE - Other Index Options'!$I:$I,"Weekly*"))</f>
        <v/>
      </c>
      <c r="D59" s="27">
        <f>IF(SUM(B59:C59)=0,"",SUM(B59)/SUM(B59:C59))</f>
        <v/>
      </c>
      <c r="E59" s="27">
        <f>IF(SUM(B59:C59)=0,"",SUM(C59)/SUM(B59:C59))</f>
        <v/>
      </c>
      <c r="G59" s="27">
        <f>IF(SUM(B26)=0,"",SUM(B59)/SUM(B26))</f>
        <v/>
      </c>
      <c r="H59" s="27">
        <f>IF(SUM(C26)=0,"",SUM(C59)/SUM(C26))</f>
        <v/>
      </c>
      <c r="I59" s="27">
        <f>IF(SUM(B26:C26)=0,"",SUM(B59:C59)/SUM(B26:C26))</f>
        <v/>
      </c>
    </row>
    <row r="60" hidden="1" outlineLevel="1">
      <c r="A60" s="24" t="n">
        <v>46569</v>
      </c>
      <c r="B60" s="26">
        <f>IF(SUMIFS('NSE - NIFTY Index Options'!$M:$M,'NSE - NIFTY Index Options'!$D:$D,$A60,'NSE - NIFTY Index Options'!$I:$I,"Weekly*")+SUMIFS('NSE - Other Index Options'!$M:$M,'NSE - Other Index Options'!$D:$D,$A60,'NSE - Other Index Options'!$I:$I,"Weekly*")=0,"",SUMIFS('NSE - NIFTY Index Options'!$M:$M,'NSE - NIFTY Index Options'!$D:$D,$A60,'NSE - NIFTY Index Options'!$I:$I,"Weekly*")+SUMIFS('NSE - Other Index Options'!$M:$M,'NSE - Other Index Options'!$D:$D,$A60,'NSE - Other Index Options'!$I:$I,"Weekly*"))</f>
        <v/>
      </c>
      <c r="C60" s="26">
        <f>IF(SUMIFS('BSE - SENSEX Index Options'!$M:$M,'BSE - SENSEX Index Options'!$D:$D,$A60,'BSE - SENSEX Index Options'!$I:$I,"Weekly*")+SUMIFS('BSE - Other Index Options'!$M:$M,'BSE - Other Index Options'!$D:$D,$A60,'BSE - Other Index Options'!$I:$I,"Weekly*")=0,"",SUMIFS('BSE - SENSEX Index Options'!$M:$M,'BSE - SENSEX Index Options'!$D:$D,$A60,'BSE - SENSEX Index Options'!$I:$I,"Weekly*")+SUMIFS('BSE - Other Index Options'!$M:$M,'BSE - Other Index Options'!$D:$D,$A60,'BSE - Other Index Options'!$I:$I,"Weekly*"))</f>
        <v/>
      </c>
      <c r="D60" s="27">
        <f>IF(SUM(B60:C60)=0,"",SUM(B60)/SUM(B60:C60))</f>
        <v/>
      </c>
      <c r="E60" s="27">
        <f>IF(SUM(B60:C60)=0,"",SUM(C60)/SUM(B60:C60))</f>
        <v/>
      </c>
      <c r="G60" s="27">
        <f>IF(SUM(B27)=0,"",SUM(B60)/SUM(B27))</f>
        <v/>
      </c>
      <c r="H60" s="27">
        <f>IF(SUM(C27)=0,"",SUM(C60)/SUM(C27))</f>
        <v/>
      </c>
      <c r="I60" s="27">
        <f>IF(SUM(B27:C27)=0,"",SUM(B60:C60)/SUM(B27:C27))</f>
        <v/>
      </c>
    </row>
    <row r="61" hidden="1" outlineLevel="1">
      <c r="A61" s="24" t="n">
        <v>46600</v>
      </c>
      <c r="B61" s="26">
        <f>IF(SUMIFS('NSE - NIFTY Index Options'!$M:$M,'NSE - NIFTY Index Options'!$D:$D,$A61,'NSE - NIFTY Index Options'!$I:$I,"Weekly*")+SUMIFS('NSE - Other Index Options'!$M:$M,'NSE - Other Index Options'!$D:$D,$A61,'NSE - Other Index Options'!$I:$I,"Weekly*")=0,"",SUMIFS('NSE - NIFTY Index Options'!$M:$M,'NSE - NIFTY Index Options'!$D:$D,$A61,'NSE - NIFTY Index Options'!$I:$I,"Weekly*")+SUMIFS('NSE - Other Index Options'!$M:$M,'NSE - Other Index Options'!$D:$D,$A61,'NSE - Other Index Options'!$I:$I,"Weekly*"))</f>
        <v/>
      </c>
      <c r="C61" s="26">
        <f>IF(SUMIFS('BSE - SENSEX Index Options'!$M:$M,'BSE - SENSEX Index Options'!$D:$D,$A61,'BSE - SENSEX Index Options'!$I:$I,"Weekly*")+SUMIFS('BSE - Other Index Options'!$M:$M,'BSE - Other Index Options'!$D:$D,$A61,'BSE - Other Index Options'!$I:$I,"Weekly*")=0,"",SUMIFS('BSE - SENSEX Index Options'!$M:$M,'BSE - SENSEX Index Options'!$D:$D,$A61,'BSE - SENSEX Index Options'!$I:$I,"Weekly*")+SUMIFS('BSE - Other Index Options'!$M:$M,'BSE - Other Index Options'!$D:$D,$A61,'BSE - Other Index Options'!$I:$I,"Weekly*"))</f>
        <v/>
      </c>
      <c r="D61" s="27">
        <f>IF(SUM(B61:C61)=0,"",SUM(B61)/SUM(B61:C61))</f>
        <v/>
      </c>
      <c r="E61" s="27">
        <f>IF(SUM(B61:C61)=0,"",SUM(C61)/SUM(B61:C61))</f>
        <v/>
      </c>
      <c r="G61" s="27">
        <f>IF(SUM(B28)=0,"",SUM(B61)/SUM(B28))</f>
        <v/>
      </c>
      <c r="H61" s="27">
        <f>IF(SUM(C28)=0,"",SUM(C61)/SUM(C28))</f>
        <v/>
      </c>
      <c r="I61" s="27">
        <f>IF(SUM(B28:C28)=0,"",SUM(B61:C61)/SUM(B28:C28))</f>
        <v/>
      </c>
    </row>
    <row r="62" hidden="1" outlineLevel="1">
      <c r="A62" s="24" t="n">
        <v>46631</v>
      </c>
      <c r="B62" s="26">
        <f>IF(SUMIFS('NSE - NIFTY Index Options'!$M:$M,'NSE - NIFTY Index Options'!$D:$D,$A62,'NSE - NIFTY Index Options'!$I:$I,"Weekly*")+SUMIFS('NSE - Other Index Options'!$M:$M,'NSE - Other Index Options'!$D:$D,$A62,'NSE - Other Index Options'!$I:$I,"Weekly*")=0,"",SUMIFS('NSE - NIFTY Index Options'!$M:$M,'NSE - NIFTY Index Options'!$D:$D,$A62,'NSE - NIFTY Index Options'!$I:$I,"Weekly*")+SUMIFS('NSE - Other Index Options'!$M:$M,'NSE - Other Index Options'!$D:$D,$A62,'NSE - Other Index Options'!$I:$I,"Weekly*"))</f>
        <v/>
      </c>
      <c r="C62" s="26">
        <f>IF(SUMIFS('BSE - SENSEX Index Options'!$M:$M,'BSE - SENSEX Index Options'!$D:$D,$A62,'BSE - SENSEX Index Options'!$I:$I,"Weekly*")+SUMIFS('BSE - Other Index Options'!$M:$M,'BSE - Other Index Options'!$D:$D,$A62,'BSE - Other Index Options'!$I:$I,"Weekly*")=0,"",SUMIFS('BSE - SENSEX Index Options'!$M:$M,'BSE - SENSEX Index Options'!$D:$D,$A62,'BSE - SENSEX Index Options'!$I:$I,"Weekly*")+SUMIFS('BSE - Other Index Options'!$M:$M,'BSE - Other Index Options'!$D:$D,$A62,'BSE - Other Index Options'!$I:$I,"Weekly*"))</f>
        <v/>
      </c>
      <c r="D62" s="27">
        <f>IF(SUM(B62:C62)=0,"",SUM(B62)/SUM(B62:C62))</f>
        <v/>
      </c>
      <c r="E62" s="27">
        <f>IF(SUM(B62:C62)=0,"",SUM(C62)/SUM(B62:C62))</f>
        <v/>
      </c>
      <c r="G62" s="27">
        <f>IF(SUM(B29)=0,"",SUM(B62)/SUM(B29))</f>
        <v/>
      </c>
      <c r="H62" s="27">
        <f>IF(SUM(C29)=0,"",SUM(C62)/SUM(C29))</f>
        <v/>
      </c>
      <c r="I62" s="27">
        <f>IF(SUM(B29:C29)=0,"",SUM(B62:C62)/SUM(B29:C29))</f>
        <v/>
      </c>
    </row>
    <row r="63" hidden="1" outlineLevel="1">
      <c r="A63" s="24" t="n">
        <v>46661</v>
      </c>
      <c r="B63" s="26">
        <f>IF(SUMIFS('NSE - NIFTY Index Options'!$M:$M,'NSE - NIFTY Index Options'!$D:$D,$A63,'NSE - NIFTY Index Options'!$I:$I,"Weekly*")+SUMIFS('NSE - Other Index Options'!$M:$M,'NSE - Other Index Options'!$D:$D,$A63,'NSE - Other Index Options'!$I:$I,"Weekly*")=0,"",SUMIFS('NSE - NIFTY Index Options'!$M:$M,'NSE - NIFTY Index Options'!$D:$D,$A63,'NSE - NIFTY Index Options'!$I:$I,"Weekly*")+SUMIFS('NSE - Other Index Options'!$M:$M,'NSE - Other Index Options'!$D:$D,$A63,'NSE - Other Index Options'!$I:$I,"Weekly*"))</f>
        <v/>
      </c>
      <c r="C63" s="26">
        <f>IF(SUMIFS('BSE - SENSEX Index Options'!$M:$M,'BSE - SENSEX Index Options'!$D:$D,$A63,'BSE - SENSEX Index Options'!$I:$I,"Weekly*")+SUMIFS('BSE - Other Index Options'!$M:$M,'BSE - Other Index Options'!$D:$D,$A63,'BSE - Other Index Options'!$I:$I,"Weekly*")=0,"",SUMIFS('BSE - SENSEX Index Options'!$M:$M,'BSE - SENSEX Index Options'!$D:$D,$A63,'BSE - SENSEX Index Options'!$I:$I,"Weekly*")+SUMIFS('BSE - Other Index Options'!$M:$M,'BSE - Other Index Options'!$D:$D,$A63,'BSE - Other Index Options'!$I:$I,"Weekly*"))</f>
        <v/>
      </c>
      <c r="D63" s="27">
        <f>IF(SUM(B63:C63)=0,"",SUM(B63)/SUM(B63:C63))</f>
        <v/>
      </c>
      <c r="E63" s="27">
        <f>IF(SUM(B63:C63)=0,"",SUM(C63)/SUM(B63:C63))</f>
        <v/>
      </c>
      <c r="G63" s="27">
        <f>IF(SUM(B30)=0,"",SUM(B63)/SUM(B30))</f>
        <v/>
      </c>
      <c r="H63" s="27">
        <f>IF(SUM(C30)=0,"",SUM(C63)/SUM(C30))</f>
        <v/>
      </c>
      <c r="I63" s="27">
        <f>IF(SUM(B30:C30)=0,"",SUM(B63:C63)/SUM(B30:C30))</f>
        <v/>
      </c>
    </row>
    <row r="64" hidden="1" outlineLevel="1">
      <c r="A64" s="24" t="n">
        <v>46692</v>
      </c>
      <c r="B64" s="26">
        <f>IF(SUMIFS('NSE - NIFTY Index Options'!$M:$M,'NSE - NIFTY Index Options'!$D:$D,$A64,'NSE - NIFTY Index Options'!$I:$I,"Weekly*")+SUMIFS('NSE - Other Index Options'!$M:$M,'NSE - Other Index Options'!$D:$D,$A64,'NSE - Other Index Options'!$I:$I,"Weekly*")=0,"",SUMIFS('NSE - NIFTY Index Options'!$M:$M,'NSE - NIFTY Index Options'!$D:$D,$A64,'NSE - NIFTY Index Options'!$I:$I,"Weekly*")+SUMIFS('NSE - Other Index Options'!$M:$M,'NSE - Other Index Options'!$D:$D,$A64,'NSE - Other Index Options'!$I:$I,"Weekly*"))</f>
        <v/>
      </c>
      <c r="C64" s="26">
        <f>IF(SUMIFS('BSE - SENSEX Index Options'!$M:$M,'BSE - SENSEX Index Options'!$D:$D,$A64,'BSE - SENSEX Index Options'!$I:$I,"Weekly*")+SUMIFS('BSE - Other Index Options'!$M:$M,'BSE - Other Index Options'!$D:$D,$A64,'BSE - Other Index Options'!$I:$I,"Weekly*")=0,"",SUMIFS('BSE - SENSEX Index Options'!$M:$M,'BSE - SENSEX Index Options'!$D:$D,$A64,'BSE - SENSEX Index Options'!$I:$I,"Weekly*")+SUMIFS('BSE - Other Index Options'!$M:$M,'BSE - Other Index Options'!$D:$D,$A64,'BSE - Other Index Options'!$I:$I,"Weekly*"))</f>
        <v/>
      </c>
      <c r="D64" s="27">
        <f>IF(SUM(B64:C64)=0,"",SUM(B64)/SUM(B64:C64))</f>
        <v/>
      </c>
      <c r="E64" s="27">
        <f>IF(SUM(B64:C64)=0,"",SUM(C64)/SUM(B64:C64))</f>
        <v/>
      </c>
      <c r="G64" s="27">
        <f>IF(SUM(B31)=0,"",SUM(B64)/SUM(B31))</f>
        <v/>
      </c>
      <c r="H64" s="27">
        <f>IF(SUM(C31)=0,"",SUM(C64)/SUM(C31))</f>
        <v/>
      </c>
      <c r="I64" s="27">
        <f>IF(SUM(B31:C31)=0,"",SUM(B64:C64)/SUM(B31:C31))</f>
        <v/>
      </c>
    </row>
    <row r="65" hidden="1" outlineLevel="1">
      <c r="A65" s="24" t="n">
        <v>46722</v>
      </c>
      <c r="B65" s="26">
        <f>IF(SUMIFS('NSE - NIFTY Index Options'!$M:$M,'NSE - NIFTY Index Options'!$D:$D,$A65,'NSE - NIFTY Index Options'!$I:$I,"Weekly*")+SUMIFS('NSE - Other Index Options'!$M:$M,'NSE - Other Index Options'!$D:$D,$A65,'NSE - Other Index Options'!$I:$I,"Weekly*")=0,"",SUMIFS('NSE - NIFTY Index Options'!$M:$M,'NSE - NIFTY Index Options'!$D:$D,$A65,'NSE - NIFTY Index Options'!$I:$I,"Weekly*")+SUMIFS('NSE - Other Index Options'!$M:$M,'NSE - Other Index Options'!$D:$D,$A65,'NSE - Other Index Options'!$I:$I,"Weekly*"))</f>
        <v/>
      </c>
      <c r="C65" s="26">
        <f>IF(SUMIFS('BSE - SENSEX Index Options'!$M:$M,'BSE - SENSEX Index Options'!$D:$D,$A65,'BSE - SENSEX Index Options'!$I:$I,"Weekly*")+SUMIFS('BSE - Other Index Options'!$M:$M,'BSE - Other Index Options'!$D:$D,$A65,'BSE - Other Index Options'!$I:$I,"Weekly*")=0,"",SUMIFS('BSE - SENSEX Index Options'!$M:$M,'BSE - SENSEX Index Options'!$D:$D,$A65,'BSE - SENSEX Index Options'!$I:$I,"Weekly*")+SUMIFS('BSE - Other Index Options'!$M:$M,'BSE - Other Index Options'!$D:$D,$A65,'BSE - Other Index Options'!$I:$I,"Weekly*"))</f>
        <v/>
      </c>
      <c r="D65" s="27">
        <f>IF(SUM(B65:C65)=0,"",SUM(B65)/SUM(B65:C65))</f>
        <v/>
      </c>
      <c r="E65" s="27">
        <f>IF(SUM(B65:C65)=0,"",SUM(C65)/SUM(B65:C65))</f>
        <v/>
      </c>
      <c r="G65" s="27">
        <f>IF(SUM(B32)=0,"",SUM(B65)/SUM(B32))</f>
        <v/>
      </c>
      <c r="H65" s="27">
        <f>IF(SUM(C32)=0,"",SUM(C65)/SUM(C32))</f>
        <v/>
      </c>
      <c r="I65" s="27">
        <f>IF(SUM(B32:C32)=0,"",SUM(B65:C65)/SUM(B32:C32))</f>
        <v/>
      </c>
    </row>
    <row r="66" collapsed="1">
      <c r="A66" s="36" t="inlineStr">
        <is>
          <t>Total</t>
        </is>
      </c>
      <c r="B66" s="37">
        <f>IF(SUM(B38:B65)=0,"",SUM(B38:B65))</f>
        <v/>
      </c>
      <c r="C66" s="37">
        <f>IF(SUM(C38:C65)=0,"",SUM(C38:C65))</f>
        <v/>
      </c>
      <c r="D66" s="38">
        <f>IF(SUM(B66:C66)=0,"",SUM(B66)/SUM(B66:C66))</f>
        <v/>
      </c>
      <c r="E66" s="38">
        <f>IF(SUM(B66:C66)=0,"",SUM(C66)/SUM(B66:C66))</f>
        <v/>
      </c>
      <c r="G66" s="27">
        <f>IF(SUM(B33)=0,"",SUM(B66)/SUM(B33))</f>
        <v/>
      </c>
      <c r="H66" s="27">
        <f>IF(SUM(C33)=0,"",SUM(C66)/SUM(C33))</f>
        <v/>
      </c>
      <c r="I66" s="27">
        <f>IF(SUM(B33:C33)=0,"",SUM(B66:C66)/SUM(B33:C33))</f>
        <v/>
      </c>
    </row>
    <row r="69">
      <c r="A69" s="36" t="inlineStr">
        <is>
          <t>MDAW (Expiry Type 2)</t>
        </is>
      </c>
      <c r="G69" s="41" t="inlineStr">
        <is>
          <t>Composition — % of All Expiry Premium</t>
        </is>
      </c>
    </row>
    <row r="70">
      <c r="A70" s="36" t="inlineStr">
        <is>
          <t>Month</t>
        </is>
      </c>
      <c r="B70" s="36" t="inlineStr">
        <is>
          <t>NSE Premium Turnover (INR Bn)</t>
        </is>
      </c>
      <c r="C70" s="36" t="inlineStr">
        <is>
          <t>BSE Premium Turnover (INR Bn)</t>
        </is>
      </c>
      <c r="D70" s="36" t="inlineStr">
        <is>
          <t>NSE Market Share</t>
        </is>
      </c>
      <c r="E70" s="36" t="inlineStr">
        <is>
          <t>BSE Market Share</t>
        </is>
      </c>
      <c r="G70" s="39" t="inlineStr">
        <is>
          <t>NSE - % of NSE Total</t>
        </is>
      </c>
      <c r="H70" s="39" t="inlineStr">
        <is>
          <t>BSE - % of BSE Total</t>
        </is>
      </c>
      <c r="I70" s="40" t="inlineStr">
        <is>
          <t>Total - % of Total (NSE+BSE)</t>
        </is>
      </c>
    </row>
    <row r="71">
      <c r="A71" s="24" t="n">
        <v>45901</v>
      </c>
      <c r="B71" s="26">
        <f>IF(SUMIFS('NSE - NIFTY Index Options'!$M:$M,'NSE - NIFTY Index Options'!$D:$D,$A71,'NSE - NIFTY Index Options'!$I:$I,"MDAW*")+SUMIFS('NSE - Other Index Options'!$M:$M,'NSE - Other Index Options'!$D:$D,$A71,'NSE - Other Index Options'!$I:$I,"MDAW*")=0,"",SUMIFS('NSE - NIFTY Index Options'!$M:$M,'NSE - NIFTY Index Options'!$D:$D,$A71,'NSE - NIFTY Index Options'!$I:$I,"MDAW*")+SUMIFS('NSE - Other Index Options'!$M:$M,'NSE - Other Index Options'!$D:$D,$A71,'NSE - Other Index Options'!$I:$I,"MDAW*"))</f>
        <v/>
      </c>
      <c r="C71" s="26">
        <f>IF(SUMIFS('BSE - SENSEX Index Options'!$M:$M,'BSE - SENSEX Index Options'!$D:$D,$A71,'BSE - SENSEX Index Options'!$I:$I,"MDAW*")+SUMIFS('BSE - Other Index Options'!$M:$M,'BSE - Other Index Options'!$D:$D,$A71,'BSE - Other Index Options'!$I:$I,"MDAW*")=0,"",SUMIFS('BSE - SENSEX Index Options'!$M:$M,'BSE - SENSEX Index Options'!$D:$D,$A71,'BSE - SENSEX Index Options'!$I:$I,"MDAW*")+SUMIFS('BSE - Other Index Options'!$M:$M,'BSE - Other Index Options'!$D:$D,$A71,'BSE - Other Index Options'!$I:$I,"MDAW*"))</f>
        <v/>
      </c>
      <c r="D71" s="27">
        <f>IF(SUM(B71:C71)=0,"",SUM(B71)/SUM(B71:C71))</f>
        <v/>
      </c>
      <c r="E71" s="27">
        <f>IF(SUM(B71:C71)=0,"",SUM(C71)/SUM(B71:C71))</f>
        <v/>
      </c>
      <c r="G71" s="27">
        <f>IF(SUM(B5)=0,"",SUM(B71)/SUM(B5))</f>
        <v/>
      </c>
      <c r="H71" s="27">
        <f>IF(SUM(C5)=0,"",SUM(C71)/SUM(C5))</f>
        <v/>
      </c>
      <c r="I71" s="27">
        <f>IF(SUM(B5:C5)=0,"",SUM(B71:C71)/SUM(B5:C5))</f>
        <v/>
      </c>
    </row>
    <row r="72">
      <c r="A72" s="24" t="n">
        <v>45931</v>
      </c>
      <c r="B72" s="26">
        <f>IF(SUMIFS('NSE - NIFTY Index Options'!$M:$M,'NSE - NIFTY Index Options'!$D:$D,$A72,'NSE - NIFTY Index Options'!$I:$I,"MDAW*")+SUMIFS('NSE - Other Index Options'!$M:$M,'NSE - Other Index Options'!$D:$D,$A72,'NSE - Other Index Options'!$I:$I,"MDAW*")=0,"",SUMIFS('NSE - NIFTY Index Options'!$M:$M,'NSE - NIFTY Index Options'!$D:$D,$A72,'NSE - NIFTY Index Options'!$I:$I,"MDAW*")+SUMIFS('NSE - Other Index Options'!$M:$M,'NSE - Other Index Options'!$D:$D,$A72,'NSE - Other Index Options'!$I:$I,"MDAW*"))</f>
        <v/>
      </c>
      <c r="C72" s="26">
        <f>IF(SUMIFS('BSE - SENSEX Index Options'!$M:$M,'BSE - SENSEX Index Options'!$D:$D,$A72,'BSE - SENSEX Index Options'!$I:$I,"MDAW*")+SUMIFS('BSE - Other Index Options'!$M:$M,'BSE - Other Index Options'!$D:$D,$A72,'BSE - Other Index Options'!$I:$I,"MDAW*")=0,"",SUMIFS('BSE - SENSEX Index Options'!$M:$M,'BSE - SENSEX Index Options'!$D:$D,$A72,'BSE - SENSEX Index Options'!$I:$I,"MDAW*")+SUMIFS('BSE - Other Index Options'!$M:$M,'BSE - Other Index Options'!$D:$D,$A72,'BSE - Other Index Options'!$I:$I,"MDAW*"))</f>
        <v/>
      </c>
      <c r="D72" s="27">
        <f>IF(SUM(B72:C72)=0,"",SUM(B72)/SUM(B72:C72))</f>
        <v/>
      </c>
      <c r="E72" s="27">
        <f>IF(SUM(B72:C72)=0,"",SUM(C72)/SUM(B72:C72))</f>
        <v/>
      </c>
      <c r="G72" s="27">
        <f>IF(SUM(B6)=0,"",SUM(B72)/SUM(B6))</f>
        <v/>
      </c>
      <c r="H72" s="27">
        <f>IF(SUM(C6)=0,"",SUM(C72)/SUM(C6))</f>
        <v/>
      </c>
      <c r="I72" s="27">
        <f>IF(SUM(B6:C6)=0,"",SUM(B72:C72)/SUM(B6:C6))</f>
        <v/>
      </c>
    </row>
    <row r="73">
      <c r="A73" s="24" t="n">
        <v>45962</v>
      </c>
      <c r="B73" s="26">
        <f>IF(SUMIFS('NSE - NIFTY Index Options'!$M:$M,'NSE - NIFTY Index Options'!$D:$D,$A73,'NSE - NIFTY Index Options'!$I:$I,"MDAW*")+SUMIFS('NSE - Other Index Options'!$M:$M,'NSE - Other Index Options'!$D:$D,$A73,'NSE - Other Index Options'!$I:$I,"MDAW*")=0,"",SUMIFS('NSE - NIFTY Index Options'!$M:$M,'NSE - NIFTY Index Options'!$D:$D,$A73,'NSE - NIFTY Index Options'!$I:$I,"MDAW*")+SUMIFS('NSE - Other Index Options'!$M:$M,'NSE - Other Index Options'!$D:$D,$A73,'NSE - Other Index Options'!$I:$I,"MDAW*"))</f>
        <v/>
      </c>
      <c r="C73" s="26">
        <f>IF(SUMIFS('BSE - SENSEX Index Options'!$M:$M,'BSE - SENSEX Index Options'!$D:$D,$A73,'BSE - SENSEX Index Options'!$I:$I,"MDAW*")+SUMIFS('BSE - Other Index Options'!$M:$M,'BSE - Other Index Options'!$D:$D,$A73,'BSE - Other Index Options'!$I:$I,"MDAW*")=0,"",SUMIFS('BSE - SENSEX Index Options'!$M:$M,'BSE - SENSEX Index Options'!$D:$D,$A73,'BSE - SENSEX Index Options'!$I:$I,"MDAW*")+SUMIFS('BSE - Other Index Options'!$M:$M,'BSE - Other Index Options'!$D:$D,$A73,'BSE - Other Index Options'!$I:$I,"MDAW*"))</f>
        <v/>
      </c>
      <c r="D73" s="27">
        <f>IF(SUM(B73:C73)=0,"",SUM(B73)/SUM(B73:C73))</f>
        <v/>
      </c>
      <c r="E73" s="27">
        <f>IF(SUM(B73:C73)=0,"",SUM(C73)/SUM(B73:C73))</f>
        <v/>
      </c>
      <c r="G73" s="27">
        <f>IF(SUM(B7)=0,"",SUM(B73)/SUM(B7))</f>
        <v/>
      </c>
      <c r="H73" s="27">
        <f>IF(SUM(C7)=0,"",SUM(C73)/SUM(C7))</f>
        <v/>
      </c>
      <c r="I73" s="27">
        <f>IF(SUM(B7:C7)=0,"",SUM(B73:C73)/SUM(B7:C7))</f>
        <v/>
      </c>
    </row>
    <row r="74">
      <c r="A74" s="24" t="n">
        <v>45992</v>
      </c>
      <c r="B74" s="26">
        <f>IF(SUMIFS('NSE - NIFTY Index Options'!$M:$M,'NSE - NIFTY Index Options'!$D:$D,$A74,'NSE - NIFTY Index Options'!$I:$I,"MDAW*")+SUMIFS('NSE - Other Index Options'!$M:$M,'NSE - Other Index Options'!$D:$D,$A74,'NSE - Other Index Options'!$I:$I,"MDAW*")=0,"",SUMIFS('NSE - NIFTY Index Options'!$M:$M,'NSE - NIFTY Index Options'!$D:$D,$A74,'NSE - NIFTY Index Options'!$I:$I,"MDAW*")+SUMIFS('NSE - Other Index Options'!$M:$M,'NSE - Other Index Options'!$D:$D,$A74,'NSE - Other Index Options'!$I:$I,"MDAW*"))</f>
        <v/>
      </c>
      <c r="C74" s="26">
        <f>IF(SUMIFS('BSE - SENSEX Index Options'!$M:$M,'BSE - SENSEX Index Options'!$D:$D,$A74,'BSE - SENSEX Index Options'!$I:$I,"MDAW*")+SUMIFS('BSE - Other Index Options'!$M:$M,'BSE - Other Index Options'!$D:$D,$A74,'BSE - Other Index Options'!$I:$I,"MDAW*")=0,"",SUMIFS('BSE - SENSEX Index Options'!$M:$M,'BSE - SENSEX Index Options'!$D:$D,$A74,'BSE - SENSEX Index Options'!$I:$I,"MDAW*")+SUMIFS('BSE - Other Index Options'!$M:$M,'BSE - Other Index Options'!$D:$D,$A74,'BSE - Other Index Options'!$I:$I,"MDAW*"))</f>
        <v/>
      </c>
      <c r="D74" s="27">
        <f>IF(SUM(B74:C74)=0,"",SUM(B74)/SUM(B74:C74))</f>
        <v/>
      </c>
      <c r="E74" s="27">
        <f>IF(SUM(B74:C74)=0,"",SUM(C74)/SUM(B74:C74))</f>
        <v/>
      </c>
      <c r="G74" s="27">
        <f>IF(SUM(B8)=0,"",SUM(B74)/SUM(B8))</f>
        <v/>
      </c>
      <c r="H74" s="27">
        <f>IF(SUM(C8)=0,"",SUM(C74)/SUM(C8))</f>
        <v/>
      </c>
      <c r="I74" s="27">
        <f>IF(SUM(B8:C8)=0,"",SUM(B74:C74)/SUM(B8:C8))</f>
        <v/>
      </c>
    </row>
    <row r="75">
      <c r="A75" s="24" t="n">
        <v>46023</v>
      </c>
      <c r="B75" s="26">
        <f>IF(SUMIFS('NSE - NIFTY Index Options'!$M:$M,'NSE - NIFTY Index Options'!$D:$D,$A75,'NSE - NIFTY Index Options'!$I:$I,"MDAW*")+SUMIFS('NSE - Other Index Options'!$M:$M,'NSE - Other Index Options'!$D:$D,$A75,'NSE - Other Index Options'!$I:$I,"MDAW*")=0,"",SUMIFS('NSE - NIFTY Index Options'!$M:$M,'NSE - NIFTY Index Options'!$D:$D,$A75,'NSE - NIFTY Index Options'!$I:$I,"MDAW*")+SUMIFS('NSE - Other Index Options'!$M:$M,'NSE - Other Index Options'!$D:$D,$A75,'NSE - Other Index Options'!$I:$I,"MDAW*"))</f>
        <v/>
      </c>
      <c r="C75" s="26">
        <f>IF(SUMIFS('BSE - SENSEX Index Options'!$M:$M,'BSE - SENSEX Index Options'!$D:$D,$A75,'BSE - SENSEX Index Options'!$I:$I,"MDAW*")+SUMIFS('BSE - Other Index Options'!$M:$M,'BSE - Other Index Options'!$D:$D,$A75,'BSE - Other Index Options'!$I:$I,"MDAW*")=0,"",SUMIFS('BSE - SENSEX Index Options'!$M:$M,'BSE - SENSEX Index Options'!$D:$D,$A75,'BSE - SENSEX Index Options'!$I:$I,"MDAW*")+SUMIFS('BSE - Other Index Options'!$M:$M,'BSE - Other Index Options'!$D:$D,$A75,'BSE - Other Index Options'!$I:$I,"MDAW*"))</f>
        <v/>
      </c>
      <c r="D75" s="27">
        <f>IF(SUM(B75:C75)=0,"",SUM(B75)/SUM(B75:C75))</f>
        <v/>
      </c>
      <c r="E75" s="27">
        <f>IF(SUM(B75:C75)=0,"",SUM(C75)/SUM(B75:C75))</f>
        <v/>
      </c>
      <c r="G75" s="27">
        <f>IF(SUM(B9)=0,"",SUM(B75)/SUM(B9))</f>
        <v/>
      </c>
      <c r="H75" s="27">
        <f>IF(SUM(C9)=0,"",SUM(C75)/SUM(C9))</f>
        <v/>
      </c>
      <c r="I75" s="27">
        <f>IF(SUM(B9:C9)=0,"",SUM(B75:C75)/SUM(B9:C9))</f>
        <v/>
      </c>
    </row>
    <row r="76">
      <c r="A76" s="24" t="n">
        <v>46054</v>
      </c>
      <c r="B76" s="26">
        <f>IF(SUMIFS('NSE - NIFTY Index Options'!$M:$M,'NSE - NIFTY Index Options'!$D:$D,$A76,'NSE - NIFTY Index Options'!$I:$I,"MDAW*")+SUMIFS('NSE - Other Index Options'!$M:$M,'NSE - Other Index Options'!$D:$D,$A76,'NSE - Other Index Options'!$I:$I,"MDAW*")=0,"",SUMIFS('NSE - NIFTY Index Options'!$M:$M,'NSE - NIFTY Index Options'!$D:$D,$A76,'NSE - NIFTY Index Options'!$I:$I,"MDAW*")+SUMIFS('NSE - Other Index Options'!$M:$M,'NSE - Other Index Options'!$D:$D,$A76,'NSE - Other Index Options'!$I:$I,"MDAW*"))</f>
        <v/>
      </c>
      <c r="C76" s="26">
        <f>IF(SUMIFS('BSE - SENSEX Index Options'!$M:$M,'BSE - SENSEX Index Options'!$D:$D,$A76,'BSE - SENSEX Index Options'!$I:$I,"MDAW*")+SUMIFS('BSE - Other Index Options'!$M:$M,'BSE - Other Index Options'!$D:$D,$A76,'BSE - Other Index Options'!$I:$I,"MDAW*")=0,"",SUMIFS('BSE - SENSEX Index Options'!$M:$M,'BSE - SENSEX Index Options'!$D:$D,$A76,'BSE - SENSEX Index Options'!$I:$I,"MDAW*")+SUMIFS('BSE - Other Index Options'!$M:$M,'BSE - Other Index Options'!$D:$D,$A76,'BSE - Other Index Options'!$I:$I,"MDAW*"))</f>
        <v/>
      </c>
      <c r="D76" s="27">
        <f>IF(SUM(B76:C76)=0,"",SUM(B76)/SUM(B76:C76))</f>
        <v/>
      </c>
      <c r="E76" s="27">
        <f>IF(SUM(B76:C76)=0,"",SUM(C76)/SUM(B76:C76))</f>
        <v/>
      </c>
      <c r="G76" s="27">
        <f>IF(SUM(B10)=0,"",SUM(B76)/SUM(B10))</f>
        <v/>
      </c>
      <c r="H76" s="27">
        <f>IF(SUM(C10)=0,"",SUM(C76)/SUM(C10))</f>
        <v/>
      </c>
      <c r="I76" s="27">
        <f>IF(SUM(B10:C10)=0,"",SUM(B76:C76)/SUM(B10:C10))</f>
        <v/>
      </c>
    </row>
    <row r="77">
      <c r="A77" s="24" t="n">
        <v>46082</v>
      </c>
      <c r="B77" s="26">
        <f>IF(SUMIFS('NSE - NIFTY Index Options'!$M:$M,'NSE - NIFTY Index Options'!$D:$D,$A77,'NSE - NIFTY Index Options'!$I:$I,"MDAW*")+SUMIFS('NSE - Other Index Options'!$M:$M,'NSE - Other Index Options'!$D:$D,$A77,'NSE - Other Index Options'!$I:$I,"MDAW*")=0,"",SUMIFS('NSE - NIFTY Index Options'!$M:$M,'NSE - NIFTY Index Options'!$D:$D,$A77,'NSE - NIFTY Index Options'!$I:$I,"MDAW*")+SUMIFS('NSE - Other Index Options'!$M:$M,'NSE - Other Index Options'!$D:$D,$A77,'NSE - Other Index Options'!$I:$I,"MDAW*"))</f>
        <v/>
      </c>
      <c r="C77" s="26">
        <f>IF(SUMIFS('BSE - SENSEX Index Options'!$M:$M,'BSE - SENSEX Index Options'!$D:$D,$A77,'BSE - SENSEX Index Options'!$I:$I,"MDAW*")+SUMIFS('BSE - Other Index Options'!$M:$M,'BSE - Other Index Options'!$D:$D,$A77,'BSE - Other Index Options'!$I:$I,"MDAW*")=0,"",SUMIFS('BSE - SENSEX Index Options'!$M:$M,'BSE - SENSEX Index Options'!$D:$D,$A77,'BSE - SENSEX Index Options'!$I:$I,"MDAW*")+SUMIFS('BSE - Other Index Options'!$M:$M,'BSE - Other Index Options'!$D:$D,$A77,'BSE - Other Index Options'!$I:$I,"MDAW*"))</f>
        <v/>
      </c>
      <c r="D77" s="27">
        <f>IF(SUM(B77:C77)=0,"",SUM(B77)/SUM(B77:C77))</f>
        <v/>
      </c>
      <c r="E77" s="27">
        <f>IF(SUM(B77:C77)=0,"",SUM(C77)/SUM(B77:C77))</f>
        <v/>
      </c>
      <c r="G77" s="27">
        <f>IF(SUM(B11)=0,"",SUM(B77)/SUM(B11))</f>
        <v/>
      </c>
      <c r="H77" s="27">
        <f>IF(SUM(C11)=0,"",SUM(C77)/SUM(C11))</f>
        <v/>
      </c>
      <c r="I77" s="27">
        <f>IF(SUM(B11:C11)=0,"",SUM(B77:C77)/SUM(B11:C11))</f>
        <v/>
      </c>
    </row>
    <row r="78">
      <c r="A78" s="24" t="n">
        <v>46113</v>
      </c>
      <c r="B78" s="26">
        <f>IF(SUMIFS('NSE - NIFTY Index Options'!$M:$M,'NSE - NIFTY Index Options'!$D:$D,$A78,'NSE - NIFTY Index Options'!$I:$I,"MDAW*")+SUMIFS('NSE - Other Index Options'!$M:$M,'NSE - Other Index Options'!$D:$D,$A78,'NSE - Other Index Options'!$I:$I,"MDAW*")=0,"",SUMIFS('NSE - NIFTY Index Options'!$M:$M,'NSE - NIFTY Index Options'!$D:$D,$A78,'NSE - NIFTY Index Options'!$I:$I,"MDAW*")+SUMIFS('NSE - Other Index Options'!$M:$M,'NSE - Other Index Options'!$D:$D,$A78,'NSE - Other Index Options'!$I:$I,"MDAW*"))</f>
        <v/>
      </c>
      <c r="C78" s="26">
        <f>IF(SUMIFS('BSE - SENSEX Index Options'!$M:$M,'BSE - SENSEX Index Options'!$D:$D,$A78,'BSE - SENSEX Index Options'!$I:$I,"MDAW*")+SUMIFS('BSE - Other Index Options'!$M:$M,'BSE - Other Index Options'!$D:$D,$A78,'BSE - Other Index Options'!$I:$I,"MDAW*")=0,"",SUMIFS('BSE - SENSEX Index Options'!$M:$M,'BSE - SENSEX Index Options'!$D:$D,$A78,'BSE - SENSEX Index Options'!$I:$I,"MDAW*")+SUMIFS('BSE - Other Index Options'!$M:$M,'BSE - Other Index Options'!$D:$D,$A78,'BSE - Other Index Options'!$I:$I,"MDAW*"))</f>
        <v/>
      </c>
      <c r="D78" s="27">
        <f>IF(SUM(B78:C78)=0,"",SUM(B78)/SUM(B78:C78))</f>
        <v/>
      </c>
      <c r="E78" s="27">
        <f>IF(SUM(B78:C78)=0,"",SUM(C78)/SUM(B78:C78))</f>
        <v/>
      </c>
      <c r="G78" s="27">
        <f>IF(SUM(B12)=0,"",SUM(B78)/SUM(B12))</f>
        <v/>
      </c>
      <c r="H78" s="27">
        <f>IF(SUM(C12)=0,"",SUM(C78)/SUM(C12))</f>
        <v/>
      </c>
      <c r="I78" s="27">
        <f>IF(SUM(B12:C12)=0,"",SUM(B78:C78)/SUM(B12:C12))</f>
        <v/>
      </c>
    </row>
    <row r="79">
      <c r="A79" s="24" t="n">
        <v>46143</v>
      </c>
      <c r="B79" s="26">
        <f>IF(SUMIFS('NSE - NIFTY Index Options'!$M:$M,'NSE - NIFTY Index Options'!$D:$D,$A79,'NSE - NIFTY Index Options'!$I:$I,"MDAW*")+SUMIFS('NSE - Other Index Options'!$M:$M,'NSE - Other Index Options'!$D:$D,$A79,'NSE - Other Index Options'!$I:$I,"MDAW*")=0,"",SUMIFS('NSE - NIFTY Index Options'!$M:$M,'NSE - NIFTY Index Options'!$D:$D,$A79,'NSE - NIFTY Index Options'!$I:$I,"MDAW*")+SUMIFS('NSE - Other Index Options'!$M:$M,'NSE - Other Index Options'!$D:$D,$A79,'NSE - Other Index Options'!$I:$I,"MDAW*"))</f>
        <v/>
      </c>
      <c r="C79" s="26">
        <f>IF(SUMIFS('BSE - SENSEX Index Options'!$M:$M,'BSE - SENSEX Index Options'!$D:$D,$A79,'BSE - SENSEX Index Options'!$I:$I,"MDAW*")+SUMIFS('BSE - Other Index Options'!$M:$M,'BSE - Other Index Options'!$D:$D,$A79,'BSE - Other Index Options'!$I:$I,"MDAW*")=0,"",SUMIFS('BSE - SENSEX Index Options'!$M:$M,'BSE - SENSEX Index Options'!$D:$D,$A79,'BSE - SENSEX Index Options'!$I:$I,"MDAW*")+SUMIFS('BSE - Other Index Options'!$M:$M,'BSE - Other Index Options'!$D:$D,$A79,'BSE - Other Index Options'!$I:$I,"MDAW*"))</f>
        <v/>
      </c>
      <c r="D79" s="27">
        <f>IF(SUM(B79:C79)=0,"",SUM(B79)/SUM(B79:C79))</f>
        <v/>
      </c>
      <c r="E79" s="27">
        <f>IF(SUM(B79:C79)=0,"",SUM(C79)/SUM(B79:C79))</f>
        <v/>
      </c>
      <c r="G79" s="27">
        <f>IF(SUM(B13)=0,"",SUM(B79)/SUM(B13))</f>
        <v/>
      </c>
      <c r="H79" s="27">
        <f>IF(SUM(C13)=0,"",SUM(C79)/SUM(C13))</f>
        <v/>
      </c>
      <c r="I79" s="27">
        <f>IF(SUM(B13:C13)=0,"",SUM(B79:C79)/SUM(B13:C13))</f>
        <v/>
      </c>
    </row>
    <row r="80">
      <c r="A80" s="24" t="n">
        <v>46174</v>
      </c>
      <c r="B80" s="26">
        <f>IF(SUMIFS('NSE - NIFTY Index Options'!$M:$M,'NSE - NIFTY Index Options'!$D:$D,$A80,'NSE - NIFTY Index Options'!$I:$I,"MDAW*")+SUMIFS('NSE - Other Index Options'!$M:$M,'NSE - Other Index Options'!$D:$D,$A80,'NSE - Other Index Options'!$I:$I,"MDAW*")=0,"",SUMIFS('NSE - NIFTY Index Options'!$M:$M,'NSE - NIFTY Index Options'!$D:$D,$A80,'NSE - NIFTY Index Options'!$I:$I,"MDAW*")+SUMIFS('NSE - Other Index Options'!$M:$M,'NSE - Other Index Options'!$D:$D,$A80,'NSE - Other Index Options'!$I:$I,"MDAW*"))</f>
        <v/>
      </c>
      <c r="C80" s="26">
        <f>IF(SUMIFS('BSE - SENSEX Index Options'!$M:$M,'BSE - SENSEX Index Options'!$D:$D,$A80,'BSE - SENSEX Index Options'!$I:$I,"MDAW*")+SUMIFS('BSE - Other Index Options'!$M:$M,'BSE - Other Index Options'!$D:$D,$A80,'BSE - Other Index Options'!$I:$I,"MDAW*")=0,"",SUMIFS('BSE - SENSEX Index Options'!$M:$M,'BSE - SENSEX Index Options'!$D:$D,$A80,'BSE - SENSEX Index Options'!$I:$I,"MDAW*")+SUMIFS('BSE - Other Index Options'!$M:$M,'BSE - Other Index Options'!$D:$D,$A80,'BSE - Other Index Options'!$I:$I,"MDAW*"))</f>
        <v/>
      </c>
      <c r="D80" s="27">
        <f>IF(SUM(B80:C80)=0,"",SUM(B80)/SUM(B80:C80))</f>
        <v/>
      </c>
      <c r="E80" s="27">
        <f>IF(SUM(B80:C80)=0,"",SUM(C80)/SUM(B80:C80))</f>
        <v/>
      </c>
      <c r="G80" s="27">
        <f>IF(SUM(B14)=0,"",SUM(B80)/SUM(B14))</f>
        <v/>
      </c>
      <c r="H80" s="27">
        <f>IF(SUM(C14)=0,"",SUM(C80)/SUM(C14))</f>
        <v/>
      </c>
      <c r="I80" s="27">
        <f>IF(SUM(B14:C14)=0,"",SUM(B80:C80)/SUM(B14:C14))</f>
        <v/>
      </c>
    </row>
    <row r="81">
      <c r="A81" s="24" t="n">
        <v>46204</v>
      </c>
      <c r="B81" s="26">
        <f>IF(SUMIFS('NSE - NIFTY Index Options'!$M:$M,'NSE - NIFTY Index Options'!$D:$D,$A81,'NSE - NIFTY Index Options'!$I:$I,"MDAW*")+SUMIFS('NSE - Other Index Options'!$M:$M,'NSE - Other Index Options'!$D:$D,$A81,'NSE - Other Index Options'!$I:$I,"MDAW*")=0,"",SUMIFS('NSE - NIFTY Index Options'!$M:$M,'NSE - NIFTY Index Options'!$D:$D,$A81,'NSE - NIFTY Index Options'!$I:$I,"MDAW*")+SUMIFS('NSE - Other Index Options'!$M:$M,'NSE - Other Index Options'!$D:$D,$A81,'NSE - Other Index Options'!$I:$I,"MDAW*"))</f>
        <v/>
      </c>
      <c r="C81" s="26">
        <f>IF(SUMIFS('BSE - SENSEX Index Options'!$M:$M,'BSE - SENSEX Index Options'!$D:$D,$A81,'BSE - SENSEX Index Options'!$I:$I,"MDAW*")+SUMIFS('BSE - Other Index Options'!$M:$M,'BSE - Other Index Options'!$D:$D,$A81,'BSE - Other Index Options'!$I:$I,"MDAW*")=0,"",SUMIFS('BSE - SENSEX Index Options'!$M:$M,'BSE - SENSEX Index Options'!$D:$D,$A81,'BSE - SENSEX Index Options'!$I:$I,"MDAW*")+SUMIFS('BSE - Other Index Options'!$M:$M,'BSE - Other Index Options'!$D:$D,$A81,'BSE - Other Index Options'!$I:$I,"MDAW*"))</f>
        <v/>
      </c>
      <c r="D81" s="27">
        <f>IF(SUM(B81:C81)=0,"",SUM(B81)/SUM(B81:C81))</f>
        <v/>
      </c>
      <c r="E81" s="27">
        <f>IF(SUM(B81:C81)=0,"",SUM(C81)/SUM(B81:C81))</f>
        <v/>
      </c>
      <c r="G81" s="27">
        <f>IF(SUM(B15)=0,"",SUM(B81)/SUM(B15))</f>
        <v/>
      </c>
      <c r="H81" s="27">
        <f>IF(SUM(C15)=0,"",SUM(C81)/SUM(C15))</f>
        <v/>
      </c>
      <c r="I81" s="27">
        <f>IF(SUM(B15:C15)=0,"",SUM(B81:C81)/SUM(B15:C15))</f>
        <v/>
      </c>
    </row>
    <row r="82">
      <c r="A82" s="24" t="n">
        <v>46235</v>
      </c>
      <c r="B82" s="26">
        <f>IF(SUMIFS('NSE - NIFTY Index Options'!$M:$M,'NSE - NIFTY Index Options'!$D:$D,$A82,'NSE - NIFTY Index Options'!$I:$I,"MDAW*")+SUMIFS('NSE - Other Index Options'!$M:$M,'NSE - Other Index Options'!$D:$D,$A82,'NSE - Other Index Options'!$I:$I,"MDAW*")=0,"",SUMIFS('NSE - NIFTY Index Options'!$M:$M,'NSE - NIFTY Index Options'!$D:$D,$A82,'NSE - NIFTY Index Options'!$I:$I,"MDAW*")+SUMIFS('NSE - Other Index Options'!$M:$M,'NSE - Other Index Options'!$D:$D,$A82,'NSE - Other Index Options'!$I:$I,"MDAW*"))</f>
        <v/>
      </c>
      <c r="C82" s="26">
        <f>IF(SUMIFS('BSE - SENSEX Index Options'!$M:$M,'BSE - SENSEX Index Options'!$D:$D,$A82,'BSE - SENSEX Index Options'!$I:$I,"MDAW*")+SUMIFS('BSE - Other Index Options'!$M:$M,'BSE - Other Index Options'!$D:$D,$A82,'BSE - Other Index Options'!$I:$I,"MDAW*")=0,"",SUMIFS('BSE - SENSEX Index Options'!$M:$M,'BSE - SENSEX Index Options'!$D:$D,$A82,'BSE - SENSEX Index Options'!$I:$I,"MDAW*")+SUMIFS('BSE - Other Index Options'!$M:$M,'BSE - Other Index Options'!$D:$D,$A82,'BSE - Other Index Options'!$I:$I,"MDAW*"))</f>
        <v/>
      </c>
      <c r="D82" s="27">
        <f>IF(SUM(B82:C82)=0,"",SUM(B82)/SUM(B82:C82))</f>
        <v/>
      </c>
      <c r="E82" s="27">
        <f>IF(SUM(B82:C82)=0,"",SUM(C82)/SUM(B82:C82))</f>
        <v/>
      </c>
      <c r="G82" s="27">
        <f>IF(SUM(B16)=0,"",SUM(B82)/SUM(B16))</f>
        <v/>
      </c>
      <c r="H82" s="27">
        <f>IF(SUM(C16)=0,"",SUM(C82)/SUM(C16))</f>
        <v/>
      </c>
      <c r="I82" s="27">
        <f>IF(SUM(B16:C16)=0,"",SUM(B82:C82)/SUM(B16:C16))</f>
        <v/>
      </c>
    </row>
    <row r="83" hidden="1" outlineLevel="1">
      <c r="A83" s="24" t="n">
        <v>46266</v>
      </c>
      <c r="B83" s="26">
        <f>IF(SUMIFS('NSE - NIFTY Index Options'!$M:$M,'NSE - NIFTY Index Options'!$D:$D,$A83,'NSE - NIFTY Index Options'!$I:$I,"MDAW*")+SUMIFS('NSE - Other Index Options'!$M:$M,'NSE - Other Index Options'!$D:$D,$A83,'NSE - Other Index Options'!$I:$I,"MDAW*")=0,"",SUMIFS('NSE - NIFTY Index Options'!$M:$M,'NSE - NIFTY Index Options'!$D:$D,$A83,'NSE - NIFTY Index Options'!$I:$I,"MDAW*")+SUMIFS('NSE - Other Index Options'!$M:$M,'NSE - Other Index Options'!$D:$D,$A83,'NSE - Other Index Options'!$I:$I,"MDAW*"))</f>
        <v/>
      </c>
      <c r="C83" s="26">
        <f>IF(SUMIFS('BSE - SENSEX Index Options'!$M:$M,'BSE - SENSEX Index Options'!$D:$D,$A83,'BSE - SENSEX Index Options'!$I:$I,"MDAW*")+SUMIFS('BSE - Other Index Options'!$M:$M,'BSE - Other Index Options'!$D:$D,$A83,'BSE - Other Index Options'!$I:$I,"MDAW*")=0,"",SUMIFS('BSE - SENSEX Index Options'!$M:$M,'BSE - SENSEX Index Options'!$D:$D,$A83,'BSE - SENSEX Index Options'!$I:$I,"MDAW*")+SUMIFS('BSE - Other Index Options'!$M:$M,'BSE - Other Index Options'!$D:$D,$A83,'BSE - Other Index Options'!$I:$I,"MDAW*"))</f>
        <v/>
      </c>
      <c r="D83" s="27">
        <f>IF(SUM(B83:C83)=0,"",SUM(B83)/SUM(B83:C83))</f>
        <v/>
      </c>
      <c r="E83" s="27">
        <f>IF(SUM(B83:C83)=0,"",SUM(C83)/SUM(B83:C83))</f>
        <v/>
      </c>
      <c r="G83" s="27">
        <f>IF(SUM(B17)=0,"",SUM(B83)/SUM(B17))</f>
        <v/>
      </c>
      <c r="H83" s="27">
        <f>IF(SUM(C17)=0,"",SUM(C83)/SUM(C17))</f>
        <v/>
      </c>
      <c r="I83" s="27">
        <f>IF(SUM(B17:C17)=0,"",SUM(B83:C83)/SUM(B17:C17))</f>
        <v/>
      </c>
    </row>
    <row r="84" hidden="1" outlineLevel="1">
      <c r="A84" s="24" t="n">
        <v>46296</v>
      </c>
      <c r="B84" s="26">
        <f>IF(SUMIFS('NSE - NIFTY Index Options'!$M:$M,'NSE - NIFTY Index Options'!$D:$D,$A84,'NSE - NIFTY Index Options'!$I:$I,"MDAW*")+SUMIFS('NSE - Other Index Options'!$M:$M,'NSE - Other Index Options'!$D:$D,$A84,'NSE - Other Index Options'!$I:$I,"MDAW*")=0,"",SUMIFS('NSE - NIFTY Index Options'!$M:$M,'NSE - NIFTY Index Options'!$D:$D,$A84,'NSE - NIFTY Index Options'!$I:$I,"MDAW*")+SUMIFS('NSE - Other Index Options'!$M:$M,'NSE - Other Index Options'!$D:$D,$A84,'NSE - Other Index Options'!$I:$I,"MDAW*"))</f>
        <v/>
      </c>
      <c r="C84" s="26">
        <f>IF(SUMIFS('BSE - SENSEX Index Options'!$M:$M,'BSE - SENSEX Index Options'!$D:$D,$A84,'BSE - SENSEX Index Options'!$I:$I,"MDAW*")+SUMIFS('BSE - Other Index Options'!$M:$M,'BSE - Other Index Options'!$D:$D,$A84,'BSE - Other Index Options'!$I:$I,"MDAW*")=0,"",SUMIFS('BSE - SENSEX Index Options'!$M:$M,'BSE - SENSEX Index Options'!$D:$D,$A84,'BSE - SENSEX Index Options'!$I:$I,"MDAW*")+SUMIFS('BSE - Other Index Options'!$M:$M,'BSE - Other Index Options'!$D:$D,$A84,'BSE - Other Index Options'!$I:$I,"MDAW*"))</f>
        <v/>
      </c>
      <c r="D84" s="27">
        <f>IF(SUM(B84:C84)=0,"",SUM(B84)/SUM(B84:C84))</f>
        <v/>
      </c>
      <c r="E84" s="27">
        <f>IF(SUM(B84:C84)=0,"",SUM(C84)/SUM(B84:C84))</f>
        <v/>
      </c>
      <c r="G84" s="27">
        <f>IF(SUM(B18)=0,"",SUM(B84)/SUM(B18))</f>
        <v/>
      </c>
      <c r="H84" s="27">
        <f>IF(SUM(C18)=0,"",SUM(C84)/SUM(C18))</f>
        <v/>
      </c>
      <c r="I84" s="27">
        <f>IF(SUM(B18:C18)=0,"",SUM(B84:C84)/SUM(B18:C18))</f>
        <v/>
      </c>
    </row>
    <row r="85" hidden="1" outlineLevel="1">
      <c r="A85" s="24" t="n">
        <v>46327</v>
      </c>
      <c r="B85" s="26">
        <f>IF(SUMIFS('NSE - NIFTY Index Options'!$M:$M,'NSE - NIFTY Index Options'!$D:$D,$A85,'NSE - NIFTY Index Options'!$I:$I,"MDAW*")+SUMIFS('NSE - Other Index Options'!$M:$M,'NSE - Other Index Options'!$D:$D,$A85,'NSE - Other Index Options'!$I:$I,"MDAW*")=0,"",SUMIFS('NSE - NIFTY Index Options'!$M:$M,'NSE - NIFTY Index Options'!$D:$D,$A85,'NSE - NIFTY Index Options'!$I:$I,"MDAW*")+SUMIFS('NSE - Other Index Options'!$M:$M,'NSE - Other Index Options'!$D:$D,$A85,'NSE - Other Index Options'!$I:$I,"MDAW*"))</f>
        <v/>
      </c>
      <c r="C85" s="26">
        <f>IF(SUMIFS('BSE - SENSEX Index Options'!$M:$M,'BSE - SENSEX Index Options'!$D:$D,$A85,'BSE - SENSEX Index Options'!$I:$I,"MDAW*")+SUMIFS('BSE - Other Index Options'!$M:$M,'BSE - Other Index Options'!$D:$D,$A85,'BSE - Other Index Options'!$I:$I,"MDAW*")=0,"",SUMIFS('BSE - SENSEX Index Options'!$M:$M,'BSE - SENSEX Index Options'!$D:$D,$A85,'BSE - SENSEX Index Options'!$I:$I,"MDAW*")+SUMIFS('BSE - Other Index Options'!$M:$M,'BSE - Other Index Options'!$D:$D,$A85,'BSE - Other Index Options'!$I:$I,"MDAW*"))</f>
        <v/>
      </c>
      <c r="D85" s="27">
        <f>IF(SUM(B85:C85)=0,"",SUM(B85)/SUM(B85:C85))</f>
        <v/>
      </c>
      <c r="E85" s="27">
        <f>IF(SUM(B85:C85)=0,"",SUM(C85)/SUM(B85:C85))</f>
        <v/>
      </c>
      <c r="G85" s="27">
        <f>IF(SUM(B19)=0,"",SUM(B85)/SUM(B19))</f>
        <v/>
      </c>
      <c r="H85" s="27">
        <f>IF(SUM(C19)=0,"",SUM(C85)/SUM(C19))</f>
        <v/>
      </c>
      <c r="I85" s="27">
        <f>IF(SUM(B19:C19)=0,"",SUM(B85:C85)/SUM(B19:C19))</f>
        <v/>
      </c>
    </row>
    <row r="86" hidden="1" outlineLevel="1">
      <c r="A86" s="24" t="n">
        <v>46357</v>
      </c>
      <c r="B86" s="26">
        <f>IF(SUMIFS('NSE - NIFTY Index Options'!$M:$M,'NSE - NIFTY Index Options'!$D:$D,$A86,'NSE - NIFTY Index Options'!$I:$I,"MDAW*")+SUMIFS('NSE - Other Index Options'!$M:$M,'NSE - Other Index Options'!$D:$D,$A86,'NSE - Other Index Options'!$I:$I,"MDAW*")=0,"",SUMIFS('NSE - NIFTY Index Options'!$M:$M,'NSE - NIFTY Index Options'!$D:$D,$A86,'NSE - NIFTY Index Options'!$I:$I,"MDAW*")+SUMIFS('NSE - Other Index Options'!$M:$M,'NSE - Other Index Options'!$D:$D,$A86,'NSE - Other Index Options'!$I:$I,"MDAW*"))</f>
        <v/>
      </c>
      <c r="C86" s="26">
        <f>IF(SUMIFS('BSE - SENSEX Index Options'!$M:$M,'BSE - SENSEX Index Options'!$D:$D,$A86,'BSE - SENSEX Index Options'!$I:$I,"MDAW*")+SUMIFS('BSE - Other Index Options'!$M:$M,'BSE - Other Index Options'!$D:$D,$A86,'BSE - Other Index Options'!$I:$I,"MDAW*")=0,"",SUMIFS('BSE - SENSEX Index Options'!$M:$M,'BSE - SENSEX Index Options'!$D:$D,$A86,'BSE - SENSEX Index Options'!$I:$I,"MDAW*")+SUMIFS('BSE - Other Index Options'!$M:$M,'BSE - Other Index Options'!$D:$D,$A86,'BSE - Other Index Options'!$I:$I,"MDAW*"))</f>
        <v/>
      </c>
      <c r="D86" s="27">
        <f>IF(SUM(B86:C86)=0,"",SUM(B86)/SUM(B86:C86))</f>
        <v/>
      </c>
      <c r="E86" s="27">
        <f>IF(SUM(B86:C86)=0,"",SUM(C86)/SUM(B86:C86))</f>
        <v/>
      </c>
      <c r="G86" s="27">
        <f>IF(SUM(B20)=0,"",SUM(B86)/SUM(B20))</f>
        <v/>
      </c>
      <c r="H86" s="27">
        <f>IF(SUM(C20)=0,"",SUM(C86)/SUM(C20))</f>
        <v/>
      </c>
      <c r="I86" s="27">
        <f>IF(SUM(B20:C20)=0,"",SUM(B86:C86)/SUM(B20:C20))</f>
        <v/>
      </c>
    </row>
    <row r="87" hidden="1" outlineLevel="1">
      <c r="A87" s="24" t="n">
        <v>46388</v>
      </c>
      <c r="B87" s="26">
        <f>IF(SUMIFS('NSE - NIFTY Index Options'!$M:$M,'NSE - NIFTY Index Options'!$D:$D,$A87,'NSE - NIFTY Index Options'!$I:$I,"MDAW*")+SUMIFS('NSE - Other Index Options'!$M:$M,'NSE - Other Index Options'!$D:$D,$A87,'NSE - Other Index Options'!$I:$I,"MDAW*")=0,"",SUMIFS('NSE - NIFTY Index Options'!$M:$M,'NSE - NIFTY Index Options'!$D:$D,$A87,'NSE - NIFTY Index Options'!$I:$I,"MDAW*")+SUMIFS('NSE - Other Index Options'!$M:$M,'NSE - Other Index Options'!$D:$D,$A87,'NSE - Other Index Options'!$I:$I,"MDAW*"))</f>
        <v/>
      </c>
      <c r="C87" s="26">
        <f>IF(SUMIFS('BSE - SENSEX Index Options'!$M:$M,'BSE - SENSEX Index Options'!$D:$D,$A87,'BSE - SENSEX Index Options'!$I:$I,"MDAW*")+SUMIFS('BSE - Other Index Options'!$M:$M,'BSE - Other Index Options'!$D:$D,$A87,'BSE - Other Index Options'!$I:$I,"MDAW*")=0,"",SUMIFS('BSE - SENSEX Index Options'!$M:$M,'BSE - SENSEX Index Options'!$D:$D,$A87,'BSE - SENSEX Index Options'!$I:$I,"MDAW*")+SUMIFS('BSE - Other Index Options'!$M:$M,'BSE - Other Index Options'!$D:$D,$A87,'BSE - Other Index Options'!$I:$I,"MDAW*"))</f>
        <v/>
      </c>
      <c r="D87" s="27">
        <f>IF(SUM(B87:C87)=0,"",SUM(B87)/SUM(B87:C87))</f>
        <v/>
      </c>
      <c r="E87" s="27">
        <f>IF(SUM(B87:C87)=0,"",SUM(C87)/SUM(B87:C87))</f>
        <v/>
      </c>
      <c r="G87" s="27">
        <f>IF(SUM(B21)=0,"",SUM(B87)/SUM(B21))</f>
        <v/>
      </c>
      <c r="H87" s="27">
        <f>IF(SUM(C21)=0,"",SUM(C87)/SUM(C21))</f>
        <v/>
      </c>
      <c r="I87" s="27">
        <f>IF(SUM(B21:C21)=0,"",SUM(B87:C87)/SUM(B21:C21))</f>
        <v/>
      </c>
    </row>
    <row r="88" hidden="1" outlineLevel="1">
      <c r="A88" s="24" t="n">
        <v>46419</v>
      </c>
      <c r="B88" s="26">
        <f>IF(SUMIFS('NSE - NIFTY Index Options'!$M:$M,'NSE - NIFTY Index Options'!$D:$D,$A88,'NSE - NIFTY Index Options'!$I:$I,"MDAW*")+SUMIFS('NSE - Other Index Options'!$M:$M,'NSE - Other Index Options'!$D:$D,$A88,'NSE - Other Index Options'!$I:$I,"MDAW*")=0,"",SUMIFS('NSE - NIFTY Index Options'!$M:$M,'NSE - NIFTY Index Options'!$D:$D,$A88,'NSE - NIFTY Index Options'!$I:$I,"MDAW*")+SUMIFS('NSE - Other Index Options'!$M:$M,'NSE - Other Index Options'!$D:$D,$A88,'NSE - Other Index Options'!$I:$I,"MDAW*"))</f>
        <v/>
      </c>
      <c r="C88" s="26">
        <f>IF(SUMIFS('BSE - SENSEX Index Options'!$M:$M,'BSE - SENSEX Index Options'!$D:$D,$A88,'BSE - SENSEX Index Options'!$I:$I,"MDAW*")+SUMIFS('BSE - Other Index Options'!$M:$M,'BSE - Other Index Options'!$D:$D,$A88,'BSE - Other Index Options'!$I:$I,"MDAW*")=0,"",SUMIFS('BSE - SENSEX Index Options'!$M:$M,'BSE - SENSEX Index Options'!$D:$D,$A88,'BSE - SENSEX Index Options'!$I:$I,"MDAW*")+SUMIFS('BSE - Other Index Options'!$M:$M,'BSE - Other Index Options'!$D:$D,$A88,'BSE - Other Index Options'!$I:$I,"MDAW*"))</f>
        <v/>
      </c>
      <c r="D88" s="27">
        <f>IF(SUM(B88:C88)=0,"",SUM(B88)/SUM(B88:C88))</f>
        <v/>
      </c>
      <c r="E88" s="27">
        <f>IF(SUM(B88:C88)=0,"",SUM(C88)/SUM(B88:C88))</f>
        <v/>
      </c>
      <c r="G88" s="27">
        <f>IF(SUM(B22)=0,"",SUM(B88)/SUM(B22))</f>
        <v/>
      </c>
      <c r="H88" s="27">
        <f>IF(SUM(C22)=0,"",SUM(C88)/SUM(C22))</f>
        <v/>
      </c>
      <c r="I88" s="27">
        <f>IF(SUM(B22:C22)=0,"",SUM(B88:C88)/SUM(B22:C22))</f>
        <v/>
      </c>
    </row>
    <row r="89" hidden="1" outlineLevel="1">
      <c r="A89" s="24" t="n">
        <v>46447</v>
      </c>
      <c r="B89" s="26">
        <f>IF(SUMIFS('NSE - NIFTY Index Options'!$M:$M,'NSE - NIFTY Index Options'!$D:$D,$A89,'NSE - NIFTY Index Options'!$I:$I,"MDAW*")+SUMIFS('NSE - Other Index Options'!$M:$M,'NSE - Other Index Options'!$D:$D,$A89,'NSE - Other Index Options'!$I:$I,"MDAW*")=0,"",SUMIFS('NSE - NIFTY Index Options'!$M:$M,'NSE - NIFTY Index Options'!$D:$D,$A89,'NSE - NIFTY Index Options'!$I:$I,"MDAW*")+SUMIFS('NSE - Other Index Options'!$M:$M,'NSE - Other Index Options'!$D:$D,$A89,'NSE - Other Index Options'!$I:$I,"MDAW*"))</f>
        <v/>
      </c>
      <c r="C89" s="26">
        <f>IF(SUMIFS('BSE - SENSEX Index Options'!$M:$M,'BSE - SENSEX Index Options'!$D:$D,$A89,'BSE - SENSEX Index Options'!$I:$I,"MDAW*")+SUMIFS('BSE - Other Index Options'!$M:$M,'BSE - Other Index Options'!$D:$D,$A89,'BSE - Other Index Options'!$I:$I,"MDAW*")=0,"",SUMIFS('BSE - SENSEX Index Options'!$M:$M,'BSE - SENSEX Index Options'!$D:$D,$A89,'BSE - SENSEX Index Options'!$I:$I,"MDAW*")+SUMIFS('BSE - Other Index Options'!$M:$M,'BSE - Other Index Options'!$D:$D,$A89,'BSE - Other Index Options'!$I:$I,"MDAW*"))</f>
        <v/>
      </c>
      <c r="D89" s="27">
        <f>IF(SUM(B89:C89)=0,"",SUM(B89)/SUM(B89:C89))</f>
        <v/>
      </c>
      <c r="E89" s="27">
        <f>IF(SUM(B89:C89)=0,"",SUM(C89)/SUM(B89:C89))</f>
        <v/>
      </c>
      <c r="G89" s="27">
        <f>IF(SUM(B23)=0,"",SUM(B89)/SUM(B23))</f>
        <v/>
      </c>
      <c r="H89" s="27">
        <f>IF(SUM(C23)=0,"",SUM(C89)/SUM(C23))</f>
        <v/>
      </c>
      <c r="I89" s="27">
        <f>IF(SUM(B23:C23)=0,"",SUM(B89:C89)/SUM(B23:C23))</f>
        <v/>
      </c>
    </row>
    <row r="90" hidden="1" outlineLevel="1">
      <c r="A90" s="24" t="n">
        <v>46478</v>
      </c>
      <c r="B90" s="26">
        <f>IF(SUMIFS('NSE - NIFTY Index Options'!$M:$M,'NSE - NIFTY Index Options'!$D:$D,$A90,'NSE - NIFTY Index Options'!$I:$I,"MDAW*")+SUMIFS('NSE - Other Index Options'!$M:$M,'NSE - Other Index Options'!$D:$D,$A90,'NSE - Other Index Options'!$I:$I,"MDAW*")=0,"",SUMIFS('NSE - NIFTY Index Options'!$M:$M,'NSE - NIFTY Index Options'!$D:$D,$A90,'NSE - NIFTY Index Options'!$I:$I,"MDAW*")+SUMIFS('NSE - Other Index Options'!$M:$M,'NSE - Other Index Options'!$D:$D,$A90,'NSE - Other Index Options'!$I:$I,"MDAW*"))</f>
        <v/>
      </c>
      <c r="C90" s="26">
        <f>IF(SUMIFS('BSE - SENSEX Index Options'!$M:$M,'BSE - SENSEX Index Options'!$D:$D,$A90,'BSE - SENSEX Index Options'!$I:$I,"MDAW*")+SUMIFS('BSE - Other Index Options'!$M:$M,'BSE - Other Index Options'!$D:$D,$A90,'BSE - Other Index Options'!$I:$I,"MDAW*")=0,"",SUMIFS('BSE - SENSEX Index Options'!$M:$M,'BSE - SENSEX Index Options'!$D:$D,$A90,'BSE - SENSEX Index Options'!$I:$I,"MDAW*")+SUMIFS('BSE - Other Index Options'!$M:$M,'BSE - Other Index Options'!$D:$D,$A90,'BSE - Other Index Options'!$I:$I,"MDAW*"))</f>
        <v/>
      </c>
      <c r="D90" s="27">
        <f>IF(SUM(B90:C90)=0,"",SUM(B90)/SUM(B90:C90))</f>
        <v/>
      </c>
      <c r="E90" s="27">
        <f>IF(SUM(B90:C90)=0,"",SUM(C90)/SUM(B90:C90))</f>
        <v/>
      </c>
      <c r="G90" s="27">
        <f>IF(SUM(B24)=0,"",SUM(B90)/SUM(B24))</f>
        <v/>
      </c>
      <c r="H90" s="27">
        <f>IF(SUM(C24)=0,"",SUM(C90)/SUM(C24))</f>
        <v/>
      </c>
      <c r="I90" s="27">
        <f>IF(SUM(B24:C24)=0,"",SUM(B90:C90)/SUM(B24:C24))</f>
        <v/>
      </c>
    </row>
    <row r="91" hidden="1" outlineLevel="1">
      <c r="A91" s="24" t="n">
        <v>46508</v>
      </c>
      <c r="B91" s="26">
        <f>IF(SUMIFS('NSE - NIFTY Index Options'!$M:$M,'NSE - NIFTY Index Options'!$D:$D,$A91,'NSE - NIFTY Index Options'!$I:$I,"MDAW*")+SUMIFS('NSE - Other Index Options'!$M:$M,'NSE - Other Index Options'!$D:$D,$A91,'NSE - Other Index Options'!$I:$I,"MDAW*")=0,"",SUMIFS('NSE - NIFTY Index Options'!$M:$M,'NSE - NIFTY Index Options'!$D:$D,$A91,'NSE - NIFTY Index Options'!$I:$I,"MDAW*")+SUMIFS('NSE - Other Index Options'!$M:$M,'NSE - Other Index Options'!$D:$D,$A91,'NSE - Other Index Options'!$I:$I,"MDAW*"))</f>
        <v/>
      </c>
      <c r="C91" s="26">
        <f>IF(SUMIFS('BSE - SENSEX Index Options'!$M:$M,'BSE - SENSEX Index Options'!$D:$D,$A91,'BSE - SENSEX Index Options'!$I:$I,"MDAW*")+SUMIFS('BSE - Other Index Options'!$M:$M,'BSE - Other Index Options'!$D:$D,$A91,'BSE - Other Index Options'!$I:$I,"MDAW*")=0,"",SUMIFS('BSE - SENSEX Index Options'!$M:$M,'BSE - SENSEX Index Options'!$D:$D,$A91,'BSE - SENSEX Index Options'!$I:$I,"MDAW*")+SUMIFS('BSE - Other Index Options'!$M:$M,'BSE - Other Index Options'!$D:$D,$A91,'BSE - Other Index Options'!$I:$I,"MDAW*"))</f>
        <v/>
      </c>
      <c r="D91" s="27">
        <f>IF(SUM(B91:C91)=0,"",SUM(B91)/SUM(B91:C91))</f>
        <v/>
      </c>
      <c r="E91" s="27">
        <f>IF(SUM(B91:C91)=0,"",SUM(C91)/SUM(B91:C91))</f>
        <v/>
      </c>
      <c r="G91" s="27">
        <f>IF(SUM(B25)=0,"",SUM(B91)/SUM(B25))</f>
        <v/>
      </c>
      <c r="H91" s="27">
        <f>IF(SUM(C25)=0,"",SUM(C91)/SUM(C25))</f>
        <v/>
      </c>
      <c r="I91" s="27">
        <f>IF(SUM(B25:C25)=0,"",SUM(B91:C91)/SUM(B25:C25))</f>
        <v/>
      </c>
    </row>
    <row r="92" hidden="1" outlineLevel="1">
      <c r="A92" s="24" t="n">
        <v>46539</v>
      </c>
      <c r="B92" s="26">
        <f>IF(SUMIFS('NSE - NIFTY Index Options'!$M:$M,'NSE - NIFTY Index Options'!$D:$D,$A92,'NSE - NIFTY Index Options'!$I:$I,"MDAW*")+SUMIFS('NSE - Other Index Options'!$M:$M,'NSE - Other Index Options'!$D:$D,$A92,'NSE - Other Index Options'!$I:$I,"MDAW*")=0,"",SUMIFS('NSE - NIFTY Index Options'!$M:$M,'NSE - NIFTY Index Options'!$D:$D,$A92,'NSE - NIFTY Index Options'!$I:$I,"MDAW*")+SUMIFS('NSE - Other Index Options'!$M:$M,'NSE - Other Index Options'!$D:$D,$A92,'NSE - Other Index Options'!$I:$I,"MDAW*"))</f>
        <v/>
      </c>
      <c r="C92" s="26">
        <f>IF(SUMIFS('BSE - SENSEX Index Options'!$M:$M,'BSE - SENSEX Index Options'!$D:$D,$A92,'BSE - SENSEX Index Options'!$I:$I,"MDAW*")+SUMIFS('BSE - Other Index Options'!$M:$M,'BSE - Other Index Options'!$D:$D,$A92,'BSE - Other Index Options'!$I:$I,"MDAW*")=0,"",SUMIFS('BSE - SENSEX Index Options'!$M:$M,'BSE - SENSEX Index Options'!$D:$D,$A92,'BSE - SENSEX Index Options'!$I:$I,"MDAW*")+SUMIFS('BSE - Other Index Options'!$M:$M,'BSE - Other Index Options'!$D:$D,$A92,'BSE - Other Index Options'!$I:$I,"MDAW*"))</f>
        <v/>
      </c>
      <c r="D92" s="27">
        <f>IF(SUM(B92:C92)=0,"",SUM(B92)/SUM(B92:C92))</f>
        <v/>
      </c>
      <c r="E92" s="27">
        <f>IF(SUM(B92:C92)=0,"",SUM(C92)/SUM(B92:C92))</f>
        <v/>
      </c>
      <c r="G92" s="27">
        <f>IF(SUM(B26)=0,"",SUM(B92)/SUM(B26))</f>
        <v/>
      </c>
      <c r="H92" s="27">
        <f>IF(SUM(C26)=0,"",SUM(C92)/SUM(C26))</f>
        <v/>
      </c>
      <c r="I92" s="27">
        <f>IF(SUM(B26:C26)=0,"",SUM(B92:C92)/SUM(B26:C26))</f>
        <v/>
      </c>
    </row>
    <row r="93" hidden="1" outlineLevel="1">
      <c r="A93" s="24" t="n">
        <v>46569</v>
      </c>
      <c r="B93" s="26">
        <f>IF(SUMIFS('NSE - NIFTY Index Options'!$M:$M,'NSE - NIFTY Index Options'!$D:$D,$A93,'NSE - NIFTY Index Options'!$I:$I,"MDAW*")+SUMIFS('NSE - Other Index Options'!$M:$M,'NSE - Other Index Options'!$D:$D,$A93,'NSE - Other Index Options'!$I:$I,"MDAW*")=0,"",SUMIFS('NSE - NIFTY Index Options'!$M:$M,'NSE - NIFTY Index Options'!$D:$D,$A93,'NSE - NIFTY Index Options'!$I:$I,"MDAW*")+SUMIFS('NSE - Other Index Options'!$M:$M,'NSE - Other Index Options'!$D:$D,$A93,'NSE - Other Index Options'!$I:$I,"MDAW*"))</f>
        <v/>
      </c>
      <c r="C93" s="26">
        <f>IF(SUMIFS('BSE - SENSEX Index Options'!$M:$M,'BSE - SENSEX Index Options'!$D:$D,$A93,'BSE - SENSEX Index Options'!$I:$I,"MDAW*")+SUMIFS('BSE - Other Index Options'!$M:$M,'BSE - Other Index Options'!$D:$D,$A93,'BSE - Other Index Options'!$I:$I,"MDAW*")=0,"",SUMIFS('BSE - SENSEX Index Options'!$M:$M,'BSE - SENSEX Index Options'!$D:$D,$A93,'BSE - SENSEX Index Options'!$I:$I,"MDAW*")+SUMIFS('BSE - Other Index Options'!$M:$M,'BSE - Other Index Options'!$D:$D,$A93,'BSE - Other Index Options'!$I:$I,"MDAW*"))</f>
        <v/>
      </c>
      <c r="D93" s="27">
        <f>IF(SUM(B93:C93)=0,"",SUM(B93)/SUM(B93:C93))</f>
        <v/>
      </c>
      <c r="E93" s="27">
        <f>IF(SUM(B93:C93)=0,"",SUM(C93)/SUM(B93:C93))</f>
        <v/>
      </c>
      <c r="G93" s="27">
        <f>IF(SUM(B27)=0,"",SUM(B93)/SUM(B27))</f>
        <v/>
      </c>
      <c r="H93" s="27">
        <f>IF(SUM(C27)=0,"",SUM(C93)/SUM(C27))</f>
        <v/>
      </c>
      <c r="I93" s="27">
        <f>IF(SUM(B27:C27)=0,"",SUM(B93:C93)/SUM(B27:C27))</f>
        <v/>
      </c>
    </row>
    <row r="94" hidden="1" outlineLevel="1">
      <c r="A94" s="24" t="n">
        <v>46600</v>
      </c>
      <c r="B94" s="26">
        <f>IF(SUMIFS('NSE - NIFTY Index Options'!$M:$M,'NSE - NIFTY Index Options'!$D:$D,$A94,'NSE - NIFTY Index Options'!$I:$I,"MDAW*")+SUMIFS('NSE - Other Index Options'!$M:$M,'NSE - Other Index Options'!$D:$D,$A94,'NSE - Other Index Options'!$I:$I,"MDAW*")=0,"",SUMIFS('NSE - NIFTY Index Options'!$M:$M,'NSE - NIFTY Index Options'!$D:$D,$A94,'NSE - NIFTY Index Options'!$I:$I,"MDAW*")+SUMIFS('NSE - Other Index Options'!$M:$M,'NSE - Other Index Options'!$D:$D,$A94,'NSE - Other Index Options'!$I:$I,"MDAW*"))</f>
        <v/>
      </c>
      <c r="C94" s="26">
        <f>IF(SUMIFS('BSE - SENSEX Index Options'!$M:$M,'BSE - SENSEX Index Options'!$D:$D,$A94,'BSE - SENSEX Index Options'!$I:$I,"MDAW*")+SUMIFS('BSE - Other Index Options'!$M:$M,'BSE - Other Index Options'!$D:$D,$A94,'BSE - Other Index Options'!$I:$I,"MDAW*")=0,"",SUMIFS('BSE - SENSEX Index Options'!$M:$M,'BSE - SENSEX Index Options'!$D:$D,$A94,'BSE - SENSEX Index Options'!$I:$I,"MDAW*")+SUMIFS('BSE - Other Index Options'!$M:$M,'BSE - Other Index Options'!$D:$D,$A94,'BSE - Other Index Options'!$I:$I,"MDAW*"))</f>
        <v/>
      </c>
      <c r="D94" s="27">
        <f>IF(SUM(B94:C94)=0,"",SUM(B94)/SUM(B94:C94))</f>
        <v/>
      </c>
      <c r="E94" s="27">
        <f>IF(SUM(B94:C94)=0,"",SUM(C94)/SUM(B94:C94))</f>
        <v/>
      </c>
      <c r="G94" s="27">
        <f>IF(SUM(B28)=0,"",SUM(B94)/SUM(B28))</f>
        <v/>
      </c>
      <c r="H94" s="27">
        <f>IF(SUM(C28)=0,"",SUM(C94)/SUM(C28))</f>
        <v/>
      </c>
      <c r="I94" s="27">
        <f>IF(SUM(B28:C28)=0,"",SUM(B94:C94)/SUM(B28:C28))</f>
        <v/>
      </c>
    </row>
    <row r="95" hidden="1" outlineLevel="1">
      <c r="A95" s="24" t="n">
        <v>46631</v>
      </c>
      <c r="B95" s="26">
        <f>IF(SUMIFS('NSE - NIFTY Index Options'!$M:$M,'NSE - NIFTY Index Options'!$D:$D,$A95,'NSE - NIFTY Index Options'!$I:$I,"MDAW*")+SUMIFS('NSE - Other Index Options'!$M:$M,'NSE - Other Index Options'!$D:$D,$A95,'NSE - Other Index Options'!$I:$I,"MDAW*")=0,"",SUMIFS('NSE - NIFTY Index Options'!$M:$M,'NSE - NIFTY Index Options'!$D:$D,$A95,'NSE - NIFTY Index Options'!$I:$I,"MDAW*")+SUMIFS('NSE - Other Index Options'!$M:$M,'NSE - Other Index Options'!$D:$D,$A95,'NSE - Other Index Options'!$I:$I,"MDAW*"))</f>
        <v/>
      </c>
      <c r="C95" s="26">
        <f>IF(SUMIFS('BSE - SENSEX Index Options'!$M:$M,'BSE - SENSEX Index Options'!$D:$D,$A95,'BSE - SENSEX Index Options'!$I:$I,"MDAW*")+SUMIFS('BSE - Other Index Options'!$M:$M,'BSE - Other Index Options'!$D:$D,$A95,'BSE - Other Index Options'!$I:$I,"MDAW*")=0,"",SUMIFS('BSE - SENSEX Index Options'!$M:$M,'BSE - SENSEX Index Options'!$D:$D,$A95,'BSE - SENSEX Index Options'!$I:$I,"MDAW*")+SUMIFS('BSE - Other Index Options'!$M:$M,'BSE - Other Index Options'!$D:$D,$A95,'BSE - Other Index Options'!$I:$I,"MDAW*"))</f>
        <v/>
      </c>
      <c r="D95" s="27">
        <f>IF(SUM(B95:C95)=0,"",SUM(B95)/SUM(B95:C95))</f>
        <v/>
      </c>
      <c r="E95" s="27">
        <f>IF(SUM(B95:C95)=0,"",SUM(C95)/SUM(B95:C95))</f>
        <v/>
      </c>
      <c r="G95" s="27">
        <f>IF(SUM(B29)=0,"",SUM(B95)/SUM(B29))</f>
        <v/>
      </c>
      <c r="H95" s="27">
        <f>IF(SUM(C29)=0,"",SUM(C95)/SUM(C29))</f>
        <v/>
      </c>
      <c r="I95" s="27">
        <f>IF(SUM(B29:C29)=0,"",SUM(B95:C95)/SUM(B29:C29))</f>
        <v/>
      </c>
    </row>
    <row r="96" hidden="1" outlineLevel="1">
      <c r="A96" s="24" t="n">
        <v>46661</v>
      </c>
      <c r="B96" s="26">
        <f>IF(SUMIFS('NSE - NIFTY Index Options'!$M:$M,'NSE - NIFTY Index Options'!$D:$D,$A96,'NSE - NIFTY Index Options'!$I:$I,"MDAW*")+SUMIFS('NSE - Other Index Options'!$M:$M,'NSE - Other Index Options'!$D:$D,$A96,'NSE - Other Index Options'!$I:$I,"MDAW*")=0,"",SUMIFS('NSE - NIFTY Index Options'!$M:$M,'NSE - NIFTY Index Options'!$D:$D,$A96,'NSE - NIFTY Index Options'!$I:$I,"MDAW*")+SUMIFS('NSE - Other Index Options'!$M:$M,'NSE - Other Index Options'!$D:$D,$A96,'NSE - Other Index Options'!$I:$I,"MDAW*"))</f>
        <v/>
      </c>
      <c r="C96" s="26">
        <f>IF(SUMIFS('BSE - SENSEX Index Options'!$M:$M,'BSE - SENSEX Index Options'!$D:$D,$A96,'BSE - SENSEX Index Options'!$I:$I,"MDAW*")+SUMIFS('BSE - Other Index Options'!$M:$M,'BSE - Other Index Options'!$D:$D,$A96,'BSE - Other Index Options'!$I:$I,"MDAW*")=0,"",SUMIFS('BSE - SENSEX Index Options'!$M:$M,'BSE - SENSEX Index Options'!$D:$D,$A96,'BSE - SENSEX Index Options'!$I:$I,"MDAW*")+SUMIFS('BSE - Other Index Options'!$M:$M,'BSE - Other Index Options'!$D:$D,$A96,'BSE - Other Index Options'!$I:$I,"MDAW*"))</f>
        <v/>
      </c>
      <c r="D96" s="27">
        <f>IF(SUM(B96:C96)=0,"",SUM(B96)/SUM(B96:C96))</f>
        <v/>
      </c>
      <c r="E96" s="27">
        <f>IF(SUM(B96:C96)=0,"",SUM(C96)/SUM(B96:C96))</f>
        <v/>
      </c>
      <c r="G96" s="27">
        <f>IF(SUM(B30)=0,"",SUM(B96)/SUM(B30))</f>
        <v/>
      </c>
      <c r="H96" s="27">
        <f>IF(SUM(C30)=0,"",SUM(C96)/SUM(C30))</f>
        <v/>
      </c>
      <c r="I96" s="27">
        <f>IF(SUM(B30:C30)=0,"",SUM(B96:C96)/SUM(B30:C30))</f>
        <v/>
      </c>
    </row>
    <row r="97" hidden="1" outlineLevel="1">
      <c r="A97" s="24" t="n">
        <v>46692</v>
      </c>
      <c r="B97" s="26">
        <f>IF(SUMIFS('NSE - NIFTY Index Options'!$M:$M,'NSE - NIFTY Index Options'!$D:$D,$A97,'NSE - NIFTY Index Options'!$I:$I,"MDAW*")+SUMIFS('NSE - Other Index Options'!$M:$M,'NSE - Other Index Options'!$D:$D,$A97,'NSE - Other Index Options'!$I:$I,"MDAW*")=0,"",SUMIFS('NSE - NIFTY Index Options'!$M:$M,'NSE - NIFTY Index Options'!$D:$D,$A97,'NSE - NIFTY Index Options'!$I:$I,"MDAW*")+SUMIFS('NSE - Other Index Options'!$M:$M,'NSE - Other Index Options'!$D:$D,$A97,'NSE - Other Index Options'!$I:$I,"MDAW*"))</f>
        <v/>
      </c>
      <c r="C97" s="26">
        <f>IF(SUMIFS('BSE - SENSEX Index Options'!$M:$M,'BSE - SENSEX Index Options'!$D:$D,$A97,'BSE - SENSEX Index Options'!$I:$I,"MDAW*")+SUMIFS('BSE - Other Index Options'!$M:$M,'BSE - Other Index Options'!$D:$D,$A97,'BSE - Other Index Options'!$I:$I,"MDAW*")=0,"",SUMIFS('BSE - SENSEX Index Options'!$M:$M,'BSE - SENSEX Index Options'!$D:$D,$A97,'BSE - SENSEX Index Options'!$I:$I,"MDAW*")+SUMIFS('BSE - Other Index Options'!$M:$M,'BSE - Other Index Options'!$D:$D,$A97,'BSE - Other Index Options'!$I:$I,"MDAW*"))</f>
        <v/>
      </c>
      <c r="D97" s="27">
        <f>IF(SUM(B97:C97)=0,"",SUM(B97)/SUM(B97:C97))</f>
        <v/>
      </c>
      <c r="E97" s="27">
        <f>IF(SUM(B97:C97)=0,"",SUM(C97)/SUM(B97:C97))</f>
        <v/>
      </c>
      <c r="G97" s="27">
        <f>IF(SUM(B31)=0,"",SUM(B97)/SUM(B31))</f>
        <v/>
      </c>
      <c r="H97" s="27">
        <f>IF(SUM(C31)=0,"",SUM(C97)/SUM(C31))</f>
        <v/>
      </c>
      <c r="I97" s="27">
        <f>IF(SUM(B31:C31)=0,"",SUM(B97:C97)/SUM(B31:C31))</f>
        <v/>
      </c>
    </row>
    <row r="98" hidden="1" outlineLevel="1">
      <c r="A98" s="24" t="n">
        <v>46722</v>
      </c>
      <c r="B98" s="26">
        <f>IF(SUMIFS('NSE - NIFTY Index Options'!$M:$M,'NSE - NIFTY Index Options'!$D:$D,$A98,'NSE - NIFTY Index Options'!$I:$I,"MDAW*")+SUMIFS('NSE - Other Index Options'!$M:$M,'NSE - Other Index Options'!$D:$D,$A98,'NSE - Other Index Options'!$I:$I,"MDAW*")=0,"",SUMIFS('NSE - NIFTY Index Options'!$M:$M,'NSE - NIFTY Index Options'!$D:$D,$A98,'NSE - NIFTY Index Options'!$I:$I,"MDAW*")+SUMIFS('NSE - Other Index Options'!$M:$M,'NSE - Other Index Options'!$D:$D,$A98,'NSE - Other Index Options'!$I:$I,"MDAW*"))</f>
        <v/>
      </c>
      <c r="C98" s="26">
        <f>IF(SUMIFS('BSE - SENSEX Index Options'!$M:$M,'BSE - SENSEX Index Options'!$D:$D,$A98,'BSE - SENSEX Index Options'!$I:$I,"MDAW*")+SUMIFS('BSE - Other Index Options'!$M:$M,'BSE - Other Index Options'!$D:$D,$A98,'BSE - Other Index Options'!$I:$I,"MDAW*")=0,"",SUMIFS('BSE - SENSEX Index Options'!$M:$M,'BSE - SENSEX Index Options'!$D:$D,$A98,'BSE - SENSEX Index Options'!$I:$I,"MDAW*")+SUMIFS('BSE - Other Index Options'!$M:$M,'BSE - Other Index Options'!$D:$D,$A98,'BSE - Other Index Options'!$I:$I,"MDAW*"))</f>
        <v/>
      </c>
      <c r="D98" s="27">
        <f>IF(SUM(B98:C98)=0,"",SUM(B98)/SUM(B98:C98))</f>
        <v/>
      </c>
      <c r="E98" s="27">
        <f>IF(SUM(B98:C98)=0,"",SUM(C98)/SUM(B98:C98))</f>
        <v/>
      </c>
      <c r="G98" s="27">
        <f>IF(SUM(B32)=0,"",SUM(B98)/SUM(B32))</f>
        <v/>
      </c>
      <c r="H98" s="27">
        <f>IF(SUM(C32)=0,"",SUM(C98)/SUM(C32))</f>
        <v/>
      </c>
      <c r="I98" s="27">
        <f>IF(SUM(B32:C32)=0,"",SUM(B98:C98)/SUM(B32:C32))</f>
        <v/>
      </c>
    </row>
    <row r="99" collapsed="1">
      <c r="A99" s="36" t="inlineStr">
        <is>
          <t>Total</t>
        </is>
      </c>
      <c r="B99" s="37">
        <f>IF(SUM(B71:B98)=0,"",SUM(B71:B98))</f>
        <v/>
      </c>
      <c r="C99" s="37">
        <f>IF(SUM(C71:C98)=0,"",SUM(C71:C98))</f>
        <v/>
      </c>
      <c r="D99" s="38">
        <f>IF(SUM(B99:C99)=0,"",SUM(B99)/SUM(B99:C99))</f>
        <v/>
      </c>
      <c r="E99" s="38">
        <f>IF(SUM(B99:C99)=0,"",SUM(C99)/SUM(B99:C99))</f>
        <v/>
      </c>
      <c r="G99" s="27">
        <f>IF(SUM(B33)=0,"",SUM(B99)/SUM(B33))</f>
        <v/>
      </c>
      <c r="H99" s="27">
        <f>IF(SUM(C33)=0,"",SUM(C99)/SUM(C33))</f>
        <v/>
      </c>
      <c r="I99" s="27">
        <f>IF(SUM(B33:C33)=0,"",SUM(B99:C99)/SUM(B33:C33))</f>
        <v/>
      </c>
    </row>
    <row r="102">
      <c r="A102" s="36" t="inlineStr">
        <is>
          <t>Monthly (Expiry Type 2)</t>
        </is>
      </c>
      <c r="G102" s="41" t="inlineStr">
        <is>
          <t>Composition — % of All Expiry Premium</t>
        </is>
      </c>
    </row>
    <row r="103">
      <c r="A103" s="36" t="inlineStr">
        <is>
          <t>Month</t>
        </is>
      </c>
      <c r="B103" s="36" t="inlineStr">
        <is>
          <t>NSE Premium Turnover (INR Bn)</t>
        </is>
      </c>
      <c r="C103" s="36" t="inlineStr">
        <is>
          <t>BSE Premium Turnover (INR Bn)</t>
        </is>
      </c>
      <c r="D103" s="36" t="inlineStr">
        <is>
          <t>NSE Market Share</t>
        </is>
      </c>
      <c r="E103" s="36" t="inlineStr">
        <is>
          <t>BSE Market Share</t>
        </is>
      </c>
      <c r="G103" s="39" t="inlineStr">
        <is>
          <t>NSE - % of NSE Total</t>
        </is>
      </c>
      <c r="H103" s="39" t="inlineStr">
        <is>
          <t>BSE - % of BSE Total</t>
        </is>
      </c>
      <c r="I103" s="40" t="inlineStr">
        <is>
          <t>Total - % of Total (NSE+BSE)</t>
        </is>
      </c>
    </row>
    <row r="104">
      <c r="A104" s="24" t="n">
        <v>45901</v>
      </c>
      <c r="B104" s="26">
        <f>IF(SUMIFS('NSE - NIFTY Index Options'!$M:$M,'NSE - NIFTY Index Options'!$D:$D,$A104,'NSE - NIFTY Index Options'!$I:$I,"Monthly*")+SUMIFS('NSE - Other Index Options'!$M:$M,'NSE - Other Index Options'!$D:$D,$A104,'NSE - Other Index Options'!$I:$I,"Monthly*")=0,"",SUMIFS('NSE - NIFTY Index Options'!$M:$M,'NSE - NIFTY Index Options'!$D:$D,$A104,'NSE - NIFTY Index Options'!$I:$I,"Monthly*")+SUMIFS('NSE - Other Index Options'!$M:$M,'NSE - Other Index Options'!$D:$D,$A104,'NSE - Other Index Options'!$I:$I,"Monthly*"))</f>
        <v/>
      </c>
      <c r="C104" s="26">
        <f>IF(SUMIFS('BSE - SENSEX Index Options'!$M:$M,'BSE - SENSEX Index Options'!$D:$D,$A104,'BSE - SENSEX Index Options'!$I:$I,"Monthly*")+SUMIFS('BSE - Other Index Options'!$M:$M,'BSE - Other Index Options'!$D:$D,$A104,'BSE - Other Index Options'!$I:$I,"Monthly*")=0,"",SUMIFS('BSE - SENSEX Index Options'!$M:$M,'BSE - SENSEX Index Options'!$D:$D,$A104,'BSE - SENSEX Index Options'!$I:$I,"Monthly*")+SUMIFS('BSE - Other Index Options'!$M:$M,'BSE - Other Index Options'!$D:$D,$A104,'BSE - Other Index Options'!$I:$I,"Monthly*"))</f>
        <v/>
      </c>
      <c r="D104" s="27">
        <f>IF(SUM(B104:C104)=0,"",SUM(B104)/SUM(B104:C104))</f>
        <v/>
      </c>
      <c r="E104" s="27">
        <f>IF(SUM(B104:C104)=0,"",SUM(C104)/SUM(B104:C104))</f>
        <v/>
      </c>
      <c r="G104" s="27">
        <f>IF(SUM(B5)=0,"",SUM(B104)/SUM(B5))</f>
        <v/>
      </c>
      <c r="H104" s="27">
        <f>IF(SUM(C5)=0,"",SUM(C104)/SUM(C5))</f>
        <v/>
      </c>
      <c r="I104" s="27">
        <f>IF(SUM(B5:C5)=0,"",SUM(B104:C104)/SUM(B5:C5))</f>
        <v/>
      </c>
    </row>
    <row r="105">
      <c r="A105" s="24" t="n">
        <v>45931</v>
      </c>
      <c r="B105" s="26">
        <f>IF(SUMIFS('NSE - NIFTY Index Options'!$M:$M,'NSE - NIFTY Index Options'!$D:$D,$A105,'NSE - NIFTY Index Options'!$I:$I,"Monthly*")+SUMIFS('NSE - Other Index Options'!$M:$M,'NSE - Other Index Options'!$D:$D,$A105,'NSE - Other Index Options'!$I:$I,"Monthly*")=0,"",SUMIFS('NSE - NIFTY Index Options'!$M:$M,'NSE - NIFTY Index Options'!$D:$D,$A105,'NSE - NIFTY Index Options'!$I:$I,"Monthly*")+SUMIFS('NSE - Other Index Options'!$M:$M,'NSE - Other Index Options'!$D:$D,$A105,'NSE - Other Index Options'!$I:$I,"Monthly*"))</f>
        <v/>
      </c>
      <c r="C105" s="26">
        <f>IF(SUMIFS('BSE - SENSEX Index Options'!$M:$M,'BSE - SENSEX Index Options'!$D:$D,$A105,'BSE - SENSEX Index Options'!$I:$I,"Monthly*")+SUMIFS('BSE - Other Index Options'!$M:$M,'BSE - Other Index Options'!$D:$D,$A105,'BSE - Other Index Options'!$I:$I,"Monthly*")=0,"",SUMIFS('BSE - SENSEX Index Options'!$M:$M,'BSE - SENSEX Index Options'!$D:$D,$A105,'BSE - SENSEX Index Options'!$I:$I,"Monthly*")+SUMIFS('BSE - Other Index Options'!$M:$M,'BSE - Other Index Options'!$D:$D,$A105,'BSE - Other Index Options'!$I:$I,"Monthly*"))</f>
        <v/>
      </c>
      <c r="D105" s="27">
        <f>IF(SUM(B105:C105)=0,"",SUM(B105)/SUM(B105:C105))</f>
        <v/>
      </c>
      <c r="E105" s="27">
        <f>IF(SUM(B105:C105)=0,"",SUM(C105)/SUM(B105:C105))</f>
        <v/>
      </c>
      <c r="G105" s="27">
        <f>IF(SUM(B6)=0,"",SUM(B105)/SUM(B6))</f>
        <v/>
      </c>
      <c r="H105" s="27">
        <f>IF(SUM(C6)=0,"",SUM(C105)/SUM(C6))</f>
        <v/>
      </c>
      <c r="I105" s="27">
        <f>IF(SUM(B6:C6)=0,"",SUM(B105:C105)/SUM(B6:C6))</f>
        <v/>
      </c>
    </row>
    <row r="106">
      <c r="A106" s="24" t="n">
        <v>45962</v>
      </c>
      <c r="B106" s="26">
        <f>IF(SUMIFS('NSE - NIFTY Index Options'!$M:$M,'NSE - NIFTY Index Options'!$D:$D,$A106,'NSE - NIFTY Index Options'!$I:$I,"Monthly*")+SUMIFS('NSE - Other Index Options'!$M:$M,'NSE - Other Index Options'!$D:$D,$A106,'NSE - Other Index Options'!$I:$I,"Monthly*")=0,"",SUMIFS('NSE - NIFTY Index Options'!$M:$M,'NSE - NIFTY Index Options'!$D:$D,$A106,'NSE - NIFTY Index Options'!$I:$I,"Monthly*")+SUMIFS('NSE - Other Index Options'!$M:$M,'NSE - Other Index Options'!$D:$D,$A106,'NSE - Other Index Options'!$I:$I,"Monthly*"))</f>
        <v/>
      </c>
      <c r="C106" s="26">
        <f>IF(SUMIFS('BSE - SENSEX Index Options'!$M:$M,'BSE - SENSEX Index Options'!$D:$D,$A106,'BSE - SENSEX Index Options'!$I:$I,"Monthly*")+SUMIFS('BSE - Other Index Options'!$M:$M,'BSE - Other Index Options'!$D:$D,$A106,'BSE - Other Index Options'!$I:$I,"Monthly*")=0,"",SUMIFS('BSE - SENSEX Index Options'!$M:$M,'BSE - SENSEX Index Options'!$D:$D,$A106,'BSE - SENSEX Index Options'!$I:$I,"Monthly*")+SUMIFS('BSE - Other Index Options'!$M:$M,'BSE - Other Index Options'!$D:$D,$A106,'BSE - Other Index Options'!$I:$I,"Monthly*"))</f>
        <v/>
      </c>
      <c r="D106" s="27">
        <f>IF(SUM(B106:C106)=0,"",SUM(B106)/SUM(B106:C106))</f>
        <v/>
      </c>
      <c r="E106" s="27">
        <f>IF(SUM(B106:C106)=0,"",SUM(C106)/SUM(B106:C106))</f>
        <v/>
      </c>
      <c r="G106" s="27">
        <f>IF(SUM(B7)=0,"",SUM(B106)/SUM(B7))</f>
        <v/>
      </c>
      <c r="H106" s="27">
        <f>IF(SUM(C7)=0,"",SUM(C106)/SUM(C7))</f>
        <v/>
      </c>
      <c r="I106" s="27">
        <f>IF(SUM(B7:C7)=0,"",SUM(B106:C106)/SUM(B7:C7))</f>
        <v/>
      </c>
    </row>
    <row r="107">
      <c r="A107" s="24" t="n">
        <v>45992</v>
      </c>
      <c r="B107" s="26">
        <f>IF(SUMIFS('NSE - NIFTY Index Options'!$M:$M,'NSE - NIFTY Index Options'!$D:$D,$A107,'NSE - NIFTY Index Options'!$I:$I,"Monthly*")+SUMIFS('NSE - Other Index Options'!$M:$M,'NSE - Other Index Options'!$D:$D,$A107,'NSE - Other Index Options'!$I:$I,"Monthly*")=0,"",SUMIFS('NSE - NIFTY Index Options'!$M:$M,'NSE - NIFTY Index Options'!$D:$D,$A107,'NSE - NIFTY Index Options'!$I:$I,"Monthly*")+SUMIFS('NSE - Other Index Options'!$M:$M,'NSE - Other Index Options'!$D:$D,$A107,'NSE - Other Index Options'!$I:$I,"Monthly*"))</f>
        <v/>
      </c>
      <c r="C107" s="26">
        <f>IF(SUMIFS('BSE - SENSEX Index Options'!$M:$M,'BSE - SENSEX Index Options'!$D:$D,$A107,'BSE - SENSEX Index Options'!$I:$I,"Monthly*")+SUMIFS('BSE - Other Index Options'!$M:$M,'BSE - Other Index Options'!$D:$D,$A107,'BSE - Other Index Options'!$I:$I,"Monthly*")=0,"",SUMIFS('BSE - SENSEX Index Options'!$M:$M,'BSE - SENSEX Index Options'!$D:$D,$A107,'BSE - SENSEX Index Options'!$I:$I,"Monthly*")+SUMIFS('BSE - Other Index Options'!$M:$M,'BSE - Other Index Options'!$D:$D,$A107,'BSE - Other Index Options'!$I:$I,"Monthly*"))</f>
        <v/>
      </c>
      <c r="D107" s="27">
        <f>IF(SUM(B107:C107)=0,"",SUM(B107)/SUM(B107:C107))</f>
        <v/>
      </c>
      <c r="E107" s="27">
        <f>IF(SUM(B107:C107)=0,"",SUM(C107)/SUM(B107:C107))</f>
        <v/>
      </c>
      <c r="G107" s="27">
        <f>IF(SUM(B8)=0,"",SUM(B107)/SUM(B8))</f>
        <v/>
      </c>
      <c r="H107" s="27">
        <f>IF(SUM(C8)=0,"",SUM(C107)/SUM(C8))</f>
        <v/>
      </c>
      <c r="I107" s="27">
        <f>IF(SUM(B8:C8)=0,"",SUM(B107:C107)/SUM(B8:C8))</f>
        <v/>
      </c>
    </row>
    <row r="108">
      <c r="A108" s="24" t="n">
        <v>46023</v>
      </c>
      <c r="B108" s="26">
        <f>IF(SUMIFS('NSE - NIFTY Index Options'!$M:$M,'NSE - NIFTY Index Options'!$D:$D,$A108,'NSE - NIFTY Index Options'!$I:$I,"Monthly*")+SUMIFS('NSE - Other Index Options'!$M:$M,'NSE - Other Index Options'!$D:$D,$A108,'NSE - Other Index Options'!$I:$I,"Monthly*")=0,"",SUMIFS('NSE - NIFTY Index Options'!$M:$M,'NSE - NIFTY Index Options'!$D:$D,$A108,'NSE - NIFTY Index Options'!$I:$I,"Monthly*")+SUMIFS('NSE - Other Index Options'!$M:$M,'NSE - Other Index Options'!$D:$D,$A108,'NSE - Other Index Options'!$I:$I,"Monthly*"))</f>
        <v/>
      </c>
      <c r="C108" s="26">
        <f>IF(SUMIFS('BSE - SENSEX Index Options'!$M:$M,'BSE - SENSEX Index Options'!$D:$D,$A108,'BSE - SENSEX Index Options'!$I:$I,"Monthly*")+SUMIFS('BSE - Other Index Options'!$M:$M,'BSE - Other Index Options'!$D:$D,$A108,'BSE - Other Index Options'!$I:$I,"Monthly*")=0,"",SUMIFS('BSE - SENSEX Index Options'!$M:$M,'BSE - SENSEX Index Options'!$D:$D,$A108,'BSE - SENSEX Index Options'!$I:$I,"Monthly*")+SUMIFS('BSE - Other Index Options'!$M:$M,'BSE - Other Index Options'!$D:$D,$A108,'BSE - Other Index Options'!$I:$I,"Monthly*"))</f>
        <v/>
      </c>
      <c r="D108" s="27">
        <f>IF(SUM(B108:C108)=0,"",SUM(B108)/SUM(B108:C108))</f>
        <v/>
      </c>
      <c r="E108" s="27">
        <f>IF(SUM(B108:C108)=0,"",SUM(C108)/SUM(B108:C108))</f>
        <v/>
      </c>
      <c r="G108" s="27">
        <f>IF(SUM(B9)=0,"",SUM(B108)/SUM(B9))</f>
        <v/>
      </c>
      <c r="H108" s="27">
        <f>IF(SUM(C9)=0,"",SUM(C108)/SUM(C9))</f>
        <v/>
      </c>
      <c r="I108" s="27">
        <f>IF(SUM(B9:C9)=0,"",SUM(B108:C108)/SUM(B9:C9))</f>
        <v/>
      </c>
    </row>
    <row r="109">
      <c r="A109" s="24" t="n">
        <v>46054</v>
      </c>
      <c r="B109" s="26">
        <f>IF(SUMIFS('NSE - NIFTY Index Options'!$M:$M,'NSE - NIFTY Index Options'!$D:$D,$A109,'NSE - NIFTY Index Options'!$I:$I,"Monthly*")+SUMIFS('NSE - Other Index Options'!$M:$M,'NSE - Other Index Options'!$D:$D,$A109,'NSE - Other Index Options'!$I:$I,"Monthly*")=0,"",SUMIFS('NSE - NIFTY Index Options'!$M:$M,'NSE - NIFTY Index Options'!$D:$D,$A109,'NSE - NIFTY Index Options'!$I:$I,"Monthly*")+SUMIFS('NSE - Other Index Options'!$M:$M,'NSE - Other Index Options'!$D:$D,$A109,'NSE - Other Index Options'!$I:$I,"Monthly*"))</f>
        <v/>
      </c>
      <c r="C109" s="26">
        <f>IF(SUMIFS('BSE - SENSEX Index Options'!$M:$M,'BSE - SENSEX Index Options'!$D:$D,$A109,'BSE - SENSEX Index Options'!$I:$I,"Monthly*")+SUMIFS('BSE - Other Index Options'!$M:$M,'BSE - Other Index Options'!$D:$D,$A109,'BSE - Other Index Options'!$I:$I,"Monthly*")=0,"",SUMIFS('BSE - SENSEX Index Options'!$M:$M,'BSE - SENSEX Index Options'!$D:$D,$A109,'BSE - SENSEX Index Options'!$I:$I,"Monthly*")+SUMIFS('BSE - Other Index Options'!$M:$M,'BSE - Other Index Options'!$D:$D,$A109,'BSE - Other Index Options'!$I:$I,"Monthly*"))</f>
        <v/>
      </c>
      <c r="D109" s="27">
        <f>IF(SUM(B109:C109)=0,"",SUM(B109)/SUM(B109:C109))</f>
        <v/>
      </c>
      <c r="E109" s="27">
        <f>IF(SUM(B109:C109)=0,"",SUM(C109)/SUM(B109:C109))</f>
        <v/>
      </c>
      <c r="G109" s="27">
        <f>IF(SUM(B10)=0,"",SUM(B109)/SUM(B10))</f>
        <v/>
      </c>
      <c r="H109" s="27">
        <f>IF(SUM(C10)=0,"",SUM(C109)/SUM(C10))</f>
        <v/>
      </c>
      <c r="I109" s="27">
        <f>IF(SUM(B10:C10)=0,"",SUM(B109:C109)/SUM(B10:C10))</f>
        <v/>
      </c>
    </row>
    <row r="110">
      <c r="A110" s="24" t="n">
        <v>46082</v>
      </c>
      <c r="B110" s="26">
        <f>IF(SUMIFS('NSE - NIFTY Index Options'!$M:$M,'NSE - NIFTY Index Options'!$D:$D,$A110,'NSE - NIFTY Index Options'!$I:$I,"Monthly*")+SUMIFS('NSE - Other Index Options'!$M:$M,'NSE - Other Index Options'!$D:$D,$A110,'NSE - Other Index Options'!$I:$I,"Monthly*")=0,"",SUMIFS('NSE - NIFTY Index Options'!$M:$M,'NSE - NIFTY Index Options'!$D:$D,$A110,'NSE - NIFTY Index Options'!$I:$I,"Monthly*")+SUMIFS('NSE - Other Index Options'!$M:$M,'NSE - Other Index Options'!$D:$D,$A110,'NSE - Other Index Options'!$I:$I,"Monthly*"))</f>
        <v/>
      </c>
      <c r="C110" s="26">
        <f>IF(SUMIFS('BSE - SENSEX Index Options'!$M:$M,'BSE - SENSEX Index Options'!$D:$D,$A110,'BSE - SENSEX Index Options'!$I:$I,"Monthly*")+SUMIFS('BSE - Other Index Options'!$M:$M,'BSE - Other Index Options'!$D:$D,$A110,'BSE - Other Index Options'!$I:$I,"Monthly*")=0,"",SUMIFS('BSE - SENSEX Index Options'!$M:$M,'BSE - SENSEX Index Options'!$D:$D,$A110,'BSE - SENSEX Index Options'!$I:$I,"Monthly*")+SUMIFS('BSE - Other Index Options'!$M:$M,'BSE - Other Index Options'!$D:$D,$A110,'BSE - Other Index Options'!$I:$I,"Monthly*"))</f>
        <v/>
      </c>
      <c r="D110" s="27">
        <f>IF(SUM(B110:C110)=0,"",SUM(B110)/SUM(B110:C110))</f>
        <v/>
      </c>
      <c r="E110" s="27">
        <f>IF(SUM(B110:C110)=0,"",SUM(C110)/SUM(B110:C110))</f>
        <v/>
      </c>
      <c r="G110" s="27">
        <f>IF(SUM(B11)=0,"",SUM(B110)/SUM(B11))</f>
        <v/>
      </c>
      <c r="H110" s="27">
        <f>IF(SUM(C11)=0,"",SUM(C110)/SUM(C11))</f>
        <v/>
      </c>
      <c r="I110" s="27">
        <f>IF(SUM(B11:C11)=0,"",SUM(B110:C110)/SUM(B11:C11))</f>
        <v/>
      </c>
    </row>
    <row r="111">
      <c r="A111" s="24" t="n">
        <v>46113</v>
      </c>
      <c r="B111" s="26">
        <f>IF(SUMIFS('NSE - NIFTY Index Options'!$M:$M,'NSE - NIFTY Index Options'!$D:$D,$A111,'NSE - NIFTY Index Options'!$I:$I,"Monthly*")+SUMIFS('NSE - Other Index Options'!$M:$M,'NSE - Other Index Options'!$D:$D,$A111,'NSE - Other Index Options'!$I:$I,"Monthly*")=0,"",SUMIFS('NSE - NIFTY Index Options'!$M:$M,'NSE - NIFTY Index Options'!$D:$D,$A111,'NSE - NIFTY Index Options'!$I:$I,"Monthly*")+SUMIFS('NSE - Other Index Options'!$M:$M,'NSE - Other Index Options'!$D:$D,$A111,'NSE - Other Index Options'!$I:$I,"Monthly*"))</f>
        <v/>
      </c>
      <c r="C111" s="26">
        <f>IF(SUMIFS('BSE - SENSEX Index Options'!$M:$M,'BSE - SENSEX Index Options'!$D:$D,$A111,'BSE - SENSEX Index Options'!$I:$I,"Monthly*")+SUMIFS('BSE - Other Index Options'!$M:$M,'BSE - Other Index Options'!$D:$D,$A111,'BSE - Other Index Options'!$I:$I,"Monthly*")=0,"",SUMIFS('BSE - SENSEX Index Options'!$M:$M,'BSE - SENSEX Index Options'!$D:$D,$A111,'BSE - SENSEX Index Options'!$I:$I,"Monthly*")+SUMIFS('BSE - Other Index Options'!$M:$M,'BSE - Other Index Options'!$D:$D,$A111,'BSE - Other Index Options'!$I:$I,"Monthly*"))</f>
        <v/>
      </c>
      <c r="D111" s="27">
        <f>IF(SUM(B111:C111)=0,"",SUM(B111)/SUM(B111:C111))</f>
        <v/>
      </c>
      <c r="E111" s="27">
        <f>IF(SUM(B111:C111)=0,"",SUM(C111)/SUM(B111:C111))</f>
        <v/>
      </c>
      <c r="G111" s="27">
        <f>IF(SUM(B12)=0,"",SUM(B111)/SUM(B12))</f>
        <v/>
      </c>
      <c r="H111" s="27">
        <f>IF(SUM(C12)=0,"",SUM(C111)/SUM(C12))</f>
        <v/>
      </c>
      <c r="I111" s="27">
        <f>IF(SUM(B12:C12)=0,"",SUM(B111:C111)/SUM(B12:C12))</f>
        <v/>
      </c>
    </row>
    <row r="112">
      <c r="A112" s="24" t="n">
        <v>46143</v>
      </c>
      <c r="B112" s="26">
        <f>IF(SUMIFS('NSE - NIFTY Index Options'!$M:$M,'NSE - NIFTY Index Options'!$D:$D,$A112,'NSE - NIFTY Index Options'!$I:$I,"Monthly*")+SUMIFS('NSE - Other Index Options'!$M:$M,'NSE - Other Index Options'!$D:$D,$A112,'NSE - Other Index Options'!$I:$I,"Monthly*")=0,"",SUMIFS('NSE - NIFTY Index Options'!$M:$M,'NSE - NIFTY Index Options'!$D:$D,$A112,'NSE - NIFTY Index Options'!$I:$I,"Monthly*")+SUMIFS('NSE - Other Index Options'!$M:$M,'NSE - Other Index Options'!$D:$D,$A112,'NSE - Other Index Options'!$I:$I,"Monthly*"))</f>
        <v/>
      </c>
      <c r="C112" s="26">
        <f>IF(SUMIFS('BSE - SENSEX Index Options'!$M:$M,'BSE - SENSEX Index Options'!$D:$D,$A112,'BSE - SENSEX Index Options'!$I:$I,"Monthly*")+SUMIFS('BSE - Other Index Options'!$M:$M,'BSE - Other Index Options'!$D:$D,$A112,'BSE - Other Index Options'!$I:$I,"Monthly*")=0,"",SUMIFS('BSE - SENSEX Index Options'!$M:$M,'BSE - SENSEX Index Options'!$D:$D,$A112,'BSE - SENSEX Index Options'!$I:$I,"Monthly*")+SUMIFS('BSE - Other Index Options'!$M:$M,'BSE - Other Index Options'!$D:$D,$A112,'BSE - Other Index Options'!$I:$I,"Monthly*"))</f>
        <v/>
      </c>
      <c r="D112" s="27">
        <f>IF(SUM(B112:C112)=0,"",SUM(B112)/SUM(B112:C112))</f>
        <v/>
      </c>
      <c r="E112" s="27">
        <f>IF(SUM(B112:C112)=0,"",SUM(C112)/SUM(B112:C112))</f>
        <v/>
      </c>
      <c r="G112" s="27">
        <f>IF(SUM(B13)=0,"",SUM(B112)/SUM(B13))</f>
        <v/>
      </c>
      <c r="H112" s="27">
        <f>IF(SUM(C13)=0,"",SUM(C112)/SUM(C13))</f>
        <v/>
      </c>
      <c r="I112" s="27">
        <f>IF(SUM(B13:C13)=0,"",SUM(B112:C112)/SUM(B13:C13))</f>
        <v/>
      </c>
    </row>
    <row r="113">
      <c r="A113" s="24" t="n">
        <v>46174</v>
      </c>
      <c r="B113" s="26">
        <f>IF(SUMIFS('NSE - NIFTY Index Options'!$M:$M,'NSE - NIFTY Index Options'!$D:$D,$A113,'NSE - NIFTY Index Options'!$I:$I,"Monthly*")+SUMIFS('NSE - Other Index Options'!$M:$M,'NSE - Other Index Options'!$D:$D,$A113,'NSE - Other Index Options'!$I:$I,"Monthly*")=0,"",SUMIFS('NSE - NIFTY Index Options'!$M:$M,'NSE - NIFTY Index Options'!$D:$D,$A113,'NSE - NIFTY Index Options'!$I:$I,"Monthly*")+SUMIFS('NSE - Other Index Options'!$M:$M,'NSE - Other Index Options'!$D:$D,$A113,'NSE - Other Index Options'!$I:$I,"Monthly*"))</f>
        <v/>
      </c>
      <c r="C113" s="26">
        <f>IF(SUMIFS('BSE - SENSEX Index Options'!$M:$M,'BSE - SENSEX Index Options'!$D:$D,$A113,'BSE - SENSEX Index Options'!$I:$I,"Monthly*")+SUMIFS('BSE - Other Index Options'!$M:$M,'BSE - Other Index Options'!$D:$D,$A113,'BSE - Other Index Options'!$I:$I,"Monthly*")=0,"",SUMIFS('BSE - SENSEX Index Options'!$M:$M,'BSE - SENSEX Index Options'!$D:$D,$A113,'BSE - SENSEX Index Options'!$I:$I,"Monthly*")+SUMIFS('BSE - Other Index Options'!$M:$M,'BSE - Other Index Options'!$D:$D,$A113,'BSE - Other Index Options'!$I:$I,"Monthly*"))</f>
        <v/>
      </c>
      <c r="D113" s="27">
        <f>IF(SUM(B113:C113)=0,"",SUM(B113)/SUM(B113:C113))</f>
        <v/>
      </c>
      <c r="E113" s="27">
        <f>IF(SUM(B113:C113)=0,"",SUM(C113)/SUM(B113:C113))</f>
        <v/>
      </c>
      <c r="G113" s="27">
        <f>IF(SUM(B14)=0,"",SUM(B113)/SUM(B14))</f>
        <v/>
      </c>
      <c r="H113" s="27">
        <f>IF(SUM(C14)=0,"",SUM(C113)/SUM(C14))</f>
        <v/>
      </c>
      <c r="I113" s="27">
        <f>IF(SUM(B14:C14)=0,"",SUM(B113:C113)/SUM(B14:C14))</f>
        <v/>
      </c>
    </row>
    <row r="114">
      <c r="A114" s="24" t="n">
        <v>46204</v>
      </c>
      <c r="B114" s="26">
        <f>IF(SUMIFS('NSE - NIFTY Index Options'!$M:$M,'NSE - NIFTY Index Options'!$D:$D,$A114,'NSE - NIFTY Index Options'!$I:$I,"Monthly*")+SUMIFS('NSE - Other Index Options'!$M:$M,'NSE - Other Index Options'!$D:$D,$A114,'NSE - Other Index Options'!$I:$I,"Monthly*")=0,"",SUMIFS('NSE - NIFTY Index Options'!$M:$M,'NSE - NIFTY Index Options'!$D:$D,$A114,'NSE - NIFTY Index Options'!$I:$I,"Monthly*")+SUMIFS('NSE - Other Index Options'!$M:$M,'NSE - Other Index Options'!$D:$D,$A114,'NSE - Other Index Options'!$I:$I,"Monthly*"))</f>
        <v/>
      </c>
      <c r="C114" s="26">
        <f>IF(SUMIFS('BSE - SENSEX Index Options'!$M:$M,'BSE - SENSEX Index Options'!$D:$D,$A114,'BSE - SENSEX Index Options'!$I:$I,"Monthly*")+SUMIFS('BSE - Other Index Options'!$M:$M,'BSE - Other Index Options'!$D:$D,$A114,'BSE - Other Index Options'!$I:$I,"Monthly*")=0,"",SUMIFS('BSE - SENSEX Index Options'!$M:$M,'BSE - SENSEX Index Options'!$D:$D,$A114,'BSE - SENSEX Index Options'!$I:$I,"Monthly*")+SUMIFS('BSE - Other Index Options'!$M:$M,'BSE - Other Index Options'!$D:$D,$A114,'BSE - Other Index Options'!$I:$I,"Monthly*"))</f>
        <v/>
      </c>
      <c r="D114" s="27">
        <f>IF(SUM(B114:C114)=0,"",SUM(B114)/SUM(B114:C114))</f>
        <v/>
      </c>
      <c r="E114" s="27">
        <f>IF(SUM(B114:C114)=0,"",SUM(C114)/SUM(B114:C114))</f>
        <v/>
      </c>
      <c r="G114" s="27">
        <f>IF(SUM(B15)=0,"",SUM(B114)/SUM(B15))</f>
        <v/>
      </c>
      <c r="H114" s="27">
        <f>IF(SUM(C15)=0,"",SUM(C114)/SUM(C15))</f>
        <v/>
      </c>
      <c r="I114" s="27">
        <f>IF(SUM(B15:C15)=0,"",SUM(B114:C114)/SUM(B15:C15))</f>
        <v/>
      </c>
    </row>
    <row r="115">
      <c r="A115" s="24" t="n">
        <v>46235</v>
      </c>
      <c r="B115" s="26">
        <f>IF(SUMIFS('NSE - NIFTY Index Options'!$M:$M,'NSE - NIFTY Index Options'!$D:$D,$A115,'NSE - NIFTY Index Options'!$I:$I,"Monthly*")+SUMIFS('NSE - Other Index Options'!$M:$M,'NSE - Other Index Options'!$D:$D,$A115,'NSE - Other Index Options'!$I:$I,"Monthly*")=0,"",SUMIFS('NSE - NIFTY Index Options'!$M:$M,'NSE - NIFTY Index Options'!$D:$D,$A115,'NSE - NIFTY Index Options'!$I:$I,"Monthly*")+SUMIFS('NSE - Other Index Options'!$M:$M,'NSE - Other Index Options'!$D:$D,$A115,'NSE - Other Index Options'!$I:$I,"Monthly*"))</f>
        <v/>
      </c>
      <c r="C115" s="26">
        <f>IF(SUMIFS('BSE - SENSEX Index Options'!$M:$M,'BSE - SENSEX Index Options'!$D:$D,$A115,'BSE - SENSEX Index Options'!$I:$I,"Monthly*")+SUMIFS('BSE - Other Index Options'!$M:$M,'BSE - Other Index Options'!$D:$D,$A115,'BSE - Other Index Options'!$I:$I,"Monthly*")=0,"",SUMIFS('BSE - SENSEX Index Options'!$M:$M,'BSE - SENSEX Index Options'!$D:$D,$A115,'BSE - SENSEX Index Options'!$I:$I,"Monthly*")+SUMIFS('BSE - Other Index Options'!$M:$M,'BSE - Other Index Options'!$D:$D,$A115,'BSE - Other Index Options'!$I:$I,"Monthly*"))</f>
        <v/>
      </c>
      <c r="D115" s="27">
        <f>IF(SUM(B115:C115)=0,"",SUM(B115)/SUM(B115:C115))</f>
        <v/>
      </c>
      <c r="E115" s="27">
        <f>IF(SUM(B115:C115)=0,"",SUM(C115)/SUM(B115:C115))</f>
        <v/>
      </c>
      <c r="G115" s="27">
        <f>IF(SUM(B16)=0,"",SUM(B115)/SUM(B16))</f>
        <v/>
      </c>
      <c r="H115" s="27">
        <f>IF(SUM(C16)=0,"",SUM(C115)/SUM(C16))</f>
        <v/>
      </c>
      <c r="I115" s="27">
        <f>IF(SUM(B16:C16)=0,"",SUM(B115:C115)/SUM(B16:C16))</f>
        <v/>
      </c>
    </row>
    <row r="116" hidden="1" outlineLevel="1">
      <c r="A116" s="24" t="n">
        <v>46266</v>
      </c>
      <c r="B116" s="26">
        <f>IF(SUMIFS('NSE - NIFTY Index Options'!$M:$M,'NSE - NIFTY Index Options'!$D:$D,$A116,'NSE - NIFTY Index Options'!$I:$I,"Monthly*")+SUMIFS('NSE - Other Index Options'!$M:$M,'NSE - Other Index Options'!$D:$D,$A116,'NSE - Other Index Options'!$I:$I,"Monthly*")=0,"",SUMIFS('NSE - NIFTY Index Options'!$M:$M,'NSE - NIFTY Index Options'!$D:$D,$A116,'NSE - NIFTY Index Options'!$I:$I,"Monthly*")+SUMIFS('NSE - Other Index Options'!$M:$M,'NSE - Other Index Options'!$D:$D,$A116,'NSE - Other Index Options'!$I:$I,"Monthly*"))</f>
        <v/>
      </c>
      <c r="C116" s="26">
        <f>IF(SUMIFS('BSE - SENSEX Index Options'!$M:$M,'BSE - SENSEX Index Options'!$D:$D,$A116,'BSE - SENSEX Index Options'!$I:$I,"Monthly*")+SUMIFS('BSE - Other Index Options'!$M:$M,'BSE - Other Index Options'!$D:$D,$A116,'BSE - Other Index Options'!$I:$I,"Monthly*")=0,"",SUMIFS('BSE - SENSEX Index Options'!$M:$M,'BSE - SENSEX Index Options'!$D:$D,$A116,'BSE - SENSEX Index Options'!$I:$I,"Monthly*")+SUMIFS('BSE - Other Index Options'!$M:$M,'BSE - Other Index Options'!$D:$D,$A116,'BSE - Other Index Options'!$I:$I,"Monthly*"))</f>
        <v/>
      </c>
      <c r="D116" s="27">
        <f>IF(SUM(B116:C116)=0,"",SUM(B116)/SUM(B116:C116))</f>
        <v/>
      </c>
      <c r="E116" s="27">
        <f>IF(SUM(B116:C116)=0,"",SUM(C116)/SUM(B116:C116))</f>
        <v/>
      </c>
      <c r="G116" s="27">
        <f>IF(SUM(B17)=0,"",SUM(B116)/SUM(B17))</f>
        <v/>
      </c>
      <c r="H116" s="27">
        <f>IF(SUM(C17)=0,"",SUM(C116)/SUM(C17))</f>
        <v/>
      </c>
      <c r="I116" s="27">
        <f>IF(SUM(B17:C17)=0,"",SUM(B116:C116)/SUM(B17:C17))</f>
        <v/>
      </c>
    </row>
    <row r="117" hidden="1" outlineLevel="1">
      <c r="A117" s="24" t="n">
        <v>46296</v>
      </c>
      <c r="B117" s="26">
        <f>IF(SUMIFS('NSE - NIFTY Index Options'!$M:$M,'NSE - NIFTY Index Options'!$D:$D,$A117,'NSE - NIFTY Index Options'!$I:$I,"Monthly*")+SUMIFS('NSE - Other Index Options'!$M:$M,'NSE - Other Index Options'!$D:$D,$A117,'NSE - Other Index Options'!$I:$I,"Monthly*")=0,"",SUMIFS('NSE - NIFTY Index Options'!$M:$M,'NSE - NIFTY Index Options'!$D:$D,$A117,'NSE - NIFTY Index Options'!$I:$I,"Monthly*")+SUMIFS('NSE - Other Index Options'!$M:$M,'NSE - Other Index Options'!$D:$D,$A117,'NSE - Other Index Options'!$I:$I,"Monthly*"))</f>
        <v/>
      </c>
      <c r="C117" s="26">
        <f>IF(SUMIFS('BSE - SENSEX Index Options'!$M:$M,'BSE - SENSEX Index Options'!$D:$D,$A117,'BSE - SENSEX Index Options'!$I:$I,"Monthly*")+SUMIFS('BSE - Other Index Options'!$M:$M,'BSE - Other Index Options'!$D:$D,$A117,'BSE - Other Index Options'!$I:$I,"Monthly*")=0,"",SUMIFS('BSE - SENSEX Index Options'!$M:$M,'BSE - SENSEX Index Options'!$D:$D,$A117,'BSE - SENSEX Index Options'!$I:$I,"Monthly*")+SUMIFS('BSE - Other Index Options'!$M:$M,'BSE - Other Index Options'!$D:$D,$A117,'BSE - Other Index Options'!$I:$I,"Monthly*"))</f>
        <v/>
      </c>
      <c r="D117" s="27">
        <f>IF(SUM(B117:C117)=0,"",SUM(B117)/SUM(B117:C117))</f>
        <v/>
      </c>
      <c r="E117" s="27">
        <f>IF(SUM(B117:C117)=0,"",SUM(C117)/SUM(B117:C117))</f>
        <v/>
      </c>
      <c r="G117" s="27">
        <f>IF(SUM(B18)=0,"",SUM(B117)/SUM(B18))</f>
        <v/>
      </c>
      <c r="H117" s="27">
        <f>IF(SUM(C18)=0,"",SUM(C117)/SUM(C18))</f>
        <v/>
      </c>
      <c r="I117" s="27">
        <f>IF(SUM(B18:C18)=0,"",SUM(B117:C117)/SUM(B18:C18))</f>
        <v/>
      </c>
    </row>
    <row r="118" hidden="1" outlineLevel="1">
      <c r="A118" s="24" t="n">
        <v>46327</v>
      </c>
      <c r="B118" s="26">
        <f>IF(SUMIFS('NSE - NIFTY Index Options'!$M:$M,'NSE - NIFTY Index Options'!$D:$D,$A118,'NSE - NIFTY Index Options'!$I:$I,"Monthly*")+SUMIFS('NSE - Other Index Options'!$M:$M,'NSE - Other Index Options'!$D:$D,$A118,'NSE - Other Index Options'!$I:$I,"Monthly*")=0,"",SUMIFS('NSE - NIFTY Index Options'!$M:$M,'NSE - NIFTY Index Options'!$D:$D,$A118,'NSE - NIFTY Index Options'!$I:$I,"Monthly*")+SUMIFS('NSE - Other Index Options'!$M:$M,'NSE - Other Index Options'!$D:$D,$A118,'NSE - Other Index Options'!$I:$I,"Monthly*"))</f>
        <v/>
      </c>
      <c r="C118" s="26">
        <f>IF(SUMIFS('BSE - SENSEX Index Options'!$M:$M,'BSE - SENSEX Index Options'!$D:$D,$A118,'BSE - SENSEX Index Options'!$I:$I,"Monthly*")+SUMIFS('BSE - Other Index Options'!$M:$M,'BSE - Other Index Options'!$D:$D,$A118,'BSE - Other Index Options'!$I:$I,"Monthly*")=0,"",SUMIFS('BSE - SENSEX Index Options'!$M:$M,'BSE - SENSEX Index Options'!$D:$D,$A118,'BSE - SENSEX Index Options'!$I:$I,"Monthly*")+SUMIFS('BSE - Other Index Options'!$M:$M,'BSE - Other Index Options'!$D:$D,$A118,'BSE - Other Index Options'!$I:$I,"Monthly*"))</f>
        <v/>
      </c>
      <c r="D118" s="27">
        <f>IF(SUM(B118:C118)=0,"",SUM(B118)/SUM(B118:C118))</f>
        <v/>
      </c>
      <c r="E118" s="27">
        <f>IF(SUM(B118:C118)=0,"",SUM(C118)/SUM(B118:C118))</f>
        <v/>
      </c>
      <c r="G118" s="27">
        <f>IF(SUM(B19)=0,"",SUM(B118)/SUM(B19))</f>
        <v/>
      </c>
      <c r="H118" s="27">
        <f>IF(SUM(C19)=0,"",SUM(C118)/SUM(C19))</f>
        <v/>
      </c>
      <c r="I118" s="27">
        <f>IF(SUM(B19:C19)=0,"",SUM(B118:C118)/SUM(B19:C19))</f>
        <v/>
      </c>
    </row>
    <row r="119" hidden="1" outlineLevel="1">
      <c r="A119" s="24" t="n">
        <v>46357</v>
      </c>
      <c r="B119" s="26">
        <f>IF(SUMIFS('NSE - NIFTY Index Options'!$M:$M,'NSE - NIFTY Index Options'!$D:$D,$A119,'NSE - NIFTY Index Options'!$I:$I,"Monthly*")+SUMIFS('NSE - Other Index Options'!$M:$M,'NSE - Other Index Options'!$D:$D,$A119,'NSE - Other Index Options'!$I:$I,"Monthly*")=0,"",SUMIFS('NSE - NIFTY Index Options'!$M:$M,'NSE - NIFTY Index Options'!$D:$D,$A119,'NSE - NIFTY Index Options'!$I:$I,"Monthly*")+SUMIFS('NSE - Other Index Options'!$M:$M,'NSE - Other Index Options'!$D:$D,$A119,'NSE - Other Index Options'!$I:$I,"Monthly*"))</f>
        <v/>
      </c>
      <c r="C119" s="26">
        <f>IF(SUMIFS('BSE - SENSEX Index Options'!$M:$M,'BSE - SENSEX Index Options'!$D:$D,$A119,'BSE - SENSEX Index Options'!$I:$I,"Monthly*")+SUMIFS('BSE - Other Index Options'!$M:$M,'BSE - Other Index Options'!$D:$D,$A119,'BSE - Other Index Options'!$I:$I,"Monthly*")=0,"",SUMIFS('BSE - SENSEX Index Options'!$M:$M,'BSE - SENSEX Index Options'!$D:$D,$A119,'BSE - SENSEX Index Options'!$I:$I,"Monthly*")+SUMIFS('BSE - Other Index Options'!$M:$M,'BSE - Other Index Options'!$D:$D,$A119,'BSE - Other Index Options'!$I:$I,"Monthly*"))</f>
        <v/>
      </c>
      <c r="D119" s="27">
        <f>IF(SUM(B119:C119)=0,"",SUM(B119)/SUM(B119:C119))</f>
        <v/>
      </c>
      <c r="E119" s="27">
        <f>IF(SUM(B119:C119)=0,"",SUM(C119)/SUM(B119:C119))</f>
        <v/>
      </c>
      <c r="G119" s="27">
        <f>IF(SUM(B20)=0,"",SUM(B119)/SUM(B20))</f>
        <v/>
      </c>
      <c r="H119" s="27">
        <f>IF(SUM(C20)=0,"",SUM(C119)/SUM(C20))</f>
        <v/>
      </c>
      <c r="I119" s="27">
        <f>IF(SUM(B20:C20)=0,"",SUM(B119:C119)/SUM(B20:C20))</f>
        <v/>
      </c>
    </row>
    <row r="120" hidden="1" outlineLevel="1">
      <c r="A120" s="24" t="n">
        <v>46388</v>
      </c>
      <c r="B120" s="26">
        <f>IF(SUMIFS('NSE - NIFTY Index Options'!$M:$M,'NSE - NIFTY Index Options'!$D:$D,$A120,'NSE - NIFTY Index Options'!$I:$I,"Monthly*")+SUMIFS('NSE - Other Index Options'!$M:$M,'NSE - Other Index Options'!$D:$D,$A120,'NSE - Other Index Options'!$I:$I,"Monthly*")=0,"",SUMIFS('NSE - NIFTY Index Options'!$M:$M,'NSE - NIFTY Index Options'!$D:$D,$A120,'NSE - NIFTY Index Options'!$I:$I,"Monthly*")+SUMIFS('NSE - Other Index Options'!$M:$M,'NSE - Other Index Options'!$D:$D,$A120,'NSE - Other Index Options'!$I:$I,"Monthly*"))</f>
        <v/>
      </c>
      <c r="C120" s="26">
        <f>IF(SUMIFS('BSE - SENSEX Index Options'!$M:$M,'BSE - SENSEX Index Options'!$D:$D,$A120,'BSE - SENSEX Index Options'!$I:$I,"Monthly*")+SUMIFS('BSE - Other Index Options'!$M:$M,'BSE - Other Index Options'!$D:$D,$A120,'BSE - Other Index Options'!$I:$I,"Monthly*")=0,"",SUMIFS('BSE - SENSEX Index Options'!$M:$M,'BSE - SENSEX Index Options'!$D:$D,$A120,'BSE - SENSEX Index Options'!$I:$I,"Monthly*")+SUMIFS('BSE - Other Index Options'!$M:$M,'BSE - Other Index Options'!$D:$D,$A120,'BSE - Other Index Options'!$I:$I,"Monthly*"))</f>
        <v/>
      </c>
      <c r="D120" s="27">
        <f>IF(SUM(B120:C120)=0,"",SUM(B120)/SUM(B120:C120))</f>
        <v/>
      </c>
      <c r="E120" s="27">
        <f>IF(SUM(B120:C120)=0,"",SUM(C120)/SUM(B120:C120))</f>
        <v/>
      </c>
      <c r="G120" s="27">
        <f>IF(SUM(B21)=0,"",SUM(B120)/SUM(B21))</f>
        <v/>
      </c>
      <c r="H120" s="27">
        <f>IF(SUM(C21)=0,"",SUM(C120)/SUM(C21))</f>
        <v/>
      </c>
      <c r="I120" s="27">
        <f>IF(SUM(B21:C21)=0,"",SUM(B120:C120)/SUM(B21:C21))</f>
        <v/>
      </c>
    </row>
    <row r="121" hidden="1" outlineLevel="1">
      <c r="A121" s="24" t="n">
        <v>46419</v>
      </c>
      <c r="B121" s="26">
        <f>IF(SUMIFS('NSE - NIFTY Index Options'!$M:$M,'NSE - NIFTY Index Options'!$D:$D,$A121,'NSE - NIFTY Index Options'!$I:$I,"Monthly*")+SUMIFS('NSE - Other Index Options'!$M:$M,'NSE - Other Index Options'!$D:$D,$A121,'NSE - Other Index Options'!$I:$I,"Monthly*")=0,"",SUMIFS('NSE - NIFTY Index Options'!$M:$M,'NSE - NIFTY Index Options'!$D:$D,$A121,'NSE - NIFTY Index Options'!$I:$I,"Monthly*")+SUMIFS('NSE - Other Index Options'!$M:$M,'NSE - Other Index Options'!$D:$D,$A121,'NSE - Other Index Options'!$I:$I,"Monthly*"))</f>
        <v/>
      </c>
      <c r="C121" s="26">
        <f>IF(SUMIFS('BSE - SENSEX Index Options'!$M:$M,'BSE - SENSEX Index Options'!$D:$D,$A121,'BSE - SENSEX Index Options'!$I:$I,"Monthly*")+SUMIFS('BSE - Other Index Options'!$M:$M,'BSE - Other Index Options'!$D:$D,$A121,'BSE - Other Index Options'!$I:$I,"Monthly*")=0,"",SUMIFS('BSE - SENSEX Index Options'!$M:$M,'BSE - SENSEX Index Options'!$D:$D,$A121,'BSE - SENSEX Index Options'!$I:$I,"Monthly*")+SUMIFS('BSE - Other Index Options'!$M:$M,'BSE - Other Index Options'!$D:$D,$A121,'BSE - Other Index Options'!$I:$I,"Monthly*"))</f>
        <v/>
      </c>
      <c r="D121" s="27">
        <f>IF(SUM(B121:C121)=0,"",SUM(B121)/SUM(B121:C121))</f>
        <v/>
      </c>
      <c r="E121" s="27">
        <f>IF(SUM(B121:C121)=0,"",SUM(C121)/SUM(B121:C121))</f>
        <v/>
      </c>
      <c r="G121" s="27">
        <f>IF(SUM(B22)=0,"",SUM(B121)/SUM(B22))</f>
        <v/>
      </c>
      <c r="H121" s="27">
        <f>IF(SUM(C22)=0,"",SUM(C121)/SUM(C22))</f>
        <v/>
      </c>
      <c r="I121" s="27">
        <f>IF(SUM(B22:C22)=0,"",SUM(B121:C121)/SUM(B22:C22))</f>
        <v/>
      </c>
    </row>
    <row r="122" hidden="1" outlineLevel="1">
      <c r="A122" s="24" t="n">
        <v>46447</v>
      </c>
      <c r="B122" s="26">
        <f>IF(SUMIFS('NSE - NIFTY Index Options'!$M:$M,'NSE - NIFTY Index Options'!$D:$D,$A122,'NSE - NIFTY Index Options'!$I:$I,"Monthly*")+SUMIFS('NSE - Other Index Options'!$M:$M,'NSE - Other Index Options'!$D:$D,$A122,'NSE - Other Index Options'!$I:$I,"Monthly*")=0,"",SUMIFS('NSE - NIFTY Index Options'!$M:$M,'NSE - NIFTY Index Options'!$D:$D,$A122,'NSE - NIFTY Index Options'!$I:$I,"Monthly*")+SUMIFS('NSE - Other Index Options'!$M:$M,'NSE - Other Index Options'!$D:$D,$A122,'NSE - Other Index Options'!$I:$I,"Monthly*"))</f>
        <v/>
      </c>
      <c r="C122" s="26">
        <f>IF(SUMIFS('BSE - SENSEX Index Options'!$M:$M,'BSE - SENSEX Index Options'!$D:$D,$A122,'BSE - SENSEX Index Options'!$I:$I,"Monthly*")+SUMIFS('BSE - Other Index Options'!$M:$M,'BSE - Other Index Options'!$D:$D,$A122,'BSE - Other Index Options'!$I:$I,"Monthly*")=0,"",SUMIFS('BSE - SENSEX Index Options'!$M:$M,'BSE - SENSEX Index Options'!$D:$D,$A122,'BSE - SENSEX Index Options'!$I:$I,"Monthly*")+SUMIFS('BSE - Other Index Options'!$M:$M,'BSE - Other Index Options'!$D:$D,$A122,'BSE - Other Index Options'!$I:$I,"Monthly*"))</f>
        <v/>
      </c>
      <c r="D122" s="27">
        <f>IF(SUM(B122:C122)=0,"",SUM(B122)/SUM(B122:C122))</f>
        <v/>
      </c>
      <c r="E122" s="27">
        <f>IF(SUM(B122:C122)=0,"",SUM(C122)/SUM(B122:C122))</f>
        <v/>
      </c>
      <c r="G122" s="27">
        <f>IF(SUM(B23)=0,"",SUM(B122)/SUM(B23))</f>
        <v/>
      </c>
      <c r="H122" s="27">
        <f>IF(SUM(C23)=0,"",SUM(C122)/SUM(C23))</f>
        <v/>
      </c>
      <c r="I122" s="27">
        <f>IF(SUM(B23:C23)=0,"",SUM(B122:C122)/SUM(B23:C23))</f>
        <v/>
      </c>
    </row>
    <row r="123" hidden="1" outlineLevel="1">
      <c r="A123" s="24" t="n">
        <v>46478</v>
      </c>
      <c r="B123" s="26">
        <f>IF(SUMIFS('NSE - NIFTY Index Options'!$M:$M,'NSE - NIFTY Index Options'!$D:$D,$A123,'NSE - NIFTY Index Options'!$I:$I,"Monthly*")+SUMIFS('NSE - Other Index Options'!$M:$M,'NSE - Other Index Options'!$D:$D,$A123,'NSE - Other Index Options'!$I:$I,"Monthly*")=0,"",SUMIFS('NSE - NIFTY Index Options'!$M:$M,'NSE - NIFTY Index Options'!$D:$D,$A123,'NSE - NIFTY Index Options'!$I:$I,"Monthly*")+SUMIFS('NSE - Other Index Options'!$M:$M,'NSE - Other Index Options'!$D:$D,$A123,'NSE - Other Index Options'!$I:$I,"Monthly*"))</f>
        <v/>
      </c>
      <c r="C123" s="26">
        <f>IF(SUMIFS('BSE - SENSEX Index Options'!$M:$M,'BSE - SENSEX Index Options'!$D:$D,$A123,'BSE - SENSEX Index Options'!$I:$I,"Monthly*")+SUMIFS('BSE - Other Index Options'!$M:$M,'BSE - Other Index Options'!$D:$D,$A123,'BSE - Other Index Options'!$I:$I,"Monthly*")=0,"",SUMIFS('BSE - SENSEX Index Options'!$M:$M,'BSE - SENSEX Index Options'!$D:$D,$A123,'BSE - SENSEX Index Options'!$I:$I,"Monthly*")+SUMIFS('BSE - Other Index Options'!$M:$M,'BSE - Other Index Options'!$D:$D,$A123,'BSE - Other Index Options'!$I:$I,"Monthly*"))</f>
        <v/>
      </c>
      <c r="D123" s="27">
        <f>IF(SUM(B123:C123)=0,"",SUM(B123)/SUM(B123:C123))</f>
        <v/>
      </c>
      <c r="E123" s="27">
        <f>IF(SUM(B123:C123)=0,"",SUM(C123)/SUM(B123:C123))</f>
        <v/>
      </c>
      <c r="G123" s="27">
        <f>IF(SUM(B24)=0,"",SUM(B123)/SUM(B24))</f>
        <v/>
      </c>
      <c r="H123" s="27">
        <f>IF(SUM(C24)=0,"",SUM(C123)/SUM(C24))</f>
        <v/>
      </c>
      <c r="I123" s="27">
        <f>IF(SUM(B24:C24)=0,"",SUM(B123:C123)/SUM(B24:C24))</f>
        <v/>
      </c>
    </row>
    <row r="124" hidden="1" outlineLevel="1">
      <c r="A124" s="24" t="n">
        <v>46508</v>
      </c>
      <c r="B124" s="26">
        <f>IF(SUMIFS('NSE - NIFTY Index Options'!$M:$M,'NSE - NIFTY Index Options'!$D:$D,$A124,'NSE - NIFTY Index Options'!$I:$I,"Monthly*")+SUMIFS('NSE - Other Index Options'!$M:$M,'NSE - Other Index Options'!$D:$D,$A124,'NSE - Other Index Options'!$I:$I,"Monthly*")=0,"",SUMIFS('NSE - NIFTY Index Options'!$M:$M,'NSE - NIFTY Index Options'!$D:$D,$A124,'NSE - NIFTY Index Options'!$I:$I,"Monthly*")+SUMIFS('NSE - Other Index Options'!$M:$M,'NSE - Other Index Options'!$D:$D,$A124,'NSE - Other Index Options'!$I:$I,"Monthly*"))</f>
        <v/>
      </c>
      <c r="C124" s="26">
        <f>IF(SUMIFS('BSE - SENSEX Index Options'!$M:$M,'BSE - SENSEX Index Options'!$D:$D,$A124,'BSE - SENSEX Index Options'!$I:$I,"Monthly*")+SUMIFS('BSE - Other Index Options'!$M:$M,'BSE - Other Index Options'!$D:$D,$A124,'BSE - Other Index Options'!$I:$I,"Monthly*")=0,"",SUMIFS('BSE - SENSEX Index Options'!$M:$M,'BSE - SENSEX Index Options'!$D:$D,$A124,'BSE - SENSEX Index Options'!$I:$I,"Monthly*")+SUMIFS('BSE - Other Index Options'!$M:$M,'BSE - Other Index Options'!$D:$D,$A124,'BSE - Other Index Options'!$I:$I,"Monthly*"))</f>
        <v/>
      </c>
      <c r="D124" s="27">
        <f>IF(SUM(B124:C124)=0,"",SUM(B124)/SUM(B124:C124))</f>
        <v/>
      </c>
      <c r="E124" s="27">
        <f>IF(SUM(B124:C124)=0,"",SUM(C124)/SUM(B124:C124))</f>
        <v/>
      </c>
      <c r="G124" s="27">
        <f>IF(SUM(B25)=0,"",SUM(B124)/SUM(B25))</f>
        <v/>
      </c>
      <c r="H124" s="27">
        <f>IF(SUM(C25)=0,"",SUM(C124)/SUM(C25))</f>
        <v/>
      </c>
      <c r="I124" s="27">
        <f>IF(SUM(B25:C25)=0,"",SUM(B124:C124)/SUM(B25:C25))</f>
        <v/>
      </c>
    </row>
    <row r="125" hidden="1" outlineLevel="1">
      <c r="A125" s="24" t="n">
        <v>46539</v>
      </c>
      <c r="B125" s="26">
        <f>IF(SUMIFS('NSE - NIFTY Index Options'!$M:$M,'NSE - NIFTY Index Options'!$D:$D,$A125,'NSE - NIFTY Index Options'!$I:$I,"Monthly*")+SUMIFS('NSE - Other Index Options'!$M:$M,'NSE - Other Index Options'!$D:$D,$A125,'NSE - Other Index Options'!$I:$I,"Monthly*")=0,"",SUMIFS('NSE - NIFTY Index Options'!$M:$M,'NSE - NIFTY Index Options'!$D:$D,$A125,'NSE - NIFTY Index Options'!$I:$I,"Monthly*")+SUMIFS('NSE - Other Index Options'!$M:$M,'NSE - Other Index Options'!$D:$D,$A125,'NSE - Other Index Options'!$I:$I,"Monthly*"))</f>
        <v/>
      </c>
      <c r="C125" s="26">
        <f>IF(SUMIFS('BSE - SENSEX Index Options'!$M:$M,'BSE - SENSEX Index Options'!$D:$D,$A125,'BSE - SENSEX Index Options'!$I:$I,"Monthly*")+SUMIFS('BSE - Other Index Options'!$M:$M,'BSE - Other Index Options'!$D:$D,$A125,'BSE - Other Index Options'!$I:$I,"Monthly*")=0,"",SUMIFS('BSE - SENSEX Index Options'!$M:$M,'BSE - SENSEX Index Options'!$D:$D,$A125,'BSE - SENSEX Index Options'!$I:$I,"Monthly*")+SUMIFS('BSE - Other Index Options'!$M:$M,'BSE - Other Index Options'!$D:$D,$A125,'BSE - Other Index Options'!$I:$I,"Monthly*"))</f>
        <v/>
      </c>
      <c r="D125" s="27">
        <f>IF(SUM(B125:C125)=0,"",SUM(B125)/SUM(B125:C125))</f>
        <v/>
      </c>
      <c r="E125" s="27">
        <f>IF(SUM(B125:C125)=0,"",SUM(C125)/SUM(B125:C125))</f>
        <v/>
      </c>
      <c r="G125" s="27">
        <f>IF(SUM(B26)=0,"",SUM(B125)/SUM(B26))</f>
        <v/>
      </c>
      <c r="H125" s="27">
        <f>IF(SUM(C26)=0,"",SUM(C125)/SUM(C26))</f>
        <v/>
      </c>
      <c r="I125" s="27">
        <f>IF(SUM(B26:C26)=0,"",SUM(B125:C125)/SUM(B26:C26))</f>
        <v/>
      </c>
    </row>
    <row r="126" hidden="1" outlineLevel="1">
      <c r="A126" s="24" t="n">
        <v>46569</v>
      </c>
      <c r="B126" s="26">
        <f>IF(SUMIFS('NSE - NIFTY Index Options'!$M:$M,'NSE - NIFTY Index Options'!$D:$D,$A126,'NSE - NIFTY Index Options'!$I:$I,"Monthly*")+SUMIFS('NSE - Other Index Options'!$M:$M,'NSE - Other Index Options'!$D:$D,$A126,'NSE - Other Index Options'!$I:$I,"Monthly*")=0,"",SUMIFS('NSE - NIFTY Index Options'!$M:$M,'NSE - NIFTY Index Options'!$D:$D,$A126,'NSE - NIFTY Index Options'!$I:$I,"Monthly*")+SUMIFS('NSE - Other Index Options'!$M:$M,'NSE - Other Index Options'!$D:$D,$A126,'NSE - Other Index Options'!$I:$I,"Monthly*"))</f>
        <v/>
      </c>
      <c r="C126" s="26">
        <f>IF(SUMIFS('BSE - SENSEX Index Options'!$M:$M,'BSE - SENSEX Index Options'!$D:$D,$A126,'BSE - SENSEX Index Options'!$I:$I,"Monthly*")+SUMIFS('BSE - Other Index Options'!$M:$M,'BSE - Other Index Options'!$D:$D,$A126,'BSE - Other Index Options'!$I:$I,"Monthly*")=0,"",SUMIFS('BSE - SENSEX Index Options'!$M:$M,'BSE - SENSEX Index Options'!$D:$D,$A126,'BSE - SENSEX Index Options'!$I:$I,"Monthly*")+SUMIFS('BSE - Other Index Options'!$M:$M,'BSE - Other Index Options'!$D:$D,$A126,'BSE - Other Index Options'!$I:$I,"Monthly*"))</f>
        <v/>
      </c>
      <c r="D126" s="27">
        <f>IF(SUM(B126:C126)=0,"",SUM(B126)/SUM(B126:C126))</f>
        <v/>
      </c>
      <c r="E126" s="27">
        <f>IF(SUM(B126:C126)=0,"",SUM(C126)/SUM(B126:C126))</f>
        <v/>
      </c>
      <c r="G126" s="27">
        <f>IF(SUM(B27)=0,"",SUM(B126)/SUM(B27))</f>
        <v/>
      </c>
      <c r="H126" s="27">
        <f>IF(SUM(C27)=0,"",SUM(C126)/SUM(C27))</f>
        <v/>
      </c>
      <c r="I126" s="27">
        <f>IF(SUM(B27:C27)=0,"",SUM(B126:C126)/SUM(B27:C27))</f>
        <v/>
      </c>
    </row>
    <row r="127" hidden="1" outlineLevel="1">
      <c r="A127" s="24" t="n">
        <v>46600</v>
      </c>
      <c r="B127" s="26">
        <f>IF(SUMIFS('NSE - NIFTY Index Options'!$M:$M,'NSE - NIFTY Index Options'!$D:$D,$A127,'NSE - NIFTY Index Options'!$I:$I,"Monthly*")+SUMIFS('NSE - Other Index Options'!$M:$M,'NSE - Other Index Options'!$D:$D,$A127,'NSE - Other Index Options'!$I:$I,"Monthly*")=0,"",SUMIFS('NSE - NIFTY Index Options'!$M:$M,'NSE - NIFTY Index Options'!$D:$D,$A127,'NSE - NIFTY Index Options'!$I:$I,"Monthly*")+SUMIFS('NSE - Other Index Options'!$M:$M,'NSE - Other Index Options'!$D:$D,$A127,'NSE - Other Index Options'!$I:$I,"Monthly*"))</f>
        <v/>
      </c>
      <c r="C127" s="26">
        <f>IF(SUMIFS('BSE - SENSEX Index Options'!$M:$M,'BSE - SENSEX Index Options'!$D:$D,$A127,'BSE - SENSEX Index Options'!$I:$I,"Monthly*")+SUMIFS('BSE - Other Index Options'!$M:$M,'BSE - Other Index Options'!$D:$D,$A127,'BSE - Other Index Options'!$I:$I,"Monthly*")=0,"",SUMIFS('BSE - SENSEX Index Options'!$M:$M,'BSE - SENSEX Index Options'!$D:$D,$A127,'BSE - SENSEX Index Options'!$I:$I,"Monthly*")+SUMIFS('BSE - Other Index Options'!$M:$M,'BSE - Other Index Options'!$D:$D,$A127,'BSE - Other Index Options'!$I:$I,"Monthly*"))</f>
        <v/>
      </c>
      <c r="D127" s="27">
        <f>IF(SUM(B127:C127)=0,"",SUM(B127)/SUM(B127:C127))</f>
        <v/>
      </c>
      <c r="E127" s="27">
        <f>IF(SUM(B127:C127)=0,"",SUM(C127)/SUM(B127:C127))</f>
        <v/>
      </c>
      <c r="G127" s="27">
        <f>IF(SUM(B28)=0,"",SUM(B127)/SUM(B28))</f>
        <v/>
      </c>
      <c r="H127" s="27">
        <f>IF(SUM(C28)=0,"",SUM(C127)/SUM(C28))</f>
        <v/>
      </c>
      <c r="I127" s="27">
        <f>IF(SUM(B28:C28)=0,"",SUM(B127:C127)/SUM(B28:C28))</f>
        <v/>
      </c>
    </row>
    <row r="128" hidden="1" outlineLevel="1">
      <c r="A128" s="24" t="n">
        <v>46631</v>
      </c>
      <c r="B128" s="26">
        <f>IF(SUMIFS('NSE - NIFTY Index Options'!$M:$M,'NSE - NIFTY Index Options'!$D:$D,$A128,'NSE - NIFTY Index Options'!$I:$I,"Monthly*")+SUMIFS('NSE - Other Index Options'!$M:$M,'NSE - Other Index Options'!$D:$D,$A128,'NSE - Other Index Options'!$I:$I,"Monthly*")=0,"",SUMIFS('NSE - NIFTY Index Options'!$M:$M,'NSE - NIFTY Index Options'!$D:$D,$A128,'NSE - NIFTY Index Options'!$I:$I,"Monthly*")+SUMIFS('NSE - Other Index Options'!$M:$M,'NSE - Other Index Options'!$D:$D,$A128,'NSE - Other Index Options'!$I:$I,"Monthly*"))</f>
        <v/>
      </c>
      <c r="C128" s="26">
        <f>IF(SUMIFS('BSE - SENSEX Index Options'!$M:$M,'BSE - SENSEX Index Options'!$D:$D,$A128,'BSE - SENSEX Index Options'!$I:$I,"Monthly*")+SUMIFS('BSE - Other Index Options'!$M:$M,'BSE - Other Index Options'!$D:$D,$A128,'BSE - Other Index Options'!$I:$I,"Monthly*")=0,"",SUMIFS('BSE - SENSEX Index Options'!$M:$M,'BSE - SENSEX Index Options'!$D:$D,$A128,'BSE - SENSEX Index Options'!$I:$I,"Monthly*")+SUMIFS('BSE - Other Index Options'!$M:$M,'BSE - Other Index Options'!$D:$D,$A128,'BSE - Other Index Options'!$I:$I,"Monthly*"))</f>
        <v/>
      </c>
      <c r="D128" s="27">
        <f>IF(SUM(B128:C128)=0,"",SUM(B128)/SUM(B128:C128))</f>
        <v/>
      </c>
      <c r="E128" s="27">
        <f>IF(SUM(B128:C128)=0,"",SUM(C128)/SUM(B128:C128))</f>
        <v/>
      </c>
      <c r="G128" s="27">
        <f>IF(SUM(B29)=0,"",SUM(B128)/SUM(B29))</f>
        <v/>
      </c>
      <c r="H128" s="27">
        <f>IF(SUM(C29)=0,"",SUM(C128)/SUM(C29))</f>
        <v/>
      </c>
      <c r="I128" s="27">
        <f>IF(SUM(B29:C29)=0,"",SUM(B128:C128)/SUM(B29:C29))</f>
        <v/>
      </c>
    </row>
    <row r="129" hidden="1" outlineLevel="1">
      <c r="A129" s="24" t="n">
        <v>46661</v>
      </c>
      <c r="B129" s="26">
        <f>IF(SUMIFS('NSE - NIFTY Index Options'!$M:$M,'NSE - NIFTY Index Options'!$D:$D,$A129,'NSE - NIFTY Index Options'!$I:$I,"Monthly*")+SUMIFS('NSE - Other Index Options'!$M:$M,'NSE - Other Index Options'!$D:$D,$A129,'NSE - Other Index Options'!$I:$I,"Monthly*")=0,"",SUMIFS('NSE - NIFTY Index Options'!$M:$M,'NSE - NIFTY Index Options'!$D:$D,$A129,'NSE - NIFTY Index Options'!$I:$I,"Monthly*")+SUMIFS('NSE - Other Index Options'!$M:$M,'NSE - Other Index Options'!$D:$D,$A129,'NSE - Other Index Options'!$I:$I,"Monthly*"))</f>
        <v/>
      </c>
      <c r="C129" s="26">
        <f>IF(SUMIFS('BSE - SENSEX Index Options'!$M:$M,'BSE - SENSEX Index Options'!$D:$D,$A129,'BSE - SENSEX Index Options'!$I:$I,"Monthly*")+SUMIFS('BSE - Other Index Options'!$M:$M,'BSE - Other Index Options'!$D:$D,$A129,'BSE - Other Index Options'!$I:$I,"Monthly*")=0,"",SUMIFS('BSE - SENSEX Index Options'!$M:$M,'BSE - SENSEX Index Options'!$D:$D,$A129,'BSE - SENSEX Index Options'!$I:$I,"Monthly*")+SUMIFS('BSE - Other Index Options'!$M:$M,'BSE - Other Index Options'!$D:$D,$A129,'BSE - Other Index Options'!$I:$I,"Monthly*"))</f>
        <v/>
      </c>
      <c r="D129" s="27">
        <f>IF(SUM(B129:C129)=0,"",SUM(B129)/SUM(B129:C129))</f>
        <v/>
      </c>
      <c r="E129" s="27">
        <f>IF(SUM(B129:C129)=0,"",SUM(C129)/SUM(B129:C129))</f>
        <v/>
      </c>
      <c r="G129" s="27">
        <f>IF(SUM(B30)=0,"",SUM(B129)/SUM(B30))</f>
        <v/>
      </c>
      <c r="H129" s="27">
        <f>IF(SUM(C30)=0,"",SUM(C129)/SUM(C30))</f>
        <v/>
      </c>
      <c r="I129" s="27">
        <f>IF(SUM(B30:C30)=0,"",SUM(B129:C129)/SUM(B30:C30))</f>
        <v/>
      </c>
    </row>
    <row r="130" hidden="1" outlineLevel="1">
      <c r="A130" s="24" t="n">
        <v>46692</v>
      </c>
      <c r="B130" s="26">
        <f>IF(SUMIFS('NSE - NIFTY Index Options'!$M:$M,'NSE - NIFTY Index Options'!$D:$D,$A130,'NSE - NIFTY Index Options'!$I:$I,"Monthly*")+SUMIFS('NSE - Other Index Options'!$M:$M,'NSE - Other Index Options'!$D:$D,$A130,'NSE - Other Index Options'!$I:$I,"Monthly*")=0,"",SUMIFS('NSE - NIFTY Index Options'!$M:$M,'NSE - NIFTY Index Options'!$D:$D,$A130,'NSE - NIFTY Index Options'!$I:$I,"Monthly*")+SUMIFS('NSE - Other Index Options'!$M:$M,'NSE - Other Index Options'!$D:$D,$A130,'NSE - Other Index Options'!$I:$I,"Monthly*"))</f>
        <v/>
      </c>
      <c r="C130" s="26">
        <f>IF(SUMIFS('BSE - SENSEX Index Options'!$M:$M,'BSE - SENSEX Index Options'!$D:$D,$A130,'BSE - SENSEX Index Options'!$I:$I,"Monthly*")+SUMIFS('BSE - Other Index Options'!$M:$M,'BSE - Other Index Options'!$D:$D,$A130,'BSE - Other Index Options'!$I:$I,"Monthly*")=0,"",SUMIFS('BSE - SENSEX Index Options'!$M:$M,'BSE - SENSEX Index Options'!$D:$D,$A130,'BSE - SENSEX Index Options'!$I:$I,"Monthly*")+SUMIFS('BSE - Other Index Options'!$M:$M,'BSE - Other Index Options'!$D:$D,$A130,'BSE - Other Index Options'!$I:$I,"Monthly*"))</f>
        <v/>
      </c>
      <c r="D130" s="27">
        <f>IF(SUM(B130:C130)=0,"",SUM(B130)/SUM(B130:C130))</f>
        <v/>
      </c>
      <c r="E130" s="27">
        <f>IF(SUM(B130:C130)=0,"",SUM(C130)/SUM(B130:C130))</f>
        <v/>
      </c>
      <c r="G130" s="27">
        <f>IF(SUM(B31)=0,"",SUM(B130)/SUM(B31))</f>
        <v/>
      </c>
      <c r="H130" s="27">
        <f>IF(SUM(C31)=0,"",SUM(C130)/SUM(C31))</f>
        <v/>
      </c>
      <c r="I130" s="27">
        <f>IF(SUM(B31:C31)=0,"",SUM(B130:C130)/SUM(B31:C31))</f>
        <v/>
      </c>
    </row>
    <row r="131" hidden="1" outlineLevel="1">
      <c r="A131" s="24" t="n">
        <v>46722</v>
      </c>
      <c r="B131" s="26">
        <f>IF(SUMIFS('NSE - NIFTY Index Options'!$M:$M,'NSE - NIFTY Index Options'!$D:$D,$A131,'NSE - NIFTY Index Options'!$I:$I,"Monthly*")+SUMIFS('NSE - Other Index Options'!$M:$M,'NSE - Other Index Options'!$D:$D,$A131,'NSE - Other Index Options'!$I:$I,"Monthly*")=0,"",SUMIFS('NSE - NIFTY Index Options'!$M:$M,'NSE - NIFTY Index Options'!$D:$D,$A131,'NSE - NIFTY Index Options'!$I:$I,"Monthly*")+SUMIFS('NSE - Other Index Options'!$M:$M,'NSE - Other Index Options'!$D:$D,$A131,'NSE - Other Index Options'!$I:$I,"Monthly*"))</f>
        <v/>
      </c>
      <c r="C131" s="26">
        <f>IF(SUMIFS('BSE - SENSEX Index Options'!$M:$M,'BSE - SENSEX Index Options'!$D:$D,$A131,'BSE - SENSEX Index Options'!$I:$I,"Monthly*")+SUMIFS('BSE - Other Index Options'!$M:$M,'BSE - Other Index Options'!$D:$D,$A131,'BSE - Other Index Options'!$I:$I,"Monthly*")=0,"",SUMIFS('BSE - SENSEX Index Options'!$M:$M,'BSE - SENSEX Index Options'!$D:$D,$A131,'BSE - SENSEX Index Options'!$I:$I,"Monthly*")+SUMIFS('BSE - Other Index Options'!$M:$M,'BSE - Other Index Options'!$D:$D,$A131,'BSE - Other Index Options'!$I:$I,"Monthly*"))</f>
        <v/>
      </c>
      <c r="D131" s="27">
        <f>IF(SUM(B131:C131)=0,"",SUM(B131)/SUM(B131:C131))</f>
        <v/>
      </c>
      <c r="E131" s="27">
        <f>IF(SUM(B131:C131)=0,"",SUM(C131)/SUM(B131:C131))</f>
        <v/>
      </c>
      <c r="G131" s="27">
        <f>IF(SUM(B32)=0,"",SUM(B131)/SUM(B32))</f>
        <v/>
      </c>
      <c r="H131" s="27">
        <f>IF(SUM(C32)=0,"",SUM(C131)/SUM(C32))</f>
        <v/>
      </c>
      <c r="I131" s="27">
        <f>IF(SUM(B32:C32)=0,"",SUM(B131:C131)/SUM(B32:C32))</f>
        <v/>
      </c>
    </row>
    <row r="132" collapsed="1">
      <c r="A132" s="36" t="inlineStr">
        <is>
          <t>Total</t>
        </is>
      </c>
      <c r="B132" s="37">
        <f>IF(SUM(B104:B131)=0,"",SUM(B104:B131))</f>
        <v/>
      </c>
      <c r="C132" s="37">
        <f>IF(SUM(C104:C131)=0,"",SUM(C104:C131))</f>
        <v/>
      </c>
      <c r="D132" s="38">
        <f>IF(SUM(B132:C132)=0,"",SUM(B132)/SUM(B132:C132))</f>
        <v/>
      </c>
      <c r="E132" s="38">
        <f>IF(SUM(B132:C132)=0,"",SUM(C132)/SUM(B132:C132))</f>
        <v/>
      </c>
      <c r="G132" s="27">
        <f>IF(SUM(B33)=0,"",SUM(B132)/SUM(B33))</f>
        <v/>
      </c>
      <c r="H132" s="27">
        <f>IF(SUM(C33)=0,"",SUM(C132)/SUM(C33))</f>
        <v/>
      </c>
      <c r="I132" s="27">
        <f>IF(SUM(B33:C33)=0,"",SUM(B132:C132)/SUM(B33:C33))</f>
        <v/>
      </c>
    </row>
  </sheetData>
  <conditionalFormatting sqref="D5:D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D6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D9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4:D1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E6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:E9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4:E1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8:G6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1:G9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04:G13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8:H6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1:H9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04:H13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8:I6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1:I9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4:I13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6"/>
  <sheetViews>
    <sheetView showGridLines="0" workbookViewId="0">
      <selection activeCell="N149" sqref="N149"/>
    </sheetView>
  </sheetViews>
  <sheetFormatPr baseColWidth="10" defaultColWidth="8.83203125" defaultRowHeight="16" outlineLevelRow="1"/>
  <cols>
    <col width="20" customWidth="1" min="1" max="1"/>
    <col width="14" customWidth="1" min="2" max="12"/>
  </cols>
  <sheetData>
    <row r="1">
      <c r="A1" s="42" t="inlineStr">
        <is>
          <t>Week × Day — Total Premium Turnover NSE+BSE (INR Bn) and Day-wise Composition (Sep-2025 onwards, live)</t>
        </is>
      </c>
      <c r="K1" s="28" t="inlineStr">
        <is>
          <t>Cuts / Scope</t>
        </is>
      </c>
    </row>
    <row r="2">
      <c r="A2" s="48" t="inlineStr">
        <is>
          <t>Combined NSE+BSE, ALL expiry types: top table = week x trade-day premium matrix (INR Bn); below = day-wise composition of each week's Mon-Fri premium (all weeks; a day is blank only if untraded); right = grouped composition Mon+Tue / Wed+Thu / Friday, shown only for weeks where all 5 days traded.</t>
        </is>
      </c>
      <c r="K2" t="inlineStr">
        <is>
          <t>Index Options</t>
        </is>
      </c>
      <c r="L2" s="56" t="inlineStr">
        <is>
          <t>Yes</t>
        </is>
      </c>
    </row>
    <row r="3">
      <c r="A3" s="42" t="inlineStr">
        <is>
          <t>Total Premium Turnover — NSE+BSE (INR Bn)</t>
        </is>
      </c>
      <c r="K3" t="inlineStr">
        <is>
          <t>Stock Options</t>
        </is>
      </c>
      <c r="L3" s="49" t="inlineStr">
        <is>
          <t>No</t>
        </is>
      </c>
    </row>
    <row r="4">
      <c r="A4" s="42" t="inlineStr">
        <is>
          <t>Trade Week-Month-Year</t>
        </is>
      </c>
      <c r="B4" s="42" t="inlineStr">
        <is>
          <t>Monday</t>
        </is>
      </c>
      <c r="C4" s="42" t="inlineStr">
        <is>
          <t>Tuesday</t>
        </is>
      </c>
      <c r="D4" s="42" t="inlineStr">
        <is>
          <t>Wednesday</t>
        </is>
      </c>
      <c r="E4" s="42" t="inlineStr">
        <is>
          <t>Thursday</t>
        </is>
      </c>
      <c r="F4" s="42" t="inlineStr">
        <is>
          <t>Friday</t>
        </is>
      </c>
      <c r="G4" s="42" t="inlineStr">
        <is>
          <t>Sunday</t>
        </is>
      </c>
      <c r="H4" s="42" t="inlineStr">
        <is>
          <t>Total</t>
        </is>
      </c>
      <c r="K4" t="inlineStr">
        <is>
          <t>Index Futures</t>
        </is>
      </c>
      <c r="L4" s="49" t="inlineStr">
        <is>
          <t>No</t>
        </is>
      </c>
    </row>
    <row r="5">
      <c r="A5" t="inlineStr">
        <is>
          <t>Week1-Sep-2025</t>
        </is>
      </c>
      <c r="B5" s="26">
        <f>IF(SUMIFS('NSE - NIFTY Index Options'!$M:$M,'NSE - NIFTY Index Options'!$C:$C,$A5,'NSE - NIFTY Index Options'!$B:$B,B$4)+SUMIFS('NSE - Other Index Options'!$M:$M,'NSE - Other Index Options'!$C:$C,$A5,'NSE - Other Index Options'!$B:$B,B$4)+SUMIFS('BSE - SENSEX Index Options'!$M:$M,'BSE - SENSEX Index Options'!$C:$C,$A5,'BSE - SENSEX Index Options'!$B:$B,B$4)+SUMIFS('BSE - Other Index Options'!$M:$M,'BSE - Other Index Options'!$C:$C,$A5,'BSE - Other Index Options'!$B:$B,B$4)=0,"",SUMIFS('NSE - NIFTY Index Options'!$M:$M,'NSE - NIFTY Index Options'!$C:$C,$A5,'NSE - NIFTY Index Options'!$B:$B,B$4)+SUMIFS('NSE - Other Index Options'!$M:$M,'NSE - Other Index Options'!$C:$C,$A5,'NSE - Other Index Options'!$B:$B,B$4)+SUMIFS('BSE - SENSEX Index Options'!$M:$M,'BSE - SENSEX Index Options'!$C:$C,$A5,'BSE - SENSEX Index Options'!$B:$B,B$4)+SUMIFS('BSE - Other Index Options'!$M:$M,'BSE - Other Index Options'!$C:$C,$A5,'BSE - Other Index Options'!$B:$B,B$4))</f>
        <v/>
      </c>
      <c r="C5" s="26">
        <f>IF(SUMIFS('NSE - NIFTY Index Options'!$M:$M,'NSE - NIFTY Index Options'!$C:$C,$A5,'NSE - NIFTY Index Options'!$B:$B,C$4)+SUMIFS('NSE - Other Index Options'!$M:$M,'NSE - Other Index Options'!$C:$C,$A5,'NSE - Other Index Options'!$B:$B,C$4)+SUMIFS('BSE - SENSEX Index Options'!$M:$M,'BSE - SENSEX Index Options'!$C:$C,$A5,'BSE - SENSEX Index Options'!$B:$B,C$4)+SUMIFS('BSE - Other Index Options'!$M:$M,'BSE - Other Index Options'!$C:$C,$A5,'BSE - Other Index Options'!$B:$B,C$4)=0,"",SUMIFS('NSE - NIFTY Index Options'!$M:$M,'NSE - NIFTY Index Options'!$C:$C,$A5,'NSE - NIFTY Index Options'!$B:$B,C$4)+SUMIFS('NSE - Other Index Options'!$M:$M,'NSE - Other Index Options'!$C:$C,$A5,'NSE - Other Index Options'!$B:$B,C$4)+SUMIFS('BSE - SENSEX Index Options'!$M:$M,'BSE - SENSEX Index Options'!$C:$C,$A5,'BSE - SENSEX Index Options'!$B:$B,C$4)+SUMIFS('BSE - Other Index Options'!$M:$M,'BSE - Other Index Options'!$C:$C,$A5,'BSE - Other Index Options'!$B:$B,C$4))</f>
        <v/>
      </c>
      <c r="D5" s="26">
        <f>IF(SUMIFS('NSE - NIFTY Index Options'!$M:$M,'NSE - NIFTY Index Options'!$C:$C,$A5,'NSE - NIFTY Index Options'!$B:$B,D$4)+SUMIFS('NSE - Other Index Options'!$M:$M,'NSE - Other Index Options'!$C:$C,$A5,'NSE - Other Index Options'!$B:$B,D$4)+SUMIFS('BSE - SENSEX Index Options'!$M:$M,'BSE - SENSEX Index Options'!$C:$C,$A5,'BSE - SENSEX Index Options'!$B:$B,D$4)+SUMIFS('BSE - Other Index Options'!$M:$M,'BSE - Other Index Options'!$C:$C,$A5,'BSE - Other Index Options'!$B:$B,D$4)=0,"",SUMIFS('NSE - NIFTY Index Options'!$M:$M,'NSE - NIFTY Index Options'!$C:$C,$A5,'NSE - NIFTY Index Options'!$B:$B,D$4)+SUMIFS('NSE - Other Index Options'!$M:$M,'NSE - Other Index Options'!$C:$C,$A5,'NSE - Other Index Options'!$B:$B,D$4)+SUMIFS('BSE - SENSEX Index Options'!$M:$M,'BSE - SENSEX Index Options'!$C:$C,$A5,'BSE - SENSEX Index Options'!$B:$B,D$4)+SUMIFS('BSE - Other Index Options'!$M:$M,'BSE - Other Index Options'!$C:$C,$A5,'BSE - Other Index Options'!$B:$B,D$4))</f>
        <v/>
      </c>
      <c r="E5" s="26">
        <f>IF(SUMIFS('NSE - NIFTY Index Options'!$M:$M,'NSE - NIFTY Index Options'!$C:$C,$A5,'NSE - NIFTY Index Options'!$B:$B,E$4)+SUMIFS('NSE - Other Index Options'!$M:$M,'NSE - Other Index Options'!$C:$C,$A5,'NSE - Other Index Options'!$B:$B,E$4)+SUMIFS('BSE - SENSEX Index Options'!$M:$M,'BSE - SENSEX Index Options'!$C:$C,$A5,'BSE - SENSEX Index Options'!$B:$B,E$4)+SUMIFS('BSE - Other Index Options'!$M:$M,'BSE - Other Index Options'!$C:$C,$A5,'BSE - Other Index Options'!$B:$B,E$4)=0,"",SUMIFS('NSE - NIFTY Index Options'!$M:$M,'NSE - NIFTY Index Options'!$C:$C,$A5,'NSE - NIFTY Index Options'!$B:$B,E$4)+SUMIFS('NSE - Other Index Options'!$M:$M,'NSE - Other Index Options'!$C:$C,$A5,'NSE - Other Index Options'!$B:$B,E$4)+SUMIFS('BSE - SENSEX Index Options'!$M:$M,'BSE - SENSEX Index Options'!$C:$C,$A5,'BSE - SENSEX Index Options'!$B:$B,E$4)+SUMIFS('BSE - Other Index Options'!$M:$M,'BSE - Other Index Options'!$C:$C,$A5,'BSE - Other Index Options'!$B:$B,E$4))</f>
        <v/>
      </c>
      <c r="F5" s="26">
        <f>IF(SUMIFS('NSE - NIFTY Index Options'!$M:$M,'NSE - NIFTY Index Options'!$C:$C,$A5,'NSE - NIFTY Index Options'!$B:$B,F$4)+SUMIFS('NSE - Other Index Options'!$M:$M,'NSE - Other Index Options'!$C:$C,$A5,'NSE - Other Index Options'!$B:$B,F$4)+SUMIFS('BSE - SENSEX Index Options'!$M:$M,'BSE - SENSEX Index Options'!$C:$C,$A5,'BSE - SENSEX Index Options'!$B:$B,F$4)+SUMIFS('BSE - Other Index Options'!$M:$M,'BSE - Other Index Options'!$C:$C,$A5,'BSE - Other Index Options'!$B:$B,F$4)=0,"",SUMIFS('NSE - NIFTY Index Options'!$M:$M,'NSE - NIFTY Index Options'!$C:$C,$A5,'NSE - NIFTY Index Options'!$B:$B,F$4)+SUMIFS('NSE - Other Index Options'!$M:$M,'NSE - Other Index Options'!$C:$C,$A5,'NSE - Other Index Options'!$B:$B,F$4)+SUMIFS('BSE - SENSEX Index Options'!$M:$M,'BSE - SENSEX Index Options'!$C:$C,$A5,'BSE - SENSEX Index Options'!$B:$B,F$4)+SUMIFS('BSE - Other Index Options'!$M:$M,'BSE - Other Index Options'!$C:$C,$A5,'BSE - Other Index Options'!$B:$B,F$4))</f>
        <v/>
      </c>
      <c r="G5" s="26">
        <f>IF(SUMIFS('NSE - NIFTY Index Options'!$M:$M,'NSE - NIFTY Index Options'!$C:$C,$A5,'NSE - NIFTY Index Options'!$B:$B,G$4)+SUMIFS('NSE - Other Index Options'!$M:$M,'NSE - Other Index Options'!$C:$C,$A5,'NSE - Other Index Options'!$B:$B,G$4)+SUMIFS('BSE - SENSEX Index Options'!$M:$M,'BSE - SENSEX Index Options'!$C:$C,$A5,'BSE - SENSEX Index Options'!$B:$B,G$4)+SUMIFS('BSE - Other Index Options'!$M:$M,'BSE - Other Index Options'!$C:$C,$A5,'BSE - Other Index Options'!$B:$B,G$4)=0,"",SUMIFS('NSE - NIFTY Index Options'!$M:$M,'NSE - NIFTY Index Options'!$C:$C,$A5,'NSE - NIFTY Index Options'!$B:$B,G$4)+SUMIFS('NSE - Other Index Options'!$M:$M,'NSE - Other Index Options'!$C:$C,$A5,'NSE - Other Index Options'!$B:$B,G$4)+SUMIFS('BSE - SENSEX Index Options'!$M:$M,'BSE - SENSEX Index Options'!$C:$C,$A5,'BSE - SENSEX Index Options'!$B:$B,G$4)+SUMIFS('BSE - Other Index Options'!$M:$M,'BSE - Other Index Options'!$C:$C,$A5,'BSE - Other Index Options'!$B:$B,G$4))</f>
        <v/>
      </c>
      <c r="H5" s="26">
        <f>IF(SUM(B5:G5)=0,"",SUM(B5:G5))</f>
        <v/>
      </c>
      <c r="K5" t="inlineStr">
        <is>
          <t>NSE</t>
        </is>
      </c>
      <c r="L5" s="56" t="inlineStr">
        <is>
          <t>Yes</t>
        </is>
      </c>
    </row>
    <row r="6">
      <c r="A6" t="inlineStr">
        <is>
          <t>Week2-Sep-2025</t>
        </is>
      </c>
      <c r="B6" s="26">
        <f>IF(SUMIFS('NSE - NIFTY Index Options'!$M:$M,'NSE - NIFTY Index Options'!$C:$C,$A6,'NSE - NIFTY Index Options'!$B:$B,B$4)+SUMIFS('NSE - Other Index Options'!$M:$M,'NSE - Other Index Options'!$C:$C,$A6,'NSE - Other Index Options'!$B:$B,B$4)+SUMIFS('BSE - SENSEX Index Options'!$M:$M,'BSE - SENSEX Index Options'!$C:$C,$A6,'BSE - SENSEX Index Options'!$B:$B,B$4)+SUMIFS('BSE - Other Index Options'!$M:$M,'BSE - Other Index Options'!$C:$C,$A6,'BSE - Other Index Options'!$B:$B,B$4)=0,"",SUMIFS('NSE - NIFTY Index Options'!$M:$M,'NSE - NIFTY Index Options'!$C:$C,$A6,'NSE - NIFTY Index Options'!$B:$B,B$4)+SUMIFS('NSE - Other Index Options'!$M:$M,'NSE - Other Index Options'!$C:$C,$A6,'NSE - Other Index Options'!$B:$B,B$4)+SUMIFS('BSE - SENSEX Index Options'!$M:$M,'BSE - SENSEX Index Options'!$C:$C,$A6,'BSE - SENSEX Index Options'!$B:$B,B$4)+SUMIFS('BSE - Other Index Options'!$M:$M,'BSE - Other Index Options'!$C:$C,$A6,'BSE - Other Index Options'!$B:$B,B$4))</f>
        <v/>
      </c>
      <c r="C6" s="26">
        <f>IF(SUMIFS('NSE - NIFTY Index Options'!$M:$M,'NSE - NIFTY Index Options'!$C:$C,$A6,'NSE - NIFTY Index Options'!$B:$B,C$4)+SUMIFS('NSE - Other Index Options'!$M:$M,'NSE - Other Index Options'!$C:$C,$A6,'NSE - Other Index Options'!$B:$B,C$4)+SUMIFS('BSE - SENSEX Index Options'!$M:$M,'BSE - SENSEX Index Options'!$C:$C,$A6,'BSE - SENSEX Index Options'!$B:$B,C$4)+SUMIFS('BSE - Other Index Options'!$M:$M,'BSE - Other Index Options'!$C:$C,$A6,'BSE - Other Index Options'!$B:$B,C$4)=0,"",SUMIFS('NSE - NIFTY Index Options'!$M:$M,'NSE - NIFTY Index Options'!$C:$C,$A6,'NSE - NIFTY Index Options'!$B:$B,C$4)+SUMIFS('NSE - Other Index Options'!$M:$M,'NSE - Other Index Options'!$C:$C,$A6,'NSE - Other Index Options'!$B:$B,C$4)+SUMIFS('BSE - SENSEX Index Options'!$M:$M,'BSE - SENSEX Index Options'!$C:$C,$A6,'BSE - SENSEX Index Options'!$B:$B,C$4)+SUMIFS('BSE - Other Index Options'!$M:$M,'BSE - Other Index Options'!$C:$C,$A6,'BSE - Other Index Options'!$B:$B,C$4))</f>
        <v/>
      </c>
      <c r="D6" s="26">
        <f>IF(SUMIFS('NSE - NIFTY Index Options'!$M:$M,'NSE - NIFTY Index Options'!$C:$C,$A6,'NSE - NIFTY Index Options'!$B:$B,D$4)+SUMIFS('NSE - Other Index Options'!$M:$M,'NSE - Other Index Options'!$C:$C,$A6,'NSE - Other Index Options'!$B:$B,D$4)+SUMIFS('BSE - SENSEX Index Options'!$M:$M,'BSE - SENSEX Index Options'!$C:$C,$A6,'BSE - SENSEX Index Options'!$B:$B,D$4)+SUMIFS('BSE - Other Index Options'!$M:$M,'BSE - Other Index Options'!$C:$C,$A6,'BSE - Other Index Options'!$B:$B,D$4)=0,"",SUMIFS('NSE - NIFTY Index Options'!$M:$M,'NSE - NIFTY Index Options'!$C:$C,$A6,'NSE - NIFTY Index Options'!$B:$B,D$4)+SUMIFS('NSE - Other Index Options'!$M:$M,'NSE - Other Index Options'!$C:$C,$A6,'NSE - Other Index Options'!$B:$B,D$4)+SUMIFS('BSE - SENSEX Index Options'!$M:$M,'BSE - SENSEX Index Options'!$C:$C,$A6,'BSE - SENSEX Index Options'!$B:$B,D$4)+SUMIFS('BSE - Other Index Options'!$M:$M,'BSE - Other Index Options'!$C:$C,$A6,'BSE - Other Index Options'!$B:$B,D$4))</f>
        <v/>
      </c>
      <c r="E6" s="26">
        <f>IF(SUMIFS('NSE - NIFTY Index Options'!$M:$M,'NSE - NIFTY Index Options'!$C:$C,$A6,'NSE - NIFTY Index Options'!$B:$B,E$4)+SUMIFS('NSE - Other Index Options'!$M:$M,'NSE - Other Index Options'!$C:$C,$A6,'NSE - Other Index Options'!$B:$B,E$4)+SUMIFS('BSE - SENSEX Index Options'!$M:$M,'BSE - SENSEX Index Options'!$C:$C,$A6,'BSE - SENSEX Index Options'!$B:$B,E$4)+SUMIFS('BSE - Other Index Options'!$M:$M,'BSE - Other Index Options'!$C:$C,$A6,'BSE - Other Index Options'!$B:$B,E$4)=0,"",SUMIFS('NSE - NIFTY Index Options'!$M:$M,'NSE - NIFTY Index Options'!$C:$C,$A6,'NSE - NIFTY Index Options'!$B:$B,E$4)+SUMIFS('NSE - Other Index Options'!$M:$M,'NSE - Other Index Options'!$C:$C,$A6,'NSE - Other Index Options'!$B:$B,E$4)+SUMIFS('BSE - SENSEX Index Options'!$M:$M,'BSE - SENSEX Index Options'!$C:$C,$A6,'BSE - SENSEX Index Options'!$B:$B,E$4)+SUMIFS('BSE - Other Index Options'!$M:$M,'BSE - Other Index Options'!$C:$C,$A6,'BSE - Other Index Options'!$B:$B,E$4))</f>
        <v/>
      </c>
      <c r="F6" s="26">
        <f>IF(SUMIFS('NSE - NIFTY Index Options'!$M:$M,'NSE - NIFTY Index Options'!$C:$C,$A6,'NSE - NIFTY Index Options'!$B:$B,F$4)+SUMIFS('NSE - Other Index Options'!$M:$M,'NSE - Other Index Options'!$C:$C,$A6,'NSE - Other Index Options'!$B:$B,F$4)+SUMIFS('BSE - SENSEX Index Options'!$M:$M,'BSE - SENSEX Index Options'!$C:$C,$A6,'BSE - SENSEX Index Options'!$B:$B,F$4)+SUMIFS('BSE - Other Index Options'!$M:$M,'BSE - Other Index Options'!$C:$C,$A6,'BSE - Other Index Options'!$B:$B,F$4)=0,"",SUMIFS('NSE - NIFTY Index Options'!$M:$M,'NSE - NIFTY Index Options'!$C:$C,$A6,'NSE - NIFTY Index Options'!$B:$B,F$4)+SUMIFS('NSE - Other Index Options'!$M:$M,'NSE - Other Index Options'!$C:$C,$A6,'NSE - Other Index Options'!$B:$B,F$4)+SUMIFS('BSE - SENSEX Index Options'!$M:$M,'BSE - SENSEX Index Options'!$C:$C,$A6,'BSE - SENSEX Index Options'!$B:$B,F$4)+SUMIFS('BSE - Other Index Options'!$M:$M,'BSE - Other Index Options'!$C:$C,$A6,'BSE - Other Index Options'!$B:$B,F$4))</f>
        <v/>
      </c>
      <c r="G6" s="26">
        <f>IF(SUMIFS('NSE - NIFTY Index Options'!$M:$M,'NSE - NIFTY Index Options'!$C:$C,$A6,'NSE - NIFTY Index Options'!$B:$B,G$4)+SUMIFS('NSE - Other Index Options'!$M:$M,'NSE - Other Index Options'!$C:$C,$A6,'NSE - Other Index Options'!$B:$B,G$4)+SUMIFS('BSE - SENSEX Index Options'!$M:$M,'BSE - SENSEX Index Options'!$C:$C,$A6,'BSE - SENSEX Index Options'!$B:$B,G$4)+SUMIFS('BSE - Other Index Options'!$M:$M,'BSE - Other Index Options'!$C:$C,$A6,'BSE - Other Index Options'!$B:$B,G$4)=0,"",SUMIFS('NSE - NIFTY Index Options'!$M:$M,'NSE - NIFTY Index Options'!$C:$C,$A6,'NSE - NIFTY Index Options'!$B:$B,G$4)+SUMIFS('NSE - Other Index Options'!$M:$M,'NSE - Other Index Options'!$C:$C,$A6,'NSE - Other Index Options'!$B:$B,G$4)+SUMIFS('BSE - SENSEX Index Options'!$M:$M,'BSE - SENSEX Index Options'!$C:$C,$A6,'BSE - SENSEX Index Options'!$B:$B,G$4)+SUMIFS('BSE - Other Index Options'!$M:$M,'BSE - Other Index Options'!$C:$C,$A6,'BSE - Other Index Options'!$B:$B,G$4))</f>
        <v/>
      </c>
      <c r="H6" s="26">
        <f>IF(SUM(B6:G6)=0,"",SUM(B6:G6))</f>
        <v/>
      </c>
      <c r="K6" t="inlineStr">
        <is>
          <t>BSE</t>
        </is>
      </c>
      <c r="L6" s="56" t="inlineStr">
        <is>
          <t>Yes</t>
        </is>
      </c>
    </row>
    <row r="7">
      <c r="A7" t="inlineStr">
        <is>
          <t>Week3-Sep-2025</t>
        </is>
      </c>
      <c r="B7" s="26">
        <f>IF(SUMIFS('NSE - NIFTY Index Options'!$M:$M,'NSE - NIFTY Index Options'!$C:$C,$A7,'NSE - NIFTY Index Options'!$B:$B,B$4)+SUMIFS('NSE - Other Index Options'!$M:$M,'NSE - Other Index Options'!$C:$C,$A7,'NSE - Other Index Options'!$B:$B,B$4)+SUMIFS('BSE - SENSEX Index Options'!$M:$M,'BSE - SENSEX Index Options'!$C:$C,$A7,'BSE - SENSEX Index Options'!$B:$B,B$4)+SUMIFS('BSE - Other Index Options'!$M:$M,'BSE - Other Index Options'!$C:$C,$A7,'BSE - Other Index Options'!$B:$B,B$4)=0,"",SUMIFS('NSE - NIFTY Index Options'!$M:$M,'NSE - NIFTY Index Options'!$C:$C,$A7,'NSE - NIFTY Index Options'!$B:$B,B$4)+SUMIFS('NSE - Other Index Options'!$M:$M,'NSE - Other Index Options'!$C:$C,$A7,'NSE - Other Index Options'!$B:$B,B$4)+SUMIFS('BSE - SENSEX Index Options'!$M:$M,'BSE - SENSEX Index Options'!$C:$C,$A7,'BSE - SENSEX Index Options'!$B:$B,B$4)+SUMIFS('BSE - Other Index Options'!$M:$M,'BSE - Other Index Options'!$C:$C,$A7,'BSE - Other Index Options'!$B:$B,B$4))</f>
        <v/>
      </c>
      <c r="C7" s="26">
        <f>IF(SUMIFS('NSE - NIFTY Index Options'!$M:$M,'NSE - NIFTY Index Options'!$C:$C,$A7,'NSE - NIFTY Index Options'!$B:$B,C$4)+SUMIFS('NSE - Other Index Options'!$M:$M,'NSE - Other Index Options'!$C:$C,$A7,'NSE - Other Index Options'!$B:$B,C$4)+SUMIFS('BSE - SENSEX Index Options'!$M:$M,'BSE - SENSEX Index Options'!$C:$C,$A7,'BSE - SENSEX Index Options'!$B:$B,C$4)+SUMIFS('BSE - Other Index Options'!$M:$M,'BSE - Other Index Options'!$C:$C,$A7,'BSE - Other Index Options'!$B:$B,C$4)=0,"",SUMIFS('NSE - NIFTY Index Options'!$M:$M,'NSE - NIFTY Index Options'!$C:$C,$A7,'NSE - NIFTY Index Options'!$B:$B,C$4)+SUMIFS('NSE - Other Index Options'!$M:$M,'NSE - Other Index Options'!$C:$C,$A7,'NSE - Other Index Options'!$B:$B,C$4)+SUMIFS('BSE - SENSEX Index Options'!$M:$M,'BSE - SENSEX Index Options'!$C:$C,$A7,'BSE - SENSEX Index Options'!$B:$B,C$4)+SUMIFS('BSE - Other Index Options'!$M:$M,'BSE - Other Index Options'!$C:$C,$A7,'BSE - Other Index Options'!$B:$B,C$4))</f>
        <v/>
      </c>
      <c r="D7" s="26">
        <f>IF(SUMIFS('NSE - NIFTY Index Options'!$M:$M,'NSE - NIFTY Index Options'!$C:$C,$A7,'NSE - NIFTY Index Options'!$B:$B,D$4)+SUMIFS('NSE - Other Index Options'!$M:$M,'NSE - Other Index Options'!$C:$C,$A7,'NSE - Other Index Options'!$B:$B,D$4)+SUMIFS('BSE - SENSEX Index Options'!$M:$M,'BSE - SENSEX Index Options'!$C:$C,$A7,'BSE - SENSEX Index Options'!$B:$B,D$4)+SUMIFS('BSE - Other Index Options'!$M:$M,'BSE - Other Index Options'!$C:$C,$A7,'BSE - Other Index Options'!$B:$B,D$4)=0,"",SUMIFS('NSE - NIFTY Index Options'!$M:$M,'NSE - NIFTY Index Options'!$C:$C,$A7,'NSE - NIFTY Index Options'!$B:$B,D$4)+SUMIFS('NSE - Other Index Options'!$M:$M,'NSE - Other Index Options'!$C:$C,$A7,'NSE - Other Index Options'!$B:$B,D$4)+SUMIFS('BSE - SENSEX Index Options'!$M:$M,'BSE - SENSEX Index Options'!$C:$C,$A7,'BSE - SENSEX Index Options'!$B:$B,D$4)+SUMIFS('BSE - Other Index Options'!$M:$M,'BSE - Other Index Options'!$C:$C,$A7,'BSE - Other Index Options'!$B:$B,D$4))</f>
        <v/>
      </c>
      <c r="E7" s="26">
        <f>IF(SUMIFS('NSE - NIFTY Index Options'!$M:$M,'NSE - NIFTY Index Options'!$C:$C,$A7,'NSE - NIFTY Index Options'!$B:$B,E$4)+SUMIFS('NSE - Other Index Options'!$M:$M,'NSE - Other Index Options'!$C:$C,$A7,'NSE - Other Index Options'!$B:$B,E$4)+SUMIFS('BSE - SENSEX Index Options'!$M:$M,'BSE - SENSEX Index Options'!$C:$C,$A7,'BSE - SENSEX Index Options'!$B:$B,E$4)+SUMIFS('BSE - Other Index Options'!$M:$M,'BSE - Other Index Options'!$C:$C,$A7,'BSE - Other Index Options'!$B:$B,E$4)=0,"",SUMIFS('NSE - NIFTY Index Options'!$M:$M,'NSE - NIFTY Index Options'!$C:$C,$A7,'NSE - NIFTY Index Options'!$B:$B,E$4)+SUMIFS('NSE - Other Index Options'!$M:$M,'NSE - Other Index Options'!$C:$C,$A7,'NSE - Other Index Options'!$B:$B,E$4)+SUMIFS('BSE - SENSEX Index Options'!$M:$M,'BSE - SENSEX Index Options'!$C:$C,$A7,'BSE - SENSEX Index Options'!$B:$B,E$4)+SUMIFS('BSE - Other Index Options'!$M:$M,'BSE - Other Index Options'!$C:$C,$A7,'BSE - Other Index Options'!$B:$B,E$4))</f>
        <v/>
      </c>
      <c r="F7" s="26">
        <f>IF(SUMIFS('NSE - NIFTY Index Options'!$M:$M,'NSE - NIFTY Index Options'!$C:$C,$A7,'NSE - NIFTY Index Options'!$B:$B,F$4)+SUMIFS('NSE - Other Index Options'!$M:$M,'NSE - Other Index Options'!$C:$C,$A7,'NSE - Other Index Options'!$B:$B,F$4)+SUMIFS('BSE - SENSEX Index Options'!$M:$M,'BSE - SENSEX Index Options'!$C:$C,$A7,'BSE - SENSEX Index Options'!$B:$B,F$4)+SUMIFS('BSE - Other Index Options'!$M:$M,'BSE - Other Index Options'!$C:$C,$A7,'BSE - Other Index Options'!$B:$B,F$4)=0,"",SUMIFS('NSE - NIFTY Index Options'!$M:$M,'NSE - NIFTY Index Options'!$C:$C,$A7,'NSE - NIFTY Index Options'!$B:$B,F$4)+SUMIFS('NSE - Other Index Options'!$M:$M,'NSE - Other Index Options'!$C:$C,$A7,'NSE - Other Index Options'!$B:$B,F$4)+SUMIFS('BSE - SENSEX Index Options'!$M:$M,'BSE - SENSEX Index Options'!$C:$C,$A7,'BSE - SENSEX Index Options'!$B:$B,F$4)+SUMIFS('BSE - Other Index Options'!$M:$M,'BSE - Other Index Options'!$C:$C,$A7,'BSE - Other Index Options'!$B:$B,F$4))</f>
        <v/>
      </c>
      <c r="G7" s="26">
        <f>IF(SUMIFS('NSE - NIFTY Index Options'!$M:$M,'NSE - NIFTY Index Options'!$C:$C,$A7,'NSE - NIFTY Index Options'!$B:$B,G$4)+SUMIFS('NSE - Other Index Options'!$M:$M,'NSE - Other Index Options'!$C:$C,$A7,'NSE - Other Index Options'!$B:$B,G$4)+SUMIFS('BSE - SENSEX Index Options'!$M:$M,'BSE - SENSEX Index Options'!$C:$C,$A7,'BSE - SENSEX Index Options'!$B:$B,G$4)+SUMIFS('BSE - Other Index Options'!$M:$M,'BSE - Other Index Options'!$C:$C,$A7,'BSE - Other Index Options'!$B:$B,G$4)=0,"",SUMIFS('NSE - NIFTY Index Options'!$M:$M,'NSE - NIFTY Index Options'!$C:$C,$A7,'NSE - NIFTY Index Options'!$B:$B,G$4)+SUMIFS('NSE - Other Index Options'!$M:$M,'NSE - Other Index Options'!$C:$C,$A7,'NSE - Other Index Options'!$B:$B,G$4)+SUMIFS('BSE - SENSEX Index Options'!$M:$M,'BSE - SENSEX Index Options'!$C:$C,$A7,'BSE - SENSEX Index Options'!$B:$B,G$4)+SUMIFS('BSE - Other Index Options'!$M:$M,'BSE - Other Index Options'!$C:$C,$A7,'BSE - Other Index Options'!$B:$B,G$4))</f>
        <v/>
      </c>
      <c r="H7" s="26">
        <f>IF(SUM(B7:G7)=0,"",SUM(B7:G7))</f>
        <v/>
      </c>
      <c r="K7" t="inlineStr">
        <is>
          <t>NIFTY Index</t>
        </is>
      </c>
      <c r="L7" s="56" t="inlineStr">
        <is>
          <t>Yes</t>
        </is>
      </c>
    </row>
    <row r="8">
      <c r="A8" t="inlineStr">
        <is>
          <t>Week4-Sep-2025</t>
        </is>
      </c>
      <c r="B8" s="26">
        <f>IF(SUMIFS('NSE - NIFTY Index Options'!$M:$M,'NSE - NIFTY Index Options'!$C:$C,$A8,'NSE - NIFTY Index Options'!$B:$B,B$4)+SUMIFS('NSE - Other Index Options'!$M:$M,'NSE - Other Index Options'!$C:$C,$A8,'NSE - Other Index Options'!$B:$B,B$4)+SUMIFS('BSE - SENSEX Index Options'!$M:$M,'BSE - SENSEX Index Options'!$C:$C,$A8,'BSE - SENSEX Index Options'!$B:$B,B$4)+SUMIFS('BSE - Other Index Options'!$M:$M,'BSE - Other Index Options'!$C:$C,$A8,'BSE - Other Index Options'!$B:$B,B$4)=0,"",SUMIFS('NSE - NIFTY Index Options'!$M:$M,'NSE - NIFTY Index Options'!$C:$C,$A8,'NSE - NIFTY Index Options'!$B:$B,B$4)+SUMIFS('NSE - Other Index Options'!$M:$M,'NSE - Other Index Options'!$C:$C,$A8,'NSE - Other Index Options'!$B:$B,B$4)+SUMIFS('BSE - SENSEX Index Options'!$M:$M,'BSE - SENSEX Index Options'!$C:$C,$A8,'BSE - SENSEX Index Options'!$B:$B,B$4)+SUMIFS('BSE - Other Index Options'!$M:$M,'BSE - Other Index Options'!$C:$C,$A8,'BSE - Other Index Options'!$B:$B,B$4))</f>
        <v/>
      </c>
      <c r="C8" s="26">
        <f>IF(SUMIFS('NSE - NIFTY Index Options'!$M:$M,'NSE - NIFTY Index Options'!$C:$C,$A8,'NSE - NIFTY Index Options'!$B:$B,C$4)+SUMIFS('NSE - Other Index Options'!$M:$M,'NSE - Other Index Options'!$C:$C,$A8,'NSE - Other Index Options'!$B:$B,C$4)+SUMIFS('BSE - SENSEX Index Options'!$M:$M,'BSE - SENSEX Index Options'!$C:$C,$A8,'BSE - SENSEX Index Options'!$B:$B,C$4)+SUMIFS('BSE - Other Index Options'!$M:$M,'BSE - Other Index Options'!$C:$C,$A8,'BSE - Other Index Options'!$B:$B,C$4)=0,"",SUMIFS('NSE - NIFTY Index Options'!$M:$M,'NSE - NIFTY Index Options'!$C:$C,$A8,'NSE - NIFTY Index Options'!$B:$B,C$4)+SUMIFS('NSE - Other Index Options'!$M:$M,'NSE - Other Index Options'!$C:$C,$A8,'NSE - Other Index Options'!$B:$B,C$4)+SUMIFS('BSE - SENSEX Index Options'!$M:$M,'BSE - SENSEX Index Options'!$C:$C,$A8,'BSE - SENSEX Index Options'!$B:$B,C$4)+SUMIFS('BSE - Other Index Options'!$M:$M,'BSE - Other Index Options'!$C:$C,$A8,'BSE - Other Index Options'!$B:$B,C$4))</f>
        <v/>
      </c>
      <c r="D8" s="26">
        <f>IF(SUMIFS('NSE - NIFTY Index Options'!$M:$M,'NSE - NIFTY Index Options'!$C:$C,$A8,'NSE - NIFTY Index Options'!$B:$B,D$4)+SUMIFS('NSE - Other Index Options'!$M:$M,'NSE - Other Index Options'!$C:$C,$A8,'NSE - Other Index Options'!$B:$B,D$4)+SUMIFS('BSE - SENSEX Index Options'!$M:$M,'BSE - SENSEX Index Options'!$C:$C,$A8,'BSE - SENSEX Index Options'!$B:$B,D$4)+SUMIFS('BSE - Other Index Options'!$M:$M,'BSE - Other Index Options'!$C:$C,$A8,'BSE - Other Index Options'!$B:$B,D$4)=0,"",SUMIFS('NSE - NIFTY Index Options'!$M:$M,'NSE - NIFTY Index Options'!$C:$C,$A8,'NSE - NIFTY Index Options'!$B:$B,D$4)+SUMIFS('NSE - Other Index Options'!$M:$M,'NSE - Other Index Options'!$C:$C,$A8,'NSE - Other Index Options'!$B:$B,D$4)+SUMIFS('BSE - SENSEX Index Options'!$M:$M,'BSE - SENSEX Index Options'!$C:$C,$A8,'BSE - SENSEX Index Options'!$B:$B,D$4)+SUMIFS('BSE - Other Index Options'!$M:$M,'BSE - Other Index Options'!$C:$C,$A8,'BSE - Other Index Options'!$B:$B,D$4))</f>
        <v/>
      </c>
      <c r="E8" s="26">
        <f>IF(SUMIFS('NSE - NIFTY Index Options'!$M:$M,'NSE - NIFTY Index Options'!$C:$C,$A8,'NSE - NIFTY Index Options'!$B:$B,E$4)+SUMIFS('NSE - Other Index Options'!$M:$M,'NSE - Other Index Options'!$C:$C,$A8,'NSE - Other Index Options'!$B:$B,E$4)+SUMIFS('BSE - SENSEX Index Options'!$M:$M,'BSE - SENSEX Index Options'!$C:$C,$A8,'BSE - SENSEX Index Options'!$B:$B,E$4)+SUMIFS('BSE - Other Index Options'!$M:$M,'BSE - Other Index Options'!$C:$C,$A8,'BSE - Other Index Options'!$B:$B,E$4)=0,"",SUMIFS('NSE - NIFTY Index Options'!$M:$M,'NSE - NIFTY Index Options'!$C:$C,$A8,'NSE - NIFTY Index Options'!$B:$B,E$4)+SUMIFS('NSE - Other Index Options'!$M:$M,'NSE - Other Index Options'!$C:$C,$A8,'NSE - Other Index Options'!$B:$B,E$4)+SUMIFS('BSE - SENSEX Index Options'!$M:$M,'BSE - SENSEX Index Options'!$C:$C,$A8,'BSE - SENSEX Index Options'!$B:$B,E$4)+SUMIFS('BSE - Other Index Options'!$M:$M,'BSE - Other Index Options'!$C:$C,$A8,'BSE - Other Index Options'!$B:$B,E$4))</f>
        <v/>
      </c>
      <c r="F8" s="26">
        <f>IF(SUMIFS('NSE - NIFTY Index Options'!$M:$M,'NSE - NIFTY Index Options'!$C:$C,$A8,'NSE - NIFTY Index Options'!$B:$B,F$4)+SUMIFS('NSE - Other Index Options'!$M:$M,'NSE - Other Index Options'!$C:$C,$A8,'NSE - Other Index Options'!$B:$B,F$4)+SUMIFS('BSE - SENSEX Index Options'!$M:$M,'BSE - SENSEX Index Options'!$C:$C,$A8,'BSE - SENSEX Index Options'!$B:$B,F$4)+SUMIFS('BSE - Other Index Options'!$M:$M,'BSE - Other Index Options'!$C:$C,$A8,'BSE - Other Index Options'!$B:$B,F$4)=0,"",SUMIFS('NSE - NIFTY Index Options'!$M:$M,'NSE - NIFTY Index Options'!$C:$C,$A8,'NSE - NIFTY Index Options'!$B:$B,F$4)+SUMIFS('NSE - Other Index Options'!$M:$M,'NSE - Other Index Options'!$C:$C,$A8,'NSE - Other Index Options'!$B:$B,F$4)+SUMIFS('BSE - SENSEX Index Options'!$M:$M,'BSE - SENSEX Index Options'!$C:$C,$A8,'BSE - SENSEX Index Options'!$B:$B,F$4)+SUMIFS('BSE - Other Index Options'!$M:$M,'BSE - Other Index Options'!$C:$C,$A8,'BSE - Other Index Options'!$B:$B,F$4))</f>
        <v/>
      </c>
      <c r="G8" s="26">
        <f>IF(SUMIFS('NSE - NIFTY Index Options'!$M:$M,'NSE - NIFTY Index Options'!$C:$C,$A8,'NSE - NIFTY Index Options'!$B:$B,G$4)+SUMIFS('NSE - Other Index Options'!$M:$M,'NSE - Other Index Options'!$C:$C,$A8,'NSE - Other Index Options'!$B:$B,G$4)+SUMIFS('BSE - SENSEX Index Options'!$M:$M,'BSE - SENSEX Index Options'!$C:$C,$A8,'BSE - SENSEX Index Options'!$B:$B,G$4)+SUMIFS('BSE - Other Index Options'!$M:$M,'BSE - Other Index Options'!$C:$C,$A8,'BSE - Other Index Options'!$B:$B,G$4)=0,"",SUMIFS('NSE - NIFTY Index Options'!$M:$M,'NSE - NIFTY Index Options'!$C:$C,$A8,'NSE - NIFTY Index Options'!$B:$B,G$4)+SUMIFS('NSE - Other Index Options'!$M:$M,'NSE - Other Index Options'!$C:$C,$A8,'NSE - Other Index Options'!$B:$B,G$4)+SUMIFS('BSE - SENSEX Index Options'!$M:$M,'BSE - SENSEX Index Options'!$C:$C,$A8,'BSE - SENSEX Index Options'!$B:$B,G$4)+SUMIFS('BSE - Other Index Options'!$M:$M,'BSE - Other Index Options'!$C:$C,$A8,'BSE - Other Index Options'!$B:$B,G$4))</f>
        <v/>
      </c>
      <c r="H8" s="26">
        <f>IF(SUM(B8:G8)=0,"",SUM(B8:G8))</f>
        <v/>
      </c>
      <c r="K8" t="inlineStr">
        <is>
          <t>Other NSE Indices</t>
        </is>
      </c>
      <c r="L8" s="56" t="inlineStr">
        <is>
          <t>Yes</t>
        </is>
      </c>
    </row>
    <row r="9">
      <c r="A9" t="inlineStr">
        <is>
          <t>Week5-Sep-2025</t>
        </is>
      </c>
      <c r="B9" s="26">
        <f>IF(SUMIFS('NSE - NIFTY Index Options'!$M:$M,'NSE - NIFTY Index Options'!$C:$C,$A9,'NSE - NIFTY Index Options'!$B:$B,B$4)+SUMIFS('NSE - Other Index Options'!$M:$M,'NSE - Other Index Options'!$C:$C,$A9,'NSE - Other Index Options'!$B:$B,B$4)+SUMIFS('BSE - SENSEX Index Options'!$M:$M,'BSE - SENSEX Index Options'!$C:$C,$A9,'BSE - SENSEX Index Options'!$B:$B,B$4)+SUMIFS('BSE - Other Index Options'!$M:$M,'BSE - Other Index Options'!$C:$C,$A9,'BSE - Other Index Options'!$B:$B,B$4)=0,"",SUMIFS('NSE - NIFTY Index Options'!$M:$M,'NSE - NIFTY Index Options'!$C:$C,$A9,'NSE - NIFTY Index Options'!$B:$B,B$4)+SUMIFS('NSE - Other Index Options'!$M:$M,'NSE - Other Index Options'!$C:$C,$A9,'NSE - Other Index Options'!$B:$B,B$4)+SUMIFS('BSE - SENSEX Index Options'!$M:$M,'BSE - SENSEX Index Options'!$C:$C,$A9,'BSE - SENSEX Index Options'!$B:$B,B$4)+SUMIFS('BSE - Other Index Options'!$M:$M,'BSE - Other Index Options'!$C:$C,$A9,'BSE - Other Index Options'!$B:$B,B$4))</f>
        <v/>
      </c>
      <c r="C9" s="26">
        <f>IF(SUMIFS('NSE - NIFTY Index Options'!$M:$M,'NSE - NIFTY Index Options'!$C:$C,$A9,'NSE - NIFTY Index Options'!$B:$B,C$4)+SUMIFS('NSE - Other Index Options'!$M:$M,'NSE - Other Index Options'!$C:$C,$A9,'NSE - Other Index Options'!$B:$B,C$4)+SUMIFS('BSE - SENSEX Index Options'!$M:$M,'BSE - SENSEX Index Options'!$C:$C,$A9,'BSE - SENSEX Index Options'!$B:$B,C$4)+SUMIFS('BSE - Other Index Options'!$M:$M,'BSE - Other Index Options'!$C:$C,$A9,'BSE - Other Index Options'!$B:$B,C$4)=0,"",SUMIFS('NSE - NIFTY Index Options'!$M:$M,'NSE - NIFTY Index Options'!$C:$C,$A9,'NSE - NIFTY Index Options'!$B:$B,C$4)+SUMIFS('NSE - Other Index Options'!$M:$M,'NSE - Other Index Options'!$C:$C,$A9,'NSE - Other Index Options'!$B:$B,C$4)+SUMIFS('BSE - SENSEX Index Options'!$M:$M,'BSE - SENSEX Index Options'!$C:$C,$A9,'BSE - SENSEX Index Options'!$B:$B,C$4)+SUMIFS('BSE - Other Index Options'!$M:$M,'BSE - Other Index Options'!$C:$C,$A9,'BSE - Other Index Options'!$B:$B,C$4))</f>
        <v/>
      </c>
      <c r="D9" s="26">
        <f>IF(SUMIFS('NSE - NIFTY Index Options'!$M:$M,'NSE - NIFTY Index Options'!$C:$C,$A9,'NSE - NIFTY Index Options'!$B:$B,D$4)+SUMIFS('NSE - Other Index Options'!$M:$M,'NSE - Other Index Options'!$C:$C,$A9,'NSE - Other Index Options'!$B:$B,D$4)+SUMIFS('BSE - SENSEX Index Options'!$M:$M,'BSE - SENSEX Index Options'!$C:$C,$A9,'BSE - SENSEX Index Options'!$B:$B,D$4)+SUMIFS('BSE - Other Index Options'!$M:$M,'BSE - Other Index Options'!$C:$C,$A9,'BSE - Other Index Options'!$B:$B,D$4)=0,"",SUMIFS('NSE - NIFTY Index Options'!$M:$M,'NSE - NIFTY Index Options'!$C:$C,$A9,'NSE - NIFTY Index Options'!$B:$B,D$4)+SUMIFS('NSE - Other Index Options'!$M:$M,'NSE - Other Index Options'!$C:$C,$A9,'NSE - Other Index Options'!$B:$B,D$4)+SUMIFS('BSE - SENSEX Index Options'!$M:$M,'BSE - SENSEX Index Options'!$C:$C,$A9,'BSE - SENSEX Index Options'!$B:$B,D$4)+SUMIFS('BSE - Other Index Options'!$M:$M,'BSE - Other Index Options'!$C:$C,$A9,'BSE - Other Index Options'!$B:$B,D$4))</f>
        <v/>
      </c>
      <c r="E9" s="26">
        <f>IF(SUMIFS('NSE - NIFTY Index Options'!$M:$M,'NSE - NIFTY Index Options'!$C:$C,$A9,'NSE - NIFTY Index Options'!$B:$B,E$4)+SUMIFS('NSE - Other Index Options'!$M:$M,'NSE - Other Index Options'!$C:$C,$A9,'NSE - Other Index Options'!$B:$B,E$4)+SUMIFS('BSE - SENSEX Index Options'!$M:$M,'BSE - SENSEX Index Options'!$C:$C,$A9,'BSE - SENSEX Index Options'!$B:$B,E$4)+SUMIFS('BSE - Other Index Options'!$M:$M,'BSE - Other Index Options'!$C:$C,$A9,'BSE - Other Index Options'!$B:$B,E$4)=0,"",SUMIFS('NSE - NIFTY Index Options'!$M:$M,'NSE - NIFTY Index Options'!$C:$C,$A9,'NSE - NIFTY Index Options'!$B:$B,E$4)+SUMIFS('NSE - Other Index Options'!$M:$M,'NSE - Other Index Options'!$C:$C,$A9,'NSE - Other Index Options'!$B:$B,E$4)+SUMIFS('BSE - SENSEX Index Options'!$M:$M,'BSE - SENSEX Index Options'!$C:$C,$A9,'BSE - SENSEX Index Options'!$B:$B,E$4)+SUMIFS('BSE - Other Index Options'!$M:$M,'BSE - Other Index Options'!$C:$C,$A9,'BSE - Other Index Options'!$B:$B,E$4))</f>
        <v/>
      </c>
      <c r="F9" s="26">
        <f>IF(SUMIFS('NSE - NIFTY Index Options'!$M:$M,'NSE - NIFTY Index Options'!$C:$C,$A9,'NSE - NIFTY Index Options'!$B:$B,F$4)+SUMIFS('NSE - Other Index Options'!$M:$M,'NSE - Other Index Options'!$C:$C,$A9,'NSE - Other Index Options'!$B:$B,F$4)+SUMIFS('BSE - SENSEX Index Options'!$M:$M,'BSE - SENSEX Index Options'!$C:$C,$A9,'BSE - SENSEX Index Options'!$B:$B,F$4)+SUMIFS('BSE - Other Index Options'!$M:$M,'BSE - Other Index Options'!$C:$C,$A9,'BSE - Other Index Options'!$B:$B,F$4)=0,"",SUMIFS('NSE - NIFTY Index Options'!$M:$M,'NSE - NIFTY Index Options'!$C:$C,$A9,'NSE - NIFTY Index Options'!$B:$B,F$4)+SUMIFS('NSE - Other Index Options'!$M:$M,'NSE - Other Index Options'!$C:$C,$A9,'NSE - Other Index Options'!$B:$B,F$4)+SUMIFS('BSE - SENSEX Index Options'!$M:$M,'BSE - SENSEX Index Options'!$C:$C,$A9,'BSE - SENSEX Index Options'!$B:$B,F$4)+SUMIFS('BSE - Other Index Options'!$M:$M,'BSE - Other Index Options'!$C:$C,$A9,'BSE - Other Index Options'!$B:$B,F$4))</f>
        <v/>
      </c>
      <c r="G9" s="26">
        <f>IF(SUMIFS('NSE - NIFTY Index Options'!$M:$M,'NSE - NIFTY Index Options'!$C:$C,$A9,'NSE - NIFTY Index Options'!$B:$B,G$4)+SUMIFS('NSE - Other Index Options'!$M:$M,'NSE - Other Index Options'!$C:$C,$A9,'NSE - Other Index Options'!$B:$B,G$4)+SUMIFS('BSE - SENSEX Index Options'!$M:$M,'BSE - SENSEX Index Options'!$C:$C,$A9,'BSE - SENSEX Index Options'!$B:$B,G$4)+SUMIFS('BSE - Other Index Options'!$M:$M,'BSE - Other Index Options'!$C:$C,$A9,'BSE - Other Index Options'!$B:$B,G$4)=0,"",SUMIFS('NSE - NIFTY Index Options'!$M:$M,'NSE - NIFTY Index Options'!$C:$C,$A9,'NSE - NIFTY Index Options'!$B:$B,G$4)+SUMIFS('NSE - Other Index Options'!$M:$M,'NSE - Other Index Options'!$C:$C,$A9,'NSE - Other Index Options'!$B:$B,G$4)+SUMIFS('BSE - SENSEX Index Options'!$M:$M,'BSE - SENSEX Index Options'!$C:$C,$A9,'BSE - SENSEX Index Options'!$B:$B,G$4)+SUMIFS('BSE - Other Index Options'!$M:$M,'BSE - Other Index Options'!$C:$C,$A9,'BSE - Other Index Options'!$B:$B,G$4))</f>
        <v/>
      </c>
      <c r="H9" s="26">
        <f>IF(SUM(B9:G9)=0,"",SUM(B9:G9))</f>
        <v/>
      </c>
      <c r="K9" t="inlineStr">
        <is>
          <t>SENSEX Index</t>
        </is>
      </c>
      <c r="L9" s="56" t="inlineStr">
        <is>
          <t>Yes</t>
        </is>
      </c>
    </row>
    <row r="10">
      <c r="A10" t="inlineStr">
        <is>
          <t>Week1-Oct-2025</t>
        </is>
      </c>
      <c r="B10" s="26">
        <f>IF(SUMIFS('NSE - NIFTY Index Options'!$M:$M,'NSE - NIFTY Index Options'!$C:$C,$A10,'NSE - NIFTY Index Options'!$B:$B,B$4)+SUMIFS('NSE - Other Index Options'!$M:$M,'NSE - Other Index Options'!$C:$C,$A10,'NSE - Other Index Options'!$B:$B,B$4)+SUMIFS('BSE - SENSEX Index Options'!$M:$M,'BSE - SENSEX Index Options'!$C:$C,$A10,'BSE - SENSEX Index Options'!$B:$B,B$4)+SUMIFS('BSE - Other Index Options'!$M:$M,'BSE - Other Index Options'!$C:$C,$A10,'BSE - Other Index Options'!$B:$B,B$4)=0,"",SUMIFS('NSE - NIFTY Index Options'!$M:$M,'NSE - NIFTY Index Options'!$C:$C,$A10,'NSE - NIFTY Index Options'!$B:$B,B$4)+SUMIFS('NSE - Other Index Options'!$M:$M,'NSE - Other Index Options'!$C:$C,$A10,'NSE - Other Index Options'!$B:$B,B$4)+SUMIFS('BSE - SENSEX Index Options'!$M:$M,'BSE - SENSEX Index Options'!$C:$C,$A10,'BSE - SENSEX Index Options'!$B:$B,B$4)+SUMIFS('BSE - Other Index Options'!$M:$M,'BSE - Other Index Options'!$C:$C,$A10,'BSE - Other Index Options'!$B:$B,B$4))</f>
        <v/>
      </c>
      <c r="C10" s="26">
        <f>IF(SUMIFS('NSE - NIFTY Index Options'!$M:$M,'NSE - NIFTY Index Options'!$C:$C,$A10,'NSE - NIFTY Index Options'!$B:$B,C$4)+SUMIFS('NSE - Other Index Options'!$M:$M,'NSE - Other Index Options'!$C:$C,$A10,'NSE - Other Index Options'!$B:$B,C$4)+SUMIFS('BSE - SENSEX Index Options'!$M:$M,'BSE - SENSEX Index Options'!$C:$C,$A10,'BSE - SENSEX Index Options'!$B:$B,C$4)+SUMIFS('BSE - Other Index Options'!$M:$M,'BSE - Other Index Options'!$C:$C,$A10,'BSE - Other Index Options'!$B:$B,C$4)=0,"",SUMIFS('NSE - NIFTY Index Options'!$M:$M,'NSE - NIFTY Index Options'!$C:$C,$A10,'NSE - NIFTY Index Options'!$B:$B,C$4)+SUMIFS('NSE - Other Index Options'!$M:$M,'NSE - Other Index Options'!$C:$C,$A10,'NSE - Other Index Options'!$B:$B,C$4)+SUMIFS('BSE - SENSEX Index Options'!$M:$M,'BSE - SENSEX Index Options'!$C:$C,$A10,'BSE - SENSEX Index Options'!$B:$B,C$4)+SUMIFS('BSE - Other Index Options'!$M:$M,'BSE - Other Index Options'!$C:$C,$A10,'BSE - Other Index Options'!$B:$B,C$4))</f>
        <v/>
      </c>
      <c r="D10" s="26">
        <f>IF(SUMIFS('NSE - NIFTY Index Options'!$M:$M,'NSE - NIFTY Index Options'!$C:$C,$A10,'NSE - NIFTY Index Options'!$B:$B,D$4)+SUMIFS('NSE - Other Index Options'!$M:$M,'NSE - Other Index Options'!$C:$C,$A10,'NSE - Other Index Options'!$B:$B,D$4)+SUMIFS('BSE - SENSEX Index Options'!$M:$M,'BSE - SENSEX Index Options'!$C:$C,$A10,'BSE - SENSEX Index Options'!$B:$B,D$4)+SUMIFS('BSE - Other Index Options'!$M:$M,'BSE - Other Index Options'!$C:$C,$A10,'BSE - Other Index Options'!$B:$B,D$4)=0,"",SUMIFS('NSE - NIFTY Index Options'!$M:$M,'NSE - NIFTY Index Options'!$C:$C,$A10,'NSE - NIFTY Index Options'!$B:$B,D$4)+SUMIFS('NSE - Other Index Options'!$M:$M,'NSE - Other Index Options'!$C:$C,$A10,'NSE - Other Index Options'!$B:$B,D$4)+SUMIFS('BSE - SENSEX Index Options'!$M:$M,'BSE - SENSEX Index Options'!$C:$C,$A10,'BSE - SENSEX Index Options'!$B:$B,D$4)+SUMIFS('BSE - Other Index Options'!$M:$M,'BSE - Other Index Options'!$C:$C,$A10,'BSE - Other Index Options'!$B:$B,D$4))</f>
        <v/>
      </c>
      <c r="E10" s="26">
        <f>IF(SUMIFS('NSE - NIFTY Index Options'!$M:$M,'NSE - NIFTY Index Options'!$C:$C,$A10,'NSE - NIFTY Index Options'!$B:$B,E$4)+SUMIFS('NSE - Other Index Options'!$M:$M,'NSE - Other Index Options'!$C:$C,$A10,'NSE - Other Index Options'!$B:$B,E$4)+SUMIFS('BSE - SENSEX Index Options'!$M:$M,'BSE - SENSEX Index Options'!$C:$C,$A10,'BSE - SENSEX Index Options'!$B:$B,E$4)+SUMIFS('BSE - Other Index Options'!$M:$M,'BSE - Other Index Options'!$C:$C,$A10,'BSE - Other Index Options'!$B:$B,E$4)=0,"",SUMIFS('NSE - NIFTY Index Options'!$M:$M,'NSE - NIFTY Index Options'!$C:$C,$A10,'NSE - NIFTY Index Options'!$B:$B,E$4)+SUMIFS('NSE - Other Index Options'!$M:$M,'NSE - Other Index Options'!$C:$C,$A10,'NSE - Other Index Options'!$B:$B,E$4)+SUMIFS('BSE - SENSEX Index Options'!$M:$M,'BSE - SENSEX Index Options'!$C:$C,$A10,'BSE - SENSEX Index Options'!$B:$B,E$4)+SUMIFS('BSE - Other Index Options'!$M:$M,'BSE - Other Index Options'!$C:$C,$A10,'BSE - Other Index Options'!$B:$B,E$4))</f>
        <v/>
      </c>
      <c r="F10" s="26">
        <f>IF(SUMIFS('NSE - NIFTY Index Options'!$M:$M,'NSE - NIFTY Index Options'!$C:$C,$A10,'NSE - NIFTY Index Options'!$B:$B,F$4)+SUMIFS('NSE - Other Index Options'!$M:$M,'NSE - Other Index Options'!$C:$C,$A10,'NSE - Other Index Options'!$B:$B,F$4)+SUMIFS('BSE - SENSEX Index Options'!$M:$M,'BSE - SENSEX Index Options'!$C:$C,$A10,'BSE - SENSEX Index Options'!$B:$B,F$4)+SUMIFS('BSE - Other Index Options'!$M:$M,'BSE - Other Index Options'!$C:$C,$A10,'BSE - Other Index Options'!$B:$B,F$4)=0,"",SUMIFS('NSE - NIFTY Index Options'!$M:$M,'NSE - NIFTY Index Options'!$C:$C,$A10,'NSE - NIFTY Index Options'!$B:$B,F$4)+SUMIFS('NSE - Other Index Options'!$M:$M,'NSE - Other Index Options'!$C:$C,$A10,'NSE - Other Index Options'!$B:$B,F$4)+SUMIFS('BSE - SENSEX Index Options'!$M:$M,'BSE - SENSEX Index Options'!$C:$C,$A10,'BSE - SENSEX Index Options'!$B:$B,F$4)+SUMIFS('BSE - Other Index Options'!$M:$M,'BSE - Other Index Options'!$C:$C,$A10,'BSE - Other Index Options'!$B:$B,F$4))</f>
        <v/>
      </c>
      <c r="G10" s="26">
        <f>IF(SUMIFS('NSE - NIFTY Index Options'!$M:$M,'NSE - NIFTY Index Options'!$C:$C,$A10,'NSE - NIFTY Index Options'!$B:$B,G$4)+SUMIFS('NSE - Other Index Options'!$M:$M,'NSE - Other Index Options'!$C:$C,$A10,'NSE - Other Index Options'!$B:$B,G$4)+SUMIFS('BSE - SENSEX Index Options'!$M:$M,'BSE - SENSEX Index Options'!$C:$C,$A10,'BSE - SENSEX Index Options'!$B:$B,G$4)+SUMIFS('BSE - Other Index Options'!$M:$M,'BSE - Other Index Options'!$C:$C,$A10,'BSE - Other Index Options'!$B:$B,G$4)=0,"",SUMIFS('NSE - NIFTY Index Options'!$M:$M,'NSE - NIFTY Index Options'!$C:$C,$A10,'NSE - NIFTY Index Options'!$B:$B,G$4)+SUMIFS('NSE - Other Index Options'!$M:$M,'NSE - Other Index Options'!$C:$C,$A10,'NSE - Other Index Options'!$B:$B,G$4)+SUMIFS('BSE - SENSEX Index Options'!$M:$M,'BSE - SENSEX Index Options'!$C:$C,$A10,'BSE - SENSEX Index Options'!$B:$B,G$4)+SUMIFS('BSE - Other Index Options'!$M:$M,'BSE - Other Index Options'!$C:$C,$A10,'BSE - Other Index Options'!$B:$B,G$4))</f>
        <v/>
      </c>
      <c r="H10" s="26">
        <f>IF(SUM(B10:G10)=0,"",SUM(B10:G10))</f>
        <v/>
      </c>
      <c r="K10" t="inlineStr">
        <is>
          <t>Other BSE Indices</t>
        </is>
      </c>
      <c r="L10" s="57" t="inlineStr">
        <is>
          <t>Yes</t>
        </is>
      </c>
    </row>
    <row r="11">
      <c r="A11" t="inlineStr">
        <is>
          <t>Week2-Oct-2025</t>
        </is>
      </c>
      <c r="B11" s="26">
        <f>IF(SUMIFS('NSE - NIFTY Index Options'!$M:$M,'NSE - NIFTY Index Options'!$C:$C,$A11,'NSE - NIFTY Index Options'!$B:$B,B$4)+SUMIFS('NSE - Other Index Options'!$M:$M,'NSE - Other Index Options'!$C:$C,$A11,'NSE - Other Index Options'!$B:$B,B$4)+SUMIFS('BSE - SENSEX Index Options'!$M:$M,'BSE - SENSEX Index Options'!$C:$C,$A11,'BSE - SENSEX Index Options'!$B:$B,B$4)+SUMIFS('BSE - Other Index Options'!$M:$M,'BSE - Other Index Options'!$C:$C,$A11,'BSE - Other Index Options'!$B:$B,B$4)=0,"",SUMIFS('NSE - NIFTY Index Options'!$M:$M,'NSE - NIFTY Index Options'!$C:$C,$A11,'NSE - NIFTY Index Options'!$B:$B,B$4)+SUMIFS('NSE - Other Index Options'!$M:$M,'NSE - Other Index Options'!$C:$C,$A11,'NSE - Other Index Options'!$B:$B,B$4)+SUMIFS('BSE - SENSEX Index Options'!$M:$M,'BSE - SENSEX Index Options'!$C:$C,$A11,'BSE - SENSEX Index Options'!$B:$B,B$4)+SUMIFS('BSE - Other Index Options'!$M:$M,'BSE - Other Index Options'!$C:$C,$A11,'BSE - Other Index Options'!$B:$B,B$4))</f>
        <v/>
      </c>
      <c r="C11" s="26">
        <f>IF(SUMIFS('NSE - NIFTY Index Options'!$M:$M,'NSE - NIFTY Index Options'!$C:$C,$A11,'NSE - NIFTY Index Options'!$B:$B,C$4)+SUMIFS('NSE - Other Index Options'!$M:$M,'NSE - Other Index Options'!$C:$C,$A11,'NSE - Other Index Options'!$B:$B,C$4)+SUMIFS('BSE - SENSEX Index Options'!$M:$M,'BSE - SENSEX Index Options'!$C:$C,$A11,'BSE - SENSEX Index Options'!$B:$B,C$4)+SUMIFS('BSE - Other Index Options'!$M:$M,'BSE - Other Index Options'!$C:$C,$A11,'BSE - Other Index Options'!$B:$B,C$4)=0,"",SUMIFS('NSE - NIFTY Index Options'!$M:$M,'NSE - NIFTY Index Options'!$C:$C,$A11,'NSE - NIFTY Index Options'!$B:$B,C$4)+SUMIFS('NSE - Other Index Options'!$M:$M,'NSE - Other Index Options'!$C:$C,$A11,'NSE - Other Index Options'!$B:$B,C$4)+SUMIFS('BSE - SENSEX Index Options'!$M:$M,'BSE - SENSEX Index Options'!$C:$C,$A11,'BSE - SENSEX Index Options'!$B:$B,C$4)+SUMIFS('BSE - Other Index Options'!$M:$M,'BSE - Other Index Options'!$C:$C,$A11,'BSE - Other Index Options'!$B:$B,C$4))</f>
        <v/>
      </c>
      <c r="D11" s="26">
        <f>IF(SUMIFS('NSE - NIFTY Index Options'!$M:$M,'NSE - NIFTY Index Options'!$C:$C,$A11,'NSE - NIFTY Index Options'!$B:$B,D$4)+SUMIFS('NSE - Other Index Options'!$M:$M,'NSE - Other Index Options'!$C:$C,$A11,'NSE - Other Index Options'!$B:$B,D$4)+SUMIFS('BSE - SENSEX Index Options'!$M:$M,'BSE - SENSEX Index Options'!$C:$C,$A11,'BSE - SENSEX Index Options'!$B:$B,D$4)+SUMIFS('BSE - Other Index Options'!$M:$M,'BSE - Other Index Options'!$C:$C,$A11,'BSE - Other Index Options'!$B:$B,D$4)=0,"",SUMIFS('NSE - NIFTY Index Options'!$M:$M,'NSE - NIFTY Index Options'!$C:$C,$A11,'NSE - NIFTY Index Options'!$B:$B,D$4)+SUMIFS('NSE - Other Index Options'!$M:$M,'NSE - Other Index Options'!$C:$C,$A11,'NSE - Other Index Options'!$B:$B,D$4)+SUMIFS('BSE - SENSEX Index Options'!$M:$M,'BSE - SENSEX Index Options'!$C:$C,$A11,'BSE - SENSEX Index Options'!$B:$B,D$4)+SUMIFS('BSE - Other Index Options'!$M:$M,'BSE - Other Index Options'!$C:$C,$A11,'BSE - Other Index Options'!$B:$B,D$4))</f>
        <v/>
      </c>
      <c r="E11" s="26">
        <f>IF(SUMIFS('NSE - NIFTY Index Options'!$M:$M,'NSE - NIFTY Index Options'!$C:$C,$A11,'NSE - NIFTY Index Options'!$B:$B,E$4)+SUMIFS('NSE - Other Index Options'!$M:$M,'NSE - Other Index Options'!$C:$C,$A11,'NSE - Other Index Options'!$B:$B,E$4)+SUMIFS('BSE - SENSEX Index Options'!$M:$M,'BSE - SENSEX Index Options'!$C:$C,$A11,'BSE - SENSEX Index Options'!$B:$B,E$4)+SUMIFS('BSE - Other Index Options'!$M:$M,'BSE - Other Index Options'!$C:$C,$A11,'BSE - Other Index Options'!$B:$B,E$4)=0,"",SUMIFS('NSE - NIFTY Index Options'!$M:$M,'NSE - NIFTY Index Options'!$C:$C,$A11,'NSE - NIFTY Index Options'!$B:$B,E$4)+SUMIFS('NSE - Other Index Options'!$M:$M,'NSE - Other Index Options'!$C:$C,$A11,'NSE - Other Index Options'!$B:$B,E$4)+SUMIFS('BSE - SENSEX Index Options'!$M:$M,'BSE - SENSEX Index Options'!$C:$C,$A11,'BSE - SENSEX Index Options'!$B:$B,E$4)+SUMIFS('BSE - Other Index Options'!$M:$M,'BSE - Other Index Options'!$C:$C,$A11,'BSE - Other Index Options'!$B:$B,E$4))</f>
        <v/>
      </c>
      <c r="F11" s="26">
        <f>IF(SUMIFS('NSE - NIFTY Index Options'!$M:$M,'NSE - NIFTY Index Options'!$C:$C,$A11,'NSE - NIFTY Index Options'!$B:$B,F$4)+SUMIFS('NSE - Other Index Options'!$M:$M,'NSE - Other Index Options'!$C:$C,$A11,'NSE - Other Index Options'!$B:$B,F$4)+SUMIFS('BSE - SENSEX Index Options'!$M:$M,'BSE - SENSEX Index Options'!$C:$C,$A11,'BSE - SENSEX Index Options'!$B:$B,F$4)+SUMIFS('BSE - Other Index Options'!$M:$M,'BSE - Other Index Options'!$C:$C,$A11,'BSE - Other Index Options'!$B:$B,F$4)=0,"",SUMIFS('NSE - NIFTY Index Options'!$M:$M,'NSE - NIFTY Index Options'!$C:$C,$A11,'NSE - NIFTY Index Options'!$B:$B,F$4)+SUMIFS('NSE - Other Index Options'!$M:$M,'NSE - Other Index Options'!$C:$C,$A11,'NSE - Other Index Options'!$B:$B,F$4)+SUMIFS('BSE - SENSEX Index Options'!$M:$M,'BSE - SENSEX Index Options'!$C:$C,$A11,'BSE - SENSEX Index Options'!$B:$B,F$4)+SUMIFS('BSE - Other Index Options'!$M:$M,'BSE - Other Index Options'!$C:$C,$A11,'BSE - Other Index Options'!$B:$B,F$4))</f>
        <v/>
      </c>
      <c r="G11" s="26">
        <f>IF(SUMIFS('NSE - NIFTY Index Options'!$M:$M,'NSE - NIFTY Index Options'!$C:$C,$A11,'NSE - NIFTY Index Options'!$B:$B,G$4)+SUMIFS('NSE - Other Index Options'!$M:$M,'NSE - Other Index Options'!$C:$C,$A11,'NSE - Other Index Options'!$B:$B,G$4)+SUMIFS('BSE - SENSEX Index Options'!$M:$M,'BSE - SENSEX Index Options'!$C:$C,$A11,'BSE - SENSEX Index Options'!$B:$B,G$4)+SUMIFS('BSE - Other Index Options'!$M:$M,'BSE - Other Index Options'!$C:$C,$A11,'BSE - Other Index Options'!$B:$B,G$4)=0,"",SUMIFS('NSE - NIFTY Index Options'!$M:$M,'NSE - NIFTY Index Options'!$C:$C,$A11,'NSE - NIFTY Index Options'!$B:$B,G$4)+SUMIFS('NSE - Other Index Options'!$M:$M,'NSE - Other Index Options'!$C:$C,$A11,'NSE - Other Index Options'!$B:$B,G$4)+SUMIFS('BSE - SENSEX Index Options'!$M:$M,'BSE - SENSEX Index Options'!$C:$C,$A11,'BSE - SENSEX Index Options'!$B:$B,G$4)+SUMIFS('BSE - Other Index Options'!$M:$M,'BSE - Other Index Options'!$C:$C,$A11,'BSE - Other Index Options'!$B:$B,G$4))</f>
        <v/>
      </c>
      <c r="H11" s="26">
        <f>IF(SUM(B11:G11)=0,"",SUM(B11:G11))</f>
        <v/>
      </c>
      <c r="K11" t="inlineStr">
        <is>
          <t>Expiry Type 2 - Weekly</t>
        </is>
      </c>
      <c r="L11" s="57" t="inlineStr">
        <is>
          <t>Yes</t>
        </is>
      </c>
    </row>
    <row r="12">
      <c r="A12" t="inlineStr">
        <is>
          <t>Week3-Oct-2025</t>
        </is>
      </c>
      <c r="B12" s="26">
        <f>IF(SUMIFS('NSE - NIFTY Index Options'!$M:$M,'NSE - NIFTY Index Options'!$C:$C,$A12,'NSE - NIFTY Index Options'!$B:$B,B$4)+SUMIFS('NSE - Other Index Options'!$M:$M,'NSE - Other Index Options'!$C:$C,$A12,'NSE - Other Index Options'!$B:$B,B$4)+SUMIFS('BSE - SENSEX Index Options'!$M:$M,'BSE - SENSEX Index Options'!$C:$C,$A12,'BSE - SENSEX Index Options'!$B:$B,B$4)+SUMIFS('BSE - Other Index Options'!$M:$M,'BSE - Other Index Options'!$C:$C,$A12,'BSE - Other Index Options'!$B:$B,B$4)=0,"",SUMIFS('NSE - NIFTY Index Options'!$M:$M,'NSE - NIFTY Index Options'!$C:$C,$A12,'NSE - NIFTY Index Options'!$B:$B,B$4)+SUMIFS('NSE - Other Index Options'!$M:$M,'NSE - Other Index Options'!$C:$C,$A12,'NSE - Other Index Options'!$B:$B,B$4)+SUMIFS('BSE - SENSEX Index Options'!$M:$M,'BSE - SENSEX Index Options'!$C:$C,$A12,'BSE - SENSEX Index Options'!$B:$B,B$4)+SUMIFS('BSE - Other Index Options'!$M:$M,'BSE - Other Index Options'!$C:$C,$A12,'BSE - Other Index Options'!$B:$B,B$4))</f>
        <v/>
      </c>
      <c r="C12" s="26">
        <f>IF(SUMIFS('NSE - NIFTY Index Options'!$M:$M,'NSE - NIFTY Index Options'!$C:$C,$A12,'NSE - NIFTY Index Options'!$B:$B,C$4)+SUMIFS('NSE - Other Index Options'!$M:$M,'NSE - Other Index Options'!$C:$C,$A12,'NSE - Other Index Options'!$B:$B,C$4)+SUMIFS('BSE - SENSEX Index Options'!$M:$M,'BSE - SENSEX Index Options'!$C:$C,$A12,'BSE - SENSEX Index Options'!$B:$B,C$4)+SUMIFS('BSE - Other Index Options'!$M:$M,'BSE - Other Index Options'!$C:$C,$A12,'BSE - Other Index Options'!$B:$B,C$4)=0,"",SUMIFS('NSE - NIFTY Index Options'!$M:$M,'NSE - NIFTY Index Options'!$C:$C,$A12,'NSE - NIFTY Index Options'!$B:$B,C$4)+SUMIFS('NSE - Other Index Options'!$M:$M,'NSE - Other Index Options'!$C:$C,$A12,'NSE - Other Index Options'!$B:$B,C$4)+SUMIFS('BSE - SENSEX Index Options'!$M:$M,'BSE - SENSEX Index Options'!$C:$C,$A12,'BSE - SENSEX Index Options'!$B:$B,C$4)+SUMIFS('BSE - Other Index Options'!$M:$M,'BSE - Other Index Options'!$C:$C,$A12,'BSE - Other Index Options'!$B:$B,C$4))</f>
        <v/>
      </c>
      <c r="D12" s="26">
        <f>IF(SUMIFS('NSE - NIFTY Index Options'!$M:$M,'NSE - NIFTY Index Options'!$C:$C,$A12,'NSE - NIFTY Index Options'!$B:$B,D$4)+SUMIFS('NSE - Other Index Options'!$M:$M,'NSE - Other Index Options'!$C:$C,$A12,'NSE - Other Index Options'!$B:$B,D$4)+SUMIFS('BSE - SENSEX Index Options'!$M:$M,'BSE - SENSEX Index Options'!$C:$C,$A12,'BSE - SENSEX Index Options'!$B:$B,D$4)+SUMIFS('BSE - Other Index Options'!$M:$M,'BSE - Other Index Options'!$C:$C,$A12,'BSE - Other Index Options'!$B:$B,D$4)=0,"",SUMIFS('NSE - NIFTY Index Options'!$M:$M,'NSE - NIFTY Index Options'!$C:$C,$A12,'NSE - NIFTY Index Options'!$B:$B,D$4)+SUMIFS('NSE - Other Index Options'!$M:$M,'NSE - Other Index Options'!$C:$C,$A12,'NSE - Other Index Options'!$B:$B,D$4)+SUMIFS('BSE - SENSEX Index Options'!$M:$M,'BSE - SENSEX Index Options'!$C:$C,$A12,'BSE - SENSEX Index Options'!$B:$B,D$4)+SUMIFS('BSE - Other Index Options'!$M:$M,'BSE - Other Index Options'!$C:$C,$A12,'BSE - Other Index Options'!$B:$B,D$4))</f>
        <v/>
      </c>
      <c r="E12" s="26">
        <f>IF(SUMIFS('NSE - NIFTY Index Options'!$M:$M,'NSE - NIFTY Index Options'!$C:$C,$A12,'NSE - NIFTY Index Options'!$B:$B,E$4)+SUMIFS('NSE - Other Index Options'!$M:$M,'NSE - Other Index Options'!$C:$C,$A12,'NSE - Other Index Options'!$B:$B,E$4)+SUMIFS('BSE - SENSEX Index Options'!$M:$M,'BSE - SENSEX Index Options'!$C:$C,$A12,'BSE - SENSEX Index Options'!$B:$B,E$4)+SUMIFS('BSE - Other Index Options'!$M:$M,'BSE - Other Index Options'!$C:$C,$A12,'BSE - Other Index Options'!$B:$B,E$4)=0,"",SUMIFS('NSE - NIFTY Index Options'!$M:$M,'NSE - NIFTY Index Options'!$C:$C,$A12,'NSE - NIFTY Index Options'!$B:$B,E$4)+SUMIFS('NSE - Other Index Options'!$M:$M,'NSE - Other Index Options'!$C:$C,$A12,'NSE - Other Index Options'!$B:$B,E$4)+SUMIFS('BSE - SENSEX Index Options'!$M:$M,'BSE - SENSEX Index Options'!$C:$C,$A12,'BSE - SENSEX Index Options'!$B:$B,E$4)+SUMIFS('BSE - Other Index Options'!$M:$M,'BSE - Other Index Options'!$C:$C,$A12,'BSE - Other Index Options'!$B:$B,E$4))</f>
        <v/>
      </c>
      <c r="F12" s="26">
        <f>IF(SUMIFS('NSE - NIFTY Index Options'!$M:$M,'NSE - NIFTY Index Options'!$C:$C,$A12,'NSE - NIFTY Index Options'!$B:$B,F$4)+SUMIFS('NSE - Other Index Options'!$M:$M,'NSE - Other Index Options'!$C:$C,$A12,'NSE - Other Index Options'!$B:$B,F$4)+SUMIFS('BSE - SENSEX Index Options'!$M:$M,'BSE - SENSEX Index Options'!$C:$C,$A12,'BSE - SENSEX Index Options'!$B:$B,F$4)+SUMIFS('BSE - Other Index Options'!$M:$M,'BSE - Other Index Options'!$C:$C,$A12,'BSE - Other Index Options'!$B:$B,F$4)=0,"",SUMIFS('NSE - NIFTY Index Options'!$M:$M,'NSE - NIFTY Index Options'!$C:$C,$A12,'NSE - NIFTY Index Options'!$B:$B,F$4)+SUMIFS('NSE - Other Index Options'!$M:$M,'NSE - Other Index Options'!$C:$C,$A12,'NSE - Other Index Options'!$B:$B,F$4)+SUMIFS('BSE - SENSEX Index Options'!$M:$M,'BSE - SENSEX Index Options'!$C:$C,$A12,'BSE - SENSEX Index Options'!$B:$B,F$4)+SUMIFS('BSE - Other Index Options'!$M:$M,'BSE - Other Index Options'!$C:$C,$A12,'BSE - Other Index Options'!$B:$B,F$4))</f>
        <v/>
      </c>
      <c r="G12" s="26">
        <f>IF(SUMIFS('NSE - NIFTY Index Options'!$M:$M,'NSE - NIFTY Index Options'!$C:$C,$A12,'NSE - NIFTY Index Options'!$B:$B,G$4)+SUMIFS('NSE - Other Index Options'!$M:$M,'NSE - Other Index Options'!$C:$C,$A12,'NSE - Other Index Options'!$B:$B,G$4)+SUMIFS('BSE - SENSEX Index Options'!$M:$M,'BSE - SENSEX Index Options'!$C:$C,$A12,'BSE - SENSEX Index Options'!$B:$B,G$4)+SUMIFS('BSE - Other Index Options'!$M:$M,'BSE - Other Index Options'!$C:$C,$A12,'BSE - Other Index Options'!$B:$B,G$4)=0,"",SUMIFS('NSE - NIFTY Index Options'!$M:$M,'NSE - NIFTY Index Options'!$C:$C,$A12,'NSE - NIFTY Index Options'!$B:$B,G$4)+SUMIFS('NSE - Other Index Options'!$M:$M,'NSE - Other Index Options'!$C:$C,$A12,'NSE - Other Index Options'!$B:$B,G$4)+SUMIFS('BSE - SENSEX Index Options'!$M:$M,'BSE - SENSEX Index Options'!$C:$C,$A12,'BSE - SENSEX Index Options'!$B:$B,G$4)+SUMIFS('BSE - Other Index Options'!$M:$M,'BSE - Other Index Options'!$C:$C,$A12,'BSE - Other Index Options'!$B:$B,G$4))</f>
        <v/>
      </c>
      <c r="H12" s="26">
        <f>IF(SUM(B12:G12)=0,"",SUM(B12:G12))</f>
        <v/>
      </c>
      <c r="K12" t="inlineStr">
        <is>
          <t>Expiry Type 2 - MDAW</t>
        </is>
      </c>
      <c r="L12" s="57" t="inlineStr">
        <is>
          <t>Yes</t>
        </is>
      </c>
    </row>
    <row r="13">
      <c r="A13" t="inlineStr">
        <is>
          <t>Week4-Oct-2025</t>
        </is>
      </c>
      <c r="B13" s="26">
        <f>IF(SUMIFS('NSE - NIFTY Index Options'!$M:$M,'NSE - NIFTY Index Options'!$C:$C,$A13,'NSE - NIFTY Index Options'!$B:$B,B$4)+SUMIFS('NSE - Other Index Options'!$M:$M,'NSE - Other Index Options'!$C:$C,$A13,'NSE - Other Index Options'!$B:$B,B$4)+SUMIFS('BSE - SENSEX Index Options'!$M:$M,'BSE - SENSEX Index Options'!$C:$C,$A13,'BSE - SENSEX Index Options'!$B:$B,B$4)+SUMIFS('BSE - Other Index Options'!$M:$M,'BSE - Other Index Options'!$C:$C,$A13,'BSE - Other Index Options'!$B:$B,B$4)=0,"",SUMIFS('NSE - NIFTY Index Options'!$M:$M,'NSE - NIFTY Index Options'!$C:$C,$A13,'NSE - NIFTY Index Options'!$B:$B,B$4)+SUMIFS('NSE - Other Index Options'!$M:$M,'NSE - Other Index Options'!$C:$C,$A13,'NSE - Other Index Options'!$B:$B,B$4)+SUMIFS('BSE - SENSEX Index Options'!$M:$M,'BSE - SENSEX Index Options'!$C:$C,$A13,'BSE - SENSEX Index Options'!$B:$B,B$4)+SUMIFS('BSE - Other Index Options'!$M:$M,'BSE - Other Index Options'!$C:$C,$A13,'BSE - Other Index Options'!$B:$B,B$4))</f>
        <v/>
      </c>
      <c r="C13" s="26">
        <f>IF(SUMIFS('NSE - NIFTY Index Options'!$M:$M,'NSE - NIFTY Index Options'!$C:$C,$A13,'NSE - NIFTY Index Options'!$B:$B,C$4)+SUMIFS('NSE - Other Index Options'!$M:$M,'NSE - Other Index Options'!$C:$C,$A13,'NSE - Other Index Options'!$B:$B,C$4)+SUMIFS('BSE - SENSEX Index Options'!$M:$M,'BSE - SENSEX Index Options'!$C:$C,$A13,'BSE - SENSEX Index Options'!$B:$B,C$4)+SUMIFS('BSE - Other Index Options'!$M:$M,'BSE - Other Index Options'!$C:$C,$A13,'BSE - Other Index Options'!$B:$B,C$4)=0,"",SUMIFS('NSE - NIFTY Index Options'!$M:$M,'NSE - NIFTY Index Options'!$C:$C,$A13,'NSE - NIFTY Index Options'!$B:$B,C$4)+SUMIFS('NSE - Other Index Options'!$M:$M,'NSE - Other Index Options'!$C:$C,$A13,'NSE - Other Index Options'!$B:$B,C$4)+SUMIFS('BSE - SENSEX Index Options'!$M:$M,'BSE - SENSEX Index Options'!$C:$C,$A13,'BSE - SENSEX Index Options'!$B:$B,C$4)+SUMIFS('BSE - Other Index Options'!$M:$M,'BSE - Other Index Options'!$C:$C,$A13,'BSE - Other Index Options'!$B:$B,C$4))</f>
        <v/>
      </c>
      <c r="D13" s="26">
        <f>IF(SUMIFS('NSE - NIFTY Index Options'!$M:$M,'NSE - NIFTY Index Options'!$C:$C,$A13,'NSE - NIFTY Index Options'!$B:$B,D$4)+SUMIFS('NSE - Other Index Options'!$M:$M,'NSE - Other Index Options'!$C:$C,$A13,'NSE - Other Index Options'!$B:$B,D$4)+SUMIFS('BSE - SENSEX Index Options'!$M:$M,'BSE - SENSEX Index Options'!$C:$C,$A13,'BSE - SENSEX Index Options'!$B:$B,D$4)+SUMIFS('BSE - Other Index Options'!$M:$M,'BSE - Other Index Options'!$C:$C,$A13,'BSE - Other Index Options'!$B:$B,D$4)=0,"",SUMIFS('NSE - NIFTY Index Options'!$M:$M,'NSE - NIFTY Index Options'!$C:$C,$A13,'NSE - NIFTY Index Options'!$B:$B,D$4)+SUMIFS('NSE - Other Index Options'!$M:$M,'NSE - Other Index Options'!$C:$C,$A13,'NSE - Other Index Options'!$B:$B,D$4)+SUMIFS('BSE - SENSEX Index Options'!$M:$M,'BSE - SENSEX Index Options'!$C:$C,$A13,'BSE - SENSEX Index Options'!$B:$B,D$4)+SUMIFS('BSE - Other Index Options'!$M:$M,'BSE - Other Index Options'!$C:$C,$A13,'BSE - Other Index Options'!$B:$B,D$4))</f>
        <v/>
      </c>
      <c r="E13" s="26">
        <f>IF(SUMIFS('NSE - NIFTY Index Options'!$M:$M,'NSE - NIFTY Index Options'!$C:$C,$A13,'NSE - NIFTY Index Options'!$B:$B,E$4)+SUMIFS('NSE - Other Index Options'!$M:$M,'NSE - Other Index Options'!$C:$C,$A13,'NSE - Other Index Options'!$B:$B,E$4)+SUMIFS('BSE - SENSEX Index Options'!$M:$M,'BSE - SENSEX Index Options'!$C:$C,$A13,'BSE - SENSEX Index Options'!$B:$B,E$4)+SUMIFS('BSE - Other Index Options'!$M:$M,'BSE - Other Index Options'!$C:$C,$A13,'BSE - Other Index Options'!$B:$B,E$4)=0,"",SUMIFS('NSE - NIFTY Index Options'!$M:$M,'NSE - NIFTY Index Options'!$C:$C,$A13,'NSE - NIFTY Index Options'!$B:$B,E$4)+SUMIFS('NSE - Other Index Options'!$M:$M,'NSE - Other Index Options'!$C:$C,$A13,'NSE - Other Index Options'!$B:$B,E$4)+SUMIFS('BSE - SENSEX Index Options'!$M:$M,'BSE - SENSEX Index Options'!$C:$C,$A13,'BSE - SENSEX Index Options'!$B:$B,E$4)+SUMIFS('BSE - Other Index Options'!$M:$M,'BSE - Other Index Options'!$C:$C,$A13,'BSE - Other Index Options'!$B:$B,E$4))</f>
        <v/>
      </c>
      <c r="F13" s="26">
        <f>IF(SUMIFS('NSE - NIFTY Index Options'!$M:$M,'NSE - NIFTY Index Options'!$C:$C,$A13,'NSE - NIFTY Index Options'!$B:$B,F$4)+SUMIFS('NSE - Other Index Options'!$M:$M,'NSE - Other Index Options'!$C:$C,$A13,'NSE - Other Index Options'!$B:$B,F$4)+SUMIFS('BSE - SENSEX Index Options'!$M:$M,'BSE - SENSEX Index Options'!$C:$C,$A13,'BSE - SENSEX Index Options'!$B:$B,F$4)+SUMIFS('BSE - Other Index Options'!$M:$M,'BSE - Other Index Options'!$C:$C,$A13,'BSE - Other Index Options'!$B:$B,F$4)=0,"",SUMIFS('NSE - NIFTY Index Options'!$M:$M,'NSE - NIFTY Index Options'!$C:$C,$A13,'NSE - NIFTY Index Options'!$B:$B,F$4)+SUMIFS('NSE - Other Index Options'!$M:$M,'NSE - Other Index Options'!$C:$C,$A13,'NSE - Other Index Options'!$B:$B,F$4)+SUMIFS('BSE - SENSEX Index Options'!$M:$M,'BSE - SENSEX Index Options'!$C:$C,$A13,'BSE - SENSEX Index Options'!$B:$B,F$4)+SUMIFS('BSE - Other Index Options'!$M:$M,'BSE - Other Index Options'!$C:$C,$A13,'BSE - Other Index Options'!$B:$B,F$4))</f>
        <v/>
      </c>
      <c r="G13" s="26">
        <f>IF(SUMIFS('NSE - NIFTY Index Options'!$M:$M,'NSE - NIFTY Index Options'!$C:$C,$A13,'NSE - NIFTY Index Options'!$B:$B,G$4)+SUMIFS('NSE - Other Index Options'!$M:$M,'NSE - Other Index Options'!$C:$C,$A13,'NSE - Other Index Options'!$B:$B,G$4)+SUMIFS('BSE - SENSEX Index Options'!$M:$M,'BSE - SENSEX Index Options'!$C:$C,$A13,'BSE - SENSEX Index Options'!$B:$B,G$4)+SUMIFS('BSE - Other Index Options'!$M:$M,'BSE - Other Index Options'!$C:$C,$A13,'BSE - Other Index Options'!$B:$B,G$4)=0,"",SUMIFS('NSE - NIFTY Index Options'!$M:$M,'NSE - NIFTY Index Options'!$C:$C,$A13,'NSE - NIFTY Index Options'!$B:$B,G$4)+SUMIFS('NSE - Other Index Options'!$M:$M,'NSE - Other Index Options'!$C:$C,$A13,'NSE - Other Index Options'!$B:$B,G$4)+SUMIFS('BSE - SENSEX Index Options'!$M:$M,'BSE - SENSEX Index Options'!$C:$C,$A13,'BSE - SENSEX Index Options'!$B:$B,G$4)+SUMIFS('BSE - Other Index Options'!$M:$M,'BSE - Other Index Options'!$C:$C,$A13,'BSE - Other Index Options'!$B:$B,G$4))</f>
        <v/>
      </c>
      <c r="H13" s="26">
        <f>IF(SUM(B13:G13)=0,"",SUM(B13:G13))</f>
        <v/>
      </c>
      <c r="K13" t="inlineStr">
        <is>
          <t>Expiry Type 2 - Monthly</t>
        </is>
      </c>
      <c r="L13" s="57" t="inlineStr">
        <is>
          <t>Yes</t>
        </is>
      </c>
    </row>
    <row r="14">
      <c r="A14" t="inlineStr">
        <is>
          <t>Week5-Oct-2025</t>
        </is>
      </c>
      <c r="B14" s="26">
        <f>IF(SUMIFS('NSE - NIFTY Index Options'!$M:$M,'NSE - NIFTY Index Options'!$C:$C,$A14,'NSE - NIFTY Index Options'!$B:$B,B$4)+SUMIFS('NSE - Other Index Options'!$M:$M,'NSE - Other Index Options'!$C:$C,$A14,'NSE - Other Index Options'!$B:$B,B$4)+SUMIFS('BSE - SENSEX Index Options'!$M:$M,'BSE - SENSEX Index Options'!$C:$C,$A14,'BSE - SENSEX Index Options'!$B:$B,B$4)+SUMIFS('BSE - Other Index Options'!$M:$M,'BSE - Other Index Options'!$C:$C,$A14,'BSE - Other Index Options'!$B:$B,B$4)=0,"",SUMIFS('NSE - NIFTY Index Options'!$M:$M,'NSE - NIFTY Index Options'!$C:$C,$A14,'NSE - NIFTY Index Options'!$B:$B,B$4)+SUMIFS('NSE - Other Index Options'!$M:$M,'NSE - Other Index Options'!$C:$C,$A14,'NSE - Other Index Options'!$B:$B,B$4)+SUMIFS('BSE - SENSEX Index Options'!$M:$M,'BSE - SENSEX Index Options'!$C:$C,$A14,'BSE - SENSEX Index Options'!$B:$B,B$4)+SUMIFS('BSE - Other Index Options'!$M:$M,'BSE - Other Index Options'!$C:$C,$A14,'BSE - Other Index Options'!$B:$B,B$4))</f>
        <v/>
      </c>
      <c r="C14" s="26">
        <f>IF(SUMIFS('NSE - NIFTY Index Options'!$M:$M,'NSE - NIFTY Index Options'!$C:$C,$A14,'NSE - NIFTY Index Options'!$B:$B,C$4)+SUMIFS('NSE - Other Index Options'!$M:$M,'NSE - Other Index Options'!$C:$C,$A14,'NSE - Other Index Options'!$B:$B,C$4)+SUMIFS('BSE - SENSEX Index Options'!$M:$M,'BSE - SENSEX Index Options'!$C:$C,$A14,'BSE - SENSEX Index Options'!$B:$B,C$4)+SUMIFS('BSE - Other Index Options'!$M:$M,'BSE - Other Index Options'!$C:$C,$A14,'BSE - Other Index Options'!$B:$B,C$4)=0,"",SUMIFS('NSE - NIFTY Index Options'!$M:$M,'NSE - NIFTY Index Options'!$C:$C,$A14,'NSE - NIFTY Index Options'!$B:$B,C$4)+SUMIFS('NSE - Other Index Options'!$M:$M,'NSE - Other Index Options'!$C:$C,$A14,'NSE - Other Index Options'!$B:$B,C$4)+SUMIFS('BSE - SENSEX Index Options'!$M:$M,'BSE - SENSEX Index Options'!$C:$C,$A14,'BSE - SENSEX Index Options'!$B:$B,C$4)+SUMIFS('BSE - Other Index Options'!$M:$M,'BSE - Other Index Options'!$C:$C,$A14,'BSE - Other Index Options'!$B:$B,C$4))</f>
        <v/>
      </c>
      <c r="D14" s="26">
        <f>IF(SUMIFS('NSE - NIFTY Index Options'!$M:$M,'NSE - NIFTY Index Options'!$C:$C,$A14,'NSE - NIFTY Index Options'!$B:$B,D$4)+SUMIFS('NSE - Other Index Options'!$M:$M,'NSE - Other Index Options'!$C:$C,$A14,'NSE - Other Index Options'!$B:$B,D$4)+SUMIFS('BSE - SENSEX Index Options'!$M:$M,'BSE - SENSEX Index Options'!$C:$C,$A14,'BSE - SENSEX Index Options'!$B:$B,D$4)+SUMIFS('BSE - Other Index Options'!$M:$M,'BSE - Other Index Options'!$C:$C,$A14,'BSE - Other Index Options'!$B:$B,D$4)=0,"",SUMIFS('NSE - NIFTY Index Options'!$M:$M,'NSE - NIFTY Index Options'!$C:$C,$A14,'NSE - NIFTY Index Options'!$B:$B,D$4)+SUMIFS('NSE - Other Index Options'!$M:$M,'NSE - Other Index Options'!$C:$C,$A14,'NSE - Other Index Options'!$B:$B,D$4)+SUMIFS('BSE - SENSEX Index Options'!$M:$M,'BSE - SENSEX Index Options'!$C:$C,$A14,'BSE - SENSEX Index Options'!$B:$B,D$4)+SUMIFS('BSE - Other Index Options'!$M:$M,'BSE - Other Index Options'!$C:$C,$A14,'BSE - Other Index Options'!$B:$B,D$4))</f>
        <v/>
      </c>
      <c r="E14" s="26">
        <f>IF(SUMIFS('NSE - NIFTY Index Options'!$M:$M,'NSE - NIFTY Index Options'!$C:$C,$A14,'NSE - NIFTY Index Options'!$B:$B,E$4)+SUMIFS('NSE - Other Index Options'!$M:$M,'NSE - Other Index Options'!$C:$C,$A14,'NSE - Other Index Options'!$B:$B,E$4)+SUMIFS('BSE - SENSEX Index Options'!$M:$M,'BSE - SENSEX Index Options'!$C:$C,$A14,'BSE - SENSEX Index Options'!$B:$B,E$4)+SUMIFS('BSE - Other Index Options'!$M:$M,'BSE - Other Index Options'!$C:$C,$A14,'BSE - Other Index Options'!$B:$B,E$4)=0,"",SUMIFS('NSE - NIFTY Index Options'!$M:$M,'NSE - NIFTY Index Options'!$C:$C,$A14,'NSE - NIFTY Index Options'!$B:$B,E$4)+SUMIFS('NSE - Other Index Options'!$M:$M,'NSE - Other Index Options'!$C:$C,$A14,'NSE - Other Index Options'!$B:$B,E$4)+SUMIFS('BSE - SENSEX Index Options'!$M:$M,'BSE - SENSEX Index Options'!$C:$C,$A14,'BSE - SENSEX Index Options'!$B:$B,E$4)+SUMIFS('BSE - Other Index Options'!$M:$M,'BSE - Other Index Options'!$C:$C,$A14,'BSE - Other Index Options'!$B:$B,E$4))</f>
        <v/>
      </c>
      <c r="F14" s="26">
        <f>IF(SUMIFS('NSE - NIFTY Index Options'!$M:$M,'NSE - NIFTY Index Options'!$C:$C,$A14,'NSE - NIFTY Index Options'!$B:$B,F$4)+SUMIFS('NSE - Other Index Options'!$M:$M,'NSE - Other Index Options'!$C:$C,$A14,'NSE - Other Index Options'!$B:$B,F$4)+SUMIFS('BSE - SENSEX Index Options'!$M:$M,'BSE - SENSEX Index Options'!$C:$C,$A14,'BSE - SENSEX Index Options'!$B:$B,F$4)+SUMIFS('BSE - Other Index Options'!$M:$M,'BSE - Other Index Options'!$C:$C,$A14,'BSE - Other Index Options'!$B:$B,F$4)=0,"",SUMIFS('NSE - NIFTY Index Options'!$M:$M,'NSE - NIFTY Index Options'!$C:$C,$A14,'NSE - NIFTY Index Options'!$B:$B,F$4)+SUMIFS('NSE - Other Index Options'!$M:$M,'NSE - Other Index Options'!$C:$C,$A14,'NSE - Other Index Options'!$B:$B,F$4)+SUMIFS('BSE - SENSEX Index Options'!$M:$M,'BSE - SENSEX Index Options'!$C:$C,$A14,'BSE - SENSEX Index Options'!$B:$B,F$4)+SUMIFS('BSE - Other Index Options'!$M:$M,'BSE - Other Index Options'!$C:$C,$A14,'BSE - Other Index Options'!$B:$B,F$4))</f>
        <v/>
      </c>
      <c r="G14" s="26">
        <f>IF(SUMIFS('NSE - NIFTY Index Options'!$M:$M,'NSE - NIFTY Index Options'!$C:$C,$A14,'NSE - NIFTY Index Options'!$B:$B,G$4)+SUMIFS('NSE - Other Index Options'!$M:$M,'NSE - Other Index Options'!$C:$C,$A14,'NSE - Other Index Options'!$B:$B,G$4)+SUMIFS('BSE - SENSEX Index Options'!$M:$M,'BSE - SENSEX Index Options'!$C:$C,$A14,'BSE - SENSEX Index Options'!$B:$B,G$4)+SUMIFS('BSE - Other Index Options'!$M:$M,'BSE - Other Index Options'!$C:$C,$A14,'BSE - Other Index Options'!$B:$B,G$4)=0,"",SUMIFS('NSE - NIFTY Index Options'!$M:$M,'NSE - NIFTY Index Options'!$C:$C,$A14,'NSE - NIFTY Index Options'!$B:$B,G$4)+SUMIFS('NSE - Other Index Options'!$M:$M,'NSE - Other Index Options'!$C:$C,$A14,'NSE - Other Index Options'!$B:$B,G$4)+SUMIFS('BSE - SENSEX Index Options'!$M:$M,'BSE - SENSEX Index Options'!$C:$C,$A14,'BSE - SENSEX Index Options'!$B:$B,G$4)+SUMIFS('BSE - Other Index Options'!$M:$M,'BSE - Other Index Options'!$C:$C,$A14,'BSE - Other Index Options'!$B:$B,G$4))</f>
        <v/>
      </c>
      <c r="H14" s="26">
        <f>IF(SUM(B14:G14)=0,"",SUM(B14:G14))</f>
        <v/>
      </c>
    </row>
    <row r="15">
      <c r="A15" t="inlineStr">
        <is>
          <t>Week1-Nov-2025</t>
        </is>
      </c>
      <c r="B15" s="26">
        <f>IF(SUMIFS('NSE - NIFTY Index Options'!$M:$M,'NSE - NIFTY Index Options'!$C:$C,$A15,'NSE - NIFTY Index Options'!$B:$B,B$4)+SUMIFS('NSE - Other Index Options'!$M:$M,'NSE - Other Index Options'!$C:$C,$A15,'NSE - Other Index Options'!$B:$B,B$4)+SUMIFS('BSE - SENSEX Index Options'!$M:$M,'BSE - SENSEX Index Options'!$C:$C,$A15,'BSE - SENSEX Index Options'!$B:$B,B$4)+SUMIFS('BSE - Other Index Options'!$M:$M,'BSE - Other Index Options'!$C:$C,$A15,'BSE - Other Index Options'!$B:$B,B$4)=0,"",SUMIFS('NSE - NIFTY Index Options'!$M:$M,'NSE - NIFTY Index Options'!$C:$C,$A15,'NSE - NIFTY Index Options'!$B:$B,B$4)+SUMIFS('NSE - Other Index Options'!$M:$M,'NSE - Other Index Options'!$C:$C,$A15,'NSE - Other Index Options'!$B:$B,B$4)+SUMIFS('BSE - SENSEX Index Options'!$M:$M,'BSE - SENSEX Index Options'!$C:$C,$A15,'BSE - SENSEX Index Options'!$B:$B,B$4)+SUMIFS('BSE - Other Index Options'!$M:$M,'BSE - Other Index Options'!$C:$C,$A15,'BSE - Other Index Options'!$B:$B,B$4))</f>
        <v/>
      </c>
      <c r="C15" s="26">
        <f>IF(SUMIFS('NSE - NIFTY Index Options'!$M:$M,'NSE - NIFTY Index Options'!$C:$C,$A15,'NSE - NIFTY Index Options'!$B:$B,C$4)+SUMIFS('NSE - Other Index Options'!$M:$M,'NSE - Other Index Options'!$C:$C,$A15,'NSE - Other Index Options'!$B:$B,C$4)+SUMIFS('BSE - SENSEX Index Options'!$M:$M,'BSE - SENSEX Index Options'!$C:$C,$A15,'BSE - SENSEX Index Options'!$B:$B,C$4)+SUMIFS('BSE - Other Index Options'!$M:$M,'BSE - Other Index Options'!$C:$C,$A15,'BSE - Other Index Options'!$B:$B,C$4)=0,"",SUMIFS('NSE - NIFTY Index Options'!$M:$M,'NSE - NIFTY Index Options'!$C:$C,$A15,'NSE - NIFTY Index Options'!$B:$B,C$4)+SUMIFS('NSE - Other Index Options'!$M:$M,'NSE - Other Index Options'!$C:$C,$A15,'NSE - Other Index Options'!$B:$B,C$4)+SUMIFS('BSE - SENSEX Index Options'!$M:$M,'BSE - SENSEX Index Options'!$C:$C,$A15,'BSE - SENSEX Index Options'!$B:$B,C$4)+SUMIFS('BSE - Other Index Options'!$M:$M,'BSE - Other Index Options'!$C:$C,$A15,'BSE - Other Index Options'!$B:$B,C$4))</f>
        <v/>
      </c>
      <c r="D15" s="26">
        <f>IF(SUMIFS('NSE - NIFTY Index Options'!$M:$M,'NSE - NIFTY Index Options'!$C:$C,$A15,'NSE - NIFTY Index Options'!$B:$B,D$4)+SUMIFS('NSE - Other Index Options'!$M:$M,'NSE - Other Index Options'!$C:$C,$A15,'NSE - Other Index Options'!$B:$B,D$4)+SUMIFS('BSE - SENSEX Index Options'!$M:$M,'BSE - SENSEX Index Options'!$C:$C,$A15,'BSE - SENSEX Index Options'!$B:$B,D$4)+SUMIFS('BSE - Other Index Options'!$M:$M,'BSE - Other Index Options'!$C:$C,$A15,'BSE - Other Index Options'!$B:$B,D$4)=0,"",SUMIFS('NSE - NIFTY Index Options'!$M:$M,'NSE - NIFTY Index Options'!$C:$C,$A15,'NSE - NIFTY Index Options'!$B:$B,D$4)+SUMIFS('NSE - Other Index Options'!$M:$M,'NSE - Other Index Options'!$C:$C,$A15,'NSE - Other Index Options'!$B:$B,D$4)+SUMIFS('BSE - SENSEX Index Options'!$M:$M,'BSE - SENSEX Index Options'!$C:$C,$A15,'BSE - SENSEX Index Options'!$B:$B,D$4)+SUMIFS('BSE - Other Index Options'!$M:$M,'BSE - Other Index Options'!$C:$C,$A15,'BSE - Other Index Options'!$B:$B,D$4))</f>
        <v/>
      </c>
      <c r="E15" s="26">
        <f>IF(SUMIFS('NSE - NIFTY Index Options'!$M:$M,'NSE - NIFTY Index Options'!$C:$C,$A15,'NSE - NIFTY Index Options'!$B:$B,E$4)+SUMIFS('NSE - Other Index Options'!$M:$M,'NSE - Other Index Options'!$C:$C,$A15,'NSE - Other Index Options'!$B:$B,E$4)+SUMIFS('BSE - SENSEX Index Options'!$M:$M,'BSE - SENSEX Index Options'!$C:$C,$A15,'BSE - SENSEX Index Options'!$B:$B,E$4)+SUMIFS('BSE - Other Index Options'!$M:$M,'BSE - Other Index Options'!$C:$C,$A15,'BSE - Other Index Options'!$B:$B,E$4)=0,"",SUMIFS('NSE - NIFTY Index Options'!$M:$M,'NSE - NIFTY Index Options'!$C:$C,$A15,'NSE - NIFTY Index Options'!$B:$B,E$4)+SUMIFS('NSE - Other Index Options'!$M:$M,'NSE - Other Index Options'!$C:$C,$A15,'NSE - Other Index Options'!$B:$B,E$4)+SUMIFS('BSE - SENSEX Index Options'!$M:$M,'BSE - SENSEX Index Options'!$C:$C,$A15,'BSE - SENSEX Index Options'!$B:$B,E$4)+SUMIFS('BSE - Other Index Options'!$M:$M,'BSE - Other Index Options'!$C:$C,$A15,'BSE - Other Index Options'!$B:$B,E$4))</f>
        <v/>
      </c>
      <c r="F15" s="26">
        <f>IF(SUMIFS('NSE - NIFTY Index Options'!$M:$M,'NSE - NIFTY Index Options'!$C:$C,$A15,'NSE - NIFTY Index Options'!$B:$B,F$4)+SUMIFS('NSE - Other Index Options'!$M:$M,'NSE - Other Index Options'!$C:$C,$A15,'NSE - Other Index Options'!$B:$B,F$4)+SUMIFS('BSE - SENSEX Index Options'!$M:$M,'BSE - SENSEX Index Options'!$C:$C,$A15,'BSE - SENSEX Index Options'!$B:$B,F$4)+SUMIFS('BSE - Other Index Options'!$M:$M,'BSE - Other Index Options'!$C:$C,$A15,'BSE - Other Index Options'!$B:$B,F$4)=0,"",SUMIFS('NSE - NIFTY Index Options'!$M:$M,'NSE - NIFTY Index Options'!$C:$C,$A15,'NSE - NIFTY Index Options'!$B:$B,F$4)+SUMIFS('NSE - Other Index Options'!$M:$M,'NSE - Other Index Options'!$C:$C,$A15,'NSE - Other Index Options'!$B:$B,F$4)+SUMIFS('BSE - SENSEX Index Options'!$M:$M,'BSE - SENSEX Index Options'!$C:$C,$A15,'BSE - SENSEX Index Options'!$B:$B,F$4)+SUMIFS('BSE - Other Index Options'!$M:$M,'BSE - Other Index Options'!$C:$C,$A15,'BSE - Other Index Options'!$B:$B,F$4))</f>
        <v/>
      </c>
      <c r="G15" s="26">
        <f>IF(SUMIFS('NSE - NIFTY Index Options'!$M:$M,'NSE - NIFTY Index Options'!$C:$C,$A15,'NSE - NIFTY Index Options'!$B:$B,G$4)+SUMIFS('NSE - Other Index Options'!$M:$M,'NSE - Other Index Options'!$C:$C,$A15,'NSE - Other Index Options'!$B:$B,G$4)+SUMIFS('BSE - SENSEX Index Options'!$M:$M,'BSE - SENSEX Index Options'!$C:$C,$A15,'BSE - SENSEX Index Options'!$B:$B,G$4)+SUMIFS('BSE - Other Index Options'!$M:$M,'BSE - Other Index Options'!$C:$C,$A15,'BSE - Other Index Options'!$B:$B,G$4)=0,"",SUMIFS('NSE - NIFTY Index Options'!$M:$M,'NSE - NIFTY Index Options'!$C:$C,$A15,'NSE - NIFTY Index Options'!$B:$B,G$4)+SUMIFS('NSE - Other Index Options'!$M:$M,'NSE - Other Index Options'!$C:$C,$A15,'NSE - Other Index Options'!$B:$B,G$4)+SUMIFS('BSE - SENSEX Index Options'!$M:$M,'BSE - SENSEX Index Options'!$C:$C,$A15,'BSE - SENSEX Index Options'!$B:$B,G$4)+SUMIFS('BSE - Other Index Options'!$M:$M,'BSE - Other Index Options'!$C:$C,$A15,'BSE - Other Index Options'!$B:$B,G$4))</f>
        <v/>
      </c>
      <c r="H15" s="26">
        <f>IF(SUM(B15:G15)=0,"",SUM(B15:G15))</f>
        <v/>
      </c>
    </row>
    <row r="16">
      <c r="A16" t="inlineStr">
        <is>
          <t>Week2-Nov-2025</t>
        </is>
      </c>
      <c r="B16" s="26">
        <f>IF(SUMIFS('NSE - NIFTY Index Options'!$M:$M,'NSE - NIFTY Index Options'!$C:$C,$A16,'NSE - NIFTY Index Options'!$B:$B,B$4)+SUMIFS('NSE - Other Index Options'!$M:$M,'NSE - Other Index Options'!$C:$C,$A16,'NSE - Other Index Options'!$B:$B,B$4)+SUMIFS('BSE - SENSEX Index Options'!$M:$M,'BSE - SENSEX Index Options'!$C:$C,$A16,'BSE - SENSEX Index Options'!$B:$B,B$4)+SUMIFS('BSE - Other Index Options'!$M:$M,'BSE - Other Index Options'!$C:$C,$A16,'BSE - Other Index Options'!$B:$B,B$4)=0,"",SUMIFS('NSE - NIFTY Index Options'!$M:$M,'NSE - NIFTY Index Options'!$C:$C,$A16,'NSE - NIFTY Index Options'!$B:$B,B$4)+SUMIFS('NSE - Other Index Options'!$M:$M,'NSE - Other Index Options'!$C:$C,$A16,'NSE - Other Index Options'!$B:$B,B$4)+SUMIFS('BSE - SENSEX Index Options'!$M:$M,'BSE - SENSEX Index Options'!$C:$C,$A16,'BSE - SENSEX Index Options'!$B:$B,B$4)+SUMIFS('BSE - Other Index Options'!$M:$M,'BSE - Other Index Options'!$C:$C,$A16,'BSE - Other Index Options'!$B:$B,B$4))</f>
        <v/>
      </c>
      <c r="C16" s="26">
        <f>IF(SUMIFS('NSE - NIFTY Index Options'!$M:$M,'NSE - NIFTY Index Options'!$C:$C,$A16,'NSE - NIFTY Index Options'!$B:$B,C$4)+SUMIFS('NSE - Other Index Options'!$M:$M,'NSE - Other Index Options'!$C:$C,$A16,'NSE - Other Index Options'!$B:$B,C$4)+SUMIFS('BSE - SENSEX Index Options'!$M:$M,'BSE - SENSEX Index Options'!$C:$C,$A16,'BSE - SENSEX Index Options'!$B:$B,C$4)+SUMIFS('BSE - Other Index Options'!$M:$M,'BSE - Other Index Options'!$C:$C,$A16,'BSE - Other Index Options'!$B:$B,C$4)=0,"",SUMIFS('NSE - NIFTY Index Options'!$M:$M,'NSE - NIFTY Index Options'!$C:$C,$A16,'NSE - NIFTY Index Options'!$B:$B,C$4)+SUMIFS('NSE - Other Index Options'!$M:$M,'NSE - Other Index Options'!$C:$C,$A16,'NSE - Other Index Options'!$B:$B,C$4)+SUMIFS('BSE - SENSEX Index Options'!$M:$M,'BSE - SENSEX Index Options'!$C:$C,$A16,'BSE - SENSEX Index Options'!$B:$B,C$4)+SUMIFS('BSE - Other Index Options'!$M:$M,'BSE - Other Index Options'!$C:$C,$A16,'BSE - Other Index Options'!$B:$B,C$4))</f>
        <v/>
      </c>
      <c r="D16" s="26">
        <f>IF(SUMIFS('NSE - NIFTY Index Options'!$M:$M,'NSE - NIFTY Index Options'!$C:$C,$A16,'NSE - NIFTY Index Options'!$B:$B,D$4)+SUMIFS('NSE - Other Index Options'!$M:$M,'NSE - Other Index Options'!$C:$C,$A16,'NSE - Other Index Options'!$B:$B,D$4)+SUMIFS('BSE - SENSEX Index Options'!$M:$M,'BSE - SENSEX Index Options'!$C:$C,$A16,'BSE - SENSEX Index Options'!$B:$B,D$4)+SUMIFS('BSE - Other Index Options'!$M:$M,'BSE - Other Index Options'!$C:$C,$A16,'BSE - Other Index Options'!$B:$B,D$4)=0,"",SUMIFS('NSE - NIFTY Index Options'!$M:$M,'NSE - NIFTY Index Options'!$C:$C,$A16,'NSE - NIFTY Index Options'!$B:$B,D$4)+SUMIFS('NSE - Other Index Options'!$M:$M,'NSE - Other Index Options'!$C:$C,$A16,'NSE - Other Index Options'!$B:$B,D$4)+SUMIFS('BSE - SENSEX Index Options'!$M:$M,'BSE - SENSEX Index Options'!$C:$C,$A16,'BSE - SENSEX Index Options'!$B:$B,D$4)+SUMIFS('BSE - Other Index Options'!$M:$M,'BSE - Other Index Options'!$C:$C,$A16,'BSE - Other Index Options'!$B:$B,D$4))</f>
        <v/>
      </c>
      <c r="E16" s="26">
        <f>IF(SUMIFS('NSE - NIFTY Index Options'!$M:$M,'NSE - NIFTY Index Options'!$C:$C,$A16,'NSE - NIFTY Index Options'!$B:$B,E$4)+SUMIFS('NSE - Other Index Options'!$M:$M,'NSE - Other Index Options'!$C:$C,$A16,'NSE - Other Index Options'!$B:$B,E$4)+SUMIFS('BSE - SENSEX Index Options'!$M:$M,'BSE - SENSEX Index Options'!$C:$C,$A16,'BSE - SENSEX Index Options'!$B:$B,E$4)+SUMIFS('BSE - Other Index Options'!$M:$M,'BSE - Other Index Options'!$C:$C,$A16,'BSE - Other Index Options'!$B:$B,E$4)=0,"",SUMIFS('NSE - NIFTY Index Options'!$M:$M,'NSE - NIFTY Index Options'!$C:$C,$A16,'NSE - NIFTY Index Options'!$B:$B,E$4)+SUMIFS('NSE - Other Index Options'!$M:$M,'NSE - Other Index Options'!$C:$C,$A16,'NSE - Other Index Options'!$B:$B,E$4)+SUMIFS('BSE - SENSEX Index Options'!$M:$M,'BSE - SENSEX Index Options'!$C:$C,$A16,'BSE - SENSEX Index Options'!$B:$B,E$4)+SUMIFS('BSE - Other Index Options'!$M:$M,'BSE - Other Index Options'!$C:$C,$A16,'BSE - Other Index Options'!$B:$B,E$4))</f>
        <v/>
      </c>
      <c r="F16" s="26">
        <f>IF(SUMIFS('NSE - NIFTY Index Options'!$M:$M,'NSE - NIFTY Index Options'!$C:$C,$A16,'NSE - NIFTY Index Options'!$B:$B,F$4)+SUMIFS('NSE - Other Index Options'!$M:$M,'NSE - Other Index Options'!$C:$C,$A16,'NSE - Other Index Options'!$B:$B,F$4)+SUMIFS('BSE - SENSEX Index Options'!$M:$M,'BSE - SENSEX Index Options'!$C:$C,$A16,'BSE - SENSEX Index Options'!$B:$B,F$4)+SUMIFS('BSE - Other Index Options'!$M:$M,'BSE - Other Index Options'!$C:$C,$A16,'BSE - Other Index Options'!$B:$B,F$4)=0,"",SUMIFS('NSE - NIFTY Index Options'!$M:$M,'NSE - NIFTY Index Options'!$C:$C,$A16,'NSE - NIFTY Index Options'!$B:$B,F$4)+SUMIFS('NSE - Other Index Options'!$M:$M,'NSE - Other Index Options'!$C:$C,$A16,'NSE - Other Index Options'!$B:$B,F$4)+SUMIFS('BSE - SENSEX Index Options'!$M:$M,'BSE - SENSEX Index Options'!$C:$C,$A16,'BSE - SENSEX Index Options'!$B:$B,F$4)+SUMIFS('BSE - Other Index Options'!$M:$M,'BSE - Other Index Options'!$C:$C,$A16,'BSE - Other Index Options'!$B:$B,F$4))</f>
        <v/>
      </c>
      <c r="G16" s="26">
        <f>IF(SUMIFS('NSE - NIFTY Index Options'!$M:$M,'NSE - NIFTY Index Options'!$C:$C,$A16,'NSE - NIFTY Index Options'!$B:$B,G$4)+SUMIFS('NSE - Other Index Options'!$M:$M,'NSE - Other Index Options'!$C:$C,$A16,'NSE - Other Index Options'!$B:$B,G$4)+SUMIFS('BSE - SENSEX Index Options'!$M:$M,'BSE - SENSEX Index Options'!$C:$C,$A16,'BSE - SENSEX Index Options'!$B:$B,G$4)+SUMIFS('BSE - Other Index Options'!$M:$M,'BSE - Other Index Options'!$C:$C,$A16,'BSE - Other Index Options'!$B:$B,G$4)=0,"",SUMIFS('NSE - NIFTY Index Options'!$M:$M,'NSE - NIFTY Index Options'!$C:$C,$A16,'NSE - NIFTY Index Options'!$B:$B,G$4)+SUMIFS('NSE - Other Index Options'!$M:$M,'NSE - Other Index Options'!$C:$C,$A16,'NSE - Other Index Options'!$B:$B,G$4)+SUMIFS('BSE - SENSEX Index Options'!$M:$M,'BSE - SENSEX Index Options'!$C:$C,$A16,'BSE - SENSEX Index Options'!$B:$B,G$4)+SUMIFS('BSE - Other Index Options'!$M:$M,'BSE - Other Index Options'!$C:$C,$A16,'BSE - Other Index Options'!$B:$B,G$4))</f>
        <v/>
      </c>
      <c r="H16" s="26">
        <f>IF(SUM(B16:G16)=0,"",SUM(B16:G16))</f>
        <v/>
      </c>
    </row>
    <row r="17">
      <c r="A17" t="inlineStr">
        <is>
          <t>Week3-Nov-2025</t>
        </is>
      </c>
      <c r="B17" s="26">
        <f>IF(SUMIFS('NSE - NIFTY Index Options'!$M:$M,'NSE - NIFTY Index Options'!$C:$C,$A17,'NSE - NIFTY Index Options'!$B:$B,B$4)+SUMIFS('NSE - Other Index Options'!$M:$M,'NSE - Other Index Options'!$C:$C,$A17,'NSE - Other Index Options'!$B:$B,B$4)+SUMIFS('BSE - SENSEX Index Options'!$M:$M,'BSE - SENSEX Index Options'!$C:$C,$A17,'BSE - SENSEX Index Options'!$B:$B,B$4)+SUMIFS('BSE - Other Index Options'!$M:$M,'BSE - Other Index Options'!$C:$C,$A17,'BSE - Other Index Options'!$B:$B,B$4)=0,"",SUMIFS('NSE - NIFTY Index Options'!$M:$M,'NSE - NIFTY Index Options'!$C:$C,$A17,'NSE - NIFTY Index Options'!$B:$B,B$4)+SUMIFS('NSE - Other Index Options'!$M:$M,'NSE - Other Index Options'!$C:$C,$A17,'NSE - Other Index Options'!$B:$B,B$4)+SUMIFS('BSE - SENSEX Index Options'!$M:$M,'BSE - SENSEX Index Options'!$C:$C,$A17,'BSE - SENSEX Index Options'!$B:$B,B$4)+SUMIFS('BSE - Other Index Options'!$M:$M,'BSE - Other Index Options'!$C:$C,$A17,'BSE - Other Index Options'!$B:$B,B$4))</f>
        <v/>
      </c>
      <c r="C17" s="26">
        <f>IF(SUMIFS('NSE - NIFTY Index Options'!$M:$M,'NSE - NIFTY Index Options'!$C:$C,$A17,'NSE - NIFTY Index Options'!$B:$B,C$4)+SUMIFS('NSE - Other Index Options'!$M:$M,'NSE - Other Index Options'!$C:$C,$A17,'NSE - Other Index Options'!$B:$B,C$4)+SUMIFS('BSE - SENSEX Index Options'!$M:$M,'BSE - SENSEX Index Options'!$C:$C,$A17,'BSE - SENSEX Index Options'!$B:$B,C$4)+SUMIFS('BSE - Other Index Options'!$M:$M,'BSE - Other Index Options'!$C:$C,$A17,'BSE - Other Index Options'!$B:$B,C$4)=0,"",SUMIFS('NSE - NIFTY Index Options'!$M:$M,'NSE - NIFTY Index Options'!$C:$C,$A17,'NSE - NIFTY Index Options'!$B:$B,C$4)+SUMIFS('NSE - Other Index Options'!$M:$M,'NSE - Other Index Options'!$C:$C,$A17,'NSE - Other Index Options'!$B:$B,C$4)+SUMIFS('BSE - SENSEX Index Options'!$M:$M,'BSE - SENSEX Index Options'!$C:$C,$A17,'BSE - SENSEX Index Options'!$B:$B,C$4)+SUMIFS('BSE - Other Index Options'!$M:$M,'BSE - Other Index Options'!$C:$C,$A17,'BSE - Other Index Options'!$B:$B,C$4))</f>
        <v/>
      </c>
      <c r="D17" s="26">
        <f>IF(SUMIFS('NSE - NIFTY Index Options'!$M:$M,'NSE - NIFTY Index Options'!$C:$C,$A17,'NSE - NIFTY Index Options'!$B:$B,D$4)+SUMIFS('NSE - Other Index Options'!$M:$M,'NSE - Other Index Options'!$C:$C,$A17,'NSE - Other Index Options'!$B:$B,D$4)+SUMIFS('BSE - SENSEX Index Options'!$M:$M,'BSE - SENSEX Index Options'!$C:$C,$A17,'BSE - SENSEX Index Options'!$B:$B,D$4)+SUMIFS('BSE - Other Index Options'!$M:$M,'BSE - Other Index Options'!$C:$C,$A17,'BSE - Other Index Options'!$B:$B,D$4)=0,"",SUMIFS('NSE - NIFTY Index Options'!$M:$M,'NSE - NIFTY Index Options'!$C:$C,$A17,'NSE - NIFTY Index Options'!$B:$B,D$4)+SUMIFS('NSE - Other Index Options'!$M:$M,'NSE - Other Index Options'!$C:$C,$A17,'NSE - Other Index Options'!$B:$B,D$4)+SUMIFS('BSE - SENSEX Index Options'!$M:$M,'BSE - SENSEX Index Options'!$C:$C,$A17,'BSE - SENSEX Index Options'!$B:$B,D$4)+SUMIFS('BSE - Other Index Options'!$M:$M,'BSE - Other Index Options'!$C:$C,$A17,'BSE - Other Index Options'!$B:$B,D$4))</f>
        <v/>
      </c>
      <c r="E17" s="26">
        <f>IF(SUMIFS('NSE - NIFTY Index Options'!$M:$M,'NSE - NIFTY Index Options'!$C:$C,$A17,'NSE - NIFTY Index Options'!$B:$B,E$4)+SUMIFS('NSE - Other Index Options'!$M:$M,'NSE - Other Index Options'!$C:$C,$A17,'NSE - Other Index Options'!$B:$B,E$4)+SUMIFS('BSE - SENSEX Index Options'!$M:$M,'BSE - SENSEX Index Options'!$C:$C,$A17,'BSE - SENSEX Index Options'!$B:$B,E$4)+SUMIFS('BSE - Other Index Options'!$M:$M,'BSE - Other Index Options'!$C:$C,$A17,'BSE - Other Index Options'!$B:$B,E$4)=0,"",SUMIFS('NSE - NIFTY Index Options'!$M:$M,'NSE - NIFTY Index Options'!$C:$C,$A17,'NSE - NIFTY Index Options'!$B:$B,E$4)+SUMIFS('NSE - Other Index Options'!$M:$M,'NSE - Other Index Options'!$C:$C,$A17,'NSE - Other Index Options'!$B:$B,E$4)+SUMIFS('BSE - SENSEX Index Options'!$M:$M,'BSE - SENSEX Index Options'!$C:$C,$A17,'BSE - SENSEX Index Options'!$B:$B,E$4)+SUMIFS('BSE - Other Index Options'!$M:$M,'BSE - Other Index Options'!$C:$C,$A17,'BSE - Other Index Options'!$B:$B,E$4))</f>
        <v/>
      </c>
      <c r="F17" s="26">
        <f>IF(SUMIFS('NSE - NIFTY Index Options'!$M:$M,'NSE - NIFTY Index Options'!$C:$C,$A17,'NSE - NIFTY Index Options'!$B:$B,F$4)+SUMIFS('NSE - Other Index Options'!$M:$M,'NSE - Other Index Options'!$C:$C,$A17,'NSE - Other Index Options'!$B:$B,F$4)+SUMIFS('BSE - SENSEX Index Options'!$M:$M,'BSE - SENSEX Index Options'!$C:$C,$A17,'BSE - SENSEX Index Options'!$B:$B,F$4)+SUMIFS('BSE - Other Index Options'!$M:$M,'BSE - Other Index Options'!$C:$C,$A17,'BSE - Other Index Options'!$B:$B,F$4)=0,"",SUMIFS('NSE - NIFTY Index Options'!$M:$M,'NSE - NIFTY Index Options'!$C:$C,$A17,'NSE - NIFTY Index Options'!$B:$B,F$4)+SUMIFS('NSE - Other Index Options'!$M:$M,'NSE - Other Index Options'!$C:$C,$A17,'NSE - Other Index Options'!$B:$B,F$4)+SUMIFS('BSE - SENSEX Index Options'!$M:$M,'BSE - SENSEX Index Options'!$C:$C,$A17,'BSE - SENSEX Index Options'!$B:$B,F$4)+SUMIFS('BSE - Other Index Options'!$M:$M,'BSE - Other Index Options'!$C:$C,$A17,'BSE - Other Index Options'!$B:$B,F$4))</f>
        <v/>
      </c>
      <c r="G17" s="26">
        <f>IF(SUMIFS('NSE - NIFTY Index Options'!$M:$M,'NSE - NIFTY Index Options'!$C:$C,$A17,'NSE - NIFTY Index Options'!$B:$B,G$4)+SUMIFS('NSE - Other Index Options'!$M:$M,'NSE - Other Index Options'!$C:$C,$A17,'NSE - Other Index Options'!$B:$B,G$4)+SUMIFS('BSE - SENSEX Index Options'!$M:$M,'BSE - SENSEX Index Options'!$C:$C,$A17,'BSE - SENSEX Index Options'!$B:$B,G$4)+SUMIFS('BSE - Other Index Options'!$M:$M,'BSE - Other Index Options'!$C:$C,$A17,'BSE - Other Index Options'!$B:$B,G$4)=0,"",SUMIFS('NSE - NIFTY Index Options'!$M:$M,'NSE - NIFTY Index Options'!$C:$C,$A17,'NSE - NIFTY Index Options'!$B:$B,G$4)+SUMIFS('NSE - Other Index Options'!$M:$M,'NSE - Other Index Options'!$C:$C,$A17,'NSE - Other Index Options'!$B:$B,G$4)+SUMIFS('BSE - SENSEX Index Options'!$M:$M,'BSE - SENSEX Index Options'!$C:$C,$A17,'BSE - SENSEX Index Options'!$B:$B,G$4)+SUMIFS('BSE - Other Index Options'!$M:$M,'BSE - Other Index Options'!$C:$C,$A17,'BSE - Other Index Options'!$B:$B,G$4))</f>
        <v/>
      </c>
      <c r="H17" s="26">
        <f>IF(SUM(B17:G17)=0,"",SUM(B17:G17))</f>
        <v/>
      </c>
    </row>
    <row r="18">
      <c r="A18" t="inlineStr">
        <is>
          <t>Week4-Nov-2025</t>
        </is>
      </c>
      <c r="B18" s="26">
        <f>IF(SUMIFS('NSE - NIFTY Index Options'!$M:$M,'NSE - NIFTY Index Options'!$C:$C,$A18,'NSE - NIFTY Index Options'!$B:$B,B$4)+SUMIFS('NSE - Other Index Options'!$M:$M,'NSE - Other Index Options'!$C:$C,$A18,'NSE - Other Index Options'!$B:$B,B$4)+SUMIFS('BSE - SENSEX Index Options'!$M:$M,'BSE - SENSEX Index Options'!$C:$C,$A18,'BSE - SENSEX Index Options'!$B:$B,B$4)+SUMIFS('BSE - Other Index Options'!$M:$M,'BSE - Other Index Options'!$C:$C,$A18,'BSE - Other Index Options'!$B:$B,B$4)=0,"",SUMIFS('NSE - NIFTY Index Options'!$M:$M,'NSE - NIFTY Index Options'!$C:$C,$A18,'NSE - NIFTY Index Options'!$B:$B,B$4)+SUMIFS('NSE - Other Index Options'!$M:$M,'NSE - Other Index Options'!$C:$C,$A18,'NSE - Other Index Options'!$B:$B,B$4)+SUMIFS('BSE - SENSEX Index Options'!$M:$M,'BSE - SENSEX Index Options'!$C:$C,$A18,'BSE - SENSEX Index Options'!$B:$B,B$4)+SUMIFS('BSE - Other Index Options'!$M:$M,'BSE - Other Index Options'!$C:$C,$A18,'BSE - Other Index Options'!$B:$B,B$4))</f>
        <v/>
      </c>
      <c r="C18" s="26">
        <f>IF(SUMIFS('NSE - NIFTY Index Options'!$M:$M,'NSE - NIFTY Index Options'!$C:$C,$A18,'NSE - NIFTY Index Options'!$B:$B,C$4)+SUMIFS('NSE - Other Index Options'!$M:$M,'NSE - Other Index Options'!$C:$C,$A18,'NSE - Other Index Options'!$B:$B,C$4)+SUMIFS('BSE - SENSEX Index Options'!$M:$M,'BSE - SENSEX Index Options'!$C:$C,$A18,'BSE - SENSEX Index Options'!$B:$B,C$4)+SUMIFS('BSE - Other Index Options'!$M:$M,'BSE - Other Index Options'!$C:$C,$A18,'BSE - Other Index Options'!$B:$B,C$4)=0,"",SUMIFS('NSE - NIFTY Index Options'!$M:$M,'NSE - NIFTY Index Options'!$C:$C,$A18,'NSE - NIFTY Index Options'!$B:$B,C$4)+SUMIFS('NSE - Other Index Options'!$M:$M,'NSE - Other Index Options'!$C:$C,$A18,'NSE - Other Index Options'!$B:$B,C$4)+SUMIFS('BSE - SENSEX Index Options'!$M:$M,'BSE - SENSEX Index Options'!$C:$C,$A18,'BSE - SENSEX Index Options'!$B:$B,C$4)+SUMIFS('BSE - Other Index Options'!$M:$M,'BSE - Other Index Options'!$C:$C,$A18,'BSE - Other Index Options'!$B:$B,C$4))</f>
        <v/>
      </c>
      <c r="D18" s="26">
        <f>IF(SUMIFS('NSE - NIFTY Index Options'!$M:$M,'NSE - NIFTY Index Options'!$C:$C,$A18,'NSE - NIFTY Index Options'!$B:$B,D$4)+SUMIFS('NSE - Other Index Options'!$M:$M,'NSE - Other Index Options'!$C:$C,$A18,'NSE - Other Index Options'!$B:$B,D$4)+SUMIFS('BSE - SENSEX Index Options'!$M:$M,'BSE - SENSEX Index Options'!$C:$C,$A18,'BSE - SENSEX Index Options'!$B:$B,D$4)+SUMIFS('BSE - Other Index Options'!$M:$M,'BSE - Other Index Options'!$C:$C,$A18,'BSE - Other Index Options'!$B:$B,D$4)=0,"",SUMIFS('NSE - NIFTY Index Options'!$M:$M,'NSE - NIFTY Index Options'!$C:$C,$A18,'NSE - NIFTY Index Options'!$B:$B,D$4)+SUMIFS('NSE - Other Index Options'!$M:$M,'NSE - Other Index Options'!$C:$C,$A18,'NSE - Other Index Options'!$B:$B,D$4)+SUMIFS('BSE - SENSEX Index Options'!$M:$M,'BSE - SENSEX Index Options'!$C:$C,$A18,'BSE - SENSEX Index Options'!$B:$B,D$4)+SUMIFS('BSE - Other Index Options'!$M:$M,'BSE - Other Index Options'!$C:$C,$A18,'BSE - Other Index Options'!$B:$B,D$4))</f>
        <v/>
      </c>
      <c r="E18" s="26">
        <f>IF(SUMIFS('NSE - NIFTY Index Options'!$M:$M,'NSE - NIFTY Index Options'!$C:$C,$A18,'NSE - NIFTY Index Options'!$B:$B,E$4)+SUMIFS('NSE - Other Index Options'!$M:$M,'NSE - Other Index Options'!$C:$C,$A18,'NSE - Other Index Options'!$B:$B,E$4)+SUMIFS('BSE - SENSEX Index Options'!$M:$M,'BSE - SENSEX Index Options'!$C:$C,$A18,'BSE - SENSEX Index Options'!$B:$B,E$4)+SUMIFS('BSE - Other Index Options'!$M:$M,'BSE - Other Index Options'!$C:$C,$A18,'BSE - Other Index Options'!$B:$B,E$4)=0,"",SUMIFS('NSE - NIFTY Index Options'!$M:$M,'NSE - NIFTY Index Options'!$C:$C,$A18,'NSE - NIFTY Index Options'!$B:$B,E$4)+SUMIFS('NSE - Other Index Options'!$M:$M,'NSE - Other Index Options'!$C:$C,$A18,'NSE - Other Index Options'!$B:$B,E$4)+SUMIFS('BSE - SENSEX Index Options'!$M:$M,'BSE - SENSEX Index Options'!$C:$C,$A18,'BSE - SENSEX Index Options'!$B:$B,E$4)+SUMIFS('BSE - Other Index Options'!$M:$M,'BSE - Other Index Options'!$C:$C,$A18,'BSE - Other Index Options'!$B:$B,E$4))</f>
        <v/>
      </c>
      <c r="F18" s="26">
        <f>IF(SUMIFS('NSE - NIFTY Index Options'!$M:$M,'NSE - NIFTY Index Options'!$C:$C,$A18,'NSE - NIFTY Index Options'!$B:$B,F$4)+SUMIFS('NSE - Other Index Options'!$M:$M,'NSE - Other Index Options'!$C:$C,$A18,'NSE - Other Index Options'!$B:$B,F$4)+SUMIFS('BSE - SENSEX Index Options'!$M:$M,'BSE - SENSEX Index Options'!$C:$C,$A18,'BSE - SENSEX Index Options'!$B:$B,F$4)+SUMIFS('BSE - Other Index Options'!$M:$M,'BSE - Other Index Options'!$C:$C,$A18,'BSE - Other Index Options'!$B:$B,F$4)=0,"",SUMIFS('NSE - NIFTY Index Options'!$M:$M,'NSE - NIFTY Index Options'!$C:$C,$A18,'NSE - NIFTY Index Options'!$B:$B,F$4)+SUMIFS('NSE - Other Index Options'!$M:$M,'NSE - Other Index Options'!$C:$C,$A18,'NSE - Other Index Options'!$B:$B,F$4)+SUMIFS('BSE - SENSEX Index Options'!$M:$M,'BSE - SENSEX Index Options'!$C:$C,$A18,'BSE - SENSEX Index Options'!$B:$B,F$4)+SUMIFS('BSE - Other Index Options'!$M:$M,'BSE - Other Index Options'!$C:$C,$A18,'BSE - Other Index Options'!$B:$B,F$4))</f>
        <v/>
      </c>
      <c r="G18" s="26">
        <f>IF(SUMIFS('NSE - NIFTY Index Options'!$M:$M,'NSE - NIFTY Index Options'!$C:$C,$A18,'NSE - NIFTY Index Options'!$B:$B,G$4)+SUMIFS('NSE - Other Index Options'!$M:$M,'NSE - Other Index Options'!$C:$C,$A18,'NSE - Other Index Options'!$B:$B,G$4)+SUMIFS('BSE - SENSEX Index Options'!$M:$M,'BSE - SENSEX Index Options'!$C:$C,$A18,'BSE - SENSEX Index Options'!$B:$B,G$4)+SUMIFS('BSE - Other Index Options'!$M:$M,'BSE - Other Index Options'!$C:$C,$A18,'BSE - Other Index Options'!$B:$B,G$4)=0,"",SUMIFS('NSE - NIFTY Index Options'!$M:$M,'NSE - NIFTY Index Options'!$C:$C,$A18,'NSE - NIFTY Index Options'!$B:$B,G$4)+SUMIFS('NSE - Other Index Options'!$M:$M,'NSE - Other Index Options'!$C:$C,$A18,'NSE - Other Index Options'!$B:$B,G$4)+SUMIFS('BSE - SENSEX Index Options'!$M:$M,'BSE - SENSEX Index Options'!$C:$C,$A18,'BSE - SENSEX Index Options'!$B:$B,G$4)+SUMIFS('BSE - Other Index Options'!$M:$M,'BSE - Other Index Options'!$C:$C,$A18,'BSE - Other Index Options'!$B:$B,G$4))</f>
        <v/>
      </c>
      <c r="H18" s="26">
        <f>IF(SUM(B18:G18)=0,"",SUM(B18:G18))</f>
        <v/>
      </c>
    </row>
    <row r="19">
      <c r="A19" t="inlineStr">
        <is>
          <t>Week5-Nov-2025</t>
        </is>
      </c>
      <c r="B19" s="26">
        <f>IF(SUMIFS('NSE - NIFTY Index Options'!$M:$M,'NSE - NIFTY Index Options'!$C:$C,$A19,'NSE - NIFTY Index Options'!$B:$B,B$4)+SUMIFS('NSE - Other Index Options'!$M:$M,'NSE - Other Index Options'!$C:$C,$A19,'NSE - Other Index Options'!$B:$B,B$4)+SUMIFS('BSE - SENSEX Index Options'!$M:$M,'BSE - SENSEX Index Options'!$C:$C,$A19,'BSE - SENSEX Index Options'!$B:$B,B$4)+SUMIFS('BSE - Other Index Options'!$M:$M,'BSE - Other Index Options'!$C:$C,$A19,'BSE - Other Index Options'!$B:$B,B$4)=0,"",SUMIFS('NSE - NIFTY Index Options'!$M:$M,'NSE - NIFTY Index Options'!$C:$C,$A19,'NSE - NIFTY Index Options'!$B:$B,B$4)+SUMIFS('NSE - Other Index Options'!$M:$M,'NSE - Other Index Options'!$C:$C,$A19,'NSE - Other Index Options'!$B:$B,B$4)+SUMIFS('BSE - SENSEX Index Options'!$M:$M,'BSE - SENSEX Index Options'!$C:$C,$A19,'BSE - SENSEX Index Options'!$B:$B,B$4)+SUMIFS('BSE - Other Index Options'!$M:$M,'BSE - Other Index Options'!$C:$C,$A19,'BSE - Other Index Options'!$B:$B,B$4))</f>
        <v/>
      </c>
      <c r="C19" s="26">
        <f>IF(SUMIFS('NSE - NIFTY Index Options'!$M:$M,'NSE - NIFTY Index Options'!$C:$C,$A19,'NSE - NIFTY Index Options'!$B:$B,C$4)+SUMIFS('NSE - Other Index Options'!$M:$M,'NSE - Other Index Options'!$C:$C,$A19,'NSE - Other Index Options'!$B:$B,C$4)+SUMIFS('BSE - SENSEX Index Options'!$M:$M,'BSE - SENSEX Index Options'!$C:$C,$A19,'BSE - SENSEX Index Options'!$B:$B,C$4)+SUMIFS('BSE - Other Index Options'!$M:$M,'BSE - Other Index Options'!$C:$C,$A19,'BSE - Other Index Options'!$B:$B,C$4)=0,"",SUMIFS('NSE - NIFTY Index Options'!$M:$M,'NSE - NIFTY Index Options'!$C:$C,$A19,'NSE - NIFTY Index Options'!$B:$B,C$4)+SUMIFS('NSE - Other Index Options'!$M:$M,'NSE - Other Index Options'!$C:$C,$A19,'NSE - Other Index Options'!$B:$B,C$4)+SUMIFS('BSE - SENSEX Index Options'!$M:$M,'BSE - SENSEX Index Options'!$C:$C,$A19,'BSE - SENSEX Index Options'!$B:$B,C$4)+SUMIFS('BSE - Other Index Options'!$M:$M,'BSE - Other Index Options'!$C:$C,$A19,'BSE - Other Index Options'!$B:$B,C$4))</f>
        <v/>
      </c>
      <c r="D19" s="26">
        <f>IF(SUMIFS('NSE - NIFTY Index Options'!$M:$M,'NSE - NIFTY Index Options'!$C:$C,$A19,'NSE - NIFTY Index Options'!$B:$B,D$4)+SUMIFS('NSE - Other Index Options'!$M:$M,'NSE - Other Index Options'!$C:$C,$A19,'NSE - Other Index Options'!$B:$B,D$4)+SUMIFS('BSE - SENSEX Index Options'!$M:$M,'BSE - SENSEX Index Options'!$C:$C,$A19,'BSE - SENSEX Index Options'!$B:$B,D$4)+SUMIFS('BSE - Other Index Options'!$M:$M,'BSE - Other Index Options'!$C:$C,$A19,'BSE - Other Index Options'!$B:$B,D$4)=0,"",SUMIFS('NSE - NIFTY Index Options'!$M:$M,'NSE - NIFTY Index Options'!$C:$C,$A19,'NSE - NIFTY Index Options'!$B:$B,D$4)+SUMIFS('NSE - Other Index Options'!$M:$M,'NSE - Other Index Options'!$C:$C,$A19,'NSE - Other Index Options'!$B:$B,D$4)+SUMIFS('BSE - SENSEX Index Options'!$M:$M,'BSE - SENSEX Index Options'!$C:$C,$A19,'BSE - SENSEX Index Options'!$B:$B,D$4)+SUMIFS('BSE - Other Index Options'!$M:$M,'BSE - Other Index Options'!$C:$C,$A19,'BSE - Other Index Options'!$B:$B,D$4))</f>
        <v/>
      </c>
      <c r="E19" s="26">
        <f>IF(SUMIFS('NSE - NIFTY Index Options'!$M:$M,'NSE - NIFTY Index Options'!$C:$C,$A19,'NSE - NIFTY Index Options'!$B:$B,E$4)+SUMIFS('NSE - Other Index Options'!$M:$M,'NSE - Other Index Options'!$C:$C,$A19,'NSE - Other Index Options'!$B:$B,E$4)+SUMIFS('BSE - SENSEX Index Options'!$M:$M,'BSE - SENSEX Index Options'!$C:$C,$A19,'BSE - SENSEX Index Options'!$B:$B,E$4)+SUMIFS('BSE - Other Index Options'!$M:$M,'BSE - Other Index Options'!$C:$C,$A19,'BSE - Other Index Options'!$B:$B,E$4)=0,"",SUMIFS('NSE - NIFTY Index Options'!$M:$M,'NSE - NIFTY Index Options'!$C:$C,$A19,'NSE - NIFTY Index Options'!$B:$B,E$4)+SUMIFS('NSE - Other Index Options'!$M:$M,'NSE - Other Index Options'!$C:$C,$A19,'NSE - Other Index Options'!$B:$B,E$4)+SUMIFS('BSE - SENSEX Index Options'!$M:$M,'BSE - SENSEX Index Options'!$C:$C,$A19,'BSE - SENSEX Index Options'!$B:$B,E$4)+SUMIFS('BSE - Other Index Options'!$M:$M,'BSE - Other Index Options'!$C:$C,$A19,'BSE - Other Index Options'!$B:$B,E$4))</f>
        <v/>
      </c>
      <c r="F19" s="26">
        <f>IF(SUMIFS('NSE - NIFTY Index Options'!$M:$M,'NSE - NIFTY Index Options'!$C:$C,$A19,'NSE - NIFTY Index Options'!$B:$B,F$4)+SUMIFS('NSE - Other Index Options'!$M:$M,'NSE - Other Index Options'!$C:$C,$A19,'NSE - Other Index Options'!$B:$B,F$4)+SUMIFS('BSE - SENSEX Index Options'!$M:$M,'BSE - SENSEX Index Options'!$C:$C,$A19,'BSE - SENSEX Index Options'!$B:$B,F$4)+SUMIFS('BSE - Other Index Options'!$M:$M,'BSE - Other Index Options'!$C:$C,$A19,'BSE - Other Index Options'!$B:$B,F$4)=0,"",SUMIFS('NSE - NIFTY Index Options'!$M:$M,'NSE - NIFTY Index Options'!$C:$C,$A19,'NSE - NIFTY Index Options'!$B:$B,F$4)+SUMIFS('NSE - Other Index Options'!$M:$M,'NSE - Other Index Options'!$C:$C,$A19,'NSE - Other Index Options'!$B:$B,F$4)+SUMIFS('BSE - SENSEX Index Options'!$M:$M,'BSE - SENSEX Index Options'!$C:$C,$A19,'BSE - SENSEX Index Options'!$B:$B,F$4)+SUMIFS('BSE - Other Index Options'!$M:$M,'BSE - Other Index Options'!$C:$C,$A19,'BSE - Other Index Options'!$B:$B,F$4))</f>
        <v/>
      </c>
      <c r="G19" s="26">
        <f>IF(SUMIFS('NSE - NIFTY Index Options'!$M:$M,'NSE - NIFTY Index Options'!$C:$C,$A19,'NSE - NIFTY Index Options'!$B:$B,G$4)+SUMIFS('NSE - Other Index Options'!$M:$M,'NSE - Other Index Options'!$C:$C,$A19,'NSE - Other Index Options'!$B:$B,G$4)+SUMIFS('BSE - SENSEX Index Options'!$M:$M,'BSE - SENSEX Index Options'!$C:$C,$A19,'BSE - SENSEX Index Options'!$B:$B,G$4)+SUMIFS('BSE - Other Index Options'!$M:$M,'BSE - Other Index Options'!$C:$C,$A19,'BSE - Other Index Options'!$B:$B,G$4)=0,"",SUMIFS('NSE - NIFTY Index Options'!$M:$M,'NSE - NIFTY Index Options'!$C:$C,$A19,'NSE - NIFTY Index Options'!$B:$B,G$4)+SUMIFS('NSE - Other Index Options'!$M:$M,'NSE - Other Index Options'!$C:$C,$A19,'NSE - Other Index Options'!$B:$B,G$4)+SUMIFS('BSE - SENSEX Index Options'!$M:$M,'BSE - SENSEX Index Options'!$C:$C,$A19,'BSE - SENSEX Index Options'!$B:$B,G$4)+SUMIFS('BSE - Other Index Options'!$M:$M,'BSE - Other Index Options'!$C:$C,$A19,'BSE - Other Index Options'!$B:$B,G$4))</f>
        <v/>
      </c>
      <c r="H19" s="26">
        <f>IF(SUM(B19:G19)=0,"",SUM(B19:G19))</f>
        <v/>
      </c>
    </row>
    <row r="20">
      <c r="A20" t="inlineStr">
        <is>
          <t>Week1-Dec-2025</t>
        </is>
      </c>
      <c r="B20" s="26">
        <f>IF(SUMIFS('NSE - NIFTY Index Options'!$M:$M,'NSE - NIFTY Index Options'!$C:$C,$A20,'NSE - NIFTY Index Options'!$B:$B,B$4)+SUMIFS('NSE - Other Index Options'!$M:$M,'NSE - Other Index Options'!$C:$C,$A20,'NSE - Other Index Options'!$B:$B,B$4)+SUMIFS('BSE - SENSEX Index Options'!$M:$M,'BSE - SENSEX Index Options'!$C:$C,$A20,'BSE - SENSEX Index Options'!$B:$B,B$4)+SUMIFS('BSE - Other Index Options'!$M:$M,'BSE - Other Index Options'!$C:$C,$A20,'BSE - Other Index Options'!$B:$B,B$4)=0,"",SUMIFS('NSE - NIFTY Index Options'!$M:$M,'NSE - NIFTY Index Options'!$C:$C,$A20,'NSE - NIFTY Index Options'!$B:$B,B$4)+SUMIFS('NSE - Other Index Options'!$M:$M,'NSE - Other Index Options'!$C:$C,$A20,'NSE - Other Index Options'!$B:$B,B$4)+SUMIFS('BSE - SENSEX Index Options'!$M:$M,'BSE - SENSEX Index Options'!$C:$C,$A20,'BSE - SENSEX Index Options'!$B:$B,B$4)+SUMIFS('BSE - Other Index Options'!$M:$M,'BSE - Other Index Options'!$C:$C,$A20,'BSE - Other Index Options'!$B:$B,B$4))</f>
        <v/>
      </c>
      <c r="C20" s="26">
        <f>IF(SUMIFS('NSE - NIFTY Index Options'!$M:$M,'NSE - NIFTY Index Options'!$C:$C,$A20,'NSE - NIFTY Index Options'!$B:$B,C$4)+SUMIFS('NSE - Other Index Options'!$M:$M,'NSE - Other Index Options'!$C:$C,$A20,'NSE - Other Index Options'!$B:$B,C$4)+SUMIFS('BSE - SENSEX Index Options'!$M:$M,'BSE - SENSEX Index Options'!$C:$C,$A20,'BSE - SENSEX Index Options'!$B:$B,C$4)+SUMIFS('BSE - Other Index Options'!$M:$M,'BSE - Other Index Options'!$C:$C,$A20,'BSE - Other Index Options'!$B:$B,C$4)=0,"",SUMIFS('NSE - NIFTY Index Options'!$M:$M,'NSE - NIFTY Index Options'!$C:$C,$A20,'NSE - NIFTY Index Options'!$B:$B,C$4)+SUMIFS('NSE - Other Index Options'!$M:$M,'NSE - Other Index Options'!$C:$C,$A20,'NSE - Other Index Options'!$B:$B,C$4)+SUMIFS('BSE - SENSEX Index Options'!$M:$M,'BSE - SENSEX Index Options'!$C:$C,$A20,'BSE - SENSEX Index Options'!$B:$B,C$4)+SUMIFS('BSE - Other Index Options'!$M:$M,'BSE - Other Index Options'!$C:$C,$A20,'BSE - Other Index Options'!$B:$B,C$4))</f>
        <v/>
      </c>
      <c r="D20" s="26">
        <f>IF(SUMIFS('NSE - NIFTY Index Options'!$M:$M,'NSE - NIFTY Index Options'!$C:$C,$A20,'NSE - NIFTY Index Options'!$B:$B,D$4)+SUMIFS('NSE - Other Index Options'!$M:$M,'NSE - Other Index Options'!$C:$C,$A20,'NSE - Other Index Options'!$B:$B,D$4)+SUMIFS('BSE - SENSEX Index Options'!$M:$M,'BSE - SENSEX Index Options'!$C:$C,$A20,'BSE - SENSEX Index Options'!$B:$B,D$4)+SUMIFS('BSE - Other Index Options'!$M:$M,'BSE - Other Index Options'!$C:$C,$A20,'BSE - Other Index Options'!$B:$B,D$4)=0,"",SUMIFS('NSE - NIFTY Index Options'!$M:$M,'NSE - NIFTY Index Options'!$C:$C,$A20,'NSE - NIFTY Index Options'!$B:$B,D$4)+SUMIFS('NSE - Other Index Options'!$M:$M,'NSE - Other Index Options'!$C:$C,$A20,'NSE - Other Index Options'!$B:$B,D$4)+SUMIFS('BSE - SENSEX Index Options'!$M:$M,'BSE - SENSEX Index Options'!$C:$C,$A20,'BSE - SENSEX Index Options'!$B:$B,D$4)+SUMIFS('BSE - Other Index Options'!$M:$M,'BSE - Other Index Options'!$C:$C,$A20,'BSE - Other Index Options'!$B:$B,D$4))</f>
        <v/>
      </c>
      <c r="E20" s="26">
        <f>IF(SUMIFS('NSE - NIFTY Index Options'!$M:$M,'NSE - NIFTY Index Options'!$C:$C,$A20,'NSE - NIFTY Index Options'!$B:$B,E$4)+SUMIFS('NSE - Other Index Options'!$M:$M,'NSE - Other Index Options'!$C:$C,$A20,'NSE - Other Index Options'!$B:$B,E$4)+SUMIFS('BSE - SENSEX Index Options'!$M:$M,'BSE - SENSEX Index Options'!$C:$C,$A20,'BSE - SENSEX Index Options'!$B:$B,E$4)+SUMIFS('BSE - Other Index Options'!$M:$M,'BSE - Other Index Options'!$C:$C,$A20,'BSE - Other Index Options'!$B:$B,E$4)=0,"",SUMIFS('NSE - NIFTY Index Options'!$M:$M,'NSE - NIFTY Index Options'!$C:$C,$A20,'NSE - NIFTY Index Options'!$B:$B,E$4)+SUMIFS('NSE - Other Index Options'!$M:$M,'NSE - Other Index Options'!$C:$C,$A20,'NSE - Other Index Options'!$B:$B,E$4)+SUMIFS('BSE - SENSEX Index Options'!$M:$M,'BSE - SENSEX Index Options'!$C:$C,$A20,'BSE - SENSEX Index Options'!$B:$B,E$4)+SUMIFS('BSE - Other Index Options'!$M:$M,'BSE - Other Index Options'!$C:$C,$A20,'BSE - Other Index Options'!$B:$B,E$4))</f>
        <v/>
      </c>
      <c r="F20" s="26">
        <f>IF(SUMIFS('NSE - NIFTY Index Options'!$M:$M,'NSE - NIFTY Index Options'!$C:$C,$A20,'NSE - NIFTY Index Options'!$B:$B,F$4)+SUMIFS('NSE - Other Index Options'!$M:$M,'NSE - Other Index Options'!$C:$C,$A20,'NSE - Other Index Options'!$B:$B,F$4)+SUMIFS('BSE - SENSEX Index Options'!$M:$M,'BSE - SENSEX Index Options'!$C:$C,$A20,'BSE - SENSEX Index Options'!$B:$B,F$4)+SUMIFS('BSE - Other Index Options'!$M:$M,'BSE - Other Index Options'!$C:$C,$A20,'BSE - Other Index Options'!$B:$B,F$4)=0,"",SUMIFS('NSE - NIFTY Index Options'!$M:$M,'NSE - NIFTY Index Options'!$C:$C,$A20,'NSE - NIFTY Index Options'!$B:$B,F$4)+SUMIFS('NSE - Other Index Options'!$M:$M,'NSE - Other Index Options'!$C:$C,$A20,'NSE - Other Index Options'!$B:$B,F$4)+SUMIFS('BSE - SENSEX Index Options'!$M:$M,'BSE - SENSEX Index Options'!$C:$C,$A20,'BSE - SENSEX Index Options'!$B:$B,F$4)+SUMIFS('BSE - Other Index Options'!$M:$M,'BSE - Other Index Options'!$C:$C,$A20,'BSE - Other Index Options'!$B:$B,F$4))</f>
        <v/>
      </c>
      <c r="G20" s="26">
        <f>IF(SUMIFS('NSE - NIFTY Index Options'!$M:$M,'NSE - NIFTY Index Options'!$C:$C,$A20,'NSE - NIFTY Index Options'!$B:$B,G$4)+SUMIFS('NSE - Other Index Options'!$M:$M,'NSE - Other Index Options'!$C:$C,$A20,'NSE - Other Index Options'!$B:$B,G$4)+SUMIFS('BSE - SENSEX Index Options'!$M:$M,'BSE - SENSEX Index Options'!$C:$C,$A20,'BSE - SENSEX Index Options'!$B:$B,G$4)+SUMIFS('BSE - Other Index Options'!$M:$M,'BSE - Other Index Options'!$C:$C,$A20,'BSE - Other Index Options'!$B:$B,G$4)=0,"",SUMIFS('NSE - NIFTY Index Options'!$M:$M,'NSE - NIFTY Index Options'!$C:$C,$A20,'NSE - NIFTY Index Options'!$B:$B,G$4)+SUMIFS('NSE - Other Index Options'!$M:$M,'NSE - Other Index Options'!$C:$C,$A20,'NSE - Other Index Options'!$B:$B,G$4)+SUMIFS('BSE - SENSEX Index Options'!$M:$M,'BSE - SENSEX Index Options'!$C:$C,$A20,'BSE - SENSEX Index Options'!$B:$B,G$4)+SUMIFS('BSE - Other Index Options'!$M:$M,'BSE - Other Index Options'!$C:$C,$A20,'BSE - Other Index Options'!$B:$B,G$4))</f>
        <v/>
      </c>
      <c r="H20" s="26">
        <f>IF(SUM(B20:G20)=0,"",SUM(B20:G20))</f>
        <v/>
      </c>
    </row>
    <row r="21">
      <c r="A21" t="inlineStr">
        <is>
          <t>Week2-Dec-2025</t>
        </is>
      </c>
      <c r="B21" s="26">
        <f>IF(SUMIFS('NSE - NIFTY Index Options'!$M:$M,'NSE - NIFTY Index Options'!$C:$C,$A21,'NSE - NIFTY Index Options'!$B:$B,B$4)+SUMIFS('NSE - Other Index Options'!$M:$M,'NSE - Other Index Options'!$C:$C,$A21,'NSE - Other Index Options'!$B:$B,B$4)+SUMIFS('BSE - SENSEX Index Options'!$M:$M,'BSE - SENSEX Index Options'!$C:$C,$A21,'BSE - SENSEX Index Options'!$B:$B,B$4)+SUMIFS('BSE - Other Index Options'!$M:$M,'BSE - Other Index Options'!$C:$C,$A21,'BSE - Other Index Options'!$B:$B,B$4)=0,"",SUMIFS('NSE - NIFTY Index Options'!$M:$M,'NSE - NIFTY Index Options'!$C:$C,$A21,'NSE - NIFTY Index Options'!$B:$B,B$4)+SUMIFS('NSE - Other Index Options'!$M:$M,'NSE - Other Index Options'!$C:$C,$A21,'NSE - Other Index Options'!$B:$B,B$4)+SUMIFS('BSE - SENSEX Index Options'!$M:$M,'BSE - SENSEX Index Options'!$C:$C,$A21,'BSE - SENSEX Index Options'!$B:$B,B$4)+SUMIFS('BSE - Other Index Options'!$M:$M,'BSE - Other Index Options'!$C:$C,$A21,'BSE - Other Index Options'!$B:$B,B$4))</f>
        <v/>
      </c>
      <c r="C21" s="26">
        <f>IF(SUMIFS('NSE - NIFTY Index Options'!$M:$M,'NSE - NIFTY Index Options'!$C:$C,$A21,'NSE - NIFTY Index Options'!$B:$B,C$4)+SUMIFS('NSE - Other Index Options'!$M:$M,'NSE - Other Index Options'!$C:$C,$A21,'NSE - Other Index Options'!$B:$B,C$4)+SUMIFS('BSE - SENSEX Index Options'!$M:$M,'BSE - SENSEX Index Options'!$C:$C,$A21,'BSE - SENSEX Index Options'!$B:$B,C$4)+SUMIFS('BSE - Other Index Options'!$M:$M,'BSE - Other Index Options'!$C:$C,$A21,'BSE - Other Index Options'!$B:$B,C$4)=0,"",SUMIFS('NSE - NIFTY Index Options'!$M:$M,'NSE - NIFTY Index Options'!$C:$C,$A21,'NSE - NIFTY Index Options'!$B:$B,C$4)+SUMIFS('NSE - Other Index Options'!$M:$M,'NSE - Other Index Options'!$C:$C,$A21,'NSE - Other Index Options'!$B:$B,C$4)+SUMIFS('BSE - SENSEX Index Options'!$M:$M,'BSE - SENSEX Index Options'!$C:$C,$A21,'BSE - SENSEX Index Options'!$B:$B,C$4)+SUMIFS('BSE - Other Index Options'!$M:$M,'BSE - Other Index Options'!$C:$C,$A21,'BSE - Other Index Options'!$B:$B,C$4))</f>
        <v/>
      </c>
      <c r="D21" s="26">
        <f>IF(SUMIFS('NSE - NIFTY Index Options'!$M:$M,'NSE - NIFTY Index Options'!$C:$C,$A21,'NSE - NIFTY Index Options'!$B:$B,D$4)+SUMIFS('NSE - Other Index Options'!$M:$M,'NSE - Other Index Options'!$C:$C,$A21,'NSE - Other Index Options'!$B:$B,D$4)+SUMIFS('BSE - SENSEX Index Options'!$M:$M,'BSE - SENSEX Index Options'!$C:$C,$A21,'BSE - SENSEX Index Options'!$B:$B,D$4)+SUMIFS('BSE - Other Index Options'!$M:$M,'BSE - Other Index Options'!$C:$C,$A21,'BSE - Other Index Options'!$B:$B,D$4)=0,"",SUMIFS('NSE - NIFTY Index Options'!$M:$M,'NSE - NIFTY Index Options'!$C:$C,$A21,'NSE - NIFTY Index Options'!$B:$B,D$4)+SUMIFS('NSE - Other Index Options'!$M:$M,'NSE - Other Index Options'!$C:$C,$A21,'NSE - Other Index Options'!$B:$B,D$4)+SUMIFS('BSE - SENSEX Index Options'!$M:$M,'BSE - SENSEX Index Options'!$C:$C,$A21,'BSE - SENSEX Index Options'!$B:$B,D$4)+SUMIFS('BSE - Other Index Options'!$M:$M,'BSE - Other Index Options'!$C:$C,$A21,'BSE - Other Index Options'!$B:$B,D$4))</f>
        <v/>
      </c>
      <c r="E21" s="26">
        <f>IF(SUMIFS('NSE - NIFTY Index Options'!$M:$M,'NSE - NIFTY Index Options'!$C:$C,$A21,'NSE - NIFTY Index Options'!$B:$B,E$4)+SUMIFS('NSE - Other Index Options'!$M:$M,'NSE - Other Index Options'!$C:$C,$A21,'NSE - Other Index Options'!$B:$B,E$4)+SUMIFS('BSE - SENSEX Index Options'!$M:$M,'BSE - SENSEX Index Options'!$C:$C,$A21,'BSE - SENSEX Index Options'!$B:$B,E$4)+SUMIFS('BSE - Other Index Options'!$M:$M,'BSE - Other Index Options'!$C:$C,$A21,'BSE - Other Index Options'!$B:$B,E$4)=0,"",SUMIFS('NSE - NIFTY Index Options'!$M:$M,'NSE - NIFTY Index Options'!$C:$C,$A21,'NSE - NIFTY Index Options'!$B:$B,E$4)+SUMIFS('NSE - Other Index Options'!$M:$M,'NSE - Other Index Options'!$C:$C,$A21,'NSE - Other Index Options'!$B:$B,E$4)+SUMIFS('BSE - SENSEX Index Options'!$M:$M,'BSE - SENSEX Index Options'!$C:$C,$A21,'BSE - SENSEX Index Options'!$B:$B,E$4)+SUMIFS('BSE - Other Index Options'!$M:$M,'BSE - Other Index Options'!$C:$C,$A21,'BSE - Other Index Options'!$B:$B,E$4))</f>
        <v/>
      </c>
      <c r="F21" s="26">
        <f>IF(SUMIFS('NSE - NIFTY Index Options'!$M:$M,'NSE - NIFTY Index Options'!$C:$C,$A21,'NSE - NIFTY Index Options'!$B:$B,F$4)+SUMIFS('NSE - Other Index Options'!$M:$M,'NSE - Other Index Options'!$C:$C,$A21,'NSE - Other Index Options'!$B:$B,F$4)+SUMIFS('BSE - SENSEX Index Options'!$M:$M,'BSE - SENSEX Index Options'!$C:$C,$A21,'BSE - SENSEX Index Options'!$B:$B,F$4)+SUMIFS('BSE - Other Index Options'!$M:$M,'BSE - Other Index Options'!$C:$C,$A21,'BSE - Other Index Options'!$B:$B,F$4)=0,"",SUMIFS('NSE - NIFTY Index Options'!$M:$M,'NSE - NIFTY Index Options'!$C:$C,$A21,'NSE - NIFTY Index Options'!$B:$B,F$4)+SUMIFS('NSE - Other Index Options'!$M:$M,'NSE - Other Index Options'!$C:$C,$A21,'NSE - Other Index Options'!$B:$B,F$4)+SUMIFS('BSE - SENSEX Index Options'!$M:$M,'BSE - SENSEX Index Options'!$C:$C,$A21,'BSE - SENSEX Index Options'!$B:$B,F$4)+SUMIFS('BSE - Other Index Options'!$M:$M,'BSE - Other Index Options'!$C:$C,$A21,'BSE - Other Index Options'!$B:$B,F$4))</f>
        <v/>
      </c>
      <c r="G21" s="26">
        <f>IF(SUMIFS('NSE - NIFTY Index Options'!$M:$M,'NSE - NIFTY Index Options'!$C:$C,$A21,'NSE - NIFTY Index Options'!$B:$B,G$4)+SUMIFS('NSE - Other Index Options'!$M:$M,'NSE - Other Index Options'!$C:$C,$A21,'NSE - Other Index Options'!$B:$B,G$4)+SUMIFS('BSE - SENSEX Index Options'!$M:$M,'BSE - SENSEX Index Options'!$C:$C,$A21,'BSE - SENSEX Index Options'!$B:$B,G$4)+SUMIFS('BSE - Other Index Options'!$M:$M,'BSE - Other Index Options'!$C:$C,$A21,'BSE - Other Index Options'!$B:$B,G$4)=0,"",SUMIFS('NSE - NIFTY Index Options'!$M:$M,'NSE - NIFTY Index Options'!$C:$C,$A21,'NSE - NIFTY Index Options'!$B:$B,G$4)+SUMIFS('NSE - Other Index Options'!$M:$M,'NSE - Other Index Options'!$C:$C,$A21,'NSE - Other Index Options'!$B:$B,G$4)+SUMIFS('BSE - SENSEX Index Options'!$M:$M,'BSE - SENSEX Index Options'!$C:$C,$A21,'BSE - SENSEX Index Options'!$B:$B,G$4)+SUMIFS('BSE - Other Index Options'!$M:$M,'BSE - Other Index Options'!$C:$C,$A21,'BSE - Other Index Options'!$B:$B,G$4))</f>
        <v/>
      </c>
      <c r="H21" s="26">
        <f>IF(SUM(B21:G21)=0,"",SUM(B21:G21))</f>
        <v/>
      </c>
    </row>
    <row r="22">
      <c r="A22" t="inlineStr">
        <is>
          <t>Week3-Dec-2025</t>
        </is>
      </c>
      <c r="B22" s="26">
        <f>IF(SUMIFS('NSE - NIFTY Index Options'!$M:$M,'NSE - NIFTY Index Options'!$C:$C,$A22,'NSE - NIFTY Index Options'!$B:$B,B$4)+SUMIFS('NSE - Other Index Options'!$M:$M,'NSE - Other Index Options'!$C:$C,$A22,'NSE - Other Index Options'!$B:$B,B$4)+SUMIFS('BSE - SENSEX Index Options'!$M:$M,'BSE - SENSEX Index Options'!$C:$C,$A22,'BSE - SENSEX Index Options'!$B:$B,B$4)+SUMIFS('BSE - Other Index Options'!$M:$M,'BSE - Other Index Options'!$C:$C,$A22,'BSE - Other Index Options'!$B:$B,B$4)=0,"",SUMIFS('NSE - NIFTY Index Options'!$M:$M,'NSE - NIFTY Index Options'!$C:$C,$A22,'NSE - NIFTY Index Options'!$B:$B,B$4)+SUMIFS('NSE - Other Index Options'!$M:$M,'NSE - Other Index Options'!$C:$C,$A22,'NSE - Other Index Options'!$B:$B,B$4)+SUMIFS('BSE - SENSEX Index Options'!$M:$M,'BSE - SENSEX Index Options'!$C:$C,$A22,'BSE - SENSEX Index Options'!$B:$B,B$4)+SUMIFS('BSE - Other Index Options'!$M:$M,'BSE - Other Index Options'!$C:$C,$A22,'BSE - Other Index Options'!$B:$B,B$4))</f>
        <v/>
      </c>
      <c r="C22" s="26">
        <f>IF(SUMIFS('NSE - NIFTY Index Options'!$M:$M,'NSE - NIFTY Index Options'!$C:$C,$A22,'NSE - NIFTY Index Options'!$B:$B,C$4)+SUMIFS('NSE - Other Index Options'!$M:$M,'NSE - Other Index Options'!$C:$C,$A22,'NSE - Other Index Options'!$B:$B,C$4)+SUMIFS('BSE - SENSEX Index Options'!$M:$M,'BSE - SENSEX Index Options'!$C:$C,$A22,'BSE - SENSEX Index Options'!$B:$B,C$4)+SUMIFS('BSE - Other Index Options'!$M:$M,'BSE - Other Index Options'!$C:$C,$A22,'BSE - Other Index Options'!$B:$B,C$4)=0,"",SUMIFS('NSE - NIFTY Index Options'!$M:$M,'NSE - NIFTY Index Options'!$C:$C,$A22,'NSE - NIFTY Index Options'!$B:$B,C$4)+SUMIFS('NSE - Other Index Options'!$M:$M,'NSE - Other Index Options'!$C:$C,$A22,'NSE - Other Index Options'!$B:$B,C$4)+SUMIFS('BSE - SENSEX Index Options'!$M:$M,'BSE - SENSEX Index Options'!$C:$C,$A22,'BSE - SENSEX Index Options'!$B:$B,C$4)+SUMIFS('BSE - Other Index Options'!$M:$M,'BSE - Other Index Options'!$C:$C,$A22,'BSE - Other Index Options'!$B:$B,C$4))</f>
        <v/>
      </c>
      <c r="D22" s="26">
        <f>IF(SUMIFS('NSE - NIFTY Index Options'!$M:$M,'NSE - NIFTY Index Options'!$C:$C,$A22,'NSE - NIFTY Index Options'!$B:$B,D$4)+SUMIFS('NSE - Other Index Options'!$M:$M,'NSE - Other Index Options'!$C:$C,$A22,'NSE - Other Index Options'!$B:$B,D$4)+SUMIFS('BSE - SENSEX Index Options'!$M:$M,'BSE - SENSEX Index Options'!$C:$C,$A22,'BSE - SENSEX Index Options'!$B:$B,D$4)+SUMIFS('BSE - Other Index Options'!$M:$M,'BSE - Other Index Options'!$C:$C,$A22,'BSE - Other Index Options'!$B:$B,D$4)=0,"",SUMIFS('NSE - NIFTY Index Options'!$M:$M,'NSE - NIFTY Index Options'!$C:$C,$A22,'NSE - NIFTY Index Options'!$B:$B,D$4)+SUMIFS('NSE - Other Index Options'!$M:$M,'NSE - Other Index Options'!$C:$C,$A22,'NSE - Other Index Options'!$B:$B,D$4)+SUMIFS('BSE - SENSEX Index Options'!$M:$M,'BSE - SENSEX Index Options'!$C:$C,$A22,'BSE - SENSEX Index Options'!$B:$B,D$4)+SUMIFS('BSE - Other Index Options'!$M:$M,'BSE - Other Index Options'!$C:$C,$A22,'BSE - Other Index Options'!$B:$B,D$4))</f>
        <v/>
      </c>
      <c r="E22" s="26">
        <f>IF(SUMIFS('NSE - NIFTY Index Options'!$M:$M,'NSE - NIFTY Index Options'!$C:$C,$A22,'NSE - NIFTY Index Options'!$B:$B,E$4)+SUMIFS('NSE - Other Index Options'!$M:$M,'NSE - Other Index Options'!$C:$C,$A22,'NSE - Other Index Options'!$B:$B,E$4)+SUMIFS('BSE - SENSEX Index Options'!$M:$M,'BSE - SENSEX Index Options'!$C:$C,$A22,'BSE - SENSEX Index Options'!$B:$B,E$4)+SUMIFS('BSE - Other Index Options'!$M:$M,'BSE - Other Index Options'!$C:$C,$A22,'BSE - Other Index Options'!$B:$B,E$4)=0,"",SUMIFS('NSE - NIFTY Index Options'!$M:$M,'NSE - NIFTY Index Options'!$C:$C,$A22,'NSE - NIFTY Index Options'!$B:$B,E$4)+SUMIFS('NSE - Other Index Options'!$M:$M,'NSE - Other Index Options'!$C:$C,$A22,'NSE - Other Index Options'!$B:$B,E$4)+SUMIFS('BSE - SENSEX Index Options'!$M:$M,'BSE - SENSEX Index Options'!$C:$C,$A22,'BSE - SENSEX Index Options'!$B:$B,E$4)+SUMIFS('BSE - Other Index Options'!$M:$M,'BSE - Other Index Options'!$C:$C,$A22,'BSE - Other Index Options'!$B:$B,E$4))</f>
        <v/>
      </c>
      <c r="F22" s="26">
        <f>IF(SUMIFS('NSE - NIFTY Index Options'!$M:$M,'NSE - NIFTY Index Options'!$C:$C,$A22,'NSE - NIFTY Index Options'!$B:$B,F$4)+SUMIFS('NSE - Other Index Options'!$M:$M,'NSE - Other Index Options'!$C:$C,$A22,'NSE - Other Index Options'!$B:$B,F$4)+SUMIFS('BSE - SENSEX Index Options'!$M:$M,'BSE - SENSEX Index Options'!$C:$C,$A22,'BSE - SENSEX Index Options'!$B:$B,F$4)+SUMIFS('BSE - Other Index Options'!$M:$M,'BSE - Other Index Options'!$C:$C,$A22,'BSE - Other Index Options'!$B:$B,F$4)=0,"",SUMIFS('NSE - NIFTY Index Options'!$M:$M,'NSE - NIFTY Index Options'!$C:$C,$A22,'NSE - NIFTY Index Options'!$B:$B,F$4)+SUMIFS('NSE - Other Index Options'!$M:$M,'NSE - Other Index Options'!$C:$C,$A22,'NSE - Other Index Options'!$B:$B,F$4)+SUMIFS('BSE - SENSEX Index Options'!$M:$M,'BSE - SENSEX Index Options'!$C:$C,$A22,'BSE - SENSEX Index Options'!$B:$B,F$4)+SUMIFS('BSE - Other Index Options'!$M:$M,'BSE - Other Index Options'!$C:$C,$A22,'BSE - Other Index Options'!$B:$B,F$4))</f>
        <v/>
      </c>
      <c r="G22" s="26">
        <f>IF(SUMIFS('NSE - NIFTY Index Options'!$M:$M,'NSE - NIFTY Index Options'!$C:$C,$A22,'NSE - NIFTY Index Options'!$B:$B,G$4)+SUMIFS('NSE - Other Index Options'!$M:$M,'NSE - Other Index Options'!$C:$C,$A22,'NSE - Other Index Options'!$B:$B,G$4)+SUMIFS('BSE - SENSEX Index Options'!$M:$M,'BSE - SENSEX Index Options'!$C:$C,$A22,'BSE - SENSEX Index Options'!$B:$B,G$4)+SUMIFS('BSE - Other Index Options'!$M:$M,'BSE - Other Index Options'!$C:$C,$A22,'BSE - Other Index Options'!$B:$B,G$4)=0,"",SUMIFS('NSE - NIFTY Index Options'!$M:$M,'NSE - NIFTY Index Options'!$C:$C,$A22,'NSE - NIFTY Index Options'!$B:$B,G$4)+SUMIFS('NSE - Other Index Options'!$M:$M,'NSE - Other Index Options'!$C:$C,$A22,'NSE - Other Index Options'!$B:$B,G$4)+SUMIFS('BSE - SENSEX Index Options'!$M:$M,'BSE - SENSEX Index Options'!$C:$C,$A22,'BSE - SENSEX Index Options'!$B:$B,G$4)+SUMIFS('BSE - Other Index Options'!$M:$M,'BSE - Other Index Options'!$C:$C,$A22,'BSE - Other Index Options'!$B:$B,G$4))</f>
        <v/>
      </c>
      <c r="H22" s="26">
        <f>IF(SUM(B22:G22)=0,"",SUM(B22:G22))</f>
        <v/>
      </c>
    </row>
    <row r="23">
      <c r="A23" t="inlineStr">
        <is>
          <t>Week4-Dec-2025</t>
        </is>
      </c>
      <c r="B23" s="26">
        <f>IF(SUMIFS('NSE - NIFTY Index Options'!$M:$M,'NSE - NIFTY Index Options'!$C:$C,$A23,'NSE - NIFTY Index Options'!$B:$B,B$4)+SUMIFS('NSE - Other Index Options'!$M:$M,'NSE - Other Index Options'!$C:$C,$A23,'NSE - Other Index Options'!$B:$B,B$4)+SUMIFS('BSE - SENSEX Index Options'!$M:$M,'BSE - SENSEX Index Options'!$C:$C,$A23,'BSE - SENSEX Index Options'!$B:$B,B$4)+SUMIFS('BSE - Other Index Options'!$M:$M,'BSE - Other Index Options'!$C:$C,$A23,'BSE - Other Index Options'!$B:$B,B$4)=0,"",SUMIFS('NSE - NIFTY Index Options'!$M:$M,'NSE - NIFTY Index Options'!$C:$C,$A23,'NSE - NIFTY Index Options'!$B:$B,B$4)+SUMIFS('NSE - Other Index Options'!$M:$M,'NSE - Other Index Options'!$C:$C,$A23,'NSE - Other Index Options'!$B:$B,B$4)+SUMIFS('BSE - SENSEX Index Options'!$M:$M,'BSE - SENSEX Index Options'!$C:$C,$A23,'BSE - SENSEX Index Options'!$B:$B,B$4)+SUMIFS('BSE - Other Index Options'!$M:$M,'BSE - Other Index Options'!$C:$C,$A23,'BSE - Other Index Options'!$B:$B,B$4))</f>
        <v/>
      </c>
      <c r="C23" s="26">
        <f>IF(SUMIFS('NSE - NIFTY Index Options'!$M:$M,'NSE - NIFTY Index Options'!$C:$C,$A23,'NSE - NIFTY Index Options'!$B:$B,C$4)+SUMIFS('NSE - Other Index Options'!$M:$M,'NSE - Other Index Options'!$C:$C,$A23,'NSE - Other Index Options'!$B:$B,C$4)+SUMIFS('BSE - SENSEX Index Options'!$M:$M,'BSE - SENSEX Index Options'!$C:$C,$A23,'BSE - SENSEX Index Options'!$B:$B,C$4)+SUMIFS('BSE - Other Index Options'!$M:$M,'BSE - Other Index Options'!$C:$C,$A23,'BSE - Other Index Options'!$B:$B,C$4)=0,"",SUMIFS('NSE - NIFTY Index Options'!$M:$M,'NSE - NIFTY Index Options'!$C:$C,$A23,'NSE - NIFTY Index Options'!$B:$B,C$4)+SUMIFS('NSE - Other Index Options'!$M:$M,'NSE - Other Index Options'!$C:$C,$A23,'NSE - Other Index Options'!$B:$B,C$4)+SUMIFS('BSE - SENSEX Index Options'!$M:$M,'BSE - SENSEX Index Options'!$C:$C,$A23,'BSE - SENSEX Index Options'!$B:$B,C$4)+SUMIFS('BSE - Other Index Options'!$M:$M,'BSE - Other Index Options'!$C:$C,$A23,'BSE - Other Index Options'!$B:$B,C$4))</f>
        <v/>
      </c>
      <c r="D23" s="26">
        <f>IF(SUMIFS('NSE - NIFTY Index Options'!$M:$M,'NSE - NIFTY Index Options'!$C:$C,$A23,'NSE - NIFTY Index Options'!$B:$B,D$4)+SUMIFS('NSE - Other Index Options'!$M:$M,'NSE - Other Index Options'!$C:$C,$A23,'NSE - Other Index Options'!$B:$B,D$4)+SUMIFS('BSE - SENSEX Index Options'!$M:$M,'BSE - SENSEX Index Options'!$C:$C,$A23,'BSE - SENSEX Index Options'!$B:$B,D$4)+SUMIFS('BSE - Other Index Options'!$M:$M,'BSE - Other Index Options'!$C:$C,$A23,'BSE - Other Index Options'!$B:$B,D$4)=0,"",SUMIFS('NSE - NIFTY Index Options'!$M:$M,'NSE - NIFTY Index Options'!$C:$C,$A23,'NSE - NIFTY Index Options'!$B:$B,D$4)+SUMIFS('NSE - Other Index Options'!$M:$M,'NSE - Other Index Options'!$C:$C,$A23,'NSE - Other Index Options'!$B:$B,D$4)+SUMIFS('BSE - SENSEX Index Options'!$M:$M,'BSE - SENSEX Index Options'!$C:$C,$A23,'BSE - SENSEX Index Options'!$B:$B,D$4)+SUMIFS('BSE - Other Index Options'!$M:$M,'BSE - Other Index Options'!$C:$C,$A23,'BSE - Other Index Options'!$B:$B,D$4))</f>
        <v/>
      </c>
      <c r="E23" s="26">
        <f>IF(SUMIFS('NSE - NIFTY Index Options'!$M:$M,'NSE - NIFTY Index Options'!$C:$C,$A23,'NSE - NIFTY Index Options'!$B:$B,E$4)+SUMIFS('NSE - Other Index Options'!$M:$M,'NSE - Other Index Options'!$C:$C,$A23,'NSE - Other Index Options'!$B:$B,E$4)+SUMIFS('BSE - SENSEX Index Options'!$M:$M,'BSE - SENSEX Index Options'!$C:$C,$A23,'BSE - SENSEX Index Options'!$B:$B,E$4)+SUMIFS('BSE - Other Index Options'!$M:$M,'BSE - Other Index Options'!$C:$C,$A23,'BSE - Other Index Options'!$B:$B,E$4)=0,"",SUMIFS('NSE - NIFTY Index Options'!$M:$M,'NSE - NIFTY Index Options'!$C:$C,$A23,'NSE - NIFTY Index Options'!$B:$B,E$4)+SUMIFS('NSE - Other Index Options'!$M:$M,'NSE - Other Index Options'!$C:$C,$A23,'NSE - Other Index Options'!$B:$B,E$4)+SUMIFS('BSE - SENSEX Index Options'!$M:$M,'BSE - SENSEX Index Options'!$C:$C,$A23,'BSE - SENSEX Index Options'!$B:$B,E$4)+SUMIFS('BSE - Other Index Options'!$M:$M,'BSE - Other Index Options'!$C:$C,$A23,'BSE - Other Index Options'!$B:$B,E$4))</f>
        <v/>
      </c>
      <c r="F23" s="26">
        <f>IF(SUMIFS('NSE - NIFTY Index Options'!$M:$M,'NSE - NIFTY Index Options'!$C:$C,$A23,'NSE - NIFTY Index Options'!$B:$B,F$4)+SUMIFS('NSE - Other Index Options'!$M:$M,'NSE - Other Index Options'!$C:$C,$A23,'NSE - Other Index Options'!$B:$B,F$4)+SUMIFS('BSE - SENSEX Index Options'!$M:$M,'BSE - SENSEX Index Options'!$C:$C,$A23,'BSE - SENSEX Index Options'!$B:$B,F$4)+SUMIFS('BSE - Other Index Options'!$M:$M,'BSE - Other Index Options'!$C:$C,$A23,'BSE - Other Index Options'!$B:$B,F$4)=0,"",SUMIFS('NSE - NIFTY Index Options'!$M:$M,'NSE - NIFTY Index Options'!$C:$C,$A23,'NSE - NIFTY Index Options'!$B:$B,F$4)+SUMIFS('NSE - Other Index Options'!$M:$M,'NSE - Other Index Options'!$C:$C,$A23,'NSE - Other Index Options'!$B:$B,F$4)+SUMIFS('BSE - SENSEX Index Options'!$M:$M,'BSE - SENSEX Index Options'!$C:$C,$A23,'BSE - SENSEX Index Options'!$B:$B,F$4)+SUMIFS('BSE - Other Index Options'!$M:$M,'BSE - Other Index Options'!$C:$C,$A23,'BSE - Other Index Options'!$B:$B,F$4))</f>
        <v/>
      </c>
      <c r="G23" s="26">
        <f>IF(SUMIFS('NSE - NIFTY Index Options'!$M:$M,'NSE - NIFTY Index Options'!$C:$C,$A23,'NSE - NIFTY Index Options'!$B:$B,G$4)+SUMIFS('NSE - Other Index Options'!$M:$M,'NSE - Other Index Options'!$C:$C,$A23,'NSE - Other Index Options'!$B:$B,G$4)+SUMIFS('BSE - SENSEX Index Options'!$M:$M,'BSE - SENSEX Index Options'!$C:$C,$A23,'BSE - SENSEX Index Options'!$B:$B,G$4)+SUMIFS('BSE - Other Index Options'!$M:$M,'BSE - Other Index Options'!$C:$C,$A23,'BSE - Other Index Options'!$B:$B,G$4)=0,"",SUMIFS('NSE - NIFTY Index Options'!$M:$M,'NSE - NIFTY Index Options'!$C:$C,$A23,'NSE - NIFTY Index Options'!$B:$B,G$4)+SUMIFS('NSE - Other Index Options'!$M:$M,'NSE - Other Index Options'!$C:$C,$A23,'NSE - Other Index Options'!$B:$B,G$4)+SUMIFS('BSE - SENSEX Index Options'!$M:$M,'BSE - SENSEX Index Options'!$C:$C,$A23,'BSE - SENSEX Index Options'!$B:$B,G$4)+SUMIFS('BSE - Other Index Options'!$M:$M,'BSE - Other Index Options'!$C:$C,$A23,'BSE - Other Index Options'!$B:$B,G$4))</f>
        <v/>
      </c>
      <c r="H23" s="26">
        <f>IF(SUM(B23:G23)=0,"",SUM(B23:G23))</f>
        <v/>
      </c>
    </row>
    <row r="24">
      <c r="A24" t="inlineStr">
        <is>
          <t>Week5-Dec-2025</t>
        </is>
      </c>
      <c r="B24" s="26">
        <f>IF(SUMIFS('NSE - NIFTY Index Options'!$M:$M,'NSE - NIFTY Index Options'!$C:$C,$A24,'NSE - NIFTY Index Options'!$B:$B,B$4)+SUMIFS('NSE - Other Index Options'!$M:$M,'NSE - Other Index Options'!$C:$C,$A24,'NSE - Other Index Options'!$B:$B,B$4)+SUMIFS('BSE - SENSEX Index Options'!$M:$M,'BSE - SENSEX Index Options'!$C:$C,$A24,'BSE - SENSEX Index Options'!$B:$B,B$4)+SUMIFS('BSE - Other Index Options'!$M:$M,'BSE - Other Index Options'!$C:$C,$A24,'BSE - Other Index Options'!$B:$B,B$4)=0,"",SUMIFS('NSE - NIFTY Index Options'!$M:$M,'NSE - NIFTY Index Options'!$C:$C,$A24,'NSE - NIFTY Index Options'!$B:$B,B$4)+SUMIFS('NSE - Other Index Options'!$M:$M,'NSE - Other Index Options'!$C:$C,$A24,'NSE - Other Index Options'!$B:$B,B$4)+SUMIFS('BSE - SENSEX Index Options'!$M:$M,'BSE - SENSEX Index Options'!$C:$C,$A24,'BSE - SENSEX Index Options'!$B:$B,B$4)+SUMIFS('BSE - Other Index Options'!$M:$M,'BSE - Other Index Options'!$C:$C,$A24,'BSE - Other Index Options'!$B:$B,B$4))</f>
        <v/>
      </c>
      <c r="C24" s="26">
        <f>IF(SUMIFS('NSE - NIFTY Index Options'!$M:$M,'NSE - NIFTY Index Options'!$C:$C,$A24,'NSE - NIFTY Index Options'!$B:$B,C$4)+SUMIFS('NSE - Other Index Options'!$M:$M,'NSE - Other Index Options'!$C:$C,$A24,'NSE - Other Index Options'!$B:$B,C$4)+SUMIFS('BSE - SENSEX Index Options'!$M:$M,'BSE - SENSEX Index Options'!$C:$C,$A24,'BSE - SENSEX Index Options'!$B:$B,C$4)+SUMIFS('BSE - Other Index Options'!$M:$M,'BSE - Other Index Options'!$C:$C,$A24,'BSE - Other Index Options'!$B:$B,C$4)=0,"",SUMIFS('NSE - NIFTY Index Options'!$M:$M,'NSE - NIFTY Index Options'!$C:$C,$A24,'NSE - NIFTY Index Options'!$B:$B,C$4)+SUMIFS('NSE - Other Index Options'!$M:$M,'NSE - Other Index Options'!$C:$C,$A24,'NSE - Other Index Options'!$B:$B,C$4)+SUMIFS('BSE - SENSEX Index Options'!$M:$M,'BSE - SENSEX Index Options'!$C:$C,$A24,'BSE - SENSEX Index Options'!$B:$B,C$4)+SUMIFS('BSE - Other Index Options'!$M:$M,'BSE - Other Index Options'!$C:$C,$A24,'BSE - Other Index Options'!$B:$B,C$4))</f>
        <v/>
      </c>
      <c r="D24" s="26">
        <f>IF(SUMIFS('NSE - NIFTY Index Options'!$M:$M,'NSE - NIFTY Index Options'!$C:$C,$A24,'NSE - NIFTY Index Options'!$B:$B,D$4)+SUMIFS('NSE - Other Index Options'!$M:$M,'NSE - Other Index Options'!$C:$C,$A24,'NSE - Other Index Options'!$B:$B,D$4)+SUMIFS('BSE - SENSEX Index Options'!$M:$M,'BSE - SENSEX Index Options'!$C:$C,$A24,'BSE - SENSEX Index Options'!$B:$B,D$4)+SUMIFS('BSE - Other Index Options'!$M:$M,'BSE - Other Index Options'!$C:$C,$A24,'BSE - Other Index Options'!$B:$B,D$4)=0,"",SUMIFS('NSE - NIFTY Index Options'!$M:$M,'NSE - NIFTY Index Options'!$C:$C,$A24,'NSE - NIFTY Index Options'!$B:$B,D$4)+SUMIFS('NSE - Other Index Options'!$M:$M,'NSE - Other Index Options'!$C:$C,$A24,'NSE - Other Index Options'!$B:$B,D$4)+SUMIFS('BSE - SENSEX Index Options'!$M:$M,'BSE - SENSEX Index Options'!$C:$C,$A24,'BSE - SENSEX Index Options'!$B:$B,D$4)+SUMIFS('BSE - Other Index Options'!$M:$M,'BSE - Other Index Options'!$C:$C,$A24,'BSE - Other Index Options'!$B:$B,D$4))</f>
        <v/>
      </c>
      <c r="E24" s="26">
        <f>IF(SUMIFS('NSE - NIFTY Index Options'!$M:$M,'NSE - NIFTY Index Options'!$C:$C,$A24,'NSE - NIFTY Index Options'!$B:$B,E$4)+SUMIFS('NSE - Other Index Options'!$M:$M,'NSE - Other Index Options'!$C:$C,$A24,'NSE - Other Index Options'!$B:$B,E$4)+SUMIFS('BSE - SENSEX Index Options'!$M:$M,'BSE - SENSEX Index Options'!$C:$C,$A24,'BSE - SENSEX Index Options'!$B:$B,E$4)+SUMIFS('BSE - Other Index Options'!$M:$M,'BSE - Other Index Options'!$C:$C,$A24,'BSE - Other Index Options'!$B:$B,E$4)=0,"",SUMIFS('NSE - NIFTY Index Options'!$M:$M,'NSE - NIFTY Index Options'!$C:$C,$A24,'NSE - NIFTY Index Options'!$B:$B,E$4)+SUMIFS('NSE - Other Index Options'!$M:$M,'NSE - Other Index Options'!$C:$C,$A24,'NSE - Other Index Options'!$B:$B,E$4)+SUMIFS('BSE - SENSEX Index Options'!$M:$M,'BSE - SENSEX Index Options'!$C:$C,$A24,'BSE - SENSEX Index Options'!$B:$B,E$4)+SUMIFS('BSE - Other Index Options'!$M:$M,'BSE - Other Index Options'!$C:$C,$A24,'BSE - Other Index Options'!$B:$B,E$4))</f>
        <v/>
      </c>
      <c r="F24" s="26">
        <f>IF(SUMIFS('NSE - NIFTY Index Options'!$M:$M,'NSE - NIFTY Index Options'!$C:$C,$A24,'NSE - NIFTY Index Options'!$B:$B,F$4)+SUMIFS('NSE - Other Index Options'!$M:$M,'NSE - Other Index Options'!$C:$C,$A24,'NSE - Other Index Options'!$B:$B,F$4)+SUMIFS('BSE - SENSEX Index Options'!$M:$M,'BSE - SENSEX Index Options'!$C:$C,$A24,'BSE - SENSEX Index Options'!$B:$B,F$4)+SUMIFS('BSE - Other Index Options'!$M:$M,'BSE - Other Index Options'!$C:$C,$A24,'BSE - Other Index Options'!$B:$B,F$4)=0,"",SUMIFS('NSE - NIFTY Index Options'!$M:$M,'NSE - NIFTY Index Options'!$C:$C,$A24,'NSE - NIFTY Index Options'!$B:$B,F$4)+SUMIFS('NSE - Other Index Options'!$M:$M,'NSE - Other Index Options'!$C:$C,$A24,'NSE - Other Index Options'!$B:$B,F$4)+SUMIFS('BSE - SENSEX Index Options'!$M:$M,'BSE - SENSEX Index Options'!$C:$C,$A24,'BSE - SENSEX Index Options'!$B:$B,F$4)+SUMIFS('BSE - Other Index Options'!$M:$M,'BSE - Other Index Options'!$C:$C,$A24,'BSE - Other Index Options'!$B:$B,F$4))</f>
        <v/>
      </c>
      <c r="G24" s="26">
        <f>IF(SUMIFS('NSE - NIFTY Index Options'!$M:$M,'NSE - NIFTY Index Options'!$C:$C,$A24,'NSE - NIFTY Index Options'!$B:$B,G$4)+SUMIFS('NSE - Other Index Options'!$M:$M,'NSE - Other Index Options'!$C:$C,$A24,'NSE - Other Index Options'!$B:$B,G$4)+SUMIFS('BSE - SENSEX Index Options'!$M:$M,'BSE - SENSEX Index Options'!$C:$C,$A24,'BSE - SENSEX Index Options'!$B:$B,G$4)+SUMIFS('BSE - Other Index Options'!$M:$M,'BSE - Other Index Options'!$C:$C,$A24,'BSE - Other Index Options'!$B:$B,G$4)=0,"",SUMIFS('NSE - NIFTY Index Options'!$M:$M,'NSE - NIFTY Index Options'!$C:$C,$A24,'NSE - NIFTY Index Options'!$B:$B,G$4)+SUMIFS('NSE - Other Index Options'!$M:$M,'NSE - Other Index Options'!$C:$C,$A24,'NSE - Other Index Options'!$B:$B,G$4)+SUMIFS('BSE - SENSEX Index Options'!$M:$M,'BSE - SENSEX Index Options'!$C:$C,$A24,'BSE - SENSEX Index Options'!$B:$B,G$4)+SUMIFS('BSE - Other Index Options'!$M:$M,'BSE - Other Index Options'!$C:$C,$A24,'BSE - Other Index Options'!$B:$B,G$4))</f>
        <v/>
      </c>
      <c r="H24" s="26">
        <f>IF(SUM(B24:G24)=0,"",SUM(B24:G24))</f>
        <v/>
      </c>
    </row>
    <row r="25">
      <c r="A25" t="inlineStr">
        <is>
          <t>Week1-Jan-2026</t>
        </is>
      </c>
      <c r="B25" s="26">
        <f>IF(SUMIFS('NSE - NIFTY Index Options'!$M:$M,'NSE - NIFTY Index Options'!$C:$C,$A25,'NSE - NIFTY Index Options'!$B:$B,B$4)+SUMIFS('NSE - Other Index Options'!$M:$M,'NSE - Other Index Options'!$C:$C,$A25,'NSE - Other Index Options'!$B:$B,B$4)+SUMIFS('BSE - SENSEX Index Options'!$M:$M,'BSE - SENSEX Index Options'!$C:$C,$A25,'BSE - SENSEX Index Options'!$B:$B,B$4)+SUMIFS('BSE - Other Index Options'!$M:$M,'BSE - Other Index Options'!$C:$C,$A25,'BSE - Other Index Options'!$B:$B,B$4)=0,"",SUMIFS('NSE - NIFTY Index Options'!$M:$M,'NSE - NIFTY Index Options'!$C:$C,$A25,'NSE - NIFTY Index Options'!$B:$B,B$4)+SUMIFS('NSE - Other Index Options'!$M:$M,'NSE - Other Index Options'!$C:$C,$A25,'NSE - Other Index Options'!$B:$B,B$4)+SUMIFS('BSE - SENSEX Index Options'!$M:$M,'BSE - SENSEX Index Options'!$C:$C,$A25,'BSE - SENSEX Index Options'!$B:$B,B$4)+SUMIFS('BSE - Other Index Options'!$M:$M,'BSE - Other Index Options'!$C:$C,$A25,'BSE - Other Index Options'!$B:$B,B$4))</f>
        <v/>
      </c>
      <c r="C25" s="26">
        <f>IF(SUMIFS('NSE - NIFTY Index Options'!$M:$M,'NSE - NIFTY Index Options'!$C:$C,$A25,'NSE - NIFTY Index Options'!$B:$B,C$4)+SUMIFS('NSE - Other Index Options'!$M:$M,'NSE - Other Index Options'!$C:$C,$A25,'NSE - Other Index Options'!$B:$B,C$4)+SUMIFS('BSE - SENSEX Index Options'!$M:$M,'BSE - SENSEX Index Options'!$C:$C,$A25,'BSE - SENSEX Index Options'!$B:$B,C$4)+SUMIFS('BSE - Other Index Options'!$M:$M,'BSE - Other Index Options'!$C:$C,$A25,'BSE - Other Index Options'!$B:$B,C$4)=0,"",SUMIFS('NSE - NIFTY Index Options'!$M:$M,'NSE - NIFTY Index Options'!$C:$C,$A25,'NSE - NIFTY Index Options'!$B:$B,C$4)+SUMIFS('NSE - Other Index Options'!$M:$M,'NSE - Other Index Options'!$C:$C,$A25,'NSE - Other Index Options'!$B:$B,C$4)+SUMIFS('BSE - SENSEX Index Options'!$M:$M,'BSE - SENSEX Index Options'!$C:$C,$A25,'BSE - SENSEX Index Options'!$B:$B,C$4)+SUMIFS('BSE - Other Index Options'!$M:$M,'BSE - Other Index Options'!$C:$C,$A25,'BSE - Other Index Options'!$B:$B,C$4))</f>
        <v/>
      </c>
      <c r="D25" s="26">
        <f>IF(SUMIFS('NSE - NIFTY Index Options'!$M:$M,'NSE - NIFTY Index Options'!$C:$C,$A25,'NSE - NIFTY Index Options'!$B:$B,D$4)+SUMIFS('NSE - Other Index Options'!$M:$M,'NSE - Other Index Options'!$C:$C,$A25,'NSE - Other Index Options'!$B:$B,D$4)+SUMIFS('BSE - SENSEX Index Options'!$M:$M,'BSE - SENSEX Index Options'!$C:$C,$A25,'BSE - SENSEX Index Options'!$B:$B,D$4)+SUMIFS('BSE - Other Index Options'!$M:$M,'BSE - Other Index Options'!$C:$C,$A25,'BSE - Other Index Options'!$B:$B,D$4)=0,"",SUMIFS('NSE - NIFTY Index Options'!$M:$M,'NSE - NIFTY Index Options'!$C:$C,$A25,'NSE - NIFTY Index Options'!$B:$B,D$4)+SUMIFS('NSE - Other Index Options'!$M:$M,'NSE - Other Index Options'!$C:$C,$A25,'NSE - Other Index Options'!$B:$B,D$4)+SUMIFS('BSE - SENSEX Index Options'!$M:$M,'BSE - SENSEX Index Options'!$C:$C,$A25,'BSE - SENSEX Index Options'!$B:$B,D$4)+SUMIFS('BSE - Other Index Options'!$M:$M,'BSE - Other Index Options'!$C:$C,$A25,'BSE - Other Index Options'!$B:$B,D$4))</f>
        <v/>
      </c>
      <c r="E25" s="26">
        <f>IF(SUMIFS('NSE - NIFTY Index Options'!$M:$M,'NSE - NIFTY Index Options'!$C:$C,$A25,'NSE - NIFTY Index Options'!$B:$B,E$4)+SUMIFS('NSE - Other Index Options'!$M:$M,'NSE - Other Index Options'!$C:$C,$A25,'NSE - Other Index Options'!$B:$B,E$4)+SUMIFS('BSE - SENSEX Index Options'!$M:$M,'BSE - SENSEX Index Options'!$C:$C,$A25,'BSE - SENSEX Index Options'!$B:$B,E$4)+SUMIFS('BSE - Other Index Options'!$M:$M,'BSE - Other Index Options'!$C:$C,$A25,'BSE - Other Index Options'!$B:$B,E$4)=0,"",SUMIFS('NSE - NIFTY Index Options'!$M:$M,'NSE - NIFTY Index Options'!$C:$C,$A25,'NSE - NIFTY Index Options'!$B:$B,E$4)+SUMIFS('NSE - Other Index Options'!$M:$M,'NSE - Other Index Options'!$C:$C,$A25,'NSE - Other Index Options'!$B:$B,E$4)+SUMIFS('BSE - SENSEX Index Options'!$M:$M,'BSE - SENSEX Index Options'!$C:$C,$A25,'BSE - SENSEX Index Options'!$B:$B,E$4)+SUMIFS('BSE - Other Index Options'!$M:$M,'BSE - Other Index Options'!$C:$C,$A25,'BSE - Other Index Options'!$B:$B,E$4))</f>
        <v/>
      </c>
      <c r="F25" s="26">
        <f>IF(SUMIFS('NSE - NIFTY Index Options'!$M:$M,'NSE - NIFTY Index Options'!$C:$C,$A25,'NSE - NIFTY Index Options'!$B:$B,F$4)+SUMIFS('NSE - Other Index Options'!$M:$M,'NSE - Other Index Options'!$C:$C,$A25,'NSE - Other Index Options'!$B:$B,F$4)+SUMIFS('BSE - SENSEX Index Options'!$M:$M,'BSE - SENSEX Index Options'!$C:$C,$A25,'BSE - SENSEX Index Options'!$B:$B,F$4)+SUMIFS('BSE - Other Index Options'!$M:$M,'BSE - Other Index Options'!$C:$C,$A25,'BSE - Other Index Options'!$B:$B,F$4)=0,"",SUMIFS('NSE - NIFTY Index Options'!$M:$M,'NSE - NIFTY Index Options'!$C:$C,$A25,'NSE - NIFTY Index Options'!$B:$B,F$4)+SUMIFS('NSE - Other Index Options'!$M:$M,'NSE - Other Index Options'!$C:$C,$A25,'NSE - Other Index Options'!$B:$B,F$4)+SUMIFS('BSE - SENSEX Index Options'!$M:$M,'BSE - SENSEX Index Options'!$C:$C,$A25,'BSE - SENSEX Index Options'!$B:$B,F$4)+SUMIFS('BSE - Other Index Options'!$M:$M,'BSE - Other Index Options'!$C:$C,$A25,'BSE - Other Index Options'!$B:$B,F$4))</f>
        <v/>
      </c>
      <c r="G25" s="26">
        <f>IF(SUMIFS('NSE - NIFTY Index Options'!$M:$M,'NSE - NIFTY Index Options'!$C:$C,$A25,'NSE - NIFTY Index Options'!$B:$B,G$4)+SUMIFS('NSE - Other Index Options'!$M:$M,'NSE - Other Index Options'!$C:$C,$A25,'NSE - Other Index Options'!$B:$B,G$4)+SUMIFS('BSE - SENSEX Index Options'!$M:$M,'BSE - SENSEX Index Options'!$C:$C,$A25,'BSE - SENSEX Index Options'!$B:$B,G$4)+SUMIFS('BSE - Other Index Options'!$M:$M,'BSE - Other Index Options'!$C:$C,$A25,'BSE - Other Index Options'!$B:$B,G$4)=0,"",SUMIFS('NSE - NIFTY Index Options'!$M:$M,'NSE - NIFTY Index Options'!$C:$C,$A25,'NSE - NIFTY Index Options'!$B:$B,G$4)+SUMIFS('NSE - Other Index Options'!$M:$M,'NSE - Other Index Options'!$C:$C,$A25,'NSE - Other Index Options'!$B:$B,G$4)+SUMIFS('BSE - SENSEX Index Options'!$M:$M,'BSE - SENSEX Index Options'!$C:$C,$A25,'BSE - SENSEX Index Options'!$B:$B,G$4)+SUMIFS('BSE - Other Index Options'!$M:$M,'BSE - Other Index Options'!$C:$C,$A25,'BSE - Other Index Options'!$B:$B,G$4))</f>
        <v/>
      </c>
      <c r="H25" s="26">
        <f>IF(SUM(B25:G25)=0,"",SUM(B25:G25))</f>
        <v/>
      </c>
    </row>
    <row r="26">
      <c r="A26" t="inlineStr">
        <is>
          <t>Week2-Jan-2026</t>
        </is>
      </c>
      <c r="B26" s="26">
        <f>IF(SUMIFS('NSE - NIFTY Index Options'!$M:$M,'NSE - NIFTY Index Options'!$C:$C,$A26,'NSE - NIFTY Index Options'!$B:$B,B$4)+SUMIFS('NSE - Other Index Options'!$M:$M,'NSE - Other Index Options'!$C:$C,$A26,'NSE - Other Index Options'!$B:$B,B$4)+SUMIFS('BSE - SENSEX Index Options'!$M:$M,'BSE - SENSEX Index Options'!$C:$C,$A26,'BSE - SENSEX Index Options'!$B:$B,B$4)+SUMIFS('BSE - Other Index Options'!$M:$M,'BSE - Other Index Options'!$C:$C,$A26,'BSE - Other Index Options'!$B:$B,B$4)=0,"",SUMIFS('NSE - NIFTY Index Options'!$M:$M,'NSE - NIFTY Index Options'!$C:$C,$A26,'NSE - NIFTY Index Options'!$B:$B,B$4)+SUMIFS('NSE - Other Index Options'!$M:$M,'NSE - Other Index Options'!$C:$C,$A26,'NSE - Other Index Options'!$B:$B,B$4)+SUMIFS('BSE - SENSEX Index Options'!$M:$M,'BSE - SENSEX Index Options'!$C:$C,$A26,'BSE - SENSEX Index Options'!$B:$B,B$4)+SUMIFS('BSE - Other Index Options'!$M:$M,'BSE - Other Index Options'!$C:$C,$A26,'BSE - Other Index Options'!$B:$B,B$4))</f>
        <v/>
      </c>
      <c r="C26" s="26">
        <f>IF(SUMIFS('NSE - NIFTY Index Options'!$M:$M,'NSE - NIFTY Index Options'!$C:$C,$A26,'NSE - NIFTY Index Options'!$B:$B,C$4)+SUMIFS('NSE - Other Index Options'!$M:$M,'NSE - Other Index Options'!$C:$C,$A26,'NSE - Other Index Options'!$B:$B,C$4)+SUMIFS('BSE - SENSEX Index Options'!$M:$M,'BSE - SENSEX Index Options'!$C:$C,$A26,'BSE - SENSEX Index Options'!$B:$B,C$4)+SUMIFS('BSE - Other Index Options'!$M:$M,'BSE - Other Index Options'!$C:$C,$A26,'BSE - Other Index Options'!$B:$B,C$4)=0,"",SUMIFS('NSE - NIFTY Index Options'!$M:$M,'NSE - NIFTY Index Options'!$C:$C,$A26,'NSE - NIFTY Index Options'!$B:$B,C$4)+SUMIFS('NSE - Other Index Options'!$M:$M,'NSE - Other Index Options'!$C:$C,$A26,'NSE - Other Index Options'!$B:$B,C$4)+SUMIFS('BSE - SENSEX Index Options'!$M:$M,'BSE - SENSEX Index Options'!$C:$C,$A26,'BSE - SENSEX Index Options'!$B:$B,C$4)+SUMIFS('BSE - Other Index Options'!$M:$M,'BSE - Other Index Options'!$C:$C,$A26,'BSE - Other Index Options'!$B:$B,C$4))</f>
        <v/>
      </c>
      <c r="D26" s="26">
        <f>IF(SUMIFS('NSE - NIFTY Index Options'!$M:$M,'NSE - NIFTY Index Options'!$C:$C,$A26,'NSE - NIFTY Index Options'!$B:$B,D$4)+SUMIFS('NSE - Other Index Options'!$M:$M,'NSE - Other Index Options'!$C:$C,$A26,'NSE - Other Index Options'!$B:$B,D$4)+SUMIFS('BSE - SENSEX Index Options'!$M:$M,'BSE - SENSEX Index Options'!$C:$C,$A26,'BSE - SENSEX Index Options'!$B:$B,D$4)+SUMIFS('BSE - Other Index Options'!$M:$M,'BSE - Other Index Options'!$C:$C,$A26,'BSE - Other Index Options'!$B:$B,D$4)=0,"",SUMIFS('NSE - NIFTY Index Options'!$M:$M,'NSE - NIFTY Index Options'!$C:$C,$A26,'NSE - NIFTY Index Options'!$B:$B,D$4)+SUMIFS('NSE - Other Index Options'!$M:$M,'NSE - Other Index Options'!$C:$C,$A26,'NSE - Other Index Options'!$B:$B,D$4)+SUMIFS('BSE - SENSEX Index Options'!$M:$M,'BSE - SENSEX Index Options'!$C:$C,$A26,'BSE - SENSEX Index Options'!$B:$B,D$4)+SUMIFS('BSE - Other Index Options'!$M:$M,'BSE - Other Index Options'!$C:$C,$A26,'BSE - Other Index Options'!$B:$B,D$4))</f>
        <v/>
      </c>
      <c r="E26" s="26">
        <f>IF(SUMIFS('NSE - NIFTY Index Options'!$M:$M,'NSE - NIFTY Index Options'!$C:$C,$A26,'NSE - NIFTY Index Options'!$B:$B,E$4)+SUMIFS('NSE - Other Index Options'!$M:$M,'NSE - Other Index Options'!$C:$C,$A26,'NSE - Other Index Options'!$B:$B,E$4)+SUMIFS('BSE - SENSEX Index Options'!$M:$M,'BSE - SENSEX Index Options'!$C:$C,$A26,'BSE - SENSEX Index Options'!$B:$B,E$4)+SUMIFS('BSE - Other Index Options'!$M:$M,'BSE - Other Index Options'!$C:$C,$A26,'BSE - Other Index Options'!$B:$B,E$4)=0,"",SUMIFS('NSE - NIFTY Index Options'!$M:$M,'NSE - NIFTY Index Options'!$C:$C,$A26,'NSE - NIFTY Index Options'!$B:$B,E$4)+SUMIFS('NSE - Other Index Options'!$M:$M,'NSE - Other Index Options'!$C:$C,$A26,'NSE - Other Index Options'!$B:$B,E$4)+SUMIFS('BSE - SENSEX Index Options'!$M:$M,'BSE - SENSEX Index Options'!$C:$C,$A26,'BSE - SENSEX Index Options'!$B:$B,E$4)+SUMIFS('BSE - Other Index Options'!$M:$M,'BSE - Other Index Options'!$C:$C,$A26,'BSE - Other Index Options'!$B:$B,E$4))</f>
        <v/>
      </c>
      <c r="F26" s="26">
        <f>IF(SUMIFS('NSE - NIFTY Index Options'!$M:$M,'NSE - NIFTY Index Options'!$C:$C,$A26,'NSE - NIFTY Index Options'!$B:$B,F$4)+SUMIFS('NSE - Other Index Options'!$M:$M,'NSE - Other Index Options'!$C:$C,$A26,'NSE - Other Index Options'!$B:$B,F$4)+SUMIFS('BSE - SENSEX Index Options'!$M:$M,'BSE - SENSEX Index Options'!$C:$C,$A26,'BSE - SENSEX Index Options'!$B:$B,F$4)+SUMIFS('BSE - Other Index Options'!$M:$M,'BSE - Other Index Options'!$C:$C,$A26,'BSE - Other Index Options'!$B:$B,F$4)=0,"",SUMIFS('NSE - NIFTY Index Options'!$M:$M,'NSE - NIFTY Index Options'!$C:$C,$A26,'NSE - NIFTY Index Options'!$B:$B,F$4)+SUMIFS('NSE - Other Index Options'!$M:$M,'NSE - Other Index Options'!$C:$C,$A26,'NSE - Other Index Options'!$B:$B,F$4)+SUMIFS('BSE - SENSEX Index Options'!$M:$M,'BSE - SENSEX Index Options'!$C:$C,$A26,'BSE - SENSEX Index Options'!$B:$B,F$4)+SUMIFS('BSE - Other Index Options'!$M:$M,'BSE - Other Index Options'!$C:$C,$A26,'BSE - Other Index Options'!$B:$B,F$4))</f>
        <v/>
      </c>
      <c r="G26" s="26">
        <f>IF(SUMIFS('NSE - NIFTY Index Options'!$M:$M,'NSE - NIFTY Index Options'!$C:$C,$A26,'NSE - NIFTY Index Options'!$B:$B,G$4)+SUMIFS('NSE - Other Index Options'!$M:$M,'NSE - Other Index Options'!$C:$C,$A26,'NSE - Other Index Options'!$B:$B,G$4)+SUMIFS('BSE - SENSEX Index Options'!$M:$M,'BSE - SENSEX Index Options'!$C:$C,$A26,'BSE - SENSEX Index Options'!$B:$B,G$4)+SUMIFS('BSE - Other Index Options'!$M:$M,'BSE - Other Index Options'!$C:$C,$A26,'BSE - Other Index Options'!$B:$B,G$4)=0,"",SUMIFS('NSE - NIFTY Index Options'!$M:$M,'NSE - NIFTY Index Options'!$C:$C,$A26,'NSE - NIFTY Index Options'!$B:$B,G$4)+SUMIFS('NSE - Other Index Options'!$M:$M,'NSE - Other Index Options'!$C:$C,$A26,'NSE - Other Index Options'!$B:$B,G$4)+SUMIFS('BSE - SENSEX Index Options'!$M:$M,'BSE - SENSEX Index Options'!$C:$C,$A26,'BSE - SENSEX Index Options'!$B:$B,G$4)+SUMIFS('BSE - Other Index Options'!$M:$M,'BSE - Other Index Options'!$C:$C,$A26,'BSE - Other Index Options'!$B:$B,G$4))</f>
        <v/>
      </c>
      <c r="H26" s="26">
        <f>IF(SUM(B26:G26)=0,"",SUM(B26:G26))</f>
        <v/>
      </c>
    </row>
    <row r="27">
      <c r="A27" t="inlineStr">
        <is>
          <t>Week3-Jan-2026</t>
        </is>
      </c>
      <c r="B27" s="26">
        <f>IF(SUMIFS('NSE - NIFTY Index Options'!$M:$M,'NSE - NIFTY Index Options'!$C:$C,$A27,'NSE - NIFTY Index Options'!$B:$B,B$4)+SUMIFS('NSE - Other Index Options'!$M:$M,'NSE - Other Index Options'!$C:$C,$A27,'NSE - Other Index Options'!$B:$B,B$4)+SUMIFS('BSE - SENSEX Index Options'!$M:$M,'BSE - SENSEX Index Options'!$C:$C,$A27,'BSE - SENSEX Index Options'!$B:$B,B$4)+SUMIFS('BSE - Other Index Options'!$M:$M,'BSE - Other Index Options'!$C:$C,$A27,'BSE - Other Index Options'!$B:$B,B$4)=0,"",SUMIFS('NSE - NIFTY Index Options'!$M:$M,'NSE - NIFTY Index Options'!$C:$C,$A27,'NSE - NIFTY Index Options'!$B:$B,B$4)+SUMIFS('NSE - Other Index Options'!$M:$M,'NSE - Other Index Options'!$C:$C,$A27,'NSE - Other Index Options'!$B:$B,B$4)+SUMIFS('BSE - SENSEX Index Options'!$M:$M,'BSE - SENSEX Index Options'!$C:$C,$A27,'BSE - SENSEX Index Options'!$B:$B,B$4)+SUMIFS('BSE - Other Index Options'!$M:$M,'BSE - Other Index Options'!$C:$C,$A27,'BSE - Other Index Options'!$B:$B,B$4))</f>
        <v/>
      </c>
      <c r="C27" s="26">
        <f>IF(SUMIFS('NSE - NIFTY Index Options'!$M:$M,'NSE - NIFTY Index Options'!$C:$C,$A27,'NSE - NIFTY Index Options'!$B:$B,C$4)+SUMIFS('NSE - Other Index Options'!$M:$M,'NSE - Other Index Options'!$C:$C,$A27,'NSE - Other Index Options'!$B:$B,C$4)+SUMIFS('BSE - SENSEX Index Options'!$M:$M,'BSE - SENSEX Index Options'!$C:$C,$A27,'BSE - SENSEX Index Options'!$B:$B,C$4)+SUMIFS('BSE - Other Index Options'!$M:$M,'BSE - Other Index Options'!$C:$C,$A27,'BSE - Other Index Options'!$B:$B,C$4)=0,"",SUMIFS('NSE - NIFTY Index Options'!$M:$M,'NSE - NIFTY Index Options'!$C:$C,$A27,'NSE - NIFTY Index Options'!$B:$B,C$4)+SUMIFS('NSE - Other Index Options'!$M:$M,'NSE - Other Index Options'!$C:$C,$A27,'NSE - Other Index Options'!$B:$B,C$4)+SUMIFS('BSE - SENSEX Index Options'!$M:$M,'BSE - SENSEX Index Options'!$C:$C,$A27,'BSE - SENSEX Index Options'!$B:$B,C$4)+SUMIFS('BSE - Other Index Options'!$M:$M,'BSE - Other Index Options'!$C:$C,$A27,'BSE - Other Index Options'!$B:$B,C$4))</f>
        <v/>
      </c>
      <c r="D27" s="26">
        <f>IF(SUMIFS('NSE - NIFTY Index Options'!$M:$M,'NSE - NIFTY Index Options'!$C:$C,$A27,'NSE - NIFTY Index Options'!$B:$B,D$4)+SUMIFS('NSE - Other Index Options'!$M:$M,'NSE - Other Index Options'!$C:$C,$A27,'NSE - Other Index Options'!$B:$B,D$4)+SUMIFS('BSE - SENSEX Index Options'!$M:$M,'BSE - SENSEX Index Options'!$C:$C,$A27,'BSE - SENSEX Index Options'!$B:$B,D$4)+SUMIFS('BSE - Other Index Options'!$M:$M,'BSE - Other Index Options'!$C:$C,$A27,'BSE - Other Index Options'!$B:$B,D$4)=0,"",SUMIFS('NSE - NIFTY Index Options'!$M:$M,'NSE - NIFTY Index Options'!$C:$C,$A27,'NSE - NIFTY Index Options'!$B:$B,D$4)+SUMIFS('NSE - Other Index Options'!$M:$M,'NSE - Other Index Options'!$C:$C,$A27,'NSE - Other Index Options'!$B:$B,D$4)+SUMIFS('BSE - SENSEX Index Options'!$M:$M,'BSE - SENSEX Index Options'!$C:$C,$A27,'BSE - SENSEX Index Options'!$B:$B,D$4)+SUMIFS('BSE - Other Index Options'!$M:$M,'BSE - Other Index Options'!$C:$C,$A27,'BSE - Other Index Options'!$B:$B,D$4))</f>
        <v/>
      </c>
      <c r="E27" s="26">
        <f>IF(SUMIFS('NSE - NIFTY Index Options'!$M:$M,'NSE - NIFTY Index Options'!$C:$C,$A27,'NSE - NIFTY Index Options'!$B:$B,E$4)+SUMIFS('NSE - Other Index Options'!$M:$M,'NSE - Other Index Options'!$C:$C,$A27,'NSE - Other Index Options'!$B:$B,E$4)+SUMIFS('BSE - SENSEX Index Options'!$M:$M,'BSE - SENSEX Index Options'!$C:$C,$A27,'BSE - SENSEX Index Options'!$B:$B,E$4)+SUMIFS('BSE - Other Index Options'!$M:$M,'BSE - Other Index Options'!$C:$C,$A27,'BSE - Other Index Options'!$B:$B,E$4)=0,"",SUMIFS('NSE - NIFTY Index Options'!$M:$M,'NSE - NIFTY Index Options'!$C:$C,$A27,'NSE - NIFTY Index Options'!$B:$B,E$4)+SUMIFS('NSE - Other Index Options'!$M:$M,'NSE - Other Index Options'!$C:$C,$A27,'NSE - Other Index Options'!$B:$B,E$4)+SUMIFS('BSE - SENSEX Index Options'!$M:$M,'BSE - SENSEX Index Options'!$C:$C,$A27,'BSE - SENSEX Index Options'!$B:$B,E$4)+SUMIFS('BSE - Other Index Options'!$M:$M,'BSE - Other Index Options'!$C:$C,$A27,'BSE - Other Index Options'!$B:$B,E$4))</f>
        <v/>
      </c>
      <c r="F27" s="26">
        <f>IF(SUMIFS('NSE - NIFTY Index Options'!$M:$M,'NSE - NIFTY Index Options'!$C:$C,$A27,'NSE - NIFTY Index Options'!$B:$B,F$4)+SUMIFS('NSE - Other Index Options'!$M:$M,'NSE - Other Index Options'!$C:$C,$A27,'NSE - Other Index Options'!$B:$B,F$4)+SUMIFS('BSE - SENSEX Index Options'!$M:$M,'BSE - SENSEX Index Options'!$C:$C,$A27,'BSE - SENSEX Index Options'!$B:$B,F$4)+SUMIFS('BSE - Other Index Options'!$M:$M,'BSE - Other Index Options'!$C:$C,$A27,'BSE - Other Index Options'!$B:$B,F$4)=0,"",SUMIFS('NSE - NIFTY Index Options'!$M:$M,'NSE - NIFTY Index Options'!$C:$C,$A27,'NSE - NIFTY Index Options'!$B:$B,F$4)+SUMIFS('NSE - Other Index Options'!$M:$M,'NSE - Other Index Options'!$C:$C,$A27,'NSE - Other Index Options'!$B:$B,F$4)+SUMIFS('BSE - SENSEX Index Options'!$M:$M,'BSE - SENSEX Index Options'!$C:$C,$A27,'BSE - SENSEX Index Options'!$B:$B,F$4)+SUMIFS('BSE - Other Index Options'!$M:$M,'BSE - Other Index Options'!$C:$C,$A27,'BSE - Other Index Options'!$B:$B,F$4))</f>
        <v/>
      </c>
      <c r="G27" s="26">
        <f>IF(SUMIFS('NSE - NIFTY Index Options'!$M:$M,'NSE - NIFTY Index Options'!$C:$C,$A27,'NSE - NIFTY Index Options'!$B:$B,G$4)+SUMIFS('NSE - Other Index Options'!$M:$M,'NSE - Other Index Options'!$C:$C,$A27,'NSE - Other Index Options'!$B:$B,G$4)+SUMIFS('BSE - SENSEX Index Options'!$M:$M,'BSE - SENSEX Index Options'!$C:$C,$A27,'BSE - SENSEX Index Options'!$B:$B,G$4)+SUMIFS('BSE - Other Index Options'!$M:$M,'BSE - Other Index Options'!$C:$C,$A27,'BSE - Other Index Options'!$B:$B,G$4)=0,"",SUMIFS('NSE - NIFTY Index Options'!$M:$M,'NSE - NIFTY Index Options'!$C:$C,$A27,'NSE - NIFTY Index Options'!$B:$B,G$4)+SUMIFS('NSE - Other Index Options'!$M:$M,'NSE - Other Index Options'!$C:$C,$A27,'NSE - Other Index Options'!$B:$B,G$4)+SUMIFS('BSE - SENSEX Index Options'!$M:$M,'BSE - SENSEX Index Options'!$C:$C,$A27,'BSE - SENSEX Index Options'!$B:$B,G$4)+SUMIFS('BSE - Other Index Options'!$M:$M,'BSE - Other Index Options'!$C:$C,$A27,'BSE - Other Index Options'!$B:$B,G$4))</f>
        <v/>
      </c>
      <c r="H27" s="26">
        <f>IF(SUM(B27:G27)=0,"",SUM(B27:G27))</f>
        <v/>
      </c>
    </row>
    <row r="28">
      <c r="A28" t="inlineStr">
        <is>
          <t>Week4-Jan-2026</t>
        </is>
      </c>
      <c r="B28" s="26">
        <f>IF(SUMIFS('NSE - NIFTY Index Options'!$M:$M,'NSE - NIFTY Index Options'!$C:$C,$A28,'NSE - NIFTY Index Options'!$B:$B,B$4)+SUMIFS('NSE - Other Index Options'!$M:$M,'NSE - Other Index Options'!$C:$C,$A28,'NSE - Other Index Options'!$B:$B,B$4)+SUMIFS('BSE - SENSEX Index Options'!$M:$M,'BSE - SENSEX Index Options'!$C:$C,$A28,'BSE - SENSEX Index Options'!$B:$B,B$4)+SUMIFS('BSE - Other Index Options'!$M:$M,'BSE - Other Index Options'!$C:$C,$A28,'BSE - Other Index Options'!$B:$B,B$4)=0,"",SUMIFS('NSE - NIFTY Index Options'!$M:$M,'NSE - NIFTY Index Options'!$C:$C,$A28,'NSE - NIFTY Index Options'!$B:$B,B$4)+SUMIFS('NSE - Other Index Options'!$M:$M,'NSE - Other Index Options'!$C:$C,$A28,'NSE - Other Index Options'!$B:$B,B$4)+SUMIFS('BSE - SENSEX Index Options'!$M:$M,'BSE - SENSEX Index Options'!$C:$C,$A28,'BSE - SENSEX Index Options'!$B:$B,B$4)+SUMIFS('BSE - Other Index Options'!$M:$M,'BSE - Other Index Options'!$C:$C,$A28,'BSE - Other Index Options'!$B:$B,B$4))</f>
        <v/>
      </c>
      <c r="C28" s="26">
        <f>IF(SUMIFS('NSE - NIFTY Index Options'!$M:$M,'NSE - NIFTY Index Options'!$C:$C,$A28,'NSE - NIFTY Index Options'!$B:$B,C$4)+SUMIFS('NSE - Other Index Options'!$M:$M,'NSE - Other Index Options'!$C:$C,$A28,'NSE - Other Index Options'!$B:$B,C$4)+SUMIFS('BSE - SENSEX Index Options'!$M:$M,'BSE - SENSEX Index Options'!$C:$C,$A28,'BSE - SENSEX Index Options'!$B:$B,C$4)+SUMIFS('BSE - Other Index Options'!$M:$M,'BSE - Other Index Options'!$C:$C,$A28,'BSE - Other Index Options'!$B:$B,C$4)=0,"",SUMIFS('NSE - NIFTY Index Options'!$M:$M,'NSE - NIFTY Index Options'!$C:$C,$A28,'NSE - NIFTY Index Options'!$B:$B,C$4)+SUMIFS('NSE - Other Index Options'!$M:$M,'NSE - Other Index Options'!$C:$C,$A28,'NSE - Other Index Options'!$B:$B,C$4)+SUMIFS('BSE - SENSEX Index Options'!$M:$M,'BSE - SENSEX Index Options'!$C:$C,$A28,'BSE - SENSEX Index Options'!$B:$B,C$4)+SUMIFS('BSE - Other Index Options'!$M:$M,'BSE - Other Index Options'!$C:$C,$A28,'BSE - Other Index Options'!$B:$B,C$4))</f>
        <v/>
      </c>
      <c r="D28" s="26">
        <f>IF(SUMIFS('NSE - NIFTY Index Options'!$M:$M,'NSE - NIFTY Index Options'!$C:$C,$A28,'NSE - NIFTY Index Options'!$B:$B,D$4)+SUMIFS('NSE - Other Index Options'!$M:$M,'NSE - Other Index Options'!$C:$C,$A28,'NSE - Other Index Options'!$B:$B,D$4)+SUMIFS('BSE - SENSEX Index Options'!$M:$M,'BSE - SENSEX Index Options'!$C:$C,$A28,'BSE - SENSEX Index Options'!$B:$B,D$4)+SUMIFS('BSE - Other Index Options'!$M:$M,'BSE - Other Index Options'!$C:$C,$A28,'BSE - Other Index Options'!$B:$B,D$4)=0,"",SUMIFS('NSE - NIFTY Index Options'!$M:$M,'NSE - NIFTY Index Options'!$C:$C,$A28,'NSE - NIFTY Index Options'!$B:$B,D$4)+SUMIFS('NSE - Other Index Options'!$M:$M,'NSE - Other Index Options'!$C:$C,$A28,'NSE - Other Index Options'!$B:$B,D$4)+SUMIFS('BSE - SENSEX Index Options'!$M:$M,'BSE - SENSEX Index Options'!$C:$C,$A28,'BSE - SENSEX Index Options'!$B:$B,D$4)+SUMIFS('BSE - Other Index Options'!$M:$M,'BSE - Other Index Options'!$C:$C,$A28,'BSE - Other Index Options'!$B:$B,D$4))</f>
        <v/>
      </c>
      <c r="E28" s="26">
        <f>IF(SUMIFS('NSE - NIFTY Index Options'!$M:$M,'NSE - NIFTY Index Options'!$C:$C,$A28,'NSE - NIFTY Index Options'!$B:$B,E$4)+SUMIFS('NSE - Other Index Options'!$M:$M,'NSE - Other Index Options'!$C:$C,$A28,'NSE - Other Index Options'!$B:$B,E$4)+SUMIFS('BSE - SENSEX Index Options'!$M:$M,'BSE - SENSEX Index Options'!$C:$C,$A28,'BSE - SENSEX Index Options'!$B:$B,E$4)+SUMIFS('BSE - Other Index Options'!$M:$M,'BSE - Other Index Options'!$C:$C,$A28,'BSE - Other Index Options'!$B:$B,E$4)=0,"",SUMIFS('NSE - NIFTY Index Options'!$M:$M,'NSE - NIFTY Index Options'!$C:$C,$A28,'NSE - NIFTY Index Options'!$B:$B,E$4)+SUMIFS('NSE - Other Index Options'!$M:$M,'NSE - Other Index Options'!$C:$C,$A28,'NSE - Other Index Options'!$B:$B,E$4)+SUMIFS('BSE - SENSEX Index Options'!$M:$M,'BSE - SENSEX Index Options'!$C:$C,$A28,'BSE - SENSEX Index Options'!$B:$B,E$4)+SUMIFS('BSE - Other Index Options'!$M:$M,'BSE - Other Index Options'!$C:$C,$A28,'BSE - Other Index Options'!$B:$B,E$4))</f>
        <v/>
      </c>
      <c r="F28" s="26">
        <f>IF(SUMIFS('NSE - NIFTY Index Options'!$M:$M,'NSE - NIFTY Index Options'!$C:$C,$A28,'NSE - NIFTY Index Options'!$B:$B,F$4)+SUMIFS('NSE - Other Index Options'!$M:$M,'NSE - Other Index Options'!$C:$C,$A28,'NSE - Other Index Options'!$B:$B,F$4)+SUMIFS('BSE - SENSEX Index Options'!$M:$M,'BSE - SENSEX Index Options'!$C:$C,$A28,'BSE - SENSEX Index Options'!$B:$B,F$4)+SUMIFS('BSE - Other Index Options'!$M:$M,'BSE - Other Index Options'!$C:$C,$A28,'BSE - Other Index Options'!$B:$B,F$4)=0,"",SUMIFS('NSE - NIFTY Index Options'!$M:$M,'NSE - NIFTY Index Options'!$C:$C,$A28,'NSE - NIFTY Index Options'!$B:$B,F$4)+SUMIFS('NSE - Other Index Options'!$M:$M,'NSE - Other Index Options'!$C:$C,$A28,'NSE - Other Index Options'!$B:$B,F$4)+SUMIFS('BSE - SENSEX Index Options'!$M:$M,'BSE - SENSEX Index Options'!$C:$C,$A28,'BSE - SENSEX Index Options'!$B:$B,F$4)+SUMIFS('BSE - Other Index Options'!$M:$M,'BSE - Other Index Options'!$C:$C,$A28,'BSE - Other Index Options'!$B:$B,F$4))</f>
        <v/>
      </c>
      <c r="G28" s="26">
        <f>IF(SUMIFS('NSE - NIFTY Index Options'!$M:$M,'NSE - NIFTY Index Options'!$C:$C,$A28,'NSE - NIFTY Index Options'!$B:$B,G$4)+SUMIFS('NSE - Other Index Options'!$M:$M,'NSE - Other Index Options'!$C:$C,$A28,'NSE - Other Index Options'!$B:$B,G$4)+SUMIFS('BSE - SENSEX Index Options'!$M:$M,'BSE - SENSEX Index Options'!$C:$C,$A28,'BSE - SENSEX Index Options'!$B:$B,G$4)+SUMIFS('BSE - Other Index Options'!$M:$M,'BSE - Other Index Options'!$C:$C,$A28,'BSE - Other Index Options'!$B:$B,G$4)=0,"",SUMIFS('NSE - NIFTY Index Options'!$M:$M,'NSE - NIFTY Index Options'!$C:$C,$A28,'NSE - NIFTY Index Options'!$B:$B,G$4)+SUMIFS('NSE - Other Index Options'!$M:$M,'NSE - Other Index Options'!$C:$C,$A28,'NSE - Other Index Options'!$B:$B,G$4)+SUMIFS('BSE - SENSEX Index Options'!$M:$M,'BSE - SENSEX Index Options'!$C:$C,$A28,'BSE - SENSEX Index Options'!$B:$B,G$4)+SUMIFS('BSE - Other Index Options'!$M:$M,'BSE - Other Index Options'!$C:$C,$A28,'BSE - Other Index Options'!$B:$B,G$4))</f>
        <v/>
      </c>
      <c r="H28" s="26">
        <f>IF(SUM(B28:G28)=0,"",SUM(B28:G28))</f>
        <v/>
      </c>
    </row>
    <row r="29">
      <c r="A29" t="inlineStr">
        <is>
          <t>Week5-Jan-2026</t>
        </is>
      </c>
      <c r="B29" s="26">
        <f>IF(SUMIFS('NSE - NIFTY Index Options'!$M:$M,'NSE - NIFTY Index Options'!$C:$C,$A29,'NSE - NIFTY Index Options'!$B:$B,B$4)+SUMIFS('NSE - Other Index Options'!$M:$M,'NSE - Other Index Options'!$C:$C,$A29,'NSE - Other Index Options'!$B:$B,B$4)+SUMIFS('BSE - SENSEX Index Options'!$M:$M,'BSE - SENSEX Index Options'!$C:$C,$A29,'BSE - SENSEX Index Options'!$B:$B,B$4)+SUMIFS('BSE - Other Index Options'!$M:$M,'BSE - Other Index Options'!$C:$C,$A29,'BSE - Other Index Options'!$B:$B,B$4)=0,"",SUMIFS('NSE - NIFTY Index Options'!$M:$M,'NSE - NIFTY Index Options'!$C:$C,$A29,'NSE - NIFTY Index Options'!$B:$B,B$4)+SUMIFS('NSE - Other Index Options'!$M:$M,'NSE - Other Index Options'!$C:$C,$A29,'NSE - Other Index Options'!$B:$B,B$4)+SUMIFS('BSE - SENSEX Index Options'!$M:$M,'BSE - SENSEX Index Options'!$C:$C,$A29,'BSE - SENSEX Index Options'!$B:$B,B$4)+SUMIFS('BSE - Other Index Options'!$M:$M,'BSE - Other Index Options'!$C:$C,$A29,'BSE - Other Index Options'!$B:$B,B$4))</f>
        <v/>
      </c>
      <c r="C29" s="26">
        <f>IF(SUMIFS('NSE - NIFTY Index Options'!$M:$M,'NSE - NIFTY Index Options'!$C:$C,$A29,'NSE - NIFTY Index Options'!$B:$B,C$4)+SUMIFS('NSE - Other Index Options'!$M:$M,'NSE - Other Index Options'!$C:$C,$A29,'NSE - Other Index Options'!$B:$B,C$4)+SUMIFS('BSE - SENSEX Index Options'!$M:$M,'BSE - SENSEX Index Options'!$C:$C,$A29,'BSE - SENSEX Index Options'!$B:$B,C$4)+SUMIFS('BSE - Other Index Options'!$M:$M,'BSE - Other Index Options'!$C:$C,$A29,'BSE - Other Index Options'!$B:$B,C$4)=0,"",SUMIFS('NSE - NIFTY Index Options'!$M:$M,'NSE - NIFTY Index Options'!$C:$C,$A29,'NSE - NIFTY Index Options'!$B:$B,C$4)+SUMIFS('NSE - Other Index Options'!$M:$M,'NSE - Other Index Options'!$C:$C,$A29,'NSE - Other Index Options'!$B:$B,C$4)+SUMIFS('BSE - SENSEX Index Options'!$M:$M,'BSE - SENSEX Index Options'!$C:$C,$A29,'BSE - SENSEX Index Options'!$B:$B,C$4)+SUMIFS('BSE - Other Index Options'!$M:$M,'BSE - Other Index Options'!$C:$C,$A29,'BSE - Other Index Options'!$B:$B,C$4))</f>
        <v/>
      </c>
      <c r="D29" s="26">
        <f>IF(SUMIFS('NSE - NIFTY Index Options'!$M:$M,'NSE - NIFTY Index Options'!$C:$C,$A29,'NSE - NIFTY Index Options'!$B:$B,D$4)+SUMIFS('NSE - Other Index Options'!$M:$M,'NSE - Other Index Options'!$C:$C,$A29,'NSE - Other Index Options'!$B:$B,D$4)+SUMIFS('BSE - SENSEX Index Options'!$M:$M,'BSE - SENSEX Index Options'!$C:$C,$A29,'BSE - SENSEX Index Options'!$B:$B,D$4)+SUMIFS('BSE - Other Index Options'!$M:$M,'BSE - Other Index Options'!$C:$C,$A29,'BSE - Other Index Options'!$B:$B,D$4)=0,"",SUMIFS('NSE - NIFTY Index Options'!$M:$M,'NSE - NIFTY Index Options'!$C:$C,$A29,'NSE - NIFTY Index Options'!$B:$B,D$4)+SUMIFS('NSE - Other Index Options'!$M:$M,'NSE - Other Index Options'!$C:$C,$A29,'NSE - Other Index Options'!$B:$B,D$4)+SUMIFS('BSE - SENSEX Index Options'!$M:$M,'BSE - SENSEX Index Options'!$C:$C,$A29,'BSE - SENSEX Index Options'!$B:$B,D$4)+SUMIFS('BSE - Other Index Options'!$M:$M,'BSE - Other Index Options'!$C:$C,$A29,'BSE - Other Index Options'!$B:$B,D$4))</f>
        <v/>
      </c>
      <c r="E29" s="26">
        <f>IF(SUMIFS('NSE - NIFTY Index Options'!$M:$M,'NSE - NIFTY Index Options'!$C:$C,$A29,'NSE - NIFTY Index Options'!$B:$B,E$4)+SUMIFS('NSE - Other Index Options'!$M:$M,'NSE - Other Index Options'!$C:$C,$A29,'NSE - Other Index Options'!$B:$B,E$4)+SUMIFS('BSE - SENSEX Index Options'!$M:$M,'BSE - SENSEX Index Options'!$C:$C,$A29,'BSE - SENSEX Index Options'!$B:$B,E$4)+SUMIFS('BSE - Other Index Options'!$M:$M,'BSE - Other Index Options'!$C:$C,$A29,'BSE - Other Index Options'!$B:$B,E$4)=0,"",SUMIFS('NSE - NIFTY Index Options'!$M:$M,'NSE - NIFTY Index Options'!$C:$C,$A29,'NSE - NIFTY Index Options'!$B:$B,E$4)+SUMIFS('NSE - Other Index Options'!$M:$M,'NSE - Other Index Options'!$C:$C,$A29,'NSE - Other Index Options'!$B:$B,E$4)+SUMIFS('BSE - SENSEX Index Options'!$M:$M,'BSE - SENSEX Index Options'!$C:$C,$A29,'BSE - SENSEX Index Options'!$B:$B,E$4)+SUMIFS('BSE - Other Index Options'!$M:$M,'BSE - Other Index Options'!$C:$C,$A29,'BSE - Other Index Options'!$B:$B,E$4))</f>
        <v/>
      </c>
      <c r="F29" s="26">
        <f>IF(SUMIFS('NSE - NIFTY Index Options'!$M:$M,'NSE - NIFTY Index Options'!$C:$C,$A29,'NSE - NIFTY Index Options'!$B:$B,F$4)+SUMIFS('NSE - Other Index Options'!$M:$M,'NSE - Other Index Options'!$C:$C,$A29,'NSE - Other Index Options'!$B:$B,F$4)+SUMIFS('BSE - SENSEX Index Options'!$M:$M,'BSE - SENSEX Index Options'!$C:$C,$A29,'BSE - SENSEX Index Options'!$B:$B,F$4)+SUMIFS('BSE - Other Index Options'!$M:$M,'BSE - Other Index Options'!$C:$C,$A29,'BSE - Other Index Options'!$B:$B,F$4)=0,"",SUMIFS('NSE - NIFTY Index Options'!$M:$M,'NSE - NIFTY Index Options'!$C:$C,$A29,'NSE - NIFTY Index Options'!$B:$B,F$4)+SUMIFS('NSE - Other Index Options'!$M:$M,'NSE - Other Index Options'!$C:$C,$A29,'NSE - Other Index Options'!$B:$B,F$4)+SUMIFS('BSE - SENSEX Index Options'!$M:$M,'BSE - SENSEX Index Options'!$C:$C,$A29,'BSE - SENSEX Index Options'!$B:$B,F$4)+SUMIFS('BSE - Other Index Options'!$M:$M,'BSE - Other Index Options'!$C:$C,$A29,'BSE - Other Index Options'!$B:$B,F$4))</f>
        <v/>
      </c>
      <c r="G29" s="26">
        <f>IF(SUMIFS('NSE - NIFTY Index Options'!$M:$M,'NSE - NIFTY Index Options'!$C:$C,$A29,'NSE - NIFTY Index Options'!$B:$B,G$4)+SUMIFS('NSE - Other Index Options'!$M:$M,'NSE - Other Index Options'!$C:$C,$A29,'NSE - Other Index Options'!$B:$B,G$4)+SUMIFS('BSE - SENSEX Index Options'!$M:$M,'BSE - SENSEX Index Options'!$C:$C,$A29,'BSE - SENSEX Index Options'!$B:$B,G$4)+SUMIFS('BSE - Other Index Options'!$M:$M,'BSE - Other Index Options'!$C:$C,$A29,'BSE - Other Index Options'!$B:$B,G$4)=0,"",SUMIFS('NSE - NIFTY Index Options'!$M:$M,'NSE - NIFTY Index Options'!$C:$C,$A29,'NSE - NIFTY Index Options'!$B:$B,G$4)+SUMIFS('NSE - Other Index Options'!$M:$M,'NSE - Other Index Options'!$C:$C,$A29,'NSE - Other Index Options'!$B:$B,G$4)+SUMIFS('BSE - SENSEX Index Options'!$M:$M,'BSE - SENSEX Index Options'!$C:$C,$A29,'BSE - SENSEX Index Options'!$B:$B,G$4)+SUMIFS('BSE - Other Index Options'!$M:$M,'BSE - Other Index Options'!$C:$C,$A29,'BSE - Other Index Options'!$B:$B,G$4))</f>
        <v/>
      </c>
      <c r="H29" s="26">
        <f>IF(SUM(B29:G29)=0,"",SUM(B29:G29))</f>
        <v/>
      </c>
    </row>
    <row r="30">
      <c r="A30" t="inlineStr">
        <is>
          <t>Week1-Feb-2026</t>
        </is>
      </c>
      <c r="B30" s="26">
        <f>IF(SUMIFS('NSE - NIFTY Index Options'!$M:$M,'NSE - NIFTY Index Options'!$C:$C,$A30,'NSE - NIFTY Index Options'!$B:$B,B$4)+SUMIFS('NSE - Other Index Options'!$M:$M,'NSE - Other Index Options'!$C:$C,$A30,'NSE - Other Index Options'!$B:$B,B$4)+SUMIFS('BSE - SENSEX Index Options'!$M:$M,'BSE - SENSEX Index Options'!$C:$C,$A30,'BSE - SENSEX Index Options'!$B:$B,B$4)+SUMIFS('BSE - Other Index Options'!$M:$M,'BSE - Other Index Options'!$C:$C,$A30,'BSE - Other Index Options'!$B:$B,B$4)=0,"",SUMIFS('NSE - NIFTY Index Options'!$M:$M,'NSE - NIFTY Index Options'!$C:$C,$A30,'NSE - NIFTY Index Options'!$B:$B,B$4)+SUMIFS('NSE - Other Index Options'!$M:$M,'NSE - Other Index Options'!$C:$C,$A30,'NSE - Other Index Options'!$B:$B,B$4)+SUMIFS('BSE - SENSEX Index Options'!$M:$M,'BSE - SENSEX Index Options'!$C:$C,$A30,'BSE - SENSEX Index Options'!$B:$B,B$4)+SUMIFS('BSE - Other Index Options'!$M:$M,'BSE - Other Index Options'!$C:$C,$A30,'BSE - Other Index Options'!$B:$B,B$4))</f>
        <v/>
      </c>
      <c r="C30" s="26">
        <f>IF(SUMIFS('NSE - NIFTY Index Options'!$M:$M,'NSE - NIFTY Index Options'!$C:$C,$A30,'NSE - NIFTY Index Options'!$B:$B,C$4)+SUMIFS('NSE - Other Index Options'!$M:$M,'NSE - Other Index Options'!$C:$C,$A30,'NSE - Other Index Options'!$B:$B,C$4)+SUMIFS('BSE - SENSEX Index Options'!$M:$M,'BSE - SENSEX Index Options'!$C:$C,$A30,'BSE - SENSEX Index Options'!$B:$B,C$4)+SUMIFS('BSE - Other Index Options'!$M:$M,'BSE - Other Index Options'!$C:$C,$A30,'BSE - Other Index Options'!$B:$B,C$4)=0,"",SUMIFS('NSE - NIFTY Index Options'!$M:$M,'NSE - NIFTY Index Options'!$C:$C,$A30,'NSE - NIFTY Index Options'!$B:$B,C$4)+SUMIFS('NSE - Other Index Options'!$M:$M,'NSE - Other Index Options'!$C:$C,$A30,'NSE - Other Index Options'!$B:$B,C$4)+SUMIFS('BSE - SENSEX Index Options'!$M:$M,'BSE - SENSEX Index Options'!$C:$C,$A30,'BSE - SENSEX Index Options'!$B:$B,C$4)+SUMIFS('BSE - Other Index Options'!$M:$M,'BSE - Other Index Options'!$C:$C,$A30,'BSE - Other Index Options'!$B:$B,C$4))</f>
        <v/>
      </c>
      <c r="D30" s="26">
        <f>IF(SUMIFS('NSE - NIFTY Index Options'!$M:$M,'NSE - NIFTY Index Options'!$C:$C,$A30,'NSE - NIFTY Index Options'!$B:$B,D$4)+SUMIFS('NSE - Other Index Options'!$M:$M,'NSE - Other Index Options'!$C:$C,$A30,'NSE - Other Index Options'!$B:$B,D$4)+SUMIFS('BSE - SENSEX Index Options'!$M:$M,'BSE - SENSEX Index Options'!$C:$C,$A30,'BSE - SENSEX Index Options'!$B:$B,D$4)+SUMIFS('BSE - Other Index Options'!$M:$M,'BSE - Other Index Options'!$C:$C,$A30,'BSE - Other Index Options'!$B:$B,D$4)=0,"",SUMIFS('NSE - NIFTY Index Options'!$M:$M,'NSE - NIFTY Index Options'!$C:$C,$A30,'NSE - NIFTY Index Options'!$B:$B,D$4)+SUMIFS('NSE - Other Index Options'!$M:$M,'NSE - Other Index Options'!$C:$C,$A30,'NSE - Other Index Options'!$B:$B,D$4)+SUMIFS('BSE - SENSEX Index Options'!$M:$M,'BSE - SENSEX Index Options'!$C:$C,$A30,'BSE - SENSEX Index Options'!$B:$B,D$4)+SUMIFS('BSE - Other Index Options'!$M:$M,'BSE - Other Index Options'!$C:$C,$A30,'BSE - Other Index Options'!$B:$B,D$4))</f>
        <v/>
      </c>
      <c r="E30" s="26">
        <f>IF(SUMIFS('NSE - NIFTY Index Options'!$M:$M,'NSE - NIFTY Index Options'!$C:$C,$A30,'NSE - NIFTY Index Options'!$B:$B,E$4)+SUMIFS('NSE - Other Index Options'!$M:$M,'NSE - Other Index Options'!$C:$C,$A30,'NSE - Other Index Options'!$B:$B,E$4)+SUMIFS('BSE - SENSEX Index Options'!$M:$M,'BSE - SENSEX Index Options'!$C:$C,$A30,'BSE - SENSEX Index Options'!$B:$B,E$4)+SUMIFS('BSE - Other Index Options'!$M:$M,'BSE - Other Index Options'!$C:$C,$A30,'BSE - Other Index Options'!$B:$B,E$4)=0,"",SUMIFS('NSE - NIFTY Index Options'!$M:$M,'NSE - NIFTY Index Options'!$C:$C,$A30,'NSE - NIFTY Index Options'!$B:$B,E$4)+SUMIFS('NSE - Other Index Options'!$M:$M,'NSE - Other Index Options'!$C:$C,$A30,'NSE - Other Index Options'!$B:$B,E$4)+SUMIFS('BSE - SENSEX Index Options'!$M:$M,'BSE - SENSEX Index Options'!$C:$C,$A30,'BSE - SENSEX Index Options'!$B:$B,E$4)+SUMIFS('BSE - Other Index Options'!$M:$M,'BSE - Other Index Options'!$C:$C,$A30,'BSE - Other Index Options'!$B:$B,E$4))</f>
        <v/>
      </c>
      <c r="F30" s="26">
        <f>IF(SUMIFS('NSE - NIFTY Index Options'!$M:$M,'NSE - NIFTY Index Options'!$C:$C,$A30,'NSE - NIFTY Index Options'!$B:$B,F$4)+SUMIFS('NSE - Other Index Options'!$M:$M,'NSE - Other Index Options'!$C:$C,$A30,'NSE - Other Index Options'!$B:$B,F$4)+SUMIFS('BSE - SENSEX Index Options'!$M:$M,'BSE - SENSEX Index Options'!$C:$C,$A30,'BSE - SENSEX Index Options'!$B:$B,F$4)+SUMIFS('BSE - Other Index Options'!$M:$M,'BSE - Other Index Options'!$C:$C,$A30,'BSE - Other Index Options'!$B:$B,F$4)=0,"",SUMIFS('NSE - NIFTY Index Options'!$M:$M,'NSE - NIFTY Index Options'!$C:$C,$A30,'NSE - NIFTY Index Options'!$B:$B,F$4)+SUMIFS('NSE - Other Index Options'!$M:$M,'NSE - Other Index Options'!$C:$C,$A30,'NSE - Other Index Options'!$B:$B,F$4)+SUMIFS('BSE - SENSEX Index Options'!$M:$M,'BSE - SENSEX Index Options'!$C:$C,$A30,'BSE - SENSEX Index Options'!$B:$B,F$4)+SUMIFS('BSE - Other Index Options'!$M:$M,'BSE - Other Index Options'!$C:$C,$A30,'BSE - Other Index Options'!$B:$B,F$4))</f>
        <v/>
      </c>
      <c r="G30" s="26">
        <f>IF(SUMIFS('NSE - NIFTY Index Options'!$M:$M,'NSE - NIFTY Index Options'!$C:$C,$A30,'NSE - NIFTY Index Options'!$B:$B,G$4)+SUMIFS('NSE - Other Index Options'!$M:$M,'NSE - Other Index Options'!$C:$C,$A30,'NSE - Other Index Options'!$B:$B,G$4)+SUMIFS('BSE - SENSEX Index Options'!$M:$M,'BSE - SENSEX Index Options'!$C:$C,$A30,'BSE - SENSEX Index Options'!$B:$B,G$4)+SUMIFS('BSE - Other Index Options'!$M:$M,'BSE - Other Index Options'!$C:$C,$A30,'BSE - Other Index Options'!$B:$B,G$4)=0,"",SUMIFS('NSE - NIFTY Index Options'!$M:$M,'NSE - NIFTY Index Options'!$C:$C,$A30,'NSE - NIFTY Index Options'!$B:$B,G$4)+SUMIFS('NSE - Other Index Options'!$M:$M,'NSE - Other Index Options'!$C:$C,$A30,'NSE - Other Index Options'!$B:$B,G$4)+SUMIFS('BSE - SENSEX Index Options'!$M:$M,'BSE - SENSEX Index Options'!$C:$C,$A30,'BSE - SENSEX Index Options'!$B:$B,G$4)+SUMIFS('BSE - Other Index Options'!$M:$M,'BSE - Other Index Options'!$C:$C,$A30,'BSE - Other Index Options'!$B:$B,G$4))</f>
        <v/>
      </c>
      <c r="H30" s="26">
        <f>IF(SUM(B30:G30)=0,"",SUM(B30:G30))</f>
        <v/>
      </c>
    </row>
    <row r="31">
      <c r="A31" t="inlineStr">
        <is>
          <t>Week2-Feb-2026</t>
        </is>
      </c>
      <c r="B31" s="26">
        <f>IF(SUMIFS('NSE - NIFTY Index Options'!$M:$M,'NSE - NIFTY Index Options'!$C:$C,$A31,'NSE - NIFTY Index Options'!$B:$B,B$4)+SUMIFS('NSE - Other Index Options'!$M:$M,'NSE - Other Index Options'!$C:$C,$A31,'NSE - Other Index Options'!$B:$B,B$4)+SUMIFS('BSE - SENSEX Index Options'!$M:$M,'BSE - SENSEX Index Options'!$C:$C,$A31,'BSE - SENSEX Index Options'!$B:$B,B$4)+SUMIFS('BSE - Other Index Options'!$M:$M,'BSE - Other Index Options'!$C:$C,$A31,'BSE - Other Index Options'!$B:$B,B$4)=0,"",SUMIFS('NSE - NIFTY Index Options'!$M:$M,'NSE - NIFTY Index Options'!$C:$C,$A31,'NSE - NIFTY Index Options'!$B:$B,B$4)+SUMIFS('NSE - Other Index Options'!$M:$M,'NSE - Other Index Options'!$C:$C,$A31,'NSE - Other Index Options'!$B:$B,B$4)+SUMIFS('BSE - SENSEX Index Options'!$M:$M,'BSE - SENSEX Index Options'!$C:$C,$A31,'BSE - SENSEX Index Options'!$B:$B,B$4)+SUMIFS('BSE - Other Index Options'!$M:$M,'BSE - Other Index Options'!$C:$C,$A31,'BSE - Other Index Options'!$B:$B,B$4))</f>
        <v/>
      </c>
      <c r="C31" s="26">
        <f>IF(SUMIFS('NSE - NIFTY Index Options'!$M:$M,'NSE - NIFTY Index Options'!$C:$C,$A31,'NSE - NIFTY Index Options'!$B:$B,C$4)+SUMIFS('NSE - Other Index Options'!$M:$M,'NSE - Other Index Options'!$C:$C,$A31,'NSE - Other Index Options'!$B:$B,C$4)+SUMIFS('BSE - SENSEX Index Options'!$M:$M,'BSE - SENSEX Index Options'!$C:$C,$A31,'BSE - SENSEX Index Options'!$B:$B,C$4)+SUMIFS('BSE - Other Index Options'!$M:$M,'BSE - Other Index Options'!$C:$C,$A31,'BSE - Other Index Options'!$B:$B,C$4)=0,"",SUMIFS('NSE - NIFTY Index Options'!$M:$M,'NSE - NIFTY Index Options'!$C:$C,$A31,'NSE - NIFTY Index Options'!$B:$B,C$4)+SUMIFS('NSE - Other Index Options'!$M:$M,'NSE - Other Index Options'!$C:$C,$A31,'NSE - Other Index Options'!$B:$B,C$4)+SUMIFS('BSE - SENSEX Index Options'!$M:$M,'BSE - SENSEX Index Options'!$C:$C,$A31,'BSE - SENSEX Index Options'!$B:$B,C$4)+SUMIFS('BSE - Other Index Options'!$M:$M,'BSE - Other Index Options'!$C:$C,$A31,'BSE - Other Index Options'!$B:$B,C$4))</f>
        <v/>
      </c>
      <c r="D31" s="26">
        <f>IF(SUMIFS('NSE - NIFTY Index Options'!$M:$M,'NSE - NIFTY Index Options'!$C:$C,$A31,'NSE - NIFTY Index Options'!$B:$B,D$4)+SUMIFS('NSE - Other Index Options'!$M:$M,'NSE - Other Index Options'!$C:$C,$A31,'NSE - Other Index Options'!$B:$B,D$4)+SUMIFS('BSE - SENSEX Index Options'!$M:$M,'BSE - SENSEX Index Options'!$C:$C,$A31,'BSE - SENSEX Index Options'!$B:$B,D$4)+SUMIFS('BSE - Other Index Options'!$M:$M,'BSE - Other Index Options'!$C:$C,$A31,'BSE - Other Index Options'!$B:$B,D$4)=0,"",SUMIFS('NSE - NIFTY Index Options'!$M:$M,'NSE - NIFTY Index Options'!$C:$C,$A31,'NSE - NIFTY Index Options'!$B:$B,D$4)+SUMIFS('NSE - Other Index Options'!$M:$M,'NSE - Other Index Options'!$C:$C,$A31,'NSE - Other Index Options'!$B:$B,D$4)+SUMIFS('BSE - SENSEX Index Options'!$M:$M,'BSE - SENSEX Index Options'!$C:$C,$A31,'BSE - SENSEX Index Options'!$B:$B,D$4)+SUMIFS('BSE - Other Index Options'!$M:$M,'BSE - Other Index Options'!$C:$C,$A31,'BSE - Other Index Options'!$B:$B,D$4))</f>
        <v/>
      </c>
      <c r="E31" s="26">
        <f>IF(SUMIFS('NSE - NIFTY Index Options'!$M:$M,'NSE - NIFTY Index Options'!$C:$C,$A31,'NSE - NIFTY Index Options'!$B:$B,E$4)+SUMIFS('NSE - Other Index Options'!$M:$M,'NSE - Other Index Options'!$C:$C,$A31,'NSE - Other Index Options'!$B:$B,E$4)+SUMIFS('BSE - SENSEX Index Options'!$M:$M,'BSE - SENSEX Index Options'!$C:$C,$A31,'BSE - SENSEX Index Options'!$B:$B,E$4)+SUMIFS('BSE - Other Index Options'!$M:$M,'BSE - Other Index Options'!$C:$C,$A31,'BSE - Other Index Options'!$B:$B,E$4)=0,"",SUMIFS('NSE - NIFTY Index Options'!$M:$M,'NSE - NIFTY Index Options'!$C:$C,$A31,'NSE - NIFTY Index Options'!$B:$B,E$4)+SUMIFS('NSE - Other Index Options'!$M:$M,'NSE - Other Index Options'!$C:$C,$A31,'NSE - Other Index Options'!$B:$B,E$4)+SUMIFS('BSE - SENSEX Index Options'!$M:$M,'BSE - SENSEX Index Options'!$C:$C,$A31,'BSE - SENSEX Index Options'!$B:$B,E$4)+SUMIFS('BSE - Other Index Options'!$M:$M,'BSE - Other Index Options'!$C:$C,$A31,'BSE - Other Index Options'!$B:$B,E$4))</f>
        <v/>
      </c>
      <c r="F31" s="26">
        <f>IF(SUMIFS('NSE - NIFTY Index Options'!$M:$M,'NSE - NIFTY Index Options'!$C:$C,$A31,'NSE - NIFTY Index Options'!$B:$B,F$4)+SUMIFS('NSE - Other Index Options'!$M:$M,'NSE - Other Index Options'!$C:$C,$A31,'NSE - Other Index Options'!$B:$B,F$4)+SUMIFS('BSE - SENSEX Index Options'!$M:$M,'BSE - SENSEX Index Options'!$C:$C,$A31,'BSE - SENSEX Index Options'!$B:$B,F$4)+SUMIFS('BSE - Other Index Options'!$M:$M,'BSE - Other Index Options'!$C:$C,$A31,'BSE - Other Index Options'!$B:$B,F$4)=0,"",SUMIFS('NSE - NIFTY Index Options'!$M:$M,'NSE - NIFTY Index Options'!$C:$C,$A31,'NSE - NIFTY Index Options'!$B:$B,F$4)+SUMIFS('NSE - Other Index Options'!$M:$M,'NSE - Other Index Options'!$C:$C,$A31,'NSE - Other Index Options'!$B:$B,F$4)+SUMIFS('BSE - SENSEX Index Options'!$M:$M,'BSE - SENSEX Index Options'!$C:$C,$A31,'BSE - SENSEX Index Options'!$B:$B,F$4)+SUMIFS('BSE - Other Index Options'!$M:$M,'BSE - Other Index Options'!$C:$C,$A31,'BSE - Other Index Options'!$B:$B,F$4))</f>
        <v/>
      </c>
      <c r="G31" s="26">
        <f>IF(SUMIFS('NSE - NIFTY Index Options'!$M:$M,'NSE - NIFTY Index Options'!$C:$C,$A31,'NSE - NIFTY Index Options'!$B:$B,G$4)+SUMIFS('NSE - Other Index Options'!$M:$M,'NSE - Other Index Options'!$C:$C,$A31,'NSE - Other Index Options'!$B:$B,G$4)+SUMIFS('BSE - SENSEX Index Options'!$M:$M,'BSE - SENSEX Index Options'!$C:$C,$A31,'BSE - SENSEX Index Options'!$B:$B,G$4)+SUMIFS('BSE - Other Index Options'!$M:$M,'BSE - Other Index Options'!$C:$C,$A31,'BSE - Other Index Options'!$B:$B,G$4)=0,"",SUMIFS('NSE - NIFTY Index Options'!$M:$M,'NSE - NIFTY Index Options'!$C:$C,$A31,'NSE - NIFTY Index Options'!$B:$B,G$4)+SUMIFS('NSE - Other Index Options'!$M:$M,'NSE - Other Index Options'!$C:$C,$A31,'NSE - Other Index Options'!$B:$B,G$4)+SUMIFS('BSE - SENSEX Index Options'!$M:$M,'BSE - SENSEX Index Options'!$C:$C,$A31,'BSE - SENSEX Index Options'!$B:$B,G$4)+SUMIFS('BSE - Other Index Options'!$M:$M,'BSE - Other Index Options'!$C:$C,$A31,'BSE - Other Index Options'!$B:$B,G$4))</f>
        <v/>
      </c>
      <c r="H31" s="26">
        <f>IF(SUM(B31:G31)=0,"",SUM(B31:G31))</f>
        <v/>
      </c>
    </row>
    <row r="32">
      <c r="A32" t="inlineStr">
        <is>
          <t>Week3-Feb-2026</t>
        </is>
      </c>
      <c r="B32" s="26">
        <f>IF(SUMIFS('NSE - NIFTY Index Options'!$M:$M,'NSE - NIFTY Index Options'!$C:$C,$A32,'NSE - NIFTY Index Options'!$B:$B,B$4)+SUMIFS('NSE - Other Index Options'!$M:$M,'NSE - Other Index Options'!$C:$C,$A32,'NSE - Other Index Options'!$B:$B,B$4)+SUMIFS('BSE - SENSEX Index Options'!$M:$M,'BSE - SENSEX Index Options'!$C:$C,$A32,'BSE - SENSEX Index Options'!$B:$B,B$4)+SUMIFS('BSE - Other Index Options'!$M:$M,'BSE - Other Index Options'!$C:$C,$A32,'BSE - Other Index Options'!$B:$B,B$4)=0,"",SUMIFS('NSE - NIFTY Index Options'!$M:$M,'NSE - NIFTY Index Options'!$C:$C,$A32,'NSE - NIFTY Index Options'!$B:$B,B$4)+SUMIFS('NSE - Other Index Options'!$M:$M,'NSE - Other Index Options'!$C:$C,$A32,'NSE - Other Index Options'!$B:$B,B$4)+SUMIFS('BSE - SENSEX Index Options'!$M:$M,'BSE - SENSEX Index Options'!$C:$C,$A32,'BSE - SENSEX Index Options'!$B:$B,B$4)+SUMIFS('BSE - Other Index Options'!$M:$M,'BSE - Other Index Options'!$C:$C,$A32,'BSE - Other Index Options'!$B:$B,B$4))</f>
        <v/>
      </c>
      <c r="C32" s="26">
        <f>IF(SUMIFS('NSE - NIFTY Index Options'!$M:$M,'NSE - NIFTY Index Options'!$C:$C,$A32,'NSE - NIFTY Index Options'!$B:$B,C$4)+SUMIFS('NSE - Other Index Options'!$M:$M,'NSE - Other Index Options'!$C:$C,$A32,'NSE - Other Index Options'!$B:$B,C$4)+SUMIFS('BSE - SENSEX Index Options'!$M:$M,'BSE - SENSEX Index Options'!$C:$C,$A32,'BSE - SENSEX Index Options'!$B:$B,C$4)+SUMIFS('BSE - Other Index Options'!$M:$M,'BSE - Other Index Options'!$C:$C,$A32,'BSE - Other Index Options'!$B:$B,C$4)=0,"",SUMIFS('NSE - NIFTY Index Options'!$M:$M,'NSE - NIFTY Index Options'!$C:$C,$A32,'NSE - NIFTY Index Options'!$B:$B,C$4)+SUMIFS('NSE - Other Index Options'!$M:$M,'NSE - Other Index Options'!$C:$C,$A32,'NSE - Other Index Options'!$B:$B,C$4)+SUMIFS('BSE - SENSEX Index Options'!$M:$M,'BSE - SENSEX Index Options'!$C:$C,$A32,'BSE - SENSEX Index Options'!$B:$B,C$4)+SUMIFS('BSE - Other Index Options'!$M:$M,'BSE - Other Index Options'!$C:$C,$A32,'BSE - Other Index Options'!$B:$B,C$4))</f>
        <v/>
      </c>
      <c r="D32" s="26">
        <f>IF(SUMIFS('NSE - NIFTY Index Options'!$M:$M,'NSE - NIFTY Index Options'!$C:$C,$A32,'NSE - NIFTY Index Options'!$B:$B,D$4)+SUMIFS('NSE - Other Index Options'!$M:$M,'NSE - Other Index Options'!$C:$C,$A32,'NSE - Other Index Options'!$B:$B,D$4)+SUMIFS('BSE - SENSEX Index Options'!$M:$M,'BSE - SENSEX Index Options'!$C:$C,$A32,'BSE - SENSEX Index Options'!$B:$B,D$4)+SUMIFS('BSE - Other Index Options'!$M:$M,'BSE - Other Index Options'!$C:$C,$A32,'BSE - Other Index Options'!$B:$B,D$4)=0,"",SUMIFS('NSE - NIFTY Index Options'!$M:$M,'NSE - NIFTY Index Options'!$C:$C,$A32,'NSE - NIFTY Index Options'!$B:$B,D$4)+SUMIFS('NSE - Other Index Options'!$M:$M,'NSE - Other Index Options'!$C:$C,$A32,'NSE - Other Index Options'!$B:$B,D$4)+SUMIFS('BSE - SENSEX Index Options'!$M:$M,'BSE - SENSEX Index Options'!$C:$C,$A32,'BSE - SENSEX Index Options'!$B:$B,D$4)+SUMIFS('BSE - Other Index Options'!$M:$M,'BSE - Other Index Options'!$C:$C,$A32,'BSE - Other Index Options'!$B:$B,D$4))</f>
        <v/>
      </c>
      <c r="E32" s="26">
        <f>IF(SUMIFS('NSE - NIFTY Index Options'!$M:$M,'NSE - NIFTY Index Options'!$C:$C,$A32,'NSE - NIFTY Index Options'!$B:$B,E$4)+SUMIFS('NSE - Other Index Options'!$M:$M,'NSE - Other Index Options'!$C:$C,$A32,'NSE - Other Index Options'!$B:$B,E$4)+SUMIFS('BSE - SENSEX Index Options'!$M:$M,'BSE - SENSEX Index Options'!$C:$C,$A32,'BSE - SENSEX Index Options'!$B:$B,E$4)+SUMIFS('BSE - Other Index Options'!$M:$M,'BSE - Other Index Options'!$C:$C,$A32,'BSE - Other Index Options'!$B:$B,E$4)=0,"",SUMIFS('NSE - NIFTY Index Options'!$M:$M,'NSE - NIFTY Index Options'!$C:$C,$A32,'NSE - NIFTY Index Options'!$B:$B,E$4)+SUMIFS('NSE - Other Index Options'!$M:$M,'NSE - Other Index Options'!$C:$C,$A32,'NSE - Other Index Options'!$B:$B,E$4)+SUMIFS('BSE - SENSEX Index Options'!$M:$M,'BSE - SENSEX Index Options'!$C:$C,$A32,'BSE - SENSEX Index Options'!$B:$B,E$4)+SUMIFS('BSE - Other Index Options'!$M:$M,'BSE - Other Index Options'!$C:$C,$A32,'BSE - Other Index Options'!$B:$B,E$4))</f>
        <v/>
      </c>
      <c r="F32" s="26">
        <f>IF(SUMIFS('NSE - NIFTY Index Options'!$M:$M,'NSE - NIFTY Index Options'!$C:$C,$A32,'NSE - NIFTY Index Options'!$B:$B,F$4)+SUMIFS('NSE - Other Index Options'!$M:$M,'NSE - Other Index Options'!$C:$C,$A32,'NSE - Other Index Options'!$B:$B,F$4)+SUMIFS('BSE - SENSEX Index Options'!$M:$M,'BSE - SENSEX Index Options'!$C:$C,$A32,'BSE - SENSEX Index Options'!$B:$B,F$4)+SUMIFS('BSE - Other Index Options'!$M:$M,'BSE - Other Index Options'!$C:$C,$A32,'BSE - Other Index Options'!$B:$B,F$4)=0,"",SUMIFS('NSE - NIFTY Index Options'!$M:$M,'NSE - NIFTY Index Options'!$C:$C,$A32,'NSE - NIFTY Index Options'!$B:$B,F$4)+SUMIFS('NSE - Other Index Options'!$M:$M,'NSE - Other Index Options'!$C:$C,$A32,'NSE - Other Index Options'!$B:$B,F$4)+SUMIFS('BSE - SENSEX Index Options'!$M:$M,'BSE - SENSEX Index Options'!$C:$C,$A32,'BSE - SENSEX Index Options'!$B:$B,F$4)+SUMIFS('BSE - Other Index Options'!$M:$M,'BSE - Other Index Options'!$C:$C,$A32,'BSE - Other Index Options'!$B:$B,F$4))</f>
        <v/>
      </c>
      <c r="G32" s="26">
        <f>IF(SUMIFS('NSE - NIFTY Index Options'!$M:$M,'NSE - NIFTY Index Options'!$C:$C,$A32,'NSE - NIFTY Index Options'!$B:$B,G$4)+SUMIFS('NSE - Other Index Options'!$M:$M,'NSE - Other Index Options'!$C:$C,$A32,'NSE - Other Index Options'!$B:$B,G$4)+SUMIFS('BSE - SENSEX Index Options'!$M:$M,'BSE - SENSEX Index Options'!$C:$C,$A32,'BSE - SENSEX Index Options'!$B:$B,G$4)+SUMIFS('BSE - Other Index Options'!$M:$M,'BSE - Other Index Options'!$C:$C,$A32,'BSE - Other Index Options'!$B:$B,G$4)=0,"",SUMIFS('NSE - NIFTY Index Options'!$M:$M,'NSE - NIFTY Index Options'!$C:$C,$A32,'NSE - NIFTY Index Options'!$B:$B,G$4)+SUMIFS('NSE - Other Index Options'!$M:$M,'NSE - Other Index Options'!$C:$C,$A32,'NSE - Other Index Options'!$B:$B,G$4)+SUMIFS('BSE - SENSEX Index Options'!$M:$M,'BSE - SENSEX Index Options'!$C:$C,$A32,'BSE - SENSEX Index Options'!$B:$B,G$4)+SUMIFS('BSE - Other Index Options'!$M:$M,'BSE - Other Index Options'!$C:$C,$A32,'BSE - Other Index Options'!$B:$B,G$4))</f>
        <v/>
      </c>
      <c r="H32" s="26">
        <f>IF(SUM(B32:G32)=0,"",SUM(B32:G32))</f>
        <v/>
      </c>
    </row>
    <row r="33">
      <c r="A33" t="inlineStr">
        <is>
          <t>Week4-Feb-2026</t>
        </is>
      </c>
      <c r="B33" s="26">
        <f>IF(SUMIFS('NSE - NIFTY Index Options'!$M:$M,'NSE - NIFTY Index Options'!$C:$C,$A33,'NSE - NIFTY Index Options'!$B:$B,B$4)+SUMIFS('NSE - Other Index Options'!$M:$M,'NSE - Other Index Options'!$C:$C,$A33,'NSE - Other Index Options'!$B:$B,B$4)+SUMIFS('BSE - SENSEX Index Options'!$M:$M,'BSE - SENSEX Index Options'!$C:$C,$A33,'BSE - SENSEX Index Options'!$B:$B,B$4)+SUMIFS('BSE - Other Index Options'!$M:$M,'BSE - Other Index Options'!$C:$C,$A33,'BSE - Other Index Options'!$B:$B,B$4)=0,"",SUMIFS('NSE - NIFTY Index Options'!$M:$M,'NSE - NIFTY Index Options'!$C:$C,$A33,'NSE - NIFTY Index Options'!$B:$B,B$4)+SUMIFS('NSE - Other Index Options'!$M:$M,'NSE - Other Index Options'!$C:$C,$A33,'NSE - Other Index Options'!$B:$B,B$4)+SUMIFS('BSE - SENSEX Index Options'!$M:$M,'BSE - SENSEX Index Options'!$C:$C,$A33,'BSE - SENSEX Index Options'!$B:$B,B$4)+SUMIFS('BSE - Other Index Options'!$M:$M,'BSE - Other Index Options'!$C:$C,$A33,'BSE - Other Index Options'!$B:$B,B$4))</f>
        <v/>
      </c>
      <c r="C33" s="26">
        <f>IF(SUMIFS('NSE - NIFTY Index Options'!$M:$M,'NSE - NIFTY Index Options'!$C:$C,$A33,'NSE - NIFTY Index Options'!$B:$B,C$4)+SUMIFS('NSE - Other Index Options'!$M:$M,'NSE - Other Index Options'!$C:$C,$A33,'NSE - Other Index Options'!$B:$B,C$4)+SUMIFS('BSE - SENSEX Index Options'!$M:$M,'BSE - SENSEX Index Options'!$C:$C,$A33,'BSE - SENSEX Index Options'!$B:$B,C$4)+SUMIFS('BSE - Other Index Options'!$M:$M,'BSE - Other Index Options'!$C:$C,$A33,'BSE - Other Index Options'!$B:$B,C$4)=0,"",SUMIFS('NSE - NIFTY Index Options'!$M:$M,'NSE - NIFTY Index Options'!$C:$C,$A33,'NSE - NIFTY Index Options'!$B:$B,C$4)+SUMIFS('NSE - Other Index Options'!$M:$M,'NSE - Other Index Options'!$C:$C,$A33,'NSE - Other Index Options'!$B:$B,C$4)+SUMIFS('BSE - SENSEX Index Options'!$M:$M,'BSE - SENSEX Index Options'!$C:$C,$A33,'BSE - SENSEX Index Options'!$B:$B,C$4)+SUMIFS('BSE - Other Index Options'!$M:$M,'BSE - Other Index Options'!$C:$C,$A33,'BSE - Other Index Options'!$B:$B,C$4))</f>
        <v/>
      </c>
      <c r="D33" s="26">
        <f>IF(SUMIFS('NSE - NIFTY Index Options'!$M:$M,'NSE - NIFTY Index Options'!$C:$C,$A33,'NSE - NIFTY Index Options'!$B:$B,D$4)+SUMIFS('NSE - Other Index Options'!$M:$M,'NSE - Other Index Options'!$C:$C,$A33,'NSE - Other Index Options'!$B:$B,D$4)+SUMIFS('BSE - SENSEX Index Options'!$M:$M,'BSE - SENSEX Index Options'!$C:$C,$A33,'BSE - SENSEX Index Options'!$B:$B,D$4)+SUMIFS('BSE - Other Index Options'!$M:$M,'BSE - Other Index Options'!$C:$C,$A33,'BSE - Other Index Options'!$B:$B,D$4)=0,"",SUMIFS('NSE - NIFTY Index Options'!$M:$M,'NSE - NIFTY Index Options'!$C:$C,$A33,'NSE - NIFTY Index Options'!$B:$B,D$4)+SUMIFS('NSE - Other Index Options'!$M:$M,'NSE - Other Index Options'!$C:$C,$A33,'NSE - Other Index Options'!$B:$B,D$4)+SUMIFS('BSE - SENSEX Index Options'!$M:$M,'BSE - SENSEX Index Options'!$C:$C,$A33,'BSE - SENSEX Index Options'!$B:$B,D$4)+SUMIFS('BSE - Other Index Options'!$M:$M,'BSE - Other Index Options'!$C:$C,$A33,'BSE - Other Index Options'!$B:$B,D$4))</f>
        <v/>
      </c>
      <c r="E33" s="26">
        <f>IF(SUMIFS('NSE - NIFTY Index Options'!$M:$M,'NSE - NIFTY Index Options'!$C:$C,$A33,'NSE - NIFTY Index Options'!$B:$B,E$4)+SUMIFS('NSE - Other Index Options'!$M:$M,'NSE - Other Index Options'!$C:$C,$A33,'NSE - Other Index Options'!$B:$B,E$4)+SUMIFS('BSE - SENSEX Index Options'!$M:$M,'BSE - SENSEX Index Options'!$C:$C,$A33,'BSE - SENSEX Index Options'!$B:$B,E$4)+SUMIFS('BSE - Other Index Options'!$M:$M,'BSE - Other Index Options'!$C:$C,$A33,'BSE - Other Index Options'!$B:$B,E$4)=0,"",SUMIFS('NSE - NIFTY Index Options'!$M:$M,'NSE - NIFTY Index Options'!$C:$C,$A33,'NSE - NIFTY Index Options'!$B:$B,E$4)+SUMIFS('NSE - Other Index Options'!$M:$M,'NSE - Other Index Options'!$C:$C,$A33,'NSE - Other Index Options'!$B:$B,E$4)+SUMIFS('BSE - SENSEX Index Options'!$M:$M,'BSE - SENSEX Index Options'!$C:$C,$A33,'BSE - SENSEX Index Options'!$B:$B,E$4)+SUMIFS('BSE - Other Index Options'!$M:$M,'BSE - Other Index Options'!$C:$C,$A33,'BSE - Other Index Options'!$B:$B,E$4))</f>
        <v/>
      </c>
      <c r="F33" s="26">
        <f>IF(SUMIFS('NSE - NIFTY Index Options'!$M:$M,'NSE - NIFTY Index Options'!$C:$C,$A33,'NSE - NIFTY Index Options'!$B:$B,F$4)+SUMIFS('NSE - Other Index Options'!$M:$M,'NSE - Other Index Options'!$C:$C,$A33,'NSE - Other Index Options'!$B:$B,F$4)+SUMIFS('BSE - SENSEX Index Options'!$M:$M,'BSE - SENSEX Index Options'!$C:$C,$A33,'BSE - SENSEX Index Options'!$B:$B,F$4)+SUMIFS('BSE - Other Index Options'!$M:$M,'BSE - Other Index Options'!$C:$C,$A33,'BSE - Other Index Options'!$B:$B,F$4)=0,"",SUMIFS('NSE - NIFTY Index Options'!$M:$M,'NSE - NIFTY Index Options'!$C:$C,$A33,'NSE - NIFTY Index Options'!$B:$B,F$4)+SUMIFS('NSE - Other Index Options'!$M:$M,'NSE - Other Index Options'!$C:$C,$A33,'NSE - Other Index Options'!$B:$B,F$4)+SUMIFS('BSE - SENSEX Index Options'!$M:$M,'BSE - SENSEX Index Options'!$C:$C,$A33,'BSE - SENSEX Index Options'!$B:$B,F$4)+SUMIFS('BSE - Other Index Options'!$M:$M,'BSE - Other Index Options'!$C:$C,$A33,'BSE - Other Index Options'!$B:$B,F$4))</f>
        <v/>
      </c>
      <c r="G33" s="26">
        <f>IF(SUMIFS('NSE - NIFTY Index Options'!$M:$M,'NSE - NIFTY Index Options'!$C:$C,$A33,'NSE - NIFTY Index Options'!$B:$B,G$4)+SUMIFS('NSE - Other Index Options'!$M:$M,'NSE - Other Index Options'!$C:$C,$A33,'NSE - Other Index Options'!$B:$B,G$4)+SUMIFS('BSE - SENSEX Index Options'!$M:$M,'BSE - SENSEX Index Options'!$C:$C,$A33,'BSE - SENSEX Index Options'!$B:$B,G$4)+SUMIFS('BSE - Other Index Options'!$M:$M,'BSE - Other Index Options'!$C:$C,$A33,'BSE - Other Index Options'!$B:$B,G$4)=0,"",SUMIFS('NSE - NIFTY Index Options'!$M:$M,'NSE - NIFTY Index Options'!$C:$C,$A33,'NSE - NIFTY Index Options'!$B:$B,G$4)+SUMIFS('NSE - Other Index Options'!$M:$M,'NSE - Other Index Options'!$C:$C,$A33,'NSE - Other Index Options'!$B:$B,G$4)+SUMIFS('BSE - SENSEX Index Options'!$M:$M,'BSE - SENSEX Index Options'!$C:$C,$A33,'BSE - SENSEX Index Options'!$B:$B,G$4)+SUMIFS('BSE - Other Index Options'!$M:$M,'BSE - Other Index Options'!$C:$C,$A33,'BSE - Other Index Options'!$B:$B,G$4))</f>
        <v/>
      </c>
      <c r="H33" s="26">
        <f>IF(SUM(B33:G33)=0,"",SUM(B33:G33))</f>
        <v/>
      </c>
    </row>
    <row r="34">
      <c r="A34" t="inlineStr">
        <is>
          <t>Week1-Mar-2026</t>
        </is>
      </c>
      <c r="B34" s="26">
        <f>IF(SUMIFS('NSE - NIFTY Index Options'!$M:$M,'NSE - NIFTY Index Options'!$C:$C,$A34,'NSE - NIFTY Index Options'!$B:$B,B$4)+SUMIFS('NSE - Other Index Options'!$M:$M,'NSE - Other Index Options'!$C:$C,$A34,'NSE - Other Index Options'!$B:$B,B$4)+SUMIFS('BSE - SENSEX Index Options'!$M:$M,'BSE - SENSEX Index Options'!$C:$C,$A34,'BSE - SENSEX Index Options'!$B:$B,B$4)+SUMIFS('BSE - Other Index Options'!$M:$M,'BSE - Other Index Options'!$C:$C,$A34,'BSE - Other Index Options'!$B:$B,B$4)=0,"",SUMIFS('NSE - NIFTY Index Options'!$M:$M,'NSE - NIFTY Index Options'!$C:$C,$A34,'NSE - NIFTY Index Options'!$B:$B,B$4)+SUMIFS('NSE - Other Index Options'!$M:$M,'NSE - Other Index Options'!$C:$C,$A34,'NSE - Other Index Options'!$B:$B,B$4)+SUMIFS('BSE - SENSEX Index Options'!$M:$M,'BSE - SENSEX Index Options'!$C:$C,$A34,'BSE - SENSEX Index Options'!$B:$B,B$4)+SUMIFS('BSE - Other Index Options'!$M:$M,'BSE - Other Index Options'!$C:$C,$A34,'BSE - Other Index Options'!$B:$B,B$4))</f>
        <v/>
      </c>
      <c r="C34" s="26">
        <f>IF(SUMIFS('NSE - NIFTY Index Options'!$M:$M,'NSE - NIFTY Index Options'!$C:$C,$A34,'NSE - NIFTY Index Options'!$B:$B,C$4)+SUMIFS('NSE - Other Index Options'!$M:$M,'NSE - Other Index Options'!$C:$C,$A34,'NSE - Other Index Options'!$B:$B,C$4)+SUMIFS('BSE - SENSEX Index Options'!$M:$M,'BSE - SENSEX Index Options'!$C:$C,$A34,'BSE - SENSEX Index Options'!$B:$B,C$4)+SUMIFS('BSE - Other Index Options'!$M:$M,'BSE - Other Index Options'!$C:$C,$A34,'BSE - Other Index Options'!$B:$B,C$4)=0,"",SUMIFS('NSE - NIFTY Index Options'!$M:$M,'NSE - NIFTY Index Options'!$C:$C,$A34,'NSE - NIFTY Index Options'!$B:$B,C$4)+SUMIFS('NSE - Other Index Options'!$M:$M,'NSE - Other Index Options'!$C:$C,$A34,'NSE - Other Index Options'!$B:$B,C$4)+SUMIFS('BSE - SENSEX Index Options'!$M:$M,'BSE - SENSEX Index Options'!$C:$C,$A34,'BSE - SENSEX Index Options'!$B:$B,C$4)+SUMIFS('BSE - Other Index Options'!$M:$M,'BSE - Other Index Options'!$C:$C,$A34,'BSE - Other Index Options'!$B:$B,C$4))</f>
        <v/>
      </c>
      <c r="D34" s="26">
        <f>IF(SUMIFS('NSE - NIFTY Index Options'!$M:$M,'NSE - NIFTY Index Options'!$C:$C,$A34,'NSE - NIFTY Index Options'!$B:$B,D$4)+SUMIFS('NSE - Other Index Options'!$M:$M,'NSE - Other Index Options'!$C:$C,$A34,'NSE - Other Index Options'!$B:$B,D$4)+SUMIFS('BSE - SENSEX Index Options'!$M:$M,'BSE - SENSEX Index Options'!$C:$C,$A34,'BSE - SENSEX Index Options'!$B:$B,D$4)+SUMIFS('BSE - Other Index Options'!$M:$M,'BSE - Other Index Options'!$C:$C,$A34,'BSE - Other Index Options'!$B:$B,D$4)=0,"",SUMIFS('NSE - NIFTY Index Options'!$M:$M,'NSE - NIFTY Index Options'!$C:$C,$A34,'NSE - NIFTY Index Options'!$B:$B,D$4)+SUMIFS('NSE - Other Index Options'!$M:$M,'NSE - Other Index Options'!$C:$C,$A34,'NSE - Other Index Options'!$B:$B,D$4)+SUMIFS('BSE - SENSEX Index Options'!$M:$M,'BSE - SENSEX Index Options'!$C:$C,$A34,'BSE - SENSEX Index Options'!$B:$B,D$4)+SUMIFS('BSE - Other Index Options'!$M:$M,'BSE - Other Index Options'!$C:$C,$A34,'BSE - Other Index Options'!$B:$B,D$4))</f>
        <v/>
      </c>
      <c r="E34" s="26">
        <f>IF(SUMIFS('NSE - NIFTY Index Options'!$M:$M,'NSE - NIFTY Index Options'!$C:$C,$A34,'NSE - NIFTY Index Options'!$B:$B,E$4)+SUMIFS('NSE - Other Index Options'!$M:$M,'NSE - Other Index Options'!$C:$C,$A34,'NSE - Other Index Options'!$B:$B,E$4)+SUMIFS('BSE - SENSEX Index Options'!$M:$M,'BSE - SENSEX Index Options'!$C:$C,$A34,'BSE - SENSEX Index Options'!$B:$B,E$4)+SUMIFS('BSE - Other Index Options'!$M:$M,'BSE - Other Index Options'!$C:$C,$A34,'BSE - Other Index Options'!$B:$B,E$4)=0,"",SUMIFS('NSE - NIFTY Index Options'!$M:$M,'NSE - NIFTY Index Options'!$C:$C,$A34,'NSE - NIFTY Index Options'!$B:$B,E$4)+SUMIFS('NSE - Other Index Options'!$M:$M,'NSE - Other Index Options'!$C:$C,$A34,'NSE - Other Index Options'!$B:$B,E$4)+SUMIFS('BSE - SENSEX Index Options'!$M:$M,'BSE - SENSEX Index Options'!$C:$C,$A34,'BSE - SENSEX Index Options'!$B:$B,E$4)+SUMIFS('BSE - Other Index Options'!$M:$M,'BSE - Other Index Options'!$C:$C,$A34,'BSE - Other Index Options'!$B:$B,E$4))</f>
        <v/>
      </c>
      <c r="F34" s="26">
        <f>IF(SUMIFS('NSE - NIFTY Index Options'!$M:$M,'NSE - NIFTY Index Options'!$C:$C,$A34,'NSE - NIFTY Index Options'!$B:$B,F$4)+SUMIFS('NSE - Other Index Options'!$M:$M,'NSE - Other Index Options'!$C:$C,$A34,'NSE - Other Index Options'!$B:$B,F$4)+SUMIFS('BSE - SENSEX Index Options'!$M:$M,'BSE - SENSEX Index Options'!$C:$C,$A34,'BSE - SENSEX Index Options'!$B:$B,F$4)+SUMIFS('BSE - Other Index Options'!$M:$M,'BSE - Other Index Options'!$C:$C,$A34,'BSE - Other Index Options'!$B:$B,F$4)=0,"",SUMIFS('NSE - NIFTY Index Options'!$M:$M,'NSE - NIFTY Index Options'!$C:$C,$A34,'NSE - NIFTY Index Options'!$B:$B,F$4)+SUMIFS('NSE - Other Index Options'!$M:$M,'NSE - Other Index Options'!$C:$C,$A34,'NSE - Other Index Options'!$B:$B,F$4)+SUMIFS('BSE - SENSEX Index Options'!$M:$M,'BSE - SENSEX Index Options'!$C:$C,$A34,'BSE - SENSEX Index Options'!$B:$B,F$4)+SUMIFS('BSE - Other Index Options'!$M:$M,'BSE - Other Index Options'!$C:$C,$A34,'BSE - Other Index Options'!$B:$B,F$4))</f>
        <v/>
      </c>
      <c r="G34" s="26">
        <f>IF(SUMIFS('NSE - NIFTY Index Options'!$M:$M,'NSE - NIFTY Index Options'!$C:$C,$A34,'NSE - NIFTY Index Options'!$B:$B,G$4)+SUMIFS('NSE - Other Index Options'!$M:$M,'NSE - Other Index Options'!$C:$C,$A34,'NSE - Other Index Options'!$B:$B,G$4)+SUMIFS('BSE - SENSEX Index Options'!$M:$M,'BSE - SENSEX Index Options'!$C:$C,$A34,'BSE - SENSEX Index Options'!$B:$B,G$4)+SUMIFS('BSE - Other Index Options'!$M:$M,'BSE - Other Index Options'!$C:$C,$A34,'BSE - Other Index Options'!$B:$B,G$4)=0,"",SUMIFS('NSE - NIFTY Index Options'!$M:$M,'NSE - NIFTY Index Options'!$C:$C,$A34,'NSE - NIFTY Index Options'!$B:$B,G$4)+SUMIFS('NSE - Other Index Options'!$M:$M,'NSE - Other Index Options'!$C:$C,$A34,'NSE - Other Index Options'!$B:$B,G$4)+SUMIFS('BSE - SENSEX Index Options'!$M:$M,'BSE - SENSEX Index Options'!$C:$C,$A34,'BSE - SENSEX Index Options'!$B:$B,G$4)+SUMIFS('BSE - Other Index Options'!$M:$M,'BSE - Other Index Options'!$C:$C,$A34,'BSE - Other Index Options'!$B:$B,G$4))</f>
        <v/>
      </c>
      <c r="H34" s="26">
        <f>IF(SUM(B34:G34)=0,"",SUM(B34:G34))</f>
        <v/>
      </c>
    </row>
    <row r="35">
      <c r="A35" t="inlineStr">
        <is>
          <t>Week2-Mar-2026</t>
        </is>
      </c>
      <c r="B35" s="26">
        <f>IF(SUMIFS('NSE - NIFTY Index Options'!$M:$M,'NSE - NIFTY Index Options'!$C:$C,$A35,'NSE - NIFTY Index Options'!$B:$B,B$4)+SUMIFS('NSE - Other Index Options'!$M:$M,'NSE - Other Index Options'!$C:$C,$A35,'NSE - Other Index Options'!$B:$B,B$4)+SUMIFS('BSE - SENSEX Index Options'!$M:$M,'BSE - SENSEX Index Options'!$C:$C,$A35,'BSE - SENSEX Index Options'!$B:$B,B$4)+SUMIFS('BSE - Other Index Options'!$M:$M,'BSE - Other Index Options'!$C:$C,$A35,'BSE - Other Index Options'!$B:$B,B$4)=0,"",SUMIFS('NSE - NIFTY Index Options'!$M:$M,'NSE - NIFTY Index Options'!$C:$C,$A35,'NSE - NIFTY Index Options'!$B:$B,B$4)+SUMIFS('NSE - Other Index Options'!$M:$M,'NSE - Other Index Options'!$C:$C,$A35,'NSE - Other Index Options'!$B:$B,B$4)+SUMIFS('BSE - SENSEX Index Options'!$M:$M,'BSE - SENSEX Index Options'!$C:$C,$A35,'BSE - SENSEX Index Options'!$B:$B,B$4)+SUMIFS('BSE - Other Index Options'!$M:$M,'BSE - Other Index Options'!$C:$C,$A35,'BSE - Other Index Options'!$B:$B,B$4))</f>
        <v/>
      </c>
      <c r="C35" s="26">
        <f>IF(SUMIFS('NSE - NIFTY Index Options'!$M:$M,'NSE - NIFTY Index Options'!$C:$C,$A35,'NSE - NIFTY Index Options'!$B:$B,C$4)+SUMIFS('NSE - Other Index Options'!$M:$M,'NSE - Other Index Options'!$C:$C,$A35,'NSE - Other Index Options'!$B:$B,C$4)+SUMIFS('BSE - SENSEX Index Options'!$M:$M,'BSE - SENSEX Index Options'!$C:$C,$A35,'BSE - SENSEX Index Options'!$B:$B,C$4)+SUMIFS('BSE - Other Index Options'!$M:$M,'BSE - Other Index Options'!$C:$C,$A35,'BSE - Other Index Options'!$B:$B,C$4)=0,"",SUMIFS('NSE - NIFTY Index Options'!$M:$M,'NSE - NIFTY Index Options'!$C:$C,$A35,'NSE - NIFTY Index Options'!$B:$B,C$4)+SUMIFS('NSE - Other Index Options'!$M:$M,'NSE - Other Index Options'!$C:$C,$A35,'NSE - Other Index Options'!$B:$B,C$4)+SUMIFS('BSE - SENSEX Index Options'!$M:$M,'BSE - SENSEX Index Options'!$C:$C,$A35,'BSE - SENSEX Index Options'!$B:$B,C$4)+SUMIFS('BSE - Other Index Options'!$M:$M,'BSE - Other Index Options'!$C:$C,$A35,'BSE - Other Index Options'!$B:$B,C$4))</f>
        <v/>
      </c>
      <c r="D35" s="26">
        <f>IF(SUMIFS('NSE - NIFTY Index Options'!$M:$M,'NSE - NIFTY Index Options'!$C:$C,$A35,'NSE - NIFTY Index Options'!$B:$B,D$4)+SUMIFS('NSE - Other Index Options'!$M:$M,'NSE - Other Index Options'!$C:$C,$A35,'NSE - Other Index Options'!$B:$B,D$4)+SUMIFS('BSE - SENSEX Index Options'!$M:$M,'BSE - SENSEX Index Options'!$C:$C,$A35,'BSE - SENSEX Index Options'!$B:$B,D$4)+SUMIFS('BSE - Other Index Options'!$M:$M,'BSE - Other Index Options'!$C:$C,$A35,'BSE - Other Index Options'!$B:$B,D$4)=0,"",SUMIFS('NSE - NIFTY Index Options'!$M:$M,'NSE - NIFTY Index Options'!$C:$C,$A35,'NSE - NIFTY Index Options'!$B:$B,D$4)+SUMIFS('NSE - Other Index Options'!$M:$M,'NSE - Other Index Options'!$C:$C,$A35,'NSE - Other Index Options'!$B:$B,D$4)+SUMIFS('BSE - SENSEX Index Options'!$M:$M,'BSE - SENSEX Index Options'!$C:$C,$A35,'BSE - SENSEX Index Options'!$B:$B,D$4)+SUMIFS('BSE - Other Index Options'!$M:$M,'BSE - Other Index Options'!$C:$C,$A35,'BSE - Other Index Options'!$B:$B,D$4))</f>
        <v/>
      </c>
      <c r="E35" s="26">
        <f>IF(SUMIFS('NSE - NIFTY Index Options'!$M:$M,'NSE - NIFTY Index Options'!$C:$C,$A35,'NSE - NIFTY Index Options'!$B:$B,E$4)+SUMIFS('NSE - Other Index Options'!$M:$M,'NSE - Other Index Options'!$C:$C,$A35,'NSE - Other Index Options'!$B:$B,E$4)+SUMIFS('BSE - SENSEX Index Options'!$M:$M,'BSE - SENSEX Index Options'!$C:$C,$A35,'BSE - SENSEX Index Options'!$B:$B,E$4)+SUMIFS('BSE - Other Index Options'!$M:$M,'BSE - Other Index Options'!$C:$C,$A35,'BSE - Other Index Options'!$B:$B,E$4)=0,"",SUMIFS('NSE - NIFTY Index Options'!$M:$M,'NSE - NIFTY Index Options'!$C:$C,$A35,'NSE - NIFTY Index Options'!$B:$B,E$4)+SUMIFS('NSE - Other Index Options'!$M:$M,'NSE - Other Index Options'!$C:$C,$A35,'NSE - Other Index Options'!$B:$B,E$4)+SUMIFS('BSE - SENSEX Index Options'!$M:$M,'BSE - SENSEX Index Options'!$C:$C,$A35,'BSE - SENSEX Index Options'!$B:$B,E$4)+SUMIFS('BSE - Other Index Options'!$M:$M,'BSE - Other Index Options'!$C:$C,$A35,'BSE - Other Index Options'!$B:$B,E$4))</f>
        <v/>
      </c>
      <c r="F35" s="26">
        <f>IF(SUMIFS('NSE - NIFTY Index Options'!$M:$M,'NSE - NIFTY Index Options'!$C:$C,$A35,'NSE - NIFTY Index Options'!$B:$B,F$4)+SUMIFS('NSE - Other Index Options'!$M:$M,'NSE - Other Index Options'!$C:$C,$A35,'NSE - Other Index Options'!$B:$B,F$4)+SUMIFS('BSE - SENSEX Index Options'!$M:$M,'BSE - SENSEX Index Options'!$C:$C,$A35,'BSE - SENSEX Index Options'!$B:$B,F$4)+SUMIFS('BSE - Other Index Options'!$M:$M,'BSE - Other Index Options'!$C:$C,$A35,'BSE - Other Index Options'!$B:$B,F$4)=0,"",SUMIFS('NSE - NIFTY Index Options'!$M:$M,'NSE - NIFTY Index Options'!$C:$C,$A35,'NSE - NIFTY Index Options'!$B:$B,F$4)+SUMIFS('NSE - Other Index Options'!$M:$M,'NSE - Other Index Options'!$C:$C,$A35,'NSE - Other Index Options'!$B:$B,F$4)+SUMIFS('BSE - SENSEX Index Options'!$M:$M,'BSE - SENSEX Index Options'!$C:$C,$A35,'BSE - SENSEX Index Options'!$B:$B,F$4)+SUMIFS('BSE - Other Index Options'!$M:$M,'BSE - Other Index Options'!$C:$C,$A35,'BSE - Other Index Options'!$B:$B,F$4))</f>
        <v/>
      </c>
      <c r="G35" s="26">
        <f>IF(SUMIFS('NSE - NIFTY Index Options'!$M:$M,'NSE - NIFTY Index Options'!$C:$C,$A35,'NSE - NIFTY Index Options'!$B:$B,G$4)+SUMIFS('NSE - Other Index Options'!$M:$M,'NSE - Other Index Options'!$C:$C,$A35,'NSE - Other Index Options'!$B:$B,G$4)+SUMIFS('BSE - SENSEX Index Options'!$M:$M,'BSE - SENSEX Index Options'!$C:$C,$A35,'BSE - SENSEX Index Options'!$B:$B,G$4)+SUMIFS('BSE - Other Index Options'!$M:$M,'BSE - Other Index Options'!$C:$C,$A35,'BSE - Other Index Options'!$B:$B,G$4)=0,"",SUMIFS('NSE - NIFTY Index Options'!$M:$M,'NSE - NIFTY Index Options'!$C:$C,$A35,'NSE - NIFTY Index Options'!$B:$B,G$4)+SUMIFS('NSE - Other Index Options'!$M:$M,'NSE - Other Index Options'!$C:$C,$A35,'NSE - Other Index Options'!$B:$B,G$4)+SUMIFS('BSE - SENSEX Index Options'!$M:$M,'BSE - SENSEX Index Options'!$C:$C,$A35,'BSE - SENSEX Index Options'!$B:$B,G$4)+SUMIFS('BSE - Other Index Options'!$M:$M,'BSE - Other Index Options'!$C:$C,$A35,'BSE - Other Index Options'!$B:$B,G$4))</f>
        <v/>
      </c>
      <c r="H35" s="26">
        <f>IF(SUM(B35:G35)=0,"",SUM(B35:G35))</f>
        <v/>
      </c>
    </row>
    <row r="36">
      <c r="A36" t="inlineStr">
        <is>
          <t>Week3-Mar-2026</t>
        </is>
      </c>
      <c r="B36" s="26">
        <f>IF(SUMIFS('NSE - NIFTY Index Options'!$M:$M,'NSE - NIFTY Index Options'!$C:$C,$A36,'NSE - NIFTY Index Options'!$B:$B,B$4)+SUMIFS('NSE - Other Index Options'!$M:$M,'NSE - Other Index Options'!$C:$C,$A36,'NSE - Other Index Options'!$B:$B,B$4)+SUMIFS('BSE - SENSEX Index Options'!$M:$M,'BSE - SENSEX Index Options'!$C:$C,$A36,'BSE - SENSEX Index Options'!$B:$B,B$4)+SUMIFS('BSE - Other Index Options'!$M:$M,'BSE - Other Index Options'!$C:$C,$A36,'BSE - Other Index Options'!$B:$B,B$4)=0,"",SUMIFS('NSE - NIFTY Index Options'!$M:$M,'NSE - NIFTY Index Options'!$C:$C,$A36,'NSE - NIFTY Index Options'!$B:$B,B$4)+SUMIFS('NSE - Other Index Options'!$M:$M,'NSE - Other Index Options'!$C:$C,$A36,'NSE - Other Index Options'!$B:$B,B$4)+SUMIFS('BSE - SENSEX Index Options'!$M:$M,'BSE - SENSEX Index Options'!$C:$C,$A36,'BSE - SENSEX Index Options'!$B:$B,B$4)+SUMIFS('BSE - Other Index Options'!$M:$M,'BSE - Other Index Options'!$C:$C,$A36,'BSE - Other Index Options'!$B:$B,B$4))</f>
        <v/>
      </c>
      <c r="C36" s="26">
        <f>IF(SUMIFS('NSE - NIFTY Index Options'!$M:$M,'NSE - NIFTY Index Options'!$C:$C,$A36,'NSE - NIFTY Index Options'!$B:$B,C$4)+SUMIFS('NSE - Other Index Options'!$M:$M,'NSE - Other Index Options'!$C:$C,$A36,'NSE - Other Index Options'!$B:$B,C$4)+SUMIFS('BSE - SENSEX Index Options'!$M:$M,'BSE - SENSEX Index Options'!$C:$C,$A36,'BSE - SENSEX Index Options'!$B:$B,C$4)+SUMIFS('BSE - Other Index Options'!$M:$M,'BSE - Other Index Options'!$C:$C,$A36,'BSE - Other Index Options'!$B:$B,C$4)=0,"",SUMIFS('NSE - NIFTY Index Options'!$M:$M,'NSE - NIFTY Index Options'!$C:$C,$A36,'NSE - NIFTY Index Options'!$B:$B,C$4)+SUMIFS('NSE - Other Index Options'!$M:$M,'NSE - Other Index Options'!$C:$C,$A36,'NSE - Other Index Options'!$B:$B,C$4)+SUMIFS('BSE - SENSEX Index Options'!$M:$M,'BSE - SENSEX Index Options'!$C:$C,$A36,'BSE - SENSEX Index Options'!$B:$B,C$4)+SUMIFS('BSE - Other Index Options'!$M:$M,'BSE - Other Index Options'!$C:$C,$A36,'BSE - Other Index Options'!$B:$B,C$4))</f>
        <v/>
      </c>
      <c r="D36" s="26">
        <f>IF(SUMIFS('NSE - NIFTY Index Options'!$M:$M,'NSE - NIFTY Index Options'!$C:$C,$A36,'NSE - NIFTY Index Options'!$B:$B,D$4)+SUMIFS('NSE - Other Index Options'!$M:$M,'NSE - Other Index Options'!$C:$C,$A36,'NSE - Other Index Options'!$B:$B,D$4)+SUMIFS('BSE - SENSEX Index Options'!$M:$M,'BSE - SENSEX Index Options'!$C:$C,$A36,'BSE - SENSEX Index Options'!$B:$B,D$4)+SUMIFS('BSE - Other Index Options'!$M:$M,'BSE - Other Index Options'!$C:$C,$A36,'BSE - Other Index Options'!$B:$B,D$4)=0,"",SUMIFS('NSE - NIFTY Index Options'!$M:$M,'NSE - NIFTY Index Options'!$C:$C,$A36,'NSE - NIFTY Index Options'!$B:$B,D$4)+SUMIFS('NSE - Other Index Options'!$M:$M,'NSE - Other Index Options'!$C:$C,$A36,'NSE - Other Index Options'!$B:$B,D$4)+SUMIFS('BSE - SENSEX Index Options'!$M:$M,'BSE - SENSEX Index Options'!$C:$C,$A36,'BSE - SENSEX Index Options'!$B:$B,D$4)+SUMIFS('BSE - Other Index Options'!$M:$M,'BSE - Other Index Options'!$C:$C,$A36,'BSE - Other Index Options'!$B:$B,D$4))</f>
        <v/>
      </c>
      <c r="E36" s="26">
        <f>IF(SUMIFS('NSE - NIFTY Index Options'!$M:$M,'NSE - NIFTY Index Options'!$C:$C,$A36,'NSE - NIFTY Index Options'!$B:$B,E$4)+SUMIFS('NSE - Other Index Options'!$M:$M,'NSE - Other Index Options'!$C:$C,$A36,'NSE - Other Index Options'!$B:$B,E$4)+SUMIFS('BSE - SENSEX Index Options'!$M:$M,'BSE - SENSEX Index Options'!$C:$C,$A36,'BSE - SENSEX Index Options'!$B:$B,E$4)+SUMIFS('BSE - Other Index Options'!$M:$M,'BSE - Other Index Options'!$C:$C,$A36,'BSE - Other Index Options'!$B:$B,E$4)=0,"",SUMIFS('NSE - NIFTY Index Options'!$M:$M,'NSE - NIFTY Index Options'!$C:$C,$A36,'NSE - NIFTY Index Options'!$B:$B,E$4)+SUMIFS('NSE - Other Index Options'!$M:$M,'NSE - Other Index Options'!$C:$C,$A36,'NSE - Other Index Options'!$B:$B,E$4)+SUMIFS('BSE - SENSEX Index Options'!$M:$M,'BSE - SENSEX Index Options'!$C:$C,$A36,'BSE - SENSEX Index Options'!$B:$B,E$4)+SUMIFS('BSE - Other Index Options'!$M:$M,'BSE - Other Index Options'!$C:$C,$A36,'BSE - Other Index Options'!$B:$B,E$4))</f>
        <v/>
      </c>
      <c r="F36" s="26">
        <f>IF(SUMIFS('NSE - NIFTY Index Options'!$M:$M,'NSE - NIFTY Index Options'!$C:$C,$A36,'NSE - NIFTY Index Options'!$B:$B,F$4)+SUMIFS('NSE - Other Index Options'!$M:$M,'NSE - Other Index Options'!$C:$C,$A36,'NSE - Other Index Options'!$B:$B,F$4)+SUMIFS('BSE - SENSEX Index Options'!$M:$M,'BSE - SENSEX Index Options'!$C:$C,$A36,'BSE - SENSEX Index Options'!$B:$B,F$4)+SUMIFS('BSE - Other Index Options'!$M:$M,'BSE - Other Index Options'!$C:$C,$A36,'BSE - Other Index Options'!$B:$B,F$4)=0,"",SUMIFS('NSE - NIFTY Index Options'!$M:$M,'NSE - NIFTY Index Options'!$C:$C,$A36,'NSE - NIFTY Index Options'!$B:$B,F$4)+SUMIFS('NSE - Other Index Options'!$M:$M,'NSE - Other Index Options'!$C:$C,$A36,'NSE - Other Index Options'!$B:$B,F$4)+SUMIFS('BSE - SENSEX Index Options'!$M:$M,'BSE - SENSEX Index Options'!$C:$C,$A36,'BSE - SENSEX Index Options'!$B:$B,F$4)+SUMIFS('BSE - Other Index Options'!$M:$M,'BSE - Other Index Options'!$C:$C,$A36,'BSE - Other Index Options'!$B:$B,F$4))</f>
        <v/>
      </c>
      <c r="G36" s="26">
        <f>IF(SUMIFS('NSE - NIFTY Index Options'!$M:$M,'NSE - NIFTY Index Options'!$C:$C,$A36,'NSE - NIFTY Index Options'!$B:$B,G$4)+SUMIFS('NSE - Other Index Options'!$M:$M,'NSE - Other Index Options'!$C:$C,$A36,'NSE - Other Index Options'!$B:$B,G$4)+SUMIFS('BSE - SENSEX Index Options'!$M:$M,'BSE - SENSEX Index Options'!$C:$C,$A36,'BSE - SENSEX Index Options'!$B:$B,G$4)+SUMIFS('BSE - Other Index Options'!$M:$M,'BSE - Other Index Options'!$C:$C,$A36,'BSE - Other Index Options'!$B:$B,G$4)=0,"",SUMIFS('NSE - NIFTY Index Options'!$M:$M,'NSE - NIFTY Index Options'!$C:$C,$A36,'NSE - NIFTY Index Options'!$B:$B,G$4)+SUMIFS('NSE - Other Index Options'!$M:$M,'NSE - Other Index Options'!$C:$C,$A36,'NSE - Other Index Options'!$B:$B,G$4)+SUMIFS('BSE - SENSEX Index Options'!$M:$M,'BSE - SENSEX Index Options'!$C:$C,$A36,'BSE - SENSEX Index Options'!$B:$B,G$4)+SUMIFS('BSE - Other Index Options'!$M:$M,'BSE - Other Index Options'!$C:$C,$A36,'BSE - Other Index Options'!$B:$B,G$4))</f>
        <v/>
      </c>
      <c r="H36" s="26">
        <f>IF(SUM(B36:G36)=0,"",SUM(B36:G36))</f>
        <v/>
      </c>
    </row>
    <row r="37">
      <c r="A37" t="inlineStr">
        <is>
          <t>Week4-Mar-2026</t>
        </is>
      </c>
      <c r="B37" s="26">
        <f>IF(SUMIFS('NSE - NIFTY Index Options'!$M:$M,'NSE - NIFTY Index Options'!$C:$C,$A37,'NSE - NIFTY Index Options'!$B:$B,B$4)+SUMIFS('NSE - Other Index Options'!$M:$M,'NSE - Other Index Options'!$C:$C,$A37,'NSE - Other Index Options'!$B:$B,B$4)+SUMIFS('BSE - SENSEX Index Options'!$M:$M,'BSE - SENSEX Index Options'!$C:$C,$A37,'BSE - SENSEX Index Options'!$B:$B,B$4)+SUMIFS('BSE - Other Index Options'!$M:$M,'BSE - Other Index Options'!$C:$C,$A37,'BSE - Other Index Options'!$B:$B,B$4)=0,"",SUMIFS('NSE - NIFTY Index Options'!$M:$M,'NSE - NIFTY Index Options'!$C:$C,$A37,'NSE - NIFTY Index Options'!$B:$B,B$4)+SUMIFS('NSE - Other Index Options'!$M:$M,'NSE - Other Index Options'!$C:$C,$A37,'NSE - Other Index Options'!$B:$B,B$4)+SUMIFS('BSE - SENSEX Index Options'!$M:$M,'BSE - SENSEX Index Options'!$C:$C,$A37,'BSE - SENSEX Index Options'!$B:$B,B$4)+SUMIFS('BSE - Other Index Options'!$M:$M,'BSE - Other Index Options'!$C:$C,$A37,'BSE - Other Index Options'!$B:$B,B$4))</f>
        <v/>
      </c>
      <c r="C37" s="26">
        <f>IF(SUMIFS('NSE - NIFTY Index Options'!$M:$M,'NSE - NIFTY Index Options'!$C:$C,$A37,'NSE - NIFTY Index Options'!$B:$B,C$4)+SUMIFS('NSE - Other Index Options'!$M:$M,'NSE - Other Index Options'!$C:$C,$A37,'NSE - Other Index Options'!$B:$B,C$4)+SUMIFS('BSE - SENSEX Index Options'!$M:$M,'BSE - SENSEX Index Options'!$C:$C,$A37,'BSE - SENSEX Index Options'!$B:$B,C$4)+SUMIFS('BSE - Other Index Options'!$M:$M,'BSE - Other Index Options'!$C:$C,$A37,'BSE - Other Index Options'!$B:$B,C$4)=0,"",SUMIFS('NSE - NIFTY Index Options'!$M:$M,'NSE - NIFTY Index Options'!$C:$C,$A37,'NSE - NIFTY Index Options'!$B:$B,C$4)+SUMIFS('NSE - Other Index Options'!$M:$M,'NSE - Other Index Options'!$C:$C,$A37,'NSE - Other Index Options'!$B:$B,C$4)+SUMIFS('BSE - SENSEX Index Options'!$M:$M,'BSE - SENSEX Index Options'!$C:$C,$A37,'BSE - SENSEX Index Options'!$B:$B,C$4)+SUMIFS('BSE - Other Index Options'!$M:$M,'BSE - Other Index Options'!$C:$C,$A37,'BSE - Other Index Options'!$B:$B,C$4))</f>
        <v/>
      </c>
      <c r="D37" s="26">
        <f>IF(SUMIFS('NSE - NIFTY Index Options'!$M:$M,'NSE - NIFTY Index Options'!$C:$C,$A37,'NSE - NIFTY Index Options'!$B:$B,D$4)+SUMIFS('NSE - Other Index Options'!$M:$M,'NSE - Other Index Options'!$C:$C,$A37,'NSE - Other Index Options'!$B:$B,D$4)+SUMIFS('BSE - SENSEX Index Options'!$M:$M,'BSE - SENSEX Index Options'!$C:$C,$A37,'BSE - SENSEX Index Options'!$B:$B,D$4)+SUMIFS('BSE - Other Index Options'!$M:$M,'BSE - Other Index Options'!$C:$C,$A37,'BSE - Other Index Options'!$B:$B,D$4)=0,"",SUMIFS('NSE - NIFTY Index Options'!$M:$M,'NSE - NIFTY Index Options'!$C:$C,$A37,'NSE - NIFTY Index Options'!$B:$B,D$4)+SUMIFS('NSE - Other Index Options'!$M:$M,'NSE - Other Index Options'!$C:$C,$A37,'NSE - Other Index Options'!$B:$B,D$4)+SUMIFS('BSE - SENSEX Index Options'!$M:$M,'BSE - SENSEX Index Options'!$C:$C,$A37,'BSE - SENSEX Index Options'!$B:$B,D$4)+SUMIFS('BSE - Other Index Options'!$M:$M,'BSE - Other Index Options'!$C:$C,$A37,'BSE - Other Index Options'!$B:$B,D$4))</f>
        <v/>
      </c>
      <c r="E37" s="26">
        <f>IF(SUMIFS('NSE - NIFTY Index Options'!$M:$M,'NSE - NIFTY Index Options'!$C:$C,$A37,'NSE - NIFTY Index Options'!$B:$B,E$4)+SUMIFS('NSE - Other Index Options'!$M:$M,'NSE - Other Index Options'!$C:$C,$A37,'NSE - Other Index Options'!$B:$B,E$4)+SUMIFS('BSE - SENSEX Index Options'!$M:$M,'BSE - SENSEX Index Options'!$C:$C,$A37,'BSE - SENSEX Index Options'!$B:$B,E$4)+SUMIFS('BSE - Other Index Options'!$M:$M,'BSE - Other Index Options'!$C:$C,$A37,'BSE - Other Index Options'!$B:$B,E$4)=0,"",SUMIFS('NSE - NIFTY Index Options'!$M:$M,'NSE - NIFTY Index Options'!$C:$C,$A37,'NSE - NIFTY Index Options'!$B:$B,E$4)+SUMIFS('NSE - Other Index Options'!$M:$M,'NSE - Other Index Options'!$C:$C,$A37,'NSE - Other Index Options'!$B:$B,E$4)+SUMIFS('BSE - SENSEX Index Options'!$M:$M,'BSE - SENSEX Index Options'!$C:$C,$A37,'BSE - SENSEX Index Options'!$B:$B,E$4)+SUMIFS('BSE - Other Index Options'!$M:$M,'BSE - Other Index Options'!$C:$C,$A37,'BSE - Other Index Options'!$B:$B,E$4))</f>
        <v/>
      </c>
      <c r="F37" s="26">
        <f>IF(SUMIFS('NSE - NIFTY Index Options'!$M:$M,'NSE - NIFTY Index Options'!$C:$C,$A37,'NSE - NIFTY Index Options'!$B:$B,F$4)+SUMIFS('NSE - Other Index Options'!$M:$M,'NSE - Other Index Options'!$C:$C,$A37,'NSE - Other Index Options'!$B:$B,F$4)+SUMIFS('BSE - SENSEX Index Options'!$M:$M,'BSE - SENSEX Index Options'!$C:$C,$A37,'BSE - SENSEX Index Options'!$B:$B,F$4)+SUMIFS('BSE - Other Index Options'!$M:$M,'BSE - Other Index Options'!$C:$C,$A37,'BSE - Other Index Options'!$B:$B,F$4)=0,"",SUMIFS('NSE - NIFTY Index Options'!$M:$M,'NSE - NIFTY Index Options'!$C:$C,$A37,'NSE - NIFTY Index Options'!$B:$B,F$4)+SUMIFS('NSE - Other Index Options'!$M:$M,'NSE - Other Index Options'!$C:$C,$A37,'NSE - Other Index Options'!$B:$B,F$4)+SUMIFS('BSE - SENSEX Index Options'!$M:$M,'BSE - SENSEX Index Options'!$C:$C,$A37,'BSE - SENSEX Index Options'!$B:$B,F$4)+SUMIFS('BSE - Other Index Options'!$M:$M,'BSE - Other Index Options'!$C:$C,$A37,'BSE - Other Index Options'!$B:$B,F$4))</f>
        <v/>
      </c>
      <c r="G37" s="26">
        <f>IF(SUMIFS('NSE - NIFTY Index Options'!$M:$M,'NSE - NIFTY Index Options'!$C:$C,$A37,'NSE - NIFTY Index Options'!$B:$B,G$4)+SUMIFS('NSE - Other Index Options'!$M:$M,'NSE - Other Index Options'!$C:$C,$A37,'NSE - Other Index Options'!$B:$B,G$4)+SUMIFS('BSE - SENSEX Index Options'!$M:$M,'BSE - SENSEX Index Options'!$C:$C,$A37,'BSE - SENSEX Index Options'!$B:$B,G$4)+SUMIFS('BSE - Other Index Options'!$M:$M,'BSE - Other Index Options'!$C:$C,$A37,'BSE - Other Index Options'!$B:$B,G$4)=0,"",SUMIFS('NSE - NIFTY Index Options'!$M:$M,'NSE - NIFTY Index Options'!$C:$C,$A37,'NSE - NIFTY Index Options'!$B:$B,G$4)+SUMIFS('NSE - Other Index Options'!$M:$M,'NSE - Other Index Options'!$C:$C,$A37,'NSE - Other Index Options'!$B:$B,G$4)+SUMIFS('BSE - SENSEX Index Options'!$M:$M,'BSE - SENSEX Index Options'!$C:$C,$A37,'BSE - SENSEX Index Options'!$B:$B,G$4)+SUMIFS('BSE - Other Index Options'!$M:$M,'BSE - Other Index Options'!$C:$C,$A37,'BSE - Other Index Options'!$B:$B,G$4))</f>
        <v/>
      </c>
      <c r="H37" s="26">
        <f>IF(SUM(B37:G37)=0,"",SUM(B37:G37))</f>
        <v/>
      </c>
    </row>
    <row r="38">
      <c r="A38" t="inlineStr">
        <is>
          <t>Week5-Mar-2026</t>
        </is>
      </c>
      <c r="B38" s="26">
        <f>IF(SUMIFS('NSE - NIFTY Index Options'!$M:$M,'NSE - NIFTY Index Options'!$C:$C,$A38,'NSE - NIFTY Index Options'!$B:$B,B$4)+SUMIFS('NSE - Other Index Options'!$M:$M,'NSE - Other Index Options'!$C:$C,$A38,'NSE - Other Index Options'!$B:$B,B$4)+SUMIFS('BSE - SENSEX Index Options'!$M:$M,'BSE - SENSEX Index Options'!$C:$C,$A38,'BSE - SENSEX Index Options'!$B:$B,B$4)+SUMIFS('BSE - Other Index Options'!$M:$M,'BSE - Other Index Options'!$C:$C,$A38,'BSE - Other Index Options'!$B:$B,B$4)=0,"",SUMIFS('NSE - NIFTY Index Options'!$M:$M,'NSE - NIFTY Index Options'!$C:$C,$A38,'NSE - NIFTY Index Options'!$B:$B,B$4)+SUMIFS('NSE - Other Index Options'!$M:$M,'NSE - Other Index Options'!$C:$C,$A38,'NSE - Other Index Options'!$B:$B,B$4)+SUMIFS('BSE - SENSEX Index Options'!$M:$M,'BSE - SENSEX Index Options'!$C:$C,$A38,'BSE - SENSEX Index Options'!$B:$B,B$4)+SUMIFS('BSE - Other Index Options'!$M:$M,'BSE - Other Index Options'!$C:$C,$A38,'BSE - Other Index Options'!$B:$B,B$4))</f>
        <v/>
      </c>
      <c r="C38" s="26">
        <f>IF(SUMIFS('NSE - NIFTY Index Options'!$M:$M,'NSE - NIFTY Index Options'!$C:$C,$A38,'NSE - NIFTY Index Options'!$B:$B,C$4)+SUMIFS('NSE - Other Index Options'!$M:$M,'NSE - Other Index Options'!$C:$C,$A38,'NSE - Other Index Options'!$B:$B,C$4)+SUMIFS('BSE - SENSEX Index Options'!$M:$M,'BSE - SENSEX Index Options'!$C:$C,$A38,'BSE - SENSEX Index Options'!$B:$B,C$4)+SUMIFS('BSE - Other Index Options'!$M:$M,'BSE - Other Index Options'!$C:$C,$A38,'BSE - Other Index Options'!$B:$B,C$4)=0,"",SUMIFS('NSE - NIFTY Index Options'!$M:$M,'NSE - NIFTY Index Options'!$C:$C,$A38,'NSE - NIFTY Index Options'!$B:$B,C$4)+SUMIFS('NSE - Other Index Options'!$M:$M,'NSE - Other Index Options'!$C:$C,$A38,'NSE - Other Index Options'!$B:$B,C$4)+SUMIFS('BSE - SENSEX Index Options'!$M:$M,'BSE - SENSEX Index Options'!$C:$C,$A38,'BSE - SENSEX Index Options'!$B:$B,C$4)+SUMIFS('BSE - Other Index Options'!$M:$M,'BSE - Other Index Options'!$C:$C,$A38,'BSE - Other Index Options'!$B:$B,C$4))</f>
        <v/>
      </c>
      <c r="D38" s="26">
        <f>IF(SUMIFS('NSE - NIFTY Index Options'!$M:$M,'NSE - NIFTY Index Options'!$C:$C,$A38,'NSE - NIFTY Index Options'!$B:$B,D$4)+SUMIFS('NSE - Other Index Options'!$M:$M,'NSE - Other Index Options'!$C:$C,$A38,'NSE - Other Index Options'!$B:$B,D$4)+SUMIFS('BSE - SENSEX Index Options'!$M:$M,'BSE - SENSEX Index Options'!$C:$C,$A38,'BSE - SENSEX Index Options'!$B:$B,D$4)+SUMIFS('BSE - Other Index Options'!$M:$M,'BSE - Other Index Options'!$C:$C,$A38,'BSE - Other Index Options'!$B:$B,D$4)=0,"",SUMIFS('NSE - NIFTY Index Options'!$M:$M,'NSE - NIFTY Index Options'!$C:$C,$A38,'NSE - NIFTY Index Options'!$B:$B,D$4)+SUMIFS('NSE - Other Index Options'!$M:$M,'NSE - Other Index Options'!$C:$C,$A38,'NSE - Other Index Options'!$B:$B,D$4)+SUMIFS('BSE - SENSEX Index Options'!$M:$M,'BSE - SENSEX Index Options'!$C:$C,$A38,'BSE - SENSEX Index Options'!$B:$B,D$4)+SUMIFS('BSE - Other Index Options'!$M:$M,'BSE - Other Index Options'!$C:$C,$A38,'BSE - Other Index Options'!$B:$B,D$4))</f>
        <v/>
      </c>
      <c r="E38" s="26">
        <f>IF(SUMIFS('NSE - NIFTY Index Options'!$M:$M,'NSE - NIFTY Index Options'!$C:$C,$A38,'NSE - NIFTY Index Options'!$B:$B,E$4)+SUMIFS('NSE - Other Index Options'!$M:$M,'NSE - Other Index Options'!$C:$C,$A38,'NSE - Other Index Options'!$B:$B,E$4)+SUMIFS('BSE - SENSEX Index Options'!$M:$M,'BSE - SENSEX Index Options'!$C:$C,$A38,'BSE - SENSEX Index Options'!$B:$B,E$4)+SUMIFS('BSE - Other Index Options'!$M:$M,'BSE - Other Index Options'!$C:$C,$A38,'BSE - Other Index Options'!$B:$B,E$4)=0,"",SUMIFS('NSE - NIFTY Index Options'!$M:$M,'NSE - NIFTY Index Options'!$C:$C,$A38,'NSE - NIFTY Index Options'!$B:$B,E$4)+SUMIFS('NSE - Other Index Options'!$M:$M,'NSE - Other Index Options'!$C:$C,$A38,'NSE - Other Index Options'!$B:$B,E$4)+SUMIFS('BSE - SENSEX Index Options'!$M:$M,'BSE - SENSEX Index Options'!$C:$C,$A38,'BSE - SENSEX Index Options'!$B:$B,E$4)+SUMIFS('BSE - Other Index Options'!$M:$M,'BSE - Other Index Options'!$C:$C,$A38,'BSE - Other Index Options'!$B:$B,E$4))</f>
        <v/>
      </c>
      <c r="F38" s="26">
        <f>IF(SUMIFS('NSE - NIFTY Index Options'!$M:$M,'NSE - NIFTY Index Options'!$C:$C,$A38,'NSE - NIFTY Index Options'!$B:$B,F$4)+SUMIFS('NSE - Other Index Options'!$M:$M,'NSE - Other Index Options'!$C:$C,$A38,'NSE - Other Index Options'!$B:$B,F$4)+SUMIFS('BSE - SENSEX Index Options'!$M:$M,'BSE - SENSEX Index Options'!$C:$C,$A38,'BSE - SENSEX Index Options'!$B:$B,F$4)+SUMIFS('BSE - Other Index Options'!$M:$M,'BSE - Other Index Options'!$C:$C,$A38,'BSE - Other Index Options'!$B:$B,F$4)=0,"",SUMIFS('NSE - NIFTY Index Options'!$M:$M,'NSE - NIFTY Index Options'!$C:$C,$A38,'NSE - NIFTY Index Options'!$B:$B,F$4)+SUMIFS('NSE - Other Index Options'!$M:$M,'NSE - Other Index Options'!$C:$C,$A38,'NSE - Other Index Options'!$B:$B,F$4)+SUMIFS('BSE - SENSEX Index Options'!$M:$M,'BSE - SENSEX Index Options'!$C:$C,$A38,'BSE - SENSEX Index Options'!$B:$B,F$4)+SUMIFS('BSE - Other Index Options'!$M:$M,'BSE - Other Index Options'!$C:$C,$A38,'BSE - Other Index Options'!$B:$B,F$4))</f>
        <v/>
      </c>
      <c r="G38" s="26">
        <f>IF(SUMIFS('NSE - NIFTY Index Options'!$M:$M,'NSE - NIFTY Index Options'!$C:$C,$A38,'NSE - NIFTY Index Options'!$B:$B,G$4)+SUMIFS('NSE - Other Index Options'!$M:$M,'NSE - Other Index Options'!$C:$C,$A38,'NSE - Other Index Options'!$B:$B,G$4)+SUMIFS('BSE - SENSEX Index Options'!$M:$M,'BSE - SENSEX Index Options'!$C:$C,$A38,'BSE - SENSEX Index Options'!$B:$B,G$4)+SUMIFS('BSE - Other Index Options'!$M:$M,'BSE - Other Index Options'!$C:$C,$A38,'BSE - Other Index Options'!$B:$B,G$4)=0,"",SUMIFS('NSE - NIFTY Index Options'!$M:$M,'NSE - NIFTY Index Options'!$C:$C,$A38,'NSE - NIFTY Index Options'!$B:$B,G$4)+SUMIFS('NSE - Other Index Options'!$M:$M,'NSE - Other Index Options'!$C:$C,$A38,'NSE - Other Index Options'!$B:$B,G$4)+SUMIFS('BSE - SENSEX Index Options'!$M:$M,'BSE - SENSEX Index Options'!$C:$C,$A38,'BSE - SENSEX Index Options'!$B:$B,G$4)+SUMIFS('BSE - Other Index Options'!$M:$M,'BSE - Other Index Options'!$C:$C,$A38,'BSE - Other Index Options'!$B:$B,G$4))</f>
        <v/>
      </c>
      <c r="H38" s="26">
        <f>IF(SUM(B38:G38)=0,"",SUM(B38:G38))</f>
        <v/>
      </c>
    </row>
    <row r="39">
      <c r="A39" t="inlineStr">
        <is>
          <t>Week1-Apr-2026</t>
        </is>
      </c>
      <c r="B39" s="26">
        <f>IF(SUMIFS('NSE - NIFTY Index Options'!$M:$M,'NSE - NIFTY Index Options'!$C:$C,$A39,'NSE - NIFTY Index Options'!$B:$B,B$4)+SUMIFS('NSE - Other Index Options'!$M:$M,'NSE - Other Index Options'!$C:$C,$A39,'NSE - Other Index Options'!$B:$B,B$4)+SUMIFS('BSE - SENSEX Index Options'!$M:$M,'BSE - SENSEX Index Options'!$C:$C,$A39,'BSE - SENSEX Index Options'!$B:$B,B$4)+SUMIFS('BSE - Other Index Options'!$M:$M,'BSE - Other Index Options'!$C:$C,$A39,'BSE - Other Index Options'!$B:$B,B$4)=0,"",SUMIFS('NSE - NIFTY Index Options'!$M:$M,'NSE - NIFTY Index Options'!$C:$C,$A39,'NSE - NIFTY Index Options'!$B:$B,B$4)+SUMIFS('NSE - Other Index Options'!$M:$M,'NSE - Other Index Options'!$C:$C,$A39,'NSE - Other Index Options'!$B:$B,B$4)+SUMIFS('BSE - SENSEX Index Options'!$M:$M,'BSE - SENSEX Index Options'!$C:$C,$A39,'BSE - SENSEX Index Options'!$B:$B,B$4)+SUMIFS('BSE - Other Index Options'!$M:$M,'BSE - Other Index Options'!$C:$C,$A39,'BSE - Other Index Options'!$B:$B,B$4))</f>
        <v/>
      </c>
      <c r="C39" s="26">
        <f>IF(SUMIFS('NSE - NIFTY Index Options'!$M:$M,'NSE - NIFTY Index Options'!$C:$C,$A39,'NSE - NIFTY Index Options'!$B:$B,C$4)+SUMIFS('NSE - Other Index Options'!$M:$M,'NSE - Other Index Options'!$C:$C,$A39,'NSE - Other Index Options'!$B:$B,C$4)+SUMIFS('BSE - SENSEX Index Options'!$M:$M,'BSE - SENSEX Index Options'!$C:$C,$A39,'BSE - SENSEX Index Options'!$B:$B,C$4)+SUMIFS('BSE - Other Index Options'!$M:$M,'BSE - Other Index Options'!$C:$C,$A39,'BSE - Other Index Options'!$B:$B,C$4)=0,"",SUMIFS('NSE - NIFTY Index Options'!$M:$M,'NSE - NIFTY Index Options'!$C:$C,$A39,'NSE - NIFTY Index Options'!$B:$B,C$4)+SUMIFS('NSE - Other Index Options'!$M:$M,'NSE - Other Index Options'!$C:$C,$A39,'NSE - Other Index Options'!$B:$B,C$4)+SUMIFS('BSE - SENSEX Index Options'!$M:$M,'BSE - SENSEX Index Options'!$C:$C,$A39,'BSE - SENSEX Index Options'!$B:$B,C$4)+SUMIFS('BSE - Other Index Options'!$M:$M,'BSE - Other Index Options'!$C:$C,$A39,'BSE - Other Index Options'!$B:$B,C$4))</f>
        <v/>
      </c>
      <c r="D39" s="26">
        <f>IF(SUMIFS('NSE - NIFTY Index Options'!$M:$M,'NSE - NIFTY Index Options'!$C:$C,$A39,'NSE - NIFTY Index Options'!$B:$B,D$4)+SUMIFS('NSE - Other Index Options'!$M:$M,'NSE - Other Index Options'!$C:$C,$A39,'NSE - Other Index Options'!$B:$B,D$4)+SUMIFS('BSE - SENSEX Index Options'!$M:$M,'BSE - SENSEX Index Options'!$C:$C,$A39,'BSE - SENSEX Index Options'!$B:$B,D$4)+SUMIFS('BSE - Other Index Options'!$M:$M,'BSE - Other Index Options'!$C:$C,$A39,'BSE - Other Index Options'!$B:$B,D$4)=0,"",SUMIFS('NSE - NIFTY Index Options'!$M:$M,'NSE - NIFTY Index Options'!$C:$C,$A39,'NSE - NIFTY Index Options'!$B:$B,D$4)+SUMIFS('NSE - Other Index Options'!$M:$M,'NSE - Other Index Options'!$C:$C,$A39,'NSE - Other Index Options'!$B:$B,D$4)+SUMIFS('BSE - SENSEX Index Options'!$M:$M,'BSE - SENSEX Index Options'!$C:$C,$A39,'BSE - SENSEX Index Options'!$B:$B,D$4)+SUMIFS('BSE - Other Index Options'!$M:$M,'BSE - Other Index Options'!$C:$C,$A39,'BSE - Other Index Options'!$B:$B,D$4))</f>
        <v/>
      </c>
      <c r="E39" s="26">
        <f>IF(SUMIFS('NSE - NIFTY Index Options'!$M:$M,'NSE - NIFTY Index Options'!$C:$C,$A39,'NSE - NIFTY Index Options'!$B:$B,E$4)+SUMIFS('NSE - Other Index Options'!$M:$M,'NSE - Other Index Options'!$C:$C,$A39,'NSE - Other Index Options'!$B:$B,E$4)+SUMIFS('BSE - SENSEX Index Options'!$M:$M,'BSE - SENSEX Index Options'!$C:$C,$A39,'BSE - SENSEX Index Options'!$B:$B,E$4)+SUMIFS('BSE - Other Index Options'!$M:$M,'BSE - Other Index Options'!$C:$C,$A39,'BSE - Other Index Options'!$B:$B,E$4)=0,"",SUMIFS('NSE - NIFTY Index Options'!$M:$M,'NSE - NIFTY Index Options'!$C:$C,$A39,'NSE - NIFTY Index Options'!$B:$B,E$4)+SUMIFS('NSE - Other Index Options'!$M:$M,'NSE - Other Index Options'!$C:$C,$A39,'NSE - Other Index Options'!$B:$B,E$4)+SUMIFS('BSE - SENSEX Index Options'!$M:$M,'BSE - SENSEX Index Options'!$C:$C,$A39,'BSE - SENSEX Index Options'!$B:$B,E$4)+SUMIFS('BSE - Other Index Options'!$M:$M,'BSE - Other Index Options'!$C:$C,$A39,'BSE - Other Index Options'!$B:$B,E$4))</f>
        <v/>
      </c>
      <c r="F39" s="26">
        <f>IF(SUMIFS('NSE - NIFTY Index Options'!$M:$M,'NSE - NIFTY Index Options'!$C:$C,$A39,'NSE - NIFTY Index Options'!$B:$B,F$4)+SUMIFS('NSE - Other Index Options'!$M:$M,'NSE - Other Index Options'!$C:$C,$A39,'NSE - Other Index Options'!$B:$B,F$4)+SUMIFS('BSE - SENSEX Index Options'!$M:$M,'BSE - SENSEX Index Options'!$C:$C,$A39,'BSE - SENSEX Index Options'!$B:$B,F$4)+SUMIFS('BSE - Other Index Options'!$M:$M,'BSE - Other Index Options'!$C:$C,$A39,'BSE - Other Index Options'!$B:$B,F$4)=0,"",SUMIFS('NSE - NIFTY Index Options'!$M:$M,'NSE - NIFTY Index Options'!$C:$C,$A39,'NSE - NIFTY Index Options'!$B:$B,F$4)+SUMIFS('NSE - Other Index Options'!$M:$M,'NSE - Other Index Options'!$C:$C,$A39,'NSE - Other Index Options'!$B:$B,F$4)+SUMIFS('BSE - SENSEX Index Options'!$M:$M,'BSE - SENSEX Index Options'!$C:$C,$A39,'BSE - SENSEX Index Options'!$B:$B,F$4)+SUMIFS('BSE - Other Index Options'!$M:$M,'BSE - Other Index Options'!$C:$C,$A39,'BSE - Other Index Options'!$B:$B,F$4))</f>
        <v/>
      </c>
      <c r="G39" s="26">
        <f>IF(SUMIFS('NSE - NIFTY Index Options'!$M:$M,'NSE - NIFTY Index Options'!$C:$C,$A39,'NSE - NIFTY Index Options'!$B:$B,G$4)+SUMIFS('NSE - Other Index Options'!$M:$M,'NSE - Other Index Options'!$C:$C,$A39,'NSE - Other Index Options'!$B:$B,G$4)+SUMIFS('BSE - SENSEX Index Options'!$M:$M,'BSE - SENSEX Index Options'!$C:$C,$A39,'BSE - SENSEX Index Options'!$B:$B,G$4)+SUMIFS('BSE - Other Index Options'!$M:$M,'BSE - Other Index Options'!$C:$C,$A39,'BSE - Other Index Options'!$B:$B,G$4)=0,"",SUMIFS('NSE - NIFTY Index Options'!$M:$M,'NSE - NIFTY Index Options'!$C:$C,$A39,'NSE - NIFTY Index Options'!$B:$B,G$4)+SUMIFS('NSE - Other Index Options'!$M:$M,'NSE - Other Index Options'!$C:$C,$A39,'NSE - Other Index Options'!$B:$B,G$4)+SUMIFS('BSE - SENSEX Index Options'!$M:$M,'BSE - SENSEX Index Options'!$C:$C,$A39,'BSE - SENSEX Index Options'!$B:$B,G$4)+SUMIFS('BSE - Other Index Options'!$M:$M,'BSE - Other Index Options'!$C:$C,$A39,'BSE - Other Index Options'!$B:$B,G$4))</f>
        <v/>
      </c>
      <c r="H39" s="26">
        <f>IF(SUM(B39:G39)=0,"",SUM(B39:G39))</f>
        <v/>
      </c>
    </row>
    <row r="40">
      <c r="A40" t="inlineStr">
        <is>
          <t>Week2-Apr-2026</t>
        </is>
      </c>
      <c r="B40" s="26">
        <f>IF(SUMIFS('NSE - NIFTY Index Options'!$M:$M,'NSE - NIFTY Index Options'!$C:$C,$A40,'NSE - NIFTY Index Options'!$B:$B,B$4)+SUMIFS('NSE - Other Index Options'!$M:$M,'NSE - Other Index Options'!$C:$C,$A40,'NSE - Other Index Options'!$B:$B,B$4)+SUMIFS('BSE - SENSEX Index Options'!$M:$M,'BSE - SENSEX Index Options'!$C:$C,$A40,'BSE - SENSEX Index Options'!$B:$B,B$4)+SUMIFS('BSE - Other Index Options'!$M:$M,'BSE - Other Index Options'!$C:$C,$A40,'BSE - Other Index Options'!$B:$B,B$4)=0,"",SUMIFS('NSE - NIFTY Index Options'!$M:$M,'NSE - NIFTY Index Options'!$C:$C,$A40,'NSE - NIFTY Index Options'!$B:$B,B$4)+SUMIFS('NSE - Other Index Options'!$M:$M,'NSE - Other Index Options'!$C:$C,$A40,'NSE - Other Index Options'!$B:$B,B$4)+SUMIFS('BSE - SENSEX Index Options'!$M:$M,'BSE - SENSEX Index Options'!$C:$C,$A40,'BSE - SENSEX Index Options'!$B:$B,B$4)+SUMIFS('BSE - Other Index Options'!$M:$M,'BSE - Other Index Options'!$C:$C,$A40,'BSE - Other Index Options'!$B:$B,B$4))</f>
        <v/>
      </c>
      <c r="C40" s="26">
        <f>IF(SUMIFS('NSE - NIFTY Index Options'!$M:$M,'NSE - NIFTY Index Options'!$C:$C,$A40,'NSE - NIFTY Index Options'!$B:$B,C$4)+SUMIFS('NSE - Other Index Options'!$M:$M,'NSE - Other Index Options'!$C:$C,$A40,'NSE - Other Index Options'!$B:$B,C$4)+SUMIFS('BSE - SENSEX Index Options'!$M:$M,'BSE - SENSEX Index Options'!$C:$C,$A40,'BSE - SENSEX Index Options'!$B:$B,C$4)+SUMIFS('BSE - Other Index Options'!$M:$M,'BSE - Other Index Options'!$C:$C,$A40,'BSE - Other Index Options'!$B:$B,C$4)=0,"",SUMIFS('NSE - NIFTY Index Options'!$M:$M,'NSE - NIFTY Index Options'!$C:$C,$A40,'NSE - NIFTY Index Options'!$B:$B,C$4)+SUMIFS('NSE - Other Index Options'!$M:$M,'NSE - Other Index Options'!$C:$C,$A40,'NSE - Other Index Options'!$B:$B,C$4)+SUMIFS('BSE - SENSEX Index Options'!$M:$M,'BSE - SENSEX Index Options'!$C:$C,$A40,'BSE - SENSEX Index Options'!$B:$B,C$4)+SUMIFS('BSE - Other Index Options'!$M:$M,'BSE - Other Index Options'!$C:$C,$A40,'BSE - Other Index Options'!$B:$B,C$4))</f>
        <v/>
      </c>
      <c r="D40" s="26">
        <f>IF(SUMIFS('NSE - NIFTY Index Options'!$M:$M,'NSE - NIFTY Index Options'!$C:$C,$A40,'NSE - NIFTY Index Options'!$B:$B,D$4)+SUMIFS('NSE - Other Index Options'!$M:$M,'NSE - Other Index Options'!$C:$C,$A40,'NSE - Other Index Options'!$B:$B,D$4)+SUMIFS('BSE - SENSEX Index Options'!$M:$M,'BSE - SENSEX Index Options'!$C:$C,$A40,'BSE - SENSEX Index Options'!$B:$B,D$4)+SUMIFS('BSE - Other Index Options'!$M:$M,'BSE - Other Index Options'!$C:$C,$A40,'BSE - Other Index Options'!$B:$B,D$4)=0,"",SUMIFS('NSE - NIFTY Index Options'!$M:$M,'NSE - NIFTY Index Options'!$C:$C,$A40,'NSE - NIFTY Index Options'!$B:$B,D$4)+SUMIFS('NSE - Other Index Options'!$M:$M,'NSE - Other Index Options'!$C:$C,$A40,'NSE - Other Index Options'!$B:$B,D$4)+SUMIFS('BSE - SENSEX Index Options'!$M:$M,'BSE - SENSEX Index Options'!$C:$C,$A40,'BSE - SENSEX Index Options'!$B:$B,D$4)+SUMIFS('BSE - Other Index Options'!$M:$M,'BSE - Other Index Options'!$C:$C,$A40,'BSE - Other Index Options'!$B:$B,D$4))</f>
        <v/>
      </c>
      <c r="E40" s="26">
        <f>IF(SUMIFS('NSE - NIFTY Index Options'!$M:$M,'NSE - NIFTY Index Options'!$C:$C,$A40,'NSE - NIFTY Index Options'!$B:$B,E$4)+SUMIFS('NSE - Other Index Options'!$M:$M,'NSE - Other Index Options'!$C:$C,$A40,'NSE - Other Index Options'!$B:$B,E$4)+SUMIFS('BSE - SENSEX Index Options'!$M:$M,'BSE - SENSEX Index Options'!$C:$C,$A40,'BSE - SENSEX Index Options'!$B:$B,E$4)+SUMIFS('BSE - Other Index Options'!$M:$M,'BSE - Other Index Options'!$C:$C,$A40,'BSE - Other Index Options'!$B:$B,E$4)=0,"",SUMIFS('NSE - NIFTY Index Options'!$M:$M,'NSE - NIFTY Index Options'!$C:$C,$A40,'NSE - NIFTY Index Options'!$B:$B,E$4)+SUMIFS('NSE - Other Index Options'!$M:$M,'NSE - Other Index Options'!$C:$C,$A40,'NSE - Other Index Options'!$B:$B,E$4)+SUMIFS('BSE - SENSEX Index Options'!$M:$M,'BSE - SENSEX Index Options'!$C:$C,$A40,'BSE - SENSEX Index Options'!$B:$B,E$4)+SUMIFS('BSE - Other Index Options'!$M:$M,'BSE - Other Index Options'!$C:$C,$A40,'BSE - Other Index Options'!$B:$B,E$4))</f>
        <v/>
      </c>
      <c r="F40" s="26">
        <f>IF(SUMIFS('NSE - NIFTY Index Options'!$M:$M,'NSE - NIFTY Index Options'!$C:$C,$A40,'NSE - NIFTY Index Options'!$B:$B,F$4)+SUMIFS('NSE - Other Index Options'!$M:$M,'NSE - Other Index Options'!$C:$C,$A40,'NSE - Other Index Options'!$B:$B,F$4)+SUMIFS('BSE - SENSEX Index Options'!$M:$M,'BSE - SENSEX Index Options'!$C:$C,$A40,'BSE - SENSEX Index Options'!$B:$B,F$4)+SUMIFS('BSE - Other Index Options'!$M:$M,'BSE - Other Index Options'!$C:$C,$A40,'BSE - Other Index Options'!$B:$B,F$4)=0,"",SUMIFS('NSE - NIFTY Index Options'!$M:$M,'NSE - NIFTY Index Options'!$C:$C,$A40,'NSE - NIFTY Index Options'!$B:$B,F$4)+SUMIFS('NSE - Other Index Options'!$M:$M,'NSE - Other Index Options'!$C:$C,$A40,'NSE - Other Index Options'!$B:$B,F$4)+SUMIFS('BSE - SENSEX Index Options'!$M:$M,'BSE - SENSEX Index Options'!$C:$C,$A40,'BSE - SENSEX Index Options'!$B:$B,F$4)+SUMIFS('BSE - Other Index Options'!$M:$M,'BSE - Other Index Options'!$C:$C,$A40,'BSE - Other Index Options'!$B:$B,F$4))</f>
        <v/>
      </c>
      <c r="G40" s="26">
        <f>IF(SUMIFS('NSE - NIFTY Index Options'!$M:$M,'NSE - NIFTY Index Options'!$C:$C,$A40,'NSE - NIFTY Index Options'!$B:$B,G$4)+SUMIFS('NSE - Other Index Options'!$M:$M,'NSE - Other Index Options'!$C:$C,$A40,'NSE - Other Index Options'!$B:$B,G$4)+SUMIFS('BSE - SENSEX Index Options'!$M:$M,'BSE - SENSEX Index Options'!$C:$C,$A40,'BSE - SENSEX Index Options'!$B:$B,G$4)+SUMIFS('BSE - Other Index Options'!$M:$M,'BSE - Other Index Options'!$C:$C,$A40,'BSE - Other Index Options'!$B:$B,G$4)=0,"",SUMIFS('NSE - NIFTY Index Options'!$M:$M,'NSE - NIFTY Index Options'!$C:$C,$A40,'NSE - NIFTY Index Options'!$B:$B,G$4)+SUMIFS('NSE - Other Index Options'!$M:$M,'NSE - Other Index Options'!$C:$C,$A40,'NSE - Other Index Options'!$B:$B,G$4)+SUMIFS('BSE - SENSEX Index Options'!$M:$M,'BSE - SENSEX Index Options'!$C:$C,$A40,'BSE - SENSEX Index Options'!$B:$B,G$4)+SUMIFS('BSE - Other Index Options'!$M:$M,'BSE - Other Index Options'!$C:$C,$A40,'BSE - Other Index Options'!$B:$B,G$4))</f>
        <v/>
      </c>
      <c r="H40" s="26">
        <f>IF(SUM(B40:G40)=0,"",SUM(B40:G40))</f>
        <v/>
      </c>
    </row>
    <row r="41">
      <c r="A41" t="inlineStr">
        <is>
          <t>Week3-Apr-2026</t>
        </is>
      </c>
      <c r="B41" s="26">
        <f>IF(SUMIFS('NSE - NIFTY Index Options'!$M:$M,'NSE - NIFTY Index Options'!$C:$C,$A41,'NSE - NIFTY Index Options'!$B:$B,B$4)+SUMIFS('NSE - Other Index Options'!$M:$M,'NSE - Other Index Options'!$C:$C,$A41,'NSE - Other Index Options'!$B:$B,B$4)+SUMIFS('BSE - SENSEX Index Options'!$M:$M,'BSE - SENSEX Index Options'!$C:$C,$A41,'BSE - SENSEX Index Options'!$B:$B,B$4)+SUMIFS('BSE - Other Index Options'!$M:$M,'BSE - Other Index Options'!$C:$C,$A41,'BSE - Other Index Options'!$B:$B,B$4)=0,"",SUMIFS('NSE - NIFTY Index Options'!$M:$M,'NSE - NIFTY Index Options'!$C:$C,$A41,'NSE - NIFTY Index Options'!$B:$B,B$4)+SUMIFS('NSE - Other Index Options'!$M:$M,'NSE - Other Index Options'!$C:$C,$A41,'NSE - Other Index Options'!$B:$B,B$4)+SUMIFS('BSE - SENSEX Index Options'!$M:$M,'BSE - SENSEX Index Options'!$C:$C,$A41,'BSE - SENSEX Index Options'!$B:$B,B$4)+SUMIFS('BSE - Other Index Options'!$M:$M,'BSE - Other Index Options'!$C:$C,$A41,'BSE - Other Index Options'!$B:$B,B$4))</f>
        <v/>
      </c>
      <c r="C41" s="26">
        <f>IF(SUMIFS('NSE - NIFTY Index Options'!$M:$M,'NSE - NIFTY Index Options'!$C:$C,$A41,'NSE - NIFTY Index Options'!$B:$B,C$4)+SUMIFS('NSE - Other Index Options'!$M:$M,'NSE - Other Index Options'!$C:$C,$A41,'NSE - Other Index Options'!$B:$B,C$4)+SUMIFS('BSE - SENSEX Index Options'!$M:$M,'BSE - SENSEX Index Options'!$C:$C,$A41,'BSE - SENSEX Index Options'!$B:$B,C$4)+SUMIFS('BSE - Other Index Options'!$M:$M,'BSE - Other Index Options'!$C:$C,$A41,'BSE - Other Index Options'!$B:$B,C$4)=0,"",SUMIFS('NSE - NIFTY Index Options'!$M:$M,'NSE - NIFTY Index Options'!$C:$C,$A41,'NSE - NIFTY Index Options'!$B:$B,C$4)+SUMIFS('NSE - Other Index Options'!$M:$M,'NSE - Other Index Options'!$C:$C,$A41,'NSE - Other Index Options'!$B:$B,C$4)+SUMIFS('BSE - SENSEX Index Options'!$M:$M,'BSE - SENSEX Index Options'!$C:$C,$A41,'BSE - SENSEX Index Options'!$B:$B,C$4)+SUMIFS('BSE - Other Index Options'!$M:$M,'BSE - Other Index Options'!$C:$C,$A41,'BSE - Other Index Options'!$B:$B,C$4))</f>
        <v/>
      </c>
      <c r="D41" s="26">
        <f>IF(SUMIFS('NSE - NIFTY Index Options'!$M:$M,'NSE - NIFTY Index Options'!$C:$C,$A41,'NSE - NIFTY Index Options'!$B:$B,D$4)+SUMIFS('NSE - Other Index Options'!$M:$M,'NSE - Other Index Options'!$C:$C,$A41,'NSE - Other Index Options'!$B:$B,D$4)+SUMIFS('BSE - SENSEX Index Options'!$M:$M,'BSE - SENSEX Index Options'!$C:$C,$A41,'BSE - SENSEX Index Options'!$B:$B,D$4)+SUMIFS('BSE - Other Index Options'!$M:$M,'BSE - Other Index Options'!$C:$C,$A41,'BSE - Other Index Options'!$B:$B,D$4)=0,"",SUMIFS('NSE - NIFTY Index Options'!$M:$M,'NSE - NIFTY Index Options'!$C:$C,$A41,'NSE - NIFTY Index Options'!$B:$B,D$4)+SUMIFS('NSE - Other Index Options'!$M:$M,'NSE - Other Index Options'!$C:$C,$A41,'NSE - Other Index Options'!$B:$B,D$4)+SUMIFS('BSE - SENSEX Index Options'!$M:$M,'BSE - SENSEX Index Options'!$C:$C,$A41,'BSE - SENSEX Index Options'!$B:$B,D$4)+SUMIFS('BSE - Other Index Options'!$M:$M,'BSE - Other Index Options'!$C:$C,$A41,'BSE - Other Index Options'!$B:$B,D$4))</f>
        <v/>
      </c>
      <c r="E41" s="26">
        <f>IF(SUMIFS('NSE - NIFTY Index Options'!$M:$M,'NSE - NIFTY Index Options'!$C:$C,$A41,'NSE - NIFTY Index Options'!$B:$B,E$4)+SUMIFS('NSE - Other Index Options'!$M:$M,'NSE - Other Index Options'!$C:$C,$A41,'NSE - Other Index Options'!$B:$B,E$4)+SUMIFS('BSE - SENSEX Index Options'!$M:$M,'BSE - SENSEX Index Options'!$C:$C,$A41,'BSE - SENSEX Index Options'!$B:$B,E$4)+SUMIFS('BSE - Other Index Options'!$M:$M,'BSE - Other Index Options'!$C:$C,$A41,'BSE - Other Index Options'!$B:$B,E$4)=0,"",SUMIFS('NSE - NIFTY Index Options'!$M:$M,'NSE - NIFTY Index Options'!$C:$C,$A41,'NSE - NIFTY Index Options'!$B:$B,E$4)+SUMIFS('NSE - Other Index Options'!$M:$M,'NSE - Other Index Options'!$C:$C,$A41,'NSE - Other Index Options'!$B:$B,E$4)+SUMIFS('BSE - SENSEX Index Options'!$M:$M,'BSE - SENSEX Index Options'!$C:$C,$A41,'BSE - SENSEX Index Options'!$B:$B,E$4)+SUMIFS('BSE - Other Index Options'!$M:$M,'BSE - Other Index Options'!$C:$C,$A41,'BSE - Other Index Options'!$B:$B,E$4))</f>
        <v/>
      </c>
      <c r="F41" s="26">
        <f>IF(SUMIFS('NSE - NIFTY Index Options'!$M:$M,'NSE - NIFTY Index Options'!$C:$C,$A41,'NSE - NIFTY Index Options'!$B:$B,F$4)+SUMIFS('NSE - Other Index Options'!$M:$M,'NSE - Other Index Options'!$C:$C,$A41,'NSE - Other Index Options'!$B:$B,F$4)+SUMIFS('BSE - SENSEX Index Options'!$M:$M,'BSE - SENSEX Index Options'!$C:$C,$A41,'BSE - SENSEX Index Options'!$B:$B,F$4)+SUMIFS('BSE - Other Index Options'!$M:$M,'BSE - Other Index Options'!$C:$C,$A41,'BSE - Other Index Options'!$B:$B,F$4)=0,"",SUMIFS('NSE - NIFTY Index Options'!$M:$M,'NSE - NIFTY Index Options'!$C:$C,$A41,'NSE - NIFTY Index Options'!$B:$B,F$4)+SUMIFS('NSE - Other Index Options'!$M:$M,'NSE - Other Index Options'!$C:$C,$A41,'NSE - Other Index Options'!$B:$B,F$4)+SUMIFS('BSE - SENSEX Index Options'!$M:$M,'BSE - SENSEX Index Options'!$C:$C,$A41,'BSE - SENSEX Index Options'!$B:$B,F$4)+SUMIFS('BSE - Other Index Options'!$M:$M,'BSE - Other Index Options'!$C:$C,$A41,'BSE - Other Index Options'!$B:$B,F$4))</f>
        <v/>
      </c>
      <c r="G41" s="26">
        <f>IF(SUMIFS('NSE - NIFTY Index Options'!$M:$M,'NSE - NIFTY Index Options'!$C:$C,$A41,'NSE - NIFTY Index Options'!$B:$B,G$4)+SUMIFS('NSE - Other Index Options'!$M:$M,'NSE - Other Index Options'!$C:$C,$A41,'NSE - Other Index Options'!$B:$B,G$4)+SUMIFS('BSE - SENSEX Index Options'!$M:$M,'BSE - SENSEX Index Options'!$C:$C,$A41,'BSE - SENSEX Index Options'!$B:$B,G$4)+SUMIFS('BSE - Other Index Options'!$M:$M,'BSE - Other Index Options'!$C:$C,$A41,'BSE - Other Index Options'!$B:$B,G$4)=0,"",SUMIFS('NSE - NIFTY Index Options'!$M:$M,'NSE - NIFTY Index Options'!$C:$C,$A41,'NSE - NIFTY Index Options'!$B:$B,G$4)+SUMIFS('NSE - Other Index Options'!$M:$M,'NSE - Other Index Options'!$C:$C,$A41,'NSE - Other Index Options'!$B:$B,G$4)+SUMIFS('BSE - SENSEX Index Options'!$M:$M,'BSE - SENSEX Index Options'!$C:$C,$A41,'BSE - SENSEX Index Options'!$B:$B,G$4)+SUMIFS('BSE - Other Index Options'!$M:$M,'BSE - Other Index Options'!$C:$C,$A41,'BSE - Other Index Options'!$B:$B,G$4))</f>
        <v/>
      </c>
      <c r="H41" s="26">
        <f>IF(SUM(B41:G41)=0,"",SUM(B41:G41))</f>
        <v/>
      </c>
    </row>
    <row r="42">
      <c r="A42" t="inlineStr">
        <is>
          <t>Week4-Apr-2026</t>
        </is>
      </c>
      <c r="B42" s="26">
        <f>IF(SUMIFS('NSE - NIFTY Index Options'!$M:$M,'NSE - NIFTY Index Options'!$C:$C,$A42,'NSE - NIFTY Index Options'!$B:$B,B$4)+SUMIFS('NSE - Other Index Options'!$M:$M,'NSE - Other Index Options'!$C:$C,$A42,'NSE - Other Index Options'!$B:$B,B$4)+SUMIFS('BSE - SENSEX Index Options'!$M:$M,'BSE - SENSEX Index Options'!$C:$C,$A42,'BSE - SENSEX Index Options'!$B:$B,B$4)+SUMIFS('BSE - Other Index Options'!$M:$M,'BSE - Other Index Options'!$C:$C,$A42,'BSE - Other Index Options'!$B:$B,B$4)=0,"",SUMIFS('NSE - NIFTY Index Options'!$M:$M,'NSE - NIFTY Index Options'!$C:$C,$A42,'NSE - NIFTY Index Options'!$B:$B,B$4)+SUMIFS('NSE - Other Index Options'!$M:$M,'NSE - Other Index Options'!$C:$C,$A42,'NSE - Other Index Options'!$B:$B,B$4)+SUMIFS('BSE - SENSEX Index Options'!$M:$M,'BSE - SENSEX Index Options'!$C:$C,$A42,'BSE - SENSEX Index Options'!$B:$B,B$4)+SUMIFS('BSE - Other Index Options'!$M:$M,'BSE - Other Index Options'!$C:$C,$A42,'BSE - Other Index Options'!$B:$B,B$4))</f>
        <v/>
      </c>
      <c r="C42" s="26">
        <f>IF(SUMIFS('NSE - NIFTY Index Options'!$M:$M,'NSE - NIFTY Index Options'!$C:$C,$A42,'NSE - NIFTY Index Options'!$B:$B,C$4)+SUMIFS('NSE - Other Index Options'!$M:$M,'NSE - Other Index Options'!$C:$C,$A42,'NSE - Other Index Options'!$B:$B,C$4)+SUMIFS('BSE - SENSEX Index Options'!$M:$M,'BSE - SENSEX Index Options'!$C:$C,$A42,'BSE - SENSEX Index Options'!$B:$B,C$4)+SUMIFS('BSE - Other Index Options'!$M:$M,'BSE - Other Index Options'!$C:$C,$A42,'BSE - Other Index Options'!$B:$B,C$4)=0,"",SUMIFS('NSE - NIFTY Index Options'!$M:$M,'NSE - NIFTY Index Options'!$C:$C,$A42,'NSE - NIFTY Index Options'!$B:$B,C$4)+SUMIFS('NSE - Other Index Options'!$M:$M,'NSE - Other Index Options'!$C:$C,$A42,'NSE - Other Index Options'!$B:$B,C$4)+SUMIFS('BSE - SENSEX Index Options'!$M:$M,'BSE - SENSEX Index Options'!$C:$C,$A42,'BSE - SENSEX Index Options'!$B:$B,C$4)+SUMIFS('BSE - Other Index Options'!$M:$M,'BSE - Other Index Options'!$C:$C,$A42,'BSE - Other Index Options'!$B:$B,C$4))</f>
        <v/>
      </c>
      <c r="D42" s="26">
        <f>IF(SUMIFS('NSE - NIFTY Index Options'!$M:$M,'NSE - NIFTY Index Options'!$C:$C,$A42,'NSE - NIFTY Index Options'!$B:$B,D$4)+SUMIFS('NSE - Other Index Options'!$M:$M,'NSE - Other Index Options'!$C:$C,$A42,'NSE - Other Index Options'!$B:$B,D$4)+SUMIFS('BSE - SENSEX Index Options'!$M:$M,'BSE - SENSEX Index Options'!$C:$C,$A42,'BSE - SENSEX Index Options'!$B:$B,D$4)+SUMIFS('BSE - Other Index Options'!$M:$M,'BSE - Other Index Options'!$C:$C,$A42,'BSE - Other Index Options'!$B:$B,D$4)=0,"",SUMIFS('NSE - NIFTY Index Options'!$M:$M,'NSE - NIFTY Index Options'!$C:$C,$A42,'NSE - NIFTY Index Options'!$B:$B,D$4)+SUMIFS('NSE - Other Index Options'!$M:$M,'NSE - Other Index Options'!$C:$C,$A42,'NSE - Other Index Options'!$B:$B,D$4)+SUMIFS('BSE - SENSEX Index Options'!$M:$M,'BSE - SENSEX Index Options'!$C:$C,$A42,'BSE - SENSEX Index Options'!$B:$B,D$4)+SUMIFS('BSE - Other Index Options'!$M:$M,'BSE - Other Index Options'!$C:$C,$A42,'BSE - Other Index Options'!$B:$B,D$4))</f>
        <v/>
      </c>
      <c r="E42" s="26">
        <f>IF(SUMIFS('NSE - NIFTY Index Options'!$M:$M,'NSE - NIFTY Index Options'!$C:$C,$A42,'NSE - NIFTY Index Options'!$B:$B,E$4)+SUMIFS('NSE - Other Index Options'!$M:$M,'NSE - Other Index Options'!$C:$C,$A42,'NSE - Other Index Options'!$B:$B,E$4)+SUMIFS('BSE - SENSEX Index Options'!$M:$M,'BSE - SENSEX Index Options'!$C:$C,$A42,'BSE - SENSEX Index Options'!$B:$B,E$4)+SUMIFS('BSE - Other Index Options'!$M:$M,'BSE - Other Index Options'!$C:$C,$A42,'BSE - Other Index Options'!$B:$B,E$4)=0,"",SUMIFS('NSE - NIFTY Index Options'!$M:$M,'NSE - NIFTY Index Options'!$C:$C,$A42,'NSE - NIFTY Index Options'!$B:$B,E$4)+SUMIFS('NSE - Other Index Options'!$M:$M,'NSE - Other Index Options'!$C:$C,$A42,'NSE - Other Index Options'!$B:$B,E$4)+SUMIFS('BSE - SENSEX Index Options'!$M:$M,'BSE - SENSEX Index Options'!$C:$C,$A42,'BSE - SENSEX Index Options'!$B:$B,E$4)+SUMIFS('BSE - Other Index Options'!$M:$M,'BSE - Other Index Options'!$C:$C,$A42,'BSE - Other Index Options'!$B:$B,E$4))</f>
        <v/>
      </c>
      <c r="F42" s="26">
        <f>IF(SUMIFS('NSE - NIFTY Index Options'!$M:$M,'NSE - NIFTY Index Options'!$C:$C,$A42,'NSE - NIFTY Index Options'!$B:$B,F$4)+SUMIFS('NSE - Other Index Options'!$M:$M,'NSE - Other Index Options'!$C:$C,$A42,'NSE - Other Index Options'!$B:$B,F$4)+SUMIFS('BSE - SENSEX Index Options'!$M:$M,'BSE - SENSEX Index Options'!$C:$C,$A42,'BSE - SENSEX Index Options'!$B:$B,F$4)+SUMIFS('BSE - Other Index Options'!$M:$M,'BSE - Other Index Options'!$C:$C,$A42,'BSE - Other Index Options'!$B:$B,F$4)=0,"",SUMIFS('NSE - NIFTY Index Options'!$M:$M,'NSE - NIFTY Index Options'!$C:$C,$A42,'NSE - NIFTY Index Options'!$B:$B,F$4)+SUMIFS('NSE - Other Index Options'!$M:$M,'NSE - Other Index Options'!$C:$C,$A42,'NSE - Other Index Options'!$B:$B,F$4)+SUMIFS('BSE - SENSEX Index Options'!$M:$M,'BSE - SENSEX Index Options'!$C:$C,$A42,'BSE - SENSEX Index Options'!$B:$B,F$4)+SUMIFS('BSE - Other Index Options'!$M:$M,'BSE - Other Index Options'!$C:$C,$A42,'BSE - Other Index Options'!$B:$B,F$4))</f>
        <v/>
      </c>
      <c r="G42" s="26">
        <f>IF(SUMIFS('NSE - NIFTY Index Options'!$M:$M,'NSE - NIFTY Index Options'!$C:$C,$A42,'NSE - NIFTY Index Options'!$B:$B,G$4)+SUMIFS('NSE - Other Index Options'!$M:$M,'NSE - Other Index Options'!$C:$C,$A42,'NSE - Other Index Options'!$B:$B,G$4)+SUMIFS('BSE - SENSEX Index Options'!$M:$M,'BSE - SENSEX Index Options'!$C:$C,$A42,'BSE - SENSEX Index Options'!$B:$B,G$4)+SUMIFS('BSE - Other Index Options'!$M:$M,'BSE - Other Index Options'!$C:$C,$A42,'BSE - Other Index Options'!$B:$B,G$4)=0,"",SUMIFS('NSE - NIFTY Index Options'!$M:$M,'NSE - NIFTY Index Options'!$C:$C,$A42,'NSE - NIFTY Index Options'!$B:$B,G$4)+SUMIFS('NSE - Other Index Options'!$M:$M,'NSE - Other Index Options'!$C:$C,$A42,'NSE - Other Index Options'!$B:$B,G$4)+SUMIFS('BSE - SENSEX Index Options'!$M:$M,'BSE - SENSEX Index Options'!$C:$C,$A42,'BSE - SENSEX Index Options'!$B:$B,G$4)+SUMIFS('BSE - Other Index Options'!$M:$M,'BSE - Other Index Options'!$C:$C,$A42,'BSE - Other Index Options'!$B:$B,G$4))</f>
        <v/>
      </c>
      <c r="H42" s="26">
        <f>IF(SUM(B42:G42)=0,"",SUM(B42:G42))</f>
        <v/>
      </c>
    </row>
    <row r="43">
      <c r="A43" t="inlineStr">
        <is>
          <t>Week5-Apr-2026</t>
        </is>
      </c>
      <c r="B43" s="26">
        <f>IF(SUMIFS('NSE - NIFTY Index Options'!$M:$M,'NSE - NIFTY Index Options'!$C:$C,$A43,'NSE - NIFTY Index Options'!$B:$B,B$4)+SUMIFS('NSE - Other Index Options'!$M:$M,'NSE - Other Index Options'!$C:$C,$A43,'NSE - Other Index Options'!$B:$B,B$4)+SUMIFS('BSE - SENSEX Index Options'!$M:$M,'BSE - SENSEX Index Options'!$C:$C,$A43,'BSE - SENSEX Index Options'!$B:$B,B$4)+SUMIFS('BSE - Other Index Options'!$M:$M,'BSE - Other Index Options'!$C:$C,$A43,'BSE - Other Index Options'!$B:$B,B$4)=0,"",SUMIFS('NSE - NIFTY Index Options'!$M:$M,'NSE - NIFTY Index Options'!$C:$C,$A43,'NSE - NIFTY Index Options'!$B:$B,B$4)+SUMIFS('NSE - Other Index Options'!$M:$M,'NSE - Other Index Options'!$C:$C,$A43,'NSE - Other Index Options'!$B:$B,B$4)+SUMIFS('BSE - SENSEX Index Options'!$M:$M,'BSE - SENSEX Index Options'!$C:$C,$A43,'BSE - SENSEX Index Options'!$B:$B,B$4)+SUMIFS('BSE - Other Index Options'!$M:$M,'BSE - Other Index Options'!$C:$C,$A43,'BSE - Other Index Options'!$B:$B,B$4))</f>
        <v/>
      </c>
      <c r="C43" s="26">
        <f>IF(SUMIFS('NSE - NIFTY Index Options'!$M:$M,'NSE - NIFTY Index Options'!$C:$C,$A43,'NSE - NIFTY Index Options'!$B:$B,C$4)+SUMIFS('NSE - Other Index Options'!$M:$M,'NSE - Other Index Options'!$C:$C,$A43,'NSE - Other Index Options'!$B:$B,C$4)+SUMIFS('BSE - SENSEX Index Options'!$M:$M,'BSE - SENSEX Index Options'!$C:$C,$A43,'BSE - SENSEX Index Options'!$B:$B,C$4)+SUMIFS('BSE - Other Index Options'!$M:$M,'BSE - Other Index Options'!$C:$C,$A43,'BSE - Other Index Options'!$B:$B,C$4)=0,"",SUMIFS('NSE - NIFTY Index Options'!$M:$M,'NSE - NIFTY Index Options'!$C:$C,$A43,'NSE - NIFTY Index Options'!$B:$B,C$4)+SUMIFS('NSE - Other Index Options'!$M:$M,'NSE - Other Index Options'!$C:$C,$A43,'NSE - Other Index Options'!$B:$B,C$4)+SUMIFS('BSE - SENSEX Index Options'!$M:$M,'BSE - SENSEX Index Options'!$C:$C,$A43,'BSE - SENSEX Index Options'!$B:$B,C$4)+SUMIFS('BSE - Other Index Options'!$M:$M,'BSE - Other Index Options'!$C:$C,$A43,'BSE - Other Index Options'!$B:$B,C$4))</f>
        <v/>
      </c>
      <c r="D43" s="26">
        <f>IF(SUMIFS('NSE - NIFTY Index Options'!$M:$M,'NSE - NIFTY Index Options'!$C:$C,$A43,'NSE - NIFTY Index Options'!$B:$B,D$4)+SUMIFS('NSE - Other Index Options'!$M:$M,'NSE - Other Index Options'!$C:$C,$A43,'NSE - Other Index Options'!$B:$B,D$4)+SUMIFS('BSE - SENSEX Index Options'!$M:$M,'BSE - SENSEX Index Options'!$C:$C,$A43,'BSE - SENSEX Index Options'!$B:$B,D$4)+SUMIFS('BSE - Other Index Options'!$M:$M,'BSE - Other Index Options'!$C:$C,$A43,'BSE - Other Index Options'!$B:$B,D$4)=0,"",SUMIFS('NSE - NIFTY Index Options'!$M:$M,'NSE - NIFTY Index Options'!$C:$C,$A43,'NSE - NIFTY Index Options'!$B:$B,D$4)+SUMIFS('NSE - Other Index Options'!$M:$M,'NSE - Other Index Options'!$C:$C,$A43,'NSE - Other Index Options'!$B:$B,D$4)+SUMIFS('BSE - SENSEX Index Options'!$M:$M,'BSE - SENSEX Index Options'!$C:$C,$A43,'BSE - SENSEX Index Options'!$B:$B,D$4)+SUMIFS('BSE - Other Index Options'!$M:$M,'BSE - Other Index Options'!$C:$C,$A43,'BSE - Other Index Options'!$B:$B,D$4))</f>
        <v/>
      </c>
      <c r="E43" s="26">
        <f>IF(SUMIFS('NSE - NIFTY Index Options'!$M:$M,'NSE - NIFTY Index Options'!$C:$C,$A43,'NSE - NIFTY Index Options'!$B:$B,E$4)+SUMIFS('NSE - Other Index Options'!$M:$M,'NSE - Other Index Options'!$C:$C,$A43,'NSE - Other Index Options'!$B:$B,E$4)+SUMIFS('BSE - SENSEX Index Options'!$M:$M,'BSE - SENSEX Index Options'!$C:$C,$A43,'BSE - SENSEX Index Options'!$B:$B,E$4)+SUMIFS('BSE - Other Index Options'!$M:$M,'BSE - Other Index Options'!$C:$C,$A43,'BSE - Other Index Options'!$B:$B,E$4)=0,"",SUMIFS('NSE - NIFTY Index Options'!$M:$M,'NSE - NIFTY Index Options'!$C:$C,$A43,'NSE - NIFTY Index Options'!$B:$B,E$4)+SUMIFS('NSE - Other Index Options'!$M:$M,'NSE - Other Index Options'!$C:$C,$A43,'NSE - Other Index Options'!$B:$B,E$4)+SUMIFS('BSE - SENSEX Index Options'!$M:$M,'BSE - SENSEX Index Options'!$C:$C,$A43,'BSE - SENSEX Index Options'!$B:$B,E$4)+SUMIFS('BSE - Other Index Options'!$M:$M,'BSE - Other Index Options'!$C:$C,$A43,'BSE - Other Index Options'!$B:$B,E$4))</f>
        <v/>
      </c>
      <c r="F43" s="26">
        <f>IF(SUMIFS('NSE - NIFTY Index Options'!$M:$M,'NSE - NIFTY Index Options'!$C:$C,$A43,'NSE - NIFTY Index Options'!$B:$B,F$4)+SUMIFS('NSE - Other Index Options'!$M:$M,'NSE - Other Index Options'!$C:$C,$A43,'NSE - Other Index Options'!$B:$B,F$4)+SUMIFS('BSE - SENSEX Index Options'!$M:$M,'BSE - SENSEX Index Options'!$C:$C,$A43,'BSE - SENSEX Index Options'!$B:$B,F$4)+SUMIFS('BSE - Other Index Options'!$M:$M,'BSE - Other Index Options'!$C:$C,$A43,'BSE - Other Index Options'!$B:$B,F$4)=0,"",SUMIFS('NSE - NIFTY Index Options'!$M:$M,'NSE - NIFTY Index Options'!$C:$C,$A43,'NSE - NIFTY Index Options'!$B:$B,F$4)+SUMIFS('NSE - Other Index Options'!$M:$M,'NSE - Other Index Options'!$C:$C,$A43,'NSE - Other Index Options'!$B:$B,F$4)+SUMIFS('BSE - SENSEX Index Options'!$M:$M,'BSE - SENSEX Index Options'!$C:$C,$A43,'BSE - SENSEX Index Options'!$B:$B,F$4)+SUMIFS('BSE - Other Index Options'!$M:$M,'BSE - Other Index Options'!$C:$C,$A43,'BSE - Other Index Options'!$B:$B,F$4))</f>
        <v/>
      </c>
      <c r="G43" s="26">
        <f>IF(SUMIFS('NSE - NIFTY Index Options'!$M:$M,'NSE - NIFTY Index Options'!$C:$C,$A43,'NSE - NIFTY Index Options'!$B:$B,G$4)+SUMIFS('NSE - Other Index Options'!$M:$M,'NSE - Other Index Options'!$C:$C,$A43,'NSE - Other Index Options'!$B:$B,G$4)+SUMIFS('BSE - SENSEX Index Options'!$M:$M,'BSE - SENSEX Index Options'!$C:$C,$A43,'BSE - SENSEX Index Options'!$B:$B,G$4)+SUMIFS('BSE - Other Index Options'!$M:$M,'BSE - Other Index Options'!$C:$C,$A43,'BSE - Other Index Options'!$B:$B,G$4)=0,"",SUMIFS('NSE - NIFTY Index Options'!$M:$M,'NSE - NIFTY Index Options'!$C:$C,$A43,'NSE - NIFTY Index Options'!$B:$B,G$4)+SUMIFS('NSE - Other Index Options'!$M:$M,'NSE - Other Index Options'!$C:$C,$A43,'NSE - Other Index Options'!$B:$B,G$4)+SUMIFS('BSE - SENSEX Index Options'!$M:$M,'BSE - SENSEX Index Options'!$C:$C,$A43,'BSE - SENSEX Index Options'!$B:$B,G$4)+SUMIFS('BSE - Other Index Options'!$M:$M,'BSE - Other Index Options'!$C:$C,$A43,'BSE - Other Index Options'!$B:$B,G$4))</f>
        <v/>
      </c>
      <c r="H43" s="26">
        <f>IF(SUM(B43:G43)=0,"",SUM(B43:G43))</f>
        <v/>
      </c>
    </row>
    <row r="44">
      <c r="A44" t="inlineStr">
        <is>
          <t>Week1-May-2026</t>
        </is>
      </c>
      <c r="B44" s="26">
        <f>IF(SUMIFS('NSE - NIFTY Index Options'!$M:$M,'NSE - NIFTY Index Options'!$C:$C,$A44,'NSE - NIFTY Index Options'!$B:$B,B$4)+SUMIFS('NSE - Other Index Options'!$M:$M,'NSE - Other Index Options'!$C:$C,$A44,'NSE - Other Index Options'!$B:$B,B$4)+SUMIFS('BSE - SENSEX Index Options'!$M:$M,'BSE - SENSEX Index Options'!$C:$C,$A44,'BSE - SENSEX Index Options'!$B:$B,B$4)+SUMIFS('BSE - Other Index Options'!$M:$M,'BSE - Other Index Options'!$C:$C,$A44,'BSE - Other Index Options'!$B:$B,B$4)=0,"",SUMIFS('NSE - NIFTY Index Options'!$M:$M,'NSE - NIFTY Index Options'!$C:$C,$A44,'NSE - NIFTY Index Options'!$B:$B,B$4)+SUMIFS('NSE - Other Index Options'!$M:$M,'NSE - Other Index Options'!$C:$C,$A44,'NSE - Other Index Options'!$B:$B,B$4)+SUMIFS('BSE - SENSEX Index Options'!$M:$M,'BSE - SENSEX Index Options'!$C:$C,$A44,'BSE - SENSEX Index Options'!$B:$B,B$4)+SUMIFS('BSE - Other Index Options'!$M:$M,'BSE - Other Index Options'!$C:$C,$A44,'BSE - Other Index Options'!$B:$B,B$4))</f>
        <v/>
      </c>
      <c r="C44" s="26">
        <f>IF(SUMIFS('NSE - NIFTY Index Options'!$M:$M,'NSE - NIFTY Index Options'!$C:$C,$A44,'NSE - NIFTY Index Options'!$B:$B,C$4)+SUMIFS('NSE - Other Index Options'!$M:$M,'NSE - Other Index Options'!$C:$C,$A44,'NSE - Other Index Options'!$B:$B,C$4)+SUMIFS('BSE - SENSEX Index Options'!$M:$M,'BSE - SENSEX Index Options'!$C:$C,$A44,'BSE - SENSEX Index Options'!$B:$B,C$4)+SUMIFS('BSE - Other Index Options'!$M:$M,'BSE - Other Index Options'!$C:$C,$A44,'BSE - Other Index Options'!$B:$B,C$4)=0,"",SUMIFS('NSE - NIFTY Index Options'!$M:$M,'NSE - NIFTY Index Options'!$C:$C,$A44,'NSE - NIFTY Index Options'!$B:$B,C$4)+SUMIFS('NSE - Other Index Options'!$M:$M,'NSE - Other Index Options'!$C:$C,$A44,'NSE - Other Index Options'!$B:$B,C$4)+SUMIFS('BSE - SENSEX Index Options'!$M:$M,'BSE - SENSEX Index Options'!$C:$C,$A44,'BSE - SENSEX Index Options'!$B:$B,C$4)+SUMIFS('BSE - Other Index Options'!$M:$M,'BSE - Other Index Options'!$C:$C,$A44,'BSE - Other Index Options'!$B:$B,C$4))</f>
        <v/>
      </c>
      <c r="D44" s="26">
        <f>IF(SUMIFS('NSE - NIFTY Index Options'!$M:$M,'NSE - NIFTY Index Options'!$C:$C,$A44,'NSE - NIFTY Index Options'!$B:$B,D$4)+SUMIFS('NSE - Other Index Options'!$M:$M,'NSE - Other Index Options'!$C:$C,$A44,'NSE - Other Index Options'!$B:$B,D$4)+SUMIFS('BSE - SENSEX Index Options'!$M:$M,'BSE - SENSEX Index Options'!$C:$C,$A44,'BSE - SENSEX Index Options'!$B:$B,D$4)+SUMIFS('BSE - Other Index Options'!$M:$M,'BSE - Other Index Options'!$C:$C,$A44,'BSE - Other Index Options'!$B:$B,D$4)=0,"",SUMIFS('NSE - NIFTY Index Options'!$M:$M,'NSE - NIFTY Index Options'!$C:$C,$A44,'NSE - NIFTY Index Options'!$B:$B,D$4)+SUMIFS('NSE - Other Index Options'!$M:$M,'NSE - Other Index Options'!$C:$C,$A44,'NSE - Other Index Options'!$B:$B,D$4)+SUMIFS('BSE - SENSEX Index Options'!$M:$M,'BSE - SENSEX Index Options'!$C:$C,$A44,'BSE - SENSEX Index Options'!$B:$B,D$4)+SUMIFS('BSE - Other Index Options'!$M:$M,'BSE - Other Index Options'!$C:$C,$A44,'BSE - Other Index Options'!$B:$B,D$4))</f>
        <v/>
      </c>
      <c r="E44" s="26">
        <f>IF(SUMIFS('NSE - NIFTY Index Options'!$M:$M,'NSE - NIFTY Index Options'!$C:$C,$A44,'NSE - NIFTY Index Options'!$B:$B,E$4)+SUMIFS('NSE - Other Index Options'!$M:$M,'NSE - Other Index Options'!$C:$C,$A44,'NSE - Other Index Options'!$B:$B,E$4)+SUMIFS('BSE - SENSEX Index Options'!$M:$M,'BSE - SENSEX Index Options'!$C:$C,$A44,'BSE - SENSEX Index Options'!$B:$B,E$4)+SUMIFS('BSE - Other Index Options'!$M:$M,'BSE - Other Index Options'!$C:$C,$A44,'BSE - Other Index Options'!$B:$B,E$4)=0,"",SUMIFS('NSE - NIFTY Index Options'!$M:$M,'NSE - NIFTY Index Options'!$C:$C,$A44,'NSE - NIFTY Index Options'!$B:$B,E$4)+SUMIFS('NSE - Other Index Options'!$M:$M,'NSE - Other Index Options'!$C:$C,$A44,'NSE - Other Index Options'!$B:$B,E$4)+SUMIFS('BSE - SENSEX Index Options'!$M:$M,'BSE - SENSEX Index Options'!$C:$C,$A44,'BSE - SENSEX Index Options'!$B:$B,E$4)+SUMIFS('BSE - Other Index Options'!$M:$M,'BSE - Other Index Options'!$C:$C,$A44,'BSE - Other Index Options'!$B:$B,E$4))</f>
        <v/>
      </c>
      <c r="F44" s="26">
        <f>IF(SUMIFS('NSE - NIFTY Index Options'!$M:$M,'NSE - NIFTY Index Options'!$C:$C,$A44,'NSE - NIFTY Index Options'!$B:$B,F$4)+SUMIFS('NSE - Other Index Options'!$M:$M,'NSE - Other Index Options'!$C:$C,$A44,'NSE - Other Index Options'!$B:$B,F$4)+SUMIFS('BSE - SENSEX Index Options'!$M:$M,'BSE - SENSEX Index Options'!$C:$C,$A44,'BSE - SENSEX Index Options'!$B:$B,F$4)+SUMIFS('BSE - Other Index Options'!$M:$M,'BSE - Other Index Options'!$C:$C,$A44,'BSE - Other Index Options'!$B:$B,F$4)=0,"",SUMIFS('NSE - NIFTY Index Options'!$M:$M,'NSE - NIFTY Index Options'!$C:$C,$A44,'NSE - NIFTY Index Options'!$B:$B,F$4)+SUMIFS('NSE - Other Index Options'!$M:$M,'NSE - Other Index Options'!$C:$C,$A44,'NSE - Other Index Options'!$B:$B,F$4)+SUMIFS('BSE - SENSEX Index Options'!$M:$M,'BSE - SENSEX Index Options'!$C:$C,$A44,'BSE - SENSEX Index Options'!$B:$B,F$4)+SUMIFS('BSE - Other Index Options'!$M:$M,'BSE - Other Index Options'!$C:$C,$A44,'BSE - Other Index Options'!$B:$B,F$4))</f>
        <v/>
      </c>
      <c r="G44" s="26">
        <f>IF(SUMIFS('NSE - NIFTY Index Options'!$M:$M,'NSE - NIFTY Index Options'!$C:$C,$A44,'NSE - NIFTY Index Options'!$B:$B,G$4)+SUMIFS('NSE - Other Index Options'!$M:$M,'NSE - Other Index Options'!$C:$C,$A44,'NSE - Other Index Options'!$B:$B,G$4)+SUMIFS('BSE - SENSEX Index Options'!$M:$M,'BSE - SENSEX Index Options'!$C:$C,$A44,'BSE - SENSEX Index Options'!$B:$B,G$4)+SUMIFS('BSE - Other Index Options'!$M:$M,'BSE - Other Index Options'!$C:$C,$A44,'BSE - Other Index Options'!$B:$B,G$4)=0,"",SUMIFS('NSE - NIFTY Index Options'!$M:$M,'NSE - NIFTY Index Options'!$C:$C,$A44,'NSE - NIFTY Index Options'!$B:$B,G$4)+SUMIFS('NSE - Other Index Options'!$M:$M,'NSE - Other Index Options'!$C:$C,$A44,'NSE - Other Index Options'!$B:$B,G$4)+SUMIFS('BSE - SENSEX Index Options'!$M:$M,'BSE - SENSEX Index Options'!$C:$C,$A44,'BSE - SENSEX Index Options'!$B:$B,G$4)+SUMIFS('BSE - Other Index Options'!$M:$M,'BSE - Other Index Options'!$C:$C,$A44,'BSE - Other Index Options'!$B:$B,G$4))</f>
        <v/>
      </c>
      <c r="H44" s="26">
        <f>IF(SUM(B44:G44)=0,"",SUM(B44:G44))</f>
        <v/>
      </c>
    </row>
    <row r="45">
      <c r="A45" t="inlineStr">
        <is>
          <t>Week2-May-2026</t>
        </is>
      </c>
      <c r="B45" s="26">
        <f>IF(SUMIFS('NSE - NIFTY Index Options'!$M:$M,'NSE - NIFTY Index Options'!$C:$C,$A45,'NSE - NIFTY Index Options'!$B:$B,B$4)+SUMIFS('NSE - Other Index Options'!$M:$M,'NSE - Other Index Options'!$C:$C,$A45,'NSE - Other Index Options'!$B:$B,B$4)+SUMIFS('BSE - SENSEX Index Options'!$M:$M,'BSE - SENSEX Index Options'!$C:$C,$A45,'BSE - SENSEX Index Options'!$B:$B,B$4)+SUMIFS('BSE - Other Index Options'!$M:$M,'BSE - Other Index Options'!$C:$C,$A45,'BSE - Other Index Options'!$B:$B,B$4)=0,"",SUMIFS('NSE - NIFTY Index Options'!$M:$M,'NSE - NIFTY Index Options'!$C:$C,$A45,'NSE - NIFTY Index Options'!$B:$B,B$4)+SUMIFS('NSE - Other Index Options'!$M:$M,'NSE - Other Index Options'!$C:$C,$A45,'NSE - Other Index Options'!$B:$B,B$4)+SUMIFS('BSE - SENSEX Index Options'!$M:$M,'BSE - SENSEX Index Options'!$C:$C,$A45,'BSE - SENSEX Index Options'!$B:$B,B$4)+SUMIFS('BSE - Other Index Options'!$M:$M,'BSE - Other Index Options'!$C:$C,$A45,'BSE - Other Index Options'!$B:$B,B$4))</f>
        <v/>
      </c>
      <c r="C45" s="26">
        <f>IF(SUMIFS('NSE - NIFTY Index Options'!$M:$M,'NSE - NIFTY Index Options'!$C:$C,$A45,'NSE - NIFTY Index Options'!$B:$B,C$4)+SUMIFS('NSE - Other Index Options'!$M:$M,'NSE - Other Index Options'!$C:$C,$A45,'NSE - Other Index Options'!$B:$B,C$4)+SUMIFS('BSE - SENSEX Index Options'!$M:$M,'BSE - SENSEX Index Options'!$C:$C,$A45,'BSE - SENSEX Index Options'!$B:$B,C$4)+SUMIFS('BSE - Other Index Options'!$M:$M,'BSE - Other Index Options'!$C:$C,$A45,'BSE - Other Index Options'!$B:$B,C$4)=0,"",SUMIFS('NSE - NIFTY Index Options'!$M:$M,'NSE - NIFTY Index Options'!$C:$C,$A45,'NSE - NIFTY Index Options'!$B:$B,C$4)+SUMIFS('NSE - Other Index Options'!$M:$M,'NSE - Other Index Options'!$C:$C,$A45,'NSE - Other Index Options'!$B:$B,C$4)+SUMIFS('BSE - SENSEX Index Options'!$M:$M,'BSE - SENSEX Index Options'!$C:$C,$A45,'BSE - SENSEX Index Options'!$B:$B,C$4)+SUMIFS('BSE - Other Index Options'!$M:$M,'BSE - Other Index Options'!$C:$C,$A45,'BSE - Other Index Options'!$B:$B,C$4))</f>
        <v/>
      </c>
      <c r="D45" s="26">
        <f>IF(SUMIFS('NSE - NIFTY Index Options'!$M:$M,'NSE - NIFTY Index Options'!$C:$C,$A45,'NSE - NIFTY Index Options'!$B:$B,D$4)+SUMIFS('NSE - Other Index Options'!$M:$M,'NSE - Other Index Options'!$C:$C,$A45,'NSE - Other Index Options'!$B:$B,D$4)+SUMIFS('BSE - SENSEX Index Options'!$M:$M,'BSE - SENSEX Index Options'!$C:$C,$A45,'BSE - SENSEX Index Options'!$B:$B,D$4)+SUMIFS('BSE - Other Index Options'!$M:$M,'BSE - Other Index Options'!$C:$C,$A45,'BSE - Other Index Options'!$B:$B,D$4)=0,"",SUMIFS('NSE - NIFTY Index Options'!$M:$M,'NSE - NIFTY Index Options'!$C:$C,$A45,'NSE - NIFTY Index Options'!$B:$B,D$4)+SUMIFS('NSE - Other Index Options'!$M:$M,'NSE - Other Index Options'!$C:$C,$A45,'NSE - Other Index Options'!$B:$B,D$4)+SUMIFS('BSE - SENSEX Index Options'!$M:$M,'BSE - SENSEX Index Options'!$C:$C,$A45,'BSE - SENSEX Index Options'!$B:$B,D$4)+SUMIFS('BSE - Other Index Options'!$M:$M,'BSE - Other Index Options'!$C:$C,$A45,'BSE - Other Index Options'!$B:$B,D$4))</f>
        <v/>
      </c>
      <c r="E45" s="26">
        <f>IF(SUMIFS('NSE - NIFTY Index Options'!$M:$M,'NSE - NIFTY Index Options'!$C:$C,$A45,'NSE - NIFTY Index Options'!$B:$B,E$4)+SUMIFS('NSE - Other Index Options'!$M:$M,'NSE - Other Index Options'!$C:$C,$A45,'NSE - Other Index Options'!$B:$B,E$4)+SUMIFS('BSE - SENSEX Index Options'!$M:$M,'BSE - SENSEX Index Options'!$C:$C,$A45,'BSE - SENSEX Index Options'!$B:$B,E$4)+SUMIFS('BSE - Other Index Options'!$M:$M,'BSE - Other Index Options'!$C:$C,$A45,'BSE - Other Index Options'!$B:$B,E$4)=0,"",SUMIFS('NSE - NIFTY Index Options'!$M:$M,'NSE - NIFTY Index Options'!$C:$C,$A45,'NSE - NIFTY Index Options'!$B:$B,E$4)+SUMIFS('NSE - Other Index Options'!$M:$M,'NSE - Other Index Options'!$C:$C,$A45,'NSE - Other Index Options'!$B:$B,E$4)+SUMIFS('BSE - SENSEX Index Options'!$M:$M,'BSE - SENSEX Index Options'!$C:$C,$A45,'BSE - SENSEX Index Options'!$B:$B,E$4)+SUMIFS('BSE - Other Index Options'!$M:$M,'BSE - Other Index Options'!$C:$C,$A45,'BSE - Other Index Options'!$B:$B,E$4))</f>
        <v/>
      </c>
      <c r="F45" s="26">
        <f>IF(SUMIFS('NSE - NIFTY Index Options'!$M:$M,'NSE - NIFTY Index Options'!$C:$C,$A45,'NSE - NIFTY Index Options'!$B:$B,F$4)+SUMIFS('NSE - Other Index Options'!$M:$M,'NSE - Other Index Options'!$C:$C,$A45,'NSE - Other Index Options'!$B:$B,F$4)+SUMIFS('BSE - SENSEX Index Options'!$M:$M,'BSE - SENSEX Index Options'!$C:$C,$A45,'BSE - SENSEX Index Options'!$B:$B,F$4)+SUMIFS('BSE - Other Index Options'!$M:$M,'BSE - Other Index Options'!$C:$C,$A45,'BSE - Other Index Options'!$B:$B,F$4)=0,"",SUMIFS('NSE - NIFTY Index Options'!$M:$M,'NSE - NIFTY Index Options'!$C:$C,$A45,'NSE - NIFTY Index Options'!$B:$B,F$4)+SUMIFS('NSE - Other Index Options'!$M:$M,'NSE - Other Index Options'!$C:$C,$A45,'NSE - Other Index Options'!$B:$B,F$4)+SUMIFS('BSE - SENSEX Index Options'!$M:$M,'BSE - SENSEX Index Options'!$C:$C,$A45,'BSE - SENSEX Index Options'!$B:$B,F$4)+SUMIFS('BSE - Other Index Options'!$M:$M,'BSE - Other Index Options'!$C:$C,$A45,'BSE - Other Index Options'!$B:$B,F$4))</f>
        <v/>
      </c>
      <c r="G45" s="26">
        <f>IF(SUMIFS('NSE - NIFTY Index Options'!$M:$M,'NSE - NIFTY Index Options'!$C:$C,$A45,'NSE - NIFTY Index Options'!$B:$B,G$4)+SUMIFS('NSE - Other Index Options'!$M:$M,'NSE - Other Index Options'!$C:$C,$A45,'NSE - Other Index Options'!$B:$B,G$4)+SUMIFS('BSE - SENSEX Index Options'!$M:$M,'BSE - SENSEX Index Options'!$C:$C,$A45,'BSE - SENSEX Index Options'!$B:$B,G$4)+SUMIFS('BSE - Other Index Options'!$M:$M,'BSE - Other Index Options'!$C:$C,$A45,'BSE - Other Index Options'!$B:$B,G$4)=0,"",SUMIFS('NSE - NIFTY Index Options'!$M:$M,'NSE - NIFTY Index Options'!$C:$C,$A45,'NSE - NIFTY Index Options'!$B:$B,G$4)+SUMIFS('NSE - Other Index Options'!$M:$M,'NSE - Other Index Options'!$C:$C,$A45,'NSE - Other Index Options'!$B:$B,G$4)+SUMIFS('BSE - SENSEX Index Options'!$M:$M,'BSE - SENSEX Index Options'!$C:$C,$A45,'BSE - SENSEX Index Options'!$B:$B,G$4)+SUMIFS('BSE - Other Index Options'!$M:$M,'BSE - Other Index Options'!$C:$C,$A45,'BSE - Other Index Options'!$B:$B,G$4))</f>
        <v/>
      </c>
      <c r="H45" s="26">
        <f>IF(SUM(B45:G45)=0,"",SUM(B45:G45))</f>
        <v/>
      </c>
    </row>
    <row r="46">
      <c r="A46" t="inlineStr">
        <is>
          <t>Week3-May-2026</t>
        </is>
      </c>
      <c r="B46" s="26">
        <f>IF(SUMIFS('NSE - NIFTY Index Options'!$M:$M,'NSE - NIFTY Index Options'!$C:$C,$A46,'NSE - NIFTY Index Options'!$B:$B,B$4)+SUMIFS('NSE - Other Index Options'!$M:$M,'NSE - Other Index Options'!$C:$C,$A46,'NSE - Other Index Options'!$B:$B,B$4)+SUMIFS('BSE - SENSEX Index Options'!$M:$M,'BSE - SENSEX Index Options'!$C:$C,$A46,'BSE - SENSEX Index Options'!$B:$B,B$4)+SUMIFS('BSE - Other Index Options'!$M:$M,'BSE - Other Index Options'!$C:$C,$A46,'BSE - Other Index Options'!$B:$B,B$4)=0,"",SUMIFS('NSE - NIFTY Index Options'!$M:$M,'NSE - NIFTY Index Options'!$C:$C,$A46,'NSE - NIFTY Index Options'!$B:$B,B$4)+SUMIFS('NSE - Other Index Options'!$M:$M,'NSE - Other Index Options'!$C:$C,$A46,'NSE - Other Index Options'!$B:$B,B$4)+SUMIFS('BSE - SENSEX Index Options'!$M:$M,'BSE - SENSEX Index Options'!$C:$C,$A46,'BSE - SENSEX Index Options'!$B:$B,B$4)+SUMIFS('BSE - Other Index Options'!$M:$M,'BSE - Other Index Options'!$C:$C,$A46,'BSE - Other Index Options'!$B:$B,B$4))</f>
        <v/>
      </c>
      <c r="C46" s="26">
        <f>IF(SUMIFS('NSE - NIFTY Index Options'!$M:$M,'NSE - NIFTY Index Options'!$C:$C,$A46,'NSE - NIFTY Index Options'!$B:$B,C$4)+SUMIFS('NSE - Other Index Options'!$M:$M,'NSE - Other Index Options'!$C:$C,$A46,'NSE - Other Index Options'!$B:$B,C$4)+SUMIFS('BSE - SENSEX Index Options'!$M:$M,'BSE - SENSEX Index Options'!$C:$C,$A46,'BSE - SENSEX Index Options'!$B:$B,C$4)+SUMIFS('BSE - Other Index Options'!$M:$M,'BSE - Other Index Options'!$C:$C,$A46,'BSE - Other Index Options'!$B:$B,C$4)=0,"",SUMIFS('NSE - NIFTY Index Options'!$M:$M,'NSE - NIFTY Index Options'!$C:$C,$A46,'NSE - NIFTY Index Options'!$B:$B,C$4)+SUMIFS('NSE - Other Index Options'!$M:$M,'NSE - Other Index Options'!$C:$C,$A46,'NSE - Other Index Options'!$B:$B,C$4)+SUMIFS('BSE - SENSEX Index Options'!$M:$M,'BSE - SENSEX Index Options'!$C:$C,$A46,'BSE - SENSEX Index Options'!$B:$B,C$4)+SUMIFS('BSE - Other Index Options'!$M:$M,'BSE - Other Index Options'!$C:$C,$A46,'BSE - Other Index Options'!$B:$B,C$4))</f>
        <v/>
      </c>
      <c r="D46" s="26">
        <f>IF(SUMIFS('NSE - NIFTY Index Options'!$M:$M,'NSE - NIFTY Index Options'!$C:$C,$A46,'NSE - NIFTY Index Options'!$B:$B,D$4)+SUMIFS('NSE - Other Index Options'!$M:$M,'NSE - Other Index Options'!$C:$C,$A46,'NSE - Other Index Options'!$B:$B,D$4)+SUMIFS('BSE - SENSEX Index Options'!$M:$M,'BSE - SENSEX Index Options'!$C:$C,$A46,'BSE - SENSEX Index Options'!$B:$B,D$4)+SUMIFS('BSE - Other Index Options'!$M:$M,'BSE - Other Index Options'!$C:$C,$A46,'BSE - Other Index Options'!$B:$B,D$4)=0,"",SUMIFS('NSE - NIFTY Index Options'!$M:$M,'NSE - NIFTY Index Options'!$C:$C,$A46,'NSE - NIFTY Index Options'!$B:$B,D$4)+SUMIFS('NSE - Other Index Options'!$M:$M,'NSE - Other Index Options'!$C:$C,$A46,'NSE - Other Index Options'!$B:$B,D$4)+SUMIFS('BSE - SENSEX Index Options'!$M:$M,'BSE - SENSEX Index Options'!$C:$C,$A46,'BSE - SENSEX Index Options'!$B:$B,D$4)+SUMIFS('BSE - Other Index Options'!$M:$M,'BSE - Other Index Options'!$C:$C,$A46,'BSE - Other Index Options'!$B:$B,D$4))</f>
        <v/>
      </c>
      <c r="E46" s="26">
        <f>IF(SUMIFS('NSE - NIFTY Index Options'!$M:$M,'NSE - NIFTY Index Options'!$C:$C,$A46,'NSE - NIFTY Index Options'!$B:$B,E$4)+SUMIFS('NSE - Other Index Options'!$M:$M,'NSE - Other Index Options'!$C:$C,$A46,'NSE - Other Index Options'!$B:$B,E$4)+SUMIFS('BSE - SENSEX Index Options'!$M:$M,'BSE - SENSEX Index Options'!$C:$C,$A46,'BSE - SENSEX Index Options'!$B:$B,E$4)+SUMIFS('BSE - Other Index Options'!$M:$M,'BSE - Other Index Options'!$C:$C,$A46,'BSE - Other Index Options'!$B:$B,E$4)=0,"",SUMIFS('NSE - NIFTY Index Options'!$M:$M,'NSE - NIFTY Index Options'!$C:$C,$A46,'NSE - NIFTY Index Options'!$B:$B,E$4)+SUMIFS('NSE - Other Index Options'!$M:$M,'NSE - Other Index Options'!$C:$C,$A46,'NSE - Other Index Options'!$B:$B,E$4)+SUMIFS('BSE - SENSEX Index Options'!$M:$M,'BSE - SENSEX Index Options'!$C:$C,$A46,'BSE - SENSEX Index Options'!$B:$B,E$4)+SUMIFS('BSE - Other Index Options'!$M:$M,'BSE - Other Index Options'!$C:$C,$A46,'BSE - Other Index Options'!$B:$B,E$4))</f>
        <v/>
      </c>
      <c r="F46" s="26">
        <f>IF(SUMIFS('NSE - NIFTY Index Options'!$M:$M,'NSE - NIFTY Index Options'!$C:$C,$A46,'NSE - NIFTY Index Options'!$B:$B,F$4)+SUMIFS('NSE - Other Index Options'!$M:$M,'NSE - Other Index Options'!$C:$C,$A46,'NSE - Other Index Options'!$B:$B,F$4)+SUMIFS('BSE - SENSEX Index Options'!$M:$M,'BSE - SENSEX Index Options'!$C:$C,$A46,'BSE - SENSEX Index Options'!$B:$B,F$4)+SUMIFS('BSE - Other Index Options'!$M:$M,'BSE - Other Index Options'!$C:$C,$A46,'BSE - Other Index Options'!$B:$B,F$4)=0,"",SUMIFS('NSE - NIFTY Index Options'!$M:$M,'NSE - NIFTY Index Options'!$C:$C,$A46,'NSE - NIFTY Index Options'!$B:$B,F$4)+SUMIFS('NSE - Other Index Options'!$M:$M,'NSE - Other Index Options'!$C:$C,$A46,'NSE - Other Index Options'!$B:$B,F$4)+SUMIFS('BSE - SENSEX Index Options'!$M:$M,'BSE - SENSEX Index Options'!$C:$C,$A46,'BSE - SENSEX Index Options'!$B:$B,F$4)+SUMIFS('BSE - Other Index Options'!$M:$M,'BSE - Other Index Options'!$C:$C,$A46,'BSE - Other Index Options'!$B:$B,F$4))</f>
        <v/>
      </c>
      <c r="G46" s="26">
        <f>IF(SUMIFS('NSE - NIFTY Index Options'!$M:$M,'NSE - NIFTY Index Options'!$C:$C,$A46,'NSE - NIFTY Index Options'!$B:$B,G$4)+SUMIFS('NSE - Other Index Options'!$M:$M,'NSE - Other Index Options'!$C:$C,$A46,'NSE - Other Index Options'!$B:$B,G$4)+SUMIFS('BSE - SENSEX Index Options'!$M:$M,'BSE - SENSEX Index Options'!$C:$C,$A46,'BSE - SENSEX Index Options'!$B:$B,G$4)+SUMIFS('BSE - Other Index Options'!$M:$M,'BSE - Other Index Options'!$C:$C,$A46,'BSE - Other Index Options'!$B:$B,G$4)=0,"",SUMIFS('NSE - NIFTY Index Options'!$M:$M,'NSE - NIFTY Index Options'!$C:$C,$A46,'NSE - NIFTY Index Options'!$B:$B,G$4)+SUMIFS('NSE - Other Index Options'!$M:$M,'NSE - Other Index Options'!$C:$C,$A46,'NSE - Other Index Options'!$B:$B,G$4)+SUMIFS('BSE - SENSEX Index Options'!$M:$M,'BSE - SENSEX Index Options'!$C:$C,$A46,'BSE - SENSEX Index Options'!$B:$B,G$4)+SUMIFS('BSE - Other Index Options'!$M:$M,'BSE - Other Index Options'!$C:$C,$A46,'BSE - Other Index Options'!$B:$B,G$4))</f>
        <v/>
      </c>
      <c r="H46" s="26">
        <f>IF(SUM(B46:G46)=0,"",SUM(B46:G46))</f>
        <v/>
      </c>
    </row>
    <row r="47">
      <c r="A47" t="inlineStr">
        <is>
          <t>Week4-May-2026</t>
        </is>
      </c>
      <c r="B47" s="26">
        <f>IF(SUMIFS('NSE - NIFTY Index Options'!$M:$M,'NSE - NIFTY Index Options'!$C:$C,$A47,'NSE - NIFTY Index Options'!$B:$B,B$4)+SUMIFS('NSE - Other Index Options'!$M:$M,'NSE - Other Index Options'!$C:$C,$A47,'NSE - Other Index Options'!$B:$B,B$4)+SUMIFS('BSE - SENSEX Index Options'!$M:$M,'BSE - SENSEX Index Options'!$C:$C,$A47,'BSE - SENSEX Index Options'!$B:$B,B$4)+SUMIFS('BSE - Other Index Options'!$M:$M,'BSE - Other Index Options'!$C:$C,$A47,'BSE - Other Index Options'!$B:$B,B$4)=0,"",SUMIFS('NSE - NIFTY Index Options'!$M:$M,'NSE - NIFTY Index Options'!$C:$C,$A47,'NSE - NIFTY Index Options'!$B:$B,B$4)+SUMIFS('NSE - Other Index Options'!$M:$M,'NSE - Other Index Options'!$C:$C,$A47,'NSE - Other Index Options'!$B:$B,B$4)+SUMIFS('BSE - SENSEX Index Options'!$M:$M,'BSE - SENSEX Index Options'!$C:$C,$A47,'BSE - SENSEX Index Options'!$B:$B,B$4)+SUMIFS('BSE - Other Index Options'!$M:$M,'BSE - Other Index Options'!$C:$C,$A47,'BSE - Other Index Options'!$B:$B,B$4))</f>
        <v/>
      </c>
      <c r="C47" s="26">
        <f>IF(SUMIFS('NSE - NIFTY Index Options'!$M:$M,'NSE - NIFTY Index Options'!$C:$C,$A47,'NSE - NIFTY Index Options'!$B:$B,C$4)+SUMIFS('NSE - Other Index Options'!$M:$M,'NSE - Other Index Options'!$C:$C,$A47,'NSE - Other Index Options'!$B:$B,C$4)+SUMIFS('BSE - SENSEX Index Options'!$M:$M,'BSE - SENSEX Index Options'!$C:$C,$A47,'BSE - SENSEX Index Options'!$B:$B,C$4)+SUMIFS('BSE - Other Index Options'!$M:$M,'BSE - Other Index Options'!$C:$C,$A47,'BSE - Other Index Options'!$B:$B,C$4)=0,"",SUMIFS('NSE - NIFTY Index Options'!$M:$M,'NSE - NIFTY Index Options'!$C:$C,$A47,'NSE - NIFTY Index Options'!$B:$B,C$4)+SUMIFS('NSE - Other Index Options'!$M:$M,'NSE - Other Index Options'!$C:$C,$A47,'NSE - Other Index Options'!$B:$B,C$4)+SUMIFS('BSE - SENSEX Index Options'!$M:$M,'BSE - SENSEX Index Options'!$C:$C,$A47,'BSE - SENSEX Index Options'!$B:$B,C$4)+SUMIFS('BSE - Other Index Options'!$M:$M,'BSE - Other Index Options'!$C:$C,$A47,'BSE - Other Index Options'!$B:$B,C$4))</f>
        <v/>
      </c>
      <c r="D47" s="26">
        <f>IF(SUMIFS('NSE - NIFTY Index Options'!$M:$M,'NSE - NIFTY Index Options'!$C:$C,$A47,'NSE - NIFTY Index Options'!$B:$B,D$4)+SUMIFS('NSE - Other Index Options'!$M:$M,'NSE - Other Index Options'!$C:$C,$A47,'NSE - Other Index Options'!$B:$B,D$4)+SUMIFS('BSE - SENSEX Index Options'!$M:$M,'BSE - SENSEX Index Options'!$C:$C,$A47,'BSE - SENSEX Index Options'!$B:$B,D$4)+SUMIFS('BSE - Other Index Options'!$M:$M,'BSE - Other Index Options'!$C:$C,$A47,'BSE - Other Index Options'!$B:$B,D$4)=0,"",SUMIFS('NSE - NIFTY Index Options'!$M:$M,'NSE - NIFTY Index Options'!$C:$C,$A47,'NSE - NIFTY Index Options'!$B:$B,D$4)+SUMIFS('NSE - Other Index Options'!$M:$M,'NSE - Other Index Options'!$C:$C,$A47,'NSE - Other Index Options'!$B:$B,D$4)+SUMIFS('BSE - SENSEX Index Options'!$M:$M,'BSE - SENSEX Index Options'!$C:$C,$A47,'BSE - SENSEX Index Options'!$B:$B,D$4)+SUMIFS('BSE - Other Index Options'!$M:$M,'BSE - Other Index Options'!$C:$C,$A47,'BSE - Other Index Options'!$B:$B,D$4))</f>
        <v/>
      </c>
      <c r="E47" s="26">
        <f>IF(SUMIFS('NSE - NIFTY Index Options'!$M:$M,'NSE - NIFTY Index Options'!$C:$C,$A47,'NSE - NIFTY Index Options'!$B:$B,E$4)+SUMIFS('NSE - Other Index Options'!$M:$M,'NSE - Other Index Options'!$C:$C,$A47,'NSE - Other Index Options'!$B:$B,E$4)+SUMIFS('BSE - SENSEX Index Options'!$M:$M,'BSE - SENSEX Index Options'!$C:$C,$A47,'BSE - SENSEX Index Options'!$B:$B,E$4)+SUMIFS('BSE - Other Index Options'!$M:$M,'BSE - Other Index Options'!$C:$C,$A47,'BSE - Other Index Options'!$B:$B,E$4)=0,"",SUMIFS('NSE - NIFTY Index Options'!$M:$M,'NSE - NIFTY Index Options'!$C:$C,$A47,'NSE - NIFTY Index Options'!$B:$B,E$4)+SUMIFS('NSE - Other Index Options'!$M:$M,'NSE - Other Index Options'!$C:$C,$A47,'NSE - Other Index Options'!$B:$B,E$4)+SUMIFS('BSE - SENSEX Index Options'!$M:$M,'BSE - SENSEX Index Options'!$C:$C,$A47,'BSE - SENSEX Index Options'!$B:$B,E$4)+SUMIFS('BSE - Other Index Options'!$M:$M,'BSE - Other Index Options'!$C:$C,$A47,'BSE - Other Index Options'!$B:$B,E$4))</f>
        <v/>
      </c>
      <c r="F47" s="26">
        <f>IF(SUMIFS('NSE - NIFTY Index Options'!$M:$M,'NSE - NIFTY Index Options'!$C:$C,$A47,'NSE - NIFTY Index Options'!$B:$B,F$4)+SUMIFS('NSE - Other Index Options'!$M:$M,'NSE - Other Index Options'!$C:$C,$A47,'NSE - Other Index Options'!$B:$B,F$4)+SUMIFS('BSE - SENSEX Index Options'!$M:$M,'BSE - SENSEX Index Options'!$C:$C,$A47,'BSE - SENSEX Index Options'!$B:$B,F$4)+SUMIFS('BSE - Other Index Options'!$M:$M,'BSE - Other Index Options'!$C:$C,$A47,'BSE - Other Index Options'!$B:$B,F$4)=0,"",SUMIFS('NSE - NIFTY Index Options'!$M:$M,'NSE - NIFTY Index Options'!$C:$C,$A47,'NSE - NIFTY Index Options'!$B:$B,F$4)+SUMIFS('NSE - Other Index Options'!$M:$M,'NSE - Other Index Options'!$C:$C,$A47,'NSE - Other Index Options'!$B:$B,F$4)+SUMIFS('BSE - SENSEX Index Options'!$M:$M,'BSE - SENSEX Index Options'!$C:$C,$A47,'BSE - SENSEX Index Options'!$B:$B,F$4)+SUMIFS('BSE - Other Index Options'!$M:$M,'BSE - Other Index Options'!$C:$C,$A47,'BSE - Other Index Options'!$B:$B,F$4))</f>
        <v/>
      </c>
      <c r="G47" s="26">
        <f>IF(SUMIFS('NSE - NIFTY Index Options'!$M:$M,'NSE - NIFTY Index Options'!$C:$C,$A47,'NSE - NIFTY Index Options'!$B:$B,G$4)+SUMIFS('NSE - Other Index Options'!$M:$M,'NSE - Other Index Options'!$C:$C,$A47,'NSE - Other Index Options'!$B:$B,G$4)+SUMIFS('BSE - SENSEX Index Options'!$M:$M,'BSE - SENSEX Index Options'!$C:$C,$A47,'BSE - SENSEX Index Options'!$B:$B,G$4)+SUMIFS('BSE - Other Index Options'!$M:$M,'BSE - Other Index Options'!$C:$C,$A47,'BSE - Other Index Options'!$B:$B,G$4)=0,"",SUMIFS('NSE - NIFTY Index Options'!$M:$M,'NSE - NIFTY Index Options'!$C:$C,$A47,'NSE - NIFTY Index Options'!$B:$B,G$4)+SUMIFS('NSE - Other Index Options'!$M:$M,'NSE - Other Index Options'!$C:$C,$A47,'NSE - Other Index Options'!$B:$B,G$4)+SUMIFS('BSE - SENSEX Index Options'!$M:$M,'BSE - SENSEX Index Options'!$C:$C,$A47,'BSE - SENSEX Index Options'!$B:$B,G$4)+SUMIFS('BSE - Other Index Options'!$M:$M,'BSE - Other Index Options'!$C:$C,$A47,'BSE - Other Index Options'!$B:$B,G$4))</f>
        <v/>
      </c>
      <c r="H47" s="26">
        <f>IF(SUM(B47:G47)=0,"",SUM(B47:G47))</f>
        <v/>
      </c>
    </row>
    <row r="48">
      <c r="A48" t="inlineStr">
        <is>
          <t>Week5-May-2026</t>
        </is>
      </c>
      <c r="B48" s="26">
        <f>IF(SUMIFS('NSE - NIFTY Index Options'!$M:$M,'NSE - NIFTY Index Options'!$C:$C,$A48,'NSE - NIFTY Index Options'!$B:$B,B$4)+SUMIFS('NSE - Other Index Options'!$M:$M,'NSE - Other Index Options'!$C:$C,$A48,'NSE - Other Index Options'!$B:$B,B$4)+SUMIFS('BSE - SENSEX Index Options'!$M:$M,'BSE - SENSEX Index Options'!$C:$C,$A48,'BSE - SENSEX Index Options'!$B:$B,B$4)+SUMIFS('BSE - Other Index Options'!$M:$M,'BSE - Other Index Options'!$C:$C,$A48,'BSE - Other Index Options'!$B:$B,B$4)=0,"",SUMIFS('NSE - NIFTY Index Options'!$M:$M,'NSE - NIFTY Index Options'!$C:$C,$A48,'NSE - NIFTY Index Options'!$B:$B,B$4)+SUMIFS('NSE - Other Index Options'!$M:$M,'NSE - Other Index Options'!$C:$C,$A48,'NSE - Other Index Options'!$B:$B,B$4)+SUMIFS('BSE - SENSEX Index Options'!$M:$M,'BSE - SENSEX Index Options'!$C:$C,$A48,'BSE - SENSEX Index Options'!$B:$B,B$4)+SUMIFS('BSE - Other Index Options'!$M:$M,'BSE - Other Index Options'!$C:$C,$A48,'BSE - Other Index Options'!$B:$B,B$4))</f>
        <v/>
      </c>
      <c r="C48" s="26">
        <f>IF(SUMIFS('NSE - NIFTY Index Options'!$M:$M,'NSE - NIFTY Index Options'!$C:$C,$A48,'NSE - NIFTY Index Options'!$B:$B,C$4)+SUMIFS('NSE - Other Index Options'!$M:$M,'NSE - Other Index Options'!$C:$C,$A48,'NSE - Other Index Options'!$B:$B,C$4)+SUMIFS('BSE - SENSEX Index Options'!$M:$M,'BSE - SENSEX Index Options'!$C:$C,$A48,'BSE - SENSEX Index Options'!$B:$B,C$4)+SUMIFS('BSE - Other Index Options'!$M:$M,'BSE - Other Index Options'!$C:$C,$A48,'BSE - Other Index Options'!$B:$B,C$4)=0,"",SUMIFS('NSE - NIFTY Index Options'!$M:$M,'NSE - NIFTY Index Options'!$C:$C,$A48,'NSE - NIFTY Index Options'!$B:$B,C$4)+SUMIFS('NSE - Other Index Options'!$M:$M,'NSE - Other Index Options'!$C:$C,$A48,'NSE - Other Index Options'!$B:$B,C$4)+SUMIFS('BSE - SENSEX Index Options'!$M:$M,'BSE - SENSEX Index Options'!$C:$C,$A48,'BSE - SENSEX Index Options'!$B:$B,C$4)+SUMIFS('BSE - Other Index Options'!$M:$M,'BSE - Other Index Options'!$C:$C,$A48,'BSE - Other Index Options'!$B:$B,C$4))</f>
        <v/>
      </c>
      <c r="D48" s="26">
        <f>IF(SUMIFS('NSE - NIFTY Index Options'!$M:$M,'NSE - NIFTY Index Options'!$C:$C,$A48,'NSE - NIFTY Index Options'!$B:$B,D$4)+SUMIFS('NSE - Other Index Options'!$M:$M,'NSE - Other Index Options'!$C:$C,$A48,'NSE - Other Index Options'!$B:$B,D$4)+SUMIFS('BSE - SENSEX Index Options'!$M:$M,'BSE - SENSEX Index Options'!$C:$C,$A48,'BSE - SENSEX Index Options'!$B:$B,D$4)+SUMIFS('BSE - Other Index Options'!$M:$M,'BSE - Other Index Options'!$C:$C,$A48,'BSE - Other Index Options'!$B:$B,D$4)=0,"",SUMIFS('NSE - NIFTY Index Options'!$M:$M,'NSE - NIFTY Index Options'!$C:$C,$A48,'NSE - NIFTY Index Options'!$B:$B,D$4)+SUMIFS('NSE - Other Index Options'!$M:$M,'NSE - Other Index Options'!$C:$C,$A48,'NSE - Other Index Options'!$B:$B,D$4)+SUMIFS('BSE - SENSEX Index Options'!$M:$M,'BSE - SENSEX Index Options'!$C:$C,$A48,'BSE - SENSEX Index Options'!$B:$B,D$4)+SUMIFS('BSE - Other Index Options'!$M:$M,'BSE - Other Index Options'!$C:$C,$A48,'BSE - Other Index Options'!$B:$B,D$4))</f>
        <v/>
      </c>
      <c r="E48" s="26">
        <f>IF(SUMIFS('NSE - NIFTY Index Options'!$M:$M,'NSE - NIFTY Index Options'!$C:$C,$A48,'NSE - NIFTY Index Options'!$B:$B,E$4)+SUMIFS('NSE - Other Index Options'!$M:$M,'NSE - Other Index Options'!$C:$C,$A48,'NSE - Other Index Options'!$B:$B,E$4)+SUMIFS('BSE - SENSEX Index Options'!$M:$M,'BSE - SENSEX Index Options'!$C:$C,$A48,'BSE - SENSEX Index Options'!$B:$B,E$4)+SUMIFS('BSE - Other Index Options'!$M:$M,'BSE - Other Index Options'!$C:$C,$A48,'BSE - Other Index Options'!$B:$B,E$4)=0,"",SUMIFS('NSE - NIFTY Index Options'!$M:$M,'NSE - NIFTY Index Options'!$C:$C,$A48,'NSE - NIFTY Index Options'!$B:$B,E$4)+SUMIFS('NSE - Other Index Options'!$M:$M,'NSE - Other Index Options'!$C:$C,$A48,'NSE - Other Index Options'!$B:$B,E$4)+SUMIFS('BSE - SENSEX Index Options'!$M:$M,'BSE - SENSEX Index Options'!$C:$C,$A48,'BSE - SENSEX Index Options'!$B:$B,E$4)+SUMIFS('BSE - Other Index Options'!$M:$M,'BSE - Other Index Options'!$C:$C,$A48,'BSE - Other Index Options'!$B:$B,E$4))</f>
        <v/>
      </c>
      <c r="F48" s="26">
        <f>IF(SUMIFS('NSE - NIFTY Index Options'!$M:$M,'NSE - NIFTY Index Options'!$C:$C,$A48,'NSE - NIFTY Index Options'!$B:$B,F$4)+SUMIFS('NSE - Other Index Options'!$M:$M,'NSE - Other Index Options'!$C:$C,$A48,'NSE - Other Index Options'!$B:$B,F$4)+SUMIFS('BSE - SENSEX Index Options'!$M:$M,'BSE - SENSEX Index Options'!$C:$C,$A48,'BSE - SENSEX Index Options'!$B:$B,F$4)+SUMIFS('BSE - Other Index Options'!$M:$M,'BSE - Other Index Options'!$C:$C,$A48,'BSE - Other Index Options'!$B:$B,F$4)=0,"",SUMIFS('NSE - NIFTY Index Options'!$M:$M,'NSE - NIFTY Index Options'!$C:$C,$A48,'NSE - NIFTY Index Options'!$B:$B,F$4)+SUMIFS('NSE - Other Index Options'!$M:$M,'NSE - Other Index Options'!$C:$C,$A48,'NSE - Other Index Options'!$B:$B,F$4)+SUMIFS('BSE - SENSEX Index Options'!$M:$M,'BSE - SENSEX Index Options'!$C:$C,$A48,'BSE - SENSEX Index Options'!$B:$B,F$4)+SUMIFS('BSE - Other Index Options'!$M:$M,'BSE - Other Index Options'!$C:$C,$A48,'BSE - Other Index Options'!$B:$B,F$4))</f>
        <v/>
      </c>
      <c r="G48" s="26">
        <f>IF(SUMIFS('NSE - NIFTY Index Options'!$M:$M,'NSE - NIFTY Index Options'!$C:$C,$A48,'NSE - NIFTY Index Options'!$B:$B,G$4)+SUMIFS('NSE - Other Index Options'!$M:$M,'NSE - Other Index Options'!$C:$C,$A48,'NSE - Other Index Options'!$B:$B,G$4)+SUMIFS('BSE - SENSEX Index Options'!$M:$M,'BSE - SENSEX Index Options'!$C:$C,$A48,'BSE - SENSEX Index Options'!$B:$B,G$4)+SUMIFS('BSE - Other Index Options'!$M:$M,'BSE - Other Index Options'!$C:$C,$A48,'BSE - Other Index Options'!$B:$B,G$4)=0,"",SUMIFS('NSE - NIFTY Index Options'!$M:$M,'NSE - NIFTY Index Options'!$C:$C,$A48,'NSE - NIFTY Index Options'!$B:$B,G$4)+SUMIFS('NSE - Other Index Options'!$M:$M,'NSE - Other Index Options'!$C:$C,$A48,'NSE - Other Index Options'!$B:$B,G$4)+SUMIFS('BSE - SENSEX Index Options'!$M:$M,'BSE - SENSEX Index Options'!$C:$C,$A48,'BSE - SENSEX Index Options'!$B:$B,G$4)+SUMIFS('BSE - Other Index Options'!$M:$M,'BSE - Other Index Options'!$C:$C,$A48,'BSE - Other Index Options'!$B:$B,G$4))</f>
        <v/>
      </c>
      <c r="H48" s="26">
        <f>IF(SUM(B48:G48)=0,"",SUM(B48:G48))</f>
        <v/>
      </c>
    </row>
    <row r="49">
      <c r="A49" t="inlineStr">
        <is>
          <t>Week1-Jun-2026</t>
        </is>
      </c>
      <c r="B49" s="26">
        <f>IF(SUMIFS('NSE - NIFTY Index Options'!$M:$M,'NSE - NIFTY Index Options'!$C:$C,$A49,'NSE - NIFTY Index Options'!$B:$B,B$4)+SUMIFS('NSE - Other Index Options'!$M:$M,'NSE - Other Index Options'!$C:$C,$A49,'NSE - Other Index Options'!$B:$B,B$4)+SUMIFS('BSE - SENSEX Index Options'!$M:$M,'BSE - SENSEX Index Options'!$C:$C,$A49,'BSE - SENSEX Index Options'!$B:$B,B$4)+SUMIFS('BSE - Other Index Options'!$M:$M,'BSE - Other Index Options'!$C:$C,$A49,'BSE - Other Index Options'!$B:$B,B$4)=0,"",SUMIFS('NSE - NIFTY Index Options'!$M:$M,'NSE - NIFTY Index Options'!$C:$C,$A49,'NSE - NIFTY Index Options'!$B:$B,B$4)+SUMIFS('NSE - Other Index Options'!$M:$M,'NSE - Other Index Options'!$C:$C,$A49,'NSE - Other Index Options'!$B:$B,B$4)+SUMIFS('BSE - SENSEX Index Options'!$M:$M,'BSE - SENSEX Index Options'!$C:$C,$A49,'BSE - SENSEX Index Options'!$B:$B,B$4)+SUMIFS('BSE - Other Index Options'!$M:$M,'BSE - Other Index Options'!$C:$C,$A49,'BSE - Other Index Options'!$B:$B,B$4))</f>
        <v/>
      </c>
      <c r="C49" s="26">
        <f>IF(SUMIFS('NSE - NIFTY Index Options'!$M:$M,'NSE - NIFTY Index Options'!$C:$C,$A49,'NSE - NIFTY Index Options'!$B:$B,C$4)+SUMIFS('NSE - Other Index Options'!$M:$M,'NSE - Other Index Options'!$C:$C,$A49,'NSE - Other Index Options'!$B:$B,C$4)+SUMIFS('BSE - SENSEX Index Options'!$M:$M,'BSE - SENSEX Index Options'!$C:$C,$A49,'BSE - SENSEX Index Options'!$B:$B,C$4)+SUMIFS('BSE - Other Index Options'!$M:$M,'BSE - Other Index Options'!$C:$C,$A49,'BSE - Other Index Options'!$B:$B,C$4)=0,"",SUMIFS('NSE - NIFTY Index Options'!$M:$M,'NSE - NIFTY Index Options'!$C:$C,$A49,'NSE - NIFTY Index Options'!$B:$B,C$4)+SUMIFS('NSE - Other Index Options'!$M:$M,'NSE - Other Index Options'!$C:$C,$A49,'NSE - Other Index Options'!$B:$B,C$4)+SUMIFS('BSE - SENSEX Index Options'!$M:$M,'BSE - SENSEX Index Options'!$C:$C,$A49,'BSE - SENSEX Index Options'!$B:$B,C$4)+SUMIFS('BSE - Other Index Options'!$M:$M,'BSE - Other Index Options'!$C:$C,$A49,'BSE - Other Index Options'!$B:$B,C$4))</f>
        <v/>
      </c>
      <c r="D49" s="26">
        <f>IF(SUMIFS('NSE - NIFTY Index Options'!$M:$M,'NSE - NIFTY Index Options'!$C:$C,$A49,'NSE - NIFTY Index Options'!$B:$B,D$4)+SUMIFS('NSE - Other Index Options'!$M:$M,'NSE - Other Index Options'!$C:$C,$A49,'NSE - Other Index Options'!$B:$B,D$4)+SUMIFS('BSE - SENSEX Index Options'!$M:$M,'BSE - SENSEX Index Options'!$C:$C,$A49,'BSE - SENSEX Index Options'!$B:$B,D$4)+SUMIFS('BSE - Other Index Options'!$M:$M,'BSE - Other Index Options'!$C:$C,$A49,'BSE - Other Index Options'!$B:$B,D$4)=0,"",SUMIFS('NSE - NIFTY Index Options'!$M:$M,'NSE - NIFTY Index Options'!$C:$C,$A49,'NSE - NIFTY Index Options'!$B:$B,D$4)+SUMIFS('NSE - Other Index Options'!$M:$M,'NSE - Other Index Options'!$C:$C,$A49,'NSE - Other Index Options'!$B:$B,D$4)+SUMIFS('BSE - SENSEX Index Options'!$M:$M,'BSE - SENSEX Index Options'!$C:$C,$A49,'BSE - SENSEX Index Options'!$B:$B,D$4)+SUMIFS('BSE - Other Index Options'!$M:$M,'BSE - Other Index Options'!$C:$C,$A49,'BSE - Other Index Options'!$B:$B,D$4))</f>
        <v/>
      </c>
      <c r="E49" s="26">
        <f>IF(SUMIFS('NSE - NIFTY Index Options'!$M:$M,'NSE - NIFTY Index Options'!$C:$C,$A49,'NSE - NIFTY Index Options'!$B:$B,E$4)+SUMIFS('NSE - Other Index Options'!$M:$M,'NSE - Other Index Options'!$C:$C,$A49,'NSE - Other Index Options'!$B:$B,E$4)+SUMIFS('BSE - SENSEX Index Options'!$M:$M,'BSE - SENSEX Index Options'!$C:$C,$A49,'BSE - SENSEX Index Options'!$B:$B,E$4)+SUMIFS('BSE - Other Index Options'!$M:$M,'BSE - Other Index Options'!$C:$C,$A49,'BSE - Other Index Options'!$B:$B,E$4)=0,"",SUMIFS('NSE - NIFTY Index Options'!$M:$M,'NSE - NIFTY Index Options'!$C:$C,$A49,'NSE - NIFTY Index Options'!$B:$B,E$4)+SUMIFS('NSE - Other Index Options'!$M:$M,'NSE - Other Index Options'!$C:$C,$A49,'NSE - Other Index Options'!$B:$B,E$4)+SUMIFS('BSE - SENSEX Index Options'!$M:$M,'BSE - SENSEX Index Options'!$C:$C,$A49,'BSE - SENSEX Index Options'!$B:$B,E$4)+SUMIFS('BSE - Other Index Options'!$M:$M,'BSE - Other Index Options'!$C:$C,$A49,'BSE - Other Index Options'!$B:$B,E$4))</f>
        <v/>
      </c>
      <c r="F49" s="26">
        <f>IF(SUMIFS('NSE - NIFTY Index Options'!$M:$M,'NSE - NIFTY Index Options'!$C:$C,$A49,'NSE - NIFTY Index Options'!$B:$B,F$4)+SUMIFS('NSE - Other Index Options'!$M:$M,'NSE - Other Index Options'!$C:$C,$A49,'NSE - Other Index Options'!$B:$B,F$4)+SUMIFS('BSE - SENSEX Index Options'!$M:$M,'BSE - SENSEX Index Options'!$C:$C,$A49,'BSE - SENSEX Index Options'!$B:$B,F$4)+SUMIFS('BSE - Other Index Options'!$M:$M,'BSE - Other Index Options'!$C:$C,$A49,'BSE - Other Index Options'!$B:$B,F$4)=0,"",SUMIFS('NSE - NIFTY Index Options'!$M:$M,'NSE - NIFTY Index Options'!$C:$C,$A49,'NSE - NIFTY Index Options'!$B:$B,F$4)+SUMIFS('NSE - Other Index Options'!$M:$M,'NSE - Other Index Options'!$C:$C,$A49,'NSE - Other Index Options'!$B:$B,F$4)+SUMIFS('BSE - SENSEX Index Options'!$M:$M,'BSE - SENSEX Index Options'!$C:$C,$A49,'BSE - SENSEX Index Options'!$B:$B,F$4)+SUMIFS('BSE - Other Index Options'!$M:$M,'BSE - Other Index Options'!$C:$C,$A49,'BSE - Other Index Options'!$B:$B,F$4))</f>
        <v/>
      </c>
      <c r="G49" s="26">
        <f>IF(SUMIFS('NSE - NIFTY Index Options'!$M:$M,'NSE - NIFTY Index Options'!$C:$C,$A49,'NSE - NIFTY Index Options'!$B:$B,G$4)+SUMIFS('NSE - Other Index Options'!$M:$M,'NSE - Other Index Options'!$C:$C,$A49,'NSE - Other Index Options'!$B:$B,G$4)+SUMIFS('BSE - SENSEX Index Options'!$M:$M,'BSE - SENSEX Index Options'!$C:$C,$A49,'BSE - SENSEX Index Options'!$B:$B,G$4)+SUMIFS('BSE - Other Index Options'!$M:$M,'BSE - Other Index Options'!$C:$C,$A49,'BSE - Other Index Options'!$B:$B,G$4)=0,"",SUMIFS('NSE - NIFTY Index Options'!$M:$M,'NSE - NIFTY Index Options'!$C:$C,$A49,'NSE - NIFTY Index Options'!$B:$B,G$4)+SUMIFS('NSE - Other Index Options'!$M:$M,'NSE - Other Index Options'!$C:$C,$A49,'NSE - Other Index Options'!$B:$B,G$4)+SUMIFS('BSE - SENSEX Index Options'!$M:$M,'BSE - SENSEX Index Options'!$C:$C,$A49,'BSE - SENSEX Index Options'!$B:$B,G$4)+SUMIFS('BSE - Other Index Options'!$M:$M,'BSE - Other Index Options'!$C:$C,$A49,'BSE - Other Index Options'!$B:$B,G$4))</f>
        <v/>
      </c>
      <c r="H49" s="26">
        <f>IF(SUM(B49:G49)=0,"",SUM(B49:G49))</f>
        <v/>
      </c>
    </row>
    <row r="50">
      <c r="A50" t="inlineStr">
        <is>
          <t>Week2-Jun-2026</t>
        </is>
      </c>
      <c r="B50" s="26">
        <f>IF(SUMIFS('NSE - NIFTY Index Options'!$M:$M,'NSE - NIFTY Index Options'!$C:$C,$A50,'NSE - NIFTY Index Options'!$B:$B,B$4)+SUMIFS('NSE - Other Index Options'!$M:$M,'NSE - Other Index Options'!$C:$C,$A50,'NSE - Other Index Options'!$B:$B,B$4)+SUMIFS('BSE - SENSEX Index Options'!$M:$M,'BSE - SENSEX Index Options'!$C:$C,$A50,'BSE - SENSEX Index Options'!$B:$B,B$4)+SUMIFS('BSE - Other Index Options'!$M:$M,'BSE - Other Index Options'!$C:$C,$A50,'BSE - Other Index Options'!$B:$B,B$4)=0,"",SUMIFS('NSE - NIFTY Index Options'!$M:$M,'NSE - NIFTY Index Options'!$C:$C,$A50,'NSE - NIFTY Index Options'!$B:$B,B$4)+SUMIFS('NSE - Other Index Options'!$M:$M,'NSE - Other Index Options'!$C:$C,$A50,'NSE - Other Index Options'!$B:$B,B$4)+SUMIFS('BSE - SENSEX Index Options'!$M:$M,'BSE - SENSEX Index Options'!$C:$C,$A50,'BSE - SENSEX Index Options'!$B:$B,B$4)+SUMIFS('BSE - Other Index Options'!$M:$M,'BSE - Other Index Options'!$C:$C,$A50,'BSE - Other Index Options'!$B:$B,B$4))</f>
        <v/>
      </c>
      <c r="C50" s="26">
        <f>IF(SUMIFS('NSE - NIFTY Index Options'!$M:$M,'NSE - NIFTY Index Options'!$C:$C,$A50,'NSE - NIFTY Index Options'!$B:$B,C$4)+SUMIFS('NSE - Other Index Options'!$M:$M,'NSE - Other Index Options'!$C:$C,$A50,'NSE - Other Index Options'!$B:$B,C$4)+SUMIFS('BSE - SENSEX Index Options'!$M:$M,'BSE - SENSEX Index Options'!$C:$C,$A50,'BSE - SENSEX Index Options'!$B:$B,C$4)+SUMIFS('BSE - Other Index Options'!$M:$M,'BSE - Other Index Options'!$C:$C,$A50,'BSE - Other Index Options'!$B:$B,C$4)=0,"",SUMIFS('NSE - NIFTY Index Options'!$M:$M,'NSE - NIFTY Index Options'!$C:$C,$A50,'NSE - NIFTY Index Options'!$B:$B,C$4)+SUMIFS('NSE - Other Index Options'!$M:$M,'NSE - Other Index Options'!$C:$C,$A50,'NSE - Other Index Options'!$B:$B,C$4)+SUMIFS('BSE - SENSEX Index Options'!$M:$M,'BSE - SENSEX Index Options'!$C:$C,$A50,'BSE - SENSEX Index Options'!$B:$B,C$4)+SUMIFS('BSE - Other Index Options'!$M:$M,'BSE - Other Index Options'!$C:$C,$A50,'BSE - Other Index Options'!$B:$B,C$4))</f>
        <v/>
      </c>
      <c r="D50" s="26">
        <f>IF(SUMIFS('NSE - NIFTY Index Options'!$M:$M,'NSE - NIFTY Index Options'!$C:$C,$A50,'NSE - NIFTY Index Options'!$B:$B,D$4)+SUMIFS('NSE - Other Index Options'!$M:$M,'NSE - Other Index Options'!$C:$C,$A50,'NSE - Other Index Options'!$B:$B,D$4)+SUMIFS('BSE - SENSEX Index Options'!$M:$M,'BSE - SENSEX Index Options'!$C:$C,$A50,'BSE - SENSEX Index Options'!$B:$B,D$4)+SUMIFS('BSE - Other Index Options'!$M:$M,'BSE - Other Index Options'!$C:$C,$A50,'BSE - Other Index Options'!$B:$B,D$4)=0,"",SUMIFS('NSE - NIFTY Index Options'!$M:$M,'NSE - NIFTY Index Options'!$C:$C,$A50,'NSE - NIFTY Index Options'!$B:$B,D$4)+SUMIFS('NSE - Other Index Options'!$M:$M,'NSE - Other Index Options'!$C:$C,$A50,'NSE - Other Index Options'!$B:$B,D$4)+SUMIFS('BSE - SENSEX Index Options'!$M:$M,'BSE - SENSEX Index Options'!$C:$C,$A50,'BSE - SENSEX Index Options'!$B:$B,D$4)+SUMIFS('BSE - Other Index Options'!$M:$M,'BSE - Other Index Options'!$C:$C,$A50,'BSE - Other Index Options'!$B:$B,D$4))</f>
        <v/>
      </c>
      <c r="E50" s="26">
        <f>IF(SUMIFS('NSE - NIFTY Index Options'!$M:$M,'NSE - NIFTY Index Options'!$C:$C,$A50,'NSE - NIFTY Index Options'!$B:$B,E$4)+SUMIFS('NSE - Other Index Options'!$M:$M,'NSE - Other Index Options'!$C:$C,$A50,'NSE - Other Index Options'!$B:$B,E$4)+SUMIFS('BSE - SENSEX Index Options'!$M:$M,'BSE - SENSEX Index Options'!$C:$C,$A50,'BSE - SENSEX Index Options'!$B:$B,E$4)+SUMIFS('BSE - Other Index Options'!$M:$M,'BSE - Other Index Options'!$C:$C,$A50,'BSE - Other Index Options'!$B:$B,E$4)=0,"",SUMIFS('NSE - NIFTY Index Options'!$M:$M,'NSE - NIFTY Index Options'!$C:$C,$A50,'NSE - NIFTY Index Options'!$B:$B,E$4)+SUMIFS('NSE - Other Index Options'!$M:$M,'NSE - Other Index Options'!$C:$C,$A50,'NSE - Other Index Options'!$B:$B,E$4)+SUMIFS('BSE - SENSEX Index Options'!$M:$M,'BSE - SENSEX Index Options'!$C:$C,$A50,'BSE - SENSEX Index Options'!$B:$B,E$4)+SUMIFS('BSE - Other Index Options'!$M:$M,'BSE - Other Index Options'!$C:$C,$A50,'BSE - Other Index Options'!$B:$B,E$4))</f>
        <v/>
      </c>
      <c r="F50" s="26">
        <f>IF(SUMIFS('NSE - NIFTY Index Options'!$M:$M,'NSE - NIFTY Index Options'!$C:$C,$A50,'NSE - NIFTY Index Options'!$B:$B,F$4)+SUMIFS('NSE - Other Index Options'!$M:$M,'NSE - Other Index Options'!$C:$C,$A50,'NSE - Other Index Options'!$B:$B,F$4)+SUMIFS('BSE - SENSEX Index Options'!$M:$M,'BSE - SENSEX Index Options'!$C:$C,$A50,'BSE - SENSEX Index Options'!$B:$B,F$4)+SUMIFS('BSE - Other Index Options'!$M:$M,'BSE - Other Index Options'!$C:$C,$A50,'BSE - Other Index Options'!$B:$B,F$4)=0,"",SUMIFS('NSE - NIFTY Index Options'!$M:$M,'NSE - NIFTY Index Options'!$C:$C,$A50,'NSE - NIFTY Index Options'!$B:$B,F$4)+SUMIFS('NSE - Other Index Options'!$M:$M,'NSE - Other Index Options'!$C:$C,$A50,'NSE - Other Index Options'!$B:$B,F$4)+SUMIFS('BSE - SENSEX Index Options'!$M:$M,'BSE - SENSEX Index Options'!$C:$C,$A50,'BSE - SENSEX Index Options'!$B:$B,F$4)+SUMIFS('BSE - Other Index Options'!$M:$M,'BSE - Other Index Options'!$C:$C,$A50,'BSE - Other Index Options'!$B:$B,F$4))</f>
        <v/>
      </c>
      <c r="G50" s="26">
        <f>IF(SUMIFS('NSE - NIFTY Index Options'!$M:$M,'NSE - NIFTY Index Options'!$C:$C,$A50,'NSE - NIFTY Index Options'!$B:$B,G$4)+SUMIFS('NSE - Other Index Options'!$M:$M,'NSE - Other Index Options'!$C:$C,$A50,'NSE - Other Index Options'!$B:$B,G$4)+SUMIFS('BSE - SENSEX Index Options'!$M:$M,'BSE - SENSEX Index Options'!$C:$C,$A50,'BSE - SENSEX Index Options'!$B:$B,G$4)+SUMIFS('BSE - Other Index Options'!$M:$M,'BSE - Other Index Options'!$C:$C,$A50,'BSE - Other Index Options'!$B:$B,G$4)=0,"",SUMIFS('NSE - NIFTY Index Options'!$M:$M,'NSE - NIFTY Index Options'!$C:$C,$A50,'NSE - NIFTY Index Options'!$B:$B,G$4)+SUMIFS('NSE - Other Index Options'!$M:$M,'NSE - Other Index Options'!$C:$C,$A50,'NSE - Other Index Options'!$B:$B,G$4)+SUMIFS('BSE - SENSEX Index Options'!$M:$M,'BSE - SENSEX Index Options'!$C:$C,$A50,'BSE - SENSEX Index Options'!$B:$B,G$4)+SUMIFS('BSE - Other Index Options'!$M:$M,'BSE - Other Index Options'!$C:$C,$A50,'BSE - Other Index Options'!$B:$B,G$4))</f>
        <v/>
      </c>
      <c r="H50" s="26">
        <f>IF(SUM(B50:G50)=0,"",SUM(B50:G50))</f>
        <v/>
      </c>
    </row>
    <row r="51">
      <c r="A51" t="inlineStr">
        <is>
          <t>Week3-Jun-2026</t>
        </is>
      </c>
      <c r="B51" s="26">
        <f>IF(SUMIFS('NSE - NIFTY Index Options'!$M:$M,'NSE - NIFTY Index Options'!$C:$C,$A51,'NSE - NIFTY Index Options'!$B:$B,B$4)+SUMIFS('NSE - Other Index Options'!$M:$M,'NSE - Other Index Options'!$C:$C,$A51,'NSE - Other Index Options'!$B:$B,B$4)+SUMIFS('BSE - SENSEX Index Options'!$M:$M,'BSE - SENSEX Index Options'!$C:$C,$A51,'BSE - SENSEX Index Options'!$B:$B,B$4)+SUMIFS('BSE - Other Index Options'!$M:$M,'BSE - Other Index Options'!$C:$C,$A51,'BSE - Other Index Options'!$B:$B,B$4)=0,"",SUMIFS('NSE - NIFTY Index Options'!$M:$M,'NSE - NIFTY Index Options'!$C:$C,$A51,'NSE - NIFTY Index Options'!$B:$B,B$4)+SUMIFS('NSE - Other Index Options'!$M:$M,'NSE - Other Index Options'!$C:$C,$A51,'NSE - Other Index Options'!$B:$B,B$4)+SUMIFS('BSE - SENSEX Index Options'!$M:$M,'BSE - SENSEX Index Options'!$C:$C,$A51,'BSE - SENSEX Index Options'!$B:$B,B$4)+SUMIFS('BSE - Other Index Options'!$M:$M,'BSE - Other Index Options'!$C:$C,$A51,'BSE - Other Index Options'!$B:$B,B$4))</f>
        <v/>
      </c>
      <c r="C51" s="26">
        <f>IF(SUMIFS('NSE - NIFTY Index Options'!$M:$M,'NSE - NIFTY Index Options'!$C:$C,$A51,'NSE - NIFTY Index Options'!$B:$B,C$4)+SUMIFS('NSE - Other Index Options'!$M:$M,'NSE - Other Index Options'!$C:$C,$A51,'NSE - Other Index Options'!$B:$B,C$4)+SUMIFS('BSE - SENSEX Index Options'!$M:$M,'BSE - SENSEX Index Options'!$C:$C,$A51,'BSE - SENSEX Index Options'!$B:$B,C$4)+SUMIFS('BSE - Other Index Options'!$M:$M,'BSE - Other Index Options'!$C:$C,$A51,'BSE - Other Index Options'!$B:$B,C$4)=0,"",SUMIFS('NSE - NIFTY Index Options'!$M:$M,'NSE - NIFTY Index Options'!$C:$C,$A51,'NSE - NIFTY Index Options'!$B:$B,C$4)+SUMIFS('NSE - Other Index Options'!$M:$M,'NSE - Other Index Options'!$C:$C,$A51,'NSE - Other Index Options'!$B:$B,C$4)+SUMIFS('BSE - SENSEX Index Options'!$M:$M,'BSE - SENSEX Index Options'!$C:$C,$A51,'BSE - SENSEX Index Options'!$B:$B,C$4)+SUMIFS('BSE - Other Index Options'!$M:$M,'BSE - Other Index Options'!$C:$C,$A51,'BSE - Other Index Options'!$B:$B,C$4))</f>
        <v/>
      </c>
      <c r="D51" s="26">
        <f>IF(SUMIFS('NSE - NIFTY Index Options'!$M:$M,'NSE - NIFTY Index Options'!$C:$C,$A51,'NSE - NIFTY Index Options'!$B:$B,D$4)+SUMIFS('NSE - Other Index Options'!$M:$M,'NSE - Other Index Options'!$C:$C,$A51,'NSE - Other Index Options'!$B:$B,D$4)+SUMIFS('BSE - SENSEX Index Options'!$M:$M,'BSE - SENSEX Index Options'!$C:$C,$A51,'BSE - SENSEX Index Options'!$B:$B,D$4)+SUMIFS('BSE - Other Index Options'!$M:$M,'BSE - Other Index Options'!$C:$C,$A51,'BSE - Other Index Options'!$B:$B,D$4)=0,"",SUMIFS('NSE - NIFTY Index Options'!$M:$M,'NSE - NIFTY Index Options'!$C:$C,$A51,'NSE - NIFTY Index Options'!$B:$B,D$4)+SUMIFS('NSE - Other Index Options'!$M:$M,'NSE - Other Index Options'!$C:$C,$A51,'NSE - Other Index Options'!$B:$B,D$4)+SUMIFS('BSE - SENSEX Index Options'!$M:$M,'BSE - SENSEX Index Options'!$C:$C,$A51,'BSE - SENSEX Index Options'!$B:$B,D$4)+SUMIFS('BSE - Other Index Options'!$M:$M,'BSE - Other Index Options'!$C:$C,$A51,'BSE - Other Index Options'!$B:$B,D$4))</f>
        <v/>
      </c>
      <c r="E51" s="26">
        <f>IF(SUMIFS('NSE - NIFTY Index Options'!$M:$M,'NSE - NIFTY Index Options'!$C:$C,$A51,'NSE - NIFTY Index Options'!$B:$B,E$4)+SUMIFS('NSE - Other Index Options'!$M:$M,'NSE - Other Index Options'!$C:$C,$A51,'NSE - Other Index Options'!$B:$B,E$4)+SUMIFS('BSE - SENSEX Index Options'!$M:$M,'BSE - SENSEX Index Options'!$C:$C,$A51,'BSE - SENSEX Index Options'!$B:$B,E$4)+SUMIFS('BSE - Other Index Options'!$M:$M,'BSE - Other Index Options'!$C:$C,$A51,'BSE - Other Index Options'!$B:$B,E$4)=0,"",SUMIFS('NSE - NIFTY Index Options'!$M:$M,'NSE - NIFTY Index Options'!$C:$C,$A51,'NSE - NIFTY Index Options'!$B:$B,E$4)+SUMIFS('NSE - Other Index Options'!$M:$M,'NSE - Other Index Options'!$C:$C,$A51,'NSE - Other Index Options'!$B:$B,E$4)+SUMIFS('BSE - SENSEX Index Options'!$M:$M,'BSE - SENSEX Index Options'!$C:$C,$A51,'BSE - SENSEX Index Options'!$B:$B,E$4)+SUMIFS('BSE - Other Index Options'!$M:$M,'BSE - Other Index Options'!$C:$C,$A51,'BSE - Other Index Options'!$B:$B,E$4))</f>
        <v/>
      </c>
      <c r="F51" s="26">
        <f>IF(SUMIFS('NSE - NIFTY Index Options'!$M:$M,'NSE - NIFTY Index Options'!$C:$C,$A51,'NSE - NIFTY Index Options'!$B:$B,F$4)+SUMIFS('NSE - Other Index Options'!$M:$M,'NSE - Other Index Options'!$C:$C,$A51,'NSE - Other Index Options'!$B:$B,F$4)+SUMIFS('BSE - SENSEX Index Options'!$M:$M,'BSE - SENSEX Index Options'!$C:$C,$A51,'BSE - SENSEX Index Options'!$B:$B,F$4)+SUMIFS('BSE - Other Index Options'!$M:$M,'BSE - Other Index Options'!$C:$C,$A51,'BSE - Other Index Options'!$B:$B,F$4)=0,"",SUMIFS('NSE - NIFTY Index Options'!$M:$M,'NSE - NIFTY Index Options'!$C:$C,$A51,'NSE - NIFTY Index Options'!$B:$B,F$4)+SUMIFS('NSE - Other Index Options'!$M:$M,'NSE - Other Index Options'!$C:$C,$A51,'NSE - Other Index Options'!$B:$B,F$4)+SUMIFS('BSE - SENSEX Index Options'!$M:$M,'BSE - SENSEX Index Options'!$C:$C,$A51,'BSE - SENSEX Index Options'!$B:$B,F$4)+SUMIFS('BSE - Other Index Options'!$M:$M,'BSE - Other Index Options'!$C:$C,$A51,'BSE - Other Index Options'!$B:$B,F$4))</f>
        <v/>
      </c>
      <c r="G51" s="26">
        <f>IF(SUMIFS('NSE - NIFTY Index Options'!$M:$M,'NSE - NIFTY Index Options'!$C:$C,$A51,'NSE - NIFTY Index Options'!$B:$B,G$4)+SUMIFS('NSE - Other Index Options'!$M:$M,'NSE - Other Index Options'!$C:$C,$A51,'NSE - Other Index Options'!$B:$B,G$4)+SUMIFS('BSE - SENSEX Index Options'!$M:$M,'BSE - SENSEX Index Options'!$C:$C,$A51,'BSE - SENSEX Index Options'!$B:$B,G$4)+SUMIFS('BSE - Other Index Options'!$M:$M,'BSE - Other Index Options'!$C:$C,$A51,'BSE - Other Index Options'!$B:$B,G$4)=0,"",SUMIFS('NSE - NIFTY Index Options'!$M:$M,'NSE - NIFTY Index Options'!$C:$C,$A51,'NSE - NIFTY Index Options'!$B:$B,G$4)+SUMIFS('NSE - Other Index Options'!$M:$M,'NSE - Other Index Options'!$C:$C,$A51,'NSE - Other Index Options'!$B:$B,G$4)+SUMIFS('BSE - SENSEX Index Options'!$M:$M,'BSE - SENSEX Index Options'!$C:$C,$A51,'BSE - SENSEX Index Options'!$B:$B,G$4)+SUMIFS('BSE - Other Index Options'!$M:$M,'BSE - Other Index Options'!$C:$C,$A51,'BSE - Other Index Options'!$B:$B,G$4))</f>
        <v/>
      </c>
      <c r="H51" s="26">
        <f>IF(SUM(B51:G51)=0,"",SUM(B51:G51))</f>
        <v/>
      </c>
    </row>
    <row r="52">
      <c r="A52" t="inlineStr">
        <is>
          <t>Week4-Jun-2026</t>
        </is>
      </c>
      <c r="B52" s="26">
        <f>IF(SUMIFS('NSE - NIFTY Index Options'!$M:$M,'NSE - NIFTY Index Options'!$C:$C,$A52,'NSE - NIFTY Index Options'!$B:$B,B$4)+SUMIFS('NSE - Other Index Options'!$M:$M,'NSE - Other Index Options'!$C:$C,$A52,'NSE - Other Index Options'!$B:$B,B$4)+SUMIFS('BSE - SENSEX Index Options'!$M:$M,'BSE - SENSEX Index Options'!$C:$C,$A52,'BSE - SENSEX Index Options'!$B:$B,B$4)+SUMIFS('BSE - Other Index Options'!$M:$M,'BSE - Other Index Options'!$C:$C,$A52,'BSE - Other Index Options'!$B:$B,B$4)=0,"",SUMIFS('NSE - NIFTY Index Options'!$M:$M,'NSE - NIFTY Index Options'!$C:$C,$A52,'NSE - NIFTY Index Options'!$B:$B,B$4)+SUMIFS('NSE - Other Index Options'!$M:$M,'NSE - Other Index Options'!$C:$C,$A52,'NSE - Other Index Options'!$B:$B,B$4)+SUMIFS('BSE - SENSEX Index Options'!$M:$M,'BSE - SENSEX Index Options'!$C:$C,$A52,'BSE - SENSEX Index Options'!$B:$B,B$4)+SUMIFS('BSE - Other Index Options'!$M:$M,'BSE - Other Index Options'!$C:$C,$A52,'BSE - Other Index Options'!$B:$B,B$4))</f>
        <v/>
      </c>
      <c r="C52" s="26">
        <f>IF(SUMIFS('NSE - NIFTY Index Options'!$M:$M,'NSE - NIFTY Index Options'!$C:$C,$A52,'NSE - NIFTY Index Options'!$B:$B,C$4)+SUMIFS('NSE - Other Index Options'!$M:$M,'NSE - Other Index Options'!$C:$C,$A52,'NSE - Other Index Options'!$B:$B,C$4)+SUMIFS('BSE - SENSEX Index Options'!$M:$M,'BSE - SENSEX Index Options'!$C:$C,$A52,'BSE - SENSEX Index Options'!$B:$B,C$4)+SUMIFS('BSE - Other Index Options'!$M:$M,'BSE - Other Index Options'!$C:$C,$A52,'BSE - Other Index Options'!$B:$B,C$4)=0,"",SUMIFS('NSE - NIFTY Index Options'!$M:$M,'NSE - NIFTY Index Options'!$C:$C,$A52,'NSE - NIFTY Index Options'!$B:$B,C$4)+SUMIFS('NSE - Other Index Options'!$M:$M,'NSE - Other Index Options'!$C:$C,$A52,'NSE - Other Index Options'!$B:$B,C$4)+SUMIFS('BSE - SENSEX Index Options'!$M:$M,'BSE - SENSEX Index Options'!$C:$C,$A52,'BSE - SENSEX Index Options'!$B:$B,C$4)+SUMIFS('BSE - Other Index Options'!$M:$M,'BSE - Other Index Options'!$C:$C,$A52,'BSE - Other Index Options'!$B:$B,C$4))</f>
        <v/>
      </c>
      <c r="D52" s="26">
        <f>IF(SUMIFS('NSE - NIFTY Index Options'!$M:$M,'NSE - NIFTY Index Options'!$C:$C,$A52,'NSE - NIFTY Index Options'!$B:$B,D$4)+SUMIFS('NSE - Other Index Options'!$M:$M,'NSE - Other Index Options'!$C:$C,$A52,'NSE - Other Index Options'!$B:$B,D$4)+SUMIFS('BSE - SENSEX Index Options'!$M:$M,'BSE - SENSEX Index Options'!$C:$C,$A52,'BSE - SENSEX Index Options'!$B:$B,D$4)+SUMIFS('BSE - Other Index Options'!$M:$M,'BSE - Other Index Options'!$C:$C,$A52,'BSE - Other Index Options'!$B:$B,D$4)=0,"",SUMIFS('NSE - NIFTY Index Options'!$M:$M,'NSE - NIFTY Index Options'!$C:$C,$A52,'NSE - NIFTY Index Options'!$B:$B,D$4)+SUMIFS('NSE - Other Index Options'!$M:$M,'NSE - Other Index Options'!$C:$C,$A52,'NSE - Other Index Options'!$B:$B,D$4)+SUMIFS('BSE - SENSEX Index Options'!$M:$M,'BSE - SENSEX Index Options'!$C:$C,$A52,'BSE - SENSEX Index Options'!$B:$B,D$4)+SUMIFS('BSE - Other Index Options'!$M:$M,'BSE - Other Index Options'!$C:$C,$A52,'BSE - Other Index Options'!$B:$B,D$4))</f>
        <v/>
      </c>
      <c r="E52" s="26">
        <f>IF(SUMIFS('NSE - NIFTY Index Options'!$M:$M,'NSE - NIFTY Index Options'!$C:$C,$A52,'NSE - NIFTY Index Options'!$B:$B,E$4)+SUMIFS('NSE - Other Index Options'!$M:$M,'NSE - Other Index Options'!$C:$C,$A52,'NSE - Other Index Options'!$B:$B,E$4)+SUMIFS('BSE - SENSEX Index Options'!$M:$M,'BSE - SENSEX Index Options'!$C:$C,$A52,'BSE - SENSEX Index Options'!$B:$B,E$4)+SUMIFS('BSE - Other Index Options'!$M:$M,'BSE - Other Index Options'!$C:$C,$A52,'BSE - Other Index Options'!$B:$B,E$4)=0,"",SUMIFS('NSE - NIFTY Index Options'!$M:$M,'NSE - NIFTY Index Options'!$C:$C,$A52,'NSE - NIFTY Index Options'!$B:$B,E$4)+SUMIFS('NSE - Other Index Options'!$M:$M,'NSE - Other Index Options'!$C:$C,$A52,'NSE - Other Index Options'!$B:$B,E$4)+SUMIFS('BSE - SENSEX Index Options'!$M:$M,'BSE - SENSEX Index Options'!$C:$C,$A52,'BSE - SENSEX Index Options'!$B:$B,E$4)+SUMIFS('BSE - Other Index Options'!$M:$M,'BSE - Other Index Options'!$C:$C,$A52,'BSE - Other Index Options'!$B:$B,E$4))</f>
        <v/>
      </c>
      <c r="F52" s="26">
        <f>IF(SUMIFS('NSE - NIFTY Index Options'!$M:$M,'NSE - NIFTY Index Options'!$C:$C,$A52,'NSE - NIFTY Index Options'!$B:$B,F$4)+SUMIFS('NSE - Other Index Options'!$M:$M,'NSE - Other Index Options'!$C:$C,$A52,'NSE - Other Index Options'!$B:$B,F$4)+SUMIFS('BSE - SENSEX Index Options'!$M:$M,'BSE - SENSEX Index Options'!$C:$C,$A52,'BSE - SENSEX Index Options'!$B:$B,F$4)+SUMIFS('BSE - Other Index Options'!$M:$M,'BSE - Other Index Options'!$C:$C,$A52,'BSE - Other Index Options'!$B:$B,F$4)=0,"",SUMIFS('NSE - NIFTY Index Options'!$M:$M,'NSE - NIFTY Index Options'!$C:$C,$A52,'NSE - NIFTY Index Options'!$B:$B,F$4)+SUMIFS('NSE - Other Index Options'!$M:$M,'NSE - Other Index Options'!$C:$C,$A52,'NSE - Other Index Options'!$B:$B,F$4)+SUMIFS('BSE - SENSEX Index Options'!$M:$M,'BSE - SENSEX Index Options'!$C:$C,$A52,'BSE - SENSEX Index Options'!$B:$B,F$4)+SUMIFS('BSE - Other Index Options'!$M:$M,'BSE - Other Index Options'!$C:$C,$A52,'BSE - Other Index Options'!$B:$B,F$4))</f>
        <v/>
      </c>
      <c r="G52" s="26">
        <f>IF(SUMIFS('NSE - NIFTY Index Options'!$M:$M,'NSE - NIFTY Index Options'!$C:$C,$A52,'NSE - NIFTY Index Options'!$B:$B,G$4)+SUMIFS('NSE - Other Index Options'!$M:$M,'NSE - Other Index Options'!$C:$C,$A52,'NSE - Other Index Options'!$B:$B,G$4)+SUMIFS('BSE - SENSEX Index Options'!$M:$M,'BSE - SENSEX Index Options'!$C:$C,$A52,'BSE - SENSEX Index Options'!$B:$B,G$4)+SUMIFS('BSE - Other Index Options'!$M:$M,'BSE - Other Index Options'!$C:$C,$A52,'BSE - Other Index Options'!$B:$B,G$4)=0,"",SUMIFS('NSE - NIFTY Index Options'!$M:$M,'NSE - NIFTY Index Options'!$C:$C,$A52,'NSE - NIFTY Index Options'!$B:$B,G$4)+SUMIFS('NSE - Other Index Options'!$M:$M,'NSE - Other Index Options'!$C:$C,$A52,'NSE - Other Index Options'!$B:$B,G$4)+SUMIFS('BSE - SENSEX Index Options'!$M:$M,'BSE - SENSEX Index Options'!$C:$C,$A52,'BSE - SENSEX Index Options'!$B:$B,G$4)+SUMIFS('BSE - Other Index Options'!$M:$M,'BSE - Other Index Options'!$C:$C,$A52,'BSE - Other Index Options'!$B:$B,G$4))</f>
        <v/>
      </c>
      <c r="H52" s="26">
        <f>IF(SUM(B52:G52)=0,"",SUM(B52:G52))</f>
        <v/>
      </c>
    </row>
    <row r="53">
      <c r="A53" t="inlineStr">
        <is>
          <t>Week5-Jun-2026</t>
        </is>
      </c>
      <c r="B53" s="26">
        <f>IF(SUMIFS('NSE - NIFTY Index Options'!$M:$M,'NSE - NIFTY Index Options'!$C:$C,$A53,'NSE - NIFTY Index Options'!$B:$B,B$4)+SUMIFS('NSE - Other Index Options'!$M:$M,'NSE - Other Index Options'!$C:$C,$A53,'NSE - Other Index Options'!$B:$B,B$4)+SUMIFS('BSE - SENSEX Index Options'!$M:$M,'BSE - SENSEX Index Options'!$C:$C,$A53,'BSE - SENSEX Index Options'!$B:$B,B$4)+SUMIFS('BSE - Other Index Options'!$M:$M,'BSE - Other Index Options'!$C:$C,$A53,'BSE - Other Index Options'!$B:$B,B$4)=0,"",SUMIFS('NSE - NIFTY Index Options'!$M:$M,'NSE - NIFTY Index Options'!$C:$C,$A53,'NSE - NIFTY Index Options'!$B:$B,B$4)+SUMIFS('NSE - Other Index Options'!$M:$M,'NSE - Other Index Options'!$C:$C,$A53,'NSE - Other Index Options'!$B:$B,B$4)+SUMIFS('BSE - SENSEX Index Options'!$M:$M,'BSE - SENSEX Index Options'!$C:$C,$A53,'BSE - SENSEX Index Options'!$B:$B,B$4)+SUMIFS('BSE - Other Index Options'!$M:$M,'BSE - Other Index Options'!$C:$C,$A53,'BSE - Other Index Options'!$B:$B,B$4))</f>
        <v/>
      </c>
      <c r="C53" s="26">
        <f>IF(SUMIFS('NSE - NIFTY Index Options'!$M:$M,'NSE - NIFTY Index Options'!$C:$C,$A53,'NSE - NIFTY Index Options'!$B:$B,C$4)+SUMIFS('NSE - Other Index Options'!$M:$M,'NSE - Other Index Options'!$C:$C,$A53,'NSE - Other Index Options'!$B:$B,C$4)+SUMIFS('BSE - SENSEX Index Options'!$M:$M,'BSE - SENSEX Index Options'!$C:$C,$A53,'BSE - SENSEX Index Options'!$B:$B,C$4)+SUMIFS('BSE - Other Index Options'!$M:$M,'BSE - Other Index Options'!$C:$C,$A53,'BSE - Other Index Options'!$B:$B,C$4)=0,"",SUMIFS('NSE - NIFTY Index Options'!$M:$M,'NSE - NIFTY Index Options'!$C:$C,$A53,'NSE - NIFTY Index Options'!$B:$B,C$4)+SUMIFS('NSE - Other Index Options'!$M:$M,'NSE - Other Index Options'!$C:$C,$A53,'NSE - Other Index Options'!$B:$B,C$4)+SUMIFS('BSE - SENSEX Index Options'!$M:$M,'BSE - SENSEX Index Options'!$C:$C,$A53,'BSE - SENSEX Index Options'!$B:$B,C$4)+SUMIFS('BSE - Other Index Options'!$M:$M,'BSE - Other Index Options'!$C:$C,$A53,'BSE - Other Index Options'!$B:$B,C$4))</f>
        <v/>
      </c>
      <c r="D53" s="26">
        <f>IF(SUMIFS('NSE - NIFTY Index Options'!$M:$M,'NSE - NIFTY Index Options'!$C:$C,$A53,'NSE - NIFTY Index Options'!$B:$B,D$4)+SUMIFS('NSE - Other Index Options'!$M:$M,'NSE - Other Index Options'!$C:$C,$A53,'NSE - Other Index Options'!$B:$B,D$4)+SUMIFS('BSE - SENSEX Index Options'!$M:$M,'BSE - SENSEX Index Options'!$C:$C,$A53,'BSE - SENSEX Index Options'!$B:$B,D$4)+SUMIFS('BSE - Other Index Options'!$M:$M,'BSE - Other Index Options'!$C:$C,$A53,'BSE - Other Index Options'!$B:$B,D$4)=0,"",SUMIFS('NSE - NIFTY Index Options'!$M:$M,'NSE - NIFTY Index Options'!$C:$C,$A53,'NSE - NIFTY Index Options'!$B:$B,D$4)+SUMIFS('NSE - Other Index Options'!$M:$M,'NSE - Other Index Options'!$C:$C,$A53,'NSE - Other Index Options'!$B:$B,D$4)+SUMIFS('BSE - SENSEX Index Options'!$M:$M,'BSE - SENSEX Index Options'!$C:$C,$A53,'BSE - SENSEX Index Options'!$B:$B,D$4)+SUMIFS('BSE - Other Index Options'!$M:$M,'BSE - Other Index Options'!$C:$C,$A53,'BSE - Other Index Options'!$B:$B,D$4))</f>
        <v/>
      </c>
      <c r="E53" s="26">
        <f>IF(SUMIFS('NSE - NIFTY Index Options'!$M:$M,'NSE - NIFTY Index Options'!$C:$C,$A53,'NSE - NIFTY Index Options'!$B:$B,E$4)+SUMIFS('NSE - Other Index Options'!$M:$M,'NSE - Other Index Options'!$C:$C,$A53,'NSE - Other Index Options'!$B:$B,E$4)+SUMIFS('BSE - SENSEX Index Options'!$M:$M,'BSE - SENSEX Index Options'!$C:$C,$A53,'BSE - SENSEX Index Options'!$B:$B,E$4)+SUMIFS('BSE - Other Index Options'!$M:$M,'BSE - Other Index Options'!$C:$C,$A53,'BSE - Other Index Options'!$B:$B,E$4)=0,"",SUMIFS('NSE - NIFTY Index Options'!$M:$M,'NSE - NIFTY Index Options'!$C:$C,$A53,'NSE - NIFTY Index Options'!$B:$B,E$4)+SUMIFS('NSE - Other Index Options'!$M:$M,'NSE - Other Index Options'!$C:$C,$A53,'NSE - Other Index Options'!$B:$B,E$4)+SUMIFS('BSE - SENSEX Index Options'!$M:$M,'BSE - SENSEX Index Options'!$C:$C,$A53,'BSE - SENSEX Index Options'!$B:$B,E$4)+SUMIFS('BSE - Other Index Options'!$M:$M,'BSE - Other Index Options'!$C:$C,$A53,'BSE - Other Index Options'!$B:$B,E$4))</f>
        <v/>
      </c>
      <c r="F53" s="26">
        <f>IF(SUMIFS('NSE - NIFTY Index Options'!$M:$M,'NSE - NIFTY Index Options'!$C:$C,$A53,'NSE - NIFTY Index Options'!$B:$B,F$4)+SUMIFS('NSE - Other Index Options'!$M:$M,'NSE - Other Index Options'!$C:$C,$A53,'NSE - Other Index Options'!$B:$B,F$4)+SUMIFS('BSE - SENSEX Index Options'!$M:$M,'BSE - SENSEX Index Options'!$C:$C,$A53,'BSE - SENSEX Index Options'!$B:$B,F$4)+SUMIFS('BSE - Other Index Options'!$M:$M,'BSE - Other Index Options'!$C:$C,$A53,'BSE - Other Index Options'!$B:$B,F$4)=0,"",SUMIFS('NSE - NIFTY Index Options'!$M:$M,'NSE - NIFTY Index Options'!$C:$C,$A53,'NSE - NIFTY Index Options'!$B:$B,F$4)+SUMIFS('NSE - Other Index Options'!$M:$M,'NSE - Other Index Options'!$C:$C,$A53,'NSE - Other Index Options'!$B:$B,F$4)+SUMIFS('BSE - SENSEX Index Options'!$M:$M,'BSE - SENSEX Index Options'!$C:$C,$A53,'BSE - SENSEX Index Options'!$B:$B,F$4)+SUMIFS('BSE - Other Index Options'!$M:$M,'BSE - Other Index Options'!$C:$C,$A53,'BSE - Other Index Options'!$B:$B,F$4))</f>
        <v/>
      </c>
      <c r="G53" s="26">
        <f>IF(SUMIFS('NSE - NIFTY Index Options'!$M:$M,'NSE - NIFTY Index Options'!$C:$C,$A53,'NSE - NIFTY Index Options'!$B:$B,G$4)+SUMIFS('NSE - Other Index Options'!$M:$M,'NSE - Other Index Options'!$C:$C,$A53,'NSE - Other Index Options'!$B:$B,G$4)+SUMIFS('BSE - SENSEX Index Options'!$M:$M,'BSE - SENSEX Index Options'!$C:$C,$A53,'BSE - SENSEX Index Options'!$B:$B,G$4)+SUMIFS('BSE - Other Index Options'!$M:$M,'BSE - Other Index Options'!$C:$C,$A53,'BSE - Other Index Options'!$B:$B,G$4)=0,"",SUMIFS('NSE - NIFTY Index Options'!$M:$M,'NSE - NIFTY Index Options'!$C:$C,$A53,'NSE - NIFTY Index Options'!$B:$B,G$4)+SUMIFS('NSE - Other Index Options'!$M:$M,'NSE - Other Index Options'!$C:$C,$A53,'NSE - Other Index Options'!$B:$B,G$4)+SUMIFS('BSE - SENSEX Index Options'!$M:$M,'BSE - SENSEX Index Options'!$C:$C,$A53,'BSE - SENSEX Index Options'!$B:$B,G$4)+SUMIFS('BSE - Other Index Options'!$M:$M,'BSE - Other Index Options'!$C:$C,$A53,'BSE - Other Index Options'!$B:$B,G$4))</f>
        <v/>
      </c>
      <c r="H53" s="26">
        <f>IF(SUM(B53:G53)=0,"",SUM(B53:G53))</f>
        <v/>
      </c>
    </row>
    <row r="54">
      <c r="A54" t="inlineStr">
        <is>
          <t>Week1-Jul-2026</t>
        </is>
      </c>
      <c r="B54" s="26">
        <f>IF(SUMIFS('NSE - NIFTY Index Options'!$M:$M,'NSE - NIFTY Index Options'!$C:$C,$A54,'NSE - NIFTY Index Options'!$B:$B,B$4)+SUMIFS('NSE - Other Index Options'!$M:$M,'NSE - Other Index Options'!$C:$C,$A54,'NSE - Other Index Options'!$B:$B,B$4)+SUMIFS('BSE - SENSEX Index Options'!$M:$M,'BSE - SENSEX Index Options'!$C:$C,$A54,'BSE - SENSEX Index Options'!$B:$B,B$4)+SUMIFS('BSE - Other Index Options'!$M:$M,'BSE - Other Index Options'!$C:$C,$A54,'BSE - Other Index Options'!$B:$B,B$4)=0,"",SUMIFS('NSE - NIFTY Index Options'!$M:$M,'NSE - NIFTY Index Options'!$C:$C,$A54,'NSE - NIFTY Index Options'!$B:$B,B$4)+SUMIFS('NSE - Other Index Options'!$M:$M,'NSE - Other Index Options'!$C:$C,$A54,'NSE - Other Index Options'!$B:$B,B$4)+SUMIFS('BSE - SENSEX Index Options'!$M:$M,'BSE - SENSEX Index Options'!$C:$C,$A54,'BSE - SENSEX Index Options'!$B:$B,B$4)+SUMIFS('BSE - Other Index Options'!$M:$M,'BSE - Other Index Options'!$C:$C,$A54,'BSE - Other Index Options'!$B:$B,B$4))</f>
        <v/>
      </c>
      <c r="C54" s="26">
        <f>IF(SUMIFS('NSE - NIFTY Index Options'!$M:$M,'NSE - NIFTY Index Options'!$C:$C,$A54,'NSE - NIFTY Index Options'!$B:$B,C$4)+SUMIFS('NSE - Other Index Options'!$M:$M,'NSE - Other Index Options'!$C:$C,$A54,'NSE - Other Index Options'!$B:$B,C$4)+SUMIFS('BSE - SENSEX Index Options'!$M:$M,'BSE - SENSEX Index Options'!$C:$C,$A54,'BSE - SENSEX Index Options'!$B:$B,C$4)+SUMIFS('BSE - Other Index Options'!$M:$M,'BSE - Other Index Options'!$C:$C,$A54,'BSE - Other Index Options'!$B:$B,C$4)=0,"",SUMIFS('NSE - NIFTY Index Options'!$M:$M,'NSE - NIFTY Index Options'!$C:$C,$A54,'NSE - NIFTY Index Options'!$B:$B,C$4)+SUMIFS('NSE - Other Index Options'!$M:$M,'NSE - Other Index Options'!$C:$C,$A54,'NSE - Other Index Options'!$B:$B,C$4)+SUMIFS('BSE - SENSEX Index Options'!$M:$M,'BSE - SENSEX Index Options'!$C:$C,$A54,'BSE - SENSEX Index Options'!$B:$B,C$4)+SUMIFS('BSE - Other Index Options'!$M:$M,'BSE - Other Index Options'!$C:$C,$A54,'BSE - Other Index Options'!$B:$B,C$4))</f>
        <v/>
      </c>
      <c r="D54" s="26">
        <f>IF(SUMIFS('NSE - NIFTY Index Options'!$M:$M,'NSE - NIFTY Index Options'!$C:$C,$A54,'NSE - NIFTY Index Options'!$B:$B,D$4)+SUMIFS('NSE - Other Index Options'!$M:$M,'NSE - Other Index Options'!$C:$C,$A54,'NSE - Other Index Options'!$B:$B,D$4)+SUMIFS('BSE - SENSEX Index Options'!$M:$M,'BSE - SENSEX Index Options'!$C:$C,$A54,'BSE - SENSEX Index Options'!$B:$B,D$4)+SUMIFS('BSE - Other Index Options'!$M:$M,'BSE - Other Index Options'!$C:$C,$A54,'BSE - Other Index Options'!$B:$B,D$4)=0,"",SUMIFS('NSE - NIFTY Index Options'!$M:$M,'NSE - NIFTY Index Options'!$C:$C,$A54,'NSE - NIFTY Index Options'!$B:$B,D$4)+SUMIFS('NSE - Other Index Options'!$M:$M,'NSE - Other Index Options'!$C:$C,$A54,'NSE - Other Index Options'!$B:$B,D$4)+SUMIFS('BSE - SENSEX Index Options'!$M:$M,'BSE - SENSEX Index Options'!$C:$C,$A54,'BSE - SENSEX Index Options'!$B:$B,D$4)+SUMIFS('BSE - Other Index Options'!$M:$M,'BSE - Other Index Options'!$C:$C,$A54,'BSE - Other Index Options'!$B:$B,D$4))</f>
        <v/>
      </c>
      <c r="E54" s="26">
        <f>IF(SUMIFS('NSE - NIFTY Index Options'!$M:$M,'NSE - NIFTY Index Options'!$C:$C,$A54,'NSE - NIFTY Index Options'!$B:$B,E$4)+SUMIFS('NSE - Other Index Options'!$M:$M,'NSE - Other Index Options'!$C:$C,$A54,'NSE - Other Index Options'!$B:$B,E$4)+SUMIFS('BSE - SENSEX Index Options'!$M:$M,'BSE - SENSEX Index Options'!$C:$C,$A54,'BSE - SENSEX Index Options'!$B:$B,E$4)+SUMIFS('BSE - Other Index Options'!$M:$M,'BSE - Other Index Options'!$C:$C,$A54,'BSE - Other Index Options'!$B:$B,E$4)=0,"",SUMIFS('NSE - NIFTY Index Options'!$M:$M,'NSE - NIFTY Index Options'!$C:$C,$A54,'NSE - NIFTY Index Options'!$B:$B,E$4)+SUMIFS('NSE - Other Index Options'!$M:$M,'NSE - Other Index Options'!$C:$C,$A54,'NSE - Other Index Options'!$B:$B,E$4)+SUMIFS('BSE - SENSEX Index Options'!$M:$M,'BSE - SENSEX Index Options'!$C:$C,$A54,'BSE - SENSEX Index Options'!$B:$B,E$4)+SUMIFS('BSE - Other Index Options'!$M:$M,'BSE - Other Index Options'!$C:$C,$A54,'BSE - Other Index Options'!$B:$B,E$4))</f>
        <v/>
      </c>
      <c r="F54" s="26">
        <f>IF(SUMIFS('NSE - NIFTY Index Options'!$M:$M,'NSE - NIFTY Index Options'!$C:$C,$A54,'NSE - NIFTY Index Options'!$B:$B,F$4)+SUMIFS('NSE - Other Index Options'!$M:$M,'NSE - Other Index Options'!$C:$C,$A54,'NSE - Other Index Options'!$B:$B,F$4)+SUMIFS('BSE - SENSEX Index Options'!$M:$M,'BSE - SENSEX Index Options'!$C:$C,$A54,'BSE - SENSEX Index Options'!$B:$B,F$4)+SUMIFS('BSE - Other Index Options'!$M:$M,'BSE - Other Index Options'!$C:$C,$A54,'BSE - Other Index Options'!$B:$B,F$4)=0,"",SUMIFS('NSE - NIFTY Index Options'!$M:$M,'NSE - NIFTY Index Options'!$C:$C,$A54,'NSE - NIFTY Index Options'!$B:$B,F$4)+SUMIFS('NSE - Other Index Options'!$M:$M,'NSE - Other Index Options'!$C:$C,$A54,'NSE - Other Index Options'!$B:$B,F$4)+SUMIFS('BSE - SENSEX Index Options'!$M:$M,'BSE - SENSEX Index Options'!$C:$C,$A54,'BSE - SENSEX Index Options'!$B:$B,F$4)+SUMIFS('BSE - Other Index Options'!$M:$M,'BSE - Other Index Options'!$C:$C,$A54,'BSE - Other Index Options'!$B:$B,F$4))</f>
        <v/>
      </c>
      <c r="G54" s="26">
        <f>IF(SUMIFS('NSE - NIFTY Index Options'!$M:$M,'NSE - NIFTY Index Options'!$C:$C,$A54,'NSE - NIFTY Index Options'!$B:$B,G$4)+SUMIFS('NSE - Other Index Options'!$M:$M,'NSE - Other Index Options'!$C:$C,$A54,'NSE - Other Index Options'!$B:$B,G$4)+SUMIFS('BSE - SENSEX Index Options'!$M:$M,'BSE - SENSEX Index Options'!$C:$C,$A54,'BSE - SENSEX Index Options'!$B:$B,G$4)+SUMIFS('BSE - Other Index Options'!$M:$M,'BSE - Other Index Options'!$C:$C,$A54,'BSE - Other Index Options'!$B:$B,G$4)=0,"",SUMIFS('NSE - NIFTY Index Options'!$M:$M,'NSE - NIFTY Index Options'!$C:$C,$A54,'NSE - NIFTY Index Options'!$B:$B,G$4)+SUMIFS('NSE - Other Index Options'!$M:$M,'NSE - Other Index Options'!$C:$C,$A54,'NSE - Other Index Options'!$B:$B,G$4)+SUMIFS('BSE - SENSEX Index Options'!$M:$M,'BSE - SENSEX Index Options'!$C:$C,$A54,'BSE - SENSEX Index Options'!$B:$B,G$4)+SUMIFS('BSE - Other Index Options'!$M:$M,'BSE - Other Index Options'!$C:$C,$A54,'BSE - Other Index Options'!$B:$B,G$4))</f>
        <v/>
      </c>
      <c r="H54" s="26">
        <f>IF(SUM(B54:G54)=0,"",SUM(B54:G54))</f>
        <v/>
      </c>
    </row>
    <row r="55">
      <c r="A55" t="inlineStr">
        <is>
          <t>Week2-Jul-2026</t>
        </is>
      </c>
      <c r="B55" s="26">
        <f>IF(SUMIFS('NSE - NIFTY Index Options'!$M:$M,'NSE - NIFTY Index Options'!$C:$C,$A55,'NSE - NIFTY Index Options'!$B:$B,B$4)+SUMIFS('NSE - Other Index Options'!$M:$M,'NSE - Other Index Options'!$C:$C,$A55,'NSE - Other Index Options'!$B:$B,B$4)+SUMIFS('BSE - SENSEX Index Options'!$M:$M,'BSE - SENSEX Index Options'!$C:$C,$A55,'BSE - SENSEX Index Options'!$B:$B,B$4)+SUMIFS('BSE - Other Index Options'!$M:$M,'BSE - Other Index Options'!$C:$C,$A55,'BSE - Other Index Options'!$B:$B,B$4)=0,"",SUMIFS('NSE - NIFTY Index Options'!$M:$M,'NSE - NIFTY Index Options'!$C:$C,$A55,'NSE - NIFTY Index Options'!$B:$B,B$4)+SUMIFS('NSE - Other Index Options'!$M:$M,'NSE - Other Index Options'!$C:$C,$A55,'NSE - Other Index Options'!$B:$B,B$4)+SUMIFS('BSE - SENSEX Index Options'!$M:$M,'BSE - SENSEX Index Options'!$C:$C,$A55,'BSE - SENSEX Index Options'!$B:$B,B$4)+SUMIFS('BSE - Other Index Options'!$M:$M,'BSE - Other Index Options'!$C:$C,$A55,'BSE - Other Index Options'!$B:$B,B$4))</f>
        <v/>
      </c>
      <c r="C55" s="26">
        <f>IF(SUMIFS('NSE - NIFTY Index Options'!$M:$M,'NSE - NIFTY Index Options'!$C:$C,$A55,'NSE - NIFTY Index Options'!$B:$B,C$4)+SUMIFS('NSE - Other Index Options'!$M:$M,'NSE - Other Index Options'!$C:$C,$A55,'NSE - Other Index Options'!$B:$B,C$4)+SUMIFS('BSE - SENSEX Index Options'!$M:$M,'BSE - SENSEX Index Options'!$C:$C,$A55,'BSE - SENSEX Index Options'!$B:$B,C$4)+SUMIFS('BSE - Other Index Options'!$M:$M,'BSE - Other Index Options'!$C:$C,$A55,'BSE - Other Index Options'!$B:$B,C$4)=0,"",SUMIFS('NSE - NIFTY Index Options'!$M:$M,'NSE - NIFTY Index Options'!$C:$C,$A55,'NSE - NIFTY Index Options'!$B:$B,C$4)+SUMIFS('NSE - Other Index Options'!$M:$M,'NSE - Other Index Options'!$C:$C,$A55,'NSE - Other Index Options'!$B:$B,C$4)+SUMIFS('BSE - SENSEX Index Options'!$M:$M,'BSE - SENSEX Index Options'!$C:$C,$A55,'BSE - SENSEX Index Options'!$B:$B,C$4)+SUMIFS('BSE - Other Index Options'!$M:$M,'BSE - Other Index Options'!$C:$C,$A55,'BSE - Other Index Options'!$B:$B,C$4))</f>
        <v/>
      </c>
      <c r="D55" s="26">
        <f>IF(SUMIFS('NSE - NIFTY Index Options'!$M:$M,'NSE - NIFTY Index Options'!$C:$C,$A55,'NSE - NIFTY Index Options'!$B:$B,D$4)+SUMIFS('NSE - Other Index Options'!$M:$M,'NSE - Other Index Options'!$C:$C,$A55,'NSE - Other Index Options'!$B:$B,D$4)+SUMIFS('BSE - SENSEX Index Options'!$M:$M,'BSE - SENSEX Index Options'!$C:$C,$A55,'BSE - SENSEX Index Options'!$B:$B,D$4)+SUMIFS('BSE - Other Index Options'!$M:$M,'BSE - Other Index Options'!$C:$C,$A55,'BSE - Other Index Options'!$B:$B,D$4)=0,"",SUMIFS('NSE - NIFTY Index Options'!$M:$M,'NSE - NIFTY Index Options'!$C:$C,$A55,'NSE - NIFTY Index Options'!$B:$B,D$4)+SUMIFS('NSE - Other Index Options'!$M:$M,'NSE - Other Index Options'!$C:$C,$A55,'NSE - Other Index Options'!$B:$B,D$4)+SUMIFS('BSE - SENSEX Index Options'!$M:$M,'BSE - SENSEX Index Options'!$C:$C,$A55,'BSE - SENSEX Index Options'!$B:$B,D$4)+SUMIFS('BSE - Other Index Options'!$M:$M,'BSE - Other Index Options'!$C:$C,$A55,'BSE - Other Index Options'!$B:$B,D$4))</f>
        <v/>
      </c>
      <c r="E55" s="26">
        <f>IF(SUMIFS('NSE - NIFTY Index Options'!$M:$M,'NSE - NIFTY Index Options'!$C:$C,$A55,'NSE - NIFTY Index Options'!$B:$B,E$4)+SUMIFS('NSE - Other Index Options'!$M:$M,'NSE - Other Index Options'!$C:$C,$A55,'NSE - Other Index Options'!$B:$B,E$4)+SUMIFS('BSE - SENSEX Index Options'!$M:$M,'BSE - SENSEX Index Options'!$C:$C,$A55,'BSE - SENSEX Index Options'!$B:$B,E$4)+SUMIFS('BSE - Other Index Options'!$M:$M,'BSE - Other Index Options'!$C:$C,$A55,'BSE - Other Index Options'!$B:$B,E$4)=0,"",SUMIFS('NSE - NIFTY Index Options'!$M:$M,'NSE - NIFTY Index Options'!$C:$C,$A55,'NSE - NIFTY Index Options'!$B:$B,E$4)+SUMIFS('NSE - Other Index Options'!$M:$M,'NSE - Other Index Options'!$C:$C,$A55,'NSE - Other Index Options'!$B:$B,E$4)+SUMIFS('BSE - SENSEX Index Options'!$M:$M,'BSE - SENSEX Index Options'!$C:$C,$A55,'BSE - SENSEX Index Options'!$B:$B,E$4)+SUMIFS('BSE - Other Index Options'!$M:$M,'BSE - Other Index Options'!$C:$C,$A55,'BSE - Other Index Options'!$B:$B,E$4))</f>
        <v/>
      </c>
      <c r="F55" s="26">
        <f>IF(SUMIFS('NSE - NIFTY Index Options'!$M:$M,'NSE - NIFTY Index Options'!$C:$C,$A55,'NSE - NIFTY Index Options'!$B:$B,F$4)+SUMIFS('NSE - Other Index Options'!$M:$M,'NSE - Other Index Options'!$C:$C,$A55,'NSE - Other Index Options'!$B:$B,F$4)+SUMIFS('BSE - SENSEX Index Options'!$M:$M,'BSE - SENSEX Index Options'!$C:$C,$A55,'BSE - SENSEX Index Options'!$B:$B,F$4)+SUMIFS('BSE - Other Index Options'!$M:$M,'BSE - Other Index Options'!$C:$C,$A55,'BSE - Other Index Options'!$B:$B,F$4)=0,"",SUMIFS('NSE - NIFTY Index Options'!$M:$M,'NSE - NIFTY Index Options'!$C:$C,$A55,'NSE - NIFTY Index Options'!$B:$B,F$4)+SUMIFS('NSE - Other Index Options'!$M:$M,'NSE - Other Index Options'!$C:$C,$A55,'NSE - Other Index Options'!$B:$B,F$4)+SUMIFS('BSE - SENSEX Index Options'!$M:$M,'BSE - SENSEX Index Options'!$C:$C,$A55,'BSE - SENSEX Index Options'!$B:$B,F$4)+SUMIFS('BSE - Other Index Options'!$M:$M,'BSE - Other Index Options'!$C:$C,$A55,'BSE - Other Index Options'!$B:$B,F$4))</f>
        <v/>
      </c>
      <c r="G55" s="26">
        <f>IF(SUMIFS('NSE - NIFTY Index Options'!$M:$M,'NSE - NIFTY Index Options'!$C:$C,$A55,'NSE - NIFTY Index Options'!$B:$B,G$4)+SUMIFS('NSE - Other Index Options'!$M:$M,'NSE - Other Index Options'!$C:$C,$A55,'NSE - Other Index Options'!$B:$B,G$4)+SUMIFS('BSE - SENSEX Index Options'!$M:$M,'BSE - SENSEX Index Options'!$C:$C,$A55,'BSE - SENSEX Index Options'!$B:$B,G$4)+SUMIFS('BSE - Other Index Options'!$M:$M,'BSE - Other Index Options'!$C:$C,$A55,'BSE - Other Index Options'!$B:$B,G$4)=0,"",SUMIFS('NSE - NIFTY Index Options'!$M:$M,'NSE - NIFTY Index Options'!$C:$C,$A55,'NSE - NIFTY Index Options'!$B:$B,G$4)+SUMIFS('NSE - Other Index Options'!$M:$M,'NSE - Other Index Options'!$C:$C,$A55,'NSE - Other Index Options'!$B:$B,G$4)+SUMIFS('BSE - SENSEX Index Options'!$M:$M,'BSE - SENSEX Index Options'!$C:$C,$A55,'BSE - SENSEX Index Options'!$B:$B,G$4)+SUMIFS('BSE - Other Index Options'!$M:$M,'BSE - Other Index Options'!$C:$C,$A55,'BSE - Other Index Options'!$B:$B,G$4))</f>
        <v/>
      </c>
      <c r="H55" s="26">
        <f>IF(SUM(B55:G55)=0,"",SUM(B55:G55))</f>
        <v/>
      </c>
    </row>
    <row r="56">
      <c r="A56" t="inlineStr">
        <is>
          <t>Week3-Jul-2026</t>
        </is>
      </c>
      <c r="B56" s="26">
        <f>IF(SUMIFS('NSE - NIFTY Index Options'!$M:$M,'NSE - NIFTY Index Options'!$C:$C,$A56,'NSE - NIFTY Index Options'!$B:$B,B$4)+SUMIFS('NSE - Other Index Options'!$M:$M,'NSE - Other Index Options'!$C:$C,$A56,'NSE - Other Index Options'!$B:$B,B$4)+SUMIFS('BSE - SENSEX Index Options'!$M:$M,'BSE - SENSEX Index Options'!$C:$C,$A56,'BSE - SENSEX Index Options'!$B:$B,B$4)+SUMIFS('BSE - Other Index Options'!$M:$M,'BSE - Other Index Options'!$C:$C,$A56,'BSE - Other Index Options'!$B:$B,B$4)=0,"",SUMIFS('NSE - NIFTY Index Options'!$M:$M,'NSE - NIFTY Index Options'!$C:$C,$A56,'NSE - NIFTY Index Options'!$B:$B,B$4)+SUMIFS('NSE - Other Index Options'!$M:$M,'NSE - Other Index Options'!$C:$C,$A56,'NSE - Other Index Options'!$B:$B,B$4)+SUMIFS('BSE - SENSEX Index Options'!$M:$M,'BSE - SENSEX Index Options'!$C:$C,$A56,'BSE - SENSEX Index Options'!$B:$B,B$4)+SUMIFS('BSE - Other Index Options'!$M:$M,'BSE - Other Index Options'!$C:$C,$A56,'BSE - Other Index Options'!$B:$B,B$4))</f>
        <v/>
      </c>
      <c r="C56" s="26">
        <f>IF(SUMIFS('NSE - NIFTY Index Options'!$M:$M,'NSE - NIFTY Index Options'!$C:$C,$A56,'NSE - NIFTY Index Options'!$B:$B,C$4)+SUMIFS('NSE - Other Index Options'!$M:$M,'NSE - Other Index Options'!$C:$C,$A56,'NSE - Other Index Options'!$B:$B,C$4)+SUMIFS('BSE - SENSEX Index Options'!$M:$M,'BSE - SENSEX Index Options'!$C:$C,$A56,'BSE - SENSEX Index Options'!$B:$B,C$4)+SUMIFS('BSE - Other Index Options'!$M:$M,'BSE - Other Index Options'!$C:$C,$A56,'BSE - Other Index Options'!$B:$B,C$4)=0,"",SUMIFS('NSE - NIFTY Index Options'!$M:$M,'NSE - NIFTY Index Options'!$C:$C,$A56,'NSE - NIFTY Index Options'!$B:$B,C$4)+SUMIFS('NSE - Other Index Options'!$M:$M,'NSE - Other Index Options'!$C:$C,$A56,'NSE - Other Index Options'!$B:$B,C$4)+SUMIFS('BSE - SENSEX Index Options'!$M:$M,'BSE - SENSEX Index Options'!$C:$C,$A56,'BSE - SENSEX Index Options'!$B:$B,C$4)+SUMIFS('BSE - Other Index Options'!$M:$M,'BSE - Other Index Options'!$C:$C,$A56,'BSE - Other Index Options'!$B:$B,C$4))</f>
        <v/>
      </c>
      <c r="D56" s="26">
        <f>IF(SUMIFS('NSE - NIFTY Index Options'!$M:$M,'NSE - NIFTY Index Options'!$C:$C,$A56,'NSE - NIFTY Index Options'!$B:$B,D$4)+SUMIFS('NSE - Other Index Options'!$M:$M,'NSE - Other Index Options'!$C:$C,$A56,'NSE - Other Index Options'!$B:$B,D$4)+SUMIFS('BSE - SENSEX Index Options'!$M:$M,'BSE - SENSEX Index Options'!$C:$C,$A56,'BSE - SENSEX Index Options'!$B:$B,D$4)+SUMIFS('BSE - Other Index Options'!$M:$M,'BSE - Other Index Options'!$C:$C,$A56,'BSE - Other Index Options'!$B:$B,D$4)=0,"",SUMIFS('NSE - NIFTY Index Options'!$M:$M,'NSE - NIFTY Index Options'!$C:$C,$A56,'NSE - NIFTY Index Options'!$B:$B,D$4)+SUMIFS('NSE - Other Index Options'!$M:$M,'NSE - Other Index Options'!$C:$C,$A56,'NSE - Other Index Options'!$B:$B,D$4)+SUMIFS('BSE - SENSEX Index Options'!$M:$M,'BSE - SENSEX Index Options'!$C:$C,$A56,'BSE - SENSEX Index Options'!$B:$B,D$4)+SUMIFS('BSE - Other Index Options'!$M:$M,'BSE - Other Index Options'!$C:$C,$A56,'BSE - Other Index Options'!$B:$B,D$4))</f>
        <v/>
      </c>
      <c r="E56" s="26">
        <f>IF(SUMIFS('NSE - NIFTY Index Options'!$M:$M,'NSE - NIFTY Index Options'!$C:$C,$A56,'NSE - NIFTY Index Options'!$B:$B,E$4)+SUMIFS('NSE - Other Index Options'!$M:$M,'NSE - Other Index Options'!$C:$C,$A56,'NSE - Other Index Options'!$B:$B,E$4)+SUMIFS('BSE - SENSEX Index Options'!$M:$M,'BSE - SENSEX Index Options'!$C:$C,$A56,'BSE - SENSEX Index Options'!$B:$B,E$4)+SUMIFS('BSE - Other Index Options'!$M:$M,'BSE - Other Index Options'!$C:$C,$A56,'BSE - Other Index Options'!$B:$B,E$4)=0,"",SUMIFS('NSE - NIFTY Index Options'!$M:$M,'NSE - NIFTY Index Options'!$C:$C,$A56,'NSE - NIFTY Index Options'!$B:$B,E$4)+SUMIFS('NSE - Other Index Options'!$M:$M,'NSE - Other Index Options'!$C:$C,$A56,'NSE - Other Index Options'!$B:$B,E$4)+SUMIFS('BSE - SENSEX Index Options'!$M:$M,'BSE - SENSEX Index Options'!$C:$C,$A56,'BSE - SENSEX Index Options'!$B:$B,E$4)+SUMIFS('BSE - Other Index Options'!$M:$M,'BSE - Other Index Options'!$C:$C,$A56,'BSE - Other Index Options'!$B:$B,E$4))</f>
        <v/>
      </c>
      <c r="F56" s="26">
        <f>IF(SUMIFS('NSE - NIFTY Index Options'!$M:$M,'NSE - NIFTY Index Options'!$C:$C,$A56,'NSE - NIFTY Index Options'!$B:$B,F$4)+SUMIFS('NSE - Other Index Options'!$M:$M,'NSE - Other Index Options'!$C:$C,$A56,'NSE - Other Index Options'!$B:$B,F$4)+SUMIFS('BSE - SENSEX Index Options'!$M:$M,'BSE - SENSEX Index Options'!$C:$C,$A56,'BSE - SENSEX Index Options'!$B:$B,F$4)+SUMIFS('BSE - Other Index Options'!$M:$M,'BSE - Other Index Options'!$C:$C,$A56,'BSE - Other Index Options'!$B:$B,F$4)=0,"",SUMIFS('NSE - NIFTY Index Options'!$M:$M,'NSE - NIFTY Index Options'!$C:$C,$A56,'NSE - NIFTY Index Options'!$B:$B,F$4)+SUMIFS('NSE - Other Index Options'!$M:$M,'NSE - Other Index Options'!$C:$C,$A56,'NSE - Other Index Options'!$B:$B,F$4)+SUMIFS('BSE - SENSEX Index Options'!$M:$M,'BSE - SENSEX Index Options'!$C:$C,$A56,'BSE - SENSEX Index Options'!$B:$B,F$4)+SUMIFS('BSE - Other Index Options'!$M:$M,'BSE - Other Index Options'!$C:$C,$A56,'BSE - Other Index Options'!$B:$B,F$4))</f>
        <v/>
      </c>
      <c r="G56" s="26">
        <f>IF(SUMIFS('NSE - NIFTY Index Options'!$M:$M,'NSE - NIFTY Index Options'!$C:$C,$A56,'NSE - NIFTY Index Options'!$B:$B,G$4)+SUMIFS('NSE - Other Index Options'!$M:$M,'NSE - Other Index Options'!$C:$C,$A56,'NSE - Other Index Options'!$B:$B,G$4)+SUMIFS('BSE - SENSEX Index Options'!$M:$M,'BSE - SENSEX Index Options'!$C:$C,$A56,'BSE - SENSEX Index Options'!$B:$B,G$4)+SUMIFS('BSE - Other Index Options'!$M:$M,'BSE - Other Index Options'!$C:$C,$A56,'BSE - Other Index Options'!$B:$B,G$4)=0,"",SUMIFS('NSE - NIFTY Index Options'!$M:$M,'NSE - NIFTY Index Options'!$C:$C,$A56,'NSE - NIFTY Index Options'!$B:$B,G$4)+SUMIFS('NSE - Other Index Options'!$M:$M,'NSE - Other Index Options'!$C:$C,$A56,'NSE - Other Index Options'!$B:$B,G$4)+SUMIFS('BSE - SENSEX Index Options'!$M:$M,'BSE - SENSEX Index Options'!$C:$C,$A56,'BSE - SENSEX Index Options'!$B:$B,G$4)+SUMIFS('BSE - Other Index Options'!$M:$M,'BSE - Other Index Options'!$C:$C,$A56,'BSE - Other Index Options'!$B:$B,G$4))</f>
        <v/>
      </c>
      <c r="H56" s="26">
        <f>IF(SUM(B56:G56)=0,"",SUM(B56:G56))</f>
        <v/>
      </c>
    </row>
    <row r="57">
      <c r="A57" t="inlineStr">
        <is>
          <t>Week4-Jul-2026</t>
        </is>
      </c>
      <c r="B57" s="26">
        <f>IF(SUMIFS('NSE - NIFTY Index Options'!$M:$M,'NSE - NIFTY Index Options'!$C:$C,$A57,'NSE - NIFTY Index Options'!$B:$B,B$4)+SUMIFS('NSE - Other Index Options'!$M:$M,'NSE - Other Index Options'!$C:$C,$A57,'NSE - Other Index Options'!$B:$B,B$4)+SUMIFS('BSE - SENSEX Index Options'!$M:$M,'BSE - SENSEX Index Options'!$C:$C,$A57,'BSE - SENSEX Index Options'!$B:$B,B$4)+SUMIFS('BSE - Other Index Options'!$M:$M,'BSE - Other Index Options'!$C:$C,$A57,'BSE - Other Index Options'!$B:$B,B$4)=0,"",SUMIFS('NSE - NIFTY Index Options'!$M:$M,'NSE - NIFTY Index Options'!$C:$C,$A57,'NSE - NIFTY Index Options'!$B:$B,B$4)+SUMIFS('NSE - Other Index Options'!$M:$M,'NSE - Other Index Options'!$C:$C,$A57,'NSE - Other Index Options'!$B:$B,B$4)+SUMIFS('BSE - SENSEX Index Options'!$M:$M,'BSE - SENSEX Index Options'!$C:$C,$A57,'BSE - SENSEX Index Options'!$B:$B,B$4)+SUMIFS('BSE - Other Index Options'!$M:$M,'BSE - Other Index Options'!$C:$C,$A57,'BSE - Other Index Options'!$B:$B,B$4))</f>
        <v/>
      </c>
      <c r="C57" s="26">
        <f>IF(SUMIFS('NSE - NIFTY Index Options'!$M:$M,'NSE - NIFTY Index Options'!$C:$C,$A57,'NSE - NIFTY Index Options'!$B:$B,C$4)+SUMIFS('NSE - Other Index Options'!$M:$M,'NSE - Other Index Options'!$C:$C,$A57,'NSE - Other Index Options'!$B:$B,C$4)+SUMIFS('BSE - SENSEX Index Options'!$M:$M,'BSE - SENSEX Index Options'!$C:$C,$A57,'BSE - SENSEX Index Options'!$B:$B,C$4)+SUMIFS('BSE - Other Index Options'!$M:$M,'BSE - Other Index Options'!$C:$C,$A57,'BSE - Other Index Options'!$B:$B,C$4)=0,"",SUMIFS('NSE - NIFTY Index Options'!$M:$M,'NSE - NIFTY Index Options'!$C:$C,$A57,'NSE - NIFTY Index Options'!$B:$B,C$4)+SUMIFS('NSE - Other Index Options'!$M:$M,'NSE - Other Index Options'!$C:$C,$A57,'NSE - Other Index Options'!$B:$B,C$4)+SUMIFS('BSE - SENSEX Index Options'!$M:$M,'BSE - SENSEX Index Options'!$C:$C,$A57,'BSE - SENSEX Index Options'!$B:$B,C$4)+SUMIFS('BSE - Other Index Options'!$M:$M,'BSE - Other Index Options'!$C:$C,$A57,'BSE - Other Index Options'!$B:$B,C$4))</f>
        <v/>
      </c>
      <c r="D57" s="26">
        <f>IF(SUMIFS('NSE - NIFTY Index Options'!$M:$M,'NSE - NIFTY Index Options'!$C:$C,$A57,'NSE - NIFTY Index Options'!$B:$B,D$4)+SUMIFS('NSE - Other Index Options'!$M:$M,'NSE - Other Index Options'!$C:$C,$A57,'NSE - Other Index Options'!$B:$B,D$4)+SUMIFS('BSE - SENSEX Index Options'!$M:$M,'BSE - SENSEX Index Options'!$C:$C,$A57,'BSE - SENSEX Index Options'!$B:$B,D$4)+SUMIFS('BSE - Other Index Options'!$M:$M,'BSE - Other Index Options'!$C:$C,$A57,'BSE - Other Index Options'!$B:$B,D$4)=0,"",SUMIFS('NSE - NIFTY Index Options'!$M:$M,'NSE - NIFTY Index Options'!$C:$C,$A57,'NSE - NIFTY Index Options'!$B:$B,D$4)+SUMIFS('NSE - Other Index Options'!$M:$M,'NSE - Other Index Options'!$C:$C,$A57,'NSE - Other Index Options'!$B:$B,D$4)+SUMIFS('BSE - SENSEX Index Options'!$M:$M,'BSE - SENSEX Index Options'!$C:$C,$A57,'BSE - SENSEX Index Options'!$B:$B,D$4)+SUMIFS('BSE - Other Index Options'!$M:$M,'BSE - Other Index Options'!$C:$C,$A57,'BSE - Other Index Options'!$B:$B,D$4))</f>
        <v/>
      </c>
      <c r="E57" s="26">
        <f>IF(SUMIFS('NSE - NIFTY Index Options'!$M:$M,'NSE - NIFTY Index Options'!$C:$C,$A57,'NSE - NIFTY Index Options'!$B:$B,E$4)+SUMIFS('NSE - Other Index Options'!$M:$M,'NSE - Other Index Options'!$C:$C,$A57,'NSE - Other Index Options'!$B:$B,E$4)+SUMIFS('BSE - SENSEX Index Options'!$M:$M,'BSE - SENSEX Index Options'!$C:$C,$A57,'BSE - SENSEX Index Options'!$B:$B,E$4)+SUMIFS('BSE - Other Index Options'!$M:$M,'BSE - Other Index Options'!$C:$C,$A57,'BSE - Other Index Options'!$B:$B,E$4)=0,"",SUMIFS('NSE - NIFTY Index Options'!$M:$M,'NSE - NIFTY Index Options'!$C:$C,$A57,'NSE - NIFTY Index Options'!$B:$B,E$4)+SUMIFS('NSE - Other Index Options'!$M:$M,'NSE - Other Index Options'!$C:$C,$A57,'NSE - Other Index Options'!$B:$B,E$4)+SUMIFS('BSE - SENSEX Index Options'!$M:$M,'BSE - SENSEX Index Options'!$C:$C,$A57,'BSE - SENSEX Index Options'!$B:$B,E$4)+SUMIFS('BSE - Other Index Options'!$M:$M,'BSE - Other Index Options'!$C:$C,$A57,'BSE - Other Index Options'!$B:$B,E$4))</f>
        <v/>
      </c>
      <c r="F57" s="26">
        <f>IF(SUMIFS('NSE - NIFTY Index Options'!$M:$M,'NSE - NIFTY Index Options'!$C:$C,$A57,'NSE - NIFTY Index Options'!$B:$B,F$4)+SUMIFS('NSE - Other Index Options'!$M:$M,'NSE - Other Index Options'!$C:$C,$A57,'NSE - Other Index Options'!$B:$B,F$4)+SUMIFS('BSE - SENSEX Index Options'!$M:$M,'BSE - SENSEX Index Options'!$C:$C,$A57,'BSE - SENSEX Index Options'!$B:$B,F$4)+SUMIFS('BSE - Other Index Options'!$M:$M,'BSE - Other Index Options'!$C:$C,$A57,'BSE - Other Index Options'!$B:$B,F$4)=0,"",SUMIFS('NSE - NIFTY Index Options'!$M:$M,'NSE - NIFTY Index Options'!$C:$C,$A57,'NSE - NIFTY Index Options'!$B:$B,F$4)+SUMIFS('NSE - Other Index Options'!$M:$M,'NSE - Other Index Options'!$C:$C,$A57,'NSE - Other Index Options'!$B:$B,F$4)+SUMIFS('BSE - SENSEX Index Options'!$M:$M,'BSE - SENSEX Index Options'!$C:$C,$A57,'BSE - SENSEX Index Options'!$B:$B,F$4)+SUMIFS('BSE - Other Index Options'!$M:$M,'BSE - Other Index Options'!$C:$C,$A57,'BSE - Other Index Options'!$B:$B,F$4))</f>
        <v/>
      </c>
      <c r="G57" s="26">
        <f>IF(SUMIFS('NSE - NIFTY Index Options'!$M:$M,'NSE - NIFTY Index Options'!$C:$C,$A57,'NSE - NIFTY Index Options'!$B:$B,G$4)+SUMIFS('NSE - Other Index Options'!$M:$M,'NSE - Other Index Options'!$C:$C,$A57,'NSE - Other Index Options'!$B:$B,G$4)+SUMIFS('BSE - SENSEX Index Options'!$M:$M,'BSE - SENSEX Index Options'!$C:$C,$A57,'BSE - SENSEX Index Options'!$B:$B,G$4)+SUMIFS('BSE - Other Index Options'!$M:$M,'BSE - Other Index Options'!$C:$C,$A57,'BSE - Other Index Options'!$B:$B,G$4)=0,"",SUMIFS('NSE - NIFTY Index Options'!$M:$M,'NSE - NIFTY Index Options'!$C:$C,$A57,'NSE - NIFTY Index Options'!$B:$B,G$4)+SUMIFS('NSE - Other Index Options'!$M:$M,'NSE - Other Index Options'!$C:$C,$A57,'NSE - Other Index Options'!$B:$B,G$4)+SUMIFS('BSE - SENSEX Index Options'!$M:$M,'BSE - SENSEX Index Options'!$C:$C,$A57,'BSE - SENSEX Index Options'!$B:$B,G$4)+SUMIFS('BSE - Other Index Options'!$M:$M,'BSE - Other Index Options'!$C:$C,$A57,'BSE - Other Index Options'!$B:$B,G$4))</f>
        <v/>
      </c>
      <c r="H57" s="26">
        <f>IF(SUM(B57:G57)=0,"",SUM(B57:G57))</f>
        <v/>
      </c>
    </row>
    <row r="58">
      <c r="A58" t="inlineStr">
        <is>
          <t>Week5-Jul-2026</t>
        </is>
      </c>
      <c r="B58" s="26">
        <f>IF(SUMIFS('NSE - NIFTY Index Options'!$M:$M,'NSE - NIFTY Index Options'!$C:$C,$A58,'NSE - NIFTY Index Options'!$B:$B,B$4)+SUMIFS('NSE - Other Index Options'!$M:$M,'NSE - Other Index Options'!$C:$C,$A58,'NSE - Other Index Options'!$B:$B,B$4)+SUMIFS('BSE - SENSEX Index Options'!$M:$M,'BSE - SENSEX Index Options'!$C:$C,$A58,'BSE - SENSEX Index Options'!$B:$B,B$4)+SUMIFS('BSE - Other Index Options'!$M:$M,'BSE - Other Index Options'!$C:$C,$A58,'BSE - Other Index Options'!$B:$B,B$4)=0,"",SUMIFS('NSE - NIFTY Index Options'!$M:$M,'NSE - NIFTY Index Options'!$C:$C,$A58,'NSE - NIFTY Index Options'!$B:$B,B$4)+SUMIFS('NSE - Other Index Options'!$M:$M,'NSE - Other Index Options'!$C:$C,$A58,'NSE - Other Index Options'!$B:$B,B$4)+SUMIFS('BSE - SENSEX Index Options'!$M:$M,'BSE - SENSEX Index Options'!$C:$C,$A58,'BSE - SENSEX Index Options'!$B:$B,B$4)+SUMIFS('BSE - Other Index Options'!$M:$M,'BSE - Other Index Options'!$C:$C,$A58,'BSE - Other Index Options'!$B:$B,B$4))</f>
        <v/>
      </c>
      <c r="C58" s="26">
        <f>IF(SUMIFS('NSE - NIFTY Index Options'!$M:$M,'NSE - NIFTY Index Options'!$C:$C,$A58,'NSE - NIFTY Index Options'!$B:$B,C$4)+SUMIFS('NSE - Other Index Options'!$M:$M,'NSE - Other Index Options'!$C:$C,$A58,'NSE - Other Index Options'!$B:$B,C$4)+SUMIFS('BSE - SENSEX Index Options'!$M:$M,'BSE - SENSEX Index Options'!$C:$C,$A58,'BSE - SENSEX Index Options'!$B:$B,C$4)+SUMIFS('BSE - Other Index Options'!$M:$M,'BSE - Other Index Options'!$C:$C,$A58,'BSE - Other Index Options'!$B:$B,C$4)=0,"",SUMIFS('NSE - NIFTY Index Options'!$M:$M,'NSE - NIFTY Index Options'!$C:$C,$A58,'NSE - NIFTY Index Options'!$B:$B,C$4)+SUMIFS('NSE - Other Index Options'!$M:$M,'NSE - Other Index Options'!$C:$C,$A58,'NSE - Other Index Options'!$B:$B,C$4)+SUMIFS('BSE - SENSEX Index Options'!$M:$M,'BSE - SENSEX Index Options'!$C:$C,$A58,'BSE - SENSEX Index Options'!$B:$B,C$4)+SUMIFS('BSE - Other Index Options'!$M:$M,'BSE - Other Index Options'!$C:$C,$A58,'BSE - Other Index Options'!$B:$B,C$4))</f>
        <v/>
      </c>
      <c r="D58" s="26">
        <f>IF(SUMIFS('NSE - NIFTY Index Options'!$M:$M,'NSE - NIFTY Index Options'!$C:$C,$A58,'NSE - NIFTY Index Options'!$B:$B,D$4)+SUMIFS('NSE - Other Index Options'!$M:$M,'NSE - Other Index Options'!$C:$C,$A58,'NSE - Other Index Options'!$B:$B,D$4)+SUMIFS('BSE - SENSEX Index Options'!$M:$M,'BSE - SENSEX Index Options'!$C:$C,$A58,'BSE - SENSEX Index Options'!$B:$B,D$4)+SUMIFS('BSE - Other Index Options'!$M:$M,'BSE - Other Index Options'!$C:$C,$A58,'BSE - Other Index Options'!$B:$B,D$4)=0,"",SUMIFS('NSE - NIFTY Index Options'!$M:$M,'NSE - NIFTY Index Options'!$C:$C,$A58,'NSE - NIFTY Index Options'!$B:$B,D$4)+SUMIFS('NSE - Other Index Options'!$M:$M,'NSE - Other Index Options'!$C:$C,$A58,'NSE - Other Index Options'!$B:$B,D$4)+SUMIFS('BSE - SENSEX Index Options'!$M:$M,'BSE - SENSEX Index Options'!$C:$C,$A58,'BSE - SENSEX Index Options'!$B:$B,D$4)+SUMIFS('BSE - Other Index Options'!$M:$M,'BSE - Other Index Options'!$C:$C,$A58,'BSE - Other Index Options'!$B:$B,D$4))</f>
        <v/>
      </c>
      <c r="E58" s="26">
        <f>IF(SUMIFS('NSE - NIFTY Index Options'!$M:$M,'NSE - NIFTY Index Options'!$C:$C,$A58,'NSE - NIFTY Index Options'!$B:$B,E$4)+SUMIFS('NSE - Other Index Options'!$M:$M,'NSE - Other Index Options'!$C:$C,$A58,'NSE - Other Index Options'!$B:$B,E$4)+SUMIFS('BSE - SENSEX Index Options'!$M:$M,'BSE - SENSEX Index Options'!$C:$C,$A58,'BSE - SENSEX Index Options'!$B:$B,E$4)+SUMIFS('BSE - Other Index Options'!$M:$M,'BSE - Other Index Options'!$C:$C,$A58,'BSE - Other Index Options'!$B:$B,E$4)=0,"",SUMIFS('NSE - NIFTY Index Options'!$M:$M,'NSE - NIFTY Index Options'!$C:$C,$A58,'NSE - NIFTY Index Options'!$B:$B,E$4)+SUMIFS('NSE - Other Index Options'!$M:$M,'NSE - Other Index Options'!$C:$C,$A58,'NSE - Other Index Options'!$B:$B,E$4)+SUMIFS('BSE - SENSEX Index Options'!$M:$M,'BSE - SENSEX Index Options'!$C:$C,$A58,'BSE - SENSEX Index Options'!$B:$B,E$4)+SUMIFS('BSE - Other Index Options'!$M:$M,'BSE - Other Index Options'!$C:$C,$A58,'BSE - Other Index Options'!$B:$B,E$4))</f>
        <v/>
      </c>
      <c r="F58" s="26">
        <f>IF(SUMIFS('NSE - NIFTY Index Options'!$M:$M,'NSE - NIFTY Index Options'!$C:$C,$A58,'NSE - NIFTY Index Options'!$B:$B,F$4)+SUMIFS('NSE - Other Index Options'!$M:$M,'NSE - Other Index Options'!$C:$C,$A58,'NSE - Other Index Options'!$B:$B,F$4)+SUMIFS('BSE - SENSEX Index Options'!$M:$M,'BSE - SENSEX Index Options'!$C:$C,$A58,'BSE - SENSEX Index Options'!$B:$B,F$4)+SUMIFS('BSE - Other Index Options'!$M:$M,'BSE - Other Index Options'!$C:$C,$A58,'BSE - Other Index Options'!$B:$B,F$4)=0,"",SUMIFS('NSE - NIFTY Index Options'!$M:$M,'NSE - NIFTY Index Options'!$C:$C,$A58,'NSE - NIFTY Index Options'!$B:$B,F$4)+SUMIFS('NSE - Other Index Options'!$M:$M,'NSE - Other Index Options'!$C:$C,$A58,'NSE - Other Index Options'!$B:$B,F$4)+SUMIFS('BSE - SENSEX Index Options'!$M:$M,'BSE - SENSEX Index Options'!$C:$C,$A58,'BSE - SENSEX Index Options'!$B:$B,F$4)+SUMIFS('BSE - Other Index Options'!$M:$M,'BSE - Other Index Options'!$C:$C,$A58,'BSE - Other Index Options'!$B:$B,F$4))</f>
        <v/>
      </c>
      <c r="G58" s="26">
        <f>IF(SUMIFS('NSE - NIFTY Index Options'!$M:$M,'NSE - NIFTY Index Options'!$C:$C,$A58,'NSE - NIFTY Index Options'!$B:$B,G$4)+SUMIFS('NSE - Other Index Options'!$M:$M,'NSE - Other Index Options'!$C:$C,$A58,'NSE - Other Index Options'!$B:$B,G$4)+SUMIFS('BSE - SENSEX Index Options'!$M:$M,'BSE - SENSEX Index Options'!$C:$C,$A58,'BSE - SENSEX Index Options'!$B:$B,G$4)+SUMIFS('BSE - Other Index Options'!$M:$M,'BSE - Other Index Options'!$C:$C,$A58,'BSE - Other Index Options'!$B:$B,G$4)=0,"",SUMIFS('NSE - NIFTY Index Options'!$M:$M,'NSE - NIFTY Index Options'!$C:$C,$A58,'NSE - NIFTY Index Options'!$B:$B,G$4)+SUMIFS('NSE - Other Index Options'!$M:$M,'NSE - Other Index Options'!$C:$C,$A58,'NSE - Other Index Options'!$B:$B,G$4)+SUMIFS('BSE - SENSEX Index Options'!$M:$M,'BSE - SENSEX Index Options'!$C:$C,$A58,'BSE - SENSEX Index Options'!$B:$B,G$4)+SUMIFS('BSE - Other Index Options'!$M:$M,'BSE - Other Index Options'!$C:$C,$A58,'BSE - Other Index Options'!$B:$B,G$4))</f>
        <v/>
      </c>
      <c r="H58" s="26">
        <f>IF(SUM(B58:G58)=0,"",SUM(B58:G58))</f>
        <v/>
      </c>
    </row>
    <row r="59">
      <c r="A59" t="inlineStr">
        <is>
          <t>Week1-Aug-2026</t>
        </is>
      </c>
      <c r="B59" s="26">
        <f>IF(SUMIFS('NSE - NIFTY Index Options'!$M:$M,'NSE - NIFTY Index Options'!$C:$C,$A59,'NSE - NIFTY Index Options'!$B:$B,B$4)+SUMIFS('NSE - Other Index Options'!$M:$M,'NSE - Other Index Options'!$C:$C,$A59,'NSE - Other Index Options'!$B:$B,B$4)+SUMIFS('BSE - SENSEX Index Options'!$M:$M,'BSE - SENSEX Index Options'!$C:$C,$A59,'BSE - SENSEX Index Options'!$B:$B,B$4)+SUMIFS('BSE - Other Index Options'!$M:$M,'BSE - Other Index Options'!$C:$C,$A59,'BSE - Other Index Options'!$B:$B,B$4)=0,"",SUMIFS('NSE - NIFTY Index Options'!$M:$M,'NSE - NIFTY Index Options'!$C:$C,$A59,'NSE - NIFTY Index Options'!$B:$B,B$4)+SUMIFS('NSE - Other Index Options'!$M:$M,'NSE - Other Index Options'!$C:$C,$A59,'NSE - Other Index Options'!$B:$B,B$4)+SUMIFS('BSE - SENSEX Index Options'!$M:$M,'BSE - SENSEX Index Options'!$C:$C,$A59,'BSE - SENSEX Index Options'!$B:$B,B$4)+SUMIFS('BSE - Other Index Options'!$M:$M,'BSE - Other Index Options'!$C:$C,$A59,'BSE - Other Index Options'!$B:$B,B$4))</f>
        <v/>
      </c>
      <c r="C59" s="26">
        <f>IF(SUMIFS('NSE - NIFTY Index Options'!$M:$M,'NSE - NIFTY Index Options'!$C:$C,$A59,'NSE - NIFTY Index Options'!$B:$B,C$4)+SUMIFS('NSE - Other Index Options'!$M:$M,'NSE - Other Index Options'!$C:$C,$A59,'NSE - Other Index Options'!$B:$B,C$4)+SUMIFS('BSE - SENSEX Index Options'!$M:$M,'BSE - SENSEX Index Options'!$C:$C,$A59,'BSE - SENSEX Index Options'!$B:$B,C$4)+SUMIFS('BSE - Other Index Options'!$M:$M,'BSE - Other Index Options'!$C:$C,$A59,'BSE - Other Index Options'!$B:$B,C$4)=0,"",SUMIFS('NSE - NIFTY Index Options'!$M:$M,'NSE - NIFTY Index Options'!$C:$C,$A59,'NSE - NIFTY Index Options'!$B:$B,C$4)+SUMIFS('NSE - Other Index Options'!$M:$M,'NSE - Other Index Options'!$C:$C,$A59,'NSE - Other Index Options'!$B:$B,C$4)+SUMIFS('BSE - SENSEX Index Options'!$M:$M,'BSE - SENSEX Index Options'!$C:$C,$A59,'BSE - SENSEX Index Options'!$B:$B,C$4)+SUMIFS('BSE - Other Index Options'!$M:$M,'BSE - Other Index Options'!$C:$C,$A59,'BSE - Other Index Options'!$B:$B,C$4))</f>
        <v/>
      </c>
      <c r="D59" s="26">
        <f>IF(SUMIFS('NSE - NIFTY Index Options'!$M:$M,'NSE - NIFTY Index Options'!$C:$C,$A59,'NSE - NIFTY Index Options'!$B:$B,D$4)+SUMIFS('NSE - Other Index Options'!$M:$M,'NSE - Other Index Options'!$C:$C,$A59,'NSE - Other Index Options'!$B:$B,D$4)+SUMIFS('BSE - SENSEX Index Options'!$M:$M,'BSE - SENSEX Index Options'!$C:$C,$A59,'BSE - SENSEX Index Options'!$B:$B,D$4)+SUMIFS('BSE - Other Index Options'!$M:$M,'BSE - Other Index Options'!$C:$C,$A59,'BSE - Other Index Options'!$B:$B,D$4)=0,"",SUMIFS('NSE - NIFTY Index Options'!$M:$M,'NSE - NIFTY Index Options'!$C:$C,$A59,'NSE - NIFTY Index Options'!$B:$B,D$4)+SUMIFS('NSE - Other Index Options'!$M:$M,'NSE - Other Index Options'!$C:$C,$A59,'NSE - Other Index Options'!$B:$B,D$4)+SUMIFS('BSE - SENSEX Index Options'!$M:$M,'BSE - SENSEX Index Options'!$C:$C,$A59,'BSE - SENSEX Index Options'!$B:$B,D$4)+SUMIFS('BSE - Other Index Options'!$M:$M,'BSE - Other Index Options'!$C:$C,$A59,'BSE - Other Index Options'!$B:$B,D$4))</f>
        <v/>
      </c>
      <c r="E59" s="26">
        <f>IF(SUMIFS('NSE - NIFTY Index Options'!$M:$M,'NSE - NIFTY Index Options'!$C:$C,$A59,'NSE - NIFTY Index Options'!$B:$B,E$4)+SUMIFS('NSE - Other Index Options'!$M:$M,'NSE - Other Index Options'!$C:$C,$A59,'NSE - Other Index Options'!$B:$B,E$4)+SUMIFS('BSE - SENSEX Index Options'!$M:$M,'BSE - SENSEX Index Options'!$C:$C,$A59,'BSE - SENSEX Index Options'!$B:$B,E$4)+SUMIFS('BSE - Other Index Options'!$M:$M,'BSE - Other Index Options'!$C:$C,$A59,'BSE - Other Index Options'!$B:$B,E$4)=0,"",SUMIFS('NSE - NIFTY Index Options'!$M:$M,'NSE - NIFTY Index Options'!$C:$C,$A59,'NSE - NIFTY Index Options'!$B:$B,E$4)+SUMIFS('NSE - Other Index Options'!$M:$M,'NSE - Other Index Options'!$C:$C,$A59,'NSE - Other Index Options'!$B:$B,E$4)+SUMIFS('BSE - SENSEX Index Options'!$M:$M,'BSE - SENSEX Index Options'!$C:$C,$A59,'BSE - SENSEX Index Options'!$B:$B,E$4)+SUMIFS('BSE - Other Index Options'!$M:$M,'BSE - Other Index Options'!$C:$C,$A59,'BSE - Other Index Options'!$B:$B,E$4))</f>
        <v/>
      </c>
      <c r="F59" s="26">
        <f>IF(SUMIFS('NSE - NIFTY Index Options'!$M:$M,'NSE - NIFTY Index Options'!$C:$C,$A59,'NSE - NIFTY Index Options'!$B:$B,F$4)+SUMIFS('NSE - Other Index Options'!$M:$M,'NSE - Other Index Options'!$C:$C,$A59,'NSE - Other Index Options'!$B:$B,F$4)+SUMIFS('BSE - SENSEX Index Options'!$M:$M,'BSE - SENSEX Index Options'!$C:$C,$A59,'BSE - SENSEX Index Options'!$B:$B,F$4)+SUMIFS('BSE - Other Index Options'!$M:$M,'BSE - Other Index Options'!$C:$C,$A59,'BSE - Other Index Options'!$B:$B,F$4)=0,"",SUMIFS('NSE - NIFTY Index Options'!$M:$M,'NSE - NIFTY Index Options'!$C:$C,$A59,'NSE - NIFTY Index Options'!$B:$B,F$4)+SUMIFS('NSE - Other Index Options'!$M:$M,'NSE - Other Index Options'!$C:$C,$A59,'NSE - Other Index Options'!$B:$B,F$4)+SUMIFS('BSE - SENSEX Index Options'!$M:$M,'BSE - SENSEX Index Options'!$C:$C,$A59,'BSE - SENSEX Index Options'!$B:$B,F$4)+SUMIFS('BSE - Other Index Options'!$M:$M,'BSE - Other Index Options'!$C:$C,$A59,'BSE - Other Index Options'!$B:$B,F$4))</f>
        <v/>
      </c>
      <c r="G59" s="26">
        <f>IF(SUMIFS('NSE - NIFTY Index Options'!$M:$M,'NSE - NIFTY Index Options'!$C:$C,$A59,'NSE - NIFTY Index Options'!$B:$B,G$4)+SUMIFS('NSE - Other Index Options'!$M:$M,'NSE - Other Index Options'!$C:$C,$A59,'NSE - Other Index Options'!$B:$B,G$4)+SUMIFS('BSE - SENSEX Index Options'!$M:$M,'BSE - SENSEX Index Options'!$C:$C,$A59,'BSE - SENSEX Index Options'!$B:$B,G$4)+SUMIFS('BSE - Other Index Options'!$M:$M,'BSE - Other Index Options'!$C:$C,$A59,'BSE - Other Index Options'!$B:$B,G$4)=0,"",SUMIFS('NSE - NIFTY Index Options'!$M:$M,'NSE - NIFTY Index Options'!$C:$C,$A59,'NSE - NIFTY Index Options'!$B:$B,G$4)+SUMIFS('NSE - Other Index Options'!$M:$M,'NSE - Other Index Options'!$C:$C,$A59,'NSE - Other Index Options'!$B:$B,G$4)+SUMIFS('BSE - SENSEX Index Options'!$M:$M,'BSE - SENSEX Index Options'!$C:$C,$A59,'BSE - SENSEX Index Options'!$B:$B,G$4)+SUMIFS('BSE - Other Index Options'!$M:$M,'BSE - Other Index Options'!$C:$C,$A59,'BSE - Other Index Options'!$B:$B,G$4))</f>
        <v/>
      </c>
      <c r="H59" s="26">
        <f>IF(SUM(B59:G59)=0,"",SUM(B59:G59))</f>
        <v/>
      </c>
    </row>
    <row r="60" hidden="1" outlineLevel="1">
      <c r="A60" t="inlineStr">
        <is>
          <t>Week2-Aug-2026</t>
        </is>
      </c>
      <c r="B60" s="26">
        <f>IF(SUMIFS('NSE - NIFTY Index Options'!$M:$M,'NSE - NIFTY Index Options'!$C:$C,$A60,'NSE - NIFTY Index Options'!$B:$B,B$4)+SUMIFS('NSE - Other Index Options'!$M:$M,'NSE - Other Index Options'!$C:$C,$A60,'NSE - Other Index Options'!$B:$B,B$4)+SUMIFS('BSE - SENSEX Index Options'!$M:$M,'BSE - SENSEX Index Options'!$C:$C,$A60,'BSE - SENSEX Index Options'!$B:$B,B$4)+SUMIFS('BSE - Other Index Options'!$M:$M,'BSE - Other Index Options'!$C:$C,$A60,'BSE - Other Index Options'!$B:$B,B$4)=0,"",SUMIFS('NSE - NIFTY Index Options'!$M:$M,'NSE - NIFTY Index Options'!$C:$C,$A60,'NSE - NIFTY Index Options'!$B:$B,B$4)+SUMIFS('NSE - Other Index Options'!$M:$M,'NSE - Other Index Options'!$C:$C,$A60,'NSE - Other Index Options'!$B:$B,B$4)+SUMIFS('BSE - SENSEX Index Options'!$M:$M,'BSE - SENSEX Index Options'!$C:$C,$A60,'BSE - SENSEX Index Options'!$B:$B,B$4)+SUMIFS('BSE - Other Index Options'!$M:$M,'BSE - Other Index Options'!$C:$C,$A60,'BSE - Other Index Options'!$B:$B,B$4))</f>
        <v/>
      </c>
      <c r="C60" s="26">
        <f>IF(SUMIFS('NSE - NIFTY Index Options'!$M:$M,'NSE - NIFTY Index Options'!$C:$C,$A60,'NSE - NIFTY Index Options'!$B:$B,C$4)+SUMIFS('NSE - Other Index Options'!$M:$M,'NSE - Other Index Options'!$C:$C,$A60,'NSE - Other Index Options'!$B:$B,C$4)+SUMIFS('BSE - SENSEX Index Options'!$M:$M,'BSE - SENSEX Index Options'!$C:$C,$A60,'BSE - SENSEX Index Options'!$B:$B,C$4)+SUMIFS('BSE - Other Index Options'!$M:$M,'BSE - Other Index Options'!$C:$C,$A60,'BSE - Other Index Options'!$B:$B,C$4)=0,"",SUMIFS('NSE - NIFTY Index Options'!$M:$M,'NSE - NIFTY Index Options'!$C:$C,$A60,'NSE - NIFTY Index Options'!$B:$B,C$4)+SUMIFS('NSE - Other Index Options'!$M:$M,'NSE - Other Index Options'!$C:$C,$A60,'NSE - Other Index Options'!$B:$B,C$4)+SUMIFS('BSE - SENSEX Index Options'!$M:$M,'BSE - SENSEX Index Options'!$C:$C,$A60,'BSE - SENSEX Index Options'!$B:$B,C$4)+SUMIFS('BSE - Other Index Options'!$M:$M,'BSE - Other Index Options'!$C:$C,$A60,'BSE - Other Index Options'!$B:$B,C$4))</f>
        <v/>
      </c>
      <c r="D60" s="26">
        <f>IF(SUMIFS('NSE - NIFTY Index Options'!$M:$M,'NSE - NIFTY Index Options'!$C:$C,$A60,'NSE - NIFTY Index Options'!$B:$B,D$4)+SUMIFS('NSE - Other Index Options'!$M:$M,'NSE - Other Index Options'!$C:$C,$A60,'NSE - Other Index Options'!$B:$B,D$4)+SUMIFS('BSE - SENSEX Index Options'!$M:$M,'BSE - SENSEX Index Options'!$C:$C,$A60,'BSE - SENSEX Index Options'!$B:$B,D$4)+SUMIFS('BSE - Other Index Options'!$M:$M,'BSE - Other Index Options'!$C:$C,$A60,'BSE - Other Index Options'!$B:$B,D$4)=0,"",SUMIFS('NSE - NIFTY Index Options'!$M:$M,'NSE - NIFTY Index Options'!$C:$C,$A60,'NSE - NIFTY Index Options'!$B:$B,D$4)+SUMIFS('NSE - Other Index Options'!$M:$M,'NSE - Other Index Options'!$C:$C,$A60,'NSE - Other Index Options'!$B:$B,D$4)+SUMIFS('BSE - SENSEX Index Options'!$M:$M,'BSE - SENSEX Index Options'!$C:$C,$A60,'BSE - SENSEX Index Options'!$B:$B,D$4)+SUMIFS('BSE - Other Index Options'!$M:$M,'BSE - Other Index Options'!$C:$C,$A60,'BSE - Other Index Options'!$B:$B,D$4))</f>
        <v/>
      </c>
      <c r="E60" s="26">
        <f>IF(SUMIFS('NSE - NIFTY Index Options'!$M:$M,'NSE - NIFTY Index Options'!$C:$C,$A60,'NSE - NIFTY Index Options'!$B:$B,E$4)+SUMIFS('NSE - Other Index Options'!$M:$M,'NSE - Other Index Options'!$C:$C,$A60,'NSE - Other Index Options'!$B:$B,E$4)+SUMIFS('BSE - SENSEX Index Options'!$M:$M,'BSE - SENSEX Index Options'!$C:$C,$A60,'BSE - SENSEX Index Options'!$B:$B,E$4)+SUMIFS('BSE - Other Index Options'!$M:$M,'BSE - Other Index Options'!$C:$C,$A60,'BSE - Other Index Options'!$B:$B,E$4)=0,"",SUMIFS('NSE - NIFTY Index Options'!$M:$M,'NSE - NIFTY Index Options'!$C:$C,$A60,'NSE - NIFTY Index Options'!$B:$B,E$4)+SUMIFS('NSE - Other Index Options'!$M:$M,'NSE - Other Index Options'!$C:$C,$A60,'NSE - Other Index Options'!$B:$B,E$4)+SUMIFS('BSE - SENSEX Index Options'!$M:$M,'BSE - SENSEX Index Options'!$C:$C,$A60,'BSE - SENSEX Index Options'!$B:$B,E$4)+SUMIFS('BSE - Other Index Options'!$M:$M,'BSE - Other Index Options'!$C:$C,$A60,'BSE - Other Index Options'!$B:$B,E$4))</f>
        <v/>
      </c>
      <c r="F60" s="26">
        <f>IF(SUMIFS('NSE - NIFTY Index Options'!$M:$M,'NSE - NIFTY Index Options'!$C:$C,$A60,'NSE - NIFTY Index Options'!$B:$B,F$4)+SUMIFS('NSE - Other Index Options'!$M:$M,'NSE - Other Index Options'!$C:$C,$A60,'NSE - Other Index Options'!$B:$B,F$4)+SUMIFS('BSE - SENSEX Index Options'!$M:$M,'BSE - SENSEX Index Options'!$C:$C,$A60,'BSE - SENSEX Index Options'!$B:$B,F$4)+SUMIFS('BSE - Other Index Options'!$M:$M,'BSE - Other Index Options'!$C:$C,$A60,'BSE - Other Index Options'!$B:$B,F$4)=0,"",SUMIFS('NSE - NIFTY Index Options'!$M:$M,'NSE - NIFTY Index Options'!$C:$C,$A60,'NSE - NIFTY Index Options'!$B:$B,F$4)+SUMIFS('NSE - Other Index Options'!$M:$M,'NSE - Other Index Options'!$C:$C,$A60,'NSE - Other Index Options'!$B:$B,F$4)+SUMIFS('BSE - SENSEX Index Options'!$M:$M,'BSE - SENSEX Index Options'!$C:$C,$A60,'BSE - SENSEX Index Options'!$B:$B,F$4)+SUMIFS('BSE - Other Index Options'!$M:$M,'BSE - Other Index Options'!$C:$C,$A60,'BSE - Other Index Options'!$B:$B,F$4))</f>
        <v/>
      </c>
      <c r="G60" s="26">
        <f>IF(SUMIFS('NSE - NIFTY Index Options'!$M:$M,'NSE - NIFTY Index Options'!$C:$C,$A60,'NSE - NIFTY Index Options'!$B:$B,G$4)+SUMIFS('NSE - Other Index Options'!$M:$M,'NSE - Other Index Options'!$C:$C,$A60,'NSE - Other Index Options'!$B:$B,G$4)+SUMIFS('BSE - SENSEX Index Options'!$M:$M,'BSE - SENSEX Index Options'!$C:$C,$A60,'BSE - SENSEX Index Options'!$B:$B,G$4)+SUMIFS('BSE - Other Index Options'!$M:$M,'BSE - Other Index Options'!$C:$C,$A60,'BSE - Other Index Options'!$B:$B,G$4)=0,"",SUMIFS('NSE - NIFTY Index Options'!$M:$M,'NSE - NIFTY Index Options'!$C:$C,$A60,'NSE - NIFTY Index Options'!$B:$B,G$4)+SUMIFS('NSE - Other Index Options'!$M:$M,'NSE - Other Index Options'!$C:$C,$A60,'NSE - Other Index Options'!$B:$B,G$4)+SUMIFS('BSE - SENSEX Index Options'!$M:$M,'BSE - SENSEX Index Options'!$C:$C,$A60,'BSE - SENSEX Index Options'!$B:$B,G$4)+SUMIFS('BSE - Other Index Options'!$M:$M,'BSE - Other Index Options'!$C:$C,$A60,'BSE - Other Index Options'!$B:$B,G$4))</f>
        <v/>
      </c>
      <c r="H60" s="26">
        <f>IF(SUM(B60:G60)=0,"",SUM(B60:G60))</f>
        <v/>
      </c>
    </row>
    <row r="61" hidden="1" outlineLevel="1">
      <c r="A61" t="inlineStr">
        <is>
          <t>Week3-Aug-2026</t>
        </is>
      </c>
      <c r="B61" s="26">
        <f>IF(SUMIFS('NSE - NIFTY Index Options'!$M:$M,'NSE - NIFTY Index Options'!$C:$C,$A61,'NSE - NIFTY Index Options'!$B:$B,B$4)+SUMIFS('NSE - Other Index Options'!$M:$M,'NSE - Other Index Options'!$C:$C,$A61,'NSE - Other Index Options'!$B:$B,B$4)+SUMIFS('BSE - SENSEX Index Options'!$M:$M,'BSE - SENSEX Index Options'!$C:$C,$A61,'BSE - SENSEX Index Options'!$B:$B,B$4)+SUMIFS('BSE - Other Index Options'!$M:$M,'BSE - Other Index Options'!$C:$C,$A61,'BSE - Other Index Options'!$B:$B,B$4)=0,"",SUMIFS('NSE - NIFTY Index Options'!$M:$M,'NSE - NIFTY Index Options'!$C:$C,$A61,'NSE - NIFTY Index Options'!$B:$B,B$4)+SUMIFS('NSE - Other Index Options'!$M:$M,'NSE - Other Index Options'!$C:$C,$A61,'NSE - Other Index Options'!$B:$B,B$4)+SUMIFS('BSE - SENSEX Index Options'!$M:$M,'BSE - SENSEX Index Options'!$C:$C,$A61,'BSE - SENSEX Index Options'!$B:$B,B$4)+SUMIFS('BSE - Other Index Options'!$M:$M,'BSE - Other Index Options'!$C:$C,$A61,'BSE - Other Index Options'!$B:$B,B$4))</f>
        <v/>
      </c>
      <c r="C61" s="26">
        <f>IF(SUMIFS('NSE - NIFTY Index Options'!$M:$M,'NSE - NIFTY Index Options'!$C:$C,$A61,'NSE - NIFTY Index Options'!$B:$B,C$4)+SUMIFS('NSE - Other Index Options'!$M:$M,'NSE - Other Index Options'!$C:$C,$A61,'NSE - Other Index Options'!$B:$B,C$4)+SUMIFS('BSE - SENSEX Index Options'!$M:$M,'BSE - SENSEX Index Options'!$C:$C,$A61,'BSE - SENSEX Index Options'!$B:$B,C$4)+SUMIFS('BSE - Other Index Options'!$M:$M,'BSE - Other Index Options'!$C:$C,$A61,'BSE - Other Index Options'!$B:$B,C$4)=0,"",SUMIFS('NSE - NIFTY Index Options'!$M:$M,'NSE - NIFTY Index Options'!$C:$C,$A61,'NSE - NIFTY Index Options'!$B:$B,C$4)+SUMIFS('NSE - Other Index Options'!$M:$M,'NSE - Other Index Options'!$C:$C,$A61,'NSE - Other Index Options'!$B:$B,C$4)+SUMIFS('BSE - SENSEX Index Options'!$M:$M,'BSE - SENSEX Index Options'!$C:$C,$A61,'BSE - SENSEX Index Options'!$B:$B,C$4)+SUMIFS('BSE - Other Index Options'!$M:$M,'BSE - Other Index Options'!$C:$C,$A61,'BSE - Other Index Options'!$B:$B,C$4))</f>
        <v/>
      </c>
      <c r="D61" s="26">
        <f>IF(SUMIFS('NSE - NIFTY Index Options'!$M:$M,'NSE - NIFTY Index Options'!$C:$C,$A61,'NSE - NIFTY Index Options'!$B:$B,D$4)+SUMIFS('NSE - Other Index Options'!$M:$M,'NSE - Other Index Options'!$C:$C,$A61,'NSE - Other Index Options'!$B:$B,D$4)+SUMIFS('BSE - SENSEX Index Options'!$M:$M,'BSE - SENSEX Index Options'!$C:$C,$A61,'BSE - SENSEX Index Options'!$B:$B,D$4)+SUMIFS('BSE - Other Index Options'!$M:$M,'BSE - Other Index Options'!$C:$C,$A61,'BSE - Other Index Options'!$B:$B,D$4)=0,"",SUMIFS('NSE - NIFTY Index Options'!$M:$M,'NSE - NIFTY Index Options'!$C:$C,$A61,'NSE - NIFTY Index Options'!$B:$B,D$4)+SUMIFS('NSE - Other Index Options'!$M:$M,'NSE - Other Index Options'!$C:$C,$A61,'NSE - Other Index Options'!$B:$B,D$4)+SUMIFS('BSE - SENSEX Index Options'!$M:$M,'BSE - SENSEX Index Options'!$C:$C,$A61,'BSE - SENSEX Index Options'!$B:$B,D$4)+SUMIFS('BSE - Other Index Options'!$M:$M,'BSE - Other Index Options'!$C:$C,$A61,'BSE - Other Index Options'!$B:$B,D$4))</f>
        <v/>
      </c>
      <c r="E61" s="26">
        <f>IF(SUMIFS('NSE - NIFTY Index Options'!$M:$M,'NSE - NIFTY Index Options'!$C:$C,$A61,'NSE - NIFTY Index Options'!$B:$B,E$4)+SUMIFS('NSE - Other Index Options'!$M:$M,'NSE - Other Index Options'!$C:$C,$A61,'NSE - Other Index Options'!$B:$B,E$4)+SUMIFS('BSE - SENSEX Index Options'!$M:$M,'BSE - SENSEX Index Options'!$C:$C,$A61,'BSE - SENSEX Index Options'!$B:$B,E$4)+SUMIFS('BSE - Other Index Options'!$M:$M,'BSE - Other Index Options'!$C:$C,$A61,'BSE - Other Index Options'!$B:$B,E$4)=0,"",SUMIFS('NSE - NIFTY Index Options'!$M:$M,'NSE - NIFTY Index Options'!$C:$C,$A61,'NSE - NIFTY Index Options'!$B:$B,E$4)+SUMIFS('NSE - Other Index Options'!$M:$M,'NSE - Other Index Options'!$C:$C,$A61,'NSE - Other Index Options'!$B:$B,E$4)+SUMIFS('BSE - SENSEX Index Options'!$M:$M,'BSE - SENSEX Index Options'!$C:$C,$A61,'BSE - SENSEX Index Options'!$B:$B,E$4)+SUMIFS('BSE - Other Index Options'!$M:$M,'BSE - Other Index Options'!$C:$C,$A61,'BSE - Other Index Options'!$B:$B,E$4))</f>
        <v/>
      </c>
      <c r="F61" s="26">
        <f>IF(SUMIFS('NSE - NIFTY Index Options'!$M:$M,'NSE - NIFTY Index Options'!$C:$C,$A61,'NSE - NIFTY Index Options'!$B:$B,F$4)+SUMIFS('NSE - Other Index Options'!$M:$M,'NSE - Other Index Options'!$C:$C,$A61,'NSE - Other Index Options'!$B:$B,F$4)+SUMIFS('BSE - SENSEX Index Options'!$M:$M,'BSE - SENSEX Index Options'!$C:$C,$A61,'BSE - SENSEX Index Options'!$B:$B,F$4)+SUMIFS('BSE - Other Index Options'!$M:$M,'BSE - Other Index Options'!$C:$C,$A61,'BSE - Other Index Options'!$B:$B,F$4)=0,"",SUMIFS('NSE - NIFTY Index Options'!$M:$M,'NSE - NIFTY Index Options'!$C:$C,$A61,'NSE - NIFTY Index Options'!$B:$B,F$4)+SUMIFS('NSE - Other Index Options'!$M:$M,'NSE - Other Index Options'!$C:$C,$A61,'NSE - Other Index Options'!$B:$B,F$4)+SUMIFS('BSE - SENSEX Index Options'!$M:$M,'BSE - SENSEX Index Options'!$C:$C,$A61,'BSE - SENSEX Index Options'!$B:$B,F$4)+SUMIFS('BSE - Other Index Options'!$M:$M,'BSE - Other Index Options'!$C:$C,$A61,'BSE - Other Index Options'!$B:$B,F$4))</f>
        <v/>
      </c>
      <c r="G61" s="26">
        <f>IF(SUMIFS('NSE - NIFTY Index Options'!$M:$M,'NSE - NIFTY Index Options'!$C:$C,$A61,'NSE - NIFTY Index Options'!$B:$B,G$4)+SUMIFS('NSE - Other Index Options'!$M:$M,'NSE - Other Index Options'!$C:$C,$A61,'NSE - Other Index Options'!$B:$B,G$4)+SUMIFS('BSE - SENSEX Index Options'!$M:$M,'BSE - SENSEX Index Options'!$C:$C,$A61,'BSE - SENSEX Index Options'!$B:$B,G$4)+SUMIFS('BSE - Other Index Options'!$M:$M,'BSE - Other Index Options'!$C:$C,$A61,'BSE - Other Index Options'!$B:$B,G$4)=0,"",SUMIFS('NSE - NIFTY Index Options'!$M:$M,'NSE - NIFTY Index Options'!$C:$C,$A61,'NSE - NIFTY Index Options'!$B:$B,G$4)+SUMIFS('NSE - Other Index Options'!$M:$M,'NSE - Other Index Options'!$C:$C,$A61,'NSE - Other Index Options'!$B:$B,G$4)+SUMIFS('BSE - SENSEX Index Options'!$M:$M,'BSE - SENSEX Index Options'!$C:$C,$A61,'BSE - SENSEX Index Options'!$B:$B,G$4)+SUMIFS('BSE - Other Index Options'!$M:$M,'BSE - Other Index Options'!$C:$C,$A61,'BSE - Other Index Options'!$B:$B,G$4))</f>
        <v/>
      </c>
      <c r="H61" s="26">
        <f>IF(SUM(B61:G61)=0,"",SUM(B61:G61))</f>
        <v/>
      </c>
    </row>
    <row r="62" hidden="1" outlineLevel="1">
      <c r="A62" t="inlineStr">
        <is>
          <t>Week4-Aug-2026</t>
        </is>
      </c>
      <c r="B62" s="26">
        <f>IF(SUMIFS('NSE - NIFTY Index Options'!$M:$M,'NSE - NIFTY Index Options'!$C:$C,$A62,'NSE - NIFTY Index Options'!$B:$B,B$4)+SUMIFS('NSE - Other Index Options'!$M:$M,'NSE - Other Index Options'!$C:$C,$A62,'NSE - Other Index Options'!$B:$B,B$4)+SUMIFS('BSE - SENSEX Index Options'!$M:$M,'BSE - SENSEX Index Options'!$C:$C,$A62,'BSE - SENSEX Index Options'!$B:$B,B$4)+SUMIFS('BSE - Other Index Options'!$M:$M,'BSE - Other Index Options'!$C:$C,$A62,'BSE - Other Index Options'!$B:$B,B$4)=0,"",SUMIFS('NSE - NIFTY Index Options'!$M:$M,'NSE - NIFTY Index Options'!$C:$C,$A62,'NSE - NIFTY Index Options'!$B:$B,B$4)+SUMIFS('NSE - Other Index Options'!$M:$M,'NSE - Other Index Options'!$C:$C,$A62,'NSE - Other Index Options'!$B:$B,B$4)+SUMIFS('BSE - SENSEX Index Options'!$M:$M,'BSE - SENSEX Index Options'!$C:$C,$A62,'BSE - SENSEX Index Options'!$B:$B,B$4)+SUMIFS('BSE - Other Index Options'!$M:$M,'BSE - Other Index Options'!$C:$C,$A62,'BSE - Other Index Options'!$B:$B,B$4))</f>
        <v/>
      </c>
      <c r="C62" s="26">
        <f>IF(SUMIFS('NSE - NIFTY Index Options'!$M:$M,'NSE - NIFTY Index Options'!$C:$C,$A62,'NSE - NIFTY Index Options'!$B:$B,C$4)+SUMIFS('NSE - Other Index Options'!$M:$M,'NSE - Other Index Options'!$C:$C,$A62,'NSE - Other Index Options'!$B:$B,C$4)+SUMIFS('BSE - SENSEX Index Options'!$M:$M,'BSE - SENSEX Index Options'!$C:$C,$A62,'BSE - SENSEX Index Options'!$B:$B,C$4)+SUMIFS('BSE - Other Index Options'!$M:$M,'BSE - Other Index Options'!$C:$C,$A62,'BSE - Other Index Options'!$B:$B,C$4)=0,"",SUMIFS('NSE - NIFTY Index Options'!$M:$M,'NSE - NIFTY Index Options'!$C:$C,$A62,'NSE - NIFTY Index Options'!$B:$B,C$4)+SUMIFS('NSE - Other Index Options'!$M:$M,'NSE - Other Index Options'!$C:$C,$A62,'NSE - Other Index Options'!$B:$B,C$4)+SUMIFS('BSE - SENSEX Index Options'!$M:$M,'BSE - SENSEX Index Options'!$C:$C,$A62,'BSE - SENSEX Index Options'!$B:$B,C$4)+SUMIFS('BSE - Other Index Options'!$M:$M,'BSE - Other Index Options'!$C:$C,$A62,'BSE - Other Index Options'!$B:$B,C$4))</f>
        <v/>
      </c>
      <c r="D62" s="26">
        <f>IF(SUMIFS('NSE - NIFTY Index Options'!$M:$M,'NSE - NIFTY Index Options'!$C:$C,$A62,'NSE - NIFTY Index Options'!$B:$B,D$4)+SUMIFS('NSE - Other Index Options'!$M:$M,'NSE - Other Index Options'!$C:$C,$A62,'NSE - Other Index Options'!$B:$B,D$4)+SUMIFS('BSE - SENSEX Index Options'!$M:$M,'BSE - SENSEX Index Options'!$C:$C,$A62,'BSE - SENSEX Index Options'!$B:$B,D$4)+SUMIFS('BSE - Other Index Options'!$M:$M,'BSE - Other Index Options'!$C:$C,$A62,'BSE - Other Index Options'!$B:$B,D$4)=0,"",SUMIFS('NSE - NIFTY Index Options'!$M:$M,'NSE - NIFTY Index Options'!$C:$C,$A62,'NSE - NIFTY Index Options'!$B:$B,D$4)+SUMIFS('NSE - Other Index Options'!$M:$M,'NSE - Other Index Options'!$C:$C,$A62,'NSE - Other Index Options'!$B:$B,D$4)+SUMIFS('BSE - SENSEX Index Options'!$M:$M,'BSE - SENSEX Index Options'!$C:$C,$A62,'BSE - SENSEX Index Options'!$B:$B,D$4)+SUMIFS('BSE - Other Index Options'!$M:$M,'BSE - Other Index Options'!$C:$C,$A62,'BSE - Other Index Options'!$B:$B,D$4))</f>
        <v/>
      </c>
      <c r="E62" s="26">
        <f>IF(SUMIFS('NSE - NIFTY Index Options'!$M:$M,'NSE - NIFTY Index Options'!$C:$C,$A62,'NSE - NIFTY Index Options'!$B:$B,E$4)+SUMIFS('NSE - Other Index Options'!$M:$M,'NSE - Other Index Options'!$C:$C,$A62,'NSE - Other Index Options'!$B:$B,E$4)+SUMIFS('BSE - SENSEX Index Options'!$M:$M,'BSE - SENSEX Index Options'!$C:$C,$A62,'BSE - SENSEX Index Options'!$B:$B,E$4)+SUMIFS('BSE - Other Index Options'!$M:$M,'BSE - Other Index Options'!$C:$C,$A62,'BSE - Other Index Options'!$B:$B,E$4)=0,"",SUMIFS('NSE - NIFTY Index Options'!$M:$M,'NSE - NIFTY Index Options'!$C:$C,$A62,'NSE - NIFTY Index Options'!$B:$B,E$4)+SUMIFS('NSE - Other Index Options'!$M:$M,'NSE - Other Index Options'!$C:$C,$A62,'NSE - Other Index Options'!$B:$B,E$4)+SUMIFS('BSE - SENSEX Index Options'!$M:$M,'BSE - SENSEX Index Options'!$C:$C,$A62,'BSE - SENSEX Index Options'!$B:$B,E$4)+SUMIFS('BSE - Other Index Options'!$M:$M,'BSE - Other Index Options'!$C:$C,$A62,'BSE - Other Index Options'!$B:$B,E$4))</f>
        <v/>
      </c>
      <c r="F62" s="26">
        <f>IF(SUMIFS('NSE - NIFTY Index Options'!$M:$M,'NSE - NIFTY Index Options'!$C:$C,$A62,'NSE - NIFTY Index Options'!$B:$B,F$4)+SUMIFS('NSE - Other Index Options'!$M:$M,'NSE - Other Index Options'!$C:$C,$A62,'NSE - Other Index Options'!$B:$B,F$4)+SUMIFS('BSE - SENSEX Index Options'!$M:$M,'BSE - SENSEX Index Options'!$C:$C,$A62,'BSE - SENSEX Index Options'!$B:$B,F$4)+SUMIFS('BSE - Other Index Options'!$M:$M,'BSE - Other Index Options'!$C:$C,$A62,'BSE - Other Index Options'!$B:$B,F$4)=0,"",SUMIFS('NSE - NIFTY Index Options'!$M:$M,'NSE - NIFTY Index Options'!$C:$C,$A62,'NSE - NIFTY Index Options'!$B:$B,F$4)+SUMIFS('NSE - Other Index Options'!$M:$M,'NSE - Other Index Options'!$C:$C,$A62,'NSE - Other Index Options'!$B:$B,F$4)+SUMIFS('BSE - SENSEX Index Options'!$M:$M,'BSE - SENSEX Index Options'!$C:$C,$A62,'BSE - SENSEX Index Options'!$B:$B,F$4)+SUMIFS('BSE - Other Index Options'!$M:$M,'BSE - Other Index Options'!$C:$C,$A62,'BSE - Other Index Options'!$B:$B,F$4))</f>
        <v/>
      </c>
      <c r="G62" s="26">
        <f>IF(SUMIFS('NSE - NIFTY Index Options'!$M:$M,'NSE - NIFTY Index Options'!$C:$C,$A62,'NSE - NIFTY Index Options'!$B:$B,G$4)+SUMIFS('NSE - Other Index Options'!$M:$M,'NSE - Other Index Options'!$C:$C,$A62,'NSE - Other Index Options'!$B:$B,G$4)+SUMIFS('BSE - SENSEX Index Options'!$M:$M,'BSE - SENSEX Index Options'!$C:$C,$A62,'BSE - SENSEX Index Options'!$B:$B,G$4)+SUMIFS('BSE - Other Index Options'!$M:$M,'BSE - Other Index Options'!$C:$C,$A62,'BSE - Other Index Options'!$B:$B,G$4)=0,"",SUMIFS('NSE - NIFTY Index Options'!$M:$M,'NSE - NIFTY Index Options'!$C:$C,$A62,'NSE - NIFTY Index Options'!$B:$B,G$4)+SUMIFS('NSE - Other Index Options'!$M:$M,'NSE - Other Index Options'!$C:$C,$A62,'NSE - Other Index Options'!$B:$B,G$4)+SUMIFS('BSE - SENSEX Index Options'!$M:$M,'BSE - SENSEX Index Options'!$C:$C,$A62,'BSE - SENSEX Index Options'!$B:$B,G$4)+SUMIFS('BSE - Other Index Options'!$M:$M,'BSE - Other Index Options'!$C:$C,$A62,'BSE - Other Index Options'!$B:$B,G$4))</f>
        <v/>
      </c>
      <c r="H62" s="26">
        <f>IF(SUM(B62:G62)=0,"",SUM(B62:G62))</f>
        <v/>
      </c>
    </row>
    <row r="63" hidden="1" outlineLevel="1">
      <c r="A63" t="inlineStr">
        <is>
          <t>Week5-Aug-2026</t>
        </is>
      </c>
      <c r="B63" s="26">
        <f>IF(SUMIFS('NSE - NIFTY Index Options'!$M:$M,'NSE - NIFTY Index Options'!$C:$C,$A63,'NSE - NIFTY Index Options'!$B:$B,B$4)+SUMIFS('NSE - Other Index Options'!$M:$M,'NSE - Other Index Options'!$C:$C,$A63,'NSE - Other Index Options'!$B:$B,B$4)+SUMIFS('BSE - SENSEX Index Options'!$M:$M,'BSE - SENSEX Index Options'!$C:$C,$A63,'BSE - SENSEX Index Options'!$B:$B,B$4)+SUMIFS('BSE - Other Index Options'!$M:$M,'BSE - Other Index Options'!$C:$C,$A63,'BSE - Other Index Options'!$B:$B,B$4)=0,"",SUMIFS('NSE - NIFTY Index Options'!$M:$M,'NSE - NIFTY Index Options'!$C:$C,$A63,'NSE - NIFTY Index Options'!$B:$B,B$4)+SUMIFS('NSE - Other Index Options'!$M:$M,'NSE - Other Index Options'!$C:$C,$A63,'NSE - Other Index Options'!$B:$B,B$4)+SUMIFS('BSE - SENSEX Index Options'!$M:$M,'BSE - SENSEX Index Options'!$C:$C,$A63,'BSE - SENSEX Index Options'!$B:$B,B$4)+SUMIFS('BSE - Other Index Options'!$M:$M,'BSE - Other Index Options'!$C:$C,$A63,'BSE - Other Index Options'!$B:$B,B$4))</f>
        <v/>
      </c>
      <c r="C63" s="26">
        <f>IF(SUMIFS('NSE - NIFTY Index Options'!$M:$M,'NSE - NIFTY Index Options'!$C:$C,$A63,'NSE - NIFTY Index Options'!$B:$B,C$4)+SUMIFS('NSE - Other Index Options'!$M:$M,'NSE - Other Index Options'!$C:$C,$A63,'NSE - Other Index Options'!$B:$B,C$4)+SUMIFS('BSE - SENSEX Index Options'!$M:$M,'BSE - SENSEX Index Options'!$C:$C,$A63,'BSE - SENSEX Index Options'!$B:$B,C$4)+SUMIFS('BSE - Other Index Options'!$M:$M,'BSE - Other Index Options'!$C:$C,$A63,'BSE - Other Index Options'!$B:$B,C$4)=0,"",SUMIFS('NSE - NIFTY Index Options'!$M:$M,'NSE - NIFTY Index Options'!$C:$C,$A63,'NSE - NIFTY Index Options'!$B:$B,C$4)+SUMIFS('NSE - Other Index Options'!$M:$M,'NSE - Other Index Options'!$C:$C,$A63,'NSE - Other Index Options'!$B:$B,C$4)+SUMIFS('BSE - SENSEX Index Options'!$M:$M,'BSE - SENSEX Index Options'!$C:$C,$A63,'BSE - SENSEX Index Options'!$B:$B,C$4)+SUMIFS('BSE - Other Index Options'!$M:$M,'BSE - Other Index Options'!$C:$C,$A63,'BSE - Other Index Options'!$B:$B,C$4))</f>
        <v/>
      </c>
      <c r="D63" s="26">
        <f>IF(SUMIFS('NSE - NIFTY Index Options'!$M:$M,'NSE - NIFTY Index Options'!$C:$C,$A63,'NSE - NIFTY Index Options'!$B:$B,D$4)+SUMIFS('NSE - Other Index Options'!$M:$M,'NSE - Other Index Options'!$C:$C,$A63,'NSE - Other Index Options'!$B:$B,D$4)+SUMIFS('BSE - SENSEX Index Options'!$M:$M,'BSE - SENSEX Index Options'!$C:$C,$A63,'BSE - SENSEX Index Options'!$B:$B,D$4)+SUMIFS('BSE - Other Index Options'!$M:$M,'BSE - Other Index Options'!$C:$C,$A63,'BSE - Other Index Options'!$B:$B,D$4)=0,"",SUMIFS('NSE - NIFTY Index Options'!$M:$M,'NSE - NIFTY Index Options'!$C:$C,$A63,'NSE - NIFTY Index Options'!$B:$B,D$4)+SUMIFS('NSE - Other Index Options'!$M:$M,'NSE - Other Index Options'!$C:$C,$A63,'NSE - Other Index Options'!$B:$B,D$4)+SUMIFS('BSE - SENSEX Index Options'!$M:$M,'BSE - SENSEX Index Options'!$C:$C,$A63,'BSE - SENSEX Index Options'!$B:$B,D$4)+SUMIFS('BSE - Other Index Options'!$M:$M,'BSE - Other Index Options'!$C:$C,$A63,'BSE - Other Index Options'!$B:$B,D$4))</f>
        <v/>
      </c>
      <c r="E63" s="26">
        <f>IF(SUMIFS('NSE - NIFTY Index Options'!$M:$M,'NSE - NIFTY Index Options'!$C:$C,$A63,'NSE - NIFTY Index Options'!$B:$B,E$4)+SUMIFS('NSE - Other Index Options'!$M:$M,'NSE - Other Index Options'!$C:$C,$A63,'NSE - Other Index Options'!$B:$B,E$4)+SUMIFS('BSE - SENSEX Index Options'!$M:$M,'BSE - SENSEX Index Options'!$C:$C,$A63,'BSE - SENSEX Index Options'!$B:$B,E$4)+SUMIFS('BSE - Other Index Options'!$M:$M,'BSE - Other Index Options'!$C:$C,$A63,'BSE - Other Index Options'!$B:$B,E$4)=0,"",SUMIFS('NSE - NIFTY Index Options'!$M:$M,'NSE - NIFTY Index Options'!$C:$C,$A63,'NSE - NIFTY Index Options'!$B:$B,E$4)+SUMIFS('NSE - Other Index Options'!$M:$M,'NSE - Other Index Options'!$C:$C,$A63,'NSE - Other Index Options'!$B:$B,E$4)+SUMIFS('BSE - SENSEX Index Options'!$M:$M,'BSE - SENSEX Index Options'!$C:$C,$A63,'BSE - SENSEX Index Options'!$B:$B,E$4)+SUMIFS('BSE - Other Index Options'!$M:$M,'BSE - Other Index Options'!$C:$C,$A63,'BSE - Other Index Options'!$B:$B,E$4))</f>
        <v/>
      </c>
      <c r="F63" s="26">
        <f>IF(SUMIFS('NSE - NIFTY Index Options'!$M:$M,'NSE - NIFTY Index Options'!$C:$C,$A63,'NSE - NIFTY Index Options'!$B:$B,F$4)+SUMIFS('NSE - Other Index Options'!$M:$M,'NSE - Other Index Options'!$C:$C,$A63,'NSE - Other Index Options'!$B:$B,F$4)+SUMIFS('BSE - SENSEX Index Options'!$M:$M,'BSE - SENSEX Index Options'!$C:$C,$A63,'BSE - SENSEX Index Options'!$B:$B,F$4)+SUMIFS('BSE - Other Index Options'!$M:$M,'BSE - Other Index Options'!$C:$C,$A63,'BSE - Other Index Options'!$B:$B,F$4)=0,"",SUMIFS('NSE - NIFTY Index Options'!$M:$M,'NSE - NIFTY Index Options'!$C:$C,$A63,'NSE - NIFTY Index Options'!$B:$B,F$4)+SUMIFS('NSE - Other Index Options'!$M:$M,'NSE - Other Index Options'!$C:$C,$A63,'NSE - Other Index Options'!$B:$B,F$4)+SUMIFS('BSE - SENSEX Index Options'!$M:$M,'BSE - SENSEX Index Options'!$C:$C,$A63,'BSE - SENSEX Index Options'!$B:$B,F$4)+SUMIFS('BSE - Other Index Options'!$M:$M,'BSE - Other Index Options'!$C:$C,$A63,'BSE - Other Index Options'!$B:$B,F$4))</f>
        <v/>
      </c>
      <c r="G63" s="26">
        <f>IF(SUMIFS('NSE - NIFTY Index Options'!$M:$M,'NSE - NIFTY Index Options'!$C:$C,$A63,'NSE - NIFTY Index Options'!$B:$B,G$4)+SUMIFS('NSE - Other Index Options'!$M:$M,'NSE - Other Index Options'!$C:$C,$A63,'NSE - Other Index Options'!$B:$B,G$4)+SUMIFS('BSE - SENSEX Index Options'!$M:$M,'BSE - SENSEX Index Options'!$C:$C,$A63,'BSE - SENSEX Index Options'!$B:$B,G$4)+SUMIFS('BSE - Other Index Options'!$M:$M,'BSE - Other Index Options'!$C:$C,$A63,'BSE - Other Index Options'!$B:$B,G$4)=0,"",SUMIFS('NSE - NIFTY Index Options'!$M:$M,'NSE - NIFTY Index Options'!$C:$C,$A63,'NSE - NIFTY Index Options'!$B:$B,G$4)+SUMIFS('NSE - Other Index Options'!$M:$M,'NSE - Other Index Options'!$C:$C,$A63,'NSE - Other Index Options'!$B:$B,G$4)+SUMIFS('BSE - SENSEX Index Options'!$M:$M,'BSE - SENSEX Index Options'!$C:$C,$A63,'BSE - SENSEX Index Options'!$B:$B,G$4)+SUMIFS('BSE - Other Index Options'!$M:$M,'BSE - Other Index Options'!$C:$C,$A63,'BSE - Other Index Options'!$B:$B,G$4))</f>
        <v/>
      </c>
      <c r="H63" s="26">
        <f>IF(SUM(B63:G63)=0,"",SUM(B63:G63))</f>
        <v/>
      </c>
    </row>
    <row r="64" hidden="1" outlineLevel="1">
      <c r="A64" t="inlineStr">
        <is>
          <t>Week1-Sep-2026</t>
        </is>
      </c>
      <c r="B64" s="26">
        <f>IF(SUMIFS('NSE - NIFTY Index Options'!$M:$M,'NSE - NIFTY Index Options'!$C:$C,$A64,'NSE - NIFTY Index Options'!$B:$B,B$4)+SUMIFS('NSE - Other Index Options'!$M:$M,'NSE - Other Index Options'!$C:$C,$A64,'NSE - Other Index Options'!$B:$B,B$4)+SUMIFS('BSE - SENSEX Index Options'!$M:$M,'BSE - SENSEX Index Options'!$C:$C,$A64,'BSE - SENSEX Index Options'!$B:$B,B$4)+SUMIFS('BSE - Other Index Options'!$M:$M,'BSE - Other Index Options'!$C:$C,$A64,'BSE - Other Index Options'!$B:$B,B$4)=0,"",SUMIFS('NSE - NIFTY Index Options'!$M:$M,'NSE - NIFTY Index Options'!$C:$C,$A64,'NSE - NIFTY Index Options'!$B:$B,B$4)+SUMIFS('NSE - Other Index Options'!$M:$M,'NSE - Other Index Options'!$C:$C,$A64,'NSE - Other Index Options'!$B:$B,B$4)+SUMIFS('BSE - SENSEX Index Options'!$M:$M,'BSE - SENSEX Index Options'!$C:$C,$A64,'BSE - SENSEX Index Options'!$B:$B,B$4)+SUMIFS('BSE - Other Index Options'!$M:$M,'BSE - Other Index Options'!$C:$C,$A64,'BSE - Other Index Options'!$B:$B,B$4))</f>
        <v/>
      </c>
      <c r="C64" s="26">
        <f>IF(SUMIFS('NSE - NIFTY Index Options'!$M:$M,'NSE - NIFTY Index Options'!$C:$C,$A64,'NSE - NIFTY Index Options'!$B:$B,C$4)+SUMIFS('NSE - Other Index Options'!$M:$M,'NSE - Other Index Options'!$C:$C,$A64,'NSE - Other Index Options'!$B:$B,C$4)+SUMIFS('BSE - SENSEX Index Options'!$M:$M,'BSE - SENSEX Index Options'!$C:$C,$A64,'BSE - SENSEX Index Options'!$B:$B,C$4)+SUMIFS('BSE - Other Index Options'!$M:$M,'BSE - Other Index Options'!$C:$C,$A64,'BSE - Other Index Options'!$B:$B,C$4)=0,"",SUMIFS('NSE - NIFTY Index Options'!$M:$M,'NSE - NIFTY Index Options'!$C:$C,$A64,'NSE - NIFTY Index Options'!$B:$B,C$4)+SUMIFS('NSE - Other Index Options'!$M:$M,'NSE - Other Index Options'!$C:$C,$A64,'NSE - Other Index Options'!$B:$B,C$4)+SUMIFS('BSE - SENSEX Index Options'!$M:$M,'BSE - SENSEX Index Options'!$C:$C,$A64,'BSE - SENSEX Index Options'!$B:$B,C$4)+SUMIFS('BSE - Other Index Options'!$M:$M,'BSE - Other Index Options'!$C:$C,$A64,'BSE - Other Index Options'!$B:$B,C$4))</f>
        <v/>
      </c>
      <c r="D64" s="26">
        <f>IF(SUMIFS('NSE - NIFTY Index Options'!$M:$M,'NSE - NIFTY Index Options'!$C:$C,$A64,'NSE - NIFTY Index Options'!$B:$B,D$4)+SUMIFS('NSE - Other Index Options'!$M:$M,'NSE - Other Index Options'!$C:$C,$A64,'NSE - Other Index Options'!$B:$B,D$4)+SUMIFS('BSE - SENSEX Index Options'!$M:$M,'BSE - SENSEX Index Options'!$C:$C,$A64,'BSE - SENSEX Index Options'!$B:$B,D$4)+SUMIFS('BSE - Other Index Options'!$M:$M,'BSE - Other Index Options'!$C:$C,$A64,'BSE - Other Index Options'!$B:$B,D$4)=0,"",SUMIFS('NSE - NIFTY Index Options'!$M:$M,'NSE - NIFTY Index Options'!$C:$C,$A64,'NSE - NIFTY Index Options'!$B:$B,D$4)+SUMIFS('NSE - Other Index Options'!$M:$M,'NSE - Other Index Options'!$C:$C,$A64,'NSE - Other Index Options'!$B:$B,D$4)+SUMIFS('BSE - SENSEX Index Options'!$M:$M,'BSE - SENSEX Index Options'!$C:$C,$A64,'BSE - SENSEX Index Options'!$B:$B,D$4)+SUMIFS('BSE - Other Index Options'!$M:$M,'BSE - Other Index Options'!$C:$C,$A64,'BSE - Other Index Options'!$B:$B,D$4))</f>
        <v/>
      </c>
      <c r="E64" s="26">
        <f>IF(SUMIFS('NSE - NIFTY Index Options'!$M:$M,'NSE - NIFTY Index Options'!$C:$C,$A64,'NSE - NIFTY Index Options'!$B:$B,E$4)+SUMIFS('NSE - Other Index Options'!$M:$M,'NSE - Other Index Options'!$C:$C,$A64,'NSE - Other Index Options'!$B:$B,E$4)+SUMIFS('BSE - SENSEX Index Options'!$M:$M,'BSE - SENSEX Index Options'!$C:$C,$A64,'BSE - SENSEX Index Options'!$B:$B,E$4)+SUMIFS('BSE - Other Index Options'!$M:$M,'BSE - Other Index Options'!$C:$C,$A64,'BSE - Other Index Options'!$B:$B,E$4)=0,"",SUMIFS('NSE - NIFTY Index Options'!$M:$M,'NSE - NIFTY Index Options'!$C:$C,$A64,'NSE - NIFTY Index Options'!$B:$B,E$4)+SUMIFS('NSE - Other Index Options'!$M:$M,'NSE - Other Index Options'!$C:$C,$A64,'NSE - Other Index Options'!$B:$B,E$4)+SUMIFS('BSE - SENSEX Index Options'!$M:$M,'BSE - SENSEX Index Options'!$C:$C,$A64,'BSE - SENSEX Index Options'!$B:$B,E$4)+SUMIFS('BSE - Other Index Options'!$M:$M,'BSE - Other Index Options'!$C:$C,$A64,'BSE - Other Index Options'!$B:$B,E$4))</f>
        <v/>
      </c>
      <c r="F64" s="26">
        <f>IF(SUMIFS('NSE - NIFTY Index Options'!$M:$M,'NSE - NIFTY Index Options'!$C:$C,$A64,'NSE - NIFTY Index Options'!$B:$B,F$4)+SUMIFS('NSE - Other Index Options'!$M:$M,'NSE - Other Index Options'!$C:$C,$A64,'NSE - Other Index Options'!$B:$B,F$4)+SUMIFS('BSE - SENSEX Index Options'!$M:$M,'BSE - SENSEX Index Options'!$C:$C,$A64,'BSE - SENSEX Index Options'!$B:$B,F$4)+SUMIFS('BSE - Other Index Options'!$M:$M,'BSE - Other Index Options'!$C:$C,$A64,'BSE - Other Index Options'!$B:$B,F$4)=0,"",SUMIFS('NSE - NIFTY Index Options'!$M:$M,'NSE - NIFTY Index Options'!$C:$C,$A64,'NSE - NIFTY Index Options'!$B:$B,F$4)+SUMIFS('NSE - Other Index Options'!$M:$M,'NSE - Other Index Options'!$C:$C,$A64,'NSE - Other Index Options'!$B:$B,F$4)+SUMIFS('BSE - SENSEX Index Options'!$M:$M,'BSE - SENSEX Index Options'!$C:$C,$A64,'BSE - SENSEX Index Options'!$B:$B,F$4)+SUMIFS('BSE - Other Index Options'!$M:$M,'BSE - Other Index Options'!$C:$C,$A64,'BSE - Other Index Options'!$B:$B,F$4))</f>
        <v/>
      </c>
      <c r="G64" s="26">
        <f>IF(SUMIFS('NSE - NIFTY Index Options'!$M:$M,'NSE - NIFTY Index Options'!$C:$C,$A64,'NSE - NIFTY Index Options'!$B:$B,G$4)+SUMIFS('NSE - Other Index Options'!$M:$M,'NSE - Other Index Options'!$C:$C,$A64,'NSE - Other Index Options'!$B:$B,G$4)+SUMIFS('BSE - SENSEX Index Options'!$M:$M,'BSE - SENSEX Index Options'!$C:$C,$A64,'BSE - SENSEX Index Options'!$B:$B,G$4)+SUMIFS('BSE - Other Index Options'!$M:$M,'BSE - Other Index Options'!$C:$C,$A64,'BSE - Other Index Options'!$B:$B,G$4)=0,"",SUMIFS('NSE - NIFTY Index Options'!$M:$M,'NSE - NIFTY Index Options'!$C:$C,$A64,'NSE - NIFTY Index Options'!$B:$B,G$4)+SUMIFS('NSE - Other Index Options'!$M:$M,'NSE - Other Index Options'!$C:$C,$A64,'NSE - Other Index Options'!$B:$B,G$4)+SUMIFS('BSE - SENSEX Index Options'!$M:$M,'BSE - SENSEX Index Options'!$C:$C,$A64,'BSE - SENSEX Index Options'!$B:$B,G$4)+SUMIFS('BSE - Other Index Options'!$M:$M,'BSE - Other Index Options'!$C:$C,$A64,'BSE - Other Index Options'!$B:$B,G$4))</f>
        <v/>
      </c>
      <c r="H64" s="26">
        <f>IF(SUM(B64:G64)=0,"",SUM(B64:G64))</f>
        <v/>
      </c>
    </row>
    <row r="65" hidden="1" outlineLevel="1">
      <c r="A65" t="inlineStr">
        <is>
          <t>Week2-Sep-2026</t>
        </is>
      </c>
      <c r="B65" s="26">
        <f>IF(SUMIFS('NSE - NIFTY Index Options'!$M:$M,'NSE - NIFTY Index Options'!$C:$C,$A65,'NSE - NIFTY Index Options'!$B:$B,B$4)+SUMIFS('NSE - Other Index Options'!$M:$M,'NSE - Other Index Options'!$C:$C,$A65,'NSE - Other Index Options'!$B:$B,B$4)+SUMIFS('BSE - SENSEX Index Options'!$M:$M,'BSE - SENSEX Index Options'!$C:$C,$A65,'BSE - SENSEX Index Options'!$B:$B,B$4)+SUMIFS('BSE - Other Index Options'!$M:$M,'BSE - Other Index Options'!$C:$C,$A65,'BSE - Other Index Options'!$B:$B,B$4)=0,"",SUMIFS('NSE - NIFTY Index Options'!$M:$M,'NSE - NIFTY Index Options'!$C:$C,$A65,'NSE - NIFTY Index Options'!$B:$B,B$4)+SUMIFS('NSE - Other Index Options'!$M:$M,'NSE - Other Index Options'!$C:$C,$A65,'NSE - Other Index Options'!$B:$B,B$4)+SUMIFS('BSE - SENSEX Index Options'!$M:$M,'BSE - SENSEX Index Options'!$C:$C,$A65,'BSE - SENSEX Index Options'!$B:$B,B$4)+SUMIFS('BSE - Other Index Options'!$M:$M,'BSE - Other Index Options'!$C:$C,$A65,'BSE - Other Index Options'!$B:$B,B$4))</f>
        <v/>
      </c>
      <c r="C65" s="26">
        <f>IF(SUMIFS('NSE - NIFTY Index Options'!$M:$M,'NSE - NIFTY Index Options'!$C:$C,$A65,'NSE - NIFTY Index Options'!$B:$B,C$4)+SUMIFS('NSE - Other Index Options'!$M:$M,'NSE - Other Index Options'!$C:$C,$A65,'NSE - Other Index Options'!$B:$B,C$4)+SUMIFS('BSE - SENSEX Index Options'!$M:$M,'BSE - SENSEX Index Options'!$C:$C,$A65,'BSE - SENSEX Index Options'!$B:$B,C$4)+SUMIFS('BSE - Other Index Options'!$M:$M,'BSE - Other Index Options'!$C:$C,$A65,'BSE - Other Index Options'!$B:$B,C$4)=0,"",SUMIFS('NSE - NIFTY Index Options'!$M:$M,'NSE - NIFTY Index Options'!$C:$C,$A65,'NSE - NIFTY Index Options'!$B:$B,C$4)+SUMIFS('NSE - Other Index Options'!$M:$M,'NSE - Other Index Options'!$C:$C,$A65,'NSE - Other Index Options'!$B:$B,C$4)+SUMIFS('BSE - SENSEX Index Options'!$M:$M,'BSE - SENSEX Index Options'!$C:$C,$A65,'BSE - SENSEX Index Options'!$B:$B,C$4)+SUMIFS('BSE - Other Index Options'!$M:$M,'BSE - Other Index Options'!$C:$C,$A65,'BSE - Other Index Options'!$B:$B,C$4))</f>
        <v/>
      </c>
      <c r="D65" s="26">
        <f>IF(SUMIFS('NSE - NIFTY Index Options'!$M:$M,'NSE - NIFTY Index Options'!$C:$C,$A65,'NSE - NIFTY Index Options'!$B:$B,D$4)+SUMIFS('NSE - Other Index Options'!$M:$M,'NSE - Other Index Options'!$C:$C,$A65,'NSE - Other Index Options'!$B:$B,D$4)+SUMIFS('BSE - SENSEX Index Options'!$M:$M,'BSE - SENSEX Index Options'!$C:$C,$A65,'BSE - SENSEX Index Options'!$B:$B,D$4)+SUMIFS('BSE - Other Index Options'!$M:$M,'BSE - Other Index Options'!$C:$C,$A65,'BSE - Other Index Options'!$B:$B,D$4)=0,"",SUMIFS('NSE - NIFTY Index Options'!$M:$M,'NSE - NIFTY Index Options'!$C:$C,$A65,'NSE - NIFTY Index Options'!$B:$B,D$4)+SUMIFS('NSE - Other Index Options'!$M:$M,'NSE - Other Index Options'!$C:$C,$A65,'NSE - Other Index Options'!$B:$B,D$4)+SUMIFS('BSE - SENSEX Index Options'!$M:$M,'BSE - SENSEX Index Options'!$C:$C,$A65,'BSE - SENSEX Index Options'!$B:$B,D$4)+SUMIFS('BSE - Other Index Options'!$M:$M,'BSE - Other Index Options'!$C:$C,$A65,'BSE - Other Index Options'!$B:$B,D$4))</f>
        <v/>
      </c>
      <c r="E65" s="26">
        <f>IF(SUMIFS('NSE - NIFTY Index Options'!$M:$M,'NSE - NIFTY Index Options'!$C:$C,$A65,'NSE - NIFTY Index Options'!$B:$B,E$4)+SUMIFS('NSE - Other Index Options'!$M:$M,'NSE - Other Index Options'!$C:$C,$A65,'NSE - Other Index Options'!$B:$B,E$4)+SUMIFS('BSE - SENSEX Index Options'!$M:$M,'BSE - SENSEX Index Options'!$C:$C,$A65,'BSE - SENSEX Index Options'!$B:$B,E$4)+SUMIFS('BSE - Other Index Options'!$M:$M,'BSE - Other Index Options'!$C:$C,$A65,'BSE - Other Index Options'!$B:$B,E$4)=0,"",SUMIFS('NSE - NIFTY Index Options'!$M:$M,'NSE - NIFTY Index Options'!$C:$C,$A65,'NSE - NIFTY Index Options'!$B:$B,E$4)+SUMIFS('NSE - Other Index Options'!$M:$M,'NSE - Other Index Options'!$C:$C,$A65,'NSE - Other Index Options'!$B:$B,E$4)+SUMIFS('BSE - SENSEX Index Options'!$M:$M,'BSE - SENSEX Index Options'!$C:$C,$A65,'BSE - SENSEX Index Options'!$B:$B,E$4)+SUMIFS('BSE - Other Index Options'!$M:$M,'BSE - Other Index Options'!$C:$C,$A65,'BSE - Other Index Options'!$B:$B,E$4))</f>
        <v/>
      </c>
      <c r="F65" s="26">
        <f>IF(SUMIFS('NSE - NIFTY Index Options'!$M:$M,'NSE - NIFTY Index Options'!$C:$C,$A65,'NSE - NIFTY Index Options'!$B:$B,F$4)+SUMIFS('NSE - Other Index Options'!$M:$M,'NSE - Other Index Options'!$C:$C,$A65,'NSE - Other Index Options'!$B:$B,F$4)+SUMIFS('BSE - SENSEX Index Options'!$M:$M,'BSE - SENSEX Index Options'!$C:$C,$A65,'BSE - SENSEX Index Options'!$B:$B,F$4)+SUMIFS('BSE - Other Index Options'!$M:$M,'BSE - Other Index Options'!$C:$C,$A65,'BSE - Other Index Options'!$B:$B,F$4)=0,"",SUMIFS('NSE - NIFTY Index Options'!$M:$M,'NSE - NIFTY Index Options'!$C:$C,$A65,'NSE - NIFTY Index Options'!$B:$B,F$4)+SUMIFS('NSE - Other Index Options'!$M:$M,'NSE - Other Index Options'!$C:$C,$A65,'NSE - Other Index Options'!$B:$B,F$4)+SUMIFS('BSE - SENSEX Index Options'!$M:$M,'BSE - SENSEX Index Options'!$C:$C,$A65,'BSE - SENSEX Index Options'!$B:$B,F$4)+SUMIFS('BSE - Other Index Options'!$M:$M,'BSE - Other Index Options'!$C:$C,$A65,'BSE - Other Index Options'!$B:$B,F$4))</f>
        <v/>
      </c>
      <c r="G65" s="26">
        <f>IF(SUMIFS('NSE - NIFTY Index Options'!$M:$M,'NSE - NIFTY Index Options'!$C:$C,$A65,'NSE - NIFTY Index Options'!$B:$B,G$4)+SUMIFS('NSE - Other Index Options'!$M:$M,'NSE - Other Index Options'!$C:$C,$A65,'NSE - Other Index Options'!$B:$B,G$4)+SUMIFS('BSE - SENSEX Index Options'!$M:$M,'BSE - SENSEX Index Options'!$C:$C,$A65,'BSE - SENSEX Index Options'!$B:$B,G$4)+SUMIFS('BSE - Other Index Options'!$M:$M,'BSE - Other Index Options'!$C:$C,$A65,'BSE - Other Index Options'!$B:$B,G$4)=0,"",SUMIFS('NSE - NIFTY Index Options'!$M:$M,'NSE - NIFTY Index Options'!$C:$C,$A65,'NSE - NIFTY Index Options'!$B:$B,G$4)+SUMIFS('NSE - Other Index Options'!$M:$M,'NSE - Other Index Options'!$C:$C,$A65,'NSE - Other Index Options'!$B:$B,G$4)+SUMIFS('BSE - SENSEX Index Options'!$M:$M,'BSE - SENSEX Index Options'!$C:$C,$A65,'BSE - SENSEX Index Options'!$B:$B,G$4)+SUMIFS('BSE - Other Index Options'!$M:$M,'BSE - Other Index Options'!$C:$C,$A65,'BSE - Other Index Options'!$B:$B,G$4))</f>
        <v/>
      </c>
      <c r="H65" s="26">
        <f>IF(SUM(B65:G65)=0,"",SUM(B65:G65))</f>
        <v/>
      </c>
    </row>
    <row r="66" hidden="1" outlineLevel="1">
      <c r="A66" t="inlineStr">
        <is>
          <t>Week3-Sep-2026</t>
        </is>
      </c>
      <c r="B66" s="26">
        <f>IF(SUMIFS('NSE - NIFTY Index Options'!$M:$M,'NSE - NIFTY Index Options'!$C:$C,$A66,'NSE - NIFTY Index Options'!$B:$B,B$4)+SUMIFS('NSE - Other Index Options'!$M:$M,'NSE - Other Index Options'!$C:$C,$A66,'NSE - Other Index Options'!$B:$B,B$4)+SUMIFS('BSE - SENSEX Index Options'!$M:$M,'BSE - SENSEX Index Options'!$C:$C,$A66,'BSE - SENSEX Index Options'!$B:$B,B$4)+SUMIFS('BSE - Other Index Options'!$M:$M,'BSE - Other Index Options'!$C:$C,$A66,'BSE - Other Index Options'!$B:$B,B$4)=0,"",SUMIFS('NSE - NIFTY Index Options'!$M:$M,'NSE - NIFTY Index Options'!$C:$C,$A66,'NSE - NIFTY Index Options'!$B:$B,B$4)+SUMIFS('NSE - Other Index Options'!$M:$M,'NSE - Other Index Options'!$C:$C,$A66,'NSE - Other Index Options'!$B:$B,B$4)+SUMIFS('BSE - SENSEX Index Options'!$M:$M,'BSE - SENSEX Index Options'!$C:$C,$A66,'BSE - SENSEX Index Options'!$B:$B,B$4)+SUMIFS('BSE - Other Index Options'!$M:$M,'BSE - Other Index Options'!$C:$C,$A66,'BSE - Other Index Options'!$B:$B,B$4))</f>
        <v/>
      </c>
      <c r="C66" s="26">
        <f>IF(SUMIFS('NSE - NIFTY Index Options'!$M:$M,'NSE - NIFTY Index Options'!$C:$C,$A66,'NSE - NIFTY Index Options'!$B:$B,C$4)+SUMIFS('NSE - Other Index Options'!$M:$M,'NSE - Other Index Options'!$C:$C,$A66,'NSE - Other Index Options'!$B:$B,C$4)+SUMIFS('BSE - SENSEX Index Options'!$M:$M,'BSE - SENSEX Index Options'!$C:$C,$A66,'BSE - SENSEX Index Options'!$B:$B,C$4)+SUMIFS('BSE - Other Index Options'!$M:$M,'BSE - Other Index Options'!$C:$C,$A66,'BSE - Other Index Options'!$B:$B,C$4)=0,"",SUMIFS('NSE - NIFTY Index Options'!$M:$M,'NSE - NIFTY Index Options'!$C:$C,$A66,'NSE - NIFTY Index Options'!$B:$B,C$4)+SUMIFS('NSE - Other Index Options'!$M:$M,'NSE - Other Index Options'!$C:$C,$A66,'NSE - Other Index Options'!$B:$B,C$4)+SUMIFS('BSE - SENSEX Index Options'!$M:$M,'BSE - SENSEX Index Options'!$C:$C,$A66,'BSE - SENSEX Index Options'!$B:$B,C$4)+SUMIFS('BSE - Other Index Options'!$M:$M,'BSE - Other Index Options'!$C:$C,$A66,'BSE - Other Index Options'!$B:$B,C$4))</f>
        <v/>
      </c>
      <c r="D66" s="26">
        <f>IF(SUMIFS('NSE - NIFTY Index Options'!$M:$M,'NSE - NIFTY Index Options'!$C:$C,$A66,'NSE - NIFTY Index Options'!$B:$B,D$4)+SUMIFS('NSE - Other Index Options'!$M:$M,'NSE - Other Index Options'!$C:$C,$A66,'NSE - Other Index Options'!$B:$B,D$4)+SUMIFS('BSE - SENSEX Index Options'!$M:$M,'BSE - SENSEX Index Options'!$C:$C,$A66,'BSE - SENSEX Index Options'!$B:$B,D$4)+SUMIFS('BSE - Other Index Options'!$M:$M,'BSE - Other Index Options'!$C:$C,$A66,'BSE - Other Index Options'!$B:$B,D$4)=0,"",SUMIFS('NSE - NIFTY Index Options'!$M:$M,'NSE - NIFTY Index Options'!$C:$C,$A66,'NSE - NIFTY Index Options'!$B:$B,D$4)+SUMIFS('NSE - Other Index Options'!$M:$M,'NSE - Other Index Options'!$C:$C,$A66,'NSE - Other Index Options'!$B:$B,D$4)+SUMIFS('BSE - SENSEX Index Options'!$M:$M,'BSE - SENSEX Index Options'!$C:$C,$A66,'BSE - SENSEX Index Options'!$B:$B,D$4)+SUMIFS('BSE - Other Index Options'!$M:$M,'BSE - Other Index Options'!$C:$C,$A66,'BSE - Other Index Options'!$B:$B,D$4))</f>
        <v/>
      </c>
      <c r="E66" s="26">
        <f>IF(SUMIFS('NSE - NIFTY Index Options'!$M:$M,'NSE - NIFTY Index Options'!$C:$C,$A66,'NSE - NIFTY Index Options'!$B:$B,E$4)+SUMIFS('NSE - Other Index Options'!$M:$M,'NSE - Other Index Options'!$C:$C,$A66,'NSE - Other Index Options'!$B:$B,E$4)+SUMIFS('BSE - SENSEX Index Options'!$M:$M,'BSE - SENSEX Index Options'!$C:$C,$A66,'BSE - SENSEX Index Options'!$B:$B,E$4)+SUMIFS('BSE - Other Index Options'!$M:$M,'BSE - Other Index Options'!$C:$C,$A66,'BSE - Other Index Options'!$B:$B,E$4)=0,"",SUMIFS('NSE - NIFTY Index Options'!$M:$M,'NSE - NIFTY Index Options'!$C:$C,$A66,'NSE - NIFTY Index Options'!$B:$B,E$4)+SUMIFS('NSE - Other Index Options'!$M:$M,'NSE - Other Index Options'!$C:$C,$A66,'NSE - Other Index Options'!$B:$B,E$4)+SUMIFS('BSE - SENSEX Index Options'!$M:$M,'BSE - SENSEX Index Options'!$C:$C,$A66,'BSE - SENSEX Index Options'!$B:$B,E$4)+SUMIFS('BSE - Other Index Options'!$M:$M,'BSE - Other Index Options'!$C:$C,$A66,'BSE - Other Index Options'!$B:$B,E$4))</f>
        <v/>
      </c>
      <c r="F66" s="26">
        <f>IF(SUMIFS('NSE - NIFTY Index Options'!$M:$M,'NSE - NIFTY Index Options'!$C:$C,$A66,'NSE - NIFTY Index Options'!$B:$B,F$4)+SUMIFS('NSE - Other Index Options'!$M:$M,'NSE - Other Index Options'!$C:$C,$A66,'NSE - Other Index Options'!$B:$B,F$4)+SUMIFS('BSE - SENSEX Index Options'!$M:$M,'BSE - SENSEX Index Options'!$C:$C,$A66,'BSE - SENSEX Index Options'!$B:$B,F$4)+SUMIFS('BSE - Other Index Options'!$M:$M,'BSE - Other Index Options'!$C:$C,$A66,'BSE - Other Index Options'!$B:$B,F$4)=0,"",SUMIFS('NSE - NIFTY Index Options'!$M:$M,'NSE - NIFTY Index Options'!$C:$C,$A66,'NSE - NIFTY Index Options'!$B:$B,F$4)+SUMIFS('NSE - Other Index Options'!$M:$M,'NSE - Other Index Options'!$C:$C,$A66,'NSE - Other Index Options'!$B:$B,F$4)+SUMIFS('BSE - SENSEX Index Options'!$M:$M,'BSE - SENSEX Index Options'!$C:$C,$A66,'BSE - SENSEX Index Options'!$B:$B,F$4)+SUMIFS('BSE - Other Index Options'!$M:$M,'BSE - Other Index Options'!$C:$C,$A66,'BSE - Other Index Options'!$B:$B,F$4))</f>
        <v/>
      </c>
      <c r="G66" s="26">
        <f>IF(SUMIFS('NSE - NIFTY Index Options'!$M:$M,'NSE - NIFTY Index Options'!$C:$C,$A66,'NSE - NIFTY Index Options'!$B:$B,G$4)+SUMIFS('NSE - Other Index Options'!$M:$M,'NSE - Other Index Options'!$C:$C,$A66,'NSE - Other Index Options'!$B:$B,G$4)+SUMIFS('BSE - SENSEX Index Options'!$M:$M,'BSE - SENSEX Index Options'!$C:$C,$A66,'BSE - SENSEX Index Options'!$B:$B,G$4)+SUMIFS('BSE - Other Index Options'!$M:$M,'BSE - Other Index Options'!$C:$C,$A66,'BSE - Other Index Options'!$B:$B,G$4)=0,"",SUMIFS('NSE - NIFTY Index Options'!$M:$M,'NSE - NIFTY Index Options'!$C:$C,$A66,'NSE - NIFTY Index Options'!$B:$B,G$4)+SUMIFS('NSE - Other Index Options'!$M:$M,'NSE - Other Index Options'!$C:$C,$A66,'NSE - Other Index Options'!$B:$B,G$4)+SUMIFS('BSE - SENSEX Index Options'!$M:$M,'BSE - SENSEX Index Options'!$C:$C,$A66,'BSE - SENSEX Index Options'!$B:$B,G$4)+SUMIFS('BSE - Other Index Options'!$M:$M,'BSE - Other Index Options'!$C:$C,$A66,'BSE - Other Index Options'!$B:$B,G$4))</f>
        <v/>
      </c>
      <c r="H66" s="26">
        <f>IF(SUM(B66:G66)=0,"",SUM(B66:G66))</f>
        <v/>
      </c>
    </row>
    <row r="67" hidden="1" outlineLevel="1">
      <c r="A67" t="inlineStr">
        <is>
          <t>Week4-Sep-2026</t>
        </is>
      </c>
      <c r="B67" s="26">
        <f>IF(SUMIFS('NSE - NIFTY Index Options'!$M:$M,'NSE - NIFTY Index Options'!$C:$C,$A67,'NSE - NIFTY Index Options'!$B:$B,B$4)+SUMIFS('NSE - Other Index Options'!$M:$M,'NSE - Other Index Options'!$C:$C,$A67,'NSE - Other Index Options'!$B:$B,B$4)+SUMIFS('BSE - SENSEX Index Options'!$M:$M,'BSE - SENSEX Index Options'!$C:$C,$A67,'BSE - SENSEX Index Options'!$B:$B,B$4)+SUMIFS('BSE - Other Index Options'!$M:$M,'BSE - Other Index Options'!$C:$C,$A67,'BSE - Other Index Options'!$B:$B,B$4)=0,"",SUMIFS('NSE - NIFTY Index Options'!$M:$M,'NSE - NIFTY Index Options'!$C:$C,$A67,'NSE - NIFTY Index Options'!$B:$B,B$4)+SUMIFS('NSE - Other Index Options'!$M:$M,'NSE - Other Index Options'!$C:$C,$A67,'NSE - Other Index Options'!$B:$B,B$4)+SUMIFS('BSE - SENSEX Index Options'!$M:$M,'BSE - SENSEX Index Options'!$C:$C,$A67,'BSE - SENSEX Index Options'!$B:$B,B$4)+SUMIFS('BSE - Other Index Options'!$M:$M,'BSE - Other Index Options'!$C:$C,$A67,'BSE - Other Index Options'!$B:$B,B$4))</f>
        <v/>
      </c>
      <c r="C67" s="26">
        <f>IF(SUMIFS('NSE - NIFTY Index Options'!$M:$M,'NSE - NIFTY Index Options'!$C:$C,$A67,'NSE - NIFTY Index Options'!$B:$B,C$4)+SUMIFS('NSE - Other Index Options'!$M:$M,'NSE - Other Index Options'!$C:$C,$A67,'NSE - Other Index Options'!$B:$B,C$4)+SUMIFS('BSE - SENSEX Index Options'!$M:$M,'BSE - SENSEX Index Options'!$C:$C,$A67,'BSE - SENSEX Index Options'!$B:$B,C$4)+SUMIFS('BSE - Other Index Options'!$M:$M,'BSE - Other Index Options'!$C:$C,$A67,'BSE - Other Index Options'!$B:$B,C$4)=0,"",SUMIFS('NSE - NIFTY Index Options'!$M:$M,'NSE - NIFTY Index Options'!$C:$C,$A67,'NSE - NIFTY Index Options'!$B:$B,C$4)+SUMIFS('NSE - Other Index Options'!$M:$M,'NSE - Other Index Options'!$C:$C,$A67,'NSE - Other Index Options'!$B:$B,C$4)+SUMIFS('BSE - SENSEX Index Options'!$M:$M,'BSE - SENSEX Index Options'!$C:$C,$A67,'BSE - SENSEX Index Options'!$B:$B,C$4)+SUMIFS('BSE - Other Index Options'!$M:$M,'BSE - Other Index Options'!$C:$C,$A67,'BSE - Other Index Options'!$B:$B,C$4))</f>
        <v/>
      </c>
      <c r="D67" s="26">
        <f>IF(SUMIFS('NSE - NIFTY Index Options'!$M:$M,'NSE - NIFTY Index Options'!$C:$C,$A67,'NSE - NIFTY Index Options'!$B:$B,D$4)+SUMIFS('NSE - Other Index Options'!$M:$M,'NSE - Other Index Options'!$C:$C,$A67,'NSE - Other Index Options'!$B:$B,D$4)+SUMIFS('BSE - SENSEX Index Options'!$M:$M,'BSE - SENSEX Index Options'!$C:$C,$A67,'BSE - SENSEX Index Options'!$B:$B,D$4)+SUMIFS('BSE - Other Index Options'!$M:$M,'BSE - Other Index Options'!$C:$C,$A67,'BSE - Other Index Options'!$B:$B,D$4)=0,"",SUMIFS('NSE - NIFTY Index Options'!$M:$M,'NSE - NIFTY Index Options'!$C:$C,$A67,'NSE - NIFTY Index Options'!$B:$B,D$4)+SUMIFS('NSE - Other Index Options'!$M:$M,'NSE - Other Index Options'!$C:$C,$A67,'NSE - Other Index Options'!$B:$B,D$4)+SUMIFS('BSE - SENSEX Index Options'!$M:$M,'BSE - SENSEX Index Options'!$C:$C,$A67,'BSE - SENSEX Index Options'!$B:$B,D$4)+SUMIFS('BSE - Other Index Options'!$M:$M,'BSE - Other Index Options'!$C:$C,$A67,'BSE - Other Index Options'!$B:$B,D$4))</f>
        <v/>
      </c>
      <c r="E67" s="26">
        <f>IF(SUMIFS('NSE - NIFTY Index Options'!$M:$M,'NSE - NIFTY Index Options'!$C:$C,$A67,'NSE - NIFTY Index Options'!$B:$B,E$4)+SUMIFS('NSE - Other Index Options'!$M:$M,'NSE - Other Index Options'!$C:$C,$A67,'NSE - Other Index Options'!$B:$B,E$4)+SUMIFS('BSE - SENSEX Index Options'!$M:$M,'BSE - SENSEX Index Options'!$C:$C,$A67,'BSE - SENSEX Index Options'!$B:$B,E$4)+SUMIFS('BSE - Other Index Options'!$M:$M,'BSE - Other Index Options'!$C:$C,$A67,'BSE - Other Index Options'!$B:$B,E$4)=0,"",SUMIFS('NSE - NIFTY Index Options'!$M:$M,'NSE - NIFTY Index Options'!$C:$C,$A67,'NSE - NIFTY Index Options'!$B:$B,E$4)+SUMIFS('NSE - Other Index Options'!$M:$M,'NSE - Other Index Options'!$C:$C,$A67,'NSE - Other Index Options'!$B:$B,E$4)+SUMIFS('BSE - SENSEX Index Options'!$M:$M,'BSE - SENSEX Index Options'!$C:$C,$A67,'BSE - SENSEX Index Options'!$B:$B,E$4)+SUMIFS('BSE - Other Index Options'!$M:$M,'BSE - Other Index Options'!$C:$C,$A67,'BSE - Other Index Options'!$B:$B,E$4))</f>
        <v/>
      </c>
      <c r="F67" s="26">
        <f>IF(SUMIFS('NSE - NIFTY Index Options'!$M:$M,'NSE - NIFTY Index Options'!$C:$C,$A67,'NSE - NIFTY Index Options'!$B:$B,F$4)+SUMIFS('NSE - Other Index Options'!$M:$M,'NSE - Other Index Options'!$C:$C,$A67,'NSE - Other Index Options'!$B:$B,F$4)+SUMIFS('BSE - SENSEX Index Options'!$M:$M,'BSE - SENSEX Index Options'!$C:$C,$A67,'BSE - SENSEX Index Options'!$B:$B,F$4)+SUMIFS('BSE - Other Index Options'!$M:$M,'BSE - Other Index Options'!$C:$C,$A67,'BSE - Other Index Options'!$B:$B,F$4)=0,"",SUMIFS('NSE - NIFTY Index Options'!$M:$M,'NSE - NIFTY Index Options'!$C:$C,$A67,'NSE - NIFTY Index Options'!$B:$B,F$4)+SUMIFS('NSE - Other Index Options'!$M:$M,'NSE - Other Index Options'!$C:$C,$A67,'NSE - Other Index Options'!$B:$B,F$4)+SUMIFS('BSE - SENSEX Index Options'!$M:$M,'BSE - SENSEX Index Options'!$C:$C,$A67,'BSE - SENSEX Index Options'!$B:$B,F$4)+SUMIFS('BSE - Other Index Options'!$M:$M,'BSE - Other Index Options'!$C:$C,$A67,'BSE - Other Index Options'!$B:$B,F$4))</f>
        <v/>
      </c>
      <c r="G67" s="26">
        <f>IF(SUMIFS('NSE - NIFTY Index Options'!$M:$M,'NSE - NIFTY Index Options'!$C:$C,$A67,'NSE - NIFTY Index Options'!$B:$B,G$4)+SUMIFS('NSE - Other Index Options'!$M:$M,'NSE - Other Index Options'!$C:$C,$A67,'NSE - Other Index Options'!$B:$B,G$4)+SUMIFS('BSE - SENSEX Index Options'!$M:$M,'BSE - SENSEX Index Options'!$C:$C,$A67,'BSE - SENSEX Index Options'!$B:$B,G$4)+SUMIFS('BSE - Other Index Options'!$M:$M,'BSE - Other Index Options'!$C:$C,$A67,'BSE - Other Index Options'!$B:$B,G$4)=0,"",SUMIFS('NSE - NIFTY Index Options'!$M:$M,'NSE - NIFTY Index Options'!$C:$C,$A67,'NSE - NIFTY Index Options'!$B:$B,G$4)+SUMIFS('NSE - Other Index Options'!$M:$M,'NSE - Other Index Options'!$C:$C,$A67,'NSE - Other Index Options'!$B:$B,G$4)+SUMIFS('BSE - SENSEX Index Options'!$M:$M,'BSE - SENSEX Index Options'!$C:$C,$A67,'BSE - SENSEX Index Options'!$B:$B,G$4)+SUMIFS('BSE - Other Index Options'!$M:$M,'BSE - Other Index Options'!$C:$C,$A67,'BSE - Other Index Options'!$B:$B,G$4))</f>
        <v/>
      </c>
      <c r="H67" s="26">
        <f>IF(SUM(B67:G67)=0,"",SUM(B67:G67))</f>
        <v/>
      </c>
    </row>
    <row r="68" hidden="1" outlineLevel="1">
      <c r="A68" t="inlineStr">
        <is>
          <t>Week5-Sep-2026</t>
        </is>
      </c>
      <c r="B68" s="26">
        <f>IF(SUMIFS('NSE - NIFTY Index Options'!$M:$M,'NSE - NIFTY Index Options'!$C:$C,$A68,'NSE - NIFTY Index Options'!$B:$B,B$4)+SUMIFS('NSE - Other Index Options'!$M:$M,'NSE - Other Index Options'!$C:$C,$A68,'NSE - Other Index Options'!$B:$B,B$4)+SUMIFS('BSE - SENSEX Index Options'!$M:$M,'BSE - SENSEX Index Options'!$C:$C,$A68,'BSE - SENSEX Index Options'!$B:$B,B$4)+SUMIFS('BSE - Other Index Options'!$M:$M,'BSE - Other Index Options'!$C:$C,$A68,'BSE - Other Index Options'!$B:$B,B$4)=0,"",SUMIFS('NSE - NIFTY Index Options'!$M:$M,'NSE - NIFTY Index Options'!$C:$C,$A68,'NSE - NIFTY Index Options'!$B:$B,B$4)+SUMIFS('NSE - Other Index Options'!$M:$M,'NSE - Other Index Options'!$C:$C,$A68,'NSE - Other Index Options'!$B:$B,B$4)+SUMIFS('BSE - SENSEX Index Options'!$M:$M,'BSE - SENSEX Index Options'!$C:$C,$A68,'BSE - SENSEX Index Options'!$B:$B,B$4)+SUMIFS('BSE - Other Index Options'!$M:$M,'BSE - Other Index Options'!$C:$C,$A68,'BSE - Other Index Options'!$B:$B,B$4))</f>
        <v/>
      </c>
      <c r="C68" s="26">
        <f>IF(SUMIFS('NSE - NIFTY Index Options'!$M:$M,'NSE - NIFTY Index Options'!$C:$C,$A68,'NSE - NIFTY Index Options'!$B:$B,C$4)+SUMIFS('NSE - Other Index Options'!$M:$M,'NSE - Other Index Options'!$C:$C,$A68,'NSE - Other Index Options'!$B:$B,C$4)+SUMIFS('BSE - SENSEX Index Options'!$M:$M,'BSE - SENSEX Index Options'!$C:$C,$A68,'BSE - SENSEX Index Options'!$B:$B,C$4)+SUMIFS('BSE - Other Index Options'!$M:$M,'BSE - Other Index Options'!$C:$C,$A68,'BSE - Other Index Options'!$B:$B,C$4)=0,"",SUMIFS('NSE - NIFTY Index Options'!$M:$M,'NSE - NIFTY Index Options'!$C:$C,$A68,'NSE - NIFTY Index Options'!$B:$B,C$4)+SUMIFS('NSE - Other Index Options'!$M:$M,'NSE - Other Index Options'!$C:$C,$A68,'NSE - Other Index Options'!$B:$B,C$4)+SUMIFS('BSE - SENSEX Index Options'!$M:$M,'BSE - SENSEX Index Options'!$C:$C,$A68,'BSE - SENSEX Index Options'!$B:$B,C$4)+SUMIFS('BSE - Other Index Options'!$M:$M,'BSE - Other Index Options'!$C:$C,$A68,'BSE - Other Index Options'!$B:$B,C$4))</f>
        <v/>
      </c>
      <c r="D68" s="26">
        <f>IF(SUMIFS('NSE - NIFTY Index Options'!$M:$M,'NSE - NIFTY Index Options'!$C:$C,$A68,'NSE - NIFTY Index Options'!$B:$B,D$4)+SUMIFS('NSE - Other Index Options'!$M:$M,'NSE - Other Index Options'!$C:$C,$A68,'NSE - Other Index Options'!$B:$B,D$4)+SUMIFS('BSE - SENSEX Index Options'!$M:$M,'BSE - SENSEX Index Options'!$C:$C,$A68,'BSE - SENSEX Index Options'!$B:$B,D$4)+SUMIFS('BSE - Other Index Options'!$M:$M,'BSE - Other Index Options'!$C:$C,$A68,'BSE - Other Index Options'!$B:$B,D$4)=0,"",SUMIFS('NSE - NIFTY Index Options'!$M:$M,'NSE - NIFTY Index Options'!$C:$C,$A68,'NSE - NIFTY Index Options'!$B:$B,D$4)+SUMIFS('NSE - Other Index Options'!$M:$M,'NSE - Other Index Options'!$C:$C,$A68,'NSE - Other Index Options'!$B:$B,D$4)+SUMIFS('BSE - SENSEX Index Options'!$M:$M,'BSE - SENSEX Index Options'!$C:$C,$A68,'BSE - SENSEX Index Options'!$B:$B,D$4)+SUMIFS('BSE - Other Index Options'!$M:$M,'BSE - Other Index Options'!$C:$C,$A68,'BSE - Other Index Options'!$B:$B,D$4))</f>
        <v/>
      </c>
      <c r="E68" s="26">
        <f>IF(SUMIFS('NSE - NIFTY Index Options'!$M:$M,'NSE - NIFTY Index Options'!$C:$C,$A68,'NSE - NIFTY Index Options'!$B:$B,E$4)+SUMIFS('NSE - Other Index Options'!$M:$M,'NSE - Other Index Options'!$C:$C,$A68,'NSE - Other Index Options'!$B:$B,E$4)+SUMIFS('BSE - SENSEX Index Options'!$M:$M,'BSE - SENSEX Index Options'!$C:$C,$A68,'BSE - SENSEX Index Options'!$B:$B,E$4)+SUMIFS('BSE - Other Index Options'!$M:$M,'BSE - Other Index Options'!$C:$C,$A68,'BSE - Other Index Options'!$B:$B,E$4)=0,"",SUMIFS('NSE - NIFTY Index Options'!$M:$M,'NSE - NIFTY Index Options'!$C:$C,$A68,'NSE - NIFTY Index Options'!$B:$B,E$4)+SUMIFS('NSE - Other Index Options'!$M:$M,'NSE - Other Index Options'!$C:$C,$A68,'NSE - Other Index Options'!$B:$B,E$4)+SUMIFS('BSE - SENSEX Index Options'!$M:$M,'BSE - SENSEX Index Options'!$C:$C,$A68,'BSE - SENSEX Index Options'!$B:$B,E$4)+SUMIFS('BSE - Other Index Options'!$M:$M,'BSE - Other Index Options'!$C:$C,$A68,'BSE - Other Index Options'!$B:$B,E$4))</f>
        <v/>
      </c>
      <c r="F68" s="26">
        <f>IF(SUMIFS('NSE - NIFTY Index Options'!$M:$M,'NSE - NIFTY Index Options'!$C:$C,$A68,'NSE - NIFTY Index Options'!$B:$B,F$4)+SUMIFS('NSE - Other Index Options'!$M:$M,'NSE - Other Index Options'!$C:$C,$A68,'NSE - Other Index Options'!$B:$B,F$4)+SUMIFS('BSE - SENSEX Index Options'!$M:$M,'BSE - SENSEX Index Options'!$C:$C,$A68,'BSE - SENSEX Index Options'!$B:$B,F$4)+SUMIFS('BSE - Other Index Options'!$M:$M,'BSE - Other Index Options'!$C:$C,$A68,'BSE - Other Index Options'!$B:$B,F$4)=0,"",SUMIFS('NSE - NIFTY Index Options'!$M:$M,'NSE - NIFTY Index Options'!$C:$C,$A68,'NSE - NIFTY Index Options'!$B:$B,F$4)+SUMIFS('NSE - Other Index Options'!$M:$M,'NSE - Other Index Options'!$C:$C,$A68,'NSE - Other Index Options'!$B:$B,F$4)+SUMIFS('BSE - SENSEX Index Options'!$M:$M,'BSE - SENSEX Index Options'!$C:$C,$A68,'BSE - SENSEX Index Options'!$B:$B,F$4)+SUMIFS('BSE - Other Index Options'!$M:$M,'BSE - Other Index Options'!$C:$C,$A68,'BSE - Other Index Options'!$B:$B,F$4))</f>
        <v/>
      </c>
      <c r="G68" s="26">
        <f>IF(SUMIFS('NSE - NIFTY Index Options'!$M:$M,'NSE - NIFTY Index Options'!$C:$C,$A68,'NSE - NIFTY Index Options'!$B:$B,G$4)+SUMIFS('NSE - Other Index Options'!$M:$M,'NSE - Other Index Options'!$C:$C,$A68,'NSE - Other Index Options'!$B:$B,G$4)+SUMIFS('BSE - SENSEX Index Options'!$M:$M,'BSE - SENSEX Index Options'!$C:$C,$A68,'BSE - SENSEX Index Options'!$B:$B,G$4)+SUMIFS('BSE - Other Index Options'!$M:$M,'BSE - Other Index Options'!$C:$C,$A68,'BSE - Other Index Options'!$B:$B,G$4)=0,"",SUMIFS('NSE - NIFTY Index Options'!$M:$M,'NSE - NIFTY Index Options'!$C:$C,$A68,'NSE - NIFTY Index Options'!$B:$B,G$4)+SUMIFS('NSE - Other Index Options'!$M:$M,'NSE - Other Index Options'!$C:$C,$A68,'NSE - Other Index Options'!$B:$B,G$4)+SUMIFS('BSE - SENSEX Index Options'!$M:$M,'BSE - SENSEX Index Options'!$C:$C,$A68,'BSE - SENSEX Index Options'!$B:$B,G$4)+SUMIFS('BSE - Other Index Options'!$M:$M,'BSE - Other Index Options'!$C:$C,$A68,'BSE - Other Index Options'!$B:$B,G$4))</f>
        <v/>
      </c>
      <c r="H68" s="26">
        <f>IF(SUM(B68:G68)=0,"",SUM(B68:G68))</f>
        <v/>
      </c>
    </row>
    <row r="69" hidden="1" outlineLevel="1">
      <c r="A69" t="inlineStr">
        <is>
          <t>Week1-Oct-2026</t>
        </is>
      </c>
      <c r="B69" s="26">
        <f>IF(SUMIFS('NSE - NIFTY Index Options'!$M:$M,'NSE - NIFTY Index Options'!$C:$C,$A69,'NSE - NIFTY Index Options'!$B:$B,B$4)+SUMIFS('NSE - Other Index Options'!$M:$M,'NSE - Other Index Options'!$C:$C,$A69,'NSE - Other Index Options'!$B:$B,B$4)+SUMIFS('BSE - SENSEX Index Options'!$M:$M,'BSE - SENSEX Index Options'!$C:$C,$A69,'BSE - SENSEX Index Options'!$B:$B,B$4)+SUMIFS('BSE - Other Index Options'!$M:$M,'BSE - Other Index Options'!$C:$C,$A69,'BSE - Other Index Options'!$B:$B,B$4)=0,"",SUMIFS('NSE - NIFTY Index Options'!$M:$M,'NSE - NIFTY Index Options'!$C:$C,$A69,'NSE - NIFTY Index Options'!$B:$B,B$4)+SUMIFS('NSE - Other Index Options'!$M:$M,'NSE - Other Index Options'!$C:$C,$A69,'NSE - Other Index Options'!$B:$B,B$4)+SUMIFS('BSE - SENSEX Index Options'!$M:$M,'BSE - SENSEX Index Options'!$C:$C,$A69,'BSE - SENSEX Index Options'!$B:$B,B$4)+SUMIFS('BSE - Other Index Options'!$M:$M,'BSE - Other Index Options'!$C:$C,$A69,'BSE - Other Index Options'!$B:$B,B$4))</f>
        <v/>
      </c>
      <c r="C69" s="26">
        <f>IF(SUMIFS('NSE - NIFTY Index Options'!$M:$M,'NSE - NIFTY Index Options'!$C:$C,$A69,'NSE - NIFTY Index Options'!$B:$B,C$4)+SUMIFS('NSE - Other Index Options'!$M:$M,'NSE - Other Index Options'!$C:$C,$A69,'NSE - Other Index Options'!$B:$B,C$4)+SUMIFS('BSE - SENSEX Index Options'!$M:$M,'BSE - SENSEX Index Options'!$C:$C,$A69,'BSE - SENSEX Index Options'!$B:$B,C$4)+SUMIFS('BSE - Other Index Options'!$M:$M,'BSE - Other Index Options'!$C:$C,$A69,'BSE - Other Index Options'!$B:$B,C$4)=0,"",SUMIFS('NSE - NIFTY Index Options'!$M:$M,'NSE - NIFTY Index Options'!$C:$C,$A69,'NSE - NIFTY Index Options'!$B:$B,C$4)+SUMIFS('NSE - Other Index Options'!$M:$M,'NSE - Other Index Options'!$C:$C,$A69,'NSE - Other Index Options'!$B:$B,C$4)+SUMIFS('BSE - SENSEX Index Options'!$M:$M,'BSE - SENSEX Index Options'!$C:$C,$A69,'BSE - SENSEX Index Options'!$B:$B,C$4)+SUMIFS('BSE - Other Index Options'!$M:$M,'BSE - Other Index Options'!$C:$C,$A69,'BSE - Other Index Options'!$B:$B,C$4))</f>
        <v/>
      </c>
      <c r="D69" s="26">
        <f>IF(SUMIFS('NSE - NIFTY Index Options'!$M:$M,'NSE - NIFTY Index Options'!$C:$C,$A69,'NSE - NIFTY Index Options'!$B:$B,D$4)+SUMIFS('NSE - Other Index Options'!$M:$M,'NSE - Other Index Options'!$C:$C,$A69,'NSE - Other Index Options'!$B:$B,D$4)+SUMIFS('BSE - SENSEX Index Options'!$M:$M,'BSE - SENSEX Index Options'!$C:$C,$A69,'BSE - SENSEX Index Options'!$B:$B,D$4)+SUMIFS('BSE - Other Index Options'!$M:$M,'BSE - Other Index Options'!$C:$C,$A69,'BSE - Other Index Options'!$B:$B,D$4)=0,"",SUMIFS('NSE - NIFTY Index Options'!$M:$M,'NSE - NIFTY Index Options'!$C:$C,$A69,'NSE - NIFTY Index Options'!$B:$B,D$4)+SUMIFS('NSE - Other Index Options'!$M:$M,'NSE - Other Index Options'!$C:$C,$A69,'NSE - Other Index Options'!$B:$B,D$4)+SUMIFS('BSE - SENSEX Index Options'!$M:$M,'BSE - SENSEX Index Options'!$C:$C,$A69,'BSE - SENSEX Index Options'!$B:$B,D$4)+SUMIFS('BSE - Other Index Options'!$M:$M,'BSE - Other Index Options'!$C:$C,$A69,'BSE - Other Index Options'!$B:$B,D$4))</f>
        <v/>
      </c>
      <c r="E69" s="26">
        <f>IF(SUMIFS('NSE - NIFTY Index Options'!$M:$M,'NSE - NIFTY Index Options'!$C:$C,$A69,'NSE - NIFTY Index Options'!$B:$B,E$4)+SUMIFS('NSE - Other Index Options'!$M:$M,'NSE - Other Index Options'!$C:$C,$A69,'NSE - Other Index Options'!$B:$B,E$4)+SUMIFS('BSE - SENSEX Index Options'!$M:$M,'BSE - SENSEX Index Options'!$C:$C,$A69,'BSE - SENSEX Index Options'!$B:$B,E$4)+SUMIFS('BSE - Other Index Options'!$M:$M,'BSE - Other Index Options'!$C:$C,$A69,'BSE - Other Index Options'!$B:$B,E$4)=0,"",SUMIFS('NSE - NIFTY Index Options'!$M:$M,'NSE - NIFTY Index Options'!$C:$C,$A69,'NSE - NIFTY Index Options'!$B:$B,E$4)+SUMIFS('NSE - Other Index Options'!$M:$M,'NSE - Other Index Options'!$C:$C,$A69,'NSE - Other Index Options'!$B:$B,E$4)+SUMIFS('BSE - SENSEX Index Options'!$M:$M,'BSE - SENSEX Index Options'!$C:$C,$A69,'BSE - SENSEX Index Options'!$B:$B,E$4)+SUMIFS('BSE - Other Index Options'!$M:$M,'BSE - Other Index Options'!$C:$C,$A69,'BSE - Other Index Options'!$B:$B,E$4))</f>
        <v/>
      </c>
      <c r="F69" s="26">
        <f>IF(SUMIFS('NSE - NIFTY Index Options'!$M:$M,'NSE - NIFTY Index Options'!$C:$C,$A69,'NSE - NIFTY Index Options'!$B:$B,F$4)+SUMIFS('NSE - Other Index Options'!$M:$M,'NSE - Other Index Options'!$C:$C,$A69,'NSE - Other Index Options'!$B:$B,F$4)+SUMIFS('BSE - SENSEX Index Options'!$M:$M,'BSE - SENSEX Index Options'!$C:$C,$A69,'BSE - SENSEX Index Options'!$B:$B,F$4)+SUMIFS('BSE - Other Index Options'!$M:$M,'BSE - Other Index Options'!$C:$C,$A69,'BSE - Other Index Options'!$B:$B,F$4)=0,"",SUMIFS('NSE - NIFTY Index Options'!$M:$M,'NSE - NIFTY Index Options'!$C:$C,$A69,'NSE - NIFTY Index Options'!$B:$B,F$4)+SUMIFS('NSE - Other Index Options'!$M:$M,'NSE - Other Index Options'!$C:$C,$A69,'NSE - Other Index Options'!$B:$B,F$4)+SUMIFS('BSE - SENSEX Index Options'!$M:$M,'BSE - SENSEX Index Options'!$C:$C,$A69,'BSE - SENSEX Index Options'!$B:$B,F$4)+SUMIFS('BSE - Other Index Options'!$M:$M,'BSE - Other Index Options'!$C:$C,$A69,'BSE - Other Index Options'!$B:$B,F$4))</f>
        <v/>
      </c>
      <c r="G69" s="26">
        <f>IF(SUMIFS('NSE - NIFTY Index Options'!$M:$M,'NSE - NIFTY Index Options'!$C:$C,$A69,'NSE - NIFTY Index Options'!$B:$B,G$4)+SUMIFS('NSE - Other Index Options'!$M:$M,'NSE - Other Index Options'!$C:$C,$A69,'NSE - Other Index Options'!$B:$B,G$4)+SUMIFS('BSE - SENSEX Index Options'!$M:$M,'BSE - SENSEX Index Options'!$C:$C,$A69,'BSE - SENSEX Index Options'!$B:$B,G$4)+SUMIFS('BSE - Other Index Options'!$M:$M,'BSE - Other Index Options'!$C:$C,$A69,'BSE - Other Index Options'!$B:$B,G$4)=0,"",SUMIFS('NSE - NIFTY Index Options'!$M:$M,'NSE - NIFTY Index Options'!$C:$C,$A69,'NSE - NIFTY Index Options'!$B:$B,G$4)+SUMIFS('NSE - Other Index Options'!$M:$M,'NSE - Other Index Options'!$C:$C,$A69,'NSE - Other Index Options'!$B:$B,G$4)+SUMIFS('BSE - SENSEX Index Options'!$M:$M,'BSE - SENSEX Index Options'!$C:$C,$A69,'BSE - SENSEX Index Options'!$B:$B,G$4)+SUMIFS('BSE - Other Index Options'!$M:$M,'BSE - Other Index Options'!$C:$C,$A69,'BSE - Other Index Options'!$B:$B,G$4))</f>
        <v/>
      </c>
      <c r="H69" s="26">
        <f>IF(SUM(B69:G69)=0,"",SUM(B69:G69))</f>
        <v/>
      </c>
    </row>
    <row r="70" hidden="1" outlineLevel="1">
      <c r="A70" t="inlineStr">
        <is>
          <t>Week2-Oct-2026</t>
        </is>
      </c>
      <c r="B70" s="26">
        <f>IF(SUMIFS('NSE - NIFTY Index Options'!$M:$M,'NSE - NIFTY Index Options'!$C:$C,$A70,'NSE - NIFTY Index Options'!$B:$B,B$4)+SUMIFS('NSE - Other Index Options'!$M:$M,'NSE - Other Index Options'!$C:$C,$A70,'NSE - Other Index Options'!$B:$B,B$4)+SUMIFS('BSE - SENSEX Index Options'!$M:$M,'BSE - SENSEX Index Options'!$C:$C,$A70,'BSE - SENSEX Index Options'!$B:$B,B$4)+SUMIFS('BSE - Other Index Options'!$M:$M,'BSE - Other Index Options'!$C:$C,$A70,'BSE - Other Index Options'!$B:$B,B$4)=0,"",SUMIFS('NSE - NIFTY Index Options'!$M:$M,'NSE - NIFTY Index Options'!$C:$C,$A70,'NSE - NIFTY Index Options'!$B:$B,B$4)+SUMIFS('NSE - Other Index Options'!$M:$M,'NSE - Other Index Options'!$C:$C,$A70,'NSE - Other Index Options'!$B:$B,B$4)+SUMIFS('BSE - SENSEX Index Options'!$M:$M,'BSE - SENSEX Index Options'!$C:$C,$A70,'BSE - SENSEX Index Options'!$B:$B,B$4)+SUMIFS('BSE - Other Index Options'!$M:$M,'BSE - Other Index Options'!$C:$C,$A70,'BSE - Other Index Options'!$B:$B,B$4))</f>
        <v/>
      </c>
      <c r="C70" s="26">
        <f>IF(SUMIFS('NSE - NIFTY Index Options'!$M:$M,'NSE - NIFTY Index Options'!$C:$C,$A70,'NSE - NIFTY Index Options'!$B:$B,C$4)+SUMIFS('NSE - Other Index Options'!$M:$M,'NSE - Other Index Options'!$C:$C,$A70,'NSE - Other Index Options'!$B:$B,C$4)+SUMIFS('BSE - SENSEX Index Options'!$M:$M,'BSE - SENSEX Index Options'!$C:$C,$A70,'BSE - SENSEX Index Options'!$B:$B,C$4)+SUMIFS('BSE - Other Index Options'!$M:$M,'BSE - Other Index Options'!$C:$C,$A70,'BSE - Other Index Options'!$B:$B,C$4)=0,"",SUMIFS('NSE - NIFTY Index Options'!$M:$M,'NSE - NIFTY Index Options'!$C:$C,$A70,'NSE - NIFTY Index Options'!$B:$B,C$4)+SUMIFS('NSE - Other Index Options'!$M:$M,'NSE - Other Index Options'!$C:$C,$A70,'NSE - Other Index Options'!$B:$B,C$4)+SUMIFS('BSE - SENSEX Index Options'!$M:$M,'BSE - SENSEX Index Options'!$C:$C,$A70,'BSE - SENSEX Index Options'!$B:$B,C$4)+SUMIFS('BSE - Other Index Options'!$M:$M,'BSE - Other Index Options'!$C:$C,$A70,'BSE - Other Index Options'!$B:$B,C$4))</f>
        <v/>
      </c>
      <c r="D70" s="26">
        <f>IF(SUMIFS('NSE - NIFTY Index Options'!$M:$M,'NSE - NIFTY Index Options'!$C:$C,$A70,'NSE - NIFTY Index Options'!$B:$B,D$4)+SUMIFS('NSE - Other Index Options'!$M:$M,'NSE - Other Index Options'!$C:$C,$A70,'NSE - Other Index Options'!$B:$B,D$4)+SUMIFS('BSE - SENSEX Index Options'!$M:$M,'BSE - SENSEX Index Options'!$C:$C,$A70,'BSE - SENSEX Index Options'!$B:$B,D$4)+SUMIFS('BSE - Other Index Options'!$M:$M,'BSE - Other Index Options'!$C:$C,$A70,'BSE - Other Index Options'!$B:$B,D$4)=0,"",SUMIFS('NSE - NIFTY Index Options'!$M:$M,'NSE - NIFTY Index Options'!$C:$C,$A70,'NSE - NIFTY Index Options'!$B:$B,D$4)+SUMIFS('NSE - Other Index Options'!$M:$M,'NSE - Other Index Options'!$C:$C,$A70,'NSE - Other Index Options'!$B:$B,D$4)+SUMIFS('BSE - SENSEX Index Options'!$M:$M,'BSE - SENSEX Index Options'!$C:$C,$A70,'BSE - SENSEX Index Options'!$B:$B,D$4)+SUMIFS('BSE - Other Index Options'!$M:$M,'BSE - Other Index Options'!$C:$C,$A70,'BSE - Other Index Options'!$B:$B,D$4))</f>
        <v/>
      </c>
      <c r="E70" s="26">
        <f>IF(SUMIFS('NSE - NIFTY Index Options'!$M:$M,'NSE - NIFTY Index Options'!$C:$C,$A70,'NSE - NIFTY Index Options'!$B:$B,E$4)+SUMIFS('NSE - Other Index Options'!$M:$M,'NSE - Other Index Options'!$C:$C,$A70,'NSE - Other Index Options'!$B:$B,E$4)+SUMIFS('BSE - SENSEX Index Options'!$M:$M,'BSE - SENSEX Index Options'!$C:$C,$A70,'BSE - SENSEX Index Options'!$B:$B,E$4)+SUMIFS('BSE - Other Index Options'!$M:$M,'BSE - Other Index Options'!$C:$C,$A70,'BSE - Other Index Options'!$B:$B,E$4)=0,"",SUMIFS('NSE - NIFTY Index Options'!$M:$M,'NSE - NIFTY Index Options'!$C:$C,$A70,'NSE - NIFTY Index Options'!$B:$B,E$4)+SUMIFS('NSE - Other Index Options'!$M:$M,'NSE - Other Index Options'!$C:$C,$A70,'NSE - Other Index Options'!$B:$B,E$4)+SUMIFS('BSE - SENSEX Index Options'!$M:$M,'BSE - SENSEX Index Options'!$C:$C,$A70,'BSE - SENSEX Index Options'!$B:$B,E$4)+SUMIFS('BSE - Other Index Options'!$M:$M,'BSE - Other Index Options'!$C:$C,$A70,'BSE - Other Index Options'!$B:$B,E$4))</f>
        <v/>
      </c>
      <c r="F70" s="26">
        <f>IF(SUMIFS('NSE - NIFTY Index Options'!$M:$M,'NSE - NIFTY Index Options'!$C:$C,$A70,'NSE - NIFTY Index Options'!$B:$B,F$4)+SUMIFS('NSE - Other Index Options'!$M:$M,'NSE - Other Index Options'!$C:$C,$A70,'NSE - Other Index Options'!$B:$B,F$4)+SUMIFS('BSE - SENSEX Index Options'!$M:$M,'BSE - SENSEX Index Options'!$C:$C,$A70,'BSE - SENSEX Index Options'!$B:$B,F$4)+SUMIFS('BSE - Other Index Options'!$M:$M,'BSE - Other Index Options'!$C:$C,$A70,'BSE - Other Index Options'!$B:$B,F$4)=0,"",SUMIFS('NSE - NIFTY Index Options'!$M:$M,'NSE - NIFTY Index Options'!$C:$C,$A70,'NSE - NIFTY Index Options'!$B:$B,F$4)+SUMIFS('NSE - Other Index Options'!$M:$M,'NSE - Other Index Options'!$C:$C,$A70,'NSE - Other Index Options'!$B:$B,F$4)+SUMIFS('BSE - SENSEX Index Options'!$M:$M,'BSE - SENSEX Index Options'!$C:$C,$A70,'BSE - SENSEX Index Options'!$B:$B,F$4)+SUMIFS('BSE - Other Index Options'!$M:$M,'BSE - Other Index Options'!$C:$C,$A70,'BSE - Other Index Options'!$B:$B,F$4))</f>
        <v/>
      </c>
      <c r="G70" s="26">
        <f>IF(SUMIFS('NSE - NIFTY Index Options'!$M:$M,'NSE - NIFTY Index Options'!$C:$C,$A70,'NSE - NIFTY Index Options'!$B:$B,G$4)+SUMIFS('NSE - Other Index Options'!$M:$M,'NSE - Other Index Options'!$C:$C,$A70,'NSE - Other Index Options'!$B:$B,G$4)+SUMIFS('BSE - SENSEX Index Options'!$M:$M,'BSE - SENSEX Index Options'!$C:$C,$A70,'BSE - SENSEX Index Options'!$B:$B,G$4)+SUMIFS('BSE - Other Index Options'!$M:$M,'BSE - Other Index Options'!$C:$C,$A70,'BSE - Other Index Options'!$B:$B,G$4)=0,"",SUMIFS('NSE - NIFTY Index Options'!$M:$M,'NSE - NIFTY Index Options'!$C:$C,$A70,'NSE - NIFTY Index Options'!$B:$B,G$4)+SUMIFS('NSE - Other Index Options'!$M:$M,'NSE - Other Index Options'!$C:$C,$A70,'NSE - Other Index Options'!$B:$B,G$4)+SUMIFS('BSE - SENSEX Index Options'!$M:$M,'BSE - SENSEX Index Options'!$C:$C,$A70,'BSE - SENSEX Index Options'!$B:$B,G$4)+SUMIFS('BSE - Other Index Options'!$M:$M,'BSE - Other Index Options'!$C:$C,$A70,'BSE - Other Index Options'!$B:$B,G$4))</f>
        <v/>
      </c>
      <c r="H70" s="26">
        <f>IF(SUM(B70:G70)=0,"",SUM(B70:G70))</f>
        <v/>
      </c>
    </row>
    <row r="71" hidden="1" outlineLevel="1">
      <c r="A71" t="inlineStr">
        <is>
          <t>Week3-Oct-2026</t>
        </is>
      </c>
      <c r="B71" s="26">
        <f>IF(SUMIFS('NSE - NIFTY Index Options'!$M:$M,'NSE - NIFTY Index Options'!$C:$C,$A71,'NSE - NIFTY Index Options'!$B:$B,B$4)+SUMIFS('NSE - Other Index Options'!$M:$M,'NSE - Other Index Options'!$C:$C,$A71,'NSE - Other Index Options'!$B:$B,B$4)+SUMIFS('BSE - SENSEX Index Options'!$M:$M,'BSE - SENSEX Index Options'!$C:$C,$A71,'BSE - SENSEX Index Options'!$B:$B,B$4)+SUMIFS('BSE - Other Index Options'!$M:$M,'BSE - Other Index Options'!$C:$C,$A71,'BSE - Other Index Options'!$B:$B,B$4)=0,"",SUMIFS('NSE - NIFTY Index Options'!$M:$M,'NSE - NIFTY Index Options'!$C:$C,$A71,'NSE - NIFTY Index Options'!$B:$B,B$4)+SUMIFS('NSE - Other Index Options'!$M:$M,'NSE - Other Index Options'!$C:$C,$A71,'NSE - Other Index Options'!$B:$B,B$4)+SUMIFS('BSE - SENSEX Index Options'!$M:$M,'BSE - SENSEX Index Options'!$C:$C,$A71,'BSE - SENSEX Index Options'!$B:$B,B$4)+SUMIFS('BSE - Other Index Options'!$M:$M,'BSE - Other Index Options'!$C:$C,$A71,'BSE - Other Index Options'!$B:$B,B$4))</f>
        <v/>
      </c>
      <c r="C71" s="26">
        <f>IF(SUMIFS('NSE - NIFTY Index Options'!$M:$M,'NSE - NIFTY Index Options'!$C:$C,$A71,'NSE - NIFTY Index Options'!$B:$B,C$4)+SUMIFS('NSE - Other Index Options'!$M:$M,'NSE - Other Index Options'!$C:$C,$A71,'NSE - Other Index Options'!$B:$B,C$4)+SUMIFS('BSE - SENSEX Index Options'!$M:$M,'BSE - SENSEX Index Options'!$C:$C,$A71,'BSE - SENSEX Index Options'!$B:$B,C$4)+SUMIFS('BSE - Other Index Options'!$M:$M,'BSE - Other Index Options'!$C:$C,$A71,'BSE - Other Index Options'!$B:$B,C$4)=0,"",SUMIFS('NSE - NIFTY Index Options'!$M:$M,'NSE - NIFTY Index Options'!$C:$C,$A71,'NSE - NIFTY Index Options'!$B:$B,C$4)+SUMIFS('NSE - Other Index Options'!$M:$M,'NSE - Other Index Options'!$C:$C,$A71,'NSE - Other Index Options'!$B:$B,C$4)+SUMIFS('BSE - SENSEX Index Options'!$M:$M,'BSE - SENSEX Index Options'!$C:$C,$A71,'BSE - SENSEX Index Options'!$B:$B,C$4)+SUMIFS('BSE - Other Index Options'!$M:$M,'BSE - Other Index Options'!$C:$C,$A71,'BSE - Other Index Options'!$B:$B,C$4))</f>
        <v/>
      </c>
      <c r="D71" s="26">
        <f>IF(SUMIFS('NSE - NIFTY Index Options'!$M:$M,'NSE - NIFTY Index Options'!$C:$C,$A71,'NSE - NIFTY Index Options'!$B:$B,D$4)+SUMIFS('NSE - Other Index Options'!$M:$M,'NSE - Other Index Options'!$C:$C,$A71,'NSE - Other Index Options'!$B:$B,D$4)+SUMIFS('BSE - SENSEX Index Options'!$M:$M,'BSE - SENSEX Index Options'!$C:$C,$A71,'BSE - SENSEX Index Options'!$B:$B,D$4)+SUMIFS('BSE - Other Index Options'!$M:$M,'BSE - Other Index Options'!$C:$C,$A71,'BSE - Other Index Options'!$B:$B,D$4)=0,"",SUMIFS('NSE - NIFTY Index Options'!$M:$M,'NSE - NIFTY Index Options'!$C:$C,$A71,'NSE - NIFTY Index Options'!$B:$B,D$4)+SUMIFS('NSE - Other Index Options'!$M:$M,'NSE - Other Index Options'!$C:$C,$A71,'NSE - Other Index Options'!$B:$B,D$4)+SUMIFS('BSE - SENSEX Index Options'!$M:$M,'BSE - SENSEX Index Options'!$C:$C,$A71,'BSE - SENSEX Index Options'!$B:$B,D$4)+SUMIFS('BSE - Other Index Options'!$M:$M,'BSE - Other Index Options'!$C:$C,$A71,'BSE - Other Index Options'!$B:$B,D$4))</f>
        <v/>
      </c>
      <c r="E71" s="26">
        <f>IF(SUMIFS('NSE - NIFTY Index Options'!$M:$M,'NSE - NIFTY Index Options'!$C:$C,$A71,'NSE - NIFTY Index Options'!$B:$B,E$4)+SUMIFS('NSE - Other Index Options'!$M:$M,'NSE - Other Index Options'!$C:$C,$A71,'NSE - Other Index Options'!$B:$B,E$4)+SUMIFS('BSE - SENSEX Index Options'!$M:$M,'BSE - SENSEX Index Options'!$C:$C,$A71,'BSE - SENSEX Index Options'!$B:$B,E$4)+SUMIFS('BSE - Other Index Options'!$M:$M,'BSE - Other Index Options'!$C:$C,$A71,'BSE - Other Index Options'!$B:$B,E$4)=0,"",SUMIFS('NSE - NIFTY Index Options'!$M:$M,'NSE - NIFTY Index Options'!$C:$C,$A71,'NSE - NIFTY Index Options'!$B:$B,E$4)+SUMIFS('NSE - Other Index Options'!$M:$M,'NSE - Other Index Options'!$C:$C,$A71,'NSE - Other Index Options'!$B:$B,E$4)+SUMIFS('BSE - SENSEX Index Options'!$M:$M,'BSE - SENSEX Index Options'!$C:$C,$A71,'BSE - SENSEX Index Options'!$B:$B,E$4)+SUMIFS('BSE - Other Index Options'!$M:$M,'BSE - Other Index Options'!$C:$C,$A71,'BSE - Other Index Options'!$B:$B,E$4))</f>
        <v/>
      </c>
      <c r="F71" s="26">
        <f>IF(SUMIFS('NSE - NIFTY Index Options'!$M:$M,'NSE - NIFTY Index Options'!$C:$C,$A71,'NSE - NIFTY Index Options'!$B:$B,F$4)+SUMIFS('NSE - Other Index Options'!$M:$M,'NSE - Other Index Options'!$C:$C,$A71,'NSE - Other Index Options'!$B:$B,F$4)+SUMIFS('BSE - SENSEX Index Options'!$M:$M,'BSE - SENSEX Index Options'!$C:$C,$A71,'BSE - SENSEX Index Options'!$B:$B,F$4)+SUMIFS('BSE - Other Index Options'!$M:$M,'BSE - Other Index Options'!$C:$C,$A71,'BSE - Other Index Options'!$B:$B,F$4)=0,"",SUMIFS('NSE - NIFTY Index Options'!$M:$M,'NSE - NIFTY Index Options'!$C:$C,$A71,'NSE - NIFTY Index Options'!$B:$B,F$4)+SUMIFS('NSE - Other Index Options'!$M:$M,'NSE - Other Index Options'!$C:$C,$A71,'NSE - Other Index Options'!$B:$B,F$4)+SUMIFS('BSE - SENSEX Index Options'!$M:$M,'BSE - SENSEX Index Options'!$C:$C,$A71,'BSE - SENSEX Index Options'!$B:$B,F$4)+SUMIFS('BSE - Other Index Options'!$M:$M,'BSE - Other Index Options'!$C:$C,$A71,'BSE - Other Index Options'!$B:$B,F$4))</f>
        <v/>
      </c>
      <c r="G71" s="26">
        <f>IF(SUMIFS('NSE - NIFTY Index Options'!$M:$M,'NSE - NIFTY Index Options'!$C:$C,$A71,'NSE - NIFTY Index Options'!$B:$B,G$4)+SUMIFS('NSE - Other Index Options'!$M:$M,'NSE - Other Index Options'!$C:$C,$A71,'NSE - Other Index Options'!$B:$B,G$4)+SUMIFS('BSE - SENSEX Index Options'!$M:$M,'BSE - SENSEX Index Options'!$C:$C,$A71,'BSE - SENSEX Index Options'!$B:$B,G$4)+SUMIFS('BSE - Other Index Options'!$M:$M,'BSE - Other Index Options'!$C:$C,$A71,'BSE - Other Index Options'!$B:$B,G$4)=0,"",SUMIFS('NSE - NIFTY Index Options'!$M:$M,'NSE - NIFTY Index Options'!$C:$C,$A71,'NSE - NIFTY Index Options'!$B:$B,G$4)+SUMIFS('NSE - Other Index Options'!$M:$M,'NSE - Other Index Options'!$C:$C,$A71,'NSE - Other Index Options'!$B:$B,G$4)+SUMIFS('BSE - SENSEX Index Options'!$M:$M,'BSE - SENSEX Index Options'!$C:$C,$A71,'BSE - SENSEX Index Options'!$B:$B,G$4)+SUMIFS('BSE - Other Index Options'!$M:$M,'BSE - Other Index Options'!$C:$C,$A71,'BSE - Other Index Options'!$B:$B,G$4))</f>
        <v/>
      </c>
      <c r="H71" s="26">
        <f>IF(SUM(B71:G71)=0,"",SUM(B71:G71))</f>
        <v/>
      </c>
    </row>
    <row r="72" hidden="1" outlineLevel="1">
      <c r="A72" t="inlineStr">
        <is>
          <t>Week4-Oct-2026</t>
        </is>
      </c>
      <c r="B72" s="26">
        <f>IF(SUMIFS('NSE - NIFTY Index Options'!$M:$M,'NSE - NIFTY Index Options'!$C:$C,$A72,'NSE - NIFTY Index Options'!$B:$B,B$4)+SUMIFS('NSE - Other Index Options'!$M:$M,'NSE - Other Index Options'!$C:$C,$A72,'NSE - Other Index Options'!$B:$B,B$4)+SUMIFS('BSE - SENSEX Index Options'!$M:$M,'BSE - SENSEX Index Options'!$C:$C,$A72,'BSE - SENSEX Index Options'!$B:$B,B$4)+SUMIFS('BSE - Other Index Options'!$M:$M,'BSE - Other Index Options'!$C:$C,$A72,'BSE - Other Index Options'!$B:$B,B$4)=0,"",SUMIFS('NSE - NIFTY Index Options'!$M:$M,'NSE - NIFTY Index Options'!$C:$C,$A72,'NSE - NIFTY Index Options'!$B:$B,B$4)+SUMIFS('NSE - Other Index Options'!$M:$M,'NSE - Other Index Options'!$C:$C,$A72,'NSE - Other Index Options'!$B:$B,B$4)+SUMIFS('BSE - SENSEX Index Options'!$M:$M,'BSE - SENSEX Index Options'!$C:$C,$A72,'BSE - SENSEX Index Options'!$B:$B,B$4)+SUMIFS('BSE - Other Index Options'!$M:$M,'BSE - Other Index Options'!$C:$C,$A72,'BSE - Other Index Options'!$B:$B,B$4))</f>
        <v/>
      </c>
      <c r="C72" s="26">
        <f>IF(SUMIFS('NSE - NIFTY Index Options'!$M:$M,'NSE - NIFTY Index Options'!$C:$C,$A72,'NSE - NIFTY Index Options'!$B:$B,C$4)+SUMIFS('NSE - Other Index Options'!$M:$M,'NSE - Other Index Options'!$C:$C,$A72,'NSE - Other Index Options'!$B:$B,C$4)+SUMIFS('BSE - SENSEX Index Options'!$M:$M,'BSE - SENSEX Index Options'!$C:$C,$A72,'BSE - SENSEX Index Options'!$B:$B,C$4)+SUMIFS('BSE - Other Index Options'!$M:$M,'BSE - Other Index Options'!$C:$C,$A72,'BSE - Other Index Options'!$B:$B,C$4)=0,"",SUMIFS('NSE - NIFTY Index Options'!$M:$M,'NSE - NIFTY Index Options'!$C:$C,$A72,'NSE - NIFTY Index Options'!$B:$B,C$4)+SUMIFS('NSE - Other Index Options'!$M:$M,'NSE - Other Index Options'!$C:$C,$A72,'NSE - Other Index Options'!$B:$B,C$4)+SUMIFS('BSE - SENSEX Index Options'!$M:$M,'BSE - SENSEX Index Options'!$C:$C,$A72,'BSE - SENSEX Index Options'!$B:$B,C$4)+SUMIFS('BSE - Other Index Options'!$M:$M,'BSE - Other Index Options'!$C:$C,$A72,'BSE - Other Index Options'!$B:$B,C$4))</f>
        <v/>
      </c>
      <c r="D72" s="26">
        <f>IF(SUMIFS('NSE - NIFTY Index Options'!$M:$M,'NSE - NIFTY Index Options'!$C:$C,$A72,'NSE - NIFTY Index Options'!$B:$B,D$4)+SUMIFS('NSE - Other Index Options'!$M:$M,'NSE - Other Index Options'!$C:$C,$A72,'NSE - Other Index Options'!$B:$B,D$4)+SUMIFS('BSE - SENSEX Index Options'!$M:$M,'BSE - SENSEX Index Options'!$C:$C,$A72,'BSE - SENSEX Index Options'!$B:$B,D$4)+SUMIFS('BSE - Other Index Options'!$M:$M,'BSE - Other Index Options'!$C:$C,$A72,'BSE - Other Index Options'!$B:$B,D$4)=0,"",SUMIFS('NSE - NIFTY Index Options'!$M:$M,'NSE - NIFTY Index Options'!$C:$C,$A72,'NSE - NIFTY Index Options'!$B:$B,D$4)+SUMIFS('NSE - Other Index Options'!$M:$M,'NSE - Other Index Options'!$C:$C,$A72,'NSE - Other Index Options'!$B:$B,D$4)+SUMIFS('BSE - SENSEX Index Options'!$M:$M,'BSE - SENSEX Index Options'!$C:$C,$A72,'BSE - SENSEX Index Options'!$B:$B,D$4)+SUMIFS('BSE - Other Index Options'!$M:$M,'BSE - Other Index Options'!$C:$C,$A72,'BSE - Other Index Options'!$B:$B,D$4))</f>
        <v/>
      </c>
      <c r="E72" s="26">
        <f>IF(SUMIFS('NSE - NIFTY Index Options'!$M:$M,'NSE - NIFTY Index Options'!$C:$C,$A72,'NSE - NIFTY Index Options'!$B:$B,E$4)+SUMIFS('NSE - Other Index Options'!$M:$M,'NSE - Other Index Options'!$C:$C,$A72,'NSE - Other Index Options'!$B:$B,E$4)+SUMIFS('BSE - SENSEX Index Options'!$M:$M,'BSE - SENSEX Index Options'!$C:$C,$A72,'BSE - SENSEX Index Options'!$B:$B,E$4)+SUMIFS('BSE - Other Index Options'!$M:$M,'BSE - Other Index Options'!$C:$C,$A72,'BSE - Other Index Options'!$B:$B,E$4)=0,"",SUMIFS('NSE - NIFTY Index Options'!$M:$M,'NSE - NIFTY Index Options'!$C:$C,$A72,'NSE - NIFTY Index Options'!$B:$B,E$4)+SUMIFS('NSE - Other Index Options'!$M:$M,'NSE - Other Index Options'!$C:$C,$A72,'NSE - Other Index Options'!$B:$B,E$4)+SUMIFS('BSE - SENSEX Index Options'!$M:$M,'BSE - SENSEX Index Options'!$C:$C,$A72,'BSE - SENSEX Index Options'!$B:$B,E$4)+SUMIFS('BSE - Other Index Options'!$M:$M,'BSE - Other Index Options'!$C:$C,$A72,'BSE - Other Index Options'!$B:$B,E$4))</f>
        <v/>
      </c>
      <c r="F72" s="26">
        <f>IF(SUMIFS('NSE - NIFTY Index Options'!$M:$M,'NSE - NIFTY Index Options'!$C:$C,$A72,'NSE - NIFTY Index Options'!$B:$B,F$4)+SUMIFS('NSE - Other Index Options'!$M:$M,'NSE - Other Index Options'!$C:$C,$A72,'NSE - Other Index Options'!$B:$B,F$4)+SUMIFS('BSE - SENSEX Index Options'!$M:$M,'BSE - SENSEX Index Options'!$C:$C,$A72,'BSE - SENSEX Index Options'!$B:$B,F$4)+SUMIFS('BSE - Other Index Options'!$M:$M,'BSE - Other Index Options'!$C:$C,$A72,'BSE - Other Index Options'!$B:$B,F$4)=0,"",SUMIFS('NSE - NIFTY Index Options'!$M:$M,'NSE - NIFTY Index Options'!$C:$C,$A72,'NSE - NIFTY Index Options'!$B:$B,F$4)+SUMIFS('NSE - Other Index Options'!$M:$M,'NSE - Other Index Options'!$C:$C,$A72,'NSE - Other Index Options'!$B:$B,F$4)+SUMIFS('BSE - SENSEX Index Options'!$M:$M,'BSE - SENSEX Index Options'!$C:$C,$A72,'BSE - SENSEX Index Options'!$B:$B,F$4)+SUMIFS('BSE - Other Index Options'!$M:$M,'BSE - Other Index Options'!$C:$C,$A72,'BSE - Other Index Options'!$B:$B,F$4))</f>
        <v/>
      </c>
      <c r="G72" s="26">
        <f>IF(SUMIFS('NSE - NIFTY Index Options'!$M:$M,'NSE - NIFTY Index Options'!$C:$C,$A72,'NSE - NIFTY Index Options'!$B:$B,G$4)+SUMIFS('NSE - Other Index Options'!$M:$M,'NSE - Other Index Options'!$C:$C,$A72,'NSE - Other Index Options'!$B:$B,G$4)+SUMIFS('BSE - SENSEX Index Options'!$M:$M,'BSE - SENSEX Index Options'!$C:$C,$A72,'BSE - SENSEX Index Options'!$B:$B,G$4)+SUMIFS('BSE - Other Index Options'!$M:$M,'BSE - Other Index Options'!$C:$C,$A72,'BSE - Other Index Options'!$B:$B,G$4)=0,"",SUMIFS('NSE - NIFTY Index Options'!$M:$M,'NSE - NIFTY Index Options'!$C:$C,$A72,'NSE - NIFTY Index Options'!$B:$B,G$4)+SUMIFS('NSE - Other Index Options'!$M:$M,'NSE - Other Index Options'!$C:$C,$A72,'NSE - Other Index Options'!$B:$B,G$4)+SUMIFS('BSE - SENSEX Index Options'!$M:$M,'BSE - SENSEX Index Options'!$C:$C,$A72,'BSE - SENSEX Index Options'!$B:$B,G$4)+SUMIFS('BSE - Other Index Options'!$M:$M,'BSE - Other Index Options'!$C:$C,$A72,'BSE - Other Index Options'!$B:$B,G$4))</f>
        <v/>
      </c>
      <c r="H72" s="26">
        <f>IF(SUM(B72:G72)=0,"",SUM(B72:G72))</f>
        <v/>
      </c>
    </row>
    <row r="73" hidden="1" outlineLevel="1">
      <c r="A73" t="inlineStr">
        <is>
          <t>Week5-Oct-2026</t>
        </is>
      </c>
      <c r="B73" s="26">
        <f>IF(SUMIFS('NSE - NIFTY Index Options'!$M:$M,'NSE - NIFTY Index Options'!$C:$C,$A73,'NSE - NIFTY Index Options'!$B:$B,B$4)+SUMIFS('NSE - Other Index Options'!$M:$M,'NSE - Other Index Options'!$C:$C,$A73,'NSE - Other Index Options'!$B:$B,B$4)+SUMIFS('BSE - SENSEX Index Options'!$M:$M,'BSE - SENSEX Index Options'!$C:$C,$A73,'BSE - SENSEX Index Options'!$B:$B,B$4)+SUMIFS('BSE - Other Index Options'!$M:$M,'BSE - Other Index Options'!$C:$C,$A73,'BSE - Other Index Options'!$B:$B,B$4)=0,"",SUMIFS('NSE - NIFTY Index Options'!$M:$M,'NSE - NIFTY Index Options'!$C:$C,$A73,'NSE - NIFTY Index Options'!$B:$B,B$4)+SUMIFS('NSE - Other Index Options'!$M:$M,'NSE - Other Index Options'!$C:$C,$A73,'NSE - Other Index Options'!$B:$B,B$4)+SUMIFS('BSE - SENSEX Index Options'!$M:$M,'BSE - SENSEX Index Options'!$C:$C,$A73,'BSE - SENSEX Index Options'!$B:$B,B$4)+SUMIFS('BSE - Other Index Options'!$M:$M,'BSE - Other Index Options'!$C:$C,$A73,'BSE - Other Index Options'!$B:$B,B$4))</f>
        <v/>
      </c>
      <c r="C73" s="26">
        <f>IF(SUMIFS('NSE - NIFTY Index Options'!$M:$M,'NSE - NIFTY Index Options'!$C:$C,$A73,'NSE - NIFTY Index Options'!$B:$B,C$4)+SUMIFS('NSE - Other Index Options'!$M:$M,'NSE - Other Index Options'!$C:$C,$A73,'NSE - Other Index Options'!$B:$B,C$4)+SUMIFS('BSE - SENSEX Index Options'!$M:$M,'BSE - SENSEX Index Options'!$C:$C,$A73,'BSE - SENSEX Index Options'!$B:$B,C$4)+SUMIFS('BSE - Other Index Options'!$M:$M,'BSE - Other Index Options'!$C:$C,$A73,'BSE - Other Index Options'!$B:$B,C$4)=0,"",SUMIFS('NSE - NIFTY Index Options'!$M:$M,'NSE - NIFTY Index Options'!$C:$C,$A73,'NSE - NIFTY Index Options'!$B:$B,C$4)+SUMIFS('NSE - Other Index Options'!$M:$M,'NSE - Other Index Options'!$C:$C,$A73,'NSE - Other Index Options'!$B:$B,C$4)+SUMIFS('BSE - SENSEX Index Options'!$M:$M,'BSE - SENSEX Index Options'!$C:$C,$A73,'BSE - SENSEX Index Options'!$B:$B,C$4)+SUMIFS('BSE - Other Index Options'!$M:$M,'BSE - Other Index Options'!$C:$C,$A73,'BSE - Other Index Options'!$B:$B,C$4))</f>
        <v/>
      </c>
      <c r="D73" s="26">
        <f>IF(SUMIFS('NSE - NIFTY Index Options'!$M:$M,'NSE - NIFTY Index Options'!$C:$C,$A73,'NSE - NIFTY Index Options'!$B:$B,D$4)+SUMIFS('NSE - Other Index Options'!$M:$M,'NSE - Other Index Options'!$C:$C,$A73,'NSE - Other Index Options'!$B:$B,D$4)+SUMIFS('BSE - SENSEX Index Options'!$M:$M,'BSE - SENSEX Index Options'!$C:$C,$A73,'BSE - SENSEX Index Options'!$B:$B,D$4)+SUMIFS('BSE - Other Index Options'!$M:$M,'BSE - Other Index Options'!$C:$C,$A73,'BSE - Other Index Options'!$B:$B,D$4)=0,"",SUMIFS('NSE - NIFTY Index Options'!$M:$M,'NSE - NIFTY Index Options'!$C:$C,$A73,'NSE - NIFTY Index Options'!$B:$B,D$4)+SUMIFS('NSE - Other Index Options'!$M:$M,'NSE - Other Index Options'!$C:$C,$A73,'NSE - Other Index Options'!$B:$B,D$4)+SUMIFS('BSE - SENSEX Index Options'!$M:$M,'BSE - SENSEX Index Options'!$C:$C,$A73,'BSE - SENSEX Index Options'!$B:$B,D$4)+SUMIFS('BSE - Other Index Options'!$M:$M,'BSE - Other Index Options'!$C:$C,$A73,'BSE - Other Index Options'!$B:$B,D$4))</f>
        <v/>
      </c>
      <c r="E73" s="26">
        <f>IF(SUMIFS('NSE - NIFTY Index Options'!$M:$M,'NSE - NIFTY Index Options'!$C:$C,$A73,'NSE - NIFTY Index Options'!$B:$B,E$4)+SUMIFS('NSE - Other Index Options'!$M:$M,'NSE - Other Index Options'!$C:$C,$A73,'NSE - Other Index Options'!$B:$B,E$4)+SUMIFS('BSE - SENSEX Index Options'!$M:$M,'BSE - SENSEX Index Options'!$C:$C,$A73,'BSE - SENSEX Index Options'!$B:$B,E$4)+SUMIFS('BSE - Other Index Options'!$M:$M,'BSE - Other Index Options'!$C:$C,$A73,'BSE - Other Index Options'!$B:$B,E$4)=0,"",SUMIFS('NSE - NIFTY Index Options'!$M:$M,'NSE - NIFTY Index Options'!$C:$C,$A73,'NSE - NIFTY Index Options'!$B:$B,E$4)+SUMIFS('NSE - Other Index Options'!$M:$M,'NSE - Other Index Options'!$C:$C,$A73,'NSE - Other Index Options'!$B:$B,E$4)+SUMIFS('BSE - SENSEX Index Options'!$M:$M,'BSE - SENSEX Index Options'!$C:$C,$A73,'BSE - SENSEX Index Options'!$B:$B,E$4)+SUMIFS('BSE - Other Index Options'!$M:$M,'BSE - Other Index Options'!$C:$C,$A73,'BSE - Other Index Options'!$B:$B,E$4))</f>
        <v/>
      </c>
      <c r="F73" s="26">
        <f>IF(SUMIFS('NSE - NIFTY Index Options'!$M:$M,'NSE - NIFTY Index Options'!$C:$C,$A73,'NSE - NIFTY Index Options'!$B:$B,F$4)+SUMIFS('NSE - Other Index Options'!$M:$M,'NSE - Other Index Options'!$C:$C,$A73,'NSE - Other Index Options'!$B:$B,F$4)+SUMIFS('BSE - SENSEX Index Options'!$M:$M,'BSE - SENSEX Index Options'!$C:$C,$A73,'BSE - SENSEX Index Options'!$B:$B,F$4)+SUMIFS('BSE - Other Index Options'!$M:$M,'BSE - Other Index Options'!$C:$C,$A73,'BSE - Other Index Options'!$B:$B,F$4)=0,"",SUMIFS('NSE - NIFTY Index Options'!$M:$M,'NSE - NIFTY Index Options'!$C:$C,$A73,'NSE - NIFTY Index Options'!$B:$B,F$4)+SUMIFS('NSE - Other Index Options'!$M:$M,'NSE - Other Index Options'!$C:$C,$A73,'NSE - Other Index Options'!$B:$B,F$4)+SUMIFS('BSE - SENSEX Index Options'!$M:$M,'BSE - SENSEX Index Options'!$C:$C,$A73,'BSE - SENSEX Index Options'!$B:$B,F$4)+SUMIFS('BSE - Other Index Options'!$M:$M,'BSE - Other Index Options'!$C:$C,$A73,'BSE - Other Index Options'!$B:$B,F$4))</f>
        <v/>
      </c>
      <c r="G73" s="26">
        <f>IF(SUMIFS('NSE - NIFTY Index Options'!$M:$M,'NSE - NIFTY Index Options'!$C:$C,$A73,'NSE - NIFTY Index Options'!$B:$B,G$4)+SUMIFS('NSE - Other Index Options'!$M:$M,'NSE - Other Index Options'!$C:$C,$A73,'NSE - Other Index Options'!$B:$B,G$4)+SUMIFS('BSE - SENSEX Index Options'!$M:$M,'BSE - SENSEX Index Options'!$C:$C,$A73,'BSE - SENSEX Index Options'!$B:$B,G$4)+SUMIFS('BSE - Other Index Options'!$M:$M,'BSE - Other Index Options'!$C:$C,$A73,'BSE - Other Index Options'!$B:$B,G$4)=0,"",SUMIFS('NSE - NIFTY Index Options'!$M:$M,'NSE - NIFTY Index Options'!$C:$C,$A73,'NSE - NIFTY Index Options'!$B:$B,G$4)+SUMIFS('NSE - Other Index Options'!$M:$M,'NSE - Other Index Options'!$C:$C,$A73,'NSE - Other Index Options'!$B:$B,G$4)+SUMIFS('BSE - SENSEX Index Options'!$M:$M,'BSE - SENSEX Index Options'!$C:$C,$A73,'BSE - SENSEX Index Options'!$B:$B,G$4)+SUMIFS('BSE - Other Index Options'!$M:$M,'BSE - Other Index Options'!$C:$C,$A73,'BSE - Other Index Options'!$B:$B,G$4))</f>
        <v/>
      </c>
      <c r="H73" s="26">
        <f>IF(SUM(B73:G73)=0,"",SUM(B73:G73))</f>
        <v/>
      </c>
    </row>
    <row r="74" hidden="1" outlineLevel="1">
      <c r="A74" t="inlineStr">
        <is>
          <t>Week1-Nov-2026</t>
        </is>
      </c>
      <c r="B74" s="26">
        <f>IF(SUMIFS('NSE - NIFTY Index Options'!$M:$M,'NSE - NIFTY Index Options'!$C:$C,$A74,'NSE - NIFTY Index Options'!$B:$B,B$4)+SUMIFS('NSE - Other Index Options'!$M:$M,'NSE - Other Index Options'!$C:$C,$A74,'NSE - Other Index Options'!$B:$B,B$4)+SUMIFS('BSE - SENSEX Index Options'!$M:$M,'BSE - SENSEX Index Options'!$C:$C,$A74,'BSE - SENSEX Index Options'!$B:$B,B$4)+SUMIFS('BSE - Other Index Options'!$M:$M,'BSE - Other Index Options'!$C:$C,$A74,'BSE - Other Index Options'!$B:$B,B$4)=0,"",SUMIFS('NSE - NIFTY Index Options'!$M:$M,'NSE - NIFTY Index Options'!$C:$C,$A74,'NSE - NIFTY Index Options'!$B:$B,B$4)+SUMIFS('NSE - Other Index Options'!$M:$M,'NSE - Other Index Options'!$C:$C,$A74,'NSE - Other Index Options'!$B:$B,B$4)+SUMIFS('BSE - SENSEX Index Options'!$M:$M,'BSE - SENSEX Index Options'!$C:$C,$A74,'BSE - SENSEX Index Options'!$B:$B,B$4)+SUMIFS('BSE - Other Index Options'!$M:$M,'BSE - Other Index Options'!$C:$C,$A74,'BSE - Other Index Options'!$B:$B,B$4))</f>
        <v/>
      </c>
      <c r="C74" s="26">
        <f>IF(SUMIFS('NSE - NIFTY Index Options'!$M:$M,'NSE - NIFTY Index Options'!$C:$C,$A74,'NSE - NIFTY Index Options'!$B:$B,C$4)+SUMIFS('NSE - Other Index Options'!$M:$M,'NSE - Other Index Options'!$C:$C,$A74,'NSE - Other Index Options'!$B:$B,C$4)+SUMIFS('BSE - SENSEX Index Options'!$M:$M,'BSE - SENSEX Index Options'!$C:$C,$A74,'BSE - SENSEX Index Options'!$B:$B,C$4)+SUMIFS('BSE - Other Index Options'!$M:$M,'BSE - Other Index Options'!$C:$C,$A74,'BSE - Other Index Options'!$B:$B,C$4)=0,"",SUMIFS('NSE - NIFTY Index Options'!$M:$M,'NSE - NIFTY Index Options'!$C:$C,$A74,'NSE - NIFTY Index Options'!$B:$B,C$4)+SUMIFS('NSE - Other Index Options'!$M:$M,'NSE - Other Index Options'!$C:$C,$A74,'NSE - Other Index Options'!$B:$B,C$4)+SUMIFS('BSE - SENSEX Index Options'!$M:$M,'BSE - SENSEX Index Options'!$C:$C,$A74,'BSE - SENSEX Index Options'!$B:$B,C$4)+SUMIFS('BSE - Other Index Options'!$M:$M,'BSE - Other Index Options'!$C:$C,$A74,'BSE - Other Index Options'!$B:$B,C$4))</f>
        <v/>
      </c>
      <c r="D74" s="26">
        <f>IF(SUMIFS('NSE - NIFTY Index Options'!$M:$M,'NSE - NIFTY Index Options'!$C:$C,$A74,'NSE - NIFTY Index Options'!$B:$B,D$4)+SUMIFS('NSE - Other Index Options'!$M:$M,'NSE - Other Index Options'!$C:$C,$A74,'NSE - Other Index Options'!$B:$B,D$4)+SUMIFS('BSE - SENSEX Index Options'!$M:$M,'BSE - SENSEX Index Options'!$C:$C,$A74,'BSE - SENSEX Index Options'!$B:$B,D$4)+SUMIFS('BSE - Other Index Options'!$M:$M,'BSE - Other Index Options'!$C:$C,$A74,'BSE - Other Index Options'!$B:$B,D$4)=0,"",SUMIFS('NSE - NIFTY Index Options'!$M:$M,'NSE - NIFTY Index Options'!$C:$C,$A74,'NSE - NIFTY Index Options'!$B:$B,D$4)+SUMIFS('NSE - Other Index Options'!$M:$M,'NSE - Other Index Options'!$C:$C,$A74,'NSE - Other Index Options'!$B:$B,D$4)+SUMIFS('BSE - SENSEX Index Options'!$M:$M,'BSE - SENSEX Index Options'!$C:$C,$A74,'BSE - SENSEX Index Options'!$B:$B,D$4)+SUMIFS('BSE - Other Index Options'!$M:$M,'BSE - Other Index Options'!$C:$C,$A74,'BSE - Other Index Options'!$B:$B,D$4))</f>
        <v/>
      </c>
      <c r="E74" s="26">
        <f>IF(SUMIFS('NSE - NIFTY Index Options'!$M:$M,'NSE - NIFTY Index Options'!$C:$C,$A74,'NSE - NIFTY Index Options'!$B:$B,E$4)+SUMIFS('NSE - Other Index Options'!$M:$M,'NSE - Other Index Options'!$C:$C,$A74,'NSE - Other Index Options'!$B:$B,E$4)+SUMIFS('BSE - SENSEX Index Options'!$M:$M,'BSE - SENSEX Index Options'!$C:$C,$A74,'BSE - SENSEX Index Options'!$B:$B,E$4)+SUMIFS('BSE - Other Index Options'!$M:$M,'BSE - Other Index Options'!$C:$C,$A74,'BSE - Other Index Options'!$B:$B,E$4)=0,"",SUMIFS('NSE - NIFTY Index Options'!$M:$M,'NSE - NIFTY Index Options'!$C:$C,$A74,'NSE - NIFTY Index Options'!$B:$B,E$4)+SUMIFS('NSE - Other Index Options'!$M:$M,'NSE - Other Index Options'!$C:$C,$A74,'NSE - Other Index Options'!$B:$B,E$4)+SUMIFS('BSE - SENSEX Index Options'!$M:$M,'BSE - SENSEX Index Options'!$C:$C,$A74,'BSE - SENSEX Index Options'!$B:$B,E$4)+SUMIFS('BSE - Other Index Options'!$M:$M,'BSE - Other Index Options'!$C:$C,$A74,'BSE - Other Index Options'!$B:$B,E$4))</f>
        <v/>
      </c>
      <c r="F74" s="26">
        <f>IF(SUMIFS('NSE - NIFTY Index Options'!$M:$M,'NSE - NIFTY Index Options'!$C:$C,$A74,'NSE - NIFTY Index Options'!$B:$B,F$4)+SUMIFS('NSE - Other Index Options'!$M:$M,'NSE - Other Index Options'!$C:$C,$A74,'NSE - Other Index Options'!$B:$B,F$4)+SUMIFS('BSE - SENSEX Index Options'!$M:$M,'BSE - SENSEX Index Options'!$C:$C,$A74,'BSE - SENSEX Index Options'!$B:$B,F$4)+SUMIFS('BSE - Other Index Options'!$M:$M,'BSE - Other Index Options'!$C:$C,$A74,'BSE - Other Index Options'!$B:$B,F$4)=0,"",SUMIFS('NSE - NIFTY Index Options'!$M:$M,'NSE - NIFTY Index Options'!$C:$C,$A74,'NSE - NIFTY Index Options'!$B:$B,F$4)+SUMIFS('NSE - Other Index Options'!$M:$M,'NSE - Other Index Options'!$C:$C,$A74,'NSE - Other Index Options'!$B:$B,F$4)+SUMIFS('BSE - SENSEX Index Options'!$M:$M,'BSE - SENSEX Index Options'!$C:$C,$A74,'BSE - SENSEX Index Options'!$B:$B,F$4)+SUMIFS('BSE - Other Index Options'!$M:$M,'BSE - Other Index Options'!$C:$C,$A74,'BSE - Other Index Options'!$B:$B,F$4))</f>
        <v/>
      </c>
      <c r="G74" s="26">
        <f>IF(SUMIFS('NSE - NIFTY Index Options'!$M:$M,'NSE - NIFTY Index Options'!$C:$C,$A74,'NSE - NIFTY Index Options'!$B:$B,G$4)+SUMIFS('NSE - Other Index Options'!$M:$M,'NSE - Other Index Options'!$C:$C,$A74,'NSE - Other Index Options'!$B:$B,G$4)+SUMIFS('BSE - SENSEX Index Options'!$M:$M,'BSE - SENSEX Index Options'!$C:$C,$A74,'BSE - SENSEX Index Options'!$B:$B,G$4)+SUMIFS('BSE - Other Index Options'!$M:$M,'BSE - Other Index Options'!$C:$C,$A74,'BSE - Other Index Options'!$B:$B,G$4)=0,"",SUMIFS('NSE - NIFTY Index Options'!$M:$M,'NSE - NIFTY Index Options'!$C:$C,$A74,'NSE - NIFTY Index Options'!$B:$B,G$4)+SUMIFS('NSE - Other Index Options'!$M:$M,'NSE - Other Index Options'!$C:$C,$A74,'NSE - Other Index Options'!$B:$B,G$4)+SUMIFS('BSE - SENSEX Index Options'!$M:$M,'BSE - SENSEX Index Options'!$C:$C,$A74,'BSE - SENSEX Index Options'!$B:$B,G$4)+SUMIFS('BSE - Other Index Options'!$M:$M,'BSE - Other Index Options'!$C:$C,$A74,'BSE - Other Index Options'!$B:$B,G$4))</f>
        <v/>
      </c>
      <c r="H74" s="26">
        <f>IF(SUM(B74:G74)=0,"",SUM(B74:G74))</f>
        <v/>
      </c>
    </row>
    <row r="75" hidden="1" outlineLevel="1">
      <c r="A75" t="inlineStr">
        <is>
          <t>Week2-Nov-2026</t>
        </is>
      </c>
      <c r="B75" s="26">
        <f>IF(SUMIFS('NSE - NIFTY Index Options'!$M:$M,'NSE - NIFTY Index Options'!$C:$C,$A75,'NSE - NIFTY Index Options'!$B:$B,B$4)+SUMIFS('NSE - Other Index Options'!$M:$M,'NSE - Other Index Options'!$C:$C,$A75,'NSE - Other Index Options'!$B:$B,B$4)+SUMIFS('BSE - SENSEX Index Options'!$M:$M,'BSE - SENSEX Index Options'!$C:$C,$A75,'BSE - SENSEX Index Options'!$B:$B,B$4)+SUMIFS('BSE - Other Index Options'!$M:$M,'BSE - Other Index Options'!$C:$C,$A75,'BSE - Other Index Options'!$B:$B,B$4)=0,"",SUMIFS('NSE - NIFTY Index Options'!$M:$M,'NSE - NIFTY Index Options'!$C:$C,$A75,'NSE - NIFTY Index Options'!$B:$B,B$4)+SUMIFS('NSE - Other Index Options'!$M:$M,'NSE - Other Index Options'!$C:$C,$A75,'NSE - Other Index Options'!$B:$B,B$4)+SUMIFS('BSE - SENSEX Index Options'!$M:$M,'BSE - SENSEX Index Options'!$C:$C,$A75,'BSE - SENSEX Index Options'!$B:$B,B$4)+SUMIFS('BSE - Other Index Options'!$M:$M,'BSE - Other Index Options'!$C:$C,$A75,'BSE - Other Index Options'!$B:$B,B$4))</f>
        <v/>
      </c>
      <c r="C75" s="26">
        <f>IF(SUMIFS('NSE - NIFTY Index Options'!$M:$M,'NSE - NIFTY Index Options'!$C:$C,$A75,'NSE - NIFTY Index Options'!$B:$B,C$4)+SUMIFS('NSE - Other Index Options'!$M:$M,'NSE - Other Index Options'!$C:$C,$A75,'NSE - Other Index Options'!$B:$B,C$4)+SUMIFS('BSE - SENSEX Index Options'!$M:$M,'BSE - SENSEX Index Options'!$C:$C,$A75,'BSE - SENSEX Index Options'!$B:$B,C$4)+SUMIFS('BSE - Other Index Options'!$M:$M,'BSE - Other Index Options'!$C:$C,$A75,'BSE - Other Index Options'!$B:$B,C$4)=0,"",SUMIFS('NSE - NIFTY Index Options'!$M:$M,'NSE - NIFTY Index Options'!$C:$C,$A75,'NSE - NIFTY Index Options'!$B:$B,C$4)+SUMIFS('NSE - Other Index Options'!$M:$M,'NSE - Other Index Options'!$C:$C,$A75,'NSE - Other Index Options'!$B:$B,C$4)+SUMIFS('BSE - SENSEX Index Options'!$M:$M,'BSE - SENSEX Index Options'!$C:$C,$A75,'BSE - SENSEX Index Options'!$B:$B,C$4)+SUMIFS('BSE - Other Index Options'!$M:$M,'BSE - Other Index Options'!$C:$C,$A75,'BSE - Other Index Options'!$B:$B,C$4))</f>
        <v/>
      </c>
      <c r="D75" s="26">
        <f>IF(SUMIFS('NSE - NIFTY Index Options'!$M:$M,'NSE - NIFTY Index Options'!$C:$C,$A75,'NSE - NIFTY Index Options'!$B:$B,D$4)+SUMIFS('NSE - Other Index Options'!$M:$M,'NSE - Other Index Options'!$C:$C,$A75,'NSE - Other Index Options'!$B:$B,D$4)+SUMIFS('BSE - SENSEX Index Options'!$M:$M,'BSE - SENSEX Index Options'!$C:$C,$A75,'BSE - SENSEX Index Options'!$B:$B,D$4)+SUMIFS('BSE - Other Index Options'!$M:$M,'BSE - Other Index Options'!$C:$C,$A75,'BSE - Other Index Options'!$B:$B,D$4)=0,"",SUMIFS('NSE - NIFTY Index Options'!$M:$M,'NSE - NIFTY Index Options'!$C:$C,$A75,'NSE - NIFTY Index Options'!$B:$B,D$4)+SUMIFS('NSE - Other Index Options'!$M:$M,'NSE - Other Index Options'!$C:$C,$A75,'NSE - Other Index Options'!$B:$B,D$4)+SUMIFS('BSE - SENSEX Index Options'!$M:$M,'BSE - SENSEX Index Options'!$C:$C,$A75,'BSE - SENSEX Index Options'!$B:$B,D$4)+SUMIFS('BSE - Other Index Options'!$M:$M,'BSE - Other Index Options'!$C:$C,$A75,'BSE - Other Index Options'!$B:$B,D$4))</f>
        <v/>
      </c>
      <c r="E75" s="26">
        <f>IF(SUMIFS('NSE - NIFTY Index Options'!$M:$M,'NSE - NIFTY Index Options'!$C:$C,$A75,'NSE - NIFTY Index Options'!$B:$B,E$4)+SUMIFS('NSE - Other Index Options'!$M:$M,'NSE - Other Index Options'!$C:$C,$A75,'NSE - Other Index Options'!$B:$B,E$4)+SUMIFS('BSE - SENSEX Index Options'!$M:$M,'BSE - SENSEX Index Options'!$C:$C,$A75,'BSE - SENSEX Index Options'!$B:$B,E$4)+SUMIFS('BSE - Other Index Options'!$M:$M,'BSE - Other Index Options'!$C:$C,$A75,'BSE - Other Index Options'!$B:$B,E$4)=0,"",SUMIFS('NSE - NIFTY Index Options'!$M:$M,'NSE - NIFTY Index Options'!$C:$C,$A75,'NSE - NIFTY Index Options'!$B:$B,E$4)+SUMIFS('NSE - Other Index Options'!$M:$M,'NSE - Other Index Options'!$C:$C,$A75,'NSE - Other Index Options'!$B:$B,E$4)+SUMIFS('BSE - SENSEX Index Options'!$M:$M,'BSE - SENSEX Index Options'!$C:$C,$A75,'BSE - SENSEX Index Options'!$B:$B,E$4)+SUMIFS('BSE - Other Index Options'!$M:$M,'BSE - Other Index Options'!$C:$C,$A75,'BSE - Other Index Options'!$B:$B,E$4))</f>
        <v/>
      </c>
      <c r="F75" s="26">
        <f>IF(SUMIFS('NSE - NIFTY Index Options'!$M:$M,'NSE - NIFTY Index Options'!$C:$C,$A75,'NSE - NIFTY Index Options'!$B:$B,F$4)+SUMIFS('NSE - Other Index Options'!$M:$M,'NSE - Other Index Options'!$C:$C,$A75,'NSE - Other Index Options'!$B:$B,F$4)+SUMIFS('BSE - SENSEX Index Options'!$M:$M,'BSE - SENSEX Index Options'!$C:$C,$A75,'BSE - SENSEX Index Options'!$B:$B,F$4)+SUMIFS('BSE - Other Index Options'!$M:$M,'BSE - Other Index Options'!$C:$C,$A75,'BSE - Other Index Options'!$B:$B,F$4)=0,"",SUMIFS('NSE - NIFTY Index Options'!$M:$M,'NSE - NIFTY Index Options'!$C:$C,$A75,'NSE - NIFTY Index Options'!$B:$B,F$4)+SUMIFS('NSE - Other Index Options'!$M:$M,'NSE - Other Index Options'!$C:$C,$A75,'NSE - Other Index Options'!$B:$B,F$4)+SUMIFS('BSE - SENSEX Index Options'!$M:$M,'BSE - SENSEX Index Options'!$C:$C,$A75,'BSE - SENSEX Index Options'!$B:$B,F$4)+SUMIFS('BSE - Other Index Options'!$M:$M,'BSE - Other Index Options'!$C:$C,$A75,'BSE - Other Index Options'!$B:$B,F$4))</f>
        <v/>
      </c>
      <c r="G75" s="26">
        <f>IF(SUMIFS('NSE - NIFTY Index Options'!$M:$M,'NSE - NIFTY Index Options'!$C:$C,$A75,'NSE - NIFTY Index Options'!$B:$B,G$4)+SUMIFS('NSE - Other Index Options'!$M:$M,'NSE - Other Index Options'!$C:$C,$A75,'NSE - Other Index Options'!$B:$B,G$4)+SUMIFS('BSE - SENSEX Index Options'!$M:$M,'BSE - SENSEX Index Options'!$C:$C,$A75,'BSE - SENSEX Index Options'!$B:$B,G$4)+SUMIFS('BSE - Other Index Options'!$M:$M,'BSE - Other Index Options'!$C:$C,$A75,'BSE - Other Index Options'!$B:$B,G$4)=0,"",SUMIFS('NSE - NIFTY Index Options'!$M:$M,'NSE - NIFTY Index Options'!$C:$C,$A75,'NSE - NIFTY Index Options'!$B:$B,G$4)+SUMIFS('NSE - Other Index Options'!$M:$M,'NSE - Other Index Options'!$C:$C,$A75,'NSE - Other Index Options'!$B:$B,G$4)+SUMIFS('BSE - SENSEX Index Options'!$M:$M,'BSE - SENSEX Index Options'!$C:$C,$A75,'BSE - SENSEX Index Options'!$B:$B,G$4)+SUMIFS('BSE - Other Index Options'!$M:$M,'BSE - Other Index Options'!$C:$C,$A75,'BSE - Other Index Options'!$B:$B,G$4))</f>
        <v/>
      </c>
      <c r="H75" s="26">
        <f>IF(SUM(B75:G75)=0,"",SUM(B75:G75))</f>
        <v/>
      </c>
    </row>
    <row r="76" hidden="1" outlineLevel="1">
      <c r="A76" t="inlineStr">
        <is>
          <t>Week3-Nov-2026</t>
        </is>
      </c>
      <c r="B76" s="26">
        <f>IF(SUMIFS('NSE - NIFTY Index Options'!$M:$M,'NSE - NIFTY Index Options'!$C:$C,$A76,'NSE - NIFTY Index Options'!$B:$B,B$4)+SUMIFS('NSE - Other Index Options'!$M:$M,'NSE - Other Index Options'!$C:$C,$A76,'NSE - Other Index Options'!$B:$B,B$4)+SUMIFS('BSE - SENSEX Index Options'!$M:$M,'BSE - SENSEX Index Options'!$C:$C,$A76,'BSE - SENSEX Index Options'!$B:$B,B$4)+SUMIFS('BSE - Other Index Options'!$M:$M,'BSE - Other Index Options'!$C:$C,$A76,'BSE - Other Index Options'!$B:$B,B$4)=0,"",SUMIFS('NSE - NIFTY Index Options'!$M:$M,'NSE - NIFTY Index Options'!$C:$C,$A76,'NSE - NIFTY Index Options'!$B:$B,B$4)+SUMIFS('NSE - Other Index Options'!$M:$M,'NSE - Other Index Options'!$C:$C,$A76,'NSE - Other Index Options'!$B:$B,B$4)+SUMIFS('BSE - SENSEX Index Options'!$M:$M,'BSE - SENSEX Index Options'!$C:$C,$A76,'BSE - SENSEX Index Options'!$B:$B,B$4)+SUMIFS('BSE - Other Index Options'!$M:$M,'BSE - Other Index Options'!$C:$C,$A76,'BSE - Other Index Options'!$B:$B,B$4))</f>
        <v/>
      </c>
      <c r="C76" s="26">
        <f>IF(SUMIFS('NSE - NIFTY Index Options'!$M:$M,'NSE - NIFTY Index Options'!$C:$C,$A76,'NSE - NIFTY Index Options'!$B:$B,C$4)+SUMIFS('NSE - Other Index Options'!$M:$M,'NSE - Other Index Options'!$C:$C,$A76,'NSE - Other Index Options'!$B:$B,C$4)+SUMIFS('BSE - SENSEX Index Options'!$M:$M,'BSE - SENSEX Index Options'!$C:$C,$A76,'BSE - SENSEX Index Options'!$B:$B,C$4)+SUMIFS('BSE - Other Index Options'!$M:$M,'BSE - Other Index Options'!$C:$C,$A76,'BSE - Other Index Options'!$B:$B,C$4)=0,"",SUMIFS('NSE - NIFTY Index Options'!$M:$M,'NSE - NIFTY Index Options'!$C:$C,$A76,'NSE - NIFTY Index Options'!$B:$B,C$4)+SUMIFS('NSE - Other Index Options'!$M:$M,'NSE - Other Index Options'!$C:$C,$A76,'NSE - Other Index Options'!$B:$B,C$4)+SUMIFS('BSE - SENSEX Index Options'!$M:$M,'BSE - SENSEX Index Options'!$C:$C,$A76,'BSE - SENSEX Index Options'!$B:$B,C$4)+SUMIFS('BSE - Other Index Options'!$M:$M,'BSE - Other Index Options'!$C:$C,$A76,'BSE - Other Index Options'!$B:$B,C$4))</f>
        <v/>
      </c>
      <c r="D76" s="26">
        <f>IF(SUMIFS('NSE - NIFTY Index Options'!$M:$M,'NSE - NIFTY Index Options'!$C:$C,$A76,'NSE - NIFTY Index Options'!$B:$B,D$4)+SUMIFS('NSE - Other Index Options'!$M:$M,'NSE - Other Index Options'!$C:$C,$A76,'NSE - Other Index Options'!$B:$B,D$4)+SUMIFS('BSE - SENSEX Index Options'!$M:$M,'BSE - SENSEX Index Options'!$C:$C,$A76,'BSE - SENSEX Index Options'!$B:$B,D$4)+SUMIFS('BSE - Other Index Options'!$M:$M,'BSE - Other Index Options'!$C:$C,$A76,'BSE - Other Index Options'!$B:$B,D$4)=0,"",SUMIFS('NSE - NIFTY Index Options'!$M:$M,'NSE - NIFTY Index Options'!$C:$C,$A76,'NSE - NIFTY Index Options'!$B:$B,D$4)+SUMIFS('NSE - Other Index Options'!$M:$M,'NSE - Other Index Options'!$C:$C,$A76,'NSE - Other Index Options'!$B:$B,D$4)+SUMIFS('BSE - SENSEX Index Options'!$M:$M,'BSE - SENSEX Index Options'!$C:$C,$A76,'BSE - SENSEX Index Options'!$B:$B,D$4)+SUMIFS('BSE - Other Index Options'!$M:$M,'BSE - Other Index Options'!$C:$C,$A76,'BSE - Other Index Options'!$B:$B,D$4))</f>
        <v/>
      </c>
      <c r="E76" s="26">
        <f>IF(SUMIFS('NSE - NIFTY Index Options'!$M:$M,'NSE - NIFTY Index Options'!$C:$C,$A76,'NSE - NIFTY Index Options'!$B:$B,E$4)+SUMIFS('NSE - Other Index Options'!$M:$M,'NSE - Other Index Options'!$C:$C,$A76,'NSE - Other Index Options'!$B:$B,E$4)+SUMIFS('BSE - SENSEX Index Options'!$M:$M,'BSE - SENSEX Index Options'!$C:$C,$A76,'BSE - SENSEX Index Options'!$B:$B,E$4)+SUMIFS('BSE - Other Index Options'!$M:$M,'BSE - Other Index Options'!$C:$C,$A76,'BSE - Other Index Options'!$B:$B,E$4)=0,"",SUMIFS('NSE - NIFTY Index Options'!$M:$M,'NSE - NIFTY Index Options'!$C:$C,$A76,'NSE - NIFTY Index Options'!$B:$B,E$4)+SUMIFS('NSE - Other Index Options'!$M:$M,'NSE - Other Index Options'!$C:$C,$A76,'NSE - Other Index Options'!$B:$B,E$4)+SUMIFS('BSE - SENSEX Index Options'!$M:$M,'BSE - SENSEX Index Options'!$C:$C,$A76,'BSE - SENSEX Index Options'!$B:$B,E$4)+SUMIFS('BSE - Other Index Options'!$M:$M,'BSE - Other Index Options'!$C:$C,$A76,'BSE - Other Index Options'!$B:$B,E$4))</f>
        <v/>
      </c>
      <c r="F76" s="26">
        <f>IF(SUMIFS('NSE - NIFTY Index Options'!$M:$M,'NSE - NIFTY Index Options'!$C:$C,$A76,'NSE - NIFTY Index Options'!$B:$B,F$4)+SUMIFS('NSE - Other Index Options'!$M:$M,'NSE - Other Index Options'!$C:$C,$A76,'NSE - Other Index Options'!$B:$B,F$4)+SUMIFS('BSE - SENSEX Index Options'!$M:$M,'BSE - SENSEX Index Options'!$C:$C,$A76,'BSE - SENSEX Index Options'!$B:$B,F$4)+SUMIFS('BSE - Other Index Options'!$M:$M,'BSE - Other Index Options'!$C:$C,$A76,'BSE - Other Index Options'!$B:$B,F$4)=0,"",SUMIFS('NSE - NIFTY Index Options'!$M:$M,'NSE - NIFTY Index Options'!$C:$C,$A76,'NSE - NIFTY Index Options'!$B:$B,F$4)+SUMIFS('NSE - Other Index Options'!$M:$M,'NSE - Other Index Options'!$C:$C,$A76,'NSE - Other Index Options'!$B:$B,F$4)+SUMIFS('BSE - SENSEX Index Options'!$M:$M,'BSE - SENSEX Index Options'!$C:$C,$A76,'BSE - SENSEX Index Options'!$B:$B,F$4)+SUMIFS('BSE - Other Index Options'!$M:$M,'BSE - Other Index Options'!$C:$C,$A76,'BSE - Other Index Options'!$B:$B,F$4))</f>
        <v/>
      </c>
      <c r="G76" s="26">
        <f>IF(SUMIFS('NSE - NIFTY Index Options'!$M:$M,'NSE - NIFTY Index Options'!$C:$C,$A76,'NSE - NIFTY Index Options'!$B:$B,G$4)+SUMIFS('NSE - Other Index Options'!$M:$M,'NSE - Other Index Options'!$C:$C,$A76,'NSE - Other Index Options'!$B:$B,G$4)+SUMIFS('BSE - SENSEX Index Options'!$M:$M,'BSE - SENSEX Index Options'!$C:$C,$A76,'BSE - SENSEX Index Options'!$B:$B,G$4)+SUMIFS('BSE - Other Index Options'!$M:$M,'BSE - Other Index Options'!$C:$C,$A76,'BSE - Other Index Options'!$B:$B,G$4)=0,"",SUMIFS('NSE - NIFTY Index Options'!$M:$M,'NSE - NIFTY Index Options'!$C:$C,$A76,'NSE - NIFTY Index Options'!$B:$B,G$4)+SUMIFS('NSE - Other Index Options'!$M:$M,'NSE - Other Index Options'!$C:$C,$A76,'NSE - Other Index Options'!$B:$B,G$4)+SUMIFS('BSE - SENSEX Index Options'!$M:$M,'BSE - SENSEX Index Options'!$C:$C,$A76,'BSE - SENSEX Index Options'!$B:$B,G$4)+SUMIFS('BSE - Other Index Options'!$M:$M,'BSE - Other Index Options'!$C:$C,$A76,'BSE - Other Index Options'!$B:$B,G$4))</f>
        <v/>
      </c>
      <c r="H76" s="26">
        <f>IF(SUM(B76:G76)=0,"",SUM(B76:G76))</f>
        <v/>
      </c>
    </row>
    <row r="77" hidden="1" outlineLevel="1">
      <c r="A77" t="inlineStr">
        <is>
          <t>Week4-Nov-2026</t>
        </is>
      </c>
      <c r="B77" s="26">
        <f>IF(SUMIFS('NSE - NIFTY Index Options'!$M:$M,'NSE - NIFTY Index Options'!$C:$C,$A77,'NSE - NIFTY Index Options'!$B:$B,B$4)+SUMIFS('NSE - Other Index Options'!$M:$M,'NSE - Other Index Options'!$C:$C,$A77,'NSE - Other Index Options'!$B:$B,B$4)+SUMIFS('BSE - SENSEX Index Options'!$M:$M,'BSE - SENSEX Index Options'!$C:$C,$A77,'BSE - SENSEX Index Options'!$B:$B,B$4)+SUMIFS('BSE - Other Index Options'!$M:$M,'BSE - Other Index Options'!$C:$C,$A77,'BSE - Other Index Options'!$B:$B,B$4)=0,"",SUMIFS('NSE - NIFTY Index Options'!$M:$M,'NSE - NIFTY Index Options'!$C:$C,$A77,'NSE - NIFTY Index Options'!$B:$B,B$4)+SUMIFS('NSE - Other Index Options'!$M:$M,'NSE - Other Index Options'!$C:$C,$A77,'NSE - Other Index Options'!$B:$B,B$4)+SUMIFS('BSE - SENSEX Index Options'!$M:$M,'BSE - SENSEX Index Options'!$C:$C,$A77,'BSE - SENSEX Index Options'!$B:$B,B$4)+SUMIFS('BSE - Other Index Options'!$M:$M,'BSE - Other Index Options'!$C:$C,$A77,'BSE - Other Index Options'!$B:$B,B$4))</f>
        <v/>
      </c>
      <c r="C77" s="26">
        <f>IF(SUMIFS('NSE - NIFTY Index Options'!$M:$M,'NSE - NIFTY Index Options'!$C:$C,$A77,'NSE - NIFTY Index Options'!$B:$B,C$4)+SUMIFS('NSE - Other Index Options'!$M:$M,'NSE - Other Index Options'!$C:$C,$A77,'NSE - Other Index Options'!$B:$B,C$4)+SUMIFS('BSE - SENSEX Index Options'!$M:$M,'BSE - SENSEX Index Options'!$C:$C,$A77,'BSE - SENSEX Index Options'!$B:$B,C$4)+SUMIFS('BSE - Other Index Options'!$M:$M,'BSE - Other Index Options'!$C:$C,$A77,'BSE - Other Index Options'!$B:$B,C$4)=0,"",SUMIFS('NSE - NIFTY Index Options'!$M:$M,'NSE - NIFTY Index Options'!$C:$C,$A77,'NSE - NIFTY Index Options'!$B:$B,C$4)+SUMIFS('NSE - Other Index Options'!$M:$M,'NSE - Other Index Options'!$C:$C,$A77,'NSE - Other Index Options'!$B:$B,C$4)+SUMIFS('BSE - SENSEX Index Options'!$M:$M,'BSE - SENSEX Index Options'!$C:$C,$A77,'BSE - SENSEX Index Options'!$B:$B,C$4)+SUMIFS('BSE - Other Index Options'!$M:$M,'BSE - Other Index Options'!$C:$C,$A77,'BSE - Other Index Options'!$B:$B,C$4))</f>
        <v/>
      </c>
      <c r="D77" s="26">
        <f>IF(SUMIFS('NSE - NIFTY Index Options'!$M:$M,'NSE - NIFTY Index Options'!$C:$C,$A77,'NSE - NIFTY Index Options'!$B:$B,D$4)+SUMIFS('NSE - Other Index Options'!$M:$M,'NSE - Other Index Options'!$C:$C,$A77,'NSE - Other Index Options'!$B:$B,D$4)+SUMIFS('BSE - SENSEX Index Options'!$M:$M,'BSE - SENSEX Index Options'!$C:$C,$A77,'BSE - SENSEX Index Options'!$B:$B,D$4)+SUMIFS('BSE - Other Index Options'!$M:$M,'BSE - Other Index Options'!$C:$C,$A77,'BSE - Other Index Options'!$B:$B,D$4)=0,"",SUMIFS('NSE - NIFTY Index Options'!$M:$M,'NSE - NIFTY Index Options'!$C:$C,$A77,'NSE - NIFTY Index Options'!$B:$B,D$4)+SUMIFS('NSE - Other Index Options'!$M:$M,'NSE - Other Index Options'!$C:$C,$A77,'NSE - Other Index Options'!$B:$B,D$4)+SUMIFS('BSE - SENSEX Index Options'!$M:$M,'BSE - SENSEX Index Options'!$C:$C,$A77,'BSE - SENSEX Index Options'!$B:$B,D$4)+SUMIFS('BSE - Other Index Options'!$M:$M,'BSE - Other Index Options'!$C:$C,$A77,'BSE - Other Index Options'!$B:$B,D$4))</f>
        <v/>
      </c>
      <c r="E77" s="26">
        <f>IF(SUMIFS('NSE - NIFTY Index Options'!$M:$M,'NSE - NIFTY Index Options'!$C:$C,$A77,'NSE - NIFTY Index Options'!$B:$B,E$4)+SUMIFS('NSE - Other Index Options'!$M:$M,'NSE - Other Index Options'!$C:$C,$A77,'NSE - Other Index Options'!$B:$B,E$4)+SUMIFS('BSE - SENSEX Index Options'!$M:$M,'BSE - SENSEX Index Options'!$C:$C,$A77,'BSE - SENSEX Index Options'!$B:$B,E$4)+SUMIFS('BSE - Other Index Options'!$M:$M,'BSE - Other Index Options'!$C:$C,$A77,'BSE - Other Index Options'!$B:$B,E$4)=0,"",SUMIFS('NSE - NIFTY Index Options'!$M:$M,'NSE - NIFTY Index Options'!$C:$C,$A77,'NSE - NIFTY Index Options'!$B:$B,E$4)+SUMIFS('NSE - Other Index Options'!$M:$M,'NSE - Other Index Options'!$C:$C,$A77,'NSE - Other Index Options'!$B:$B,E$4)+SUMIFS('BSE - SENSEX Index Options'!$M:$M,'BSE - SENSEX Index Options'!$C:$C,$A77,'BSE - SENSEX Index Options'!$B:$B,E$4)+SUMIFS('BSE - Other Index Options'!$M:$M,'BSE - Other Index Options'!$C:$C,$A77,'BSE - Other Index Options'!$B:$B,E$4))</f>
        <v/>
      </c>
      <c r="F77" s="26">
        <f>IF(SUMIFS('NSE - NIFTY Index Options'!$M:$M,'NSE - NIFTY Index Options'!$C:$C,$A77,'NSE - NIFTY Index Options'!$B:$B,F$4)+SUMIFS('NSE - Other Index Options'!$M:$M,'NSE - Other Index Options'!$C:$C,$A77,'NSE - Other Index Options'!$B:$B,F$4)+SUMIFS('BSE - SENSEX Index Options'!$M:$M,'BSE - SENSEX Index Options'!$C:$C,$A77,'BSE - SENSEX Index Options'!$B:$B,F$4)+SUMIFS('BSE - Other Index Options'!$M:$M,'BSE - Other Index Options'!$C:$C,$A77,'BSE - Other Index Options'!$B:$B,F$4)=0,"",SUMIFS('NSE - NIFTY Index Options'!$M:$M,'NSE - NIFTY Index Options'!$C:$C,$A77,'NSE - NIFTY Index Options'!$B:$B,F$4)+SUMIFS('NSE - Other Index Options'!$M:$M,'NSE - Other Index Options'!$C:$C,$A77,'NSE - Other Index Options'!$B:$B,F$4)+SUMIFS('BSE - SENSEX Index Options'!$M:$M,'BSE - SENSEX Index Options'!$C:$C,$A77,'BSE - SENSEX Index Options'!$B:$B,F$4)+SUMIFS('BSE - Other Index Options'!$M:$M,'BSE - Other Index Options'!$C:$C,$A77,'BSE - Other Index Options'!$B:$B,F$4))</f>
        <v/>
      </c>
      <c r="G77" s="26">
        <f>IF(SUMIFS('NSE - NIFTY Index Options'!$M:$M,'NSE - NIFTY Index Options'!$C:$C,$A77,'NSE - NIFTY Index Options'!$B:$B,G$4)+SUMIFS('NSE - Other Index Options'!$M:$M,'NSE - Other Index Options'!$C:$C,$A77,'NSE - Other Index Options'!$B:$B,G$4)+SUMIFS('BSE - SENSEX Index Options'!$M:$M,'BSE - SENSEX Index Options'!$C:$C,$A77,'BSE - SENSEX Index Options'!$B:$B,G$4)+SUMIFS('BSE - Other Index Options'!$M:$M,'BSE - Other Index Options'!$C:$C,$A77,'BSE - Other Index Options'!$B:$B,G$4)=0,"",SUMIFS('NSE - NIFTY Index Options'!$M:$M,'NSE - NIFTY Index Options'!$C:$C,$A77,'NSE - NIFTY Index Options'!$B:$B,G$4)+SUMIFS('NSE - Other Index Options'!$M:$M,'NSE - Other Index Options'!$C:$C,$A77,'NSE - Other Index Options'!$B:$B,G$4)+SUMIFS('BSE - SENSEX Index Options'!$M:$M,'BSE - SENSEX Index Options'!$C:$C,$A77,'BSE - SENSEX Index Options'!$B:$B,G$4)+SUMIFS('BSE - Other Index Options'!$M:$M,'BSE - Other Index Options'!$C:$C,$A77,'BSE - Other Index Options'!$B:$B,G$4))</f>
        <v/>
      </c>
      <c r="H77" s="26">
        <f>IF(SUM(B77:G77)=0,"",SUM(B77:G77))</f>
        <v/>
      </c>
    </row>
    <row r="78" hidden="1" outlineLevel="1">
      <c r="A78" t="inlineStr">
        <is>
          <t>Week5-Nov-2026</t>
        </is>
      </c>
      <c r="B78" s="26">
        <f>IF(SUMIFS('NSE - NIFTY Index Options'!$M:$M,'NSE - NIFTY Index Options'!$C:$C,$A78,'NSE - NIFTY Index Options'!$B:$B,B$4)+SUMIFS('NSE - Other Index Options'!$M:$M,'NSE - Other Index Options'!$C:$C,$A78,'NSE - Other Index Options'!$B:$B,B$4)+SUMIFS('BSE - SENSEX Index Options'!$M:$M,'BSE - SENSEX Index Options'!$C:$C,$A78,'BSE - SENSEX Index Options'!$B:$B,B$4)+SUMIFS('BSE - Other Index Options'!$M:$M,'BSE - Other Index Options'!$C:$C,$A78,'BSE - Other Index Options'!$B:$B,B$4)=0,"",SUMIFS('NSE - NIFTY Index Options'!$M:$M,'NSE - NIFTY Index Options'!$C:$C,$A78,'NSE - NIFTY Index Options'!$B:$B,B$4)+SUMIFS('NSE - Other Index Options'!$M:$M,'NSE - Other Index Options'!$C:$C,$A78,'NSE - Other Index Options'!$B:$B,B$4)+SUMIFS('BSE - SENSEX Index Options'!$M:$M,'BSE - SENSEX Index Options'!$C:$C,$A78,'BSE - SENSEX Index Options'!$B:$B,B$4)+SUMIFS('BSE - Other Index Options'!$M:$M,'BSE - Other Index Options'!$C:$C,$A78,'BSE - Other Index Options'!$B:$B,B$4))</f>
        <v/>
      </c>
      <c r="C78" s="26">
        <f>IF(SUMIFS('NSE - NIFTY Index Options'!$M:$M,'NSE - NIFTY Index Options'!$C:$C,$A78,'NSE - NIFTY Index Options'!$B:$B,C$4)+SUMIFS('NSE - Other Index Options'!$M:$M,'NSE - Other Index Options'!$C:$C,$A78,'NSE - Other Index Options'!$B:$B,C$4)+SUMIFS('BSE - SENSEX Index Options'!$M:$M,'BSE - SENSEX Index Options'!$C:$C,$A78,'BSE - SENSEX Index Options'!$B:$B,C$4)+SUMIFS('BSE - Other Index Options'!$M:$M,'BSE - Other Index Options'!$C:$C,$A78,'BSE - Other Index Options'!$B:$B,C$4)=0,"",SUMIFS('NSE - NIFTY Index Options'!$M:$M,'NSE - NIFTY Index Options'!$C:$C,$A78,'NSE - NIFTY Index Options'!$B:$B,C$4)+SUMIFS('NSE - Other Index Options'!$M:$M,'NSE - Other Index Options'!$C:$C,$A78,'NSE - Other Index Options'!$B:$B,C$4)+SUMIFS('BSE - SENSEX Index Options'!$M:$M,'BSE - SENSEX Index Options'!$C:$C,$A78,'BSE - SENSEX Index Options'!$B:$B,C$4)+SUMIFS('BSE - Other Index Options'!$M:$M,'BSE - Other Index Options'!$C:$C,$A78,'BSE - Other Index Options'!$B:$B,C$4))</f>
        <v/>
      </c>
      <c r="D78" s="26">
        <f>IF(SUMIFS('NSE - NIFTY Index Options'!$M:$M,'NSE - NIFTY Index Options'!$C:$C,$A78,'NSE - NIFTY Index Options'!$B:$B,D$4)+SUMIFS('NSE - Other Index Options'!$M:$M,'NSE - Other Index Options'!$C:$C,$A78,'NSE - Other Index Options'!$B:$B,D$4)+SUMIFS('BSE - SENSEX Index Options'!$M:$M,'BSE - SENSEX Index Options'!$C:$C,$A78,'BSE - SENSEX Index Options'!$B:$B,D$4)+SUMIFS('BSE - Other Index Options'!$M:$M,'BSE - Other Index Options'!$C:$C,$A78,'BSE - Other Index Options'!$B:$B,D$4)=0,"",SUMIFS('NSE - NIFTY Index Options'!$M:$M,'NSE - NIFTY Index Options'!$C:$C,$A78,'NSE - NIFTY Index Options'!$B:$B,D$4)+SUMIFS('NSE - Other Index Options'!$M:$M,'NSE - Other Index Options'!$C:$C,$A78,'NSE - Other Index Options'!$B:$B,D$4)+SUMIFS('BSE - SENSEX Index Options'!$M:$M,'BSE - SENSEX Index Options'!$C:$C,$A78,'BSE - SENSEX Index Options'!$B:$B,D$4)+SUMIFS('BSE - Other Index Options'!$M:$M,'BSE - Other Index Options'!$C:$C,$A78,'BSE - Other Index Options'!$B:$B,D$4))</f>
        <v/>
      </c>
      <c r="E78" s="26">
        <f>IF(SUMIFS('NSE - NIFTY Index Options'!$M:$M,'NSE - NIFTY Index Options'!$C:$C,$A78,'NSE - NIFTY Index Options'!$B:$B,E$4)+SUMIFS('NSE - Other Index Options'!$M:$M,'NSE - Other Index Options'!$C:$C,$A78,'NSE - Other Index Options'!$B:$B,E$4)+SUMIFS('BSE - SENSEX Index Options'!$M:$M,'BSE - SENSEX Index Options'!$C:$C,$A78,'BSE - SENSEX Index Options'!$B:$B,E$4)+SUMIFS('BSE - Other Index Options'!$M:$M,'BSE - Other Index Options'!$C:$C,$A78,'BSE - Other Index Options'!$B:$B,E$4)=0,"",SUMIFS('NSE - NIFTY Index Options'!$M:$M,'NSE - NIFTY Index Options'!$C:$C,$A78,'NSE - NIFTY Index Options'!$B:$B,E$4)+SUMIFS('NSE - Other Index Options'!$M:$M,'NSE - Other Index Options'!$C:$C,$A78,'NSE - Other Index Options'!$B:$B,E$4)+SUMIFS('BSE - SENSEX Index Options'!$M:$M,'BSE - SENSEX Index Options'!$C:$C,$A78,'BSE - SENSEX Index Options'!$B:$B,E$4)+SUMIFS('BSE - Other Index Options'!$M:$M,'BSE - Other Index Options'!$C:$C,$A78,'BSE - Other Index Options'!$B:$B,E$4))</f>
        <v/>
      </c>
      <c r="F78" s="26">
        <f>IF(SUMIFS('NSE - NIFTY Index Options'!$M:$M,'NSE - NIFTY Index Options'!$C:$C,$A78,'NSE - NIFTY Index Options'!$B:$B,F$4)+SUMIFS('NSE - Other Index Options'!$M:$M,'NSE - Other Index Options'!$C:$C,$A78,'NSE - Other Index Options'!$B:$B,F$4)+SUMIFS('BSE - SENSEX Index Options'!$M:$M,'BSE - SENSEX Index Options'!$C:$C,$A78,'BSE - SENSEX Index Options'!$B:$B,F$4)+SUMIFS('BSE - Other Index Options'!$M:$M,'BSE - Other Index Options'!$C:$C,$A78,'BSE - Other Index Options'!$B:$B,F$4)=0,"",SUMIFS('NSE - NIFTY Index Options'!$M:$M,'NSE - NIFTY Index Options'!$C:$C,$A78,'NSE - NIFTY Index Options'!$B:$B,F$4)+SUMIFS('NSE - Other Index Options'!$M:$M,'NSE - Other Index Options'!$C:$C,$A78,'NSE - Other Index Options'!$B:$B,F$4)+SUMIFS('BSE - SENSEX Index Options'!$M:$M,'BSE - SENSEX Index Options'!$C:$C,$A78,'BSE - SENSEX Index Options'!$B:$B,F$4)+SUMIFS('BSE - Other Index Options'!$M:$M,'BSE - Other Index Options'!$C:$C,$A78,'BSE - Other Index Options'!$B:$B,F$4))</f>
        <v/>
      </c>
      <c r="G78" s="26">
        <f>IF(SUMIFS('NSE - NIFTY Index Options'!$M:$M,'NSE - NIFTY Index Options'!$C:$C,$A78,'NSE - NIFTY Index Options'!$B:$B,G$4)+SUMIFS('NSE - Other Index Options'!$M:$M,'NSE - Other Index Options'!$C:$C,$A78,'NSE - Other Index Options'!$B:$B,G$4)+SUMIFS('BSE - SENSEX Index Options'!$M:$M,'BSE - SENSEX Index Options'!$C:$C,$A78,'BSE - SENSEX Index Options'!$B:$B,G$4)+SUMIFS('BSE - Other Index Options'!$M:$M,'BSE - Other Index Options'!$C:$C,$A78,'BSE - Other Index Options'!$B:$B,G$4)=0,"",SUMIFS('NSE - NIFTY Index Options'!$M:$M,'NSE - NIFTY Index Options'!$C:$C,$A78,'NSE - NIFTY Index Options'!$B:$B,G$4)+SUMIFS('NSE - Other Index Options'!$M:$M,'NSE - Other Index Options'!$C:$C,$A78,'NSE - Other Index Options'!$B:$B,G$4)+SUMIFS('BSE - SENSEX Index Options'!$M:$M,'BSE - SENSEX Index Options'!$C:$C,$A78,'BSE - SENSEX Index Options'!$B:$B,G$4)+SUMIFS('BSE - Other Index Options'!$M:$M,'BSE - Other Index Options'!$C:$C,$A78,'BSE - Other Index Options'!$B:$B,G$4))</f>
        <v/>
      </c>
      <c r="H78" s="26">
        <f>IF(SUM(B78:G78)=0,"",SUM(B78:G78))</f>
        <v/>
      </c>
    </row>
    <row r="79" hidden="1" outlineLevel="1">
      <c r="A79" t="inlineStr">
        <is>
          <t>Week1-Dec-2026</t>
        </is>
      </c>
      <c r="B79" s="26">
        <f>IF(SUMIFS('NSE - NIFTY Index Options'!$M:$M,'NSE - NIFTY Index Options'!$C:$C,$A79,'NSE - NIFTY Index Options'!$B:$B,B$4)+SUMIFS('NSE - Other Index Options'!$M:$M,'NSE - Other Index Options'!$C:$C,$A79,'NSE - Other Index Options'!$B:$B,B$4)+SUMIFS('BSE - SENSEX Index Options'!$M:$M,'BSE - SENSEX Index Options'!$C:$C,$A79,'BSE - SENSEX Index Options'!$B:$B,B$4)+SUMIFS('BSE - Other Index Options'!$M:$M,'BSE - Other Index Options'!$C:$C,$A79,'BSE - Other Index Options'!$B:$B,B$4)=0,"",SUMIFS('NSE - NIFTY Index Options'!$M:$M,'NSE - NIFTY Index Options'!$C:$C,$A79,'NSE - NIFTY Index Options'!$B:$B,B$4)+SUMIFS('NSE - Other Index Options'!$M:$M,'NSE - Other Index Options'!$C:$C,$A79,'NSE - Other Index Options'!$B:$B,B$4)+SUMIFS('BSE - SENSEX Index Options'!$M:$M,'BSE - SENSEX Index Options'!$C:$C,$A79,'BSE - SENSEX Index Options'!$B:$B,B$4)+SUMIFS('BSE - Other Index Options'!$M:$M,'BSE - Other Index Options'!$C:$C,$A79,'BSE - Other Index Options'!$B:$B,B$4))</f>
        <v/>
      </c>
      <c r="C79" s="26">
        <f>IF(SUMIFS('NSE - NIFTY Index Options'!$M:$M,'NSE - NIFTY Index Options'!$C:$C,$A79,'NSE - NIFTY Index Options'!$B:$B,C$4)+SUMIFS('NSE - Other Index Options'!$M:$M,'NSE - Other Index Options'!$C:$C,$A79,'NSE - Other Index Options'!$B:$B,C$4)+SUMIFS('BSE - SENSEX Index Options'!$M:$M,'BSE - SENSEX Index Options'!$C:$C,$A79,'BSE - SENSEX Index Options'!$B:$B,C$4)+SUMIFS('BSE - Other Index Options'!$M:$M,'BSE - Other Index Options'!$C:$C,$A79,'BSE - Other Index Options'!$B:$B,C$4)=0,"",SUMIFS('NSE - NIFTY Index Options'!$M:$M,'NSE - NIFTY Index Options'!$C:$C,$A79,'NSE - NIFTY Index Options'!$B:$B,C$4)+SUMIFS('NSE - Other Index Options'!$M:$M,'NSE - Other Index Options'!$C:$C,$A79,'NSE - Other Index Options'!$B:$B,C$4)+SUMIFS('BSE - SENSEX Index Options'!$M:$M,'BSE - SENSEX Index Options'!$C:$C,$A79,'BSE - SENSEX Index Options'!$B:$B,C$4)+SUMIFS('BSE - Other Index Options'!$M:$M,'BSE - Other Index Options'!$C:$C,$A79,'BSE - Other Index Options'!$B:$B,C$4))</f>
        <v/>
      </c>
      <c r="D79" s="26">
        <f>IF(SUMIFS('NSE - NIFTY Index Options'!$M:$M,'NSE - NIFTY Index Options'!$C:$C,$A79,'NSE - NIFTY Index Options'!$B:$B,D$4)+SUMIFS('NSE - Other Index Options'!$M:$M,'NSE - Other Index Options'!$C:$C,$A79,'NSE - Other Index Options'!$B:$B,D$4)+SUMIFS('BSE - SENSEX Index Options'!$M:$M,'BSE - SENSEX Index Options'!$C:$C,$A79,'BSE - SENSEX Index Options'!$B:$B,D$4)+SUMIFS('BSE - Other Index Options'!$M:$M,'BSE - Other Index Options'!$C:$C,$A79,'BSE - Other Index Options'!$B:$B,D$4)=0,"",SUMIFS('NSE - NIFTY Index Options'!$M:$M,'NSE - NIFTY Index Options'!$C:$C,$A79,'NSE - NIFTY Index Options'!$B:$B,D$4)+SUMIFS('NSE - Other Index Options'!$M:$M,'NSE - Other Index Options'!$C:$C,$A79,'NSE - Other Index Options'!$B:$B,D$4)+SUMIFS('BSE - SENSEX Index Options'!$M:$M,'BSE - SENSEX Index Options'!$C:$C,$A79,'BSE - SENSEX Index Options'!$B:$B,D$4)+SUMIFS('BSE - Other Index Options'!$M:$M,'BSE - Other Index Options'!$C:$C,$A79,'BSE - Other Index Options'!$B:$B,D$4))</f>
        <v/>
      </c>
      <c r="E79" s="26">
        <f>IF(SUMIFS('NSE - NIFTY Index Options'!$M:$M,'NSE - NIFTY Index Options'!$C:$C,$A79,'NSE - NIFTY Index Options'!$B:$B,E$4)+SUMIFS('NSE - Other Index Options'!$M:$M,'NSE - Other Index Options'!$C:$C,$A79,'NSE - Other Index Options'!$B:$B,E$4)+SUMIFS('BSE - SENSEX Index Options'!$M:$M,'BSE - SENSEX Index Options'!$C:$C,$A79,'BSE - SENSEX Index Options'!$B:$B,E$4)+SUMIFS('BSE - Other Index Options'!$M:$M,'BSE - Other Index Options'!$C:$C,$A79,'BSE - Other Index Options'!$B:$B,E$4)=0,"",SUMIFS('NSE - NIFTY Index Options'!$M:$M,'NSE - NIFTY Index Options'!$C:$C,$A79,'NSE - NIFTY Index Options'!$B:$B,E$4)+SUMIFS('NSE - Other Index Options'!$M:$M,'NSE - Other Index Options'!$C:$C,$A79,'NSE - Other Index Options'!$B:$B,E$4)+SUMIFS('BSE - SENSEX Index Options'!$M:$M,'BSE - SENSEX Index Options'!$C:$C,$A79,'BSE - SENSEX Index Options'!$B:$B,E$4)+SUMIFS('BSE - Other Index Options'!$M:$M,'BSE - Other Index Options'!$C:$C,$A79,'BSE - Other Index Options'!$B:$B,E$4))</f>
        <v/>
      </c>
      <c r="F79" s="26">
        <f>IF(SUMIFS('NSE - NIFTY Index Options'!$M:$M,'NSE - NIFTY Index Options'!$C:$C,$A79,'NSE - NIFTY Index Options'!$B:$B,F$4)+SUMIFS('NSE - Other Index Options'!$M:$M,'NSE - Other Index Options'!$C:$C,$A79,'NSE - Other Index Options'!$B:$B,F$4)+SUMIFS('BSE - SENSEX Index Options'!$M:$M,'BSE - SENSEX Index Options'!$C:$C,$A79,'BSE - SENSEX Index Options'!$B:$B,F$4)+SUMIFS('BSE - Other Index Options'!$M:$M,'BSE - Other Index Options'!$C:$C,$A79,'BSE - Other Index Options'!$B:$B,F$4)=0,"",SUMIFS('NSE - NIFTY Index Options'!$M:$M,'NSE - NIFTY Index Options'!$C:$C,$A79,'NSE - NIFTY Index Options'!$B:$B,F$4)+SUMIFS('NSE - Other Index Options'!$M:$M,'NSE - Other Index Options'!$C:$C,$A79,'NSE - Other Index Options'!$B:$B,F$4)+SUMIFS('BSE - SENSEX Index Options'!$M:$M,'BSE - SENSEX Index Options'!$C:$C,$A79,'BSE - SENSEX Index Options'!$B:$B,F$4)+SUMIFS('BSE - Other Index Options'!$M:$M,'BSE - Other Index Options'!$C:$C,$A79,'BSE - Other Index Options'!$B:$B,F$4))</f>
        <v/>
      </c>
      <c r="G79" s="26">
        <f>IF(SUMIFS('NSE - NIFTY Index Options'!$M:$M,'NSE - NIFTY Index Options'!$C:$C,$A79,'NSE - NIFTY Index Options'!$B:$B,G$4)+SUMIFS('NSE - Other Index Options'!$M:$M,'NSE - Other Index Options'!$C:$C,$A79,'NSE - Other Index Options'!$B:$B,G$4)+SUMIFS('BSE - SENSEX Index Options'!$M:$M,'BSE - SENSEX Index Options'!$C:$C,$A79,'BSE - SENSEX Index Options'!$B:$B,G$4)+SUMIFS('BSE - Other Index Options'!$M:$M,'BSE - Other Index Options'!$C:$C,$A79,'BSE - Other Index Options'!$B:$B,G$4)=0,"",SUMIFS('NSE - NIFTY Index Options'!$M:$M,'NSE - NIFTY Index Options'!$C:$C,$A79,'NSE - NIFTY Index Options'!$B:$B,G$4)+SUMIFS('NSE - Other Index Options'!$M:$M,'NSE - Other Index Options'!$C:$C,$A79,'NSE - Other Index Options'!$B:$B,G$4)+SUMIFS('BSE - SENSEX Index Options'!$M:$M,'BSE - SENSEX Index Options'!$C:$C,$A79,'BSE - SENSEX Index Options'!$B:$B,G$4)+SUMIFS('BSE - Other Index Options'!$M:$M,'BSE - Other Index Options'!$C:$C,$A79,'BSE - Other Index Options'!$B:$B,G$4))</f>
        <v/>
      </c>
      <c r="H79" s="26">
        <f>IF(SUM(B79:G79)=0,"",SUM(B79:G79))</f>
        <v/>
      </c>
    </row>
    <row r="80" hidden="1" outlineLevel="1">
      <c r="A80" t="inlineStr">
        <is>
          <t>Week2-Dec-2026</t>
        </is>
      </c>
      <c r="B80" s="26">
        <f>IF(SUMIFS('NSE - NIFTY Index Options'!$M:$M,'NSE - NIFTY Index Options'!$C:$C,$A80,'NSE - NIFTY Index Options'!$B:$B,B$4)+SUMIFS('NSE - Other Index Options'!$M:$M,'NSE - Other Index Options'!$C:$C,$A80,'NSE - Other Index Options'!$B:$B,B$4)+SUMIFS('BSE - SENSEX Index Options'!$M:$M,'BSE - SENSEX Index Options'!$C:$C,$A80,'BSE - SENSEX Index Options'!$B:$B,B$4)+SUMIFS('BSE - Other Index Options'!$M:$M,'BSE - Other Index Options'!$C:$C,$A80,'BSE - Other Index Options'!$B:$B,B$4)=0,"",SUMIFS('NSE - NIFTY Index Options'!$M:$M,'NSE - NIFTY Index Options'!$C:$C,$A80,'NSE - NIFTY Index Options'!$B:$B,B$4)+SUMIFS('NSE - Other Index Options'!$M:$M,'NSE - Other Index Options'!$C:$C,$A80,'NSE - Other Index Options'!$B:$B,B$4)+SUMIFS('BSE - SENSEX Index Options'!$M:$M,'BSE - SENSEX Index Options'!$C:$C,$A80,'BSE - SENSEX Index Options'!$B:$B,B$4)+SUMIFS('BSE - Other Index Options'!$M:$M,'BSE - Other Index Options'!$C:$C,$A80,'BSE - Other Index Options'!$B:$B,B$4))</f>
        <v/>
      </c>
      <c r="C80" s="26">
        <f>IF(SUMIFS('NSE - NIFTY Index Options'!$M:$M,'NSE - NIFTY Index Options'!$C:$C,$A80,'NSE - NIFTY Index Options'!$B:$B,C$4)+SUMIFS('NSE - Other Index Options'!$M:$M,'NSE - Other Index Options'!$C:$C,$A80,'NSE - Other Index Options'!$B:$B,C$4)+SUMIFS('BSE - SENSEX Index Options'!$M:$M,'BSE - SENSEX Index Options'!$C:$C,$A80,'BSE - SENSEX Index Options'!$B:$B,C$4)+SUMIFS('BSE - Other Index Options'!$M:$M,'BSE - Other Index Options'!$C:$C,$A80,'BSE - Other Index Options'!$B:$B,C$4)=0,"",SUMIFS('NSE - NIFTY Index Options'!$M:$M,'NSE - NIFTY Index Options'!$C:$C,$A80,'NSE - NIFTY Index Options'!$B:$B,C$4)+SUMIFS('NSE - Other Index Options'!$M:$M,'NSE - Other Index Options'!$C:$C,$A80,'NSE - Other Index Options'!$B:$B,C$4)+SUMIFS('BSE - SENSEX Index Options'!$M:$M,'BSE - SENSEX Index Options'!$C:$C,$A80,'BSE - SENSEX Index Options'!$B:$B,C$4)+SUMIFS('BSE - Other Index Options'!$M:$M,'BSE - Other Index Options'!$C:$C,$A80,'BSE - Other Index Options'!$B:$B,C$4))</f>
        <v/>
      </c>
      <c r="D80" s="26">
        <f>IF(SUMIFS('NSE - NIFTY Index Options'!$M:$M,'NSE - NIFTY Index Options'!$C:$C,$A80,'NSE - NIFTY Index Options'!$B:$B,D$4)+SUMIFS('NSE - Other Index Options'!$M:$M,'NSE - Other Index Options'!$C:$C,$A80,'NSE - Other Index Options'!$B:$B,D$4)+SUMIFS('BSE - SENSEX Index Options'!$M:$M,'BSE - SENSEX Index Options'!$C:$C,$A80,'BSE - SENSEX Index Options'!$B:$B,D$4)+SUMIFS('BSE - Other Index Options'!$M:$M,'BSE - Other Index Options'!$C:$C,$A80,'BSE - Other Index Options'!$B:$B,D$4)=0,"",SUMIFS('NSE - NIFTY Index Options'!$M:$M,'NSE - NIFTY Index Options'!$C:$C,$A80,'NSE - NIFTY Index Options'!$B:$B,D$4)+SUMIFS('NSE - Other Index Options'!$M:$M,'NSE - Other Index Options'!$C:$C,$A80,'NSE - Other Index Options'!$B:$B,D$4)+SUMIFS('BSE - SENSEX Index Options'!$M:$M,'BSE - SENSEX Index Options'!$C:$C,$A80,'BSE - SENSEX Index Options'!$B:$B,D$4)+SUMIFS('BSE - Other Index Options'!$M:$M,'BSE - Other Index Options'!$C:$C,$A80,'BSE - Other Index Options'!$B:$B,D$4))</f>
        <v/>
      </c>
      <c r="E80" s="26">
        <f>IF(SUMIFS('NSE - NIFTY Index Options'!$M:$M,'NSE - NIFTY Index Options'!$C:$C,$A80,'NSE - NIFTY Index Options'!$B:$B,E$4)+SUMIFS('NSE - Other Index Options'!$M:$M,'NSE - Other Index Options'!$C:$C,$A80,'NSE - Other Index Options'!$B:$B,E$4)+SUMIFS('BSE - SENSEX Index Options'!$M:$M,'BSE - SENSEX Index Options'!$C:$C,$A80,'BSE - SENSEX Index Options'!$B:$B,E$4)+SUMIFS('BSE - Other Index Options'!$M:$M,'BSE - Other Index Options'!$C:$C,$A80,'BSE - Other Index Options'!$B:$B,E$4)=0,"",SUMIFS('NSE - NIFTY Index Options'!$M:$M,'NSE - NIFTY Index Options'!$C:$C,$A80,'NSE - NIFTY Index Options'!$B:$B,E$4)+SUMIFS('NSE - Other Index Options'!$M:$M,'NSE - Other Index Options'!$C:$C,$A80,'NSE - Other Index Options'!$B:$B,E$4)+SUMIFS('BSE - SENSEX Index Options'!$M:$M,'BSE - SENSEX Index Options'!$C:$C,$A80,'BSE - SENSEX Index Options'!$B:$B,E$4)+SUMIFS('BSE - Other Index Options'!$M:$M,'BSE - Other Index Options'!$C:$C,$A80,'BSE - Other Index Options'!$B:$B,E$4))</f>
        <v/>
      </c>
      <c r="F80" s="26">
        <f>IF(SUMIFS('NSE - NIFTY Index Options'!$M:$M,'NSE - NIFTY Index Options'!$C:$C,$A80,'NSE - NIFTY Index Options'!$B:$B,F$4)+SUMIFS('NSE - Other Index Options'!$M:$M,'NSE - Other Index Options'!$C:$C,$A80,'NSE - Other Index Options'!$B:$B,F$4)+SUMIFS('BSE - SENSEX Index Options'!$M:$M,'BSE - SENSEX Index Options'!$C:$C,$A80,'BSE - SENSEX Index Options'!$B:$B,F$4)+SUMIFS('BSE - Other Index Options'!$M:$M,'BSE - Other Index Options'!$C:$C,$A80,'BSE - Other Index Options'!$B:$B,F$4)=0,"",SUMIFS('NSE - NIFTY Index Options'!$M:$M,'NSE - NIFTY Index Options'!$C:$C,$A80,'NSE - NIFTY Index Options'!$B:$B,F$4)+SUMIFS('NSE - Other Index Options'!$M:$M,'NSE - Other Index Options'!$C:$C,$A80,'NSE - Other Index Options'!$B:$B,F$4)+SUMIFS('BSE - SENSEX Index Options'!$M:$M,'BSE - SENSEX Index Options'!$C:$C,$A80,'BSE - SENSEX Index Options'!$B:$B,F$4)+SUMIFS('BSE - Other Index Options'!$M:$M,'BSE - Other Index Options'!$C:$C,$A80,'BSE - Other Index Options'!$B:$B,F$4))</f>
        <v/>
      </c>
      <c r="G80" s="26">
        <f>IF(SUMIFS('NSE - NIFTY Index Options'!$M:$M,'NSE - NIFTY Index Options'!$C:$C,$A80,'NSE - NIFTY Index Options'!$B:$B,G$4)+SUMIFS('NSE - Other Index Options'!$M:$M,'NSE - Other Index Options'!$C:$C,$A80,'NSE - Other Index Options'!$B:$B,G$4)+SUMIFS('BSE - SENSEX Index Options'!$M:$M,'BSE - SENSEX Index Options'!$C:$C,$A80,'BSE - SENSEX Index Options'!$B:$B,G$4)+SUMIFS('BSE - Other Index Options'!$M:$M,'BSE - Other Index Options'!$C:$C,$A80,'BSE - Other Index Options'!$B:$B,G$4)=0,"",SUMIFS('NSE - NIFTY Index Options'!$M:$M,'NSE - NIFTY Index Options'!$C:$C,$A80,'NSE - NIFTY Index Options'!$B:$B,G$4)+SUMIFS('NSE - Other Index Options'!$M:$M,'NSE - Other Index Options'!$C:$C,$A80,'NSE - Other Index Options'!$B:$B,G$4)+SUMIFS('BSE - SENSEX Index Options'!$M:$M,'BSE - SENSEX Index Options'!$C:$C,$A80,'BSE - SENSEX Index Options'!$B:$B,G$4)+SUMIFS('BSE - Other Index Options'!$M:$M,'BSE - Other Index Options'!$C:$C,$A80,'BSE - Other Index Options'!$B:$B,G$4))</f>
        <v/>
      </c>
      <c r="H80" s="26">
        <f>IF(SUM(B80:G80)=0,"",SUM(B80:G80))</f>
        <v/>
      </c>
    </row>
    <row r="81" hidden="1" outlineLevel="1">
      <c r="A81" t="inlineStr">
        <is>
          <t>Week3-Dec-2026</t>
        </is>
      </c>
      <c r="B81" s="26">
        <f>IF(SUMIFS('NSE - NIFTY Index Options'!$M:$M,'NSE - NIFTY Index Options'!$C:$C,$A81,'NSE - NIFTY Index Options'!$B:$B,B$4)+SUMIFS('NSE - Other Index Options'!$M:$M,'NSE - Other Index Options'!$C:$C,$A81,'NSE - Other Index Options'!$B:$B,B$4)+SUMIFS('BSE - SENSEX Index Options'!$M:$M,'BSE - SENSEX Index Options'!$C:$C,$A81,'BSE - SENSEX Index Options'!$B:$B,B$4)+SUMIFS('BSE - Other Index Options'!$M:$M,'BSE - Other Index Options'!$C:$C,$A81,'BSE - Other Index Options'!$B:$B,B$4)=0,"",SUMIFS('NSE - NIFTY Index Options'!$M:$M,'NSE - NIFTY Index Options'!$C:$C,$A81,'NSE - NIFTY Index Options'!$B:$B,B$4)+SUMIFS('NSE - Other Index Options'!$M:$M,'NSE - Other Index Options'!$C:$C,$A81,'NSE - Other Index Options'!$B:$B,B$4)+SUMIFS('BSE - SENSEX Index Options'!$M:$M,'BSE - SENSEX Index Options'!$C:$C,$A81,'BSE - SENSEX Index Options'!$B:$B,B$4)+SUMIFS('BSE - Other Index Options'!$M:$M,'BSE - Other Index Options'!$C:$C,$A81,'BSE - Other Index Options'!$B:$B,B$4))</f>
        <v/>
      </c>
      <c r="C81" s="26">
        <f>IF(SUMIFS('NSE - NIFTY Index Options'!$M:$M,'NSE - NIFTY Index Options'!$C:$C,$A81,'NSE - NIFTY Index Options'!$B:$B,C$4)+SUMIFS('NSE - Other Index Options'!$M:$M,'NSE - Other Index Options'!$C:$C,$A81,'NSE - Other Index Options'!$B:$B,C$4)+SUMIFS('BSE - SENSEX Index Options'!$M:$M,'BSE - SENSEX Index Options'!$C:$C,$A81,'BSE - SENSEX Index Options'!$B:$B,C$4)+SUMIFS('BSE - Other Index Options'!$M:$M,'BSE - Other Index Options'!$C:$C,$A81,'BSE - Other Index Options'!$B:$B,C$4)=0,"",SUMIFS('NSE - NIFTY Index Options'!$M:$M,'NSE - NIFTY Index Options'!$C:$C,$A81,'NSE - NIFTY Index Options'!$B:$B,C$4)+SUMIFS('NSE - Other Index Options'!$M:$M,'NSE - Other Index Options'!$C:$C,$A81,'NSE - Other Index Options'!$B:$B,C$4)+SUMIFS('BSE - SENSEX Index Options'!$M:$M,'BSE - SENSEX Index Options'!$C:$C,$A81,'BSE - SENSEX Index Options'!$B:$B,C$4)+SUMIFS('BSE - Other Index Options'!$M:$M,'BSE - Other Index Options'!$C:$C,$A81,'BSE - Other Index Options'!$B:$B,C$4))</f>
        <v/>
      </c>
      <c r="D81" s="26">
        <f>IF(SUMIFS('NSE - NIFTY Index Options'!$M:$M,'NSE - NIFTY Index Options'!$C:$C,$A81,'NSE - NIFTY Index Options'!$B:$B,D$4)+SUMIFS('NSE - Other Index Options'!$M:$M,'NSE - Other Index Options'!$C:$C,$A81,'NSE - Other Index Options'!$B:$B,D$4)+SUMIFS('BSE - SENSEX Index Options'!$M:$M,'BSE - SENSEX Index Options'!$C:$C,$A81,'BSE - SENSEX Index Options'!$B:$B,D$4)+SUMIFS('BSE - Other Index Options'!$M:$M,'BSE - Other Index Options'!$C:$C,$A81,'BSE - Other Index Options'!$B:$B,D$4)=0,"",SUMIFS('NSE - NIFTY Index Options'!$M:$M,'NSE - NIFTY Index Options'!$C:$C,$A81,'NSE - NIFTY Index Options'!$B:$B,D$4)+SUMIFS('NSE - Other Index Options'!$M:$M,'NSE - Other Index Options'!$C:$C,$A81,'NSE - Other Index Options'!$B:$B,D$4)+SUMIFS('BSE - SENSEX Index Options'!$M:$M,'BSE - SENSEX Index Options'!$C:$C,$A81,'BSE - SENSEX Index Options'!$B:$B,D$4)+SUMIFS('BSE - Other Index Options'!$M:$M,'BSE - Other Index Options'!$C:$C,$A81,'BSE - Other Index Options'!$B:$B,D$4))</f>
        <v/>
      </c>
      <c r="E81" s="26">
        <f>IF(SUMIFS('NSE - NIFTY Index Options'!$M:$M,'NSE - NIFTY Index Options'!$C:$C,$A81,'NSE - NIFTY Index Options'!$B:$B,E$4)+SUMIFS('NSE - Other Index Options'!$M:$M,'NSE - Other Index Options'!$C:$C,$A81,'NSE - Other Index Options'!$B:$B,E$4)+SUMIFS('BSE - SENSEX Index Options'!$M:$M,'BSE - SENSEX Index Options'!$C:$C,$A81,'BSE - SENSEX Index Options'!$B:$B,E$4)+SUMIFS('BSE - Other Index Options'!$M:$M,'BSE - Other Index Options'!$C:$C,$A81,'BSE - Other Index Options'!$B:$B,E$4)=0,"",SUMIFS('NSE - NIFTY Index Options'!$M:$M,'NSE - NIFTY Index Options'!$C:$C,$A81,'NSE - NIFTY Index Options'!$B:$B,E$4)+SUMIFS('NSE - Other Index Options'!$M:$M,'NSE - Other Index Options'!$C:$C,$A81,'NSE - Other Index Options'!$B:$B,E$4)+SUMIFS('BSE - SENSEX Index Options'!$M:$M,'BSE - SENSEX Index Options'!$C:$C,$A81,'BSE - SENSEX Index Options'!$B:$B,E$4)+SUMIFS('BSE - Other Index Options'!$M:$M,'BSE - Other Index Options'!$C:$C,$A81,'BSE - Other Index Options'!$B:$B,E$4))</f>
        <v/>
      </c>
      <c r="F81" s="26">
        <f>IF(SUMIFS('NSE - NIFTY Index Options'!$M:$M,'NSE - NIFTY Index Options'!$C:$C,$A81,'NSE - NIFTY Index Options'!$B:$B,F$4)+SUMIFS('NSE - Other Index Options'!$M:$M,'NSE - Other Index Options'!$C:$C,$A81,'NSE - Other Index Options'!$B:$B,F$4)+SUMIFS('BSE - SENSEX Index Options'!$M:$M,'BSE - SENSEX Index Options'!$C:$C,$A81,'BSE - SENSEX Index Options'!$B:$B,F$4)+SUMIFS('BSE - Other Index Options'!$M:$M,'BSE - Other Index Options'!$C:$C,$A81,'BSE - Other Index Options'!$B:$B,F$4)=0,"",SUMIFS('NSE - NIFTY Index Options'!$M:$M,'NSE - NIFTY Index Options'!$C:$C,$A81,'NSE - NIFTY Index Options'!$B:$B,F$4)+SUMIFS('NSE - Other Index Options'!$M:$M,'NSE - Other Index Options'!$C:$C,$A81,'NSE - Other Index Options'!$B:$B,F$4)+SUMIFS('BSE - SENSEX Index Options'!$M:$M,'BSE - SENSEX Index Options'!$C:$C,$A81,'BSE - SENSEX Index Options'!$B:$B,F$4)+SUMIFS('BSE - Other Index Options'!$M:$M,'BSE - Other Index Options'!$C:$C,$A81,'BSE - Other Index Options'!$B:$B,F$4))</f>
        <v/>
      </c>
      <c r="G81" s="26">
        <f>IF(SUMIFS('NSE - NIFTY Index Options'!$M:$M,'NSE - NIFTY Index Options'!$C:$C,$A81,'NSE - NIFTY Index Options'!$B:$B,G$4)+SUMIFS('NSE - Other Index Options'!$M:$M,'NSE - Other Index Options'!$C:$C,$A81,'NSE - Other Index Options'!$B:$B,G$4)+SUMIFS('BSE - SENSEX Index Options'!$M:$M,'BSE - SENSEX Index Options'!$C:$C,$A81,'BSE - SENSEX Index Options'!$B:$B,G$4)+SUMIFS('BSE - Other Index Options'!$M:$M,'BSE - Other Index Options'!$C:$C,$A81,'BSE - Other Index Options'!$B:$B,G$4)=0,"",SUMIFS('NSE - NIFTY Index Options'!$M:$M,'NSE - NIFTY Index Options'!$C:$C,$A81,'NSE - NIFTY Index Options'!$B:$B,G$4)+SUMIFS('NSE - Other Index Options'!$M:$M,'NSE - Other Index Options'!$C:$C,$A81,'NSE - Other Index Options'!$B:$B,G$4)+SUMIFS('BSE - SENSEX Index Options'!$M:$M,'BSE - SENSEX Index Options'!$C:$C,$A81,'BSE - SENSEX Index Options'!$B:$B,G$4)+SUMIFS('BSE - Other Index Options'!$M:$M,'BSE - Other Index Options'!$C:$C,$A81,'BSE - Other Index Options'!$B:$B,G$4))</f>
        <v/>
      </c>
      <c r="H81" s="26">
        <f>IF(SUM(B81:G81)=0,"",SUM(B81:G81))</f>
        <v/>
      </c>
    </row>
    <row r="82" hidden="1" outlineLevel="1">
      <c r="A82" t="inlineStr">
        <is>
          <t>Week4-Dec-2026</t>
        </is>
      </c>
      <c r="B82" s="26">
        <f>IF(SUMIFS('NSE - NIFTY Index Options'!$M:$M,'NSE - NIFTY Index Options'!$C:$C,$A82,'NSE - NIFTY Index Options'!$B:$B,B$4)+SUMIFS('NSE - Other Index Options'!$M:$M,'NSE - Other Index Options'!$C:$C,$A82,'NSE - Other Index Options'!$B:$B,B$4)+SUMIFS('BSE - SENSEX Index Options'!$M:$M,'BSE - SENSEX Index Options'!$C:$C,$A82,'BSE - SENSEX Index Options'!$B:$B,B$4)+SUMIFS('BSE - Other Index Options'!$M:$M,'BSE - Other Index Options'!$C:$C,$A82,'BSE - Other Index Options'!$B:$B,B$4)=0,"",SUMIFS('NSE - NIFTY Index Options'!$M:$M,'NSE - NIFTY Index Options'!$C:$C,$A82,'NSE - NIFTY Index Options'!$B:$B,B$4)+SUMIFS('NSE - Other Index Options'!$M:$M,'NSE - Other Index Options'!$C:$C,$A82,'NSE - Other Index Options'!$B:$B,B$4)+SUMIFS('BSE - SENSEX Index Options'!$M:$M,'BSE - SENSEX Index Options'!$C:$C,$A82,'BSE - SENSEX Index Options'!$B:$B,B$4)+SUMIFS('BSE - Other Index Options'!$M:$M,'BSE - Other Index Options'!$C:$C,$A82,'BSE - Other Index Options'!$B:$B,B$4))</f>
        <v/>
      </c>
      <c r="C82" s="26">
        <f>IF(SUMIFS('NSE - NIFTY Index Options'!$M:$M,'NSE - NIFTY Index Options'!$C:$C,$A82,'NSE - NIFTY Index Options'!$B:$B,C$4)+SUMIFS('NSE - Other Index Options'!$M:$M,'NSE - Other Index Options'!$C:$C,$A82,'NSE - Other Index Options'!$B:$B,C$4)+SUMIFS('BSE - SENSEX Index Options'!$M:$M,'BSE - SENSEX Index Options'!$C:$C,$A82,'BSE - SENSEX Index Options'!$B:$B,C$4)+SUMIFS('BSE - Other Index Options'!$M:$M,'BSE - Other Index Options'!$C:$C,$A82,'BSE - Other Index Options'!$B:$B,C$4)=0,"",SUMIFS('NSE - NIFTY Index Options'!$M:$M,'NSE - NIFTY Index Options'!$C:$C,$A82,'NSE - NIFTY Index Options'!$B:$B,C$4)+SUMIFS('NSE - Other Index Options'!$M:$M,'NSE - Other Index Options'!$C:$C,$A82,'NSE - Other Index Options'!$B:$B,C$4)+SUMIFS('BSE - SENSEX Index Options'!$M:$M,'BSE - SENSEX Index Options'!$C:$C,$A82,'BSE - SENSEX Index Options'!$B:$B,C$4)+SUMIFS('BSE - Other Index Options'!$M:$M,'BSE - Other Index Options'!$C:$C,$A82,'BSE - Other Index Options'!$B:$B,C$4))</f>
        <v/>
      </c>
      <c r="D82" s="26">
        <f>IF(SUMIFS('NSE - NIFTY Index Options'!$M:$M,'NSE - NIFTY Index Options'!$C:$C,$A82,'NSE - NIFTY Index Options'!$B:$B,D$4)+SUMIFS('NSE - Other Index Options'!$M:$M,'NSE - Other Index Options'!$C:$C,$A82,'NSE - Other Index Options'!$B:$B,D$4)+SUMIFS('BSE - SENSEX Index Options'!$M:$M,'BSE - SENSEX Index Options'!$C:$C,$A82,'BSE - SENSEX Index Options'!$B:$B,D$4)+SUMIFS('BSE - Other Index Options'!$M:$M,'BSE - Other Index Options'!$C:$C,$A82,'BSE - Other Index Options'!$B:$B,D$4)=0,"",SUMIFS('NSE - NIFTY Index Options'!$M:$M,'NSE - NIFTY Index Options'!$C:$C,$A82,'NSE - NIFTY Index Options'!$B:$B,D$4)+SUMIFS('NSE - Other Index Options'!$M:$M,'NSE - Other Index Options'!$C:$C,$A82,'NSE - Other Index Options'!$B:$B,D$4)+SUMIFS('BSE - SENSEX Index Options'!$M:$M,'BSE - SENSEX Index Options'!$C:$C,$A82,'BSE - SENSEX Index Options'!$B:$B,D$4)+SUMIFS('BSE - Other Index Options'!$M:$M,'BSE - Other Index Options'!$C:$C,$A82,'BSE - Other Index Options'!$B:$B,D$4))</f>
        <v/>
      </c>
      <c r="E82" s="26">
        <f>IF(SUMIFS('NSE - NIFTY Index Options'!$M:$M,'NSE - NIFTY Index Options'!$C:$C,$A82,'NSE - NIFTY Index Options'!$B:$B,E$4)+SUMIFS('NSE - Other Index Options'!$M:$M,'NSE - Other Index Options'!$C:$C,$A82,'NSE - Other Index Options'!$B:$B,E$4)+SUMIFS('BSE - SENSEX Index Options'!$M:$M,'BSE - SENSEX Index Options'!$C:$C,$A82,'BSE - SENSEX Index Options'!$B:$B,E$4)+SUMIFS('BSE - Other Index Options'!$M:$M,'BSE - Other Index Options'!$C:$C,$A82,'BSE - Other Index Options'!$B:$B,E$4)=0,"",SUMIFS('NSE - NIFTY Index Options'!$M:$M,'NSE - NIFTY Index Options'!$C:$C,$A82,'NSE - NIFTY Index Options'!$B:$B,E$4)+SUMIFS('NSE - Other Index Options'!$M:$M,'NSE - Other Index Options'!$C:$C,$A82,'NSE - Other Index Options'!$B:$B,E$4)+SUMIFS('BSE - SENSEX Index Options'!$M:$M,'BSE - SENSEX Index Options'!$C:$C,$A82,'BSE - SENSEX Index Options'!$B:$B,E$4)+SUMIFS('BSE - Other Index Options'!$M:$M,'BSE - Other Index Options'!$C:$C,$A82,'BSE - Other Index Options'!$B:$B,E$4))</f>
        <v/>
      </c>
      <c r="F82" s="26">
        <f>IF(SUMIFS('NSE - NIFTY Index Options'!$M:$M,'NSE - NIFTY Index Options'!$C:$C,$A82,'NSE - NIFTY Index Options'!$B:$B,F$4)+SUMIFS('NSE - Other Index Options'!$M:$M,'NSE - Other Index Options'!$C:$C,$A82,'NSE - Other Index Options'!$B:$B,F$4)+SUMIFS('BSE - SENSEX Index Options'!$M:$M,'BSE - SENSEX Index Options'!$C:$C,$A82,'BSE - SENSEX Index Options'!$B:$B,F$4)+SUMIFS('BSE - Other Index Options'!$M:$M,'BSE - Other Index Options'!$C:$C,$A82,'BSE - Other Index Options'!$B:$B,F$4)=0,"",SUMIFS('NSE - NIFTY Index Options'!$M:$M,'NSE - NIFTY Index Options'!$C:$C,$A82,'NSE - NIFTY Index Options'!$B:$B,F$4)+SUMIFS('NSE - Other Index Options'!$M:$M,'NSE - Other Index Options'!$C:$C,$A82,'NSE - Other Index Options'!$B:$B,F$4)+SUMIFS('BSE - SENSEX Index Options'!$M:$M,'BSE - SENSEX Index Options'!$C:$C,$A82,'BSE - SENSEX Index Options'!$B:$B,F$4)+SUMIFS('BSE - Other Index Options'!$M:$M,'BSE - Other Index Options'!$C:$C,$A82,'BSE - Other Index Options'!$B:$B,F$4))</f>
        <v/>
      </c>
      <c r="G82" s="26">
        <f>IF(SUMIFS('NSE - NIFTY Index Options'!$M:$M,'NSE - NIFTY Index Options'!$C:$C,$A82,'NSE - NIFTY Index Options'!$B:$B,G$4)+SUMIFS('NSE - Other Index Options'!$M:$M,'NSE - Other Index Options'!$C:$C,$A82,'NSE - Other Index Options'!$B:$B,G$4)+SUMIFS('BSE - SENSEX Index Options'!$M:$M,'BSE - SENSEX Index Options'!$C:$C,$A82,'BSE - SENSEX Index Options'!$B:$B,G$4)+SUMIFS('BSE - Other Index Options'!$M:$M,'BSE - Other Index Options'!$C:$C,$A82,'BSE - Other Index Options'!$B:$B,G$4)=0,"",SUMIFS('NSE - NIFTY Index Options'!$M:$M,'NSE - NIFTY Index Options'!$C:$C,$A82,'NSE - NIFTY Index Options'!$B:$B,G$4)+SUMIFS('NSE - Other Index Options'!$M:$M,'NSE - Other Index Options'!$C:$C,$A82,'NSE - Other Index Options'!$B:$B,G$4)+SUMIFS('BSE - SENSEX Index Options'!$M:$M,'BSE - SENSEX Index Options'!$C:$C,$A82,'BSE - SENSEX Index Options'!$B:$B,G$4)+SUMIFS('BSE - Other Index Options'!$M:$M,'BSE - Other Index Options'!$C:$C,$A82,'BSE - Other Index Options'!$B:$B,G$4))</f>
        <v/>
      </c>
      <c r="H82" s="26">
        <f>IF(SUM(B82:G82)=0,"",SUM(B82:G82))</f>
        <v/>
      </c>
    </row>
    <row r="83" hidden="1" outlineLevel="1">
      <c r="A83" t="inlineStr">
        <is>
          <t>Week5-Dec-2026</t>
        </is>
      </c>
      <c r="B83" s="26">
        <f>IF(SUMIFS('NSE - NIFTY Index Options'!$M:$M,'NSE - NIFTY Index Options'!$C:$C,$A83,'NSE - NIFTY Index Options'!$B:$B,B$4)+SUMIFS('NSE - Other Index Options'!$M:$M,'NSE - Other Index Options'!$C:$C,$A83,'NSE - Other Index Options'!$B:$B,B$4)+SUMIFS('BSE - SENSEX Index Options'!$M:$M,'BSE - SENSEX Index Options'!$C:$C,$A83,'BSE - SENSEX Index Options'!$B:$B,B$4)+SUMIFS('BSE - Other Index Options'!$M:$M,'BSE - Other Index Options'!$C:$C,$A83,'BSE - Other Index Options'!$B:$B,B$4)=0,"",SUMIFS('NSE - NIFTY Index Options'!$M:$M,'NSE - NIFTY Index Options'!$C:$C,$A83,'NSE - NIFTY Index Options'!$B:$B,B$4)+SUMIFS('NSE - Other Index Options'!$M:$M,'NSE - Other Index Options'!$C:$C,$A83,'NSE - Other Index Options'!$B:$B,B$4)+SUMIFS('BSE - SENSEX Index Options'!$M:$M,'BSE - SENSEX Index Options'!$C:$C,$A83,'BSE - SENSEX Index Options'!$B:$B,B$4)+SUMIFS('BSE - Other Index Options'!$M:$M,'BSE - Other Index Options'!$C:$C,$A83,'BSE - Other Index Options'!$B:$B,B$4))</f>
        <v/>
      </c>
      <c r="C83" s="26">
        <f>IF(SUMIFS('NSE - NIFTY Index Options'!$M:$M,'NSE - NIFTY Index Options'!$C:$C,$A83,'NSE - NIFTY Index Options'!$B:$B,C$4)+SUMIFS('NSE - Other Index Options'!$M:$M,'NSE - Other Index Options'!$C:$C,$A83,'NSE - Other Index Options'!$B:$B,C$4)+SUMIFS('BSE - SENSEX Index Options'!$M:$M,'BSE - SENSEX Index Options'!$C:$C,$A83,'BSE - SENSEX Index Options'!$B:$B,C$4)+SUMIFS('BSE - Other Index Options'!$M:$M,'BSE - Other Index Options'!$C:$C,$A83,'BSE - Other Index Options'!$B:$B,C$4)=0,"",SUMIFS('NSE - NIFTY Index Options'!$M:$M,'NSE - NIFTY Index Options'!$C:$C,$A83,'NSE - NIFTY Index Options'!$B:$B,C$4)+SUMIFS('NSE - Other Index Options'!$M:$M,'NSE - Other Index Options'!$C:$C,$A83,'NSE - Other Index Options'!$B:$B,C$4)+SUMIFS('BSE - SENSEX Index Options'!$M:$M,'BSE - SENSEX Index Options'!$C:$C,$A83,'BSE - SENSEX Index Options'!$B:$B,C$4)+SUMIFS('BSE - Other Index Options'!$M:$M,'BSE - Other Index Options'!$C:$C,$A83,'BSE - Other Index Options'!$B:$B,C$4))</f>
        <v/>
      </c>
      <c r="D83" s="26">
        <f>IF(SUMIFS('NSE - NIFTY Index Options'!$M:$M,'NSE - NIFTY Index Options'!$C:$C,$A83,'NSE - NIFTY Index Options'!$B:$B,D$4)+SUMIFS('NSE - Other Index Options'!$M:$M,'NSE - Other Index Options'!$C:$C,$A83,'NSE - Other Index Options'!$B:$B,D$4)+SUMIFS('BSE - SENSEX Index Options'!$M:$M,'BSE - SENSEX Index Options'!$C:$C,$A83,'BSE - SENSEX Index Options'!$B:$B,D$4)+SUMIFS('BSE - Other Index Options'!$M:$M,'BSE - Other Index Options'!$C:$C,$A83,'BSE - Other Index Options'!$B:$B,D$4)=0,"",SUMIFS('NSE - NIFTY Index Options'!$M:$M,'NSE - NIFTY Index Options'!$C:$C,$A83,'NSE - NIFTY Index Options'!$B:$B,D$4)+SUMIFS('NSE - Other Index Options'!$M:$M,'NSE - Other Index Options'!$C:$C,$A83,'NSE - Other Index Options'!$B:$B,D$4)+SUMIFS('BSE - SENSEX Index Options'!$M:$M,'BSE - SENSEX Index Options'!$C:$C,$A83,'BSE - SENSEX Index Options'!$B:$B,D$4)+SUMIFS('BSE - Other Index Options'!$M:$M,'BSE - Other Index Options'!$C:$C,$A83,'BSE - Other Index Options'!$B:$B,D$4))</f>
        <v/>
      </c>
      <c r="E83" s="26">
        <f>IF(SUMIFS('NSE - NIFTY Index Options'!$M:$M,'NSE - NIFTY Index Options'!$C:$C,$A83,'NSE - NIFTY Index Options'!$B:$B,E$4)+SUMIFS('NSE - Other Index Options'!$M:$M,'NSE - Other Index Options'!$C:$C,$A83,'NSE - Other Index Options'!$B:$B,E$4)+SUMIFS('BSE - SENSEX Index Options'!$M:$M,'BSE - SENSEX Index Options'!$C:$C,$A83,'BSE - SENSEX Index Options'!$B:$B,E$4)+SUMIFS('BSE - Other Index Options'!$M:$M,'BSE - Other Index Options'!$C:$C,$A83,'BSE - Other Index Options'!$B:$B,E$4)=0,"",SUMIFS('NSE - NIFTY Index Options'!$M:$M,'NSE - NIFTY Index Options'!$C:$C,$A83,'NSE - NIFTY Index Options'!$B:$B,E$4)+SUMIFS('NSE - Other Index Options'!$M:$M,'NSE - Other Index Options'!$C:$C,$A83,'NSE - Other Index Options'!$B:$B,E$4)+SUMIFS('BSE - SENSEX Index Options'!$M:$M,'BSE - SENSEX Index Options'!$C:$C,$A83,'BSE - SENSEX Index Options'!$B:$B,E$4)+SUMIFS('BSE - Other Index Options'!$M:$M,'BSE - Other Index Options'!$C:$C,$A83,'BSE - Other Index Options'!$B:$B,E$4))</f>
        <v/>
      </c>
      <c r="F83" s="26">
        <f>IF(SUMIFS('NSE - NIFTY Index Options'!$M:$M,'NSE - NIFTY Index Options'!$C:$C,$A83,'NSE - NIFTY Index Options'!$B:$B,F$4)+SUMIFS('NSE - Other Index Options'!$M:$M,'NSE - Other Index Options'!$C:$C,$A83,'NSE - Other Index Options'!$B:$B,F$4)+SUMIFS('BSE - SENSEX Index Options'!$M:$M,'BSE - SENSEX Index Options'!$C:$C,$A83,'BSE - SENSEX Index Options'!$B:$B,F$4)+SUMIFS('BSE - Other Index Options'!$M:$M,'BSE - Other Index Options'!$C:$C,$A83,'BSE - Other Index Options'!$B:$B,F$4)=0,"",SUMIFS('NSE - NIFTY Index Options'!$M:$M,'NSE - NIFTY Index Options'!$C:$C,$A83,'NSE - NIFTY Index Options'!$B:$B,F$4)+SUMIFS('NSE - Other Index Options'!$M:$M,'NSE - Other Index Options'!$C:$C,$A83,'NSE - Other Index Options'!$B:$B,F$4)+SUMIFS('BSE - SENSEX Index Options'!$M:$M,'BSE - SENSEX Index Options'!$C:$C,$A83,'BSE - SENSEX Index Options'!$B:$B,F$4)+SUMIFS('BSE - Other Index Options'!$M:$M,'BSE - Other Index Options'!$C:$C,$A83,'BSE - Other Index Options'!$B:$B,F$4))</f>
        <v/>
      </c>
      <c r="G83" s="26">
        <f>IF(SUMIFS('NSE - NIFTY Index Options'!$M:$M,'NSE - NIFTY Index Options'!$C:$C,$A83,'NSE - NIFTY Index Options'!$B:$B,G$4)+SUMIFS('NSE - Other Index Options'!$M:$M,'NSE - Other Index Options'!$C:$C,$A83,'NSE - Other Index Options'!$B:$B,G$4)+SUMIFS('BSE - SENSEX Index Options'!$M:$M,'BSE - SENSEX Index Options'!$C:$C,$A83,'BSE - SENSEX Index Options'!$B:$B,G$4)+SUMIFS('BSE - Other Index Options'!$M:$M,'BSE - Other Index Options'!$C:$C,$A83,'BSE - Other Index Options'!$B:$B,G$4)=0,"",SUMIFS('NSE - NIFTY Index Options'!$M:$M,'NSE - NIFTY Index Options'!$C:$C,$A83,'NSE - NIFTY Index Options'!$B:$B,G$4)+SUMIFS('NSE - Other Index Options'!$M:$M,'NSE - Other Index Options'!$C:$C,$A83,'NSE - Other Index Options'!$B:$B,G$4)+SUMIFS('BSE - SENSEX Index Options'!$M:$M,'BSE - SENSEX Index Options'!$C:$C,$A83,'BSE - SENSEX Index Options'!$B:$B,G$4)+SUMIFS('BSE - Other Index Options'!$M:$M,'BSE - Other Index Options'!$C:$C,$A83,'BSE - Other Index Options'!$B:$B,G$4))</f>
        <v/>
      </c>
      <c r="H83" s="26">
        <f>IF(SUM(B83:G83)=0,"",SUM(B83:G83))</f>
        <v/>
      </c>
    </row>
    <row r="84" hidden="1" outlineLevel="1">
      <c r="A84" t="inlineStr">
        <is>
          <t>Week1-Jan-2027</t>
        </is>
      </c>
      <c r="B84" s="26">
        <f>IF(SUMIFS('NSE - NIFTY Index Options'!$M:$M,'NSE - NIFTY Index Options'!$C:$C,$A84,'NSE - NIFTY Index Options'!$B:$B,B$4)+SUMIFS('NSE - Other Index Options'!$M:$M,'NSE - Other Index Options'!$C:$C,$A84,'NSE - Other Index Options'!$B:$B,B$4)+SUMIFS('BSE - SENSEX Index Options'!$M:$M,'BSE - SENSEX Index Options'!$C:$C,$A84,'BSE - SENSEX Index Options'!$B:$B,B$4)+SUMIFS('BSE - Other Index Options'!$M:$M,'BSE - Other Index Options'!$C:$C,$A84,'BSE - Other Index Options'!$B:$B,B$4)=0,"",SUMIFS('NSE - NIFTY Index Options'!$M:$M,'NSE - NIFTY Index Options'!$C:$C,$A84,'NSE - NIFTY Index Options'!$B:$B,B$4)+SUMIFS('NSE - Other Index Options'!$M:$M,'NSE - Other Index Options'!$C:$C,$A84,'NSE - Other Index Options'!$B:$B,B$4)+SUMIFS('BSE - SENSEX Index Options'!$M:$M,'BSE - SENSEX Index Options'!$C:$C,$A84,'BSE - SENSEX Index Options'!$B:$B,B$4)+SUMIFS('BSE - Other Index Options'!$M:$M,'BSE - Other Index Options'!$C:$C,$A84,'BSE - Other Index Options'!$B:$B,B$4))</f>
        <v/>
      </c>
      <c r="C84" s="26">
        <f>IF(SUMIFS('NSE - NIFTY Index Options'!$M:$M,'NSE - NIFTY Index Options'!$C:$C,$A84,'NSE - NIFTY Index Options'!$B:$B,C$4)+SUMIFS('NSE - Other Index Options'!$M:$M,'NSE - Other Index Options'!$C:$C,$A84,'NSE - Other Index Options'!$B:$B,C$4)+SUMIFS('BSE - SENSEX Index Options'!$M:$M,'BSE - SENSEX Index Options'!$C:$C,$A84,'BSE - SENSEX Index Options'!$B:$B,C$4)+SUMIFS('BSE - Other Index Options'!$M:$M,'BSE - Other Index Options'!$C:$C,$A84,'BSE - Other Index Options'!$B:$B,C$4)=0,"",SUMIFS('NSE - NIFTY Index Options'!$M:$M,'NSE - NIFTY Index Options'!$C:$C,$A84,'NSE - NIFTY Index Options'!$B:$B,C$4)+SUMIFS('NSE - Other Index Options'!$M:$M,'NSE - Other Index Options'!$C:$C,$A84,'NSE - Other Index Options'!$B:$B,C$4)+SUMIFS('BSE - SENSEX Index Options'!$M:$M,'BSE - SENSEX Index Options'!$C:$C,$A84,'BSE - SENSEX Index Options'!$B:$B,C$4)+SUMIFS('BSE - Other Index Options'!$M:$M,'BSE - Other Index Options'!$C:$C,$A84,'BSE - Other Index Options'!$B:$B,C$4))</f>
        <v/>
      </c>
      <c r="D84" s="26">
        <f>IF(SUMIFS('NSE - NIFTY Index Options'!$M:$M,'NSE - NIFTY Index Options'!$C:$C,$A84,'NSE - NIFTY Index Options'!$B:$B,D$4)+SUMIFS('NSE - Other Index Options'!$M:$M,'NSE - Other Index Options'!$C:$C,$A84,'NSE - Other Index Options'!$B:$B,D$4)+SUMIFS('BSE - SENSEX Index Options'!$M:$M,'BSE - SENSEX Index Options'!$C:$C,$A84,'BSE - SENSEX Index Options'!$B:$B,D$4)+SUMIFS('BSE - Other Index Options'!$M:$M,'BSE - Other Index Options'!$C:$C,$A84,'BSE - Other Index Options'!$B:$B,D$4)=0,"",SUMIFS('NSE - NIFTY Index Options'!$M:$M,'NSE - NIFTY Index Options'!$C:$C,$A84,'NSE - NIFTY Index Options'!$B:$B,D$4)+SUMIFS('NSE - Other Index Options'!$M:$M,'NSE - Other Index Options'!$C:$C,$A84,'NSE - Other Index Options'!$B:$B,D$4)+SUMIFS('BSE - SENSEX Index Options'!$M:$M,'BSE - SENSEX Index Options'!$C:$C,$A84,'BSE - SENSEX Index Options'!$B:$B,D$4)+SUMIFS('BSE - Other Index Options'!$M:$M,'BSE - Other Index Options'!$C:$C,$A84,'BSE - Other Index Options'!$B:$B,D$4))</f>
        <v/>
      </c>
      <c r="E84" s="26">
        <f>IF(SUMIFS('NSE - NIFTY Index Options'!$M:$M,'NSE - NIFTY Index Options'!$C:$C,$A84,'NSE - NIFTY Index Options'!$B:$B,E$4)+SUMIFS('NSE - Other Index Options'!$M:$M,'NSE - Other Index Options'!$C:$C,$A84,'NSE - Other Index Options'!$B:$B,E$4)+SUMIFS('BSE - SENSEX Index Options'!$M:$M,'BSE - SENSEX Index Options'!$C:$C,$A84,'BSE - SENSEX Index Options'!$B:$B,E$4)+SUMIFS('BSE - Other Index Options'!$M:$M,'BSE - Other Index Options'!$C:$C,$A84,'BSE - Other Index Options'!$B:$B,E$4)=0,"",SUMIFS('NSE - NIFTY Index Options'!$M:$M,'NSE - NIFTY Index Options'!$C:$C,$A84,'NSE - NIFTY Index Options'!$B:$B,E$4)+SUMIFS('NSE - Other Index Options'!$M:$M,'NSE - Other Index Options'!$C:$C,$A84,'NSE - Other Index Options'!$B:$B,E$4)+SUMIFS('BSE - SENSEX Index Options'!$M:$M,'BSE - SENSEX Index Options'!$C:$C,$A84,'BSE - SENSEX Index Options'!$B:$B,E$4)+SUMIFS('BSE - Other Index Options'!$M:$M,'BSE - Other Index Options'!$C:$C,$A84,'BSE - Other Index Options'!$B:$B,E$4))</f>
        <v/>
      </c>
      <c r="F84" s="26">
        <f>IF(SUMIFS('NSE - NIFTY Index Options'!$M:$M,'NSE - NIFTY Index Options'!$C:$C,$A84,'NSE - NIFTY Index Options'!$B:$B,F$4)+SUMIFS('NSE - Other Index Options'!$M:$M,'NSE - Other Index Options'!$C:$C,$A84,'NSE - Other Index Options'!$B:$B,F$4)+SUMIFS('BSE - SENSEX Index Options'!$M:$M,'BSE - SENSEX Index Options'!$C:$C,$A84,'BSE - SENSEX Index Options'!$B:$B,F$4)+SUMIFS('BSE - Other Index Options'!$M:$M,'BSE - Other Index Options'!$C:$C,$A84,'BSE - Other Index Options'!$B:$B,F$4)=0,"",SUMIFS('NSE - NIFTY Index Options'!$M:$M,'NSE - NIFTY Index Options'!$C:$C,$A84,'NSE - NIFTY Index Options'!$B:$B,F$4)+SUMIFS('NSE - Other Index Options'!$M:$M,'NSE - Other Index Options'!$C:$C,$A84,'NSE - Other Index Options'!$B:$B,F$4)+SUMIFS('BSE - SENSEX Index Options'!$M:$M,'BSE - SENSEX Index Options'!$C:$C,$A84,'BSE - SENSEX Index Options'!$B:$B,F$4)+SUMIFS('BSE - Other Index Options'!$M:$M,'BSE - Other Index Options'!$C:$C,$A84,'BSE - Other Index Options'!$B:$B,F$4))</f>
        <v/>
      </c>
      <c r="G84" s="26">
        <f>IF(SUMIFS('NSE - NIFTY Index Options'!$M:$M,'NSE - NIFTY Index Options'!$C:$C,$A84,'NSE - NIFTY Index Options'!$B:$B,G$4)+SUMIFS('NSE - Other Index Options'!$M:$M,'NSE - Other Index Options'!$C:$C,$A84,'NSE - Other Index Options'!$B:$B,G$4)+SUMIFS('BSE - SENSEX Index Options'!$M:$M,'BSE - SENSEX Index Options'!$C:$C,$A84,'BSE - SENSEX Index Options'!$B:$B,G$4)+SUMIFS('BSE - Other Index Options'!$M:$M,'BSE - Other Index Options'!$C:$C,$A84,'BSE - Other Index Options'!$B:$B,G$4)=0,"",SUMIFS('NSE - NIFTY Index Options'!$M:$M,'NSE - NIFTY Index Options'!$C:$C,$A84,'NSE - NIFTY Index Options'!$B:$B,G$4)+SUMIFS('NSE - Other Index Options'!$M:$M,'NSE - Other Index Options'!$C:$C,$A84,'NSE - Other Index Options'!$B:$B,G$4)+SUMIFS('BSE - SENSEX Index Options'!$M:$M,'BSE - SENSEX Index Options'!$C:$C,$A84,'BSE - SENSEX Index Options'!$B:$B,G$4)+SUMIFS('BSE - Other Index Options'!$M:$M,'BSE - Other Index Options'!$C:$C,$A84,'BSE - Other Index Options'!$B:$B,G$4))</f>
        <v/>
      </c>
      <c r="H84" s="26">
        <f>IF(SUM(B84:G84)=0,"",SUM(B84:G84))</f>
        <v/>
      </c>
    </row>
    <row r="85" hidden="1" outlineLevel="1">
      <c r="A85" t="inlineStr">
        <is>
          <t>Week2-Jan-2027</t>
        </is>
      </c>
      <c r="B85" s="26">
        <f>IF(SUMIFS('NSE - NIFTY Index Options'!$M:$M,'NSE - NIFTY Index Options'!$C:$C,$A85,'NSE - NIFTY Index Options'!$B:$B,B$4)+SUMIFS('NSE - Other Index Options'!$M:$M,'NSE - Other Index Options'!$C:$C,$A85,'NSE - Other Index Options'!$B:$B,B$4)+SUMIFS('BSE - SENSEX Index Options'!$M:$M,'BSE - SENSEX Index Options'!$C:$C,$A85,'BSE - SENSEX Index Options'!$B:$B,B$4)+SUMIFS('BSE - Other Index Options'!$M:$M,'BSE - Other Index Options'!$C:$C,$A85,'BSE - Other Index Options'!$B:$B,B$4)=0,"",SUMIFS('NSE - NIFTY Index Options'!$M:$M,'NSE - NIFTY Index Options'!$C:$C,$A85,'NSE - NIFTY Index Options'!$B:$B,B$4)+SUMIFS('NSE - Other Index Options'!$M:$M,'NSE - Other Index Options'!$C:$C,$A85,'NSE - Other Index Options'!$B:$B,B$4)+SUMIFS('BSE - SENSEX Index Options'!$M:$M,'BSE - SENSEX Index Options'!$C:$C,$A85,'BSE - SENSEX Index Options'!$B:$B,B$4)+SUMIFS('BSE - Other Index Options'!$M:$M,'BSE - Other Index Options'!$C:$C,$A85,'BSE - Other Index Options'!$B:$B,B$4))</f>
        <v/>
      </c>
      <c r="C85" s="26">
        <f>IF(SUMIFS('NSE - NIFTY Index Options'!$M:$M,'NSE - NIFTY Index Options'!$C:$C,$A85,'NSE - NIFTY Index Options'!$B:$B,C$4)+SUMIFS('NSE - Other Index Options'!$M:$M,'NSE - Other Index Options'!$C:$C,$A85,'NSE - Other Index Options'!$B:$B,C$4)+SUMIFS('BSE - SENSEX Index Options'!$M:$M,'BSE - SENSEX Index Options'!$C:$C,$A85,'BSE - SENSEX Index Options'!$B:$B,C$4)+SUMIFS('BSE - Other Index Options'!$M:$M,'BSE - Other Index Options'!$C:$C,$A85,'BSE - Other Index Options'!$B:$B,C$4)=0,"",SUMIFS('NSE - NIFTY Index Options'!$M:$M,'NSE - NIFTY Index Options'!$C:$C,$A85,'NSE - NIFTY Index Options'!$B:$B,C$4)+SUMIFS('NSE - Other Index Options'!$M:$M,'NSE - Other Index Options'!$C:$C,$A85,'NSE - Other Index Options'!$B:$B,C$4)+SUMIFS('BSE - SENSEX Index Options'!$M:$M,'BSE - SENSEX Index Options'!$C:$C,$A85,'BSE - SENSEX Index Options'!$B:$B,C$4)+SUMIFS('BSE - Other Index Options'!$M:$M,'BSE - Other Index Options'!$C:$C,$A85,'BSE - Other Index Options'!$B:$B,C$4))</f>
        <v/>
      </c>
      <c r="D85" s="26">
        <f>IF(SUMIFS('NSE - NIFTY Index Options'!$M:$M,'NSE - NIFTY Index Options'!$C:$C,$A85,'NSE - NIFTY Index Options'!$B:$B,D$4)+SUMIFS('NSE - Other Index Options'!$M:$M,'NSE - Other Index Options'!$C:$C,$A85,'NSE - Other Index Options'!$B:$B,D$4)+SUMIFS('BSE - SENSEX Index Options'!$M:$M,'BSE - SENSEX Index Options'!$C:$C,$A85,'BSE - SENSEX Index Options'!$B:$B,D$4)+SUMIFS('BSE - Other Index Options'!$M:$M,'BSE - Other Index Options'!$C:$C,$A85,'BSE - Other Index Options'!$B:$B,D$4)=0,"",SUMIFS('NSE - NIFTY Index Options'!$M:$M,'NSE - NIFTY Index Options'!$C:$C,$A85,'NSE - NIFTY Index Options'!$B:$B,D$4)+SUMIFS('NSE - Other Index Options'!$M:$M,'NSE - Other Index Options'!$C:$C,$A85,'NSE - Other Index Options'!$B:$B,D$4)+SUMIFS('BSE - SENSEX Index Options'!$M:$M,'BSE - SENSEX Index Options'!$C:$C,$A85,'BSE - SENSEX Index Options'!$B:$B,D$4)+SUMIFS('BSE - Other Index Options'!$M:$M,'BSE - Other Index Options'!$C:$C,$A85,'BSE - Other Index Options'!$B:$B,D$4))</f>
        <v/>
      </c>
      <c r="E85" s="26">
        <f>IF(SUMIFS('NSE - NIFTY Index Options'!$M:$M,'NSE - NIFTY Index Options'!$C:$C,$A85,'NSE - NIFTY Index Options'!$B:$B,E$4)+SUMIFS('NSE - Other Index Options'!$M:$M,'NSE - Other Index Options'!$C:$C,$A85,'NSE - Other Index Options'!$B:$B,E$4)+SUMIFS('BSE - SENSEX Index Options'!$M:$M,'BSE - SENSEX Index Options'!$C:$C,$A85,'BSE - SENSEX Index Options'!$B:$B,E$4)+SUMIFS('BSE - Other Index Options'!$M:$M,'BSE - Other Index Options'!$C:$C,$A85,'BSE - Other Index Options'!$B:$B,E$4)=0,"",SUMIFS('NSE - NIFTY Index Options'!$M:$M,'NSE - NIFTY Index Options'!$C:$C,$A85,'NSE - NIFTY Index Options'!$B:$B,E$4)+SUMIFS('NSE - Other Index Options'!$M:$M,'NSE - Other Index Options'!$C:$C,$A85,'NSE - Other Index Options'!$B:$B,E$4)+SUMIFS('BSE - SENSEX Index Options'!$M:$M,'BSE - SENSEX Index Options'!$C:$C,$A85,'BSE - SENSEX Index Options'!$B:$B,E$4)+SUMIFS('BSE - Other Index Options'!$M:$M,'BSE - Other Index Options'!$C:$C,$A85,'BSE - Other Index Options'!$B:$B,E$4))</f>
        <v/>
      </c>
      <c r="F85" s="26">
        <f>IF(SUMIFS('NSE - NIFTY Index Options'!$M:$M,'NSE - NIFTY Index Options'!$C:$C,$A85,'NSE - NIFTY Index Options'!$B:$B,F$4)+SUMIFS('NSE - Other Index Options'!$M:$M,'NSE - Other Index Options'!$C:$C,$A85,'NSE - Other Index Options'!$B:$B,F$4)+SUMIFS('BSE - SENSEX Index Options'!$M:$M,'BSE - SENSEX Index Options'!$C:$C,$A85,'BSE - SENSEX Index Options'!$B:$B,F$4)+SUMIFS('BSE - Other Index Options'!$M:$M,'BSE - Other Index Options'!$C:$C,$A85,'BSE - Other Index Options'!$B:$B,F$4)=0,"",SUMIFS('NSE - NIFTY Index Options'!$M:$M,'NSE - NIFTY Index Options'!$C:$C,$A85,'NSE - NIFTY Index Options'!$B:$B,F$4)+SUMIFS('NSE - Other Index Options'!$M:$M,'NSE - Other Index Options'!$C:$C,$A85,'NSE - Other Index Options'!$B:$B,F$4)+SUMIFS('BSE - SENSEX Index Options'!$M:$M,'BSE - SENSEX Index Options'!$C:$C,$A85,'BSE - SENSEX Index Options'!$B:$B,F$4)+SUMIFS('BSE - Other Index Options'!$M:$M,'BSE - Other Index Options'!$C:$C,$A85,'BSE - Other Index Options'!$B:$B,F$4))</f>
        <v/>
      </c>
      <c r="G85" s="26">
        <f>IF(SUMIFS('NSE - NIFTY Index Options'!$M:$M,'NSE - NIFTY Index Options'!$C:$C,$A85,'NSE - NIFTY Index Options'!$B:$B,G$4)+SUMIFS('NSE - Other Index Options'!$M:$M,'NSE - Other Index Options'!$C:$C,$A85,'NSE - Other Index Options'!$B:$B,G$4)+SUMIFS('BSE - SENSEX Index Options'!$M:$M,'BSE - SENSEX Index Options'!$C:$C,$A85,'BSE - SENSEX Index Options'!$B:$B,G$4)+SUMIFS('BSE - Other Index Options'!$M:$M,'BSE - Other Index Options'!$C:$C,$A85,'BSE - Other Index Options'!$B:$B,G$4)=0,"",SUMIFS('NSE - NIFTY Index Options'!$M:$M,'NSE - NIFTY Index Options'!$C:$C,$A85,'NSE - NIFTY Index Options'!$B:$B,G$4)+SUMIFS('NSE - Other Index Options'!$M:$M,'NSE - Other Index Options'!$C:$C,$A85,'NSE - Other Index Options'!$B:$B,G$4)+SUMIFS('BSE - SENSEX Index Options'!$M:$M,'BSE - SENSEX Index Options'!$C:$C,$A85,'BSE - SENSEX Index Options'!$B:$B,G$4)+SUMIFS('BSE - Other Index Options'!$M:$M,'BSE - Other Index Options'!$C:$C,$A85,'BSE - Other Index Options'!$B:$B,G$4))</f>
        <v/>
      </c>
      <c r="H85" s="26">
        <f>IF(SUM(B85:G85)=0,"",SUM(B85:G85))</f>
        <v/>
      </c>
    </row>
    <row r="86" hidden="1" outlineLevel="1">
      <c r="A86" t="inlineStr">
        <is>
          <t>Week3-Jan-2027</t>
        </is>
      </c>
      <c r="B86" s="26">
        <f>IF(SUMIFS('NSE - NIFTY Index Options'!$M:$M,'NSE - NIFTY Index Options'!$C:$C,$A86,'NSE - NIFTY Index Options'!$B:$B,B$4)+SUMIFS('NSE - Other Index Options'!$M:$M,'NSE - Other Index Options'!$C:$C,$A86,'NSE - Other Index Options'!$B:$B,B$4)+SUMIFS('BSE - SENSEX Index Options'!$M:$M,'BSE - SENSEX Index Options'!$C:$C,$A86,'BSE - SENSEX Index Options'!$B:$B,B$4)+SUMIFS('BSE - Other Index Options'!$M:$M,'BSE - Other Index Options'!$C:$C,$A86,'BSE - Other Index Options'!$B:$B,B$4)=0,"",SUMIFS('NSE - NIFTY Index Options'!$M:$M,'NSE - NIFTY Index Options'!$C:$C,$A86,'NSE - NIFTY Index Options'!$B:$B,B$4)+SUMIFS('NSE - Other Index Options'!$M:$M,'NSE - Other Index Options'!$C:$C,$A86,'NSE - Other Index Options'!$B:$B,B$4)+SUMIFS('BSE - SENSEX Index Options'!$M:$M,'BSE - SENSEX Index Options'!$C:$C,$A86,'BSE - SENSEX Index Options'!$B:$B,B$4)+SUMIFS('BSE - Other Index Options'!$M:$M,'BSE - Other Index Options'!$C:$C,$A86,'BSE - Other Index Options'!$B:$B,B$4))</f>
        <v/>
      </c>
      <c r="C86" s="26">
        <f>IF(SUMIFS('NSE - NIFTY Index Options'!$M:$M,'NSE - NIFTY Index Options'!$C:$C,$A86,'NSE - NIFTY Index Options'!$B:$B,C$4)+SUMIFS('NSE - Other Index Options'!$M:$M,'NSE - Other Index Options'!$C:$C,$A86,'NSE - Other Index Options'!$B:$B,C$4)+SUMIFS('BSE - SENSEX Index Options'!$M:$M,'BSE - SENSEX Index Options'!$C:$C,$A86,'BSE - SENSEX Index Options'!$B:$B,C$4)+SUMIFS('BSE - Other Index Options'!$M:$M,'BSE - Other Index Options'!$C:$C,$A86,'BSE - Other Index Options'!$B:$B,C$4)=0,"",SUMIFS('NSE - NIFTY Index Options'!$M:$M,'NSE - NIFTY Index Options'!$C:$C,$A86,'NSE - NIFTY Index Options'!$B:$B,C$4)+SUMIFS('NSE - Other Index Options'!$M:$M,'NSE - Other Index Options'!$C:$C,$A86,'NSE - Other Index Options'!$B:$B,C$4)+SUMIFS('BSE - SENSEX Index Options'!$M:$M,'BSE - SENSEX Index Options'!$C:$C,$A86,'BSE - SENSEX Index Options'!$B:$B,C$4)+SUMIFS('BSE - Other Index Options'!$M:$M,'BSE - Other Index Options'!$C:$C,$A86,'BSE - Other Index Options'!$B:$B,C$4))</f>
        <v/>
      </c>
      <c r="D86" s="26">
        <f>IF(SUMIFS('NSE - NIFTY Index Options'!$M:$M,'NSE - NIFTY Index Options'!$C:$C,$A86,'NSE - NIFTY Index Options'!$B:$B,D$4)+SUMIFS('NSE - Other Index Options'!$M:$M,'NSE - Other Index Options'!$C:$C,$A86,'NSE - Other Index Options'!$B:$B,D$4)+SUMIFS('BSE - SENSEX Index Options'!$M:$M,'BSE - SENSEX Index Options'!$C:$C,$A86,'BSE - SENSEX Index Options'!$B:$B,D$4)+SUMIFS('BSE - Other Index Options'!$M:$M,'BSE - Other Index Options'!$C:$C,$A86,'BSE - Other Index Options'!$B:$B,D$4)=0,"",SUMIFS('NSE - NIFTY Index Options'!$M:$M,'NSE - NIFTY Index Options'!$C:$C,$A86,'NSE - NIFTY Index Options'!$B:$B,D$4)+SUMIFS('NSE - Other Index Options'!$M:$M,'NSE - Other Index Options'!$C:$C,$A86,'NSE - Other Index Options'!$B:$B,D$4)+SUMIFS('BSE - SENSEX Index Options'!$M:$M,'BSE - SENSEX Index Options'!$C:$C,$A86,'BSE - SENSEX Index Options'!$B:$B,D$4)+SUMIFS('BSE - Other Index Options'!$M:$M,'BSE - Other Index Options'!$C:$C,$A86,'BSE - Other Index Options'!$B:$B,D$4))</f>
        <v/>
      </c>
      <c r="E86" s="26">
        <f>IF(SUMIFS('NSE - NIFTY Index Options'!$M:$M,'NSE - NIFTY Index Options'!$C:$C,$A86,'NSE - NIFTY Index Options'!$B:$B,E$4)+SUMIFS('NSE - Other Index Options'!$M:$M,'NSE - Other Index Options'!$C:$C,$A86,'NSE - Other Index Options'!$B:$B,E$4)+SUMIFS('BSE - SENSEX Index Options'!$M:$M,'BSE - SENSEX Index Options'!$C:$C,$A86,'BSE - SENSEX Index Options'!$B:$B,E$4)+SUMIFS('BSE - Other Index Options'!$M:$M,'BSE - Other Index Options'!$C:$C,$A86,'BSE - Other Index Options'!$B:$B,E$4)=0,"",SUMIFS('NSE - NIFTY Index Options'!$M:$M,'NSE - NIFTY Index Options'!$C:$C,$A86,'NSE - NIFTY Index Options'!$B:$B,E$4)+SUMIFS('NSE - Other Index Options'!$M:$M,'NSE - Other Index Options'!$C:$C,$A86,'NSE - Other Index Options'!$B:$B,E$4)+SUMIFS('BSE - SENSEX Index Options'!$M:$M,'BSE - SENSEX Index Options'!$C:$C,$A86,'BSE - SENSEX Index Options'!$B:$B,E$4)+SUMIFS('BSE - Other Index Options'!$M:$M,'BSE - Other Index Options'!$C:$C,$A86,'BSE - Other Index Options'!$B:$B,E$4))</f>
        <v/>
      </c>
      <c r="F86" s="26">
        <f>IF(SUMIFS('NSE - NIFTY Index Options'!$M:$M,'NSE - NIFTY Index Options'!$C:$C,$A86,'NSE - NIFTY Index Options'!$B:$B,F$4)+SUMIFS('NSE - Other Index Options'!$M:$M,'NSE - Other Index Options'!$C:$C,$A86,'NSE - Other Index Options'!$B:$B,F$4)+SUMIFS('BSE - SENSEX Index Options'!$M:$M,'BSE - SENSEX Index Options'!$C:$C,$A86,'BSE - SENSEX Index Options'!$B:$B,F$4)+SUMIFS('BSE - Other Index Options'!$M:$M,'BSE - Other Index Options'!$C:$C,$A86,'BSE - Other Index Options'!$B:$B,F$4)=0,"",SUMIFS('NSE - NIFTY Index Options'!$M:$M,'NSE - NIFTY Index Options'!$C:$C,$A86,'NSE - NIFTY Index Options'!$B:$B,F$4)+SUMIFS('NSE - Other Index Options'!$M:$M,'NSE - Other Index Options'!$C:$C,$A86,'NSE - Other Index Options'!$B:$B,F$4)+SUMIFS('BSE - SENSEX Index Options'!$M:$M,'BSE - SENSEX Index Options'!$C:$C,$A86,'BSE - SENSEX Index Options'!$B:$B,F$4)+SUMIFS('BSE - Other Index Options'!$M:$M,'BSE - Other Index Options'!$C:$C,$A86,'BSE - Other Index Options'!$B:$B,F$4))</f>
        <v/>
      </c>
      <c r="G86" s="26">
        <f>IF(SUMIFS('NSE - NIFTY Index Options'!$M:$M,'NSE - NIFTY Index Options'!$C:$C,$A86,'NSE - NIFTY Index Options'!$B:$B,G$4)+SUMIFS('NSE - Other Index Options'!$M:$M,'NSE - Other Index Options'!$C:$C,$A86,'NSE - Other Index Options'!$B:$B,G$4)+SUMIFS('BSE - SENSEX Index Options'!$M:$M,'BSE - SENSEX Index Options'!$C:$C,$A86,'BSE - SENSEX Index Options'!$B:$B,G$4)+SUMIFS('BSE - Other Index Options'!$M:$M,'BSE - Other Index Options'!$C:$C,$A86,'BSE - Other Index Options'!$B:$B,G$4)=0,"",SUMIFS('NSE - NIFTY Index Options'!$M:$M,'NSE - NIFTY Index Options'!$C:$C,$A86,'NSE - NIFTY Index Options'!$B:$B,G$4)+SUMIFS('NSE - Other Index Options'!$M:$M,'NSE - Other Index Options'!$C:$C,$A86,'NSE - Other Index Options'!$B:$B,G$4)+SUMIFS('BSE - SENSEX Index Options'!$M:$M,'BSE - SENSEX Index Options'!$C:$C,$A86,'BSE - SENSEX Index Options'!$B:$B,G$4)+SUMIFS('BSE - Other Index Options'!$M:$M,'BSE - Other Index Options'!$C:$C,$A86,'BSE - Other Index Options'!$B:$B,G$4))</f>
        <v/>
      </c>
      <c r="H86" s="26">
        <f>IF(SUM(B86:G86)=0,"",SUM(B86:G86))</f>
        <v/>
      </c>
    </row>
    <row r="87" hidden="1" outlineLevel="1">
      <c r="A87" t="inlineStr">
        <is>
          <t>Week4-Jan-2027</t>
        </is>
      </c>
      <c r="B87" s="26">
        <f>IF(SUMIFS('NSE - NIFTY Index Options'!$M:$M,'NSE - NIFTY Index Options'!$C:$C,$A87,'NSE - NIFTY Index Options'!$B:$B,B$4)+SUMIFS('NSE - Other Index Options'!$M:$M,'NSE - Other Index Options'!$C:$C,$A87,'NSE - Other Index Options'!$B:$B,B$4)+SUMIFS('BSE - SENSEX Index Options'!$M:$M,'BSE - SENSEX Index Options'!$C:$C,$A87,'BSE - SENSEX Index Options'!$B:$B,B$4)+SUMIFS('BSE - Other Index Options'!$M:$M,'BSE - Other Index Options'!$C:$C,$A87,'BSE - Other Index Options'!$B:$B,B$4)=0,"",SUMIFS('NSE - NIFTY Index Options'!$M:$M,'NSE - NIFTY Index Options'!$C:$C,$A87,'NSE - NIFTY Index Options'!$B:$B,B$4)+SUMIFS('NSE - Other Index Options'!$M:$M,'NSE - Other Index Options'!$C:$C,$A87,'NSE - Other Index Options'!$B:$B,B$4)+SUMIFS('BSE - SENSEX Index Options'!$M:$M,'BSE - SENSEX Index Options'!$C:$C,$A87,'BSE - SENSEX Index Options'!$B:$B,B$4)+SUMIFS('BSE - Other Index Options'!$M:$M,'BSE - Other Index Options'!$C:$C,$A87,'BSE - Other Index Options'!$B:$B,B$4))</f>
        <v/>
      </c>
      <c r="C87" s="26">
        <f>IF(SUMIFS('NSE - NIFTY Index Options'!$M:$M,'NSE - NIFTY Index Options'!$C:$C,$A87,'NSE - NIFTY Index Options'!$B:$B,C$4)+SUMIFS('NSE - Other Index Options'!$M:$M,'NSE - Other Index Options'!$C:$C,$A87,'NSE - Other Index Options'!$B:$B,C$4)+SUMIFS('BSE - SENSEX Index Options'!$M:$M,'BSE - SENSEX Index Options'!$C:$C,$A87,'BSE - SENSEX Index Options'!$B:$B,C$4)+SUMIFS('BSE - Other Index Options'!$M:$M,'BSE - Other Index Options'!$C:$C,$A87,'BSE - Other Index Options'!$B:$B,C$4)=0,"",SUMIFS('NSE - NIFTY Index Options'!$M:$M,'NSE - NIFTY Index Options'!$C:$C,$A87,'NSE - NIFTY Index Options'!$B:$B,C$4)+SUMIFS('NSE - Other Index Options'!$M:$M,'NSE - Other Index Options'!$C:$C,$A87,'NSE - Other Index Options'!$B:$B,C$4)+SUMIFS('BSE - SENSEX Index Options'!$M:$M,'BSE - SENSEX Index Options'!$C:$C,$A87,'BSE - SENSEX Index Options'!$B:$B,C$4)+SUMIFS('BSE - Other Index Options'!$M:$M,'BSE - Other Index Options'!$C:$C,$A87,'BSE - Other Index Options'!$B:$B,C$4))</f>
        <v/>
      </c>
      <c r="D87" s="26">
        <f>IF(SUMIFS('NSE - NIFTY Index Options'!$M:$M,'NSE - NIFTY Index Options'!$C:$C,$A87,'NSE - NIFTY Index Options'!$B:$B,D$4)+SUMIFS('NSE - Other Index Options'!$M:$M,'NSE - Other Index Options'!$C:$C,$A87,'NSE - Other Index Options'!$B:$B,D$4)+SUMIFS('BSE - SENSEX Index Options'!$M:$M,'BSE - SENSEX Index Options'!$C:$C,$A87,'BSE - SENSEX Index Options'!$B:$B,D$4)+SUMIFS('BSE - Other Index Options'!$M:$M,'BSE - Other Index Options'!$C:$C,$A87,'BSE - Other Index Options'!$B:$B,D$4)=0,"",SUMIFS('NSE - NIFTY Index Options'!$M:$M,'NSE - NIFTY Index Options'!$C:$C,$A87,'NSE - NIFTY Index Options'!$B:$B,D$4)+SUMIFS('NSE - Other Index Options'!$M:$M,'NSE - Other Index Options'!$C:$C,$A87,'NSE - Other Index Options'!$B:$B,D$4)+SUMIFS('BSE - SENSEX Index Options'!$M:$M,'BSE - SENSEX Index Options'!$C:$C,$A87,'BSE - SENSEX Index Options'!$B:$B,D$4)+SUMIFS('BSE - Other Index Options'!$M:$M,'BSE - Other Index Options'!$C:$C,$A87,'BSE - Other Index Options'!$B:$B,D$4))</f>
        <v/>
      </c>
      <c r="E87" s="26">
        <f>IF(SUMIFS('NSE - NIFTY Index Options'!$M:$M,'NSE - NIFTY Index Options'!$C:$C,$A87,'NSE - NIFTY Index Options'!$B:$B,E$4)+SUMIFS('NSE - Other Index Options'!$M:$M,'NSE - Other Index Options'!$C:$C,$A87,'NSE - Other Index Options'!$B:$B,E$4)+SUMIFS('BSE - SENSEX Index Options'!$M:$M,'BSE - SENSEX Index Options'!$C:$C,$A87,'BSE - SENSEX Index Options'!$B:$B,E$4)+SUMIFS('BSE - Other Index Options'!$M:$M,'BSE - Other Index Options'!$C:$C,$A87,'BSE - Other Index Options'!$B:$B,E$4)=0,"",SUMIFS('NSE - NIFTY Index Options'!$M:$M,'NSE - NIFTY Index Options'!$C:$C,$A87,'NSE - NIFTY Index Options'!$B:$B,E$4)+SUMIFS('NSE - Other Index Options'!$M:$M,'NSE - Other Index Options'!$C:$C,$A87,'NSE - Other Index Options'!$B:$B,E$4)+SUMIFS('BSE - SENSEX Index Options'!$M:$M,'BSE - SENSEX Index Options'!$C:$C,$A87,'BSE - SENSEX Index Options'!$B:$B,E$4)+SUMIFS('BSE - Other Index Options'!$M:$M,'BSE - Other Index Options'!$C:$C,$A87,'BSE - Other Index Options'!$B:$B,E$4))</f>
        <v/>
      </c>
      <c r="F87" s="26">
        <f>IF(SUMIFS('NSE - NIFTY Index Options'!$M:$M,'NSE - NIFTY Index Options'!$C:$C,$A87,'NSE - NIFTY Index Options'!$B:$B,F$4)+SUMIFS('NSE - Other Index Options'!$M:$M,'NSE - Other Index Options'!$C:$C,$A87,'NSE - Other Index Options'!$B:$B,F$4)+SUMIFS('BSE - SENSEX Index Options'!$M:$M,'BSE - SENSEX Index Options'!$C:$C,$A87,'BSE - SENSEX Index Options'!$B:$B,F$4)+SUMIFS('BSE - Other Index Options'!$M:$M,'BSE - Other Index Options'!$C:$C,$A87,'BSE - Other Index Options'!$B:$B,F$4)=0,"",SUMIFS('NSE - NIFTY Index Options'!$M:$M,'NSE - NIFTY Index Options'!$C:$C,$A87,'NSE - NIFTY Index Options'!$B:$B,F$4)+SUMIFS('NSE - Other Index Options'!$M:$M,'NSE - Other Index Options'!$C:$C,$A87,'NSE - Other Index Options'!$B:$B,F$4)+SUMIFS('BSE - SENSEX Index Options'!$M:$M,'BSE - SENSEX Index Options'!$C:$C,$A87,'BSE - SENSEX Index Options'!$B:$B,F$4)+SUMIFS('BSE - Other Index Options'!$M:$M,'BSE - Other Index Options'!$C:$C,$A87,'BSE - Other Index Options'!$B:$B,F$4))</f>
        <v/>
      </c>
      <c r="G87" s="26">
        <f>IF(SUMIFS('NSE - NIFTY Index Options'!$M:$M,'NSE - NIFTY Index Options'!$C:$C,$A87,'NSE - NIFTY Index Options'!$B:$B,G$4)+SUMIFS('NSE - Other Index Options'!$M:$M,'NSE - Other Index Options'!$C:$C,$A87,'NSE - Other Index Options'!$B:$B,G$4)+SUMIFS('BSE - SENSEX Index Options'!$M:$M,'BSE - SENSEX Index Options'!$C:$C,$A87,'BSE - SENSEX Index Options'!$B:$B,G$4)+SUMIFS('BSE - Other Index Options'!$M:$M,'BSE - Other Index Options'!$C:$C,$A87,'BSE - Other Index Options'!$B:$B,G$4)=0,"",SUMIFS('NSE - NIFTY Index Options'!$M:$M,'NSE - NIFTY Index Options'!$C:$C,$A87,'NSE - NIFTY Index Options'!$B:$B,G$4)+SUMIFS('NSE - Other Index Options'!$M:$M,'NSE - Other Index Options'!$C:$C,$A87,'NSE - Other Index Options'!$B:$B,G$4)+SUMIFS('BSE - SENSEX Index Options'!$M:$M,'BSE - SENSEX Index Options'!$C:$C,$A87,'BSE - SENSEX Index Options'!$B:$B,G$4)+SUMIFS('BSE - Other Index Options'!$M:$M,'BSE - Other Index Options'!$C:$C,$A87,'BSE - Other Index Options'!$B:$B,G$4))</f>
        <v/>
      </c>
      <c r="H87" s="26">
        <f>IF(SUM(B87:G87)=0,"",SUM(B87:G87))</f>
        <v/>
      </c>
    </row>
    <row r="88" hidden="1" outlineLevel="1">
      <c r="A88" t="inlineStr">
        <is>
          <t>Week5-Jan-2027</t>
        </is>
      </c>
      <c r="B88" s="26">
        <f>IF(SUMIFS('NSE - NIFTY Index Options'!$M:$M,'NSE - NIFTY Index Options'!$C:$C,$A88,'NSE - NIFTY Index Options'!$B:$B,B$4)+SUMIFS('NSE - Other Index Options'!$M:$M,'NSE - Other Index Options'!$C:$C,$A88,'NSE - Other Index Options'!$B:$B,B$4)+SUMIFS('BSE - SENSEX Index Options'!$M:$M,'BSE - SENSEX Index Options'!$C:$C,$A88,'BSE - SENSEX Index Options'!$B:$B,B$4)+SUMIFS('BSE - Other Index Options'!$M:$M,'BSE - Other Index Options'!$C:$C,$A88,'BSE - Other Index Options'!$B:$B,B$4)=0,"",SUMIFS('NSE - NIFTY Index Options'!$M:$M,'NSE - NIFTY Index Options'!$C:$C,$A88,'NSE - NIFTY Index Options'!$B:$B,B$4)+SUMIFS('NSE - Other Index Options'!$M:$M,'NSE - Other Index Options'!$C:$C,$A88,'NSE - Other Index Options'!$B:$B,B$4)+SUMIFS('BSE - SENSEX Index Options'!$M:$M,'BSE - SENSEX Index Options'!$C:$C,$A88,'BSE - SENSEX Index Options'!$B:$B,B$4)+SUMIFS('BSE - Other Index Options'!$M:$M,'BSE - Other Index Options'!$C:$C,$A88,'BSE - Other Index Options'!$B:$B,B$4))</f>
        <v/>
      </c>
      <c r="C88" s="26">
        <f>IF(SUMIFS('NSE - NIFTY Index Options'!$M:$M,'NSE - NIFTY Index Options'!$C:$C,$A88,'NSE - NIFTY Index Options'!$B:$B,C$4)+SUMIFS('NSE - Other Index Options'!$M:$M,'NSE - Other Index Options'!$C:$C,$A88,'NSE - Other Index Options'!$B:$B,C$4)+SUMIFS('BSE - SENSEX Index Options'!$M:$M,'BSE - SENSEX Index Options'!$C:$C,$A88,'BSE - SENSEX Index Options'!$B:$B,C$4)+SUMIFS('BSE - Other Index Options'!$M:$M,'BSE - Other Index Options'!$C:$C,$A88,'BSE - Other Index Options'!$B:$B,C$4)=0,"",SUMIFS('NSE - NIFTY Index Options'!$M:$M,'NSE - NIFTY Index Options'!$C:$C,$A88,'NSE - NIFTY Index Options'!$B:$B,C$4)+SUMIFS('NSE - Other Index Options'!$M:$M,'NSE - Other Index Options'!$C:$C,$A88,'NSE - Other Index Options'!$B:$B,C$4)+SUMIFS('BSE - SENSEX Index Options'!$M:$M,'BSE - SENSEX Index Options'!$C:$C,$A88,'BSE - SENSEX Index Options'!$B:$B,C$4)+SUMIFS('BSE - Other Index Options'!$M:$M,'BSE - Other Index Options'!$C:$C,$A88,'BSE - Other Index Options'!$B:$B,C$4))</f>
        <v/>
      </c>
      <c r="D88" s="26">
        <f>IF(SUMIFS('NSE - NIFTY Index Options'!$M:$M,'NSE - NIFTY Index Options'!$C:$C,$A88,'NSE - NIFTY Index Options'!$B:$B,D$4)+SUMIFS('NSE - Other Index Options'!$M:$M,'NSE - Other Index Options'!$C:$C,$A88,'NSE - Other Index Options'!$B:$B,D$4)+SUMIFS('BSE - SENSEX Index Options'!$M:$M,'BSE - SENSEX Index Options'!$C:$C,$A88,'BSE - SENSEX Index Options'!$B:$B,D$4)+SUMIFS('BSE - Other Index Options'!$M:$M,'BSE - Other Index Options'!$C:$C,$A88,'BSE - Other Index Options'!$B:$B,D$4)=0,"",SUMIFS('NSE - NIFTY Index Options'!$M:$M,'NSE - NIFTY Index Options'!$C:$C,$A88,'NSE - NIFTY Index Options'!$B:$B,D$4)+SUMIFS('NSE - Other Index Options'!$M:$M,'NSE - Other Index Options'!$C:$C,$A88,'NSE - Other Index Options'!$B:$B,D$4)+SUMIFS('BSE - SENSEX Index Options'!$M:$M,'BSE - SENSEX Index Options'!$C:$C,$A88,'BSE - SENSEX Index Options'!$B:$B,D$4)+SUMIFS('BSE - Other Index Options'!$M:$M,'BSE - Other Index Options'!$C:$C,$A88,'BSE - Other Index Options'!$B:$B,D$4))</f>
        <v/>
      </c>
      <c r="E88" s="26">
        <f>IF(SUMIFS('NSE - NIFTY Index Options'!$M:$M,'NSE - NIFTY Index Options'!$C:$C,$A88,'NSE - NIFTY Index Options'!$B:$B,E$4)+SUMIFS('NSE - Other Index Options'!$M:$M,'NSE - Other Index Options'!$C:$C,$A88,'NSE - Other Index Options'!$B:$B,E$4)+SUMIFS('BSE - SENSEX Index Options'!$M:$M,'BSE - SENSEX Index Options'!$C:$C,$A88,'BSE - SENSEX Index Options'!$B:$B,E$4)+SUMIFS('BSE - Other Index Options'!$M:$M,'BSE - Other Index Options'!$C:$C,$A88,'BSE - Other Index Options'!$B:$B,E$4)=0,"",SUMIFS('NSE - NIFTY Index Options'!$M:$M,'NSE - NIFTY Index Options'!$C:$C,$A88,'NSE - NIFTY Index Options'!$B:$B,E$4)+SUMIFS('NSE - Other Index Options'!$M:$M,'NSE - Other Index Options'!$C:$C,$A88,'NSE - Other Index Options'!$B:$B,E$4)+SUMIFS('BSE - SENSEX Index Options'!$M:$M,'BSE - SENSEX Index Options'!$C:$C,$A88,'BSE - SENSEX Index Options'!$B:$B,E$4)+SUMIFS('BSE - Other Index Options'!$M:$M,'BSE - Other Index Options'!$C:$C,$A88,'BSE - Other Index Options'!$B:$B,E$4))</f>
        <v/>
      </c>
      <c r="F88" s="26">
        <f>IF(SUMIFS('NSE - NIFTY Index Options'!$M:$M,'NSE - NIFTY Index Options'!$C:$C,$A88,'NSE - NIFTY Index Options'!$B:$B,F$4)+SUMIFS('NSE - Other Index Options'!$M:$M,'NSE - Other Index Options'!$C:$C,$A88,'NSE - Other Index Options'!$B:$B,F$4)+SUMIFS('BSE - SENSEX Index Options'!$M:$M,'BSE - SENSEX Index Options'!$C:$C,$A88,'BSE - SENSEX Index Options'!$B:$B,F$4)+SUMIFS('BSE - Other Index Options'!$M:$M,'BSE - Other Index Options'!$C:$C,$A88,'BSE - Other Index Options'!$B:$B,F$4)=0,"",SUMIFS('NSE - NIFTY Index Options'!$M:$M,'NSE - NIFTY Index Options'!$C:$C,$A88,'NSE - NIFTY Index Options'!$B:$B,F$4)+SUMIFS('NSE - Other Index Options'!$M:$M,'NSE - Other Index Options'!$C:$C,$A88,'NSE - Other Index Options'!$B:$B,F$4)+SUMIFS('BSE - SENSEX Index Options'!$M:$M,'BSE - SENSEX Index Options'!$C:$C,$A88,'BSE - SENSEX Index Options'!$B:$B,F$4)+SUMIFS('BSE - Other Index Options'!$M:$M,'BSE - Other Index Options'!$C:$C,$A88,'BSE - Other Index Options'!$B:$B,F$4))</f>
        <v/>
      </c>
      <c r="G88" s="26">
        <f>IF(SUMIFS('NSE - NIFTY Index Options'!$M:$M,'NSE - NIFTY Index Options'!$C:$C,$A88,'NSE - NIFTY Index Options'!$B:$B,G$4)+SUMIFS('NSE - Other Index Options'!$M:$M,'NSE - Other Index Options'!$C:$C,$A88,'NSE - Other Index Options'!$B:$B,G$4)+SUMIFS('BSE - SENSEX Index Options'!$M:$M,'BSE - SENSEX Index Options'!$C:$C,$A88,'BSE - SENSEX Index Options'!$B:$B,G$4)+SUMIFS('BSE - Other Index Options'!$M:$M,'BSE - Other Index Options'!$C:$C,$A88,'BSE - Other Index Options'!$B:$B,G$4)=0,"",SUMIFS('NSE - NIFTY Index Options'!$M:$M,'NSE - NIFTY Index Options'!$C:$C,$A88,'NSE - NIFTY Index Options'!$B:$B,G$4)+SUMIFS('NSE - Other Index Options'!$M:$M,'NSE - Other Index Options'!$C:$C,$A88,'NSE - Other Index Options'!$B:$B,G$4)+SUMIFS('BSE - SENSEX Index Options'!$M:$M,'BSE - SENSEX Index Options'!$C:$C,$A88,'BSE - SENSEX Index Options'!$B:$B,G$4)+SUMIFS('BSE - Other Index Options'!$M:$M,'BSE - Other Index Options'!$C:$C,$A88,'BSE - Other Index Options'!$B:$B,G$4))</f>
        <v/>
      </c>
      <c r="H88" s="26">
        <f>IF(SUM(B88:G88)=0,"",SUM(B88:G88))</f>
        <v/>
      </c>
    </row>
    <row r="89" hidden="1" outlineLevel="1">
      <c r="A89" t="inlineStr">
        <is>
          <t>Week1-Feb-2027</t>
        </is>
      </c>
      <c r="B89" s="26">
        <f>IF(SUMIFS('NSE - NIFTY Index Options'!$M:$M,'NSE - NIFTY Index Options'!$C:$C,$A89,'NSE - NIFTY Index Options'!$B:$B,B$4)+SUMIFS('NSE - Other Index Options'!$M:$M,'NSE - Other Index Options'!$C:$C,$A89,'NSE - Other Index Options'!$B:$B,B$4)+SUMIFS('BSE - SENSEX Index Options'!$M:$M,'BSE - SENSEX Index Options'!$C:$C,$A89,'BSE - SENSEX Index Options'!$B:$B,B$4)+SUMIFS('BSE - Other Index Options'!$M:$M,'BSE - Other Index Options'!$C:$C,$A89,'BSE - Other Index Options'!$B:$B,B$4)=0,"",SUMIFS('NSE - NIFTY Index Options'!$M:$M,'NSE - NIFTY Index Options'!$C:$C,$A89,'NSE - NIFTY Index Options'!$B:$B,B$4)+SUMIFS('NSE - Other Index Options'!$M:$M,'NSE - Other Index Options'!$C:$C,$A89,'NSE - Other Index Options'!$B:$B,B$4)+SUMIFS('BSE - SENSEX Index Options'!$M:$M,'BSE - SENSEX Index Options'!$C:$C,$A89,'BSE - SENSEX Index Options'!$B:$B,B$4)+SUMIFS('BSE - Other Index Options'!$M:$M,'BSE - Other Index Options'!$C:$C,$A89,'BSE - Other Index Options'!$B:$B,B$4))</f>
        <v/>
      </c>
      <c r="C89" s="26">
        <f>IF(SUMIFS('NSE - NIFTY Index Options'!$M:$M,'NSE - NIFTY Index Options'!$C:$C,$A89,'NSE - NIFTY Index Options'!$B:$B,C$4)+SUMIFS('NSE - Other Index Options'!$M:$M,'NSE - Other Index Options'!$C:$C,$A89,'NSE - Other Index Options'!$B:$B,C$4)+SUMIFS('BSE - SENSEX Index Options'!$M:$M,'BSE - SENSEX Index Options'!$C:$C,$A89,'BSE - SENSEX Index Options'!$B:$B,C$4)+SUMIFS('BSE - Other Index Options'!$M:$M,'BSE - Other Index Options'!$C:$C,$A89,'BSE - Other Index Options'!$B:$B,C$4)=0,"",SUMIFS('NSE - NIFTY Index Options'!$M:$M,'NSE - NIFTY Index Options'!$C:$C,$A89,'NSE - NIFTY Index Options'!$B:$B,C$4)+SUMIFS('NSE - Other Index Options'!$M:$M,'NSE - Other Index Options'!$C:$C,$A89,'NSE - Other Index Options'!$B:$B,C$4)+SUMIFS('BSE - SENSEX Index Options'!$M:$M,'BSE - SENSEX Index Options'!$C:$C,$A89,'BSE - SENSEX Index Options'!$B:$B,C$4)+SUMIFS('BSE - Other Index Options'!$M:$M,'BSE - Other Index Options'!$C:$C,$A89,'BSE - Other Index Options'!$B:$B,C$4))</f>
        <v/>
      </c>
      <c r="D89" s="26">
        <f>IF(SUMIFS('NSE - NIFTY Index Options'!$M:$M,'NSE - NIFTY Index Options'!$C:$C,$A89,'NSE - NIFTY Index Options'!$B:$B,D$4)+SUMIFS('NSE - Other Index Options'!$M:$M,'NSE - Other Index Options'!$C:$C,$A89,'NSE - Other Index Options'!$B:$B,D$4)+SUMIFS('BSE - SENSEX Index Options'!$M:$M,'BSE - SENSEX Index Options'!$C:$C,$A89,'BSE - SENSEX Index Options'!$B:$B,D$4)+SUMIFS('BSE - Other Index Options'!$M:$M,'BSE - Other Index Options'!$C:$C,$A89,'BSE - Other Index Options'!$B:$B,D$4)=0,"",SUMIFS('NSE - NIFTY Index Options'!$M:$M,'NSE - NIFTY Index Options'!$C:$C,$A89,'NSE - NIFTY Index Options'!$B:$B,D$4)+SUMIFS('NSE - Other Index Options'!$M:$M,'NSE - Other Index Options'!$C:$C,$A89,'NSE - Other Index Options'!$B:$B,D$4)+SUMIFS('BSE - SENSEX Index Options'!$M:$M,'BSE - SENSEX Index Options'!$C:$C,$A89,'BSE - SENSEX Index Options'!$B:$B,D$4)+SUMIFS('BSE - Other Index Options'!$M:$M,'BSE - Other Index Options'!$C:$C,$A89,'BSE - Other Index Options'!$B:$B,D$4))</f>
        <v/>
      </c>
      <c r="E89" s="26">
        <f>IF(SUMIFS('NSE - NIFTY Index Options'!$M:$M,'NSE - NIFTY Index Options'!$C:$C,$A89,'NSE - NIFTY Index Options'!$B:$B,E$4)+SUMIFS('NSE - Other Index Options'!$M:$M,'NSE - Other Index Options'!$C:$C,$A89,'NSE - Other Index Options'!$B:$B,E$4)+SUMIFS('BSE - SENSEX Index Options'!$M:$M,'BSE - SENSEX Index Options'!$C:$C,$A89,'BSE - SENSEX Index Options'!$B:$B,E$4)+SUMIFS('BSE - Other Index Options'!$M:$M,'BSE - Other Index Options'!$C:$C,$A89,'BSE - Other Index Options'!$B:$B,E$4)=0,"",SUMIFS('NSE - NIFTY Index Options'!$M:$M,'NSE - NIFTY Index Options'!$C:$C,$A89,'NSE - NIFTY Index Options'!$B:$B,E$4)+SUMIFS('NSE - Other Index Options'!$M:$M,'NSE - Other Index Options'!$C:$C,$A89,'NSE - Other Index Options'!$B:$B,E$4)+SUMIFS('BSE - SENSEX Index Options'!$M:$M,'BSE - SENSEX Index Options'!$C:$C,$A89,'BSE - SENSEX Index Options'!$B:$B,E$4)+SUMIFS('BSE - Other Index Options'!$M:$M,'BSE - Other Index Options'!$C:$C,$A89,'BSE - Other Index Options'!$B:$B,E$4))</f>
        <v/>
      </c>
      <c r="F89" s="26">
        <f>IF(SUMIFS('NSE - NIFTY Index Options'!$M:$M,'NSE - NIFTY Index Options'!$C:$C,$A89,'NSE - NIFTY Index Options'!$B:$B,F$4)+SUMIFS('NSE - Other Index Options'!$M:$M,'NSE - Other Index Options'!$C:$C,$A89,'NSE - Other Index Options'!$B:$B,F$4)+SUMIFS('BSE - SENSEX Index Options'!$M:$M,'BSE - SENSEX Index Options'!$C:$C,$A89,'BSE - SENSEX Index Options'!$B:$B,F$4)+SUMIFS('BSE - Other Index Options'!$M:$M,'BSE - Other Index Options'!$C:$C,$A89,'BSE - Other Index Options'!$B:$B,F$4)=0,"",SUMIFS('NSE - NIFTY Index Options'!$M:$M,'NSE - NIFTY Index Options'!$C:$C,$A89,'NSE - NIFTY Index Options'!$B:$B,F$4)+SUMIFS('NSE - Other Index Options'!$M:$M,'NSE - Other Index Options'!$C:$C,$A89,'NSE - Other Index Options'!$B:$B,F$4)+SUMIFS('BSE - SENSEX Index Options'!$M:$M,'BSE - SENSEX Index Options'!$C:$C,$A89,'BSE - SENSEX Index Options'!$B:$B,F$4)+SUMIFS('BSE - Other Index Options'!$M:$M,'BSE - Other Index Options'!$C:$C,$A89,'BSE - Other Index Options'!$B:$B,F$4))</f>
        <v/>
      </c>
      <c r="G89" s="26">
        <f>IF(SUMIFS('NSE - NIFTY Index Options'!$M:$M,'NSE - NIFTY Index Options'!$C:$C,$A89,'NSE - NIFTY Index Options'!$B:$B,G$4)+SUMIFS('NSE - Other Index Options'!$M:$M,'NSE - Other Index Options'!$C:$C,$A89,'NSE - Other Index Options'!$B:$B,G$4)+SUMIFS('BSE - SENSEX Index Options'!$M:$M,'BSE - SENSEX Index Options'!$C:$C,$A89,'BSE - SENSEX Index Options'!$B:$B,G$4)+SUMIFS('BSE - Other Index Options'!$M:$M,'BSE - Other Index Options'!$C:$C,$A89,'BSE - Other Index Options'!$B:$B,G$4)=0,"",SUMIFS('NSE - NIFTY Index Options'!$M:$M,'NSE - NIFTY Index Options'!$C:$C,$A89,'NSE - NIFTY Index Options'!$B:$B,G$4)+SUMIFS('NSE - Other Index Options'!$M:$M,'NSE - Other Index Options'!$C:$C,$A89,'NSE - Other Index Options'!$B:$B,G$4)+SUMIFS('BSE - SENSEX Index Options'!$M:$M,'BSE - SENSEX Index Options'!$C:$C,$A89,'BSE - SENSEX Index Options'!$B:$B,G$4)+SUMIFS('BSE - Other Index Options'!$M:$M,'BSE - Other Index Options'!$C:$C,$A89,'BSE - Other Index Options'!$B:$B,G$4))</f>
        <v/>
      </c>
      <c r="H89" s="26">
        <f>IF(SUM(B89:G89)=0,"",SUM(B89:G89))</f>
        <v/>
      </c>
    </row>
    <row r="90" hidden="1" outlineLevel="1">
      <c r="A90" t="inlineStr">
        <is>
          <t>Week2-Feb-2027</t>
        </is>
      </c>
      <c r="B90" s="26">
        <f>IF(SUMIFS('NSE - NIFTY Index Options'!$M:$M,'NSE - NIFTY Index Options'!$C:$C,$A90,'NSE - NIFTY Index Options'!$B:$B,B$4)+SUMIFS('NSE - Other Index Options'!$M:$M,'NSE - Other Index Options'!$C:$C,$A90,'NSE - Other Index Options'!$B:$B,B$4)+SUMIFS('BSE - SENSEX Index Options'!$M:$M,'BSE - SENSEX Index Options'!$C:$C,$A90,'BSE - SENSEX Index Options'!$B:$B,B$4)+SUMIFS('BSE - Other Index Options'!$M:$M,'BSE - Other Index Options'!$C:$C,$A90,'BSE - Other Index Options'!$B:$B,B$4)=0,"",SUMIFS('NSE - NIFTY Index Options'!$M:$M,'NSE - NIFTY Index Options'!$C:$C,$A90,'NSE - NIFTY Index Options'!$B:$B,B$4)+SUMIFS('NSE - Other Index Options'!$M:$M,'NSE - Other Index Options'!$C:$C,$A90,'NSE - Other Index Options'!$B:$B,B$4)+SUMIFS('BSE - SENSEX Index Options'!$M:$M,'BSE - SENSEX Index Options'!$C:$C,$A90,'BSE - SENSEX Index Options'!$B:$B,B$4)+SUMIFS('BSE - Other Index Options'!$M:$M,'BSE - Other Index Options'!$C:$C,$A90,'BSE - Other Index Options'!$B:$B,B$4))</f>
        <v/>
      </c>
      <c r="C90" s="26">
        <f>IF(SUMIFS('NSE - NIFTY Index Options'!$M:$M,'NSE - NIFTY Index Options'!$C:$C,$A90,'NSE - NIFTY Index Options'!$B:$B,C$4)+SUMIFS('NSE - Other Index Options'!$M:$M,'NSE - Other Index Options'!$C:$C,$A90,'NSE - Other Index Options'!$B:$B,C$4)+SUMIFS('BSE - SENSEX Index Options'!$M:$M,'BSE - SENSEX Index Options'!$C:$C,$A90,'BSE - SENSEX Index Options'!$B:$B,C$4)+SUMIFS('BSE - Other Index Options'!$M:$M,'BSE - Other Index Options'!$C:$C,$A90,'BSE - Other Index Options'!$B:$B,C$4)=0,"",SUMIFS('NSE - NIFTY Index Options'!$M:$M,'NSE - NIFTY Index Options'!$C:$C,$A90,'NSE - NIFTY Index Options'!$B:$B,C$4)+SUMIFS('NSE - Other Index Options'!$M:$M,'NSE - Other Index Options'!$C:$C,$A90,'NSE - Other Index Options'!$B:$B,C$4)+SUMIFS('BSE - SENSEX Index Options'!$M:$M,'BSE - SENSEX Index Options'!$C:$C,$A90,'BSE - SENSEX Index Options'!$B:$B,C$4)+SUMIFS('BSE - Other Index Options'!$M:$M,'BSE - Other Index Options'!$C:$C,$A90,'BSE - Other Index Options'!$B:$B,C$4))</f>
        <v/>
      </c>
      <c r="D90" s="26">
        <f>IF(SUMIFS('NSE - NIFTY Index Options'!$M:$M,'NSE - NIFTY Index Options'!$C:$C,$A90,'NSE - NIFTY Index Options'!$B:$B,D$4)+SUMIFS('NSE - Other Index Options'!$M:$M,'NSE - Other Index Options'!$C:$C,$A90,'NSE - Other Index Options'!$B:$B,D$4)+SUMIFS('BSE - SENSEX Index Options'!$M:$M,'BSE - SENSEX Index Options'!$C:$C,$A90,'BSE - SENSEX Index Options'!$B:$B,D$4)+SUMIFS('BSE - Other Index Options'!$M:$M,'BSE - Other Index Options'!$C:$C,$A90,'BSE - Other Index Options'!$B:$B,D$4)=0,"",SUMIFS('NSE - NIFTY Index Options'!$M:$M,'NSE - NIFTY Index Options'!$C:$C,$A90,'NSE - NIFTY Index Options'!$B:$B,D$4)+SUMIFS('NSE - Other Index Options'!$M:$M,'NSE - Other Index Options'!$C:$C,$A90,'NSE - Other Index Options'!$B:$B,D$4)+SUMIFS('BSE - SENSEX Index Options'!$M:$M,'BSE - SENSEX Index Options'!$C:$C,$A90,'BSE - SENSEX Index Options'!$B:$B,D$4)+SUMIFS('BSE - Other Index Options'!$M:$M,'BSE - Other Index Options'!$C:$C,$A90,'BSE - Other Index Options'!$B:$B,D$4))</f>
        <v/>
      </c>
      <c r="E90" s="26">
        <f>IF(SUMIFS('NSE - NIFTY Index Options'!$M:$M,'NSE - NIFTY Index Options'!$C:$C,$A90,'NSE - NIFTY Index Options'!$B:$B,E$4)+SUMIFS('NSE - Other Index Options'!$M:$M,'NSE - Other Index Options'!$C:$C,$A90,'NSE - Other Index Options'!$B:$B,E$4)+SUMIFS('BSE - SENSEX Index Options'!$M:$M,'BSE - SENSEX Index Options'!$C:$C,$A90,'BSE - SENSEX Index Options'!$B:$B,E$4)+SUMIFS('BSE - Other Index Options'!$M:$M,'BSE - Other Index Options'!$C:$C,$A90,'BSE - Other Index Options'!$B:$B,E$4)=0,"",SUMIFS('NSE - NIFTY Index Options'!$M:$M,'NSE - NIFTY Index Options'!$C:$C,$A90,'NSE - NIFTY Index Options'!$B:$B,E$4)+SUMIFS('NSE - Other Index Options'!$M:$M,'NSE - Other Index Options'!$C:$C,$A90,'NSE - Other Index Options'!$B:$B,E$4)+SUMIFS('BSE - SENSEX Index Options'!$M:$M,'BSE - SENSEX Index Options'!$C:$C,$A90,'BSE - SENSEX Index Options'!$B:$B,E$4)+SUMIFS('BSE - Other Index Options'!$M:$M,'BSE - Other Index Options'!$C:$C,$A90,'BSE - Other Index Options'!$B:$B,E$4))</f>
        <v/>
      </c>
      <c r="F90" s="26">
        <f>IF(SUMIFS('NSE - NIFTY Index Options'!$M:$M,'NSE - NIFTY Index Options'!$C:$C,$A90,'NSE - NIFTY Index Options'!$B:$B,F$4)+SUMIFS('NSE - Other Index Options'!$M:$M,'NSE - Other Index Options'!$C:$C,$A90,'NSE - Other Index Options'!$B:$B,F$4)+SUMIFS('BSE - SENSEX Index Options'!$M:$M,'BSE - SENSEX Index Options'!$C:$C,$A90,'BSE - SENSEX Index Options'!$B:$B,F$4)+SUMIFS('BSE - Other Index Options'!$M:$M,'BSE - Other Index Options'!$C:$C,$A90,'BSE - Other Index Options'!$B:$B,F$4)=0,"",SUMIFS('NSE - NIFTY Index Options'!$M:$M,'NSE - NIFTY Index Options'!$C:$C,$A90,'NSE - NIFTY Index Options'!$B:$B,F$4)+SUMIFS('NSE - Other Index Options'!$M:$M,'NSE - Other Index Options'!$C:$C,$A90,'NSE - Other Index Options'!$B:$B,F$4)+SUMIFS('BSE - SENSEX Index Options'!$M:$M,'BSE - SENSEX Index Options'!$C:$C,$A90,'BSE - SENSEX Index Options'!$B:$B,F$4)+SUMIFS('BSE - Other Index Options'!$M:$M,'BSE - Other Index Options'!$C:$C,$A90,'BSE - Other Index Options'!$B:$B,F$4))</f>
        <v/>
      </c>
      <c r="G90" s="26">
        <f>IF(SUMIFS('NSE - NIFTY Index Options'!$M:$M,'NSE - NIFTY Index Options'!$C:$C,$A90,'NSE - NIFTY Index Options'!$B:$B,G$4)+SUMIFS('NSE - Other Index Options'!$M:$M,'NSE - Other Index Options'!$C:$C,$A90,'NSE - Other Index Options'!$B:$B,G$4)+SUMIFS('BSE - SENSEX Index Options'!$M:$M,'BSE - SENSEX Index Options'!$C:$C,$A90,'BSE - SENSEX Index Options'!$B:$B,G$4)+SUMIFS('BSE - Other Index Options'!$M:$M,'BSE - Other Index Options'!$C:$C,$A90,'BSE - Other Index Options'!$B:$B,G$4)=0,"",SUMIFS('NSE - NIFTY Index Options'!$M:$M,'NSE - NIFTY Index Options'!$C:$C,$A90,'NSE - NIFTY Index Options'!$B:$B,G$4)+SUMIFS('NSE - Other Index Options'!$M:$M,'NSE - Other Index Options'!$C:$C,$A90,'NSE - Other Index Options'!$B:$B,G$4)+SUMIFS('BSE - SENSEX Index Options'!$M:$M,'BSE - SENSEX Index Options'!$C:$C,$A90,'BSE - SENSEX Index Options'!$B:$B,G$4)+SUMIFS('BSE - Other Index Options'!$M:$M,'BSE - Other Index Options'!$C:$C,$A90,'BSE - Other Index Options'!$B:$B,G$4))</f>
        <v/>
      </c>
      <c r="H90" s="26">
        <f>IF(SUM(B90:G90)=0,"",SUM(B90:G90))</f>
        <v/>
      </c>
    </row>
    <row r="91" hidden="1" outlineLevel="1">
      <c r="A91" t="inlineStr">
        <is>
          <t>Week3-Feb-2027</t>
        </is>
      </c>
      <c r="B91" s="26">
        <f>IF(SUMIFS('NSE - NIFTY Index Options'!$M:$M,'NSE - NIFTY Index Options'!$C:$C,$A91,'NSE - NIFTY Index Options'!$B:$B,B$4)+SUMIFS('NSE - Other Index Options'!$M:$M,'NSE - Other Index Options'!$C:$C,$A91,'NSE - Other Index Options'!$B:$B,B$4)+SUMIFS('BSE - SENSEX Index Options'!$M:$M,'BSE - SENSEX Index Options'!$C:$C,$A91,'BSE - SENSEX Index Options'!$B:$B,B$4)+SUMIFS('BSE - Other Index Options'!$M:$M,'BSE - Other Index Options'!$C:$C,$A91,'BSE - Other Index Options'!$B:$B,B$4)=0,"",SUMIFS('NSE - NIFTY Index Options'!$M:$M,'NSE - NIFTY Index Options'!$C:$C,$A91,'NSE - NIFTY Index Options'!$B:$B,B$4)+SUMIFS('NSE - Other Index Options'!$M:$M,'NSE - Other Index Options'!$C:$C,$A91,'NSE - Other Index Options'!$B:$B,B$4)+SUMIFS('BSE - SENSEX Index Options'!$M:$M,'BSE - SENSEX Index Options'!$C:$C,$A91,'BSE - SENSEX Index Options'!$B:$B,B$4)+SUMIFS('BSE - Other Index Options'!$M:$M,'BSE - Other Index Options'!$C:$C,$A91,'BSE - Other Index Options'!$B:$B,B$4))</f>
        <v/>
      </c>
      <c r="C91" s="26">
        <f>IF(SUMIFS('NSE - NIFTY Index Options'!$M:$M,'NSE - NIFTY Index Options'!$C:$C,$A91,'NSE - NIFTY Index Options'!$B:$B,C$4)+SUMIFS('NSE - Other Index Options'!$M:$M,'NSE - Other Index Options'!$C:$C,$A91,'NSE - Other Index Options'!$B:$B,C$4)+SUMIFS('BSE - SENSEX Index Options'!$M:$M,'BSE - SENSEX Index Options'!$C:$C,$A91,'BSE - SENSEX Index Options'!$B:$B,C$4)+SUMIFS('BSE - Other Index Options'!$M:$M,'BSE - Other Index Options'!$C:$C,$A91,'BSE - Other Index Options'!$B:$B,C$4)=0,"",SUMIFS('NSE - NIFTY Index Options'!$M:$M,'NSE - NIFTY Index Options'!$C:$C,$A91,'NSE - NIFTY Index Options'!$B:$B,C$4)+SUMIFS('NSE - Other Index Options'!$M:$M,'NSE - Other Index Options'!$C:$C,$A91,'NSE - Other Index Options'!$B:$B,C$4)+SUMIFS('BSE - SENSEX Index Options'!$M:$M,'BSE - SENSEX Index Options'!$C:$C,$A91,'BSE - SENSEX Index Options'!$B:$B,C$4)+SUMIFS('BSE - Other Index Options'!$M:$M,'BSE - Other Index Options'!$C:$C,$A91,'BSE - Other Index Options'!$B:$B,C$4))</f>
        <v/>
      </c>
      <c r="D91" s="26">
        <f>IF(SUMIFS('NSE - NIFTY Index Options'!$M:$M,'NSE - NIFTY Index Options'!$C:$C,$A91,'NSE - NIFTY Index Options'!$B:$B,D$4)+SUMIFS('NSE - Other Index Options'!$M:$M,'NSE - Other Index Options'!$C:$C,$A91,'NSE - Other Index Options'!$B:$B,D$4)+SUMIFS('BSE - SENSEX Index Options'!$M:$M,'BSE - SENSEX Index Options'!$C:$C,$A91,'BSE - SENSEX Index Options'!$B:$B,D$4)+SUMIFS('BSE - Other Index Options'!$M:$M,'BSE - Other Index Options'!$C:$C,$A91,'BSE - Other Index Options'!$B:$B,D$4)=0,"",SUMIFS('NSE - NIFTY Index Options'!$M:$M,'NSE - NIFTY Index Options'!$C:$C,$A91,'NSE - NIFTY Index Options'!$B:$B,D$4)+SUMIFS('NSE - Other Index Options'!$M:$M,'NSE - Other Index Options'!$C:$C,$A91,'NSE - Other Index Options'!$B:$B,D$4)+SUMIFS('BSE - SENSEX Index Options'!$M:$M,'BSE - SENSEX Index Options'!$C:$C,$A91,'BSE - SENSEX Index Options'!$B:$B,D$4)+SUMIFS('BSE - Other Index Options'!$M:$M,'BSE - Other Index Options'!$C:$C,$A91,'BSE - Other Index Options'!$B:$B,D$4))</f>
        <v/>
      </c>
      <c r="E91" s="26">
        <f>IF(SUMIFS('NSE - NIFTY Index Options'!$M:$M,'NSE - NIFTY Index Options'!$C:$C,$A91,'NSE - NIFTY Index Options'!$B:$B,E$4)+SUMIFS('NSE - Other Index Options'!$M:$M,'NSE - Other Index Options'!$C:$C,$A91,'NSE - Other Index Options'!$B:$B,E$4)+SUMIFS('BSE - SENSEX Index Options'!$M:$M,'BSE - SENSEX Index Options'!$C:$C,$A91,'BSE - SENSEX Index Options'!$B:$B,E$4)+SUMIFS('BSE - Other Index Options'!$M:$M,'BSE - Other Index Options'!$C:$C,$A91,'BSE - Other Index Options'!$B:$B,E$4)=0,"",SUMIFS('NSE - NIFTY Index Options'!$M:$M,'NSE - NIFTY Index Options'!$C:$C,$A91,'NSE - NIFTY Index Options'!$B:$B,E$4)+SUMIFS('NSE - Other Index Options'!$M:$M,'NSE - Other Index Options'!$C:$C,$A91,'NSE - Other Index Options'!$B:$B,E$4)+SUMIFS('BSE - SENSEX Index Options'!$M:$M,'BSE - SENSEX Index Options'!$C:$C,$A91,'BSE - SENSEX Index Options'!$B:$B,E$4)+SUMIFS('BSE - Other Index Options'!$M:$M,'BSE - Other Index Options'!$C:$C,$A91,'BSE - Other Index Options'!$B:$B,E$4))</f>
        <v/>
      </c>
      <c r="F91" s="26">
        <f>IF(SUMIFS('NSE - NIFTY Index Options'!$M:$M,'NSE - NIFTY Index Options'!$C:$C,$A91,'NSE - NIFTY Index Options'!$B:$B,F$4)+SUMIFS('NSE - Other Index Options'!$M:$M,'NSE - Other Index Options'!$C:$C,$A91,'NSE - Other Index Options'!$B:$B,F$4)+SUMIFS('BSE - SENSEX Index Options'!$M:$M,'BSE - SENSEX Index Options'!$C:$C,$A91,'BSE - SENSEX Index Options'!$B:$B,F$4)+SUMIFS('BSE - Other Index Options'!$M:$M,'BSE - Other Index Options'!$C:$C,$A91,'BSE - Other Index Options'!$B:$B,F$4)=0,"",SUMIFS('NSE - NIFTY Index Options'!$M:$M,'NSE - NIFTY Index Options'!$C:$C,$A91,'NSE - NIFTY Index Options'!$B:$B,F$4)+SUMIFS('NSE - Other Index Options'!$M:$M,'NSE - Other Index Options'!$C:$C,$A91,'NSE - Other Index Options'!$B:$B,F$4)+SUMIFS('BSE - SENSEX Index Options'!$M:$M,'BSE - SENSEX Index Options'!$C:$C,$A91,'BSE - SENSEX Index Options'!$B:$B,F$4)+SUMIFS('BSE - Other Index Options'!$M:$M,'BSE - Other Index Options'!$C:$C,$A91,'BSE - Other Index Options'!$B:$B,F$4))</f>
        <v/>
      </c>
      <c r="G91" s="26">
        <f>IF(SUMIFS('NSE - NIFTY Index Options'!$M:$M,'NSE - NIFTY Index Options'!$C:$C,$A91,'NSE - NIFTY Index Options'!$B:$B,G$4)+SUMIFS('NSE - Other Index Options'!$M:$M,'NSE - Other Index Options'!$C:$C,$A91,'NSE - Other Index Options'!$B:$B,G$4)+SUMIFS('BSE - SENSEX Index Options'!$M:$M,'BSE - SENSEX Index Options'!$C:$C,$A91,'BSE - SENSEX Index Options'!$B:$B,G$4)+SUMIFS('BSE - Other Index Options'!$M:$M,'BSE - Other Index Options'!$C:$C,$A91,'BSE - Other Index Options'!$B:$B,G$4)=0,"",SUMIFS('NSE - NIFTY Index Options'!$M:$M,'NSE - NIFTY Index Options'!$C:$C,$A91,'NSE - NIFTY Index Options'!$B:$B,G$4)+SUMIFS('NSE - Other Index Options'!$M:$M,'NSE - Other Index Options'!$C:$C,$A91,'NSE - Other Index Options'!$B:$B,G$4)+SUMIFS('BSE - SENSEX Index Options'!$M:$M,'BSE - SENSEX Index Options'!$C:$C,$A91,'BSE - SENSEX Index Options'!$B:$B,G$4)+SUMIFS('BSE - Other Index Options'!$M:$M,'BSE - Other Index Options'!$C:$C,$A91,'BSE - Other Index Options'!$B:$B,G$4))</f>
        <v/>
      </c>
      <c r="H91" s="26">
        <f>IF(SUM(B91:G91)=0,"",SUM(B91:G91))</f>
        <v/>
      </c>
    </row>
    <row r="92" hidden="1" outlineLevel="1">
      <c r="A92" t="inlineStr">
        <is>
          <t>Week4-Feb-2027</t>
        </is>
      </c>
      <c r="B92" s="26">
        <f>IF(SUMIFS('NSE - NIFTY Index Options'!$M:$M,'NSE - NIFTY Index Options'!$C:$C,$A92,'NSE - NIFTY Index Options'!$B:$B,B$4)+SUMIFS('NSE - Other Index Options'!$M:$M,'NSE - Other Index Options'!$C:$C,$A92,'NSE - Other Index Options'!$B:$B,B$4)+SUMIFS('BSE - SENSEX Index Options'!$M:$M,'BSE - SENSEX Index Options'!$C:$C,$A92,'BSE - SENSEX Index Options'!$B:$B,B$4)+SUMIFS('BSE - Other Index Options'!$M:$M,'BSE - Other Index Options'!$C:$C,$A92,'BSE - Other Index Options'!$B:$B,B$4)=0,"",SUMIFS('NSE - NIFTY Index Options'!$M:$M,'NSE - NIFTY Index Options'!$C:$C,$A92,'NSE - NIFTY Index Options'!$B:$B,B$4)+SUMIFS('NSE - Other Index Options'!$M:$M,'NSE - Other Index Options'!$C:$C,$A92,'NSE - Other Index Options'!$B:$B,B$4)+SUMIFS('BSE - SENSEX Index Options'!$M:$M,'BSE - SENSEX Index Options'!$C:$C,$A92,'BSE - SENSEX Index Options'!$B:$B,B$4)+SUMIFS('BSE - Other Index Options'!$M:$M,'BSE - Other Index Options'!$C:$C,$A92,'BSE - Other Index Options'!$B:$B,B$4))</f>
        <v/>
      </c>
      <c r="C92" s="26">
        <f>IF(SUMIFS('NSE - NIFTY Index Options'!$M:$M,'NSE - NIFTY Index Options'!$C:$C,$A92,'NSE - NIFTY Index Options'!$B:$B,C$4)+SUMIFS('NSE - Other Index Options'!$M:$M,'NSE - Other Index Options'!$C:$C,$A92,'NSE - Other Index Options'!$B:$B,C$4)+SUMIFS('BSE - SENSEX Index Options'!$M:$M,'BSE - SENSEX Index Options'!$C:$C,$A92,'BSE - SENSEX Index Options'!$B:$B,C$4)+SUMIFS('BSE - Other Index Options'!$M:$M,'BSE - Other Index Options'!$C:$C,$A92,'BSE - Other Index Options'!$B:$B,C$4)=0,"",SUMIFS('NSE - NIFTY Index Options'!$M:$M,'NSE - NIFTY Index Options'!$C:$C,$A92,'NSE - NIFTY Index Options'!$B:$B,C$4)+SUMIFS('NSE - Other Index Options'!$M:$M,'NSE - Other Index Options'!$C:$C,$A92,'NSE - Other Index Options'!$B:$B,C$4)+SUMIFS('BSE - SENSEX Index Options'!$M:$M,'BSE - SENSEX Index Options'!$C:$C,$A92,'BSE - SENSEX Index Options'!$B:$B,C$4)+SUMIFS('BSE - Other Index Options'!$M:$M,'BSE - Other Index Options'!$C:$C,$A92,'BSE - Other Index Options'!$B:$B,C$4))</f>
        <v/>
      </c>
      <c r="D92" s="26">
        <f>IF(SUMIFS('NSE - NIFTY Index Options'!$M:$M,'NSE - NIFTY Index Options'!$C:$C,$A92,'NSE - NIFTY Index Options'!$B:$B,D$4)+SUMIFS('NSE - Other Index Options'!$M:$M,'NSE - Other Index Options'!$C:$C,$A92,'NSE - Other Index Options'!$B:$B,D$4)+SUMIFS('BSE - SENSEX Index Options'!$M:$M,'BSE - SENSEX Index Options'!$C:$C,$A92,'BSE - SENSEX Index Options'!$B:$B,D$4)+SUMIFS('BSE - Other Index Options'!$M:$M,'BSE - Other Index Options'!$C:$C,$A92,'BSE - Other Index Options'!$B:$B,D$4)=0,"",SUMIFS('NSE - NIFTY Index Options'!$M:$M,'NSE - NIFTY Index Options'!$C:$C,$A92,'NSE - NIFTY Index Options'!$B:$B,D$4)+SUMIFS('NSE - Other Index Options'!$M:$M,'NSE - Other Index Options'!$C:$C,$A92,'NSE - Other Index Options'!$B:$B,D$4)+SUMIFS('BSE - SENSEX Index Options'!$M:$M,'BSE - SENSEX Index Options'!$C:$C,$A92,'BSE - SENSEX Index Options'!$B:$B,D$4)+SUMIFS('BSE - Other Index Options'!$M:$M,'BSE - Other Index Options'!$C:$C,$A92,'BSE - Other Index Options'!$B:$B,D$4))</f>
        <v/>
      </c>
      <c r="E92" s="26">
        <f>IF(SUMIFS('NSE - NIFTY Index Options'!$M:$M,'NSE - NIFTY Index Options'!$C:$C,$A92,'NSE - NIFTY Index Options'!$B:$B,E$4)+SUMIFS('NSE - Other Index Options'!$M:$M,'NSE - Other Index Options'!$C:$C,$A92,'NSE - Other Index Options'!$B:$B,E$4)+SUMIFS('BSE - SENSEX Index Options'!$M:$M,'BSE - SENSEX Index Options'!$C:$C,$A92,'BSE - SENSEX Index Options'!$B:$B,E$4)+SUMIFS('BSE - Other Index Options'!$M:$M,'BSE - Other Index Options'!$C:$C,$A92,'BSE - Other Index Options'!$B:$B,E$4)=0,"",SUMIFS('NSE - NIFTY Index Options'!$M:$M,'NSE - NIFTY Index Options'!$C:$C,$A92,'NSE - NIFTY Index Options'!$B:$B,E$4)+SUMIFS('NSE - Other Index Options'!$M:$M,'NSE - Other Index Options'!$C:$C,$A92,'NSE - Other Index Options'!$B:$B,E$4)+SUMIFS('BSE - SENSEX Index Options'!$M:$M,'BSE - SENSEX Index Options'!$C:$C,$A92,'BSE - SENSEX Index Options'!$B:$B,E$4)+SUMIFS('BSE - Other Index Options'!$M:$M,'BSE - Other Index Options'!$C:$C,$A92,'BSE - Other Index Options'!$B:$B,E$4))</f>
        <v/>
      </c>
      <c r="F92" s="26">
        <f>IF(SUMIFS('NSE - NIFTY Index Options'!$M:$M,'NSE - NIFTY Index Options'!$C:$C,$A92,'NSE - NIFTY Index Options'!$B:$B,F$4)+SUMIFS('NSE - Other Index Options'!$M:$M,'NSE - Other Index Options'!$C:$C,$A92,'NSE - Other Index Options'!$B:$B,F$4)+SUMIFS('BSE - SENSEX Index Options'!$M:$M,'BSE - SENSEX Index Options'!$C:$C,$A92,'BSE - SENSEX Index Options'!$B:$B,F$4)+SUMIFS('BSE - Other Index Options'!$M:$M,'BSE - Other Index Options'!$C:$C,$A92,'BSE - Other Index Options'!$B:$B,F$4)=0,"",SUMIFS('NSE - NIFTY Index Options'!$M:$M,'NSE - NIFTY Index Options'!$C:$C,$A92,'NSE - NIFTY Index Options'!$B:$B,F$4)+SUMIFS('NSE - Other Index Options'!$M:$M,'NSE - Other Index Options'!$C:$C,$A92,'NSE - Other Index Options'!$B:$B,F$4)+SUMIFS('BSE - SENSEX Index Options'!$M:$M,'BSE - SENSEX Index Options'!$C:$C,$A92,'BSE - SENSEX Index Options'!$B:$B,F$4)+SUMIFS('BSE - Other Index Options'!$M:$M,'BSE - Other Index Options'!$C:$C,$A92,'BSE - Other Index Options'!$B:$B,F$4))</f>
        <v/>
      </c>
      <c r="G92" s="26">
        <f>IF(SUMIFS('NSE - NIFTY Index Options'!$M:$M,'NSE - NIFTY Index Options'!$C:$C,$A92,'NSE - NIFTY Index Options'!$B:$B,G$4)+SUMIFS('NSE - Other Index Options'!$M:$M,'NSE - Other Index Options'!$C:$C,$A92,'NSE - Other Index Options'!$B:$B,G$4)+SUMIFS('BSE - SENSEX Index Options'!$M:$M,'BSE - SENSEX Index Options'!$C:$C,$A92,'BSE - SENSEX Index Options'!$B:$B,G$4)+SUMIFS('BSE - Other Index Options'!$M:$M,'BSE - Other Index Options'!$C:$C,$A92,'BSE - Other Index Options'!$B:$B,G$4)=0,"",SUMIFS('NSE - NIFTY Index Options'!$M:$M,'NSE - NIFTY Index Options'!$C:$C,$A92,'NSE - NIFTY Index Options'!$B:$B,G$4)+SUMIFS('NSE - Other Index Options'!$M:$M,'NSE - Other Index Options'!$C:$C,$A92,'NSE - Other Index Options'!$B:$B,G$4)+SUMIFS('BSE - SENSEX Index Options'!$M:$M,'BSE - SENSEX Index Options'!$C:$C,$A92,'BSE - SENSEX Index Options'!$B:$B,G$4)+SUMIFS('BSE - Other Index Options'!$M:$M,'BSE - Other Index Options'!$C:$C,$A92,'BSE - Other Index Options'!$B:$B,G$4))</f>
        <v/>
      </c>
      <c r="H92" s="26">
        <f>IF(SUM(B92:G92)=0,"",SUM(B92:G92))</f>
        <v/>
      </c>
    </row>
    <row r="93" hidden="1" outlineLevel="1">
      <c r="A93" t="inlineStr">
        <is>
          <t>Week1-Mar-2027</t>
        </is>
      </c>
      <c r="B93" s="26">
        <f>IF(SUMIFS('NSE - NIFTY Index Options'!$M:$M,'NSE - NIFTY Index Options'!$C:$C,$A93,'NSE - NIFTY Index Options'!$B:$B,B$4)+SUMIFS('NSE - Other Index Options'!$M:$M,'NSE - Other Index Options'!$C:$C,$A93,'NSE - Other Index Options'!$B:$B,B$4)+SUMIFS('BSE - SENSEX Index Options'!$M:$M,'BSE - SENSEX Index Options'!$C:$C,$A93,'BSE - SENSEX Index Options'!$B:$B,B$4)+SUMIFS('BSE - Other Index Options'!$M:$M,'BSE - Other Index Options'!$C:$C,$A93,'BSE - Other Index Options'!$B:$B,B$4)=0,"",SUMIFS('NSE - NIFTY Index Options'!$M:$M,'NSE - NIFTY Index Options'!$C:$C,$A93,'NSE - NIFTY Index Options'!$B:$B,B$4)+SUMIFS('NSE - Other Index Options'!$M:$M,'NSE - Other Index Options'!$C:$C,$A93,'NSE - Other Index Options'!$B:$B,B$4)+SUMIFS('BSE - SENSEX Index Options'!$M:$M,'BSE - SENSEX Index Options'!$C:$C,$A93,'BSE - SENSEX Index Options'!$B:$B,B$4)+SUMIFS('BSE - Other Index Options'!$M:$M,'BSE - Other Index Options'!$C:$C,$A93,'BSE - Other Index Options'!$B:$B,B$4))</f>
        <v/>
      </c>
      <c r="C93" s="26">
        <f>IF(SUMIFS('NSE - NIFTY Index Options'!$M:$M,'NSE - NIFTY Index Options'!$C:$C,$A93,'NSE - NIFTY Index Options'!$B:$B,C$4)+SUMIFS('NSE - Other Index Options'!$M:$M,'NSE - Other Index Options'!$C:$C,$A93,'NSE - Other Index Options'!$B:$B,C$4)+SUMIFS('BSE - SENSEX Index Options'!$M:$M,'BSE - SENSEX Index Options'!$C:$C,$A93,'BSE - SENSEX Index Options'!$B:$B,C$4)+SUMIFS('BSE - Other Index Options'!$M:$M,'BSE - Other Index Options'!$C:$C,$A93,'BSE - Other Index Options'!$B:$B,C$4)=0,"",SUMIFS('NSE - NIFTY Index Options'!$M:$M,'NSE - NIFTY Index Options'!$C:$C,$A93,'NSE - NIFTY Index Options'!$B:$B,C$4)+SUMIFS('NSE - Other Index Options'!$M:$M,'NSE - Other Index Options'!$C:$C,$A93,'NSE - Other Index Options'!$B:$B,C$4)+SUMIFS('BSE - SENSEX Index Options'!$M:$M,'BSE - SENSEX Index Options'!$C:$C,$A93,'BSE - SENSEX Index Options'!$B:$B,C$4)+SUMIFS('BSE - Other Index Options'!$M:$M,'BSE - Other Index Options'!$C:$C,$A93,'BSE - Other Index Options'!$B:$B,C$4))</f>
        <v/>
      </c>
      <c r="D93" s="26">
        <f>IF(SUMIFS('NSE - NIFTY Index Options'!$M:$M,'NSE - NIFTY Index Options'!$C:$C,$A93,'NSE - NIFTY Index Options'!$B:$B,D$4)+SUMIFS('NSE - Other Index Options'!$M:$M,'NSE - Other Index Options'!$C:$C,$A93,'NSE - Other Index Options'!$B:$B,D$4)+SUMIFS('BSE - SENSEX Index Options'!$M:$M,'BSE - SENSEX Index Options'!$C:$C,$A93,'BSE - SENSEX Index Options'!$B:$B,D$4)+SUMIFS('BSE - Other Index Options'!$M:$M,'BSE - Other Index Options'!$C:$C,$A93,'BSE - Other Index Options'!$B:$B,D$4)=0,"",SUMIFS('NSE - NIFTY Index Options'!$M:$M,'NSE - NIFTY Index Options'!$C:$C,$A93,'NSE - NIFTY Index Options'!$B:$B,D$4)+SUMIFS('NSE - Other Index Options'!$M:$M,'NSE - Other Index Options'!$C:$C,$A93,'NSE - Other Index Options'!$B:$B,D$4)+SUMIFS('BSE - SENSEX Index Options'!$M:$M,'BSE - SENSEX Index Options'!$C:$C,$A93,'BSE - SENSEX Index Options'!$B:$B,D$4)+SUMIFS('BSE - Other Index Options'!$M:$M,'BSE - Other Index Options'!$C:$C,$A93,'BSE - Other Index Options'!$B:$B,D$4))</f>
        <v/>
      </c>
      <c r="E93" s="26">
        <f>IF(SUMIFS('NSE - NIFTY Index Options'!$M:$M,'NSE - NIFTY Index Options'!$C:$C,$A93,'NSE - NIFTY Index Options'!$B:$B,E$4)+SUMIFS('NSE - Other Index Options'!$M:$M,'NSE - Other Index Options'!$C:$C,$A93,'NSE - Other Index Options'!$B:$B,E$4)+SUMIFS('BSE - SENSEX Index Options'!$M:$M,'BSE - SENSEX Index Options'!$C:$C,$A93,'BSE - SENSEX Index Options'!$B:$B,E$4)+SUMIFS('BSE - Other Index Options'!$M:$M,'BSE - Other Index Options'!$C:$C,$A93,'BSE - Other Index Options'!$B:$B,E$4)=0,"",SUMIFS('NSE - NIFTY Index Options'!$M:$M,'NSE - NIFTY Index Options'!$C:$C,$A93,'NSE - NIFTY Index Options'!$B:$B,E$4)+SUMIFS('NSE - Other Index Options'!$M:$M,'NSE - Other Index Options'!$C:$C,$A93,'NSE - Other Index Options'!$B:$B,E$4)+SUMIFS('BSE - SENSEX Index Options'!$M:$M,'BSE - SENSEX Index Options'!$C:$C,$A93,'BSE - SENSEX Index Options'!$B:$B,E$4)+SUMIFS('BSE - Other Index Options'!$M:$M,'BSE - Other Index Options'!$C:$C,$A93,'BSE - Other Index Options'!$B:$B,E$4))</f>
        <v/>
      </c>
      <c r="F93" s="26">
        <f>IF(SUMIFS('NSE - NIFTY Index Options'!$M:$M,'NSE - NIFTY Index Options'!$C:$C,$A93,'NSE - NIFTY Index Options'!$B:$B,F$4)+SUMIFS('NSE - Other Index Options'!$M:$M,'NSE - Other Index Options'!$C:$C,$A93,'NSE - Other Index Options'!$B:$B,F$4)+SUMIFS('BSE - SENSEX Index Options'!$M:$M,'BSE - SENSEX Index Options'!$C:$C,$A93,'BSE - SENSEX Index Options'!$B:$B,F$4)+SUMIFS('BSE - Other Index Options'!$M:$M,'BSE - Other Index Options'!$C:$C,$A93,'BSE - Other Index Options'!$B:$B,F$4)=0,"",SUMIFS('NSE - NIFTY Index Options'!$M:$M,'NSE - NIFTY Index Options'!$C:$C,$A93,'NSE - NIFTY Index Options'!$B:$B,F$4)+SUMIFS('NSE - Other Index Options'!$M:$M,'NSE - Other Index Options'!$C:$C,$A93,'NSE - Other Index Options'!$B:$B,F$4)+SUMIFS('BSE - SENSEX Index Options'!$M:$M,'BSE - SENSEX Index Options'!$C:$C,$A93,'BSE - SENSEX Index Options'!$B:$B,F$4)+SUMIFS('BSE - Other Index Options'!$M:$M,'BSE - Other Index Options'!$C:$C,$A93,'BSE - Other Index Options'!$B:$B,F$4))</f>
        <v/>
      </c>
      <c r="G93" s="26">
        <f>IF(SUMIFS('NSE - NIFTY Index Options'!$M:$M,'NSE - NIFTY Index Options'!$C:$C,$A93,'NSE - NIFTY Index Options'!$B:$B,G$4)+SUMIFS('NSE - Other Index Options'!$M:$M,'NSE - Other Index Options'!$C:$C,$A93,'NSE - Other Index Options'!$B:$B,G$4)+SUMIFS('BSE - SENSEX Index Options'!$M:$M,'BSE - SENSEX Index Options'!$C:$C,$A93,'BSE - SENSEX Index Options'!$B:$B,G$4)+SUMIFS('BSE - Other Index Options'!$M:$M,'BSE - Other Index Options'!$C:$C,$A93,'BSE - Other Index Options'!$B:$B,G$4)=0,"",SUMIFS('NSE - NIFTY Index Options'!$M:$M,'NSE - NIFTY Index Options'!$C:$C,$A93,'NSE - NIFTY Index Options'!$B:$B,G$4)+SUMIFS('NSE - Other Index Options'!$M:$M,'NSE - Other Index Options'!$C:$C,$A93,'NSE - Other Index Options'!$B:$B,G$4)+SUMIFS('BSE - SENSEX Index Options'!$M:$M,'BSE - SENSEX Index Options'!$C:$C,$A93,'BSE - SENSEX Index Options'!$B:$B,G$4)+SUMIFS('BSE - Other Index Options'!$M:$M,'BSE - Other Index Options'!$C:$C,$A93,'BSE - Other Index Options'!$B:$B,G$4))</f>
        <v/>
      </c>
      <c r="H93" s="26">
        <f>IF(SUM(B93:G93)=0,"",SUM(B93:G93))</f>
        <v/>
      </c>
    </row>
    <row r="94" hidden="1" outlineLevel="1">
      <c r="A94" t="inlineStr">
        <is>
          <t>Week2-Mar-2027</t>
        </is>
      </c>
      <c r="B94" s="26">
        <f>IF(SUMIFS('NSE - NIFTY Index Options'!$M:$M,'NSE - NIFTY Index Options'!$C:$C,$A94,'NSE - NIFTY Index Options'!$B:$B,B$4)+SUMIFS('NSE - Other Index Options'!$M:$M,'NSE - Other Index Options'!$C:$C,$A94,'NSE - Other Index Options'!$B:$B,B$4)+SUMIFS('BSE - SENSEX Index Options'!$M:$M,'BSE - SENSEX Index Options'!$C:$C,$A94,'BSE - SENSEX Index Options'!$B:$B,B$4)+SUMIFS('BSE - Other Index Options'!$M:$M,'BSE - Other Index Options'!$C:$C,$A94,'BSE - Other Index Options'!$B:$B,B$4)=0,"",SUMIFS('NSE - NIFTY Index Options'!$M:$M,'NSE - NIFTY Index Options'!$C:$C,$A94,'NSE - NIFTY Index Options'!$B:$B,B$4)+SUMIFS('NSE - Other Index Options'!$M:$M,'NSE - Other Index Options'!$C:$C,$A94,'NSE - Other Index Options'!$B:$B,B$4)+SUMIFS('BSE - SENSEX Index Options'!$M:$M,'BSE - SENSEX Index Options'!$C:$C,$A94,'BSE - SENSEX Index Options'!$B:$B,B$4)+SUMIFS('BSE - Other Index Options'!$M:$M,'BSE - Other Index Options'!$C:$C,$A94,'BSE - Other Index Options'!$B:$B,B$4))</f>
        <v/>
      </c>
      <c r="C94" s="26">
        <f>IF(SUMIFS('NSE - NIFTY Index Options'!$M:$M,'NSE - NIFTY Index Options'!$C:$C,$A94,'NSE - NIFTY Index Options'!$B:$B,C$4)+SUMIFS('NSE - Other Index Options'!$M:$M,'NSE - Other Index Options'!$C:$C,$A94,'NSE - Other Index Options'!$B:$B,C$4)+SUMIFS('BSE - SENSEX Index Options'!$M:$M,'BSE - SENSEX Index Options'!$C:$C,$A94,'BSE - SENSEX Index Options'!$B:$B,C$4)+SUMIFS('BSE - Other Index Options'!$M:$M,'BSE - Other Index Options'!$C:$C,$A94,'BSE - Other Index Options'!$B:$B,C$4)=0,"",SUMIFS('NSE - NIFTY Index Options'!$M:$M,'NSE - NIFTY Index Options'!$C:$C,$A94,'NSE - NIFTY Index Options'!$B:$B,C$4)+SUMIFS('NSE - Other Index Options'!$M:$M,'NSE - Other Index Options'!$C:$C,$A94,'NSE - Other Index Options'!$B:$B,C$4)+SUMIFS('BSE - SENSEX Index Options'!$M:$M,'BSE - SENSEX Index Options'!$C:$C,$A94,'BSE - SENSEX Index Options'!$B:$B,C$4)+SUMIFS('BSE - Other Index Options'!$M:$M,'BSE - Other Index Options'!$C:$C,$A94,'BSE - Other Index Options'!$B:$B,C$4))</f>
        <v/>
      </c>
      <c r="D94" s="26">
        <f>IF(SUMIFS('NSE - NIFTY Index Options'!$M:$M,'NSE - NIFTY Index Options'!$C:$C,$A94,'NSE - NIFTY Index Options'!$B:$B,D$4)+SUMIFS('NSE - Other Index Options'!$M:$M,'NSE - Other Index Options'!$C:$C,$A94,'NSE - Other Index Options'!$B:$B,D$4)+SUMIFS('BSE - SENSEX Index Options'!$M:$M,'BSE - SENSEX Index Options'!$C:$C,$A94,'BSE - SENSEX Index Options'!$B:$B,D$4)+SUMIFS('BSE - Other Index Options'!$M:$M,'BSE - Other Index Options'!$C:$C,$A94,'BSE - Other Index Options'!$B:$B,D$4)=0,"",SUMIFS('NSE - NIFTY Index Options'!$M:$M,'NSE - NIFTY Index Options'!$C:$C,$A94,'NSE - NIFTY Index Options'!$B:$B,D$4)+SUMIFS('NSE - Other Index Options'!$M:$M,'NSE - Other Index Options'!$C:$C,$A94,'NSE - Other Index Options'!$B:$B,D$4)+SUMIFS('BSE - SENSEX Index Options'!$M:$M,'BSE - SENSEX Index Options'!$C:$C,$A94,'BSE - SENSEX Index Options'!$B:$B,D$4)+SUMIFS('BSE - Other Index Options'!$M:$M,'BSE - Other Index Options'!$C:$C,$A94,'BSE - Other Index Options'!$B:$B,D$4))</f>
        <v/>
      </c>
      <c r="E94" s="26">
        <f>IF(SUMIFS('NSE - NIFTY Index Options'!$M:$M,'NSE - NIFTY Index Options'!$C:$C,$A94,'NSE - NIFTY Index Options'!$B:$B,E$4)+SUMIFS('NSE - Other Index Options'!$M:$M,'NSE - Other Index Options'!$C:$C,$A94,'NSE - Other Index Options'!$B:$B,E$4)+SUMIFS('BSE - SENSEX Index Options'!$M:$M,'BSE - SENSEX Index Options'!$C:$C,$A94,'BSE - SENSEX Index Options'!$B:$B,E$4)+SUMIFS('BSE - Other Index Options'!$M:$M,'BSE - Other Index Options'!$C:$C,$A94,'BSE - Other Index Options'!$B:$B,E$4)=0,"",SUMIFS('NSE - NIFTY Index Options'!$M:$M,'NSE - NIFTY Index Options'!$C:$C,$A94,'NSE - NIFTY Index Options'!$B:$B,E$4)+SUMIFS('NSE - Other Index Options'!$M:$M,'NSE - Other Index Options'!$C:$C,$A94,'NSE - Other Index Options'!$B:$B,E$4)+SUMIFS('BSE - SENSEX Index Options'!$M:$M,'BSE - SENSEX Index Options'!$C:$C,$A94,'BSE - SENSEX Index Options'!$B:$B,E$4)+SUMIFS('BSE - Other Index Options'!$M:$M,'BSE - Other Index Options'!$C:$C,$A94,'BSE - Other Index Options'!$B:$B,E$4))</f>
        <v/>
      </c>
      <c r="F94" s="26">
        <f>IF(SUMIFS('NSE - NIFTY Index Options'!$M:$M,'NSE - NIFTY Index Options'!$C:$C,$A94,'NSE - NIFTY Index Options'!$B:$B,F$4)+SUMIFS('NSE - Other Index Options'!$M:$M,'NSE - Other Index Options'!$C:$C,$A94,'NSE - Other Index Options'!$B:$B,F$4)+SUMIFS('BSE - SENSEX Index Options'!$M:$M,'BSE - SENSEX Index Options'!$C:$C,$A94,'BSE - SENSEX Index Options'!$B:$B,F$4)+SUMIFS('BSE - Other Index Options'!$M:$M,'BSE - Other Index Options'!$C:$C,$A94,'BSE - Other Index Options'!$B:$B,F$4)=0,"",SUMIFS('NSE - NIFTY Index Options'!$M:$M,'NSE - NIFTY Index Options'!$C:$C,$A94,'NSE - NIFTY Index Options'!$B:$B,F$4)+SUMIFS('NSE - Other Index Options'!$M:$M,'NSE - Other Index Options'!$C:$C,$A94,'NSE - Other Index Options'!$B:$B,F$4)+SUMIFS('BSE - SENSEX Index Options'!$M:$M,'BSE - SENSEX Index Options'!$C:$C,$A94,'BSE - SENSEX Index Options'!$B:$B,F$4)+SUMIFS('BSE - Other Index Options'!$M:$M,'BSE - Other Index Options'!$C:$C,$A94,'BSE - Other Index Options'!$B:$B,F$4))</f>
        <v/>
      </c>
      <c r="G94" s="26">
        <f>IF(SUMIFS('NSE - NIFTY Index Options'!$M:$M,'NSE - NIFTY Index Options'!$C:$C,$A94,'NSE - NIFTY Index Options'!$B:$B,G$4)+SUMIFS('NSE - Other Index Options'!$M:$M,'NSE - Other Index Options'!$C:$C,$A94,'NSE - Other Index Options'!$B:$B,G$4)+SUMIFS('BSE - SENSEX Index Options'!$M:$M,'BSE - SENSEX Index Options'!$C:$C,$A94,'BSE - SENSEX Index Options'!$B:$B,G$4)+SUMIFS('BSE - Other Index Options'!$M:$M,'BSE - Other Index Options'!$C:$C,$A94,'BSE - Other Index Options'!$B:$B,G$4)=0,"",SUMIFS('NSE - NIFTY Index Options'!$M:$M,'NSE - NIFTY Index Options'!$C:$C,$A94,'NSE - NIFTY Index Options'!$B:$B,G$4)+SUMIFS('NSE - Other Index Options'!$M:$M,'NSE - Other Index Options'!$C:$C,$A94,'NSE - Other Index Options'!$B:$B,G$4)+SUMIFS('BSE - SENSEX Index Options'!$M:$M,'BSE - SENSEX Index Options'!$C:$C,$A94,'BSE - SENSEX Index Options'!$B:$B,G$4)+SUMIFS('BSE - Other Index Options'!$M:$M,'BSE - Other Index Options'!$C:$C,$A94,'BSE - Other Index Options'!$B:$B,G$4))</f>
        <v/>
      </c>
      <c r="H94" s="26">
        <f>IF(SUM(B94:G94)=0,"",SUM(B94:G94))</f>
        <v/>
      </c>
    </row>
    <row r="95" hidden="1" outlineLevel="1">
      <c r="A95" t="inlineStr">
        <is>
          <t>Week3-Mar-2027</t>
        </is>
      </c>
      <c r="B95" s="26">
        <f>IF(SUMIFS('NSE - NIFTY Index Options'!$M:$M,'NSE - NIFTY Index Options'!$C:$C,$A95,'NSE - NIFTY Index Options'!$B:$B,B$4)+SUMIFS('NSE - Other Index Options'!$M:$M,'NSE - Other Index Options'!$C:$C,$A95,'NSE - Other Index Options'!$B:$B,B$4)+SUMIFS('BSE - SENSEX Index Options'!$M:$M,'BSE - SENSEX Index Options'!$C:$C,$A95,'BSE - SENSEX Index Options'!$B:$B,B$4)+SUMIFS('BSE - Other Index Options'!$M:$M,'BSE - Other Index Options'!$C:$C,$A95,'BSE - Other Index Options'!$B:$B,B$4)=0,"",SUMIFS('NSE - NIFTY Index Options'!$M:$M,'NSE - NIFTY Index Options'!$C:$C,$A95,'NSE - NIFTY Index Options'!$B:$B,B$4)+SUMIFS('NSE - Other Index Options'!$M:$M,'NSE - Other Index Options'!$C:$C,$A95,'NSE - Other Index Options'!$B:$B,B$4)+SUMIFS('BSE - SENSEX Index Options'!$M:$M,'BSE - SENSEX Index Options'!$C:$C,$A95,'BSE - SENSEX Index Options'!$B:$B,B$4)+SUMIFS('BSE - Other Index Options'!$M:$M,'BSE - Other Index Options'!$C:$C,$A95,'BSE - Other Index Options'!$B:$B,B$4))</f>
        <v/>
      </c>
      <c r="C95" s="26">
        <f>IF(SUMIFS('NSE - NIFTY Index Options'!$M:$M,'NSE - NIFTY Index Options'!$C:$C,$A95,'NSE - NIFTY Index Options'!$B:$B,C$4)+SUMIFS('NSE - Other Index Options'!$M:$M,'NSE - Other Index Options'!$C:$C,$A95,'NSE - Other Index Options'!$B:$B,C$4)+SUMIFS('BSE - SENSEX Index Options'!$M:$M,'BSE - SENSEX Index Options'!$C:$C,$A95,'BSE - SENSEX Index Options'!$B:$B,C$4)+SUMIFS('BSE - Other Index Options'!$M:$M,'BSE - Other Index Options'!$C:$C,$A95,'BSE - Other Index Options'!$B:$B,C$4)=0,"",SUMIFS('NSE - NIFTY Index Options'!$M:$M,'NSE - NIFTY Index Options'!$C:$C,$A95,'NSE - NIFTY Index Options'!$B:$B,C$4)+SUMIFS('NSE - Other Index Options'!$M:$M,'NSE - Other Index Options'!$C:$C,$A95,'NSE - Other Index Options'!$B:$B,C$4)+SUMIFS('BSE - SENSEX Index Options'!$M:$M,'BSE - SENSEX Index Options'!$C:$C,$A95,'BSE - SENSEX Index Options'!$B:$B,C$4)+SUMIFS('BSE - Other Index Options'!$M:$M,'BSE - Other Index Options'!$C:$C,$A95,'BSE - Other Index Options'!$B:$B,C$4))</f>
        <v/>
      </c>
      <c r="D95" s="26">
        <f>IF(SUMIFS('NSE - NIFTY Index Options'!$M:$M,'NSE - NIFTY Index Options'!$C:$C,$A95,'NSE - NIFTY Index Options'!$B:$B,D$4)+SUMIFS('NSE - Other Index Options'!$M:$M,'NSE - Other Index Options'!$C:$C,$A95,'NSE - Other Index Options'!$B:$B,D$4)+SUMIFS('BSE - SENSEX Index Options'!$M:$M,'BSE - SENSEX Index Options'!$C:$C,$A95,'BSE - SENSEX Index Options'!$B:$B,D$4)+SUMIFS('BSE - Other Index Options'!$M:$M,'BSE - Other Index Options'!$C:$C,$A95,'BSE - Other Index Options'!$B:$B,D$4)=0,"",SUMIFS('NSE - NIFTY Index Options'!$M:$M,'NSE - NIFTY Index Options'!$C:$C,$A95,'NSE - NIFTY Index Options'!$B:$B,D$4)+SUMIFS('NSE - Other Index Options'!$M:$M,'NSE - Other Index Options'!$C:$C,$A95,'NSE - Other Index Options'!$B:$B,D$4)+SUMIFS('BSE - SENSEX Index Options'!$M:$M,'BSE - SENSEX Index Options'!$C:$C,$A95,'BSE - SENSEX Index Options'!$B:$B,D$4)+SUMIFS('BSE - Other Index Options'!$M:$M,'BSE - Other Index Options'!$C:$C,$A95,'BSE - Other Index Options'!$B:$B,D$4))</f>
        <v/>
      </c>
      <c r="E95" s="26">
        <f>IF(SUMIFS('NSE - NIFTY Index Options'!$M:$M,'NSE - NIFTY Index Options'!$C:$C,$A95,'NSE - NIFTY Index Options'!$B:$B,E$4)+SUMIFS('NSE - Other Index Options'!$M:$M,'NSE - Other Index Options'!$C:$C,$A95,'NSE - Other Index Options'!$B:$B,E$4)+SUMIFS('BSE - SENSEX Index Options'!$M:$M,'BSE - SENSEX Index Options'!$C:$C,$A95,'BSE - SENSEX Index Options'!$B:$B,E$4)+SUMIFS('BSE - Other Index Options'!$M:$M,'BSE - Other Index Options'!$C:$C,$A95,'BSE - Other Index Options'!$B:$B,E$4)=0,"",SUMIFS('NSE - NIFTY Index Options'!$M:$M,'NSE - NIFTY Index Options'!$C:$C,$A95,'NSE - NIFTY Index Options'!$B:$B,E$4)+SUMIFS('NSE - Other Index Options'!$M:$M,'NSE - Other Index Options'!$C:$C,$A95,'NSE - Other Index Options'!$B:$B,E$4)+SUMIFS('BSE - SENSEX Index Options'!$M:$M,'BSE - SENSEX Index Options'!$C:$C,$A95,'BSE - SENSEX Index Options'!$B:$B,E$4)+SUMIFS('BSE - Other Index Options'!$M:$M,'BSE - Other Index Options'!$C:$C,$A95,'BSE - Other Index Options'!$B:$B,E$4))</f>
        <v/>
      </c>
      <c r="F95" s="26">
        <f>IF(SUMIFS('NSE - NIFTY Index Options'!$M:$M,'NSE - NIFTY Index Options'!$C:$C,$A95,'NSE - NIFTY Index Options'!$B:$B,F$4)+SUMIFS('NSE - Other Index Options'!$M:$M,'NSE - Other Index Options'!$C:$C,$A95,'NSE - Other Index Options'!$B:$B,F$4)+SUMIFS('BSE - SENSEX Index Options'!$M:$M,'BSE - SENSEX Index Options'!$C:$C,$A95,'BSE - SENSEX Index Options'!$B:$B,F$4)+SUMIFS('BSE - Other Index Options'!$M:$M,'BSE - Other Index Options'!$C:$C,$A95,'BSE - Other Index Options'!$B:$B,F$4)=0,"",SUMIFS('NSE - NIFTY Index Options'!$M:$M,'NSE - NIFTY Index Options'!$C:$C,$A95,'NSE - NIFTY Index Options'!$B:$B,F$4)+SUMIFS('NSE - Other Index Options'!$M:$M,'NSE - Other Index Options'!$C:$C,$A95,'NSE - Other Index Options'!$B:$B,F$4)+SUMIFS('BSE - SENSEX Index Options'!$M:$M,'BSE - SENSEX Index Options'!$C:$C,$A95,'BSE - SENSEX Index Options'!$B:$B,F$4)+SUMIFS('BSE - Other Index Options'!$M:$M,'BSE - Other Index Options'!$C:$C,$A95,'BSE - Other Index Options'!$B:$B,F$4))</f>
        <v/>
      </c>
      <c r="G95" s="26">
        <f>IF(SUMIFS('NSE - NIFTY Index Options'!$M:$M,'NSE - NIFTY Index Options'!$C:$C,$A95,'NSE - NIFTY Index Options'!$B:$B,G$4)+SUMIFS('NSE - Other Index Options'!$M:$M,'NSE - Other Index Options'!$C:$C,$A95,'NSE - Other Index Options'!$B:$B,G$4)+SUMIFS('BSE - SENSEX Index Options'!$M:$M,'BSE - SENSEX Index Options'!$C:$C,$A95,'BSE - SENSEX Index Options'!$B:$B,G$4)+SUMIFS('BSE - Other Index Options'!$M:$M,'BSE - Other Index Options'!$C:$C,$A95,'BSE - Other Index Options'!$B:$B,G$4)=0,"",SUMIFS('NSE - NIFTY Index Options'!$M:$M,'NSE - NIFTY Index Options'!$C:$C,$A95,'NSE - NIFTY Index Options'!$B:$B,G$4)+SUMIFS('NSE - Other Index Options'!$M:$M,'NSE - Other Index Options'!$C:$C,$A95,'NSE - Other Index Options'!$B:$B,G$4)+SUMIFS('BSE - SENSEX Index Options'!$M:$M,'BSE - SENSEX Index Options'!$C:$C,$A95,'BSE - SENSEX Index Options'!$B:$B,G$4)+SUMIFS('BSE - Other Index Options'!$M:$M,'BSE - Other Index Options'!$C:$C,$A95,'BSE - Other Index Options'!$B:$B,G$4))</f>
        <v/>
      </c>
      <c r="H95" s="26">
        <f>IF(SUM(B95:G95)=0,"",SUM(B95:G95))</f>
        <v/>
      </c>
    </row>
    <row r="96" hidden="1" outlineLevel="1">
      <c r="A96" t="inlineStr">
        <is>
          <t>Week4-Mar-2027</t>
        </is>
      </c>
      <c r="B96" s="26">
        <f>IF(SUMIFS('NSE - NIFTY Index Options'!$M:$M,'NSE - NIFTY Index Options'!$C:$C,$A96,'NSE - NIFTY Index Options'!$B:$B,B$4)+SUMIFS('NSE - Other Index Options'!$M:$M,'NSE - Other Index Options'!$C:$C,$A96,'NSE - Other Index Options'!$B:$B,B$4)+SUMIFS('BSE - SENSEX Index Options'!$M:$M,'BSE - SENSEX Index Options'!$C:$C,$A96,'BSE - SENSEX Index Options'!$B:$B,B$4)+SUMIFS('BSE - Other Index Options'!$M:$M,'BSE - Other Index Options'!$C:$C,$A96,'BSE - Other Index Options'!$B:$B,B$4)=0,"",SUMIFS('NSE - NIFTY Index Options'!$M:$M,'NSE - NIFTY Index Options'!$C:$C,$A96,'NSE - NIFTY Index Options'!$B:$B,B$4)+SUMIFS('NSE - Other Index Options'!$M:$M,'NSE - Other Index Options'!$C:$C,$A96,'NSE - Other Index Options'!$B:$B,B$4)+SUMIFS('BSE - SENSEX Index Options'!$M:$M,'BSE - SENSEX Index Options'!$C:$C,$A96,'BSE - SENSEX Index Options'!$B:$B,B$4)+SUMIFS('BSE - Other Index Options'!$M:$M,'BSE - Other Index Options'!$C:$C,$A96,'BSE - Other Index Options'!$B:$B,B$4))</f>
        <v/>
      </c>
      <c r="C96" s="26">
        <f>IF(SUMIFS('NSE - NIFTY Index Options'!$M:$M,'NSE - NIFTY Index Options'!$C:$C,$A96,'NSE - NIFTY Index Options'!$B:$B,C$4)+SUMIFS('NSE - Other Index Options'!$M:$M,'NSE - Other Index Options'!$C:$C,$A96,'NSE - Other Index Options'!$B:$B,C$4)+SUMIFS('BSE - SENSEX Index Options'!$M:$M,'BSE - SENSEX Index Options'!$C:$C,$A96,'BSE - SENSEX Index Options'!$B:$B,C$4)+SUMIFS('BSE - Other Index Options'!$M:$M,'BSE - Other Index Options'!$C:$C,$A96,'BSE - Other Index Options'!$B:$B,C$4)=0,"",SUMIFS('NSE - NIFTY Index Options'!$M:$M,'NSE - NIFTY Index Options'!$C:$C,$A96,'NSE - NIFTY Index Options'!$B:$B,C$4)+SUMIFS('NSE - Other Index Options'!$M:$M,'NSE - Other Index Options'!$C:$C,$A96,'NSE - Other Index Options'!$B:$B,C$4)+SUMIFS('BSE - SENSEX Index Options'!$M:$M,'BSE - SENSEX Index Options'!$C:$C,$A96,'BSE - SENSEX Index Options'!$B:$B,C$4)+SUMIFS('BSE - Other Index Options'!$M:$M,'BSE - Other Index Options'!$C:$C,$A96,'BSE - Other Index Options'!$B:$B,C$4))</f>
        <v/>
      </c>
      <c r="D96" s="26">
        <f>IF(SUMIFS('NSE - NIFTY Index Options'!$M:$M,'NSE - NIFTY Index Options'!$C:$C,$A96,'NSE - NIFTY Index Options'!$B:$B,D$4)+SUMIFS('NSE - Other Index Options'!$M:$M,'NSE - Other Index Options'!$C:$C,$A96,'NSE - Other Index Options'!$B:$B,D$4)+SUMIFS('BSE - SENSEX Index Options'!$M:$M,'BSE - SENSEX Index Options'!$C:$C,$A96,'BSE - SENSEX Index Options'!$B:$B,D$4)+SUMIFS('BSE - Other Index Options'!$M:$M,'BSE - Other Index Options'!$C:$C,$A96,'BSE - Other Index Options'!$B:$B,D$4)=0,"",SUMIFS('NSE - NIFTY Index Options'!$M:$M,'NSE - NIFTY Index Options'!$C:$C,$A96,'NSE - NIFTY Index Options'!$B:$B,D$4)+SUMIFS('NSE - Other Index Options'!$M:$M,'NSE - Other Index Options'!$C:$C,$A96,'NSE - Other Index Options'!$B:$B,D$4)+SUMIFS('BSE - SENSEX Index Options'!$M:$M,'BSE - SENSEX Index Options'!$C:$C,$A96,'BSE - SENSEX Index Options'!$B:$B,D$4)+SUMIFS('BSE - Other Index Options'!$M:$M,'BSE - Other Index Options'!$C:$C,$A96,'BSE - Other Index Options'!$B:$B,D$4))</f>
        <v/>
      </c>
      <c r="E96" s="26">
        <f>IF(SUMIFS('NSE - NIFTY Index Options'!$M:$M,'NSE - NIFTY Index Options'!$C:$C,$A96,'NSE - NIFTY Index Options'!$B:$B,E$4)+SUMIFS('NSE - Other Index Options'!$M:$M,'NSE - Other Index Options'!$C:$C,$A96,'NSE - Other Index Options'!$B:$B,E$4)+SUMIFS('BSE - SENSEX Index Options'!$M:$M,'BSE - SENSEX Index Options'!$C:$C,$A96,'BSE - SENSEX Index Options'!$B:$B,E$4)+SUMIFS('BSE - Other Index Options'!$M:$M,'BSE - Other Index Options'!$C:$C,$A96,'BSE - Other Index Options'!$B:$B,E$4)=0,"",SUMIFS('NSE - NIFTY Index Options'!$M:$M,'NSE - NIFTY Index Options'!$C:$C,$A96,'NSE - NIFTY Index Options'!$B:$B,E$4)+SUMIFS('NSE - Other Index Options'!$M:$M,'NSE - Other Index Options'!$C:$C,$A96,'NSE - Other Index Options'!$B:$B,E$4)+SUMIFS('BSE - SENSEX Index Options'!$M:$M,'BSE - SENSEX Index Options'!$C:$C,$A96,'BSE - SENSEX Index Options'!$B:$B,E$4)+SUMIFS('BSE - Other Index Options'!$M:$M,'BSE - Other Index Options'!$C:$C,$A96,'BSE - Other Index Options'!$B:$B,E$4))</f>
        <v/>
      </c>
      <c r="F96" s="26">
        <f>IF(SUMIFS('NSE - NIFTY Index Options'!$M:$M,'NSE - NIFTY Index Options'!$C:$C,$A96,'NSE - NIFTY Index Options'!$B:$B,F$4)+SUMIFS('NSE - Other Index Options'!$M:$M,'NSE - Other Index Options'!$C:$C,$A96,'NSE - Other Index Options'!$B:$B,F$4)+SUMIFS('BSE - SENSEX Index Options'!$M:$M,'BSE - SENSEX Index Options'!$C:$C,$A96,'BSE - SENSEX Index Options'!$B:$B,F$4)+SUMIFS('BSE - Other Index Options'!$M:$M,'BSE - Other Index Options'!$C:$C,$A96,'BSE - Other Index Options'!$B:$B,F$4)=0,"",SUMIFS('NSE - NIFTY Index Options'!$M:$M,'NSE - NIFTY Index Options'!$C:$C,$A96,'NSE - NIFTY Index Options'!$B:$B,F$4)+SUMIFS('NSE - Other Index Options'!$M:$M,'NSE - Other Index Options'!$C:$C,$A96,'NSE - Other Index Options'!$B:$B,F$4)+SUMIFS('BSE - SENSEX Index Options'!$M:$M,'BSE - SENSEX Index Options'!$C:$C,$A96,'BSE - SENSEX Index Options'!$B:$B,F$4)+SUMIFS('BSE - Other Index Options'!$M:$M,'BSE - Other Index Options'!$C:$C,$A96,'BSE - Other Index Options'!$B:$B,F$4))</f>
        <v/>
      </c>
      <c r="G96" s="26">
        <f>IF(SUMIFS('NSE - NIFTY Index Options'!$M:$M,'NSE - NIFTY Index Options'!$C:$C,$A96,'NSE - NIFTY Index Options'!$B:$B,G$4)+SUMIFS('NSE - Other Index Options'!$M:$M,'NSE - Other Index Options'!$C:$C,$A96,'NSE - Other Index Options'!$B:$B,G$4)+SUMIFS('BSE - SENSEX Index Options'!$M:$M,'BSE - SENSEX Index Options'!$C:$C,$A96,'BSE - SENSEX Index Options'!$B:$B,G$4)+SUMIFS('BSE - Other Index Options'!$M:$M,'BSE - Other Index Options'!$C:$C,$A96,'BSE - Other Index Options'!$B:$B,G$4)=0,"",SUMIFS('NSE - NIFTY Index Options'!$M:$M,'NSE - NIFTY Index Options'!$C:$C,$A96,'NSE - NIFTY Index Options'!$B:$B,G$4)+SUMIFS('NSE - Other Index Options'!$M:$M,'NSE - Other Index Options'!$C:$C,$A96,'NSE - Other Index Options'!$B:$B,G$4)+SUMIFS('BSE - SENSEX Index Options'!$M:$M,'BSE - SENSEX Index Options'!$C:$C,$A96,'BSE - SENSEX Index Options'!$B:$B,G$4)+SUMIFS('BSE - Other Index Options'!$M:$M,'BSE - Other Index Options'!$C:$C,$A96,'BSE - Other Index Options'!$B:$B,G$4))</f>
        <v/>
      </c>
      <c r="H96" s="26">
        <f>IF(SUM(B96:G96)=0,"",SUM(B96:G96))</f>
        <v/>
      </c>
    </row>
    <row r="97" hidden="1" outlineLevel="1">
      <c r="A97" t="inlineStr">
        <is>
          <t>Week5-Mar-2027</t>
        </is>
      </c>
      <c r="B97" s="26">
        <f>IF(SUMIFS('NSE - NIFTY Index Options'!$M:$M,'NSE - NIFTY Index Options'!$C:$C,$A97,'NSE - NIFTY Index Options'!$B:$B,B$4)+SUMIFS('NSE - Other Index Options'!$M:$M,'NSE - Other Index Options'!$C:$C,$A97,'NSE - Other Index Options'!$B:$B,B$4)+SUMIFS('BSE - SENSEX Index Options'!$M:$M,'BSE - SENSEX Index Options'!$C:$C,$A97,'BSE - SENSEX Index Options'!$B:$B,B$4)+SUMIFS('BSE - Other Index Options'!$M:$M,'BSE - Other Index Options'!$C:$C,$A97,'BSE - Other Index Options'!$B:$B,B$4)=0,"",SUMIFS('NSE - NIFTY Index Options'!$M:$M,'NSE - NIFTY Index Options'!$C:$C,$A97,'NSE - NIFTY Index Options'!$B:$B,B$4)+SUMIFS('NSE - Other Index Options'!$M:$M,'NSE - Other Index Options'!$C:$C,$A97,'NSE - Other Index Options'!$B:$B,B$4)+SUMIFS('BSE - SENSEX Index Options'!$M:$M,'BSE - SENSEX Index Options'!$C:$C,$A97,'BSE - SENSEX Index Options'!$B:$B,B$4)+SUMIFS('BSE - Other Index Options'!$M:$M,'BSE - Other Index Options'!$C:$C,$A97,'BSE - Other Index Options'!$B:$B,B$4))</f>
        <v/>
      </c>
      <c r="C97" s="26">
        <f>IF(SUMIFS('NSE - NIFTY Index Options'!$M:$M,'NSE - NIFTY Index Options'!$C:$C,$A97,'NSE - NIFTY Index Options'!$B:$B,C$4)+SUMIFS('NSE - Other Index Options'!$M:$M,'NSE - Other Index Options'!$C:$C,$A97,'NSE - Other Index Options'!$B:$B,C$4)+SUMIFS('BSE - SENSEX Index Options'!$M:$M,'BSE - SENSEX Index Options'!$C:$C,$A97,'BSE - SENSEX Index Options'!$B:$B,C$4)+SUMIFS('BSE - Other Index Options'!$M:$M,'BSE - Other Index Options'!$C:$C,$A97,'BSE - Other Index Options'!$B:$B,C$4)=0,"",SUMIFS('NSE - NIFTY Index Options'!$M:$M,'NSE - NIFTY Index Options'!$C:$C,$A97,'NSE - NIFTY Index Options'!$B:$B,C$4)+SUMIFS('NSE - Other Index Options'!$M:$M,'NSE - Other Index Options'!$C:$C,$A97,'NSE - Other Index Options'!$B:$B,C$4)+SUMIFS('BSE - SENSEX Index Options'!$M:$M,'BSE - SENSEX Index Options'!$C:$C,$A97,'BSE - SENSEX Index Options'!$B:$B,C$4)+SUMIFS('BSE - Other Index Options'!$M:$M,'BSE - Other Index Options'!$C:$C,$A97,'BSE - Other Index Options'!$B:$B,C$4))</f>
        <v/>
      </c>
      <c r="D97" s="26">
        <f>IF(SUMIFS('NSE - NIFTY Index Options'!$M:$M,'NSE - NIFTY Index Options'!$C:$C,$A97,'NSE - NIFTY Index Options'!$B:$B,D$4)+SUMIFS('NSE - Other Index Options'!$M:$M,'NSE - Other Index Options'!$C:$C,$A97,'NSE - Other Index Options'!$B:$B,D$4)+SUMIFS('BSE - SENSEX Index Options'!$M:$M,'BSE - SENSEX Index Options'!$C:$C,$A97,'BSE - SENSEX Index Options'!$B:$B,D$4)+SUMIFS('BSE - Other Index Options'!$M:$M,'BSE - Other Index Options'!$C:$C,$A97,'BSE - Other Index Options'!$B:$B,D$4)=0,"",SUMIFS('NSE - NIFTY Index Options'!$M:$M,'NSE - NIFTY Index Options'!$C:$C,$A97,'NSE - NIFTY Index Options'!$B:$B,D$4)+SUMIFS('NSE - Other Index Options'!$M:$M,'NSE - Other Index Options'!$C:$C,$A97,'NSE - Other Index Options'!$B:$B,D$4)+SUMIFS('BSE - SENSEX Index Options'!$M:$M,'BSE - SENSEX Index Options'!$C:$C,$A97,'BSE - SENSEX Index Options'!$B:$B,D$4)+SUMIFS('BSE - Other Index Options'!$M:$M,'BSE - Other Index Options'!$C:$C,$A97,'BSE - Other Index Options'!$B:$B,D$4))</f>
        <v/>
      </c>
      <c r="E97" s="26">
        <f>IF(SUMIFS('NSE - NIFTY Index Options'!$M:$M,'NSE - NIFTY Index Options'!$C:$C,$A97,'NSE - NIFTY Index Options'!$B:$B,E$4)+SUMIFS('NSE - Other Index Options'!$M:$M,'NSE - Other Index Options'!$C:$C,$A97,'NSE - Other Index Options'!$B:$B,E$4)+SUMIFS('BSE - SENSEX Index Options'!$M:$M,'BSE - SENSEX Index Options'!$C:$C,$A97,'BSE - SENSEX Index Options'!$B:$B,E$4)+SUMIFS('BSE - Other Index Options'!$M:$M,'BSE - Other Index Options'!$C:$C,$A97,'BSE - Other Index Options'!$B:$B,E$4)=0,"",SUMIFS('NSE - NIFTY Index Options'!$M:$M,'NSE - NIFTY Index Options'!$C:$C,$A97,'NSE - NIFTY Index Options'!$B:$B,E$4)+SUMIFS('NSE - Other Index Options'!$M:$M,'NSE - Other Index Options'!$C:$C,$A97,'NSE - Other Index Options'!$B:$B,E$4)+SUMIFS('BSE - SENSEX Index Options'!$M:$M,'BSE - SENSEX Index Options'!$C:$C,$A97,'BSE - SENSEX Index Options'!$B:$B,E$4)+SUMIFS('BSE - Other Index Options'!$M:$M,'BSE - Other Index Options'!$C:$C,$A97,'BSE - Other Index Options'!$B:$B,E$4))</f>
        <v/>
      </c>
      <c r="F97" s="26">
        <f>IF(SUMIFS('NSE - NIFTY Index Options'!$M:$M,'NSE - NIFTY Index Options'!$C:$C,$A97,'NSE - NIFTY Index Options'!$B:$B,F$4)+SUMIFS('NSE - Other Index Options'!$M:$M,'NSE - Other Index Options'!$C:$C,$A97,'NSE - Other Index Options'!$B:$B,F$4)+SUMIFS('BSE - SENSEX Index Options'!$M:$M,'BSE - SENSEX Index Options'!$C:$C,$A97,'BSE - SENSEX Index Options'!$B:$B,F$4)+SUMIFS('BSE - Other Index Options'!$M:$M,'BSE - Other Index Options'!$C:$C,$A97,'BSE - Other Index Options'!$B:$B,F$4)=0,"",SUMIFS('NSE - NIFTY Index Options'!$M:$M,'NSE - NIFTY Index Options'!$C:$C,$A97,'NSE - NIFTY Index Options'!$B:$B,F$4)+SUMIFS('NSE - Other Index Options'!$M:$M,'NSE - Other Index Options'!$C:$C,$A97,'NSE - Other Index Options'!$B:$B,F$4)+SUMIFS('BSE - SENSEX Index Options'!$M:$M,'BSE - SENSEX Index Options'!$C:$C,$A97,'BSE - SENSEX Index Options'!$B:$B,F$4)+SUMIFS('BSE - Other Index Options'!$M:$M,'BSE - Other Index Options'!$C:$C,$A97,'BSE - Other Index Options'!$B:$B,F$4))</f>
        <v/>
      </c>
      <c r="G97" s="26">
        <f>IF(SUMIFS('NSE - NIFTY Index Options'!$M:$M,'NSE - NIFTY Index Options'!$C:$C,$A97,'NSE - NIFTY Index Options'!$B:$B,G$4)+SUMIFS('NSE - Other Index Options'!$M:$M,'NSE - Other Index Options'!$C:$C,$A97,'NSE - Other Index Options'!$B:$B,G$4)+SUMIFS('BSE - SENSEX Index Options'!$M:$M,'BSE - SENSEX Index Options'!$C:$C,$A97,'BSE - SENSEX Index Options'!$B:$B,G$4)+SUMIFS('BSE - Other Index Options'!$M:$M,'BSE - Other Index Options'!$C:$C,$A97,'BSE - Other Index Options'!$B:$B,G$4)=0,"",SUMIFS('NSE - NIFTY Index Options'!$M:$M,'NSE - NIFTY Index Options'!$C:$C,$A97,'NSE - NIFTY Index Options'!$B:$B,G$4)+SUMIFS('NSE - Other Index Options'!$M:$M,'NSE - Other Index Options'!$C:$C,$A97,'NSE - Other Index Options'!$B:$B,G$4)+SUMIFS('BSE - SENSEX Index Options'!$M:$M,'BSE - SENSEX Index Options'!$C:$C,$A97,'BSE - SENSEX Index Options'!$B:$B,G$4)+SUMIFS('BSE - Other Index Options'!$M:$M,'BSE - Other Index Options'!$C:$C,$A97,'BSE - Other Index Options'!$B:$B,G$4))</f>
        <v/>
      </c>
      <c r="H97" s="26">
        <f>IF(SUM(B97:G97)=0,"",SUM(B97:G97))</f>
        <v/>
      </c>
    </row>
    <row r="98" hidden="1" outlineLevel="1">
      <c r="A98" t="inlineStr">
        <is>
          <t>Week1-Apr-2027</t>
        </is>
      </c>
      <c r="B98" s="26">
        <f>IF(SUMIFS('NSE - NIFTY Index Options'!$M:$M,'NSE - NIFTY Index Options'!$C:$C,$A98,'NSE - NIFTY Index Options'!$B:$B,B$4)+SUMIFS('NSE - Other Index Options'!$M:$M,'NSE - Other Index Options'!$C:$C,$A98,'NSE - Other Index Options'!$B:$B,B$4)+SUMIFS('BSE - SENSEX Index Options'!$M:$M,'BSE - SENSEX Index Options'!$C:$C,$A98,'BSE - SENSEX Index Options'!$B:$B,B$4)+SUMIFS('BSE - Other Index Options'!$M:$M,'BSE - Other Index Options'!$C:$C,$A98,'BSE - Other Index Options'!$B:$B,B$4)=0,"",SUMIFS('NSE - NIFTY Index Options'!$M:$M,'NSE - NIFTY Index Options'!$C:$C,$A98,'NSE - NIFTY Index Options'!$B:$B,B$4)+SUMIFS('NSE - Other Index Options'!$M:$M,'NSE - Other Index Options'!$C:$C,$A98,'NSE - Other Index Options'!$B:$B,B$4)+SUMIFS('BSE - SENSEX Index Options'!$M:$M,'BSE - SENSEX Index Options'!$C:$C,$A98,'BSE - SENSEX Index Options'!$B:$B,B$4)+SUMIFS('BSE - Other Index Options'!$M:$M,'BSE - Other Index Options'!$C:$C,$A98,'BSE - Other Index Options'!$B:$B,B$4))</f>
        <v/>
      </c>
      <c r="C98" s="26">
        <f>IF(SUMIFS('NSE - NIFTY Index Options'!$M:$M,'NSE - NIFTY Index Options'!$C:$C,$A98,'NSE - NIFTY Index Options'!$B:$B,C$4)+SUMIFS('NSE - Other Index Options'!$M:$M,'NSE - Other Index Options'!$C:$C,$A98,'NSE - Other Index Options'!$B:$B,C$4)+SUMIFS('BSE - SENSEX Index Options'!$M:$M,'BSE - SENSEX Index Options'!$C:$C,$A98,'BSE - SENSEX Index Options'!$B:$B,C$4)+SUMIFS('BSE - Other Index Options'!$M:$M,'BSE - Other Index Options'!$C:$C,$A98,'BSE - Other Index Options'!$B:$B,C$4)=0,"",SUMIFS('NSE - NIFTY Index Options'!$M:$M,'NSE - NIFTY Index Options'!$C:$C,$A98,'NSE - NIFTY Index Options'!$B:$B,C$4)+SUMIFS('NSE - Other Index Options'!$M:$M,'NSE - Other Index Options'!$C:$C,$A98,'NSE - Other Index Options'!$B:$B,C$4)+SUMIFS('BSE - SENSEX Index Options'!$M:$M,'BSE - SENSEX Index Options'!$C:$C,$A98,'BSE - SENSEX Index Options'!$B:$B,C$4)+SUMIFS('BSE - Other Index Options'!$M:$M,'BSE - Other Index Options'!$C:$C,$A98,'BSE - Other Index Options'!$B:$B,C$4))</f>
        <v/>
      </c>
      <c r="D98" s="26">
        <f>IF(SUMIFS('NSE - NIFTY Index Options'!$M:$M,'NSE - NIFTY Index Options'!$C:$C,$A98,'NSE - NIFTY Index Options'!$B:$B,D$4)+SUMIFS('NSE - Other Index Options'!$M:$M,'NSE - Other Index Options'!$C:$C,$A98,'NSE - Other Index Options'!$B:$B,D$4)+SUMIFS('BSE - SENSEX Index Options'!$M:$M,'BSE - SENSEX Index Options'!$C:$C,$A98,'BSE - SENSEX Index Options'!$B:$B,D$4)+SUMIFS('BSE - Other Index Options'!$M:$M,'BSE - Other Index Options'!$C:$C,$A98,'BSE - Other Index Options'!$B:$B,D$4)=0,"",SUMIFS('NSE - NIFTY Index Options'!$M:$M,'NSE - NIFTY Index Options'!$C:$C,$A98,'NSE - NIFTY Index Options'!$B:$B,D$4)+SUMIFS('NSE - Other Index Options'!$M:$M,'NSE - Other Index Options'!$C:$C,$A98,'NSE - Other Index Options'!$B:$B,D$4)+SUMIFS('BSE - SENSEX Index Options'!$M:$M,'BSE - SENSEX Index Options'!$C:$C,$A98,'BSE - SENSEX Index Options'!$B:$B,D$4)+SUMIFS('BSE - Other Index Options'!$M:$M,'BSE - Other Index Options'!$C:$C,$A98,'BSE - Other Index Options'!$B:$B,D$4))</f>
        <v/>
      </c>
      <c r="E98" s="26">
        <f>IF(SUMIFS('NSE - NIFTY Index Options'!$M:$M,'NSE - NIFTY Index Options'!$C:$C,$A98,'NSE - NIFTY Index Options'!$B:$B,E$4)+SUMIFS('NSE - Other Index Options'!$M:$M,'NSE - Other Index Options'!$C:$C,$A98,'NSE - Other Index Options'!$B:$B,E$4)+SUMIFS('BSE - SENSEX Index Options'!$M:$M,'BSE - SENSEX Index Options'!$C:$C,$A98,'BSE - SENSEX Index Options'!$B:$B,E$4)+SUMIFS('BSE - Other Index Options'!$M:$M,'BSE - Other Index Options'!$C:$C,$A98,'BSE - Other Index Options'!$B:$B,E$4)=0,"",SUMIFS('NSE - NIFTY Index Options'!$M:$M,'NSE - NIFTY Index Options'!$C:$C,$A98,'NSE - NIFTY Index Options'!$B:$B,E$4)+SUMIFS('NSE - Other Index Options'!$M:$M,'NSE - Other Index Options'!$C:$C,$A98,'NSE - Other Index Options'!$B:$B,E$4)+SUMIFS('BSE - SENSEX Index Options'!$M:$M,'BSE - SENSEX Index Options'!$C:$C,$A98,'BSE - SENSEX Index Options'!$B:$B,E$4)+SUMIFS('BSE - Other Index Options'!$M:$M,'BSE - Other Index Options'!$C:$C,$A98,'BSE - Other Index Options'!$B:$B,E$4))</f>
        <v/>
      </c>
      <c r="F98" s="26">
        <f>IF(SUMIFS('NSE - NIFTY Index Options'!$M:$M,'NSE - NIFTY Index Options'!$C:$C,$A98,'NSE - NIFTY Index Options'!$B:$B,F$4)+SUMIFS('NSE - Other Index Options'!$M:$M,'NSE - Other Index Options'!$C:$C,$A98,'NSE - Other Index Options'!$B:$B,F$4)+SUMIFS('BSE - SENSEX Index Options'!$M:$M,'BSE - SENSEX Index Options'!$C:$C,$A98,'BSE - SENSEX Index Options'!$B:$B,F$4)+SUMIFS('BSE - Other Index Options'!$M:$M,'BSE - Other Index Options'!$C:$C,$A98,'BSE - Other Index Options'!$B:$B,F$4)=0,"",SUMIFS('NSE - NIFTY Index Options'!$M:$M,'NSE - NIFTY Index Options'!$C:$C,$A98,'NSE - NIFTY Index Options'!$B:$B,F$4)+SUMIFS('NSE - Other Index Options'!$M:$M,'NSE - Other Index Options'!$C:$C,$A98,'NSE - Other Index Options'!$B:$B,F$4)+SUMIFS('BSE - SENSEX Index Options'!$M:$M,'BSE - SENSEX Index Options'!$C:$C,$A98,'BSE - SENSEX Index Options'!$B:$B,F$4)+SUMIFS('BSE - Other Index Options'!$M:$M,'BSE - Other Index Options'!$C:$C,$A98,'BSE - Other Index Options'!$B:$B,F$4))</f>
        <v/>
      </c>
      <c r="G98" s="26">
        <f>IF(SUMIFS('NSE - NIFTY Index Options'!$M:$M,'NSE - NIFTY Index Options'!$C:$C,$A98,'NSE - NIFTY Index Options'!$B:$B,G$4)+SUMIFS('NSE - Other Index Options'!$M:$M,'NSE - Other Index Options'!$C:$C,$A98,'NSE - Other Index Options'!$B:$B,G$4)+SUMIFS('BSE - SENSEX Index Options'!$M:$M,'BSE - SENSEX Index Options'!$C:$C,$A98,'BSE - SENSEX Index Options'!$B:$B,G$4)+SUMIFS('BSE - Other Index Options'!$M:$M,'BSE - Other Index Options'!$C:$C,$A98,'BSE - Other Index Options'!$B:$B,G$4)=0,"",SUMIFS('NSE - NIFTY Index Options'!$M:$M,'NSE - NIFTY Index Options'!$C:$C,$A98,'NSE - NIFTY Index Options'!$B:$B,G$4)+SUMIFS('NSE - Other Index Options'!$M:$M,'NSE - Other Index Options'!$C:$C,$A98,'NSE - Other Index Options'!$B:$B,G$4)+SUMIFS('BSE - SENSEX Index Options'!$M:$M,'BSE - SENSEX Index Options'!$C:$C,$A98,'BSE - SENSEX Index Options'!$B:$B,G$4)+SUMIFS('BSE - Other Index Options'!$M:$M,'BSE - Other Index Options'!$C:$C,$A98,'BSE - Other Index Options'!$B:$B,G$4))</f>
        <v/>
      </c>
      <c r="H98" s="26">
        <f>IF(SUM(B98:G98)=0,"",SUM(B98:G98))</f>
        <v/>
      </c>
    </row>
    <row r="99" hidden="1" outlineLevel="1">
      <c r="A99" t="inlineStr">
        <is>
          <t>Week2-Apr-2027</t>
        </is>
      </c>
      <c r="B99" s="26">
        <f>IF(SUMIFS('NSE - NIFTY Index Options'!$M:$M,'NSE - NIFTY Index Options'!$C:$C,$A99,'NSE - NIFTY Index Options'!$B:$B,B$4)+SUMIFS('NSE - Other Index Options'!$M:$M,'NSE - Other Index Options'!$C:$C,$A99,'NSE - Other Index Options'!$B:$B,B$4)+SUMIFS('BSE - SENSEX Index Options'!$M:$M,'BSE - SENSEX Index Options'!$C:$C,$A99,'BSE - SENSEX Index Options'!$B:$B,B$4)+SUMIFS('BSE - Other Index Options'!$M:$M,'BSE - Other Index Options'!$C:$C,$A99,'BSE - Other Index Options'!$B:$B,B$4)=0,"",SUMIFS('NSE - NIFTY Index Options'!$M:$M,'NSE - NIFTY Index Options'!$C:$C,$A99,'NSE - NIFTY Index Options'!$B:$B,B$4)+SUMIFS('NSE - Other Index Options'!$M:$M,'NSE - Other Index Options'!$C:$C,$A99,'NSE - Other Index Options'!$B:$B,B$4)+SUMIFS('BSE - SENSEX Index Options'!$M:$M,'BSE - SENSEX Index Options'!$C:$C,$A99,'BSE - SENSEX Index Options'!$B:$B,B$4)+SUMIFS('BSE - Other Index Options'!$M:$M,'BSE - Other Index Options'!$C:$C,$A99,'BSE - Other Index Options'!$B:$B,B$4))</f>
        <v/>
      </c>
      <c r="C99" s="26">
        <f>IF(SUMIFS('NSE - NIFTY Index Options'!$M:$M,'NSE - NIFTY Index Options'!$C:$C,$A99,'NSE - NIFTY Index Options'!$B:$B,C$4)+SUMIFS('NSE - Other Index Options'!$M:$M,'NSE - Other Index Options'!$C:$C,$A99,'NSE - Other Index Options'!$B:$B,C$4)+SUMIFS('BSE - SENSEX Index Options'!$M:$M,'BSE - SENSEX Index Options'!$C:$C,$A99,'BSE - SENSEX Index Options'!$B:$B,C$4)+SUMIFS('BSE - Other Index Options'!$M:$M,'BSE - Other Index Options'!$C:$C,$A99,'BSE - Other Index Options'!$B:$B,C$4)=0,"",SUMIFS('NSE - NIFTY Index Options'!$M:$M,'NSE - NIFTY Index Options'!$C:$C,$A99,'NSE - NIFTY Index Options'!$B:$B,C$4)+SUMIFS('NSE - Other Index Options'!$M:$M,'NSE - Other Index Options'!$C:$C,$A99,'NSE - Other Index Options'!$B:$B,C$4)+SUMIFS('BSE - SENSEX Index Options'!$M:$M,'BSE - SENSEX Index Options'!$C:$C,$A99,'BSE - SENSEX Index Options'!$B:$B,C$4)+SUMIFS('BSE - Other Index Options'!$M:$M,'BSE - Other Index Options'!$C:$C,$A99,'BSE - Other Index Options'!$B:$B,C$4))</f>
        <v/>
      </c>
      <c r="D99" s="26">
        <f>IF(SUMIFS('NSE - NIFTY Index Options'!$M:$M,'NSE - NIFTY Index Options'!$C:$C,$A99,'NSE - NIFTY Index Options'!$B:$B,D$4)+SUMIFS('NSE - Other Index Options'!$M:$M,'NSE - Other Index Options'!$C:$C,$A99,'NSE - Other Index Options'!$B:$B,D$4)+SUMIFS('BSE - SENSEX Index Options'!$M:$M,'BSE - SENSEX Index Options'!$C:$C,$A99,'BSE - SENSEX Index Options'!$B:$B,D$4)+SUMIFS('BSE - Other Index Options'!$M:$M,'BSE - Other Index Options'!$C:$C,$A99,'BSE - Other Index Options'!$B:$B,D$4)=0,"",SUMIFS('NSE - NIFTY Index Options'!$M:$M,'NSE - NIFTY Index Options'!$C:$C,$A99,'NSE - NIFTY Index Options'!$B:$B,D$4)+SUMIFS('NSE - Other Index Options'!$M:$M,'NSE - Other Index Options'!$C:$C,$A99,'NSE - Other Index Options'!$B:$B,D$4)+SUMIFS('BSE - SENSEX Index Options'!$M:$M,'BSE - SENSEX Index Options'!$C:$C,$A99,'BSE - SENSEX Index Options'!$B:$B,D$4)+SUMIFS('BSE - Other Index Options'!$M:$M,'BSE - Other Index Options'!$C:$C,$A99,'BSE - Other Index Options'!$B:$B,D$4))</f>
        <v/>
      </c>
      <c r="E99" s="26">
        <f>IF(SUMIFS('NSE - NIFTY Index Options'!$M:$M,'NSE - NIFTY Index Options'!$C:$C,$A99,'NSE - NIFTY Index Options'!$B:$B,E$4)+SUMIFS('NSE - Other Index Options'!$M:$M,'NSE - Other Index Options'!$C:$C,$A99,'NSE - Other Index Options'!$B:$B,E$4)+SUMIFS('BSE - SENSEX Index Options'!$M:$M,'BSE - SENSEX Index Options'!$C:$C,$A99,'BSE - SENSEX Index Options'!$B:$B,E$4)+SUMIFS('BSE - Other Index Options'!$M:$M,'BSE - Other Index Options'!$C:$C,$A99,'BSE - Other Index Options'!$B:$B,E$4)=0,"",SUMIFS('NSE - NIFTY Index Options'!$M:$M,'NSE - NIFTY Index Options'!$C:$C,$A99,'NSE - NIFTY Index Options'!$B:$B,E$4)+SUMIFS('NSE - Other Index Options'!$M:$M,'NSE - Other Index Options'!$C:$C,$A99,'NSE - Other Index Options'!$B:$B,E$4)+SUMIFS('BSE - SENSEX Index Options'!$M:$M,'BSE - SENSEX Index Options'!$C:$C,$A99,'BSE - SENSEX Index Options'!$B:$B,E$4)+SUMIFS('BSE - Other Index Options'!$M:$M,'BSE - Other Index Options'!$C:$C,$A99,'BSE - Other Index Options'!$B:$B,E$4))</f>
        <v/>
      </c>
      <c r="F99" s="26">
        <f>IF(SUMIFS('NSE - NIFTY Index Options'!$M:$M,'NSE - NIFTY Index Options'!$C:$C,$A99,'NSE - NIFTY Index Options'!$B:$B,F$4)+SUMIFS('NSE - Other Index Options'!$M:$M,'NSE - Other Index Options'!$C:$C,$A99,'NSE - Other Index Options'!$B:$B,F$4)+SUMIFS('BSE - SENSEX Index Options'!$M:$M,'BSE - SENSEX Index Options'!$C:$C,$A99,'BSE - SENSEX Index Options'!$B:$B,F$4)+SUMIFS('BSE - Other Index Options'!$M:$M,'BSE - Other Index Options'!$C:$C,$A99,'BSE - Other Index Options'!$B:$B,F$4)=0,"",SUMIFS('NSE - NIFTY Index Options'!$M:$M,'NSE - NIFTY Index Options'!$C:$C,$A99,'NSE - NIFTY Index Options'!$B:$B,F$4)+SUMIFS('NSE - Other Index Options'!$M:$M,'NSE - Other Index Options'!$C:$C,$A99,'NSE - Other Index Options'!$B:$B,F$4)+SUMIFS('BSE - SENSEX Index Options'!$M:$M,'BSE - SENSEX Index Options'!$C:$C,$A99,'BSE - SENSEX Index Options'!$B:$B,F$4)+SUMIFS('BSE - Other Index Options'!$M:$M,'BSE - Other Index Options'!$C:$C,$A99,'BSE - Other Index Options'!$B:$B,F$4))</f>
        <v/>
      </c>
      <c r="G99" s="26">
        <f>IF(SUMIFS('NSE - NIFTY Index Options'!$M:$M,'NSE - NIFTY Index Options'!$C:$C,$A99,'NSE - NIFTY Index Options'!$B:$B,G$4)+SUMIFS('NSE - Other Index Options'!$M:$M,'NSE - Other Index Options'!$C:$C,$A99,'NSE - Other Index Options'!$B:$B,G$4)+SUMIFS('BSE - SENSEX Index Options'!$M:$M,'BSE - SENSEX Index Options'!$C:$C,$A99,'BSE - SENSEX Index Options'!$B:$B,G$4)+SUMIFS('BSE - Other Index Options'!$M:$M,'BSE - Other Index Options'!$C:$C,$A99,'BSE - Other Index Options'!$B:$B,G$4)=0,"",SUMIFS('NSE - NIFTY Index Options'!$M:$M,'NSE - NIFTY Index Options'!$C:$C,$A99,'NSE - NIFTY Index Options'!$B:$B,G$4)+SUMIFS('NSE - Other Index Options'!$M:$M,'NSE - Other Index Options'!$C:$C,$A99,'NSE - Other Index Options'!$B:$B,G$4)+SUMIFS('BSE - SENSEX Index Options'!$M:$M,'BSE - SENSEX Index Options'!$C:$C,$A99,'BSE - SENSEX Index Options'!$B:$B,G$4)+SUMIFS('BSE - Other Index Options'!$M:$M,'BSE - Other Index Options'!$C:$C,$A99,'BSE - Other Index Options'!$B:$B,G$4))</f>
        <v/>
      </c>
      <c r="H99" s="26">
        <f>IF(SUM(B99:G99)=0,"",SUM(B99:G99))</f>
        <v/>
      </c>
    </row>
    <row r="100" hidden="1" outlineLevel="1">
      <c r="A100" t="inlineStr">
        <is>
          <t>Week3-Apr-2027</t>
        </is>
      </c>
      <c r="B100" s="26">
        <f>IF(SUMIFS('NSE - NIFTY Index Options'!$M:$M,'NSE - NIFTY Index Options'!$C:$C,$A100,'NSE - NIFTY Index Options'!$B:$B,B$4)+SUMIFS('NSE - Other Index Options'!$M:$M,'NSE - Other Index Options'!$C:$C,$A100,'NSE - Other Index Options'!$B:$B,B$4)+SUMIFS('BSE - SENSEX Index Options'!$M:$M,'BSE - SENSEX Index Options'!$C:$C,$A100,'BSE - SENSEX Index Options'!$B:$B,B$4)+SUMIFS('BSE - Other Index Options'!$M:$M,'BSE - Other Index Options'!$C:$C,$A100,'BSE - Other Index Options'!$B:$B,B$4)=0,"",SUMIFS('NSE - NIFTY Index Options'!$M:$M,'NSE - NIFTY Index Options'!$C:$C,$A100,'NSE - NIFTY Index Options'!$B:$B,B$4)+SUMIFS('NSE - Other Index Options'!$M:$M,'NSE - Other Index Options'!$C:$C,$A100,'NSE - Other Index Options'!$B:$B,B$4)+SUMIFS('BSE - SENSEX Index Options'!$M:$M,'BSE - SENSEX Index Options'!$C:$C,$A100,'BSE - SENSEX Index Options'!$B:$B,B$4)+SUMIFS('BSE - Other Index Options'!$M:$M,'BSE - Other Index Options'!$C:$C,$A100,'BSE - Other Index Options'!$B:$B,B$4))</f>
        <v/>
      </c>
      <c r="C100" s="26">
        <f>IF(SUMIFS('NSE - NIFTY Index Options'!$M:$M,'NSE - NIFTY Index Options'!$C:$C,$A100,'NSE - NIFTY Index Options'!$B:$B,C$4)+SUMIFS('NSE - Other Index Options'!$M:$M,'NSE - Other Index Options'!$C:$C,$A100,'NSE - Other Index Options'!$B:$B,C$4)+SUMIFS('BSE - SENSEX Index Options'!$M:$M,'BSE - SENSEX Index Options'!$C:$C,$A100,'BSE - SENSEX Index Options'!$B:$B,C$4)+SUMIFS('BSE - Other Index Options'!$M:$M,'BSE - Other Index Options'!$C:$C,$A100,'BSE - Other Index Options'!$B:$B,C$4)=0,"",SUMIFS('NSE - NIFTY Index Options'!$M:$M,'NSE - NIFTY Index Options'!$C:$C,$A100,'NSE - NIFTY Index Options'!$B:$B,C$4)+SUMIFS('NSE - Other Index Options'!$M:$M,'NSE - Other Index Options'!$C:$C,$A100,'NSE - Other Index Options'!$B:$B,C$4)+SUMIFS('BSE - SENSEX Index Options'!$M:$M,'BSE - SENSEX Index Options'!$C:$C,$A100,'BSE - SENSEX Index Options'!$B:$B,C$4)+SUMIFS('BSE - Other Index Options'!$M:$M,'BSE - Other Index Options'!$C:$C,$A100,'BSE - Other Index Options'!$B:$B,C$4))</f>
        <v/>
      </c>
      <c r="D100" s="26">
        <f>IF(SUMIFS('NSE - NIFTY Index Options'!$M:$M,'NSE - NIFTY Index Options'!$C:$C,$A100,'NSE - NIFTY Index Options'!$B:$B,D$4)+SUMIFS('NSE - Other Index Options'!$M:$M,'NSE - Other Index Options'!$C:$C,$A100,'NSE - Other Index Options'!$B:$B,D$4)+SUMIFS('BSE - SENSEX Index Options'!$M:$M,'BSE - SENSEX Index Options'!$C:$C,$A100,'BSE - SENSEX Index Options'!$B:$B,D$4)+SUMIFS('BSE - Other Index Options'!$M:$M,'BSE - Other Index Options'!$C:$C,$A100,'BSE - Other Index Options'!$B:$B,D$4)=0,"",SUMIFS('NSE - NIFTY Index Options'!$M:$M,'NSE - NIFTY Index Options'!$C:$C,$A100,'NSE - NIFTY Index Options'!$B:$B,D$4)+SUMIFS('NSE - Other Index Options'!$M:$M,'NSE - Other Index Options'!$C:$C,$A100,'NSE - Other Index Options'!$B:$B,D$4)+SUMIFS('BSE - SENSEX Index Options'!$M:$M,'BSE - SENSEX Index Options'!$C:$C,$A100,'BSE - SENSEX Index Options'!$B:$B,D$4)+SUMIFS('BSE - Other Index Options'!$M:$M,'BSE - Other Index Options'!$C:$C,$A100,'BSE - Other Index Options'!$B:$B,D$4))</f>
        <v/>
      </c>
      <c r="E100" s="26">
        <f>IF(SUMIFS('NSE - NIFTY Index Options'!$M:$M,'NSE - NIFTY Index Options'!$C:$C,$A100,'NSE - NIFTY Index Options'!$B:$B,E$4)+SUMIFS('NSE - Other Index Options'!$M:$M,'NSE - Other Index Options'!$C:$C,$A100,'NSE - Other Index Options'!$B:$B,E$4)+SUMIFS('BSE - SENSEX Index Options'!$M:$M,'BSE - SENSEX Index Options'!$C:$C,$A100,'BSE - SENSEX Index Options'!$B:$B,E$4)+SUMIFS('BSE - Other Index Options'!$M:$M,'BSE - Other Index Options'!$C:$C,$A100,'BSE - Other Index Options'!$B:$B,E$4)=0,"",SUMIFS('NSE - NIFTY Index Options'!$M:$M,'NSE - NIFTY Index Options'!$C:$C,$A100,'NSE - NIFTY Index Options'!$B:$B,E$4)+SUMIFS('NSE - Other Index Options'!$M:$M,'NSE - Other Index Options'!$C:$C,$A100,'NSE - Other Index Options'!$B:$B,E$4)+SUMIFS('BSE - SENSEX Index Options'!$M:$M,'BSE - SENSEX Index Options'!$C:$C,$A100,'BSE - SENSEX Index Options'!$B:$B,E$4)+SUMIFS('BSE - Other Index Options'!$M:$M,'BSE - Other Index Options'!$C:$C,$A100,'BSE - Other Index Options'!$B:$B,E$4))</f>
        <v/>
      </c>
      <c r="F100" s="26">
        <f>IF(SUMIFS('NSE - NIFTY Index Options'!$M:$M,'NSE - NIFTY Index Options'!$C:$C,$A100,'NSE - NIFTY Index Options'!$B:$B,F$4)+SUMIFS('NSE - Other Index Options'!$M:$M,'NSE - Other Index Options'!$C:$C,$A100,'NSE - Other Index Options'!$B:$B,F$4)+SUMIFS('BSE - SENSEX Index Options'!$M:$M,'BSE - SENSEX Index Options'!$C:$C,$A100,'BSE - SENSEX Index Options'!$B:$B,F$4)+SUMIFS('BSE - Other Index Options'!$M:$M,'BSE - Other Index Options'!$C:$C,$A100,'BSE - Other Index Options'!$B:$B,F$4)=0,"",SUMIFS('NSE - NIFTY Index Options'!$M:$M,'NSE - NIFTY Index Options'!$C:$C,$A100,'NSE - NIFTY Index Options'!$B:$B,F$4)+SUMIFS('NSE - Other Index Options'!$M:$M,'NSE - Other Index Options'!$C:$C,$A100,'NSE - Other Index Options'!$B:$B,F$4)+SUMIFS('BSE - SENSEX Index Options'!$M:$M,'BSE - SENSEX Index Options'!$C:$C,$A100,'BSE - SENSEX Index Options'!$B:$B,F$4)+SUMIFS('BSE - Other Index Options'!$M:$M,'BSE - Other Index Options'!$C:$C,$A100,'BSE - Other Index Options'!$B:$B,F$4))</f>
        <v/>
      </c>
      <c r="G100" s="26">
        <f>IF(SUMIFS('NSE - NIFTY Index Options'!$M:$M,'NSE - NIFTY Index Options'!$C:$C,$A100,'NSE - NIFTY Index Options'!$B:$B,G$4)+SUMIFS('NSE - Other Index Options'!$M:$M,'NSE - Other Index Options'!$C:$C,$A100,'NSE - Other Index Options'!$B:$B,G$4)+SUMIFS('BSE - SENSEX Index Options'!$M:$M,'BSE - SENSEX Index Options'!$C:$C,$A100,'BSE - SENSEX Index Options'!$B:$B,G$4)+SUMIFS('BSE - Other Index Options'!$M:$M,'BSE - Other Index Options'!$C:$C,$A100,'BSE - Other Index Options'!$B:$B,G$4)=0,"",SUMIFS('NSE - NIFTY Index Options'!$M:$M,'NSE - NIFTY Index Options'!$C:$C,$A100,'NSE - NIFTY Index Options'!$B:$B,G$4)+SUMIFS('NSE - Other Index Options'!$M:$M,'NSE - Other Index Options'!$C:$C,$A100,'NSE - Other Index Options'!$B:$B,G$4)+SUMIFS('BSE - SENSEX Index Options'!$M:$M,'BSE - SENSEX Index Options'!$C:$C,$A100,'BSE - SENSEX Index Options'!$B:$B,G$4)+SUMIFS('BSE - Other Index Options'!$M:$M,'BSE - Other Index Options'!$C:$C,$A100,'BSE - Other Index Options'!$B:$B,G$4))</f>
        <v/>
      </c>
      <c r="H100" s="26">
        <f>IF(SUM(B100:G100)=0,"",SUM(B100:G100))</f>
        <v/>
      </c>
    </row>
    <row r="101" hidden="1" outlineLevel="1">
      <c r="A101" t="inlineStr">
        <is>
          <t>Week4-Apr-2027</t>
        </is>
      </c>
      <c r="B101" s="26">
        <f>IF(SUMIFS('NSE - NIFTY Index Options'!$M:$M,'NSE - NIFTY Index Options'!$C:$C,$A101,'NSE - NIFTY Index Options'!$B:$B,B$4)+SUMIFS('NSE - Other Index Options'!$M:$M,'NSE - Other Index Options'!$C:$C,$A101,'NSE - Other Index Options'!$B:$B,B$4)+SUMIFS('BSE - SENSEX Index Options'!$M:$M,'BSE - SENSEX Index Options'!$C:$C,$A101,'BSE - SENSEX Index Options'!$B:$B,B$4)+SUMIFS('BSE - Other Index Options'!$M:$M,'BSE - Other Index Options'!$C:$C,$A101,'BSE - Other Index Options'!$B:$B,B$4)=0,"",SUMIFS('NSE - NIFTY Index Options'!$M:$M,'NSE - NIFTY Index Options'!$C:$C,$A101,'NSE - NIFTY Index Options'!$B:$B,B$4)+SUMIFS('NSE - Other Index Options'!$M:$M,'NSE - Other Index Options'!$C:$C,$A101,'NSE - Other Index Options'!$B:$B,B$4)+SUMIFS('BSE - SENSEX Index Options'!$M:$M,'BSE - SENSEX Index Options'!$C:$C,$A101,'BSE - SENSEX Index Options'!$B:$B,B$4)+SUMIFS('BSE - Other Index Options'!$M:$M,'BSE - Other Index Options'!$C:$C,$A101,'BSE - Other Index Options'!$B:$B,B$4))</f>
        <v/>
      </c>
      <c r="C101" s="26">
        <f>IF(SUMIFS('NSE - NIFTY Index Options'!$M:$M,'NSE - NIFTY Index Options'!$C:$C,$A101,'NSE - NIFTY Index Options'!$B:$B,C$4)+SUMIFS('NSE - Other Index Options'!$M:$M,'NSE - Other Index Options'!$C:$C,$A101,'NSE - Other Index Options'!$B:$B,C$4)+SUMIFS('BSE - SENSEX Index Options'!$M:$M,'BSE - SENSEX Index Options'!$C:$C,$A101,'BSE - SENSEX Index Options'!$B:$B,C$4)+SUMIFS('BSE - Other Index Options'!$M:$M,'BSE - Other Index Options'!$C:$C,$A101,'BSE - Other Index Options'!$B:$B,C$4)=0,"",SUMIFS('NSE - NIFTY Index Options'!$M:$M,'NSE - NIFTY Index Options'!$C:$C,$A101,'NSE - NIFTY Index Options'!$B:$B,C$4)+SUMIFS('NSE - Other Index Options'!$M:$M,'NSE - Other Index Options'!$C:$C,$A101,'NSE - Other Index Options'!$B:$B,C$4)+SUMIFS('BSE - SENSEX Index Options'!$M:$M,'BSE - SENSEX Index Options'!$C:$C,$A101,'BSE - SENSEX Index Options'!$B:$B,C$4)+SUMIFS('BSE - Other Index Options'!$M:$M,'BSE - Other Index Options'!$C:$C,$A101,'BSE - Other Index Options'!$B:$B,C$4))</f>
        <v/>
      </c>
      <c r="D101" s="26">
        <f>IF(SUMIFS('NSE - NIFTY Index Options'!$M:$M,'NSE - NIFTY Index Options'!$C:$C,$A101,'NSE - NIFTY Index Options'!$B:$B,D$4)+SUMIFS('NSE - Other Index Options'!$M:$M,'NSE - Other Index Options'!$C:$C,$A101,'NSE - Other Index Options'!$B:$B,D$4)+SUMIFS('BSE - SENSEX Index Options'!$M:$M,'BSE - SENSEX Index Options'!$C:$C,$A101,'BSE - SENSEX Index Options'!$B:$B,D$4)+SUMIFS('BSE - Other Index Options'!$M:$M,'BSE - Other Index Options'!$C:$C,$A101,'BSE - Other Index Options'!$B:$B,D$4)=0,"",SUMIFS('NSE - NIFTY Index Options'!$M:$M,'NSE - NIFTY Index Options'!$C:$C,$A101,'NSE - NIFTY Index Options'!$B:$B,D$4)+SUMIFS('NSE - Other Index Options'!$M:$M,'NSE - Other Index Options'!$C:$C,$A101,'NSE - Other Index Options'!$B:$B,D$4)+SUMIFS('BSE - SENSEX Index Options'!$M:$M,'BSE - SENSEX Index Options'!$C:$C,$A101,'BSE - SENSEX Index Options'!$B:$B,D$4)+SUMIFS('BSE - Other Index Options'!$M:$M,'BSE - Other Index Options'!$C:$C,$A101,'BSE - Other Index Options'!$B:$B,D$4))</f>
        <v/>
      </c>
      <c r="E101" s="26">
        <f>IF(SUMIFS('NSE - NIFTY Index Options'!$M:$M,'NSE - NIFTY Index Options'!$C:$C,$A101,'NSE - NIFTY Index Options'!$B:$B,E$4)+SUMIFS('NSE - Other Index Options'!$M:$M,'NSE - Other Index Options'!$C:$C,$A101,'NSE - Other Index Options'!$B:$B,E$4)+SUMIFS('BSE - SENSEX Index Options'!$M:$M,'BSE - SENSEX Index Options'!$C:$C,$A101,'BSE - SENSEX Index Options'!$B:$B,E$4)+SUMIFS('BSE - Other Index Options'!$M:$M,'BSE - Other Index Options'!$C:$C,$A101,'BSE - Other Index Options'!$B:$B,E$4)=0,"",SUMIFS('NSE - NIFTY Index Options'!$M:$M,'NSE - NIFTY Index Options'!$C:$C,$A101,'NSE - NIFTY Index Options'!$B:$B,E$4)+SUMIFS('NSE - Other Index Options'!$M:$M,'NSE - Other Index Options'!$C:$C,$A101,'NSE - Other Index Options'!$B:$B,E$4)+SUMIFS('BSE - SENSEX Index Options'!$M:$M,'BSE - SENSEX Index Options'!$C:$C,$A101,'BSE - SENSEX Index Options'!$B:$B,E$4)+SUMIFS('BSE - Other Index Options'!$M:$M,'BSE - Other Index Options'!$C:$C,$A101,'BSE - Other Index Options'!$B:$B,E$4))</f>
        <v/>
      </c>
      <c r="F101" s="26">
        <f>IF(SUMIFS('NSE - NIFTY Index Options'!$M:$M,'NSE - NIFTY Index Options'!$C:$C,$A101,'NSE - NIFTY Index Options'!$B:$B,F$4)+SUMIFS('NSE - Other Index Options'!$M:$M,'NSE - Other Index Options'!$C:$C,$A101,'NSE - Other Index Options'!$B:$B,F$4)+SUMIFS('BSE - SENSEX Index Options'!$M:$M,'BSE - SENSEX Index Options'!$C:$C,$A101,'BSE - SENSEX Index Options'!$B:$B,F$4)+SUMIFS('BSE - Other Index Options'!$M:$M,'BSE - Other Index Options'!$C:$C,$A101,'BSE - Other Index Options'!$B:$B,F$4)=0,"",SUMIFS('NSE - NIFTY Index Options'!$M:$M,'NSE - NIFTY Index Options'!$C:$C,$A101,'NSE - NIFTY Index Options'!$B:$B,F$4)+SUMIFS('NSE - Other Index Options'!$M:$M,'NSE - Other Index Options'!$C:$C,$A101,'NSE - Other Index Options'!$B:$B,F$4)+SUMIFS('BSE - SENSEX Index Options'!$M:$M,'BSE - SENSEX Index Options'!$C:$C,$A101,'BSE - SENSEX Index Options'!$B:$B,F$4)+SUMIFS('BSE - Other Index Options'!$M:$M,'BSE - Other Index Options'!$C:$C,$A101,'BSE - Other Index Options'!$B:$B,F$4))</f>
        <v/>
      </c>
      <c r="G101" s="26">
        <f>IF(SUMIFS('NSE - NIFTY Index Options'!$M:$M,'NSE - NIFTY Index Options'!$C:$C,$A101,'NSE - NIFTY Index Options'!$B:$B,G$4)+SUMIFS('NSE - Other Index Options'!$M:$M,'NSE - Other Index Options'!$C:$C,$A101,'NSE - Other Index Options'!$B:$B,G$4)+SUMIFS('BSE - SENSEX Index Options'!$M:$M,'BSE - SENSEX Index Options'!$C:$C,$A101,'BSE - SENSEX Index Options'!$B:$B,G$4)+SUMIFS('BSE - Other Index Options'!$M:$M,'BSE - Other Index Options'!$C:$C,$A101,'BSE - Other Index Options'!$B:$B,G$4)=0,"",SUMIFS('NSE - NIFTY Index Options'!$M:$M,'NSE - NIFTY Index Options'!$C:$C,$A101,'NSE - NIFTY Index Options'!$B:$B,G$4)+SUMIFS('NSE - Other Index Options'!$M:$M,'NSE - Other Index Options'!$C:$C,$A101,'NSE - Other Index Options'!$B:$B,G$4)+SUMIFS('BSE - SENSEX Index Options'!$M:$M,'BSE - SENSEX Index Options'!$C:$C,$A101,'BSE - SENSEX Index Options'!$B:$B,G$4)+SUMIFS('BSE - Other Index Options'!$M:$M,'BSE - Other Index Options'!$C:$C,$A101,'BSE - Other Index Options'!$B:$B,G$4))</f>
        <v/>
      </c>
      <c r="H101" s="26">
        <f>IF(SUM(B101:G101)=0,"",SUM(B101:G101))</f>
        <v/>
      </c>
    </row>
    <row r="102" hidden="1" outlineLevel="1">
      <c r="A102" t="inlineStr">
        <is>
          <t>Week5-Apr-2027</t>
        </is>
      </c>
      <c r="B102" s="26">
        <f>IF(SUMIFS('NSE - NIFTY Index Options'!$M:$M,'NSE - NIFTY Index Options'!$C:$C,$A102,'NSE - NIFTY Index Options'!$B:$B,B$4)+SUMIFS('NSE - Other Index Options'!$M:$M,'NSE - Other Index Options'!$C:$C,$A102,'NSE - Other Index Options'!$B:$B,B$4)+SUMIFS('BSE - SENSEX Index Options'!$M:$M,'BSE - SENSEX Index Options'!$C:$C,$A102,'BSE - SENSEX Index Options'!$B:$B,B$4)+SUMIFS('BSE - Other Index Options'!$M:$M,'BSE - Other Index Options'!$C:$C,$A102,'BSE - Other Index Options'!$B:$B,B$4)=0,"",SUMIFS('NSE - NIFTY Index Options'!$M:$M,'NSE - NIFTY Index Options'!$C:$C,$A102,'NSE - NIFTY Index Options'!$B:$B,B$4)+SUMIFS('NSE - Other Index Options'!$M:$M,'NSE - Other Index Options'!$C:$C,$A102,'NSE - Other Index Options'!$B:$B,B$4)+SUMIFS('BSE - SENSEX Index Options'!$M:$M,'BSE - SENSEX Index Options'!$C:$C,$A102,'BSE - SENSEX Index Options'!$B:$B,B$4)+SUMIFS('BSE - Other Index Options'!$M:$M,'BSE - Other Index Options'!$C:$C,$A102,'BSE - Other Index Options'!$B:$B,B$4))</f>
        <v/>
      </c>
      <c r="C102" s="26">
        <f>IF(SUMIFS('NSE - NIFTY Index Options'!$M:$M,'NSE - NIFTY Index Options'!$C:$C,$A102,'NSE - NIFTY Index Options'!$B:$B,C$4)+SUMIFS('NSE - Other Index Options'!$M:$M,'NSE - Other Index Options'!$C:$C,$A102,'NSE - Other Index Options'!$B:$B,C$4)+SUMIFS('BSE - SENSEX Index Options'!$M:$M,'BSE - SENSEX Index Options'!$C:$C,$A102,'BSE - SENSEX Index Options'!$B:$B,C$4)+SUMIFS('BSE - Other Index Options'!$M:$M,'BSE - Other Index Options'!$C:$C,$A102,'BSE - Other Index Options'!$B:$B,C$4)=0,"",SUMIFS('NSE - NIFTY Index Options'!$M:$M,'NSE - NIFTY Index Options'!$C:$C,$A102,'NSE - NIFTY Index Options'!$B:$B,C$4)+SUMIFS('NSE - Other Index Options'!$M:$M,'NSE - Other Index Options'!$C:$C,$A102,'NSE - Other Index Options'!$B:$B,C$4)+SUMIFS('BSE - SENSEX Index Options'!$M:$M,'BSE - SENSEX Index Options'!$C:$C,$A102,'BSE - SENSEX Index Options'!$B:$B,C$4)+SUMIFS('BSE - Other Index Options'!$M:$M,'BSE - Other Index Options'!$C:$C,$A102,'BSE - Other Index Options'!$B:$B,C$4))</f>
        <v/>
      </c>
      <c r="D102" s="26">
        <f>IF(SUMIFS('NSE - NIFTY Index Options'!$M:$M,'NSE - NIFTY Index Options'!$C:$C,$A102,'NSE - NIFTY Index Options'!$B:$B,D$4)+SUMIFS('NSE - Other Index Options'!$M:$M,'NSE - Other Index Options'!$C:$C,$A102,'NSE - Other Index Options'!$B:$B,D$4)+SUMIFS('BSE - SENSEX Index Options'!$M:$M,'BSE - SENSEX Index Options'!$C:$C,$A102,'BSE - SENSEX Index Options'!$B:$B,D$4)+SUMIFS('BSE - Other Index Options'!$M:$M,'BSE - Other Index Options'!$C:$C,$A102,'BSE - Other Index Options'!$B:$B,D$4)=0,"",SUMIFS('NSE - NIFTY Index Options'!$M:$M,'NSE - NIFTY Index Options'!$C:$C,$A102,'NSE - NIFTY Index Options'!$B:$B,D$4)+SUMIFS('NSE - Other Index Options'!$M:$M,'NSE - Other Index Options'!$C:$C,$A102,'NSE - Other Index Options'!$B:$B,D$4)+SUMIFS('BSE - SENSEX Index Options'!$M:$M,'BSE - SENSEX Index Options'!$C:$C,$A102,'BSE - SENSEX Index Options'!$B:$B,D$4)+SUMIFS('BSE - Other Index Options'!$M:$M,'BSE - Other Index Options'!$C:$C,$A102,'BSE - Other Index Options'!$B:$B,D$4))</f>
        <v/>
      </c>
      <c r="E102" s="26">
        <f>IF(SUMIFS('NSE - NIFTY Index Options'!$M:$M,'NSE - NIFTY Index Options'!$C:$C,$A102,'NSE - NIFTY Index Options'!$B:$B,E$4)+SUMIFS('NSE - Other Index Options'!$M:$M,'NSE - Other Index Options'!$C:$C,$A102,'NSE - Other Index Options'!$B:$B,E$4)+SUMIFS('BSE - SENSEX Index Options'!$M:$M,'BSE - SENSEX Index Options'!$C:$C,$A102,'BSE - SENSEX Index Options'!$B:$B,E$4)+SUMIFS('BSE - Other Index Options'!$M:$M,'BSE - Other Index Options'!$C:$C,$A102,'BSE - Other Index Options'!$B:$B,E$4)=0,"",SUMIFS('NSE - NIFTY Index Options'!$M:$M,'NSE - NIFTY Index Options'!$C:$C,$A102,'NSE - NIFTY Index Options'!$B:$B,E$4)+SUMIFS('NSE - Other Index Options'!$M:$M,'NSE - Other Index Options'!$C:$C,$A102,'NSE - Other Index Options'!$B:$B,E$4)+SUMIFS('BSE - SENSEX Index Options'!$M:$M,'BSE - SENSEX Index Options'!$C:$C,$A102,'BSE - SENSEX Index Options'!$B:$B,E$4)+SUMIFS('BSE - Other Index Options'!$M:$M,'BSE - Other Index Options'!$C:$C,$A102,'BSE - Other Index Options'!$B:$B,E$4))</f>
        <v/>
      </c>
      <c r="F102" s="26">
        <f>IF(SUMIFS('NSE - NIFTY Index Options'!$M:$M,'NSE - NIFTY Index Options'!$C:$C,$A102,'NSE - NIFTY Index Options'!$B:$B,F$4)+SUMIFS('NSE - Other Index Options'!$M:$M,'NSE - Other Index Options'!$C:$C,$A102,'NSE - Other Index Options'!$B:$B,F$4)+SUMIFS('BSE - SENSEX Index Options'!$M:$M,'BSE - SENSEX Index Options'!$C:$C,$A102,'BSE - SENSEX Index Options'!$B:$B,F$4)+SUMIFS('BSE - Other Index Options'!$M:$M,'BSE - Other Index Options'!$C:$C,$A102,'BSE - Other Index Options'!$B:$B,F$4)=0,"",SUMIFS('NSE - NIFTY Index Options'!$M:$M,'NSE - NIFTY Index Options'!$C:$C,$A102,'NSE - NIFTY Index Options'!$B:$B,F$4)+SUMIFS('NSE - Other Index Options'!$M:$M,'NSE - Other Index Options'!$C:$C,$A102,'NSE - Other Index Options'!$B:$B,F$4)+SUMIFS('BSE - SENSEX Index Options'!$M:$M,'BSE - SENSEX Index Options'!$C:$C,$A102,'BSE - SENSEX Index Options'!$B:$B,F$4)+SUMIFS('BSE - Other Index Options'!$M:$M,'BSE - Other Index Options'!$C:$C,$A102,'BSE - Other Index Options'!$B:$B,F$4))</f>
        <v/>
      </c>
      <c r="G102" s="26">
        <f>IF(SUMIFS('NSE - NIFTY Index Options'!$M:$M,'NSE - NIFTY Index Options'!$C:$C,$A102,'NSE - NIFTY Index Options'!$B:$B,G$4)+SUMIFS('NSE - Other Index Options'!$M:$M,'NSE - Other Index Options'!$C:$C,$A102,'NSE - Other Index Options'!$B:$B,G$4)+SUMIFS('BSE - SENSEX Index Options'!$M:$M,'BSE - SENSEX Index Options'!$C:$C,$A102,'BSE - SENSEX Index Options'!$B:$B,G$4)+SUMIFS('BSE - Other Index Options'!$M:$M,'BSE - Other Index Options'!$C:$C,$A102,'BSE - Other Index Options'!$B:$B,G$4)=0,"",SUMIFS('NSE - NIFTY Index Options'!$M:$M,'NSE - NIFTY Index Options'!$C:$C,$A102,'NSE - NIFTY Index Options'!$B:$B,G$4)+SUMIFS('NSE - Other Index Options'!$M:$M,'NSE - Other Index Options'!$C:$C,$A102,'NSE - Other Index Options'!$B:$B,G$4)+SUMIFS('BSE - SENSEX Index Options'!$M:$M,'BSE - SENSEX Index Options'!$C:$C,$A102,'BSE - SENSEX Index Options'!$B:$B,G$4)+SUMIFS('BSE - Other Index Options'!$M:$M,'BSE - Other Index Options'!$C:$C,$A102,'BSE - Other Index Options'!$B:$B,G$4))</f>
        <v/>
      </c>
      <c r="H102" s="26">
        <f>IF(SUM(B102:G102)=0,"",SUM(B102:G102))</f>
        <v/>
      </c>
    </row>
    <row r="103" hidden="1" outlineLevel="1">
      <c r="A103" t="inlineStr">
        <is>
          <t>Week1-May-2027</t>
        </is>
      </c>
      <c r="B103" s="26">
        <f>IF(SUMIFS('NSE - NIFTY Index Options'!$M:$M,'NSE - NIFTY Index Options'!$C:$C,$A103,'NSE - NIFTY Index Options'!$B:$B,B$4)+SUMIFS('NSE - Other Index Options'!$M:$M,'NSE - Other Index Options'!$C:$C,$A103,'NSE - Other Index Options'!$B:$B,B$4)+SUMIFS('BSE - SENSEX Index Options'!$M:$M,'BSE - SENSEX Index Options'!$C:$C,$A103,'BSE - SENSEX Index Options'!$B:$B,B$4)+SUMIFS('BSE - Other Index Options'!$M:$M,'BSE - Other Index Options'!$C:$C,$A103,'BSE - Other Index Options'!$B:$B,B$4)=0,"",SUMIFS('NSE - NIFTY Index Options'!$M:$M,'NSE - NIFTY Index Options'!$C:$C,$A103,'NSE - NIFTY Index Options'!$B:$B,B$4)+SUMIFS('NSE - Other Index Options'!$M:$M,'NSE - Other Index Options'!$C:$C,$A103,'NSE - Other Index Options'!$B:$B,B$4)+SUMIFS('BSE - SENSEX Index Options'!$M:$M,'BSE - SENSEX Index Options'!$C:$C,$A103,'BSE - SENSEX Index Options'!$B:$B,B$4)+SUMIFS('BSE - Other Index Options'!$M:$M,'BSE - Other Index Options'!$C:$C,$A103,'BSE - Other Index Options'!$B:$B,B$4))</f>
        <v/>
      </c>
      <c r="C103" s="26">
        <f>IF(SUMIFS('NSE - NIFTY Index Options'!$M:$M,'NSE - NIFTY Index Options'!$C:$C,$A103,'NSE - NIFTY Index Options'!$B:$B,C$4)+SUMIFS('NSE - Other Index Options'!$M:$M,'NSE - Other Index Options'!$C:$C,$A103,'NSE - Other Index Options'!$B:$B,C$4)+SUMIFS('BSE - SENSEX Index Options'!$M:$M,'BSE - SENSEX Index Options'!$C:$C,$A103,'BSE - SENSEX Index Options'!$B:$B,C$4)+SUMIFS('BSE - Other Index Options'!$M:$M,'BSE - Other Index Options'!$C:$C,$A103,'BSE - Other Index Options'!$B:$B,C$4)=0,"",SUMIFS('NSE - NIFTY Index Options'!$M:$M,'NSE - NIFTY Index Options'!$C:$C,$A103,'NSE - NIFTY Index Options'!$B:$B,C$4)+SUMIFS('NSE - Other Index Options'!$M:$M,'NSE - Other Index Options'!$C:$C,$A103,'NSE - Other Index Options'!$B:$B,C$4)+SUMIFS('BSE - SENSEX Index Options'!$M:$M,'BSE - SENSEX Index Options'!$C:$C,$A103,'BSE - SENSEX Index Options'!$B:$B,C$4)+SUMIFS('BSE - Other Index Options'!$M:$M,'BSE - Other Index Options'!$C:$C,$A103,'BSE - Other Index Options'!$B:$B,C$4))</f>
        <v/>
      </c>
      <c r="D103" s="26">
        <f>IF(SUMIFS('NSE - NIFTY Index Options'!$M:$M,'NSE - NIFTY Index Options'!$C:$C,$A103,'NSE - NIFTY Index Options'!$B:$B,D$4)+SUMIFS('NSE - Other Index Options'!$M:$M,'NSE - Other Index Options'!$C:$C,$A103,'NSE - Other Index Options'!$B:$B,D$4)+SUMIFS('BSE - SENSEX Index Options'!$M:$M,'BSE - SENSEX Index Options'!$C:$C,$A103,'BSE - SENSEX Index Options'!$B:$B,D$4)+SUMIFS('BSE - Other Index Options'!$M:$M,'BSE - Other Index Options'!$C:$C,$A103,'BSE - Other Index Options'!$B:$B,D$4)=0,"",SUMIFS('NSE - NIFTY Index Options'!$M:$M,'NSE - NIFTY Index Options'!$C:$C,$A103,'NSE - NIFTY Index Options'!$B:$B,D$4)+SUMIFS('NSE - Other Index Options'!$M:$M,'NSE - Other Index Options'!$C:$C,$A103,'NSE - Other Index Options'!$B:$B,D$4)+SUMIFS('BSE - SENSEX Index Options'!$M:$M,'BSE - SENSEX Index Options'!$C:$C,$A103,'BSE - SENSEX Index Options'!$B:$B,D$4)+SUMIFS('BSE - Other Index Options'!$M:$M,'BSE - Other Index Options'!$C:$C,$A103,'BSE - Other Index Options'!$B:$B,D$4))</f>
        <v/>
      </c>
      <c r="E103" s="26">
        <f>IF(SUMIFS('NSE - NIFTY Index Options'!$M:$M,'NSE - NIFTY Index Options'!$C:$C,$A103,'NSE - NIFTY Index Options'!$B:$B,E$4)+SUMIFS('NSE - Other Index Options'!$M:$M,'NSE - Other Index Options'!$C:$C,$A103,'NSE - Other Index Options'!$B:$B,E$4)+SUMIFS('BSE - SENSEX Index Options'!$M:$M,'BSE - SENSEX Index Options'!$C:$C,$A103,'BSE - SENSEX Index Options'!$B:$B,E$4)+SUMIFS('BSE - Other Index Options'!$M:$M,'BSE - Other Index Options'!$C:$C,$A103,'BSE - Other Index Options'!$B:$B,E$4)=0,"",SUMIFS('NSE - NIFTY Index Options'!$M:$M,'NSE - NIFTY Index Options'!$C:$C,$A103,'NSE - NIFTY Index Options'!$B:$B,E$4)+SUMIFS('NSE - Other Index Options'!$M:$M,'NSE - Other Index Options'!$C:$C,$A103,'NSE - Other Index Options'!$B:$B,E$4)+SUMIFS('BSE - SENSEX Index Options'!$M:$M,'BSE - SENSEX Index Options'!$C:$C,$A103,'BSE - SENSEX Index Options'!$B:$B,E$4)+SUMIFS('BSE - Other Index Options'!$M:$M,'BSE - Other Index Options'!$C:$C,$A103,'BSE - Other Index Options'!$B:$B,E$4))</f>
        <v/>
      </c>
      <c r="F103" s="26">
        <f>IF(SUMIFS('NSE - NIFTY Index Options'!$M:$M,'NSE - NIFTY Index Options'!$C:$C,$A103,'NSE - NIFTY Index Options'!$B:$B,F$4)+SUMIFS('NSE - Other Index Options'!$M:$M,'NSE - Other Index Options'!$C:$C,$A103,'NSE - Other Index Options'!$B:$B,F$4)+SUMIFS('BSE - SENSEX Index Options'!$M:$M,'BSE - SENSEX Index Options'!$C:$C,$A103,'BSE - SENSEX Index Options'!$B:$B,F$4)+SUMIFS('BSE - Other Index Options'!$M:$M,'BSE - Other Index Options'!$C:$C,$A103,'BSE - Other Index Options'!$B:$B,F$4)=0,"",SUMIFS('NSE - NIFTY Index Options'!$M:$M,'NSE - NIFTY Index Options'!$C:$C,$A103,'NSE - NIFTY Index Options'!$B:$B,F$4)+SUMIFS('NSE - Other Index Options'!$M:$M,'NSE - Other Index Options'!$C:$C,$A103,'NSE - Other Index Options'!$B:$B,F$4)+SUMIFS('BSE - SENSEX Index Options'!$M:$M,'BSE - SENSEX Index Options'!$C:$C,$A103,'BSE - SENSEX Index Options'!$B:$B,F$4)+SUMIFS('BSE - Other Index Options'!$M:$M,'BSE - Other Index Options'!$C:$C,$A103,'BSE - Other Index Options'!$B:$B,F$4))</f>
        <v/>
      </c>
      <c r="G103" s="26">
        <f>IF(SUMIFS('NSE - NIFTY Index Options'!$M:$M,'NSE - NIFTY Index Options'!$C:$C,$A103,'NSE - NIFTY Index Options'!$B:$B,G$4)+SUMIFS('NSE - Other Index Options'!$M:$M,'NSE - Other Index Options'!$C:$C,$A103,'NSE - Other Index Options'!$B:$B,G$4)+SUMIFS('BSE - SENSEX Index Options'!$M:$M,'BSE - SENSEX Index Options'!$C:$C,$A103,'BSE - SENSEX Index Options'!$B:$B,G$4)+SUMIFS('BSE - Other Index Options'!$M:$M,'BSE - Other Index Options'!$C:$C,$A103,'BSE - Other Index Options'!$B:$B,G$4)=0,"",SUMIFS('NSE - NIFTY Index Options'!$M:$M,'NSE - NIFTY Index Options'!$C:$C,$A103,'NSE - NIFTY Index Options'!$B:$B,G$4)+SUMIFS('NSE - Other Index Options'!$M:$M,'NSE - Other Index Options'!$C:$C,$A103,'NSE - Other Index Options'!$B:$B,G$4)+SUMIFS('BSE - SENSEX Index Options'!$M:$M,'BSE - SENSEX Index Options'!$C:$C,$A103,'BSE - SENSEX Index Options'!$B:$B,G$4)+SUMIFS('BSE - Other Index Options'!$M:$M,'BSE - Other Index Options'!$C:$C,$A103,'BSE - Other Index Options'!$B:$B,G$4))</f>
        <v/>
      </c>
      <c r="H103" s="26">
        <f>IF(SUM(B103:G103)=0,"",SUM(B103:G103))</f>
        <v/>
      </c>
    </row>
    <row r="104" hidden="1" outlineLevel="1">
      <c r="A104" t="inlineStr">
        <is>
          <t>Week2-May-2027</t>
        </is>
      </c>
      <c r="B104" s="26">
        <f>IF(SUMIFS('NSE - NIFTY Index Options'!$M:$M,'NSE - NIFTY Index Options'!$C:$C,$A104,'NSE - NIFTY Index Options'!$B:$B,B$4)+SUMIFS('NSE - Other Index Options'!$M:$M,'NSE - Other Index Options'!$C:$C,$A104,'NSE - Other Index Options'!$B:$B,B$4)+SUMIFS('BSE - SENSEX Index Options'!$M:$M,'BSE - SENSEX Index Options'!$C:$C,$A104,'BSE - SENSEX Index Options'!$B:$B,B$4)+SUMIFS('BSE - Other Index Options'!$M:$M,'BSE - Other Index Options'!$C:$C,$A104,'BSE - Other Index Options'!$B:$B,B$4)=0,"",SUMIFS('NSE - NIFTY Index Options'!$M:$M,'NSE - NIFTY Index Options'!$C:$C,$A104,'NSE - NIFTY Index Options'!$B:$B,B$4)+SUMIFS('NSE - Other Index Options'!$M:$M,'NSE - Other Index Options'!$C:$C,$A104,'NSE - Other Index Options'!$B:$B,B$4)+SUMIFS('BSE - SENSEX Index Options'!$M:$M,'BSE - SENSEX Index Options'!$C:$C,$A104,'BSE - SENSEX Index Options'!$B:$B,B$4)+SUMIFS('BSE - Other Index Options'!$M:$M,'BSE - Other Index Options'!$C:$C,$A104,'BSE - Other Index Options'!$B:$B,B$4))</f>
        <v/>
      </c>
      <c r="C104" s="26">
        <f>IF(SUMIFS('NSE - NIFTY Index Options'!$M:$M,'NSE - NIFTY Index Options'!$C:$C,$A104,'NSE - NIFTY Index Options'!$B:$B,C$4)+SUMIFS('NSE - Other Index Options'!$M:$M,'NSE - Other Index Options'!$C:$C,$A104,'NSE - Other Index Options'!$B:$B,C$4)+SUMIFS('BSE - SENSEX Index Options'!$M:$M,'BSE - SENSEX Index Options'!$C:$C,$A104,'BSE - SENSEX Index Options'!$B:$B,C$4)+SUMIFS('BSE - Other Index Options'!$M:$M,'BSE - Other Index Options'!$C:$C,$A104,'BSE - Other Index Options'!$B:$B,C$4)=0,"",SUMIFS('NSE - NIFTY Index Options'!$M:$M,'NSE - NIFTY Index Options'!$C:$C,$A104,'NSE - NIFTY Index Options'!$B:$B,C$4)+SUMIFS('NSE - Other Index Options'!$M:$M,'NSE - Other Index Options'!$C:$C,$A104,'NSE - Other Index Options'!$B:$B,C$4)+SUMIFS('BSE - SENSEX Index Options'!$M:$M,'BSE - SENSEX Index Options'!$C:$C,$A104,'BSE - SENSEX Index Options'!$B:$B,C$4)+SUMIFS('BSE - Other Index Options'!$M:$M,'BSE - Other Index Options'!$C:$C,$A104,'BSE - Other Index Options'!$B:$B,C$4))</f>
        <v/>
      </c>
      <c r="D104" s="26">
        <f>IF(SUMIFS('NSE - NIFTY Index Options'!$M:$M,'NSE - NIFTY Index Options'!$C:$C,$A104,'NSE - NIFTY Index Options'!$B:$B,D$4)+SUMIFS('NSE - Other Index Options'!$M:$M,'NSE - Other Index Options'!$C:$C,$A104,'NSE - Other Index Options'!$B:$B,D$4)+SUMIFS('BSE - SENSEX Index Options'!$M:$M,'BSE - SENSEX Index Options'!$C:$C,$A104,'BSE - SENSEX Index Options'!$B:$B,D$4)+SUMIFS('BSE - Other Index Options'!$M:$M,'BSE - Other Index Options'!$C:$C,$A104,'BSE - Other Index Options'!$B:$B,D$4)=0,"",SUMIFS('NSE - NIFTY Index Options'!$M:$M,'NSE - NIFTY Index Options'!$C:$C,$A104,'NSE - NIFTY Index Options'!$B:$B,D$4)+SUMIFS('NSE - Other Index Options'!$M:$M,'NSE - Other Index Options'!$C:$C,$A104,'NSE - Other Index Options'!$B:$B,D$4)+SUMIFS('BSE - SENSEX Index Options'!$M:$M,'BSE - SENSEX Index Options'!$C:$C,$A104,'BSE - SENSEX Index Options'!$B:$B,D$4)+SUMIFS('BSE - Other Index Options'!$M:$M,'BSE - Other Index Options'!$C:$C,$A104,'BSE - Other Index Options'!$B:$B,D$4))</f>
        <v/>
      </c>
      <c r="E104" s="26">
        <f>IF(SUMIFS('NSE - NIFTY Index Options'!$M:$M,'NSE - NIFTY Index Options'!$C:$C,$A104,'NSE - NIFTY Index Options'!$B:$B,E$4)+SUMIFS('NSE - Other Index Options'!$M:$M,'NSE - Other Index Options'!$C:$C,$A104,'NSE - Other Index Options'!$B:$B,E$4)+SUMIFS('BSE - SENSEX Index Options'!$M:$M,'BSE - SENSEX Index Options'!$C:$C,$A104,'BSE - SENSEX Index Options'!$B:$B,E$4)+SUMIFS('BSE - Other Index Options'!$M:$M,'BSE - Other Index Options'!$C:$C,$A104,'BSE - Other Index Options'!$B:$B,E$4)=0,"",SUMIFS('NSE - NIFTY Index Options'!$M:$M,'NSE - NIFTY Index Options'!$C:$C,$A104,'NSE - NIFTY Index Options'!$B:$B,E$4)+SUMIFS('NSE - Other Index Options'!$M:$M,'NSE - Other Index Options'!$C:$C,$A104,'NSE - Other Index Options'!$B:$B,E$4)+SUMIFS('BSE - SENSEX Index Options'!$M:$M,'BSE - SENSEX Index Options'!$C:$C,$A104,'BSE - SENSEX Index Options'!$B:$B,E$4)+SUMIFS('BSE - Other Index Options'!$M:$M,'BSE - Other Index Options'!$C:$C,$A104,'BSE - Other Index Options'!$B:$B,E$4))</f>
        <v/>
      </c>
      <c r="F104" s="26">
        <f>IF(SUMIFS('NSE - NIFTY Index Options'!$M:$M,'NSE - NIFTY Index Options'!$C:$C,$A104,'NSE - NIFTY Index Options'!$B:$B,F$4)+SUMIFS('NSE - Other Index Options'!$M:$M,'NSE - Other Index Options'!$C:$C,$A104,'NSE - Other Index Options'!$B:$B,F$4)+SUMIFS('BSE - SENSEX Index Options'!$M:$M,'BSE - SENSEX Index Options'!$C:$C,$A104,'BSE - SENSEX Index Options'!$B:$B,F$4)+SUMIFS('BSE - Other Index Options'!$M:$M,'BSE - Other Index Options'!$C:$C,$A104,'BSE - Other Index Options'!$B:$B,F$4)=0,"",SUMIFS('NSE - NIFTY Index Options'!$M:$M,'NSE - NIFTY Index Options'!$C:$C,$A104,'NSE - NIFTY Index Options'!$B:$B,F$4)+SUMIFS('NSE - Other Index Options'!$M:$M,'NSE - Other Index Options'!$C:$C,$A104,'NSE - Other Index Options'!$B:$B,F$4)+SUMIFS('BSE - SENSEX Index Options'!$M:$M,'BSE - SENSEX Index Options'!$C:$C,$A104,'BSE - SENSEX Index Options'!$B:$B,F$4)+SUMIFS('BSE - Other Index Options'!$M:$M,'BSE - Other Index Options'!$C:$C,$A104,'BSE - Other Index Options'!$B:$B,F$4))</f>
        <v/>
      </c>
      <c r="G104" s="26">
        <f>IF(SUMIFS('NSE - NIFTY Index Options'!$M:$M,'NSE - NIFTY Index Options'!$C:$C,$A104,'NSE - NIFTY Index Options'!$B:$B,G$4)+SUMIFS('NSE - Other Index Options'!$M:$M,'NSE - Other Index Options'!$C:$C,$A104,'NSE - Other Index Options'!$B:$B,G$4)+SUMIFS('BSE - SENSEX Index Options'!$M:$M,'BSE - SENSEX Index Options'!$C:$C,$A104,'BSE - SENSEX Index Options'!$B:$B,G$4)+SUMIFS('BSE - Other Index Options'!$M:$M,'BSE - Other Index Options'!$C:$C,$A104,'BSE - Other Index Options'!$B:$B,G$4)=0,"",SUMIFS('NSE - NIFTY Index Options'!$M:$M,'NSE - NIFTY Index Options'!$C:$C,$A104,'NSE - NIFTY Index Options'!$B:$B,G$4)+SUMIFS('NSE - Other Index Options'!$M:$M,'NSE - Other Index Options'!$C:$C,$A104,'NSE - Other Index Options'!$B:$B,G$4)+SUMIFS('BSE - SENSEX Index Options'!$M:$M,'BSE - SENSEX Index Options'!$C:$C,$A104,'BSE - SENSEX Index Options'!$B:$B,G$4)+SUMIFS('BSE - Other Index Options'!$M:$M,'BSE - Other Index Options'!$C:$C,$A104,'BSE - Other Index Options'!$B:$B,G$4))</f>
        <v/>
      </c>
      <c r="H104" s="26">
        <f>IF(SUM(B104:G104)=0,"",SUM(B104:G104))</f>
        <v/>
      </c>
    </row>
    <row r="105" hidden="1" outlineLevel="1">
      <c r="A105" t="inlineStr">
        <is>
          <t>Week3-May-2027</t>
        </is>
      </c>
      <c r="B105" s="26">
        <f>IF(SUMIFS('NSE - NIFTY Index Options'!$M:$M,'NSE - NIFTY Index Options'!$C:$C,$A105,'NSE - NIFTY Index Options'!$B:$B,B$4)+SUMIFS('NSE - Other Index Options'!$M:$M,'NSE - Other Index Options'!$C:$C,$A105,'NSE - Other Index Options'!$B:$B,B$4)+SUMIFS('BSE - SENSEX Index Options'!$M:$M,'BSE - SENSEX Index Options'!$C:$C,$A105,'BSE - SENSEX Index Options'!$B:$B,B$4)+SUMIFS('BSE - Other Index Options'!$M:$M,'BSE - Other Index Options'!$C:$C,$A105,'BSE - Other Index Options'!$B:$B,B$4)=0,"",SUMIFS('NSE - NIFTY Index Options'!$M:$M,'NSE - NIFTY Index Options'!$C:$C,$A105,'NSE - NIFTY Index Options'!$B:$B,B$4)+SUMIFS('NSE - Other Index Options'!$M:$M,'NSE - Other Index Options'!$C:$C,$A105,'NSE - Other Index Options'!$B:$B,B$4)+SUMIFS('BSE - SENSEX Index Options'!$M:$M,'BSE - SENSEX Index Options'!$C:$C,$A105,'BSE - SENSEX Index Options'!$B:$B,B$4)+SUMIFS('BSE - Other Index Options'!$M:$M,'BSE - Other Index Options'!$C:$C,$A105,'BSE - Other Index Options'!$B:$B,B$4))</f>
        <v/>
      </c>
      <c r="C105" s="26">
        <f>IF(SUMIFS('NSE - NIFTY Index Options'!$M:$M,'NSE - NIFTY Index Options'!$C:$C,$A105,'NSE - NIFTY Index Options'!$B:$B,C$4)+SUMIFS('NSE - Other Index Options'!$M:$M,'NSE - Other Index Options'!$C:$C,$A105,'NSE - Other Index Options'!$B:$B,C$4)+SUMIFS('BSE - SENSEX Index Options'!$M:$M,'BSE - SENSEX Index Options'!$C:$C,$A105,'BSE - SENSEX Index Options'!$B:$B,C$4)+SUMIFS('BSE - Other Index Options'!$M:$M,'BSE - Other Index Options'!$C:$C,$A105,'BSE - Other Index Options'!$B:$B,C$4)=0,"",SUMIFS('NSE - NIFTY Index Options'!$M:$M,'NSE - NIFTY Index Options'!$C:$C,$A105,'NSE - NIFTY Index Options'!$B:$B,C$4)+SUMIFS('NSE - Other Index Options'!$M:$M,'NSE - Other Index Options'!$C:$C,$A105,'NSE - Other Index Options'!$B:$B,C$4)+SUMIFS('BSE - SENSEX Index Options'!$M:$M,'BSE - SENSEX Index Options'!$C:$C,$A105,'BSE - SENSEX Index Options'!$B:$B,C$4)+SUMIFS('BSE - Other Index Options'!$M:$M,'BSE - Other Index Options'!$C:$C,$A105,'BSE - Other Index Options'!$B:$B,C$4))</f>
        <v/>
      </c>
      <c r="D105" s="26">
        <f>IF(SUMIFS('NSE - NIFTY Index Options'!$M:$M,'NSE - NIFTY Index Options'!$C:$C,$A105,'NSE - NIFTY Index Options'!$B:$B,D$4)+SUMIFS('NSE - Other Index Options'!$M:$M,'NSE - Other Index Options'!$C:$C,$A105,'NSE - Other Index Options'!$B:$B,D$4)+SUMIFS('BSE - SENSEX Index Options'!$M:$M,'BSE - SENSEX Index Options'!$C:$C,$A105,'BSE - SENSEX Index Options'!$B:$B,D$4)+SUMIFS('BSE - Other Index Options'!$M:$M,'BSE - Other Index Options'!$C:$C,$A105,'BSE - Other Index Options'!$B:$B,D$4)=0,"",SUMIFS('NSE - NIFTY Index Options'!$M:$M,'NSE - NIFTY Index Options'!$C:$C,$A105,'NSE - NIFTY Index Options'!$B:$B,D$4)+SUMIFS('NSE - Other Index Options'!$M:$M,'NSE - Other Index Options'!$C:$C,$A105,'NSE - Other Index Options'!$B:$B,D$4)+SUMIFS('BSE - SENSEX Index Options'!$M:$M,'BSE - SENSEX Index Options'!$C:$C,$A105,'BSE - SENSEX Index Options'!$B:$B,D$4)+SUMIFS('BSE - Other Index Options'!$M:$M,'BSE - Other Index Options'!$C:$C,$A105,'BSE - Other Index Options'!$B:$B,D$4))</f>
        <v/>
      </c>
      <c r="E105" s="26">
        <f>IF(SUMIFS('NSE - NIFTY Index Options'!$M:$M,'NSE - NIFTY Index Options'!$C:$C,$A105,'NSE - NIFTY Index Options'!$B:$B,E$4)+SUMIFS('NSE - Other Index Options'!$M:$M,'NSE - Other Index Options'!$C:$C,$A105,'NSE - Other Index Options'!$B:$B,E$4)+SUMIFS('BSE - SENSEX Index Options'!$M:$M,'BSE - SENSEX Index Options'!$C:$C,$A105,'BSE - SENSEX Index Options'!$B:$B,E$4)+SUMIFS('BSE - Other Index Options'!$M:$M,'BSE - Other Index Options'!$C:$C,$A105,'BSE - Other Index Options'!$B:$B,E$4)=0,"",SUMIFS('NSE - NIFTY Index Options'!$M:$M,'NSE - NIFTY Index Options'!$C:$C,$A105,'NSE - NIFTY Index Options'!$B:$B,E$4)+SUMIFS('NSE - Other Index Options'!$M:$M,'NSE - Other Index Options'!$C:$C,$A105,'NSE - Other Index Options'!$B:$B,E$4)+SUMIFS('BSE - SENSEX Index Options'!$M:$M,'BSE - SENSEX Index Options'!$C:$C,$A105,'BSE - SENSEX Index Options'!$B:$B,E$4)+SUMIFS('BSE - Other Index Options'!$M:$M,'BSE - Other Index Options'!$C:$C,$A105,'BSE - Other Index Options'!$B:$B,E$4))</f>
        <v/>
      </c>
      <c r="F105" s="26">
        <f>IF(SUMIFS('NSE - NIFTY Index Options'!$M:$M,'NSE - NIFTY Index Options'!$C:$C,$A105,'NSE - NIFTY Index Options'!$B:$B,F$4)+SUMIFS('NSE - Other Index Options'!$M:$M,'NSE - Other Index Options'!$C:$C,$A105,'NSE - Other Index Options'!$B:$B,F$4)+SUMIFS('BSE - SENSEX Index Options'!$M:$M,'BSE - SENSEX Index Options'!$C:$C,$A105,'BSE - SENSEX Index Options'!$B:$B,F$4)+SUMIFS('BSE - Other Index Options'!$M:$M,'BSE - Other Index Options'!$C:$C,$A105,'BSE - Other Index Options'!$B:$B,F$4)=0,"",SUMIFS('NSE - NIFTY Index Options'!$M:$M,'NSE - NIFTY Index Options'!$C:$C,$A105,'NSE - NIFTY Index Options'!$B:$B,F$4)+SUMIFS('NSE - Other Index Options'!$M:$M,'NSE - Other Index Options'!$C:$C,$A105,'NSE - Other Index Options'!$B:$B,F$4)+SUMIFS('BSE - SENSEX Index Options'!$M:$M,'BSE - SENSEX Index Options'!$C:$C,$A105,'BSE - SENSEX Index Options'!$B:$B,F$4)+SUMIFS('BSE - Other Index Options'!$M:$M,'BSE - Other Index Options'!$C:$C,$A105,'BSE - Other Index Options'!$B:$B,F$4))</f>
        <v/>
      </c>
      <c r="G105" s="26">
        <f>IF(SUMIFS('NSE - NIFTY Index Options'!$M:$M,'NSE - NIFTY Index Options'!$C:$C,$A105,'NSE - NIFTY Index Options'!$B:$B,G$4)+SUMIFS('NSE - Other Index Options'!$M:$M,'NSE - Other Index Options'!$C:$C,$A105,'NSE - Other Index Options'!$B:$B,G$4)+SUMIFS('BSE - SENSEX Index Options'!$M:$M,'BSE - SENSEX Index Options'!$C:$C,$A105,'BSE - SENSEX Index Options'!$B:$B,G$4)+SUMIFS('BSE - Other Index Options'!$M:$M,'BSE - Other Index Options'!$C:$C,$A105,'BSE - Other Index Options'!$B:$B,G$4)=0,"",SUMIFS('NSE - NIFTY Index Options'!$M:$M,'NSE - NIFTY Index Options'!$C:$C,$A105,'NSE - NIFTY Index Options'!$B:$B,G$4)+SUMIFS('NSE - Other Index Options'!$M:$M,'NSE - Other Index Options'!$C:$C,$A105,'NSE - Other Index Options'!$B:$B,G$4)+SUMIFS('BSE - SENSEX Index Options'!$M:$M,'BSE - SENSEX Index Options'!$C:$C,$A105,'BSE - SENSEX Index Options'!$B:$B,G$4)+SUMIFS('BSE - Other Index Options'!$M:$M,'BSE - Other Index Options'!$C:$C,$A105,'BSE - Other Index Options'!$B:$B,G$4))</f>
        <v/>
      </c>
      <c r="H105" s="26">
        <f>IF(SUM(B105:G105)=0,"",SUM(B105:G105))</f>
        <v/>
      </c>
    </row>
    <row r="106" hidden="1" outlineLevel="1">
      <c r="A106" t="inlineStr">
        <is>
          <t>Week4-May-2027</t>
        </is>
      </c>
      <c r="B106" s="26">
        <f>IF(SUMIFS('NSE - NIFTY Index Options'!$M:$M,'NSE - NIFTY Index Options'!$C:$C,$A106,'NSE - NIFTY Index Options'!$B:$B,B$4)+SUMIFS('NSE - Other Index Options'!$M:$M,'NSE - Other Index Options'!$C:$C,$A106,'NSE - Other Index Options'!$B:$B,B$4)+SUMIFS('BSE - SENSEX Index Options'!$M:$M,'BSE - SENSEX Index Options'!$C:$C,$A106,'BSE - SENSEX Index Options'!$B:$B,B$4)+SUMIFS('BSE - Other Index Options'!$M:$M,'BSE - Other Index Options'!$C:$C,$A106,'BSE - Other Index Options'!$B:$B,B$4)=0,"",SUMIFS('NSE - NIFTY Index Options'!$M:$M,'NSE - NIFTY Index Options'!$C:$C,$A106,'NSE - NIFTY Index Options'!$B:$B,B$4)+SUMIFS('NSE - Other Index Options'!$M:$M,'NSE - Other Index Options'!$C:$C,$A106,'NSE - Other Index Options'!$B:$B,B$4)+SUMIFS('BSE - SENSEX Index Options'!$M:$M,'BSE - SENSEX Index Options'!$C:$C,$A106,'BSE - SENSEX Index Options'!$B:$B,B$4)+SUMIFS('BSE - Other Index Options'!$M:$M,'BSE - Other Index Options'!$C:$C,$A106,'BSE - Other Index Options'!$B:$B,B$4))</f>
        <v/>
      </c>
      <c r="C106" s="26">
        <f>IF(SUMIFS('NSE - NIFTY Index Options'!$M:$M,'NSE - NIFTY Index Options'!$C:$C,$A106,'NSE - NIFTY Index Options'!$B:$B,C$4)+SUMIFS('NSE - Other Index Options'!$M:$M,'NSE - Other Index Options'!$C:$C,$A106,'NSE - Other Index Options'!$B:$B,C$4)+SUMIFS('BSE - SENSEX Index Options'!$M:$M,'BSE - SENSEX Index Options'!$C:$C,$A106,'BSE - SENSEX Index Options'!$B:$B,C$4)+SUMIFS('BSE - Other Index Options'!$M:$M,'BSE - Other Index Options'!$C:$C,$A106,'BSE - Other Index Options'!$B:$B,C$4)=0,"",SUMIFS('NSE - NIFTY Index Options'!$M:$M,'NSE - NIFTY Index Options'!$C:$C,$A106,'NSE - NIFTY Index Options'!$B:$B,C$4)+SUMIFS('NSE - Other Index Options'!$M:$M,'NSE - Other Index Options'!$C:$C,$A106,'NSE - Other Index Options'!$B:$B,C$4)+SUMIFS('BSE - SENSEX Index Options'!$M:$M,'BSE - SENSEX Index Options'!$C:$C,$A106,'BSE - SENSEX Index Options'!$B:$B,C$4)+SUMIFS('BSE - Other Index Options'!$M:$M,'BSE - Other Index Options'!$C:$C,$A106,'BSE - Other Index Options'!$B:$B,C$4))</f>
        <v/>
      </c>
      <c r="D106" s="26">
        <f>IF(SUMIFS('NSE - NIFTY Index Options'!$M:$M,'NSE - NIFTY Index Options'!$C:$C,$A106,'NSE - NIFTY Index Options'!$B:$B,D$4)+SUMIFS('NSE - Other Index Options'!$M:$M,'NSE - Other Index Options'!$C:$C,$A106,'NSE - Other Index Options'!$B:$B,D$4)+SUMIFS('BSE - SENSEX Index Options'!$M:$M,'BSE - SENSEX Index Options'!$C:$C,$A106,'BSE - SENSEX Index Options'!$B:$B,D$4)+SUMIFS('BSE - Other Index Options'!$M:$M,'BSE - Other Index Options'!$C:$C,$A106,'BSE - Other Index Options'!$B:$B,D$4)=0,"",SUMIFS('NSE - NIFTY Index Options'!$M:$M,'NSE - NIFTY Index Options'!$C:$C,$A106,'NSE - NIFTY Index Options'!$B:$B,D$4)+SUMIFS('NSE - Other Index Options'!$M:$M,'NSE - Other Index Options'!$C:$C,$A106,'NSE - Other Index Options'!$B:$B,D$4)+SUMIFS('BSE - SENSEX Index Options'!$M:$M,'BSE - SENSEX Index Options'!$C:$C,$A106,'BSE - SENSEX Index Options'!$B:$B,D$4)+SUMIFS('BSE - Other Index Options'!$M:$M,'BSE - Other Index Options'!$C:$C,$A106,'BSE - Other Index Options'!$B:$B,D$4))</f>
        <v/>
      </c>
      <c r="E106" s="26">
        <f>IF(SUMIFS('NSE - NIFTY Index Options'!$M:$M,'NSE - NIFTY Index Options'!$C:$C,$A106,'NSE - NIFTY Index Options'!$B:$B,E$4)+SUMIFS('NSE - Other Index Options'!$M:$M,'NSE - Other Index Options'!$C:$C,$A106,'NSE - Other Index Options'!$B:$B,E$4)+SUMIFS('BSE - SENSEX Index Options'!$M:$M,'BSE - SENSEX Index Options'!$C:$C,$A106,'BSE - SENSEX Index Options'!$B:$B,E$4)+SUMIFS('BSE - Other Index Options'!$M:$M,'BSE - Other Index Options'!$C:$C,$A106,'BSE - Other Index Options'!$B:$B,E$4)=0,"",SUMIFS('NSE - NIFTY Index Options'!$M:$M,'NSE - NIFTY Index Options'!$C:$C,$A106,'NSE - NIFTY Index Options'!$B:$B,E$4)+SUMIFS('NSE - Other Index Options'!$M:$M,'NSE - Other Index Options'!$C:$C,$A106,'NSE - Other Index Options'!$B:$B,E$4)+SUMIFS('BSE - SENSEX Index Options'!$M:$M,'BSE - SENSEX Index Options'!$C:$C,$A106,'BSE - SENSEX Index Options'!$B:$B,E$4)+SUMIFS('BSE - Other Index Options'!$M:$M,'BSE - Other Index Options'!$C:$C,$A106,'BSE - Other Index Options'!$B:$B,E$4))</f>
        <v/>
      </c>
      <c r="F106" s="26">
        <f>IF(SUMIFS('NSE - NIFTY Index Options'!$M:$M,'NSE - NIFTY Index Options'!$C:$C,$A106,'NSE - NIFTY Index Options'!$B:$B,F$4)+SUMIFS('NSE - Other Index Options'!$M:$M,'NSE - Other Index Options'!$C:$C,$A106,'NSE - Other Index Options'!$B:$B,F$4)+SUMIFS('BSE - SENSEX Index Options'!$M:$M,'BSE - SENSEX Index Options'!$C:$C,$A106,'BSE - SENSEX Index Options'!$B:$B,F$4)+SUMIFS('BSE - Other Index Options'!$M:$M,'BSE - Other Index Options'!$C:$C,$A106,'BSE - Other Index Options'!$B:$B,F$4)=0,"",SUMIFS('NSE - NIFTY Index Options'!$M:$M,'NSE - NIFTY Index Options'!$C:$C,$A106,'NSE - NIFTY Index Options'!$B:$B,F$4)+SUMIFS('NSE - Other Index Options'!$M:$M,'NSE - Other Index Options'!$C:$C,$A106,'NSE - Other Index Options'!$B:$B,F$4)+SUMIFS('BSE - SENSEX Index Options'!$M:$M,'BSE - SENSEX Index Options'!$C:$C,$A106,'BSE - SENSEX Index Options'!$B:$B,F$4)+SUMIFS('BSE - Other Index Options'!$M:$M,'BSE - Other Index Options'!$C:$C,$A106,'BSE - Other Index Options'!$B:$B,F$4))</f>
        <v/>
      </c>
      <c r="G106" s="26">
        <f>IF(SUMIFS('NSE - NIFTY Index Options'!$M:$M,'NSE - NIFTY Index Options'!$C:$C,$A106,'NSE - NIFTY Index Options'!$B:$B,G$4)+SUMIFS('NSE - Other Index Options'!$M:$M,'NSE - Other Index Options'!$C:$C,$A106,'NSE - Other Index Options'!$B:$B,G$4)+SUMIFS('BSE - SENSEX Index Options'!$M:$M,'BSE - SENSEX Index Options'!$C:$C,$A106,'BSE - SENSEX Index Options'!$B:$B,G$4)+SUMIFS('BSE - Other Index Options'!$M:$M,'BSE - Other Index Options'!$C:$C,$A106,'BSE - Other Index Options'!$B:$B,G$4)=0,"",SUMIFS('NSE - NIFTY Index Options'!$M:$M,'NSE - NIFTY Index Options'!$C:$C,$A106,'NSE - NIFTY Index Options'!$B:$B,G$4)+SUMIFS('NSE - Other Index Options'!$M:$M,'NSE - Other Index Options'!$C:$C,$A106,'NSE - Other Index Options'!$B:$B,G$4)+SUMIFS('BSE - SENSEX Index Options'!$M:$M,'BSE - SENSEX Index Options'!$C:$C,$A106,'BSE - SENSEX Index Options'!$B:$B,G$4)+SUMIFS('BSE - Other Index Options'!$M:$M,'BSE - Other Index Options'!$C:$C,$A106,'BSE - Other Index Options'!$B:$B,G$4))</f>
        <v/>
      </c>
      <c r="H106" s="26">
        <f>IF(SUM(B106:G106)=0,"",SUM(B106:G106))</f>
        <v/>
      </c>
    </row>
    <row r="107" hidden="1" outlineLevel="1">
      <c r="A107" t="inlineStr">
        <is>
          <t>Week5-May-2027</t>
        </is>
      </c>
      <c r="B107" s="26">
        <f>IF(SUMIFS('NSE - NIFTY Index Options'!$M:$M,'NSE - NIFTY Index Options'!$C:$C,$A107,'NSE - NIFTY Index Options'!$B:$B,B$4)+SUMIFS('NSE - Other Index Options'!$M:$M,'NSE - Other Index Options'!$C:$C,$A107,'NSE - Other Index Options'!$B:$B,B$4)+SUMIFS('BSE - SENSEX Index Options'!$M:$M,'BSE - SENSEX Index Options'!$C:$C,$A107,'BSE - SENSEX Index Options'!$B:$B,B$4)+SUMIFS('BSE - Other Index Options'!$M:$M,'BSE - Other Index Options'!$C:$C,$A107,'BSE - Other Index Options'!$B:$B,B$4)=0,"",SUMIFS('NSE - NIFTY Index Options'!$M:$M,'NSE - NIFTY Index Options'!$C:$C,$A107,'NSE - NIFTY Index Options'!$B:$B,B$4)+SUMIFS('NSE - Other Index Options'!$M:$M,'NSE - Other Index Options'!$C:$C,$A107,'NSE - Other Index Options'!$B:$B,B$4)+SUMIFS('BSE - SENSEX Index Options'!$M:$M,'BSE - SENSEX Index Options'!$C:$C,$A107,'BSE - SENSEX Index Options'!$B:$B,B$4)+SUMIFS('BSE - Other Index Options'!$M:$M,'BSE - Other Index Options'!$C:$C,$A107,'BSE - Other Index Options'!$B:$B,B$4))</f>
        <v/>
      </c>
      <c r="C107" s="26">
        <f>IF(SUMIFS('NSE - NIFTY Index Options'!$M:$M,'NSE - NIFTY Index Options'!$C:$C,$A107,'NSE - NIFTY Index Options'!$B:$B,C$4)+SUMIFS('NSE - Other Index Options'!$M:$M,'NSE - Other Index Options'!$C:$C,$A107,'NSE - Other Index Options'!$B:$B,C$4)+SUMIFS('BSE - SENSEX Index Options'!$M:$M,'BSE - SENSEX Index Options'!$C:$C,$A107,'BSE - SENSEX Index Options'!$B:$B,C$4)+SUMIFS('BSE - Other Index Options'!$M:$M,'BSE - Other Index Options'!$C:$C,$A107,'BSE - Other Index Options'!$B:$B,C$4)=0,"",SUMIFS('NSE - NIFTY Index Options'!$M:$M,'NSE - NIFTY Index Options'!$C:$C,$A107,'NSE - NIFTY Index Options'!$B:$B,C$4)+SUMIFS('NSE - Other Index Options'!$M:$M,'NSE - Other Index Options'!$C:$C,$A107,'NSE - Other Index Options'!$B:$B,C$4)+SUMIFS('BSE - SENSEX Index Options'!$M:$M,'BSE - SENSEX Index Options'!$C:$C,$A107,'BSE - SENSEX Index Options'!$B:$B,C$4)+SUMIFS('BSE - Other Index Options'!$M:$M,'BSE - Other Index Options'!$C:$C,$A107,'BSE - Other Index Options'!$B:$B,C$4))</f>
        <v/>
      </c>
      <c r="D107" s="26">
        <f>IF(SUMIFS('NSE - NIFTY Index Options'!$M:$M,'NSE - NIFTY Index Options'!$C:$C,$A107,'NSE - NIFTY Index Options'!$B:$B,D$4)+SUMIFS('NSE - Other Index Options'!$M:$M,'NSE - Other Index Options'!$C:$C,$A107,'NSE - Other Index Options'!$B:$B,D$4)+SUMIFS('BSE - SENSEX Index Options'!$M:$M,'BSE - SENSEX Index Options'!$C:$C,$A107,'BSE - SENSEX Index Options'!$B:$B,D$4)+SUMIFS('BSE - Other Index Options'!$M:$M,'BSE - Other Index Options'!$C:$C,$A107,'BSE - Other Index Options'!$B:$B,D$4)=0,"",SUMIFS('NSE - NIFTY Index Options'!$M:$M,'NSE - NIFTY Index Options'!$C:$C,$A107,'NSE - NIFTY Index Options'!$B:$B,D$4)+SUMIFS('NSE - Other Index Options'!$M:$M,'NSE - Other Index Options'!$C:$C,$A107,'NSE - Other Index Options'!$B:$B,D$4)+SUMIFS('BSE - SENSEX Index Options'!$M:$M,'BSE - SENSEX Index Options'!$C:$C,$A107,'BSE - SENSEX Index Options'!$B:$B,D$4)+SUMIFS('BSE - Other Index Options'!$M:$M,'BSE - Other Index Options'!$C:$C,$A107,'BSE - Other Index Options'!$B:$B,D$4))</f>
        <v/>
      </c>
      <c r="E107" s="26">
        <f>IF(SUMIFS('NSE - NIFTY Index Options'!$M:$M,'NSE - NIFTY Index Options'!$C:$C,$A107,'NSE - NIFTY Index Options'!$B:$B,E$4)+SUMIFS('NSE - Other Index Options'!$M:$M,'NSE - Other Index Options'!$C:$C,$A107,'NSE - Other Index Options'!$B:$B,E$4)+SUMIFS('BSE - SENSEX Index Options'!$M:$M,'BSE - SENSEX Index Options'!$C:$C,$A107,'BSE - SENSEX Index Options'!$B:$B,E$4)+SUMIFS('BSE - Other Index Options'!$M:$M,'BSE - Other Index Options'!$C:$C,$A107,'BSE - Other Index Options'!$B:$B,E$4)=0,"",SUMIFS('NSE - NIFTY Index Options'!$M:$M,'NSE - NIFTY Index Options'!$C:$C,$A107,'NSE - NIFTY Index Options'!$B:$B,E$4)+SUMIFS('NSE - Other Index Options'!$M:$M,'NSE - Other Index Options'!$C:$C,$A107,'NSE - Other Index Options'!$B:$B,E$4)+SUMIFS('BSE - SENSEX Index Options'!$M:$M,'BSE - SENSEX Index Options'!$C:$C,$A107,'BSE - SENSEX Index Options'!$B:$B,E$4)+SUMIFS('BSE - Other Index Options'!$M:$M,'BSE - Other Index Options'!$C:$C,$A107,'BSE - Other Index Options'!$B:$B,E$4))</f>
        <v/>
      </c>
      <c r="F107" s="26">
        <f>IF(SUMIFS('NSE - NIFTY Index Options'!$M:$M,'NSE - NIFTY Index Options'!$C:$C,$A107,'NSE - NIFTY Index Options'!$B:$B,F$4)+SUMIFS('NSE - Other Index Options'!$M:$M,'NSE - Other Index Options'!$C:$C,$A107,'NSE - Other Index Options'!$B:$B,F$4)+SUMIFS('BSE - SENSEX Index Options'!$M:$M,'BSE - SENSEX Index Options'!$C:$C,$A107,'BSE - SENSEX Index Options'!$B:$B,F$4)+SUMIFS('BSE - Other Index Options'!$M:$M,'BSE - Other Index Options'!$C:$C,$A107,'BSE - Other Index Options'!$B:$B,F$4)=0,"",SUMIFS('NSE - NIFTY Index Options'!$M:$M,'NSE - NIFTY Index Options'!$C:$C,$A107,'NSE - NIFTY Index Options'!$B:$B,F$4)+SUMIFS('NSE - Other Index Options'!$M:$M,'NSE - Other Index Options'!$C:$C,$A107,'NSE - Other Index Options'!$B:$B,F$4)+SUMIFS('BSE - SENSEX Index Options'!$M:$M,'BSE - SENSEX Index Options'!$C:$C,$A107,'BSE - SENSEX Index Options'!$B:$B,F$4)+SUMIFS('BSE - Other Index Options'!$M:$M,'BSE - Other Index Options'!$C:$C,$A107,'BSE - Other Index Options'!$B:$B,F$4))</f>
        <v/>
      </c>
      <c r="G107" s="26">
        <f>IF(SUMIFS('NSE - NIFTY Index Options'!$M:$M,'NSE - NIFTY Index Options'!$C:$C,$A107,'NSE - NIFTY Index Options'!$B:$B,G$4)+SUMIFS('NSE - Other Index Options'!$M:$M,'NSE - Other Index Options'!$C:$C,$A107,'NSE - Other Index Options'!$B:$B,G$4)+SUMIFS('BSE - SENSEX Index Options'!$M:$M,'BSE - SENSEX Index Options'!$C:$C,$A107,'BSE - SENSEX Index Options'!$B:$B,G$4)+SUMIFS('BSE - Other Index Options'!$M:$M,'BSE - Other Index Options'!$C:$C,$A107,'BSE - Other Index Options'!$B:$B,G$4)=0,"",SUMIFS('NSE - NIFTY Index Options'!$M:$M,'NSE - NIFTY Index Options'!$C:$C,$A107,'NSE - NIFTY Index Options'!$B:$B,G$4)+SUMIFS('NSE - Other Index Options'!$M:$M,'NSE - Other Index Options'!$C:$C,$A107,'NSE - Other Index Options'!$B:$B,G$4)+SUMIFS('BSE - SENSEX Index Options'!$M:$M,'BSE - SENSEX Index Options'!$C:$C,$A107,'BSE - SENSEX Index Options'!$B:$B,G$4)+SUMIFS('BSE - Other Index Options'!$M:$M,'BSE - Other Index Options'!$C:$C,$A107,'BSE - Other Index Options'!$B:$B,G$4))</f>
        <v/>
      </c>
      <c r="H107" s="26">
        <f>IF(SUM(B107:G107)=0,"",SUM(B107:G107))</f>
        <v/>
      </c>
    </row>
    <row r="108" hidden="1" outlineLevel="1">
      <c r="A108" t="inlineStr">
        <is>
          <t>Week1-Jun-2027</t>
        </is>
      </c>
      <c r="B108" s="26">
        <f>IF(SUMIFS('NSE - NIFTY Index Options'!$M:$M,'NSE - NIFTY Index Options'!$C:$C,$A108,'NSE - NIFTY Index Options'!$B:$B,B$4)+SUMIFS('NSE - Other Index Options'!$M:$M,'NSE - Other Index Options'!$C:$C,$A108,'NSE - Other Index Options'!$B:$B,B$4)+SUMIFS('BSE - SENSEX Index Options'!$M:$M,'BSE - SENSEX Index Options'!$C:$C,$A108,'BSE - SENSEX Index Options'!$B:$B,B$4)+SUMIFS('BSE - Other Index Options'!$M:$M,'BSE - Other Index Options'!$C:$C,$A108,'BSE - Other Index Options'!$B:$B,B$4)=0,"",SUMIFS('NSE - NIFTY Index Options'!$M:$M,'NSE - NIFTY Index Options'!$C:$C,$A108,'NSE - NIFTY Index Options'!$B:$B,B$4)+SUMIFS('NSE - Other Index Options'!$M:$M,'NSE - Other Index Options'!$C:$C,$A108,'NSE - Other Index Options'!$B:$B,B$4)+SUMIFS('BSE - SENSEX Index Options'!$M:$M,'BSE - SENSEX Index Options'!$C:$C,$A108,'BSE - SENSEX Index Options'!$B:$B,B$4)+SUMIFS('BSE - Other Index Options'!$M:$M,'BSE - Other Index Options'!$C:$C,$A108,'BSE - Other Index Options'!$B:$B,B$4))</f>
        <v/>
      </c>
      <c r="C108" s="26">
        <f>IF(SUMIFS('NSE - NIFTY Index Options'!$M:$M,'NSE - NIFTY Index Options'!$C:$C,$A108,'NSE - NIFTY Index Options'!$B:$B,C$4)+SUMIFS('NSE - Other Index Options'!$M:$M,'NSE - Other Index Options'!$C:$C,$A108,'NSE - Other Index Options'!$B:$B,C$4)+SUMIFS('BSE - SENSEX Index Options'!$M:$M,'BSE - SENSEX Index Options'!$C:$C,$A108,'BSE - SENSEX Index Options'!$B:$B,C$4)+SUMIFS('BSE - Other Index Options'!$M:$M,'BSE - Other Index Options'!$C:$C,$A108,'BSE - Other Index Options'!$B:$B,C$4)=0,"",SUMIFS('NSE - NIFTY Index Options'!$M:$M,'NSE - NIFTY Index Options'!$C:$C,$A108,'NSE - NIFTY Index Options'!$B:$B,C$4)+SUMIFS('NSE - Other Index Options'!$M:$M,'NSE - Other Index Options'!$C:$C,$A108,'NSE - Other Index Options'!$B:$B,C$4)+SUMIFS('BSE - SENSEX Index Options'!$M:$M,'BSE - SENSEX Index Options'!$C:$C,$A108,'BSE - SENSEX Index Options'!$B:$B,C$4)+SUMIFS('BSE - Other Index Options'!$M:$M,'BSE - Other Index Options'!$C:$C,$A108,'BSE - Other Index Options'!$B:$B,C$4))</f>
        <v/>
      </c>
      <c r="D108" s="26">
        <f>IF(SUMIFS('NSE - NIFTY Index Options'!$M:$M,'NSE - NIFTY Index Options'!$C:$C,$A108,'NSE - NIFTY Index Options'!$B:$B,D$4)+SUMIFS('NSE - Other Index Options'!$M:$M,'NSE - Other Index Options'!$C:$C,$A108,'NSE - Other Index Options'!$B:$B,D$4)+SUMIFS('BSE - SENSEX Index Options'!$M:$M,'BSE - SENSEX Index Options'!$C:$C,$A108,'BSE - SENSEX Index Options'!$B:$B,D$4)+SUMIFS('BSE - Other Index Options'!$M:$M,'BSE - Other Index Options'!$C:$C,$A108,'BSE - Other Index Options'!$B:$B,D$4)=0,"",SUMIFS('NSE - NIFTY Index Options'!$M:$M,'NSE - NIFTY Index Options'!$C:$C,$A108,'NSE - NIFTY Index Options'!$B:$B,D$4)+SUMIFS('NSE - Other Index Options'!$M:$M,'NSE - Other Index Options'!$C:$C,$A108,'NSE - Other Index Options'!$B:$B,D$4)+SUMIFS('BSE - SENSEX Index Options'!$M:$M,'BSE - SENSEX Index Options'!$C:$C,$A108,'BSE - SENSEX Index Options'!$B:$B,D$4)+SUMIFS('BSE - Other Index Options'!$M:$M,'BSE - Other Index Options'!$C:$C,$A108,'BSE - Other Index Options'!$B:$B,D$4))</f>
        <v/>
      </c>
      <c r="E108" s="26">
        <f>IF(SUMIFS('NSE - NIFTY Index Options'!$M:$M,'NSE - NIFTY Index Options'!$C:$C,$A108,'NSE - NIFTY Index Options'!$B:$B,E$4)+SUMIFS('NSE - Other Index Options'!$M:$M,'NSE - Other Index Options'!$C:$C,$A108,'NSE - Other Index Options'!$B:$B,E$4)+SUMIFS('BSE - SENSEX Index Options'!$M:$M,'BSE - SENSEX Index Options'!$C:$C,$A108,'BSE - SENSEX Index Options'!$B:$B,E$4)+SUMIFS('BSE - Other Index Options'!$M:$M,'BSE - Other Index Options'!$C:$C,$A108,'BSE - Other Index Options'!$B:$B,E$4)=0,"",SUMIFS('NSE - NIFTY Index Options'!$M:$M,'NSE - NIFTY Index Options'!$C:$C,$A108,'NSE - NIFTY Index Options'!$B:$B,E$4)+SUMIFS('NSE - Other Index Options'!$M:$M,'NSE - Other Index Options'!$C:$C,$A108,'NSE - Other Index Options'!$B:$B,E$4)+SUMIFS('BSE - SENSEX Index Options'!$M:$M,'BSE - SENSEX Index Options'!$C:$C,$A108,'BSE - SENSEX Index Options'!$B:$B,E$4)+SUMIFS('BSE - Other Index Options'!$M:$M,'BSE - Other Index Options'!$C:$C,$A108,'BSE - Other Index Options'!$B:$B,E$4))</f>
        <v/>
      </c>
      <c r="F108" s="26">
        <f>IF(SUMIFS('NSE - NIFTY Index Options'!$M:$M,'NSE - NIFTY Index Options'!$C:$C,$A108,'NSE - NIFTY Index Options'!$B:$B,F$4)+SUMIFS('NSE - Other Index Options'!$M:$M,'NSE - Other Index Options'!$C:$C,$A108,'NSE - Other Index Options'!$B:$B,F$4)+SUMIFS('BSE - SENSEX Index Options'!$M:$M,'BSE - SENSEX Index Options'!$C:$C,$A108,'BSE - SENSEX Index Options'!$B:$B,F$4)+SUMIFS('BSE - Other Index Options'!$M:$M,'BSE - Other Index Options'!$C:$C,$A108,'BSE - Other Index Options'!$B:$B,F$4)=0,"",SUMIFS('NSE - NIFTY Index Options'!$M:$M,'NSE - NIFTY Index Options'!$C:$C,$A108,'NSE - NIFTY Index Options'!$B:$B,F$4)+SUMIFS('NSE - Other Index Options'!$M:$M,'NSE - Other Index Options'!$C:$C,$A108,'NSE - Other Index Options'!$B:$B,F$4)+SUMIFS('BSE - SENSEX Index Options'!$M:$M,'BSE - SENSEX Index Options'!$C:$C,$A108,'BSE - SENSEX Index Options'!$B:$B,F$4)+SUMIFS('BSE - Other Index Options'!$M:$M,'BSE - Other Index Options'!$C:$C,$A108,'BSE - Other Index Options'!$B:$B,F$4))</f>
        <v/>
      </c>
      <c r="G108" s="26">
        <f>IF(SUMIFS('NSE - NIFTY Index Options'!$M:$M,'NSE - NIFTY Index Options'!$C:$C,$A108,'NSE - NIFTY Index Options'!$B:$B,G$4)+SUMIFS('NSE - Other Index Options'!$M:$M,'NSE - Other Index Options'!$C:$C,$A108,'NSE - Other Index Options'!$B:$B,G$4)+SUMIFS('BSE - SENSEX Index Options'!$M:$M,'BSE - SENSEX Index Options'!$C:$C,$A108,'BSE - SENSEX Index Options'!$B:$B,G$4)+SUMIFS('BSE - Other Index Options'!$M:$M,'BSE - Other Index Options'!$C:$C,$A108,'BSE - Other Index Options'!$B:$B,G$4)=0,"",SUMIFS('NSE - NIFTY Index Options'!$M:$M,'NSE - NIFTY Index Options'!$C:$C,$A108,'NSE - NIFTY Index Options'!$B:$B,G$4)+SUMIFS('NSE - Other Index Options'!$M:$M,'NSE - Other Index Options'!$C:$C,$A108,'NSE - Other Index Options'!$B:$B,G$4)+SUMIFS('BSE - SENSEX Index Options'!$M:$M,'BSE - SENSEX Index Options'!$C:$C,$A108,'BSE - SENSEX Index Options'!$B:$B,G$4)+SUMIFS('BSE - Other Index Options'!$M:$M,'BSE - Other Index Options'!$C:$C,$A108,'BSE - Other Index Options'!$B:$B,G$4))</f>
        <v/>
      </c>
      <c r="H108" s="26">
        <f>IF(SUM(B108:G108)=0,"",SUM(B108:G108))</f>
        <v/>
      </c>
    </row>
    <row r="109" hidden="1" outlineLevel="1">
      <c r="A109" t="inlineStr">
        <is>
          <t>Week2-Jun-2027</t>
        </is>
      </c>
      <c r="B109" s="26">
        <f>IF(SUMIFS('NSE - NIFTY Index Options'!$M:$M,'NSE - NIFTY Index Options'!$C:$C,$A109,'NSE - NIFTY Index Options'!$B:$B,B$4)+SUMIFS('NSE - Other Index Options'!$M:$M,'NSE - Other Index Options'!$C:$C,$A109,'NSE - Other Index Options'!$B:$B,B$4)+SUMIFS('BSE - SENSEX Index Options'!$M:$M,'BSE - SENSEX Index Options'!$C:$C,$A109,'BSE - SENSEX Index Options'!$B:$B,B$4)+SUMIFS('BSE - Other Index Options'!$M:$M,'BSE - Other Index Options'!$C:$C,$A109,'BSE - Other Index Options'!$B:$B,B$4)=0,"",SUMIFS('NSE - NIFTY Index Options'!$M:$M,'NSE - NIFTY Index Options'!$C:$C,$A109,'NSE - NIFTY Index Options'!$B:$B,B$4)+SUMIFS('NSE - Other Index Options'!$M:$M,'NSE - Other Index Options'!$C:$C,$A109,'NSE - Other Index Options'!$B:$B,B$4)+SUMIFS('BSE - SENSEX Index Options'!$M:$M,'BSE - SENSEX Index Options'!$C:$C,$A109,'BSE - SENSEX Index Options'!$B:$B,B$4)+SUMIFS('BSE - Other Index Options'!$M:$M,'BSE - Other Index Options'!$C:$C,$A109,'BSE - Other Index Options'!$B:$B,B$4))</f>
        <v/>
      </c>
      <c r="C109" s="26">
        <f>IF(SUMIFS('NSE - NIFTY Index Options'!$M:$M,'NSE - NIFTY Index Options'!$C:$C,$A109,'NSE - NIFTY Index Options'!$B:$B,C$4)+SUMIFS('NSE - Other Index Options'!$M:$M,'NSE - Other Index Options'!$C:$C,$A109,'NSE - Other Index Options'!$B:$B,C$4)+SUMIFS('BSE - SENSEX Index Options'!$M:$M,'BSE - SENSEX Index Options'!$C:$C,$A109,'BSE - SENSEX Index Options'!$B:$B,C$4)+SUMIFS('BSE - Other Index Options'!$M:$M,'BSE - Other Index Options'!$C:$C,$A109,'BSE - Other Index Options'!$B:$B,C$4)=0,"",SUMIFS('NSE - NIFTY Index Options'!$M:$M,'NSE - NIFTY Index Options'!$C:$C,$A109,'NSE - NIFTY Index Options'!$B:$B,C$4)+SUMIFS('NSE - Other Index Options'!$M:$M,'NSE - Other Index Options'!$C:$C,$A109,'NSE - Other Index Options'!$B:$B,C$4)+SUMIFS('BSE - SENSEX Index Options'!$M:$M,'BSE - SENSEX Index Options'!$C:$C,$A109,'BSE - SENSEX Index Options'!$B:$B,C$4)+SUMIFS('BSE - Other Index Options'!$M:$M,'BSE - Other Index Options'!$C:$C,$A109,'BSE - Other Index Options'!$B:$B,C$4))</f>
        <v/>
      </c>
      <c r="D109" s="26">
        <f>IF(SUMIFS('NSE - NIFTY Index Options'!$M:$M,'NSE - NIFTY Index Options'!$C:$C,$A109,'NSE - NIFTY Index Options'!$B:$B,D$4)+SUMIFS('NSE - Other Index Options'!$M:$M,'NSE - Other Index Options'!$C:$C,$A109,'NSE - Other Index Options'!$B:$B,D$4)+SUMIFS('BSE - SENSEX Index Options'!$M:$M,'BSE - SENSEX Index Options'!$C:$C,$A109,'BSE - SENSEX Index Options'!$B:$B,D$4)+SUMIFS('BSE - Other Index Options'!$M:$M,'BSE - Other Index Options'!$C:$C,$A109,'BSE - Other Index Options'!$B:$B,D$4)=0,"",SUMIFS('NSE - NIFTY Index Options'!$M:$M,'NSE - NIFTY Index Options'!$C:$C,$A109,'NSE - NIFTY Index Options'!$B:$B,D$4)+SUMIFS('NSE - Other Index Options'!$M:$M,'NSE - Other Index Options'!$C:$C,$A109,'NSE - Other Index Options'!$B:$B,D$4)+SUMIFS('BSE - SENSEX Index Options'!$M:$M,'BSE - SENSEX Index Options'!$C:$C,$A109,'BSE - SENSEX Index Options'!$B:$B,D$4)+SUMIFS('BSE - Other Index Options'!$M:$M,'BSE - Other Index Options'!$C:$C,$A109,'BSE - Other Index Options'!$B:$B,D$4))</f>
        <v/>
      </c>
      <c r="E109" s="26">
        <f>IF(SUMIFS('NSE - NIFTY Index Options'!$M:$M,'NSE - NIFTY Index Options'!$C:$C,$A109,'NSE - NIFTY Index Options'!$B:$B,E$4)+SUMIFS('NSE - Other Index Options'!$M:$M,'NSE - Other Index Options'!$C:$C,$A109,'NSE - Other Index Options'!$B:$B,E$4)+SUMIFS('BSE - SENSEX Index Options'!$M:$M,'BSE - SENSEX Index Options'!$C:$C,$A109,'BSE - SENSEX Index Options'!$B:$B,E$4)+SUMIFS('BSE - Other Index Options'!$M:$M,'BSE - Other Index Options'!$C:$C,$A109,'BSE - Other Index Options'!$B:$B,E$4)=0,"",SUMIFS('NSE - NIFTY Index Options'!$M:$M,'NSE - NIFTY Index Options'!$C:$C,$A109,'NSE - NIFTY Index Options'!$B:$B,E$4)+SUMIFS('NSE - Other Index Options'!$M:$M,'NSE - Other Index Options'!$C:$C,$A109,'NSE - Other Index Options'!$B:$B,E$4)+SUMIFS('BSE - SENSEX Index Options'!$M:$M,'BSE - SENSEX Index Options'!$C:$C,$A109,'BSE - SENSEX Index Options'!$B:$B,E$4)+SUMIFS('BSE - Other Index Options'!$M:$M,'BSE - Other Index Options'!$C:$C,$A109,'BSE - Other Index Options'!$B:$B,E$4))</f>
        <v/>
      </c>
      <c r="F109" s="26">
        <f>IF(SUMIFS('NSE - NIFTY Index Options'!$M:$M,'NSE - NIFTY Index Options'!$C:$C,$A109,'NSE - NIFTY Index Options'!$B:$B,F$4)+SUMIFS('NSE - Other Index Options'!$M:$M,'NSE - Other Index Options'!$C:$C,$A109,'NSE - Other Index Options'!$B:$B,F$4)+SUMIFS('BSE - SENSEX Index Options'!$M:$M,'BSE - SENSEX Index Options'!$C:$C,$A109,'BSE - SENSEX Index Options'!$B:$B,F$4)+SUMIFS('BSE - Other Index Options'!$M:$M,'BSE - Other Index Options'!$C:$C,$A109,'BSE - Other Index Options'!$B:$B,F$4)=0,"",SUMIFS('NSE - NIFTY Index Options'!$M:$M,'NSE - NIFTY Index Options'!$C:$C,$A109,'NSE - NIFTY Index Options'!$B:$B,F$4)+SUMIFS('NSE - Other Index Options'!$M:$M,'NSE - Other Index Options'!$C:$C,$A109,'NSE - Other Index Options'!$B:$B,F$4)+SUMIFS('BSE - SENSEX Index Options'!$M:$M,'BSE - SENSEX Index Options'!$C:$C,$A109,'BSE - SENSEX Index Options'!$B:$B,F$4)+SUMIFS('BSE - Other Index Options'!$M:$M,'BSE - Other Index Options'!$C:$C,$A109,'BSE - Other Index Options'!$B:$B,F$4))</f>
        <v/>
      </c>
      <c r="G109" s="26">
        <f>IF(SUMIFS('NSE - NIFTY Index Options'!$M:$M,'NSE - NIFTY Index Options'!$C:$C,$A109,'NSE - NIFTY Index Options'!$B:$B,G$4)+SUMIFS('NSE - Other Index Options'!$M:$M,'NSE - Other Index Options'!$C:$C,$A109,'NSE - Other Index Options'!$B:$B,G$4)+SUMIFS('BSE - SENSEX Index Options'!$M:$M,'BSE - SENSEX Index Options'!$C:$C,$A109,'BSE - SENSEX Index Options'!$B:$B,G$4)+SUMIFS('BSE - Other Index Options'!$M:$M,'BSE - Other Index Options'!$C:$C,$A109,'BSE - Other Index Options'!$B:$B,G$4)=0,"",SUMIFS('NSE - NIFTY Index Options'!$M:$M,'NSE - NIFTY Index Options'!$C:$C,$A109,'NSE - NIFTY Index Options'!$B:$B,G$4)+SUMIFS('NSE - Other Index Options'!$M:$M,'NSE - Other Index Options'!$C:$C,$A109,'NSE - Other Index Options'!$B:$B,G$4)+SUMIFS('BSE - SENSEX Index Options'!$M:$M,'BSE - SENSEX Index Options'!$C:$C,$A109,'BSE - SENSEX Index Options'!$B:$B,G$4)+SUMIFS('BSE - Other Index Options'!$M:$M,'BSE - Other Index Options'!$C:$C,$A109,'BSE - Other Index Options'!$B:$B,G$4))</f>
        <v/>
      </c>
      <c r="H109" s="26">
        <f>IF(SUM(B109:G109)=0,"",SUM(B109:G109))</f>
        <v/>
      </c>
    </row>
    <row r="110" hidden="1" outlineLevel="1">
      <c r="A110" t="inlineStr">
        <is>
          <t>Week3-Jun-2027</t>
        </is>
      </c>
      <c r="B110" s="26">
        <f>IF(SUMIFS('NSE - NIFTY Index Options'!$M:$M,'NSE - NIFTY Index Options'!$C:$C,$A110,'NSE - NIFTY Index Options'!$B:$B,B$4)+SUMIFS('NSE - Other Index Options'!$M:$M,'NSE - Other Index Options'!$C:$C,$A110,'NSE - Other Index Options'!$B:$B,B$4)+SUMIFS('BSE - SENSEX Index Options'!$M:$M,'BSE - SENSEX Index Options'!$C:$C,$A110,'BSE - SENSEX Index Options'!$B:$B,B$4)+SUMIFS('BSE - Other Index Options'!$M:$M,'BSE - Other Index Options'!$C:$C,$A110,'BSE - Other Index Options'!$B:$B,B$4)=0,"",SUMIFS('NSE - NIFTY Index Options'!$M:$M,'NSE - NIFTY Index Options'!$C:$C,$A110,'NSE - NIFTY Index Options'!$B:$B,B$4)+SUMIFS('NSE - Other Index Options'!$M:$M,'NSE - Other Index Options'!$C:$C,$A110,'NSE - Other Index Options'!$B:$B,B$4)+SUMIFS('BSE - SENSEX Index Options'!$M:$M,'BSE - SENSEX Index Options'!$C:$C,$A110,'BSE - SENSEX Index Options'!$B:$B,B$4)+SUMIFS('BSE - Other Index Options'!$M:$M,'BSE - Other Index Options'!$C:$C,$A110,'BSE - Other Index Options'!$B:$B,B$4))</f>
        <v/>
      </c>
      <c r="C110" s="26">
        <f>IF(SUMIFS('NSE - NIFTY Index Options'!$M:$M,'NSE - NIFTY Index Options'!$C:$C,$A110,'NSE - NIFTY Index Options'!$B:$B,C$4)+SUMIFS('NSE - Other Index Options'!$M:$M,'NSE - Other Index Options'!$C:$C,$A110,'NSE - Other Index Options'!$B:$B,C$4)+SUMIFS('BSE - SENSEX Index Options'!$M:$M,'BSE - SENSEX Index Options'!$C:$C,$A110,'BSE - SENSEX Index Options'!$B:$B,C$4)+SUMIFS('BSE - Other Index Options'!$M:$M,'BSE - Other Index Options'!$C:$C,$A110,'BSE - Other Index Options'!$B:$B,C$4)=0,"",SUMIFS('NSE - NIFTY Index Options'!$M:$M,'NSE - NIFTY Index Options'!$C:$C,$A110,'NSE - NIFTY Index Options'!$B:$B,C$4)+SUMIFS('NSE - Other Index Options'!$M:$M,'NSE - Other Index Options'!$C:$C,$A110,'NSE - Other Index Options'!$B:$B,C$4)+SUMIFS('BSE - SENSEX Index Options'!$M:$M,'BSE - SENSEX Index Options'!$C:$C,$A110,'BSE - SENSEX Index Options'!$B:$B,C$4)+SUMIFS('BSE - Other Index Options'!$M:$M,'BSE - Other Index Options'!$C:$C,$A110,'BSE - Other Index Options'!$B:$B,C$4))</f>
        <v/>
      </c>
      <c r="D110" s="26">
        <f>IF(SUMIFS('NSE - NIFTY Index Options'!$M:$M,'NSE - NIFTY Index Options'!$C:$C,$A110,'NSE - NIFTY Index Options'!$B:$B,D$4)+SUMIFS('NSE - Other Index Options'!$M:$M,'NSE - Other Index Options'!$C:$C,$A110,'NSE - Other Index Options'!$B:$B,D$4)+SUMIFS('BSE - SENSEX Index Options'!$M:$M,'BSE - SENSEX Index Options'!$C:$C,$A110,'BSE - SENSEX Index Options'!$B:$B,D$4)+SUMIFS('BSE - Other Index Options'!$M:$M,'BSE - Other Index Options'!$C:$C,$A110,'BSE - Other Index Options'!$B:$B,D$4)=0,"",SUMIFS('NSE - NIFTY Index Options'!$M:$M,'NSE - NIFTY Index Options'!$C:$C,$A110,'NSE - NIFTY Index Options'!$B:$B,D$4)+SUMIFS('NSE - Other Index Options'!$M:$M,'NSE - Other Index Options'!$C:$C,$A110,'NSE - Other Index Options'!$B:$B,D$4)+SUMIFS('BSE - SENSEX Index Options'!$M:$M,'BSE - SENSEX Index Options'!$C:$C,$A110,'BSE - SENSEX Index Options'!$B:$B,D$4)+SUMIFS('BSE - Other Index Options'!$M:$M,'BSE - Other Index Options'!$C:$C,$A110,'BSE - Other Index Options'!$B:$B,D$4))</f>
        <v/>
      </c>
      <c r="E110" s="26">
        <f>IF(SUMIFS('NSE - NIFTY Index Options'!$M:$M,'NSE - NIFTY Index Options'!$C:$C,$A110,'NSE - NIFTY Index Options'!$B:$B,E$4)+SUMIFS('NSE - Other Index Options'!$M:$M,'NSE - Other Index Options'!$C:$C,$A110,'NSE - Other Index Options'!$B:$B,E$4)+SUMIFS('BSE - SENSEX Index Options'!$M:$M,'BSE - SENSEX Index Options'!$C:$C,$A110,'BSE - SENSEX Index Options'!$B:$B,E$4)+SUMIFS('BSE - Other Index Options'!$M:$M,'BSE - Other Index Options'!$C:$C,$A110,'BSE - Other Index Options'!$B:$B,E$4)=0,"",SUMIFS('NSE - NIFTY Index Options'!$M:$M,'NSE - NIFTY Index Options'!$C:$C,$A110,'NSE - NIFTY Index Options'!$B:$B,E$4)+SUMIFS('NSE - Other Index Options'!$M:$M,'NSE - Other Index Options'!$C:$C,$A110,'NSE - Other Index Options'!$B:$B,E$4)+SUMIFS('BSE - SENSEX Index Options'!$M:$M,'BSE - SENSEX Index Options'!$C:$C,$A110,'BSE - SENSEX Index Options'!$B:$B,E$4)+SUMIFS('BSE - Other Index Options'!$M:$M,'BSE - Other Index Options'!$C:$C,$A110,'BSE - Other Index Options'!$B:$B,E$4))</f>
        <v/>
      </c>
      <c r="F110" s="26">
        <f>IF(SUMIFS('NSE - NIFTY Index Options'!$M:$M,'NSE - NIFTY Index Options'!$C:$C,$A110,'NSE - NIFTY Index Options'!$B:$B,F$4)+SUMIFS('NSE - Other Index Options'!$M:$M,'NSE - Other Index Options'!$C:$C,$A110,'NSE - Other Index Options'!$B:$B,F$4)+SUMIFS('BSE - SENSEX Index Options'!$M:$M,'BSE - SENSEX Index Options'!$C:$C,$A110,'BSE - SENSEX Index Options'!$B:$B,F$4)+SUMIFS('BSE - Other Index Options'!$M:$M,'BSE - Other Index Options'!$C:$C,$A110,'BSE - Other Index Options'!$B:$B,F$4)=0,"",SUMIFS('NSE - NIFTY Index Options'!$M:$M,'NSE - NIFTY Index Options'!$C:$C,$A110,'NSE - NIFTY Index Options'!$B:$B,F$4)+SUMIFS('NSE - Other Index Options'!$M:$M,'NSE - Other Index Options'!$C:$C,$A110,'NSE - Other Index Options'!$B:$B,F$4)+SUMIFS('BSE - SENSEX Index Options'!$M:$M,'BSE - SENSEX Index Options'!$C:$C,$A110,'BSE - SENSEX Index Options'!$B:$B,F$4)+SUMIFS('BSE - Other Index Options'!$M:$M,'BSE - Other Index Options'!$C:$C,$A110,'BSE - Other Index Options'!$B:$B,F$4))</f>
        <v/>
      </c>
      <c r="G110" s="26">
        <f>IF(SUMIFS('NSE - NIFTY Index Options'!$M:$M,'NSE - NIFTY Index Options'!$C:$C,$A110,'NSE - NIFTY Index Options'!$B:$B,G$4)+SUMIFS('NSE - Other Index Options'!$M:$M,'NSE - Other Index Options'!$C:$C,$A110,'NSE - Other Index Options'!$B:$B,G$4)+SUMIFS('BSE - SENSEX Index Options'!$M:$M,'BSE - SENSEX Index Options'!$C:$C,$A110,'BSE - SENSEX Index Options'!$B:$B,G$4)+SUMIFS('BSE - Other Index Options'!$M:$M,'BSE - Other Index Options'!$C:$C,$A110,'BSE - Other Index Options'!$B:$B,G$4)=0,"",SUMIFS('NSE - NIFTY Index Options'!$M:$M,'NSE - NIFTY Index Options'!$C:$C,$A110,'NSE - NIFTY Index Options'!$B:$B,G$4)+SUMIFS('NSE - Other Index Options'!$M:$M,'NSE - Other Index Options'!$C:$C,$A110,'NSE - Other Index Options'!$B:$B,G$4)+SUMIFS('BSE - SENSEX Index Options'!$M:$M,'BSE - SENSEX Index Options'!$C:$C,$A110,'BSE - SENSEX Index Options'!$B:$B,G$4)+SUMIFS('BSE - Other Index Options'!$M:$M,'BSE - Other Index Options'!$C:$C,$A110,'BSE - Other Index Options'!$B:$B,G$4))</f>
        <v/>
      </c>
      <c r="H110" s="26">
        <f>IF(SUM(B110:G110)=0,"",SUM(B110:G110))</f>
        <v/>
      </c>
    </row>
    <row r="111" hidden="1" outlineLevel="1">
      <c r="A111" t="inlineStr">
        <is>
          <t>Week4-Jun-2027</t>
        </is>
      </c>
      <c r="B111" s="26">
        <f>IF(SUMIFS('NSE - NIFTY Index Options'!$M:$M,'NSE - NIFTY Index Options'!$C:$C,$A111,'NSE - NIFTY Index Options'!$B:$B,B$4)+SUMIFS('NSE - Other Index Options'!$M:$M,'NSE - Other Index Options'!$C:$C,$A111,'NSE - Other Index Options'!$B:$B,B$4)+SUMIFS('BSE - SENSEX Index Options'!$M:$M,'BSE - SENSEX Index Options'!$C:$C,$A111,'BSE - SENSEX Index Options'!$B:$B,B$4)+SUMIFS('BSE - Other Index Options'!$M:$M,'BSE - Other Index Options'!$C:$C,$A111,'BSE - Other Index Options'!$B:$B,B$4)=0,"",SUMIFS('NSE - NIFTY Index Options'!$M:$M,'NSE - NIFTY Index Options'!$C:$C,$A111,'NSE - NIFTY Index Options'!$B:$B,B$4)+SUMIFS('NSE - Other Index Options'!$M:$M,'NSE - Other Index Options'!$C:$C,$A111,'NSE - Other Index Options'!$B:$B,B$4)+SUMIFS('BSE - SENSEX Index Options'!$M:$M,'BSE - SENSEX Index Options'!$C:$C,$A111,'BSE - SENSEX Index Options'!$B:$B,B$4)+SUMIFS('BSE - Other Index Options'!$M:$M,'BSE - Other Index Options'!$C:$C,$A111,'BSE - Other Index Options'!$B:$B,B$4))</f>
        <v/>
      </c>
      <c r="C111" s="26">
        <f>IF(SUMIFS('NSE - NIFTY Index Options'!$M:$M,'NSE - NIFTY Index Options'!$C:$C,$A111,'NSE - NIFTY Index Options'!$B:$B,C$4)+SUMIFS('NSE - Other Index Options'!$M:$M,'NSE - Other Index Options'!$C:$C,$A111,'NSE - Other Index Options'!$B:$B,C$4)+SUMIFS('BSE - SENSEX Index Options'!$M:$M,'BSE - SENSEX Index Options'!$C:$C,$A111,'BSE - SENSEX Index Options'!$B:$B,C$4)+SUMIFS('BSE - Other Index Options'!$M:$M,'BSE - Other Index Options'!$C:$C,$A111,'BSE - Other Index Options'!$B:$B,C$4)=0,"",SUMIFS('NSE - NIFTY Index Options'!$M:$M,'NSE - NIFTY Index Options'!$C:$C,$A111,'NSE - NIFTY Index Options'!$B:$B,C$4)+SUMIFS('NSE - Other Index Options'!$M:$M,'NSE - Other Index Options'!$C:$C,$A111,'NSE - Other Index Options'!$B:$B,C$4)+SUMIFS('BSE - SENSEX Index Options'!$M:$M,'BSE - SENSEX Index Options'!$C:$C,$A111,'BSE - SENSEX Index Options'!$B:$B,C$4)+SUMIFS('BSE - Other Index Options'!$M:$M,'BSE - Other Index Options'!$C:$C,$A111,'BSE - Other Index Options'!$B:$B,C$4))</f>
        <v/>
      </c>
      <c r="D111" s="26">
        <f>IF(SUMIFS('NSE - NIFTY Index Options'!$M:$M,'NSE - NIFTY Index Options'!$C:$C,$A111,'NSE - NIFTY Index Options'!$B:$B,D$4)+SUMIFS('NSE - Other Index Options'!$M:$M,'NSE - Other Index Options'!$C:$C,$A111,'NSE - Other Index Options'!$B:$B,D$4)+SUMIFS('BSE - SENSEX Index Options'!$M:$M,'BSE - SENSEX Index Options'!$C:$C,$A111,'BSE - SENSEX Index Options'!$B:$B,D$4)+SUMIFS('BSE - Other Index Options'!$M:$M,'BSE - Other Index Options'!$C:$C,$A111,'BSE - Other Index Options'!$B:$B,D$4)=0,"",SUMIFS('NSE - NIFTY Index Options'!$M:$M,'NSE - NIFTY Index Options'!$C:$C,$A111,'NSE - NIFTY Index Options'!$B:$B,D$4)+SUMIFS('NSE - Other Index Options'!$M:$M,'NSE - Other Index Options'!$C:$C,$A111,'NSE - Other Index Options'!$B:$B,D$4)+SUMIFS('BSE - SENSEX Index Options'!$M:$M,'BSE - SENSEX Index Options'!$C:$C,$A111,'BSE - SENSEX Index Options'!$B:$B,D$4)+SUMIFS('BSE - Other Index Options'!$M:$M,'BSE - Other Index Options'!$C:$C,$A111,'BSE - Other Index Options'!$B:$B,D$4))</f>
        <v/>
      </c>
      <c r="E111" s="26">
        <f>IF(SUMIFS('NSE - NIFTY Index Options'!$M:$M,'NSE - NIFTY Index Options'!$C:$C,$A111,'NSE - NIFTY Index Options'!$B:$B,E$4)+SUMIFS('NSE - Other Index Options'!$M:$M,'NSE - Other Index Options'!$C:$C,$A111,'NSE - Other Index Options'!$B:$B,E$4)+SUMIFS('BSE - SENSEX Index Options'!$M:$M,'BSE - SENSEX Index Options'!$C:$C,$A111,'BSE - SENSEX Index Options'!$B:$B,E$4)+SUMIFS('BSE - Other Index Options'!$M:$M,'BSE - Other Index Options'!$C:$C,$A111,'BSE - Other Index Options'!$B:$B,E$4)=0,"",SUMIFS('NSE - NIFTY Index Options'!$M:$M,'NSE - NIFTY Index Options'!$C:$C,$A111,'NSE - NIFTY Index Options'!$B:$B,E$4)+SUMIFS('NSE - Other Index Options'!$M:$M,'NSE - Other Index Options'!$C:$C,$A111,'NSE - Other Index Options'!$B:$B,E$4)+SUMIFS('BSE - SENSEX Index Options'!$M:$M,'BSE - SENSEX Index Options'!$C:$C,$A111,'BSE - SENSEX Index Options'!$B:$B,E$4)+SUMIFS('BSE - Other Index Options'!$M:$M,'BSE - Other Index Options'!$C:$C,$A111,'BSE - Other Index Options'!$B:$B,E$4))</f>
        <v/>
      </c>
      <c r="F111" s="26">
        <f>IF(SUMIFS('NSE - NIFTY Index Options'!$M:$M,'NSE - NIFTY Index Options'!$C:$C,$A111,'NSE - NIFTY Index Options'!$B:$B,F$4)+SUMIFS('NSE - Other Index Options'!$M:$M,'NSE - Other Index Options'!$C:$C,$A111,'NSE - Other Index Options'!$B:$B,F$4)+SUMIFS('BSE - SENSEX Index Options'!$M:$M,'BSE - SENSEX Index Options'!$C:$C,$A111,'BSE - SENSEX Index Options'!$B:$B,F$4)+SUMIFS('BSE - Other Index Options'!$M:$M,'BSE - Other Index Options'!$C:$C,$A111,'BSE - Other Index Options'!$B:$B,F$4)=0,"",SUMIFS('NSE - NIFTY Index Options'!$M:$M,'NSE - NIFTY Index Options'!$C:$C,$A111,'NSE - NIFTY Index Options'!$B:$B,F$4)+SUMIFS('NSE - Other Index Options'!$M:$M,'NSE - Other Index Options'!$C:$C,$A111,'NSE - Other Index Options'!$B:$B,F$4)+SUMIFS('BSE - SENSEX Index Options'!$M:$M,'BSE - SENSEX Index Options'!$C:$C,$A111,'BSE - SENSEX Index Options'!$B:$B,F$4)+SUMIFS('BSE - Other Index Options'!$M:$M,'BSE - Other Index Options'!$C:$C,$A111,'BSE - Other Index Options'!$B:$B,F$4))</f>
        <v/>
      </c>
      <c r="G111" s="26">
        <f>IF(SUMIFS('NSE - NIFTY Index Options'!$M:$M,'NSE - NIFTY Index Options'!$C:$C,$A111,'NSE - NIFTY Index Options'!$B:$B,G$4)+SUMIFS('NSE - Other Index Options'!$M:$M,'NSE - Other Index Options'!$C:$C,$A111,'NSE - Other Index Options'!$B:$B,G$4)+SUMIFS('BSE - SENSEX Index Options'!$M:$M,'BSE - SENSEX Index Options'!$C:$C,$A111,'BSE - SENSEX Index Options'!$B:$B,G$4)+SUMIFS('BSE - Other Index Options'!$M:$M,'BSE - Other Index Options'!$C:$C,$A111,'BSE - Other Index Options'!$B:$B,G$4)=0,"",SUMIFS('NSE - NIFTY Index Options'!$M:$M,'NSE - NIFTY Index Options'!$C:$C,$A111,'NSE - NIFTY Index Options'!$B:$B,G$4)+SUMIFS('NSE - Other Index Options'!$M:$M,'NSE - Other Index Options'!$C:$C,$A111,'NSE - Other Index Options'!$B:$B,G$4)+SUMIFS('BSE - SENSEX Index Options'!$M:$M,'BSE - SENSEX Index Options'!$C:$C,$A111,'BSE - SENSEX Index Options'!$B:$B,G$4)+SUMIFS('BSE - Other Index Options'!$M:$M,'BSE - Other Index Options'!$C:$C,$A111,'BSE - Other Index Options'!$B:$B,G$4))</f>
        <v/>
      </c>
      <c r="H111" s="26">
        <f>IF(SUM(B111:G111)=0,"",SUM(B111:G111))</f>
        <v/>
      </c>
    </row>
    <row r="112" hidden="1" outlineLevel="1">
      <c r="A112" t="inlineStr">
        <is>
          <t>Week5-Jun-2027</t>
        </is>
      </c>
      <c r="B112" s="26">
        <f>IF(SUMIFS('NSE - NIFTY Index Options'!$M:$M,'NSE - NIFTY Index Options'!$C:$C,$A112,'NSE - NIFTY Index Options'!$B:$B,B$4)+SUMIFS('NSE - Other Index Options'!$M:$M,'NSE - Other Index Options'!$C:$C,$A112,'NSE - Other Index Options'!$B:$B,B$4)+SUMIFS('BSE - SENSEX Index Options'!$M:$M,'BSE - SENSEX Index Options'!$C:$C,$A112,'BSE - SENSEX Index Options'!$B:$B,B$4)+SUMIFS('BSE - Other Index Options'!$M:$M,'BSE - Other Index Options'!$C:$C,$A112,'BSE - Other Index Options'!$B:$B,B$4)=0,"",SUMIFS('NSE - NIFTY Index Options'!$M:$M,'NSE - NIFTY Index Options'!$C:$C,$A112,'NSE - NIFTY Index Options'!$B:$B,B$4)+SUMIFS('NSE - Other Index Options'!$M:$M,'NSE - Other Index Options'!$C:$C,$A112,'NSE - Other Index Options'!$B:$B,B$4)+SUMIFS('BSE - SENSEX Index Options'!$M:$M,'BSE - SENSEX Index Options'!$C:$C,$A112,'BSE - SENSEX Index Options'!$B:$B,B$4)+SUMIFS('BSE - Other Index Options'!$M:$M,'BSE - Other Index Options'!$C:$C,$A112,'BSE - Other Index Options'!$B:$B,B$4))</f>
        <v/>
      </c>
      <c r="C112" s="26">
        <f>IF(SUMIFS('NSE - NIFTY Index Options'!$M:$M,'NSE - NIFTY Index Options'!$C:$C,$A112,'NSE - NIFTY Index Options'!$B:$B,C$4)+SUMIFS('NSE - Other Index Options'!$M:$M,'NSE - Other Index Options'!$C:$C,$A112,'NSE - Other Index Options'!$B:$B,C$4)+SUMIFS('BSE - SENSEX Index Options'!$M:$M,'BSE - SENSEX Index Options'!$C:$C,$A112,'BSE - SENSEX Index Options'!$B:$B,C$4)+SUMIFS('BSE - Other Index Options'!$M:$M,'BSE - Other Index Options'!$C:$C,$A112,'BSE - Other Index Options'!$B:$B,C$4)=0,"",SUMIFS('NSE - NIFTY Index Options'!$M:$M,'NSE - NIFTY Index Options'!$C:$C,$A112,'NSE - NIFTY Index Options'!$B:$B,C$4)+SUMIFS('NSE - Other Index Options'!$M:$M,'NSE - Other Index Options'!$C:$C,$A112,'NSE - Other Index Options'!$B:$B,C$4)+SUMIFS('BSE - SENSEX Index Options'!$M:$M,'BSE - SENSEX Index Options'!$C:$C,$A112,'BSE - SENSEX Index Options'!$B:$B,C$4)+SUMIFS('BSE - Other Index Options'!$M:$M,'BSE - Other Index Options'!$C:$C,$A112,'BSE - Other Index Options'!$B:$B,C$4))</f>
        <v/>
      </c>
      <c r="D112" s="26">
        <f>IF(SUMIFS('NSE - NIFTY Index Options'!$M:$M,'NSE - NIFTY Index Options'!$C:$C,$A112,'NSE - NIFTY Index Options'!$B:$B,D$4)+SUMIFS('NSE - Other Index Options'!$M:$M,'NSE - Other Index Options'!$C:$C,$A112,'NSE - Other Index Options'!$B:$B,D$4)+SUMIFS('BSE - SENSEX Index Options'!$M:$M,'BSE - SENSEX Index Options'!$C:$C,$A112,'BSE - SENSEX Index Options'!$B:$B,D$4)+SUMIFS('BSE - Other Index Options'!$M:$M,'BSE - Other Index Options'!$C:$C,$A112,'BSE - Other Index Options'!$B:$B,D$4)=0,"",SUMIFS('NSE - NIFTY Index Options'!$M:$M,'NSE - NIFTY Index Options'!$C:$C,$A112,'NSE - NIFTY Index Options'!$B:$B,D$4)+SUMIFS('NSE - Other Index Options'!$M:$M,'NSE - Other Index Options'!$C:$C,$A112,'NSE - Other Index Options'!$B:$B,D$4)+SUMIFS('BSE - SENSEX Index Options'!$M:$M,'BSE - SENSEX Index Options'!$C:$C,$A112,'BSE - SENSEX Index Options'!$B:$B,D$4)+SUMIFS('BSE - Other Index Options'!$M:$M,'BSE - Other Index Options'!$C:$C,$A112,'BSE - Other Index Options'!$B:$B,D$4))</f>
        <v/>
      </c>
      <c r="E112" s="26">
        <f>IF(SUMIFS('NSE - NIFTY Index Options'!$M:$M,'NSE - NIFTY Index Options'!$C:$C,$A112,'NSE - NIFTY Index Options'!$B:$B,E$4)+SUMIFS('NSE - Other Index Options'!$M:$M,'NSE - Other Index Options'!$C:$C,$A112,'NSE - Other Index Options'!$B:$B,E$4)+SUMIFS('BSE - SENSEX Index Options'!$M:$M,'BSE - SENSEX Index Options'!$C:$C,$A112,'BSE - SENSEX Index Options'!$B:$B,E$4)+SUMIFS('BSE - Other Index Options'!$M:$M,'BSE - Other Index Options'!$C:$C,$A112,'BSE - Other Index Options'!$B:$B,E$4)=0,"",SUMIFS('NSE - NIFTY Index Options'!$M:$M,'NSE - NIFTY Index Options'!$C:$C,$A112,'NSE - NIFTY Index Options'!$B:$B,E$4)+SUMIFS('NSE - Other Index Options'!$M:$M,'NSE - Other Index Options'!$C:$C,$A112,'NSE - Other Index Options'!$B:$B,E$4)+SUMIFS('BSE - SENSEX Index Options'!$M:$M,'BSE - SENSEX Index Options'!$C:$C,$A112,'BSE - SENSEX Index Options'!$B:$B,E$4)+SUMIFS('BSE - Other Index Options'!$M:$M,'BSE - Other Index Options'!$C:$C,$A112,'BSE - Other Index Options'!$B:$B,E$4))</f>
        <v/>
      </c>
      <c r="F112" s="26">
        <f>IF(SUMIFS('NSE - NIFTY Index Options'!$M:$M,'NSE - NIFTY Index Options'!$C:$C,$A112,'NSE - NIFTY Index Options'!$B:$B,F$4)+SUMIFS('NSE - Other Index Options'!$M:$M,'NSE - Other Index Options'!$C:$C,$A112,'NSE - Other Index Options'!$B:$B,F$4)+SUMIFS('BSE - SENSEX Index Options'!$M:$M,'BSE - SENSEX Index Options'!$C:$C,$A112,'BSE - SENSEX Index Options'!$B:$B,F$4)+SUMIFS('BSE - Other Index Options'!$M:$M,'BSE - Other Index Options'!$C:$C,$A112,'BSE - Other Index Options'!$B:$B,F$4)=0,"",SUMIFS('NSE - NIFTY Index Options'!$M:$M,'NSE - NIFTY Index Options'!$C:$C,$A112,'NSE - NIFTY Index Options'!$B:$B,F$4)+SUMIFS('NSE - Other Index Options'!$M:$M,'NSE - Other Index Options'!$C:$C,$A112,'NSE - Other Index Options'!$B:$B,F$4)+SUMIFS('BSE - SENSEX Index Options'!$M:$M,'BSE - SENSEX Index Options'!$C:$C,$A112,'BSE - SENSEX Index Options'!$B:$B,F$4)+SUMIFS('BSE - Other Index Options'!$M:$M,'BSE - Other Index Options'!$C:$C,$A112,'BSE - Other Index Options'!$B:$B,F$4))</f>
        <v/>
      </c>
      <c r="G112" s="26">
        <f>IF(SUMIFS('NSE - NIFTY Index Options'!$M:$M,'NSE - NIFTY Index Options'!$C:$C,$A112,'NSE - NIFTY Index Options'!$B:$B,G$4)+SUMIFS('NSE - Other Index Options'!$M:$M,'NSE - Other Index Options'!$C:$C,$A112,'NSE - Other Index Options'!$B:$B,G$4)+SUMIFS('BSE - SENSEX Index Options'!$M:$M,'BSE - SENSEX Index Options'!$C:$C,$A112,'BSE - SENSEX Index Options'!$B:$B,G$4)+SUMIFS('BSE - Other Index Options'!$M:$M,'BSE - Other Index Options'!$C:$C,$A112,'BSE - Other Index Options'!$B:$B,G$4)=0,"",SUMIFS('NSE - NIFTY Index Options'!$M:$M,'NSE - NIFTY Index Options'!$C:$C,$A112,'NSE - NIFTY Index Options'!$B:$B,G$4)+SUMIFS('NSE - Other Index Options'!$M:$M,'NSE - Other Index Options'!$C:$C,$A112,'NSE - Other Index Options'!$B:$B,G$4)+SUMIFS('BSE - SENSEX Index Options'!$M:$M,'BSE - SENSEX Index Options'!$C:$C,$A112,'BSE - SENSEX Index Options'!$B:$B,G$4)+SUMIFS('BSE - Other Index Options'!$M:$M,'BSE - Other Index Options'!$C:$C,$A112,'BSE - Other Index Options'!$B:$B,G$4))</f>
        <v/>
      </c>
      <c r="H112" s="26">
        <f>IF(SUM(B112:G112)=0,"",SUM(B112:G112))</f>
        <v/>
      </c>
    </row>
    <row r="113" hidden="1" outlineLevel="1">
      <c r="A113" t="inlineStr">
        <is>
          <t>Week1-Jul-2027</t>
        </is>
      </c>
      <c r="B113" s="26">
        <f>IF(SUMIFS('NSE - NIFTY Index Options'!$M:$M,'NSE - NIFTY Index Options'!$C:$C,$A113,'NSE - NIFTY Index Options'!$B:$B,B$4)+SUMIFS('NSE - Other Index Options'!$M:$M,'NSE - Other Index Options'!$C:$C,$A113,'NSE - Other Index Options'!$B:$B,B$4)+SUMIFS('BSE - SENSEX Index Options'!$M:$M,'BSE - SENSEX Index Options'!$C:$C,$A113,'BSE - SENSEX Index Options'!$B:$B,B$4)+SUMIFS('BSE - Other Index Options'!$M:$M,'BSE - Other Index Options'!$C:$C,$A113,'BSE - Other Index Options'!$B:$B,B$4)=0,"",SUMIFS('NSE - NIFTY Index Options'!$M:$M,'NSE - NIFTY Index Options'!$C:$C,$A113,'NSE - NIFTY Index Options'!$B:$B,B$4)+SUMIFS('NSE - Other Index Options'!$M:$M,'NSE - Other Index Options'!$C:$C,$A113,'NSE - Other Index Options'!$B:$B,B$4)+SUMIFS('BSE - SENSEX Index Options'!$M:$M,'BSE - SENSEX Index Options'!$C:$C,$A113,'BSE - SENSEX Index Options'!$B:$B,B$4)+SUMIFS('BSE - Other Index Options'!$M:$M,'BSE - Other Index Options'!$C:$C,$A113,'BSE - Other Index Options'!$B:$B,B$4))</f>
        <v/>
      </c>
      <c r="C113" s="26">
        <f>IF(SUMIFS('NSE - NIFTY Index Options'!$M:$M,'NSE - NIFTY Index Options'!$C:$C,$A113,'NSE - NIFTY Index Options'!$B:$B,C$4)+SUMIFS('NSE - Other Index Options'!$M:$M,'NSE - Other Index Options'!$C:$C,$A113,'NSE - Other Index Options'!$B:$B,C$4)+SUMIFS('BSE - SENSEX Index Options'!$M:$M,'BSE - SENSEX Index Options'!$C:$C,$A113,'BSE - SENSEX Index Options'!$B:$B,C$4)+SUMIFS('BSE - Other Index Options'!$M:$M,'BSE - Other Index Options'!$C:$C,$A113,'BSE - Other Index Options'!$B:$B,C$4)=0,"",SUMIFS('NSE - NIFTY Index Options'!$M:$M,'NSE - NIFTY Index Options'!$C:$C,$A113,'NSE - NIFTY Index Options'!$B:$B,C$4)+SUMIFS('NSE - Other Index Options'!$M:$M,'NSE - Other Index Options'!$C:$C,$A113,'NSE - Other Index Options'!$B:$B,C$4)+SUMIFS('BSE - SENSEX Index Options'!$M:$M,'BSE - SENSEX Index Options'!$C:$C,$A113,'BSE - SENSEX Index Options'!$B:$B,C$4)+SUMIFS('BSE - Other Index Options'!$M:$M,'BSE - Other Index Options'!$C:$C,$A113,'BSE - Other Index Options'!$B:$B,C$4))</f>
        <v/>
      </c>
      <c r="D113" s="26">
        <f>IF(SUMIFS('NSE - NIFTY Index Options'!$M:$M,'NSE - NIFTY Index Options'!$C:$C,$A113,'NSE - NIFTY Index Options'!$B:$B,D$4)+SUMIFS('NSE - Other Index Options'!$M:$M,'NSE - Other Index Options'!$C:$C,$A113,'NSE - Other Index Options'!$B:$B,D$4)+SUMIFS('BSE - SENSEX Index Options'!$M:$M,'BSE - SENSEX Index Options'!$C:$C,$A113,'BSE - SENSEX Index Options'!$B:$B,D$4)+SUMIFS('BSE - Other Index Options'!$M:$M,'BSE - Other Index Options'!$C:$C,$A113,'BSE - Other Index Options'!$B:$B,D$4)=0,"",SUMIFS('NSE - NIFTY Index Options'!$M:$M,'NSE - NIFTY Index Options'!$C:$C,$A113,'NSE - NIFTY Index Options'!$B:$B,D$4)+SUMIFS('NSE - Other Index Options'!$M:$M,'NSE - Other Index Options'!$C:$C,$A113,'NSE - Other Index Options'!$B:$B,D$4)+SUMIFS('BSE - SENSEX Index Options'!$M:$M,'BSE - SENSEX Index Options'!$C:$C,$A113,'BSE - SENSEX Index Options'!$B:$B,D$4)+SUMIFS('BSE - Other Index Options'!$M:$M,'BSE - Other Index Options'!$C:$C,$A113,'BSE - Other Index Options'!$B:$B,D$4))</f>
        <v/>
      </c>
      <c r="E113" s="26">
        <f>IF(SUMIFS('NSE - NIFTY Index Options'!$M:$M,'NSE - NIFTY Index Options'!$C:$C,$A113,'NSE - NIFTY Index Options'!$B:$B,E$4)+SUMIFS('NSE - Other Index Options'!$M:$M,'NSE - Other Index Options'!$C:$C,$A113,'NSE - Other Index Options'!$B:$B,E$4)+SUMIFS('BSE - SENSEX Index Options'!$M:$M,'BSE - SENSEX Index Options'!$C:$C,$A113,'BSE - SENSEX Index Options'!$B:$B,E$4)+SUMIFS('BSE - Other Index Options'!$M:$M,'BSE - Other Index Options'!$C:$C,$A113,'BSE - Other Index Options'!$B:$B,E$4)=0,"",SUMIFS('NSE - NIFTY Index Options'!$M:$M,'NSE - NIFTY Index Options'!$C:$C,$A113,'NSE - NIFTY Index Options'!$B:$B,E$4)+SUMIFS('NSE - Other Index Options'!$M:$M,'NSE - Other Index Options'!$C:$C,$A113,'NSE - Other Index Options'!$B:$B,E$4)+SUMIFS('BSE - SENSEX Index Options'!$M:$M,'BSE - SENSEX Index Options'!$C:$C,$A113,'BSE - SENSEX Index Options'!$B:$B,E$4)+SUMIFS('BSE - Other Index Options'!$M:$M,'BSE - Other Index Options'!$C:$C,$A113,'BSE - Other Index Options'!$B:$B,E$4))</f>
        <v/>
      </c>
      <c r="F113" s="26">
        <f>IF(SUMIFS('NSE - NIFTY Index Options'!$M:$M,'NSE - NIFTY Index Options'!$C:$C,$A113,'NSE - NIFTY Index Options'!$B:$B,F$4)+SUMIFS('NSE - Other Index Options'!$M:$M,'NSE - Other Index Options'!$C:$C,$A113,'NSE - Other Index Options'!$B:$B,F$4)+SUMIFS('BSE - SENSEX Index Options'!$M:$M,'BSE - SENSEX Index Options'!$C:$C,$A113,'BSE - SENSEX Index Options'!$B:$B,F$4)+SUMIFS('BSE - Other Index Options'!$M:$M,'BSE - Other Index Options'!$C:$C,$A113,'BSE - Other Index Options'!$B:$B,F$4)=0,"",SUMIFS('NSE - NIFTY Index Options'!$M:$M,'NSE - NIFTY Index Options'!$C:$C,$A113,'NSE - NIFTY Index Options'!$B:$B,F$4)+SUMIFS('NSE - Other Index Options'!$M:$M,'NSE - Other Index Options'!$C:$C,$A113,'NSE - Other Index Options'!$B:$B,F$4)+SUMIFS('BSE - SENSEX Index Options'!$M:$M,'BSE - SENSEX Index Options'!$C:$C,$A113,'BSE - SENSEX Index Options'!$B:$B,F$4)+SUMIFS('BSE - Other Index Options'!$M:$M,'BSE - Other Index Options'!$C:$C,$A113,'BSE - Other Index Options'!$B:$B,F$4))</f>
        <v/>
      </c>
      <c r="G113" s="26">
        <f>IF(SUMIFS('NSE - NIFTY Index Options'!$M:$M,'NSE - NIFTY Index Options'!$C:$C,$A113,'NSE - NIFTY Index Options'!$B:$B,G$4)+SUMIFS('NSE - Other Index Options'!$M:$M,'NSE - Other Index Options'!$C:$C,$A113,'NSE - Other Index Options'!$B:$B,G$4)+SUMIFS('BSE - SENSEX Index Options'!$M:$M,'BSE - SENSEX Index Options'!$C:$C,$A113,'BSE - SENSEX Index Options'!$B:$B,G$4)+SUMIFS('BSE - Other Index Options'!$M:$M,'BSE - Other Index Options'!$C:$C,$A113,'BSE - Other Index Options'!$B:$B,G$4)=0,"",SUMIFS('NSE - NIFTY Index Options'!$M:$M,'NSE - NIFTY Index Options'!$C:$C,$A113,'NSE - NIFTY Index Options'!$B:$B,G$4)+SUMIFS('NSE - Other Index Options'!$M:$M,'NSE - Other Index Options'!$C:$C,$A113,'NSE - Other Index Options'!$B:$B,G$4)+SUMIFS('BSE - SENSEX Index Options'!$M:$M,'BSE - SENSEX Index Options'!$C:$C,$A113,'BSE - SENSEX Index Options'!$B:$B,G$4)+SUMIFS('BSE - Other Index Options'!$M:$M,'BSE - Other Index Options'!$C:$C,$A113,'BSE - Other Index Options'!$B:$B,G$4))</f>
        <v/>
      </c>
      <c r="H113" s="26">
        <f>IF(SUM(B113:G113)=0,"",SUM(B113:G113))</f>
        <v/>
      </c>
    </row>
    <row r="114" hidden="1" outlineLevel="1">
      <c r="A114" t="inlineStr">
        <is>
          <t>Week2-Jul-2027</t>
        </is>
      </c>
      <c r="B114" s="26">
        <f>IF(SUMIFS('NSE - NIFTY Index Options'!$M:$M,'NSE - NIFTY Index Options'!$C:$C,$A114,'NSE - NIFTY Index Options'!$B:$B,B$4)+SUMIFS('NSE - Other Index Options'!$M:$M,'NSE - Other Index Options'!$C:$C,$A114,'NSE - Other Index Options'!$B:$B,B$4)+SUMIFS('BSE - SENSEX Index Options'!$M:$M,'BSE - SENSEX Index Options'!$C:$C,$A114,'BSE - SENSEX Index Options'!$B:$B,B$4)+SUMIFS('BSE - Other Index Options'!$M:$M,'BSE - Other Index Options'!$C:$C,$A114,'BSE - Other Index Options'!$B:$B,B$4)=0,"",SUMIFS('NSE - NIFTY Index Options'!$M:$M,'NSE - NIFTY Index Options'!$C:$C,$A114,'NSE - NIFTY Index Options'!$B:$B,B$4)+SUMIFS('NSE - Other Index Options'!$M:$M,'NSE - Other Index Options'!$C:$C,$A114,'NSE - Other Index Options'!$B:$B,B$4)+SUMIFS('BSE - SENSEX Index Options'!$M:$M,'BSE - SENSEX Index Options'!$C:$C,$A114,'BSE - SENSEX Index Options'!$B:$B,B$4)+SUMIFS('BSE - Other Index Options'!$M:$M,'BSE - Other Index Options'!$C:$C,$A114,'BSE - Other Index Options'!$B:$B,B$4))</f>
        <v/>
      </c>
      <c r="C114" s="26">
        <f>IF(SUMIFS('NSE - NIFTY Index Options'!$M:$M,'NSE - NIFTY Index Options'!$C:$C,$A114,'NSE - NIFTY Index Options'!$B:$B,C$4)+SUMIFS('NSE - Other Index Options'!$M:$M,'NSE - Other Index Options'!$C:$C,$A114,'NSE - Other Index Options'!$B:$B,C$4)+SUMIFS('BSE - SENSEX Index Options'!$M:$M,'BSE - SENSEX Index Options'!$C:$C,$A114,'BSE - SENSEX Index Options'!$B:$B,C$4)+SUMIFS('BSE - Other Index Options'!$M:$M,'BSE - Other Index Options'!$C:$C,$A114,'BSE - Other Index Options'!$B:$B,C$4)=0,"",SUMIFS('NSE - NIFTY Index Options'!$M:$M,'NSE - NIFTY Index Options'!$C:$C,$A114,'NSE - NIFTY Index Options'!$B:$B,C$4)+SUMIFS('NSE - Other Index Options'!$M:$M,'NSE - Other Index Options'!$C:$C,$A114,'NSE - Other Index Options'!$B:$B,C$4)+SUMIFS('BSE - SENSEX Index Options'!$M:$M,'BSE - SENSEX Index Options'!$C:$C,$A114,'BSE - SENSEX Index Options'!$B:$B,C$4)+SUMIFS('BSE - Other Index Options'!$M:$M,'BSE - Other Index Options'!$C:$C,$A114,'BSE - Other Index Options'!$B:$B,C$4))</f>
        <v/>
      </c>
      <c r="D114" s="26">
        <f>IF(SUMIFS('NSE - NIFTY Index Options'!$M:$M,'NSE - NIFTY Index Options'!$C:$C,$A114,'NSE - NIFTY Index Options'!$B:$B,D$4)+SUMIFS('NSE - Other Index Options'!$M:$M,'NSE - Other Index Options'!$C:$C,$A114,'NSE - Other Index Options'!$B:$B,D$4)+SUMIFS('BSE - SENSEX Index Options'!$M:$M,'BSE - SENSEX Index Options'!$C:$C,$A114,'BSE - SENSEX Index Options'!$B:$B,D$4)+SUMIFS('BSE - Other Index Options'!$M:$M,'BSE - Other Index Options'!$C:$C,$A114,'BSE - Other Index Options'!$B:$B,D$4)=0,"",SUMIFS('NSE - NIFTY Index Options'!$M:$M,'NSE - NIFTY Index Options'!$C:$C,$A114,'NSE - NIFTY Index Options'!$B:$B,D$4)+SUMIFS('NSE - Other Index Options'!$M:$M,'NSE - Other Index Options'!$C:$C,$A114,'NSE - Other Index Options'!$B:$B,D$4)+SUMIFS('BSE - SENSEX Index Options'!$M:$M,'BSE - SENSEX Index Options'!$C:$C,$A114,'BSE - SENSEX Index Options'!$B:$B,D$4)+SUMIFS('BSE - Other Index Options'!$M:$M,'BSE - Other Index Options'!$C:$C,$A114,'BSE - Other Index Options'!$B:$B,D$4))</f>
        <v/>
      </c>
      <c r="E114" s="26">
        <f>IF(SUMIFS('NSE - NIFTY Index Options'!$M:$M,'NSE - NIFTY Index Options'!$C:$C,$A114,'NSE - NIFTY Index Options'!$B:$B,E$4)+SUMIFS('NSE - Other Index Options'!$M:$M,'NSE - Other Index Options'!$C:$C,$A114,'NSE - Other Index Options'!$B:$B,E$4)+SUMIFS('BSE - SENSEX Index Options'!$M:$M,'BSE - SENSEX Index Options'!$C:$C,$A114,'BSE - SENSEX Index Options'!$B:$B,E$4)+SUMIFS('BSE - Other Index Options'!$M:$M,'BSE - Other Index Options'!$C:$C,$A114,'BSE - Other Index Options'!$B:$B,E$4)=0,"",SUMIFS('NSE - NIFTY Index Options'!$M:$M,'NSE - NIFTY Index Options'!$C:$C,$A114,'NSE - NIFTY Index Options'!$B:$B,E$4)+SUMIFS('NSE - Other Index Options'!$M:$M,'NSE - Other Index Options'!$C:$C,$A114,'NSE - Other Index Options'!$B:$B,E$4)+SUMIFS('BSE - SENSEX Index Options'!$M:$M,'BSE - SENSEX Index Options'!$C:$C,$A114,'BSE - SENSEX Index Options'!$B:$B,E$4)+SUMIFS('BSE - Other Index Options'!$M:$M,'BSE - Other Index Options'!$C:$C,$A114,'BSE - Other Index Options'!$B:$B,E$4))</f>
        <v/>
      </c>
      <c r="F114" s="26">
        <f>IF(SUMIFS('NSE - NIFTY Index Options'!$M:$M,'NSE - NIFTY Index Options'!$C:$C,$A114,'NSE - NIFTY Index Options'!$B:$B,F$4)+SUMIFS('NSE - Other Index Options'!$M:$M,'NSE - Other Index Options'!$C:$C,$A114,'NSE - Other Index Options'!$B:$B,F$4)+SUMIFS('BSE - SENSEX Index Options'!$M:$M,'BSE - SENSEX Index Options'!$C:$C,$A114,'BSE - SENSEX Index Options'!$B:$B,F$4)+SUMIFS('BSE - Other Index Options'!$M:$M,'BSE - Other Index Options'!$C:$C,$A114,'BSE - Other Index Options'!$B:$B,F$4)=0,"",SUMIFS('NSE - NIFTY Index Options'!$M:$M,'NSE - NIFTY Index Options'!$C:$C,$A114,'NSE - NIFTY Index Options'!$B:$B,F$4)+SUMIFS('NSE - Other Index Options'!$M:$M,'NSE - Other Index Options'!$C:$C,$A114,'NSE - Other Index Options'!$B:$B,F$4)+SUMIFS('BSE - SENSEX Index Options'!$M:$M,'BSE - SENSEX Index Options'!$C:$C,$A114,'BSE - SENSEX Index Options'!$B:$B,F$4)+SUMIFS('BSE - Other Index Options'!$M:$M,'BSE - Other Index Options'!$C:$C,$A114,'BSE - Other Index Options'!$B:$B,F$4))</f>
        <v/>
      </c>
      <c r="G114" s="26">
        <f>IF(SUMIFS('NSE - NIFTY Index Options'!$M:$M,'NSE - NIFTY Index Options'!$C:$C,$A114,'NSE - NIFTY Index Options'!$B:$B,G$4)+SUMIFS('NSE - Other Index Options'!$M:$M,'NSE - Other Index Options'!$C:$C,$A114,'NSE - Other Index Options'!$B:$B,G$4)+SUMIFS('BSE - SENSEX Index Options'!$M:$M,'BSE - SENSEX Index Options'!$C:$C,$A114,'BSE - SENSEX Index Options'!$B:$B,G$4)+SUMIFS('BSE - Other Index Options'!$M:$M,'BSE - Other Index Options'!$C:$C,$A114,'BSE - Other Index Options'!$B:$B,G$4)=0,"",SUMIFS('NSE - NIFTY Index Options'!$M:$M,'NSE - NIFTY Index Options'!$C:$C,$A114,'NSE - NIFTY Index Options'!$B:$B,G$4)+SUMIFS('NSE - Other Index Options'!$M:$M,'NSE - Other Index Options'!$C:$C,$A114,'NSE - Other Index Options'!$B:$B,G$4)+SUMIFS('BSE - SENSEX Index Options'!$M:$M,'BSE - SENSEX Index Options'!$C:$C,$A114,'BSE - SENSEX Index Options'!$B:$B,G$4)+SUMIFS('BSE - Other Index Options'!$M:$M,'BSE - Other Index Options'!$C:$C,$A114,'BSE - Other Index Options'!$B:$B,G$4))</f>
        <v/>
      </c>
      <c r="H114" s="26">
        <f>IF(SUM(B114:G114)=0,"",SUM(B114:G114))</f>
        <v/>
      </c>
    </row>
    <row r="115" hidden="1" outlineLevel="1">
      <c r="A115" t="inlineStr">
        <is>
          <t>Week3-Jul-2027</t>
        </is>
      </c>
      <c r="B115" s="26">
        <f>IF(SUMIFS('NSE - NIFTY Index Options'!$M:$M,'NSE - NIFTY Index Options'!$C:$C,$A115,'NSE - NIFTY Index Options'!$B:$B,B$4)+SUMIFS('NSE - Other Index Options'!$M:$M,'NSE - Other Index Options'!$C:$C,$A115,'NSE - Other Index Options'!$B:$B,B$4)+SUMIFS('BSE - SENSEX Index Options'!$M:$M,'BSE - SENSEX Index Options'!$C:$C,$A115,'BSE - SENSEX Index Options'!$B:$B,B$4)+SUMIFS('BSE - Other Index Options'!$M:$M,'BSE - Other Index Options'!$C:$C,$A115,'BSE - Other Index Options'!$B:$B,B$4)=0,"",SUMIFS('NSE - NIFTY Index Options'!$M:$M,'NSE - NIFTY Index Options'!$C:$C,$A115,'NSE - NIFTY Index Options'!$B:$B,B$4)+SUMIFS('NSE - Other Index Options'!$M:$M,'NSE - Other Index Options'!$C:$C,$A115,'NSE - Other Index Options'!$B:$B,B$4)+SUMIFS('BSE - SENSEX Index Options'!$M:$M,'BSE - SENSEX Index Options'!$C:$C,$A115,'BSE - SENSEX Index Options'!$B:$B,B$4)+SUMIFS('BSE - Other Index Options'!$M:$M,'BSE - Other Index Options'!$C:$C,$A115,'BSE - Other Index Options'!$B:$B,B$4))</f>
        <v/>
      </c>
      <c r="C115" s="26">
        <f>IF(SUMIFS('NSE - NIFTY Index Options'!$M:$M,'NSE - NIFTY Index Options'!$C:$C,$A115,'NSE - NIFTY Index Options'!$B:$B,C$4)+SUMIFS('NSE - Other Index Options'!$M:$M,'NSE - Other Index Options'!$C:$C,$A115,'NSE - Other Index Options'!$B:$B,C$4)+SUMIFS('BSE - SENSEX Index Options'!$M:$M,'BSE - SENSEX Index Options'!$C:$C,$A115,'BSE - SENSEX Index Options'!$B:$B,C$4)+SUMIFS('BSE - Other Index Options'!$M:$M,'BSE - Other Index Options'!$C:$C,$A115,'BSE - Other Index Options'!$B:$B,C$4)=0,"",SUMIFS('NSE - NIFTY Index Options'!$M:$M,'NSE - NIFTY Index Options'!$C:$C,$A115,'NSE - NIFTY Index Options'!$B:$B,C$4)+SUMIFS('NSE - Other Index Options'!$M:$M,'NSE - Other Index Options'!$C:$C,$A115,'NSE - Other Index Options'!$B:$B,C$4)+SUMIFS('BSE - SENSEX Index Options'!$M:$M,'BSE - SENSEX Index Options'!$C:$C,$A115,'BSE - SENSEX Index Options'!$B:$B,C$4)+SUMIFS('BSE - Other Index Options'!$M:$M,'BSE - Other Index Options'!$C:$C,$A115,'BSE - Other Index Options'!$B:$B,C$4))</f>
        <v/>
      </c>
      <c r="D115" s="26">
        <f>IF(SUMIFS('NSE - NIFTY Index Options'!$M:$M,'NSE - NIFTY Index Options'!$C:$C,$A115,'NSE - NIFTY Index Options'!$B:$B,D$4)+SUMIFS('NSE - Other Index Options'!$M:$M,'NSE - Other Index Options'!$C:$C,$A115,'NSE - Other Index Options'!$B:$B,D$4)+SUMIFS('BSE - SENSEX Index Options'!$M:$M,'BSE - SENSEX Index Options'!$C:$C,$A115,'BSE - SENSEX Index Options'!$B:$B,D$4)+SUMIFS('BSE - Other Index Options'!$M:$M,'BSE - Other Index Options'!$C:$C,$A115,'BSE - Other Index Options'!$B:$B,D$4)=0,"",SUMIFS('NSE - NIFTY Index Options'!$M:$M,'NSE - NIFTY Index Options'!$C:$C,$A115,'NSE - NIFTY Index Options'!$B:$B,D$4)+SUMIFS('NSE - Other Index Options'!$M:$M,'NSE - Other Index Options'!$C:$C,$A115,'NSE - Other Index Options'!$B:$B,D$4)+SUMIFS('BSE - SENSEX Index Options'!$M:$M,'BSE - SENSEX Index Options'!$C:$C,$A115,'BSE - SENSEX Index Options'!$B:$B,D$4)+SUMIFS('BSE - Other Index Options'!$M:$M,'BSE - Other Index Options'!$C:$C,$A115,'BSE - Other Index Options'!$B:$B,D$4))</f>
        <v/>
      </c>
      <c r="E115" s="26">
        <f>IF(SUMIFS('NSE - NIFTY Index Options'!$M:$M,'NSE - NIFTY Index Options'!$C:$C,$A115,'NSE - NIFTY Index Options'!$B:$B,E$4)+SUMIFS('NSE - Other Index Options'!$M:$M,'NSE - Other Index Options'!$C:$C,$A115,'NSE - Other Index Options'!$B:$B,E$4)+SUMIFS('BSE - SENSEX Index Options'!$M:$M,'BSE - SENSEX Index Options'!$C:$C,$A115,'BSE - SENSEX Index Options'!$B:$B,E$4)+SUMIFS('BSE - Other Index Options'!$M:$M,'BSE - Other Index Options'!$C:$C,$A115,'BSE - Other Index Options'!$B:$B,E$4)=0,"",SUMIFS('NSE - NIFTY Index Options'!$M:$M,'NSE - NIFTY Index Options'!$C:$C,$A115,'NSE - NIFTY Index Options'!$B:$B,E$4)+SUMIFS('NSE - Other Index Options'!$M:$M,'NSE - Other Index Options'!$C:$C,$A115,'NSE - Other Index Options'!$B:$B,E$4)+SUMIFS('BSE - SENSEX Index Options'!$M:$M,'BSE - SENSEX Index Options'!$C:$C,$A115,'BSE - SENSEX Index Options'!$B:$B,E$4)+SUMIFS('BSE - Other Index Options'!$M:$M,'BSE - Other Index Options'!$C:$C,$A115,'BSE - Other Index Options'!$B:$B,E$4))</f>
        <v/>
      </c>
      <c r="F115" s="26">
        <f>IF(SUMIFS('NSE - NIFTY Index Options'!$M:$M,'NSE - NIFTY Index Options'!$C:$C,$A115,'NSE - NIFTY Index Options'!$B:$B,F$4)+SUMIFS('NSE - Other Index Options'!$M:$M,'NSE - Other Index Options'!$C:$C,$A115,'NSE - Other Index Options'!$B:$B,F$4)+SUMIFS('BSE - SENSEX Index Options'!$M:$M,'BSE - SENSEX Index Options'!$C:$C,$A115,'BSE - SENSEX Index Options'!$B:$B,F$4)+SUMIFS('BSE - Other Index Options'!$M:$M,'BSE - Other Index Options'!$C:$C,$A115,'BSE - Other Index Options'!$B:$B,F$4)=0,"",SUMIFS('NSE - NIFTY Index Options'!$M:$M,'NSE - NIFTY Index Options'!$C:$C,$A115,'NSE - NIFTY Index Options'!$B:$B,F$4)+SUMIFS('NSE - Other Index Options'!$M:$M,'NSE - Other Index Options'!$C:$C,$A115,'NSE - Other Index Options'!$B:$B,F$4)+SUMIFS('BSE - SENSEX Index Options'!$M:$M,'BSE - SENSEX Index Options'!$C:$C,$A115,'BSE - SENSEX Index Options'!$B:$B,F$4)+SUMIFS('BSE - Other Index Options'!$M:$M,'BSE - Other Index Options'!$C:$C,$A115,'BSE - Other Index Options'!$B:$B,F$4))</f>
        <v/>
      </c>
      <c r="G115" s="26">
        <f>IF(SUMIFS('NSE - NIFTY Index Options'!$M:$M,'NSE - NIFTY Index Options'!$C:$C,$A115,'NSE - NIFTY Index Options'!$B:$B,G$4)+SUMIFS('NSE - Other Index Options'!$M:$M,'NSE - Other Index Options'!$C:$C,$A115,'NSE - Other Index Options'!$B:$B,G$4)+SUMIFS('BSE - SENSEX Index Options'!$M:$M,'BSE - SENSEX Index Options'!$C:$C,$A115,'BSE - SENSEX Index Options'!$B:$B,G$4)+SUMIFS('BSE - Other Index Options'!$M:$M,'BSE - Other Index Options'!$C:$C,$A115,'BSE - Other Index Options'!$B:$B,G$4)=0,"",SUMIFS('NSE - NIFTY Index Options'!$M:$M,'NSE - NIFTY Index Options'!$C:$C,$A115,'NSE - NIFTY Index Options'!$B:$B,G$4)+SUMIFS('NSE - Other Index Options'!$M:$M,'NSE - Other Index Options'!$C:$C,$A115,'NSE - Other Index Options'!$B:$B,G$4)+SUMIFS('BSE - SENSEX Index Options'!$M:$M,'BSE - SENSEX Index Options'!$C:$C,$A115,'BSE - SENSEX Index Options'!$B:$B,G$4)+SUMIFS('BSE - Other Index Options'!$M:$M,'BSE - Other Index Options'!$C:$C,$A115,'BSE - Other Index Options'!$B:$B,G$4))</f>
        <v/>
      </c>
      <c r="H115" s="26">
        <f>IF(SUM(B115:G115)=0,"",SUM(B115:G115))</f>
        <v/>
      </c>
    </row>
    <row r="116" hidden="1" outlineLevel="1">
      <c r="A116" t="inlineStr">
        <is>
          <t>Week4-Jul-2027</t>
        </is>
      </c>
      <c r="B116" s="26">
        <f>IF(SUMIFS('NSE - NIFTY Index Options'!$M:$M,'NSE - NIFTY Index Options'!$C:$C,$A116,'NSE - NIFTY Index Options'!$B:$B,B$4)+SUMIFS('NSE - Other Index Options'!$M:$M,'NSE - Other Index Options'!$C:$C,$A116,'NSE - Other Index Options'!$B:$B,B$4)+SUMIFS('BSE - SENSEX Index Options'!$M:$M,'BSE - SENSEX Index Options'!$C:$C,$A116,'BSE - SENSEX Index Options'!$B:$B,B$4)+SUMIFS('BSE - Other Index Options'!$M:$M,'BSE - Other Index Options'!$C:$C,$A116,'BSE - Other Index Options'!$B:$B,B$4)=0,"",SUMIFS('NSE - NIFTY Index Options'!$M:$M,'NSE - NIFTY Index Options'!$C:$C,$A116,'NSE - NIFTY Index Options'!$B:$B,B$4)+SUMIFS('NSE - Other Index Options'!$M:$M,'NSE - Other Index Options'!$C:$C,$A116,'NSE - Other Index Options'!$B:$B,B$4)+SUMIFS('BSE - SENSEX Index Options'!$M:$M,'BSE - SENSEX Index Options'!$C:$C,$A116,'BSE - SENSEX Index Options'!$B:$B,B$4)+SUMIFS('BSE - Other Index Options'!$M:$M,'BSE - Other Index Options'!$C:$C,$A116,'BSE - Other Index Options'!$B:$B,B$4))</f>
        <v/>
      </c>
      <c r="C116" s="26">
        <f>IF(SUMIFS('NSE - NIFTY Index Options'!$M:$M,'NSE - NIFTY Index Options'!$C:$C,$A116,'NSE - NIFTY Index Options'!$B:$B,C$4)+SUMIFS('NSE - Other Index Options'!$M:$M,'NSE - Other Index Options'!$C:$C,$A116,'NSE - Other Index Options'!$B:$B,C$4)+SUMIFS('BSE - SENSEX Index Options'!$M:$M,'BSE - SENSEX Index Options'!$C:$C,$A116,'BSE - SENSEX Index Options'!$B:$B,C$4)+SUMIFS('BSE - Other Index Options'!$M:$M,'BSE - Other Index Options'!$C:$C,$A116,'BSE - Other Index Options'!$B:$B,C$4)=0,"",SUMIFS('NSE - NIFTY Index Options'!$M:$M,'NSE - NIFTY Index Options'!$C:$C,$A116,'NSE - NIFTY Index Options'!$B:$B,C$4)+SUMIFS('NSE - Other Index Options'!$M:$M,'NSE - Other Index Options'!$C:$C,$A116,'NSE - Other Index Options'!$B:$B,C$4)+SUMIFS('BSE - SENSEX Index Options'!$M:$M,'BSE - SENSEX Index Options'!$C:$C,$A116,'BSE - SENSEX Index Options'!$B:$B,C$4)+SUMIFS('BSE - Other Index Options'!$M:$M,'BSE - Other Index Options'!$C:$C,$A116,'BSE - Other Index Options'!$B:$B,C$4))</f>
        <v/>
      </c>
      <c r="D116" s="26">
        <f>IF(SUMIFS('NSE - NIFTY Index Options'!$M:$M,'NSE - NIFTY Index Options'!$C:$C,$A116,'NSE - NIFTY Index Options'!$B:$B,D$4)+SUMIFS('NSE - Other Index Options'!$M:$M,'NSE - Other Index Options'!$C:$C,$A116,'NSE - Other Index Options'!$B:$B,D$4)+SUMIFS('BSE - SENSEX Index Options'!$M:$M,'BSE - SENSEX Index Options'!$C:$C,$A116,'BSE - SENSEX Index Options'!$B:$B,D$4)+SUMIFS('BSE - Other Index Options'!$M:$M,'BSE - Other Index Options'!$C:$C,$A116,'BSE - Other Index Options'!$B:$B,D$4)=0,"",SUMIFS('NSE - NIFTY Index Options'!$M:$M,'NSE - NIFTY Index Options'!$C:$C,$A116,'NSE - NIFTY Index Options'!$B:$B,D$4)+SUMIFS('NSE - Other Index Options'!$M:$M,'NSE - Other Index Options'!$C:$C,$A116,'NSE - Other Index Options'!$B:$B,D$4)+SUMIFS('BSE - SENSEX Index Options'!$M:$M,'BSE - SENSEX Index Options'!$C:$C,$A116,'BSE - SENSEX Index Options'!$B:$B,D$4)+SUMIFS('BSE - Other Index Options'!$M:$M,'BSE - Other Index Options'!$C:$C,$A116,'BSE - Other Index Options'!$B:$B,D$4))</f>
        <v/>
      </c>
      <c r="E116" s="26">
        <f>IF(SUMIFS('NSE - NIFTY Index Options'!$M:$M,'NSE - NIFTY Index Options'!$C:$C,$A116,'NSE - NIFTY Index Options'!$B:$B,E$4)+SUMIFS('NSE - Other Index Options'!$M:$M,'NSE - Other Index Options'!$C:$C,$A116,'NSE - Other Index Options'!$B:$B,E$4)+SUMIFS('BSE - SENSEX Index Options'!$M:$M,'BSE - SENSEX Index Options'!$C:$C,$A116,'BSE - SENSEX Index Options'!$B:$B,E$4)+SUMIFS('BSE - Other Index Options'!$M:$M,'BSE - Other Index Options'!$C:$C,$A116,'BSE - Other Index Options'!$B:$B,E$4)=0,"",SUMIFS('NSE - NIFTY Index Options'!$M:$M,'NSE - NIFTY Index Options'!$C:$C,$A116,'NSE - NIFTY Index Options'!$B:$B,E$4)+SUMIFS('NSE - Other Index Options'!$M:$M,'NSE - Other Index Options'!$C:$C,$A116,'NSE - Other Index Options'!$B:$B,E$4)+SUMIFS('BSE - SENSEX Index Options'!$M:$M,'BSE - SENSEX Index Options'!$C:$C,$A116,'BSE - SENSEX Index Options'!$B:$B,E$4)+SUMIFS('BSE - Other Index Options'!$M:$M,'BSE - Other Index Options'!$C:$C,$A116,'BSE - Other Index Options'!$B:$B,E$4))</f>
        <v/>
      </c>
      <c r="F116" s="26">
        <f>IF(SUMIFS('NSE - NIFTY Index Options'!$M:$M,'NSE - NIFTY Index Options'!$C:$C,$A116,'NSE - NIFTY Index Options'!$B:$B,F$4)+SUMIFS('NSE - Other Index Options'!$M:$M,'NSE - Other Index Options'!$C:$C,$A116,'NSE - Other Index Options'!$B:$B,F$4)+SUMIFS('BSE - SENSEX Index Options'!$M:$M,'BSE - SENSEX Index Options'!$C:$C,$A116,'BSE - SENSEX Index Options'!$B:$B,F$4)+SUMIFS('BSE - Other Index Options'!$M:$M,'BSE - Other Index Options'!$C:$C,$A116,'BSE - Other Index Options'!$B:$B,F$4)=0,"",SUMIFS('NSE - NIFTY Index Options'!$M:$M,'NSE - NIFTY Index Options'!$C:$C,$A116,'NSE - NIFTY Index Options'!$B:$B,F$4)+SUMIFS('NSE - Other Index Options'!$M:$M,'NSE - Other Index Options'!$C:$C,$A116,'NSE - Other Index Options'!$B:$B,F$4)+SUMIFS('BSE - SENSEX Index Options'!$M:$M,'BSE - SENSEX Index Options'!$C:$C,$A116,'BSE - SENSEX Index Options'!$B:$B,F$4)+SUMIFS('BSE - Other Index Options'!$M:$M,'BSE - Other Index Options'!$C:$C,$A116,'BSE - Other Index Options'!$B:$B,F$4))</f>
        <v/>
      </c>
      <c r="G116" s="26">
        <f>IF(SUMIFS('NSE - NIFTY Index Options'!$M:$M,'NSE - NIFTY Index Options'!$C:$C,$A116,'NSE - NIFTY Index Options'!$B:$B,G$4)+SUMIFS('NSE - Other Index Options'!$M:$M,'NSE - Other Index Options'!$C:$C,$A116,'NSE - Other Index Options'!$B:$B,G$4)+SUMIFS('BSE - SENSEX Index Options'!$M:$M,'BSE - SENSEX Index Options'!$C:$C,$A116,'BSE - SENSEX Index Options'!$B:$B,G$4)+SUMIFS('BSE - Other Index Options'!$M:$M,'BSE - Other Index Options'!$C:$C,$A116,'BSE - Other Index Options'!$B:$B,G$4)=0,"",SUMIFS('NSE - NIFTY Index Options'!$M:$M,'NSE - NIFTY Index Options'!$C:$C,$A116,'NSE - NIFTY Index Options'!$B:$B,G$4)+SUMIFS('NSE - Other Index Options'!$M:$M,'NSE - Other Index Options'!$C:$C,$A116,'NSE - Other Index Options'!$B:$B,G$4)+SUMIFS('BSE - SENSEX Index Options'!$M:$M,'BSE - SENSEX Index Options'!$C:$C,$A116,'BSE - SENSEX Index Options'!$B:$B,G$4)+SUMIFS('BSE - Other Index Options'!$M:$M,'BSE - Other Index Options'!$C:$C,$A116,'BSE - Other Index Options'!$B:$B,G$4))</f>
        <v/>
      </c>
      <c r="H116" s="26">
        <f>IF(SUM(B116:G116)=0,"",SUM(B116:G116))</f>
        <v/>
      </c>
    </row>
    <row r="117" hidden="1" outlineLevel="1">
      <c r="A117" t="inlineStr">
        <is>
          <t>Week5-Jul-2027</t>
        </is>
      </c>
      <c r="B117" s="26">
        <f>IF(SUMIFS('NSE - NIFTY Index Options'!$M:$M,'NSE - NIFTY Index Options'!$C:$C,$A117,'NSE - NIFTY Index Options'!$B:$B,B$4)+SUMIFS('NSE - Other Index Options'!$M:$M,'NSE - Other Index Options'!$C:$C,$A117,'NSE - Other Index Options'!$B:$B,B$4)+SUMIFS('BSE - SENSEX Index Options'!$M:$M,'BSE - SENSEX Index Options'!$C:$C,$A117,'BSE - SENSEX Index Options'!$B:$B,B$4)+SUMIFS('BSE - Other Index Options'!$M:$M,'BSE - Other Index Options'!$C:$C,$A117,'BSE - Other Index Options'!$B:$B,B$4)=0,"",SUMIFS('NSE - NIFTY Index Options'!$M:$M,'NSE - NIFTY Index Options'!$C:$C,$A117,'NSE - NIFTY Index Options'!$B:$B,B$4)+SUMIFS('NSE - Other Index Options'!$M:$M,'NSE - Other Index Options'!$C:$C,$A117,'NSE - Other Index Options'!$B:$B,B$4)+SUMIFS('BSE - SENSEX Index Options'!$M:$M,'BSE - SENSEX Index Options'!$C:$C,$A117,'BSE - SENSEX Index Options'!$B:$B,B$4)+SUMIFS('BSE - Other Index Options'!$M:$M,'BSE - Other Index Options'!$C:$C,$A117,'BSE - Other Index Options'!$B:$B,B$4))</f>
        <v/>
      </c>
      <c r="C117" s="26">
        <f>IF(SUMIFS('NSE - NIFTY Index Options'!$M:$M,'NSE - NIFTY Index Options'!$C:$C,$A117,'NSE - NIFTY Index Options'!$B:$B,C$4)+SUMIFS('NSE - Other Index Options'!$M:$M,'NSE - Other Index Options'!$C:$C,$A117,'NSE - Other Index Options'!$B:$B,C$4)+SUMIFS('BSE - SENSEX Index Options'!$M:$M,'BSE - SENSEX Index Options'!$C:$C,$A117,'BSE - SENSEX Index Options'!$B:$B,C$4)+SUMIFS('BSE - Other Index Options'!$M:$M,'BSE - Other Index Options'!$C:$C,$A117,'BSE - Other Index Options'!$B:$B,C$4)=0,"",SUMIFS('NSE - NIFTY Index Options'!$M:$M,'NSE - NIFTY Index Options'!$C:$C,$A117,'NSE - NIFTY Index Options'!$B:$B,C$4)+SUMIFS('NSE - Other Index Options'!$M:$M,'NSE - Other Index Options'!$C:$C,$A117,'NSE - Other Index Options'!$B:$B,C$4)+SUMIFS('BSE - SENSEX Index Options'!$M:$M,'BSE - SENSEX Index Options'!$C:$C,$A117,'BSE - SENSEX Index Options'!$B:$B,C$4)+SUMIFS('BSE - Other Index Options'!$M:$M,'BSE - Other Index Options'!$C:$C,$A117,'BSE - Other Index Options'!$B:$B,C$4))</f>
        <v/>
      </c>
      <c r="D117" s="26">
        <f>IF(SUMIFS('NSE - NIFTY Index Options'!$M:$M,'NSE - NIFTY Index Options'!$C:$C,$A117,'NSE - NIFTY Index Options'!$B:$B,D$4)+SUMIFS('NSE - Other Index Options'!$M:$M,'NSE - Other Index Options'!$C:$C,$A117,'NSE - Other Index Options'!$B:$B,D$4)+SUMIFS('BSE - SENSEX Index Options'!$M:$M,'BSE - SENSEX Index Options'!$C:$C,$A117,'BSE - SENSEX Index Options'!$B:$B,D$4)+SUMIFS('BSE - Other Index Options'!$M:$M,'BSE - Other Index Options'!$C:$C,$A117,'BSE - Other Index Options'!$B:$B,D$4)=0,"",SUMIFS('NSE - NIFTY Index Options'!$M:$M,'NSE - NIFTY Index Options'!$C:$C,$A117,'NSE - NIFTY Index Options'!$B:$B,D$4)+SUMIFS('NSE - Other Index Options'!$M:$M,'NSE - Other Index Options'!$C:$C,$A117,'NSE - Other Index Options'!$B:$B,D$4)+SUMIFS('BSE - SENSEX Index Options'!$M:$M,'BSE - SENSEX Index Options'!$C:$C,$A117,'BSE - SENSEX Index Options'!$B:$B,D$4)+SUMIFS('BSE - Other Index Options'!$M:$M,'BSE - Other Index Options'!$C:$C,$A117,'BSE - Other Index Options'!$B:$B,D$4))</f>
        <v/>
      </c>
      <c r="E117" s="26">
        <f>IF(SUMIFS('NSE - NIFTY Index Options'!$M:$M,'NSE - NIFTY Index Options'!$C:$C,$A117,'NSE - NIFTY Index Options'!$B:$B,E$4)+SUMIFS('NSE - Other Index Options'!$M:$M,'NSE - Other Index Options'!$C:$C,$A117,'NSE - Other Index Options'!$B:$B,E$4)+SUMIFS('BSE - SENSEX Index Options'!$M:$M,'BSE - SENSEX Index Options'!$C:$C,$A117,'BSE - SENSEX Index Options'!$B:$B,E$4)+SUMIFS('BSE - Other Index Options'!$M:$M,'BSE - Other Index Options'!$C:$C,$A117,'BSE - Other Index Options'!$B:$B,E$4)=0,"",SUMIFS('NSE - NIFTY Index Options'!$M:$M,'NSE - NIFTY Index Options'!$C:$C,$A117,'NSE - NIFTY Index Options'!$B:$B,E$4)+SUMIFS('NSE - Other Index Options'!$M:$M,'NSE - Other Index Options'!$C:$C,$A117,'NSE - Other Index Options'!$B:$B,E$4)+SUMIFS('BSE - SENSEX Index Options'!$M:$M,'BSE - SENSEX Index Options'!$C:$C,$A117,'BSE - SENSEX Index Options'!$B:$B,E$4)+SUMIFS('BSE - Other Index Options'!$M:$M,'BSE - Other Index Options'!$C:$C,$A117,'BSE - Other Index Options'!$B:$B,E$4))</f>
        <v/>
      </c>
      <c r="F117" s="26">
        <f>IF(SUMIFS('NSE - NIFTY Index Options'!$M:$M,'NSE - NIFTY Index Options'!$C:$C,$A117,'NSE - NIFTY Index Options'!$B:$B,F$4)+SUMIFS('NSE - Other Index Options'!$M:$M,'NSE - Other Index Options'!$C:$C,$A117,'NSE - Other Index Options'!$B:$B,F$4)+SUMIFS('BSE - SENSEX Index Options'!$M:$M,'BSE - SENSEX Index Options'!$C:$C,$A117,'BSE - SENSEX Index Options'!$B:$B,F$4)+SUMIFS('BSE - Other Index Options'!$M:$M,'BSE - Other Index Options'!$C:$C,$A117,'BSE - Other Index Options'!$B:$B,F$4)=0,"",SUMIFS('NSE - NIFTY Index Options'!$M:$M,'NSE - NIFTY Index Options'!$C:$C,$A117,'NSE - NIFTY Index Options'!$B:$B,F$4)+SUMIFS('NSE - Other Index Options'!$M:$M,'NSE - Other Index Options'!$C:$C,$A117,'NSE - Other Index Options'!$B:$B,F$4)+SUMIFS('BSE - SENSEX Index Options'!$M:$M,'BSE - SENSEX Index Options'!$C:$C,$A117,'BSE - SENSEX Index Options'!$B:$B,F$4)+SUMIFS('BSE - Other Index Options'!$M:$M,'BSE - Other Index Options'!$C:$C,$A117,'BSE - Other Index Options'!$B:$B,F$4))</f>
        <v/>
      </c>
      <c r="G117" s="26">
        <f>IF(SUMIFS('NSE - NIFTY Index Options'!$M:$M,'NSE - NIFTY Index Options'!$C:$C,$A117,'NSE - NIFTY Index Options'!$B:$B,G$4)+SUMIFS('NSE - Other Index Options'!$M:$M,'NSE - Other Index Options'!$C:$C,$A117,'NSE - Other Index Options'!$B:$B,G$4)+SUMIFS('BSE - SENSEX Index Options'!$M:$M,'BSE - SENSEX Index Options'!$C:$C,$A117,'BSE - SENSEX Index Options'!$B:$B,G$4)+SUMIFS('BSE - Other Index Options'!$M:$M,'BSE - Other Index Options'!$C:$C,$A117,'BSE - Other Index Options'!$B:$B,G$4)=0,"",SUMIFS('NSE - NIFTY Index Options'!$M:$M,'NSE - NIFTY Index Options'!$C:$C,$A117,'NSE - NIFTY Index Options'!$B:$B,G$4)+SUMIFS('NSE - Other Index Options'!$M:$M,'NSE - Other Index Options'!$C:$C,$A117,'NSE - Other Index Options'!$B:$B,G$4)+SUMIFS('BSE - SENSEX Index Options'!$M:$M,'BSE - SENSEX Index Options'!$C:$C,$A117,'BSE - SENSEX Index Options'!$B:$B,G$4)+SUMIFS('BSE - Other Index Options'!$M:$M,'BSE - Other Index Options'!$C:$C,$A117,'BSE - Other Index Options'!$B:$B,G$4))</f>
        <v/>
      </c>
      <c r="H117" s="26">
        <f>IF(SUM(B117:G117)=0,"",SUM(B117:G117))</f>
        <v/>
      </c>
    </row>
    <row r="118" hidden="1" outlineLevel="1">
      <c r="A118" t="inlineStr">
        <is>
          <t>Week1-Aug-2027</t>
        </is>
      </c>
      <c r="B118" s="26">
        <f>IF(SUMIFS('NSE - NIFTY Index Options'!$M:$M,'NSE - NIFTY Index Options'!$C:$C,$A118,'NSE - NIFTY Index Options'!$B:$B,B$4)+SUMIFS('NSE - Other Index Options'!$M:$M,'NSE - Other Index Options'!$C:$C,$A118,'NSE - Other Index Options'!$B:$B,B$4)+SUMIFS('BSE - SENSEX Index Options'!$M:$M,'BSE - SENSEX Index Options'!$C:$C,$A118,'BSE - SENSEX Index Options'!$B:$B,B$4)+SUMIFS('BSE - Other Index Options'!$M:$M,'BSE - Other Index Options'!$C:$C,$A118,'BSE - Other Index Options'!$B:$B,B$4)=0,"",SUMIFS('NSE - NIFTY Index Options'!$M:$M,'NSE - NIFTY Index Options'!$C:$C,$A118,'NSE - NIFTY Index Options'!$B:$B,B$4)+SUMIFS('NSE - Other Index Options'!$M:$M,'NSE - Other Index Options'!$C:$C,$A118,'NSE - Other Index Options'!$B:$B,B$4)+SUMIFS('BSE - SENSEX Index Options'!$M:$M,'BSE - SENSEX Index Options'!$C:$C,$A118,'BSE - SENSEX Index Options'!$B:$B,B$4)+SUMIFS('BSE - Other Index Options'!$M:$M,'BSE - Other Index Options'!$C:$C,$A118,'BSE - Other Index Options'!$B:$B,B$4))</f>
        <v/>
      </c>
      <c r="C118" s="26">
        <f>IF(SUMIFS('NSE - NIFTY Index Options'!$M:$M,'NSE - NIFTY Index Options'!$C:$C,$A118,'NSE - NIFTY Index Options'!$B:$B,C$4)+SUMIFS('NSE - Other Index Options'!$M:$M,'NSE - Other Index Options'!$C:$C,$A118,'NSE - Other Index Options'!$B:$B,C$4)+SUMIFS('BSE - SENSEX Index Options'!$M:$M,'BSE - SENSEX Index Options'!$C:$C,$A118,'BSE - SENSEX Index Options'!$B:$B,C$4)+SUMIFS('BSE - Other Index Options'!$M:$M,'BSE - Other Index Options'!$C:$C,$A118,'BSE - Other Index Options'!$B:$B,C$4)=0,"",SUMIFS('NSE - NIFTY Index Options'!$M:$M,'NSE - NIFTY Index Options'!$C:$C,$A118,'NSE - NIFTY Index Options'!$B:$B,C$4)+SUMIFS('NSE - Other Index Options'!$M:$M,'NSE - Other Index Options'!$C:$C,$A118,'NSE - Other Index Options'!$B:$B,C$4)+SUMIFS('BSE - SENSEX Index Options'!$M:$M,'BSE - SENSEX Index Options'!$C:$C,$A118,'BSE - SENSEX Index Options'!$B:$B,C$4)+SUMIFS('BSE - Other Index Options'!$M:$M,'BSE - Other Index Options'!$C:$C,$A118,'BSE - Other Index Options'!$B:$B,C$4))</f>
        <v/>
      </c>
      <c r="D118" s="26">
        <f>IF(SUMIFS('NSE - NIFTY Index Options'!$M:$M,'NSE - NIFTY Index Options'!$C:$C,$A118,'NSE - NIFTY Index Options'!$B:$B,D$4)+SUMIFS('NSE - Other Index Options'!$M:$M,'NSE - Other Index Options'!$C:$C,$A118,'NSE - Other Index Options'!$B:$B,D$4)+SUMIFS('BSE - SENSEX Index Options'!$M:$M,'BSE - SENSEX Index Options'!$C:$C,$A118,'BSE - SENSEX Index Options'!$B:$B,D$4)+SUMIFS('BSE - Other Index Options'!$M:$M,'BSE - Other Index Options'!$C:$C,$A118,'BSE - Other Index Options'!$B:$B,D$4)=0,"",SUMIFS('NSE - NIFTY Index Options'!$M:$M,'NSE - NIFTY Index Options'!$C:$C,$A118,'NSE - NIFTY Index Options'!$B:$B,D$4)+SUMIFS('NSE - Other Index Options'!$M:$M,'NSE - Other Index Options'!$C:$C,$A118,'NSE - Other Index Options'!$B:$B,D$4)+SUMIFS('BSE - SENSEX Index Options'!$M:$M,'BSE - SENSEX Index Options'!$C:$C,$A118,'BSE - SENSEX Index Options'!$B:$B,D$4)+SUMIFS('BSE - Other Index Options'!$M:$M,'BSE - Other Index Options'!$C:$C,$A118,'BSE - Other Index Options'!$B:$B,D$4))</f>
        <v/>
      </c>
      <c r="E118" s="26">
        <f>IF(SUMIFS('NSE - NIFTY Index Options'!$M:$M,'NSE - NIFTY Index Options'!$C:$C,$A118,'NSE - NIFTY Index Options'!$B:$B,E$4)+SUMIFS('NSE - Other Index Options'!$M:$M,'NSE - Other Index Options'!$C:$C,$A118,'NSE - Other Index Options'!$B:$B,E$4)+SUMIFS('BSE - SENSEX Index Options'!$M:$M,'BSE - SENSEX Index Options'!$C:$C,$A118,'BSE - SENSEX Index Options'!$B:$B,E$4)+SUMIFS('BSE - Other Index Options'!$M:$M,'BSE - Other Index Options'!$C:$C,$A118,'BSE - Other Index Options'!$B:$B,E$4)=0,"",SUMIFS('NSE - NIFTY Index Options'!$M:$M,'NSE - NIFTY Index Options'!$C:$C,$A118,'NSE - NIFTY Index Options'!$B:$B,E$4)+SUMIFS('NSE - Other Index Options'!$M:$M,'NSE - Other Index Options'!$C:$C,$A118,'NSE - Other Index Options'!$B:$B,E$4)+SUMIFS('BSE - SENSEX Index Options'!$M:$M,'BSE - SENSEX Index Options'!$C:$C,$A118,'BSE - SENSEX Index Options'!$B:$B,E$4)+SUMIFS('BSE - Other Index Options'!$M:$M,'BSE - Other Index Options'!$C:$C,$A118,'BSE - Other Index Options'!$B:$B,E$4))</f>
        <v/>
      </c>
      <c r="F118" s="26">
        <f>IF(SUMIFS('NSE - NIFTY Index Options'!$M:$M,'NSE - NIFTY Index Options'!$C:$C,$A118,'NSE - NIFTY Index Options'!$B:$B,F$4)+SUMIFS('NSE - Other Index Options'!$M:$M,'NSE - Other Index Options'!$C:$C,$A118,'NSE - Other Index Options'!$B:$B,F$4)+SUMIFS('BSE - SENSEX Index Options'!$M:$M,'BSE - SENSEX Index Options'!$C:$C,$A118,'BSE - SENSEX Index Options'!$B:$B,F$4)+SUMIFS('BSE - Other Index Options'!$M:$M,'BSE - Other Index Options'!$C:$C,$A118,'BSE - Other Index Options'!$B:$B,F$4)=0,"",SUMIFS('NSE - NIFTY Index Options'!$M:$M,'NSE - NIFTY Index Options'!$C:$C,$A118,'NSE - NIFTY Index Options'!$B:$B,F$4)+SUMIFS('NSE - Other Index Options'!$M:$M,'NSE - Other Index Options'!$C:$C,$A118,'NSE - Other Index Options'!$B:$B,F$4)+SUMIFS('BSE - SENSEX Index Options'!$M:$M,'BSE - SENSEX Index Options'!$C:$C,$A118,'BSE - SENSEX Index Options'!$B:$B,F$4)+SUMIFS('BSE - Other Index Options'!$M:$M,'BSE - Other Index Options'!$C:$C,$A118,'BSE - Other Index Options'!$B:$B,F$4))</f>
        <v/>
      </c>
      <c r="G118" s="26">
        <f>IF(SUMIFS('NSE - NIFTY Index Options'!$M:$M,'NSE - NIFTY Index Options'!$C:$C,$A118,'NSE - NIFTY Index Options'!$B:$B,G$4)+SUMIFS('NSE - Other Index Options'!$M:$M,'NSE - Other Index Options'!$C:$C,$A118,'NSE - Other Index Options'!$B:$B,G$4)+SUMIFS('BSE - SENSEX Index Options'!$M:$M,'BSE - SENSEX Index Options'!$C:$C,$A118,'BSE - SENSEX Index Options'!$B:$B,G$4)+SUMIFS('BSE - Other Index Options'!$M:$M,'BSE - Other Index Options'!$C:$C,$A118,'BSE - Other Index Options'!$B:$B,G$4)=0,"",SUMIFS('NSE - NIFTY Index Options'!$M:$M,'NSE - NIFTY Index Options'!$C:$C,$A118,'NSE - NIFTY Index Options'!$B:$B,G$4)+SUMIFS('NSE - Other Index Options'!$M:$M,'NSE - Other Index Options'!$C:$C,$A118,'NSE - Other Index Options'!$B:$B,G$4)+SUMIFS('BSE - SENSEX Index Options'!$M:$M,'BSE - SENSEX Index Options'!$C:$C,$A118,'BSE - SENSEX Index Options'!$B:$B,G$4)+SUMIFS('BSE - Other Index Options'!$M:$M,'BSE - Other Index Options'!$C:$C,$A118,'BSE - Other Index Options'!$B:$B,G$4))</f>
        <v/>
      </c>
      <c r="H118" s="26">
        <f>IF(SUM(B118:G118)=0,"",SUM(B118:G118))</f>
        <v/>
      </c>
    </row>
    <row r="119" hidden="1" outlineLevel="1">
      <c r="A119" t="inlineStr">
        <is>
          <t>Week2-Aug-2027</t>
        </is>
      </c>
      <c r="B119" s="26">
        <f>IF(SUMIFS('NSE - NIFTY Index Options'!$M:$M,'NSE - NIFTY Index Options'!$C:$C,$A119,'NSE - NIFTY Index Options'!$B:$B,B$4)+SUMIFS('NSE - Other Index Options'!$M:$M,'NSE - Other Index Options'!$C:$C,$A119,'NSE - Other Index Options'!$B:$B,B$4)+SUMIFS('BSE - SENSEX Index Options'!$M:$M,'BSE - SENSEX Index Options'!$C:$C,$A119,'BSE - SENSEX Index Options'!$B:$B,B$4)+SUMIFS('BSE - Other Index Options'!$M:$M,'BSE - Other Index Options'!$C:$C,$A119,'BSE - Other Index Options'!$B:$B,B$4)=0,"",SUMIFS('NSE - NIFTY Index Options'!$M:$M,'NSE - NIFTY Index Options'!$C:$C,$A119,'NSE - NIFTY Index Options'!$B:$B,B$4)+SUMIFS('NSE - Other Index Options'!$M:$M,'NSE - Other Index Options'!$C:$C,$A119,'NSE - Other Index Options'!$B:$B,B$4)+SUMIFS('BSE - SENSEX Index Options'!$M:$M,'BSE - SENSEX Index Options'!$C:$C,$A119,'BSE - SENSEX Index Options'!$B:$B,B$4)+SUMIFS('BSE - Other Index Options'!$M:$M,'BSE - Other Index Options'!$C:$C,$A119,'BSE - Other Index Options'!$B:$B,B$4))</f>
        <v/>
      </c>
      <c r="C119" s="26">
        <f>IF(SUMIFS('NSE - NIFTY Index Options'!$M:$M,'NSE - NIFTY Index Options'!$C:$C,$A119,'NSE - NIFTY Index Options'!$B:$B,C$4)+SUMIFS('NSE - Other Index Options'!$M:$M,'NSE - Other Index Options'!$C:$C,$A119,'NSE - Other Index Options'!$B:$B,C$4)+SUMIFS('BSE - SENSEX Index Options'!$M:$M,'BSE - SENSEX Index Options'!$C:$C,$A119,'BSE - SENSEX Index Options'!$B:$B,C$4)+SUMIFS('BSE - Other Index Options'!$M:$M,'BSE - Other Index Options'!$C:$C,$A119,'BSE - Other Index Options'!$B:$B,C$4)=0,"",SUMIFS('NSE - NIFTY Index Options'!$M:$M,'NSE - NIFTY Index Options'!$C:$C,$A119,'NSE - NIFTY Index Options'!$B:$B,C$4)+SUMIFS('NSE - Other Index Options'!$M:$M,'NSE - Other Index Options'!$C:$C,$A119,'NSE - Other Index Options'!$B:$B,C$4)+SUMIFS('BSE - SENSEX Index Options'!$M:$M,'BSE - SENSEX Index Options'!$C:$C,$A119,'BSE - SENSEX Index Options'!$B:$B,C$4)+SUMIFS('BSE - Other Index Options'!$M:$M,'BSE - Other Index Options'!$C:$C,$A119,'BSE - Other Index Options'!$B:$B,C$4))</f>
        <v/>
      </c>
      <c r="D119" s="26">
        <f>IF(SUMIFS('NSE - NIFTY Index Options'!$M:$M,'NSE - NIFTY Index Options'!$C:$C,$A119,'NSE - NIFTY Index Options'!$B:$B,D$4)+SUMIFS('NSE - Other Index Options'!$M:$M,'NSE - Other Index Options'!$C:$C,$A119,'NSE - Other Index Options'!$B:$B,D$4)+SUMIFS('BSE - SENSEX Index Options'!$M:$M,'BSE - SENSEX Index Options'!$C:$C,$A119,'BSE - SENSEX Index Options'!$B:$B,D$4)+SUMIFS('BSE - Other Index Options'!$M:$M,'BSE - Other Index Options'!$C:$C,$A119,'BSE - Other Index Options'!$B:$B,D$4)=0,"",SUMIFS('NSE - NIFTY Index Options'!$M:$M,'NSE - NIFTY Index Options'!$C:$C,$A119,'NSE - NIFTY Index Options'!$B:$B,D$4)+SUMIFS('NSE - Other Index Options'!$M:$M,'NSE - Other Index Options'!$C:$C,$A119,'NSE - Other Index Options'!$B:$B,D$4)+SUMIFS('BSE - SENSEX Index Options'!$M:$M,'BSE - SENSEX Index Options'!$C:$C,$A119,'BSE - SENSEX Index Options'!$B:$B,D$4)+SUMIFS('BSE - Other Index Options'!$M:$M,'BSE - Other Index Options'!$C:$C,$A119,'BSE - Other Index Options'!$B:$B,D$4))</f>
        <v/>
      </c>
      <c r="E119" s="26">
        <f>IF(SUMIFS('NSE - NIFTY Index Options'!$M:$M,'NSE - NIFTY Index Options'!$C:$C,$A119,'NSE - NIFTY Index Options'!$B:$B,E$4)+SUMIFS('NSE - Other Index Options'!$M:$M,'NSE - Other Index Options'!$C:$C,$A119,'NSE - Other Index Options'!$B:$B,E$4)+SUMIFS('BSE - SENSEX Index Options'!$M:$M,'BSE - SENSEX Index Options'!$C:$C,$A119,'BSE - SENSEX Index Options'!$B:$B,E$4)+SUMIFS('BSE - Other Index Options'!$M:$M,'BSE - Other Index Options'!$C:$C,$A119,'BSE - Other Index Options'!$B:$B,E$4)=0,"",SUMIFS('NSE - NIFTY Index Options'!$M:$M,'NSE - NIFTY Index Options'!$C:$C,$A119,'NSE - NIFTY Index Options'!$B:$B,E$4)+SUMIFS('NSE - Other Index Options'!$M:$M,'NSE - Other Index Options'!$C:$C,$A119,'NSE - Other Index Options'!$B:$B,E$4)+SUMIFS('BSE - SENSEX Index Options'!$M:$M,'BSE - SENSEX Index Options'!$C:$C,$A119,'BSE - SENSEX Index Options'!$B:$B,E$4)+SUMIFS('BSE - Other Index Options'!$M:$M,'BSE - Other Index Options'!$C:$C,$A119,'BSE - Other Index Options'!$B:$B,E$4))</f>
        <v/>
      </c>
      <c r="F119" s="26">
        <f>IF(SUMIFS('NSE - NIFTY Index Options'!$M:$M,'NSE - NIFTY Index Options'!$C:$C,$A119,'NSE - NIFTY Index Options'!$B:$B,F$4)+SUMIFS('NSE - Other Index Options'!$M:$M,'NSE - Other Index Options'!$C:$C,$A119,'NSE - Other Index Options'!$B:$B,F$4)+SUMIFS('BSE - SENSEX Index Options'!$M:$M,'BSE - SENSEX Index Options'!$C:$C,$A119,'BSE - SENSEX Index Options'!$B:$B,F$4)+SUMIFS('BSE - Other Index Options'!$M:$M,'BSE - Other Index Options'!$C:$C,$A119,'BSE - Other Index Options'!$B:$B,F$4)=0,"",SUMIFS('NSE - NIFTY Index Options'!$M:$M,'NSE - NIFTY Index Options'!$C:$C,$A119,'NSE - NIFTY Index Options'!$B:$B,F$4)+SUMIFS('NSE - Other Index Options'!$M:$M,'NSE - Other Index Options'!$C:$C,$A119,'NSE - Other Index Options'!$B:$B,F$4)+SUMIFS('BSE - SENSEX Index Options'!$M:$M,'BSE - SENSEX Index Options'!$C:$C,$A119,'BSE - SENSEX Index Options'!$B:$B,F$4)+SUMIFS('BSE - Other Index Options'!$M:$M,'BSE - Other Index Options'!$C:$C,$A119,'BSE - Other Index Options'!$B:$B,F$4))</f>
        <v/>
      </c>
      <c r="G119" s="26">
        <f>IF(SUMIFS('NSE - NIFTY Index Options'!$M:$M,'NSE - NIFTY Index Options'!$C:$C,$A119,'NSE - NIFTY Index Options'!$B:$B,G$4)+SUMIFS('NSE - Other Index Options'!$M:$M,'NSE - Other Index Options'!$C:$C,$A119,'NSE - Other Index Options'!$B:$B,G$4)+SUMIFS('BSE - SENSEX Index Options'!$M:$M,'BSE - SENSEX Index Options'!$C:$C,$A119,'BSE - SENSEX Index Options'!$B:$B,G$4)+SUMIFS('BSE - Other Index Options'!$M:$M,'BSE - Other Index Options'!$C:$C,$A119,'BSE - Other Index Options'!$B:$B,G$4)=0,"",SUMIFS('NSE - NIFTY Index Options'!$M:$M,'NSE - NIFTY Index Options'!$C:$C,$A119,'NSE - NIFTY Index Options'!$B:$B,G$4)+SUMIFS('NSE - Other Index Options'!$M:$M,'NSE - Other Index Options'!$C:$C,$A119,'NSE - Other Index Options'!$B:$B,G$4)+SUMIFS('BSE - SENSEX Index Options'!$M:$M,'BSE - SENSEX Index Options'!$C:$C,$A119,'BSE - SENSEX Index Options'!$B:$B,G$4)+SUMIFS('BSE - Other Index Options'!$M:$M,'BSE - Other Index Options'!$C:$C,$A119,'BSE - Other Index Options'!$B:$B,G$4))</f>
        <v/>
      </c>
      <c r="H119" s="26">
        <f>IF(SUM(B119:G119)=0,"",SUM(B119:G119))</f>
        <v/>
      </c>
    </row>
    <row r="120" hidden="1" outlineLevel="1">
      <c r="A120" t="inlineStr">
        <is>
          <t>Week3-Aug-2027</t>
        </is>
      </c>
      <c r="B120" s="26">
        <f>IF(SUMIFS('NSE - NIFTY Index Options'!$M:$M,'NSE - NIFTY Index Options'!$C:$C,$A120,'NSE - NIFTY Index Options'!$B:$B,B$4)+SUMIFS('NSE - Other Index Options'!$M:$M,'NSE - Other Index Options'!$C:$C,$A120,'NSE - Other Index Options'!$B:$B,B$4)+SUMIFS('BSE - SENSEX Index Options'!$M:$M,'BSE - SENSEX Index Options'!$C:$C,$A120,'BSE - SENSEX Index Options'!$B:$B,B$4)+SUMIFS('BSE - Other Index Options'!$M:$M,'BSE - Other Index Options'!$C:$C,$A120,'BSE - Other Index Options'!$B:$B,B$4)=0,"",SUMIFS('NSE - NIFTY Index Options'!$M:$M,'NSE - NIFTY Index Options'!$C:$C,$A120,'NSE - NIFTY Index Options'!$B:$B,B$4)+SUMIFS('NSE - Other Index Options'!$M:$M,'NSE - Other Index Options'!$C:$C,$A120,'NSE - Other Index Options'!$B:$B,B$4)+SUMIFS('BSE - SENSEX Index Options'!$M:$M,'BSE - SENSEX Index Options'!$C:$C,$A120,'BSE - SENSEX Index Options'!$B:$B,B$4)+SUMIFS('BSE - Other Index Options'!$M:$M,'BSE - Other Index Options'!$C:$C,$A120,'BSE - Other Index Options'!$B:$B,B$4))</f>
        <v/>
      </c>
      <c r="C120" s="26">
        <f>IF(SUMIFS('NSE - NIFTY Index Options'!$M:$M,'NSE - NIFTY Index Options'!$C:$C,$A120,'NSE - NIFTY Index Options'!$B:$B,C$4)+SUMIFS('NSE - Other Index Options'!$M:$M,'NSE - Other Index Options'!$C:$C,$A120,'NSE - Other Index Options'!$B:$B,C$4)+SUMIFS('BSE - SENSEX Index Options'!$M:$M,'BSE - SENSEX Index Options'!$C:$C,$A120,'BSE - SENSEX Index Options'!$B:$B,C$4)+SUMIFS('BSE - Other Index Options'!$M:$M,'BSE - Other Index Options'!$C:$C,$A120,'BSE - Other Index Options'!$B:$B,C$4)=0,"",SUMIFS('NSE - NIFTY Index Options'!$M:$M,'NSE - NIFTY Index Options'!$C:$C,$A120,'NSE - NIFTY Index Options'!$B:$B,C$4)+SUMIFS('NSE - Other Index Options'!$M:$M,'NSE - Other Index Options'!$C:$C,$A120,'NSE - Other Index Options'!$B:$B,C$4)+SUMIFS('BSE - SENSEX Index Options'!$M:$M,'BSE - SENSEX Index Options'!$C:$C,$A120,'BSE - SENSEX Index Options'!$B:$B,C$4)+SUMIFS('BSE - Other Index Options'!$M:$M,'BSE - Other Index Options'!$C:$C,$A120,'BSE - Other Index Options'!$B:$B,C$4))</f>
        <v/>
      </c>
      <c r="D120" s="26">
        <f>IF(SUMIFS('NSE - NIFTY Index Options'!$M:$M,'NSE - NIFTY Index Options'!$C:$C,$A120,'NSE - NIFTY Index Options'!$B:$B,D$4)+SUMIFS('NSE - Other Index Options'!$M:$M,'NSE - Other Index Options'!$C:$C,$A120,'NSE - Other Index Options'!$B:$B,D$4)+SUMIFS('BSE - SENSEX Index Options'!$M:$M,'BSE - SENSEX Index Options'!$C:$C,$A120,'BSE - SENSEX Index Options'!$B:$B,D$4)+SUMIFS('BSE - Other Index Options'!$M:$M,'BSE - Other Index Options'!$C:$C,$A120,'BSE - Other Index Options'!$B:$B,D$4)=0,"",SUMIFS('NSE - NIFTY Index Options'!$M:$M,'NSE - NIFTY Index Options'!$C:$C,$A120,'NSE - NIFTY Index Options'!$B:$B,D$4)+SUMIFS('NSE - Other Index Options'!$M:$M,'NSE - Other Index Options'!$C:$C,$A120,'NSE - Other Index Options'!$B:$B,D$4)+SUMIFS('BSE - SENSEX Index Options'!$M:$M,'BSE - SENSEX Index Options'!$C:$C,$A120,'BSE - SENSEX Index Options'!$B:$B,D$4)+SUMIFS('BSE - Other Index Options'!$M:$M,'BSE - Other Index Options'!$C:$C,$A120,'BSE - Other Index Options'!$B:$B,D$4))</f>
        <v/>
      </c>
      <c r="E120" s="26">
        <f>IF(SUMIFS('NSE - NIFTY Index Options'!$M:$M,'NSE - NIFTY Index Options'!$C:$C,$A120,'NSE - NIFTY Index Options'!$B:$B,E$4)+SUMIFS('NSE - Other Index Options'!$M:$M,'NSE - Other Index Options'!$C:$C,$A120,'NSE - Other Index Options'!$B:$B,E$4)+SUMIFS('BSE - SENSEX Index Options'!$M:$M,'BSE - SENSEX Index Options'!$C:$C,$A120,'BSE - SENSEX Index Options'!$B:$B,E$4)+SUMIFS('BSE - Other Index Options'!$M:$M,'BSE - Other Index Options'!$C:$C,$A120,'BSE - Other Index Options'!$B:$B,E$4)=0,"",SUMIFS('NSE - NIFTY Index Options'!$M:$M,'NSE - NIFTY Index Options'!$C:$C,$A120,'NSE - NIFTY Index Options'!$B:$B,E$4)+SUMIFS('NSE - Other Index Options'!$M:$M,'NSE - Other Index Options'!$C:$C,$A120,'NSE - Other Index Options'!$B:$B,E$4)+SUMIFS('BSE - SENSEX Index Options'!$M:$M,'BSE - SENSEX Index Options'!$C:$C,$A120,'BSE - SENSEX Index Options'!$B:$B,E$4)+SUMIFS('BSE - Other Index Options'!$M:$M,'BSE - Other Index Options'!$C:$C,$A120,'BSE - Other Index Options'!$B:$B,E$4))</f>
        <v/>
      </c>
      <c r="F120" s="26">
        <f>IF(SUMIFS('NSE - NIFTY Index Options'!$M:$M,'NSE - NIFTY Index Options'!$C:$C,$A120,'NSE - NIFTY Index Options'!$B:$B,F$4)+SUMIFS('NSE - Other Index Options'!$M:$M,'NSE - Other Index Options'!$C:$C,$A120,'NSE - Other Index Options'!$B:$B,F$4)+SUMIFS('BSE - SENSEX Index Options'!$M:$M,'BSE - SENSEX Index Options'!$C:$C,$A120,'BSE - SENSEX Index Options'!$B:$B,F$4)+SUMIFS('BSE - Other Index Options'!$M:$M,'BSE - Other Index Options'!$C:$C,$A120,'BSE - Other Index Options'!$B:$B,F$4)=0,"",SUMIFS('NSE - NIFTY Index Options'!$M:$M,'NSE - NIFTY Index Options'!$C:$C,$A120,'NSE - NIFTY Index Options'!$B:$B,F$4)+SUMIFS('NSE - Other Index Options'!$M:$M,'NSE - Other Index Options'!$C:$C,$A120,'NSE - Other Index Options'!$B:$B,F$4)+SUMIFS('BSE - SENSEX Index Options'!$M:$M,'BSE - SENSEX Index Options'!$C:$C,$A120,'BSE - SENSEX Index Options'!$B:$B,F$4)+SUMIFS('BSE - Other Index Options'!$M:$M,'BSE - Other Index Options'!$C:$C,$A120,'BSE - Other Index Options'!$B:$B,F$4))</f>
        <v/>
      </c>
      <c r="G120" s="26">
        <f>IF(SUMIFS('NSE - NIFTY Index Options'!$M:$M,'NSE - NIFTY Index Options'!$C:$C,$A120,'NSE - NIFTY Index Options'!$B:$B,G$4)+SUMIFS('NSE - Other Index Options'!$M:$M,'NSE - Other Index Options'!$C:$C,$A120,'NSE - Other Index Options'!$B:$B,G$4)+SUMIFS('BSE - SENSEX Index Options'!$M:$M,'BSE - SENSEX Index Options'!$C:$C,$A120,'BSE - SENSEX Index Options'!$B:$B,G$4)+SUMIFS('BSE - Other Index Options'!$M:$M,'BSE - Other Index Options'!$C:$C,$A120,'BSE - Other Index Options'!$B:$B,G$4)=0,"",SUMIFS('NSE - NIFTY Index Options'!$M:$M,'NSE - NIFTY Index Options'!$C:$C,$A120,'NSE - NIFTY Index Options'!$B:$B,G$4)+SUMIFS('NSE - Other Index Options'!$M:$M,'NSE - Other Index Options'!$C:$C,$A120,'NSE - Other Index Options'!$B:$B,G$4)+SUMIFS('BSE - SENSEX Index Options'!$M:$M,'BSE - SENSEX Index Options'!$C:$C,$A120,'BSE - SENSEX Index Options'!$B:$B,G$4)+SUMIFS('BSE - Other Index Options'!$M:$M,'BSE - Other Index Options'!$C:$C,$A120,'BSE - Other Index Options'!$B:$B,G$4))</f>
        <v/>
      </c>
      <c r="H120" s="26">
        <f>IF(SUM(B120:G120)=0,"",SUM(B120:G120))</f>
        <v/>
      </c>
    </row>
    <row r="121" hidden="1" outlineLevel="1">
      <c r="A121" t="inlineStr">
        <is>
          <t>Week4-Aug-2027</t>
        </is>
      </c>
      <c r="B121" s="26">
        <f>IF(SUMIFS('NSE - NIFTY Index Options'!$M:$M,'NSE - NIFTY Index Options'!$C:$C,$A121,'NSE - NIFTY Index Options'!$B:$B,B$4)+SUMIFS('NSE - Other Index Options'!$M:$M,'NSE - Other Index Options'!$C:$C,$A121,'NSE - Other Index Options'!$B:$B,B$4)+SUMIFS('BSE - SENSEX Index Options'!$M:$M,'BSE - SENSEX Index Options'!$C:$C,$A121,'BSE - SENSEX Index Options'!$B:$B,B$4)+SUMIFS('BSE - Other Index Options'!$M:$M,'BSE - Other Index Options'!$C:$C,$A121,'BSE - Other Index Options'!$B:$B,B$4)=0,"",SUMIFS('NSE - NIFTY Index Options'!$M:$M,'NSE - NIFTY Index Options'!$C:$C,$A121,'NSE - NIFTY Index Options'!$B:$B,B$4)+SUMIFS('NSE - Other Index Options'!$M:$M,'NSE - Other Index Options'!$C:$C,$A121,'NSE - Other Index Options'!$B:$B,B$4)+SUMIFS('BSE - SENSEX Index Options'!$M:$M,'BSE - SENSEX Index Options'!$C:$C,$A121,'BSE - SENSEX Index Options'!$B:$B,B$4)+SUMIFS('BSE - Other Index Options'!$M:$M,'BSE - Other Index Options'!$C:$C,$A121,'BSE - Other Index Options'!$B:$B,B$4))</f>
        <v/>
      </c>
      <c r="C121" s="26">
        <f>IF(SUMIFS('NSE - NIFTY Index Options'!$M:$M,'NSE - NIFTY Index Options'!$C:$C,$A121,'NSE - NIFTY Index Options'!$B:$B,C$4)+SUMIFS('NSE - Other Index Options'!$M:$M,'NSE - Other Index Options'!$C:$C,$A121,'NSE - Other Index Options'!$B:$B,C$4)+SUMIFS('BSE - SENSEX Index Options'!$M:$M,'BSE - SENSEX Index Options'!$C:$C,$A121,'BSE - SENSEX Index Options'!$B:$B,C$4)+SUMIFS('BSE - Other Index Options'!$M:$M,'BSE - Other Index Options'!$C:$C,$A121,'BSE - Other Index Options'!$B:$B,C$4)=0,"",SUMIFS('NSE - NIFTY Index Options'!$M:$M,'NSE - NIFTY Index Options'!$C:$C,$A121,'NSE - NIFTY Index Options'!$B:$B,C$4)+SUMIFS('NSE - Other Index Options'!$M:$M,'NSE - Other Index Options'!$C:$C,$A121,'NSE - Other Index Options'!$B:$B,C$4)+SUMIFS('BSE - SENSEX Index Options'!$M:$M,'BSE - SENSEX Index Options'!$C:$C,$A121,'BSE - SENSEX Index Options'!$B:$B,C$4)+SUMIFS('BSE - Other Index Options'!$M:$M,'BSE - Other Index Options'!$C:$C,$A121,'BSE - Other Index Options'!$B:$B,C$4))</f>
        <v/>
      </c>
      <c r="D121" s="26">
        <f>IF(SUMIFS('NSE - NIFTY Index Options'!$M:$M,'NSE - NIFTY Index Options'!$C:$C,$A121,'NSE - NIFTY Index Options'!$B:$B,D$4)+SUMIFS('NSE - Other Index Options'!$M:$M,'NSE - Other Index Options'!$C:$C,$A121,'NSE - Other Index Options'!$B:$B,D$4)+SUMIFS('BSE - SENSEX Index Options'!$M:$M,'BSE - SENSEX Index Options'!$C:$C,$A121,'BSE - SENSEX Index Options'!$B:$B,D$4)+SUMIFS('BSE - Other Index Options'!$M:$M,'BSE - Other Index Options'!$C:$C,$A121,'BSE - Other Index Options'!$B:$B,D$4)=0,"",SUMIFS('NSE - NIFTY Index Options'!$M:$M,'NSE - NIFTY Index Options'!$C:$C,$A121,'NSE - NIFTY Index Options'!$B:$B,D$4)+SUMIFS('NSE - Other Index Options'!$M:$M,'NSE - Other Index Options'!$C:$C,$A121,'NSE - Other Index Options'!$B:$B,D$4)+SUMIFS('BSE - SENSEX Index Options'!$M:$M,'BSE - SENSEX Index Options'!$C:$C,$A121,'BSE - SENSEX Index Options'!$B:$B,D$4)+SUMIFS('BSE - Other Index Options'!$M:$M,'BSE - Other Index Options'!$C:$C,$A121,'BSE - Other Index Options'!$B:$B,D$4))</f>
        <v/>
      </c>
      <c r="E121" s="26">
        <f>IF(SUMIFS('NSE - NIFTY Index Options'!$M:$M,'NSE - NIFTY Index Options'!$C:$C,$A121,'NSE - NIFTY Index Options'!$B:$B,E$4)+SUMIFS('NSE - Other Index Options'!$M:$M,'NSE - Other Index Options'!$C:$C,$A121,'NSE - Other Index Options'!$B:$B,E$4)+SUMIFS('BSE - SENSEX Index Options'!$M:$M,'BSE - SENSEX Index Options'!$C:$C,$A121,'BSE - SENSEX Index Options'!$B:$B,E$4)+SUMIFS('BSE - Other Index Options'!$M:$M,'BSE - Other Index Options'!$C:$C,$A121,'BSE - Other Index Options'!$B:$B,E$4)=0,"",SUMIFS('NSE - NIFTY Index Options'!$M:$M,'NSE - NIFTY Index Options'!$C:$C,$A121,'NSE - NIFTY Index Options'!$B:$B,E$4)+SUMIFS('NSE - Other Index Options'!$M:$M,'NSE - Other Index Options'!$C:$C,$A121,'NSE - Other Index Options'!$B:$B,E$4)+SUMIFS('BSE - SENSEX Index Options'!$M:$M,'BSE - SENSEX Index Options'!$C:$C,$A121,'BSE - SENSEX Index Options'!$B:$B,E$4)+SUMIFS('BSE - Other Index Options'!$M:$M,'BSE - Other Index Options'!$C:$C,$A121,'BSE - Other Index Options'!$B:$B,E$4))</f>
        <v/>
      </c>
      <c r="F121" s="26">
        <f>IF(SUMIFS('NSE - NIFTY Index Options'!$M:$M,'NSE - NIFTY Index Options'!$C:$C,$A121,'NSE - NIFTY Index Options'!$B:$B,F$4)+SUMIFS('NSE - Other Index Options'!$M:$M,'NSE - Other Index Options'!$C:$C,$A121,'NSE - Other Index Options'!$B:$B,F$4)+SUMIFS('BSE - SENSEX Index Options'!$M:$M,'BSE - SENSEX Index Options'!$C:$C,$A121,'BSE - SENSEX Index Options'!$B:$B,F$4)+SUMIFS('BSE - Other Index Options'!$M:$M,'BSE - Other Index Options'!$C:$C,$A121,'BSE - Other Index Options'!$B:$B,F$4)=0,"",SUMIFS('NSE - NIFTY Index Options'!$M:$M,'NSE - NIFTY Index Options'!$C:$C,$A121,'NSE - NIFTY Index Options'!$B:$B,F$4)+SUMIFS('NSE - Other Index Options'!$M:$M,'NSE - Other Index Options'!$C:$C,$A121,'NSE - Other Index Options'!$B:$B,F$4)+SUMIFS('BSE - SENSEX Index Options'!$M:$M,'BSE - SENSEX Index Options'!$C:$C,$A121,'BSE - SENSEX Index Options'!$B:$B,F$4)+SUMIFS('BSE - Other Index Options'!$M:$M,'BSE - Other Index Options'!$C:$C,$A121,'BSE - Other Index Options'!$B:$B,F$4))</f>
        <v/>
      </c>
      <c r="G121" s="26">
        <f>IF(SUMIFS('NSE - NIFTY Index Options'!$M:$M,'NSE - NIFTY Index Options'!$C:$C,$A121,'NSE - NIFTY Index Options'!$B:$B,G$4)+SUMIFS('NSE - Other Index Options'!$M:$M,'NSE - Other Index Options'!$C:$C,$A121,'NSE - Other Index Options'!$B:$B,G$4)+SUMIFS('BSE - SENSEX Index Options'!$M:$M,'BSE - SENSEX Index Options'!$C:$C,$A121,'BSE - SENSEX Index Options'!$B:$B,G$4)+SUMIFS('BSE - Other Index Options'!$M:$M,'BSE - Other Index Options'!$C:$C,$A121,'BSE - Other Index Options'!$B:$B,G$4)=0,"",SUMIFS('NSE - NIFTY Index Options'!$M:$M,'NSE - NIFTY Index Options'!$C:$C,$A121,'NSE - NIFTY Index Options'!$B:$B,G$4)+SUMIFS('NSE - Other Index Options'!$M:$M,'NSE - Other Index Options'!$C:$C,$A121,'NSE - Other Index Options'!$B:$B,G$4)+SUMIFS('BSE - SENSEX Index Options'!$M:$M,'BSE - SENSEX Index Options'!$C:$C,$A121,'BSE - SENSEX Index Options'!$B:$B,G$4)+SUMIFS('BSE - Other Index Options'!$M:$M,'BSE - Other Index Options'!$C:$C,$A121,'BSE - Other Index Options'!$B:$B,G$4))</f>
        <v/>
      </c>
      <c r="H121" s="26">
        <f>IF(SUM(B121:G121)=0,"",SUM(B121:G121))</f>
        <v/>
      </c>
    </row>
    <row r="122" hidden="1" outlineLevel="1">
      <c r="A122" t="inlineStr">
        <is>
          <t>Week5-Aug-2027</t>
        </is>
      </c>
      <c r="B122" s="26">
        <f>IF(SUMIFS('NSE - NIFTY Index Options'!$M:$M,'NSE - NIFTY Index Options'!$C:$C,$A122,'NSE - NIFTY Index Options'!$B:$B,B$4)+SUMIFS('NSE - Other Index Options'!$M:$M,'NSE - Other Index Options'!$C:$C,$A122,'NSE - Other Index Options'!$B:$B,B$4)+SUMIFS('BSE - SENSEX Index Options'!$M:$M,'BSE - SENSEX Index Options'!$C:$C,$A122,'BSE - SENSEX Index Options'!$B:$B,B$4)+SUMIFS('BSE - Other Index Options'!$M:$M,'BSE - Other Index Options'!$C:$C,$A122,'BSE - Other Index Options'!$B:$B,B$4)=0,"",SUMIFS('NSE - NIFTY Index Options'!$M:$M,'NSE - NIFTY Index Options'!$C:$C,$A122,'NSE - NIFTY Index Options'!$B:$B,B$4)+SUMIFS('NSE - Other Index Options'!$M:$M,'NSE - Other Index Options'!$C:$C,$A122,'NSE - Other Index Options'!$B:$B,B$4)+SUMIFS('BSE - SENSEX Index Options'!$M:$M,'BSE - SENSEX Index Options'!$C:$C,$A122,'BSE - SENSEX Index Options'!$B:$B,B$4)+SUMIFS('BSE - Other Index Options'!$M:$M,'BSE - Other Index Options'!$C:$C,$A122,'BSE - Other Index Options'!$B:$B,B$4))</f>
        <v/>
      </c>
      <c r="C122" s="26">
        <f>IF(SUMIFS('NSE - NIFTY Index Options'!$M:$M,'NSE - NIFTY Index Options'!$C:$C,$A122,'NSE - NIFTY Index Options'!$B:$B,C$4)+SUMIFS('NSE - Other Index Options'!$M:$M,'NSE - Other Index Options'!$C:$C,$A122,'NSE - Other Index Options'!$B:$B,C$4)+SUMIFS('BSE - SENSEX Index Options'!$M:$M,'BSE - SENSEX Index Options'!$C:$C,$A122,'BSE - SENSEX Index Options'!$B:$B,C$4)+SUMIFS('BSE - Other Index Options'!$M:$M,'BSE - Other Index Options'!$C:$C,$A122,'BSE - Other Index Options'!$B:$B,C$4)=0,"",SUMIFS('NSE - NIFTY Index Options'!$M:$M,'NSE - NIFTY Index Options'!$C:$C,$A122,'NSE - NIFTY Index Options'!$B:$B,C$4)+SUMIFS('NSE - Other Index Options'!$M:$M,'NSE - Other Index Options'!$C:$C,$A122,'NSE - Other Index Options'!$B:$B,C$4)+SUMIFS('BSE - SENSEX Index Options'!$M:$M,'BSE - SENSEX Index Options'!$C:$C,$A122,'BSE - SENSEX Index Options'!$B:$B,C$4)+SUMIFS('BSE - Other Index Options'!$M:$M,'BSE - Other Index Options'!$C:$C,$A122,'BSE - Other Index Options'!$B:$B,C$4))</f>
        <v/>
      </c>
      <c r="D122" s="26">
        <f>IF(SUMIFS('NSE - NIFTY Index Options'!$M:$M,'NSE - NIFTY Index Options'!$C:$C,$A122,'NSE - NIFTY Index Options'!$B:$B,D$4)+SUMIFS('NSE - Other Index Options'!$M:$M,'NSE - Other Index Options'!$C:$C,$A122,'NSE - Other Index Options'!$B:$B,D$4)+SUMIFS('BSE - SENSEX Index Options'!$M:$M,'BSE - SENSEX Index Options'!$C:$C,$A122,'BSE - SENSEX Index Options'!$B:$B,D$4)+SUMIFS('BSE - Other Index Options'!$M:$M,'BSE - Other Index Options'!$C:$C,$A122,'BSE - Other Index Options'!$B:$B,D$4)=0,"",SUMIFS('NSE - NIFTY Index Options'!$M:$M,'NSE - NIFTY Index Options'!$C:$C,$A122,'NSE - NIFTY Index Options'!$B:$B,D$4)+SUMIFS('NSE - Other Index Options'!$M:$M,'NSE - Other Index Options'!$C:$C,$A122,'NSE - Other Index Options'!$B:$B,D$4)+SUMIFS('BSE - SENSEX Index Options'!$M:$M,'BSE - SENSEX Index Options'!$C:$C,$A122,'BSE - SENSEX Index Options'!$B:$B,D$4)+SUMIFS('BSE - Other Index Options'!$M:$M,'BSE - Other Index Options'!$C:$C,$A122,'BSE - Other Index Options'!$B:$B,D$4))</f>
        <v/>
      </c>
      <c r="E122" s="26">
        <f>IF(SUMIFS('NSE - NIFTY Index Options'!$M:$M,'NSE - NIFTY Index Options'!$C:$C,$A122,'NSE - NIFTY Index Options'!$B:$B,E$4)+SUMIFS('NSE - Other Index Options'!$M:$M,'NSE - Other Index Options'!$C:$C,$A122,'NSE - Other Index Options'!$B:$B,E$4)+SUMIFS('BSE - SENSEX Index Options'!$M:$M,'BSE - SENSEX Index Options'!$C:$C,$A122,'BSE - SENSEX Index Options'!$B:$B,E$4)+SUMIFS('BSE - Other Index Options'!$M:$M,'BSE - Other Index Options'!$C:$C,$A122,'BSE - Other Index Options'!$B:$B,E$4)=0,"",SUMIFS('NSE - NIFTY Index Options'!$M:$M,'NSE - NIFTY Index Options'!$C:$C,$A122,'NSE - NIFTY Index Options'!$B:$B,E$4)+SUMIFS('NSE - Other Index Options'!$M:$M,'NSE - Other Index Options'!$C:$C,$A122,'NSE - Other Index Options'!$B:$B,E$4)+SUMIFS('BSE - SENSEX Index Options'!$M:$M,'BSE - SENSEX Index Options'!$C:$C,$A122,'BSE - SENSEX Index Options'!$B:$B,E$4)+SUMIFS('BSE - Other Index Options'!$M:$M,'BSE - Other Index Options'!$C:$C,$A122,'BSE - Other Index Options'!$B:$B,E$4))</f>
        <v/>
      </c>
      <c r="F122" s="26">
        <f>IF(SUMIFS('NSE - NIFTY Index Options'!$M:$M,'NSE - NIFTY Index Options'!$C:$C,$A122,'NSE - NIFTY Index Options'!$B:$B,F$4)+SUMIFS('NSE - Other Index Options'!$M:$M,'NSE - Other Index Options'!$C:$C,$A122,'NSE - Other Index Options'!$B:$B,F$4)+SUMIFS('BSE - SENSEX Index Options'!$M:$M,'BSE - SENSEX Index Options'!$C:$C,$A122,'BSE - SENSEX Index Options'!$B:$B,F$4)+SUMIFS('BSE - Other Index Options'!$M:$M,'BSE - Other Index Options'!$C:$C,$A122,'BSE - Other Index Options'!$B:$B,F$4)=0,"",SUMIFS('NSE - NIFTY Index Options'!$M:$M,'NSE - NIFTY Index Options'!$C:$C,$A122,'NSE - NIFTY Index Options'!$B:$B,F$4)+SUMIFS('NSE - Other Index Options'!$M:$M,'NSE - Other Index Options'!$C:$C,$A122,'NSE - Other Index Options'!$B:$B,F$4)+SUMIFS('BSE - SENSEX Index Options'!$M:$M,'BSE - SENSEX Index Options'!$C:$C,$A122,'BSE - SENSEX Index Options'!$B:$B,F$4)+SUMIFS('BSE - Other Index Options'!$M:$M,'BSE - Other Index Options'!$C:$C,$A122,'BSE - Other Index Options'!$B:$B,F$4))</f>
        <v/>
      </c>
      <c r="G122" s="26">
        <f>IF(SUMIFS('NSE - NIFTY Index Options'!$M:$M,'NSE - NIFTY Index Options'!$C:$C,$A122,'NSE - NIFTY Index Options'!$B:$B,G$4)+SUMIFS('NSE - Other Index Options'!$M:$M,'NSE - Other Index Options'!$C:$C,$A122,'NSE - Other Index Options'!$B:$B,G$4)+SUMIFS('BSE - SENSEX Index Options'!$M:$M,'BSE - SENSEX Index Options'!$C:$C,$A122,'BSE - SENSEX Index Options'!$B:$B,G$4)+SUMIFS('BSE - Other Index Options'!$M:$M,'BSE - Other Index Options'!$C:$C,$A122,'BSE - Other Index Options'!$B:$B,G$4)=0,"",SUMIFS('NSE - NIFTY Index Options'!$M:$M,'NSE - NIFTY Index Options'!$C:$C,$A122,'NSE - NIFTY Index Options'!$B:$B,G$4)+SUMIFS('NSE - Other Index Options'!$M:$M,'NSE - Other Index Options'!$C:$C,$A122,'NSE - Other Index Options'!$B:$B,G$4)+SUMIFS('BSE - SENSEX Index Options'!$M:$M,'BSE - SENSEX Index Options'!$C:$C,$A122,'BSE - SENSEX Index Options'!$B:$B,G$4)+SUMIFS('BSE - Other Index Options'!$M:$M,'BSE - Other Index Options'!$C:$C,$A122,'BSE - Other Index Options'!$B:$B,G$4))</f>
        <v/>
      </c>
      <c r="H122" s="26">
        <f>IF(SUM(B122:G122)=0,"",SUM(B122:G122))</f>
        <v/>
      </c>
    </row>
    <row r="123" hidden="1" outlineLevel="1">
      <c r="A123" t="inlineStr">
        <is>
          <t>Week1-Sep-2027</t>
        </is>
      </c>
      <c r="B123" s="26">
        <f>IF(SUMIFS('NSE - NIFTY Index Options'!$M:$M,'NSE - NIFTY Index Options'!$C:$C,$A123,'NSE - NIFTY Index Options'!$B:$B,B$4)+SUMIFS('NSE - Other Index Options'!$M:$M,'NSE - Other Index Options'!$C:$C,$A123,'NSE - Other Index Options'!$B:$B,B$4)+SUMIFS('BSE - SENSEX Index Options'!$M:$M,'BSE - SENSEX Index Options'!$C:$C,$A123,'BSE - SENSEX Index Options'!$B:$B,B$4)+SUMIFS('BSE - Other Index Options'!$M:$M,'BSE - Other Index Options'!$C:$C,$A123,'BSE - Other Index Options'!$B:$B,B$4)=0,"",SUMIFS('NSE - NIFTY Index Options'!$M:$M,'NSE - NIFTY Index Options'!$C:$C,$A123,'NSE - NIFTY Index Options'!$B:$B,B$4)+SUMIFS('NSE - Other Index Options'!$M:$M,'NSE - Other Index Options'!$C:$C,$A123,'NSE - Other Index Options'!$B:$B,B$4)+SUMIFS('BSE - SENSEX Index Options'!$M:$M,'BSE - SENSEX Index Options'!$C:$C,$A123,'BSE - SENSEX Index Options'!$B:$B,B$4)+SUMIFS('BSE - Other Index Options'!$M:$M,'BSE - Other Index Options'!$C:$C,$A123,'BSE - Other Index Options'!$B:$B,B$4))</f>
        <v/>
      </c>
      <c r="C123" s="26">
        <f>IF(SUMIFS('NSE - NIFTY Index Options'!$M:$M,'NSE - NIFTY Index Options'!$C:$C,$A123,'NSE - NIFTY Index Options'!$B:$B,C$4)+SUMIFS('NSE - Other Index Options'!$M:$M,'NSE - Other Index Options'!$C:$C,$A123,'NSE - Other Index Options'!$B:$B,C$4)+SUMIFS('BSE - SENSEX Index Options'!$M:$M,'BSE - SENSEX Index Options'!$C:$C,$A123,'BSE - SENSEX Index Options'!$B:$B,C$4)+SUMIFS('BSE - Other Index Options'!$M:$M,'BSE - Other Index Options'!$C:$C,$A123,'BSE - Other Index Options'!$B:$B,C$4)=0,"",SUMIFS('NSE - NIFTY Index Options'!$M:$M,'NSE - NIFTY Index Options'!$C:$C,$A123,'NSE - NIFTY Index Options'!$B:$B,C$4)+SUMIFS('NSE - Other Index Options'!$M:$M,'NSE - Other Index Options'!$C:$C,$A123,'NSE - Other Index Options'!$B:$B,C$4)+SUMIFS('BSE - SENSEX Index Options'!$M:$M,'BSE - SENSEX Index Options'!$C:$C,$A123,'BSE - SENSEX Index Options'!$B:$B,C$4)+SUMIFS('BSE - Other Index Options'!$M:$M,'BSE - Other Index Options'!$C:$C,$A123,'BSE - Other Index Options'!$B:$B,C$4))</f>
        <v/>
      </c>
      <c r="D123" s="26">
        <f>IF(SUMIFS('NSE - NIFTY Index Options'!$M:$M,'NSE - NIFTY Index Options'!$C:$C,$A123,'NSE - NIFTY Index Options'!$B:$B,D$4)+SUMIFS('NSE - Other Index Options'!$M:$M,'NSE - Other Index Options'!$C:$C,$A123,'NSE - Other Index Options'!$B:$B,D$4)+SUMIFS('BSE - SENSEX Index Options'!$M:$M,'BSE - SENSEX Index Options'!$C:$C,$A123,'BSE - SENSEX Index Options'!$B:$B,D$4)+SUMIFS('BSE - Other Index Options'!$M:$M,'BSE - Other Index Options'!$C:$C,$A123,'BSE - Other Index Options'!$B:$B,D$4)=0,"",SUMIFS('NSE - NIFTY Index Options'!$M:$M,'NSE - NIFTY Index Options'!$C:$C,$A123,'NSE - NIFTY Index Options'!$B:$B,D$4)+SUMIFS('NSE - Other Index Options'!$M:$M,'NSE - Other Index Options'!$C:$C,$A123,'NSE - Other Index Options'!$B:$B,D$4)+SUMIFS('BSE - SENSEX Index Options'!$M:$M,'BSE - SENSEX Index Options'!$C:$C,$A123,'BSE - SENSEX Index Options'!$B:$B,D$4)+SUMIFS('BSE - Other Index Options'!$M:$M,'BSE - Other Index Options'!$C:$C,$A123,'BSE - Other Index Options'!$B:$B,D$4))</f>
        <v/>
      </c>
      <c r="E123" s="26">
        <f>IF(SUMIFS('NSE - NIFTY Index Options'!$M:$M,'NSE - NIFTY Index Options'!$C:$C,$A123,'NSE - NIFTY Index Options'!$B:$B,E$4)+SUMIFS('NSE - Other Index Options'!$M:$M,'NSE - Other Index Options'!$C:$C,$A123,'NSE - Other Index Options'!$B:$B,E$4)+SUMIFS('BSE - SENSEX Index Options'!$M:$M,'BSE - SENSEX Index Options'!$C:$C,$A123,'BSE - SENSEX Index Options'!$B:$B,E$4)+SUMIFS('BSE - Other Index Options'!$M:$M,'BSE - Other Index Options'!$C:$C,$A123,'BSE - Other Index Options'!$B:$B,E$4)=0,"",SUMIFS('NSE - NIFTY Index Options'!$M:$M,'NSE - NIFTY Index Options'!$C:$C,$A123,'NSE - NIFTY Index Options'!$B:$B,E$4)+SUMIFS('NSE - Other Index Options'!$M:$M,'NSE - Other Index Options'!$C:$C,$A123,'NSE - Other Index Options'!$B:$B,E$4)+SUMIFS('BSE - SENSEX Index Options'!$M:$M,'BSE - SENSEX Index Options'!$C:$C,$A123,'BSE - SENSEX Index Options'!$B:$B,E$4)+SUMIFS('BSE - Other Index Options'!$M:$M,'BSE - Other Index Options'!$C:$C,$A123,'BSE - Other Index Options'!$B:$B,E$4))</f>
        <v/>
      </c>
      <c r="F123" s="26">
        <f>IF(SUMIFS('NSE - NIFTY Index Options'!$M:$M,'NSE - NIFTY Index Options'!$C:$C,$A123,'NSE - NIFTY Index Options'!$B:$B,F$4)+SUMIFS('NSE - Other Index Options'!$M:$M,'NSE - Other Index Options'!$C:$C,$A123,'NSE - Other Index Options'!$B:$B,F$4)+SUMIFS('BSE - SENSEX Index Options'!$M:$M,'BSE - SENSEX Index Options'!$C:$C,$A123,'BSE - SENSEX Index Options'!$B:$B,F$4)+SUMIFS('BSE - Other Index Options'!$M:$M,'BSE - Other Index Options'!$C:$C,$A123,'BSE - Other Index Options'!$B:$B,F$4)=0,"",SUMIFS('NSE - NIFTY Index Options'!$M:$M,'NSE - NIFTY Index Options'!$C:$C,$A123,'NSE - NIFTY Index Options'!$B:$B,F$4)+SUMIFS('NSE - Other Index Options'!$M:$M,'NSE - Other Index Options'!$C:$C,$A123,'NSE - Other Index Options'!$B:$B,F$4)+SUMIFS('BSE - SENSEX Index Options'!$M:$M,'BSE - SENSEX Index Options'!$C:$C,$A123,'BSE - SENSEX Index Options'!$B:$B,F$4)+SUMIFS('BSE - Other Index Options'!$M:$M,'BSE - Other Index Options'!$C:$C,$A123,'BSE - Other Index Options'!$B:$B,F$4))</f>
        <v/>
      </c>
      <c r="G123" s="26">
        <f>IF(SUMIFS('NSE - NIFTY Index Options'!$M:$M,'NSE - NIFTY Index Options'!$C:$C,$A123,'NSE - NIFTY Index Options'!$B:$B,G$4)+SUMIFS('NSE - Other Index Options'!$M:$M,'NSE - Other Index Options'!$C:$C,$A123,'NSE - Other Index Options'!$B:$B,G$4)+SUMIFS('BSE - SENSEX Index Options'!$M:$M,'BSE - SENSEX Index Options'!$C:$C,$A123,'BSE - SENSEX Index Options'!$B:$B,G$4)+SUMIFS('BSE - Other Index Options'!$M:$M,'BSE - Other Index Options'!$C:$C,$A123,'BSE - Other Index Options'!$B:$B,G$4)=0,"",SUMIFS('NSE - NIFTY Index Options'!$M:$M,'NSE - NIFTY Index Options'!$C:$C,$A123,'NSE - NIFTY Index Options'!$B:$B,G$4)+SUMIFS('NSE - Other Index Options'!$M:$M,'NSE - Other Index Options'!$C:$C,$A123,'NSE - Other Index Options'!$B:$B,G$4)+SUMIFS('BSE - SENSEX Index Options'!$M:$M,'BSE - SENSEX Index Options'!$C:$C,$A123,'BSE - SENSEX Index Options'!$B:$B,G$4)+SUMIFS('BSE - Other Index Options'!$M:$M,'BSE - Other Index Options'!$C:$C,$A123,'BSE - Other Index Options'!$B:$B,G$4))</f>
        <v/>
      </c>
      <c r="H123" s="26">
        <f>IF(SUM(B123:G123)=0,"",SUM(B123:G123))</f>
        <v/>
      </c>
    </row>
    <row r="124" hidden="1" outlineLevel="1">
      <c r="A124" t="inlineStr">
        <is>
          <t>Week2-Sep-2027</t>
        </is>
      </c>
      <c r="B124" s="26">
        <f>IF(SUMIFS('NSE - NIFTY Index Options'!$M:$M,'NSE - NIFTY Index Options'!$C:$C,$A124,'NSE - NIFTY Index Options'!$B:$B,B$4)+SUMIFS('NSE - Other Index Options'!$M:$M,'NSE - Other Index Options'!$C:$C,$A124,'NSE - Other Index Options'!$B:$B,B$4)+SUMIFS('BSE - SENSEX Index Options'!$M:$M,'BSE - SENSEX Index Options'!$C:$C,$A124,'BSE - SENSEX Index Options'!$B:$B,B$4)+SUMIFS('BSE - Other Index Options'!$M:$M,'BSE - Other Index Options'!$C:$C,$A124,'BSE - Other Index Options'!$B:$B,B$4)=0,"",SUMIFS('NSE - NIFTY Index Options'!$M:$M,'NSE - NIFTY Index Options'!$C:$C,$A124,'NSE - NIFTY Index Options'!$B:$B,B$4)+SUMIFS('NSE - Other Index Options'!$M:$M,'NSE - Other Index Options'!$C:$C,$A124,'NSE - Other Index Options'!$B:$B,B$4)+SUMIFS('BSE - SENSEX Index Options'!$M:$M,'BSE - SENSEX Index Options'!$C:$C,$A124,'BSE - SENSEX Index Options'!$B:$B,B$4)+SUMIFS('BSE - Other Index Options'!$M:$M,'BSE - Other Index Options'!$C:$C,$A124,'BSE - Other Index Options'!$B:$B,B$4))</f>
        <v/>
      </c>
      <c r="C124" s="26">
        <f>IF(SUMIFS('NSE - NIFTY Index Options'!$M:$M,'NSE - NIFTY Index Options'!$C:$C,$A124,'NSE - NIFTY Index Options'!$B:$B,C$4)+SUMIFS('NSE - Other Index Options'!$M:$M,'NSE - Other Index Options'!$C:$C,$A124,'NSE - Other Index Options'!$B:$B,C$4)+SUMIFS('BSE - SENSEX Index Options'!$M:$M,'BSE - SENSEX Index Options'!$C:$C,$A124,'BSE - SENSEX Index Options'!$B:$B,C$4)+SUMIFS('BSE - Other Index Options'!$M:$M,'BSE - Other Index Options'!$C:$C,$A124,'BSE - Other Index Options'!$B:$B,C$4)=0,"",SUMIFS('NSE - NIFTY Index Options'!$M:$M,'NSE - NIFTY Index Options'!$C:$C,$A124,'NSE - NIFTY Index Options'!$B:$B,C$4)+SUMIFS('NSE - Other Index Options'!$M:$M,'NSE - Other Index Options'!$C:$C,$A124,'NSE - Other Index Options'!$B:$B,C$4)+SUMIFS('BSE - SENSEX Index Options'!$M:$M,'BSE - SENSEX Index Options'!$C:$C,$A124,'BSE - SENSEX Index Options'!$B:$B,C$4)+SUMIFS('BSE - Other Index Options'!$M:$M,'BSE - Other Index Options'!$C:$C,$A124,'BSE - Other Index Options'!$B:$B,C$4))</f>
        <v/>
      </c>
      <c r="D124" s="26">
        <f>IF(SUMIFS('NSE - NIFTY Index Options'!$M:$M,'NSE - NIFTY Index Options'!$C:$C,$A124,'NSE - NIFTY Index Options'!$B:$B,D$4)+SUMIFS('NSE - Other Index Options'!$M:$M,'NSE - Other Index Options'!$C:$C,$A124,'NSE - Other Index Options'!$B:$B,D$4)+SUMIFS('BSE - SENSEX Index Options'!$M:$M,'BSE - SENSEX Index Options'!$C:$C,$A124,'BSE - SENSEX Index Options'!$B:$B,D$4)+SUMIFS('BSE - Other Index Options'!$M:$M,'BSE - Other Index Options'!$C:$C,$A124,'BSE - Other Index Options'!$B:$B,D$4)=0,"",SUMIFS('NSE - NIFTY Index Options'!$M:$M,'NSE - NIFTY Index Options'!$C:$C,$A124,'NSE - NIFTY Index Options'!$B:$B,D$4)+SUMIFS('NSE - Other Index Options'!$M:$M,'NSE - Other Index Options'!$C:$C,$A124,'NSE - Other Index Options'!$B:$B,D$4)+SUMIFS('BSE - SENSEX Index Options'!$M:$M,'BSE - SENSEX Index Options'!$C:$C,$A124,'BSE - SENSEX Index Options'!$B:$B,D$4)+SUMIFS('BSE - Other Index Options'!$M:$M,'BSE - Other Index Options'!$C:$C,$A124,'BSE - Other Index Options'!$B:$B,D$4))</f>
        <v/>
      </c>
      <c r="E124" s="26">
        <f>IF(SUMIFS('NSE - NIFTY Index Options'!$M:$M,'NSE - NIFTY Index Options'!$C:$C,$A124,'NSE - NIFTY Index Options'!$B:$B,E$4)+SUMIFS('NSE - Other Index Options'!$M:$M,'NSE - Other Index Options'!$C:$C,$A124,'NSE - Other Index Options'!$B:$B,E$4)+SUMIFS('BSE - SENSEX Index Options'!$M:$M,'BSE - SENSEX Index Options'!$C:$C,$A124,'BSE - SENSEX Index Options'!$B:$B,E$4)+SUMIFS('BSE - Other Index Options'!$M:$M,'BSE - Other Index Options'!$C:$C,$A124,'BSE - Other Index Options'!$B:$B,E$4)=0,"",SUMIFS('NSE - NIFTY Index Options'!$M:$M,'NSE - NIFTY Index Options'!$C:$C,$A124,'NSE - NIFTY Index Options'!$B:$B,E$4)+SUMIFS('NSE - Other Index Options'!$M:$M,'NSE - Other Index Options'!$C:$C,$A124,'NSE - Other Index Options'!$B:$B,E$4)+SUMIFS('BSE - SENSEX Index Options'!$M:$M,'BSE - SENSEX Index Options'!$C:$C,$A124,'BSE - SENSEX Index Options'!$B:$B,E$4)+SUMIFS('BSE - Other Index Options'!$M:$M,'BSE - Other Index Options'!$C:$C,$A124,'BSE - Other Index Options'!$B:$B,E$4))</f>
        <v/>
      </c>
      <c r="F124" s="26">
        <f>IF(SUMIFS('NSE - NIFTY Index Options'!$M:$M,'NSE - NIFTY Index Options'!$C:$C,$A124,'NSE - NIFTY Index Options'!$B:$B,F$4)+SUMIFS('NSE - Other Index Options'!$M:$M,'NSE - Other Index Options'!$C:$C,$A124,'NSE - Other Index Options'!$B:$B,F$4)+SUMIFS('BSE - SENSEX Index Options'!$M:$M,'BSE - SENSEX Index Options'!$C:$C,$A124,'BSE - SENSEX Index Options'!$B:$B,F$4)+SUMIFS('BSE - Other Index Options'!$M:$M,'BSE - Other Index Options'!$C:$C,$A124,'BSE - Other Index Options'!$B:$B,F$4)=0,"",SUMIFS('NSE - NIFTY Index Options'!$M:$M,'NSE - NIFTY Index Options'!$C:$C,$A124,'NSE - NIFTY Index Options'!$B:$B,F$4)+SUMIFS('NSE - Other Index Options'!$M:$M,'NSE - Other Index Options'!$C:$C,$A124,'NSE - Other Index Options'!$B:$B,F$4)+SUMIFS('BSE - SENSEX Index Options'!$M:$M,'BSE - SENSEX Index Options'!$C:$C,$A124,'BSE - SENSEX Index Options'!$B:$B,F$4)+SUMIFS('BSE - Other Index Options'!$M:$M,'BSE - Other Index Options'!$C:$C,$A124,'BSE - Other Index Options'!$B:$B,F$4))</f>
        <v/>
      </c>
      <c r="G124" s="26">
        <f>IF(SUMIFS('NSE - NIFTY Index Options'!$M:$M,'NSE - NIFTY Index Options'!$C:$C,$A124,'NSE - NIFTY Index Options'!$B:$B,G$4)+SUMIFS('NSE - Other Index Options'!$M:$M,'NSE - Other Index Options'!$C:$C,$A124,'NSE - Other Index Options'!$B:$B,G$4)+SUMIFS('BSE - SENSEX Index Options'!$M:$M,'BSE - SENSEX Index Options'!$C:$C,$A124,'BSE - SENSEX Index Options'!$B:$B,G$4)+SUMIFS('BSE - Other Index Options'!$M:$M,'BSE - Other Index Options'!$C:$C,$A124,'BSE - Other Index Options'!$B:$B,G$4)=0,"",SUMIFS('NSE - NIFTY Index Options'!$M:$M,'NSE - NIFTY Index Options'!$C:$C,$A124,'NSE - NIFTY Index Options'!$B:$B,G$4)+SUMIFS('NSE - Other Index Options'!$M:$M,'NSE - Other Index Options'!$C:$C,$A124,'NSE - Other Index Options'!$B:$B,G$4)+SUMIFS('BSE - SENSEX Index Options'!$M:$M,'BSE - SENSEX Index Options'!$C:$C,$A124,'BSE - SENSEX Index Options'!$B:$B,G$4)+SUMIFS('BSE - Other Index Options'!$M:$M,'BSE - Other Index Options'!$C:$C,$A124,'BSE - Other Index Options'!$B:$B,G$4))</f>
        <v/>
      </c>
      <c r="H124" s="26">
        <f>IF(SUM(B124:G124)=0,"",SUM(B124:G124))</f>
        <v/>
      </c>
    </row>
    <row r="125" hidden="1" outlineLevel="1">
      <c r="A125" t="inlineStr">
        <is>
          <t>Week3-Sep-2027</t>
        </is>
      </c>
      <c r="B125" s="26">
        <f>IF(SUMIFS('NSE - NIFTY Index Options'!$M:$M,'NSE - NIFTY Index Options'!$C:$C,$A125,'NSE - NIFTY Index Options'!$B:$B,B$4)+SUMIFS('NSE - Other Index Options'!$M:$M,'NSE - Other Index Options'!$C:$C,$A125,'NSE - Other Index Options'!$B:$B,B$4)+SUMIFS('BSE - SENSEX Index Options'!$M:$M,'BSE - SENSEX Index Options'!$C:$C,$A125,'BSE - SENSEX Index Options'!$B:$B,B$4)+SUMIFS('BSE - Other Index Options'!$M:$M,'BSE - Other Index Options'!$C:$C,$A125,'BSE - Other Index Options'!$B:$B,B$4)=0,"",SUMIFS('NSE - NIFTY Index Options'!$M:$M,'NSE - NIFTY Index Options'!$C:$C,$A125,'NSE - NIFTY Index Options'!$B:$B,B$4)+SUMIFS('NSE - Other Index Options'!$M:$M,'NSE - Other Index Options'!$C:$C,$A125,'NSE - Other Index Options'!$B:$B,B$4)+SUMIFS('BSE - SENSEX Index Options'!$M:$M,'BSE - SENSEX Index Options'!$C:$C,$A125,'BSE - SENSEX Index Options'!$B:$B,B$4)+SUMIFS('BSE - Other Index Options'!$M:$M,'BSE - Other Index Options'!$C:$C,$A125,'BSE - Other Index Options'!$B:$B,B$4))</f>
        <v/>
      </c>
      <c r="C125" s="26">
        <f>IF(SUMIFS('NSE - NIFTY Index Options'!$M:$M,'NSE - NIFTY Index Options'!$C:$C,$A125,'NSE - NIFTY Index Options'!$B:$B,C$4)+SUMIFS('NSE - Other Index Options'!$M:$M,'NSE - Other Index Options'!$C:$C,$A125,'NSE - Other Index Options'!$B:$B,C$4)+SUMIFS('BSE - SENSEX Index Options'!$M:$M,'BSE - SENSEX Index Options'!$C:$C,$A125,'BSE - SENSEX Index Options'!$B:$B,C$4)+SUMIFS('BSE - Other Index Options'!$M:$M,'BSE - Other Index Options'!$C:$C,$A125,'BSE - Other Index Options'!$B:$B,C$4)=0,"",SUMIFS('NSE - NIFTY Index Options'!$M:$M,'NSE - NIFTY Index Options'!$C:$C,$A125,'NSE - NIFTY Index Options'!$B:$B,C$4)+SUMIFS('NSE - Other Index Options'!$M:$M,'NSE - Other Index Options'!$C:$C,$A125,'NSE - Other Index Options'!$B:$B,C$4)+SUMIFS('BSE - SENSEX Index Options'!$M:$M,'BSE - SENSEX Index Options'!$C:$C,$A125,'BSE - SENSEX Index Options'!$B:$B,C$4)+SUMIFS('BSE - Other Index Options'!$M:$M,'BSE - Other Index Options'!$C:$C,$A125,'BSE - Other Index Options'!$B:$B,C$4))</f>
        <v/>
      </c>
      <c r="D125" s="26">
        <f>IF(SUMIFS('NSE - NIFTY Index Options'!$M:$M,'NSE - NIFTY Index Options'!$C:$C,$A125,'NSE - NIFTY Index Options'!$B:$B,D$4)+SUMIFS('NSE - Other Index Options'!$M:$M,'NSE - Other Index Options'!$C:$C,$A125,'NSE - Other Index Options'!$B:$B,D$4)+SUMIFS('BSE - SENSEX Index Options'!$M:$M,'BSE - SENSEX Index Options'!$C:$C,$A125,'BSE - SENSEX Index Options'!$B:$B,D$4)+SUMIFS('BSE - Other Index Options'!$M:$M,'BSE - Other Index Options'!$C:$C,$A125,'BSE - Other Index Options'!$B:$B,D$4)=0,"",SUMIFS('NSE - NIFTY Index Options'!$M:$M,'NSE - NIFTY Index Options'!$C:$C,$A125,'NSE - NIFTY Index Options'!$B:$B,D$4)+SUMIFS('NSE - Other Index Options'!$M:$M,'NSE - Other Index Options'!$C:$C,$A125,'NSE - Other Index Options'!$B:$B,D$4)+SUMIFS('BSE - SENSEX Index Options'!$M:$M,'BSE - SENSEX Index Options'!$C:$C,$A125,'BSE - SENSEX Index Options'!$B:$B,D$4)+SUMIFS('BSE - Other Index Options'!$M:$M,'BSE - Other Index Options'!$C:$C,$A125,'BSE - Other Index Options'!$B:$B,D$4))</f>
        <v/>
      </c>
      <c r="E125" s="26">
        <f>IF(SUMIFS('NSE - NIFTY Index Options'!$M:$M,'NSE - NIFTY Index Options'!$C:$C,$A125,'NSE - NIFTY Index Options'!$B:$B,E$4)+SUMIFS('NSE - Other Index Options'!$M:$M,'NSE - Other Index Options'!$C:$C,$A125,'NSE - Other Index Options'!$B:$B,E$4)+SUMIFS('BSE - SENSEX Index Options'!$M:$M,'BSE - SENSEX Index Options'!$C:$C,$A125,'BSE - SENSEX Index Options'!$B:$B,E$4)+SUMIFS('BSE - Other Index Options'!$M:$M,'BSE - Other Index Options'!$C:$C,$A125,'BSE - Other Index Options'!$B:$B,E$4)=0,"",SUMIFS('NSE - NIFTY Index Options'!$M:$M,'NSE - NIFTY Index Options'!$C:$C,$A125,'NSE - NIFTY Index Options'!$B:$B,E$4)+SUMIFS('NSE - Other Index Options'!$M:$M,'NSE - Other Index Options'!$C:$C,$A125,'NSE - Other Index Options'!$B:$B,E$4)+SUMIFS('BSE - SENSEX Index Options'!$M:$M,'BSE - SENSEX Index Options'!$C:$C,$A125,'BSE - SENSEX Index Options'!$B:$B,E$4)+SUMIFS('BSE - Other Index Options'!$M:$M,'BSE - Other Index Options'!$C:$C,$A125,'BSE - Other Index Options'!$B:$B,E$4))</f>
        <v/>
      </c>
      <c r="F125" s="26">
        <f>IF(SUMIFS('NSE - NIFTY Index Options'!$M:$M,'NSE - NIFTY Index Options'!$C:$C,$A125,'NSE - NIFTY Index Options'!$B:$B,F$4)+SUMIFS('NSE - Other Index Options'!$M:$M,'NSE - Other Index Options'!$C:$C,$A125,'NSE - Other Index Options'!$B:$B,F$4)+SUMIFS('BSE - SENSEX Index Options'!$M:$M,'BSE - SENSEX Index Options'!$C:$C,$A125,'BSE - SENSEX Index Options'!$B:$B,F$4)+SUMIFS('BSE - Other Index Options'!$M:$M,'BSE - Other Index Options'!$C:$C,$A125,'BSE - Other Index Options'!$B:$B,F$4)=0,"",SUMIFS('NSE - NIFTY Index Options'!$M:$M,'NSE - NIFTY Index Options'!$C:$C,$A125,'NSE - NIFTY Index Options'!$B:$B,F$4)+SUMIFS('NSE - Other Index Options'!$M:$M,'NSE - Other Index Options'!$C:$C,$A125,'NSE - Other Index Options'!$B:$B,F$4)+SUMIFS('BSE - SENSEX Index Options'!$M:$M,'BSE - SENSEX Index Options'!$C:$C,$A125,'BSE - SENSEX Index Options'!$B:$B,F$4)+SUMIFS('BSE - Other Index Options'!$M:$M,'BSE - Other Index Options'!$C:$C,$A125,'BSE - Other Index Options'!$B:$B,F$4))</f>
        <v/>
      </c>
      <c r="G125" s="26">
        <f>IF(SUMIFS('NSE - NIFTY Index Options'!$M:$M,'NSE - NIFTY Index Options'!$C:$C,$A125,'NSE - NIFTY Index Options'!$B:$B,G$4)+SUMIFS('NSE - Other Index Options'!$M:$M,'NSE - Other Index Options'!$C:$C,$A125,'NSE - Other Index Options'!$B:$B,G$4)+SUMIFS('BSE - SENSEX Index Options'!$M:$M,'BSE - SENSEX Index Options'!$C:$C,$A125,'BSE - SENSEX Index Options'!$B:$B,G$4)+SUMIFS('BSE - Other Index Options'!$M:$M,'BSE - Other Index Options'!$C:$C,$A125,'BSE - Other Index Options'!$B:$B,G$4)=0,"",SUMIFS('NSE - NIFTY Index Options'!$M:$M,'NSE - NIFTY Index Options'!$C:$C,$A125,'NSE - NIFTY Index Options'!$B:$B,G$4)+SUMIFS('NSE - Other Index Options'!$M:$M,'NSE - Other Index Options'!$C:$C,$A125,'NSE - Other Index Options'!$B:$B,G$4)+SUMIFS('BSE - SENSEX Index Options'!$M:$M,'BSE - SENSEX Index Options'!$C:$C,$A125,'BSE - SENSEX Index Options'!$B:$B,G$4)+SUMIFS('BSE - Other Index Options'!$M:$M,'BSE - Other Index Options'!$C:$C,$A125,'BSE - Other Index Options'!$B:$B,G$4))</f>
        <v/>
      </c>
      <c r="H125" s="26">
        <f>IF(SUM(B125:G125)=0,"",SUM(B125:G125))</f>
        <v/>
      </c>
    </row>
    <row r="126" hidden="1" outlineLevel="1">
      <c r="A126" t="inlineStr">
        <is>
          <t>Week4-Sep-2027</t>
        </is>
      </c>
      <c r="B126" s="26">
        <f>IF(SUMIFS('NSE - NIFTY Index Options'!$M:$M,'NSE - NIFTY Index Options'!$C:$C,$A126,'NSE - NIFTY Index Options'!$B:$B,B$4)+SUMIFS('NSE - Other Index Options'!$M:$M,'NSE - Other Index Options'!$C:$C,$A126,'NSE - Other Index Options'!$B:$B,B$4)+SUMIFS('BSE - SENSEX Index Options'!$M:$M,'BSE - SENSEX Index Options'!$C:$C,$A126,'BSE - SENSEX Index Options'!$B:$B,B$4)+SUMIFS('BSE - Other Index Options'!$M:$M,'BSE - Other Index Options'!$C:$C,$A126,'BSE - Other Index Options'!$B:$B,B$4)=0,"",SUMIFS('NSE - NIFTY Index Options'!$M:$M,'NSE - NIFTY Index Options'!$C:$C,$A126,'NSE - NIFTY Index Options'!$B:$B,B$4)+SUMIFS('NSE - Other Index Options'!$M:$M,'NSE - Other Index Options'!$C:$C,$A126,'NSE - Other Index Options'!$B:$B,B$4)+SUMIFS('BSE - SENSEX Index Options'!$M:$M,'BSE - SENSEX Index Options'!$C:$C,$A126,'BSE - SENSEX Index Options'!$B:$B,B$4)+SUMIFS('BSE - Other Index Options'!$M:$M,'BSE - Other Index Options'!$C:$C,$A126,'BSE - Other Index Options'!$B:$B,B$4))</f>
        <v/>
      </c>
      <c r="C126" s="26">
        <f>IF(SUMIFS('NSE - NIFTY Index Options'!$M:$M,'NSE - NIFTY Index Options'!$C:$C,$A126,'NSE - NIFTY Index Options'!$B:$B,C$4)+SUMIFS('NSE - Other Index Options'!$M:$M,'NSE - Other Index Options'!$C:$C,$A126,'NSE - Other Index Options'!$B:$B,C$4)+SUMIFS('BSE - SENSEX Index Options'!$M:$M,'BSE - SENSEX Index Options'!$C:$C,$A126,'BSE - SENSEX Index Options'!$B:$B,C$4)+SUMIFS('BSE - Other Index Options'!$M:$M,'BSE - Other Index Options'!$C:$C,$A126,'BSE - Other Index Options'!$B:$B,C$4)=0,"",SUMIFS('NSE - NIFTY Index Options'!$M:$M,'NSE - NIFTY Index Options'!$C:$C,$A126,'NSE - NIFTY Index Options'!$B:$B,C$4)+SUMIFS('NSE - Other Index Options'!$M:$M,'NSE - Other Index Options'!$C:$C,$A126,'NSE - Other Index Options'!$B:$B,C$4)+SUMIFS('BSE - SENSEX Index Options'!$M:$M,'BSE - SENSEX Index Options'!$C:$C,$A126,'BSE - SENSEX Index Options'!$B:$B,C$4)+SUMIFS('BSE - Other Index Options'!$M:$M,'BSE - Other Index Options'!$C:$C,$A126,'BSE - Other Index Options'!$B:$B,C$4))</f>
        <v/>
      </c>
      <c r="D126" s="26">
        <f>IF(SUMIFS('NSE - NIFTY Index Options'!$M:$M,'NSE - NIFTY Index Options'!$C:$C,$A126,'NSE - NIFTY Index Options'!$B:$B,D$4)+SUMIFS('NSE - Other Index Options'!$M:$M,'NSE - Other Index Options'!$C:$C,$A126,'NSE - Other Index Options'!$B:$B,D$4)+SUMIFS('BSE - SENSEX Index Options'!$M:$M,'BSE - SENSEX Index Options'!$C:$C,$A126,'BSE - SENSEX Index Options'!$B:$B,D$4)+SUMIFS('BSE - Other Index Options'!$M:$M,'BSE - Other Index Options'!$C:$C,$A126,'BSE - Other Index Options'!$B:$B,D$4)=0,"",SUMIFS('NSE - NIFTY Index Options'!$M:$M,'NSE - NIFTY Index Options'!$C:$C,$A126,'NSE - NIFTY Index Options'!$B:$B,D$4)+SUMIFS('NSE - Other Index Options'!$M:$M,'NSE - Other Index Options'!$C:$C,$A126,'NSE - Other Index Options'!$B:$B,D$4)+SUMIFS('BSE - SENSEX Index Options'!$M:$M,'BSE - SENSEX Index Options'!$C:$C,$A126,'BSE - SENSEX Index Options'!$B:$B,D$4)+SUMIFS('BSE - Other Index Options'!$M:$M,'BSE - Other Index Options'!$C:$C,$A126,'BSE - Other Index Options'!$B:$B,D$4))</f>
        <v/>
      </c>
      <c r="E126" s="26">
        <f>IF(SUMIFS('NSE - NIFTY Index Options'!$M:$M,'NSE - NIFTY Index Options'!$C:$C,$A126,'NSE - NIFTY Index Options'!$B:$B,E$4)+SUMIFS('NSE - Other Index Options'!$M:$M,'NSE - Other Index Options'!$C:$C,$A126,'NSE - Other Index Options'!$B:$B,E$4)+SUMIFS('BSE - SENSEX Index Options'!$M:$M,'BSE - SENSEX Index Options'!$C:$C,$A126,'BSE - SENSEX Index Options'!$B:$B,E$4)+SUMIFS('BSE - Other Index Options'!$M:$M,'BSE - Other Index Options'!$C:$C,$A126,'BSE - Other Index Options'!$B:$B,E$4)=0,"",SUMIFS('NSE - NIFTY Index Options'!$M:$M,'NSE - NIFTY Index Options'!$C:$C,$A126,'NSE - NIFTY Index Options'!$B:$B,E$4)+SUMIFS('NSE - Other Index Options'!$M:$M,'NSE - Other Index Options'!$C:$C,$A126,'NSE - Other Index Options'!$B:$B,E$4)+SUMIFS('BSE - SENSEX Index Options'!$M:$M,'BSE - SENSEX Index Options'!$C:$C,$A126,'BSE - SENSEX Index Options'!$B:$B,E$4)+SUMIFS('BSE - Other Index Options'!$M:$M,'BSE - Other Index Options'!$C:$C,$A126,'BSE - Other Index Options'!$B:$B,E$4))</f>
        <v/>
      </c>
      <c r="F126" s="26">
        <f>IF(SUMIFS('NSE - NIFTY Index Options'!$M:$M,'NSE - NIFTY Index Options'!$C:$C,$A126,'NSE - NIFTY Index Options'!$B:$B,F$4)+SUMIFS('NSE - Other Index Options'!$M:$M,'NSE - Other Index Options'!$C:$C,$A126,'NSE - Other Index Options'!$B:$B,F$4)+SUMIFS('BSE - SENSEX Index Options'!$M:$M,'BSE - SENSEX Index Options'!$C:$C,$A126,'BSE - SENSEX Index Options'!$B:$B,F$4)+SUMIFS('BSE - Other Index Options'!$M:$M,'BSE - Other Index Options'!$C:$C,$A126,'BSE - Other Index Options'!$B:$B,F$4)=0,"",SUMIFS('NSE - NIFTY Index Options'!$M:$M,'NSE - NIFTY Index Options'!$C:$C,$A126,'NSE - NIFTY Index Options'!$B:$B,F$4)+SUMIFS('NSE - Other Index Options'!$M:$M,'NSE - Other Index Options'!$C:$C,$A126,'NSE - Other Index Options'!$B:$B,F$4)+SUMIFS('BSE - SENSEX Index Options'!$M:$M,'BSE - SENSEX Index Options'!$C:$C,$A126,'BSE - SENSEX Index Options'!$B:$B,F$4)+SUMIFS('BSE - Other Index Options'!$M:$M,'BSE - Other Index Options'!$C:$C,$A126,'BSE - Other Index Options'!$B:$B,F$4))</f>
        <v/>
      </c>
      <c r="G126" s="26">
        <f>IF(SUMIFS('NSE - NIFTY Index Options'!$M:$M,'NSE - NIFTY Index Options'!$C:$C,$A126,'NSE - NIFTY Index Options'!$B:$B,G$4)+SUMIFS('NSE - Other Index Options'!$M:$M,'NSE - Other Index Options'!$C:$C,$A126,'NSE - Other Index Options'!$B:$B,G$4)+SUMIFS('BSE - SENSEX Index Options'!$M:$M,'BSE - SENSEX Index Options'!$C:$C,$A126,'BSE - SENSEX Index Options'!$B:$B,G$4)+SUMIFS('BSE - Other Index Options'!$M:$M,'BSE - Other Index Options'!$C:$C,$A126,'BSE - Other Index Options'!$B:$B,G$4)=0,"",SUMIFS('NSE - NIFTY Index Options'!$M:$M,'NSE - NIFTY Index Options'!$C:$C,$A126,'NSE - NIFTY Index Options'!$B:$B,G$4)+SUMIFS('NSE - Other Index Options'!$M:$M,'NSE - Other Index Options'!$C:$C,$A126,'NSE - Other Index Options'!$B:$B,G$4)+SUMIFS('BSE - SENSEX Index Options'!$M:$M,'BSE - SENSEX Index Options'!$C:$C,$A126,'BSE - SENSEX Index Options'!$B:$B,G$4)+SUMIFS('BSE - Other Index Options'!$M:$M,'BSE - Other Index Options'!$C:$C,$A126,'BSE - Other Index Options'!$B:$B,G$4))</f>
        <v/>
      </c>
      <c r="H126" s="26">
        <f>IF(SUM(B126:G126)=0,"",SUM(B126:G126))</f>
        <v/>
      </c>
    </row>
    <row r="127" hidden="1" outlineLevel="1">
      <c r="A127" t="inlineStr">
        <is>
          <t>Week5-Sep-2027</t>
        </is>
      </c>
      <c r="B127" s="26">
        <f>IF(SUMIFS('NSE - NIFTY Index Options'!$M:$M,'NSE - NIFTY Index Options'!$C:$C,$A127,'NSE - NIFTY Index Options'!$B:$B,B$4)+SUMIFS('NSE - Other Index Options'!$M:$M,'NSE - Other Index Options'!$C:$C,$A127,'NSE - Other Index Options'!$B:$B,B$4)+SUMIFS('BSE - SENSEX Index Options'!$M:$M,'BSE - SENSEX Index Options'!$C:$C,$A127,'BSE - SENSEX Index Options'!$B:$B,B$4)+SUMIFS('BSE - Other Index Options'!$M:$M,'BSE - Other Index Options'!$C:$C,$A127,'BSE - Other Index Options'!$B:$B,B$4)=0,"",SUMIFS('NSE - NIFTY Index Options'!$M:$M,'NSE - NIFTY Index Options'!$C:$C,$A127,'NSE - NIFTY Index Options'!$B:$B,B$4)+SUMIFS('NSE - Other Index Options'!$M:$M,'NSE - Other Index Options'!$C:$C,$A127,'NSE - Other Index Options'!$B:$B,B$4)+SUMIFS('BSE - SENSEX Index Options'!$M:$M,'BSE - SENSEX Index Options'!$C:$C,$A127,'BSE - SENSEX Index Options'!$B:$B,B$4)+SUMIFS('BSE - Other Index Options'!$M:$M,'BSE - Other Index Options'!$C:$C,$A127,'BSE - Other Index Options'!$B:$B,B$4))</f>
        <v/>
      </c>
      <c r="C127" s="26">
        <f>IF(SUMIFS('NSE - NIFTY Index Options'!$M:$M,'NSE - NIFTY Index Options'!$C:$C,$A127,'NSE - NIFTY Index Options'!$B:$B,C$4)+SUMIFS('NSE - Other Index Options'!$M:$M,'NSE - Other Index Options'!$C:$C,$A127,'NSE - Other Index Options'!$B:$B,C$4)+SUMIFS('BSE - SENSEX Index Options'!$M:$M,'BSE - SENSEX Index Options'!$C:$C,$A127,'BSE - SENSEX Index Options'!$B:$B,C$4)+SUMIFS('BSE - Other Index Options'!$M:$M,'BSE - Other Index Options'!$C:$C,$A127,'BSE - Other Index Options'!$B:$B,C$4)=0,"",SUMIFS('NSE - NIFTY Index Options'!$M:$M,'NSE - NIFTY Index Options'!$C:$C,$A127,'NSE - NIFTY Index Options'!$B:$B,C$4)+SUMIFS('NSE - Other Index Options'!$M:$M,'NSE - Other Index Options'!$C:$C,$A127,'NSE - Other Index Options'!$B:$B,C$4)+SUMIFS('BSE - SENSEX Index Options'!$M:$M,'BSE - SENSEX Index Options'!$C:$C,$A127,'BSE - SENSEX Index Options'!$B:$B,C$4)+SUMIFS('BSE - Other Index Options'!$M:$M,'BSE - Other Index Options'!$C:$C,$A127,'BSE - Other Index Options'!$B:$B,C$4))</f>
        <v/>
      </c>
      <c r="D127" s="26">
        <f>IF(SUMIFS('NSE - NIFTY Index Options'!$M:$M,'NSE - NIFTY Index Options'!$C:$C,$A127,'NSE - NIFTY Index Options'!$B:$B,D$4)+SUMIFS('NSE - Other Index Options'!$M:$M,'NSE - Other Index Options'!$C:$C,$A127,'NSE - Other Index Options'!$B:$B,D$4)+SUMIFS('BSE - SENSEX Index Options'!$M:$M,'BSE - SENSEX Index Options'!$C:$C,$A127,'BSE - SENSEX Index Options'!$B:$B,D$4)+SUMIFS('BSE - Other Index Options'!$M:$M,'BSE - Other Index Options'!$C:$C,$A127,'BSE - Other Index Options'!$B:$B,D$4)=0,"",SUMIFS('NSE - NIFTY Index Options'!$M:$M,'NSE - NIFTY Index Options'!$C:$C,$A127,'NSE - NIFTY Index Options'!$B:$B,D$4)+SUMIFS('NSE - Other Index Options'!$M:$M,'NSE - Other Index Options'!$C:$C,$A127,'NSE - Other Index Options'!$B:$B,D$4)+SUMIFS('BSE - SENSEX Index Options'!$M:$M,'BSE - SENSEX Index Options'!$C:$C,$A127,'BSE - SENSEX Index Options'!$B:$B,D$4)+SUMIFS('BSE - Other Index Options'!$M:$M,'BSE - Other Index Options'!$C:$C,$A127,'BSE - Other Index Options'!$B:$B,D$4))</f>
        <v/>
      </c>
      <c r="E127" s="26">
        <f>IF(SUMIFS('NSE - NIFTY Index Options'!$M:$M,'NSE - NIFTY Index Options'!$C:$C,$A127,'NSE - NIFTY Index Options'!$B:$B,E$4)+SUMIFS('NSE - Other Index Options'!$M:$M,'NSE - Other Index Options'!$C:$C,$A127,'NSE - Other Index Options'!$B:$B,E$4)+SUMIFS('BSE - SENSEX Index Options'!$M:$M,'BSE - SENSEX Index Options'!$C:$C,$A127,'BSE - SENSEX Index Options'!$B:$B,E$4)+SUMIFS('BSE - Other Index Options'!$M:$M,'BSE - Other Index Options'!$C:$C,$A127,'BSE - Other Index Options'!$B:$B,E$4)=0,"",SUMIFS('NSE - NIFTY Index Options'!$M:$M,'NSE - NIFTY Index Options'!$C:$C,$A127,'NSE - NIFTY Index Options'!$B:$B,E$4)+SUMIFS('NSE - Other Index Options'!$M:$M,'NSE - Other Index Options'!$C:$C,$A127,'NSE - Other Index Options'!$B:$B,E$4)+SUMIFS('BSE - SENSEX Index Options'!$M:$M,'BSE - SENSEX Index Options'!$C:$C,$A127,'BSE - SENSEX Index Options'!$B:$B,E$4)+SUMIFS('BSE - Other Index Options'!$M:$M,'BSE - Other Index Options'!$C:$C,$A127,'BSE - Other Index Options'!$B:$B,E$4))</f>
        <v/>
      </c>
      <c r="F127" s="26">
        <f>IF(SUMIFS('NSE - NIFTY Index Options'!$M:$M,'NSE - NIFTY Index Options'!$C:$C,$A127,'NSE - NIFTY Index Options'!$B:$B,F$4)+SUMIFS('NSE - Other Index Options'!$M:$M,'NSE - Other Index Options'!$C:$C,$A127,'NSE - Other Index Options'!$B:$B,F$4)+SUMIFS('BSE - SENSEX Index Options'!$M:$M,'BSE - SENSEX Index Options'!$C:$C,$A127,'BSE - SENSEX Index Options'!$B:$B,F$4)+SUMIFS('BSE - Other Index Options'!$M:$M,'BSE - Other Index Options'!$C:$C,$A127,'BSE - Other Index Options'!$B:$B,F$4)=0,"",SUMIFS('NSE - NIFTY Index Options'!$M:$M,'NSE - NIFTY Index Options'!$C:$C,$A127,'NSE - NIFTY Index Options'!$B:$B,F$4)+SUMIFS('NSE - Other Index Options'!$M:$M,'NSE - Other Index Options'!$C:$C,$A127,'NSE - Other Index Options'!$B:$B,F$4)+SUMIFS('BSE - SENSEX Index Options'!$M:$M,'BSE - SENSEX Index Options'!$C:$C,$A127,'BSE - SENSEX Index Options'!$B:$B,F$4)+SUMIFS('BSE - Other Index Options'!$M:$M,'BSE - Other Index Options'!$C:$C,$A127,'BSE - Other Index Options'!$B:$B,F$4))</f>
        <v/>
      </c>
      <c r="G127" s="26">
        <f>IF(SUMIFS('NSE - NIFTY Index Options'!$M:$M,'NSE - NIFTY Index Options'!$C:$C,$A127,'NSE - NIFTY Index Options'!$B:$B,G$4)+SUMIFS('NSE - Other Index Options'!$M:$M,'NSE - Other Index Options'!$C:$C,$A127,'NSE - Other Index Options'!$B:$B,G$4)+SUMIFS('BSE - SENSEX Index Options'!$M:$M,'BSE - SENSEX Index Options'!$C:$C,$A127,'BSE - SENSEX Index Options'!$B:$B,G$4)+SUMIFS('BSE - Other Index Options'!$M:$M,'BSE - Other Index Options'!$C:$C,$A127,'BSE - Other Index Options'!$B:$B,G$4)=0,"",SUMIFS('NSE - NIFTY Index Options'!$M:$M,'NSE - NIFTY Index Options'!$C:$C,$A127,'NSE - NIFTY Index Options'!$B:$B,G$4)+SUMIFS('NSE - Other Index Options'!$M:$M,'NSE - Other Index Options'!$C:$C,$A127,'NSE - Other Index Options'!$B:$B,G$4)+SUMIFS('BSE - SENSEX Index Options'!$M:$M,'BSE - SENSEX Index Options'!$C:$C,$A127,'BSE - SENSEX Index Options'!$B:$B,G$4)+SUMIFS('BSE - Other Index Options'!$M:$M,'BSE - Other Index Options'!$C:$C,$A127,'BSE - Other Index Options'!$B:$B,G$4))</f>
        <v/>
      </c>
      <c r="H127" s="26">
        <f>IF(SUM(B127:G127)=0,"",SUM(B127:G127))</f>
        <v/>
      </c>
    </row>
    <row r="128" hidden="1" outlineLevel="1">
      <c r="A128" t="inlineStr">
        <is>
          <t>Week1-Oct-2027</t>
        </is>
      </c>
      <c r="B128" s="26">
        <f>IF(SUMIFS('NSE - NIFTY Index Options'!$M:$M,'NSE - NIFTY Index Options'!$C:$C,$A128,'NSE - NIFTY Index Options'!$B:$B,B$4)+SUMIFS('NSE - Other Index Options'!$M:$M,'NSE - Other Index Options'!$C:$C,$A128,'NSE - Other Index Options'!$B:$B,B$4)+SUMIFS('BSE - SENSEX Index Options'!$M:$M,'BSE - SENSEX Index Options'!$C:$C,$A128,'BSE - SENSEX Index Options'!$B:$B,B$4)+SUMIFS('BSE - Other Index Options'!$M:$M,'BSE - Other Index Options'!$C:$C,$A128,'BSE - Other Index Options'!$B:$B,B$4)=0,"",SUMIFS('NSE - NIFTY Index Options'!$M:$M,'NSE - NIFTY Index Options'!$C:$C,$A128,'NSE - NIFTY Index Options'!$B:$B,B$4)+SUMIFS('NSE - Other Index Options'!$M:$M,'NSE - Other Index Options'!$C:$C,$A128,'NSE - Other Index Options'!$B:$B,B$4)+SUMIFS('BSE - SENSEX Index Options'!$M:$M,'BSE - SENSEX Index Options'!$C:$C,$A128,'BSE - SENSEX Index Options'!$B:$B,B$4)+SUMIFS('BSE - Other Index Options'!$M:$M,'BSE - Other Index Options'!$C:$C,$A128,'BSE - Other Index Options'!$B:$B,B$4))</f>
        <v/>
      </c>
      <c r="C128" s="26">
        <f>IF(SUMIFS('NSE - NIFTY Index Options'!$M:$M,'NSE - NIFTY Index Options'!$C:$C,$A128,'NSE - NIFTY Index Options'!$B:$B,C$4)+SUMIFS('NSE - Other Index Options'!$M:$M,'NSE - Other Index Options'!$C:$C,$A128,'NSE - Other Index Options'!$B:$B,C$4)+SUMIFS('BSE - SENSEX Index Options'!$M:$M,'BSE - SENSEX Index Options'!$C:$C,$A128,'BSE - SENSEX Index Options'!$B:$B,C$4)+SUMIFS('BSE - Other Index Options'!$M:$M,'BSE - Other Index Options'!$C:$C,$A128,'BSE - Other Index Options'!$B:$B,C$4)=0,"",SUMIFS('NSE - NIFTY Index Options'!$M:$M,'NSE - NIFTY Index Options'!$C:$C,$A128,'NSE - NIFTY Index Options'!$B:$B,C$4)+SUMIFS('NSE - Other Index Options'!$M:$M,'NSE - Other Index Options'!$C:$C,$A128,'NSE - Other Index Options'!$B:$B,C$4)+SUMIFS('BSE - SENSEX Index Options'!$M:$M,'BSE - SENSEX Index Options'!$C:$C,$A128,'BSE - SENSEX Index Options'!$B:$B,C$4)+SUMIFS('BSE - Other Index Options'!$M:$M,'BSE - Other Index Options'!$C:$C,$A128,'BSE - Other Index Options'!$B:$B,C$4))</f>
        <v/>
      </c>
      <c r="D128" s="26">
        <f>IF(SUMIFS('NSE - NIFTY Index Options'!$M:$M,'NSE - NIFTY Index Options'!$C:$C,$A128,'NSE - NIFTY Index Options'!$B:$B,D$4)+SUMIFS('NSE - Other Index Options'!$M:$M,'NSE - Other Index Options'!$C:$C,$A128,'NSE - Other Index Options'!$B:$B,D$4)+SUMIFS('BSE - SENSEX Index Options'!$M:$M,'BSE - SENSEX Index Options'!$C:$C,$A128,'BSE - SENSEX Index Options'!$B:$B,D$4)+SUMIFS('BSE - Other Index Options'!$M:$M,'BSE - Other Index Options'!$C:$C,$A128,'BSE - Other Index Options'!$B:$B,D$4)=0,"",SUMIFS('NSE - NIFTY Index Options'!$M:$M,'NSE - NIFTY Index Options'!$C:$C,$A128,'NSE - NIFTY Index Options'!$B:$B,D$4)+SUMIFS('NSE - Other Index Options'!$M:$M,'NSE - Other Index Options'!$C:$C,$A128,'NSE - Other Index Options'!$B:$B,D$4)+SUMIFS('BSE - SENSEX Index Options'!$M:$M,'BSE - SENSEX Index Options'!$C:$C,$A128,'BSE - SENSEX Index Options'!$B:$B,D$4)+SUMIFS('BSE - Other Index Options'!$M:$M,'BSE - Other Index Options'!$C:$C,$A128,'BSE - Other Index Options'!$B:$B,D$4))</f>
        <v/>
      </c>
      <c r="E128" s="26">
        <f>IF(SUMIFS('NSE - NIFTY Index Options'!$M:$M,'NSE - NIFTY Index Options'!$C:$C,$A128,'NSE - NIFTY Index Options'!$B:$B,E$4)+SUMIFS('NSE - Other Index Options'!$M:$M,'NSE - Other Index Options'!$C:$C,$A128,'NSE - Other Index Options'!$B:$B,E$4)+SUMIFS('BSE - SENSEX Index Options'!$M:$M,'BSE - SENSEX Index Options'!$C:$C,$A128,'BSE - SENSEX Index Options'!$B:$B,E$4)+SUMIFS('BSE - Other Index Options'!$M:$M,'BSE - Other Index Options'!$C:$C,$A128,'BSE - Other Index Options'!$B:$B,E$4)=0,"",SUMIFS('NSE - NIFTY Index Options'!$M:$M,'NSE - NIFTY Index Options'!$C:$C,$A128,'NSE - NIFTY Index Options'!$B:$B,E$4)+SUMIFS('NSE - Other Index Options'!$M:$M,'NSE - Other Index Options'!$C:$C,$A128,'NSE - Other Index Options'!$B:$B,E$4)+SUMIFS('BSE - SENSEX Index Options'!$M:$M,'BSE - SENSEX Index Options'!$C:$C,$A128,'BSE - SENSEX Index Options'!$B:$B,E$4)+SUMIFS('BSE - Other Index Options'!$M:$M,'BSE - Other Index Options'!$C:$C,$A128,'BSE - Other Index Options'!$B:$B,E$4))</f>
        <v/>
      </c>
      <c r="F128" s="26">
        <f>IF(SUMIFS('NSE - NIFTY Index Options'!$M:$M,'NSE - NIFTY Index Options'!$C:$C,$A128,'NSE - NIFTY Index Options'!$B:$B,F$4)+SUMIFS('NSE - Other Index Options'!$M:$M,'NSE - Other Index Options'!$C:$C,$A128,'NSE - Other Index Options'!$B:$B,F$4)+SUMIFS('BSE - SENSEX Index Options'!$M:$M,'BSE - SENSEX Index Options'!$C:$C,$A128,'BSE - SENSEX Index Options'!$B:$B,F$4)+SUMIFS('BSE - Other Index Options'!$M:$M,'BSE - Other Index Options'!$C:$C,$A128,'BSE - Other Index Options'!$B:$B,F$4)=0,"",SUMIFS('NSE - NIFTY Index Options'!$M:$M,'NSE - NIFTY Index Options'!$C:$C,$A128,'NSE - NIFTY Index Options'!$B:$B,F$4)+SUMIFS('NSE - Other Index Options'!$M:$M,'NSE - Other Index Options'!$C:$C,$A128,'NSE - Other Index Options'!$B:$B,F$4)+SUMIFS('BSE - SENSEX Index Options'!$M:$M,'BSE - SENSEX Index Options'!$C:$C,$A128,'BSE - SENSEX Index Options'!$B:$B,F$4)+SUMIFS('BSE - Other Index Options'!$M:$M,'BSE - Other Index Options'!$C:$C,$A128,'BSE - Other Index Options'!$B:$B,F$4))</f>
        <v/>
      </c>
      <c r="G128" s="26">
        <f>IF(SUMIFS('NSE - NIFTY Index Options'!$M:$M,'NSE - NIFTY Index Options'!$C:$C,$A128,'NSE - NIFTY Index Options'!$B:$B,G$4)+SUMIFS('NSE - Other Index Options'!$M:$M,'NSE - Other Index Options'!$C:$C,$A128,'NSE - Other Index Options'!$B:$B,G$4)+SUMIFS('BSE - SENSEX Index Options'!$M:$M,'BSE - SENSEX Index Options'!$C:$C,$A128,'BSE - SENSEX Index Options'!$B:$B,G$4)+SUMIFS('BSE - Other Index Options'!$M:$M,'BSE - Other Index Options'!$C:$C,$A128,'BSE - Other Index Options'!$B:$B,G$4)=0,"",SUMIFS('NSE - NIFTY Index Options'!$M:$M,'NSE - NIFTY Index Options'!$C:$C,$A128,'NSE - NIFTY Index Options'!$B:$B,G$4)+SUMIFS('NSE - Other Index Options'!$M:$M,'NSE - Other Index Options'!$C:$C,$A128,'NSE - Other Index Options'!$B:$B,G$4)+SUMIFS('BSE - SENSEX Index Options'!$M:$M,'BSE - SENSEX Index Options'!$C:$C,$A128,'BSE - SENSEX Index Options'!$B:$B,G$4)+SUMIFS('BSE - Other Index Options'!$M:$M,'BSE - Other Index Options'!$C:$C,$A128,'BSE - Other Index Options'!$B:$B,G$4))</f>
        <v/>
      </c>
      <c r="H128" s="26">
        <f>IF(SUM(B128:G128)=0,"",SUM(B128:G128))</f>
        <v/>
      </c>
    </row>
    <row r="129" hidden="1" outlineLevel="1">
      <c r="A129" t="inlineStr">
        <is>
          <t>Week2-Oct-2027</t>
        </is>
      </c>
      <c r="B129" s="26">
        <f>IF(SUMIFS('NSE - NIFTY Index Options'!$M:$M,'NSE - NIFTY Index Options'!$C:$C,$A129,'NSE - NIFTY Index Options'!$B:$B,B$4)+SUMIFS('NSE - Other Index Options'!$M:$M,'NSE - Other Index Options'!$C:$C,$A129,'NSE - Other Index Options'!$B:$B,B$4)+SUMIFS('BSE - SENSEX Index Options'!$M:$M,'BSE - SENSEX Index Options'!$C:$C,$A129,'BSE - SENSEX Index Options'!$B:$B,B$4)+SUMIFS('BSE - Other Index Options'!$M:$M,'BSE - Other Index Options'!$C:$C,$A129,'BSE - Other Index Options'!$B:$B,B$4)=0,"",SUMIFS('NSE - NIFTY Index Options'!$M:$M,'NSE - NIFTY Index Options'!$C:$C,$A129,'NSE - NIFTY Index Options'!$B:$B,B$4)+SUMIFS('NSE - Other Index Options'!$M:$M,'NSE - Other Index Options'!$C:$C,$A129,'NSE - Other Index Options'!$B:$B,B$4)+SUMIFS('BSE - SENSEX Index Options'!$M:$M,'BSE - SENSEX Index Options'!$C:$C,$A129,'BSE - SENSEX Index Options'!$B:$B,B$4)+SUMIFS('BSE - Other Index Options'!$M:$M,'BSE - Other Index Options'!$C:$C,$A129,'BSE - Other Index Options'!$B:$B,B$4))</f>
        <v/>
      </c>
      <c r="C129" s="26">
        <f>IF(SUMIFS('NSE - NIFTY Index Options'!$M:$M,'NSE - NIFTY Index Options'!$C:$C,$A129,'NSE - NIFTY Index Options'!$B:$B,C$4)+SUMIFS('NSE - Other Index Options'!$M:$M,'NSE - Other Index Options'!$C:$C,$A129,'NSE - Other Index Options'!$B:$B,C$4)+SUMIFS('BSE - SENSEX Index Options'!$M:$M,'BSE - SENSEX Index Options'!$C:$C,$A129,'BSE - SENSEX Index Options'!$B:$B,C$4)+SUMIFS('BSE - Other Index Options'!$M:$M,'BSE - Other Index Options'!$C:$C,$A129,'BSE - Other Index Options'!$B:$B,C$4)=0,"",SUMIFS('NSE - NIFTY Index Options'!$M:$M,'NSE - NIFTY Index Options'!$C:$C,$A129,'NSE - NIFTY Index Options'!$B:$B,C$4)+SUMIFS('NSE - Other Index Options'!$M:$M,'NSE - Other Index Options'!$C:$C,$A129,'NSE - Other Index Options'!$B:$B,C$4)+SUMIFS('BSE - SENSEX Index Options'!$M:$M,'BSE - SENSEX Index Options'!$C:$C,$A129,'BSE - SENSEX Index Options'!$B:$B,C$4)+SUMIFS('BSE - Other Index Options'!$M:$M,'BSE - Other Index Options'!$C:$C,$A129,'BSE - Other Index Options'!$B:$B,C$4))</f>
        <v/>
      </c>
      <c r="D129" s="26">
        <f>IF(SUMIFS('NSE - NIFTY Index Options'!$M:$M,'NSE - NIFTY Index Options'!$C:$C,$A129,'NSE - NIFTY Index Options'!$B:$B,D$4)+SUMIFS('NSE - Other Index Options'!$M:$M,'NSE - Other Index Options'!$C:$C,$A129,'NSE - Other Index Options'!$B:$B,D$4)+SUMIFS('BSE - SENSEX Index Options'!$M:$M,'BSE - SENSEX Index Options'!$C:$C,$A129,'BSE - SENSEX Index Options'!$B:$B,D$4)+SUMIFS('BSE - Other Index Options'!$M:$M,'BSE - Other Index Options'!$C:$C,$A129,'BSE - Other Index Options'!$B:$B,D$4)=0,"",SUMIFS('NSE - NIFTY Index Options'!$M:$M,'NSE - NIFTY Index Options'!$C:$C,$A129,'NSE - NIFTY Index Options'!$B:$B,D$4)+SUMIFS('NSE - Other Index Options'!$M:$M,'NSE - Other Index Options'!$C:$C,$A129,'NSE - Other Index Options'!$B:$B,D$4)+SUMIFS('BSE - SENSEX Index Options'!$M:$M,'BSE - SENSEX Index Options'!$C:$C,$A129,'BSE - SENSEX Index Options'!$B:$B,D$4)+SUMIFS('BSE - Other Index Options'!$M:$M,'BSE - Other Index Options'!$C:$C,$A129,'BSE - Other Index Options'!$B:$B,D$4))</f>
        <v/>
      </c>
      <c r="E129" s="26">
        <f>IF(SUMIFS('NSE - NIFTY Index Options'!$M:$M,'NSE - NIFTY Index Options'!$C:$C,$A129,'NSE - NIFTY Index Options'!$B:$B,E$4)+SUMIFS('NSE - Other Index Options'!$M:$M,'NSE - Other Index Options'!$C:$C,$A129,'NSE - Other Index Options'!$B:$B,E$4)+SUMIFS('BSE - SENSEX Index Options'!$M:$M,'BSE - SENSEX Index Options'!$C:$C,$A129,'BSE - SENSEX Index Options'!$B:$B,E$4)+SUMIFS('BSE - Other Index Options'!$M:$M,'BSE - Other Index Options'!$C:$C,$A129,'BSE - Other Index Options'!$B:$B,E$4)=0,"",SUMIFS('NSE - NIFTY Index Options'!$M:$M,'NSE - NIFTY Index Options'!$C:$C,$A129,'NSE - NIFTY Index Options'!$B:$B,E$4)+SUMIFS('NSE - Other Index Options'!$M:$M,'NSE - Other Index Options'!$C:$C,$A129,'NSE - Other Index Options'!$B:$B,E$4)+SUMIFS('BSE - SENSEX Index Options'!$M:$M,'BSE - SENSEX Index Options'!$C:$C,$A129,'BSE - SENSEX Index Options'!$B:$B,E$4)+SUMIFS('BSE - Other Index Options'!$M:$M,'BSE - Other Index Options'!$C:$C,$A129,'BSE - Other Index Options'!$B:$B,E$4))</f>
        <v/>
      </c>
      <c r="F129" s="26">
        <f>IF(SUMIFS('NSE - NIFTY Index Options'!$M:$M,'NSE - NIFTY Index Options'!$C:$C,$A129,'NSE - NIFTY Index Options'!$B:$B,F$4)+SUMIFS('NSE - Other Index Options'!$M:$M,'NSE - Other Index Options'!$C:$C,$A129,'NSE - Other Index Options'!$B:$B,F$4)+SUMIFS('BSE - SENSEX Index Options'!$M:$M,'BSE - SENSEX Index Options'!$C:$C,$A129,'BSE - SENSEX Index Options'!$B:$B,F$4)+SUMIFS('BSE - Other Index Options'!$M:$M,'BSE - Other Index Options'!$C:$C,$A129,'BSE - Other Index Options'!$B:$B,F$4)=0,"",SUMIFS('NSE - NIFTY Index Options'!$M:$M,'NSE - NIFTY Index Options'!$C:$C,$A129,'NSE - NIFTY Index Options'!$B:$B,F$4)+SUMIFS('NSE - Other Index Options'!$M:$M,'NSE - Other Index Options'!$C:$C,$A129,'NSE - Other Index Options'!$B:$B,F$4)+SUMIFS('BSE - SENSEX Index Options'!$M:$M,'BSE - SENSEX Index Options'!$C:$C,$A129,'BSE - SENSEX Index Options'!$B:$B,F$4)+SUMIFS('BSE - Other Index Options'!$M:$M,'BSE - Other Index Options'!$C:$C,$A129,'BSE - Other Index Options'!$B:$B,F$4))</f>
        <v/>
      </c>
      <c r="G129" s="26">
        <f>IF(SUMIFS('NSE - NIFTY Index Options'!$M:$M,'NSE - NIFTY Index Options'!$C:$C,$A129,'NSE - NIFTY Index Options'!$B:$B,G$4)+SUMIFS('NSE - Other Index Options'!$M:$M,'NSE - Other Index Options'!$C:$C,$A129,'NSE - Other Index Options'!$B:$B,G$4)+SUMIFS('BSE - SENSEX Index Options'!$M:$M,'BSE - SENSEX Index Options'!$C:$C,$A129,'BSE - SENSEX Index Options'!$B:$B,G$4)+SUMIFS('BSE - Other Index Options'!$M:$M,'BSE - Other Index Options'!$C:$C,$A129,'BSE - Other Index Options'!$B:$B,G$4)=0,"",SUMIFS('NSE - NIFTY Index Options'!$M:$M,'NSE - NIFTY Index Options'!$C:$C,$A129,'NSE - NIFTY Index Options'!$B:$B,G$4)+SUMIFS('NSE - Other Index Options'!$M:$M,'NSE - Other Index Options'!$C:$C,$A129,'NSE - Other Index Options'!$B:$B,G$4)+SUMIFS('BSE - SENSEX Index Options'!$M:$M,'BSE - SENSEX Index Options'!$C:$C,$A129,'BSE - SENSEX Index Options'!$B:$B,G$4)+SUMIFS('BSE - Other Index Options'!$M:$M,'BSE - Other Index Options'!$C:$C,$A129,'BSE - Other Index Options'!$B:$B,G$4))</f>
        <v/>
      </c>
      <c r="H129" s="26">
        <f>IF(SUM(B129:G129)=0,"",SUM(B129:G129))</f>
        <v/>
      </c>
    </row>
    <row r="130" hidden="1" outlineLevel="1">
      <c r="A130" t="inlineStr">
        <is>
          <t>Week3-Oct-2027</t>
        </is>
      </c>
      <c r="B130" s="26">
        <f>IF(SUMIFS('NSE - NIFTY Index Options'!$M:$M,'NSE - NIFTY Index Options'!$C:$C,$A130,'NSE - NIFTY Index Options'!$B:$B,B$4)+SUMIFS('NSE - Other Index Options'!$M:$M,'NSE - Other Index Options'!$C:$C,$A130,'NSE - Other Index Options'!$B:$B,B$4)+SUMIFS('BSE - SENSEX Index Options'!$M:$M,'BSE - SENSEX Index Options'!$C:$C,$A130,'BSE - SENSEX Index Options'!$B:$B,B$4)+SUMIFS('BSE - Other Index Options'!$M:$M,'BSE - Other Index Options'!$C:$C,$A130,'BSE - Other Index Options'!$B:$B,B$4)=0,"",SUMIFS('NSE - NIFTY Index Options'!$M:$M,'NSE - NIFTY Index Options'!$C:$C,$A130,'NSE - NIFTY Index Options'!$B:$B,B$4)+SUMIFS('NSE - Other Index Options'!$M:$M,'NSE - Other Index Options'!$C:$C,$A130,'NSE - Other Index Options'!$B:$B,B$4)+SUMIFS('BSE - SENSEX Index Options'!$M:$M,'BSE - SENSEX Index Options'!$C:$C,$A130,'BSE - SENSEX Index Options'!$B:$B,B$4)+SUMIFS('BSE - Other Index Options'!$M:$M,'BSE - Other Index Options'!$C:$C,$A130,'BSE - Other Index Options'!$B:$B,B$4))</f>
        <v/>
      </c>
      <c r="C130" s="26">
        <f>IF(SUMIFS('NSE - NIFTY Index Options'!$M:$M,'NSE - NIFTY Index Options'!$C:$C,$A130,'NSE - NIFTY Index Options'!$B:$B,C$4)+SUMIFS('NSE - Other Index Options'!$M:$M,'NSE - Other Index Options'!$C:$C,$A130,'NSE - Other Index Options'!$B:$B,C$4)+SUMIFS('BSE - SENSEX Index Options'!$M:$M,'BSE - SENSEX Index Options'!$C:$C,$A130,'BSE - SENSEX Index Options'!$B:$B,C$4)+SUMIFS('BSE - Other Index Options'!$M:$M,'BSE - Other Index Options'!$C:$C,$A130,'BSE - Other Index Options'!$B:$B,C$4)=0,"",SUMIFS('NSE - NIFTY Index Options'!$M:$M,'NSE - NIFTY Index Options'!$C:$C,$A130,'NSE - NIFTY Index Options'!$B:$B,C$4)+SUMIFS('NSE - Other Index Options'!$M:$M,'NSE - Other Index Options'!$C:$C,$A130,'NSE - Other Index Options'!$B:$B,C$4)+SUMIFS('BSE - SENSEX Index Options'!$M:$M,'BSE - SENSEX Index Options'!$C:$C,$A130,'BSE - SENSEX Index Options'!$B:$B,C$4)+SUMIFS('BSE - Other Index Options'!$M:$M,'BSE - Other Index Options'!$C:$C,$A130,'BSE - Other Index Options'!$B:$B,C$4))</f>
        <v/>
      </c>
      <c r="D130" s="26">
        <f>IF(SUMIFS('NSE - NIFTY Index Options'!$M:$M,'NSE - NIFTY Index Options'!$C:$C,$A130,'NSE - NIFTY Index Options'!$B:$B,D$4)+SUMIFS('NSE - Other Index Options'!$M:$M,'NSE - Other Index Options'!$C:$C,$A130,'NSE - Other Index Options'!$B:$B,D$4)+SUMIFS('BSE - SENSEX Index Options'!$M:$M,'BSE - SENSEX Index Options'!$C:$C,$A130,'BSE - SENSEX Index Options'!$B:$B,D$4)+SUMIFS('BSE - Other Index Options'!$M:$M,'BSE - Other Index Options'!$C:$C,$A130,'BSE - Other Index Options'!$B:$B,D$4)=0,"",SUMIFS('NSE - NIFTY Index Options'!$M:$M,'NSE - NIFTY Index Options'!$C:$C,$A130,'NSE - NIFTY Index Options'!$B:$B,D$4)+SUMIFS('NSE - Other Index Options'!$M:$M,'NSE - Other Index Options'!$C:$C,$A130,'NSE - Other Index Options'!$B:$B,D$4)+SUMIFS('BSE - SENSEX Index Options'!$M:$M,'BSE - SENSEX Index Options'!$C:$C,$A130,'BSE - SENSEX Index Options'!$B:$B,D$4)+SUMIFS('BSE - Other Index Options'!$M:$M,'BSE - Other Index Options'!$C:$C,$A130,'BSE - Other Index Options'!$B:$B,D$4))</f>
        <v/>
      </c>
      <c r="E130" s="26">
        <f>IF(SUMIFS('NSE - NIFTY Index Options'!$M:$M,'NSE - NIFTY Index Options'!$C:$C,$A130,'NSE - NIFTY Index Options'!$B:$B,E$4)+SUMIFS('NSE - Other Index Options'!$M:$M,'NSE - Other Index Options'!$C:$C,$A130,'NSE - Other Index Options'!$B:$B,E$4)+SUMIFS('BSE - SENSEX Index Options'!$M:$M,'BSE - SENSEX Index Options'!$C:$C,$A130,'BSE - SENSEX Index Options'!$B:$B,E$4)+SUMIFS('BSE - Other Index Options'!$M:$M,'BSE - Other Index Options'!$C:$C,$A130,'BSE - Other Index Options'!$B:$B,E$4)=0,"",SUMIFS('NSE - NIFTY Index Options'!$M:$M,'NSE - NIFTY Index Options'!$C:$C,$A130,'NSE - NIFTY Index Options'!$B:$B,E$4)+SUMIFS('NSE - Other Index Options'!$M:$M,'NSE - Other Index Options'!$C:$C,$A130,'NSE - Other Index Options'!$B:$B,E$4)+SUMIFS('BSE - SENSEX Index Options'!$M:$M,'BSE - SENSEX Index Options'!$C:$C,$A130,'BSE - SENSEX Index Options'!$B:$B,E$4)+SUMIFS('BSE - Other Index Options'!$M:$M,'BSE - Other Index Options'!$C:$C,$A130,'BSE - Other Index Options'!$B:$B,E$4))</f>
        <v/>
      </c>
      <c r="F130" s="26">
        <f>IF(SUMIFS('NSE - NIFTY Index Options'!$M:$M,'NSE - NIFTY Index Options'!$C:$C,$A130,'NSE - NIFTY Index Options'!$B:$B,F$4)+SUMIFS('NSE - Other Index Options'!$M:$M,'NSE - Other Index Options'!$C:$C,$A130,'NSE - Other Index Options'!$B:$B,F$4)+SUMIFS('BSE - SENSEX Index Options'!$M:$M,'BSE - SENSEX Index Options'!$C:$C,$A130,'BSE - SENSEX Index Options'!$B:$B,F$4)+SUMIFS('BSE - Other Index Options'!$M:$M,'BSE - Other Index Options'!$C:$C,$A130,'BSE - Other Index Options'!$B:$B,F$4)=0,"",SUMIFS('NSE - NIFTY Index Options'!$M:$M,'NSE - NIFTY Index Options'!$C:$C,$A130,'NSE - NIFTY Index Options'!$B:$B,F$4)+SUMIFS('NSE - Other Index Options'!$M:$M,'NSE - Other Index Options'!$C:$C,$A130,'NSE - Other Index Options'!$B:$B,F$4)+SUMIFS('BSE - SENSEX Index Options'!$M:$M,'BSE - SENSEX Index Options'!$C:$C,$A130,'BSE - SENSEX Index Options'!$B:$B,F$4)+SUMIFS('BSE - Other Index Options'!$M:$M,'BSE - Other Index Options'!$C:$C,$A130,'BSE - Other Index Options'!$B:$B,F$4))</f>
        <v/>
      </c>
      <c r="G130" s="26">
        <f>IF(SUMIFS('NSE - NIFTY Index Options'!$M:$M,'NSE - NIFTY Index Options'!$C:$C,$A130,'NSE - NIFTY Index Options'!$B:$B,G$4)+SUMIFS('NSE - Other Index Options'!$M:$M,'NSE - Other Index Options'!$C:$C,$A130,'NSE - Other Index Options'!$B:$B,G$4)+SUMIFS('BSE - SENSEX Index Options'!$M:$M,'BSE - SENSEX Index Options'!$C:$C,$A130,'BSE - SENSEX Index Options'!$B:$B,G$4)+SUMIFS('BSE - Other Index Options'!$M:$M,'BSE - Other Index Options'!$C:$C,$A130,'BSE - Other Index Options'!$B:$B,G$4)=0,"",SUMIFS('NSE - NIFTY Index Options'!$M:$M,'NSE - NIFTY Index Options'!$C:$C,$A130,'NSE - NIFTY Index Options'!$B:$B,G$4)+SUMIFS('NSE - Other Index Options'!$M:$M,'NSE - Other Index Options'!$C:$C,$A130,'NSE - Other Index Options'!$B:$B,G$4)+SUMIFS('BSE - SENSEX Index Options'!$M:$M,'BSE - SENSEX Index Options'!$C:$C,$A130,'BSE - SENSEX Index Options'!$B:$B,G$4)+SUMIFS('BSE - Other Index Options'!$M:$M,'BSE - Other Index Options'!$C:$C,$A130,'BSE - Other Index Options'!$B:$B,G$4))</f>
        <v/>
      </c>
      <c r="H130" s="26">
        <f>IF(SUM(B130:G130)=0,"",SUM(B130:G130))</f>
        <v/>
      </c>
    </row>
    <row r="131" hidden="1" outlineLevel="1">
      <c r="A131" t="inlineStr">
        <is>
          <t>Week4-Oct-2027</t>
        </is>
      </c>
      <c r="B131" s="26">
        <f>IF(SUMIFS('NSE - NIFTY Index Options'!$M:$M,'NSE - NIFTY Index Options'!$C:$C,$A131,'NSE - NIFTY Index Options'!$B:$B,B$4)+SUMIFS('NSE - Other Index Options'!$M:$M,'NSE - Other Index Options'!$C:$C,$A131,'NSE - Other Index Options'!$B:$B,B$4)+SUMIFS('BSE - SENSEX Index Options'!$M:$M,'BSE - SENSEX Index Options'!$C:$C,$A131,'BSE - SENSEX Index Options'!$B:$B,B$4)+SUMIFS('BSE - Other Index Options'!$M:$M,'BSE - Other Index Options'!$C:$C,$A131,'BSE - Other Index Options'!$B:$B,B$4)=0,"",SUMIFS('NSE - NIFTY Index Options'!$M:$M,'NSE - NIFTY Index Options'!$C:$C,$A131,'NSE - NIFTY Index Options'!$B:$B,B$4)+SUMIFS('NSE - Other Index Options'!$M:$M,'NSE - Other Index Options'!$C:$C,$A131,'NSE - Other Index Options'!$B:$B,B$4)+SUMIFS('BSE - SENSEX Index Options'!$M:$M,'BSE - SENSEX Index Options'!$C:$C,$A131,'BSE - SENSEX Index Options'!$B:$B,B$4)+SUMIFS('BSE - Other Index Options'!$M:$M,'BSE - Other Index Options'!$C:$C,$A131,'BSE - Other Index Options'!$B:$B,B$4))</f>
        <v/>
      </c>
      <c r="C131" s="26">
        <f>IF(SUMIFS('NSE - NIFTY Index Options'!$M:$M,'NSE - NIFTY Index Options'!$C:$C,$A131,'NSE - NIFTY Index Options'!$B:$B,C$4)+SUMIFS('NSE - Other Index Options'!$M:$M,'NSE - Other Index Options'!$C:$C,$A131,'NSE - Other Index Options'!$B:$B,C$4)+SUMIFS('BSE - SENSEX Index Options'!$M:$M,'BSE - SENSEX Index Options'!$C:$C,$A131,'BSE - SENSEX Index Options'!$B:$B,C$4)+SUMIFS('BSE - Other Index Options'!$M:$M,'BSE - Other Index Options'!$C:$C,$A131,'BSE - Other Index Options'!$B:$B,C$4)=0,"",SUMIFS('NSE - NIFTY Index Options'!$M:$M,'NSE - NIFTY Index Options'!$C:$C,$A131,'NSE - NIFTY Index Options'!$B:$B,C$4)+SUMIFS('NSE - Other Index Options'!$M:$M,'NSE - Other Index Options'!$C:$C,$A131,'NSE - Other Index Options'!$B:$B,C$4)+SUMIFS('BSE - SENSEX Index Options'!$M:$M,'BSE - SENSEX Index Options'!$C:$C,$A131,'BSE - SENSEX Index Options'!$B:$B,C$4)+SUMIFS('BSE - Other Index Options'!$M:$M,'BSE - Other Index Options'!$C:$C,$A131,'BSE - Other Index Options'!$B:$B,C$4))</f>
        <v/>
      </c>
      <c r="D131" s="26">
        <f>IF(SUMIFS('NSE - NIFTY Index Options'!$M:$M,'NSE - NIFTY Index Options'!$C:$C,$A131,'NSE - NIFTY Index Options'!$B:$B,D$4)+SUMIFS('NSE - Other Index Options'!$M:$M,'NSE - Other Index Options'!$C:$C,$A131,'NSE - Other Index Options'!$B:$B,D$4)+SUMIFS('BSE - SENSEX Index Options'!$M:$M,'BSE - SENSEX Index Options'!$C:$C,$A131,'BSE - SENSEX Index Options'!$B:$B,D$4)+SUMIFS('BSE - Other Index Options'!$M:$M,'BSE - Other Index Options'!$C:$C,$A131,'BSE - Other Index Options'!$B:$B,D$4)=0,"",SUMIFS('NSE - NIFTY Index Options'!$M:$M,'NSE - NIFTY Index Options'!$C:$C,$A131,'NSE - NIFTY Index Options'!$B:$B,D$4)+SUMIFS('NSE - Other Index Options'!$M:$M,'NSE - Other Index Options'!$C:$C,$A131,'NSE - Other Index Options'!$B:$B,D$4)+SUMIFS('BSE - SENSEX Index Options'!$M:$M,'BSE - SENSEX Index Options'!$C:$C,$A131,'BSE - SENSEX Index Options'!$B:$B,D$4)+SUMIFS('BSE - Other Index Options'!$M:$M,'BSE - Other Index Options'!$C:$C,$A131,'BSE - Other Index Options'!$B:$B,D$4))</f>
        <v/>
      </c>
      <c r="E131" s="26">
        <f>IF(SUMIFS('NSE - NIFTY Index Options'!$M:$M,'NSE - NIFTY Index Options'!$C:$C,$A131,'NSE - NIFTY Index Options'!$B:$B,E$4)+SUMIFS('NSE - Other Index Options'!$M:$M,'NSE - Other Index Options'!$C:$C,$A131,'NSE - Other Index Options'!$B:$B,E$4)+SUMIFS('BSE - SENSEX Index Options'!$M:$M,'BSE - SENSEX Index Options'!$C:$C,$A131,'BSE - SENSEX Index Options'!$B:$B,E$4)+SUMIFS('BSE - Other Index Options'!$M:$M,'BSE - Other Index Options'!$C:$C,$A131,'BSE - Other Index Options'!$B:$B,E$4)=0,"",SUMIFS('NSE - NIFTY Index Options'!$M:$M,'NSE - NIFTY Index Options'!$C:$C,$A131,'NSE - NIFTY Index Options'!$B:$B,E$4)+SUMIFS('NSE - Other Index Options'!$M:$M,'NSE - Other Index Options'!$C:$C,$A131,'NSE - Other Index Options'!$B:$B,E$4)+SUMIFS('BSE - SENSEX Index Options'!$M:$M,'BSE - SENSEX Index Options'!$C:$C,$A131,'BSE - SENSEX Index Options'!$B:$B,E$4)+SUMIFS('BSE - Other Index Options'!$M:$M,'BSE - Other Index Options'!$C:$C,$A131,'BSE - Other Index Options'!$B:$B,E$4))</f>
        <v/>
      </c>
      <c r="F131" s="26">
        <f>IF(SUMIFS('NSE - NIFTY Index Options'!$M:$M,'NSE - NIFTY Index Options'!$C:$C,$A131,'NSE - NIFTY Index Options'!$B:$B,F$4)+SUMIFS('NSE - Other Index Options'!$M:$M,'NSE - Other Index Options'!$C:$C,$A131,'NSE - Other Index Options'!$B:$B,F$4)+SUMIFS('BSE - SENSEX Index Options'!$M:$M,'BSE - SENSEX Index Options'!$C:$C,$A131,'BSE - SENSEX Index Options'!$B:$B,F$4)+SUMIFS('BSE - Other Index Options'!$M:$M,'BSE - Other Index Options'!$C:$C,$A131,'BSE - Other Index Options'!$B:$B,F$4)=0,"",SUMIFS('NSE - NIFTY Index Options'!$M:$M,'NSE - NIFTY Index Options'!$C:$C,$A131,'NSE - NIFTY Index Options'!$B:$B,F$4)+SUMIFS('NSE - Other Index Options'!$M:$M,'NSE - Other Index Options'!$C:$C,$A131,'NSE - Other Index Options'!$B:$B,F$4)+SUMIFS('BSE - SENSEX Index Options'!$M:$M,'BSE - SENSEX Index Options'!$C:$C,$A131,'BSE - SENSEX Index Options'!$B:$B,F$4)+SUMIFS('BSE - Other Index Options'!$M:$M,'BSE - Other Index Options'!$C:$C,$A131,'BSE - Other Index Options'!$B:$B,F$4))</f>
        <v/>
      </c>
      <c r="G131" s="26">
        <f>IF(SUMIFS('NSE - NIFTY Index Options'!$M:$M,'NSE - NIFTY Index Options'!$C:$C,$A131,'NSE - NIFTY Index Options'!$B:$B,G$4)+SUMIFS('NSE - Other Index Options'!$M:$M,'NSE - Other Index Options'!$C:$C,$A131,'NSE - Other Index Options'!$B:$B,G$4)+SUMIFS('BSE - SENSEX Index Options'!$M:$M,'BSE - SENSEX Index Options'!$C:$C,$A131,'BSE - SENSEX Index Options'!$B:$B,G$4)+SUMIFS('BSE - Other Index Options'!$M:$M,'BSE - Other Index Options'!$C:$C,$A131,'BSE - Other Index Options'!$B:$B,G$4)=0,"",SUMIFS('NSE - NIFTY Index Options'!$M:$M,'NSE - NIFTY Index Options'!$C:$C,$A131,'NSE - NIFTY Index Options'!$B:$B,G$4)+SUMIFS('NSE - Other Index Options'!$M:$M,'NSE - Other Index Options'!$C:$C,$A131,'NSE - Other Index Options'!$B:$B,G$4)+SUMIFS('BSE - SENSEX Index Options'!$M:$M,'BSE - SENSEX Index Options'!$C:$C,$A131,'BSE - SENSEX Index Options'!$B:$B,G$4)+SUMIFS('BSE - Other Index Options'!$M:$M,'BSE - Other Index Options'!$C:$C,$A131,'BSE - Other Index Options'!$B:$B,G$4))</f>
        <v/>
      </c>
      <c r="H131" s="26">
        <f>IF(SUM(B131:G131)=0,"",SUM(B131:G131))</f>
        <v/>
      </c>
    </row>
    <row r="132" hidden="1" outlineLevel="1">
      <c r="A132" t="inlineStr">
        <is>
          <t>Week5-Oct-2027</t>
        </is>
      </c>
      <c r="B132" s="26">
        <f>IF(SUMIFS('NSE - NIFTY Index Options'!$M:$M,'NSE - NIFTY Index Options'!$C:$C,$A132,'NSE - NIFTY Index Options'!$B:$B,B$4)+SUMIFS('NSE - Other Index Options'!$M:$M,'NSE - Other Index Options'!$C:$C,$A132,'NSE - Other Index Options'!$B:$B,B$4)+SUMIFS('BSE - SENSEX Index Options'!$M:$M,'BSE - SENSEX Index Options'!$C:$C,$A132,'BSE - SENSEX Index Options'!$B:$B,B$4)+SUMIFS('BSE - Other Index Options'!$M:$M,'BSE - Other Index Options'!$C:$C,$A132,'BSE - Other Index Options'!$B:$B,B$4)=0,"",SUMIFS('NSE - NIFTY Index Options'!$M:$M,'NSE - NIFTY Index Options'!$C:$C,$A132,'NSE - NIFTY Index Options'!$B:$B,B$4)+SUMIFS('NSE - Other Index Options'!$M:$M,'NSE - Other Index Options'!$C:$C,$A132,'NSE - Other Index Options'!$B:$B,B$4)+SUMIFS('BSE - SENSEX Index Options'!$M:$M,'BSE - SENSEX Index Options'!$C:$C,$A132,'BSE - SENSEX Index Options'!$B:$B,B$4)+SUMIFS('BSE - Other Index Options'!$M:$M,'BSE - Other Index Options'!$C:$C,$A132,'BSE - Other Index Options'!$B:$B,B$4))</f>
        <v/>
      </c>
      <c r="C132" s="26">
        <f>IF(SUMIFS('NSE - NIFTY Index Options'!$M:$M,'NSE - NIFTY Index Options'!$C:$C,$A132,'NSE - NIFTY Index Options'!$B:$B,C$4)+SUMIFS('NSE - Other Index Options'!$M:$M,'NSE - Other Index Options'!$C:$C,$A132,'NSE - Other Index Options'!$B:$B,C$4)+SUMIFS('BSE - SENSEX Index Options'!$M:$M,'BSE - SENSEX Index Options'!$C:$C,$A132,'BSE - SENSEX Index Options'!$B:$B,C$4)+SUMIFS('BSE - Other Index Options'!$M:$M,'BSE - Other Index Options'!$C:$C,$A132,'BSE - Other Index Options'!$B:$B,C$4)=0,"",SUMIFS('NSE - NIFTY Index Options'!$M:$M,'NSE - NIFTY Index Options'!$C:$C,$A132,'NSE - NIFTY Index Options'!$B:$B,C$4)+SUMIFS('NSE - Other Index Options'!$M:$M,'NSE - Other Index Options'!$C:$C,$A132,'NSE - Other Index Options'!$B:$B,C$4)+SUMIFS('BSE - SENSEX Index Options'!$M:$M,'BSE - SENSEX Index Options'!$C:$C,$A132,'BSE - SENSEX Index Options'!$B:$B,C$4)+SUMIFS('BSE - Other Index Options'!$M:$M,'BSE - Other Index Options'!$C:$C,$A132,'BSE - Other Index Options'!$B:$B,C$4))</f>
        <v/>
      </c>
      <c r="D132" s="26">
        <f>IF(SUMIFS('NSE - NIFTY Index Options'!$M:$M,'NSE - NIFTY Index Options'!$C:$C,$A132,'NSE - NIFTY Index Options'!$B:$B,D$4)+SUMIFS('NSE - Other Index Options'!$M:$M,'NSE - Other Index Options'!$C:$C,$A132,'NSE - Other Index Options'!$B:$B,D$4)+SUMIFS('BSE - SENSEX Index Options'!$M:$M,'BSE - SENSEX Index Options'!$C:$C,$A132,'BSE - SENSEX Index Options'!$B:$B,D$4)+SUMIFS('BSE - Other Index Options'!$M:$M,'BSE - Other Index Options'!$C:$C,$A132,'BSE - Other Index Options'!$B:$B,D$4)=0,"",SUMIFS('NSE - NIFTY Index Options'!$M:$M,'NSE - NIFTY Index Options'!$C:$C,$A132,'NSE - NIFTY Index Options'!$B:$B,D$4)+SUMIFS('NSE - Other Index Options'!$M:$M,'NSE - Other Index Options'!$C:$C,$A132,'NSE - Other Index Options'!$B:$B,D$4)+SUMIFS('BSE - SENSEX Index Options'!$M:$M,'BSE - SENSEX Index Options'!$C:$C,$A132,'BSE - SENSEX Index Options'!$B:$B,D$4)+SUMIFS('BSE - Other Index Options'!$M:$M,'BSE - Other Index Options'!$C:$C,$A132,'BSE - Other Index Options'!$B:$B,D$4))</f>
        <v/>
      </c>
      <c r="E132" s="26">
        <f>IF(SUMIFS('NSE - NIFTY Index Options'!$M:$M,'NSE - NIFTY Index Options'!$C:$C,$A132,'NSE - NIFTY Index Options'!$B:$B,E$4)+SUMIFS('NSE - Other Index Options'!$M:$M,'NSE - Other Index Options'!$C:$C,$A132,'NSE - Other Index Options'!$B:$B,E$4)+SUMIFS('BSE - SENSEX Index Options'!$M:$M,'BSE - SENSEX Index Options'!$C:$C,$A132,'BSE - SENSEX Index Options'!$B:$B,E$4)+SUMIFS('BSE - Other Index Options'!$M:$M,'BSE - Other Index Options'!$C:$C,$A132,'BSE - Other Index Options'!$B:$B,E$4)=0,"",SUMIFS('NSE - NIFTY Index Options'!$M:$M,'NSE - NIFTY Index Options'!$C:$C,$A132,'NSE - NIFTY Index Options'!$B:$B,E$4)+SUMIFS('NSE - Other Index Options'!$M:$M,'NSE - Other Index Options'!$C:$C,$A132,'NSE - Other Index Options'!$B:$B,E$4)+SUMIFS('BSE - SENSEX Index Options'!$M:$M,'BSE - SENSEX Index Options'!$C:$C,$A132,'BSE - SENSEX Index Options'!$B:$B,E$4)+SUMIFS('BSE - Other Index Options'!$M:$M,'BSE - Other Index Options'!$C:$C,$A132,'BSE - Other Index Options'!$B:$B,E$4))</f>
        <v/>
      </c>
      <c r="F132" s="26">
        <f>IF(SUMIFS('NSE - NIFTY Index Options'!$M:$M,'NSE - NIFTY Index Options'!$C:$C,$A132,'NSE - NIFTY Index Options'!$B:$B,F$4)+SUMIFS('NSE - Other Index Options'!$M:$M,'NSE - Other Index Options'!$C:$C,$A132,'NSE - Other Index Options'!$B:$B,F$4)+SUMIFS('BSE - SENSEX Index Options'!$M:$M,'BSE - SENSEX Index Options'!$C:$C,$A132,'BSE - SENSEX Index Options'!$B:$B,F$4)+SUMIFS('BSE - Other Index Options'!$M:$M,'BSE - Other Index Options'!$C:$C,$A132,'BSE - Other Index Options'!$B:$B,F$4)=0,"",SUMIFS('NSE - NIFTY Index Options'!$M:$M,'NSE - NIFTY Index Options'!$C:$C,$A132,'NSE - NIFTY Index Options'!$B:$B,F$4)+SUMIFS('NSE - Other Index Options'!$M:$M,'NSE - Other Index Options'!$C:$C,$A132,'NSE - Other Index Options'!$B:$B,F$4)+SUMIFS('BSE - SENSEX Index Options'!$M:$M,'BSE - SENSEX Index Options'!$C:$C,$A132,'BSE - SENSEX Index Options'!$B:$B,F$4)+SUMIFS('BSE - Other Index Options'!$M:$M,'BSE - Other Index Options'!$C:$C,$A132,'BSE - Other Index Options'!$B:$B,F$4))</f>
        <v/>
      </c>
      <c r="G132" s="26">
        <f>IF(SUMIFS('NSE - NIFTY Index Options'!$M:$M,'NSE - NIFTY Index Options'!$C:$C,$A132,'NSE - NIFTY Index Options'!$B:$B,G$4)+SUMIFS('NSE - Other Index Options'!$M:$M,'NSE - Other Index Options'!$C:$C,$A132,'NSE - Other Index Options'!$B:$B,G$4)+SUMIFS('BSE - SENSEX Index Options'!$M:$M,'BSE - SENSEX Index Options'!$C:$C,$A132,'BSE - SENSEX Index Options'!$B:$B,G$4)+SUMIFS('BSE - Other Index Options'!$M:$M,'BSE - Other Index Options'!$C:$C,$A132,'BSE - Other Index Options'!$B:$B,G$4)=0,"",SUMIFS('NSE - NIFTY Index Options'!$M:$M,'NSE - NIFTY Index Options'!$C:$C,$A132,'NSE - NIFTY Index Options'!$B:$B,G$4)+SUMIFS('NSE - Other Index Options'!$M:$M,'NSE - Other Index Options'!$C:$C,$A132,'NSE - Other Index Options'!$B:$B,G$4)+SUMIFS('BSE - SENSEX Index Options'!$M:$M,'BSE - SENSEX Index Options'!$C:$C,$A132,'BSE - SENSEX Index Options'!$B:$B,G$4)+SUMIFS('BSE - Other Index Options'!$M:$M,'BSE - Other Index Options'!$C:$C,$A132,'BSE - Other Index Options'!$B:$B,G$4))</f>
        <v/>
      </c>
      <c r="H132" s="26">
        <f>IF(SUM(B132:G132)=0,"",SUM(B132:G132))</f>
        <v/>
      </c>
    </row>
    <row r="133" hidden="1" outlineLevel="1">
      <c r="A133" t="inlineStr">
        <is>
          <t>Week1-Nov-2027</t>
        </is>
      </c>
      <c r="B133" s="26">
        <f>IF(SUMIFS('NSE - NIFTY Index Options'!$M:$M,'NSE - NIFTY Index Options'!$C:$C,$A133,'NSE - NIFTY Index Options'!$B:$B,B$4)+SUMIFS('NSE - Other Index Options'!$M:$M,'NSE - Other Index Options'!$C:$C,$A133,'NSE - Other Index Options'!$B:$B,B$4)+SUMIFS('BSE - SENSEX Index Options'!$M:$M,'BSE - SENSEX Index Options'!$C:$C,$A133,'BSE - SENSEX Index Options'!$B:$B,B$4)+SUMIFS('BSE - Other Index Options'!$M:$M,'BSE - Other Index Options'!$C:$C,$A133,'BSE - Other Index Options'!$B:$B,B$4)=0,"",SUMIFS('NSE - NIFTY Index Options'!$M:$M,'NSE - NIFTY Index Options'!$C:$C,$A133,'NSE - NIFTY Index Options'!$B:$B,B$4)+SUMIFS('NSE - Other Index Options'!$M:$M,'NSE - Other Index Options'!$C:$C,$A133,'NSE - Other Index Options'!$B:$B,B$4)+SUMIFS('BSE - SENSEX Index Options'!$M:$M,'BSE - SENSEX Index Options'!$C:$C,$A133,'BSE - SENSEX Index Options'!$B:$B,B$4)+SUMIFS('BSE - Other Index Options'!$M:$M,'BSE - Other Index Options'!$C:$C,$A133,'BSE - Other Index Options'!$B:$B,B$4))</f>
        <v/>
      </c>
      <c r="C133" s="26">
        <f>IF(SUMIFS('NSE - NIFTY Index Options'!$M:$M,'NSE - NIFTY Index Options'!$C:$C,$A133,'NSE - NIFTY Index Options'!$B:$B,C$4)+SUMIFS('NSE - Other Index Options'!$M:$M,'NSE - Other Index Options'!$C:$C,$A133,'NSE - Other Index Options'!$B:$B,C$4)+SUMIFS('BSE - SENSEX Index Options'!$M:$M,'BSE - SENSEX Index Options'!$C:$C,$A133,'BSE - SENSEX Index Options'!$B:$B,C$4)+SUMIFS('BSE - Other Index Options'!$M:$M,'BSE - Other Index Options'!$C:$C,$A133,'BSE - Other Index Options'!$B:$B,C$4)=0,"",SUMIFS('NSE - NIFTY Index Options'!$M:$M,'NSE - NIFTY Index Options'!$C:$C,$A133,'NSE - NIFTY Index Options'!$B:$B,C$4)+SUMIFS('NSE - Other Index Options'!$M:$M,'NSE - Other Index Options'!$C:$C,$A133,'NSE - Other Index Options'!$B:$B,C$4)+SUMIFS('BSE - SENSEX Index Options'!$M:$M,'BSE - SENSEX Index Options'!$C:$C,$A133,'BSE - SENSEX Index Options'!$B:$B,C$4)+SUMIFS('BSE - Other Index Options'!$M:$M,'BSE - Other Index Options'!$C:$C,$A133,'BSE - Other Index Options'!$B:$B,C$4))</f>
        <v/>
      </c>
      <c r="D133" s="26">
        <f>IF(SUMIFS('NSE - NIFTY Index Options'!$M:$M,'NSE - NIFTY Index Options'!$C:$C,$A133,'NSE - NIFTY Index Options'!$B:$B,D$4)+SUMIFS('NSE - Other Index Options'!$M:$M,'NSE - Other Index Options'!$C:$C,$A133,'NSE - Other Index Options'!$B:$B,D$4)+SUMIFS('BSE - SENSEX Index Options'!$M:$M,'BSE - SENSEX Index Options'!$C:$C,$A133,'BSE - SENSEX Index Options'!$B:$B,D$4)+SUMIFS('BSE - Other Index Options'!$M:$M,'BSE - Other Index Options'!$C:$C,$A133,'BSE - Other Index Options'!$B:$B,D$4)=0,"",SUMIFS('NSE - NIFTY Index Options'!$M:$M,'NSE - NIFTY Index Options'!$C:$C,$A133,'NSE - NIFTY Index Options'!$B:$B,D$4)+SUMIFS('NSE - Other Index Options'!$M:$M,'NSE - Other Index Options'!$C:$C,$A133,'NSE - Other Index Options'!$B:$B,D$4)+SUMIFS('BSE - SENSEX Index Options'!$M:$M,'BSE - SENSEX Index Options'!$C:$C,$A133,'BSE - SENSEX Index Options'!$B:$B,D$4)+SUMIFS('BSE - Other Index Options'!$M:$M,'BSE - Other Index Options'!$C:$C,$A133,'BSE - Other Index Options'!$B:$B,D$4))</f>
        <v/>
      </c>
      <c r="E133" s="26">
        <f>IF(SUMIFS('NSE - NIFTY Index Options'!$M:$M,'NSE - NIFTY Index Options'!$C:$C,$A133,'NSE - NIFTY Index Options'!$B:$B,E$4)+SUMIFS('NSE - Other Index Options'!$M:$M,'NSE - Other Index Options'!$C:$C,$A133,'NSE - Other Index Options'!$B:$B,E$4)+SUMIFS('BSE - SENSEX Index Options'!$M:$M,'BSE - SENSEX Index Options'!$C:$C,$A133,'BSE - SENSEX Index Options'!$B:$B,E$4)+SUMIFS('BSE - Other Index Options'!$M:$M,'BSE - Other Index Options'!$C:$C,$A133,'BSE - Other Index Options'!$B:$B,E$4)=0,"",SUMIFS('NSE - NIFTY Index Options'!$M:$M,'NSE - NIFTY Index Options'!$C:$C,$A133,'NSE - NIFTY Index Options'!$B:$B,E$4)+SUMIFS('NSE - Other Index Options'!$M:$M,'NSE - Other Index Options'!$C:$C,$A133,'NSE - Other Index Options'!$B:$B,E$4)+SUMIFS('BSE - SENSEX Index Options'!$M:$M,'BSE - SENSEX Index Options'!$C:$C,$A133,'BSE - SENSEX Index Options'!$B:$B,E$4)+SUMIFS('BSE - Other Index Options'!$M:$M,'BSE - Other Index Options'!$C:$C,$A133,'BSE - Other Index Options'!$B:$B,E$4))</f>
        <v/>
      </c>
      <c r="F133" s="26">
        <f>IF(SUMIFS('NSE - NIFTY Index Options'!$M:$M,'NSE - NIFTY Index Options'!$C:$C,$A133,'NSE - NIFTY Index Options'!$B:$B,F$4)+SUMIFS('NSE - Other Index Options'!$M:$M,'NSE - Other Index Options'!$C:$C,$A133,'NSE - Other Index Options'!$B:$B,F$4)+SUMIFS('BSE - SENSEX Index Options'!$M:$M,'BSE - SENSEX Index Options'!$C:$C,$A133,'BSE - SENSEX Index Options'!$B:$B,F$4)+SUMIFS('BSE - Other Index Options'!$M:$M,'BSE - Other Index Options'!$C:$C,$A133,'BSE - Other Index Options'!$B:$B,F$4)=0,"",SUMIFS('NSE - NIFTY Index Options'!$M:$M,'NSE - NIFTY Index Options'!$C:$C,$A133,'NSE - NIFTY Index Options'!$B:$B,F$4)+SUMIFS('NSE - Other Index Options'!$M:$M,'NSE - Other Index Options'!$C:$C,$A133,'NSE - Other Index Options'!$B:$B,F$4)+SUMIFS('BSE - SENSEX Index Options'!$M:$M,'BSE - SENSEX Index Options'!$C:$C,$A133,'BSE - SENSEX Index Options'!$B:$B,F$4)+SUMIFS('BSE - Other Index Options'!$M:$M,'BSE - Other Index Options'!$C:$C,$A133,'BSE - Other Index Options'!$B:$B,F$4))</f>
        <v/>
      </c>
      <c r="G133" s="26">
        <f>IF(SUMIFS('NSE - NIFTY Index Options'!$M:$M,'NSE - NIFTY Index Options'!$C:$C,$A133,'NSE - NIFTY Index Options'!$B:$B,G$4)+SUMIFS('NSE - Other Index Options'!$M:$M,'NSE - Other Index Options'!$C:$C,$A133,'NSE - Other Index Options'!$B:$B,G$4)+SUMIFS('BSE - SENSEX Index Options'!$M:$M,'BSE - SENSEX Index Options'!$C:$C,$A133,'BSE - SENSEX Index Options'!$B:$B,G$4)+SUMIFS('BSE - Other Index Options'!$M:$M,'BSE - Other Index Options'!$C:$C,$A133,'BSE - Other Index Options'!$B:$B,G$4)=0,"",SUMIFS('NSE - NIFTY Index Options'!$M:$M,'NSE - NIFTY Index Options'!$C:$C,$A133,'NSE - NIFTY Index Options'!$B:$B,G$4)+SUMIFS('NSE - Other Index Options'!$M:$M,'NSE - Other Index Options'!$C:$C,$A133,'NSE - Other Index Options'!$B:$B,G$4)+SUMIFS('BSE - SENSEX Index Options'!$M:$M,'BSE - SENSEX Index Options'!$C:$C,$A133,'BSE - SENSEX Index Options'!$B:$B,G$4)+SUMIFS('BSE - Other Index Options'!$M:$M,'BSE - Other Index Options'!$C:$C,$A133,'BSE - Other Index Options'!$B:$B,G$4))</f>
        <v/>
      </c>
      <c r="H133" s="26">
        <f>IF(SUM(B133:G133)=0,"",SUM(B133:G133))</f>
        <v/>
      </c>
    </row>
    <row r="134" hidden="1" outlineLevel="1">
      <c r="A134" t="inlineStr">
        <is>
          <t>Week2-Nov-2027</t>
        </is>
      </c>
      <c r="B134" s="26">
        <f>IF(SUMIFS('NSE - NIFTY Index Options'!$M:$M,'NSE - NIFTY Index Options'!$C:$C,$A134,'NSE - NIFTY Index Options'!$B:$B,B$4)+SUMIFS('NSE - Other Index Options'!$M:$M,'NSE - Other Index Options'!$C:$C,$A134,'NSE - Other Index Options'!$B:$B,B$4)+SUMIFS('BSE - SENSEX Index Options'!$M:$M,'BSE - SENSEX Index Options'!$C:$C,$A134,'BSE - SENSEX Index Options'!$B:$B,B$4)+SUMIFS('BSE - Other Index Options'!$M:$M,'BSE - Other Index Options'!$C:$C,$A134,'BSE - Other Index Options'!$B:$B,B$4)=0,"",SUMIFS('NSE - NIFTY Index Options'!$M:$M,'NSE - NIFTY Index Options'!$C:$C,$A134,'NSE - NIFTY Index Options'!$B:$B,B$4)+SUMIFS('NSE - Other Index Options'!$M:$M,'NSE - Other Index Options'!$C:$C,$A134,'NSE - Other Index Options'!$B:$B,B$4)+SUMIFS('BSE - SENSEX Index Options'!$M:$M,'BSE - SENSEX Index Options'!$C:$C,$A134,'BSE - SENSEX Index Options'!$B:$B,B$4)+SUMIFS('BSE - Other Index Options'!$M:$M,'BSE - Other Index Options'!$C:$C,$A134,'BSE - Other Index Options'!$B:$B,B$4))</f>
        <v/>
      </c>
      <c r="C134" s="26">
        <f>IF(SUMIFS('NSE - NIFTY Index Options'!$M:$M,'NSE - NIFTY Index Options'!$C:$C,$A134,'NSE - NIFTY Index Options'!$B:$B,C$4)+SUMIFS('NSE - Other Index Options'!$M:$M,'NSE - Other Index Options'!$C:$C,$A134,'NSE - Other Index Options'!$B:$B,C$4)+SUMIFS('BSE - SENSEX Index Options'!$M:$M,'BSE - SENSEX Index Options'!$C:$C,$A134,'BSE - SENSEX Index Options'!$B:$B,C$4)+SUMIFS('BSE - Other Index Options'!$M:$M,'BSE - Other Index Options'!$C:$C,$A134,'BSE - Other Index Options'!$B:$B,C$4)=0,"",SUMIFS('NSE - NIFTY Index Options'!$M:$M,'NSE - NIFTY Index Options'!$C:$C,$A134,'NSE - NIFTY Index Options'!$B:$B,C$4)+SUMIFS('NSE - Other Index Options'!$M:$M,'NSE - Other Index Options'!$C:$C,$A134,'NSE - Other Index Options'!$B:$B,C$4)+SUMIFS('BSE - SENSEX Index Options'!$M:$M,'BSE - SENSEX Index Options'!$C:$C,$A134,'BSE - SENSEX Index Options'!$B:$B,C$4)+SUMIFS('BSE - Other Index Options'!$M:$M,'BSE - Other Index Options'!$C:$C,$A134,'BSE - Other Index Options'!$B:$B,C$4))</f>
        <v/>
      </c>
      <c r="D134" s="26">
        <f>IF(SUMIFS('NSE - NIFTY Index Options'!$M:$M,'NSE - NIFTY Index Options'!$C:$C,$A134,'NSE - NIFTY Index Options'!$B:$B,D$4)+SUMIFS('NSE - Other Index Options'!$M:$M,'NSE - Other Index Options'!$C:$C,$A134,'NSE - Other Index Options'!$B:$B,D$4)+SUMIFS('BSE - SENSEX Index Options'!$M:$M,'BSE - SENSEX Index Options'!$C:$C,$A134,'BSE - SENSEX Index Options'!$B:$B,D$4)+SUMIFS('BSE - Other Index Options'!$M:$M,'BSE - Other Index Options'!$C:$C,$A134,'BSE - Other Index Options'!$B:$B,D$4)=0,"",SUMIFS('NSE - NIFTY Index Options'!$M:$M,'NSE - NIFTY Index Options'!$C:$C,$A134,'NSE - NIFTY Index Options'!$B:$B,D$4)+SUMIFS('NSE - Other Index Options'!$M:$M,'NSE - Other Index Options'!$C:$C,$A134,'NSE - Other Index Options'!$B:$B,D$4)+SUMIFS('BSE - SENSEX Index Options'!$M:$M,'BSE - SENSEX Index Options'!$C:$C,$A134,'BSE - SENSEX Index Options'!$B:$B,D$4)+SUMIFS('BSE - Other Index Options'!$M:$M,'BSE - Other Index Options'!$C:$C,$A134,'BSE - Other Index Options'!$B:$B,D$4))</f>
        <v/>
      </c>
      <c r="E134" s="26">
        <f>IF(SUMIFS('NSE - NIFTY Index Options'!$M:$M,'NSE - NIFTY Index Options'!$C:$C,$A134,'NSE - NIFTY Index Options'!$B:$B,E$4)+SUMIFS('NSE - Other Index Options'!$M:$M,'NSE - Other Index Options'!$C:$C,$A134,'NSE - Other Index Options'!$B:$B,E$4)+SUMIFS('BSE - SENSEX Index Options'!$M:$M,'BSE - SENSEX Index Options'!$C:$C,$A134,'BSE - SENSEX Index Options'!$B:$B,E$4)+SUMIFS('BSE - Other Index Options'!$M:$M,'BSE - Other Index Options'!$C:$C,$A134,'BSE - Other Index Options'!$B:$B,E$4)=0,"",SUMIFS('NSE - NIFTY Index Options'!$M:$M,'NSE - NIFTY Index Options'!$C:$C,$A134,'NSE - NIFTY Index Options'!$B:$B,E$4)+SUMIFS('NSE - Other Index Options'!$M:$M,'NSE - Other Index Options'!$C:$C,$A134,'NSE - Other Index Options'!$B:$B,E$4)+SUMIFS('BSE - SENSEX Index Options'!$M:$M,'BSE - SENSEX Index Options'!$C:$C,$A134,'BSE - SENSEX Index Options'!$B:$B,E$4)+SUMIFS('BSE - Other Index Options'!$M:$M,'BSE - Other Index Options'!$C:$C,$A134,'BSE - Other Index Options'!$B:$B,E$4))</f>
        <v/>
      </c>
      <c r="F134" s="26">
        <f>IF(SUMIFS('NSE - NIFTY Index Options'!$M:$M,'NSE - NIFTY Index Options'!$C:$C,$A134,'NSE - NIFTY Index Options'!$B:$B,F$4)+SUMIFS('NSE - Other Index Options'!$M:$M,'NSE - Other Index Options'!$C:$C,$A134,'NSE - Other Index Options'!$B:$B,F$4)+SUMIFS('BSE - SENSEX Index Options'!$M:$M,'BSE - SENSEX Index Options'!$C:$C,$A134,'BSE - SENSEX Index Options'!$B:$B,F$4)+SUMIFS('BSE - Other Index Options'!$M:$M,'BSE - Other Index Options'!$C:$C,$A134,'BSE - Other Index Options'!$B:$B,F$4)=0,"",SUMIFS('NSE - NIFTY Index Options'!$M:$M,'NSE - NIFTY Index Options'!$C:$C,$A134,'NSE - NIFTY Index Options'!$B:$B,F$4)+SUMIFS('NSE - Other Index Options'!$M:$M,'NSE - Other Index Options'!$C:$C,$A134,'NSE - Other Index Options'!$B:$B,F$4)+SUMIFS('BSE - SENSEX Index Options'!$M:$M,'BSE - SENSEX Index Options'!$C:$C,$A134,'BSE - SENSEX Index Options'!$B:$B,F$4)+SUMIFS('BSE - Other Index Options'!$M:$M,'BSE - Other Index Options'!$C:$C,$A134,'BSE - Other Index Options'!$B:$B,F$4))</f>
        <v/>
      </c>
      <c r="G134" s="26">
        <f>IF(SUMIFS('NSE - NIFTY Index Options'!$M:$M,'NSE - NIFTY Index Options'!$C:$C,$A134,'NSE - NIFTY Index Options'!$B:$B,G$4)+SUMIFS('NSE - Other Index Options'!$M:$M,'NSE - Other Index Options'!$C:$C,$A134,'NSE - Other Index Options'!$B:$B,G$4)+SUMIFS('BSE - SENSEX Index Options'!$M:$M,'BSE - SENSEX Index Options'!$C:$C,$A134,'BSE - SENSEX Index Options'!$B:$B,G$4)+SUMIFS('BSE - Other Index Options'!$M:$M,'BSE - Other Index Options'!$C:$C,$A134,'BSE - Other Index Options'!$B:$B,G$4)=0,"",SUMIFS('NSE - NIFTY Index Options'!$M:$M,'NSE - NIFTY Index Options'!$C:$C,$A134,'NSE - NIFTY Index Options'!$B:$B,G$4)+SUMIFS('NSE - Other Index Options'!$M:$M,'NSE - Other Index Options'!$C:$C,$A134,'NSE - Other Index Options'!$B:$B,G$4)+SUMIFS('BSE - SENSEX Index Options'!$M:$M,'BSE - SENSEX Index Options'!$C:$C,$A134,'BSE - SENSEX Index Options'!$B:$B,G$4)+SUMIFS('BSE - Other Index Options'!$M:$M,'BSE - Other Index Options'!$C:$C,$A134,'BSE - Other Index Options'!$B:$B,G$4))</f>
        <v/>
      </c>
      <c r="H134" s="26">
        <f>IF(SUM(B134:G134)=0,"",SUM(B134:G134))</f>
        <v/>
      </c>
    </row>
    <row r="135" hidden="1" outlineLevel="1">
      <c r="A135" t="inlineStr">
        <is>
          <t>Week3-Nov-2027</t>
        </is>
      </c>
      <c r="B135" s="26">
        <f>IF(SUMIFS('NSE - NIFTY Index Options'!$M:$M,'NSE - NIFTY Index Options'!$C:$C,$A135,'NSE - NIFTY Index Options'!$B:$B,B$4)+SUMIFS('NSE - Other Index Options'!$M:$M,'NSE - Other Index Options'!$C:$C,$A135,'NSE - Other Index Options'!$B:$B,B$4)+SUMIFS('BSE - SENSEX Index Options'!$M:$M,'BSE - SENSEX Index Options'!$C:$C,$A135,'BSE - SENSEX Index Options'!$B:$B,B$4)+SUMIFS('BSE - Other Index Options'!$M:$M,'BSE - Other Index Options'!$C:$C,$A135,'BSE - Other Index Options'!$B:$B,B$4)=0,"",SUMIFS('NSE - NIFTY Index Options'!$M:$M,'NSE - NIFTY Index Options'!$C:$C,$A135,'NSE - NIFTY Index Options'!$B:$B,B$4)+SUMIFS('NSE - Other Index Options'!$M:$M,'NSE - Other Index Options'!$C:$C,$A135,'NSE - Other Index Options'!$B:$B,B$4)+SUMIFS('BSE - SENSEX Index Options'!$M:$M,'BSE - SENSEX Index Options'!$C:$C,$A135,'BSE - SENSEX Index Options'!$B:$B,B$4)+SUMIFS('BSE - Other Index Options'!$M:$M,'BSE - Other Index Options'!$C:$C,$A135,'BSE - Other Index Options'!$B:$B,B$4))</f>
        <v/>
      </c>
      <c r="C135" s="26">
        <f>IF(SUMIFS('NSE - NIFTY Index Options'!$M:$M,'NSE - NIFTY Index Options'!$C:$C,$A135,'NSE - NIFTY Index Options'!$B:$B,C$4)+SUMIFS('NSE - Other Index Options'!$M:$M,'NSE - Other Index Options'!$C:$C,$A135,'NSE - Other Index Options'!$B:$B,C$4)+SUMIFS('BSE - SENSEX Index Options'!$M:$M,'BSE - SENSEX Index Options'!$C:$C,$A135,'BSE - SENSEX Index Options'!$B:$B,C$4)+SUMIFS('BSE - Other Index Options'!$M:$M,'BSE - Other Index Options'!$C:$C,$A135,'BSE - Other Index Options'!$B:$B,C$4)=0,"",SUMIFS('NSE - NIFTY Index Options'!$M:$M,'NSE - NIFTY Index Options'!$C:$C,$A135,'NSE - NIFTY Index Options'!$B:$B,C$4)+SUMIFS('NSE - Other Index Options'!$M:$M,'NSE - Other Index Options'!$C:$C,$A135,'NSE - Other Index Options'!$B:$B,C$4)+SUMIFS('BSE - SENSEX Index Options'!$M:$M,'BSE - SENSEX Index Options'!$C:$C,$A135,'BSE - SENSEX Index Options'!$B:$B,C$4)+SUMIFS('BSE - Other Index Options'!$M:$M,'BSE - Other Index Options'!$C:$C,$A135,'BSE - Other Index Options'!$B:$B,C$4))</f>
        <v/>
      </c>
      <c r="D135" s="26">
        <f>IF(SUMIFS('NSE - NIFTY Index Options'!$M:$M,'NSE - NIFTY Index Options'!$C:$C,$A135,'NSE - NIFTY Index Options'!$B:$B,D$4)+SUMIFS('NSE - Other Index Options'!$M:$M,'NSE - Other Index Options'!$C:$C,$A135,'NSE - Other Index Options'!$B:$B,D$4)+SUMIFS('BSE - SENSEX Index Options'!$M:$M,'BSE - SENSEX Index Options'!$C:$C,$A135,'BSE - SENSEX Index Options'!$B:$B,D$4)+SUMIFS('BSE - Other Index Options'!$M:$M,'BSE - Other Index Options'!$C:$C,$A135,'BSE - Other Index Options'!$B:$B,D$4)=0,"",SUMIFS('NSE - NIFTY Index Options'!$M:$M,'NSE - NIFTY Index Options'!$C:$C,$A135,'NSE - NIFTY Index Options'!$B:$B,D$4)+SUMIFS('NSE - Other Index Options'!$M:$M,'NSE - Other Index Options'!$C:$C,$A135,'NSE - Other Index Options'!$B:$B,D$4)+SUMIFS('BSE - SENSEX Index Options'!$M:$M,'BSE - SENSEX Index Options'!$C:$C,$A135,'BSE - SENSEX Index Options'!$B:$B,D$4)+SUMIFS('BSE - Other Index Options'!$M:$M,'BSE - Other Index Options'!$C:$C,$A135,'BSE - Other Index Options'!$B:$B,D$4))</f>
        <v/>
      </c>
      <c r="E135" s="26">
        <f>IF(SUMIFS('NSE - NIFTY Index Options'!$M:$M,'NSE - NIFTY Index Options'!$C:$C,$A135,'NSE - NIFTY Index Options'!$B:$B,E$4)+SUMIFS('NSE - Other Index Options'!$M:$M,'NSE - Other Index Options'!$C:$C,$A135,'NSE - Other Index Options'!$B:$B,E$4)+SUMIFS('BSE - SENSEX Index Options'!$M:$M,'BSE - SENSEX Index Options'!$C:$C,$A135,'BSE - SENSEX Index Options'!$B:$B,E$4)+SUMIFS('BSE - Other Index Options'!$M:$M,'BSE - Other Index Options'!$C:$C,$A135,'BSE - Other Index Options'!$B:$B,E$4)=0,"",SUMIFS('NSE - NIFTY Index Options'!$M:$M,'NSE - NIFTY Index Options'!$C:$C,$A135,'NSE - NIFTY Index Options'!$B:$B,E$4)+SUMIFS('NSE - Other Index Options'!$M:$M,'NSE - Other Index Options'!$C:$C,$A135,'NSE - Other Index Options'!$B:$B,E$4)+SUMIFS('BSE - SENSEX Index Options'!$M:$M,'BSE - SENSEX Index Options'!$C:$C,$A135,'BSE - SENSEX Index Options'!$B:$B,E$4)+SUMIFS('BSE - Other Index Options'!$M:$M,'BSE - Other Index Options'!$C:$C,$A135,'BSE - Other Index Options'!$B:$B,E$4))</f>
        <v/>
      </c>
      <c r="F135" s="26">
        <f>IF(SUMIFS('NSE - NIFTY Index Options'!$M:$M,'NSE - NIFTY Index Options'!$C:$C,$A135,'NSE - NIFTY Index Options'!$B:$B,F$4)+SUMIFS('NSE - Other Index Options'!$M:$M,'NSE - Other Index Options'!$C:$C,$A135,'NSE - Other Index Options'!$B:$B,F$4)+SUMIFS('BSE - SENSEX Index Options'!$M:$M,'BSE - SENSEX Index Options'!$C:$C,$A135,'BSE - SENSEX Index Options'!$B:$B,F$4)+SUMIFS('BSE - Other Index Options'!$M:$M,'BSE - Other Index Options'!$C:$C,$A135,'BSE - Other Index Options'!$B:$B,F$4)=0,"",SUMIFS('NSE - NIFTY Index Options'!$M:$M,'NSE - NIFTY Index Options'!$C:$C,$A135,'NSE - NIFTY Index Options'!$B:$B,F$4)+SUMIFS('NSE - Other Index Options'!$M:$M,'NSE - Other Index Options'!$C:$C,$A135,'NSE - Other Index Options'!$B:$B,F$4)+SUMIFS('BSE - SENSEX Index Options'!$M:$M,'BSE - SENSEX Index Options'!$C:$C,$A135,'BSE - SENSEX Index Options'!$B:$B,F$4)+SUMIFS('BSE - Other Index Options'!$M:$M,'BSE - Other Index Options'!$C:$C,$A135,'BSE - Other Index Options'!$B:$B,F$4))</f>
        <v/>
      </c>
      <c r="G135" s="26">
        <f>IF(SUMIFS('NSE - NIFTY Index Options'!$M:$M,'NSE - NIFTY Index Options'!$C:$C,$A135,'NSE - NIFTY Index Options'!$B:$B,G$4)+SUMIFS('NSE - Other Index Options'!$M:$M,'NSE - Other Index Options'!$C:$C,$A135,'NSE - Other Index Options'!$B:$B,G$4)+SUMIFS('BSE - SENSEX Index Options'!$M:$M,'BSE - SENSEX Index Options'!$C:$C,$A135,'BSE - SENSEX Index Options'!$B:$B,G$4)+SUMIFS('BSE - Other Index Options'!$M:$M,'BSE - Other Index Options'!$C:$C,$A135,'BSE - Other Index Options'!$B:$B,G$4)=0,"",SUMIFS('NSE - NIFTY Index Options'!$M:$M,'NSE - NIFTY Index Options'!$C:$C,$A135,'NSE - NIFTY Index Options'!$B:$B,G$4)+SUMIFS('NSE - Other Index Options'!$M:$M,'NSE - Other Index Options'!$C:$C,$A135,'NSE - Other Index Options'!$B:$B,G$4)+SUMIFS('BSE - SENSEX Index Options'!$M:$M,'BSE - SENSEX Index Options'!$C:$C,$A135,'BSE - SENSEX Index Options'!$B:$B,G$4)+SUMIFS('BSE - Other Index Options'!$M:$M,'BSE - Other Index Options'!$C:$C,$A135,'BSE - Other Index Options'!$B:$B,G$4))</f>
        <v/>
      </c>
      <c r="H135" s="26">
        <f>IF(SUM(B135:G135)=0,"",SUM(B135:G135))</f>
        <v/>
      </c>
    </row>
    <row r="136" hidden="1" outlineLevel="1">
      <c r="A136" t="inlineStr">
        <is>
          <t>Week4-Nov-2027</t>
        </is>
      </c>
      <c r="B136" s="26">
        <f>IF(SUMIFS('NSE - NIFTY Index Options'!$M:$M,'NSE - NIFTY Index Options'!$C:$C,$A136,'NSE - NIFTY Index Options'!$B:$B,B$4)+SUMIFS('NSE - Other Index Options'!$M:$M,'NSE - Other Index Options'!$C:$C,$A136,'NSE - Other Index Options'!$B:$B,B$4)+SUMIFS('BSE - SENSEX Index Options'!$M:$M,'BSE - SENSEX Index Options'!$C:$C,$A136,'BSE - SENSEX Index Options'!$B:$B,B$4)+SUMIFS('BSE - Other Index Options'!$M:$M,'BSE - Other Index Options'!$C:$C,$A136,'BSE - Other Index Options'!$B:$B,B$4)=0,"",SUMIFS('NSE - NIFTY Index Options'!$M:$M,'NSE - NIFTY Index Options'!$C:$C,$A136,'NSE - NIFTY Index Options'!$B:$B,B$4)+SUMIFS('NSE - Other Index Options'!$M:$M,'NSE - Other Index Options'!$C:$C,$A136,'NSE - Other Index Options'!$B:$B,B$4)+SUMIFS('BSE - SENSEX Index Options'!$M:$M,'BSE - SENSEX Index Options'!$C:$C,$A136,'BSE - SENSEX Index Options'!$B:$B,B$4)+SUMIFS('BSE - Other Index Options'!$M:$M,'BSE - Other Index Options'!$C:$C,$A136,'BSE - Other Index Options'!$B:$B,B$4))</f>
        <v/>
      </c>
      <c r="C136" s="26">
        <f>IF(SUMIFS('NSE - NIFTY Index Options'!$M:$M,'NSE - NIFTY Index Options'!$C:$C,$A136,'NSE - NIFTY Index Options'!$B:$B,C$4)+SUMIFS('NSE - Other Index Options'!$M:$M,'NSE - Other Index Options'!$C:$C,$A136,'NSE - Other Index Options'!$B:$B,C$4)+SUMIFS('BSE - SENSEX Index Options'!$M:$M,'BSE - SENSEX Index Options'!$C:$C,$A136,'BSE - SENSEX Index Options'!$B:$B,C$4)+SUMIFS('BSE - Other Index Options'!$M:$M,'BSE - Other Index Options'!$C:$C,$A136,'BSE - Other Index Options'!$B:$B,C$4)=0,"",SUMIFS('NSE - NIFTY Index Options'!$M:$M,'NSE - NIFTY Index Options'!$C:$C,$A136,'NSE - NIFTY Index Options'!$B:$B,C$4)+SUMIFS('NSE - Other Index Options'!$M:$M,'NSE - Other Index Options'!$C:$C,$A136,'NSE - Other Index Options'!$B:$B,C$4)+SUMIFS('BSE - SENSEX Index Options'!$M:$M,'BSE - SENSEX Index Options'!$C:$C,$A136,'BSE - SENSEX Index Options'!$B:$B,C$4)+SUMIFS('BSE - Other Index Options'!$M:$M,'BSE - Other Index Options'!$C:$C,$A136,'BSE - Other Index Options'!$B:$B,C$4))</f>
        <v/>
      </c>
      <c r="D136" s="26">
        <f>IF(SUMIFS('NSE - NIFTY Index Options'!$M:$M,'NSE - NIFTY Index Options'!$C:$C,$A136,'NSE - NIFTY Index Options'!$B:$B,D$4)+SUMIFS('NSE - Other Index Options'!$M:$M,'NSE - Other Index Options'!$C:$C,$A136,'NSE - Other Index Options'!$B:$B,D$4)+SUMIFS('BSE - SENSEX Index Options'!$M:$M,'BSE - SENSEX Index Options'!$C:$C,$A136,'BSE - SENSEX Index Options'!$B:$B,D$4)+SUMIFS('BSE - Other Index Options'!$M:$M,'BSE - Other Index Options'!$C:$C,$A136,'BSE - Other Index Options'!$B:$B,D$4)=0,"",SUMIFS('NSE - NIFTY Index Options'!$M:$M,'NSE - NIFTY Index Options'!$C:$C,$A136,'NSE - NIFTY Index Options'!$B:$B,D$4)+SUMIFS('NSE - Other Index Options'!$M:$M,'NSE - Other Index Options'!$C:$C,$A136,'NSE - Other Index Options'!$B:$B,D$4)+SUMIFS('BSE - SENSEX Index Options'!$M:$M,'BSE - SENSEX Index Options'!$C:$C,$A136,'BSE - SENSEX Index Options'!$B:$B,D$4)+SUMIFS('BSE - Other Index Options'!$M:$M,'BSE - Other Index Options'!$C:$C,$A136,'BSE - Other Index Options'!$B:$B,D$4))</f>
        <v/>
      </c>
      <c r="E136" s="26">
        <f>IF(SUMIFS('NSE - NIFTY Index Options'!$M:$M,'NSE - NIFTY Index Options'!$C:$C,$A136,'NSE - NIFTY Index Options'!$B:$B,E$4)+SUMIFS('NSE - Other Index Options'!$M:$M,'NSE - Other Index Options'!$C:$C,$A136,'NSE - Other Index Options'!$B:$B,E$4)+SUMIFS('BSE - SENSEX Index Options'!$M:$M,'BSE - SENSEX Index Options'!$C:$C,$A136,'BSE - SENSEX Index Options'!$B:$B,E$4)+SUMIFS('BSE - Other Index Options'!$M:$M,'BSE - Other Index Options'!$C:$C,$A136,'BSE - Other Index Options'!$B:$B,E$4)=0,"",SUMIFS('NSE - NIFTY Index Options'!$M:$M,'NSE - NIFTY Index Options'!$C:$C,$A136,'NSE - NIFTY Index Options'!$B:$B,E$4)+SUMIFS('NSE - Other Index Options'!$M:$M,'NSE - Other Index Options'!$C:$C,$A136,'NSE - Other Index Options'!$B:$B,E$4)+SUMIFS('BSE - SENSEX Index Options'!$M:$M,'BSE - SENSEX Index Options'!$C:$C,$A136,'BSE - SENSEX Index Options'!$B:$B,E$4)+SUMIFS('BSE - Other Index Options'!$M:$M,'BSE - Other Index Options'!$C:$C,$A136,'BSE - Other Index Options'!$B:$B,E$4))</f>
        <v/>
      </c>
      <c r="F136" s="26">
        <f>IF(SUMIFS('NSE - NIFTY Index Options'!$M:$M,'NSE - NIFTY Index Options'!$C:$C,$A136,'NSE - NIFTY Index Options'!$B:$B,F$4)+SUMIFS('NSE - Other Index Options'!$M:$M,'NSE - Other Index Options'!$C:$C,$A136,'NSE - Other Index Options'!$B:$B,F$4)+SUMIFS('BSE - SENSEX Index Options'!$M:$M,'BSE - SENSEX Index Options'!$C:$C,$A136,'BSE - SENSEX Index Options'!$B:$B,F$4)+SUMIFS('BSE - Other Index Options'!$M:$M,'BSE - Other Index Options'!$C:$C,$A136,'BSE - Other Index Options'!$B:$B,F$4)=0,"",SUMIFS('NSE - NIFTY Index Options'!$M:$M,'NSE - NIFTY Index Options'!$C:$C,$A136,'NSE - NIFTY Index Options'!$B:$B,F$4)+SUMIFS('NSE - Other Index Options'!$M:$M,'NSE - Other Index Options'!$C:$C,$A136,'NSE - Other Index Options'!$B:$B,F$4)+SUMIFS('BSE - SENSEX Index Options'!$M:$M,'BSE - SENSEX Index Options'!$C:$C,$A136,'BSE - SENSEX Index Options'!$B:$B,F$4)+SUMIFS('BSE - Other Index Options'!$M:$M,'BSE - Other Index Options'!$C:$C,$A136,'BSE - Other Index Options'!$B:$B,F$4))</f>
        <v/>
      </c>
      <c r="G136" s="26">
        <f>IF(SUMIFS('NSE - NIFTY Index Options'!$M:$M,'NSE - NIFTY Index Options'!$C:$C,$A136,'NSE - NIFTY Index Options'!$B:$B,G$4)+SUMIFS('NSE - Other Index Options'!$M:$M,'NSE - Other Index Options'!$C:$C,$A136,'NSE - Other Index Options'!$B:$B,G$4)+SUMIFS('BSE - SENSEX Index Options'!$M:$M,'BSE - SENSEX Index Options'!$C:$C,$A136,'BSE - SENSEX Index Options'!$B:$B,G$4)+SUMIFS('BSE - Other Index Options'!$M:$M,'BSE - Other Index Options'!$C:$C,$A136,'BSE - Other Index Options'!$B:$B,G$4)=0,"",SUMIFS('NSE - NIFTY Index Options'!$M:$M,'NSE - NIFTY Index Options'!$C:$C,$A136,'NSE - NIFTY Index Options'!$B:$B,G$4)+SUMIFS('NSE - Other Index Options'!$M:$M,'NSE - Other Index Options'!$C:$C,$A136,'NSE - Other Index Options'!$B:$B,G$4)+SUMIFS('BSE - SENSEX Index Options'!$M:$M,'BSE - SENSEX Index Options'!$C:$C,$A136,'BSE - SENSEX Index Options'!$B:$B,G$4)+SUMIFS('BSE - Other Index Options'!$M:$M,'BSE - Other Index Options'!$C:$C,$A136,'BSE - Other Index Options'!$B:$B,G$4))</f>
        <v/>
      </c>
      <c r="H136" s="26">
        <f>IF(SUM(B136:G136)=0,"",SUM(B136:G136))</f>
        <v/>
      </c>
    </row>
    <row r="137" hidden="1" outlineLevel="1">
      <c r="A137" t="inlineStr">
        <is>
          <t>Week5-Nov-2027</t>
        </is>
      </c>
      <c r="B137" s="26">
        <f>IF(SUMIFS('NSE - NIFTY Index Options'!$M:$M,'NSE - NIFTY Index Options'!$C:$C,$A137,'NSE - NIFTY Index Options'!$B:$B,B$4)+SUMIFS('NSE - Other Index Options'!$M:$M,'NSE - Other Index Options'!$C:$C,$A137,'NSE - Other Index Options'!$B:$B,B$4)+SUMIFS('BSE - SENSEX Index Options'!$M:$M,'BSE - SENSEX Index Options'!$C:$C,$A137,'BSE - SENSEX Index Options'!$B:$B,B$4)+SUMIFS('BSE - Other Index Options'!$M:$M,'BSE - Other Index Options'!$C:$C,$A137,'BSE - Other Index Options'!$B:$B,B$4)=0,"",SUMIFS('NSE - NIFTY Index Options'!$M:$M,'NSE - NIFTY Index Options'!$C:$C,$A137,'NSE - NIFTY Index Options'!$B:$B,B$4)+SUMIFS('NSE - Other Index Options'!$M:$M,'NSE - Other Index Options'!$C:$C,$A137,'NSE - Other Index Options'!$B:$B,B$4)+SUMIFS('BSE - SENSEX Index Options'!$M:$M,'BSE - SENSEX Index Options'!$C:$C,$A137,'BSE - SENSEX Index Options'!$B:$B,B$4)+SUMIFS('BSE - Other Index Options'!$M:$M,'BSE - Other Index Options'!$C:$C,$A137,'BSE - Other Index Options'!$B:$B,B$4))</f>
        <v/>
      </c>
      <c r="C137" s="26">
        <f>IF(SUMIFS('NSE - NIFTY Index Options'!$M:$M,'NSE - NIFTY Index Options'!$C:$C,$A137,'NSE - NIFTY Index Options'!$B:$B,C$4)+SUMIFS('NSE - Other Index Options'!$M:$M,'NSE - Other Index Options'!$C:$C,$A137,'NSE - Other Index Options'!$B:$B,C$4)+SUMIFS('BSE - SENSEX Index Options'!$M:$M,'BSE - SENSEX Index Options'!$C:$C,$A137,'BSE - SENSEX Index Options'!$B:$B,C$4)+SUMIFS('BSE - Other Index Options'!$M:$M,'BSE - Other Index Options'!$C:$C,$A137,'BSE - Other Index Options'!$B:$B,C$4)=0,"",SUMIFS('NSE - NIFTY Index Options'!$M:$M,'NSE - NIFTY Index Options'!$C:$C,$A137,'NSE - NIFTY Index Options'!$B:$B,C$4)+SUMIFS('NSE - Other Index Options'!$M:$M,'NSE - Other Index Options'!$C:$C,$A137,'NSE - Other Index Options'!$B:$B,C$4)+SUMIFS('BSE - SENSEX Index Options'!$M:$M,'BSE - SENSEX Index Options'!$C:$C,$A137,'BSE - SENSEX Index Options'!$B:$B,C$4)+SUMIFS('BSE - Other Index Options'!$M:$M,'BSE - Other Index Options'!$C:$C,$A137,'BSE - Other Index Options'!$B:$B,C$4))</f>
        <v/>
      </c>
      <c r="D137" s="26">
        <f>IF(SUMIFS('NSE - NIFTY Index Options'!$M:$M,'NSE - NIFTY Index Options'!$C:$C,$A137,'NSE - NIFTY Index Options'!$B:$B,D$4)+SUMIFS('NSE - Other Index Options'!$M:$M,'NSE - Other Index Options'!$C:$C,$A137,'NSE - Other Index Options'!$B:$B,D$4)+SUMIFS('BSE - SENSEX Index Options'!$M:$M,'BSE - SENSEX Index Options'!$C:$C,$A137,'BSE - SENSEX Index Options'!$B:$B,D$4)+SUMIFS('BSE - Other Index Options'!$M:$M,'BSE - Other Index Options'!$C:$C,$A137,'BSE - Other Index Options'!$B:$B,D$4)=0,"",SUMIFS('NSE - NIFTY Index Options'!$M:$M,'NSE - NIFTY Index Options'!$C:$C,$A137,'NSE - NIFTY Index Options'!$B:$B,D$4)+SUMIFS('NSE - Other Index Options'!$M:$M,'NSE - Other Index Options'!$C:$C,$A137,'NSE - Other Index Options'!$B:$B,D$4)+SUMIFS('BSE - SENSEX Index Options'!$M:$M,'BSE - SENSEX Index Options'!$C:$C,$A137,'BSE - SENSEX Index Options'!$B:$B,D$4)+SUMIFS('BSE - Other Index Options'!$M:$M,'BSE - Other Index Options'!$C:$C,$A137,'BSE - Other Index Options'!$B:$B,D$4))</f>
        <v/>
      </c>
      <c r="E137" s="26">
        <f>IF(SUMIFS('NSE - NIFTY Index Options'!$M:$M,'NSE - NIFTY Index Options'!$C:$C,$A137,'NSE - NIFTY Index Options'!$B:$B,E$4)+SUMIFS('NSE - Other Index Options'!$M:$M,'NSE - Other Index Options'!$C:$C,$A137,'NSE - Other Index Options'!$B:$B,E$4)+SUMIFS('BSE - SENSEX Index Options'!$M:$M,'BSE - SENSEX Index Options'!$C:$C,$A137,'BSE - SENSEX Index Options'!$B:$B,E$4)+SUMIFS('BSE - Other Index Options'!$M:$M,'BSE - Other Index Options'!$C:$C,$A137,'BSE - Other Index Options'!$B:$B,E$4)=0,"",SUMIFS('NSE - NIFTY Index Options'!$M:$M,'NSE - NIFTY Index Options'!$C:$C,$A137,'NSE - NIFTY Index Options'!$B:$B,E$4)+SUMIFS('NSE - Other Index Options'!$M:$M,'NSE - Other Index Options'!$C:$C,$A137,'NSE - Other Index Options'!$B:$B,E$4)+SUMIFS('BSE - SENSEX Index Options'!$M:$M,'BSE - SENSEX Index Options'!$C:$C,$A137,'BSE - SENSEX Index Options'!$B:$B,E$4)+SUMIFS('BSE - Other Index Options'!$M:$M,'BSE - Other Index Options'!$C:$C,$A137,'BSE - Other Index Options'!$B:$B,E$4))</f>
        <v/>
      </c>
      <c r="F137" s="26">
        <f>IF(SUMIFS('NSE - NIFTY Index Options'!$M:$M,'NSE - NIFTY Index Options'!$C:$C,$A137,'NSE - NIFTY Index Options'!$B:$B,F$4)+SUMIFS('NSE - Other Index Options'!$M:$M,'NSE - Other Index Options'!$C:$C,$A137,'NSE - Other Index Options'!$B:$B,F$4)+SUMIFS('BSE - SENSEX Index Options'!$M:$M,'BSE - SENSEX Index Options'!$C:$C,$A137,'BSE - SENSEX Index Options'!$B:$B,F$4)+SUMIFS('BSE - Other Index Options'!$M:$M,'BSE - Other Index Options'!$C:$C,$A137,'BSE - Other Index Options'!$B:$B,F$4)=0,"",SUMIFS('NSE - NIFTY Index Options'!$M:$M,'NSE - NIFTY Index Options'!$C:$C,$A137,'NSE - NIFTY Index Options'!$B:$B,F$4)+SUMIFS('NSE - Other Index Options'!$M:$M,'NSE - Other Index Options'!$C:$C,$A137,'NSE - Other Index Options'!$B:$B,F$4)+SUMIFS('BSE - SENSEX Index Options'!$M:$M,'BSE - SENSEX Index Options'!$C:$C,$A137,'BSE - SENSEX Index Options'!$B:$B,F$4)+SUMIFS('BSE - Other Index Options'!$M:$M,'BSE - Other Index Options'!$C:$C,$A137,'BSE - Other Index Options'!$B:$B,F$4))</f>
        <v/>
      </c>
      <c r="G137" s="26">
        <f>IF(SUMIFS('NSE - NIFTY Index Options'!$M:$M,'NSE - NIFTY Index Options'!$C:$C,$A137,'NSE - NIFTY Index Options'!$B:$B,G$4)+SUMIFS('NSE - Other Index Options'!$M:$M,'NSE - Other Index Options'!$C:$C,$A137,'NSE - Other Index Options'!$B:$B,G$4)+SUMIFS('BSE - SENSEX Index Options'!$M:$M,'BSE - SENSEX Index Options'!$C:$C,$A137,'BSE - SENSEX Index Options'!$B:$B,G$4)+SUMIFS('BSE - Other Index Options'!$M:$M,'BSE - Other Index Options'!$C:$C,$A137,'BSE - Other Index Options'!$B:$B,G$4)=0,"",SUMIFS('NSE - NIFTY Index Options'!$M:$M,'NSE - NIFTY Index Options'!$C:$C,$A137,'NSE - NIFTY Index Options'!$B:$B,G$4)+SUMIFS('NSE - Other Index Options'!$M:$M,'NSE - Other Index Options'!$C:$C,$A137,'NSE - Other Index Options'!$B:$B,G$4)+SUMIFS('BSE - SENSEX Index Options'!$M:$M,'BSE - SENSEX Index Options'!$C:$C,$A137,'BSE - SENSEX Index Options'!$B:$B,G$4)+SUMIFS('BSE - Other Index Options'!$M:$M,'BSE - Other Index Options'!$C:$C,$A137,'BSE - Other Index Options'!$B:$B,G$4))</f>
        <v/>
      </c>
      <c r="H137" s="26">
        <f>IF(SUM(B137:G137)=0,"",SUM(B137:G137))</f>
        <v/>
      </c>
    </row>
    <row r="138" hidden="1" outlineLevel="1">
      <c r="A138" t="inlineStr">
        <is>
          <t>Week1-Dec-2027</t>
        </is>
      </c>
      <c r="B138" s="26">
        <f>IF(SUMIFS('NSE - NIFTY Index Options'!$M:$M,'NSE - NIFTY Index Options'!$C:$C,$A138,'NSE - NIFTY Index Options'!$B:$B,B$4)+SUMIFS('NSE - Other Index Options'!$M:$M,'NSE - Other Index Options'!$C:$C,$A138,'NSE - Other Index Options'!$B:$B,B$4)+SUMIFS('BSE - SENSEX Index Options'!$M:$M,'BSE - SENSEX Index Options'!$C:$C,$A138,'BSE - SENSEX Index Options'!$B:$B,B$4)+SUMIFS('BSE - Other Index Options'!$M:$M,'BSE - Other Index Options'!$C:$C,$A138,'BSE - Other Index Options'!$B:$B,B$4)=0,"",SUMIFS('NSE - NIFTY Index Options'!$M:$M,'NSE - NIFTY Index Options'!$C:$C,$A138,'NSE - NIFTY Index Options'!$B:$B,B$4)+SUMIFS('NSE - Other Index Options'!$M:$M,'NSE - Other Index Options'!$C:$C,$A138,'NSE - Other Index Options'!$B:$B,B$4)+SUMIFS('BSE - SENSEX Index Options'!$M:$M,'BSE - SENSEX Index Options'!$C:$C,$A138,'BSE - SENSEX Index Options'!$B:$B,B$4)+SUMIFS('BSE - Other Index Options'!$M:$M,'BSE - Other Index Options'!$C:$C,$A138,'BSE - Other Index Options'!$B:$B,B$4))</f>
        <v/>
      </c>
      <c r="C138" s="26">
        <f>IF(SUMIFS('NSE - NIFTY Index Options'!$M:$M,'NSE - NIFTY Index Options'!$C:$C,$A138,'NSE - NIFTY Index Options'!$B:$B,C$4)+SUMIFS('NSE - Other Index Options'!$M:$M,'NSE - Other Index Options'!$C:$C,$A138,'NSE - Other Index Options'!$B:$B,C$4)+SUMIFS('BSE - SENSEX Index Options'!$M:$M,'BSE - SENSEX Index Options'!$C:$C,$A138,'BSE - SENSEX Index Options'!$B:$B,C$4)+SUMIFS('BSE - Other Index Options'!$M:$M,'BSE - Other Index Options'!$C:$C,$A138,'BSE - Other Index Options'!$B:$B,C$4)=0,"",SUMIFS('NSE - NIFTY Index Options'!$M:$M,'NSE - NIFTY Index Options'!$C:$C,$A138,'NSE - NIFTY Index Options'!$B:$B,C$4)+SUMIFS('NSE - Other Index Options'!$M:$M,'NSE - Other Index Options'!$C:$C,$A138,'NSE - Other Index Options'!$B:$B,C$4)+SUMIFS('BSE - SENSEX Index Options'!$M:$M,'BSE - SENSEX Index Options'!$C:$C,$A138,'BSE - SENSEX Index Options'!$B:$B,C$4)+SUMIFS('BSE - Other Index Options'!$M:$M,'BSE - Other Index Options'!$C:$C,$A138,'BSE - Other Index Options'!$B:$B,C$4))</f>
        <v/>
      </c>
      <c r="D138" s="26">
        <f>IF(SUMIFS('NSE - NIFTY Index Options'!$M:$M,'NSE - NIFTY Index Options'!$C:$C,$A138,'NSE - NIFTY Index Options'!$B:$B,D$4)+SUMIFS('NSE - Other Index Options'!$M:$M,'NSE - Other Index Options'!$C:$C,$A138,'NSE - Other Index Options'!$B:$B,D$4)+SUMIFS('BSE - SENSEX Index Options'!$M:$M,'BSE - SENSEX Index Options'!$C:$C,$A138,'BSE - SENSEX Index Options'!$B:$B,D$4)+SUMIFS('BSE - Other Index Options'!$M:$M,'BSE - Other Index Options'!$C:$C,$A138,'BSE - Other Index Options'!$B:$B,D$4)=0,"",SUMIFS('NSE - NIFTY Index Options'!$M:$M,'NSE - NIFTY Index Options'!$C:$C,$A138,'NSE - NIFTY Index Options'!$B:$B,D$4)+SUMIFS('NSE - Other Index Options'!$M:$M,'NSE - Other Index Options'!$C:$C,$A138,'NSE - Other Index Options'!$B:$B,D$4)+SUMIFS('BSE - SENSEX Index Options'!$M:$M,'BSE - SENSEX Index Options'!$C:$C,$A138,'BSE - SENSEX Index Options'!$B:$B,D$4)+SUMIFS('BSE - Other Index Options'!$M:$M,'BSE - Other Index Options'!$C:$C,$A138,'BSE - Other Index Options'!$B:$B,D$4))</f>
        <v/>
      </c>
      <c r="E138" s="26">
        <f>IF(SUMIFS('NSE - NIFTY Index Options'!$M:$M,'NSE - NIFTY Index Options'!$C:$C,$A138,'NSE - NIFTY Index Options'!$B:$B,E$4)+SUMIFS('NSE - Other Index Options'!$M:$M,'NSE - Other Index Options'!$C:$C,$A138,'NSE - Other Index Options'!$B:$B,E$4)+SUMIFS('BSE - SENSEX Index Options'!$M:$M,'BSE - SENSEX Index Options'!$C:$C,$A138,'BSE - SENSEX Index Options'!$B:$B,E$4)+SUMIFS('BSE - Other Index Options'!$M:$M,'BSE - Other Index Options'!$C:$C,$A138,'BSE - Other Index Options'!$B:$B,E$4)=0,"",SUMIFS('NSE - NIFTY Index Options'!$M:$M,'NSE - NIFTY Index Options'!$C:$C,$A138,'NSE - NIFTY Index Options'!$B:$B,E$4)+SUMIFS('NSE - Other Index Options'!$M:$M,'NSE - Other Index Options'!$C:$C,$A138,'NSE - Other Index Options'!$B:$B,E$4)+SUMIFS('BSE - SENSEX Index Options'!$M:$M,'BSE - SENSEX Index Options'!$C:$C,$A138,'BSE - SENSEX Index Options'!$B:$B,E$4)+SUMIFS('BSE - Other Index Options'!$M:$M,'BSE - Other Index Options'!$C:$C,$A138,'BSE - Other Index Options'!$B:$B,E$4))</f>
        <v/>
      </c>
      <c r="F138" s="26">
        <f>IF(SUMIFS('NSE - NIFTY Index Options'!$M:$M,'NSE - NIFTY Index Options'!$C:$C,$A138,'NSE - NIFTY Index Options'!$B:$B,F$4)+SUMIFS('NSE - Other Index Options'!$M:$M,'NSE - Other Index Options'!$C:$C,$A138,'NSE - Other Index Options'!$B:$B,F$4)+SUMIFS('BSE - SENSEX Index Options'!$M:$M,'BSE - SENSEX Index Options'!$C:$C,$A138,'BSE - SENSEX Index Options'!$B:$B,F$4)+SUMIFS('BSE - Other Index Options'!$M:$M,'BSE - Other Index Options'!$C:$C,$A138,'BSE - Other Index Options'!$B:$B,F$4)=0,"",SUMIFS('NSE - NIFTY Index Options'!$M:$M,'NSE - NIFTY Index Options'!$C:$C,$A138,'NSE - NIFTY Index Options'!$B:$B,F$4)+SUMIFS('NSE - Other Index Options'!$M:$M,'NSE - Other Index Options'!$C:$C,$A138,'NSE - Other Index Options'!$B:$B,F$4)+SUMIFS('BSE - SENSEX Index Options'!$M:$M,'BSE - SENSEX Index Options'!$C:$C,$A138,'BSE - SENSEX Index Options'!$B:$B,F$4)+SUMIFS('BSE - Other Index Options'!$M:$M,'BSE - Other Index Options'!$C:$C,$A138,'BSE - Other Index Options'!$B:$B,F$4))</f>
        <v/>
      </c>
      <c r="G138" s="26">
        <f>IF(SUMIFS('NSE - NIFTY Index Options'!$M:$M,'NSE - NIFTY Index Options'!$C:$C,$A138,'NSE - NIFTY Index Options'!$B:$B,G$4)+SUMIFS('NSE - Other Index Options'!$M:$M,'NSE - Other Index Options'!$C:$C,$A138,'NSE - Other Index Options'!$B:$B,G$4)+SUMIFS('BSE - SENSEX Index Options'!$M:$M,'BSE - SENSEX Index Options'!$C:$C,$A138,'BSE - SENSEX Index Options'!$B:$B,G$4)+SUMIFS('BSE - Other Index Options'!$M:$M,'BSE - Other Index Options'!$C:$C,$A138,'BSE - Other Index Options'!$B:$B,G$4)=0,"",SUMIFS('NSE - NIFTY Index Options'!$M:$M,'NSE - NIFTY Index Options'!$C:$C,$A138,'NSE - NIFTY Index Options'!$B:$B,G$4)+SUMIFS('NSE - Other Index Options'!$M:$M,'NSE - Other Index Options'!$C:$C,$A138,'NSE - Other Index Options'!$B:$B,G$4)+SUMIFS('BSE - SENSEX Index Options'!$M:$M,'BSE - SENSEX Index Options'!$C:$C,$A138,'BSE - SENSEX Index Options'!$B:$B,G$4)+SUMIFS('BSE - Other Index Options'!$M:$M,'BSE - Other Index Options'!$C:$C,$A138,'BSE - Other Index Options'!$B:$B,G$4))</f>
        <v/>
      </c>
      <c r="H138" s="26">
        <f>IF(SUM(B138:G138)=0,"",SUM(B138:G138))</f>
        <v/>
      </c>
    </row>
    <row r="139" hidden="1" outlineLevel="1">
      <c r="A139" t="inlineStr">
        <is>
          <t>Week2-Dec-2027</t>
        </is>
      </c>
      <c r="B139" s="26">
        <f>IF(SUMIFS('NSE - NIFTY Index Options'!$M:$M,'NSE - NIFTY Index Options'!$C:$C,$A139,'NSE - NIFTY Index Options'!$B:$B,B$4)+SUMIFS('NSE - Other Index Options'!$M:$M,'NSE - Other Index Options'!$C:$C,$A139,'NSE - Other Index Options'!$B:$B,B$4)+SUMIFS('BSE - SENSEX Index Options'!$M:$M,'BSE - SENSEX Index Options'!$C:$C,$A139,'BSE - SENSEX Index Options'!$B:$B,B$4)+SUMIFS('BSE - Other Index Options'!$M:$M,'BSE - Other Index Options'!$C:$C,$A139,'BSE - Other Index Options'!$B:$B,B$4)=0,"",SUMIFS('NSE - NIFTY Index Options'!$M:$M,'NSE - NIFTY Index Options'!$C:$C,$A139,'NSE - NIFTY Index Options'!$B:$B,B$4)+SUMIFS('NSE - Other Index Options'!$M:$M,'NSE - Other Index Options'!$C:$C,$A139,'NSE - Other Index Options'!$B:$B,B$4)+SUMIFS('BSE - SENSEX Index Options'!$M:$M,'BSE - SENSEX Index Options'!$C:$C,$A139,'BSE - SENSEX Index Options'!$B:$B,B$4)+SUMIFS('BSE - Other Index Options'!$M:$M,'BSE - Other Index Options'!$C:$C,$A139,'BSE - Other Index Options'!$B:$B,B$4))</f>
        <v/>
      </c>
      <c r="C139" s="26">
        <f>IF(SUMIFS('NSE - NIFTY Index Options'!$M:$M,'NSE - NIFTY Index Options'!$C:$C,$A139,'NSE - NIFTY Index Options'!$B:$B,C$4)+SUMIFS('NSE - Other Index Options'!$M:$M,'NSE - Other Index Options'!$C:$C,$A139,'NSE - Other Index Options'!$B:$B,C$4)+SUMIFS('BSE - SENSEX Index Options'!$M:$M,'BSE - SENSEX Index Options'!$C:$C,$A139,'BSE - SENSEX Index Options'!$B:$B,C$4)+SUMIFS('BSE - Other Index Options'!$M:$M,'BSE - Other Index Options'!$C:$C,$A139,'BSE - Other Index Options'!$B:$B,C$4)=0,"",SUMIFS('NSE - NIFTY Index Options'!$M:$M,'NSE - NIFTY Index Options'!$C:$C,$A139,'NSE - NIFTY Index Options'!$B:$B,C$4)+SUMIFS('NSE - Other Index Options'!$M:$M,'NSE - Other Index Options'!$C:$C,$A139,'NSE - Other Index Options'!$B:$B,C$4)+SUMIFS('BSE - SENSEX Index Options'!$M:$M,'BSE - SENSEX Index Options'!$C:$C,$A139,'BSE - SENSEX Index Options'!$B:$B,C$4)+SUMIFS('BSE - Other Index Options'!$M:$M,'BSE - Other Index Options'!$C:$C,$A139,'BSE - Other Index Options'!$B:$B,C$4))</f>
        <v/>
      </c>
      <c r="D139" s="26">
        <f>IF(SUMIFS('NSE - NIFTY Index Options'!$M:$M,'NSE - NIFTY Index Options'!$C:$C,$A139,'NSE - NIFTY Index Options'!$B:$B,D$4)+SUMIFS('NSE - Other Index Options'!$M:$M,'NSE - Other Index Options'!$C:$C,$A139,'NSE - Other Index Options'!$B:$B,D$4)+SUMIFS('BSE - SENSEX Index Options'!$M:$M,'BSE - SENSEX Index Options'!$C:$C,$A139,'BSE - SENSEX Index Options'!$B:$B,D$4)+SUMIFS('BSE - Other Index Options'!$M:$M,'BSE - Other Index Options'!$C:$C,$A139,'BSE - Other Index Options'!$B:$B,D$4)=0,"",SUMIFS('NSE - NIFTY Index Options'!$M:$M,'NSE - NIFTY Index Options'!$C:$C,$A139,'NSE - NIFTY Index Options'!$B:$B,D$4)+SUMIFS('NSE - Other Index Options'!$M:$M,'NSE - Other Index Options'!$C:$C,$A139,'NSE - Other Index Options'!$B:$B,D$4)+SUMIFS('BSE - SENSEX Index Options'!$M:$M,'BSE - SENSEX Index Options'!$C:$C,$A139,'BSE - SENSEX Index Options'!$B:$B,D$4)+SUMIFS('BSE - Other Index Options'!$M:$M,'BSE - Other Index Options'!$C:$C,$A139,'BSE - Other Index Options'!$B:$B,D$4))</f>
        <v/>
      </c>
      <c r="E139" s="26">
        <f>IF(SUMIFS('NSE - NIFTY Index Options'!$M:$M,'NSE - NIFTY Index Options'!$C:$C,$A139,'NSE - NIFTY Index Options'!$B:$B,E$4)+SUMIFS('NSE - Other Index Options'!$M:$M,'NSE - Other Index Options'!$C:$C,$A139,'NSE - Other Index Options'!$B:$B,E$4)+SUMIFS('BSE - SENSEX Index Options'!$M:$M,'BSE - SENSEX Index Options'!$C:$C,$A139,'BSE - SENSEX Index Options'!$B:$B,E$4)+SUMIFS('BSE - Other Index Options'!$M:$M,'BSE - Other Index Options'!$C:$C,$A139,'BSE - Other Index Options'!$B:$B,E$4)=0,"",SUMIFS('NSE - NIFTY Index Options'!$M:$M,'NSE - NIFTY Index Options'!$C:$C,$A139,'NSE - NIFTY Index Options'!$B:$B,E$4)+SUMIFS('NSE - Other Index Options'!$M:$M,'NSE - Other Index Options'!$C:$C,$A139,'NSE - Other Index Options'!$B:$B,E$4)+SUMIFS('BSE - SENSEX Index Options'!$M:$M,'BSE - SENSEX Index Options'!$C:$C,$A139,'BSE - SENSEX Index Options'!$B:$B,E$4)+SUMIFS('BSE - Other Index Options'!$M:$M,'BSE - Other Index Options'!$C:$C,$A139,'BSE - Other Index Options'!$B:$B,E$4))</f>
        <v/>
      </c>
      <c r="F139" s="26">
        <f>IF(SUMIFS('NSE - NIFTY Index Options'!$M:$M,'NSE - NIFTY Index Options'!$C:$C,$A139,'NSE - NIFTY Index Options'!$B:$B,F$4)+SUMIFS('NSE - Other Index Options'!$M:$M,'NSE - Other Index Options'!$C:$C,$A139,'NSE - Other Index Options'!$B:$B,F$4)+SUMIFS('BSE - SENSEX Index Options'!$M:$M,'BSE - SENSEX Index Options'!$C:$C,$A139,'BSE - SENSEX Index Options'!$B:$B,F$4)+SUMIFS('BSE - Other Index Options'!$M:$M,'BSE - Other Index Options'!$C:$C,$A139,'BSE - Other Index Options'!$B:$B,F$4)=0,"",SUMIFS('NSE - NIFTY Index Options'!$M:$M,'NSE - NIFTY Index Options'!$C:$C,$A139,'NSE - NIFTY Index Options'!$B:$B,F$4)+SUMIFS('NSE - Other Index Options'!$M:$M,'NSE - Other Index Options'!$C:$C,$A139,'NSE - Other Index Options'!$B:$B,F$4)+SUMIFS('BSE - SENSEX Index Options'!$M:$M,'BSE - SENSEX Index Options'!$C:$C,$A139,'BSE - SENSEX Index Options'!$B:$B,F$4)+SUMIFS('BSE - Other Index Options'!$M:$M,'BSE - Other Index Options'!$C:$C,$A139,'BSE - Other Index Options'!$B:$B,F$4))</f>
        <v/>
      </c>
      <c r="G139" s="26">
        <f>IF(SUMIFS('NSE - NIFTY Index Options'!$M:$M,'NSE - NIFTY Index Options'!$C:$C,$A139,'NSE - NIFTY Index Options'!$B:$B,G$4)+SUMIFS('NSE - Other Index Options'!$M:$M,'NSE - Other Index Options'!$C:$C,$A139,'NSE - Other Index Options'!$B:$B,G$4)+SUMIFS('BSE - SENSEX Index Options'!$M:$M,'BSE - SENSEX Index Options'!$C:$C,$A139,'BSE - SENSEX Index Options'!$B:$B,G$4)+SUMIFS('BSE - Other Index Options'!$M:$M,'BSE - Other Index Options'!$C:$C,$A139,'BSE - Other Index Options'!$B:$B,G$4)=0,"",SUMIFS('NSE - NIFTY Index Options'!$M:$M,'NSE - NIFTY Index Options'!$C:$C,$A139,'NSE - NIFTY Index Options'!$B:$B,G$4)+SUMIFS('NSE - Other Index Options'!$M:$M,'NSE - Other Index Options'!$C:$C,$A139,'NSE - Other Index Options'!$B:$B,G$4)+SUMIFS('BSE - SENSEX Index Options'!$M:$M,'BSE - SENSEX Index Options'!$C:$C,$A139,'BSE - SENSEX Index Options'!$B:$B,G$4)+SUMIFS('BSE - Other Index Options'!$M:$M,'BSE - Other Index Options'!$C:$C,$A139,'BSE - Other Index Options'!$B:$B,G$4))</f>
        <v/>
      </c>
      <c r="H139" s="26">
        <f>IF(SUM(B139:G139)=0,"",SUM(B139:G139))</f>
        <v/>
      </c>
    </row>
    <row r="140" hidden="1" outlineLevel="1">
      <c r="A140" t="inlineStr">
        <is>
          <t>Week3-Dec-2027</t>
        </is>
      </c>
      <c r="B140" s="26">
        <f>IF(SUMIFS('NSE - NIFTY Index Options'!$M:$M,'NSE - NIFTY Index Options'!$C:$C,$A140,'NSE - NIFTY Index Options'!$B:$B,B$4)+SUMIFS('NSE - Other Index Options'!$M:$M,'NSE - Other Index Options'!$C:$C,$A140,'NSE - Other Index Options'!$B:$B,B$4)+SUMIFS('BSE - SENSEX Index Options'!$M:$M,'BSE - SENSEX Index Options'!$C:$C,$A140,'BSE - SENSEX Index Options'!$B:$B,B$4)+SUMIFS('BSE - Other Index Options'!$M:$M,'BSE - Other Index Options'!$C:$C,$A140,'BSE - Other Index Options'!$B:$B,B$4)=0,"",SUMIFS('NSE - NIFTY Index Options'!$M:$M,'NSE - NIFTY Index Options'!$C:$C,$A140,'NSE - NIFTY Index Options'!$B:$B,B$4)+SUMIFS('NSE - Other Index Options'!$M:$M,'NSE - Other Index Options'!$C:$C,$A140,'NSE - Other Index Options'!$B:$B,B$4)+SUMIFS('BSE - SENSEX Index Options'!$M:$M,'BSE - SENSEX Index Options'!$C:$C,$A140,'BSE - SENSEX Index Options'!$B:$B,B$4)+SUMIFS('BSE - Other Index Options'!$M:$M,'BSE - Other Index Options'!$C:$C,$A140,'BSE - Other Index Options'!$B:$B,B$4))</f>
        <v/>
      </c>
      <c r="C140" s="26">
        <f>IF(SUMIFS('NSE - NIFTY Index Options'!$M:$M,'NSE - NIFTY Index Options'!$C:$C,$A140,'NSE - NIFTY Index Options'!$B:$B,C$4)+SUMIFS('NSE - Other Index Options'!$M:$M,'NSE - Other Index Options'!$C:$C,$A140,'NSE - Other Index Options'!$B:$B,C$4)+SUMIFS('BSE - SENSEX Index Options'!$M:$M,'BSE - SENSEX Index Options'!$C:$C,$A140,'BSE - SENSEX Index Options'!$B:$B,C$4)+SUMIFS('BSE - Other Index Options'!$M:$M,'BSE - Other Index Options'!$C:$C,$A140,'BSE - Other Index Options'!$B:$B,C$4)=0,"",SUMIFS('NSE - NIFTY Index Options'!$M:$M,'NSE - NIFTY Index Options'!$C:$C,$A140,'NSE - NIFTY Index Options'!$B:$B,C$4)+SUMIFS('NSE - Other Index Options'!$M:$M,'NSE - Other Index Options'!$C:$C,$A140,'NSE - Other Index Options'!$B:$B,C$4)+SUMIFS('BSE - SENSEX Index Options'!$M:$M,'BSE - SENSEX Index Options'!$C:$C,$A140,'BSE - SENSEX Index Options'!$B:$B,C$4)+SUMIFS('BSE - Other Index Options'!$M:$M,'BSE - Other Index Options'!$C:$C,$A140,'BSE - Other Index Options'!$B:$B,C$4))</f>
        <v/>
      </c>
      <c r="D140" s="26">
        <f>IF(SUMIFS('NSE - NIFTY Index Options'!$M:$M,'NSE - NIFTY Index Options'!$C:$C,$A140,'NSE - NIFTY Index Options'!$B:$B,D$4)+SUMIFS('NSE - Other Index Options'!$M:$M,'NSE - Other Index Options'!$C:$C,$A140,'NSE - Other Index Options'!$B:$B,D$4)+SUMIFS('BSE - SENSEX Index Options'!$M:$M,'BSE - SENSEX Index Options'!$C:$C,$A140,'BSE - SENSEX Index Options'!$B:$B,D$4)+SUMIFS('BSE - Other Index Options'!$M:$M,'BSE - Other Index Options'!$C:$C,$A140,'BSE - Other Index Options'!$B:$B,D$4)=0,"",SUMIFS('NSE - NIFTY Index Options'!$M:$M,'NSE - NIFTY Index Options'!$C:$C,$A140,'NSE - NIFTY Index Options'!$B:$B,D$4)+SUMIFS('NSE - Other Index Options'!$M:$M,'NSE - Other Index Options'!$C:$C,$A140,'NSE - Other Index Options'!$B:$B,D$4)+SUMIFS('BSE - SENSEX Index Options'!$M:$M,'BSE - SENSEX Index Options'!$C:$C,$A140,'BSE - SENSEX Index Options'!$B:$B,D$4)+SUMIFS('BSE - Other Index Options'!$M:$M,'BSE - Other Index Options'!$C:$C,$A140,'BSE - Other Index Options'!$B:$B,D$4))</f>
        <v/>
      </c>
      <c r="E140" s="26">
        <f>IF(SUMIFS('NSE - NIFTY Index Options'!$M:$M,'NSE - NIFTY Index Options'!$C:$C,$A140,'NSE - NIFTY Index Options'!$B:$B,E$4)+SUMIFS('NSE - Other Index Options'!$M:$M,'NSE - Other Index Options'!$C:$C,$A140,'NSE - Other Index Options'!$B:$B,E$4)+SUMIFS('BSE - SENSEX Index Options'!$M:$M,'BSE - SENSEX Index Options'!$C:$C,$A140,'BSE - SENSEX Index Options'!$B:$B,E$4)+SUMIFS('BSE - Other Index Options'!$M:$M,'BSE - Other Index Options'!$C:$C,$A140,'BSE - Other Index Options'!$B:$B,E$4)=0,"",SUMIFS('NSE - NIFTY Index Options'!$M:$M,'NSE - NIFTY Index Options'!$C:$C,$A140,'NSE - NIFTY Index Options'!$B:$B,E$4)+SUMIFS('NSE - Other Index Options'!$M:$M,'NSE - Other Index Options'!$C:$C,$A140,'NSE - Other Index Options'!$B:$B,E$4)+SUMIFS('BSE - SENSEX Index Options'!$M:$M,'BSE - SENSEX Index Options'!$C:$C,$A140,'BSE - SENSEX Index Options'!$B:$B,E$4)+SUMIFS('BSE - Other Index Options'!$M:$M,'BSE - Other Index Options'!$C:$C,$A140,'BSE - Other Index Options'!$B:$B,E$4))</f>
        <v/>
      </c>
      <c r="F140" s="26">
        <f>IF(SUMIFS('NSE - NIFTY Index Options'!$M:$M,'NSE - NIFTY Index Options'!$C:$C,$A140,'NSE - NIFTY Index Options'!$B:$B,F$4)+SUMIFS('NSE - Other Index Options'!$M:$M,'NSE - Other Index Options'!$C:$C,$A140,'NSE - Other Index Options'!$B:$B,F$4)+SUMIFS('BSE - SENSEX Index Options'!$M:$M,'BSE - SENSEX Index Options'!$C:$C,$A140,'BSE - SENSEX Index Options'!$B:$B,F$4)+SUMIFS('BSE - Other Index Options'!$M:$M,'BSE - Other Index Options'!$C:$C,$A140,'BSE - Other Index Options'!$B:$B,F$4)=0,"",SUMIFS('NSE - NIFTY Index Options'!$M:$M,'NSE - NIFTY Index Options'!$C:$C,$A140,'NSE - NIFTY Index Options'!$B:$B,F$4)+SUMIFS('NSE - Other Index Options'!$M:$M,'NSE - Other Index Options'!$C:$C,$A140,'NSE - Other Index Options'!$B:$B,F$4)+SUMIFS('BSE - SENSEX Index Options'!$M:$M,'BSE - SENSEX Index Options'!$C:$C,$A140,'BSE - SENSEX Index Options'!$B:$B,F$4)+SUMIFS('BSE - Other Index Options'!$M:$M,'BSE - Other Index Options'!$C:$C,$A140,'BSE - Other Index Options'!$B:$B,F$4))</f>
        <v/>
      </c>
      <c r="G140" s="26">
        <f>IF(SUMIFS('NSE - NIFTY Index Options'!$M:$M,'NSE - NIFTY Index Options'!$C:$C,$A140,'NSE - NIFTY Index Options'!$B:$B,G$4)+SUMIFS('NSE - Other Index Options'!$M:$M,'NSE - Other Index Options'!$C:$C,$A140,'NSE - Other Index Options'!$B:$B,G$4)+SUMIFS('BSE - SENSEX Index Options'!$M:$M,'BSE - SENSEX Index Options'!$C:$C,$A140,'BSE - SENSEX Index Options'!$B:$B,G$4)+SUMIFS('BSE - Other Index Options'!$M:$M,'BSE - Other Index Options'!$C:$C,$A140,'BSE - Other Index Options'!$B:$B,G$4)=0,"",SUMIFS('NSE - NIFTY Index Options'!$M:$M,'NSE - NIFTY Index Options'!$C:$C,$A140,'NSE - NIFTY Index Options'!$B:$B,G$4)+SUMIFS('NSE - Other Index Options'!$M:$M,'NSE - Other Index Options'!$C:$C,$A140,'NSE - Other Index Options'!$B:$B,G$4)+SUMIFS('BSE - SENSEX Index Options'!$M:$M,'BSE - SENSEX Index Options'!$C:$C,$A140,'BSE - SENSEX Index Options'!$B:$B,G$4)+SUMIFS('BSE - Other Index Options'!$M:$M,'BSE - Other Index Options'!$C:$C,$A140,'BSE - Other Index Options'!$B:$B,G$4))</f>
        <v/>
      </c>
      <c r="H140" s="26">
        <f>IF(SUM(B140:G140)=0,"",SUM(B140:G140))</f>
        <v/>
      </c>
    </row>
    <row r="141" hidden="1" outlineLevel="1">
      <c r="A141" t="inlineStr">
        <is>
          <t>Week4-Dec-2027</t>
        </is>
      </c>
      <c r="B141" s="26">
        <f>IF(SUMIFS('NSE - NIFTY Index Options'!$M:$M,'NSE - NIFTY Index Options'!$C:$C,$A141,'NSE - NIFTY Index Options'!$B:$B,B$4)+SUMIFS('NSE - Other Index Options'!$M:$M,'NSE - Other Index Options'!$C:$C,$A141,'NSE - Other Index Options'!$B:$B,B$4)+SUMIFS('BSE - SENSEX Index Options'!$M:$M,'BSE - SENSEX Index Options'!$C:$C,$A141,'BSE - SENSEX Index Options'!$B:$B,B$4)+SUMIFS('BSE - Other Index Options'!$M:$M,'BSE - Other Index Options'!$C:$C,$A141,'BSE - Other Index Options'!$B:$B,B$4)=0,"",SUMIFS('NSE - NIFTY Index Options'!$M:$M,'NSE - NIFTY Index Options'!$C:$C,$A141,'NSE - NIFTY Index Options'!$B:$B,B$4)+SUMIFS('NSE - Other Index Options'!$M:$M,'NSE - Other Index Options'!$C:$C,$A141,'NSE - Other Index Options'!$B:$B,B$4)+SUMIFS('BSE - SENSEX Index Options'!$M:$M,'BSE - SENSEX Index Options'!$C:$C,$A141,'BSE - SENSEX Index Options'!$B:$B,B$4)+SUMIFS('BSE - Other Index Options'!$M:$M,'BSE - Other Index Options'!$C:$C,$A141,'BSE - Other Index Options'!$B:$B,B$4))</f>
        <v/>
      </c>
      <c r="C141" s="26">
        <f>IF(SUMIFS('NSE - NIFTY Index Options'!$M:$M,'NSE - NIFTY Index Options'!$C:$C,$A141,'NSE - NIFTY Index Options'!$B:$B,C$4)+SUMIFS('NSE - Other Index Options'!$M:$M,'NSE - Other Index Options'!$C:$C,$A141,'NSE - Other Index Options'!$B:$B,C$4)+SUMIFS('BSE - SENSEX Index Options'!$M:$M,'BSE - SENSEX Index Options'!$C:$C,$A141,'BSE - SENSEX Index Options'!$B:$B,C$4)+SUMIFS('BSE - Other Index Options'!$M:$M,'BSE - Other Index Options'!$C:$C,$A141,'BSE - Other Index Options'!$B:$B,C$4)=0,"",SUMIFS('NSE - NIFTY Index Options'!$M:$M,'NSE - NIFTY Index Options'!$C:$C,$A141,'NSE - NIFTY Index Options'!$B:$B,C$4)+SUMIFS('NSE - Other Index Options'!$M:$M,'NSE - Other Index Options'!$C:$C,$A141,'NSE - Other Index Options'!$B:$B,C$4)+SUMIFS('BSE - SENSEX Index Options'!$M:$M,'BSE - SENSEX Index Options'!$C:$C,$A141,'BSE - SENSEX Index Options'!$B:$B,C$4)+SUMIFS('BSE - Other Index Options'!$M:$M,'BSE - Other Index Options'!$C:$C,$A141,'BSE - Other Index Options'!$B:$B,C$4))</f>
        <v/>
      </c>
      <c r="D141" s="26">
        <f>IF(SUMIFS('NSE - NIFTY Index Options'!$M:$M,'NSE - NIFTY Index Options'!$C:$C,$A141,'NSE - NIFTY Index Options'!$B:$B,D$4)+SUMIFS('NSE - Other Index Options'!$M:$M,'NSE - Other Index Options'!$C:$C,$A141,'NSE - Other Index Options'!$B:$B,D$4)+SUMIFS('BSE - SENSEX Index Options'!$M:$M,'BSE - SENSEX Index Options'!$C:$C,$A141,'BSE - SENSEX Index Options'!$B:$B,D$4)+SUMIFS('BSE - Other Index Options'!$M:$M,'BSE - Other Index Options'!$C:$C,$A141,'BSE - Other Index Options'!$B:$B,D$4)=0,"",SUMIFS('NSE - NIFTY Index Options'!$M:$M,'NSE - NIFTY Index Options'!$C:$C,$A141,'NSE - NIFTY Index Options'!$B:$B,D$4)+SUMIFS('NSE - Other Index Options'!$M:$M,'NSE - Other Index Options'!$C:$C,$A141,'NSE - Other Index Options'!$B:$B,D$4)+SUMIFS('BSE - SENSEX Index Options'!$M:$M,'BSE - SENSEX Index Options'!$C:$C,$A141,'BSE - SENSEX Index Options'!$B:$B,D$4)+SUMIFS('BSE - Other Index Options'!$M:$M,'BSE - Other Index Options'!$C:$C,$A141,'BSE - Other Index Options'!$B:$B,D$4))</f>
        <v/>
      </c>
      <c r="E141" s="26">
        <f>IF(SUMIFS('NSE - NIFTY Index Options'!$M:$M,'NSE - NIFTY Index Options'!$C:$C,$A141,'NSE - NIFTY Index Options'!$B:$B,E$4)+SUMIFS('NSE - Other Index Options'!$M:$M,'NSE - Other Index Options'!$C:$C,$A141,'NSE - Other Index Options'!$B:$B,E$4)+SUMIFS('BSE - SENSEX Index Options'!$M:$M,'BSE - SENSEX Index Options'!$C:$C,$A141,'BSE - SENSEX Index Options'!$B:$B,E$4)+SUMIFS('BSE - Other Index Options'!$M:$M,'BSE - Other Index Options'!$C:$C,$A141,'BSE - Other Index Options'!$B:$B,E$4)=0,"",SUMIFS('NSE - NIFTY Index Options'!$M:$M,'NSE - NIFTY Index Options'!$C:$C,$A141,'NSE - NIFTY Index Options'!$B:$B,E$4)+SUMIFS('NSE - Other Index Options'!$M:$M,'NSE - Other Index Options'!$C:$C,$A141,'NSE - Other Index Options'!$B:$B,E$4)+SUMIFS('BSE - SENSEX Index Options'!$M:$M,'BSE - SENSEX Index Options'!$C:$C,$A141,'BSE - SENSEX Index Options'!$B:$B,E$4)+SUMIFS('BSE - Other Index Options'!$M:$M,'BSE - Other Index Options'!$C:$C,$A141,'BSE - Other Index Options'!$B:$B,E$4))</f>
        <v/>
      </c>
      <c r="F141" s="26">
        <f>IF(SUMIFS('NSE - NIFTY Index Options'!$M:$M,'NSE - NIFTY Index Options'!$C:$C,$A141,'NSE - NIFTY Index Options'!$B:$B,F$4)+SUMIFS('NSE - Other Index Options'!$M:$M,'NSE - Other Index Options'!$C:$C,$A141,'NSE - Other Index Options'!$B:$B,F$4)+SUMIFS('BSE - SENSEX Index Options'!$M:$M,'BSE - SENSEX Index Options'!$C:$C,$A141,'BSE - SENSEX Index Options'!$B:$B,F$4)+SUMIFS('BSE - Other Index Options'!$M:$M,'BSE - Other Index Options'!$C:$C,$A141,'BSE - Other Index Options'!$B:$B,F$4)=0,"",SUMIFS('NSE - NIFTY Index Options'!$M:$M,'NSE - NIFTY Index Options'!$C:$C,$A141,'NSE - NIFTY Index Options'!$B:$B,F$4)+SUMIFS('NSE - Other Index Options'!$M:$M,'NSE - Other Index Options'!$C:$C,$A141,'NSE - Other Index Options'!$B:$B,F$4)+SUMIFS('BSE - SENSEX Index Options'!$M:$M,'BSE - SENSEX Index Options'!$C:$C,$A141,'BSE - SENSEX Index Options'!$B:$B,F$4)+SUMIFS('BSE - Other Index Options'!$M:$M,'BSE - Other Index Options'!$C:$C,$A141,'BSE - Other Index Options'!$B:$B,F$4))</f>
        <v/>
      </c>
      <c r="G141" s="26">
        <f>IF(SUMIFS('NSE - NIFTY Index Options'!$M:$M,'NSE - NIFTY Index Options'!$C:$C,$A141,'NSE - NIFTY Index Options'!$B:$B,G$4)+SUMIFS('NSE - Other Index Options'!$M:$M,'NSE - Other Index Options'!$C:$C,$A141,'NSE - Other Index Options'!$B:$B,G$4)+SUMIFS('BSE - SENSEX Index Options'!$M:$M,'BSE - SENSEX Index Options'!$C:$C,$A141,'BSE - SENSEX Index Options'!$B:$B,G$4)+SUMIFS('BSE - Other Index Options'!$M:$M,'BSE - Other Index Options'!$C:$C,$A141,'BSE - Other Index Options'!$B:$B,G$4)=0,"",SUMIFS('NSE - NIFTY Index Options'!$M:$M,'NSE - NIFTY Index Options'!$C:$C,$A141,'NSE - NIFTY Index Options'!$B:$B,G$4)+SUMIFS('NSE - Other Index Options'!$M:$M,'NSE - Other Index Options'!$C:$C,$A141,'NSE - Other Index Options'!$B:$B,G$4)+SUMIFS('BSE - SENSEX Index Options'!$M:$M,'BSE - SENSEX Index Options'!$C:$C,$A141,'BSE - SENSEX Index Options'!$B:$B,G$4)+SUMIFS('BSE - Other Index Options'!$M:$M,'BSE - Other Index Options'!$C:$C,$A141,'BSE - Other Index Options'!$B:$B,G$4))</f>
        <v/>
      </c>
      <c r="H141" s="26">
        <f>IF(SUM(B141:G141)=0,"",SUM(B141:G141))</f>
        <v/>
      </c>
    </row>
    <row r="142" hidden="1" outlineLevel="1">
      <c r="A142" t="inlineStr">
        <is>
          <t>Week5-Dec-2027</t>
        </is>
      </c>
      <c r="B142" s="26">
        <f>IF(SUMIFS('NSE - NIFTY Index Options'!$M:$M,'NSE - NIFTY Index Options'!$C:$C,$A142,'NSE - NIFTY Index Options'!$B:$B,B$4)+SUMIFS('NSE - Other Index Options'!$M:$M,'NSE - Other Index Options'!$C:$C,$A142,'NSE - Other Index Options'!$B:$B,B$4)+SUMIFS('BSE - SENSEX Index Options'!$M:$M,'BSE - SENSEX Index Options'!$C:$C,$A142,'BSE - SENSEX Index Options'!$B:$B,B$4)+SUMIFS('BSE - Other Index Options'!$M:$M,'BSE - Other Index Options'!$C:$C,$A142,'BSE - Other Index Options'!$B:$B,B$4)=0,"",SUMIFS('NSE - NIFTY Index Options'!$M:$M,'NSE - NIFTY Index Options'!$C:$C,$A142,'NSE - NIFTY Index Options'!$B:$B,B$4)+SUMIFS('NSE - Other Index Options'!$M:$M,'NSE - Other Index Options'!$C:$C,$A142,'NSE - Other Index Options'!$B:$B,B$4)+SUMIFS('BSE - SENSEX Index Options'!$M:$M,'BSE - SENSEX Index Options'!$C:$C,$A142,'BSE - SENSEX Index Options'!$B:$B,B$4)+SUMIFS('BSE - Other Index Options'!$M:$M,'BSE - Other Index Options'!$C:$C,$A142,'BSE - Other Index Options'!$B:$B,B$4))</f>
        <v/>
      </c>
      <c r="C142" s="26">
        <f>IF(SUMIFS('NSE - NIFTY Index Options'!$M:$M,'NSE - NIFTY Index Options'!$C:$C,$A142,'NSE - NIFTY Index Options'!$B:$B,C$4)+SUMIFS('NSE - Other Index Options'!$M:$M,'NSE - Other Index Options'!$C:$C,$A142,'NSE - Other Index Options'!$B:$B,C$4)+SUMIFS('BSE - SENSEX Index Options'!$M:$M,'BSE - SENSEX Index Options'!$C:$C,$A142,'BSE - SENSEX Index Options'!$B:$B,C$4)+SUMIFS('BSE - Other Index Options'!$M:$M,'BSE - Other Index Options'!$C:$C,$A142,'BSE - Other Index Options'!$B:$B,C$4)=0,"",SUMIFS('NSE - NIFTY Index Options'!$M:$M,'NSE - NIFTY Index Options'!$C:$C,$A142,'NSE - NIFTY Index Options'!$B:$B,C$4)+SUMIFS('NSE - Other Index Options'!$M:$M,'NSE - Other Index Options'!$C:$C,$A142,'NSE - Other Index Options'!$B:$B,C$4)+SUMIFS('BSE - SENSEX Index Options'!$M:$M,'BSE - SENSEX Index Options'!$C:$C,$A142,'BSE - SENSEX Index Options'!$B:$B,C$4)+SUMIFS('BSE - Other Index Options'!$M:$M,'BSE - Other Index Options'!$C:$C,$A142,'BSE - Other Index Options'!$B:$B,C$4))</f>
        <v/>
      </c>
      <c r="D142" s="26">
        <f>IF(SUMIFS('NSE - NIFTY Index Options'!$M:$M,'NSE - NIFTY Index Options'!$C:$C,$A142,'NSE - NIFTY Index Options'!$B:$B,D$4)+SUMIFS('NSE - Other Index Options'!$M:$M,'NSE - Other Index Options'!$C:$C,$A142,'NSE - Other Index Options'!$B:$B,D$4)+SUMIFS('BSE - SENSEX Index Options'!$M:$M,'BSE - SENSEX Index Options'!$C:$C,$A142,'BSE - SENSEX Index Options'!$B:$B,D$4)+SUMIFS('BSE - Other Index Options'!$M:$M,'BSE - Other Index Options'!$C:$C,$A142,'BSE - Other Index Options'!$B:$B,D$4)=0,"",SUMIFS('NSE - NIFTY Index Options'!$M:$M,'NSE - NIFTY Index Options'!$C:$C,$A142,'NSE - NIFTY Index Options'!$B:$B,D$4)+SUMIFS('NSE - Other Index Options'!$M:$M,'NSE - Other Index Options'!$C:$C,$A142,'NSE - Other Index Options'!$B:$B,D$4)+SUMIFS('BSE - SENSEX Index Options'!$M:$M,'BSE - SENSEX Index Options'!$C:$C,$A142,'BSE - SENSEX Index Options'!$B:$B,D$4)+SUMIFS('BSE - Other Index Options'!$M:$M,'BSE - Other Index Options'!$C:$C,$A142,'BSE - Other Index Options'!$B:$B,D$4))</f>
        <v/>
      </c>
      <c r="E142" s="26">
        <f>IF(SUMIFS('NSE - NIFTY Index Options'!$M:$M,'NSE - NIFTY Index Options'!$C:$C,$A142,'NSE - NIFTY Index Options'!$B:$B,E$4)+SUMIFS('NSE - Other Index Options'!$M:$M,'NSE - Other Index Options'!$C:$C,$A142,'NSE - Other Index Options'!$B:$B,E$4)+SUMIFS('BSE - SENSEX Index Options'!$M:$M,'BSE - SENSEX Index Options'!$C:$C,$A142,'BSE - SENSEX Index Options'!$B:$B,E$4)+SUMIFS('BSE - Other Index Options'!$M:$M,'BSE - Other Index Options'!$C:$C,$A142,'BSE - Other Index Options'!$B:$B,E$4)=0,"",SUMIFS('NSE - NIFTY Index Options'!$M:$M,'NSE - NIFTY Index Options'!$C:$C,$A142,'NSE - NIFTY Index Options'!$B:$B,E$4)+SUMIFS('NSE - Other Index Options'!$M:$M,'NSE - Other Index Options'!$C:$C,$A142,'NSE - Other Index Options'!$B:$B,E$4)+SUMIFS('BSE - SENSEX Index Options'!$M:$M,'BSE - SENSEX Index Options'!$C:$C,$A142,'BSE - SENSEX Index Options'!$B:$B,E$4)+SUMIFS('BSE - Other Index Options'!$M:$M,'BSE - Other Index Options'!$C:$C,$A142,'BSE - Other Index Options'!$B:$B,E$4))</f>
        <v/>
      </c>
      <c r="F142" s="26">
        <f>IF(SUMIFS('NSE - NIFTY Index Options'!$M:$M,'NSE - NIFTY Index Options'!$C:$C,$A142,'NSE - NIFTY Index Options'!$B:$B,F$4)+SUMIFS('NSE - Other Index Options'!$M:$M,'NSE - Other Index Options'!$C:$C,$A142,'NSE - Other Index Options'!$B:$B,F$4)+SUMIFS('BSE - SENSEX Index Options'!$M:$M,'BSE - SENSEX Index Options'!$C:$C,$A142,'BSE - SENSEX Index Options'!$B:$B,F$4)+SUMIFS('BSE - Other Index Options'!$M:$M,'BSE - Other Index Options'!$C:$C,$A142,'BSE - Other Index Options'!$B:$B,F$4)=0,"",SUMIFS('NSE - NIFTY Index Options'!$M:$M,'NSE - NIFTY Index Options'!$C:$C,$A142,'NSE - NIFTY Index Options'!$B:$B,F$4)+SUMIFS('NSE - Other Index Options'!$M:$M,'NSE - Other Index Options'!$C:$C,$A142,'NSE - Other Index Options'!$B:$B,F$4)+SUMIFS('BSE - SENSEX Index Options'!$M:$M,'BSE - SENSEX Index Options'!$C:$C,$A142,'BSE - SENSEX Index Options'!$B:$B,F$4)+SUMIFS('BSE - Other Index Options'!$M:$M,'BSE - Other Index Options'!$C:$C,$A142,'BSE - Other Index Options'!$B:$B,F$4))</f>
        <v/>
      </c>
      <c r="G142" s="26">
        <f>IF(SUMIFS('NSE - NIFTY Index Options'!$M:$M,'NSE - NIFTY Index Options'!$C:$C,$A142,'NSE - NIFTY Index Options'!$B:$B,G$4)+SUMIFS('NSE - Other Index Options'!$M:$M,'NSE - Other Index Options'!$C:$C,$A142,'NSE - Other Index Options'!$B:$B,G$4)+SUMIFS('BSE - SENSEX Index Options'!$M:$M,'BSE - SENSEX Index Options'!$C:$C,$A142,'BSE - SENSEX Index Options'!$B:$B,G$4)+SUMIFS('BSE - Other Index Options'!$M:$M,'BSE - Other Index Options'!$C:$C,$A142,'BSE - Other Index Options'!$B:$B,G$4)=0,"",SUMIFS('NSE - NIFTY Index Options'!$M:$M,'NSE - NIFTY Index Options'!$C:$C,$A142,'NSE - NIFTY Index Options'!$B:$B,G$4)+SUMIFS('NSE - Other Index Options'!$M:$M,'NSE - Other Index Options'!$C:$C,$A142,'NSE - Other Index Options'!$B:$B,G$4)+SUMIFS('BSE - SENSEX Index Options'!$M:$M,'BSE - SENSEX Index Options'!$C:$C,$A142,'BSE - SENSEX Index Options'!$B:$B,G$4)+SUMIFS('BSE - Other Index Options'!$M:$M,'BSE - Other Index Options'!$C:$C,$A142,'BSE - Other Index Options'!$B:$B,G$4))</f>
        <v/>
      </c>
      <c r="H142" s="26">
        <f>IF(SUM(B142:G142)=0,"",SUM(B142:G142))</f>
        <v/>
      </c>
    </row>
    <row r="143" collapsed="1">
      <c r="A143" s="42" t="inlineStr">
        <is>
          <t>Total</t>
        </is>
      </c>
      <c r="B143" s="43">
        <f>IF(SUM(B5:B142)=0,"",SUM(B5:B142))</f>
        <v/>
      </c>
      <c r="C143" s="43">
        <f>IF(SUM(C5:C142)=0,"",SUM(C5:C142))</f>
        <v/>
      </c>
      <c r="D143" s="43">
        <f>IF(SUM(D5:D142)=0,"",SUM(D5:D142))</f>
        <v/>
      </c>
      <c r="E143" s="43">
        <f>IF(SUM(E5:E142)=0,"",SUM(E5:E142))</f>
        <v/>
      </c>
      <c r="F143" s="43">
        <f>IF(SUM(F5:F142)=0,"",SUM(F5:F142))</f>
        <v/>
      </c>
      <c r="G143" s="43">
        <f>IF(SUM(G5:G142)=0,"",SUM(G5:G142))</f>
        <v/>
      </c>
      <c r="H143" s="43">
        <f>IF(SUM(H5:H142)=0,"",SUM(H5:H142))</f>
        <v/>
      </c>
    </row>
    <row r="146">
      <c r="A146" s="42" t="inlineStr">
        <is>
          <t>Day-wise Composition of Weekly Premium (Mon-Fri; complete weeks only)</t>
        </is>
      </c>
      <c r="H146" s="59" t="inlineStr">
        <is>
          <t>Day Composition (complete 5-day weeks only)</t>
        </is>
      </c>
    </row>
    <row r="147">
      <c r="A147" s="42" t="inlineStr">
        <is>
          <t>Trade Week-Month-Year</t>
        </is>
      </c>
      <c r="B147" s="42" t="inlineStr">
        <is>
          <t>Monday</t>
        </is>
      </c>
      <c r="C147" s="42" t="inlineStr">
        <is>
          <t>Tuesday</t>
        </is>
      </c>
      <c r="D147" s="42" t="inlineStr">
        <is>
          <t>Wednesday</t>
        </is>
      </c>
      <c r="E147" s="42" t="inlineStr">
        <is>
          <t>Thursday</t>
        </is>
      </c>
      <c r="F147" s="42" t="inlineStr">
        <is>
          <t>Friday</t>
        </is>
      </c>
      <c r="H147" s="59" t="inlineStr">
        <is>
          <t>Monday</t>
        </is>
      </c>
      <c r="I147" s="59" t="inlineStr">
        <is>
          <t>Tuesday</t>
        </is>
      </c>
      <c r="J147" s="59" t="inlineStr">
        <is>
          <t>Wednesday</t>
        </is>
      </c>
      <c r="K147" s="59" t="inlineStr">
        <is>
          <t>Thursday</t>
        </is>
      </c>
      <c r="L147" s="59" t="inlineStr">
        <is>
          <t>Friday</t>
        </is>
      </c>
    </row>
    <row r="148">
      <c r="A148" t="inlineStr">
        <is>
          <t>Week1-Sep-2025</t>
        </is>
      </c>
      <c r="B148" s="27">
        <f>IF(OR(SUM($B5:$F5)=0,B5=""),"",B5/SUM($B5:$F5))</f>
        <v/>
      </c>
      <c r="C148" s="27">
        <f>IF(OR(SUM($B5:$F5)=0,C5=""),"",C5/SUM($B5:$F5))</f>
        <v/>
      </c>
      <c r="D148" s="27">
        <f>IF(OR(SUM($B5:$F5)=0,D5=""),"",D5/SUM($B5:$F5))</f>
        <v/>
      </c>
      <c r="E148" s="27">
        <f>IF(OR(SUM($B5:$F5)=0,E5=""),"",E5/SUM($B5:$F5))</f>
        <v/>
      </c>
      <c r="F148" s="27">
        <f>IF(OR(SUM($B5:$F5)=0,F5=""),"",F5/SUM($B5:$F5))</f>
        <v/>
      </c>
      <c r="H148" s="27">
        <f>IF(COUNT(B5:F5)=5,B5/SUM($B5:$F5),"")</f>
        <v/>
      </c>
      <c r="I148" s="27">
        <f>IF(COUNT(B5:F5)=5,C5/SUM($B5:$F5),"")</f>
        <v/>
      </c>
      <c r="J148" s="27">
        <f>IF(COUNT(B5:F5)=5,D5/SUM($B5:$F5),"")</f>
        <v/>
      </c>
      <c r="K148" s="27">
        <f>IF(COUNT(B5:F5)=5,E5/SUM($B5:$F5),"")</f>
        <v/>
      </c>
      <c r="L148" s="27">
        <f>IF(COUNT(B5:F5)=5,F5/SUM($B5:$F5),"")</f>
        <v/>
      </c>
    </row>
    <row r="149">
      <c r="A149" t="inlineStr">
        <is>
          <t>Week2-Sep-2025</t>
        </is>
      </c>
      <c r="B149" s="27">
        <f>IF(OR(SUM($B6:$F6)=0,B6=""),"",B6/SUM($B6:$F6))</f>
        <v/>
      </c>
      <c r="C149" s="27">
        <f>IF(OR(SUM($B6:$F6)=0,C6=""),"",C6/SUM($B6:$F6))</f>
        <v/>
      </c>
      <c r="D149" s="27">
        <f>IF(OR(SUM($B6:$F6)=0,D6=""),"",D6/SUM($B6:$F6))</f>
        <v/>
      </c>
      <c r="E149" s="27">
        <f>IF(OR(SUM($B6:$F6)=0,E6=""),"",E6/SUM($B6:$F6))</f>
        <v/>
      </c>
      <c r="F149" s="27">
        <f>IF(OR(SUM($B6:$F6)=0,F6=""),"",F6/SUM($B6:$F6))</f>
        <v/>
      </c>
      <c r="H149" s="27">
        <f>IF(COUNT(B6:F6)=5,B6/SUM($B6:$F6),"")</f>
        <v/>
      </c>
      <c r="I149" s="27">
        <f>IF(COUNT(B6:F6)=5,C6/SUM($B6:$F6),"")</f>
        <v/>
      </c>
      <c r="J149" s="27">
        <f>IF(COUNT(B6:F6)=5,D6/SUM($B6:$F6),"")</f>
        <v/>
      </c>
      <c r="K149" s="27">
        <f>IF(COUNT(B6:F6)=5,E6/SUM($B6:$F6),"")</f>
        <v/>
      </c>
      <c r="L149" s="27">
        <f>IF(COUNT(B6:F6)=5,F6/SUM($B6:$F6),"")</f>
        <v/>
      </c>
    </row>
    <row r="150">
      <c r="A150" t="inlineStr">
        <is>
          <t>Week3-Sep-2025</t>
        </is>
      </c>
      <c r="B150" s="27">
        <f>IF(OR(SUM($B7:$F7)=0,B7=""),"",B7/SUM($B7:$F7))</f>
        <v/>
      </c>
      <c r="C150" s="27">
        <f>IF(OR(SUM($B7:$F7)=0,C7=""),"",C7/SUM($B7:$F7))</f>
        <v/>
      </c>
      <c r="D150" s="27">
        <f>IF(OR(SUM($B7:$F7)=0,D7=""),"",D7/SUM($B7:$F7))</f>
        <v/>
      </c>
      <c r="E150" s="27">
        <f>IF(OR(SUM($B7:$F7)=0,E7=""),"",E7/SUM($B7:$F7))</f>
        <v/>
      </c>
      <c r="F150" s="27">
        <f>IF(OR(SUM($B7:$F7)=0,F7=""),"",F7/SUM($B7:$F7))</f>
        <v/>
      </c>
      <c r="H150" s="27">
        <f>IF(COUNT(B7:F7)=5,B7/SUM($B7:$F7),"")</f>
        <v/>
      </c>
      <c r="I150" s="27">
        <f>IF(COUNT(B7:F7)=5,C7/SUM($B7:$F7),"")</f>
        <v/>
      </c>
      <c r="J150" s="27">
        <f>IF(COUNT(B7:F7)=5,D7/SUM($B7:$F7),"")</f>
        <v/>
      </c>
      <c r="K150" s="27">
        <f>IF(COUNT(B7:F7)=5,E7/SUM($B7:$F7),"")</f>
        <v/>
      </c>
      <c r="L150" s="27">
        <f>IF(COUNT(B7:F7)=5,F7/SUM($B7:$F7),"")</f>
        <v/>
      </c>
    </row>
    <row r="151">
      <c r="A151" t="inlineStr">
        <is>
          <t>Week4-Sep-2025</t>
        </is>
      </c>
      <c r="B151" s="27">
        <f>IF(OR(SUM($B8:$F8)=0,B8=""),"",B8/SUM($B8:$F8))</f>
        <v/>
      </c>
      <c r="C151" s="27">
        <f>IF(OR(SUM($B8:$F8)=0,C8=""),"",C8/SUM($B8:$F8))</f>
        <v/>
      </c>
      <c r="D151" s="27">
        <f>IF(OR(SUM($B8:$F8)=0,D8=""),"",D8/SUM($B8:$F8))</f>
        <v/>
      </c>
      <c r="E151" s="27">
        <f>IF(OR(SUM($B8:$F8)=0,E8=""),"",E8/SUM($B8:$F8))</f>
        <v/>
      </c>
      <c r="F151" s="27">
        <f>IF(OR(SUM($B8:$F8)=0,F8=""),"",F8/SUM($B8:$F8))</f>
        <v/>
      </c>
      <c r="H151" s="27">
        <f>IF(COUNT(B8:F8)=5,B8/SUM($B8:$F8),"")</f>
        <v/>
      </c>
      <c r="I151" s="27">
        <f>IF(COUNT(B8:F8)=5,C8/SUM($B8:$F8),"")</f>
        <v/>
      </c>
      <c r="J151" s="27">
        <f>IF(COUNT(B8:F8)=5,D8/SUM($B8:$F8),"")</f>
        <v/>
      </c>
      <c r="K151" s="27">
        <f>IF(COUNT(B8:F8)=5,E8/SUM($B8:$F8),"")</f>
        <v/>
      </c>
      <c r="L151" s="27">
        <f>IF(COUNT(B8:F8)=5,F8/SUM($B8:$F8),"")</f>
        <v/>
      </c>
    </row>
    <row r="152">
      <c r="A152" t="inlineStr">
        <is>
          <t>Week5-Sep-2025</t>
        </is>
      </c>
      <c r="B152" s="27">
        <f>IF(OR(SUM($B9:$F9)=0,B9=""),"",B9/SUM($B9:$F9))</f>
        <v/>
      </c>
      <c r="C152" s="27">
        <f>IF(OR(SUM($B9:$F9)=0,C9=""),"",C9/SUM($B9:$F9))</f>
        <v/>
      </c>
      <c r="D152" s="27">
        <f>IF(OR(SUM($B9:$F9)=0,D9=""),"",D9/SUM($B9:$F9))</f>
        <v/>
      </c>
      <c r="E152" s="27">
        <f>IF(OR(SUM($B9:$F9)=0,E9=""),"",E9/SUM($B9:$F9))</f>
        <v/>
      </c>
      <c r="F152" s="27">
        <f>IF(OR(SUM($B9:$F9)=0,F9=""),"",F9/SUM($B9:$F9))</f>
        <v/>
      </c>
      <c r="H152" s="27">
        <f>IF(COUNT(B9:F9)=5,B9/SUM($B9:$F9),"")</f>
        <v/>
      </c>
      <c r="I152" s="27">
        <f>IF(COUNT(B9:F9)=5,C9/SUM($B9:$F9),"")</f>
        <v/>
      </c>
      <c r="J152" s="27">
        <f>IF(COUNT(B9:F9)=5,D9/SUM($B9:$F9),"")</f>
        <v/>
      </c>
      <c r="K152" s="27">
        <f>IF(COUNT(B9:F9)=5,E9/SUM($B9:$F9),"")</f>
        <v/>
      </c>
      <c r="L152" s="27">
        <f>IF(COUNT(B9:F9)=5,F9/SUM($B9:$F9),"")</f>
        <v/>
      </c>
    </row>
    <row r="153">
      <c r="A153" t="inlineStr">
        <is>
          <t>Week1-Oct-2025</t>
        </is>
      </c>
      <c r="B153" s="27">
        <f>IF(OR(SUM($B10:$F10)=0,B10=""),"",B10/SUM($B10:$F10))</f>
        <v/>
      </c>
      <c r="C153" s="27">
        <f>IF(OR(SUM($B10:$F10)=0,C10=""),"",C10/SUM($B10:$F10))</f>
        <v/>
      </c>
      <c r="D153" s="27">
        <f>IF(OR(SUM($B10:$F10)=0,D10=""),"",D10/SUM($B10:$F10))</f>
        <v/>
      </c>
      <c r="E153" s="27">
        <f>IF(OR(SUM($B10:$F10)=0,E10=""),"",E10/SUM($B10:$F10))</f>
        <v/>
      </c>
      <c r="F153" s="27">
        <f>IF(OR(SUM($B10:$F10)=0,F10=""),"",F10/SUM($B10:$F10))</f>
        <v/>
      </c>
      <c r="H153" s="27">
        <f>IF(COUNT(B10:F10)=5,B10/SUM($B10:$F10),"")</f>
        <v/>
      </c>
      <c r="I153" s="27">
        <f>IF(COUNT(B10:F10)=5,C10/SUM($B10:$F10),"")</f>
        <v/>
      </c>
      <c r="J153" s="27">
        <f>IF(COUNT(B10:F10)=5,D10/SUM($B10:$F10),"")</f>
        <v/>
      </c>
      <c r="K153" s="27">
        <f>IF(COUNT(B10:F10)=5,E10/SUM($B10:$F10),"")</f>
        <v/>
      </c>
      <c r="L153" s="27">
        <f>IF(COUNT(B10:F10)=5,F10/SUM($B10:$F10),"")</f>
        <v/>
      </c>
    </row>
    <row r="154">
      <c r="A154" t="inlineStr">
        <is>
          <t>Week2-Oct-2025</t>
        </is>
      </c>
      <c r="B154" s="27">
        <f>IF(OR(SUM($B11:$F11)=0,B11=""),"",B11/SUM($B11:$F11))</f>
        <v/>
      </c>
      <c r="C154" s="27">
        <f>IF(OR(SUM($B11:$F11)=0,C11=""),"",C11/SUM($B11:$F11))</f>
        <v/>
      </c>
      <c r="D154" s="27">
        <f>IF(OR(SUM($B11:$F11)=0,D11=""),"",D11/SUM($B11:$F11))</f>
        <v/>
      </c>
      <c r="E154" s="27">
        <f>IF(OR(SUM($B11:$F11)=0,E11=""),"",E11/SUM($B11:$F11))</f>
        <v/>
      </c>
      <c r="F154" s="27">
        <f>IF(OR(SUM($B11:$F11)=0,F11=""),"",F11/SUM($B11:$F11))</f>
        <v/>
      </c>
      <c r="H154" s="27">
        <f>IF(COUNT(B11:F11)=5,B11/SUM($B11:$F11),"")</f>
        <v/>
      </c>
      <c r="I154" s="27">
        <f>IF(COUNT(B11:F11)=5,C11/SUM($B11:$F11),"")</f>
        <v/>
      </c>
      <c r="J154" s="27">
        <f>IF(COUNT(B11:F11)=5,D11/SUM($B11:$F11),"")</f>
        <v/>
      </c>
      <c r="K154" s="27">
        <f>IF(COUNT(B11:F11)=5,E11/SUM($B11:$F11),"")</f>
        <v/>
      </c>
      <c r="L154" s="27">
        <f>IF(COUNT(B11:F11)=5,F11/SUM($B11:$F11),"")</f>
        <v/>
      </c>
    </row>
    <row r="155">
      <c r="A155" t="inlineStr">
        <is>
          <t>Week3-Oct-2025</t>
        </is>
      </c>
      <c r="B155" s="27">
        <f>IF(OR(SUM($B12:$F12)=0,B12=""),"",B12/SUM($B12:$F12))</f>
        <v/>
      </c>
      <c r="C155" s="27">
        <f>IF(OR(SUM($B12:$F12)=0,C12=""),"",C12/SUM($B12:$F12))</f>
        <v/>
      </c>
      <c r="D155" s="27">
        <f>IF(OR(SUM($B12:$F12)=0,D12=""),"",D12/SUM($B12:$F12))</f>
        <v/>
      </c>
      <c r="E155" s="27">
        <f>IF(OR(SUM($B12:$F12)=0,E12=""),"",E12/SUM($B12:$F12))</f>
        <v/>
      </c>
      <c r="F155" s="27">
        <f>IF(OR(SUM($B12:$F12)=0,F12=""),"",F12/SUM($B12:$F12))</f>
        <v/>
      </c>
      <c r="H155" s="27">
        <f>IF(COUNT(B12:F12)=5,B12/SUM($B12:$F12),"")</f>
        <v/>
      </c>
      <c r="I155" s="27">
        <f>IF(COUNT(B12:F12)=5,C12/SUM($B12:$F12),"")</f>
        <v/>
      </c>
      <c r="J155" s="27">
        <f>IF(COUNT(B12:F12)=5,D12/SUM($B12:$F12),"")</f>
        <v/>
      </c>
      <c r="K155" s="27">
        <f>IF(COUNT(B12:F12)=5,E12/SUM($B12:$F12),"")</f>
        <v/>
      </c>
      <c r="L155" s="27">
        <f>IF(COUNT(B12:F12)=5,F12/SUM($B12:$F12),"")</f>
        <v/>
      </c>
    </row>
    <row r="156">
      <c r="A156" t="inlineStr">
        <is>
          <t>Week4-Oct-2025</t>
        </is>
      </c>
      <c r="B156" s="27">
        <f>IF(OR(SUM($B13:$F13)=0,B13=""),"",B13/SUM($B13:$F13))</f>
        <v/>
      </c>
      <c r="C156" s="27">
        <f>IF(OR(SUM($B13:$F13)=0,C13=""),"",C13/SUM($B13:$F13))</f>
        <v/>
      </c>
      <c r="D156" s="27">
        <f>IF(OR(SUM($B13:$F13)=0,D13=""),"",D13/SUM($B13:$F13))</f>
        <v/>
      </c>
      <c r="E156" s="27">
        <f>IF(OR(SUM($B13:$F13)=0,E13=""),"",E13/SUM($B13:$F13))</f>
        <v/>
      </c>
      <c r="F156" s="27">
        <f>IF(OR(SUM($B13:$F13)=0,F13=""),"",F13/SUM($B13:$F13))</f>
        <v/>
      </c>
      <c r="H156" s="27">
        <f>IF(COUNT(B13:F13)=5,B13/SUM($B13:$F13),"")</f>
        <v/>
      </c>
      <c r="I156" s="27">
        <f>IF(COUNT(B13:F13)=5,C13/SUM($B13:$F13),"")</f>
        <v/>
      </c>
      <c r="J156" s="27">
        <f>IF(COUNT(B13:F13)=5,D13/SUM($B13:$F13),"")</f>
        <v/>
      </c>
      <c r="K156" s="27">
        <f>IF(COUNT(B13:F13)=5,E13/SUM($B13:$F13),"")</f>
        <v/>
      </c>
      <c r="L156" s="27">
        <f>IF(COUNT(B13:F13)=5,F13/SUM($B13:$F13),"")</f>
        <v/>
      </c>
    </row>
    <row r="157">
      <c r="A157" t="inlineStr">
        <is>
          <t>Week5-Oct-2025</t>
        </is>
      </c>
      <c r="B157" s="27">
        <f>IF(OR(SUM($B14:$F14)=0,B14=""),"",B14/SUM($B14:$F14))</f>
        <v/>
      </c>
      <c r="C157" s="27">
        <f>IF(OR(SUM($B14:$F14)=0,C14=""),"",C14/SUM($B14:$F14))</f>
        <v/>
      </c>
      <c r="D157" s="27">
        <f>IF(OR(SUM($B14:$F14)=0,D14=""),"",D14/SUM($B14:$F14))</f>
        <v/>
      </c>
      <c r="E157" s="27">
        <f>IF(OR(SUM($B14:$F14)=0,E14=""),"",E14/SUM($B14:$F14))</f>
        <v/>
      </c>
      <c r="F157" s="27">
        <f>IF(OR(SUM($B14:$F14)=0,F14=""),"",F14/SUM($B14:$F14))</f>
        <v/>
      </c>
      <c r="H157" s="27">
        <f>IF(COUNT(B14:F14)=5,B14/SUM($B14:$F14),"")</f>
        <v/>
      </c>
      <c r="I157" s="27">
        <f>IF(COUNT(B14:F14)=5,C14/SUM($B14:$F14),"")</f>
        <v/>
      </c>
      <c r="J157" s="27">
        <f>IF(COUNT(B14:F14)=5,D14/SUM($B14:$F14),"")</f>
        <v/>
      </c>
      <c r="K157" s="27">
        <f>IF(COUNT(B14:F14)=5,E14/SUM($B14:$F14),"")</f>
        <v/>
      </c>
      <c r="L157" s="27">
        <f>IF(COUNT(B14:F14)=5,F14/SUM($B14:$F14),"")</f>
        <v/>
      </c>
    </row>
    <row r="158">
      <c r="A158" t="inlineStr">
        <is>
          <t>Week1-Nov-2025</t>
        </is>
      </c>
      <c r="B158" s="27">
        <f>IF(OR(SUM($B15:$F15)=0,B15=""),"",B15/SUM($B15:$F15))</f>
        <v/>
      </c>
      <c r="C158" s="27">
        <f>IF(OR(SUM($B15:$F15)=0,C15=""),"",C15/SUM($B15:$F15))</f>
        <v/>
      </c>
      <c r="D158" s="27">
        <f>IF(OR(SUM($B15:$F15)=0,D15=""),"",D15/SUM($B15:$F15))</f>
        <v/>
      </c>
      <c r="E158" s="27">
        <f>IF(OR(SUM($B15:$F15)=0,E15=""),"",E15/SUM($B15:$F15))</f>
        <v/>
      </c>
      <c r="F158" s="27">
        <f>IF(OR(SUM($B15:$F15)=0,F15=""),"",F15/SUM($B15:$F15))</f>
        <v/>
      </c>
      <c r="H158" s="27">
        <f>IF(COUNT(B15:F15)=5,B15/SUM($B15:$F15),"")</f>
        <v/>
      </c>
      <c r="I158" s="27">
        <f>IF(COUNT(B15:F15)=5,C15/SUM($B15:$F15),"")</f>
        <v/>
      </c>
      <c r="J158" s="27">
        <f>IF(COUNT(B15:F15)=5,D15/SUM($B15:$F15),"")</f>
        <v/>
      </c>
      <c r="K158" s="27">
        <f>IF(COUNT(B15:F15)=5,E15/SUM($B15:$F15),"")</f>
        <v/>
      </c>
      <c r="L158" s="27">
        <f>IF(COUNT(B15:F15)=5,F15/SUM($B15:$F15),"")</f>
        <v/>
      </c>
    </row>
    <row r="159">
      <c r="A159" t="inlineStr">
        <is>
          <t>Week2-Nov-2025</t>
        </is>
      </c>
      <c r="B159" s="27">
        <f>IF(OR(SUM($B16:$F16)=0,B16=""),"",B16/SUM($B16:$F16))</f>
        <v/>
      </c>
      <c r="C159" s="27">
        <f>IF(OR(SUM($B16:$F16)=0,C16=""),"",C16/SUM($B16:$F16))</f>
        <v/>
      </c>
      <c r="D159" s="27">
        <f>IF(OR(SUM($B16:$F16)=0,D16=""),"",D16/SUM($B16:$F16))</f>
        <v/>
      </c>
      <c r="E159" s="27">
        <f>IF(OR(SUM($B16:$F16)=0,E16=""),"",E16/SUM($B16:$F16))</f>
        <v/>
      </c>
      <c r="F159" s="27">
        <f>IF(OR(SUM($B16:$F16)=0,F16=""),"",F16/SUM($B16:$F16))</f>
        <v/>
      </c>
      <c r="H159" s="27">
        <f>IF(COUNT(B16:F16)=5,B16/SUM($B16:$F16),"")</f>
        <v/>
      </c>
      <c r="I159" s="27">
        <f>IF(COUNT(B16:F16)=5,C16/SUM($B16:$F16),"")</f>
        <v/>
      </c>
      <c r="J159" s="27">
        <f>IF(COUNT(B16:F16)=5,D16/SUM($B16:$F16),"")</f>
        <v/>
      </c>
      <c r="K159" s="27">
        <f>IF(COUNT(B16:F16)=5,E16/SUM($B16:$F16),"")</f>
        <v/>
      </c>
      <c r="L159" s="27">
        <f>IF(COUNT(B16:F16)=5,F16/SUM($B16:$F16),"")</f>
        <v/>
      </c>
    </row>
    <row r="160">
      <c r="A160" t="inlineStr">
        <is>
          <t>Week3-Nov-2025</t>
        </is>
      </c>
      <c r="B160" s="27">
        <f>IF(OR(SUM($B17:$F17)=0,B17=""),"",B17/SUM($B17:$F17))</f>
        <v/>
      </c>
      <c r="C160" s="27">
        <f>IF(OR(SUM($B17:$F17)=0,C17=""),"",C17/SUM($B17:$F17))</f>
        <v/>
      </c>
      <c r="D160" s="27">
        <f>IF(OR(SUM($B17:$F17)=0,D17=""),"",D17/SUM($B17:$F17))</f>
        <v/>
      </c>
      <c r="E160" s="27">
        <f>IF(OR(SUM($B17:$F17)=0,E17=""),"",E17/SUM($B17:$F17))</f>
        <v/>
      </c>
      <c r="F160" s="27">
        <f>IF(OR(SUM($B17:$F17)=0,F17=""),"",F17/SUM($B17:$F17))</f>
        <v/>
      </c>
      <c r="H160" s="27">
        <f>IF(COUNT(B17:F17)=5,B17/SUM($B17:$F17),"")</f>
        <v/>
      </c>
      <c r="I160" s="27">
        <f>IF(COUNT(B17:F17)=5,C17/SUM($B17:$F17),"")</f>
        <v/>
      </c>
      <c r="J160" s="27">
        <f>IF(COUNT(B17:F17)=5,D17/SUM($B17:$F17),"")</f>
        <v/>
      </c>
      <c r="K160" s="27">
        <f>IF(COUNT(B17:F17)=5,E17/SUM($B17:$F17),"")</f>
        <v/>
      </c>
      <c r="L160" s="27">
        <f>IF(COUNT(B17:F17)=5,F17/SUM($B17:$F17),"")</f>
        <v/>
      </c>
    </row>
    <row r="161">
      <c r="A161" t="inlineStr">
        <is>
          <t>Week4-Nov-2025</t>
        </is>
      </c>
      <c r="B161" s="27">
        <f>IF(OR(SUM($B18:$F18)=0,B18=""),"",B18/SUM($B18:$F18))</f>
        <v/>
      </c>
      <c r="C161" s="27">
        <f>IF(OR(SUM($B18:$F18)=0,C18=""),"",C18/SUM($B18:$F18))</f>
        <v/>
      </c>
      <c r="D161" s="27">
        <f>IF(OR(SUM($B18:$F18)=0,D18=""),"",D18/SUM($B18:$F18))</f>
        <v/>
      </c>
      <c r="E161" s="27">
        <f>IF(OR(SUM($B18:$F18)=0,E18=""),"",E18/SUM($B18:$F18))</f>
        <v/>
      </c>
      <c r="F161" s="27">
        <f>IF(OR(SUM($B18:$F18)=0,F18=""),"",F18/SUM($B18:$F18))</f>
        <v/>
      </c>
      <c r="H161" s="27">
        <f>IF(COUNT(B18:F18)=5,B18/SUM($B18:$F18),"")</f>
        <v/>
      </c>
      <c r="I161" s="27">
        <f>IF(COUNT(B18:F18)=5,C18/SUM($B18:$F18),"")</f>
        <v/>
      </c>
      <c r="J161" s="27">
        <f>IF(COUNT(B18:F18)=5,D18/SUM($B18:$F18),"")</f>
        <v/>
      </c>
      <c r="K161" s="27">
        <f>IF(COUNT(B18:F18)=5,E18/SUM($B18:$F18),"")</f>
        <v/>
      </c>
      <c r="L161" s="27">
        <f>IF(COUNT(B18:F18)=5,F18/SUM($B18:$F18),"")</f>
        <v/>
      </c>
    </row>
    <row r="162">
      <c r="A162" t="inlineStr">
        <is>
          <t>Week5-Nov-2025</t>
        </is>
      </c>
      <c r="B162" s="27">
        <f>IF(OR(SUM($B19:$F19)=0,B19=""),"",B19/SUM($B19:$F19))</f>
        <v/>
      </c>
      <c r="C162" s="27">
        <f>IF(OR(SUM($B19:$F19)=0,C19=""),"",C19/SUM($B19:$F19))</f>
        <v/>
      </c>
      <c r="D162" s="27">
        <f>IF(OR(SUM($B19:$F19)=0,D19=""),"",D19/SUM($B19:$F19))</f>
        <v/>
      </c>
      <c r="E162" s="27">
        <f>IF(OR(SUM($B19:$F19)=0,E19=""),"",E19/SUM($B19:$F19))</f>
        <v/>
      </c>
      <c r="F162" s="27">
        <f>IF(OR(SUM($B19:$F19)=0,F19=""),"",F19/SUM($B19:$F19))</f>
        <v/>
      </c>
      <c r="H162" s="27">
        <f>IF(COUNT(B19:F19)=5,B19/SUM($B19:$F19),"")</f>
        <v/>
      </c>
      <c r="I162" s="27">
        <f>IF(COUNT(B19:F19)=5,C19/SUM($B19:$F19),"")</f>
        <v/>
      </c>
      <c r="J162" s="27">
        <f>IF(COUNT(B19:F19)=5,D19/SUM($B19:$F19),"")</f>
        <v/>
      </c>
      <c r="K162" s="27">
        <f>IF(COUNT(B19:F19)=5,E19/SUM($B19:$F19),"")</f>
        <v/>
      </c>
      <c r="L162" s="27">
        <f>IF(COUNT(B19:F19)=5,F19/SUM($B19:$F19),"")</f>
        <v/>
      </c>
    </row>
    <row r="163">
      <c r="A163" t="inlineStr">
        <is>
          <t>Week1-Dec-2025</t>
        </is>
      </c>
      <c r="B163" s="27">
        <f>IF(OR(SUM($B20:$F20)=0,B20=""),"",B20/SUM($B20:$F20))</f>
        <v/>
      </c>
      <c r="C163" s="27">
        <f>IF(OR(SUM($B20:$F20)=0,C20=""),"",C20/SUM($B20:$F20))</f>
        <v/>
      </c>
      <c r="D163" s="27">
        <f>IF(OR(SUM($B20:$F20)=0,D20=""),"",D20/SUM($B20:$F20))</f>
        <v/>
      </c>
      <c r="E163" s="27">
        <f>IF(OR(SUM($B20:$F20)=0,E20=""),"",E20/SUM($B20:$F20))</f>
        <v/>
      </c>
      <c r="F163" s="27">
        <f>IF(OR(SUM($B20:$F20)=0,F20=""),"",F20/SUM($B20:$F20))</f>
        <v/>
      </c>
      <c r="H163" s="27">
        <f>IF(COUNT(B20:F20)=5,B20/SUM($B20:$F20),"")</f>
        <v/>
      </c>
      <c r="I163" s="27">
        <f>IF(COUNT(B20:F20)=5,C20/SUM($B20:$F20),"")</f>
        <v/>
      </c>
      <c r="J163" s="27">
        <f>IF(COUNT(B20:F20)=5,D20/SUM($B20:$F20),"")</f>
        <v/>
      </c>
      <c r="K163" s="27">
        <f>IF(COUNT(B20:F20)=5,E20/SUM($B20:$F20),"")</f>
        <v/>
      </c>
      <c r="L163" s="27">
        <f>IF(COUNT(B20:F20)=5,F20/SUM($B20:$F20),"")</f>
        <v/>
      </c>
    </row>
    <row r="164">
      <c r="A164" t="inlineStr">
        <is>
          <t>Week2-Dec-2025</t>
        </is>
      </c>
      <c r="B164" s="27">
        <f>IF(OR(SUM($B21:$F21)=0,B21=""),"",B21/SUM($B21:$F21))</f>
        <v/>
      </c>
      <c r="C164" s="27">
        <f>IF(OR(SUM($B21:$F21)=0,C21=""),"",C21/SUM($B21:$F21))</f>
        <v/>
      </c>
      <c r="D164" s="27">
        <f>IF(OR(SUM($B21:$F21)=0,D21=""),"",D21/SUM($B21:$F21))</f>
        <v/>
      </c>
      <c r="E164" s="27">
        <f>IF(OR(SUM($B21:$F21)=0,E21=""),"",E21/SUM($B21:$F21))</f>
        <v/>
      </c>
      <c r="F164" s="27">
        <f>IF(OR(SUM($B21:$F21)=0,F21=""),"",F21/SUM($B21:$F21))</f>
        <v/>
      </c>
      <c r="H164" s="27">
        <f>IF(COUNT(B21:F21)=5,B21/SUM($B21:$F21),"")</f>
        <v/>
      </c>
      <c r="I164" s="27">
        <f>IF(COUNT(B21:F21)=5,C21/SUM($B21:$F21),"")</f>
        <v/>
      </c>
      <c r="J164" s="27">
        <f>IF(COUNT(B21:F21)=5,D21/SUM($B21:$F21),"")</f>
        <v/>
      </c>
      <c r="K164" s="27">
        <f>IF(COUNT(B21:F21)=5,E21/SUM($B21:$F21),"")</f>
        <v/>
      </c>
      <c r="L164" s="27">
        <f>IF(COUNT(B21:F21)=5,F21/SUM($B21:$F21),"")</f>
        <v/>
      </c>
    </row>
    <row r="165">
      <c r="A165" t="inlineStr">
        <is>
          <t>Week3-Dec-2025</t>
        </is>
      </c>
      <c r="B165" s="27">
        <f>IF(OR(SUM($B22:$F22)=0,B22=""),"",B22/SUM($B22:$F22))</f>
        <v/>
      </c>
      <c r="C165" s="27">
        <f>IF(OR(SUM($B22:$F22)=0,C22=""),"",C22/SUM($B22:$F22))</f>
        <v/>
      </c>
      <c r="D165" s="27">
        <f>IF(OR(SUM($B22:$F22)=0,D22=""),"",D22/SUM($B22:$F22))</f>
        <v/>
      </c>
      <c r="E165" s="27">
        <f>IF(OR(SUM($B22:$F22)=0,E22=""),"",E22/SUM($B22:$F22))</f>
        <v/>
      </c>
      <c r="F165" s="27">
        <f>IF(OR(SUM($B22:$F22)=0,F22=""),"",F22/SUM($B22:$F22))</f>
        <v/>
      </c>
      <c r="H165" s="27">
        <f>IF(COUNT(B22:F22)=5,B22/SUM($B22:$F22),"")</f>
        <v/>
      </c>
      <c r="I165" s="27">
        <f>IF(COUNT(B22:F22)=5,C22/SUM($B22:$F22),"")</f>
        <v/>
      </c>
      <c r="J165" s="27">
        <f>IF(COUNT(B22:F22)=5,D22/SUM($B22:$F22),"")</f>
        <v/>
      </c>
      <c r="K165" s="27">
        <f>IF(COUNT(B22:F22)=5,E22/SUM($B22:$F22),"")</f>
        <v/>
      </c>
      <c r="L165" s="27">
        <f>IF(COUNT(B22:F22)=5,F22/SUM($B22:$F22),"")</f>
        <v/>
      </c>
    </row>
    <row r="166">
      <c r="A166" t="inlineStr">
        <is>
          <t>Week4-Dec-2025</t>
        </is>
      </c>
      <c r="B166" s="27">
        <f>IF(OR(SUM($B23:$F23)=0,B23=""),"",B23/SUM($B23:$F23))</f>
        <v/>
      </c>
      <c r="C166" s="27">
        <f>IF(OR(SUM($B23:$F23)=0,C23=""),"",C23/SUM($B23:$F23))</f>
        <v/>
      </c>
      <c r="D166" s="27">
        <f>IF(OR(SUM($B23:$F23)=0,D23=""),"",D23/SUM($B23:$F23))</f>
        <v/>
      </c>
      <c r="E166" s="27">
        <f>IF(OR(SUM($B23:$F23)=0,E23=""),"",E23/SUM($B23:$F23))</f>
        <v/>
      </c>
      <c r="F166" s="27">
        <f>IF(OR(SUM($B23:$F23)=0,F23=""),"",F23/SUM($B23:$F23))</f>
        <v/>
      </c>
      <c r="H166" s="27">
        <f>IF(COUNT(B23:F23)=5,B23/SUM($B23:$F23),"")</f>
        <v/>
      </c>
      <c r="I166" s="27">
        <f>IF(COUNT(B23:F23)=5,C23/SUM($B23:$F23),"")</f>
        <v/>
      </c>
      <c r="J166" s="27">
        <f>IF(COUNT(B23:F23)=5,D23/SUM($B23:$F23),"")</f>
        <v/>
      </c>
      <c r="K166" s="27">
        <f>IF(COUNT(B23:F23)=5,E23/SUM($B23:$F23),"")</f>
        <v/>
      </c>
      <c r="L166" s="27">
        <f>IF(COUNT(B23:F23)=5,F23/SUM($B23:$F23),"")</f>
        <v/>
      </c>
    </row>
    <row r="167">
      <c r="A167" t="inlineStr">
        <is>
          <t>Week5-Dec-2025</t>
        </is>
      </c>
      <c r="B167" s="27">
        <f>IF(OR(SUM($B24:$F24)=0,B24=""),"",B24/SUM($B24:$F24))</f>
        <v/>
      </c>
      <c r="C167" s="27">
        <f>IF(OR(SUM($B24:$F24)=0,C24=""),"",C24/SUM($B24:$F24))</f>
        <v/>
      </c>
      <c r="D167" s="27">
        <f>IF(OR(SUM($B24:$F24)=0,D24=""),"",D24/SUM($B24:$F24))</f>
        <v/>
      </c>
      <c r="E167" s="27">
        <f>IF(OR(SUM($B24:$F24)=0,E24=""),"",E24/SUM($B24:$F24))</f>
        <v/>
      </c>
      <c r="F167" s="27">
        <f>IF(OR(SUM($B24:$F24)=0,F24=""),"",F24/SUM($B24:$F24))</f>
        <v/>
      </c>
      <c r="H167" s="27">
        <f>IF(COUNT(B24:F24)=5,B24/SUM($B24:$F24),"")</f>
        <v/>
      </c>
      <c r="I167" s="27">
        <f>IF(COUNT(B24:F24)=5,C24/SUM($B24:$F24),"")</f>
        <v/>
      </c>
      <c r="J167" s="27">
        <f>IF(COUNT(B24:F24)=5,D24/SUM($B24:$F24),"")</f>
        <v/>
      </c>
      <c r="K167" s="27">
        <f>IF(COUNT(B24:F24)=5,E24/SUM($B24:$F24),"")</f>
        <v/>
      </c>
      <c r="L167" s="27">
        <f>IF(COUNT(B24:F24)=5,F24/SUM($B24:$F24),"")</f>
        <v/>
      </c>
    </row>
    <row r="168">
      <c r="A168" t="inlineStr">
        <is>
          <t>Week1-Jan-2026</t>
        </is>
      </c>
      <c r="B168" s="27">
        <f>IF(OR(SUM($B25:$F25)=0,B25=""),"",B25/SUM($B25:$F25))</f>
        <v/>
      </c>
      <c r="C168" s="27">
        <f>IF(OR(SUM($B25:$F25)=0,C25=""),"",C25/SUM($B25:$F25))</f>
        <v/>
      </c>
      <c r="D168" s="27">
        <f>IF(OR(SUM($B25:$F25)=0,D25=""),"",D25/SUM($B25:$F25))</f>
        <v/>
      </c>
      <c r="E168" s="27">
        <f>IF(OR(SUM($B25:$F25)=0,E25=""),"",E25/SUM($B25:$F25))</f>
        <v/>
      </c>
      <c r="F168" s="27">
        <f>IF(OR(SUM($B25:$F25)=0,F25=""),"",F25/SUM($B25:$F25))</f>
        <v/>
      </c>
      <c r="H168" s="27">
        <f>IF(COUNT(B25:F25)=5,B25/SUM($B25:$F25),"")</f>
        <v/>
      </c>
      <c r="I168" s="27">
        <f>IF(COUNT(B25:F25)=5,C25/SUM($B25:$F25),"")</f>
        <v/>
      </c>
      <c r="J168" s="27">
        <f>IF(COUNT(B25:F25)=5,D25/SUM($B25:$F25),"")</f>
        <v/>
      </c>
      <c r="K168" s="27">
        <f>IF(COUNT(B25:F25)=5,E25/SUM($B25:$F25),"")</f>
        <v/>
      </c>
      <c r="L168" s="27">
        <f>IF(COUNT(B25:F25)=5,F25/SUM($B25:$F25),"")</f>
        <v/>
      </c>
    </row>
    <row r="169">
      <c r="A169" t="inlineStr">
        <is>
          <t>Week2-Jan-2026</t>
        </is>
      </c>
      <c r="B169" s="27">
        <f>IF(OR(SUM($B26:$F26)=0,B26=""),"",B26/SUM($B26:$F26))</f>
        <v/>
      </c>
      <c r="C169" s="27">
        <f>IF(OR(SUM($B26:$F26)=0,C26=""),"",C26/SUM($B26:$F26))</f>
        <v/>
      </c>
      <c r="D169" s="27">
        <f>IF(OR(SUM($B26:$F26)=0,D26=""),"",D26/SUM($B26:$F26))</f>
        <v/>
      </c>
      <c r="E169" s="27">
        <f>IF(OR(SUM($B26:$F26)=0,E26=""),"",E26/SUM($B26:$F26))</f>
        <v/>
      </c>
      <c r="F169" s="27">
        <f>IF(OR(SUM($B26:$F26)=0,F26=""),"",F26/SUM($B26:$F26))</f>
        <v/>
      </c>
      <c r="H169" s="27">
        <f>IF(COUNT(B26:F26)=5,B26/SUM($B26:$F26),"")</f>
        <v/>
      </c>
      <c r="I169" s="27">
        <f>IF(COUNT(B26:F26)=5,C26/SUM($B26:$F26),"")</f>
        <v/>
      </c>
      <c r="J169" s="27">
        <f>IF(COUNT(B26:F26)=5,D26/SUM($B26:$F26),"")</f>
        <v/>
      </c>
      <c r="K169" s="27">
        <f>IF(COUNT(B26:F26)=5,E26/SUM($B26:$F26),"")</f>
        <v/>
      </c>
      <c r="L169" s="27">
        <f>IF(COUNT(B26:F26)=5,F26/SUM($B26:$F26),"")</f>
        <v/>
      </c>
    </row>
    <row r="170">
      <c r="A170" t="inlineStr">
        <is>
          <t>Week3-Jan-2026</t>
        </is>
      </c>
      <c r="B170" s="27">
        <f>IF(OR(SUM($B27:$F27)=0,B27=""),"",B27/SUM($B27:$F27))</f>
        <v/>
      </c>
      <c r="C170" s="27">
        <f>IF(OR(SUM($B27:$F27)=0,C27=""),"",C27/SUM($B27:$F27))</f>
        <v/>
      </c>
      <c r="D170" s="27">
        <f>IF(OR(SUM($B27:$F27)=0,D27=""),"",D27/SUM($B27:$F27))</f>
        <v/>
      </c>
      <c r="E170" s="27">
        <f>IF(OR(SUM($B27:$F27)=0,E27=""),"",E27/SUM($B27:$F27))</f>
        <v/>
      </c>
      <c r="F170" s="27">
        <f>IF(OR(SUM($B27:$F27)=0,F27=""),"",F27/SUM($B27:$F27))</f>
        <v/>
      </c>
      <c r="H170" s="27">
        <f>IF(COUNT(B27:F27)=5,B27/SUM($B27:$F27),"")</f>
        <v/>
      </c>
      <c r="I170" s="27">
        <f>IF(COUNT(B27:F27)=5,C27/SUM($B27:$F27),"")</f>
        <v/>
      </c>
      <c r="J170" s="27">
        <f>IF(COUNT(B27:F27)=5,D27/SUM($B27:$F27),"")</f>
        <v/>
      </c>
      <c r="K170" s="27">
        <f>IF(COUNT(B27:F27)=5,E27/SUM($B27:$F27),"")</f>
        <v/>
      </c>
      <c r="L170" s="27">
        <f>IF(COUNT(B27:F27)=5,F27/SUM($B27:$F27),"")</f>
        <v/>
      </c>
    </row>
    <row r="171">
      <c r="A171" t="inlineStr">
        <is>
          <t>Week4-Jan-2026</t>
        </is>
      </c>
      <c r="B171" s="27">
        <f>IF(OR(SUM($B28:$F28)=0,B28=""),"",B28/SUM($B28:$F28))</f>
        <v/>
      </c>
      <c r="C171" s="27">
        <f>IF(OR(SUM($B28:$F28)=0,C28=""),"",C28/SUM($B28:$F28))</f>
        <v/>
      </c>
      <c r="D171" s="27">
        <f>IF(OR(SUM($B28:$F28)=0,D28=""),"",D28/SUM($B28:$F28))</f>
        <v/>
      </c>
      <c r="E171" s="27">
        <f>IF(OR(SUM($B28:$F28)=0,E28=""),"",E28/SUM($B28:$F28))</f>
        <v/>
      </c>
      <c r="F171" s="27">
        <f>IF(OR(SUM($B28:$F28)=0,F28=""),"",F28/SUM($B28:$F28))</f>
        <v/>
      </c>
      <c r="H171" s="27">
        <f>IF(COUNT(B28:F28)=5,B28/SUM($B28:$F28),"")</f>
        <v/>
      </c>
      <c r="I171" s="27">
        <f>IF(COUNT(B28:F28)=5,C28/SUM($B28:$F28),"")</f>
        <v/>
      </c>
      <c r="J171" s="27">
        <f>IF(COUNT(B28:F28)=5,D28/SUM($B28:$F28),"")</f>
        <v/>
      </c>
      <c r="K171" s="27">
        <f>IF(COUNT(B28:F28)=5,E28/SUM($B28:$F28),"")</f>
        <v/>
      </c>
      <c r="L171" s="27">
        <f>IF(COUNT(B28:F28)=5,F28/SUM($B28:$F28),"")</f>
        <v/>
      </c>
    </row>
    <row r="172">
      <c r="A172" t="inlineStr">
        <is>
          <t>Week5-Jan-2026</t>
        </is>
      </c>
      <c r="B172" s="27">
        <f>IF(OR(SUM($B29:$F29)=0,B29=""),"",B29/SUM($B29:$F29))</f>
        <v/>
      </c>
      <c r="C172" s="27">
        <f>IF(OR(SUM($B29:$F29)=0,C29=""),"",C29/SUM($B29:$F29))</f>
        <v/>
      </c>
      <c r="D172" s="27">
        <f>IF(OR(SUM($B29:$F29)=0,D29=""),"",D29/SUM($B29:$F29))</f>
        <v/>
      </c>
      <c r="E172" s="27">
        <f>IF(OR(SUM($B29:$F29)=0,E29=""),"",E29/SUM($B29:$F29))</f>
        <v/>
      </c>
      <c r="F172" s="27">
        <f>IF(OR(SUM($B29:$F29)=0,F29=""),"",F29/SUM($B29:$F29))</f>
        <v/>
      </c>
      <c r="H172" s="27">
        <f>IF(COUNT(B29:F29)=5,B29/SUM($B29:$F29),"")</f>
        <v/>
      </c>
      <c r="I172" s="27">
        <f>IF(COUNT(B29:F29)=5,C29/SUM($B29:$F29),"")</f>
        <v/>
      </c>
      <c r="J172" s="27">
        <f>IF(COUNT(B29:F29)=5,D29/SUM($B29:$F29),"")</f>
        <v/>
      </c>
      <c r="K172" s="27">
        <f>IF(COUNT(B29:F29)=5,E29/SUM($B29:$F29),"")</f>
        <v/>
      </c>
      <c r="L172" s="27">
        <f>IF(COUNT(B29:F29)=5,F29/SUM($B29:$F29),"")</f>
        <v/>
      </c>
    </row>
    <row r="173">
      <c r="A173" t="inlineStr">
        <is>
          <t>Week1-Feb-2026</t>
        </is>
      </c>
      <c r="B173" s="27">
        <f>IF(OR(SUM($B30:$F30)=0,B30=""),"",B30/SUM($B30:$F30))</f>
        <v/>
      </c>
      <c r="C173" s="27">
        <f>IF(OR(SUM($B30:$F30)=0,C30=""),"",C30/SUM($B30:$F30))</f>
        <v/>
      </c>
      <c r="D173" s="27">
        <f>IF(OR(SUM($B30:$F30)=0,D30=""),"",D30/SUM($B30:$F30))</f>
        <v/>
      </c>
      <c r="E173" s="27">
        <f>IF(OR(SUM($B30:$F30)=0,E30=""),"",E30/SUM($B30:$F30))</f>
        <v/>
      </c>
      <c r="F173" s="27">
        <f>IF(OR(SUM($B30:$F30)=0,F30=""),"",F30/SUM($B30:$F30))</f>
        <v/>
      </c>
      <c r="H173" s="27">
        <f>IF(COUNT(B30:F30)=5,B30/SUM($B30:$F30),"")</f>
        <v/>
      </c>
      <c r="I173" s="27">
        <f>IF(COUNT(B30:F30)=5,C30/SUM($B30:$F30),"")</f>
        <v/>
      </c>
      <c r="J173" s="27">
        <f>IF(COUNT(B30:F30)=5,D30/SUM($B30:$F30),"")</f>
        <v/>
      </c>
      <c r="K173" s="27">
        <f>IF(COUNT(B30:F30)=5,E30/SUM($B30:$F30),"")</f>
        <v/>
      </c>
      <c r="L173" s="27">
        <f>IF(COUNT(B30:F30)=5,F30/SUM($B30:$F30),"")</f>
        <v/>
      </c>
    </row>
    <row r="174">
      <c r="A174" t="inlineStr">
        <is>
          <t>Week2-Feb-2026</t>
        </is>
      </c>
      <c r="B174" s="27">
        <f>IF(OR(SUM($B31:$F31)=0,B31=""),"",B31/SUM($B31:$F31))</f>
        <v/>
      </c>
      <c r="C174" s="27">
        <f>IF(OR(SUM($B31:$F31)=0,C31=""),"",C31/SUM($B31:$F31))</f>
        <v/>
      </c>
      <c r="D174" s="27">
        <f>IF(OR(SUM($B31:$F31)=0,D31=""),"",D31/SUM($B31:$F31))</f>
        <v/>
      </c>
      <c r="E174" s="27">
        <f>IF(OR(SUM($B31:$F31)=0,E31=""),"",E31/SUM($B31:$F31))</f>
        <v/>
      </c>
      <c r="F174" s="27">
        <f>IF(OR(SUM($B31:$F31)=0,F31=""),"",F31/SUM($B31:$F31))</f>
        <v/>
      </c>
      <c r="H174" s="27">
        <f>IF(COUNT(B31:F31)=5,B31/SUM($B31:$F31),"")</f>
        <v/>
      </c>
      <c r="I174" s="27">
        <f>IF(COUNT(B31:F31)=5,C31/SUM($B31:$F31),"")</f>
        <v/>
      </c>
      <c r="J174" s="27">
        <f>IF(COUNT(B31:F31)=5,D31/SUM($B31:$F31),"")</f>
        <v/>
      </c>
      <c r="K174" s="27">
        <f>IF(COUNT(B31:F31)=5,E31/SUM($B31:$F31),"")</f>
        <v/>
      </c>
      <c r="L174" s="27">
        <f>IF(COUNT(B31:F31)=5,F31/SUM($B31:$F31),"")</f>
        <v/>
      </c>
    </row>
    <row r="175">
      <c r="A175" t="inlineStr">
        <is>
          <t>Week3-Feb-2026</t>
        </is>
      </c>
      <c r="B175" s="27">
        <f>IF(OR(SUM($B32:$F32)=0,B32=""),"",B32/SUM($B32:$F32))</f>
        <v/>
      </c>
      <c r="C175" s="27">
        <f>IF(OR(SUM($B32:$F32)=0,C32=""),"",C32/SUM($B32:$F32))</f>
        <v/>
      </c>
      <c r="D175" s="27">
        <f>IF(OR(SUM($B32:$F32)=0,D32=""),"",D32/SUM($B32:$F32))</f>
        <v/>
      </c>
      <c r="E175" s="27">
        <f>IF(OR(SUM($B32:$F32)=0,E32=""),"",E32/SUM($B32:$F32))</f>
        <v/>
      </c>
      <c r="F175" s="27">
        <f>IF(OR(SUM($B32:$F32)=0,F32=""),"",F32/SUM($B32:$F32))</f>
        <v/>
      </c>
      <c r="H175" s="27">
        <f>IF(COUNT(B32:F32)=5,B32/SUM($B32:$F32),"")</f>
        <v/>
      </c>
      <c r="I175" s="27">
        <f>IF(COUNT(B32:F32)=5,C32/SUM($B32:$F32),"")</f>
        <v/>
      </c>
      <c r="J175" s="27">
        <f>IF(COUNT(B32:F32)=5,D32/SUM($B32:$F32),"")</f>
        <v/>
      </c>
      <c r="K175" s="27">
        <f>IF(COUNT(B32:F32)=5,E32/SUM($B32:$F32),"")</f>
        <v/>
      </c>
      <c r="L175" s="27">
        <f>IF(COUNT(B32:F32)=5,F32/SUM($B32:$F32),"")</f>
        <v/>
      </c>
    </row>
    <row r="176">
      <c r="A176" t="inlineStr">
        <is>
          <t>Week4-Feb-2026</t>
        </is>
      </c>
      <c r="B176" s="27">
        <f>IF(OR(SUM($B33:$F33)=0,B33=""),"",B33/SUM($B33:$F33))</f>
        <v/>
      </c>
      <c r="C176" s="27">
        <f>IF(OR(SUM($B33:$F33)=0,C33=""),"",C33/SUM($B33:$F33))</f>
        <v/>
      </c>
      <c r="D176" s="27">
        <f>IF(OR(SUM($B33:$F33)=0,D33=""),"",D33/SUM($B33:$F33))</f>
        <v/>
      </c>
      <c r="E176" s="27">
        <f>IF(OR(SUM($B33:$F33)=0,E33=""),"",E33/SUM($B33:$F33))</f>
        <v/>
      </c>
      <c r="F176" s="27">
        <f>IF(OR(SUM($B33:$F33)=0,F33=""),"",F33/SUM($B33:$F33))</f>
        <v/>
      </c>
      <c r="H176" s="27">
        <f>IF(COUNT(B33:F33)=5,B33/SUM($B33:$F33),"")</f>
        <v/>
      </c>
      <c r="I176" s="27">
        <f>IF(COUNT(B33:F33)=5,C33/SUM($B33:$F33),"")</f>
        <v/>
      </c>
      <c r="J176" s="27">
        <f>IF(COUNT(B33:F33)=5,D33/SUM($B33:$F33),"")</f>
        <v/>
      </c>
      <c r="K176" s="27">
        <f>IF(COUNT(B33:F33)=5,E33/SUM($B33:$F33),"")</f>
        <v/>
      </c>
      <c r="L176" s="27">
        <f>IF(COUNT(B33:F33)=5,F33/SUM($B33:$F33),"")</f>
        <v/>
      </c>
    </row>
    <row r="177">
      <c r="A177" t="inlineStr">
        <is>
          <t>Week1-Mar-2026</t>
        </is>
      </c>
      <c r="B177" s="27">
        <f>IF(OR(SUM($B34:$F34)=0,B34=""),"",B34/SUM($B34:$F34))</f>
        <v/>
      </c>
      <c r="C177" s="27">
        <f>IF(OR(SUM($B34:$F34)=0,C34=""),"",C34/SUM($B34:$F34))</f>
        <v/>
      </c>
      <c r="D177" s="27">
        <f>IF(OR(SUM($B34:$F34)=0,D34=""),"",D34/SUM($B34:$F34))</f>
        <v/>
      </c>
      <c r="E177" s="27">
        <f>IF(OR(SUM($B34:$F34)=0,E34=""),"",E34/SUM($B34:$F34))</f>
        <v/>
      </c>
      <c r="F177" s="27">
        <f>IF(OR(SUM($B34:$F34)=0,F34=""),"",F34/SUM($B34:$F34))</f>
        <v/>
      </c>
      <c r="H177" s="27">
        <f>IF(COUNT(B34:F34)=5,B34/SUM($B34:$F34),"")</f>
        <v/>
      </c>
      <c r="I177" s="27">
        <f>IF(COUNT(B34:F34)=5,C34/SUM($B34:$F34),"")</f>
        <v/>
      </c>
      <c r="J177" s="27">
        <f>IF(COUNT(B34:F34)=5,D34/SUM($B34:$F34),"")</f>
        <v/>
      </c>
      <c r="K177" s="27">
        <f>IF(COUNT(B34:F34)=5,E34/SUM($B34:$F34),"")</f>
        <v/>
      </c>
      <c r="L177" s="27">
        <f>IF(COUNT(B34:F34)=5,F34/SUM($B34:$F34),"")</f>
        <v/>
      </c>
    </row>
    <row r="178">
      <c r="A178" t="inlineStr">
        <is>
          <t>Week2-Mar-2026</t>
        </is>
      </c>
      <c r="B178" s="27">
        <f>IF(OR(SUM($B35:$F35)=0,B35=""),"",B35/SUM($B35:$F35))</f>
        <v/>
      </c>
      <c r="C178" s="27">
        <f>IF(OR(SUM($B35:$F35)=0,C35=""),"",C35/SUM($B35:$F35))</f>
        <v/>
      </c>
      <c r="D178" s="27">
        <f>IF(OR(SUM($B35:$F35)=0,D35=""),"",D35/SUM($B35:$F35))</f>
        <v/>
      </c>
      <c r="E178" s="27">
        <f>IF(OR(SUM($B35:$F35)=0,E35=""),"",E35/SUM($B35:$F35))</f>
        <v/>
      </c>
      <c r="F178" s="27">
        <f>IF(OR(SUM($B35:$F35)=0,F35=""),"",F35/SUM($B35:$F35))</f>
        <v/>
      </c>
      <c r="H178" s="27">
        <f>IF(COUNT(B35:F35)=5,B35/SUM($B35:$F35),"")</f>
        <v/>
      </c>
      <c r="I178" s="27">
        <f>IF(COUNT(B35:F35)=5,C35/SUM($B35:$F35),"")</f>
        <v/>
      </c>
      <c r="J178" s="27">
        <f>IF(COUNT(B35:F35)=5,D35/SUM($B35:$F35),"")</f>
        <v/>
      </c>
      <c r="K178" s="27">
        <f>IF(COUNT(B35:F35)=5,E35/SUM($B35:$F35),"")</f>
        <v/>
      </c>
      <c r="L178" s="27">
        <f>IF(COUNT(B35:F35)=5,F35/SUM($B35:$F35),"")</f>
        <v/>
      </c>
    </row>
    <row r="179">
      <c r="A179" t="inlineStr">
        <is>
          <t>Week3-Mar-2026</t>
        </is>
      </c>
      <c r="B179" s="27">
        <f>IF(OR(SUM($B36:$F36)=0,B36=""),"",B36/SUM($B36:$F36))</f>
        <v/>
      </c>
      <c r="C179" s="27">
        <f>IF(OR(SUM($B36:$F36)=0,C36=""),"",C36/SUM($B36:$F36))</f>
        <v/>
      </c>
      <c r="D179" s="27">
        <f>IF(OR(SUM($B36:$F36)=0,D36=""),"",D36/SUM($B36:$F36))</f>
        <v/>
      </c>
      <c r="E179" s="27">
        <f>IF(OR(SUM($B36:$F36)=0,E36=""),"",E36/SUM($B36:$F36))</f>
        <v/>
      </c>
      <c r="F179" s="27">
        <f>IF(OR(SUM($B36:$F36)=0,F36=""),"",F36/SUM($B36:$F36))</f>
        <v/>
      </c>
      <c r="H179" s="27">
        <f>IF(COUNT(B36:F36)=5,B36/SUM($B36:$F36),"")</f>
        <v/>
      </c>
      <c r="I179" s="27">
        <f>IF(COUNT(B36:F36)=5,C36/SUM($B36:$F36),"")</f>
        <v/>
      </c>
      <c r="J179" s="27">
        <f>IF(COUNT(B36:F36)=5,D36/SUM($B36:$F36),"")</f>
        <v/>
      </c>
      <c r="K179" s="27">
        <f>IF(COUNT(B36:F36)=5,E36/SUM($B36:$F36),"")</f>
        <v/>
      </c>
      <c r="L179" s="27">
        <f>IF(COUNT(B36:F36)=5,F36/SUM($B36:$F36),"")</f>
        <v/>
      </c>
    </row>
    <row r="180">
      <c r="A180" t="inlineStr">
        <is>
          <t>Week4-Mar-2026</t>
        </is>
      </c>
      <c r="B180" s="27">
        <f>IF(OR(SUM($B37:$F37)=0,B37=""),"",B37/SUM($B37:$F37))</f>
        <v/>
      </c>
      <c r="C180" s="27">
        <f>IF(OR(SUM($B37:$F37)=0,C37=""),"",C37/SUM($B37:$F37))</f>
        <v/>
      </c>
      <c r="D180" s="27">
        <f>IF(OR(SUM($B37:$F37)=0,D37=""),"",D37/SUM($B37:$F37))</f>
        <v/>
      </c>
      <c r="E180" s="27">
        <f>IF(OR(SUM($B37:$F37)=0,E37=""),"",E37/SUM($B37:$F37))</f>
        <v/>
      </c>
      <c r="F180" s="27">
        <f>IF(OR(SUM($B37:$F37)=0,F37=""),"",F37/SUM($B37:$F37))</f>
        <v/>
      </c>
      <c r="H180" s="27">
        <f>IF(COUNT(B37:F37)=5,B37/SUM($B37:$F37),"")</f>
        <v/>
      </c>
      <c r="I180" s="27">
        <f>IF(COUNT(B37:F37)=5,C37/SUM($B37:$F37),"")</f>
        <v/>
      </c>
      <c r="J180" s="27">
        <f>IF(COUNT(B37:F37)=5,D37/SUM($B37:$F37),"")</f>
        <v/>
      </c>
      <c r="K180" s="27">
        <f>IF(COUNT(B37:F37)=5,E37/SUM($B37:$F37),"")</f>
        <v/>
      </c>
      <c r="L180" s="27">
        <f>IF(COUNT(B37:F37)=5,F37/SUM($B37:$F37),"")</f>
        <v/>
      </c>
    </row>
    <row r="181">
      <c r="A181" t="inlineStr">
        <is>
          <t>Week5-Mar-2026</t>
        </is>
      </c>
      <c r="B181" s="27">
        <f>IF(OR(SUM($B38:$F38)=0,B38=""),"",B38/SUM($B38:$F38))</f>
        <v/>
      </c>
      <c r="C181" s="27">
        <f>IF(OR(SUM($B38:$F38)=0,C38=""),"",C38/SUM($B38:$F38))</f>
        <v/>
      </c>
      <c r="D181" s="27">
        <f>IF(OR(SUM($B38:$F38)=0,D38=""),"",D38/SUM($B38:$F38))</f>
        <v/>
      </c>
      <c r="E181" s="27">
        <f>IF(OR(SUM($B38:$F38)=0,E38=""),"",E38/SUM($B38:$F38))</f>
        <v/>
      </c>
      <c r="F181" s="27">
        <f>IF(OR(SUM($B38:$F38)=0,F38=""),"",F38/SUM($B38:$F38))</f>
        <v/>
      </c>
      <c r="H181" s="27">
        <f>IF(COUNT(B38:F38)=5,B38/SUM($B38:$F38),"")</f>
        <v/>
      </c>
      <c r="I181" s="27">
        <f>IF(COUNT(B38:F38)=5,C38/SUM($B38:$F38),"")</f>
        <v/>
      </c>
      <c r="J181" s="27">
        <f>IF(COUNT(B38:F38)=5,D38/SUM($B38:$F38),"")</f>
        <v/>
      </c>
      <c r="K181" s="27">
        <f>IF(COUNT(B38:F38)=5,E38/SUM($B38:$F38),"")</f>
        <v/>
      </c>
      <c r="L181" s="27">
        <f>IF(COUNT(B38:F38)=5,F38/SUM($B38:$F38),"")</f>
        <v/>
      </c>
    </row>
    <row r="182">
      <c r="A182" t="inlineStr">
        <is>
          <t>Week1-Apr-2026</t>
        </is>
      </c>
      <c r="B182" s="27">
        <f>IF(OR(SUM($B39:$F39)=0,B39=""),"",B39/SUM($B39:$F39))</f>
        <v/>
      </c>
      <c r="C182" s="27">
        <f>IF(OR(SUM($B39:$F39)=0,C39=""),"",C39/SUM($B39:$F39))</f>
        <v/>
      </c>
      <c r="D182" s="27">
        <f>IF(OR(SUM($B39:$F39)=0,D39=""),"",D39/SUM($B39:$F39))</f>
        <v/>
      </c>
      <c r="E182" s="27">
        <f>IF(OR(SUM($B39:$F39)=0,E39=""),"",E39/SUM($B39:$F39))</f>
        <v/>
      </c>
      <c r="F182" s="27">
        <f>IF(OR(SUM($B39:$F39)=0,F39=""),"",F39/SUM($B39:$F39))</f>
        <v/>
      </c>
      <c r="H182" s="27">
        <f>IF(COUNT(B39:F39)=5,B39/SUM($B39:$F39),"")</f>
        <v/>
      </c>
      <c r="I182" s="27">
        <f>IF(COUNT(B39:F39)=5,C39/SUM($B39:$F39),"")</f>
        <v/>
      </c>
      <c r="J182" s="27">
        <f>IF(COUNT(B39:F39)=5,D39/SUM($B39:$F39),"")</f>
        <v/>
      </c>
      <c r="K182" s="27">
        <f>IF(COUNT(B39:F39)=5,E39/SUM($B39:$F39),"")</f>
        <v/>
      </c>
      <c r="L182" s="27">
        <f>IF(COUNT(B39:F39)=5,F39/SUM($B39:$F39),"")</f>
        <v/>
      </c>
    </row>
    <row r="183">
      <c r="A183" t="inlineStr">
        <is>
          <t>Week2-Apr-2026</t>
        </is>
      </c>
      <c r="B183" s="27">
        <f>IF(OR(SUM($B40:$F40)=0,B40=""),"",B40/SUM($B40:$F40))</f>
        <v/>
      </c>
      <c r="C183" s="27">
        <f>IF(OR(SUM($B40:$F40)=0,C40=""),"",C40/SUM($B40:$F40))</f>
        <v/>
      </c>
      <c r="D183" s="27">
        <f>IF(OR(SUM($B40:$F40)=0,D40=""),"",D40/SUM($B40:$F40))</f>
        <v/>
      </c>
      <c r="E183" s="27">
        <f>IF(OR(SUM($B40:$F40)=0,E40=""),"",E40/SUM($B40:$F40))</f>
        <v/>
      </c>
      <c r="F183" s="27">
        <f>IF(OR(SUM($B40:$F40)=0,F40=""),"",F40/SUM($B40:$F40))</f>
        <v/>
      </c>
      <c r="H183" s="27">
        <f>IF(COUNT(B40:F40)=5,B40/SUM($B40:$F40),"")</f>
        <v/>
      </c>
      <c r="I183" s="27">
        <f>IF(COUNT(B40:F40)=5,C40/SUM($B40:$F40),"")</f>
        <v/>
      </c>
      <c r="J183" s="27">
        <f>IF(COUNT(B40:F40)=5,D40/SUM($B40:$F40),"")</f>
        <v/>
      </c>
      <c r="K183" s="27">
        <f>IF(COUNT(B40:F40)=5,E40/SUM($B40:$F40),"")</f>
        <v/>
      </c>
      <c r="L183" s="27">
        <f>IF(COUNT(B40:F40)=5,F40/SUM($B40:$F40),"")</f>
        <v/>
      </c>
    </row>
    <row r="184">
      <c r="A184" t="inlineStr">
        <is>
          <t>Week3-Apr-2026</t>
        </is>
      </c>
      <c r="B184" s="27">
        <f>IF(OR(SUM($B41:$F41)=0,B41=""),"",B41/SUM($B41:$F41))</f>
        <v/>
      </c>
      <c r="C184" s="27">
        <f>IF(OR(SUM($B41:$F41)=0,C41=""),"",C41/SUM($B41:$F41))</f>
        <v/>
      </c>
      <c r="D184" s="27">
        <f>IF(OR(SUM($B41:$F41)=0,D41=""),"",D41/SUM($B41:$F41))</f>
        <v/>
      </c>
      <c r="E184" s="27">
        <f>IF(OR(SUM($B41:$F41)=0,E41=""),"",E41/SUM($B41:$F41))</f>
        <v/>
      </c>
      <c r="F184" s="27">
        <f>IF(OR(SUM($B41:$F41)=0,F41=""),"",F41/SUM($B41:$F41))</f>
        <v/>
      </c>
      <c r="H184" s="27">
        <f>IF(COUNT(B41:F41)=5,B41/SUM($B41:$F41),"")</f>
        <v/>
      </c>
      <c r="I184" s="27">
        <f>IF(COUNT(B41:F41)=5,C41/SUM($B41:$F41),"")</f>
        <v/>
      </c>
      <c r="J184" s="27">
        <f>IF(COUNT(B41:F41)=5,D41/SUM($B41:$F41),"")</f>
        <v/>
      </c>
      <c r="K184" s="27">
        <f>IF(COUNT(B41:F41)=5,E41/SUM($B41:$F41),"")</f>
        <v/>
      </c>
      <c r="L184" s="27">
        <f>IF(COUNT(B41:F41)=5,F41/SUM($B41:$F41),"")</f>
        <v/>
      </c>
    </row>
    <row r="185">
      <c r="A185" t="inlineStr">
        <is>
          <t>Week4-Apr-2026</t>
        </is>
      </c>
      <c r="B185" s="27">
        <f>IF(OR(SUM($B42:$F42)=0,B42=""),"",B42/SUM($B42:$F42))</f>
        <v/>
      </c>
      <c r="C185" s="27">
        <f>IF(OR(SUM($B42:$F42)=0,C42=""),"",C42/SUM($B42:$F42))</f>
        <v/>
      </c>
      <c r="D185" s="27">
        <f>IF(OR(SUM($B42:$F42)=0,D42=""),"",D42/SUM($B42:$F42))</f>
        <v/>
      </c>
      <c r="E185" s="27">
        <f>IF(OR(SUM($B42:$F42)=0,E42=""),"",E42/SUM($B42:$F42))</f>
        <v/>
      </c>
      <c r="F185" s="27">
        <f>IF(OR(SUM($B42:$F42)=0,F42=""),"",F42/SUM($B42:$F42))</f>
        <v/>
      </c>
      <c r="H185" s="27">
        <f>IF(COUNT(B42:F42)=5,B42/SUM($B42:$F42),"")</f>
        <v/>
      </c>
      <c r="I185" s="27">
        <f>IF(COUNT(B42:F42)=5,C42/SUM($B42:$F42),"")</f>
        <v/>
      </c>
      <c r="J185" s="27">
        <f>IF(COUNT(B42:F42)=5,D42/SUM($B42:$F42),"")</f>
        <v/>
      </c>
      <c r="K185" s="27">
        <f>IF(COUNT(B42:F42)=5,E42/SUM($B42:$F42),"")</f>
        <v/>
      </c>
      <c r="L185" s="27">
        <f>IF(COUNT(B42:F42)=5,F42/SUM($B42:$F42),"")</f>
        <v/>
      </c>
    </row>
    <row r="186">
      <c r="A186" t="inlineStr">
        <is>
          <t>Week5-Apr-2026</t>
        </is>
      </c>
      <c r="B186" s="27">
        <f>IF(OR(SUM($B43:$F43)=0,B43=""),"",B43/SUM($B43:$F43))</f>
        <v/>
      </c>
      <c r="C186" s="27">
        <f>IF(OR(SUM($B43:$F43)=0,C43=""),"",C43/SUM($B43:$F43))</f>
        <v/>
      </c>
      <c r="D186" s="27">
        <f>IF(OR(SUM($B43:$F43)=0,D43=""),"",D43/SUM($B43:$F43))</f>
        <v/>
      </c>
      <c r="E186" s="27">
        <f>IF(OR(SUM($B43:$F43)=0,E43=""),"",E43/SUM($B43:$F43))</f>
        <v/>
      </c>
      <c r="F186" s="27">
        <f>IF(OR(SUM($B43:$F43)=0,F43=""),"",F43/SUM($B43:$F43))</f>
        <v/>
      </c>
      <c r="H186" s="27">
        <f>IF(COUNT(B43:F43)=5,B43/SUM($B43:$F43),"")</f>
        <v/>
      </c>
      <c r="I186" s="27">
        <f>IF(COUNT(B43:F43)=5,C43/SUM($B43:$F43),"")</f>
        <v/>
      </c>
      <c r="J186" s="27">
        <f>IF(COUNT(B43:F43)=5,D43/SUM($B43:$F43),"")</f>
        <v/>
      </c>
      <c r="K186" s="27">
        <f>IF(COUNT(B43:F43)=5,E43/SUM($B43:$F43),"")</f>
        <v/>
      </c>
      <c r="L186" s="27">
        <f>IF(COUNT(B43:F43)=5,F43/SUM($B43:$F43),"")</f>
        <v/>
      </c>
    </row>
    <row r="187">
      <c r="A187" t="inlineStr">
        <is>
          <t>Week1-May-2026</t>
        </is>
      </c>
      <c r="B187" s="27">
        <f>IF(OR(SUM($B44:$F44)=0,B44=""),"",B44/SUM($B44:$F44))</f>
        <v/>
      </c>
      <c r="C187" s="27">
        <f>IF(OR(SUM($B44:$F44)=0,C44=""),"",C44/SUM($B44:$F44))</f>
        <v/>
      </c>
      <c r="D187" s="27">
        <f>IF(OR(SUM($B44:$F44)=0,D44=""),"",D44/SUM($B44:$F44))</f>
        <v/>
      </c>
      <c r="E187" s="27">
        <f>IF(OR(SUM($B44:$F44)=0,E44=""),"",E44/SUM($B44:$F44))</f>
        <v/>
      </c>
      <c r="F187" s="27">
        <f>IF(OR(SUM($B44:$F44)=0,F44=""),"",F44/SUM($B44:$F44))</f>
        <v/>
      </c>
      <c r="H187" s="27">
        <f>IF(COUNT(B44:F44)=5,B44/SUM($B44:$F44),"")</f>
        <v/>
      </c>
      <c r="I187" s="27">
        <f>IF(COUNT(B44:F44)=5,C44/SUM($B44:$F44),"")</f>
        <v/>
      </c>
      <c r="J187" s="27">
        <f>IF(COUNT(B44:F44)=5,D44/SUM($B44:$F44),"")</f>
        <v/>
      </c>
      <c r="K187" s="27">
        <f>IF(COUNT(B44:F44)=5,E44/SUM($B44:$F44),"")</f>
        <v/>
      </c>
      <c r="L187" s="27">
        <f>IF(COUNT(B44:F44)=5,F44/SUM($B44:$F44),"")</f>
        <v/>
      </c>
    </row>
    <row r="188">
      <c r="A188" t="inlineStr">
        <is>
          <t>Week2-May-2026</t>
        </is>
      </c>
      <c r="B188" s="27">
        <f>IF(OR(SUM($B45:$F45)=0,B45=""),"",B45/SUM($B45:$F45))</f>
        <v/>
      </c>
      <c r="C188" s="27">
        <f>IF(OR(SUM($B45:$F45)=0,C45=""),"",C45/SUM($B45:$F45))</f>
        <v/>
      </c>
      <c r="D188" s="27">
        <f>IF(OR(SUM($B45:$F45)=0,D45=""),"",D45/SUM($B45:$F45))</f>
        <v/>
      </c>
      <c r="E188" s="27">
        <f>IF(OR(SUM($B45:$F45)=0,E45=""),"",E45/SUM($B45:$F45))</f>
        <v/>
      </c>
      <c r="F188" s="27">
        <f>IF(OR(SUM($B45:$F45)=0,F45=""),"",F45/SUM($B45:$F45))</f>
        <v/>
      </c>
      <c r="H188" s="27">
        <f>IF(COUNT(B45:F45)=5,B45/SUM($B45:$F45),"")</f>
        <v/>
      </c>
      <c r="I188" s="27">
        <f>IF(COUNT(B45:F45)=5,C45/SUM($B45:$F45),"")</f>
        <v/>
      </c>
      <c r="J188" s="27">
        <f>IF(COUNT(B45:F45)=5,D45/SUM($B45:$F45),"")</f>
        <v/>
      </c>
      <c r="K188" s="27">
        <f>IF(COUNT(B45:F45)=5,E45/SUM($B45:$F45),"")</f>
        <v/>
      </c>
      <c r="L188" s="27">
        <f>IF(COUNT(B45:F45)=5,F45/SUM($B45:$F45),"")</f>
        <v/>
      </c>
    </row>
    <row r="189">
      <c r="A189" t="inlineStr">
        <is>
          <t>Week3-May-2026</t>
        </is>
      </c>
      <c r="B189" s="27">
        <f>IF(OR(SUM($B46:$F46)=0,B46=""),"",B46/SUM($B46:$F46))</f>
        <v/>
      </c>
      <c r="C189" s="27">
        <f>IF(OR(SUM($B46:$F46)=0,C46=""),"",C46/SUM($B46:$F46))</f>
        <v/>
      </c>
      <c r="D189" s="27">
        <f>IF(OR(SUM($B46:$F46)=0,D46=""),"",D46/SUM($B46:$F46))</f>
        <v/>
      </c>
      <c r="E189" s="27">
        <f>IF(OR(SUM($B46:$F46)=0,E46=""),"",E46/SUM($B46:$F46))</f>
        <v/>
      </c>
      <c r="F189" s="27">
        <f>IF(OR(SUM($B46:$F46)=0,F46=""),"",F46/SUM($B46:$F46))</f>
        <v/>
      </c>
      <c r="H189" s="27">
        <f>IF(COUNT(B46:F46)=5,B46/SUM($B46:$F46),"")</f>
        <v/>
      </c>
      <c r="I189" s="27">
        <f>IF(COUNT(B46:F46)=5,C46/SUM($B46:$F46),"")</f>
        <v/>
      </c>
      <c r="J189" s="27">
        <f>IF(COUNT(B46:F46)=5,D46/SUM($B46:$F46),"")</f>
        <v/>
      </c>
      <c r="K189" s="27">
        <f>IF(COUNT(B46:F46)=5,E46/SUM($B46:$F46),"")</f>
        <v/>
      </c>
      <c r="L189" s="27">
        <f>IF(COUNT(B46:F46)=5,F46/SUM($B46:$F46),"")</f>
        <v/>
      </c>
    </row>
    <row r="190">
      <c r="A190" t="inlineStr">
        <is>
          <t>Week4-May-2026</t>
        </is>
      </c>
      <c r="B190" s="27">
        <f>IF(OR(SUM($B47:$F47)=0,B47=""),"",B47/SUM($B47:$F47))</f>
        <v/>
      </c>
      <c r="C190" s="27">
        <f>IF(OR(SUM($B47:$F47)=0,C47=""),"",C47/SUM($B47:$F47))</f>
        <v/>
      </c>
      <c r="D190" s="27">
        <f>IF(OR(SUM($B47:$F47)=0,D47=""),"",D47/SUM($B47:$F47))</f>
        <v/>
      </c>
      <c r="E190" s="27">
        <f>IF(OR(SUM($B47:$F47)=0,E47=""),"",E47/SUM($B47:$F47))</f>
        <v/>
      </c>
      <c r="F190" s="27">
        <f>IF(OR(SUM($B47:$F47)=0,F47=""),"",F47/SUM($B47:$F47))</f>
        <v/>
      </c>
      <c r="H190" s="27">
        <f>IF(COUNT(B47:F47)=5,B47/SUM($B47:$F47),"")</f>
        <v/>
      </c>
      <c r="I190" s="27">
        <f>IF(COUNT(B47:F47)=5,C47/SUM($B47:$F47),"")</f>
        <v/>
      </c>
      <c r="J190" s="27">
        <f>IF(COUNT(B47:F47)=5,D47/SUM($B47:$F47),"")</f>
        <v/>
      </c>
      <c r="K190" s="27">
        <f>IF(COUNT(B47:F47)=5,E47/SUM($B47:$F47),"")</f>
        <v/>
      </c>
      <c r="L190" s="27">
        <f>IF(COUNT(B47:F47)=5,F47/SUM($B47:$F47),"")</f>
        <v/>
      </c>
    </row>
    <row r="191">
      <c r="A191" t="inlineStr">
        <is>
          <t>Week5-May-2026</t>
        </is>
      </c>
      <c r="B191" s="27">
        <f>IF(OR(SUM($B48:$F48)=0,B48=""),"",B48/SUM($B48:$F48))</f>
        <v/>
      </c>
      <c r="C191" s="27">
        <f>IF(OR(SUM($B48:$F48)=0,C48=""),"",C48/SUM($B48:$F48))</f>
        <v/>
      </c>
      <c r="D191" s="27">
        <f>IF(OR(SUM($B48:$F48)=0,D48=""),"",D48/SUM($B48:$F48))</f>
        <v/>
      </c>
      <c r="E191" s="27">
        <f>IF(OR(SUM($B48:$F48)=0,E48=""),"",E48/SUM($B48:$F48))</f>
        <v/>
      </c>
      <c r="F191" s="27">
        <f>IF(OR(SUM($B48:$F48)=0,F48=""),"",F48/SUM($B48:$F48))</f>
        <v/>
      </c>
      <c r="H191" s="27">
        <f>IF(COUNT(B48:F48)=5,B48/SUM($B48:$F48),"")</f>
        <v/>
      </c>
      <c r="I191" s="27">
        <f>IF(COUNT(B48:F48)=5,C48/SUM($B48:$F48),"")</f>
        <v/>
      </c>
      <c r="J191" s="27">
        <f>IF(COUNT(B48:F48)=5,D48/SUM($B48:$F48),"")</f>
        <v/>
      </c>
      <c r="K191" s="27">
        <f>IF(COUNT(B48:F48)=5,E48/SUM($B48:$F48),"")</f>
        <v/>
      </c>
      <c r="L191" s="27">
        <f>IF(COUNT(B48:F48)=5,F48/SUM($B48:$F48),"")</f>
        <v/>
      </c>
    </row>
    <row r="192">
      <c r="A192" t="inlineStr">
        <is>
          <t>Week1-Jun-2026</t>
        </is>
      </c>
      <c r="B192" s="27">
        <f>IF(OR(SUM($B49:$F49)=0,B49=""),"",B49/SUM($B49:$F49))</f>
        <v/>
      </c>
      <c r="C192" s="27">
        <f>IF(OR(SUM($B49:$F49)=0,C49=""),"",C49/SUM($B49:$F49))</f>
        <v/>
      </c>
      <c r="D192" s="27">
        <f>IF(OR(SUM($B49:$F49)=0,D49=""),"",D49/SUM($B49:$F49))</f>
        <v/>
      </c>
      <c r="E192" s="27">
        <f>IF(OR(SUM($B49:$F49)=0,E49=""),"",E49/SUM($B49:$F49))</f>
        <v/>
      </c>
      <c r="F192" s="27">
        <f>IF(OR(SUM($B49:$F49)=0,F49=""),"",F49/SUM($B49:$F49))</f>
        <v/>
      </c>
      <c r="H192" s="27">
        <f>IF(COUNT(B49:F49)=5,B49/SUM($B49:$F49),"")</f>
        <v/>
      </c>
      <c r="I192" s="27">
        <f>IF(COUNT(B49:F49)=5,C49/SUM($B49:$F49),"")</f>
        <v/>
      </c>
      <c r="J192" s="27">
        <f>IF(COUNT(B49:F49)=5,D49/SUM($B49:$F49),"")</f>
        <v/>
      </c>
      <c r="K192" s="27">
        <f>IF(COUNT(B49:F49)=5,E49/SUM($B49:$F49),"")</f>
        <v/>
      </c>
      <c r="L192" s="27">
        <f>IF(COUNT(B49:F49)=5,F49/SUM($B49:$F49),"")</f>
        <v/>
      </c>
    </row>
    <row r="193">
      <c r="A193" t="inlineStr">
        <is>
          <t>Week2-Jun-2026</t>
        </is>
      </c>
      <c r="B193" s="27">
        <f>IF(OR(SUM($B50:$F50)=0,B50=""),"",B50/SUM($B50:$F50))</f>
        <v/>
      </c>
      <c r="C193" s="27">
        <f>IF(OR(SUM($B50:$F50)=0,C50=""),"",C50/SUM($B50:$F50))</f>
        <v/>
      </c>
      <c r="D193" s="27">
        <f>IF(OR(SUM($B50:$F50)=0,D50=""),"",D50/SUM($B50:$F50))</f>
        <v/>
      </c>
      <c r="E193" s="27">
        <f>IF(OR(SUM($B50:$F50)=0,E50=""),"",E50/SUM($B50:$F50))</f>
        <v/>
      </c>
      <c r="F193" s="27">
        <f>IF(OR(SUM($B50:$F50)=0,F50=""),"",F50/SUM($B50:$F50))</f>
        <v/>
      </c>
      <c r="H193" s="27">
        <f>IF(COUNT(B50:F50)=5,B50/SUM($B50:$F50),"")</f>
        <v/>
      </c>
      <c r="I193" s="27">
        <f>IF(COUNT(B50:F50)=5,C50/SUM($B50:$F50),"")</f>
        <v/>
      </c>
      <c r="J193" s="27">
        <f>IF(COUNT(B50:F50)=5,D50/SUM($B50:$F50),"")</f>
        <v/>
      </c>
      <c r="K193" s="27">
        <f>IF(COUNT(B50:F50)=5,E50/SUM($B50:$F50),"")</f>
        <v/>
      </c>
      <c r="L193" s="27">
        <f>IF(COUNT(B50:F50)=5,F50/SUM($B50:$F50),"")</f>
        <v/>
      </c>
    </row>
    <row r="194">
      <c r="A194" t="inlineStr">
        <is>
          <t>Week3-Jun-2026</t>
        </is>
      </c>
      <c r="B194" s="27">
        <f>IF(OR(SUM($B51:$F51)=0,B51=""),"",B51/SUM($B51:$F51))</f>
        <v/>
      </c>
      <c r="C194" s="27">
        <f>IF(OR(SUM($B51:$F51)=0,C51=""),"",C51/SUM($B51:$F51))</f>
        <v/>
      </c>
      <c r="D194" s="27">
        <f>IF(OR(SUM($B51:$F51)=0,D51=""),"",D51/SUM($B51:$F51))</f>
        <v/>
      </c>
      <c r="E194" s="27">
        <f>IF(OR(SUM($B51:$F51)=0,E51=""),"",E51/SUM($B51:$F51))</f>
        <v/>
      </c>
      <c r="F194" s="27">
        <f>IF(OR(SUM($B51:$F51)=0,F51=""),"",F51/SUM($B51:$F51))</f>
        <v/>
      </c>
      <c r="H194" s="27">
        <f>IF(COUNT(B51:F51)=5,B51/SUM($B51:$F51),"")</f>
        <v/>
      </c>
      <c r="I194" s="27">
        <f>IF(COUNT(B51:F51)=5,C51/SUM($B51:$F51),"")</f>
        <v/>
      </c>
      <c r="J194" s="27">
        <f>IF(COUNT(B51:F51)=5,D51/SUM($B51:$F51),"")</f>
        <v/>
      </c>
      <c r="K194" s="27">
        <f>IF(COUNT(B51:F51)=5,E51/SUM($B51:$F51),"")</f>
        <v/>
      </c>
      <c r="L194" s="27">
        <f>IF(COUNT(B51:F51)=5,F51/SUM($B51:$F51),"")</f>
        <v/>
      </c>
    </row>
    <row r="195">
      <c r="A195" t="inlineStr">
        <is>
          <t>Week4-Jun-2026</t>
        </is>
      </c>
      <c r="B195" s="27">
        <f>IF(OR(SUM($B52:$F52)=0,B52=""),"",B52/SUM($B52:$F52))</f>
        <v/>
      </c>
      <c r="C195" s="27">
        <f>IF(OR(SUM($B52:$F52)=0,C52=""),"",C52/SUM($B52:$F52))</f>
        <v/>
      </c>
      <c r="D195" s="27">
        <f>IF(OR(SUM($B52:$F52)=0,D52=""),"",D52/SUM($B52:$F52))</f>
        <v/>
      </c>
      <c r="E195" s="27">
        <f>IF(OR(SUM($B52:$F52)=0,E52=""),"",E52/SUM($B52:$F52))</f>
        <v/>
      </c>
      <c r="F195" s="27">
        <f>IF(OR(SUM($B52:$F52)=0,F52=""),"",F52/SUM($B52:$F52))</f>
        <v/>
      </c>
      <c r="H195" s="27">
        <f>IF(COUNT(B52:F52)=5,B52/SUM($B52:$F52),"")</f>
        <v/>
      </c>
      <c r="I195" s="27">
        <f>IF(COUNT(B52:F52)=5,C52/SUM($B52:$F52),"")</f>
        <v/>
      </c>
      <c r="J195" s="27">
        <f>IF(COUNT(B52:F52)=5,D52/SUM($B52:$F52),"")</f>
        <v/>
      </c>
      <c r="K195" s="27">
        <f>IF(COUNT(B52:F52)=5,E52/SUM($B52:$F52),"")</f>
        <v/>
      </c>
      <c r="L195" s="27">
        <f>IF(COUNT(B52:F52)=5,F52/SUM($B52:$F52),"")</f>
        <v/>
      </c>
    </row>
    <row r="196">
      <c r="A196" t="inlineStr">
        <is>
          <t>Week5-Jun-2026</t>
        </is>
      </c>
      <c r="B196" s="27">
        <f>IF(OR(SUM($B53:$F53)=0,B53=""),"",B53/SUM($B53:$F53))</f>
        <v/>
      </c>
      <c r="C196" s="27">
        <f>IF(OR(SUM($B53:$F53)=0,C53=""),"",C53/SUM($B53:$F53))</f>
        <v/>
      </c>
      <c r="D196" s="27">
        <f>IF(OR(SUM($B53:$F53)=0,D53=""),"",D53/SUM($B53:$F53))</f>
        <v/>
      </c>
      <c r="E196" s="27">
        <f>IF(OR(SUM($B53:$F53)=0,E53=""),"",E53/SUM($B53:$F53))</f>
        <v/>
      </c>
      <c r="F196" s="27">
        <f>IF(OR(SUM($B53:$F53)=0,F53=""),"",F53/SUM($B53:$F53))</f>
        <v/>
      </c>
      <c r="H196" s="27">
        <f>IF(COUNT(B53:F53)=5,B53/SUM($B53:$F53),"")</f>
        <v/>
      </c>
      <c r="I196" s="27">
        <f>IF(COUNT(B53:F53)=5,C53/SUM($B53:$F53),"")</f>
        <v/>
      </c>
      <c r="J196" s="27">
        <f>IF(COUNT(B53:F53)=5,D53/SUM($B53:$F53),"")</f>
        <v/>
      </c>
      <c r="K196" s="27">
        <f>IF(COUNT(B53:F53)=5,E53/SUM($B53:$F53),"")</f>
        <v/>
      </c>
      <c r="L196" s="27">
        <f>IF(COUNT(B53:F53)=5,F53/SUM($B53:$F53),"")</f>
        <v/>
      </c>
    </row>
    <row r="197">
      <c r="A197" t="inlineStr">
        <is>
          <t>Week1-Jul-2026</t>
        </is>
      </c>
      <c r="B197" s="27">
        <f>IF(OR(SUM($B54:$F54)=0,B54=""),"",B54/SUM($B54:$F54))</f>
        <v/>
      </c>
      <c r="C197" s="27">
        <f>IF(OR(SUM($B54:$F54)=0,C54=""),"",C54/SUM($B54:$F54))</f>
        <v/>
      </c>
      <c r="D197" s="27">
        <f>IF(OR(SUM($B54:$F54)=0,D54=""),"",D54/SUM($B54:$F54))</f>
        <v/>
      </c>
      <c r="E197" s="27">
        <f>IF(OR(SUM($B54:$F54)=0,E54=""),"",E54/SUM($B54:$F54))</f>
        <v/>
      </c>
      <c r="F197" s="27">
        <f>IF(OR(SUM($B54:$F54)=0,F54=""),"",F54/SUM($B54:$F54))</f>
        <v/>
      </c>
      <c r="H197" s="27">
        <f>IF(COUNT(B54:F54)=5,B54/SUM($B54:$F54),"")</f>
        <v/>
      </c>
      <c r="I197" s="27">
        <f>IF(COUNT(B54:F54)=5,C54/SUM($B54:$F54),"")</f>
        <v/>
      </c>
      <c r="J197" s="27">
        <f>IF(COUNT(B54:F54)=5,D54/SUM($B54:$F54),"")</f>
        <v/>
      </c>
      <c r="K197" s="27">
        <f>IF(COUNT(B54:F54)=5,E54/SUM($B54:$F54),"")</f>
        <v/>
      </c>
      <c r="L197" s="27">
        <f>IF(COUNT(B54:F54)=5,F54/SUM($B54:$F54),"")</f>
        <v/>
      </c>
    </row>
    <row r="198">
      <c r="A198" t="inlineStr">
        <is>
          <t>Week2-Jul-2026</t>
        </is>
      </c>
      <c r="B198" s="27">
        <f>IF(OR(SUM($B55:$F55)=0,B55=""),"",B55/SUM($B55:$F55))</f>
        <v/>
      </c>
      <c r="C198" s="27">
        <f>IF(OR(SUM($B55:$F55)=0,C55=""),"",C55/SUM($B55:$F55))</f>
        <v/>
      </c>
      <c r="D198" s="27">
        <f>IF(OR(SUM($B55:$F55)=0,D55=""),"",D55/SUM($B55:$F55))</f>
        <v/>
      </c>
      <c r="E198" s="27">
        <f>IF(OR(SUM($B55:$F55)=0,E55=""),"",E55/SUM($B55:$F55))</f>
        <v/>
      </c>
      <c r="F198" s="27">
        <f>IF(OR(SUM($B55:$F55)=0,F55=""),"",F55/SUM($B55:$F55))</f>
        <v/>
      </c>
      <c r="H198" s="27">
        <f>IF(COUNT(B55:F55)=5,B55/SUM($B55:$F55),"")</f>
        <v/>
      </c>
      <c r="I198" s="27">
        <f>IF(COUNT(B55:F55)=5,C55/SUM($B55:$F55),"")</f>
        <v/>
      </c>
      <c r="J198" s="27">
        <f>IF(COUNT(B55:F55)=5,D55/SUM($B55:$F55),"")</f>
        <v/>
      </c>
      <c r="K198" s="27">
        <f>IF(COUNT(B55:F55)=5,E55/SUM($B55:$F55),"")</f>
        <v/>
      </c>
      <c r="L198" s="27">
        <f>IF(COUNT(B55:F55)=5,F55/SUM($B55:$F55),"")</f>
        <v/>
      </c>
    </row>
    <row r="199">
      <c r="A199" t="inlineStr">
        <is>
          <t>Week3-Jul-2026</t>
        </is>
      </c>
      <c r="B199" s="27">
        <f>IF(OR(SUM($B56:$F56)=0,B56=""),"",B56/SUM($B56:$F56))</f>
        <v/>
      </c>
      <c r="C199" s="27">
        <f>IF(OR(SUM($B56:$F56)=0,C56=""),"",C56/SUM($B56:$F56))</f>
        <v/>
      </c>
      <c r="D199" s="27">
        <f>IF(OR(SUM($B56:$F56)=0,D56=""),"",D56/SUM($B56:$F56))</f>
        <v/>
      </c>
      <c r="E199" s="27">
        <f>IF(OR(SUM($B56:$F56)=0,E56=""),"",E56/SUM($B56:$F56))</f>
        <v/>
      </c>
      <c r="F199" s="27">
        <f>IF(OR(SUM($B56:$F56)=0,F56=""),"",F56/SUM($B56:$F56))</f>
        <v/>
      </c>
      <c r="H199" s="27">
        <f>IF(COUNT(B56:F56)=5,B56/SUM($B56:$F56),"")</f>
        <v/>
      </c>
      <c r="I199" s="27">
        <f>IF(COUNT(B56:F56)=5,C56/SUM($B56:$F56),"")</f>
        <v/>
      </c>
      <c r="J199" s="27">
        <f>IF(COUNT(B56:F56)=5,D56/SUM($B56:$F56),"")</f>
        <v/>
      </c>
      <c r="K199" s="27">
        <f>IF(COUNT(B56:F56)=5,E56/SUM($B56:$F56),"")</f>
        <v/>
      </c>
      <c r="L199" s="27">
        <f>IF(COUNT(B56:F56)=5,F56/SUM($B56:$F56),"")</f>
        <v/>
      </c>
    </row>
    <row r="200">
      <c r="A200" t="inlineStr">
        <is>
          <t>Week4-Jul-2026</t>
        </is>
      </c>
      <c r="B200" s="27">
        <f>IF(OR(SUM($B57:$F57)=0,B57=""),"",B57/SUM($B57:$F57))</f>
        <v/>
      </c>
      <c r="C200" s="27">
        <f>IF(OR(SUM($B57:$F57)=0,C57=""),"",C57/SUM($B57:$F57))</f>
        <v/>
      </c>
      <c r="D200" s="27">
        <f>IF(OR(SUM($B57:$F57)=0,D57=""),"",D57/SUM($B57:$F57))</f>
        <v/>
      </c>
      <c r="E200" s="27">
        <f>IF(OR(SUM($B57:$F57)=0,E57=""),"",E57/SUM($B57:$F57))</f>
        <v/>
      </c>
      <c r="F200" s="27">
        <f>IF(OR(SUM($B57:$F57)=0,F57=""),"",F57/SUM($B57:$F57))</f>
        <v/>
      </c>
      <c r="H200" s="27">
        <f>IF(COUNT(B57:F57)=5,B57/SUM($B57:$F57),"")</f>
        <v/>
      </c>
      <c r="I200" s="27">
        <f>IF(COUNT(B57:F57)=5,C57/SUM($B57:$F57),"")</f>
        <v/>
      </c>
      <c r="J200" s="27">
        <f>IF(COUNT(B57:F57)=5,D57/SUM($B57:$F57),"")</f>
        <v/>
      </c>
      <c r="K200" s="27">
        <f>IF(COUNT(B57:F57)=5,E57/SUM($B57:$F57),"")</f>
        <v/>
      </c>
      <c r="L200" s="27">
        <f>IF(COUNT(B57:F57)=5,F57/SUM($B57:$F57),"")</f>
        <v/>
      </c>
    </row>
    <row r="201">
      <c r="A201" t="inlineStr">
        <is>
          <t>Week5-Jul-2026</t>
        </is>
      </c>
      <c r="B201" s="27">
        <f>IF(OR(SUM($B58:$F58)=0,B58=""),"",B58/SUM($B58:$F58))</f>
        <v/>
      </c>
      <c r="C201" s="27">
        <f>IF(OR(SUM($B58:$F58)=0,C58=""),"",C58/SUM($B58:$F58))</f>
        <v/>
      </c>
      <c r="D201" s="27">
        <f>IF(OR(SUM($B58:$F58)=0,D58=""),"",D58/SUM($B58:$F58))</f>
        <v/>
      </c>
      <c r="E201" s="27">
        <f>IF(OR(SUM($B58:$F58)=0,E58=""),"",E58/SUM($B58:$F58))</f>
        <v/>
      </c>
      <c r="F201" s="27">
        <f>IF(OR(SUM($B58:$F58)=0,F58=""),"",F58/SUM($B58:$F58))</f>
        <v/>
      </c>
      <c r="H201" s="27">
        <f>IF(COUNT(B58:F58)=5,B58/SUM($B58:$F58),"")</f>
        <v/>
      </c>
      <c r="I201" s="27">
        <f>IF(COUNT(B58:F58)=5,C58/SUM($B58:$F58),"")</f>
        <v/>
      </c>
      <c r="J201" s="27">
        <f>IF(COUNT(B58:F58)=5,D58/SUM($B58:$F58),"")</f>
        <v/>
      </c>
      <c r="K201" s="27">
        <f>IF(COUNT(B58:F58)=5,E58/SUM($B58:$F58),"")</f>
        <v/>
      </c>
      <c r="L201" s="27">
        <f>IF(COUNT(B58:F58)=5,F58/SUM($B58:$F58),"")</f>
        <v/>
      </c>
    </row>
    <row r="202">
      <c r="A202" t="inlineStr">
        <is>
          <t>Week1-Aug-2026</t>
        </is>
      </c>
      <c r="B202" s="27">
        <f>IF(OR(SUM($B59:$F59)=0,B59=""),"",B59/SUM($B59:$F59))</f>
        <v/>
      </c>
      <c r="C202" s="27">
        <f>IF(OR(SUM($B59:$F59)=0,C59=""),"",C59/SUM($B59:$F59))</f>
        <v/>
      </c>
      <c r="D202" s="27">
        <f>IF(OR(SUM($B59:$F59)=0,D59=""),"",D59/SUM($B59:$F59))</f>
        <v/>
      </c>
      <c r="E202" s="27">
        <f>IF(OR(SUM($B59:$F59)=0,E59=""),"",E59/SUM($B59:$F59))</f>
        <v/>
      </c>
      <c r="F202" s="27">
        <f>IF(OR(SUM($B59:$F59)=0,F59=""),"",F59/SUM($B59:$F59))</f>
        <v/>
      </c>
      <c r="H202" s="27">
        <f>IF(COUNT(B59:F59)=5,B59/SUM($B59:$F59),"")</f>
        <v/>
      </c>
      <c r="I202" s="27">
        <f>IF(COUNT(B59:F59)=5,C59/SUM($B59:$F59),"")</f>
        <v/>
      </c>
      <c r="J202" s="27">
        <f>IF(COUNT(B59:F59)=5,D59/SUM($B59:$F59),"")</f>
        <v/>
      </c>
      <c r="K202" s="27">
        <f>IF(COUNT(B59:F59)=5,E59/SUM($B59:$F59),"")</f>
        <v/>
      </c>
      <c r="L202" s="27">
        <f>IF(COUNT(B59:F59)=5,F59/SUM($B59:$F59),"")</f>
        <v/>
      </c>
    </row>
    <row r="203" hidden="1" outlineLevel="1">
      <c r="A203" t="inlineStr">
        <is>
          <t>Week2-Aug-2026</t>
        </is>
      </c>
      <c r="B203" s="27">
        <f>IF(OR(SUM($B60:$F60)=0,B60=""),"",B60/SUM($B60:$F60))</f>
        <v/>
      </c>
      <c r="C203" s="27">
        <f>IF(OR(SUM($B60:$F60)=0,C60=""),"",C60/SUM($B60:$F60))</f>
        <v/>
      </c>
      <c r="D203" s="27">
        <f>IF(OR(SUM($B60:$F60)=0,D60=""),"",D60/SUM($B60:$F60))</f>
        <v/>
      </c>
      <c r="E203" s="27">
        <f>IF(OR(SUM($B60:$F60)=0,E60=""),"",E60/SUM($B60:$F60))</f>
        <v/>
      </c>
      <c r="F203" s="27">
        <f>IF(OR(SUM($B60:$F60)=0,F60=""),"",F60/SUM($B60:$F60))</f>
        <v/>
      </c>
      <c r="H203" s="27">
        <f>IF(COUNT(B60:F60)=5,B60/SUM($B60:$F60),"")</f>
        <v/>
      </c>
      <c r="I203" s="27">
        <f>IF(COUNT(B60:F60)=5,C60/SUM($B60:$F60),"")</f>
        <v/>
      </c>
      <c r="J203" s="27">
        <f>IF(COUNT(B60:F60)=5,D60/SUM($B60:$F60),"")</f>
        <v/>
      </c>
      <c r="K203" s="27">
        <f>IF(COUNT(B60:F60)=5,E60/SUM($B60:$F60),"")</f>
        <v/>
      </c>
      <c r="L203" s="27">
        <f>IF(COUNT(B60:F60)=5,F60/SUM($B60:$F60),"")</f>
        <v/>
      </c>
    </row>
    <row r="204" hidden="1" outlineLevel="1">
      <c r="A204" t="inlineStr">
        <is>
          <t>Week3-Aug-2026</t>
        </is>
      </c>
      <c r="B204" s="27">
        <f>IF(OR(SUM($B61:$F61)=0,B61=""),"",B61/SUM($B61:$F61))</f>
        <v/>
      </c>
      <c r="C204" s="27">
        <f>IF(OR(SUM($B61:$F61)=0,C61=""),"",C61/SUM($B61:$F61))</f>
        <v/>
      </c>
      <c r="D204" s="27">
        <f>IF(OR(SUM($B61:$F61)=0,D61=""),"",D61/SUM($B61:$F61))</f>
        <v/>
      </c>
      <c r="E204" s="27">
        <f>IF(OR(SUM($B61:$F61)=0,E61=""),"",E61/SUM($B61:$F61))</f>
        <v/>
      </c>
      <c r="F204" s="27">
        <f>IF(OR(SUM($B61:$F61)=0,F61=""),"",F61/SUM($B61:$F61))</f>
        <v/>
      </c>
      <c r="H204" s="27">
        <f>IF(COUNT(B61:F61)=5,B61/SUM($B61:$F61),"")</f>
        <v/>
      </c>
      <c r="I204" s="27">
        <f>IF(COUNT(B61:F61)=5,C61/SUM($B61:$F61),"")</f>
        <v/>
      </c>
      <c r="J204" s="27">
        <f>IF(COUNT(B61:F61)=5,D61/SUM($B61:$F61),"")</f>
        <v/>
      </c>
      <c r="K204" s="27">
        <f>IF(COUNT(B61:F61)=5,E61/SUM($B61:$F61),"")</f>
        <v/>
      </c>
      <c r="L204" s="27">
        <f>IF(COUNT(B61:F61)=5,F61/SUM($B61:$F61),"")</f>
        <v/>
      </c>
    </row>
    <row r="205" hidden="1" outlineLevel="1">
      <c r="A205" t="inlineStr">
        <is>
          <t>Week4-Aug-2026</t>
        </is>
      </c>
      <c r="B205" s="27">
        <f>IF(OR(SUM($B62:$F62)=0,B62=""),"",B62/SUM($B62:$F62))</f>
        <v/>
      </c>
      <c r="C205" s="27">
        <f>IF(OR(SUM($B62:$F62)=0,C62=""),"",C62/SUM($B62:$F62))</f>
        <v/>
      </c>
      <c r="D205" s="27">
        <f>IF(OR(SUM($B62:$F62)=0,D62=""),"",D62/SUM($B62:$F62))</f>
        <v/>
      </c>
      <c r="E205" s="27">
        <f>IF(OR(SUM($B62:$F62)=0,E62=""),"",E62/SUM($B62:$F62))</f>
        <v/>
      </c>
      <c r="F205" s="27">
        <f>IF(OR(SUM($B62:$F62)=0,F62=""),"",F62/SUM($B62:$F62))</f>
        <v/>
      </c>
      <c r="H205" s="27">
        <f>IF(COUNT(B62:F62)=5,B62/SUM($B62:$F62),"")</f>
        <v/>
      </c>
      <c r="I205" s="27">
        <f>IF(COUNT(B62:F62)=5,C62/SUM($B62:$F62),"")</f>
        <v/>
      </c>
      <c r="J205" s="27">
        <f>IF(COUNT(B62:F62)=5,D62/SUM($B62:$F62),"")</f>
        <v/>
      </c>
      <c r="K205" s="27">
        <f>IF(COUNT(B62:F62)=5,E62/SUM($B62:$F62),"")</f>
        <v/>
      </c>
      <c r="L205" s="27">
        <f>IF(COUNT(B62:F62)=5,F62/SUM($B62:$F62),"")</f>
        <v/>
      </c>
    </row>
    <row r="206" hidden="1" outlineLevel="1">
      <c r="A206" t="inlineStr">
        <is>
          <t>Week5-Aug-2026</t>
        </is>
      </c>
      <c r="B206" s="27">
        <f>IF(OR(SUM($B63:$F63)=0,B63=""),"",B63/SUM($B63:$F63))</f>
        <v/>
      </c>
      <c r="C206" s="27">
        <f>IF(OR(SUM($B63:$F63)=0,C63=""),"",C63/SUM($B63:$F63))</f>
        <v/>
      </c>
      <c r="D206" s="27">
        <f>IF(OR(SUM($B63:$F63)=0,D63=""),"",D63/SUM($B63:$F63))</f>
        <v/>
      </c>
      <c r="E206" s="27">
        <f>IF(OR(SUM($B63:$F63)=0,E63=""),"",E63/SUM($B63:$F63))</f>
        <v/>
      </c>
      <c r="F206" s="27">
        <f>IF(OR(SUM($B63:$F63)=0,F63=""),"",F63/SUM($B63:$F63))</f>
        <v/>
      </c>
      <c r="H206" s="27">
        <f>IF(COUNT(B63:F63)=5,B63/SUM($B63:$F63),"")</f>
        <v/>
      </c>
      <c r="I206" s="27">
        <f>IF(COUNT(B63:F63)=5,C63/SUM($B63:$F63),"")</f>
        <v/>
      </c>
      <c r="J206" s="27">
        <f>IF(COUNT(B63:F63)=5,D63/SUM($B63:$F63),"")</f>
        <v/>
      </c>
      <c r="K206" s="27">
        <f>IF(COUNT(B63:F63)=5,E63/SUM($B63:$F63),"")</f>
        <v/>
      </c>
      <c r="L206" s="27">
        <f>IF(COUNT(B63:F63)=5,F63/SUM($B63:$F63),"")</f>
        <v/>
      </c>
    </row>
    <row r="207" hidden="1" outlineLevel="1">
      <c r="A207" t="inlineStr">
        <is>
          <t>Week1-Sep-2026</t>
        </is>
      </c>
      <c r="B207" s="27">
        <f>IF(OR(SUM($B64:$F64)=0,B64=""),"",B64/SUM($B64:$F64))</f>
        <v/>
      </c>
      <c r="C207" s="27">
        <f>IF(OR(SUM($B64:$F64)=0,C64=""),"",C64/SUM($B64:$F64))</f>
        <v/>
      </c>
      <c r="D207" s="27">
        <f>IF(OR(SUM($B64:$F64)=0,D64=""),"",D64/SUM($B64:$F64))</f>
        <v/>
      </c>
      <c r="E207" s="27">
        <f>IF(OR(SUM($B64:$F64)=0,E64=""),"",E64/SUM($B64:$F64))</f>
        <v/>
      </c>
      <c r="F207" s="27">
        <f>IF(OR(SUM($B64:$F64)=0,F64=""),"",F64/SUM($B64:$F64))</f>
        <v/>
      </c>
      <c r="H207" s="27">
        <f>IF(COUNT(B64:F64)=5,B64/SUM($B64:$F64),"")</f>
        <v/>
      </c>
      <c r="I207" s="27">
        <f>IF(COUNT(B64:F64)=5,C64/SUM($B64:$F64),"")</f>
        <v/>
      </c>
      <c r="J207" s="27">
        <f>IF(COUNT(B64:F64)=5,D64/SUM($B64:$F64),"")</f>
        <v/>
      </c>
      <c r="K207" s="27">
        <f>IF(COUNT(B64:F64)=5,E64/SUM($B64:$F64),"")</f>
        <v/>
      </c>
      <c r="L207" s="27">
        <f>IF(COUNT(B64:F64)=5,F64/SUM($B64:$F64),"")</f>
        <v/>
      </c>
    </row>
    <row r="208" hidden="1" outlineLevel="1">
      <c r="A208" t="inlineStr">
        <is>
          <t>Week2-Sep-2026</t>
        </is>
      </c>
      <c r="B208" s="27">
        <f>IF(OR(SUM($B65:$F65)=0,B65=""),"",B65/SUM($B65:$F65))</f>
        <v/>
      </c>
      <c r="C208" s="27">
        <f>IF(OR(SUM($B65:$F65)=0,C65=""),"",C65/SUM($B65:$F65))</f>
        <v/>
      </c>
      <c r="D208" s="27">
        <f>IF(OR(SUM($B65:$F65)=0,D65=""),"",D65/SUM($B65:$F65))</f>
        <v/>
      </c>
      <c r="E208" s="27">
        <f>IF(OR(SUM($B65:$F65)=0,E65=""),"",E65/SUM($B65:$F65))</f>
        <v/>
      </c>
      <c r="F208" s="27">
        <f>IF(OR(SUM($B65:$F65)=0,F65=""),"",F65/SUM($B65:$F65))</f>
        <v/>
      </c>
      <c r="H208" s="27">
        <f>IF(COUNT(B65:F65)=5,B65/SUM($B65:$F65),"")</f>
        <v/>
      </c>
      <c r="I208" s="27">
        <f>IF(COUNT(B65:F65)=5,C65/SUM($B65:$F65),"")</f>
        <v/>
      </c>
      <c r="J208" s="27">
        <f>IF(COUNT(B65:F65)=5,D65/SUM($B65:$F65),"")</f>
        <v/>
      </c>
      <c r="K208" s="27">
        <f>IF(COUNT(B65:F65)=5,E65/SUM($B65:$F65),"")</f>
        <v/>
      </c>
      <c r="L208" s="27">
        <f>IF(COUNT(B65:F65)=5,F65/SUM($B65:$F65),"")</f>
        <v/>
      </c>
    </row>
    <row r="209" hidden="1" outlineLevel="1">
      <c r="A209" t="inlineStr">
        <is>
          <t>Week3-Sep-2026</t>
        </is>
      </c>
      <c r="B209" s="27">
        <f>IF(OR(SUM($B66:$F66)=0,B66=""),"",B66/SUM($B66:$F66))</f>
        <v/>
      </c>
      <c r="C209" s="27">
        <f>IF(OR(SUM($B66:$F66)=0,C66=""),"",C66/SUM($B66:$F66))</f>
        <v/>
      </c>
      <c r="D209" s="27">
        <f>IF(OR(SUM($B66:$F66)=0,D66=""),"",D66/SUM($B66:$F66))</f>
        <v/>
      </c>
      <c r="E209" s="27">
        <f>IF(OR(SUM($B66:$F66)=0,E66=""),"",E66/SUM($B66:$F66))</f>
        <v/>
      </c>
      <c r="F209" s="27">
        <f>IF(OR(SUM($B66:$F66)=0,F66=""),"",F66/SUM($B66:$F66))</f>
        <v/>
      </c>
      <c r="H209" s="27">
        <f>IF(COUNT(B66:F66)=5,B66/SUM($B66:$F66),"")</f>
        <v/>
      </c>
      <c r="I209" s="27">
        <f>IF(COUNT(B66:F66)=5,C66/SUM($B66:$F66),"")</f>
        <v/>
      </c>
      <c r="J209" s="27">
        <f>IF(COUNT(B66:F66)=5,D66/SUM($B66:$F66),"")</f>
        <v/>
      </c>
      <c r="K209" s="27">
        <f>IF(COUNT(B66:F66)=5,E66/SUM($B66:$F66),"")</f>
        <v/>
      </c>
      <c r="L209" s="27">
        <f>IF(COUNT(B66:F66)=5,F66/SUM($B66:$F66),"")</f>
        <v/>
      </c>
    </row>
    <row r="210" hidden="1" outlineLevel="1">
      <c r="A210" t="inlineStr">
        <is>
          <t>Week4-Sep-2026</t>
        </is>
      </c>
      <c r="B210" s="27">
        <f>IF(OR(SUM($B67:$F67)=0,B67=""),"",B67/SUM($B67:$F67))</f>
        <v/>
      </c>
      <c r="C210" s="27">
        <f>IF(OR(SUM($B67:$F67)=0,C67=""),"",C67/SUM($B67:$F67))</f>
        <v/>
      </c>
      <c r="D210" s="27">
        <f>IF(OR(SUM($B67:$F67)=0,D67=""),"",D67/SUM($B67:$F67))</f>
        <v/>
      </c>
      <c r="E210" s="27">
        <f>IF(OR(SUM($B67:$F67)=0,E67=""),"",E67/SUM($B67:$F67))</f>
        <v/>
      </c>
      <c r="F210" s="27">
        <f>IF(OR(SUM($B67:$F67)=0,F67=""),"",F67/SUM($B67:$F67))</f>
        <v/>
      </c>
      <c r="H210" s="27">
        <f>IF(COUNT(B67:F67)=5,B67/SUM($B67:$F67),"")</f>
        <v/>
      </c>
      <c r="I210" s="27">
        <f>IF(COUNT(B67:F67)=5,C67/SUM($B67:$F67),"")</f>
        <v/>
      </c>
      <c r="J210" s="27">
        <f>IF(COUNT(B67:F67)=5,D67/SUM($B67:$F67),"")</f>
        <v/>
      </c>
      <c r="K210" s="27">
        <f>IF(COUNT(B67:F67)=5,E67/SUM($B67:$F67),"")</f>
        <v/>
      </c>
      <c r="L210" s="27">
        <f>IF(COUNT(B67:F67)=5,F67/SUM($B67:$F67),"")</f>
        <v/>
      </c>
    </row>
    <row r="211" hidden="1" outlineLevel="1">
      <c r="A211" t="inlineStr">
        <is>
          <t>Week5-Sep-2026</t>
        </is>
      </c>
      <c r="B211" s="27">
        <f>IF(OR(SUM($B68:$F68)=0,B68=""),"",B68/SUM($B68:$F68))</f>
        <v/>
      </c>
      <c r="C211" s="27">
        <f>IF(OR(SUM($B68:$F68)=0,C68=""),"",C68/SUM($B68:$F68))</f>
        <v/>
      </c>
      <c r="D211" s="27">
        <f>IF(OR(SUM($B68:$F68)=0,D68=""),"",D68/SUM($B68:$F68))</f>
        <v/>
      </c>
      <c r="E211" s="27">
        <f>IF(OR(SUM($B68:$F68)=0,E68=""),"",E68/SUM($B68:$F68))</f>
        <v/>
      </c>
      <c r="F211" s="27">
        <f>IF(OR(SUM($B68:$F68)=0,F68=""),"",F68/SUM($B68:$F68))</f>
        <v/>
      </c>
      <c r="H211" s="27">
        <f>IF(COUNT(B68:F68)=5,B68/SUM($B68:$F68),"")</f>
        <v/>
      </c>
      <c r="I211" s="27">
        <f>IF(COUNT(B68:F68)=5,C68/SUM($B68:$F68),"")</f>
        <v/>
      </c>
      <c r="J211" s="27">
        <f>IF(COUNT(B68:F68)=5,D68/SUM($B68:$F68),"")</f>
        <v/>
      </c>
      <c r="K211" s="27">
        <f>IF(COUNT(B68:F68)=5,E68/SUM($B68:$F68),"")</f>
        <v/>
      </c>
      <c r="L211" s="27">
        <f>IF(COUNT(B68:F68)=5,F68/SUM($B68:$F68),"")</f>
        <v/>
      </c>
    </row>
    <row r="212" hidden="1" outlineLevel="1">
      <c r="A212" t="inlineStr">
        <is>
          <t>Week1-Oct-2026</t>
        </is>
      </c>
      <c r="B212" s="27">
        <f>IF(OR(SUM($B69:$F69)=0,B69=""),"",B69/SUM($B69:$F69))</f>
        <v/>
      </c>
      <c r="C212" s="27">
        <f>IF(OR(SUM($B69:$F69)=0,C69=""),"",C69/SUM($B69:$F69))</f>
        <v/>
      </c>
      <c r="D212" s="27">
        <f>IF(OR(SUM($B69:$F69)=0,D69=""),"",D69/SUM($B69:$F69))</f>
        <v/>
      </c>
      <c r="E212" s="27">
        <f>IF(OR(SUM($B69:$F69)=0,E69=""),"",E69/SUM($B69:$F69))</f>
        <v/>
      </c>
      <c r="F212" s="27">
        <f>IF(OR(SUM($B69:$F69)=0,F69=""),"",F69/SUM($B69:$F69))</f>
        <v/>
      </c>
      <c r="H212" s="27">
        <f>IF(COUNT(B69:F69)=5,B69/SUM($B69:$F69),"")</f>
        <v/>
      </c>
      <c r="I212" s="27">
        <f>IF(COUNT(B69:F69)=5,C69/SUM($B69:$F69),"")</f>
        <v/>
      </c>
      <c r="J212" s="27">
        <f>IF(COUNT(B69:F69)=5,D69/SUM($B69:$F69),"")</f>
        <v/>
      </c>
      <c r="K212" s="27">
        <f>IF(COUNT(B69:F69)=5,E69/SUM($B69:$F69),"")</f>
        <v/>
      </c>
      <c r="L212" s="27">
        <f>IF(COUNT(B69:F69)=5,F69/SUM($B69:$F69),"")</f>
        <v/>
      </c>
    </row>
    <row r="213" hidden="1" outlineLevel="1">
      <c r="A213" t="inlineStr">
        <is>
          <t>Week2-Oct-2026</t>
        </is>
      </c>
      <c r="B213" s="27">
        <f>IF(OR(SUM($B70:$F70)=0,B70=""),"",B70/SUM($B70:$F70))</f>
        <v/>
      </c>
      <c r="C213" s="27">
        <f>IF(OR(SUM($B70:$F70)=0,C70=""),"",C70/SUM($B70:$F70))</f>
        <v/>
      </c>
      <c r="D213" s="27">
        <f>IF(OR(SUM($B70:$F70)=0,D70=""),"",D70/SUM($B70:$F70))</f>
        <v/>
      </c>
      <c r="E213" s="27">
        <f>IF(OR(SUM($B70:$F70)=0,E70=""),"",E70/SUM($B70:$F70))</f>
        <v/>
      </c>
      <c r="F213" s="27">
        <f>IF(OR(SUM($B70:$F70)=0,F70=""),"",F70/SUM($B70:$F70))</f>
        <v/>
      </c>
      <c r="H213" s="27">
        <f>IF(COUNT(B70:F70)=5,B70/SUM($B70:$F70),"")</f>
        <v/>
      </c>
      <c r="I213" s="27">
        <f>IF(COUNT(B70:F70)=5,C70/SUM($B70:$F70),"")</f>
        <v/>
      </c>
      <c r="J213" s="27">
        <f>IF(COUNT(B70:F70)=5,D70/SUM($B70:$F70),"")</f>
        <v/>
      </c>
      <c r="K213" s="27">
        <f>IF(COUNT(B70:F70)=5,E70/SUM($B70:$F70),"")</f>
        <v/>
      </c>
      <c r="L213" s="27">
        <f>IF(COUNT(B70:F70)=5,F70/SUM($B70:$F70),"")</f>
        <v/>
      </c>
    </row>
    <row r="214" hidden="1" outlineLevel="1">
      <c r="A214" t="inlineStr">
        <is>
          <t>Week3-Oct-2026</t>
        </is>
      </c>
      <c r="B214" s="27">
        <f>IF(OR(SUM($B71:$F71)=0,B71=""),"",B71/SUM($B71:$F71))</f>
        <v/>
      </c>
      <c r="C214" s="27">
        <f>IF(OR(SUM($B71:$F71)=0,C71=""),"",C71/SUM($B71:$F71))</f>
        <v/>
      </c>
      <c r="D214" s="27">
        <f>IF(OR(SUM($B71:$F71)=0,D71=""),"",D71/SUM($B71:$F71))</f>
        <v/>
      </c>
      <c r="E214" s="27">
        <f>IF(OR(SUM($B71:$F71)=0,E71=""),"",E71/SUM($B71:$F71))</f>
        <v/>
      </c>
      <c r="F214" s="27">
        <f>IF(OR(SUM($B71:$F71)=0,F71=""),"",F71/SUM($B71:$F71))</f>
        <v/>
      </c>
      <c r="H214" s="27">
        <f>IF(COUNT(B71:F71)=5,B71/SUM($B71:$F71),"")</f>
        <v/>
      </c>
      <c r="I214" s="27">
        <f>IF(COUNT(B71:F71)=5,C71/SUM($B71:$F71),"")</f>
        <v/>
      </c>
      <c r="J214" s="27">
        <f>IF(COUNT(B71:F71)=5,D71/SUM($B71:$F71),"")</f>
        <v/>
      </c>
      <c r="K214" s="27">
        <f>IF(COUNT(B71:F71)=5,E71/SUM($B71:$F71),"")</f>
        <v/>
      </c>
      <c r="L214" s="27">
        <f>IF(COUNT(B71:F71)=5,F71/SUM($B71:$F71),"")</f>
        <v/>
      </c>
    </row>
    <row r="215" hidden="1" outlineLevel="1">
      <c r="A215" t="inlineStr">
        <is>
          <t>Week4-Oct-2026</t>
        </is>
      </c>
      <c r="B215" s="27">
        <f>IF(OR(SUM($B72:$F72)=0,B72=""),"",B72/SUM($B72:$F72))</f>
        <v/>
      </c>
      <c r="C215" s="27">
        <f>IF(OR(SUM($B72:$F72)=0,C72=""),"",C72/SUM($B72:$F72))</f>
        <v/>
      </c>
      <c r="D215" s="27">
        <f>IF(OR(SUM($B72:$F72)=0,D72=""),"",D72/SUM($B72:$F72))</f>
        <v/>
      </c>
      <c r="E215" s="27">
        <f>IF(OR(SUM($B72:$F72)=0,E72=""),"",E72/SUM($B72:$F72))</f>
        <v/>
      </c>
      <c r="F215" s="27">
        <f>IF(OR(SUM($B72:$F72)=0,F72=""),"",F72/SUM($B72:$F72))</f>
        <v/>
      </c>
      <c r="H215" s="27">
        <f>IF(COUNT(B72:F72)=5,B72/SUM($B72:$F72),"")</f>
        <v/>
      </c>
      <c r="I215" s="27">
        <f>IF(COUNT(B72:F72)=5,C72/SUM($B72:$F72),"")</f>
        <v/>
      </c>
      <c r="J215" s="27">
        <f>IF(COUNT(B72:F72)=5,D72/SUM($B72:$F72),"")</f>
        <v/>
      </c>
      <c r="K215" s="27">
        <f>IF(COUNT(B72:F72)=5,E72/SUM($B72:$F72),"")</f>
        <v/>
      </c>
      <c r="L215" s="27">
        <f>IF(COUNT(B72:F72)=5,F72/SUM($B72:$F72),"")</f>
        <v/>
      </c>
    </row>
    <row r="216" hidden="1" outlineLevel="1">
      <c r="A216" t="inlineStr">
        <is>
          <t>Week5-Oct-2026</t>
        </is>
      </c>
      <c r="B216" s="27">
        <f>IF(OR(SUM($B73:$F73)=0,B73=""),"",B73/SUM($B73:$F73))</f>
        <v/>
      </c>
      <c r="C216" s="27">
        <f>IF(OR(SUM($B73:$F73)=0,C73=""),"",C73/SUM($B73:$F73))</f>
        <v/>
      </c>
      <c r="D216" s="27">
        <f>IF(OR(SUM($B73:$F73)=0,D73=""),"",D73/SUM($B73:$F73))</f>
        <v/>
      </c>
      <c r="E216" s="27">
        <f>IF(OR(SUM($B73:$F73)=0,E73=""),"",E73/SUM($B73:$F73))</f>
        <v/>
      </c>
      <c r="F216" s="27">
        <f>IF(OR(SUM($B73:$F73)=0,F73=""),"",F73/SUM($B73:$F73))</f>
        <v/>
      </c>
      <c r="H216" s="27">
        <f>IF(COUNT(B73:F73)=5,B73/SUM($B73:$F73),"")</f>
        <v/>
      </c>
      <c r="I216" s="27">
        <f>IF(COUNT(B73:F73)=5,C73/SUM($B73:$F73),"")</f>
        <v/>
      </c>
      <c r="J216" s="27">
        <f>IF(COUNT(B73:F73)=5,D73/SUM($B73:$F73),"")</f>
        <v/>
      </c>
      <c r="K216" s="27">
        <f>IF(COUNT(B73:F73)=5,E73/SUM($B73:$F73),"")</f>
        <v/>
      </c>
      <c r="L216" s="27">
        <f>IF(COUNT(B73:F73)=5,F73/SUM($B73:$F73),"")</f>
        <v/>
      </c>
    </row>
    <row r="217" hidden="1" outlineLevel="1">
      <c r="A217" t="inlineStr">
        <is>
          <t>Week1-Nov-2026</t>
        </is>
      </c>
      <c r="B217" s="27">
        <f>IF(OR(SUM($B74:$F74)=0,B74=""),"",B74/SUM($B74:$F74))</f>
        <v/>
      </c>
      <c r="C217" s="27">
        <f>IF(OR(SUM($B74:$F74)=0,C74=""),"",C74/SUM($B74:$F74))</f>
        <v/>
      </c>
      <c r="D217" s="27">
        <f>IF(OR(SUM($B74:$F74)=0,D74=""),"",D74/SUM($B74:$F74))</f>
        <v/>
      </c>
      <c r="E217" s="27">
        <f>IF(OR(SUM($B74:$F74)=0,E74=""),"",E74/SUM($B74:$F74))</f>
        <v/>
      </c>
      <c r="F217" s="27">
        <f>IF(OR(SUM($B74:$F74)=0,F74=""),"",F74/SUM($B74:$F74))</f>
        <v/>
      </c>
      <c r="H217" s="27">
        <f>IF(COUNT(B74:F74)=5,B74/SUM($B74:$F74),"")</f>
        <v/>
      </c>
      <c r="I217" s="27">
        <f>IF(COUNT(B74:F74)=5,C74/SUM($B74:$F74),"")</f>
        <v/>
      </c>
      <c r="J217" s="27">
        <f>IF(COUNT(B74:F74)=5,D74/SUM($B74:$F74),"")</f>
        <v/>
      </c>
      <c r="K217" s="27">
        <f>IF(COUNT(B74:F74)=5,E74/SUM($B74:$F74),"")</f>
        <v/>
      </c>
      <c r="L217" s="27">
        <f>IF(COUNT(B74:F74)=5,F74/SUM($B74:$F74),"")</f>
        <v/>
      </c>
    </row>
    <row r="218" hidden="1" outlineLevel="1">
      <c r="A218" t="inlineStr">
        <is>
          <t>Week2-Nov-2026</t>
        </is>
      </c>
      <c r="B218" s="27">
        <f>IF(OR(SUM($B75:$F75)=0,B75=""),"",B75/SUM($B75:$F75))</f>
        <v/>
      </c>
      <c r="C218" s="27">
        <f>IF(OR(SUM($B75:$F75)=0,C75=""),"",C75/SUM($B75:$F75))</f>
        <v/>
      </c>
      <c r="D218" s="27">
        <f>IF(OR(SUM($B75:$F75)=0,D75=""),"",D75/SUM($B75:$F75))</f>
        <v/>
      </c>
      <c r="E218" s="27">
        <f>IF(OR(SUM($B75:$F75)=0,E75=""),"",E75/SUM($B75:$F75))</f>
        <v/>
      </c>
      <c r="F218" s="27">
        <f>IF(OR(SUM($B75:$F75)=0,F75=""),"",F75/SUM($B75:$F75))</f>
        <v/>
      </c>
      <c r="H218" s="27">
        <f>IF(COUNT(B75:F75)=5,B75/SUM($B75:$F75),"")</f>
        <v/>
      </c>
      <c r="I218" s="27">
        <f>IF(COUNT(B75:F75)=5,C75/SUM($B75:$F75),"")</f>
        <v/>
      </c>
      <c r="J218" s="27">
        <f>IF(COUNT(B75:F75)=5,D75/SUM($B75:$F75),"")</f>
        <v/>
      </c>
      <c r="K218" s="27">
        <f>IF(COUNT(B75:F75)=5,E75/SUM($B75:$F75),"")</f>
        <v/>
      </c>
      <c r="L218" s="27">
        <f>IF(COUNT(B75:F75)=5,F75/SUM($B75:$F75),"")</f>
        <v/>
      </c>
    </row>
    <row r="219" hidden="1" outlineLevel="1">
      <c r="A219" t="inlineStr">
        <is>
          <t>Week3-Nov-2026</t>
        </is>
      </c>
      <c r="B219" s="27">
        <f>IF(OR(SUM($B76:$F76)=0,B76=""),"",B76/SUM($B76:$F76))</f>
        <v/>
      </c>
      <c r="C219" s="27">
        <f>IF(OR(SUM($B76:$F76)=0,C76=""),"",C76/SUM($B76:$F76))</f>
        <v/>
      </c>
      <c r="D219" s="27">
        <f>IF(OR(SUM($B76:$F76)=0,D76=""),"",D76/SUM($B76:$F76))</f>
        <v/>
      </c>
      <c r="E219" s="27">
        <f>IF(OR(SUM($B76:$F76)=0,E76=""),"",E76/SUM($B76:$F76))</f>
        <v/>
      </c>
      <c r="F219" s="27">
        <f>IF(OR(SUM($B76:$F76)=0,F76=""),"",F76/SUM($B76:$F76))</f>
        <v/>
      </c>
      <c r="H219" s="27">
        <f>IF(COUNT(B76:F76)=5,B76/SUM($B76:$F76),"")</f>
        <v/>
      </c>
      <c r="I219" s="27">
        <f>IF(COUNT(B76:F76)=5,C76/SUM($B76:$F76),"")</f>
        <v/>
      </c>
      <c r="J219" s="27">
        <f>IF(COUNT(B76:F76)=5,D76/SUM($B76:$F76),"")</f>
        <v/>
      </c>
      <c r="K219" s="27">
        <f>IF(COUNT(B76:F76)=5,E76/SUM($B76:$F76),"")</f>
        <v/>
      </c>
      <c r="L219" s="27">
        <f>IF(COUNT(B76:F76)=5,F76/SUM($B76:$F76),"")</f>
        <v/>
      </c>
    </row>
    <row r="220" hidden="1" outlineLevel="1">
      <c r="A220" t="inlineStr">
        <is>
          <t>Week4-Nov-2026</t>
        </is>
      </c>
      <c r="B220" s="27">
        <f>IF(OR(SUM($B77:$F77)=0,B77=""),"",B77/SUM($B77:$F77))</f>
        <v/>
      </c>
      <c r="C220" s="27">
        <f>IF(OR(SUM($B77:$F77)=0,C77=""),"",C77/SUM($B77:$F77))</f>
        <v/>
      </c>
      <c r="D220" s="27">
        <f>IF(OR(SUM($B77:$F77)=0,D77=""),"",D77/SUM($B77:$F77))</f>
        <v/>
      </c>
      <c r="E220" s="27">
        <f>IF(OR(SUM($B77:$F77)=0,E77=""),"",E77/SUM($B77:$F77))</f>
        <v/>
      </c>
      <c r="F220" s="27">
        <f>IF(OR(SUM($B77:$F77)=0,F77=""),"",F77/SUM($B77:$F77))</f>
        <v/>
      </c>
      <c r="H220" s="27">
        <f>IF(COUNT(B77:F77)=5,B77/SUM($B77:$F77),"")</f>
        <v/>
      </c>
      <c r="I220" s="27">
        <f>IF(COUNT(B77:F77)=5,C77/SUM($B77:$F77),"")</f>
        <v/>
      </c>
      <c r="J220" s="27">
        <f>IF(COUNT(B77:F77)=5,D77/SUM($B77:$F77),"")</f>
        <v/>
      </c>
      <c r="K220" s="27">
        <f>IF(COUNT(B77:F77)=5,E77/SUM($B77:$F77),"")</f>
        <v/>
      </c>
      <c r="L220" s="27">
        <f>IF(COUNT(B77:F77)=5,F77/SUM($B77:$F77),"")</f>
        <v/>
      </c>
    </row>
    <row r="221" hidden="1" outlineLevel="1">
      <c r="A221" t="inlineStr">
        <is>
          <t>Week5-Nov-2026</t>
        </is>
      </c>
      <c r="B221" s="27">
        <f>IF(OR(SUM($B78:$F78)=0,B78=""),"",B78/SUM($B78:$F78))</f>
        <v/>
      </c>
      <c r="C221" s="27">
        <f>IF(OR(SUM($B78:$F78)=0,C78=""),"",C78/SUM($B78:$F78))</f>
        <v/>
      </c>
      <c r="D221" s="27">
        <f>IF(OR(SUM($B78:$F78)=0,D78=""),"",D78/SUM($B78:$F78))</f>
        <v/>
      </c>
      <c r="E221" s="27">
        <f>IF(OR(SUM($B78:$F78)=0,E78=""),"",E78/SUM($B78:$F78))</f>
        <v/>
      </c>
      <c r="F221" s="27">
        <f>IF(OR(SUM($B78:$F78)=0,F78=""),"",F78/SUM($B78:$F78))</f>
        <v/>
      </c>
      <c r="H221" s="27">
        <f>IF(COUNT(B78:F78)=5,B78/SUM($B78:$F78),"")</f>
        <v/>
      </c>
      <c r="I221" s="27">
        <f>IF(COUNT(B78:F78)=5,C78/SUM($B78:$F78),"")</f>
        <v/>
      </c>
      <c r="J221" s="27">
        <f>IF(COUNT(B78:F78)=5,D78/SUM($B78:$F78),"")</f>
        <v/>
      </c>
      <c r="K221" s="27">
        <f>IF(COUNT(B78:F78)=5,E78/SUM($B78:$F78),"")</f>
        <v/>
      </c>
      <c r="L221" s="27">
        <f>IF(COUNT(B78:F78)=5,F78/SUM($B78:$F78),"")</f>
        <v/>
      </c>
    </row>
    <row r="222" hidden="1" outlineLevel="1">
      <c r="A222" t="inlineStr">
        <is>
          <t>Week1-Dec-2026</t>
        </is>
      </c>
      <c r="B222" s="27">
        <f>IF(OR(SUM($B79:$F79)=0,B79=""),"",B79/SUM($B79:$F79))</f>
        <v/>
      </c>
      <c r="C222" s="27">
        <f>IF(OR(SUM($B79:$F79)=0,C79=""),"",C79/SUM($B79:$F79))</f>
        <v/>
      </c>
      <c r="D222" s="27">
        <f>IF(OR(SUM($B79:$F79)=0,D79=""),"",D79/SUM($B79:$F79))</f>
        <v/>
      </c>
      <c r="E222" s="27">
        <f>IF(OR(SUM($B79:$F79)=0,E79=""),"",E79/SUM($B79:$F79))</f>
        <v/>
      </c>
      <c r="F222" s="27">
        <f>IF(OR(SUM($B79:$F79)=0,F79=""),"",F79/SUM($B79:$F79))</f>
        <v/>
      </c>
      <c r="H222" s="27">
        <f>IF(COUNT(B79:F79)=5,B79/SUM($B79:$F79),"")</f>
        <v/>
      </c>
      <c r="I222" s="27">
        <f>IF(COUNT(B79:F79)=5,C79/SUM($B79:$F79),"")</f>
        <v/>
      </c>
      <c r="J222" s="27">
        <f>IF(COUNT(B79:F79)=5,D79/SUM($B79:$F79),"")</f>
        <v/>
      </c>
      <c r="K222" s="27">
        <f>IF(COUNT(B79:F79)=5,E79/SUM($B79:$F79),"")</f>
        <v/>
      </c>
      <c r="L222" s="27">
        <f>IF(COUNT(B79:F79)=5,F79/SUM($B79:$F79),"")</f>
        <v/>
      </c>
    </row>
    <row r="223" hidden="1" outlineLevel="1">
      <c r="A223" t="inlineStr">
        <is>
          <t>Week2-Dec-2026</t>
        </is>
      </c>
      <c r="B223" s="27">
        <f>IF(OR(SUM($B80:$F80)=0,B80=""),"",B80/SUM($B80:$F80))</f>
        <v/>
      </c>
      <c r="C223" s="27">
        <f>IF(OR(SUM($B80:$F80)=0,C80=""),"",C80/SUM($B80:$F80))</f>
        <v/>
      </c>
      <c r="D223" s="27">
        <f>IF(OR(SUM($B80:$F80)=0,D80=""),"",D80/SUM($B80:$F80))</f>
        <v/>
      </c>
      <c r="E223" s="27">
        <f>IF(OR(SUM($B80:$F80)=0,E80=""),"",E80/SUM($B80:$F80))</f>
        <v/>
      </c>
      <c r="F223" s="27">
        <f>IF(OR(SUM($B80:$F80)=0,F80=""),"",F80/SUM($B80:$F80))</f>
        <v/>
      </c>
      <c r="H223" s="27">
        <f>IF(COUNT(B80:F80)=5,B80/SUM($B80:$F80),"")</f>
        <v/>
      </c>
      <c r="I223" s="27">
        <f>IF(COUNT(B80:F80)=5,C80/SUM($B80:$F80),"")</f>
        <v/>
      </c>
      <c r="J223" s="27">
        <f>IF(COUNT(B80:F80)=5,D80/SUM($B80:$F80),"")</f>
        <v/>
      </c>
      <c r="K223" s="27">
        <f>IF(COUNT(B80:F80)=5,E80/SUM($B80:$F80),"")</f>
        <v/>
      </c>
      <c r="L223" s="27">
        <f>IF(COUNT(B80:F80)=5,F80/SUM($B80:$F80),"")</f>
        <v/>
      </c>
    </row>
    <row r="224" hidden="1" outlineLevel="1">
      <c r="A224" t="inlineStr">
        <is>
          <t>Week3-Dec-2026</t>
        </is>
      </c>
      <c r="B224" s="27">
        <f>IF(OR(SUM($B81:$F81)=0,B81=""),"",B81/SUM($B81:$F81))</f>
        <v/>
      </c>
      <c r="C224" s="27">
        <f>IF(OR(SUM($B81:$F81)=0,C81=""),"",C81/SUM($B81:$F81))</f>
        <v/>
      </c>
      <c r="D224" s="27">
        <f>IF(OR(SUM($B81:$F81)=0,D81=""),"",D81/SUM($B81:$F81))</f>
        <v/>
      </c>
      <c r="E224" s="27">
        <f>IF(OR(SUM($B81:$F81)=0,E81=""),"",E81/SUM($B81:$F81))</f>
        <v/>
      </c>
      <c r="F224" s="27">
        <f>IF(OR(SUM($B81:$F81)=0,F81=""),"",F81/SUM($B81:$F81))</f>
        <v/>
      </c>
      <c r="H224" s="27">
        <f>IF(COUNT(B81:F81)=5,B81/SUM($B81:$F81),"")</f>
        <v/>
      </c>
      <c r="I224" s="27">
        <f>IF(COUNT(B81:F81)=5,C81/SUM($B81:$F81),"")</f>
        <v/>
      </c>
      <c r="J224" s="27">
        <f>IF(COUNT(B81:F81)=5,D81/SUM($B81:$F81),"")</f>
        <v/>
      </c>
      <c r="K224" s="27">
        <f>IF(COUNT(B81:F81)=5,E81/SUM($B81:$F81),"")</f>
        <v/>
      </c>
      <c r="L224" s="27">
        <f>IF(COUNT(B81:F81)=5,F81/SUM($B81:$F81),"")</f>
        <v/>
      </c>
    </row>
    <row r="225" hidden="1" outlineLevel="1">
      <c r="A225" t="inlineStr">
        <is>
          <t>Week4-Dec-2026</t>
        </is>
      </c>
      <c r="B225" s="27">
        <f>IF(OR(SUM($B82:$F82)=0,B82=""),"",B82/SUM($B82:$F82))</f>
        <v/>
      </c>
      <c r="C225" s="27">
        <f>IF(OR(SUM($B82:$F82)=0,C82=""),"",C82/SUM($B82:$F82))</f>
        <v/>
      </c>
      <c r="D225" s="27">
        <f>IF(OR(SUM($B82:$F82)=0,D82=""),"",D82/SUM($B82:$F82))</f>
        <v/>
      </c>
      <c r="E225" s="27">
        <f>IF(OR(SUM($B82:$F82)=0,E82=""),"",E82/SUM($B82:$F82))</f>
        <v/>
      </c>
      <c r="F225" s="27">
        <f>IF(OR(SUM($B82:$F82)=0,F82=""),"",F82/SUM($B82:$F82))</f>
        <v/>
      </c>
      <c r="H225" s="27">
        <f>IF(COUNT(B82:F82)=5,B82/SUM($B82:$F82),"")</f>
        <v/>
      </c>
      <c r="I225" s="27">
        <f>IF(COUNT(B82:F82)=5,C82/SUM($B82:$F82),"")</f>
        <v/>
      </c>
      <c r="J225" s="27">
        <f>IF(COUNT(B82:F82)=5,D82/SUM($B82:$F82),"")</f>
        <v/>
      </c>
      <c r="K225" s="27">
        <f>IF(COUNT(B82:F82)=5,E82/SUM($B82:$F82),"")</f>
        <v/>
      </c>
      <c r="L225" s="27">
        <f>IF(COUNT(B82:F82)=5,F82/SUM($B82:$F82),"")</f>
        <v/>
      </c>
    </row>
    <row r="226" hidden="1" outlineLevel="1">
      <c r="A226" t="inlineStr">
        <is>
          <t>Week5-Dec-2026</t>
        </is>
      </c>
      <c r="B226" s="27">
        <f>IF(OR(SUM($B83:$F83)=0,B83=""),"",B83/SUM($B83:$F83))</f>
        <v/>
      </c>
      <c r="C226" s="27">
        <f>IF(OR(SUM($B83:$F83)=0,C83=""),"",C83/SUM($B83:$F83))</f>
        <v/>
      </c>
      <c r="D226" s="27">
        <f>IF(OR(SUM($B83:$F83)=0,D83=""),"",D83/SUM($B83:$F83))</f>
        <v/>
      </c>
      <c r="E226" s="27">
        <f>IF(OR(SUM($B83:$F83)=0,E83=""),"",E83/SUM($B83:$F83))</f>
        <v/>
      </c>
      <c r="F226" s="27">
        <f>IF(OR(SUM($B83:$F83)=0,F83=""),"",F83/SUM($B83:$F83))</f>
        <v/>
      </c>
      <c r="H226" s="27">
        <f>IF(COUNT(B83:F83)=5,B83/SUM($B83:$F83),"")</f>
        <v/>
      </c>
      <c r="I226" s="27">
        <f>IF(COUNT(B83:F83)=5,C83/SUM($B83:$F83),"")</f>
        <v/>
      </c>
      <c r="J226" s="27">
        <f>IF(COUNT(B83:F83)=5,D83/SUM($B83:$F83),"")</f>
        <v/>
      </c>
      <c r="K226" s="27">
        <f>IF(COUNT(B83:F83)=5,E83/SUM($B83:$F83),"")</f>
        <v/>
      </c>
      <c r="L226" s="27">
        <f>IF(COUNT(B83:F83)=5,F83/SUM($B83:$F83),"")</f>
        <v/>
      </c>
    </row>
    <row r="227" hidden="1" outlineLevel="1">
      <c r="A227" t="inlineStr">
        <is>
          <t>Week1-Jan-2027</t>
        </is>
      </c>
      <c r="B227" s="27">
        <f>IF(OR(SUM($B84:$F84)=0,B84=""),"",B84/SUM($B84:$F84))</f>
        <v/>
      </c>
      <c r="C227" s="27">
        <f>IF(OR(SUM($B84:$F84)=0,C84=""),"",C84/SUM($B84:$F84))</f>
        <v/>
      </c>
      <c r="D227" s="27">
        <f>IF(OR(SUM($B84:$F84)=0,D84=""),"",D84/SUM($B84:$F84))</f>
        <v/>
      </c>
      <c r="E227" s="27">
        <f>IF(OR(SUM($B84:$F84)=0,E84=""),"",E84/SUM($B84:$F84))</f>
        <v/>
      </c>
      <c r="F227" s="27">
        <f>IF(OR(SUM($B84:$F84)=0,F84=""),"",F84/SUM($B84:$F84))</f>
        <v/>
      </c>
      <c r="H227" s="27">
        <f>IF(COUNT(B84:F84)=5,B84/SUM($B84:$F84),"")</f>
        <v/>
      </c>
      <c r="I227" s="27">
        <f>IF(COUNT(B84:F84)=5,C84/SUM($B84:$F84),"")</f>
        <v/>
      </c>
      <c r="J227" s="27">
        <f>IF(COUNT(B84:F84)=5,D84/SUM($B84:$F84),"")</f>
        <v/>
      </c>
      <c r="K227" s="27">
        <f>IF(COUNT(B84:F84)=5,E84/SUM($B84:$F84),"")</f>
        <v/>
      </c>
      <c r="L227" s="27">
        <f>IF(COUNT(B84:F84)=5,F84/SUM($B84:$F84),"")</f>
        <v/>
      </c>
    </row>
    <row r="228" hidden="1" outlineLevel="1">
      <c r="A228" t="inlineStr">
        <is>
          <t>Week2-Jan-2027</t>
        </is>
      </c>
      <c r="B228" s="27">
        <f>IF(OR(SUM($B85:$F85)=0,B85=""),"",B85/SUM($B85:$F85))</f>
        <v/>
      </c>
      <c r="C228" s="27">
        <f>IF(OR(SUM($B85:$F85)=0,C85=""),"",C85/SUM($B85:$F85))</f>
        <v/>
      </c>
      <c r="D228" s="27">
        <f>IF(OR(SUM($B85:$F85)=0,D85=""),"",D85/SUM($B85:$F85))</f>
        <v/>
      </c>
      <c r="E228" s="27">
        <f>IF(OR(SUM($B85:$F85)=0,E85=""),"",E85/SUM($B85:$F85))</f>
        <v/>
      </c>
      <c r="F228" s="27">
        <f>IF(OR(SUM($B85:$F85)=0,F85=""),"",F85/SUM($B85:$F85))</f>
        <v/>
      </c>
      <c r="H228" s="27">
        <f>IF(COUNT(B85:F85)=5,B85/SUM($B85:$F85),"")</f>
        <v/>
      </c>
      <c r="I228" s="27">
        <f>IF(COUNT(B85:F85)=5,C85/SUM($B85:$F85),"")</f>
        <v/>
      </c>
      <c r="J228" s="27">
        <f>IF(COUNT(B85:F85)=5,D85/SUM($B85:$F85),"")</f>
        <v/>
      </c>
      <c r="K228" s="27">
        <f>IF(COUNT(B85:F85)=5,E85/SUM($B85:$F85),"")</f>
        <v/>
      </c>
      <c r="L228" s="27">
        <f>IF(COUNT(B85:F85)=5,F85/SUM($B85:$F85),"")</f>
        <v/>
      </c>
    </row>
    <row r="229" hidden="1" outlineLevel="1">
      <c r="A229" t="inlineStr">
        <is>
          <t>Week3-Jan-2027</t>
        </is>
      </c>
      <c r="B229" s="27">
        <f>IF(OR(SUM($B86:$F86)=0,B86=""),"",B86/SUM($B86:$F86))</f>
        <v/>
      </c>
      <c r="C229" s="27">
        <f>IF(OR(SUM($B86:$F86)=0,C86=""),"",C86/SUM($B86:$F86))</f>
        <v/>
      </c>
      <c r="D229" s="27">
        <f>IF(OR(SUM($B86:$F86)=0,D86=""),"",D86/SUM($B86:$F86))</f>
        <v/>
      </c>
      <c r="E229" s="27">
        <f>IF(OR(SUM($B86:$F86)=0,E86=""),"",E86/SUM($B86:$F86))</f>
        <v/>
      </c>
      <c r="F229" s="27">
        <f>IF(OR(SUM($B86:$F86)=0,F86=""),"",F86/SUM($B86:$F86))</f>
        <v/>
      </c>
      <c r="H229" s="27">
        <f>IF(COUNT(B86:F86)=5,B86/SUM($B86:$F86),"")</f>
        <v/>
      </c>
      <c r="I229" s="27">
        <f>IF(COUNT(B86:F86)=5,C86/SUM($B86:$F86),"")</f>
        <v/>
      </c>
      <c r="J229" s="27">
        <f>IF(COUNT(B86:F86)=5,D86/SUM($B86:$F86),"")</f>
        <v/>
      </c>
      <c r="K229" s="27">
        <f>IF(COUNT(B86:F86)=5,E86/SUM($B86:$F86),"")</f>
        <v/>
      </c>
      <c r="L229" s="27">
        <f>IF(COUNT(B86:F86)=5,F86/SUM($B86:$F86),"")</f>
        <v/>
      </c>
    </row>
    <row r="230" hidden="1" outlineLevel="1">
      <c r="A230" t="inlineStr">
        <is>
          <t>Week4-Jan-2027</t>
        </is>
      </c>
      <c r="B230" s="27">
        <f>IF(OR(SUM($B87:$F87)=0,B87=""),"",B87/SUM($B87:$F87))</f>
        <v/>
      </c>
      <c r="C230" s="27">
        <f>IF(OR(SUM($B87:$F87)=0,C87=""),"",C87/SUM($B87:$F87))</f>
        <v/>
      </c>
      <c r="D230" s="27">
        <f>IF(OR(SUM($B87:$F87)=0,D87=""),"",D87/SUM($B87:$F87))</f>
        <v/>
      </c>
      <c r="E230" s="27">
        <f>IF(OR(SUM($B87:$F87)=0,E87=""),"",E87/SUM($B87:$F87))</f>
        <v/>
      </c>
      <c r="F230" s="27">
        <f>IF(OR(SUM($B87:$F87)=0,F87=""),"",F87/SUM($B87:$F87))</f>
        <v/>
      </c>
      <c r="H230" s="27">
        <f>IF(COUNT(B87:F87)=5,B87/SUM($B87:$F87),"")</f>
        <v/>
      </c>
      <c r="I230" s="27">
        <f>IF(COUNT(B87:F87)=5,C87/SUM($B87:$F87),"")</f>
        <v/>
      </c>
      <c r="J230" s="27">
        <f>IF(COUNT(B87:F87)=5,D87/SUM($B87:$F87),"")</f>
        <v/>
      </c>
      <c r="K230" s="27">
        <f>IF(COUNT(B87:F87)=5,E87/SUM($B87:$F87),"")</f>
        <v/>
      </c>
      <c r="L230" s="27">
        <f>IF(COUNT(B87:F87)=5,F87/SUM($B87:$F87),"")</f>
        <v/>
      </c>
    </row>
    <row r="231" hidden="1" outlineLevel="1">
      <c r="A231" t="inlineStr">
        <is>
          <t>Week5-Jan-2027</t>
        </is>
      </c>
      <c r="B231" s="27">
        <f>IF(OR(SUM($B88:$F88)=0,B88=""),"",B88/SUM($B88:$F88))</f>
        <v/>
      </c>
      <c r="C231" s="27">
        <f>IF(OR(SUM($B88:$F88)=0,C88=""),"",C88/SUM($B88:$F88))</f>
        <v/>
      </c>
      <c r="D231" s="27">
        <f>IF(OR(SUM($B88:$F88)=0,D88=""),"",D88/SUM($B88:$F88))</f>
        <v/>
      </c>
      <c r="E231" s="27">
        <f>IF(OR(SUM($B88:$F88)=0,E88=""),"",E88/SUM($B88:$F88))</f>
        <v/>
      </c>
      <c r="F231" s="27">
        <f>IF(OR(SUM($B88:$F88)=0,F88=""),"",F88/SUM($B88:$F88))</f>
        <v/>
      </c>
      <c r="H231" s="27">
        <f>IF(COUNT(B88:F88)=5,B88/SUM($B88:$F88),"")</f>
        <v/>
      </c>
      <c r="I231" s="27">
        <f>IF(COUNT(B88:F88)=5,C88/SUM($B88:$F88),"")</f>
        <v/>
      </c>
      <c r="J231" s="27">
        <f>IF(COUNT(B88:F88)=5,D88/SUM($B88:$F88),"")</f>
        <v/>
      </c>
      <c r="K231" s="27">
        <f>IF(COUNT(B88:F88)=5,E88/SUM($B88:$F88),"")</f>
        <v/>
      </c>
      <c r="L231" s="27">
        <f>IF(COUNT(B88:F88)=5,F88/SUM($B88:$F88),"")</f>
        <v/>
      </c>
    </row>
    <row r="232" hidden="1" outlineLevel="1">
      <c r="A232" t="inlineStr">
        <is>
          <t>Week1-Feb-2027</t>
        </is>
      </c>
      <c r="B232" s="27">
        <f>IF(OR(SUM($B89:$F89)=0,B89=""),"",B89/SUM($B89:$F89))</f>
        <v/>
      </c>
      <c r="C232" s="27">
        <f>IF(OR(SUM($B89:$F89)=0,C89=""),"",C89/SUM($B89:$F89))</f>
        <v/>
      </c>
      <c r="D232" s="27">
        <f>IF(OR(SUM($B89:$F89)=0,D89=""),"",D89/SUM($B89:$F89))</f>
        <v/>
      </c>
      <c r="E232" s="27">
        <f>IF(OR(SUM($B89:$F89)=0,E89=""),"",E89/SUM($B89:$F89))</f>
        <v/>
      </c>
      <c r="F232" s="27">
        <f>IF(OR(SUM($B89:$F89)=0,F89=""),"",F89/SUM($B89:$F89))</f>
        <v/>
      </c>
      <c r="H232" s="27">
        <f>IF(COUNT(B89:F89)=5,B89/SUM($B89:$F89),"")</f>
        <v/>
      </c>
      <c r="I232" s="27">
        <f>IF(COUNT(B89:F89)=5,C89/SUM($B89:$F89),"")</f>
        <v/>
      </c>
      <c r="J232" s="27">
        <f>IF(COUNT(B89:F89)=5,D89/SUM($B89:$F89),"")</f>
        <v/>
      </c>
      <c r="K232" s="27">
        <f>IF(COUNT(B89:F89)=5,E89/SUM($B89:$F89),"")</f>
        <v/>
      </c>
      <c r="L232" s="27">
        <f>IF(COUNT(B89:F89)=5,F89/SUM($B89:$F89),"")</f>
        <v/>
      </c>
    </row>
    <row r="233" hidden="1" outlineLevel="1">
      <c r="A233" t="inlineStr">
        <is>
          <t>Week2-Feb-2027</t>
        </is>
      </c>
      <c r="B233" s="27">
        <f>IF(OR(SUM($B90:$F90)=0,B90=""),"",B90/SUM($B90:$F90))</f>
        <v/>
      </c>
      <c r="C233" s="27">
        <f>IF(OR(SUM($B90:$F90)=0,C90=""),"",C90/SUM($B90:$F90))</f>
        <v/>
      </c>
      <c r="D233" s="27">
        <f>IF(OR(SUM($B90:$F90)=0,D90=""),"",D90/SUM($B90:$F90))</f>
        <v/>
      </c>
      <c r="E233" s="27">
        <f>IF(OR(SUM($B90:$F90)=0,E90=""),"",E90/SUM($B90:$F90))</f>
        <v/>
      </c>
      <c r="F233" s="27">
        <f>IF(OR(SUM($B90:$F90)=0,F90=""),"",F90/SUM($B90:$F90))</f>
        <v/>
      </c>
      <c r="H233" s="27">
        <f>IF(COUNT(B90:F90)=5,B90/SUM($B90:$F90),"")</f>
        <v/>
      </c>
      <c r="I233" s="27">
        <f>IF(COUNT(B90:F90)=5,C90/SUM($B90:$F90),"")</f>
        <v/>
      </c>
      <c r="J233" s="27">
        <f>IF(COUNT(B90:F90)=5,D90/SUM($B90:$F90),"")</f>
        <v/>
      </c>
      <c r="K233" s="27">
        <f>IF(COUNT(B90:F90)=5,E90/SUM($B90:$F90),"")</f>
        <v/>
      </c>
      <c r="L233" s="27">
        <f>IF(COUNT(B90:F90)=5,F90/SUM($B90:$F90),"")</f>
        <v/>
      </c>
    </row>
    <row r="234" hidden="1" outlineLevel="1">
      <c r="A234" t="inlineStr">
        <is>
          <t>Week3-Feb-2027</t>
        </is>
      </c>
      <c r="B234" s="27">
        <f>IF(OR(SUM($B91:$F91)=0,B91=""),"",B91/SUM($B91:$F91))</f>
        <v/>
      </c>
      <c r="C234" s="27">
        <f>IF(OR(SUM($B91:$F91)=0,C91=""),"",C91/SUM($B91:$F91))</f>
        <v/>
      </c>
      <c r="D234" s="27">
        <f>IF(OR(SUM($B91:$F91)=0,D91=""),"",D91/SUM($B91:$F91))</f>
        <v/>
      </c>
      <c r="E234" s="27">
        <f>IF(OR(SUM($B91:$F91)=0,E91=""),"",E91/SUM($B91:$F91))</f>
        <v/>
      </c>
      <c r="F234" s="27">
        <f>IF(OR(SUM($B91:$F91)=0,F91=""),"",F91/SUM($B91:$F91))</f>
        <v/>
      </c>
      <c r="H234" s="27">
        <f>IF(COUNT(B91:F91)=5,B91/SUM($B91:$F91),"")</f>
        <v/>
      </c>
      <c r="I234" s="27">
        <f>IF(COUNT(B91:F91)=5,C91/SUM($B91:$F91),"")</f>
        <v/>
      </c>
      <c r="J234" s="27">
        <f>IF(COUNT(B91:F91)=5,D91/SUM($B91:$F91),"")</f>
        <v/>
      </c>
      <c r="K234" s="27">
        <f>IF(COUNT(B91:F91)=5,E91/SUM($B91:$F91),"")</f>
        <v/>
      </c>
      <c r="L234" s="27">
        <f>IF(COUNT(B91:F91)=5,F91/SUM($B91:$F91),"")</f>
        <v/>
      </c>
    </row>
    <row r="235" hidden="1" outlineLevel="1">
      <c r="A235" t="inlineStr">
        <is>
          <t>Week4-Feb-2027</t>
        </is>
      </c>
      <c r="B235" s="27">
        <f>IF(OR(SUM($B92:$F92)=0,B92=""),"",B92/SUM($B92:$F92))</f>
        <v/>
      </c>
      <c r="C235" s="27">
        <f>IF(OR(SUM($B92:$F92)=0,C92=""),"",C92/SUM($B92:$F92))</f>
        <v/>
      </c>
      <c r="D235" s="27">
        <f>IF(OR(SUM($B92:$F92)=0,D92=""),"",D92/SUM($B92:$F92))</f>
        <v/>
      </c>
      <c r="E235" s="27">
        <f>IF(OR(SUM($B92:$F92)=0,E92=""),"",E92/SUM($B92:$F92))</f>
        <v/>
      </c>
      <c r="F235" s="27">
        <f>IF(OR(SUM($B92:$F92)=0,F92=""),"",F92/SUM($B92:$F92))</f>
        <v/>
      </c>
      <c r="H235" s="27">
        <f>IF(COUNT(B92:F92)=5,B92/SUM($B92:$F92),"")</f>
        <v/>
      </c>
      <c r="I235" s="27">
        <f>IF(COUNT(B92:F92)=5,C92/SUM($B92:$F92),"")</f>
        <v/>
      </c>
      <c r="J235" s="27">
        <f>IF(COUNT(B92:F92)=5,D92/SUM($B92:$F92),"")</f>
        <v/>
      </c>
      <c r="K235" s="27">
        <f>IF(COUNT(B92:F92)=5,E92/SUM($B92:$F92),"")</f>
        <v/>
      </c>
      <c r="L235" s="27">
        <f>IF(COUNT(B92:F92)=5,F92/SUM($B92:$F92),"")</f>
        <v/>
      </c>
    </row>
    <row r="236" hidden="1" outlineLevel="1">
      <c r="A236" t="inlineStr">
        <is>
          <t>Week1-Mar-2027</t>
        </is>
      </c>
      <c r="B236" s="27">
        <f>IF(OR(SUM($B93:$F93)=0,B93=""),"",B93/SUM($B93:$F93))</f>
        <v/>
      </c>
      <c r="C236" s="27">
        <f>IF(OR(SUM($B93:$F93)=0,C93=""),"",C93/SUM($B93:$F93))</f>
        <v/>
      </c>
      <c r="D236" s="27">
        <f>IF(OR(SUM($B93:$F93)=0,D93=""),"",D93/SUM($B93:$F93))</f>
        <v/>
      </c>
      <c r="E236" s="27">
        <f>IF(OR(SUM($B93:$F93)=0,E93=""),"",E93/SUM($B93:$F93))</f>
        <v/>
      </c>
      <c r="F236" s="27">
        <f>IF(OR(SUM($B93:$F93)=0,F93=""),"",F93/SUM($B93:$F93))</f>
        <v/>
      </c>
      <c r="H236" s="27">
        <f>IF(COUNT(B93:F93)=5,B93/SUM($B93:$F93),"")</f>
        <v/>
      </c>
      <c r="I236" s="27">
        <f>IF(COUNT(B93:F93)=5,C93/SUM($B93:$F93),"")</f>
        <v/>
      </c>
      <c r="J236" s="27">
        <f>IF(COUNT(B93:F93)=5,D93/SUM($B93:$F93),"")</f>
        <v/>
      </c>
      <c r="K236" s="27">
        <f>IF(COUNT(B93:F93)=5,E93/SUM($B93:$F93),"")</f>
        <v/>
      </c>
      <c r="L236" s="27">
        <f>IF(COUNT(B93:F93)=5,F93/SUM($B93:$F93),"")</f>
        <v/>
      </c>
    </row>
    <row r="237" hidden="1" outlineLevel="1">
      <c r="A237" t="inlineStr">
        <is>
          <t>Week2-Mar-2027</t>
        </is>
      </c>
      <c r="B237" s="27">
        <f>IF(OR(SUM($B94:$F94)=0,B94=""),"",B94/SUM($B94:$F94))</f>
        <v/>
      </c>
      <c r="C237" s="27">
        <f>IF(OR(SUM($B94:$F94)=0,C94=""),"",C94/SUM($B94:$F94))</f>
        <v/>
      </c>
      <c r="D237" s="27">
        <f>IF(OR(SUM($B94:$F94)=0,D94=""),"",D94/SUM($B94:$F94))</f>
        <v/>
      </c>
      <c r="E237" s="27">
        <f>IF(OR(SUM($B94:$F94)=0,E94=""),"",E94/SUM($B94:$F94))</f>
        <v/>
      </c>
      <c r="F237" s="27">
        <f>IF(OR(SUM($B94:$F94)=0,F94=""),"",F94/SUM($B94:$F94))</f>
        <v/>
      </c>
      <c r="H237" s="27">
        <f>IF(COUNT(B94:F94)=5,B94/SUM($B94:$F94),"")</f>
        <v/>
      </c>
      <c r="I237" s="27">
        <f>IF(COUNT(B94:F94)=5,C94/SUM($B94:$F94),"")</f>
        <v/>
      </c>
      <c r="J237" s="27">
        <f>IF(COUNT(B94:F94)=5,D94/SUM($B94:$F94),"")</f>
        <v/>
      </c>
      <c r="K237" s="27">
        <f>IF(COUNT(B94:F94)=5,E94/SUM($B94:$F94),"")</f>
        <v/>
      </c>
      <c r="L237" s="27">
        <f>IF(COUNT(B94:F94)=5,F94/SUM($B94:$F94),"")</f>
        <v/>
      </c>
    </row>
    <row r="238" hidden="1" outlineLevel="1">
      <c r="A238" t="inlineStr">
        <is>
          <t>Week3-Mar-2027</t>
        </is>
      </c>
      <c r="B238" s="27">
        <f>IF(OR(SUM($B95:$F95)=0,B95=""),"",B95/SUM($B95:$F95))</f>
        <v/>
      </c>
      <c r="C238" s="27">
        <f>IF(OR(SUM($B95:$F95)=0,C95=""),"",C95/SUM($B95:$F95))</f>
        <v/>
      </c>
      <c r="D238" s="27">
        <f>IF(OR(SUM($B95:$F95)=0,D95=""),"",D95/SUM($B95:$F95))</f>
        <v/>
      </c>
      <c r="E238" s="27">
        <f>IF(OR(SUM($B95:$F95)=0,E95=""),"",E95/SUM($B95:$F95))</f>
        <v/>
      </c>
      <c r="F238" s="27">
        <f>IF(OR(SUM($B95:$F95)=0,F95=""),"",F95/SUM($B95:$F95))</f>
        <v/>
      </c>
      <c r="H238" s="27">
        <f>IF(COUNT(B95:F95)=5,B95/SUM($B95:$F95),"")</f>
        <v/>
      </c>
      <c r="I238" s="27">
        <f>IF(COUNT(B95:F95)=5,C95/SUM($B95:$F95),"")</f>
        <v/>
      </c>
      <c r="J238" s="27">
        <f>IF(COUNT(B95:F95)=5,D95/SUM($B95:$F95),"")</f>
        <v/>
      </c>
      <c r="K238" s="27">
        <f>IF(COUNT(B95:F95)=5,E95/SUM($B95:$F95),"")</f>
        <v/>
      </c>
      <c r="L238" s="27">
        <f>IF(COUNT(B95:F95)=5,F95/SUM($B95:$F95),"")</f>
        <v/>
      </c>
    </row>
    <row r="239" hidden="1" outlineLevel="1">
      <c r="A239" t="inlineStr">
        <is>
          <t>Week4-Mar-2027</t>
        </is>
      </c>
      <c r="B239" s="27">
        <f>IF(OR(SUM($B96:$F96)=0,B96=""),"",B96/SUM($B96:$F96))</f>
        <v/>
      </c>
      <c r="C239" s="27">
        <f>IF(OR(SUM($B96:$F96)=0,C96=""),"",C96/SUM($B96:$F96))</f>
        <v/>
      </c>
      <c r="D239" s="27">
        <f>IF(OR(SUM($B96:$F96)=0,D96=""),"",D96/SUM($B96:$F96))</f>
        <v/>
      </c>
      <c r="E239" s="27">
        <f>IF(OR(SUM($B96:$F96)=0,E96=""),"",E96/SUM($B96:$F96))</f>
        <v/>
      </c>
      <c r="F239" s="27">
        <f>IF(OR(SUM($B96:$F96)=0,F96=""),"",F96/SUM($B96:$F96))</f>
        <v/>
      </c>
      <c r="H239" s="27">
        <f>IF(COUNT(B96:F96)=5,B96/SUM($B96:$F96),"")</f>
        <v/>
      </c>
      <c r="I239" s="27">
        <f>IF(COUNT(B96:F96)=5,C96/SUM($B96:$F96),"")</f>
        <v/>
      </c>
      <c r="J239" s="27">
        <f>IF(COUNT(B96:F96)=5,D96/SUM($B96:$F96),"")</f>
        <v/>
      </c>
      <c r="K239" s="27">
        <f>IF(COUNT(B96:F96)=5,E96/SUM($B96:$F96),"")</f>
        <v/>
      </c>
      <c r="L239" s="27">
        <f>IF(COUNT(B96:F96)=5,F96/SUM($B96:$F96),"")</f>
        <v/>
      </c>
    </row>
    <row r="240" hidden="1" outlineLevel="1">
      <c r="A240" t="inlineStr">
        <is>
          <t>Week5-Mar-2027</t>
        </is>
      </c>
      <c r="B240" s="27">
        <f>IF(OR(SUM($B97:$F97)=0,B97=""),"",B97/SUM($B97:$F97))</f>
        <v/>
      </c>
      <c r="C240" s="27">
        <f>IF(OR(SUM($B97:$F97)=0,C97=""),"",C97/SUM($B97:$F97))</f>
        <v/>
      </c>
      <c r="D240" s="27">
        <f>IF(OR(SUM($B97:$F97)=0,D97=""),"",D97/SUM($B97:$F97))</f>
        <v/>
      </c>
      <c r="E240" s="27">
        <f>IF(OR(SUM($B97:$F97)=0,E97=""),"",E97/SUM($B97:$F97))</f>
        <v/>
      </c>
      <c r="F240" s="27">
        <f>IF(OR(SUM($B97:$F97)=0,F97=""),"",F97/SUM($B97:$F97))</f>
        <v/>
      </c>
      <c r="H240" s="27">
        <f>IF(COUNT(B97:F97)=5,B97/SUM($B97:$F97),"")</f>
        <v/>
      </c>
      <c r="I240" s="27">
        <f>IF(COUNT(B97:F97)=5,C97/SUM($B97:$F97),"")</f>
        <v/>
      </c>
      <c r="J240" s="27">
        <f>IF(COUNT(B97:F97)=5,D97/SUM($B97:$F97),"")</f>
        <v/>
      </c>
      <c r="K240" s="27">
        <f>IF(COUNT(B97:F97)=5,E97/SUM($B97:$F97),"")</f>
        <v/>
      </c>
      <c r="L240" s="27">
        <f>IF(COUNT(B97:F97)=5,F97/SUM($B97:$F97),"")</f>
        <v/>
      </c>
    </row>
    <row r="241" hidden="1" outlineLevel="1">
      <c r="A241" t="inlineStr">
        <is>
          <t>Week1-Apr-2027</t>
        </is>
      </c>
      <c r="B241" s="27">
        <f>IF(OR(SUM($B98:$F98)=0,B98=""),"",B98/SUM($B98:$F98))</f>
        <v/>
      </c>
      <c r="C241" s="27">
        <f>IF(OR(SUM($B98:$F98)=0,C98=""),"",C98/SUM($B98:$F98))</f>
        <v/>
      </c>
      <c r="D241" s="27">
        <f>IF(OR(SUM($B98:$F98)=0,D98=""),"",D98/SUM($B98:$F98))</f>
        <v/>
      </c>
      <c r="E241" s="27">
        <f>IF(OR(SUM($B98:$F98)=0,E98=""),"",E98/SUM($B98:$F98))</f>
        <v/>
      </c>
      <c r="F241" s="27">
        <f>IF(OR(SUM($B98:$F98)=0,F98=""),"",F98/SUM($B98:$F98))</f>
        <v/>
      </c>
      <c r="H241" s="27">
        <f>IF(COUNT(B98:F98)=5,B98/SUM($B98:$F98),"")</f>
        <v/>
      </c>
      <c r="I241" s="27">
        <f>IF(COUNT(B98:F98)=5,C98/SUM($B98:$F98),"")</f>
        <v/>
      </c>
      <c r="J241" s="27">
        <f>IF(COUNT(B98:F98)=5,D98/SUM($B98:$F98),"")</f>
        <v/>
      </c>
      <c r="K241" s="27">
        <f>IF(COUNT(B98:F98)=5,E98/SUM($B98:$F98),"")</f>
        <v/>
      </c>
      <c r="L241" s="27">
        <f>IF(COUNT(B98:F98)=5,F98/SUM($B98:$F98),"")</f>
        <v/>
      </c>
    </row>
    <row r="242" hidden="1" outlineLevel="1">
      <c r="A242" t="inlineStr">
        <is>
          <t>Week2-Apr-2027</t>
        </is>
      </c>
      <c r="B242" s="27">
        <f>IF(OR(SUM($B99:$F99)=0,B99=""),"",B99/SUM($B99:$F99))</f>
        <v/>
      </c>
      <c r="C242" s="27">
        <f>IF(OR(SUM($B99:$F99)=0,C99=""),"",C99/SUM($B99:$F99))</f>
        <v/>
      </c>
      <c r="D242" s="27">
        <f>IF(OR(SUM($B99:$F99)=0,D99=""),"",D99/SUM($B99:$F99))</f>
        <v/>
      </c>
      <c r="E242" s="27">
        <f>IF(OR(SUM($B99:$F99)=0,E99=""),"",E99/SUM($B99:$F99))</f>
        <v/>
      </c>
      <c r="F242" s="27">
        <f>IF(OR(SUM($B99:$F99)=0,F99=""),"",F99/SUM($B99:$F99))</f>
        <v/>
      </c>
      <c r="H242" s="27">
        <f>IF(COUNT(B99:F99)=5,B99/SUM($B99:$F99),"")</f>
        <v/>
      </c>
      <c r="I242" s="27">
        <f>IF(COUNT(B99:F99)=5,C99/SUM($B99:$F99),"")</f>
        <v/>
      </c>
      <c r="J242" s="27">
        <f>IF(COUNT(B99:F99)=5,D99/SUM($B99:$F99),"")</f>
        <v/>
      </c>
      <c r="K242" s="27">
        <f>IF(COUNT(B99:F99)=5,E99/SUM($B99:$F99),"")</f>
        <v/>
      </c>
      <c r="L242" s="27">
        <f>IF(COUNT(B99:F99)=5,F99/SUM($B99:$F99),"")</f>
        <v/>
      </c>
    </row>
    <row r="243" hidden="1" outlineLevel="1">
      <c r="A243" t="inlineStr">
        <is>
          <t>Week3-Apr-2027</t>
        </is>
      </c>
      <c r="B243" s="27">
        <f>IF(OR(SUM($B100:$F100)=0,B100=""),"",B100/SUM($B100:$F100))</f>
        <v/>
      </c>
      <c r="C243" s="27">
        <f>IF(OR(SUM($B100:$F100)=0,C100=""),"",C100/SUM($B100:$F100))</f>
        <v/>
      </c>
      <c r="D243" s="27">
        <f>IF(OR(SUM($B100:$F100)=0,D100=""),"",D100/SUM($B100:$F100))</f>
        <v/>
      </c>
      <c r="E243" s="27">
        <f>IF(OR(SUM($B100:$F100)=0,E100=""),"",E100/SUM($B100:$F100))</f>
        <v/>
      </c>
      <c r="F243" s="27">
        <f>IF(OR(SUM($B100:$F100)=0,F100=""),"",F100/SUM($B100:$F100))</f>
        <v/>
      </c>
      <c r="H243" s="27">
        <f>IF(COUNT(B100:F100)=5,B100/SUM($B100:$F100),"")</f>
        <v/>
      </c>
      <c r="I243" s="27">
        <f>IF(COUNT(B100:F100)=5,C100/SUM($B100:$F100),"")</f>
        <v/>
      </c>
      <c r="J243" s="27">
        <f>IF(COUNT(B100:F100)=5,D100/SUM($B100:$F100),"")</f>
        <v/>
      </c>
      <c r="K243" s="27">
        <f>IF(COUNT(B100:F100)=5,E100/SUM($B100:$F100),"")</f>
        <v/>
      </c>
      <c r="L243" s="27">
        <f>IF(COUNT(B100:F100)=5,F100/SUM($B100:$F100),"")</f>
        <v/>
      </c>
    </row>
    <row r="244" hidden="1" outlineLevel="1">
      <c r="A244" t="inlineStr">
        <is>
          <t>Week4-Apr-2027</t>
        </is>
      </c>
      <c r="B244" s="27">
        <f>IF(OR(SUM($B101:$F101)=0,B101=""),"",B101/SUM($B101:$F101))</f>
        <v/>
      </c>
      <c r="C244" s="27">
        <f>IF(OR(SUM($B101:$F101)=0,C101=""),"",C101/SUM($B101:$F101))</f>
        <v/>
      </c>
      <c r="D244" s="27">
        <f>IF(OR(SUM($B101:$F101)=0,D101=""),"",D101/SUM($B101:$F101))</f>
        <v/>
      </c>
      <c r="E244" s="27">
        <f>IF(OR(SUM($B101:$F101)=0,E101=""),"",E101/SUM($B101:$F101))</f>
        <v/>
      </c>
      <c r="F244" s="27">
        <f>IF(OR(SUM($B101:$F101)=0,F101=""),"",F101/SUM($B101:$F101))</f>
        <v/>
      </c>
      <c r="H244" s="27">
        <f>IF(COUNT(B101:F101)=5,B101/SUM($B101:$F101),"")</f>
        <v/>
      </c>
      <c r="I244" s="27">
        <f>IF(COUNT(B101:F101)=5,C101/SUM($B101:$F101),"")</f>
        <v/>
      </c>
      <c r="J244" s="27">
        <f>IF(COUNT(B101:F101)=5,D101/SUM($B101:$F101),"")</f>
        <v/>
      </c>
      <c r="K244" s="27">
        <f>IF(COUNT(B101:F101)=5,E101/SUM($B101:$F101),"")</f>
        <v/>
      </c>
      <c r="L244" s="27">
        <f>IF(COUNT(B101:F101)=5,F101/SUM($B101:$F101),"")</f>
        <v/>
      </c>
    </row>
    <row r="245" hidden="1" outlineLevel="1">
      <c r="A245" t="inlineStr">
        <is>
          <t>Week5-Apr-2027</t>
        </is>
      </c>
      <c r="B245" s="27">
        <f>IF(OR(SUM($B102:$F102)=0,B102=""),"",B102/SUM($B102:$F102))</f>
        <v/>
      </c>
      <c r="C245" s="27">
        <f>IF(OR(SUM($B102:$F102)=0,C102=""),"",C102/SUM($B102:$F102))</f>
        <v/>
      </c>
      <c r="D245" s="27">
        <f>IF(OR(SUM($B102:$F102)=0,D102=""),"",D102/SUM($B102:$F102))</f>
        <v/>
      </c>
      <c r="E245" s="27">
        <f>IF(OR(SUM($B102:$F102)=0,E102=""),"",E102/SUM($B102:$F102))</f>
        <v/>
      </c>
      <c r="F245" s="27">
        <f>IF(OR(SUM($B102:$F102)=0,F102=""),"",F102/SUM($B102:$F102))</f>
        <v/>
      </c>
      <c r="H245" s="27">
        <f>IF(COUNT(B102:F102)=5,B102/SUM($B102:$F102),"")</f>
        <v/>
      </c>
      <c r="I245" s="27">
        <f>IF(COUNT(B102:F102)=5,C102/SUM($B102:$F102),"")</f>
        <v/>
      </c>
      <c r="J245" s="27">
        <f>IF(COUNT(B102:F102)=5,D102/SUM($B102:$F102),"")</f>
        <v/>
      </c>
      <c r="K245" s="27">
        <f>IF(COUNT(B102:F102)=5,E102/SUM($B102:$F102),"")</f>
        <v/>
      </c>
      <c r="L245" s="27">
        <f>IF(COUNT(B102:F102)=5,F102/SUM($B102:$F102),"")</f>
        <v/>
      </c>
    </row>
    <row r="246" hidden="1" outlineLevel="1">
      <c r="A246" t="inlineStr">
        <is>
          <t>Week1-May-2027</t>
        </is>
      </c>
      <c r="B246" s="27">
        <f>IF(OR(SUM($B103:$F103)=0,B103=""),"",B103/SUM($B103:$F103))</f>
        <v/>
      </c>
      <c r="C246" s="27">
        <f>IF(OR(SUM($B103:$F103)=0,C103=""),"",C103/SUM($B103:$F103))</f>
        <v/>
      </c>
      <c r="D246" s="27">
        <f>IF(OR(SUM($B103:$F103)=0,D103=""),"",D103/SUM($B103:$F103))</f>
        <v/>
      </c>
      <c r="E246" s="27">
        <f>IF(OR(SUM($B103:$F103)=0,E103=""),"",E103/SUM($B103:$F103))</f>
        <v/>
      </c>
      <c r="F246" s="27">
        <f>IF(OR(SUM($B103:$F103)=0,F103=""),"",F103/SUM($B103:$F103))</f>
        <v/>
      </c>
      <c r="H246" s="27">
        <f>IF(COUNT(B103:F103)=5,B103/SUM($B103:$F103),"")</f>
        <v/>
      </c>
      <c r="I246" s="27">
        <f>IF(COUNT(B103:F103)=5,C103/SUM($B103:$F103),"")</f>
        <v/>
      </c>
      <c r="J246" s="27">
        <f>IF(COUNT(B103:F103)=5,D103/SUM($B103:$F103),"")</f>
        <v/>
      </c>
      <c r="K246" s="27">
        <f>IF(COUNT(B103:F103)=5,E103/SUM($B103:$F103),"")</f>
        <v/>
      </c>
      <c r="L246" s="27">
        <f>IF(COUNT(B103:F103)=5,F103/SUM($B103:$F103),"")</f>
        <v/>
      </c>
    </row>
    <row r="247" hidden="1" outlineLevel="1">
      <c r="A247" t="inlineStr">
        <is>
          <t>Week2-May-2027</t>
        </is>
      </c>
      <c r="B247" s="27">
        <f>IF(OR(SUM($B104:$F104)=0,B104=""),"",B104/SUM($B104:$F104))</f>
        <v/>
      </c>
      <c r="C247" s="27">
        <f>IF(OR(SUM($B104:$F104)=0,C104=""),"",C104/SUM($B104:$F104))</f>
        <v/>
      </c>
      <c r="D247" s="27">
        <f>IF(OR(SUM($B104:$F104)=0,D104=""),"",D104/SUM($B104:$F104))</f>
        <v/>
      </c>
      <c r="E247" s="27">
        <f>IF(OR(SUM($B104:$F104)=0,E104=""),"",E104/SUM($B104:$F104))</f>
        <v/>
      </c>
      <c r="F247" s="27">
        <f>IF(OR(SUM($B104:$F104)=0,F104=""),"",F104/SUM($B104:$F104))</f>
        <v/>
      </c>
      <c r="H247" s="27">
        <f>IF(COUNT(B104:F104)=5,B104/SUM($B104:$F104),"")</f>
        <v/>
      </c>
      <c r="I247" s="27">
        <f>IF(COUNT(B104:F104)=5,C104/SUM($B104:$F104),"")</f>
        <v/>
      </c>
      <c r="J247" s="27">
        <f>IF(COUNT(B104:F104)=5,D104/SUM($B104:$F104),"")</f>
        <v/>
      </c>
      <c r="K247" s="27">
        <f>IF(COUNT(B104:F104)=5,E104/SUM($B104:$F104),"")</f>
        <v/>
      </c>
      <c r="L247" s="27">
        <f>IF(COUNT(B104:F104)=5,F104/SUM($B104:$F104),"")</f>
        <v/>
      </c>
    </row>
    <row r="248" hidden="1" outlineLevel="1">
      <c r="A248" t="inlineStr">
        <is>
          <t>Week3-May-2027</t>
        </is>
      </c>
      <c r="B248" s="27">
        <f>IF(OR(SUM($B105:$F105)=0,B105=""),"",B105/SUM($B105:$F105))</f>
        <v/>
      </c>
      <c r="C248" s="27">
        <f>IF(OR(SUM($B105:$F105)=0,C105=""),"",C105/SUM($B105:$F105))</f>
        <v/>
      </c>
      <c r="D248" s="27">
        <f>IF(OR(SUM($B105:$F105)=0,D105=""),"",D105/SUM($B105:$F105))</f>
        <v/>
      </c>
      <c r="E248" s="27">
        <f>IF(OR(SUM($B105:$F105)=0,E105=""),"",E105/SUM($B105:$F105))</f>
        <v/>
      </c>
      <c r="F248" s="27">
        <f>IF(OR(SUM($B105:$F105)=0,F105=""),"",F105/SUM($B105:$F105))</f>
        <v/>
      </c>
      <c r="H248" s="27">
        <f>IF(COUNT(B105:F105)=5,B105/SUM($B105:$F105),"")</f>
        <v/>
      </c>
      <c r="I248" s="27">
        <f>IF(COUNT(B105:F105)=5,C105/SUM($B105:$F105),"")</f>
        <v/>
      </c>
      <c r="J248" s="27">
        <f>IF(COUNT(B105:F105)=5,D105/SUM($B105:$F105),"")</f>
        <v/>
      </c>
      <c r="K248" s="27">
        <f>IF(COUNT(B105:F105)=5,E105/SUM($B105:$F105),"")</f>
        <v/>
      </c>
      <c r="L248" s="27">
        <f>IF(COUNT(B105:F105)=5,F105/SUM($B105:$F105),"")</f>
        <v/>
      </c>
    </row>
    <row r="249" hidden="1" outlineLevel="1">
      <c r="A249" t="inlineStr">
        <is>
          <t>Week4-May-2027</t>
        </is>
      </c>
      <c r="B249" s="27">
        <f>IF(OR(SUM($B106:$F106)=0,B106=""),"",B106/SUM($B106:$F106))</f>
        <v/>
      </c>
      <c r="C249" s="27">
        <f>IF(OR(SUM($B106:$F106)=0,C106=""),"",C106/SUM($B106:$F106))</f>
        <v/>
      </c>
      <c r="D249" s="27">
        <f>IF(OR(SUM($B106:$F106)=0,D106=""),"",D106/SUM($B106:$F106))</f>
        <v/>
      </c>
      <c r="E249" s="27">
        <f>IF(OR(SUM($B106:$F106)=0,E106=""),"",E106/SUM($B106:$F106))</f>
        <v/>
      </c>
      <c r="F249" s="27">
        <f>IF(OR(SUM($B106:$F106)=0,F106=""),"",F106/SUM($B106:$F106))</f>
        <v/>
      </c>
      <c r="H249" s="27">
        <f>IF(COUNT(B106:F106)=5,B106/SUM($B106:$F106),"")</f>
        <v/>
      </c>
      <c r="I249" s="27">
        <f>IF(COUNT(B106:F106)=5,C106/SUM($B106:$F106),"")</f>
        <v/>
      </c>
      <c r="J249" s="27">
        <f>IF(COUNT(B106:F106)=5,D106/SUM($B106:$F106),"")</f>
        <v/>
      </c>
      <c r="K249" s="27">
        <f>IF(COUNT(B106:F106)=5,E106/SUM($B106:$F106),"")</f>
        <v/>
      </c>
      <c r="L249" s="27">
        <f>IF(COUNT(B106:F106)=5,F106/SUM($B106:$F106),"")</f>
        <v/>
      </c>
    </row>
    <row r="250" hidden="1" outlineLevel="1">
      <c r="A250" t="inlineStr">
        <is>
          <t>Week5-May-2027</t>
        </is>
      </c>
      <c r="B250" s="27">
        <f>IF(OR(SUM($B107:$F107)=0,B107=""),"",B107/SUM($B107:$F107))</f>
        <v/>
      </c>
      <c r="C250" s="27">
        <f>IF(OR(SUM($B107:$F107)=0,C107=""),"",C107/SUM($B107:$F107))</f>
        <v/>
      </c>
      <c r="D250" s="27">
        <f>IF(OR(SUM($B107:$F107)=0,D107=""),"",D107/SUM($B107:$F107))</f>
        <v/>
      </c>
      <c r="E250" s="27">
        <f>IF(OR(SUM($B107:$F107)=0,E107=""),"",E107/SUM($B107:$F107))</f>
        <v/>
      </c>
      <c r="F250" s="27">
        <f>IF(OR(SUM($B107:$F107)=0,F107=""),"",F107/SUM($B107:$F107))</f>
        <v/>
      </c>
      <c r="H250" s="27">
        <f>IF(COUNT(B107:F107)=5,B107/SUM($B107:$F107),"")</f>
        <v/>
      </c>
      <c r="I250" s="27">
        <f>IF(COUNT(B107:F107)=5,C107/SUM($B107:$F107),"")</f>
        <v/>
      </c>
      <c r="J250" s="27">
        <f>IF(COUNT(B107:F107)=5,D107/SUM($B107:$F107),"")</f>
        <v/>
      </c>
      <c r="K250" s="27">
        <f>IF(COUNT(B107:F107)=5,E107/SUM($B107:$F107),"")</f>
        <v/>
      </c>
      <c r="L250" s="27">
        <f>IF(COUNT(B107:F107)=5,F107/SUM($B107:$F107),"")</f>
        <v/>
      </c>
    </row>
    <row r="251" hidden="1" outlineLevel="1">
      <c r="A251" t="inlineStr">
        <is>
          <t>Week1-Jun-2027</t>
        </is>
      </c>
      <c r="B251" s="27">
        <f>IF(OR(SUM($B108:$F108)=0,B108=""),"",B108/SUM($B108:$F108))</f>
        <v/>
      </c>
      <c r="C251" s="27">
        <f>IF(OR(SUM($B108:$F108)=0,C108=""),"",C108/SUM($B108:$F108))</f>
        <v/>
      </c>
      <c r="D251" s="27">
        <f>IF(OR(SUM($B108:$F108)=0,D108=""),"",D108/SUM($B108:$F108))</f>
        <v/>
      </c>
      <c r="E251" s="27">
        <f>IF(OR(SUM($B108:$F108)=0,E108=""),"",E108/SUM($B108:$F108))</f>
        <v/>
      </c>
      <c r="F251" s="27">
        <f>IF(OR(SUM($B108:$F108)=0,F108=""),"",F108/SUM($B108:$F108))</f>
        <v/>
      </c>
      <c r="H251" s="27">
        <f>IF(COUNT(B108:F108)=5,B108/SUM($B108:$F108),"")</f>
        <v/>
      </c>
      <c r="I251" s="27">
        <f>IF(COUNT(B108:F108)=5,C108/SUM($B108:$F108),"")</f>
        <v/>
      </c>
      <c r="J251" s="27">
        <f>IF(COUNT(B108:F108)=5,D108/SUM($B108:$F108),"")</f>
        <v/>
      </c>
      <c r="K251" s="27">
        <f>IF(COUNT(B108:F108)=5,E108/SUM($B108:$F108),"")</f>
        <v/>
      </c>
      <c r="L251" s="27">
        <f>IF(COUNT(B108:F108)=5,F108/SUM($B108:$F108),"")</f>
        <v/>
      </c>
    </row>
    <row r="252" hidden="1" outlineLevel="1">
      <c r="A252" t="inlineStr">
        <is>
          <t>Week2-Jun-2027</t>
        </is>
      </c>
      <c r="B252" s="27">
        <f>IF(OR(SUM($B109:$F109)=0,B109=""),"",B109/SUM($B109:$F109))</f>
        <v/>
      </c>
      <c r="C252" s="27">
        <f>IF(OR(SUM($B109:$F109)=0,C109=""),"",C109/SUM($B109:$F109))</f>
        <v/>
      </c>
      <c r="D252" s="27">
        <f>IF(OR(SUM($B109:$F109)=0,D109=""),"",D109/SUM($B109:$F109))</f>
        <v/>
      </c>
      <c r="E252" s="27">
        <f>IF(OR(SUM($B109:$F109)=0,E109=""),"",E109/SUM($B109:$F109))</f>
        <v/>
      </c>
      <c r="F252" s="27">
        <f>IF(OR(SUM($B109:$F109)=0,F109=""),"",F109/SUM($B109:$F109))</f>
        <v/>
      </c>
      <c r="H252" s="27">
        <f>IF(COUNT(B109:F109)=5,B109/SUM($B109:$F109),"")</f>
        <v/>
      </c>
      <c r="I252" s="27">
        <f>IF(COUNT(B109:F109)=5,C109/SUM($B109:$F109),"")</f>
        <v/>
      </c>
      <c r="J252" s="27">
        <f>IF(COUNT(B109:F109)=5,D109/SUM($B109:$F109),"")</f>
        <v/>
      </c>
      <c r="K252" s="27">
        <f>IF(COUNT(B109:F109)=5,E109/SUM($B109:$F109),"")</f>
        <v/>
      </c>
      <c r="L252" s="27">
        <f>IF(COUNT(B109:F109)=5,F109/SUM($B109:$F109),"")</f>
        <v/>
      </c>
    </row>
    <row r="253" hidden="1" outlineLevel="1">
      <c r="A253" t="inlineStr">
        <is>
          <t>Week3-Jun-2027</t>
        </is>
      </c>
      <c r="B253" s="27">
        <f>IF(OR(SUM($B110:$F110)=0,B110=""),"",B110/SUM($B110:$F110))</f>
        <v/>
      </c>
      <c r="C253" s="27">
        <f>IF(OR(SUM($B110:$F110)=0,C110=""),"",C110/SUM($B110:$F110))</f>
        <v/>
      </c>
      <c r="D253" s="27">
        <f>IF(OR(SUM($B110:$F110)=0,D110=""),"",D110/SUM($B110:$F110))</f>
        <v/>
      </c>
      <c r="E253" s="27">
        <f>IF(OR(SUM($B110:$F110)=0,E110=""),"",E110/SUM($B110:$F110))</f>
        <v/>
      </c>
      <c r="F253" s="27">
        <f>IF(OR(SUM($B110:$F110)=0,F110=""),"",F110/SUM($B110:$F110))</f>
        <v/>
      </c>
      <c r="H253" s="27">
        <f>IF(COUNT(B110:F110)=5,B110/SUM($B110:$F110),"")</f>
        <v/>
      </c>
      <c r="I253" s="27">
        <f>IF(COUNT(B110:F110)=5,C110/SUM($B110:$F110),"")</f>
        <v/>
      </c>
      <c r="J253" s="27">
        <f>IF(COUNT(B110:F110)=5,D110/SUM($B110:$F110),"")</f>
        <v/>
      </c>
      <c r="K253" s="27">
        <f>IF(COUNT(B110:F110)=5,E110/SUM($B110:$F110),"")</f>
        <v/>
      </c>
      <c r="L253" s="27">
        <f>IF(COUNT(B110:F110)=5,F110/SUM($B110:$F110),"")</f>
        <v/>
      </c>
    </row>
    <row r="254" hidden="1" outlineLevel="1">
      <c r="A254" t="inlineStr">
        <is>
          <t>Week4-Jun-2027</t>
        </is>
      </c>
      <c r="B254" s="27">
        <f>IF(OR(SUM($B111:$F111)=0,B111=""),"",B111/SUM($B111:$F111))</f>
        <v/>
      </c>
      <c r="C254" s="27">
        <f>IF(OR(SUM($B111:$F111)=0,C111=""),"",C111/SUM($B111:$F111))</f>
        <v/>
      </c>
      <c r="D254" s="27">
        <f>IF(OR(SUM($B111:$F111)=0,D111=""),"",D111/SUM($B111:$F111))</f>
        <v/>
      </c>
      <c r="E254" s="27">
        <f>IF(OR(SUM($B111:$F111)=0,E111=""),"",E111/SUM($B111:$F111))</f>
        <v/>
      </c>
      <c r="F254" s="27">
        <f>IF(OR(SUM($B111:$F111)=0,F111=""),"",F111/SUM($B111:$F111))</f>
        <v/>
      </c>
      <c r="H254" s="27">
        <f>IF(COUNT(B111:F111)=5,B111/SUM($B111:$F111),"")</f>
        <v/>
      </c>
      <c r="I254" s="27">
        <f>IF(COUNT(B111:F111)=5,C111/SUM($B111:$F111),"")</f>
        <v/>
      </c>
      <c r="J254" s="27">
        <f>IF(COUNT(B111:F111)=5,D111/SUM($B111:$F111),"")</f>
        <v/>
      </c>
      <c r="K254" s="27">
        <f>IF(COUNT(B111:F111)=5,E111/SUM($B111:$F111),"")</f>
        <v/>
      </c>
      <c r="L254" s="27">
        <f>IF(COUNT(B111:F111)=5,F111/SUM($B111:$F111),"")</f>
        <v/>
      </c>
    </row>
    <row r="255" hidden="1" outlineLevel="1">
      <c r="A255" t="inlineStr">
        <is>
          <t>Week5-Jun-2027</t>
        </is>
      </c>
      <c r="B255" s="27">
        <f>IF(OR(SUM($B112:$F112)=0,B112=""),"",B112/SUM($B112:$F112))</f>
        <v/>
      </c>
      <c r="C255" s="27">
        <f>IF(OR(SUM($B112:$F112)=0,C112=""),"",C112/SUM($B112:$F112))</f>
        <v/>
      </c>
      <c r="D255" s="27">
        <f>IF(OR(SUM($B112:$F112)=0,D112=""),"",D112/SUM($B112:$F112))</f>
        <v/>
      </c>
      <c r="E255" s="27">
        <f>IF(OR(SUM($B112:$F112)=0,E112=""),"",E112/SUM($B112:$F112))</f>
        <v/>
      </c>
      <c r="F255" s="27">
        <f>IF(OR(SUM($B112:$F112)=0,F112=""),"",F112/SUM($B112:$F112))</f>
        <v/>
      </c>
      <c r="H255" s="27">
        <f>IF(COUNT(B112:F112)=5,B112/SUM($B112:$F112),"")</f>
        <v/>
      </c>
      <c r="I255" s="27">
        <f>IF(COUNT(B112:F112)=5,C112/SUM($B112:$F112),"")</f>
        <v/>
      </c>
      <c r="J255" s="27">
        <f>IF(COUNT(B112:F112)=5,D112/SUM($B112:$F112),"")</f>
        <v/>
      </c>
      <c r="K255" s="27">
        <f>IF(COUNT(B112:F112)=5,E112/SUM($B112:$F112),"")</f>
        <v/>
      </c>
      <c r="L255" s="27">
        <f>IF(COUNT(B112:F112)=5,F112/SUM($B112:$F112),"")</f>
        <v/>
      </c>
    </row>
    <row r="256" hidden="1" outlineLevel="1">
      <c r="A256" t="inlineStr">
        <is>
          <t>Week1-Jul-2027</t>
        </is>
      </c>
      <c r="B256" s="27">
        <f>IF(OR(SUM($B113:$F113)=0,B113=""),"",B113/SUM($B113:$F113))</f>
        <v/>
      </c>
      <c r="C256" s="27">
        <f>IF(OR(SUM($B113:$F113)=0,C113=""),"",C113/SUM($B113:$F113))</f>
        <v/>
      </c>
      <c r="D256" s="27">
        <f>IF(OR(SUM($B113:$F113)=0,D113=""),"",D113/SUM($B113:$F113))</f>
        <v/>
      </c>
      <c r="E256" s="27">
        <f>IF(OR(SUM($B113:$F113)=0,E113=""),"",E113/SUM($B113:$F113))</f>
        <v/>
      </c>
      <c r="F256" s="27">
        <f>IF(OR(SUM($B113:$F113)=0,F113=""),"",F113/SUM($B113:$F113))</f>
        <v/>
      </c>
      <c r="H256" s="27">
        <f>IF(COUNT(B113:F113)=5,B113/SUM($B113:$F113),"")</f>
        <v/>
      </c>
      <c r="I256" s="27">
        <f>IF(COUNT(B113:F113)=5,C113/SUM($B113:$F113),"")</f>
        <v/>
      </c>
      <c r="J256" s="27">
        <f>IF(COUNT(B113:F113)=5,D113/SUM($B113:$F113),"")</f>
        <v/>
      </c>
      <c r="K256" s="27">
        <f>IF(COUNT(B113:F113)=5,E113/SUM($B113:$F113),"")</f>
        <v/>
      </c>
      <c r="L256" s="27">
        <f>IF(COUNT(B113:F113)=5,F113/SUM($B113:$F113),"")</f>
        <v/>
      </c>
    </row>
    <row r="257" hidden="1" outlineLevel="1">
      <c r="A257" t="inlineStr">
        <is>
          <t>Week2-Jul-2027</t>
        </is>
      </c>
      <c r="B257" s="27">
        <f>IF(OR(SUM($B114:$F114)=0,B114=""),"",B114/SUM($B114:$F114))</f>
        <v/>
      </c>
      <c r="C257" s="27">
        <f>IF(OR(SUM($B114:$F114)=0,C114=""),"",C114/SUM($B114:$F114))</f>
        <v/>
      </c>
      <c r="D257" s="27">
        <f>IF(OR(SUM($B114:$F114)=0,D114=""),"",D114/SUM($B114:$F114))</f>
        <v/>
      </c>
      <c r="E257" s="27">
        <f>IF(OR(SUM($B114:$F114)=0,E114=""),"",E114/SUM($B114:$F114))</f>
        <v/>
      </c>
      <c r="F257" s="27">
        <f>IF(OR(SUM($B114:$F114)=0,F114=""),"",F114/SUM($B114:$F114))</f>
        <v/>
      </c>
      <c r="H257" s="27">
        <f>IF(COUNT(B114:F114)=5,B114/SUM($B114:$F114),"")</f>
        <v/>
      </c>
      <c r="I257" s="27">
        <f>IF(COUNT(B114:F114)=5,C114/SUM($B114:$F114),"")</f>
        <v/>
      </c>
      <c r="J257" s="27">
        <f>IF(COUNT(B114:F114)=5,D114/SUM($B114:$F114),"")</f>
        <v/>
      </c>
      <c r="K257" s="27">
        <f>IF(COUNT(B114:F114)=5,E114/SUM($B114:$F114),"")</f>
        <v/>
      </c>
      <c r="L257" s="27">
        <f>IF(COUNT(B114:F114)=5,F114/SUM($B114:$F114),"")</f>
        <v/>
      </c>
    </row>
    <row r="258" hidden="1" outlineLevel="1">
      <c r="A258" t="inlineStr">
        <is>
          <t>Week3-Jul-2027</t>
        </is>
      </c>
      <c r="B258" s="27">
        <f>IF(OR(SUM($B115:$F115)=0,B115=""),"",B115/SUM($B115:$F115))</f>
        <v/>
      </c>
      <c r="C258" s="27">
        <f>IF(OR(SUM($B115:$F115)=0,C115=""),"",C115/SUM($B115:$F115))</f>
        <v/>
      </c>
      <c r="D258" s="27">
        <f>IF(OR(SUM($B115:$F115)=0,D115=""),"",D115/SUM($B115:$F115))</f>
        <v/>
      </c>
      <c r="E258" s="27">
        <f>IF(OR(SUM($B115:$F115)=0,E115=""),"",E115/SUM($B115:$F115))</f>
        <v/>
      </c>
      <c r="F258" s="27">
        <f>IF(OR(SUM($B115:$F115)=0,F115=""),"",F115/SUM($B115:$F115))</f>
        <v/>
      </c>
      <c r="H258" s="27">
        <f>IF(COUNT(B115:F115)=5,B115/SUM($B115:$F115),"")</f>
        <v/>
      </c>
      <c r="I258" s="27">
        <f>IF(COUNT(B115:F115)=5,C115/SUM($B115:$F115),"")</f>
        <v/>
      </c>
      <c r="J258" s="27">
        <f>IF(COUNT(B115:F115)=5,D115/SUM($B115:$F115),"")</f>
        <v/>
      </c>
      <c r="K258" s="27">
        <f>IF(COUNT(B115:F115)=5,E115/SUM($B115:$F115),"")</f>
        <v/>
      </c>
      <c r="L258" s="27">
        <f>IF(COUNT(B115:F115)=5,F115/SUM($B115:$F115),"")</f>
        <v/>
      </c>
    </row>
    <row r="259" hidden="1" outlineLevel="1">
      <c r="A259" t="inlineStr">
        <is>
          <t>Week4-Jul-2027</t>
        </is>
      </c>
      <c r="B259" s="27">
        <f>IF(OR(SUM($B116:$F116)=0,B116=""),"",B116/SUM($B116:$F116))</f>
        <v/>
      </c>
      <c r="C259" s="27">
        <f>IF(OR(SUM($B116:$F116)=0,C116=""),"",C116/SUM($B116:$F116))</f>
        <v/>
      </c>
      <c r="D259" s="27">
        <f>IF(OR(SUM($B116:$F116)=0,D116=""),"",D116/SUM($B116:$F116))</f>
        <v/>
      </c>
      <c r="E259" s="27">
        <f>IF(OR(SUM($B116:$F116)=0,E116=""),"",E116/SUM($B116:$F116))</f>
        <v/>
      </c>
      <c r="F259" s="27">
        <f>IF(OR(SUM($B116:$F116)=0,F116=""),"",F116/SUM($B116:$F116))</f>
        <v/>
      </c>
      <c r="H259" s="27">
        <f>IF(COUNT(B116:F116)=5,B116/SUM($B116:$F116),"")</f>
        <v/>
      </c>
      <c r="I259" s="27">
        <f>IF(COUNT(B116:F116)=5,C116/SUM($B116:$F116),"")</f>
        <v/>
      </c>
      <c r="J259" s="27">
        <f>IF(COUNT(B116:F116)=5,D116/SUM($B116:$F116),"")</f>
        <v/>
      </c>
      <c r="K259" s="27">
        <f>IF(COUNT(B116:F116)=5,E116/SUM($B116:$F116),"")</f>
        <v/>
      </c>
      <c r="L259" s="27">
        <f>IF(COUNT(B116:F116)=5,F116/SUM($B116:$F116),"")</f>
        <v/>
      </c>
    </row>
    <row r="260" hidden="1" outlineLevel="1">
      <c r="A260" t="inlineStr">
        <is>
          <t>Week5-Jul-2027</t>
        </is>
      </c>
      <c r="B260" s="27">
        <f>IF(OR(SUM($B117:$F117)=0,B117=""),"",B117/SUM($B117:$F117))</f>
        <v/>
      </c>
      <c r="C260" s="27">
        <f>IF(OR(SUM($B117:$F117)=0,C117=""),"",C117/SUM($B117:$F117))</f>
        <v/>
      </c>
      <c r="D260" s="27">
        <f>IF(OR(SUM($B117:$F117)=0,D117=""),"",D117/SUM($B117:$F117))</f>
        <v/>
      </c>
      <c r="E260" s="27">
        <f>IF(OR(SUM($B117:$F117)=0,E117=""),"",E117/SUM($B117:$F117))</f>
        <v/>
      </c>
      <c r="F260" s="27">
        <f>IF(OR(SUM($B117:$F117)=0,F117=""),"",F117/SUM($B117:$F117))</f>
        <v/>
      </c>
      <c r="H260" s="27">
        <f>IF(COUNT(B117:F117)=5,B117/SUM($B117:$F117),"")</f>
        <v/>
      </c>
      <c r="I260" s="27">
        <f>IF(COUNT(B117:F117)=5,C117/SUM($B117:$F117),"")</f>
        <v/>
      </c>
      <c r="J260" s="27">
        <f>IF(COUNT(B117:F117)=5,D117/SUM($B117:$F117),"")</f>
        <v/>
      </c>
      <c r="K260" s="27">
        <f>IF(COUNT(B117:F117)=5,E117/SUM($B117:$F117),"")</f>
        <v/>
      </c>
      <c r="L260" s="27">
        <f>IF(COUNT(B117:F117)=5,F117/SUM($B117:$F117),"")</f>
        <v/>
      </c>
    </row>
    <row r="261" hidden="1" outlineLevel="1">
      <c r="A261" t="inlineStr">
        <is>
          <t>Week1-Aug-2027</t>
        </is>
      </c>
      <c r="B261" s="27">
        <f>IF(OR(SUM($B118:$F118)=0,B118=""),"",B118/SUM($B118:$F118))</f>
        <v/>
      </c>
      <c r="C261" s="27">
        <f>IF(OR(SUM($B118:$F118)=0,C118=""),"",C118/SUM($B118:$F118))</f>
        <v/>
      </c>
      <c r="D261" s="27">
        <f>IF(OR(SUM($B118:$F118)=0,D118=""),"",D118/SUM($B118:$F118))</f>
        <v/>
      </c>
      <c r="E261" s="27">
        <f>IF(OR(SUM($B118:$F118)=0,E118=""),"",E118/SUM($B118:$F118))</f>
        <v/>
      </c>
      <c r="F261" s="27">
        <f>IF(OR(SUM($B118:$F118)=0,F118=""),"",F118/SUM($B118:$F118))</f>
        <v/>
      </c>
      <c r="H261" s="27">
        <f>IF(COUNT(B118:F118)=5,B118/SUM($B118:$F118),"")</f>
        <v/>
      </c>
      <c r="I261" s="27">
        <f>IF(COUNT(B118:F118)=5,C118/SUM($B118:$F118),"")</f>
        <v/>
      </c>
      <c r="J261" s="27">
        <f>IF(COUNT(B118:F118)=5,D118/SUM($B118:$F118),"")</f>
        <v/>
      </c>
      <c r="K261" s="27">
        <f>IF(COUNT(B118:F118)=5,E118/SUM($B118:$F118),"")</f>
        <v/>
      </c>
      <c r="L261" s="27">
        <f>IF(COUNT(B118:F118)=5,F118/SUM($B118:$F118),"")</f>
        <v/>
      </c>
    </row>
    <row r="262" hidden="1" outlineLevel="1">
      <c r="A262" t="inlineStr">
        <is>
          <t>Week2-Aug-2027</t>
        </is>
      </c>
      <c r="B262" s="27">
        <f>IF(OR(SUM($B119:$F119)=0,B119=""),"",B119/SUM($B119:$F119))</f>
        <v/>
      </c>
      <c r="C262" s="27">
        <f>IF(OR(SUM($B119:$F119)=0,C119=""),"",C119/SUM($B119:$F119))</f>
        <v/>
      </c>
      <c r="D262" s="27">
        <f>IF(OR(SUM($B119:$F119)=0,D119=""),"",D119/SUM($B119:$F119))</f>
        <v/>
      </c>
      <c r="E262" s="27">
        <f>IF(OR(SUM($B119:$F119)=0,E119=""),"",E119/SUM($B119:$F119))</f>
        <v/>
      </c>
      <c r="F262" s="27">
        <f>IF(OR(SUM($B119:$F119)=0,F119=""),"",F119/SUM($B119:$F119))</f>
        <v/>
      </c>
      <c r="H262" s="27">
        <f>IF(COUNT(B119:F119)=5,B119/SUM($B119:$F119),"")</f>
        <v/>
      </c>
      <c r="I262" s="27">
        <f>IF(COUNT(B119:F119)=5,C119/SUM($B119:$F119),"")</f>
        <v/>
      </c>
      <c r="J262" s="27">
        <f>IF(COUNT(B119:F119)=5,D119/SUM($B119:$F119),"")</f>
        <v/>
      </c>
      <c r="K262" s="27">
        <f>IF(COUNT(B119:F119)=5,E119/SUM($B119:$F119),"")</f>
        <v/>
      </c>
      <c r="L262" s="27">
        <f>IF(COUNT(B119:F119)=5,F119/SUM($B119:$F119),"")</f>
        <v/>
      </c>
    </row>
    <row r="263" hidden="1" outlineLevel="1">
      <c r="A263" t="inlineStr">
        <is>
          <t>Week3-Aug-2027</t>
        </is>
      </c>
      <c r="B263" s="27">
        <f>IF(OR(SUM($B120:$F120)=0,B120=""),"",B120/SUM($B120:$F120))</f>
        <v/>
      </c>
      <c r="C263" s="27">
        <f>IF(OR(SUM($B120:$F120)=0,C120=""),"",C120/SUM($B120:$F120))</f>
        <v/>
      </c>
      <c r="D263" s="27">
        <f>IF(OR(SUM($B120:$F120)=0,D120=""),"",D120/SUM($B120:$F120))</f>
        <v/>
      </c>
      <c r="E263" s="27">
        <f>IF(OR(SUM($B120:$F120)=0,E120=""),"",E120/SUM($B120:$F120))</f>
        <v/>
      </c>
      <c r="F263" s="27">
        <f>IF(OR(SUM($B120:$F120)=0,F120=""),"",F120/SUM($B120:$F120))</f>
        <v/>
      </c>
      <c r="H263" s="27">
        <f>IF(COUNT(B120:F120)=5,B120/SUM($B120:$F120),"")</f>
        <v/>
      </c>
      <c r="I263" s="27">
        <f>IF(COUNT(B120:F120)=5,C120/SUM($B120:$F120),"")</f>
        <v/>
      </c>
      <c r="J263" s="27">
        <f>IF(COUNT(B120:F120)=5,D120/SUM($B120:$F120),"")</f>
        <v/>
      </c>
      <c r="K263" s="27">
        <f>IF(COUNT(B120:F120)=5,E120/SUM($B120:$F120),"")</f>
        <v/>
      </c>
      <c r="L263" s="27">
        <f>IF(COUNT(B120:F120)=5,F120/SUM($B120:$F120),"")</f>
        <v/>
      </c>
    </row>
    <row r="264" hidden="1" outlineLevel="1">
      <c r="A264" t="inlineStr">
        <is>
          <t>Week4-Aug-2027</t>
        </is>
      </c>
      <c r="B264" s="27">
        <f>IF(OR(SUM($B121:$F121)=0,B121=""),"",B121/SUM($B121:$F121))</f>
        <v/>
      </c>
      <c r="C264" s="27">
        <f>IF(OR(SUM($B121:$F121)=0,C121=""),"",C121/SUM($B121:$F121))</f>
        <v/>
      </c>
      <c r="D264" s="27">
        <f>IF(OR(SUM($B121:$F121)=0,D121=""),"",D121/SUM($B121:$F121))</f>
        <v/>
      </c>
      <c r="E264" s="27">
        <f>IF(OR(SUM($B121:$F121)=0,E121=""),"",E121/SUM($B121:$F121))</f>
        <v/>
      </c>
      <c r="F264" s="27">
        <f>IF(OR(SUM($B121:$F121)=0,F121=""),"",F121/SUM($B121:$F121))</f>
        <v/>
      </c>
      <c r="H264" s="27">
        <f>IF(COUNT(B121:F121)=5,B121/SUM($B121:$F121),"")</f>
        <v/>
      </c>
      <c r="I264" s="27">
        <f>IF(COUNT(B121:F121)=5,C121/SUM($B121:$F121),"")</f>
        <v/>
      </c>
      <c r="J264" s="27">
        <f>IF(COUNT(B121:F121)=5,D121/SUM($B121:$F121),"")</f>
        <v/>
      </c>
      <c r="K264" s="27">
        <f>IF(COUNT(B121:F121)=5,E121/SUM($B121:$F121),"")</f>
        <v/>
      </c>
      <c r="L264" s="27">
        <f>IF(COUNT(B121:F121)=5,F121/SUM($B121:$F121),"")</f>
        <v/>
      </c>
    </row>
    <row r="265" hidden="1" outlineLevel="1">
      <c r="A265" t="inlineStr">
        <is>
          <t>Week5-Aug-2027</t>
        </is>
      </c>
      <c r="B265" s="27">
        <f>IF(OR(SUM($B122:$F122)=0,B122=""),"",B122/SUM($B122:$F122))</f>
        <v/>
      </c>
      <c r="C265" s="27">
        <f>IF(OR(SUM($B122:$F122)=0,C122=""),"",C122/SUM($B122:$F122))</f>
        <v/>
      </c>
      <c r="D265" s="27">
        <f>IF(OR(SUM($B122:$F122)=0,D122=""),"",D122/SUM($B122:$F122))</f>
        <v/>
      </c>
      <c r="E265" s="27">
        <f>IF(OR(SUM($B122:$F122)=0,E122=""),"",E122/SUM($B122:$F122))</f>
        <v/>
      </c>
      <c r="F265" s="27">
        <f>IF(OR(SUM($B122:$F122)=0,F122=""),"",F122/SUM($B122:$F122))</f>
        <v/>
      </c>
      <c r="H265" s="27">
        <f>IF(COUNT(B122:F122)=5,B122/SUM($B122:$F122),"")</f>
        <v/>
      </c>
      <c r="I265" s="27">
        <f>IF(COUNT(B122:F122)=5,C122/SUM($B122:$F122),"")</f>
        <v/>
      </c>
      <c r="J265" s="27">
        <f>IF(COUNT(B122:F122)=5,D122/SUM($B122:$F122),"")</f>
        <v/>
      </c>
      <c r="K265" s="27">
        <f>IF(COUNT(B122:F122)=5,E122/SUM($B122:$F122),"")</f>
        <v/>
      </c>
      <c r="L265" s="27">
        <f>IF(COUNT(B122:F122)=5,F122/SUM($B122:$F122),"")</f>
        <v/>
      </c>
    </row>
    <row r="266" hidden="1" outlineLevel="1">
      <c r="A266" t="inlineStr">
        <is>
          <t>Week1-Sep-2027</t>
        </is>
      </c>
      <c r="B266" s="27">
        <f>IF(OR(SUM($B123:$F123)=0,B123=""),"",B123/SUM($B123:$F123))</f>
        <v/>
      </c>
      <c r="C266" s="27">
        <f>IF(OR(SUM($B123:$F123)=0,C123=""),"",C123/SUM($B123:$F123))</f>
        <v/>
      </c>
      <c r="D266" s="27">
        <f>IF(OR(SUM($B123:$F123)=0,D123=""),"",D123/SUM($B123:$F123))</f>
        <v/>
      </c>
      <c r="E266" s="27">
        <f>IF(OR(SUM($B123:$F123)=0,E123=""),"",E123/SUM($B123:$F123))</f>
        <v/>
      </c>
      <c r="F266" s="27">
        <f>IF(OR(SUM($B123:$F123)=0,F123=""),"",F123/SUM($B123:$F123))</f>
        <v/>
      </c>
      <c r="H266" s="27">
        <f>IF(COUNT(B123:F123)=5,B123/SUM($B123:$F123),"")</f>
        <v/>
      </c>
      <c r="I266" s="27">
        <f>IF(COUNT(B123:F123)=5,C123/SUM($B123:$F123),"")</f>
        <v/>
      </c>
      <c r="J266" s="27">
        <f>IF(COUNT(B123:F123)=5,D123/SUM($B123:$F123),"")</f>
        <v/>
      </c>
      <c r="K266" s="27">
        <f>IF(COUNT(B123:F123)=5,E123/SUM($B123:$F123),"")</f>
        <v/>
      </c>
      <c r="L266" s="27">
        <f>IF(COUNT(B123:F123)=5,F123/SUM($B123:$F123),"")</f>
        <v/>
      </c>
    </row>
    <row r="267" hidden="1" outlineLevel="1">
      <c r="A267" t="inlineStr">
        <is>
          <t>Week2-Sep-2027</t>
        </is>
      </c>
      <c r="B267" s="27">
        <f>IF(OR(SUM($B124:$F124)=0,B124=""),"",B124/SUM($B124:$F124))</f>
        <v/>
      </c>
      <c r="C267" s="27">
        <f>IF(OR(SUM($B124:$F124)=0,C124=""),"",C124/SUM($B124:$F124))</f>
        <v/>
      </c>
      <c r="D267" s="27">
        <f>IF(OR(SUM($B124:$F124)=0,D124=""),"",D124/SUM($B124:$F124))</f>
        <v/>
      </c>
      <c r="E267" s="27">
        <f>IF(OR(SUM($B124:$F124)=0,E124=""),"",E124/SUM($B124:$F124))</f>
        <v/>
      </c>
      <c r="F267" s="27">
        <f>IF(OR(SUM($B124:$F124)=0,F124=""),"",F124/SUM($B124:$F124))</f>
        <v/>
      </c>
      <c r="H267" s="27">
        <f>IF(COUNT(B124:F124)=5,B124/SUM($B124:$F124),"")</f>
        <v/>
      </c>
      <c r="I267" s="27">
        <f>IF(COUNT(B124:F124)=5,C124/SUM($B124:$F124),"")</f>
        <v/>
      </c>
      <c r="J267" s="27">
        <f>IF(COUNT(B124:F124)=5,D124/SUM($B124:$F124),"")</f>
        <v/>
      </c>
      <c r="K267" s="27">
        <f>IF(COUNT(B124:F124)=5,E124/SUM($B124:$F124),"")</f>
        <v/>
      </c>
      <c r="L267" s="27">
        <f>IF(COUNT(B124:F124)=5,F124/SUM($B124:$F124),"")</f>
        <v/>
      </c>
    </row>
    <row r="268" hidden="1" outlineLevel="1">
      <c r="A268" t="inlineStr">
        <is>
          <t>Week3-Sep-2027</t>
        </is>
      </c>
      <c r="B268" s="27">
        <f>IF(OR(SUM($B125:$F125)=0,B125=""),"",B125/SUM($B125:$F125))</f>
        <v/>
      </c>
      <c r="C268" s="27">
        <f>IF(OR(SUM($B125:$F125)=0,C125=""),"",C125/SUM($B125:$F125))</f>
        <v/>
      </c>
      <c r="D268" s="27">
        <f>IF(OR(SUM($B125:$F125)=0,D125=""),"",D125/SUM($B125:$F125))</f>
        <v/>
      </c>
      <c r="E268" s="27">
        <f>IF(OR(SUM($B125:$F125)=0,E125=""),"",E125/SUM($B125:$F125))</f>
        <v/>
      </c>
      <c r="F268" s="27">
        <f>IF(OR(SUM($B125:$F125)=0,F125=""),"",F125/SUM($B125:$F125))</f>
        <v/>
      </c>
      <c r="H268" s="27">
        <f>IF(COUNT(B125:F125)=5,B125/SUM($B125:$F125),"")</f>
        <v/>
      </c>
      <c r="I268" s="27">
        <f>IF(COUNT(B125:F125)=5,C125/SUM($B125:$F125),"")</f>
        <v/>
      </c>
      <c r="J268" s="27">
        <f>IF(COUNT(B125:F125)=5,D125/SUM($B125:$F125),"")</f>
        <v/>
      </c>
      <c r="K268" s="27">
        <f>IF(COUNT(B125:F125)=5,E125/SUM($B125:$F125),"")</f>
        <v/>
      </c>
      <c r="L268" s="27">
        <f>IF(COUNT(B125:F125)=5,F125/SUM($B125:$F125),"")</f>
        <v/>
      </c>
    </row>
    <row r="269" hidden="1" outlineLevel="1">
      <c r="A269" t="inlineStr">
        <is>
          <t>Week4-Sep-2027</t>
        </is>
      </c>
      <c r="B269" s="27">
        <f>IF(OR(SUM($B126:$F126)=0,B126=""),"",B126/SUM($B126:$F126))</f>
        <v/>
      </c>
      <c r="C269" s="27">
        <f>IF(OR(SUM($B126:$F126)=0,C126=""),"",C126/SUM($B126:$F126))</f>
        <v/>
      </c>
      <c r="D269" s="27">
        <f>IF(OR(SUM($B126:$F126)=0,D126=""),"",D126/SUM($B126:$F126))</f>
        <v/>
      </c>
      <c r="E269" s="27">
        <f>IF(OR(SUM($B126:$F126)=0,E126=""),"",E126/SUM($B126:$F126))</f>
        <v/>
      </c>
      <c r="F269" s="27">
        <f>IF(OR(SUM($B126:$F126)=0,F126=""),"",F126/SUM($B126:$F126))</f>
        <v/>
      </c>
      <c r="H269" s="27">
        <f>IF(COUNT(B126:F126)=5,B126/SUM($B126:$F126),"")</f>
        <v/>
      </c>
      <c r="I269" s="27">
        <f>IF(COUNT(B126:F126)=5,C126/SUM($B126:$F126),"")</f>
        <v/>
      </c>
      <c r="J269" s="27">
        <f>IF(COUNT(B126:F126)=5,D126/SUM($B126:$F126),"")</f>
        <v/>
      </c>
      <c r="K269" s="27">
        <f>IF(COUNT(B126:F126)=5,E126/SUM($B126:$F126),"")</f>
        <v/>
      </c>
      <c r="L269" s="27">
        <f>IF(COUNT(B126:F126)=5,F126/SUM($B126:$F126),"")</f>
        <v/>
      </c>
    </row>
    <row r="270" hidden="1" outlineLevel="1">
      <c r="A270" t="inlineStr">
        <is>
          <t>Week5-Sep-2027</t>
        </is>
      </c>
      <c r="B270" s="27">
        <f>IF(OR(SUM($B127:$F127)=0,B127=""),"",B127/SUM($B127:$F127))</f>
        <v/>
      </c>
      <c r="C270" s="27">
        <f>IF(OR(SUM($B127:$F127)=0,C127=""),"",C127/SUM($B127:$F127))</f>
        <v/>
      </c>
      <c r="D270" s="27">
        <f>IF(OR(SUM($B127:$F127)=0,D127=""),"",D127/SUM($B127:$F127))</f>
        <v/>
      </c>
      <c r="E270" s="27">
        <f>IF(OR(SUM($B127:$F127)=0,E127=""),"",E127/SUM($B127:$F127))</f>
        <v/>
      </c>
      <c r="F270" s="27">
        <f>IF(OR(SUM($B127:$F127)=0,F127=""),"",F127/SUM($B127:$F127))</f>
        <v/>
      </c>
      <c r="H270" s="27">
        <f>IF(COUNT(B127:F127)=5,B127/SUM($B127:$F127),"")</f>
        <v/>
      </c>
      <c r="I270" s="27">
        <f>IF(COUNT(B127:F127)=5,C127/SUM($B127:$F127),"")</f>
        <v/>
      </c>
      <c r="J270" s="27">
        <f>IF(COUNT(B127:F127)=5,D127/SUM($B127:$F127),"")</f>
        <v/>
      </c>
      <c r="K270" s="27">
        <f>IF(COUNT(B127:F127)=5,E127/SUM($B127:$F127),"")</f>
        <v/>
      </c>
      <c r="L270" s="27">
        <f>IF(COUNT(B127:F127)=5,F127/SUM($B127:$F127),"")</f>
        <v/>
      </c>
    </row>
    <row r="271" hidden="1" outlineLevel="1">
      <c r="A271" t="inlineStr">
        <is>
          <t>Week1-Oct-2027</t>
        </is>
      </c>
      <c r="B271" s="27">
        <f>IF(OR(SUM($B128:$F128)=0,B128=""),"",B128/SUM($B128:$F128))</f>
        <v/>
      </c>
      <c r="C271" s="27">
        <f>IF(OR(SUM($B128:$F128)=0,C128=""),"",C128/SUM($B128:$F128))</f>
        <v/>
      </c>
      <c r="D271" s="27">
        <f>IF(OR(SUM($B128:$F128)=0,D128=""),"",D128/SUM($B128:$F128))</f>
        <v/>
      </c>
      <c r="E271" s="27">
        <f>IF(OR(SUM($B128:$F128)=0,E128=""),"",E128/SUM($B128:$F128))</f>
        <v/>
      </c>
      <c r="F271" s="27">
        <f>IF(OR(SUM($B128:$F128)=0,F128=""),"",F128/SUM($B128:$F128))</f>
        <v/>
      </c>
      <c r="H271" s="27">
        <f>IF(COUNT(B128:F128)=5,B128/SUM($B128:$F128),"")</f>
        <v/>
      </c>
      <c r="I271" s="27">
        <f>IF(COUNT(B128:F128)=5,C128/SUM($B128:$F128),"")</f>
        <v/>
      </c>
      <c r="J271" s="27">
        <f>IF(COUNT(B128:F128)=5,D128/SUM($B128:$F128),"")</f>
        <v/>
      </c>
      <c r="K271" s="27">
        <f>IF(COUNT(B128:F128)=5,E128/SUM($B128:$F128),"")</f>
        <v/>
      </c>
      <c r="L271" s="27">
        <f>IF(COUNT(B128:F128)=5,F128/SUM($B128:$F128),"")</f>
        <v/>
      </c>
    </row>
    <row r="272" hidden="1" outlineLevel="1">
      <c r="A272" t="inlineStr">
        <is>
          <t>Week2-Oct-2027</t>
        </is>
      </c>
      <c r="B272" s="27">
        <f>IF(OR(SUM($B129:$F129)=0,B129=""),"",B129/SUM($B129:$F129))</f>
        <v/>
      </c>
      <c r="C272" s="27">
        <f>IF(OR(SUM($B129:$F129)=0,C129=""),"",C129/SUM($B129:$F129))</f>
        <v/>
      </c>
      <c r="D272" s="27">
        <f>IF(OR(SUM($B129:$F129)=0,D129=""),"",D129/SUM($B129:$F129))</f>
        <v/>
      </c>
      <c r="E272" s="27">
        <f>IF(OR(SUM($B129:$F129)=0,E129=""),"",E129/SUM($B129:$F129))</f>
        <v/>
      </c>
      <c r="F272" s="27">
        <f>IF(OR(SUM($B129:$F129)=0,F129=""),"",F129/SUM($B129:$F129))</f>
        <v/>
      </c>
      <c r="H272" s="27">
        <f>IF(COUNT(B129:F129)=5,B129/SUM($B129:$F129),"")</f>
        <v/>
      </c>
      <c r="I272" s="27">
        <f>IF(COUNT(B129:F129)=5,C129/SUM($B129:$F129),"")</f>
        <v/>
      </c>
      <c r="J272" s="27">
        <f>IF(COUNT(B129:F129)=5,D129/SUM($B129:$F129),"")</f>
        <v/>
      </c>
      <c r="K272" s="27">
        <f>IF(COUNT(B129:F129)=5,E129/SUM($B129:$F129),"")</f>
        <v/>
      </c>
      <c r="L272" s="27">
        <f>IF(COUNT(B129:F129)=5,F129/SUM($B129:$F129),"")</f>
        <v/>
      </c>
    </row>
    <row r="273" hidden="1" outlineLevel="1">
      <c r="A273" t="inlineStr">
        <is>
          <t>Week3-Oct-2027</t>
        </is>
      </c>
      <c r="B273" s="27">
        <f>IF(OR(SUM($B130:$F130)=0,B130=""),"",B130/SUM($B130:$F130))</f>
        <v/>
      </c>
      <c r="C273" s="27">
        <f>IF(OR(SUM($B130:$F130)=0,C130=""),"",C130/SUM($B130:$F130))</f>
        <v/>
      </c>
      <c r="D273" s="27">
        <f>IF(OR(SUM($B130:$F130)=0,D130=""),"",D130/SUM($B130:$F130))</f>
        <v/>
      </c>
      <c r="E273" s="27">
        <f>IF(OR(SUM($B130:$F130)=0,E130=""),"",E130/SUM($B130:$F130))</f>
        <v/>
      </c>
      <c r="F273" s="27">
        <f>IF(OR(SUM($B130:$F130)=0,F130=""),"",F130/SUM($B130:$F130))</f>
        <v/>
      </c>
      <c r="H273" s="27">
        <f>IF(COUNT(B130:F130)=5,B130/SUM($B130:$F130),"")</f>
        <v/>
      </c>
      <c r="I273" s="27">
        <f>IF(COUNT(B130:F130)=5,C130/SUM($B130:$F130),"")</f>
        <v/>
      </c>
      <c r="J273" s="27">
        <f>IF(COUNT(B130:F130)=5,D130/SUM($B130:$F130),"")</f>
        <v/>
      </c>
      <c r="K273" s="27">
        <f>IF(COUNT(B130:F130)=5,E130/SUM($B130:$F130),"")</f>
        <v/>
      </c>
      <c r="L273" s="27">
        <f>IF(COUNT(B130:F130)=5,F130/SUM($B130:$F130),"")</f>
        <v/>
      </c>
    </row>
    <row r="274" hidden="1" outlineLevel="1">
      <c r="A274" t="inlineStr">
        <is>
          <t>Week4-Oct-2027</t>
        </is>
      </c>
      <c r="B274" s="27">
        <f>IF(OR(SUM($B131:$F131)=0,B131=""),"",B131/SUM($B131:$F131))</f>
        <v/>
      </c>
      <c r="C274" s="27">
        <f>IF(OR(SUM($B131:$F131)=0,C131=""),"",C131/SUM($B131:$F131))</f>
        <v/>
      </c>
      <c r="D274" s="27">
        <f>IF(OR(SUM($B131:$F131)=0,D131=""),"",D131/SUM($B131:$F131))</f>
        <v/>
      </c>
      <c r="E274" s="27">
        <f>IF(OR(SUM($B131:$F131)=0,E131=""),"",E131/SUM($B131:$F131))</f>
        <v/>
      </c>
      <c r="F274" s="27">
        <f>IF(OR(SUM($B131:$F131)=0,F131=""),"",F131/SUM($B131:$F131))</f>
        <v/>
      </c>
      <c r="H274" s="27">
        <f>IF(COUNT(B131:F131)=5,B131/SUM($B131:$F131),"")</f>
        <v/>
      </c>
      <c r="I274" s="27">
        <f>IF(COUNT(B131:F131)=5,C131/SUM($B131:$F131),"")</f>
        <v/>
      </c>
      <c r="J274" s="27">
        <f>IF(COUNT(B131:F131)=5,D131/SUM($B131:$F131),"")</f>
        <v/>
      </c>
      <c r="K274" s="27">
        <f>IF(COUNT(B131:F131)=5,E131/SUM($B131:$F131),"")</f>
        <v/>
      </c>
      <c r="L274" s="27">
        <f>IF(COUNT(B131:F131)=5,F131/SUM($B131:$F131),"")</f>
        <v/>
      </c>
    </row>
    <row r="275" hidden="1" outlineLevel="1">
      <c r="A275" t="inlineStr">
        <is>
          <t>Week5-Oct-2027</t>
        </is>
      </c>
      <c r="B275" s="27">
        <f>IF(OR(SUM($B132:$F132)=0,B132=""),"",B132/SUM($B132:$F132))</f>
        <v/>
      </c>
      <c r="C275" s="27">
        <f>IF(OR(SUM($B132:$F132)=0,C132=""),"",C132/SUM($B132:$F132))</f>
        <v/>
      </c>
      <c r="D275" s="27">
        <f>IF(OR(SUM($B132:$F132)=0,D132=""),"",D132/SUM($B132:$F132))</f>
        <v/>
      </c>
      <c r="E275" s="27">
        <f>IF(OR(SUM($B132:$F132)=0,E132=""),"",E132/SUM($B132:$F132))</f>
        <v/>
      </c>
      <c r="F275" s="27">
        <f>IF(OR(SUM($B132:$F132)=0,F132=""),"",F132/SUM($B132:$F132))</f>
        <v/>
      </c>
      <c r="H275" s="27">
        <f>IF(COUNT(B132:F132)=5,B132/SUM($B132:$F132),"")</f>
        <v/>
      </c>
      <c r="I275" s="27">
        <f>IF(COUNT(B132:F132)=5,C132/SUM($B132:$F132),"")</f>
        <v/>
      </c>
      <c r="J275" s="27">
        <f>IF(COUNT(B132:F132)=5,D132/SUM($B132:$F132),"")</f>
        <v/>
      </c>
      <c r="K275" s="27">
        <f>IF(COUNT(B132:F132)=5,E132/SUM($B132:$F132),"")</f>
        <v/>
      </c>
      <c r="L275" s="27">
        <f>IF(COUNT(B132:F132)=5,F132/SUM($B132:$F132),"")</f>
        <v/>
      </c>
    </row>
    <row r="276" hidden="1" outlineLevel="1">
      <c r="A276" t="inlineStr">
        <is>
          <t>Week1-Nov-2027</t>
        </is>
      </c>
      <c r="B276" s="27">
        <f>IF(OR(SUM($B133:$F133)=0,B133=""),"",B133/SUM($B133:$F133))</f>
        <v/>
      </c>
      <c r="C276" s="27">
        <f>IF(OR(SUM($B133:$F133)=0,C133=""),"",C133/SUM($B133:$F133))</f>
        <v/>
      </c>
      <c r="D276" s="27">
        <f>IF(OR(SUM($B133:$F133)=0,D133=""),"",D133/SUM($B133:$F133))</f>
        <v/>
      </c>
      <c r="E276" s="27">
        <f>IF(OR(SUM($B133:$F133)=0,E133=""),"",E133/SUM($B133:$F133))</f>
        <v/>
      </c>
      <c r="F276" s="27">
        <f>IF(OR(SUM($B133:$F133)=0,F133=""),"",F133/SUM($B133:$F133))</f>
        <v/>
      </c>
      <c r="H276" s="27">
        <f>IF(COUNT(B133:F133)=5,B133/SUM($B133:$F133),"")</f>
        <v/>
      </c>
      <c r="I276" s="27">
        <f>IF(COUNT(B133:F133)=5,C133/SUM($B133:$F133),"")</f>
        <v/>
      </c>
      <c r="J276" s="27">
        <f>IF(COUNT(B133:F133)=5,D133/SUM($B133:$F133),"")</f>
        <v/>
      </c>
      <c r="K276" s="27">
        <f>IF(COUNT(B133:F133)=5,E133/SUM($B133:$F133),"")</f>
        <v/>
      </c>
      <c r="L276" s="27">
        <f>IF(COUNT(B133:F133)=5,F133/SUM($B133:$F133),"")</f>
        <v/>
      </c>
    </row>
    <row r="277" hidden="1" outlineLevel="1">
      <c r="A277" t="inlineStr">
        <is>
          <t>Week2-Nov-2027</t>
        </is>
      </c>
      <c r="B277" s="27">
        <f>IF(OR(SUM($B134:$F134)=0,B134=""),"",B134/SUM($B134:$F134))</f>
        <v/>
      </c>
      <c r="C277" s="27">
        <f>IF(OR(SUM($B134:$F134)=0,C134=""),"",C134/SUM($B134:$F134))</f>
        <v/>
      </c>
      <c r="D277" s="27">
        <f>IF(OR(SUM($B134:$F134)=0,D134=""),"",D134/SUM($B134:$F134))</f>
        <v/>
      </c>
      <c r="E277" s="27">
        <f>IF(OR(SUM($B134:$F134)=0,E134=""),"",E134/SUM($B134:$F134))</f>
        <v/>
      </c>
      <c r="F277" s="27">
        <f>IF(OR(SUM($B134:$F134)=0,F134=""),"",F134/SUM($B134:$F134))</f>
        <v/>
      </c>
      <c r="H277" s="27">
        <f>IF(COUNT(B134:F134)=5,B134/SUM($B134:$F134),"")</f>
        <v/>
      </c>
      <c r="I277" s="27">
        <f>IF(COUNT(B134:F134)=5,C134/SUM($B134:$F134),"")</f>
        <v/>
      </c>
      <c r="J277" s="27">
        <f>IF(COUNT(B134:F134)=5,D134/SUM($B134:$F134),"")</f>
        <v/>
      </c>
      <c r="K277" s="27">
        <f>IF(COUNT(B134:F134)=5,E134/SUM($B134:$F134),"")</f>
        <v/>
      </c>
      <c r="L277" s="27">
        <f>IF(COUNT(B134:F134)=5,F134/SUM($B134:$F134),"")</f>
        <v/>
      </c>
    </row>
    <row r="278" hidden="1" outlineLevel="1">
      <c r="A278" t="inlineStr">
        <is>
          <t>Week3-Nov-2027</t>
        </is>
      </c>
      <c r="B278" s="27">
        <f>IF(OR(SUM($B135:$F135)=0,B135=""),"",B135/SUM($B135:$F135))</f>
        <v/>
      </c>
      <c r="C278" s="27">
        <f>IF(OR(SUM($B135:$F135)=0,C135=""),"",C135/SUM($B135:$F135))</f>
        <v/>
      </c>
      <c r="D278" s="27">
        <f>IF(OR(SUM($B135:$F135)=0,D135=""),"",D135/SUM($B135:$F135))</f>
        <v/>
      </c>
      <c r="E278" s="27">
        <f>IF(OR(SUM($B135:$F135)=0,E135=""),"",E135/SUM($B135:$F135))</f>
        <v/>
      </c>
      <c r="F278" s="27">
        <f>IF(OR(SUM($B135:$F135)=0,F135=""),"",F135/SUM($B135:$F135))</f>
        <v/>
      </c>
      <c r="H278" s="27">
        <f>IF(COUNT(B135:F135)=5,B135/SUM($B135:$F135),"")</f>
        <v/>
      </c>
      <c r="I278" s="27">
        <f>IF(COUNT(B135:F135)=5,C135/SUM($B135:$F135),"")</f>
        <v/>
      </c>
      <c r="J278" s="27">
        <f>IF(COUNT(B135:F135)=5,D135/SUM($B135:$F135),"")</f>
        <v/>
      </c>
      <c r="K278" s="27">
        <f>IF(COUNT(B135:F135)=5,E135/SUM($B135:$F135),"")</f>
        <v/>
      </c>
      <c r="L278" s="27">
        <f>IF(COUNT(B135:F135)=5,F135/SUM($B135:$F135),"")</f>
        <v/>
      </c>
    </row>
    <row r="279" hidden="1" outlineLevel="1">
      <c r="A279" t="inlineStr">
        <is>
          <t>Week4-Nov-2027</t>
        </is>
      </c>
      <c r="B279" s="27">
        <f>IF(OR(SUM($B136:$F136)=0,B136=""),"",B136/SUM($B136:$F136))</f>
        <v/>
      </c>
      <c r="C279" s="27">
        <f>IF(OR(SUM($B136:$F136)=0,C136=""),"",C136/SUM($B136:$F136))</f>
        <v/>
      </c>
      <c r="D279" s="27">
        <f>IF(OR(SUM($B136:$F136)=0,D136=""),"",D136/SUM($B136:$F136))</f>
        <v/>
      </c>
      <c r="E279" s="27">
        <f>IF(OR(SUM($B136:$F136)=0,E136=""),"",E136/SUM($B136:$F136))</f>
        <v/>
      </c>
      <c r="F279" s="27">
        <f>IF(OR(SUM($B136:$F136)=0,F136=""),"",F136/SUM($B136:$F136))</f>
        <v/>
      </c>
      <c r="H279" s="27">
        <f>IF(COUNT(B136:F136)=5,B136/SUM($B136:$F136),"")</f>
        <v/>
      </c>
      <c r="I279" s="27">
        <f>IF(COUNT(B136:F136)=5,C136/SUM($B136:$F136),"")</f>
        <v/>
      </c>
      <c r="J279" s="27">
        <f>IF(COUNT(B136:F136)=5,D136/SUM($B136:$F136),"")</f>
        <v/>
      </c>
      <c r="K279" s="27">
        <f>IF(COUNT(B136:F136)=5,E136/SUM($B136:$F136),"")</f>
        <v/>
      </c>
      <c r="L279" s="27">
        <f>IF(COUNT(B136:F136)=5,F136/SUM($B136:$F136),"")</f>
        <v/>
      </c>
    </row>
    <row r="280" hidden="1" outlineLevel="1">
      <c r="A280" t="inlineStr">
        <is>
          <t>Week5-Nov-2027</t>
        </is>
      </c>
      <c r="B280" s="27">
        <f>IF(OR(SUM($B137:$F137)=0,B137=""),"",B137/SUM($B137:$F137))</f>
        <v/>
      </c>
      <c r="C280" s="27">
        <f>IF(OR(SUM($B137:$F137)=0,C137=""),"",C137/SUM($B137:$F137))</f>
        <v/>
      </c>
      <c r="D280" s="27">
        <f>IF(OR(SUM($B137:$F137)=0,D137=""),"",D137/SUM($B137:$F137))</f>
        <v/>
      </c>
      <c r="E280" s="27">
        <f>IF(OR(SUM($B137:$F137)=0,E137=""),"",E137/SUM($B137:$F137))</f>
        <v/>
      </c>
      <c r="F280" s="27">
        <f>IF(OR(SUM($B137:$F137)=0,F137=""),"",F137/SUM($B137:$F137))</f>
        <v/>
      </c>
      <c r="H280" s="27">
        <f>IF(COUNT(B137:F137)=5,B137/SUM($B137:$F137),"")</f>
        <v/>
      </c>
      <c r="I280" s="27">
        <f>IF(COUNT(B137:F137)=5,C137/SUM($B137:$F137),"")</f>
        <v/>
      </c>
      <c r="J280" s="27">
        <f>IF(COUNT(B137:F137)=5,D137/SUM($B137:$F137),"")</f>
        <v/>
      </c>
      <c r="K280" s="27">
        <f>IF(COUNT(B137:F137)=5,E137/SUM($B137:$F137),"")</f>
        <v/>
      </c>
      <c r="L280" s="27">
        <f>IF(COUNT(B137:F137)=5,F137/SUM($B137:$F137),"")</f>
        <v/>
      </c>
    </row>
    <row r="281" hidden="1" outlineLevel="1">
      <c r="A281" t="inlineStr">
        <is>
          <t>Week1-Dec-2027</t>
        </is>
      </c>
      <c r="B281" s="27">
        <f>IF(OR(SUM($B138:$F138)=0,B138=""),"",B138/SUM($B138:$F138))</f>
        <v/>
      </c>
      <c r="C281" s="27">
        <f>IF(OR(SUM($B138:$F138)=0,C138=""),"",C138/SUM($B138:$F138))</f>
        <v/>
      </c>
      <c r="D281" s="27">
        <f>IF(OR(SUM($B138:$F138)=0,D138=""),"",D138/SUM($B138:$F138))</f>
        <v/>
      </c>
      <c r="E281" s="27">
        <f>IF(OR(SUM($B138:$F138)=0,E138=""),"",E138/SUM($B138:$F138))</f>
        <v/>
      </c>
      <c r="F281" s="27">
        <f>IF(OR(SUM($B138:$F138)=0,F138=""),"",F138/SUM($B138:$F138))</f>
        <v/>
      </c>
      <c r="H281" s="27">
        <f>IF(COUNT(B138:F138)=5,B138/SUM($B138:$F138),"")</f>
        <v/>
      </c>
      <c r="I281" s="27">
        <f>IF(COUNT(B138:F138)=5,C138/SUM($B138:$F138),"")</f>
        <v/>
      </c>
      <c r="J281" s="27">
        <f>IF(COUNT(B138:F138)=5,D138/SUM($B138:$F138),"")</f>
        <v/>
      </c>
      <c r="K281" s="27">
        <f>IF(COUNT(B138:F138)=5,E138/SUM($B138:$F138),"")</f>
        <v/>
      </c>
      <c r="L281" s="27">
        <f>IF(COUNT(B138:F138)=5,F138/SUM($B138:$F138),"")</f>
        <v/>
      </c>
    </row>
    <row r="282" hidden="1" outlineLevel="1">
      <c r="A282" t="inlineStr">
        <is>
          <t>Week2-Dec-2027</t>
        </is>
      </c>
      <c r="B282" s="27">
        <f>IF(OR(SUM($B139:$F139)=0,B139=""),"",B139/SUM($B139:$F139))</f>
        <v/>
      </c>
      <c r="C282" s="27">
        <f>IF(OR(SUM($B139:$F139)=0,C139=""),"",C139/SUM($B139:$F139))</f>
        <v/>
      </c>
      <c r="D282" s="27">
        <f>IF(OR(SUM($B139:$F139)=0,D139=""),"",D139/SUM($B139:$F139))</f>
        <v/>
      </c>
      <c r="E282" s="27">
        <f>IF(OR(SUM($B139:$F139)=0,E139=""),"",E139/SUM($B139:$F139))</f>
        <v/>
      </c>
      <c r="F282" s="27">
        <f>IF(OR(SUM($B139:$F139)=0,F139=""),"",F139/SUM($B139:$F139))</f>
        <v/>
      </c>
      <c r="H282" s="27">
        <f>IF(COUNT(B139:F139)=5,B139/SUM($B139:$F139),"")</f>
        <v/>
      </c>
      <c r="I282" s="27">
        <f>IF(COUNT(B139:F139)=5,C139/SUM($B139:$F139),"")</f>
        <v/>
      </c>
      <c r="J282" s="27">
        <f>IF(COUNT(B139:F139)=5,D139/SUM($B139:$F139),"")</f>
        <v/>
      </c>
      <c r="K282" s="27">
        <f>IF(COUNT(B139:F139)=5,E139/SUM($B139:$F139),"")</f>
        <v/>
      </c>
      <c r="L282" s="27">
        <f>IF(COUNT(B139:F139)=5,F139/SUM($B139:$F139),"")</f>
        <v/>
      </c>
    </row>
    <row r="283" hidden="1" outlineLevel="1">
      <c r="A283" t="inlineStr">
        <is>
          <t>Week3-Dec-2027</t>
        </is>
      </c>
      <c r="B283" s="27">
        <f>IF(OR(SUM($B140:$F140)=0,B140=""),"",B140/SUM($B140:$F140))</f>
        <v/>
      </c>
      <c r="C283" s="27">
        <f>IF(OR(SUM($B140:$F140)=0,C140=""),"",C140/SUM($B140:$F140))</f>
        <v/>
      </c>
      <c r="D283" s="27">
        <f>IF(OR(SUM($B140:$F140)=0,D140=""),"",D140/SUM($B140:$F140))</f>
        <v/>
      </c>
      <c r="E283" s="27">
        <f>IF(OR(SUM($B140:$F140)=0,E140=""),"",E140/SUM($B140:$F140))</f>
        <v/>
      </c>
      <c r="F283" s="27">
        <f>IF(OR(SUM($B140:$F140)=0,F140=""),"",F140/SUM($B140:$F140))</f>
        <v/>
      </c>
      <c r="H283" s="27">
        <f>IF(COUNT(B140:F140)=5,B140/SUM($B140:$F140),"")</f>
        <v/>
      </c>
      <c r="I283" s="27">
        <f>IF(COUNT(B140:F140)=5,C140/SUM($B140:$F140),"")</f>
        <v/>
      </c>
      <c r="J283" s="27">
        <f>IF(COUNT(B140:F140)=5,D140/SUM($B140:$F140),"")</f>
        <v/>
      </c>
      <c r="K283" s="27">
        <f>IF(COUNT(B140:F140)=5,E140/SUM($B140:$F140),"")</f>
        <v/>
      </c>
      <c r="L283" s="27">
        <f>IF(COUNT(B140:F140)=5,F140/SUM($B140:$F140),"")</f>
        <v/>
      </c>
    </row>
    <row r="284" hidden="1" outlineLevel="1">
      <c r="A284" t="inlineStr">
        <is>
          <t>Week4-Dec-2027</t>
        </is>
      </c>
      <c r="B284" s="27">
        <f>IF(OR(SUM($B141:$F141)=0,B141=""),"",B141/SUM($B141:$F141))</f>
        <v/>
      </c>
      <c r="C284" s="27">
        <f>IF(OR(SUM($B141:$F141)=0,C141=""),"",C141/SUM($B141:$F141))</f>
        <v/>
      </c>
      <c r="D284" s="27">
        <f>IF(OR(SUM($B141:$F141)=0,D141=""),"",D141/SUM($B141:$F141))</f>
        <v/>
      </c>
      <c r="E284" s="27">
        <f>IF(OR(SUM($B141:$F141)=0,E141=""),"",E141/SUM($B141:$F141))</f>
        <v/>
      </c>
      <c r="F284" s="27">
        <f>IF(OR(SUM($B141:$F141)=0,F141=""),"",F141/SUM($B141:$F141))</f>
        <v/>
      </c>
      <c r="H284" s="27">
        <f>IF(COUNT(B141:F141)=5,B141/SUM($B141:$F141),"")</f>
        <v/>
      </c>
      <c r="I284" s="27">
        <f>IF(COUNT(B141:F141)=5,C141/SUM($B141:$F141),"")</f>
        <v/>
      </c>
      <c r="J284" s="27">
        <f>IF(COUNT(B141:F141)=5,D141/SUM($B141:$F141),"")</f>
        <v/>
      </c>
      <c r="K284" s="27">
        <f>IF(COUNT(B141:F141)=5,E141/SUM($B141:$F141),"")</f>
        <v/>
      </c>
      <c r="L284" s="27">
        <f>IF(COUNT(B141:F141)=5,F141/SUM($B141:$F141),"")</f>
        <v/>
      </c>
    </row>
    <row r="285" hidden="1" outlineLevel="1">
      <c r="A285" t="inlineStr">
        <is>
          <t>Week5-Dec-2027</t>
        </is>
      </c>
      <c r="B285" s="27">
        <f>IF(OR(SUM($B142:$F142)=0,B142=""),"",B142/SUM($B142:$F142))</f>
        <v/>
      </c>
      <c r="C285" s="27">
        <f>IF(OR(SUM($B142:$F142)=0,C142=""),"",C142/SUM($B142:$F142))</f>
        <v/>
      </c>
      <c r="D285" s="27">
        <f>IF(OR(SUM($B142:$F142)=0,D142=""),"",D142/SUM($B142:$F142))</f>
        <v/>
      </c>
      <c r="E285" s="27">
        <f>IF(OR(SUM($B142:$F142)=0,E142=""),"",E142/SUM($B142:$F142))</f>
        <v/>
      </c>
      <c r="F285" s="27">
        <f>IF(OR(SUM($B142:$F142)=0,F142=""),"",F142/SUM($B142:$F142))</f>
        <v/>
      </c>
      <c r="H285" s="27">
        <f>IF(COUNT(B142:F142)=5,B142/SUM($B142:$F142),"")</f>
        <v/>
      </c>
      <c r="I285" s="27">
        <f>IF(COUNT(B142:F142)=5,C142/SUM($B142:$F142),"")</f>
        <v/>
      </c>
      <c r="J285" s="27">
        <f>IF(COUNT(B142:F142)=5,D142/SUM($B142:$F142),"")</f>
        <v/>
      </c>
      <c r="K285" s="27">
        <f>IF(COUNT(B142:F142)=5,E142/SUM($B142:$F142),"")</f>
        <v/>
      </c>
      <c r="L285" s="27">
        <f>IF(COUNT(B142:F142)=5,F142/SUM($B142:$F142),"")</f>
        <v/>
      </c>
    </row>
    <row r="286" collapsed="1">
      <c r="A286" s="42" t="inlineStr">
        <is>
          <t>Average (complete weeks)</t>
        </is>
      </c>
      <c r="B286" s="44">
        <f>IFERROR(AVERAGE(B148:B285),"")</f>
        <v/>
      </c>
      <c r="C286" s="44">
        <f>IFERROR(AVERAGE(C148:C285),"")</f>
        <v/>
      </c>
      <c r="D286" s="44">
        <f>IFERROR(AVERAGE(D148:D285),"")</f>
        <v/>
      </c>
      <c r="E286" s="44">
        <f>IFERROR(AVERAGE(E148:E285),"")</f>
        <v/>
      </c>
      <c r="F286" s="44">
        <f>IFERROR(AVERAGE(F148:F285),"")</f>
        <v/>
      </c>
      <c r="H286" s="60">
        <f>IFERROR(AVERAGE(H148:H285),"")</f>
        <v/>
      </c>
      <c r="I286" s="60">
        <f>IFERROR(AVERAGE(I148:I285),"")</f>
        <v/>
      </c>
      <c r="J286" s="60">
        <f>IFERROR(AVERAGE(J148:J285),"")</f>
        <v/>
      </c>
      <c r="K286" s="60">
        <f>IFERROR(AVERAGE(K148:K285),"")</f>
        <v/>
      </c>
      <c r="L286" s="60">
        <f>IFERROR(AVERAGE(L148:L285),"")</f>
        <v/>
      </c>
    </row>
  </sheetData>
  <conditionalFormatting sqref="B148:B2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8:C2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8:D2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8:E28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8:F28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8:H28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8:I28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8:J28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8:K28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8:L28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6"/>
  <sheetViews>
    <sheetView showGridLines="0" topLeftCell="A40" workbookViewId="0">
      <selection activeCell="I177" sqref="I177"/>
    </sheetView>
  </sheetViews>
  <sheetFormatPr baseColWidth="10" defaultColWidth="8.83203125" defaultRowHeight="16" outlineLevelRow="1"/>
  <cols>
    <col width="20" customWidth="1" min="1" max="1"/>
    <col width="14" customWidth="1" min="2" max="10"/>
    <col width="20.6640625" customWidth="1" min="11" max="11"/>
    <col width="14" customWidth="1" min="12" max="12"/>
  </cols>
  <sheetData>
    <row r="1">
      <c r="A1" s="45" t="inlineStr">
        <is>
          <t>Week × Day — WEEKLY + MDAW Premium Turnover NSE+BSE (INR Bn) and Day-wise Composition (Sep-2025 onwards, live)</t>
        </is>
      </c>
      <c r="K1" s="28" t="inlineStr">
        <is>
          <t>Cuts / Scope</t>
        </is>
      </c>
    </row>
    <row r="2">
      <c r="A2" s="48" t="inlineStr">
        <is>
          <t>Same structure as Analysis8 but WEEKLY + MDAW premium only (Expiry Type 2; Monthly excluded). MDAW = a monthly contract trading within 6 days of its expiry, i.e. acting as the front weekly (tagged on NIFTY &amp; SENSEX only).</t>
        </is>
      </c>
      <c r="K2" t="inlineStr">
        <is>
          <t>Index Options</t>
        </is>
      </c>
      <c r="L2" s="56" t="inlineStr">
        <is>
          <t>Yes</t>
        </is>
      </c>
    </row>
    <row r="3">
      <c r="A3" s="45" t="inlineStr">
        <is>
          <t>Weekly + MDAW Premium Turnover — NSE+BSE (INR Bn)</t>
        </is>
      </c>
      <c r="K3" t="inlineStr">
        <is>
          <t>Stock Options</t>
        </is>
      </c>
      <c r="L3" s="49" t="inlineStr">
        <is>
          <t>No</t>
        </is>
      </c>
    </row>
    <row r="4">
      <c r="A4" s="45" t="inlineStr">
        <is>
          <t>Trade Week-Month-Year</t>
        </is>
      </c>
      <c r="B4" s="45" t="inlineStr">
        <is>
          <t>Monday</t>
        </is>
      </c>
      <c r="C4" s="45" t="inlineStr">
        <is>
          <t>Tuesday</t>
        </is>
      </c>
      <c r="D4" s="45" t="inlineStr">
        <is>
          <t>Wednesday</t>
        </is>
      </c>
      <c r="E4" s="45" t="inlineStr">
        <is>
          <t>Thursday</t>
        </is>
      </c>
      <c r="F4" s="45" t="inlineStr">
        <is>
          <t>Friday</t>
        </is>
      </c>
      <c r="G4" s="45" t="inlineStr">
        <is>
          <t>Sunday</t>
        </is>
      </c>
      <c r="H4" s="45" t="inlineStr">
        <is>
          <t>Total</t>
        </is>
      </c>
      <c r="K4" t="inlineStr">
        <is>
          <t>Index Futures</t>
        </is>
      </c>
      <c r="L4" s="49" t="inlineStr">
        <is>
          <t>No</t>
        </is>
      </c>
    </row>
    <row r="5">
      <c r="A5" t="inlineStr">
        <is>
          <t>Week1-Sep-2025</t>
        </is>
      </c>
      <c r="B5" s="26">
        <f>IF(SUMIFS('NSE - NIFTY Index Options'!$M:$M,'NSE - NIFTY Index Options'!$C:$C,$A5,'NSE - NIFTY Index Options'!$B:$B,B$4,'NSE - NIFTY Index Options'!$I:$I,"Weekly*")+SUMIFS('NSE - NIFTY Index Options'!$M:$M,'NSE - NIFTY Index Options'!$C:$C,$A5,'NSE - NIFTY Index Options'!$B:$B,B$4,'NSE - NIFTY Index Options'!$I:$I,"MDAW*")+SUMIFS('NSE - Other Index Options'!$M:$M,'NSE - Other Index Options'!$C:$C,$A5,'NSE - Other Index Options'!$B:$B,B$4,'NSE - Other Index Options'!$I:$I,"Weekly*")+SUMIFS('NSE - Other Index Options'!$M:$M,'NSE - Other Index Options'!$C:$C,$A5,'NSE - Other Index Options'!$B:$B,B$4,'NSE - Other Index Options'!$I:$I,"MDAW*")+SUMIFS('BSE - SENSEX Index Options'!$M:$M,'BSE - SENSEX Index Options'!$C:$C,$A5,'BSE - SENSEX Index Options'!$B:$B,B$4,'BSE - SENSEX Index Options'!$I:$I,"Weekly*")+SUMIFS('BSE - SENSEX Index Options'!$M:$M,'BSE - SENSEX Index Options'!$C:$C,$A5,'BSE - SENSEX Index Options'!$B:$B,B$4,'BSE - SENSEX Index Options'!$I:$I,"MDAW*")+SUMIFS('BSE - Other Index Options'!$M:$M,'BSE - Other Index Options'!$C:$C,$A5,'BSE - Other Index Options'!$B:$B,B$4,'BSE - Other Index Options'!$I:$I,"Weekly*")+SUMIFS('BSE - Other Index Options'!$M:$M,'BSE - Other Index Options'!$C:$C,$A5,'BSE - Other Index Options'!$B:$B,B$4,'BSE - Other Index Options'!$I:$I,"MDAW*")=0,"",SUMIFS('NSE - NIFTY Index Options'!$M:$M,'NSE - NIFTY Index Options'!$C:$C,$A5,'NSE - NIFTY Index Options'!$B:$B,B$4,'NSE - NIFTY Index Options'!$I:$I,"Weekly*")+SUMIFS('NSE - NIFTY Index Options'!$M:$M,'NSE - NIFTY Index Options'!$C:$C,$A5,'NSE - NIFTY Index Options'!$B:$B,B$4,'NSE - NIFTY Index Options'!$I:$I,"MDAW*")+SUMIFS('NSE - Other Index Options'!$M:$M,'NSE - Other Index Options'!$C:$C,$A5,'NSE - Other Index Options'!$B:$B,B$4,'NSE - Other Index Options'!$I:$I,"Weekly*")+SUMIFS('NSE - Other Index Options'!$M:$M,'NSE - Other Index Options'!$C:$C,$A5,'NSE - Other Index Options'!$B:$B,B$4,'NSE - Other Index Options'!$I:$I,"MDAW*")+SUMIFS('BSE - SENSEX Index Options'!$M:$M,'BSE - SENSEX Index Options'!$C:$C,$A5,'BSE - SENSEX Index Options'!$B:$B,B$4,'BSE - SENSEX Index Options'!$I:$I,"Weekly*")+SUMIFS('BSE - SENSEX Index Options'!$M:$M,'BSE - SENSEX Index Options'!$C:$C,$A5,'BSE - SENSEX Index Options'!$B:$B,B$4,'BSE - SENSEX Index Options'!$I:$I,"MDAW*")+SUMIFS('BSE - Other Index Options'!$M:$M,'BSE - Other Index Options'!$C:$C,$A5,'BSE - Other Index Options'!$B:$B,B$4,'BSE - Other Index Options'!$I:$I,"Weekly*")+SUMIFS('BSE - Other Index Options'!$M:$M,'BSE - Other Index Options'!$C:$C,$A5,'BSE - Other Index Options'!$B:$B,B$4,'BSE - Other Index Options'!$I:$I,"MDAW*"))</f>
        <v/>
      </c>
      <c r="C5" s="26">
        <f>IF(SUMIFS('NSE - NIFTY Index Options'!$M:$M,'NSE - NIFTY Index Options'!$C:$C,$A5,'NSE - NIFTY Index Options'!$B:$B,C$4,'NSE - NIFTY Index Options'!$I:$I,"Weekly*")+SUMIFS('NSE - NIFTY Index Options'!$M:$M,'NSE - NIFTY Index Options'!$C:$C,$A5,'NSE - NIFTY Index Options'!$B:$B,C$4,'NSE - NIFTY Index Options'!$I:$I,"MDAW*")+SUMIFS('NSE - Other Index Options'!$M:$M,'NSE - Other Index Options'!$C:$C,$A5,'NSE - Other Index Options'!$B:$B,C$4,'NSE - Other Index Options'!$I:$I,"Weekly*")+SUMIFS('NSE - Other Index Options'!$M:$M,'NSE - Other Index Options'!$C:$C,$A5,'NSE - Other Index Options'!$B:$B,C$4,'NSE - Other Index Options'!$I:$I,"MDAW*")+SUMIFS('BSE - SENSEX Index Options'!$M:$M,'BSE - SENSEX Index Options'!$C:$C,$A5,'BSE - SENSEX Index Options'!$B:$B,C$4,'BSE - SENSEX Index Options'!$I:$I,"Weekly*")+SUMIFS('BSE - SENSEX Index Options'!$M:$M,'BSE - SENSEX Index Options'!$C:$C,$A5,'BSE - SENSEX Index Options'!$B:$B,C$4,'BSE - SENSEX Index Options'!$I:$I,"MDAW*")+SUMIFS('BSE - Other Index Options'!$M:$M,'BSE - Other Index Options'!$C:$C,$A5,'BSE - Other Index Options'!$B:$B,C$4,'BSE - Other Index Options'!$I:$I,"Weekly*")+SUMIFS('BSE - Other Index Options'!$M:$M,'BSE - Other Index Options'!$C:$C,$A5,'BSE - Other Index Options'!$B:$B,C$4,'BSE - Other Index Options'!$I:$I,"MDAW*")=0,"",SUMIFS('NSE - NIFTY Index Options'!$M:$M,'NSE - NIFTY Index Options'!$C:$C,$A5,'NSE - NIFTY Index Options'!$B:$B,C$4,'NSE - NIFTY Index Options'!$I:$I,"Weekly*")+SUMIFS('NSE - NIFTY Index Options'!$M:$M,'NSE - NIFTY Index Options'!$C:$C,$A5,'NSE - NIFTY Index Options'!$B:$B,C$4,'NSE - NIFTY Index Options'!$I:$I,"MDAW*")+SUMIFS('NSE - Other Index Options'!$M:$M,'NSE - Other Index Options'!$C:$C,$A5,'NSE - Other Index Options'!$B:$B,C$4,'NSE - Other Index Options'!$I:$I,"Weekly*")+SUMIFS('NSE - Other Index Options'!$M:$M,'NSE - Other Index Options'!$C:$C,$A5,'NSE - Other Index Options'!$B:$B,C$4,'NSE - Other Index Options'!$I:$I,"MDAW*")+SUMIFS('BSE - SENSEX Index Options'!$M:$M,'BSE - SENSEX Index Options'!$C:$C,$A5,'BSE - SENSEX Index Options'!$B:$B,C$4,'BSE - SENSEX Index Options'!$I:$I,"Weekly*")+SUMIFS('BSE - SENSEX Index Options'!$M:$M,'BSE - SENSEX Index Options'!$C:$C,$A5,'BSE - SENSEX Index Options'!$B:$B,C$4,'BSE - SENSEX Index Options'!$I:$I,"MDAW*")+SUMIFS('BSE - Other Index Options'!$M:$M,'BSE - Other Index Options'!$C:$C,$A5,'BSE - Other Index Options'!$B:$B,C$4,'BSE - Other Index Options'!$I:$I,"Weekly*")+SUMIFS('BSE - Other Index Options'!$M:$M,'BSE - Other Index Options'!$C:$C,$A5,'BSE - Other Index Options'!$B:$B,C$4,'BSE - Other Index Options'!$I:$I,"MDAW*"))</f>
        <v/>
      </c>
      <c r="D5" s="26">
        <f>IF(SUMIFS('NSE - NIFTY Index Options'!$M:$M,'NSE - NIFTY Index Options'!$C:$C,$A5,'NSE - NIFTY Index Options'!$B:$B,D$4,'NSE - NIFTY Index Options'!$I:$I,"Weekly*")+SUMIFS('NSE - NIFTY Index Options'!$M:$M,'NSE - NIFTY Index Options'!$C:$C,$A5,'NSE - NIFTY Index Options'!$B:$B,D$4,'NSE - NIFTY Index Options'!$I:$I,"MDAW*")+SUMIFS('NSE - Other Index Options'!$M:$M,'NSE - Other Index Options'!$C:$C,$A5,'NSE - Other Index Options'!$B:$B,D$4,'NSE - Other Index Options'!$I:$I,"Weekly*")+SUMIFS('NSE - Other Index Options'!$M:$M,'NSE - Other Index Options'!$C:$C,$A5,'NSE - Other Index Options'!$B:$B,D$4,'NSE - Other Index Options'!$I:$I,"MDAW*")+SUMIFS('BSE - SENSEX Index Options'!$M:$M,'BSE - SENSEX Index Options'!$C:$C,$A5,'BSE - SENSEX Index Options'!$B:$B,D$4,'BSE - SENSEX Index Options'!$I:$I,"Weekly*")+SUMIFS('BSE - SENSEX Index Options'!$M:$M,'BSE - SENSEX Index Options'!$C:$C,$A5,'BSE - SENSEX Index Options'!$B:$B,D$4,'BSE - SENSEX Index Options'!$I:$I,"MDAW*")+SUMIFS('BSE - Other Index Options'!$M:$M,'BSE - Other Index Options'!$C:$C,$A5,'BSE - Other Index Options'!$B:$B,D$4,'BSE - Other Index Options'!$I:$I,"Weekly*")+SUMIFS('BSE - Other Index Options'!$M:$M,'BSE - Other Index Options'!$C:$C,$A5,'BSE - Other Index Options'!$B:$B,D$4,'BSE - Other Index Options'!$I:$I,"MDAW*")=0,"",SUMIFS('NSE - NIFTY Index Options'!$M:$M,'NSE - NIFTY Index Options'!$C:$C,$A5,'NSE - NIFTY Index Options'!$B:$B,D$4,'NSE - NIFTY Index Options'!$I:$I,"Weekly*")+SUMIFS('NSE - NIFTY Index Options'!$M:$M,'NSE - NIFTY Index Options'!$C:$C,$A5,'NSE - NIFTY Index Options'!$B:$B,D$4,'NSE - NIFTY Index Options'!$I:$I,"MDAW*")+SUMIFS('NSE - Other Index Options'!$M:$M,'NSE - Other Index Options'!$C:$C,$A5,'NSE - Other Index Options'!$B:$B,D$4,'NSE - Other Index Options'!$I:$I,"Weekly*")+SUMIFS('NSE - Other Index Options'!$M:$M,'NSE - Other Index Options'!$C:$C,$A5,'NSE - Other Index Options'!$B:$B,D$4,'NSE - Other Index Options'!$I:$I,"MDAW*")+SUMIFS('BSE - SENSEX Index Options'!$M:$M,'BSE - SENSEX Index Options'!$C:$C,$A5,'BSE - SENSEX Index Options'!$B:$B,D$4,'BSE - SENSEX Index Options'!$I:$I,"Weekly*")+SUMIFS('BSE - SENSEX Index Options'!$M:$M,'BSE - SENSEX Index Options'!$C:$C,$A5,'BSE - SENSEX Index Options'!$B:$B,D$4,'BSE - SENSEX Index Options'!$I:$I,"MDAW*")+SUMIFS('BSE - Other Index Options'!$M:$M,'BSE - Other Index Options'!$C:$C,$A5,'BSE - Other Index Options'!$B:$B,D$4,'BSE - Other Index Options'!$I:$I,"Weekly*")+SUMIFS('BSE - Other Index Options'!$M:$M,'BSE - Other Index Options'!$C:$C,$A5,'BSE - Other Index Options'!$B:$B,D$4,'BSE - Other Index Options'!$I:$I,"MDAW*"))</f>
        <v/>
      </c>
      <c r="E5" s="26">
        <f>IF(SUMIFS('NSE - NIFTY Index Options'!$M:$M,'NSE - NIFTY Index Options'!$C:$C,$A5,'NSE - NIFTY Index Options'!$B:$B,E$4,'NSE - NIFTY Index Options'!$I:$I,"Weekly*")+SUMIFS('NSE - NIFTY Index Options'!$M:$M,'NSE - NIFTY Index Options'!$C:$C,$A5,'NSE - NIFTY Index Options'!$B:$B,E$4,'NSE - NIFTY Index Options'!$I:$I,"MDAW*")+SUMIFS('NSE - Other Index Options'!$M:$M,'NSE - Other Index Options'!$C:$C,$A5,'NSE - Other Index Options'!$B:$B,E$4,'NSE - Other Index Options'!$I:$I,"Weekly*")+SUMIFS('NSE - Other Index Options'!$M:$M,'NSE - Other Index Options'!$C:$C,$A5,'NSE - Other Index Options'!$B:$B,E$4,'NSE - Other Index Options'!$I:$I,"MDAW*")+SUMIFS('BSE - SENSEX Index Options'!$M:$M,'BSE - SENSEX Index Options'!$C:$C,$A5,'BSE - SENSEX Index Options'!$B:$B,E$4,'BSE - SENSEX Index Options'!$I:$I,"Weekly*")+SUMIFS('BSE - SENSEX Index Options'!$M:$M,'BSE - SENSEX Index Options'!$C:$C,$A5,'BSE - SENSEX Index Options'!$B:$B,E$4,'BSE - SENSEX Index Options'!$I:$I,"MDAW*")+SUMIFS('BSE - Other Index Options'!$M:$M,'BSE - Other Index Options'!$C:$C,$A5,'BSE - Other Index Options'!$B:$B,E$4,'BSE - Other Index Options'!$I:$I,"Weekly*")+SUMIFS('BSE - Other Index Options'!$M:$M,'BSE - Other Index Options'!$C:$C,$A5,'BSE - Other Index Options'!$B:$B,E$4,'BSE - Other Index Options'!$I:$I,"MDAW*")=0,"",SUMIFS('NSE - NIFTY Index Options'!$M:$M,'NSE - NIFTY Index Options'!$C:$C,$A5,'NSE - NIFTY Index Options'!$B:$B,E$4,'NSE - NIFTY Index Options'!$I:$I,"Weekly*")+SUMIFS('NSE - NIFTY Index Options'!$M:$M,'NSE - NIFTY Index Options'!$C:$C,$A5,'NSE - NIFTY Index Options'!$B:$B,E$4,'NSE - NIFTY Index Options'!$I:$I,"MDAW*")+SUMIFS('NSE - Other Index Options'!$M:$M,'NSE - Other Index Options'!$C:$C,$A5,'NSE - Other Index Options'!$B:$B,E$4,'NSE - Other Index Options'!$I:$I,"Weekly*")+SUMIFS('NSE - Other Index Options'!$M:$M,'NSE - Other Index Options'!$C:$C,$A5,'NSE - Other Index Options'!$B:$B,E$4,'NSE - Other Index Options'!$I:$I,"MDAW*")+SUMIFS('BSE - SENSEX Index Options'!$M:$M,'BSE - SENSEX Index Options'!$C:$C,$A5,'BSE - SENSEX Index Options'!$B:$B,E$4,'BSE - SENSEX Index Options'!$I:$I,"Weekly*")+SUMIFS('BSE - SENSEX Index Options'!$M:$M,'BSE - SENSEX Index Options'!$C:$C,$A5,'BSE - SENSEX Index Options'!$B:$B,E$4,'BSE - SENSEX Index Options'!$I:$I,"MDAW*")+SUMIFS('BSE - Other Index Options'!$M:$M,'BSE - Other Index Options'!$C:$C,$A5,'BSE - Other Index Options'!$B:$B,E$4,'BSE - Other Index Options'!$I:$I,"Weekly*")+SUMIFS('BSE - Other Index Options'!$M:$M,'BSE - Other Index Options'!$C:$C,$A5,'BSE - Other Index Options'!$B:$B,E$4,'BSE - Other Index Options'!$I:$I,"MDAW*"))</f>
        <v/>
      </c>
      <c r="F5" s="26">
        <f>IF(SUMIFS('NSE - NIFTY Index Options'!$M:$M,'NSE - NIFTY Index Options'!$C:$C,$A5,'NSE - NIFTY Index Options'!$B:$B,F$4,'NSE - NIFTY Index Options'!$I:$I,"Weekly*")+SUMIFS('NSE - NIFTY Index Options'!$M:$M,'NSE - NIFTY Index Options'!$C:$C,$A5,'NSE - NIFTY Index Options'!$B:$B,F$4,'NSE - NIFTY Index Options'!$I:$I,"MDAW*")+SUMIFS('NSE - Other Index Options'!$M:$M,'NSE - Other Index Options'!$C:$C,$A5,'NSE - Other Index Options'!$B:$B,F$4,'NSE - Other Index Options'!$I:$I,"Weekly*")+SUMIFS('NSE - Other Index Options'!$M:$M,'NSE - Other Index Options'!$C:$C,$A5,'NSE - Other Index Options'!$B:$B,F$4,'NSE - Other Index Options'!$I:$I,"MDAW*")+SUMIFS('BSE - SENSEX Index Options'!$M:$M,'BSE - SENSEX Index Options'!$C:$C,$A5,'BSE - SENSEX Index Options'!$B:$B,F$4,'BSE - SENSEX Index Options'!$I:$I,"Weekly*")+SUMIFS('BSE - SENSEX Index Options'!$M:$M,'BSE - SENSEX Index Options'!$C:$C,$A5,'BSE - SENSEX Index Options'!$B:$B,F$4,'BSE - SENSEX Index Options'!$I:$I,"MDAW*")+SUMIFS('BSE - Other Index Options'!$M:$M,'BSE - Other Index Options'!$C:$C,$A5,'BSE - Other Index Options'!$B:$B,F$4,'BSE - Other Index Options'!$I:$I,"Weekly*")+SUMIFS('BSE - Other Index Options'!$M:$M,'BSE - Other Index Options'!$C:$C,$A5,'BSE - Other Index Options'!$B:$B,F$4,'BSE - Other Index Options'!$I:$I,"MDAW*")=0,"",SUMIFS('NSE - NIFTY Index Options'!$M:$M,'NSE - NIFTY Index Options'!$C:$C,$A5,'NSE - NIFTY Index Options'!$B:$B,F$4,'NSE - NIFTY Index Options'!$I:$I,"Weekly*")+SUMIFS('NSE - NIFTY Index Options'!$M:$M,'NSE - NIFTY Index Options'!$C:$C,$A5,'NSE - NIFTY Index Options'!$B:$B,F$4,'NSE - NIFTY Index Options'!$I:$I,"MDAW*")+SUMIFS('NSE - Other Index Options'!$M:$M,'NSE - Other Index Options'!$C:$C,$A5,'NSE - Other Index Options'!$B:$B,F$4,'NSE - Other Index Options'!$I:$I,"Weekly*")+SUMIFS('NSE - Other Index Options'!$M:$M,'NSE - Other Index Options'!$C:$C,$A5,'NSE - Other Index Options'!$B:$B,F$4,'NSE - Other Index Options'!$I:$I,"MDAW*")+SUMIFS('BSE - SENSEX Index Options'!$M:$M,'BSE - SENSEX Index Options'!$C:$C,$A5,'BSE - SENSEX Index Options'!$B:$B,F$4,'BSE - SENSEX Index Options'!$I:$I,"Weekly*")+SUMIFS('BSE - SENSEX Index Options'!$M:$M,'BSE - SENSEX Index Options'!$C:$C,$A5,'BSE - SENSEX Index Options'!$B:$B,F$4,'BSE - SENSEX Index Options'!$I:$I,"MDAW*")+SUMIFS('BSE - Other Index Options'!$M:$M,'BSE - Other Index Options'!$C:$C,$A5,'BSE - Other Index Options'!$B:$B,F$4,'BSE - Other Index Options'!$I:$I,"Weekly*")+SUMIFS('BSE - Other Index Options'!$M:$M,'BSE - Other Index Options'!$C:$C,$A5,'BSE - Other Index Options'!$B:$B,F$4,'BSE - Other Index Options'!$I:$I,"MDAW*"))</f>
        <v/>
      </c>
      <c r="G5" s="26">
        <f>IF(SUMIFS('NSE - NIFTY Index Options'!$M:$M,'NSE - NIFTY Index Options'!$C:$C,$A5,'NSE - NIFTY Index Options'!$B:$B,G$4,'NSE - NIFTY Index Options'!$I:$I,"Weekly*")+SUMIFS('NSE - NIFTY Index Options'!$M:$M,'NSE - NIFTY Index Options'!$C:$C,$A5,'NSE - NIFTY Index Options'!$B:$B,G$4,'NSE - NIFTY Index Options'!$I:$I,"MDAW*")+SUMIFS('NSE - Other Index Options'!$M:$M,'NSE - Other Index Options'!$C:$C,$A5,'NSE - Other Index Options'!$B:$B,G$4,'NSE - Other Index Options'!$I:$I,"Weekly*")+SUMIFS('NSE - Other Index Options'!$M:$M,'NSE - Other Index Options'!$C:$C,$A5,'NSE - Other Index Options'!$B:$B,G$4,'NSE - Other Index Options'!$I:$I,"MDAW*")+SUMIFS('BSE - SENSEX Index Options'!$M:$M,'BSE - SENSEX Index Options'!$C:$C,$A5,'BSE - SENSEX Index Options'!$B:$B,G$4,'BSE - SENSEX Index Options'!$I:$I,"Weekly*")+SUMIFS('BSE - SENSEX Index Options'!$M:$M,'BSE - SENSEX Index Options'!$C:$C,$A5,'BSE - SENSEX Index Options'!$B:$B,G$4,'BSE - SENSEX Index Options'!$I:$I,"MDAW*")+SUMIFS('BSE - Other Index Options'!$M:$M,'BSE - Other Index Options'!$C:$C,$A5,'BSE - Other Index Options'!$B:$B,G$4,'BSE - Other Index Options'!$I:$I,"Weekly*")+SUMIFS('BSE - Other Index Options'!$M:$M,'BSE - Other Index Options'!$C:$C,$A5,'BSE - Other Index Options'!$B:$B,G$4,'BSE - Other Index Options'!$I:$I,"MDAW*")=0,"",SUMIFS('NSE - NIFTY Index Options'!$M:$M,'NSE - NIFTY Index Options'!$C:$C,$A5,'NSE - NIFTY Index Options'!$B:$B,G$4,'NSE - NIFTY Index Options'!$I:$I,"Weekly*")+SUMIFS('NSE - NIFTY Index Options'!$M:$M,'NSE - NIFTY Index Options'!$C:$C,$A5,'NSE - NIFTY Index Options'!$B:$B,G$4,'NSE - NIFTY Index Options'!$I:$I,"MDAW*")+SUMIFS('NSE - Other Index Options'!$M:$M,'NSE - Other Index Options'!$C:$C,$A5,'NSE - Other Index Options'!$B:$B,G$4,'NSE - Other Index Options'!$I:$I,"Weekly*")+SUMIFS('NSE - Other Index Options'!$M:$M,'NSE - Other Index Options'!$C:$C,$A5,'NSE - Other Index Options'!$B:$B,G$4,'NSE - Other Index Options'!$I:$I,"MDAW*")+SUMIFS('BSE - SENSEX Index Options'!$M:$M,'BSE - SENSEX Index Options'!$C:$C,$A5,'BSE - SENSEX Index Options'!$B:$B,G$4,'BSE - SENSEX Index Options'!$I:$I,"Weekly*")+SUMIFS('BSE - SENSEX Index Options'!$M:$M,'BSE - SENSEX Index Options'!$C:$C,$A5,'BSE - SENSEX Index Options'!$B:$B,G$4,'BSE - SENSEX Index Options'!$I:$I,"MDAW*")+SUMIFS('BSE - Other Index Options'!$M:$M,'BSE - Other Index Options'!$C:$C,$A5,'BSE - Other Index Options'!$B:$B,G$4,'BSE - Other Index Options'!$I:$I,"Weekly*")+SUMIFS('BSE - Other Index Options'!$M:$M,'BSE - Other Index Options'!$C:$C,$A5,'BSE - Other Index Options'!$B:$B,G$4,'BSE - Other Index Options'!$I:$I,"MDAW*"))</f>
        <v/>
      </c>
      <c r="H5" s="26">
        <f>IF(SUM(B5:G5)=0,"",SUM(B5:G5))</f>
        <v/>
      </c>
      <c r="K5" t="inlineStr">
        <is>
          <t>NSE</t>
        </is>
      </c>
      <c r="L5" s="56" t="inlineStr">
        <is>
          <t>Yes</t>
        </is>
      </c>
    </row>
    <row r="6">
      <c r="A6" t="inlineStr">
        <is>
          <t>Week2-Sep-2025</t>
        </is>
      </c>
      <c r="B6" s="26">
        <f>IF(SUMIFS('NSE - NIFTY Index Options'!$M:$M,'NSE - NIFTY Index Options'!$C:$C,$A6,'NSE - NIFTY Index Options'!$B:$B,B$4,'NSE - NIFTY Index Options'!$I:$I,"Weekly*")+SUMIFS('NSE - NIFTY Index Options'!$M:$M,'NSE - NIFTY Index Options'!$C:$C,$A6,'NSE - NIFTY Index Options'!$B:$B,B$4,'NSE - NIFTY Index Options'!$I:$I,"MDAW*")+SUMIFS('NSE - Other Index Options'!$M:$M,'NSE - Other Index Options'!$C:$C,$A6,'NSE - Other Index Options'!$B:$B,B$4,'NSE - Other Index Options'!$I:$I,"Weekly*")+SUMIFS('NSE - Other Index Options'!$M:$M,'NSE - Other Index Options'!$C:$C,$A6,'NSE - Other Index Options'!$B:$B,B$4,'NSE - Other Index Options'!$I:$I,"MDAW*")+SUMIFS('BSE - SENSEX Index Options'!$M:$M,'BSE - SENSEX Index Options'!$C:$C,$A6,'BSE - SENSEX Index Options'!$B:$B,B$4,'BSE - SENSEX Index Options'!$I:$I,"Weekly*")+SUMIFS('BSE - SENSEX Index Options'!$M:$M,'BSE - SENSEX Index Options'!$C:$C,$A6,'BSE - SENSEX Index Options'!$B:$B,B$4,'BSE - SENSEX Index Options'!$I:$I,"MDAW*")+SUMIFS('BSE - Other Index Options'!$M:$M,'BSE - Other Index Options'!$C:$C,$A6,'BSE - Other Index Options'!$B:$B,B$4,'BSE - Other Index Options'!$I:$I,"Weekly*")+SUMIFS('BSE - Other Index Options'!$M:$M,'BSE - Other Index Options'!$C:$C,$A6,'BSE - Other Index Options'!$B:$B,B$4,'BSE - Other Index Options'!$I:$I,"MDAW*")=0,"",SUMIFS('NSE - NIFTY Index Options'!$M:$M,'NSE - NIFTY Index Options'!$C:$C,$A6,'NSE - NIFTY Index Options'!$B:$B,B$4,'NSE - NIFTY Index Options'!$I:$I,"Weekly*")+SUMIFS('NSE - NIFTY Index Options'!$M:$M,'NSE - NIFTY Index Options'!$C:$C,$A6,'NSE - NIFTY Index Options'!$B:$B,B$4,'NSE - NIFTY Index Options'!$I:$I,"MDAW*")+SUMIFS('NSE - Other Index Options'!$M:$M,'NSE - Other Index Options'!$C:$C,$A6,'NSE - Other Index Options'!$B:$B,B$4,'NSE - Other Index Options'!$I:$I,"Weekly*")+SUMIFS('NSE - Other Index Options'!$M:$M,'NSE - Other Index Options'!$C:$C,$A6,'NSE - Other Index Options'!$B:$B,B$4,'NSE - Other Index Options'!$I:$I,"MDAW*")+SUMIFS('BSE - SENSEX Index Options'!$M:$M,'BSE - SENSEX Index Options'!$C:$C,$A6,'BSE - SENSEX Index Options'!$B:$B,B$4,'BSE - SENSEX Index Options'!$I:$I,"Weekly*")+SUMIFS('BSE - SENSEX Index Options'!$M:$M,'BSE - SENSEX Index Options'!$C:$C,$A6,'BSE - SENSEX Index Options'!$B:$B,B$4,'BSE - SENSEX Index Options'!$I:$I,"MDAW*")+SUMIFS('BSE - Other Index Options'!$M:$M,'BSE - Other Index Options'!$C:$C,$A6,'BSE - Other Index Options'!$B:$B,B$4,'BSE - Other Index Options'!$I:$I,"Weekly*")+SUMIFS('BSE - Other Index Options'!$M:$M,'BSE - Other Index Options'!$C:$C,$A6,'BSE - Other Index Options'!$B:$B,B$4,'BSE - Other Index Options'!$I:$I,"MDAW*"))</f>
        <v/>
      </c>
      <c r="C6" s="26">
        <f>IF(SUMIFS('NSE - NIFTY Index Options'!$M:$M,'NSE - NIFTY Index Options'!$C:$C,$A6,'NSE - NIFTY Index Options'!$B:$B,C$4,'NSE - NIFTY Index Options'!$I:$I,"Weekly*")+SUMIFS('NSE - NIFTY Index Options'!$M:$M,'NSE - NIFTY Index Options'!$C:$C,$A6,'NSE - NIFTY Index Options'!$B:$B,C$4,'NSE - NIFTY Index Options'!$I:$I,"MDAW*")+SUMIFS('NSE - Other Index Options'!$M:$M,'NSE - Other Index Options'!$C:$C,$A6,'NSE - Other Index Options'!$B:$B,C$4,'NSE - Other Index Options'!$I:$I,"Weekly*")+SUMIFS('NSE - Other Index Options'!$M:$M,'NSE - Other Index Options'!$C:$C,$A6,'NSE - Other Index Options'!$B:$B,C$4,'NSE - Other Index Options'!$I:$I,"MDAW*")+SUMIFS('BSE - SENSEX Index Options'!$M:$M,'BSE - SENSEX Index Options'!$C:$C,$A6,'BSE - SENSEX Index Options'!$B:$B,C$4,'BSE - SENSEX Index Options'!$I:$I,"Weekly*")+SUMIFS('BSE - SENSEX Index Options'!$M:$M,'BSE - SENSEX Index Options'!$C:$C,$A6,'BSE - SENSEX Index Options'!$B:$B,C$4,'BSE - SENSEX Index Options'!$I:$I,"MDAW*")+SUMIFS('BSE - Other Index Options'!$M:$M,'BSE - Other Index Options'!$C:$C,$A6,'BSE - Other Index Options'!$B:$B,C$4,'BSE - Other Index Options'!$I:$I,"Weekly*")+SUMIFS('BSE - Other Index Options'!$M:$M,'BSE - Other Index Options'!$C:$C,$A6,'BSE - Other Index Options'!$B:$B,C$4,'BSE - Other Index Options'!$I:$I,"MDAW*")=0,"",SUMIFS('NSE - NIFTY Index Options'!$M:$M,'NSE - NIFTY Index Options'!$C:$C,$A6,'NSE - NIFTY Index Options'!$B:$B,C$4,'NSE - NIFTY Index Options'!$I:$I,"Weekly*")+SUMIFS('NSE - NIFTY Index Options'!$M:$M,'NSE - NIFTY Index Options'!$C:$C,$A6,'NSE - NIFTY Index Options'!$B:$B,C$4,'NSE - NIFTY Index Options'!$I:$I,"MDAW*")+SUMIFS('NSE - Other Index Options'!$M:$M,'NSE - Other Index Options'!$C:$C,$A6,'NSE - Other Index Options'!$B:$B,C$4,'NSE - Other Index Options'!$I:$I,"Weekly*")+SUMIFS('NSE - Other Index Options'!$M:$M,'NSE - Other Index Options'!$C:$C,$A6,'NSE - Other Index Options'!$B:$B,C$4,'NSE - Other Index Options'!$I:$I,"MDAW*")+SUMIFS('BSE - SENSEX Index Options'!$M:$M,'BSE - SENSEX Index Options'!$C:$C,$A6,'BSE - SENSEX Index Options'!$B:$B,C$4,'BSE - SENSEX Index Options'!$I:$I,"Weekly*")+SUMIFS('BSE - SENSEX Index Options'!$M:$M,'BSE - SENSEX Index Options'!$C:$C,$A6,'BSE - SENSEX Index Options'!$B:$B,C$4,'BSE - SENSEX Index Options'!$I:$I,"MDAW*")+SUMIFS('BSE - Other Index Options'!$M:$M,'BSE - Other Index Options'!$C:$C,$A6,'BSE - Other Index Options'!$B:$B,C$4,'BSE - Other Index Options'!$I:$I,"Weekly*")+SUMIFS('BSE - Other Index Options'!$M:$M,'BSE - Other Index Options'!$C:$C,$A6,'BSE - Other Index Options'!$B:$B,C$4,'BSE - Other Index Options'!$I:$I,"MDAW*"))</f>
        <v/>
      </c>
      <c r="D6" s="26">
        <f>IF(SUMIFS('NSE - NIFTY Index Options'!$M:$M,'NSE - NIFTY Index Options'!$C:$C,$A6,'NSE - NIFTY Index Options'!$B:$B,D$4,'NSE - NIFTY Index Options'!$I:$I,"Weekly*")+SUMIFS('NSE - NIFTY Index Options'!$M:$M,'NSE - NIFTY Index Options'!$C:$C,$A6,'NSE - NIFTY Index Options'!$B:$B,D$4,'NSE - NIFTY Index Options'!$I:$I,"MDAW*")+SUMIFS('NSE - Other Index Options'!$M:$M,'NSE - Other Index Options'!$C:$C,$A6,'NSE - Other Index Options'!$B:$B,D$4,'NSE - Other Index Options'!$I:$I,"Weekly*")+SUMIFS('NSE - Other Index Options'!$M:$M,'NSE - Other Index Options'!$C:$C,$A6,'NSE - Other Index Options'!$B:$B,D$4,'NSE - Other Index Options'!$I:$I,"MDAW*")+SUMIFS('BSE - SENSEX Index Options'!$M:$M,'BSE - SENSEX Index Options'!$C:$C,$A6,'BSE - SENSEX Index Options'!$B:$B,D$4,'BSE - SENSEX Index Options'!$I:$I,"Weekly*")+SUMIFS('BSE - SENSEX Index Options'!$M:$M,'BSE - SENSEX Index Options'!$C:$C,$A6,'BSE - SENSEX Index Options'!$B:$B,D$4,'BSE - SENSEX Index Options'!$I:$I,"MDAW*")+SUMIFS('BSE - Other Index Options'!$M:$M,'BSE - Other Index Options'!$C:$C,$A6,'BSE - Other Index Options'!$B:$B,D$4,'BSE - Other Index Options'!$I:$I,"Weekly*")+SUMIFS('BSE - Other Index Options'!$M:$M,'BSE - Other Index Options'!$C:$C,$A6,'BSE - Other Index Options'!$B:$B,D$4,'BSE - Other Index Options'!$I:$I,"MDAW*")=0,"",SUMIFS('NSE - NIFTY Index Options'!$M:$M,'NSE - NIFTY Index Options'!$C:$C,$A6,'NSE - NIFTY Index Options'!$B:$B,D$4,'NSE - NIFTY Index Options'!$I:$I,"Weekly*")+SUMIFS('NSE - NIFTY Index Options'!$M:$M,'NSE - NIFTY Index Options'!$C:$C,$A6,'NSE - NIFTY Index Options'!$B:$B,D$4,'NSE - NIFTY Index Options'!$I:$I,"MDAW*")+SUMIFS('NSE - Other Index Options'!$M:$M,'NSE - Other Index Options'!$C:$C,$A6,'NSE - Other Index Options'!$B:$B,D$4,'NSE - Other Index Options'!$I:$I,"Weekly*")+SUMIFS('NSE - Other Index Options'!$M:$M,'NSE - Other Index Options'!$C:$C,$A6,'NSE - Other Index Options'!$B:$B,D$4,'NSE - Other Index Options'!$I:$I,"MDAW*")+SUMIFS('BSE - SENSEX Index Options'!$M:$M,'BSE - SENSEX Index Options'!$C:$C,$A6,'BSE - SENSEX Index Options'!$B:$B,D$4,'BSE - SENSEX Index Options'!$I:$I,"Weekly*")+SUMIFS('BSE - SENSEX Index Options'!$M:$M,'BSE - SENSEX Index Options'!$C:$C,$A6,'BSE - SENSEX Index Options'!$B:$B,D$4,'BSE - SENSEX Index Options'!$I:$I,"MDAW*")+SUMIFS('BSE - Other Index Options'!$M:$M,'BSE - Other Index Options'!$C:$C,$A6,'BSE - Other Index Options'!$B:$B,D$4,'BSE - Other Index Options'!$I:$I,"Weekly*")+SUMIFS('BSE - Other Index Options'!$M:$M,'BSE - Other Index Options'!$C:$C,$A6,'BSE - Other Index Options'!$B:$B,D$4,'BSE - Other Index Options'!$I:$I,"MDAW*"))</f>
        <v/>
      </c>
      <c r="E6" s="26">
        <f>IF(SUMIFS('NSE - NIFTY Index Options'!$M:$M,'NSE - NIFTY Index Options'!$C:$C,$A6,'NSE - NIFTY Index Options'!$B:$B,E$4,'NSE - NIFTY Index Options'!$I:$I,"Weekly*")+SUMIFS('NSE - NIFTY Index Options'!$M:$M,'NSE - NIFTY Index Options'!$C:$C,$A6,'NSE - NIFTY Index Options'!$B:$B,E$4,'NSE - NIFTY Index Options'!$I:$I,"MDAW*")+SUMIFS('NSE - Other Index Options'!$M:$M,'NSE - Other Index Options'!$C:$C,$A6,'NSE - Other Index Options'!$B:$B,E$4,'NSE - Other Index Options'!$I:$I,"Weekly*")+SUMIFS('NSE - Other Index Options'!$M:$M,'NSE - Other Index Options'!$C:$C,$A6,'NSE - Other Index Options'!$B:$B,E$4,'NSE - Other Index Options'!$I:$I,"MDAW*")+SUMIFS('BSE - SENSEX Index Options'!$M:$M,'BSE - SENSEX Index Options'!$C:$C,$A6,'BSE - SENSEX Index Options'!$B:$B,E$4,'BSE - SENSEX Index Options'!$I:$I,"Weekly*")+SUMIFS('BSE - SENSEX Index Options'!$M:$M,'BSE - SENSEX Index Options'!$C:$C,$A6,'BSE - SENSEX Index Options'!$B:$B,E$4,'BSE - SENSEX Index Options'!$I:$I,"MDAW*")+SUMIFS('BSE - Other Index Options'!$M:$M,'BSE - Other Index Options'!$C:$C,$A6,'BSE - Other Index Options'!$B:$B,E$4,'BSE - Other Index Options'!$I:$I,"Weekly*")+SUMIFS('BSE - Other Index Options'!$M:$M,'BSE - Other Index Options'!$C:$C,$A6,'BSE - Other Index Options'!$B:$B,E$4,'BSE - Other Index Options'!$I:$I,"MDAW*")=0,"",SUMIFS('NSE - NIFTY Index Options'!$M:$M,'NSE - NIFTY Index Options'!$C:$C,$A6,'NSE - NIFTY Index Options'!$B:$B,E$4,'NSE - NIFTY Index Options'!$I:$I,"Weekly*")+SUMIFS('NSE - NIFTY Index Options'!$M:$M,'NSE - NIFTY Index Options'!$C:$C,$A6,'NSE - NIFTY Index Options'!$B:$B,E$4,'NSE - NIFTY Index Options'!$I:$I,"MDAW*")+SUMIFS('NSE - Other Index Options'!$M:$M,'NSE - Other Index Options'!$C:$C,$A6,'NSE - Other Index Options'!$B:$B,E$4,'NSE - Other Index Options'!$I:$I,"Weekly*")+SUMIFS('NSE - Other Index Options'!$M:$M,'NSE - Other Index Options'!$C:$C,$A6,'NSE - Other Index Options'!$B:$B,E$4,'NSE - Other Index Options'!$I:$I,"MDAW*")+SUMIFS('BSE - SENSEX Index Options'!$M:$M,'BSE - SENSEX Index Options'!$C:$C,$A6,'BSE - SENSEX Index Options'!$B:$B,E$4,'BSE - SENSEX Index Options'!$I:$I,"Weekly*")+SUMIFS('BSE - SENSEX Index Options'!$M:$M,'BSE - SENSEX Index Options'!$C:$C,$A6,'BSE - SENSEX Index Options'!$B:$B,E$4,'BSE - SENSEX Index Options'!$I:$I,"MDAW*")+SUMIFS('BSE - Other Index Options'!$M:$M,'BSE - Other Index Options'!$C:$C,$A6,'BSE - Other Index Options'!$B:$B,E$4,'BSE - Other Index Options'!$I:$I,"Weekly*")+SUMIFS('BSE - Other Index Options'!$M:$M,'BSE - Other Index Options'!$C:$C,$A6,'BSE - Other Index Options'!$B:$B,E$4,'BSE - Other Index Options'!$I:$I,"MDAW*"))</f>
        <v/>
      </c>
      <c r="F6" s="26">
        <f>IF(SUMIFS('NSE - NIFTY Index Options'!$M:$M,'NSE - NIFTY Index Options'!$C:$C,$A6,'NSE - NIFTY Index Options'!$B:$B,F$4,'NSE - NIFTY Index Options'!$I:$I,"Weekly*")+SUMIFS('NSE - NIFTY Index Options'!$M:$M,'NSE - NIFTY Index Options'!$C:$C,$A6,'NSE - NIFTY Index Options'!$B:$B,F$4,'NSE - NIFTY Index Options'!$I:$I,"MDAW*")+SUMIFS('NSE - Other Index Options'!$M:$M,'NSE - Other Index Options'!$C:$C,$A6,'NSE - Other Index Options'!$B:$B,F$4,'NSE - Other Index Options'!$I:$I,"Weekly*")+SUMIFS('NSE - Other Index Options'!$M:$M,'NSE - Other Index Options'!$C:$C,$A6,'NSE - Other Index Options'!$B:$B,F$4,'NSE - Other Index Options'!$I:$I,"MDAW*")+SUMIFS('BSE - SENSEX Index Options'!$M:$M,'BSE - SENSEX Index Options'!$C:$C,$A6,'BSE - SENSEX Index Options'!$B:$B,F$4,'BSE - SENSEX Index Options'!$I:$I,"Weekly*")+SUMIFS('BSE - SENSEX Index Options'!$M:$M,'BSE - SENSEX Index Options'!$C:$C,$A6,'BSE - SENSEX Index Options'!$B:$B,F$4,'BSE - SENSEX Index Options'!$I:$I,"MDAW*")+SUMIFS('BSE - Other Index Options'!$M:$M,'BSE - Other Index Options'!$C:$C,$A6,'BSE - Other Index Options'!$B:$B,F$4,'BSE - Other Index Options'!$I:$I,"Weekly*")+SUMIFS('BSE - Other Index Options'!$M:$M,'BSE - Other Index Options'!$C:$C,$A6,'BSE - Other Index Options'!$B:$B,F$4,'BSE - Other Index Options'!$I:$I,"MDAW*")=0,"",SUMIFS('NSE - NIFTY Index Options'!$M:$M,'NSE - NIFTY Index Options'!$C:$C,$A6,'NSE - NIFTY Index Options'!$B:$B,F$4,'NSE - NIFTY Index Options'!$I:$I,"Weekly*")+SUMIFS('NSE - NIFTY Index Options'!$M:$M,'NSE - NIFTY Index Options'!$C:$C,$A6,'NSE - NIFTY Index Options'!$B:$B,F$4,'NSE - NIFTY Index Options'!$I:$I,"MDAW*")+SUMIFS('NSE - Other Index Options'!$M:$M,'NSE - Other Index Options'!$C:$C,$A6,'NSE - Other Index Options'!$B:$B,F$4,'NSE - Other Index Options'!$I:$I,"Weekly*")+SUMIFS('NSE - Other Index Options'!$M:$M,'NSE - Other Index Options'!$C:$C,$A6,'NSE - Other Index Options'!$B:$B,F$4,'NSE - Other Index Options'!$I:$I,"MDAW*")+SUMIFS('BSE - SENSEX Index Options'!$M:$M,'BSE - SENSEX Index Options'!$C:$C,$A6,'BSE - SENSEX Index Options'!$B:$B,F$4,'BSE - SENSEX Index Options'!$I:$I,"Weekly*")+SUMIFS('BSE - SENSEX Index Options'!$M:$M,'BSE - SENSEX Index Options'!$C:$C,$A6,'BSE - SENSEX Index Options'!$B:$B,F$4,'BSE - SENSEX Index Options'!$I:$I,"MDAW*")+SUMIFS('BSE - Other Index Options'!$M:$M,'BSE - Other Index Options'!$C:$C,$A6,'BSE - Other Index Options'!$B:$B,F$4,'BSE - Other Index Options'!$I:$I,"Weekly*")+SUMIFS('BSE - Other Index Options'!$M:$M,'BSE - Other Index Options'!$C:$C,$A6,'BSE - Other Index Options'!$B:$B,F$4,'BSE - Other Index Options'!$I:$I,"MDAW*"))</f>
        <v/>
      </c>
      <c r="G6" s="26">
        <f>IF(SUMIFS('NSE - NIFTY Index Options'!$M:$M,'NSE - NIFTY Index Options'!$C:$C,$A6,'NSE - NIFTY Index Options'!$B:$B,G$4,'NSE - NIFTY Index Options'!$I:$I,"Weekly*")+SUMIFS('NSE - NIFTY Index Options'!$M:$M,'NSE - NIFTY Index Options'!$C:$C,$A6,'NSE - NIFTY Index Options'!$B:$B,G$4,'NSE - NIFTY Index Options'!$I:$I,"MDAW*")+SUMIFS('NSE - Other Index Options'!$M:$M,'NSE - Other Index Options'!$C:$C,$A6,'NSE - Other Index Options'!$B:$B,G$4,'NSE - Other Index Options'!$I:$I,"Weekly*")+SUMIFS('NSE - Other Index Options'!$M:$M,'NSE - Other Index Options'!$C:$C,$A6,'NSE - Other Index Options'!$B:$B,G$4,'NSE - Other Index Options'!$I:$I,"MDAW*")+SUMIFS('BSE - SENSEX Index Options'!$M:$M,'BSE - SENSEX Index Options'!$C:$C,$A6,'BSE - SENSEX Index Options'!$B:$B,G$4,'BSE - SENSEX Index Options'!$I:$I,"Weekly*")+SUMIFS('BSE - SENSEX Index Options'!$M:$M,'BSE - SENSEX Index Options'!$C:$C,$A6,'BSE - SENSEX Index Options'!$B:$B,G$4,'BSE - SENSEX Index Options'!$I:$I,"MDAW*")+SUMIFS('BSE - Other Index Options'!$M:$M,'BSE - Other Index Options'!$C:$C,$A6,'BSE - Other Index Options'!$B:$B,G$4,'BSE - Other Index Options'!$I:$I,"Weekly*")+SUMIFS('BSE - Other Index Options'!$M:$M,'BSE - Other Index Options'!$C:$C,$A6,'BSE - Other Index Options'!$B:$B,G$4,'BSE - Other Index Options'!$I:$I,"MDAW*")=0,"",SUMIFS('NSE - NIFTY Index Options'!$M:$M,'NSE - NIFTY Index Options'!$C:$C,$A6,'NSE - NIFTY Index Options'!$B:$B,G$4,'NSE - NIFTY Index Options'!$I:$I,"Weekly*")+SUMIFS('NSE - NIFTY Index Options'!$M:$M,'NSE - NIFTY Index Options'!$C:$C,$A6,'NSE - NIFTY Index Options'!$B:$B,G$4,'NSE - NIFTY Index Options'!$I:$I,"MDAW*")+SUMIFS('NSE - Other Index Options'!$M:$M,'NSE - Other Index Options'!$C:$C,$A6,'NSE - Other Index Options'!$B:$B,G$4,'NSE - Other Index Options'!$I:$I,"Weekly*")+SUMIFS('NSE - Other Index Options'!$M:$M,'NSE - Other Index Options'!$C:$C,$A6,'NSE - Other Index Options'!$B:$B,G$4,'NSE - Other Index Options'!$I:$I,"MDAW*")+SUMIFS('BSE - SENSEX Index Options'!$M:$M,'BSE - SENSEX Index Options'!$C:$C,$A6,'BSE - SENSEX Index Options'!$B:$B,G$4,'BSE - SENSEX Index Options'!$I:$I,"Weekly*")+SUMIFS('BSE - SENSEX Index Options'!$M:$M,'BSE - SENSEX Index Options'!$C:$C,$A6,'BSE - SENSEX Index Options'!$B:$B,G$4,'BSE - SENSEX Index Options'!$I:$I,"MDAW*")+SUMIFS('BSE - Other Index Options'!$M:$M,'BSE - Other Index Options'!$C:$C,$A6,'BSE - Other Index Options'!$B:$B,G$4,'BSE - Other Index Options'!$I:$I,"Weekly*")+SUMIFS('BSE - Other Index Options'!$M:$M,'BSE - Other Index Options'!$C:$C,$A6,'BSE - Other Index Options'!$B:$B,G$4,'BSE - Other Index Options'!$I:$I,"MDAW*"))</f>
        <v/>
      </c>
      <c r="H6" s="26">
        <f>IF(SUM(B6:G6)=0,"",SUM(B6:G6))</f>
        <v/>
      </c>
      <c r="K6" t="inlineStr">
        <is>
          <t>BSE</t>
        </is>
      </c>
      <c r="L6" s="56" t="inlineStr">
        <is>
          <t>Yes</t>
        </is>
      </c>
    </row>
    <row r="7">
      <c r="A7" t="inlineStr">
        <is>
          <t>Week3-Sep-2025</t>
        </is>
      </c>
      <c r="B7" s="26">
        <f>IF(SUMIFS('NSE - NIFTY Index Options'!$M:$M,'NSE - NIFTY Index Options'!$C:$C,$A7,'NSE - NIFTY Index Options'!$B:$B,B$4,'NSE - NIFTY Index Options'!$I:$I,"Weekly*")+SUMIFS('NSE - NIFTY Index Options'!$M:$M,'NSE - NIFTY Index Options'!$C:$C,$A7,'NSE - NIFTY Index Options'!$B:$B,B$4,'NSE - NIFTY Index Options'!$I:$I,"MDAW*")+SUMIFS('NSE - Other Index Options'!$M:$M,'NSE - Other Index Options'!$C:$C,$A7,'NSE - Other Index Options'!$B:$B,B$4,'NSE - Other Index Options'!$I:$I,"Weekly*")+SUMIFS('NSE - Other Index Options'!$M:$M,'NSE - Other Index Options'!$C:$C,$A7,'NSE - Other Index Options'!$B:$B,B$4,'NSE - Other Index Options'!$I:$I,"MDAW*")+SUMIFS('BSE - SENSEX Index Options'!$M:$M,'BSE - SENSEX Index Options'!$C:$C,$A7,'BSE - SENSEX Index Options'!$B:$B,B$4,'BSE - SENSEX Index Options'!$I:$I,"Weekly*")+SUMIFS('BSE - SENSEX Index Options'!$M:$M,'BSE - SENSEX Index Options'!$C:$C,$A7,'BSE - SENSEX Index Options'!$B:$B,B$4,'BSE - SENSEX Index Options'!$I:$I,"MDAW*")+SUMIFS('BSE - Other Index Options'!$M:$M,'BSE - Other Index Options'!$C:$C,$A7,'BSE - Other Index Options'!$B:$B,B$4,'BSE - Other Index Options'!$I:$I,"Weekly*")+SUMIFS('BSE - Other Index Options'!$M:$M,'BSE - Other Index Options'!$C:$C,$A7,'BSE - Other Index Options'!$B:$B,B$4,'BSE - Other Index Options'!$I:$I,"MDAW*")=0,"",SUMIFS('NSE - NIFTY Index Options'!$M:$M,'NSE - NIFTY Index Options'!$C:$C,$A7,'NSE - NIFTY Index Options'!$B:$B,B$4,'NSE - NIFTY Index Options'!$I:$I,"Weekly*")+SUMIFS('NSE - NIFTY Index Options'!$M:$M,'NSE - NIFTY Index Options'!$C:$C,$A7,'NSE - NIFTY Index Options'!$B:$B,B$4,'NSE - NIFTY Index Options'!$I:$I,"MDAW*")+SUMIFS('NSE - Other Index Options'!$M:$M,'NSE - Other Index Options'!$C:$C,$A7,'NSE - Other Index Options'!$B:$B,B$4,'NSE - Other Index Options'!$I:$I,"Weekly*")+SUMIFS('NSE - Other Index Options'!$M:$M,'NSE - Other Index Options'!$C:$C,$A7,'NSE - Other Index Options'!$B:$B,B$4,'NSE - Other Index Options'!$I:$I,"MDAW*")+SUMIFS('BSE - SENSEX Index Options'!$M:$M,'BSE - SENSEX Index Options'!$C:$C,$A7,'BSE - SENSEX Index Options'!$B:$B,B$4,'BSE - SENSEX Index Options'!$I:$I,"Weekly*")+SUMIFS('BSE - SENSEX Index Options'!$M:$M,'BSE - SENSEX Index Options'!$C:$C,$A7,'BSE - SENSEX Index Options'!$B:$B,B$4,'BSE - SENSEX Index Options'!$I:$I,"MDAW*")+SUMIFS('BSE - Other Index Options'!$M:$M,'BSE - Other Index Options'!$C:$C,$A7,'BSE - Other Index Options'!$B:$B,B$4,'BSE - Other Index Options'!$I:$I,"Weekly*")+SUMIFS('BSE - Other Index Options'!$M:$M,'BSE - Other Index Options'!$C:$C,$A7,'BSE - Other Index Options'!$B:$B,B$4,'BSE - Other Index Options'!$I:$I,"MDAW*"))</f>
        <v/>
      </c>
      <c r="C7" s="26">
        <f>IF(SUMIFS('NSE - NIFTY Index Options'!$M:$M,'NSE - NIFTY Index Options'!$C:$C,$A7,'NSE - NIFTY Index Options'!$B:$B,C$4,'NSE - NIFTY Index Options'!$I:$I,"Weekly*")+SUMIFS('NSE - NIFTY Index Options'!$M:$M,'NSE - NIFTY Index Options'!$C:$C,$A7,'NSE - NIFTY Index Options'!$B:$B,C$4,'NSE - NIFTY Index Options'!$I:$I,"MDAW*")+SUMIFS('NSE - Other Index Options'!$M:$M,'NSE - Other Index Options'!$C:$C,$A7,'NSE - Other Index Options'!$B:$B,C$4,'NSE - Other Index Options'!$I:$I,"Weekly*")+SUMIFS('NSE - Other Index Options'!$M:$M,'NSE - Other Index Options'!$C:$C,$A7,'NSE - Other Index Options'!$B:$B,C$4,'NSE - Other Index Options'!$I:$I,"MDAW*")+SUMIFS('BSE - SENSEX Index Options'!$M:$M,'BSE - SENSEX Index Options'!$C:$C,$A7,'BSE - SENSEX Index Options'!$B:$B,C$4,'BSE - SENSEX Index Options'!$I:$I,"Weekly*")+SUMIFS('BSE - SENSEX Index Options'!$M:$M,'BSE - SENSEX Index Options'!$C:$C,$A7,'BSE - SENSEX Index Options'!$B:$B,C$4,'BSE - SENSEX Index Options'!$I:$I,"MDAW*")+SUMIFS('BSE - Other Index Options'!$M:$M,'BSE - Other Index Options'!$C:$C,$A7,'BSE - Other Index Options'!$B:$B,C$4,'BSE - Other Index Options'!$I:$I,"Weekly*")+SUMIFS('BSE - Other Index Options'!$M:$M,'BSE - Other Index Options'!$C:$C,$A7,'BSE - Other Index Options'!$B:$B,C$4,'BSE - Other Index Options'!$I:$I,"MDAW*")=0,"",SUMIFS('NSE - NIFTY Index Options'!$M:$M,'NSE - NIFTY Index Options'!$C:$C,$A7,'NSE - NIFTY Index Options'!$B:$B,C$4,'NSE - NIFTY Index Options'!$I:$I,"Weekly*")+SUMIFS('NSE - NIFTY Index Options'!$M:$M,'NSE - NIFTY Index Options'!$C:$C,$A7,'NSE - NIFTY Index Options'!$B:$B,C$4,'NSE - NIFTY Index Options'!$I:$I,"MDAW*")+SUMIFS('NSE - Other Index Options'!$M:$M,'NSE - Other Index Options'!$C:$C,$A7,'NSE - Other Index Options'!$B:$B,C$4,'NSE - Other Index Options'!$I:$I,"Weekly*")+SUMIFS('NSE - Other Index Options'!$M:$M,'NSE - Other Index Options'!$C:$C,$A7,'NSE - Other Index Options'!$B:$B,C$4,'NSE - Other Index Options'!$I:$I,"MDAW*")+SUMIFS('BSE - SENSEX Index Options'!$M:$M,'BSE - SENSEX Index Options'!$C:$C,$A7,'BSE - SENSEX Index Options'!$B:$B,C$4,'BSE - SENSEX Index Options'!$I:$I,"Weekly*")+SUMIFS('BSE - SENSEX Index Options'!$M:$M,'BSE - SENSEX Index Options'!$C:$C,$A7,'BSE - SENSEX Index Options'!$B:$B,C$4,'BSE - SENSEX Index Options'!$I:$I,"MDAW*")+SUMIFS('BSE - Other Index Options'!$M:$M,'BSE - Other Index Options'!$C:$C,$A7,'BSE - Other Index Options'!$B:$B,C$4,'BSE - Other Index Options'!$I:$I,"Weekly*")+SUMIFS('BSE - Other Index Options'!$M:$M,'BSE - Other Index Options'!$C:$C,$A7,'BSE - Other Index Options'!$B:$B,C$4,'BSE - Other Index Options'!$I:$I,"MDAW*"))</f>
        <v/>
      </c>
      <c r="D7" s="26">
        <f>IF(SUMIFS('NSE - NIFTY Index Options'!$M:$M,'NSE - NIFTY Index Options'!$C:$C,$A7,'NSE - NIFTY Index Options'!$B:$B,D$4,'NSE - NIFTY Index Options'!$I:$I,"Weekly*")+SUMIFS('NSE - NIFTY Index Options'!$M:$M,'NSE - NIFTY Index Options'!$C:$C,$A7,'NSE - NIFTY Index Options'!$B:$B,D$4,'NSE - NIFTY Index Options'!$I:$I,"MDAW*")+SUMIFS('NSE - Other Index Options'!$M:$M,'NSE - Other Index Options'!$C:$C,$A7,'NSE - Other Index Options'!$B:$B,D$4,'NSE - Other Index Options'!$I:$I,"Weekly*")+SUMIFS('NSE - Other Index Options'!$M:$M,'NSE - Other Index Options'!$C:$C,$A7,'NSE - Other Index Options'!$B:$B,D$4,'NSE - Other Index Options'!$I:$I,"MDAW*")+SUMIFS('BSE - SENSEX Index Options'!$M:$M,'BSE - SENSEX Index Options'!$C:$C,$A7,'BSE - SENSEX Index Options'!$B:$B,D$4,'BSE - SENSEX Index Options'!$I:$I,"Weekly*")+SUMIFS('BSE - SENSEX Index Options'!$M:$M,'BSE - SENSEX Index Options'!$C:$C,$A7,'BSE - SENSEX Index Options'!$B:$B,D$4,'BSE - SENSEX Index Options'!$I:$I,"MDAW*")+SUMIFS('BSE - Other Index Options'!$M:$M,'BSE - Other Index Options'!$C:$C,$A7,'BSE - Other Index Options'!$B:$B,D$4,'BSE - Other Index Options'!$I:$I,"Weekly*")+SUMIFS('BSE - Other Index Options'!$M:$M,'BSE - Other Index Options'!$C:$C,$A7,'BSE - Other Index Options'!$B:$B,D$4,'BSE - Other Index Options'!$I:$I,"MDAW*")=0,"",SUMIFS('NSE - NIFTY Index Options'!$M:$M,'NSE - NIFTY Index Options'!$C:$C,$A7,'NSE - NIFTY Index Options'!$B:$B,D$4,'NSE - NIFTY Index Options'!$I:$I,"Weekly*")+SUMIFS('NSE - NIFTY Index Options'!$M:$M,'NSE - NIFTY Index Options'!$C:$C,$A7,'NSE - NIFTY Index Options'!$B:$B,D$4,'NSE - NIFTY Index Options'!$I:$I,"MDAW*")+SUMIFS('NSE - Other Index Options'!$M:$M,'NSE - Other Index Options'!$C:$C,$A7,'NSE - Other Index Options'!$B:$B,D$4,'NSE - Other Index Options'!$I:$I,"Weekly*")+SUMIFS('NSE - Other Index Options'!$M:$M,'NSE - Other Index Options'!$C:$C,$A7,'NSE - Other Index Options'!$B:$B,D$4,'NSE - Other Index Options'!$I:$I,"MDAW*")+SUMIFS('BSE - SENSEX Index Options'!$M:$M,'BSE - SENSEX Index Options'!$C:$C,$A7,'BSE - SENSEX Index Options'!$B:$B,D$4,'BSE - SENSEX Index Options'!$I:$I,"Weekly*")+SUMIFS('BSE - SENSEX Index Options'!$M:$M,'BSE - SENSEX Index Options'!$C:$C,$A7,'BSE - SENSEX Index Options'!$B:$B,D$4,'BSE - SENSEX Index Options'!$I:$I,"MDAW*")+SUMIFS('BSE - Other Index Options'!$M:$M,'BSE - Other Index Options'!$C:$C,$A7,'BSE - Other Index Options'!$B:$B,D$4,'BSE - Other Index Options'!$I:$I,"Weekly*")+SUMIFS('BSE - Other Index Options'!$M:$M,'BSE - Other Index Options'!$C:$C,$A7,'BSE - Other Index Options'!$B:$B,D$4,'BSE - Other Index Options'!$I:$I,"MDAW*"))</f>
        <v/>
      </c>
      <c r="E7" s="26">
        <f>IF(SUMIFS('NSE - NIFTY Index Options'!$M:$M,'NSE - NIFTY Index Options'!$C:$C,$A7,'NSE - NIFTY Index Options'!$B:$B,E$4,'NSE - NIFTY Index Options'!$I:$I,"Weekly*")+SUMIFS('NSE - NIFTY Index Options'!$M:$M,'NSE - NIFTY Index Options'!$C:$C,$A7,'NSE - NIFTY Index Options'!$B:$B,E$4,'NSE - NIFTY Index Options'!$I:$I,"MDAW*")+SUMIFS('NSE - Other Index Options'!$M:$M,'NSE - Other Index Options'!$C:$C,$A7,'NSE - Other Index Options'!$B:$B,E$4,'NSE - Other Index Options'!$I:$I,"Weekly*")+SUMIFS('NSE - Other Index Options'!$M:$M,'NSE - Other Index Options'!$C:$C,$A7,'NSE - Other Index Options'!$B:$B,E$4,'NSE - Other Index Options'!$I:$I,"MDAW*")+SUMIFS('BSE - SENSEX Index Options'!$M:$M,'BSE - SENSEX Index Options'!$C:$C,$A7,'BSE - SENSEX Index Options'!$B:$B,E$4,'BSE - SENSEX Index Options'!$I:$I,"Weekly*")+SUMIFS('BSE - SENSEX Index Options'!$M:$M,'BSE - SENSEX Index Options'!$C:$C,$A7,'BSE - SENSEX Index Options'!$B:$B,E$4,'BSE - SENSEX Index Options'!$I:$I,"MDAW*")+SUMIFS('BSE - Other Index Options'!$M:$M,'BSE - Other Index Options'!$C:$C,$A7,'BSE - Other Index Options'!$B:$B,E$4,'BSE - Other Index Options'!$I:$I,"Weekly*")+SUMIFS('BSE - Other Index Options'!$M:$M,'BSE - Other Index Options'!$C:$C,$A7,'BSE - Other Index Options'!$B:$B,E$4,'BSE - Other Index Options'!$I:$I,"MDAW*")=0,"",SUMIFS('NSE - NIFTY Index Options'!$M:$M,'NSE - NIFTY Index Options'!$C:$C,$A7,'NSE - NIFTY Index Options'!$B:$B,E$4,'NSE - NIFTY Index Options'!$I:$I,"Weekly*")+SUMIFS('NSE - NIFTY Index Options'!$M:$M,'NSE - NIFTY Index Options'!$C:$C,$A7,'NSE - NIFTY Index Options'!$B:$B,E$4,'NSE - NIFTY Index Options'!$I:$I,"MDAW*")+SUMIFS('NSE - Other Index Options'!$M:$M,'NSE - Other Index Options'!$C:$C,$A7,'NSE - Other Index Options'!$B:$B,E$4,'NSE - Other Index Options'!$I:$I,"Weekly*")+SUMIFS('NSE - Other Index Options'!$M:$M,'NSE - Other Index Options'!$C:$C,$A7,'NSE - Other Index Options'!$B:$B,E$4,'NSE - Other Index Options'!$I:$I,"MDAW*")+SUMIFS('BSE - SENSEX Index Options'!$M:$M,'BSE - SENSEX Index Options'!$C:$C,$A7,'BSE - SENSEX Index Options'!$B:$B,E$4,'BSE - SENSEX Index Options'!$I:$I,"Weekly*")+SUMIFS('BSE - SENSEX Index Options'!$M:$M,'BSE - SENSEX Index Options'!$C:$C,$A7,'BSE - SENSEX Index Options'!$B:$B,E$4,'BSE - SENSEX Index Options'!$I:$I,"MDAW*")+SUMIFS('BSE - Other Index Options'!$M:$M,'BSE - Other Index Options'!$C:$C,$A7,'BSE - Other Index Options'!$B:$B,E$4,'BSE - Other Index Options'!$I:$I,"Weekly*")+SUMIFS('BSE - Other Index Options'!$M:$M,'BSE - Other Index Options'!$C:$C,$A7,'BSE - Other Index Options'!$B:$B,E$4,'BSE - Other Index Options'!$I:$I,"MDAW*"))</f>
        <v/>
      </c>
      <c r="F7" s="26">
        <f>IF(SUMIFS('NSE - NIFTY Index Options'!$M:$M,'NSE - NIFTY Index Options'!$C:$C,$A7,'NSE - NIFTY Index Options'!$B:$B,F$4,'NSE - NIFTY Index Options'!$I:$I,"Weekly*")+SUMIFS('NSE - NIFTY Index Options'!$M:$M,'NSE - NIFTY Index Options'!$C:$C,$A7,'NSE - NIFTY Index Options'!$B:$B,F$4,'NSE - NIFTY Index Options'!$I:$I,"MDAW*")+SUMIFS('NSE - Other Index Options'!$M:$M,'NSE - Other Index Options'!$C:$C,$A7,'NSE - Other Index Options'!$B:$B,F$4,'NSE - Other Index Options'!$I:$I,"Weekly*")+SUMIFS('NSE - Other Index Options'!$M:$M,'NSE - Other Index Options'!$C:$C,$A7,'NSE - Other Index Options'!$B:$B,F$4,'NSE - Other Index Options'!$I:$I,"MDAW*")+SUMIFS('BSE - SENSEX Index Options'!$M:$M,'BSE - SENSEX Index Options'!$C:$C,$A7,'BSE - SENSEX Index Options'!$B:$B,F$4,'BSE - SENSEX Index Options'!$I:$I,"Weekly*")+SUMIFS('BSE - SENSEX Index Options'!$M:$M,'BSE - SENSEX Index Options'!$C:$C,$A7,'BSE - SENSEX Index Options'!$B:$B,F$4,'BSE - SENSEX Index Options'!$I:$I,"MDAW*")+SUMIFS('BSE - Other Index Options'!$M:$M,'BSE - Other Index Options'!$C:$C,$A7,'BSE - Other Index Options'!$B:$B,F$4,'BSE - Other Index Options'!$I:$I,"Weekly*")+SUMIFS('BSE - Other Index Options'!$M:$M,'BSE - Other Index Options'!$C:$C,$A7,'BSE - Other Index Options'!$B:$B,F$4,'BSE - Other Index Options'!$I:$I,"MDAW*")=0,"",SUMIFS('NSE - NIFTY Index Options'!$M:$M,'NSE - NIFTY Index Options'!$C:$C,$A7,'NSE - NIFTY Index Options'!$B:$B,F$4,'NSE - NIFTY Index Options'!$I:$I,"Weekly*")+SUMIFS('NSE - NIFTY Index Options'!$M:$M,'NSE - NIFTY Index Options'!$C:$C,$A7,'NSE - NIFTY Index Options'!$B:$B,F$4,'NSE - NIFTY Index Options'!$I:$I,"MDAW*")+SUMIFS('NSE - Other Index Options'!$M:$M,'NSE - Other Index Options'!$C:$C,$A7,'NSE - Other Index Options'!$B:$B,F$4,'NSE - Other Index Options'!$I:$I,"Weekly*")+SUMIFS('NSE - Other Index Options'!$M:$M,'NSE - Other Index Options'!$C:$C,$A7,'NSE - Other Index Options'!$B:$B,F$4,'NSE - Other Index Options'!$I:$I,"MDAW*")+SUMIFS('BSE - SENSEX Index Options'!$M:$M,'BSE - SENSEX Index Options'!$C:$C,$A7,'BSE - SENSEX Index Options'!$B:$B,F$4,'BSE - SENSEX Index Options'!$I:$I,"Weekly*")+SUMIFS('BSE - SENSEX Index Options'!$M:$M,'BSE - SENSEX Index Options'!$C:$C,$A7,'BSE - SENSEX Index Options'!$B:$B,F$4,'BSE - SENSEX Index Options'!$I:$I,"MDAW*")+SUMIFS('BSE - Other Index Options'!$M:$M,'BSE - Other Index Options'!$C:$C,$A7,'BSE - Other Index Options'!$B:$B,F$4,'BSE - Other Index Options'!$I:$I,"Weekly*")+SUMIFS('BSE - Other Index Options'!$M:$M,'BSE - Other Index Options'!$C:$C,$A7,'BSE - Other Index Options'!$B:$B,F$4,'BSE - Other Index Options'!$I:$I,"MDAW*"))</f>
        <v/>
      </c>
      <c r="G7" s="26">
        <f>IF(SUMIFS('NSE - NIFTY Index Options'!$M:$M,'NSE - NIFTY Index Options'!$C:$C,$A7,'NSE - NIFTY Index Options'!$B:$B,G$4,'NSE - NIFTY Index Options'!$I:$I,"Weekly*")+SUMIFS('NSE - NIFTY Index Options'!$M:$M,'NSE - NIFTY Index Options'!$C:$C,$A7,'NSE - NIFTY Index Options'!$B:$B,G$4,'NSE - NIFTY Index Options'!$I:$I,"MDAW*")+SUMIFS('NSE - Other Index Options'!$M:$M,'NSE - Other Index Options'!$C:$C,$A7,'NSE - Other Index Options'!$B:$B,G$4,'NSE - Other Index Options'!$I:$I,"Weekly*")+SUMIFS('NSE - Other Index Options'!$M:$M,'NSE - Other Index Options'!$C:$C,$A7,'NSE - Other Index Options'!$B:$B,G$4,'NSE - Other Index Options'!$I:$I,"MDAW*")+SUMIFS('BSE - SENSEX Index Options'!$M:$M,'BSE - SENSEX Index Options'!$C:$C,$A7,'BSE - SENSEX Index Options'!$B:$B,G$4,'BSE - SENSEX Index Options'!$I:$I,"Weekly*")+SUMIFS('BSE - SENSEX Index Options'!$M:$M,'BSE - SENSEX Index Options'!$C:$C,$A7,'BSE - SENSEX Index Options'!$B:$B,G$4,'BSE - SENSEX Index Options'!$I:$I,"MDAW*")+SUMIFS('BSE - Other Index Options'!$M:$M,'BSE - Other Index Options'!$C:$C,$A7,'BSE - Other Index Options'!$B:$B,G$4,'BSE - Other Index Options'!$I:$I,"Weekly*")+SUMIFS('BSE - Other Index Options'!$M:$M,'BSE - Other Index Options'!$C:$C,$A7,'BSE - Other Index Options'!$B:$B,G$4,'BSE - Other Index Options'!$I:$I,"MDAW*")=0,"",SUMIFS('NSE - NIFTY Index Options'!$M:$M,'NSE - NIFTY Index Options'!$C:$C,$A7,'NSE - NIFTY Index Options'!$B:$B,G$4,'NSE - NIFTY Index Options'!$I:$I,"Weekly*")+SUMIFS('NSE - NIFTY Index Options'!$M:$M,'NSE - NIFTY Index Options'!$C:$C,$A7,'NSE - NIFTY Index Options'!$B:$B,G$4,'NSE - NIFTY Index Options'!$I:$I,"MDAW*")+SUMIFS('NSE - Other Index Options'!$M:$M,'NSE - Other Index Options'!$C:$C,$A7,'NSE - Other Index Options'!$B:$B,G$4,'NSE - Other Index Options'!$I:$I,"Weekly*")+SUMIFS('NSE - Other Index Options'!$M:$M,'NSE - Other Index Options'!$C:$C,$A7,'NSE - Other Index Options'!$B:$B,G$4,'NSE - Other Index Options'!$I:$I,"MDAW*")+SUMIFS('BSE - SENSEX Index Options'!$M:$M,'BSE - SENSEX Index Options'!$C:$C,$A7,'BSE - SENSEX Index Options'!$B:$B,G$4,'BSE - SENSEX Index Options'!$I:$I,"Weekly*")+SUMIFS('BSE - SENSEX Index Options'!$M:$M,'BSE - SENSEX Index Options'!$C:$C,$A7,'BSE - SENSEX Index Options'!$B:$B,G$4,'BSE - SENSEX Index Options'!$I:$I,"MDAW*")+SUMIFS('BSE - Other Index Options'!$M:$M,'BSE - Other Index Options'!$C:$C,$A7,'BSE - Other Index Options'!$B:$B,G$4,'BSE - Other Index Options'!$I:$I,"Weekly*")+SUMIFS('BSE - Other Index Options'!$M:$M,'BSE - Other Index Options'!$C:$C,$A7,'BSE - Other Index Options'!$B:$B,G$4,'BSE - Other Index Options'!$I:$I,"MDAW*"))</f>
        <v/>
      </c>
      <c r="H7" s="26">
        <f>IF(SUM(B7:G7)=0,"",SUM(B7:G7))</f>
        <v/>
      </c>
      <c r="K7" t="inlineStr">
        <is>
          <t>NIFTY Index</t>
        </is>
      </c>
      <c r="L7" s="56" t="inlineStr">
        <is>
          <t>Yes</t>
        </is>
      </c>
    </row>
    <row r="8">
      <c r="A8" t="inlineStr">
        <is>
          <t>Week4-Sep-2025</t>
        </is>
      </c>
      <c r="B8" s="26">
        <f>IF(SUMIFS('NSE - NIFTY Index Options'!$M:$M,'NSE - NIFTY Index Options'!$C:$C,$A8,'NSE - NIFTY Index Options'!$B:$B,B$4,'NSE - NIFTY Index Options'!$I:$I,"Weekly*")+SUMIFS('NSE - NIFTY Index Options'!$M:$M,'NSE - NIFTY Index Options'!$C:$C,$A8,'NSE - NIFTY Index Options'!$B:$B,B$4,'NSE - NIFTY Index Options'!$I:$I,"MDAW*")+SUMIFS('NSE - Other Index Options'!$M:$M,'NSE - Other Index Options'!$C:$C,$A8,'NSE - Other Index Options'!$B:$B,B$4,'NSE - Other Index Options'!$I:$I,"Weekly*")+SUMIFS('NSE - Other Index Options'!$M:$M,'NSE - Other Index Options'!$C:$C,$A8,'NSE - Other Index Options'!$B:$B,B$4,'NSE - Other Index Options'!$I:$I,"MDAW*")+SUMIFS('BSE - SENSEX Index Options'!$M:$M,'BSE - SENSEX Index Options'!$C:$C,$A8,'BSE - SENSEX Index Options'!$B:$B,B$4,'BSE - SENSEX Index Options'!$I:$I,"Weekly*")+SUMIFS('BSE - SENSEX Index Options'!$M:$M,'BSE - SENSEX Index Options'!$C:$C,$A8,'BSE - SENSEX Index Options'!$B:$B,B$4,'BSE - SENSEX Index Options'!$I:$I,"MDAW*")+SUMIFS('BSE - Other Index Options'!$M:$M,'BSE - Other Index Options'!$C:$C,$A8,'BSE - Other Index Options'!$B:$B,B$4,'BSE - Other Index Options'!$I:$I,"Weekly*")+SUMIFS('BSE - Other Index Options'!$M:$M,'BSE - Other Index Options'!$C:$C,$A8,'BSE - Other Index Options'!$B:$B,B$4,'BSE - Other Index Options'!$I:$I,"MDAW*")=0,"",SUMIFS('NSE - NIFTY Index Options'!$M:$M,'NSE - NIFTY Index Options'!$C:$C,$A8,'NSE - NIFTY Index Options'!$B:$B,B$4,'NSE - NIFTY Index Options'!$I:$I,"Weekly*")+SUMIFS('NSE - NIFTY Index Options'!$M:$M,'NSE - NIFTY Index Options'!$C:$C,$A8,'NSE - NIFTY Index Options'!$B:$B,B$4,'NSE - NIFTY Index Options'!$I:$I,"MDAW*")+SUMIFS('NSE - Other Index Options'!$M:$M,'NSE - Other Index Options'!$C:$C,$A8,'NSE - Other Index Options'!$B:$B,B$4,'NSE - Other Index Options'!$I:$I,"Weekly*")+SUMIFS('NSE - Other Index Options'!$M:$M,'NSE - Other Index Options'!$C:$C,$A8,'NSE - Other Index Options'!$B:$B,B$4,'NSE - Other Index Options'!$I:$I,"MDAW*")+SUMIFS('BSE - SENSEX Index Options'!$M:$M,'BSE - SENSEX Index Options'!$C:$C,$A8,'BSE - SENSEX Index Options'!$B:$B,B$4,'BSE - SENSEX Index Options'!$I:$I,"Weekly*")+SUMIFS('BSE - SENSEX Index Options'!$M:$M,'BSE - SENSEX Index Options'!$C:$C,$A8,'BSE - SENSEX Index Options'!$B:$B,B$4,'BSE - SENSEX Index Options'!$I:$I,"MDAW*")+SUMIFS('BSE - Other Index Options'!$M:$M,'BSE - Other Index Options'!$C:$C,$A8,'BSE - Other Index Options'!$B:$B,B$4,'BSE - Other Index Options'!$I:$I,"Weekly*")+SUMIFS('BSE - Other Index Options'!$M:$M,'BSE - Other Index Options'!$C:$C,$A8,'BSE - Other Index Options'!$B:$B,B$4,'BSE - Other Index Options'!$I:$I,"MDAW*"))</f>
        <v/>
      </c>
      <c r="C8" s="26">
        <f>IF(SUMIFS('NSE - NIFTY Index Options'!$M:$M,'NSE - NIFTY Index Options'!$C:$C,$A8,'NSE - NIFTY Index Options'!$B:$B,C$4,'NSE - NIFTY Index Options'!$I:$I,"Weekly*")+SUMIFS('NSE - NIFTY Index Options'!$M:$M,'NSE - NIFTY Index Options'!$C:$C,$A8,'NSE - NIFTY Index Options'!$B:$B,C$4,'NSE - NIFTY Index Options'!$I:$I,"MDAW*")+SUMIFS('NSE - Other Index Options'!$M:$M,'NSE - Other Index Options'!$C:$C,$A8,'NSE - Other Index Options'!$B:$B,C$4,'NSE - Other Index Options'!$I:$I,"Weekly*")+SUMIFS('NSE - Other Index Options'!$M:$M,'NSE - Other Index Options'!$C:$C,$A8,'NSE - Other Index Options'!$B:$B,C$4,'NSE - Other Index Options'!$I:$I,"MDAW*")+SUMIFS('BSE - SENSEX Index Options'!$M:$M,'BSE - SENSEX Index Options'!$C:$C,$A8,'BSE - SENSEX Index Options'!$B:$B,C$4,'BSE - SENSEX Index Options'!$I:$I,"Weekly*")+SUMIFS('BSE - SENSEX Index Options'!$M:$M,'BSE - SENSEX Index Options'!$C:$C,$A8,'BSE - SENSEX Index Options'!$B:$B,C$4,'BSE - SENSEX Index Options'!$I:$I,"MDAW*")+SUMIFS('BSE - Other Index Options'!$M:$M,'BSE - Other Index Options'!$C:$C,$A8,'BSE - Other Index Options'!$B:$B,C$4,'BSE - Other Index Options'!$I:$I,"Weekly*")+SUMIFS('BSE - Other Index Options'!$M:$M,'BSE - Other Index Options'!$C:$C,$A8,'BSE - Other Index Options'!$B:$B,C$4,'BSE - Other Index Options'!$I:$I,"MDAW*")=0,"",SUMIFS('NSE - NIFTY Index Options'!$M:$M,'NSE - NIFTY Index Options'!$C:$C,$A8,'NSE - NIFTY Index Options'!$B:$B,C$4,'NSE - NIFTY Index Options'!$I:$I,"Weekly*")+SUMIFS('NSE - NIFTY Index Options'!$M:$M,'NSE - NIFTY Index Options'!$C:$C,$A8,'NSE - NIFTY Index Options'!$B:$B,C$4,'NSE - NIFTY Index Options'!$I:$I,"MDAW*")+SUMIFS('NSE - Other Index Options'!$M:$M,'NSE - Other Index Options'!$C:$C,$A8,'NSE - Other Index Options'!$B:$B,C$4,'NSE - Other Index Options'!$I:$I,"Weekly*")+SUMIFS('NSE - Other Index Options'!$M:$M,'NSE - Other Index Options'!$C:$C,$A8,'NSE - Other Index Options'!$B:$B,C$4,'NSE - Other Index Options'!$I:$I,"MDAW*")+SUMIFS('BSE - SENSEX Index Options'!$M:$M,'BSE - SENSEX Index Options'!$C:$C,$A8,'BSE - SENSEX Index Options'!$B:$B,C$4,'BSE - SENSEX Index Options'!$I:$I,"Weekly*")+SUMIFS('BSE - SENSEX Index Options'!$M:$M,'BSE - SENSEX Index Options'!$C:$C,$A8,'BSE - SENSEX Index Options'!$B:$B,C$4,'BSE - SENSEX Index Options'!$I:$I,"MDAW*")+SUMIFS('BSE - Other Index Options'!$M:$M,'BSE - Other Index Options'!$C:$C,$A8,'BSE - Other Index Options'!$B:$B,C$4,'BSE - Other Index Options'!$I:$I,"Weekly*")+SUMIFS('BSE - Other Index Options'!$M:$M,'BSE - Other Index Options'!$C:$C,$A8,'BSE - Other Index Options'!$B:$B,C$4,'BSE - Other Index Options'!$I:$I,"MDAW*"))</f>
        <v/>
      </c>
      <c r="D8" s="26">
        <f>IF(SUMIFS('NSE - NIFTY Index Options'!$M:$M,'NSE - NIFTY Index Options'!$C:$C,$A8,'NSE - NIFTY Index Options'!$B:$B,D$4,'NSE - NIFTY Index Options'!$I:$I,"Weekly*")+SUMIFS('NSE - NIFTY Index Options'!$M:$M,'NSE - NIFTY Index Options'!$C:$C,$A8,'NSE - NIFTY Index Options'!$B:$B,D$4,'NSE - NIFTY Index Options'!$I:$I,"MDAW*")+SUMIFS('NSE - Other Index Options'!$M:$M,'NSE - Other Index Options'!$C:$C,$A8,'NSE - Other Index Options'!$B:$B,D$4,'NSE - Other Index Options'!$I:$I,"Weekly*")+SUMIFS('NSE - Other Index Options'!$M:$M,'NSE - Other Index Options'!$C:$C,$A8,'NSE - Other Index Options'!$B:$B,D$4,'NSE - Other Index Options'!$I:$I,"MDAW*")+SUMIFS('BSE - SENSEX Index Options'!$M:$M,'BSE - SENSEX Index Options'!$C:$C,$A8,'BSE - SENSEX Index Options'!$B:$B,D$4,'BSE - SENSEX Index Options'!$I:$I,"Weekly*")+SUMIFS('BSE - SENSEX Index Options'!$M:$M,'BSE - SENSEX Index Options'!$C:$C,$A8,'BSE - SENSEX Index Options'!$B:$B,D$4,'BSE - SENSEX Index Options'!$I:$I,"MDAW*")+SUMIFS('BSE - Other Index Options'!$M:$M,'BSE - Other Index Options'!$C:$C,$A8,'BSE - Other Index Options'!$B:$B,D$4,'BSE - Other Index Options'!$I:$I,"Weekly*")+SUMIFS('BSE - Other Index Options'!$M:$M,'BSE - Other Index Options'!$C:$C,$A8,'BSE - Other Index Options'!$B:$B,D$4,'BSE - Other Index Options'!$I:$I,"MDAW*")=0,"",SUMIFS('NSE - NIFTY Index Options'!$M:$M,'NSE - NIFTY Index Options'!$C:$C,$A8,'NSE - NIFTY Index Options'!$B:$B,D$4,'NSE - NIFTY Index Options'!$I:$I,"Weekly*")+SUMIFS('NSE - NIFTY Index Options'!$M:$M,'NSE - NIFTY Index Options'!$C:$C,$A8,'NSE - NIFTY Index Options'!$B:$B,D$4,'NSE - NIFTY Index Options'!$I:$I,"MDAW*")+SUMIFS('NSE - Other Index Options'!$M:$M,'NSE - Other Index Options'!$C:$C,$A8,'NSE - Other Index Options'!$B:$B,D$4,'NSE - Other Index Options'!$I:$I,"Weekly*")+SUMIFS('NSE - Other Index Options'!$M:$M,'NSE - Other Index Options'!$C:$C,$A8,'NSE - Other Index Options'!$B:$B,D$4,'NSE - Other Index Options'!$I:$I,"MDAW*")+SUMIFS('BSE - SENSEX Index Options'!$M:$M,'BSE - SENSEX Index Options'!$C:$C,$A8,'BSE - SENSEX Index Options'!$B:$B,D$4,'BSE - SENSEX Index Options'!$I:$I,"Weekly*")+SUMIFS('BSE - SENSEX Index Options'!$M:$M,'BSE - SENSEX Index Options'!$C:$C,$A8,'BSE - SENSEX Index Options'!$B:$B,D$4,'BSE - SENSEX Index Options'!$I:$I,"MDAW*")+SUMIFS('BSE - Other Index Options'!$M:$M,'BSE - Other Index Options'!$C:$C,$A8,'BSE - Other Index Options'!$B:$B,D$4,'BSE - Other Index Options'!$I:$I,"Weekly*")+SUMIFS('BSE - Other Index Options'!$M:$M,'BSE - Other Index Options'!$C:$C,$A8,'BSE - Other Index Options'!$B:$B,D$4,'BSE - Other Index Options'!$I:$I,"MDAW*"))</f>
        <v/>
      </c>
      <c r="E8" s="26">
        <f>IF(SUMIFS('NSE - NIFTY Index Options'!$M:$M,'NSE - NIFTY Index Options'!$C:$C,$A8,'NSE - NIFTY Index Options'!$B:$B,E$4,'NSE - NIFTY Index Options'!$I:$I,"Weekly*")+SUMIFS('NSE - NIFTY Index Options'!$M:$M,'NSE - NIFTY Index Options'!$C:$C,$A8,'NSE - NIFTY Index Options'!$B:$B,E$4,'NSE - NIFTY Index Options'!$I:$I,"MDAW*")+SUMIFS('NSE - Other Index Options'!$M:$M,'NSE - Other Index Options'!$C:$C,$A8,'NSE - Other Index Options'!$B:$B,E$4,'NSE - Other Index Options'!$I:$I,"Weekly*")+SUMIFS('NSE - Other Index Options'!$M:$M,'NSE - Other Index Options'!$C:$C,$A8,'NSE - Other Index Options'!$B:$B,E$4,'NSE - Other Index Options'!$I:$I,"MDAW*")+SUMIFS('BSE - SENSEX Index Options'!$M:$M,'BSE - SENSEX Index Options'!$C:$C,$A8,'BSE - SENSEX Index Options'!$B:$B,E$4,'BSE - SENSEX Index Options'!$I:$I,"Weekly*")+SUMIFS('BSE - SENSEX Index Options'!$M:$M,'BSE - SENSEX Index Options'!$C:$C,$A8,'BSE - SENSEX Index Options'!$B:$B,E$4,'BSE - SENSEX Index Options'!$I:$I,"MDAW*")+SUMIFS('BSE - Other Index Options'!$M:$M,'BSE - Other Index Options'!$C:$C,$A8,'BSE - Other Index Options'!$B:$B,E$4,'BSE - Other Index Options'!$I:$I,"Weekly*")+SUMIFS('BSE - Other Index Options'!$M:$M,'BSE - Other Index Options'!$C:$C,$A8,'BSE - Other Index Options'!$B:$B,E$4,'BSE - Other Index Options'!$I:$I,"MDAW*")=0,"",SUMIFS('NSE - NIFTY Index Options'!$M:$M,'NSE - NIFTY Index Options'!$C:$C,$A8,'NSE - NIFTY Index Options'!$B:$B,E$4,'NSE - NIFTY Index Options'!$I:$I,"Weekly*")+SUMIFS('NSE - NIFTY Index Options'!$M:$M,'NSE - NIFTY Index Options'!$C:$C,$A8,'NSE - NIFTY Index Options'!$B:$B,E$4,'NSE - NIFTY Index Options'!$I:$I,"MDAW*")+SUMIFS('NSE - Other Index Options'!$M:$M,'NSE - Other Index Options'!$C:$C,$A8,'NSE - Other Index Options'!$B:$B,E$4,'NSE - Other Index Options'!$I:$I,"Weekly*")+SUMIFS('NSE - Other Index Options'!$M:$M,'NSE - Other Index Options'!$C:$C,$A8,'NSE - Other Index Options'!$B:$B,E$4,'NSE - Other Index Options'!$I:$I,"MDAW*")+SUMIFS('BSE - SENSEX Index Options'!$M:$M,'BSE - SENSEX Index Options'!$C:$C,$A8,'BSE - SENSEX Index Options'!$B:$B,E$4,'BSE - SENSEX Index Options'!$I:$I,"Weekly*")+SUMIFS('BSE - SENSEX Index Options'!$M:$M,'BSE - SENSEX Index Options'!$C:$C,$A8,'BSE - SENSEX Index Options'!$B:$B,E$4,'BSE - SENSEX Index Options'!$I:$I,"MDAW*")+SUMIFS('BSE - Other Index Options'!$M:$M,'BSE - Other Index Options'!$C:$C,$A8,'BSE - Other Index Options'!$B:$B,E$4,'BSE - Other Index Options'!$I:$I,"Weekly*")+SUMIFS('BSE - Other Index Options'!$M:$M,'BSE - Other Index Options'!$C:$C,$A8,'BSE - Other Index Options'!$B:$B,E$4,'BSE - Other Index Options'!$I:$I,"MDAW*"))</f>
        <v/>
      </c>
      <c r="F8" s="26">
        <f>IF(SUMIFS('NSE - NIFTY Index Options'!$M:$M,'NSE - NIFTY Index Options'!$C:$C,$A8,'NSE - NIFTY Index Options'!$B:$B,F$4,'NSE - NIFTY Index Options'!$I:$I,"Weekly*")+SUMIFS('NSE - NIFTY Index Options'!$M:$M,'NSE - NIFTY Index Options'!$C:$C,$A8,'NSE - NIFTY Index Options'!$B:$B,F$4,'NSE - NIFTY Index Options'!$I:$I,"MDAW*")+SUMIFS('NSE - Other Index Options'!$M:$M,'NSE - Other Index Options'!$C:$C,$A8,'NSE - Other Index Options'!$B:$B,F$4,'NSE - Other Index Options'!$I:$I,"Weekly*")+SUMIFS('NSE - Other Index Options'!$M:$M,'NSE - Other Index Options'!$C:$C,$A8,'NSE - Other Index Options'!$B:$B,F$4,'NSE - Other Index Options'!$I:$I,"MDAW*")+SUMIFS('BSE - SENSEX Index Options'!$M:$M,'BSE - SENSEX Index Options'!$C:$C,$A8,'BSE - SENSEX Index Options'!$B:$B,F$4,'BSE - SENSEX Index Options'!$I:$I,"Weekly*")+SUMIFS('BSE - SENSEX Index Options'!$M:$M,'BSE - SENSEX Index Options'!$C:$C,$A8,'BSE - SENSEX Index Options'!$B:$B,F$4,'BSE - SENSEX Index Options'!$I:$I,"MDAW*")+SUMIFS('BSE - Other Index Options'!$M:$M,'BSE - Other Index Options'!$C:$C,$A8,'BSE - Other Index Options'!$B:$B,F$4,'BSE - Other Index Options'!$I:$I,"Weekly*")+SUMIFS('BSE - Other Index Options'!$M:$M,'BSE - Other Index Options'!$C:$C,$A8,'BSE - Other Index Options'!$B:$B,F$4,'BSE - Other Index Options'!$I:$I,"MDAW*")=0,"",SUMIFS('NSE - NIFTY Index Options'!$M:$M,'NSE - NIFTY Index Options'!$C:$C,$A8,'NSE - NIFTY Index Options'!$B:$B,F$4,'NSE - NIFTY Index Options'!$I:$I,"Weekly*")+SUMIFS('NSE - NIFTY Index Options'!$M:$M,'NSE - NIFTY Index Options'!$C:$C,$A8,'NSE - NIFTY Index Options'!$B:$B,F$4,'NSE - NIFTY Index Options'!$I:$I,"MDAW*")+SUMIFS('NSE - Other Index Options'!$M:$M,'NSE - Other Index Options'!$C:$C,$A8,'NSE - Other Index Options'!$B:$B,F$4,'NSE - Other Index Options'!$I:$I,"Weekly*")+SUMIFS('NSE - Other Index Options'!$M:$M,'NSE - Other Index Options'!$C:$C,$A8,'NSE - Other Index Options'!$B:$B,F$4,'NSE - Other Index Options'!$I:$I,"MDAW*")+SUMIFS('BSE - SENSEX Index Options'!$M:$M,'BSE - SENSEX Index Options'!$C:$C,$A8,'BSE - SENSEX Index Options'!$B:$B,F$4,'BSE - SENSEX Index Options'!$I:$I,"Weekly*")+SUMIFS('BSE - SENSEX Index Options'!$M:$M,'BSE - SENSEX Index Options'!$C:$C,$A8,'BSE - SENSEX Index Options'!$B:$B,F$4,'BSE - SENSEX Index Options'!$I:$I,"MDAW*")+SUMIFS('BSE - Other Index Options'!$M:$M,'BSE - Other Index Options'!$C:$C,$A8,'BSE - Other Index Options'!$B:$B,F$4,'BSE - Other Index Options'!$I:$I,"Weekly*")+SUMIFS('BSE - Other Index Options'!$M:$M,'BSE - Other Index Options'!$C:$C,$A8,'BSE - Other Index Options'!$B:$B,F$4,'BSE - Other Index Options'!$I:$I,"MDAW*"))</f>
        <v/>
      </c>
      <c r="G8" s="26">
        <f>IF(SUMIFS('NSE - NIFTY Index Options'!$M:$M,'NSE - NIFTY Index Options'!$C:$C,$A8,'NSE - NIFTY Index Options'!$B:$B,G$4,'NSE - NIFTY Index Options'!$I:$I,"Weekly*")+SUMIFS('NSE - NIFTY Index Options'!$M:$M,'NSE - NIFTY Index Options'!$C:$C,$A8,'NSE - NIFTY Index Options'!$B:$B,G$4,'NSE - NIFTY Index Options'!$I:$I,"MDAW*")+SUMIFS('NSE - Other Index Options'!$M:$M,'NSE - Other Index Options'!$C:$C,$A8,'NSE - Other Index Options'!$B:$B,G$4,'NSE - Other Index Options'!$I:$I,"Weekly*")+SUMIFS('NSE - Other Index Options'!$M:$M,'NSE - Other Index Options'!$C:$C,$A8,'NSE - Other Index Options'!$B:$B,G$4,'NSE - Other Index Options'!$I:$I,"MDAW*")+SUMIFS('BSE - SENSEX Index Options'!$M:$M,'BSE - SENSEX Index Options'!$C:$C,$A8,'BSE - SENSEX Index Options'!$B:$B,G$4,'BSE - SENSEX Index Options'!$I:$I,"Weekly*")+SUMIFS('BSE - SENSEX Index Options'!$M:$M,'BSE - SENSEX Index Options'!$C:$C,$A8,'BSE - SENSEX Index Options'!$B:$B,G$4,'BSE - SENSEX Index Options'!$I:$I,"MDAW*")+SUMIFS('BSE - Other Index Options'!$M:$M,'BSE - Other Index Options'!$C:$C,$A8,'BSE - Other Index Options'!$B:$B,G$4,'BSE - Other Index Options'!$I:$I,"Weekly*")+SUMIFS('BSE - Other Index Options'!$M:$M,'BSE - Other Index Options'!$C:$C,$A8,'BSE - Other Index Options'!$B:$B,G$4,'BSE - Other Index Options'!$I:$I,"MDAW*")=0,"",SUMIFS('NSE - NIFTY Index Options'!$M:$M,'NSE - NIFTY Index Options'!$C:$C,$A8,'NSE - NIFTY Index Options'!$B:$B,G$4,'NSE - NIFTY Index Options'!$I:$I,"Weekly*")+SUMIFS('NSE - NIFTY Index Options'!$M:$M,'NSE - NIFTY Index Options'!$C:$C,$A8,'NSE - NIFTY Index Options'!$B:$B,G$4,'NSE - NIFTY Index Options'!$I:$I,"MDAW*")+SUMIFS('NSE - Other Index Options'!$M:$M,'NSE - Other Index Options'!$C:$C,$A8,'NSE - Other Index Options'!$B:$B,G$4,'NSE - Other Index Options'!$I:$I,"Weekly*")+SUMIFS('NSE - Other Index Options'!$M:$M,'NSE - Other Index Options'!$C:$C,$A8,'NSE - Other Index Options'!$B:$B,G$4,'NSE - Other Index Options'!$I:$I,"MDAW*")+SUMIFS('BSE - SENSEX Index Options'!$M:$M,'BSE - SENSEX Index Options'!$C:$C,$A8,'BSE - SENSEX Index Options'!$B:$B,G$4,'BSE - SENSEX Index Options'!$I:$I,"Weekly*")+SUMIFS('BSE - SENSEX Index Options'!$M:$M,'BSE - SENSEX Index Options'!$C:$C,$A8,'BSE - SENSEX Index Options'!$B:$B,G$4,'BSE - SENSEX Index Options'!$I:$I,"MDAW*")+SUMIFS('BSE - Other Index Options'!$M:$M,'BSE - Other Index Options'!$C:$C,$A8,'BSE - Other Index Options'!$B:$B,G$4,'BSE - Other Index Options'!$I:$I,"Weekly*")+SUMIFS('BSE - Other Index Options'!$M:$M,'BSE - Other Index Options'!$C:$C,$A8,'BSE - Other Index Options'!$B:$B,G$4,'BSE - Other Index Options'!$I:$I,"MDAW*"))</f>
        <v/>
      </c>
      <c r="H8" s="26">
        <f>IF(SUM(B8:G8)=0,"",SUM(B8:G8))</f>
        <v/>
      </c>
      <c r="K8" t="inlineStr">
        <is>
          <t>Other NSE Indices</t>
        </is>
      </c>
      <c r="L8" s="56" t="inlineStr">
        <is>
          <t>No</t>
        </is>
      </c>
    </row>
    <row r="9">
      <c r="A9" t="inlineStr">
        <is>
          <t>Week5-Sep-2025</t>
        </is>
      </c>
      <c r="B9" s="26">
        <f>IF(SUMIFS('NSE - NIFTY Index Options'!$M:$M,'NSE - NIFTY Index Options'!$C:$C,$A9,'NSE - NIFTY Index Options'!$B:$B,B$4,'NSE - NIFTY Index Options'!$I:$I,"Weekly*")+SUMIFS('NSE - NIFTY Index Options'!$M:$M,'NSE - NIFTY Index Options'!$C:$C,$A9,'NSE - NIFTY Index Options'!$B:$B,B$4,'NSE - NIFTY Index Options'!$I:$I,"MDAW*")+SUMIFS('NSE - Other Index Options'!$M:$M,'NSE - Other Index Options'!$C:$C,$A9,'NSE - Other Index Options'!$B:$B,B$4,'NSE - Other Index Options'!$I:$I,"Weekly*")+SUMIFS('NSE - Other Index Options'!$M:$M,'NSE - Other Index Options'!$C:$C,$A9,'NSE - Other Index Options'!$B:$B,B$4,'NSE - Other Index Options'!$I:$I,"MDAW*")+SUMIFS('BSE - SENSEX Index Options'!$M:$M,'BSE - SENSEX Index Options'!$C:$C,$A9,'BSE - SENSEX Index Options'!$B:$B,B$4,'BSE - SENSEX Index Options'!$I:$I,"Weekly*")+SUMIFS('BSE - SENSEX Index Options'!$M:$M,'BSE - SENSEX Index Options'!$C:$C,$A9,'BSE - SENSEX Index Options'!$B:$B,B$4,'BSE - SENSEX Index Options'!$I:$I,"MDAW*")+SUMIFS('BSE - Other Index Options'!$M:$M,'BSE - Other Index Options'!$C:$C,$A9,'BSE - Other Index Options'!$B:$B,B$4,'BSE - Other Index Options'!$I:$I,"Weekly*")+SUMIFS('BSE - Other Index Options'!$M:$M,'BSE - Other Index Options'!$C:$C,$A9,'BSE - Other Index Options'!$B:$B,B$4,'BSE - Other Index Options'!$I:$I,"MDAW*")=0,"",SUMIFS('NSE - NIFTY Index Options'!$M:$M,'NSE - NIFTY Index Options'!$C:$C,$A9,'NSE - NIFTY Index Options'!$B:$B,B$4,'NSE - NIFTY Index Options'!$I:$I,"Weekly*")+SUMIFS('NSE - NIFTY Index Options'!$M:$M,'NSE - NIFTY Index Options'!$C:$C,$A9,'NSE - NIFTY Index Options'!$B:$B,B$4,'NSE - NIFTY Index Options'!$I:$I,"MDAW*")+SUMIFS('NSE - Other Index Options'!$M:$M,'NSE - Other Index Options'!$C:$C,$A9,'NSE - Other Index Options'!$B:$B,B$4,'NSE - Other Index Options'!$I:$I,"Weekly*")+SUMIFS('NSE - Other Index Options'!$M:$M,'NSE - Other Index Options'!$C:$C,$A9,'NSE - Other Index Options'!$B:$B,B$4,'NSE - Other Index Options'!$I:$I,"MDAW*")+SUMIFS('BSE - SENSEX Index Options'!$M:$M,'BSE - SENSEX Index Options'!$C:$C,$A9,'BSE - SENSEX Index Options'!$B:$B,B$4,'BSE - SENSEX Index Options'!$I:$I,"Weekly*")+SUMIFS('BSE - SENSEX Index Options'!$M:$M,'BSE - SENSEX Index Options'!$C:$C,$A9,'BSE - SENSEX Index Options'!$B:$B,B$4,'BSE - SENSEX Index Options'!$I:$I,"MDAW*")+SUMIFS('BSE - Other Index Options'!$M:$M,'BSE - Other Index Options'!$C:$C,$A9,'BSE - Other Index Options'!$B:$B,B$4,'BSE - Other Index Options'!$I:$I,"Weekly*")+SUMIFS('BSE - Other Index Options'!$M:$M,'BSE - Other Index Options'!$C:$C,$A9,'BSE - Other Index Options'!$B:$B,B$4,'BSE - Other Index Options'!$I:$I,"MDAW*"))</f>
        <v/>
      </c>
      <c r="C9" s="26">
        <f>IF(SUMIFS('NSE - NIFTY Index Options'!$M:$M,'NSE - NIFTY Index Options'!$C:$C,$A9,'NSE - NIFTY Index Options'!$B:$B,C$4,'NSE - NIFTY Index Options'!$I:$I,"Weekly*")+SUMIFS('NSE - NIFTY Index Options'!$M:$M,'NSE - NIFTY Index Options'!$C:$C,$A9,'NSE - NIFTY Index Options'!$B:$B,C$4,'NSE - NIFTY Index Options'!$I:$I,"MDAW*")+SUMIFS('NSE - Other Index Options'!$M:$M,'NSE - Other Index Options'!$C:$C,$A9,'NSE - Other Index Options'!$B:$B,C$4,'NSE - Other Index Options'!$I:$I,"Weekly*")+SUMIFS('NSE - Other Index Options'!$M:$M,'NSE - Other Index Options'!$C:$C,$A9,'NSE - Other Index Options'!$B:$B,C$4,'NSE - Other Index Options'!$I:$I,"MDAW*")+SUMIFS('BSE - SENSEX Index Options'!$M:$M,'BSE - SENSEX Index Options'!$C:$C,$A9,'BSE - SENSEX Index Options'!$B:$B,C$4,'BSE - SENSEX Index Options'!$I:$I,"Weekly*")+SUMIFS('BSE - SENSEX Index Options'!$M:$M,'BSE - SENSEX Index Options'!$C:$C,$A9,'BSE - SENSEX Index Options'!$B:$B,C$4,'BSE - SENSEX Index Options'!$I:$I,"MDAW*")+SUMIFS('BSE - Other Index Options'!$M:$M,'BSE - Other Index Options'!$C:$C,$A9,'BSE - Other Index Options'!$B:$B,C$4,'BSE - Other Index Options'!$I:$I,"Weekly*")+SUMIFS('BSE - Other Index Options'!$M:$M,'BSE - Other Index Options'!$C:$C,$A9,'BSE - Other Index Options'!$B:$B,C$4,'BSE - Other Index Options'!$I:$I,"MDAW*")=0,"",SUMIFS('NSE - NIFTY Index Options'!$M:$M,'NSE - NIFTY Index Options'!$C:$C,$A9,'NSE - NIFTY Index Options'!$B:$B,C$4,'NSE - NIFTY Index Options'!$I:$I,"Weekly*")+SUMIFS('NSE - NIFTY Index Options'!$M:$M,'NSE - NIFTY Index Options'!$C:$C,$A9,'NSE - NIFTY Index Options'!$B:$B,C$4,'NSE - NIFTY Index Options'!$I:$I,"MDAW*")+SUMIFS('NSE - Other Index Options'!$M:$M,'NSE - Other Index Options'!$C:$C,$A9,'NSE - Other Index Options'!$B:$B,C$4,'NSE - Other Index Options'!$I:$I,"Weekly*")+SUMIFS('NSE - Other Index Options'!$M:$M,'NSE - Other Index Options'!$C:$C,$A9,'NSE - Other Index Options'!$B:$B,C$4,'NSE - Other Index Options'!$I:$I,"MDAW*")+SUMIFS('BSE - SENSEX Index Options'!$M:$M,'BSE - SENSEX Index Options'!$C:$C,$A9,'BSE - SENSEX Index Options'!$B:$B,C$4,'BSE - SENSEX Index Options'!$I:$I,"Weekly*")+SUMIFS('BSE - SENSEX Index Options'!$M:$M,'BSE - SENSEX Index Options'!$C:$C,$A9,'BSE - SENSEX Index Options'!$B:$B,C$4,'BSE - SENSEX Index Options'!$I:$I,"MDAW*")+SUMIFS('BSE - Other Index Options'!$M:$M,'BSE - Other Index Options'!$C:$C,$A9,'BSE - Other Index Options'!$B:$B,C$4,'BSE - Other Index Options'!$I:$I,"Weekly*")+SUMIFS('BSE - Other Index Options'!$M:$M,'BSE - Other Index Options'!$C:$C,$A9,'BSE - Other Index Options'!$B:$B,C$4,'BSE - Other Index Options'!$I:$I,"MDAW*"))</f>
        <v/>
      </c>
      <c r="D9" s="26">
        <f>IF(SUMIFS('NSE - NIFTY Index Options'!$M:$M,'NSE - NIFTY Index Options'!$C:$C,$A9,'NSE - NIFTY Index Options'!$B:$B,D$4,'NSE - NIFTY Index Options'!$I:$I,"Weekly*")+SUMIFS('NSE - NIFTY Index Options'!$M:$M,'NSE - NIFTY Index Options'!$C:$C,$A9,'NSE - NIFTY Index Options'!$B:$B,D$4,'NSE - NIFTY Index Options'!$I:$I,"MDAW*")+SUMIFS('NSE - Other Index Options'!$M:$M,'NSE - Other Index Options'!$C:$C,$A9,'NSE - Other Index Options'!$B:$B,D$4,'NSE - Other Index Options'!$I:$I,"Weekly*")+SUMIFS('NSE - Other Index Options'!$M:$M,'NSE - Other Index Options'!$C:$C,$A9,'NSE - Other Index Options'!$B:$B,D$4,'NSE - Other Index Options'!$I:$I,"MDAW*")+SUMIFS('BSE - SENSEX Index Options'!$M:$M,'BSE - SENSEX Index Options'!$C:$C,$A9,'BSE - SENSEX Index Options'!$B:$B,D$4,'BSE - SENSEX Index Options'!$I:$I,"Weekly*")+SUMIFS('BSE - SENSEX Index Options'!$M:$M,'BSE - SENSEX Index Options'!$C:$C,$A9,'BSE - SENSEX Index Options'!$B:$B,D$4,'BSE - SENSEX Index Options'!$I:$I,"MDAW*")+SUMIFS('BSE - Other Index Options'!$M:$M,'BSE - Other Index Options'!$C:$C,$A9,'BSE - Other Index Options'!$B:$B,D$4,'BSE - Other Index Options'!$I:$I,"Weekly*")+SUMIFS('BSE - Other Index Options'!$M:$M,'BSE - Other Index Options'!$C:$C,$A9,'BSE - Other Index Options'!$B:$B,D$4,'BSE - Other Index Options'!$I:$I,"MDAW*")=0,"",SUMIFS('NSE - NIFTY Index Options'!$M:$M,'NSE - NIFTY Index Options'!$C:$C,$A9,'NSE - NIFTY Index Options'!$B:$B,D$4,'NSE - NIFTY Index Options'!$I:$I,"Weekly*")+SUMIFS('NSE - NIFTY Index Options'!$M:$M,'NSE - NIFTY Index Options'!$C:$C,$A9,'NSE - NIFTY Index Options'!$B:$B,D$4,'NSE - NIFTY Index Options'!$I:$I,"MDAW*")+SUMIFS('NSE - Other Index Options'!$M:$M,'NSE - Other Index Options'!$C:$C,$A9,'NSE - Other Index Options'!$B:$B,D$4,'NSE - Other Index Options'!$I:$I,"Weekly*")+SUMIFS('NSE - Other Index Options'!$M:$M,'NSE - Other Index Options'!$C:$C,$A9,'NSE - Other Index Options'!$B:$B,D$4,'NSE - Other Index Options'!$I:$I,"MDAW*")+SUMIFS('BSE - SENSEX Index Options'!$M:$M,'BSE - SENSEX Index Options'!$C:$C,$A9,'BSE - SENSEX Index Options'!$B:$B,D$4,'BSE - SENSEX Index Options'!$I:$I,"Weekly*")+SUMIFS('BSE - SENSEX Index Options'!$M:$M,'BSE - SENSEX Index Options'!$C:$C,$A9,'BSE - SENSEX Index Options'!$B:$B,D$4,'BSE - SENSEX Index Options'!$I:$I,"MDAW*")+SUMIFS('BSE - Other Index Options'!$M:$M,'BSE - Other Index Options'!$C:$C,$A9,'BSE - Other Index Options'!$B:$B,D$4,'BSE - Other Index Options'!$I:$I,"Weekly*")+SUMIFS('BSE - Other Index Options'!$M:$M,'BSE - Other Index Options'!$C:$C,$A9,'BSE - Other Index Options'!$B:$B,D$4,'BSE - Other Index Options'!$I:$I,"MDAW*"))</f>
        <v/>
      </c>
      <c r="E9" s="26">
        <f>IF(SUMIFS('NSE - NIFTY Index Options'!$M:$M,'NSE - NIFTY Index Options'!$C:$C,$A9,'NSE - NIFTY Index Options'!$B:$B,E$4,'NSE - NIFTY Index Options'!$I:$I,"Weekly*")+SUMIFS('NSE - NIFTY Index Options'!$M:$M,'NSE - NIFTY Index Options'!$C:$C,$A9,'NSE - NIFTY Index Options'!$B:$B,E$4,'NSE - NIFTY Index Options'!$I:$I,"MDAW*")+SUMIFS('NSE - Other Index Options'!$M:$M,'NSE - Other Index Options'!$C:$C,$A9,'NSE - Other Index Options'!$B:$B,E$4,'NSE - Other Index Options'!$I:$I,"Weekly*")+SUMIFS('NSE - Other Index Options'!$M:$M,'NSE - Other Index Options'!$C:$C,$A9,'NSE - Other Index Options'!$B:$B,E$4,'NSE - Other Index Options'!$I:$I,"MDAW*")+SUMIFS('BSE - SENSEX Index Options'!$M:$M,'BSE - SENSEX Index Options'!$C:$C,$A9,'BSE - SENSEX Index Options'!$B:$B,E$4,'BSE - SENSEX Index Options'!$I:$I,"Weekly*")+SUMIFS('BSE - SENSEX Index Options'!$M:$M,'BSE - SENSEX Index Options'!$C:$C,$A9,'BSE - SENSEX Index Options'!$B:$B,E$4,'BSE - SENSEX Index Options'!$I:$I,"MDAW*")+SUMIFS('BSE - Other Index Options'!$M:$M,'BSE - Other Index Options'!$C:$C,$A9,'BSE - Other Index Options'!$B:$B,E$4,'BSE - Other Index Options'!$I:$I,"Weekly*")+SUMIFS('BSE - Other Index Options'!$M:$M,'BSE - Other Index Options'!$C:$C,$A9,'BSE - Other Index Options'!$B:$B,E$4,'BSE - Other Index Options'!$I:$I,"MDAW*")=0,"",SUMIFS('NSE - NIFTY Index Options'!$M:$M,'NSE - NIFTY Index Options'!$C:$C,$A9,'NSE - NIFTY Index Options'!$B:$B,E$4,'NSE - NIFTY Index Options'!$I:$I,"Weekly*")+SUMIFS('NSE - NIFTY Index Options'!$M:$M,'NSE - NIFTY Index Options'!$C:$C,$A9,'NSE - NIFTY Index Options'!$B:$B,E$4,'NSE - NIFTY Index Options'!$I:$I,"MDAW*")+SUMIFS('NSE - Other Index Options'!$M:$M,'NSE - Other Index Options'!$C:$C,$A9,'NSE - Other Index Options'!$B:$B,E$4,'NSE - Other Index Options'!$I:$I,"Weekly*")+SUMIFS('NSE - Other Index Options'!$M:$M,'NSE - Other Index Options'!$C:$C,$A9,'NSE - Other Index Options'!$B:$B,E$4,'NSE - Other Index Options'!$I:$I,"MDAW*")+SUMIFS('BSE - SENSEX Index Options'!$M:$M,'BSE - SENSEX Index Options'!$C:$C,$A9,'BSE - SENSEX Index Options'!$B:$B,E$4,'BSE - SENSEX Index Options'!$I:$I,"Weekly*")+SUMIFS('BSE - SENSEX Index Options'!$M:$M,'BSE - SENSEX Index Options'!$C:$C,$A9,'BSE - SENSEX Index Options'!$B:$B,E$4,'BSE - SENSEX Index Options'!$I:$I,"MDAW*")+SUMIFS('BSE - Other Index Options'!$M:$M,'BSE - Other Index Options'!$C:$C,$A9,'BSE - Other Index Options'!$B:$B,E$4,'BSE - Other Index Options'!$I:$I,"Weekly*")+SUMIFS('BSE - Other Index Options'!$M:$M,'BSE - Other Index Options'!$C:$C,$A9,'BSE - Other Index Options'!$B:$B,E$4,'BSE - Other Index Options'!$I:$I,"MDAW*"))</f>
        <v/>
      </c>
      <c r="F9" s="26">
        <f>IF(SUMIFS('NSE - NIFTY Index Options'!$M:$M,'NSE - NIFTY Index Options'!$C:$C,$A9,'NSE - NIFTY Index Options'!$B:$B,F$4,'NSE - NIFTY Index Options'!$I:$I,"Weekly*")+SUMIFS('NSE - NIFTY Index Options'!$M:$M,'NSE - NIFTY Index Options'!$C:$C,$A9,'NSE - NIFTY Index Options'!$B:$B,F$4,'NSE - NIFTY Index Options'!$I:$I,"MDAW*")+SUMIFS('NSE - Other Index Options'!$M:$M,'NSE - Other Index Options'!$C:$C,$A9,'NSE - Other Index Options'!$B:$B,F$4,'NSE - Other Index Options'!$I:$I,"Weekly*")+SUMIFS('NSE - Other Index Options'!$M:$M,'NSE - Other Index Options'!$C:$C,$A9,'NSE - Other Index Options'!$B:$B,F$4,'NSE - Other Index Options'!$I:$I,"MDAW*")+SUMIFS('BSE - SENSEX Index Options'!$M:$M,'BSE - SENSEX Index Options'!$C:$C,$A9,'BSE - SENSEX Index Options'!$B:$B,F$4,'BSE - SENSEX Index Options'!$I:$I,"Weekly*")+SUMIFS('BSE - SENSEX Index Options'!$M:$M,'BSE - SENSEX Index Options'!$C:$C,$A9,'BSE - SENSEX Index Options'!$B:$B,F$4,'BSE - SENSEX Index Options'!$I:$I,"MDAW*")+SUMIFS('BSE - Other Index Options'!$M:$M,'BSE - Other Index Options'!$C:$C,$A9,'BSE - Other Index Options'!$B:$B,F$4,'BSE - Other Index Options'!$I:$I,"Weekly*")+SUMIFS('BSE - Other Index Options'!$M:$M,'BSE - Other Index Options'!$C:$C,$A9,'BSE - Other Index Options'!$B:$B,F$4,'BSE - Other Index Options'!$I:$I,"MDAW*")=0,"",SUMIFS('NSE - NIFTY Index Options'!$M:$M,'NSE - NIFTY Index Options'!$C:$C,$A9,'NSE - NIFTY Index Options'!$B:$B,F$4,'NSE - NIFTY Index Options'!$I:$I,"Weekly*")+SUMIFS('NSE - NIFTY Index Options'!$M:$M,'NSE - NIFTY Index Options'!$C:$C,$A9,'NSE - NIFTY Index Options'!$B:$B,F$4,'NSE - NIFTY Index Options'!$I:$I,"MDAW*")+SUMIFS('NSE - Other Index Options'!$M:$M,'NSE - Other Index Options'!$C:$C,$A9,'NSE - Other Index Options'!$B:$B,F$4,'NSE - Other Index Options'!$I:$I,"Weekly*")+SUMIFS('NSE - Other Index Options'!$M:$M,'NSE - Other Index Options'!$C:$C,$A9,'NSE - Other Index Options'!$B:$B,F$4,'NSE - Other Index Options'!$I:$I,"MDAW*")+SUMIFS('BSE - SENSEX Index Options'!$M:$M,'BSE - SENSEX Index Options'!$C:$C,$A9,'BSE - SENSEX Index Options'!$B:$B,F$4,'BSE - SENSEX Index Options'!$I:$I,"Weekly*")+SUMIFS('BSE - SENSEX Index Options'!$M:$M,'BSE - SENSEX Index Options'!$C:$C,$A9,'BSE - SENSEX Index Options'!$B:$B,F$4,'BSE - SENSEX Index Options'!$I:$I,"MDAW*")+SUMIFS('BSE - Other Index Options'!$M:$M,'BSE - Other Index Options'!$C:$C,$A9,'BSE - Other Index Options'!$B:$B,F$4,'BSE - Other Index Options'!$I:$I,"Weekly*")+SUMIFS('BSE - Other Index Options'!$M:$M,'BSE - Other Index Options'!$C:$C,$A9,'BSE - Other Index Options'!$B:$B,F$4,'BSE - Other Index Options'!$I:$I,"MDAW*"))</f>
        <v/>
      </c>
      <c r="G9" s="26">
        <f>IF(SUMIFS('NSE - NIFTY Index Options'!$M:$M,'NSE - NIFTY Index Options'!$C:$C,$A9,'NSE - NIFTY Index Options'!$B:$B,G$4,'NSE - NIFTY Index Options'!$I:$I,"Weekly*")+SUMIFS('NSE - NIFTY Index Options'!$M:$M,'NSE - NIFTY Index Options'!$C:$C,$A9,'NSE - NIFTY Index Options'!$B:$B,G$4,'NSE - NIFTY Index Options'!$I:$I,"MDAW*")+SUMIFS('NSE - Other Index Options'!$M:$M,'NSE - Other Index Options'!$C:$C,$A9,'NSE - Other Index Options'!$B:$B,G$4,'NSE - Other Index Options'!$I:$I,"Weekly*")+SUMIFS('NSE - Other Index Options'!$M:$M,'NSE - Other Index Options'!$C:$C,$A9,'NSE - Other Index Options'!$B:$B,G$4,'NSE - Other Index Options'!$I:$I,"MDAW*")+SUMIFS('BSE - SENSEX Index Options'!$M:$M,'BSE - SENSEX Index Options'!$C:$C,$A9,'BSE - SENSEX Index Options'!$B:$B,G$4,'BSE - SENSEX Index Options'!$I:$I,"Weekly*")+SUMIFS('BSE - SENSEX Index Options'!$M:$M,'BSE - SENSEX Index Options'!$C:$C,$A9,'BSE - SENSEX Index Options'!$B:$B,G$4,'BSE - SENSEX Index Options'!$I:$I,"MDAW*")+SUMIFS('BSE - Other Index Options'!$M:$M,'BSE - Other Index Options'!$C:$C,$A9,'BSE - Other Index Options'!$B:$B,G$4,'BSE - Other Index Options'!$I:$I,"Weekly*")+SUMIFS('BSE - Other Index Options'!$M:$M,'BSE - Other Index Options'!$C:$C,$A9,'BSE - Other Index Options'!$B:$B,G$4,'BSE - Other Index Options'!$I:$I,"MDAW*")=0,"",SUMIFS('NSE - NIFTY Index Options'!$M:$M,'NSE - NIFTY Index Options'!$C:$C,$A9,'NSE - NIFTY Index Options'!$B:$B,G$4,'NSE - NIFTY Index Options'!$I:$I,"Weekly*")+SUMIFS('NSE - NIFTY Index Options'!$M:$M,'NSE - NIFTY Index Options'!$C:$C,$A9,'NSE - NIFTY Index Options'!$B:$B,G$4,'NSE - NIFTY Index Options'!$I:$I,"MDAW*")+SUMIFS('NSE - Other Index Options'!$M:$M,'NSE - Other Index Options'!$C:$C,$A9,'NSE - Other Index Options'!$B:$B,G$4,'NSE - Other Index Options'!$I:$I,"Weekly*")+SUMIFS('NSE - Other Index Options'!$M:$M,'NSE - Other Index Options'!$C:$C,$A9,'NSE - Other Index Options'!$B:$B,G$4,'NSE - Other Index Options'!$I:$I,"MDAW*")+SUMIFS('BSE - SENSEX Index Options'!$M:$M,'BSE - SENSEX Index Options'!$C:$C,$A9,'BSE - SENSEX Index Options'!$B:$B,G$4,'BSE - SENSEX Index Options'!$I:$I,"Weekly*")+SUMIFS('BSE - SENSEX Index Options'!$M:$M,'BSE - SENSEX Index Options'!$C:$C,$A9,'BSE - SENSEX Index Options'!$B:$B,G$4,'BSE - SENSEX Index Options'!$I:$I,"MDAW*")+SUMIFS('BSE - Other Index Options'!$M:$M,'BSE - Other Index Options'!$C:$C,$A9,'BSE - Other Index Options'!$B:$B,G$4,'BSE - Other Index Options'!$I:$I,"Weekly*")+SUMIFS('BSE - Other Index Options'!$M:$M,'BSE - Other Index Options'!$C:$C,$A9,'BSE - Other Index Options'!$B:$B,G$4,'BSE - Other Index Options'!$I:$I,"MDAW*"))</f>
        <v/>
      </c>
      <c r="H9" s="26">
        <f>IF(SUM(B9:G9)=0,"",SUM(B9:G9))</f>
        <v/>
      </c>
      <c r="K9" t="inlineStr">
        <is>
          <t>SENSEX Index</t>
        </is>
      </c>
      <c r="L9" s="56" t="inlineStr">
        <is>
          <t>Yes</t>
        </is>
      </c>
    </row>
    <row r="10">
      <c r="A10" t="inlineStr">
        <is>
          <t>Week1-Oct-2025</t>
        </is>
      </c>
      <c r="B10" s="26">
        <f>IF(SUMIFS('NSE - NIFTY Index Options'!$M:$M,'NSE - NIFTY Index Options'!$C:$C,$A10,'NSE - NIFTY Index Options'!$B:$B,B$4,'NSE - NIFTY Index Options'!$I:$I,"Weekly*")+SUMIFS('NSE - NIFTY Index Options'!$M:$M,'NSE - NIFTY Index Options'!$C:$C,$A10,'NSE - NIFTY Index Options'!$B:$B,B$4,'NSE - NIFTY Index Options'!$I:$I,"MDAW*")+SUMIFS('NSE - Other Index Options'!$M:$M,'NSE - Other Index Options'!$C:$C,$A10,'NSE - Other Index Options'!$B:$B,B$4,'NSE - Other Index Options'!$I:$I,"Weekly*")+SUMIFS('NSE - Other Index Options'!$M:$M,'NSE - Other Index Options'!$C:$C,$A10,'NSE - Other Index Options'!$B:$B,B$4,'NSE - Other Index Options'!$I:$I,"MDAW*")+SUMIFS('BSE - SENSEX Index Options'!$M:$M,'BSE - SENSEX Index Options'!$C:$C,$A10,'BSE - SENSEX Index Options'!$B:$B,B$4,'BSE - SENSEX Index Options'!$I:$I,"Weekly*")+SUMIFS('BSE - SENSEX Index Options'!$M:$M,'BSE - SENSEX Index Options'!$C:$C,$A10,'BSE - SENSEX Index Options'!$B:$B,B$4,'BSE - SENSEX Index Options'!$I:$I,"MDAW*")+SUMIFS('BSE - Other Index Options'!$M:$M,'BSE - Other Index Options'!$C:$C,$A10,'BSE - Other Index Options'!$B:$B,B$4,'BSE - Other Index Options'!$I:$I,"Weekly*")+SUMIFS('BSE - Other Index Options'!$M:$M,'BSE - Other Index Options'!$C:$C,$A10,'BSE - Other Index Options'!$B:$B,B$4,'BSE - Other Index Options'!$I:$I,"MDAW*")=0,"",SUMIFS('NSE - NIFTY Index Options'!$M:$M,'NSE - NIFTY Index Options'!$C:$C,$A10,'NSE - NIFTY Index Options'!$B:$B,B$4,'NSE - NIFTY Index Options'!$I:$I,"Weekly*")+SUMIFS('NSE - NIFTY Index Options'!$M:$M,'NSE - NIFTY Index Options'!$C:$C,$A10,'NSE - NIFTY Index Options'!$B:$B,B$4,'NSE - NIFTY Index Options'!$I:$I,"MDAW*")+SUMIFS('NSE - Other Index Options'!$M:$M,'NSE - Other Index Options'!$C:$C,$A10,'NSE - Other Index Options'!$B:$B,B$4,'NSE - Other Index Options'!$I:$I,"Weekly*")+SUMIFS('NSE - Other Index Options'!$M:$M,'NSE - Other Index Options'!$C:$C,$A10,'NSE - Other Index Options'!$B:$B,B$4,'NSE - Other Index Options'!$I:$I,"MDAW*")+SUMIFS('BSE - SENSEX Index Options'!$M:$M,'BSE - SENSEX Index Options'!$C:$C,$A10,'BSE - SENSEX Index Options'!$B:$B,B$4,'BSE - SENSEX Index Options'!$I:$I,"Weekly*")+SUMIFS('BSE - SENSEX Index Options'!$M:$M,'BSE - SENSEX Index Options'!$C:$C,$A10,'BSE - SENSEX Index Options'!$B:$B,B$4,'BSE - SENSEX Index Options'!$I:$I,"MDAW*")+SUMIFS('BSE - Other Index Options'!$M:$M,'BSE - Other Index Options'!$C:$C,$A10,'BSE - Other Index Options'!$B:$B,B$4,'BSE - Other Index Options'!$I:$I,"Weekly*")+SUMIFS('BSE - Other Index Options'!$M:$M,'BSE - Other Index Options'!$C:$C,$A10,'BSE - Other Index Options'!$B:$B,B$4,'BSE - Other Index Options'!$I:$I,"MDAW*"))</f>
        <v/>
      </c>
      <c r="C10" s="26">
        <f>IF(SUMIFS('NSE - NIFTY Index Options'!$M:$M,'NSE - NIFTY Index Options'!$C:$C,$A10,'NSE - NIFTY Index Options'!$B:$B,C$4,'NSE - NIFTY Index Options'!$I:$I,"Weekly*")+SUMIFS('NSE - NIFTY Index Options'!$M:$M,'NSE - NIFTY Index Options'!$C:$C,$A10,'NSE - NIFTY Index Options'!$B:$B,C$4,'NSE - NIFTY Index Options'!$I:$I,"MDAW*")+SUMIFS('NSE - Other Index Options'!$M:$M,'NSE - Other Index Options'!$C:$C,$A10,'NSE - Other Index Options'!$B:$B,C$4,'NSE - Other Index Options'!$I:$I,"Weekly*")+SUMIFS('NSE - Other Index Options'!$M:$M,'NSE - Other Index Options'!$C:$C,$A10,'NSE - Other Index Options'!$B:$B,C$4,'NSE - Other Index Options'!$I:$I,"MDAW*")+SUMIFS('BSE - SENSEX Index Options'!$M:$M,'BSE - SENSEX Index Options'!$C:$C,$A10,'BSE - SENSEX Index Options'!$B:$B,C$4,'BSE - SENSEX Index Options'!$I:$I,"Weekly*")+SUMIFS('BSE - SENSEX Index Options'!$M:$M,'BSE - SENSEX Index Options'!$C:$C,$A10,'BSE - SENSEX Index Options'!$B:$B,C$4,'BSE - SENSEX Index Options'!$I:$I,"MDAW*")+SUMIFS('BSE - Other Index Options'!$M:$M,'BSE - Other Index Options'!$C:$C,$A10,'BSE - Other Index Options'!$B:$B,C$4,'BSE - Other Index Options'!$I:$I,"Weekly*")+SUMIFS('BSE - Other Index Options'!$M:$M,'BSE - Other Index Options'!$C:$C,$A10,'BSE - Other Index Options'!$B:$B,C$4,'BSE - Other Index Options'!$I:$I,"MDAW*")=0,"",SUMIFS('NSE - NIFTY Index Options'!$M:$M,'NSE - NIFTY Index Options'!$C:$C,$A10,'NSE - NIFTY Index Options'!$B:$B,C$4,'NSE - NIFTY Index Options'!$I:$I,"Weekly*")+SUMIFS('NSE - NIFTY Index Options'!$M:$M,'NSE - NIFTY Index Options'!$C:$C,$A10,'NSE - NIFTY Index Options'!$B:$B,C$4,'NSE - NIFTY Index Options'!$I:$I,"MDAW*")+SUMIFS('NSE - Other Index Options'!$M:$M,'NSE - Other Index Options'!$C:$C,$A10,'NSE - Other Index Options'!$B:$B,C$4,'NSE - Other Index Options'!$I:$I,"Weekly*")+SUMIFS('NSE - Other Index Options'!$M:$M,'NSE - Other Index Options'!$C:$C,$A10,'NSE - Other Index Options'!$B:$B,C$4,'NSE - Other Index Options'!$I:$I,"MDAW*")+SUMIFS('BSE - SENSEX Index Options'!$M:$M,'BSE - SENSEX Index Options'!$C:$C,$A10,'BSE - SENSEX Index Options'!$B:$B,C$4,'BSE - SENSEX Index Options'!$I:$I,"Weekly*")+SUMIFS('BSE - SENSEX Index Options'!$M:$M,'BSE - SENSEX Index Options'!$C:$C,$A10,'BSE - SENSEX Index Options'!$B:$B,C$4,'BSE - SENSEX Index Options'!$I:$I,"MDAW*")+SUMIFS('BSE - Other Index Options'!$M:$M,'BSE - Other Index Options'!$C:$C,$A10,'BSE - Other Index Options'!$B:$B,C$4,'BSE - Other Index Options'!$I:$I,"Weekly*")+SUMIFS('BSE - Other Index Options'!$M:$M,'BSE - Other Index Options'!$C:$C,$A10,'BSE - Other Index Options'!$B:$B,C$4,'BSE - Other Index Options'!$I:$I,"MDAW*"))</f>
        <v/>
      </c>
      <c r="D10" s="26">
        <f>IF(SUMIFS('NSE - NIFTY Index Options'!$M:$M,'NSE - NIFTY Index Options'!$C:$C,$A10,'NSE - NIFTY Index Options'!$B:$B,D$4,'NSE - NIFTY Index Options'!$I:$I,"Weekly*")+SUMIFS('NSE - NIFTY Index Options'!$M:$M,'NSE - NIFTY Index Options'!$C:$C,$A10,'NSE - NIFTY Index Options'!$B:$B,D$4,'NSE - NIFTY Index Options'!$I:$I,"MDAW*")+SUMIFS('NSE - Other Index Options'!$M:$M,'NSE - Other Index Options'!$C:$C,$A10,'NSE - Other Index Options'!$B:$B,D$4,'NSE - Other Index Options'!$I:$I,"Weekly*")+SUMIFS('NSE - Other Index Options'!$M:$M,'NSE - Other Index Options'!$C:$C,$A10,'NSE - Other Index Options'!$B:$B,D$4,'NSE - Other Index Options'!$I:$I,"MDAW*")+SUMIFS('BSE - SENSEX Index Options'!$M:$M,'BSE - SENSEX Index Options'!$C:$C,$A10,'BSE - SENSEX Index Options'!$B:$B,D$4,'BSE - SENSEX Index Options'!$I:$I,"Weekly*")+SUMIFS('BSE - SENSEX Index Options'!$M:$M,'BSE - SENSEX Index Options'!$C:$C,$A10,'BSE - SENSEX Index Options'!$B:$B,D$4,'BSE - SENSEX Index Options'!$I:$I,"MDAW*")+SUMIFS('BSE - Other Index Options'!$M:$M,'BSE - Other Index Options'!$C:$C,$A10,'BSE - Other Index Options'!$B:$B,D$4,'BSE - Other Index Options'!$I:$I,"Weekly*")+SUMIFS('BSE - Other Index Options'!$M:$M,'BSE - Other Index Options'!$C:$C,$A10,'BSE - Other Index Options'!$B:$B,D$4,'BSE - Other Index Options'!$I:$I,"MDAW*")=0,"",SUMIFS('NSE - NIFTY Index Options'!$M:$M,'NSE - NIFTY Index Options'!$C:$C,$A10,'NSE - NIFTY Index Options'!$B:$B,D$4,'NSE - NIFTY Index Options'!$I:$I,"Weekly*")+SUMIFS('NSE - NIFTY Index Options'!$M:$M,'NSE - NIFTY Index Options'!$C:$C,$A10,'NSE - NIFTY Index Options'!$B:$B,D$4,'NSE - NIFTY Index Options'!$I:$I,"MDAW*")+SUMIFS('NSE - Other Index Options'!$M:$M,'NSE - Other Index Options'!$C:$C,$A10,'NSE - Other Index Options'!$B:$B,D$4,'NSE - Other Index Options'!$I:$I,"Weekly*")+SUMIFS('NSE - Other Index Options'!$M:$M,'NSE - Other Index Options'!$C:$C,$A10,'NSE - Other Index Options'!$B:$B,D$4,'NSE - Other Index Options'!$I:$I,"MDAW*")+SUMIFS('BSE - SENSEX Index Options'!$M:$M,'BSE - SENSEX Index Options'!$C:$C,$A10,'BSE - SENSEX Index Options'!$B:$B,D$4,'BSE - SENSEX Index Options'!$I:$I,"Weekly*")+SUMIFS('BSE - SENSEX Index Options'!$M:$M,'BSE - SENSEX Index Options'!$C:$C,$A10,'BSE - SENSEX Index Options'!$B:$B,D$4,'BSE - SENSEX Index Options'!$I:$I,"MDAW*")+SUMIFS('BSE - Other Index Options'!$M:$M,'BSE - Other Index Options'!$C:$C,$A10,'BSE - Other Index Options'!$B:$B,D$4,'BSE - Other Index Options'!$I:$I,"Weekly*")+SUMIFS('BSE - Other Index Options'!$M:$M,'BSE - Other Index Options'!$C:$C,$A10,'BSE - Other Index Options'!$B:$B,D$4,'BSE - Other Index Options'!$I:$I,"MDAW*"))</f>
        <v/>
      </c>
      <c r="E10" s="26">
        <f>IF(SUMIFS('NSE - NIFTY Index Options'!$M:$M,'NSE - NIFTY Index Options'!$C:$C,$A10,'NSE - NIFTY Index Options'!$B:$B,E$4,'NSE - NIFTY Index Options'!$I:$I,"Weekly*")+SUMIFS('NSE - NIFTY Index Options'!$M:$M,'NSE - NIFTY Index Options'!$C:$C,$A10,'NSE - NIFTY Index Options'!$B:$B,E$4,'NSE - NIFTY Index Options'!$I:$I,"MDAW*")+SUMIFS('NSE - Other Index Options'!$M:$M,'NSE - Other Index Options'!$C:$C,$A10,'NSE - Other Index Options'!$B:$B,E$4,'NSE - Other Index Options'!$I:$I,"Weekly*")+SUMIFS('NSE - Other Index Options'!$M:$M,'NSE - Other Index Options'!$C:$C,$A10,'NSE - Other Index Options'!$B:$B,E$4,'NSE - Other Index Options'!$I:$I,"MDAW*")+SUMIFS('BSE - SENSEX Index Options'!$M:$M,'BSE - SENSEX Index Options'!$C:$C,$A10,'BSE - SENSEX Index Options'!$B:$B,E$4,'BSE - SENSEX Index Options'!$I:$I,"Weekly*")+SUMIFS('BSE - SENSEX Index Options'!$M:$M,'BSE - SENSEX Index Options'!$C:$C,$A10,'BSE - SENSEX Index Options'!$B:$B,E$4,'BSE - SENSEX Index Options'!$I:$I,"MDAW*")+SUMIFS('BSE - Other Index Options'!$M:$M,'BSE - Other Index Options'!$C:$C,$A10,'BSE - Other Index Options'!$B:$B,E$4,'BSE - Other Index Options'!$I:$I,"Weekly*")+SUMIFS('BSE - Other Index Options'!$M:$M,'BSE - Other Index Options'!$C:$C,$A10,'BSE - Other Index Options'!$B:$B,E$4,'BSE - Other Index Options'!$I:$I,"MDAW*")=0,"",SUMIFS('NSE - NIFTY Index Options'!$M:$M,'NSE - NIFTY Index Options'!$C:$C,$A10,'NSE - NIFTY Index Options'!$B:$B,E$4,'NSE - NIFTY Index Options'!$I:$I,"Weekly*")+SUMIFS('NSE - NIFTY Index Options'!$M:$M,'NSE - NIFTY Index Options'!$C:$C,$A10,'NSE - NIFTY Index Options'!$B:$B,E$4,'NSE - NIFTY Index Options'!$I:$I,"MDAW*")+SUMIFS('NSE - Other Index Options'!$M:$M,'NSE - Other Index Options'!$C:$C,$A10,'NSE - Other Index Options'!$B:$B,E$4,'NSE - Other Index Options'!$I:$I,"Weekly*")+SUMIFS('NSE - Other Index Options'!$M:$M,'NSE - Other Index Options'!$C:$C,$A10,'NSE - Other Index Options'!$B:$B,E$4,'NSE - Other Index Options'!$I:$I,"MDAW*")+SUMIFS('BSE - SENSEX Index Options'!$M:$M,'BSE - SENSEX Index Options'!$C:$C,$A10,'BSE - SENSEX Index Options'!$B:$B,E$4,'BSE - SENSEX Index Options'!$I:$I,"Weekly*")+SUMIFS('BSE - SENSEX Index Options'!$M:$M,'BSE - SENSEX Index Options'!$C:$C,$A10,'BSE - SENSEX Index Options'!$B:$B,E$4,'BSE - SENSEX Index Options'!$I:$I,"MDAW*")+SUMIFS('BSE - Other Index Options'!$M:$M,'BSE - Other Index Options'!$C:$C,$A10,'BSE - Other Index Options'!$B:$B,E$4,'BSE - Other Index Options'!$I:$I,"Weekly*")+SUMIFS('BSE - Other Index Options'!$M:$M,'BSE - Other Index Options'!$C:$C,$A10,'BSE - Other Index Options'!$B:$B,E$4,'BSE - Other Index Options'!$I:$I,"MDAW*"))</f>
        <v/>
      </c>
      <c r="F10" s="26">
        <f>IF(SUMIFS('NSE - NIFTY Index Options'!$M:$M,'NSE - NIFTY Index Options'!$C:$C,$A10,'NSE - NIFTY Index Options'!$B:$B,F$4,'NSE - NIFTY Index Options'!$I:$I,"Weekly*")+SUMIFS('NSE - NIFTY Index Options'!$M:$M,'NSE - NIFTY Index Options'!$C:$C,$A10,'NSE - NIFTY Index Options'!$B:$B,F$4,'NSE - NIFTY Index Options'!$I:$I,"MDAW*")+SUMIFS('NSE - Other Index Options'!$M:$M,'NSE - Other Index Options'!$C:$C,$A10,'NSE - Other Index Options'!$B:$B,F$4,'NSE - Other Index Options'!$I:$I,"Weekly*")+SUMIFS('NSE - Other Index Options'!$M:$M,'NSE - Other Index Options'!$C:$C,$A10,'NSE - Other Index Options'!$B:$B,F$4,'NSE - Other Index Options'!$I:$I,"MDAW*")+SUMIFS('BSE - SENSEX Index Options'!$M:$M,'BSE - SENSEX Index Options'!$C:$C,$A10,'BSE - SENSEX Index Options'!$B:$B,F$4,'BSE - SENSEX Index Options'!$I:$I,"Weekly*")+SUMIFS('BSE - SENSEX Index Options'!$M:$M,'BSE - SENSEX Index Options'!$C:$C,$A10,'BSE - SENSEX Index Options'!$B:$B,F$4,'BSE - SENSEX Index Options'!$I:$I,"MDAW*")+SUMIFS('BSE - Other Index Options'!$M:$M,'BSE - Other Index Options'!$C:$C,$A10,'BSE - Other Index Options'!$B:$B,F$4,'BSE - Other Index Options'!$I:$I,"Weekly*")+SUMIFS('BSE - Other Index Options'!$M:$M,'BSE - Other Index Options'!$C:$C,$A10,'BSE - Other Index Options'!$B:$B,F$4,'BSE - Other Index Options'!$I:$I,"MDAW*")=0,"",SUMIFS('NSE - NIFTY Index Options'!$M:$M,'NSE - NIFTY Index Options'!$C:$C,$A10,'NSE - NIFTY Index Options'!$B:$B,F$4,'NSE - NIFTY Index Options'!$I:$I,"Weekly*")+SUMIFS('NSE - NIFTY Index Options'!$M:$M,'NSE - NIFTY Index Options'!$C:$C,$A10,'NSE - NIFTY Index Options'!$B:$B,F$4,'NSE - NIFTY Index Options'!$I:$I,"MDAW*")+SUMIFS('NSE - Other Index Options'!$M:$M,'NSE - Other Index Options'!$C:$C,$A10,'NSE - Other Index Options'!$B:$B,F$4,'NSE - Other Index Options'!$I:$I,"Weekly*")+SUMIFS('NSE - Other Index Options'!$M:$M,'NSE - Other Index Options'!$C:$C,$A10,'NSE - Other Index Options'!$B:$B,F$4,'NSE - Other Index Options'!$I:$I,"MDAW*")+SUMIFS('BSE - SENSEX Index Options'!$M:$M,'BSE - SENSEX Index Options'!$C:$C,$A10,'BSE - SENSEX Index Options'!$B:$B,F$4,'BSE - SENSEX Index Options'!$I:$I,"Weekly*")+SUMIFS('BSE - SENSEX Index Options'!$M:$M,'BSE - SENSEX Index Options'!$C:$C,$A10,'BSE - SENSEX Index Options'!$B:$B,F$4,'BSE - SENSEX Index Options'!$I:$I,"MDAW*")+SUMIFS('BSE - Other Index Options'!$M:$M,'BSE - Other Index Options'!$C:$C,$A10,'BSE - Other Index Options'!$B:$B,F$4,'BSE - Other Index Options'!$I:$I,"Weekly*")+SUMIFS('BSE - Other Index Options'!$M:$M,'BSE - Other Index Options'!$C:$C,$A10,'BSE - Other Index Options'!$B:$B,F$4,'BSE - Other Index Options'!$I:$I,"MDAW*"))</f>
        <v/>
      </c>
      <c r="G10" s="26">
        <f>IF(SUMIFS('NSE - NIFTY Index Options'!$M:$M,'NSE - NIFTY Index Options'!$C:$C,$A10,'NSE - NIFTY Index Options'!$B:$B,G$4,'NSE - NIFTY Index Options'!$I:$I,"Weekly*")+SUMIFS('NSE - NIFTY Index Options'!$M:$M,'NSE - NIFTY Index Options'!$C:$C,$A10,'NSE - NIFTY Index Options'!$B:$B,G$4,'NSE - NIFTY Index Options'!$I:$I,"MDAW*")+SUMIFS('NSE - Other Index Options'!$M:$M,'NSE - Other Index Options'!$C:$C,$A10,'NSE - Other Index Options'!$B:$B,G$4,'NSE - Other Index Options'!$I:$I,"Weekly*")+SUMIFS('NSE - Other Index Options'!$M:$M,'NSE - Other Index Options'!$C:$C,$A10,'NSE - Other Index Options'!$B:$B,G$4,'NSE - Other Index Options'!$I:$I,"MDAW*")+SUMIFS('BSE - SENSEX Index Options'!$M:$M,'BSE - SENSEX Index Options'!$C:$C,$A10,'BSE - SENSEX Index Options'!$B:$B,G$4,'BSE - SENSEX Index Options'!$I:$I,"Weekly*")+SUMIFS('BSE - SENSEX Index Options'!$M:$M,'BSE - SENSEX Index Options'!$C:$C,$A10,'BSE - SENSEX Index Options'!$B:$B,G$4,'BSE - SENSEX Index Options'!$I:$I,"MDAW*")+SUMIFS('BSE - Other Index Options'!$M:$M,'BSE - Other Index Options'!$C:$C,$A10,'BSE - Other Index Options'!$B:$B,G$4,'BSE - Other Index Options'!$I:$I,"Weekly*")+SUMIFS('BSE - Other Index Options'!$M:$M,'BSE - Other Index Options'!$C:$C,$A10,'BSE - Other Index Options'!$B:$B,G$4,'BSE - Other Index Options'!$I:$I,"MDAW*")=0,"",SUMIFS('NSE - NIFTY Index Options'!$M:$M,'NSE - NIFTY Index Options'!$C:$C,$A10,'NSE - NIFTY Index Options'!$B:$B,G$4,'NSE - NIFTY Index Options'!$I:$I,"Weekly*")+SUMIFS('NSE - NIFTY Index Options'!$M:$M,'NSE - NIFTY Index Options'!$C:$C,$A10,'NSE - NIFTY Index Options'!$B:$B,G$4,'NSE - NIFTY Index Options'!$I:$I,"MDAW*")+SUMIFS('NSE - Other Index Options'!$M:$M,'NSE - Other Index Options'!$C:$C,$A10,'NSE - Other Index Options'!$B:$B,G$4,'NSE - Other Index Options'!$I:$I,"Weekly*")+SUMIFS('NSE - Other Index Options'!$M:$M,'NSE - Other Index Options'!$C:$C,$A10,'NSE - Other Index Options'!$B:$B,G$4,'NSE - Other Index Options'!$I:$I,"MDAW*")+SUMIFS('BSE - SENSEX Index Options'!$M:$M,'BSE - SENSEX Index Options'!$C:$C,$A10,'BSE - SENSEX Index Options'!$B:$B,G$4,'BSE - SENSEX Index Options'!$I:$I,"Weekly*")+SUMIFS('BSE - SENSEX Index Options'!$M:$M,'BSE - SENSEX Index Options'!$C:$C,$A10,'BSE - SENSEX Index Options'!$B:$B,G$4,'BSE - SENSEX Index Options'!$I:$I,"MDAW*")+SUMIFS('BSE - Other Index Options'!$M:$M,'BSE - Other Index Options'!$C:$C,$A10,'BSE - Other Index Options'!$B:$B,G$4,'BSE - Other Index Options'!$I:$I,"Weekly*")+SUMIFS('BSE - Other Index Options'!$M:$M,'BSE - Other Index Options'!$C:$C,$A10,'BSE - Other Index Options'!$B:$B,G$4,'BSE - Other Index Options'!$I:$I,"MDAW*"))</f>
        <v/>
      </c>
      <c r="H10" s="26">
        <f>IF(SUM(B10:G10)=0,"",SUM(B10:G10))</f>
        <v/>
      </c>
      <c r="K10" t="inlineStr">
        <is>
          <t>Other BSE Indices</t>
        </is>
      </c>
      <c r="L10" s="57" t="inlineStr">
        <is>
          <t>No</t>
        </is>
      </c>
    </row>
    <row r="11">
      <c r="A11" t="inlineStr">
        <is>
          <t>Week2-Oct-2025</t>
        </is>
      </c>
      <c r="B11" s="26">
        <f>IF(SUMIFS('NSE - NIFTY Index Options'!$M:$M,'NSE - NIFTY Index Options'!$C:$C,$A11,'NSE - NIFTY Index Options'!$B:$B,B$4,'NSE - NIFTY Index Options'!$I:$I,"Weekly*")+SUMIFS('NSE - NIFTY Index Options'!$M:$M,'NSE - NIFTY Index Options'!$C:$C,$A11,'NSE - NIFTY Index Options'!$B:$B,B$4,'NSE - NIFTY Index Options'!$I:$I,"MDAW*")+SUMIFS('NSE - Other Index Options'!$M:$M,'NSE - Other Index Options'!$C:$C,$A11,'NSE - Other Index Options'!$B:$B,B$4,'NSE - Other Index Options'!$I:$I,"Weekly*")+SUMIFS('NSE - Other Index Options'!$M:$M,'NSE - Other Index Options'!$C:$C,$A11,'NSE - Other Index Options'!$B:$B,B$4,'NSE - Other Index Options'!$I:$I,"MDAW*")+SUMIFS('BSE - SENSEX Index Options'!$M:$M,'BSE - SENSEX Index Options'!$C:$C,$A11,'BSE - SENSEX Index Options'!$B:$B,B$4,'BSE - SENSEX Index Options'!$I:$I,"Weekly*")+SUMIFS('BSE - SENSEX Index Options'!$M:$M,'BSE - SENSEX Index Options'!$C:$C,$A11,'BSE - SENSEX Index Options'!$B:$B,B$4,'BSE - SENSEX Index Options'!$I:$I,"MDAW*")+SUMIFS('BSE - Other Index Options'!$M:$M,'BSE - Other Index Options'!$C:$C,$A11,'BSE - Other Index Options'!$B:$B,B$4,'BSE - Other Index Options'!$I:$I,"Weekly*")+SUMIFS('BSE - Other Index Options'!$M:$M,'BSE - Other Index Options'!$C:$C,$A11,'BSE - Other Index Options'!$B:$B,B$4,'BSE - Other Index Options'!$I:$I,"MDAW*")=0,"",SUMIFS('NSE - NIFTY Index Options'!$M:$M,'NSE - NIFTY Index Options'!$C:$C,$A11,'NSE - NIFTY Index Options'!$B:$B,B$4,'NSE - NIFTY Index Options'!$I:$I,"Weekly*")+SUMIFS('NSE - NIFTY Index Options'!$M:$M,'NSE - NIFTY Index Options'!$C:$C,$A11,'NSE - NIFTY Index Options'!$B:$B,B$4,'NSE - NIFTY Index Options'!$I:$I,"MDAW*")+SUMIFS('NSE - Other Index Options'!$M:$M,'NSE - Other Index Options'!$C:$C,$A11,'NSE - Other Index Options'!$B:$B,B$4,'NSE - Other Index Options'!$I:$I,"Weekly*")+SUMIFS('NSE - Other Index Options'!$M:$M,'NSE - Other Index Options'!$C:$C,$A11,'NSE - Other Index Options'!$B:$B,B$4,'NSE - Other Index Options'!$I:$I,"MDAW*")+SUMIFS('BSE - SENSEX Index Options'!$M:$M,'BSE - SENSEX Index Options'!$C:$C,$A11,'BSE - SENSEX Index Options'!$B:$B,B$4,'BSE - SENSEX Index Options'!$I:$I,"Weekly*")+SUMIFS('BSE - SENSEX Index Options'!$M:$M,'BSE - SENSEX Index Options'!$C:$C,$A11,'BSE - SENSEX Index Options'!$B:$B,B$4,'BSE - SENSEX Index Options'!$I:$I,"MDAW*")+SUMIFS('BSE - Other Index Options'!$M:$M,'BSE - Other Index Options'!$C:$C,$A11,'BSE - Other Index Options'!$B:$B,B$4,'BSE - Other Index Options'!$I:$I,"Weekly*")+SUMIFS('BSE - Other Index Options'!$M:$M,'BSE - Other Index Options'!$C:$C,$A11,'BSE - Other Index Options'!$B:$B,B$4,'BSE - Other Index Options'!$I:$I,"MDAW*"))</f>
        <v/>
      </c>
      <c r="C11" s="26">
        <f>IF(SUMIFS('NSE - NIFTY Index Options'!$M:$M,'NSE - NIFTY Index Options'!$C:$C,$A11,'NSE - NIFTY Index Options'!$B:$B,C$4,'NSE - NIFTY Index Options'!$I:$I,"Weekly*")+SUMIFS('NSE - NIFTY Index Options'!$M:$M,'NSE - NIFTY Index Options'!$C:$C,$A11,'NSE - NIFTY Index Options'!$B:$B,C$4,'NSE - NIFTY Index Options'!$I:$I,"MDAW*")+SUMIFS('NSE - Other Index Options'!$M:$M,'NSE - Other Index Options'!$C:$C,$A11,'NSE - Other Index Options'!$B:$B,C$4,'NSE - Other Index Options'!$I:$I,"Weekly*")+SUMIFS('NSE - Other Index Options'!$M:$M,'NSE - Other Index Options'!$C:$C,$A11,'NSE - Other Index Options'!$B:$B,C$4,'NSE - Other Index Options'!$I:$I,"MDAW*")+SUMIFS('BSE - SENSEX Index Options'!$M:$M,'BSE - SENSEX Index Options'!$C:$C,$A11,'BSE - SENSEX Index Options'!$B:$B,C$4,'BSE - SENSEX Index Options'!$I:$I,"Weekly*")+SUMIFS('BSE - SENSEX Index Options'!$M:$M,'BSE - SENSEX Index Options'!$C:$C,$A11,'BSE - SENSEX Index Options'!$B:$B,C$4,'BSE - SENSEX Index Options'!$I:$I,"MDAW*")+SUMIFS('BSE - Other Index Options'!$M:$M,'BSE - Other Index Options'!$C:$C,$A11,'BSE - Other Index Options'!$B:$B,C$4,'BSE - Other Index Options'!$I:$I,"Weekly*")+SUMIFS('BSE - Other Index Options'!$M:$M,'BSE - Other Index Options'!$C:$C,$A11,'BSE - Other Index Options'!$B:$B,C$4,'BSE - Other Index Options'!$I:$I,"MDAW*")=0,"",SUMIFS('NSE - NIFTY Index Options'!$M:$M,'NSE - NIFTY Index Options'!$C:$C,$A11,'NSE - NIFTY Index Options'!$B:$B,C$4,'NSE - NIFTY Index Options'!$I:$I,"Weekly*")+SUMIFS('NSE - NIFTY Index Options'!$M:$M,'NSE - NIFTY Index Options'!$C:$C,$A11,'NSE - NIFTY Index Options'!$B:$B,C$4,'NSE - NIFTY Index Options'!$I:$I,"MDAW*")+SUMIFS('NSE - Other Index Options'!$M:$M,'NSE - Other Index Options'!$C:$C,$A11,'NSE - Other Index Options'!$B:$B,C$4,'NSE - Other Index Options'!$I:$I,"Weekly*")+SUMIFS('NSE - Other Index Options'!$M:$M,'NSE - Other Index Options'!$C:$C,$A11,'NSE - Other Index Options'!$B:$B,C$4,'NSE - Other Index Options'!$I:$I,"MDAW*")+SUMIFS('BSE - SENSEX Index Options'!$M:$M,'BSE - SENSEX Index Options'!$C:$C,$A11,'BSE - SENSEX Index Options'!$B:$B,C$4,'BSE - SENSEX Index Options'!$I:$I,"Weekly*")+SUMIFS('BSE - SENSEX Index Options'!$M:$M,'BSE - SENSEX Index Options'!$C:$C,$A11,'BSE - SENSEX Index Options'!$B:$B,C$4,'BSE - SENSEX Index Options'!$I:$I,"MDAW*")+SUMIFS('BSE - Other Index Options'!$M:$M,'BSE - Other Index Options'!$C:$C,$A11,'BSE - Other Index Options'!$B:$B,C$4,'BSE - Other Index Options'!$I:$I,"Weekly*")+SUMIFS('BSE - Other Index Options'!$M:$M,'BSE - Other Index Options'!$C:$C,$A11,'BSE - Other Index Options'!$B:$B,C$4,'BSE - Other Index Options'!$I:$I,"MDAW*"))</f>
        <v/>
      </c>
      <c r="D11" s="26">
        <f>IF(SUMIFS('NSE - NIFTY Index Options'!$M:$M,'NSE - NIFTY Index Options'!$C:$C,$A11,'NSE - NIFTY Index Options'!$B:$B,D$4,'NSE - NIFTY Index Options'!$I:$I,"Weekly*")+SUMIFS('NSE - NIFTY Index Options'!$M:$M,'NSE - NIFTY Index Options'!$C:$C,$A11,'NSE - NIFTY Index Options'!$B:$B,D$4,'NSE - NIFTY Index Options'!$I:$I,"MDAW*")+SUMIFS('NSE - Other Index Options'!$M:$M,'NSE - Other Index Options'!$C:$C,$A11,'NSE - Other Index Options'!$B:$B,D$4,'NSE - Other Index Options'!$I:$I,"Weekly*")+SUMIFS('NSE - Other Index Options'!$M:$M,'NSE - Other Index Options'!$C:$C,$A11,'NSE - Other Index Options'!$B:$B,D$4,'NSE - Other Index Options'!$I:$I,"MDAW*")+SUMIFS('BSE - SENSEX Index Options'!$M:$M,'BSE - SENSEX Index Options'!$C:$C,$A11,'BSE - SENSEX Index Options'!$B:$B,D$4,'BSE - SENSEX Index Options'!$I:$I,"Weekly*")+SUMIFS('BSE - SENSEX Index Options'!$M:$M,'BSE - SENSEX Index Options'!$C:$C,$A11,'BSE - SENSEX Index Options'!$B:$B,D$4,'BSE - SENSEX Index Options'!$I:$I,"MDAW*")+SUMIFS('BSE - Other Index Options'!$M:$M,'BSE - Other Index Options'!$C:$C,$A11,'BSE - Other Index Options'!$B:$B,D$4,'BSE - Other Index Options'!$I:$I,"Weekly*")+SUMIFS('BSE - Other Index Options'!$M:$M,'BSE - Other Index Options'!$C:$C,$A11,'BSE - Other Index Options'!$B:$B,D$4,'BSE - Other Index Options'!$I:$I,"MDAW*")=0,"",SUMIFS('NSE - NIFTY Index Options'!$M:$M,'NSE - NIFTY Index Options'!$C:$C,$A11,'NSE - NIFTY Index Options'!$B:$B,D$4,'NSE - NIFTY Index Options'!$I:$I,"Weekly*")+SUMIFS('NSE - NIFTY Index Options'!$M:$M,'NSE - NIFTY Index Options'!$C:$C,$A11,'NSE - NIFTY Index Options'!$B:$B,D$4,'NSE - NIFTY Index Options'!$I:$I,"MDAW*")+SUMIFS('NSE - Other Index Options'!$M:$M,'NSE - Other Index Options'!$C:$C,$A11,'NSE - Other Index Options'!$B:$B,D$4,'NSE - Other Index Options'!$I:$I,"Weekly*")+SUMIFS('NSE - Other Index Options'!$M:$M,'NSE - Other Index Options'!$C:$C,$A11,'NSE - Other Index Options'!$B:$B,D$4,'NSE - Other Index Options'!$I:$I,"MDAW*")+SUMIFS('BSE - SENSEX Index Options'!$M:$M,'BSE - SENSEX Index Options'!$C:$C,$A11,'BSE - SENSEX Index Options'!$B:$B,D$4,'BSE - SENSEX Index Options'!$I:$I,"Weekly*")+SUMIFS('BSE - SENSEX Index Options'!$M:$M,'BSE - SENSEX Index Options'!$C:$C,$A11,'BSE - SENSEX Index Options'!$B:$B,D$4,'BSE - SENSEX Index Options'!$I:$I,"MDAW*")+SUMIFS('BSE - Other Index Options'!$M:$M,'BSE - Other Index Options'!$C:$C,$A11,'BSE - Other Index Options'!$B:$B,D$4,'BSE - Other Index Options'!$I:$I,"Weekly*")+SUMIFS('BSE - Other Index Options'!$M:$M,'BSE - Other Index Options'!$C:$C,$A11,'BSE - Other Index Options'!$B:$B,D$4,'BSE - Other Index Options'!$I:$I,"MDAW*"))</f>
        <v/>
      </c>
      <c r="E11" s="26">
        <f>IF(SUMIFS('NSE - NIFTY Index Options'!$M:$M,'NSE - NIFTY Index Options'!$C:$C,$A11,'NSE - NIFTY Index Options'!$B:$B,E$4,'NSE - NIFTY Index Options'!$I:$I,"Weekly*")+SUMIFS('NSE - NIFTY Index Options'!$M:$M,'NSE - NIFTY Index Options'!$C:$C,$A11,'NSE - NIFTY Index Options'!$B:$B,E$4,'NSE - NIFTY Index Options'!$I:$I,"MDAW*")+SUMIFS('NSE - Other Index Options'!$M:$M,'NSE - Other Index Options'!$C:$C,$A11,'NSE - Other Index Options'!$B:$B,E$4,'NSE - Other Index Options'!$I:$I,"Weekly*")+SUMIFS('NSE - Other Index Options'!$M:$M,'NSE - Other Index Options'!$C:$C,$A11,'NSE - Other Index Options'!$B:$B,E$4,'NSE - Other Index Options'!$I:$I,"MDAW*")+SUMIFS('BSE - SENSEX Index Options'!$M:$M,'BSE - SENSEX Index Options'!$C:$C,$A11,'BSE - SENSEX Index Options'!$B:$B,E$4,'BSE - SENSEX Index Options'!$I:$I,"Weekly*")+SUMIFS('BSE - SENSEX Index Options'!$M:$M,'BSE - SENSEX Index Options'!$C:$C,$A11,'BSE - SENSEX Index Options'!$B:$B,E$4,'BSE - SENSEX Index Options'!$I:$I,"MDAW*")+SUMIFS('BSE - Other Index Options'!$M:$M,'BSE - Other Index Options'!$C:$C,$A11,'BSE - Other Index Options'!$B:$B,E$4,'BSE - Other Index Options'!$I:$I,"Weekly*")+SUMIFS('BSE - Other Index Options'!$M:$M,'BSE - Other Index Options'!$C:$C,$A11,'BSE - Other Index Options'!$B:$B,E$4,'BSE - Other Index Options'!$I:$I,"MDAW*")=0,"",SUMIFS('NSE - NIFTY Index Options'!$M:$M,'NSE - NIFTY Index Options'!$C:$C,$A11,'NSE - NIFTY Index Options'!$B:$B,E$4,'NSE - NIFTY Index Options'!$I:$I,"Weekly*")+SUMIFS('NSE - NIFTY Index Options'!$M:$M,'NSE - NIFTY Index Options'!$C:$C,$A11,'NSE - NIFTY Index Options'!$B:$B,E$4,'NSE - NIFTY Index Options'!$I:$I,"MDAW*")+SUMIFS('NSE - Other Index Options'!$M:$M,'NSE - Other Index Options'!$C:$C,$A11,'NSE - Other Index Options'!$B:$B,E$4,'NSE - Other Index Options'!$I:$I,"Weekly*")+SUMIFS('NSE - Other Index Options'!$M:$M,'NSE - Other Index Options'!$C:$C,$A11,'NSE - Other Index Options'!$B:$B,E$4,'NSE - Other Index Options'!$I:$I,"MDAW*")+SUMIFS('BSE - SENSEX Index Options'!$M:$M,'BSE - SENSEX Index Options'!$C:$C,$A11,'BSE - SENSEX Index Options'!$B:$B,E$4,'BSE - SENSEX Index Options'!$I:$I,"Weekly*")+SUMIFS('BSE - SENSEX Index Options'!$M:$M,'BSE - SENSEX Index Options'!$C:$C,$A11,'BSE - SENSEX Index Options'!$B:$B,E$4,'BSE - SENSEX Index Options'!$I:$I,"MDAW*")+SUMIFS('BSE - Other Index Options'!$M:$M,'BSE - Other Index Options'!$C:$C,$A11,'BSE - Other Index Options'!$B:$B,E$4,'BSE - Other Index Options'!$I:$I,"Weekly*")+SUMIFS('BSE - Other Index Options'!$M:$M,'BSE - Other Index Options'!$C:$C,$A11,'BSE - Other Index Options'!$B:$B,E$4,'BSE - Other Index Options'!$I:$I,"MDAW*"))</f>
        <v/>
      </c>
      <c r="F11" s="26">
        <f>IF(SUMIFS('NSE - NIFTY Index Options'!$M:$M,'NSE - NIFTY Index Options'!$C:$C,$A11,'NSE - NIFTY Index Options'!$B:$B,F$4,'NSE - NIFTY Index Options'!$I:$I,"Weekly*")+SUMIFS('NSE - NIFTY Index Options'!$M:$M,'NSE - NIFTY Index Options'!$C:$C,$A11,'NSE - NIFTY Index Options'!$B:$B,F$4,'NSE - NIFTY Index Options'!$I:$I,"MDAW*")+SUMIFS('NSE - Other Index Options'!$M:$M,'NSE - Other Index Options'!$C:$C,$A11,'NSE - Other Index Options'!$B:$B,F$4,'NSE - Other Index Options'!$I:$I,"Weekly*")+SUMIFS('NSE - Other Index Options'!$M:$M,'NSE - Other Index Options'!$C:$C,$A11,'NSE - Other Index Options'!$B:$B,F$4,'NSE - Other Index Options'!$I:$I,"MDAW*")+SUMIFS('BSE - SENSEX Index Options'!$M:$M,'BSE - SENSEX Index Options'!$C:$C,$A11,'BSE - SENSEX Index Options'!$B:$B,F$4,'BSE - SENSEX Index Options'!$I:$I,"Weekly*")+SUMIFS('BSE - SENSEX Index Options'!$M:$M,'BSE - SENSEX Index Options'!$C:$C,$A11,'BSE - SENSEX Index Options'!$B:$B,F$4,'BSE - SENSEX Index Options'!$I:$I,"MDAW*")+SUMIFS('BSE - Other Index Options'!$M:$M,'BSE - Other Index Options'!$C:$C,$A11,'BSE - Other Index Options'!$B:$B,F$4,'BSE - Other Index Options'!$I:$I,"Weekly*")+SUMIFS('BSE - Other Index Options'!$M:$M,'BSE - Other Index Options'!$C:$C,$A11,'BSE - Other Index Options'!$B:$B,F$4,'BSE - Other Index Options'!$I:$I,"MDAW*")=0,"",SUMIFS('NSE - NIFTY Index Options'!$M:$M,'NSE - NIFTY Index Options'!$C:$C,$A11,'NSE - NIFTY Index Options'!$B:$B,F$4,'NSE - NIFTY Index Options'!$I:$I,"Weekly*")+SUMIFS('NSE - NIFTY Index Options'!$M:$M,'NSE - NIFTY Index Options'!$C:$C,$A11,'NSE - NIFTY Index Options'!$B:$B,F$4,'NSE - NIFTY Index Options'!$I:$I,"MDAW*")+SUMIFS('NSE - Other Index Options'!$M:$M,'NSE - Other Index Options'!$C:$C,$A11,'NSE - Other Index Options'!$B:$B,F$4,'NSE - Other Index Options'!$I:$I,"Weekly*")+SUMIFS('NSE - Other Index Options'!$M:$M,'NSE - Other Index Options'!$C:$C,$A11,'NSE - Other Index Options'!$B:$B,F$4,'NSE - Other Index Options'!$I:$I,"MDAW*")+SUMIFS('BSE - SENSEX Index Options'!$M:$M,'BSE - SENSEX Index Options'!$C:$C,$A11,'BSE - SENSEX Index Options'!$B:$B,F$4,'BSE - SENSEX Index Options'!$I:$I,"Weekly*")+SUMIFS('BSE - SENSEX Index Options'!$M:$M,'BSE - SENSEX Index Options'!$C:$C,$A11,'BSE - SENSEX Index Options'!$B:$B,F$4,'BSE - SENSEX Index Options'!$I:$I,"MDAW*")+SUMIFS('BSE - Other Index Options'!$M:$M,'BSE - Other Index Options'!$C:$C,$A11,'BSE - Other Index Options'!$B:$B,F$4,'BSE - Other Index Options'!$I:$I,"Weekly*")+SUMIFS('BSE - Other Index Options'!$M:$M,'BSE - Other Index Options'!$C:$C,$A11,'BSE - Other Index Options'!$B:$B,F$4,'BSE - Other Index Options'!$I:$I,"MDAW*"))</f>
        <v/>
      </c>
      <c r="G11" s="26">
        <f>IF(SUMIFS('NSE - NIFTY Index Options'!$M:$M,'NSE - NIFTY Index Options'!$C:$C,$A11,'NSE - NIFTY Index Options'!$B:$B,G$4,'NSE - NIFTY Index Options'!$I:$I,"Weekly*")+SUMIFS('NSE - NIFTY Index Options'!$M:$M,'NSE - NIFTY Index Options'!$C:$C,$A11,'NSE - NIFTY Index Options'!$B:$B,G$4,'NSE - NIFTY Index Options'!$I:$I,"MDAW*")+SUMIFS('NSE - Other Index Options'!$M:$M,'NSE - Other Index Options'!$C:$C,$A11,'NSE - Other Index Options'!$B:$B,G$4,'NSE - Other Index Options'!$I:$I,"Weekly*")+SUMIFS('NSE - Other Index Options'!$M:$M,'NSE - Other Index Options'!$C:$C,$A11,'NSE - Other Index Options'!$B:$B,G$4,'NSE - Other Index Options'!$I:$I,"MDAW*")+SUMIFS('BSE - SENSEX Index Options'!$M:$M,'BSE - SENSEX Index Options'!$C:$C,$A11,'BSE - SENSEX Index Options'!$B:$B,G$4,'BSE - SENSEX Index Options'!$I:$I,"Weekly*")+SUMIFS('BSE - SENSEX Index Options'!$M:$M,'BSE - SENSEX Index Options'!$C:$C,$A11,'BSE - SENSEX Index Options'!$B:$B,G$4,'BSE - SENSEX Index Options'!$I:$I,"MDAW*")+SUMIFS('BSE - Other Index Options'!$M:$M,'BSE - Other Index Options'!$C:$C,$A11,'BSE - Other Index Options'!$B:$B,G$4,'BSE - Other Index Options'!$I:$I,"Weekly*")+SUMIFS('BSE - Other Index Options'!$M:$M,'BSE - Other Index Options'!$C:$C,$A11,'BSE - Other Index Options'!$B:$B,G$4,'BSE - Other Index Options'!$I:$I,"MDAW*")=0,"",SUMIFS('NSE - NIFTY Index Options'!$M:$M,'NSE - NIFTY Index Options'!$C:$C,$A11,'NSE - NIFTY Index Options'!$B:$B,G$4,'NSE - NIFTY Index Options'!$I:$I,"Weekly*")+SUMIFS('NSE - NIFTY Index Options'!$M:$M,'NSE - NIFTY Index Options'!$C:$C,$A11,'NSE - NIFTY Index Options'!$B:$B,G$4,'NSE - NIFTY Index Options'!$I:$I,"MDAW*")+SUMIFS('NSE - Other Index Options'!$M:$M,'NSE - Other Index Options'!$C:$C,$A11,'NSE - Other Index Options'!$B:$B,G$4,'NSE - Other Index Options'!$I:$I,"Weekly*")+SUMIFS('NSE - Other Index Options'!$M:$M,'NSE - Other Index Options'!$C:$C,$A11,'NSE - Other Index Options'!$B:$B,G$4,'NSE - Other Index Options'!$I:$I,"MDAW*")+SUMIFS('BSE - SENSEX Index Options'!$M:$M,'BSE - SENSEX Index Options'!$C:$C,$A11,'BSE - SENSEX Index Options'!$B:$B,G$4,'BSE - SENSEX Index Options'!$I:$I,"Weekly*")+SUMIFS('BSE - SENSEX Index Options'!$M:$M,'BSE - SENSEX Index Options'!$C:$C,$A11,'BSE - SENSEX Index Options'!$B:$B,G$4,'BSE - SENSEX Index Options'!$I:$I,"MDAW*")+SUMIFS('BSE - Other Index Options'!$M:$M,'BSE - Other Index Options'!$C:$C,$A11,'BSE - Other Index Options'!$B:$B,G$4,'BSE - Other Index Options'!$I:$I,"Weekly*")+SUMIFS('BSE - Other Index Options'!$M:$M,'BSE - Other Index Options'!$C:$C,$A11,'BSE - Other Index Options'!$B:$B,G$4,'BSE - Other Index Options'!$I:$I,"MDAW*"))</f>
        <v/>
      </c>
      <c r="H11" s="26">
        <f>IF(SUM(B11:G11)=0,"",SUM(B11:G11))</f>
        <v/>
      </c>
      <c r="K11" t="inlineStr">
        <is>
          <t>Expiry Type 2 - Weekly</t>
        </is>
      </c>
      <c r="L11" s="57" t="inlineStr">
        <is>
          <t>Yes</t>
        </is>
      </c>
    </row>
    <row r="12">
      <c r="A12" t="inlineStr">
        <is>
          <t>Week3-Oct-2025</t>
        </is>
      </c>
      <c r="B12" s="26">
        <f>IF(SUMIFS('NSE - NIFTY Index Options'!$M:$M,'NSE - NIFTY Index Options'!$C:$C,$A12,'NSE - NIFTY Index Options'!$B:$B,B$4,'NSE - NIFTY Index Options'!$I:$I,"Weekly*")+SUMIFS('NSE - NIFTY Index Options'!$M:$M,'NSE - NIFTY Index Options'!$C:$C,$A12,'NSE - NIFTY Index Options'!$B:$B,B$4,'NSE - NIFTY Index Options'!$I:$I,"MDAW*")+SUMIFS('NSE - Other Index Options'!$M:$M,'NSE - Other Index Options'!$C:$C,$A12,'NSE - Other Index Options'!$B:$B,B$4,'NSE - Other Index Options'!$I:$I,"Weekly*")+SUMIFS('NSE - Other Index Options'!$M:$M,'NSE - Other Index Options'!$C:$C,$A12,'NSE - Other Index Options'!$B:$B,B$4,'NSE - Other Index Options'!$I:$I,"MDAW*")+SUMIFS('BSE - SENSEX Index Options'!$M:$M,'BSE - SENSEX Index Options'!$C:$C,$A12,'BSE - SENSEX Index Options'!$B:$B,B$4,'BSE - SENSEX Index Options'!$I:$I,"Weekly*")+SUMIFS('BSE - SENSEX Index Options'!$M:$M,'BSE - SENSEX Index Options'!$C:$C,$A12,'BSE - SENSEX Index Options'!$B:$B,B$4,'BSE - SENSEX Index Options'!$I:$I,"MDAW*")+SUMIFS('BSE - Other Index Options'!$M:$M,'BSE - Other Index Options'!$C:$C,$A12,'BSE - Other Index Options'!$B:$B,B$4,'BSE - Other Index Options'!$I:$I,"Weekly*")+SUMIFS('BSE - Other Index Options'!$M:$M,'BSE - Other Index Options'!$C:$C,$A12,'BSE - Other Index Options'!$B:$B,B$4,'BSE - Other Index Options'!$I:$I,"MDAW*")=0,"",SUMIFS('NSE - NIFTY Index Options'!$M:$M,'NSE - NIFTY Index Options'!$C:$C,$A12,'NSE - NIFTY Index Options'!$B:$B,B$4,'NSE - NIFTY Index Options'!$I:$I,"Weekly*")+SUMIFS('NSE - NIFTY Index Options'!$M:$M,'NSE - NIFTY Index Options'!$C:$C,$A12,'NSE - NIFTY Index Options'!$B:$B,B$4,'NSE - NIFTY Index Options'!$I:$I,"MDAW*")+SUMIFS('NSE - Other Index Options'!$M:$M,'NSE - Other Index Options'!$C:$C,$A12,'NSE - Other Index Options'!$B:$B,B$4,'NSE - Other Index Options'!$I:$I,"Weekly*")+SUMIFS('NSE - Other Index Options'!$M:$M,'NSE - Other Index Options'!$C:$C,$A12,'NSE - Other Index Options'!$B:$B,B$4,'NSE - Other Index Options'!$I:$I,"MDAW*")+SUMIFS('BSE - SENSEX Index Options'!$M:$M,'BSE - SENSEX Index Options'!$C:$C,$A12,'BSE - SENSEX Index Options'!$B:$B,B$4,'BSE - SENSEX Index Options'!$I:$I,"Weekly*")+SUMIFS('BSE - SENSEX Index Options'!$M:$M,'BSE - SENSEX Index Options'!$C:$C,$A12,'BSE - SENSEX Index Options'!$B:$B,B$4,'BSE - SENSEX Index Options'!$I:$I,"MDAW*")+SUMIFS('BSE - Other Index Options'!$M:$M,'BSE - Other Index Options'!$C:$C,$A12,'BSE - Other Index Options'!$B:$B,B$4,'BSE - Other Index Options'!$I:$I,"Weekly*")+SUMIFS('BSE - Other Index Options'!$M:$M,'BSE - Other Index Options'!$C:$C,$A12,'BSE - Other Index Options'!$B:$B,B$4,'BSE - Other Index Options'!$I:$I,"MDAW*"))</f>
        <v/>
      </c>
      <c r="C12" s="26">
        <f>IF(SUMIFS('NSE - NIFTY Index Options'!$M:$M,'NSE - NIFTY Index Options'!$C:$C,$A12,'NSE - NIFTY Index Options'!$B:$B,C$4,'NSE - NIFTY Index Options'!$I:$I,"Weekly*")+SUMIFS('NSE - NIFTY Index Options'!$M:$M,'NSE - NIFTY Index Options'!$C:$C,$A12,'NSE - NIFTY Index Options'!$B:$B,C$4,'NSE - NIFTY Index Options'!$I:$I,"MDAW*")+SUMIFS('NSE - Other Index Options'!$M:$M,'NSE - Other Index Options'!$C:$C,$A12,'NSE - Other Index Options'!$B:$B,C$4,'NSE - Other Index Options'!$I:$I,"Weekly*")+SUMIFS('NSE - Other Index Options'!$M:$M,'NSE - Other Index Options'!$C:$C,$A12,'NSE - Other Index Options'!$B:$B,C$4,'NSE - Other Index Options'!$I:$I,"MDAW*")+SUMIFS('BSE - SENSEX Index Options'!$M:$M,'BSE - SENSEX Index Options'!$C:$C,$A12,'BSE - SENSEX Index Options'!$B:$B,C$4,'BSE - SENSEX Index Options'!$I:$I,"Weekly*")+SUMIFS('BSE - SENSEX Index Options'!$M:$M,'BSE - SENSEX Index Options'!$C:$C,$A12,'BSE - SENSEX Index Options'!$B:$B,C$4,'BSE - SENSEX Index Options'!$I:$I,"MDAW*")+SUMIFS('BSE - Other Index Options'!$M:$M,'BSE - Other Index Options'!$C:$C,$A12,'BSE - Other Index Options'!$B:$B,C$4,'BSE - Other Index Options'!$I:$I,"Weekly*")+SUMIFS('BSE - Other Index Options'!$M:$M,'BSE - Other Index Options'!$C:$C,$A12,'BSE - Other Index Options'!$B:$B,C$4,'BSE - Other Index Options'!$I:$I,"MDAW*")=0,"",SUMIFS('NSE - NIFTY Index Options'!$M:$M,'NSE - NIFTY Index Options'!$C:$C,$A12,'NSE - NIFTY Index Options'!$B:$B,C$4,'NSE - NIFTY Index Options'!$I:$I,"Weekly*")+SUMIFS('NSE - NIFTY Index Options'!$M:$M,'NSE - NIFTY Index Options'!$C:$C,$A12,'NSE - NIFTY Index Options'!$B:$B,C$4,'NSE - NIFTY Index Options'!$I:$I,"MDAW*")+SUMIFS('NSE - Other Index Options'!$M:$M,'NSE - Other Index Options'!$C:$C,$A12,'NSE - Other Index Options'!$B:$B,C$4,'NSE - Other Index Options'!$I:$I,"Weekly*")+SUMIFS('NSE - Other Index Options'!$M:$M,'NSE - Other Index Options'!$C:$C,$A12,'NSE - Other Index Options'!$B:$B,C$4,'NSE - Other Index Options'!$I:$I,"MDAW*")+SUMIFS('BSE - SENSEX Index Options'!$M:$M,'BSE - SENSEX Index Options'!$C:$C,$A12,'BSE - SENSEX Index Options'!$B:$B,C$4,'BSE - SENSEX Index Options'!$I:$I,"Weekly*")+SUMIFS('BSE - SENSEX Index Options'!$M:$M,'BSE - SENSEX Index Options'!$C:$C,$A12,'BSE - SENSEX Index Options'!$B:$B,C$4,'BSE - SENSEX Index Options'!$I:$I,"MDAW*")+SUMIFS('BSE - Other Index Options'!$M:$M,'BSE - Other Index Options'!$C:$C,$A12,'BSE - Other Index Options'!$B:$B,C$4,'BSE - Other Index Options'!$I:$I,"Weekly*")+SUMIFS('BSE - Other Index Options'!$M:$M,'BSE - Other Index Options'!$C:$C,$A12,'BSE - Other Index Options'!$B:$B,C$4,'BSE - Other Index Options'!$I:$I,"MDAW*"))</f>
        <v/>
      </c>
      <c r="D12" s="26">
        <f>IF(SUMIFS('NSE - NIFTY Index Options'!$M:$M,'NSE - NIFTY Index Options'!$C:$C,$A12,'NSE - NIFTY Index Options'!$B:$B,D$4,'NSE - NIFTY Index Options'!$I:$I,"Weekly*")+SUMIFS('NSE - NIFTY Index Options'!$M:$M,'NSE - NIFTY Index Options'!$C:$C,$A12,'NSE - NIFTY Index Options'!$B:$B,D$4,'NSE - NIFTY Index Options'!$I:$I,"MDAW*")+SUMIFS('NSE - Other Index Options'!$M:$M,'NSE - Other Index Options'!$C:$C,$A12,'NSE - Other Index Options'!$B:$B,D$4,'NSE - Other Index Options'!$I:$I,"Weekly*")+SUMIFS('NSE - Other Index Options'!$M:$M,'NSE - Other Index Options'!$C:$C,$A12,'NSE - Other Index Options'!$B:$B,D$4,'NSE - Other Index Options'!$I:$I,"MDAW*")+SUMIFS('BSE - SENSEX Index Options'!$M:$M,'BSE - SENSEX Index Options'!$C:$C,$A12,'BSE - SENSEX Index Options'!$B:$B,D$4,'BSE - SENSEX Index Options'!$I:$I,"Weekly*")+SUMIFS('BSE - SENSEX Index Options'!$M:$M,'BSE - SENSEX Index Options'!$C:$C,$A12,'BSE - SENSEX Index Options'!$B:$B,D$4,'BSE - SENSEX Index Options'!$I:$I,"MDAW*")+SUMIFS('BSE - Other Index Options'!$M:$M,'BSE - Other Index Options'!$C:$C,$A12,'BSE - Other Index Options'!$B:$B,D$4,'BSE - Other Index Options'!$I:$I,"Weekly*")+SUMIFS('BSE - Other Index Options'!$M:$M,'BSE - Other Index Options'!$C:$C,$A12,'BSE - Other Index Options'!$B:$B,D$4,'BSE - Other Index Options'!$I:$I,"MDAW*")=0,"",SUMIFS('NSE - NIFTY Index Options'!$M:$M,'NSE - NIFTY Index Options'!$C:$C,$A12,'NSE - NIFTY Index Options'!$B:$B,D$4,'NSE - NIFTY Index Options'!$I:$I,"Weekly*")+SUMIFS('NSE - NIFTY Index Options'!$M:$M,'NSE - NIFTY Index Options'!$C:$C,$A12,'NSE - NIFTY Index Options'!$B:$B,D$4,'NSE - NIFTY Index Options'!$I:$I,"MDAW*")+SUMIFS('NSE - Other Index Options'!$M:$M,'NSE - Other Index Options'!$C:$C,$A12,'NSE - Other Index Options'!$B:$B,D$4,'NSE - Other Index Options'!$I:$I,"Weekly*")+SUMIFS('NSE - Other Index Options'!$M:$M,'NSE - Other Index Options'!$C:$C,$A12,'NSE - Other Index Options'!$B:$B,D$4,'NSE - Other Index Options'!$I:$I,"MDAW*")+SUMIFS('BSE - SENSEX Index Options'!$M:$M,'BSE - SENSEX Index Options'!$C:$C,$A12,'BSE - SENSEX Index Options'!$B:$B,D$4,'BSE - SENSEX Index Options'!$I:$I,"Weekly*")+SUMIFS('BSE - SENSEX Index Options'!$M:$M,'BSE - SENSEX Index Options'!$C:$C,$A12,'BSE - SENSEX Index Options'!$B:$B,D$4,'BSE - SENSEX Index Options'!$I:$I,"MDAW*")+SUMIFS('BSE - Other Index Options'!$M:$M,'BSE - Other Index Options'!$C:$C,$A12,'BSE - Other Index Options'!$B:$B,D$4,'BSE - Other Index Options'!$I:$I,"Weekly*")+SUMIFS('BSE - Other Index Options'!$M:$M,'BSE - Other Index Options'!$C:$C,$A12,'BSE - Other Index Options'!$B:$B,D$4,'BSE - Other Index Options'!$I:$I,"MDAW*"))</f>
        <v/>
      </c>
      <c r="E12" s="26">
        <f>IF(SUMIFS('NSE - NIFTY Index Options'!$M:$M,'NSE - NIFTY Index Options'!$C:$C,$A12,'NSE - NIFTY Index Options'!$B:$B,E$4,'NSE - NIFTY Index Options'!$I:$I,"Weekly*")+SUMIFS('NSE - NIFTY Index Options'!$M:$M,'NSE - NIFTY Index Options'!$C:$C,$A12,'NSE - NIFTY Index Options'!$B:$B,E$4,'NSE - NIFTY Index Options'!$I:$I,"MDAW*")+SUMIFS('NSE - Other Index Options'!$M:$M,'NSE - Other Index Options'!$C:$C,$A12,'NSE - Other Index Options'!$B:$B,E$4,'NSE - Other Index Options'!$I:$I,"Weekly*")+SUMIFS('NSE - Other Index Options'!$M:$M,'NSE - Other Index Options'!$C:$C,$A12,'NSE - Other Index Options'!$B:$B,E$4,'NSE - Other Index Options'!$I:$I,"MDAW*")+SUMIFS('BSE - SENSEX Index Options'!$M:$M,'BSE - SENSEX Index Options'!$C:$C,$A12,'BSE - SENSEX Index Options'!$B:$B,E$4,'BSE - SENSEX Index Options'!$I:$I,"Weekly*")+SUMIFS('BSE - SENSEX Index Options'!$M:$M,'BSE - SENSEX Index Options'!$C:$C,$A12,'BSE - SENSEX Index Options'!$B:$B,E$4,'BSE - SENSEX Index Options'!$I:$I,"MDAW*")+SUMIFS('BSE - Other Index Options'!$M:$M,'BSE - Other Index Options'!$C:$C,$A12,'BSE - Other Index Options'!$B:$B,E$4,'BSE - Other Index Options'!$I:$I,"Weekly*")+SUMIFS('BSE - Other Index Options'!$M:$M,'BSE - Other Index Options'!$C:$C,$A12,'BSE - Other Index Options'!$B:$B,E$4,'BSE - Other Index Options'!$I:$I,"MDAW*")=0,"",SUMIFS('NSE - NIFTY Index Options'!$M:$M,'NSE - NIFTY Index Options'!$C:$C,$A12,'NSE - NIFTY Index Options'!$B:$B,E$4,'NSE - NIFTY Index Options'!$I:$I,"Weekly*")+SUMIFS('NSE - NIFTY Index Options'!$M:$M,'NSE - NIFTY Index Options'!$C:$C,$A12,'NSE - NIFTY Index Options'!$B:$B,E$4,'NSE - NIFTY Index Options'!$I:$I,"MDAW*")+SUMIFS('NSE - Other Index Options'!$M:$M,'NSE - Other Index Options'!$C:$C,$A12,'NSE - Other Index Options'!$B:$B,E$4,'NSE - Other Index Options'!$I:$I,"Weekly*")+SUMIFS('NSE - Other Index Options'!$M:$M,'NSE - Other Index Options'!$C:$C,$A12,'NSE - Other Index Options'!$B:$B,E$4,'NSE - Other Index Options'!$I:$I,"MDAW*")+SUMIFS('BSE - SENSEX Index Options'!$M:$M,'BSE - SENSEX Index Options'!$C:$C,$A12,'BSE - SENSEX Index Options'!$B:$B,E$4,'BSE - SENSEX Index Options'!$I:$I,"Weekly*")+SUMIFS('BSE - SENSEX Index Options'!$M:$M,'BSE - SENSEX Index Options'!$C:$C,$A12,'BSE - SENSEX Index Options'!$B:$B,E$4,'BSE - SENSEX Index Options'!$I:$I,"MDAW*")+SUMIFS('BSE - Other Index Options'!$M:$M,'BSE - Other Index Options'!$C:$C,$A12,'BSE - Other Index Options'!$B:$B,E$4,'BSE - Other Index Options'!$I:$I,"Weekly*")+SUMIFS('BSE - Other Index Options'!$M:$M,'BSE - Other Index Options'!$C:$C,$A12,'BSE - Other Index Options'!$B:$B,E$4,'BSE - Other Index Options'!$I:$I,"MDAW*"))</f>
        <v/>
      </c>
      <c r="F12" s="26">
        <f>IF(SUMIFS('NSE - NIFTY Index Options'!$M:$M,'NSE - NIFTY Index Options'!$C:$C,$A12,'NSE - NIFTY Index Options'!$B:$B,F$4,'NSE - NIFTY Index Options'!$I:$I,"Weekly*")+SUMIFS('NSE - NIFTY Index Options'!$M:$M,'NSE - NIFTY Index Options'!$C:$C,$A12,'NSE - NIFTY Index Options'!$B:$B,F$4,'NSE - NIFTY Index Options'!$I:$I,"MDAW*")+SUMIFS('NSE - Other Index Options'!$M:$M,'NSE - Other Index Options'!$C:$C,$A12,'NSE - Other Index Options'!$B:$B,F$4,'NSE - Other Index Options'!$I:$I,"Weekly*")+SUMIFS('NSE - Other Index Options'!$M:$M,'NSE - Other Index Options'!$C:$C,$A12,'NSE - Other Index Options'!$B:$B,F$4,'NSE - Other Index Options'!$I:$I,"MDAW*")+SUMIFS('BSE - SENSEX Index Options'!$M:$M,'BSE - SENSEX Index Options'!$C:$C,$A12,'BSE - SENSEX Index Options'!$B:$B,F$4,'BSE - SENSEX Index Options'!$I:$I,"Weekly*")+SUMIFS('BSE - SENSEX Index Options'!$M:$M,'BSE - SENSEX Index Options'!$C:$C,$A12,'BSE - SENSEX Index Options'!$B:$B,F$4,'BSE - SENSEX Index Options'!$I:$I,"MDAW*")+SUMIFS('BSE - Other Index Options'!$M:$M,'BSE - Other Index Options'!$C:$C,$A12,'BSE - Other Index Options'!$B:$B,F$4,'BSE - Other Index Options'!$I:$I,"Weekly*")+SUMIFS('BSE - Other Index Options'!$M:$M,'BSE - Other Index Options'!$C:$C,$A12,'BSE - Other Index Options'!$B:$B,F$4,'BSE - Other Index Options'!$I:$I,"MDAW*")=0,"",SUMIFS('NSE - NIFTY Index Options'!$M:$M,'NSE - NIFTY Index Options'!$C:$C,$A12,'NSE - NIFTY Index Options'!$B:$B,F$4,'NSE - NIFTY Index Options'!$I:$I,"Weekly*")+SUMIFS('NSE - NIFTY Index Options'!$M:$M,'NSE - NIFTY Index Options'!$C:$C,$A12,'NSE - NIFTY Index Options'!$B:$B,F$4,'NSE - NIFTY Index Options'!$I:$I,"MDAW*")+SUMIFS('NSE - Other Index Options'!$M:$M,'NSE - Other Index Options'!$C:$C,$A12,'NSE - Other Index Options'!$B:$B,F$4,'NSE - Other Index Options'!$I:$I,"Weekly*")+SUMIFS('NSE - Other Index Options'!$M:$M,'NSE - Other Index Options'!$C:$C,$A12,'NSE - Other Index Options'!$B:$B,F$4,'NSE - Other Index Options'!$I:$I,"MDAW*")+SUMIFS('BSE - SENSEX Index Options'!$M:$M,'BSE - SENSEX Index Options'!$C:$C,$A12,'BSE - SENSEX Index Options'!$B:$B,F$4,'BSE - SENSEX Index Options'!$I:$I,"Weekly*")+SUMIFS('BSE - SENSEX Index Options'!$M:$M,'BSE - SENSEX Index Options'!$C:$C,$A12,'BSE - SENSEX Index Options'!$B:$B,F$4,'BSE - SENSEX Index Options'!$I:$I,"MDAW*")+SUMIFS('BSE - Other Index Options'!$M:$M,'BSE - Other Index Options'!$C:$C,$A12,'BSE - Other Index Options'!$B:$B,F$4,'BSE - Other Index Options'!$I:$I,"Weekly*")+SUMIFS('BSE - Other Index Options'!$M:$M,'BSE - Other Index Options'!$C:$C,$A12,'BSE - Other Index Options'!$B:$B,F$4,'BSE - Other Index Options'!$I:$I,"MDAW*"))</f>
        <v/>
      </c>
      <c r="G12" s="26">
        <f>IF(SUMIFS('NSE - NIFTY Index Options'!$M:$M,'NSE - NIFTY Index Options'!$C:$C,$A12,'NSE - NIFTY Index Options'!$B:$B,G$4,'NSE - NIFTY Index Options'!$I:$I,"Weekly*")+SUMIFS('NSE - NIFTY Index Options'!$M:$M,'NSE - NIFTY Index Options'!$C:$C,$A12,'NSE - NIFTY Index Options'!$B:$B,G$4,'NSE - NIFTY Index Options'!$I:$I,"MDAW*")+SUMIFS('NSE - Other Index Options'!$M:$M,'NSE - Other Index Options'!$C:$C,$A12,'NSE - Other Index Options'!$B:$B,G$4,'NSE - Other Index Options'!$I:$I,"Weekly*")+SUMIFS('NSE - Other Index Options'!$M:$M,'NSE - Other Index Options'!$C:$C,$A12,'NSE - Other Index Options'!$B:$B,G$4,'NSE - Other Index Options'!$I:$I,"MDAW*")+SUMIFS('BSE - SENSEX Index Options'!$M:$M,'BSE - SENSEX Index Options'!$C:$C,$A12,'BSE - SENSEX Index Options'!$B:$B,G$4,'BSE - SENSEX Index Options'!$I:$I,"Weekly*")+SUMIFS('BSE - SENSEX Index Options'!$M:$M,'BSE - SENSEX Index Options'!$C:$C,$A12,'BSE - SENSEX Index Options'!$B:$B,G$4,'BSE - SENSEX Index Options'!$I:$I,"MDAW*")+SUMIFS('BSE - Other Index Options'!$M:$M,'BSE - Other Index Options'!$C:$C,$A12,'BSE - Other Index Options'!$B:$B,G$4,'BSE - Other Index Options'!$I:$I,"Weekly*")+SUMIFS('BSE - Other Index Options'!$M:$M,'BSE - Other Index Options'!$C:$C,$A12,'BSE - Other Index Options'!$B:$B,G$4,'BSE - Other Index Options'!$I:$I,"MDAW*")=0,"",SUMIFS('NSE - NIFTY Index Options'!$M:$M,'NSE - NIFTY Index Options'!$C:$C,$A12,'NSE - NIFTY Index Options'!$B:$B,G$4,'NSE - NIFTY Index Options'!$I:$I,"Weekly*")+SUMIFS('NSE - NIFTY Index Options'!$M:$M,'NSE - NIFTY Index Options'!$C:$C,$A12,'NSE - NIFTY Index Options'!$B:$B,G$4,'NSE - NIFTY Index Options'!$I:$I,"MDAW*")+SUMIFS('NSE - Other Index Options'!$M:$M,'NSE - Other Index Options'!$C:$C,$A12,'NSE - Other Index Options'!$B:$B,G$4,'NSE - Other Index Options'!$I:$I,"Weekly*")+SUMIFS('NSE - Other Index Options'!$M:$M,'NSE - Other Index Options'!$C:$C,$A12,'NSE - Other Index Options'!$B:$B,G$4,'NSE - Other Index Options'!$I:$I,"MDAW*")+SUMIFS('BSE - SENSEX Index Options'!$M:$M,'BSE - SENSEX Index Options'!$C:$C,$A12,'BSE - SENSEX Index Options'!$B:$B,G$4,'BSE - SENSEX Index Options'!$I:$I,"Weekly*")+SUMIFS('BSE - SENSEX Index Options'!$M:$M,'BSE - SENSEX Index Options'!$C:$C,$A12,'BSE - SENSEX Index Options'!$B:$B,G$4,'BSE - SENSEX Index Options'!$I:$I,"MDAW*")+SUMIFS('BSE - Other Index Options'!$M:$M,'BSE - Other Index Options'!$C:$C,$A12,'BSE - Other Index Options'!$B:$B,G$4,'BSE - Other Index Options'!$I:$I,"Weekly*")+SUMIFS('BSE - Other Index Options'!$M:$M,'BSE - Other Index Options'!$C:$C,$A12,'BSE - Other Index Options'!$B:$B,G$4,'BSE - Other Index Options'!$I:$I,"MDAW*"))</f>
        <v/>
      </c>
      <c r="H12" s="26">
        <f>IF(SUM(B12:G12)=0,"",SUM(B12:G12))</f>
        <v/>
      </c>
      <c r="K12" t="inlineStr">
        <is>
          <t>Expiry Type 2 - MDAW</t>
        </is>
      </c>
      <c r="L12" s="57" t="inlineStr">
        <is>
          <t>Yes</t>
        </is>
      </c>
    </row>
    <row r="13">
      <c r="A13" t="inlineStr">
        <is>
          <t>Week4-Oct-2025</t>
        </is>
      </c>
      <c r="B13" s="26">
        <f>IF(SUMIFS('NSE - NIFTY Index Options'!$M:$M,'NSE - NIFTY Index Options'!$C:$C,$A13,'NSE - NIFTY Index Options'!$B:$B,B$4,'NSE - NIFTY Index Options'!$I:$I,"Weekly*")+SUMIFS('NSE - NIFTY Index Options'!$M:$M,'NSE - NIFTY Index Options'!$C:$C,$A13,'NSE - NIFTY Index Options'!$B:$B,B$4,'NSE - NIFTY Index Options'!$I:$I,"MDAW*")+SUMIFS('NSE - Other Index Options'!$M:$M,'NSE - Other Index Options'!$C:$C,$A13,'NSE - Other Index Options'!$B:$B,B$4,'NSE - Other Index Options'!$I:$I,"Weekly*")+SUMIFS('NSE - Other Index Options'!$M:$M,'NSE - Other Index Options'!$C:$C,$A13,'NSE - Other Index Options'!$B:$B,B$4,'NSE - Other Index Options'!$I:$I,"MDAW*")+SUMIFS('BSE - SENSEX Index Options'!$M:$M,'BSE - SENSEX Index Options'!$C:$C,$A13,'BSE - SENSEX Index Options'!$B:$B,B$4,'BSE - SENSEX Index Options'!$I:$I,"Weekly*")+SUMIFS('BSE - SENSEX Index Options'!$M:$M,'BSE - SENSEX Index Options'!$C:$C,$A13,'BSE - SENSEX Index Options'!$B:$B,B$4,'BSE - SENSEX Index Options'!$I:$I,"MDAW*")+SUMIFS('BSE - Other Index Options'!$M:$M,'BSE - Other Index Options'!$C:$C,$A13,'BSE - Other Index Options'!$B:$B,B$4,'BSE - Other Index Options'!$I:$I,"Weekly*")+SUMIFS('BSE - Other Index Options'!$M:$M,'BSE - Other Index Options'!$C:$C,$A13,'BSE - Other Index Options'!$B:$B,B$4,'BSE - Other Index Options'!$I:$I,"MDAW*")=0,"",SUMIFS('NSE - NIFTY Index Options'!$M:$M,'NSE - NIFTY Index Options'!$C:$C,$A13,'NSE - NIFTY Index Options'!$B:$B,B$4,'NSE - NIFTY Index Options'!$I:$I,"Weekly*")+SUMIFS('NSE - NIFTY Index Options'!$M:$M,'NSE - NIFTY Index Options'!$C:$C,$A13,'NSE - NIFTY Index Options'!$B:$B,B$4,'NSE - NIFTY Index Options'!$I:$I,"MDAW*")+SUMIFS('NSE - Other Index Options'!$M:$M,'NSE - Other Index Options'!$C:$C,$A13,'NSE - Other Index Options'!$B:$B,B$4,'NSE - Other Index Options'!$I:$I,"Weekly*")+SUMIFS('NSE - Other Index Options'!$M:$M,'NSE - Other Index Options'!$C:$C,$A13,'NSE - Other Index Options'!$B:$B,B$4,'NSE - Other Index Options'!$I:$I,"MDAW*")+SUMIFS('BSE - SENSEX Index Options'!$M:$M,'BSE - SENSEX Index Options'!$C:$C,$A13,'BSE - SENSEX Index Options'!$B:$B,B$4,'BSE - SENSEX Index Options'!$I:$I,"Weekly*")+SUMIFS('BSE - SENSEX Index Options'!$M:$M,'BSE - SENSEX Index Options'!$C:$C,$A13,'BSE - SENSEX Index Options'!$B:$B,B$4,'BSE - SENSEX Index Options'!$I:$I,"MDAW*")+SUMIFS('BSE - Other Index Options'!$M:$M,'BSE - Other Index Options'!$C:$C,$A13,'BSE - Other Index Options'!$B:$B,B$4,'BSE - Other Index Options'!$I:$I,"Weekly*")+SUMIFS('BSE - Other Index Options'!$M:$M,'BSE - Other Index Options'!$C:$C,$A13,'BSE - Other Index Options'!$B:$B,B$4,'BSE - Other Index Options'!$I:$I,"MDAW*"))</f>
        <v/>
      </c>
      <c r="C13" s="26">
        <f>IF(SUMIFS('NSE - NIFTY Index Options'!$M:$M,'NSE - NIFTY Index Options'!$C:$C,$A13,'NSE - NIFTY Index Options'!$B:$B,C$4,'NSE - NIFTY Index Options'!$I:$I,"Weekly*")+SUMIFS('NSE - NIFTY Index Options'!$M:$M,'NSE - NIFTY Index Options'!$C:$C,$A13,'NSE - NIFTY Index Options'!$B:$B,C$4,'NSE - NIFTY Index Options'!$I:$I,"MDAW*")+SUMIFS('NSE - Other Index Options'!$M:$M,'NSE - Other Index Options'!$C:$C,$A13,'NSE - Other Index Options'!$B:$B,C$4,'NSE - Other Index Options'!$I:$I,"Weekly*")+SUMIFS('NSE - Other Index Options'!$M:$M,'NSE - Other Index Options'!$C:$C,$A13,'NSE - Other Index Options'!$B:$B,C$4,'NSE - Other Index Options'!$I:$I,"MDAW*")+SUMIFS('BSE - SENSEX Index Options'!$M:$M,'BSE - SENSEX Index Options'!$C:$C,$A13,'BSE - SENSEX Index Options'!$B:$B,C$4,'BSE - SENSEX Index Options'!$I:$I,"Weekly*")+SUMIFS('BSE - SENSEX Index Options'!$M:$M,'BSE - SENSEX Index Options'!$C:$C,$A13,'BSE - SENSEX Index Options'!$B:$B,C$4,'BSE - SENSEX Index Options'!$I:$I,"MDAW*")+SUMIFS('BSE - Other Index Options'!$M:$M,'BSE - Other Index Options'!$C:$C,$A13,'BSE - Other Index Options'!$B:$B,C$4,'BSE - Other Index Options'!$I:$I,"Weekly*")+SUMIFS('BSE - Other Index Options'!$M:$M,'BSE - Other Index Options'!$C:$C,$A13,'BSE - Other Index Options'!$B:$B,C$4,'BSE - Other Index Options'!$I:$I,"MDAW*")=0,"",SUMIFS('NSE - NIFTY Index Options'!$M:$M,'NSE - NIFTY Index Options'!$C:$C,$A13,'NSE - NIFTY Index Options'!$B:$B,C$4,'NSE - NIFTY Index Options'!$I:$I,"Weekly*")+SUMIFS('NSE - NIFTY Index Options'!$M:$M,'NSE - NIFTY Index Options'!$C:$C,$A13,'NSE - NIFTY Index Options'!$B:$B,C$4,'NSE - NIFTY Index Options'!$I:$I,"MDAW*")+SUMIFS('NSE - Other Index Options'!$M:$M,'NSE - Other Index Options'!$C:$C,$A13,'NSE - Other Index Options'!$B:$B,C$4,'NSE - Other Index Options'!$I:$I,"Weekly*")+SUMIFS('NSE - Other Index Options'!$M:$M,'NSE - Other Index Options'!$C:$C,$A13,'NSE - Other Index Options'!$B:$B,C$4,'NSE - Other Index Options'!$I:$I,"MDAW*")+SUMIFS('BSE - SENSEX Index Options'!$M:$M,'BSE - SENSEX Index Options'!$C:$C,$A13,'BSE - SENSEX Index Options'!$B:$B,C$4,'BSE - SENSEX Index Options'!$I:$I,"Weekly*")+SUMIFS('BSE - SENSEX Index Options'!$M:$M,'BSE - SENSEX Index Options'!$C:$C,$A13,'BSE - SENSEX Index Options'!$B:$B,C$4,'BSE - SENSEX Index Options'!$I:$I,"MDAW*")+SUMIFS('BSE - Other Index Options'!$M:$M,'BSE - Other Index Options'!$C:$C,$A13,'BSE - Other Index Options'!$B:$B,C$4,'BSE - Other Index Options'!$I:$I,"Weekly*")+SUMIFS('BSE - Other Index Options'!$M:$M,'BSE - Other Index Options'!$C:$C,$A13,'BSE - Other Index Options'!$B:$B,C$4,'BSE - Other Index Options'!$I:$I,"MDAW*"))</f>
        <v/>
      </c>
      <c r="D13" s="26">
        <f>IF(SUMIFS('NSE - NIFTY Index Options'!$M:$M,'NSE - NIFTY Index Options'!$C:$C,$A13,'NSE - NIFTY Index Options'!$B:$B,D$4,'NSE - NIFTY Index Options'!$I:$I,"Weekly*")+SUMIFS('NSE - NIFTY Index Options'!$M:$M,'NSE - NIFTY Index Options'!$C:$C,$A13,'NSE - NIFTY Index Options'!$B:$B,D$4,'NSE - NIFTY Index Options'!$I:$I,"MDAW*")+SUMIFS('NSE - Other Index Options'!$M:$M,'NSE - Other Index Options'!$C:$C,$A13,'NSE - Other Index Options'!$B:$B,D$4,'NSE - Other Index Options'!$I:$I,"Weekly*")+SUMIFS('NSE - Other Index Options'!$M:$M,'NSE - Other Index Options'!$C:$C,$A13,'NSE - Other Index Options'!$B:$B,D$4,'NSE - Other Index Options'!$I:$I,"MDAW*")+SUMIFS('BSE - SENSEX Index Options'!$M:$M,'BSE - SENSEX Index Options'!$C:$C,$A13,'BSE - SENSEX Index Options'!$B:$B,D$4,'BSE - SENSEX Index Options'!$I:$I,"Weekly*")+SUMIFS('BSE - SENSEX Index Options'!$M:$M,'BSE - SENSEX Index Options'!$C:$C,$A13,'BSE - SENSEX Index Options'!$B:$B,D$4,'BSE - SENSEX Index Options'!$I:$I,"MDAW*")+SUMIFS('BSE - Other Index Options'!$M:$M,'BSE - Other Index Options'!$C:$C,$A13,'BSE - Other Index Options'!$B:$B,D$4,'BSE - Other Index Options'!$I:$I,"Weekly*")+SUMIFS('BSE - Other Index Options'!$M:$M,'BSE - Other Index Options'!$C:$C,$A13,'BSE - Other Index Options'!$B:$B,D$4,'BSE - Other Index Options'!$I:$I,"MDAW*")=0,"",SUMIFS('NSE - NIFTY Index Options'!$M:$M,'NSE - NIFTY Index Options'!$C:$C,$A13,'NSE - NIFTY Index Options'!$B:$B,D$4,'NSE - NIFTY Index Options'!$I:$I,"Weekly*")+SUMIFS('NSE - NIFTY Index Options'!$M:$M,'NSE - NIFTY Index Options'!$C:$C,$A13,'NSE - NIFTY Index Options'!$B:$B,D$4,'NSE - NIFTY Index Options'!$I:$I,"MDAW*")+SUMIFS('NSE - Other Index Options'!$M:$M,'NSE - Other Index Options'!$C:$C,$A13,'NSE - Other Index Options'!$B:$B,D$4,'NSE - Other Index Options'!$I:$I,"Weekly*")+SUMIFS('NSE - Other Index Options'!$M:$M,'NSE - Other Index Options'!$C:$C,$A13,'NSE - Other Index Options'!$B:$B,D$4,'NSE - Other Index Options'!$I:$I,"MDAW*")+SUMIFS('BSE - SENSEX Index Options'!$M:$M,'BSE - SENSEX Index Options'!$C:$C,$A13,'BSE - SENSEX Index Options'!$B:$B,D$4,'BSE - SENSEX Index Options'!$I:$I,"Weekly*")+SUMIFS('BSE - SENSEX Index Options'!$M:$M,'BSE - SENSEX Index Options'!$C:$C,$A13,'BSE - SENSEX Index Options'!$B:$B,D$4,'BSE - SENSEX Index Options'!$I:$I,"MDAW*")+SUMIFS('BSE - Other Index Options'!$M:$M,'BSE - Other Index Options'!$C:$C,$A13,'BSE - Other Index Options'!$B:$B,D$4,'BSE - Other Index Options'!$I:$I,"Weekly*")+SUMIFS('BSE - Other Index Options'!$M:$M,'BSE - Other Index Options'!$C:$C,$A13,'BSE - Other Index Options'!$B:$B,D$4,'BSE - Other Index Options'!$I:$I,"MDAW*"))</f>
        <v/>
      </c>
      <c r="E13" s="26">
        <f>IF(SUMIFS('NSE - NIFTY Index Options'!$M:$M,'NSE - NIFTY Index Options'!$C:$C,$A13,'NSE - NIFTY Index Options'!$B:$B,E$4,'NSE - NIFTY Index Options'!$I:$I,"Weekly*")+SUMIFS('NSE - NIFTY Index Options'!$M:$M,'NSE - NIFTY Index Options'!$C:$C,$A13,'NSE - NIFTY Index Options'!$B:$B,E$4,'NSE - NIFTY Index Options'!$I:$I,"MDAW*")+SUMIFS('NSE - Other Index Options'!$M:$M,'NSE - Other Index Options'!$C:$C,$A13,'NSE - Other Index Options'!$B:$B,E$4,'NSE - Other Index Options'!$I:$I,"Weekly*")+SUMIFS('NSE - Other Index Options'!$M:$M,'NSE - Other Index Options'!$C:$C,$A13,'NSE - Other Index Options'!$B:$B,E$4,'NSE - Other Index Options'!$I:$I,"MDAW*")+SUMIFS('BSE - SENSEX Index Options'!$M:$M,'BSE - SENSEX Index Options'!$C:$C,$A13,'BSE - SENSEX Index Options'!$B:$B,E$4,'BSE - SENSEX Index Options'!$I:$I,"Weekly*")+SUMIFS('BSE - SENSEX Index Options'!$M:$M,'BSE - SENSEX Index Options'!$C:$C,$A13,'BSE - SENSEX Index Options'!$B:$B,E$4,'BSE - SENSEX Index Options'!$I:$I,"MDAW*")+SUMIFS('BSE - Other Index Options'!$M:$M,'BSE - Other Index Options'!$C:$C,$A13,'BSE - Other Index Options'!$B:$B,E$4,'BSE - Other Index Options'!$I:$I,"Weekly*")+SUMIFS('BSE - Other Index Options'!$M:$M,'BSE - Other Index Options'!$C:$C,$A13,'BSE - Other Index Options'!$B:$B,E$4,'BSE - Other Index Options'!$I:$I,"MDAW*")=0,"",SUMIFS('NSE - NIFTY Index Options'!$M:$M,'NSE - NIFTY Index Options'!$C:$C,$A13,'NSE - NIFTY Index Options'!$B:$B,E$4,'NSE - NIFTY Index Options'!$I:$I,"Weekly*")+SUMIFS('NSE - NIFTY Index Options'!$M:$M,'NSE - NIFTY Index Options'!$C:$C,$A13,'NSE - NIFTY Index Options'!$B:$B,E$4,'NSE - NIFTY Index Options'!$I:$I,"MDAW*")+SUMIFS('NSE - Other Index Options'!$M:$M,'NSE - Other Index Options'!$C:$C,$A13,'NSE - Other Index Options'!$B:$B,E$4,'NSE - Other Index Options'!$I:$I,"Weekly*")+SUMIFS('NSE - Other Index Options'!$M:$M,'NSE - Other Index Options'!$C:$C,$A13,'NSE - Other Index Options'!$B:$B,E$4,'NSE - Other Index Options'!$I:$I,"MDAW*")+SUMIFS('BSE - SENSEX Index Options'!$M:$M,'BSE - SENSEX Index Options'!$C:$C,$A13,'BSE - SENSEX Index Options'!$B:$B,E$4,'BSE - SENSEX Index Options'!$I:$I,"Weekly*")+SUMIFS('BSE - SENSEX Index Options'!$M:$M,'BSE - SENSEX Index Options'!$C:$C,$A13,'BSE - SENSEX Index Options'!$B:$B,E$4,'BSE - SENSEX Index Options'!$I:$I,"MDAW*")+SUMIFS('BSE - Other Index Options'!$M:$M,'BSE - Other Index Options'!$C:$C,$A13,'BSE - Other Index Options'!$B:$B,E$4,'BSE - Other Index Options'!$I:$I,"Weekly*")+SUMIFS('BSE - Other Index Options'!$M:$M,'BSE - Other Index Options'!$C:$C,$A13,'BSE - Other Index Options'!$B:$B,E$4,'BSE - Other Index Options'!$I:$I,"MDAW*"))</f>
        <v/>
      </c>
      <c r="F13" s="26">
        <f>IF(SUMIFS('NSE - NIFTY Index Options'!$M:$M,'NSE - NIFTY Index Options'!$C:$C,$A13,'NSE - NIFTY Index Options'!$B:$B,F$4,'NSE - NIFTY Index Options'!$I:$I,"Weekly*")+SUMIFS('NSE - NIFTY Index Options'!$M:$M,'NSE - NIFTY Index Options'!$C:$C,$A13,'NSE - NIFTY Index Options'!$B:$B,F$4,'NSE - NIFTY Index Options'!$I:$I,"MDAW*")+SUMIFS('NSE - Other Index Options'!$M:$M,'NSE - Other Index Options'!$C:$C,$A13,'NSE - Other Index Options'!$B:$B,F$4,'NSE - Other Index Options'!$I:$I,"Weekly*")+SUMIFS('NSE - Other Index Options'!$M:$M,'NSE - Other Index Options'!$C:$C,$A13,'NSE - Other Index Options'!$B:$B,F$4,'NSE - Other Index Options'!$I:$I,"MDAW*")+SUMIFS('BSE - SENSEX Index Options'!$M:$M,'BSE - SENSEX Index Options'!$C:$C,$A13,'BSE - SENSEX Index Options'!$B:$B,F$4,'BSE - SENSEX Index Options'!$I:$I,"Weekly*")+SUMIFS('BSE - SENSEX Index Options'!$M:$M,'BSE - SENSEX Index Options'!$C:$C,$A13,'BSE - SENSEX Index Options'!$B:$B,F$4,'BSE - SENSEX Index Options'!$I:$I,"MDAW*")+SUMIFS('BSE - Other Index Options'!$M:$M,'BSE - Other Index Options'!$C:$C,$A13,'BSE - Other Index Options'!$B:$B,F$4,'BSE - Other Index Options'!$I:$I,"Weekly*")+SUMIFS('BSE - Other Index Options'!$M:$M,'BSE - Other Index Options'!$C:$C,$A13,'BSE - Other Index Options'!$B:$B,F$4,'BSE - Other Index Options'!$I:$I,"MDAW*")=0,"",SUMIFS('NSE - NIFTY Index Options'!$M:$M,'NSE - NIFTY Index Options'!$C:$C,$A13,'NSE - NIFTY Index Options'!$B:$B,F$4,'NSE - NIFTY Index Options'!$I:$I,"Weekly*")+SUMIFS('NSE - NIFTY Index Options'!$M:$M,'NSE - NIFTY Index Options'!$C:$C,$A13,'NSE - NIFTY Index Options'!$B:$B,F$4,'NSE - NIFTY Index Options'!$I:$I,"MDAW*")+SUMIFS('NSE - Other Index Options'!$M:$M,'NSE - Other Index Options'!$C:$C,$A13,'NSE - Other Index Options'!$B:$B,F$4,'NSE - Other Index Options'!$I:$I,"Weekly*")+SUMIFS('NSE - Other Index Options'!$M:$M,'NSE - Other Index Options'!$C:$C,$A13,'NSE - Other Index Options'!$B:$B,F$4,'NSE - Other Index Options'!$I:$I,"MDAW*")+SUMIFS('BSE - SENSEX Index Options'!$M:$M,'BSE - SENSEX Index Options'!$C:$C,$A13,'BSE - SENSEX Index Options'!$B:$B,F$4,'BSE - SENSEX Index Options'!$I:$I,"Weekly*")+SUMIFS('BSE - SENSEX Index Options'!$M:$M,'BSE - SENSEX Index Options'!$C:$C,$A13,'BSE - SENSEX Index Options'!$B:$B,F$4,'BSE - SENSEX Index Options'!$I:$I,"MDAW*")+SUMIFS('BSE - Other Index Options'!$M:$M,'BSE - Other Index Options'!$C:$C,$A13,'BSE - Other Index Options'!$B:$B,F$4,'BSE - Other Index Options'!$I:$I,"Weekly*")+SUMIFS('BSE - Other Index Options'!$M:$M,'BSE - Other Index Options'!$C:$C,$A13,'BSE - Other Index Options'!$B:$B,F$4,'BSE - Other Index Options'!$I:$I,"MDAW*"))</f>
        <v/>
      </c>
      <c r="G13" s="26">
        <f>IF(SUMIFS('NSE - NIFTY Index Options'!$M:$M,'NSE - NIFTY Index Options'!$C:$C,$A13,'NSE - NIFTY Index Options'!$B:$B,G$4,'NSE - NIFTY Index Options'!$I:$I,"Weekly*")+SUMIFS('NSE - NIFTY Index Options'!$M:$M,'NSE - NIFTY Index Options'!$C:$C,$A13,'NSE - NIFTY Index Options'!$B:$B,G$4,'NSE - NIFTY Index Options'!$I:$I,"MDAW*")+SUMIFS('NSE - Other Index Options'!$M:$M,'NSE - Other Index Options'!$C:$C,$A13,'NSE - Other Index Options'!$B:$B,G$4,'NSE - Other Index Options'!$I:$I,"Weekly*")+SUMIFS('NSE - Other Index Options'!$M:$M,'NSE - Other Index Options'!$C:$C,$A13,'NSE - Other Index Options'!$B:$B,G$4,'NSE - Other Index Options'!$I:$I,"MDAW*")+SUMIFS('BSE - SENSEX Index Options'!$M:$M,'BSE - SENSEX Index Options'!$C:$C,$A13,'BSE - SENSEX Index Options'!$B:$B,G$4,'BSE - SENSEX Index Options'!$I:$I,"Weekly*")+SUMIFS('BSE - SENSEX Index Options'!$M:$M,'BSE - SENSEX Index Options'!$C:$C,$A13,'BSE - SENSEX Index Options'!$B:$B,G$4,'BSE - SENSEX Index Options'!$I:$I,"MDAW*")+SUMIFS('BSE - Other Index Options'!$M:$M,'BSE - Other Index Options'!$C:$C,$A13,'BSE - Other Index Options'!$B:$B,G$4,'BSE - Other Index Options'!$I:$I,"Weekly*")+SUMIFS('BSE - Other Index Options'!$M:$M,'BSE - Other Index Options'!$C:$C,$A13,'BSE - Other Index Options'!$B:$B,G$4,'BSE - Other Index Options'!$I:$I,"MDAW*")=0,"",SUMIFS('NSE - NIFTY Index Options'!$M:$M,'NSE - NIFTY Index Options'!$C:$C,$A13,'NSE - NIFTY Index Options'!$B:$B,G$4,'NSE - NIFTY Index Options'!$I:$I,"Weekly*")+SUMIFS('NSE - NIFTY Index Options'!$M:$M,'NSE - NIFTY Index Options'!$C:$C,$A13,'NSE - NIFTY Index Options'!$B:$B,G$4,'NSE - NIFTY Index Options'!$I:$I,"MDAW*")+SUMIFS('NSE - Other Index Options'!$M:$M,'NSE - Other Index Options'!$C:$C,$A13,'NSE - Other Index Options'!$B:$B,G$4,'NSE - Other Index Options'!$I:$I,"Weekly*")+SUMIFS('NSE - Other Index Options'!$M:$M,'NSE - Other Index Options'!$C:$C,$A13,'NSE - Other Index Options'!$B:$B,G$4,'NSE - Other Index Options'!$I:$I,"MDAW*")+SUMIFS('BSE - SENSEX Index Options'!$M:$M,'BSE - SENSEX Index Options'!$C:$C,$A13,'BSE - SENSEX Index Options'!$B:$B,G$4,'BSE - SENSEX Index Options'!$I:$I,"Weekly*")+SUMIFS('BSE - SENSEX Index Options'!$M:$M,'BSE - SENSEX Index Options'!$C:$C,$A13,'BSE - SENSEX Index Options'!$B:$B,G$4,'BSE - SENSEX Index Options'!$I:$I,"MDAW*")+SUMIFS('BSE - Other Index Options'!$M:$M,'BSE - Other Index Options'!$C:$C,$A13,'BSE - Other Index Options'!$B:$B,G$4,'BSE - Other Index Options'!$I:$I,"Weekly*")+SUMIFS('BSE - Other Index Options'!$M:$M,'BSE - Other Index Options'!$C:$C,$A13,'BSE - Other Index Options'!$B:$B,G$4,'BSE - Other Index Options'!$I:$I,"MDAW*"))</f>
        <v/>
      </c>
      <c r="H13" s="26">
        <f>IF(SUM(B13:G13)=0,"",SUM(B13:G13))</f>
        <v/>
      </c>
      <c r="K13" t="inlineStr">
        <is>
          <t>Expiry Type 2 - Monthly</t>
        </is>
      </c>
      <c r="L13" s="58" t="inlineStr">
        <is>
          <t>No</t>
        </is>
      </c>
    </row>
    <row r="14">
      <c r="A14" t="inlineStr">
        <is>
          <t>Week5-Oct-2025</t>
        </is>
      </c>
      <c r="B14" s="26">
        <f>IF(SUMIFS('NSE - NIFTY Index Options'!$M:$M,'NSE - NIFTY Index Options'!$C:$C,$A14,'NSE - NIFTY Index Options'!$B:$B,B$4,'NSE - NIFTY Index Options'!$I:$I,"Weekly*")+SUMIFS('NSE - NIFTY Index Options'!$M:$M,'NSE - NIFTY Index Options'!$C:$C,$A14,'NSE - NIFTY Index Options'!$B:$B,B$4,'NSE - NIFTY Index Options'!$I:$I,"MDAW*")+SUMIFS('NSE - Other Index Options'!$M:$M,'NSE - Other Index Options'!$C:$C,$A14,'NSE - Other Index Options'!$B:$B,B$4,'NSE - Other Index Options'!$I:$I,"Weekly*")+SUMIFS('NSE - Other Index Options'!$M:$M,'NSE - Other Index Options'!$C:$C,$A14,'NSE - Other Index Options'!$B:$B,B$4,'NSE - Other Index Options'!$I:$I,"MDAW*")+SUMIFS('BSE - SENSEX Index Options'!$M:$M,'BSE - SENSEX Index Options'!$C:$C,$A14,'BSE - SENSEX Index Options'!$B:$B,B$4,'BSE - SENSEX Index Options'!$I:$I,"Weekly*")+SUMIFS('BSE - SENSEX Index Options'!$M:$M,'BSE - SENSEX Index Options'!$C:$C,$A14,'BSE - SENSEX Index Options'!$B:$B,B$4,'BSE - SENSEX Index Options'!$I:$I,"MDAW*")+SUMIFS('BSE - Other Index Options'!$M:$M,'BSE - Other Index Options'!$C:$C,$A14,'BSE - Other Index Options'!$B:$B,B$4,'BSE - Other Index Options'!$I:$I,"Weekly*")+SUMIFS('BSE - Other Index Options'!$M:$M,'BSE - Other Index Options'!$C:$C,$A14,'BSE - Other Index Options'!$B:$B,B$4,'BSE - Other Index Options'!$I:$I,"MDAW*")=0,"",SUMIFS('NSE - NIFTY Index Options'!$M:$M,'NSE - NIFTY Index Options'!$C:$C,$A14,'NSE - NIFTY Index Options'!$B:$B,B$4,'NSE - NIFTY Index Options'!$I:$I,"Weekly*")+SUMIFS('NSE - NIFTY Index Options'!$M:$M,'NSE - NIFTY Index Options'!$C:$C,$A14,'NSE - NIFTY Index Options'!$B:$B,B$4,'NSE - NIFTY Index Options'!$I:$I,"MDAW*")+SUMIFS('NSE - Other Index Options'!$M:$M,'NSE - Other Index Options'!$C:$C,$A14,'NSE - Other Index Options'!$B:$B,B$4,'NSE - Other Index Options'!$I:$I,"Weekly*")+SUMIFS('NSE - Other Index Options'!$M:$M,'NSE - Other Index Options'!$C:$C,$A14,'NSE - Other Index Options'!$B:$B,B$4,'NSE - Other Index Options'!$I:$I,"MDAW*")+SUMIFS('BSE - SENSEX Index Options'!$M:$M,'BSE - SENSEX Index Options'!$C:$C,$A14,'BSE - SENSEX Index Options'!$B:$B,B$4,'BSE - SENSEX Index Options'!$I:$I,"Weekly*")+SUMIFS('BSE - SENSEX Index Options'!$M:$M,'BSE - SENSEX Index Options'!$C:$C,$A14,'BSE - SENSEX Index Options'!$B:$B,B$4,'BSE - SENSEX Index Options'!$I:$I,"MDAW*")+SUMIFS('BSE - Other Index Options'!$M:$M,'BSE - Other Index Options'!$C:$C,$A14,'BSE - Other Index Options'!$B:$B,B$4,'BSE - Other Index Options'!$I:$I,"Weekly*")+SUMIFS('BSE - Other Index Options'!$M:$M,'BSE - Other Index Options'!$C:$C,$A14,'BSE - Other Index Options'!$B:$B,B$4,'BSE - Other Index Options'!$I:$I,"MDAW*"))</f>
        <v/>
      </c>
      <c r="C14" s="26">
        <f>IF(SUMIFS('NSE - NIFTY Index Options'!$M:$M,'NSE - NIFTY Index Options'!$C:$C,$A14,'NSE - NIFTY Index Options'!$B:$B,C$4,'NSE - NIFTY Index Options'!$I:$I,"Weekly*")+SUMIFS('NSE - NIFTY Index Options'!$M:$M,'NSE - NIFTY Index Options'!$C:$C,$A14,'NSE - NIFTY Index Options'!$B:$B,C$4,'NSE - NIFTY Index Options'!$I:$I,"MDAW*")+SUMIFS('NSE - Other Index Options'!$M:$M,'NSE - Other Index Options'!$C:$C,$A14,'NSE - Other Index Options'!$B:$B,C$4,'NSE - Other Index Options'!$I:$I,"Weekly*")+SUMIFS('NSE - Other Index Options'!$M:$M,'NSE - Other Index Options'!$C:$C,$A14,'NSE - Other Index Options'!$B:$B,C$4,'NSE - Other Index Options'!$I:$I,"MDAW*")+SUMIFS('BSE - SENSEX Index Options'!$M:$M,'BSE - SENSEX Index Options'!$C:$C,$A14,'BSE - SENSEX Index Options'!$B:$B,C$4,'BSE - SENSEX Index Options'!$I:$I,"Weekly*")+SUMIFS('BSE - SENSEX Index Options'!$M:$M,'BSE - SENSEX Index Options'!$C:$C,$A14,'BSE - SENSEX Index Options'!$B:$B,C$4,'BSE - SENSEX Index Options'!$I:$I,"MDAW*")+SUMIFS('BSE - Other Index Options'!$M:$M,'BSE - Other Index Options'!$C:$C,$A14,'BSE - Other Index Options'!$B:$B,C$4,'BSE - Other Index Options'!$I:$I,"Weekly*")+SUMIFS('BSE - Other Index Options'!$M:$M,'BSE - Other Index Options'!$C:$C,$A14,'BSE - Other Index Options'!$B:$B,C$4,'BSE - Other Index Options'!$I:$I,"MDAW*")=0,"",SUMIFS('NSE - NIFTY Index Options'!$M:$M,'NSE - NIFTY Index Options'!$C:$C,$A14,'NSE - NIFTY Index Options'!$B:$B,C$4,'NSE - NIFTY Index Options'!$I:$I,"Weekly*")+SUMIFS('NSE - NIFTY Index Options'!$M:$M,'NSE - NIFTY Index Options'!$C:$C,$A14,'NSE - NIFTY Index Options'!$B:$B,C$4,'NSE - NIFTY Index Options'!$I:$I,"MDAW*")+SUMIFS('NSE - Other Index Options'!$M:$M,'NSE - Other Index Options'!$C:$C,$A14,'NSE - Other Index Options'!$B:$B,C$4,'NSE - Other Index Options'!$I:$I,"Weekly*")+SUMIFS('NSE - Other Index Options'!$M:$M,'NSE - Other Index Options'!$C:$C,$A14,'NSE - Other Index Options'!$B:$B,C$4,'NSE - Other Index Options'!$I:$I,"MDAW*")+SUMIFS('BSE - SENSEX Index Options'!$M:$M,'BSE - SENSEX Index Options'!$C:$C,$A14,'BSE - SENSEX Index Options'!$B:$B,C$4,'BSE - SENSEX Index Options'!$I:$I,"Weekly*")+SUMIFS('BSE - SENSEX Index Options'!$M:$M,'BSE - SENSEX Index Options'!$C:$C,$A14,'BSE - SENSEX Index Options'!$B:$B,C$4,'BSE - SENSEX Index Options'!$I:$I,"MDAW*")+SUMIFS('BSE - Other Index Options'!$M:$M,'BSE - Other Index Options'!$C:$C,$A14,'BSE - Other Index Options'!$B:$B,C$4,'BSE - Other Index Options'!$I:$I,"Weekly*")+SUMIFS('BSE - Other Index Options'!$M:$M,'BSE - Other Index Options'!$C:$C,$A14,'BSE - Other Index Options'!$B:$B,C$4,'BSE - Other Index Options'!$I:$I,"MDAW*"))</f>
        <v/>
      </c>
      <c r="D14" s="26">
        <f>IF(SUMIFS('NSE - NIFTY Index Options'!$M:$M,'NSE - NIFTY Index Options'!$C:$C,$A14,'NSE - NIFTY Index Options'!$B:$B,D$4,'NSE - NIFTY Index Options'!$I:$I,"Weekly*")+SUMIFS('NSE - NIFTY Index Options'!$M:$M,'NSE - NIFTY Index Options'!$C:$C,$A14,'NSE - NIFTY Index Options'!$B:$B,D$4,'NSE - NIFTY Index Options'!$I:$I,"MDAW*")+SUMIFS('NSE - Other Index Options'!$M:$M,'NSE - Other Index Options'!$C:$C,$A14,'NSE - Other Index Options'!$B:$B,D$4,'NSE - Other Index Options'!$I:$I,"Weekly*")+SUMIFS('NSE - Other Index Options'!$M:$M,'NSE - Other Index Options'!$C:$C,$A14,'NSE - Other Index Options'!$B:$B,D$4,'NSE - Other Index Options'!$I:$I,"MDAW*")+SUMIFS('BSE - SENSEX Index Options'!$M:$M,'BSE - SENSEX Index Options'!$C:$C,$A14,'BSE - SENSEX Index Options'!$B:$B,D$4,'BSE - SENSEX Index Options'!$I:$I,"Weekly*")+SUMIFS('BSE - SENSEX Index Options'!$M:$M,'BSE - SENSEX Index Options'!$C:$C,$A14,'BSE - SENSEX Index Options'!$B:$B,D$4,'BSE - SENSEX Index Options'!$I:$I,"MDAW*")+SUMIFS('BSE - Other Index Options'!$M:$M,'BSE - Other Index Options'!$C:$C,$A14,'BSE - Other Index Options'!$B:$B,D$4,'BSE - Other Index Options'!$I:$I,"Weekly*")+SUMIFS('BSE - Other Index Options'!$M:$M,'BSE - Other Index Options'!$C:$C,$A14,'BSE - Other Index Options'!$B:$B,D$4,'BSE - Other Index Options'!$I:$I,"MDAW*")=0,"",SUMIFS('NSE - NIFTY Index Options'!$M:$M,'NSE - NIFTY Index Options'!$C:$C,$A14,'NSE - NIFTY Index Options'!$B:$B,D$4,'NSE - NIFTY Index Options'!$I:$I,"Weekly*")+SUMIFS('NSE - NIFTY Index Options'!$M:$M,'NSE - NIFTY Index Options'!$C:$C,$A14,'NSE - NIFTY Index Options'!$B:$B,D$4,'NSE - NIFTY Index Options'!$I:$I,"MDAW*")+SUMIFS('NSE - Other Index Options'!$M:$M,'NSE - Other Index Options'!$C:$C,$A14,'NSE - Other Index Options'!$B:$B,D$4,'NSE - Other Index Options'!$I:$I,"Weekly*")+SUMIFS('NSE - Other Index Options'!$M:$M,'NSE - Other Index Options'!$C:$C,$A14,'NSE - Other Index Options'!$B:$B,D$4,'NSE - Other Index Options'!$I:$I,"MDAW*")+SUMIFS('BSE - SENSEX Index Options'!$M:$M,'BSE - SENSEX Index Options'!$C:$C,$A14,'BSE - SENSEX Index Options'!$B:$B,D$4,'BSE - SENSEX Index Options'!$I:$I,"Weekly*")+SUMIFS('BSE - SENSEX Index Options'!$M:$M,'BSE - SENSEX Index Options'!$C:$C,$A14,'BSE - SENSEX Index Options'!$B:$B,D$4,'BSE - SENSEX Index Options'!$I:$I,"MDAW*")+SUMIFS('BSE - Other Index Options'!$M:$M,'BSE - Other Index Options'!$C:$C,$A14,'BSE - Other Index Options'!$B:$B,D$4,'BSE - Other Index Options'!$I:$I,"Weekly*")+SUMIFS('BSE - Other Index Options'!$M:$M,'BSE - Other Index Options'!$C:$C,$A14,'BSE - Other Index Options'!$B:$B,D$4,'BSE - Other Index Options'!$I:$I,"MDAW*"))</f>
        <v/>
      </c>
      <c r="E14" s="26">
        <f>IF(SUMIFS('NSE - NIFTY Index Options'!$M:$M,'NSE - NIFTY Index Options'!$C:$C,$A14,'NSE - NIFTY Index Options'!$B:$B,E$4,'NSE - NIFTY Index Options'!$I:$I,"Weekly*")+SUMIFS('NSE - NIFTY Index Options'!$M:$M,'NSE - NIFTY Index Options'!$C:$C,$A14,'NSE - NIFTY Index Options'!$B:$B,E$4,'NSE - NIFTY Index Options'!$I:$I,"MDAW*")+SUMIFS('NSE - Other Index Options'!$M:$M,'NSE - Other Index Options'!$C:$C,$A14,'NSE - Other Index Options'!$B:$B,E$4,'NSE - Other Index Options'!$I:$I,"Weekly*")+SUMIFS('NSE - Other Index Options'!$M:$M,'NSE - Other Index Options'!$C:$C,$A14,'NSE - Other Index Options'!$B:$B,E$4,'NSE - Other Index Options'!$I:$I,"MDAW*")+SUMIFS('BSE - SENSEX Index Options'!$M:$M,'BSE - SENSEX Index Options'!$C:$C,$A14,'BSE - SENSEX Index Options'!$B:$B,E$4,'BSE - SENSEX Index Options'!$I:$I,"Weekly*")+SUMIFS('BSE - SENSEX Index Options'!$M:$M,'BSE - SENSEX Index Options'!$C:$C,$A14,'BSE - SENSEX Index Options'!$B:$B,E$4,'BSE - SENSEX Index Options'!$I:$I,"MDAW*")+SUMIFS('BSE - Other Index Options'!$M:$M,'BSE - Other Index Options'!$C:$C,$A14,'BSE - Other Index Options'!$B:$B,E$4,'BSE - Other Index Options'!$I:$I,"Weekly*")+SUMIFS('BSE - Other Index Options'!$M:$M,'BSE - Other Index Options'!$C:$C,$A14,'BSE - Other Index Options'!$B:$B,E$4,'BSE - Other Index Options'!$I:$I,"MDAW*")=0,"",SUMIFS('NSE - NIFTY Index Options'!$M:$M,'NSE - NIFTY Index Options'!$C:$C,$A14,'NSE - NIFTY Index Options'!$B:$B,E$4,'NSE - NIFTY Index Options'!$I:$I,"Weekly*")+SUMIFS('NSE - NIFTY Index Options'!$M:$M,'NSE - NIFTY Index Options'!$C:$C,$A14,'NSE - NIFTY Index Options'!$B:$B,E$4,'NSE - NIFTY Index Options'!$I:$I,"MDAW*")+SUMIFS('NSE - Other Index Options'!$M:$M,'NSE - Other Index Options'!$C:$C,$A14,'NSE - Other Index Options'!$B:$B,E$4,'NSE - Other Index Options'!$I:$I,"Weekly*")+SUMIFS('NSE - Other Index Options'!$M:$M,'NSE - Other Index Options'!$C:$C,$A14,'NSE - Other Index Options'!$B:$B,E$4,'NSE - Other Index Options'!$I:$I,"MDAW*")+SUMIFS('BSE - SENSEX Index Options'!$M:$M,'BSE - SENSEX Index Options'!$C:$C,$A14,'BSE - SENSEX Index Options'!$B:$B,E$4,'BSE - SENSEX Index Options'!$I:$I,"Weekly*")+SUMIFS('BSE - SENSEX Index Options'!$M:$M,'BSE - SENSEX Index Options'!$C:$C,$A14,'BSE - SENSEX Index Options'!$B:$B,E$4,'BSE - SENSEX Index Options'!$I:$I,"MDAW*")+SUMIFS('BSE - Other Index Options'!$M:$M,'BSE - Other Index Options'!$C:$C,$A14,'BSE - Other Index Options'!$B:$B,E$4,'BSE - Other Index Options'!$I:$I,"Weekly*")+SUMIFS('BSE - Other Index Options'!$M:$M,'BSE - Other Index Options'!$C:$C,$A14,'BSE - Other Index Options'!$B:$B,E$4,'BSE - Other Index Options'!$I:$I,"MDAW*"))</f>
        <v/>
      </c>
      <c r="F14" s="26">
        <f>IF(SUMIFS('NSE - NIFTY Index Options'!$M:$M,'NSE - NIFTY Index Options'!$C:$C,$A14,'NSE - NIFTY Index Options'!$B:$B,F$4,'NSE - NIFTY Index Options'!$I:$I,"Weekly*")+SUMIFS('NSE - NIFTY Index Options'!$M:$M,'NSE - NIFTY Index Options'!$C:$C,$A14,'NSE - NIFTY Index Options'!$B:$B,F$4,'NSE - NIFTY Index Options'!$I:$I,"MDAW*")+SUMIFS('NSE - Other Index Options'!$M:$M,'NSE - Other Index Options'!$C:$C,$A14,'NSE - Other Index Options'!$B:$B,F$4,'NSE - Other Index Options'!$I:$I,"Weekly*")+SUMIFS('NSE - Other Index Options'!$M:$M,'NSE - Other Index Options'!$C:$C,$A14,'NSE - Other Index Options'!$B:$B,F$4,'NSE - Other Index Options'!$I:$I,"MDAW*")+SUMIFS('BSE - SENSEX Index Options'!$M:$M,'BSE - SENSEX Index Options'!$C:$C,$A14,'BSE - SENSEX Index Options'!$B:$B,F$4,'BSE - SENSEX Index Options'!$I:$I,"Weekly*")+SUMIFS('BSE - SENSEX Index Options'!$M:$M,'BSE - SENSEX Index Options'!$C:$C,$A14,'BSE - SENSEX Index Options'!$B:$B,F$4,'BSE - SENSEX Index Options'!$I:$I,"MDAW*")+SUMIFS('BSE - Other Index Options'!$M:$M,'BSE - Other Index Options'!$C:$C,$A14,'BSE - Other Index Options'!$B:$B,F$4,'BSE - Other Index Options'!$I:$I,"Weekly*")+SUMIFS('BSE - Other Index Options'!$M:$M,'BSE - Other Index Options'!$C:$C,$A14,'BSE - Other Index Options'!$B:$B,F$4,'BSE - Other Index Options'!$I:$I,"MDAW*")=0,"",SUMIFS('NSE - NIFTY Index Options'!$M:$M,'NSE - NIFTY Index Options'!$C:$C,$A14,'NSE - NIFTY Index Options'!$B:$B,F$4,'NSE - NIFTY Index Options'!$I:$I,"Weekly*")+SUMIFS('NSE - NIFTY Index Options'!$M:$M,'NSE - NIFTY Index Options'!$C:$C,$A14,'NSE - NIFTY Index Options'!$B:$B,F$4,'NSE - NIFTY Index Options'!$I:$I,"MDAW*")+SUMIFS('NSE - Other Index Options'!$M:$M,'NSE - Other Index Options'!$C:$C,$A14,'NSE - Other Index Options'!$B:$B,F$4,'NSE - Other Index Options'!$I:$I,"Weekly*")+SUMIFS('NSE - Other Index Options'!$M:$M,'NSE - Other Index Options'!$C:$C,$A14,'NSE - Other Index Options'!$B:$B,F$4,'NSE - Other Index Options'!$I:$I,"MDAW*")+SUMIFS('BSE - SENSEX Index Options'!$M:$M,'BSE - SENSEX Index Options'!$C:$C,$A14,'BSE - SENSEX Index Options'!$B:$B,F$4,'BSE - SENSEX Index Options'!$I:$I,"Weekly*")+SUMIFS('BSE - SENSEX Index Options'!$M:$M,'BSE - SENSEX Index Options'!$C:$C,$A14,'BSE - SENSEX Index Options'!$B:$B,F$4,'BSE - SENSEX Index Options'!$I:$I,"MDAW*")+SUMIFS('BSE - Other Index Options'!$M:$M,'BSE - Other Index Options'!$C:$C,$A14,'BSE - Other Index Options'!$B:$B,F$4,'BSE - Other Index Options'!$I:$I,"Weekly*")+SUMIFS('BSE - Other Index Options'!$M:$M,'BSE - Other Index Options'!$C:$C,$A14,'BSE - Other Index Options'!$B:$B,F$4,'BSE - Other Index Options'!$I:$I,"MDAW*"))</f>
        <v/>
      </c>
      <c r="G14" s="26">
        <f>IF(SUMIFS('NSE - NIFTY Index Options'!$M:$M,'NSE - NIFTY Index Options'!$C:$C,$A14,'NSE - NIFTY Index Options'!$B:$B,G$4,'NSE - NIFTY Index Options'!$I:$I,"Weekly*")+SUMIFS('NSE - NIFTY Index Options'!$M:$M,'NSE - NIFTY Index Options'!$C:$C,$A14,'NSE - NIFTY Index Options'!$B:$B,G$4,'NSE - NIFTY Index Options'!$I:$I,"MDAW*")+SUMIFS('NSE - Other Index Options'!$M:$M,'NSE - Other Index Options'!$C:$C,$A14,'NSE - Other Index Options'!$B:$B,G$4,'NSE - Other Index Options'!$I:$I,"Weekly*")+SUMIFS('NSE - Other Index Options'!$M:$M,'NSE - Other Index Options'!$C:$C,$A14,'NSE - Other Index Options'!$B:$B,G$4,'NSE - Other Index Options'!$I:$I,"MDAW*")+SUMIFS('BSE - SENSEX Index Options'!$M:$M,'BSE - SENSEX Index Options'!$C:$C,$A14,'BSE - SENSEX Index Options'!$B:$B,G$4,'BSE - SENSEX Index Options'!$I:$I,"Weekly*")+SUMIFS('BSE - SENSEX Index Options'!$M:$M,'BSE - SENSEX Index Options'!$C:$C,$A14,'BSE - SENSEX Index Options'!$B:$B,G$4,'BSE - SENSEX Index Options'!$I:$I,"MDAW*")+SUMIFS('BSE - Other Index Options'!$M:$M,'BSE - Other Index Options'!$C:$C,$A14,'BSE - Other Index Options'!$B:$B,G$4,'BSE - Other Index Options'!$I:$I,"Weekly*")+SUMIFS('BSE - Other Index Options'!$M:$M,'BSE - Other Index Options'!$C:$C,$A14,'BSE - Other Index Options'!$B:$B,G$4,'BSE - Other Index Options'!$I:$I,"MDAW*")=0,"",SUMIFS('NSE - NIFTY Index Options'!$M:$M,'NSE - NIFTY Index Options'!$C:$C,$A14,'NSE - NIFTY Index Options'!$B:$B,G$4,'NSE - NIFTY Index Options'!$I:$I,"Weekly*")+SUMIFS('NSE - NIFTY Index Options'!$M:$M,'NSE - NIFTY Index Options'!$C:$C,$A14,'NSE - NIFTY Index Options'!$B:$B,G$4,'NSE - NIFTY Index Options'!$I:$I,"MDAW*")+SUMIFS('NSE - Other Index Options'!$M:$M,'NSE - Other Index Options'!$C:$C,$A14,'NSE - Other Index Options'!$B:$B,G$4,'NSE - Other Index Options'!$I:$I,"Weekly*")+SUMIFS('NSE - Other Index Options'!$M:$M,'NSE - Other Index Options'!$C:$C,$A14,'NSE - Other Index Options'!$B:$B,G$4,'NSE - Other Index Options'!$I:$I,"MDAW*")+SUMIFS('BSE - SENSEX Index Options'!$M:$M,'BSE - SENSEX Index Options'!$C:$C,$A14,'BSE - SENSEX Index Options'!$B:$B,G$4,'BSE - SENSEX Index Options'!$I:$I,"Weekly*")+SUMIFS('BSE - SENSEX Index Options'!$M:$M,'BSE - SENSEX Index Options'!$C:$C,$A14,'BSE - SENSEX Index Options'!$B:$B,G$4,'BSE - SENSEX Index Options'!$I:$I,"MDAW*")+SUMIFS('BSE - Other Index Options'!$M:$M,'BSE - Other Index Options'!$C:$C,$A14,'BSE - Other Index Options'!$B:$B,G$4,'BSE - Other Index Options'!$I:$I,"Weekly*")+SUMIFS('BSE - Other Index Options'!$M:$M,'BSE - Other Index Options'!$C:$C,$A14,'BSE - Other Index Options'!$B:$B,G$4,'BSE - Other Index Options'!$I:$I,"MDAW*"))</f>
        <v/>
      </c>
      <c r="H14" s="26">
        <f>IF(SUM(B14:G14)=0,"",SUM(B14:G14))</f>
        <v/>
      </c>
    </row>
    <row r="15">
      <c r="A15" t="inlineStr">
        <is>
          <t>Week1-Nov-2025</t>
        </is>
      </c>
      <c r="B15" s="26">
        <f>IF(SUMIFS('NSE - NIFTY Index Options'!$M:$M,'NSE - NIFTY Index Options'!$C:$C,$A15,'NSE - NIFTY Index Options'!$B:$B,B$4,'NSE - NIFTY Index Options'!$I:$I,"Weekly*")+SUMIFS('NSE - NIFTY Index Options'!$M:$M,'NSE - NIFTY Index Options'!$C:$C,$A15,'NSE - NIFTY Index Options'!$B:$B,B$4,'NSE - NIFTY Index Options'!$I:$I,"MDAW*")+SUMIFS('NSE - Other Index Options'!$M:$M,'NSE - Other Index Options'!$C:$C,$A15,'NSE - Other Index Options'!$B:$B,B$4,'NSE - Other Index Options'!$I:$I,"Weekly*")+SUMIFS('NSE - Other Index Options'!$M:$M,'NSE - Other Index Options'!$C:$C,$A15,'NSE - Other Index Options'!$B:$B,B$4,'NSE - Other Index Options'!$I:$I,"MDAW*")+SUMIFS('BSE - SENSEX Index Options'!$M:$M,'BSE - SENSEX Index Options'!$C:$C,$A15,'BSE - SENSEX Index Options'!$B:$B,B$4,'BSE - SENSEX Index Options'!$I:$I,"Weekly*")+SUMIFS('BSE - SENSEX Index Options'!$M:$M,'BSE - SENSEX Index Options'!$C:$C,$A15,'BSE - SENSEX Index Options'!$B:$B,B$4,'BSE - SENSEX Index Options'!$I:$I,"MDAW*")+SUMIFS('BSE - Other Index Options'!$M:$M,'BSE - Other Index Options'!$C:$C,$A15,'BSE - Other Index Options'!$B:$B,B$4,'BSE - Other Index Options'!$I:$I,"Weekly*")+SUMIFS('BSE - Other Index Options'!$M:$M,'BSE - Other Index Options'!$C:$C,$A15,'BSE - Other Index Options'!$B:$B,B$4,'BSE - Other Index Options'!$I:$I,"MDAW*")=0,"",SUMIFS('NSE - NIFTY Index Options'!$M:$M,'NSE - NIFTY Index Options'!$C:$C,$A15,'NSE - NIFTY Index Options'!$B:$B,B$4,'NSE - NIFTY Index Options'!$I:$I,"Weekly*")+SUMIFS('NSE - NIFTY Index Options'!$M:$M,'NSE - NIFTY Index Options'!$C:$C,$A15,'NSE - NIFTY Index Options'!$B:$B,B$4,'NSE - NIFTY Index Options'!$I:$I,"MDAW*")+SUMIFS('NSE - Other Index Options'!$M:$M,'NSE - Other Index Options'!$C:$C,$A15,'NSE - Other Index Options'!$B:$B,B$4,'NSE - Other Index Options'!$I:$I,"Weekly*")+SUMIFS('NSE - Other Index Options'!$M:$M,'NSE - Other Index Options'!$C:$C,$A15,'NSE - Other Index Options'!$B:$B,B$4,'NSE - Other Index Options'!$I:$I,"MDAW*")+SUMIFS('BSE - SENSEX Index Options'!$M:$M,'BSE - SENSEX Index Options'!$C:$C,$A15,'BSE - SENSEX Index Options'!$B:$B,B$4,'BSE - SENSEX Index Options'!$I:$I,"Weekly*")+SUMIFS('BSE - SENSEX Index Options'!$M:$M,'BSE - SENSEX Index Options'!$C:$C,$A15,'BSE - SENSEX Index Options'!$B:$B,B$4,'BSE - SENSEX Index Options'!$I:$I,"MDAW*")+SUMIFS('BSE - Other Index Options'!$M:$M,'BSE - Other Index Options'!$C:$C,$A15,'BSE - Other Index Options'!$B:$B,B$4,'BSE - Other Index Options'!$I:$I,"Weekly*")+SUMIFS('BSE - Other Index Options'!$M:$M,'BSE - Other Index Options'!$C:$C,$A15,'BSE - Other Index Options'!$B:$B,B$4,'BSE - Other Index Options'!$I:$I,"MDAW*"))</f>
        <v/>
      </c>
      <c r="C15" s="26">
        <f>IF(SUMIFS('NSE - NIFTY Index Options'!$M:$M,'NSE - NIFTY Index Options'!$C:$C,$A15,'NSE - NIFTY Index Options'!$B:$B,C$4,'NSE - NIFTY Index Options'!$I:$I,"Weekly*")+SUMIFS('NSE - NIFTY Index Options'!$M:$M,'NSE - NIFTY Index Options'!$C:$C,$A15,'NSE - NIFTY Index Options'!$B:$B,C$4,'NSE - NIFTY Index Options'!$I:$I,"MDAW*")+SUMIFS('NSE - Other Index Options'!$M:$M,'NSE - Other Index Options'!$C:$C,$A15,'NSE - Other Index Options'!$B:$B,C$4,'NSE - Other Index Options'!$I:$I,"Weekly*")+SUMIFS('NSE - Other Index Options'!$M:$M,'NSE - Other Index Options'!$C:$C,$A15,'NSE - Other Index Options'!$B:$B,C$4,'NSE - Other Index Options'!$I:$I,"MDAW*")+SUMIFS('BSE - SENSEX Index Options'!$M:$M,'BSE - SENSEX Index Options'!$C:$C,$A15,'BSE - SENSEX Index Options'!$B:$B,C$4,'BSE - SENSEX Index Options'!$I:$I,"Weekly*")+SUMIFS('BSE - SENSEX Index Options'!$M:$M,'BSE - SENSEX Index Options'!$C:$C,$A15,'BSE - SENSEX Index Options'!$B:$B,C$4,'BSE - SENSEX Index Options'!$I:$I,"MDAW*")+SUMIFS('BSE - Other Index Options'!$M:$M,'BSE - Other Index Options'!$C:$C,$A15,'BSE - Other Index Options'!$B:$B,C$4,'BSE - Other Index Options'!$I:$I,"Weekly*")+SUMIFS('BSE - Other Index Options'!$M:$M,'BSE - Other Index Options'!$C:$C,$A15,'BSE - Other Index Options'!$B:$B,C$4,'BSE - Other Index Options'!$I:$I,"MDAW*")=0,"",SUMIFS('NSE - NIFTY Index Options'!$M:$M,'NSE - NIFTY Index Options'!$C:$C,$A15,'NSE - NIFTY Index Options'!$B:$B,C$4,'NSE - NIFTY Index Options'!$I:$I,"Weekly*")+SUMIFS('NSE - NIFTY Index Options'!$M:$M,'NSE - NIFTY Index Options'!$C:$C,$A15,'NSE - NIFTY Index Options'!$B:$B,C$4,'NSE - NIFTY Index Options'!$I:$I,"MDAW*")+SUMIFS('NSE - Other Index Options'!$M:$M,'NSE - Other Index Options'!$C:$C,$A15,'NSE - Other Index Options'!$B:$B,C$4,'NSE - Other Index Options'!$I:$I,"Weekly*")+SUMIFS('NSE - Other Index Options'!$M:$M,'NSE - Other Index Options'!$C:$C,$A15,'NSE - Other Index Options'!$B:$B,C$4,'NSE - Other Index Options'!$I:$I,"MDAW*")+SUMIFS('BSE - SENSEX Index Options'!$M:$M,'BSE - SENSEX Index Options'!$C:$C,$A15,'BSE - SENSEX Index Options'!$B:$B,C$4,'BSE - SENSEX Index Options'!$I:$I,"Weekly*")+SUMIFS('BSE - SENSEX Index Options'!$M:$M,'BSE - SENSEX Index Options'!$C:$C,$A15,'BSE - SENSEX Index Options'!$B:$B,C$4,'BSE - SENSEX Index Options'!$I:$I,"MDAW*")+SUMIFS('BSE - Other Index Options'!$M:$M,'BSE - Other Index Options'!$C:$C,$A15,'BSE - Other Index Options'!$B:$B,C$4,'BSE - Other Index Options'!$I:$I,"Weekly*")+SUMIFS('BSE - Other Index Options'!$M:$M,'BSE - Other Index Options'!$C:$C,$A15,'BSE - Other Index Options'!$B:$B,C$4,'BSE - Other Index Options'!$I:$I,"MDAW*"))</f>
        <v/>
      </c>
      <c r="D15" s="26">
        <f>IF(SUMIFS('NSE - NIFTY Index Options'!$M:$M,'NSE - NIFTY Index Options'!$C:$C,$A15,'NSE - NIFTY Index Options'!$B:$B,D$4,'NSE - NIFTY Index Options'!$I:$I,"Weekly*")+SUMIFS('NSE - NIFTY Index Options'!$M:$M,'NSE - NIFTY Index Options'!$C:$C,$A15,'NSE - NIFTY Index Options'!$B:$B,D$4,'NSE - NIFTY Index Options'!$I:$I,"MDAW*")+SUMIFS('NSE - Other Index Options'!$M:$M,'NSE - Other Index Options'!$C:$C,$A15,'NSE - Other Index Options'!$B:$B,D$4,'NSE - Other Index Options'!$I:$I,"Weekly*")+SUMIFS('NSE - Other Index Options'!$M:$M,'NSE - Other Index Options'!$C:$C,$A15,'NSE - Other Index Options'!$B:$B,D$4,'NSE - Other Index Options'!$I:$I,"MDAW*")+SUMIFS('BSE - SENSEX Index Options'!$M:$M,'BSE - SENSEX Index Options'!$C:$C,$A15,'BSE - SENSEX Index Options'!$B:$B,D$4,'BSE - SENSEX Index Options'!$I:$I,"Weekly*")+SUMIFS('BSE - SENSEX Index Options'!$M:$M,'BSE - SENSEX Index Options'!$C:$C,$A15,'BSE - SENSEX Index Options'!$B:$B,D$4,'BSE - SENSEX Index Options'!$I:$I,"MDAW*")+SUMIFS('BSE - Other Index Options'!$M:$M,'BSE - Other Index Options'!$C:$C,$A15,'BSE - Other Index Options'!$B:$B,D$4,'BSE - Other Index Options'!$I:$I,"Weekly*")+SUMIFS('BSE - Other Index Options'!$M:$M,'BSE - Other Index Options'!$C:$C,$A15,'BSE - Other Index Options'!$B:$B,D$4,'BSE - Other Index Options'!$I:$I,"MDAW*")=0,"",SUMIFS('NSE - NIFTY Index Options'!$M:$M,'NSE - NIFTY Index Options'!$C:$C,$A15,'NSE - NIFTY Index Options'!$B:$B,D$4,'NSE - NIFTY Index Options'!$I:$I,"Weekly*")+SUMIFS('NSE - NIFTY Index Options'!$M:$M,'NSE - NIFTY Index Options'!$C:$C,$A15,'NSE - NIFTY Index Options'!$B:$B,D$4,'NSE - NIFTY Index Options'!$I:$I,"MDAW*")+SUMIFS('NSE - Other Index Options'!$M:$M,'NSE - Other Index Options'!$C:$C,$A15,'NSE - Other Index Options'!$B:$B,D$4,'NSE - Other Index Options'!$I:$I,"Weekly*")+SUMIFS('NSE - Other Index Options'!$M:$M,'NSE - Other Index Options'!$C:$C,$A15,'NSE - Other Index Options'!$B:$B,D$4,'NSE - Other Index Options'!$I:$I,"MDAW*")+SUMIFS('BSE - SENSEX Index Options'!$M:$M,'BSE - SENSEX Index Options'!$C:$C,$A15,'BSE - SENSEX Index Options'!$B:$B,D$4,'BSE - SENSEX Index Options'!$I:$I,"Weekly*")+SUMIFS('BSE - SENSEX Index Options'!$M:$M,'BSE - SENSEX Index Options'!$C:$C,$A15,'BSE - SENSEX Index Options'!$B:$B,D$4,'BSE - SENSEX Index Options'!$I:$I,"MDAW*")+SUMIFS('BSE - Other Index Options'!$M:$M,'BSE - Other Index Options'!$C:$C,$A15,'BSE - Other Index Options'!$B:$B,D$4,'BSE - Other Index Options'!$I:$I,"Weekly*")+SUMIFS('BSE - Other Index Options'!$M:$M,'BSE - Other Index Options'!$C:$C,$A15,'BSE - Other Index Options'!$B:$B,D$4,'BSE - Other Index Options'!$I:$I,"MDAW*"))</f>
        <v/>
      </c>
      <c r="E15" s="26">
        <f>IF(SUMIFS('NSE - NIFTY Index Options'!$M:$M,'NSE - NIFTY Index Options'!$C:$C,$A15,'NSE - NIFTY Index Options'!$B:$B,E$4,'NSE - NIFTY Index Options'!$I:$I,"Weekly*")+SUMIFS('NSE - NIFTY Index Options'!$M:$M,'NSE - NIFTY Index Options'!$C:$C,$A15,'NSE - NIFTY Index Options'!$B:$B,E$4,'NSE - NIFTY Index Options'!$I:$I,"MDAW*")+SUMIFS('NSE - Other Index Options'!$M:$M,'NSE - Other Index Options'!$C:$C,$A15,'NSE - Other Index Options'!$B:$B,E$4,'NSE - Other Index Options'!$I:$I,"Weekly*")+SUMIFS('NSE - Other Index Options'!$M:$M,'NSE - Other Index Options'!$C:$C,$A15,'NSE - Other Index Options'!$B:$B,E$4,'NSE - Other Index Options'!$I:$I,"MDAW*")+SUMIFS('BSE - SENSEX Index Options'!$M:$M,'BSE - SENSEX Index Options'!$C:$C,$A15,'BSE - SENSEX Index Options'!$B:$B,E$4,'BSE - SENSEX Index Options'!$I:$I,"Weekly*")+SUMIFS('BSE - SENSEX Index Options'!$M:$M,'BSE - SENSEX Index Options'!$C:$C,$A15,'BSE - SENSEX Index Options'!$B:$B,E$4,'BSE - SENSEX Index Options'!$I:$I,"MDAW*")+SUMIFS('BSE - Other Index Options'!$M:$M,'BSE - Other Index Options'!$C:$C,$A15,'BSE - Other Index Options'!$B:$B,E$4,'BSE - Other Index Options'!$I:$I,"Weekly*")+SUMIFS('BSE - Other Index Options'!$M:$M,'BSE - Other Index Options'!$C:$C,$A15,'BSE - Other Index Options'!$B:$B,E$4,'BSE - Other Index Options'!$I:$I,"MDAW*")=0,"",SUMIFS('NSE - NIFTY Index Options'!$M:$M,'NSE - NIFTY Index Options'!$C:$C,$A15,'NSE - NIFTY Index Options'!$B:$B,E$4,'NSE - NIFTY Index Options'!$I:$I,"Weekly*")+SUMIFS('NSE - NIFTY Index Options'!$M:$M,'NSE - NIFTY Index Options'!$C:$C,$A15,'NSE - NIFTY Index Options'!$B:$B,E$4,'NSE - NIFTY Index Options'!$I:$I,"MDAW*")+SUMIFS('NSE - Other Index Options'!$M:$M,'NSE - Other Index Options'!$C:$C,$A15,'NSE - Other Index Options'!$B:$B,E$4,'NSE - Other Index Options'!$I:$I,"Weekly*")+SUMIFS('NSE - Other Index Options'!$M:$M,'NSE - Other Index Options'!$C:$C,$A15,'NSE - Other Index Options'!$B:$B,E$4,'NSE - Other Index Options'!$I:$I,"MDAW*")+SUMIFS('BSE - SENSEX Index Options'!$M:$M,'BSE - SENSEX Index Options'!$C:$C,$A15,'BSE - SENSEX Index Options'!$B:$B,E$4,'BSE - SENSEX Index Options'!$I:$I,"Weekly*")+SUMIFS('BSE - SENSEX Index Options'!$M:$M,'BSE - SENSEX Index Options'!$C:$C,$A15,'BSE - SENSEX Index Options'!$B:$B,E$4,'BSE - SENSEX Index Options'!$I:$I,"MDAW*")+SUMIFS('BSE - Other Index Options'!$M:$M,'BSE - Other Index Options'!$C:$C,$A15,'BSE - Other Index Options'!$B:$B,E$4,'BSE - Other Index Options'!$I:$I,"Weekly*")+SUMIFS('BSE - Other Index Options'!$M:$M,'BSE - Other Index Options'!$C:$C,$A15,'BSE - Other Index Options'!$B:$B,E$4,'BSE - Other Index Options'!$I:$I,"MDAW*"))</f>
        <v/>
      </c>
      <c r="F15" s="26">
        <f>IF(SUMIFS('NSE - NIFTY Index Options'!$M:$M,'NSE - NIFTY Index Options'!$C:$C,$A15,'NSE - NIFTY Index Options'!$B:$B,F$4,'NSE - NIFTY Index Options'!$I:$I,"Weekly*")+SUMIFS('NSE - NIFTY Index Options'!$M:$M,'NSE - NIFTY Index Options'!$C:$C,$A15,'NSE - NIFTY Index Options'!$B:$B,F$4,'NSE - NIFTY Index Options'!$I:$I,"MDAW*")+SUMIFS('NSE - Other Index Options'!$M:$M,'NSE - Other Index Options'!$C:$C,$A15,'NSE - Other Index Options'!$B:$B,F$4,'NSE - Other Index Options'!$I:$I,"Weekly*")+SUMIFS('NSE - Other Index Options'!$M:$M,'NSE - Other Index Options'!$C:$C,$A15,'NSE - Other Index Options'!$B:$B,F$4,'NSE - Other Index Options'!$I:$I,"MDAW*")+SUMIFS('BSE - SENSEX Index Options'!$M:$M,'BSE - SENSEX Index Options'!$C:$C,$A15,'BSE - SENSEX Index Options'!$B:$B,F$4,'BSE - SENSEX Index Options'!$I:$I,"Weekly*")+SUMIFS('BSE - SENSEX Index Options'!$M:$M,'BSE - SENSEX Index Options'!$C:$C,$A15,'BSE - SENSEX Index Options'!$B:$B,F$4,'BSE - SENSEX Index Options'!$I:$I,"MDAW*")+SUMIFS('BSE - Other Index Options'!$M:$M,'BSE - Other Index Options'!$C:$C,$A15,'BSE - Other Index Options'!$B:$B,F$4,'BSE - Other Index Options'!$I:$I,"Weekly*")+SUMIFS('BSE - Other Index Options'!$M:$M,'BSE - Other Index Options'!$C:$C,$A15,'BSE - Other Index Options'!$B:$B,F$4,'BSE - Other Index Options'!$I:$I,"MDAW*")=0,"",SUMIFS('NSE - NIFTY Index Options'!$M:$M,'NSE - NIFTY Index Options'!$C:$C,$A15,'NSE - NIFTY Index Options'!$B:$B,F$4,'NSE - NIFTY Index Options'!$I:$I,"Weekly*")+SUMIFS('NSE - NIFTY Index Options'!$M:$M,'NSE - NIFTY Index Options'!$C:$C,$A15,'NSE - NIFTY Index Options'!$B:$B,F$4,'NSE - NIFTY Index Options'!$I:$I,"MDAW*")+SUMIFS('NSE - Other Index Options'!$M:$M,'NSE - Other Index Options'!$C:$C,$A15,'NSE - Other Index Options'!$B:$B,F$4,'NSE - Other Index Options'!$I:$I,"Weekly*")+SUMIFS('NSE - Other Index Options'!$M:$M,'NSE - Other Index Options'!$C:$C,$A15,'NSE - Other Index Options'!$B:$B,F$4,'NSE - Other Index Options'!$I:$I,"MDAW*")+SUMIFS('BSE - SENSEX Index Options'!$M:$M,'BSE - SENSEX Index Options'!$C:$C,$A15,'BSE - SENSEX Index Options'!$B:$B,F$4,'BSE - SENSEX Index Options'!$I:$I,"Weekly*")+SUMIFS('BSE - SENSEX Index Options'!$M:$M,'BSE - SENSEX Index Options'!$C:$C,$A15,'BSE - SENSEX Index Options'!$B:$B,F$4,'BSE - SENSEX Index Options'!$I:$I,"MDAW*")+SUMIFS('BSE - Other Index Options'!$M:$M,'BSE - Other Index Options'!$C:$C,$A15,'BSE - Other Index Options'!$B:$B,F$4,'BSE - Other Index Options'!$I:$I,"Weekly*")+SUMIFS('BSE - Other Index Options'!$M:$M,'BSE - Other Index Options'!$C:$C,$A15,'BSE - Other Index Options'!$B:$B,F$4,'BSE - Other Index Options'!$I:$I,"MDAW*"))</f>
        <v/>
      </c>
      <c r="G15" s="26">
        <f>IF(SUMIFS('NSE - NIFTY Index Options'!$M:$M,'NSE - NIFTY Index Options'!$C:$C,$A15,'NSE - NIFTY Index Options'!$B:$B,G$4,'NSE - NIFTY Index Options'!$I:$I,"Weekly*")+SUMIFS('NSE - NIFTY Index Options'!$M:$M,'NSE - NIFTY Index Options'!$C:$C,$A15,'NSE - NIFTY Index Options'!$B:$B,G$4,'NSE - NIFTY Index Options'!$I:$I,"MDAW*")+SUMIFS('NSE - Other Index Options'!$M:$M,'NSE - Other Index Options'!$C:$C,$A15,'NSE - Other Index Options'!$B:$B,G$4,'NSE - Other Index Options'!$I:$I,"Weekly*")+SUMIFS('NSE - Other Index Options'!$M:$M,'NSE - Other Index Options'!$C:$C,$A15,'NSE - Other Index Options'!$B:$B,G$4,'NSE - Other Index Options'!$I:$I,"MDAW*")+SUMIFS('BSE - SENSEX Index Options'!$M:$M,'BSE - SENSEX Index Options'!$C:$C,$A15,'BSE - SENSEX Index Options'!$B:$B,G$4,'BSE - SENSEX Index Options'!$I:$I,"Weekly*")+SUMIFS('BSE - SENSEX Index Options'!$M:$M,'BSE - SENSEX Index Options'!$C:$C,$A15,'BSE - SENSEX Index Options'!$B:$B,G$4,'BSE - SENSEX Index Options'!$I:$I,"MDAW*")+SUMIFS('BSE - Other Index Options'!$M:$M,'BSE - Other Index Options'!$C:$C,$A15,'BSE - Other Index Options'!$B:$B,G$4,'BSE - Other Index Options'!$I:$I,"Weekly*")+SUMIFS('BSE - Other Index Options'!$M:$M,'BSE - Other Index Options'!$C:$C,$A15,'BSE - Other Index Options'!$B:$B,G$4,'BSE - Other Index Options'!$I:$I,"MDAW*")=0,"",SUMIFS('NSE - NIFTY Index Options'!$M:$M,'NSE - NIFTY Index Options'!$C:$C,$A15,'NSE - NIFTY Index Options'!$B:$B,G$4,'NSE - NIFTY Index Options'!$I:$I,"Weekly*")+SUMIFS('NSE - NIFTY Index Options'!$M:$M,'NSE - NIFTY Index Options'!$C:$C,$A15,'NSE - NIFTY Index Options'!$B:$B,G$4,'NSE - NIFTY Index Options'!$I:$I,"MDAW*")+SUMIFS('NSE - Other Index Options'!$M:$M,'NSE - Other Index Options'!$C:$C,$A15,'NSE - Other Index Options'!$B:$B,G$4,'NSE - Other Index Options'!$I:$I,"Weekly*")+SUMIFS('NSE - Other Index Options'!$M:$M,'NSE - Other Index Options'!$C:$C,$A15,'NSE - Other Index Options'!$B:$B,G$4,'NSE - Other Index Options'!$I:$I,"MDAW*")+SUMIFS('BSE - SENSEX Index Options'!$M:$M,'BSE - SENSEX Index Options'!$C:$C,$A15,'BSE - SENSEX Index Options'!$B:$B,G$4,'BSE - SENSEX Index Options'!$I:$I,"Weekly*")+SUMIFS('BSE - SENSEX Index Options'!$M:$M,'BSE - SENSEX Index Options'!$C:$C,$A15,'BSE - SENSEX Index Options'!$B:$B,G$4,'BSE - SENSEX Index Options'!$I:$I,"MDAW*")+SUMIFS('BSE - Other Index Options'!$M:$M,'BSE - Other Index Options'!$C:$C,$A15,'BSE - Other Index Options'!$B:$B,G$4,'BSE - Other Index Options'!$I:$I,"Weekly*")+SUMIFS('BSE - Other Index Options'!$M:$M,'BSE - Other Index Options'!$C:$C,$A15,'BSE - Other Index Options'!$B:$B,G$4,'BSE - Other Index Options'!$I:$I,"MDAW*"))</f>
        <v/>
      </c>
      <c r="H15" s="26">
        <f>IF(SUM(B15:G15)=0,"",SUM(B15:G15))</f>
        <v/>
      </c>
    </row>
    <row r="16">
      <c r="A16" t="inlineStr">
        <is>
          <t>Week2-Nov-2025</t>
        </is>
      </c>
      <c r="B16" s="26">
        <f>IF(SUMIFS('NSE - NIFTY Index Options'!$M:$M,'NSE - NIFTY Index Options'!$C:$C,$A16,'NSE - NIFTY Index Options'!$B:$B,B$4,'NSE - NIFTY Index Options'!$I:$I,"Weekly*")+SUMIFS('NSE - NIFTY Index Options'!$M:$M,'NSE - NIFTY Index Options'!$C:$C,$A16,'NSE - NIFTY Index Options'!$B:$B,B$4,'NSE - NIFTY Index Options'!$I:$I,"MDAW*")+SUMIFS('NSE - Other Index Options'!$M:$M,'NSE - Other Index Options'!$C:$C,$A16,'NSE - Other Index Options'!$B:$B,B$4,'NSE - Other Index Options'!$I:$I,"Weekly*")+SUMIFS('NSE - Other Index Options'!$M:$M,'NSE - Other Index Options'!$C:$C,$A16,'NSE - Other Index Options'!$B:$B,B$4,'NSE - Other Index Options'!$I:$I,"MDAW*")+SUMIFS('BSE - SENSEX Index Options'!$M:$M,'BSE - SENSEX Index Options'!$C:$C,$A16,'BSE - SENSEX Index Options'!$B:$B,B$4,'BSE - SENSEX Index Options'!$I:$I,"Weekly*")+SUMIFS('BSE - SENSEX Index Options'!$M:$M,'BSE - SENSEX Index Options'!$C:$C,$A16,'BSE - SENSEX Index Options'!$B:$B,B$4,'BSE - SENSEX Index Options'!$I:$I,"MDAW*")+SUMIFS('BSE - Other Index Options'!$M:$M,'BSE - Other Index Options'!$C:$C,$A16,'BSE - Other Index Options'!$B:$B,B$4,'BSE - Other Index Options'!$I:$I,"Weekly*")+SUMIFS('BSE - Other Index Options'!$M:$M,'BSE - Other Index Options'!$C:$C,$A16,'BSE - Other Index Options'!$B:$B,B$4,'BSE - Other Index Options'!$I:$I,"MDAW*")=0,"",SUMIFS('NSE - NIFTY Index Options'!$M:$M,'NSE - NIFTY Index Options'!$C:$C,$A16,'NSE - NIFTY Index Options'!$B:$B,B$4,'NSE - NIFTY Index Options'!$I:$I,"Weekly*")+SUMIFS('NSE - NIFTY Index Options'!$M:$M,'NSE - NIFTY Index Options'!$C:$C,$A16,'NSE - NIFTY Index Options'!$B:$B,B$4,'NSE - NIFTY Index Options'!$I:$I,"MDAW*")+SUMIFS('NSE - Other Index Options'!$M:$M,'NSE - Other Index Options'!$C:$C,$A16,'NSE - Other Index Options'!$B:$B,B$4,'NSE - Other Index Options'!$I:$I,"Weekly*")+SUMIFS('NSE - Other Index Options'!$M:$M,'NSE - Other Index Options'!$C:$C,$A16,'NSE - Other Index Options'!$B:$B,B$4,'NSE - Other Index Options'!$I:$I,"MDAW*")+SUMIFS('BSE - SENSEX Index Options'!$M:$M,'BSE - SENSEX Index Options'!$C:$C,$A16,'BSE - SENSEX Index Options'!$B:$B,B$4,'BSE - SENSEX Index Options'!$I:$I,"Weekly*")+SUMIFS('BSE - SENSEX Index Options'!$M:$M,'BSE - SENSEX Index Options'!$C:$C,$A16,'BSE - SENSEX Index Options'!$B:$B,B$4,'BSE - SENSEX Index Options'!$I:$I,"MDAW*")+SUMIFS('BSE - Other Index Options'!$M:$M,'BSE - Other Index Options'!$C:$C,$A16,'BSE - Other Index Options'!$B:$B,B$4,'BSE - Other Index Options'!$I:$I,"Weekly*")+SUMIFS('BSE - Other Index Options'!$M:$M,'BSE - Other Index Options'!$C:$C,$A16,'BSE - Other Index Options'!$B:$B,B$4,'BSE - Other Index Options'!$I:$I,"MDAW*"))</f>
        <v/>
      </c>
      <c r="C16" s="26">
        <f>IF(SUMIFS('NSE - NIFTY Index Options'!$M:$M,'NSE - NIFTY Index Options'!$C:$C,$A16,'NSE - NIFTY Index Options'!$B:$B,C$4,'NSE - NIFTY Index Options'!$I:$I,"Weekly*")+SUMIFS('NSE - NIFTY Index Options'!$M:$M,'NSE - NIFTY Index Options'!$C:$C,$A16,'NSE - NIFTY Index Options'!$B:$B,C$4,'NSE - NIFTY Index Options'!$I:$I,"MDAW*")+SUMIFS('NSE - Other Index Options'!$M:$M,'NSE - Other Index Options'!$C:$C,$A16,'NSE - Other Index Options'!$B:$B,C$4,'NSE - Other Index Options'!$I:$I,"Weekly*")+SUMIFS('NSE - Other Index Options'!$M:$M,'NSE - Other Index Options'!$C:$C,$A16,'NSE - Other Index Options'!$B:$B,C$4,'NSE - Other Index Options'!$I:$I,"MDAW*")+SUMIFS('BSE - SENSEX Index Options'!$M:$M,'BSE - SENSEX Index Options'!$C:$C,$A16,'BSE - SENSEX Index Options'!$B:$B,C$4,'BSE - SENSEX Index Options'!$I:$I,"Weekly*")+SUMIFS('BSE - SENSEX Index Options'!$M:$M,'BSE - SENSEX Index Options'!$C:$C,$A16,'BSE - SENSEX Index Options'!$B:$B,C$4,'BSE - SENSEX Index Options'!$I:$I,"MDAW*")+SUMIFS('BSE - Other Index Options'!$M:$M,'BSE - Other Index Options'!$C:$C,$A16,'BSE - Other Index Options'!$B:$B,C$4,'BSE - Other Index Options'!$I:$I,"Weekly*")+SUMIFS('BSE - Other Index Options'!$M:$M,'BSE - Other Index Options'!$C:$C,$A16,'BSE - Other Index Options'!$B:$B,C$4,'BSE - Other Index Options'!$I:$I,"MDAW*")=0,"",SUMIFS('NSE - NIFTY Index Options'!$M:$M,'NSE - NIFTY Index Options'!$C:$C,$A16,'NSE - NIFTY Index Options'!$B:$B,C$4,'NSE - NIFTY Index Options'!$I:$I,"Weekly*")+SUMIFS('NSE - NIFTY Index Options'!$M:$M,'NSE - NIFTY Index Options'!$C:$C,$A16,'NSE - NIFTY Index Options'!$B:$B,C$4,'NSE - NIFTY Index Options'!$I:$I,"MDAW*")+SUMIFS('NSE - Other Index Options'!$M:$M,'NSE - Other Index Options'!$C:$C,$A16,'NSE - Other Index Options'!$B:$B,C$4,'NSE - Other Index Options'!$I:$I,"Weekly*")+SUMIFS('NSE - Other Index Options'!$M:$M,'NSE - Other Index Options'!$C:$C,$A16,'NSE - Other Index Options'!$B:$B,C$4,'NSE - Other Index Options'!$I:$I,"MDAW*")+SUMIFS('BSE - SENSEX Index Options'!$M:$M,'BSE - SENSEX Index Options'!$C:$C,$A16,'BSE - SENSEX Index Options'!$B:$B,C$4,'BSE - SENSEX Index Options'!$I:$I,"Weekly*")+SUMIFS('BSE - SENSEX Index Options'!$M:$M,'BSE - SENSEX Index Options'!$C:$C,$A16,'BSE - SENSEX Index Options'!$B:$B,C$4,'BSE - SENSEX Index Options'!$I:$I,"MDAW*")+SUMIFS('BSE - Other Index Options'!$M:$M,'BSE - Other Index Options'!$C:$C,$A16,'BSE - Other Index Options'!$B:$B,C$4,'BSE - Other Index Options'!$I:$I,"Weekly*")+SUMIFS('BSE - Other Index Options'!$M:$M,'BSE - Other Index Options'!$C:$C,$A16,'BSE - Other Index Options'!$B:$B,C$4,'BSE - Other Index Options'!$I:$I,"MDAW*"))</f>
        <v/>
      </c>
      <c r="D16" s="26">
        <f>IF(SUMIFS('NSE - NIFTY Index Options'!$M:$M,'NSE - NIFTY Index Options'!$C:$C,$A16,'NSE - NIFTY Index Options'!$B:$B,D$4,'NSE - NIFTY Index Options'!$I:$I,"Weekly*")+SUMIFS('NSE - NIFTY Index Options'!$M:$M,'NSE - NIFTY Index Options'!$C:$C,$A16,'NSE - NIFTY Index Options'!$B:$B,D$4,'NSE - NIFTY Index Options'!$I:$I,"MDAW*")+SUMIFS('NSE - Other Index Options'!$M:$M,'NSE - Other Index Options'!$C:$C,$A16,'NSE - Other Index Options'!$B:$B,D$4,'NSE - Other Index Options'!$I:$I,"Weekly*")+SUMIFS('NSE - Other Index Options'!$M:$M,'NSE - Other Index Options'!$C:$C,$A16,'NSE - Other Index Options'!$B:$B,D$4,'NSE - Other Index Options'!$I:$I,"MDAW*")+SUMIFS('BSE - SENSEX Index Options'!$M:$M,'BSE - SENSEX Index Options'!$C:$C,$A16,'BSE - SENSEX Index Options'!$B:$B,D$4,'BSE - SENSEX Index Options'!$I:$I,"Weekly*")+SUMIFS('BSE - SENSEX Index Options'!$M:$M,'BSE - SENSEX Index Options'!$C:$C,$A16,'BSE - SENSEX Index Options'!$B:$B,D$4,'BSE - SENSEX Index Options'!$I:$I,"MDAW*")+SUMIFS('BSE - Other Index Options'!$M:$M,'BSE - Other Index Options'!$C:$C,$A16,'BSE - Other Index Options'!$B:$B,D$4,'BSE - Other Index Options'!$I:$I,"Weekly*")+SUMIFS('BSE - Other Index Options'!$M:$M,'BSE - Other Index Options'!$C:$C,$A16,'BSE - Other Index Options'!$B:$B,D$4,'BSE - Other Index Options'!$I:$I,"MDAW*")=0,"",SUMIFS('NSE - NIFTY Index Options'!$M:$M,'NSE - NIFTY Index Options'!$C:$C,$A16,'NSE - NIFTY Index Options'!$B:$B,D$4,'NSE - NIFTY Index Options'!$I:$I,"Weekly*")+SUMIFS('NSE - NIFTY Index Options'!$M:$M,'NSE - NIFTY Index Options'!$C:$C,$A16,'NSE - NIFTY Index Options'!$B:$B,D$4,'NSE - NIFTY Index Options'!$I:$I,"MDAW*")+SUMIFS('NSE - Other Index Options'!$M:$M,'NSE - Other Index Options'!$C:$C,$A16,'NSE - Other Index Options'!$B:$B,D$4,'NSE - Other Index Options'!$I:$I,"Weekly*")+SUMIFS('NSE - Other Index Options'!$M:$M,'NSE - Other Index Options'!$C:$C,$A16,'NSE - Other Index Options'!$B:$B,D$4,'NSE - Other Index Options'!$I:$I,"MDAW*")+SUMIFS('BSE - SENSEX Index Options'!$M:$M,'BSE - SENSEX Index Options'!$C:$C,$A16,'BSE - SENSEX Index Options'!$B:$B,D$4,'BSE - SENSEX Index Options'!$I:$I,"Weekly*")+SUMIFS('BSE - SENSEX Index Options'!$M:$M,'BSE - SENSEX Index Options'!$C:$C,$A16,'BSE - SENSEX Index Options'!$B:$B,D$4,'BSE - SENSEX Index Options'!$I:$I,"MDAW*")+SUMIFS('BSE - Other Index Options'!$M:$M,'BSE - Other Index Options'!$C:$C,$A16,'BSE - Other Index Options'!$B:$B,D$4,'BSE - Other Index Options'!$I:$I,"Weekly*")+SUMIFS('BSE - Other Index Options'!$M:$M,'BSE - Other Index Options'!$C:$C,$A16,'BSE - Other Index Options'!$B:$B,D$4,'BSE - Other Index Options'!$I:$I,"MDAW*"))</f>
        <v/>
      </c>
      <c r="E16" s="26">
        <f>IF(SUMIFS('NSE - NIFTY Index Options'!$M:$M,'NSE - NIFTY Index Options'!$C:$C,$A16,'NSE - NIFTY Index Options'!$B:$B,E$4,'NSE - NIFTY Index Options'!$I:$I,"Weekly*")+SUMIFS('NSE - NIFTY Index Options'!$M:$M,'NSE - NIFTY Index Options'!$C:$C,$A16,'NSE - NIFTY Index Options'!$B:$B,E$4,'NSE - NIFTY Index Options'!$I:$I,"MDAW*")+SUMIFS('NSE - Other Index Options'!$M:$M,'NSE - Other Index Options'!$C:$C,$A16,'NSE - Other Index Options'!$B:$B,E$4,'NSE - Other Index Options'!$I:$I,"Weekly*")+SUMIFS('NSE - Other Index Options'!$M:$M,'NSE - Other Index Options'!$C:$C,$A16,'NSE - Other Index Options'!$B:$B,E$4,'NSE - Other Index Options'!$I:$I,"MDAW*")+SUMIFS('BSE - SENSEX Index Options'!$M:$M,'BSE - SENSEX Index Options'!$C:$C,$A16,'BSE - SENSEX Index Options'!$B:$B,E$4,'BSE - SENSEX Index Options'!$I:$I,"Weekly*")+SUMIFS('BSE - SENSEX Index Options'!$M:$M,'BSE - SENSEX Index Options'!$C:$C,$A16,'BSE - SENSEX Index Options'!$B:$B,E$4,'BSE - SENSEX Index Options'!$I:$I,"MDAW*")+SUMIFS('BSE - Other Index Options'!$M:$M,'BSE - Other Index Options'!$C:$C,$A16,'BSE - Other Index Options'!$B:$B,E$4,'BSE - Other Index Options'!$I:$I,"Weekly*")+SUMIFS('BSE - Other Index Options'!$M:$M,'BSE - Other Index Options'!$C:$C,$A16,'BSE - Other Index Options'!$B:$B,E$4,'BSE - Other Index Options'!$I:$I,"MDAW*")=0,"",SUMIFS('NSE - NIFTY Index Options'!$M:$M,'NSE - NIFTY Index Options'!$C:$C,$A16,'NSE - NIFTY Index Options'!$B:$B,E$4,'NSE - NIFTY Index Options'!$I:$I,"Weekly*")+SUMIFS('NSE - NIFTY Index Options'!$M:$M,'NSE - NIFTY Index Options'!$C:$C,$A16,'NSE - NIFTY Index Options'!$B:$B,E$4,'NSE - NIFTY Index Options'!$I:$I,"MDAW*")+SUMIFS('NSE - Other Index Options'!$M:$M,'NSE - Other Index Options'!$C:$C,$A16,'NSE - Other Index Options'!$B:$B,E$4,'NSE - Other Index Options'!$I:$I,"Weekly*")+SUMIFS('NSE - Other Index Options'!$M:$M,'NSE - Other Index Options'!$C:$C,$A16,'NSE - Other Index Options'!$B:$B,E$4,'NSE - Other Index Options'!$I:$I,"MDAW*")+SUMIFS('BSE - SENSEX Index Options'!$M:$M,'BSE - SENSEX Index Options'!$C:$C,$A16,'BSE - SENSEX Index Options'!$B:$B,E$4,'BSE - SENSEX Index Options'!$I:$I,"Weekly*")+SUMIFS('BSE - SENSEX Index Options'!$M:$M,'BSE - SENSEX Index Options'!$C:$C,$A16,'BSE - SENSEX Index Options'!$B:$B,E$4,'BSE - SENSEX Index Options'!$I:$I,"MDAW*")+SUMIFS('BSE - Other Index Options'!$M:$M,'BSE - Other Index Options'!$C:$C,$A16,'BSE - Other Index Options'!$B:$B,E$4,'BSE - Other Index Options'!$I:$I,"Weekly*")+SUMIFS('BSE - Other Index Options'!$M:$M,'BSE - Other Index Options'!$C:$C,$A16,'BSE - Other Index Options'!$B:$B,E$4,'BSE - Other Index Options'!$I:$I,"MDAW*"))</f>
        <v/>
      </c>
      <c r="F16" s="26">
        <f>IF(SUMIFS('NSE - NIFTY Index Options'!$M:$M,'NSE - NIFTY Index Options'!$C:$C,$A16,'NSE - NIFTY Index Options'!$B:$B,F$4,'NSE - NIFTY Index Options'!$I:$I,"Weekly*")+SUMIFS('NSE - NIFTY Index Options'!$M:$M,'NSE - NIFTY Index Options'!$C:$C,$A16,'NSE - NIFTY Index Options'!$B:$B,F$4,'NSE - NIFTY Index Options'!$I:$I,"MDAW*")+SUMIFS('NSE - Other Index Options'!$M:$M,'NSE - Other Index Options'!$C:$C,$A16,'NSE - Other Index Options'!$B:$B,F$4,'NSE - Other Index Options'!$I:$I,"Weekly*")+SUMIFS('NSE - Other Index Options'!$M:$M,'NSE - Other Index Options'!$C:$C,$A16,'NSE - Other Index Options'!$B:$B,F$4,'NSE - Other Index Options'!$I:$I,"MDAW*")+SUMIFS('BSE - SENSEX Index Options'!$M:$M,'BSE - SENSEX Index Options'!$C:$C,$A16,'BSE - SENSEX Index Options'!$B:$B,F$4,'BSE - SENSEX Index Options'!$I:$I,"Weekly*")+SUMIFS('BSE - SENSEX Index Options'!$M:$M,'BSE - SENSEX Index Options'!$C:$C,$A16,'BSE - SENSEX Index Options'!$B:$B,F$4,'BSE - SENSEX Index Options'!$I:$I,"MDAW*")+SUMIFS('BSE - Other Index Options'!$M:$M,'BSE - Other Index Options'!$C:$C,$A16,'BSE - Other Index Options'!$B:$B,F$4,'BSE - Other Index Options'!$I:$I,"Weekly*")+SUMIFS('BSE - Other Index Options'!$M:$M,'BSE - Other Index Options'!$C:$C,$A16,'BSE - Other Index Options'!$B:$B,F$4,'BSE - Other Index Options'!$I:$I,"MDAW*")=0,"",SUMIFS('NSE - NIFTY Index Options'!$M:$M,'NSE - NIFTY Index Options'!$C:$C,$A16,'NSE - NIFTY Index Options'!$B:$B,F$4,'NSE - NIFTY Index Options'!$I:$I,"Weekly*")+SUMIFS('NSE - NIFTY Index Options'!$M:$M,'NSE - NIFTY Index Options'!$C:$C,$A16,'NSE - NIFTY Index Options'!$B:$B,F$4,'NSE - NIFTY Index Options'!$I:$I,"MDAW*")+SUMIFS('NSE - Other Index Options'!$M:$M,'NSE - Other Index Options'!$C:$C,$A16,'NSE - Other Index Options'!$B:$B,F$4,'NSE - Other Index Options'!$I:$I,"Weekly*")+SUMIFS('NSE - Other Index Options'!$M:$M,'NSE - Other Index Options'!$C:$C,$A16,'NSE - Other Index Options'!$B:$B,F$4,'NSE - Other Index Options'!$I:$I,"MDAW*")+SUMIFS('BSE - SENSEX Index Options'!$M:$M,'BSE - SENSEX Index Options'!$C:$C,$A16,'BSE - SENSEX Index Options'!$B:$B,F$4,'BSE - SENSEX Index Options'!$I:$I,"Weekly*")+SUMIFS('BSE - SENSEX Index Options'!$M:$M,'BSE - SENSEX Index Options'!$C:$C,$A16,'BSE - SENSEX Index Options'!$B:$B,F$4,'BSE - SENSEX Index Options'!$I:$I,"MDAW*")+SUMIFS('BSE - Other Index Options'!$M:$M,'BSE - Other Index Options'!$C:$C,$A16,'BSE - Other Index Options'!$B:$B,F$4,'BSE - Other Index Options'!$I:$I,"Weekly*")+SUMIFS('BSE - Other Index Options'!$M:$M,'BSE - Other Index Options'!$C:$C,$A16,'BSE - Other Index Options'!$B:$B,F$4,'BSE - Other Index Options'!$I:$I,"MDAW*"))</f>
        <v/>
      </c>
      <c r="G16" s="26">
        <f>IF(SUMIFS('NSE - NIFTY Index Options'!$M:$M,'NSE - NIFTY Index Options'!$C:$C,$A16,'NSE - NIFTY Index Options'!$B:$B,G$4,'NSE - NIFTY Index Options'!$I:$I,"Weekly*")+SUMIFS('NSE - NIFTY Index Options'!$M:$M,'NSE - NIFTY Index Options'!$C:$C,$A16,'NSE - NIFTY Index Options'!$B:$B,G$4,'NSE - NIFTY Index Options'!$I:$I,"MDAW*")+SUMIFS('NSE - Other Index Options'!$M:$M,'NSE - Other Index Options'!$C:$C,$A16,'NSE - Other Index Options'!$B:$B,G$4,'NSE - Other Index Options'!$I:$I,"Weekly*")+SUMIFS('NSE - Other Index Options'!$M:$M,'NSE - Other Index Options'!$C:$C,$A16,'NSE - Other Index Options'!$B:$B,G$4,'NSE - Other Index Options'!$I:$I,"MDAW*")+SUMIFS('BSE - SENSEX Index Options'!$M:$M,'BSE - SENSEX Index Options'!$C:$C,$A16,'BSE - SENSEX Index Options'!$B:$B,G$4,'BSE - SENSEX Index Options'!$I:$I,"Weekly*")+SUMIFS('BSE - SENSEX Index Options'!$M:$M,'BSE - SENSEX Index Options'!$C:$C,$A16,'BSE - SENSEX Index Options'!$B:$B,G$4,'BSE - SENSEX Index Options'!$I:$I,"MDAW*")+SUMIFS('BSE - Other Index Options'!$M:$M,'BSE - Other Index Options'!$C:$C,$A16,'BSE - Other Index Options'!$B:$B,G$4,'BSE - Other Index Options'!$I:$I,"Weekly*")+SUMIFS('BSE - Other Index Options'!$M:$M,'BSE - Other Index Options'!$C:$C,$A16,'BSE - Other Index Options'!$B:$B,G$4,'BSE - Other Index Options'!$I:$I,"MDAW*")=0,"",SUMIFS('NSE - NIFTY Index Options'!$M:$M,'NSE - NIFTY Index Options'!$C:$C,$A16,'NSE - NIFTY Index Options'!$B:$B,G$4,'NSE - NIFTY Index Options'!$I:$I,"Weekly*")+SUMIFS('NSE - NIFTY Index Options'!$M:$M,'NSE - NIFTY Index Options'!$C:$C,$A16,'NSE - NIFTY Index Options'!$B:$B,G$4,'NSE - NIFTY Index Options'!$I:$I,"MDAW*")+SUMIFS('NSE - Other Index Options'!$M:$M,'NSE - Other Index Options'!$C:$C,$A16,'NSE - Other Index Options'!$B:$B,G$4,'NSE - Other Index Options'!$I:$I,"Weekly*")+SUMIFS('NSE - Other Index Options'!$M:$M,'NSE - Other Index Options'!$C:$C,$A16,'NSE - Other Index Options'!$B:$B,G$4,'NSE - Other Index Options'!$I:$I,"MDAW*")+SUMIFS('BSE - SENSEX Index Options'!$M:$M,'BSE - SENSEX Index Options'!$C:$C,$A16,'BSE - SENSEX Index Options'!$B:$B,G$4,'BSE - SENSEX Index Options'!$I:$I,"Weekly*")+SUMIFS('BSE - SENSEX Index Options'!$M:$M,'BSE - SENSEX Index Options'!$C:$C,$A16,'BSE - SENSEX Index Options'!$B:$B,G$4,'BSE - SENSEX Index Options'!$I:$I,"MDAW*")+SUMIFS('BSE - Other Index Options'!$M:$M,'BSE - Other Index Options'!$C:$C,$A16,'BSE - Other Index Options'!$B:$B,G$4,'BSE - Other Index Options'!$I:$I,"Weekly*")+SUMIFS('BSE - Other Index Options'!$M:$M,'BSE - Other Index Options'!$C:$C,$A16,'BSE - Other Index Options'!$B:$B,G$4,'BSE - Other Index Options'!$I:$I,"MDAW*"))</f>
        <v/>
      </c>
      <c r="H16" s="26">
        <f>IF(SUM(B16:G16)=0,"",SUM(B16:G16))</f>
        <v/>
      </c>
    </row>
    <row r="17">
      <c r="A17" t="inlineStr">
        <is>
          <t>Week3-Nov-2025</t>
        </is>
      </c>
      <c r="B17" s="26">
        <f>IF(SUMIFS('NSE - NIFTY Index Options'!$M:$M,'NSE - NIFTY Index Options'!$C:$C,$A17,'NSE - NIFTY Index Options'!$B:$B,B$4,'NSE - NIFTY Index Options'!$I:$I,"Weekly*")+SUMIFS('NSE - NIFTY Index Options'!$M:$M,'NSE - NIFTY Index Options'!$C:$C,$A17,'NSE - NIFTY Index Options'!$B:$B,B$4,'NSE - NIFTY Index Options'!$I:$I,"MDAW*")+SUMIFS('NSE - Other Index Options'!$M:$M,'NSE - Other Index Options'!$C:$C,$A17,'NSE - Other Index Options'!$B:$B,B$4,'NSE - Other Index Options'!$I:$I,"Weekly*")+SUMIFS('NSE - Other Index Options'!$M:$M,'NSE - Other Index Options'!$C:$C,$A17,'NSE - Other Index Options'!$B:$B,B$4,'NSE - Other Index Options'!$I:$I,"MDAW*")+SUMIFS('BSE - SENSEX Index Options'!$M:$M,'BSE - SENSEX Index Options'!$C:$C,$A17,'BSE - SENSEX Index Options'!$B:$B,B$4,'BSE - SENSEX Index Options'!$I:$I,"Weekly*")+SUMIFS('BSE - SENSEX Index Options'!$M:$M,'BSE - SENSEX Index Options'!$C:$C,$A17,'BSE - SENSEX Index Options'!$B:$B,B$4,'BSE - SENSEX Index Options'!$I:$I,"MDAW*")+SUMIFS('BSE - Other Index Options'!$M:$M,'BSE - Other Index Options'!$C:$C,$A17,'BSE - Other Index Options'!$B:$B,B$4,'BSE - Other Index Options'!$I:$I,"Weekly*")+SUMIFS('BSE - Other Index Options'!$M:$M,'BSE - Other Index Options'!$C:$C,$A17,'BSE - Other Index Options'!$B:$B,B$4,'BSE - Other Index Options'!$I:$I,"MDAW*")=0,"",SUMIFS('NSE - NIFTY Index Options'!$M:$M,'NSE - NIFTY Index Options'!$C:$C,$A17,'NSE - NIFTY Index Options'!$B:$B,B$4,'NSE - NIFTY Index Options'!$I:$I,"Weekly*")+SUMIFS('NSE - NIFTY Index Options'!$M:$M,'NSE - NIFTY Index Options'!$C:$C,$A17,'NSE - NIFTY Index Options'!$B:$B,B$4,'NSE - NIFTY Index Options'!$I:$I,"MDAW*")+SUMIFS('NSE - Other Index Options'!$M:$M,'NSE - Other Index Options'!$C:$C,$A17,'NSE - Other Index Options'!$B:$B,B$4,'NSE - Other Index Options'!$I:$I,"Weekly*")+SUMIFS('NSE - Other Index Options'!$M:$M,'NSE - Other Index Options'!$C:$C,$A17,'NSE - Other Index Options'!$B:$B,B$4,'NSE - Other Index Options'!$I:$I,"MDAW*")+SUMIFS('BSE - SENSEX Index Options'!$M:$M,'BSE - SENSEX Index Options'!$C:$C,$A17,'BSE - SENSEX Index Options'!$B:$B,B$4,'BSE - SENSEX Index Options'!$I:$I,"Weekly*")+SUMIFS('BSE - SENSEX Index Options'!$M:$M,'BSE - SENSEX Index Options'!$C:$C,$A17,'BSE - SENSEX Index Options'!$B:$B,B$4,'BSE - SENSEX Index Options'!$I:$I,"MDAW*")+SUMIFS('BSE - Other Index Options'!$M:$M,'BSE - Other Index Options'!$C:$C,$A17,'BSE - Other Index Options'!$B:$B,B$4,'BSE - Other Index Options'!$I:$I,"Weekly*")+SUMIFS('BSE - Other Index Options'!$M:$M,'BSE - Other Index Options'!$C:$C,$A17,'BSE - Other Index Options'!$B:$B,B$4,'BSE - Other Index Options'!$I:$I,"MDAW*"))</f>
        <v/>
      </c>
      <c r="C17" s="26">
        <f>IF(SUMIFS('NSE - NIFTY Index Options'!$M:$M,'NSE - NIFTY Index Options'!$C:$C,$A17,'NSE - NIFTY Index Options'!$B:$B,C$4,'NSE - NIFTY Index Options'!$I:$I,"Weekly*")+SUMIFS('NSE - NIFTY Index Options'!$M:$M,'NSE - NIFTY Index Options'!$C:$C,$A17,'NSE - NIFTY Index Options'!$B:$B,C$4,'NSE - NIFTY Index Options'!$I:$I,"MDAW*")+SUMIFS('NSE - Other Index Options'!$M:$M,'NSE - Other Index Options'!$C:$C,$A17,'NSE - Other Index Options'!$B:$B,C$4,'NSE - Other Index Options'!$I:$I,"Weekly*")+SUMIFS('NSE - Other Index Options'!$M:$M,'NSE - Other Index Options'!$C:$C,$A17,'NSE - Other Index Options'!$B:$B,C$4,'NSE - Other Index Options'!$I:$I,"MDAW*")+SUMIFS('BSE - SENSEX Index Options'!$M:$M,'BSE - SENSEX Index Options'!$C:$C,$A17,'BSE - SENSEX Index Options'!$B:$B,C$4,'BSE - SENSEX Index Options'!$I:$I,"Weekly*")+SUMIFS('BSE - SENSEX Index Options'!$M:$M,'BSE - SENSEX Index Options'!$C:$C,$A17,'BSE - SENSEX Index Options'!$B:$B,C$4,'BSE - SENSEX Index Options'!$I:$I,"MDAW*")+SUMIFS('BSE - Other Index Options'!$M:$M,'BSE - Other Index Options'!$C:$C,$A17,'BSE - Other Index Options'!$B:$B,C$4,'BSE - Other Index Options'!$I:$I,"Weekly*")+SUMIFS('BSE - Other Index Options'!$M:$M,'BSE - Other Index Options'!$C:$C,$A17,'BSE - Other Index Options'!$B:$B,C$4,'BSE - Other Index Options'!$I:$I,"MDAW*")=0,"",SUMIFS('NSE - NIFTY Index Options'!$M:$M,'NSE - NIFTY Index Options'!$C:$C,$A17,'NSE - NIFTY Index Options'!$B:$B,C$4,'NSE - NIFTY Index Options'!$I:$I,"Weekly*")+SUMIFS('NSE - NIFTY Index Options'!$M:$M,'NSE - NIFTY Index Options'!$C:$C,$A17,'NSE - NIFTY Index Options'!$B:$B,C$4,'NSE - NIFTY Index Options'!$I:$I,"MDAW*")+SUMIFS('NSE - Other Index Options'!$M:$M,'NSE - Other Index Options'!$C:$C,$A17,'NSE - Other Index Options'!$B:$B,C$4,'NSE - Other Index Options'!$I:$I,"Weekly*")+SUMIFS('NSE - Other Index Options'!$M:$M,'NSE - Other Index Options'!$C:$C,$A17,'NSE - Other Index Options'!$B:$B,C$4,'NSE - Other Index Options'!$I:$I,"MDAW*")+SUMIFS('BSE - SENSEX Index Options'!$M:$M,'BSE - SENSEX Index Options'!$C:$C,$A17,'BSE - SENSEX Index Options'!$B:$B,C$4,'BSE - SENSEX Index Options'!$I:$I,"Weekly*")+SUMIFS('BSE - SENSEX Index Options'!$M:$M,'BSE - SENSEX Index Options'!$C:$C,$A17,'BSE - SENSEX Index Options'!$B:$B,C$4,'BSE - SENSEX Index Options'!$I:$I,"MDAW*")+SUMIFS('BSE - Other Index Options'!$M:$M,'BSE - Other Index Options'!$C:$C,$A17,'BSE - Other Index Options'!$B:$B,C$4,'BSE - Other Index Options'!$I:$I,"Weekly*")+SUMIFS('BSE - Other Index Options'!$M:$M,'BSE - Other Index Options'!$C:$C,$A17,'BSE - Other Index Options'!$B:$B,C$4,'BSE - Other Index Options'!$I:$I,"MDAW*"))</f>
        <v/>
      </c>
      <c r="D17" s="26">
        <f>IF(SUMIFS('NSE - NIFTY Index Options'!$M:$M,'NSE - NIFTY Index Options'!$C:$C,$A17,'NSE - NIFTY Index Options'!$B:$B,D$4,'NSE - NIFTY Index Options'!$I:$I,"Weekly*")+SUMIFS('NSE - NIFTY Index Options'!$M:$M,'NSE - NIFTY Index Options'!$C:$C,$A17,'NSE - NIFTY Index Options'!$B:$B,D$4,'NSE - NIFTY Index Options'!$I:$I,"MDAW*")+SUMIFS('NSE - Other Index Options'!$M:$M,'NSE - Other Index Options'!$C:$C,$A17,'NSE - Other Index Options'!$B:$B,D$4,'NSE - Other Index Options'!$I:$I,"Weekly*")+SUMIFS('NSE - Other Index Options'!$M:$M,'NSE - Other Index Options'!$C:$C,$A17,'NSE - Other Index Options'!$B:$B,D$4,'NSE - Other Index Options'!$I:$I,"MDAW*")+SUMIFS('BSE - SENSEX Index Options'!$M:$M,'BSE - SENSEX Index Options'!$C:$C,$A17,'BSE - SENSEX Index Options'!$B:$B,D$4,'BSE - SENSEX Index Options'!$I:$I,"Weekly*")+SUMIFS('BSE - SENSEX Index Options'!$M:$M,'BSE - SENSEX Index Options'!$C:$C,$A17,'BSE - SENSEX Index Options'!$B:$B,D$4,'BSE - SENSEX Index Options'!$I:$I,"MDAW*")+SUMIFS('BSE - Other Index Options'!$M:$M,'BSE - Other Index Options'!$C:$C,$A17,'BSE - Other Index Options'!$B:$B,D$4,'BSE - Other Index Options'!$I:$I,"Weekly*")+SUMIFS('BSE - Other Index Options'!$M:$M,'BSE - Other Index Options'!$C:$C,$A17,'BSE - Other Index Options'!$B:$B,D$4,'BSE - Other Index Options'!$I:$I,"MDAW*")=0,"",SUMIFS('NSE - NIFTY Index Options'!$M:$M,'NSE - NIFTY Index Options'!$C:$C,$A17,'NSE - NIFTY Index Options'!$B:$B,D$4,'NSE - NIFTY Index Options'!$I:$I,"Weekly*")+SUMIFS('NSE - NIFTY Index Options'!$M:$M,'NSE - NIFTY Index Options'!$C:$C,$A17,'NSE - NIFTY Index Options'!$B:$B,D$4,'NSE - NIFTY Index Options'!$I:$I,"MDAW*")+SUMIFS('NSE - Other Index Options'!$M:$M,'NSE - Other Index Options'!$C:$C,$A17,'NSE - Other Index Options'!$B:$B,D$4,'NSE - Other Index Options'!$I:$I,"Weekly*")+SUMIFS('NSE - Other Index Options'!$M:$M,'NSE - Other Index Options'!$C:$C,$A17,'NSE - Other Index Options'!$B:$B,D$4,'NSE - Other Index Options'!$I:$I,"MDAW*")+SUMIFS('BSE - SENSEX Index Options'!$M:$M,'BSE - SENSEX Index Options'!$C:$C,$A17,'BSE - SENSEX Index Options'!$B:$B,D$4,'BSE - SENSEX Index Options'!$I:$I,"Weekly*")+SUMIFS('BSE - SENSEX Index Options'!$M:$M,'BSE - SENSEX Index Options'!$C:$C,$A17,'BSE - SENSEX Index Options'!$B:$B,D$4,'BSE - SENSEX Index Options'!$I:$I,"MDAW*")+SUMIFS('BSE - Other Index Options'!$M:$M,'BSE - Other Index Options'!$C:$C,$A17,'BSE - Other Index Options'!$B:$B,D$4,'BSE - Other Index Options'!$I:$I,"Weekly*")+SUMIFS('BSE - Other Index Options'!$M:$M,'BSE - Other Index Options'!$C:$C,$A17,'BSE - Other Index Options'!$B:$B,D$4,'BSE - Other Index Options'!$I:$I,"MDAW*"))</f>
        <v/>
      </c>
      <c r="E17" s="26">
        <f>IF(SUMIFS('NSE - NIFTY Index Options'!$M:$M,'NSE - NIFTY Index Options'!$C:$C,$A17,'NSE - NIFTY Index Options'!$B:$B,E$4,'NSE - NIFTY Index Options'!$I:$I,"Weekly*")+SUMIFS('NSE - NIFTY Index Options'!$M:$M,'NSE - NIFTY Index Options'!$C:$C,$A17,'NSE - NIFTY Index Options'!$B:$B,E$4,'NSE - NIFTY Index Options'!$I:$I,"MDAW*")+SUMIFS('NSE - Other Index Options'!$M:$M,'NSE - Other Index Options'!$C:$C,$A17,'NSE - Other Index Options'!$B:$B,E$4,'NSE - Other Index Options'!$I:$I,"Weekly*")+SUMIFS('NSE - Other Index Options'!$M:$M,'NSE - Other Index Options'!$C:$C,$A17,'NSE - Other Index Options'!$B:$B,E$4,'NSE - Other Index Options'!$I:$I,"MDAW*")+SUMIFS('BSE - SENSEX Index Options'!$M:$M,'BSE - SENSEX Index Options'!$C:$C,$A17,'BSE - SENSEX Index Options'!$B:$B,E$4,'BSE - SENSEX Index Options'!$I:$I,"Weekly*")+SUMIFS('BSE - SENSEX Index Options'!$M:$M,'BSE - SENSEX Index Options'!$C:$C,$A17,'BSE - SENSEX Index Options'!$B:$B,E$4,'BSE - SENSEX Index Options'!$I:$I,"MDAW*")+SUMIFS('BSE - Other Index Options'!$M:$M,'BSE - Other Index Options'!$C:$C,$A17,'BSE - Other Index Options'!$B:$B,E$4,'BSE - Other Index Options'!$I:$I,"Weekly*")+SUMIFS('BSE - Other Index Options'!$M:$M,'BSE - Other Index Options'!$C:$C,$A17,'BSE - Other Index Options'!$B:$B,E$4,'BSE - Other Index Options'!$I:$I,"MDAW*")=0,"",SUMIFS('NSE - NIFTY Index Options'!$M:$M,'NSE - NIFTY Index Options'!$C:$C,$A17,'NSE - NIFTY Index Options'!$B:$B,E$4,'NSE - NIFTY Index Options'!$I:$I,"Weekly*")+SUMIFS('NSE - NIFTY Index Options'!$M:$M,'NSE - NIFTY Index Options'!$C:$C,$A17,'NSE - NIFTY Index Options'!$B:$B,E$4,'NSE - NIFTY Index Options'!$I:$I,"MDAW*")+SUMIFS('NSE - Other Index Options'!$M:$M,'NSE - Other Index Options'!$C:$C,$A17,'NSE - Other Index Options'!$B:$B,E$4,'NSE - Other Index Options'!$I:$I,"Weekly*")+SUMIFS('NSE - Other Index Options'!$M:$M,'NSE - Other Index Options'!$C:$C,$A17,'NSE - Other Index Options'!$B:$B,E$4,'NSE - Other Index Options'!$I:$I,"MDAW*")+SUMIFS('BSE - SENSEX Index Options'!$M:$M,'BSE - SENSEX Index Options'!$C:$C,$A17,'BSE - SENSEX Index Options'!$B:$B,E$4,'BSE - SENSEX Index Options'!$I:$I,"Weekly*")+SUMIFS('BSE - SENSEX Index Options'!$M:$M,'BSE - SENSEX Index Options'!$C:$C,$A17,'BSE - SENSEX Index Options'!$B:$B,E$4,'BSE - SENSEX Index Options'!$I:$I,"MDAW*")+SUMIFS('BSE - Other Index Options'!$M:$M,'BSE - Other Index Options'!$C:$C,$A17,'BSE - Other Index Options'!$B:$B,E$4,'BSE - Other Index Options'!$I:$I,"Weekly*")+SUMIFS('BSE - Other Index Options'!$M:$M,'BSE - Other Index Options'!$C:$C,$A17,'BSE - Other Index Options'!$B:$B,E$4,'BSE - Other Index Options'!$I:$I,"MDAW*"))</f>
        <v/>
      </c>
      <c r="F17" s="26">
        <f>IF(SUMIFS('NSE - NIFTY Index Options'!$M:$M,'NSE - NIFTY Index Options'!$C:$C,$A17,'NSE - NIFTY Index Options'!$B:$B,F$4,'NSE - NIFTY Index Options'!$I:$I,"Weekly*")+SUMIFS('NSE - NIFTY Index Options'!$M:$M,'NSE - NIFTY Index Options'!$C:$C,$A17,'NSE - NIFTY Index Options'!$B:$B,F$4,'NSE - NIFTY Index Options'!$I:$I,"MDAW*")+SUMIFS('NSE - Other Index Options'!$M:$M,'NSE - Other Index Options'!$C:$C,$A17,'NSE - Other Index Options'!$B:$B,F$4,'NSE - Other Index Options'!$I:$I,"Weekly*")+SUMIFS('NSE - Other Index Options'!$M:$M,'NSE - Other Index Options'!$C:$C,$A17,'NSE - Other Index Options'!$B:$B,F$4,'NSE - Other Index Options'!$I:$I,"MDAW*")+SUMIFS('BSE - SENSEX Index Options'!$M:$M,'BSE - SENSEX Index Options'!$C:$C,$A17,'BSE - SENSEX Index Options'!$B:$B,F$4,'BSE - SENSEX Index Options'!$I:$I,"Weekly*")+SUMIFS('BSE - SENSEX Index Options'!$M:$M,'BSE - SENSEX Index Options'!$C:$C,$A17,'BSE - SENSEX Index Options'!$B:$B,F$4,'BSE - SENSEX Index Options'!$I:$I,"MDAW*")+SUMIFS('BSE - Other Index Options'!$M:$M,'BSE - Other Index Options'!$C:$C,$A17,'BSE - Other Index Options'!$B:$B,F$4,'BSE - Other Index Options'!$I:$I,"Weekly*")+SUMIFS('BSE - Other Index Options'!$M:$M,'BSE - Other Index Options'!$C:$C,$A17,'BSE - Other Index Options'!$B:$B,F$4,'BSE - Other Index Options'!$I:$I,"MDAW*")=0,"",SUMIFS('NSE - NIFTY Index Options'!$M:$M,'NSE - NIFTY Index Options'!$C:$C,$A17,'NSE - NIFTY Index Options'!$B:$B,F$4,'NSE - NIFTY Index Options'!$I:$I,"Weekly*")+SUMIFS('NSE - NIFTY Index Options'!$M:$M,'NSE - NIFTY Index Options'!$C:$C,$A17,'NSE - NIFTY Index Options'!$B:$B,F$4,'NSE - NIFTY Index Options'!$I:$I,"MDAW*")+SUMIFS('NSE - Other Index Options'!$M:$M,'NSE - Other Index Options'!$C:$C,$A17,'NSE - Other Index Options'!$B:$B,F$4,'NSE - Other Index Options'!$I:$I,"Weekly*")+SUMIFS('NSE - Other Index Options'!$M:$M,'NSE - Other Index Options'!$C:$C,$A17,'NSE - Other Index Options'!$B:$B,F$4,'NSE - Other Index Options'!$I:$I,"MDAW*")+SUMIFS('BSE - SENSEX Index Options'!$M:$M,'BSE - SENSEX Index Options'!$C:$C,$A17,'BSE - SENSEX Index Options'!$B:$B,F$4,'BSE - SENSEX Index Options'!$I:$I,"Weekly*")+SUMIFS('BSE - SENSEX Index Options'!$M:$M,'BSE - SENSEX Index Options'!$C:$C,$A17,'BSE - SENSEX Index Options'!$B:$B,F$4,'BSE - SENSEX Index Options'!$I:$I,"MDAW*")+SUMIFS('BSE - Other Index Options'!$M:$M,'BSE - Other Index Options'!$C:$C,$A17,'BSE - Other Index Options'!$B:$B,F$4,'BSE - Other Index Options'!$I:$I,"Weekly*")+SUMIFS('BSE - Other Index Options'!$M:$M,'BSE - Other Index Options'!$C:$C,$A17,'BSE - Other Index Options'!$B:$B,F$4,'BSE - Other Index Options'!$I:$I,"MDAW*"))</f>
        <v/>
      </c>
      <c r="G17" s="26">
        <f>IF(SUMIFS('NSE - NIFTY Index Options'!$M:$M,'NSE - NIFTY Index Options'!$C:$C,$A17,'NSE - NIFTY Index Options'!$B:$B,G$4,'NSE - NIFTY Index Options'!$I:$I,"Weekly*")+SUMIFS('NSE - NIFTY Index Options'!$M:$M,'NSE - NIFTY Index Options'!$C:$C,$A17,'NSE - NIFTY Index Options'!$B:$B,G$4,'NSE - NIFTY Index Options'!$I:$I,"MDAW*")+SUMIFS('NSE - Other Index Options'!$M:$M,'NSE - Other Index Options'!$C:$C,$A17,'NSE - Other Index Options'!$B:$B,G$4,'NSE - Other Index Options'!$I:$I,"Weekly*")+SUMIFS('NSE - Other Index Options'!$M:$M,'NSE - Other Index Options'!$C:$C,$A17,'NSE - Other Index Options'!$B:$B,G$4,'NSE - Other Index Options'!$I:$I,"MDAW*")+SUMIFS('BSE - SENSEX Index Options'!$M:$M,'BSE - SENSEX Index Options'!$C:$C,$A17,'BSE - SENSEX Index Options'!$B:$B,G$4,'BSE - SENSEX Index Options'!$I:$I,"Weekly*")+SUMIFS('BSE - SENSEX Index Options'!$M:$M,'BSE - SENSEX Index Options'!$C:$C,$A17,'BSE - SENSEX Index Options'!$B:$B,G$4,'BSE - SENSEX Index Options'!$I:$I,"MDAW*")+SUMIFS('BSE - Other Index Options'!$M:$M,'BSE - Other Index Options'!$C:$C,$A17,'BSE - Other Index Options'!$B:$B,G$4,'BSE - Other Index Options'!$I:$I,"Weekly*")+SUMIFS('BSE - Other Index Options'!$M:$M,'BSE - Other Index Options'!$C:$C,$A17,'BSE - Other Index Options'!$B:$B,G$4,'BSE - Other Index Options'!$I:$I,"MDAW*")=0,"",SUMIFS('NSE - NIFTY Index Options'!$M:$M,'NSE - NIFTY Index Options'!$C:$C,$A17,'NSE - NIFTY Index Options'!$B:$B,G$4,'NSE - NIFTY Index Options'!$I:$I,"Weekly*")+SUMIFS('NSE - NIFTY Index Options'!$M:$M,'NSE - NIFTY Index Options'!$C:$C,$A17,'NSE - NIFTY Index Options'!$B:$B,G$4,'NSE - NIFTY Index Options'!$I:$I,"MDAW*")+SUMIFS('NSE - Other Index Options'!$M:$M,'NSE - Other Index Options'!$C:$C,$A17,'NSE - Other Index Options'!$B:$B,G$4,'NSE - Other Index Options'!$I:$I,"Weekly*")+SUMIFS('NSE - Other Index Options'!$M:$M,'NSE - Other Index Options'!$C:$C,$A17,'NSE - Other Index Options'!$B:$B,G$4,'NSE - Other Index Options'!$I:$I,"MDAW*")+SUMIFS('BSE - SENSEX Index Options'!$M:$M,'BSE - SENSEX Index Options'!$C:$C,$A17,'BSE - SENSEX Index Options'!$B:$B,G$4,'BSE - SENSEX Index Options'!$I:$I,"Weekly*")+SUMIFS('BSE - SENSEX Index Options'!$M:$M,'BSE - SENSEX Index Options'!$C:$C,$A17,'BSE - SENSEX Index Options'!$B:$B,G$4,'BSE - SENSEX Index Options'!$I:$I,"MDAW*")+SUMIFS('BSE - Other Index Options'!$M:$M,'BSE - Other Index Options'!$C:$C,$A17,'BSE - Other Index Options'!$B:$B,G$4,'BSE - Other Index Options'!$I:$I,"Weekly*")+SUMIFS('BSE - Other Index Options'!$M:$M,'BSE - Other Index Options'!$C:$C,$A17,'BSE - Other Index Options'!$B:$B,G$4,'BSE - Other Index Options'!$I:$I,"MDAW*"))</f>
        <v/>
      </c>
      <c r="H17" s="26">
        <f>IF(SUM(B17:G17)=0,"",SUM(B17:G17))</f>
        <v/>
      </c>
    </row>
    <row r="18">
      <c r="A18" t="inlineStr">
        <is>
          <t>Week4-Nov-2025</t>
        </is>
      </c>
      <c r="B18" s="26">
        <f>IF(SUMIFS('NSE - NIFTY Index Options'!$M:$M,'NSE - NIFTY Index Options'!$C:$C,$A18,'NSE - NIFTY Index Options'!$B:$B,B$4,'NSE - NIFTY Index Options'!$I:$I,"Weekly*")+SUMIFS('NSE - NIFTY Index Options'!$M:$M,'NSE - NIFTY Index Options'!$C:$C,$A18,'NSE - NIFTY Index Options'!$B:$B,B$4,'NSE - NIFTY Index Options'!$I:$I,"MDAW*")+SUMIFS('NSE - Other Index Options'!$M:$M,'NSE - Other Index Options'!$C:$C,$A18,'NSE - Other Index Options'!$B:$B,B$4,'NSE - Other Index Options'!$I:$I,"Weekly*")+SUMIFS('NSE - Other Index Options'!$M:$M,'NSE - Other Index Options'!$C:$C,$A18,'NSE - Other Index Options'!$B:$B,B$4,'NSE - Other Index Options'!$I:$I,"MDAW*")+SUMIFS('BSE - SENSEX Index Options'!$M:$M,'BSE - SENSEX Index Options'!$C:$C,$A18,'BSE - SENSEX Index Options'!$B:$B,B$4,'BSE - SENSEX Index Options'!$I:$I,"Weekly*")+SUMIFS('BSE - SENSEX Index Options'!$M:$M,'BSE - SENSEX Index Options'!$C:$C,$A18,'BSE - SENSEX Index Options'!$B:$B,B$4,'BSE - SENSEX Index Options'!$I:$I,"MDAW*")+SUMIFS('BSE - Other Index Options'!$M:$M,'BSE - Other Index Options'!$C:$C,$A18,'BSE - Other Index Options'!$B:$B,B$4,'BSE - Other Index Options'!$I:$I,"Weekly*")+SUMIFS('BSE - Other Index Options'!$M:$M,'BSE - Other Index Options'!$C:$C,$A18,'BSE - Other Index Options'!$B:$B,B$4,'BSE - Other Index Options'!$I:$I,"MDAW*")=0,"",SUMIFS('NSE - NIFTY Index Options'!$M:$M,'NSE - NIFTY Index Options'!$C:$C,$A18,'NSE - NIFTY Index Options'!$B:$B,B$4,'NSE - NIFTY Index Options'!$I:$I,"Weekly*")+SUMIFS('NSE - NIFTY Index Options'!$M:$M,'NSE - NIFTY Index Options'!$C:$C,$A18,'NSE - NIFTY Index Options'!$B:$B,B$4,'NSE - NIFTY Index Options'!$I:$I,"MDAW*")+SUMIFS('NSE - Other Index Options'!$M:$M,'NSE - Other Index Options'!$C:$C,$A18,'NSE - Other Index Options'!$B:$B,B$4,'NSE - Other Index Options'!$I:$I,"Weekly*")+SUMIFS('NSE - Other Index Options'!$M:$M,'NSE - Other Index Options'!$C:$C,$A18,'NSE - Other Index Options'!$B:$B,B$4,'NSE - Other Index Options'!$I:$I,"MDAW*")+SUMIFS('BSE - SENSEX Index Options'!$M:$M,'BSE - SENSEX Index Options'!$C:$C,$A18,'BSE - SENSEX Index Options'!$B:$B,B$4,'BSE - SENSEX Index Options'!$I:$I,"Weekly*")+SUMIFS('BSE - SENSEX Index Options'!$M:$M,'BSE - SENSEX Index Options'!$C:$C,$A18,'BSE - SENSEX Index Options'!$B:$B,B$4,'BSE - SENSEX Index Options'!$I:$I,"MDAW*")+SUMIFS('BSE - Other Index Options'!$M:$M,'BSE - Other Index Options'!$C:$C,$A18,'BSE - Other Index Options'!$B:$B,B$4,'BSE - Other Index Options'!$I:$I,"Weekly*")+SUMIFS('BSE - Other Index Options'!$M:$M,'BSE - Other Index Options'!$C:$C,$A18,'BSE - Other Index Options'!$B:$B,B$4,'BSE - Other Index Options'!$I:$I,"MDAW*"))</f>
        <v/>
      </c>
      <c r="C18" s="26">
        <f>IF(SUMIFS('NSE - NIFTY Index Options'!$M:$M,'NSE - NIFTY Index Options'!$C:$C,$A18,'NSE - NIFTY Index Options'!$B:$B,C$4,'NSE - NIFTY Index Options'!$I:$I,"Weekly*")+SUMIFS('NSE - NIFTY Index Options'!$M:$M,'NSE - NIFTY Index Options'!$C:$C,$A18,'NSE - NIFTY Index Options'!$B:$B,C$4,'NSE - NIFTY Index Options'!$I:$I,"MDAW*")+SUMIFS('NSE - Other Index Options'!$M:$M,'NSE - Other Index Options'!$C:$C,$A18,'NSE - Other Index Options'!$B:$B,C$4,'NSE - Other Index Options'!$I:$I,"Weekly*")+SUMIFS('NSE - Other Index Options'!$M:$M,'NSE - Other Index Options'!$C:$C,$A18,'NSE - Other Index Options'!$B:$B,C$4,'NSE - Other Index Options'!$I:$I,"MDAW*")+SUMIFS('BSE - SENSEX Index Options'!$M:$M,'BSE - SENSEX Index Options'!$C:$C,$A18,'BSE - SENSEX Index Options'!$B:$B,C$4,'BSE - SENSEX Index Options'!$I:$I,"Weekly*")+SUMIFS('BSE - SENSEX Index Options'!$M:$M,'BSE - SENSEX Index Options'!$C:$C,$A18,'BSE - SENSEX Index Options'!$B:$B,C$4,'BSE - SENSEX Index Options'!$I:$I,"MDAW*")+SUMIFS('BSE - Other Index Options'!$M:$M,'BSE - Other Index Options'!$C:$C,$A18,'BSE - Other Index Options'!$B:$B,C$4,'BSE - Other Index Options'!$I:$I,"Weekly*")+SUMIFS('BSE - Other Index Options'!$M:$M,'BSE - Other Index Options'!$C:$C,$A18,'BSE - Other Index Options'!$B:$B,C$4,'BSE - Other Index Options'!$I:$I,"MDAW*")=0,"",SUMIFS('NSE - NIFTY Index Options'!$M:$M,'NSE - NIFTY Index Options'!$C:$C,$A18,'NSE - NIFTY Index Options'!$B:$B,C$4,'NSE - NIFTY Index Options'!$I:$I,"Weekly*")+SUMIFS('NSE - NIFTY Index Options'!$M:$M,'NSE - NIFTY Index Options'!$C:$C,$A18,'NSE - NIFTY Index Options'!$B:$B,C$4,'NSE - NIFTY Index Options'!$I:$I,"MDAW*")+SUMIFS('NSE - Other Index Options'!$M:$M,'NSE - Other Index Options'!$C:$C,$A18,'NSE - Other Index Options'!$B:$B,C$4,'NSE - Other Index Options'!$I:$I,"Weekly*")+SUMIFS('NSE - Other Index Options'!$M:$M,'NSE - Other Index Options'!$C:$C,$A18,'NSE - Other Index Options'!$B:$B,C$4,'NSE - Other Index Options'!$I:$I,"MDAW*")+SUMIFS('BSE - SENSEX Index Options'!$M:$M,'BSE - SENSEX Index Options'!$C:$C,$A18,'BSE - SENSEX Index Options'!$B:$B,C$4,'BSE - SENSEX Index Options'!$I:$I,"Weekly*")+SUMIFS('BSE - SENSEX Index Options'!$M:$M,'BSE - SENSEX Index Options'!$C:$C,$A18,'BSE - SENSEX Index Options'!$B:$B,C$4,'BSE - SENSEX Index Options'!$I:$I,"MDAW*")+SUMIFS('BSE - Other Index Options'!$M:$M,'BSE - Other Index Options'!$C:$C,$A18,'BSE - Other Index Options'!$B:$B,C$4,'BSE - Other Index Options'!$I:$I,"Weekly*")+SUMIFS('BSE - Other Index Options'!$M:$M,'BSE - Other Index Options'!$C:$C,$A18,'BSE - Other Index Options'!$B:$B,C$4,'BSE - Other Index Options'!$I:$I,"MDAW*"))</f>
        <v/>
      </c>
      <c r="D18" s="26">
        <f>IF(SUMIFS('NSE - NIFTY Index Options'!$M:$M,'NSE - NIFTY Index Options'!$C:$C,$A18,'NSE - NIFTY Index Options'!$B:$B,D$4,'NSE - NIFTY Index Options'!$I:$I,"Weekly*")+SUMIFS('NSE - NIFTY Index Options'!$M:$M,'NSE - NIFTY Index Options'!$C:$C,$A18,'NSE - NIFTY Index Options'!$B:$B,D$4,'NSE - NIFTY Index Options'!$I:$I,"MDAW*")+SUMIFS('NSE - Other Index Options'!$M:$M,'NSE - Other Index Options'!$C:$C,$A18,'NSE - Other Index Options'!$B:$B,D$4,'NSE - Other Index Options'!$I:$I,"Weekly*")+SUMIFS('NSE - Other Index Options'!$M:$M,'NSE - Other Index Options'!$C:$C,$A18,'NSE - Other Index Options'!$B:$B,D$4,'NSE - Other Index Options'!$I:$I,"MDAW*")+SUMIFS('BSE - SENSEX Index Options'!$M:$M,'BSE - SENSEX Index Options'!$C:$C,$A18,'BSE - SENSEX Index Options'!$B:$B,D$4,'BSE - SENSEX Index Options'!$I:$I,"Weekly*")+SUMIFS('BSE - SENSEX Index Options'!$M:$M,'BSE - SENSEX Index Options'!$C:$C,$A18,'BSE - SENSEX Index Options'!$B:$B,D$4,'BSE - SENSEX Index Options'!$I:$I,"MDAW*")+SUMIFS('BSE - Other Index Options'!$M:$M,'BSE - Other Index Options'!$C:$C,$A18,'BSE - Other Index Options'!$B:$B,D$4,'BSE - Other Index Options'!$I:$I,"Weekly*")+SUMIFS('BSE - Other Index Options'!$M:$M,'BSE - Other Index Options'!$C:$C,$A18,'BSE - Other Index Options'!$B:$B,D$4,'BSE - Other Index Options'!$I:$I,"MDAW*")=0,"",SUMIFS('NSE - NIFTY Index Options'!$M:$M,'NSE - NIFTY Index Options'!$C:$C,$A18,'NSE - NIFTY Index Options'!$B:$B,D$4,'NSE - NIFTY Index Options'!$I:$I,"Weekly*")+SUMIFS('NSE - NIFTY Index Options'!$M:$M,'NSE - NIFTY Index Options'!$C:$C,$A18,'NSE - NIFTY Index Options'!$B:$B,D$4,'NSE - NIFTY Index Options'!$I:$I,"MDAW*")+SUMIFS('NSE - Other Index Options'!$M:$M,'NSE - Other Index Options'!$C:$C,$A18,'NSE - Other Index Options'!$B:$B,D$4,'NSE - Other Index Options'!$I:$I,"Weekly*")+SUMIFS('NSE - Other Index Options'!$M:$M,'NSE - Other Index Options'!$C:$C,$A18,'NSE - Other Index Options'!$B:$B,D$4,'NSE - Other Index Options'!$I:$I,"MDAW*")+SUMIFS('BSE - SENSEX Index Options'!$M:$M,'BSE - SENSEX Index Options'!$C:$C,$A18,'BSE - SENSEX Index Options'!$B:$B,D$4,'BSE - SENSEX Index Options'!$I:$I,"Weekly*")+SUMIFS('BSE - SENSEX Index Options'!$M:$M,'BSE - SENSEX Index Options'!$C:$C,$A18,'BSE - SENSEX Index Options'!$B:$B,D$4,'BSE - SENSEX Index Options'!$I:$I,"MDAW*")+SUMIFS('BSE - Other Index Options'!$M:$M,'BSE - Other Index Options'!$C:$C,$A18,'BSE - Other Index Options'!$B:$B,D$4,'BSE - Other Index Options'!$I:$I,"Weekly*")+SUMIFS('BSE - Other Index Options'!$M:$M,'BSE - Other Index Options'!$C:$C,$A18,'BSE - Other Index Options'!$B:$B,D$4,'BSE - Other Index Options'!$I:$I,"MDAW*"))</f>
        <v/>
      </c>
      <c r="E18" s="26">
        <f>IF(SUMIFS('NSE - NIFTY Index Options'!$M:$M,'NSE - NIFTY Index Options'!$C:$C,$A18,'NSE - NIFTY Index Options'!$B:$B,E$4,'NSE - NIFTY Index Options'!$I:$I,"Weekly*")+SUMIFS('NSE - NIFTY Index Options'!$M:$M,'NSE - NIFTY Index Options'!$C:$C,$A18,'NSE - NIFTY Index Options'!$B:$B,E$4,'NSE - NIFTY Index Options'!$I:$I,"MDAW*")+SUMIFS('NSE - Other Index Options'!$M:$M,'NSE - Other Index Options'!$C:$C,$A18,'NSE - Other Index Options'!$B:$B,E$4,'NSE - Other Index Options'!$I:$I,"Weekly*")+SUMIFS('NSE - Other Index Options'!$M:$M,'NSE - Other Index Options'!$C:$C,$A18,'NSE - Other Index Options'!$B:$B,E$4,'NSE - Other Index Options'!$I:$I,"MDAW*")+SUMIFS('BSE - SENSEX Index Options'!$M:$M,'BSE - SENSEX Index Options'!$C:$C,$A18,'BSE - SENSEX Index Options'!$B:$B,E$4,'BSE - SENSEX Index Options'!$I:$I,"Weekly*")+SUMIFS('BSE - SENSEX Index Options'!$M:$M,'BSE - SENSEX Index Options'!$C:$C,$A18,'BSE - SENSEX Index Options'!$B:$B,E$4,'BSE - SENSEX Index Options'!$I:$I,"MDAW*")+SUMIFS('BSE - Other Index Options'!$M:$M,'BSE - Other Index Options'!$C:$C,$A18,'BSE - Other Index Options'!$B:$B,E$4,'BSE - Other Index Options'!$I:$I,"Weekly*")+SUMIFS('BSE - Other Index Options'!$M:$M,'BSE - Other Index Options'!$C:$C,$A18,'BSE - Other Index Options'!$B:$B,E$4,'BSE - Other Index Options'!$I:$I,"MDAW*")=0,"",SUMIFS('NSE - NIFTY Index Options'!$M:$M,'NSE - NIFTY Index Options'!$C:$C,$A18,'NSE - NIFTY Index Options'!$B:$B,E$4,'NSE - NIFTY Index Options'!$I:$I,"Weekly*")+SUMIFS('NSE - NIFTY Index Options'!$M:$M,'NSE - NIFTY Index Options'!$C:$C,$A18,'NSE - NIFTY Index Options'!$B:$B,E$4,'NSE - NIFTY Index Options'!$I:$I,"MDAW*")+SUMIFS('NSE - Other Index Options'!$M:$M,'NSE - Other Index Options'!$C:$C,$A18,'NSE - Other Index Options'!$B:$B,E$4,'NSE - Other Index Options'!$I:$I,"Weekly*")+SUMIFS('NSE - Other Index Options'!$M:$M,'NSE - Other Index Options'!$C:$C,$A18,'NSE - Other Index Options'!$B:$B,E$4,'NSE - Other Index Options'!$I:$I,"MDAW*")+SUMIFS('BSE - SENSEX Index Options'!$M:$M,'BSE - SENSEX Index Options'!$C:$C,$A18,'BSE - SENSEX Index Options'!$B:$B,E$4,'BSE - SENSEX Index Options'!$I:$I,"Weekly*")+SUMIFS('BSE - SENSEX Index Options'!$M:$M,'BSE - SENSEX Index Options'!$C:$C,$A18,'BSE - SENSEX Index Options'!$B:$B,E$4,'BSE - SENSEX Index Options'!$I:$I,"MDAW*")+SUMIFS('BSE - Other Index Options'!$M:$M,'BSE - Other Index Options'!$C:$C,$A18,'BSE - Other Index Options'!$B:$B,E$4,'BSE - Other Index Options'!$I:$I,"Weekly*")+SUMIFS('BSE - Other Index Options'!$M:$M,'BSE - Other Index Options'!$C:$C,$A18,'BSE - Other Index Options'!$B:$B,E$4,'BSE - Other Index Options'!$I:$I,"MDAW*"))</f>
        <v/>
      </c>
      <c r="F18" s="26">
        <f>IF(SUMIFS('NSE - NIFTY Index Options'!$M:$M,'NSE - NIFTY Index Options'!$C:$C,$A18,'NSE - NIFTY Index Options'!$B:$B,F$4,'NSE - NIFTY Index Options'!$I:$I,"Weekly*")+SUMIFS('NSE - NIFTY Index Options'!$M:$M,'NSE - NIFTY Index Options'!$C:$C,$A18,'NSE - NIFTY Index Options'!$B:$B,F$4,'NSE - NIFTY Index Options'!$I:$I,"MDAW*")+SUMIFS('NSE - Other Index Options'!$M:$M,'NSE - Other Index Options'!$C:$C,$A18,'NSE - Other Index Options'!$B:$B,F$4,'NSE - Other Index Options'!$I:$I,"Weekly*")+SUMIFS('NSE - Other Index Options'!$M:$M,'NSE - Other Index Options'!$C:$C,$A18,'NSE - Other Index Options'!$B:$B,F$4,'NSE - Other Index Options'!$I:$I,"MDAW*")+SUMIFS('BSE - SENSEX Index Options'!$M:$M,'BSE - SENSEX Index Options'!$C:$C,$A18,'BSE - SENSEX Index Options'!$B:$B,F$4,'BSE - SENSEX Index Options'!$I:$I,"Weekly*")+SUMIFS('BSE - SENSEX Index Options'!$M:$M,'BSE - SENSEX Index Options'!$C:$C,$A18,'BSE - SENSEX Index Options'!$B:$B,F$4,'BSE - SENSEX Index Options'!$I:$I,"MDAW*")+SUMIFS('BSE - Other Index Options'!$M:$M,'BSE - Other Index Options'!$C:$C,$A18,'BSE - Other Index Options'!$B:$B,F$4,'BSE - Other Index Options'!$I:$I,"Weekly*")+SUMIFS('BSE - Other Index Options'!$M:$M,'BSE - Other Index Options'!$C:$C,$A18,'BSE - Other Index Options'!$B:$B,F$4,'BSE - Other Index Options'!$I:$I,"MDAW*")=0,"",SUMIFS('NSE - NIFTY Index Options'!$M:$M,'NSE - NIFTY Index Options'!$C:$C,$A18,'NSE - NIFTY Index Options'!$B:$B,F$4,'NSE - NIFTY Index Options'!$I:$I,"Weekly*")+SUMIFS('NSE - NIFTY Index Options'!$M:$M,'NSE - NIFTY Index Options'!$C:$C,$A18,'NSE - NIFTY Index Options'!$B:$B,F$4,'NSE - NIFTY Index Options'!$I:$I,"MDAW*")+SUMIFS('NSE - Other Index Options'!$M:$M,'NSE - Other Index Options'!$C:$C,$A18,'NSE - Other Index Options'!$B:$B,F$4,'NSE - Other Index Options'!$I:$I,"Weekly*")+SUMIFS('NSE - Other Index Options'!$M:$M,'NSE - Other Index Options'!$C:$C,$A18,'NSE - Other Index Options'!$B:$B,F$4,'NSE - Other Index Options'!$I:$I,"MDAW*")+SUMIFS('BSE - SENSEX Index Options'!$M:$M,'BSE - SENSEX Index Options'!$C:$C,$A18,'BSE - SENSEX Index Options'!$B:$B,F$4,'BSE - SENSEX Index Options'!$I:$I,"Weekly*")+SUMIFS('BSE - SENSEX Index Options'!$M:$M,'BSE - SENSEX Index Options'!$C:$C,$A18,'BSE - SENSEX Index Options'!$B:$B,F$4,'BSE - SENSEX Index Options'!$I:$I,"MDAW*")+SUMIFS('BSE - Other Index Options'!$M:$M,'BSE - Other Index Options'!$C:$C,$A18,'BSE - Other Index Options'!$B:$B,F$4,'BSE - Other Index Options'!$I:$I,"Weekly*")+SUMIFS('BSE - Other Index Options'!$M:$M,'BSE - Other Index Options'!$C:$C,$A18,'BSE - Other Index Options'!$B:$B,F$4,'BSE - Other Index Options'!$I:$I,"MDAW*"))</f>
        <v/>
      </c>
      <c r="G18" s="26">
        <f>IF(SUMIFS('NSE - NIFTY Index Options'!$M:$M,'NSE - NIFTY Index Options'!$C:$C,$A18,'NSE - NIFTY Index Options'!$B:$B,G$4,'NSE - NIFTY Index Options'!$I:$I,"Weekly*")+SUMIFS('NSE - NIFTY Index Options'!$M:$M,'NSE - NIFTY Index Options'!$C:$C,$A18,'NSE - NIFTY Index Options'!$B:$B,G$4,'NSE - NIFTY Index Options'!$I:$I,"MDAW*")+SUMIFS('NSE - Other Index Options'!$M:$M,'NSE - Other Index Options'!$C:$C,$A18,'NSE - Other Index Options'!$B:$B,G$4,'NSE - Other Index Options'!$I:$I,"Weekly*")+SUMIFS('NSE - Other Index Options'!$M:$M,'NSE - Other Index Options'!$C:$C,$A18,'NSE - Other Index Options'!$B:$B,G$4,'NSE - Other Index Options'!$I:$I,"MDAW*")+SUMIFS('BSE - SENSEX Index Options'!$M:$M,'BSE - SENSEX Index Options'!$C:$C,$A18,'BSE - SENSEX Index Options'!$B:$B,G$4,'BSE - SENSEX Index Options'!$I:$I,"Weekly*")+SUMIFS('BSE - SENSEX Index Options'!$M:$M,'BSE - SENSEX Index Options'!$C:$C,$A18,'BSE - SENSEX Index Options'!$B:$B,G$4,'BSE - SENSEX Index Options'!$I:$I,"MDAW*")+SUMIFS('BSE - Other Index Options'!$M:$M,'BSE - Other Index Options'!$C:$C,$A18,'BSE - Other Index Options'!$B:$B,G$4,'BSE - Other Index Options'!$I:$I,"Weekly*")+SUMIFS('BSE - Other Index Options'!$M:$M,'BSE - Other Index Options'!$C:$C,$A18,'BSE - Other Index Options'!$B:$B,G$4,'BSE - Other Index Options'!$I:$I,"MDAW*")=0,"",SUMIFS('NSE - NIFTY Index Options'!$M:$M,'NSE - NIFTY Index Options'!$C:$C,$A18,'NSE - NIFTY Index Options'!$B:$B,G$4,'NSE - NIFTY Index Options'!$I:$I,"Weekly*")+SUMIFS('NSE - NIFTY Index Options'!$M:$M,'NSE - NIFTY Index Options'!$C:$C,$A18,'NSE - NIFTY Index Options'!$B:$B,G$4,'NSE - NIFTY Index Options'!$I:$I,"MDAW*")+SUMIFS('NSE - Other Index Options'!$M:$M,'NSE - Other Index Options'!$C:$C,$A18,'NSE - Other Index Options'!$B:$B,G$4,'NSE - Other Index Options'!$I:$I,"Weekly*")+SUMIFS('NSE - Other Index Options'!$M:$M,'NSE - Other Index Options'!$C:$C,$A18,'NSE - Other Index Options'!$B:$B,G$4,'NSE - Other Index Options'!$I:$I,"MDAW*")+SUMIFS('BSE - SENSEX Index Options'!$M:$M,'BSE - SENSEX Index Options'!$C:$C,$A18,'BSE - SENSEX Index Options'!$B:$B,G$4,'BSE - SENSEX Index Options'!$I:$I,"Weekly*")+SUMIFS('BSE - SENSEX Index Options'!$M:$M,'BSE - SENSEX Index Options'!$C:$C,$A18,'BSE - SENSEX Index Options'!$B:$B,G$4,'BSE - SENSEX Index Options'!$I:$I,"MDAW*")+SUMIFS('BSE - Other Index Options'!$M:$M,'BSE - Other Index Options'!$C:$C,$A18,'BSE - Other Index Options'!$B:$B,G$4,'BSE - Other Index Options'!$I:$I,"Weekly*")+SUMIFS('BSE - Other Index Options'!$M:$M,'BSE - Other Index Options'!$C:$C,$A18,'BSE - Other Index Options'!$B:$B,G$4,'BSE - Other Index Options'!$I:$I,"MDAW*"))</f>
        <v/>
      </c>
      <c r="H18" s="26">
        <f>IF(SUM(B18:G18)=0,"",SUM(B18:G18))</f>
        <v/>
      </c>
    </row>
    <row r="19">
      <c r="A19" t="inlineStr">
        <is>
          <t>Week5-Nov-2025</t>
        </is>
      </c>
      <c r="B19" s="26">
        <f>IF(SUMIFS('NSE - NIFTY Index Options'!$M:$M,'NSE - NIFTY Index Options'!$C:$C,$A19,'NSE - NIFTY Index Options'!$B:$B,B$4,'NSE - NIFTY Index Options'!$I:$I,"Weekly*")+SUMIFS('NSE - NIFTY Index Options'!$M:$M,'NSE - NIFTY Index Options'!$C:$C,$A19,'NSE - NIFTY Index Options'!$B:$B,B$4,'NSE - NIFTY Index Options'!$I:$I,"MDAW*")+SUMIFS('NSE - Other Index Options'!$M:$M,'NSE - Other Index Options'!$C:$C,$A19,'NSE - Other Index Options'!$B:$B,B$4,'NSE - Other Index Options'!$I:$I,"Weekly*")+SUMIFS('NSE - Other Index Options'!$M:$M,'NSE - Other Index Options'!$C:$C,$A19,'NSE - Other Index Options'!$B:$B,B$4,'NSE - Other Index Options'!$I:$I,"MDAW*")+SUMIFS('BSE - SENSEX Index Options'!$M:$M,'BSE - SENSEX Index Options'!$C:$C,$A19,'BSE - SENSEX Index Options'!$B:$B,B$4,'BSE - SENSEX Index Options'!$I:$I,"Weekly*")+SUMIFS('BSE - SENSEX Index Options'!$M:$M,'BSE - SENSEX Index Options'!$C:$C,$A19,'BSE - SENSEX Index Options'!$B:$B,B$4,'BSE - SENSEX Index Options'!$I:$I,"MDAW*")+SUMIFS('BSE - Other Index Options'!$M:$M,'BSE - Other Index Options'!$C:$C,$A19,'BSE - Other Index Options'!$B:$B,B$4,'BSE - Other Index Options'!$I:$I,"Weekly*")+SUMIFS('BSE - Other Index Options'!$M:$M,'BSE - Other Index Options'!$C:$C,$A19,'BSE - Other Index Options'!$B:$B,B$4,'BSE - Other Index Options'!$I:$I,"MDAW*")=0,"",SUMIFS('NSE - NIFTY Index Options'!$M:$M,'NSE - NIFTY Index Options'!$C:$C,$A19,'NSE - NIFTY Index Options'!$B:$B,B$4,'NSE - NIFTY Index Options'!$I:$I,"Weekly*")+SUMIFS('NSE - NIFTY Index Options'!$M:$M,'NSE - NIFTY Index Options'!$C:$C,$A19,'NSE - NIFTY Index Options'!$B:$B,B$4,'NSE - NIFTY Index Options'!$I:$I,"MDAW*")+SUMIFS('NSE - Other Index Options'!$M:$M,'NSE - Other Index Options'!$C:$C,$A19,'NSE - Other Index Options'!$B:$B,B$4,'NSE - Other Index Options'!$I:$I,"Weekly*")+SUMIFS('NSE - Other Index Options'!$M:$M,'NSE - Other Index Options'!$C:$C,$A19,'NSE - Other Index Options'!$B:$B,B$4,'NSE - Other Index Options'!$I:$I,"MDAW*")+SUMIFS('BSE - SENSEX Index Options'!$M:$M,'BSE - SENSEX Index Options'!$C:$C,$A19,'BSE - SENSEX Index Options'!$B:$B,B$4,'BSE - SENSEX Index Options'!$I:$I,"Weekly*")+SUMIFS('BSE - SENSEX Index Options'!$M:$M,'BSE - SENSEX Index Options'!$C:$C,$A19,'BSE - SENSEX Index Options'!$B:$B,B$4,'BSE - SENSEX Index Options'!$I:$I,"MDAW*")+SUMIFS('BSE - Other Index Options'!$M:$M,'BSE - Other Index Options'!$C:$C,$A19,'BSE - Other Index Options'!$B:$B,B$4,'BSE - Other Index Options'!$I:$I,"Weekly*")+SUMIFS('BSE - Other Index Options'!$M:$M,'BSE - Other Index Options'!$C:$C,$A19,'BSE - Other Index Options'!$B:$B,B$4,'BSE - Other Index Options'!$I:$I,"MDAW*"))</f>
        <v/>
      </c>
      <c r="C19" s="26">
        <f>IF(SUMIFS('NSE - NIFTY Index Options'!$M:$M,'NSE - NIFTY Index Options'!$C:$C,$A19,'NSE - NIFTY Index Options'!$B:$B,C$4,'NSE - NIFTY Index Options'!$I:$I,"Weekly*")+SUMIFS('NSE - NIFTY Index Options'!$M:$M,'NSE - NIFTY Index Options'!$C:$C,$A19,'NSE - NIFTY Index Options'!$B:$B,C$4,'NSE - NIFTY Index Options'!$I:$I,"MDAW*")+SUMIFS('NSE - Other Index Options'!$M:$M,'NSE - Other Index Options'!$C:$C,$A19,'NSE - Other Index Options'!$B:$B,C$4,'NSE - Other Index Options'!$I:$I,"Weekly*")+SUMIFS('NSE - Other Index Options'!$M:$M,'NSE - Other Index Options'!$C:$C,$A19,'NSE - Other Index Options'!$B:$B,C$4,'NSE - Other Index Options'!$I:$I,"MDAW*")+SUMIFS('BSE - SENSEX Index Options'!$M:$M,'BSE - SENSEX Index Options'!$C:$C,$A19,'BSE - SENSEX Index Options'!$B:$B,C$4,'BSE - SENSEX Index Options'!$I:$I,"Weekly*")+SUMIFS('BSE - SENSEX Index Options'!$M:$M,'BSE - SENSEX Index Options'!$C:$C,$A19,'BSE - SENSEX Index Options'!$B:$B,C$4,'BSE - SENSEX Index Options'!$I:$I,"MDAW*")+SUMIFS('BSE - Other Index Options'!$M:$M,'BSE - Other Index Options'!$C:$C,$A19,'BSE - Other Index Options'!$B:$B,C$4,'BSE - Other Index Options'!$I:$I,"Weekly*")+SUMIFS('BSE - Other Index Options'!$M:$M,'BSE - Other Index Options'!$C:$C,$A19,'BSE - Other Index Options'!$B:$B,C$4,'BSE - Other Index Options'!$I:$I,"MDAW*")=0,"",SUMIFS('NSE - NIFTY Index Options'!$M:$M,'NSE - NIFTY Index Options'!$C:$C,$A19,'NSE - NIFTY Index Options'!$B:$B,C$4,'NSE - NIFTY Index Options'!$I:$I,"Weekly*")+SUMIFS('NSE - NIFTY Index Options'!$M:$M,'NSE - NIFTY Index Options'!$C:$C,$A19,'NSE - NIFTY Index Options'!$B:$B,C$4,'NSE - NIFTY Index Options'!$I:$I,"MDAW*")+SUMIFS('NSE - Other Index Options'!$M:$M,'NSE - Other Index Options'!$C:$C,$A19,'NSE - Other Index Options'!$B:$B,C$4,'NSE - Other Index Options'!$I:$I,"Weekly*")+SUMIFS('NSE - Other Index Options'!$M:$M,'NSE - Other Index Options'!$C:$C,$A19,'NSE - Other Index Options'!$B:$B,C$4,'NSE - Other Index Options'!$I:$I,"MDAW*")+SUMIFS('BSE - SENSEX Index Options'!$M:$M,'BSE - SENSEX Index Options'!$C:$C,$A19,'BSE - SENSEX Index Options'!$B:$B,C$4,'BSE - SENSEX Index Options'!$I:$I,"Weekly*")+SUMIFS('BSE - SENSEX Index Options'!$M:$M,'BSE - SENSEX Index Options'!$C:$C,$A19,'BSE - SENSEX Index Options'!$B:$B,C$4,'BSE - SENSEX Index Options'!$I:$I,"MDAW*")+SUMIFS('BSE - Other Index Options'!$M:$M,'BSE - Other Index Options'!$C:$C,$A19,'BSE - Other Index Options'!$B:$B,C$4,'BSE - Other Index Options'!$I:$I,"Weekly*")+SUMIFS('BSE - Other Index Options'!$M:$M,'BSE - Other Index Options'!$C:$C,$A19,'BSE - Other Index Options'!$B:$B,C$4,'BSE - Other Index Options'!$I:$I,"MDAW*"))</f>
        <v/>
      </c>
      <c r="D19" s="26">
        <f>IF(SUMIFS('NSE - NIFTY Index Options'!$M:$M,'NSE - NIFTY Index Options'!$C:$C,$A19,'NSE - NIFTY Index Options'!$B:$B,D$4,'NSE - NIFTY Index Options'!$I:$I,"Weekly*")+SUMIFS('NSE - NIFTY Index Options'!$M:$M,'NSE - NIFTY Index Options'!$C:$C,$A19,'NSE - NIFTY Index Options'!$B:$B,D$4,'NSE - NIFTY Index Options'!$I:$I,"MDAW*")+SUMIFS('NSE - Other Index Options'!$M:$M,'NSE - Other Index Options'!$C:$C,$A19,'NSE - Other Index Options'!$B:$B,D$4,'NSE - Other Index Options'!$I:$I,"Weekly*")+SUMIFS('NSE - Other Index Options'!$M:$M,'NSE - Other Index Options'!$C:$C,$A19,'NSE - Other Index Options'!$B:$B,D$4,'NSE - Other Index Options'!$I:$I,"MDAW*")+SUMIFS('BSE - SENSEX Index Options'!$M:$M,'BSE - SENSEX Index Options'!$C:$C,$A19,'BSE - SENSEX Index Options'!$B:$B,D$4,'BSE - SENSEX Index Options'!$I:$I,"Weekly*")+SUMIFS('BSE - SENSEX Index Options'!$M:$M,'BSE - SENSEX Index Options'!$C:$C,$A19,'BSE - SENSEX Index Options'!$B:$B,D$4,'BSE - SENSEX Index Options'!$I:$I,"MDAW*")+SUMIFS('BSE - Other Index Options'!$M:$M,'BSE - Other Index Options'!$C:$C,$A19,'BSE - Other Index Options'!$B:$B,D$4,'BSE - Other Index Options'!$I:$I,"Weekly*")+SUMIFS('BSE - Other Index Options'!$M:$M,'BSE - Other Index Options'!$C:$C,$A19,'BSE - Other Index Options'!$B:$B,D$4,'BSE - Other Index Options'!$I:$I,"MDAW*")=0,"",SUMIFS('NSE - NIFTY Index Options'!$M:$M,'NSE - NIFTY Index Options'!$C:$C,$A19,'NSE - NIFTY Index Options'!$B:$B,D$4,'NSE - NIFTY Index Options'!$I:$I,"Weekly*")+SUMIFS('NSE - NIFTY Index Options'!$M:$M,'NSE - NIFTY Index Options'!$C:$C,$A19,'NSE - NIFTY Index Options'!$B:$B,D$4,'NSE - NIFTY Index Options'!$I:$I,"MDAW*")+SUMIFS('NSE - Other Index Options'!$M:$M,'NSE - Other Index Options'!$C:$C,$A19,'NSE - Other Index Options'!$B:$B,D$4,'NSE - Other Index Options'!$I:$I,"Weekly*")+SUMIFS('NSE - Other Index Options'!$M:$M,'NSE - Other Index Options'!$C:$C,$A19,'NSE - Other Index Options'!$B:$B,D$4,'NSE - Other Index Options'!$I:$I,"MDAW*")+SUMIFS('BSE - SENSEX Index Options'!$M:$M,'BSE - SENSEX Index Options'!$C:$C,$A19,'BSE - SENSEX Index Options'!$B:$B,D$4,'BSE - SENSEX Index Options'!$I:$I,"Weekly*")+SUMIFS('BSE - SENSEX Index Options'!$M:$M,'BSE - SENSEX Index Options'!$C:$C,$A19,'BSE - SENSEX Index Options'!$B:$B,D$4,'BSE - SENSEX Index Options'!$I:$I,"MDAW*")+SUMIFS('BSE - Other Index Options'!$M:$M,'BSE - Other Index Options'!$C:$C,$A19,'BSE - Other Index Options'!$B:$B,D$4,'BSE - Other Index Options'!$I:$I,"Weekly*")+SUMIFS('BSE - Other Index Options'!$M:$M,'BSE - Other Index Options'!$C:$C,$A19,'BSE - Other Index Options'!$B:$B,D$4,'BSE - Other Index Options'!$I:$I,"MDAW*"))</f>
        <v/>
      </c>
      <c r="E19" s="26">
        <f>IF(SUMIFS('NSE - NIFTY Index Options'!$M:$M,'NSE - NIFTY Index Options'!$C:$C,$A19,'NSE - NIFTY Index Options'!$B:$B,E$4,'NSE - NIFTY Index Options'!$I:$I,"Weekly*")+SUMIFS('NSE - NIFTY Index Options'!$M:$M,'NSE - NIFTY Index Options'!$C:$C,$A19,'NSE - NIFTY Index Options'!$B:$B,E$4,'NSE - NIFTY Index Options'!$I:$I,"MDAW*")+SUMIFS('NSE - Other Index Options'!$M:$M,'NSE - Other Index Options'!$C:$C,$A19,'NSE - Other Index Options'!$B:$B,E$4,'NSE - Other Index Options'!$I:$I,"Weekly*")+SUMIFS('NSE - Other Index Options'!$M:$M,'NSE - Other Index Options'!$C:$C,$A19,'NSE - Other Index Options'!$B:$B,E$4,'NSE - Other Index Options'!$I:$I,"MDAW*")+SUMIFS('BSE - SENSEX Index Options'!$M:$M,'BSE - SENSEX Index Options'!$C:$C,$A19,'BSE - SENSEX Index Options'!$B:$B,E$4,'BSE - SENSEX Index Options'!$I:$I,"Weekly*")+SUMIFS('BSE - SENSEX Index Options'!$M:$M,'BSE - SENSEX Index Options'!$C:$C,$A19,'BSE - SENSEX Index Options'!$B:$B,E$4,'BSE - SENSEX Index Options'!$I:$I,"MDAW*")+SUMIFS('BSE - Other Index Options'!$M:$M,'BSE - Other Index Options'!$C:$C,$A19,'BSE - Other Index Options'!$B:$B,E$4,'BSE - Other Index Options'!$I:$I,"Weekly*")+SUMIFS('BSE - Other Index Options'!$M:$M,'BSE - Other Index Options'!$C:$C,$A19,'BSE - Other Index Options'!$B:$B,E$4,'BSE - Other Index Options'!$I:$I,"MDAW*")=0,"",SUMIFS('NSE - NIFTY Index Options'!$M:$M,'NSE - NIFTY Index Options'!$C:$C,$A19,'NSE - NIFTY Index Options'!$B:$B,E$4,'NSE - NIFTY Index Options'!$I:$I,"Weekly*")+SUMIFS('NSE - NIFTY Index Options'!$M:$M,'NSE - NIFTY Index Options'!$C:$C,$A19,'NSE - NIFTY Index Options'!$B:$B,E$4,'NSE - NIFTY Index Options'!$I:$I,"MDAW*")+SUMIFS('NSE - Other Index Options'!$M:$M,'NSE - Other Index Options'!$C:$C,$A19,'NSE - Other Index Options'!$B:$B,E$4,'NSE - Other Index Options'!$I:$I,"Weekly*")+SUMIFS('NSE - Other Index Options'!$M:$M,'NSE - Other Index Options'!$C:$C,$A19,'NSE - Other Index Options'!$B:$B,E$4,'NSE - Other Index Options'!$I:$I,"MDAW*")+SUMIFS('BSE - SENSEX Index Options'!$M:$M,'BSE - SENSEX Index Options'!$C:$C,$A19,'BSE - SENSEX Index Options'!$B:$B,E$4,'BSE - SENSEX Index Options'!$I:$I,"Weekly*")+SUMIFS('BSE - SENSEX Index Options'!$M:$M,'BSE - SENSEX Index Options'!$C:$C,$A19,'BSE - SENSEX Index Options'!$B:$B,E$4,'BSE - SENSEX Index Options'!$I:$I,"MDAW*")+SUMIFS('BSE - Other Index Options'!$M:$M,'BSE - Other Index Options'!$C:$C,$A19,'BSE - Other Index Options'!$B:$B,E$4,'BSE - Other Index Options'!$I:$I,"Weekly*")+SUMIFS('BSE - Other Index Options'!$M:$M,'BSE - Other Index Options'!$C:$C,$A19,'BSE - Other Index Options'!$B:$B,E$4,'BSE - Other Index Options'!$I:$I,"MDAW*"))</f>
        <v/>
      </c>
      <c r="F19" s="26">
        <f>IF(SUMIFS('NSE - NIFTY Index Options'!$M:$M,'NSE - NIFTY Index Options'!$C:$C,$A19,'NSE - NIFTY Index Options'!$B:$B,F$4,'NSE - NIFTY Index Options'!$I:$I,"Weekly*")+SUMIFS('NSE - NIFTY Index Options'!$M:$M,'NSE - NIFTY Index Options'!$C:$C,$A19,'NSE - NIFTY Index Options'!$B:$B,F$4,'NSE - NIFTY Index Options'!$I:$I,"MDAW*")+SUMIFS('NSE - Other Index Options'!$M:$M,'NSE - Other Index Options'!$C:$C,$A19,'NSE - Other Index Options'!$B:$B,F$4,'NSE - Other Index Options'!$I:$I,"Weekly*")+SUMIFS('NSE - Other Index Options'!$M:$M,'NSE - Other Index Options'!$C:$C,$A19,'NSE - Other Index Options'!$B:$B,F$4,'NSE - Other Index Options'!$I:$I,"MDAW*")+SUMIFS('BSE - SENSEX Index Options'!$M:$M,'BSE - SENSEX Index Options'!$C:$C,$A19,'BSE - SENSEX Index Options'!$B:$B,F$4,'BSE - SENSEX Index Options'!$I:$I,"Weekly*")+SUMIFS('BSE - SENSEX Index Options'!$M:$M,'BSE - SENSEX Index Options'!$C:$C,$A19,'BSE - SENSEX Index Options'!$B:$B,F$4,'BSE - SENSEX Index Options'!$I:$I,"MDAW*")+SUMIFS('BSE - Other Index Options'!$M:$M,'BSE - Other Index Options'!$C:$C,$A19,'BSE - Other Index Options'!$B:$B,F$4,'BSE - Other Index Options'!$I:$I,"Weekly*")+SUMIFS('BSE - Other Index Options'!$M:$M,'BSE - Other Index Options'!$C:$C,$A19,'BSE - Other Index Options'!$B:$B,F$4,'BSE - Other Index Options'!$I:$I,"MDAW*")=0,"",SUMIFS('NSE - NIFTY Index Options'!$M:$M,'NSE - NIFTY Index Options'!$C:$C,$A19,'NSE - NIFTY Index Options'!$B:$B,F$4,'NSE - NIFTY Index Options'!$I:$I,"Weekly*")+SUMIFS('NSE - NIFTY Index Options'!$M:$M,'NSE - NIFTY Index Options'!$C:$C,$A19,'NSE - NIFTY Index Options'!$B:$B,F$4,'NSE - NIFTY Index Options'!$I:$I,"MDAW*")+SUMIFS('NSE - Other Index Options'!$M:$M,'NSE - Other Index Options'!$C:$C,$A19,'NSE - Other Index Options'!$B:$B,F$4,'NSE - Other Index Options'!$I:$I,"Weekly*")+SUMIFS('NSE - Other Index Options'!$M:$M,'NSE - Other Index Options'!$C:$C,$A19,'NSE - Other Index Options'!$B:$B,F$4,'NSE - Other Index Options'!$I:$I,"MDAW*")+SUMIFS('BSE - SENSEX Index Options'!$M:$M,'BSE - SENSEX Index Options'!$C:$C,$A19,'BSE - SENSEX Index Options'!$B:$B,F$4,'BSE - SENSEX Index Options'!$I:$I,"Weekly*")+SUMIFS('BSE - SENSEX Index Options'!$M:$M,'BSE - SENSEX Index Options'!$C:$C,$A19,'BSE - SENSEX Index Options'!$B:$B,F$4,'BSE - SENSEX Index Options'!$I:$I,"MDAW*")+SUMIFS('BSE - Other Index Options'!$M:$M,'BSE - Other Index Options'!$C:$C,$A19,'BSE - Other Index Options'!$B:$B,F$4,'BSE - Other Index Options'!$I:$I,"Weekly*")+SUMIFS('BSE - Other Index Options'!$M:$M,'BSE - Other Index Options'!$C:$C,$A19,'BSE - Other Index Options'!$B:$B,F$4,'BSE - Other Index Options'!$I:$I,"MDAW*"))</f>
        <v/>
      </c>
      <c r="G19" s="26">
        <f>IF(SUMIFS('NSE - NIFTY Index Options'!$M:$M,'NSE - NIFTY Index Options'!$C:$C,$A19,'NSE - NIFTY Index Options'!$B:$B,G$4,'NSE - NIFTY Index Options'!$I:$I,"Weekly*")+SUMIFS('NSE - NIFTY Index Options'!$M:$M,'NSE - NIFTY Index Options'!$C:$C,$A19,'NSE - NIFTY Index Options'!$B:$B,G$4,'NSE - NIFTY Index Options'!$I:$I,"MDAW*")+SUMIFS('NSE - Other Index Options'!$M:$M,'NSE - Other Index Options'!$C:$C,$A19,'NSE - Other Index Options'!$B:$B,G$4,'NSE - Other Index Options'!$I:$I,"Weekly*")+SUMIFS('NSE - Other Index Options'!$M:$M,'NSE - Other Index Options'!$C:$C,$A19,'NSE - Other Index Options'!$B:$B,G$4,'NSE - Other Index Options'!$I:$I,"MDAW*")+SUMIFS('BSE - SENSEX Index Options'!$M:$M,'BSE - SENSEX Index Options'!$C:$C,$A19,'BSE - SENSEX Index Options'!$B:$B,G$4,'BSE - SENSEX Index Options'!$I:$I,"Weekly*")+SUMIFS('BSE - SENSEX Index Options'!$M:$M,'BSE - SENSEX Index Options'!$C:$C,$A19,'BSE - SENSEX Index Options'!$B:$B,G$4,'BSE - SENSEX Index Options'!$I:$I,"MDAW*")+SUMIFS('BSE - Other Index Options'!$M:$M,'BSE - Other Index Options'!$C:$C,$A19,'BSE - Other Index Options'!$B:$B,G$4,'BSE - Other Index Options'!$I:$I,"Weekly*")+SUMIFS('BSE - Other Index Options'!$M:$M,'BSE - Other Index Options'!$C:$C,$A19,'BSE - Other Index Options'!$B:$B,G$4,'BSE - Other Index Options'!$I:$I,"MDAW*")=0,"",SUMIFS('NSE - NIFTY Index Options'!$M:$M,'NSE - NIFTY Index Options'!$C:$C,$A19,'NSE - NIFTY Index Options'!$B:$B,G$4,'NSE - NIFTY Index Options'!$I:$I,"Weekly*")+SUMIFS('NSE - NIFTY Index Options'!$M:$M,'NSE - NIFTY Index Options'!$C:$C,$A19,'NSE - NIFTY Index Options'!$B:$B,G$4,'NSE - NIFTY Index Options'!$I:$I,"MDAW*")+SUMIFS('NSE - Other Index Options'!$M:$M,'NSE - Other Index Options'!$C:$C,$A19,'NSE - Other Index Options'!$B:$B,G$4,'NSE - Other Index Options'!$I:$I,"Weekly*")+SUMIFS('NSE - Other Index Options'!$M:$M,'NSE - Other Index Options'!$C:$C,$A19,'NSE - Other Index Options'!$B:$B,G$4,'NSE - Other Index Options'!$I:$I,"MDAW*")+SUMIFS('BSE - SENSEX Index Options'!$M:$M,'BSE - SENSEX Index Options'!$C:$C,$A19,'BSE - SENSEX Index Options'!$B:$B,G$4,'BSE - SENSEX Index Options'!$I:$I,"Weekly*")+SUMIFS('BSE - SENSEX Index Options'!$M:$M,'BSE - SENSEX Index Options'!$C:$C,$A19,'BSE - SENSEX Index Options'!$B:$B,G$4,'BSE - SENSEX Index Options'!$I:$I,"MDAW*")+SUMIFS('BSE - Other Index Options'!$M:$M,'BSE - Other Index Options'!$C:$C,$A19,'BSE - Other Index Options'!$B:$B,G$4,'BSE - Other Index Options'!$I:$I,"Weekly*")+SUMIFS('BSE - Other Index Options'!$M:$M,'BSE - Other Index Options'!$C:$C,$A19,'BSE - Other Index Options'!$B:$B,G$4,'BSE - Other Index Options'!$I:$I,"MDAW*"))</f>
        <v/>
      </c>
      <c r="H19" s="26">
        <f>IF(SUM(B19:G19)=0,"",SUM(B19:G19))</f>
        <v/>
      </c>
    </row>
    <row r="20">
      <c r="A20" t="inlineStr">
        <is>
          <t>Week1-Dec-2025</t>
        </is>
      </c>
      <c r="B20" s="26">
        <f>IF(SUMIFS('NSE - NIFTY Index Options'!$M:$M,'NSE - NIFTY Index Options'!$C:$C,$A20,'NSE - NIFTY Index Options'!$B:$B,B$4,'NSE - NIFTY Index Options'!$I:$I,"Weekly*")+SUMIFS('NSE - NIFTY Index Options'!$M:$M,'NSE - NIFTY Index Options'!$C:$C,$A20,'NSE - NIFTY Index Options'!$B:$B,B$4,'NSE - NIFTY Index Options'!$I:$I,"MDAW*")+SUMIFS('NSE - Other Index Options'!$M:$M,'NSE - Other Index Options'!$C:$C,$A20,'NSE - Other Index Options'!$B:$B,B$4,'NSE - Other Index Options'!$I:$I,"Weekly*")+SUMIFS('NSE - Other Index Options'!$M:$M,'NSE - Other Index Options'!$C:$C,$A20,'NSE - Other Index Options'!$B:$B,B$4,'NSE - Other Index Options'!$I:$I,"MDAW*")+SUMIFS('BSE - SENSEX Index Options'!$M:$M,'BSE - SENSEX Index Options'!$C:$C,$A20,'BSE - SENSEX Index Options'!$B:$B,B$4,'BSE - SENSEX Index Options'!$I:$I,"Weekly*")+SUMIFS('BSE - SENSEX Index Options'!$M:$M,'BSE - SENSEX Index Options'!$C:$C,$A20,'BSE - SENSEX Index Options'!$B:$B,B$4,'BSE - SENSEX Index Options'!$I:$I,"MDAW*")+SUMIFS('BSE - Other Index Options'!$M:$M,'BSE - Other Index Options'!$C:$C,$A20,'BSE - Other Index Options'!$B:$B,B$4,'BSE - Other Index Options'!$I:$I,"Weekly*")+SUMIFS('BSE - Other Index Options'!$M:$M,'BSE - Other Index Options'!$C:$C,$A20,'BSE - Other Index Options'!$B:$B,B$4,'BSE - Other Index Options'!$I:$I,"MDAW*")=0,"",SUMIFS('NSE - NIFTY Index Options'!$M:$M,'NSE - NIFTY Index Options'!$C:$C,$A20,'NSE - NIFTY Index Options'!$B:$B,B$4,'NSE - NIFTY Index Options'!$I:$I,"Weekly*")+SUMIFS('NSE - NIFTY Index Options'!$M:$M,'NSE - NIFTY Index Options'!$C:$C,$A20,'NSE - NIFTY Index Options'!$B:$B,B$4,'NSE - NIFTY Index Options'!$I:$I,"MDAW*")+SUMIFS('NSE - Other Index Options'!$M:$M,'NSE - Other Index Options'!$C:$C,$A20,'NSE - Other Index Options'!$B:$B,B$4,'NSE - Other Index Options'!$I:$I,"Weekly*")+SUMIFS('NSE - Other Index Options'!$M:$M,'NSE - Other Index Options'!$C:$C,$A20,'NSE - Other Index Options'!$B:$B,B$4,'NSE - Other Index Options'!$I:$I,"MDAW*")+SUMIFS('BSE - SENSEX Index Options'!$M:$M,'BSE - SENSEX Index Options'!$C:$C,$A20,'BSE - SENSEX Index Options'!$B:$B,B$4,'BSE - SENSEX Index Options'!$I:$I,"Weekly*")+SUMIFS('BSE - SENSEX Index Options'!$M:$M,'BSE - SENSEX Index Options'!$C:$C,$A20,'BSE - SENSEX Index Options'!$B:$B,B$4,'BSE - SENSEX Index Options'!$I:$I,"MDAW*")+SUMIFS('BSE - Other Index Options'!$M:$M,'BSE - Other Index Options'!$C:$C,$A20,'BSE - Other Index Options'!$B:$B,B$4,'BSE - Other Index Options'!$I:$I,"Weekly*")+SUMIFS('BSE - Other Index Options'!$M:$M,'BSE - Other Index Options'!$C:$C,$A20,'BSE - Other Index Options'!$B:$B,B$4,'BSE - Other Index Options'!$I:$I,"MDAW*"))</f>
        <v/>
      </c>
      <c r="C20" s="26">
        <f>IF(SUMIFS('NSE - NIFTY Index Options'!$M:$M,'NSE - NIFTY Index Options'!$C:$C,$A20,'NSE - NIFTY Index Options'!$B:$B,C$4,'NSE - NIFTY Index Options'!$I:$I,"Weekly*")+SUMIFS('NSE - NIFTY Index Options'!$M:$M,'NSE - NIFTY Index Options'!$C:$C,$A20,'NSE - NIFTY Index Options'!$B:$B,C$4,'NSE - NIFTY Index Options'!$I:$I,"MDAW*")+SUMIFS('NSE - Other Index Options'!$M:$M,'NSE - Other Index Options'!$C:$C,$A20,'NSE - Other Index Options'!$B:$B,C$4,'NSE - Other Index Options'!$I:$I,"Weekly*")+SUMIFS('NSE - Other Index Options'!$M:$M,'NSE - Other Index Options'!$C:$C,$A20,'NSE - Other Index Options'!$B:$B,C$4,'NSE - Other Index Options'!$I:$I,"MDAW*")+SUMIFS('BSE - SENSEX Index Options'!$M:$M,'BSE - SENSEX Index Options'!$C:$C,$A20,'BSE - SENSEX Index Options'!$B:$B,C$4,'BSE - SENSEX Index Options'!$I:$I,"Weekly*")+SUMIFS('BSE - SENSEX Index Options'!$M:$M,'BSE - SENSEX Index Options'!$C:$C,$A20,'BSE - SENSEX Index Options'!$B:$B,C$4,'BSE - SENSEX Index Options'!$I:$I,"MDAW*")+SUMIFS('BSE - Other Index Options'!$M:$M,'BSE - Other Index Options'!$C:$C,$A20,'BSE - Other Index Options'!$B:$B,C$4,'BSE - Other Index Options'!$I:$I,"Weekly*")+SUMIFS('BSE - Other Index Options'!$M:$M,'BSE - Other Index Options'!$C:$C,$A20,'BSE - Other Index Options'!$B:$B,C$4,'BSE - Other Index Options'!$I:$I,"MDAW*")=0,"",SUMIFS('NSE - NIFTY Index Options'!$M:$M,'NSE - NIFTY Index Options'!$C:$C,$A20,'NSE - NIFTY Index Options'!$B:$B,C$4,'NSE - NIFTY Index Options'!$I:$I,"Weekly*")+SUMIFS('NSE - NIFTY Index Options'!$M:$M,'NSE - NIFTY Index Options'!$C:$C,$A20,'NSE - NIFTY Index Options'!$B:$B,C$4,'NSE - NIFTY Index Options'!$I:$I,"MDAW*")+SUMIFS('NSE - Other Index Options'!$M:$M,'NSE - Other Index Options'!$C:$C,$A20,'NSE - Other Index Options'!$B:$B,C$4,'NSE - Other Index Options'!$I:$I,"Weekly*")+SUMIFS('NSE - Other Index Options'!$M:$M,'NSE - Other Index Options'!$C:$C,$A20,'NSE - Other Index Options'!$B:$B,C$4,'NSE - Other Index Options'!$I:$I,"MDAW*")+SUMIFS('BSE - SENSEX Index Options'!$M:$M,'BSE - SENSEX Index Options'!$C:$C,$A20,'BSE - SENSEX Index Options'!$B:$B,C$4,'BSE - SENSEX Index Options'!$I:$I,"Weekly*")+SUMIFS('BSE - SENSEX Index Options'!$M:$M,'BSE - SENSEX Index Options'!$C:$C,$A20,'BSE - SENSEX Index Options'!$B:$B,C$4,'BSE - SENSEX Index Options'!$I:$I,"MDAW*")+SUMIFS('BSE - Other Index Options'!$M:$M,'BSE - Other Index Options'!$C:$C,$A20,'BSE - Other Index Options'!$B:$B,C$4,'BSE - Other Index Options'!$I:$I,"Weekly*")+SUMIFS('BSE - Other Index Options'!$M:$M,'BSE - Other Index Options'!$C:$C,$A20,'BSE - Other Index Options'!$B:$B,C$4,'BSE - Other Index Options'!$I:$I,"MDAW*"))</f>
        <v/>
      </c>
      <c r="D20" s="26">
        <f>IF(SUMIFS('NSE - NIFTY Index Options'!$M:$M,'NSE - NIFTY Index Options'!$C:$C,$A20,'NSE - NIFTY Index Options'!$B:$B,D$4,'NSE - NIFTY Index Options'!$I:$I,"Weekly*")+SUMIFS('NSE - NIFTY Index Options'!$M:$M,'NSE - NIFTY Index Options'!$C:$C,$A20,'NSE - NIFTY Index Options'!$B:$B,D$4,'NSE - NIFTY Index Options'!$I:$I,"MDAW*")+SUMIFS('NSE - Other Index Options'!$M:$M,'NSE - Other Index Options'!$C:$C,$A20,'NSE - Other Index Options'!$B:$B,D$4,'NSE - Other Index Options'!$I:$I,"Weekly*")+SUMIFS('NSE - Other Index Options'!$M:$M,'NSE - Other Index Options'!$C:$C,$A20,'NSE - Other Index Options'!$B:$B,D$4,'NSE - Other Index Options'!$I:$I,"MDAW*")+SUMIFS('BSE - SENSEX Index Options'!$M:$M,'BSE - SENSEX Index Options'!$C:$C,$A20,'BSE - SENSEX Index Options'!$B:$B,D$4,'BSE - SENSEX Index Options'!$I:$I,"Weekly*")+SUMIFS('BSE - SENSEX Index Options'!$M:$M,'BSE - SENSEX Index Options'!$C:$C,$A20,'BSE - SENSEX Index Options'!$B:$B,D$4,'BSE - SENSEX Index Options'!$I:$I,"MDAW*")+SUMIFS('BSE - Other Index Options'!$M:$M,'BSE - Other Index Options'!$C:$C,$A20,'BSE - Other Index Options'!$B:$B,D$4,'BSE - Other Index Options'!$I:$I,"Weekly*")+SUMIFS('BSE - Other Index Options'!$M:$M,'BSE - Other Index Options'!$C:$C,$A20,'BSE - Other Index Options'!$B:$B,D$4,'BSE - Other Index Options'!$I:$I,"MDAW*")=0,"",SUMIFS('NSE - NIFTY Index Options'!$M:$M,'NSE - NIFTY Index Options'!$C:$C,$A20,'NSE - NIFTY Index Options'!$B:$B,D$4,'NSE - NIFTY Index Options'!$I:$I,"Weekly*")+SUMIFS('NSE - NIFTY Index Options'!$M:$M,'NSE - NIFTY Index Options'!$C:$C,$A20,'NSE - NIFTY Index Options'!$B:$B,D$4,'NSE - NIFTY Index Options'!$I:$I,"MDAW*")+SUMIFS('NSE - Other Index Options'!$M:$M,'NSE - Other Index Options'!$C:$C,$A20,'NSE - Other Index Options'!$B:$B,D$4,'NSE - Other Index Options'!$I:$I,"Weekly*")+SUMIFS('NSE - Other Index Options'!$M:$M,'NSE - Other Index Options'!$C:$C,$A20,'NSE - Other Index Options'!$B:$B,D$4,'NSE - Other Index Options'!$I:$I,"MDAW*")+SUMIFS('BSE - SENSEX Index Options'!$M:$M,'BSE - SENSEX Index Options'!$C:$C,$A20,'BSE - SENSEX Index Options'!$B:$B,D$4,'BSE - SENSEX Index Options'!$I:$I,"Weekly*")+SUMIFS('BSE - SENSEX Index Options'!$M:$M,'BSE - SENSEX Index Options'!$C:$C,$A20,'BSE - SENSEX Index Options'!$B:$B,D$4,'BSE - SENSEX Index Options'!$I:$I,"MDAW*")+SUMIFS('BSE - Other Index Options'!$M:$M,'BSE - Other Index Options'!$C:$C,$A20,'BSE - Other Index Options'!$B:$B,D$4,'BSE - Other Index Options'!$I:$I,"Weekly*")+SUMIFS('BSE - Other Index Options'!$M:$M,'BSE - Other Index Options'!$C:$C,$A20,'BSE - Other Index Options'!$B:$B,D$4,'BSE - Other Index Options'!$I:$I,"MDAW*"))</f>
        <v/>
      </c>
      <c r="E20" s="26">
        <f>IF(SUMIFS('NSE - NIFTY Index Options'!$M:$M,'NSE - NIFTY Index Options'!$C:$C,$A20,'NSE - NIFTY Index Options'!$B:$B,E$4,'NSE - NIFTY Index Options'!$I:$I,"Weekly*")+SUMIFS('NSE - NIFTY Index Options'!$M:$M,'NSE - NIFTY Index Options'!$C:$C,$A20,'NSE - NIFTY Index Options'!$B:$B,E$4,'NSE - NIFTY Index Options'!$I:$I,"MDAW*")+SUMIFS('NSE - Other Index Options'!$M:$M,'NSE - Other Index Options'!$C:$C,$A20,'NSE - Other Index Options'!$B:$B,E$4,'NSE - Other Index Options'!$I:$I,"Weekly*")+SUMIFS('NSE - Other Index Options'!$M:$M,'NSE - Other Index Options'!$C:$C,$A20,'NSE - Other Index Options'!$B:$B,E$4,'NSE - Other Index Options'!$I:$I,"MDAW*")+SUMIFS('BSE - SENSEX Index Options'!$M:$M,'BSE - SENSEX Index Options'!$C:$C,$A20,'BSE - SENSEX Index Options'!$B:$B,E$4,'BSE - SENSEX Index Options'!$I:$I,"Weekly*")+SUMIFS('BSE - SENSEX Index Options'!$M:$M,'BSE - SENSEX Index Options'!$C:$C,$A20,'BSE - SENSEX Index Options'!$B:$B,E$4,'BSE - SENSEX Index Options'!$I:$I,"MDAW*")+SUMIFS('BSE - Other Index Options'!$M:$M,'BSE - Other Index Options'!$C:$C,$A20,'BSE - Other Index Options'!$B:$B,E$4,'BSE - Other Index Options'!$I:$I,"Weekly*")+SUMIFS('BSE - Other Index Options'!$M:$M,'BSE - Other Index Options'!$C:$C,$A20,'BSE - Other Index Options'!$B:$B,E$4,'BSE - Other Index Options'!$I:$I,"MDAW*")=0,"",SUMIFS('NSE - NIFTY Index Options'!$M:$M,'NSE - NIFTY Index Options'!$C:$C,$A20,'NSE - NIFTY Index Options'!$B:$B,E$4,'NSE - NIFTY Index Options'!$I:$I,"Weekly*")+SUMIFS('NSE - NIFTY Index Options'!$M:$M,'NSE - NIFTY Index Options'!$C:$C,$A20,'NSE - NIFTY Index Options'!$B:$B,E$4,'NSE - NIFTY Index Options'!$I:$I,"MDAW*")+SUMIFS('NSE - Other Index Options'!$M:$M,'NSE - Other Index Options'!$C:$C,$A20,'NSE - Other Index Options'!$B:$B,E$4,'NSE - Other Index Options'!$I:$I,"Weekly*")+SUMIFS('NSE - Other Index Options'!$M:$M,'NSE - Other Index Options'!$C:$C,$A20,'NSE - Other Index Options'!$B:$B,E$4,'NSE - Other Index Options'!$I:$I,"MDAW*")+SUMIFS('BSE - SENSEX Index Options'!$M:$M,'BSE - SENSEX Index Options'!$C:$C,$A20,'BSE - SENSEX Index Options'!$B:$B,E$4,'BSE - SENSEX Index Options'!$I:$I,"Weekly*")+SUMIFS('BSE - SENSEX Index Options'!$M:$M,'BSE - SENSEX Index Options'!$C:$C,$A20,'BSE - SENSEX Index Options'!$B:$B,E$4,'BSE - SENSEX Index Options'!$I:$I,"MDAW*")+SUMIFS('BSE - Other Index Options'!$M:$M,'BSE - Other Index Options'!$C:$C,$A20,'BSE - Other Index Options'!$B:$B,E$4,'BSE - Other Index Options'!$I:$I,"Weekly*")+SUMIFS('BSE - Other Index Options'!$M:$M,'BSE - Other Index Options'!$C:$C,$A20,'BSE - Other Index Options'!$B:$B,E$4,'BSE - Other Index Options'!$I:$I,"MDAW*"))</f>
        <v/>
      </c>
      <c r="F20" s="26">
        <f>IF(SUMIFS('NSE - NIFTY Index Options'!$M:$M,'NSE - NIFTY Index Options'!$C:$C,$A20,'NSE - NIFTY Index Options'!$B:$B,F$4,'NSE - NIFTY Index Options'!$I:$I,"Weekly*")+SUMIFS('NSE - NIFTY Index Options'!$M:$M,'NSE - NIFTY Index Options'!$C:$C,$A20,'NSE - NIFTY Index Options'!$B:$B,F$4,'NSE - NIFTY Index Options'!$I:$I,"MDAW*")+SUMIFS('NSE - Other Index Options'!$M:$M,'NSE - Other Index Options'!$C:$C,$A20,'NSE - Other Index Options'!$B:$B,F$4,'NSE - Other Index Options'!$I:$I,"Weekly*")+SUMIFS('NSE - Other Index Options'!$M:$M,'NSE - Other Index Options'!$C:$C,$A20,'NSE - Other Index Options'!$B:$B,F$4,'NSE - Other Index Options'!$I:$I,"MDAW*")+SUMIFS('BSE - SENSEX Index Options'!$M:$M,'BSE - SENSEX Index Options'!$C:$C,$A20,'BSE - SENSEX Index Options'!$B:$B,F$4,'BSE - SENSEX Index Options'!$I:$I,"Weekly*")+SUMIFS('BSE - SENSEX Index Options'!$M:$M,'BSE - SENSEX Index Options'!$C:$C,$A20,'BSE - SENSEX Index Options'!$B:$B,F$4,'BSE - SENSEX Index Options'!$I:$I,"MDAW*")+SUMIFS('BSE - Other Index Options'!$M:$M,'BSE - Other Index Options'!$C:$C,$A20,'BSE - Other Index Options'!$B:$B,F$4,'BSE - Other Index Options'!$I:$I,"Weekly*")+SUMIFS('BSE - Other Index Options'!$M:$M,'BSE - Other Index Options'!$C:$C,$A20,'BSE - Other Index Options'!$B:$B,F$4,'BSE - Other Index Options'!$I:$I,"MDAW*")=0,"",SUMIFS('NSE - NIFTY Index Options'!$M:$M,'NSE - NIFTY Index Options'!$C:$C,$A20,'NSE - NIFTY Index Options'!$B:$B,F$4,'NSE - NIFTY Index Options'!$I:$I,"Weekly*")+SUMIFS('NSE - NIFTY Index Options'!$M:$M,'NSE - NIFTY Index Options'!$C:$C,$A20,'NSE - NIFTY Index Options'!$B:$B,F$4,'NSE - NIFTY Index Options'!$I:$I,"MDAW*")+SUMIFS('NSE - Other Index Options'!$M:$M,'NSE - Other Index Options'!$C:$C,$A20,'NSE - Other Index Options'!$B:$B,F$4,'NSE - Other Index Options'!$I:$I,"Weekly*")+SUMIFS('NSE - Other Index Options'!$M:$M,'NSE - Other Index Options'!$C:$C,$A20,'NSE - Other Index Options'!$B:$B,F$4,'NSE - Other Index Options'!$I:$I,"MDAW*")+SUMIFS('BSE - SENSEX Index Options'!$M:$M,'BSE - SENSEX Index Options'!$C:$C,$A20,'BSE - SENSEX Index Options'!$B:$B,F$4,'BSE - SENSEX Index Options'!$I:$I,"Weekly*")+SUMIFS('BSE - SENSEX Index Options'!$M:$M,'BSE - SENSEX Index Options'!$C:$C,$A20,'BSE - SENSEX Index Options'!$B:$B,F$4,'BSE - SENSEX Index Options'!$I:$I,"MDAW*")+SUMIFS('BSE - Other Index Options'!$M:$M,'BSE - Other Index Options'!$C:$C,$A20,'BSE - Other Index Options'!$B:$B,F$4,'BSE - Other Index Options'!$I:$I,"Weekly*")+SUMIFS('BSE - Other Index Options'!$M:$M,'BSE - Other Index Options'!$C:$C,$A20,'BSE - Other Index Options'!$B:$B,F$4,'BSE - Other Index Options'!$I:$I,"MDAW*"))</f>
        <v/>
      </c>
      <c r="G20" s="26">
        <f>IF(SUMIFS('NSE - NIFTY Index Options'!$M:$M,'NSE - NIFTY Index Options'!$C:$C,$A20,'NSE - NIFTY Index Options'!$B:$B,G$4,'NSE - NIFTY Index Options'!$I:$I,"Weekly*")+SUMIFS('NSE - NIFTY Index Options'!$M:$M,'NSE - NIFTY Index Options'!$C:$C,$A20,'NSE - NIFTY Index Options'!$B:$B,G$4,'NSE - NIFTY Index Options'!$I:$I,"MDAW*")+SUMIFS('NSE - Other Index Options'!$M:$M,'NSE - Other Index Options'!$C:$C,$A20,'NSE - Other Index Options'!$B:$B,G$4,'NSE - Other Index Options'!$I:$I,"Weekly*")+SUMIFS('NSE - Other Index Options'!$M:$M,'NSE - Other Index Options'!$C:$C,$A20,'NSE - Other Index Options'!$B:$B,G$4,'NSE - Other Index Options'!$I:$I,"MDAW*")+SUMIFS('BSE - SENSEX Index Options'!$M:$M,'BSE - SENSEX Index Options'!$C:$C,$A20,'BSE - SENSEX Index Options'!$B:$B,G$4,'BSE - SENSEX Index Options'!$I:$I,"Weekly*")+SUMIFS('BSE - SENSEX Index Options'!$M:$M,'BSE - SENSEX Index Options'!$C:$C,$A20,'BSE - SENSEX Index Options'!$B:$B,G$4,'BSE - SENSEX Index Options'!$I:$I,"MDAW*")+SUMIFS('BSE - Other Index Options'!$M:$M,'BSE - Other Index Options'!$C:$C,$A20,'BSE - Other Index Options'!$B:$B,G$4,'BSE - Other Index Options'!$I:$I,"Weekly*")+SUMIFS('BSE - Other Index Options'!$M:$M,'BSE - Other Index Options'!$C:$C,$A20,'BSE - Other Index Options'!$B:$B,G$4,'BSE - Other Index Options'!$I:$I,"MDAW*")=0,"",SUMIFS('NSE - NIFTY Index Options'!$M:$M,'NSE - NIFTY Index Options'!$C:$C,$A20,'NSE - NIFTY Index Options'!$B:$B,G$4,'NSE - NIFTY Index Options'!$I:$I,"Weekly*")+SUMIFS('NSE - NIFTY Index Options'!$M:$M,'NSE - NIFTY Index Options'!$C:$C,$A20,'NSE - NIFTY Index Options'!$B:$B,G$4,'NSE - NIFTY Index Options'!$I:$I,"MDAW*")+SUMIFS('NSE - Other Index Options'!$M:$M,'NSE - Other Index Options'!$C:$C,$A20,'NSE - Other Index Options'!$B:$B,G$4,'NSE - Other Index Options'!$I:$I,"Weekly*")+SUMIFS('NSE - Other Index Options'!$M:$M,'NSE - Other Index Options'!$C:$C,$A20,'NSE - Other Index Options'!$B:$B,G$4,'NSE - Other Index Options'!$I:$I,"MDAW*")+SUMIFS('BSE - SENSEX Index Options'!$M:$M,'BSE - SENSEX Index Options'!$C:$C,$A20,'BSE - SENSEX Index Options'!$B:$B,G$4,'BSE - SENSEX Index Options'!$I:$I,"Weekly*")+SUMIFS('BSE - SENSEX Index Options'!$M:$M,'BSE - SENSEX Index Options'!$C:$C,$A20,'BSE - SENSEX Index Options'!$B:$B,G$4,'BSE - SENSEX Index Options'!$I:$I,"MDAW*")+SUMIFS('BSE - Other Index Options'!$M:$M,'BSE - Other Index Options'!$C:$C,$A20,'BSE - Other Index Options'!$B:$B,G$4,'BSE - Other Index Options'!$I:$I,"Weekly*")+SUMIFS('BSE - Other Index Options'!$M:$M,'BSE - Other Index Options'!$C:$C,$A20,'BSE - Other Index Options'!$B:$B,G$4,'BSE - Other Index Options'!$I:$I,"MDAW*"))</f>
        <v/>
      </c>
      <c r="H20" s="26">
        <f>IF(SUM(B20:G20)=0,"",SUM(B20:G20))</f>
        <v/>
      </c>
    </row>
    <row r="21">
      <c r="A21" t="inlineStr">
        <is>
          <t>Week2-Dec-2025</t>
        </is>
      </c>
      <c r="B21" s="26">
        <f>IF(SUMIFS('NSE - NIFTY Index Options'!$M:$M,'NSE - NIFTY Index Options'!$C:$C,$A21,'NSE - NIFTY Index Options'!$B:$B,B$4,'NSE - NIFTY Index Options'!$I:$I,"Weekly*")+SUMIFS('NSE - NIFTY Index Options'!$M:$M,'NSE - NIFTY Index Options'!$C:$C,$A21,'NSE - NIFTY Index Options'!$B:$B,B$4,'NSE - NIFTY Index Options'!$I:$I,"MDAW*")+SUMIFS('NSE - Other Index Options'!$M:$M,'NSE - Other Index Options'!$C:$C,$A21,'NSE - Other Index Options'!$B:$B,B$4,'NSE - Other Index Options'!$I:$I,"Weekly*")+SUMIFS('NSE - Other Index Options'!$M:$M,'NSE - Other Index Options'!$C:$C,$A21,'NSE - Other Index Options'!$B:$B,B$4,'NSE - Other Index Options'!$I:$I,"MDAW*")+SUMIFS('BSE - SENSEX Index Options'!$M:$M,'BSE - SENSEX Index Options'!$C:$C,$A21,'BSE - SENSEX Index Options'!$B:$B,B$4,'BSE - SENSEX Index Options'!$I:$I,"Weekly*")+SUMIFS('BSE - SENSEX Index Options'!$M:$M,'BSE - SENSEX Index Options'!$C:$C,$A21,'BSE - SENSEX Index Options'!$B:$B,B$4,'BSE - SENSEX Index Options'!$I:$I,"MDAW*")+SUMIFS('BSE - Other Index Options'!$M:$M,'BSE - Other Index Options'!$C:$C,$A21,'BSE - Other Index Options'!$B:$B,B$4,'BSE - Other Index Options'!$I:$I,"Weekly*")+SUMIFS('BSE - Other Index Options'!$M:$M,'BSE - Other Index Options'!$C:$C,$A21,'BSE - Other Index Options'!$B:$B,B$4,'BSE - Other Index Options'!$I:$I,"MDAW*")=0,"",SUMIFS('NSE - NIFTY Index Options'!$M:$M,'NSE - NIFTY Index Options'!$C:$C,$A21,'NSE - NIFTY Index Options'!$B:$B,B$4,'NSE - NIFTY Index Options'!$I:$I,"Weekly*")+SUMIFS('NSE - NIFTY Index Options'!$M:$M,'NSE - NIFTY Index Options'!$C:$C,$A21,'NSE - NIFTY Index Options'!$B:$B,B$4,'NSE - NIFTY Index Options'!$I:$I,"MDAW*")+SUMIFS('NSE - Other Index Options'!$M:$M,'NSE - Other Index Options'!$C:$C,$A21,'NSE - Other Index Options'!$B:$B,B$4,'NSE - Other Index Options'!$I:$I,"Weekly*")+SUMIFS('NSE - Other Index Options'!$M:$M,'NSE - Other Index Options'!$C:$C,$A21,'NSE - Other Index Options'!$B:$B,B$4,'NSE - Other Index Options'!$I:$I,"MDAW*")+SUMIFS('BSE - SENSEX Index Options'!$M:$M,'BSE - SENSEX Index Options'!$C:$C,$A21,'BSE - SENSEX Index Options'!$B:$B,B$4,'BSE - SENSEX Index Options'!$I:$I,"Weekly*")+SUMIFS('BSE - SENSEX Index Options'!$M:$M,'BSE - SENSEX Index Options'!$C:$C,$A21,'BSE - SENSEX Index Options'!$B:$B,B$4,'BSE - SENSEX Index Options'!$I:$I,"MDAW*")+SUMIFS('BSE - Other Index Options'!$M:$M,'BSE - Other Index Options'!$C:$C,$A21,'BSE - Other Index Options'!$B:$B,B$4,'BSE - Other Index Options'!$I:$I,"Weekly*")+SUMIFS('BSE - Other Index Options'!$M:$M,'BSE - Other Index Options'!$C:$C,$A21,'BSE - Other Index Options'!$B:$B,B$4,'BSE - Other Index Options'!$I:$I,"MDAW*"))</f>
        <v/>
      </c>
      <c r="C21" s="26">
        <f>IF(SUMIFS('NSE - NIFTY Index Options'!$M:$M,'NSE - NIFTY Index Options'!$C:$C,$A21,'NSE - NIFTY Index Options'!$B:$B,C$4,'NSE - NIFTY Index Options'!$I:$I,"Weekly*")+SUMIFS('NSE - NIFTY Index Options'!$M:$M,'NSE - NIFTY Index Options'!$C:$C,$A21,'NSE - NIFTY Index Options'!$B:$B,C$4,'NSE - NIFTY Index Options'!$I:$I,"MDAW*")+SUMIFS('NSE - Other Index Options'!$M:$M,'NSE - Other Index Options'!$C:$C,$A21,'NSE - Other Index Options'!$B:$B,C$4,'NSE - Other Index Options'!$I:$I,"Weekly*")+SUMIFS('NSE - Other Index Options'!$M:$M,'NSE - Other Index Options'!$C:$C,$A21,'NSE - Other Index Options'!$B:$B,C$4,'NSE - Other Index Options'!$I:$I,"MDAW*")+SUMIFS('BSE - SENSEX Index Options'!$M:$M,'BSE - SENSEX Index Options'!$C:$C,$A21,'BSE - SENSEX Index Options'!$B:$B,C$4,'BSE - SENSEX Index Options'!$I:$I,"Weekly*")+SUMIFS('BSE - SENSEX Index Options'!$M:$M,'BSE - SENSEX Index Options'!$C:$C,$A21,'BSE - SENSEX Index Options'!$B:$B,C$4,'BSE - SENSEX Index Options'!$I:$I,"MDAW*")+SUMIFS('BSE - Other Index Options'!$M:$M,'BSE - Other Index Options'!$C:$C,$A21,'BSE - Other Index Options'!$B:$B,C$4,'BSE - Other Index Options'!$I:$I,"Weekly*")+SUMIFS('BSE - Other Index Options'!$M:$M,'BSE - Other Index Options'!$C:$C,$A21,'BSE - Other Index Options'!$B:$B,C$4,'BSE - Other Index Options'!$I:$I,"MDAW*")=0,"",SUMIFS('NSE - NIFTY Index Options'!$M:$M,'NSE - NIFTY Index Options'!$C:$C,$A21,'NSE - NIFTY Index Options'!$B:$B,C$4,'NSE - NIFTY Index Options'!$I:$I,"Weekly*")+SUMIFS('NSE - NIFTY Index Options'!$M:$M,'NSE - NIFTY Index Options'!$C:$C,$A21,'NSE - NIFTY Index Options'!$B:$B,C$4,'NSE - NIFTY Index Options'!$I:$I,"MDAW*")+SUMIFS('NSE - Other Index Options'!$M:$M,'NSE - Other Index Options'!$C:$C,$A21,'NSE - Other Index Options'!$B:$B,C$4,'NSE - Other Index Options'!$I:$I,"Weekly*")+SUMIFS('NSE - Other Index Options'!$M:$M,'NSE - Other Index Options'!$C:$C,$A21,'NSE - Other Index Options'!$B:$B,C$4,'NSE - Other Index Options'!$I:$I,"MDAW*")+SUMIFS('BSE - SENSEX Index Options'!$M:$M,'BSE - SENSEX Index Options'!$C:$C,$A21,'BSE - SENSEX Index Options'!$B:$B,C$4,'BSE - SENSEX Index Options'!$I:$I,"Weekly*")+SUMIFS('BSE - SENSEX Index Options'!$M:$M,'BSE - SENSEX Index Options'!$C:$C,$A21,'BSE - SENSEX Index Options'!$B:$B,C$4,'BSE - SENSEX Index Options'!$I:$I,"MDAW*")+SUMIFS('BSE - Other Index Options'!$M:$M,'BSE - Other Index Options'!$C:$C,$A21,'BSE - Other Index Options'!$B:$B,C$4,'BSE - Other Index Options'!$I:$I,"Weekly*")+SUMIFS('BSE - Other Index Options'!$M:$M,'BSE - Other Index Options'!$C:$C,$A21,'BSE - Other Index Options'!$B:$B,C$4,'BSE - Other Index Options'!$I:$I,"MDAW*"))</f>
        <v/>
      </c>
      <c r="D21" s="26">
        <f>IF(SUMIFS('NSE - NIFTY Index Options'!$M:$M,'NSE - NIFTY Index Options'!$C:$C,$A21,'NSE - NIFTY Index Options'!$B:$B,D$4,'NSE - NIFTY Index Options'!$I:$I,"Weekly*")+SUMIFS('NSE - NIFTY Index Options'!$M:$M,'NSE - NIFTY Index Options'!$C:$C,$A21,'NSE - NIFTY Index Options'!$B:$B,D$4,'NSE - NIFTY Index Options'!$I:$I,"MDAW*")+SUMIFS('NSE - Other Index Options'!$M:$M,'NSE - Other Index Options'!$C:$C,$A21,'NSE - Other Index Options'!$B:$B,D$4,'NSE - Other Index Options'!$I:$I,"Weekly*")+SUMIFS('NSE - Other Index Options'!$M:$M,'NSE - Other Index Options'!$C:$C,$A21,'NSE - Other Index Options'!$B:$B,D$4,'NSE - Other Index Options'!$I:$I,"MDAW*")+SUMIFS('BSE - SENSEX Index Options'!$M:$M,'BSE - SENSEX Index Options'!$C:$C,$A21,'BSE - SENSEX Index Options'!$B:$B,D$4,'BSE - SENSEX Index Options'!$I:$I,"Weekly*")+SUMIFS('BSE - SENSEX Index Options'!$M:$M,'BSE - SENSEX Index Options'!$C:$C,$A21,'BSE - SENSEX Index Options'!$B:$B,D$4,'BSE - SENSEX Index Options'!$I:$I,"MDAW*")+SUMIFS('BSE - Other Index Options'!$M:$M,'BSE - Other Index Options'!$C:$C,$A21,'BSE - Other Index Options'!$B:$B,D$4,'BSE - Other Index Options'!$I:$I,"Weekly*")+SUMIFS('BSE - Other Index Options'!$M:$M,'BSE - Other Index Options'!$C:$C,$A21,'BSE - Other Index Options'!$B:$B,D$4,'BSE - Other Index Options'!$I:$I,"MDAW*")=0,"",SUMIFS('NSE - NIFTY Index Options'!$M:$M,'NSE - NIFTY Index Options'!$C:$C,$A21,'NSE - NIFTY Index Options'!$B:$B,D$4,'NSE - NIFTY Index Options'!$I:$I,"Weekly*")+SUMIFS('NSE - NIFTY Index Options'!$M:$M,'NSE - NIFTY Index Options'!$C:$C,$A21,'NSE - NIFTY Index Options'!$B:$B,D$4,'NSE - NIFTY Index Options'!$I:$I,"MDAW*")+SUMIFS('NSE - Other Index Options'!$M:$M,'NSE - Other Index Options'!$C:$C,$A21,'NSE - Other Index Options'!$B:$B,D$4,'NSE - Other Index Options'!$I:$I,"Weekly*")+SUMIFS('NSE - Other Index Options'!$M:$M,'NSE - Other Index Options'!$C:$C,$A21,'NSE - Other Index Options'!$B:$B,D$4,'NSE - Other Index Options'!$I:$I,"MDAW*")+SUMIFS('BSE - SENSEX Index Options'!$M:$M,'BSE - SENSEX Index Options'!$C:$C,$A21,'BSE - SENSEX Index Options'!$B:$B,D$4,'BSE - SENSEX Index Options'!$I:$I,"Weekly*")+SUMIFS('BSE - SENSEX Index Options'!$M:$M,'BSE - SENSEX Index Options'!$C:$C,$A21,'BSE - SENSEX Index Options'!$B:$B,D$4,'BSE - SENSEX Index Options'!$I:$I,"MDAW*")+SUMIFS('BSE - Other Index Options'!$M:$M,'BSE - Other Index Options'!$C:$C,$A21,'BSE - Other Index Options'!$B:$B,D$4,'BSE - Other Index Options'!$I:$I,"Weekly*")+SUMIFS('BSE - Other Index Options'!$M:$M,'BSE - Other Index Options'!$C:$C,$A21,'BSE - Other Index Options'!$B:$B,D$4,'BSE - Other Index Options'!$I:$I,"MDAW*"))</f>
        <v/>
      </c>
      <c r="E21" s="26">
        <f>IF(SUMIFS('NSE - NIFTY Index Options'!$M:$M,'NSE - NIFTY Index Options'!$C:$C,$A21,'NSE - NIFTY Index Options'!$B:$B,E$4,'NSE - NIFTY Index Options'!$I:$I,"Weekly*")+SUMIFS('NSE - NIFTY Index Options'!$M:$M,'NSE - NIFTY Index Options'!$C:$C,$A21,'NSE - NIFTY Index Options'!$B:$B,E$4,'NSE - NIFTY Index Options'!$I:$I,"MDAW*")+SUMIFS('NSE - Other Index Options'!$M:$M,'NSE - Other Index Options'!$C:$C,$A21,'NSE - Other Index Options'!$B:$B,E$4,'NSE - Other Index Options'!$I:$I,"Weekly*")+SUMIFS('NSE - Other Index Options'!$M:$M,'NSE - Other Index Options'!$C:$C,$A21,'NSE - Other Index Options'!$B:$B,E$4,'NSE - Other Index Options'!$I:$I,"MDAW*")+SUMIFS('BSE - SENSEX Index Options'!$M:$M,'BSE - SENSEX Index Options'!$C:$C,$A21,'BSE - SENSEX Index Options'!$B:$B,E$4,'BSE - SENSEX Index Options'!$I:$I,"Weekly*")+SUMIFS('BSE - SENSEX Index Options'!$M:$M,'BSE - SENSEX Index Options'!$C:$C,$A21,'BSE - SENSEX Index Options'!$B:$B,E$4,'BSE - SENSEX Index Options'!$I:$I,"MDAW*")+SUMIFS('BSE - Other Index Options'!$M:$M,'BSE - Other Index Options'!$C:$C,$A21,'BSE - Other Index Options'!$B:$B,E$4,'BSE - Other Index Options'!$I:$I,"Weekly*")+SUMIFS('BSE - Other Index Options'!$M:$M,'BSE - Other Index Options'!$C:$C,$A21,'BSE - Other Index Options'!$B:$B,E$4,'BSE - Other Index Options'!$I:$I,"MDAW*")=0,"",SUMIFS('NSE - NIFTY Index Options'!$M:$M,'NSE - NIFTY Index Options'!$C:$C,$A21,'NSE - NIFTY Index Options'!$B:$B,E$4,'NSE - NIFTY Index Options'!$I:$I,"Weekly*")+SUMIFS('NSE - NIFTY Index Options'!$M:$M,'NSE - NIFTY Index Options'!$C:$C,$A21,'NSE - NIFTY Index Options'!$B:$B,E$4,'NSE - NIFTY Index Options'!$I:$I,"MDAW*")+SUMIFS('NSE - Other Index Options'!$M:$M,'NSE - Other Index Options'!$C:$C,$A21,'NSE - Other Index Options'!$B:$B,E$4,'NSE - Other Index Options'!$I:$I,"Weekly*")+SUMIFS('NSE - Other Index Options'!$M:$M,'NSE - Other Index Options'!$C:$C,$A21,'NSE - Other Index Options'!$B:$B,E$4,'NSE - Other Index Options'!$I:$I,"MDAW*")+SUMIFS('BSE - SENSEX Index Options'!$M:$M,'BSE - SENSEX Index Options'!$C:$C,$A21,'BSE - SENSEX Index Options'!$B:$B,E$4,'BSE - SENSEX Index Options'!$I:$I,"Weekly*")+SUMIFS('BSE - SENSEX Index Options'!$M:$M,'BSE - SENSEX Index Options'!$C:$C,$A21,'BSE - SENSEX Index Options'!$B:$B,E$4,'BSE - SENSEX Index Options'!$I:$I,"MDAW*")+SUMIFS('BSE - Other Index Options'!$M:$M,'BSE - Other Index Options'!$C:$C,$A21,'BSE - Other Index Options'!$B:$B,E$4,'BSE - Other Index Options'!$I:$I,"Weekly*")+SUMIFS('BSE - Other Index Options'!$M:$M,'BSE - Other Index Options'!$C:$C,$A21,'BSE - Other Index Options'!$B:$B,E$4,'BSE - Other Index Options'!$I:$I,"MDAW*"))</f>
        <v/>
      </c>
      <c r="F21" s="26">
        <f>IF(SUMIFS('NSE - NIFTY Index Options'!$M:$M,'NSE - NIFTY Index Options'!$C:$C,$A21,'NSE - NIFTY Index Options'!$B:$B,F$4,'NSE - NIFTY Index Options'!$I:$I,"Weekly*")+SUMIFS('NSE - NIFTY Index Options'!$M:$M,'NSE - NIFTY Index Options'!$C:$C,$A21,'NSE - NIFTY Index Options'!$B:$B,F$4,'NSE - NIFTY Index Options'!$I:$I,"MDAW*")+SUMIFS('NSE - Other Index Options'!$M:$M,'NSE - Other Index Options'!$C:$C,$A21,'NSE - Other Index Options'!$B:$B,F$4,'NSE - Other Index Options'!$I:$I,"Weekly*")+SUMIFS('NSE - Other Index Options'!$M:$M,'NSE - Other Index Options'!$C:$C,$A21,'NSE - Other Index Options'!$B:$B,F$4,'NSE - Other Index Options'!$I:$I,"MDAW*")+SUMIFS('BSE - SENSEX Index Options'!$M:$M,'BSE - SENSEX Index Options'!$C:$C,$A21,'BSE - SENSEX Index Options'!$B:$B,F$4,'BSE - SENSEX Index Options'!$I:$I,"Weekly*")+SUMIFS('BSE - SENSEX Index Options'!$M:$M,'BSE - SENSEX Index Options'!$C:$C,$A21,'BSE - SENSEX Index Options'!$B:$B,F$4,'BSE - SENSEX Index Options'!$I:$I,"MDAW*")+SUMIFS('BSE - Other Index Options'!$M:$M,'BSE - Other Index Options'!$C:$C,$A21,'BSE - Other Index Options'!$B:$B,F$4,'BSE - Other Index Options'!$I:$I,"Weekly*")+SUMIFS('BSE - Other Index Options'!$M:$M,'BSE - Other Index Options'!$C:$C,$A21,'BSE - Other Index Options'!$B:$B,F$4,'BSE - Other Index Options'!$I:$I,"MDAW*")=0,"",SUMIFS('NSE - NIFTY Index Options'!$M:$M,'NSE - NIFTY Index Options'!$C:$C,$A21,'NSE - NIFTY Index Options'!$B:$B,F$4,'NSE - NIFTY Index Options'!$I:$I,"Weekly*")+SUMIFS('NSE - NIFTY Index Options'!$M:$M,'NSE - NIFTY Index Options'!$C:$C,$A21,'NSE - NIFTY Index Options'!$B:$B,F$4,'NSE - NIFTY Index Options'!$I:$I,"MDAW*")+SUMIFS('NSE - Other Index Options'!$M:$M,'NSE - Other Index Options'!$C:$C,$A21,'NSE - Other Index Options'!$B:$B,F$4,'NSE - Other Index Options'!$I:$I,"Weekly*")+SUMIFS('NSE - Other Index Options'!$M:$M,'NSE - Other Index Options'!$C:$C,$A21,'NSE - Other Index Options'!$B:$B,F$4,'NSE - Other Index Options'!$I:$I,"MDAW*")+SUMIFS('BSE - SENSEX Index Options'!$M:$M,'BSE - SENSEX Index Options'!$C:$C,$A21,'BSE - SENSEX Index Options'!$B:$B,F$4,'BSE - SENSEX Index Options'!$I:$I,"Weekly*")+SUMIFS('BSE - SENSEX Index Options'!$M:$M,'BSE - SENSEX Index Options'!$C:$C,$A21,'BSE - SENSEX Index Options'!$B:$B,F$4,'BSE - SENSEX Index Options'!$I:$I,"MDAW*")+SUMIFS('BSE - Other Index Options'!$M:$M,'BSE - Other Index Options'!$C:$C,$A21,'BSE - Other Index Options'!$B:$B,F$4,'BSE - Other Index Options'!$I:$I,"Weekly*")+SUMIFS('BSE - Other Index Options'!$M:$M,'BSE - Other Index Options'!$C:$C,$A21,'BSE - Other Index Options'!$B:$B,F$4,'BSE - Other Index Options'!$I:$I,"MDAW*"))</f>
        <v/>
      </c>
      <c r="G21" s="26">
        <f>IF(SUMIFS('NSE - NIFTY Index Options'!$M:$M,'NSE - NIFTY Index Options'!$C:$C,$A21,'NSE - NIFTY Index Options'!$B:$B,G$4,'NSE - NIFTY Index Options'!$I:$I,"Weekly*")+SUMIFS('NSE - NIFTY Index Options'!$M:$M,'NSE - NIFTY Index Options'!$C:$C,$A21,'NSE - NIFTY Index Options'!$B:$B,G$4,'NSE - NIFTY Index Options'!$I:$I,"MDAW*")+SUMIFS('NSE - Other Index Options'!$M:$M,'NSE - Other Index Options'!$C:$C,$A21,'NSE - Other Index Options'!$B:$B,G$4,'NSE - Other Index Options'!$I:$I,"Weekly*")+SUMIFS('NSE - Other Index Options'!$M:$M,'NSE - Other Index Options'!$C:$C,$A21,'NSE - Other Index Options'!$B:$B,G$4,'NSE - Other Index Options'!$I:$I,"MDAW*")+SUMIFS('BSE - SENSEX Index Options'!$M:$M,'BSE - SENSEX Index Options'!$C:$C,$A21,'BSE - SENSEX Index Options'!$B:$B,G$4,'BSE - SENSEX Index Options'!$I:$I,"Weekly*")+SUMIFS('BSE - SENSEX Index Options'!$M:$M,'BSE - SENSEX Index Options'!$C:$C,$A21,'BSE - SENSEX Index Options'!$B:$B,G$4,'BSE - SENSEX Index Options'!$I:$I,"MDAW*")+SUMIFS('BSE - Other Index Options'!$M:$M,'BSE - Other Index Options'!$C:$C,$A21,'BSE - Other Index Options'!$B:$B,G$4,'BSE - Other Index Options'!$I:$I,"Weekly*")+SUMIFS('BSE - Other Index Options'!$M:$M,'BSE - Other Index Options'!$C:$C,$A21,'BSE - Other Index Options'!$B:$B,G$4,'BSE - Other Index Options'!$I:$I,"MDAW*")=0,"",SUMIFS('NSE - NIFTY Index Options'!$M:$M,'NSE - NIFTY Index Options'!$C:$C,$A21,'NSE - NIFTY Index Options'!$B:$B,G$4,'NSE - NIFTY Index Options'!$I:$I,"Weekly*")+SUMIFS('NSE - NIFTY Index Options'!$M:$M,'NSE - NIFTY Index Options'!$C:$C,$A21,'NSE - NIFTY Index Options'!$B:$B,G$4,'NSE - NIFTY Index Options'!$I:$I,"MDAW*")+SUMIFS('NSE - Other Index Options'!$M:$M,'NSE - Other Index Options'!$C:$C,$A21,'NSE - Other Index Options'!$B:$B,G$4,'NSE - Other Index Options'!$I:$I,"Weekly*")+SUMIFS('NSE - Other Index Options'!$M:$M,'NSE - Other Index Options'!$C:$C,$A21,'NSE - Other Index Options'!$B:$B,G$4,'NSE - Other Index Options'!$I:$I,"MDAW*")+SUMIFS('BSE - SENSEX Index Options'!$M:$M,'BSE - SENSEX Index Options'!$C:$C,$A21,'BSE - SENSEX Index Options'!$B:$B,G$4,'BSE - SENSEX Index Options'!$I:$I,"Weekly*")+SUMIFS('BSE - SENSEX Index Options'!$M:$M,'BSE - SENSEX Index Options'!$C:$C,$A21,'BSE - SENSEX Index Options'!$B:$B,G$4,'BSE - SENSEX Index Options'!$I:$I,"MDAW*")+SUMIFS('BSE - Other Index Options'!$M:$M,'BSE - Other Index Options'!$C:$C,$A21,'BSE - Other Index Options'!$B:$B,G$4,'BSE - Other Index Options'!$I:$I,"Weekly*")+SUMIFS('BSE - Other Index Options'!$M:$M,'BSE - Other Index Options'!$C:$C,$A21,'BSE - Other Index Options'!$B:$B,G$4,'BSE - Other Index Options'!$I:$I,"MDAW*"))</f>
        <v/>
      </c>
      <c r="H21" s="26">
        <f>IF(SUM(B21:G21)=0,"",SUM(B21:G21))</f>
        <v/>
      </c>
    </row>
    <row r="22">
      <c r="A22" t="inlineStr">
        <is>
          <t>Week3-Dec-2025</t>
        </is>
      </c>
      <c r="B22" s="26">
        <f>IF(SUMIFS('NSE - NIFTY Index Options'!$M:$M,'NSE - NIFTY Index Options'!$C:$C,$A22,'NSE - NIFTY Index Options'!$B:$B,B$4,'NSE - NIFTY Index Options'!$I:$I,"Weekly*")+SUMIFS('NSE - NIFTY Index Options'!$M:$M,'NSE - NIFTY Index Options'!$C:$C,$A22,'NSE - NIFTY Index Options'!$B:$B,B$4,'NSE - NIFTY Index Options'!$I:$I,"MDAW*")+SUMIFS('NSE - Other Index Options'!$M:$M,'NSE - Other Index Options'!$C:$C,$A22,'NSE - Other Index Options'!$B:$B,B$4,'NSE - Other Index Options'!$I:$I,"Weekly*")+SUMIFS('NSE - Other Index Options'!$M:$M,'NSE - Other Index Options'!$C:$C,$A22,'NSE - Other Index Options'!$B:$B,B$4,'NSE - Other Index Options'!$I:$I,"MDAW*")+SUMIFS('BSE - SENSEX Index Options'!$M:$M,'BSE - SENSEX Index Options'!$C:$C,$A22,'BSE - SENSEX Index Options'!$B:$B,B$4,'BSE - SENSEX Index Options'!$I:$I,"Weekly*")+SUMIFS('BSE - SENSEX Index Options'!$M:$M,'BSE - SENSEX Index Options'!$C:$C,$A22,'BSE - SENSEX Index Options'!$B:$B,B$4,'BSE - SENSEX Index Options'!$I:$I,"MDAW*")+SUMIFS('BSE - Other Index Options'!$M:$M,'BSE - Other Index Options'!$C:$C,$A22,'BSE - Other Index Options'!$B:$B,B$4,'BSE - Other Index Options'!$I:$I,"Weekly*")+SUMIFS('BSE - Other Index Options'!$M:$M,'BSE - Other Index Options'!$C:$C,$A22,'BSE - Other Index Options'!$B:$B,B$4,'BSE - Other Index Options'!$I:$I,"MDAW*")=0,"",SUMIFS('NSE - NIFTY Index Options'!$M:$M,'NSE - NIFTY Index Options'!$C:$C,$A22,'NSE - NIFTY Index Options'!$B:$B,B$4,'NSE - NIFTY Index Options'!$I:$I,"Weekly*")+SUMIFS('NSE - NIFTY Index Options'!$M:$M,'NSE - NIFTY Index Options'!$C:$C,$A22,'NSE - NIFTY Index Options'!$B:$B,B$4,'NSE - NIFTY Index Options'!$I:$I,"MDAW*")+SUMIFS('NSE - Other Index Options'!$M:$M,'NSE - Other Index Options'!$C:$C,$A22,'NSE - Other Index Options'!$B:$B,B$4,'NSE - Other Index Options'!$I:$I,"Weekly*")+SUMIFS('NSE - Other Index Options'!$M:$M,'NSE - Other Index Options'!$C:$C,$A22,'NSE - Other Index Options'!$B:$B,B$4,'NSE - Other Index Options'!$I:$I,"MDAW*")+SUMIFS('BSE - SENSEX Index Options'!$M:$M,'BSE - SENSEX Index Options'!$C:$C,$A22,'BSE - SENSEX Index Options'!$B:$B,B$4,'BSE - SENSEX Index Options'!$I:$I,"Weekly*")+SUMIFS('BSE - SENSEX Index Options'!$M:$M,'BSE - SENSEX Index Options'!$C:$C,$A22,'BSE - SENSEX Index Options'!$B:$B,B$4,'BSE - SENSEX Index Options'!$I:$I,"MDAW*")+SUMIFS('BSE - Other Index Options'!$M:$M,'BSE - Other Index Options'!$C:$C,$A22,'BSE - Other Index Options'!$B:$B,B$4,'BSE - Other Index Options'!$I:$I,"Weekly*")+SUMIFS('BSE - Other Index Options'!$M:$M,'BSE - Other Index Options'!$C:$C,$A22,'BSE - Other Index Options'!$B:$B,B$4,'BSE - Other Index Options'!$I:$I,"MDAW*"))</f>
        <v/>
      </c>
      <c r="C22" s="26">
        <f>IF(SUMIFS('NSE - NIFTY Index Options'!$M:$M,'NSE - NIFTY Index Options'!$C:$C,$A22,'NSE - NIFTY Index Options'!$B:$B,C$4,'NSE - NIFTY Index Options'!$I:$I,"Weekly*")+SUMIFS('NSE - NIFTY Index Options'!$M:$M,'NSE - NIFTY Index Options'!$C:$C,$A22,'NSE - NIFTY Index Options'!$B:$B,C$4,'NSE - NIFTY Index Options'!$I:$I,"MDAW*")+SUMIFS('NSE - Other Index Options'!$M:$M,'NSE - Other Index Options'!$C:$C,$A22,'NSE - Other Index Options'!$B:$B,C$4,'NSE - Other Index Options'!$I:$I,"Weekly*")+SUMIFS('NSE - Other Index Options'!$M:$M,'NSE - Other Index Options'!$C:$C,$A22,'NSE - Other Index Options'!$B:$B,C$4,'NSE - Other Index Options'!$I:$I,"MDAW*")+SUMIFS('BSE - SENSEX Index Options'!$M:$M,'BSE - SENSEX Index Options'!$C:$C,$A22,'BSE - SENSEX Index Options'!$B:$B,C$4,'BSE - SENSEX Index Options'!$I:$I,"Weekly*")+SUMIFS('BSE - SENSEX Index Options'!$M:$M,'BSE - SENSEX Index Options'!$C:$C,$A22,'BSE - SENSEX Index Options'!$B:$B,C$4,'BSE - SENSEX Index Options'!$I:$I,"MDAW*")+SUMIFS('BSE - Other Index Options'!$M:$M,'BSE - Other Index Options'!$C:$C,$A22,'BSE - Other Index Options'!$B:$B,C$4,'BSE - Other Index Options'!$I:$I,"Weekly*")+SUMIFS('BSE - Other Index Options'!$M:$M,'BSE - Other Index Options'!$C:$C,$A22,'BSE - Other Index Options'!$B:$B,C$4,'BSE - Other Index Options'!$I:$I,"MDAW*")=0,"",SUMIFS('NSE - NIFTY Index Options'!$M:$M,'NSE - NIFTY Index Options'!$C:$C,$A22,'NSE - NIFTY Index Options'!$B:$B,C$4,'NSE - NIFTY Index Options'!$I:$I,"Weekly*")+SUMIFS('NSE - NIFTY Index Options'!$M:$M,'NSE - NIFTY Index Options'!$C:$C,$A22,'NSE - NIFTY Index Options'!$B:$B,C$4,'NSE - NIFTY Index Options'!$I:$I,"MDAW*")+SUMIFS('NSE - Other Index Options'!$M:$M,'NSE - Other Index Options'!$C:$C,$A22,'NSE - Other Index Options'!$B:$B,C$4,'NSE - Other Index Options'!$I:$I,"Weekly*")+SUMIFS('NSE - Other Index Options'!$M:$M,'NSE - Other Index Options'!$C:$C,$A22,'NSE - Other Index Options'!$B:$B,C$4,'NSE - Other Index Options'!$I:$I,"MDAW*")+SUMIFS('BSE - SENSEX Index Options'!$M:$M,'BSE - SENSEX Index Options'!$C:$C,$A22,'BSE - SENSEX Index Options'!$B:$B,C$4,'BSE - SENSEX Index Options'!$I:$I,"Weekly*")+SUMIFS('BSE - SENSEX Index Options'!$M:$M,'BSE - SENSEX Index Options'!$C:$C,$A22,'BSE - SENSEX Index Options'!$B:$B,C$4,'BSE - SENSEX Index Options'!$I:$I,"MDAW*")+SUMIFS('BSE - Other Index Options'!$M:$M,'BSE - Other Index Options'!$C:$C,$A22,'BSE - Other Index Options'!$B:$B,C$4,'BSE - Other Index Options'!$I:$I,"Weekly*")+SUMIFS('BSE - Other Index Options'!$M:$M,'BSE - Other Index Options'!$C:$C,$A22,'BSE - Other Index Options'!$B:$B,C$4,'BSE - Other Index Options'!$I:$I,"MDAW*"))</f>
        <v/>
      </c>
      <c r="D22" s="26">
        <f>IF(SUMIFS('NSE - NIFTY Index Options'!$M:$M,'NSE - NIFTY Index Options'!$C:$C,$A22,'NSE - NIFTY Index Options'!$B:$B,D$4,'NSE - NIFTY Index Options'!$I:$I,"Weekly*")+SUMIFS('NSE - NIFTY Index Options'!$M:$M,'NSE - NIFTY Index Options'!$C:$C,$A22,'NSE - NIFTY Index Options'!$B:$B,D$4,'NSE - NIFTY Index Options'!$I:$I,"MDAW*")+SUMIFS('NSE - Other Index Options'!$M:$M,'NSE - Other Index Options'!$C:$C,$A22,'NSE - Other Index Options'!$B:$B,D$4,'NSE - Other Index Options'!$I:$I,"Weekly*")+SUMIFS('NSE - Other Index Options'!$M:$M,'NSE - Other Index Options'!$C:$C,$A22,'NSE - Other Index Options'!$B:$B,D$4,'NSE - Other Index Options'!$I:$I,"MDAW*")+SUMIFS('BSE - SENSEX Index Options'!$M:$M,'BSE - SENSEX Index Options'!$C:$C,$A22,'BSE - SENSEX Index Options'!$B:$B,D$4,'BSE - SENSEX Index Options'!$I:$I,"Weekly*")+SUMIFS('BSE - SENSEX Index Options'!$M:$M,'BSE - SENSEX Index Options'!$C:$C,$A22,'BSE - SENSEX Index Options'!$B:$B,D$4,'BSE - SENSEX Index Options'!$I:$I,"MDAW*")+SUMIFS('BSE - Other Index Options'!$M:$M,'BSE - Other Index Options'!$C:$C,$A22,'BSE - Other Index Options'!$B:$B,D$4,'BSE - Other Index Options'!$I:$I,"Weekly*")+SUMIFS('BSE - Other Index Options'!$M:$M,'BSE - Other Index Options'!$C:$C,$A22,'BSE - Other Index Options'!$B:$B,D$4,'BSE - Other Index Options'!$I:$I,"MDAW*")=0,"",SUMIFS('NSE - NIFTY Index Options'!$M:$M,'NSE - NIFTY Index Options'!$C:$C,$A22,'NSE - NIFTY Index Options'!$B:$B,D$4,'NSE - NIFTY Index Options'!$I:$I,"Weekly*")+SUMIFS('NSE - NIFTY Index Options'!$M:$M,'NSE - NIFTY Index Options'!$C:$C,$A22,'NSE - NIFTY Index Options'!$B:$B,D$4,'NSE - NIFTY Index Options'!$I:$I,"MDAW*")+SUMIFS('NSE - Other Index Options'!$M:$M,'NSE - Other Index Options'!$C:$C,$A22,'NSE - Other Index Options'!$B:$B,D$4,'NSE - Other Index Options'!$I:$I,"Weekly*")+SUMIFS('NSE - Other Index Options'!$M:$M,'NSE - Other Index Options'!$C:$C,$A22,'NSE - Other Index Options'!$B:$B,D$4,'NSE - Other Index Options'!$I:$I,"MDAW*")+SUMIFS('BSE - SENSEX Index Options'!$M:$M,'BSE - SENSEX Index Options'!$C:$C,$A22,'BSE - SENSEX Index Options'!$B:$B,D$4,'BSE - SENSEX Index Options'!$I:$I,"Weekly*")+SUMIFS('BSE - SENSEX Index Options'!$M:$M,'BSE - SENSEX Index Options'!$C:$C,$A22,'BSE - SENSEX Index Options'!$B:$B,D$4,'BSE - SENSEX Index Options'!$I:$I,"MDAW*")+SUMIFS('BSE - Other Index Options'!$M:$M,'BSE - Other Index Options'!$C:$C,$A22,'BSE - Other Index Options'!$B:$B,D$4,'BSE - Other Index Options'!$I:$I,"Weekly*")+SUMIFS('BSE - Other Index Options'!$M:$M,'BSE - Other Index Options'!$C:$C,$A22,'BSE - Other Index Options'!$B:$B,D$4,'BSE - Other Index Options'!$I:$I,"MDAW*"))</f>
        <v/>
      </c>
      <c r="E22" s="26">
        <f>IF(SUMIFS('NSE - NIFTY Index Options'!$M:$M,'NSE - NIFTY Index Options'!$C:$C,$A22,'NSE - NIFTY Index Options'!$B:$B,E$4,'NSE - NIFTY Index Options'!$I:$I,"Weekly*")+SUMIFS('NSE - NIFTY Index Options'!$M:$M,'NSE - NIFTY Index Options'!$C:$C,$A22,'NSE - NIFTY Index Options'!$B:$B,E$4,'NSE - NIFTY Index Options'!$I:$I,"MDAW*")+SUMIFS('NSE - Other Index Options'!$M:$M,'NSE - Other Index Options'!$C:$C,$A22,'NSE - Other Index Options'!$B:$B,E$4,'NSE - Other Index Options'!$I:$I,"Weekly*")+SUMIFS('NSE - Other Index Options'!$M:$M,'NSE - Other Index Options'!$C:$C,$A22,'NSE - Other Index Options'!$B:$B,E$4,'NSE - Other Index Options'!$I:$I,"MDAW*")+SUMIFS('BSE - SENSEX Index Options'!$M:$M,'BSE - SENSEX Index Options'!$C:$C,$A22,'BSE - SENSEX Index Options'!$B:$B,E$4,'BSE - SENSEX Index Options'!$I:$I,"Weekly*")+SUMIFS('BSE - SENSEX Index Options'!$M:$M,'BSE - SENSEX Index Options'!$C:$C,$A22,'BSE - SENSEX Index Options'!$B:$B,E$4,'BSE - SENSEX Index Options'!$I:$I,"MDAW*")+SUMIFS('BSE - Other Index Options'!$M:$M,'BSE - Other Index Options'!$C:$C,$A22,'BSE - Other Index Options'!$B:$B,E$4,'BSE - Other Index Options'!$I:$I,"Weekly*")+SUMIFS('BSE - Other Index Options'!$M:$M,'BSE - Other Index Options'!$C:$C,$A22,'BSE - Other Index Options'!$B:$B,E$4,'BSE - Other Index Options'!$I:$I,"MDAW*")=0,"",SUMIFS('NSE - NIFTY Index Options'!$M:$M,'NSE - NIFTY Index Options'!$C:$C,$A22,'NSE - NIFTY Index Options'!$B:$B,E$4,'NSE - NIFTY Index Options'!$I:$I,"Weekly*")+SUMIFS('NSE - NIFTY Index Options'!$M:$M,'NSE - NIFTY Index Options'!$C:$C,$A22,'NSE - NIFTY Index Options'!$B:$B,E$4,'NSE - NIFTY Index Options'!$I:$I,"MDAW*")+SUMIFS('NSE - Other Index Options'!$M:$M,'NSE - Other Index Options'!$C:$C,$A22,'NSE - Other Index Options'!$B:$B,E$4,'NSE - Other Index Options'!$I:$I,"Weekly*")+SUMIFS('NSE - Other Index Options'!$M:$M,'NSE - Other Index Options'!$C:$C,$A22,'NSE - Other Index Options'!$B:$B,E$4,'NSE - Other Index Options'!$I:$I,"MDAW*")+SUMIFS('BSE - SENSEX Index Options'!$M:$M,'BSE - SENSEX Index Options'!$C:$C,$A22,'BSE - SENSEX Index Options'!$B:$B,E$4,'BSE - SENSEX Index Options'!$I:$I,"Weekly*")+SUMIFS('BSE - SENSEX Index Options'!$M:$M,'BSE - SENSEX Index Options'!$C:$C,$A22,'BSE - SENSEX Index Options'!$B:$B,E$4,'BSE - SENSEX Index Options'!$I:$I,"MDAW*")+SUMIFS('BSE - Other Index Options'!$M:$M,'BSE - Other Index Options'!$C:$C,$A22,'BSE - Other Index Options'!$B:$B,E$4,'BSE - Other Index Options'!$I:$I,"Weekly*")+SUMIFS('BSE - Other Index Options'!$M:$M,'BSE - Other Index Options'!$C:$C,$A22,'BSE - Other Index Options'!$B:$B,E$4,'BSE - Other Index Options'!$I:$I,"MDAW*"))</f>
        <v/>
      </c>
      <c r="F22" s="26">
        <f>IF(SUMIFS('NSE - NIFTY Index Options'!$M:$M,'NSE - NIFTY Index Options'!$C:$C,$A22,'NSE - NIFTY Index Options'!$B:$B,F$4,'NSE - NIFTY Index Options'!$I:$I,"Weekly*")+SUMIFS('NSE - NIFTY Index Options'!$M:$M,'NSE - NIFTY Index Options'!$C:$C,$A22,'NSE - NIFTY Index Options'!$B:$B,F$4,'NSE - NIFTY Index Options'!$I:$I,"MDAW*")+SUMIFS('NSE - Other Index Options'!$M:$M,'NSE - Other Index Options'!$C:$C,$A22,'NSE - Other Index Options'!$B:$B,F$4,'NSE - Other Index Options'!$I:$I,"Weekly*")+SUMIFS('NSE - Other Index Options'!$M:$M,'NSE - Other Index Options'!$C:$C,$A22,'NSE - Other Index Options'!$B:$B,F$4,'NSE - Other Index Options'!$I:$I,"MDAW*")+SUMIFS('BSE - SENSEX Index Options'!$M:$M,'BSE - SENSEX Index Options'!$C:$C,$A22,'BSE - SENSEX Index Options'!$B:$B,F$4,'BSE - SENSEX Index Options'!$I:$I,"Weekly*")+SUMIFS('BSE - SENSEX Index Options'!$M:$M,'BSE - SENSEX Index Options'!$C:$C,$A22,'BSE - SENSEX Index Options'!$B:$B,F$4,'BSE - SENSEX Index Options'!$I:$I,"MDAW*")+SUMIFS('BSE - Other Index Options'!$M:$M,'BSE - Other Index Options'!$C:$C,$A22,'BSE - Other Index Options'!$B:$B,F$4,'BSE - Other Index Options'!$I:$I,"Weekly*")+SUMIFS('BSE - Other Index Options'!$M:$M,'BSE - Other Index Options'!$C:$C,$A22,'BSE - Other Index Options'!$B:$B,F$4,'BSE - Other Index Options'!$I:$I,"MDAW*")=0,"",SUMIFS('NSE - NIFTY Index Options'!$M:$M,'NSE - NIFTY Index Options'!$C:$C,$A22,'NSE - NIFTY Index Options'!$B:$B,F$4,'NSE - NIFTY Index Options'!$I:$I,"Weekly*")+SUMIFS('NSE - NIFTY Index Options'!$M:$M,'NSE - NIFTY Index Options'!$C:$C,$A22,'NSE - NIFTY Index Options'!$B:$B,F$4,'NSE - NIFTY Index Options'!$I:$I,"MDAW*")+SUMIFS('NSE - Other Index Options'!$M:$M,'NSE - Other Index Options'!$C:$C,$A22,'NSE - Other Index Options'!$B:$B,F$4,'NSE - Other Index Options'!$I:$I,"Weekly*")+SUMIFS('NSE - Other Index Options'!$M:$M,'NSE - Other Index Options'!$C:$C,$A22,'NSE - Other Index Options'!$B:$B,F$4,'NSE - Other Index Options'!$I:$I,"MDAW*")+SUMIFS('BSE - SENSEX Index Options'!$M:$M,'BSE - SENSEX Index Options'!$C:$C,$A22,'BSE - SENSEX Index Options'!$B:$B,F$4,'BSE - SENSEX Index Options'!$I:$I,"Weekly*")+SUMIFS('BSE - SENSEX Index Options'!$M:$M,'BSE - SENSEX Index Options'!$C:$C,$A22,'BSE - SENSEX Index Options'!$B:$B,F$4,'BSE - SENSEX Index Options'!$I:$I,"MDAW*")+SUMIFS('BSE - Other Index Options'!$M:$M,'BSE - Other Index Options'!$C:$C,$A22,'BSE - Other Index Options'!$B:$B,F$4,'BSE - Other Index Options'!$I:$I,"Weekly*")+SUMIFS('BSE - Other Index Options'!$M:$M,'BSE - Other Index Options'!$C:$C,$A22,'BSE - Other Index Options'!$B:$B,F$4,'BSE - Other Index Options'!$I:$I,"MDAW*"))</f>
        <v/>
      </c>
      <c r="G22" s="26">
        <f>IF(SUMIFS('NSE - NIFTY Index Options'!$M:$M,'NSE - NIFTY Index Options'!$C:$C,$A22,'NSE - NIFTY Index Options'!$B:$B,G$4,'NSE - NIFTY Index Options'!$I:$I,"Weekly*")+SUMIFS('NSE - NIFTY Index Options'!$M:$M,'NSE - NIFTY Index Options'!$C:$C,$A22,'NSE - NIFTY Index Options'!$B:$B,G$4,'NSE - NIFTY Index Options'!$I:$I,"MDAW*")+SUMIFS('NSE - Other Index Options'!$M:$M,'NSE - Other Index Options'!$C:$C,$A22,'NSE - Other Index Options'!$B:$B,G$4,'NSE - Other Index Options'!$I:$I,"Weekly*")+SUMIFS('NSE - Other Index Options'!$M:$M,'NSE - Other Index Options'!$C:$C,$A22,'NSE - Other Index Options'!$B:$B,G$4,'NSE - Other Index Options'!$I:$I,"MDAW*")+SUMIFS('BSE - SENSEX Index Options'!$M:$M,'BSE - SENSEX Index Options'!$C:$C,$A22,'BSE - SENSEX Index Options'!$B:$B,G$4,'BSE - SENSEX Index Options'!$I:$I,"Weekly*")+SUMIFS('BSE - SENSEX Index Options'!$M:$M,'BSE - SENSEX Index Options'!$C:$C,$A22,'BSE - SENSEX Index Options'!$B:$B,G$4,'BSE - SENSEX Index Options'!$I:$I,"MDAW*")+SUMIFS('BSE - Other Index Options'!$M:$M,'BSE - Other Index Options'!$C:$C,$A22,'BSE - Other Index Options'!$B:$B,G$4,'BSE - Other Index Options'!$I:$I,"Weekly*")+SUMIFS('BSE - Other Index Options'!$M:$M,'BSE - Other Index Options'!$C:$C,$A22,'BSE - Other Index Options'!$B:$B,G$4,'BSE - Other Index Options'!$I:$I,"MDAW*")=0,"",SUMIFS('NSE - NIFTY Index Options'!$M:$M,'NSE - NIFTY Index Options'!$C:$C,$A22,'NSE - NIFTY Index Options'!$B:$B,G$4,'NSE - NIFTY Index Options'!$I:$I,"Weekly*")+SUMIFS('NSE - NIFTY Index Options'!$M:$M,'NSE - NIFTY Index Options'!$C:$C,$A22,'NSE - NIFTY Index Options'!$B:$B,G$4,'NSE - NIFTY Index Options'!$I:$I,"MDAW*")+SUMIFS('NSE - Other Index Options'!$M:$M,'NSE - Other Index Options'!$C:$C,$A22,'NSE - Other Index Options'!$B:$B,G$4,'NSE - Other Index Options'!$I:$I,"Weekly*")+SUMIFS('NSE - Other Index Options'!$M:$M,'NSE - Other Index Options'!$C:$C,$A22,'NSE - Other Index Options'!$B:$B,G$4,'NSE - Other Index Options'!$I:$I,"MDAW*")+SUMIFS('BSE - SENSEX Index Options'!$M:$M,'BSE - SENSEX Index Options'!$C:$C,$A22,'BSE - SENSEX Index Options'!$B:$B,G$4,'BSE - SENSEX Index Options'!$I:$I,"Weekly*")+SUMIFS('BSE - SENSEX Index Options'!$M:$M,'BSE - SENSEX Index Options'!$C:$C,$A22,'BSE - SENSEX Index Options'!$B:$B,G$4,'BSE - SENSEX Index Options'!$I:$I,"MDAW*")+SUMIFS('BSE - Other Index Options'!$M:$M,'BSE - Other Index Options'!$C:$C,$A22,'BSE - Other Index Options'!$B:$B,G$4,'BSE - Other Index Options'!$I:$I,"Weekly*")+SUMIFS('BSE - Other Index Options'!$M:$M,'BSE - Other Index Options'!$C:$C,$A22,'BSE - Other Index Options'!$B:$B,G$4,'BSE - Other Index Options'!$I:$I,"MDAW*"))</f>
        <v/>
      </c>
      <c r="H22" s="26">
        <f>IF(SUM(B22:G22)=0,"",SUM(B22:G22))</f>
        <v/>
      </c>
    </row>
    <row r="23">
      <c r="A23" t="inlineStr">
        <is>
          <t>Week4-Dec-2025</t>
        </is>
      </c>
      <c r="B23" s="26">
        <f>IF(SUMIFS('NSE - NIFTY Index Options'!$M:$M,'NSE - NIFTY Index Options'!$C:$C,$A23,'NSE - NIFTY Index Options'!$B:$B,B$4,'NSE - NIFTY Index Options'!$I:$I,"Weekly*")+SUMIFS('NSE - NIFTY Index Options'!$M:$M,'NSE - NIFTY Index Options'!$C:$C,$A23,'NSE - NIFTY Index Options'!$B:$B,B$4,'NSE - NIFTY Index Options'!$I:$I,"MDAW*")+SUMIFS('NSE - Other Index Options'!$M:$M,'NSE - Other Index Options'!$C:$C,$A23,'NSE - Other Index Options'!$B:$B,B$4,'NSE - Other Index Options'!$I:$I,"Weekly*")+SUMIFS('NSE - Other Index Options'!$M:$M,'NSE - Other Index Options'!$C:$C,$A23,'NSE - Other Index Options'!$B:$B,B$4,'NSE - Other Index Options'!$I:$I,"MDAW*")+SUMIFS('BSE - SENSEX Index Options'!$M:$M,'BSE - SENSEX Index Options'!$C:$C,$A23,'BSE - SENSEX Index Options'!$B:$B,B$4,'BSE - SENSEX Index Options'!$I:$I,"Weekly*")+SUMIFS('BSE - SENSEX Index Options'!$M:$M,'BSE - SENSEX Index Options'!$C:$C,$A23,'BSE - SENSEX Index Options'!$B:$B,B$4,'BSE - SENSEX Index Options'!$I:$I,"MDAW*")+SUMIFS('BSE - Other Index Options'!$M:$M,'BSE - Other Index Options'!$C:$C,$A23,'BSE - Other Index Options'!$B:$B,B$4,'BSE - Other Index Options'!$I:$I,"Weekly*")+SUMIFS('BSE - Other Index Options'!$M:$M,'BSE - Other Index Options'!$C:$C,$A23,'BSE - Other Index Options'!$B:$B,B$4,'BSE - Other Index Options'!$I:$I,"MDAW*")=0,"",SUMIFS('NSE - NIFTY Index Options'!$M:$M,'NSE - NIFTY Index Options'!$C:$C,$A23,'NSE - NIFTY Index Options'!$B:$B,B$4,'NSE - NIFTY Index Options'!$I:$I,"Weekly*")+SUMIFS('NSE - NIFTY Index Options'!$M:$M,'NSE - NIFTY Index Options'!$C:$C,$A23,'NSE - NIFTY Index Options'!$B:$B,B$4,'NSE - NIFTY Index Options'!$I:$I,"MDAW*")+SUMIFS('NSE - Other Index Options'!$M:$M,'NSE - Other Index Options'!$C:$C,$A23,'NSE - Other Index Options'!$B:$B,B$4,'NSE - Other Index Options'!$I:$I,"Weekly*")+SUMIFS('NSE - Other Index Options'!$M:$M,'NSE - Other Index Options'!$C:$C,$A23,'NSE - Other Index Options'!$B:$B,B$4,'NSE - Other Index Options'!$I:$I,"MDAW*")+SUMIFS('BSE - SENSEX Index Options'!$M:$M,'BSE - SENSEX Index Options'!$C:$C,$A23,'BSE - SENSEX Index Options'!$B:$B,B$4,'BSE - SENSEX Index Options'!$I:$I,"Weekly*")+SUMIFS('BSE - SENSEX Index Options'!$M:$M,'BSE - SENSEX Index Options'!$C:$C,$A23,'BSE - SENSEX Index Options'!$B:$B,B$4,'BSE - SENSEX Index Options'!$I:$I,"MDAW*")+SUMIFS('BSE - Other Index Options'!$M:$M,'BSE - Other Index Options'!$C:$C,$A23,'BSE - Other Index Options'!$B:$B,B$4,'BSE - Other Index Options'!$I:$I,"Weekly*")+SUMIFS('BSE - Other Index Options'!$M:$M,'BSE - Other Index Options'!$C:$C,$A23,'BSE - Other Index Options'!$B:$B,B$4,'BSE - Other Index Options'!$I:$I,"MDAW*"))</f>
        <v/>
      </c>
      <c r="C23" s="26">
        <f>IF(SUMIFS('NSE - NIFTY Index Options'!$M:$M,'NSE - NIFTY Index Options'!$C:$C,$A23,'NSE - NIFTY Index Options'!$B:$B,C$4,'NSE - NIFTY Index Options'!$I:$I,"Weekly*")+SUMIFS('NSE - NIFTY Index Options'!$M:$M,'NSE - NIFTY Index Options'!$C:$C,$A23,'NSE - NIFTY Index Options'!$B:$B,C$4,'NSE - NIFTY Index Options'!$I:$I,"MDAW*")+SUMIFS('NSE - Other Index Options'!$M:$M,'NSE - Other Index Options'!$C:$C,$A23,'NSE - Other Index Options'!$B:$B,C$4,'NSE - Other Index Options'!$I:$I,"Weekly*")+SUMIFS('NSE - Other Index Options'!$M:$M,'NSE - Other Index Options'!$C:$C,$A23,'NSE - Other Index Options'!$B:$B,C$4,'NSE - Other Index Options'!$I:$I,"MDAW*")+SUMIFS('BSE - SENSEX Index Options'!$M:$M,'BSE - SENSEX Index Options'!$C:$C,$A23,'BSE - SENSEX Index Options'!$B:$B,C$4,'BSE - SENSEX Index Options'!$I:$I,"Weekly*")+SUMIFS('BSE - SENSEX Index Options'!$M:$M,'BSE - SENSEX Index Options'!$C:$C,$A23,'BSE - SENSEX Index Options'!$B:$B,C$4,'BSE - SENSEX Index Options'!$I:$I,"MDAW*")+SUMIFS('BSE - Other Index Options'!$M:$M,'BSE - Other Index Options'!$C:$C,$A23,'BSE - Other Index Options'!$B:$B,C$4,'BSE - Other Index Options'!$I:$I,"Weekly*")+SUMIFS('BSE - Other Index Options'!$M:$M,'BSE - Other Index Options'!$C:$C,$A23,'BSE - Other Index Options'!$B:$B,C$4,'BSE - Other Index Options'!$I:$I,"MDAW*")=0,"",SUMIFS('NSE - NIFTY Index Options'!$M:$M,'NSE - NIFTY Index Options'!$C:$C,$A23,'NSE - NIFTY Index Options'!$B:$B,C$4,'NSE - NIFTY Index Options'!$I:$I,"Weekly*")+SUMIFS('NSE - NIFTY Index Options'!$M:$M,'NSE - NIFTY Index Options'!$C:$C,$A23,'NSE - NIFTY Index Options'!$B:$B,C$4,'NSE - NIFTY Index Options'!$I:$I,"MDAW*")+SUMIFS('NSE - Other Index Options'!$M:$M,'NSE - Other Index Options'!$C:$C,$A23,'NSE - Other Index Options'!$B:$B,C$4,'NSE - Other Index Options'!$I:$I,"Weekly*")+SUMIFS('NSE - Other Index Options'!$M:$M,'NSE - Other Index Options'!$C:$C,$A23,'NSE - Other Index Options'!$B:$B,C$4,'NSE - Other Index Options'!$I:$I,"MDAW*")+SUMIFS('BSE - SENSEX Index Options'!$M:$M,'BSE - SENSEX Index Options'!$C:$C,$A23,'BSE - SENSEX Index Options'!$B:$B,C$4,'BSE - SENSEX Index Options'!$I:$I,"Weekly*")+SUMIFS('BSE - SENSEX Index Options'!$M:$M,'BSE - SENSEX Index Options'!$C:$C,$A23,'BSE - SENSEX Index Options'!$B:$B,C$4,'BSE - SENSEX Index Options'!$I:$I,"MDAW*")+SUMIFS('BSE - Other Index Options'!$M:$M,'BSE - Other Index Options'!$C:$C,$A23,'BSE - Other Index Options'!$B:$B,C$4,'BSE - Other Index Options'!$I:$I,"Weekly*")+SUMIFS('BSE - Other Index Options'!$M:$M,'BSE - Other Index Options'!$C:$C,$A23,'BSE - Other Index Options'!$B:$B,C$4,'BSE - Other Index Options'!$I:$I,"MDAW*"))</f>
        <v/>
      </c>
      <c r="D23" s="26">
        <f>IF(SUMIFS('NSE - NIFTY Index Options'!$M:$M,'NSE - NIFTY Index Options'!$C:$C,$A23,'NSE - NIFTY Index Options'!$B:$B,D$4,'NSE - NIFTY Index Options'!$I:$I,"Weekly*")+SUMIFS('NSE - NIFTY Index Options'!$M:$M,'NSE - NIFTY Index Options'!$C:$C,$A23,'NSE - NIFTY Index Options'!$B:$B,D$4,'NSE - NIFTY Index Options'!$I:$I,"MDAW*")+SUMIFS('NSE - Other Index Options'!$M:$M,'NSE - Other Index Options'!$C:$C,$A23,'NSE - Other Index Options'!$B:$B,D$4,'NSE - Other Index Options'!$I:$I,"Weekly*")+SUMIFS('NSE - Other Index Options'!$M:$M,'NSE - Other Index Options'!$C:$C,$A23,'NSE - Other Index Options'!$B:$B,D$4,'NSE - Other Index Options'!$I:$I,"MDAW*")+SUMIFS('BSE - SENSEX Index Options'!$M:$M,'BSE - SENSEX Index Options'!$C:$C,$A23,'BSE - SENSEX Index Options'!$B:$B,D$4,'BSE - SENSEX Index Options'!$I:$I,"Weekly*")+SUMIFS('BSE - SENSEX Index Options'!$M:$M,'BSE - SENSEX Index Options'!$C:$C,$A23,'BSE - SENSEX Index Options'!$B:$B,D$4,'BSE - SENSEX Index Options'!$I:$I,"MDAW*")+SUMIFS('BSE - Other Index Options'!$M:$M,'BSE - Other Index Options'!$C:$C,$A23,'BSE - Other Index Options'!$B:$B,D$4,'BSE - Other Index Options'!$I:$I,"Weekly*")+SUMIFS('BSE - Other Index Options'!$M:$M,'BSE - Other Index Options'!$C:$C,$A23,'BSE - Other Index Options'!$B:$B,D$4,'BSE - Other Index Options'!$I:$I,"MDAW*")=0,"",SUMIFS('NSE - NIFTY Index Options'!$M:$M,'NSE - NIFTY Index Options'!$C:$C,$A23,'NSE - NIFTY Index Options'!$B:$B,D$4,'NSE - NIFTY Index Options'!$I:$I,"Weekly*")+SUMIFS('NSE - NIFTY Index Options'!$M:$M,'NSE - NIFTY Index Options'!$C:$C,$A23,'NSE - NIFTY Index Options'!$B:$B,D$4,'NSE - NIFTY Index Options'!$I:$I,"MDAW*")+SUMIFS('NSE - Other Index Options'!$M:$M,'NSE - Other Index Options'!$C:$C,$A23,'NSE - Other Index Options'!$B:$B,D$4,'NSE - Other Index Options'!$I:$I,"Weekly*")+SUMIFS('NSE - Other Index Options'!$M:$M,'NSE - Other Index Options'!$C:$C,$A23,'NSE - Other Index Options'!$B:$B,D$4,'NSE - Other Index Options'!$I:$I,"MDAW*")+SUMIFS('BSE - SENSEX Index Options'!$M:$M,'BSE - SENSEX Index Options'!$C:$C,$A23,'BSE - SENSEX Index Options'!$B:$B,D$4,'BSE - SENSEX Index Options'!$I:$I,"Weekly*")+SUMIFS('BSE - SENSEX Index Options'!$M:$M,'BSE - SENSEX Index Options'!$C:$C,$A23,'BSE - SENSEX Index Options'!$B:$B,D$4,'BSE - SENSEX Index Options'!$I:$I,"MDAW*")+SUMIFS('BSE - Other Index Options'!$M:$M,'BSE - Other Index Options'!$C:$C,$A23,'BSE - Other Index Options'!$B:$B,D$4,'BSE - Other Index Options'!$I:$I,"Weekly*")+SUMIFS('BSE - Other Index Options'!$M:$M,'BSE - Other Index Options'!$C:$C,$A23,'BSE - Other Index Options'!$B:$B,D$4,'BSE - Other Index Options'!$I:$I,"MDAW*"))</f>
        <v/>
      </c>
      <c r="E23" s="26">
        <f>IF(SUMIFS('NSE - NIFTY Index Options'!$M:$M,'NSE - NIFTY Index Options'!$C:$C,$A23,'NSE - NIFTY Index Options'!$B:$B,E$4,'NSE - NIFTY Index Options'!$I:$I,"Weekly*")+SUMIFS('NSE - NIFTY Index Options'!$M:$M,'NSE - NIFTY Index Options'!$C:$C,$A23,'NSE - NIFTY Index Options'!$B:$B,E$4,'NSE - NIFTY Index Options'!$I:$I,"MDAW*")+SUMIFS('NSE - Other Index Options'!$M:$M,'NSE - Other Index Options'!$C:$C,$A23,'NSE - Other Index Options'!$B:$B,E$4,'NSE - Other Index Options'!$I:$I,"Weekly*")+SUMIFS('NSE - Other Index Options'!$M:$M,'NSE - Other Index Options'!$C:$C,$A23,'NSE - Other Index Options'!$B:$B,E$4,'NSE - Other Index Options'!$I:$I,"MDAW*")+SUMIFS('BSE - SENSEX Index Options'!$M:$M,'BSE - SENSEX Index Options'!$C:$C,$A23,'BSE - SENSEX Index Options'!$B:$B,E$4,'BSE - SENSEX Index Options'!$I:$I,"Weekly*")+SUMIFS('BSE - SENSEX Index Options'!$M:$M,'BSE - SENSEX Index Options'!$C:$C,$A23,'BSE - SENSEX Index Options'!$B:$B,E$4,'BSE - SENSEX Index Options'!$I:$I,"MDAW*")+SUMIFS('BSE - Other Index Options'!$M:$M,'BSE - Other Index Options'!$C:$C,$A23,'BSE - Other Index Options'!$B:$B,E$4,'BSE - Other Index Options'!$I:$I,"Weekly*")+SUMIFS('BSE - Other Index Options'!$M:$M,'BSE - Other Index Options'!$C:$C,$A23,'BSE - Other Index Options'!$B:$B,E$4,'BSE - Other Index Options'!$I:$I,"MDAW*")=0,"",SUMIFS('NSE - NIFTY Index Options'!$M:$M,'NSE - NIFTY Index Options'!$C:$C,$A23,'NSE - NIFTY Index Options'!$B:$B,E$4,'NSE - NIFTY Index Options'!$I:$I,"Weekly*")+SUMIFS('NSE - NIFTY Index Options'!$M:$M,'NSE - NIFTY Index Options'!$C:$C,$A23,'NSE - NIFTY Index Options'!$B:$B,E$4,'NSE - NIFTY Index Options'!$I:$I,"MDAW*")+SUMIFS('NSE - Other Index Options'!$M:$M,'NSE - Other Index Options'!$C:$C,$A23,'NSE - Other Index Options'!$B:$B,E$4,'NSE - Other Index Options'!$I:$I,"Weekly*")+SUMIFS('NSE - Other Index Options'!$M:$M,'NSE - Other Index Options'!$C:$C,$A23,'NSE - Other Index Options'!$B:$B,E$4,'NSE - Other Index Options'!$I:$I,"MDAW*")+SUMIFS('BSE - SENSEX Index Options'!$M:$M,'BSE - SENSEX Index Options'!$C:$C,$A23,'BSE - SENSEX Index Options'!$B:$B,E$4,'BSE - SENSEX Index Options'!$I:$I,"Weekly*")+SUMIFS('BSE - SENSEX Index Options'!$M:$M,'BSE - SENSEX Index Options'!$C:$C,$A23,'BSE - SENSEX Index Options'!$B:$B,E$4,'BSE - SENSEX Index Options'!$I:$I,"MDAW*")+SUMIFS('BSE - Other Index Options'!$M:$M,'BSE - Other Index Options'!$C:$C,$A23,'BSE - Other Index Options'!$B:$B,E$4,'BSE - Other Index Options'!$I:$I,"Weekly*")+SUMIFS('BSE - Other Index Options'!$M:$M,'BSE - Other Index Options'!$C:$C,$A23,'BSE - Other Index Options'!$B:$B,E$4,'BSE - Other Index Options'!$I:$I,"MDAW*"))</f>
        <v/>
      </c>
      <c r="F23" s="26">
        <f>IF(SUMIFS('NSE - NIFTY Index Options'!$M:$M,'NSE - NIFTY Index Options'!$C:$C,$A23,'NSE - NIFTY Index Options'!$B:$B,F$4,'NSE - NIFTY Index Options'!$I:$I,"Weekly*")+SUMIFS('NSE - NIFTY Index Options'!$M:$M,'NSE - NIFTY Index Options'!$C:$C,$A23,'NSE - NIFTY Index Options'!$B:$B,F$4,'NSE - NIFTY Index Options'!$I:$I,"MDAW*")+SUMIFS('NSE - Other Index Options'!$M:$M,'NSE - Other Index Options'!$C:$C,$A23,'NSE - Other Index Options'!$B:$B,F$4,'NSE - Other Index Options'!$I:$I,"Weekly*")+SUMIFS('NSE - Other Index Options'!$M:$M,'NSE - Other Index Options'!$C:$C,$A23,'NSE - Other Index Options'!$B:$B,F$4,'NSE - Other Index Options'!$I:$I,"MDAW*")+SUMIFS('BSE - SENSEX Index Options'!$M:$M,'BSE - SENSEX Index Options'!$C:$C,$A23,'BSE - SENSEX Index Options'!$B:$B,F$4,'BSE - SENSEX Index Options'!$I:$I,"Weekly*")+SUMIFS('BSE - SENSEX Index Options'!$M:$M,'BSE - SENSEX Index Options'!$C:$C,$A23,'BSE - SENSEX Index Options'!$B:$B,F$4,'BSE - SENSEX Index Options'!$I:$I,"MDAW*")+SUMIFS('BSE - Other Index Options'!$M:$M,'BSE - Other Index Options'!$C:$C,$A23,'BSE - Other Index Options'!$B:$B,F$4,'BSE - Other Index Options'!$I:$I,"Weekly*")+SUMIFS('BSE - Other Index Options'!$M:$M,'BSE - Other Index Options'!$C:$C,$A23,'BSE - Other Index Options'!$B:$B,F$4,'BSE - Other Index Options'!$I:$I,"MDAW*")=0,"",SUMIFS('NSE - NIFTY Index Options'!$M:$M,'NSE - NIFTY Index Options'!$C:$C,$A23,'NSE - NIFTY Index Options'!$B:$B,F$4,'NSE - NIFTY Index Options'!$I:$I,"Weekly*")+SUMIFS('NSE - NIFTY Index Options'!$M:$M,'NSE - NIFTY Index Options'!$C:$C,$A23,'NSE - NIFTY Index Options'!$B:$B,F$4,'NSE - NIFTY Index Options'!$I:$I,"MDAW*")+SUMIFS('NSE - Other Index Options'!$M:$M,'NSE - Other Index Options'!$C:$C,$A23,'NSE - Other Index Options'!$B:$B,F$4,'NSE - Other Index Options'!$I:$I,"Weekly*")+SUMIFS('NSE - Other Index Options'!$M:$M,'NSE - Other Index Options'!$C:$C,$A23,'NSE - Other Index Options'!$B:$B,F$4,'NSE - Other Index Options'!$I:$I,"MDAW*")+SUMIFS('BSE - SENSEX Index Options'!$M:$M,'BSE - SENSEX Index Options'!$C:$C,$A23,'BSE - SENSEX Index Options'!$B:$B,F$4,'BSE - SENSEX Index Options'!$I:$I,"Weekly*")+SUMIFS('BSE - SENSEX Index Options'!$M:$M,'BSE - SENSEX Index Options'!$C:$C,$A23,'BSE - SENSEX Index Options'!$B:$B,F$4,'BSE - SENSEX Index Options'!$I:$I,"MDAW*")+SUMIFS('BSE - Other Index Options'!$M:$M,'BSE - Other Index Options'!$C:$C,$A23,'BSE - Other Index Options'!$B:$B,F$4,'BSE - Other Index Options'!$I:$I,"Weekly*")+SUMIFS('BSE - Other Index Options'!$M:$M,'BSE - Other Index Options'!$C:$C,$A23,'BSE - Other Index Options'!$B:$B,F$4,'BSE - Other Index Options'!$I:$I,"MDAW*"))</f>
        <v/>
      </c>
      <c r="G23" s="26">
        <f>IF(SUMIFS('NSE - NIFTY Index Options'!$M:$M,'NSE - NIFTY Index Options'!$C:$C,$A23,'NSE - NIFTY Index Options'!$B:$B,G$4,'NSE - NIFTY Index Options'!$I:$I,"Weekly*")+SUMIFS('NSE - NIFTY Index Options'!$M:$M,'NSE - NIFTY Index Options'!$C:$C,$A23,'NSE - NIFTY Index Options'!$B:$B,G$4,'NSE - NIFTY Index Options'!$I:$I,"MDAW*")+SUMIFS('NSE - Other Index Options'!$M:$M,'NSE - Other Index Options'!$C:$C,$A23,'NSE - Other Index Options'!$B:$B,G$4,'NSE - Other Index Options'!$I:$I,"Weekly*")+SUMIFS('NSE - Other Index Options'!$M:$M,'NSE - Other Index Options'!$C:$C,$A23,'NSE - Other Index Options'!$B:$B,G$4,'NSE - Other Index Options'!$I:$I,"MDAW*")+SUMIFS('BSE - SENSEX Index Options'!$M:$M,'BSE - SENSEX Index Options'!$C:$C,$A23,'BSE - SENSEX Index Options'!$B:$B,G$4,'BSE - SENSEX Index Options'!$I:$I,"Weekly*")+SUMIFS('BSE - SENSEX Index Options'!$M:$M,'BSE - SENSEX Index Options'!$C:$C,$A23,'BSE - SENSEX Index Options'!$B:$B,G$4,'BSE - SENSEX Index Options'!$I:$I,"MDAW*")+SUMIFS('BSE - Other Index Options'!$M:$M,'BSE - Other Index Options'!$C:$C,$A23,'BSE - Other Index Options'!$B:$B,G$4,'BSE - Other Index Options'!$I:$I,"Weekly*")+SUMIFS('BSE - Other Index Options'!$M:$M,'BSE - Other Index Options'!$C:$C,$A23,'BSE - Other Index Options'!$B:$B,G$4,'BSE - Other Index Options'!$I:$I,"MDAW*")=0,"",SUMIFS('NSE - NIFTY Index Options'!$M:$M,'NSE - NIFTY Index Options'!$C:$C,$A23,'NSE - NIFTY Index Options'!$B:$B,G$4,'NSE - NIFTY Index Options'!$I:$I,"Weekly*")+SUMIFS('NSE - NIFTY Index Options'!$M:$M,'NSE - NIFTY Index Options'!$C:$C,$A23,'NSE - NIFTY Index Options'!$B:$B,G$4,'NSE - NIFTY Index Options'!$I:$I,"MDAW*")+SUMIFS('NSE - Other Index Options'!$M:$M,'NSE - Other Index Options'!$C:$C,$A23,'NSE - Other Index Options'!$B:$B,G$4,'NSE - Other Index Options'!$I:$I,"Weekly*")+SUMIFS('NSE - Other Index Options'!$M:$M,'NSE - Other Index Options'!$C:$C,$A23,'NSE - Other Index Options'!$B:$B,G$4,'NSE - Other Index Options'!$I:$I,"MDAW*")+SUMIFS('BSE - SENSEX Index Options'!$M:$M,'BSE - SENSEX Index Options'!$C:$C,$A23,'BSE - SENSEX Index Options'!$B:$B,G$4,'BSE - SENSEX Index Options'!$I:$I,"Weekly*")+SUMIFS('BSE - SENSEX Index Options'!$M:$M,'BSE - SENSEX Index Options'!$C:$C,$A23,'BSE - SENSEX Index Options'!$B:$B,G$4,'BSE - SENSEX Index Options'!$I:$I,"MDAW*")+SUMIFS('BSE - Other Index Options'!$M:$M,'BSE - Other Index Options'!$C:$C,$A23,'BSE - Other Index Options'!$B:$B,G$4,'BSE - Other Index Options'!$I:$I,"Weekly*")+SUMIFS('BSE - Other Index Options'!$M:$M,'BSE - Other Index Options'!$C:$C,$A23,'BSE - Other Index Options'!$B:$B,G$4,'BSE - Other Index Options'!$I:$I,"MDAW*"))</f>
        <v/>
      </c>
      <c r="H23" s="26">
        <f>IF(SUM(B23:G23)=0,"",SUM(B23:G23))</f>
        <v/>
      </c>
    </row>
    <row r="24">
      <c r="A24" t="inlineStr">
        <is>
          <t>Week5-Dec-2025</t>
        </is>
      </c>
      <c r="B24" s="26">
        <f>IF(SUMIFS('NSE - NIFTY Index Options'!$M:$M,'NSE - NIFTY Index Options'!$C:$C,$A24,'NSE - NIFTY Index Options'!$B:$B,B$4,'NSE - NIFTY Index Options'!$I:$I,"Weekly*")+SUMIFS('NSE - NIFTY Index Options'!$M:$M,'NSE - NIFTY Index Options'!$C:$C,$A24,'NSE - NIFTY Index Options'!$B:$B,B$4,'NSE - NIFTY Index Options'!$I:$I,"MDAW*")+SUMIFS('NSE - Other Index Options'!$M:$M,'NSE - Other Index Options'!$C:$C,$A24,'NSE - Other Index Options'!$B:$B,B$4,'NSE - Other Index Options'!$I:$I,"Weekly*")+SUMIFS('NSE - Other Index Options'!$M:$M,'NSE - Other Index Options'!$C:$C,$A24,'NSE - Other Index Options'!$B:$B,B$4,'NSE - Other Index Options'!$I:$I,"MDAW*")+SUMIFS('BSE - SENSEX Index Options'!$M:$M,'BSE - SENSEX Index Options'!$C:$C,$A24,'BSE - SENSEX Index Options'!$B:$B,B$4,'BSE - SENSEX Index Options'!$I:$I,"Weekly*")+SUMIFS('BSE - SENSEX Index Options'!$M:$M,'BSE - SENSEX Index Options'!$C:$C,$A24,'BSE - SENSEX Index Options'!$B:$B,B$4,'BSE - SENSEX Index Options'!$I:$I,"MDAW*")+SUMIFS('BSE - Other Index Options'!$M:$M,'BSE - Other Index Options'!$C:$C,$A24,'BSE - Other Index Options'!$B:$B,B$4,'BSE - Other Index Options'!$I:$I,"Weekly*")+SUMIFS('BSE - Other Index Options'!$M:$M,'BSE - Other Index Options'!$C:$C,$A24,'BSE - Other Index Options'!$B:$B,B$4,'BSE - Other Index Options'!$I:$I,"MDAW*")=0,"",SUMIFS('NSE - NIFTY Index Options'!$M:$M,'NSE - NIFTY Index Options'!$C:$C,$A24,'NSE - NIFTY Index Options'!$B:$B,B$4,'NSE - NIFTY Index Options'!$I:$I,"Weekly*")+SUMIFS('NSE - NIFTY Index Options'!$M:$M,'NSE - NIFTY Index Options'!$C:$C,$A24,'NSE - NIFTY Index Options'!$B:$B,B$4,'NSE - NIFTY Index Options'!$I:$I,"MDAW*")+SUMIFS('NSE - Other Index Options'!$M:$M,'NSE - Other Index Options'!$C:$C,$A24,'NSE - Other Index Options'!$B:$B,B$4,'NSE - Other Index Options'!$I:$I,"Weekly*")+SUMIFS('NSE - Other Index Options'!$M:$M,'NSE - Other Index Options'!$C:$C,$A24,'NSE - Other Index Options'!$B:$B,B$4,'NSE - Other Index Options'!$I:$I,"MDAW*")+SUMIFS('BSE - SENSEX Index Options'!$M:$M,'BSE - SENSEX Index Options'!$C:$C,$A24,'BSE - SENSEX Index Options'!$B:$B,B$4,'BSE - SENSEX Index Options'!$I:$I,"Weekly*")+SUMIFS('BSE - SENSEX Index Options'!$M:$M,'BSE - SENSEX Index Options'!$C:$C,$A24,'BSE - SENSEX Index Options'!$B:$B,B$4,'BSE - SENSEX Index Options'!$I:$I,"MDAW*")+SUMIFS('BSE - Other Index Options'!$M:$M,'BSE - Other Index Options'!$C:$C,$A24,'BSE - Other Index Options'!$B:$B,B$4,'BSE - Other Index Options'!$I:$I,"Weekly*")+SUMIFS('BSE - Other Index Options'!$M:$M,'BSE - Other Index Options'!$C:$C,$A24,'BSE - Other Index Options'!$B:$B,B$4,'BSE - Other Index Options'!$I:$I,"MDAW*"))</f>
        <v/>
      </c>
      <c r="C24" s="26">
        <f>IF(SUMIFS('NSE - NIFTY Index Options'!$M:$M,'NSE - NIFTY Index Options'!$C:$C,$A24,'NSE - NIFTY Index Options'!$B:$B,C$4,'NSE - NIFTY Index Options'!$I:$I,"Weekly*")+SUMIFS('NSE - NIFTY Index Options'!$M:$M,'NSE - NIFTY Index Options'!$C:$C,$A24,'NSE - NIFTY Index Options'!$B:$B,C$4,'NSE - NIFTY Index Options'!$I:$I,"MDAW*")+SUMIFS('NSE - Other Index Options'!$M:$M,'NSE - Other Index Options'!$C:$C,$A24,'NSE - Other Index Options'!$B:$B,C$4,'NSE - Other Index Options'!$I:$I,"Weekly*")+SUMIFS('NSE - Other Index Options'!$M:$M,'NSE - Other Index Options'!$C:$C,$A24,'NSE - Other Index Options'!$B:$B,C$4,'NSE - Other Index Options'!$I:$I,"MDAW*")+SUMIFS('BSE - SENSEX Index Options'!$M:$M,'BSE - SENSEX Index Options'!$C:$C,$A24,'BSE - SENSEX Index Options'!$B:$B,C$4,'BSE - SENSEX Index Options'!$I:$I,"Weekly*")+SUMIFS('BSE - SENSEX Index Options'!$M:$M,'BSE - SENSEX Index Options'!$C:$C,$A24,'BSE - SENSEX Index Options'!$B:$B,C$4,'BSE - SENSEX Index Options'!$I:$I,"MDAW*")+SUMIFS('BSE - Other Index Options'!$M:$M,'BSE - Other Index Options'!$C:$C,$A24,'BSE - Other Index Options'!$B:$B,C$4,'BSE - Other Index Options'!$I:$I,"Weekly*")+SUMIFS('BSE - Other Index Options'!$M:$M,'BSE - Other Index Options'!$C:$C,$A24,'BSE - Other Index Options'!$B:$B,C$4,'BSE - Other Index Options'!$I:$I,"MDAW*")=0,"",SUMIFS('NSE - NIFTY Index Options'!$M:$M,'NSE - NIFTY Index Options'!$C:$C,$A24,'NSE - NIFTY Index Options'!$B:$B,C$4,'NSE - NIFTY Index Options'!$I:$I,"Weekly*")+SUMIFS('NSE - NIFTY Index Options'!$M:$M,'NSE - NIFTY Index Options'!$C:$C,$A24,'NSE - NIFTY Index Options'!$B:$B,C$4,'NSE - NIFTY Index Options'!$I:$I,"MDAW*")+SUMIFS('NSE - Other Index Options'!$M:$M,'NSE - Other Index Options'!$C:$C,$A24,'NSE - Other Index Options'!$B:$B,C$4,'NSE - Other Index Options'!$I:$I,"Weekly*")+SUMIFS('NSE - Other Index Options'!$M:$M,'NSE - Other Index Options'!$C:$C,$A24,'NSE - Other Index Options'!$B:$B,C$4,'NSE - Other Index Options'!$I:$I,"MDAW*")+SUMIFS('BSE - SENSEX Index Options'!$M:$M,'BSE - SENSEX Index Options'!$C:$C,$A24,'BSE - SENSEX Index Options'!$B:$B,C$4,'BSE - SENSEX Index Options'!$I:$I,"Weekly*")+SUMIFS('BSE - SENSEX Index Options'!$M:$M,'BSE - SENSEX Index Options'!$C:$C,$A24,'BSE - SENSEX Index Options'!$B:$B,C$4,'BSE - SENSEX Index Options'!$I:$I,"MDAW*")+SUMIFS('BSE - Other Index Options'!$M:$M,'BSE - Other Index Options'!$C:$C,$A24,'BSE - Other Index Options'!$B:$B,C$4,'BSE - Other Index Options'!$I:$I,"Weekly*")+SUMIFS('BSE - Other Index Options'!$M:$M,'BSE - Other Index Options'!$C:$C,$A24,'BSE - Other Index Options'!$B:$B,C$4,'BSE - Other Index Options'!$I:$I,"MDAW*"))</f>
        <v/>
      </c>
      <c r="D24" s="26">
        <f>IF(SUMIFS('NSE - NIFTY Index Options'!$M:$M,'NSE - NIFTY Index Options'!$C:$C,$A24,'NSE - NIFTY Index Options'!$B:$B,D$4,'NSE - NIFTY Index Options'!$I:$I,"Weekly*")+SUMIFS('NSE - NIFTY Index Options'!$M:$M,'NSE - NIFTY Index Options'!$C:$C,$A24,'NSE - NIFTY Index Options'!$B:$B,D$4,'NSE - NIFTY Index Options'!$I:$I,"MDAW*")+SUMIFS('NSE - Other Index Options'!$M:$M,'NSE - Other Index Options'!$C:$C,$A24,'NSE - Other Index Options'!$B:$B,D$4,'NSE - Other Index Options'!$I:$I,"Weekly*")+SUMIFS('NSE - Other Index Options'!$M:$M,'NSE - Other Index Options'!$C:$C,$A24,'NSE - Other Index Options'!$B:$B,D$4,'NSE - Other Index Options'!$I:$I,"MDAW*")+SUMIFS('BSE - SENSEX Index Options'!$M:$M,'BSE - SENSEX Index Options'!$C:$C,$A24,'BSE - SENSEX Index Options'!$B:$B,D$4,'BSE - SENSEX Index Options'!$I:$I,"Weekly*")+SUMIFS('BSE - SENSEX Index Options'!$M:$M,'BSE - SENSEX Index Options'!$C:$C,$A24,'BSE - SENSEX Index Options'!$B:$B,D$4,'BSE - SENSEX Index Options'!$I:$I,"MDAW*")+SUMIFS('BSE - Other Index Options'!$M:$M,'BSE - Other Index Options'!$C:$C,$A24,'BSE - Other Index Options'!$B:$B,D$4,'BSE - Other Index Options'!$I:$I,"Weekly*")+SUMIFS('BSE - Other Index Options'!$M:$M,'BSE - Other Index Options'!$C:$C,$A24,'BSE - Other Index Options'!$B:$B,D$4,'BSE - Other Index Options'!$I:$I,"MDAW*")=0,"",SUMIFS('NSE - NIFTY Index Options'!$M:$M,'NSE - NIFTY Index Options'!$C:$C,$A24,'NSE - NIFTY Index Options'!$B:$B,D$4,'NSE - NIFTY Index Options'!$I:$I,"Weekly*")+SUMIFS('NSE - NIFTY Index Options'!$M:$M,'NSE - NIFTY Index Options'!$C:$C,$A24,'NSE - NIFTY Index Options'!$B:$B,D$4,'NSE - NIFTY Index Options'!$I:$I,"MDAW*")+SUMIFS('NSE - Other Index Options'!$M:$M,'NSE - Other Index Options'!$C:$C,$A24,'NSE - Other Index Options'!$B:$B,D$4,'NSE - Other Index Options'!$I:$I,"Weekly*")+SUMIFS('NSE - Other Index Options'!$M:$M,'NSE - Other Index Options'!$C:$C,$A24,'NSE - Other Index Options'!$B:$B,D$4,'NSE - Other Index Options'!$I:$I,"MDAW*")+SUMIFS('BSE - SENSEX Index Options'!$M:$M,'BSE - SENSEX Index Options'!$C:$C,$A24,'BSE - SENSEX Index Options'!$B:$B,D$4,'BSE - SENSEX Index Options'!$I:$I,"Weekly*")+SUMIFS('BSE - SENSEX Index Options'!$M:$M,'BSE - SENSEX Index Options'!$C:$C,$A24,'BSE - SENSEX Index Options'!$B:$B,D$4,'BSE - SENSEX Index Options'!$I:$I,"MDAW*")+SUMIFS('BSE - Other Index Options'!$M:$M,'BSE - Other Index Options'!$C:$C,$A24,'BSE - Other Index Options'!$B:$B,D$4,'BSE - Other Index Options'!$I:$I,"Weekly*")+SUMIFS('BSE - Other Index Options'!$M:$M,'BSE - Other Index Options'!$C:$C,$A24,'BSE - Other Index Options'!$B:$B,D$4,'BSE - Other Index Options'!$I:$I,"MDAW*"))</f>
        <v/>
      </c>
      <c r="E24" s="26">
        <f>IF(SUMIFS('NSE - NIFTY Index Options'!$M:$M,'NSE - NIFTY Index Options'!$C:$C,$A24,'NSE - NIFTY Index Options'!$B:$B,E$4,'NSE - NIFTY Index Options'!$I:$I,"Weekly*")+SUMIFS('NSE - NIFTY Index Options'!$M:$M,'NSE - NIFTY Index Options'!$C:$C,$A24,'NSE - NIFTY Index Options'!$B:$B,E$4,'NSE - NIFTY Index Options'!$I:$I,"MDAW*")+SUMIFS('NSE - Other Index Options'!$M:$M,'NSE - Other Index Options'!$C:$C,$A24,'NSE - Other Index Options'!$B:$B,E$4,'NSE - Other Index Options'!$I:$I,"Weekly*")+SUMIFS('NSE - Other Index Options'!$M:$M,'NSE - Other Index Options'!$C:$C,$A24,'NSE - Other Index Options'!$B:$B,E$4,'NSE - Other Index Options'!$I:$I,"MDAW*")+SUMIFS('BSE - SENSEX Index Options'!$M:$M,'BSE - SENSEX Index Options'!$C:$C,$A24,'BSE - SENSEX Index Options'!$B:$B,E$4,'BSE - SENSEX Index Options'!$I:$I,"Weekly*")+SUMIFS('BSE - SENSEX Index Options'!$M:$M,'BSE - SENSEX Index Options'!$C:$C,$A24,'BSE - SENSEX Index Options'!$B:$B,E$4,'BSE - SENSEX Index Options'!$I:$I,"MDAW*")+SUMIFS('BSE - Other Index Options'!$M:$M,'BSE - Other Index Options'!$C:$C,$A24,'BSE - Other Index Options'!$B:$B,E$4,'BSE - Other Index Options'!$I:$I,"Weekly*")+SUMIFS('BSE - Other Index Options'!$M:$M,'BSE - Other Index Options'!$C:$C,$A24,'BSE - Other Index Options'!$B:$B,E$4,'BSE - Other Index Options'!$I:$I,"MDAW*")=0,"",SUMIFS('NSE - NIFTY Index Options'!$M:$M,'NSE - NIFTY Index Options'!$C:$C,$A24,'NSE - NIFTY Index Options'!$B:$B,E$4,'NSE - NIFTY Index Options'!$I:$I,"Weekly*")+SUMIFS('NSE - NIFTY Index Options'!$M:$M,'NSE - NIFTY Index Options'!$C:$C,$A24,'NSE - NIFTY Index Options'!$B:$B,E$4,'NSE - NIFTY Index Options'!$I:$I,"MDAW*")+SUMIFS('NSE - Other Index Options'!$M:$M,'NSE - Other Index Options'!$C:$C,$A24,'NSE - Other Index Options'!$B:$B,E$4,'NSE - Other Index Options'!$I:$I,"Weekly*")+SUMIFS('NSE - Other Index Options'!$M:$M,'NSE - Other Index Options'!$C:$C,$A24,'NSE - Other Index Options'!$B:$B,E$4,'NSE - Other Index Options'!$I:$I,"MDAW*")+SUMIFS('BSE - SENSEX Index Options'!$M:$M,'BSE - SENSEX Index Options'!$C:$C,$A24,'BSE - SENSEX Index Options'!$B:$B,E$4,'BSE - SENSEX Index Options'!$I:$I,"Weekly*")+SUMIFS('BSE - SENSEX Index Options'!$M:$M,'BSE - SENSEX Index Options'!$C:$C,$A24,'BSE - SENSEX Index Options'!$B:$B,E$4,'BSE - SENSEX Index Options'!$I:$I,"MDAW*")+SUMIFS('BSE - Other Index Options'!$M:$M,'BSE - Other Index Options'!$C:$C,$A24,'BSE - Other Index Options'!$B:$B,E$4,'BSE - Other Index Options'!$I:$I,"Weekly*")+SUMIFS('BSE - Other Index Options'!$M:$M,'BSE - Other Index Options'!$C:$C,$A24,'BSE - Other Index Options'!$B:$B,E$4,'BSE - Other Index Options'!$I:$I,"MDAW*"))</f>
        <v/>
      </c>
      <c r="F24" s="26">
        <f>IF(SUMIFS('NSE - NIFTY Index Options'!$M:$M,'NSE - NIFTY Index Options'!$C:$C,$A24,'NSE - NIFTY Index Options'!$B:$B,F$4,'NSE - NIFTY Index Options'!$I:$I,"Weekly*")+SUMIFS('NSE - NIFTY Index Options'!$M:$M,'NSE - NIFTY Index Options'!$C:$C,$A24,'NSE - NIFTY Index Options'!$B:$B,F$4,'NSE - NIFTY Index Options'!$I:$I,"MDAW*")+SUMIFS('NSE - Other Index Options'!$M:$M,'NSE - Other Index Options'!$C:$C,$A24,'NSE - Other Index Options'!$B:$B,F$4,'NSE - Other Index Options'!$I:$I,"Weekly*")+SUMIFS('NSE - Other Index Options'!$M:$M,'NSE - Other Index Options'!$C:$C,$A24,'NSE - Other Index Options'!$B:$B,F$4,'NSE - Other Index Options'!$I:$I,"MDAW*")+SUMIFS('BSE - SENSEX Index Options'!$M:$M,'BSE - SENSEX Index Options'!$C:$C,$A24,'BSE - SENSEX Index Options'!$B:$B,F$4,'BSE - SENSEX Index Options'!$I:$I,"Weekly*")+SUMIFS('BSE - SENSEX Index Options'!$M:$M,'BSE - SENSEX Index Options'!$C:$C,$A24,'BSE - SENSEX Index Options'!$B:$B,F$4,'BSE - SENSEX Index Options'!$I:$I,"MDAW*")+SUMIFS('BSE - Other Index Options'!$M:$M,'BSE - Other Index Options'!$C:$C,$A24,'BSE - Other Index Options'!$B:$B,F$4,'BSE - Other Index Options'!$I:$I,"Weekly*")+SUMIFS('BSE - Other Index Options'!$M:$M,'BSE - Other Index Options'!$C:$C,$A24,'BSE - Other Index Options'!$B:$B,F$4,'BSE - Other Index Options'!$I:$I,"MDAW*")=0,"",SUMIFS('NSE - NIFTY Index Options'!$M:$M,'NSE - NIFTY Index Options'!$C:$C,$A24,'NSE - NIFTY Index Options'!$B:$B,F$4,'NSE - NIFTY Index Options'!$I:$I,"Weekly*")+SUMIFS('NSE - NIFTY Index Options'!$M:$M,'NSE - NIFTY Index Options'!$C:$C,$A24,'NSE - NIFTY Index Options'!$B:$B,F$4,'NSE - NIFTY Index Options'!$I:$I,"MDAW*")+SUMIFS('NSE - Other Index Options'!$M:$M,'NSE - Other Index Options'!$C:$C,$A24,'NSE - Other Index Options'!$B:$B,F$4,'NSE - Other Index Options'!$I:$I,"Weekly*")+SUMIFS('NSE - Other Index Options'!$M:$M,'NSE - Other Index Options'!$C:$C,$A24,'NSE - Other Index Options'!$B:$B,F$4,'NSE - Other Index Options'!$I:$I,"MDAW*")+SUMIFS('BSE - SENSEX Index Options'!$M:$M,'BSE - SENSEX Index Options'!$C:$C,$A24,'BSE - SENSEX Index Options'!$B:$B,F$4,'BSE - SENSEX Index Options'!$I:$I,"Weekly*")+SUMIFS('BSE - SENSEX Index Options'!$M:$M,'BSE - SENSEX Index Options'!$C:$C,$A24,'BSE - SENSEX Index Options'!$B:$B,F$4,'BSE - SENSEX Index Options'!$I:$I,"MDAW*")+SUMIFS('BSE - Other Index Options'!$M:$M,'BSE - Other Index Options'!$C:$C,$A24,'BSE - Other Index Options'!$B:$B,F$4,'BSE - Other Index Options'!$I:$I,"Weekly*")+SUMIFS('BSE - Other Index Options'!$M:$M,'BSE - Other Index Options'!$C:$C,$A24,'BSE - Other Index Options'!$B:$B,F$4,'BSE - Other Index Options'!$I:$I,"MDAW*"))</f>
        <v/>
      </c>
      <c r="G24" s="26">
        <f>IF(SUMIFS('NSE - NIFTY Index Options'!$M:$M,'NSE - NIFTY Index Options'!$C:$C,$A24,'NSE - NIFTY Index Options'!$B:$B,G$4,'NSE - NIFTY Index Options'!$I:$I,"Weekly*")+SUMIFS('NSE - NIFTY Index Options'!$M:$M,'NSE - NIFTY Index Options'!$C:$C,$A24,'NSE - NIFTY Index Options'!$B:$B,G$4,'NSE - NIFTY Index Options'!$I:$I,"MDAW*")+SUMIFS('NSE - Other Index Options'!$M:$M,'NSE - Other Index Options'!$C:$C,$A24,'NSE - Other Index Options'!$B:$B,G$4,'NSE - Other Index Options'!$I:$I,"Weekly*")+SUMIFS('NSE - Other Index Options'!$M:$M,'NSE - Other Index Options'!$C:$C,$A24,'NSE - Other Index Options'!$B:$B,G$4,'NSE - Other Index Options'!$I:$I,"MDAW*")+SUMIFS('BSE - SENSEX Index Options'!$M:$M,'BSE - SENSEX Index Options'!$C:$C,$A24,'BSE - SENSEX Index Options'!$B:$B,G$4,'BSE - SENSEX Index Options'!$I:$I,"Weekly*")+SUMIFS('BSE - SENSEX Index Options'!$M:$M,'BSE - SENSEX Index Options'!$C:$C,$A24,'BSE - SENSEX Index Options'!$B:$B,G$4,'BSE - SENSEX Index Options'!$I:$I,"MDAW*")+SUMIFS('BSE - Other Index Options'!$M:$M,'BSE - Other Index Options'!$C:$C,$A24,'BSE - Other Index Options'!$B:$B,G$4,'BSE - Other Index Options'!$I:$I,"Weekly*")+SUMIFS('BSE - Other Index Options'!$M:$M,'BSE - Other Index Options'!$C:$C,$A24,'BSE - Other Index Options'!$B:$B,G$4,'BSE - Other Index Options'!$I:$I,"MDAW*")=0,"",SUMIFS('NSE - NIFTY Index Options'!$M:$M,'NSE - NIFTY Index Options'!$C:$C,$A24,'NSE - NIFTY Index Options'!$B:$B,G$4,'NSE - NIFTY Index Options'!$I:$I,"Weekly*")+SUMIFS('NSE - NIFTY Index Options'!$M:$M,'NSE - NIFTY Index Options'!$C:$C,$A24,'NSE - NIFTY Index Options'!$B:$B,G$4,'NSE - NIFTY Index Options'!$I:$I,"MDAW*")+SUMIFS('NSE - Other Index Options'!$M:$M,'NSE - Other Index Options'!$C:$C,$A24,'NSE - Other Index Options'!$B:$B,G$4,'NSE - Other Index Options'!$I:$I,"Weekly*")+SUMIFS('NSE - Other Index Options'!$M:$M,'NSE - Other Index Options'!$C:$C,$A24,'NSE - Other Index Options'!$B:$B,G$4,'NSE - Other Index Options'!$I:$I,"MDAW*")+SUMIFS('BSE - SENSEX Index Options'!$M:$M,'BSE - SENSEX Index Options'!$C:$C,$A24,'BSE - SENSEX Index Options'!$B:$B,G$4,'BSE - SENSEX Index Options'!$I:$I,"Weekly*")+SUMIFS('BSE - SENSEX Index Options'!$M:$M,'BSE - SENSEX Index Options'!$C:$C,$A24,'BSE - SENSEX Index Options'!$B:$B,G$4,'BSE - SENSEX Index Options'!$I:$I,"MDAW*")+SUMIFS('BSE - Other Index Options'!$M:$M,'BSE - Other Index Options'!$C:$C,$A24,'BSE - Other Index Options'!$B:$B,G$4,'BSE - Other Index Options'!$I:$I,"Weekly*")+SUMIFS('BSE - Other Index Options'!$M:$M,'BSE - Other Index Options'!$C:$C,$A24,'BSE - Other Index Options'!$B:$B,G$4,'BSE - Other Index Options'!$I:$I,"MDAW*"))</f>
        <v/>
      </c>
      <c r="H24" s="26">
        <f>IF(SUM(B24:G24)=0,"",SUM(B24:G24))</f>
        <v/>
      </c>
    </row>
    <row r="25">
      <c r="A25" t="inlineStr">
        <is>
          <t>Week1-Jan-2026</t>
        </is>
      </c>
      <c r="B25" s="26">
        <f>IF(SUMIFS('NSE - NIFTY Index Options'!$M:$M,'NSE - NIFTY Index Options'!$C:$C,$A25,'NSE - NIFTY Index Options'!$B:$B,B$4,'NSE - NIFTY Index Options'!$I:$I,"Weekly*")+SUMIFS('NSE - NIFTY Index Options'!$M:$M,'NSE - NIFTY Index Options'!$C:$C,$A25,'NSE - NIFTY Index Options'!$B:$B,B$4,'NSE - NIFTY Index Options'!$I:$I,"MDAW*")+SUMIFS('NSE - Other Index Options'!$M:$M,'NSE - Other Index Options'!$C:$C,$A25,'NSE - Other Index Options'!$B:$B,B$4,'NSE - Other Index Options'!$I:$I,"Weekly*")+SUMIFS('NSE - Other Index Options'!$M:$M,'NSE - Other Index Options'!$C:$C,$A25,'NSE - Other Index Options'!$B:$B,B$4,'NSE - Other Index Options'!$I:$I,"MDAW*")+SUMIFS('BSE - SENSEX Index Options'!$M:$M,'BSE - SENSEX Index Options'!$C:$C,$A25,'BSE - SENSEX Index Options'!$B:$B,B$4,'BSE - SENSEX Index Options'!$I:$I,"Weekly*")+SUMIFS('BSE - SENSEX Index Options'!$M:$M,'BSE - SENSEX Index Options'!$C:$C,$A25,'BSE - SENSEX Index Options'!$B:$B,B$4,'BSE - SENSEX Index Options'!$I:$I,"MDAW*")+SUMIFS('BSE - Other Index Options'!$M:$M,'BSE - Other Index Options'!$C:$C,$A25,'BSE - Other Index Options'!$B:$B,B$4,'BSE - Other Index Options'!$I:$I,"Weekly*")+SUMIFS('BSE - Other Index Options'!$M:$M,'BSE - Other Index Options'!$C:$C,$A25,'BSE - Other Index Options'!$B:$B,B$4,'BSE - Other Index Options'!$I:$I,"MDAW*")=0,"",SUMIFS('NSE - NIFTY Index Options'!$M:$M,'NSE - NIFTY Index Options'!$C:$C,$A25,'NSE - NIFTY Index Options'!$B:$B,B$4,'NSE - NIFTY Index Options'!$I:$I,"Weekly*")+SUMIFS('NSE - NIFTY Index Options'!$M:$M,'NSE - NIFTY Index Options'!$C:$C,$A25,'NSE - NIFTY Index Options'!$B:$B,B$4,'NSE - NIFTY Index Options'!$I:$I,"MDAW*")+SUMIFS('NSE - Other Index Options'!$M:$M,'NSE - Other Index Options'!$C:$C,$A25,'NSE - Other Index Options'!$B:$B,B$4,'NSE - Other Index Options'!$I:$I,"Weekly*")+SUMIFS('NSE - Other Index Options'!$M:$M,'NSE - Other Index Options'!$C:$C,$A25,'NSE - Other Index Options'!$B:$B,B$4,'NSE - Other Index Options'!$I:$I,"MDAW*")+SUMIFS('BSE - SENSEX Index Options'!$M:$M,'BSE - SENSEX Index Options'!$C:$C,$A25,'BSE - SENSEX Index Options'!$B:$B,B$4,'BSE - SENSEX Index Options'!$I:$I,"Weekly*")+SUMIFS('BSE - SENSEX Index Options'!$M:$M,'BSE - SENSEX Index Options'!$C:$C,$A25,'BSE - SENSEX Index Options'!$B:$B,B$4,'BSE - SENSEX Index Options'!$I:$I,"MDAW*")+SUMIFS('BSE - Other Index Options'!$M:$M,'BSE - Other Index Options'!$C:$C,$A25,'BSE - Other Index Options'!$B:$B,B$4,'BSE - Other Index Options'!$I:$I,"Weekly*")+SUMIFS('BSE - Other Index Options'!$M:$M,'BSE - Other Index Options'!$C:$C,$A25,'BSE - Other Index Options'!$B:$B,B$4,'BSE - Other Index Options'!$I:$I,"MDAW*"))</f>
        <v/>
      </c>
      <c r="C25" s="26">
        <f>IF(SUMIFS('NSE - NIFTY Index Options'!$M:$M,'NSE - NIFTY Index Options'!$C:$C,$A25,'NSE - NIFTY Index Options'!$B:$B,C$4,'NSE - NIFTY Index Options'!$I:$I,"Weekly*")+SUMIFS('NSE - NIFTY Index Options'!$M:$M,'NSE - NIFTY Index Options'!$C:$C,$A25,'NSE - NIFTY Index Options'!$B:$B,C$4,'NSE - NIFTY Index Options'!$I:$I,"MDAW*")+SUMIFS('NSE - Other Index Options'!$M:$M,'NSE - Other Index Options'!$C:$C,$A25,'NSE - Other Index Options'!$B:$B,C$4,'NSE - Other Index Options'!$I:$I,"Weekly*")+SUMIFS('NSE - Other Index Options'!$M:$M,'NSE - Other Index Options'!$C:$C,$A25,'NSE - Other Index Options'!$B:$B,C$4,'NSE - Other Index Options'!$I:$I,"MDAW*")+SUMIFS('BSE - SENSEX Index Options'!$M:$M,'BSE - SENSEX Index Options'!$C:$C,$A25,'BSE - SENSEX Index Options'!$B:$B,C$4,'BSE - SENSEX Index Options'!$I:$I,"Weekly*")+SUMIFS('BSE - SENSEX Index Options'!$M:$M,'BSE - SENSEX Index Options'!$C:$C,$A25,'BSE - SENSEX Index Options'!$B:$B,C$4,'BSE - SENSEX Index Options'!$I:$I,"MDAW*")+SUMIFS('BSE - Other Index Options'!$M:$M,'BSE - Other Index Options'!$C:$C,$A25,'BSE - Other Index Options'!$B:$B,C$4,'BSE - Other Index Options'!$I:$I,"Weekly*")+SUMIFS('BSE - Other Index Options'!$M:$M,'BSE - Other Index Options'!$C:$C,$A25,'BSE - Other Index Options'!$B:$B,C$4,'BSE - Other Index Options'!$I:$I,"MDAW*")=0,"",SUMIFS('NSE - NIFTY Index Options'!$M:$M,'NSE - NIFTY Index Options'!$C:$C,$A25,'NSE - NIFTY Index Options'!$B:$B,C$4,'NSE - NIFTY Index Options'!$I:$I,"Weekly*")+SUMIFS('NSE - NIFTY Index Options'!$M:$M,'NSE - NIFTY Index Options'!$C:$C,$A25,'NSE - NIFTY Index Options'!$B:$B,C$4,'NSE - NIFTY Index Options'!$I:$I,"MDAW*")+SUMIFS('NSE - Other Index Options'!$M:$M,'NSE - Other Index Options'!$C:$C,$A25,'NSE - Other Index Options'!$B:$B,C$4,'NSE - Other Index Options'!$I:$I,"Weekly*")+SUMIFS('NSE - Other Index Options'!$M:$M,'NSE - Other Index Options'!$C:$C,$A25,'NSE - Other Index Options'!$B:$B,C$4,'NSE - Other Index Options'!$I:$I,"MDAW*")+SUMIFS('BSE - SENSEX Index Options'!$M:$M,'BSE - SENSEX Index Options'!$C:$C,$A25,'BSE - SENSEX Index Options'!$B:$B,C$4,'BSE - SENSEX Index Options'!$I:$I,"Weekly*")+SUMIFS('BSE - SENSEX Index Options'!$M:$M,'BSE - SENSEX Index Options'!$C:$C,$A25,'BSE - SENSEX Index Options'!$B:$B,C$4,'BSE - SENSEX Index Options'!$I:$I,"MDAW*")+SUMIFS('BSE - Other Index Options'!$M:$M,'BSE - Other Index Options'!$C:$C,$A25,'BSE - Other Index Options'!$B:$B,C$4,'BSE - Other Index Options'!$I:$I,"Weekly*")+SUMIFS('BSE - Other Index Options'!$M:$M,'BSE - Other Index Options'!$C:$C,$A25,'BSE - Other Index Options'!$B:$B,C$4,'BSE - Other Index Options'!$I:$I,"MDAW*"))</f>
        <v/>
      </c>
      <c r="D25" s="26">
        <f>IF(SUMIFS('NSE - NIFTY Index Options'!$M:$M,'NSE - NIFTY Index Options'!$C:$C,$A25,'NSE - NIFTY Index Options'!$B:$B,D$4,'NSE - NIFTY Index Options'!$I:$I,"Weekly*")+SUMIFS('NSE - NIFTY Index Options'!$M:$M,'NSE - NIFTY Index Options'!$C:$C,$A25,'NSE - NIFTY Index Options'!$B:$B,D$4,'NSE - NIFTY Index Options'!$I:$I,"MDAW*")+SUMIFS('NSE - Other Index Options'!$M:$M,'NSE - Other Index Options'!$C:$C,$A25,'NSE - Other Index Options'!$B:$B,D$4,'NSE - Other Index Options'!$I:$I,"Weekly*")+SUMIFS('NSE - Other Index Options'!$M:$M,'NSE - Other Index Options'!$C:$C,$A25,'NSE - Other Index Options'!$B:$B,D$4,'NSE - Other Index Options'!$I:$I,"MDAW*")+SUMIFS('BSE - SENSEX Index Options'!$M:$M,'BSE - SENSEX Index Options'!$C:$C,$A25,'BSE - SENSEX Index Options'!$B:$B,D$4,'BSE - SENSEX Index Options'!$I:$I,"Weekly*")+SUMIFS('BSE - SENSEX Index Options'!$M:$M,'BSE - SENSEX Index Options'!$C:$C,$A25,'BSE - SENSEX Index Options'!$B:$B,D$4,'BSE - SENSEX Index Options'!$I:$I,"MDAW*")+SUMIFS('BSE - Other Index Options'!$M:$M,'BSE - Other Index Options'!$C:$C,$A25,'BSE - Other Index Options'!$B:$B,D$4,'BSE - Other Index Options'!$I:$I,"Weekly*")+SUMIFS('BSE - Other Index Options'!$M:$M,'BSE - Other Index Options'!$C:$C,$A25,'BSE - Other Index Options'!$B:$B,D$4,'BSE - Other Index Options'!$I:$I,"MDAW*")=0,"",SUMIFS('NSE - NIFTY Index Options'!$M:$M,'NSE - NIFTY Index Options'!$C:$C,$A25,'NSE - NIFTY Index Options'!$B:$B,D$4,'NSE - NIFTY Index Options'!$I:$I,"Weekly*")+SUMIFS('NSE - NIFTY Index Options'!$M:$M,'NSE - NIFTY Index Options'!$C:$C,$A25,'NSE - NIFTY Index Options'!$B:$B,D$4,'NSE - NIFTY Index Options'!$I:$I,"MDAW*")+SUMIFS('NSE - Other Index Options'!$M:$M,'NSE - Other Index Options'!$C:$C,$A25,'NSE - Other Index Options'!$B:$B,D$4,'NSE - Other Index Options'!$I:$I,"Weekly*")+SUMIFS('NSE - Other Index Options'!$M:$M,'NSE - Other Index Options'!$C:$C,$A25,'NSE - Other Index Options'!$B:$B,D$4,'NSE - Other Index Options'!$I:$I,"MDAW*")+SUMIFS('BSE - SENSEX Index Options'!$M:$M,'BSE - SENSEX Index Options'!$C:$C,$A25,'BSE - SENSEX Index Options'!$B:$B,D$4,'BSE - SENSEX Index Options'!$I:$I,"Weekly*")+SUMIFS('BSE - SENSEX Index Options'!$M:$M,'BSE - SENSEX Index Options'!$C:$C,$A25,'BSE - SENSEX Index Options'!$B:$B,D$4,'BSE - SENSEX Index Options'!$I:$I,"MDAW*")+SUMIFS('BSE - Other Index Options'!$M:$M,'BSE - Other Index Options'!$C:$C,$A25,'BSE - Other Index Options'!$B:$B,D$4,'BSE - Other Index Options'!$I:$I,"Weekly*")+SUMIFS('BSE - Other Index Options'!$M:$M,'BSE - Other Index Options'!$C:$C,$A25,'BSE - Other Index Options'!$B:$B,D$4,'BSE - Other Index Options'!$I:$I,"MDAW*"))</f>
        <v/>
      </c>
      <c r="E25" s="26">
        <f>IF(SUMIFS('NSE - NIFTY Index Options'!$M:$M,'NSE - NIFTY Index Options'!$C:$C,$A25,'NSE - NIFTY Index Options'!$B:$B,E$4,'NSE - NIFTY Index Options'!$I:$I,"Weekly*")+SUMIFS('NSE - NIFTY Index Options'!$M:$M,'NSE - NIFTY Index Options'!$C:$C,$A25,'NSE - NIFTY Index Options'!$B:$B,E$4,'NSE - NIFTY Index Options'!$I:$I,"MDAW*")+SUMIFS('NSE - Other Index Options'!$M:$M,'NSE - Other Index Options'!$C:$C,$A25,'NSE - Other Index Options'!$B:$B,E$4,'NSE - Other Index Options'!$I:$I,"Weekly*")+SUMIFS('NSE - Other Index Options'!$M:$M,'NSE - Other Index Options'!$C:$C,$A25,'NSE - Other Index Options'!$B:$B,E$4,'NSE - Other Index Options'!$I:$I,"MDAW*")+SUMIFS('BSE - SENSEX Index Options'!$M:$M,'BSE - SENSEX Index Options'!$C:$C,$A25,'BSE - SENSEX Index Options'!$B:$B,E$4,'BSE - SENSEX Index Options'!$I:$I,"Weekly*")+SUMIFS('BSE - SENSEX Index Options'!$M:$M,'BSE - SENSEX Index Options'!$C:$C,$A25,'BSE - SENSEX Index Options'!$B:$B,E$4,'BSE - SENSEX Index Options'!$I:$I,"MDAW*")+SUMIFS('BSE - Other Index Options'!$M:$M,'BSE - Other Index Options'!$C:$C,$A25,'BSE - Other Index Options'!$B:$B,E$4,'BSE - Other Index Options'!$I:$I,"Weekly*")+SUMIFS('BSE - Other Index Options'!$M:$M,'BSE - Other Index Options'!$C:$C,$A25,'BSE - Other Index Options'!$B:$B,E$4,'BSE - Other Index Options'!$I:$I,"MDAW*")=0,"",SUMIFS('NSE - NIFTY Index Options'!$M:$M,'NSE - NIFTY Index Options'!$C:$C,$A25,'NSE - NIFTY Index Options'!$B:$B,E$4,'NSE - NIFTY Index Options'!$I:$I,"Weekly*")+SUMIFS('NSE - NIFTY Index Options'!$M:$M,'NSE - NIFTY Index Options'!$C:$C,$A25,'NSE - NIFTY Index Options'!$B:$B,E$4,'NSE - NIFTY Index Options'!$I:$I,"MDAW*")+SUMIFS('NSE - Other Index Options'!$M:$M,'NSE - Other Index Options'!$C:$C,$A25,'NSE - Other Index Options'!$B:$B,E$4,'NSE - Other Index Options'!$I:$I,"Weekly*")+SUMIFS('NSE - Other Index Options'!$M:$M,'NSE - Other Index Options'!$C:$C,$A25,'NSE - Other Index Options'!$B:$B,E$4,'NSE - Other Index Options'!$I:$I,"MDAW*")+SUMIFS('BSE - SENSEX Index Options'!$M:$M,'BSE - SENSEX Index Options'!$C:$C,$A25,'BSE - SENSEX Index Options'!$B:$B,E$4,'BSE - SENSEX Index Options'!$I:$I,"Weekly*")+SUMIFS('BSE - SENSEX Index Options'!$M:$M,'BSE - SENSEX Index Options'!$C:$C,$A25,'BSE - SENSEX Index Options'!$B:$B,E$4,'BSE - SENSEX Index Options'!$I:$I,"MDAW*")+SUMIFS('BSE - Other Index Options'!$M:$M,'BSE - Other Index Options'!$C:$C,$A25,'BSE - Other Index Options'!$B:$B,E$4,'BSE - Other Index Options'!$I:$I,"Weekly*")+SUMIFS('BSE - Other Index Options'!$M:$M,'BSE - Other Index Options'!$C:$C,$A25,'BSE - Other Index Options'!$B:$B,E$4,'BSE - Other Index Options'!$I:$I,"MDAW*"))</f>
        <v/>
      </c>
      <c r="F25" s="26">
        <f>IF(SUMIFS('NSE - NIFTY Index Options'!$M:$M,'NSE - NIFTY Index Options'!$C:$C,$A25,'NSE - NIFTY Index Options'!$B:$B,F$4,'NSE - NIFTY Index Options'!$I:$I,"Weekly*")+SUMIFS('NSE - NIFTY Index Options'!$M:$M,'NSE - NIFTY Index Options'!$C:$C,$A25,'NSE - NIFTY Index Options'!$B:$B,F$4,'NSE - NIFTY Index Options'!$I:$I,"MDAW*")+SUMIFS('NSE - Other Index Options'!$M:$M,'NSE - Other Index Options'!$C:$C,$A25,'NSE - Other Index Options'!$B:$B,F$4,'NSE - Other Index Options'!$I:$I,"Weekly*")+SUMIFS('NSE - Other Index Options'!$M:$M,'NSE - Other Index Options'!$C:$C,$A25,'NSE - Other Index Options'!$B:$B,F$4,'NSE - Other Index Options'!$I:$I,"MDAW*")+SUMIFS('BSE - SENSEX Index Options'!$M:$M,'BSE - SENSEX Index Options'!$C:$C,$A25,'BSE - SENSEX Index Options'!$B:$B,F$4,'BSE - SENSEX Index Options'!$I:$I,"Weekly*")+SUMIFS('BSE - SENSEX Index Options'!$M:$M,'BSE - SENSEX Index Options'!$C:$C,$A25,'BSE - SENSEX Index Options'!$B:$B,F$4,'BSE - SENSEX Index Options'!$I:$I,"MDAW*")+SUMIFS('BSE - Other Index Options'!$M:$M,'BSE - Other Index Options'!$C:$C,$A25,'BSE - Other Index Options'!$B:$B,F$4,'BSE - Other Index Options'!$I:$I,"Weekly*")+SUMIFS('BSE - Other Index Options'!$M:$M,'BSE - Other Index Options'!$C:$C,$A25,'BSE - Other Index Options'!$B:$B,F$4,'BSE - Other Index Options'!$I:$I,"MDAW*")=0,"",SUMIFS('NSE - NIFTY Index Options'!$M:$M,'NSE - NIFTY Index Options'!$C:$C,$A25,'NSE - NIFTY Index Options'!$B:$B,F$4,'NSE - NIFTY Index Options'!$I:$I,"Weekly*")+SUMIFS('NSE - NIFTY Index Options'!$M:$M,'NSE - NIFTY Index Options'!$C:$C,$A25,'NSE - NIFTY Index Options'!$B:$B,F$4,'NSE - NIFTY Index Options'!$I:$I,"MDAW*")+SUMIFS('NSE - Other Index Options'!$M:$M,'NSE - Other Index Options'!$C:$C,$A25,'NSE - Other Index Options'!$B:$B,F$4,'NSE - Other Index Options'!$I:$I,"Weekly*")+SUMIFS('NSE - Other Index Options'!$M:$M,'NSE - Other Index Options'!$C:$C,$A25,'NSE - Other Index Options'!$B:$B,F$4,'NSE - Other Index Options'!$I:$I,"MDAW*")+SUMIFS('BSE - SENSEX Index Options'!$M:$M,'BSE - SENSEX Index Options'!$C:$C,$A25,'BSE - SENSEX Index Options'!$B:$B,F$4,'BSE - SENSEX Index Options'!$I:$I,"Weekly*")+SUMIFS('BSE - SENSEX Index Options'!$M:$M,'BSE - SENSEX Index Options'!$C:$C,$A25,'BSE - SENSEX Index Options'!$B:$B,F$4,'BSE - SENSEX Index Options'!$I:$I,"MDAW*")+SUMIFS('BSE - Other Index Options'!$M:$M,'BSE - Other Index Options'!$C:$C,$A25,'BSE - Other Index Options'!$B:$B,F$4,'BSE - Other Index Options'!$I:$I,"Weekly*")+SUMIFS('BSE - Other Index Options'!$M:$M,'BSE - Other Index Options'!$C:$C,$A25,'BSE - Other Index Options'!$B:$B,F$4,'BSE - Other Index Options'!$I:$I,"MDAW*"))</f>
        <v/>
      </c>
      <c r="G25" s="26">
        <f>IF(SUMIFS('NSE - NIFTY Index Options'!$M:$M,'NSE - NIFTY Index Options'!$C:$C,$A25,'NSE - NIFTY Index Options'!$B:$B,G$4,'NSE - NIFTY Index Options'!$I:$I,"Weekly*")+SUMIFS('NSE - NIFTY Index Options'!$M:$M,'NSE - NIFTY Index Options'!$C:$C,$A25,'NSE - NIFTY Index Options'!$B:$B,G$4,'NSE - NIFTY Index Options'!$I:$I,"MDAW*")+SUMIFS('NSE - Other Index Options'!$M:$M,'NSE - Other Index Options'!$C:$C,$A25,'NSE - Other Index Options'!$B:$B,G$4,'NSE - Other Index Options'!$I:$I,"Weekly*")+SUMIFS('NSE - Other Index Options'!$M:$M,'NSE - Other Index Options'!$C:$C,$A25,'NSE - Other Index Options'!$B:$B,G$4,'NSE - Other Index Options'!$I:$I,"MDAW*")+SUMIFS('BSE - SENSEX Index Options'!$M:$M,'BSE - SENSEX Index Options'!$C:$C,$A25,'BSE - SENSEX Index Options'!$B:$B,G$4,'BSE - SENSEX Index Options'!$I:$I,"Weekly*")+SUMIFS('BSE - SENSEX Index Options'!$M:$M,'BSE - SENSEX Index Options'!$C:$C,$A25,'BSE - SENSEX Index Options'!$B:$B,G$4,'BSE - SENSEX Index Options'!$I:$I,"MDAW*")+SUMIFS('BSE - Other Index Options'!$M:$M,'BSE - Other Index Options'!$C:$C,$A25,'BSE - Other Index Options'!$B:$B,G$4,'BSE - Other Index Options'!$I:$I,"Weekly*")+SUMIFS('BSE - Other Index Options'!$M:$M,'BSE - Other Index Options'!$C:$C,$A25,'BSE - Other Index Options'!$B:$B,G$4,'BSE - Other Index Options'!$I:$I,"MDAW*")=0,"",SUMIFS('NSE - NIFTY Index Options'!$M:$M,'NSE - NIFTY Index Options'!$C:$C,$A25,'NSE - NIFTY Index Options'!$B:$B,G$4,'NSE - NIFTY Index Options'!$I:$I,"Weekly*")+SUMIFS('NSE - NIFTY Index Options'!$M:$M,'NSE - NIFTY Index Options'!$C:$C,$A25,'NSE - NIFTY Index Options'!$B:$B,G$4,'NSE - NIFTY Index Options'!$I:$I,"MDAW*")+SUMIFS('NSE - Other Index Options'!$M:$M,'NSE - Other Index Options'!$C:$C,$A25,'NSE - Other Index Options'!$B:$B,G$4,'NSE - Other Index Options'!$I:$I,"Weekly*")+SUMIFS('NSE - Other Index Options'!$M:$M,'NSE - Other Index Options'!$C:$C,$A25,'NSE - Other Index Options'!$B:$B,G$4,'NSE - Other Index Options'!$I:$I,"MDAW*")+SUMIFS('BSE - SENSEX Index Options'!$M:$M,'BSE - SENSEX Index Options'!$C:$C,$A25,'BSE - SENSEX Index Options'!$B:$B,G$4,'BSE - SENSEX Index Options'!$I:$I,"Weekly*")+SUMIFS('BSE - SENSEX Index Options'!$M:$M,'BSE - SENSEX Index Options'!$C:$C,$A25,'BSE - SENSEX Index Options'!$B:$B,G$4,'BSE - SENSEX Index Options'!$I:$I,"MDAW*")+SUMIFS('BSE - Other Index Options'!$M:$M,'BSE - Other Index Options'!$C:$C,$A25,'BSE - Other Index Options'!$B:$B,G$4,'BSE - Other Index Options'!$I:$I,"Weekly*")+SUMIFS('BSE - Other Index Options'!$M:$M,'BSE - Other Index Options'!$C:$C,$A25,'BSE - Other Index Options'!$B:$B,G$4,'BSE - Other Index Options'!$I:$I,"MDAW*"))</f>
        <v/>
      </c>
      <c r="H25" s="26">
        <f>IF(SUM(B25:G25)=0,"",SUM(B25:G25))</f>
        <v/>
      </c>
    </row>
    <row r="26">
      <c r="A26" t="inlineStr">
        <is>
          <t>Week2-Jan-2026</t>
        </is>
      </c>
      <c r="B26" s="26">
        <f>IF(SUMIFS('NSE - NIFTY Index Options'!$M:$M,'NSE - NIFTY Index Options'!$C:$C,$A26,'NSE - NIFTY Index Options'!$B:$B,B$4,'NSE - NIFTY Index Options'!$I:$I,"Weekly*")+SUMIFS('NSE - NIFTY Index Options'!$M:$M,'NSE - NIFTY Index Options'!$C:$C,$A26,'NSE - NIFTY Index Options'!$B:$B,B$4,'NSE - NIFTY Index Options'!$I:$I,"MDAW*")+SUMIFS('NSE - Other Index Options'!$M:$M,'NSE - Other Index Options'!$C:$C,$A26,'NSE - Other Index Options'!$B:$B,B$4,'NSE - Other Index Options'!$I:$I,"Weekly*")+SUMIFS('NSE - Other Index Options'!$M:$M,'NSE - Other Index Options'!$C:$C,$A26,'NSE - Other Index Options'!$B:$B,B$4,'NSE - Other Index Options'!$I:$I,"MDAW*")+SUMIFS('BSE - SENSEX Index Options'!$M:$M,'BSE - SENSEX Index Options'!$C:$C,$A26,'BSE - SENSEX Index Options'!$B:$B,B$4,'BSE - SENSEX Index Options'!$I:$I,"Weekly*")+SUMIFS('BSE - SENSEX Index Options'!$M:$M,'BSE - SENSEX Index Options'!$C:$C,$A26,'BSE - SENSEX Index Options'!$B:$B,B$4,'BSE - SENSEX Index Options'!$I:$I,"MDAW*")+SUMIFS('BSE - Other Index Options'!$M:$M,'BSE - Other Index Options'!$C:$C,$A26,'BSE - Other Index Options'!$B:$B,B$4,'BSE - Other Index Options'!$I:$I,"Weekly*")+SUMIFS('BSE - Other Index Options'!$M:$M,'BSE - Other Index Options'!$C:$C,$A26,'BSE - Other Index Options'!$B:$B,B$4,'BSE - Other Index Options'!$I:$I,"MDAW*")=0,"",SUMIFS('NSE - NIFTY Index Options'!$M:$M,'NSE - NIFTY Index Options'!$C:$C,$A26,'NSE - NIFTY Index Options'!$B:$B,B$4,'NSE - NIFTY Index Options'!$I:$I,"Weekly*")+SUMIFS('NSE - NIFTY Index Options'!$M:$M,'NSE - NIFTY Index Options'!$C:$C,$A26,'NSE - NIFTY Index Options'!$B:$B,B$4,'NSE - NIFTY Index Options'!$I:$I,"MDAW*")+SUMIFS('NSE - Other Index Options'!$M:$M,'NSE - Other Index Options'!$C:$C,$A26,'NSE - Other Index Options'!$B:$B,B$4,'NSE - Other Index Options'!$I:$I,"Weekly*")+SUMIFS('NSE - Other Index Options'!$M:$M,'NSE - Other Index Options'!$C:$C,$A26,'NSE - Other Index Options'!$B:$B,B$4,'NSE - Other Index Options'!$I:$I,"MDAW*")+SUMIFS('BSE - SENSEX Index Options'!$M:$M,'BSE - SENSEX Index Options'!$C:$C,$A26,'BSE - SENSEX Index Options'!$B:$B,B$4,'BSE - SENSEX Index Options'!$I:$I,"Weekly*")+SUMIFS('BSE - SENSEX Index Options'!$M:$M,'BSE - SENSEX Index Options'!$C:$C,$A26,'BSE - SENSEX Index Options'!$B:$B,B$4,'BSE - SENSEX Index Options'!$I:$I,"MDAW*")+SUMIFS('BSE - Other Index Options'!$M:$M,'BSE - Other Index Options'!$C:$C,$A26,'BSE - Other Index Options'!$B:$B,B$4,'BSE - Other Index Options'!$I:$I,"Weekly*")+SUMIFS('BSE - Other Index Options'!$M:$M,'BSE - Other Index Options'!$C:$C,$A26,'BSE - Other Index Options'!$B:$B,B$4,'BSE - Other Index Options'!$I:$I,"MDAW*"))</f>
        <v/>
      </c>
      <c r="C26" s="26">
        <f>IF(SUMIFS('NSE - NIFTY Index Options'!$M:$M,'NSE - NIFTY Index Options'!$C:$C,$A26,'NSE - NIFTY Index Options'!$B:$B,C$4,'NSE - NIFTY Index Options'!$I:$I,"Weekly*")+SUMIFS('NSE - NIFTY Index Options'!$M:$M,'NSE - NIFTY Index Options'!$C:$C,$A26,'NSE - NIFTY Index Options'!$B:$B,C$4,'NSE - NIFTY Index Options'!$I:$I,"MDAW*")+SUMIFS('NSE - Other Index Options'!$M:$M,'NSE - Other Index Options'!$C:$C,$A26,'NSE - Other Index Options'!$B:$B,C$4,'NSE - Other Index Options'!$I:$I,"Weekly*")+SUMIFS('NSE - Other Index Options'!$M:$M,'NSE - Other Index Options'!$C:$C,$A26,'NSE - Other Index Options'!$B:$B,C$4,'NSE - Other Index Options'!$I:$I,"MDAW*")+SUMIFS('BSE - SENSEX Index Options'!$M:$M,'BSE - SENSEX Index Options'!$C:$C,$A26,'BSE - SENSEX Index Options'!$B:$B,C$4,'BSE - SENSEX Index Options'!$I:$I,"Weekly*")+SUMIFS('BSE - SENSEX Index Options'!$M:$M,'BSE - SENSEX Index Options'!$C:$C,$A26,'BSE - SENSEX Index Options'!$B:$B,C$4,'BSE - SENSEX Index Options'!$I:$I,"MDAW*")+SUMIFS('BSE - Other Index Options'!$M:$M,'BSE - Other Index Options'!$C:$C,$A26,'BSE - Other Index Options'!$B:$B,C$4,'BSE - Other Index Options'!$I:$I,"Weekly*")+SUMIFS('BSE - Other Index Options'!$M:$M,'BSE - Other Index Options'!$C:$C,$A26,'BSE - Other Index Options'!$B:$B,C$4,'BSE - Other Index Options'!$I:$I,"MDAW*")=0,"",SUMIFS('NSE - NIFTY Index Options'!$M:$M,'NSE - NIFTY Index Options'!$C:$C,$A26,'NSE - NIFTY Index Options'!$B:$B,C$4,'NSE - NIFTY Index Options'!$I:$I,"Weekly*")+SUMIFS('NSE - NIFTY Index Options'!$M:$M,'NSE - NIFTY Index Options'!$C:$C,$A26,'NSE - NIFTY Index Options'!$B:$B,C$4,'NSE - NIFTY Index Options'!$I:$I,"MDAW*")+SUMIFS('NSE - Other Index Options'!$M:$M,'NSE - Other Index Options'!$C:$C,$A26,'NSE - Other Index Options'!$B:$B,C$4,'NSE - Other Index Options'!$I:$I,"Weekly*")+SUMIFS('NSE - Other Index Options'!$M:$M,'NSE - Other Index Options'!$C:$C,$A26,'NSE - Other Index Options'!$B:$B,C$4,'NSE - Other Index Options'!$I:$I,"MDAW*")+SUMIFS('BSE - SENSEX Index Options'!$M:$M,'BSE - SENSEX Index Options'!$C:$C,$A26,'BSE - SENSEX Index Options'!$B:$B,C$4,'BSE - SENSEX Index Options'!$I:$I,"Weekly*")+SUMIFS('BSE - SENSEX Index Options'!$M:$M,'BSE - SENSEX Index Options'!$C:$C,$A26,'BSE - SENSEX Index Options'!$B:$B,C$4,'BSE - SENSEX Index Options'!$I:$I,"MDAW*")+SUMIFS('BSE - Other Index Options'!$M:$M,'BSE - Other Index Options'!$C:$C,$A26,'BSE - Other Index Options'!$B:$B,C$4,'BSE - Other Index Options'!$I:$I,"Weekly*")+SUMIFS('BSE - Other Index Options'!$M:$M,'BSE - Other Index Options'!$C:$C,$A26,'BSE - Other Index Options'!$B:$B,C$4,'BSE - Other Index Options'!$I:$I,"MDAW*"))</f>
        <v/>
      </c>
      <c r="D26" s="26">
        <f>IF(SUMIFS('NSE - NIFTY Index Options'!$M:$M,'NSE - NIFTY Index Options'!$C:$C,$A26,'NSE - NIFTY Index Options'!$B:$B,D$4,'NSE - NIFTY Index Options'!$I:$I,"Weekly*")+SUMIFS('NSE - NIFTY Index Options'!$M:$M,'NSE - NIFTY Index Options'!$C:$C,$A26,'NSE - NIFTY Index Options'!$B:$B,D$4,'NSE - NIFTY Index Options'!$I:$I,"MDAW*")+SUMIFS('NSE - Other Index Options'!$M:$M,'NSE - Other Index Options'!$C:$C,$A26,'NSE - Other Index Options'!$B:$B,D$4,'NSE - Other Index Options'!$I:$I,"Weekly*")+SUMIFS('NSE - Other Index Options'!$M:$M,'NSE - Other Index Options'!$C:$C,$A26,'NSE - Other Index Options'!$B:$B,D$4,'NSE - Other Index Options'!$I:$I,"MDAW*")+SUMIFS('BSE - SENSEX Index Options'!$M:$M,'BSE - SENSEX Index Options'!$C:$C,$A26,'BSE - SENSEX Index Options'!$B:$B,D$4,'BSE - SENSEX Index Options'!$I:$I,"Weekly*")+SUMIFS('BSE - SENSEX Index Options'!$M:$M,'BSE - SENSEX Index Options'!$C:$C,$A26,'BSE - SENSEX Index Options'!$B:$B,D$4,'BSE - SENSEX Index Options'!$I:$I,"MDAW*")+SUMIFS('BSE - Other Index Options'!$M:$M,'BSE - Other Index Options'!$C:$C,$A26,'BSE - Other Index Options'!$B:$B,D$4,'BSE - Other Index Options'!$I:$I,"Weekly*")+SUMIFS('BSE - Other Index Options'!$M:$M,'BSE - Other Index Options'!$C:$C,$A26,'BSE - Other Index Options'!$B:$B,D$4,'BSE - Other Index Options'!$I:$I,"MDAW*")=0,"",SUMIFS('NSE - NIFTY Index Options'!$M:$M,'NSE - NIFTY Index Options'!$C:$C,$A26,'NSE - NIFTY Index Options'!$B:$B,D$4,'NSE - NIFTY Index Options'!$I:$I,"Weekly*")+SUMIFS('NSE - NIFTY Index Options'!$M:$M,'NSE - NIFTY Index Options'!$C:$C,$A26,'NSE - NIFTY Index Options'!$B:$B,D$4,'NSE - NIFTY Index Options'!$I:$I,"MDAW*")+SUMIFS('NSE - Other Index Options'!$M:$M,'NSE - Other Index Options'!$C:$C,$A26,'NSE - Other Index Options'!$B:$B,D$4,'NSE - Other Index Options'!$I:$I,"Weekly*")+SUMIFS('NSE - Other Index Options'!$M:$M,'NSE - Other Index Options'!$C:$C,$A26,'NSE - Other Index Options'!$B:$B,D$4,'NSE - Other Index Options'!$I:$I,"MDAW*")+SUMIFS('BSE - SENSEX Index Options'!$M:$M,'BSE - SENSEX Index Options'!$C:$C,$A26,'BSE - SENSEX Index Options'!$B:$B,D$4,'BSE - SENSEX Index Options'!$I:$I,"Weekly*")+SUMIFS('BSE - SENSEX Index Options'!$M:$M,'BSE - SENSEX Index Options'!$C:$C,$A26,'BSE - SENSEX Index Options'!$B:$B,D$4,'BSE - SENSEX Index Options'!$I:$I,"MDAW*")+SUMIFS('BSE - Other Index Options'!$M:$M,'BSE - Other Index Options'!$C:$C,$A26,'BSE - Other Index Options'!$B:$B,D$4,'BSE - Other Index Options'!$I:$I,"Weekly*")+SUMIFS('BSE - Other Index Options'!$M:$M,'BSE - Other Index Options'!$C:$C,$A26,'BSE - Other Index Options'!$B:$B,D$4,'BSE - Other Index Options'!$I:$I,"MDAW*"))</f>
        <v/>
      </c>
      <c r="E26" s="26">
        <f>IF(SUMIFS('NSE - NIFTY Index Options'!$M:$M,'NSE - NIFTY Index Options'!$C:$C,$A26,'NSE - NIFTY Index Options'!$B:$B,E$4,'NSE - NIFTY Index Options'!$I:$I,"Weekly*")+SUMIFS('NSE - NIFTY Index Options'!$M:$M,'NSE - NIFTY Index Options'!$C:$C,$A26,'NSE - NIFTY Index Options'!$B:$B,E$4,'NSE - NIFTY Index Options'!$I:$I,"MDAW*")+SUMIFS('NSE - Other Index Options'!$M:$M,'NSE - Other Index Options'!$C:$C,$A26,'NSE - Other Index Options'!$B:$B,E$4,'NSE - Other Index Options'!$I:$I,"Weekly*")+SUMIFS('NSE - Other Index Options'!$M:$M,'NSE - Other Index Options'!$C:$C,$A26,'NSE - Other Index Options'!$B:$B,E$4,'NSE - Other Index Options'!$I:$I,"MDAW*")+SUMIFS('BSE - SENSEX Index Options'!$M:$M,'BSE - SENSEX Index Options'!$C:$C,$A26,'BSE - SENSEX Index Options'!$B:$B,E$4,'BSE - SENSEX Index Options'!$I:$I,"Weekly*")+SUMIFS('BSE - SENSEX Index Options'!$M:$M,'BSE - SENSEX Index Options'!$C:$C,$A26,'BSE - SENSEX Index Options'!$B:$B,E$4,'BSE - SENSEX Index Options'!$I:$I,"MDAW*")+SUMIFS('BSE - Other Index Options'!$M:$M,'BSE - Other Index Options'!$C:$C,$A26,'BSE - Other Index Options'!$B:$B,E$4,'BSE - Other Index Options'!$I:$I,"Weekly*")+SUMIFS('BSE - Other Index Options'!$M:$M,'BSE - Other Index Options'!$C:$C,$A26,'BSE - Other Index Options'!$B:$B,E$4,'BSE - Other Index Options'!$I:$I,"MDAW*")=0,"",SUMIFS('NSE - NIFTY Index Options'!$M:$M,'NSE - NIFTY Index Options'!$C:$C,$A26,'NSE - NIFTY Index Options'!$B:$B,E$4,'NSE - NIFTY Index Options'!$I:$I,"Weekly*")+SUMIFS('NSE - NIFTY Index Options'!$M:$M,'NSE - NIFTY Index Options'!$C:$C,$A26,'NSE - NIFTY Index Options'!$B:$B,E$4,'NSE - NIFTY Index Options'!$I:$I,"MDAW*")+SUMIFS('NSE - Other Index Options'!$M:$M,'NSE - Other Index Options'!$C:$C,$A26,'NSE - Other Index Options'!$B:$B,E$4,'NSE - Other Index Options'!$I:$I,"Weekly*")+SUMIFS('NSE - Other Index Options'!$M:$M,'NSE - Other Index Options'!$C:$C,$A26,'NSE - Other Index Options'!$B:$B,E$4,'NSE - Other Index Options'!$I:$I,"MDAW*")+SUMIFS('BSE - SENSEX Index Options'!$M:$M,'BSE - SENSEX Index Options'!$C:$C,$A26,'BSE - SENSEX Index Options'!$B:$B,E$4,'BSE - SENSEX Index Options'!$I:$I,"Weekly*")+SUMIFS('BSE - SENSEX Index Options'!$M:$M,'BSE - SENSEX Index Options'!$C:$C,$A26,'BSE - SENSEX Index Options'!$B:$B,E$4,'BSE - SENSEX Index Options'!$I:$I,"MDAW*")+SUMIFS('BSE - Other Index Options'!$M:$M,'BSE - Other Index Options'!$C:$C,$A26,'BSE - Other Index Options'!$B:$B,E$4,'BSE - Other Index Options'!$I:$I,"Weekly*")+SUMIFS('BSE - Other Index Options'!$M:$M,'BSE - Other Index Options'!$C:$C,$A26,'BSE - Other Index Options'!$B:$B,E$4,'BSE - Other Index Options'!$I:$I,"MDAW*"))</f>
        <v/>
      </c>
      <c r="F26" s="26">
        <f>IF(SUMIFS('NSE - NIFTY Index Options'!$M:$M,'NSE - NIFTY Index Options'!$C:$C,$A26,'NSE - NIFTY Index Options'!$B:$B,F$4,'NSE - NIFTY Index Options'!$I:$I,"Weekly*")+SUMIFS('NSE - NIFTY Index Options'!$M:$M,'NSE - NIFTY Index Options'!$C:$C,$A26,'NSE - NIFTY Index Options'!$B:$B,F$4,'NSE - NIFTY Index Options'!$I:$I,"MDAW*")+SUMIFS('NSE - Other Index Options'!$M:$M,'NSE - Other Index Options'!$C:$C,$A26,'NSE - Other Index Options'!$B:$B,F$4,'NSE - Other Index Options'!$I:$I,"Weekly*")+SUMIFS('NSE - Other Index Options'!$M:$M,'NSE - Other Index Options'!$C:$C,$A26,'NSE - Other Index Options'!$B:$B,F$4,'NSE - Other Index Options'!$I:$I,"MDAW*")+SUMIFS('BSE - SENSEX Index Options'!$M:$M,'BSE - SENSEX Index Options'!$C:$C,$A26,'BSE - SENSEX Index Options'!$B:$B,F$4,'BSE - SENSEX Index Options'!$I:$I,"Weekly*")+SUMIFS('BSE - SENSEX Index Options'!$M:$M,'BSE - SENSEX Index Options'!$C:$C,$A26,'BSE - SENSEX Index Options'!$B:$B,F$4,'BSE - SENSEX Index Options'!$I:$I,"MDAW*")+SUMIFS('BSE - Other Index Options'!$M:$M,'BSE - Other Index Options'!$C:$C,$A26,'BSE - Other Index Options'!$B:$B,F$4,'BSE - Other Index Options'!$I:$I,"Weekly*")+SUMIFS('BSE - Other Index Options'!$M:$M,'BSE - Other Index Options'!$C:$C,$A26,'BSE - Other Index Options'!$B:$B,F$4,'BSE - Other Index Options'!$I:$I,"MDAW*")=0,"",SUMIFS('NSE - NIFTY Index Options'!$M:$M,'NSE - NIFTY Index Options'!$C:$C,$A26,'NSE - NIFTY Index Options'!$B:$B,F$4,'NSE - NIFTY Index Options'!$I:$I,"Weekly*")+SUMIFS('NSE - NIFTY Index Options'!$M:$M,'NSE - NIFTY Index Options'!$C:$C,$A26,'NSE - NIFTY Index Options'!$B:$B,F$4,'NSE - NIFTY Index Options'!$I:$I,"MDAW*")+SUMIFS('NSE - Other Index Options'!$M:$M,'NSE - Other Index Options'!$C:$C,$A26,'NSE - Other Index Options'!$B:$B,F$4,'NSE - Other Index Options'!$I:$I,"Weekly*")+SUMIFS('NSE - Other Index Options'!$M:$M,'NSE - Other Index Options'!$C:$C,$A26,'NSE - Other Index Options'!$B:$B,F$4,'NSE - Other Index Options'!$I:$I,"MDAW*")+SUMIFS('BSE - SENSEX Index Options'!$M:$M,'BSE - SENSEX Index Options'!$C:$C,$A26,'BSE - SENSEX Index Options'!$B:$B,F$4,'BSE - SENSEX Index Options'!$I:$I,"Weekly*")+SUMIFS('BSE - SENSEX Index Options'!$M:$M,'BSE - SENSEX Index Options'!$C:$C,$A26,'BSE - SENSEX Index Options'!$B:$B,F$4,'BSE - SENSEX Index Options'!$I:$I,"MDAW*")+SUMIFS('BSE - Other Index Options'!$M:$M,'BSE - Other Index Options'!$C:$C,$A26,'BSE - Other Index Options'!$B:$B,F$4,'BSE - Other Index Options'!$I:$I,"Weekly*")+SUMIFS('BSE - Other Index Options'!$M:$M,'BSE - Other Index Options'!$C:$C,$A26,'BSE - Other Index Options'!$B:$B,F$4,'BSE - Other Index Options'!$I:$I,"MDAW*"))</f>
        <v/>
      </c>
      <c r="G26" s="26">
        <f>IF(SUMIFS('NSE - NIFTY Index Options'!$M:$M,'NSE - NIFTY Index Options'!$C:$C,$A26,'NSE - NIFTY Index Options'!$B:$B,G$4,'NSE - NIFTY Index Options'!$I:$I,"Weekly*")+SUMIFS('NSE - NIFTY Index Options'!$M:$M,'NSE - NIFTY Index Options'!$C:$C,$A26,'NSE - NIFTY Index Options'!$B:$B,G$4,'NSE - NIFTY Index Options'!$I:$I,"MDAW*")+SUMIFS('NSE - Other Index Options'!$M:$M,'NSE - Other Index Options'!$C:$C,$A26,'NSE - Other Index Options'!$B:$B,G$4,'NSE - Other Index Options'!$I:$I,"Weekly*")+SUMIFS('NSE - Other Index Options'!$M:$M,'NSE - Other Index Options'!$C:$C,$A26,'NSE - Other Index Options'!$B:$B,G$4,'NSE - Other Index Options'!$I:$I,"MDAW*")+SUMIFS('BSE - SENSEX Index Options'!$M:$M,'BSE - SENSEX Index Options'!$C:$C,$A26,'BSE - SENSEX Index Options'!$B:$B,G$4,'BSE - SENSEX Index Options'!$I:$I,"Weekly*")+SUMIFS('BSE - SENSEX Index Options'!$M:$M,'BSE - SENSEX Index Options'!$C:$C,$A26,'BSE - SENSEX Index Options'!$B:$B,G$4,'BSE - SENSEX Index Options'!$I:$I,"MDAW*")+SUMIFS('BSE - Other Index Options'!$M:$M,'BSE - Other Index Options'!$C:$C,$A26,'BSE - Other Index Options'!$B:$B,G$4,'BSE - Other Index Options'!$I:$I,"Weekly*")+SUMIFS('BSE - Other Index Options'!$M:$M,'BSE - Other Index Options'!$C:$C,$A26,'BSE - Other Index Options'!$B:$B,G$4,'BSE - Other Index Options'!$I:$I,"MDAW*")=0,"",SUMIFS('NSE - NIFTY Index Options'!$M:$M,'NSE - NIFTY Index Options'!$C:$C,$A26,'NSE - NIFTY Index Options'!$B:$B,G$4,'NSE - NIFTY Index Options'!$I:$I,"Weekly*")+SUMIFS('NSE - NIFTY Index Options'!$M:$M,'NSE - NIFTY Index Options'!$C:$C,$A26,'NSE - NIFTY Index Options'!$B:$B,G$4,'NSE - NIFTY Index Options'!$I:$I,"MDAW*")+SUMIFS('NSE - Other Index Options'!$M:$M,'NSE - Other Index Options'!$C:$C,$A26,'NSE - Other Index Options'!$B:$B,G$4,'NSE - Other Index Options'!$I:$I,"Weekly*")+SUMIFS('NSE - Other Index Options'!$M:$M,'NSE - Other Index Options'!$C:$C,$A26,'NSE - Other Index Options'!$B:$B,G$4,'NSE - Other Index Options'!$I:$I,"MDAW*")+SUMIFS('BSE - SENSEX Index Options'!$M:$M,'BSE - SENSEX Index Options'!$C:$C,$A26,'BSE - SENSEX Index Options'!$B:$B,G$4,'BSE - SENSEX Index Options'!$I:$I,"Weekly*")+SUMIFS('BSE - SENSEX Index Options'!$M:$M,'BSE - SENSEX Index Options'!$C:$C,$A26,'BSE - SENSEX Index Options'!$B:$B,G$4,'BSE - SENSEX Index Options'!$I:$I,"MDAW*")+SUMIFS('BSE - Other Index Options'!$M:$M,'BSE - Other Index Options'!$C:$C,$A26,'BSE - Other Index Options'!$B:$B,G$4,'BSE - Other Index Options'!$I:$I,"Weekly*")+SUMIFS('BSE - Other Index Options'!$M:$M,'BSE - Other Index Options'!$C:$C,$A26,'BSE - Other Index Options'!$B:$B,G$4,'BSE - Other Index Options'!$I:$I,"MDAW*"))</f>
        <v/>
      </c>
      <c r="H26" s="26">
        <f>IF(SUM(B26:G26)=0,"",SUM(B26:G26))</f>
        <v/>
      </c>
    </row>
    <row r="27">
      <c r="A27" t="inlineStr">
        <is>
          <t>Week3-Jan-2026</t>
        </is>
      </c>
      <c r="B27" s="26">
        <f>IF(SUMIFS('NSE - NIFTY Index Options'!$M:$M,'NSE - NIFTY Index Options'!$C:$C,$A27,'NSE - NIFTY Index Options'!$B:$B,B$4,'NSE - NIFTY Index Options'!$I:$I,"Weekly*")+SUMIFS('NSE - NIFTY Index Options'!$M:$M,'NSE - NIFTY Index Options'!$C:$C,$A27,'NSE - NIFTY Index Options'!$B:$B,B$4,'NSE - NIFTY Index Options'!$I:$I,"MDAW*")+SUMIFS('NSE - Other Index Options'!$M:$M,'NSE - Other Index Options'!$C:$C,$A27,'NSE - Other Index Options'!$B:$B,B$4,'NSE - Other Index Options'!$I:$I,"Weekly*")+SUMIFS('NSE - Other Index Options'!$M:$M,'NSE - Other Index Options'!$C:$C,$A27,'NSE - Other Index Options'!$B:$B,B$4,'NSE - Other Index Options'!$I:$I,"MDAW*")+SUMIFS('BSE - SENSEX Index Options'!$M:$M,'BSE - SENSEX Index Options'!$C:$C,$A27,'BSE - SENSEX Index Options'!$B:$B,B$4,'BSE - SENSEX Index Options'!$I:$I,"Weekly*")+SUMIFS('BSE - SENSEX Index Options'!$M:$M,'BSE - SENSEX Index Options'!$C:$C,$A27,'BSE - SENSEX Index Options'!$B:$B,B$4,'BSE - SENSEX Index Options'!$I:$I,"MDAW*")+SUMIFS('BSE - Other Index Options'!$M:$M,'BSE - Other Index Options'!$C:$C,$A27,'BSE - Other Index Options'!$B:$B,B$4,'BSE - Other Index Options'!$I:$I,"Weekly*")+SUMIFS('BSE - Other Index Options'!$M:$M,'BSE - Other Index Options'!$C:$C,$A27,'BSE - Other Index Options'!$B:$B,B$4,'BSE - Other Index Options'!$I:$I,"MDAW*")=0,"",SUMIFS('NSE - NIFTY Index Options'!$M:$M,'NSE - NIFTY Index Options'!$C:$C,$A27,'NSE - NIFTY Index Options'!$B:$B,B$4,'NSE - NIFTY Index Options'!$I:$I,"Weekly*")+SUMIFS('NSE - NIFTY Index Options'!$M:$M,'NSE - NIFTY Index Options'!$C:$C,$A27,'NSE - NIFTY Index Options'!$B:$B,B$4,'NSE - NIFTY Index Options'!$I:$I,"MDAW*")+SUMIFS('NSE - Other Index Options'!$M:$M,'NSE - Other Index Options'!$C:$C,$A27,'NSE - Other Index Options'!$B:$B,B$4,'NSE - Other Index Options'!$I:$I,"Weekly*")+SUMIFS('NSE - Other Index Options'!$M:$M,'NSE - Other Index Options'!$C:$C,$A27,'NSE - Other Index Options'!$B:$B,B$4,'NSE - Other Index Options'!$I:$I,"MDAW*")+SUMIFS('BSE - SENSEX Index Options'!$M:$M,'BSE - SENSEX Index Options'!$C:$C,$A27,'BSE - SENSEX Index Options'!$B:$B,B$4,'BSE - SENSEX Index Options'!$I:$I,"Weekly*")+SUMIFS('BSE - SENSEX Index Options'!$M:$M,'BSE - SENSEX Index Options'!$C:$C,$A27,'BSE - SENSEX Index Options'!$B:$B,B$4,'BSE - SENSEX Index Options'!$I:$I,"MDAW*")+SUMIFS('BSE - Other Index Options'!$M:$M,'BSE - Other Index Options'!$C:$C,$A27,'BSE - Other Index Options'!$B:$B,B$4,'BSE - Other Index Options'!$I:$I,"Weekly*")+SUMIFS('BSE - Other Index Options'!$M:$M,'BSE - Other Index Options'!$C:$C,$A27,'BSE - Other Index Options'!$B:$B,B$4,'BSE - Other Index Options'!$I:$I,"MDAW*"))</f>
        <v/>
      </c>
      <c r="C27" s="26">
        <f>IF(SUMIFS('NSE - NIFTY Index Options'!$M:$M,'NSE - NIFTY Index Options'!$C:$C,$A27,'NSE - NIFTY Index Options'!$B:$B,C$4,'NSE - NIFTY Index Options'!$I:$I,"Weekly*")+SUMIFS('NSE - NIFTY Index Options'!$M:$M,'NSE - NIFTY Index Options'!$C:$C,$A27,'NSE - NIFTY Index Options'!$B:$B,C$4,'NSE - NIFTY Index Options'!$I:$I,"MDAW*")+SUMIFS('NSE - Other Index Options'!$M:$M,'NSE - Other Index Options'!$C:$C,$A27,'NSE - Other Index Options'!$B:$B,C$4,'NSE - Other Index Options'!$I:$I,"Weekly*")+SUMIFS('NSE - Other Index Options'!$M:$M,'NSE - Other Index Options'!$C:$C,$A27,'NSE - Other Index Options'!$B:$B,C$4,'NSE - Other Index Options'!$I:$I,"MDAW*")+SUMIFS('BSE - SENSEX Index Options'!$M:$M,'BSE - SENSEX Index Options'!$C:$C,$A27,'BSE - SENSEX Index Options'!$B:$B,C$4,'BSE - SENSEX Index Options'!$I:$I,"Weekly*")+SUMIFS('BSE - SENSEX Index Options'!$M:$M,'BSE - SENSEX Index Options'!$C:$C,$A27,'BSE - SENSEX Index Options'!$B:$B,C$4,'BSE - SENSEX Index Options'!$I:$I,"MDAW*")+SUMIFS('BSE - Other Index Options'!$M:$M,'BSE - Other Index Options'!$C:$C,$A27,'BSE - Other Index Options'!$B:$B,C$4,'BSE - Other Index Options'!$I:$I,"Weekly*")+SUMIFS('BSE - Other Index Options'!$M:$M,'BSE - Other Index Options'!$C:$C,$A27,'BSE - Other Index Options'!$B:$B,C$4,'BSE - Other Index Options'!$I:$I,"MDAW*")=0,"",SUMIFS('NSE - NIFTY Index Options'!$M:$M,'NSE - NIFTY Index Options'!$C:$C,$A27,'NSE - NIFTY Index Options'!$B:$B,C$4,'NSE - NIFTY Index Options'!$I:$I,"Weekly*")+SUMIFS('NSE - NIFTY Index Options'!$M:$M,'NSE - NIFTY Index Options'!$C:$C,$A27,'NSE - NIFTY Index Options'!$B:$B,C$4,'NSE - NIFTY Index Options'!$I:$I,"MDAW*")+SUMIFS('NSE - Other Index Options'!$M:$M,'NSE - Other Index Options'!$C:$C,$A27,'NSE - Other Index Options'!$B:$B,C$4,'NSE - Other Index Options'!$I:$I,"Weekly*")+SUMIFS('NSE - Other Index Options'!$M:$M,'NSE - Other Index Options'!$C:$C,$A27,'NSE - Other Index Options'!$B:$B,C$4,'NSE - Other Index Options'!$I:$I,"MDAW*")+SUMIFS('BSE - SENSEX Index Options'!$M:$M,'BSE - SENSEX Index Options'!$C:$C,$A27,'BSE - SENSEX Index Options'!$B:$B,C$4,'BSE - SENSEX Index Options'!$I:$I,"Weekly*")+SUMIFS('BSE - SENSEX Index Options'!$M:$M,'BSE - SENSEX Index Options'!$C:$C,$A27,'BSE - SENSEX Index Options'!$B:$B,C$4,'BSE - SENSEX Index Options'!$I:$I,"MDAW*")+SUMIFS('BSE - Other Index Options'!$M:$M,'BSE - Other Index Options'!$C:$C,$A27,'BSE - Other Index Options'!$B:$B,C$4,'BSE - Other Index Options'!$I:$I,"Weekly*")+SUMIFS('BSE - Other Index Options'!$M:$M,'BSE - Other Index Options'!$C:$C,$A27,'BSE - Other Index Options'!$B:$B,C$4,'BSE - Other Index Options'!$I:$I,"MDAW*"))</f>
        <v/>
      </c>
      <c r="D27" s="26">
        <f>IF(SUMIFS('NSE - NIFTY Index Options'!$M:$M,'NSE - NIFTY Index Options'!$C:$C,$A27,'NSE - NIFTY Index Options'!$B:$B,D$4,'NSE - NIFTY Index Options'!$I:$I,"Weekly*")+SUMIFS('NSE - NIFTY Index Options'!$M:$M,'NSE - NIFTY Index Options'!$C:$C,$A27,'NSE - NIFTY Index Options'!$B:$B,D$4,'NSE - NIFTY Index Options'!$I:$I,"MDAW*")+SUMIFS('NSE - Other Index Options'!$M:$M,'NSE - Other Index Options'!$C:$C,$A27,'NSE - Other Index Options'!$B:$B,D$4,'NSE - Other Index Options'!$I:$I,"Weekly*")+SUMIFS('NSE - Other Index Options'!$M:$M,'NSE - Other Index Options'!$C:$C,$A27,'NSE - Other Index Options'!$B:$B,D$4,'NSE - Other Index Options'!$I:$I,"MDAW*")+SUMIFS('BSE - SENSEX Index Options'!$M:$M,'BSE - SENSEX Index Options'!$C:$C,$A27,'BSE - SENSEX Index Options'!$B:$B,D$4,'BSE - SENSEX Index Options'!$I:$I,"Weekly*")+SUMIFS('BSE - SENSEX Index Options'!$M:$M,'BSE - SENSEX Index Options'!$C:$C,$A27,'BSE - SENSEX Index Options'!$B:$B,D$4,'BSE - SENSEX Index Options'!$I:$I,"MDAW*")+SUMIFS('BSE - Other Index Options'!$M:$M,'BSE - Other Index Options'!$C:$C,$A27,'BSE - Other Index Options'!$B:$B,D$4,'BSE - Other Index Options'!$I:$I,"Weekly*")+SUMIFS('BSE - Other Index Options'!$M:$M,'BSE - Other Index Options'!$C:$C,$A27,'BSE - Other Index Options'!$B:$B,D$4,'BSE - Other Index Options'!$I:$I,"MDAW*")=0,"",SUMIFS('NSE - NIFTY Index Options'!$M:$M,'NSE - NIFTY Index Options'!$C:$C,$A27,'NSE - NIFTY Index Options'!$B:$B,D$4,'NSE - NIFTY Index Options'!$I:$I,"Weekly*")+SUMIFS('NSE - NIFTY Index Options'!$M:$M,'NSE - NIFTY Index Options'!$C:$C,$A27,'NSE - NIFTY Index Options'!$B:$B,D$4,'NSE - NIFTY Index Options'!$I:$I,"MDAW*")+SUMIFS('NSE - Other Index Options'!$M:$M,'NSE - Other Index Options'!$C:$C,$A27,'NSE - Other Index Options'!$B:$B,D$4,'NSE - Other Index Options'!$I:$I,"Weekly*")+SUMIFS('NSE - Other Index Options'!$M:$M,'NSE - Other Index Options'!$C:$C,$A27,'NSE - Other Index Options'!$B:$B,D$4,'NSE - Other Index Options'!$I:$I,"MDAW*")+SUMIFS('BSE - SENSEX Index Options'!$M:$M,'BSE - SENSEX Index Options'!$C:$C,$A27,'BSE - SENSEX Index Options'!$B:$B,D$4,'BSE - SENSEX Index Options'!$I:$I,"Weekly*")+SUMIFS('BSE - SENSEX Index Options'!$M:$M,'BSE - SENSEX Index Options'!$C:$C,$A27,'BSE - SENSEX Index Options'!$B:$B,D$4,'BSE - SENSEX Index Options'!$I:$I,"MDAW*")+SUMIFS('BSE - Other Index Options'!$M:$M,'BSE - Other Index Options'!$C:$C,$A27,'BSE - Other Index Options'!$B:$B,D$4,'BSE - Other Index Options'!$I:$I,"Weekly*")+SUMIFS('BSE - Other Index Options'!$M:$M,'BSE - Other Index Options'!$C:$C,$A27,'BSE - Other Index Options'!$B:$B,D$4,'BSE - Other Index Options'!$I:$I,"MDAW*"))</f>
        <v/>
      </c>
      <c r="E27" s="26">
        <f>IF(SUMIFS('NSE - NIFTY Index Options'!$M:$M,'NSE - NIFTY Index Options'!$C:$C,$A27,'NSE - NIFTY Index Options'!$B:$B,E$4,'NSE - NIFTY Index Options'!$I:$I,"Weekly*")+SUMIFS('NSE - NIFTY Index Options'!$M:$M,'NSE - NIFTY Index Options'!$C:$C,$A27,'NSE - NIFTY Index Options'!$B:$B,E$4,'NSE - NIFTY Index Options'!$I:$I,"MDAW*")+SUMIFS('NSE - Other Index Options'!$M:$M,'NSE - Other Index Options'!$C:$C,$A27,'NSE - Other Index Options'!$B:$B,E$4,'NSE - Other Index Options'!$I:$I,"Weekly*")+SUMIFS('NSE - Other Index Options'!$M:$M,'NSE - Other Index Options'!$C:$C,$A27,'NSE - Other Index Options'!$B:$B,E$4,'NSE - Other Index Options'!$I:$I,"MDAW*")+SUMIFS('BSE - SENSEX Index Options'!$M:$M,'BSE - SENSEX Index Options'!$C:$C,$A27,'BSE - SENSEX Index Options'!$B:$B,E$4,'BSE - SENSEX Index Options'!$I:$I,"Weekly*")+SUMIFS('BSE - SENSEX Index Options'!$M:$M,'BSE - SENSEX Index Options'!$C:$C,$A27,'BSE - SENSEX Index Options'!$B:$B,E$4,'BSE - SENSEX Index Options'!$I:$I,"MDAW*")+SUMIFS('BSE - Other Index Options'!$M:$M,'BSE - Other Index Options'!$C:$C,$A27,'BSE - Other Index Options'!$B:$B,E$4,'BSE - Other Index Options'!$I:$I,"Weekly*")+SUMIFS('BSE - Other Index Options'!$M:$M,'BSE - Other Index Options'!$C:$C,$A27,'BSE - Other Index Options'!$B:$B,E$4,'BSE - Other Index Options'!$I:$I,"MDAW*")=0,"",SUMIFS('NSE - NIFTY Index Options'!$M:$M,'NSE - NIFTY Index Options'!$C:$C,$A27,'NSE - NIFTY Index Options'!$B:$B,E$4,'NSE - NIFTY Index Options'!$I:$I,"Weekly*")+SUMIFS('NSE - NIFTY Index Options'!$M:$M,'NSE - NIFTY Index Options'!$C:$C,$A27,'NSE - NIFTY Index Options'!$B:$B,E$4,'NSE - NIFTY Index Options'!$I:$I,"MDAW*")+SUMIFS('NSE - Other Index Options'!$M:$M,'NSE - Other Index Options'!$C:$C,$A27,'NSE - Other Index Options'!$B:$B,E$4,'NSE - Other Index Options'!$I:$I,"Weekly*")+SUMIFS('NSE - Other Index Options'!$M:$M,'NSE - Other Index Options'!$C:$C,$A27,'NSE - Other Index Options'!$B:$B,E$4,'NSE - Other Index Options'!$I:$I,"MDAW*")+SUMIFS('BSE - SENSEX Index Options'!$M:$M,'BSE - SENSEX Index Options'!$C:$C,$A27,'BSE - SENSEX Index Options'!$B:$B,E$4,'BSE - SENSEX Index Options'!$I:$I,"Weekly*")+SUMIFS('BSE - SENSEX Index Options'!$M:$M,'BSE - SENSEX Index Options'!$C:$C,$A27,'BSE - SENSEX Index Options'!$B:$B,E$4,'BSE - SENSEX Index Options'!$I:$I,"MDAW*")+SUMIFS('BSE - Other Index Options'!$M:$M,'BSE - Other Index Options'!$C:$C,$A27,'BSE - Other Index Options'!$B:$B,E$4,'BSE - Other Index Options'!$I:$I,"Weekly*")+SUMIFS('BSE - Other Index Options'!$M:$M,'BSE - Other Index Options'!$C:$C,$A27,'BSE - Other Index Options'!$B:$B,E$4,'BSE - Other Index Options'!$I:$I,"MDAW*"))</f>
        <v/>
      </c>
      <c r="F27" s="26">
        <f>IF(SUMIFS('NSE - NIFTY Index Options'!$M:$M,'NSE - NIFTY Index Options'!$C:$C,$A27,'NSE - NIFTY Index Options'!$B:$B,F$4,'NSE - NIFTY Index Options'!$I:$I,"Weekly*")+SUMIFS('NSE - NIFTY Index Options'!$M:$M,'NSE - NIFTY Index Options'!$C:$C,$A27,'NSE - NIFTY Index Options'!$B:$B,F$4,'NSE - NIFTY Index Options'!$I:$I,"MDAW*")+SUMIFS('NSE - Other Index Options'!$M:$M,'NSE - Other Index Options'!$C:$C,$A27,'NSE - Other Index Options'!$B:$B,F$4,'NSE - Other Index Options'!$I:$I,"Weekly*")+SUMIFS('NSE - Other Index Options'!$M:$M,'NSE - Other Index Options'!$C:$C,$A27,'NSE - Other Index Options'!$B:$B,F$4,'NSE - Other Index Options'!$I:$I,"MDAW*")+SUMIFS('BSE - SENSEX Index Options'!$M:$M,'BSE - SENSEX Index Options'!$C:$C,$A27,'BSE - SENSEX Index Options'!$B:$B,F$4,'BSE - SENSEX Index Options'!$I:$I,"Weekly*")+SUMIFS('BSE - SENSEX Index Options'!$M:$M,'BSE - SENSEX Index Options'!$C:$C,$A27,'BSE - SENSEX Index Options'!$B:$B,F$4,'BSE - SENSEX Index Options'!$I:$I,"MDAW*")+SUMIFS('BSE - Other Index Options'!$M:$M,'BSE - Other Index Options'!$C:$C,$A27,'BSE - Other Index Options'!$B:$B,F$4,'BSE - Other Index Options'!$I:$I,"Weekly*")+SUMIFS('BSE - Other Index Options'!$M:$M,'BSE - Other Index Options'!$C:$C,$A27,'BSE - Other Index Options'!$B:$B,F$4,'BSE - Other Index Options'!$I:$I,"MDAW*")=0,"",SUMIFS('NSE - NIFTY Index Options'!$M:$M,'NSE - NIFTY Index Options'!$C:$C,$A27,'NSE - NIFTY Index Options'!$B:$B,F$4,'NSE - NIFTY Index Options'!$I:$I,"Weekly*")+SUMIFS('NSE - NIFTY Index Options'!$M:$M,'NSE - NIFTY Index Options'!$C:$C,$A27,'NSE - NIFTY Index Options'!$B:$B,F$4,'NSE - NIFTY Index Options'!$I:$I,"MDAW*")+SUMIFS('NSE - Other Index Options'!$M:$M,'NSE - Other Index Options'!$C:$C,$A27,'NSE - Other Index Options'!$B:$B,F$4,'NSE - Other Index Options'!$I:$I,"Weekly*")+SUMIFS('NSE - Other Index Options'!$M:$M,'NSE - Other Index Options'!$C:$C,$A27,'NSE - Other Index Options'!$B:$B,F$4,'NSE - Other Index Options'!$I:$I,"MDAW*")+SUMIFS('BSE - SENSEX Index Options'!$M:$M,'BSE - SENSEX Index Options'!$C:$C,$A27,'BSE - SENSEX Index Options'!$B:$B,F$4,'BSE - SENSEX Index Options'!$I:$I,"Weekly*")+SUMIFS('BSE - SENSEX Index Options'!$M:$M,'BSE - SENSEX Index Options'!$C:$C,$A27,'BSE - SENSEX Index Options'!$B:$B,F$4,'BSE - SENSEX Index Options'!$I:$I,"MDAW*")+SUMIFS('BSE - Other Index Options'!$M:$M,'BSE - Other Index Options'!$C:$C,$A27,'BSE - Other Index Options'!$B:$B,F$4,'BSE - Other Index Options'!$I:$I,"Weekly*")+SUMIFS('BSE - Other Index Options'!$M:$M,'BSE - Other Index Options'!$C:$C,$A27,'BSE - Other Index Options'!$B:$B,F$4,'BSE - Other Index Options'!$I:$I,"MDAW*"))</f>
        <v/>
      </c>
      <c r="G27" s="26">
        <f>IF(SUMIFS('NSE - NIFTY Index Options'!$M:$M,'NSE - NIFTY Index Options'!$C:$C,$A27,'NSE - NIFTY Index Options'!$B:$B,G$4,'NSE - NIFTY Index Options'!$I:$I,"Weekly*")+SUMIFS('NSE - NIFTY Index Options'!$M:$M,'NSE - NIFTY Index Options'!$C:$C,$A27,'NSE - NIFTY Index Options'!$B:$B,G$4,'NSE - NIFTY Index Options'!$I:$I,"MDAW*")+SUMIFS('NSE - Other Index Options'!$M:$M,'NSE - Other Index Options'!$C:$C,$A27,'NSE - Other Index Options'!$B:$B,G$4,'NSE - Other Index Options'!$I:$I,"Weekly*")+SUMIFS('NSE - Other Index Options'!$M:$M,'NSE - Other Index Options'!$C:$C,$A27,'NSE - Other Index Options'!$B:$B,G$4,'NSE - Other Index Options'!$I:$I,"MDAW*")+SUMIFS('BSE - SENSEX Index Options'!$M:$M,'BSE - SENSEX Index Options'!$C:$C,$A27,'BSE - SENSEX Index Options'!$B:$B,G$4,'BSE - SENSEX Index Options'!$I:$I,"Weekly*")+SUMIFS('BSE - SENSEX Index Options'!$M:$M,'BSE - SENSEX Index Options'!$C:$C,$A27,'BSE - SENSEX Index Options'!$B:$B,G$4,'BSE - SENSEX Index Options'!$I:$I,"MDAW*")+SUMIFS('BSE - Other Index Options'!$M:$M,'BSE - Other Index Options'!$C:$C,$A27,'BSE - Other Index Options'!$B:$B,G$4,'BSE - Other Index Options'!$I:$I,"Weekly*")+SUMIFS('BSE - Other Index Options'!$M:$M,'BSE - Other Index Options'!$C:$C,$A27,'BSE - Other Index Options'!$B:$B,G$4,'BSE - Other Index Options'!$I:$I,"MDAW*")=0,"",SUMIFS('NSE - NIFTY Index Options'!$M:$M,'NSE - NIFTY Index Options'!$C:$C,$A27,'NSE - NIFTY Index Options'!$B:$B,G$4,'NSE - NIFTY Index Options'!$I:$I,"Weekly*")+SUMIFS('NSE - NIFTY Index Options'!$M:$M,'NSE - NIFTY Index Options'!$C:$C,$A27,'NSE - NIFTY Index Options'!$B:$B,G$4,'NSE - NIFTY Index Options'!$I:$I,"MDAW*")+SUMIFS('NSE - Other Index Options'!$M:$M,'NSE - Other Index Options'!$C:$C,$A27,'NSE - Other Index Options'!$B:$B,G$4,'NSE - Other Index Options'!$I:$I,"Weekly*")+SUMIFS('NSE - Other Index Options'!$M:$M,'NSE - Other Index Options'!$C:$C,$A27,'NSE - Other Index Options'!$B:$B,G$4,'NSE - Other Index Options'!$I:$I,"MDAW*")+SUMIFS('BSE - SENSEX Index Options'!$M:$M,'BSE - SENSEX Index Options'!$C:$C,$A27,'BSE - SENSEX Index Options'!$B:$B,G$4,'BSE - SENSEX Index Options'!$I:$I,"Weekly*")+SUMIFS('BSE - SENSEX Index Options'!$M:$M,'BSE - SENSEX Index Options'!$C:$C,$A27,'BSE - SENSEX Index Options'!$B:$B,G$4,'BSE - SENSEX Index Options'!$I:$I,"MDAW*")+SUMIFS('BSE - Other Index Options'!$M:$M,'BSE - Other Index Options'!$C:$C,$A27,'BSE - Other Index Options'!$B:$B,G$4,'BSE - Other Index Options'!$I:$I,"Weekly*")+SUMIFS('BSE - Other Index Options'!$M:$M,'BSE - Other Index Options'!$C:$C,$A27,'BSE - Other Index Options'!$B:$B,G$4,'BSE - Other Index Options'!$I:$I,"MDAW*"))</f>
        <v/>
      </c>
      <c r="H27" s="26">
        <f>IF(SUM(B27:G27)=0,"",SUM(B27:G27))</f>
        <v/>
      </c>
    </row>
    <row r="28">
      <c r="A28" t="inlineStr">
        <is>
          <t>Week4-Jan-2026</t>
        </is>
      </c>
      <c r="B28" s="26">
        <f>IF(SUMIFS('NSE - NIFTY Index Options'!$M:$M,'NSE - NIFTY Index Options'!$C:$C,$A28,'NSE - NIFTY Index Options'!$B:$B,B$4,'NSE - NIFTY Index Options'!$I:$I,"Weekly*")+SUMIFS('NSE - NIFTY Index Options'!$M:$M,'NSE - NIFTY Index Options'!$C:$C,$A28,'NSE - NIFTY Index Options'!$B:$B,B$4,'NSE - NIFTY Index Options'!$I:$I,"MDAW*")+SUMIFS('NSE - Other Index Options'!$M:$M,'NSE - Other Index Options'!$C:$C,$A28,'NSE - Other Index Options'!$B:$B,B$4,'NSE - Other Index Options'!$I:$I,"Weekly*")+SUMIFS('NSE - Other Index Options'!$M:$M,'NSE - Other Index Options'!$C:$C,$A28,'NSE - Other Index Options'!$B:$B,B$4,'NSE - Other Index Options'!$I:$I,"MDAW*")+SUMIFS('BSE - SENSEX Index Options'!$M:$M,'BSE - SENSEX Index Options'!$C:$C,$A28,'BSE - SENSEX Index Options'!$B:$B,B$4,'BSE - SENSEX Index Options'!$I:$I,"Weekly*")+SUMIFS('BSE - SENSEX Index Options'!$M:$M,'BSE - SENSEX Index Options'!$C:$C,$A28,'BSE - SENSEX Index Options'!$B:$B,B$4,'BSE - SENSEX Index Options'!$I:$I,"MDAW*")+SUMIFS('BSE - Other Index Options'!$M:$M,'BSE - Other Index Options'!$C:$C,$A28,'BSE - Other Index Options'!$B:$B,B$4,'BSE - Other Index Options'!$I:$I,"Weekly*")+SUMIFS('BSE - Other Index Options'!$M:$M,'BSE - Other Index Options'!$C:$C,$A28,'BSE - Other Index Options'!$B:$B,B$4,'BSE - Other Index Options'!$I:$I,"MDAW*")=0,"",SUMIFS('NSE - NIFTY Index Options'!$M:$M,'NSE - NIFTY Index Options'!$C:$C,$A28,'NSE - NIFTY Index Options'!$B:$B,B$4,'NSE - NIFTY Index Options'!$I:$I,"Weekly*")+SUMIFS('NSE - NIFTY Index Options'!$M:$M,'NSE - NIFTY Index Options'!$C:$C,$A28,'NSE - NIFTY Index Options'!$B:$B,B$4,'NSE - NIFTY Index Options'!$I:$I,"MDAW*")+SUMIFS('NSE - Other Index Options'!$M:$M,'NSE - Other Index Options'!$C:$C,$A28,'NSE - Other Index Options'!$B:$B,B$4,'NSE - Other Index Options'!$I:$I,"Weekly*")+SUMIFS('NSE - Other Index Options'!$M:$M,'NSE - Other Index Options'!$C:$C,$A28,'NSE - Other Index Options'!$B:$B,B$4,'NSE - Other Index Options'!$I:$I,"MDAW*")+SUMIFS('BSE - SENSEX Index Options'!$M:$M,'BSE - SENSEX Index Options'!$C:$C,$A28,'BSE - SENSEX Index Options'!$B:$B,B$4,'BSE - SENSEX Index Options'!$I:$I,"Weekly*")+SUMIFS('BSE - SENSEX Index Options'!$M:$M,'BSE - SENSEX Index Options'!$C:$C,$A28,'BSE - SENSEX Index Options'!$B:$B,B$4,'BSE - SENSEX Index Options'!$I:$I,"MDAW*")+SUMIFS('BSE - Other Index Options'!$M:$M,'BSE - Other Index Options'!$C:$C,$A28,'BSE - Other Index Options'!$B:$B,B$4,'BSE - Other Index Options'!$I:$I,"Weekly*")+SUMIFS('BSE - Other Index Options'!$M:$M,'BSE - Other Index Options'!$C:$C,$A28,'BSE - Other Index Options'!$B:$B,B$4,'BSE - Other Index Options'!$I:$I,"MDAW*"))</f>
        <v/>
      </c>
      <c r="C28" s="26">
        <f>IF(SUMIFS('NSE - NIFTY Index Options'!$M:$M,'NSE - NIFTY Index Options'!$C:$C,$A28,'NSE - NIFTY Index Options'!$B:$B,C$4,'NSE - NIFTY Index Options'!$I:$I,"Weekly*")+SUMIFS('NSE - NIFTY Index Options'!$M:$M,'NSE - NIFTY Index Options'!$C:$C,$A28,'NSE - NIFTY Index Options'!$B:$B,C$4,'NSE - NIFTY Index Options'!$I:$I,"MDAW*")+SUMIFS('NSE - Other Index Options'!$M:$M,'NSE - Other Index Options'!$C:$C,$A28,'NSE - Other Index Options'!$B:$B,C$4,'NSE - Other Index Options'!$I:$I,"Weekly*")+SUMIFS('NSE - Other Index Options'!$M:$M,'NSE - Other Index Options'!$C:$C,$A28,'NSE - Other Index Options'!$B:$B,C$4,'NSE - Other Index Options'!$I:$I,"MDAW*")+SUMIFS('BSE - SENSEX Index Options'!$M:$M,'BSE - SENSEX Index Options'!$C:$C,$A28,'BSE - SENSEX Index Options'!$B:$B,C$4,'BSE - SENSEX Index Options'!$I:$I,"Weekly*")+SUMIFS('BSE - SENSEX Index Options'!$M:$M,'BSE - SENSEX Index Options'!$C:$C,$A28,'BSE - SENSEX Index Options'!$B:$B,C$4,'BSE - SENSEX Index Options'!$I:$I,"MDAW*")+SUMIFS('BSE - Other Index Options'!$M:$M,'BSE - Other Index Options'!$C:$C,$A28,'BSE - Other Index Options'!$B:$B,C$4,'BSE - Other Index Options'!$I:$I,"Weekly*")+SUMIFS('BSE - Other Index Options'!$M:$M,'BSE - Other Index Options'!$C:$C,$A28,'BSE - Other Index Options'!$B:$B,C$4,'BSE - Other Index Options'!$I:$I,"MDAW*")=0,"",SUMIFS('NSE - NIFTY Index Options'!$M:$M,'NSE - NIFTY Index Options'!$C:$C,$A28,'NSE - NIFTY Index Options'!$B:$B,C$4,'NSE - NIFTY Index Options'!$I:$I,"Weekly*")+SUMIFS('NSE - NIFTY Index Options'!$M:$M,'NSE - NIFTY Index Options'!$C:$C,$A28,'NSE - NIFTY Index Options'!$B:$B,C$4,'NSE - NIFTY Index Options'!$I:$I,"MDAW*")+SUMIFS('NSE - Other Index Options'!$M:$M,'NSE - Other Index Options'!$C:$C,$A28,'NSE - Other Index Options'!$B:$B,C$4,'NSE - Other Index Options'!$I:$I,"Weekly*")+SUMIFS('NSE - Other Index Options'!$M:$M,'NSE - Other Index Options'!$C:$C,$A28,'NSE - Other Index Options'!$B:$B,C$4,'NSE - Other Index Options'!$I:$I,"MDAW*")+SUMIFS('BSE - SENSEX Index Options'!$M:$M,'BSE - SENSEX Index Options'!$C:$C,$A28,'BSE - SENSEX Index Options'!$B:$B,C$4,'BSE - SENSEX Index Options'!$I:$I,"Weekly*")+SUMIFS('BSE - SENSEX Index Options'!$M:$M,'BSE - SENSEX Index Options'!$C:$C,$A28,'BSE - SENSEX Index Options'!$B:$B,C$4,'BSE - SENSEX Index Options'!$I:$I,"MDAW*")+SUMIFS('BSE - Other Index Options'!$M:$M,'BSE - Other Index Options'!$C:$C,$A28,'BSE - Other Index Options'!$B:$B,C$4,'BSE - Other Index Options'!$I:$I,"Weekly*")+SUMIFS('BSE - Other Index Options'!$M:$M,'BSE - Other Index Options'!$C:$C,$A28,'BSE - Other Index Options'!$B:$B,C$4,'BSE - Other Index Options'!$I:$I,"MDAW*"))</f>
        <v/>
      </c>
      <c r="D28" s="26">
        <f>IF(SUMIFS('NSE - NIFTY Index Options'!$M:$M,'NSE - NIFTY Index Options'!$C:$C,$A28,'NSE - NIFTY Index Options'!$B:$B,D$4,'NSE - NIFTY Index Options'!$I:$I,"Weekly*")+SUMIFS('NSE - NIFTY Index Options'!$M:$M,'NSE - NIFTY Index Options'!$C:$C,$A28,'NSE - NIFTY Index Options'!$B:$B,D$4,'NSE - NIFTY Index Options'!$I:$I,"MDAW*")+SUMIFS('NSE - Other Index Options'!$M:$M,'NSE - Other Index Options'!$C:$C,$A28,'NSE - Other Index Options'!$B:$B,D$4,'NSE - Other Index Options'!$I:$I,"Weekly*")+SUMIFS('NSE - Other Index Options'!$M:$M,'NSE - Other Index Options'!$C:$C,$A28,'NSE - Other Index Options'!$B:$B,D$4,'NSE - Other Index Options'!$I:$I,"MDAW*")+SUMIFS('BSE - SENSEX Index Options'!$M:$M,'BSE - SENSEX Index Options'!$C:$C,$A28,'BSE - SENSEX Index Options'!$B:$B,D$4,'BSE - SENSEX Index Options'!$I:$I,"Weekly*")+SUMIFS('BSE - SENSEX Index Options'!$M:$M,'BSE - SENSEX Index Options'!$C:$C,$A28,'BSE - SENSEX Index Options'!$B:$B,D$4,'BSE - SENSEX Index Options'!$I:$I,"MDAW*")+SUMIFS('BSE - Other Index Options'!$M:$M,'BSE - Other Index Options'!$C:$C,$A28,'BSE - Other Index Options'!$B:$B,D$4,'BSE - Other Index Options'!$I:$I,"Weekly*")+SUMIFS('BSE - Other Index Options'!$M:$M,'BSE - Other Index Options'!$C:$C,$A28,'BSE - Other Index Options'!$B:$B,D$4,'BSE - Other Index Options'!$I:$I,"MDAW*")=0,"",SUMIFS('NSE - NIFTY Index Options'!$M:$M,'NSE - NIFTY Index Options'!$C:$C,$A28,'NSE - NIFTY Index Options'!$B:$B,D$4,'NSE - NIFTY Index Options'!$I:$I,"Weekly*")+SUMIFS('NSE - NIFTY Index Options'!$M:$M,'NSE - NIFTY Index Options'!$C:$C,$A28,'NSE - NIFTY Index Options'!$B:$B,D$4,'NSE - NIFTY Index Options'!$I:$I,"MDAW*")+SUMIFS('NSE - Other Index Options'!$M:$M,'NSE - Other Index Options'!$C:$C,$A28,'NSE - Other Index Options'!$B:$B,D$4,'NSE - Other Index Options'!$I:$I,"Weekly*")+SUMIFS('NSE - Other Index Options'!$M:$M,'NSE - Other Index Options'!$C:$C,$A28,'NSE - Other Index Options'!$B:$B,D$4,'NSE - Other Index Options'!$I:$I,"MDAW*")+SUMIFS('BSE - SENSEX Index Options'!$M:$M,'BSE - SENSEX Index Options'!$C:$C,$A28,'BSE - SENSEX Index Options'!$B:$B,D$4,'BSE - SENSEX Index Options'!$I:$I,"Weekly*")+SUMIFS('BSE - SENSEX Index Options'!$M:$M,'BSE - SENSEX Index Options'!$C:$C,$A28,'BSE - SENSEX Index Options'!$B:$B,D$4,'BSE - SENSEX Index Options'!$I:$I,"MDAW*")+SUMIFS('BSE - Other Index Options'!$M:$M,'BSE - Other Index Options'!$C:$C,$A28,'BSE - Other Index Options'!$B:$B,D$4,'BSE - Other Index Options'!$I:$I,"Weekly*")+SUMIFS('BSE - Other Index Options'!$M:$M,'BSE - Other Index Options'!$C:$C,$A28,'BSE - Other Index Options'!$B:$B,D$4,'BSE - Other Index Options'!$I:$I,"MDAW*"))</f>
        <v/>
      </c>
      <c r="E28" s="26">
        <f>IF(SUMIFS('NSE - NIFTY Index Options'!$M:$M,'NSE - NIFTY Index Options'!$C:$C,$A28,'NSE - NIFTY Index Options'!$B:$B,E$4,'NSE - NIFTY Index Options'!$I:$I,"Weekly*")+SUMIFS('NSE - NIFTY Index Options'!$M:$M,'NSE - NIFTY Index Options'!$C:$C,$A28,'NSE - NIFTY Index Options'!$B:$B,E$4,'NSE - NIFTY Index Options'!$I:$I,"MDAW*")+SUMIFS('NSE - Other Index Options'!$M:$M,'NSE - Other Index Options'!$C:$C,$A28,'NSE - Other Index Options'!$B:$B,E$4,'NSE - Other Index Options'!$I:$I,"Weekly*")+SUMIFS('NSE - Other Index Options'!$M:$M,'NSE - Other Index Options'!$C:$C,$A28,'NSE - Other Index Options'!$B:$B,E$4,'NSE - Other Index Options'!$I:$I,"MDAW*")+SUMIFS('BSE - SENSEX Index Options'!$M:$M,'BSE - SENSEX Index Options'!$C:$C,$A28,'BSE - SENSEX Index Options'!$B:$B,E$4,'BSE - SENSEX Index Options'!$I:$I,"Weekly*")+SUMIFS('BSE - SENSEX Index Options'!$M:$M,'BSE - SENSEX Index Options'!$C:$C,$A28,'BSE - SENSEX Index Options'!$B:$B,E$4,'BSE - SENSEX Index Options'!$I:$I,"MDAW*")+SUMIFS('BSE - Other Index Options'!$M:$M,'BSE - Other Index Options'!$C:$C,$A28,'BSE - Other Index Options'!$B:$B,E$4,'BSE - Other Index Options'!$I:$I,"Weekly*")+SUMIFS('BSE - Other Index Options'!$M:$M,'BSE - Other Index Options'!$C:$C,$A28,'BSE - Other Index Options'!$B:$B,E$4,'BSE - Other Index Options'!$I:$I,"MDAW*")=0,"",SUMIFS('NSE - NIFTY Index Options'!$M:$M,'NSE - NIFTY Index Options'!$C:$C,$A28,'NSE - NIFTY Index Options'!$B:$B,E$4,'NSE - NIFTY Index Options'!$I:$I,"Weekly*")+SUMIFS('NSE - NIFTY Index Options'!$M:$M,'NSE - NIFTY Index Options'!$C:$C,$A28,'NSE - NIFTY Index Options'!$B:$B,E$4,'NSE - NIFTY Index Options'!$I:$I,"MDAW*")+SUMIFS('NSE - Other Index Options'!$M:$M,'NSE - Other Index Options'!$C:$C,$A28,'NSE - Other Index Options'!$B:$B,E$4,'NSE - Other Index Options'!$I:$I,"Weekly*")+SUMIFS('NSE - Other Index Options'!$M:$M,'NSE - Other Index Options'!$C:$C,$A28,'NSE - Other Index Options'!$B:$B,E$4,'NSE - Other Index Options'!$I:$I,"MDAW*")+SUMIFS('BSE - SENSEX Index Options'!$M:$M,'BSE - SENSEX Index Options'!$C:$C,$A28,'BSE - SENSEX Index Options'!$B:$B,E$4,'BSE - SENSEX Index Options'!$I:$I,"Weekly*")+SUMIFS('BSE - SENSEX Index Options'!$M:$M,'BSE - SENSEX Index Options'!$C:$C,$A28,'BSE - SENSEX Index Options'!$B:$B,E$4,'BSE - SENSEX Index Options'!$I:$I,"MDAW*")+SUMIFS('BSE - Other Index Options'!$M:$M,'BSE - Other Index Options'!$C:$C,$A28,'BSE - Other Index Options'!$B:$B,E$4,'BSE - Other Index Options'!$I:$I,"Weekly*")+SUMIFS('BSE - Other Index Options'!$M:$M,'BSE - Other Index Options'!$C:$C,$A28,'BSE - Other Index Options'!$B:$B,E$4,'BSE - Other Index Options'!$I:$I,"MDAW*"))</f>
        <v/>
      </c>
      <c r="F28" s="26">
        <f>IF(SUMIFS('NSE - NIFTY Index Options'!$M:$M,'NSE - NIFTY Index Options'!$C:$C,$A28,'NSE - NIFTY Index Options'!$B:$B,F$4,'NSE - NIFTY Index Options'!$I:$I,"Weekly*")+SUMIFS('NSE - NIFTY Index Options'!$M:$M,'NSE - NIFTY Index Options'!$C:$C,$A28,'NSE - NIFTY Index Options'!$B:$B,F$4,'NSE - NIFTY Index Options'!$I:$I,"MDAW*")+SUMIFS('NSE - Other Index Options'!$M:$M,'NSE - Other Index Options'!$C:$C,$A28,'NSE - Other Index Options'!$B:$B,F$4,'NSE - Other Index Options'!$I:$I,"Weekly*")+SUMIFS('NSE - Other Index Options'!$M:$M,'NSE - Other Index Options'!$C:$C,$A28,'NSE - Other Index Options'!$B:$B,F$4,'NSE - Other Index Options'!$I:$I,"MDAW*")+SUMIFS('BSE - SENSEX Index Options'!$M:$M,'BSE - SENSEX Index Options'!$C:$C,$A28,'BSE - SENSEX Index Options'!$B:$B,F$4,'BSE - SENSEX Index Options'!$I:$I,"Weekly*")+SUMIFS('BSE - SENSEX Index Options'!$M:$M,'BSE - SENSEX Index Options'!$C:$C,$A28,'BSE - SENSEX Index Options'!$B:$B,F$4,'BSE - SENSEX Index Options'!$I:$I,"MDAW*")+SUMIFS('BSE - Other Index Options'!$M:$M,'BSE - Other Index Options'!$C:$C,$A28,'BSE - Other Index Options'!$B:$B,F$4,'BSE - Other Index Options'!$I:$I,"Weekly*")+SUMIFS('BSE - Other Index Options'!$M:$M,'BSE - Other Index Options'!$C:$C,$A28,'BSE - Other Index Options'!$B:$B,F$4,'BSE - Other Index Options'!$I:$I,"MDAW*")=0,"",SUMIFS('NSE - NIFTY Index Options'!$M:$M,'NSE - NIFTY Index Options'!$C:$C,$A28,'NSE - NIFTY Index Options'!$B:$B,F$4,'NSE - NIFTY Index Options'!$I:$I,"Weekly*")+SUMIFS('NSE - NIFTY Index Options'!$M:$M,'NSE - NIFTY Index Options'!$C:$C,$A28,'NSE - NIFTY Index Options'!$B:$B,F$4,'NSE - NIFTY Index Options'!$I:$I,"MDAW*")+SUMIFS('NSE - Other Index Options'!$M:$M,'NSE - Other Index Options'!$C:$C,$A28,'NSE - Other Index Options'!$B:$B,F$4,'NSE - Other Index Options'!$I:$I,"Weekly*")+SUMIFS('NSE - Other Index Options'!$M:$M,'NSE - Other Index Options'!$C:$C,$A28,'NSE - Other Index Options'!$B:$B,F$4,'NSE - Other Index Options'!$I:$I,"MDAW*")+SUMIFS('BSE - SENSEX Index Options'!$M:$M,'BSE - SENSEX Index Options'!$C:$C,$A28,'BSE - SENSEX Index Options'!$B:$B,F$4,'BSE - SENSEX Index Options'!$I:$I,"Weekly*")+SUMIFS('BSE - SENSEX Index Options'!$M:$M,'BSE - SENSEX Index Options'!$C:$C,$A28,'BSE - SENSEX Index Options'!$B:$B,F$4,'BSE - SENSEX Index Options'!$I:$I,"MDAW*")+SUMIFS('BSE - Other Index Options'!$M:$M,'BSE - Other Index Options'!$C:$C,$A28,'BSE - Other Index Options'!$B:$B,F$4,'BSE - Other Index Options'!$I:$I,"Weekly*")+SUMIFS('BSE - Other Index Options'!$M:$M,'BSE - Other Index Options'!$C:$C,$A28,'BSE - Other Index Options'!$B:$B,F$4,'BSE - Other Index Options'!$I:$I,"MDAW*"))</f>
        <v/>
      </c>
      <c r="G28" s="26">
        <f>IF(SUMIFS('NSE - NIFTY Index Options'!$M:$M,'NSE - NIFTY Index Options'!$C:$C,$A28,'NSE - NIFTY Index Options'!$B:$B,G$4,'NSE - NIFTY Index Options'!$I:$I,"Weekly*")+SUMIFS('NSE - NIFTY Index Options'!$M:$M,'NSE - NIFTY Index Options'!$C:$C,$A28,'NSE - NIFTY Index Options'!$B:$B,G$4,'NSE - NIFTY Index Options'!$I:$I,"MDAW*")+SUMIFS('NSE - Other Index Options'!$M:$M,'NSE - Other Index Options'!$C:$C,$A28,'NSE - Other Index Options'!$B:$B,G$4,'NSE - Other Index Options'!$I:$I,"Weekly*")+SUMIFS('NSE - Other Index Options'!$M:$M,'NSE - Other Index Options'!$C:$C,$A28,'NSE - Other Index Options'!$B:$B,G$4,'NSE - Other Index Options'!$I:$I,"MDAW*")+SUMIFS('BSE - SENSEX Index Options'!$M:$M,'BSE - SENSEX Index Options'!$C:$C,$A28,'BSE - SENSEX Index Options'!$B:$B,G$4,'BSE - SENSEX Index Options'!$I:$I,"Weekly*")+SUMIFS('BSE - SENSEX Index Options'!$M:$M,'BSE - SENSEX Index Options'!$C:$C,$A28,'BSE - SENSEX Index Options'!$B:$B,G$4,'BSE - SENSEX Index Options'!$I:$I,"MDAW*")+SUMIFS('BSE - Other Index Options'!$M:$M,'BSE - Other Index Options'!$C:$C,$A28,'BSE - Other Index Options'!$B:$B,G$4,'BSE - Other Index Options'!$I:$I,"Weekly*")+SUMIFS('BSE - Other Index Options'!$M:$M,'BSE - Other Index Options'!$C:$C,$A28,'BSE - Other Index Options'!$B:$B,G$4,'BSE - Other Index Options'!$I:$I,"MDAW*")=0,"",SUMIFS('NSE - NIFTY Index Options'!$M:$M,'NSE - NIFTY Index Options'!$C:$C,$A28,'NSE - NIFTY Index Options'!$B:$B,G$4,'NSE - NIFTY Index Options'!$I:$I,"Weekly*")+SUMIFS('NSE - NIFTY Index Options'!$M:$M,'NSE - NIFTY Index Options'!$C:$C,$A28,'NSE - NIFTY Index Options'!$B:$B,G$4,'NSE - NIFTY Index Options'!$I:$I,"MDAW*")+SUMIFS('NSE - Other Index Options'!$M:$M,'NSE - Other Index Options'!$C:$C,$A28,'NSE - Other Index Options'!$B:$B,G$4,'NSE - Other Index Options'!$I:$I,"Weekly*")+SUMIFS('NSE - Other Index Options'!$M:$M,'NSE - Other Index Options'!$C:$C,$A28,'NSE - Other Index Options'!$B:$B,G$4,'NSE - Other Index Options'!$I:$I,"MDAW*")+SUMIFS('BSE - SENSEX Index Options'!$M:$M,'BSE - SENSEX Index Options'!$C:$C,$A28,'BSE - SENSEX Index Options'!$B:$B,G$4,'BSE - SENSEX Index Options'!$I:$I,"Weekly*")+SUMIFS('BSE - SENSEX Index Options'!$M:$M,'BSE - SENSEX Index Options'!$C:$C,$A28,'BSE - SENSEX Index Options'!$B:$B,G$4,'BSE - SENSEX Index Options'!$I:$I,"MDAW*")+SUMIFS('BSE - Other Index Options'!$M:$M,'BSE - Other Index Options'!$C:$C,$A28,'BSE - Other Index Options'!$B:$B,G$4,'BSE - Other Index Options'!$I:$I,"Weekly*")+SUMIFS('BSE - Other Index Options'!$M:$M,'BSE - Other Index Options'!$C:$C,$A28,'BSE - Other Index Options'!$B:$B,G$4,'BSE - Other Index Options'!$I:$I,"MDAW*"))</f>
        <v/>
      </c>
      <c r="H28" s="26">
        <f>IF(SUM(B28:G28)=0,"",SUM(B28:G28))</f>
        <v/>
      </c>
    </row>
    <row r="29">
      <c r="A29" t="inlineStr">
        <is>
          <t>Week5-Jan-2026</t>
        </is>
      </c>
      <c r="B29" s="26">
        <f>IF(SUMIFS('NSE - NIFTY Index Options'!$M:$M,'NSE - NIFTY Index Options'!$C:$C,$A29,'NSE - NIFTY Index Options'!$B:$B,B$4,'NSE - NIFTY Index Options'!$I:$I,"Weekly*")+SUMIFS('NSE - NIFTY Index Options'!$M:$M,'NSE - NIFTY Index Options'!$C:$C,$A29,'NSE - NIFTY Index Options'!$B:$B,B$4,'NSE - NIFTY Index Options'!$I:$I,"MDAW*")+SUMIFS('NSE - Other Index Options'!$M:$M,'NSE - Other Index Options'!$C:$C,$A29,'NSE - Other Index Options'!$B:$B,B$4,'NSE - Other Index Options'!$I:$I,"Weekly*")+SUMIFS('NSE - Other Index Options'!$M:$M,'NSE - Other Index Options'!$C:$C,$A29,'NSE - Other Index Options'!$B:$B,B$4,'NSE - Other Index Options'!$I:$I,"MDAW*")+SUMIFS('BSE - SENSEX Index Options'!$M:$M,'BSE - SENSEX Index Options'!$C:$C,$A29,'BSE - SENSEX Index Options'!$B:$B,B$4,'BSE - SENSEX Index Options'!$I:$I,"Weekly*")+SUMIFS('BSE - SENSEX Index Options'!$M:$M,'BSE - SENSEX Index Options'!$C:$C,$A29,'BSE - SENSEX Index Options'!$B:$B,B$4,'BSE - SENSEX Index Options'!$I:$I,"MDAW*")+SUMIFS('BSE - Other Index Options'!$M:$M,'BSE - Other Index Options'!$C:$C,$A29,'BSE - Other Index Options'!$B:$B,B$4,'BSE - Other Index Options'!$I:$I,"Weekly*")+SUMIFS('BSE - Other Index Options'!$M:$M,'BSE - Other Index Options'!$C:$C,$A29,'BSE - Other Index Options'!$B:$B,B$4,'BSE - Other Index Options'!$I:$I,"MDAW*")=0,"",SUMIFS('NSE - NIFTY Index Options'!$M:$M,'NSE - NIFTY Index Options'!$C:$C,$A29,'NSE - NIFTY Index Options'!$B:$B,B$4,'NSE - NIFTY Index Options'!$I:$I,"Weekly*")+SUMIFS('NSE - NIFTY Index Options'!$M:$M,'NSE - NIFTY Index Options'!$C:$C,$A29,'NSE - NIFTY Index Options'!$B:$B,B$4,'NSE - NIFTY Index Options'!$I:$I,"MDAW*")+SUMIFS('NSE - Other Index Options'!$M:$M,'NSE - Other Index Options'!$C:$C,$A29,'NSE - Other Index Options'!$B:$B,B$4,'NSE - Other Index Options'!$I:$I,"Weekly*")+SUMIFS('NSE - Other Index Options'!$M:$M,'NSE - Other Index Options'!$C:$C,$A29,'NSE - Other Index Options'!$B:$B,B$4,'NSE - Other Index Options'!$I:$I,"MDAW*")+SUMIFS('BSE - SENSEX Index Options'!$M:$M,'BSE - SENSEX Index Options'!$C:$C,$A29,'BSE - SENSEX Index Options'!$B:$B,B$4,'BSE - SENSEX Index Options'!$I:$I,"Weekly*")+SUMIFS('BSE - SENSEX Index Options'!$M:$M,'BSE - SENSEX Index Options'!$C:$C,$A29,'BSE - SENSEX Index Options'!$B:$B,B$4,'BSE - SENSEX Index Options'!$I:$I,"MDAW*")+SUMIFS('BSE - Other Index Options'!$M:$M,'BSE - Other Index Options'!$C:$C,$A29,'BSE - Other Index Options'!$B:$B,B$4,'BSE - Other Index Options'!$I:$I,"Weekly*")+SUMIFS('BSE - Other Index Options'!$M:$M,'BSE - Other Index Options'!$C:$C,$A29,'BSE - Other Index Options'!$B:$B,B$4,'BSE - Other Index Options'!$I:$I,"MDAW*"))</f>
        <v/>
      </c>
      <c r="C29" s="26">
        <f>IF(SUMIFS('NSE - NIFTY Index Options'!$M:$M,'NSE - NIFTY Index Options'!$C:$C,$A29,'NSE - NIFTY Index Options'!$B:$B,C$4,'NSE - NIFTY Index Options'!$I:$I,"Weekly*")+SUMIFS('NSE - NIFTY Index Options'!$M:$M,'NSE - NIFTY Index Options'!$C:$C,$A29,'NSE - NIFTY Index Options'!$B:$B,C$4,'NSE - NIFTY Index Options'!$I:$I,"MDAW*")+SUMIFS('NSE - Other Index Options'!$M:$M,'NSE - Other Index Options'!$C:$C,$A29,'NSE - Other Index Options'!$B:$B,C$4,'NSE - Other Index Options'!$I:$I,"Weekly*")+SUMIFS('NSE - Other Index Options'!$M:$M,'NSE - Other Index Options'!$C:$C,$A29,'NSE - Other Index Options'!$B:$B,C$4,'NSE - Other Index Options'!$I:$I,"MDAW*")+SUMIFS('BSE - SENSEX Index Options'!$M:$M,'BSE - SENSEX Index Options'!$C:$C,$A29,'BSE - SENSEX Index Options'!$B:$B,C$4,'BSE - SENSEX Index Options'!$I:$I,"Weekly*")+SUMIFS('BSE - SENSEX Index Options'!$M:$M,'BSE - SENSEX Index Options'!$C:$C,$A29,'BSE - SENSEX Index Options'!$B:$B,C$4,'BSE - SENSEX Index Options'!$I:$I,"MDAW*")+SUMIFS('BSE - Other Index Options'!$M:$M,'BSE - Other Index Options'!$C:$C,$A29,'BSE - Other Index Options'!$B:$B,C$4,'BSE - Other Index Options'!$I:$I,"Weekly*")+SUMIFS('BSE - Other Index Options'!$M:$M,'BSE - Other Index Options'!$C:$C,$A29,'BSE - Other Index Options'!$B:$B,C$4,'BSE - Other Index Options'!$I:$I,"MDAW*")=0,"",SUMIFS('NSE - NIFTY Index Options'!$M:$M,'NSE - NIFTY Index Options'!$C:$C,$A29,'NSE - NIFTY Index Options'!$B:$B,C$4,'NSE - NIFTY Index Options'!$I:$I,"Weekly*")+SUMIFS('NSE - NIFTY Index Options'!$M:$M,'NSE - NIFTY Index Options'!$C:$C,$A29,'NSE - NIFTY Index Options'!$B:$B,C$4,'NSE - NIFTY Index Options'!$I:$I,"MDAW*")+SUMIFS('NSE - Other Index Options'!$M:$M,'NSE - Other Index Options'!$C:$C,$A29,'NSE - Other Index Options'!$B:$B,C$4,'NSE - Other Index Options'!$I:$I,"Weekly*")+SUMIFS('NSE - Other Index Options'!$M:$M,'NSE - Other Index Options'!$C:$C,$A29,'NSE - Other Index Options'!$B:$B,C$4,'NSE - Other Index Options'!$I:$I,"MDAW*")+SUMIFS('BSE - SENSEX Index Options'!$M:$M,'BSE - SENSEX Index Options'!$C:$C,$A29,'BSE - SENSEX Index Options'!$B:$B,C$4,'BSE - SENSEX Index Options'!$I:$I,"Weekly*")+SUMIFS('BSE - SENSEX Index Options'!$M:$M,'BSE - SENSEX Index Options'!$C:$C,$A29,'BSE - SENSEX Index Options'!$B:$B,C$4,'BSE - SENSEX Index Options'!$I:$I,"MDAW*")+SUMIFS('BSE - Other Index Options'!$M:$M,'BSE - Other Index Options'!$C:$C,$A29,'BSE - Other Index Options'!$B:$B,C$4,'BSE - Other Index Options'!$I:$I,"Weekly*")+SUMIFS('BSE - Other Index Options'!$M:$M,'BSE - Other Index Options'!$C:$C,$A29,'BSE - Other Index Options'!$B:$B,C$4,'BSE - Other Index Options'!$I:$I,"MDAW*"))</f>
        <v/>
      </c>
      <c r="D29" s="26">
        <f>IF(SUMIFS('NSE - NIFTY Index Options'!$M:$M,'NSE - NIFTY Index Options'!$C:$C,$A29,'NSE - NIFTY Index Options'!$B:$B,D$4,'NSE - NIFTY Index Options'!$I:$I,"Weekly*")+SUMIFS('NSE - NIFTY Index Options'!$M:$M,'NSE - NIFTY Index Options'!$C:$C,$A29,'NSE - NIFTY Index Options'!$B:$B,D$4,'NSE - NIFTY Index Options'!$I:$I,"MDAW*")+SUMIFS('NSE - Other Index Options'!$M:$M,'NSE - Other Index Options'!$C:$C,$A29,'NSE - Other Index Options'!$B:$B,D$4,'NSE - Other Index Options'!$I:$I,"Weekly*")+SUMIFS('NSE - Other Index Options'!$M:$M,'NSE - Other Index Options'!$C:$C,$A29,'NSE - Other Index Options'!$B:$B,D$4,'NSE - Other Index Options'!$I:$I,"MDAW*")+SUMIFS('BSE - SENSEX Index Options'!$M:$M,'BSE - SENSEX Index Options'!$C:$C,$A29,'BSE - SENSEX Index Options'!$B:$B,D$4,'BSE - SENSEX Index Options'!$I:$I,"Weekly*")+SUMIFS('BSE - SENSEX Index Options'!$M:$M,'BSE - SENSEX Index Options'!$C:$C,$A29,'BSE - SENSEX Index Options'!$B:$B,D$4,'BSE - SENSEX Index Options'!$I:$I,"MDAW*")+SUMIFS('BSE - Other Index Options'!$M:$M,'BSE - Other Index Options'!$C:$C,$A29,'BSE - Other Index Options'!$B:$B,D$4,'BSE - Other Index Options'!$I:$I,"Weekly*")+SUMIFS('BSE - Other Index Options'!$M:$M,'BSE - Other Index Options'!$C:$C,$A29,'BSE - Other Index Options'!$B:$B,D$4,'BSE - Other Index Options'!$I:$I,"MDAW*")=0,"",SUMIFS('NSE - NIFTY Index Options'!$M:$M,'NSE - NIFTY Index Options'!$C:$C,$A29,'NSE - NIFTY Index Options'!$B:$B,D$4,'NSE - NIFTY Index Options'!$I:$I,"Weekly*")+SUMIFS('NSE - NIFTY Index Options'!$M:$M,'NSE - NIFTY Index Options'!$C:$C,$A29,'NSE - NIFTY Index Options'!$B:$B,D$4,'NSE - NIFTY Index Options'!$I:$I,"MDAW*")+SUMIFS('NSE - Other Index Options'!$M:$M,'NSE - Other Index Options'!$C:$C,$A29,'NSE - Other Index Options'!$B:$B,D$4,'NSE - Other Index Options'!$I:$I,"Weekly*")+SUMIFS('NSE - Other Index Options'!$M:$M,'NSE - Other Index Options'!$C:$C,$A29,'NSE - Other Index Options'!$B:$B,D$4,'NSE - Other Index Options'!$I:$I,"MDAW*")+SUMIFS('BSE - SENSEX Index Options'!$M:$M,'BSE - SENSEX Index Options'!$C:$C,$A29,'BSE - SENSEX Index Options'!$B:$B,D$4,'BSE - SENSEX Index Options'!$I:$I,"Weekly*")+SUMIFS('BSE - SENSEX Index Options'!$M:$M,'BSE - SENSEX Index Options'!$C:$C,$A29,'BSE - SENSEX Index Options'!$B:$B,D$4,'BSE - SENSEX Index Options'!$I:$I,"MDAW*")+SUMIFS('BSE - Other Index Options'!$M:$M,'BSE - Other Index Options'!$C:$C,$A29,'BSE - Other Index Options'!$B:$B,D$4,'BSE - Other Index Options'!$I:$I,"Weekly*")+SUMIFS('BSE - Other Index Options'!$M:$M,'BSE - Other Index Options'!$C:$C,$A29,'BSE - Other Index Options'!$B:$B,D$4,'BSE - Other Index Options'!$I:$I,"MDAW*"))</f>
        <v/>
      </c>
      <c r="E29" s="26">
        <f>IF(SUMIFS('NSE - NIFTY Index Options'!$M:$M,'NSE - NIFTY Index Options'!$C:$C,$A29,'NSE - NIFTY Index Options'!$B:$B,E$4,'NSE - NIFTY Index Options'!$I:$I,"Weekly*")+SUMIFS('NSE - NIFTY Index Options'!$M:$M,'NSE - NIFTY Index Options'!$C:$C,$A29,'NSE - NIFTY Index Options'!$B:$B,E$4,'NSE - NIFTY Index Options'!$I:$I,"MDAW*")+SUMIFS('NSE - Other Index Options'!$M:$M,'NSE - Other Index Options'!$C:$C,$A29,'NSE - Other Index Options'!$B:$B,E$4,'NSE - Other Index Options'!$I:$I,"Weekly*")+SUMIFS('NSE - Other Index Options'!$M:$M,'NSE - Other Index Options'!$C:$C,$A29,'NSE - Other Index Options'!$B:$B,E$4,'NSE - Other Index Options'!$I:$I,"MDAW*")+SUMIFS('BSE - SENSEX Index Options'!$M:$M,'BSE - SENSEX Index Options'!$C:$C,$A29,'BSE - SENSEX Index Options'!$B:$B,E$4,'BSE - SENSEX Index Options'!$I:$I,"Weekly*")+SUMIFS('BSE - SENSEX Index Options'!$M:$M,'BSE - SENSEX Index Options'!$C:$C,$A29,'BSE - SENSEX Index Options'!$B:$B,E$4,'BSE - SENSEX Index Options'!$I:$I,"MDAW*")+SUMIFS('BSE - Other Index Options'!$M:$M,'BSE - Other Index Options'!$C:$C,$A29,'BSE - Other Index Options'!$B:$B,E$4,'BSE - Other Index Options'!$I:$I,"Weekly*")+SUMIFS('BSE - Other Index Options'!$M:$M,'BSE - Other Index Options'!$C:$C,$A29,'BSE - Other Index Options'!$B:$B,E$4,'BSE - Other Index Options'!$I:$I,"MDAW*")=0,"",SUMIFS('NSE - NIFTY Index Options'!$M:$M,'NSE - NIFTY Index Options'!$C:$C,$A29,'NSE - NIFTY Index Options'!$B:$B,E$4,'NSE - NIFTY Index Options'!$I:$I,"Weekly*")+SUMIFS('NSE - NIFTY Index Options'!$M:$M,'NSE - NIFTY Index Options'!$C:$C,$A29,'NSE - NIFTY Index Options'!$B:$B,E$4,'NSE - NIFTY Index Options'!$I:$I,"MDAW*")+SUMIFS('NSE - Other Index Options'!$M:$M,'NSE - Other Index Options'!$C:$C,$A29,'NSE - Other Index Options'!$B:$B,E$4,'NSE - Other Index Options'!$I:$I,"Weekly*")+SUMIFS('NSE - Other Index Options'!$M:$M,'NSE - Other Index Options'!$C:$C,$A29,'NSE - Other Index Options'!$B:$B,E$4,'NSE - Other Index Options'!$I:$I,"MDAW*")+SUMIFS('BSE - SENSEX Index Options'!$M:$M,'BSE - SENSEX Index Options'!$C:$C,$A29,'BSE - SENSEX Index Options'!$B:$B,E$4,'BSE - SENSEX Index Options'!$I:$I,"Weekly*")+SUMIFS('BSE - SENSEX Index Options'!$M:$M,'BSE - SENSEX Index Options'!$C:$C,$A29,'BSE - SENSEX Index Options'!$B:$B,E$4,'BSE - SENSEX Index Options'!$I:$I,"MDAW*")+SUMIFS('BSE - Other Index Options'!$M:$M,'BSE - Other Index Options'!$C:$C,$A29,'BSE - Other Index Options'!$B:$B,E$4,'BSE - Other Index Options'!$I:$I,"Weekly*")+SUMIFS('BSE - Other Index Options'!$M:$M,'BSE - Other Index Options'!$C:$C,$A29,'BSE - Other Index Options'!$B:$B,E$4,'BSE - Other Index Options'!$I:$I,"MDAW*"))</f>
        <v/>
      </c>
      <c r="F29" s="26">
        <f>IF(SUMIFS('NSE - NIFTY Index Options'!$M:$M,'NSE - NIFTY Index Options'!$C:$C,$A29,'NSE - NIFTY Index Options'!$B:$B,F$4,'NSE - NIFTY Index Options'!$I:$I,"Weekly*")+SUMIFS('NSE - NIFTY Index Options'!$M:$M,'NSE - NIFTY Index Options'!$C:$C,$A29,'NSE - NIFTY Index Options'!$B:$B,F$4,'NSE - NIFTY Index Options'!$I:$I,"MDAW*")+SUMIFS('NSE - Other Index Options'!$M:$M,'NSE - Other Index Options'!$C:$C,$A29,'NSE - Other Index Options'!$B:$B,F$4,'NSE - Other Index Options'!$I:$I,"Weekly*")+SUMIFS('NSE - Other Index Options'!$M:$M,'NSE - Other Index Options'!$C:$C,$A29,'NSE - Other Index Options'!$B:$B,F$4,'NSE - Other Index Options'!$I:$I,"MDAW*")+SUMIFS('BSE - SENSEX Index Options'!$M:$M,'BSE - SENSEX Index Options'!$C:$C,$A29,'BSE - SENSEX Index Options'!$B:$B,F$4,'BSE - SENSEX Index Options'!$I:$I,"Weekly*")+SUMIFS('BSE - SENSEX Index Options'!$M:$M,'BSE - SENSEX Index Options'!$C:$C,$A29,'BSE - SENSEX Index Options'!$B:$B,F$4,'BSE - SENSEX Index Options'!$I:$I,"MDAW*")+SUMIFS('BSE - Other Index Options'!$M:$M,'BSE - Other Index Options'!$C:$C,$A29,'BSE - Other Index Options'!$B:$B,F$4,'BSE - Other Index Options'!$I:$I,"Weekly*")+SUMIFS('BSE - Other Index Options'!$M:$M,'BSE - Other Index Options'!$C:$C,$A29,'BSE - Other Index Options'!$B:$B,F$4,'BSE - Other Index Options'!$I:$I,"MDAW*")=0,"",SUMIFS('NSE - NIFTY Index Options'!$M:$M,'NSE - NIFTY Index Options'!$C:$C,$A29,'NSE - NIFTY Index Options'!$B:$B,F$4,'NSE - NIFTY Index Options'!$I:$I,"Weekly*")+SUMIFS('NSE - NIFTY Index Options'!$M:$M,'NSE - NIFTY Index Options'!$C:$C,$A29,'NSE - NIFTY Index Options'!$B:$B,F$4,'NSE - NIFTY Index Options'!$I:$I,"MDAW*")+SUMIFS('NSE - Other Index Options'!$M:$M,'NSE - Other Index Options'!$C:$C,$A29,'NSE - Other Index Options'!$B:$B,F$4,'NSE - Other Index Options'!$I:$I,"Weekly*")+SUMIFS('NSE - Other Index Options'!$M:$M,'NSE - Other Index Options'!$C:$C,$A29,'NSE - Other Index Options'!$B:$B,F$4,'NSE - Other Index Options'!$I:$I,"MDAW*")+SUMIFS('BSE - SENSEX Index Options'!$M:$M,'BSE - SENSEX Index Options'!$C:$C,$A29,'BSE - SENSEX Index Options'!$B:$B,F$4,'BSE - SENSEX Index Options'!$I:$I,"Weekly*")+SUMIFS('BSE - SENSEX Index Options'!$M:$M,'BSE - SENSEX Index Options'!$C:$C,$A29,'BSE - SENSEX Index Options'!$B:$B,F$4,'BSE - SENSEX Index Options'!$I:$I,"MDAW*")+SUMIFS('BSE - Other Index Options'!$M:$M,'BSE - Other Index Options'!$C:$C,$A29,'BSE - Other Index Options'!$B:$B,F$4,'BSE - Other Index Options'!$I:$I,"Weekly*")+SUMIFS('BSE - Other Index Options'!$M:$M,'BSE - Other Index Options'!$C:$C,$A29,'BSE - Other Index Options'!$B:$B,F$4,'BSE - Other Index Options'!$I:$I,"MDAW*"))</f>
        <v/>
      </c>
      <c r="G29" s="26">
        <f>IF(SUMIFS('NSE - NIFTY Index Options'!$M:$M,'NSE - NIFTY Index Options'!$C:$C,$A29,'NSE - NIFTY Index Options'!$B:$B,G$4,'NSE - NIFTY Index Options'!$I:$I,"Weekly*")+SUMIFS('NSE - NIFTY Index Options'!$M:$M,'NSE - NIFTY Index Options'!$C:$C,$A29,'NSE - NIFTY Index Options'!$B:$B,G$4,'NSE - NIFTY Index Options'!$I:$I,"MDAW*")+SUMIFS('NSE - Other Index Options'!$M:$M,'NSE - Other Index Options'!$C:$C,$A29,'NSE - Other Index Options'!$B:$B,G$4,'NSE - Other Index Options'!$I:$I,"Weekly*")+SUMIFS('NSE - Other Index Options'!$M:$M,'NSE - Other Index Options'!$C:$C,$A29,'NSE - Other Index Options'!$B:$B,G$4,'NSE - Other Index Options'!$I:$I,"MDAW*")+SUMIFS('BSE - SENSEX Index Options'!$M:$M,'BSE - SENSEX Index Options'!$C:$C,$A29,'BSE - SENSEX Index Options'!$B:$B,G$4,'BSE - SENSEX Index Options'!$I:$I,"Weekly*")+SUMIFS('BSE - SENSEX Index Options'!$M:$M,'BSE - SENSEX Index Options'!$C:$C,$A29,'BSE - SENSEX Index Options'!$B:$B,G$4,'BSE - SENSEX Index Options'!$I:$I,"MDAW*")+SUMIFS('BSE - Other Index Options'!$M:$M,'BSE - Other Index Options'!$C:$C,$A29,'BSE - Other Index Options'!$B:$B,G$4,'BSE - Other Index Options'!$I:$I,"Weekly*")+SUMIFS('BSE - Other Index Options'!$M:$M,'BSE - Other Index Options'!$C:$C,$A29,'BSE - Other Index Options'!$B:$B,G$4,'BSE - Other Index Options'!$I:$I,"MDAW*")=0,"",SUMIFS('NSE - NIFTY Index Options'!$M:$M,'NSE - NIFTY Index Options'!$C:$C,$A29,'NSE - NIFTY Index Options'!$B:$B,G$4,'NSE - NIFTY Index Options'!$I:$I,"Weekly*")+SUMIFS('NSE - NIFTY Index Options'!$M:$M,'NSE - NIFTY Index Options'!$C:$C,$A29,'NSE - NIFTY Index Options'!$B:$B,G$4,'NSE - NIFTY Index Options'!$I:$I,"MDAW*")+SUMIFS('NSE - Other Index Options'!$M:$M,'NSE - Other Index Options'!$C:$C,$A29,'NSE - Other Index Options'!$B:$B,G$4,'NSE - Other Index Options'!$I:$I,"Weekly*")+SUMIFS('NSE - Other Index Options'!$M:$M,'NSE - Other Index Options'!$C:$C,$A29,'NSE - Other Index Options'!$B:$B,G$4,'NSE - Other Index Options'!$I:$I,"MDAW*")+SUMIFS('BSE - SENSEX Index Options'!$M:$M,'BSE - SENSEX Index Options'!$C:$C,$A29,'BSE - SENSEX Index Options'!$B:$B,G$4,'BSE - SENSEX Index Options'!$I:$I,"Weekly*")+SUMIFS('BSE - SENSEX Index Options'!$M:$M,'BSE - SENSEX Index Options'!$C:$C,$A29,'BSE - SENSEX Index Options'!$B:$B,G$4,'BSE - SENSEX Index Options'!$I:$I,"MDAW*")+SUMIFS('BSE - Other Index Options'!$M:$M,'BSE - Other Index Options'!$C:$C,$A29,'BSE - Other Index Options'!$B:$B,G$4,'BSE - Other Index Options'!$I:$I,"Weekly*")+SUMIFS('BSE - Other Index Options'!$M:$M,'BSE - Other Index Options'!$C:$C,$A29,'BSE - Other Index Options'!$B:$B,G$4,'BSE - Other Index Options'!$I:$I,"MDAW*"))</f>
        <v/>
      </c>
      <c r="H29" s="26">
        <f>IF(SUM(B29:G29)=0,"",SUM(B29:G29))</f>
        <v/>
      </c>
    </row>
    <row r="30">
      <c r="A30" t="inlineStr">
        <is>
          <t>Week1-Feb-2026</t>
        </is>
      </c>
      <c r="B30" s="26">
        <f>IF(SUMIFS('NSE - NIFTY Index Options'!$M:$M,'NSE - NIFTY Index Options'!$C:$C,$A30,'NSE - NIFTY Index Options'!$B:$B,B$4,'NSE - NIFTY Index Options'!$I:$I,"Weekly*")+SUMIFS('NSE - NIFTY Index Options'!$M:$M,'NSE - NIFTY Index Options'!$C:$C,$A30,'NSE - NIFTY Index Options'!$B:$B,B$4,'NSE - NIFTY Index Options'!$I:$I,"MDAW*")+SUMIFS('NSE - Other Index Options'!$M:$M,'NSE - Other Index Options'!$C:$C,$A30,'NSE - Other Index Options'!$B:$B,B$4,'NSE - Other Index Options'!$I:$I,"Weekly*")+SUMIFS('NSE - Other Index Options'!$M:$M,'NSE - Other Index Options'!$C:$C,$A30,'NSE - Other Index Options'!$B:$B,B$4,'NSE - Other Index Options'!$I:$I,"MDAW*")+SUMIFS('BSE - SENSEX Index Options'!$M:$M,'BSE - SENSEX Index Options'!$C:$C,$A30,'BSE - SENSEX Index Options'!$B:$B,B$4,'BSE - SENSEX Index Options'!$I:$I,"Weekly*")+SUMIFS('BSE - SENSEX Index Options'!$M:$M,'BSE - SENSEX Index Options'!$C:$C,$A30,'BSE - SENSEX Index Options'!$B:$B,B$4,'BSE - SENSEX Index Options'!$I:$I,"MDAW*")+SUMIFS('BSE - Other Index Options'!$M:$M,'BSE - Other Index Options'!$C:$C,$A30,'BSE - Other Index Options'!$B:$B,B$4,'BSE - Other Index Options'!$I:$I,"Weekly*")+SUMIFS('BSE - Other Index Options'!$M:$M,'BSE - Other Index Options'!$C:$C,$A30,'BSE - Other Index Options'!$B:$B,B$4,'BSE - Other Index Options'!$I:$I,"MDAW*")=0,"",SUMIFS('NSE - NIFTY Index Options'!$M:$M,'NSE - NIFTY Index Options'!$C:$C,$A30,'NSE - NIFTY Index Options'!$B:$B,B$4,'NSE - NIFTY Index Options'!$I:$I,"Weekly*")+SUMIFS('NSE - NIFTY Index Options'!$M:$M,'NSE - NIFTY Index Options'!$C:$C,$A30,'NSE - NIFTY Index Options'!$B:$B,B$4,'NSE - NIFTY Index Options'!$I:$I,"MDAW*")+SUMIFS('NSE - Other Index Options'!$M:$M,'NSE - Other Index Options'!$C:$C,$A30,'NSE - Other Index Options'!$B:$B,B$4,'NSE - Other Index Options'!$I:$I,"Weekly*")+SUMIFS('NSE - Other Index Options'!$M:$M,'NSE - Other Index Options'!$C:$C,$A30,'NSE - Other Index Options'!$B:$B,B$4,'NSE - Other Index Options'!$I:$I,"MDAW*")+SUMIFS('BSE - SENSEX Index Options'!$M:$M,'BSE - SENSEX Index Options'!$C:$C,$A30,'BSE - SENSEX Index Options'!$B:$B,B$4,'BSE - SENSEX Index Options'!$I:$I,"Weekly*")+SUMIFS('BSE - SENSEX Index Options'!$M:$M,'BSE - SENSEX Index Options'!$C:$C,$A30,'BSE - SENSEX Index Options'!$B:$B,B$4,'BSE - SENSEX Index Options'!$I:$I,"MDAW*")+SUMIFS('BSE - Other Index Options'!$M:$M,'BSE - Other Index Options'!$C:$C,$A30,'BSE - Other Index Options'!$B:$B,B$4,'BSE - Other Index Options'!$I:$I,"Weekly*")+SUMIFS('BSE - Other Index Options'!$M:$M,'BSE - Other Index Options'!$C:$C,$A30,'BSE - Other Index Options'!$B:$B,B$4,'BSE - Other Index Options'!$I:$I,"MDAW*"))</f>
        <v/>
      </c>
      <c r="C30" s="26">
        <f>IF(SUMIFS('NSE - NIFTY Index Options'!$M:$M,'NSE - NIFTY Index Options'!$C:$C,$A30,'NSE - NIFTY Index Options'!$B:$B,C$4,'NSE - NIFTY Index Options'!$I:$I,"Weekly*")+SUMIFS('NSE - NIFTY Index Options'!$M:$M,'NSE - NIFTY Index Options'!$C:$C,$A30,'NSE - NIFTY Index Options'!$B:$B,C$4,'NSE - NIFTY Index Options'!$I:$I,"MDAW*")+SUMIFS('NSE - Other Index Options'!$M:$M,'NSE - Other Index Options'!$C:$C,$A30,'NSE - Other Index Options'!$B:$B,C$4,'NSE - Other Index Options'!$I:$I,"Weekly*")+SUMIFS('NSE - Other Index Options'!$M:$M,'NSE - Other Index Options'!$C:$C,$A30,'NSE - Other Index Options'!$B:$B,C$4,'NSE - Other Index Options'!$I:$I,"MDAW*")+SUMIFS('BSE - SENSEX Index Options'!$M:$M,'BSE - SENSEX Index Options'!$C:$C,$A30,'BSE - SENSEX Index Options'!$B:$B,C$4,'BSE - SENSEX Index Options'!$I:$I,"Weekly*")+SUMIFS('BSE - SENSEX Index Options'!$M:$M,'BSE - SENSEX Index Options'!$C:$C,$A30,'BSE - SENSEX Index Options'!$B:$B,C$4,'BSE - SENSEX Index Options'!$I:$I,"MDAW*")+SUMIFS('BSE - Other Index Options'!$M:$M,'BSE - Other Index Options'!$C:$C,$A30,'BSE - Other Index Options'!$B:$B,C$4,'BSE - Other Index Options'!$I:$I,"Weekly*")+SUMIFS('BSE - Other Index Options'!$M:$M,'BSE - Other Index Options'!$C:$C,$A30,'BSE - Other Index Options'!$B:$B,C$4,'BSE - Other Index Options'!$I:$I,"MDAW*")=0,"",SUMIFS('NSE - NIFTY Index Options'!$M:$M,'NSE - NIFTY Index Options'!$C:$C,$A30,'NSE - NIFTY Index Options'!$B:$B,C$4,'NSE - NIFTY Index Options'!$I:$I,"Weekly*")+SUMIFS('NSE - NIFTY Index Options'!$M:$M,'NSE - NIFTY Index Options'!$C:$C,$A30,'NSE - NIFTY Index Options'!$B:$B,C$4,'NSE - NIFTY Index Options'!$I:$I,"MDAW*")+SUMIFS('NSE - Other Index Options'!$M:$M,'NSE - Other Index Options'!$C:$C,$A30,'NSE - Other Index Options'!$B:$B,C$4,'NSE - Other Index Options'!$I:$I,"Weekly*")+SUMIFS('NSE - Other Index Options'!$M:$M,'NSE - Other Index Options'!$C:$C,$A30,'NSE - Other Index Options'!$B:$B,C$4,'NSE - Other Index Options'!$I:$I,"MDAW*")+SUMIFS('BSE - SENSEX Index Options'!$M:$M,'BSE - SENSEX Index Options'!$C:$C,$A30,'BSE - SENSEX Index Options'!$B:$B,C$4,'BSE - SENSEX Index Options'!$I:$I,"Weekly*")+SUMIFS('BSE - SENSEX Index Options'!$M:$M,'BSE - SENSEX Index Options'!$C:$C,$A30,'BSE - SENSEX Index Options'!$B:$B,C$4,'BSE - SENSEX Index Options'!$I:$I,"MDAW*")+SUMIFS('BSE - Other Index Options'!$M:$M,'BSE - Other Index Options'!$C:$C,$A30,'BSE - Other Index Options'!$B:$B,C$4,'BSE - Other Index Options'!$I:$I,"Weekly*")+SUMIFS('BSE - Other Index Options'!$M:$M,'BSE - Other Index Options'!$C:$C,$A30,'BSE - Other Index Options'!$B:$B,C$4,'BSE - Other Index Options'!$I:$I,"MDAW*"))</f>
        <v/>
      </c>
      <c r="D30" s="26">
        <f>IF(SUMIFS('NSE - NIFTY Index Options'!$M:$M,'NSE - NIFTY Index Options'!$C:$C,$A30,'NSE - NIFTY Index Options'!$B:$B,D$4,'NSE - NIFTY Index Options'!$I:$I,"Weekly*")+SUMIFS('NSE - NIFTY Index Options'!$M:$M,'NSE - NIFTY Index Options'!$C:$C,$A30,'NSE - NIFTY Index Options'!$B:$B,D$4,'NSE - NIFTY Index Options'!$I:$I,"MDAW*")+SUMIFS('NSE - Other Index Options'!$M:$M,'NSE - Other Index Options'!$C:$C,$A30,'NSE - Other Index Options'!$B:$B,D$4,'NSE - Other Index Options'!$I:$I,"Weekly*")+SUMIFS('NSE - Other Index Options'!$M:$M,'NSE - Other Index Options'!$C:$C,$A30,'NSE - Other Index Options'!$B:$B,D$4,'NSE - Other Index Options'!$I:$I,"MDAW*")+SUMIFS('BSE - SENSEX Index Options'!$M:$M,'BSE - SENSEX Index Options'!$C:$C,$A30,'BSE - SENSEX Index Options'!$B:$B,D$4,'BSE - SENSEX Index Options'!$I:$I,"Weekly*")+SUMIFS('BSE - SENSEX Index Options'!$M:$M,'BSE - SENSEX Index Options'!$C:$C,$A30,'BSE - SENSEX Index Options'!$B:$B,D$4,'BSE - SENSEX Index Options'!$I:$I,"MDAW*")+SUMIFS('BSE - Other Index Options'!$M:$M,'BSE - Other Index Options'!$C:$C,$A30,'BSE - Other Index Options'!$B:$B,D$4,'BSE - Other Index Options'!$I:$I,"Weekly*")+SUMIFS('BSE - Other Index Options'!$M:$M,'BSE - Other Index Options'!$C:$C,$A30,'BSE - Other Index Options'!$B:$B,D$4,'BSE - Other Index Options'!$I:$I,"MDAW*")=0,"",SUMIFS('NSE - NIFTY Index Options'!$M:$M,'NSE - NIFTY Index Options'!$C:$C,$A30,'NSE - NIFTY Index Options'!$B:$B,D$4,'NSE - NIFTY Index Options'!$I:$I,"Weekly*")+SUMIFS('NSE - NIFTY Index Options'!$M:$M,'NSE - NIFTY Index Options'!$C:$C,$A30,'NSE - NIFTY Index Options'!$B:$B,D$4,'NSE - NIFTY Index Options'!$I:$I,"MDAW*")+SUMIFS('NSE - Other Index Options'!$M:$M,'NSE - Other Index Options'!$C:$C,$A30,'NSE - Other Index Options'!$B:$B,D$4,'NSE - Other Index Options'!$I:$I,"Weekly*")+SUMIFS('NSE - Other Index Options'!$M:$M,'NSE - Other Index Options'!$C:$C,$A30,'NSE - Other Index Options'!$B:$B,D$4,'NSE - Other Index Options'!$I:$I,"MDAW*")+SUMIFS('BSE - SENSEX Index Options'!$M:$M,'BSE - SENSEX Index Options'!$C:$C,$A30,'BSE - SENSEX Index Options'!$B:$B,D$4,'BSE - SENSEX Index Options'!$I:$I,"Weekly*")+SUMIFS('BSE - SENSEX Index Options'!$M:$M,'BSE - SENSEX Index Options'!$C:$C,$A30,'BSE - SENSEX Index Options'!$B:$B,D$4,'BSE - SENSEX Index Options'!$I:$I,"MDAW*")+SUMIFS('BSE - Other Index Options'!$M:$M,'BSE - Other Index Options'!$C:$C,$A30,'BSE - Other Index Options'!$B:$B,D$4,'BSE - Other Index Options'!$I:$I,"Weekly*")+SUMIFS('BSE - Other Index Options'!$M:$M,'BSE - Other Index Options'!$C:$C,$A30,'BSE - Other Index Options'!$B:$B,D$4,'BSE - Other Index Options'!$I:$I,"MDAW*"))</f>
        <v/>
      </c>
      <c r="E30" s="26">
        <f>IF(SUMIFS('NSE - NIFTY Index Options'!$M:$M,'NSE - NIFTY Index Options'!$C:$C,$A30,'NSE - NIFTY Index Options'!$B:$B,E$4,'NSE - NIFTY Index Options'!$I:$I,"Weekly*")+SUMIFS('NSE - NIFTY Index Options'!$M:$M,'NSE - NIFTY Index Options'!$C:$C,$A30,'NSE - NIFTY Index Options'!$B:$B,E$4,'NSE - NIFTY Index Options'!$I:$I,"MDAW*")+SUMIFS('NSE - Other Index Options'!$M:$M,'NSE - Other Index Options'!$C:$C,$A30,'NSE - Other Index Options'!$B:$B,E$4,'NSE - Other Index Options'!$I:$I,"Weekly*")+SUMIFS('NSE - Other Index Options'!$M:$M,'NSE - Other Index Options'!$C:$C,$A30,'NSE - Other Index Options'!$B:$B,E$4,'NSE - Other Index Options'!$I:$I,"MDAW*")+SUMIFS('BSE - SENSEX Index Options'!$M:$M,'BSE - SENSEX Index Options'!$C:$C,$A30,'BSE - SENSEX Index Options'!$B:$B,E$4,'BSE - SENSEX Index Options'!$I:$I,"Weekly*")+SUMIFS('BSE - SENSEX Index Options'!$M:$M,'BSE - SENSEX Index Options'!$C:$C,$A30,'BSE - SENSEX Index Options'!$B:$B,E$4,'BSE - SENSEX Index Options'!$I:$I,"MDAW*")+SUMIFS('BSE - Other Index Options'!$M:$M,'BSE - Other Index Options'!$C:$C,$A30,'BSE - Other Index Options'!$B:$B,E$4,'BSE - Other Index Options'!$I:$I,"Weekly*")+SUMIFS('BSE - Other Index Options'!$M:$M,'BSE - Other Index Options'!$C:$C,$A30,'BSE - Other Index Options'!$B:$B,E$4,'BSE - Other Index Options'!$I:$I,"MDAW*")=0,"",SUMIFS('NSE - NIFTY Index Options'!$M:$M,'NSE - NIFTY Index Options'!$C:$C,$A30,'NSE - NIFTY Index Options'!$B:$B,E$4,'NSE - NIFTY Index Options'!$I:$I,"Weekly*")+SUMIFS('NSE - NIFTY Index Options'!$M:$M,'NSE - NIFTY Index Options'!$C:$C,$A30,'NSE - NIFTY Index Options'!$B:$B,E$4,'NSE - NIFTY Index Options'!$I:$I,"MDAW*")+SUMIFS('NSE - Other Index Options'!$M:$M,'NSE - Other Index Options'!$C:$C,$A30,'NSE - Other Index Options'!$B:$B,E$4,'NSE - Other Index Options'!$I:$I,"Weekly*")+SUMIFS('NSE - Other Index Options'!$M:$M,'NSE - Other Index Options'!$C:$C,$A30,'NSE - Other Index Options'!$B:$B,E$4,'NSE - Other Index Options'!$I:$I,"MDAW*")+SUMIFS('BSE - SENSEX Index Options'!$M:$M,'BSE - SENSEX Index Options'!$C:$C,$A30,'BSE - SENSEX Index Options'!$B:$B,E$4,'BSE - SENSEX Index Options'!$I:$I,"Weekly*")+SUMIFS('BSE - SENSEX Index Options'!$M:$M,'BSE - SENSEX Index Options'!$C:$C,$A30,'BSE - SENSEX Index Options'!$B:$B,E$4,'BSE - SENSEX Index Options'!$I:$I,"MDAW*")+SUMIFS('BSE - Other Index Options'!$M:$M,'BSE - Other Index Options'!$C:$C,$A30,'BSE - Other Index Options'!$B:$B,E$4,'BSE - Other Index Options'!$I:$I,"Weekly*")+SUMIFS('BSE - Other Index Options'!$M:$M,'BSE - Other Index Options'!$C:$C,$A30,'BSE - Other Index Options'!$B:$B,E$4,'BSE - Other Index Options'!$I:$I,"MDAW*"))</f>
        <v/>
      </c>
      <c r="F30" s="26">
        <f>IF(SUMIFS('NSE - NIFTY Index Options'!$M:$M,'NSE - NIFTY Index Options'!$C:$C,$A30,'NSE - NIFTY Index Options'!$B:$B,F$4,'NSE - NIFTY Index Options'!$I:$I,"Weekly*")+SUMIFS('NSE - NIFTY Index Options'!$M:$M,'NSE - NIFTY Index Options'!$C:$C,$A30,'NSE - NIFTY Index Options'!$B:$B,F$4,'NSE - NIFTY Index Options'!$I:$I,"MDAW*")+SUMIFS('NSE - Other Index Options'!$M:$M,'NSE - Other Index Options'!$C:$C,$A30,'NSE - Other Index Options'!$B:$B,F$4,'NSE - Other Index Options'!$I:$I,"Weekly*")+SUMIFS('NSE - Other Index Options'!$M:$M,'NSE - Other Index Options'!$C:$C,$A30,'NSE - Other Index Options'!$B:$B,F$4,'NSE - Other Index Options'!$I:$I,"MDAW*")+SUMIFS('BSE - SENSEX Index Options'!$M:$M,'BSE - SENSEX Index Options'!$C:$C,$A30,'BSE - SENSEX Index Options'!$B:$B,F$4,'BSE - SENSEX Index Options'!$I:$I,"Weekly*")+SUMIFS('BSE - SENSEX Index Options'!$M:$M,'BSE - SENSEX Index Options'!$C:$C,$A30,'BSE - SENSEX Index Options'!$B:$B,F$4,'BSE - SENSEX Index Options'!$I:$I,"MDAW*")+SUMIFS('BSE - Other Index Options'!$M:$M,'BSE - Other Index Options'!$C:$C,$A30,'BSE - Other Index Options'!$B:$B,F$4,'BSE - Other Index Options'!$I:$I,"Weekly*")+SUMIFS('BSE - Other Index Options'!$M:$M,'BSE - Other Index Options'!$C:$C,$A30,'BSE - Other Index Options'!$B:$B,F$4,'BSE - Other Index Options'!$I:$I,"MDAW*")=0,"",SUMIFS('NSE - NIFTY Index Options'!$M:$M,'NSE - NIFTY Index Options'!$C:$C,$A30,'NSE - NIFTY Index Options'!$B:$B,F$4,'NSE - NIFTY Index Options'!$I:$I,"Weekly*")+SUMIFS('NSE - NIFTY Index Options'!$M:$M,'NSE - NIFTY Index Options'!$C:$C,$A30,'NSE - NIFTY Index Options'!$B:$B,F$4,'NSE - NIFTY Index Options'!$I:$I,"MDAW*")+SUMIFS('NSE - Other Index Options'!$M:$M,'NSE - Other Index Options'!$C:$C,$A30,'NSE - Other Index Options'!$B:$B,F$4,'NSE - Other Index Options'!$I:$I,"Weekly*")+SUMIFS('NSE - Other Index Options'!$M:$M,'NSE - Other Index Options'!$C:$C,$A30,'NSE - Other Index Options'!$B:$B,F$4,'NSE - Other Index Options'!$I:$I,"MDAW*")+SUMIFS('BSE - SENSEX Index Options'!$M:$M,'BSE - SENSEX Index Options'!$C:$C,$A30,'BSE - SENSEX Index Options'!$B:$B,F$4,'BSE - SENSEX Index Options'!$I:$I,"Weekly*")+SUMIFS('BSE - SENSEX Index Options'!$M:$M,'BSE - SENSEX Index Options'!$C:$C,$A30,'BSE - SENSEX Index Options'!$B:$B,F$4,'BSE - SENSEX Index Options'!$I:$I,"MDAW*")+SUMIFS('BSE - Other Index Options'!$M:$M,'BSE - Other Index Options'!$C:$C,$A30,'BSE - Other Index Options'!$B:$B,F$4,'BSE - Other Index Options'!$I:$I,"Weekly*")+SUMIFS('BSE - Other Index Options'!$M:$M,'BSE - Other Index Options'!$C:$C,$A30,'BSE - Other Index Options'!$B:$B,F$4,'BSE - Other Index Options'!$I:$I,"MDAW*"))</f>
        <v/>
      </c>
      <c r="G30" s="26">
        <f>IF(SUMIFS('NSE - NIFTY Index Options'!$M:$M,'NSE - NIFTY Index Options'!$C:$C,$A30,'NSE - NIFTY Index Options'!$B:$B,G$4,'NSE - NIFTY Index Options'!$I:$I,"Weekly*")+SUMIFS('NSE - NIFTY Index Options'!$M:$M,'NSE - NIFTY Index Options'!$C:$C,$A30,'NSE - NIFTY Index Options'!$B:$B,G$4,'NSE - NIFTY Index Options'!$I:$I,"MDAW*")+SUMIFS('NSE - Other Index Options'!$M:$M,'NSE - Other Index Options'!$C:$C,$A30,'NSE - Other Index Options'!$B:$B,G$4,'NSE - Other Index Options'!$I:$I,"Weekly*")+SUMIFS('NSE - Other Index Options'!$M:$M,'NSE - Other Index Options'!$C:$C,$A30,'NSE - Other Index Options'!$B:$B,G$4,'NSE - Other Index Options'!$I:$I,"MDAW*")+SUMIFS('BSE - SENSEX Index Options'!$M:$M,'BSE - SENSEX Index Options'!$C:$C,$A30,'BSE - SENSEX Index Options'!$B:$B,G$4,'BSE - SENSEX Index Options'!$I:$I,"Weekly*")+SUMIFS('BSE - SENSEX Index Options'!$M:$M,'BSE - SENSEX Index Options'!$C:$C,$A30,'BSE - SENSEX Index Options'!$B:$B,G$4,'BSE - SENSEX Index Options'!$I:$I,"MDAW*")+SUMIFS('BSE - Other Index Options'!$M:$M,'BSE - Other Index Options'!$C:$C,$A30,'BSE - Other Index Options'!$B:$B,G$4,'BSE - Other Index Options'!$I:$I,"Weekly*")+SUMIFS('BSE - Other Index Options'!$M:$M,'BSE - Other Index Options'!$C:$C,$A30,'BSE - Other Index Options'!$B:$B,G$4,'BSE - Other Index Options'!$I:$I,"MDAW*")=0,"",SUMIFS('NSE - NIFTY Index Options'!$M:$M,'NSE - NIFTY Index Options'!$C:$C,$A30,'NSE - NIFTY Index Options'!$B:$B,G$4,'NSE - NIFTY Index Options'!$I:$I,"Weekly*")+SUMIFS('NSE - NIFTY Index Options'!$M:$M,'NSE - NIFTY Index Options'!$C:$C,$A30,'NSE - NIFTY Index Options'!$B:$B,G$4,'NSE - NIFTY Index Options'!$I:$I,"MDAW*")+SUMIFS('NSE - Other Index Options'!$M:$M,'NSE - Other Index Options'!$C:$C,$A30,'NSE - Other Index Options'!$B:$B,G$4,'NSE - Other Index Options'!$I:$I,"Weekly*")+SUMIFS('NSE - Other Index Options'!$M:$M,'NSE - Other Index Options'!$C:$C,$A30,'NSE - Other Index Options'!$B:$B,G$4,'NSE - Other Index Options'!$I:$I,"MDAW*")+SUMIFS('BSE - SENSEX Index Options'!$M:$M,'BSE - SENSEX Index Options'!$C:$C,$A30,'BSE - SENSEX Index Options'!$B:$B,G$4,'BSE - SENSEX Index Options'!$I:$I,"Weekly*")+SUMIFS('BSE - SENSEX Index Options'!$M:$M,'BSE - SENSEX Index Options'!$C:$C,$A30,'BSE - SENSEX Index Options'!$B:$B,G$4,'BSE - SENSEX Index Options'!$I:$I,"MDAW*")+SUMIFS('BSE - Other Index Options'!$M:$M,'BSE - Other Index Options'!$C:$C,$A30,'BSE - Other Index Options'!$B:$B,G$4,'BSE - Other Index Options'!$I:$I,"Weekly*")+SUMIFS('BSE - Other Index Options'!$M:$M,'BSE - Other Index Options'!$C:$C,$A30,'BSE - Other Index Options'!$B:$B,G$4,'BSE - Other Index Options'!$I:$I,"MDAW*"))</f>
        <v/>
      </c>
      <c r="H30" s="26">
        <f>IF(SUM(B30:G30)=0,"",SUM(B30:G30))</f>
        <v/>
      </c>
    </row>
    <row r="31">
      <c r="A31" t="inlineStr">
        <is>
          <t>Week2-Feb-2026</t>
        </is>
      </c>
      <c r="B31" s="26">
        <f>IF(SUMIFS('NSE - NIFTY Index Options'!$M:$M,'NSE - NIFTY Index Options'!$C:$C,$A31,'NSE - NIFTY Index Options'!$B:$B,B$4,'NSE - NIFTY Index Options'!$I:$I,"Weekly*")+SUMIFS('NSE - NIFTY Index Options'!$M:$M,'NSE - NIFTY Index Options'!$C:$C,$A31,'NSE - NIFTY Index Options'!$B:$B,B$4,'NSE - NIFTY Index Options'!$I:$I,"MDAW*")+SUMIFS('NSE - Other Index Options'!$M:$M,'NSE - Other Index Options'!$C:$C,$A31,'NSE - Other Index Options'!$B:$B,B$4,'NSE - Other Index Options'!$I:$I,"Weekly*")+SUMIFS('NSE - Other Index Options'!$M:$M,'NSE - Other Index Options'!$C:$C,$A31,'NSE - Other Index Options'!$B:$B,B$4,'NSE - Other Index Options'!$I:$I,"MDAW*")+SUMIFS('BSE - SENSEX Index Options'!$M:$M,'BSE - SENSEX Index Options'!$C:$C,$A31,'BSE - SENSEX Index Options'!$B:$B,B$4,'BSE - SENSEX Index Options'!$I:$I,"Weekly*")+SUMIFS('BSE - SENSEX Index Options'!$M:$M,'BSE - SENSEX Index Options'!$C:$C,$A31,'BSE - SENSEX Index Options'!$B:$B,B$4,'BSE - SENSEX Index Options'!$I:$I,"MDAW*")+SUMIFS('BSE - Other Index Options'!$M:$M,'BSE - Other Index Options'!$C:$C,$A31,'BSE - Other Index Options'!$B:$B,B$4,'BSE - Other Index Options'!$I:$I,"Weekly*")+SUMIFS('BSE - Other Index Options'!$M:$M,'BSE - Other Index Options'!$C:$C,$A31,'BSE - Other Index Options'!$B:$B,B$4,'BSE - Other Index Options'!$I:$I,"MDAW*")=0,"",SUMIFS('NSE - NIFTY Index Options'!$M:$M,'NSE - NIFTY Index Options'!$C:$C,$A31,'NSE - NIFTY Index Options'!$B:$B,B$4,'NSE - NIFTY Index Options'!$I:$I,"Weekly*")+SUMIFS('NSE - NIFTY Index Options'!$M:$M,'NSE - NIFTY Index Options'!$C:$C,$A31,'NSE - NIFTY Index Options'!$B:$B,B$4,'NSE - NIFTY Index Options'!$I:$I,"MDAW*")+SUMIFS('NSE - Other Index Options'!$M:$M,'NSE - Other Index Options'!$C:$C,$A31,'NSE - Other Index Options'!$B:$B,B$4,'NSE - Other Index Options'!$I:$I,"Weekly*")+SUMIFS('NSE - Other Index Options'!$M:$M,'NSE - Other Index Options'!$C:$C,$A31,'NSE - Other Index Options'!$B:$B,B$4,'NSE - Other Index Options'!$I:$I,"MDAW*")+SUMIFS('BSE - SENSEX Index Options'!$M:$M,'BSE - SENSEX Index Options'!$C:$C,$A31,'BSE - SENSEX Index Options'!$B:$B,B$4,'BSE - SENSEX Index Options'!$I:$I,"Weekly*")+SUMIFS('BSE - SENSEX Index Options'!$M:$M,'BSE - SENSEX Index Options'!$C:$C,$A31,'BSE - SENSEX Index Options'!$B:$B,B$4,'BSE - SENSEX Index Options'!$I:$I,"MDAW*")+SUMIFS('BSE - Other Index Options'!$M:$M,'BSE - Other Index Options'!$C:$C,$A31,'BSE - Other Index Options'!$B:$B,B$4,'BSE - Other Index Options'!$I:$I,"Weekly*")+SUMIFS('BSE - Other Index Options'!$M:$M,'BSE - Other Index Options'!$C:$C,$A31,'BSE - Other Index Options'!$B:$B,B$4,'BSE - Other Index Options'!$I:$I,"MDAW*"))</f>
        <v/>
      </c>
      <c r="C31" s="26">
        <f>IF(SUMIFS('NSE - NIFTY Index Options'!$M:$M,'NSE - NIFTY Index Options'!$C:$C,$A31,'NSE - NIFTY Index Options'!$B:$B,C$4,'NSE - NIFTY Index Options'!$I:$I,"Weekly*")+SUMIFS('NSE - NIFTY Index Options'!$M:$M,'NSE - NIFTY Index Options'!$C:$C,$A31,'NSE - NIFTY Index Options'!$B:$B,C$4,'NSE - NIFTY Index Options'!$I:$I,"MDAW*")+SUMIFS('NSE - Other Index Options'!$M:$M,'NSE - Other Index Options'!$C:$C,$A31,'NSE - Other Index Options'!$B:$B,C$4,'NSE - Other Index Options'!$I:$I,"Weekly*")+SUMIFS('NSE - Other Index Options'!$M:$M,'NSE - Other Index Options'!$C:$C,$A31,'NSE - Other Index Options'!$B:$B,C$4,'NSE - Other Index Options'!$I:$I,"MDAW*")+SUMIFS('BSE - SENSEX Index Options'!$M:$M,'BSE - SENSEX Index Options'!$C:$C,$A31,'BSE - SENSEX Index Options'!$B:$B,C$4,'BSE - SENSEX Index Options'!$I:$I,"Weekly*")+SUMIFS('BSE - SENSEX Index Options'!$M:$M,'BSE - SENSEX Index Options'!$C:$C,$A31,'BSE - SENSEX Index Options'!$B:$B,C$4,'BSE - SENSEX Index Options'!$I:$I,"MDAW*")+SUMIFS('BSE - Other Index Options'!$M:$M,'BSE - Other Index Options'!$C:$C,$A31,'BSE - Other Index Options'!$B:$B,C$4,'BSE - Other Index Options'!$I:$I,"Weekly*")+SUMIFS('BSE - Other Index Options'!$M:$M,'BSE - Other Index Options'!$C:$C,$A31,'BSE - Other Index Options'!$B:$B,C$4,'BSE - Other Index Options'!$I:$I,"MDAW*")=0,"",SUMIFS('NSE - NIFTY Index Options'!$M:$M,'NSE - NIFTY Index Options'!$C:$C,$A31,'NSE - NIFTY Index Options'!$B:$B,C$4,'NSE - NIFTY Index Options'!$I:$I,"Weekly*")+SUMIFS('NSE - NIFTY Index Options'!$M:$M,'NSE - NIFTY Index Options'!$C:$C,$A31,'NSE - NIFTY Index Options'!$B:$B,C$4,'NSE - NIFTY Index Options'!$I:$I,"MDAW*")+SUMIFS('NSE - Other Index Options'!$M:$M,'NSE - Other Index Options'!$C:$C,$A31,'NSE - Other Index Options'!$B:$B,C$4,'NSE - Other Index Options'!$I:$I,"Weekly*")+SUMIFS('NSE - Other Index Options'!$M:$M,'NSE - Other Index Options'!$C:$C,$A31,'NSE - Other Index Options'!$B:$B,C$4,'NSE - Other Index Options'!$I:$I,"MDAW*")+SUMIFS('BSE - SENSEX Index Options'!$M:$M,'BSE - SENSEX Index Options'!$C:$C,$A31,'BSE - SENSEX Index Options'!$B:$B,C$4,'BSE - SENSEX Index Options'!$I:$I,"Weekly*")+SUMIFS('BSE - SENSEX Index Options'!$M:$M,'BSE - SENSEX Index Options'!$C:$C,$A31,'BSE - SENSEX Index Options'!$B:$B,C$4,'BSE - SENSEX Index Options'!$I:$I,"MDAW*")+SUMIFS('BSE - Other Index Options'!$M:$M,'BSE - Other Index Options'!$C:$C,$A31,'BSE - Other Index Options'!$B:$B,C$4,'BSE - Other Index Options'!$I:$I,"Weekly*")+SUMIFS('BSE - Other Index Options'!$M:$M,'BSE - Other Index Options'!$C:$C,$A31,'BSE - Other Index Options'!$B:$B,C$4,'BSE - Other Index Options'!$I:$I,"MDAW*"))</f>
        <v/>
      </c>
      <c r="D31" s="26">
        <f>IF(SUMIFS('NSE - NIFTY Index Options'!$M:$M,'NSE - NIFTY Index Options'!$C:$C,$A31,'NSE - NIFTY Index Options'!$B:$B,D$4,'NSE - NIFTY Index Options'!$I:$I,"Weekly*")+SUMIFS('NSE - NIFTY Index Options'!$M:$M,'NSE - NIFTY Index Options'!$C:$C,$A31,'NSE - NIFTY Index Options'!$B:$B,D$4,'NSE - NIFTY Index Options'!$I:$I,"MDAW*")+SUMIFS('NSE - Other Index Options'!$M:$M,'NSE - Other Index Options'!$C:$C,$A31,'NSE - Other Index Options'!$B:$B,D$4,'NSE - Other Index Options'!$I:$I,"Weekly*")+SUMIFS('NSE - Other Index Options'!$M:$M,'NSE - Other Index Options'!$C:$C,$A31,'NSE - Other Index Options'!$B:$B,D$4,'NSE - Other Index Options'!$I:$I,"MDAW*")+SUMIFS('BSE - SENSEX Index Options'!$M:$M,'BSE - SENSEX Index Options'!$C:$C,$A31,'BSE - SENSEX Index Options'!$B:$B,D$4,'BSE - SENSEX Index Options'!$I:$I,"Weekly*")+SUMIFS('BSE - SENSEX Index Options'!$M:$M,'BSE - SENSEX Index Options'!$C:$C,$A31,'BSE - SENSEX Index Options'!$B:$B,D$4,'BSE - SENSEX Index Options'!$I:$I,"MDAW*")+SUMIFS('BSE - Other Index Options'!$M:$M,'BSE - Other Index Options'!$C:$C,$A31,'BSE - Other Index Options'!$B:$B,D$4,'BSE - Other Index Options'!$I:$I,"Weekly*")+SUMIFS('BSE - Other Index Options'!$M:$M,'BSE - Other Index Options'!$C:$C,$A31,'BSE - Other Index Options'!$B:$B,D$4,'BSE - Other Index Options'!$I:$I,"MDAW*")=0,"",SUMIFS('NSE - NIFTY Index Options'!$M:$M,'NSE - NIFTY Index Options'!$C:$C,$A31,'NSE - NIFTY Index Options'!$B:$B,D$4,'NSE - NIFTY Index Options'!$I:$I,"Weekly*")+SUMIFS('NSE - NIFTY Index Options'!$M:$M,'NSE - NIFTY Index Options'!$C:$C,$A31,'NSE - NIFTY Index Options'!$B:$B,D$4,'NSE - NIFTY Index Options'!$I:$I,"MDAW*")+SUMIFS('NSE - Other Index Options'!$M:$M,'NSE - Other Index Options'!$C:$C,$A31,'NSE - Other Index Options'!$B:$B,D$4,'NSE - Other Index Options'!$I:$I,"Weekly*")+SUMIFS('NSE - Other Index Options'!$M:$M,'NSE - Other Index Options'!$C:$C,$A31,'NSE - Other Index Options'!$B:$B,D$4,'NSE - Other Index Options'!$I:$I,"MDAW*")+SUMIFS('BSE - SENSEX Index Options'!$M:$M,'BSE - SENSEX Index Options'!$C:$C,$A31,'BSE - SENSEX Index Options'!$B:$B,D$4,'BSE - SENSEX Index Options'!$I:$I,"Weekly*")+SUMIFS('BSE - SENSEX Index Options'!$M:$M,'BSE - SENSEX Index Options'!$C:$C,$A31,'BSE - SENSEX Index Options'!$B:$B,D$4,'BSE - SENSEX Index Options'!$I:$I,"MDAW*")+SUMIFS('BSE - Other Index Options'!$M:$M,'BSE - Other Index Options'!$C:$C,$A31,'BSE - Other Index Options'!$B:$B,D$4,'BSE - Other Index Options'!$I:$I,"Weekly*")+SUMIFS('BSE - Other Index Options'!$M:$M,'BSE - Other Index Options'!$C:$C,$A31,'BSE - Other Index Options'!$B:$B,D$4,'BSE - Other Index Options'!$I:$I,"MDAW*"))</f>
        <v/>
      </c>
      <c r="E31" s="26">
        <f>IF(SUMIFS('NSE - NIFTY Index Options'!$M:$M,'NSE - NIFTY Index Options'!$C:$C,$A31,'NSE - NIFTY Index Options'!$B:$B,E$4,'NSE - NIFTY Index Options'!$I:$I,"Weekly*")+SUMIFS('NSE - NIFTY Index Options'!$M:$M,'NSE - NIFTY Index Options'!$C:$C,$A31,'NSE - NIFTY Index Options'!$B:$B,E$4,'NSE - NIFTY Index Options'!$I:$I,"MDAW*")+SUMIFS('NSE - Other Index Options'!$M:$M,'NSE - Other Index Options'!$C:$C,$A31,'NSE - Other Index Options'!$B:$B,E$4,'NSE - Other Index Options'!$I:$I,"Weekly*")+SUMIFS('NSE - Other Index Options'!$M:$M,'NSE - Other Index Options'!$C:$C,$A31,'NSE - Other Index Options'!$B:$B,E$4,'NSE - Other Index Options'!$I:$I,"MDAW*")+SUMIFS('BSE - SENSEX Index Options'!$M:$M,'BSE - SENSEX Index Options'!$C:$C,$A31,'BSE - SENSEX Index Options'!$B:$B,E$4,'BSE - SENSEX Index Options'!$I:$I,"Weekly*")+SUMIFS('BSE - SENSEX Index Options'!$M:$M,'BSE - SENSEX Index Options'!$C:$C,$A31,'BSE - SENSEX Index Options'!$B:$B,E$4,'BSE - SENSEX Index Options'!$I:$I,"MDAW*")+SUMIFS('BSE - Other Index Options'!$M:$M,'BSE - Other Index Options'!$C:$C,$A31,'BSE - Other Index Options'!$B:$B,E$4,'BSE - Other Index Options'!$I:$I,"Weekly*")+SUMIFS('BSE - Other Index Options'!$M:$M,'BSE - Other Index Options'!$C:$C,$A31,'BSE - Other Index Options'!$B:$B,E$4,'BSE - Other Index Options'!$I:$I,"MDAW*")=0,"",SUMIFS('NSE - NIFTY Index Options'!$M:$M,'NSE - NIFTY Index Options'!$C:$C,$A31,'NSE - NIFTY Index Options'!$B:$B,E$4,'NSE - NIFTY Index Options'!$I:$I,"Weekly*")+SUMIFS('NSE - NIFTY Index Options'!$M:$M,'NSE - NIFTY Index Options'!$C:$C,$A31,'NSE - NIFTY Index Options'!$B:$B,E$4,'NSE - NIFTY Index Options'!$I:$I,"MDAW*")+SUMIFS('NSE - Other Index Options'!$M:$M,'NSE - Other Index Options'!$C:$C,$A31,'NSE - Other Index Options'!$B:$B,E$4,'NSE - Other Index Options'!$I:$I,"Weekly*")+SUMIFS('NSE - Other Index Options'!$M:$M,'NSE - Other Index Options'!$C:$C,$A31,'NSE - Other Index Options'!$B:$B,E$4,'NSE - Other Index Options'!$I:$I,"MDAW*")+SUMIFS('BSE - SENSEX Index Options'!$M:$M,'BSE - SENSEX Index Options'!$C:$C,$A31,'BSE - SENSEX Index Options'!$B:$B,E$4,'BSE - SENSEX Index Options'!$I:$I,"Weekly*")+SUMIFS('BSE - SENSEX Index Options'!$M:$M,'BSE - SENSEX Index Options'!$C:$C,$A31,'BSE - SENSEX Index Options'!$B:$B,E$4,'BSE - SENSEX Index Options'!$I:$I,"MDAW*")+SUMIFS('BSE - Other Index Options'!$M:$M,'BSE - Other Index Options'!$C:$C,$A31,'BSE - Other Index Options'!$B:$B,E$4,'BSE - Other Index Options'!$I:$I,"Weekly*")+SUMIFS('BSE - Other Index Options'!$M:$M,'BSE - Other Index Options'!$C:$C,$A31,'BSE - Other Index Options'!$B:$B,E$4,'BSE - Other Index Options'!$I:$I,"MDAW*"))</f>
        <v/>
      </c>
      <c r="F31" s="26">
        <f>IF(SUMIFS('NSE - NIFTY Index Options'!$M:$M,'NSE - NIFTY Index Options'!$C:$C,$A31,'NSE - NIFTY Index Options'!$B:$B,F$4,'NSE - NIFTY Index Options'!$I:$I,"Weekly*")+SUMIFS('NSE - NIFTY Index Options'!$M:$M,'NSE - NIFTY Index Options'!$C:$C,$A31,'NSE - NIFTY Index Options'!$B:$B,F$4,'NSE - NIFTY Index Options'!$I:$I,"MDAW*")+SUMIFS('NSE - Other Index Options'!$M:$M,'NSE - Other Index Options'!$C:$C,$A31,'NSE - Other Index Options'!$B:$B,F$4,'NSE - Other Index Options'!$I:$I,"Weekly*")+SUMIFS('NSE - Other Index Options'!$M:$M,'NSE - Other Index Options'!$C:$C,$A31,'NSE - Other Index Options'!$B:$B,F$4,'NSE - Other Index Options'!$I:$I,"MDAW*")+SUMIFS('BSE - SENSEX Index Options'!$M:$M,'BSE - SENSEX Index Options'!$C:$C,$A31,'BSE - SENSEX Index Options'!$B:$B,F$4,'BSE - SENSEX Index Options'!$I:$I,"Weekly*")+SUMIFS('BSE - SENSEX Index Options'!$M:$M,'BSE - SENSEX Index Options'!$C:$C,$A31,'BSE - SENSEX Index Options'!$B:$B,F$4,'BSE - SENSEX Index Options'!$I:$I,"MDAW*")+SUMIFS('BSE - Other Index Options'!$M:$M,'BSE - Other Index Options'!$C:$C,$A31,'BSE - Other Index Options'!$B:$B,F$4,'BSE - Other Index Options'!$I:$I,"Weekly*")+SUMIFS('BSE - Other Index Options'!$M:$M,'BSE - Other Index Options'!$C:$C,$A31,'BSE - Other Index Options'!$B:$B,F$4,'BSE - Other Index Options'!$I:$I,"MDAW*")=0,"",SUMIFS('NSE - NIFTY Index Options'!$M:$M,'NSE - NIFTY Index Options'!$C:$C,$A31,'NSE - NIFTY Index Options'!$B:$B,F$4,'NSE - NIFTY Index Options'!$I:$I,"Weekly*")+SUMIFS('NSE - NIFTY Index Options'!$M:$M,'NSE - NIFTY Index Options'!$C:$C,$A31,'NSE - NIFTY Index Options'!$B:$B,F$4,'NSE - NIFTY Index Options'!$I:$I,"MDAW*")+SUMIFS('NSE - Other Index Options'!$M:$M,'NSE - Other Index Options'!$C:$C,$A31,'NSE - Other Index Options'!$B:$B,F$4,'NSE - Other Index Options'!$I:$I,"Weekly*")+SUMIFS('NSE - Other Index Options'!$M:$M,'NSE - Other Index Options'!$C:$C,$A31,'NSE - Other Index Options'!$B:$B,F$4,'NSE - Other Index Options'!$I:$I,"MDAW*")+SUMIFS('BSE - SENSEX Index Options'!$M:$M,'BSE - SENSEX Index Options'!$C:$C,$A31,'BSE - SENSEX Index Options'!$B:$B,F$4,'BSE - SENSEX Index Options'!$I:$I,"Weekly*")+SUMIFS('BSE - SENSEX Index Options'!$M:$M,'BSE - SENSEX Index Options'!$C:$C,$A31,'BSE - SENSEX Index Options'!$B:$B,F$4,'BSE - SENSEX Index Options'!$I:$I,"MDAW*")+SUMIFS('BSE - Other Index Options'!$M:$M,'BSE - Other Index Options'!$C:$C,$A31,'BSE - Other Index Options'!$B:$B,F$4,'BSE - Other Index Options'!$I:$I,"Weekly*")+SUMIFS('BSE - Other Index Options'!$M:$M,'BSE - Other Index Options'!$C:$C,$A31,'BSE - Other Index Options'!$B:$B,F$4,'BSE - Other Index Options'!$I:$I,"MDAW*"))</f>
        <v/>
      </c>
      <c r="G31" s="26">
        <f>IF(SUMIFS('NSE - NIFTY Index Options'!$M:$M,'NSE - NIFTY Index Options'!$C:$C,$A31,'NSE - NIFTY Index Options'!$B:$B,G$4,'NSE - NIFTY Index Options'!$I:$I,"Weekly*")+SUMIFS('NSE - NIFTY Index Options'!$M:$M,'NSE - NIFTY Index Options'!$C:$C,$A31,'NSE - NIFTY Index Options'!$B:$B,G$4,'NSE - NIFTY Index Options'!$I:$I,"MDAW*")+SUMIFS('NSE - Other Index Options'!$M:$M,'NSE - Other Index Options'!$C:$C,$A31,'NSE - Other Index Options'!$B:$B,G$4,'NSE - Other Index Options'!$I:$I,"Weekly*")+SUMIFS('NSE - Other Index Options'!$M:$M,'NSE - Other Index Options'!$C:$C,$A31,'NSE - Other Index Options'!$B:$B,G$4,'NSE - Other Index Options'!$I:$I,"MDAW*")+SUMIFS('BSE - SENSEX Index Options'!$M:$M,'BSE - SENSEX Index Options'!$C:$C,$A31,'BSE - SENSEX Index Options'!$B:$B,G$4,'BSE - SENSEX Index Options'!$I:$I,"Weekly*")+SUMIFS('BSE - SENSEX Index Options'!$M:$M,'BSE - SENSEX Index Options'!$C:$C,$A31,'BSE - SENSEX Index Options'!$B:$B,G$4,'BSE - SENSEX Index Options'!$I:$I,"MDAW*")+SUMIFS('BSE - Other Index Options'!$M:$M,'BSE - Other Index Options'!$C:$C,$A31,'BSE - Other Index Options'!$B:$B,G$4,'BSE - Other Index Options'!$I:$I,"Weekly*")+SUMIFS('BSE - Other Index Options'!$M:$M,'BSE - Other Index Options'!$C:$C,$A31,'BSE - Other Index Options'!$B:$B,G$4,'BSE - Other Index Options'!$I:$I,"MDAW*")=0,"",SUMIFS('NSE - NIFTY Index Options'!$M:$M,'NSE - NIFTY Index Options'!$C:$C,$A31,'NSE - NIFTY Index Options'!$B:$B,G$4,'NSE - NIFTY Index Options'!$I:$I,"Weekly*")+SUMIFS('NSE - NIFTY Index Options'!$M:$M,'NSE - NIFTY Index Options'!$C:$C,$A31,'NSE - NIFTY Index Options'!$B:$B,G$4,'NSE - NIFTY Index Options'!$I:$I,"MDAW*")+SUMIFS('NSE - Other Index Options'!$M:$M,'NSE - Other Index Options'!$C:$C,$A31,'NSE - Other Index Options'!$B:$B,G$4,'NSE - Other Index Options'!$I:$I,"Weekly*")+SUMIFS('NSE - Other Index Options'!$M:$M,'NSE - Other Index Options'!$C:$C,$A31,'NSE - Other Index Options'!$B:$B,G$4,'NSE - Other Index Options'!$I:$I,"MDAW*")+SUMIFS('BSE - SENSEX Index Options'!$M:$M,'BSE - SENSEX Index Options'!$C:$C,$A31,'BSE - SENSEX Index Options'!$B:$B,G$4,'BSE - SENSEX Index Options'!$I:$I,"Weekly*")+SUMIFS('BSE - SENSEX Index Options'!$M:$M,'BSE - SENSEX Index Options'!$C:$C,$A31,'BSE - SENSEX Index Options'!$B:$B,G$4,'BSE - SENSEX Index Options'!$I:$I,"MDAW*")+SUMIFS('BSE - Other Index Options'!$M:$M,'BSE - Other Index Options'!$C:$C,$A31,'BSE - Other Index Options'!$B:$B,G$4,'BSE - Other Index Options'!$I:$I,"Weekly*")+SUMIFS('BSE - Other Index Options'!$M:$M,'BSE - Other Index Options'!$C:$C,$A31,'BSE - Other Index Options'!$B:$B,G$4,'BSE - Other Index Options'!$I:$I,"MDAW*"))</f>
        <v/>
      </c>
      <c r="H31" s="26">
        <f>IF(SUM(B31:G31)=0,"",SUM(B31:G31))</f>
        <v/>
      </c>
    </row>
    <row r="32">
      <c r="A32" t="inlineStr">
        <is>
          <t>Week3-Feb-2026</t>
        </is>
      </c>
      <c r="B32" s="26">
        <f>IF(SUMIFS('NSE - NIFTY Index Options'!$M:$M,'NSE - NIFTY Index Options'!$C:$C,$A32,'NSE - NIFTY Index Options'!$B:$B,B$4,'NSE - NIFTY Index Options'!$I:$I,"Weekly*")+SUMIFS('NSE - NIFTY Index Options'!$M:$M,'NSE - NIFTY Index Options'!$C:$C,$A32,'NSE - NIFTY Index Options'!$B:$B,B$4,'NSE - NIFTY Index Options'!$I:$I,"MDAW*")+SUMIFS('NSE - Other Index Options'!$M:$M,'NSE - Other Index Options'!$C:$C,$A32,'NSE - Other Index Options'!$B:$B,B$4,'NSE - Other Index Options'!$I:$I,"Weekly*")+SUMIFS('NSE - Other Index Options'!$M:$M,'NSE - Other Index Options'!$C:$C,$A32,'NSE - Other Index Options'!$B:$B,B$4,'NSE - Other Index Options'!$I:$I,"MDAW*")+SUMIFS('BSE - SENSEX Index Options'!$M:$M,'BSE - SENSEX Index Options'!$C:$C,$A32,'BSE - SENSEX Index Options'!$B:$B,B$4,'BSE - SENSEX Index Options'!$I:$I,"Weekly*")+SUMIFS('BSE - SENSEX Index Options'!$M:$M,'BSE - SENSEX Index Options'!$C:$C,$A32,'BSE - SENSEX Index Options'!$B:$B,B$4,'BSE - SENSEX Index Options'!$I:$I,"MDAW*")+SUMIFS('BSE - Other Index Options'!$M:$M,'BSE - Other Index Options'!$C:$C,$A32,'BSE - Other Index Options'!$B:$B,B$4,'BSE - Other Index Options'!$I:$I,"Weekly*")+SUMIFS('BSE - Other Index Options'!$M:$M,'BSE - Other Index Options'!$C:$C,$A32,'BSE - Other Index Options'!$B:$B,B$4,'BSE - Other Index Options'!$I:$I,"MDAW*")=0,"",SUMIFS('NSE - NIFTY Index Options'!$M:$M,'NSE - NIFTY Index Options'!$C:$C,$A32,'NSE - NIFTY Index Options'!$B:$B,B$4,'NSE - NIFTY Index Options'!$I:$I,"Weekly*")+SUMIFS('NSE - NIFTY Index Options'!$M:$M,'NSE - NIFTY Index Options'!$C:$C,$A32,'NSE - NIFTY Index Options'!$B:$B,B$4,'NSE - NIFTY Index Options'!$I:$I,"MDAW*")+SUMIFS('NSE - Other Index Options'!$M:$M,'NSE - Other Index Options'!$C:$C,$A32,'NSE - Other Index Options'!$B:$B,B$4,'NSE - Other Index Options'!$I:$I,"Weekly*")+SUMIFS('NSE - Other Index Options'!$M:$M,'NSE - Other Index Options'!$C:$C,$A32,'NSE - Other Index Options'!$B:$B,B$4,'NSE - Other Index Options'!$I:$I,"MDAW*")+SUMIFS('BSE - SENSEX Index Options'!$M:$M,'BSE - SENSEX Index Options'!$C:$C,$A32,'BSE - SENSEX Index Options'!$B:$B,B$4,'BSE - SENSEX Index Options'!$I:$I,"Weekly*")+SUMIFS('BSE - SENSEX Index Options'!$M:$M,'BSE - SENSEX Index Options'!$C:$C,$A32,'BSE - SENSEX Index Options'!$B:$B,B$4,'BSE - SENSEX Index Options'!$I:$I,"MDAW*")+SUMIFS('BSE - Other Index Options'!$M:$M,'BSE - Other Index Options'!$C:$C,$A32,'BSE - Other Index Options'!$B:$B,B$4,'BSE - Other Index Options'!$I:$I,"Weekly*")+SUMIFS('BSE - Other Index Options'!$M:$M,'BSE - Other Index Options'!$C:$C,$A32,'BSE - Other Index Options'!$B:$B,B$4,'BSE - Other Index Options'!$I:$I,"MDAW*"))</f>
        <v/>
      </c>
      <c r="C32" s="26">
        <f>IF(SUMIFS('NSE - NIFTY Index Options'!$M:$M,'NSE - NIFTY Index Options'!$C:$C,$A32,'NSE - NIFTY Index Options'!$B:$B,C$4,'NSE - NIFTY Index Options'!$I:$I,"Weekly*")+SUMIFS('NSE - NIFTY Index Options'!$M:$M,'NSE - NIFTY Index Options'!$C:$C,$A32,'NSE - NIFTY Index Options'!$B:$B,C$4,'NSE - NIFTY Index Options'!$I:$I,"MDAW*")+SUMIFS('NSE - Other Index Options'!$M:$M,'NSE - Other Index Options'!$C:$C,$A32,'NSE - Other Index Options'!$B:$B,C$4,'NSE - Other Index Options'!$I:$I,"Weekly*")+SUMIFS('NSE - Other Index Options'!$M:$M,'NSE - Other Index Options'!$C:$C,$A32,'NSE - Other Index Options'!$B:$B,C$4,'NSE - Other Index Options'!$I:$I,"MDAW*")+SUMIFS('BSE - SENSEX Index Options'!$M:$M,'BSE - SENSEX Index Options'!$C:$C,$A32,'BSE - SENSEX Index Options'!$B:$B,C$4,'BSE - SENSEX Index Options'!$I:$I,"Weekly*")+SUMIFS('BSE - SENSEX Index Options'!$M:$M,'BSE - SENSEX Index Options'!$C:$C,$A32,'BSE - SENSEX Index Options'!$B:$B,C$4,'BSE - SENSEX Index Options'!$I:$I,"MDAW*")+SUMIFS('BSE - Other Index Options'!$M:$M,'BSE - Other Index Options'!$C:$C,$A32,'BSE - Other Index Options'!$B:$B,C$4,'BSE - Other Index Options'!$I:$I,"Weekly*")+SUMIFS('BSE - Other Index Options'!$M:$M,'BSE - Other Index Options'!$C:$C,$A32,'BSE - Other Index Options'!$B:$B,C$4,'BSE - Other Index Options'!$I:$I,"MDAW*")=0,"",SUMIFS('NSE - NIFTY Index Options'!$M:$M,'NSE - NIFTY Index Options'!$C:$C,$A32,'NSE - NIFTY Index Options'!$B:$B,C$4,'NSE - NIFTY Index Options'!$I:$I,"Weekly*")+SUMIFS('NSE - NIFTY Index Options'!$M:$M,'NSE - NIFTY Index Options'!$C:$C,$A32,'NSE - NIFTY Index Options'!$B:$B,C$4,'NSE - NIFTY Index Options'!$I:$I,"MDAW*")+SUMIFS('NSE - Other Index Options'!$M:$M,'NSE - Other Index Options'!$C:$C,$A32,'NSE - Other Index Options'!$B:$B,C$4,'NSE - Other Index Options'!$I:$I,"Weekly*")+SUMIFS('NSE - Other Index Options'!$M:$M,'NSE - Other Index Options'!$C:$C,$A32,'NSE - Other Index Options'!$B:$B,C$4,'NSE - Other Index Options'!$I:$I,"MDAW*")+SUMIFS('BSE - SENSEX Index Options'!$M:$M,'BSE - SENSEX Index Options'!$C:$C,$A32,'BSE - SENSEX Index Options'!$B:$B,C$4,'BSE - SENSEX Index Options'!$I:$I,"Weekly*")+SUMIFS('BSE - SENSEX Index Options'!$M:$M,'BSE - SENSEX Index Options'!$C:$C,$A32,'BSE - SENSEX Index Options'!$B:$B,C$4,'BSE - SENSEX Index Options'!$I:$I,"MDAW*")+SUMIFS('BSE - Other Index Options'!$M:$M,'BSE - Other Index Options'!$C:$C,$A32,'BSE - Other Index Options'!$B:$B,C$4,'BSE - Other Index Options'!$I:$I,"Weekly*")+SUMIFS('BSE - Other Index Options'!$M:$M,'BSE - Other Index Options'!$C:$C,$A32,'BSE - Other Index Options'!$B:$B,C$4,'BSE - Other Index Options'!$I:$I,"MDAW*"))</f>
        <v/>
      </c>
      <c r="D32" s="26">
        <f>IF(SUMIFS('NSE - NIFTY Index Options'!$M:$M,'NSE - NIFTY Index Options'!$C:$C,$A32,'NSE - NIFTY Index Options'!$B:$B,D$4,'NSE - NIFTY Index Options'!$I:$I,"Weekly*")+SUMIFS('NSE - NIFTY Index Options'!$M:$M,'NSE - NIFTY Index Options'!$C:$C,$A32,'NSE - NIFTY Index Options'!$B:$B,D$4,'NSE - NIFTY Index Options'!$I:$I,"MDAW*")+SUMIFS('NSE - Other Index Options'!$M:$M,'NSE - Other Index Options'!$C:$C,$A32,'NSE - Other Index Options'!$B:$B,D$4,'NSE - Other Index Options'!$I:$I,"Weekly*")+SUMIFS('NSE - Other Index Options'!$M:$M,'NSE - Other Index Options'!$C:$C,$A32,'NSE - Other Index Options'!$B:$B,D$4,'NSE - Other Index Options'!$I:$I,"MDAW*")+SUMIFS('BSE - SENSEX Index Options'!$M:$M,'BSE - SENSEX Index Options'!$C:$C,$A32,'BSE - SENSEX Index Options'!$B:$B,D$4,'BSE - SENSEX Index Options'!$I:$I,"Weekly*")+SUMIFS('BSE - SENSEX Index Options'!$M:$M,'BSE - SENSEX Index Options'!$C:$C,$A32,'BSE - SENSEX Index Options'!$B:$B,D$4,'BSE - SENSEX Index Options'!$I:$I,"MDAW*")+SUMIFS('BSE - Other Index Options'!$M:$M,'BSE - Other Index Options'!$C:$C,$A32,'BSE - Other Index Options'!$B:$B,D$4,'BSE - Other Index Options'!$I:$I,"Weekly*")+SUMIFS('BSE - Other Index Options'!$M:$M,'BSE - Other Index Options'!$C:$C,$A32,'BSE - Other Index Options'!$B:$B,D$4,'BSE - Other Index Options'!$I:$I,"MDAW*")=0,"",SUMIFS('NSE - NIFTY Index Options'!$M:$M,'NSE - NIFTY Index Options'!$C:$C,$A32,'NSE - NIFTY Index Options'!$B:$B,D$4,'NSE - NIFTY Index Options'!$I:$I,"Weekly*")+SUMIFS('NSE - NIFTY Index Options'!$M:$M,'NSE - NIFTY Index Options'!$C:$C,$A32,'NSE - NIFTY Index Options'!$B:$B,D$4,'NSE - NIFTY Index Options'!$I:$I,"MDAW*")+SUMIFS('NSE - Other Index Options'!$M:$M,'NSE - Other Index Options'!$C:$C,$A32,'NSE - Other Index Options'!$B:$B,D$4,'NSE - Other Index Options'!$I:$I,"Weekly*")+SUMIFS('NSE - Other Index Options'!$M:$M,'NSE - Other Index Options'!$C:$C,$A32,'NSE - Other Index Options'!$B:$B,D$4,'NSE - Other Index Options'!$I:$I,"MDAW*")+SUMIFS('BSE - SENSEX Index Options'!$M:$M,'BSE - SENSEX Index Options'!$C:$C,$A32,'BSE - SENSEX Index Options'!$B:$B,D$4,'BSE - SENSEX Index Options'!$I:$I,"Weekly*")+SUMIFS('BSE - SENSEX Index Options'!$M:$M,'BSE - SENSEX Index Options'!$C:$C,$A32,'BSE - SENSEX Index Options'!$B:$B,D$4,'BSE - SENSEX Index Options'!$I:$I,"MDAW*")+SUMIFS('BSE - Other Index Options'!$M:$M,'BSE - Other Index Options'!$C:$C,$A32,'BSE - Other Index Options'!$B:$B,D$4,'BSE - Other Index Options'!$I:$I,"Weekly*")+SUMIFS('BSE - Other Index Options'!$M:$M,'BSE - Other Index Options'!$C:$C,$A32,'BSE - Other Index Options'!$B:$B,D$4,'BSE - Other Index Options'!$I:$I,"MDAW*"))</f>
        <v/>
      </c>
      <c r="E32" s="26">
        <f>IF(SUMIFS('NSE - NIFTY Index Options'!$M:$M,'NSE - NIFTY Index Options'!$C:$C,$A32,'NSE - NIFTY Index Options'!$B:$B,E$4,'NSE - NIFTY Index Options'!$I:$I,"Weekly*")+SUMIFS('NSE - NIFTY Index Options'!$M:$M,'NSE - NIFTY Index Options'!$C:$C,$A32,'NSE - NIFTY Index Options'!$B:$B,E$4,'NSE - NIFTY Index Options'!$I:$I,"MDAW*")+SUMIFS('NSE - Other Index Options'!$M:$M,'NSE - Other Index Options'!$C:$C,$A32,'NSE - Other Index Options'!$B:$B,E$4,'NSE - Other Index Options'!$I:$I,"Weekly*")+SUMIFS('NSE - Other Index Options'!$M:$M,'NSE - Other Index Options'!$C:$C,$A32,'NSE - Other Index Options'!$B:$B,E$4,'NSE - Other Index Options'!$I:$I,"MDAW*")+SUMIFS('BSE - SENSEX Index Options'!$M:$M,'BSE - SENSEX Index Options'!$C:$C,$A32,'BSE - SENSEX Index Options'!$B:$B,E$4,'BSE - SENSEX Index Options'!$I:$I,"Weekly*")+SUMIFS('BSE - SENSEX Index Options'!$M:$M,'BSE - SENSEX Index Options'!$C:$C,$A32,'BSE - SENSEX Index Options'!$B:$B,E$4,'BSE - SENSEX Index Options'!$I:$I,"MDAW*")+SUMIFS('BSE - Other Index Options'!$M:$M,'BSE - Other Index Options'!$C:$C,$A32,'BSE - Other Index Options'!$B:$B,E$4,'BSE - Other Index Options'!$I:$I,"Weekly*")+SUMIFS('BSE - Other Index Options'!$M:$M,'BSE - Other Index Options'!$C:$C,$A32,'BSE - Other Index Options'!$B:$B,E$4,'BSE - Other Index Options'!$I:$I,"MDAW*")=0,"",SUMIFS('NSE - NIFTY Index Options'!$M:$M,'NSE - NIFTY Index Options'!$C:$C,$A32,'NSE - NIFTY Index Options'!$B:$B,E$4,'NSE - NIFTY Index Options'!$I:$I,"Weekly*")+SUMIFS('NSE - NIFTY Index Options'!$M:$M,'NSE - NIFTY Index Options'!$C:$C,$A32,'NSE - NIFTY Index Options'!$B:$B,E$4,'NSE - NIFTY Index Options'!$I:$I,"MDAW*")+SUMIFS('NSE - Other Index Options'!$M:$M,'NSE - Other Index Options'!$C:$C,$A32,'NSE - Other Index Options'!$B:$B,E$4,'NSE - Other Index Options'!$I:$I,"Weekly*")+SUMIFS('NSE - Other Index Options'!$M:$M,'NSE - Other Index Options'!$C:$C,$A32,'NSE - Other Index Options'!$B:$B,E$4,'NSE - Other Index Options'!$I:$I,"MDAW*")+SUMIFS('BSE - SENSEX Index Options'!$M:$M,'BSE - SENSEX Index Options'!$C:$C,$A32,'BSE - SENSEX Index Options'!$B:$B,E$4,'BSE - SENSEX Index Options'!$I:$I,"Weekly*")+SUMIFS('BSE - SENSEX Index Options'!$M:$M,'BSE - SENSEX Index Options'!$C:$C,$A32,'BSE - SENSEX Index Options'!$B:$B,E$4,'BSE - SENSEX Index Options'!$I:$I,"MDAW*")+SUMIFS('BSE - Other Index Options'!$M:$M,'BSE - Other Index Options'!$C:$C,$A32,'BSE - Other Index Options'!$B:$B,E$4,'BSE - Other Index Options'!$I:$I,"Weekly*")+SUMIFS('BSE - Other Index Options'!$M:$M,'BSE - Other Index Options'!$C:$C,$A32,'BSE - Other Index Options'!$B:$B,E$4,'BSE - Other Index Options'!$I:$I,"MDAW*"))</f>
        <v/>
      </c>
      <c r="F32" s="26">
        <f>IF(SUMIFS('NSE - NIFTY Index Options'!$M:$M,'NSE - NIFTY Index Options'!$C:$C,$A32,'NSE - NIFTY Index Options'!$B:$B,F$4,'NSE - NIFTY Index Options'!$I:$I,"Weekly*")+SUMIFS('NSE - NIFTY Index Options'!$M:$M,'NSE - NIFTY Index Options'!$C:$C,$A32,'NSE - NIFTY Index Options'!$B:$B,F$4,'NSE - NIFTY Index Options'!$I:$I,"MDAW*")+SUMIFS('NSE - Other Index Options'!$M:$M,'NSE - Other Index Options'!$C:$C,$A32,'NSE - Other Index Options'!$B:$B,F$4,'NSE - Other Index Options'!$I:$I,"Weekly*")+SUMIFS('NSE - Other Index Options'!$M:$M,'NSE - Other Index Options'!$C:$C,$A32,'NSE - Other Index Options'!$B:$B,F$4,'NSE - Other Index Options'!$I:$I,"MDAW*")+SUMIFS('BSE - SENSEX Index Options'!$M:$M,'BSE - SENSEX Index Options'!$C:$C,$A32,'BSE - SENSEX Index Options'!$B:$B,F$4,'BSE - SENSEX Index Options'!$I:$I,"Weekly*")+SUMIFS('BSE - SENSEX Index Options'!$M:$M,'BSE - SENSEX Index Options'!$C:$C,$A32,'BSE - SENSEX Index Options'!$B:$B,F$4,'BSE - SENSEX Index Options'!$I:$I,"MDAW*")+SUMIFS('BSE - Other Index Options'!$M:$M,'BSE - Other Index Options'!$C:$C,$A32,'BSE - Other Index Options'!$B:$B,F$4,'BSE - Other Index Options'!$I:$I,"Weekly*")+SUMIFS('BSE - Other Index Options'!$M:$M,'BSE - Other Index Options'!$C:$C,$A32,'BSE - Other Index Options'!$B:$B,F$4,'BSE - Other Index Options'!$I:$I,"MDAW*")=0,"",SUMIFS('NSE - NIFTY Index Options'!$M:$M,'NSE - NIFTY Index Options'!$C:$C,$A32,'NSE - NIFTY Index Options'!$B:$B,F$4,'NSE - NIFTY Index Options'!$I:$I,"Weekly*")+SUMIFS('NSE - NIFTY Index Options'!$M:$M,'NSE - NIFTY Index Options'!$C:$C,$A32,'NSE - NIFTY Index Options'!$B:$B,F$4,'NSE - NIFTY Index Options'!$I:$I,"MDAW*")+SUMIFS('NSE - Other Index Options'!$M:$M,'NSE - Other Index Options'!$C:$C,$A32,'NSE - Other Index Options'!$B:$B,F$4,'NSE - Other Index Options'!$I:$I,"Weekly*")+SUMIFS('NSE - Other Index Options'!$M:$M,'NSE - Other Index Options'!$C:$C,$A32,'NSE - Other Index Options'!$B:$B,F$4,'NSE - Other Index Options'!$I:$I,"MDAW*")+SUMIFS('BSE - SENSEX Index Options'!$M:$M,'BSE - SENSEX Index Options'!$C:$C,$A32,'BSE - SENSEX Index Options'!$B:$B,F$4,'BSE - SENSEX Index Options'!$I:$I,"Weekly*")+SUMIFS('BSE - SENSEX Index Options'!$M:$M,'BSE - SENSEX Index Options'!$C:$C,$A32,'BSE - SENSEX Index Options'!$B:$B,F$4,'BSE - SENSEX Index Options'!$I:$I,"MDAW*")+SUMIFS('BSE - Other Index Options'!$M:$M,'BSE - Other Index Options'!$C:$C,$A32,'BSE - Other Index Options'!$B:$B,F$4,'BSE - Other Index Options'!$I:$I,"Weekly*")+SUMIFS('BSE - Other Index Options'!$M:$M,'BSE - Other Index Options'!$C:$C,$A32,'BSE - Other Index Options'!$B:$B,F$4,'BSE - Other Index Options'!$I:$I,"MDAW*"))</f>
        <v/>
      </c>
      <c r="G32" s="26">
        <f>IF(SUMIFS('NSE - NIFTY Index Options'!$M:$M,'NSE - NIFTY Index Options'!$C:$C,$A32,'NSE - NIFTY Index Options'!$B:$B,G$4,'NSE - NIFTY Index Options'!$I:$I,"Weekly*")+SUMIFS('NSE - NIFTY Index Options'!$M:$M,'NSE - NIFTY Index Options'!$C:$C,$A32,'NSE - NIFTY Index Options'!$B:$B,G$4,'NSE - NIFTY Index Options'!$I:$I,"MDAW*")+SUMIFS('NSE - Other Index Options'!$M:$M,'NSE - Other Index Options'!$C:$C,$A32,'NSE - Other Index Options'!$B:$B,G$4,'NSE - Other Index Options'!$I:$I,"Weekly*")+SUMIFS('NSE - Other Index Options'!$M:$M,'NSE - Other Index Options'!$C:$C,$A32,'NSE - Other Index Options'!$B:$B,G$4,'NSE - Other Index Options'!$I:$I,"MDAW*")+SUMIFS('BSE - SENSEX Index Options'!$M:$M,'BSE - SENSEX Index Options'!$C:$C,$A32,'BSE - SENSEX Index Options'!$B:$B,G$4,'BSE - SENSEX Index Options'!$I:$I,"Weekly*")+SUMIFS('BSE - SENSEX Index Options'!$M:$M,'BSE - SENSEX Index Options'!$C:$C,$A32,'BSE - SENSEX Index Options'!$B:$B,G$4,'BSE - SENSEX Index Options'!$I:$I,"MDAW*")+SUMIFS('BSE - Other Index Options'!$M:$M,'BSE - Other Index Options'!$C:$C,$A32,'BSE - Other Index Options'!$B:$B,G$4,'BSE - Other Index Options'!$I:$I,"Weekly*")+SUMIFS('BSE - Other Index Options'!$M:$M,'BSE - Other Index Options'!$C:$C,$A32,'BSE - Other Index Options'!$B:$B,G$4,'BSE - Other Index Options'!$I:$I,"MDAW*")=0,"",SUMIFS('NSE - NIFTY Index Options'!$M:$M,'NSE - NIFTY Index Options'!$C:$C,$A32,'NSE - NIFTY Index Options'!$B:$B,G$4,'NSE - NIFTY Index Options'!$I:$I,"Weekly*")+SUMIFS('NSE - NIFTY Index Options'!$M:$M,'NSE - NIFTY Index Options'!$C:$C,$A32,'NSE - NIFTY Index Options'!$B:$B,G$4,'NSE - NIFTY Index Options'!$I:$I,"MDAW*")+SUMIFS('NSE - Other Index Options'!$M:$M,'NSE - Other Index Options'!$C:$C,$A32,'NSE - Other Index Options'!$B:$B,G$4,'NSE - Other Index Options'!$I:$I,"Weekly*")+SUMIFS('NSE - Other Index Options'!$M:$M,'NSE - Other Index Options'!$C:$C,$A32,'NSE - Other Index Options'!$B:$B,G$4,'NSE - Other Index Options'!$I:$I,"MDAW*")+SUMIFS('BSE - SENSEX Index Options'!$M:$M,'BSE - SENSEX Index Options'!$C:$C,$A32,'BSE - SENSEX Index Options'!$B:$B,G$4,'BSE - SENSEX Index Options'!$I:$I,"Weekly*")+SUMIFS('BSE - SENSEX Index Options'!$M:$M,'BSE - SENSEX Index Options'!$C:$C,$A32,'BSE - SENSEX Index Options'!$B:$B,G$4,'BSE - SENSEX Index Options'!$I:$I,"MDAW*")+SUMIFS('BSE - Other Index Options'!$M:$M,'BSE - Other Index Options'!$C:$C,$A32,'BSE - Other Index Options'!$B:$B,G$4,'BSE - Other Index Options'!$I:$I,"Weekly*")+SUMIFS('BSE - Other Index Options'!$M:$M,'BSE - Other Index Options'!$C:$C,$A32,'BSE - Other Index Options'!$B:$B,G$4,'BSE - Other Index Options'!$I:$I,"MDAW*"))</f>
        <v/>
      </c>
      <c r="H32" s="26">
        <f>IF(SUM(B32:G32)=0,"",SUM(B32:G32))</f>
        <v/>
      </c>
    </row>
    <row r="33">
      <c r="A33" t="inlineStr">
        <is>
          <t>Week4-Feb-2026</t>
        </is>
      </c>
      <c r="B33" s="26">
        <f>IF(SUMIFS('NSE - NIFTY Index Options'!$M:$M,'NSE - NIFTY Index Options'!$C:$C,$A33,'NSE - NIFTY Index Options'!$B:$B,B$4,'NSE - NIFTY Index Options'!$I:$I,"Weekly*")+SUMIFS('NSE - NIFTY Index Options'!$M:$M,'NSE - NIFTY Index Options'!$C:$C,$A33,'NSE - NIFTY Index Options'!$B:$B,B$4,'NSE - NIFTY Index Options'!$I:$I,"MDAW*")+SUMIFS('NSE - Other Index Options'!$M:$M,'NSE - Other Index Options'!$C:$C,$A33,'NSE - Other Index Options'!$B:$B,B$4,'NSE - Other Index Options'!$I:$I,"Weekly*")+SUMIFS('NSE - Other Index Options'!$M:$M,'NSE - Other Index Options'!$C:$C,$A33,'NSE - Other Index Options'!$B:$B,B$4,'NSE - Other Index Options'!$I:$I,"MDAW*")+SUMIFS('BSE - SENSEX Index Options'!$M:$M,'BSE - SENSEX Index Options'!$C:$C,$A33,'BSE - SENSEX Index Options'!$B:$B,B$4,'BSE - SENSEX Index Options'!$I:$I,"Weekly*")+SUMIFS('BSE - SENSEX Index Options'!$M:$M,'BSE - SENSEX Index Options'!$C:$C,$A33,'BSE - SENSEX Index Options'!$B:$B,B$4,'BSE - SENSEX Index Options'!$I:$I,"MDAW*")+SUMIFS('BSE - Other Index Options'!$M:$M,'BSE - Other Index Options'!$C:$C,$A33,'BSE - Other Index Options'!$B:$B,B$4,'BSE - Other Index Options'!$I:$I,"Weekly*")+SUMIFS('BSE - Other Index Options'!$M:$M,'BSE - Other Index Options'!$C:$C,$A33,'BSE - Other Index Options'!$B:$B,B$4,'BSE - Other Index Options'!$I:$I,"MDAW*")=0,"",SUMIFS('NSE - NIFTY Index Options'!$M:$M,'NSE - NIFTY Index Options'!$C:$C,$A33,'NSE - NIFTY Index Options'!$B:$B,B$4,'NSE - NIFTY Index Options'!$I:$I,"Weekly*")+SUMIFS('NSE - NIFTY Index Options'!$M:$M,'NSE - NIFTY Index Options'!$C:$C,$A33,'NSE - NIFTY Index Options'!$B:$B,B$4,'NSE - NIFTY Index Options'!$I:$I,"MDAW*")+SUMIFS('NSE - Other Index Options'!$M:$M,'NSE - Other Index Options'!$C:$C,$A33,'NSE - Other Index Options'!$B:$B,B$4,'NSE - Other Index Options'!$I:$I,"Weekly*")+SUMIFS('NSE - Other Index Options'!$M:$M,'NSE - Other Index Options'!$C:$C,$A33,'NSE - Other Index Options'!$B:$B,B$4,'NSE - Other Index Options'!$I:$I,"MDAW*")+SUMIFS('BSE - SENSEX Index Options'!$M:$M,'BSE - SENSEX Index Options'!$C:$C,$A33,'BSE - SENSEX Index Options'!$B:$B,B$4,'BSE - SENSEX Index Options'!$I:$I,"Weekly*")+SUMIFS('BSE - SENSEX Index Options'!$M:$M,'BSE - SENSEX Index Options'!$C:$C,$A33,'BSE - SENSEX Index Options'!$B:$B,B$4,'BSE - SENSEX Index Options'!$I:$I,"MDAW*")+SUMIFS('BSE - Other Index Options'!$M:$M,'BSE - Other Index Options'!$C:$C,$A33,'BSE - Other Index Options'!$B:$B,B$4,'BSE - Other Index Options'!$I:$I,"Weekly*")+SUMIFS('BSE - Other Index Options'!$M:$M,'BSE - Other Index Options'!$C:$C,$A33,'BSE - Other Index Options'!$B:$B,B$4,'BSE - Other Index Options'!$I:$I,"MDAW*"))</f>
        <v/>
      </c>
      <c r="C33" s="26">
        <f>IF(SUMIFS('NSE - NIFTY Index Options'!$M:$M,'NSE - NIFTY Index Options'!$C:$C,$A33,'NSE - NIFTY Index Options'!$B:$B,C$4,'NSE - NIFTY Index Options'!$I:$I,"Weekly*")+SUMIFS('NSE - NIFTY Index Options'!$M:$M,'NSE - NIFTY Index Options'!$C:$C,$A33,'NSE - NIFTY Index Options'!$B:$B,C$4,'NSE - NIFTY Index Options'!$I:$I,"MDAW*")+SUMIFS('NSE - Other Index Options'!$M:$M,'NSE - Other Index Options'!$C:$C,$A33,'NSE - Other Index Options'!$B:$B,C$4,'NSE - Other Index Options'!$I:$I,"Weekly*")+SUMIFS('NSE - Other Index Options'!$M:$M,'NSE - Other Index Options'!$C:$C,$A33,'NSE - Other Index Options'!$B:$B,C$4,'NSE - Other Index Options'!$I:$I,"MDAW*")+SUMIFS('BSE - SENSEX Index Options'!$M:$M,'BSE - SENSEX Index Options'!$C:$C,$A33,'BSE - SENSEX Index Options'!$B:$B,C$4,'BSE - SENSEX Index Options'!$I:$I,"Weekly*")+SUMIFS('BSE - SENSEX Index Options'!$M:$M,'BSE - SENSEX Index Options'!$C:$C,$A33,'BSE - SENSEX Index Options'!$B:$B,C$4,'BSE - SENSEX Index Options'!$I:$I,"MDAW*")+SUMIFS('BSE - Other Index Options'!$M:$M,'BSE - Other Index Options'!$C:$C,$A33,'BSE - Other Index Options'!$B:$B,C$4,'BSE - Other Index Options'!$I:$I,"Weekly*")+SUMIFS('BSE - Other Index Options'!$M:$M,'BSE - Other Index Options'!$C:$C,$A33,'BSE - Other Index Options'!$B:$B,C$4,'BSE - Other Index Options'!$I:$I,"MDAW*")=0,"",SUMIFS('NSE - NIFTY Index Options'!$M:$M,'NSE - NIFTY Index Options'!$C:$C,$A33,'NSE - NIFTY Index Options'!$B:$B,C$4,'NSE - NIFTY Index Options'!$I:$I,"Weekly*")+SUMIFS('NSE - NIFTY Index Options'!$M:$M,'NSE - NIFTY Index Options'!$C:$C,$A33,'NSE - NIFTY Index Options'!$B:$B,C$4,'NSE - NIFTY Index Options'!$I:$I,"MDAW*")+SUMIFS('NSE - Other Index Options'!$M:$M,'NSE - Other Index Options'!$C:$C,$A33,'NSE - Other Index Options'!$B:$B,C$4,'NSE - Other Index Options'!$I:$I,"Weekly*")+SUMIFS('NSE - Other Index Options'!$M:$M,'NSE - Other Index Options'!$C:$C,$A33,'NSE - Other Index Options'!$B:$B,C$4,'NSE - Other Index Options'!$I:$I,"MDAW*")+SUMIFS('BSE - SENSEX Index Options'!$M:$M,'BSE - SENSEX Index Options'!$C:$C,$A33,'BSE - SENSEX Index Options'!$B:$B,C$4,'BSE - SENSEX Index Options'!$I:$I,"Weekly*")+SUMIFS('BSE - SENSEX Index Options'!$M:$M,'BSE - SENSEX Index Options'!$C:$C,$A33,'BSE - SENSEX Index Options'!$B:$B,C$4,'BSE - SENSEX Index Options'!$I:$I,"MDAW*")+SUMIFS('BSE - Other Index Options'!$M:$M,'BSE - Other Index Options'!$C:$C,$A33,'BSE - Other Index Options'!$B:$B,C$4,'BSE - Other Index Options'!$I:$I,"Weekly*")+SUMIFS('BSE - Other Index Options'!$M:$M,'BSE - Other Index Options'!$C:$C,$A33,'BSE - Other Index Options'!$B:$B,C$4,'BSE - Other Index Options'!$I:$I,"MDAW*"))</f>
        <v/>
      </c>
      <c r="D33" s="26">
        <f>IF(SUMIFS('NSE - NIFTY Index Options'!$M:$M,'NSE - NIFTY Index Options'!$C:$C,$A33,'NSE - NIFTY Index Options'!$B:$B,D$4,'NSE - NIFTY Index Options'!$I:$I,"Weekly*")+SUMIFS('NSE - NIFTY Index Options'!$M:$M,'NSE - NIFTY Index Options'!$C:$C,$A33,'NSE - NIFTY Index Options'!$B:$B,D$4,'NSE - NIFTY Index Options'!$I:$I,"MDAW*")+SUMIFS('NSE - Other Index Options'!$M:$M,'NSE - Other Index Options'!$C:$C,$A33,'NSE - Other Index Options'!$B:$B,D$4,'NSE - Other Index Options'!$I:$I,"Weekly*")+SUMIFS('NSE - Other Index Options'!$M:$M,'NSE - Other Index Options'!$C:$C,$A33,'NSE - Other Index Options'!$B:$B,D$4,'NSE - Other Index Options'!$I:$I,"MDAW*")+SUMIFS('BSE - SENSEX Index Options'!$M:$M,'BSE - SENSEX Index Options'!$C:$C,$A33,'BSE - SENSEX Index Options'!$B:$B,D$4,'BSE - SENSEX Index Options'!$I:$I,"Weekly*")+SUMIFS('BSE - SENSEX Index Options'!$M:$M,'BSE - SENSEX Index Options'!$C:$C,$A33,'BSE - SENSEX Index Options'!$B:$B,D$4,'BSE - SENSEX Index Options'!$I:$I,"MDAW*")+SUMIFS('BSE - Other Index Options'!$M:$M,'BSE - Other Index Options'!$C:$C,$A33,'BSE - Other Index Options'!$B:$B,D$4,'BSE - Other Index Options'!$I:$I,"Weekly*")+SUMIFS('BSE - Other Index Options'!$M:$M,'BSE - Other Index Options'!$C:$C,$A33,'BSE - Other Index Options'!$B:$B,D$4,'BSE - Other Index Options'!$I:$I,"MDAW*")=0,"",SUMIFS('NSE - NIFTY Index Options'!$M:$M,'NSE - NIFTY Index Options'!$C:$C,$A33,'NSE - NIFTY Index Options'!$B:$B,D$4,'NSE - NIFTY Index Options'!$I:$I,"Weekly*")+SUMIFS('NSE - NIFTY Index Options'!$M:$M,'NSE - NIFTY Index Options'!$C:$C,$A33,'NSE - NIFTY Index Options'!$B:$B,D$4,'NSE - NIFTY Index Options'!$I:$I,"MDAW*")+SUMIFS('NSE - Other Index Options'!$M:$M,'NSE - Other Index Options'!$C:$C,$A33,'NSE - Other Index Options'!$B:$B,D$4,'NSE - Other Index Options'!$I:$I,"Weekly*")+SUMIFS('NSE - Other Index Options'!$M:$M,'NSE - Other Index Options'!$C:$C,$A33,'NSE - Other Index Options'!$B:$B,D$4,'NSE - Other Index Options'!$I:$I,"MDAW*")+SUMIFS('BSE - SENSEX Index Options'!$M:$M,'BSE - SENSEX Index Options'!$C:$C,$A33,'BSE - SENSEX Index Options'!$B:$B,D$4,'BSE - SENSEX Index Options'!$I:$I,"Weekly*")+SUMIFS('BSE - SENSEX Index Options'!$M:$M,'BSE - SENSEX Index Options'!$C:$C,$A33,'BSE - SENSEX Index Options'!$B:$B,D$4,'BSE - SENSEX Index Options'!$I:$I,"MDAW*")+SUMIFS('BSE - Other Index Options'!$M:$M,'BSE - Other Index Options'!$C:$C,$A33,'BSE - Other Index Options'!$B:$B,D$4,'BSE - Other Index Options'!$I:$I,"Weekly*")+SUMIFS('BSE - Other Index Options'!$M:$M,'BSE - Other Index Options'!$C:$C,$A33,'BSE - Other Index Options'!$B:$B,D$4,'BSE - Other Index Options'!$I:$I,"MDAW*"))</f>
        <v/>
      </c>
      <c r="E33" s="26">
        <f>IF(SUMIFS('NSE - NIFTY Index Options'!$M:$M,'NSE - NIFTY Index Options'!$C:$C,$A33,'NSE - NIFTY Index Options'!$B:$B,E$4,'NSE - NIFTY Index Options'!$I:$I,"Weekly*")+SUMIFS('NSE - NIFTY Index Options'!$M:$M,'NSE - NIFTY Index Options'!$C:$C,$A33,'NSE - NIFTY Index Options'!$B:$B,E$4,'NSE - NIFTY Index Options'!$I:$I,"MDAW*")+SUMIFS('NSE - Other Index Options'!$M:$M,'NSE - Other Index Options'!$C:$C,$A33,'NSE - Other Index Options'!$B:$B,E$4,'NSE - Other Index Options'!$I:$I,"Weekly*")+SUMIFS('NSE - Other Index Options'!$M:$M,'NSE - Other Index Options'!$C:$C,$A33,'NSE - Other Index Options'!$B:$B,E$4,'NSE - Other Index Options'!$I:$I,"MDAW*")+SUMIFS('BSE - SENSEX Index Options'!$M:$M,'BSE - SENSEX Index Options'!$C:$C,$A33,'BSE - SENSEX Index Options'!$B:$B,E$4,'BSE - SENSEX Index Options'!$I:$I,"Weekly*")+SUMIFS('BSE - SENSEX Index Options'!$M:$M,'BSE - SENSEX Index Options'!$C:$C,$A33,'BSE - SENSEX Index Options'!$B:$B,E$4,'BSE - SENSEX Index Options'!$I:$I,"MDAW*")+SUMIFS('BSE - Other Index Options'!$M:$M,'BSE - Other Index Options'!$C:$C,$A33,'BSE - Other Index Options'!$B:$B,E$4,'BSE - Other Index Options'!$I:$I,"Weekly*")+SUMIFS('BSE - Other Index Options'!$M:$M,'BSE - Other Index Options'!$C:$C,$A33,'BSE - Other Index Options'!$B:$B,E$4,'BSE - Other Index Options'!$I:$I,"MDAW*")=0,"",SUMIFS('NSE - NIFTY Index Options'!$M:$M,'NSE - NIFTY Index Options'!$C:$C,$A33,'NSE - NIFTY Index Options'!$B:$B,E$4,'NSE - NIFTY Index Options'!$I:$I,"Weekly*")+SUMIFS('NSE - NIFTY Index Options'!$M:$M,'NSE - NIFTY Index Options'!$C:$C,$A33,'NSE - NIFTY Index Options'!$B:$B,E$4,'NSE - NIFTY Index Options'!$I:$I,"MDAW*")+SUMIFS('NSE - Other Index Options'!$M:$M,'NSE - Other Index Options'!$C:$C,$A33,'NSE - Other Index Options'!$B:$B,E$4,'NSE - Other Index Options'!$I:$I,"Weekly*")+SUMIFS('NSE - Other Index Options'!$M:$M,'NSE - Other Index Options'!$C:$C,$A33,'NSE - Other Index Options'!$B:$B,E$4,'NSE - Other Index Options'!$I:$I,"MDAW*")+SUMIFS('BSE - SENSEX Index Options'!$M:$M,'BSE - SENSEX Index Options'!$C:$C,$A33,'BSE - SENSEX Index Options'!$B:$B,E$4,'BSE - SENSEX Index Options'!$I:$I,"Weekly*")+SUMIFS('BSE - SENSEX Index Options'!$M:$M,'BSE - SENSEX Index Options'!$C:$C,$A33,'BSE - SENSEX Index Options'!$B:$B,E$4,'BSE - SENSEX Index Options'!$I:$I,"MDAW*")+SUMIFS('BSE - Other Index Options'!$M:$M,'BSE - Other Index Options'!$C:$C,$A33,'BSE - Other Index Options'!$B:$B,E$4,'BSE - Other Index Options'!$I:$I,"Weekly*")+SUMIFS('BSE - Other Index Options'!$M:$M,'BSE - Other Index Options'!$C:$C,$A33,'BSE - Other Index Options'!$B:$B,E$4,'BSE - Other Index Options'!$I:$I,"MDAW*"))</f>
        <v/>
      </c>
      <c r="F33" s="26">
        <f>IF(SUMIFS('NSE - NIFTY Index Options'!$M:$M,'NSE - NIFTY Index Options'!$C:$C,$A33,'NSE - NIFTY Index Options'!$B:$B,F$4,'NSE - NIFTY Index Options'!$I:$I,"Weekly*")+SUMIFS('NSE - NIFTY Index Options'!$M:$M,'NSE - NIFTY Index Options'!$C:$C,$A33,'NSE - NIFTY Index Options'!$B:$B,F$4,'NSE - NIFTY Index Options'!$I:$I,"MDAW*")+SUMIFS('NSE - Other Index Options'!$M:$M,'NSE - Other Index Options'!$C:$C,$A33,'NSE - Other Index Options'!$B:$B,F$4,'NSE - Other Index Options'!$I:$I,"Weekly*")+SUMIFS('NSE - Other Index Options'!$M:$M,'NSE - Other Index Options'!$C:$C,$A33,'NSE - Other Index Options'!$B:$B,F$4,'NSE - Other Index Options'!$I:$I,"MDAW*")+SUMIFS('BSE - SENSEX Index Options'!$M:$M,'BSE - SENSEX Index Options'!$C:$C,$A33,'BSE - SENSEX Index Options'!$B:$B,F$4,'BSE - SENSEX Index Options'!$I:$I,"Weekly*")+SUMIFS('BSE - SENSEX Index Options'!$M:$M,'BSE - SENSEX Index Options'!$C:$C,$A33,'BSE - SENSEX Index Options'!$B:$B,F$4,'BSE - SENSEX Index Options'!$I:$I,"MDAW*")+SUMIFS('BSE - Other Index Options'!$M:$M,'BSE - Other Index Options'!$C:$C,$A33,'BSE - Other Index Options'!$B:$B,F$4,'BSE - Other Index Options'!$I:$I,"Weekly*")+SUMIFS('BSE - Other Index Options'!$M:$M,'BSE - Other Index Options'!$C:$C,$A33,'BSE - Other Index Options'!$B:$B,F$4,'BSE - Other Index Options'!$I:$I,"MDAW*")=0,"",SUMIFS('NSE - NIFTY Index Options'!$M:$M,'NSE - NIFTY Index Options'!$C:$C,$A33,'NSE - NIFTY Index Options'!$B:$B,F$4,'NSE - NIFTY Index Options'!$I:$I,"Weekly*")+SUMIFS('NSE - NIFTY Index Options'!$M:$M,'NSE - NIFTY Index Options'!$C:$C,$A33,'NSE - NIFTY Index Options'!$B:$B,F$4,'NSE - NIFTY Index Options'!$I:$I,"MDAW*")+SUMIFS('NSE - Other Index Options'!$M:$M,'NSE - Other Index Options'!$C:$C,$A33,'NSE - Other Index Options'!$B:$B,F$4,'NSE - Other Index Options'!$I:$I,"Weekly*")+SUMIFS('NSE - Other Index Options'!$M:$M,'NSE - Other Index Options'!$C:$C,$A33,'NSE - Other Index Options'!$B:$B,F$4,'NSE - Other Index Options'!$I:$I,"MDAW*")+SUMIFS('BSE - SENSEX Index Options'!$M:$M,'BSE - SENSEX Index Options'!$C:$C,$A33,'BSE - SENSEX Index Options'!$B:$B,F$4,'BSE - SENSEX Index Options'!$I:$I,"Weekly*")+SUMIFS('BSE - SENSEX Index Options'!$M:$M,'BSE - SENSEX Index Options'!$C:$C,$A33,'BSE - SENSEX Index Options'!$B:$B,F$4,'BSE - SENSEX Index Options'!$I:$I,"MDAW*")+SUMIFS('BSE - Other Index Options'!$M:$M,'BSE - Other Index Options'!$C:$C,$A33,'BSE - Other Index Options'!$B:$B,F$4,'BSE - Other Index Options'!$I:$I,"Weekly*")+SUMIFS('BSE - Other Index Options'!$M:$M,'BSE - Other Index Options'!$C:$C,$A33,'BSE - Other Index Options'!$B:$B,F$4,'BSE - Other Index Options'!$I:$I,"MDAW*"))</f>
        <v/>
      </c>
      <c r="G33" s="26">
        <f>IF(SUMIFS('NSE - NIFTY Index Options'!$M:$M,'NSE - NIFTY Index Options'!$C:$C,$A33,'NSE - NIFTY Index Options'!$B:$B,G$4,'NSE - NIFTY Index Options'!$I:$I,"Weekly*")+SUMIFS('NSE - NIFTY Index Options'!$M:$M,'NSE - NIFTY Index Options'!$C:$C,$A33,'NSE - NIFTY Index Options'!$B:$B,G$4,'NSE - NIFTY Index Options'!$I:$I,"MDAW*")+SUMIFS('NSE - Other Index Options'!$M:$M,'NSE - Other Index Options'!$C:$C,$A33,'NSE - Other Index Options'!$B:$B,G$4,'NSE - Other Index Options'!$I:$I,"Weekly*")+SUMIFS('NSE - Other Index Options'!$M:$M,'NSE - Other Index Options'!$C:$C,$A33,'NSE - Other Index Options'!$B:$B,G$4,'NSE - Other Index Options'!$I:$I,"MDAW*")+SUMIFS('BSE - SENSEX Index Options'!$M:$M,'BSE - SENSEX Index Options'!$C:$C,$A33,'BSE - SENSEX Index Options'!$B:$B,G$4,'BSE - SENSEX Index Options'!$I:$I,"Weekly*")+SUMIFS('BSE - SENSEX Index Options'!$M:$M,'BSE - SENSEX Index Options'!$C:$C,$A33,'BSE - SENSEX Index Options'!$B:$B,G$4,'BSE - SENSEX Index Options'!$I:$I,"MDAW*")+SUMIFS('BSE - Other Index Options'!$M:$M,'BSE - Other Index Options'!$C:$C,$A33,'BSE - Other Index Options'!$B:$B,G$4,'BSE - Other Index Options'!$I:$I,"Weekly*")+SUMIFS('BSE - Other Index Options'!$M:$M,'BSE - Other Index Options'!$C:$C,$A33,'BSE - Other Index Options'!$B:$B,G$4,'BSE - Other Index Options'!$I:$I,"MDAW*")=0,"",SUMIFS('NSE - NIFTY Index Options'!$M:$M,'NSE - NIFTY Index Options'!$C:$C,$A33,'NSE - NIFTY Index Options'!$B:$B,G$4,'NSE - NIFTY Index Options'!$I:$I,"Weekly*")+SUMIFS('NSE - NIFTY Index Options'!$M:$M,'NSE - NIFTY Index Options'!$C:$C,$A33,'NSE - NIFTY Index Options'!$B:$B,G$4,'NSE - NIFTY Index Options'!$I:$I,"MDAW*")+SUMIFS('NSE - Other Index Options'!$M:$M,'NSE - Other Index Options'!$C:$C,$A33,'NSE - Other Index Options'!$B:$B,G$4,'NSE - Other Index Options'!$I:$I,"Weekly*")+SUMIFS('NSE - Other Index Options'!$M:$M,'NSE - Other Index Options'!$C:$C,$A33,'NSE - Other Index Options'!$B:$B,G$4,'NSE - Other Index Options'!$I:$I,"MDAW*")+SUMIFS('BSE - SENSEX Index Options'!$M:$M,'BSE - SENSEX Index Options'!$C:$C,$A33,'BSE - SENSEX Index Options'!$B:$B,G$4,'BSE - SENSEX Index Options'!$I:$I,"Weekly*")+SUMIFS('BSE - SENSEX Index Options'!$M:$M,'BSE - SENSEX Index Options'!$C:$C,$A33,'BSE - SENSEX Index Options'!$B:$B,G$4,'BSE - SENSEX Index Options'!$I:$I,"MDAW*")+SUMIFS('BSE - Other Index Options'!$M:$M,'BSE - Other Index Options'!$C:$C,$A33,'BSE - Other Index Options'!$B:$B,G$4,'BSE - Other Index Options'!$I:$I,"Weekly*")+SUMIFS('BSE - Other Index Options'!$M:$M,'BSE - Other Index Options'!$C:$C,$A33,'BSE - Other Index Options'!$B:$B,G$4,'BSE - Other Index Options'!$I:$I,"MDAW*"))</f>
        <v/>
      </c>
      <c r="H33" s="26">
        <f>IF(SUM(B33:G33)=0,"",SUM(B33:G33))</f>
        <v/>
      </c>
    </row>
    <row r="34">
      <c r="A34" t="inlineStr">
        <is>
          <t>Week1-Mar-2026</t>
        </is>
      </c>
      <c r="B34" s="26">
        <f>IF(SUMIFS('NSE - NIFTY Index Options'!$M:$M,'NSE - NIFTY Index Options'!$C:$C,$A34,'NSE - NIFTY Index Options'!$B:$B,B$4,'NSE - NIFTY Index Options'!$I:$I,"Weekly*")+SUMIFS('NSE - NIFTY Index Options'!$M:$M,'NSE - NIFTY Index Options'!$C:$C,$A34,'NSE - NIFTY Index Options'!$B:$B,B$4,'NSE - NIFTY Index Options'!$I:$I,"MDAW*")+SUMIFS('NSE - Other Index Options'!$M:$M,'NSE - Other Index Options'!$C:$C,$A34,'NSE - Other Index Options'!$B:$B,B$4,'NSE - Other Index Options'!$I:$I,"Weekly*")+SUMIFS('NSE - Other Index Options'!$M:$M,'NSE - Other Index Options'!$C:$C,$A34,'NSE - Other Index Options'!$B:$B,B$4,'NSE - Other Index Options'!$I:$I,"MDAW*")+SUMIFS('BSE - SENSEX Index Options'!$M:$M,'BSE - SENSEX Index Options'!$C:$C,$A34,'BSE - SENSEX Index Options'!$B:$B,B$4,'BSE - SENSEX Index Options'!$I:$I,"Weekly*")+SUMIFS('BSE - SENSEX Index Options'!$M:$M,'BSE - SENSEX Index Options'!$C:$C,$A34,'BSE - SENSEX Index Options'!$B:$B,B$4,'BSE - SENSEX Index Options'!$I:$I,"MDAW*")+SUMIFS('BSE - Other Index Options'!$M:$M,'BSE - Other Index Options'!$C:$C,$A34,'BSE - Other Index Options'!$B:$B,B$4,'BSE - Other Index Options'!$I:$I,"Weekly*")+SUMIFS('BSE - Other Index Options'!$M:$M,'BSE - Other Index Options'!$C:$C,$A34,'BSE - Other Index Options'!$B:$B,B$4,'BSE - Other Index Options'!$I:$I,"MDAW*")=0,"",SUMIFS('NSE - NIFTY Index Options'!$M:$M,'NSE - NIFTY Index Options'!$C:$C,$A34,'NSE - NIFTY Index Options'!$B:$B,B$4,'NSE - NIFTY Index Options'!$I:$I,"Weekly*")+SUMIFS('NSE - NIFTY Index Options'!$M:$M,'NSE - NIFTY Index Options'!$C:$C,$A34,'NSE - NIFTY Index Options'!$B:$B,B$4,'NSE - NIFTY Index Options'!$I:$I,"MDAW*")+SUMIFS('NSE - Other Index Options'!$M:$M,'NSE - Other Index Options'!$C:$C,$A34,'NSE - Other Index Options'!$B:$B,B$4,'NSE - Other Index Options'!$I:$I,"Weekly*")+SUMIFS('NSE - Other Index Options'!$M:$M,'NSE - Other Index Options'!$C:$C,$A34,'NSE - Other Index Options'!$B:$B,B$4,'NSE - Other Index Options'!$I:$I,"MDAW*")+SUMIFS('BSE - SENSEX Index Options'!$M:$M,'BSE - SENSEX Index Options'!$C:$C,$A34,'BSE - SENSEX Index Options'!$B:$B,B$4,'BSE - SENSEX Index Options'!$I:$I,"Weekly*")+SUMIFS('BSE - SENSEX Index Options'!$M:$M,'BSE - SENSEX Index Options'!$C:$C,$A34,'BSE - SENSEX Index Options'!$B:$B,B$4,'BSE - SENSEX Index Options'!$I:$I,"MDAW*")+SUMIFS('BSE - Other Index Options'!$M:$M,'BSE - Other Index Options'!$C:$C,$A34,'BSE - Other Index Options'!$B:$B,B$4,'BSE - Other Index Options'!$I:$I,"Weekly*")+SUMIFS('BSE - Other Index Options'!$M:$M,'BSE - Other Index Options'!$C:$C,$A34,'BSE - Other Index Options'!$B:$B,B$4,'BSE - Other Index Options'!$I:$I,"MDAW*"))</f>
        <v/>
      </c>
      <c r="C34" s="26">
        <f>IF(SUMIFS('NSE - NIFTY Index Options'!$M:$M,'NSE - NIFTY Index Options'!$C:$C,$A34,'NSE - NIFTY Index Options'!$B:$B,C$4,'NSE - NIFTY Index Options'!$I:$I,"Weekly*")+SUMIFS('NSE - NIFTY Index Options'!$M:$M,'NSE - NIFTY Index Options'!$C:$C,$A34,'NSE - NIFTY Index Options'!$B:$B,C$4,'NSE - NIFTY Index Options'!$I:$I,"MDAW*")+SUMIFS('NSE - Other Index Options'!$M:$M,'NSE - Other Index Options'!$C:$C,$A34,'NSE - Other Index Options'!$B:$B,C$4,'NSE - Other Index Options'!$I:$I,"Weekly*")+SUMIFS('NSE - Other Index Options'!$M:$M,'NSE - Other Index Options'!$C:$C,$A34,'NSE - Other Index Options'!$B:$B,C$4,'NSE - Other Index Options'!$I:$I,"MDAW*")+SUMIFS('BSE - SENSEX Index Options'!$M:$M,'BSE - SENSEX Index Options'!$C:$C,$A34,'BSE - SENSEX Index Options'!$B:$B,C$4,'BSE - SENSEX Index Options'!$I:$I,"Weekly*")+SUMIFS('BSE - SENSEX Index Options'!$M:$M,'BSE - SENSEX Index Options'!$C:$C,$A34,'BSE - SENSEX Index Options'!$B:$B,C$4,'BSE - SENSEX Index Options'!$I:$I,"MDAW*")+SUMIFS('BSE - Other Index Options'!$M:$M,'BSE - Other Index Options'!$C:$C,$A34,'BSE - Other Index Options'!$B:$B,C$4,'BSE - Other Index Options'!$I:$I,"Weekly*")+SUMIFS('BSE - Other Index Options'!$M:$M,'BSE - Other Index Options'!$C:$C,$A34,'BSE - Other Index Options'!$B:$B,C$4,'BSE - Other Index Options'!$I:$I,"MDAW*")=0,"",SUMIFS('NSE - NIFTY Index Options'!$M:$M,'NSE - NIFTY Index Options'!$C:$C,$A34,'NSE - NIFTY Index Options'!$B:$B,C$4,'NSE - NIFTY Index Options'!$I:$I,"Weekly*")+SUMIFS('NSE - NIFTY Index Options'!$M:$M,'NSE - NIFTY Index Options'!$C:$C,$A34,'NSE - NIFTY Index Options'!$B:$B,C$4,'NSE - NIFTY Index Options'!$I:$I,"MDAW*")+SUMIFS('NSE - Other Index Options'!$M:$M,'NSE - Other Index Options'!$C:$C,$A34,'NSE - Other Index Options'!$B:$B,C$4,'NSE - Other Index Options'!$I:$I,"Weekly*")+SUMIFS('NSE - Other Index Options'!$M:$M,'NSE - Other Index Options'!$C:$C,$A34,'NSE - Other Index Options'!$B:$B,C$4,'NSE - Other Index Options'!$I:$I,"MDAW*")+SUMIFS('BSE - SENSEX Index Options'!$M:$M,'BSE - SENSEX Index Options'!$C:$C,$A34,'BSE - SENSEX Index Options'!$B:$B,C$4,'BSE - SENSEX Index Options'!$I:$I,"Weekly*")+SUMIFS('BSE - SENSEX Index Options'!$M:$M,'BSE - SENSEX Index Options'!$C:$C,$A34,'BSE - SENSEX Index Options'!$B:$B,C$4,'BSE - SENSEX Index Options'!$I:$I,"MDAW*")+SUMIFS('BSE - Other Index Options'!$M:$M,'BSE - Other Index Options'!$C:$C,$A34,'BSE - Other Index Options'!$B:$B,C$4,'BSE - Other Index Options'!$I:$I,"Weekly*")+SUMIFS('BSE - Other Index Options'!$M:$M,'BSE - Other Index Options'!$C:$C,$A34,'BSE - Other Index Options'!$B:$B,C$4,'BSE - Other Index Options'!$I:$I,"MDAW*"))</f>
        <v/>
      </c>
      <c r="D34" s="26">
        <f>IF(SUMIFS('NSE - NIFTY Index Options'!$M:$M,'NSE - NIFTY Index Options'!$C:$C,$A34,'NSE - NIFTY Index Options'!$B:$B,D$4,'NSE - NIFTY Index Options'!$I:$I,"Weekly*")+SUMIFS('NSE - NIFTY Index Options'!$M:$M,'NSE - NIFTY Index Options'!$C:$C,$A34,'NSE - NIFTY Index Options'!$B:$B,D$4,'NSE - NIFTY Index Options'!$I:$I,"MDAW*")+SUMIFS('NSE - Other Index Options'!$M:$M,'NSE - Other Index Options'!$C:$C,$A34,'NSE - Other Index Options'!$B:$B,D$4,'NSE - Other Index Options'!$I:$I,"Weekly*")+SUMIFS('NSE - Other Index Options'!$M:$M,'NSE - Other Index Options'!$C:$C,$A34,'NSE - Other Index Options'!$B:$B,D$4,'NSE - Other Index Options'!$I:$I,"MDAW*")+SUMIFS('BSE - SENSEX Index Options'!$M:$M,'BSE - SENSEX Index Options'!$C:$C,$A34,'BSE - SENSEX Index Options'!$B:$B,D$4,'BSE - SENSEX Index Options'!$I:$I,"Weekly*")+SUMIFS('BSE - SENSEX Index Options'!$M:$M,'BSE - SENSEX Index Options'!$C:$C,$A34,'BSE - SENSEX Index Options'!$B:$B,D$4,'BSE - SENSEX Index Options'!$I:$I,"MDAW*")+SUMIFS('BSE - Other Index Options'!$M:$M,'BSE - Other Index Options'!$C:$C,$A34,'BSE - Other Index Options'!$B:$B,D$4,'BSE - Other Index Options'!$I:$I,"Weekly*")+SUMIFS('BSE - Other Index Options'!$M:$M,'BSE - Other Index Options'!$C:$C,$A34,'BSE - Other Index Options'!$B:$B,D$4,'BSE - Other Index Options'!$I:$I,"MDAW*")=0,"",SUMIFS('NSE - NIFTY Index Options'!$M:$M,'NSE - NIFTY Index Options'!$C:$C,$A34,'NSE - NIFTY Index Options'!$B:$B,D$4,'NSE - NIFTY Index Options'!$I:$I,"Weekly*")+SUMIFS('NSE - NIFTY Index Options'!$M:$M,'NSE - NIFTY Index Options'!$C:$C,$A34,'NSE - NIFTY Index Options'!$B:$B,D$4,'NSE - NIFTY Index Options'!$I:$I,"MDAW*")+SUMIFS('NSE - Other Index Options'!$M:$M,'NSE - Other Index Options'!$C:$C,$A34,'NSE - Other Index Options'!$B:$B,D$4,'NSE - Other Index Options'!$I:$I,"Weekly*")+SUMIFS('NSE - Other Index Options'!$M:$M,'NSE - Other Index Options'!$C:$C,$A34,'NSE - Other Index Options'!$B:$B,D$4,'NSE - Other Index Options'!$I:$I,"MDAW*")+SUMIFS('BSE - SENSEX Index Options'!$M:$M,'BSE - SENSEX Index Options'!$C:$C,$A34,'BSE - SENSEX Index Options'!$B:$B,D$4,'BSE - SENSEX Index Options'!$I:$I,"Weekly*")+SUMIFS('BSE - SENSEX Index Options'!$M:$M,'BSE - SENSEX Index Options'!$C:$C,$A34,'BSE - SENSEX Index Options'!$B:$B,D$4,'BSE - SENSEX Index Options'!$I:$I,"MDAW*")+SUMIFS('BSE - Other Index Options'!$M:$M,'BSE - Other Index Options'!$C:$C,$A34,'BSE - Other Index Options'!$B:$B,D$4,'BSE - Other Index Options'!$I:$I,"Weekly*")+SUMIFS('BSE - Other Index Options'!$M:$M,'BSE - Other Index Options'!$C:$C,$A34,'BSE - Other Index Options'!$B:$B,D$4,'BSE - Other Index Options'!$I:$I,"MDAW*"))</f>
        <v/>
      </c>
      <c r="E34" s="26">
        <f>IF(SUMIFS('NSE - NIFTY Index Options'!$M:$M,'NSE - NIFTY Index Options'!$C:$C,$A34,'NSE - NIFTY Index Options'!$B:$B,E$4,'NSE - NIFTY Index Options'!$I:$I,"Weekly*")+SUMIFS('NSE - NIFTY Index Options'!$M:$M,'NSE - NIFTY Index Options'!$C:$C,$A34,'NSE - NIFTY Index Options'!$B:$B,E$4,'NSE - NIFTY Index Options'!$I:$I,"MDAW*")+SUMIFS('NSE - Other Index Options'!$M:$M,'NSE - Other Index Options'!$C:$C,$A34,'NSE - Other Index Options'!$B:$B,E$4,'NSE - Other Index Options'!$I:$I,"Weekly*")+SUMIFS('NSE - Other Index Options'!$M:$M,'NSE - Other Index Options'!$C:$C,$A34,'NSE - Other Index Options'!$B:$B,E$4,'NSE - Other Index Options'!$I:$I,"MDAW*")+SUMIFS('BSE - SENSEX Index Options'!$M:$M,'BSE - SENSEX Index Options'!$C:$C,$A34,'BSE - SENSEX Index Options'!$B:$B,E$4,'BSE - SENSEX Index Options'!$I:$I,"Weekly*")+SUMIFS('BSE - SENSEX Index Options'!$M:$M,'BSE - SENSEX Index Options'!$C:$C,$A34,'BSE - SENSEX Index Options'!$B:$B,E$4,'BSE - SENSEX Index Options'!$I:$I,"MDAW*")+SUMIFS('BSE - Other Index Options'!$M:$M,'BSE - Other Index Options'!$C:$C,$A34,'BSE - Other Index Options'!$B:$B,E$4,'BSE - Other Index Options'!$I:$I,"Weekly*")+SUMIFS('BSE - Other Index Options'!$M:$M,'BSE - Other Index Options'!$C:$C,$A34,'BSE - Other Index Options'!$B:$B,E$4,'BSE - Other Index Options'!$I:$I,"MDAW*")=0,"",SUMIFS('NSE - NIFTY Index Options'!$M:$M,'NSE - NIFTY Index Options'!$C:$C,$A34,'NSE - NIFTY Index Options'!$B:$B,E$4,'NSE - NIFTY Index Options'!$I:$I,"Weekly*")+SUMIFS('NSE - NIFTY Index Options'!$M:$M,'NSE - NIFTY Index Options'!$C:$C,$A34,'NSE - NIFTY Index Options'!$B:$B,E$4,'NSE - NIFTY Index Options'!$I:$I,"MDAW*")+SUMIFS('NSE - Other Index Options'!$M:$M,'NSE - Other Index Options'!$C:$C,$A34,'NSE - Other Index Options'!$B:$B,E$4,'NSE - Other Index Options'!$I:$I,"Weekly*")+SUMIFS('NSE - Other Index Options'!$M:$M,'NSE - Other Index Options'!$C:$C,$A34,'NSE - Other Index Options'!$B:$B,E$4,'NSE - Other Index Options'!$I:$I,"MDAW*")+SUMIFS('BSE - SENSEX Index Options'!$M:$M,'BSE - SENSEX Index Options'!$C:$C,$A34,'BSE - SENSEX Index Options'!$B:$B,E$4,'BSE - SENSEX Index Options'!$I:$I,"Weekly*")+SUMIFS('BSE - SENSEX Index Options'!$M:$M,'BSE - SENSEX Index Options'!$C:$C,$A34,'BSE - SENSEX Index Options'!$B:$B,E$4,'BSE - SENSEX Index Options'!$I:$I,"MDAW*")+SUMIFS('BSE - Other Index Options'!$M:$M,'BSE - Other Index Options'!$C:$C,$A34,'BSE - Other Index Options'!$B:$B,E$4,'BSE - Other Index Options'!$I:$I,"Weekly*")+SUMIFS('BSE - Other Index Options'!$M:$M,'BSE - Other Index Options'!$C:$C,$A34,'BSE - Other Index Options'!$B:$B,E$4,'BSE - Other Index Options'!$I:$I,"MDAW*"))</f>
        <v/>
      </c>
      <c r="F34" s="26">
        <f>IF(SUMIFS('NSE - NIFTY Index Options'!$M:$M,'NSE - NIFTY Index Options'!$C:$C,$A34,'NSE - NIFTY Index Options'!$B:$B,F$4,'NSE - NIFTY Index Options'!$I:$I,"Weekly*")+SUMIFS('NSE - NIFTY Index Options'!$M:$M,'NSE - NIFTY Index Options'!$C:$C,$A34,'NSE - NIFTY Index Options'!$B:$B,F$4,'NSE - NIFTY Index Options'!$I:$I,"MDAW*")+SUMIFS('NSE - Other Index Options'!$M:$M,'NSE - Other Index Options'!$C:$C,$A34,'NSE - Other Index Options'!$B:$B,F$4,'NSE - Other Index Options'!$I:$I,"Weekly*")+SUMIFS('NSE - Other Index Options'!$M:$M,'NSE - Other Index Options'!$C:$C,$A34,'NSE - Other Index Options'!$B:$B,F$4,'NSE - Other Index Options'!$I:$I,"MDAW*")+SUMIFS('BSE - SENSEX Index Options'!$M:$M,'BSE - SENSEX Index Options'!$C:$C,$A34,'BSE - SENSEX Index Options'!$B:$B,F$4,'BSE - SENSEX Index Options'!$I:$I,"Weekly*")+SUMIFS('BSE - SENSEX Index Options'!$M:$M,'BSE - SENSEX Index Options'!$C:$C,$A34,'BSE - SENSEX Index Options'!$B:$B,F$4,'BSE - SENSEX Index Options'!$I:$I,"MDAW*")+SUMIFS('BSE - Other Index Options'!$M:$M,'BSE - Other Index Options'!$C:$C,$A34,'BSE - Other Index Options'!$B:$B,F$4,'BSE - Other Index Options'!$I:$I,"Weekly*")+SUMIFS('BSE - Other Index Options'!$M:$M,'BSE - Other Index Options'!$C:$C,$A34,'BSE - Other Index Options'!$B:$B,F$4,'BSE - Other Index Options'!$I:$I,"MDAW*")=0,"",SUMIFS('NSE - NIFTY Index Options'!$M:$M,'NSE - NIFTY Index Options'!$C:$C,$A34,'NSE - NIFTY Index Options'!$B:$B,F$4,'NSE - NIFTY Index Options'!$I:$I,"Weekly*")+SUMIFS('NSE - NIFTY Index Options'!$M:$M,'NSE - NIFTY Index Options'!$C:$C,$A34,'NSE - NIFTY Index Options'!$B:$B,F$4,'NSE - NIFTY Index Options'!$I:$I,"MDAW*")+SUMIFS('NSE - Other Index Options'!$M:$M,'NSE - Other Index Options'!$C:$C,$A34,'NSE - Other Index Options'!$B:$B,F$4,'NSE - Other Index Options'!$I:$I,"Weekly*")+SUMIFS('NSE - Other Index Options'!$M:$M,'NSE - Other Index Options'!$C:$C,$A34,'NSE - Other Index Options'!$B:$B,F$4,'NSE - Other Index Options'!$I:$I,"MDAW*")+SUMIFS('BSE - SENSEX Index Options'!$M:$M,'BSE - SENSEX Index Options'!$C:$C,$A34,'BSE - SENSEX Index Options'!$B:$B,F$4,'BSE - SENSEX Index Options'!$I:$I,"Weekly*")+SUMIFS('BSE - SENSEX Index Options'!$M:$M,'BSE - SENSEX Index Options'!$C:$C,$A34,'BSE - SENSEX Index Options'!$B:$B,F$4,'BSE - SENSEX Index Options'!$I:$I,"MDAW*")+SUMIFS('BSE - Other Index Options'!$M:$M,'BSE - Other Index Options'!$C:$C,$A34,'BSE - Other Index Options'!$B:$B,F$4,'BSE - Other Index Options'!$I:$I,"Weekly*")+SUMIFS('BSE - Other Index Options'!$M:$M,'BSE - Other Index Options'!$C:$C,$A34,'BSE - Other Index Options'!$B:$B,F$4,'BSE - Other Index Options'!$I:$I,"MDAW*"))</f>
        <v/>
      </c>
      <c r="G34" s="26">
        <f>IF(SUMIFS('NSE - NIFTY Index Options'!$M:$M,'NSE - NIFTY Index Options'!$C:$C,$A34,'NSE - NIFTY Index Options'!$B:$B,G$4,'NSE - NIFTY Index Options'!$I:$I,"Weekly*")+SUMIFS('NSE - NIFTY Index Options'!$M:$M,'NSE - NIFTY Index Options'!$C:$C,$A34,'NSE - NIFTY Index Options'!$B:$B,G$4,'NSE - NIFTY Index Options'!$I:$I,"MDAW*")+SUMIFS('NSE - Other Index Options'!$M:$M,'NSE - Other Index Options'!$C:$C,$A34,'NSE - Other Index Options'!$B:$B,G$4,'NSE - Other Index Options'!$I:$I,"Weekly*")+SUMIFS('NSE - Other Index Options'!$M:$M,'NSE - Other Index Options'!$C:$C,$A34,'NSE - Other Index Options'!$B:$B,G$4,'NSE - Other Index Options'!$I:$I,"MDAW*")+SUMIFS('BSE - SENSEX Index Options'!$M:$M,'BSE - SENSEX Index Options'!$C:$C,$A34,'BSE - SENSEX Index Options'!$B:$B,G$4,'BSE - SENSEX Index Options'!$I:$I,"Weekly*")+SUMIFS('BSE - SENSEX Index Options'!$M:$M,'BSE - SENSEX Index Options'!$C:$C,$A34,'BSE - SENSEX Index Options'!$B:$B,G$4,'BSE - SENSEX Index Options'!$I:$I,"MDAW*")+SUMIFS('BSE - Other Index Options'!$M:$M,'BSE - Other Index Options'!$C:$C,$A34,'BSE - Other Index Options'!$B:$B,G$4,'BSE - Other Index Options'!$I:$I,"Weekly*")+SUMIFS('BSE - Other Index Options'!$M:$M,'BSE - Other Index Options'!$C:$C,$A34,'BSE - Other Index Options'!$B:$B,G$4,'BSE - Other Index Options'!$I:$I,"MDAW*")=0,"",SUMIFS('NSE - NIFTY Index Options'!$M:$M,'NSE - NIFTY Index Options'!$C:$C,$A34,'NSE - NIFTY Index Options'!$B:$B,G$4,'NSE - NIFTY Index Options'!$I:$I,"Weekly*")+SUMIFS('NSE - NIFTY Index Options'!$M:$M,'NSE - NIFTY Index Options'!$C:$C,$A34,'NSE - NIFTY Index Options'!$B:$B,G$4,'NSE - NIFTY Index Options'!$I:$I,"MDAW*")+SUMIFS('NSE - Other Index Options'!$M:$M,'NSE - Other Index Options'!$C:$C,$A34,'NSE - Other Index Options'!$B:$B,G$4,'NSE - Other Index Options'!$I:$I,"Weekly*")+SUMIFS('NSE - Other Index Options'!$M:$M,'NSE - Other Index Options'!$C:$C,$A34,'NSE - Other Index Options'!$B:$B,G$4,'NSE - Other Index Options'!$I:$I,"MDAW*")+SUMIFS('BSE - SENSEX Index Options'!$M:$M,'BSE - SENSEX Index Options'!$C:$C,$A34,'BSE - SENSEX Index Options'!$B:$B,G$4,'BSE - SENSEX Index Options'!$I:$I,"Weekly*")+SUMIFS('BSE - SENSEX Index Options'!$M:$M,'BSE - SENSEX Index Options'!$C:$C,$A34,'BSE - SENSEX Index Options'!$B:$B,G$4,'BSE - SENSEX Index Options'!$I:$I,"MDAW*")+SUMIFS('BSE - Other Index Options'!$M:$M,'BSE - Other Index Options'!$C:$C,$A34,'BSE - Other Index Options'!$B:$B,G$4,'BSE - Other Index Options'!$I:$I,"Weekly*")+SUMIFS('BSE - Other Index Options'!$M:$M,'BSE - Other Index Options'!$C:$C,$A34,'BSE - Other Index Options'!$B:$B,G$4,'BSE - Other Index Options'!$I:$I,"MDAW*"))</f>
        <v/>
      </c>
      <c r="H34" s="26">
        <f>IF(SUM(B34:G34)=0,"",SUM(B34:G34))</f>
        <v/>
      </c>
    </row>
    <row r="35">
      <c r="A35" t="inlineStr">
        <is>
          <t>Week2-Mar-2026</t>
        </is>
      </c>
      <c r="B35" s="26">
        <f>IF(SUMIFS('NSE - NIFTY Index Options'!$M:$M,'NSE - NIFTY Index Options'!$C:$C,$A35,'NSE - NIFTY Index Options'!$B:$B,B$4,'NSE - NIFTY Index Options'!$I:$I,"Weekly*")+SUMIFS('NSE - NIFTY Index Options'!$M:$M,'NSE - NIFTY Index Options'!$C:$C,$A35,'NSE - NIFTY Index Options'!$B:$B,B$4,'NSE - NIFTY Index Options'!$I:$I,"MDAW*")+SUMIFS('NSE - Other Index Options'!$M:$M,'NSE - Other Index Options'!$C:$C,$A35,'NSE - Other Index Options'!$B:$B,B$4,'NSE - Other Index Options'!$I:$I,"Weekly*")+SUMIFS('NSE - Other Index Options'!$M:$M,'NSE - Other Index Options'!$C:$C,$A35,'NSE - Other Index Options'!$B:$B,B$4,'NSE - Other Index Options'!$I:$I,"MDAW*")+SUMIFS('BSE - SENSEX Index Options'!$M:$M,'BSE - SENSEX Index Options'!$C:$C,$A35,'BSE - SENSEX Index Options'!$B:$B,B$4,'BSE - SENSEX Index Options'!$I:$I,"Weekly*")+SUMIFS('BSE - SENSEX Index Options'!$M:$M,'BSE - SENSEX Index Options'!$C:$C,$A35,'BSE - SENSEX Index Options'!$B:$B,B$4,'BSE - SENSEX Index Options'!$I:$I,"MDAW*")+SUMIFS('BSE - Other Index Options'!$M:$M,'BSE - Other Index Options'!$C:$C,$A35,'BSE - Other Index Options'!$B:$B,B$4,'BSE - Other Index Options'!$I:$I,"Weekly*")+SUMIFS('BSE - Other Index Options'!$M:$M,'BSE - Other Index Options'!$C:$C,$A35,'BSE - Other Index Options'!$B:$B,B$4,'BSE - Other Index Options'!$I:$I,"MDAW*")=0,"",SUMIFS('NSE - NIFTY Index Options'!$M:$M,'NSE - NIFTY Index Options'!$C:$C,$A35,'NSE - NIFTY Index Options'!$B:$B,B$4,'NSE - NIFTY Index Options'!$I:$I,"Weekly*")+SUMIFS('NSE - NIFTY Index Options'!$M:$M,'NSE - NIFTY Index Options'!$C:$C,$A35,'NSE - NIFTY Index Options'!$B:$B,B$4,'NSE - NIFTY Index Options'!$I:$I,"MDAW*")+SUMIFS('NSE - Other Index Options'!$M:$M,'NSE - Other Index Options'!$C:$C,$A35,'NSE - Other Index Options'!$B:$B,B$4,'NSE - Other Index Options'!$I:$I,"Weekly*")+SUMIFS('NSE - Other Index Options'!$M:$M,'NSE - Other Index Options'!$C:$C,$A35,'NSE - Other Index Options'!$B:$B,B$4,'NSE - Other Index Options'!$I:$I,"MDAW*")+SUMIFS('BSE - SENSEX Index Options'!$M:$M,'BSE - SENSEX Index Options'!$C:$C,$A35,'BSE - SENSEX Index Options'!$B:$B,B$4,'BSE - SENSEX Index Options'!$I:$I,"Weekly*")+SUMIFS('BSE - SENSEX Index Options'!$M:$M,'BSE - SENSEX Index Options'!$C:$C,$A35,'BSE - SENSEX Index Options'!$B:$B,B$4,'BSE - SENSEX Index Options'!$I:$I,"MDAW*")+SUMIFS('BSE - Other Index Options'!$M:$M,'BSE - Other Index Options'!$C:$C,$A35,'BSE - Other Index Options'!$B:$B,B$4,'BSE - Other Index Options'!$I:$I,"Weekly*")+SUMIFS('BSE - Other Index Options'!$M:$M,'BSE - Other Index Options'!$C:$C,$A35,'BSE - Other Index Options'!$B:$B,B$4,'BSE - Other Index Options'!$I:$I,"MDAW*"))</f>
        <v/>
      </c>
      <c r="C35" s="26">
        <f>IF(SUMIFS('NSE - NIFTY Index Options'!$M:$M,'NSE - NIFTY Index Options'!$C:$C,$A35,'NSE - NIFTY Index Options'!$B:$B,C$4,'NSE - NIFTY Index Options'!$I:$I,"Weekly*")+SUMIFS('NSE - NIFTY Index Options'!$M:$M,'NSE - NIFTY Index Options'!$C:$C,$A35,'NSE - NIFTY Index Options'!$B:$B,C$4,'NSE - NIFTY Index Options'!$I:$I,"MDAW*")+SUMIFS('NSE - Other Index Options'!$M:$M,'NSE - Other Index Options'!$C:$C,$A35,'NSE - Other Index Options'!$B:$B,C$4,'NSE - Other Index Options'!$I:$I,"Weekly*")+SUMIFS('NSE - Other Index Options'!$M:$M,'NSE - Other Index Options'!$C:$C,$A35,'NSE - Other Index Options'!$B:$B,C$4,'NSE - Other Index Options'!$I:$I,"MDAW*")+SUMIFS('BSE - SENSEX Index Options'!$M:$M,'BSE - SENSEX Index Options'!$C:$C,$A35,'BSE - SENSEX Index Options'!$B:$B,C$4,'BSE - SENSEX Index Options'!$I:$I,"Weekly*")+SUMIFS('BSE - SENSEX Index Options'!$M:$M,'BSE - SENSEX Index Options'!$C:$C,$A35,'BSE - SENSEX Index Options'!$B:$B,C$4,'BSE - SENSEX Index Options'!$I:$I,"MDAW*")+SUMIFS('BSE - Other Index Options'!$M:$M,'BSE - Other Index Options'!$C:$C,$A35,'BSE - Other Index Options'!$B:$B,C$4,'BSE - Other Index Options'!$I:$I,"Weekly*")+SUMIFS('BSE - Other Index Options'!$M:$M,'BSE - Other Index Options'!$C:$C,$A35,'BSE - Other Index Options'!$B:$B,C$4,'BSE - Other Index Options'!$I:$I,"MDAW*")=0,"",SUMIFS('NSE - NIFTY Index Options'!$M:$M,'NSE - NIFTY Index Options'!$C:$C,$A35,'NSE - NIFTY Index Options'!$B:$B,C$4,'NSE - NIFTY Index Options'!$I:$I,"Weekly*")+SUMIFS('NSE - NIFTY Index Options'!$M:$M,'NSE - NIFTY Index Options'!$C:$C,$A35,'NSE - NIFTY Index Options'!$B:$B,C$4,'NSE - NIFTY Index Options'!$I:$I,"MDAW*")+SUMIFS('NSE - Other Index Options'!$M:$M,'NSE - Other Index Options'!$C:$C,$A35,'NSE - Other Index Options'!$B:$B,C$4,'NSE - Other Index Options'!$I:$I,"Weekly*")+SUMIFS('NSE - Other Index Options'!$M:$M,'NSE - Other Index Options'!$C:$C,$A35,'NSE - Other Index Options'!$B:$B,C$4,'NSE - Other Index Options'!$I:$I,"MDAW*")+SUMIFS('BSE - SENSEX Index Options'!$M:$M,'BSE - SENSEX Index Options'!$C:$C,$A35,'BSE - SENSEX Index Options'!$B:$B,C$4,'BSE - SENSEX Index Options'!$I:$I,"Weekly*")+SUMIFS('BSE - SENSEX Index Options'!$M:$M,'BSE - SENSEX Index Options'!$C:$C,$A35,'BSE - SENSEX Index Options'!$B:$B,C$4,'BSE - SENSEX Index Options'!$I:$I,"MDAW*")+SUMIFS('BSE - Other Index Options'!$M:$M,'BSE - Other Index Options'!$C:$C,$A35,'BSE - Other Index Options'!$B:$B,C$4,'BSE - Other Index Options'!$I:$I,"Weekly*")+SUMIFS('BSE - Other Index Options'!$M:$M,'BSE - Other Index Options'!$C:$C,$A35,'BSE - Other Index Options'!$B:$B,C$4,'BSE - Other Index Options'!$I:$I,"MDAW*"))</f>
        <v/>
      </c>
      <c r="D35" s="26">
        <f>IF(SUMIFS('NSE - NIFTY Index Options'!$M:$M,'NSE - NIFTY Index Options'!$C:$C,$A35,'NSE - NIFTY Index Options'!$B:$B,D$4,'NSE - NIFTY Index Options'!$I:$I,"Weekly*")+SUMIFS('NSE - NIFTY Index Options'!$M:$M,'NSE - NIFTY Index Options'!$C:$C,$A35,'NSE - NIFTY Index Options'!$B:$B,D$4,'NSE - NIFTY Index Options'!$I:$I,"MDAW*")+SUMIFS('NSE - Other Index Options'!$M:$M,'NSE - Other Index Options'!$C:$C,$A35,'NSE - Other Index Options'!$B:$B,D$4,'NSE - Other Index Options'!$I:$I,"Weekly*")+SUMIFS('NSE - Other Index Options'!$M:$M,'NSE - Other Index Options'!$C:$C,$A35,'NSE - Other Index Options'!$B:$B,D$4,'NSE - Other Index Options'!$I:$I,"MDAW*")+SUMIFS('BSE - SENSEX Index Options'!$M:$M,'BSE - SENSEX Index Options'!$C:$C,$A35,'BSE - SENSEX Index Options'!$B:$B,D$4,'BSE - SENSEX Index Options'!$I:$I,"Weekly*")+SUMIFS('BSE - SENSEX Index Options'!$M:$M,'BSE - SENSEX Index Options'!$C:$C,$A35,'BSE - SENSEX Index Options'!$B:$B,D$4,'BSE - SENSEX Index Options'!$I:$I,"MDAW*")+SUMIFS('BSE - Other Index Options'!$M:$M,'BSE - Other Index Options'!$C:$C,$A35,'BSE - Other Index Options'!$B:$B,D$4,'BSE - Other Index Options'!$I:$I,"Weekly*")+SUMIFS('BSE - Other Index Options'!$M:$M,'BSE - Other Index Options'!$C:$C,$A35,'BSE - Other Index Options'!$B:$B,D$4,'BSE - Other Index Options'!$I:$I,"MDAW*")=0,"",SUMIFS('NSE - NIFTY Index Options'!$M:$M,'NSE - NIFTY Index Options'!$C:$C,$A35,'NSE - NIFTY Index Options'!$B:$B,D$4,'NSE - NIFTY Index Options'!$I:$I,"Weekly*")+SUMIFS('NSE - NIFTY Index Options'!$M:$M,'NSE - NIFTY Index Options'!$C:$C,$A35,'NSE - NIFTY Index Options'!$B:$B,D$4,'NSE - NIFTY Index Options'!$I:$I,"MDAW*")+SUMIFS('NSE - Other Index Options'!$M:$M,'NSE - Other Index Options'!$C:$C,$A35,'NSE - Other Index Options'!$B:$B,D$4,'NSE - Other Index Options'!$I:$I,"Weekly*")+SUMIFS('NSE - Other Index Options'!$M:$M,'NSE - Other Index Options'!$C:$C,$A35,'NSE - Other Index Options'!$B:$B,D$4,'NSE - Other Index Options'!$I:$I,"MDAW*")+SUMIFS('BSE - SENSEX Index Options'!$M:$M,'BSE - SENSEX Index Options'!$C:$C,$A35,'BSE - SENSEX Index Options'!$B:$B,D$4,'BSE - SENSEX Index Options'!$I:$I,"Weekly*")+SUMIFS('BSE - SENSEX Index Options'!$M:$M,'BSE - SENSEX Index Options'!$C:$C,$A35,'BSE - SENSEX Index Options'!$B:$B,D$4,'BSE - SENSEX Index Options'!$I:$I,"MDAW*")+SUMIFS('BSE - Other Index Options'!$M:$M,'BSE - Other Index Options'!$C:$C,$A35,'BSE - Other Index Options'!$B:$B,D$4,'BSE - Other Index Options'!$I:$I,"Weekly*")+SUMIFS('BSE - Other Index Options'!$M:$M,'BSE - Other Index Options'!$C:$C,$A35,'BSE - Other Index Options'!$B:$B,D$4,'BSE - Other Index Options'!$I:$I,"MDAW*"))</f>
        <v/>
      </c>
      <c r="E35" s="26">
        <f>IF(SUMIFS('NSE - NIFTY Index Options'!$M:$M,'NSE - NIFTY Index Options'!$C:$C,$A35,'NSE - NIFTY Index Options'!$B:$B,E$4,'NSE - NIFTY Index Options'!$I:$I,"Weekly*")+SUMIFS('NSE - NIFTY Index Options'!$M:$M,'NSE - NIFTY Index Options'!$C:$C,$A35,'NSE - NIFTY Index Options'!$B:$B,E$4,'NSE - NIFTY Index Options'!$I:$I,"MDAW*")+SUMIFS('NSE - Other Index Options'!$M:$M,'NSE - Other Index Options'!$C:$C,$A35,'NSE - Other Index Options'!$B:$B,E$4,'NSE - Other Index Options'!$I:$I,"Weekly*")+SUMIFS('NSE - Other Index Options'!$M:$M,'NSE - Other Index Options'!$C:$C,$A35,'NSE - Other Index Options'!$B:$B,E$4,'NSE - Other Index Options'!$I:$I,"MDAW*")+SUMIFS('BSE - SENSEX Index Options'!$M:$M,'BSE - SENSEX Index Options'!$C:$C,$A35,'BSE - SENSEX Index Options'!$B:$B,E$4,'BSE - SENSEX Index Options'!$I:$I,"Weekly*")+SUMIFS('BSE - SENSEX Index Options'!$M:$M,'BSE - SENSEX Index Options'!$C:$C,$A35,'BSE - SENSEX Index Options'!$B:$B,E$4,'BSE - SENSEX Index Options'!$I:$I,"MDAW*")+SUMIFS('BSE - Other Index Options'!$M:$M,'BSE - Other Index Options'!$C:$C,$A35,'BSE - Other Index Options'!$B:$B,E$4,'BSE - Other Index Options'!$I:$I,"Weekly*")+SUMIFS('BSE - Other Index Options'!$M:$M,'BSE - Other Index Options'!$C:$C,$A35,'BSE - Other Index Options'!$B:$B,E$4,'BSE - Other Index Options'!$I:$I,"MDAW*")=0,"",SUMIFS('NSE - NIFTY Index Options'!$M:$M,'NSE - NIFTY Index Options'!$C:$C,$A35,'NSE - NIFTY Index Options'!$B:$B,E$4,'NSE - NIFTY Index Options'!$I:$I,"Weekly*")+SUMIFS('NSE - NIFTY Index Options'!$M:$M,'NSE - NIFTY Index Options'!$C:$C,$A35,'NSE - NIFTY Index Options'!$B:$B,E$4,'NSE - NIFTY Index Options'!$I:$I,"MDAW*")+SUMIFS('NSE - Other Index Options'!$M:$M,'NSE - Other Index Options'!$C:$C,$A35,'NSE - Other Index Options'!$B:$B,E$4,'NSE - Other Index Options'!$I:$I,"Weekly*")+SUMIFS('NSE - Other Index Options'!$M:$M,'NSE - Other Index Options'!$C:$C,$A35,'NSE - Other Index Options'!$B:$B,E$4,'NSE - Other Index Options'!$I:$I,"MDAW*")+SUMIFS('BSE - SENSEX Index Options'!$M:$M,'BSE - SENSEX Index Options'!$C:$C,$A35,'BSE - SENSEX Index Options'!$B:$B,E$4,'BSE - SENSEX Index Options'!$I:$I,"Weekly*")+SUMIFS('BSE - SENSEX Index Options'!$M:$M,'BSE - SENSEX Index Options'!$C:$C,$A35,'BSE - SENSEX Index Options'!$B:$B,E$4,'BSE - SENSEX Index Options'!$I:$I,"MDAW*")+SUMIFS('BSE - Other Index Options'!$M:$M,'BSE - Other Index Options'!$C:$C,$A35,'BSE - Other Index Options'!$B:$B,E$4,'BSE - Other Index Options'!$I:$I,"Weekly*")+SUMIFS('BSE - Other Index Options'!$M:$M,'BSE - Other Index Options'!$C:$C,$A35,'BSE - Other Index Options'!$B:$B,E$4,'BSE - Other Index Options'!$I:$I,"MDAW*"))</f>
        <v/>
      </c>
      <c r="F35" s="26">
        <f>IF(SUMIFS('NSE - NIFTY Index Options'!$M:$M,'NSE - NIFTY Index Options'!$C:$C,$A35,'NSE - NIFTY Index Options'!$B:$B,F$4,'NSE - NIFTY Index Options'!$I:$I,"Weekly*")+SUMIFS('NSE - NIFTY Index Options'!$M:$M,'NSE - NIFTY Index Options'!$C:$C,$A35,'NSE - NIFTY Index Options'!$B:$B,F$4,'NSE - NIFTY Index Options'!$I:$I,"MDAW*")+SUMIFS('NSE - Other Index Options'!$M:$M,'NSE - Other Index Options'!$C:$C,$A35,'NSE - Other Index Options'!$B:$B,F$4,'NSE - Other Index Options'!$I:$I,"Weekly*")+SUMIFS('NSE - Other Index Options'!$M:$M,'NSE - Other Index Options'!$C:$C,$A35,'NSE - Other Index Options'!$B:$B,F$4,'NSE - Other Index Options'!$I:$I,"MDAW*")+SUMIFS('BSE - SENSEX Index Options'!$M:$M,'BSE - SENSEX Index Options'!$C:$C,$A35,'BSE - SENSEX Index Options'!$B:$B,F$4,'BSE - SENSEX Index Options'!$I:$I,"Weekly*")+SUMIFS('BSE - SENSEX Index Options'!$M:$M,'BSE - SENSEX Index Options'!$C:$C,$A35,'BSE - SENSEX Index Options'!$B:$B,F$4,'BSE - SENSEX Index Options'!$I:$I,"MDAW*")+SUMIFS('BSE - Other Index Options'!$M:$M,'BSE - Other Index Options'!$C:$C,$A35,'BSE - Other Index Options'!$B:$B,F$4,'BSE - Other Index Options'!$I:$I,"Weekly*")+SUMIFS('BSE - Other Index Options'!$M:$M,'BSE - Other Index Options'!$C:$C,$A35,'BSE - Other Index Options'!$B:$B,F$4,'BSE - Other Index Options'!$I:$I,"MDAW*")=0,"",SUMIFS('NSE - NIFTY Index Options'!$M:$M,'NSE - NIFTY Index Options'!$C:$C,$A35,'NSE - NIFTY Index Options'!$B:$B,F$4,'NSE - NIFTY Index Options'!$I:$I,"Weekly*")+SUMIFS('NSE - NIFTY Index Options'!$M:$M,'NSE - NIFTY Index Options'!$C:$C,$A35,'NSE - NIFTY Index Options'!$B:$B,F$4,'NSE - NIFTY Index Options'!$I:$I,"MDAW*")+SUMIFS('NSE - Other Index Options'!$M:$M,'NSE - Other Index Options'!$C:$C,$A35,'NSE - Other Index Options'!$B:$B,F$4,'NSE - Other Index Options'!$I:$I,"Weekly*")+SUMIFS('NSE - Other Index Options'!$M:$M,'NSE - Other Index Options'!$C:$C,$A35,'NSE - Other Index Options'!$B:$B,F$4,'NSE - Other Index Options'!$I:$I,"MDAW*")+SUMIFS('BSE - SENSEX Index Options'!$M:$M,'BSE - SENSEX Index Options'!$C:$C,$A35,'BSE - SENSEX Index Options'!$B:$B,F$4,'BSE - SENSEX Index Options'!$I:$I,"Weekly*")+SUMIFS('BSE - SENSEX Index Options'!$M:$M,'BSE - SENSEX Index Options'!$C:$C,$A35,'BSE - SENSEX Index Options'!$B:$B,F$4,'BSE - SENSEX Index Options'!$I:$I,"MDAW*")+SUMIFS('BSE - Other Index Options'!$M:$M,'BSE - Other Index Options'!$C:$C,$A35,'BSE - Other Index Options'!$B:$B,F$4,'BSE - Other Index Options'!$I:$I,"Weekly*")+SUMIFS('BSE - Other Index Options'!$M:$M,'BSE - Other Index Options'!$C:$C,$A35,'BSE - Other Index Options'!$B:$B,F$4,'BSE - Other Index Options'!$I:$I,"MDAW*"))</f>
        <v/>
      </c>
      <c r="G35" s="26">
        <f>IF(SUMIFS('NSE - NIFTY Index Options'!$M:$M,'NSE - NIFTY Index Options'!$C:$C,$A35,'NSE - NIFTY Index Options'!$B:$B,G$4,'NSE - NIFTY Index Options'!$I:$I,"Weekly*")+SUMIFS('NSE - NIFTY Index Options'!$M:$M,'NSE - NIFTY Index Options'!$C:$C,$A35,'NSE - NIFTY Index Options'!$B:$B,G$4,'NSE - NIFTY Index Options'!$I:$I,"MDAW*")+SUMIFS('NSE - Other Index Options'!$M:$M,'NSE - Other Index Options'!$C:$C,$A35,'NSE - Other Index Options'!$B:$B,G$4,'NSE - Other Index Options'!$I:$I,"Weekly*")+SUMIFS('NSE - Other Index Options'!$M:$M,'NSE - Other Index Options'!$C:$C,$A35,'NSE - Other Index Options'!$B:$B,G$4,'NSE - Other Index Options'!$I:$I,"MDAW*")+SUMIFS('BSE - SENSEX Index Options'!$M:$M,'BSE - SENSEX Index Options'!$C:$C,$A35,'BSE - SENSEX Index Options'!$B:$B,G$4,'BSE - SENSEX Index Options'!$I:$I,"Weekly*")+SUMIFS('BSE - SENSEX Index Options'!$M:$M,'BSE - SENSEX Index Options'!$C:$C,$A35,'BSE - SENSEX Index Options'!$B:$B,G$4,'BSE - SENSEX Index Options'!$I:$I,"MDAW*")+SUMIFS('BSE - Other Index Options'!$M:$M,'BSE - Other Index Options'!$C:$C,$A35,'BSE - Other Index Options'!$B:$B,G$4,'BSE - Other Index Options'!$I:$I,"Weekly*")+SUMIFS('BSE - Other Index Options'!$M:$M,'BSE - Other Index Options'!$C:$C,$A35,'BSE - Other Index Options'!$B:$B,G$4,'BSE - Other Index Options'!$I:$I,"MDAW*")=0,"",SUMIFS('NSE - NIFTY Index Options'!$M:$M,'NSE - NIFTY Index Options'!$C:$C,$A35,'NSE - NIFTY Index Options'!$B:$B,G$4,'NSE - NIFTY Index Options'!$I:$I,"Weekly*")+SUMIFS('NSE - NIFTY Index Options'!$M:$M,'NSE - NIFTY Index Options'!$C:$C,$A35,'NSE - NIFTY Index Options'!$B:$B,G$4,'NSE - NIFTY Index Options'!$I:$I,"MDAW*")+SUMIFS('NSE - Other Index Options'!$M:$M,'NSE - Other Index Options'!$C:$C,$A35,'NSE - Other Index Options'!$B:$B,G$4,'NSE - Other Index Options'!$I:$I,"Weekly*")+SUMIFS('NSE - Other Index Options'!$M:$M,'NSE - Other Index Options'!$C:$C,$A35,'NSE - Other Index Options'!$B:$B,G$4,'NSE - Other Index Options'!$I:$I,"MDAW*")+SUMIFS('BSE - SENSEX Index Options'!$M:$M,'BSE - SENSEX Index Options'!$C:$C,$A35,'BSE - SENSEX Index Options'!$B:$B,G$4,'BSE - SENSEX Index Options'!$I:$I,"Weekly*")+SUMIFS('BSE - SENSEX Index Options'!$M:$M,'BSE - SENSEX Index Options'!$C:$C,$A35,'BSE - SENSEX Index Options'!$B:$B,G$4,'BSE - SENSEX Index Options'!$I:$I,"MDAW*")+SUMIFS('BSE - Other Index Options'!$M:$M,'BSE - Other Index Options'!$C:$C,$A35,'BSE - Other Index Options'!$B:$B,G$4,'BSE - Other Index Options'!$I:$I,"Weekly*")+SUMIFS('BSE - Other Index Options'!$M:$M,'BSE - Other Index Options'!$C:$C,$A35,'BSE - Other Index Options'!$B:$B,G$4,'BSE - Other Index Options'!$I:$I,"MDAW*"))</f>
        <v/>
      </c>
      <c r="H35" s="26">
        <f>IF(SUM(B35:G35)=0,"",SUM(B35:G35))</f>
        <v/>
      </c>
    </row>
    <row r="36">
      <c r="A36" t="inlineStr">
        <is>
          <t>Week3-Mar-2026</t>
        </is>
      </c>
      <c r="B36" s="26">
        <f>IF(SUMIFS('NSE - NIFTY Index Options'!$M:$M,'NSE - NIFTY Index Options'!$C:$C,$A36,'NSE - NIFTY Index Options'!$B:$B,B$4,'NSE - NIFTY Index Options'!$I:$I,"Weekly*")+SUMIFS('NSE - NIFTY Index Options'!$M:$M,'NSE - NIFTY Index Options'!$C:$C,$A36,'NSE - NIFTY Index Options'!$B:$B,B$4,'NSE - NIFTY Index Options'!$I:$I,"MDAW*")+SUMIFS('NSE - Other Index Options'!$M:$M,'NSE - Other Index Options'!$C:$C,$A36,'NSE - Other Index Options'!$B:$B,B$4,'NSE - Other Index Options'!$I:$I,"Weekly*")+SUMIFS('NSE - Other Index Options'!$M:$M,'NSE - Other Index Options'!$C:$C,$A36,'NSE - Other Index Options'!$B:$B,B$4,'NSE - Other Index Options'!$I:$I,"MDAW*")+SUMIFS('BSE - SENSEX Index Options'!$M:$M,'BSE - SENSEX Index Options'!$C:$C,$A36,'BSE - SENSEX Index Options'!$B:$B,B$4,'BSE - SENSEX Index Options'!$I:$I,"Weekly*")+SUMIFS('BSE - SENSEX Index Options'!$M:$M,'BSE - SENSEX Index Options'!$C:$C,$A36,'BSE - SENSEX Index Options'!$B:$B,B$4,'BSE - SENSEX Index Options'!$I:$I,"MDAW*")+SUMIFS('BSE - Other Index Options'!$M:$M,'BSE - Other Index Options'!$C:$C,$A36,'BSE - Other Index Options'!$B:$B,B$4,'BSE - Other Index Options'!$I:$I,"Weekly*")+SUMIFS('BSE - Other Index Options'!$M:$M,'BSE - Other Index Options'!$C:$C,$A36,'BSE - Other Index Options'!$B:$B,B$4,'BSE - Other Index Options'!$I:$I,"MDAW*")=0,"",SUMIFS('NSE - NIFTY Index Options'!$M:$M,'NSE - NIFTY Index Options'!$C:$C,$A36,'NSE - NIFTY Index Options'!$B:$B,B$4,'NSE - NIFTY Index Options'!$I:$I,"Weekly*")+SUMIFS('NSE - NIFTY Index Options'!$M:$M,'NSE - NIFTY Index Options'!$C:$C,$A36,'NSE - NIFTY Index Options'!$B:$B,B$4,'NSE - NIFTY Index Options'!$I:$I,"MDAW*")+SUMIFS('NSE - Other Index Options'!$M:$M,'NSE - Other Index Options'!$C:$C,$A36,'NSE - Other Index Options'!$B:$B,B$4,'NSE - Other Index Options'!$I:$I,"Weekly*")+SUMIFS('NSE - Other Index Options'!$M:$M,'NSE - Other Index Options'!$C:$C,$A36,'NSE - Other Index Options'!$B:$B,B$4,'NSE - Other Index Options'!$I:$I,"MDAW*")+SUMIFS('BSE - SENSEX Index Options'!$M:$M,'BSE - SENSEX Index Options'!$C:$C,$A36,'BSE - SENSEX Index Options'!$B:$B,B$4,'BSE - SENSEX Index Options'!$I:$I,"Weekly*")+SUMIFS('BSE - SENSEX Index Options'!$M:$M,'BSE - SENSEX Index Options'!$C:$C,$A36,'BSE - SENSEX Index Options'!$B:$B,B$4,'BSE - SENSEX Index Options'!$I:$I,"MDAW*")+SUMIFS('BSE - Other Index Options'!$M:$M,'BSE - Other Index Options'!$C:$C,$A36,'BSE - Other Index Options'!$B:$B,B$4,'BSE - Other Index Options'!$I:$I,"Weekly*")+SUMIFS('BSE - Other Index Options'!$M:$M,'BSE - Other Index Options'!$C:$C,$A36,'BSE - Other Index Options'!$B:$B,B$4,'BSE - Other Index Options'!$I:$I,"MDAW*"))</f>
        <v/>
      </c>
      <c r="C36" s="26">
        <f>IF(SUMIFS('NSE - NIFTY Index Options'!$M:$M,'NSE - NIFTY Index Options'!$C:$C,$A36,'NSE - NIFTY Index Options'!$B:$B,C$4,'NSE - NIFTY Index Options'!$I:$I,"Weekly*")+SUMIFS('NSE - NIFTY Index Options'!$M:$M,'NSE - NIFTY Index Options'!$C:$C,$A36,'NSE - NIFTY Index Options'!$B:$B,C$4,'NSE - NIFTY Index Options'!$I:$I,"MDAW*")+SUMIFS('NSE - Other Index Options'!$M:$M,'NSE - Other Index Options'!$C:$C,$A36,'NSE - Other Index Options'!$B:$B,C$4,'NSE - Other Index Options'!$I:$I,"Weekly*")+SUMIFS('NSE - Other Index Options'!$M:$M,'NSE - Other Index Options'!$C:$C,$A36,'NSE - Other Index Options'!$B:$B,C$4,'NSE - Other Index Options'!$I:$I,"MDAW*")+SUMIFS('BSE - SENSEX Index Options'!$M:$M,'BSE - SENSEX Index Options'!$C:$C,$A36,'BSE - SENSEX Index Options'!$B:$B,C$4,'BSE - SENSEX Index Options'!$I:$I,"Weekly*")+SUMIFS('BSE - SENSEX Index Options'!$M:$M,'BSE - SENSEX Index Options'!$C:$C,$A36,'BSE - SENSEX Index Options'!$B:$B,C$4,'BSE - SENSEX Index Options'!$I:$I,"MDAW*")+SUMIFS('BSE - Other Index Options'!$M:$M,'BSE - Other Index Options'!$C:$C,$A36,'BSE - Other Index Options'!$B:$B,C$4,'BSE - Other Index Options'!$I:$I,"Weekly*")+SUMIFS('BSE - Other Index Options'!$M:$M,'BSE - Other Index Options'!$C:$C,$A36,'BSE - Other Index Options'!$B:$B,C$4,'BSE - Other Index Options'!$I:$I,"MDAW*")=0,"",SUMIFS('NSE - NIFTY Index Options'!$M:$M,'NSE - NIFTY Index Options'!$C:$C,$A36,'NSE - NIFTY Index Options'!$B:$B,C$4,'NSE - NIFTY Index Options'!$I:$I,"Weekly*")+SUMIFS('NSE - NIFTY Index Options'!$M:$M,'NSE - NIFTY Index Options'!$C:$C,$A36,'NSE - NIFTY Index Options'!$B:$B,C$4,'NSE - NIFTY Index Options'!$I:$I,"MDAW*")+SUMIFS('NSE - Other Index Options'!$M:$M,'NSE - Other Index Options'!$C:$C,$A36,'NSE - Other Index Options'!$B:$B,C$4,'NSE - Other Index Options'!$I:$I,"Weekly*")+SUMIFS('NSE - Other Index Options'!$M:$M,'NSE - Other Index Options'!$C:$C,$A36,'NSE - Other Index Options'!$B:$B,C$4,'NSE - Other Index Options'!$I:$I,"MDAW*")+SUMIFS('BSE - SENSEX Index Options'!$M:$M,'BSE - SENSEX Index Options'!$C:$C,$A36,'BSE - SENSEX Index Options'!$B:$B,C$4,'BSE - SENSEX Index Options'!$I:$I,"Weekly*")+SUMIFS('BSE - SENSEX Index Options'!$M:$M,'BSE - SENSEX Index Options'!$C:$C,$A36,'BSE - SENSEX Index Options'!$B:$B,C$4,'BSE - SENSEX Index Options'!$I:$I,"MDAW*")+SUMIFS('BSE - Other Index Options'!$M:$M,'BSE - Other Index Options'!$C:$C,$A36,'BSE - Other Index Options'!$B:$B,C$4,'BSE - Other Index Options'!$I:$I,"Weekly*")+SUMIFS('BSE - Other Index Options'!$M:$M,'BSE - Other Index Options'!$C:$C,$A36,'BSE - Other Index Options'!$B:$B,C$4,'BSE - Other Index Options'!$I:$I,"MDAW*"))</f>
        <v/>
      </c>
      <c r="D36" s="26">
        <f>IF(SUMIFS('NSE - NIFTY Index Options'!$M:$M,'NSE - NIFTY Index Options'!$C:$C,$A36,'NSE - NIFTY Index Options'!$B:$B,D$4,'NSE - NIFTY Index Options'!$I:$I,"Weekly*")+SUMIFS('NSE - NIFTY Index Options'!$M:$M,'NSE - NIFTY Index Options'!$C:$C,$A36,'NSE - NIFTY Index Options'!$B:$B,D$4,'NSE - NIFTY Index Options'!$I:$I,"MDAW*")+SUMIFS('NSE - Other Index Options'!$M:$M,'NSE - Other Index Options'!$C:$C,$A36,'NSE - Other Index Options'!$B:$B,D$4,'NSE - Other Index Options'!$I:$I,"Weekly*")+SUMIFS('NSE - Other Index Options'!$M:$M,'NSE - Other Index Options'!$C:$C,$A36,'NSE - Other Index Options'!$B:$B,D$4,'NSE - Other Index Options'!$I:$I,"MDAW*")+SUMIFS('BSE - SENSEX Index Options'!$M:$M,'BSE - SENSEX Index Options'!$C:$C,$A36,'BSE - SENSEX Index Options'!$B:$B,D$4,'BSE - SENSEX Index Options'!$I:$I,"Weekly*")+SUMIFS('BSE - SENSEX Index Options'!$M:$M,'BSE - SENSEX Index Options'!$C:$C,$A36,'BSE - SENSEX Index Options'!$B:$B,D$4,'BSE - SENSEX Index Options'!$I:$I,"MDAW*")+SUMIFS('BSE - Other Index Options'!$M:$M,'BSE - Other Index Options'!$C:$C,$A36,'BSE - Other Index Options'!$B:$B,D$4,'BSE - Other Index Options'!$I:$I,"Weekly*")+SUMIFS('BSE - Other Index Options'!$M:$M,'BSE - Other Index Options'!$C:$C,$A36,'BSE - Other Index Options'!$B:$B,D$4,'BSE - Other Index Options'!$I:$I,"MDAW*")=0,"",SUMIFS('NSE - NIFTY Index Options'!$M:$M,'NSE - NIFTY Index Options'!$C:$C,$A36,'NSE - NIFTY Index Options'!$B:$B,D$4,'NSE - NIFTY Index Options'!$I:$I,"Weekly*")+SUMIFS('NSE - NIFTY Index Options'!$M:$M,'NSE - NIFTY Index Options'!$C:$C,$A36,'NSE - NIFTY Index Options'!$B:$B,D$4,'NSE - NIFTY Index Options'!$I:$I,"MDAW*")+SUMIFS('NSE - Other Index Options'!$M:$M,'NSE - Other Index Options'!$C:$C,$A36,'NSE - Other Index Options'!$B:$B,D$4,'NSE - Other Index Options'!$I:$I,"Weekly*")+SUMIFS('NSE - Other Index Options'!$M:$M,'NSE - Other Index Options'!$C:$C,$A36,'NSE - Other Index Options'!$B:$B,D$4,'NSE - Other Index Options'!$I:$I,"MDAW*")+SUMIFS('BSE - SENSEX Index Options'!$M:$M,'BSE - SENSEX Index Options'!$C:$C,$A36,'BSE - SENSEX Index Options'!$B:$B,D$4,'BSE - SENSEX Index Options'!$I:$I,"Weekly*")+SUMIFS('BSE - SENSEX Index Options'!$M:$M,'BSE - SENSEX Index Options'!$C:$C,$A36,'BSE - SENSEX Index Options'!$B:$B,D$4,'BSE - SENSEX Index Options'!$I:$I,"MDAW*")+SUMIFS('BSE - Other Index Options'!$M:$M,'BSE - Other Index Options'!$C:$C,$A36,'BSE - Other Index Options'!$B:$B,D$4,'BSE - Other Index Options'!$I:$I,"Weekly*")+SUMIFS('BSE - Other Index Options'!$M:$M,'BSE - Other Index Options'!$C:$C,$A36,'BSE - Other Index Options'!$B:$B,D$4,'BSE - Other Index Options'!$I:$I,"MDAW*"))</f>
        <v/>
      </c>
      <c r="E36" s="26">
        <f>IF(SUMIFS('NSE - NIFTY Index Options'!$M:$M,'NSE - NIFTY Index Options'!$C:$C,$A36,'NSE - NIFTY Index Options'!$B:$B,E$4,'NSE - NIFTY Index Options'!$I:$I,"Weekly*")+SUMIFS('NSE - NIFTY Index Options'!$M:$M,'NSE - NIFTY Index Options'!$C:$C,$A36,'NSE - NIFTY Index Options'!$B:$B,E$4,'NSE - NIFTY Index Options'!$I:$I,"MDAW*")+SUMIFS('NSE - Other Index Options'!$M:$M,'NSE - Other Index Options'!$C:$C,$A36,'NSE - Other Index Options'!$B:$B,E$4,'NSE - Other Index Options'!$I:$I,"Weekly*")+SUMIFS('NSE - Other Index Options'!$M:$M,'NSE - Other Index Options'!$C:$C,$A36,'NSE - Other Index Options'!$B:$B,E$4,'NSE - Other Index Options'!$I:$I,"MDAW*")+SUMIFS('BSE - SENSEX Index Options'!$M:$M,'BSE - SENSEX Index Options'!$C:$C,$A36,'BSE - SENSEX Index Options'!$B:$B,E$4,'BSE - SENSEX Index Options'!$I:$I,"Weekly*")+SUMIFS('BSE - SENSEX Index Options'!$M:$M,'BSE - SENSEX Index Options'!$C:$C,$A36,'BSE - SENSEX Index Options'!$B:$B,E$4,'BSE - SENSEX Index Options'!$I:$I,"MDAW*")+SUMIFS('BSE - Other Index Options'!$M:$M,'BSE - Other Index Options'!$C:$C,$A36,'BSE - Other Index Options'!$B:$B,E$4,'BSE - Other Index Options'!$I:$I,"Weekly*")+SUMIFS('BSE - Other Index Options'!$M:$M,'BSE - Other Index Options'!$C:$C,$A36,'BSE - Other Index Options'!$B:$B,E$4,'BSE - Other Index Options'!$I:$I,"MDAW*")=0,"",SUMIFS('NSE - NIFTY Index Options'!$M:$M,'NSE - NIFTY Index Options'!$C:$C,$A36,'NSE - NIFTY Index Options'!$B:$B,E$4,'NSE - NIFTY Index Options'!$I:$I,"Weekly*")+SUMIFS('NSE - NIFTY Index Options'!$M:$M,'NSE - NIFTY Index Options'!$C:$C,$A36,'NSE - NIFTY Index Options'!$B:$B,E$4,'NSE - NIFTY Index Options'!$I:$I,"MDAW*")+SUMIFS('NSE - Other Index Options'!$M:$M,'NSE - Other Index Options'!$C:$C,$A36,'NSE - Other Index Options'!$B:$B,E$4,'NSE - Other Index Options'!$I:$I,"Weekly*")+SUMIFS('NSE - Other Index Options'!$M:$M,'NSE - Other Index Options'!$C:$C,$A36,'NSE - Other Index Options'!$B:$B,E$4,'NSE - Other Index Options'!$I:$I,"MDAW*")+SUMIFS('BSE - SENSEX Index Options'!$M:$M,'BSE - SENSEX Index Options'!$C:$C,$A36,'BSE - SENSEX Index Options'!$B:$B,E$4,'BSE - SENSEX Index Options'!$I:$I,"Weekly*")+SUMIFS('BSE - SENSEX Index Options'!$M:$M,'BSE - SENSEX Index Options'!$C:$C,$A36,'BSE - SENSEX Index Options'!$B:$B,E$4,'BSE - SENSEX Index Options'!$I:$I,"MDAW*")+SUMIFS('BSE - Other Index Options'!$M:$M,'BSE - Other Index Options'!$C:$C,$A36,'BSE - Other Index Options'!$B:$B,E$4,'BSE - Other Index Options'!$I:$I,"Weekly*")+SUMIFS('BSE - Other Index Options'!$M:$M,'BSE - Other Index Options'!$C:$C,$A36,'BSE - Other Index Options'!$B:$B,E$4,'BSE - Other Index Options'!$I:$I,"MDAW*"))</f>
        <v/>
      </c>
      <c r="F36" s="26">
        <f>IF(SUMIFS('NSE - NIFTY Index Options'!$M:$M,'NSE - NIFTY Index Options'!$C:$C,$A36,'NSE - NIFTY Index Options'!$B:$B,F$4,'NSE - NIFTY Index Options'!$I:$I,"Weekly*")+SUMIFS('NSE - NIFTY Index Options'!$M:$M,'NSE - NIFTY Index Options'!$C:$C,$A36,'NSE - NIFTY Index Options'!$B:$B,F$4,'NSE - NIFTY Index Options'!$I:$I,"MDAW*")+SUMIFS('NSE - Other Index Options'!$M:$M,'NSE - Other Index Options'!$C:$C,$A36,'NSE - Other Index Options'!$B:$B,F$4,'NSE - Other Index Options'!$I:$I,"Weekly*")+SUMIFS('NSE - Other Index Options'!$M:$M,'NSE - Other Index Options'!$C:$C,$A36,'NSE - Other Index Options'!$B:$B,F$4,'NSE - Other Index Options'!$I:$I,"MDAW*")+SUMIFS('BSE - SENSEX Index Options'!$M:$M,'BSE - SENSEX Index Options'!$C:$C,$A36,'BSE - SENSEX Index Options'!$B:$B,F$4,'BSE - SENSEX Index Options'!$I:$I,"Weekly*")+SUMIFS('BSE - SENSEX Index Options'!$M:$M,'BSE - SENSEX Index Options'!$C:$C,$A36,'BSE - SENSEX Index Options'!$B:$B,F$4,'BSE - SENSEX Index Options'!$I:$I,"MDAW*")+SUMIFS('BSE - Other Index Options'!$M:$M,'BSE - Other Index Options'!$C:$C,$A36,'BSE - Other Index Options'!$B:$B,F$4,'BSE - Other Index Options'!$I:$I,"Weekly*")+SUMIFS('BSE - Other Index Options'!$M:$M,'BSE - Other Index Options'!$C:$C,$A36,'BSE - Other Index Options'!$B:$B,F$4,'BSE - Other Index Options'!$I:$I,"MDAW*")=0,"",SUMIFS('NSE - NIFTY Index Options'!$M:$M,'NSE - NIFTY Index Options'!$C:$C,$A36,'NSE - NIFTY Index Options'!$B:$B,F$4,'NSE - NIFTY Index Options'!$I:$I,"Weekly*")+SUMIFS('NSE - NIFTY Index Options'!$M:$M,'NSE - NIFTY Index Options'!$C:$C,$A36,'NSE - NIFTY Index Options'!$B:$B,F$4,'NSE - NIFTY Index Options'!$I:$I,"MDAW*")+SUMIFS('NSE - Other Index Options'!$M:$M,'NSE - Other Index Options'!$C:$C,$A36,'NSE - Other Index Options'!$B:$B,F$4,'NSE - Other Index Options'!$I:$I,"Weekly*")+SUMIFS('NSE - Other Index Options'!$M:$M,'NSE - Other Index Options'!$C:$C,$A36,'NSE - Other Index Options'!$B:$B,F$4,'NSE - Other Index Options'!$I:$I,"MDAW*")+SUMIFS('BSE - SENSEX Index Options'!$M:$M,'BSE - SENSEX Index Options'!$C:$C,$A36,'BSE - SENSEX Index Options'!$B:$B,F$4,'BSE - SENSEX Index Options'!$I:$I,"Weekly*")+SUMIFS('BSE - SENSEX Index Options'!$M:$M,'BSE - SENSEX Index Options'!$C:$C,$A36,'BSE - SENSEX Index Options'!$B:$B,F$4,'BSE - SENSEX Index Options'!$I:$I,"MDAW*")+SUMIFS('BSE - Other Index Options'!$M:$M,'BSE - Other Index Options'!$C:$C,$A36,'BSE - Other Index Options'!$B:$B,F$4,'BSE - Other Index Options'!$I:$I,"Weekly*")+SUMIFS('BSE - Other Index Options'!$M:$M,'BSE - Other Index Options'!$C:$C,$A36,'BSE - Other Index Options'!$B:$B,F$4,'BSE - Other Index Options'!$I:$I,"MDAW*"))</f>
        <v/>
      </c>
      <c r="G36" s="26">
        <f>IF(SUMIFS('NSE - NIFTY Index Options'!$M:$M,'NSE - NIFTY Index Options'!$C:$C,$A36,'NSE - NIFTY Index Options'!$B:$B,G$4,'NSE - NIFTY Index Options'!$I:$I,"Weekly*")+SUMIFS('NSE - NIFTY Index Options'!$M:$M,'NSE - NIFTY Index Options'!$C:$C,$A36,'NSE - NIFTY Index Options'!$B:$B,G$4,'NSE - NIFTY Index Options'!$I:$I,"MDAW*")+SUMIFS('NSE - Other Index Options'!$M:$M,'NSE - Other Index Options'!$C:$C,$A36,'NSE - Other Index Options'!$B:$B,G$4,'NSE - Other Index Options'!$I:$I,"Weekly*")+SUMIFS('NSE - Other Index Options'!$M:$M,'NSE - Other Index Options'!$C:$C,$A36,'NSE - Other Index Options'!$B:$B,G$4,'NSE - Other Index Options'!$I:$I,"MDAW*")+SUMIFS('BSE - SENSEX Index Options'!$M:$M,'BSE - SENSEX Index Options'!$C:$C,$A36,'BSE - SENSEX Index Options'!$B:$B,G$4,'BSE - SENSEX Index Options'!$I:$I,"Weekly*")+SUMIFS('BSE - SENSEX Index Options'!$M:$M,'BSE - SENSEX Index Options'!$C:$C,$A36,'BSE - SENSEX Index Options'!$B:$B,G$4,'BSE - SENSEX Index Options'!$I:$I,"MDAW*")+SUMIFS('BSE - Other Index Options'!$M:$M,'BSE - Other Index Options'!$C:$C,$A36,'BSE - Other Index Options'!$B:$B,G$4,'BSE - Other Index Options'!$I:$I,"Weekly*")+SUMIFS('BSE - Other Index Options'!$M:$M,'BSE - Other Index Options'!$C:$C,$A36,'BSE - Other Index Options'!$B:$B,G$4,'BSE - Other Index Options'!$I:$I,"MDAW*")=0,"",SUMIFS('NSE - NIFTY Index Options'!$M:$M,'NSE - NIFTY Index Options'!$C:$C,$A36,'NSE - NIFTY Index Options'!$B:$B,G$4,'NSE - NIFTY Index Options'!$I:$I,"Weekly*")+SUMIFS('NSE - NIFTY Index Options'!$M:$M,'NSE - NIFTY Index Options'!$C:$C,$A36,'NSE - NIFTY Index Options'!$B:$B,G$4,'NSE - NIFTY Index Options'!$I:$I,"MDAW*")+SUMIFS('NSE - Other Index Options'!$M:$M,'NSE - Other Index Options'!$C:$C,$A36,'NSE - Other Index Options'!$B:$B,G$4,'NSE - Other Index Options'!$I:$I,"Weekly*")+SUMIFS('NSE - Other Index Options'!$M:$M,'NSE - Other Index Options'!$C:$C,$A36,'NSE - Other Index Options'!$B:$B,G$4,'NSE - Other Index Options'!$I:$I,"MDAW*")+SUMIFS('BSE - SENSEX Index Options'!$M:$M,'BSE - SENSEX Index Options'!$C:$C,$A36,'BSE - SENSEX Index Options'!$B:$B,G$4,'BSE - SENSEX Index Options'!$I:$I,"Weekly*")+SUMIFS('BSE - SENSEX Index Options'!$M:$M,'BSE - SENSEX Index Options'!$C:$C,$A36,'BSE - SENSEX Index Options'!$B:$B,G$4,'BSE - SENSEX Index Options'!$I:$I,"MDAW*")+SUMIFS('BSE - Other Index Options'!$M:$M,'BSE - Other Index Options'!$C:$C,$A36,'BSE - Other Index Options'!$B:$B,G$4,'BSE - Other Index Options'!$I:$I,"Weekly*")+SUMIFS('BSE - Other Index Options'!$M:$M,'BSE - Other Index Options'!$C:$C,$A36,'BSE - Other Index Options'!$B:$B,G$4,'BSE - Other Index Options'!$I:$I,"MDAW*"))</f>
        <v/>
      </c>
      <c r="H36" s="26">
        <f>IF(SUM(B36:G36)=0,"",SUM(B36:G36))</f>
        <v/>
      </c>
    </row>
    <row r="37">
      <c r="A37" t="inlineStr">
        <is>
          <t>Week4-Mar-2026</t>
        </is>
      </c>
      <c r="B37" s="26">
        <f>IF(SUMIFS('NSE - NIFTY Index Options'!$M:$M,'NSE - NIFTY Index Options'!$C:$C,$A37,'NSE - NIFTY Index Options'!$B:$B,B$4,'NSE - NIFTY Index Options'!$I:$I,"Weekly*")+SUMIFS('NSE - NIFTY Index Options'!$M:$M,'NSE - NIFTY Index Options'!$C:$C,$A37,'NSE - NIFTY Index Options'!$B:$B,B$4,'NSE - NIFTY Index Options'!$I:$I,"MDAW*")+SUMIFS('NSE - Other Index Options'!$M:$M,'NSE - Other Index Options'!$C:$C,$A37,'NSE - Other Index Options'!$B:$B,B$4,'NSE - Other Index Options'!$I:$I,"Weekly*")+SUMIFS('NSE - Other Index Options'!$M:$M,'NSE - Other Index Options'!$C:$C,$A37,'NSE - Other Index Options'!$B:$B,B$4,'NSE - Other Index Options'!$I:$I,"MDAW*")+SUMIFS('BSE - SENSEX Index Options'!$M:$M,'BSE - SENSEX Index Options'!$C:$C,$A37,'BSE - SENSEX Index Options'!$B:$B,B$4,'BSE - SENSEX Index Options'!$I:$I,"Weekly*")+SUMIFS('BSE - SENSEX Index Options'!$M:$M,'BSE - SENSEX Index Options'!$C:$C,$A37,'BSE - SENSEX Index Options'!$B:$B,B$4,'BSE - SENSEX Index Options'!$I:$I,"MDAW*")+SUMIFS('BSE - Other Index Options'!$M:$M,'BSE - Other Index Options'!$C:$C,$A37,'BSE - Other Index Options'!$B:$B,B$4,'BSE - Other Index Options'!$I:$I,"Weekly*")+SUMIFS('BSE - Other Index Options'!$M:$M,'BSE - Other Index Options'!$C:$C,$A37,'BSE - Other Index Options'!$B:$B,B$4,'BSE - Other Index Options'!$I:$I,"MDAW*")=0,"",SUMIFS('NSE - NIFTY Index Options'!$M:$M,'NSE - NIFTY Index Options'!$C:$C,$A37,'NSE - NIFTY Index Options'!$B:$B,B$4,'NSE - NIFTY Index Options'!$I:$I,"Weekly*")+SUMIFS('NSE - NIFTY Index Options'!$M:$M,'NSE - NIFTY Index Options'!$C:$C,$A37,'NSE - NIFTY Index Options'!$B:$B,B$4,'NSE - NIFTY Index Options'!$I:$I,"MDAW*")+SUMIFS('NSE - Other Index Options'!$M:$M,'NSE - Other Index Options'!$C:$C,$A37,'NSE - Other Index Options'!$B:$B,B$4,'NSE - Other Index Options'!$I:$I,"Weekly*")+SUMIFS('NSE - Other Index Options'!$M:$M,'NSE - Other Index Options'!$C:$C,$A37,'NSE - Other Index Options'!$B:$B,B$4,'NSE - Other Index Options'!$I:$I,"MDAW*")+SUMIFS('BSE - SENSEX Index Options'!$M:$M,'BSE - SENSEX Index Options'!$C:$C,$A37,'BSE - SENSEX Index Options'!$B:$B,B$4,'BSE - SENSEX Index Options'!$I:$I,"Weekly*")+SUMIFS('BSE - SENSEX Index Options'!$M:$M,'BSE - SENSEX Index Options'!$C:$C,$A37,'BSE - SENSEX Index Options'!$B:$B,B$4,'BSE - SENSEX Index Options'!$I:$I,"MDAW*")+SUMIFS('BSE - Other Index Options'!$M:$M,'BSE - Other Index Options'!$C:$C,$A37,'BSE - Other Index Options'!$B:$B,B$4,'BSE - Other Index Options'!$I:$I,"Weekly*")+SUMIFS('BSE - Other Index Options'!$M:$M,'BSE - Other Index Options'!$C:$C,$A37,'BSE - Other Index Options'!$B:$B,B$4,'BSE - Other Index Options'!$I:$I,"MDAW*"))</f>
        <v/>
      </c>
      <c r="C37" s="26">
        <f>IF(SUMIFS('NSE - NIFTY Index Options'!$M:$M,'NSE - NIFTY Index Options'!$C:$C,$A37,'NSE - NIFTY Index Options'!$B:$B,C$4,'NSE - NIFTY Index Options'!$I:$I,"Weekly*")+SUMIFS('NSE - NIFTY Index Options'!$M:$M,'NSE - NIFTY Index Options'!$C:$C,$A37,'NSE - NIFTY Index Options'!$B:$B,C$4,'NSE - NIFTY Index Options'!$I:$I,"MDAW*")+SUMIFS('NSE - Other Index Options'!$M:$M,'NSE - Other Index Options'!$C:$C,$A37,'NSE - Other Index Options'!$B:$B,C$4,'NSE - Other Index Options'!$I:$I,"Weekly*")+SUMIFS('NSE - Other Index Options'!$M:$M,'NSE - Other Index Options'!$C:$C,$A37,'NSE - Other Index Options'!$B:$B,C$4,'NSE - Other Index Options'!$I:$I,"MDAW*")+SUMIFS('BSE - SENSEX Index Options'!$M:$M,'BSE - SENSEX Index Options'!$C:$C,$A37,'BSE - SENSEX Index Options'!$B:$B,C$4,'BSE - SENSEX Index Options'!$I:$I,"Weekly*")+SUMIFS('BSE - SENSEX Index Options'!$M:$M,'BSE - SENSEX Index Options'!$C:$C,$A37,'BSE - SENSEX Index Options'!$B:$B,C$4,'BSE - SENSEX Index Options'!$I:$I,"MDAW*")+SUMIFS('BSE - Other Index Options'!$M:$M,'BSE - Other Index Options'!$C:$C,$A37,'BSE - Other Index Options'!$B:$B,C$4,'BSE - Other Index Options'!$I:$I,"Weekly*")+SUMIFS('BSE - Other Index Options'!$M:$M,'BSE - Other Index Options'!$C:$C,$A37,'BSE - Other Index Options'!$B:$B,C$4,'BSE - Other Index Options'!$I:$I,"MDAW*")=0,"",SUMIFS('NSE - NIFTY Index Options'!$M:$M,'NSE - NIFTY Index Options'!$C:$C,$A37,'NSE - NIFTY Index Options'!$B:$B,C$4,'NSE - NIFTY Index Options'!$I:$I,"Weekly*")+SUMIFS('NSE - NIFTY Index Options'!$M:$M,'NSE - NIFTY Index Options'!$C:$C,$A37,'NSE - NIFTY Index Options'!$B:$B,C$4,'NSE - NIFTY Index Options'!$I:$I,"MDAW*")+SUMIFS('NSE - Other Index Options'!$M:$M,'NSE - Other Index Options'!$C:$C,$A37,'NSE - Other Index Options'!$B:$B,C$4,'NSE - Other Index Options'!$I:$I,"Weekly*")+SUMIFS('NSE - Other Index Options'!$M:$M,'NSE - Other Index Options'!$C:$C,$A37,'NSE - Other Index Options'!$B:$B,C$4,'NSE - Other Index Options'!$I:$I,"MDAW*")+SUMIFS('BSE - SENSEX Index Options'!$M:$M,'BSE - SENSEX Index Options'!$C:$C,$A37,'BSE - SENSEX Index Options'!$B:$B,C$4,'BSE - SENSEX Index Options'!$I:$I,"Weekly*")+SUMIFS('BSE - SENSEX Index Options'!$M:$M,'BSE - SENSEX Index Options'!$C:$C,$A37,'BSE - SENSEX Index Options'!$B:$B,C$4,'BSE - SENSEX Index Options'!$I:$I,"MDAW*")+SUMIFS('BSE - Other Index Options'!$M:$M,'BSE - Other Index Options'!$C:$C,$A37,'BSE - Other Index Options'!$B:$B,C$4,'BSE - Other Index Options'!$I:$I,"Weekly*")+SUMIFS('BSE - Other Index Options'!$M:$M,'BSE - Other Index Options'!$C:$C,$A37,'BSE - Other Index Options'!$B:$B,C$4,'BSE - Other Index Options'!$I:$I,"MDAW*"))</f>
        <v/>
      </c>
      <c r="D37" s="26">
        <f>IF(SUMIFS('NSE - NIFTY Index Options'!$M:$M,'NSE - NIFTY Index Options'!$C:$C,$A37,'NSE - NIFTY Index Options'!$B:$B,D$4,'NSE - NIFTY Index Options'!$I:$I,"Weekly*")+SUMIFS('NSE - NIFTY Index Options'!$M:$M,'NSE - NIFTY Index Options'!$C:$C,$A37,'NSE - NIFTY Index Options'!$B:$B,D$4,'NSE - NIFTY Index Options'!$I:$I,"MDAW*")+SUMIFS('NSE - Other Index Options'!$M:$M,'NSE - Other Index Options'!$C:$C,$A37,'NSE - Other Index Options'!$B:$B,D$4,'NSE - Other Index Options'!$I:$I,"Weekly*")+SUMIFS('NSE - Other Index Options'!$M:$M,'NSE - Other Index Options'!$C:$C,$A37,'NSE - Other Index Options'!$B:$B,D$4,'NSE - Other Index Options'!$I:$I,"MDAW*")+SUMIFS('BSE - SENSEX Index Options'!$M:$M,'BSE - SENSEX Index Options'!$C:$C,$A37,'BSE - SENSEX Index Options'!$B:$B,D$4,'BSE - SENSEX Index Options'!$I:$I,"Weekly*")+SUMIFS('BSE - SENSEX Index Options'!$M:$M,'BSE - SENSEX Index Options'!$C:$C,$A37,'BSE - SENSEX Index Options'!$B:$B,D$4,'BSE - SENSEX Index Options'!$I:$I,"MDAW*")+SUMIFS('BSE - Other Index Options'!$M:$M,'BSE - Other Index Options'!$C:$C,$A37,'BSE - Other Index Options'!$B:$B,D$4,'BSE - Other Index Options'!$I:$I,"Weekly*")+SUMIFS('BSE - Other Index Options'!$M:$M,'BSE - Other Index Options'!$C:$C,$A37,'BSE - Other Index Options'!$B:$B,D$4,'BSE - Other Index Options'!$I:$I,"MDAW*")=0,"",SUMIFS('NSE - NIFTY Index Options'!$M:$M,'NSE - NIFTY Index Options'!$C:$C,$A37,'NSE - NIFTY Index Options'!$B:$B,D$4,'NSE - NIFTY Index Options'!$I:$I,"Weekly*")+SUMIFS('NSE - NIFTY Index Options'!$M:$M,'NSE - NIFTY Index Options'!$C:$C,$A37,'NSE - NIFTY Index Options'!$B:$B,D$4,'NSE - NIFTY Index Options'!$I:$I,"MDAW*")+SUMIFS('NSE - Other Index Options'!$M:$M,'NSE - Other Index Options'!$C:$C,$A37,'NSE - Other Index Options'!$B:$B,D$4,'NSE - Other Index Options'!$I:$I,"Weekly*")+SUMIFS('NSE - Other Index Options'!$M:$M,'NSE - Other Index Options'!$C:$C,$A37,'NSE - Other Index Options'!$B:$B,D$4,'NSE - Other Index Options'!$I:$I,"MDAW*")+SUMIFS('BSE - SENSEX Index Options'!$M:$M,'BSE - SENSEX Index Options'!$C:$C,$A37,'BSE - SENSEX Index Options'!$B:$B,D$4,'BSE - SENSEX Index Options'!$I:$I,"Weekly*")+SUMIFS('BSE - SENSEX Index Options'!$M:$M,'BSE - SENSEX Index Options'!$C:$C,$A37,'BSE - SENSEX Index Options'!$B:$B,D$4,'BSE - SENSEX Index Options'!$I:$I,"MDAW*")+SUMIFS('BSE - Other Index Options'!$M:$M,'BSE - Other Index Options'!$C:$C,$A37,'BSE - Other Index Options'!$B:$B,D$4,'BSE - Other Index Options'!$I:$I,"Weekly*")+SUMIFS('BSE - Other Index Options'!$M:$M,'BSE - Other Index Options'!$C:$C,$A37,'BSE - Other Index Options'!$B:$B,D$4,'BSE - Other Index Options'!$I:$I,"MDAW*"))</f>
        <v/>
      </c>
      <c r="E37" s="26">
        <f>IF(SUMIFS('NSE - NIFTY Index Options'!$M:$M,'NSE - NIFTY Index Options'!$C:$C,$A37,'NSE - NIFTY Index Options'!$B:$B,E$4,'NSE - NIFTY Index Options'!$I:$I,"Weekly*")+SUMIFS('NSE - NIFTY Index Options'!$M:$M,'NSE - NIFTY Index Options'!$C:$C,$A37,'NSE - NIFTY Index Options'!$B:$B,E$4,'NSE - NIFTY Index Options'!$I:$I,"MDAW*")+SUMIFS('NSE - Other Index Options'!$M:$M,'NSE - Other Index Options'!$C:$C,$A37,'NSE - Other Index Options'!$B:$B,E$4,'NSE - Other Index Options'!$I:$I,"Weekly*")+SUMIFS('NSE - Other Index Options'!$M:$M,'NSE - Other Index Options'!$C:$C,$A37,'NSE - Other Index Options'!$B:$B,E$4,'NSE - Other Index Options'!$I:$I,"MDAW*")+SUMIFS('BSE - SENSEX Index Options'!$M:$M,'BSE - SENSEX Index Options'!$C:$C,$A37,'BSE - SENSEX Index Options'!$B:$B,E$4,'BSE - SENSEX Index Options'!$I:$I,"Weekly*")+SUMIFS('BSE - SENSEX Index Options'!$M:$M,'BSE - SENSEX Index Options'!$C:$C,$A37,'BSE - SENSEX Index Options'!$B:$B,E$4,'BSE - SENSEX Index Options'!$I:$I,"MDAW*")+SUMIFS('BSE - Other Index Options'!$M:$M,'BSE - Other Index Options'!$C:$C,$A37,'BSE - Other Index Options'!$B:$B,E$4,'BSE - Other Index Options'!$I:$I,"Weekly*")+SUMIFS('BSE - Other Index Options'!$M:$M,'BSE - Other Index Options'!$C:$C,$A37,'BSE - Other Index Options'!$B:$B,E$4,'BSE - Other Index Options'!$I:$I,"MDAW*")=0,"",SUMIFS('NSE - NIFTY Index Options'!$M:$M,'NSE - NIFTY Index Options'!$C:$C,$A37,'NSE - NIFTY Index Options'!$B:$B,E$4,'NSE - NIFTY Index Options'!$I:$I,"Weekly*")+SUMIFS('NSE - NIFTY Index Options'!$M:$M,'NSE - NIFTY Index Options'!$C:$C,$A37,'NSE - NIFTY Index Options'!$B:$B,E$4,'NSE - NIFTY Index Options'!$I:$I,"MDAW*")+SUMIFS('NSE - Other Index Options'!$M:$M,'NSE - Other Index Options'!$C:$C,$A37,'NSE - Other Index Options'!$B:$B,E$4,'NSE - Other Index Options'!$I:$I,"Weekly*")+SUMIFS('NSE - Other Index Options'!$M:$M,'NSE - Other Index Options'!$C:$C,$A37,'NSE - Other Index Options'!$B:$B,E$4,'NSE - Other Index Options'!$I:$I,"MDAW*")+SUMIFS('BSE - SENSEX Index Options'!$M:$M,'BSE - SENSEX Index Options'!$C:$C,$A37,'BSE - SENSEX Index Options'!$B:$B,E$4,'BSE - SENSEX Index Options'!$I:$I,"Weekly*")+SUMIFS('BSE - SENSEX Index Options'!$M:$M,'BSE - SENSEX Index Options'!$C:$C,$A37,'BSE - SENSEX Index Options'!$B:$B,E$4,'BSE - SENSEX Index Options'!$I:$I,"MDAW*")+SUMIFS('BSE - Other Index Options'!$M:$M,'BSE - Other Index Options'!$C:$C,$A37,'BSE - Other Index Options'!$B:$B,E$4,'BSE - Other Index Options'!$I:$I,"Weekly*")+SUMIFS('BSE - Other Index Options'!$M:$M,'BSE - Other Index Options'!$C:$C,$A37,'BSE - Other Index Options'!$B:$B,E$4,'BSE - Other Index Options'!$I:$I,"MDAW*"))</f>
        <v/>
      </c>
      <c r="F37" s="26">
        <f>IF(SUMIFS('NSE - NIFTY Index Options'!$M:$M,'NSE - NIFTY Index Options'!$C:$C,$A37,'NSE - NIFTY Index Options'!$B:$B,F$4,'NSE - NIFTY Index Options'!$I:$I,"Weekly*")+SUMIFS('NSE - NIFTY Index Options'!$M:$M,'NSE - NIFTY Index Options'!$C:$C,$A37,'NSE - NIFTY Index Options'!$B:$B,F$4,'NSE - NIFTY Index Options'!$I:$I,"MDAW*")+SUMIFS('NSE - Other Index Options'!$M:$M,'NSE - Other Index Options'!$C:$C,$A37,'NSE - Other Index Options'!$B:$B,F$4,'NSE - Other Index Options'!$I:$I,"Weekly*")+SUMIFS('NSE - Other Index Options'!$M:$M,'NSE - Other Index Options'!$C:$C,$A37,'NSE - Other Index Options'!$B:$B,F$4,'NSE - Other Index Options'!$I:$I,"MDAW*")+SUMIFS('BSE - SENSEX Index Options'!$M:$M,'BSE - SENSEX Index Options'!$C:$C,$A37,'BSE - SENSEX Index Options'!$B:$B,F$4,'BSE - SENSEX Index Options'!$I:$I,"Weekly*")+SUMIFS('BSE - SENSEX Index Options'!$M:$M,'BSE - SENSEX Index Options'!$C:$C,$A37,'BSE - SENSEX Index Options'!$B:$B,F$4,'BSE - SENSEX Index Options'!$I:$I,"MDAW*")+SUMIFS('BSE - Other Index Options'!$M:$M,'BSE - Other Index Options'!$C:$C,$A37,'BSE - Other Index Options'!$B:$B,F$4,'BSE - Other Index Options'!$I:$I,"Weekly*")+SUMIFS('BSE - Other Index Options'!$M:$M,'BSE - Other Index Options'!$C:$C,$A37,'BSE - Other Index Options'!$B:$B,F$4,'BSE - Other Index Options'!$I:$I,"MDAW*")=0,"",SUMIFS('NSE - NIFTY Index Options'!$M:$M,'NSE - NIFTY Index Options'!$C:$C,$A37,'NSE - NIFTY Index Options'!$B:$B,F$4,'NSE - NIFTY Index Options'!$I:$I,"Weekly*")+SUMIFS('NSE - NIFTY Index Options'!$M:$M,'NSE - NIFTY Index Options'!$C:$C,$A37,'NSE - NIFTY Index Options'!$B:$B,F$4,'NSE - NIFTY Index Options'!$I:$I,"MDAW*")+SUMIFS('NSE - Other Index Options'!$M:$M,'NSE - Other Index Options'!$C:$C,$A37,'NSE - Other Index Options'!$B:$B,F$4,'NSE - Other Index Options'!$I:$I,"Weekly*")+SUMIFS('NSE - Other Index Options'!$M:$M,'NSE - Other Index Options'!$C:$C,$A37,'NSE - Other Index Options'!$B:$B,F$4,'NSE - Other Index Options'!$I:$I,"MDAW*")+SUMIFS('BSE - SENSEX Index Options'!$M:$M,'BSE - SENSEX Index Options'!$C:$C,$A37,'BSE - SENSEX Index Options'!$B:$B,F$4,'BSE - SENSEX Index Options'!$I:$I,"Weekly*")+SUMIFS('BSE - SENSEX Index Options'!$M:$M,'BSE - SENSEX Index Options'!$C:$C,$A37,'BSE - SENSEX Index Options'!$B:$B,F$4,'BSE - SENSEX Index Options'!$I:$I,"MDAW*")+SUMIFS('BSE - Other Index Options'!$M:$M,'BSE - Other Index Options'!$C:$C,$A37,'BSE - Other Index Options'!$B:$B,F$4,'BSE - Other Index Options'!$I:$I,"Weekly*")+SUMIFS('BSE - Other Index Options'!$M:$M,'BSE - Other Index Options'!$C:$C,$A37,'BSE - Other Index Options'!$B:$B,F$4,'BSE - Other Index Options'!$I:$I,"MDAW*"))</f>
        <v/>
      </c>
      <c r="G37" s="26">
        <f>IF(SUMIFS('NSE - NIFTY Index Options'!$M:$M,'NSE - NIFTY Index Options'!$C:$C,$A37,'NSE - NIFTY Index Options'!$B:$B,G$4,'NSE - NIFTY Index Options'!$I:$I,"Weekly*")+SUMIFS('NSE - NIFTY Index Options'!$M:$M,'NSE - NIFTY Index Options'!$C:$C,$A37,'NSE - NIFTY Index Options'!$B:$B,G$4,'NSE - NIFTY Index Options'!$I:$I,"MDAW*")+SUMIFS('NSE - Other Index Options'!$M:$M,'NSE - Other Index Options'!$C:$C,$A37,'NSE - Other Index Options'!$B:$B,G$4,'NSE - Other Index Options'!$I:$I,"Weekly*")+SUMIFS('NSE - Other Index Options'!$M:$M,'NSE - Other Index Options'!$C:$C,$A37,'NSE - Other Index Options'!$B:$B,G$4,'NSE - Other Index Options'!$I:$I,"MDAW*")+SUMIFS('BSE - SENSEX Index Options'!$M:$M,'BSE - SENSEX Index Options'!$C:$C,$A37,'BSE - SENSEX Index Options'!$B:$B,G$4,'BSE - SENSEX Index Options'!$I:$I,"Weekly*")+SUMIFS('BSE - SENSEX Index Options'!$M:$M,'BSE - SENSEX Index Options'!$C:$C,$A37,'BSE - SENSEX Index Options'!$B:$B,G$4,'BSE - SENSEX Index Options'!$I:$I,"MDAW*")+SUMIFS('BSE - Other Index Options'!$M:$M,'BSE - Other Index Options'!$C:$C,$A37,'BSE - Other Index Options'!$B:$B,G$4,'BSE - Other Index Options'!$I:$I,"Weekly*")+SUMIFS('BSE - Other Index Options'!$M:$M,'BSE - Other Index Options'!$C:$C,$A37,'BSE - Other Index Options'!$B:$B,G$4,'BSE - Other Index Options'!$I:$I,"MDAW*")=0,"",SUMIFS('NSE - NIFTY Index Options'!$M:$M,'NSE - NIFTY Index Options'!$C:$C,$A37,'NSE - NIFTY Index Options'!$B:$B,G$4,'NSE - NIFTY Index Options'!$I:$I,"Weekly*")+SUMIFS('NSE - NIFTY Index Options'!$M:$M,'NSE - NIFTY Index Options'!$C:$C,$A37,'NSE - NIFTY Index Options'!$B:$B,G$4,'NSE - NIFTY Index Options'!$I:$I,"MDAW*")+SUMIFS('NSE - Other Index Options'!$M:$M,'NSE - Other Index Options'!$C:$C,$A37,'NSE - Other Index Options'!$B:$B,G$4,'NSE - Other Index Options'!$I:$I,"Weekly*")+SUMIFS('NSE - Other Index Options'!$M:$M,'NSE - Other Index Options'!$C:$C,$A37,'NSE - Other Index Options'!$B:$B,G$4,'NSE - Other Index Options'!$I:$I,"MDAW*")+SUMIFS('BSE - SENSEX Index Options'!$M:$M,'BSE - SENSEX Index Options'!$C:$C,$A37,'BSE - SENSEX Index Options'!$B:$B,G$4,'BSE - SENSEX Index Options'!$I:$I,"Weekly*")+SUMIFS('BSE - SENSEX Index Options'!$M:$M,'BSE - SENSEX Index Options'!$C:$C,$A37,'BSE - SENSEX Index Options'!$B:$B,G$4,'BSE - SENSEX Index Options'!$I:$I,"MDAW*")+SUMIFS('BSE - Other Index Options'!$M:$M,'BSE - Other Index Options'!$C:$C,$A37,'BSE - Other Index Options'!$B:$B,G$4,'BSE - Other Index Options'!$I:$I,"Weekly*")+SUMIFS('BSE - Other Index Options'!$M:$M,'BSE - Other Index Options'!$C:$C,$A37,'BSE - Other Index Options'!$B:$B,G$4,'BSE - Other Index Options'!$I:$I,"MDAW*"))</f>
        <v/>
      </c>
      <c r="H37" s="26">
        <f>IF(SUM(B37:G37)=0,"",SUM(B37:G37))</f>
        <v/>
      </c>
    </row>
    <row r="38">
      <c r="A38" t="inlineStr">
        <is>
          <t>Week5-Mar-2026</t>
        </is>
      </c>
      <c r="B38" s="26">
        <f>IF(SUMIFS('NSE - NIFTY Index Options'!$M:$M,'NSE - NIFTY Index Options'!$C:$C,$A38,'NSE - NIFTY Index Options'!$B:$B,B$4,'NSE - NIFTY Index Options'!$I:$I,"Weekly*")+SUMIFS('NSE - NIFTY Index Options'!$M:$M,'NSE - NIFTY Index Options'!$C:$C,$A38,'NSE - NIFTY Index Options'!$B:$B,B$4,'NSE - NIFTY Index Options'!$I:$I,"MDAW*")+SUMIFS('NSE - Other Index Options'!$M:$M,'NSE - Other Index Options'!$C:$C,$A38,'NSE - Other Index Options'!$B:$B,B$4,'NSE - Other Index Options'!$I:$I,"Weekly*")+SUMIFS('NSE - Other Index Options'!$M:$M,'NSE - Other Index Options'!$C:$C,$A38,'NSE - Other Index Options'!$B:$B,B$4,'NSE - Other Index Options'!$I:$I,"MDAW*")+SUMIFS('BSE - SENSEX Index Options'!$M:$M,'BSE - SENSEX Index Options'!$C:$C,$A38,'BSE - SENSEX Index Options'!$B:$B,B$4,'BSE - SENSEX Index Options'!$I:$I,"Weekly*")+SUMIFS('BSE - SENSEX Index Options'!$M:$M,'BSE - SENSEX Index Options'!$C:$C,$A38,'BSE - SENSEX Index Options'!$B:$B,B$4,'BSE - SENSEX Index Options'!$I:$I,"MDAW*")+SUMIFS('BSE - Other Index Options'!$M:$M,'BSE - Other Index Options'!$C:$C,$A38,'BSE - Other Index Options'!$B:$B,B$4,'BSE - Other Index Options'!$I:$I,"Weekly*")+SUMIFS('BSE - Other Index Options'!$M:$M,'BSE - Other Index Options'!$C:$C,$A38,'BSE - Other Index Options'!$B:$B,B$4,'BSE - Other Index Options'!$I:$I,"MDAW*")=0,"",SUMIFS('NSE - NIFTY Index Options'!$M:$M,'NSE - NIFTY Index Options'!$C:$C,$A38,'NSE - NIFTY Index Options'!$B:$B,B$4,'NSE - NIFTY Index Options'!$I:$I,"Weekly*")+SUMIFS('NSE - NIFTY Index Options'!$M:$M,'NSE - NIFTY Index Options'!$C:$C,$A38,'NSE - NIFTY Index Options'!$B:$B,B$4,'NSE - NIFTY Index Options'!$I:$I,"MDAW*")+SUMIFS('NSE - Other Index Options'!$M:$M,'NSE - Other Index Options'!$C:$C,$A38,'NSE - Other Index Options'!$B:$B,B$4,'NSE - Other Index Options'!$I:$I,"Weekly*")+SUMIFS('NSE - Other Index Options'!$M:$M,'NSE - Other Index Options'!$C:$C,$A38,'NSE - Other Index Options'!$B:$B,B$4,'NSE - Other Index Options'!$I:$I,"MDAW*")+SUMIFS('BSE - SENSEX Index Options'!$M:$M,'BSE - SENSEX Index Options'!$C:$C,$A38,'BSE - SENSEX Index Options'!$B:$B,B$4,'BSE - SENSEX Index Options'!$I:$I,"Weekly*")+SUMIFS('BSE - SENSEX Index Options'!$M:$M,'BSE - SENSEX Index Options'!$C:$C,$A38,'BSE - SENSEX Index Options'!$B:$B,B$4,'BSE - SENSEX Index Options'!$I:$I,"MDAW*")+SUMIFS('BSE - Other Index Options'!$M:$M,'BSE - Other Index Options'!$C:$C,$A38,'BSE - Other Index Options'!$B:$B,B$4,'BSE - Other Index Options'!$I:$I,"Weekly*")+SUMIFS('BSE - Other Index Options'!$M:$M,'BSE - Other Index Options'!$C:$C,$A38,'BSE - Other Index Options'!$B:$B,B$4,'BSE - Other Index Options'!$I:$I,"MDAW*"))</f>
        <v/>
      </c>
      <c r="C38" s="26">
        <f>IF(SUMIFS('NSE - NIFTY Index Options'!$M:$M,'NSE - NIFTY Index Options'!$C:$C,$A38,'NSE - NIFTY Index Options'!$B:$B,C$4,'NSE - NIFTY Index Options'!$I:$I,"Weekly*")+SUMIFS('NSE - NIFTY Index Options'!$M:$M,'NSE - NIFTY Index Options'!$C:$C,$A38,'NSE - NIFTY Index Options'!$B:$B,C$4,'NSE - NIFTY Index Options'!$I:$I,"MDAW*")+SUMIFS('NSE - Other Index Options'!$M:$M,'NSE - Other Index Options'!$C:$C,$A38,'NSE - Other Index Options'!$B:$B,C$4,'NSE - Other Index Options'!$I:$I,"Weekly*")+SUMIFS('NSE - Other Index Options'!$M:$M,'NSE - Other Index Options'!$C:$C,$A38,'NSE - Other Index Options'!$B:$B,C$4,'NSE - Other Index Options'!$I:$I,"MDAW*")+SUMIFS('BSE - SENSEX Index Options'!$M:$M,'BSE - SENSEX Index Options'!$C:$C,$A38,'BSE - SENSEX Index Options'!$B:$B,C$4,'BSE - SENSEX Index Options'!$I:$I,"Weekly*")+SUMIFS('BSE - SENSEX Index Options'!$M:$M,'BSE - SENSEX Index Options'!$C:$C,$A38,'BSE - SENSEX Index Options'!$B:$B,C$4,'BSE - SENSEX Index Options'!$I:$I,"MDAW*")+SUMIFS('BSE - Other Index Options'!$M:$M,'BSE - Other Index Options'!$C:$C,$A38,'BSE - Other Index Options'!$B:$B,C$4,'BSE - Other Index Options'!$I:$I,"Weekly*")+SUMIFS('BSE - Other Index Options'!$M:$M,'BSE - Other Index Options'!$C:$C,$A38,'BSE - Other Index Options'!$B:$B,C$4,'BSE - Other Index Options'!$I:$I,"MDAW*")=0,"",SUMIFS('NSE - NIFTY Index Options'!$M:$M,'NSE - NIFTY Index Options'!$C:$C,$A38,'NSE - NIFTY Index Options'!$B:$B,C$4,'NSE - NIFTY Index Options'!$I:$I,"Weekly*")+SUMIFS('NSE - NIFTY Index Options'!$M:$M,'NSE - NIFTY Index Options'!$C:$C,$A38,'NSE - NIFTY Index Options'!$B:$B,C$4,'NSE - NIFTY Index Options'!$I:$I,"MDAW*")+SUMIFS('NSE - Other Index Options'!$M:$M,'NSE - Other Index Options'!$C:$C,$A38,'NSE - Other Index Options'!$B:$B,C$4,'NSE - Other Index Options'!$I:$I,"Weekly*")+SUMIFS('NSE - Other Index Options'!$M:$M,'NSE - Other Index Options'!$C:$C,$A38,'NSE - Other Index Options'!$B:$B,C$4,'NSE - Other Index Options'!$I:$I,"MDAW*")+SUMIFS('BSE - SENSEX Index Options'!$M:$M,'BSE - SENSEX Index Options'!$C:$C,$A38,'BSE - SENSEX Index Options'!$B:$B,C$4,'BSE - SENSEX Index Options'!$I:$I,"Weekly*")+SUMIFS('BSE - SENSEX Index Options'!$M:$M,'BSE - SENSEX Index Options'!$C:$C,$A38,'BSE - SENSEX Index Options'!$B:$B,C$4,'BSE - SENSEX Index Options'!$I:$I,"MDAW*")+SUMIFS('BSE - Other Index Options'!$M:$M,'BSE - Other Index Options'!$C:$C,$A38,'BSE - Other Index Options'!$B:$B,C$4,'BSE - Other Index Options'!$I:$I,"Weekly*")+SUMIFS('BSE - Other Index Options'!$M:$M,'BSE - Other Index Options'!$C:$C,$A38,'BSE - Other Index Options'!$B:$B,C$4,'BSE - Other Index Options'!$I:$I,"MDAW*"))</f>
        <v/>
      </c>
      <c r="D38" s="26">
        <f>IF(SUMIFS('NSE - NIFTY Index Options'!$M:$M,'NSE - NIFTY Index Options'!$C:$C,$A38,'NSE - NIFTY Index Options'!$B:$B,D$4,'NSE - NIFTY Index Options'!$I:$I,"Weekly*")+SUMIFS('NSE - NIFTY Index Options'!$M:$M,'NSE - NIFTY Index Options'!$C:$C,$A38,'NSE - NIFTY Index Options'!$B:$B,D$4,'NSE - NIFTY Index Options'!$I:$I,"MDAW*")+SUMIFS('NSE - Other Index Options'!$M:$M,'NSE - Other Index Options'!$C:$C,$A38,'NSE - Other Index Options'!$B:$B,D$4,'NSE - Other Index Options'!$I:$I,"Weekly*")+SUMIFS('NSE - Other Index Options'!$M:$M,'NSE - Other Index Options'!$C:$C,$A38,'NSE - Other Index Options'!$B:$B,D$4,'NSE - Other Index Options'!$I:$I,"MDAW*")+SUMIFS('BSE - SENSEX Index Options'!$M:$M,'BSE - SENSEX Index Options'!$C:$C,$A38,'BSE - SENSEX Index Options'!$B:$B,D$4,'BSE - SENSEX Index Options'!$I:$I,"Weekly*")+SUMIFS('BSE - SENSEX Index Options'!$M:$M,'BSE - SENSEX Index Options'!$C:$C,$A38,'BSE - SENSEX Index Options'!$B:$B,D$4,'BSE - SENSEX Index Options'!$I:$I,"MDAW*")+SUMIFS('BSE - Other Index Options'!$M:$M,'BSE - Other Index Options'!$C:$C,$A38,'BSE - Other Index Options'!$B:$B,D$4,'BSE - Other Index Options'!$I:$I,"Weekly*")+SUMIFS('BSE - Other Index Options'!$M:$M,'BSE - Other Index Options'!$C:$C,$A38,'BSE - Other Index Options'!$B:$B,D$4,'BSE - Other Index Options'!$I:$I,"MDAW*")=0,"",SUMIFS('NSE - NIFTY Index Options'!$M:$M,'NSE - NIFTY Index Options'!$C:$C,$A38,'NSE - NIFTY Index Options'!$B:$B,D$4,'NSE - NIFTY Index Options'!$I:$I,"Weekly*")+SUMIFS('NSE - NIFTY Index Options'!$M:$M,'NSE - NIFTY Index Options'!$C:$C,$A38,'NSE - NIFTY Index Options'!$B:$B,D$4,'NSE - NIFTY Index Options'!$I:$I,"MDAW*")+SUMIFS('NSE - Other Index Options'!$M:$M,'NSE - Other Index Options'!$C:$C,$A38,'NSE - Other Index Options'!$B:$B,D$4,'NSE - Other Index Options'!$I:$I,"Weekly*")+SUMIFS('NSE - Other Index Options'!$M:$M,'NSE - Other Index Options'!$C:$C,$A38,'NSE - Other Index Options'!$B:$B,D$4,'NSE - Other Index Options'!$I:$I,"MDAW*")+SUMIFS('BSE - SENSEX Index Options'!$M:$M,'BSE - SENSEX Index Options'!$C:$C,$A38,'BSE - SENSEX Index Options'!$B:$B,D$4,'BSE - SENSEX Index Options'!$I:$I,"Weekly*")+SUMIFS('BSE - SENSEX Index Options'!$M:$M,'BSE - SENSEX Index Options'!$C:$C,$A38,'BSE - SENSEX Index Options'!$B:$B,D$4,'BSE - SENSEX Index Options'!$I:$I,"MDAW*")+SUMIFS('BSE - Other Index Options'!$M:$M,'BSE - Other Index Options'!$C:$C,$A38,'BSE - Other Index Options'!$B:$B,D$4,'BSE - Other Index Options'!$I:$I,"Weekly*")+SUMIFS('BSE - Other Index Options'!$M:$M,'BSE - Other Index Options'!$C:$C,$A38,'BSE - Other Index Options'!$B:$B,D$4,'BSE - Other Index Options'!$I:$I,"MDAW*"))</f>
        <v/>
      </c>
      <c r="E38" s="26">
        <f>IF(SUMIFS('NSE - NIFTY Index Options'!$M:$M,'NSE - NIFTY Index Options'!$C:$C,$A38,'NSE - NIFTY Index Options'!$B:$B,E$4,'NSE - NIFTY Index Options'!$I:$I,"Weekly*")+SUMIFS('NSE - NIFTY Index Options'!$M:$M,'NSE - NIFTY Index Options'!$C:$C,$A38,'NSE - NIFTY Index Options'!$B:$B,E$4,'NSE - NIFTY Index Options'!$I:$I,"MDAW*")+SUMIFS('NSE - Other Index Options'!$M:$M,'NSE - Other Index Options'!$C:$C,$A38,'NSE - Other Index Options'!$B:$B,E$4,'NSE - Other Index Options'!$I:$I,"Weekly*")+SUMIFS('NSE - Other Index Options'!$M:$M,'NSE - Other Index Options'!$C:$C,$A38,'NSE - Other Index Options'!$B:$B,E$4,'NSE - Other Index Options'!$I:$I,"MDAW*")+SUMIFS('BSE - SENSEX Index Options'!$M:$M,'BSE - SENSEX Index Options'!$C:$C,$A38,'BSE - SENSEX Index Options'!$B:$B,E$4,'BSE - SENSEX Index Options'!$I:$I,"Weekly*")+SUMIFS('BSE - SENSEX Index Options'!$M:$M,'BSE - SENSEX Index Options'!$C:$C,$A38,'BSE - SENSEX Index Options'!$B:$B,E$4,'BSE - SENSEX Index Options'!$I:$I,"MDAW*")+SUMIFS('BSE - Other Index Options'!$M:$M,'BSE - Other Index Options'!$C:$C,$A38,'BSE - Other Index Options'!$B:$B,E$4,'BSE - Other Index Options'!$I:$I,"Weekly*")+SUMIFS('BSE - Other Index Options'!$M:$M,'BSE - Other Index Options'!$C:$C,$A38,'BSE - Other Index Options'!$B:$B,E$4,'BSE - Other Index Options'!$I:$I,"MDAW*")=0,"",SUMIFS('NSE - NIFTY Index Options'!$M:$M,'NSE - NIFTY Index Options'!$C:$C,$A38,'NSE - NIFTY Index Options'!$B:$B,E$4,'NSE - NIFTY Index Options'!$I:$I,"Weekly*")+SUMIFS('NSE - NIFTY Index Options'!$M:$M,'NSE - NIFTY Index Options'!$C:$C,$A38,'NSE - NIFTY Index Options'!$B:$B,E$4,'NSE - NIFTY Index Options'!$I:$I,"MDAW*")+SUMIFS('NSE - Other Index Options'!$M:$M,'NSE - Other Index Options'!$C:$C,$A38,'NSE - Other Index Options'!$B:$B,E$4,'NSE - Other Index Options'!$I:$I,"Weekly*")+SUMIFS('NSE - Other Index Options'!$M:$M,'NSE - Other Index Options'!$C:$C,$A38,'NSE - Other Index Options'!$B:$B,E$4,'NSE - Other Index Options'!$I:$I,"MDAW*")+SUMIFS('BSE - SENSEX Index Options'!$M:$M,'BSE - SENSEX Index Options'!$C:$C,$A38,'BSE - SENSEX Index Options'!$B:$B,E$4,'BSE - SENSEX Index Options'!$I:$I,"Weekly*")+SUMIFS('BSE - SENSEX Index Options'!$M:$M,'BSE - SENSEX Index Options'!$C:$C,$A38,'BSE - SENSEX Index Options'!$B:$B,E$4,'BSE - SENSEX Index Options'!$I:$I,"MDAW*")+SUMIFS('BSE - Other Index Options'!$M:$M,'BSE - Other Index Options'!$C:$C,$A38,'BSE - Other Index Options'!$B:$B,E$4,'BSE - Other Index Options'!$I:$I,"Weekly*")+SUMIFS('BSE - Other Index Options'!$M:$M,'BSE - Other Index Options'!$C:$C,$A38,'BSE - Other Index Options'!$B:$B,E$4,'BSE - Other Index Options'!$I:$I,"MDAW*"))</f>
        <v/>
      </c>
      <c r="F38" s="26">
        <f>IF(SUMIFS('NSE - NIFTY Index Options'!$M:$M,'NSE - NIFTY Index Options'!$C:$C,$A38,'NSE - NIFTY Index Options'!$B:$B,F$4,'NSE - NIFTY Index Options'!$I:$I,"Weekly*")+SUMIFS('NSE - NIFTY Index Options'!$M:$M,'NSE - NIFTY Index Options'!$C:$C,$A38,'NSE - NIFTY Index Options'!$B:$B,F$4,'NSE - NIFTY Index Options'!$I:$I,"MDAW*")+SUMIFS('NSE - Other Index Options'!$M:$M,'NSE - Other Index Options'!$C:$C,$A38,'NSE - Other Index Options'!$B:$B,F$4,'NSE - Other Index Options'!$I:$I,"Weekly*")+SUMIFS('NSE - Other Index Options'!$M:$M,'NSE - Other Index Options'!$C:$C,$A38,'NSE - Other Index Options'!$B:$B,F$4,'NSE - Other Index Options'!$I:$I,"MDAW*")+SUMIFS('BSE - SENSEX Index Options'!$M:$M,'BSE - SENSEX Index Options'!$C:$C,$A38,'BSE - SENSEX Index Options'!$B:$B,F$4,'BSE - SENSEX Index Options'!$I:$I,"Weekly*")+SUMIFS('BSE - SENSEX Index Options'!$M:$M,'BSE - SENSEX Index Options'!$C:$C,$A38,'BSE - SENSEX Index Options'!$B:$B,F$4,'BSE - SENSEX Index Options'!$I:$I,"MDAW*")+SUMIFS('BSE - Other Index Options'!$M:$M,'BSE - Other Index Options'!$C:$C,$A38,'BSE - Other Index Options'!$B:$B,F$4,'BSE - Other Index Options'!$I:$I,"Weekly*")+SUMIFS('BSE - Other Index Options'!$M:$M,'BSE - Other Index Options'!$C:$C,$A38,'BSE - Other Index Options'!$B:$B,F$4,'BSE - Other Index Options'!$I:$I,"MDAW*")=0,"",SUMIFS('NSE - NIFTY Index Options'!$M:$M,'NSE - NIFTY Index Options'!$C:$C,$A38,'NSE - NIFTY Index Options'!$B:$B,F$4,'NSE - NIFTY Index Options'!$I:$I,"Weekly*")+SUMIFS('NSE - NIFTY Index Options'!$M:$M,'NSE - NIFTY Index Options'!$C:$C,$A38,'NSE - NIFTY Index Options'!$B:$B,F$4,'NSE - NIFTY Index Options'!$I:$I,"MDAW*")+SUMIFS('NSE - Other Index Options'!$M:$M,'NSE - Other Index Options'!$C:$C,$A38,'NSE - Other Index Options'!$B:$B,F$4,'NSE - Other Index Options'!$I:$I,"Weekly*")+SUMIFS('NSE - Other Index Options'!$M:$M,'NSE - Other Index Options'!$C:$C,$A38,'NSE - Other Index Options'!$B:$B,F$4,'NSE - Other Index Options'!$I:$I,"MDAW*")+SUMIFS('BSE - SENSEX Index Options'!$M:$M,'BSE - SENSEX Index Options'!$C:$C,$A38,'BSE - SENSEX Index Options'!$B:$B,F$4,'BSE - SENSEX Index Options'!$I:$I,"Weekly*")+SUMIFS('BSE - SENSEX Index Options'!$M:$M,'BSE - SENSEX Index Options'!$C:$C,$A38,'BSE - SENSEX Index Options'!$B:$B,F$4,'BSE - SENSEX Index Options'!$I:$I,"MDAW*")+SUMIFS('BSE - Other Index Options'!$M:$M,'BSE - Other Index Options'!$C:$C,$A38,'BSE - Other Index Options'!$B:$B,F$4,'BSE - Other Index Options'!$I:$I,"Weekly*")+SUMIFS('BSE - Other Index Options'!$M:$M,'BSE - Other Index Options'!$C:$C,$A38,'BSE - Other Index Options'!$B:$B,F$4,'BSE - Other Index Options'!$I:$I,"MDAW*"))</f>
        <v/>
      </c>
      <c r="G38" s="26">
        <f>IF(SUMIFS('NSE - NIFTY Index Options'!$M:$M,'NSE - NIFTY Index Options'!$C:$C,$A38,'NSE - NIFTY Index Options'!$B:$B,G$4,'NSE - NIFTY Index Options'!$I:$I,"Weekly*")+SUMIFS('NSE - NIFTY Index Options'!$M:$M,'NSE - NIFTY Index Options'!$C:$C,$A38,'NSE - NIFTY Index Options'!$B:$B,G$4,'NSE - NIFTY Index Options'!$I:$I,"MDAW*")+SUMIFS('NSE - Other Index Options'!$M:$M,'NSE - Other Index Options'!$C:$C,$A38,'NSE - Other Index Options'!$B:$B,G$4,'NSE - Other Index Options'!$I:$I,"Weekly*")+SUMIFS('NSE - Other Index Options'!$M:$M,'NSE - Other Index Options'!$C:$C,$A38,'NSE - Other Index Options'!$B:$B,G$4,'NSE - Other Index Options'!$I:$I,"MDAW*")+SUMIFS('BSE - SENSEX Index Options'!$M:$M,'BSE - SENSEX Index Options'!$C:$C,$A38,'BSE - SENSEX Index Options'!$B:$B,G$4,'BSE - SENSEX Index Options'!$I:$I,"Weekly*")+SUMIFS('BSE - SENSEX Index Options'!$M:$M,'BSE - SENSEX Index Options'!$C:$C,$A38,'BSE - SENSEX Index Options'!$B:$B,G$4,'BSE - SENSEX Index Options'!$I:$I,"MDAW*")+SUMIFS('BSE - Other Index Options'!$M:$M,'BSE - Other Index Options'!$C:$C,$A38,'BSE - Other Index Options'!$B:$B,G$4,'BSE - Other Index Options'!$I:$I,"Weekly*")+SUMIFS('BSE - Other Index Options'!$M:$M,'BSE - Other Index Options'!$C:$C,$A38,'BSE - Other Index Options'!$B:$B,G$4,'BSE - Other Index Options'!$I:$I,"MDAW*")=0,"",SUMIFS('NSE - NIFTY Index Options'!$M:$M,'NSE - NIFTY Index Options'!$C:$C,$A38,'NSE - NIFTY Index Options'!$B:$B,G$4,'NSE - NIFTY Index Options'!$I:$I,"Weekly*")+SUMIFS('NSE - NIFTY Index Options'!$M:$M,'NSE - NIFTY Index Options'!$C:$C,$A38,'NSE - NIFTY Index Options'!$B:$B,G$4,'NSE - NIFTY Index Options'!$I:$I,"MDAW*")+SUMIFS('NSE - Other Index Options'!$M:$M,'NSE - Other Index Options'!$C:$C,$A38,'NSE - Other Index Options'!$B:$B,G$4,'NSE - Other Index Options'!$I:$I,"Weekly*")+SUMIFS('NSE - Other Index Options'!$M:$M,'NSE - Other Index Options'!$C:$C,$A38,'NSE - Other Index Options'!$B:$B,G$4,'NSE - Other Index Options'!$I:$I,"MDAW*")+SUMIFS('BSE - SENSEX Index Options'!$M:$M,'BSE - SENSEX Index Options'!$C:$C,$A38,'BSE - SENSEX Index Options'!$B:$B,G$4,'BSE - SENSEX Index Options'!$I:$I,"Weekly*")+SUMIFS('BSE - SENSEX Index Options'!$M:$M,'BSE - SENSEX Index Options'!$C:$C,$A38,'BSE - SENSEX Index Options'!$B:$B,G$4,'BSE - SENSEX Index Options'!$I:$I,"MDAW*")+SUMIFS('BSE - Other Index Options'!$M:$M,'BSE - Other Index Options'!$C:$C,$A38,'BSE - Other Index Options'!$B:$B,G$4,'BSE - Other Index Options'!$I:$I,"Weekly*")+SUMIFS('BSE - Other Index Options'!$M:$M,'BSE - Other Index Options'!$C:$C,$A38,'BSE - Other Index Options'!$B:$B,G$4,'BSE - Other Index Options'!$I:$I,"MDAW*"))</f>
        <v/>
      </c>
      <c r="H38" s="26">
        <f>IF(SUM(B38:G38)=0,"",SUM(B38:G38))</f>
        <v/>
      </c>
    </row>
    <row r="39">
      <c r="A39" t="inlineStr">
        <is>
          <t>Week1-Apr-2026</t>
        </is>
      </c>
      <c r="B39" s="26">
        <f>IF(SUMIFS('NSE - NIFTY Index Options'!$M:$M,'NSE - NIFTY Index Options'!$C:$C,$A39,'NSE - NIFTY Index Options'!$B:$B,B$4,'NSE - NIFTY Index Options'!$I:$I,"Weekly*")+SUMIFS('NSE - NIFTY Index Options'!$M:$M,'NSE - NIFTY Index Options'!$C:$C,$A39,'NSE - NIFTY Index Options'!$B:$B,B$4,'NSE - NIFTY Index Options'!$I:$I,"MDAW*")+SUMIFS('NSE - Other Index Options'!$M:$M,'NSE - Other Index Options'!$C:$C,$A39,'NSE - Other Index Options'!$B:$B,B$4,'NSE - Other Index Options'!$I:$I,"Weekly*")+SUMIFS('NSE - Other Index Options'!$M:$M,'NSE - Other Index Options'!$C:$C,$A39,'NSE - Other Index Options'!$B:$B,B$4,'NSE - Other Index Options'!$I:$I,"MDAW*")+SUMIFS('BSE - SENSEX Index Options'!$M:$M,'BSE - SENSEX Index Options'!$C:$C,$A39,'BSE - SENSEX Index Options'!$B:$B,B$4,'BSE - SENSEX Index Options'!$I:$I,"Weekly*")+SUMIFS('BSE - SENSEX Index Options'!$M:$M,'BSE - SENSEX Index Options'!$C:$C,$A39,'BSE - SENSEX Index Options'!$B:$B,B$4,'BSE - SENSEX Index Options'!$I:$I,"MDAW*")+SUMIFS('BSE - Other Index Options'!$M:$M,'BSE - Other Index Options'!$C:$C,$A39,'BSE - Other Index Options'!$B:$B,B$4,'BSE - Other Index Options'!$I:$I,"Weekly*")+SUMIFS('BSE - Other Index Options'!$M:$M,'BSE - Other Index Options'!$C:$C,$A39,'BSE - Other Index Options'!$B:$B,B$4,'BSE - Other Index Options'!$I:$I,"MDAW*")=0,"",SUMIFS('NSE - NIFTY Index Options'!$M:$M,'NSE - NIFTY Index Options'!$C:$C,$A39,'NSE - NIFTY Index Options'!$B:$B,B$4,'NSE - NIFTY Index Options'!$I:$I,"Weekly*")+SUMIFS('NSE - NIFTY Index Options'!$M:$M,'NSE - NIFTY Index Options'!$C:$C,$A39,'NSE - NIFTY Index Options'!$B:$B,B$4,'NSE - NIFTY Index Options'!$I:$I,"MDAW*")+SUMIFS('NSE - Other Index Options'!$M:$M,'NSE - Other Index Options'!$C:$C,$A39,'NSE - Other Index Options'!$B:$B,B$4,'NSE - Other Index Options'!$I:$I,"Weekly*")+SUMIFS('NSE - Other Index Options'!$M:$M,'NSE - Other Index Options'!$C:$C,$A39,'NSE - Other Index Options'!$B:$B,B$4,'NSE - Other Index Options'!$I:$I,"MDAW*")+SUMIFS('BSE - SENSEX Index Options'!$M:$M,'BSE - SENSEX Index Options'!$C:$C,$A39,'BSE - SENSEX Index Options'!$B:$B,B$4,'BSE - SENSEX Index Options'!$I:$I,"Weekly*")+SUMIFS('BSE - SENSEX Index Options'!$M:$M,'BSE - SENSEX Index Options'!$C:$C,$A39,'BSE - SENSEX Index Options'!$B:$B,B$4,'BSE - SENSEX Index Options'!$I:$I,"MDAW*")+SUMIFS('BSE - Other Index Options'!$M:$M,'BSE - Other Index Options'!$C:$C,$A39,'BSE - Other Index Options'!$B:$B,B$4,'BSE - Other Index Options'!$I:$I,"Weekly*")+SUMIFS('BSE - Other Index Options'!$M:$M,'BSE - Other Index Options'!$C:$C,$A39,'BSE - Other Index Options'!$B:$B,B$4,'BSE - Other Index Options'!$I:$I,"MDAW*"))</f>
        <v/>
      </c>
      <c r="C39" s="26">
        <f>IF(SUMIFS('NSE - NIFTY Index Options'!$M:$M,'NSE - NIFTY Index Options'!$C:$C,$A39,'NSE - NIFTY Index Options'!$B:$B,C$4,'NSE - NIFTY Index Options'!$I:$I,"Weekly*")+SUMIFS('NSE - NIFTY Index Options'!$M:$M,'NSE - NIFTY Index Options'!$C:$C,$A39,'NSE - NIFTY Index Options'!$B:$B,C$4,'NSE - NIFTY Index Options'!$I:$I,"MDAW*")+SUMIFS('NSE - Other Index Options'!$M:$M,'NSE - Other Index Options'!$C:$C,$A39,'NSE - Other Index Options'!$B:$B,C$4,'NSE - Other Index Options'!$I:$I,"Weekly*")+SUMIFS('NSE - Other Index Options'!$M:$M,'NSE - Other Index Options'!$C:$C,$A39,'NSE - Other Index Options'!$B:$B,C$4,'NSE - Other Index Options'!$I:$I,"MDAW*")+SUMIFS('BSE - SENSEX Index Options'!$M:$M,'BSE - SENSEX Index Options'!$C:$C,$A39,'BSE - SENSEX Index Options'!$B:$B,C$4,'BSE - SENSEX Index Options'!$I:$I,"Weekly*")+SUMIFS('BSE - SENSEX Index Options'!$M:$M,'BSE - SENSEX Index Options'!$C:$C,$A39,'BSE - SENSEX Index Options'!$B:$B,C$4,'BSE - SENSEX Index Options'!$I:$I,"MDAW*")+SUMIFS('BSE - Other Index Options'!$M:$M,'BSE - Other Index Options'!$C:$C,$A39,'BSE - Other Index Options'!$B:$B,C$4,'BSE - Other Index Options'!$I:$I,"Weekly*")+SUMIFS('BSE - Other Index Options'!$M:$M,'BSE - Other Index Options'!$C:$C,$A39,'BSE - Other Index Options'!$B:$B,C$4,'BSE - Other Index Options'!$I:$I,"MDAW*")=0,"",SUMIFS('NSE - NIFTY Index Options'!$M:$M,'NSE - NIFTY Index Options'!$C:$C,$A39,'NSE - NIFTY Index Options'!$B:$B,C$4,'NSE - NIFTY Index Options'!$I:$I,"Weekly*")+SUMIFS('NSE - NIFTY Index Options'!$M:$M,'NSE - NIFTY Index Options'!$C:$C,$A39,'NSE - NIFTY Index Options'!$B:$B,C$4,'NSE - NIFTY Index Options'!$I:$I,"MDAW*")+SUMIFS('NSE - Other Index Options'!$M:$M,'NSE - Other Index Options'!$C:$C,$A39,'NSE - Other Index Options'!$B:$B,C$4,'NSE - Other Index Options'!$I:$I,"Weekly*")+SUMIFS('NSE - Other Index Options'!$M:$M,'NSE - Other Index Options'!$C:$C,$A39,'NSE - Other Index Options'!$B:$B,C$4,'NSE - Other Index Options'!$I:$I,"MDAW*")+SUMIFS('BSE - SENSEX Index Options'!$M:$M,'BSE - SENSEX Index Options'!$C:$C,$A39,'BSE - SENSEX Index Options'!$B:$B,C$4,'BSE - SENSEX Index Options'!$I:$I,"Weekly*")+SUMIFS('BSE - SENSEX Index Options'!$M:$M,'BSE - SENSEX Index Options'!$C:$C,$A39,'BSE - SENSEX Index Options'!$B:$B,C$4,'BSE - SENSEX Index Options'!$I:$I,"MDAW*")+SUMIFS('BSE - Other Index Options'!$M:$M,'BSE - Other Index Options'!$C:$C,$A39,'BSE - Other Index Options'!$B:$B,C$4,'BSE - Other Index Options'!$I:$I,"Weekly*")+SUMIFS('BSE - Other Index Options'!$M:$M,'BSE - Other Index Options'!$C:$C,$A39,'BSE - Other Index Options'!$B:$B,C$4,'BSE - Other Index Options'!$I:$I,"MDAW*"))</f>
        <v/>
      </c>
      <c r="D39" s="26">
        <f>IF(SUMIFS('NSE - NIFTY Index Options'!$M:$M,'NSE - NIFTY Index Options'!$C:$C,$A39,'NSE - NIFTY Index Options'!$B:$B,D$4,'NSE - NIFTY Index Options'!$I:$I,"Weekly*")+SUMIFS('NSE - NIFTY Index Options'!$M:$M,'NSE - NIFTY Index Options'!$C:$C,$A39,'NSE - NIFTY Index Options'!$B:$B,D$4,'NSE - NIFTY Index Options'!$I:$I,"MDAW*")+SUMIFS('NSE - Other Index Options'!$M:$M,'NSE - Other Index Options'!$C:$C,$A39,'NSE - Other Index Options'!$B:$B,D$4,'NSE - Other Index Options'!$I:$I,"Weekly*")+SUMIFS('NSE - Other Index Options'!$M:$M,'NSE - Other Index Options'!$C:$C,$A39,'NSE - Other Index Options'!$B:$B,D$4,'NSE - Other Index Options'!$I:$I,"MDAW*")+SUMIFS('BSE - SENSEX Index Options'!$M:$M,'BSE - SENSEX Index Options'!$C:$C,$A39,'BSE - SENSEX Index Options'!$B:$B,D$4,'BSE - SENSEX Index Options'!$I:$I,"Weekly*")+SUMIFS('BSE - SENSEX Index Options'!$M:$M,'BSE - SENSEX Index Options'!$C:$C,$A39,'BSE - SENSEX Index Options'!$B:$B,D$4,'BSE - SENSEX Index Options'!$I:$I,"MDAW*")+SUMIFS('BSE - Other Index Options'!$M:$M,'BSE - Other Index Options'!$C:$C,$A39,'BSE - Other Index Options'!$B:$B,D$4,'BSE - Other Index Options'!$I:$I,"Weekly*")+SUMIFS('BSE - Other Index Options'!$M:$M,'BSE - Other Index Options'!$C:$C,$A39,'BSE - Other Index Options'!$B:$B,D$4,'BSE - Other Index Options'!$I:$I,"MDAW*")=0,"",SUMIFS('NSE - NIFTY Index Options'!$M:$M,'NSE - NIFTY Index Options'!$C:$C,$A39,'NSE - NIFTY Index Options'!$B:$B,D$4,'NSE - NIFTY Index Options'!$I:$I,"Weekly*")+SUMIFS('NSE - NIFTY Index Options'!$M:$M,'NSE - NIFTY Index Options'!$C:$C,$A39,'NSE - NIFTY Index Options'!$B:$B,D$4,'NSE - NIFTY Index Options'!$I:$I,"MDAW*")+SUMIFS('NSE - Other Index Options'!$M:$M,'NSE - Other Index Options'!$C:$C,$A39,'NSE - Other Index Options'!$B:$B,D$4,'NSE - Other Index Options'!$I:$I,"Weekly*")+SUMIFS('NSE - Other Index Options'!$M:$M,'NSE - Other Index Options'!$C:$C,$A39,'NSE - Other Index Options'!$B:$B,D$4,'NSE - Other Index Options'!$I:$I,"MDAW*")+SUMIFS('BSE - SENSEX Index Options'!$M:$M,'BSE - SENSEX Index Options'!$C:$C,$A39,'BSE - SENSEX Index Options'!$B:$B,D$4,'BSE - SENSEX Index Options'!$I:$I,"Weekly*")+SUMIFS('BSE - SENSEX Index Options'!$M:$M,'BSE - SENSEX Index Options'!$C:$C,$A39,'BSE - SENSEX Index Options'!$B:$B,D$4,'BSE - SENSEX Index Options'!$I:$I,"MDAW*")+SUMIFS('BSE - Other Index Options'!$M:$M,'BSE - Other Index Options'!$C:$C,$A39,'BSE - Other Index Options'!$B:$B,D$4,'BSE - Other Index Options'!$I:$I,"Weekly*")+SUMIFS('BSE - Other Index Options'!$M:$M,'BSE - Other Index Options'!$C:$C,$A39,'BSE - Other Index Options'!$B:$B,D$4,'BSE - Other Index Options'!$I:$I,"MDAW*"))</f>
        <v/>
      </c>
      <c r="E39" s="26">
        <f>IF(SUMIFS('NSE - NIFTY Index Options'!$M:$M,'NSE - NIFTY Index Options'!$C:$C,$A39,'NSE - NIFTY Index Options'!$B:$B,E$4,'NSE - NIFTY Index Options'!$I:$I,"Weekly*")+SUMIFS('NSE - NIFTY Index Options'!$M:$M,'NSE - NIFTY Index Options'!$C:$C,$A39,'NSE - NIFTY Index Options'!$B:$B,E$4,'NSE - NIFTY Index Options'!$I:$I,"MDAW*")+SUMIFS('NSE - Other Index Options'!$M:$M,'NSE - Other Index Options'!$C:$C,$A39,'NSE - Other Index Options'!$B:$B,E$4,'NSE - Other Index Options'!$I:$I,"Weekly*")+SUMIFS('NSE - Other Index Options'!$M:$M,'NSE - Other Index Options'!$C:$C,$A39,'NSE - Other Index Options'!$B:$B,E$4,'NSE - Other Index Options'!$I:$I,"MDAW*")+SUMIFS('BSE - SENSEX Index Options'!$M:$M,'BSE - SENSEX Index Options'!$C:$C,$A39,'BSE - SENSEX Index Options'!$B:$B,E$4,'BSE - SENSEX Index Options'!$I:$I,"Weekly*")+SUMIFS('BSE - SENSEX Index Options'!$M:$M,'BSE - SENSEX Index Options'!$C:$C,$A39,'BSE - SENSEX Index Options'!$B:$B,E$4,'BSE - SENSEX Index Options'!$I:$I,"MDAW*")+SUMIFS('BSE - Other Index Options'!$M:$M,'BSE - Other Index Options'!$C:$C,$A39,'BSE - Other Index Options'!$B:$B,E$4,'BSE - Other Index Options'!$I:$I,"Weekly*")+SUMIFS('BSE - Other Index Options'!$M:$M,'BSE - Other Index Options'!$C:$C,$A39,'BSE - Other Index Options'!$B:$B,E$4,'BSE - Other Index Options'!$I:$I,"MDAW*")=0,"",SUMIFS('NSE - NIFTY Index Options'!$M:$M,'NSE - NIFTY Index Options'!$C:$C,$A39,'NSE - NIFTY Index Options'!$B:$B,E$4,'NSE - NIFTY Index Options'!$I:$I,"Weekly*")+SUMIFS('NSE - NIFTY Index Options'!$M:$M,'NSE - NIFTY Index Options'!$C:$C,$A39,'NSE - NIFTY Index Options'!$B:$B,E$4,'NSE - NIFTY Index Options'!$I:$I,"MDAW*")+SUMIFS('NSE - Other Index Options'!$M:$M,'NSE - Other Index Options'!$C:$C,$A39,'NSE - Other Index Options'!$B:$B,E$4,'NSE - Other Index Options'!$I:$I,"Weekly*")+SUMIFS('NSE - Other Index Options'!$M:$M,'NSE - Other Index Options'!$C:$C,$A39,'NSE - Other Index Options'!$B:$B,E$4,'NSE - Other Index Options'!$I:$I,"MDAW*")+SUMIFS('BSE - SENSEX Index Options'!$M:$M,'BSE - SENSEX Index Options'!$C:$C,$A39,'BSE - SENSEX Index Options'!$B:$B,E$4,'BSE - SENSEX Index Options'!$I:$I,"Weekly*")+SUMIFS('BSE - SENSEX Index Options'!$M:$M,'BSE - SENSEX Index Options'!$C:$C,$A39,'BSE - SENSEX Index Options'!$B:$B,E$4,'BSE - SENSEX Index Options'!$I:$I,"MDAW*")+SUMIFS('BSE - Other Index Options'!$M:$M,'BSE - Other Index Options'!$C:$C,$A39,'BSE - Other Index Options'!$B:$B,E$4,'BSE - Other Index Options'!$I:$I,"Weekly*")+SUMIFS('BSE - Other Index Options'!$M:$M,'BSE - Other Index Options'!$C:$C,$A39,'BSE - Other Index Options'!$B:$B,E$4,'BSE - Other Index Options'!$I:$I,"MDAW*"))</f>
        <v/>
      </c>
      <c r="F39" s="26">
        <f>IF(SUMIFS('NSE - NIFTY Index Options'!$M:$M,'NSE - NIFTY Index Options'!$C:$C,$A39,'NSE - NIFTY Index Options'!$B:$B,F$4,'NSE - NIFTY Index Options'!$I:$I,"Weekly*")+SUMIFS('NSE - NIFTY Index Options'!$M:$M,'NSE - NIFTY Index Options'!$C:$C,$A39,'NSE - NIFTY Index Options'!$B:$B,F$4,'NSE - NIFTY Index Options'!$I:$I,"MDAW*")+SUMIFS('NSE - Other Index Options'!$M:$M,'NSE - Other Index Options'!$C:$C,$A39,'NSE - Other Index Options'!$B:$B,F$4,'NSE - Other Index Options'!$I:$I,"Weekly*")+SUMIFS('NSE - Other Index Options'!$M:$M,'NSE - Other Index Options'!$C:$C,$A39,'NSE - Other Index Options'!$B:$B,F$4,'NSE - Other Index Options'!$I:$I,"MDAW*")+SUMIFS('BSE - SENSEX Index Options'!$M:$M,'BSE - SENSEX Index Options'!$C:$C,$A39,'BSE - SENSEX Index Options'!$B:$B,F$4,'BSE - SENSEX Index Options'!$I:$I,"Weekly*")+SUMIFS('BSE - SENSEX Index Options'!$M:$M,'BSE - SENSEX Index Options'!$C:$C,$A39,'BSE - SENSEX Index Options'!$B:$B,F$4,'BSE - SENSEX Index Options'!$I:$I,"MDAW*")+SUMIFS('BSE - Other Index Options'!$M:$M,'BSE - Other Index Options'!$C:$C,$A39,'BSE - Other Index Options'!$B:$B,F$4,'BSE - Other Index Options'!$I:$I,"Weekly*")+SUMIFS('BSE - Other Index Options'!$M:$M,'BSE - Other Index Options'!$C:$C,$A39,'BSE - Other Index Options'!$B:$B,F$4,'BSE - Other Index Options'!$I:$I,"MDAW*")=0,"",SUMIFS('NSE - NIFTY Index Options'!$M:$M,'NSE - NIFTY Index Options'!$C:$C,$A39,'NSE - NIFTY Index Options'!$B:$B,F$4,'NSE - NIFTY Index Options'!$I:$I,"Weekly*")+SUMIFS('NSE - NIFTY Index Options'!$M:$M,'NSE - NIFTY Index Options'!$C:$C,$A39,'NSE - NIFTY Index Options'!$B:$B,F$4,'NSE - NIFTY Index Options'!$I:$I,"MDAW*")+SUMIFS('NSE - Other Index Options'!$M:$M,'NSE - Other Index Options'!$C:$C,$A39,'NSE - Other Index Options'!$B:$B,F$4,'NSE - Other Index Options'!$I:$I,"Weekly*")+SUMIFS('NSE - Other Index Options'!$M:$M,'NSE - Other Index Options'!$C:$C,$A39,'NSE - Other Index Options'!$B:$B,F$4,'NSE - Other Index Options'!$I:$I,"MDAW*")+SUMIFS('BSE - SENSEX Index Options'!$M:$M,'BSE - SENSEX Index Options'!$C:$C,$A39,'BSE - SENSEX Index Options'!$B:$B,F$4,'BSE - SENSEX Index Options'!$I:$I,"Weekly*")+SUMIFS('BSE - SENSEX Index Options'!$M:$M,'BSE - SENSEX Index Options'!$C:$C,$A39,'BSE - SENSEX Index Options'!$B:$B,F$4,'BSE - SENSEX Index Options'!$I:$I,"MDAW*")+SUMIFS('BSE - Other Index Options'!$M:$M,'BSE - Other Index Options'!$C:$C,$A39,'BSE - Other Index Options'!$B:$B,F$4,'BSE - Other Index Options'!$I:$I,"Weekly*")+SUMIFS('BSE - Other Index Options'!$M:$M,'BSE - Other Index Options'!$C:$C,$A39,'BSE - Other Index Options'!$B:$B,F$4,'BSE - Other Index Options'!$I:$I,"MDAW*"))</f>
        <v/>
      </c>
      <c r="G39" s="26">
        <f>IF(SUMIFS('NSE - NIFTY Index Options'!$M:$M,'NSE - NIFTY Index Options'!$C:$C,$A39,'NSE - NIFTY Index Options'!$B:$B,G$4,'NSE - NIFTY Index Options'!$I:$I,"Weekly*")+SUMIFS('NSE - NIFTY Index Options'!$M:$M,'NSE - NIFTY Index Options'!$C:$C,$A39,'NSE - NIFTY Index Options'!$B:$B,G$4,'NSE - NIFTY Index Options'!$I:$I,"MDAW*")+SUMIFS('NSE - Other Index Options'!$M:$M,'NSE - Other Index Options'!$C:$C,$A39,'NSE - Other Index Options'!$B:$B,G$4,'NSE - Other Index Options'!$I:$I,"Weekly*")+SUMIFS('NSE - Other Index Options'!$M:$M,'NSE - Other Index Options'!$C:$C,$A39,'NSE - Other Index Options'!$B:$B,G$4,'NSE - Other Index Options'!$I:$I,"MDAW*")+SUMIFS('BSE - SENSEX Index Options'!$M:$M,'BSE - SENSEX Index Options'!$C:$C,$A39,'BSE - SENSEX Index Options'!$B:$B,G$4,'BSE - SENSEX Index Options'!$I:$I,"Weekly*")+SUMIFS('BSE - SENSEX Index Options'!$M:$M,'BSE - SENSEX Index Options'!$C:$C,$A39,'BSE - SENSEX Index Options'!$B:$B,G$4,'BSE - SENSEX Index Options'!$I:$I,"MDAW*")+SUMIFS('BSE - Other Index Options'!$M:$M,'BSE - Other Index Options'!$C:$C,$A39,'BSE - Other Index Options'!$B:$B,G$4,'BSE - Other Index Options'!$I:$I,"Weekly*")+SUMIFS('BSE - Other Index Options'!$M:$M,'BSE - Other Index Options'!$C:$C,$A39,'BSE - Other Index Options'!$B:$B,G$4,'BSE - Other Index Options'!$I:$I,"MDAW*")=0,"",SUMIFS('NSE - NIFTY Index Options'!$M:$M,'NSE - NIFTY Index Options'!$C:$C,$A39,'NSE - NIFTY Index Options'!$B:$B,G$4,'NSE - NIFTY Index Options'!$I:$I,"Weekly*")+SUMIFS('NSE - NIFTY Index Options'!$M:$M,'NSE - NIFTY Index Options'!$C:$C,$A39,'NSE - NIFTY Index Options'!$B:$B,G$4,'NSE - NIFTY Index Options'!$I:$I,"MDAW*")+SUMIFS('NSE - Other Index Options'!$M:$M,'NSE - Other Index Options'!$C:$C,$A39,'NSE - Other Index Options'!$B:$B,G$4,'NSE - Other Index Options'!$I:$I,"Weekly*")+SUMIFS('NSE - Other Index Options'!$M:$M,'NSE - Other Index Options'!$C:$C,$A39,'NSE - Other Index Options'!$B:$B,G$4,'NSE - Other Index Options'!$I:$I,"MDAW*")+SUMIFS('BSE - SENSEX Index Options'!$M:$M,'BSE - SENSEX Index Options'!$C:$C,$A39,'BSE - SENSEX Index Options'!$B:$B,G$4,'BSE - SENSEX Index Options'!$I:$I,"Weekly*")+SUMIFS('BSE - SENSEX Index Options'!$M:$M,'BSE - SENSEX Index Options'!$C:$C,$A39,'BSE - SENSEX Index Options'!$B:$B,G$4,'BSE - SENSEX Index Options'!$I:$I,"MDAW*")+SUMIFS('BSE - Other Index Options'!$M:$M,'BSE - Other Index Options'!$C:$C,$A39,'BSE - Other Index Options'!$B:$B,G$4,'BSE - Other Index Options'!$I:$I,"Weekly*")+SUMIFS('BSE - Other Index Options'!$M:$M,'BSE - Other Index Options'!$C:$C,$A39,'BSE - Other Index Options'!$B:$B,G$4,'BSE - Other Index Options'!$I:$I,"MDAW*"))</f>
        <v/>
      </c>
      <c r="H39" s="26">
        <f>IF(SUM(B39:G39)=0,"",SUM(B39:G39))</f>
        <v/>
      </c>
    </row>
    <row r="40">
      <c r="A40" t="inlineStr">
        <is>
          <t>Week2-Apr-2026</t>
        </is>
      </c>
      <c r="B40" s="26">
        <f>IF(SUMIFS('NSE - NIFTY Index Options'!$M:$M,'NSE - NIFTY Index Options'!$C:$C,$A40,'NSE - NIFTY Index Options'!$B:$B,B$4,'NSE - NIFTY Index Options'!$I:$I,"Weekly*")+SUMIFS('NSE - NIFTY Index Options'!$M:$M,'NSE - NIFTY Index Options'!$C:$C,$A40,'NSE - NIFTY Index Options'!$B:$B,B$4,'NSE - NIFTY Index Options'!$I:$I,"MDAW*")+SUMIFS('NSE - Other Index Options'!$M:$M,'NSE - Other Index Options'!$C:$C,$A40,'NSE - Other Index Options'!$B:$B,B$4,'NSE - Other Index Options'!$I:$I,"Weekly*")+SUMIFS('NSE - Other Index Options'!$M:$M,'NSE - Other Index Options'!$C:$C,$A40,'NSE - Other Index Options'!$B:$B,B$4,'NSE - Other Index Options'!$I:$I,"MDAW*")+SUMIFS('BSE - SENSEX Index Options'!$M:$M,'BSE - SENSEX Index Options'!$C:$C,$A40,'BSE - SENSEX Index Options'!$B:$B,B$4,'BSE - SENSEX Index Options'!$I:$I,"Weekly*")+SUMIFS('BSE - SENSEX Index Options'!$M:$M,'BSE - SENSEX Index Options'!$C:$C,$A40,'BSE - SENSEX Index Options'!$B:$B,B$4,'BSE - SENSEX Index Options'!$I:$I,"MDAW*")+SUMIFS('BSE - Other Index Options'!$M:$M,'BSE - Other Index Options'!$C:$C,$A40,'BSE - Other Index Options'!$B:$B,B$4,'BSE - Other Index Options'!$I:$I,"Weekly*")+SUMIFS('BSE - Other Index Options'!$M:$M,'BSE - Other Index Options'!$C:$C,$A40,'BSE - Other Index Options'!$B:$B,B$4,'BSE - Other Index Options'!$I:$I,"MDAW*")=0,"",SUMIFS('NSE - NIFTY Index Options'!$M:$M,'NSE - NIFTY Index Options'!$C:$C,$A40,'NSE - NIFTY Index Options'!$B:$B,B$4,'NSE - NIFTY Index Options'!$I:$I,"Weekly*")+SUMIFS('NSE - NIFTY Index Options'!$M:$M,'NSE - NIFTY Index Options'!$C:$C,$A40,'NSE - NIFTY Index Options'!$B:$B,B$4,'NSE - NIFTY Index Options'!$I:$I,"MDAW*")+SUMIFS('NSE - Other Index Options'!$M:$M,'NSE - Other Index Options'!$C:$C,$A40,'NSE - Other Index Options'!$B:$B,B$4,'NSE - Other Index Options'!$I:$I,"Weekly*")+SUMIFS('NSE - Other Index Options'!$M:$M,'NSE - Other Index Options'!$C:$C,$A40,'NSE - Other Index Options'!$B:$B,B$4,'NSE - Other Index Options'!$I:$I,"MDAW*")+SUMIFS('BSE - SENSEX Index Options'!$M:$M,'BSE - SENSEX Index Options'!$C:$C,$A40,'BSE - SENSEX Index Options'!$B:$B,B$4,'BSE - SENSEX Index Options'!$I:$I,"Weekly*")+SUMIFS('BSE - SENSEX Index Options'!$M:$M,'BSE - SENSEX Index Options'!$C:$C,$A40,'BSE - SENSEX Index Options'!$B:$B,B$4,'BSE - SENSEX Index Options'!$I:$I,"MDAW*")+SUMIFS('BSE - Other Index Options'!$M:$M,'BSE - Other Index Options'!$C:$C,$A40,'BSE - Other Index Options'!$B:$B,B$4,'BSE - Other Index Options'!$I:$I,"Weekly*")+SUMIFS('BSE - Other Index Options'!$M:$M,'BSE - Other Index Options'!$C:$C,$A40,'BSE - Other Index Options'!$B:$B,B$4,'BSE - Other Index Options'!$I:$I,"MDAW*"))</f>
        <v/>
      </c>
      <c r="C40" s="26">
        <f>IF(SUMIFS('NSE - NIFTY Index Options'!$M:$M,'NSE - NIFTY Index Options'!$C:$C,$A40,'NSE - NIFTY Index Options'!$B:$B,C$4,'NSE - NIFTY Index Options'!$I:$I,"Weekly*")+SUMIFS('NSE - NIFTY Index Options'!$M:$M,'NSE - NIFTY Index Options'!$C:$C,$A40,'NSE - NIFTY Index Options'!$B:$B,C$4,'NSE - NIFTY Index Options'!$I:$I,"MDAW*")+SUMIFS('NSE - Other Index Options'!$M:$M,'NSE - Other Index Options'!$C:$C,$A40,'NSE - Other Index Options'!$B:$B,C$4,'NSE - Other Index Options'!$I:$I,"Weekly*")+SUMIFS('NSE - Other Index Options'!$M:$M,'NSE - Other Index Options'!$C:$C,$A40,'NSE - Other Index Options'!$B:$B,C$4,'NSE - Other Index Options'!$I:$I,"MDAW*")+SUMIFS('BSE - SENSEX Index Options'!$M:$M,'BSE - SENSEX Index Options'!$C:$C,$A40,'BSE - SENSEX Index Options'!$B:$B,C$4,'BSE - SENSEX Index Options'!$I:$I,"Weekly*")+SUMIFS('BSE - SENSEX Index Options'!$M:$M,'BSE - SENSEX Index Options'!$C:$C,$A40,'BSE - SENSEX Index Options'!$B:$B,C$4,'BSE - SENSEX Index Options'!$I:$I,"MDAW*")+SUMIFS('BSE - Other Index Options'!$M:$M,'BSE - Other Index Options'!$C:$C,$A40,'BSE - Other Index Options'!$B:$B,C$4,'BSE - Other Index Options'!$I:$I,"Weekly*")+SUMIFS('BSE - Other Index Options'!$M:$M,'BSE - Other Index Options'!$C:$C,$A40,'BSE - Other Index Options'!$B:$B,C$4,'BSE - Other Index Options'!$I:$I,"MDAW*")=0,"",SUMIFS('NSE - NIFTY Index Options'!$M:$M,'NSE - NIFTY Index Options'!$C:$C,$A40,'NSE - NIFTY Index Options'!$B:$B,C$4,'NSE - NIFTY Index Options'!$I:$I,"Weekly*")+SUMIFS('NSE - NIFTY Index Options'!$M:$M,'NSE - NIFTY Index Options'!$C:$C,$A40,'NSE - NIFTY Index Options'!$B:$B,C$4,'NSE - NIFTY Index Options'!$I:$I,"MDAW*")+SUMIFS('NSE - Other Index Options'!$M:$M,'NSE - Other Index Options'!$C:$C,$A40,'NSE - Other Index Options'!$B:$B,C$4,'NSE - Other Index Options'!$I:$I,"Weekly*")+SUMIFS('NSE - Other Index Options'!$M:$M,'NSE - Other Index Options'!$C:$C,$A40,'NSE - Other Index Options'!$B:$B,C$4,'NSE - Other Index Options'!$I:$I,"MDAW*")+SUMIFS('BSE - SENSEX Index Options'!$M:$M,'BSE - SENSEX Index Options'!$C:$C,$A40,'BSE - SENSEX Index Options'!$B:$B,C$4,'BSE - SENSEX Index Options'!$I:$I,"Weekly*")+SUMIFS('BSE - SENSEX Index Options'!$M:$M,'BSE - SENSEX Index Options'!$C:$C,$A40,'BSE - SENSEX Index Options'!$B:$B,C$4,'BSE - SENSEX Index Options'!$I:$I,"MDAW*")+SUMIFS('BSE - Other Index Options'!$M:$M,'BSE - Other Index Options'!$C:$C,$A40,'BSE - Other Index Options'!$B:$B,C$4,'BSE - Other Index Options'!$I:$I,"Weekly*")+SUMIFS('BSE - Other Index Options'!$M:$M,'BSE - Other Index Options'!$C:$C,$A40,'BSE - Other Index Options'!$B:$B,C$4,'BSE - Other Index Options'!$I:$I,"MDAW*"))</f>
        <v/>
      </c>
      <c r="D40" s="26">
        <f>IF(SUMIFS('NSE - NIFTY Index Options'!$M:$M,'NSE - NIFTY Index Options'!$C:$C,$A40,'NSE - NIFTY Index Options'!$B:$B,D$4,'NSE - NIFTY Index Options'!$I:$I,"Weekly*")+SUMIFS('NSE - NIFTY Index Options'!$M:$M,'NSE - NIFTY Index Options'!$C:$C,$A40,'NSE - NIFTY Index Options'!$B:$B,D$4,'NSE - NIFTY Index Options'!$I:$I,"MDAW*")+SUMIFS('NSE - Other Index Options'!$M:$M,'NSE - Other Index Options'!$C:$C,$A40,'NSE - Other Index Options'!$B:$B,D$4,'NSE - Other Index Options'!$I:$I,"Weekly*")+SUMIFS('NSE - Other Index Options'!$M:$M,'NSE - Other Index Options'!$C:$C,$A40,'NSE - Other Index Options'!$B:$B,D$4,'NSE - Other Index Options'!$I:$I,"MDAW*")+SUMIFS('BSE - SENSEX Index Options'!$M:$M,'BSE - SENSEX Index Options'!$C:$C,$A40,'BSE - SENSEX Index Options'!$B:$B,D$4,'BSE - SENSEX Index Options'!$I:$I,"Weekly*")+SUMIFS('BSE - SENSEX Index Options'!$M:$M,'BSE - SENSEX Index Options'!$C:$C,$A40,'BSE - SENSEX Index Options'!$B:$B,D$4,'BSE - SENSEX Index Options'!$I:$I,"MDAW*")+SUMIFS('BSE - Other Index Options'!$M:$M,'BSE - Other Index Options'!$C:$C,$A40,'BSE - Other Index Options'!$B:$B,D$4,'BSE - Other Index Options'!$I:$I,"Weekly*")+SUMIFS('BSE - Other Index Options'!$M:$M,'BSE - Other Index Options'!$C:$C,$A40,'BSE - Other Index Options'!$B:$B,D$4,'BSE - Other Index Options'!$I:$I,"MDAW*")=0,"",SUMIFS('NSE - NIFTY Index Options'!$M:$M,'NSE - NIFTY Index Options'!$C:$C,$A40,'NSE - NIFTY Index Options'!$B:$B,D$4,'NSE - NIFTY Index Options'!$I:$I,"Weekly*")+SUMIFS('NSE - NIFTY Index Options'!$M:$M,'NSE - NIFTY Index Options'!$C:$C,$A40,'NSE - NIFTY Index Options'!$B:$B,D$4,'NSE - NIFTY Index Options'!$I:$I,"MDAW*")+SUMIFS('NSE - Other Index Options'!$M:$M,'NSE - Other Index Options'!$C:$C,$A40,'NSE - Other Index Options'!$B:$B,D$4,'NSE - Other Index Options'!$I:$I,"Weekly*")+SUMIFS('NSE - Other Index Options'!$M:$M,'NSE - Other Index Options'!$C:$C,$A40,'NSE - Other Index Options'!$B:$B,D$4,'NSE - Other Index Options'!$I:$I,"MDAW*")+SUMIFS('BSE - SENSEX Index Options'!$M:$M,'BSE - SENSEX Index Options'!$C:$C,$A40,'BSE - SENSEX Index Options'!$B:$B,D$4,'BSE - SENSEX Index Options'!$I:$I,"Weekly*")+SUMIFS('BSE - SENSEX Index Options'!$M:$M,'BSE - SENSEX Index Options'!$C:$C,$A40,'BSE - SENSEX Index Options'!$B:$B,D$4,'BSE - SENSEX Index Options'!$I:$I,"MDAW*")+SUMIFS('BSE - Other Index Options'!$M:$M,'BSE - Other Index Options'!$C:$C,$A40,'BSE - Other Index Options'!$B:$B,D$4,'BSE - Other Index Options'!$I:$I,"Weekly*")+SUMIFS('BSE - Other Index Options'!$M:$M,'BSE - Other Index Options'!$C:$C,$A40,'BSE - Other Index Options'!$B:$B,D$4,'BSE - Other Index Options'!$I:$I,"MDAW*"))</f>
        <v/>
      </c>
      <c r="E40" s="26">
        <f>IF(SUMIFS('NSE - NIFTY Index Options'!$M:$M,'NSE - NIFTY Index Options'!$C:$C,$A40,'NSE - NIFTY Index Options'!$B:$B,E$4,'NSE - NIFTY Index Options'!$I:$I,"Weekly*")+SUMIFS('NSE - NIFTY Index Options'!$M:$M,'NSE - NIFTY Index Options'!$C:$C,$A40,'NSE - NIFTY Index Options'!$B:$B,E$4,'NSE - NIFTY Index Options'!$I:$I,"MDAW*")+SUMIFS('NSE - Other Index Options'!$M:$M,'NSE - Other Index Options'!$C:$C,$A40,'NSE - Other Index Options'!$B:$B,E$4,'NSE - Other Index Options'!$I:$I,"Weekly*")+SUMIFS('NSE - Other Index Options'!$M:$M,'NSE - Other Index Options'!$C:$C,$A40,'NSE - Other Index Options'!$B:$B,E$4,'NSE - Other Index Options'!$I:$I,"MDAW*")+SUMIFS('BSE - SENSEX Index Options'!$M:$M,'BSE - SENSEX Index Options'!$C:$C,$A40,'BSE - SENSEX Index Options'!$B:$B,E$4,'BSE - SENSEX Index Options'!$I:$I,"Weekly*")+SUMIFS('BSE - SENSEX Index Options'!$M:$M,'BSE - SENSEX Index Options'!$C:$C,$A40,'BSE - SENSEX Index Options'!$B:$B,E$4,'BSE - SENSEX Index Options'!$I:$I,"MDAW*")+SUMIFS('BSE - Other Index Options'!$M:$M,'BSE - Other Index Options'!$C:$C,$A40,'BSE - Other Index Options'!$B:$B,E$4,'BSE - Other Index Options'!$I:$I,"Weekly*")+SUMIFS('BSE - Other Index Options'!$M:$M,'BSE - Other Index Options'!$C:$C,$A40,'BSE - Other Index Options'!$B:$B,E$4,'BSE - Other Index Options'!$I:$I,"MDAW*")=0,"",SUMIFS('NSE - NIFTY Index Options'!$M:$M,'NSE - NIFTY Index Options'!$C:$C,$A40,'NSE - NIFTY Index Options'!$B:$B,E$4,'NSE - NIFTY Index Options'!$I:$I,"Weekly*")+SUMIFS('NSE - NIFTY Index Options'!$M:$M,'NSE - NIFTY Index Options'!$C:$C,$A40,'NSE - NIFTY Index Options'!$B:$B,E$4,'NSE - NIFTY Index Options'!$I:$I,"MDAW*")+SUMIFS('NSE - Other Index Options'!$M:$M,'NSE - Other Index Options'!$C:$C,$A40,'NSE - Other Index Options'!$B:$B,E$4,'NSE - Other Index Options'!$I:$I,"Weekly*")+SUMIFS('NSE - Other Index Options'!$M:$M,'NSE - Other Index Options'!$C:$C,$A40,'NSE - Other Index Options'!$B:$B,E$4,'NSE - Other Index Options'!$I:$I,"MDAW*")+SUMIFS('BSE - SENSEX Index Options'!$M:$M,'BSE - SENSEX Index Options'!$C:$C,$A40,'BSE - SENSEX Index Options'!$B:$B,E$4,'BSE - SENSEX Index Options'!$I:$I,"Weekly*")+SUMIFS('BSE - SENSEX Index Options'!$M:$M,'BSE - SENSEX Index Options'!$C:$C,$A40,'BSE - SENSEX Index Options'!$B:$B,E$4,'BSE - SENSEX Index Options'!$I:$I,"MDAW*")+SUMIFS('BSE - Other Index Options'!$M:$M,'BSE - Other Index Options'!$C:$C,$A40,'BSE - Other Index Options'!$B:$B,E$4,'BSE - Other Index Options'!$I:$I,"Weekly*")+SUMIFS('BSE - Other Index Options'!$M:$M,'BSE - Other Index Options'!$C:$C,$A40,'BSE - Other Index Options'!$B:$B,E$4,'BSE - Other Index Options'!$I:$I,"MDAW*"))</f>
        <v/>
      </c>
      <c r="F40" s="26">
        <f>IF(SUMIFS('NSE - NIFTY Index Options'!$M:$M,'NSE - NIFTY Index Options'!$C:$C,$A40,'NSE - NIFTY Index Options'!$B:$B,F$4,'NSE - NIFTY Index Options'!$I:$I,"Weekly*")+SUMIFS('NSE - NIFTY Index Options'!$M:$M,'NSE - NIFTY Index Options'!$C:$C,$A40,'NSE - NIFTY Index Options'!$B:$B,F$4,'NSE - NIFTY Index Options'!$I:$I,"MDAW*")+SUMIFS('NSE - Other Index Options'!$M:$M,'NSE - Other Index Options'!$C:$C,$A40,'NSE - Other Index Options'!$B:$B,F$4,'NSE - Other Index Options'!$I:$I,"Weekly*")+SUMIFS('NSE - Other Index Options'!$M:$M,'NSE - Other Index Options'!$C:$C,$A40,'NSE - Other Index Options'!$B:$B,F$4,'NSE - Other Index Options'!$I:$I,"MDAW*")+SUMIFS('BSE - SENSEX Index Options'!$M:$M,'BSE - SENSEX Index Options'!$C:$C,$A40,'BSE - SENSEX Index Options'!$B:$B,F$4,'BSE - SENSEX Index Options'!$I:$I,"Weekly*")+SUMIFS('BSE - SENSEX Index Options'!$M:$M,'BSE - SENSEX Index Options'!$C:$C,$A40,'BSE - SENSEX Index Options'!$B:$B,F$4,'BSE - SENSEX Index Options'!$I:$I,"MDAW*")+SUMIFS('BSE - Other Index Options'!$M:$M,'BSE - Other Index Options'!$C:$C,$A40,'BSE - Other Index Options'!$B:$B,F$4,'BSE - Other Index Options'!$I:$I,"Weekly*")+SUMIFS('BSE - Other Index Options'!$M:$M,'BSE - Other Index Options'!$C:$C,$A40,'BSE - Other Index Options'!$B:$B,F$4,'BSE - Other Index Options'!$I:$I,"MDAW*")=0,"",SUMIFS('NSE - NIFTY Index Options'!$M:$M,'NSE - NIFTY Index Options'!$C:$C,$A40,'NSE - NIFTY Index Options'!$B:$B,F$4,'NSE - NIFTY Index Options'!$I:$I,"Weekly*")+SUMIFS('NSE - NIFTY Index Options'!$M:$M,'NSE - NIFTY Index Options'!$C:$C,$A40,'NSE - NIFTY Index Options'!$B:$B,F$4,'NSE - NIFTY Index Options'!$I:$I,"MDAW*")+SUMIFS('NSE - Other Index Options'!$M:$M,'NSE - Other Index Options'!$C:$C,$A40,'NSE - Other Index Options'!$B:$B,F$4,'NSE - Other Index Options'!$I:$I,"Weekly*")+SUMIFS('NSE - Other Index Options'!$M:$M,'NSE - Other Index Options'!$C:$C,$A40,'NSE - Other Index Options'!$B:$B,F$4,'NSE - Other Index Options'!$I:$I,"MDAW*")+SUMIFS('BSE - SENSEX Index Options'!$M:$M,'BSE - SENSEX Index Options'!$C:$C,$A40,'BSE - SENSEX Index Options'!$B:$B,F$4,'BSE - SENSEX Index Options'!$I:$I,"Weekly*")+SUMIFS('BSE - SENSEX Index Options'!$M:$M,'BSE - SENSEX Index Options'!$C:$C,$A40,'BSE - SENSEX Index Options'!$B:$B,F$4,'BSE - SENSEX Index Options'!$I:$I,"MDAW*")+SUMIFS('BSE - Other Index Options'!$M:$M,'BSE - Other Index Options'!$C:$C,$A40,'BSE - Other Index Options'!$B:$B,F$4,'BSE - Other Index Options'!$I:$I,"Weekly*")+SUMIFS('BSE - Other Index Options'!$M:$M,'BSE - Other Index Options'!$C:$C,$A40,'BSE - Other Index Options'!$B:$B,F$4,'BSE - Other Index Options'!$I:$I,"MDAW*"))</f>
        <v/>
      </c>
      <c r="G40" s="26">
        <f>IF(SUMIFS('NSE - NIFTY Index Options'!$M:$M,'NSE - NIFTY Index Options'!$C:$C,$A40,'NSE - NIFTY Index Options'!$B:$B,G$4,'NSE - NIFTY Index Options'!$I:$I,"Weekly*")+SUMIFS('NSE - NIFTY Index Options'!$M:$M,'NSE - NIFTY Index Options'!$C:$C,$A40,'NSE - NIFTY Index Options'!$B:$B,G$4,'NSE - NIFTY Index Options'!$I:$I,"MDAW*")+SUMIFS('NSE - Other Index Options'!$M:$M,'NSE - Other Index Options'!$C:$C,$A40,'NSE - Other Index Options'!$B:$B,G$4,'NSE - Other Index Options'!$I:$I,"Weekly*")+SUMIFS('NSE - Other Index Options'!$M:$M,'NSE - Other Index Options'!$C:$C,$A40,'NSE - Other Index Options'!$B:$B,G$4,'NSE - Other Index Options'!$I:$I,"MDAW*")+SUMIFS('BSE - SENSEX Index Options'!$M:$M,'BSE - SENSEX Index Options'!$C:$C,$A40,'BSE - SENSEX Index Options'!$B:$B,G$4,'BSE - SENSEX Index Options'!$I:$I,"Weekly*")+SUMIFS('BSE - SENSEX Index Options'!$M:$M,'BSE - SENSEX Index Options'!$C:$C,$A40,'BSE - SENSEX Index Options'!$B:$B,G$4,'BSE - SENSEX Index Options'!$I:$I,"MDAW*")+SUMIFS('BSE - Other Index Options'!$M:$M,'BSE - Other Index Options'!$C:$C,$A40,'BSE - Other Index Options'!$B:$B,G$4,'BSE - Other Index Options'!$I:$I,"Weekly*")+SUMIFS('BSE - Other Index Options'!$M:$M,'BSE - Other Index Options'!$C:$C,$A40,'BSE - Other Index Options'!$B:$B,G$4,'BSE - Other Index Options'!$I:$I,"MDAW*")=0,"",SUMIFS('NSE - NIFTY Index Options'!$M:$M,'NSE - NIFTY Index Options'!$C:$C,$A40,'NSE - NIFTY Index Options'!$B:$B,G$4,'NSE - NIFTY Index Options'!$I:$I,"Weekly*")+SUMIFS('NSE - NIFTY Index Options'!$M:$M,'NSE - NIFTY Index Options'!$C:$C,$A40,'NSE - NIFTY Index Options'!$B:$B,G$4,'NSE - NIFTY Index Options'!$I:$I,"MDAW*")+SUMIFS('NSE - Other Index Options'!$M:$M,'NSE - Other Index Options'!$C:$C,$A40,'NSE - Other Index Options'!$B:$B,G$4,'NSE - Other Index Options'!$I:$I,"Weekly*")+SUMIFS('NSE - Other Index Options'!$M:$M,'NSE - Other Index Options'!$C:$C,$A40,'NSE - Other Index Options'!$B:$B,G$4,'NSE - Other Index Options'!$I:$I,"MDAW*")+SUMIFS('BSE - SENSEX Index Options'!$M:$M,'BSE - SENSEX Index Options'!$C:$C,$A40,'BSE - SENSEX Index Options'!$B:$B,G$4,'BSE - SENSEX Index Options'!$I:$I,"Weekly*")+SUMIFS('BSE - SENSEX Index Options'!$M:$M,'BSE - SENSEX Index Options'!$C:$C,$A40,'BSE - SENSEX Index Options'!$B:$B,G$4,'BSE - SENSEX Index Options'!$I:$I,"MDAW*")+SUMIFS('BSE - Other Index Options'!$M:$M,'BSE - Other Index Options'!$C:$C,$A40,'BSE - Other Index Options'!$B:$B,G$4,'BSE - Other Index Options'!$I:$I,"Weekly*")+SUMIFS('BSE - Other Index Options'!$M:$M,'BSE - Other Index Options'!$C:$C,$A40,'BSE - Other Index Options'!$B:$B,G$4,'BSE - Other Index Options'!$I:$I,"MDAW*"))</f>
        <v/>
      </c>
      <c r="H40" s="26">
        <f>IF(SUM(B40:G40)=0,"",SUM(B40:G40))</f>
        <v/>
      </c>
    </row>
    <row r="41">
      <c r="A41" t="inlineStr">
        <is>
          <t>Week3-Apr-2026</t>
        </is>
      </c>
      <c r="B41" s="26">
        <f>IF(SUMIFS('NSE - NIFTY Index Options'!$M:$M,'NSE - NIFTY Index Options'!$C:$C,$A41,'NSE - NIFTY Index Options'!$B:$B,B$4,'NSE - NIFTY Index Options'!$I:$I,"Weekly*")+SUMIFS('NSE - NIFTY Index Options'!$M:$M,'NSE - NIFTY Index Options'!$C:$C,$A41,'NSE - NIFTY Index Options'!$B:$B,B$4,'NSE - NIFTY Index Options'!$I:$I,"MDAW*")+SUMIFS('NSE - Other Index Options'!$M:$M,'NSE - Other Index Options'!$C:$C,$A41,'NSE - Other Index Options'!$B:$B,B$4,'NSE - Other Index Options'!$I:$I,"Weekly*")+SUMIFS('NSE - Other Index Options'!$M:$M,'NSE - Other Index Options'!$C:$C,$A41,'NSE - Other Index Options'!$B:$B,B$4,'NSE - Other Index Options'!$I:$I,"MDAW*")+SUMIFS('BSE - SENSEX Index Options'!$M:$M,'BSE - SENSEX Index Options'!$C:$C,$A41,'BSE - SENSEX Index Options'!$B:$B,B$4,'BSE - SENSEX Index Options'!$I:$I,"Weekly*")+SUMIFS('BSE - SENSEX Index Options'!$M:$M,'BSE - SENSEX Index Options'!$C:$C,$A41,'BSE - SENSEX Index Options'!$B:$B,B$4,'BSE - SENSEX Index Options'!$I:$I,"MDAW*")+SUMIFS('BSE - Other Index Options'!$M:$M,'BSE - Other Index Options'!$C:$C,$A41,'BSE - Other Index Options'!$B:$B,B$4,'BSE - Other Index Options'!$I:$I,"Weekly*")+SUMIFS('BSE - Other Index Options'!$M:$M,'BSE - Other Index Options'!$C:$C,$A41,'BSE - Other Index Options'!$B:$B,B$4,'BSE - Other Index Options'!$I:$I,"MDAW*")=0,"",SUMIFS('NSE - NIFTY Index Options'!$M:$M,'NSE - NIFTY Index Options'!$C:$C,$A41,'NSE - NIFTY Index Options'!$B:$B,B$4,'NSE - NIFTY Index Options'!$I:$I,"Weekly*")+SUMIFS('NSE - NIFTY Index Options'!$M:$M,'NSE - NIFTY Index Options'!$C:$C,$A41,'NSE - NIFTY Index Options'!$B:$B,B$4,'NSE - NIFTY Index Options'!$I:$I,"MDAW*")+SUMIFS('NSE - Other Index Options'!$M:$M,'NSE - Other Index Options'!$C:$C,$A41,'NSE - Other Index Options'!$B:$B,B$4,'NSE - Other Index Options'!$I:$I,"Weekly*")+SUMIFS('NSE - Other Index Options'!$M:$M,'NSE - Other Index Options'!$C:$C,$A41,'NSE - Other Index Options'!$B:$B,B$4,'NSE - Other Index Options'!$I:$I,"MDAW*")+SUMIFS('BSE - SENSEX Index Options'!$M:$M,'BSE - SENSEX Index Options'!$C:$C,$A41,'BSE - SENSEX Index Options'!$B:$B,B$4,'BSE - SENSEX Index Options'!$I:$I,"Weekly*")+SUMIFS('BSE - SENSEX Index Options'!$M:$M,'BSE - SENSEX Index Options'!$C:$C,$A41,'BSE - SENSEX Index Options'!$B:$B,B$4,'BSE - SENSEX Index Options'!$I:$I,"MDAW*")+SUMIFS('BSE - Other Index Options'!$M:$M,'BSE - Other Index Options'!$C:$C,$A41,'BSE - Other Index Options'!$B:$B,B$4,'BSE - Other Index Options'!$I:$I,"Weekly*")+SUMIFS('BSE - Other Index Options'!$M:$M,'BSE - Other Index Options'!$C:$C,$A41,'BSE - Other Index Options'!$B:$B,B$4,'BSE - Other Index Options'!$I:$I,"MDAW*"))</f>
        <v/>
      </c>
      <c r="C41" s="26">
        <f>IF(SUMIFS('NSE - NIFTY Index Options'!$M:$M,'NSE - NIFTY Index Options'!$C:$C,$A41,'NSE - NIFTY Index Options'!$B:$B,C$4,'NSE - NIFTY Index Options'!$I:$I,"Weekly*")+SUMIFS('NSE - NIFTY Index Options'!$M:$M,'NSE - NIFTY Index Options'!$C:$C,$A41,'NSE - NIFTY Index Options'!$B:$B,C$4,'NSE - NIFTY Index Options'!$I:$I,"MDAW*")+SUMIFS('NSE - Other Index Options'!$M:$M,'NSE - Other Index Options'!$C:$C,$A41,'NSE - Other Index Options'!$B:$B,C$4,'NSE - Other Index Options'!$I:$I,"Weekly*")+SUMIFS('NSE - Other Index Options'!$M:$M,'NSE - Other Index Options'!$C:$C,$A41,'NSE - Other Index Options'!$B:$B,C$4,'NSE - Other Index Options'!$I:$I,"MDAW*")+SUMIFS('BSE - SENSEX Index Options'!$M:$M,'BSE - SENSEX Index Options'!$C:$C,$A41,'BSE - SENSEX Index Options'!$B:$B,C$4,'BSE - SENSEX Index Options'!$I:$I,"Weekly*")+SUMIFS('BSE - SENSEX Index Options'!$M:$M,'BSE - SENSEX Index Options'!$C:$C,$A41,'BSE - SENSEX Index Options'!$B:$B,C$4,'BSE - SENSEX Index Options'!$I:$I,"MDAW*")+SUMIFS('BSE - Other Index Options'!$M:$M,'BSE - Other Index Options'!$C:$C,$A41,'BSE - Other Index Options'!$B:$B,C$4,'BSE - Other Index Options'!$I:$I,"Weekly*")+SUMIFS('BSE - Other Index Options'!$M:$M,'BSE - Other Index Options'!$C:$C,$A41,'BSE - Other Index Options'!$B:$B,C$4,'BSE - Other Index Options'!$I:$I,"MDAW*")=0,"",SUMIFS('NSE - NIFTY Index Options'!$M:$M,'NSE - NIFTY Index Options'!$C:$C,$A41,'NSE - NIFTY Index Options'!$B:$B,C$4,'NSE - NIFTY Index Options'!$I:$I,"Weekly*")+SUMIFS('NSE - NIFTY Index Options'!$M:$M,'NSE - NIFTY Index Options'!$C:$C,$A41,'NSE - NIFTY Index Options'!$B:$B,C$4,'NSE - NIFTY Index Options'!$I:$I,"MDAW*")+SUMIFS('NSE - Other Index Options'!$M:$M,'NSE - Other Index Options'!$C:$C,$A41,'NSE - Other Index Options'!$B:$B,C$4,'NSE - Other Index Options'!$I:$I,"Weekly*")+SUMIFS('NSE - Other Index Options'!$M:$M,'NSE - Other Index Options'!$C:$C,$A41,'NSE - Other Index Options'!$B:$B,C$4,'NSE - Other Index Options'!$I:$I,"MDAW*")+SUMIFS('BSE - SENSEX Index Options'!$M:$M,'BSE - SENSEX Index Options'!$C:$C,$A41,'BSE - SENSEX Index Options'!$B:$B,C$4,'BSE - SENSEX Index Options'!$I:$I,"Weekly*")+SUMIFS('BSE - SENSEX Index Options'!$M:$M,'BSE - SENSEX Index Options'!$C:$C,$A41,'BSE - SENSEX Index Options'!$B:$B,C$4,'BSE - SENSEX Index Options'!$I:$I,"MDAW*")+SUMIFS('BSE - Other Index Options'!$M:$M,'BSE - Other Index Options'!$C:$C,$A41,'BSE - Other Index Options'!$B:$B,C$4,'BSE - Other Index Options'!$I:$I,"Weekly*")+SUMIFS('BSE - Other Index Options'!$M:$M,'BSE - Other Index Options'!$C:$C,$A41,'BSE - Other Index Options'!$B:$B,C$4,'BSE - Other Index Options'!$I:$I,"MDAW*"))</f>
        <v/>
      </c>
      <c r="D41" s="26">
        <f>IF(SUMIFS('NSE - NIFTY Index Options'!$M:$M,'NSE - NIFTY Index Options'!$C:$C,$A41,'NSE - NIFTY Index Options'!$B:$B,D$4,'NSE - NIFTY Index Options'!$I:$I,"Weekly*")+SUMIFS('NSE - NIFTY Index Options'!$M:$M,'NSE - NIFTY Index Options'!$C:$C,$A41,'NSE - NIFTY Index Options'!$B:$B,D$4,'NSE - NIFTY Index Options'!$I:$I,"MDAW*")+SUMIFS('NSE - Other Index Options'!$M:$M,'NSE - Other Index Options'!$C:$C,$A41,'NSE - Other Index Options'!$B:$B,D$4,'NSE - Other Index Options'!$I:$I,"Weekly*")+SUMIFS('NSE - Other Index Options'!$M:$M,'NSE - Other Index Options'!$C:$C,$A41,'NSE - Other Index Options'!$B:$B,D$4,'NSE - Other Index Options'!$I:$I,"MDAW*")+SUMIFS('BSE - SENSEX Index Options'!$M:$M,'BSE - SENSEX Index Options'!$C:$C,$A41,'BSE - SENSEX Index Options'!$B:$B,D$4,'BSE - SENSEX Index Options'!$I:$I,"Weekly*")+SUMIFS('BSE - SENSEX Index Options'!$M:$M,'BSE - SENSEX Index Options'!$C:$C,$A41,'BSE - SENSEX Index Options'!$B:$B,D$4,'BSE - SENSEX Index Options'!$I:$I,"MDAW*")+SUMIFS('BSE - Other Index Options'!$M:$M,'BSE - Other Index Options'!$C:$C,$A41,'BSE - Other Index Options'!$B:$B,D$4,'BSE - Other Index Options'!$I:$I,"Weekly*")+SUMIFS('BSE - Other Index Options'!$M:$M,'BSE - Other Index Options'!$C:$C,$A41,'BSE - Other Index Options'!$B:$B,D$4,'BSE - Other Index Options'!$I:$I,"MDAW*")=0,"",SUMIFS('NSE - NIFTY Index Options'!$M:$M,'NSE - NIFTY Index Options'!$C:$C,$A41,'NSE - NIFTY Index Options'!$B:$B,D$4,'NSE - NIFTY Index Options'!$I:$I,"Weekly*")+SUMIFS('NSE - NIFTY Index Options'!$M:$M,'NSE - NIFTY Index Options'!$C:$C,$A41,'NSE - NIFTY Index Options'!$B:$B,D$4,'NSE - NIFTY Index Options'!$I:$I,"MDAW*")+SUMIFS('NSE - Other Index Options'!$M:$M,'NSE - Other Index Options'!$C:$C,$A41,'NSE - Other Index Options'!$B:$B,D$4,'NSE - Other Index Options'!$I:$I,"Weekly*")+SUMIFS('NSE - Other Index Options'!$M:$M,'NSE - Other Index Options'!$C:$C,$A41,'NSE - Other Index Options'!$B:$B,D$4,'NSE - Other Index Options'!$I:$I,"MDAW*")+SUMIFS('BSE - SENSEX Index Options'!$M:$M,'BSE - SENSEX Index Options'!$C:$C,$A41,'BSE - SENSEX Index Options'!$B:$B,D$4,'BSE - SENSEX Index Options'!$I:$I,"Weekly*")+SUMIFS('BSE - SENSEX Index Options'!$M:$M,'BSE - SENSEX Index Options'!$C:$C,$A41,'BSE - SENSEX Index Options'!$B:$B,D$4,'BSE - SENSEX Index Options'!$I:$I,"MDAW*")+SUMIFS('BSE - Other Index Options'!$M:$M,'BSE - Other Index Options'!$C:$C,$A41,'BSE - Other Index Options'!$B:$B,D$4,'BSE - Other Index Options'!$I:$I,"Weekly*")+SUMIFS('BSE - Other Index Options'!$M:$M,'BSE - Other Index Options'!$C:$C,$A41,'BSE - Other Index Options'!$B:$B,D$4,'BSE - Other Index Options'!$I:$I,"MDAW*"))</f>
        <v/>
      </c>
      <c r="E41" s="26">
        <f>IF(SUMIFS('NSE - NIFTY Index Options'!$M:$M,'NSE - NIFTY Index Options'!$C:$C,$A41,'NSE - NIFTY Index Options'!$B:$B,E$4,'NSE - NIFTY Index Options'!$I:$I,"Weekly*")+SUMIFS('NSE - NIFTY Index Options'!$M:$M,'NSE - NIFTY Index Options'!$C:$C,$A41,'NSE - NIFTY Index Options'!$B:$B,E$4,'NSE - NIFTY Index Options'!$I:$I,"MDAW*")+SUMIFS('NSE - Other Index Options'!$M:$M,'NSE - Other Index Options'!$C:$C,$A41,'NSE - Other Index Options'!$B:$B,E$4,'NSE - Other Index Options'!$I:$I,"Weekly*")+SUMIFS('NSE - Other Index Options'!$M:$M,'NSE - Other Index Options'!$C:$C,$A41,'NSE - Other Index Options'!$B:$B,E$4,'NSE - Other Index Options'!$I:$I,"MDAW*")+SUMIFS('BSE - SENSEX Index Options'!$M:$M,'BSE - SENSEX Index Options'!$C:$C,$A41,'BSE - SENSEX Index Options'!$B:$B,E$4,'BSE - SENSEX Index Options'!$I:$I,"Weekly*")+SUMIFS('BSE - SENSEX Index Options'!$M:$M,'BSE - SENSEX Index Options'!$C:$C,$A41,'BSE - SENSEX Index Options'!$B:$B,E$4,'BSE - SENSEX Index Options'!$I:$I,"MDAW*")+SUMIFS('BSE - Other Index Options'!$M:$M,'BSE - Other Index Options'!$C:$C,$A41,'BSE - Other Index Options'!$B:$B,E$4,'BSE - Other Index Options'!$I:$I,"Weekly*")+SUMIFS('BSE - Other Index Options'!$M:$M,'BSE - Other Index Options'!$C:$C,$A41,'BSE - Other Index Options'!$B:$B,E$4,'BSE - Other Index Options'!$I:$I,"MDAW*")=0,"",SUMIFS('NSE - NIFTY Index Options'!$M:$M,'NSE - NIFTY Index Options'!$C:$C,$A41,'NSE - NIFTY Index Options'!$B:$B,E$4,'NSE - NIFTY Index Options'!$I:$I,"Weekly*")+SUMIFS('NSE - NIFTY Index Options'!$M:$M,'NSE - NIFTY Index Options'!$C:$C,$A41,'NSE - NIFTY Index Options'!$B:$B,E$4,'NSE - NIFTY Index Options'!$I:$I,"MDAW*")+SUMIFS('NSE - Other Index Options'!$M:$M,'NSE - Other Index Options'!$C:$C,$A41,'NSE - Other Index Options'!$B:$B,E$4,'NSE - Other Index Options'!$I:$I,"Weekly*")+SUMIFS('NSE - Other Index Options'!$M:$M,'NSE - Other Index Options'!$C:$C,$A41,'NSE - Other Index Options'!$B:$B,E$4,'NSE - Other Index Options'!$I:$I,"MDAW*")+SUMIFS('BSE - SENSEX Index Options'!$M:$M,'BSE - SENSEX Index Options'!$C:$C,$A41,'BSE - SENSEX Index Options'!$B:$B,E$4,'BSE - SENSEX Index Options'!$I:$I,"Weekly*")+SUMIFS('BSE - SENSEX Index Options'!$M:$M,'BSE - SENSEX Index Options'!$C:$C,$A41,'BSE - SENSEX Index Options'!$B:$B,E$4,'BSE - SENSEX Index Options'!$I:$I,"MDAW*")+SUMIFS('BSE - Other Index Options'!$M:$M,'BSE - Other Index Options'!$C:$C,$A41,'BSE - Other Index Options'!$B:$B,E$4,'BSE - Other Index Options'!$I:$I,"Weekly*")+SUMIFS('BSE - Other Index Options'!$M:$M,'BSE - Other Index Options'!$C:$C,$A41,'BSE - Other Index Options'!$B:$B,E$4,'BSE - Other Index Options'!$I:$I,"MDAW*"))</f>
        <v/>
      </c>
      <c r="F41" s="26">
        <f>IF(SUMIFS('NSE - NIFTY Index Options'!$M:$M,'NSE - NIFTY Index Options'!$C:$C,$A41,'NSE - NIFTY Index Options'!$B:$B,F$4,'NSE - NIFTY Index Options'!$I:$I,"Weekly*")+SUMIFS('NSE - NIFTY Index Options'!$M:$M,'NSE - NIFTY Index Options'!$C:$C,$A41,'NSE - NIFTY Index Options'!$B:$B,F$4,'NSE - NIFTY Index Options'!$I:$I,"MDAW*")+SUMIFS('NSE - Other Index Options'!$M:$M,'NSE - Other Index Options'!$C:$C,$A41,'NSE - Other Index Options'!$B:$B,F$4,'NSE - Other Index Options'!$I:$I,"Weekly*")+SUMIFS('NSE - Other Index Options'!$M:$M,'NSE - Other Index Options'!$C:$C,$A41,'NSE - Other Index Options'!$B:$B,F$4,'NSE - Other Index Options'!$I:$I,"MDAW*")+SUMIFS('BSE - SENSEX Index Options'!$M:$M,'BSE - SENSEX Index Options'!$C:$C,$A41,'BSE - SENSEX Index Options'!$B:$B,F$4,'BSE - SENSEX Index Options'!$I:$I,"Weekly*")+SUMIFS('BSE - SENSEX Index Options'!$M:$M,'BSE - SENSEX Index Options'!$C:$C,$A41,'BSE - SENSEX Index Options'!$B:$B,F$4,'BSE - SENSEX Index Options'!$I:$I,"MDAW*")+SUMIFS('BSE - Other Index Options'!$M:$M,'BSE - Other Index Options'!$C:$C,$A41,'BSE - Other Index Options'!$B:$B,F$4,'BSE - Other Index Options'!$I:$I,"Weekly*")+SUMIFS('BSE - Other Index Options'!$M:$M,'BSE - Other Index Options'!$C:$C,$A41,'BSE - Other Index Options'!$B:$B,F$4,'BSE - Other Index Options'!$I:$I,"MDAW*")=0,"",SUMIFS('NSE - NIFTY Index Options'!$M:$M,'NSE - NIFTY Index Options'!$C:$C,$A41,'NSE - NIFTY Index Options'!$B:$B,F$4,'NSE - NIFTY Index Options'!$I:$I,"Weekly*")+SUMIFS('NSE - NIFTY Index Options'!$M:$M,'NSE - NIFTY Index Options'!$C:$C,$A41,'NSE - NIFTY Index Options'!$B:$B,F$4,'NSE - NIFTY Index Options'!$I:$I,"MDAW*")+SUMIFS('NSE - Other Index Options'!$M:$M,'NSE - Other Index Options'!$C:$C,$A41,'NSE - Other Index Options'!$B:$B,F$4,'NSE - Other Index Options'!$I:$I,"Weekly*")+SUMIFS('NSE - Other Index Options'!$M:$M,'NSE - Other Index Options'!$C:$C,$A41,'NSE - Other Index Options'!$B:$B,F$4,'NSE - Other Index Options'!$I:$I,"MDAW*")+SUMIFS('BSE - SENSEX Index Options'!$M:$M,'BSE - SENSEX Index Options'!$C:$C,$A41,'BSE - SENSEX Index Options'!$B:$B,F$4,'BSE - SENSEX Index Options'!$I:$I,"Weekly*")+SUMIFS('BSE - SENSEX Index Options'!$M:$M,'BSE - SENSEX Index Options'!$C:$C,$A41,'BSE - SENSEX Index Options'!$B:$B,F$4,'BSE - SENSEX Index Options'!$I:$I,"MDAW*")+SUMIFS('BSE - Other Index Options'!$M:$M,'BSE - Other Index Options'!$C:$C,$A41,'BSE - Other Index Options'!$B:$B,F$4,'BSE - Other Index Options'!$I:$I,"Weekly*")+SUMIFS('BSE - Other Index Options'!$M:$M,'BSE - Other Index Options'!$C:$C,$A41,'BSE - Other Index Options'!$B:$B,F$4,'BSE - Other Index Options'!$I:$I,"MDAW*"))</f>
        <v/>
      </c>
      <c r="G41" s="26">
        <f>IF(SUMIFS('NSE - NIFTY Index Options'!$M:$M,'NSE - NIFTY Index Options'!$C:$C,$A41,'NSE - NIFTY Index Options'!$B:$B,G$4,'NSE - NIFTY Index Options'!$I:$I,"Weekly*")+SUMIFS('NSE - NIFTY Index Options'!$M:$M,'NSE - NIFTY Index Options'!$C:$C,$A41,'NSE - NIFTY Index Options'!$B:$B,G$4,'NSE - NIFTY Index Options'!$I:$I,"MDAW*")+SUMIFS('NSE - Other Index Options'!$M:$M,'NSE - Other Index Options'!$C:$C,$A41,'NSE - Other Index Options'!$B:$B,G$4,'NSE - Other Index Options'!$I:$I,"Weekly*")+SUMIFS('NSE - Other Index Options'!$M:$M,'NSE - Other Index Options'!$C:$C,$A41,'NSE - Other Index Options'!$B:$B,G$4,'NSE - Other Index Options'!$I:$I,"MDAW*")+SUMIFS('BSE - SENSEX Index Options'!$M:$M,'BSE - SENSEX Index Options'!$C:$C,$A41,'BSE - SENSEX Index Options'!$B:$B,G$4,'BSE - SENSEX Index Options'!$I:$I,"Weekly*")+SUMIFS('BSE - SENSEX Index Options'!$M:$M,'BSE - SENSEX Index Options'!$C:$C,$A41,'BSE - SENSEX Index Options'!$B:$B,G$4,'BSE - SENSEX Index Options'!$I:$I,"MDAW*")+SUMIFS('BSE - Other Index Options'!$M:$M,'BSE - Other Index Options'!$C:$C,$A41,'BSE - Other Index Options'!$B:$B,G$4,'BSE - Other Index Options'!$I:$I,"Weekly*")+SUMIFS('BSE - Other Index Options'!$M:$M,'BSE - Other Index Options'!$C:$C,$A41,'BSE - Other Index Options'!$B:$B,G$4,'BSE - Other Index Options'!$I:$I,"MDAW*")=0,"",SUMIFS('NSE - NIFTY Index Options'!$M:$M,'NSE - NIFTY Index Options'!$C:$C,$A41,'NSE - NIFTY Index Options'!$B:$B,G$4,'NSE - NIFTY Index Options'!$I:$I,"Weekly*")+SUMIFS('NSE - NIFTY Index Options'!$M:$M,'NSE - NIFTY Index Options'!$C:$C,$A41,'NSE - NIFTY Index Options'!$B:$B,G$4,'NSE - NIFTY Index Options'!$I:$I,"MDAW*")+SUMIFS('NSE - Other Index Options'!$M:$M,'NSE - Other Index Options'!$C:$C,$A41,'NSE - Other Index Options'!$B:$B,G$4,'NSE - Other Index Options'!$I:$I,"Weekly*")+SUMIFS('NSE - Other Index Options'!$M:$M,'NSE - Other Index Options'!$C:$C,$A41,'NSE - Other Index Options'!$B:$B,G$4,'NSE - Other Index Options'!$I:$I,"MDAW*")+SUMIFS('BSE - SENSEX Index Options'!$M:$M,'BSE - SENSEX Index Options'!$C:$C,$A41,'BSE - SENSEX Index Options'!$B:$B,G$4,'BSE - SENSEX Index Options'!$I:$I,"Weekly*")+SUMIFS('BSE - SENSEX Index Options'!$M:$M,'BSE - SENSEX Index Options'!$C:$C,$A41,'BSE - SENSEX Index Options'!$B:$B,G$4,'BSE - SENSEX Index Options'!$I:$I,"MDAW*")+SUMIFS('BSE - Other Index Options'!$M:$M,'BSE - Other Index Options'!$C:$C,$A41,'BSE - Other Index Options'!$B:$B,G$4,'BSE - Other Index Options'!$I:$I,"Weekly*")+SUMIFS('BSE - Other Index Options'!$M:$M,'BSE - Other Index Options'!$C:$C,$A41,'BSE - Other Index Options'!$B:$B,G$4,'BSE - Other Index Options'!$I:$I,"MDAW*"))</f>
        <v/>
      </c>
      <c r="H41" s="26">
        <f>IF(SUM(B41:G41)=0,"",SUM(B41:G41))</f>
        <v/>
      </c>
    </row>
    <row r="42">
      <c r="A42" t="inlineStr">
        <is>
          <t>Week4-Apr-2026</t>
        </is>
      </c>
      <c r="B42" s="26">
        <f>IF(SUMIFS('NSE - NIFTY Index Options'!$M:$M,'NSE - NIFTY Index Options'!$C:$C,$A42,'NSE - NIFTY Index Options'!$B:$B,B$4,'NSE - NIFTY Index Options'!$I:$I,"Weekly*")+SUMIFS('NSE - NIFTY Index Options'!$M:$M,'NSE - NIFTY Index Options'!$C:$C,$A42,'NSE - NIFTY Index Options'!$B:$B,B$4,'NSE - NIFTY Index Options'!$I:$I,"MDAW*")+SUMIFS('NSE - Other Index Options'!$M:$M,'NSE - Other Index Options'!$C:$C,$A42,'NSE - Other Index Options'!$B:$B,B$4,'NSE - Other Index Options'!$I:$I,"Weekly*")+SUMIFS('NSE - Other Index Options'!$M:$M,'NSE - Other Index Options'!$C:$C,$A42,'NSE - Other Index Options'!$B:$B,B$4,'NSE - Other Index Options'!$I:$I,"MDAW*")+SUMIFS('BSE - SENSEX Index Options'!$M:$M,'BSE - SENSEX Index Options'!$C:$C,$A42,'BSE - SENSEX Index Options'!$B:$B,B$4,'BSE - SENSEX Index Options'!$I:$I,"Weekly*")+SUMIFS('BSE - SENSEX Index Options'!$M:$M,'BSE - SENSEX Index Options'!$C:$C,$A42,'BSE - SENSEX Index Options'!$B:$B,B$4,'BSE - SENSEX Index Options'!$I:$I,"MDAW*")+SUMIFS('BSE - Other Index Options'!$M:$M,'BSE - Other Index Options'!$C:$C,$A42,'BSE - Other Index Options'!$B:$B,B$4,'BSE - Other Index Options'!$I:$I,"Weekly*")+SUMIFS('BSE - Other Index Options'!$M:$M,'BSE - Other Index Options'!$C:$C,$A42,'BSE - Other Index Options'!$B:$B,B$4,'BSE - Other Index Options'!$I:$I,"MDAW*")=0,"",SUMIFS('NSE - NIFTY Index Options'!$M:$M,'NSE - NIFTY Index Options'!$C:$C,$A42,'NSE - NIFTY Index Options'!$B:$B,B$4,'NSE - NIFTY Index Options'!$I:$I,"Weekly*")+SUMIFS('NSE - NIFTY Index Options'!$M:$M,'NSE - NIFTY Index Options'!$C:$C,$A42,'NSE - NIFTY Index Options'!$B:$B,B$4,'NSE - NIFTY Index Options'!$I:$I,"MDAW*")+SUMIFS('NSE - Other Index Options'!$M:$M,'NSE - Other Index Options'!$C:$C,$A42,'NSE - Other Index Options'!$B:$B,B$4,'NSE - Other Index Options'!$I:$I,"Weekly*")+SUMIFS('NSE - Other Index Options'!$M:$M,'NSE - Other Index Options'!$C:$C,$A42,'NSE - Other Index Options'!$B:$B,B$4,'NSE - Other Index Options'!$I:$I,"MDAW*")+SUMIFS('BSE - SENSEX Index Options'!$M:$M,'BSE - SENSEX Index Options'!$C:$C,$A42,'BSE - SENSEX Index Options'!$B:$B,B$4,'BSE - SENSEX Index Options'!$I:$I,"Weekly*")+SUMIFS('BSE - SENSEX Index Options'!$M:$M,'BSE - SENSEX Index Options'!$C:$C,$A42,'BSE - SENSEX Index Options'!$B:$B,B$4,'BSE - SENSEX Index Options'!$I:$I,"MDAW*")+SUMIFS('BSE - Other Index Options'!$M:$M,'BSE - Other Index Options'!$C:$C,$A42,'BSE - Other Index Options'!$B:$B,B$4,'BSE - Other Index Options'!$I:$I,"Weekly*")+SUMIFS('BSE - Other Index Options'!$M:$M,'BSE - Other Index Options'!$C:$C,$A42,'BSE - Other Index Options'!$B:$B,B$4,'BSE - Other Index Options'!$I:$I,"MDAW*"))</f>
        <v/>
      </c>
      <c r="C42" s="26">
        <f>IF(SUMIFS('NSE - NIFTY Index Options'!$M:$M,'NSE - NIFTY Index Options'!$C:$C,$A42,'NSE - NIFTY Index Options'!$B:$B,C$4,'NSE - NIFTY Index Options'!$I:$I,"Weekly*")+SUMIFS('NSE - NIFTY Index Options'!$M:$M,'NSE - NIFTY Index Options'!$C:$C,$A42,'NSE - NIFTY Index Options'!$B:$B,C$4,'NSE - NIFTY Index Options'!$I:$I,"MDAW*")+SUMIFS('NSE - Other Index Options'!$M:$M,'NSE - Other Index Options'!$C:$C,$A42,'NSE - Other Index Options'!$B:$B,C$4,'NSE - Other Index Options'!$I:$I,"Weekly*")+SUMIFS('NSE - Other Index Options'!$M:$M,'NSE - Other Index Options'!$C:$C,$A42,'NSE - Other Index Options'!$B:$B,C$4,'NSE - Other Index Options'!$I:$I,"MDAW*")+SUMIFS('BSE - SENSEX Index Options'!$M:$M,'BSE - SENSEX Index Options'!$C:$C,$A42,'BSE - SENSEX Index Options'!$B:$B,C$4,'BSE - SENSEX Index Options'!$I:$I,"Weekly*")+SUMIFS('BSE - SENSEX Index Options'!$M:$M,'BSE - SENSEX Index Options'!$C:$C,$A42,'BSE - SENSEX Index Options'!$B:$B,C$4,'BSE - SENSEX Index Options'!$I:$I,"MDAW*")+SUMIFS('BSE - Other Index Options'!$M:$M,'BSE - Other Index Options'!$C:$C,$A42,'BSE - Other Index Options'!$B:$B,C$4,'BSE - Other Index Options'!$I:$I,"Weekly*")+SUMIFS('BSE - Other Index Options'!$M:$M,'BSE - Other Index Options'!$C:$C,$A42,'BSE - Other Index Options'!$B:$B,C$4,'BSE - Other Index Options'!$I:$I,"MDAW*")=0,"",SUMIFS('NSE - NIFTY Index Options'!$M:$M,'NSE - NIFTY Index Options'!$C:$C,$A42,'NSE - NIFTY Index Options'!$B:$B,C$4,'NSE - NIFTY Index Options'!$I:$I,"Weekly*")+SUMIFS('NSE - NIFTY Index Options'!$M:$M,'NSE - NIFTY Index Options'!$C:$C,$A42,'NSE - NIFTY Index Options'!$B:$B,C$4,'NSE - NIFTY Index Options'!$I:$I,"MDAW*")+SUMIFS('NSE - Other Index Options'!$M:$M,'NSE - Other Index Options'!$C:$C,$A42,'NSE - Other Index Options'!$B:$B,C$4,'NSE - Other Index Options'!$I:$I,"Weekly*")+SUMIFS('NSE - Other Index Options'!$M:$M,'NSE - Other Index Options'!$C:$C,$A42,'NSE - Other Index Options'!$B:$B,C$4,'NSE - Other Index Options'!$I:$I,"MDAW*")+SUMIFS('BSE - SENSEX Index Options'!$M:$M,'BSE - SENSEX Index Options'!$C:$C,$A42,'BSE - SENSEX Index Options'!$B:$B,C$4,'BSE - SENSEX Index Options'!$I:$I,"Weekly*")+SUMIFS('BSE - SENSEX Index Options'!$M:$M,'BSE - SENSEX Index Options'!$C:$C,$A42,'BSE - SENSEX Index Options'!$B:$B,C$4,'BSE - SENSEX Index Options'!$I:$I,"MDAW*")+SUMIFS('BSE - Other Index Options'!$M:$M,'BSE - Other Index Options'!$C:$C,$A42,'BSE - Other Index Options'!$B:$B,C$4,'BSE - Other Index Options'!$I:$I,"Weekly*")+SUMIFS('BSE - Other Index Options'!$M:$M,'BSE - Other Index Options'!$C:$C,$A42,'BSE - Other Index Options'!$B:$B,C$4,'BSE - Other Index Options'!$I:$I,"MDAW*"))</f>
        <v/>
      </c>
      <c r="D42" s="26">
        <f>IF(SUMIFS('NSE - NIFTY Index Options'!$M:$M,'NSE - NIFTY Index Options'!$C:$C,$A42,'NSE - NIFTY Index Options'!$B:$B,D$4,'NSE - NIFTY Index Options'!$I:$I,"Weekly*")+SUMIFS('NSE - NIFTY Index Options'!$M:$M,'NSE - NIFTY Index Options'!$C:$C,$A42,'NSE - NIFTY Index Options'!$B:$B,D$4,'NSE - NIFTY Index Options'!$I:$I,"MDAW*")+SUMIFS('NSE - Other Index Options'!$M:$M,'NSE - Other Index Options'!$C:$C,$A42,'NSE - Other Index Options'!$B:$B,D$4,'NSE - Other Index Options'!$I:$I,"Weekly*")+SUMIFS('NSE - Other Index Options'!$M:$M,'NSE - Other Index Options'!$C:$C,$A42,'NSE - Other Index Options'!$B:$B,D$4,'NSE - Other Index Options'!$I:$I,"MDAW*")+SUMIFS('BSE - SENSEX Index Options'!$M:$M,'BSE - SENSEX Index Options'!$C:$C,$A42,'BSE - SENSEX Index Options'!$B:$B,D$4,'BSE - SENSEX Index Options'!$I:$I,"Weekly*")+SUMIFS('BSE - SENSEX Index Options'!$M:$M,'BSE - SENSEX Index Options'!$C:$C,$A42,'BSE - SENSEX Index Options'!$B:$B,D$4,'BSE - SENSEX Index Options'!$I:$I,"MDAW*")+SUMIFS('BSE - Other Index Options'!$M:$M,'BSE - Other Index Options'!$C:$C,$A42,'BSE - Other Index Options'!$B:$B,D$4,'BSE - Other Index Options'!$I:$I,"Weekly*")+SUMIFS('BSE - Other Index Options'!$M:$M,'BSE - Other Index Options'!$C:$C,$A42,'BSE - Other Index Options'!$B:$B,D$4,'BSE - Other Index Options'!$I:$I,"MDAW*")=0,"",SUMIFS('NSE - NIFTY Index Options'!$M:$M,'NSE - NIFTY Index Options'!$C:$C,$A42,'NSE - NIFTY Index Options'!$B:$B,D$4,'NSE - NIFTY Index Options'!$I:$I,"Weekly*")+SUMIFS('NSE - NIFTY Index Options'!$M:$M,'NSE - NIFTY Index Options'!$C:$C,$A42,'NSE - NIFTY Index Options'!$B:$B,D$4,'NSE - NIFTY Index Options'!$I:$I,"MDAW*")+SUMIFS('NSE - Other Index Options'!$M:$M,'NSE - Other Index Options'!$C:$C,$A42,'NSE - Other Index Options'!$B:$B,D$4,'NSE - Other Index Options'!$I:$I,"Weekly*")+SUMIFS('NSE - Other Index Options'!$M:$M,'NSE - Other Index Options'!$C:$C,$A42,'NSE - Other Index Options'!$B:$B,D$4,'NSE - Other Index Options'!$I:$I,"MDAW*")+SUMIFS('BSE - SENSEX Index Options'!$M:$M,'BSE - SENSEX Index Options'!$C:$C,$A42,'BSE - SENSEX Index Options'!$B:$B,D$4,'BSE - SENSEX Index Options'!$I:$I,"Weekly*")+SUMIFS('BSE - SENSEX Index Options'!$M:$M,'BSE - SENSEX Index Options'!$C:$C,$A42,'BSE - SENSEX Index Options'!$B:$B,D$4,'BSE - SENSEX Index Options'!$I:$I,"MDAW*")+SUMIFS('BSE - Other Index Options'!$M:$M,'BSE - Other Index Options'!$C:$C,$A42,'BSE - Other Index Options'!$B:$B,D$4,'BSE - Other Index Options'!$I:$I,"Weekly*")+SUMIFS('BSE - Other Index Options'!$M:$M,'BSE - Other Index Options'!$C:$C,$A42,'BSE - Other Index Options'!$B:$B,D$4,'BSE - Other Index Options'!$I:$I,"MDAW*"))</f>
        <v/>
      </c>
      <c r="E42" s="26">
        <f>IF(SUMIFS('NSE - NIFTY Index Options'!$M:$M,'NSE - NIFTY Index Options'!$C:$C,$A42,'NSE - NIFTY Index Options'!$B:$B,E$4,'NSE - NIFTY Index Options'!$I:$I,"Weekly*")+SUMIFS('NSE - NIFTY Index Options'!$M:$M,'NSE - NIFTY Index Options'!$C:$C,$A42,'NSE - NIFTY Index Options'!$B:$B,E$4,'NSE - NIFTY Index Options'!$I:$I,"MDAW*")+SUMIFS('NSE - Other Index Options'!$M:$M,'NSE - Other Index Options'!$C:$C,$A42,'NSE - Other Index Options'!$B:$B,E$4,'NSE - Other Index Options'!$I:$I,"Weekly*")+SUMIFS('NSE - Other Index Options'!$M:$M,'NSE - Other Index Options'!$C:$C,$A42,'NSE - Other Index Options'!$B:$B,E$4,'NSE - Other Index Options'!$I:$I,"MDAW*")+SUMIFS('BSE - SENSEX Index Options'!$M:$M,'BSE - SENSEX Index Options'!$C:$C,$A42,'BSE - SENSEX Index Options'!$B:$B,E$4,'BSE - SENSEX Index Options'!$I:$I,"Weekly*")+SUMIFS('BSE - SENSEX Index Options'!$M:$M,'BSE - SENSEX Index Options'!$C:$C,$A42,'BSE - SENSEX Index Options'!$B:$B,E$4,'BSE - SENSEX Index Options'!$I:$I,"MDAW*")+SUMIFS('BSE - Other Index Options'!$M:$M,'BSE - Other Index Options'!$C:$C,$A42,'BSE - Other Index Options'!$B:$B,E$4,'BSE - Other Index Options'!$I:$I,"Weekly*")+SUMIFS('BSE - Other Index Options'!$M:$M,'BSE - Other Index Options'!$C:$C,$A42,'BSE - Other Index Options'!$B:$B,E$4,'BSE - Other Index Options'!$I:$I,"MDAW*")=0,"",SUMIFS('NSE - NIFTY Index Options'!$M:$M,'NSE - NIFTY Index Options'!$C:$C,$A42,'NSE - NIFTY Index Options'!$B:$B,E$4,'NSE - NIFTY Index Options'!$I:$I,"Weekly*")+SUMIFS('NSE - NIFTY Index Options'!$M:$M,'NSE - NIFTY Index Options'!$C:$C,$A42,'NSE - NIFTY Index Options'!$B:$B,E$4,'NSE - NIFTY Index Options'!$I:$I,"MDAW*")+SUMIFS('NSE - Other Index Options'!$M:$M,'NSE - Other Index Options'!$C:$C,$A42,'NSE - Other Index Options'!$B:$B,E$4,'NSE - Other Index Options'!$I:$I,"Weekly*")+SUMIFS('NSE - Other Index Options'!$M:$M,'NSE - Other Index Options'!$C:$C,$A42,'NSE - Other Index Options'!$B:$B,E$4,'NSE - Other Index Options'!$I:$I,"MDAW*")+SUMIFS('BSE - SENSEX Index Options'!$M:$M,'BSE - SENSEX Index Options'!$C:$C,$A42,'BSE - SENSEX Index Options'!$B:$B,E$4,'BSE - SENSEX Index Options'!$I:$I,"Weekly*")+SUMIFS('BSE - SENSEX Index Options'!$M:$M,'BSE - SENSEX Index Options'!$C:$C,$A42,'BSE - SENSEX Index Options'!$B:$B,E$4,'BSE - SENSEX Index Options'!$I:$I,"MDAW*")+SUMIFS('BSE - Other Index Options'!$M:$M,'BSE - Other Index Options'!$C:$C,$A42,'BSE - Other Index Options'!$B:$B,E$4,'BSE - Other Index Options'!$I:$I,"Weekly*")+SUMIFS('BSE - Other Index Options'!$M:$M,'BSE - Other Index Options'!$C:$C,$A42,'BSE - Other Index Options'!$B:$B,E$4,'BSE - Other Index Options'!$I:$I,"MDAW*"))</f>
        <v/>
      </c>
      <c r="F42" s="26">
        <f>IF(SUMIFS('NSE - NIFTY Index Options'!$M:$M,'NSE - NIFTY Index Options'!$C:$C,$A42,'NSE - NIFTY Index Options'!$B:$B,F$4,'NSE - NIFTY Index Options'!$I:$I,"Weekly*")+SUMIFS('NSE - NIFTY Index Options'!$M:$M,'NSE - NIFTY Index Options'!$C:$C,$A42,'NSE - NIFTY Index Options'!$B:$B,F$4,'NSE - NIFTY Index Options'!$I:$I,"MDAW*")+SUMIFS('NSE - Other Index Options'!$M:$M,'NSE - Other Index Options'!$C:$C,$A42,'NSE - Other Index Options'!$B:$B,F$4,'NSE - Other Index Options'!$I:$I,"Weekly*")+SUMIFS('NSE - Other Index Options'!$M:$M,'NSE - Other Index Options'!$C:$C,$A42,'NSE - Other Index Options'!$B:$B,F$4,'NSE - Other Index Options'!$I:$I,"MDAW*")+SUMIFS('BSE - SENSEX Index Options'!$M:$M,'BSE - SENSEX Index Options'!$C:$C,$A42,'BSE - SENSEX Index Options'!$B:$B,F$4,'BSE - SENSEX Index Options'!$I:$I,"Weekly*")+SUMIFS('BSE - SENSEX Index Options'!$M:$M,'BSE - SENSEX Index Options'!$C:$C,$A42,'BSE - SENSEX Index Options'!$B:$B,F$4,'BSE - SENSEX Index Options'!$I:$I,"MDAW*")+SUMIFS('BSE - Other Index Options'!$M:$M,'BSE - Other Index Options'!$C:$C,$A42,'BSE - Other Index Options'!$B:$B,F$4,'BSE - Other Index Options'!$I:$I,"Weekly*")+SUMIFS('BSE - Other Index Options'!$M:$M,'BSE - Other Index Options'!$C:$C,$A42,'BSE - Other Index Options'!$B:$B,F$4,'BSE - Other Index Options'!$I:$I,"MDAW*")=0,"",SUMIFS('NSE - NIFTY Index Options'!$M:$M,'NSE - NIFTY Index Options'!$C:$C,$A42,'NSE - NIFTY Index Options'!$B:$B,F$4,'NSE - NIFTY Index Options'!$I:$I,"Weekly*")+SUMIFS('NSE - NIFTY Index Options'!$M:$M,'NSE - NIFTY Index Options'!$C:$C,$A42,'NSE - NIFTY Index Options'!$B:$B,F$4,'NSE - NIFTY Index Options'!$I:$I,"MDAW*")+SUMIFS('NSE - Other Index Options'!$M:$M,'NSE - Other Index Options'!$C:$C,$A42,'NSE - Other Index Options'!$B:$B,F$4,'NSE - Other Index Options'!$I:$I,"Weekly*")+SUMIFS('NSE - Other Index Options'!$M:$M,'NSE - Other Index Options'!$C:$C,$A42,'NSE - Other Index Options'!$B:$B,F$4,'NSE - Other Index Options'!$I:$I,"MDAW*")+SUMIFS('BSE - SENSEX Index Options'!$M:$M,'BSE - SENSEX Index Options'!$C:$C,$A42,'BSE - SENSEX Index Options'!$B:$B,F$4,'BSE - SENSEX Index Options'!$I:$I,"Weekly*")+SUMIFS('BSE - SENSEX Index Options'!$M:$M,'BSE - SENSEX Index Options'!$C:$C,$A42,'BSE - SENSEX Index Options'!$B:$B,F$4,'BSE - SENSEX Index Options'!$I:$I,"MDAW*")+SUMIFS('BSE - Other Index Options'!$M:$M,'BSE - Other Index Options'!$C:$C,$A42,'BSE - Other Index Options'!$B:$B,F$4,'BSE - Other Index Options'!$I:$I,"Weekly*")+SUMIFS('BSE - Other Index Options'!$M:$M,'BSE - Other Index Options'!$C:$C,$A42,'BSE - Other Index Options'!$B:$B,F$4,'BSE - Other Index Options'!$I:$I,"MDAW*"))</f>
        <v/>
      </c>
      <c r="G42" s="26">
        <f>IF(SUMIFS('NSE - NIFTY Index Options'!$M:$M,'NSE - NIFTY Index Options'!$C:$C,$A42,'NSE - NIFTY Index Options'!$B:$B,G$4,'NSE - NIFTY Index Options'!$I:$I,"Weekly*")+SUMIFS('NSE - NIFTY Index Options'!$M:$M,'NSE - NIFTY Index Options'!$C:$C,$A42,'NSE - NIFTY Index Options'!$B:$B,G$4,'NSE - NIFTY Index Options'!$I:$I,"MDAW*")+SUMIFS('NSE - Other Index Options'!$M:$M,'NSE - Other Index Options'!$C:$C,$A42,'NSE - Other Index Options'!$B:$B,G$4,'NSE - Other Index Options'!$I:$I,"Weekly*")+SUMIFS('NSE - Other Index Options'!$M:$M,'NSE - Other Index Options'!$C:$C,$A42,'NSE - Other Index Options'!$B:$B,G$4,'NSE - Other Index Options'!$I:$I,"MDAW*")+SUMIFS('BSE - SENSEX Index Options'!$M:$M,'BSE - SENSEX Index Options'!$C:$C,$A42,'BSE - SENSEX Index Options'!$B:$B,G$4,'BSE - SENSEX Index Options'!$I:$I,"Weekly*")+SUMIFS('BSE - SENSEX Index Options'!$M:$M,'BSE - SENSEX Index Options'!$C:$C,$A42,'BSE - SENSEX Index Options'!$B:$B,G$4,'BSE - SENSEX Index Options'!$I:$I,"MDAW*")+SUMIFS('BSE - Other Index Options'!$M:$M,'BSE - Other Index Options'!$C:$C,$A42,'BSE - Other Index Options'!$B:$B,G$4,'BSE - Other Index Options'!$I:$I,"Weekly*")+SUMIFS('BSE - Other Index Options'!$M:$M,'BSE - Other Index Options'!$C:$C,$A42,'BSE - Other Index Options'!$B:$B,G$4,'BSE - Other Index Options'!$I:$I,"MDAW*")=0,"",SUMIFS('NSE - NIFTY Index Options'!$M:$M,'NSE - NIFTY Index Options'!$C:$C,$A42,'NSE - NIFTY Index Options'!$B:$B,G$4,'NSE - NIFTY Index Options'!$I:$I,"Weekly*")+SUMIFS('NSE - NIFTY Index Options'!$M:$M,'NSE - NIFTY Index Options'!$C:$C,$A42,'NSE - NIFTY Index Options'!$B:$B,G$4,'NSE - NIFTY Index Options'!$I:$I,"MDAW*")+SUMIFS('NSE - Other Index Options'!$M:$M,'NSE - Other Index Options'!$C:$C,$A42,'NSE - Other Index Options'!$B:$B,G$4,'NSE - Other Index Options'!$I:$I,"Weekly*")+SUMIFS('NSE - Other Index Options'!$M:$M,'NSE - Other Index Options'!$C:$C,$A42,'NSE - Other Index Options'!$B:$B,G$4,'NSE - Other Index Options'!$I:$I,"MDAW*")+SUMIFS('BSE - SENSEX Index Options'!$M:$M,'BSE - SENSEX Index Options'!$C:$C,$A42,'BSE - SENSEX Index Options'!$B:$B,G$4,'BSE - SENSEX Index Options'!$I:$I,"Weekly*")+SUMIFS('BSE - SENSEX Index Options'!$M:$M,'BSE - SENSEX Index Options'!$C:$C,$A42,'BSE - SENSEX Index Options'!$B:$B,G$4,'BSE - SENSEX Index Options'!$I:$I,"MDAW*")+SUMIFS('BSE - Other Index Options'!$M:$M,'BSE - Other Index Options'!$C:$C,$A42,'BSE - Other Index Options'!$B:$B,G$4,'BSE - Other Index Options'!$I:$I,"Weekly*")+SUMIFS('BSE - Other Index Options'!$M:$M,'BSE - Other Index Options'!$C:$C,$A42,'BSE - Other Index Options'!$B:$B,G$4,'BSE - Other Index Options'!$I:$I,"MDAW*"))</f>
        <v/>
      </c>
      <c r="H42" s="26">
        <f>IF(SUM(B42:G42)=0,"",SUM(B42:G42))</f>
        <v/>
      </c>
    </row>
    <row r="43">
      <c r="A43" t="inlineStr">
        <is>
          <t>Week5-Apr-2026</t>
        </is>
      </c>
      <c r="B43" s="26">
        <f>IF(SUMIFS('NSE - NIFTY Index Options'!$M:$M,'NSE - NIFTY Index Options'!$C:$C,$A43,'NSE - NIFTY Index Options'!$B:$B,B$4,'NSE - NIFTY Index Options'!$I:$I,"Weekly*")+SUMIFS('NSE - NIFTY Index Options'!$M:$M,'NSE - NIFTY Index Options'!$C:$C,$A43,'NSE - NIFTY Index Options'!$B:$B,B$4,'NSE - NIFTY Index Options'!$I:$I,"MDAW*")+SUMIFS('NSE - Other Index Options'!$M:$M,'NSE - Other Index Options'!$C:$C,$A43,'NSE - Other Index Options'!$B:$B,B$4,'NSE - Other Index Options'!$I:$I,"Weekly*")+SUMIFS('NSE - Other Index Options'!$M:$M,'NSE - Other Index Options'!$C:$C,$A43,'NSE - Other Index Options'!$B:$B,B$4,'NSE - Other Index Options'!$I:$I,"MDAW*")+SUMIFS('BSE - SENSEX Index Options'!$M:$M,'BSE - SENSEX Index Options'!$C:$C,$A43,'BSE - SENSEX Index Options'!$B:$B,B$4,'BSE - SENSEX Index Options'!$I:$I,"Weekly*")+SUMIFS('BSE - SENSEX Index Options'!$M:$M,'BSE - SENSEX Index Options'!$C:$C,$A43,'BSE - SENSEX Index Options'!$B:$B,B$4,'BSE - SENSEX Index Options'!$I:$I,"MDAW*")+SUMIFS('BSE - Other Index Options'!$M:$M,'BSE - Other Index Options'!$C:$C,$A43,'BSE - Other Index Options'!$B:$B,B$4,'BSE - Other Index Options'!$I:$I,"Weekly*")+SUMIFS('BSE - Other Index Options'!$M:$M,'BSE - Other Index Options'!$C:$C,$A43,'BSE - Other Index Options'!$B:$B,B$4,'BSE - Other Index Options'!$I:$I,"MDAW*")=0,"",SUMIFS('NSE - NIFTY Index Options'!$M:$M,'NSE - NIFTY Index Options'!$C:$C,$A43,'NSE - NIFTY Index Options'!$B:$B,B$4,'NSE - NIFTY Index Options'!$I:$I,"Weekly*")+SUMIFS('NSE - NIFTY Index Options'!$M:$M,'NSE - NIFTY Index Options'!$C:$C,$A43,'NSE - NIFTY Index Options'!$B:$B,B$4,'NSE - NIFTY Index Options'!$I:$I,"MDAW*")+SUMIFS('NSE - Other Index Options'!$M:$M,'NSE - Other Index Options'!$C:$C,$A43,'NSE - Other Index Options'!$B:$B,B$4,'NSE - Other Index Options'!$I:$I,"Weekly*")+SUMIFS('NSE - Other Index Options'!$M:$M,'NSE - Other Index Options'!$C:$C,$A43,'NSE - Other Index Options'!$B:$B,B$4,'NSE - Other Index Options'!$I:$I,"MDAW*")+SUMIFS('BSE - SENSEX Index Options'!$M:$M,'BSE - SENSEX Index Options'!$C:$C,$A43,'BSE - SENSEX Index Options'!$B:$B,B$4,'BSE - SENSEX Index Options'!$I:$I,"Weekly*")+SUMIFS('BSE - SENSEX Index Options'!$M:$M,'BSE - SENSEX Index Options'!$C:$C,$A43,'BSE - SENSEX Index Options'!$B:$B,B$4,'BSE - SENSEX Index Options'!$I:$I,"MDAW*")+SUMIFS('BSE - Other Index Options'!$M:$M,'BSE - Other Index Options'!$C:$C,$A43,'BSE - Other Index Options'!$B:$B,B$4,'BSE - Other Index Options'!$I:$I,"Weekly*")+SUMIFS('BSE - Other Index Options'!$M:$M,'BSE - Other Index Options'!$C:$C,$A43,'BSE - Other Index Options'!$B:$B,B$4,'BSE - Other Index Options'!$I:$I,"MDAW*"))</f>
        <v/>
      </c>
      <c r="C43" s="26">
        <f>IF(SUMIFS('NSE - NIFTY Index Options'!$M:$M,'NSE - NIFTY Index Options'!$C:$C,$A43,'NSE - NIFTY Index Options'!$B:$B,C$4,'NSE - NIFTY Index Options'!$I:$I,"Weekly*")+SUMIFS('NSE - NIFTY Index Options'!$M:$M,'NSE - NIFTY Index Options'!$C:$C,$A43,'NSE - NIFTY Index Options'!$B:$B,C$4,'NSE - NIFTY Index Options'!$I:$I,"MDAW*")+SUMIFS('NSE - Other Index Options'!$M:$M,'NSE - Other Index Options'!$C:$C,$A43,'NSE - Other Index Options'!$B:$B,C$4,'NSE - Other Index Options'!$I:$I,"Weekly*")+SUMIFS('NSE - Other Index Options'!$M:$M,'NSE - Other Index Options'!$C:$C,$A43,'NSE - Other Index Options'!$B:$B,C$4,'NSE - Other Index Options'!$I:$I,"MDAW*")+SUMIFS('BSE - SENSEX Index Options'!$M:$M,'BSE - SENSEX Index Options'!$C:$C,$A43,'BSE - SENSEX Index Options'!$B:$B,C$4,'BSE - SENSEX Index Options'!$I:$I,"Weekly*")+SUMIFS('BSE - SENSEX Index Options'!$M:$M,'BSE - SENSEX Index Options'!$C:$C,$A43,'BSE - SENSEX Index Options'!$B:$B,C$4,'BSE - SENSEX Index Options'!$I:$I,"MDAW*")+SUMIFS('BSE - Other Index Options'!$M:$M,'BSE - Other Index Options'!$C:$C,$A43,'BSE - Other Index Options'!$B:$B,C$4,'BSE - Other Index Options'!$I:$I,"Weekly*")+SUMIFS('BSE - Other Index Options'!$M:$M,'BSE - Other Index Options'!$C:$C,$A43,'BSE - Other Index Options'!$B:$B,C$4,'BSE - Other Index Options'!$I:$I,"MDAW*")=0,"",SUMIFS('NSE - NIFTY Index Options'!$M:$M,'NSE - NIFTY Index Options'!$C:$C,$A43,'NSE - NIFTY Index Options'!$B:$B,C$4,'NSE - NIFTY Index Options'!$I:$I,"Weekly*")+SUMIFS('NSE - NIFTY Index Options'!$M:$M,'NSE - NIFTY Index Options'!$C:$C,$A43,'NSE - NIFTY Index Options'!$B:$B,C$4,'NSE - NIFTY Index Options'!$I:$I,"MDAW*")+SUMIFS('NSE - Other Index Options'!$M:$M,'NSE - Other Index Options'!$C:$C,$A43,'NSE - Other Index Options'!$B:$B,C$4,'NSE - Other Index Options'!$I:$I,"Weekly*")+SUMIFS('NSE - Other Index Options'!$M:$M,'NSE - Other Index Options'!$C:$C,$A43,'NSE - Other Index Options'!$B:$B,C$4,'NSE - Other Index Options'!$I:$I,"MDAW*")+SUMIFS('BSE - SENSEX Index Options'!$M:$M,'BSE - SENSEX Index Options'!$C:$C,$A43,'BSE - SENSEX Index Options'!$B:$B,C$4,'BSE - SENSEX Index Options'!$I:$I,"Weekly*")+SUMIFS('BSE - SENSEX Index Options'!$M:$M,'BSE - SENSEX Index Options'!$C:$C,$A43,'BSE - SENSEX Index Options'!$B:$B,C$4,'BSE - SENSEX Index Options'!$I:$I,"MDAW*")+SUMIFS('BSE - Other Index Options'!$M:$M,'BSE - Other Index Options'!$C:$C,$A43,'BSE - Other Index Options'!$B:$B,C$4,'BSE - Other Index Options'!$I:$I,"Weekly*")+SUMIFS('BSE - Other Index Options'!$M:$M,'BSE - Other Index Options'!$C:$C,$A43,'BSE - Other Index Options'!$B:$B,C$4,'BSE - Other Index Options'!$I:$I,"MDAW*"))</f>
        <v/>
      </c>
      <c r="D43" s="26">
        <f>IF(SUMIFS('NSE - NIFTY Index Options'!$M:$M,'NSE - NIFTY Index Options'!$C:$C,$A43,'NSE - NIFTY Index Options'!$B:$B,D$4,'NSE - NIFTY Index Options'!$I:$I,"Weekly*")+SUMIFS('NSE - NIFTY Index Options'!$M:$M,'NSE - NIFTY Index Options'!$C:$C,$A43,'NSE - NIFTY Index Options'!$B:$B,D$4,'NSE - NIFTY Index Options'!$I:$I,"MDAW*")+SUMIFS('NSE - Other Index Options'!$M:$M,'NSE - Other Index Options'!$C:$C,$A43,'NSE - Other Index Options'!$B:$B,D$4,'NSE - Other Index Options'!$I:$I,"Weekly*")+SUMIFS('NSE - Other Index Options'!$M:$M,'NSE - Other Index Options'!$C:$C,$A43,'NSE - Other Index Options'!$B:$B,D$4,'NSE - Other Index Options'!$I:$I,"MDAW*")+SUMIFS('BSE - SENSEX Index Options'!$M:$M,'BSE - SENSEX Index Options'!$C:$C,$A43,'BSE - SENSEX Index Options'!$B:$B,D$4,'BSE - SENSEX Index Options'!$I:$I,"Weekly*")+SUMIFS('BSE - SENSEX Index Options'!$M:$M,'BSE - SENSEX Index Options'!$C:$C,$A43,'BSE - SENSEX Index Options'!$B:$B,D$4,'BSE - SENSEX Index Options'!$I:$I,"MDAW*")+SUMIFS('BSE - Other Index Options'!$M:$M,'BSE - Other Index Options'!$C:$C,$A43,'BSE - Other Index Options'!$B:$B,D$4,'BSE - Other Index Options'!$I:$I,"Weekly*")+SUMIFS('BSE - Other Index Options'!$M:$M,'BSE - Other Index Options'!$C:$C,$A43,'BSE - Other Index Options'!$B:$B,D$4,'BSE - Other Index Options'!$I:$I,"MDAW*")=0,"",SUMIFS('NSE - NIFTY Index Options'!$M:$M,'NSE - NIFTY Index Options'!$C:$C,$A43,'NSE - NIFTY Index Options'!$B:$B,D$4,'NSE - NIFTY Index Options'!$I:$I,"Weekly*")+SUMIFS('NSE - NIFTY Index Options'!$M:$M,'NSE - NIFTY Index Options'!$C:$C,$A43,'NSE - NIFTY Index Options'!$B:$B,D$4,'NSE - NIFTY Index Options'!$I:$I,"MDAW*")+SUMIFS('NSE - Other Index Options'!$M:$M,'NSE - Other Index Options'!$C:$C,$A43,'NSE - Other Index Options'!$B:$B,D$4,'NSE - Other Index Options'!$I:$I,"Weekly*")+SUMIFS('NSE - Other Index Options'!$M:$M,'NSE - Other Index Options'!$C:$C,$A43,'NSE - Other Index Options'!$B:$B,D$4,'NSE - Other Index Options'!$I:$I,"MDAW*")+SUMIFS('BSE - SENSEX Index Options'!$M:$M,'BSE - SENSEX Index Options'!$C:$C,$A43,'BSE - SENSEX Index Options'!$B:$B,D$4,'BSE - SENSEX Index Options'!$I:$I,"Weekly*")+SUMIFS('BSE - SENSEX Index Options'!$M:$M,'BSE - SENSEX Index Options'!$C:$C,$A43,'BSE - SENSEX Index Options'!$B:$B,D$4,'BSE - SENSEX Index Options'!$I:$I,"MDAW*")+SUMIFS('BSE - Other Index Options'!$M:$M,'BSE - Other Index Options'!$C:$C,$A43,'BSE - Other Index Options'!$B:$B,D$4,'BSE - Other Index Options'!$I:$I,"Weekly*")+SUMIFS('BSE - Other Index Options'!$M:$M,'BSE - Other Index Options'!$C:$C,$A43,'BSE - Other Index Options'!$B:$B,D$4,'BSE - Other Index Options'!$I:$I,"MDAW*"))</f>
        <v/>
      </c>
      <c r="E43" s="26">
        <f>IF(SUMIFS('NSE - NIFTY Index Options'!$M:$M,'NSE - NIFTY Index Options'!$C:$C,$A43,'NSE - NIFTY Index Options'!$B:$B,E$4,'NSE - NIFTY Index Options'!$I:$I,"Weekly*")+SUMIFS('NSE - NIFTY Index Options'!$M:$M,'NSE - NIFTY Index Options'!$C:$C,$A43,'NSE - NIFTY Index Options'!$B:$B,E$4,'NSE - NIFTY Index Options'!$I:$I,"MDAW*")+SUMIFS('NSE - Other Index Options'!$M:$M,'NSE - Other Index Options'!$C:$C,$A43,'NSE - Other Index Options'!$B:$B,E$4,'NSE - Other Index Options'!$I:$I,"Weekly*")+SUMIFS('NSE - Other Index Options'!$M:$M,'NSE - Other Index Options'!$C:$C,$A43,'NSE - Other Index Options'!$B:$B,E$4,'NSE - Other Index Options'!$I:$I,"MDAW*")+SUMIFS('BSE - SENSEX Index Options'!$M:$M,'BSE - SENSEX Index Options'!$C:$C,$A43,'BSE - SENSEX Index Options'!$B:$B,E$4,'BSE - SENSEX Index Options'!$I:$I,"Weekly*")+SUMIFS('BSE - SENSEX Index Options'!$M:$M,'BSE - SENSEX Index Options'!$C:$C,$A43,'BSE - SENSEX Index Options'!$B:$B,E$4,'BSE - SENSEX Index Options'!$I:$I,"MDAW*")+SUMIFS('BSE - Other Index Options'!$M:$M,'BSE - Other Index Options'!$C:$C,$A43,'BSE - Other Index Options'!$B:$B,E$4,'BSE - Other Index Options'!$I:$I,"Weekly*")+SUMIFS('BSE - Other Index Options'!$M:$M,'BSE - Other Index Options'!$C:$C,$A43,'BSE - Other Index Options'!$B:$B,E$4,'BSE - Other Index Options'!$I:$I,"MDAW*")=0,"",SUMIFS('NSE - NIFTY Index Options'!$M:$M,'NSE - NIFTY Index Options'!$C:$C,$A43,'NSE - NIFTY Index Options'!$B:$B,E$4,'NSE - NIFTY Index Options'!$I:$I,"Weekly*")+SUMIFS('NSE - NIFTY Index Options'!$M:$M,'NSE - NIFTY Index Options'!$C:$C,$A43,'NSE - NIFTY Index Options'!$B:$B,E$4,'NSE - NIFTY Index Options'!$I:$I,"MDAW*")+SUMIFS('NSE - Other Index Options'!$M:$M,'NSE - Other Index Options'!$C:$C,$A43,'NSE - Other Index Options'!$B:$B,E$4,'NSE - Other Index Options'!$I:$I,"Weekly*")+SUMIFS('NSE - Other Index Options'!$M:$M,'NSE - Other Index Options'!$C:$C,$A43,'NSE - Other Index Options'!$B:$B,E$4,'NSE - Other Index Options'!$I:$I,"MDAW*")+SUMIFS('BSE - SENSEX Index Options'!$M:$M,'BSE - SENSEX Index Options'!$C:$C,$A43,'BSE - SENSEX Index Options'!$B:$B,E$4,'BSE - SENSEX Index Options'!$I:$I,"Weekly*")+SUMIFS('BSE - SENSEX Index Options'!$M:$M,'BSE - SENSEX Index Options'!$C:$C,$A43,'BSE - SENSEX Index Options'!$B:$B,E$4,'BSE - SENSEX Index Options'!$I:$I,"MDAW*")+SUMIFS('BSE - Other Index Options'!$M:$M,'BSE - Other Index Options'!$C:$C,$A43,'BSE - Other Index Options'!$B:$B,E$4,'BSE - Other Index Options'!$I:$I,"Weekly*")+SUMIFS('BSE - Other Index Options'!$M:$M,'BSE - Other Index Options'!$C:$C,$A43,'BSE - Other Index Options'!$B:$B,E$4,'BSE - Other Index Options'!$I:$I,"MDAW*"))</f>
        <v/>
      </c>
      <c r="F43" s="26">
        <f>IF(SUMIFS('NSE - NIFTY Index Options'!$M:$M,'NSE - NIFTY Index Options'!$C:$C,$A43,'NSE - NIFTY Index Options'!$B:$B,F$4,'NSE - NIFTY Index Options'!$I:$I,"Weekly*")+SUMIFS('NSE - NIFTY Index Options'!$M:$M,'NSE - NIFTY Index Options'!$C:$C,$A43,'NSE - NIFTY Index Options'!$B:$B,F$4,'NSE - NIFTY Index Options'!$I:$I,"MDAW*")+SUMIFS('NSE - Other Index Options'!$M:$M,'NSE - Other Index Options'!$C:$C,$A43,'NSE - Other Index Options'!$B:$B,F$4,'NSE - Other Index Options'!$I:$I,"Weekly*")+SUMIFS('NSE - Other Index Options'!$M:$M,'NSE - Other Index Options'!$C:$C,$A43,'NSE - Other Index Options'!$B:$B,F$4,'NSE - Other Index Options'!$I:$I,"MDAW*")+SUMIFS('BSE - SENSEX Index Options'!$M:$M,'BSE - SENSEX Index Options'!$C:$C,$A43,'BSE - SENSEX Index Options'!$B:$B,F$4,'BSE - SENSEX Index Options'!$I:$I,"Weekly*")+SUMIFS('BSE - SENSEX Index Options'!$M:$M,'BSE - SENSEX Index Options'!$C:$C,$A43,'BSE - SENSEX Index Options'!$B:$B,F$4,'BSE - SENSEX Index Options'!$I:$I,"MDAW*")+SUMIFS('BSE - Other Index Options'!$M:$M,'BSE - Other Index Options'!$C:$C,$A43,'BSE - Other Index Options'!$B:$B,F$4,'BSE - Other Index Options'!$I:$I,"Weekly*")+SUMIFS('BSE - Other Index Options'!$M:$M,'BSE - Other Index Options'!$C:$C,$A43,'BSE - Other Index Options'!$B:$B,F$4,'BSE - Other Index Options'!$I:$I,"MDAW*")=0,"",SUMIFS('NSE - NIFTY Index Options'!$M:$M,'NSE - NIFTY Index Options'!$C:$C,$A43,'NSE - NIFTY Index Options'!$B:$B,F$4,'NSE - NIFTY Index Options'!$I:$I,"Weekly*")+SUMIFS('NSE - NIFTY Index Options'!$M:$M,'NSE - NIFTY Index Options'!$C:$C,$A43,'NSE - NIFTY Index Options'!$B:$B,F$4,'NSE - NIFTY Index Options'!$I:$I,"MDAW*")+SUMIFS('NSE - Other Index Options'!$M:$M,'NSE - Other Index Options'!$C:$C,$A43,'NSE - Other Index Options'!$B:$B,F$4,'NSE - Other Index Options'!$I:$I,"Weekly*")+SUMIFS('NSE - Other Index Options'!$M:$M,'NSE - Other Index Options'!$C:$C,$A43,'NSE - Other Index Options'!$B:$B,F$4,'NSE - Other Index Options'!$I:$I,"MDAW*")+SUMIFS('BSE - SENSEX Index Options'!$M:$M,'BSE - SENSEX Index Options'!$C:$C,$A43,'BSE - SENSEX Index Options'!$B:$B,F$4,'BSE - SENSEX Index Options'!$I:$I,"Weekly*")+SUMIFS('BSE - SENSEX Index Options'!$M:$M,'BSE - SENSEX Index Options'!$C:$C,$A43,'BSE - SENSEX Index Options'!$B:$B,F$4,'BSE - SENSEX Index Options'!$I:$I,"MDAW*")+SUMIFS('BSE - Other Index Options'!$M:$M,'BSE - Other Index Options'!$C:$C,$A43,'BSE - Other Index Options'!$B:$B,F$4,'BSE - Other Index Options'!$I:$I,"Weekly*")+SUMIFS('BSE - Other Index Options'!$M:$M,'BSE - Other Index Options'!$C:$C,$A43,'BSE - Other Index Options'!$B:$B,F$4,'BSE - Other Index Options'!$I:$I,"MDAW*"))</f>
        <v/>
      </c>
      <c r="G43" s="26">
        <f>IF(SUMIFS('NSE - NIFTY Index Options'!$M:$M,'NSE - NIFTY Index Options'!$C:$C,$A43,'NSE - NIFTY Index Options'!$B:$B,G$4,'NSE - NIFTY Index Options'!$I:$I,"Weekly*")+SUMIFS('NSE - NIFTY Index Options'!$M:$M,'NSE - NIFTY Index Options'!$C:$C,$A43,'NSE - NIFTY Index Options'!$B:$B,G$4,'NSE - NIFTY Index Options'!$I:$I,"MDAW*")+SUMIFS('NSE - Other Index Options'!$M:$M,'NSE - Other Index Options'!$C:$C,$A43,'NSE - Other Index Options'!$B:$B,G$4,'NSE - Other Index Options'!$I:$I,"Weekly*")+SUMIFS('NSE - Other Index Options'!$M:$M,'NSE - Other Index Options'!$C:$C,$A43,'NSE - Other Index Options'!$B:$B,G$4,'NSE - Other Index Options'!$I:$I,"MDAW*")+SUMIFS('BSE - SENSEX Index Options'!$M:$M,'BSE - SENSEX Index Options'!$C:$C,$A43,'BSE - SENSEX Index Options'!$B:$B,G$4,'BSE - SENSEX Index Options'!$I:$I,"Weekly*")+SUMIFS('BSE - SENSEX Index Options'!$M:$M,'BSE - SENSEX Index Options'!$C:$C,$A43,'BSE - SENSEX Index Options'!$B:$B,G$4,'BSE - SENSEX Index Options'!$I:$I,"MDAW*")+SUMIFS('BSE - Other Index Options'!$M:$M,'BSE - Other Index Options'!$C:$C,$A43,'BSE - Other Index Options'!$B:$B,G$4,'BSE - Other Index Options'!$I:$I,"Weekly*")+SUMIFS('BSE - Other Index Options'!$M:$M,'BSE - Other Index Options'!$C:$C,$A43,'BSE - Other Index Options'!$B:$B,G$4,'BSE - Other Index Options'!$I:$I,"MDAW*")=0,"",SUMIFS('NSE - NIFTY Index Options'!$M:$M,'NSE - NIFTY Index Options'!$C:$C,$A43,'NSE - NIFTY Index Options'!$B:$B,G$4,'NSE - NIFTY Index Options'!$I:$I,"Weekly*")+SUMIFS('NSE - NIFTY Index Options'!$M:$M,'NSE - NIFTY Index Options'!$C:$C,$A43,'NSE - NIFTY Index Options'!$B:$B,G$4,'NSE - NIFTY Index Options'!$I:$I,"MDAW*")+SUMIFS('NSE - Other Index Options'!$M:$M,'NSE - Other Index Options'!$C:$C,$A43,'NSE - Other Index Options'!$B:$B,G$4,'NSE - Other Index Options'!$I:$I,"Weekly*")+SUMIFS('NSE - Other Index Options'!$M:$M,'NSE - Other Index Options'!$C:$C,$A43,'NSE - Other Index Options'!$B:$B,G$4,'NSE - Other Index Options'!$I:$I,"MDAW*")+SUMIFS('BSE - SENSEX Index Options'!$M:$M,'BSE - SENSEX Index Options'!$C:$C,$A43,'BSE - SENSEX Index Options'!$B:$B,G$4,'BSE - SENSEX Index Options'!$I:$I,"Weekly*")+SUMIFS('BSE - SENSEX Index Options'!$M:$M,'BSE - SENSEX Index Options'!$C:$C,$A43,'BSE - SENSEX Index Options'!$B:$B,G$4,'BSE - SENSEX Index Options'!$I:$I,"MDAW*")+SUMIFS('BSE - Other Index Options'!$M:$M,'BSE - Other Index Options'!$C:$C,$A43,'BSE - Other Index Options'!$B:$B,G$4,'BSE - Other Index Options'!$I:$I,"Weekly*")+SUMIFS('BSE - Other Index Options'!$M:$M,'BSE - Other Index Options'!$C:$C,$A43,'BSE - Other Index Options'!$B:$B,G$4,'BSE - Other Index Options'!$I:$I,"MDAW*"))</f>
        <v/>
      </c>
      <c r="H43" s="26">
        <f>IF(SUM(B43:G43)=0,"",SUM(B43:G43))</f>
        <v/>
      </c>
    </row>
    <row r="44">
      <c r="A44" t="inlineStr">
        <is>
          <t>Week1-May-2026</t>
        </is>
      </c>
      <c r="B44" s="26">
        <f>IF(SUMIFS('NSE - NIFTY Index Options'!$M:$M,'NSE - NIFTY Index Options'!$C:$C,$A44,'NSE - NIFTY Index Options'!$B:$B,B$4,'NSE - NIFTY Index Options'!$I:$I,"Weekly*")+SUMIFS('NSE - NIFTY Index Options'!$M:$M,'NSE - NIFTY Index Options'!$C:$C,$A44,'NSE - NIFTY Index Options'!$B:$B,B$4,'NSE - NIFTY Index Options'!$I:$I,"MDAW*")+SUMIFS('NSE - Other Index Options'!$M:$M,'NSE - Other Index Options'!$C:$C,$A44,'NSE - Other Index Options'!$B:$B,B$4,'NSE - Other Index Options'!$I:$I,"Weekly*")+SUMIFS('NSE - Other Index Options'!$M:$M,'NSE - Other Index Options'!$C:$C,$A44,'NSE - Other Index Options'!$B:$B,B$4,'NSE - Other Index Options'!$I:$I,"MDAW*")+SUMIFS('BSE - SENSEX Index Options'!$M:$M,'BSE - SENSEX Index Options'!$C:$C,$A44,'BSE - SENSEX Index Options'!$B:$B,B$4,'BSE - SENSEX Index Options'!$I:$I,"Weekly*")+SUMIFS('BSE - SENSEX Index Options'!$M:$M,'BSE - SENSEX Index Options'!$C:$C,$A44,'BSE - SENSEX Index Options'!$B:$B,B$4,'BSE - SENSEX Index Options'!$I:$I,"MDAW*")+SUMIFS('BSE - Other Index Options'!$M:$M,'BSE - Other Index Options'!$C:$C,$A44,'BSE - Other Index Options'!$B:$B,B$4,'BSE - Other Index Options'!$I:$I,"Weekly*")+SUMIFS('BSE - Other Index Options'!$M:$M,'BSE - Other Index Options'!$C:$C,$A44,'BSE - Other Index Options'!$B:$B,B$4,'BSE - Other Index Options'!$I:$I,"MDAW*")=0,"",SUMIFS('NSE - NIFTY Index Options'!$M:$M,'NSE - NIFTY Index Options'!$C:$C,$A44,'NSE - NIFTY Index Options'!$B:$B,B$4,'NSE - NIFTY Index Options'!$I:$I,"Weekly*")+SUMIFS('NSE - NIFTY Index Options'!$M:$M,'NSE - NIFTY Index Options'!$C:$C,$A44,'NSE - NIFTY Index Options'!$B:$B,B$4,'NSE - NIFTY Index Options'!$I:$I,"MDAW*")+SUMIFS('NSE - Other Index Options'!$M:$M,'NSE - Other Index Options'!$C:$C,$A44,'NSE - Other Index Options'!$B:$B,B$4,'NSE - Other Index Options'!$I:$I,"Weekly*")+SUMIFS('NSE - Other Index Options'!$M:$M,'NSE - Other Index Options'!$C:$C,$A44,'NSE - Other Index Options'!$B:$B,B$4,'NSE - Other Index Options'!$I:$I,"MDAW*")+SUMIFS('BSE - SENSEX Index Options'!$M:$M,'BSE - SENSEX Index Options'!$C:$C,$A44,'BSE - SENSEX Index Options'!$B:$B,B$4,'BSE - SENSEX Index Options'!$I:$I,"Weekly*")+SUMIFS('BSE - SENSEX Index Options'!$M:$M,'BSE - SENSEX Index Options'!$C:$C,$A44,'BSE - SENSEX Index Options'!$B:$B,B$4,'BSE - SENSEX Index Options'!$I:$I,"MDAW*")+SUMIFS('BSE - Other Index Options'!$M:$M,'BSE - Other Index Options'!$C:$C,$A44,'BSE - Other Index Options'!$B:$B,B$4,'BSE - Other Index Options'!$I:$I,"Weekly*")+SUMIFS('BSE - Other Index Options'!$M:$M,'BSE - Other Index Options'!$C:$C,$A44,'BSE - Other Index Options'!$B:$B,B$4,'BSE - Other Index Options'!$I:$I,"MDAW*"))</f>
        <v/>
      </c>
      <c r="C44" s="26">
        <f>IF(SUMIFS('NSE - NIFTY Index Options'!$M:$M,'NSE - NIFTY Index Options'!$C:$C,$A44,'NSE - NIFTY Index Options'!$B:$B,C$4,'NSE - NIFTY Index Options'!$I:$I,"Weekly*")+SUMIFS('NSE - NIFTY Index Options'!$M:$M,'NSE - NIFTY Index Options'!$C:$C,$A44,'NSE - NIFTY Index Options'!$B:$B,C$4,'NSE - NIFTY Index Options'!$I:$I,"MDAW*")+SUMIFS('NSE - Other Index Options'!$M:$M,'NSE - Other Index Options'!$C:$C,$A44,'NSE - Other Index Options'!$B:$B,C$4,'NSE - Other Index Options'!$I:$I,"Weekly*")+SUMIFS('NSE - Other Index Options'!$M:$M,'NSE - Other Index Options'!$C:$C,$A44,'NSE - Other Index Options'!$B:$B,C$4,'NSE - Other Index Options'!$I:$I,"MDAW*")+SUMIFS('BSE - SENSEX Index Options'!$M:$M,'BSE - SENSEX Index Options'!$C:$C,$A44,'BSE - SENSEX Index Options'!$B:$B,C$4,'BSE - SENSEX Index Options'!$I:$I,"Weekly*")+SUMIFS('BSE - SENSEX Index Options'!$M:$M,'BSE - SENSEX Index Options'!$C:$C,$A44,'BSE - SENSEX Index Options'!$B:$B,C$4,'BSE - SENSEX Index Options'!$I:$I,"MDAW*")+SUMIFS('BSE - Other Index Options'!$M:$M,'BSE - Other Index Options'!$C:$C,$A44,'BSE - Other Index Options'!$B:$B,C$4,'BSE - Other Index Options'!$I:$I,"Weekly*")+SUMIFS('BSE - Other Index Options'!$M:$M,'BSE - Other Index Options'!$C:$C,$A44,'BSE - Other Index Options'!$B:$B,C$4,'BSE - Other Index Options'!$I:$I,"MDAW*")=0,"",SUMIFS('NSE - NIFTY Index Options'!$M:$M,'NSE - NIFTY Index Options'!$C:$C,$A44,'NSE - NIFTY Index Options'!$B:$B,C$4,'NSE - NIFTY Index Options'!$I:$I,"Weekly*")+SUMIFS('NSE - NIFTY Index Options'!$M:$M,'NSE - NIFTY Index Options'!$C:$C,$A44,'NSE - NIFTY Index Options'!$B:$B,C$4,'NSE - NIFTY Index Options'!$I:$I,"MDAW*")+SUMIFS('NSE - Other Index Options'!$M:$M,'NSE - Other Index Options'!$C:$C,$A44,'NSE - Other Index Options'!$B:$B,C$4,'NSE - Other Index Options'!$I:$I,"Weekly*")+SUMIFS('NSE - Other Index Options'!$M:$M,'NSE - Other Index Options'!$C:$C,$A44,'NSE - Other Index Options'!$B:$B,C$4,'NSE - Other Index Options'!$I:$I,"MDAW*")+SUMIFS('BSE - SENSEX Index Options'!$M:$M,'BSE - SENSEX Index Options'!$C:$C,$A44,'BSE - SENSEX Index Options'!$B:$B,C$4,'BSE - SENSEX Index Options'!$I:$I,"Weekly*")+SUMIFS('BSE - SENSEX Index Options'!$M:$M,'BSE - SENSEX Index Options'!$C:$C,$A44,'BSE - SENSEX Index Options'!$B:$B,C$4,'BSE - SENSEX Index Options'!$I:$I,"MDAW*")+SUMIFS('BSE - Other Index Options'!$M:$M,'BSE - Other Index Options'!$C:$C,$A44,'BSE - Other Index Options'!$B:$B,C$4,'BSE - Other Index Options'!$I:$I,"Weekly*")+SUMIFS('BSE - Other Index Options'!$M:$M,'BSE - Other Index Options'!$C:$C,$A44,'BSE - Other Index Options'!$B:$B,C$4,'BSE - Other Index Options'!$I:$I,"MDAW*"))</f>
        <v/>
      </c>
      <c r="D44" s="26">
        <f>IF(SUMIFS('NSE - NIFTY Index Options'!$M:$M,'NSE - NIFTY Index Options'!$C:$C,$A44,'NSE - NIFTY Index Options'!$B:$B,D$4,'NSE - NIFTY Index Options'!$I:$I,"Weekly*")+SUMIFS('NSE - NIFTY Index Options'!$M:$M,'NSE - NIFTY Index Options'!$C:$C,$A44,'NSE - NIFTY Index Options'!$B:$B,D$4,'NSE - NIFTY Index Options'!$I:$I,"MDAW*")+SUMIFS('NSE - Other Index Options'!$M:$M,'NSE - Other Index Options'!$C:$C,$A44,'NSE - Other Index Options'!$B:$B,D$4,'NSE - Other Index Options'!$I:$I,"Weekly*")+SUMIFS('NSE - Other Index Options'!$M:$M,'NSE - Other Index Options'!$C:$C,$A44,'NSE - Other Index Options'!$B:$B,D$4,'NSE - Other Index Options'!$I:$I,"MDAW*")+SUMIFS('BSE - SENSEX Index Options'!$M:$M,'BSE - SENSEX Index Options'!$C:$C,$A44,'BSE - SENSEX Index Options'!$B:$B,D$4,'BSE - SENSEX Index Options'!$I:$I,"Weekly*")+SUMIFS('BSE - SENSEX Index Options'!$M:$M,'BSE - SENSEX Index Options'!$C:$C,$A44,'BSE - SENSEX Index Options'!$B:$B,D$4,'BSE - SENSEX Index Options'!$I:$I,"MDAW*")+SUMIFS('BSE - Other Index Options'!$M:$M,'BSE - Other Index Options'!$C:$C,$A44,'BSE - Other Index Options'!$B:$B,D$4,'BSE - Other Index Options'!$I:$I,"Weekly*")+SUMIFS('BSE - Other Index Options'!$M:$M,'BSE - Other Index Options'!$C:$C,$A44,'BSE - Other Index Options'!$B:$B,D$4,'BSE - Other Index Options'!$I:$I,"MDAW*")=0,"",SUMIFS('NSE - NIFTY Index Options'!$M:$M,'NSE - NIFTY Index Options'!$C:$C,$A44,'NSE - NIFTY Index Options'!$B:$B,D$4,'NSE - NIFTY Index Options'!$I:$I,"Weekly*")+SUMIFS('NSE - NIFTY Index Options'!$M:$M,'NSE - NIFTY Index Options'!$C:$C,$A44,'NSE - NIFTY Index Options'!$B:$B,D$4,'NSE - NIFTY Index Options'!$I:$I,"MDAW*")+SUMIFS('NSE - Other Index Options'!$M:$M,'NSE - Other Index Options'!$C:$C,$A44,'NSE - Other Index Options'!$B:$B,D$4,'NSE - Other Index Options'!$I:$I,"Weekly*")+SUMIFS('NSE - Other Index Options'!$M:$M,'NSE - Other Index Options'!$C:$C,$A44,'NSE - Other Index Options'!$B:$B,D$4,'NSE - Other Index Options'!$I:$I,"MDAW*")+SUMIFS('BSE - SENSEX Index Options'!$M:$M,'BSE - SENSEX Index Options'!$C:$C,$A44,'BSE - SENSEX Index Options'!$B:$B,D$4,'BSE - SENSEX Index Options'!$I:$I,"Weekly*")+SUMIFS('BSE - SENSEX Index Options'!$M:$M,'BSE - SENSEX Index Options'!$C:$C,$A44,'BSE - SENSEX Index Options'!$B:$B,D$4,'BSE - SENSEX Index Options'!$I:$I,"MDAW*")+SUMIFS('BSE - Other Index Options'!$M:$M,'BSE - Other Index Options'!$C:$C,$A44,'BSE - Other Index Options'!$B:$B,D$4,'BSE - Other Index Options'!$I:$I,"Weekly*")+SUMIFS('BSE - Other Index Options'!$M:$M,'BSE - Other Index Options'!$C:$C,$A44,'BSE - Other Index Options'!$B:$B,D$4,'BSE - Other Index Options'!$I:$I,"MDAW*"))</f>
        <v/>
      </c>
      <c r="E44" s="26">
        <f>IF(SUMIFS('NSE - NIFTY Index Options'!$M:$M,'NSE - NIFTY Index Options'!$C:$C,$A44,'NSE - NIFTY Index Options'!$B:$B,E$4,'NSE - NIFTY Index Options'!$I:$I,"Weekly*")+SUMIFS('NSE - NIFTY Index Options'!$M:$M,'NSE - NIFTY Index Options'!$C:$C,$A44,'NSE - NIFTY Index Options'!$B:$B,E$4,'NSE - NIFTY Index Options'!$I:$I,"MDAW*")+SUMIFS('NSE - Other Index Options'!$M:$M,'NSE - Other Index Options'!$C:$C,$A44,'NSE - Other Index Options'!$B:$B,E$4,'NSE - Other Index Options'!$I:$I,"Weekly*")+SUMIFS('NSE - Other Index Options'!$M:$M,'NSE - Other Index Options'!$C:$C,$A44,'NSE - Other Index Options'!$B:$B,E$4,'NSE - Other Index Options'!$I:$I,"MDAW*")+SUMIFS('BSE - SENSEX Index Options'!$M:$M,'BSE - SENSEX Index Options'!$C:$C,$A44,'BSE - SENSEX Index Options'!$B:$B,E$4,'BSE - SENSEX Index Options'!$I:$I,"Weekly*")+SUMIFS('BSE - SENSEX Index Options'!$M:$M,'BSE - SENSEX Index Options'!$C:$C,$A44,'BSE - SENSEX Index Options'!$B:$B,E$4,'BSE - SENSEX Index Options'!$I:$I,"MDAW*")+SUMIFS('BSE - Other Index Options'!$M:$M,'BSE - Other Index Options'!$C:$C,$A44,'BSE - Other Index Options'!$B:$B,E$4,'BSE - Other Index Options'!$I:$I,"Weekly*")+SUMIFS('BSE - Other Index Options'!$M:$M,'BSE - Other Index Options'!$C:$C,$A44,'BSE - Other Index Options'!$B:$B,E$4,'BSE - Other Index Options'!$I:$I,"MDAW*")=0,"",SUMIFS('NSE - NIFTY Index Options'!$M:$M,'NSE - NIFTY Index Options'!$C:$C,$A44,'NSE - NIFTY Index Options'!$B:$B,E$4,'NSE - NIFTY Index Options'!$I:$I,"Weekly*")+SUMIFS('NSE - NIFTY Index Options'!$M:$M,'NSE - NIFTY Index Options'!$C:$C,$A44,'NSE - NIFTY Index Options'!$B:$B,E$4,'NSE - NIFTY Index Options'!$I:$I,"MDAW*")+SUMIFS('NSE - Other Index Options'!$M:$M,'NSE - Other Index Options'!$C:$C,$A44,'NSE - Other Index Options'!$B:$B,E$4,'NSE - Other Index Options'!$I:$I,"Weekly*")+SUMIFS('NSE - Other Index Options'!$M:$M,'NSE - Other Index Options'!$C:$C,$A44,'NSE - Other Index Options'!$B:$B,E$4,'NSE - Other Index Options'!$I:$I,"MDAW*")+SUMIFS('BSE - SENSEX Index Options'!$M:$M,'BSE - SENSEX Index Options'!$C:$C,$A44,'BSE - SENSEX Index Options'!$B:$B,E$4,'BSE - SENSEX Index Options'!$I:$I,"Weekly*")+SUMIFS('BSE - SENSEX Index Options'!$M:$M,'BSE - SENSEX Index Options'!$C:$C,$A44,'BSE - SENSEX Index Options'!$B:$B,E$4,'BSE - SENSEX Index Options'!$I:$I,"MDAW*")+SUMIFS('BSE - Other Index Options'!$M:$M,'BSE - Other Index Options'!$C:$C,$A44,'BSE - Other Index Options'!$B:$B,E$4,'BSE - Other Index Options'!$I:$I,"Weekly*")+SUMIFS('BSE - Other Index Options'!$M:$M,'BSE - Other Index Options'!$C:$C,$A44,'BSE - Other Index Options'!$B:$B,E$4,'BSE - Other Index Options'!$I:$I,"MDAW*"))</f>
        <v/>
      </c>
      <c r="F44" s="26">
        <f>IF(SUMIFS('NSE - NIFTY Index Options'!$M:$M,'NSE - NIFTY Index Options'!$C:$C,$A44,'NSE - NIFTY Index Options'!$B:$B,F$4,'NSE - NIFTY Index Options'!$I:$I,"Weekly*")+SUMIFS('NSE - NIFTY Index Options'!$M:$M,'NSE - NIFTY Index Options'!$C:$C,$A44,'NSE - NIFTY Index Options'!$B:$B,F$4,'NSE - NIFTY Index Options'!$I:$I,"MDAW*")+SUMIFS('NSE - Other Index Options'!$M:$M,'NSE - Other Index Options'!$C:$C,$A44,'NSE - Other Index Options'!$B:$B,F$4,'NSE - Other Index Options'!$I:$I,"Weekly*")+SUMIFS('NSE - Other Index Options'!$M:$M,'NSE - Other Index Options'!$C:$C,$A44,'NSE - Other Index Options'!$B:$B,F$4,'NSE - Other Index Options'!$I:$I,"MDAW*")+SUMIFS('BSE - SENSEX Index Options'!$M:$M,'BSE - SENSEX Index Options'!$C:$C,$A44,'BSE - SENSEX Index Options'!$B:$B,F$4,'BSE - SENSEX Index Options'!$I:$I,"Weekly*")+SUMIFS('BSE - SENSEX Index Options'!$M:$M,'BSE - SENSEX Index Options'!$C:$C,$A44,'BSE - SENSEX Index Options'!$B:$B,F$4,'BSE - SENSEX Index Options'!$I:$I,"MDAW*")+SUMIFS('BSE - Other Index Options'!$M:$M,'BSE - Other Index Options'!$C:$C,$A44,'BSE - Other Index Options'!$B:$B,F$4,'BSE - Other Index Options'!$I:$I,"Weekly*")+SUMIFS('BSE - Other Index Options'!$M:$M,'BSE - Other Index Options'!$C:$C,$A44,'BSE - Other Index Options'!$B:$B,F$4,'BSE - Other Index Options'!$I:$I,"MDAW*")=0,"",SUMIFS('NSE - NIFTY Index Options'!$M:$M,'NSE - NIFTY Index Options'!$C:$C,$A44,'NSE - NIFTY Index Options'!$B:$B,F$4,'NSE - NIFTY Index Options'!$I:$I,"Weekly*")+SUMIFS('NSE - NIFTY Index Options'!$M:$M,'NSE - NIFTY Index Options'!$C:$C,$A44,'NSE - NIFTY Index Options'!$B:$B,F$4,'NSE - NIFTY Index Options'!$I:$I,"MDAW*")+SUMIFS('NSE - Other Index Options'!$M:$M,'NSE - Other Index Options'!$C:$C,$A44,'NSE - Other Index Options'!$B:$B,F$4,'NSE - Other Index Options'!$I:$I,"Weekly*")+SUMIFS('NSE - Other Index Options'!$M:$M,'NSE - Other Index Options'!$C:$C,$A44,'NSE - Other Index Options'!$B:$B,F$4,'NSE - Other Index Options'!$I:$I,"MDAW*")+SUMIFS('BSE - SENSEX Index Options'!$M:$M,'BSE - SENSEX Index Options'!$C:$C,$A44,'BSE - SENSEX Index Options'!$B:$B,F$4,'BSE - SENSEX Index Options'!$I:$I,"Weekly*")+SUMIFS('BSE - SENSEX Index Options'!$M:$M,'BSE - SENSEX Index Options'!$C:$C,$A44,'BSE - SENSEX Index Options'!$B:$B,F$4,'BSE - SENSEX Index Options'!$I:$I,"MDAW*")+SUMIFS('BSE - Other Index Options'!$M:$M,'BSE - Other Index Options'!$C:$C,$A44,'BSE - Other Index Options'!$B:$B,F$4,'BSE - Other Index Options'!$I:$I,"Weekly*")+SUMIFS('BSE - Other Index Options'!$M:$M,'BSE - Other Index Options'!$C:$C,$A44,'BSE - Other Index Options'!$B:$B,F$4,'BSE - Other Index Options'!$I:$I,"MDAW*"))</f>
        <v/>
      </c>
      <c r="G44" s="26">
        <f>IF(SUMIFS('NSE - NIFTY Index Options'!$M:$M,'NSE - NIFTY Index Options'!$C:$C,$A44,'NSE - NIFTY Index Options'!$B:$B,G$4,'NSE - NIFTY Index Options'!$I:$I,"Weekly*")+SUMIFS('NSE - NIFTY Index Options'!$M:$M,'NSE - NIFTY Index Options'!$C:$C,$A44,'NSE - NIFTY Index Options'!$B:$B,G$4,'NSE - NIFTY Index Options'!$I:$I,"MDAW*")+SUMIFS('NSE - Other Index Options'!$M:$M,'NSE - Other Index Options'!$C:$C,$A44,'NSE - Other Index Options'!$B:$B,G$4,'NSE - Other Index Options'!$I:$I,"Weekly*")+SUMIFS('NSE - Other Index Options'!$M:$M,'NSE - Other Index Options'!$C:$C,$A44,'NSE - Other Index Options'!$B:$B,G$4,'NSE - Other Index Options'!$I:$I,"MDAW*")+SUMIFS('BSE - SENSEX Index Options'!$M:$M,'BSE - SENSEX Index Options'!$C:$C,$A44,'BSE - SENSEX Index Options'!$B:$B,G$4,'BSE - SENSEX Index Options'!$I:$I,"Weekly*")+SUMIFS('BSE - SENSEX Index Options'!$M:$M,'BSE - SENSEX Index Options'!$C:$C,$A44,'BSE - SENSEX Index Options'!$B:$B,G$4,'BSE - SENSEX Index Options'!$I:$I,"MDAW*")+SUMIFS('BSE - Other Index Options'!$M:$M,'BSE - Other Index Options'!$C:$C,$A44,'BSE - Other Index Options'!$B:$B,G$4,'BSE - Other Index Options'!$I:$I,"Weekly*")+SUMIFS('BSE - Other Index Options'!$M:$M,'BSE - Other Index Options'!$C:$C,$A44,'BSE - Other Index Options'!$B:$B,G$4,'BSE - Other Index Options'!$I:$I,"MDAW*")=0,"",SUMIFS('NSE - NIFTY Index Options'!$M:$M,'NSE - NIFTY Index Options'!$C:$C,$A44,'NSE - NIFTY Index Options'!$B:$B,G$4,'NSE - NIFTY Index Options'!$I:$I,"Weekly*")+SUMIFS('NSE - NIFTY Index Options'!$M:$M,'NSE - NIFTY Index Options'!$C:$C,$A44,'NSE - NIFTY Index Options'!$B:$B,G$4,'NSE - NIFTY Index Options'!$I:$I,"MDAW*")+SUMIFS('NSE - Other Index Options'!$M:$M,'NSE - Other Index Options'!$C:$C,$A44,'NSE - Other Index Options'!$B:$B,G$4,'NSE - Other Index Options'!$I:$I,"Weekly*")+SUMIFS('NSE - Other Index Options'!$M:$M,'NSE - Other Index Options'!$C:$C,$A44,'NSE - Other Index Options'!$B:$B,G$4,'NSE - Other Index Options'!$I:$I,"MDAW*")+SUMIFS('BSE - SENSEX Index Options'!$M:$M,'BSE - SENSEX Index Options'!$C:$C,$A44,'BSE - SENSEX Index Options'!$B:$B,G$4,'BSE - SENSEX Index Options'!$I:$I,"Weekly*")+SUMIFS('BSE - SENSEX Index Options'!$M:$M,'BSE - SENSEX Index Options'!$C:$C,$A44,'BSE - SENSEX Index Options'!$B:$B,G$4,'BSE - SENSEX Index Options'!$I:$I,"MDAW*")+SUMIFS('BSE - Other Index Options'!$M:$M,'BSE - Other Index Options'!$C:$C,$A44,'BSE - Other Index Options'!$B:$B,G$4,'BSE - Other Index Options'!$I:$I,"Weekly*")+SUMIFS('BSE - Other Index Options'!$M:$M,'BSE - Other Index Options'!$C:$C,$A44,'BSE - Other Index Options'!$B:$B,G$4,'BSE - Other Index Options'!$I:$I,"MDAW*"))</f>
        <v/>
      </c>
      <c r="H44" s="26">
        <f>IF(SUM(B44:G44)=0,"",SUM(B44:G44))</f>
        <v/>
      </c>
    </row>
    <row r="45">
      <c r="A45" t="inlineStr">
        <is>
          <t>Week2-May-2026</t>
        </is>
      </c>
      <c r="B45" s="26">
        <f>IF(SUMIFS('NSE - NIFTY Index Options'!$M:$M,'NSE - NIFTY Index Options'!$C:$C,$A45,'NSE - NIFTY Index Options'!$B:$B,B$4,'NSE - NIFTY Index Options'!$I:$I,"Weekly*")+SUMIFS('NSE - NIFTY Index Options'!$M:$M,'NSE - NIFTY Index Options'!$C:$C,$A45,'NSE - NIFTY Index Options'!$B:$B,B$4,'NSE - NIFTY Index Options'!$I:$I,"MDAW*")+SUMIFS('NSE - Other Index Options'!$M:$M,'NSE - Other Index Options'!$C:$C,$A45,'NSE - Other Index Options'!$B:$B,B$4,'NSE - Other Index Options'!$I:$I,"Weekly*")+SUMIFS('NSE - Other Index Options'!$M:$M,'NSE - Other Index Options'!$C:$C,$A45,'NSE - Other Index Options'!$B:$B,B$4,'NSE - Other Index Options'!$I:$I,"MDAW*")+SUMIFS('BSE - SENSEX Index Options'!$M:$M,'BSE - SENSEX Index Options'!$C:$C,$A45,'BSE - SENSEX Index Options'!$B:$B,B$4,'BSE - SENSEX Index Options'!$I:$I,"Weekly*")+SUMIFS('BSE - SENSEX Index Options'!$M:$M,'BSE - SENSEX Index Options'!$C:$C,$A45,'BSE - SENSEX Index Options'!$B:$B,B$4,'BSE - SENSEX Index Options'!$I:$I,"MDAW*")+SUMIFS('BSE - Other Index Options'!$M:$M,'BSE - Other Index Options'!$C:$C,$A45,'BSE - Other Index Options'!$B:$B,B$4,'BSE - Other Index Options'!$I:$I,"Weekly*")+SUMIFS('BSE - Other Index Options'!$M:$M,'BSE - Other Index Options'!$C:$C,$A45,'BSE - Other Index Options'!$B:$B,B$4,'BSE - Other Index Options'!$I:$I,"MDAW*")=0,"",SUMIFS('NSE - NIFTY Index Options'!$M:$M,'NSE - NIFTY Index Options'!$C:$C,$A45,'NSE - NIFTY Index Options'!$B:$B,B$4,'NSE - NIFTY Index Options'!$I:$I,"Weekly*")+SUMIFS('NSE - NIFTY Index Options'!$M:$M,'NSE - NIFTY Index Options'!$C:$C,$A45,'NSE - NIFTY Index Options'!$B:$B,B$4,'NSE - NIFTY Index Options'!$I:$I,"MDAW*")+SUMIFS('NSE - Other Index Options'!$M:$M,'NSE - Other Index Options'!$C:$C,$A45,'NSE - Other Index Options'!$B:$B,B$4,'NSE - Other Index Options'!$I:$I,"Weekly*")+SUMIFS('NSE - Other Index Options'!$M:$M,'NSE - Other Index Options'!$C:$C,$A45,'NSE - Other Index Options'!$B:$B,B$4,'NSE - Other Index Options'!$I:$I,"MDAW*")+SUMIFS('BSE - SENSEX Index Options'!$M:$M,'BSE - SENSEX Index Options'!$C:$C,$A45,'BSE - SENSEX Index Options'!$B:$B,B$4,'BSE - SENSEX Index Options'!$I:$I,"Weekly*")+SUMIFS('BSE - SENSEX Index Options'!$M:$M,'BSE - SENSEX Index Options'!$C:$C,$A45,'BSE - SENSEX Index Options'!$B:$B,B$4,'BSE - SENSEX Index Options'!$I:$I,"MDAW*")+SUMIFS('BSE - Other Index Options'!$M:$M,'BSE - Other Index Options'!$C:$C,$A45,'BSE - Other Index Options'!$B:$B,B$4,'BSE - Other Index Options'!$I:$I,"Weekly*")+SUMIFS('BSE - Other Index Options'!$M:$M,'BSE - Other Index Options'!$C:$C,$A45,'BSE - Other Index Options'!$B:$B,B$4,'BSE - Other Index Options'!$I:$I,"MDAW*"))</f>
        <v/>
      </c>
      <c r="C45" s="26">
        <f>IF(SUMIFS('NSE - NIFTY Index Options'!$M:$M,'NSE - NIFTY Index Options'!$C:$C,$A45,'NSE - NIFTY Index Options'!$B:$B,C$4,'NSE - NIFTY Index Options'!$I:$I,"Weekly*")+SUMIFS('NSE - NIFTY Index Options'!$M:$M,'NSE - NIFTY Index Options'!$C:$C,$A45,'NSE - NIFTY Index Options'!$B:$B,C$4,'NSE - NIFTY Index Options'!$I:$I,"MDAW*")+SUMIFS('NSE - Other Index Options'!$M:$M,'NSE - Other Index Options'!$C:$C,$A45,'NSE - Other Index Options'!$B:$B,C$4,'NSE - Other Index Options'!$I:$I,"Weekly*")+SUMIFS('NSE - Other Index Options'!$M:$M,'NSE - Other Index Options'!$C:$C,$A45,'NSE - Other Index Options'!$B:$B,C$4,'NSE - Other Index Options'!$I:$I,"MDAW*")+SUMIFS('BSE - SENSEX Index Options'!$M:$M,'BSE - SENSEX Index Options'!$C:$C,$A45,'BSE - SENSEX Index Options'!$B:$B,C$4,'BSE - SENSEX Index Options'!$I:$I,"Weekly*")+SUMIFS('BSE - SENSEX Index Options'!$M:$M,'BSE - SENSEX Index Options'!$C:$C,$A45,'BSE - SENSEX Index Options'!$B:$B,C$4,'BSE - SENSEX Index Options'!$I:$I,"MDAW*")+SUMIFS('BSE - Other Index Options'!$M:$M,'BSE - Other Index Options'!$C:$C,$A45,'BSE - Other Index Options'!$B:$B,C$4,'BSE - Other Index Options'!$I:$I,"Weekly*")+SUMIFS('BSE - Other Index Options'!$M:$M,'BSE - Other Index Options'!$C:$C,$A45,'BSE - Other Index Options'!$B:$B,C$4,'BSE - Other Index Options'!$I:$I,"MDAW*")=0,"",SUMIFS('NSE - NIFTY Index Options'!$M:$M,'NSE - NIFTY Index Options'!$C:$C,$A45,'NSE - NIFTY Index Options'!$B:$B,C$4,'NSE - NIFTY Index Options'!$I:$I,"Weekly*")+SUMIFS('NSE - NIFTY Index Options'!$M:$M,'NSE - NIFTY Index Options'!$C:$C,$A45,'NSE - NIFTY Index Options'!$B:$B,C$4,'NSE - NIFTY Index Options'!$I:$I,"MDAW*")+SUMIFS('NSE - Other Index Options'!$M:$M,'NSE - Other Index Options'!$C:$C,$A45,'NSE - Other Index Options'!$B:$B,C$4,'NSE - Other Index Options'!$I:$I,"Weekly*")+SUMIFS('NSE - Other Index Options'!$M:$M,'NSE - Other Index Options'!$C:$C,$A45,'NSE - Other Index Options'!$B:$B,C$4,'NSE - Other Index Options'!$I:$I,"MDAW*")+SUMIFS('BSE - SENSEX Index Options'!$M:$M,'BSE - SENSEX Index Options'!$C:$C,$A45,'BSE - SENSEX Index Options'!$B:$B,C$4,'BSE - SENSEX Index Options'!$I:$I,"Weekly*")+SUMIFS('BSE - SENSEX Index Options'!$M:$M,'BSE - SENSEX Index Options'!$C:$C,$A45,'BSE - SENSEX Index Options'!$B:$B,C$4,'BSE - SENSEX Index Options'!$I:$I,"MDAW*")+SUMIFS('BSE - Other Index Options'!$M:$M,'BSE - Other Index Options'!$C:$C,$A45,'BSE - Other Index Options'!$B:$B,C$4,'BSE - Other Index Options'!$I:$I,"Weekly*")+SUMIFS('BSE - Other Index Options'!$M:$M,'BSE - Other Index Options'!$C:$C,$A45,'BSE - Other Index Options'!$B:$B,C$4,'BSE - Other Index Options'!$I:$I,"MDAW*"))</f>
        <v/>
      </c>
      <c r="D45" s="26">
        <f>IF(SUMIFS('NSE - NIFTY Index Options'!$M:$M,'NSE - NIFTY Index Options'!$C:$C,$A45,'NSE - NIFTY Index Options'!$B:$B,D$4,'NSE - NIFTY Index Options'!$I:$I,"Weekly*")+SUMIFS('NSE - NIFTY Index Options'!$M:$M,'NSE - NIFTY Index Options'!$C:$C,$A45,'NSE - NIFTY Index Options'!$B:$B,D$4,'NSE - NIFTY Index Options'!$I:$I,"MDAW*")+SUMIFS('NSE - Other Index Options'!$M:$M,'NSE - Other Index Options'!$C:$C,$A45,'NSE - Other Index Options'!$B:$B,D$4,'NSE - Other Index Options'!$I:$I,"Weekly*")+SUMIFS('NSE - Other Index Options'!$M:$M,'NSE - Other Index Options'!$C:$C,$A45,'NSE - Other Index Options'!$B:$B,D$4,'NSE - Other Index Options'!$I:$I,"MDAW*")+SUMIFS('BSE - SENSEX Index Options'!$M:$M,'BSE - SENSEX Index Options'!$C:$C,$A45,'BSE - SENSEX Index Options'!$B:$B,D$4,'BSE - SENSEX Index Options'!$I:$I,"Weekly*")+SUMIFS('BSE - SENSEX Index Options'!$M:$M,'BSE - SENSEX Index Options'!$C:$C,$A45,'BSE - SENSEX Index Options'!$B:$B,D$4,'BSE - SENSEX Index Options'!$I:$I,"MDAW*")+SUMIFS('BSE - Other Index Options'!$M:$M,'BSE - Other Index Options'!$C:$C,$A45,'BSE - Other Index Options'!$B:$B,D$4,'BSE - Other Index Options'!$I:$I,"Weekly*")+SUMIFS('BSE - Other Index Options'!$M:$M,'BSE - Other Index Options'!$C:$C,$A45,'BSE - Other Index Options'!$B:$B,D$4,'BSE - Other Index Options'!$I:$I,"MDAW*")=0,"",SUMIFS('NSE - NIFTY Index Options'!$M:$M,'NSE - NIFTY Index Options'!$C:$C,$A45,'NSE - NIFTY Index Options'!$B:$B,D$4,'NSE - NIFTY Index Options'!$I:$I,"Weekly*")+SUMIFS('NSE - NIFTY Index Options'!$M:$M,'NSE - NIFTY Index Options'!$C:$C,$A45,'NSE - NIFTY Index Options'!$B:$B,D$4,'NSE - NIFTY Index Options'!$I:$I,"MDAW*")+SUMIFS('NSE - Other Index Options'!$M:$M,'NSE - Other Index Options'!$C:$C,$A45,'NSE - Other Index Options'!$B:$B,D$4,'NSE - Other Index Options'!$I:$I,"Weekly*")+SUMIFS('NSE - Other Index Options'!$M:$M,'NSE - Other Index Options'!$C:$C,$A45,'NSE - Other Index Options'!$B:$B,D$4,'NSE - Other Index Options'!$I:$I,"MDAW*")+SUMIFS('BSE - SENSEX Index Options'!$M:$M,'BSE - SENSEX Index Options'!$C:$C,$A45,'BSE - SENSEX Index Options'!$B:$B,D$4,'BSE - SENSEX Index Options'!$I:$I,"Weekly*")+SUMIFS('BSE - SENSEX Index Options'!$M:$M,'BSE - SENSEX Index Options'!$C:$C,$A45,'BSE - SENSEX Index Options'!$B:$B,D$4,'BSE - SENSEX Index Options'!$I:$I,"MDAW*")+SUMIFS('BSE - Other Index Options'!$M:$M,'BSE - Other Index Options'!$C:$C,$A45,'BSE - Other Index Options'!$B:$B,D$4,'BSE - Other Index Options'!$I:$I,"Weekly*")+SUMIFS('BSE - Other Index Options'!$M:$M,'BSE - Other Index Options'!$C:$C,$A45,'BSE - Other Index Options'!$B:$B,D$4,'BSE - Other Index Options'!$I:$I,"MDAW*"))</f>
        <v/>
      </c>
      <c r="E45" s="26">
        <f>IF(SUMIFS('NSE - NIFTY Index Options'!$M:$M,'NSE - NIFTY Index Options'!$C:$C,$A45,'NSE - NIFTY Index Options'!$B:$B,E$4,'NSE - NIFTY Index Options'!$I:$I,"Weekly*")+SUMIFS('NSE - NIFTY Index Options'!$M:$M,'NSE - NIFTY Index Options'!$C:$C,$A45,'NSE - NIFTY Index Options'!$B:$B,E$4,'NSE - NIFTY Index Options'!$I:$I,"MDAW*")+SUMIFS('NSE - Other Index Options'!$M:$M,'NSE - Other Index Options'!$C:$C,$A45,'NSE - Other Index Options'!$B:$B,E$4,'NSE - Other Index Options'!$I:$I,"Weekly*")+SUMIFS('NSE - Other Index Options'!$M:$M,'NSE - Other Index Options'!$C:$C,$A45,'NSE - Other Index Options'!$B:$B,E$4,'NSE - Other Index Options'!$I:$I,"MDAW*")+SUMIFS('BSE - SENSEX Index Options'!$M:$M,'BSE - SENSEX Index Options'!$C:$C,$A45,'BSE - SENSEX Index Options'!$B:$B,E$4,'BSE - SENSEX Index Options'!$I:$I,"Weekly*")+SUMIFS('BSE - SENSEX Index Options'!$M:$M,'BSE - SENSEX Index Options'!$C:$C,$A45,'BSE - SENSEX Index Options'!$B:$B,E$4,'BSE - SENSEX Index Options'!$I:$I,"MDAW*")+SUMIFS('BSE - Other Index Options'!$M:$M,'BSE - Other Index Options'!$C:$C,$A45,'BSE - Other Index Options'!$B:$B,E$4,'BSE - Other Index Options'!$I:$I,"Weekly*")+SUMIFS('BSE - Other Index Options'!$M:$M,'BSE - Other Index Options'!$C:$C,$A45,'BSE - Other Index Options'!$B:$B,E$4,'BSE - Other Index Options'!$I:$I,"MDAW*")=0,"",SUMIFS('NSE - NIFTY Index Options'!$M:$M,'NSE - NIFTY Index Options'!$C:$C,$A45,'NSE - NIFTY Index Options'!$B:$B,E$4,'NSE - NIFTY Index Options'!$I:$I,"Weekly*")+SUMIFS('NSE - NIFTY Index Options'!$M:$M,'NSE - NIFTY Index Options'!$C:$C,$A45,'NSE - NIFTY Index Options'!$B:$B,E$4,'NSE - NIFTY Index Options'!$I:$I,"MDAW*")+SUMIFS('NSE - Other Index Options'!$M:$M,'NSE - Other Index Options'!$C:$C,$A45,'NSE - Other Index Options'!$B:$B,E$4,'NSE - Other Index Options'!$I:$I,"Weekly*")+SUMIFS('NSE - Other Index Options'!$M:$M,'NSE - Other Index Options'!$C:$C,$A45,'NSE - Other Index Options'!$B:$B,E$4,'NSE - Other Index Options'!$I:$I,"MDAW*")+SUMIFS('BSE - SENSEX Index Options'!$M:$M,'BSE - SENSEX Index Options'!$C:$C,$A45,'BSE - SENSEX Index Options'!$B:$B,E$4,'BSE - SENSEX Index Options'!$I:$I,"Weekly*")+SUMIFS('BSE - SENSEX Index Options'!$M:$M,'BSE - SENSEX Index Options'!$C:$C,$A45,'BSE - SENSEX Index Options'!$B:$B,E$4,'BSE - SENSEX Index Options'!$I:$I,"MDAW*")+SUMIFS('BSE - Other Index Options'!$M:$M,'BSE - Other Index Options'!$C:$C,$A45,'BSE - Other Index Options'!$B:$B,E$4,'BSE - Other Index Options'!$I:$I,"Weekly*")+SUMIFS('BSE - Other Index Options'!$M:$M,'BSE - Other Index Options'!$C:$C,$A45,'BSE - Other Index Options'!$B:$B,E$4,'BSE - Other Index Options'!$I:$I,"MDAW*"))</f>
        <v/>
      </c>
      <c r="F45" s="26">
        <f>IF(SUMIFS('NSE - NIFTY Index Options'!$M:$M,'NSE - NIFTY Index Options'!$C:$C,$A45,'NSE - NIFTY Index Options'!$B:$B,F$4,'NSE - NIFTY Index Options'!$I:$I,"Weekly*")+SUMIFS('NSE - NIFTY Index Options'!$M:$M,'NSE - NIFTY Index Options'!$C:$C,$A45,'NSE - NIFTY Index Options'!$B:$B,F$4,'NSE - NIFTY Index Options'!$I:$I,"MDAW*")+SUMIFS('NSE - Other Index Options'!$M:$M,'NSE - Other Index Options'!$C:$C,$A45,'NSE - Other Index Options'!$B:$B,F$4,'NSE - Other Index Options'!$I:$I,"Weekly*")+SUMIFS('NSE - Other Index Options'!$M:$M,'NSE - Other Index Options'!$C:$C,$A45,'NSE - Other Index Options'!$B:$B,F$4,'NSE - Other Index Options'!$I:$I,"MDAW*")+SUMIFS('BSE - SENSEX Index Options'!$M:$M,'BSE - SENSEX Index Options'!$C:$C,$A45,'BSE - SENSEX Index Options'!$B:$B,F$4,'BSE - SENSEX Index Options'!$I:$I,"Weekly*")+SUMIFS('BSE - SENSEX Index Options'!$M:$M,'BSE - SENSEX Index Options'!$C:$C,$A45,'BSE - SENSEX Index Options'!$B:$B,F$4,'BSE - SENSEX Index Options'!$I:$I,"MDAW*")+SUMIFS('BSE - Other Index Options'!$M:$M,'BSE - Other Index Options'!$C:$C,$A45,'BSE - Other Index Options'!$B:$B,F$4,'BSE - Other Index Options'!$I:$I,"Weekly*")+SUMIFS('BSE - Other Index Options'!$M:$M,'BSE - Other Index Options'!$C:$C,$A45,'BSE - Other Index Options'!$B:$B,F$4,'BSE - Other Index Options'!$I:$I,"MDAW*")=0,"",SUMIFS('NSE - NIFTY Index Options'!$M:$M,'NSE - NIFTY Index Options'!$C:$C,$A45,'NSE - NIFTY Index Options'!$B:$B,F$4,'NSE - NIFTY Index Options'!$I:$I,"Weekly*")+SUMIFS('NSE - NIFTY Index Options'!$M:$M,'NSE - NIFTY Index Options'!$C:$C,$A45,'NSE - NIFTY Index Options'!$B:$B,F$4,'NSE - NIFTY Index Options'!$I:$I,"MDAW*")+SUMIFS('NSE - Other Index Options'!$M:$M,'NSE - Other Index Options'!$C:$C,$A45,'NSE - Other Index Options'!$B:$B,F$4,'NSE - Other Index Options'!$I:$I,"Weekly*")+SUMIFS('NSE - Other Index Options'!$M:$M,'NSE - Other Index Options'!$C:$C,$A45,'NSE - Other Index Options'!$B:$B,F$4,'NSE - Other Index Options'!$I:$I,"MDAW*")+SUMIFS('BSE - SENSEX Index Options'!$M:$M,'BSE - SENSEX Index Options'!$C:$C,$A45,'BSE - SENSEX Index Options'!$B:$B,F$4,'BSE - SENSEX Index Options'!$I:$I,"Weekly*")+SUMIFS('BSE - SENSEX Index Options'!$M:$M,'BSE - SENSEX Index Options'!$C:$C,$A45,'BSE - SENSEX Index Options'!$B:$B,F$4,'BSE - SENSEX Index Options'!$I:$I,"MDAW*")+SUMIFS('BSE - Other Index Options'!$M:$M,'BSE - Other Index Options'!$C:$C,$A45,'BSE - Other Index Options'!$B:$B,F$4,'BSE - Other Index Options'!$I:$I,"Weekly*")+SUMIFS('BSE - Other Index Options'!$M:$M,'BSE - Other Index Options'!$C:$C,$A45,'BSE - Other Index Options'!$B:$B,F$4,'BSE - Other Index Options'!$I:$I,"MDAW*"))</f>
        <v/>
      </c>
      <c r="G45" s="26">
        <f>IF(SUMIFS('NSE - NIFTY Index Options'!$M:$M,'NSE - NIFTY Index Options'!$C:$C,$A45,'NSE - NIFTY Index Options'!$B:$B,G$4,'NSE - NIFTY Index Options'!$I:$I,"Weekly*")+SUMIFS('NSE - NIFTY Index Options'!$M:$M,'NSE - NIFTY Index Options'!$C:$C,$A45,'NSE - NIFTY Index Options'!$B:$B,G$4,'NSE - NIFTY Index Options'!$I:$I,"MDAW*")+SUMIFS('NSE - Other Index Options'!$M:$M,'NSE - Other Index Options'!$C:$C,$A45,'NSE - Other Index Options'!$B:$B,G$4,'NSE - Other Index Options'!$I:$I,"Weekly*")+SUMIFS('NSE - Other Index Options'!$M:$M,'NSE - Other Index Options'!$C:$C,$A45,'NSE - Other Index Options'!$B:$B,G$4,'NSE - Other Index Options'!$I:$I,"MDAW*")+SUMIFS('BSE - SENSEX Index Options'!$M:$M,'BSE - SENSEX Index Options'!$C:$C,$A45,'BSE - SENSEX Index Options'!$B:$B,G$4,'BSE - SENSEX Index Options'!$I:$I,"Weekly*")+SUMIFS('BSE - SENSEX Index Options'!$M:$M,'BSE - SENSEX Index Options'!$C:$C,$A45,'BSE - SENSEX Index Options'!$B:$B,G$4,'BSE - SENSEX Index Options'!$I:$I,"MDAW*")+SUMIFS('BSE - Other Index Options'!$M:$M,'BSE - Other Index Options'!$C:$C,$A45,'BSE - Other Index Options'!$B:$B,G$4,'BSE - Other Index Options'!$I:$I,"Weekly*")+SUMIFS('BSE - Other Index Options'!$M:$M,'BSE - Other Index Options'!$C:$C,$A45,'BSE - Other Index Options'!$B:$B,G$4,'BSE - Other Index Options'!$I:$I,"MDAW*")=0,"",SUMIFS('NSE - NIFTY Index Options'!$M:$M,'NSE - NIFTY Index Options'!$C:$C,$A45,'NSE - NIFTY Index Options'!$B:$B,G$4,'NSE - NIFTY Index Options'!$I:$I,"Weekly*")+SUMIFS('NSE - NIFTY Index Options'!$M:$M,'NSE - NIFTY Index Options'!$C:$C,$A45,'NSE - NIFTY Index Options'!$B:$B,G$4,'NSE - NIFTY Index Options'!$I:$I,"MDAW*")+SUMIFS('NSE - Other Index Options'!$M:$M,'NSE - Other Index Options'!$C:$C,$A45,'NSE - Other Index Options'!$B:$B,G$4,'NSE - Other Index Options'!$I:$I,"Weekly*")+SUMIFS('NSE - Other Index Options'!$M:$M,'NSE - Other Index Options'!$C:$C,$A45,'NSE - Other Index Options'!$B:$B,G$4,'NSE - Other Index Options'!$I:$I,"MDAW*")+SUMIFS('BSE - SENSEX Index Options'!$M:$M,'BSE - SENSEX Index Options'!$C:$C,$A45,'BSE - SENSEX Index Options'!$B:$B,G$4,'BSE - SENSEX Index Options'!$I:$I,"Weekly*")+SUMIFS('BSE - SENSEX Index Options'!$M:$M,'BSE - SENSEX Index Options'!$C:$C,$A45,'BSE - SENSEX Index Options'!$B:$B,G$4,'BSE - SENSEX Index Options'!$I:$I,"MDAW*")+SUMIFS('BSE - Other Index Options'!$M:$M,'BSE - Other Index Options'!$C:$C,$A45,'BSE - Other Index Options'!$B:$B,G$4,'BSE - Other Index Options'!$I:$I,"Weekly*")+SUMIFS('BSE - Other Index Options'!$M:$M,'BSE - Other Index Options'!$C:$C,$A45,'BSE - Other Index Options'!$B:$B,G$4,'BSE - Other Index Options'!$I:$I,"MDAW*"))</f>
        <v/>
      </c>
      <c r="H45" s="26">
        <f>IF(SUM(B45:G45)=0,"",SUM(B45:G45))</f>
        <v/>
      </c>
    </row>
    <row r="46">
      <c r="A46" t="inlineStr">
        <is>
          <t>Week3-May-2026</t>
        </is>
      </c>
      <c r="B46" s="26">
        <f>IF(SUMIFS('NSE - NIFTY Index Options'!$M:$M,'NSE - NIFTY Index Options'!$C:$C,$A46,'NSE - NIFTY Index Options'!$B:$B,B$4,'NSE - NIFTY Index Options'!$I:$I,"Weekly*")+SUMIFS('NSE - NIFTY Index Options'!$M:$M,'NSE - NIFTY Index Options'!$C:$C,$A46,'NSE - NIFTY Index Options'!$B:$B,B$4,'NSE - NIFTY Index Options'!$I:$I,"MDAW*")+SUMIFS('NSE - Other Index Options'!$M:$M,'NSE - Other Index Options'!$C:$C,$A46,'NSE - Other Index Options'!$B:$B,B$4,'NSE - Other Index Options'!$I:$I,"Weekly*")+SUMIFS('NSE - Other Index Options'!$M:$M,'NSE - Other Index Options'!$C:$C,$A46,'NSE - Other Index Options'!$B:$B,B$4,'NSE - Other Index Options'!$I:$I,"MDAW*")+SUMIFS('BSE - SENSEX Index Options'!$M:$M,'BSE - SENSEX Index Options'!$C:$C,$A46,'BSE - SENSEX Index Options'!$B:$B,B$4,'BSE - SENSEX Index Options'!$I:$I,"Weekly*")+SUMIFS('BSE - SENSEX Index Options'!$M:$M,'BSE - SENSEX Index Options'!$C:$C,$A46,'BSE - SENSEX Index Options'!$B:$B,B$4,'BSE - SENSEX Index Options'!$I:$I,"MDAW*")+SUMIFS('BSE - Other Index Options'!$M:$M,'BSE - Other Index Options'!$C:$C,$A46,'BSE - Other Index Options'!$B:$B,B$4,'BSE - Other Index Options'!$I:$I,"Weekly*")+SUMIFS('BSE - Other Index Options'!$M:$M,'BSE - Other Index Options'!$C:$C,$A46,'BSE - Other Index Options'!$B:$B,B$4,'BSE - Other Index Options'!$I:$I,"MDAW*")=0,"",SUMIFS('NSE - NIFTY Index Options'!$M:$M,'NSE - NIFTY Index Options'!$C:$C,$A46,'NSE - NIFTY Index Options'!$B:$B,B$4,'NSE - NIFTY Index Options'!$I:$I,"Weekly*")+SUMIFS('NSE - NIFTY Index Options'!$M:$M,'NSE - NIFTY Index Options'!$C:$C,$A46,'NSE - NIFTY Index Options'!$B:$B,B$4,'NSE - NIFTY Index Options'!$I:$I,"MDAW*")+SUMIFS('NSE - Other Index Options'!$M:$M,'NSE - Other Index Options'!$C:$C,$A46,'NSE - Other Index Options'!$B:$B,B$4,'NSE - Other Index Options'!$I:$I,"Weekly*")+SUMIFS('NSE - Other Index Options'!$M:$M,'NSE - Other Index Options'!$C:$C,$A46,'NSE - Other Index Options'!$B:$B,B$4,'NSE - Other Index Options'!$I:$I,"MDAW*")+SUMIFS('BSE - SENSEX Index Options'!$M:$M,'BSE - SENSEX Index Options'!$C:$C,$A46,'BSE - SENSEX Index Options'!$B:$B,B$4,'BSE - SENSEX Index Options'!$I:$I,"Weekly*")+SUMIFS('BSE - SENSEX Index Options'!$M:$M,'BSE - SENSEX Index Options'!$C:$C,$A46,'BSE - SENSEX Index Options'!$B:$B,B$4,'BSE - SENSEX Index Options'!$I:$I,"MDAW*")+SUMIFS('BSE - Other Index Options'!$M:$M,'BSE - Other Index Options'!$C:$C,$A46,'BSE - Other Index Options'!$B:$B,B$4,'BSE - Other Index Options'!$I:$I,"Weekly*")+SUMIFS('BSE - Other Index Options'!$M:$M,'BSE - Other Index Options'!$C:$C,$A46,'BSE - Other Index Options'!$B:$B,B$4,'BSE - Other Index Options'!$I:$I,"MDAW*"))</f>
        <v/>
      </c>
      <c r="C46" s="26">
        <f>IF(SUMIFS('NSE - NIFTY Index Options'!$M:$M,'NSE - NIFTY Index Options'!$C:$C,$A46,'NSE - NIFTY Index Options'!$B:$B,C$4,'NSE - NIFTY Index Options'!$I:$I,"Weekly*")+SUMIFS('NSE - NIFTY Index Options'!$M:$M,'NSE - NIFTY Index Options'!$C:$C,$A46,'NSE - NIFTY Index Options'!$B:$B,C$4,'NSE - NIFTY Index Options'!$I:$I,"MDAW*")+SUMIFS('NSE - Other Index Options'!$M:$M,'NSE - Other Index Options'!$C:$C,$A46,'NSE - Other Index Options'!$B:$B,C$4,'NSE - Other Index Options'!$I:$I,"Weekly*")+SUMIFS('NSE - Other Index Options'!$M:$M,'NSE - Other Index Options'!$C:$C,$A46,'NSE - Other Index Options'!$B:$B,C$4,'NSE - Other Index Options'!$I:$I,"MDAW*")+SUMIFS('BSE - SENSEX Index Options'!$M:$M,'BSE - SENSEX Index Options'!$C:$C,$A46,'BSE - SENSEX Index Options'!$B:$B,C$4,'BSE - SENSEX Index Options'!$I:$I,"Weekly*")+SUMIFS('BSE - SENSEX Index Options'!$M:$M,'BSE - SENSEX Index Options'!$C:$C,$A46,'BSE - SENSEX Index Options'!$B:$B,C$4,'BSE - SENSEX Index Options'!$I:$I,"MDAW*")+SUMIFS('BSE - Other Index Options'!$M:$M,'BSE - Other Index Options'!$C:$C,$A46,'BSE - Other Index Options'!$B:$B,C$4,'BSE - Other Index Options'!$I:$I,"Weekly*")+SUMIFS('BSE - Other Index Options'!$M:$M,'BSE - Other Index Options'!$C:$C,$A46,'BSE - Other Index Options'!$B:$B,C$4,'BSE - Other Index Options'!$I:$I,"MDAW*")=0,"",SUMIFS('NSE - NIFTY Index Options'!$M:$M,'NSE - NIFTY Index Options'!$C:$C,$A46,'NSE - NIFTY Index Options'!$B:$B,C$4,'NSE - NIFTY Index Options'!$I:$I,"Weekly*")+SUMIFS('NSE - NIFTY Index Options'!$M:$M,'NSE - NIFTY Index Options'!$C:$C,$A46,'NSE - NIFTY Index Options'!$B:$B,C$4,'NSE - NIFTY Index Options'!$I:$I,"MDAW*")+SUMIFS('NSE - Other Index Options'!$M:$M,'NSE - Other Index Options'!$C:$C,$A46,'NSE - Other Index Options'!$B:$B,C$4,'NSE - Other Index Options'!$I:$I,"Weekly*")+SUMIFS('NSE - Other Index Options'!$M:$M,'NSE - Other Index Options'!$C:$C,$A46,'NSE - Other Index Options'!$B:$B,C$4,'NSE - Other Index Options'!$I:$I,"MDAW*")+SUMIFS('BSE - SENSEX Index Options'!$M:$M,'BSE - SENSEX Index Options'!$C:$C,$A46,'BSE - SENSEX Index Options'!$B:$B,C$4,'BSE - SENSEX Index Options'!$I:$I,"Weekly*")+SUMIFS('BSE - SENSEX Index Options'!$M:$M,'BSE - SENSEX Index Options'!$C:$C,$A46,'BSE - SENSEX Index Options'!$B:$B,C$4,'BSE - SENSEX Index Options'!$I:$I,"MDAW*")+SUMIFS('BSE - Other Index Options'!$M:$M,'BSE - Other Index Options'!$C:$C,$A46,'BSE - Other Index Options'!$B:$B,C$4,'BSE - Other Index Options'!$I:$I,"Weekly*")+SUMIFS('BSE - Other Index Options'!$M:$M,'BSE - Other Index Options'!$C:$C,$A46,'BSE - Other Index Options'!$B:$B,C$4,'BSE - Other Index Options'!$I:$I,"MDAW*"))</f>
        <v/>
      </c>
      <c r="D46" s="26">
        <f>IF(SUMIFS('NSE - NIFTY Index Options'!$M:$M,'NSE - NIFTY Index Options'!$C:$C,$A46,'NSE - NIFTY Index Options'!$B:$B,D$4,'NSE - NIFTY Index Options'!$I:$I,"Weekly*")+SUMIFS('NSE - NIFTY Index Options'!$M:$M,'NSE - NIFTY Index Options'!$C:$C,$A46,'NSE - NIFTY Index Options'!$B:$B,D$4,'NSE - NIFTY Index Options'!$I:$I,"MDAW*")+SUMIFS('NSE - Other Index Options'!$M:$M,'NSE - Other Index Options'!$C:$C,$A46,'NSE - Other Index Options'!$B:$B,D$4,'NSE - Other Index Options'!$I:$I,"Weekly*")+SUMIFS('NSE - Other Index Options'!$M:$M,'NSE - Other Index Options'!$C:$C,$A46,'NSE - Other Index Options'!$B:$B,D$4,'NSE - Other Index Options'!$I:$I,"MDAW*")+SUMIFS('BSE - SENSEX Index Options'!$M:$M,'BSE - SENSEX Index Options'!$C:$C,$A46,'BSE - SENSEX Index Options'!$B:$B,D$4,'BSE - SENSEX Index Options'!$I:$I,"Weekly*")+SUMIFS('BSE - SENSEX Index Options'!$M:$M,'BSE - SENSEX Index Options'!$C:$C,$A46,'BSE - SENSEX Index Options'!$B:$B,D$4,'BSE - SENSEX Index Options'!$I:$I,"MDAW*")+SUMIFS('BSE - Other Index Options'!$M:$M,'BSE - Other Index Options'!$C:$C,$A46,'BSE - Other Index Options'!$B:$B,D$4,'BSE - Other Index Options'!$I:$I,"Weekly*")+SUMIFS('BSE - Other Index Options'!$M:$M,'BSE - Other Index Options'!$C:$C,$A46,'BSE - Other Index Options'!$B:$B,D$4,'BSE - Other Index Options'!$I:$I,"MDAW*")=0,"",SUMIFS('NSE - NIFTY Index Options'!$M:$M,'NSE - NIFTY Index Options'!$C:$C,$A46,'NSE - NIFTY Index Options'!$B:$B,D$4,'NSE - NIFTY Index Options'!$I:$I,"Weekly*")+SUMIFS('NSE - NIFTY Index Options'!$M:$M,'NSE - NIFTY Index Options'!$C:$C,$A46,'NSE - NIFTY Index Options'!$B:$B,D$4,'NSE - NIFTY Index Options'!$I:$I,"MDAW*")+SUMIFS('NSE - Other Index Options'!$M:$M,'NSE - Other Index Options'!$C:$C,$A46,'NSE - Other Index Options'!$B:$B,D$4,'NSE - Other Index Options'!$I:$I,"Weekly*")+SUMIFS('NSE - Other Index Options'!$M:$M,'NSE - Other Index Options'!$C:$C,$A46,'NSE - Other Index Options'!$B:$B,D$4,'NSE - Other Index Options'!$I:$I,"MDAW*")+SUMIFS('BSE - SENSEX Index Options'!$M:$M,'BSE - SENSEX Index Options'!$C:$C,$A46,'BSE - SENSEX Index Options'!$B:$B,D$4,'BSE - SENSEX Index Options'!$I:$I,"Weekly*")+SUMIFS('BSE - SENSEX Index Options'!$M:$M,'BSE - SENSEX Index Options'!$C:$C,$A46,'BSE - SENSEX Index Options'!$B:$B,D$4,'BSE - SENSEX Index Options'!$I:$I,"MDAW*")+SUMIFS('BSE - Other Index Options'!$M:$M,'BSE - Other Index Options'!$C:$C,$A46,'BSE - Other Index Options'!$B:$B,D$4,'BSE - Other Index Options'!$I:$I,"Weekly*")+SUMIFS('BSE - Other Index Options'!$M:$M,'BSE - Other Index Options'!$C:$C,$A46,'BSE - Other Index Options'!$B:$B,D$4,'BSE - Other Index Options'!$I:$I,"MDAW*"))</f>
        <v/>
      </c>
      <c r="E46" s="26">
        <f>IF(SUMIFS('NSE - NIFTY Index Options'!$M:$M,'NSE - NIFTY Index Options'!$C:$C,$A46,'NSE - NIFTY Index Options'!$B:$B,E$4,'NSE - NIFTY Index Options'!$I:$I,"Weekly*")+SUMIFS('NSE - NIFTY Index Options'!$M:$M,'NSE - NIFTY Index Options'!$C:$C,$A46,'NSE - NIFTY Index Options'!$B:$B,E$4,'NSE - NIFTY Index Options'!$I:$I,"MDAW*")+SUMIFS('NSE - Other Index Options'!$M:$M,'NSE - Other Index Options'!$C:$C,$A46,'NSE - Other Index Options'!$B:$B,E$4,'NSE - Other Index Options'!$I:$I,"Weekly*")+SUMIFS('NSE - Other Index Options'!$M:$M,'NSE - Other Index Options'!$C:$C,$A46,'NSE - Other Index Options'!$B:$B,E$4,'NSE - Other Index Options'!$I:$I,"MDAW*")+SUMIFS('BSE - SENSEX Index Options'!$M:$M,'BSE - SENSEX Index Options'!$C:$C,$A46,'BSE - SENSEX Index Options'!$B:$B,E$4,'BSE - SENSEX Index Options'!$I:$I,"Weekly*")+SUMIFS('BSE - SENSEX Index Options'!$M:$M,'BSE - SENSEX Index Options'!$C:$C,$A46,'BSE - SENSEX Index Options'!$B:$B,E$4,'BSE - SENSEX Index Options'!$I:$I,"MDAW*")+SUMIFS('BSE - Other Index Options'!$M:$M,'BSE - Other Index Options'!$C:$C,$A46,'BSE - Other Index Options'!$B:$B,E$4,'BSE - Other Index Options'!$I:$I,"Weekly*")+SUMIFS('BSE - Other Index Options'!$M:$M,'BSE - Other Index Options'!$C:$C,$A46,'BSE - Other Index Options'!$B:$B,E$4,'BSE - Other Index Options'!$I:$I,"MDAW*")=0,"",SUMIFS('NSE - NIFTY Index Options'!$M:$M,'NSE - NIFTY Index Options'!$C:$C,$A46,'NSE - NIFTY Index Options'!$B:$B,E$4,'NSE - NIFTY Index Options'!$I:$I,"Weekly*")+SUMIFS('NSE - NIFTY Index Options'!$M:$M,'NSE - NIFTY Index Options'!$C:$C,$A46,'NSE - NIFTY Index Options'!$B:$B,E$4,'NSE - NIFTY Index Options'!$I:$I,"MDAW*")+SUMIFS('NSE - Other Index Options'!$M:$M,'NSE - Other Index Options'!$C:$C,$A46,'NSE - Other Index Options'!$B:$B,E$4,'NSE - Other Index Options'!$I:$I,"Weekly*")+SUMIFS('NSE - Other Index Options'!$M:$M,'NSE - Other Index Options'!$C:$C,$A46,'NSE - Other Index Options'!$B:$B,E$4,'NSE - Other Index Options'!$I:$I,"MDAW*")+SUMIFS('BSE - SENSEX Index Options'!$M:$M,'BSE - SENSEX Index Options'!$C:$C,$A46,'BSE - SENSEX Index Options'!$B:$B,E$4,'BSE - SENSEX Index Options'!$I:$I,"Weekly*")+SUMIFS('BSE - SENSEX Index Options'!$M:$M,'BSE - SENSEX Index Options'!$C:$C,$A46,'BSE - SENSEX Index Options'!$B:$B,E$4,'BSE - SENSEX Index Options'!$I:$I,"MDAW*")+SUMIFS('BSE - Other Index Options'!$M:$M,'BSE - Other Index Options'!$C:$C,$A46,'BSE - Other Index Options'!$B:$B,E$4,'BSE - Other Index Options'!$I:$I,"Weekly*")+SUMIFS('BSE - Other Index Options'!$M:$M,'BSE - Other Index Options'!$C:$C,$A46,'BSE - Other Index Options'!$B:$B,E$4,'BSE - Other Index Options'!$I:$I,"MDAW*"))</f>
        <v/>
      </c>
      <c r="F46" s="26">
        <f>IF(SUMIFS('NSE - NIFTY Index Options'!$M:$M,'NSE - NIFTY Index Options'!$C:$C,$A46,'NSE - NIFTY Index Options'!$B:$B,F$4,'NSE - NIFTY Index Options'!$I:$I,"Weekly*")+SUMIFS('NSE - NIFTY Index Options'!$M:$M,'NSE - NIFTY Index Options'!$C:$C,$A46,'NSE - NIFTY Index Options'!$B:$B,F$4,'NSE - NIFTY Index Options'!$I:$I,"MDAW*")+SUMIFS('NSE - Other Index Options'!$M:$M,'NSE - Other Index Options'!$C:$C,$A46,'NSE - Other Index Options'!$B:$B,F$4,'NSE - Other Index Options'!$I:$I,"Weekly*")+SUMIFS('NSE - Other Index Options'!$M:$M,'NSE - Other Index Options'!$C:$C,$A46,'NSE - Other Index Options'!$B:$B,F$4,'NSE - Other Index Options'!$I:$I,"MDAW*")+SUMIFS('BSE - SENSEX Index Options'!$M:$M,'BSE - SENSEX Index Options'!$C:$C,$A46,'BSE - SENSEX Index Options'!$B:$B,F$4,'BSE - SENSEX Index Options'!$I:$I,"Weekly*")+SUMIFS('BSE - SENSEX Index Options'!$M:$M,'BSE - SENSEX Index Options'!$C:$C,$A46,'BSE - SENSEX Index Options'!$B:$B,F$4,'BSE - SENSEX Index Options'!$I:$I,"MDAW*")+SUMIFS('BSE - Other Index Options'!$M:$M,'BSE - Other Index Options'!$C:$C,$A46,'BSE - Other Index Options'!$B:$B,F$4,'BSE - Other Index Options'!$I:$I,"Weekly*")+SUMIFS('BSE - Other Index Options'!$M:$M,'BSE - Other Index Options'!$C:$C,$A46,'BSE - Other Index Options'!$B:$B,F$4,'BSE - Other Index Options'!$I:$I,"MDAW*")=0,"",SUMIFS('NSE - NIFTY Index Options'!$M:$M,'NSE - NIFTY Index Options'!$C:$C,$A46,'NSE - NIFTY Index Options'!$B:$B,F$4,'NSE - NIFTY Index Options'!$I:$I,"Weekly*")+SUMIFS('NSE - NIFTY Index Options'!$M:$M,'NSE - NIFTY Index Options'!$C:$C,$A46,'NSE - NIFTY Index Options'!$B:$B,F$4,'NSE - NIFTY Index Options'!$I:$I,"MDAW*")+SUMIFS('NSE - Other Index Options'!$M:$M,'NSE - Other Index Options'!$C:$C,$A46,'NSE - Other Index Options'!$B:$B,F$4,'NSE - Other Index Options'!$I:$I,"Weekly*")+SUMIFS('NSE - Other Index Options'!$M:$M,'NSE - Other Index Options'!$C:$C,$A46,'NSE - Other Index Options'!$B:$B,F$4,'NSE - Other Index Options'!$I:$I,"MDAW*")+SUMIFS('BSE - SENSEX Index Options'!$M:$M,'BSE - SENSEX Index Options'!$C:$C,$A46,'BSE - SENSEX Index Options'!$B:$B,F$4,'BSE - SENSEX Index Options'!$I:$I,"Weekly*")+SUMIFS('BSE - SENSEX Index Options'!$M:$M,'BSE - SENSEX Index Options'!$C:$C,$A46,'BSE - SENSEX Index Options'!$B:$B,F$4,'BSE - SENSEX Index Options'!$I:$I,"MDAW*")+SUMIFS('BSE - Other Index Options'!$M:$M,'BSE - Other Index Options'!$C:$C,$A46,'BSE - Other Index Options'!$B:$B,F$4,'BSE - Other Index Options'!$I:$I,"Weekly*")+SUMIFS('BSE - Other Index Options'!$M:$M,'BSE - Other Index Options'!$C:$C,$A46,'BSE - Other Index Options'!$B:$B,F$4,'BSE - Other Index Options'!$I:$I,"MDAW*"))</f>
        <v/>
      </c>
      <c r="G46" s="26">
        <f>IF(SUMIFS('NSE - NIFTY Index Options'!$M:$M,'NSE - NIFTY Index Options'!$C:$C,$A46,'NSE - NIFTY Index Options'!$B:$B,G$4,'NSE - NIFTY Index Options'!$I:$I,"Weekly*")+SUMIFS('NSE - NIFTY Index Options'!$M:$M,'NSE - NIFTY Index Options'!$C:$C,$A46,'NSE - NIFTY Index Options'!$B:$B,G$4,'NSE - NIFTY Index Options'!$I:$I,"MDAW*")+SUMIFS('NSE - Other Index Options'!$M:$M,'NSE - Other Index Options'!$C:$C,$A46,'NSE - Other Index Options'!$B:$B,G$4,'NSE - Other Index Options'!$I:$I,"Weekly*")+SUMIFS('NSE - Other Index Options'!$M:$M,'NSE - Other Index Options'!$C:$C,$A46,'NSE - Other Index Options'!$B:$B,G$4,'NSE - Other Index Options'!$I:$I,"MDAW*")+SUMIFS('BSE - SENSEX Index Options'!$M:$M,'BSE - SENSEX Index Options'!$C:$C,$A46,'BSE - SENSEX Index Options'!$B:$B,G$4,'BSE - SENSEX Index Options'!$I:$I,"Weekly*")+SUMIFS('BSE - SENSEX Index Options'!$M:$M,'BSE - SENSEX Index Options'!$C:$C,$A46,'BSE - SENSEX Index Options'!$B:$B,G$4,'BSE - SENSEX Index Options'!$I:$I,"MDAW*")+SUMIFS('BSE - Other Index Options'!$M:$M,'BSE - Other Index Options'!$C:$C,$A46,'BSE - Other Index Options'!$B:$B,G$4,'BSE - Other Index Options'!$I:$I,"Weekly*")+SUMIFS('BSE - Other Index Options'!$M:$M,'BSE - Other Index Options'!$C:$C,$A46,'BSE - Other Index Options'!$B:$B,G$4,'BSE - Other Index Options'!$I:$I,"MDAW*")=0,"",SUMIFS('NSE - NIFTY Index Options'!$M:$M,'NSE - NIFTY Index Options'!$C:$C,$A46,'NSE - NIFTY Index Options'!$B:$B,G$4,'NSE - NIFTY Index Options'!$I:$I,"Weekly*")+SUMIFS('NSE - NIFTY Index Options'!$M:$M,'NSE - NIFTY Index Options'!$C:$C,$A46,'NSE - NIFTY Index Options'!$B:$B,G$4,'NSE - NIFTY Index Options'!$I:$I,"MDAW*")+SUMIFS('NSE - Other Index Options'!$M:$M,'NSE - Other Index Options'!$C:$C,$A46,'NSE - Other Index Options'!$B:$B,G$4,'NSE - Other Index Options'!$I:$I,"Weekly*")+SUMIFS('NSE - Other Index Options'!$M:$M,'NSE - Other Index Options'!$C:$C,$A46,'NSE - Other Index Options'!$B:$B,G$4,'NSE - Other Index Options'!$I:$I,"MDAW*")+SUMIFS('BSE - SENSEX Index Options'!$M:$M,'BSE - SENSEX Index Options'!$C:$C,$A46,'BSE - SENSEX Index Options'!$B:$B,G$4,'BSE - SENSEX Index Options'!$I:$I,"Weekly*")+SUMIFS('BSE - SENSEX Index Options'!$M:$M,'BSE - SENSEX Index Options'!$C:$C,$A46,'BSE - SENSEX Index Options'!$B:$B,G$4,'BSE - SENSEX Index Options'!$I:$I,"MDAW*")+SUMIFS('BSE - Other Index Options'!$M:$M,'BSE - Other Index Options'!$C:$C,$A46,'BSE - Other Index Options'!$B:$B,G$4,'BSE - Other Index Options'!$I:$I,"Weekly*")+SUMIFS('BSE - Other Index Options'!$M:$M,'BSE - Other Index Options'!$C:$C,$A46,'BSE - Other Index Options'!$B:$B,G$4,'BSE - Other Index Options'!$I:$I,"MDAW*"))</f>
        <v/>
      </c>
      <c r="H46" s="26">
        <f>IF(SUM(B46:G46)=0,"",SUM(B46:G46))</f>
        <v/>
      </c>
    </row>
    <row r="47">
      <c r="A47" t="inlineStr">
        <is>
          <t>Week4-May-2026</t>
        </is>
      </c>
      <c r="B47" s="26">
        <f>IF(SUMIFS('NSE - NIFTY Index Options'!$M:$M,'NSE - NIFTY Index Options'!$C:$C,$A47,'NSE - NIFTY Index Options'!$B:$B,B$4,'NSE - NIFTY Index Options'!$I:$I,"Weekly*")+SUMIFS('NSE - NIFTY Index Options'!$M:$M,'NSE - NIFTY Index Options'!$C:$C,$A47,'NSE - NIFTY Index Options'!$B:$B,B$4,'NSE - NIFTY Index Options'!$I:$I,"MDAW*")+SUMIFS('NSE - Other Index Options'!$M:$M,'NSE - Other Index Options'!$C:$C,$A47,'NSE - Other Index Options'!$B:$B,B$4,'NSE - Other Index Options'!$I:$I,"Weekly*")+SUMIFS('NSE - Other Index Options'!$M:$M,'NSE - Other Index Options'!$C:$C,$A47,'NSE - Other Index Options'!$B:$B,B$4,'NSE - Other Index Options'!$I:$I,"MDAW*")+SUMIFS('BSE - SENSEX Index Options'!$M:$M,'BSE - SENSEX Index Options'!$C:$C,$A47,'BSE - SENSEX Index Options'!$B:$B,B$4,'BSE - SENSEX Index Options'!$I:$I,"Weekly*")+SUMIFS('BSE - SENSEX Index Options'!$M:$M,'BSE - SENSEX Index Options'!$C:$C,$A47,'BSE - SENSEX Index Options'!$B:$B,B$4,'BSE - SENSEX Index Options'!$I:$I,"MDAW*")+SUMIFS('BSE - Other Index Options'!$M:$M,'BSE - Other Index Options'!$C:$C,$A47,'BSE - Other Index Options'!$B:$B,B$4,'BSE - Other Index Options'!$I:$I,"Weekly*")+SUMIFS('BSE - Other Index Options'!$M:$M,'BSE - Other Index Options'!$C:$C,$A47,'BSE - Other Index Options'!$B:$B,B$4,'BSE - Other Index Options'!$I:$I,"MDAW*")=0,"",SUMIFS('NSE - NIFTY Index Options'!$M:$M,'NSE - NIFTY Index Options'!$C:$C,$A47,'NSE - NIFTY Index Options'!$B:$B,B$4,'NSE - NIFTY Index Options'!$I:$I,"Weekly*")+SUMIFS('NSE - NIFTY Index Options'!$M:$M,'NSE - NIFTY Index Options'!$C:$C,$A47,'NSE - NIFTY Index Options'!$B:$B,B$4,'NSE - NIFTY Index Options'!$I:$I,"MDAW*")+SUMIFS('NSE - Other Index Options'!$M:$M,'NSE - Other Index Options'!$C:$C,$A47,'NSE - Other Index Options'!$B:$B,B$4,'NSE - Other Index Options'!$I:$I,"Weekly*")+SUMIFS('NSE - Other Index Options'!$M:$M,'NSE - Other Index Options'!$C:$C,$A47,'NSE - Other Index Options'!$B:$B,B$4,'NSE - Other Index Options'!$I:$I,"MDAW*")+SUMIFS('BSE - SENSEX Index Options'!$M:$M,'BSE - SENSEX Index Options'!$C:$C,$A47,'BSE - SENSEX Index Options'!$B:$B,B$4,'BSE - SENSEX Index Options'!$I:$I,"Weekly*")+SUMIFS('BSE - SENSEX Index Options'!$M:$M,'BSE - SENSEX Index Options'!$C:$C,$A47,'BSE - SENSEX Index Options'!$B:$B,B$4,'BSE - SENSEX Index Options'!$I:$I,"MDAW*")+SUMIFS('BSE - Other Index Options'!$M:$M,'BSE - Other Index Options'!$C:$C,$A47,'BSE - Other Index Options'!$B:$B,B$4,'BSE - Other Index Options'!$I:$I,"Weekly*")+SUMIFS('BSE - Other Index Options'!$M:$M,'BSE - Other Index Options'!$C:$C,$A47,'BSE - Other Index Options'!$B:$B,B$4,'BSE - Other Index Options'!$I:$I,"MDAW*"))</f>
        <v/>
      </c>
      <c r="C47" s="26">
        <f>IF(SUMIFS('NSE - NIFTY Index Options'!$M:$M,'NSE - NIFTY Index Options'!$C:$C,$A47,'NSE - NIFTY Index Options'!$B:$B,C$4,'NSE - NIFTY Index Options'!$I:$I,"Weekly*")+SUMIFS('NSE - NIFTY Index Options'!$M:$M,'NSE - NIFTY Index Options'!$C:$C,$A47,'NSE - NIFTY Index Options'!$B:$B,C$4,'NSE - NIFTY Index Options'!$I:$I,"MDAW*")+SUMIFS('NSE - Other Index Options'!$M:$M,'NSE - Other Index Options'!$C:$C,$A47,'NSE - Other Index Options'!$B:$B,C$4,'NSE - Other Index Options'!$I:$I,"Weekly*")+SUMIFS('NSE - Other Index Options'!$M:$M,'NSE - Other Index Options'!$C:$C,$A47,'NSE - Other Index Options'!$B:$B,C$4,'NSE - Other Index Options'!$I:$I,"MDAW*")+SUMIFS('BSE - SENSEX Index Options'!$M:$M,'BSE - SENSEX Index Options'!$C:$C,$A47,'BSE - SENSEX Index Options'!$B:$B,C$4,'BSE - SENSEX Index Options'!$I:$I,"Weekly*")+SUMIFS('BSE - SENSEX Index Options'!$M:$M,'BSE - SENSEX Index Options'!$C:$C,$A47,'BSE - SENSEX Index Options'!$B:$B,C$4,'BSE - SENSEX Index Options'!$I:$I,"MDAW*")+SUMIFS('BSE - Other Index Options'!$M:$M,'BSE - Other Index Options'!$C:$C,$A47,'BSE - Other Index Options'!$B:$B,C$4,'BSE - Other Index Options'!$I:$I,"Weekly*")+SUMIFS('BSE - Other Index Options'!$M:$M,'BSE - Other Index Options'!$C:$C,$A47,'BSE - Other Index Options'!$B:$B,C$4,'BSE - Other Index Options'!$I:$I,"MDAW*")=0,"",SUMIFS('NSE - NIFTY Index Options'!$M:$M,'NSE - NIFTY Index Options'!$C:$C,$A47,'NSE - NIFTY Index Options'!$B:$B,C$4,'NSE - NIFTY Index Options'!$I:$I,"Weekly*")+SUMIFS('NSE - NIFTY Index Options'!$M:$M,'NSE - NIFTY Index Options'!$C:$C,$A47,'NSE - NIFTY Index Options'!$B:$B,C$4,'NSE - NIFTY Index Options'!$I:$I,"MDAW*")+SUMIFS('NSE - Other Index Options'!$M:$M,'NSE - Other Index Options'!$C:$C,$A47,'NSE - Other Index Options'!$B:$B,C$4,'NSE - Other Index Options'!$I:$I,"Weekly*")+SUMIFS('NSE - Other Index Options'!$M:$M,'NSE - Other Index Options'!$C:$C,$A47,'NSE - Other Index Options'!$B:$B,C$4,'NSE - Other Index Options'!$I:$I,"MDAW*")+SUMIFS('BSE - SENSEX Index Options'!$M:$M,'BSE - SENSEX Index Options'!$C:$C,$A47,'BSE - SENSEX Index Options'!$B:$B,C$4,'BSE - SENSEX Index Options'!$I:$I,"Weekly*")+SUMIFS('BSE - SENSEX Index Options'!$M:$M,'BSE - SENSEX Index Options'!$C:$C,$A47,'BSE - SENSEX Index Options'!$B:$B,C$4,'BSE - SENSEX Index Options'!$I:$I,"MDAW*")+SUMIFS('BSE - Other Index Options'!$M:$M,'BSE - Other Index Options'!$C:$C,$A47,'BSE - Other Index Options'!$B:$B,C$4,'BSE - Other Index Options'!$I:$I,"Weekly*")+SUMIFS('BSE - Other Index Options'!$M:$M,'BSE - Other Index Options'!$C:$C,$A47,'BSE - Other Index Options'!$B:$B,C$4,'BSE - Other Index Options'!$I:$I,"MDAW*"))</f>
        <v/>
      </c>
      <c r="D47" s="26">
        <f>IF(SUMIFS('NSE - NIFTY Index Options'!$M:$M,'NSE - NIFTY Index Options'!$C:$C,$A47,'NSE - NIFTY Index Options'!$B:$B,D$4,'NSE - NIFTY Index Options'!$I:$I,"Weekly*")+SUMIFS('NSE - NIFTY Index Options'!$M:$M,'NSE - NIFTY Index Options'!$C:$C,$A47,'NSE - NIFTY Index Options'!$B:$B,D$4,'NSE - NIFTY Index Options'!$I:$I,"MDAW*")+SUMIFS('NSE - Other Index Options'!$M:$M,'NSE - Other Index Options'!$C:$C,$A47,'NSE - Other Index Options'!$B:$B,D$4,'NSE - Other Index Options'!$I:$I,"Weekly*")+SUMIFS('NSE - Other Index Options'!$M:$M,'NSE - Other Index Options'!$C:$C,$A47,'NSE - Other Index Options'!$B:$B,D$4,'NSE - Other Index Options'!$I:$I,"MDAW*")+SUMIFS('BSE - SENSEX Index Options'!$M:$M,'BSE - SENSEX Index Options'!$C:$C,$A47,'BSE - SENSEX Index Options'!$B:$B,D$4,'BSE - SENSEX Index Options'!$I:$I,"Weekly*")+SUMIFS('BSE - SENSEX Index Options'!$M:$M,'BSE - SENSEX Index Options'!$C:$C,$A47,'BSE - SENSEX Index Options'!$B:$B,D$4,'BSE - SENSEX Index Options'!$I:$I,"MDAW*")+SUMIFS('BSE - Other Index Options'!$M:$M,'BSE - Other Index Options'!$C:$C,$A47,'BSE - Other Index Options'!$B:$B,D$4,'BSE - Other Index Options'!$I:$I,"Weekly*")+SUMIFS('BSE - Other Index Options'!$M:$M,'BSE - Other Index Options'!$C:$C,$A47,'BSE - Other Index Options'!$B:$B,D$4,'BSE - Other Index Options'!$I:$I,"MDAW*")=0,"",SUMIFS('NSE - NIFTY Index Options'!$M:$M,'NSE - NIFTY Index Options'!$C:$C,$A47,'NSE - NIFTY Index Options'!$B:$B,D$4,'NSE - NIFTY Index Options'!$I:$I,"Weekly*")+SUMIFS('NSE - NIFTY Index Options'!$M:$M,'NSE - NIFTY Index Options'!$C:$C,$A47,'NSE - NIFTY Index Options'!$B:$B,D$4,'NSE - NIFTY Index Options'!$I:$I,"MDAW*")+SUMIFS('NSE - Other Index Options'!$M:$M,'NSE - Other Index Options'!$C:$C,$A47,'NSE - Other Index Options'!$B:$B,D$4,'NSE - Other Index Options'!$I:$I,"Weekly*")+SUMIFS('NSE - Other Index Options'!$M:$M,'NSE - Other Index Options'!$C:$C,$A47,'NSE - Other Index Options'!$B:$B,D$4,'NSE - Other Index Options'!$I:$I,"MDAW*")+SUMIFS('BSE - SENSEX Index Options'!$M:$M,'BSE - SENSEX Index Options'!$C:$C,$A47,'BSE - SENSEX Index Options'!$B:$B,D$4,'BSE - SENSEX Index Options'!$I:$I,"Weekly*")+SUMIFS('BSE - SENSEX Index Options'!$M:$M,'BSE - SENSEX Index Options'!$C:$C,$A47,'BSE - SENSEX Index Options'!$B:$B,D$4,'BSE - SENSEX Index Options'!$I:$I,"MDAW*")+SUMIFS('BSE - Other Index Options'!$M:$M,'BSE - Other Index Options'!$C:$C,$A47,'BSE - Other Index Options'!$B:$B,D$4,'BSE - Other Index Options'!$I:$I,"Weekly*")+SUMIFS('BSE - Other Index Options'!$M:$M,'BSE - Other Index Options'!$C:$C,$A47,'BSE - Other Index Options'!$B:$B,D$4,'BSE - Other Index Options'!$I:$I,"MDAW*"))</f>
        <v/>
      </c>
      <c r="E47" s="26">
        <f>IF(SUMIFS('NSE - NIFTY Index Options'!$M:$M,'NSE - NIFTY Index Options'!$C:$C,$A47,'NSE - NIFTY Index Options'!$B:$B,E$4,'NSE - NIFTY Index Options'!$I:$I,"Weekly*")+SUMIFS('NSE - NIFTY Index Options'!$M:$M,'NSE - NIFTY Index Options'!$C:$C,$A47,'NSE - NIFTY Index Options'!$B:$B,E$4,'NSE - NIFTY Index Options'!$I:$I,"MDAW*")+SUMIFS('NSE - Other Index Options'!$M:$M,'NSE - Other Index Options'!$C:$C,$A47,'NSE - Other Index Options'!$B:$B,E$4,'NSE - Other Index Options'!$I:$I,"Weekly*")+SUMIFS('NSE - Other Index Options'!$M:$M,'NSE - Other Index Options'!$C:$C,$A47,'NSE - Other Index Options'!$B:$B,E$4,'NSE - Other Index Options'!$I:$I,"MDAW*")+SUMIFS('BSE - SENSEX Index Options'!$M:$M,'BSE - SENSEX Index Options'!$C:$C,$A47,'BSE - SENSEX Index Options'!$B:$B,E$4,'BSE - SENSEX Index Options'!$I:$I,"Weekly*")+SUMIFS('BSE - SENSEX Index Options'!$M:$M,'BSE - SENSEX Index Options'!$C:$C,$A47,'BSE - SENSEX Index Options'!$B:$B,E$4,'BSE - SENSEX Index Options'!$I:$I,"MDAW*")+SUMIFS('BSE - Other Index Options'!$M:$M,'BSE - Other Index Options'!$C:$C,$A47,'BSE - Other Index Options'!$B:$B,E$4,'BSE - Other Index Options'!$I:$I,"Weekly*")+SUMIFS('BSE - Other Index Options'!$M:$M,'BSE - Other Index Options'!$C:$C,$A47,'BSE - Other Index Options'!$B:$B,E$4,'BSE - Other Index Options'!$I:$I,"MDAW*")=0,"",SUMIFS('NSE - NIFTY Index Options'!$M:$M,'NSE - NIFTY Index Options'!$C:$C,$A47,'NSE - NIFTY Index Options'!$B:$B,E$4,'NSE - NIFTY Index Options'!$I:$I,"Weekly*")+SUMIFS('NSE - NIFTY Index Options'!$M:$M,'NSE - NIFTY Index Options'!$C:$C,$A47,'NSE - NIFTY Index Options'!$B:$B,E$4,'NSE - NIFTY Index Options'!$I:$I,"MDAW*")+SUMIFS('NSE - Other Index Options'!$M:$M,'NSE - Other Index Options'!$C:$C,$A47,'NSE - Other Index Options'!$B:$B,E$4,'NSE - Other Index Options'!$I:$I,"Weekly*")+SUMIFS('NSE - Other Index Options'!$M:$M,'NSE - Other Index Options'!$C:$C,$A47,'NSE - Other Index Options'!$B:$B,E$4,'NSE - Other Index Options'!$I:$I,"MDAW*")+SUMIFS('BSE - SENSEX Index Options'!$M:$M,'BSE - SENSEX Index Options'!$C:$C,$A47,'BSE - SENSEX Index Options'!$B:$B,E$4,'BSE - SENSEX Index Options'!$I:$I,"Weekly*")+SUMIFS('BSE - SENSEX Index Options'!$M:$M,'BSE - SENSEX Index Options'!$C:$C,$A47,'BSE - SENSEX Index Options'!$B:$B,E$4,'BSE - SENSEX Index Options'!$I:$I,"MDAW*")+SUMIFS('BSE - Other Index Options'!$M:$M,'BSE - Other Index Options'!$C:$C,$A47,'BSE - Other Index Options'!$B:$B,E$4,'BSE - Other Index Options'!$I:$I,"Weekly*")+SUMIFS('BSE - Other Index Options'!$M:$M,'BSE - Other Index Options'!$C:$C,$A47,'BSE - Other Index Options'!$B:$B,E$4,'BSE - Other Index Options'!$I:$I,"MDAW*"))</f>
        <v/>
      </c>
      <c r="F47" s="26">
        <f>IF(SUMIFS('NSE - NIFTY Index Options'!$M:$M,'NSE - NIFTY Index Options'!$C:$C,$A47,'NSE - NIFTY Index Options'!$B:$B,F$4,'NSE - NIFTY Index Options'!$I:$I,"Weekly*")+SUMIFS('NSE - NIFTY Index Options'!$M:$M,'NSE - NIFTY Index Options'!$C:$C,$A47,'NSE - NIFTY Index Options'!$B:$B,F$4,'NSE - NIFTY Index Options'!$I:$I,"MDAW*")+SUMIFS('NSE - Other Index Options'!$M:$M,'NSE - Other Index Options'!$C:$C,$A47,'NSE - Other Index Options'!$B:$B,F$4,'NSE - Other Index Options'!$I:$I,"Weekly*")+SUMIFS('NSE - Other Index Options'!$M:$M,'NSE - Other Index Options'!$C:$C,$A47,'NSE - Other Index Options'!$B:$B,F$4,'NSE - Other Index Options'!$I:$I,"MDAW*")+SUMIFS('BSE - SENSEX Index Options'!$M:$M,'BSE - SENSEX Index Options'!$C:$C,$A47,'BSE - SENSEX Index Options'!$B:$B,F$4,'BSE - SENSEX Index Options'!$I:$I,"Weekly*")+SUMIFS('BSE - SENSEX Index Options'!$M:$M,'BSE - SENSEX Index Options'!$C:$C,$A47,'BSE - SENSEX Index Options'!$B:$B,F$4,'BSE - SENSEX Index Options'!$I:$I,"MDAW*")+SUMIFS('BSE - Other Index Options'!$M:$M,'BSE - Other Index Options'!$C:$C,$A47,'BSE - Other Index Options'!$B:$B,F$4,'BSE - Other Index Options'!$I:$I,"Weekly*")+SUMIFS('BSE - Other Index Options'!$M:$M,'BSE - Other Index Options'!$C:$C,$A47,'BSE - Other Index Options'!$B:$B,F$4,'BSE - Other Index Options'!$I:$I,"MDAW*")=0,"",SUMIFS('NSE - NIFTY Index Options'!$M:$M,'NSE - NIFTY Index Options'!$C:$C,$A47,'NSE - NIFTY Index Options'!$B:$B,F$4,'NSE - NIFTY Index Options'!$I:$I,"Weekly*")+SUMIFS('NSE - NIFTY Index Options'!$M:$M,'NSE - NIFTY Index Options'!$C:$C,$A47,'NSE - NIFTY Index Options'!$B:$B,F$4,'NSE - NIFTY Index Options'!$I:$I,"MDAW*")+SUMIFS('NSE - Other Index Options'!$M:$M,'NSE - Other Index Options'!$C:$C,$A47,'NSE - Other Index Options'!$B:$B,F$4,'NSE - Other Index Options'!$I:$I,"Weekly*")+SUMIFS('NSE - Other Index Options'!$M:$M,'NSE - Other Index Options'!$C:$C,$A47,'NSE - Other Index Options'!$B:$B,F$4,'NSE - Other Index Options'!$I:$I,"MDAW*")+SUMIFS('BSE - SENSEX Index Options'!$M:$M,'BSE - SENSEX Index Options'!$C:$C,$A47,'BSE - SENSEX Index Options'!$B:$B,F$4,'BSE - SENSEX Index Options'!$I:$I,"Weekly*")+SUMIFS('BSE - SENSEX Index Options'!$M:$M,'BSE - SENSEX Index Options'!$C:$C,$A47,'BSE - SENSEX Index Options'!$B:$B,F$4,'BSE - SENSEX Index Options'!$I:$I,"MDAW*")+SUMIFS('BSE - Other Index Options'!$M:$M,'BSE - Other Index Options'!$C:$C,$A47,'BSE - Other Index Options'!$B:$B,F$4,'BSE - Other Index Options'!$I:$I,"Weekly*")+SUMIFS('BSE - Other Index Options'!$M:$M,'BSE - Other Index Options'!$C:$C,$A47,'BSE - Other Index Options'!$B:$B,F$4,'BSE - Other Index Options'!$I:$I,"MDAW*"))</f>
        <v/>
      </c>
      <c r="G47" s="26">
        <f>IF(SUMIFS('NSE - NIFTY Index Options'!$M:$M,'NSE - NIFTY Index Options'!$C:$C,$A47,'NSE - NIFTY Index Options'!$B:$B,G$4,'NSE - NIFTY Index Options'!$I:$I,"Weekly*")+SUMIFS('NSE - NIFTY Index Options'!$M:$M,'NSE - NIFTY Index Options'!$C:$C,$A47,'NSE - NIFTY Index Options'!$B:$B,G$4,'NSE - NIFTY Index Options'!$I:$I,"MDAW*")+SUMIFS('NSE - Other Index Options'!$M:$M,'NSE - Other Index Options'!$C:$C,$A47,'NSE - Other Index Options'!$B:$B,G$4,'NSE - Other Index Options'!$I:$I,"Weekly*")+SUMIFS('NSE - Other Index Options'!$M:$M,'NSE - Other Index Options'!$C:$C,$A47,'NSE - Other Index Options'!$B:$B,G$4,'NSE - Other Index Options'!$I:$I,"MDAW*")+SUMIFS('BSE - SENSEX Index Options'!$M:$M,'BSE - SENSEX Index Options'!$C:$C,$A47,'BSE - SENSEX Index Options'!$B:$B,G$4,'BSE - SENSEX Index Options'!$I:$I,"Weekly*")+SUMIFS('BSE - SENSEX Index Options'!$M:$M,'BSE - SENSEX Index Options'!$C:$C,$A47,'BSE - SENSEX Index Options'!$B:$B,G$4,'BSE - SENSEX Index Options'!$I:$I,"MDAW*")+SUMIFS('BSE - Other Index Options'!$M:$M,'BSE - Other Index Options'!$C:$C,$A47,'BSE - Other Index Options'!$B:$B,G$4,'BSE - Other Index Options'!$I:$I,"Weekly*")+SUMIFS('BSE - Other Index Options'!$M:$M,'BSE - Other Index Options'!$C:$C,$A47,'BSE - Other Index Options'!$B:$B,G$4,'BSE - Other Index Options'!$I:$I,"MDAW*")=0,"",SUMIFS('NSE - NIFTY Index Options'!$M:$M,'NSE - NIFTY Index Options'!$C:$C,$A47,'NSE - NIFTY Index Options'!$B:$B,G$4,'NSE - NIFTY Index Options'!$I:$I,"Weekly*")+SUMIFS('NSE - NIFTY Index Options'!$M:$M,'NSE - NIFTY Index Options'!$C:$C,$A47,'NSE - NIFTY Index Options'!$B:$B,G$4,'NSE - NIFTY Index Options'!$I:$I,"MDAW*")+SUMIFS('NSE - Other Index Options'!$M:$M,'NSE - Other Index Options'!$C:$C,$A47,'NSE - Other Index Options'!$B:$B,G$4,'NSE - Other Index Options'!$I:$I,"Weekly*")+SUMIFS('NSE - Other Index Options'!$M:$M,'NSE - Other Index Options'!$C:$C,$A47,'NSE - Other Index Options'!$B:$B,G$4,'NSE - Other Index Options'!$I:$I,"MDAW*")+SUMIFS('BSE - SENSEX Index Options'!$M:$M,'BSE - SENSEX Index Options'!$C:$C,$A47,'BSE - SENSEX Index Options'!$B:$B,G$4,'BSE - SENSEX Index Options'!$I:$I,"Weekly*")+SUMIFS('BSE - SENSEX Index Options'!$M:$M,'BSE - SENSEX Index Options'!$C:$C,$A47,'BSE - SENSEX Index Options'!$B:$B,G$4,'BSE - SENSEX Index Options'!$I:$I,"MDAW*")+SUMIFS('BSE - Other Index Options'!$M:$M,'BSE - Other Index Options'!$C:$C,$A47,'BSE - Other Index Options'!$B:$B,G$4,'BSE - Other Index Options'!$I:$I,"Weekly*")+SUMIFS('BSE - Other Index Options'!$M:$M,'BSE - Other Index Options'!$C:$C,$A47,'BSE - Other Index Options'!$B:$B,G$4,'BSE - Other Index Options'!$I:$I,"MDAW*"))</f>
        <v/>
      </c>
      <c r="H47" s="26">
        <f>IF(SUM(B47:G47)=0,"",SUM(B47:G47))</f>
        <v/>
      </c>
    </row>
    <row r="48">
      <c r="A48" t="inlineStr">
        <is>
          <t>Week5-May-2026</t>
        </is>
      </c>
      <c r="B48" s="26">
        <f>IF(SUMIFS('NSE - NIFTY Index Options'!$M:$M,'NSE - NIFTY Index Options'!$C:$C,$A48,'NSE - NIFTY Index Options'!$B:$B,B$4,'NSE - NIFTY Index Options'!$I:$I,"Weekly*")+SUMIFS('NSE - NIFTY Index Options'!$M:$M,'NSE - NIFTY Index Options'!$C:$C,$A48,'NSE - NIFTY Index Options'!$B:$B,B$4,'NSE - NIFTY Index Options'!$I:$I,"MDAW*")+SUMIFS('NSE - Other Index Options'!$M:$M,'NSE - Other Index Options'!$C:$C,$A48,'NSE - Other Index Options'!$B:$B,B$4,'NSE - Other Index Options'!$I:$I,"Weekly*")+SUMIFS('NSE - Other Index Options'!$M:$M,'NSE - Other Index Options'!$C:$C,$A48,'NSE - Other Index Options'!$B:$B,B$4,'NSE - Other Index Options'!$I:$I,"MDAW*")+SUMIFS('BSE - SENSEX Index Options'!$M:$M,'BSE - SENSEX Index Options'!$C:$C,$A48,'BSE - SENSEX Index Options'!$B:$B,B$4,'BSE - SENSEX Index Options'!$I:$I,"Weekly*")+SUMIFS('BSE - SENSEX Index Options'!$M:$M,'BSE - SENSEX Index Options'!$C:$C,$A48,'BSE - SENSEX Index Options'!$B:$B,B$4,'BSE - SENSEX Index Options'!$I:$I,"MDAW*")+SUMIFS('BSE - Other Index Options'!$M:$M,'BSE - Other Index Options'!$C:$C,$A48,'BSE - Other Index Options'!$B:$B,B$4,'BSE - Other Index Options'!$I:$I,"Weekly*")+SUMIFS('BSE - Other Index Options'!$M:$M,'BSE - Other Index Options'!$C:$C,$A48,'BSE - Other Index Options'!$B:$B,B$4,'BSE - Other Index Options'!$I:$I,"MDAW*")=0,"",SUMIFS('NSE - NIFTY Index Options'!$M:$M,'NSE - NIFTY Index Options'!$C:$C,$A48,'NSE - NIFTY Index Options'!$B:$B,B$4,'NSE - NIFTY Index Options'!$I:$I,"Weekly*")+SUMIFS('NSE - NIFTY Index Options'!$M:$M,'NSE - NIFTY Index Options'!$C:$C,$A48,'NSE - NIFTY Index Options'!$B:$B,B$4,'NSE - NIFTY Index Options'!$I:$I,"MDAW*")+SUMIFS('NSE - Other Index Options'!$M:$M,'NSE - Other Index Options'!$C:$C,$A48,'NSE - Other Index Options'!$B:$B,B$4,'NSE - Other Index Options'!$I:$I,"Weekly*")+SUMIFS('NSE - Other Index Options'!$M:$M,'NSE - Other Index Options'!$C:$C,$A48,'NSE - Other Index Options'!$B:$B,B$4,'NSE - Other Index Options'!$I:$I,"MDAW*")+SUMIFS('BSE - SENSEX Index Options'!$M:$M,'BSE - SENSEX Index Options'!$C:$C,$A48,'BSE - SENSEX Index Options'!$B:$B,B$4,'BSE - SENSEX Index Options'!$I:$I,"Weekly*")+SUMIFS('BSE - SENSEX Index Options'!$M:$M,'BSE - SENSEX Index Options'!$C:$C,$A48,'BSE - SENSEX Index Options'!$B:$B,B$4,'BSE - SENSEX Index Options'!$I:$I,"MDAW*")+SUMIFS('BSE - Other Index Options'!$M:$M,'BSE - Other Index Options'!$C:$C,$A48,'BSE - Other Index Options'!$B:$B,B$4,'BSE - Other Index Options'!$I:$I,"Weekly*")+SUMIFS('BSE - Other Index Options'!$M:$M,'BSE - Other Index Options'!$C:$C,$A48,'BSE - Other Index Options'!$B:$B,B$4,'BSE - Other Index Options'!$I:$I,"MDAW*"))</f>
        <v/>
      </c>
      <c r="C48" s="26">
        <f>IF(SUMIFS('NSE - NIFTY Index Options'!$M:$M,'NSE - NIFTY Index Options'!$C:$C,$A48,'NSE - NIFTY Index Options'!$B:$B,C$4,'NSE - NIFTY Index Options'!$I:$I,"Weekly*")+SUMIFS('NSE - NIFTY Index Options'!$M:$M,'NSE - NIFTY Index Options'!$C:$C,$A48,'NSE - NIFTY Index Options'!$B:$B,C$4,'NSE - NIFTY Index Options'!$I:$I,"MDAW*")+SUMIFS('NSE - Other Index Options'!$M:$M,'NSE - Other Index Options'!$C:$C,$A48,'NSE - Other Index Options'!$B:$B,C$4,'NSE - Other Index Options'!$I:$I,"Weekly*")+SUMIFS('NSE - Other Index Options'!$M:$M,'NSE - Other Index Options'!$C:$C,$A48,'NSE - Other Index Options'!$B:$B,C$4,'NSE - Other Index Options'!$I:$I,"MDAW*")+SUMIFS('BSE - SENSEX Index Options'!$M:$M,'BSE - SENSEX Index Options'!$C:$C,$A48,'BSE - SENSEX Index Options'!$B:$B,C$4,'BSE - SENSEX Index Options'!$I:$I,"Weekly*")+SUMIFS('BSE - SENSEX Index Options'!$M:$M,'BSE - SENSEX Index Options'!$C:$C,$A48,'BSE - SENSEX Index Options'!$B:$B,C$4,'BSE - SENSEX Index Options'!$I:$I,"MDAW*")+SUMIFS('BSE - Other Index Options'!$M:$M,'BSE - Other Index Options'!$C:$C,$A48,'BSE - Other Index Options'!$B:$B,C$4,'BSE - Other Index Options'!$I:$I,"Weekly*")+SUMIFS('BSE - Other Index Options'!$M:$M,'BSE - Other Index Options'!$C:$C,$A48,'BSE - Other Index Options'!$B:$B,C$4,'BSE - Other Index Options'!$I:$I,"MDAW*")=0,"",SUMIFS('NSE - NIFTY Index Options'!$M:$M,'NSE - NIFTY Index Options'!$C:$C,$A48,'NSE - NIFTY Index Options'!$B:$B,C$4,'NSE - NIFTY Index Options'!$I:$I,"Weekly*")+SUMIFS('NSE - NIFTY Index Options'!$M:$M,'NSE - NIFTY Index Options'!$C:$C,$A48,'NSE - NIFTY Index Options'!$B:$B,C$4,'NSE - NIFTY Index Options'!$I:$I,"MDAW*")+SUMIFS('NSE - Other Index Options'!$M:$M,'NSE - Other Index Options'!$C:$C,$A48,'NSE - Other Index Options'!$B:$B,C$4,'NSE - Other Index Options'!$I:$I,"Weekly*")+SUMIFS('NSE - Other Index Options'!$M:$M,'NSE - Other Index Options'!$C:$C,$A48,'NSE - Other Index Options'!$B:$B,C$4,'NSE - Other Index Options'!$I:$I,"MDAW*")+SUMIFS('BSE - SENSEX Index Options'!$M:$M,'BSE - SENSEX Index Options'!$C:$C,$A48,'BSE - SENSEX Index Options'!$B:$B,C$4,'BSE - SENSEX Index Options'!$I:$I,"Weekly*")+SUMIFS('BSE - SENSEX Index Options'!$M:$M,'BSE - SENSEX Index Options'!$C:$C,$A48,'BSE - SENSEX Index Options'!$B:$B,C$4,'BSE - SENSEX Index Options'!$I:$I,"MDAW*")+SUMIFS('BSE - Other Index Options'!$M:$M,'BSE - Other Index Options'!$C:$C,$A48,'BSE - Other Index Options'!$B:$B,C$4,'BSE - Other Index Options'!$I:$I,"Weekly*")+SUMIFS('BSE - Other Index Options'!$M:$M,'BSE - Other Index Options'!$C:$C,$A48,'BSE - Other Index Options'!$B:$B,C$4,'BSE - Other Index Options'!$I:$I,"MDAW*"))</f>
        <v/>
      </c>
      <c r="D48" s="26">
        <f>IF(SUMIFS('NSE - NIFTY Index Options'!$M:$M,'NSE - NIFTY Index Options'!$C:$C,$A48,'NSE - NIFTY Index Options'!$B:$B,D$4,'NSE - NIFTY Index Options'!$I:$I,"Weekly*")+SUMIFS('NSE - NIFTY Index Options'!$M:$M,'NSE - NIFTY Index Options'!$C:$C,$A48,'NSE - NIFTY Index Options'!$B:$B,D$4,'NSE - NIFTY Index Options'!$I:$I,"MDAW*")+SUMIFS('NSE - Other Index Options'!$M:$M,'NSE - Other Index Options'!$C:$C,$A48,'NSE - Other Index Options'!$B:$B,D$4,'NSE - Other Index Options'!$I:$I,"Weekly*")+SUMIFS('NSE - Other Index Options'!$M:$M,'NSE - Other Index Options'!$C:$C,$A48,'NSE - Other Index Options'!$B:$B,D$4,'NSE - Other Index Options'!$I:$I,"MDAW*")+SUMIFS('BSE - SENSEX Index Options'!$M:$M,'BSE - SENSEX Index Options'!$C:$C,$A48,'BSE - SENSEX Index Options'!$B:$B,D$4,'BSE - SENSEX Index Options'!$I:$I,"Weekly*")+SUMIFS('BSE - SENSEX Index Options'!$M:$M,'BSE - SENSEX Index Options'!$C:$C,$A48,'BSE - SENSEX Index Options'!$B:$B,D$4,'BSE - SENSEX Index Options'!$I:$I,"MDAW*")+SUMIFS('BSE - Other Index Options'!$M:$M,'BSE - Other Index Options'!$C:$C,$A48,'BSE - Other Index Options'!$B:$B,D$4,'BSE - Other Index Options'!$I:$I,"Weekly*")+SUMIFS('BSE - Other Index Options'!$M:$M,'BSE - Other Index Options'!$C:$C,$A48,'BSE - Other Index Options'!$B:$B,D$4,'BSE - Other Index Options'!$I:$I,"MDAW*")=0,"",SUMIFS('NSE - NIFTY Index Options'!$M:$M,'NSE - NIFTY Index Options'!$C:$C,$A48,'NSE - NIFTY Index Options'!$B:$B,D$4,'NSE - NIFTY Index Options'!$I:$I,"Weekly*")+SUMIFS('NSE - NIFTY Index Options'!$M:$M,'NSE - NIFTY Index Options'!$C:$C,$A48,'NSE - NIFTY Index Options'!$B:$B,D$4,'NSE - NIFTY Index Options'!$I:$I,"MDAW*")+SUMIFS('NSE - Other Index Options'!$M:$M,'NSE - Other Index Options'!$C:$C,$A48,'NSE - Other Index Options'!$B:$B,D$4,'NSE - Other Index Options'!$I:$I,"Weekly*")+SUMIFS('NSE - Other Index Options'!$M:$M,'NSE - Other Index Options'!$C:$C,$A48,'NSE - Other Index Options'!$B:$B,D$4,'NSE - Other Index Options'!$I:$I,"MDAW*")+SUMIFS('BSE - SENSEX Index Options'!$M:$M,'BSE - SENSEX Index Options'!$C:$C,$A48,'BSE - SENSEX Index Options'!$B:$B,D$4,'BSE - SENSEX Index Options'!$I:$I,"Weekly*")+SUMIFS('BSE - SENSEX Index Options'!$M:$M,'BSE - SENSEX Index Options'!$C:$C,$A48,'BSE - SENSEX Index Options'!$B:$B,D$4,'BSE - SENSEX Index Options'!$I:$I,"MDAW*")+SUMIFS('BSE - Other Index Options'!$M:$M,'BSE - Other Index Options'!$C:$C,$A48,'BSE - Other Index Options'!$B:$B,D$4,'BSE - Other Index Options'!$I:$I,"Weekly*")+SUMIFS('BSE - Other Index Options'!$M:$M,'BSE - Other Index Options'!$C:$C,$A48,'BSE - Other Index Options'!$B:$B,D$4,'BSE - Other Index Options'!$I:$I,"MDAW*"))</f>
        <v/>
      </c>
      <c r="E48" s="26">
        <f>IF(SUMIFS('NSE - NIFTY Index Options'!$M:$M,'NSE - NIFTY Index Options'!$C:$C,$A48,'NSE - NIFTY Index Options'!$B:$B,E$4,'NSE - NIFTY Index Options'!$I:$I,"Weekly*")+SUMIFS('NSE - NIFTY Index Options'!$M:$M,'NSE - NIFTY Index Options'!$C:$C,$A48,'NSE - NIFTY Index Options'!$B:$B,E$4,'NSE - NIFTY Index Options'!$I:$I,"MDAW*")+SUMIFS('NSE - Other Index Options'!$M:$M,'NSE - Other Index Options'!$C:$C,$A48,'NSE - Other Index Options'!$B:$B,E$4,'NSE - Other Index Options'!$I:$I,"Weekly*")+SUMIFS('NSE - Other Index Options'!$M:$M,'NSE - Other Index Options'!$C:$C,$A48,'NSE - Other Index Options'!$B:$B,E$4,'NSE - Other Index Options'!$I:$I,"MDAW*")+SUMIFS('BSE - SENSEX Index Options'!$M:$M,'BSE - SENSEX Index Options'!$C:$C,$A48,'BSE - SENSEX Index Options'!$B:$B,E$4,'BSE - SENSEX Index Options'!$I:$I,"Weekly*")+SUMIFS('BSE - SENSEX Index Options'!$M:$M,'BSE - SENSEX Index Options'!$C:$C,$A48,'BSE - SENSEX Index Options'!$B:$B,E$4,'BSE - SENSEX Index Options'!$I:$I,"MDAW*")+SUMIFS('BSE - Other Index Options'!$M:$M,'BSE - Other Index Options'!$C:$C,$A48,'BSE - Other Index Options'!$B:$B,E$4,'BSE - Other Index Options'!$I:$I,"Weekly*")+SUMIFS('BSE - Other Index Options'!$M:$M,'BSE - Other Index Options'!$C:$C,$A48,'BSE - Other Index Options'!$B:$B,E$4,'BSE - Other Index Options'!$I:$I,"MDAW*")=0,"",SUMIFS('NSE - NIFTY Index Options'!$M:$M,'NSE - NIFTY Index Options'!$C:$C,$A48,'NSE - NIFTY Index Options'!$B:$B,E$4,'NSE - NIFTY Index Options'!$I:$I,"Weekly*")+SUMIFS('NSE - NIFTY Index Options'!$M:$M,'NSE - NIFTY Index Options'!$C:$C,$A48,'NSE - NIFTY Index Options'!$B:$B,E$4,'NSE - NIFTY Index Options'!$I:$I,"MDAW*")+SUMIFS('NSE - Other Index Options'!$M:$M,'NSE - Other Index Options'!$C:$C,$A48,'NSE - Other Index Options'!$B:$B,E$4,'NSE - Other Index Options'!$I:$I,"Weekly*")+SUMIFS('NSE - Other Index Options'!$M:$M,'NSE - Other Index Options'!$C:$C,$A48,'NSE - Other Index Options'!$B:$B,E$4,'NSE - Other Index Options'!$I:$I,"MDAW*")+SUMIFS('BSE - SENSEX Index Options'!$M:$M,'BSE - SENSEX Index Options'!$C:$C,$A48,'BSE - SENSEX Index Options'!$B:$B,E$4,'BSE - SENSEX Index Options'!$I:$I,"Weekly*")+SUMIFS('BSE - SENSEX Index Options'!$M:$M,'BSE - SENSEX Index Options'!$C:$C,$A48,'BSE - SENSEX Index Options'!$B:$B,E$4,'BSE - SENSEX Index Options'!$I:$I,"MDAW*")+SUMIFS('BSE - Other Index Options'!$M:$M,'BSE - Other Index Options'!$C:$C,$A48,'BSE - Other Index Options'!$B:$B,E$4,'BSE - Other Index Options'!$I:$I,"Weekly*")+SUMIFS('BSE - Other Index Options'!$M:$M,'BSE - Other Index Options'!$C:$C,$A48,'BSE - Other Index Options'!$B:$B,E$4,'BSE - Other Index Options'!$I:$I,"MDAW*"))</f>
        <v/>
      </c>
      <c r="F48" s="26">
        <f>IF(SUMIFS('NSE - NIFTY Index Options'!$M:$M,'NSE - NIFTY Index Options'!$C:$C,$A48,'NSE - NIFTY Index Options'!$B:$B,F$4,'NSE - NIFTY Index Options'!$I:$I,"Weekly*")+SUMIFS('NSE - NIFTY Index Options'!$M:$M,'NSE - NIFTY Index Options'!$C:$C,$A48,'NSE - NIFTY Index Options'!$B:$B,F$4,'NSE - NIFTY Index Options'!$I:$I,"MDAW*")+SUMIFS('NSE - Other Index Options'!$M:$M,'NSE - Other Index Options'!$C:$C,$A48,'NSE - Other Index Options'!$B:$B,F$4,'NSE - Other Index Options'!$I:$I,"Weekly*")+SUMIFS('NSE - Other Index Options'!$M:$M,'NSE - Other Index Options'!$C:$C,$A48,'NSE - Other Index Options'!$B:$B,F$4,'NSE - Other Index Options'!$I:$I,"MDAW*")+SUMIFS('BSE - SENSEX Index Options'!$M:$M,'BSE - SENSEX Index Options'!$C:$C,$A48,'BSE - SENSEX Index Options'!$B:$B,F$4,'BSE - SENSEX Index Options'!$I:$I,"Weekly*")+SUMIFS('BSE - SENSEX Index Options'!$M:$M,'BSE - SENSEX Index Options'!$C:$C,$A48,'BSE - SENSEX Index Options'!$B:$B,F$4,'BSE - SENSEX Index Options'!$I:$I,"MDAW*")+SUMIFS('BSE - Other Index Options'!$M:$M,'BSE - Other Index Options'!$C:$C,$A48,'BSE - Other Index Options'!$B:$B,F$4,'BSE - Other Index Options'!$I:$I,"Weekly*")+SUMIFS('BSE - Other Index Options'!$M:$M,'BSE - Other Index Options'!$C:$C,$A48,'BSE - Other Index Options'!$B:$B,F$4,'BSE - Other Index Options'!$I:$I,"MDAW*")=0,"",SUMIFS('NSE - NIFTY Index Options'!$M:$M,'NSE - NIFTY Index Options'!$C:$C,$A48,'NSE - NIFTY Index Options'!$B:$B,F$4,'NSE - NIFTY Index Options'!$I:$I,"Weekly*")+SUMIFS('NSE - NIFTY Index Options'!$M:$M,'NSE - NIFTY Index Options'!$C:$C,$A48,'NSE - NIFTY Index Options'!$B:$B,F$4,'NSE - NIFTY Index Options'!$I:$I,"MDAW*")+SUMIFS('NSE - Other Index Options'!$M:$M,'NSE - Other Index Options'!$C:$C,$A48,'NSE - Other Index Options'!$B:$B,F$4,'NSE - Other Index Options'!$I:$I,"Weekly*")+SUMIFS('NSE - Other Index Options'!$M:$M,'NSE - Other Index Options'!$C:$C,$A48,'NSE - Other Index Options'!$B:$B,F$4,'NSE - Other Index Options'!$I:$I,"MDAW*")+SUMIFS('BSE - SENSEX Index Options'!$M:$M,'BSE - SENSEX Index Options'!$C:$C,$A48,'BSE - SENSEX Index Options'!$B:$B,F$4,'BSE - SENSEX Index Options'!$I:$I,"Weekly*")+SUMIFS('BSE - SENSEX Index Options'!$M:$M,'BSE - SENSEX Index Options'!$C:$C,$A48,'BSE - SENSEX Index Options'!$B:$B,F$4,'BSE - SENSEX Index Options'!$I:$I,"MDAW*")+SUMIFS('BSE - Other Index Options'!$M:$M,'BSE - Other Index Options'!$C:$C,$A48,'BSE - Other Index Options'!$B:$B,F$4,'BSE - Other Index Options'!$I:$I,"Weekly*")+SUMIFS('BSE - Other Index Options'!$M:$M,'BSE - Other Index Options'!$C:$C,$A48,'BSE - Other Index Options'!$B:$B,F$4,'BSE - Other Index Options'!$I:$I,"MDAW*"))</f>
        <v/>
      </c>
      <c r="G48" s="26">
        <f>IF(SUMIFS('NSE - NIFTY Index Options'!$M:$M,'NSE - NIFTY Index Options'!$C:$C,$A48,'NSE - NIFTY Index Options'!$B:$B,G$4,'NSE - NIFTY Index Options'!$I:$I,"Weekly*")+SUMIFS('NSE - NIFTY Index Options'!$M:$M,'NSE - NIFTY Index Options'!$C:$C,$A48,'NSE - NIFTY Index Options'!$B:$B,G$4,'NSE - NIFTY Index Options'!$I:$I,"MDAW*")+SUMIFS('NSE - Other Index Options'!$M:$M,'NSE - Other Index Options'!$C:$C,$A48,'NSE - Other Index Options'!$B:$B,G$4,'NSE - Other Index Options'!$I:$I,"Weekly*")+SUMIFS('NSE - Other Index Options'!$M:$M,'NSE - Other Index Options'!$C:$C,$A48,'NSE - Other Index Options'!$B:$B,G$4,'NSE - Other Index Options'!$I:$I,"MDAW*")+SUMIFS('BSE - SENSEX Index Options'!$M:$M,'BSE - SENSEX Index Options'!$C:$C,$A48,'BSE - SENSEX Index Options'!$B:$B,G$4,'BSE - SENSEX Index Options'!$I:$I,"Weekly*")+SUMIFS('BSE - SENSEX Index Options'!$M:$M,'BSE - SENSEX Index Options'!$C:$C,$A48,'BSE - SENSEX Index Options'!$B:$B,G$4,'BSE - SENSEX Index Options'!$I:$I,"MDAW*")+SUMIFS('BSE - Other Index Options'!$M:$M,'BSE - Other Index Options'!$C:$C,$A48,'BSE - Other Index Options'!$B:$B,G$4,'BSE - Other Index Options'!$I:$I,"Weekly*")+SUMIFS('BSE - Other Index Options'!$M:$M,'BSE - Other Index Options'!$C:$C,$A48,'BSE - Other Index Options'!$B:$B,G$4,'BSE - Other Index Options'!$I:$I,"MDAW*")=0,"",SUMIFS('NSE - NIFTY Index Options'!$M:$M,'NSE - NIFTY Index Options'!$C:$C,$A48,'NSE - NIFTY Index Options'!$B:$B,G$4,'NSE - NIFTY Index Options'!$I:$I,"Weekly*")+SUMIFS('NSE - NIFTY Index Options'!$M:$M,'NSE - NIFTY Index Options'!$C:$C,$A48,'NSE - NIFTY Index Options'!$B:$B,G$4,'NSE - NIFTY Index Options'!$I:$I,"MDAW*")+SUMIFS('NSE - Other Index Options'!$M:$M,'NSE - Other Index Options'!$C:$C,$A48,'NSE - Other Index Options'!$B:$B,G$4,'NSE - Other Index Options'!$I:$I,"Weekly*")+SUMIFS('NSE - Other Index Options'!$M:$M,'NSE - Other Index Options'!$C:$C,$A48,'NSE - Other Index Options'!$B:$B,G$4,'NSE - Other Index Options'!$I:$I,"MDAW*")+SUMIFS('BSE - SENSEX Index Options'!$M:$M,'BSE - SENSEX Index Options'!$C:$C,$A48,'BSE - SENSEX Index Options'!$B:$B,G$4,'BSE - SENSEX Index Options'!$I:$I,"Weekly*")+SUMIFS('BSE - SENSEX Index Options'!$M:$M,'BSE - SENSEX Index Options'!$C:$C,$A48,'BSE - SENSEX Index Options'!$B:$B,G$4,'BSE - SENSEX Index Options'!$I:$I,"MDAW*")+SUMIFS('BSE - Other Index Options'!$M:$M,'BSE - Other Index Options'!$C:$C,$A48,'BSE - Other Index Options'!$B:$B,G$4,'BSE - Other Index Options'!$I:$I,"Weekly*")+SUMIFS('BSE - Other Index Options'!$M:$M,'BSE - Other Index Options'!$C:$C,$A48,'BSE - Other Index Options'!$B:$B,G$4,'BSE - Other Index Options'!$I:$I,"MDAW*"))</f>
        <v/>
      </c>
      <c r="H48" s="26">
        <f>IF(SUM(B48:G48)=0,"",SUM(B48:G48))</f>
        <v/>
      </c>
    </row>
    <row r="49">
      <c r="A49" t="inlineStr">
        <is>
          <t>Week1-Jun-2026</t>
        </is>
      </c>
      <c r="B49" s="26">
        <f>IF(SUMIFS('NSE - NIFTY Index Options'!$M:$M,'NSE - NIFTY Index Options'!$C:$C,$A49,'NSE - NIFTY Index Options'!$B:$B,B$4,'NSE - NIFTY Index Options'!$I:$I,"Weekly*")+SUMIFS('NSE - NIFTY Index Options'!$M:$M,'NSE - NIFTY Index Options'!$C:$C,$A49,'NSE - NIFTY Index Options'!$B:$B,B$4,'NSE - NIFTY Index Options'!$I:$I,"MDAW*")+SUMIFS('NSE - Other Index Options'!$M:$M,'NSE - Other Index Options'!$C:$C,$A49,'NSE - Other Index Options'!$B:$B,B$4,'NSE - Other Index Options'!$I:$I,"Weekly*")+SUMIFS('NSE - Other Index Options'!$M:$M,'NSE - Other Index Options'!$C:$C,$A49,'NSE - Other Index Options'!$B:$B,B$4,'NSE - Other Index Options'!$I:$I,"MDAW*")+SUMIFS('BSE - SENSEX Index Options'!$M:$M,'BSE - SENSEX Index Options'!$C:$C,$A49,'BSE - SENSEX Index Options'!$B:$B,B$4,'BSE - SENSEX Index Options'!$I:$I,"Weekly*")+SUMIFS('BSE - SENSEX Index Options'!$M:$M,'BSE - SENSEX Index Options'!$C:$C,$A49,'BSE - SENSEX Index Options'!$B:$B,B$4,'BSE - SENSEX Index Options'!$I:$I,"MDAW*")+SUMIFS('BSE - Other Index Options'!$M:$M,'BSE - Other Index Options'!$C:$C,$A49,'BSE - Other Index Options'!$B:$B,B$4,'BSE - Other Index Options'!$I:$I,"Weekly*")+SUMIFS('BSE - Other Index Options'!$M:$M,'BSE - Other Index Options'!$C:$C,$A49,'BSE - Other Index Options'!$B:$B,B$4,'BSE - Other Index Options'!$I:$I,"MDAW*")=0,"",SUMIFS('NSE - NIFTY Index Options'!$M:$M,'NSE - NIFTY Index Options'!$C:$C,$A49,'NSE - NIFTY Index Options'!$B:$B,B$4,'NSE - NIFTY Index Options'!$I:$I,"Weekly*")+SUMIFS('NSE - NIFTY Index Options'!$M:$M,'NSE - NIFTY Index Options'!$C:$C,$A49,'NSE - NIFTY Index Options'!$B:$B,B$4,'NSE - NIFTY Index Options'!$I:$I,"MDAW*")+SUMIFS('NSE - Other Index Options'!$M:$M,'NSE - Other Index Options'!$C:$C,$A49,'NSE - Other Index Options'!$B:$B,B$4,'NSE - Other Index Options'!$I:$I,"Weekly*")+SUMIFS('NSE - Other Index Options'!$M:$M,'NSE - Other Index Options'!$C:$C,$A49,'NSE - Other Index Options'!$B:$B,B$4,'NSE - Other Index Options'!$I:$I,"MDAW*")+SUMIFS('BSE - SENSEX Index Options'!$M:$M,'BSE - SENSEX Index Options'!$C:$C,$A49,'BSE - SENSEX Index Options'!$B:$B,B$4,'BSE - SENSEX Index Options'!$I:$I,"Weekly*")+SUMIFS('BSE - SENSEX Index Options'!$M:$M,'BSE - SENSEX Index Options'!$C:$C,$A49,'BSE - SENSEX Index Options'!$B:$B,B$4,'BSE - SENSEX Index Options'!$I:$I,"MDAW*")+SUMIFS('BSE - Other Index Options'!$M:$M,'BSE - Other Index Options'!$C:$C,$A49,'BSE - Other Index Options'!$B:$B,B$4,'BSE - Other Index Options'!$I:$I,"Weekly*")+SUMIFS('BSE - Other Index Options'!$M:$M,'BSE - Other Index Options'!$C:$C,$A49,'BSE - Other Index Options'!$B:$B,B$4,'BSE - Other Index Options'!$I:$I,"MDAW*"))</f>
        <v/>
      </c>
      <c r="C49" s="26">
        <f>IF(SUMIFS('NSE - NIFTY Index Options'!$M:$M,'NSE - NIFTY Index Options'!$C:$C,$A49,'NSE - NIFTY Index Options'!$B:$B,C$4,'NSE - NIFTY Index Options'!$I:$I,"Weekly*")+SUMIFS('NSE - NIFTY Index Options'!$M:$M,'NSE - NIFTY Index Options'!$C:$C,$A49,'NSE - NIFTY Index Options'!$B:$B,C$4,'NSE - NIFTY Index Options'!$I:$I,"MDAW*")+SUMIFS('NSE - Other Index Options'!$M:$M,'NSE - Other Index Options'!$C:$C,$A49,'NSE - Other Index Options'!$B:$B,C$4,'NSE - Other Index Options'!$I:$I,"Weekly*")+SUMIFS('NSE - Other Index Options'!$M:$M,'NSE - Other Index Options'!$C:$C,$A49,'NSE - Other Index Options'!$B:$B,C$4,'NSE - Other Index Options'!$I:$I,"MDAW*")+SUMIFS('BSE - SENSEX Index Options'!$M:$M,'BSE - SENSEX Index Options'!$C:$C,$A49,'BSE - SENSEX Index Options'!$B:$B,C$4,'BSE - SENSEX Index Options'!$I:$I,"Weekly*")+SUMIFS('BSE - SENSEX Index Options'!$M:$M,'BSE - SENSEX Index Options'!$C:$C,$A49,'BSE - SENSEX Index Options'!$B:$B,C$4,'BSE - SENSEX Index Options'!$I:$I,"MDAW*")+SUMIFS('BSE - Other Index Options'!$M:$M,'BSE - Other Index Options'!$C:$C,$A49,'BSE - Other Index Options'!$B:$B,C$4,'BSE - Other Index Options'!$I:$I,"Weekly*")+SUMIFS('BSE - Other Index Options'!$M:$M,'BSE - Other Index Options'!$C:$C,$A49,'BSE - Other Index Options'!$B:$B,C$4,'BSE - Other Index Options'!$I:$I,"MDAW*")=0,"",SUMIFS('NSE - NIFTY Index Options'!$M:$M,'NSE - NIFTY Index Options'!$C:$C,$A49,'NSE - NIFTY Index Options'!$B:$B,C$4,'NSE - NIFTY Index Options'!$I:$I,"Weekly*")+SUMIFS('NSE - NIFTY Index Options'!$M:$M,'NSE - NIFTY Index Options'!$C:$C,$A49,'NSE - NIFTY Index Options'!$B:$B,C$4,'NSE - NIFTY Index Options'!$I:$I,"MDAW*")+SUMIFS('NSE - Other Index Options'!$M:$M,'NSE - Other Index Options'!$C:$C,$A49,'NSE - Other Index Options'!$B:$B,C$4,'NSE - Other Index Options'!$I:$I,"Weekly*")+SUMIFS('NSE - Other Index Options'!$M:$M,'NSE - Other Index Options'!$C:$C,$A49,'NSE - Other Index Options'!$B:$B,C$4,'NSE - Other Index Options'!$I:$I,"MDAW*")+SUMIFS('BSE - SENSEX Index Options'!$M:$M,'BSE - SENSEX Index Options'!$C:$C,$A49,'BSE - SENSEX Index Options'!$B:$B,C$4,'BSE - SENSEX Index Options'!$I:$I,"Weekly*")+SUMIFS('BSE - SENSEX Index Options'!$M:$M,'BSE - SENSEX Index Options'!$C:$C,$A49,'BSE - SENSEX Index Options'!$B:$B,C$4,'BSE - SENSEX Index Options'!$I:$I,"MDAW*")+SUMIFS('BSE - Other Index Options'!$M:$M,'BSE - Other Index Options'!$C:$C,$A49,'BSE - Other Index Options'!$B:$B,C$4,'BSE - Other Index Options'!$I:$I,"Weekly*")+SUMIFS('BSE - Other Index Options'!$M:$M,'BSE - Other Index Options'!$C:$C,$A49,'BSE - Other Index Options'!$B:$B,C$4,'BSE - Other Index Options'!$I:$I,"MDAW*"))</f>
        <v/>
      </c>
      <c r="D49" s="26">
        <f>IF(SUMIFS('NSE - NIFTY Index Options'!$M:$M,'NSE - NIFTY Index Options'!$C:$C,$A49,'NSE - NIFTY Index Options'!$B:$B,D$4,'NSE - NIFTY Index Options'!$I:$I,"Weekly*")+SUMIFS('NSE - NIFTY Index Options'!$M:$M,'NSE - NIFTY Index Options'!$C:$C,$A49,'NSE - NIFTY Index Options'!$B:$B,D$4,'NSE - NIFTY Index Options'!$I:$I,"MDAW*")+SUMIFS('NSE - Other Index Options'!$M:$M,'NSE - Other Index Options'!$C:$C,$A49,'NSE - Other Index Options'!$B:$B,D$4,'NSE - Other Index Options'!$I:$I,"Weekly*")+SUMIFS('NSE - Other Index Options'!$M:$M,'NSE - Other Index Options'!$C:$C,$A49,'NSE - Other Index Options'!$B:$B,D$4,'NSE - Other Index Options'!$I:$I,"MDAW*")+SUMIFS('BSE - SENSEX Index Options'!$M:$M,'BSE - SENSEX Index Options'!$C:$C,$A49,'BSE - SENSEX Index Options'!$B:$B,D$4,'BSE - SENSEX Index Options'!$I:$I,"Weekly*")+SUMIFS('BSE - SENSEX Index Options'!$M:$M,'BSE - SENSEX Index Options'!$C:$C,$A49,'BSE - SENSEX Index Options'!$B:$B,D$4,'BSE - SENSEX Index Options'!$I:$I,"MDAW*")+SUMIFS('BSE - Other Index Options'!$M:$M,'BSE - Other Index Options'!$C:$C,$A49,'BSE - Other Index Options'!$B:$B,D$4,'BSE - Other Index Options'!$I:$I,"Weekly*")+SUMIFS('BSE - Other Index Options'!$M:$M,'BSE - Other Index Options'!$C:$C,$A49,'BSE - Other Index Options'!$B:$B,D$4,'BSE - Other Index Options'!$I:$I,"MDAW*")=0,"",SUMIFS('NSE - NIFTY Index Options'!$M:$M,'NSE - NIFTY Index Options'!$C:$C,$A49,'NSE - NIFTY Index Options'!$B:$B,D$4,'NSE - NIFTY Index Options'!$I:$I,"Weekly*")+SUMIFS('NSE - NIFTY Index Options'!$M:$M,'NSE - NIFTY Index Options'!$C:$C,$A49,'NSE - NIFTY Index Options'!$B:$B,D$4,'NSE - NIFTY Index Options'!$I:$I,"MDAW*")+SUMIFS('NSE - Other Index Options'!$M:$M,'NSE - Other Index Options'!$C:$C,$A49,'NSE - Other Index Options'!$B:$B,D$4,'NSE - Other Index Options'!$I:$I,"Weekly*")+SUMIFS('NSE - Other Index Options'!$M:$M,'NSE - Other Index Options'!$C:$C,$A49,'NSE - Other Index Options'!$B:$B,D$4,'NSE - Other Index Options'!$I:$I,"MDAW*")+SUMIFS('BSE - SENSEX Index Options'!$M:$M,'BSE - SENSEX Index Options'!$C:$C,$A49,'BSE - SENSEX Index Options'!$B:$B,D$4,'BSE - SENSEX Index Options'!$I:$I,"Weekly*")+SUMIFS('BSE - SENSEX Index Options'!$M:$M,'BSE - SENSEX Index Options'!$C:$C,$A49,'BSE - SENSEX Index Options'!$B:$B,D$4,'BSE - SENSEX Index Options'!$I:$I,"MDAW*")+SUMIFS('BSE - Other Index Options'!$M:$M,'BSE - Other Index Options'!$C:$C,$A49,'BSE - Other Index Options'!$B:$B,D$4,'BSE - Other Index Options'!$I:$I,"Weekly*")+SUMIFS('BSE - Other Index Options'!$M:$M,'BSE - Other Index Options'!$C:$C,$A49,'BSE - Other Index Options'!$B:$B,D$4,'BSE - Other Index Options'!$I:$I,"MDAW*"))</f>
        <v/>
      </c>
      <c r="E49" s="26">
        <f>IF(SUMIFS('NSE - NIFTY Index Options'!$M:$M,'NSE - NIFTY Index Options'!$C:$C,$A49,'NSE - NIFTY Index Options'!$B:$B,E$4,'NSE - NIFTY Index Options'!$I:$I,"Weekly*")+SUMIFS('NSE - NIFTY Index Options'!$M:$M,'NSE - NIFTY Index Options'!$C:$C,$A49,'NSE - NIFTY Index Options'!$B:$B,E$4,'NSE - NIFTY Index Options'!$I:$I,"MDAW*")+SUMIFS('NSE - Other Index Options'!$M:$M,'NSE - Other Index Options'!$C:$C,$A49,'NSE - Other Index Options'!$B:$B,E$4,'NSE - Other Index Options'!$I:$I,"Weekly*")+SUMIFS('NSE - Other Index Options'!$M:$M,'NSE - Other Index Options'!$C:$C,$A49,'NSE - Other Index Options'!$B:$B,E$4,'NSE - Other Index Options'!$I:$I,"MDAW*")+SUMIFS('BSE - SENSEX Index Options'!$M:$M,'BSE - SENSEX Index Options'!$C:$C,$A49,'BSE - SENSEX Index Options'!$B:$B,E$4,'BSE - SENSEX Index Options'!$I:$I,"Weekly*")+SUMIFS('BSE - SENSEX Index Options'!$M:$M,'BSE - SENSEX Index Options'!$C:$C,$A49,'BSE - SENSEX Index Options'!$B:$B,E$4,'BSE - SENSEX Index Options'!$I:$I,"MDAW*")+SUMIFS('BSE - Other Index Options'!$M:$M,'BSE - Other Index Options'!$C:$C,$A49,'BSE - Other Index Options'!$B:$B,E$4,'BSE - Other Index Options'!$I:$I,"Weekly*")+SUMIFS('BSE - Other Index Options'!$M:$M,'BSE - Other Index Options'!$C:$C,$A49,'BSE - Other Index Options'!$B:$B,E$4,'BSE - Other Index Options'!$I:$I,"MDAW*")=0,"",SUMIFS('NSE - NIFTY Index Options'!$M:$M,'NSE - NIFTY Index Options'!$C:$C,$A49,'NSE - NIFTY Index Options'!$B:$B,E$4,'NSE - NIFTY Index Options'!$I:$I,"Weekly*")+SUMIFS('NSE - NIFTY Index Options'!$M:$M,'NSE - NIFTY Index Options'!$C:$C,$A49,'NSE - NIFTY Index Options'!$B:$B,E$4,'NSE - NIFTY Index Options'!$I:$I,"MDAW*")+SUMIFS('NSE - Other Index Options'!$M:$M,'NSE - Other Index Options'!$C:$C,$A49,'NSE - Other Index Options'!$B:$B,E$4,'NSE - Other Index Options'!$I:$I,"Weekly*")+SUMIFS('NSE - Other Index Options'!$M:$M,'NSE - Other Index Options'!$C:$C,$A49,'NSE - Other Index Options'!$B:$B,E$4,'NSE - Other Index Options'!$I:$I,"MDAW*")+SUMIFS('BSE - SENSEX Index Options'!$M:$M,'BSE - SENSEX Index Options'!$C:$C,$A49,'BSE - SENSEX Index Options'!$B:$B,E$4,'BSE - SENSEX Index Options'!$I:$I,"Weekly*")+SUMIFS('BSE - SENSEX Index Options'!$M:$M,'BSE - SENSEX Index Options'!$C:$C,$A49,'BSE - SENSEX Index Options'!$B:$B,E$4,'BSE - SENSEX Index Options'!$I:$I,"MDAW*")+SUMIFS('BSE - Other Index Options'!$M:$M,'BSE - Other Index Options'!$C:$C,$A49,'BSE - Other Index Options'!$B:$B,E$4,'BSE - Other Index Options'!$I:$I,"Weekly*")+SUMIFS('BSE - Other Index Options'!$M:$M,'BSE - Other Index Options'!$C:$C,$A49,'BSE - Other Index Options'!$B:$B,E$4,'BSE - Other Index Options'!$I:$I,"MDAW*"))</f>
        <v/>
      </c>
      <c r="F49" s="26">
        <f>IF(SUMIFS('NSE - NIFTY Index Options'!$M:$M,'NSE - NIFTY Index Options'!$C:$C,$A49,'NSE - NIFTY Index Options'!$B:$B,F$4,'NSE - NIFTY Index Options'!$I:$I,"Weekly*")+SUMIFS('NSE - NIFTY Index Options'!$M:$M,'NSE - NIFTY Index Options'!$C:$C,$A49,'NSE - NIFTY Index Options'!$B:$B,F$4,'NSE - NIFTY Index Options'!$I:$I,"MDAW*")+SUMIFS('NSE - Other Index Options'!$M:$M,'NSE - Other Index Options'!$C:$C,$A49,'NSE - Other Index Options'!$B:$B,F$4,'NSE - Other Index Options'!$I:$I,"Weekly*")+SUMIFS('NSE - Other Index Options'!$M:$M,'NSE - Other Index Options'!$C:$C,$A49,'NSE - Other Index Options'!$B:$B,F$4,'NSE - Other Index Options'!$I:$I,"MDAW*")+SUMIFS('BSE - SENSEX Index Options'!$M:$M,'BSE - SENSEX Index Options'!$C:$C,$A49,'BSE - SENSEX Index Options'!$B:$B,F$4,'BSE - SENSEX Index Options'!$I:$I,"Weekly*")+SUMIFS('BSE - SENSEX Index Options'!$M:$M,'BSE - SENSEX Index Options'!$C:$C,$A49,'BSE - SENSEX Index Options'!$B:$B,F$4,'BSE - SENSEX Index Options'!$I:$I,"MDAW*")+SUMIFS('BSE - Other Index Options'!$M:$M,'BSE - Other Index Options'!$C:$C,$A49,'BSE - Other Index Options'!$B:$B,F$4,'BSE - Other Index Options'!$I:$I,"Weekly*")+SUMIFS('BSE - Other Index Options'!$M:$M,'BSE - Other Index Options'!$C:$C,$A49,'BSE - Other Index Options'!$B:$B,F$4,'BSE - Other Index Options'!$I:$I,"MDAW*")=0,"",SUMIFS('NSE - NIFTY Index Options'!$M:$M,'NSE - NIFTY Index Options'!$C:$C,$A49,'NSE - NIFTY Index Options'!$B:$B,F$4,'NSE - NIFTY Index Options'!$I:$I,"Weekly*")+SUMIFS('NSE - NIFTY Index Options'!$M:$M,'NSE - NIFTY Index Options'!$C:$C,$A49,'NSE - NIFTY Index Options'!$B:$B,F$4,'NSE - NIFTY Index Options'!$I:$I,"MDAW*")+SUMIFS('NSE - Other Index Options'!$M:$M,'NSE - Other Index Options'!$C:$C,$A49,'NSE - Other Index Options'!$B:$B,F$4,'NSE - Other Index Options'!$I:$I,"Weekly*")+SUMIFS('NSE - Other Index Options'!$M:$M,'NSE - Other Index Options'!$C:$C,$A49,'NSE - Other Index Options'!$B:$B,F$4,'NSE - Other Index Options'!$I:$I,"MDAW*")+SUMIFS('BSE - SENSEX Index Options'!$M:$M,'BSE - SENSEX Index Options'!$C:$C,$A49,'BSE - SENSEX Index Options'!$B:$B,F$4,'BSE - SENSEX Index Options'!$I:$I,"Weekly*")+SUMIFS('BSE - SENSEX Index Options'!$M:$M,'BSE - SENSEX Index Options'!$C:$C,$A49,'BSE - SENSEX Index Options'!$B:$B,F$4,'BSE - SENSEX Index Options'!$I:$I,"MDAW*")+SUMIFS('BSE - Other Index Options'!$M:$M,'BSE - Other Index Options'!$C:$C,$A49,'BSE - Other Index Options'!$B:$B,F$4,'BSE - Other Index Options'!$I:$I,"Weekly*")+SUMIFS('BSE - Other Index Options'!$M:$M,'BSE - Other Index Options'!$C:$C,$A49,'BSE - Other Index Options'!$B:$B,F$4,'BSE - Other Index Options'!$I:$I,"MDAW*"))</f>
        <v/>
      </c>
      <c r="G49" s="26">
        <f>IF(SUMIFS('NSE - NIFTY Index Options'!$M:$M,'NSE - NIFTY Index Options'!$C:$C,$A49,'NSE - NIFTY Index Options'!$B:$B,G$4,'NSE - NIFTY Index Options'!$I:$I,"Weekly*")+SUMIFS('NSE - NIFTY Index Options'!$M:$M,'NSE - NIFTY Index Options'!$C:$C,$A49,'NSE - NIFTY Index Options'!$B:$B,G$4,'NSE - NIFTY Index Options'!$I:$I,"MDAW*")+SUMIFS('NSE - Other Index Options'!$M:$M,'NSE - Other Index Options'!$C:$C,$A49,'NSE - Other Index Options'!$B:$B,G$4,'NSE - Other Index Options'!$I:$I,"Weekly*")+SUMIFS('NSE - Other Index Options'!$M:$M,'NSE - Other Index Options'!$C:$C,$A49,'NSE - Other Index Options'!$B:$B,G$4,'NSE - Other Index Options'!$I:$I,"MDAW*")+SUMIFS('BSE - SENSEX Index Options'!$M:$M,'BSE - SENSEX Index Options'!$C:$C,$A49,'BSE - SENSEX Index Options'!$B:$B,G$4,'BSE - SENSEX Index Options'!$I:$I,"Weekly*")+SUMIFS('BSE - SENSEX Index Options'!$M:$M,'BSE - SENSEX Index Options'!$C:$C,$A49,'BSE - SENSEX Index Options'!$B:$B,G$4,'BSE - SENSEX Index Options'!$I:$I,"MDAW*")+SUMIFS('BSE - Other Index Options'!$M:$M,'BSE - Other Index Options'!$C:$C,$A49,'BSE - Other Index Options'!$B:$B,G$4,'BSE - Other Index Options'!$I:$I,"Weekly*")+SUMIFS('BSE - Other Index Options'!$M:$M,'BSE - Other Index Options'!$C:$C,$A49,'BSE - Other Index Options'!$B:$B,G$4,'BSE - Other Index Options'!$I:$I,"MDAW*")=0,"",SUMIFS('NSE - NIFTY Index Options'!$M:$M,'NSE - NIFTY Index Options'!$C:$C,$A49,'NSE - NIFTY Index Options'!$B:$B,G$4,'NSE - NIFTY Index Options'!$I:$I,"Weekly*")+SUMIFS('NSE - NIFTY Index Options'!$M:$M,'NSE - NIFTY Index Options'!$C:$C,$A49,'NSE - NIFTY Index Options'!$B:$B,G$4,'NSE - NIFTY Index Options'!$I:$I,"MDAW*")+SUMIFS('NSE - Other Index Options'!$M:$M,'NSE - Other Index Options'!$C:$C,$A49,'NSE - Other Index Options'!$B:$B,G$4,'NSE - Other Index Options'!$I:$I,"Weekly*")+SUMIFS('NSE - Other Index Options'!$M:$M,'NSE - Other Index Options'!$C:$C,$A49,'NSE - Other Index Options'!$B:$B,G$4,'NSE - Other Index Options'!$I:$I,"MDAW*")+SUMIFS('BSE - SENSEX Index Options'!$M:$M,'BSE - SENSEX Index Options'!$C:$C,$A49,'BSE - SENSEX Index Options'!$B:$B,G$4,'BSE - SENSEX Index Options'!$I:$I,"Weekly*")+SUMIFS('BSE - SENSEX Index Options'!$M:$M,'BSE - SENSEX Index Options'!$C:$C,$A49,'BSE - SENSEX Index Options'!$B:$B,G$4,'BSE - SENSEX Index Options'!$I:$I,"MDAW*")+SUMIFS('BSE - Other Index Options'!$M:$M,'BSE - Other Index Options'!$C:$C,$A49,'BSE - Other Index Options'!$B:$B,G$4,'BSE - Other Index Options'!$I:$I,"Weekly*")+SUMIFS('BSE - Other Index Options'!$M:$M,'BSE - Other Index Options'!$C:$C,$A49,'BSE - Other Index Options'!$B:$B,G$4,'BSE - Other Index Options'!$I:$I,"MDAW*"))</f>
        <v/>
      </c>
      <c r="H49" s="26">
        <f>IF(SUM(B49:G49)=0,"",SUM(B49:G49))</f>
        <v/>
      </c>
    </row>
    <row r="50">
      <c r="A50" t="inlineStr">
        <is>
          <t>Week2-Jun-2026</t>
        </is>
      </c>
      <c r="B50" s="26">
        <f>IF(SUMIFS('NSE - NIFTY Index Options'!$M:$M,'NSE - NIFTY Index Options'!$C:$C,$A50,'NSE - NIFTY Index Options'!$B:$B,B$4,'NSE - NIFTY Index Options'!$I:$I,"Weekly*")+SUMIFS('NSE - NIFTY Index Options'!$M:$M,'NSE - NIFTY Index Options'!$C:$C,$A50,'NSE - NIFTY Index Options'!$B:$B,B$4,'NSE - NIFTY Index Options'!$I:$I,"MDAW*")+SUMIFS('NSE - Other Index Options'!$M:$M,'NSE - Other Index Options'!$C:$C,$A50,'NSE - Other Index Options'!$B:$B,B$4,'NSE - Other Index Options'!$I:$I,"Weekly*")+SUMIFS('NSE - Other Index Options'!$M:$M,'NSE - Other Index Options'!$C:$C,$A50,'NSE - Other Index Options'!$B:$B,B$4,'NSE - Other Index Options'!$I:$I,"MDAW*")+SUMIFS('BSE - SENSEX Index Options'!$M:$M,'BSE - SENSEX Index Options'!$C:$C,$A50,'BSE - SENSEX Index Options'!$B:$B,B$4,'BSE - SENSEX Index Options'!$I:$I,"Weekly*")+SUMIFS('BSE - SENSEX Index Options'!$M:$M,'BSE - SENSEX Index Options'!$C:$C,$A50,'BSE - SENSEX Index Options'!$B:$B,B$4,'BSE - SENSEX Index Options'!$I:$I,"MDAW*")+SUMIFS('BSE - Other Index Options'!$M:$M,'BSE - Other Index Options'!$C:$C,$A50,'BSE - Other Index Options'!$B:$B,B$4,'BSE - Other Index Options'!$I:$I,"Weekly*")+SUMIFS('BSE - Other Index Options'!$M:$M,'BSE - Other Index Options'!$C:$C,$A50,'BSE - Other Index Options'!$B:$B,B$4,'BSE - Other Index Options'!$I:$I,"MDAW*")=0,"",SUMIFS('NSE - NIFTY Index Options'!$M:$M,'NSE - NIFTY Index Options'!$C:$C,$A50,'NSE - NIFTY Index Options'!$B:$B,B$4,'NSE - NIFTY Index Options'!$I:$I,"Weekly*")+SUMIFS('NSE - NIFTY Index Options'!$M:$M,'NSE - NIFTY Index Options'!$C:$C,$A50,'NSE - NIFTY Index Options'!$B:$B,B$4,'NSE - NIFTY Index Options'!$I:$I,"MDAW*")+SUMIFS('NSE - Other Index Options'!$M:$M,'NSE - Other Index Options'!$C:$C,$A50,'NSE - Other Index Options'!$B:$B,B$4,'NSE - Other Index Options'!$I:$I,"Weekly*")+SUMIFS('NSE - Other Index Options'!$M:$M,'NSE - Other Index Options'!$C:$C,$A50,'NSE - Other Index Options'!$B:$B,B$4,'NSE - Other Index Options'!$I:$I,"MDAW*")+SUMIFS('BSE - SENSEX Index Options'!$M:$M,'BSE - SENSEX Index Options'!$C:$C,$A50,'BSE - SENSEX Index Options'!$B:$B,B$4,'BSE - SENSEX Index Options'!$I:$I,"Weekly*")+SUMIFS('BSE - SENSEX Index Options'!$M:$M,'BSE - SENSEX Index Options'!$C:$C,$A50,'BSE - SENSEX Index Options'!$B:$B,B$4,'BSE - SENSEX Index Options'!$I:$I,"MDAW*")+SUMIFS('BSE - Other Index Options'!$M:$M,'BSE - Other Index Options'!$C:$C,$A50,'BSE - Other Index Options'!$B:$B,B$4,'BSE - Other Index Options'!$I:$I,"Weekly*")+SUMIFS('BSE - Other Index Options'!$M:$M,'BSE - Other Index Options'!$C:$C,$A50,'BSE - Other Index Options'!$B:$B,B$4,'BSE - Other Index Options'!$I:$I,"MDAW*"))</f>
        <v/>
      </c>
      <c r="C50" s="26">
        <f>IF(SUMIFS('NSE - NIFTY Index Options'!$M:$M,'NSE - NIFTY Index Options'!$C:$C,$A50,'NSE - NIFTY Index Options'!$B:$B,C$4,'NSE - NIFTY Index Options'!$I:$I,"Weekly*")+SUMIFS('NSE - NIFTY Index Options'!$M:$M,'NSE - NIFTY Index Options'!$C:$C,$A50,'NSE - NIFTY Index Options'!$B:$B,C$4,'NSE - NIFTY Index Options'!$I:$I,"MDAW*")+SUMIFS('NSE - Other Index Options'!$M:$M,'NSE - Other Index Options'!$C:$C,$A50,'NSE - Other Index Options'!$B:$B,C$4,'NSE - Other Index Options'!$I:$I,"Weekly*")+SUMIFS('NSE - Other Index Options'!$M:$M,'NSE - Other Index Options'!$C:$C,$A50,'NSE - Other Index Options'!$B:$B,C$4,'NSE - Other Index Options'!$I:$I,"MDAW*")+SUMIFS('BSE - SENSEX Index Options'!$M:$M,'BSE - SENSEX Index Options'!$C:$C,$A50,'BSE - SENSEX Index Options'!$B:$B,C$4,'BSE - SENSEX Index Options'!$I:$I,"Weekly*")+SUMIFS('BSE - SENSEX Index Options'!$M:$M,'BSE - SENSEX Index Options'!$C:$C,$A50,'BSE - SENSEX Index Options'!$B:$B,C$4,'BSE - SENSEX Index Options'!$I:$I,"MDAW*")+SUMIFS('BSE - Other Index Options'!$M:$M,'BSE - Other Index Options'!$C:$C,$A50,'BSE - Other Index Options'!$B:$B,C$4,'BSE - Other Index Options'!$I:$I,"Weekly*")+SUMIFS('BSE - Other Index Options'!$M:$M,'BSE - Other Index Options'!$C:$C,$A50,'BSE - Other Index Options'!$B:$B,C$4,'BSE - Other Index Options'!$I:$I,"MDAW*")=0,"",SUMIFS('NSE - NIFTY Index Options'!$M:$M,'NSE - NIFTY Index Options'!$C:$C,$A50,'NSE - NIFTY Index Options'!$B:$B,C$4,'NSE - NIFTY Index Options'!$I:$I,"Weekly*")+SUMIFS('NSE - NIFTY Index Options'!$M:$M,'NSE - NIFTY Index Options'!$C:$C,$A50,'NSE - NIFTY Index Options'!$B:$B,C$4,'NSE - NIFTY Index Options'!$I:$I,"MDAW*")+SUMIFS('NSE - Other Index Options'!$M:$M,'NSE - Other Index Options'!$C:$C,$A50,'NSE - Other Index Options'!$B:$B,C$4,'NSE - Other Index Options'!$I:$I,"Weekly*")+SUMIFS('NSE - Other Index Options'!$M:$M,'NSE - Other Index Options'!$C:$C,$A50,'NSE - Other Index Options'!$B:$B,C$4,'NSE - Other Index Options'!$I:$I,"MDAW*")+SUMIFS('BSE - SENSEX Index Options'!$M:$M,'BSE - SENSEX Index Options'!$C:$C,$A50,'BSE - SENSEX Index Options'!$B:$B,C$4,'BSE - SENSEX Index Options'!$I:$I,"Weekly*")+SUMIFS('BSE - SENSEX Index Options'!$M:$M,'BSE - SENSEX Index Options'!$C:$C,$A50,'BSE - SENSEX Index Options'!$B:$B,C$4,'BSE - SENSEX Index Options'!$I:$I,"MDAW*")+SUMIFS('BSE - Other Index Options'!$M:$M,'BSE - Other Index Options'!$C:$C,$A50,'BSE - Other Index Options'!$B:$B,C$4,'BSE - Other Index Options'!$I:$I,"Weekly*")+SUMIFS('BSE - Other Index Options'!$M:$M,'BSE - Other Index Options'!$C:$C,$A50,'BSE - Other Index Options'!$B:$B,C$4,'BSE - Other Index Options'!$I:$I,"MDAW*"))</f>
        <v/>
      </c>
      <c r="D50" s="26">
        <f>IF(SUMIFS('NSE - NIFTY Index Options'!$M:$M,'NSE - NIFTY Index Options'!$C:$C,$A50,'NSE - NIFTY Index Options'!$B:$B,D$4,'NSE - NIFTY Index Options'!$I:$I,"Weekly*")+SUMIFS('NSE - NIFTY Index Options'!$M:$M,'NSE - NIFTY Index Options'!$C:$C,$A50,'NSE - NIFTY Index Options'!$B:$B,D$4,'NSE - NIFTY Index Options'!$I:$I,"MDAW*")+SUMIFS('NSE - Other Index Options'!$M:$M,'NSE - Other Index Options'!$C:$C,$A50,'NSE - Other Index Options'!$B:$B,D$4,'NSE - Other Index Options'!$I:$I,"Weekly*")+SUMIFS('NSE - Other Index Options'!$M:$M,'NSE - Other Index Options'!$C:$C,$A50,'NSE - Other Index Options'!$B:$B,D$4,'NSE - Other Index Options'!$I:$I,"MDAW*")+SUMIFS('BSE - SENSEX Index Options'!$M:$M,'BSE - SENSEX Index Options'!$C:$C,$A50,'BSE - SENSEX Index Options'!$B:$B,D$4,'BSE - SENSEX Index Options'!$I:$I,"Weekly*")+SUMIFS('BSE - SENSEX Index Options'!$M:$M,'BSE - SENSEX Index Options'!$C:$C,$A50,'BSE - SENSEX Index Options'!$B:$B,D$4,'BSE - SENSEX Index Options'!$I:$I,"MDAW*")+SUMIFS('BSE - Other Index Options'!$M:$M,'BSE - Other Index Options'!$C:$C,$A50,'BSE - Other Index Options'!$B:$B,D$4,'BSE - Other Index Options'!$I:$I,"Weekly*")+SUMIFS('BSE - Other Index Options'!$M:$M,'BSE - Other Index Options'!$C:$C,$A50,'BSE - Other Index Options'!$B:$B,D$4,'BSE - Other Index Options'!$I:$I,"MDAW*")=0,"",SUMIFS('NSE - NIFTY Index Options'!$M:$M,'NSE - NIFTY Index Options'!$C:$C,$A50,'NSE - NIFTY Index Options'!$B:$B,D$4,'NSE - NIFTY Index Options'!$I:$I,"Weekly*")+SUMIFS('NSE - NIFTY Index Options'!$M:$M,'NSE - NIFTY Index Options'!$C:$C,$A50,'NSE - NIFTY Index Options'!$B:$B,D$4,'NSE - NIFTY Index Options'!$I:$I,"MDAW*")+SUMIFS('NSE - Other Index Options'!$M:$M,'NSE - Other Index Options'!$C:$C,$A50,'NSE - Other Index Options'!$B:$B,D$4,'NSE - Other Index Options'!$I:$I,"Weekly*")+SUMIFS('NSE - Other Index Options'!$M:$M,'NSE - Other Index Options'!$C:$C,$A50,'NSE - Other Index Options'!$B:$B,D$4,'NSE - Other Index Options'!$I:$I,"MDAW*")+SUMIFS('BSE - SENSEX Index Options'!$M:$M,'BSE - SENSEX Index Options'!$C:$C,$A50,'BSE - SENSEX Index Options'!$B:$B,D$4,'BSE - SENSEX Index Options'!$I:$I,"Weekly*")+SUMIFS('BSE - SENSEX Index Options'!$M:$M,'BSE - SENSEX Index Options'!$C:$C,$A50,'BSE - SENSEX Index Options'!$B:$B,D$4,'BSE - SENSEX Index Options'!$I:$I,"MDAW*")+SUMIFS('BSE - Other Index Options'!$M:$M,'BSE - Other Index Options'!$C:$C,$A50,'BSE - Other Index Options'!$B:$B,D$4,'BSE - Other Index Options'!$I:$I,"Weekly*")+SUMIFS('BSE - Other Index Options'!$M:$M,'BSE - Other Index Options'!$C:$C,$A50,'BSE - Other Index Options'!$B:$B,D$4,'BSE - Other Index Options'!$I:$I,"MDAW*"))</f>
        <v/>
      </c>
      <c r="E50" s="26">
        <f>IF(SUMIFS('NSE - NIFTY Index Options'!$M:$M,'NSE - NIFTY Index Options'!$C:$C,$A50,'NSE - NIFTY Index Options'!$B:$B,E$4,'NSE - NIFTY Index Options'!$I:$I,"Weekly*")+SUMIFS('NSE - NIFTY Index Options'!$M:$M,'NSE - NIFTY Index Options'!$C:$C,$A50,'NSE - NIFTY Index Options'!$B:$B,E$4,'NSE - NIFTY Index Options'!$I:$I,"MDAW*")+SUMIFS('NSE - Other Index Options'!$M:$M,'NSE - Other Index Options'!$C:$C,$A50,'NSE - Other Index Options'!$B:$B,E$4,'NSE - Other Index Options'!$I:$I,"Weekly*")+SUMIFS('NSE - Other Index Options'!$M:$M,'NSE - Other Index Options'!$C:$C,$A50,'NSE - Other Index Options'!$B:$B,E$4,'NSE - Other Index Options'!$I:$I,"MDAW*")+SUMIFS('BSE - SENSEX Index Options'!$M:$M,'BSE - SENSEX Index Options'!$C:$C,$A50,'BSE - SENSEX Index Options'!$B:$B,E$4,'BSE - SENSEX Index Options'!$I:$I,"Weekly*")+SUMIFS('BSE - SENSEX Index Options'!$M:$M,'BSE - SENSEX Index Options'!$C:$C,$A50,'BSE - SENSEX Index Options'!$B:$B,E$4,'BSE - SENSEX Index Options'!$I:$I,"MDAW*")+SUMIFS('BSE - Other Index Options'!$M:$M,'BSE - Other Index Options'!$C:$C,$A50,'BSE - Other Index Options'!$B:$B,E$4,'BSE - Other Index Options'!$I:$I,"Weekly*")+SUMIFS('BSE - Other Index Options'!$M:$M,'BSE - Other Index Options'!$C:$C,$A50,'BSE - Other Index Options'!$B:$B,E$4,'BSE - Other Index Options'!$I:$I,"MDAW*")=0,"",SUMIFS('NSE - NIFTY Index Options'!$M:$M,'NSE - NIFTY Index Options'!$C:$C,$A50,'NSE - NIFTY Index Options'!$B:$B,E$4,'NSE - NIFTY Index Options'!$I:$I,"Weekly*")+SUMIFS('NSE - NIFTY Index Options'!$M:$M,'NSE - NIFTY Index Options'!$C:$C,$A50,'NSE - NIFTY Index Options'!$B:$B,E$4,'NSE - NIFTY Index Options'!$I:$I,"MDAW*")+SUMIFS('NSE - Other Index Options'!$M:$M,'NSE - Other Index Options'!$C:$C,$A50,'NSE - Other Index Options'!$B:$B,E$4,'NSE - Other Index Options'!$I:$I,"Weekly*")+SUMIFS('NSE - Other Index Options'!$M:$M,'NSE - Other Index Options'!$C:$C,$A50,'NSE - Other Index Options'!$B:$B,E$4,'NSE - Other Index Options'!$I:$I,"MDAW*")+SUMIFS('BSE - SENSEX Index Options'!$M:$M,'BSE - SENSEX Index Options'!$C:$C,$A50,'BSE - SENSEX Index Options'!$B:$B,E$4,'BSE - SENSEX Index Options'!$I:$I,"Weekly*")+SUMIFS('BSE - SENSEX Index Options'!$M:$M,'BSE - SENSEX Index Options'!$C:$C,$A50,'BSE - SENSEX Index Options'!$B:$B,E$4,'BSE - SENSEX Index Options'!$I:$I,"MDAW*")+SUMIFS('BSE - Other Index Options'!$M:$M,'BSE - Other Index Options'!$C:$C,$A50,'BSE - Other Index Options'!$B:$B,E$4,'BSE - Other Index Options'!$I:$I,"Weekly*")+SUMIFS('BSE - Other Index Options'!$M:$M,'BSE - Other Index Options'!$C:$C,$A50,'BSE - Other Index Options'!$B:$B,E$4,'BSE - Other Index Options'!$I:$I,"MDAW*"))</f>
        <v/>
      </c>
      <c r="F50" s="26">
        <f>IF(SUMIFS('NSE - NIFTY Index Options'!$M:$M,'NSE - NIFTY Index Options'!$C:$C,$A50,'NSE - NIFTY Index Options'!$B:$B,F$4,'NSE - NIFTY Index Options'!$I:$I,"Weekly*")+SUMIFS('NSE - NIFTY Index Options'!$M:$M,'NSE - NIFTY Index Options'!$C:$C,$A50,'NSE - NIFTY Index Options'!$B:$B,F$4,'NSE - NIFTY Index Options'!$I:$I,"MDAW*")+SUMIFS('NSE - Other Index Options'!$M:$M,'NSE - Other Index Options'!$C:$C,$A50,'NSE - Other Index Options'!$B:$B,F$4,'NSE - Other Index Options'!$I:$I,"Weekly*")+SUMIFS('NSE - Other Index Options'!$M:$M,'NSE - Other Index Options'!$C:$C,$A50,'NSE - Other Index Options'!$B:$B,F$4,'NSE - Other Index Options'!$I:$I,"MDAW*")+SUMIFS('BSE - SENSEX Index Options'!$M:$M,'BSE - SENSEX Index Options'!$C:$C,$A50,'BSE - SENSEX Index Options'!$B:$B,F$4,'BSE - SENSEX Index Options'!$I:$I,"Weekly*")+SUMIFS('BSE - SENSEX Index Options'!$M:$M,'BSE - SENSEX Index Options'!$C:$C,$A50,'BSE - SENSEX Index Options'!$B:$B,F$4,'BSE - SENSEX Index Options'!$I:$I,"MDAW*")+SUMIFS('BSE - Other Index Options'!$M:$M,'BSE - Other Index Options'!$C:$C,$A50,'BSE - Other Index Options'!$B:$B,F$4,'BSE - Other Index Options'!$I:$I,"Weekly*")+SUMIFS('BSE - Other Index Options'!$M:$M,'BSE - Other Index Options'!$C:$C,$A50,'BSE - Other Index Options'!$B:$B,F$4,'BSE - Other Index Options'!$I:$I,"MDAW*")=0,"",SUMIFS('NSE - NIFTY Index Options'!$M:$M,'NSE - NIFTY Index Options'!$C:$C,$A50,'NSE - NIFTY Index Options'!$B:$B,F$4,'NSE - NIFTY Index Options'!$I:$I,"Weekly*")+SUMIFS('NSE - NIFTY Index Options'!$M:$M,'NSE - NIFTY Index Options'!$C:$C,$A50,'NSE - NIFTY Index Options'!$B:$B,F$4,'NSE - NIFTY Index Options'!$I:$I,"MDAW*")+SUMIFS('NSE - Other Index Options'!$M:$M,'NSE - Other Index Options'!$C:$C,$A50,'NSE - Other Index Options'!$B:$B,F$4,'NSE - Other Index Options'!$I:$I,"Weekly*")+SUMIFS('NSE - Other Index Options'!$M:$M,'NSE - Other Index Options'!$C:$C,$A50,'NSE - Other Index Options'!$B:$B,F$4,'NSE - Other Index Options'!$I:$I,"MDAW*")+SUMIFS('BSE - SENSEX Index Options'!$M:$M,'BSE - SENSEX Index Options'!$C:$C,$A50,'BSE - SENSEX Index Options'!$B:$B,F$4,'BSE - SENSEX Index Options'!$I:$I,"Weekly*")+SUMIFS('BSE - SENSEX Index Options'!$M:$M,'BSE - SENSEX Index Options'!$C:$C,$A50,'BSE - SENSEX Index Options'!$B:$B,F$4,'BSE - SENSEX Index Options'!$I:$I,"MDAW*")+SUMIFS('BSE - Other Index Options'!$M:$M,'BSE - Other Index Options'!$C:$C,$A50,'BSE - Other Index Options'!$B:$B,F$4,'BSE - Other Index Options'!$I:$I,"Weekly*")+SUMIFS('BSE - Other Index Options'!$M:$M,'BSE - Other Index Options'!$C:$C,$A50,'BSE - Other Index Options'!$B:$B,F$4,'BSE - Other Index Options'!$I:$I,"MDAW*"))</f>
        <v/>
      </c>
      <c r="G50" s="26">
        <f>IF(SUMIFS('NSE - NIFTY Index Options'!$M:$M,'NSE - NIFTY Index Options'!$C:$C,$A50,'NSE - NIFTY Index Options'!$B:$B,G$4,'NSE - NIFTY Index Options'!$I:$I,"Weekly*")+SUMIFS('NSE - NIFTY Index Options'!$M:$M,'NSE - NIFTY Index Options'!$C:$C,$A50,'NSE - NIFTY Index Options'!$B:$B,G$4,'NSE - NIFTY Index Options'!$I:$I,"MDAW*")+SUMIFS('NSE - Other Index Options'!$M:$M,'NSE - Other Index Options'!$C:$C,$A50,'NSE - Other Index Options'!$B:$B,G$4,'NSE - Other Index Options'!$I:$I,"Weekly*")+SUMIFS('NSE - Other Index Options'!$M:$M,'NSE - Other Index Options'!$C:$C,$A50,'NSE - Other Index Options'!$B:$B,G$4,'NSE - Other Index Options'!$I:$I,"MDAW*")+SUMIFS('BSE - SENSEX Index Options'!$M:$M,'BSE - SENSEX Index Options'!$C:$C,$A50,'BSE - SENSEX Index Options'!$B:$B,G$4,'BSE - SENSEX Index Options'!$I:$I,"Weekly*")+SUMIFS('BSE - SENSEX Index Options'!$M:$M,'BSE - SENSEX Index Options'!$C:$C,$A50,'BSE - SENSEX Index Options'!$B:$B,G$4,'BSE - SENSEX Index Options'!$I:$I,"MDAW*")+SUMIFS('BSE - Other Index Options'!$M:$M,'BSE - Other Index Options'!$C:$C,$A50,'BSE - Other Index Options'!$B:$B,G$4,'BSE - Other Index Options'!$I:$I,"Weekly*")+SUMIFS('BSE - Other Index Options'!$M:$M,'BSE - Other Index Options'!$C:$C,$A50,'BSE - Other Index Options'!$B:$B,G$4,'BSE - Other Index Options'!$I:$I,"MDAW*")=0,"",SUMIFS('NSE - NIFTY Index Options'!$M:$M,'NSE - NIFTY Index Options'!$C:$C,$A50,'NSE - NIFTY Index Options'!$B:$B,G$4,'NSE - NIFTY Index Options'!$I:$I,"Weekly*")+SUMIFS('NSE - NIFTY Index Options'!$M:$M,'NSE - NIFTY Index Options'!$C:$C,$A50,'NSE - NIFTY Index Options'!$B:$B,G$4,'NSE - NIFTY Index Options'!$I:$I,"MDAW*")+SUMIFS('NSE - Other Index Options'!$M:$M,'NSE - Other Index Options'!$C:$C,$A50,'NSE - Other Index Options'!$B:$B,G$4,'NSE - Other Index Options'!$I:$I,"Weekly*")+SUMIFS('NSE - Other Index Options'!$M:$M,'NSE - Other Index Options'!$C:$C,$A50,'NSE - Other Index Options'!$B:$B,G$4,'NSE - Other Index Options'!$I:$I,"MDAW*")+SUMIFS('BSE - SENSEX Index Options'!$M:$M,'BSE - SENSEX Index Options'!$C:$C,$A50,'BSE - SENSEX Index Options'!$B:$B,G$4,'BSE - SENSEX Index Options'!$I:$I,"Weekly*")+SUMIFS('BSE - SENSEX Index Options'!$M:$M,'BSE - SENSEX Index Options'!$C:$C,$A50,'BSE - SENSEX Index Options'!$B:$B,G$4,'BSE - SENSEX Index Options'!$I:$I,"MDAW*")+SUMIFS('BSE - Other Index Options'!$M:$M,'BSE - Other Index Options'!$C:$C,$A50,'BSE - Other Index Options'!$B:$B,G$4,'BSE - Other Index Options'!$I:$I,"Weekly*")+SUMIFS('BSE - Other Index Options'!$M:$M,'BSE - Other Index Options'!$C:$C,$A50,'BSE - Other Index Options'!$B:$B,G$4,'BSE - Other Index Options'!$I:$I,"MDAW*"))</f>
        <v/>
      </c>
      <c r="H50" s="26">
        <f>IF(SUM(B50:G50)=0,"",SUM(B50:G50))</f>
        <v/>
      </c>
    </row>
    <row r="51">
      <c r="A51" t="inlineStr">
        <is>
          <t>Week3-Jun-2026</t>
        </is>
      </c>
      <c r="B51" s="26">
        <f>IF(SUMIFS('NSE - NIFTY Index Options'!$M:$M,'NSE - NIFTY Index Options'!$C:$C,$A51,'NSE - NIFTY Index Options'!$B:$B,B$4,'NSE - NIFTY Index Options'!$I:$I,"Weekly*")+SUMIFS('NSE - NIFTY Index Options'!$M:$M,'NSE - NIFTY Index Options'!$C:$C,$A51,'NSE - NIFTY Index Options'!$B:$B,B$4,'NSE - NIFTY Index Options'!$I:$I,"MDAW*")+SUMIFS('NSE - Other Index Options'!$M:$M,'NSE - Other Index Options'!$C:$C,$A51,'NSE - Other Index Options'!$B:$B,B$4,'NSE - Other Index Options'!$I:$I,"Weekly*")+SUMIFS('NSE - Other Index Options'!$M:$M,'NSE - Other Index Options'!$C:$C,$A51,'NSE - Other Index Options'!$B:$B,B$4,'NSE - Other Index Options'!$I:$I,"MDAW*")+SUMIFS('BSE - SENSEX Index Options'!$M:$M,'BSE - SENSEX Index Options'!$C:$C,$A51,'BSE - SENSEX Index Options'!$B:$B,B$4,'BSE - SENSEX Index Options'!$I:$I,"Weekly*")+SUMIFS('BSE - SENSEX Index Options'!$M:$M,'BSE - SENSEX Index Options'!$C:$C,$A51,'BSE - SENSEX Index Options'!$B:$B,B$4,'BSE - SENSEX Index Options'!$I:$I,"MDAW*")+SUMIFS('BSE - Other Index Options'!$M:$M,'BSE - Other Index Options'!$C:$C,$A51,'BSE - Other Index Options'!$B:$B,B$4,'BSE - Other Index Options'!$I:$I,"Weekly*")+SUMIFS('BSE - Other Index Options'!$M:$M,'BSE - Other Index Options'!$C:$C,$A51,'BSE - Other Index Options'!$B:$B,B$4,'BSE - Other Index Options'!$I:$I,"MDAW*")=0,"",SUMIFS('NSE - NIFTY Index Options'!$M:$M,'NSE - NIFTY Index Options'!$C:$C,$A51,'NSE - NIFTY Index Options'!$B:$B,B$4,'NSE - NIFTY Index Options'!$I:$I,"Weekly*")+SUMIFS('NSE - NIFTY Index Options'!$M:$M,'NSE - NIFTY Index Options'!$C:$C,$A51,'NSE - NIFTY Index Options'!$B:$B,B$4,'NSE - NIFTY Index Options'!$I:$I,"MDAW*")+SUMIFS('NSE - Other Index Options'!$M:$M,'NSE - Other Index Options'!$C:$C,$A51,'NSE - Other Index Options'!$B:$B,B$4,'NSE - Other Index Options'!$I:$I,"Weekly*")+SUMIFS('NSE - Other Index Options'!$M:$M,'NSE - Other Index Options'!$C:$C,$A51,'NSE - Other Index Options'!$B:$B,B$4,'NSE - Other Index Options'!$I:$I,"MDAW*")+SUMIFS('BSE - SENSEX Index Options'!$M:$M,'BSE - SENSEX Index Options'!$C:$C,$A51,'BSE - SENSEX Index Options'!$B:$B,B$4,'BSE - SENSEX Index Options'!$I:$I,"Weekly*")+SUMIFS('BSE - SENSEX Index Options'!$M:$M,'BSE - SENSEX Index Options'!$C:$C,$A51,'BSE - SENSEX Index Options'!$B:$B,B$4,'BSE - SENSEX Index Options'!$I:$I,"MDAW*")+SUMIFS('BSE - Other Index Options'!$M:$M,'BSE - Other Index Options'!$C:$C,$A51,'BSE - Other Index Options'!$B:$B,B$4,'BSE - Other Index Options'!$I:$I,"Weekly*")+SUMIFS('BSE - Other Index Options'!$M:$M,'BSE - Other Index Options'!$C:$C,$A51,'BSE - Other Index Options'!$B:$B,B$4,'BSE - Other Index Options'!$I:$I,"MDAW*"))</f>
        <v/>
      </c>
      <c r="C51" s="26">
        <f>IF(SUMIFS('NSE - NIFTY Index Options'!$M:$M,'NSE - NIFTY Index Options'!$C:$C,$A51,'NSE - NIFTY Index Options'!$B:$B,C$4,'NSE - NIFTY Index Options'!$I:$I,"Weekly*")+SUMIFS('NSE - NIFTY Index Options'!$M:$M,'NSE - NIFTY Index Options'!$C:$C,$A51,'NSE - NIFTY Index Options'!$B:$B,C$4,'NSE - NIFTY Index Options'!$I:$I,"MDAW*")+SUMIFS('NSE - Other Index Options'!$M:$M,'NSE - Other Index Options'!$C:$C,$A51,'NSE - Other Index Options'!$B:$B,C$4,'NSE - Other Index Options'!$I:$I,"Weekly*")+SUMIFS('NSE - Other Index Options'!$M:$M,'NSE - Other Index Options'!$C:$C,$A51,'NSE - Other Index Options'!$B:$B,C$4,'NSE - Other Index Options'!$I:$I,"MDAW*")+SUMIFS('BSE - SENSEX Index Options'!$M:$M,'BSE - SENSEX Index Options'!$C:$C,$A51,'BSE - SENSEX Index Options'!$B:$B,C$4,'BSE - SENSEX Index Options'!$I:$I,"Weekly*")+SUMIFS('BSE - SENSEX Index Options'!$M:$M,'BSE - SENSEX Index Options'!$C:$C,$A51,'BSE - SENSEX Index Options'!$B:$B,C$4,'BSE - SENSEX Index Options'!$I:$I,"MDAW*")+SUMIFS('BSE - Other Index Options'!$M:$M,'BSE - Other Index Options'!$C:$C,$A51,'BSE - Other Index Options'!$B:$B,C$4,'BSE - Other Index Options'!$I:$I,"Weekly*")+SUMIFS('BSE - Other Index Options'!$M:$M,'BSE - Other Index Options'!$C:$C,$A51,'BSE - Other Index Options'!$B:$B,C$4,'BSE - Other Index Options'!$I:$I,"MDAW*")=0,"",SUMIFS('NSE - NIFTY Index Options'!$M:$M,'NSE - NIFTY Index Options'!$C:$C,$A51,'NSE - NIFTY Index Options'!$B:$B,C$4,'NSE - NIFTY Index Options'!$I:$I,"Weekly*")+SUMIFS('NSE - NIFTY Index Options'!$M:$M,'NSE - NIFTY Index Options'!$C:$C,$A51,'NSE - NIFTY Index Options'!$B:$B,C$4,'NSE - NIFTY Index Options'!$I:$I,"MDAW*")+SUMIFS('NSE - Other Index Options'!$M:$M,'NSE - Other Index Options'!$C:$C,$A51,'NSE - Other Index Options'!$B:$B,C$4,'NSE - Other Index Options'!$I:$I,"Weekly*")+SUMIFS('NSE - Other Index Options'!$M:$M,'NSE - Other Index Options'!$C:$C,$A51,'NSE - Other Index Options'!$B:$B,C$4,'NSE - Other Index Options'!$I:$I,"MDAW*")+SUMIFS('BSE - SENSEX Index Options'!$M:$M,'BSE - SENSEX Index Options'!$C:$C,$A51,'BSE - SENSEX Index Options'!$B:$B,C$4,'BSE - SENSEX Index Options'!$I:$I,"Weekly*")+SUMIFS('BSE - SENSEX Index Options'!$M:$M,'BSE - SENSEX Index Options'!$C:$C,$A51,'BSE - SENSEX Index Options'!$B:$B,C$4,'BSE - SENSEX Index Options'!$I:$I,"MDAW*")+SUMIFS('BSE - Other Index Options'!$M:$M,'BSE - Other Index Options'!$C:$C,$A51,'BSE - Other Index Options'!$B:$B,C$4,'BSE - Other Index Options'!$I:$I,"Weekly*")+SUMIFS('BSE - Other Index Options'!$M:$M,'BSE - Other Index Options'!$C:$C,$A51,'BSE - Other Index Options'!$B:$B,C$4,'BSE - Other Index Options'!$I:$I,"MDAW*"))</f>
        <v/>
      </c>
      <c r="D51" s="26">
        <f>IF(SUMIFS('NSE - NIFTY Index Options'!$M:$M,'NSE - NIFTY Index Options'!$C:$C,$A51,'NSE - NIFTY Index Options'!$B:$B,D$4,'NSE - NIFTY Index Options'!$I:$I,"Weekly*")+SUMIFS('NSE - NIFTY Index Options'!$M:$M,'NSE - NIFTY Index Options'!$C:$C,$A51,'NSE - NIFTY Index Options'!$B:$B,D$4,'NSE - NIFTY Index Options'!$I:$I,"MDAW*")+SUMIFS('NSE - Other Index Options'!$M:$M,'NSE - Other Index Options'!$C:$C,$A51,'NSE - Other Index Options'!$B:$B,D$4,'NSE - Other Index Options'!$I:$I,"Weekly*")+SUMIFS('NSE - Other Index Options'!$M:$M,'NSE - Other Index Options'!$C:$C,$A51,'NSE - Other Index Options'!$B:$B,D$4,'NSE - Other Index Options'!$I:$I,"MDAW*")+SUMIFS('BSE - SENSEX Index Options'!$M:$M,'BSE - SENSEX Index Options'!$C:$C,$A51,'BSE - SENSEX Index Options'!$B:$B,D$4,'BSE - SENSEX Index Options'!$I:$I,"Weekly*")+SUMIFS('BSE - SENSEX Index Options'!$M:$M,'BSE - SENSEX Index Options'!$C:$C,$A51,'BSE - SENSEX Index Options'!$B:$B,D$4,'BSE - SENSEX Index Options'!$I:$I,"MDAW*")+SUMIFS('BSE - Other Index Options'!$M:$M,'BSE - Other Index Options'!$C:$C,$A51,'BSE - Other Index Options'!$B:$B,D$4,'BSE - Other Index Options'!$I:$I,"Weekly*")+SUMIFS('BSE - Other Index Options'!$M:$M,'BSE - Other Index Options'!$C:$C,$A51,'BSE - Other Index Options'!$B:$B,D$4,'BSE - Other Index Options'!$I:$I,"MDAW*")=0,"",SUMIFS('NSE - NIFTY Index Options'!$M:$M,'NSE - NIFTY Index Options'!$C:$C,$A51,'NSE - NIFTY Index Options'!$B:$B,D$4,'NSE - NIFTY Index Options'!$I:$I,"Weekly*")+SUMIFS('NSE - NIFTY Index Options'!$M:$M,'NSE - NIFTY Index Options'!$C:$C,$A51,'NSE - NIFTY Index Options'!$B:$B,D$4,'NSE - NIFTY Index Options'!$I:$I,"MDAW*")+SUMIFS('NSE - Other Index Options'!$M:$M,'NSE - Other Index Options'!$C:$C,$A51,'NSE - Other Index Options'!$B:$B,D$4,'NSE - Other Index Options'!$I:$I,"Weekly*")+SUMIFS('NSE - Other Index Options'!$M:$M,'NSE - Other Index Options'!$C:$C,$A51,'NSE - Other Index Options'!$B:$B,D$4,'NSE - Other Index Options'!$I:$I,"MDAW*")+SUMIFS('BSE - SENSEX Index Options'!$M:$M,'BSE - SENSEX Index Options'!$C:$C,$A51,'BSE - SENSEX Index Options'!$B:$B,D$4,'BSE - SENSEX Index Options'!$I:$I,"Weekly*")+SUMIFS('BSE - SENSEX Index Options'!$M:$M,'BSE - SENSEX Index Options'!$C:$C,$A51,'BSE - SENSEX Index Options'!$B:$B,D$4,'BSE - SENSEX Index Options'!$I:$I,"MDAW*")+SUMIFS('BSE - Other Index Options'!$M:$M,'BSE - Other Index Options'!$C:$C,$A51,'BSE - Other Index Options'!$B:$B,D$4,'BSE - Other Index Options'!$I:$I,"Weekly*")+SUMIFS('BSE - Other Index Options'!$M:$M,'BSE - Other Index Options'!$C:$C,$A51,'BSE - Other Index Options'!$B:$B,D$4,'BSE - Other Index Options'!$I:$I,"MDAW*"))</f>
        <v/>
      </c>
      <c r="E51" s="26">
        <f>IF(SUMIFS('NSE - NIFTY Index Options'!$M:$M,'NSE - NIFTY Index Options'!$C:$C,$A51,'NSE - NIFTY Index Options'!$B:$B,E$4,'NSE - NIFTY Index Options'!$I:$I,"Weekly*")+SUMIFS('NSE - NIFTY Index Options'!$M:$M,'NSE - NIFTY Index Options'!$C:$C,$A51,'NSE - NIFTY Index Options'!$B:$B,E$4,'NSE - NIFTY Index Options'!$I:$I,"MDAW*")+SUMIFS('NSE - Other Index Options'!$M:$M,'NSE - Other Index Options'!$C:$C,$A51,'NSE - Other Index Options'!$B:$B,E$4,'NSE - Other Index Options'!$I:$I,"Weekly*")+SUMIFS('NSE - Other Index Options'!$M:$M,'NSE - Other Index Options'!$C:$C,$A51,'NSE - Other Index Options'!$B:$B,E$4,'NSE - Other Index Options'!$I:$I,"MDAW*")+SUMIFS('BSE - SENSEX Index Options'!$M:$M,'BSE - SENSEX Index Options'!$C:$C,$A51,'BSE - SENSEX Index Options'!$B:$B,E$4,'BSE - SENSEX Index Options'!$I:$I,"Weekly*")+SUMIFS('BSE - SENSEX Index Options'!$M:$M,'BSE - SENSEX Index Options'!$C:$C,$A51,'BSE - SENSEX Index Options'!$B:$B,E$4,'BSE - SENSEX Index Options'!$I:$I,"MDAW*")+SUMIFS('BSE - Other Index Options'!$M:$M,'BSE - Other Index Options'!$C:$C,$A51,'BSE - Other Index Options'!$B:$B,E$4,'BSE - Other Index Options'!$I:$I,"Weekly*")+SUMIFS('BSE - Other Index Options'!$M:$M,'BSE - Other Index Options'!$C:$C,$A51,'BSE - Other Index Options'!$B:$B,E$4,'BSE - Other Index Options'!$I:$I,"MDAW*")=0,"",SUMIFS('NSE - NIFTY Index Options'!$M:$M,'NSE - NIFTY Index Options'!$C:$C,$A51,'NSE - NIFTY Index Options'!$B:$B,E$4,'NSE - NIFTY Index Options'!$I:$I,"Weekly*")+SUMIFS('NSE - NIFTY Index Options'!$M:$M,'NSE - NIFTY Index Options'!$C:$C,$A51,'NSE - NIFTY Index Options'!$B:$B,E$4,'NSE - NIFTY Index Options'!$I:$I,"MDAW*")+SUMIFS('NSE - Other Index Options'!$M:$M,'NSE - Other Index Options'!$C:$C,$A51,'NSE - Other Index Options'!$B:$B,E$4,'NSE - Other Index Options'!$I:$I,"Weekly*")+SUMIFS('NSE - Other Index Options'!$M:$M,'NSE - Other Index Options'!$C:$C,$A51,'NSE - Other Index Options'!$B:$B,E$4,'NSE - Other Index Options'!$I:$I,"MDAW*")+SUMIFS('BSE - SENSEX Index Options'!$M:$M,'BSE - SENSEX Index Options'!$C:$C,$A51,'BSE - SENSEX Index Options'!$B:$B,E$4,'BSE - SENSEX Index Options'!$I:$I,"Weekly*")+SUMIFS('BSE - SENSEX Index Options'!$M:$M,'BSE - SENSEX Index Options'!$C:$C,$A51,'BSE - SENSEX Index Options'!$B:$B,E$4,'BSE - SENSEX Index Options'!$I:$I,"MDAW*")+SUMIFS('BSE - Other Index Options'!$M:$M,'BSE - Other Index Options'!$C:$C,$A51,'BSE - Other Index Options'!$B:$B,E$4,'BSE - Other Index Options'!$I:$I,"Weekly*")+SUMIFS('BSE - Other Index Options'!$M:$M,'BSE - Other Index Options'!$C:$C,$A51,'BSE - Other Index Options'!$B:$B,E$4,'BSE - Other Index Options'!$I:$I,"MDAW*"))</f>
        <v/>
      </c>
      <c r="F51" s="26">
        <f>IF(SUMIFS('NSE - NIFTY Index Options'!$M:$M,'NSE - NIFTY Index Options'!$C:$C,$A51,'NSE - NIFTY Index Options'!$B:$B,F$4,'NSE - NIFTY Index Options'!$I:$I,"Weekly*")+SUMIFS('NSE - NIFTY Index Options'!$M:$M,'NSE - NIFTY Index Options'!$C:$C,$A51,'NSE - NIFTY Index Options'!$B:$B,F$4,'NSE - NIFTY Index Options'!$I:$I,"MDAW*")+SUMIFS('NSE - Other Index Options'!$M:$M,'NSE - Other Index Options'!$C:$C,$A51,'NSE - Other Index Options'!$B:$B,F$4,'NSE - Other Index Options'!$I:$I,"Weekly*")+SUMIFS('NSE - Other Index Options'!$M:$M,'NSE - Other Index Options'!$C:$C,$A51,'NSE - Other Index Options'!$B:$B,F$4,'NSE - Other Index Options'!$I:$I,"MDAW*")+SUMIFS('BSE - SENSEX Index Options'!$M:$M,'BSE - SENSEX Index Options'!$C:$C,$A51,'BSE - SENSEX Index Options'!$B:$B,F$4,'BSE - SENSEX Index Options'!$I:$I,"Weekly*")+SUMIFS('BSE - SENSEX Index Options'!$M:$M,'BSE - SENSEX Index Options'!$C:$C,$A51,'BSE - SENSEX Index Options'!$B:$B,F$4,'BSE - SENSEX Index Options'!$I:$I,"MDAW*")+SUMIFS('BSE - Other Index Options'!$M:$M,'BSE - Other Index Options'!$C:$C,$A51,'BSE - Other Index Options'!$B:$B,F$4,'BSE - Other Index Options'!$I:$I,"Weekly*")+SUMIFS('BSE - Other Index Options'!$M:$M,'BSE - Other Index Options'!$C:$C,$A51,'BSE - Other Index Options'!$B:$B,F$4,'BSE - Other Index Options'!$I:$I,"MDAW*")=0,"",SUMIFS('NSE - NIFTY Index Options'!$M:$M,'NSE - NIFTY Index Options'!$C:$C,$A51,'NSE - NIFTY Index Options'!$B:$B,F$4,'NSE - NIFTY Index Options'!$I:$I,"Weekly*")+SUMIFS('NSE - NIFTY Index Options'!$M:$M,'NSE - NIFTY Index Options'!$C:$C,$A51,'NSE - NIFTY Index Options'!$B:$B,F$4,'NSE - NIFTY Index Options'!$I:$I,"MDAW*")+SUMIFS('NSE - Other Index Options'!$M:$M,'NSE - Other Index Options'!$C:$C,$A51,'NSE - Other Index Options'!$B:$B,F$4,'NSE - Other Index Options'!$I:$I,"Weekly*")+SUMIFS('NSE - Other Index Options'!$M:$M,'NSE - Other Index Options'!$C:$C,$A51,'NSE - Other Index Options'!$B:$B,F$4,'NSE - Other Index Options'!$I:$I,"MDAW*")+SUMIFS('BSE - SENSEX Index Options'!$M:$M,'BSE - SENSEX Index Options'!$C:$C,$A51,'BSE - SENSEX Index Options'!$B:$B,F$4,'BSE - SENSEX Index Options'!$I:$I,"Weekly*")+SUMIFS('BSE - SENSEX Index Options'!$M:$M,'BSE - SENSEX Index Options'!$C:$C,$A51,'BSE - SENSEX Index Options'!$B:$B,F$4,'BSE - SENSEX Index Options'!$I:$I,"MDAW*")+SUMIFS('BSE - Other Index Options'!$M:$M,'BSE - Other Index Options'!$C:$C,$A51,'BSE - Other Index Options'!$B:$B,F$4,'BSE - Other Index Options'!$I:$I,"Weekly*")+SUMIFS('BSE - Other Index Options'!$M:$M,'BSE - Other Index Options'!$C:$C,$A51,'BSE - Other Index Options'!$B:$B,F$4,'BSE - Other Index Options'!$I:$I,"MDAW*"))</f>
        <v/>
      </c>
      <c r="G51" s="26">
        <f>IF(SUMIFS('NSE - NIFTY Index Options'!$M:$M,'NSE - NIFTY Index Options'!$C:$C,$A51,'NSE - NIFTY Index Options'!$B:$B,G$4,'NSE - NIFTY Index Options'!$I:$I,"Weekly*")+SUMIFS('NSE - NIFTY Index Options'!$M:$M,'NSE - NIFTY Index Options'!$C:$C,$A51,'NSE - NIFTY Index Options'!$B:$B,G$4,'NSE - NIFTY Index Options'!$I:$I,"MDAW*")+SUMIFS('NSE - Other Index Options'!$M:$M,'NSE - Other Index Options'!$C:$C,$A51,'NSE - Other Index Options'!$B:$B,G$4,'NSE - Other Index Options'!$I:$I,"Weekly*")+SUMIFS('NSE - Other Index Options'!$M:$M,'NSE - Other Index Options'!$C:$C,$A51,'NSE - Other Index Options'!$B:$B,G$4,'NSE - Other Index Options'!$I:$I,"MDAW*")+SUMIFS('BSE - SENSEX Index Options'!$M:$M,'BSE - SENSEX Index Options'!$C:$C,$A51,'BSE - SENSEX Index Options'!$B:$B,G$4,'BSE - SENSEX Index Options'!$I:$I,"Weekly*")+SUMIFS('BSE - SENSEX Index Options'!$M:$M,'BSE - SENSEX Index Options'!$C:$C,$A51,'BSE - SENSEX Index Options'!$B:$B,G$4,'BSE - SENSEX Index Options'!$I:$I,"MDAW*")+SUMIFS('BSE - Other Index Options'!$M:$M,'BSE - Other Index Options'!$C:$C,$A51,'BSE - Other Index Options'!$B:$B,G$4,'BSE - Other Index Options'!$I:$I,"Weekly*")+SUMIFS('BSE - Other Index Options'!$M:$M,'BSE - Other Index Options'!$C:$C,$A51,'BSE - Other Index Options'!$B:$B,G$4,'BSE - Other Index Options'!$I:$I,"MDAW*")=0,"",SUMIFS('NSE - NIFTY Index Options'!$M:$M,'NSE - NIFTY Index Options'!$C:$C,$A51,'NSE - NIFTY Index Options'!$B:$B,G$4,'NSE - NIFTY Index Options'!$I:$I,"Weekly*")+SUMIFS('NSE - NIFTY Index Options'!$M:$M,'NSE - NIFTY Index Options'!$C:$C,$A51,'NSE - NIFTY Index Options'!$B:$B,G$4,'NSE - NIFTY Index Options'!$I:$I,"MDAW*")+SUMIFS('NSE - Other Index Options'!$M:$M,'NSE - Other Index Options'!$C:$C,$A51,'NSE - Other Index Options'!$B:$B,G$4,'NSE - Other Index Options'!$I:$I,"Weekly*")+SUMIFS('NSE - Other Index Options'!$M:$M,'NSE - Other Index Options'!$C:$C,$A51,'NSE - Other Index Options'!$B:$B,G$4,'NSE - Other Index Options'!$I:$I,"MDAW*")+SUMIFS('BSE - SENSEX Index Options'!$M:$M,'BSE - SENSEX Index Options'!$C:$C,$A51,'BSE - SENSEX Index Options'!$B:$B,G$4,'BSE - SENSEX Index Options'!$I:$I,"Weekly*")+SUMIFS('BSE - SENSEX Index Options'!$M:$M,'BSE - SENSEX Index Options'!$C:$C,$A51,'BSE - SENSEX Index Options'!$B:$B,G$4,'BSE - SENSEX Index Options'!$I:$I,"MDAW*")+SUMIFS('BSE - Other Index Options'!$M:$M,'BSE - Other Index Options'!$C:$C,$A51,'BSE - Other Index Options'!$B:$B,G$4,'BSE - Other Index Options'!$I:$I,"Weekly*")+SUMIFS('BSE - Other Index Options'!$M:$M,'BSE - Other Index Options'!$C:$C,$A51,'BSE - Other Index Options'!$B:$B,G$4,'BSE - Other Index Options'!$I:$I,"MDAW*"))</f>
        <v/>
      </c>
      <c r="H51" s="26">
        <f>IF(SUM(B51:G51)=0,"",SUM(B51:G51))</f>
        <v/>
      </c>
    </row>
    <row r="52">
      <c r="A52" t="inlineStr">
        <is>
          <t>Week4-Jun-2026</t>
        </is>
      </c>
      <c r="B52" s="26">
        <f>IF(SUMIFS('NSE - NIFTY Index Options'!$M:$M,'NSE - NIFTY Index Options'!$C:$C,$A52,'NSE - NIFTY Index Options'!$B:$B,B$4,'NSE - NIFTY Index Options'!$I:$I,"Weekly*")+SUMIFS('NSE - NIFTY Index Options'!$M:$M,'NSE - NIFTY Index Options'!$C:$C,$A52,'NSE - NIFTY Index Options'!$B:$B,B$4,'NSE - NIFTY Index Options'!$I:$I,"MDAW*")+SUMIFS('NSE - Other Index Options'!$M:$M,'NSE - Other Index Options'!$C:$C,$A52,'NSE - Other Index Options'!$B:$B,B$4,'NSE - Other Index Options'!$I:$I,"Weekly*")+SUMIFS('NSE - Other Index Options'!$M:$M,'NSE - Other Index Options'!$C:$C,$A52,'NSE - Other Index Options'!$B:$B,B$4,'NSE - Other Index Options'!$I:$I,"MDAW*")+SUMIFS('BSE - SENSEX Index Options'!$M:$M,'BSE - SENSEX Index Options'!$C:$C,$A52,'BSE - SENSEX Index Options'!$B:$B,B$4,'BSE - SENSEX Index Options'!$I:$I,"Weekly*")+SUMIFS('BSE - SENSEX Index Options'!$M:$M,'BSE - SENSEX Index Options'!$C:$C,$A52,'BSE - SENSEX Index Options'!$B:$B,B$4,'BSE - SENSEX Index Options'!$I:$I,"MDAW*")+SUMIFS('BSE - Other Index Options'!$M:$M,'BSE - Other Index Options'!$C:$C,$A52,'BSE - Other Index Options'!$B:$B,B$4,'BSE - Other Index Options'!$I:$I,"Weekly*")+SUMIFS('BSE - Other Index Options'!$M:$M,'BSE - Other Index Options'!$C:$C,$A52,'BSE - Other Index Options'!$B:$B,B$4,'BSE - Other Index Options'!$I:$I,"MDAW*")=0,"",SUMIFS('NSE - NIFTY Index Options'!$M:$M,'NSE - NIFTY Index Options'!$C:$C,$A52,'NSE - NIFTY Index Options'!$B:$B,B$4,'NSE - NIFTY Index Options'!$I:$I,"Weekly*")+SUMIFS('NSE - NIFTY Index Options'!$M:$M,'NSE - NIFTY Index Options'!$C:$C,$A52,'NSE - NIFTY Index Options'!$B:$B,B$4,'NSE - NIFTY Index Options'!$I:$I,"MDAW*")+SUMIFS('NSE - Other Index Options'!$M:$M,'NSE - Other Index Options'!$C:$C,$A52,'NSE - Other Index Options'!$B:$B,B$4,'NSE - Other Index Options'!$I:$I,"Weekly*")+SUMIFS('NSE - Other Index Options'!$M:$M,'NSE - Other Index Options'!$C:$C,$A52,'NSE - Other Index Options'!$B:$B,B$4,'NSE - Other Index Options'!$I:$I,"MDAW*")+SUMIFS('BSE - SENSEX Index Options'!$M:$M,'BSE - SENSEX Index Options'!$C:$C,$A52,'BSE - SENSEX Index Options'!$B:$B,B$4,'BSE - SENSEX Index Options'!$I:$I,"Weekly*")+SUMIFS('BSE - SENSEX Index Options'!$M:$M,'BSE - SENSEX Index Options'!$C:$C,$A52,'BSE - SENSEX Index Options'!$B:$B,B$4,'BSE - SENSEX Index Options'!$I:$I,"MDAW*")+SUMIFS('BSE - Other Index Options'!$M:$M,'BSE - Other Index Options'!$C:$C,$A52,'BSE - Other Index Options'!$B:$B,B$4,'BSE - Other Index Options'!$I:$I,"Weekly*")+SUMIFS('BSE - Other Index Options'!$M:$M,'BSE - Other Index Options'!$C:$C,$A52,'BSE - Other Index Options'!$B:$B,B$4,'BSE - Other Index Options'!$I:$I,"MDAW*"))</f>
        <v/>
      </c>
      <c r="C52" s="26">
        <f>IF(SUMIFS('NSE - NIFTY Index Options'!$M:$M,'NSE - NIFTY Index Options'!$C:$C,$A52,'NSE - NIFTY Index Options'!$B:$B,C$4,'NSE - NIFTY Index Options'!$I:$I,"Weekly*")+SUMIFS('NSE - NIFTY Index Options'!$M:$M,'NSE - NIFTY Index Options'!$C:$C,$A52,'NSE - NIFTY Index Options'!$B:$B,C$4,'NSE - NIFTY Index Options'!$I:$I,"MDAW*")+SUMIFS('NSE - Other Index Options'!$M:$M,'NSE - Other Index Options'!$C:$C,$A52,'NSE - Other Index Options'!$B:$B,C$4,'NSE - Other Index Options'!$I:$I,"Weekly*")+SUMIFS('NSE - Other Index Options'!$M:$M,'NSE - Other Index Options'!$C:$C,$A52,'NSE - Other Index Options'!$B:$B,C$4,'NSE - Other Index Options'!$I:$I,"MDAW*")+SUMIFS('BSE - SENSEX Index Options'!$M:$M,'BSE - SENSEX Index Options'!$C:$C,$A52,'BSE - SENSEX Index Options'!$B:$B,C$4,'BSE - SENSEX Index Options'!$I:$I,"Weekly*")+SUMIFS('BSE - SENSEX Index Options'!$M:$M,'BSE - SENSEX Index Options'!$C:$C,$A52,'BSE - SENSEX Index Options'!$B:$B,C$4,'BSE - SENSEX Index Options'!$I:$I,"MDAW*")+SUMIFS('BSE - Other Index Options'!$M:$M,'BSE - Other Index Options'!$C:$C,$A52,'BSE - Other Index Options'!$B:$B,C$4,'BSE - Other Index Options'!$I:$I,"Weekly*")+SUMIFS('BSE - Other Index Options'!$M:$M,'BSE - Other Index Options'!$C:$C,$A52,'BSE - Other Index Options'!$B:$B,C$4,'BSE - Other Index Options'!$I:$I,"MDAW*")=0,"",SUMIFS('NSE - NIFTY Index Options'!$M:$M,'NSE - NIFTY Index Options'!$C:$C,$A52,'NSE - NIFTY Index Options'!$B:$B,C$4,'NSE - NIFTY Index Options'!$I:$I,"Weekly*")+SUMIFS('NSE - NIFTY Index Options'!$M:$M,'NSE - NIFTY Index Options'!$C:$C,$A52,'NSE - NIFTY Index Options'!$B:$B,C$4,'NSE - NIFTY Index Options'!$I:$I,"MDAW*")+SUMIFS('NSE - Other Index Options'!$M:$M,'NSE - Other Index Options'!$C:$C,$A52,'NSE - Other Index Options'!$B:$B,C$4,'NSE - Other Index Options'!$I:$I,"Weekly*")+SUMIFS('NSE - Other Index Options'!$M:$M,'NSE - Other Index Options'!$C:$C,$A52,'NSE - Other Index Options'!$B:$B,C$4,'NSE - Other Index Options'!$I:$I,"MDAW*")+SUMIFS('BSE - SENSEX Index Options'!$M:$M,'BSE - SENSEX Index Options'!$C:$C,$A52,'BSE - SENSEX Index Options'!$B:$B,C$4,'BSE - SENSEX Index Options'!$I:$I,"Weekly*")+SUMIFS('BSE - SENSEX Index Options'!$M:$M,'BSE - SENSEX Index Options'!$C:$C,$A52,'BSE - SENSEX Index Options'!$B:$B,C$4,'BSE - SENSEX Index Options'!$I:$I,"MDAW*")+SUMIFS('BSE - Other Index Options'!$M:$M,'BSE - Other Index Options'!$C:$C,$A52,'BSE - Other Index Options'!$B:$B,C$4,'BSE - Other Index Options'!$I:$I,"Weekly*")+SUMIFS('BSE - Other Index Options'!$M:$M,'BSE - Other Index Options'!$C:$C,$A52,'BSE - Other Index Options'!$B:$B,C$4,'BSE - Other Index Options'!$I:$I,"MDAW*"))</f>
        <v/>
      </c>
      <c r="D52" s="26">
        <f>IF(SUMIFS('NSE - NIFTY Index Options'!$M:$M,'NSE - NIFTY Index Options'!$C:$C,$A52,'NSE - NIFTY Index Options'!$B:$B,D$4,'NSE - NIFTY Index Options'!$I:$I,"Weekly*")+SUMIFS('NSE - NIFTY Index Options'!$M:$M,'NSE - NIFTY Index Options'!$C:$C,$A52,'NSE - NIFTY Index Options'!$B:$B,D$4,'NSE - NIFTY Index Options'!$I:$I,"MDAW*")+SUMIFS('NSE - Other Index Options'!$M:$M,'NSE - Other Index Options'!$C:$C,$A52,'NSE - Other Index Options'!$B:$B,D$4,'NSE - Other Index Options'!$I:$I,"Weekly*")+SUMIFS('NSE - Other Index Options'!$M:$M,'NSE - Other Index Options'!$C:$C,$A52,'NSE - Other Index Options'!$B:$B,D$4,'NSE - Other Index Options'!$I:$I,"MDAW*")+SUMIFS('BSE - SENSEX Index Options'!$M:$M,'BSE - SENSEX Index Options'!$C:$C,$A52,'BSE - SENSEX Index Options'!$B:$B,D$4,'BSE - SENSEX Index Options'!$I:$I,"Weekly*")+SUMIFS('BSE - SENSEX Index Options'!$M:$M,'BSE - SENSEX Index Options'!$C:$C,$A52,'BSE - SENSEX Index Options'!$B:$B,D$4,'BSE - SENSEX Index Options'!$I:$I,"MDAW*")+SUMIFS('BSE - Other Index Options'!$M:$M,'BSE - Other Index Options'!$C:$C,$A52,'BSE - Other Index Options'!$B:$B,D$4,'BSE - Other Index Options'!$I:$I,"Weekly*")+SUMIFS('BSE - Other Index Options'!$M:$M,'BSE - Other Index Options'!$C:$C,$A52,'BSE - Other Index Options'!$B:$B,D$4,'BSE - Other Index Options'!$I:$I,"MDAW*")=0,"",SUMIFS('NSE - NIFTY Index Options'!$M:$M,'NSE - NIFTY Index Options'!$C:$C,$A52,'NSE - NIFTY Index Options'!$B:$B,D$4,'NSE - NIFTY Index Options'!$I:$I,"Weekly*")+SUMIFS('NSE - NIFTY Index Options'!$M:$M,'NSE - NIFTY Index Options'!$C:$C,$A52,'NSE - NIFTY Index Options'!$B:$B,D$4,'NSE - NIFTY Index Options'!$I:$I,"MDAW*")+SUMIFS('NSE - Other Index Options'!$M:$M,'NSE - Other Index Options'!$C:$C,$A52,'NSE - Other Index Options'!$B:$B,D$4,'NSE - Other Index Options'!$I:$I,"Weekly*")+SUMIFS('NSE - Other Index Options'!$M:$M,'NSE - Other Index Options'!$C:$C,$A52,'NSE - Other Index Options'!$B:$B,D$4,'NSE - Other Index Options'!$I:$I,"MDAW*")+SUMIFS('BSE - SENSEX Index Options'!$M:$M,'BSE - SENSEX Index Options'!$C:$C,$A52,'BSE - SENSEX Index Options'!$B:$B,D$4,'BSE - SENSEX Index Options'!$I:$I,"Weekly*")+SUMIFS('BSE - SENSEX Index Options'!$M:$M,'BSE - SENSEX Index Options'!$C:$C,$A52,'BSE - SENSEX Index Options'!$B:$B,D$4,'BSE - SENSEX Index Options'!$I:$I,"MDAW*")+SUMIFS('BSE - Other Index Options'!$M:$M,'BSE - Other Index Options'!$C:$C,$A52,'BSE - Other Index Options'!$B:$B,D$4,'BSE - Other Index Options'!$I:$I,"Weekly*")+SUMIFS('BSE - Other Index Options'!$M:$M,'BSE - Other Index Options'!$C:$C,$A52,'BSE - Other Index Options'!$B:$B,D$4,'BSE - Other Index Options'!$I:$I,"MDAW*"))</f>
        <v/>
      </c>
      <c r="E52" s="26">
        <f>IF(SUMIFS('NSE - NIFTY Index Options'!$M:$M,'NSE - NIFTY Index Options'!$C:$C,$A52,'NSE - NIFTY Index Options'!$B:$B,E$4,'NSE - NIFTY Index Options'!$I:$I,"Weekly*")+SUMIFS('NSE - NIFTY Index Options'!$M:$M,'NSE - NIFTY Index Options'!$C:$C,$A52,'NSE - NIFTY Index Options'!$B:$B,E$4,'NSE - NIFTY Index Options'!$I:$I,"MDAW*")+SUMIFS('NSE - Other Index Options'!$M:$M,'NSE - Other Index Options'!$C:$C,$A52,'NSE - Other Index Options'!$B:$B,E$4,'NSE - Other Index Options'!$I:$I,"Weekly*")+SUMIFS('NSE - Other Index Options'!$M:$M,'NSE - Other Index Options'!$C:$C,$A52,'NSE - Other Index Options'!$B:$B,E$4,'NSE - Other Index Options'!$I:$I,"MDAW*")+SUMIFS('BSE - SENSEX Index Options'!$M:$M,'BSE - SENSEX Index Options'!$C:$C,$A52,'BSE - SENSEX Index Options'!$B:$B,E$4,'BSE - SENSEX Index Options'!$I:$I,"Weekly*")+SUMIFS('BSE - SENSEX Index Options'!$M:$M,'BSE - SENSEX Index Options'!$C:$C,$A52,'BSE - SENSEX Index Options'!$B:$B,E$4,'BSE - SENSEX Index Options'!$I:$I,"MDAW*")+SUMIFS('BSE - Other Index Options'!$M:$M,'BSE - Other Index Options'!$C:$C,$A52,'BSE - Other Index Options'!$B:$B,E$4,'BSE - Other Index Options'!$I:$I,"Weekly*")+SUMIFS('BSE - Other Index Options'!$M:$M,'BSE - Other Index Options'!$C:$C,$A52,'BSE - Other Index Options'!$B:$B,E$4,'BSE - Other Index Options'!$I:$I,"MDAW*")=0,"",SUMIFS('NSE - NIFTY Index Options'!$M:$M,'NSE - NIFTY Index Options'!$C:$C,$A52,'NSE - NIFTY Index Options'!$B:$B,E$4,'NSE - NIFTY Index Options'!$I:$I,"Weekly*")+SUMIFS('NSE - NIFTY Index Options'!$M:$M,'NSE - NIFTY Index Options'!$C:$C,$A52,'NSE - NIFTY Index Options'!$B:$B,E$4,'NSE - NIFTY Index Options'!$I:$I,"MDAW*")+SUMIFS('NSE - Other Index Options'!$M:$M,'NSE - Other Index Options'!$C:$C,$A52,'NSE - Other Index Options'!$B:$B,E$4,'NSE - Other Index Options'!$I:$I,"Weekly*")+SUMIFS('NSE - Other Index Options'!$M:$M,'NSE - Other Index Options'!$C:$C,$A52,'NSE - Other Index Options'!$B:$B,E$4,'NSE - Other Index Options'!$I:$I,"MDAW*")+SUMIFS('BSE - SENSEX Index Options'!$M:$M,'BSE - SENSEX Index Options'!$C:$C,$A52,'BSE - SENSEX Index Options'!$B:$B,E$4,'BSE - SENSEX Index Options'!$I:$I,"Weekly*")+SUMIFS('BSE - SENSEX Index Options'!$M:$M,'BSE - SENSEX Index Options'!$C:$C,$A52,'BSE - SENSEX Index Options'!$B:$B,E$4,'BSE - SENSEX Index Options'!$I:$I,"MDAW*")+SUMIFS('BSE - Other Index Options'!$M:$M,'BSE - Other Index Options'!$C:$C,$A52,'BSE - Other Index Options'!$B:$B,E$4,'BSE - Other Index Options'!$I:$I,"Weekly*")+SUMIFS('BSE - Other Index Options'!$M:$M,'BSE - Other Index Options'!$C:$C,$A52,'BSE - Other Index Options'!$B:$B,E$4,'BSE - Other Index Options'!$I:$I,"MDAW*"))</f>
        <v/>
      </c>
      <c r="F52" s="26">
        <f>IF(SUMIFS('NSE - NIFTY Index Options'!$M:$M,'NSE - NIFTY Index Options'!$C:$C,$A52,'NSE - NIFTY Index Options'!$B:$B,F$4,'NSE - NIFTY Index Options'!$I:$I,"Weekly*")+SUMIFS('NSE - NIFTY Index Options'!$M:$M,'NSE - NIFTY Index Options'!$C:$C,$A52,'NSE - NIFTY Index Options'!$B:$B,F$4,'NSE - NIFTY Index Options'!$I:$I,"MDAW*")+SUMIFS('NSE - Other Index Options'!$M:$M,'NSE - Other Index Options'!$C:$C,$A52,'NSE - Other Index Options'!$B:$B,F$4,'NSE - Other Index Options'!$I:$I,"Weekly*")+SUMIFS('NSE - Other Index Options'!$M:$M,'NSE - Other Index Options'!$C:$C,$A52,'NSE - Other Index Options'!$B:$B,F$4,'NSE - Other Index Options'!$I:$I,"MDAW*")+SUMIFS('BSE - SENSEX Index Options'!$M:$M,'BSE - SENSEX Index Options'!$C:$C,$A52,'BSE - SENSEX Index Options'!$B:$B,F$4,'BSE - SENSEX Index Options'!$I:$I,"Weekly*")+SUMIFS('BSE - SENSEX Index Options'!$M:$M,'BSE - SENSEX Index Options'!$C:$C,$A52,'BSE - SENSEX Index Options'!$B:$B,F$4,'BSE - SENSEX Index Options'!$I:$I,"MDAW*")+SUMIFS('BSE - Other Index Options'!$M:$M,'BSE - Other Index Options'!$C:$C,$A52,'BSE - Other Index Options'!$B:$B,F$4,'BSE - Other Index Options'!$I:$I,"Weekly*")+SUMIFS('BSE - Other Index Options'!$M:$M,'BSE - Other Index Options'!$C:$C,$A52,'BSE - Other Index Options'!$B:$B,F$4,'BSE - Other Index Options'!$I:$I,"MDAW*")=0,"",SUMIFS('NSE - NIFTY Index Options'!$M:$M,'NSE - NIFTY Index Options'!$C:$C,$A52,'NSE - NIFTY Index Options'!$B:$B,F$4,'NSE - NIFTY Index Options'!$I:$I,"Weekly*")+SUMIFS('NSE - NIFTY Index Options'!$M:$M,'NSE - NIFTY Index Options'!$C:$C,$A52,'NSE - NIFTY Index Options'!$B:$B,F$4,'NSE - NIFTY Index Options'!$I:$I,"MDAW*")+SUMIFS('NSE - Other Index Options'!$M:$M,'NSE - Other Index Options'!$C:$C,$A52,'NSE - Other Index Options'!$B:$B,F$4,'NSE - Other Index Options'!$I:$I,"Weekly*")+SUMIFS('NSE - Other Index Options'!$M:$M,'NSE - Other Index Options'!$C:$C,$A52,'NSE - Other Index Options'!$B:$B,F$4,'NSE - Other Index Options'!$I:$I,"MDAW*")+SUMIFS('BSE - SENSEX Index Options'!$M:$M,'BSE - SENSEX Index Options'!$C:$C,$A52,'BSE - SENSEX Index Options'!$B:$B,F$4,'BSE - SENSEX Index Options'!$I:$I,"Weekly*")+SUMIFS('BSE - SENSEX Index Options'!$M:$M,'BSE - SENSEX Index Options'!$C:$C,$A52,'BSE - SENSEX Index Options'!$B:$B,F$4,'BSE - SENSEX Index Options'!$I:$I,"MDAW*")+SUMIFS('BSE - Other Index Options'!$M:$M,'BSE - Other Index Options'!$C:$C,$A52,'BSE - Other Index Options'!$B:$B,F$4,'BSE - Other Index Options'!$I:$I,"Weekly*")+SUMIFS('BSE - Other Index Options'!$M:$M,'BSE - Other Index Options'!$C:$C,$A52,'BSE - Other Index Options'!$B:$B,F$4,'BSE - Other Index Options'!$I:$I,"MDAW*"))</f>
        <v/>
      </c>
      <c r="G52" s="26">
        <f>IF(SUMIFS('NSE - NIFTY Index Options'!$M:$M,'NSE - NIFTY Index Options'!$C:$C,$A52,'NSE - NIFTY Index Options'!$B:$B,G$4,'NSE - NIFTY Index Options'!$I:$I,"Weekly*")+SUMIFS('NSE - NIFTY Index Options'!$M:$M,'NSE - NIFTY Index Options'!$C:$C,$A52,'NSE - NIFTY Index Options'!$B:$B,G$4,'NSE - NIFTY Index Options'!$I:$I,"MDAW*")+SUMIFS('NSE - Other Index Options'!$M:$M,'NSE - Other Index Options'!$C:$C,$A52,'NSE - Other Index Options'!$B:$B,G$4,'NSE - Other Index Options'!$I:$I,"Weekly*")+SUMIFS('NSE - Other Index Options'!$M:$M,'NSE - Other Index Options'!$C:$C,$A52,'NSE - Other Index Options'!$B:$B,G$4,'NSE - Other Index Options'!$I:$I,"MDAW*")+SUMIFS('BSE - SENSEX Index Options'!$M:$M,'BSE - SENSEX Index Options'!$C:$C,$A52,'BSE - SENSEX Index Options'!$B:$B,G$4,'BSE - SENSEX Index Options'!$I:$I,"Weekly*")+SUMIFS('BSE - SENSEX Index Options'!$M:$M,'BSE - SENSEX Index Options'!$C:$C,$A52,'BSE - SENSEX Index Options'!$B:$B,G$4,'BSE - SENSEX Index Options'!$I:$I,"MDAW*")+SUMIFS('BSE - Other Index Options'!$M:$M,'BSE - Other Index Options'!$C:$C,$A52,'BSE - Other Index Options'!$B:$B,G$4,'BSE - Other Index Options'!$I:$I,"Weekly*")+SUMIFS('BSE - Other Index Options'!$M:$M,'BSE - Other Index Options'!$C:$C,$A52,'BSE - Other Index Options'!$B:$B,G$4,'BSE - Other Index Options'!$I:$I,"MDAW*")=0,"",SUMIFS('NSE - NIFTY Index Options'!$M:$M,'NSE - NIFTY Index Options'!$C:$C,$A52,'NSE - NIFTY Index Options'!$B:$B,G$4,'NSE - NIFTY Index Options'!$I:$I,"Weekly*")+SUMIFS('NSE - NIFTY Index Options'!$M:$M,'NSE - NIFTY Index Options'!$C:$C,$A52,'NSE - NIFTY Index Options'!$B:$B,G$4,'NSE - NIFTY Index Options'!$I:$I,"MDAW*")+SUMIFS('NSE - Other Index Options'!$M:$M,'NSE - Other Index Options'!$C:$C,$A52,'NSE - Other Index Options'!$B:$B,G$4,'NSE - Other Index Options'!$I:$I,"Weekly*")+SUMIFS('NSE - Other Index Options'!$M:$M,'NSE - Other Index Options'!$C:$C,$A52,'NSE - Other Index Options'!$B:$B,G$4,'NSE - Other Index Options'!$I:$I,"MDAW*")+SUMIFS('BSE - SENSEX Index Options'!$M:$M,'BSE - SENSEX Index Options'!$C:$C,$A52,'BSE - SENSEX Index Options'!$B:$B,G$4,'BSE - SENSEX Index Options'!$I:$I,"Weekly*")+SUMIFS('BSE - SENSEX Index Options'!$M:$M,'BSE - SENSEX Index Options'!$C:$C,$A52,'BSE - SENSEX Index Options'!$B:$B,G$4,'BSE - SENSEX Index Options'!$I:$I,"MDAW*")+SUMIFS('BSE - Other Index Options'!$M:$M,'BSE - Other Index Options'!$C:$C,$A52,'BSE - Other Index Options'!$B:$B,G$4,'BSE - Other Index Options'!$I:$I,"Weekly*")+SUMIFS('BSE - Other Index Options'!$M:$M,'BSE - Other Index Options'!$C:$C,$A52,'BSE - Other Index Options'!$B:$B,G$4,'BSE - Other Index Options'!$I:$I,"MDAW*"))</f>
        <v/>
      </c>
      <c r="H52" s="26">
        <f>IF(SUM(B52:G52)=0,"",SUM(B52:G52))</f>
        <v/>
      </c>
    </row>
    <row r="53">
      <c r="A53" t="inlineStr">
        <is>
          <t>Week5-Jun-2026</t>
        </is>
      </c>
      <c r="B53" s="26">
        <f>IF(SUMIFS('NSE - NIFTY Index Options'!$M:$M,'NSE - NIFTY Index Options'!$C:$C,$A53,'NSE - NIFTY Index Options'!$B:$B,B$4,'NSE - NIFTY Index Options'!$I:$I,"Weekly*")+SUMIFS('NSE - NIFTY Index Options'!$M:$M,'NSE - NIFTY Index Options'!$C:$C,$A53,'NSE - NIFTY Index Options'!$B:$B,B$4,'NSE - NIFTY Index Options'!$I:$I,"MDAW*")+SUMIFS('NSE - Other Index Options'!$M:$M,'NSE - Other Index Options'!$C:$C,$A53,'NSE - Other Index Options'!$B:$B,B$4,'NSE - Other Index Options'!$I:$I,"Weekly*")+SUMIFS('NSE - Other Index Options'!$M:$M,'NSE - Other Index Options'!$C:$C,$A53,'NSE - Other Index Options'!$B:$B,B$4,'NSE - Other Index Options'!$I:$I,"MDAW*")+SUMIFS('BSE - SENSEX Index Options'!$M:$M,'BSE - SENSEX Index Options'!$C:$C,$A53,'BSE - SENSEX Index Options'!$B:$B,B$4,'BSE - SENSEX Index Options'!$I:$I,"Weekly*")+SUMIFS('BSE - SENSEX Index Options'!$M:$M,'BSE - SENSEX Index Options'!$C:$C,$A53,'BSE - SENSEX Index Options'!$B:$B,B$4,'BSE - SENSEX Index Options'!$I:$I,"MDAW*")+SUMIFS('BSE - Other Index Options'!$M:$M,'BSE - Other Index Options'!$C:$C,$A53,'BSE - Other Index Options'!$B:$B,B$4,'BSE - Other Index Options'!$I:$I,"Weekly*")+SUMIFS('BSE - Other Index Options'!$M:$M,'BSE - Other Index Options'!$C:$C,$A53,'BSE - Other Index Options'!$B:$B,B$4,'BSE - Other Index Options'!$I:$I,"MDAW*")=0,"",SUMIFS('NSE - NIFTY Index Options'!$M:$M,'NSE - NIFTY Index Options'!$C:$C,$A53,'NSE - NIFTY Index Options'!$B:$B,B$4,'NSE - NIFTY Index Options'!$I:$I,"Weekly*")+SUMIFS('NSE - NIFTY Index Options'!$M:$M,'NSE - NIFTY Index Options'!$C:$C,$A53,'NSE - NIFTY Index Options'!$B:$B,B$4,'NSE - NIFTY Index Options'!$I:$I,"MDAW*")+SUMIFS('NSE - Other Index Options'!$M:$M,'NSE - Other Index Options'!$C:$C,$A53,'NSE - Other Index Options'!$B:$B,B$4,'NSE - Other Index Options'!$I:$I,"Weekly*")+SUMIFS('NSE - Other Index Options'!$M:$M,'NSE - Other Index Options'!$C:$C,$A53,'NSE - Other Index Options'!$B:$B,B$4,'NSE - Other Index Options'!$I:$I,"MDAW*")+SUMIFS('BSE - SENSEX Index Options'!$M:$M,'BSE - SENSEX Index Options'!$C:$C,$A53,'BSE - SENSEX Index Options'!$B:$B,B$4,'BSE - SENSEX Index Options'!$I:$I,"Weekly*")+SUMIFS('BSE - SENSEX Index Options'!$M:$M,'BSE - SENSEX Index Options'!$C:$C,$A53,'BSE - SENSEX Index Options'!$B:$B,B$4,'BSE - SENSEX Index Options'!$I:$I,"MDAW*")+SUMIFS('BSE - Other Index Options'!$M:$M,'BSE - Other Index Options'!$C:$C,$A53,'BSE - Other Index Options'!$B:$B,B$4,'BSE - Other Index Options'!$I:$I,"Weekly*")+SUMIFS('BSE - Other Index Options'!$M:$M,'BSE - Other Index Options'!$C:$C,$A53,'BSE - Other Index Options'!$B:$B,B$4,'BSE - Other Index Options'!$I:$I,"MDAW*"))</f>
        <v/>
      </c>
      <c r="C53" s="26">
        <f>IF(SUMIFS('NSE - NIFTY Index Options'!$M:$M,'NSE - NIFTY Index Options'!$C:$C,$A53,'NSE - NIFTY Index Options'!$B:$B,C$4,'NSE - NIFTY Index Options'!$I:$I,"Weekly*")+SUMIFS('NSE - NIFTY Index Options'!$M:$M,'NSE - NIFTY Index Options'!$C:$C,$A53,'NSE - NIFTY Index Options'!$B:$B,C$4,'NSE - NIFTY Index Options'!$I:$I,"MDAW*")+SUMIFS('NSE - Other Index Options'!$M:$M,'NSE - Other Index Options'!$C:$C,$A53,'NSE - Other Index Options'!$B:$B,C$4,'NSE - Other Index Options'!$I:$I,"Weekly*")+SUMIFS('NSE - Other Index Options'!$M:$M,'NSE - Other Index Options'!$C:$C,$A53,'NSE - Other Index Options'!$B:$B,C$4,'NSE - Other Index Options'!$I:$I,"MDAW*")+SUMIFS('BSE - SENSEX Index Options'!$M:$M,'BSE - SENSEX Index Options'!$C:$C,$A53,'BSE - SENSEX Index Options'!$B:$B,C$4,'BSE - SENSEX Index Options'!$I:$I,"Weekly*")+SUMIFS('BSE - SENSEX Index Options'!$M:$M,'BSE - SENSEX Index Options'!$C:$C,$A53,'BSE - SENSEX Index Options'!$B:$B,C$4,'BSE - SENSEX Index Options'!$I:$I,"MDAW*")+SUMIFS('BSE - Other Index Options'!$M:$M,'BSE - Other Index Options'!$C:$C,$A53,'BSE - Other Index Options'!$B:$B,C$4,'BSE - Other Index Options'!$I:$I,"Weekly*")+SUMIFS('BSE - Other Index Options'!$M:$M,'BSE - Other Index Options'!$C:$C,$A53,'BSE - Other Index Options'!$B:$B,C$4,'BSE - Other Index Options'!$I:$I,"MDAW*")=0,"",SUMIFS('NSE - NIFTY Index Options'!$M:$M,'NSE - NIFTY Index Options'!$C:$C,$A53,'NSE - NIFTY Index Options'!$B:$B,C$4,'NSE - NIFTY Index Options'!$I:$I,"Weekly*")+SUMIFS('NSE - NIFTY Index Options'!$M:$M,'NSE - NIFTY Index Options'!$C:$C,$A53,'NSE - NIFTY Index Options'!$B:$B,C$4,'NSE - NIFTY Index Options'!$I:$I,"MDAW*")+SUMIFS('NSE - Other Index Options'!$M:$M,'NSE - Other Index Options'!$C:$C,$A53,'NSE - Other Index Options'!$B:$B,C$4,'NSE - Other Index Options'!$I:$I,"Weekly*")+SUMIFS('NSE - Other Index Options'!$M:$M,'NSE - Other Index Options'!$C:$C,$A53,'NSE - Other Index Options'!$B:$B,C$4,'NSE - Other Index Options'!$I:$I,"MDAW*")+SUMIFS('BSE - SENSEX Index Options'!$M:$M,'BSE - SENSEX Index Options'!$C:$C,$A53,'BSE - SENSEX Index Options'!$B:$B,C$4,'BSE - SENSEX Index Options'!$I:$I,"Weekly*")+SUMIFS('BSE - SENSEX Index Options'!$M:$M,'BSE - SENSEX Index Options'!$C:$C,$A53,'BSE - SENSEX Index Options'!$B:$B,C$4,'BSE - SENSEX Index Options'!$I:$I,"MDAW*")+SUMIFS('BSE - Other Index Options'!$M:$M,'BSE - Other Index Options'!$C:$C,$A53,'BSE - Other Index Options'!$B:$B,C$4,'BSE - Other Index Options'!$I:$I,"Weekly*")+SUMIFS('BSE - Other Index Options'!$M:$M,'BSE - Other Index Options'!$C:$C,$A53,'BSE - Other Index Options'!$B:$B,C$4,'BSE - Other Index Options'!$I:$I,"MDAW*"))</f>
        <v/>
      </c>
      <c r="D53" s="26">
        <f>IF(SUMIFS('NSE - NIFTY Index Options'!$M:$M,'NSE - NIFTY Index Options'!$C:$C,$A53,'NSE - NIFTY Index Options'!$B:$B,D$4,'NSE - NIFTY Index Options'!$I:$I,"Weekly*")+SUMIFS('NSE - NIFTY Index Options'!$M:$M,'NSE - NIFTY Index Options'!$C:$C,$A53,'NSE - NIFTY Index Options'!$B:$B,D$4,'NSE - NIFTY Index Options'!$I:$I,"MDAW*")+SUMIFS('NSE - Other Index Options'!$M:$M,'NSE - Other Index Options'!$C:$C,$A53,'NSE - Other Index Options'!$B:$B,D$4,'NSE - Other Index Options'!$I:$I,"Weekly*")+SUMIFS('NSE - Other Index Options'!$M:$M,'NSE - Other Index Options'!$C:$C,$A53,'NSE - Other Index Options'!$B:$B,D$4,'NSE - Other Index Options'!$I:$I,"MDAW*")+SUMIFS('BSE - SENSEX Index Options'!$M:$M,'BSE - SENSEX Index Options'!$C:$C,$A53,'BSE - SENSEX Index Options'!$B:$B,D$4,'BSE - SENSEX Index Options'!$I:$I,"Weekly*")+SUMIFS('BSE - SENSEX Index Options'!$M:$M,'BSE - SENSEX Index Options'!$C:$C,$A53,'BSE - SENSEX Index Options'!$B:$B,D$4,'BSE - SENSEX Index Options'!$I:$I,"MDAW*")+SUMIFS('BSE - Other Index Options'!$M:$M,'BSE - Other Index Options'!$C:$C,$A53,'BSE - Other Index Options'!$B:$B,D$4,'BSE - Other Index Options'!$I:$I,"Weekly*")+SUMIFS('BSE - Other Index Options'!$M:$M,'BSE - Other Index Options'!$C:$C,$A53,'BSE - Other Index Options'!$B:$B,D$4,'BSE - Other Index Options'!$I:$I,"MDAW*")=0,"",SUMIFS('NSE - NIFTY Index Options'!$M:$M,'NSE - NIFTY Index Options'!$C:$C,$A53,'NSE - NIFTY Index Options'!$B:$B,D$4,'NSE - NIFTY Index Options'!$I:$I,"Weekly*")+SUMIFS('NSE - NIFTY Index Options'!$M:$M,'NSE - NIFTY Index Options'!$C:$C,$A53,'NSE - NIFTY Index Options'!$B:$B,D$4,'NSE - NIFTY Index Options'!$I:$I,"MDAW*")+SUMIFS('NSE - Other Index Options'!$M:$M,'NSE - Other Index Options'!$C:$C,$A53,'NSE - Other Index Options'!$B:$B,D$4,'NSE - Other Index Options'!$I:$I,"Weekly*")+SUMIFS('NSE - Other Index Options'!$M:$M,'NSE - Other Index Options'!$C:$C,$A53,'NSE - Other Index Options'!$B:$B,D$4,'NSE - Other Index Options'!$I:$I,"MDAW*")+SUMIFS('BSE - SENSEX Index Options'!$M:$M,'BSE - SENSEX Index Options'!$C:$C,$A53,'BSE - SENSEX Index Options'!$B:$B,D$4,'BSE - SENSEX Index Options'!$I:$I,"Weekly*")+SUMIFS('BSE - SENSEX Index Options'!$M:$M,'BSE - SENSEX Index Options'!$C:$C,$A53,'BSE - SENSEX Index Options'!$B:$B,D$4,'BSE - SENSEX Index Options'!$I:$I,"MDAW*")+SUMIFS('BSE - Other Index Options'!$M:$M,'BSE - Other Index Options'!$C:$C,$A53,'BSE - Other Index Options'!$B:$B,D$4,'BSE - Other Index Options'!$I:$I,"Weekly*")+SUMIFS('BSE - Other Index Options'!$M:$M,'BSE - Other Index Options'!$C:$C,$A53,'BSE - Other Index Options'!$B:$B,D$4,'BSE - Other Index Options'!$I:$I,"MDAW*"))</f>
        <v/>
      </c>
      <c r="E53" s="26">
        <f>IF(SUMIFS('NSE - NIFTY Index Options'!$M:$M,'NSE - NIFTY Index Options'!$C:$C,$A53,'NSE - NIFTY Index Options'!$B:$B,E$4,'NSE - NIFTY Index Options'!$I:$I,"Weekly*")+SUMIFS('NSE - NIFTY Index Options'!$M:$M,'NSE - NIFTY Index Options'!$C:$C,$A53,'NSE - NIFTY Index Options'!$B:$B,E$4,'NSE - NIFTY Index Options'!$I:$I,"MDAW*")+SUMIFS('NSE - Other Index Options'!$M:$M,'NSE - Other Index Options'!$C:$C,$A53,'NSE - Other Index Options'!$B:$B,E$4,'NSE - Other Index Options'!$I:$I,"Weekly*")+SUMIFS('NSE - Other Index Options'!$M:$M,'NSE - Other Index Options'!$C:$C,$A53,'NSE - Other Index Options'!$B:$B,E$4,'NSE - Other Index Options'!$I:$I,"MDAW*")+SUMIFS('BSE - SENSEX Index Options'!$M:$M,'BSE - SENSEX Index Options'!$C:$C,$A53,'BSE - SENSEX Index Options'!$B:$B,E$4,'BSE - SENSEX Index Options'!$I:$I,"Weekly*")+SUMIFS('BSE - SENSEX Index Options'!$M:$M,'BSE - SENSEX Index Options'!$C:$C,$A53,'BSE - SENSEX Index Options'!$B:$B,E$4,'BSE - SENSEX Index Options'!$I:$I,"MDAW*")+SUMIFS('BSE - Other Index Options'!$M:$M,'BSE - Other Index Options'!$C:$C,$A53,'BSE - Other Index Options'!$B:$B,E$4,'BSE - Other Index Options'!$I:$I,"Weekly*")+SUMIFS('BSE - Other Index Options'!$M:$M,'BSE - Other Index Options'!$C:$C,$A53,'BSE - Other Index Options'!$B:$B,E$4,'BSE - Other Index Options'!$I:$I,"MDAW*")=0,"",SUMIFS('NSE - NIFTY Index Options'!$M:$M,'NSE - NIFTY Index Options'!$C:$C,$A53,'NSE - NIFTY Index Options'!$B:$B,E$4,'NSE - NIFTY Index Options'!$I:$I,"Weekly*")+SUMIFS('NSE - NIFTY Index Options'!$M:$M,'NSE - NIFTY Index Options'!$C:$C,$A53,'NSE - NIFTY Index Options'!$B:$B,E$4,'NSE - NIFTY Index Options'!$I:$I,"MDAW*")+SUMIFS('NSE - Other Index Options'!$M:$M,'NSE - Other Index Options'!$C:$C,$A53,'NSE - Other Index Options'!$B:$B,E$4,'NSE - Other Index Options'!$I:$I,"Weekly*")+SUMIFS('NSE - Other Index Options'!$M:$M,'NSE - Other Index Options'!$C:$C,$A53,'NSE - Other Index Options'!$B:$B,E$4,'NSE - Other Index Options'!$I:$I,"MDAW*")+SUMIFS('BSE - SENSEX Index Options'!$M:$M,'BSE - SENSEX Index Options'!$C:$C,$A53,'BSE - SENSEX Index Options'!$B:$B,E$4,'BSE - SENSEX Index Options'!$I:$I,"Weekly*")+SUMIFS('BSE - SENSEX Index Options'!$M:$M,'BSE - SENSEX Index Options'!$C:$C,$A53,'BSE - SENSEX Index Options'!$B:$B,E$4,'BSE - SENSEX Index Options'!$I:$I,"MDAW*")+SUMIFS('BSE - Other Index Options'!$M:$M,'BSE - Other Index Options'!$C:$C,$A53,'BSE - Other Index Options'!$B:$B,E$4,'BSE - Other Index Options'!$I:$I,"Weekly*")+SUMIFS('BSE - Other Index Options'!$M:$M,'BSE - Other Index Options'!$C:$C,$A53,'BSE - Other Index Options'!$B:$B,E$4,'BSE - Other Index Options'!$I:$I,"MDAW*"))</f>
        <v/>
      </c>
      <c r="F53" s="26">
        <f>IF(SUMIFS('NSE - NIFTY Index Options'!$M:$M,'NSE - NIFTY Index Options'!$C:$C,$A53,'NSE - NIFTY Index Options'!$B:$B,F$4,'NSE - NIFTY Index Options'!$I:$I,"Weekly*")+SUMIFS('NSE - NIFTY Index Options'!$M:$M,'NSE - NIFTY Index Options'!$C:$C,$A53,'NSE - NIFTY Index Options'!$B:$B,F$4,'NSE - NIFTY Index Options'!$I:$I,"MDAW*")+SUMIFS('NSE - Other Index Options'!$M:$M,'NSE - Other Index Options'!$C:$C,$A53,'NSE - Other Index Options'!$B:$B,F$4,'NSE - Other Index Options'!$I:$I,"Weekly*")+SUMIFS('NSE - Other Index Options'!$M:$M,'NSE - Other Index Options'!$C:$C,$A53,'NSE - Other Index Options'!$B:$B,F$4,'NSE - Other Index Options'!$I:$I,"MDAW*")+SUMIFS('BSE - SENSEX Index Options'!$M:$M,'BSE - SENSEX Index Options'!$C:$C,$A53,'BSE - SENSEX Index Options'!$B:$B,F$4,'BSE - SENSEX Index Options'!$I:$I,"Weekly*")+SUMIFS('BSE - SENSEX Index Options'!$M:$M,'BSE - SENSEX Index Options'!$C:$C,$A53,'BSE - SENSEX Index Options'!$B:$B,F$4,'BSE - SENSEX Index Options'!$I:$I,"MDAW*")+SUMIFS('BSE - Other Index Options'!$M:$M,'BSE - Other Index Options'!$C:$C,$A53,'BSE - Other Index Options'!$B:$B,F$4,'BSE - Other Index Options'!$I:$I,"Weekly*")+SUMIFS('BSE - Other Index Options'!$M:$M,'BSE - Other Index Options'!$C:$C,$A53,'BSE - Other Index Options'!$B:$B,F$4,'BSE - Other Index Options'!$I:$I,"MDAW*")=0,"",SUMIFS('NSE - NIFTY Index Options'!$M:$M,'NSE - NIFTY Index Options'!$C:$C,$A53,'NSE - NIFTY Index Options'!$B:$B,F$4,'NSE - NIFTY Index Options'!$I:$I,"Weekly*")+SUMIFS('NSE - NIFTY Index Options'!$M:$M,'NSE - NIFTY Index Options'!$C:$C,$A53,'NSE - NIFTY Index Options'!$B:$B,F$4,'NSE - NIFTY Index Options'!$I:$I,"MDAW*")+SUMIFS('NSE - Other Index Options'!$M:$M,'NSE - Other Index Options'!$C:$C,$A53,'NSE - Other Index Options'!$B:$B,F$4,'NSE - Other Index Options'!$I:$I,"Weekly*")+SUMIFS('NSE - Other Index Options'!$M:$M,'NSE - Other Index Options'!$C:$C,$A53,'NSE - Other Index Options'!$B:$B,F$4,'NSE - Other Index Options'!$I:$I,"MDAW*")+SUMIFS('BSE - SENSEX Index Options'!$M:$M,'BSE - SENSEX Index Options'!$C:$C,$A53,'BSE - SENSEX Index Options'!$B:$B,F$4,'BSE - SENSEX Index Options'!$I:$I,"Weekly*")+SUMIFS('BSE - SENSEX Index Options'!$M:$M,'BSE - SENSEX Index Options'!$C:$C,$A53,'BSE - SENSEX Index Options'!$B:$B,F$4,'BSE - SENSEX Index Options'!$I:$I,"MDAW*")+SUMIFS('BSE - Other Index Options'!$M:$M,'BSE - Other Index Options'!$C:$C,$A53,'BSE - Other Index Options'!$B:$B,F$4,'BSE - Other Index Options'!$I:$I,"Weekly*")+SUMIFS('BSE - Other Index Options'!$M:$M,'BSE - Other Index Options'!$C:$C,$A53,'BSE - Other Index Options'!$B:$B,F$4,'BSE - Other Index Options'!$I:$I,"MDAW*"))</f>
        <v/>
      </c>
      <c r="G53" s="26">
        <f>IF(SUMIFS('NSE - NIFTY Index Options'!$M:$M,'NSE - NIFTY Index Options'!$C:$C,$A53,'NSE - NIFTY Index Options'!$B:$B,G$4,'NSE - NIFTY Index Options'!$I:$I,"Weekly*")+SUMIFS('NSE - NIFTY Index Options'!$M:$M,'NSE - NIFTY Index Options'!$C:$C,$A53,'NSE - NIFTY Index Options'!$B:$B,G$4,'NSE - NIFTY Index Options'!$I:$I,"MDAW*")+SUMIFS('NSE - Other Index Options'!$M:$M,'NSE - Other Index Options'!$C:$C,$A53,'NSE - Other Index Options'!$B:$B,G$4,'NSE - Other Index Options'!$I:$I,"Weekly*")+SUMIFS('NSE - Other Index Options'!$M:$M,'NSE - Other Index Options'!$C:$C,$A53,'NSE - Other Index Options'!$B:$B,G$4,'NSE - Other Index Options'!$I:$I,"MDAW*")+SUMIFS('BSE - SENSEX Index Options'!$M:$M,'BSE - SENSEX Index Options'!$C:$C,$A53,'BSE - SENSEX Index Options'!$B:$B,G$4,'BSE - SENSEX Index Options'!$I:$I,"Weekly*")+SUMIFS('BSE - SENSEX Index Options'!$M:$M,'BSE - SENSEX Index Options'!$C:$C,$A53,'BSE - SENSEX Index Options'!$B:$B,G$4,'BSE - SENSEX Index Options'!$I:$I,"MDAW*")+SUMIFS('BSE - Other Index Options'!$M:$M,'BSE - Other Index Options'!$C:$C,$A53,'BSE - Other Index Options'!$B:$B,G$4,'BSE - Other Index Options'!$I:$I,"Weekly*")+SUMIFS('BSE - Other Index Options'!$M:$M,'BSE - Other Index Options'!$C:$C,$A53,'BSE - Other Index Options'!$B:$B,G$4,'BSE - Other Index Options'!$I:$I,"MDAW*")=0,"",SUMIFS('NSE - NIFTY Index Options'!$M:$M,'NSE - NIFTY Index Options'!$C:$C,$A53,'NSE - NIFTY Index Options'!$B:$B,G$4,'NSE - NIFTY Index Options'!$I:$I,"Weekly*")+SUMIFS('NSE - NIFTY Index Options'!$M:$M,'NSE - NIFTY Index Options'!$C:$C,$A53,'NSE - NIFTY Index Options'!$B:$B,G$4,'NSE - NIFTY Index Options'!$I:$I,"MDAW*")+SUMIFS('NSE - Other Index Options'!$M:$M,'NSE - Other Index Options'!$C:$C,$A53,'NSE - Other Index Options'!$B:$B,G$4,'NSE - Other Index Options'!$I:$I,"Weekly*")+SUMIFS('NSE - Other Index Options'!$M:$M,'NSE - Other Index Options'!$C:$C,$A53,'NSE - Other Index Options'!$B:$B,G$4,'NSE - Other Index Options'!$I:$I,"MDAW*")+SUMIFS('BSE - SENSEX Index Options'!$M:$M,'BSE - SENSEX Index Options'!$C:$C,$A53,'BSE - SENSEX Index Options'!$B:$B,G$4,'BSE - SENSEX Index Options'!$I:$I,"Weekly*")+SUMIFS('BSE - SENSEX Index Options'!$M:$M,'BSE - SENSEX Index Options'!$C:$C,$A53,'BSE - SENSEX Index Options'!$B:$B,G$4,'BSE - SENSEX Index Options'!$I:$I,"MDAW*")+SUMIFS('BSE - Other Index Options'!$M:$M,'BSE - Other Index Options'!$C:$C,$A53,'BSE - Other Index Options'!$B:$B,G$4,'BSE - Other Index Options'!$I:$I,"Weekly*")+SUMIFS('BSE - Other Index Options'!$M:$M,'BSE - Other Index Options'!$C:$C,$A53,'BSE - Other Index Options'!$B:$B,G$4,'BSE - Other Index Options'!$I:$I,"MDAW*"))</f>
        <v/>
      </c>
      <c r="H53" s="26">
        <f>IF(SUM(B53:G53)=0,"",SUM(B53:G53))</f>
        <v/>
      </c>
    </row>
    <row r="54">
      <c r="A54" t="inlineStr">
        <is>
          <t>Week1-Jul-2026</t>
        </is>
      </c>
      <c r="B54" s="26">
        <f>IF(SUMIFS('NSE - NIFTY Index Options'!$M:$M,'NSE - NIFTY Index Options'!$C:$C,$A54,'NSE - NIFTY Index Options'!$B:$B,B$4,'NSE - NIFTY Index Options'!$I:$I,"Weekly*")+SUMIFS('NSE - NIFTY Index Options'!$M:$M,'NSE - NIFTY Index Options'!$C:$C,$A54,'NSE - NIFTY Index Options'!$B:$B,B$4,'NSE - NIFTY Index Options'!$I:$I,"MDAW*")+SUMIFS('NSE - Other Index Options'!$M:$M,'NSE - Other Index Options'!$C:$C,$A54,'NSE - Other Index Options'!$B:$B,B$4,'NSE - Other Index Options'!$I:$I,"Weekly*")+SUMIFS('NSE - Other Index Options'!$M:$M,'NSE - Other Index Options'!$C:$C,$A54,'NSE - Other Index Options'!$B:$B,B$4,'NSE - Other Index Options'!$I:$I,"MDAW*")+SUMIFS('BSE - SENSEX Index Options'!$M:$M,'BSE - SENSEX Index Options'!$C:$C,$A54,'BSE - SENSEX Index Options'!$B:$B,B$4,'BSE - SENSEX Index Options'!$I:$I,"Weekly*")+SUMIFS('BSE - SENSEX Index Options'!$M:$M,'BSE - SENSEX Index Options'!$C:$C,$A54,'BSE - SENSEX Index Options'!$B:$B,B$4,'BSE - SENSEX Index Options'!$I:$I,"MDAW*")+SUMIFS('BSE - Other Index Options'!$M:$M,'BSE - Other Index Options'!$C:$C,$A54,'BSE - Other Index Options'!$B:$B,B$4,'BSE - Other Index Options'!$I:$I,"Weekly*")+SUMIFS('BSE - Other Index Options'!$M:$M,'BSE - Other Index Options'!$C:$C,$A54,'BSE - Other Index Options'!$B:$B,B$4,'BSE - Other Index Options'!$I:$I,"MDAW*")=0,"",SUMIFS('NSE - NIFTY Index Options'!$M:$M,'NSE - NIFTY Index Options'!$C:$C,$A54,'NSE - NIFTY Index Options'!$B:$B,B$4,'NSE - NIFTY Index Options'!$I:$I,"Weekly*")+SUMIFS('NSE - NIFTY Index Options'!$M:$M,'NSE - NIFTY Index Options'!$C:$C,$A54,'NSE - NIFTY Index Options'!$B:$B,B$4,'NSE - NIFTY Index Options'!$I:$I,"MDAW*")+SUMIFS('NSE - Other Index Options'!$M:$M,'NSE - Other Index Options'!$C:$C,$A54,'NSE - Other Index Options'!$B:$B,B$4,'NSE - Other Index Options'!$I:$I,"Weekly*")+SUMIFS('NSE - Other Index Options'!$M:$M,'NSE - Other Index Options'!$C:$C,$A54,'NSE - Other Index Options'!$B:$B,B$4,'NSE - Other Index Options'!$I:$I,"MDAW*")+SUMIFS('BSE - SENSEX Index Options'!$M:$M,'BSE - SENSEX Index Options'!$C:$C,$A54,'BSE - SENSEX Index Options'!$B:$B,B$4,'BSE - SENSEX Index Options'!$I:$I,"Weekly*")+SUMIFS('BSE - SENSEX Index Options'!$M:$M,'BSE - SENSEX Index Options'!$C:$C,$A54,'BSE - SENSEX Index Options'!$B:$B,B$4,'BSE - SENSEX Index Options'!$I:$I,"MDAW*")+SUMIFS('BSE - Other Index Options'!$M:$M,'BSE - Other Index Options'!$C:$C,$A54,'BSE - Other Index Options'!$B:$B,B$4,'BSE - Other Index Options'!$I:$I,"Weekly*")+SUMIFS('BSE - Other Index Options'!$M:$M,'BSE - Other Index Options'!$C:$C,$A54,'BSE - Other Index Options'!$B:$B,B$4,'BSE - Other Index Options'!$I:$I,"MDAW*"))</f>
        <v/>
      </c>
      <c r="C54" s="26">
        <f>IF(SUMIFS('NSE - NIFTY Index Options'!$M:$M,'NSE - NIFTY Index Options'!$C:$C,$A54,'NSE - NIFTY Index Options'!$B:$B,C$4,'NSE - NIFTY Index Options'!$I:$I,"Weekly*")+SUMIFS('NSE - NIFTY Index Options'!$M:$M,'NSE - NIFTY Index Options'!$C:$C,$A54,'NSE - NIFTY Index Options'!$B:$B,C$4,'NSE - NIFTY Index Options'!$I:$I,"MDAW*")+SUMIFS('NSE - Other Index Options'!$M:$M,'NSE - Other Index Options'!$C:$C,$A54,'NSE - Other Index Options'!$B:$B,C$4,'NSE - Other Index Options'!$I:$I,"Weekly*")+SUMIFS('NSE - Other Index Options'!$M:$M,'NSE - Other Index Options'!$C:$C,$A54,'NSE - Other Index Options'!$B:$B,C$4,'NSE - Other Index Options'!$I:$I,"MDAW*")+SUMIFS('BSE - SENSEX Index Options'!$M:$M,'BSE - SENSEX Index Options'!$C:$C,$A54,'BSE - SENSEX Index Options'!$B:$B,C$4,'BSE - SENSEX Index Options'!$I:$I,"Weekly*")+SUMIFS('BSE - SENSEX Index Options'!$M:$M,'BSE - SENSEX Index Options'!$C:$C,$A54,'BSE - SENSEX Index Options'!$B:$B,C$4,'BSE - SENSEX Index Options'!$I:$I,"MDAW*")+SUMIFS('BSE - Other Index Options'!$M:$M,'BSE - Other Index Options'!$C:$C,$A54,'BSE - Other Index Options'!$B:$B,C$4,'BSE - Other Index Options'!$I:$I,"Weekly*")+SUMIFS('BSE - Other Index Options'!$M:$M,'BSE - Other Index Options'!$C:$C,$A54,'BSE - Other Index Options'!$B:$B,C$4,'BSE - Other Index Options'!$I:$I,"MDAW*")=0,"",SUMIFS('NSE - NIFTY Index Options'!$M:$M,'NSE - NIFTY Index Options'!$C:$C,$A54,'NSE - NIFTY Index Options'!$B:$B,C$4,'NSE - NIFTY Index Options'!$I:$I,"Weekly*")+SUMIFS('NSE - NIFTY Index Options'!$M:$M,'NSE - NIFTY Index Options'!$C:$C,$A54,'NSE - NIFTY Index Options'!$B:$B,C$4,'NSE - NIFTY Index Options'!$I:$I,"MDAW*")+SUMIFS('NSE - Other Index Options'!$M:$M,'NSE - Other Index Options'!$C:$C,$A54,'NSE - Other Index Options'!$B:$B,C$4,'NSE - Other Index Options'!$I:$I,"Weekly*")+SUMIFS('NSE - Other Index Options'!$M:$M,'NSE - Other Index Options'!$C:$C,$A54,'NSE - Other Index Options'!$B:$B,C$4,'NSE - Other Index Options'!$I:$I,"MDAW*")+SUMIFS('BSE - SENSEX Index Options'!$M:$M,'BSE - SENSEX Index Options'!$C:$C,$A54,'BSE - SENSEX Index Options'!$B:$B,C$4,'BSE - SENSEX Index Options'!$I:$I,"Weekly*")+SUMIFS('BSE - SENSEX Index Options'!$M:$M,'BSE - SENSEX Index Options'!$C:$C,$A54,'BSE - SENSEX Index Options'!$B:$B,C$4,'BSE - SENSEX Index Options'!$I:$I,"MDAW*")+SUMIFS('BSE - Other Index Options'!$M:$M,'BSE - Other Index Options'!$C:$C,$A54,'BSE - Other Index Options'!$B:$B,C$4,'BSE - Other Index Options'!$I:$I,"Weekly*")+SUMIFS('BSE - Other Index Options'!$M:$M,'BSE - Other Index Options'!$C:$C,$A54,'BSE - Other Index Options'!$B:$B,C$4,'BSE - Other Index Options'!$I:$I,"MDAW*"))</f>
        <v/>
      </c>
      <c r="D54" s="26">
        <f>IF(SUMIFS('NSE - NIFTY Index Options'!$M:$M,'NSE - NIFTY Index Options'!$C:$C,$A54,'NSE - NIFTY Index Options'!$B:$B,D$4,'NSE - NIFTY Index Options'!$I:$I,"Weekly*")+SUMIFS('NSE - NIFTY Index Options'!$M:$M,'NSE - NIFTY Index Options'!$C:$C,$A54,'NSE - NIFTY Index Options'!$B:$B,D$4,'NSE - NIFTY Index Options'!$I:$I,"MDAW*")+SUMIFS('NSE - Other Index Options'!$M:$M,'NSE - Other Index Options'!$C:$C,$A54,'NSE - Other Index Options'!$B:$B,D$4,'NSE - Other Index Options'!$I:$I,"Weekly*")+SUMIFS('NSE - Other Index Options'!$M:$M,'NSE - Other Index Options'!$C:$C,$A54,'NSE - Other Index Options'!$B:$B,D$4,'NSE - Other Index Options'!$I:$I,"MDAW*")+SUMIFS('BSE - SENSEX Index Options'!$M:$M,'BSE - SENSEX Index Options'!$C:$C,$A54,'BSE - SENSEX Index Options'!$B:$B,D$4,'BSE - SENSEX Index Options'!$I:$I,"Weekly*")+SUMIFS('BSE - SENSEX Index Options'!$M:$M,'BSE - SENSEX Index Options'!$C:$C,$A54,'BSE - SENSEX Index Options'!$B:$B,D$4,'BSE - SENSEX Index Options'!$I:$I,"MDAW*")+SUMIFS('BSE - Other Index Options'!$M:$M,'BSE - Other Index Options'!$C:$C,$A54,'BSE - Other Index Options'!$B:$B,D$4,'BSE - Other Index Options'!$I:$I,"Weekly*")+SUMIFS('BSE - Other Index Options'!$M:$M,'BSE - Other Index Options'!$C:$C,$A54,'BSE - Other Index Options'!$B:$B,D$4,'BSE - Other Index Options'!$I:$I,"MDAW*")=0,"",SUMIFS('NSE - NIFTY Index Options'!$M:$M,'NSE - NIFTY Index Options'!$C:$C,$A54,'NSE - NIFTY Index Options'!$B:$B,D$4,'NSE - NIFTY Index Options'!$I:$I,"Weekly*")+SUMIFS('NSE - NIFTY Index Options'!$M:$M,'NSE - NIFTY Index Options'!$C:$C,$A54,'NSE - NIFTY Index Options'!$B:$B,D$4,'NSE - NIFTY Index Options'!$I:$I,"MDAW*")+SUMIFS('NSE - Other Index Options'!$M:$M,'NSE - Other Index Options'!$C:$C,$A54,'NSE - Other Index Options'!$B:$B,D$4,'NSE - Other Index Options'!$I:$I,"Weekly*")+SUMIFS('NSE - Other Index Options'!$M:$M,'NSE - Other Index Options'!$C:$C,$A54,'NSE - Other Index Options'!$B:$B,D$4,'NSE - Other Index Options'!$I:$I,"MDAW*")+SUMIFS('BSE - SENSEX Index Options'!$M:$M,'BSE - SENSEX Index Options'!$C:$C,$A54,'BSE - SENSEX Index Options'!$B:$B,D$4,'BSE - SENSEX Index Options'!$I:$I,"Weekly*")+SUMIFS('BSE - SENSEX Index Options'!$M:$M,'BSE - SENSEX Index Options'!$C:$C,$A54,'BSE - SENSEX Index Options'!$B:$B,D$4,'BSE - SENSEX Index Options'!$I:$I,"MDAW*")+SUMIFS('BSE - Other Index Options'!$M:$M,'BSE - Other Index Options'!$C:$C,$A54,'BSE - Other Index Options'!$B:$B,D$4,'BSE - Other Index Options'!$I:$I,"Weekly*")+SUMIFS('BSE - Other Index Options'!$M:$M,'BSE - Other Index Options'!$C:$C,$A54,'BSE - Other Index Options'!$B:$B,D$4,'BSE - Other Index Options'!$I:$I,"MDAW*"))</f>
        <v/>
      </c>
      <c r="E54" s="26">
        <f>IF(SUMIFS('NSE - NIFTY Index Options'!$M:$M,'NSE - NIFTY Index Options'!$C:$C,$A54,'NSE - NIFTY Index Options'!$B:$B,E$4,'NSE - NIFTY Index Options'!$I:$I,"Weekly*")+SUMIFS('NSE - NIFTY Index Options'!$M:$M,'NSE - NIFTY Index Options'!$C:$C,$A54,'NSE - NIFTY Index Options'!$B:$B,E$4,'NSE - NIFTY Index Options'!$I:$I,"MDAW*")+SUMIFS('NSE - Other Index Options'!$M:$M,'NSE - Other Index Options'!$C:$C,$A54,'NSE - Other Index Options'!$B:$B,E$4,'NSE - Other Index Options'!$I:$I,"Weekly*")+SUMIFS('NSE - Other Index Options'!$M:$M,'NSE - Other Index Options'!$C:$C,$A54,'NSE - Other Index Options'!$B:$B,E$4,'NSE - Other Index Options'!$I:$I,"MDAW*")+SUMIFS('BSE - SENSEX Index Options'!$M:$M,'BSE - SENSEX Index Options'!$C:$C,$A54,'BSE - SENSEX Index Options'!$B:$B,E$4,'BSE - SENSEX Index Options'!$I:$I,"Weekly*")+SUMIFS('BSE - SENSEX Index Options'!$M:$M,'BSE - SENSEX Index Options'!$C:$C,$A54,'BSE - SENSEX Index Options'!$B:$B,E$4,'BSE - SENSEX Index Options'!$I:$I,"MDAW*")+SUMIFS('BSE - Other Index Options'!$M:$M,'BSE - Other Index Options'!$C:$C,$A54,'BSE - Other Index Options'!$B:$B,E$4,'BSE - Other Index Options'!$I:$I,"Weekly*")+SUMIFS('BSE - Other Index Options'!$M:$M,'BSE - Other Index Options'!$C:$C,$A54,'BSE - Other Index Options'!$B:$B,E$4,'BSE - Other Index Options'!$I:$I,"MDAW*")=0,"",SUMIFS('NSE - NIFTY Index Options'!$M:$M,'NSE - NIFTY Index Options'!$C:$C,$A54,'NSE - NIFTY Index Options'!$B:$B,E$4,'NSE - NIFTY Index Options'!$I:$I,"Weekly*")+SUMIFS('NSE - NIFTY Index Options'!$M:$M,'NSE - NIFTY Index Options'!$C:$C,$A54,'NSE - NIFTY Index Options'!$B:$B,E$4,'NSE - NIFTY Index Options'!$I:$I,"MDAW*")+SUMIFS('NSE - Other Index Options'!$M:$M,'NSE - Other Index Options'!$C:$C,$A54,'NSE - Other Index Options'!$B:$B,E$4,'NSE - Other Index Options'!$I:$I,"Weekly*")+SUMIFS('NSE - Other Index Options'!$M:$M,'NSE - Other Index Options'!$C:$C,$A54,'NSE - Other Index Options'!$B:$B,E$4,'NSE - Other Index Options'!$I:$I,"MDAW*")+SUMIFS('BSE - SENSEX Index Options'!$M:$M,'BSE - SENSEX Index Options'!$C:$C,$A54,'BSE - SENSEX Index Options'!$B:$B,E$4,'BSE - SENSEX Index Options'!$I:$I,"Weekly*")+SUMIFS('BSE - SENSEX Index Options'!$M:$M,'BSE - SENSEX Index Options'!$C:$C,$A54,'BSE - SENSEX Index Options'!$B:$B,E$4,'BSE - SENSEX Index Options'!$I:$I,"MDAW*")+SUMIFS('BSE - Other Index Options'!$M:$M,'BSE - Other Index Options'!$C:$C,$A54,'BSE - Other Index Options'!$B:$B,E$4,'BSE - Other Index Options'!$I:$I,"Weekly*")+SUMIFS('BSE - Other Index Options'!$M:$M,'BSE - Other Index Options'!$C:$C,$A54,'BSE - Other Index Options'!$B:$B,E$4,'BSE - Other Index Options'!$I:$I,"MDAW*"))</f>
        <v/>
      </c>
      <c r="F54" s="26">
        <f>IF(SUMIFS('NSE - NIFTY Index Options'!$M:$M,'NSE - NIFTY Index Options'!$C:$C,$A54,'NSE - NIFTY Index Options'!$B:$B,F$4,'NSE - NIFTY Index Options'!$I:$I,"Weekly*")+SUMIFS('NSE - NIFTY Index Options'!$M:$M,'NSE - NIFTY Index Options'!$C:$C,$A54,'NSE - NIFTY Index Options'!$B:$B,F$4,'NSE - NIFTY Index Options'!$I:$I,"MDAW*")+SUMIFS('NSE - Other Index Options'!$M:$M,'NSE - Other Index Options'!$C:$C,$A54,'NSE - Other Index Options'!$B:$B,F$4,'NSE - Other Index Options'!$I:$I,"Weekly*")+SUMIFS('NSE - Other Index Options'!$M:$M,'NSE - Other Index Options'!$C:$C,$A54,'NSE - Other Index Options'!$B:$B,F$4,'NSE - Other Index Options'!$I:$I,"MDAW*")+SUMIFS('BSE - SENSEX Index Options'!$M:$M,'BSE - SENSEX Index Options'!$C:$C,$A54,'BSE - SENSEX Index Options'!$B:$B,F$4,'BSE - SENSEX Index Options'!$I:$I,"Weekly*")+SUMIFS('BSE - SENSEX Index Options'!$M:$M,'BSE - SENSEX Index Options'!$C:$C,$A54,'BSE - SENSEX Index Options'!$B:$B,F$4,'BSE - SENSEX Index Options'!$I:$I,"MDAW*")+SUMIFS('BSE - Other Index Options'!$M:$M,'BSE - Other Index Options'!$C:$C,$A54,'BSE - Other Index Options'!$B:$B,F$4,'BSE - Other Index Options'!$I:$I,"Weekly*")+SUMIFS('BSE - Other Index Options'!$M:$M,'BSE - Other Index Options'!$C:$C,$A54,'BSE - Other Index Options'!$B:$B,F$4,'BSE - Other Index Options'!$I:$I,"MDAW*")=0,"",SUMIFS('NSE - NIFTY Index Options'!$M:$M,'NSE - NIFTY Index Options'!$C:$C,$A54,'NSE - NIFTY Index Options'!$B:$B,F$4,'NSE - NIFTY Index Options'!$I:$I,"Weekly*")+SUMIFS('NSE - NIFTY Index Options'!$M:$M,'NSE - NIFTY Index Options'!$C:$C,$A54,'NSE - NIFTY Index Options'!$B:$B,F$4,'NSE - NIFTY Index Options'!$I:$I,"MDAW*")+SUMIFS('NSE - Other Index Options'!$M:$M,'NSE - Other Index Options'!$C:$C,$A54,'NSE - Other Index Options'!$B:$B,F$4,'NSE - Other Index Options'!$I:$I,"Weekly*")+SUMIFS('NSE - Other Index Options'!$M:$M,'NSE - Other Index Options'!$C:$C,$A54,'NSE - Other Index Options'!$B:$B,F$4,'NSE - Other Index Options'!$I:$I,"MDAW*")+SUMIFS('BSE - SENSEX Index Options'!$M:$M,'BSE - SENSEX Index Options'!$C:$C,$A54,'BSE - SENSEX Index Options'!$B:$B,F$4,'BSE - SENSEX Index Options'!$I:$I,"Weekly*")+SUMIFS('BSE - SENSEX Index Options'!$M:$M,'BSE - SENSEX Index Options'!$C:$C,$A54,'BSE - SENSEX Index Options'!$B:$B,F$4,'BSE - SENSEX Index Options'!$I:$I,"MDAW*")+SUMIFS('BSE - Other Index Options'!$M:$M,'BSE - Other Index Options'!$C:$C,$A54,'BSE - Other Index Options'!$B:$B,F$4,'BSE - Other Index Options'!$I:$I,"Weekly*")+SUMIFS('BSE - Other Index Options'!$M:$M,'BSE - Other Index Options'!$C:$C,$A54,'BSE - Other Index Options'!$B:$B,F$4,'BSE - Other Index Options'!$I:$I,"MDAW*"))</f>
        <v/>
      </c>
      <c r="G54" s="26">
        <f>IF(SUMIFS('NSE - NIFTY Index Options'!$M:$M,'NSE - NIFTY Index Options'!$C:$C,$A54,'NSE - NIFTY Index Options'!$B:$B,G$4,'NSE - NIFTY Index Options'!$I:$I,"Weekly*")+SUMIFS('NSE - NIFTY Index Options'!$M:$M,'NSE - NIFTY Index Options'!$C:$C,$A54,'NSE - NIFTY Index Options'!$B:$B,G$4,'NSE - NIFTY Index Options'!$I:$I,"MDAW*")+SUMIFS('NSE - Other Index Options'!$M:$M,'NSE - Other Index Options'!$C:$C,$A54,'NSE - Other Index Options'!$B:$B,G$4,'NSE - Other Index Options'!$I:$I,"Weekly*")+SUMIFS('NSE - Other Index Options'!$M:$M,'NSE - Other Index Options'!$C:$C,$A54,'NSE - Other Index Options'!$B:$B,G$4,'NSE - Other Index Options'!$I:$I,"MDAW*")+SUMIFS('BSE - SENSEX Index Options'!$M:$M,'BSE - SENSEX Index Options'!$C:$C,$A54,'BSE - SENSEX Index Options'!$B:$B,G$4,'BSE - SENSEX Index Options'!$I:$I,"Weekly*")+SUMIFS('BSE - SENSEX Index Options'!$M:$M,'BSE - SENSEX Index Options'!$C:$C,$A54,'BSE - SENSEX Index Options'!$B:$B,G$4,'BSE - SENSEX Index Options'!$I:$I,"MDAW*")+SUMIFS('BSE - Other Index Options'!$M:$M,'BSE - Other Index Options'!$C:$C,$A54,'BSE - Other Index Options'!$B:$B,G$4,'BSE - Other Index Options'!$I:$I,"Weekly*")+SUMIFS('BSE - Other Index Options'!$M:$M,'BSE - Other Index Options'!$C:$C,$A54,'BSE - Other Index Options'!$B:$B,G$4,'BSE - Other Index Options'!$I:$I,"MDAW*")=0,"",SUMIFS('NSE - NIFTY Index Options'!$M:$M,'NSE - NIFTY Index Options'!$C:$C,$A54,'NSE - NIFTY Index Options'!$B:$B,G$4,'NSE - NIFTY Index Options'!$I:$I,"Weekly*")+SUMIFS('NSE - NIFTY Index Options'!$M:$M,'NSE - NIFTY Index Options'!$C:$C,$A54,'NSE - NIFTY Index Options'!$B:$B,G$4,'NSE - NIFTY Index Options'!$I:$I,"MDAW*")+SUMIFS('NSE - Other Index Options'!$M:$M,'NSE - Other Index Options'!$C:$C,$A54,'NSE - Other Index Options'!$B:$B,G$4,'NSE - Other Index Options'!$I:$I,"Weekly*")+SUMIFS('NSE - Other Index Options'!$M:$M,'NSE - Other Index Options'!$C:$C,$A54,'NSE - Other Index Options'!$B:$B,G$4,'NSE - Other Index Options'!$I:$I,"MDAW*")+SUMIFS('BSE - SENSEX Index Options'!$M:$M,'BSE - SENSEX Index Options'!$C:$C,$A54,'BSE - SENSEX Index Options'!$B:$B,G$4,'BSE - SENSEX Index Options'!$I:$I,"Weekly*")+SUMIFS('BSE - SENSEX Index Options'!$M:$M,'BSE - SENSEX Index Options'!$C:$C,$A54,'BSE - SENSEX Index Options'!$B:$B,G$4,'BSE - SENSEX Index Options'!$I:$I,"MDAW*")+SUMIFS('BSE - Other Index Options'!$M:$M,'BSE - Other Index Options'!$C:$C,$A54,'BSE - Other Index Options'!$B:$B,G$4,'BSE - Other Index Options'!$I:$I,"Weekly*")+SUMIFS('BSE - Other Index Options'!$M:$M,'BSE - Other Index Options'!$C:$C,$A54,'BSE - Other Index Options'!$B:$B,G$4,'BSE - Other Index Options'!$I:$I,"MDAW*"))</f>
        <v/>
      </c>
      <c r="H54" s="26">
        <f>IF(SUM(B54:G54)=0,"",SUM(B54:G54))</f>
        <v/>
      </c>
    </row>
    <row r="55">
      <c r="A55" t="inlineStr">
        <is>
          <t>Week2-Jul-2026</t>
        </is>
      </c>
      <c r="B55" s="26">
        <f>IF(SUMIFS('NSE - NIFTY Index Options'!$M:$M,'NSE - NIFTY Index Options'!$C:$C,$A55,'NSE - NIFTY Index Options'!$B:$B,B$4,'NSE - NIFTY Index Options'!$I:$I,"Weekly*")+SUMIFS('NSE - NIFTY Index Options'!$M:$M,'NSE - NIFTY Index Options'!$C:$C,$A55,'NSE - NIFTY Index Options'!$B:$B,B$4,'NSE - NIFTY Index Options'!$I:$I,"MDAW*")+SUMIFS('NSE - Other Index Options'!$M:$M,'NSE - Other Index Options'!$C:$C,$A55,'NSE - Other Index Options'!$B:$B,B$4,'NSE - Other Index Options'!$I:$I,"Weekly*")+SUMIFS('NSE - Other Index Options'!$M:$M,'NSE - Other Index Options'!$C:$C,$A55,'NSE - Other Index Options'!$B:$B,B$4,'NSE - Other Index Options'!$I:$I,"MDAW*")+SUMIFS('BSE - SENSEX Index Options'!$M:$M,'BSE - SENSEX Index Options'!$C:$C,$A55,'BSE - SENSEX Index Options'!$B:$B,B$4,'BSE - SENSEX Index Options'!$I:$I,"Weekly*")+SUMIFS('BSE - SENSEX Index Options'!$M:$M,'BSE - SENSEX Index Options'!$C:$C,$A55,'BSE - SENSEX Index Options'!$B:$B,B$4,'BSE - SENSEX Index Options'!$I:$I,"MDAW*")+SUMIFS('BSE - Other Index Options'!$M:$M,'BSE - Other Index Options'!$C:$C,$A55,'BSE - Other Index Options'!$B:$B,B$4,'BSE - Other Index Options'!$I:$I,"Weekly*")+SUMIFS('BSE - Other Index Options'!$M:$M,'BSE - Other Index Options'!$C:$C,$A55,'BSE - Other Index Options'!$B:$B,B$4,'BSE - Other Index Options'!$I:$I,"MDAW*")=0,"",SUMIFS('NSE - NIFTY Index Options'!$M:$M,'NSE - NIFTY Index Options'!$C:$C,$A55,'NSE - NIFTY Index Options'!$B:$B,B$4,'NSE - NIFTY Index Options'!$I:$I,"Weekly*")+SUMIFS('NSE - NIFTY Index Options'!$M:$M,'NSE - NIFTY Index Options'!$C:$C,$A55,'NSE - NIFTY Index Options'!$B:$B,B$4,'NSE - NIFTY Index Options'!$I:$I,"MDAW*")+SUMIFS('NSE - Other Index Options'!$M:$M,'NSE - Other Index Options'!$C:$C,$A55,'NSE - Other Index Options'!$B:$B,B$4,'NSE - Other Index Options'!$I:$I,"Weekly*")+SUMIFS('NSE - Other Index Options'!$M:$M,'NSE - Other Index Options'!$C:$C,$A55,'NSE - Other Index Options'!$B:$B,B$4,'NSE - Other Index Options'!$I:$I,"MDAW*")+SUMIFS('BSE - SENSEX Index Options'!$M:$M,'BSE - SENSEX Index Options'!$C:$C,$A55,'BSE - SENSEX Index Options'!$B:$B,B$4,'BSE - SENSEX Index Options'!$I:$I,"Weekly*")+SUMIFS('BSE - SENSEX Index Options'!$M:$M,'BSE - SENSEX Index Options'!$C:$C,$A55,'BSE - SENSEX Index Options'!$B:$B,B$4,'BSE - SENSEX Index Options'!$I:$I,"MDAW*")+SUMIFS('BSE - Other Index Options'!$M:$M,'BSE - Other Index Options'!$C:$C,$A55,'BSE - Other Index Options'!$B:$B,B$4,'BSE - Other Index Options'!$I:$I,"Weekly*")+SUMIFS('BSE - Other Index Options'!$M:$M,'BSE - Other Index Options'!$C:$C,$A55,'BSE - Other Index Options'!$B:$B,B$4,'BSE - Other Index Options'!$I:$I,"MDAW*"))</f>
        <v/>
      </c>
      <c r="C55" s="26">
        <f>IF(SUMIFS('NSE - NIFTY Index Options'!$M:$M,'NSE - NIFTY Index Options'!$C:$C,$A55,'NSE - NIFTY Index Options'!$B:$B,C$4,'NSE - NIFTY Index Options'!$I:$I,"Weekly*")+SUMIFS('NSE - NIFTY Index Options'!$M:$M,'NSE - NIFTY Index Options'!$C:$C,$A55,'NSE - NIFTY Index Options'!$B:$B,C$4,'NSE - NIFTY Index Options'!$I:$I,"MDAW*")+SUMIFS('NSE - Other Index Options'!$M:$M,'NSE - Other Index Options'!$C:$C,$A55,'NSE - Other Index Options'!$B:$B,C$4,'NSE - Other Index Options'!$I:$I,"Weekly*")+SUMIFS('NSE - Other Index Options'!$M:$M,'NSE - Other Index Options'!$C:$C,$A55,'NSE - Other Index Options'!$B:$B,C$4,'NSE - Other Index Options'!$I:$I,"MDAW*")+SUMIFS('BSE - SENSEX Index Options'!$M:$M,'BSE - SENSEX Index Options'!$C:$C,$A55,'BSE - SENSEX Index Options'!$B:$B,C$4,'BSE - SENSEX Index Options'!$I:$I,"Weekly*")+SUMIFS('BSE - SENSEX Index Options'!$M:$M,'BSE - SENSEX Index Options'!$C:$C,$A55,'BSE - SENSEX Index Options'!$B:$B,C$4,'BSE - SENSEX Index Options'!$I:$I,"MDAW*")+SUMIFS('BSE - Other Index Options'!$M:$M,'BSE - Other Index Options'!$C:$C,$A55,'BSE - Other Index Options'!$B:$B,C$4,'BSE - Other Index Options'!$I:$I,"Weekly*")+SUMIFS('BSE - Other Index Options'!$M:$M,'BSE - Other Index Options'!$C:$C,$A55,'BSE - Other Index Options'!$B:$B,C$4,'BSE - Other Index Options'!$I:$I,"MDAW*")=0,"",SUMIFS('NSE - NIFTY Index Options'!$M:$M,'NSE - NIFTY Index Options'!$C:$C,$A55,'NSE - NIFTY Index Options'!$B:$B,C$4,'NSE - NIFTY Index Options'!$I:$I,"Weekly*")+SUMIFS('NSE - NIFTY Index Options'!$M:$M,'NSE - NIFTY Index Options'!$C:$C,$A55,'NSE - NIFTY Index Options'!$B:$B,C$4,'NSE - NIFTY Index Options'!$I:$I,"MDAW*")+SUMIFS('NSE - Other Index Options'!$M:$M,'NSE - Other Index Options'!$C:$C,$A55,'NSE - Other Index Options'!$B:$B,C$4,'NSE - Other Index Options'!$I:$I,"Weekly*")+SUMIFS('NSE - Other Index Options'!$M:$M,'NSE - Other Index Options'!$C:$C,$A55,'NSE - Other Index Options'!$B:$B,C$4,'NSE - Other Index Options'!$I:$I,"MDAW*")+SUMIFS('BSE - SENSEX Index Options'!$M:$M,'BSE - SENSEX Index Options'!$C:$C,$A55,'BSE - SENSEX Index Options'!$B:$B,C$4,'BSE - SENSEX Index Options'!$I:$I,"Weekly*")+SUMIFS('BSE - SENSEX Index Options'!$M:$M,'BSE - SENSEX Index Options'!$C:$C,$A55,'BSE - SENSEX Index Options'!$B:$B,C$4,'BSE - SENSEX Index Options'!$I:$I,"MDAW*")+SUMIFS('BSE - Other Index Options'!$M:$M,'BSE - Other Index Options'!$C:$C,$A55,'BSE - Other Index Options'!$B:$B,C$4,'BSE - Other Index Options'!$I:$I,"Weekly*")+SUMIFS('BSE - Other Index Options'!$M:$M,'BSE - Other Index Options'!$C:$C,$A55,'BSE - Other Index Options'!$B:$B,C$4,'BSE - Other Index Options'!$I:$I,"MDAW*"))</f>
        <v/>
      </c>
      <c r="D55" s="26">
        <f>IF(SUMIFS('NSE - NIFTY Index Options'!$M:$M,'NSE - NIFTY Index Options'!$C:$C,$A55,'NSE - NIFTY Index Options'!$B:$B,D$4,'NSE - NIFTY Index Options'!$I:$I,"Weekly*")+SUMIFS('NSE - NIFTY Index Options'!$M:$M,'NSE - NIFTY Index Options'!$C:$C,$A55,'NSE - NIFTY Index Options'!$B:$B,D$4,'NSE - NIFTY Index Options'!$I:$I,"MDAW*")+SUMIFS('NSE - Other Index Options'!$M:$M,'NSE - Other Index Options'!$C:$C,$A55,'NSE - Other Index Options'!$B:$B,D$4,'NSE - Other Index Options'!$I:$I,"Weekly*")+SUMIFS('NSE - Other Index Options'!$M:$M,'NSE - Other Index Options'!$C:$C,$A55,'NSE - Other Index Options'!$B:$B,D$4,'NSE - Other Index Options'!$I:$I,"MDAW*")+SUMIFS('BSE - SENSEX Index Options'!$M:$M,'BSE - SENSEX Index Options'!$C:$C,$A55,'BSE - SENSEX Index Options'!$B:$B,D$4,'BSE - SENSEX Index Options'!$I:$I,"Weekly*")+SUMIFS('BSE - SENSEX Index Options'!$M:$M,'BSE - SENSEX Index Options'!$C:$C,$A55,'BSE - SENSEX Index Options'!$B:$B,D$4,'BSE - SENSEX Index Options'!$I:$I,"MDAW*")+SUMIFS('BSE - Other Index Options'!$M:$M,'BSE - Other Index Options'!$C:$C,$A55,'BSE - Other Index Options'!$B:$B,D$4,'BSE - Other Index Options'!$I:$I,"Weekly*")+SUMIFS('BSE - Other Index Options'!$M:$M,'BSE - Other Index Options'!$C:$C,$A55,'BSE - Other Index Options'!$B:$B,D$4,'BSE - Other Index Options'!$I:$I,"MDAW*")=0,"",SUMIFS('NSE - NIFTY Index Options'!$M:$M,'NSE - NIFTY Index Options'!$C:$C,$A55,'NSE - NIFTY Index Options'!$B:$B,D$4,'NSE - NIFTY Index Options'!$I:$I,"Weekly*")+SUMIFS('NSE - NIFTY Index Options'!$M:$M,'NSE - NIFTY Index Options'!$C:$C,$A55,'NSE - NIFTY Index Options'!$B:$B,D$4,'NSE - NIFTY Index Options'!$I:$I,"MDAW*")+SUMIFS('NSE - Other Index Options'!$M:$M,'NSE - Other Index Options'!$C:$C,$A55,'NSE - Other Index Options'!$B:$B,D$4,'NSE - Other Index Options'!$I:$I,"Weekly*")+SUMIFS('NSE - Other Index Options'!$M:$M,'NSE - Other Index Options'!$C:$C,$A55,'NSE - Other Index Options'!$B:$B,D$4,'NSE - Other Index Options'!$I:$I,"MDAW*")+SUMIFS('BSE - SENSEX Index Options'!$M:$M,'BSE - SENSEX Index Options'!$C:$C,$A55,'BSE - SENSEX Index Options'!$B:$B,D$4,'BSE - SENSEX Index Options'!$I:$I,"Weekly*")+SUMIFS('BSE - SENSEX Index Options'!$M:$M,'BSE - SENSEX Index Options'!$C:$C,$A55,'BSE - SENSEX Index Options'!$B:$B,D$4,'BSE - SENSEX Index Options'!$I:$I,"MDAW*")+SUMIFS('BSE - Other Index Options'!$M:$M,'BSE - Other Index Options'!$C:$C,$A55,'BSE - Other Index Options'!$B:$B,D$4,'BSE - Other Index Options'!$I:$I,"Weekly*")+SUMIFS('BSE - Other Index Options'!$M:$M,'BSE - Other Index Options'!$C:$C,$A55,'BSE - Other Index Options'!$B:$B,D$4,'BSE - Other Index Options'!$I:$I,"MDAW*"))</f>
        <v/>
      </c>
      <c r="E55" s="26">
        <f>IF(SUMIFS('NSE - NIFTY Index Options'!$M:$M,'NSE - NIFTY Index Options'!$C:$C,$A55,'NSE - NIFTY Index Options'!$B:$B,E$4,'NSE - NIFTY Index Options'!$I:$I,"Weekly*")+SUMIFS('NSE - NIFTY Index Options'!$M:$M,'NSE - NIFTY Index Options'!$C:$C,$A55,'NSE - NIFTY Index Options'!$B:$B,E$4,'NSE - NIFTY Index Options'!$I:$I,"MDAW*")+SUMIFS('NSE - Other Index Options'!$M:$M,'NSE - Other Index Options'!$C:$C,$A55,'NSE - Other Index Options'!$B:$B,E$4,'NSE - Other Index Options'!$I:$I,"Weekly*")+SUMIFS('NSE - Other Index Options'!$M:$M,'NSE - Other Index Options'!$C:$C,$A55,'NSE - Other Index Options'!$B:$B,E$4,'NSE - Other Index Options'!$I:$I,"MDAW*")+SUMIFS('BSE - SENSEX Index Options'!$M:$M,'BSE - SENSEX Index Options'!$C:$C,$A55,'BSE - SENSEX Index Options'!$B:$B,E$4,'BSE - SENSEX Index Options'!$I:$I,"Weekly*")+SUMIFS('BSE - SENSEX Index Options'!$M:$M,'BSE - SENSEX Index Options'!$C:$C,$A55,'BSE - SENSEX Index Options'!$B:$B,E$4,'BSE - SENSEX Index Options'!$I:$I,"MDAW*")+SUMIFS('BSE - Other Index Options'!$M:$M,'BSE - Other Index Options'!$C:$C,$A55,'BSE - Other Index Options'!$B:$B,E$4,'BSE - Other Index Options'!$I:$I,"Weekly*")+SUMIFS('BSE - Other Index Options'!$M:$M,'BSE - Other Index Options'!$C:$C,$A55,'BSE - Other Index Options'!$B:$B,E$4,'BSE - Other Index Options'!$I:$I,"MDAW*")=0,"",SUMIFS('NSE - NIFTY Index Options'!$M:$M,'NSE - NIFTY Index Options'!$C:$C,$A55,'NSE - NIFTY Index Options'!$B:$B,E$4,'NSE - NIFTY Index Options'!$I:$I,"Weekly*")+SUMIFS('NSE - NIFTY Index Options'!$M:$M,'NSE - NIFTY Index Options'!$C:$C,$A55,'NSE - NIFTY Index Options'!$B:$B,E$4,'NSE - NIFTY Index Options'!$I:$I,"MDAW*")+SUMIFS('NSE - Other Index Options'!$M:$M,'NSE - Other Index Options'!$C:$C,$A55,'NSE - Other Index Options'!$B:$B,E$4,'NSE - Other Index Options'!$I:$I,"Weekly*")+SUMIFS('NSE - Other Index Options'!$M:$M,'NSE - Other Index Options'!$C:$C,$A55,'NSE - Other Index Options'!$B:$B,E$4,'NSE - Other Index Options'!$I:$I,"MDAW*")+SUMIFS('BSE - SENSEX Index Options'!$M:$M,'BSE - SENSEX Index Options'!$C:$C,$A55,'BSE - SENSEX Index Options'!$B:$B,E$4,'BSE - SENSEX Index Options'!$I:$I,"Weekly*")+SUMIFS('BSE - SENSEX Index Options'!$M:$M,'BSE - SENSEX Index Options'!$C:$C,$A55,'BSE - SENSEX Index Options'!$B:$B,E$4,'BSE - SENSEX Index Options'!$I:$I,"MDAW*")+SUMIFS('BSE - Other Index Options'!$M:$M,'BSE - Other Index Options'!$C:$C,$A55,'BSE - Other Index Options'!$B:$B,E$4,'BSE - Other Index Options'!$I:$I,"Weekly*")+SUMIFS('BSE - Other Index Options'!$M:$M,'BSE - Other Index Options'!$C:$C,$A55,'BSE - Other Index Options'!$B:$B,E$4,'BSE - Other Index Options'!$I:$I,"MDAW*"))</f>
        <v/>
      </c>
      <c r="F55" s="26">
        <f>IF(SUMIFS('NSE - NIFTY Index Options'!$M:$M,'NSE - NIFTY Index Options'!$C:$C,$A55,'NSE - NIFTY Index Options'!$B:$B,F$4,'NSE - NIFTY Index Options'!$I:$I,"Weekly*")+SUMIFS('NSE - NIFTY Index Options'!$M:$M,'NSE - NIFTY Index Options'!$C:$C,$A55,'NSE - NIFTY Index Options'!$B:$B,F$4,'NSE - NIFTY Index Options'!$I:$I,"MDAW*")+SUMIFS('NSE - Other Index Options'!$M:$M,'NSE - Other Index Options'!$C:$C,$A55,'NSE - Other Index Options'!$B:$B,F$4,'NSE - Other Index Options'!$I:$I,"Weekly*")+SUMIFS('NSE - Other Index Options'!$M:$M,'NSE - Other Index Options'!$C:$C,$A55,'NSE - Other Index Options'!$B:$B,F$4,'NSE - Other Index Options'!$I:$I,"MDAW*")+SUMIFS('BSE - SENSEX Index Options'!$M:$M,'BSE - SENSEX Index Options'!$C:$C,$A55,'BSE - SENSEX Index Options'!$B:$B,F$4,'BSE - SENSEX Index Options'!$I:$I,"Weekly*")+SUMIFS('BSE - SENSEX Index Options'!$M:$M,'BSE - SENSEX Index Options'!$C:$C,$A55,'BSE - SENSEX Index Options'!$B:$B,F$4,'BSE - SENSEX Index Options'!$I:$I,"MDAW*")+SUMIFS('BSE - Other Index Options'!$M:$M,'BSE - Other Index Options'!$C:$C,$A55,'BSE - Other Index Options'!$B:$B,F$4,'BSE - Other Index Options'!$I:$I,"Weekly*")+SUMIFS('BSE - Other Index Options'!$M:$M,'BSE - Other Index Options'!$C:$C,$A55,'BSE - Other Index Options'!$B:$B,F$4,'BSE - Other Index Options'!$I:$I,"MDAW*")=0,"",SUMIFS('NSE - NIFTY Index Options'!$M:$M,'NSE - NIFTY Index Options'!$C:$C,$A55,'NSE - NIFTY Index Options'!$B:$B,F$4,'NSE - NIFTY Index Options'!$I:$I,"Weekly*")+SUMIFS('NSE - NIFTY Index Options'!$M:$M,'NSE - NIFTY Index Options'!$C:$C,$A55,'NSE - NIFTY Index Options'!$B:$B,F$4,'NSE - NIFTY Index Options'!$I:$I,"MDAW*")+SUMIFS('NSE - Other Index Options'!$M:$M,'NSE - Other Index Options'!$C:$C,$A55,'NSE - Other Index Options'!$B:$B,F$4,'NSE - Other Index Options'!$I:$I,"Weekly*")+SUMIFS('NSE - Other Index Options'!$M:$M,'NSE - Other Index Options'!$C:$C,$A55,'NSE - Other Index Options'!$B:$B,F$4,'NSE - Other Index Options'!$I:$I,"MDAW*")+SUMIFS('BSE - SENSEX Index Options'!$M:$M,'BSE - SENSEX Index Options'!$C:$C,$A55,'BSE - SENSEX Index Options'!$B:$B,F$4,'BSE - SENSEX Index Options'!$I:$I,"Weekly*")+SUMIFS('BSE - SENSEX Index Options'!$M:$M,'BSE - SENSEX Index Options'!$C:$C,$A55,'BSE - SENSEX Index Options'!$B:$B,F$4,'BSE - SENSEX Index Options'!$I:$I,"MDAW*")+SUMIFS('BSE - Other Index Options'!$M:$M,'BSE - Other Index Options'!$C:$C,$A55,'BSE - Other Index Options'!$B:$B,F$4,'BSE - Other Index Options'!$I:$I,"Weekly*")+SUMIFS('BSE - Other Index Options'!$M:$M,'BSE - Other Index Options'!$C:$C,$A55,'BSE - Other Index Options'!$B:$B,F$4,'BSE - Other Index Options'!$I:$I,"MDAW*"))</f>
        <v/>
      </c>
      <c r="G55" s="26">
        <f>IF(SUMIFS('NSE - NIFTY Index Options'!$M:$M,'NSE - NIFTY Index Options'!$C:$C,$A55,'NSE - NIFTY Index Options'!$B:$B,G$4,'NSE - NIFTY Index Options'!$I:$I,"Weekly*")+SUMIFS('NSE - NIFTY Index Options'!$M:$M,'NSE - NIFTY Index Options'!$C:$C,$A55,'NSE - NIFTY Index Options'!$B:$B,G$4,'NSE - NIFTY Index Options'!$I:$I,"MDAW*")+SUMIFS('NSE - Other Index Options'!$M:$M,'NSE - Other Index Options'!$C:$C,$A55,'NSE - Other Index Options'!$B:$B,G$4,'NSE - Other Index Options'!$I:$I,"Weekly*")+SUMIFS('NSE - Other Index Options'!$M:$M,'NSE - Other Index Options'!$C:$C,$A55,'NSE - Other Index Options'!$B:$B,G$4,'NSE - Other Index Options'!$I:$I,"MDAW*")+SUMIFS('BSE - SENSEX Index Options'!$M:$M,'BSE - SENSEX Index Options'!$C:$C,$A55,'BSE - SENSEX Index Options'!$B:$B,G$4,'BSE - SENSEX Index Options'!$I:$I,"Weekly*")+SUMIFS('BSE - SENSEX Index Options'!$M:$M,'BSE - SENSEX Index Options'!$C:$C,$A55,'BSE - SENSEX Index Options'!$B:$B,G$4,'BSE - SENSEX Index Options'!$I:$I,"MDAW*")+SUMIFS('BSE - Other Index Options'!$M:$M,'BSE - Other Index Options'!$C:$C,$A55,'BSE - Other Index Options'!$B:$B,G$4,'BSE - Other Index Options'!$I:$I,"Weekly*")+SUMIFS('BSE - Other Index Options'!$M:$M,'BSE - Other Index Options'!$C:$C,$A55,'BSE - Other Index Options'!$B:$B,G$4,'BSE - Other Index Options'!$I:$I,"MDAW*")=0,"",SUMIFS('NSE - NIFTY Index Options'!$M:$M,'NSE - NIFTY Index Options'!$C:$C,$A55,'NSE - NIFTY Index Options'!$B:$B,G$4,'NSE - NIFTY Index Options'!$I:$I,"Weekly*")+SUMIFS('NSE - NIFTY Index Options'!$M:$M,'NSE - NIFTY Index Options'!$C:$C,$A55,'NSE - NIFTY Index Options'!$B:$B,G$4,'NSE - NIFTY Index Options'!$I:$I,"MDAW*")+SUMIFS('NSE - Other Index Options'!$M:$M,'NSE - Other Index Options'!$C:$C,$A55,'NSE - Other Index Options'!$B:$B,G$4,'NSE - Other Index Options'!$I:$I,"Weekly*")+SUMIFS('NSE - Other Index Options'!$M:$M,'NSE - Other Index Options'!$C:$C,$A55,'NSE - Other Index Options'!$B:$B,G$4,'NSE - Other Index Options'!$I:$I,"MDAW*")+SUMIFS('BSE - SENSEX Index Options'!$M:$M,'BSE - SENSEX Index Options'!$C:$C,$A55,'BSE - SENSEX Index Options'!$B:$B,G$4,'BSE - SENSEX Index Options'!$I:$I,"Weekly*")+SUMIFS('BSE - SENSEX Index Options'!$M:$M,'BSE - SENSEX Index Options'!$C:$C,$A55,'BSE - SENSEX Index Options'!$B:$B,G$4,'BSE - SENSEX Index Options'!$I:$I,"MDAW*")+SUMIFS('BSE - Other Index Options'!$M:$M,'BSE - Other Index Options'!$C:$C,$A55,'BSE - Other Index Options'!$B:$B,G$4,'BSE - Other Index Options'!$I:$I,"Weekly*")+SUMIFS('BSE - Other Index Options'!$M:$M,'BSE - Other Index Options'!$C:$C,$A55,'BSE - Other Index Options'!$B:$B,G$4,'BSE - Other Index Options'!$I:$I,"MDAW*"))</f>
        <v/>
      </c>
      <c r="H55" s="26">
        <f>IF(SUM(B55:G55)=0,"",SUM(B55:G55))</f>
        <v/>
      </c>
    </row>
    <row r="56">
      <c r="A56" t="inlineStr">
        <is>
          <t>Week3-Jul-2026</t>
        </is>
      </c>
      <c r="B56" s="26">
        <f>IF(SUMIFS('NSE - NIFTY Index Options'!$M:$M,'NSE - NIFTY Index Options'!$C:$C,$A56,'NSE - NIFTY Index Options'!$B:$B,B$4,'NSE - NIFTY Index Options'!$I:$I,"Weekly*")+SUMIFS('NSE - NIFTY Index Options'!$M:$M,'NSE - NIFTY Index Options'!$C:$C,$A56,'NSE - NIFTY Index Options'!$B:$B,B$4,'NSE - NIFTY Index Options'!$I:$I,"MDAW*")+SUMIFS('NSE - Other Index Options'!$M:$M,'NSE - Other Index Options'!$C:$C,$A56,'NSE - Other Index Options'!$B:$B,B$4,'NSE - Other Index Options'!$I:$I,"Weekly*")+SUMIFS('NSE - Other Index Options'!$M:$M,'NSE - Other Index Options'!$C:$C,$A56,'NSE - Other Index Options'!$B:$B,B$4,'NSE - Other Index Options'!$I:$I,"MDAW*")+SUMIFS('BSE - SENSEX Index Options'!$M:$M,'BSE - SENSEX Index Options'!$C:$C,$A56,'BSE - SENSEX Index Options'!$B:$B,B$4,'BSE - SENSEX Index Options'!$I:$I,"Weekly*")+SUMIFS('BSE - SENSEX Index Options'!$M:$M,'BSE - SENSEX Index Options'!$C:$C,$A56,'BSE - SENSEX Index Options'!$B:$B,B$4,'BSE - SENSEX Index Options'!$I:$I,"MDAW*")+SUMIFS('BSE - Other Index Options'!$M:$M,'BSE - Other Index Options'!$C:$C,$A56,'BSE - Other Index Options'!$B:$B,B$4,'BSE - Other Index Options'!$I:$I,"Weekly*")+SUMIFS('BSE - Other Index Options'!$M:$M,'BSE - Other Index Options'!$C:$C,$A56,'BSE - Other Index Options'!$B:$B,B$4,'BSE - Other Index Options'!$I:$I,"MDAW*")=0,"",SUMIFS('NSE - NIFTY Index Options'!$M:$M,'NSE - NIFTY Index Options'!$C:$C,$A56,'NSE - NIFTY Index Options'!$B:$B,B$4,'NSE - NIFTY Index Options'!$I:$I,"Weekly*")+SUMIFS('NSE - NIFTY Index Options'!$M:$M,'NSE - NIFTY Index Options'!$C:$C,$A56,'NSE - NIFTY Index Options'!$B:$B,B$4,'NSE - NIFTY Index Options'!$I:$I,"MDAW*")+SUMIFS('NSE - Other Index Options'!$M:$M,'NSE - Other Index Options'!$C:$C,$A56,'NSE - Other Index Options'!$B:$B,B$4,'NSE - Other Index Options'!$I:$I,"Weekly*")+SUMIFS('NSE - Other Index Options'!$M:$M,'NSE - Other Index Options'!$C:$C,$A56,'NSE - Other Index Options'!$B:$B,B$4,'NSE - Other Index Options'!$I:$I,"MDAW*")+SUMIFS('BSE - SENSEX Index Options'!$M:$M,'BSE - SENSEX Index Options'!$C:$C,$A56,'BSE - SENSEX Index Options'!$B:$B,B$4,'BSE - SENSEX Index Options'!$I:$I,"Weekly*")+SUMIFS('BSE - SENSEX Index Options'!$M:$M,'BSE - SENSEX Index Options'!$C:$C,$A56,'BSE - SENSEX Index Options'!$B:$B,B$4,'BSE - SENSEX Index Options'!$I:$I,"MDAW*")+SUMIFS('BSE - Other Index Options'!$M:$M,'BSE - Other Index Options'!$C:$C,$A56,'BSE - Other Index Options'!$B:$B,B$4,'BSE - Other Index Options'!$I:$I,"Weekly*")+SUMIFS('BSE - Other Index Options'!$M:$M,'BSE - Other Index Options'!$C:$C,$A56,'BSE - Other Index Options'!$B:$B,B$4,'BSE - Other Index Options'!$I:$I,"MDAW*"))</f>
        <v/>
      </c>
      <c r="C56" s="26">
        <f>IF(SUMIFS('NSE - NIFTY Index Options'!$M:$M,'NSE - NIFTY Index Options'!$C:$C,$A56,'NSE - NIFTY Index Options'!$B:$B,C$4,'NSE - NIFTY Index Options'!$I:$I,"Weekly*")+SUMIFS('NSE - NIFTY Index Options'!$M:$M,'NSE - NIFTY Index Options'!$C:$C,$A56,'NSE - NIFTY Index Options'!$B:$B,C$4,'NSE - NIFTY Index Options'!$I:$I,"MDAW*")+SUMIFS('NSE - Other Index Options'!$M:$M,'NSE - Other Index Options'!$C:$C,$A56,'NSE - Other Index Options'!$B:$B,C$4,'NSE - Other Index Options'!$I:$I,"Weekly*")+SUMIFS('NSE - Other Index Options'!$M:$M,'NSE - Other Index Options'!$C:$C,$A56,'NSE - Other Index Options'!$B:$B,C$4,'NSE - Other Index Options'!$I:$I,"MDAW*")+SUMIFS('BSE - SENSEX Index Options'!$M:$M,'BSE - SENSEX Index Options'!$C:$C,$A56,'BSE - SENSEX Index Options'!$B:$B,C$4,'BSE - SENSEX Index Options'!$I:$I,"Weekly*")+SUMIFS('BSE - SENSEX Index Options'!$M:$M,'BSE - SENSEX Index Options'!$C:$C,$A56,'BSE - SENSEX Index Options'!$B:$B,C$4,'BSE - SENSEX Index Options'!$I:$I,"MDAW*")+SUMIFS('BSE - Other Index Options'!$M:$M,'BSE - Other Index Options'!$C:$C,$A56,'BSE - Other Index Options'!$B:$B,C$4,'BSE - Other Index Options'!$I:$I,"Weekly*")+SUMIFS('BSE - Other Index Options'!$M:$M,'BSE - Other Index Options'!$C:$C,$A56,'BSE - Other Index Options'!$B:$B,C$4,'BSE - Other Index Options'!$I:$I,"MDAW*")=0,"",SUMIFS('NSE - NIFTY Index Options'!$M:$M,'NSE - NIFTY Index Options'!$C:$C,$A56,'NSE - NIFTY Index Options'!$B:$B,C$4,'NSE - NIFTY Index Options'!$I:$I,"Weekly*")+SUMIFS('NSE - NIFTY Index Options'!$M:$M,'NSE - NIFTY Index Options'!$C:$C,$A56,'NSE - NIFTY Index Options'!$B:$B,C$4,'NSE - NIFTY Index Options'!$I:$I,"MDAW*")+SUMIFS('NSE - Other Index Options'!$M:$M,'NSE - Other Index Options'!$C:$C,$A56,'NSE - Other Index Options'!$B:$B,C$4,'NSE - Other Index Options'!$I:$I,"Weekly*")+SUMIFS('NSE - Other Index Options'!$M:$M,'NSE - Other Index Options'!$C:$C,$A56,'NSE - Other Index Options'!$B:$B,C$4,'NSE - Other Index Options'!$I:$I,"MDAW*")+SUMIFS('BSE - SENSEX Index Options'!$M:$M,'BSE - SENSEX Index Options'!$C:$C,$A56,'BSE - SENSEX Index Options'!$B:$B,C$4,'BSE - SENSEX Index Options'!$I:$I,"Weekly*")+SUMIFS('BSE - SENSEX Index Options'!$M:$M,'BSE - SENSEX Index Options'!$C:$C,$A56,'BSE - SENSEX Index Options'!$B:$B,C$4,'BSE - SENSEX Index Options'!$I:$I,"MDAW*")+SUMIFS('BSE - Other Index Options'!$M:$M,'BSE - Other Index Options'!$C:$C,$A56,'BSE - Other Index Options'!$B:$B,C$4,'BSE - Other Index Options'!$I:$I,"Weekly*")+SUMIFS('BSE - Other Index Options'!$M:$M,'BSE - Other Index Options'!$C:$C,$A56,'BSE - Other Index Options'!$B:$B,C$4,'BSE - Other Index Options'!$I:$I,"MDAW*"))</f>
        <v/>
      </c>
      <c r="D56" s="26">
        <f>IF(SUMIFS('NSE - NIFTY Index Options'!$M:$M,'NSE - NIFTY Index Options'!$C:$C,$A56,'NSE - NIFTY Index Options'!$B:$B,D$4,'NSE - NIFTY Index Options'!$I:$I,"Weekly*")+SUMIFS('NSE - NIFTY Index Options'!$M:$M,'NSE - NIFTY Index Options'!$C:$C,$A56,'NSE - NIFTY Index Options'!$B:$B,D$4,'NSE - NIFTY Index Options'!$I:$I,"MDAW*")+SUMIFS('NSE - Other Index Options'!$M:$M,'NSE - Other Index Options'!$C:$C,$A56,'NSE - Other Index Options'!$B:$B,D$4,'NSE - Other Index Options'!$I:$I,"Weekly*")+SUMIFS('NSE - Other Index Options'!$M:$M,'NSE - Other Index Options'!$C:$C,$A56,'NSE - Other Index Options'!$B:$B,D$4,'NSE - Other Index Options'!$I:$I,"MDAW*")+SUMIFS('BSE - SENSEX Index Options'!$M:$M,'BSE - SENSEX Index Options'!$C:$C,$A56,'BSE - SENSEX Index Options'!$B:$B,D$4,'BSE - SENSEX Index Options'!$I:$I,"Weekly*")+SUMIFS('BSE - SENSEX Index Options'!$M:$M,'BSE - SENSEX Index Options'!$C:$C,$A56,'BSE - SENSEX Index Options'!$B:$B,D$4,'BSE - SENSEX Index Options'!$I:$I,"MDAW*")+SUMIFS('BSE - Other Index Options'!$M:$M,'BSE - Other Index Options'!$C:$C,$A56,'BSE - Other Index Options'!$B:$B,D$4,'BSE - Other Index Options'!$I:$I,"Weekly*")+SUMIFS('BSE - Other Index Options'!$M:$M,'BSE - Other Index Options'!$C:$C,$A56,'BSE - Other Index Options'!$B:$B,D$4,'BSE - Other Index Options'!$I:$I,"MDAW*")=0,"",SUMIFS('NSE - NIFTY Index Options'!$M:$M,'NSE - NIFTY Index Options'!$C:$C,$A56,'NSE - NIFTY Index Options'!$B:$B,D$4,'NSE - NIFTY Index Options'!$I:$I,"Weekly*")+SUMIFS('NSE - NIFTY Index Options'!$M:$M,'NSE - NIFTY Index Options'!$C:$C,$A56,'NSE - NIFTY Index Options'!$B:$B,D$4,'NSE - NIFTY Index Options'!$I:$I,"MDAW*")+SUMIFS('NSE - Other Index Options'!$M:$M,'NSE - Other Index Options'!$C:$C,$A56,'NSE - Other Index Options'!$B:$B,D$4,'NSE - Other Index Options'!$I:$I,"Weekly*")+SUMIFS('NSE - Other Index Options'!$M:$M,'NSE - Other Index Options'!$C:$C,$A56,'NSE - Other Index Options'!$B:$B,D$4,'NSE - Other Index Options'!$I:$I,"MDAW*")+SUMIFS('BSE - SENSEX Index Options'!$M:$M,'BSE - SENSEX Index Options'!$C:$C,$A56,'BSE - SENSEX Index Options'!$B:$B,D$4,'BSE - SENSEX Index Options'!$I:$I,"Weekly*")+SUMIFS('BSE - SENSEX Index Options'!$M:$M,'BSE - SENSEX Index Options'!$C:$C,$A56,'BSE - SENSEX Index Options'!$B:$B,D$4,'BSE - SENSEX Index Options'!$I:$I,"MDAW*")+SUMIFS('BSE - Other Index Options'!$M:$M,'BSE - Other Index Options'!$C:$C,$A56,'BSE - Other Index Options'!$B:$B,D$4,'BSE - Other Index Options'!$I:$I,"Weekly*")+SUMIFS('BSE - Other Index Options'!$M:$M,'BSE - Other Index Options'!$C:$C,$A56,'BSE - Other Index Options'!$B:$B,D$4,'BSE - Other Index Options'!$I:$I,"MDAW*"))</f>
        <v/>
      </c>
      <c r="E56" s="26">
        <f>IF(SUMIFS('NSE - NIFTY Index Options'!$M:$M,'NSE - NIFTY Index Options'!$C:$C,$A56,'NSE - NIFTY Index Options'!$B:$B,E$4,'NSE - NIFTY Index Options'!$I:$I,"Weekly*")+SUMIFS('NSE - NIFTY Index Options'!$M:$M,'NSE - NIFTY Index Options'!$C:$C,$A56,'NSE - NIFTY Index Options'!$B:$B,E$4,'NSE - NIFTY Index Options'!$I:$I,"MDAW*")+SUMIFS('NSE - Other Index Options'!$M:$M,'NSE - Other Index Options'!$C:$C,$A56,'NSE - Other Index Options'!$B:$B,E$4,'NSE - Other Index Options'!$I:$I,"Weekly*")+SUMIFS('NSE - Other Index Options'!$M:$M,'NSE - Other Index Options'!$C:$C,$A56,'NSE - Other Index Options'!$B:$B,E$4,'NSE - Other Index Options'!$I:$I,"MDAW*")+SUMIFS('BSE - SENSEX Index Options'!$M:$M,'BSE - SENSEX Index Options'!$C:$C,$A56,'BSE - SENSEX Index Options'!$B:$B,E$4,'BSE - SENSEX Index Options'!$I:$I,"Weekly*")+SUMIFS('BSE - SENSEX Index Options'!$M:$M,'BSE - SENSEX Index Options'!$C:$C,$A56,'BSE - SENSEX Index Options'!$B:$B,E$4,'BSE - SENSEX Index Options'!$I:$I,"MDAW*")+SUMIFS('BSE - Other Index Options'!$M:$M,'BSE - Other Index Options'!$C:$C,$A56,'BSE - Other Index Options'!$B:$B,E$4,'BSE - Other Index Options'!$I:$I,"Weekly*")+SUMIFS('BSE - Other Index Options'!$M:$M,'BSE - Other Index Options'!$C:$C,$A56,'BSE - Other Index Options'!$B:$B,E$4,'BSE - Other Index Options'!$I:$I,"MDAW*")=0,"",SUMIFS('NSE - NIFTY Index Options'!$M:$M,'NSE - NIFTY Index Options'!$C:$C,$A56,'NSE - NIFTY Index Options'!$B:$B,E$4,'NSE - NIFTY Index Options'!$I:$I,"Weekly*")+SUMIFS('NSE - NIFTY Index Options'!$M:$M,'NSE - NIFTY Index Options'!$C:$C,$A56,'NSE - NIFTY Index Options'!$B:$B,E$4,'NSE - NIFTY Index Options'!$I:$I,"MDAW*")+SUMIFS('NSE - Other Index Options'!$M:$M,'NSE - Other Index Options'!$C:$C,$A56,'NSE - Other Index Options'!$B:$B,E$4,'NSE - Other Index Options'!$I:$I,"Weekly*")+SUMIFS('NSE - Other Index Options'!$M:$M,'NSE - Other Index Options'!$C:$C,$A56,'NSE - Other Index Options'!$B:$B,E$4,'NSE - Other Index Options'!$I:$I,"MDAW*")+SUMIFS('BSE - SENSEX Index Options'!$M:$M,'BSE - SENSEX Index Options'!$C:$C,$A56,'BSE - SENSEX Index Options'!$B:$B,E$4,'BSE - SENSEX Index Options'!$I:$I,"Weekly*")+SUMIFS('BSE - SENSEX Index Options'!$M:$M,'BSE - SENSEX Index Options'!$C:$C,$A56,'BSE - SENSEX Index Options'!$B:$B,E$4,'BSE - SENSEX Index Options'!$I:$I,"MDAW*")+SUMIFS('BSE - Other Index Options'!$M:$M,'BSE - Other Index Options'!$C:$C,$A56,'BSE - Other Index Options'!$B:$B,E$4,'BSE - Other Index Options'!$I:$I,"Weekly*")+SUMIFS('BSE - Other Index Options'!$M:$M,'BSE - Other Index Options'!$C:$C,$A56,'BSE - Other Index Options'!$B:$B,E$4,'BSE - Other Index Options'!$I:$I,"MDAW*"))</f>
        <v/>
      </c>
      <c r="F56" s="26">
        <f>IF(SUMIFS('NSE - NIFTY Index Options'!$M:$M,'NSE - NIFTY Index Options'!$C:$C,$A56,'NSE - NIFTY Index Options'!$B:$B,F$4,'NSE - NIFTY Index Options'!$I:$I,"Weekly*")+SUMIFS('NSE - NIFTY Index Options'!$M:$M,'NSE - NIFTY Index Options'!$C:$C,$A56,'NSE - NIFTY Index Options'!$B:$B,F$4,'NSE - NIFTY Index Options'!$I:$I,"MDAW*")+SUMIFS('NSE - Other Index Options'!$M:$M,'NSE - Other Index Options'!$C:$C,$A56,'NSE - Other Index Options'!$B:$B,F$4,'NSE - Other Index Options'!$I:$I,"Weekly*")+SUMIFS('NSE - Other Index Options'!$M:$M,'NSE - Other Index Options'!$C:$C,$A56,'NSE - Other Index Options'!$B:$B,F$4,'NSE - Other Index Options'!$I:$I,"MDAW*")+SUMIFS('BSE - SENSEX Index Options'!$M:$M,'BSE - SENSEX Index Options'!$C:$C,$A56,'BSE - SENSEX Index Options'!$B:$B,F$4,'BSE - SENSEX Index Options'!$I:$I,"Weekly*")+SUMIFS('BSE - SENSEX Index Options'!$M:$M,'BSE - SENSEX Index Options'!$C:$C,$A56,'BSE - SENSEX Index Options'!$B:$B,F$4,'BSE - SENSEX Index Options'!$I:$I,"MDAW*")+SUMIFS('BSE - Other Index Options'!$M:$M,'BSE - Other Index Options'!$C:$C,$A56,'BSE - Other Index Options'!$B:$B,F$4,'BSE - Other Index Options'!$I:$I,"Weekly*")+SUMIFS('BSE - Other Index Options'!$M:$M,'BSE - Other Index Options'!$C:$C,$A56,'BSE - Other Index Options'!$B:$B,F$4,'BSE - Other Index Options'!$I:$I,"MDAW*")=0,"",SUMIFS('NSE - NIFTY Index Options'!$M:$M,'NSE - NIFTY Index Options'!$C:$C,$A56,'NSE - NIFTY Index Options'!$B:$B,F$4,'NSE - NIFTY Index Options'!$I:$I,"Weekly*")+SUMIFS('NSE - NIFTY Index Options'!$M:$M,'NSE - NIFTY Index Options'!$C:$C,$A56,'NSE - NIFTY Index Options'!$B:$B,F$4,'NSE - NIFTY Index Options'!$I:$I,"MDAW*")+SUMIFS('NSE - Other Index Options'!$M:$M,'NSE - Other Index Options'!$C:$C,$A56,'NSE - Other Index Options'!$B:$B,F$4,'NSE - Other Index Options'!$I:$I,"Weekly*")+SUMIFS('NSE - Other Index Options'!$M:$M,'NSE - Other Index Options'!$C:$C,$A56,'NSE - Other Index Options'!$B:$B,F$4,'NSE - Other Index Options'!$I:$I,"MDAW*")+SUMIFS('BSE - SENSEX Index Options'!$M:$M,'BSE - SENSEX Index Options'!$C:$C,$A56,'BSE - SENSEX Index Options'!$B:$B,F$4,'BSE - SENSEX Index Options'!$I:$I,"Weekly*")+SUMIFS('BSE - SENSEX Index Options'!$M:$M,'BSE - SENSEX Index Options'!$C:$C,$A56,'BSE - SENSEX Index Options'!$B:$B,F$4,'BSE - SENSEX Index Options'!$I:$I,"MDAW*")+SUMIFS('BSE - Other Index Options'!$M:$M,'BSE - Other Index Options'!$C:$C,$A56,'BSE - Other Index Options'!$B:$B,F$4,'BSE - Other Index Options'!$I:$I,"Weekly*")+SUMIFS('BSE - Other Index Options'!$M:$M,'BSE - Other Index Options'!$C:$C,$A56,'BSE - Other Index Options'!$B:$B,F$4,'BSE - Other Index Options'!$I:$I,"MDAW*"))</f>
        <v/>
      </c>
      <c r="G56" s="26">
        <f>IF(SUMIFS('NSE - NIFTY Index Options'!$M:$M,'NSE - NIFTY Index Options'!$C:$C,$A56,'NSE - NIFTY Index Options'!$B:$B,G$4,'NSE - NIFTY Index Options'!$I:$I,"Weekly*")+SUMIFS('NSE - NIFTY Index Options'!$M:$M,'NSE - NIFTY Index Options'!$C:$C,$A56,'NSE - NIFTY Index Options'!$B:$B,G$4,'NSE - NIFTY Index Options'!$I:$I,"MDAW*")+SUMIFS('NSE - Other Index Options'!$M:$M,'NSE - Other Index Options'!$C:$C,$A56,'NSE - Other Index Options'!$B:$B,G$4,'NSE - Other Index Options'!$I:$I,"Weekly*")+SUMIFS('NSE - Other Index Options'!$M:$M,'NSE - Other Index Options'!$C:$C,$A56,'NSE - Other Index Options'!$B:$B,G$4,'NSE - Other Index Options'!$I:$I,"MDAW*")+SUMIFS('BSE - SENSEX Index Options'!$M:$M,'BSE - SENSEX Index Options'!$C:$C,$A56,'BSE - SENSEX Index Options'!$B:$B,G$4,'BSE - SENSEX Index Options'!$I:$I,"Weekly*")+SUMIFS('BSE - SENSEX Index Options'!$M:$M,'BSE - SENSEX Index Options'!$C:$C,$A56,'BSE - SENSEX Index Options'!$B:$B,G$4,'BSE - SENSEX Index Options'!$I:$I,"MDAW*")+SUMIFS('BSE - Other Index Options'!$M:$M,'BSE - Other Index Options'!$C:$C,$A56,'BSE - Other Index Options'!$B:$B,G$4,'BSE - Other Index Options'!$I:$I,"Weekly*")+SUMIFS('BSE - Other Index Options'!$M:$M,'BSE - Other Index Options'!$C:$C,$A56,'BSE - Other Index Options'!$B:$B,G$4,'BSE - Other Index Options'!$I:$I,"MDAW*")=0,"",SUMIFS('NSE - NIFTY Index Options'!$M:$M,'NSE - NIFTY Index Options'!$C:$C,$A56,'NSE - NIFTY Index Options'!$B:$B,G$4,'NSE - NIFTY Index Options'!$I:$I,"Weekly*")+SUMIFS('NSE - NIFTY Index Options'!$M:$M,'NSE - NIFTY Index Options'!$C:$C,$A56,'NSE - NIFTY Index Options'!$B:$B,G$4,'NSE - NIFTY Index Options'!$I:$I,"MDAW*")+SUMIFS('NSE - Other Index Options'!$M:$M,'NSE - Other Index Options'!$C:$C,$A56,'NSE - Other Index Options'!$B:$B,G$4,'NSE - Other Index Options'!$I:$I,"Weekly*")+SUMIFS('NSE - Other Index Options'!$M:$M,'NSE - Other Index Options'!$C:$C,$A56,'NSE - Other Index Options'!$B:$B,G$4,'NSE - Other Index Options'!$I:$I,"MDAW*")+SUMIFS('BSE - SENSEX Index Options'!$M:$M,'BSE - SENSEX Index Options'!$C:$C,$A56,'BSE - SENSEX Index Options'!$B:$B,G$4,'BSE - SENSEX Index Options'!$I:$I,"Weekly*")+SUMIFS('BSE - SENSEX Index Options'!$M:$M,'BSE - SENSEX Index Options'!$C:$C,$A56,'BSE - SENSEX Index Options'!$B:$B,G$4,'BSE - SENSEX Index Options'!$I:$I,"MDAW*")+SUMIFS('BSE - Other Index Options'!$M:$M,'BSE - Other Index Options'!$C:$C,$A56,'BSE - Other Index Options'!$B:$B,G$4,'BSE - Other Index Options'!$I:$I,"Weekly*")+SUMIFS('BSE - Other Index Options'!$M:$M,'BSE - Other Index Options'!$C:$C,$A56,'BSE - Other Index Options'!$B:$B,G$4,'BSE - Other Index Options'!$I:$I,"MDAW*"))</f>
        <v/>
      </c>
      <c r="H56" s="26">
        <f>IF(SUM(B56:G56)=0,"",SUM(B56:G56))</f>
        <v/>
      </c>
    </row>
    <row r="57">
      <c r="A57" t="inlineStr">
        <is>
          <t>Week4-Jul-2026</t>
        </is>
      </c>
      <c r="B57" s="26">
        <f>IF(SUMIFS('NSE - NIFTY Index Options'!$M:$M,'NSE - NIFTY Index Options'!$C:$C,$A57,'NSE - NIFTY Index Options'!$B:$B,B$4,'NSE - NIFTY Index Options'!$I:$I,"Weekly*")+SUMIFS('NSE - NIFTY Index Options'!$M:$M,'NSE - NIFTY Index Options'!$C:$C,$A57,'NSE - NIFTY Index Options'!$B:$B,B$4,'NSE - NIFTY Index Options'!$I:$I,"MDAW*")+SUMIFS('NSE - Other Index Options'!$M:$M,'NSE - Other Index Options'!$C:$C,$A57,'NSE - Other Index Options'!$B:$B,B$4,'NSE - Other Index Options'!$I:$I,"Weekly*")+SUMIFS('NSE - Other Index Options'!$M:$M,'NSE - Other Index Options'!$C:$C,$A57,'NSE - Other Index Options'!$B:$B,B$4,'NSE - Other Index Options'!$I:$I,"MDAW*")+SUMIFS('BSE - SENSEX Index Options'!$M:$M,'BSE - SENSEX Index Options'!$C:$C,$A57,'BSE - SENSEX Index Options'!$B:$B,B$4,'BSE - SENSEX Index Options'!$I:$I,"Weekly*")+SUMIFS('BSE - SENSEX Index Options'!$M:$M,'BSE - SENSEX Index Options'!$C:$C,$A57,'BSE - SENSEX Index Options'!$B:$B,B$4,'BSE - SENSEX Index Options'!$I:$I,"MDAW*")+SUMIFS('BSE - Other Index Options'!$M:$M,'BSE - Other Index Options'!$C:$C,$A57,'BSE - Other Index Options'!$B:$B,B$4,'BSE - Other Index Options'!$I:$I,"Weekly*")+SUMIFS('BSE - Other Index Options'!$M:$M,'BSE - Other Index Options'!$C:$C,$A57,'BSE - Other Index Options'!$B:$B,B$4,'BSE - Other Index Options'!$I:$I,"MDAW*")=0,"",SUMIFS('NSE - NIFTY Index Options'!$M:$M,'NSE - NIFTY Index Options'!$C:$C,$A57,'NSE - NIFTY Index Options'!$B:$B,B$4,'NSE - NIFTY Index Options'!$I:$I,"Weekly*")+SUMIFS('NSE - NIFTY Index Options'!$M:$M,'NSE - NIFTY Index Options'!$C:$C,$A57,'NSE - NIFTY Index Options'!$B:$B,B$4,'NSE - NIFTY Index Options'!$I:$I,"MDAW*")+SUMIFS('NSE - Other Index Options'!$M:$M,'NSE - Other Index Options'!$C:$C,$A57,'NSE - Other Index Options'!$B:$B,B$4,'NSE - Other Index Options'!$I:$I,"Weekly*")+SUMIFS('NSE - Other Index Options'!$M:$M,'NSE - Other Index Options'!$C:$C,$A57,'NSE - Other Index Options'!$B:$B,B$4,'NSE - Other Index Options'!$I:$I,"MDAW*")+SUMIFS('BSE - SENSEX Index Options'!$M:$M,'BSE - SENSEX Index Options'!$C:$C,$A57,'BSE - SENSEX Index Options'!$B:$B,B$4,'BSE - SENSEX Index Options'!$I:$I,"Weekly*")+SUMIFS('BSE - SENSEX Index Options'!$M:$M,'BSE - SENSEX Index Options'!$C:$C,$A57,'BSE - SENSEX Index Options'!$B:$B,B$4,'BSE - SENSEX Index Options'!$I:$I,"MDAW*")+SUMIFS('BSE - Other Index Options'!$M:$M,'BSE - Other Index Options'!$C:$C,$A57,'BSE - Other Index Options'!$B:$B,B$4,'BSE - Other Index Options'!$I:$I,"Weekly*")+SUMIFS('BSE - Other Index Options'!$M:$M,'BSE - Other Index Options'!$C:$C,$A57,'BSE - Other Index Options'!$B:$B,B$4,'BSE - Other Index Options'!$I:$I,"MDAW*"))</f>
        <v/>
      </c>
      <c r="C57" s="26">
        <f>IF(SUMIFS('NSE - NIFTY Index Options'!$M:$M,'NSE - NIFTY Index Options'!$C:$C,$A57,'NSE - NIFTY Index Options'!$B:$B,C$4,'NSE - NIFTY Index Options'!$I:$I,"Weekly*")+SUMIFS('NSE - NIFTY Index Options'!$M:$M,'NSE - NIFTY Index Options'!$C:$C,$A57,'NSE - NIFTY Index Options'!$B:$B,C$4,'NSE - NIFTY Index Options'!$I:$I,"MDAW*")+SUMIFS('NSE - Other Index Options'!$M:$M,'NSE - Other Index Options'!$C:$C,$A57,'NSE - Other Index Options'!$B:$B,C$4,'NSE - Other Index Options'!$I:$I,"Weekly*")+SUMIFS('NSE - Other Index Options'!$M:$M,'NSE - Other Index Options'!$C:$C,$A57,'NSE - Other Index Options'!$B:$B,C$4,'NSE - Other Index Options'!$I:$I,"MDAW*")+SUMIFS('BSE - SENSEX Index Options'!$M:$M,'BSE - SENSEX Index Options'!$C:$C,$A57,'BSE - SENSEX Index Options'!$B:$B,C$4,'BSE - SENSEX Index Options'!$I:$I,"Weekly*")+SUMIFS('BSE - SENSEX Index Options'!$M:$M,'BSE - SENSEX Index Options'!$C:$C,$A57,'BSE - SENSEX Index Options'!$B:$B,C$4,'BSE - SENSEX Index Options'!$I:$I,"MDAW*")+SUMIFS('BSE - Other Index Options'!$M:$M,'BSE - Other Index Options'!$C:$C,$A57,'BSE - Other Index Options'!$B:$B,C$4,'BSE - Other Index Options'!$I:$I,"Weekly*")+SUMIFS('BSE - Other Index Options'!$M:$M,'BSE - Other Index Options'!$C:$C,$A57,'BSE - Other Index Options'!$B:$B,C$4,'BSE - Other Index Options'!$I:$I,"MDAW*")=0,"",SUMIFS('NSE - NIFTY Index Options'!$M:$M,'NSE - NIFTY Index Options'!$C:$C,$A57,'NSE - NIFTY Index Options'!$B:$B,C$4,'NSE - NIFTY Index Options'!$I:$I,"Weekly*")+SUMIFS('NSE - NIFTY Index Options'!$M:$M,'NSE - NIFTY Index Options'!$C:$C,$A57,'NSE - NIFTY Index Options'!$B:$B,C$4,'NSE - NIFTY Index Options'!$I:$I,"MDAW*")+SUMIFS('NSE - Other Index Options'!$M:$M,'NSE - Other Index Options'!$C:$C,$A57,'NSE - Other Index Options'!$B:$B,C$4,'NSE - Other Index Options'!$I:$I,"Weekly*")+SUMIFS('NSE - Other Index Options'!$M:$M,'NSE - Other Index Options'!$C:$C,$A57,'NSE - Other Index Options'!$B:$B,C$4,'NSE - Other Index Options'!$I:$I,"MDAW*")+SUMIFS('BSE - SENSEX Index Options'!$M:$M,'BSE - SENSEX Index Options'!$C:$C,$A57,'BSE - SENSEX Index Options'!$B:$B,C$4,'BSE - SENSEX Index Options'!$I:$I,"Weekly*")+SUMIFS('BSE - SENSEX Index Options'!$M:$M,'BSE - SENSEX Index Options'!$C:$C,$A57,'BSE - SENSEX Index Options'!$B:$B,C$4,'BSE - SENSEX Index Options'!$I:$I,"MDAW*")+SUMIFS('BSE - Other Index Options'!$M:$M,'BSE - Other Index Options'!$C:$C,$A57,'BSE - Other Index Options'!$B:$B,C$4,'BSE - Other Index Options'!$I:$I,"Weekly*")+SUMIFS('BSE - Other Index Options'!$M:$M,'BSE - Other Index Options'!$C:$C,$A57,'BSE - Other Index Options'!$B:$B,C$4,'BSE - Other Index Options'!$I:$I,"MDAW*"))</f>
        <v/>
      </c>
      <c r="D57" s="26">
        <f>IF(SUMIFS('NSE - NIFTY Index Options'!$M:$M,'NSE - NIFTY Index Options'!$C:$C,$A57,'NSE - NIFTY Index Options'!$B:$B,D$4,'NSE - NIFTY Index Options'!$I:$I,"Weekly*")+SUMIFS('NSE - NIFTY Index Options'!$M:$M,'NSE - NIFTY Index Options'!$C:$C,$A57,'NSE - NIFTY Index Options'!$B:$B,D$4,'NSE - NIFTY Index Options'!$I:$I,"MDAW*")+SUMIFS('NSE - Other Index Options'!$M:$M,'NSE - Other Index Options'!$C:$C,$A57,'NSE - Other Index Options'!$B:$B,D$4,'NSE - Other Index Options'!$I:$I,"Weekly*")+SUMIFS('NSE - Other Index Options'!$M:$M,'NSE - Other Index Options'!$C:$C,$A57,'NSE - Other Index Options'!$B:$B,D$4,'NSE - Other Index Options'!$I:$I,"MDAW*")+SUMIFS('BSE - SENSEX Index Options'!$M:$M,'BSE - SENSEX Index Options'!$C:$C,$A57,'BSE - SENSEX Index Options'!$B:$B,D$4,'BSE - SENSEX Index Options'!$I:$I,"Weekly*")+SUMIFS('BSE - SENSEX Index Options'!$M:$M,'BSE - SENSEX Index Options'!$C:$C,$A57,'BSE - SENSEX Index Options'!$B:$B,D$4,'BSE - SENSEX Index Options'!$I:$I,"MDAW*")+SUMIFS('BSE - Other Index Options'!$M:$M,'BSE - Other Index Options'!$C:$C,$A57,'BSE - Other Index Options'!$B:$B,D$4,'BSE - Other Index Options'!$I:$I,"Weekly*")+SUMIFS('BSE - Other Index Options'!$M:$M,'BSE - Other Index Options'!$C:$C,$A57,'BSE - Other Index Options'!$B:$B,D$4,'BSE - Other Index Options'!$I:$I,"MDAW*")=0,"",SUMIFS('NSE - NIFTY Index Options'!$M:$M,'NSE - NIFTY Index Options'!$C:$C,$A57,'NSE - NIFTY Index Options'!$B:$B,D$4,'NSE - NIFTY Index Options'!$I:$I,"Weekly*")+SUMIFS('NSE - NIFTY Index Options'!$M:$M,'NSE - NIFTY Index Options'!$C:$C,$A57,'NSE - NIFTY Index Options'!$B:$B,D$4,'NSE - NIFTY Index Options'!$I:$I,"MDAW*")+SUMIFS('NSE - Other Index Options'!$M:$M,'NSE - Other Index Options'!$C:$C,$A57,'NSE - Other Index Options'!$B:$B,D$4,'NSE - Other Index Options'!$I:$I,"Weekly*")+SUMIFS('NSE - Other Index Options'!$M:$M,'NSE - Other Index Options'!$C:$C,$A57,'NSE - Other Index Options'!$B:$B,D$4,'NSE - Other Index Options'!$I:$I,"MDAW*")+SUMIFS('BSE - SENSEX Index Options'!$M:$M,'BSE - SENSEX Index Options'!$C:$C,$A57,'BSE - SENSEX Index Options'!$B:$B,D$4,'BSE - SENSEX Index Options'!$I:$I,"Weekly*")+SUMIFS('BSE - SENSEX Index Options'!$M:$M,'BSE - SENSEX Index Options'!$C:$C,$A57,'BSE - SENSEX Index Options'!$B:$B,D$4,'BSE - SENSEX Index Options'!$I:$I,"MDAW*")+SUMIFS('BSE - Other Index Options'!$M:$M,'BSE - Other Index Options'!$C:$C,$A57,'BSE - Other Index Options'!$B:$B,D$4,'BSE - Other Index Options'!$I:$I,"Weekly*")+SUMIFS('BSE - Other Index Options'!$M:$M,'BSE - Other Index Options'!$C:$C,$A57,'BSE - Other Index Options'!$B:$B,D$4,'BSE - Other Index Options'!$I:$I,"MDAW*"))</f>
        <v/>
      </c>
      <c r="E57" s="26">
        <f>IF(SUMIFS('NSE - NIFTY Index Options'!$M:$M,'NSE - NIFTY Index Options'!$C:$C,$A57,'NSE - NIFTY Index Options'!$B:$B,E$4,'NSE - NIFTY Index Options'!$I:$I,"Weekly*")+SUMIFS('NSE - NIFTY Index Options'!$M:$M,'NSE - NIFTY Index Options'!$C:$C,$A57,'NSE - NIFTY Index Options'!$B:$B,E$4,'NSE - NIFTY Index Options'!$I:$I,"MDAW*")+SUMIFS('NSE - Other Index Options'!$M:$M,'NSE - Other Index Options'!$C:$C,$A57,'NSE - Other Index Options'!$B:$B,E$4,'NSE - Other Index Options'!$I:$I,"Weekly*")+SUMIFS('NSE - Other Index Options'!$M:$M,'NSE - Other Index Options'!$C:$C,$A57,'NSE - Other Index Options'!$B:$B,E$4,'NSE - Other Index Options'!$I:$I,"MDAW*")+SUMIFS('BSE - SENSEX Index Options'!$M:$M,'BSE - SENSEX Index Options'!$C:$C,$A57,'BSE - SENSEX Index Options'!$B:$B,E$4,'BSE - SENSEX Index Options'!$I:$I,"Weekly*")+SUMIFS('BSE - SENSEX Index Options'!$M:$M,'BSE - SENSEX Index Options'!$C:$C,$A57,'BSE - SENSEX Index Options'!$B:$B,E$4,'BSE - SENSEX Index Options'!$I:$I,"MDAW*")+SUMIFS('BSE - Other Index Options'!$M:$M,'BSE - Other Index Options'!$C:$C,$A57,'BSE - Other Index Options'!$B:$B,E$4,'BSE - Other Index Options'!$I:$I,"Weekly*")+SUMIFS('BSE - Other Index Options'!$M:$M,'BSE - Other Index Options'!$C:$C,$A57,'BSE - Other Index Options'!$B:$B,E$4,'BSE - Other Index Options'!$I:$I,"MDAW*")=0,"",SUMIFS('NSE - NIFTY Index Options'!$M:$M,'NSE - NIFTY Index Options'!$C:$C,$A57,'NSE - NIFTY Index Options'!$B:$B,E$4,'NSE - NIFTY Index Options'!$I:$I,"Weekly*")+SUMIFS('NSE - NIFTY Index Options'!$M:$M,'NSE - NIFTY Index Options'!$C:$C,$A57,'NSE - NIFTY Index Options'!$B:$B,E$4,'NSE - NIFTY Index Options'!$I:$I,"MDAW*")+SUMIFS('NSE - Other Index Options'!$M:$M,'NSE - Other Index Options'!$C:$C,$A57,'NSE - Other Index Options'!$B:$B,E$4,'NSE - Other Index Options'!$I:$I,"Weekly*")+SUMIFS('NSE - Other Index Options'!$M:$M,'NSE - Other Index Options'!$C:$C,$A57,'NSE - Other Index Options'!$B:$B,E$4,'NSE - Other Index Options'!$I:$I,"MDAW*")+SUMIFS('BSE - SENSEX Index Options'!$M:$M,'BSE - SENSEX Index Options'!$C:$C,$A57,'BSE - SENSEX Index Options'!$B:$B,E$4,'BSE - SENSEX Index Options'!$I:$I,"Weekly*")+SUMIFS('BSE - SENSEX Index Options'!$M:$M,'BSE - SENSEX Index Options'!$C:$C,$A57,'BSE - SENSEX Index Options'!$B:$B,E$4,'BSE - SENSEX Index Options'!$I:$I,"MDAW*")+SUMIFS('BSE - Other Index Options'!$M:$M,'BSE - Other Index Options'!$C:$C,$A57,'BSE - Other Index Options'!$B:$B,E$4,'BSE - Other Index Options'!$I:$I,"Weekly*")+SUMIFS('BSE - Other Index Options'!$M:$M,'BSE - Other Index Options'!$C:$C,$A57,'BSE - Other Index Options'!$B:$B,E$4,'BSE - Other Index Options'!$I:$I,"MDAW*"))</f>
        <v/>
      </c>
      <c r="F57" s="26">
        <f>IF(SUMIFS('NSE - NIFTY Index Options'!$M:$M,'NSE - NIFTY Index Options'!$C:$C,$A57,'NSE - NIFTY Index Options'!$B:$B,F$4,'NSE - NIFTY Index Options'!$I:$I,"Weekly*")+SUMIFS('NSE - NIFTY Index Options'!$M:$M,'NSE - NIFTY Index Options'!$C:$C,$A57,'NSE - NIFTY Index Options'!$B:$B,F$4,'NSE - NIFTY Index Options'!$I:$I,"MDAW*")+SUMIFS('NSE - Other Index Options'!$M:$M,'NSE - Other Index Options'!$C:$C,$A57,'NSE - Other Index Options'!$B:$B,F$4,'NSE - Other Index Options'!$I:$I,"Weekly*")+SUMIFS('NSE - Other Index Options'!$M:$M,'NSE - Other Index Options'!$C:$C,$A57,'NSE - Other Index Options'!$B:$B,F$4,'NSE - Other Index Options'!$I:$I,"MDAW*")+SUMIFS('BSE - SENSEX Index Options'!$M:$M,'BSE - SENSEX Index Options'!$C:$C,$A57,'BSE - SENSEX Index Options'!$B:$B,F$4,'BSE - SENSEX Index Options'!$I:$I,"Weekly*")+SUMIFS('BSE - SENSEX Index Options'!$M:$M,'BSE - SENSEX Index Options'!$C:$C,$A57,'BSE - SENSEX Index Options'!$B:$B,F$4,'BSE - SENSEX Index Options'!$I:$I,"MDAW*")+SUMIFS('BSE - Other Index Options'!$M:$M,'BSE - Other Index Options'!$C:$C,$A57,'BSE - Other Index Options'!$B:$B,F$4,'BSE - Other Index Options'!$I:$I,"Weekly*")+SUMIFS('BSE - Other Index Options'!$M:$M,'BSE - Other Index Options'!$C:$C,$A57,'BSE - Other Index Options'!$B:$B,F$4,'BSE - Other Index Options'!$I:$I,"MDAW*")=0,"",SUMIFS('NSE - NIFTY Index Options'!$M:$M,'NSE - NIFTY Index Options'!$C:$C,$A57,'NSE - NIFTY Index Options'!$B:$B,F$4,'NSE - NIFTY Index Options'!$I:$I,"Weekly*")+SUMIFS('NSE - NIFTY Index Options'!$M:$M,'NSE - NIFTY Index Options'!$C:$C,$A57,'NSE - NIFTY Index Options'!$B:$B,F$4,'NSE - NIFTY Index Options'!$I:$I,"MDAW*")+SUMIFS('NSE - Other Index Options'!$M:$M,'NSE - Other Index Options'!$C:$C,$A57,'NSE - Other Index Options'!$B:$B,F$4,'NSE - Other Index Options'!$I:$I,"Weekly*")+SUMIFS('NSE - Other Index Options'!$M:$M,'NSE - Other Index Options'!$C:$C,$A57,'NSE - Other Index Options'!$B:$B,F$4,'NSE - Other Index Options'!$I:$I,"MDAW*")+SUMIFS('BSE - SENSEX Index Options'!$M:$M,'BSE - SENSEX Index Options'!$C:$C,$A57,'BSE - SENSEX Index Options'!$B:$B,F$4,'BSE - SENSEX Index Options'!$I:$I,"Weekly*")+SUMIFS('BSE - SENSEX Index Options'!$M:$M,'BSE - SENSEX Index Options'!$C:$C,$A57,'BSE - SENSEX Index Options'!$B:$B,F$4,'BSE - SENSEX Index Options'!$I:$I,"MDAW*")+SUMIFS('BSE - Other Index Options'!$M:$M,'BSE - Other Index Options'!$C:$C,$A57,'BSE - Other Index Options'!$B:$B,F$4,'BSE - Other Index Options'!$I:$I,"Weekly*")+SUMIFS('BSE - Other Index Options'!$M:$M,'BSE - Other Index Options'!$C:$C,$A57,'BSE - Other Index Options'!$B:$B,F$4,'BSE - Other Index Options'!$I:$I,"MDAW*"))</f>
        <v/>
      </c>
      <c r="G57" s="26">
        <f>IF(SUMIFS('NSE - NIFTY Index Options'!$M:$M,'NSE - NIFTY Index Options'!$C:$C,$A57,'NSE - NIFTY Index Options'!$B:$B,G$4,'NSE - NIFTY Index Options'!$I:$I,"Weekly*")+SUMIFS('NSE - NIFTY Index Options'!$M:$M,'NSE - NIFTY Index Options'!$C:$C,$A57,'NSE - NIFTY Index Options'!$B:$B,G$4,'NSE - NIFTY Index Options'!$I:$I,"MDAW*")+SUMIFS('NSE - Other Index Options'!$M:$M,'NSE - Other Index Options'!$C:$C,$A57,'NSE - Other Index Options'!$B:$B,G$4,'NSE - Other Index Options'!$I:$I,"Weekly*")+SUMIFS('NSE - Other Index Options'!$M:$M,'NSE - Other Index Options'!$C:$C,$A57,'NSE - Other Index Options'!$B:$B,G$4,'NSE - Other Index Options'!$I:$I,"MDAW*")+SUMIFS('BSE - SENSEX Index Options'!$M:$M,'BSE - SENSEX Index Options'!$C:$C,$A57,'BSE - SENSEX Index Options'!$B:$B,G$4,'BSE - SENSEX Index Options'!$I:$I,"Weekly*")+SUMIFS('BSE - SENSEX Index Options'!$M:$M,'BSE - SENSEX Index Options'!$C:$C,$A57,'BSE - SENSEX Index Options'!$B:$B,G$4,'BSE - SENSEX Index Options'!$I:$I,"MDAW*")+SUMIFS('BSE - Other Index Options'!$M:$M,'BSE - Other Index Options'!$C:$C,$A57,'BSE - Other Index Options'!$B:$B,G$4,'BSE - Other Index Options'!$I:$I,"Weekly*")+SUMIFS('BSE - Other Index Options'!$M:$M,'BSE - Other Index Options'!$C:$C,$A57,'BSE - Other Index Options'!$B:$B,G$4,'BSE - Other Index Options'!$I:$I,"MDAW*")=0,"",SUMIFS('NSE - NIFTY Index Options'!$M:$M,'NSE - NIFTY Index Options'!$C:$C,$A57,'NSE - NIFTY Index Options'!$B:$B,G$4,'NSE - NIFTY Index Options'!$I:$I,"Weekly*")+SUMIFS('NSE - NIFTY Index Options'!$M:$M,'NSE - NIFTY Index Options'!$C:$C,$A57,'NSE - NIFTY Index Options'!$B:$B,G$4,'NSE - NIFTY Index Options'!$I:$I,"MDAW*")+SUMIFS('NSE - Other Index Options'!$M:$M,'NSE - Other Index Options'!$C:$C,$A57,'NSE - Other Index Options'!$B:$B,G$4,'NSE - Other Index Options'!$I:$I,"Weekly*")+SUMIFS('NSE - Other Index Options'!$M:$M,'NSE - Other Index Options'!$C:$C,$A57,'NSE - Other Index Options'!$B:$B,G$4,'NSE - Other Index Options'!$I:$I,"MDAW*")+SUMIFS('BSE - SENSEX Index Options'!$M:$M,'BSE - SENSEX Index Options'!$C:$C,$A57,'BSE - SENSEX Index Options'!$B:$B,G$4,'BSE - SENSEX Index Options'!$I:$I,"Weekly*")+SUMIFS('BSE - SENSEX Index Options'!$M:$M,'BSE - SENSEX Index Options'!$C:$C,$A57,'BSE - SENSEX Index Options'!$B:$B,G$4,'BSE - SENSEX Index Options'!$I:$I,"MDAW*")+SUMIFS('BSE - Other Index Options'!$M:$M,'BSE - Other Index Options'!$C:$C,$A57,'BSE - Other Index Options'!$B:$B,G$4,'BSE - Other Index Options'!$I:$I,"Weekly*")+SUMIFS('BSE - Other Index Options'!$M:$M,'BSE - Other Index Options'!$C:$C,$A57,'BSE - Other Index Options'!$B:$B,G$4,'BSE - Other Index Options'!$I:$I,"MDAW*"))</f>
        <v/>
      </c>
      <c r="H57" s="26">
        <f>IF(SUM(B57:G57)=0,"",SUM(B57:G57))</f>
        <v/>
      </c>
    </row>
    <row r="58">
      <c r="A58" t="inlineStr">
        <is>
          <t>Week5-Jul-2026</t>
        </is>
      </c>
      <c r="B58" s="26">
        <f>IF(SUMIFS('NSE - NIFTY Index Options'!$M:$M,'NSE - NIFTY Index Options'!$C:$C,$A58,'NSE - NIFTY Index Options'!$B:$B,B$4,'NSE - NIFTY Index Options'!$I:$I,"Weekly*")+SUMIFS('NSE - NIFTY Index Options'!$M:$M,'NSE - NIFTY Index Options'!$C:$C,$A58,'NSE - NIFTY Index Options'!$B:$B,B$4,'NSE - NIFTY Index Options'!$I:$I,"MDAW*")+SUMIFS('NSE - Other Index Options'!$M:$M,'NSE - Other Index Options'!$C:$C,$A58,'NSE - Other Index Options'!$B:$B,B$4,'NSE - Other Index Options'!$I:$I,"Weekly*")+SUMIFS('NSE - Other Index Options'!$M:$M,'NSE - Other Index Options'!$C:$C,$A58,'NSE - Other Index Options'!$B:$B,B$4,'NSE - Other Index Options'!$I:$I,"MDAW*")+SUMIFS('BSE - SENSEX Index Options'!$M:$M,'BSE - SENSEX Index Options'!$C:$C,$A58,'BSE - SENSEX Index Options'!$B:$B,B$4,'BSE - SENSEX Index Options'!$I:$I,"Weekly*")+SUMIFS('BSE - SENSEX Index Options'!$M:$M,'BSE - SENSEX Index Options'!$C:$C,$A58,'BSE - SENSEX Index Options'!$B:$B,B$4,'BSE - SENSEX Index Options'!$I:$I,"MDAW*")+SUMIFS('BSE - Other Index Options'!$M:$M,'BSE - Other Index Options'!$C:$C,$A58,'BSE - Other Index Options'!$B:$B,B$4,'BSE - Other Index Options'!$I:$I,"Weekly*")+SUMIFS('BSE - Other Index Options'!$M:$M,'BSE - Other Index Options'!$C:$C,$A58,'BSE - Other Index Options'!$B:$B,B$4,'BSE - Other Index Options'!$I:$I,"MDAW*")=0,"",SUMIFS('NSE - NIFTY Index Options'!$M:$M,'NSE - NIFTY Index Options'!$C:$C,$A58,'NSE - NIFTY Index Options'!$B:$B,B$4,'NSE - NIFTY Index Options'!$I:$I,"Weekly*")+SUMIFS('NSE - NIFTY Index Options'!$M:$M,'NSE - NIFTY Index Options'!$C:$C,$A58,'NSE - NIFTY Index Options'!$B:$B,B$4,'NSE - NIFTY Index Options'!$I:$I,"MDAW*")+SUMIFS('NSE - Other Index Options'!$M:$M,'NSE - Other Index Options'!$C:$C,$A58,'NSE - Other Index Options'!$B:$B,B$4,'NSE - Other Index Options'!$I:$I,"Weekly*")+SUMIFS('NSE - Other Index Options'!$M:$M,'NSE - Other Index Options'!$C:$C,$A58,'NSE - Other Index Options'!$B:$B,B$4,'NSE - Other Index Options'!$I:$I,"MDAW*")+SUMIFS('BSE - SENSEX Index Options'!$M:$M,'BSE - SENSEX Index Options'!$C:$C,$A58,'BSE - SENSEX Index Options'!$B:$B,B$4,'BSE - SENSEX Index Options'!$I:$I,"Weekly*")+SUMIFS('BSE - SENSEX Index Options'!$M:$M,'BSE - SENSEX Index Options'!$C:$C,$A58,'BSE - SENSEX Index Options'!$B:$B,B$4,'BSE - SENSEX Index Options'!$I:$I,"MDAW*")+SUMIFS('BSE - Other Index Options'!$M:$M,'BSE - Other Index Options'!$C:$C,$A58,'BSE - Other Index Options'!$B:$B,B$4,'BSE - Other Index Options'!$I:$I,"Weekly*")+SUMIFS('BSE - Other Index Options'!$M:$M,'BSE - Other Index Options'!$C:$C,$A58,'BSE - Other Index Options'!$B:$B,B$4,'BSE - Other Index Options'!$I:$I,"MDAW*"))</f>
        <v/>
      </c>
      <c r="C58" s="26">
        <f>IF(SUMIFS('NSE - NIFTY Index Options'!$M:$M,'NSE - NIFTY Index Options'!$C:$C,$A58,'NSE - NIFTY Index Options'!$B:$B,C$4,'NSE - NIFTY Index Options'!$I:$I,"Weekly*")+SUMIFS('NSE - NIFTY Index Options'!$M:$M,'NSE - NIFTY Index Options'!$C:$C,$A58,'NSE - NIFTY Index Options'!$B:$B,C$4,'NSE - NIFTY Index Options'!$I:$I,"MDAW*")+SUMIFS('NSE - Other Index Options'!$M:$M,'NSE - Other Index Options'!$C:$C,$A58,'NSE - Other Index Options'!$B:$B,C$4,'NSE - Other Index Options'!$I:$I,"Weekly*")+SUMIFS('NSE - Other Index Options'!$M:$M,'NSE - Other Index Options'!$C:$C,$A58,'NSE - Other Index Options'!$B:$B,C$4,'NSE - Other Index Options'!$I:$I,"MDAW*")+SUMIFS('BSE - SENSEX Index Options'!$M:$M,'BSE - SENSEX Index Options'!$C:$C,$A58,'BSE - SENSEX Index Options'!$B:$B,C$4,'BSE - SENSEX Index Options'!$I:$I,"Weekly*")+SUMIFS('BSE - SENSEX Index Options'!$M:$M,'BSE - SENSEX Index Options'!$C:$C,$A58,'BSE - SENSEX Index Options'!$B:$B,C$4,'BSE - SENSEX Index Options'!$I:$I,"MDAW*")+SUMIFS('BSE - Other Index Options'!$M:$M,'BSE - Other Index Options'!$C:$C,$A58,'BSE - Other Index Options'!$B:$B,C$4,'BSE - Other Index Options'!$I:$I,"Weekly*")+SUMIFS('BSE - Other Index Options'!$M:$M,'BSE - Other Index Options'!$C:$C,$A58,'BSE - Other Index Options'!$B:$B,C$4,'BSE - Other Index Options'!$I:$I,"MDAW*")=0,"",SUMIFS('NSE - NIFTY Index Options'!$M:$M,'NSE - NIFTY Index Options'!$C:$C,$A58,'NSE - NIFTY Index Options'!$B:$B,C$4,'NSE - NIFTY Index Options'!$I:$I,"Weekly*")+SUMIFS('NSE - NIFTY Index Options'!$M:$M,'NSE - NIFTY Index Options'!$C:$C,$A58,'NSE - NIFTY Index Options'!$B:$B,C$4,'NSE - NIFTY Index Options'!$I:$I,"MDAW*")+SUMIFS('NSE - Other Index Options'!$M:$M,'NSE - Other Index Options'!$C:$C,$A58,'NSE - Other Index Options'!$B:$B,C$4,'NSE - Other Index Options'!$I:$I,"Weekly*")+SUMIFS('NSE - Other Index Options'!$M:$M,'NSE - Other Index Options'!$C:$C,$A58,'NSE - Other Index Options'!$B:$B,C$4,'NSE - Other Index Options'!$I:$I,"MDAW*")+SUMIFS('BSE - SENSEX Index Options'!$M:$M,'BSE - SENSEX Index Options'!$C:$C,$A58,'BSE - SENSEX Index Options'!$B:$B,C$4,'BSE - SENSEX Index Options'!$I:$I,"Weekly*")+SUMIFS('BSE - SENSEX Index Options'!$M:$M,'BSE - SENSEX Index Options'!$C:$C,$A58,'BSE - SENSEX Index Options'!$B:$B,C$4,'BSE - SENSEX Index Options'!$I:$I,"MDAW*")+SUMIFS('BSE - Other Index Options'!$M:$M,'BSE - Other Index Options'!$C:$C,$A58,'BSE - Other Index Options'!$B:$B,C$4,'BSE - Other Index Options'!$I:$I,"Weekly*")+SUMIFS('BSE - Other Index Options'!$M:$M,'BSE - Other Index Options'!$C:$C,$A58,'BSE - Other Index Options'!$B:$B,C$4,'BSE - Other Index Options'!$I:$I,"MDAW*"))</f>
        <v/>
      </c>
      <c r="D58" s="26">
        <f>IF(SUMIFS('NSE - NIFTY Index Options'!$M:$M,'NSE - NIFTY Index Options'!$C:$C,$A58,'NSE - NIFTY Index Options'!$B:$B,D$4,'NSE - NIFTY Index Options'!$I:$I,"Weekly*")+SUMIFS('NSE - NIFTY Index Options'!$M:$M,'NSE - NIFTY Index Options'!$C:$C,$A58,'NSE - NIFTY Index Options'!$B:$B,D$4,'NSE - NIFTY Index Options'!$I:$I,"MDAW*")+SUMIFS('NSE - Other Index Options'!$M:$M,'NSE - Other Index Options'!$C:$C,$A58,'NSE - Other Index Options'!$B:$B,D$4,'NSE - Other Index Options'!$I:$I,"Weekly*")+SUMIFS('NSE - Other Index Options'!$M:$M,'NSE - Other Index Options'!$C:$C,$A58,'NSE - Other Index Options'!$B:$B,D$4,'NSE - Other Index Options'!$I:$I,"MDAW*")+SUMIFS('BSE - SENSEX Index Options'!$M:$M,'BSE - SENSEX Index Options'!$C:$C,$A58,'BSE - SENSEX Index Options'!$B:$B,D$4,'BSE - SENSEX Index Options'!$I:$I,"Weekly*")+SUMIFS('BSE - SENSEX Index Options'!$M:$M,'BSE - SENSEX Index Options'!$C:$C,$A58,'BSE - SENSEX Index Options'!$B:$B,D$4,'BSE - SENSEX Index Options'!$I:$I,"MDAW*")+SUMIFS('BSE - Other Index Options'!$M:$M,'BSE - Other Index Options'!$C:$C,$A58,'BSE - Other Index Options'!$B:$B,D$4,'BSE - Other Index Options'!$I:$I,"Weekly*")+SUMIFS('BSE - Other Index Options'!$M:$M,'BSE - Other Index Options'!$C:$C,$A58,'BSE - Other Index Options'!$B:$B,D$4,'BSE - Other Index Options'!$I:$I,"MDAW*")=0,"",SUMIFS('NSE - NIFTY Index Options'!$M:$M,'NSE - NIFTY Index Options'!$C:$C,$A58,'NSE - NIFTY Index Options'!$B:$B,D$4,'NSE - NIFTY Index Options'!$I:$I,"Weekly*")+SUMIFS('NSE - NIFTY Index Options'!$M:$M,'NSE - NIFTY Index Options'!$C:$C,$A58,'NSE - NIFTY Index Options'!$B:$B,D$4,'NSE - NIFTY Index Options'!$I:$I,"MDAW*")+SUMIFS('NSE - Other Index Options'!$M:$M,'NSE - Other Index Options'!$C:$C,$A58,'NSE - Other Index Options'!$B:$B,D$4,'NSE - Other Index Options'!$I:$I,"Weekly*")+SUMIFS('NSE - Other Index Options'!$M:$M,'NSE - Other Index Options'!$C:$C,$A58,'NSE - Other Index Options'!$B:$B,D$4,'NSE - Other Index Options'!$I:$I,"MDAW*")+SUMIFS('BSE - SENSEX Index Options'!$M:$M,'BSE - SENSEX Index Options'!$C:$C,$A58,'BSE - SENSEX Index Options'!$B:$B,D$4,'BSE - SENSEX Index Options'!$I:$I,"Weekly*")+SUMIFS('BSE - SENSEX Index Options'!$M:$M,'BSE - SENSEX Index Options'!$C:$C,$A58,'BSE - SENSEX Index Options'!$B:$B,D$4,'BSE - SENSEX Index Options'!$I:$I,"MDAW*")+SUMIFS('BSE - Other Index Options'!$M:$M,'BSE - Other Index Options'!$C:$C,$A58,'BSE - Other Index Options'!$B:$B,D$4,'BSE - Other Index Options'!$I:$I,"Weekly*")+SUMIFS('BSE - Other Index Options'!$M:$M,'BSE - Other Index Options'!$C:$C,$A58,'BSE - Other Index Options'!$B:$B,D$4,'BSE - Other Index Options'!$I:$I,"MDAW*"))</f>
        <v/>
      </c>
      <c r="E58" s="26">
        <f>IF(SUMIFS('NSE - NIFTY Index Options'!$M:$M,'NSE - NIFTY Index Options'!$C:$C,$A58,'NSE - NIFTY Index Options'!$B:$B,E$4,'NSE - NIFTY Index Options'!$I:$I,"Weekly*")+SUMIFS('NSE - NIFTY Index Options'!$M:$M,'NSE - NIFTY Index Options'!$C:$C,$A58,'NSE - NIFTY Index Options'!$B:$B,E$4,'NSE - NIFTY Index Options'!$I:$I,"MDAW*")+SUMIFS('NSE - Other Index Options'!$M:$M,'NSE - Other Index Options'!$C:$C,$A58,'NSE - Other Index Options'!$B:$B,E$4,'NSE - Other Index Options'!$I:$I,"Weekly*")+SUMIFS('NSE - Other Index Options'!$M:$M,'NSE - Other Index Options'!$C:$C,$A58,'NSE - Other Index Options'!$B:$B,E$4,'NSE - Other Index Options'!$I:$I,"MDAW*")+SUMIFS('BSE - SENSEX Index Options'!$M:$M,'BSE - SENSEX Index Options'!$C:$C,$A58,'BSE - SENSEX Index Options'!$B:$B,E$4,'BSE - SENSEX Index Options'!$I:$I,"Weekly*")+SUMIFS('BSE - SENSEX Index Options'!$M:$M,'BSE - SENSEX Index Options'!$C:$C,$A58,'BSE - SENSEX Index Options'!$B:$B,E$4,'BSE - SENSEX Index Options'!$I:$I,"MDAW*")+SUMIFS('BSE - Other Index Options'!$M:$M,'BSE - Other Index Options'!$C:$C,$A58,'BSE - Other Index Options'!$B:$B,E$4,'BSE - Other Index Options'!$I:$I,"Weekly*")+SUMIFS('BSE - Other Index Options'!$M:$M,'BSE - Other Index Options'!$C:$C,$A58,'BSE - Other Index Options'!$B:$B,E$4,'BSE - Other Index Options'!$I:$I,"MDAW*")=0,"",SUMIFS('NSE - NIFTY Index Options'!$M:$M,'NSE - NIFTY Index Options'!$C:$C,$A58,'NSE - NIFTY Index Options'!$B:$B,E$4,'NSE - NIFTY Index Options'!$I:$I,"Weekly*")+SUMIFS('NSE - NIFTY Index Options'!$M:$M,'NSE - NIFTY Index Options'!$C:$C,$A58,'NSE - NIFTY Index Options'!$B:$B,E$4,'NSE - NIFTY Index Options'!$I:$I,"MDAW*")+SUMIFS('NSE - Other Index Options'!$M:$M,'NSE - Other Index Options'!$C:$C,$A58,'NSE - Other Index Options'!$B:$B,E$4,'NSE - Other Index Options'!$I:$I,"Weekly*")+SUMIFS('NSE - Other Index Options'!$M:$M,'NSE - Other Index Options'!$C:$C,$A58,'NSE - Other Index Options'!$B:$B,E$4,'NSE - Other Index Options'!$I:$I,"MDAW*")+SUMIFS('BSE - SENSEX Index Options'!$M:$M,'BSE - SENSEX Index Options'!$C:$C,$A58,'BSE - SENSEX Index Options'!$B:$B,E$4,'BSE - SENSEX Index Options'!$I:$I,"Weekly*")+SUMIFS('BSE - SENSEX Index Options'!$M:$M,'BSE - SENSEX Index Options'!$C:$C,$A58,'BSE - SENSEX Index Options'!$B:$B,E$4,'BSE - SENSEX Index Options'!$I:$I,"MDAW*")+SUMIFS('BSE - Other Index Options'!$M:$M,'BSE - Other Index Options'!$C:$C,$A58,'BSE - Other Index Options'!$B:$B,E$4,'BSE - Other Index Options'!$I:$I,"Weekly*")+SUMIFS('BSE - Other Index Options'!$M:$M,'BSE - Other Index Options'!$C:$C,$A58,'BSE - Other Index Options'!$B:$B,E$4,'BSE - Other Index Options'!$I:$I,"MDAW*"))</f>
        <v/>
      </c>
      <c r="F58" s="26">
        <f>IF(SUMIFS('NSE - NIFTY Index Options'!$M:$M,'NSE - NIFTY Index Options'!$C:$C,$A58,'NSE - NIFTY Index Options'!$B:$B,F$4,'NSE - NIFTY Index Options'!$I:$I,"Weekly*")+SUMIFS('NSE - NIFTY Index Options'!$M:$M,'NSE - NIFTY Index Options'!$C:$C,$A58,'NSE - NIFTY Index Options'!$B:$B,F$4,'NSE - NIFTY Index Options'!$I:$I,"MDAW*")+SUMIFS('NSE - Other Index Options'!$M:$M,'NSE - Other Index Options'!$C:$C,$A58,'NSE - Other Index Options'!$B:$B,F$4,'NSE - Other Index Options'!$I:$I,"Weekly*")+SUMIFS('NSE - Other Index Options'!$M:$M,'NSE - Other Index Options'!$C:$C,$A58,'NSE - Other Index Options'!$B:$B,F$4,'NSE - Other Index Options'!$I:$I,"MDAW*")+SUMIFS('BSE - SENSEX Index Options'!$M:$M,'BSE - SENSEX Index Options'!$C:$C,$A58,'BSE - SENSEX Index Options'!$B:$B,F$4,'BSE - SENSEX Index Options'!$I:$I,"Weekly*")+SUMIFS('BSE - SENSEX Index Options'!$M:$M,'BSE - SENSEX Index Options'!$C:$C,$A58,'BSE - SENSEX Index Options'!$B:$B,F$4,'BSE - SENSEX Index Options'!$I:$I,"MDAW*")+SUMIFS('BSE - Other Index Options'!$M:$M,'BSE - Other Index Options'!$C:$C,$A58,'BSE - Other Index Options'!$B:$B,F$4,'BSE - Other Index Options'!$I:$I,"Weekly*")+SUMIFS('BSE - Other Index Options'!$M:$M,'BSE - Other Index Options'!$C:$C,$A58,'BSE - Other Index Options'!$B:$B,F$4,'BSE - Other Index Options'!$I:$I,"MDAW*")=0,"",SUMIFS('NSE - NIFTY Index Options'!$M:$M,'NSE - NIFTY Index Options'!$C:$C,$A58,'NSE - NIFTY Index Options'!$B:$B,F$4,'NSE - NIFTY Index Options'!$I:$I,"Weekly*")+SUMIFS('NSE - NIFTY Index Options'!$M:$M,'NSE - NIFTY Index Options'!$C:$C,$A58,'NSE - NIFTY Index Options'!$B:$B,F$4,'NSE - NIFTY Index Options'!$I:$I,"MDAW*")+SUMIFS('NSE - Other Index Options'!$M:$M,'NSE - Other Index Options'!$C:$C,$A58,'NSE - Other Index Options'!$B:$B,F$4,'NSE - Other Index Options'!$I:$I,"Weekly*")+SUMIFS('NSE - Other Index Options'!$M:$M,'NSE - Other Index Options'!$C:$C,$A58,'NSE - Other Index Options'!$B:$B,F$4,'NSE - Other Index Options'!$I:$I,"MDAW*")+SUMIFS('BSE - SENSEX Index Options'!$M:$M,'BSE - SENSEX Index Options'!$C:$C,$A58,'BSE - SENSEX Index Options'!$B:$B,F$4,'BSE - SENSEX Index Options'!$I:$I,"Weekly*")+SUMIFS('BSE - SENSEX Index Options'!$M:$M,'BSE - SENSEX Index Options'!$C:$C,$A58,'BSE - SENSEX Index Options'!$B:$B,F$4,'BSE - SENSEX Index Options'!$I:$I,"MDAW*")+SUMIFS('BSE - Other Index Options'!$M:$M,'BSE - Other Index Options'!$C:$C,$A58,'BSE - Other Index Options'!$B:$B,F$4,'BSE - Other Index Options'!$I:$I,"Weekly*")+SUMIFS('BSE - Other Index Options'!$M:$M,'BSE - Other Index Options'!$C:$C,$A58,'BSE - Other Index Options'!$B:$B,F$4,'BSE - Other Index Options'!$I:$I,"MDAW*"))</f>
        <v/>
      </c>
      <c r="G58" s="26">
        <f>IF(SUMIFS('NSE - NIFTY Index Options'!$M:$M,'NSE - NIFTY Index Options'!$C:$C,$A58,'NSE - NIFTY Index Options'!$B:$B,G$4,'NSE - NIFTY Index Options'!$I:$I,"Weekly*")+SUMIFS('NSE - NIFTY Index Options'!$M:$M,'NSE - NIFTY Index Options'!$C:$C,$A58,'NSE - NIFTY Index Options'!$B:$B,G$4,'NSE - NIFTY Index Options'!$I:$I,"MDAW*")+SUMIFS('NSE - Other Index Options'!$M:$M,'NSE - Other Index Options'!$C:$C,$A58,'NSE - Other Index Options'!$B:$B,G$4,'NSE - Other Index Options'!$I:$I,"Weekly*")+SUMIFS('NSE - Other Index Options'!$M:$M,'NSE - Other Index Options'!$C:$C,$A58,'NSE - Other Index Options'!$B:$B,G$4,'NSE - Other Index Options'!$I:$I,"MDAW*")+SUMIFS('BSE - SENSEX Index Options'!$M:$M,'BSE - SENSEX Index Options'!$C:$C,$A58,'BSE - SENSEX Index Options'!$B:$B,G$4,'BSE - SENSEX Index Options'!$I:$I,"Weekly*")+SUMIFS('BSE - SENSEX Index Options'!$M:$M,'BSE - SENSEX Index Options'!$C:$C,$A58,'BSE - SENSEX Index Options'!$B:$B,G$4,'BSE - SENSEX Index Options'!$I:$I,"MDAW*")+SUMIFS('BSE - Other Index Options'!$M:$M,'BSE - Other Index Options'!$C:$C,$A58,'BSE - Other Index Options'!$B:$B,G$4,'BSE - Other Index Options'!$I:$I,"Weekly*")+SUMIFS('BSE - Other Index Options'!$M:$M,'BSE - Other Index Options'!$C:$C,$A58,'BSE - Other Index Options'!$B:$B,G$4,'BSE - Other Index Options'!$I:$I,"MDAW*")=0,"",SUMIFS('NSE - NIFTY Index Options'!$M:$M,'NSE - NIFTY Index Options'!$C:$C,$A58,'NSE - NIFTY Index Options'!$B:$B,G$4,'NSE - NIFTY Index Options'!$I:$I,"Weekly*")+SUMIFS('NSE - NIFTY Index Options'!$M:$M,'NSE - NIFTY Index Options'!$C:$C,$A58,'NSE - NIFTY Index Options'!$B:$B,G$4,'NSE - NIFTY Index Options'!$I:$I,"MDAW*")+SUMIFS('NSE - Other Index Options'!$M:$M,'NSE - Other Index Options'!$C:$C,$A58,'NSE - Other Index Options'!$B:$B,G$4,'NSE - Other Index Options'!$I:$I,"Weekly*")+SUMIFS('NSE - Other Index Options'!$M:$M,'NSE - Other Index Options'!$C:$C,$A58,'NSE - Other Index Options'!$B:$B,G$4,'NSE - Other Index Options'!$I:$I,"MDAW*")+SUMIFS('BSE - SENSEX Index Options'!$M:$M,'BSE - SENSEX Index Options'!$C:$C,$A58,'BSE - SENSEX Index Options'!$B:$B,G$4,'BSE - SENSEX Index Options'!$I:$I,"Weekly*")+SUMIFS('BSE - SENSEX Index Options'!$M:$M,'BSE - SENSEX Index Options'!$C:$C,$A58,'BSE - SENSEX Index Options'!$B:$B,G$4,'BSE - SENSEX Index Options'!$I:$I,"MDAW*")+SUMIFS('BSE - Other Index Options'!$M:$M,'BSE - Other Index Options'!$C:$C,$A58,'BSE - Other Index Options'!$B:$B,G$4,'BSE - Other Index Options'!$I:$I,"Weekly*")+SUMIFS('BSE - Other Index Options'!$M:$M,'BSE - Other Index Options'!$C:$C,$A58,'BSE - Other Index Options'!$B:$B,G$4,'BSE - Other Index Options'!$I:$I,"MDAW*"))</f>
        <v/>
      </c>
      <c r="H58" s="26">
        <f>IF(SUM(B58:G58)=0,"",SUM(B58:G58))</f>
        <v/>
      </c>
    </row>
    <row r="59">
      <c r="A59" t="inlineStr">
        <is>
          <t>Week1-Aug-2026</t>
        </is>
      </c>
      <c r="B59" s="26">
        <f>IF(SUMIFS('NSE - NIFTY Index Options'!$M:$M,'NSE - NIFTY Index Options'!$C:$C,$A59,'NSE - NIFTY Index Options'!$B:$B,B$4,'NSE - NIFTY Index Options'!$I:$I,"Weekly*")+SUMIFS('NSE - NIFTY Index Options'!$M:$M,'NSE - NIFTY Index Options'!$C:$C,$A59,'NSE - NIFTY Index Options'!$B:$B,B$4,'NSE - NIFTY Index Options'!$I:$I,"MDAW*")+SUMIFS('NSE - Other Index Options'!$M:$M,'NSE - Other Index Options'!$C:$C,$A59,'NSE - Other Index Options'!$B:$B,B$4,'NSE - Other Index Options'!$I:$I,"Weekly*")+SUMIFS('NSE - Other Index Options'!$M:$M,'NSE - Other Index Options'!$C:$C,$A59,'NSE - Other Index Options'!$B:$B,B$4,'NSE - Other Index Options'!$I:$I,"MDAW*")+SUMIFS('BSE - SENSEX Index Options'!$M:$M,'BSE - SENSEX Index Options'!$C:$C,$A59,'BSE - SENSEX Index Options'!$B:$B,B$4,'BSE - SENSEX Index Options'!$I:$I,"Weekly*")+SUMIFS('BSE - SENSEX Index Options'!$M:$M,'BSE - SENSEX Index Options'!$C:$C,$A59,'BSE - SENSEX Index Options'!$B:$B,B$4,'BSE - SENSEX Index Options'!$I:$I,"MDAW*")+SUMIFS('BSE - Other Index Options'!$M:$M,'BSE - Other Index Options'!$C:$C,$A59,'BSE - Other Index Options'!$B:$B,B$4,'BSE - Other Index Options'!$I:$I,"Weekly*")+SUMIFS('BSE - Other Index Options'!$M:$M,'BSE - Other Index Options'!$C:$C,$A59,'BSE - Other Index Options'!$B:$B,B$4,'BSE - Other Index Options'!$I:$I,"MDAW*")=0,"",SUMIFS('NSE - NIFTY Index Options'!$M:$M,'NSE - NIFTY Index Options'!$C:$C,$A59,'NSE - NIFTY Index Options'!$B:$B,B$4,'NSE - NIFTY Index Options'!$I:$I,"Weekly*")+SUMIFS('NSE - NIFTY Index Options'!$M:$M,'NSE - NIFTY Index Options'!$C:$C,$A59,'NSE - NIFTY Index Options'!$B:$B,B$4,'NSE - NIFTY Index Options'!$I:$I,"MDAW*")+SUMIFS('NSE - Other Index Options'!$M:$M,'NSE - Other Index Options'!$C:$C,$A59,'NSE - Other Index Options'!$B:$B,B$4,'NSE - Other Index Options'!$I:$I,"Weekly*")+SUMIFS('NSE - Other Index Options'!$M:$M,'NSE - Other Index Options'!$C:$C,$A59,'NSE - Other Index Options'!$B:$B,B$4,'NSE - Other Index Options'!$I:$I,"MDAW*")+SUMIFS('BSE - SENSEX Index Options'!$M:$M,'BSE - SENSEX Index Options'!$C:$C,$A59,'BSE - SENSEX Index Options'!$B:$B,B$4,'BSE - SENSEX Index Options'!$I:$I,"Weekly*")+SUMIFS('BSE - SENSEX Index Options'!$M:$M,'BSE - SENSEX Index Options'!$C:$C,$A59,'BSE - SENSEX Index Options'!$B:$B,B$4,'BSE - SENSEX Index Options'!$I:$I,"MDAW*")+SUMIFS('BSE - Other Index Options'!$M:$M,'BSE - Other Index Options'!$C:$C,$A59,'BSE - Other Index Options'!$B:$B,B$4,'BSE - Other Index Options'!$I:$I,"Weekly*")+SUMIFS('BSE - Other Index Options'!$M:$M,'BSE - Other Index Options'!$C:$C,$A59,'BSE - Other Index Options'!$B:$B,B$4,'BSE - Other Index Options'!$I:$I,"MDAW*"))</f>
        <v/>
      </c>
      <c r="C59" s="26">
        <f>IF(SUMIFS('NSE - NIFTY Index Options'!$M:$M,'NSE - NIFTY Index Options'!$C:$C,$A59,'NSE - NIFTY Index Options'!$B:$B,C$4,'NSE - NIFTY Index Options'!$I:$I,"Weekly*")+SUMIFS('NSE - NIFTY Index Options'!$M:$M,'NSE - NIFTY Index Options'!$C:$C,$A59,'NSE - NIFTY Index Options'!$B:$B,C$4,'NSE - NIFTY Index Options'!$I:$I,"MDAW*")+SUMIFS('NSE - Other Index Options'!$M:$M,'NSE - Other Index Options'!$C:$C,$A59,'NSE - Other Index Options'!$B:$B,C$4,'NSE - Other Index Options'!$I:$I,"Weekly*")+SUMIFS('NSE - Other Index Options'!$M:$M,'NSE - Other Index Options'!$C:$C,$A59,'NSE - Other Index Options'!$B:$B,C$4,'NSE - Other Index Options'!$I:$I,"MDAW*")+SUMIFS('BSE - SENSEX Index Options'!$M:$M,'BSE - SENSEX Index Options'!$C:$C,$A59,'BSE - SENSEX Index Options'!$B:$B,C$4,'BSE - SENSEX Index Options'!$I:$I,"Weekly*")+SUMIFS('BSE - SENSEX Index Options'!$M:$M,'BSE - SENSEX Index Options'!$C:$C,$A59,'BSE - SENSEX Index Options'!$B:$B,C$4,'BSE - SENSEX Index Options'!$I:$I,"MDAW*")+SUMIFS('BSE - Other Index Options'!$M:$M,'BSE - Other Index Options'!$C:$C,$A59,'BSE - Other Index Options'!$B:$B,C$4,'BSE - Other Index Options'!$I:$I,"Weekly*")+SUMIFS('BSE - Other Index Options'!$M:$M,'BSE - Other Index Options'!$C:$C,$A59,'BSE - Other Index Options'!$B:$B,C$4,'BSE - Other Index Options'!$I:$I,"MDAW*")=0,"",SUMIFS('NSE - NIFTY Index Options'!$M:$M,'NSE - NIFTY Index Options'!$C:$C,$A59,'NSE - NIFTY Index Options'!$B:$B,C$4,'NSE - NIFTY Index Options'!$I:$I,"Weekly*")+SUMIFS('NSE - NIFTY Index Options'!$M:$M,'NSE - NIFTY Index Options'!$C:$C,$A59,'NSE - NIFTY Index Options'!$B:$B,C$4,'NSE - NIFTY Index Options'!$I:$I,"MDAW*")+SUMIFS('NSE - Other Index Options'!$M:$M,'NSE - Other Index Options'!$C:$C,$A59,'NSE - Other Index Options'!$B:$B,C$4,'NSE - Other Index Options'!$I:$I,"Weekly*")+SUMIFS('NSE - Other Index Options'!$M:$M,'NSE - Other Index Options'!$C:$C,$A59,'NSE - Other Index Options'!$B:$B,C$4,'NSE - Other Index Options'!$I:$I,"MDAW*")+SUMIFS('BSE - SENSEX Index Options'!$M:$M,'BSE - SENSEX Index Options'!$C:$C,$A59,'BSE - SENSEX Index Options'!$B:$B,C$4,'BSE - SENSEX Index Options'!$I:$I,"Weekly*")+SUMIFS('BSE - SENSEX Index Options'!$M:$M,'BSE - SENSEX Index Options'!$C:$C,$A59,'BSE - SENSEX Index Options'!$B:$B,C$4,'BSE - SENSEX Index Options'!$I:$I,"MDAW*")+SUMIFS('BSE - Other Index Options'!$M:$M,'BSE - Other Index Options'!$C:$C,$A59,'BSE - Other Index Options'!$B:$B,C$4,'BSE - Other Index Options'!$I:$I,"Weekly*")+SUMIFS('BSE - Other Index Options'!$M:$M,'BSE - Other Index Options'!$C:$C,$A59,'BSE - Other Index Options'!$B:$B,C$4,'BSE - Other Index Options'!$I:$I,"MDAW*"))</f>
        <v/>
      </c>
      <c r="D59" s="26">
        <f>IF(SUMIFS('NSE - NIFTY Index Options'!$M:$M,'NSE - NIFTY Index Options'!$C:$C,$A59,'NSE - NIFTY Index Options'!$B:$B,D$4,'NSE - NIFTY Index Options'!$I:$I,"Weekly*")+SUMIFS('NSE - NIFTY Index Options'!$M:$M,'NSE - NIFTY Index Options'!$C:$C,$A59,'NSE - NIFTY Index Options'!$B:$B,D$4,'NSE - NIFTY Index Options'!$I:$I,"MDAW*")+SUMIFS('NSE - Other Index Options'!$M:$M,'NSE - Other Index Options'!$C:$C,$A59,'NSE - Other Index Options'!$B:$B,D$4,'NSE - Other Index Options'!$I:$I,"Weekly*")+SUMIFS('NSE - Other Index Options'!$M:$M,'NSE - Other Index Options'!$C:$C,$A59,'NSE - Other Index Options'!$B:$B,D$4,'NSE - Other Index Options'!$I:$I,"MDAW*")+SUMIFS('BSE - SENSEX Index Options'!$M:$M,'BSE - SENSEX Index Options'!$C:$C,$A59,'BSE - SENSEX Index Options'!$B:$B,D$4,'BSE - SENSEX Index Options'!$I:$I,"Weekly*")+SUMIFS('BSE - SENSEX Index Options'!$M:$M,'BSE - SENSEX Index Options'!$C:$C,$A59,'BSE - SENSEX Index Options'!$B:$B,D$4,'BSE - SENSEX Index Options'!$I:$I,"MDAW*")+SUMIFS('BSE - Other Index Options'!$M:$M,'BSE - Other Index Options'!$C:$C,$A59,'BSE - Other Index Options'!$B:$B,D$4,'BSE - Other Index Options'!$I:$I,"Weekly*")+SUMIFS('BSE - Other Index Options'!$M:$M,'BSE - Other Index Options'!$C:$C,$A59,'BSE - Other Index Options'!$B:$B,D$4,'BSE - Other Index Options'!$I:$I,"MDAW*")=0,"",SUMIFS('NSE - NIFTY Index Options'!$M:$M,'NSE - NIFTY Index Options'!$C:$C,$A59,'NSE - NIFTY Index Options'!$B:$B,D$4,'NSE - NIFTY Index Options'!$I:$I,"Weekly*")+SUMIFS('NSE - NIFTY Index Options'!$M:$M,'NSE - NIFTY Index Options'!$C:$C,$A59,'NSE - NIFTY Index Options'!$B:$B,D$4,'NSE - NIFTY Index Options'!$I:$I,"MDAW*")+SUMIFS('NSE - Other Index Options'!$M:$M,'NSE - Other Index Options'!$C:$C,$A59,'NSE - Other Index Options'!$B:$B,D$4,'NSE - Other Index Options'!$I:$I,"Weekly*")+SUMIFS('NSE - Other Index Options'!$M:$M,'NSE - Other Index Options'!$C:$C,$A59,'NSE - Other Index Options'!$B:$B,D$4,'NSE - Other Index Options'!$I:$I,"MDAW*")+SUMIFS('BSE - SENSEX Index Options'!$M:$M,'BSE - SENSEX Index Options'!$C:$C,$A59,'BSE - SENSEX Index Options'!$B:$B,D$4,'BSE - SENSEX Index Options'!$I:$I,"Weekly*")+SUMIFS('BSE - SENSEX Index Options'!$M:$M,'BSE - SENSEX Index Options'!$C:$C,$A59,'BSE - SENSEX Index Options'!$B:$B,D$4,'BSE - SENSEX Index Options'!$I:$I,"MDAW*")+SUMIFS('BSE - Other Index Options'!$M:$M,'BSE - Other Index Options'!$C:$C,$A59,'BSE - Other Index Options'!$B:$B,D$4,'BSE - Other Index Options'!$I:$I,"Weekly*")+SUMIFS('BSE - Other Index Options'!$M:$M,'BSE - Other Index Options'!$C:$C,$A59,'BSE - Other Index Options'!$B:$B,D$4,'BSE - Other Index Options'!$I:$I,"MDAW*"))</f>
        <v/>
      </c>
      <c r="E59" s="26">
        <f>IF(SUMIFS('NSE - NIFTY Index Options'!$M:$M,'NSE - NIFTY Index Options'!$C:$C,$A59,'NSE - NIFTY Index Options'!$B:$B,E$4,'NSE - NIFTY Index Options'!$I:$I,"Weekly*")+SUMIFS('NSE - NIFTY Index Options'!$M:$M,'NSE - NIFTY Index Options'!$C:$C,$A59,'NSE - NIFTY Index Options'!$B:$B,E$4,'NSE - NIFTY Index Options'!$I:$I,"MDAW*")+SUMIFS('NSE - Other Index Options'!$M:$M,'NSE - Other Index Options'!$C:$C,$A59,'NSE - Other Index Options'!$B:$B,E$4,'NSE - Other Index Options'!$I:$I,"Weekly*")+SUMIFS('NSE - Other Index Options'!$M:$M,'NSE - Other Index Options'!$C:$C,$A59,'NSE - Other Index Options'!$B:$B,E$4,'NSE - Other Index Options'!$I:$I,"MDAW*")+SUMIFS('BSE - SENSEX Index Options'!$M:$M,'BSE - SENSEX Index Options'!$C:$C,$A59,'BSE - SENSEX Index Options'!$B:$B,E$4,'BSE - SENSEX Index Options'!$I:$I,"Weekly*")+SUMIFS('BSE - SENSEX Index Options'!$M:$M,'BSE - SENSEX Index Options'!$C:$C,$A59,'BSE - SENSEX Index Options'!$B:$B,E$4,'BSE - SENSEX Index Options'!$I:$I,"MDAW*")+SUMIFS('BSE - Other Index Options'!$M:$M,'BSE - Other Index Options'!$C:$C,$A59,'BSE - Other Index Options'!$B:$B,E$4,'BSE - Other Index Options'!$I:$I,"Weekly*")+SUMIFS('BSE - Other Index Options'!$M:$M,'BSE - Other Index Options'!$C:$C,$A59,'BSE - Other Index Options'!$B:$B,E$4,'BSE - Other Index Options'!$I:$I,"MDAW*")=0,"",SUMIFS('NSE - NIFTY Index Options'!$M:$M,'NSE - NIFTY Index Options'!$C:$C,$A59,'NSE - NIFTY Index Options'!$B:$B,E$4,'NSE - NIFTY Index Options'!$I:$I,"Weekly*")+SUMIFS('NSE - NIFTY Index Options'!$M:$M,'NSE - NIFTY Index Options'!$C:$C,$A59,'NSE - NIFTY Index Options'!$B:$B,E$4,'NSE - NIFTY Index Options'!$I:$I,"MDAW*")+SUMIFS('NSE - Other Index Options'!$M:$M,'NSE - Other Index Options'!$C:$C,$A59,'NSE - Other Index Options'!$B:$B,E$4,'NSE - Other Index Options'!$I:$I,"Weekly*")+SUMIFS('NSE - Other Index Options'!$M:$M,'NSE - Other Index Options'!$C:$C,$A59,'NSE - Other Index Options'!$B:$B,E$4,'NSE - Other Index Options'!$I:$I,"MDAW*")+SUMIFS('BSE - SENSEX Index Options'!$M:$M,'BSE - SENSEX Index Options'!$C:$C,$A59,'BSE - SENSEX Index Options'!$B:$B,E$4,'BSE - SENSEX Index Options'!$I:$I,"Weekly*")+SUMIFS('BSE - SENSEX Index Options'!$M:$M,'BSE - SENSEX Index Options'!$C:$C,$A59,'BSE - SENSEX Index Options'!$B:$B,E$4,'BSE - SENSEX Index Options'!$I:$I,"MDAW*")+SUMIFS('BSE - Other Index Options'!$M:$M,'BSE - Other Index Options'!$C:$C,$A59,'BSE - Other Index Options'!$B:$B,E$4,'BSE - Other Index Options'!$I:$I,"Weekly*")+SUMIFS('BSE - Other Index Options'!$M:$M,'BSE - Other Index Options'!$C:$C,$A59,'BSE - Other Index Options'!$B:$B,E$4,'BSE - Other Index Options'!$I:$I,"MDAW*"))</f>
        <v/>
      </c>
      <c r="F59" s="26">
        <f>IF(SUMIFS('NSE - NIFTY Index Options'!$M:$M,'NSE - NIFTY Index Options'!$C:$C,$A59,'NSE - NIFTY Index Options'!$B:$B,F$4,'NSE - NIFTY Index Options'!$I:$I,"Weekly*")+SUMIFS('NSE - NIFTY Index Options'!$M:$M,'NSE - NIFTY Index Options'!$C:$C,$A59,'NSE - NIFTY Index Options'!$B:$B,F$4,'NSE - NIFTY Index Options'!$I:$I,"MDAW*")+SUMIFS('NSE - Other Index Options'!$M:$M,'NSE - Other Index Options'!$C:$C,$A59,'NSE - Other Index Options'!$B:$B,F$4,'NSE - Other Index Options'!$I:$I,"Weekly*")+SUMIFS('NSE - Other Index Options'!$M:$M,'NSE - Other Index Options'!$C:$C,$A59,'NSE - Other Index Options'!$B:$B,F$4,'NSE - Other Index Options'!$I:$I,"MDAW*")+SUMIFS('BSE - SENSEX Index Options'!$M:$M,'BSE - SENSEX Index Options'!$C:$C,$A59,'BSE - SENSEX Index Options'!$B:$B,F$4,'BSE - SENSEX Index Options'!$I:$I,"Weekly*")+SUMIFS('BSE - SENSEX Index Options'!$M:$M,'BSE - SENSEX Index Options'!$C:$C,$A59,'BSE - SENSEX Index Options'!$B:$B,F$4,'BSE - SENSEX Index Options'!$I:$I,"MDAW*")+SUMIFS('BSE - Other Index Options'!$M:$M,'BSE - Other Index Options'!$C:$C,$A59,'BSE - Other Index Options'!$B:$B,F$4,'BSE - Other Index Options'!$I:$I,"Weekly*")+SUMIFS('BSE - Other Index Options'!$M:$M,'BSE - Other Index Options'!$C:$C,$A59,'BSE - Other Index Options'!$B:$B,F$4,'BSE - Other Index Options'!$I:$I,"MDAW*")=0,"",SUMIFS('NSE - NIFTY Index Options'!$M:$M,'NSE - NIFTY Index Options'!$C:$C,$A59,'NSE - NIFTY Index Options'!$B:$B,F$4,'NSE - NIFTY Index Options'!$I:$I,"Weekly*")+SUMIFS('NSE - NIFTY Index Options'!$M:$M,'NSE - NIFTY Index Options'!$C:$C,$A59,'NSE - NIFTY Index Options'!$B:$B,F$4,'NSE - NIFTY Index Options'!$I:$I,"MDAW*")+SUMIFS('NSE - Other Index Options'!$M:$M,'NSE - Other Index Options'!$C:$C,$A59,'NSE - Other Index Options'!$B:$B,F$4,'NSE - Other Index Options'!$I:$I,"Weekly*")+SUMIFS('NSE - Other Index Options'!$M:$M,'NSE - Other Index Options'!$C:$C,$A59,'NSE - Other Index Options'!$B:$B,F$4,'NSE - Other Index Options'!$I:$I,"MDAW*")+SUMIFS('BSE - SENSEX Index Options'!$M:$M,'BSE - SENSEX Index Options'!$C:$C,$A59,'BSE - SENSEX Index Options'!$B:$B,F$4,'BSE - SENSEX Index Options'!$I:$I,"Weekly*")+SUMIFS('BSE - SENSEX Index Options'!$M:$M,'BSE - SENSEX Index Options'!$C:$C,$A59,'BSE - SENSEX Index Options'!$B:$B,F$4,'BSE - SENSEX Index Options'!$I:$I,"MDAW*")+SUMIFS('BSE - Other Index Options'!$M:$M,'BSE - Other Index Options'!$C:$C,$A59,'BSE - Other Index Options'!$B:$B,F$4,'BSE - Other Index Options'!$I:$I,"Weekly*")+SUMIFS('BSE - Other Index Options'!$M:$M,'BSE - Other Index Options'!$C:$C,$A59,'BSE - Other Index Options'!$B:$B,F$4,'BSE - Other Index Options'!$I:$I,"MDAW*"))</f>
        <v/>
      </c>
      <c r="G59" s="26">
        <f>IF(SUMIFS('NSE - NIFTY Index Options'!$M:$M,'NSE - NIFTY Index Options'!$C:$C,$A59,'NSE - NIFTY Index Options'!$B:$B,G$4,'NSE - NIFTY Index Options'!$I:$I,"Weekly*")+SUMIFS('NSE - NIFTY Index Options'!$M:$M,'NSE - NIFTY Index Options'!$C:$C,$A59,'NSE - NIFTY Index Options'!$B:$B,G$4,'NSE - NIFTY Index Options'!$I:$I,"MDAW*")+SUMIFS('NSE - Other Index Options'!$M:$M,'NSE - Other Index Options'!$C:$C,$A59,'NSE - Other Index Options'!$B:$B,G$4,'NSE - Other Index Options'!$I:$I,"Weekly*")+SUMIFS('NSE - Other Index Options'!$M:$M,'NSE - Other Index Options'!$C:$C,$A59,'NSE - Other Index Options'!$B:$B,G$4,'NSE - Other Index Options'!$I:$I,"MDAW*")+SUMIFS('BSE - SENSEX Index Options'!$M:$M,'BSE - SENSEX Index Options'!$C:$C,$A59,'BSE - SENSEX Index Options'!$B:$B,G$4,'BSE - SENSEX Index Options'!$I:$I,"Weekly*")+SUMIFS('BSE - SENSEX Index Options'!$M:$M,'BSE - SENSEX Index Options'!$C:$C,$A59,'BSE - SENSEX Index Options'!$B:$B,G$4,'BSE - SENSEX Index Options'!$I:$I,"MDAW*")+SUMIFS('BSE - Other Index Options'!$M:$M,'BSE - Other Index Options'!$C:$C,$A59,'BSE - Other Index Options'!$B:$B,G$4,'BSE - Other Index Options'!$I:$I,"Weekly*")+SUMIFS('BSE - Other Index Options'!$M:$M,'BSE - Other Index Options'!$C:$C,$A59,'BSE - Other Index Options'!$B:$B,G$4,'BSE - Other Index Options'!$I:$I,"MDAW*")=0,"",SUMIFS('NSE - NIFTY Index Options'!$M:$M,'NSE - NIFTY Index Options'!$C:$C,$A59,'NSE - NIFTY Index Options'!$B:$B,G$4,'NSE - NIFTY Index Options'!$I:$I,"Weekly*")+SUMIFS('NSE - NIFTY Index Options'!$M:$M,'NSE - NIFTY Index Options'!$C:$C,$A59,'NSE - NIFTY Index Options'!$B:$B,G$4,'NSE - NIFTY Index Options'!$I:$I,"MDAW*")+SUMIFS('NSE - Other Index Options'!$M:$M,'NSE - Other Index Options'!$C:$C,$A59,'NSE - Other Index Options'!$B:$B,G$4,'NSE - Other Index Options'!$I:$I,"Weekly*")+SUMIFS('NSE - Other Index Options'!$M:$M,'NSE - Other Index Options'!$C:$C,$A59,'NSE - Other Index Options'!$B:$B,G$4,'NSE - Other Index Options'!$I:$I,"MDAW*")+SUMIFS('BSE - SENSEX Index Options'!$M:$M,'BSE - SENSEX Index Options'!$C:$C,$A59,'BSE - SENSEX Index Options'!$B:$B,G$4,'BSE - SENSEX Index Options'!$I:$I,"Weekly*")+SUMIFS('BSE - SENSEX Index Options'!$M:$M,'BSE - SENSEX Index Options'!$C:$C,$A59,'BSE - SENSEX Index Options'!$B:$B,G$4,'BSE - SENSEX Index Options'!$I:$I,"MDAW*")+SUMIFS('BSE - Other Index Options'!$M:$M,'BSE - Other Index Options'!$C:$C,$A59,'BSE - Other Index Options'!$B:$B,G$4,'BSE - Other Index Options'!$I:$I,"Weekly*")+SUMIFS('BSE - Other Index Options'!$M:$M,'BSE - Other Index Options'!$C:$C,$A59,'BSE - Other Index Options'!$B:$B,G$4,'BSE - Other Index Options'!$I:$I,"MDAW*"))</f>
        <v/>
      </c>
      <c r="H59" s="26">
        <f>IF(SUM(B59:G59)=0,"",SUM(B59:G59))</f>
        <v/>
      </c>
    </row>
    <row r="60" hidden="1" outlineLevel="1">
      <c r="A60" t="inlineStr">
        <is>
          <t>Week2-Aug-2026</t>
        </is>
      </c>
      <c r="B60" s="26">
        <f>IF(SUMIFS('NSE - NIFTY Index Options'!$M:$M,'NSE - NIFTY Index Options'!$C:$C,$A60,'NSE - NIFTY Index Options'!$B:$B,B$4,'NSE - NIFTY Index Options'!$I:$I,"Weekly*")+SUMIFS('NSE - NIFTY Index Options'!$M:$M,'NSE - NIFTY Index Options'!$C:$C,$A60,'NSE - NIFTY Index Options'!$B:$B,B$4,'NSE - NIFTY Index Options'!$I:$I,"MDAW*")+SUMIFS('NSE - Other Index Options'!$M:$M,'NSE - Other Index Options'!$C:$C,$A60,'NSE - Other Index Options'!$B:$B,B$4,'NSE - Other Index Options'!$I:$I,"Weekly*")+SUMIFS('NSE - Other Index Options'!$M:$M,'NSE - Other Index Options'!$C:$C,$A60,'NSE - Other Index Options'!$B:$B,B$4,'NSE - Other Index Options'!$I:$I,"MDAW*")+SUMIFS('BSE - SENSEX Index Options'!$M:$M,'BSE - SENSEX Index Options'!$C:$C,$A60,'BSE - SENSEX Index Options'!$B:$B,B$4,'BSE - SENSEX Index Options'!$I:$I,"Weekly*")+SUMIFS('BSE - SENSEX Index Options'!$M:$M,'BSE - SENSEX Index Options'!$C:$C,$A60,'BSE - SENSEX Index Options'!$B:$B,B$4,'BSE - SENSEX Index Options'!$I:$I,"MDAW*")+SUMIFS('BSE - Other Index Options'!$M:$M,'BSE - Other Index Options'!$C:$C,$A60,'BSE - Other Index Options'!$B:$B,B$4,'BSE - Other Index Options'!$I:$I,"Weekly*")+SUMIFS('BSE - Other Index Options'!$M:$M,'BSE - Other Index Options'!$C:$C,$A60,'BSE - Other Index Options'!$B:$B,B$4,'BSE - Other Index Options'!$I:$I,"MDAW*")=0,"",SUMIFS('NSE - NIFTY Index Options'!$M:$M,'NSE - NIFTY Index Options'!$C:$C,$A60,'NSE - NIFTY Index Options'!$B:$B,B$4,'NSE - NIFTY Index Options'!$I:$I,"Weekly*")+SUMIFS('NSE - NIFTY Index Options'!$M:$M,'NSE - NIFTY Index Options'!$C:$C,$A60,'NSE - NIFTY Index Options'!$B:$B,B$4,'NSE - NIFTY Index Options'!$I:$I,"MDAW*")+SUMIFS('NSE - Other Index Options'!$M:$M,'NSE - Other Index Options'!$C:$C,$A60,'NSE - Other Index Options'!$B:$B,B$4,'NSE - Other Index Options'!$I:$I,"Weekly*")+SUMIFS('NSE - Other Index Options'!$M:$M,'NSE - Other Index Options'!$C:$C,$A60,'NSE - Other Index Options'!$B:$B,B$4,'NSE - Other Index Options'!$I:$I,"MDAW*")+SUMIFS('BSE - SENSEX Index Options'!$M:$M,'BSE - SENSEX Index Options'!$C:$C,$A60,'BSE - SENSEX Index Options'!$B:$B,B$4,'BSE - SENSEX Index Options'!$I:$I,"Weekly*")+SUMIFS('BSE - SENSEX Index Options'!$M:$M,'BSE - SENSEX Index Options'!$C:$C,$A60,'BSE - SENSEX Index Options'!$B:$B,B$4,'BSE - SENSEX Index Options'!$I:$I,"MDAW*")+SUMIFS('BSE - Other Index Options'!$M:$M,'BSE - Other Index Options'!$C:$C,$A60,'BSE - Other Index Options'!$B:$B,B$4,'BSE - Other Index Options'!$I:$I,"Weekly*")+SUMIFS('BSE - Other Index Options'!$M:$M,'BSE - Other Index Options'!$C:$C,$A60,'BSE - Other Index Options'!$B:$B,B$4,'BSE - Other Index Options'!$I:$I,"MDAW*"))</f>
        <v/>
      </c>
      <c r="C60" s="26">
        <f>IF(SUMIFS('NSE - NIFTY Index Options'!$M:$M,'NSE - NIFTY Index Options'!$C:$C,$A60,'NSE - NIFTY Index Options'!$B:$B,C$4,'NSE - NIFTY Index Options'!$I:$I,"Weekly*")+SUMIFS('NSE - NIFTY Index Options'!$M:$M,'NSE - NIFTY Index Options'!$C:$C,$A60,'NSE - NIFTY Index Options'!$B:$B,C$4,'NSE - NIFTY Index Options'!$I:$I,"MDAW*")+SUMIFS('NSE - Other Index Options'!$M:$M,'NSE - Other Index Options'!$C:$C,$A60,'NSE - Other Index Options'!$B:$B,C$4,'NSE - Other Index Options'!$I:$I,"Weekly*")+SUMIFS('NSE - Other Index Options'!$M:$M,'NSE - Other Index Options'!$C:$C,$A60,'NSE - Other Index Options'!$B:$B,C$4,'NSE - Other Index Options'!$I:$I,"MDAW*")+SUMIFS('BSE - SENSEX Index Options'!$M:$M,'BSE - SENSEX Index Options'!$C:$C,$A60,'BSE - SENSEX Index Options'!$B:$B,C$4,'BSE - SENSEX Index Options'!$I:$I,"Weekly*")+SUMIFS('BSE - SENSEX Index Options'!$M:$M,'BSE - SENSEX Index Options'!$C:$C,$A60,'BSE - SENSEX Index Options'!$B:$B,C$4,'BSE - SENSEX Index Options'!$I:$I,"MDAW*")+SUMIFS('BSE - Other Index Options'!$M:$M,'BSE - Other Index Options'!$C:$C,$A60,'BSE - Other Index Options'!$B:$B,C$4,'BSE - Other Index Options'!$I:$I,"Weekly*")+SUMIFS('BSE - Other Index Options'!$M:$M,'BSE - Other Index Options'!$C:$C,$A60,'BSE - Other Index Options'!$B:$B,C$4,'BSE - Other Index Options'!$I:$I,"MDAW*")=0,"",SUMIFS('NSE - NIFTY Index Options'!$M:$M,'NSE - NIFTY Index Options'!$C:$C,$A60,'NSE - NIFTY Index Options'!$B:$B,C$4,'NSE - NIFTY Index Options'!$I:$I,"Weekly*")+SUMIFS('NSE - NIFTY Index Options'!$M:$M,'NSE - NIFTY Index Options'!$C:$C,$A60,'NSE - NIFTY Index Options'!$B:$B,C$4,'NSE - NIFTY Index Options'!$I:$I,"MDAW*")+SUMIFS('NSE - Other Index Options'!$M:$M,'NSE - Other Index Options'!$C:$C,$A60,'NSE - Other Index Options'!$B:$B,C$4,'NSE - Other Index Options'!$I:$I,"Weekly*")+SUMIFS('NSE - Other Index Options'!$M:$M,'NSE - Other Index Options'!$C:$C,$A60,'NSE - Other Index Options'!$B:$B,C$4,'NSE - Other Index Options'!$I:$I,"MDAW*")+SUMIFS('BSE - SENSEX Index Options'!$M:$M,'BSE - SENSEX Index Options'!$C:$C,$A60,'BSE - SENSEX Index Options'!$B:$B,C$4,'BSE - SENSEX Index Options'!$I:$I,"Weekly*")+SUMIFS('BSE - SENSEX Index Options'!$M:$M,'BSE - SENSEX Index Options'!$C:$C,$A60,'BSE - SENSEX Index Options'!$B:$B,C$4,'BSE - SENSEX Index Options'!$I:$I,"MDAW*")+SUMIFS('BSE - Other Index Options'!$M:$M,'BSE - Other Index Options'!$C:$C,$A60,'BSE - Other Index Options'!$B:$B,C$4,'BSE - Other Index Options'!$I:$I,"Weekly*")+SUMIFS('BSE - Other Index Options'!$M:$M,'BSE - Other Index Options'!$C:$C,$A60,'BSE - Other Index Options'!$B:$B,C$4,'BSE - Other Index Options'!$I:$I,"MDAW*"))</f>
        <v/>
      </c>
      <c r="D60" s="26">
        <f>IF(SUMIFS('NSE - NIFTY Index Options'!$M:$M,'NSE - NIFTY Index Options'!$C:$C,$A60,'NSE - NIFTY Index Options'!$B:$B,D$4,'NSE - NIFTY Index Options'!$I:$I,"Weekly*")+SUMIFS('NSE - NIFTY Index Options'!$M:$M,'NSE - NIFTY Index Options'!$C:$C,$A60,'NSE - NIFTY Index Options'!$B:$B,D$4,'NSE - NIFTY Index Options'!$I:$I,"MDAW*")+SUMIFS('NSE - Other Index Options'!$M:$M,'NSE - Other Index Options'!$C:$C,$A60,'NSE - Other Index Options'!$B:$B,D$4,'NSE - Other Index Options'!$I:$I,"Weekly*")+SUMIFS('NSE - Other Index Options'!$M:$M,'NSE - Other Index Options'!$C:$C,$A60,'NSE - Other Index Options'!$B:$B,D$4,'NSE - Other Index Options'!$I:$I,"MDAW*")+SUMIFS('BSE - SENSEX Index Options'!$M:$M,'BSE - SENSEX Index Options'!$C:$C,$A60,'BSE - SENSEX Index Options'!$B:$B,D$4,'BSE - SENSEX Index Options'!$I:$I,"Weekly*")+SUMIFS('BSE - SENSEX Index Options'!$M:$M,'BSE - SENSEX Index Options'!$C:$C,$A60,'BSE - SENSEX Index Options'!$B:$B,D$4,'BSE - SENSEX Index Options'!$I:$I,"MDAW*")+SUMIFS('BSE - Other Index Options'!$M:$M,'BSE - Other Index Options'!$C:$C,$A60,'BSE - Other Index Options'!$B:$B,D$4,'BSE - Other Index Options'!$I:$I,"Weekly*")+SUMIFS('BSE - Other Index Options'!$M:$M,'BSE - Other Index Options'!$C:$C,$A60,'BSE - Other Index Options'!$B:$B,D$4,'BSE - Other Index Options'!$I:$I,"MDAW*")=0,"",SUMIFS('NSE - NIFTY Index Options'!$M:$M,'NSE - NIFTY Index Options'!$C:$C,$A60,'NSE - NIFTY Index Options'!$B:$B,D$4,'NSE - NIFTY Index Options'!$I:$I,"Weekly*")+SUMIFS('NSE - NIFTY Index Options'!$M:$M,'NSE - NIFTY Index Options'!$C:$C,$A60,'NSE - NIFTY Index Options'!$B:$B,D$4,'NSE - NIFTY Index Options'!$I:$I,"MDAW*")+SUMIFS('NSE - Other Index Options'!$M:$M,'NSE - Other Index Options'!$C:$C,$A60,'NSE - Other Index Options'!$B:$B,D$4,'NSE - Other Index Options'!$I:$I,"Weekly*")+SUMIFS('NSE - Other Index Options'!$M:$M,'NSE - Other Index Options'!$C:$C,$A60,'NSE - Other Index Options'!$B:$B,D$4,'NSE - Other Index Options'!$I:$I,"MDAW*")+SUMIFS('BSE - SENSEX Index Options'!$M:$M,'BSE - SENSEX Index Options'!$C:$C,$A60,'BSE - SENSEX Index Options'!$B:$B,D$4,'BSE - SENSEX Index Options'!$I:$I,"Weekly*")+SUMIFS('BSE - SENSEX Index Options'!$M:$M,'BSE - SENSEX Index Options'!$C:$C,$A60,'BSE - SENSEX Index Options'!$B:$B,D$4,'BSE - SENSEX Index Options'!$I:$I,"MDAW*")+SUMIFS('BSE - Other Index Options'!$M:$M,'BSE - Other Index Options'!$C:$C,$A60,'BSE - Other Index Options'!$B:$B,D$4,'BSE - Other Index Options'!$I:$I,"Weekly*")+SUMIFS('BSE - Other Index Options'!$M:$M,'BSE - Other Index Options'!$C:$C,$A60,'BSE - Other Index Options'!$B:$B,D$4,'BSE - Other Index Options'!$I:$I,"MDAW*"))</f>
        <v/>
      </c>
      <c r="E60" s="26">
        <f>IF(SUMIFS('NSE - NIFTY Index Options'!$M:$M,'NSE - NIFTY Index Options'!$C:$C,$A60,'NSE - NIFTY Index Options'!$B:$B,E$4,'NSE - NIFTY Index Options'!$I:$I,"Weekly*")+SUMIFS('NSE - NIFTY Index Options'!$M:$M,'NSE - NIFTY Index Options'!$C:$C,$A60,'NSE - NIFTY Index Options'!$B:$B,E$4,'NSE - NIFTY Index Options'!$I:$I,"MDAW*")+SUMIFS('NSE - Other Index Options'!$M:$M,'NSE - Other Index Options'!$C:$C,$A60,'NSE - Other Index Options'!$B:$B,E$4,'NSE - Other Index Options'!$I:$I,"Weekly*")+SUMIFS('NSE - Other Index Options'!$M:$M,'NSE - Other Index Options'!$C:$C,$A60,'NSE - Other Index Options'!$B:$B,E$4,'NSE - Other Index Options'!$I:$I,"MDAW*")+SUMIFS('BSE - SENSEX Index Options'!$M:$M,'BSE - SENSEX Index Options'!$C:$C,$A60,'BSE - SENSEX Index Options'!$B:$B,E$4,'BSE - SENSEX Index Options'!$I:$I,"Weekly*")+SUMIFS('BSE - SENSEX Index Options'!$M:$M,'BSE - SENSEX Index Options'!$C:$C,$A60,'BSE - SENSEX Index Options'!$B:$B,E$4,'BSE - SENSEX Index Options'!$I:$I,"MDAW*")+SUMIFS('BSE - Other Index Options'!$M:$M,'BSE - Other Index Options'!$C:$C,$A60,'BSE - Other Index Options'!$B:$B,E$4,'BSE - Other Index Options'!$I:$I,"Weekly*")+SUMIFS('BSE - Other Index Options'!$M:$M,'BSE - Other Index Options'!$C:$C,$A60,'BSE - Other Index Options'!$B:$B,E$4,'BSE - Other Index Options'!$I:$I,"MDAW*")=0,"",SUMIFS('NSE - NIFTY Index Options'!$M:$M,'NSE - NIFTY Index Options'!$C:$C,$A60,'NSE - NIFTY Index Options'!$B:$B,E$4,'NSE - NIFTY Index Options'!$I:$I,"Weekly*")+SUMIFS('NSE - NIFTY Index Options'!$M:$M,'NSE - NIFTY Index Options'!$C:$C,$A60,'NSE - NIFTY Index Options'!$B:$B,E$4,'NSE - NIFTY Index Options'!$I:$I,"MDAW*")+SUMIFS('NSE - Other Index Options'!$M:$M,'NSE - Other Index Options'!$C:$C,$A60,'NSE - Other Index Options'!$B:$B,E$4,'NSE - Other Index Options'!$I:$I,"Weekly*")+SUMIFS('NSE - Other Index Options'!$M:$M,'NSE - Other Index Options'!$C:$C,$A60,'NSE - Other Index Options'!$B:$B,E$4,'NSE - Other Index Options'!$I:$I,"MDAW*")+SUMIFS('BSE - SENSEX Index Options'!$M:$M,'BSE - SENSEX Index Options'!$C:$C,$A60,'BSE - SENSEX Index Options'!$B:$B,E$4,'BSE - SENSEX Index Options'!$I:$I,"Weekly*")+SUMIFS('BSE - SENSEX Index Options'!$M:$M,'BSE - SENSEX Index Options'!$C:$C,$A60,'BSE - SENSEX Index Options'!$B:$B,E$4,'BSE - SENSEX Index Options'!$I:$I,"MDAW*")+SUMIFS('BSE - Other Index Options'!$M:$M,'BSE - Other Index Options'!$C:$C,$A60,'BSE - Other Index Options'!$B:$B,E$4,'BSE - Other Index Options'!$I:$I,"Weekly*")+SUMIFS('BSE - Other Index Options'!$M:$M,'BSE - Other Index Options'!$C:$C,$A60,'BSE - Other Index Options'!$B:$B,E$4,'BSE - Other Index Options'!$I:$I,"MDAW*"))</f>
        <v/>
      </c>
      <c r="F60" s="26">
        <f>IF(SUMIFS('NSE - NIFTY Index Options'!$M:$M,'NSE - NIFTY Index Options'!$C:$C,$A60,'NSE - NIFTY Index Options'!$B:$B,F$4,'NSE - NIFTY Index Options'!$I:$I,"Weekly*")+SUMIFS('NSE - NIFTY Index Options'!$M:$M,'NSE - NIFTY Index Options'!$C:$C,$A60,'NSE - NIFTY Index Options'!$B:$B,F$4,'NSE - NIFTY Index Options'!$I:$I,"MDAW*")+SUMIFS('NSE - Other Index Options'!$M:$M,'NSE - Other Index Options'!$C:$C,$A60,'NSE - Other Index Options'!$B:$B,F$4,'NSE - Other Index Options'!$I:$I,"Weekly*")+SUMIFS('NSE - Other Index Options'!$M:$M,'NSE - Other Index Options'!$C:$C,$A60,'NSE - Other Index Options'!$B:$B,F$4,'NSE - Other Index Options'!$I:$I,"MDAW*")+SUMIFS('BSE - SENSEX Index Options'!$M:$M,'BSE - SENSEX Index Options'!$C:$C,$A60,'BSE - SENSEX Index Options'!$B:$B,F$4,'BSE - SENSEX Index Options'!$I:$I,"Weekly*")+SUMIFS('BSE - SENSEX Index Options'!$M:$M,'BSE - SENSEX Index Options'!$C:$C,$A60,'BSE - SENSEX Index Options'!$B:$B,F$4,'BSE - SENSEX Index Options'!$I:$I,"MDAW*")+SUMIFS('BSE - Other Index Options'!$M:$M,'BSE - Other Index Options'!$C:$C,$A60,'BSE - Other Index Options'!$B:$B,F$4,'BSE - Other Index Options'!$I:$I,"Weekly*")+SUMIFS('BSE - Other Index Options'!$M:$M,'BSE - Other Index Options'!$C:$C,$A60,'BSE - Other Index Options'!$B:$B,F$4,'BSE - Other Index Options'!$I:$I,"MDAW*")=0,"",SUMIFS('NSE - NIFTY Index Options'!$M:$M,'NSE - NIFTY Index Options'!$C:$C,$A60,'NSE - NIFTY Index Options'!$B:$B,F$4,'NSE - NIFTY Index Options'!$I:$I,"Weekly*")+SUMIFS('NSE - NIFTY Index Options'!$M:$M,'NSE - NIFTY Index Options'!$C:$C,$A60,'NSE - NIFTY Index Options'!$B:$B,F$4,'NSE - NIFTY Index Options'!$I:$I,"MDAW*")+SUMIFS('NSE - Other Index Options'!$M:$M,'NSE - Other Index Options'!$C:$C,$A60,'NSE - Other Index Options'!$B:$B,F$4,'NSE - Other Index Options'!$I:$I,"Weekly*")+SUMIFS('NSE - Other Index Options'!$M:$M,'NSE - Other Index Options'!$C:$C,$A60,'NSE - Other Index Options'!$B:$B,F$4,'NSE - Other Index Options'!$I:$I,"MDAW*")+SUMIFS('BSE - SENSEX Index Options'!$M:$M,'BSE - SENSEX Index Options'!$C:$C,$A60,'BSE - SENSEX Index Options'!$B:$B,F$4,'BSE - SENSEX Index Options'!$I:$I,"Weekly*")+SUMIFS('BSE - SENSEX Index Options'!$M:$M,'BSE - SENSEX Index Options'!$C:$C,$A60,'BSE - SENSEX Index Options'!$B:$B,F$4,'BSE - SENSEX Index Options'!$I:$I,"MDAW*")+SUMIFS('BSE - Other Index Options'!$M:$M,'BSE - Other Index Options'!$C:$C,$A60,'BSE - Other Index Options'!$B:$B,F$4,'BSE - Other Index Options'!$I:$I,"Weekly*")+SUMIFS('BSE - Other Index Options'!$M:$M,'BSE - Other Index Options'!$C:$C,$A60,'BSE - Other Index Options'!$B:$B,F$4,'BSE - Other Index Options'!$I:$I,"MDAW*"))</f>
        <v/>
      </c>
      <c r="G60" s="26">
        <f>IF(SUMIFS('NSE - NIFTY Index Options'!$M:$M,'NSE - NIFTY Index Options'!$C:$C,$A60,'NSE - NIFTY Index Options'!$B:$B,G$4,'NSE - NIFTY Index Options'!$I:$I,"Weekly*")+SUMIFS('NSE - NIFTY Index Options'!$M:$M,'NSE - NIFTY Index Options'!$C:$C,$A60,'NSE - NIFTY Index Options'!$B:$B,G$4,'NSE - NIFTY Index Options'!$I:$I,"MDAW*")+SUMIFS('NSE - Other Index Options'!$M:$M,'NSE - Other Index Options'!$C:$C,$A60,'NSE - Other Index Options'!$B:$B,G$4,'NSE - Other Index Options'!$I:$I,"Weekly*")+SUMIFS('NSE - Other Index Options'!$M:$M,'NSE - Other Index Options'!$C:$C,$A60,'NSE - Other Index Options'!$B:$B,G$4,'NSE - Other Index Options'!$I:$I,"MDAW*")+SUMIFS('BSE - SENSEX Index Options'!$M:$M,'BSE - SENSEX Index Options'!$C:$C,$A60,'BSE - SENSEX Index Options'!$B:$B,G$4,'BSE - SENSEX Index Options'!$I:$I,"Weekly*")+SUMIFS('BSE - SENSEX Index Options'!$M:$M,'BSE - SENSEX Index Options'!$C:$C,$A60,'BSE - SENSEX Index Options'!$B:$B,G$4,'BSE - SENSEX Index Options'!$I:$I,"MDAW*")+SUMIFS('BSE - Other Index Options'!$M:$M,'BSE - Other Index Options'!$C:$C,$A60,'BSE - Other Index Options'!$B:$B,G$4,'BSE - Other Index Options'!$I:$I,"Weekly*")+SUMIFS('BSE - Other Index Options'!$M:$M,'BSE - Other Index Options'!$C:$C,$A60,'BSE - Other Index Options'!$B:$B,G$4,'BSE - Other Index Options'!$I:$I,"MDAW*")=0,"",SUMIFS('NSE - NIFTY Index Options'!$M:$M,'NSE - NIFTY Index Options'!$C:$C,$A60,'NSE - NIFTY Index Options'!$B:$B,G$4,'NSE - NIFTY Index Options'!$I:$I,"Weekly*")+SUMIFS('NSE - NIFTY Index Options'!$M:$M,'NSE - NIFTY Index Options'!$C:$C,$A60,'NSE - NIFTY Index Options'!$B:$B,G$4,'NSE - NIFTY Index Options'!$I:$I,"MDAW*")+SUMIFS('NSE - Other Index Options'!$M:$M,'NSE - Other Index Options'!$C:$C,$A60,'NSE - Other Index Options'!$B:$B,G$4,'NSE - Other Index Options'!$I:$I,"Weekly*")+SUMIFS('NSE - Other Index Options'!$M:$M,'NSE - Other Index Options'!$C:$C,$A60,'NSE - Other Index Options'!$B:$B,G$4,'NSE - Other Index Options'!$I:$I,"MDAW*")+SUMIFS('BSE - SENSEX Index Options'!$M:$M,'BSE - SENSEX Index Options'!$C:$C,$A60,'BSE - SENSEX Index Options'!$B:$B,G$4,'BSE - SENSEX Index Options'!$I:$I,"Weekly*")+SUMIFS('BSE - SENSEX Index Options'!$M:$M,'BSE - SENSEX Index Options'!$C:$C,$A60,'BSE - SENSEX Index Options'!$B:$B,G$4,'BSE - SENSEX Index Options'!$I:$I,"MDAW*")+SUMIFS('BSE - Other Index Options'!$M:$M,'BSE - Other Index Options'!$C:$C,$A60,'BSE - Other Index Options'!$B:$B,G$4,'BSE - Other Index Options'!$I:$I,"Weekly*")+SUMIFS('BSE - Other Index Options'!$M:$M,'BSE - Other Index Options'!$C:$C,$A60,'BSE - Other Index Options'!$B:$B,G$4,'BSE - Other Index Options'!$I:$I,"MDAW*"))</f>
        <v/>
      </c>
      <c r="H60" s="26">
        <f>IF(SUM(B60:G60)=0,"",SUM(B60:G60))</f>
        <v/>
      </c>
    </row>
    <row r="61" hidden="1" outlineLevel="1">
      <c r="A61" t="inlineStr">
        <is>
          <t>Week3-Aug-2026</t>
        </is>
      </c>
      <c r="B61" s="26">
        <f>IF(SUMIFS('NSE - NIFTY Index Options'!$M:$M,'NSE - NIFTY Index Options'!$C:$C,$A61,'NSE - NIFTY Index Options'!$B:$B,B$4,'NSE - NIFTY Index Options'!$I:$I,"Weekly*")+SUMIFS('NSE - NIFTY Index Options'!$M:$M,'NSE - NIFTY Index Options'!$C:$C,$A61,'NSE - NIFTY Index Options'!$B:$B,B$4,'NSE - NIFTY Index Options'!$I:$I,"MDAW*")+SUMIFS('NSE - Other Index Options'!$M:$M,'NSE - Other Index Options'!$C:$C,$A61,'NSE - Other Index Options'!$B:$B,B$4,'NSE - Other Index Options'!$I:$I,"Weekly*")+SUMIFS('NSE - Other Index Options'!$M:$M,'NSE - Other Index Options'!$C:$C,$A61,'NSE - Other Index Options'!$B:$B,B$4,'NSE - Other Index Options'!$I:$I,"MDAW*")+SUMIFS('BSE - SENSEX Index Options'!$M:$M,'BSE - SENSEX Index Options'!$C:$C,$A61,'BSE - SENSEX Index Options'!$B:$B,B$4,'BSE - SENSEX Index Options'!$I:$I,"Weekly*")+SUMIFS('BSE - SENSEX Index Options'!$M:$M,'BSE - SENSEX Index Options'!$C:$C,$A61,'BSE - SENSEX Index Options'!$B:$B,B$4,'BSE - SENSEX Index Options'!$I:$I,"MDAW*")+SUMIFS('BSE - Other Index Options'!$M:$M,'BSE - Other Index Options'!$C:$C,$A61,'BSE - Other Index Options'!$B:$B,B$4,'BSE - Other Index Options'!$I:$I,"Weekly*")+SUMIFS('BSE - Other Index Options'!$M:$M,'BSE - Other Index Options'!$C:$C,$A61,'BSE - Other Index Options'!$B:$B,B$4,'BSE - Other Index Options'!$I:$I,"MDAW*")=0,"",SUMIFS('NSE - NIFTY Index Options'!$M:$M,'NSE - NIFTY Index Options'!$C:$C,$A61,'NSE - NIFTY Index Options'!$B:$B,B$4,'NSE - NIFTY Index Options'!$I:$I,"Weekly*")+SUMIFS('NSE - NIFTY Index Options'!$M:$M,'NSE - NIFTY Index Options'!$C:$C,$A61,'NSE - NIFTY Index Options'!$B:$B,B$4,'NSE - NIFTY Index Options'!$I:$I,"MDAW*")+SUMIFS('NSE - Other Index Options'!$M:$M,'NSE - Other Index Options'!$C:$C,$A61,'NSE - Other Index Options'!$B:$B,B$4,'NSE - Other Index Options'!$I:$I,"Weekly*")+SUMIFS('NSE - Other Index Options'!$M:$M,'NSE - Other Index Options'!$C:$C,$A61,'NSE - Other Index Options'!$B:$B,B$4,'NSE - Other Index Options'!$I:$I,"MDAW*")+SUMIFS('BSE - SENSEX Index Options'!$M:$M,'BSE - SENSEX Index Options'!$C:$C,$A61,'BSE - SENSEX Index Options'!$B:$B,B$4,'BSE - SENSEX Index Options'!$I:$I,"Weekly*")+SUMIFS('BSE - SENSEX Index Options'!$M:$M,'BSE - SENSEX Index Options'!$C:$C,$A61,'BSE - SENSEX Index Options'!$B:$B,B$4,'BSE - SENSEX Index Options'!$I:$I,"MDAW*")+SUMIFS('BSE - Other Index Options'!$M:$M,'BSE - Other Index Options'!$C:$C,$A61,'BSE - Other Index Options'!$B:$B,B$4,'BSE - Other Index Options'!$I:$I,"Weekly*")+SUMIFS('BSE - Other Index Options'!$M:$M,'BSE - Other Index Options'!$C:$C,$A61,'BSE - Other Index Options'!$B:$B,B$4,'BSE - Other Index Options'!$I:$I,"MDAW*"))</f>
        <v/>
      </c>
      <c r="C61" s="26">
        <f>IF(SUMIFS('NSE - NIFTY Index Options'!$M:$M,'NSE - NIFTY Index Options'!$C:$C,$A61,'NSE - NIFTY Index Options'!$B:$B,C$4,'NSE - NIFTY Index Options'!$I:$I,"Weekly*")+SUMIFS('NSE - NIFTY Index Options'!$M:$M,'NSE - NIFTY Index Options'!$C:$C,$A61,'NSE - NIFTY Index Options'!$B:$B,C$4,'NSE - NIFTY Index Options'!$I:$I,"MDAW*")+SUMIFS('NSE - Other Index Options'!$M:$M,'NSE - Other Index Options'!$C:$C,$A61,'NSE - Other Index Options'!$B:$B,C$4,'NSE - Other Index Options'!$I:$I,"Weekly*")+SUMIFS('NSE - Other Index Options'!$M:$M,'NSE - Other Index Options'!$C:$C,$A61,'NSE - Other Index Options'!$B:$B,C$4,'NSE - Other Index Options'!$I:$I,"MDAW*")+SUMIFS('BSE - SENSEX Index Options'!$M:$M,'BSE - SENSEX Index Options'!$C:$C,$A61,'BSE - SENSEX Index Options'!$B:$B,C$4,'BSE - SENSEX Index Options'!$I:$I,"Weekly*")+SUMIFS('BSE - SENSEX Index Options'!$M:$M,'BSE - SENSEX Index Options'!$C:$C,$A61,'BSE - SENSEX Index Options'!$B:$B,C$4,'BSE - SENSEX Index Options'!$I:$I,"MDAW*")+SUMIFS('BSE - Other Index Options'!$M:$M,'BSE - Other Index Options'!$C:$C,$A61,'BSE - Other Index Options'!$B:$B,C$4,'BSE - Other Index Options'!$I:$I,"Weekly*")+SUMIFS('BSE - Other Index Options'!$M:$M,'BSE - Other Index Options'!$C:$C,$A61,'BSE - Other Index Options'!$B:$B,C$4,'BSE - Other Index Options'!$I:$I,"MDAW*")=0,"",SUMIFS('NSE - NIFTY Index Options'!$M:$M,'NSE - NIFTY Index Options'!$C:$C,$A61,'NSE - NIFTY Index Options'!$B:$B,C$4,'NSE - NIFTY Index Options'!$I:$I,"Weekly*")+SUMIFS('NSE - NIFTY Index Options'!$M:$M,'NSE - NIFTY Index Options'!$C:$C,$A61,'NSE - NIFTY Index Options'!$B:$B,C$4,'NSE - NIFTY Index Options'!$I:$I,"MDAW*")+SUMIFS('NSE - Other Index Options'!$M:$M,'NSE - Other Index Options'!$C:$C,$A61,'NSE - Other Index Options'!$B:$B,C$4,'NSE - Other Index Options'!$I:$I,"Weekly*")+SUMIFS('NSE - Other Index Options'!$M:$M,'NSE - Other Index Options'!$C:$C,$A61,'NSE - Other Index Options'!$B:$B,C$4,'NSE - Other Index Options'!$I:$I,"MDAW*")+SUMIFS('BSE - SENSEX Index Options'!$M:$M,'BSE - SENSEX Index Options'!$C:$C,$A61,'BSE - SENSEX Index Options'!$B:$B,C$4,'BSE - SENSEX Index Options'!$I:$I,"Weekly*")+SUMIFS('BSE - SENSEX Index Options'!$M:$M,'BSE - SENSEX Index Options'!$C:$C,$A61,'BSE - SENSEX Index Options'!$B:$B,C$4,'BSE - SENSEX Index Options'!$I:$I,"MDAW*")+SUMIFS('BSE - Other Index Options'!$M:$M,'BSE - Other Index Options'!$C:$C,$A61,'BSE - Other Index Options'!$B:$B,C$4,'BSE - Other Index Options'!$I:$I,"Weekly*")+SUMIFS('BSE - Other Index Options'!$M:$M,'BSE - Other Index Options'!$C:$C,$A61,'BSE - Other Index Options'!$B:$B,C$4,'BSE - Other Index Options'!$I:$I,"MDAW*"))</f>
        <v/>
      </c>
      <c r="D61" s="26">
        <f>IF(SUMIFS('NSE - NIFTY Index Options'!$M:$M,'NSE - NIFTY Index Options'!$C:$C,$A61,'NSE - NIFTY Index Options'!$B:$B,D$4,'NSE - NIFTY Index Options'!$I:$I,"Weekly*")+SUMIFS('NSE - NIFTY Index Options'!$M:$M,'NSE - NIFTY Index Options'!$C:$C,$A61,'NSE - NIFTY Index Options'!$B:$B,D$4,'NSE - NIFTY Index Options'!$I:$I,"MDAW*")+SUMIFS('NSE - Other Index Options'!$M:$M,'NSE - Other Index Options'!$C:$C,$A61,'NSE - Other Index Options'!$B:$B,D$4,'NSE - Other Index Options'!$I:$I,"Weekly*")+SUMIFS('NSE - Other Index Options'!$M:$M,'NSE - Other Index Options'!$C:$C,$A61,'NSE - Other Index Options'!$B:$B,D$4,'NSE - Other Index Options'!$I:$I,"MDAW*")+SUMIFS('BSE - SENSEX Index Options'!$M:$M,'BSE - SENSEX Index Options'!$C:$C,$A61,'BSE - SENSEX Index Options'!$B:$B,D$4,'BSE - SENSEX Index Options'!$I:$I,"Weekly*")+SUMIFS('BSE - SENSEX Index Options'!$M:$M,'BSE - SENSEX Index Options'!$C:$C,$A61,'BSE - SENSEX Index Options'!$B:$B,D$4,'BSE - SENSEX Index Options'!$I:$I,"MDAW*")+SUMIFS('BSE - Other Index Options'!$M:$M,'BSE - Other Index Options'!$C:$C,$A61,'BSE - Other Index Options'!$B:$B,D$4,'BSE - Other Index Options'!$I:$I,"Weekly*")+SUMIFS('BSE - Other Index Options'!$M:$M,'BSE - Other Index Options'!$C:$C,$A61,'BSE - Other Index Options'!$B:$B,D$4,'BSE - Other Index Options'!$I:$I,"MDAW*")=0,"",SUMIFS('NSE - NIFTY Index Options'!$M:$M,'NSE - NIFTY Index Options'!$C:$C,$A61,'NSE - NIFTY Index Options'!$B:$B,D$4,'NSE - NIFTY Index Options'!$I:$I,"Weekly*")+SUMIFS('NSE - NIFTY Index Options'!$M:$M,'NSE - NIFTY Index Options'!$C:$C,$A61,'NSE - NIFTY Index Options'!$B:$B,D$4,'NSE - NIFTY Index Options'!$I:$I,"MDAW*")+SUMIFS('NSE - Other Index Options'!$M:$M,'NSE - Other Index Options'!$C:$C,$A61,'NSE - Other Index Options'!$B:$B,D$4,'NSE - Other Index Options'!$I:$I,"Weekly*")+SUMIFS('NSE - Other Index Options'!$M:$M,'NSE - Other Index Options'!$C:$C,$A61,'NSE - Other Index Options'!$B:$B,D$4,'NSE - Other Index Options'!$I:$I,"MDAW*")+SUMIFS('BSE - SENSEX Index Options'!$M:$M,'BSE - SENSEX Index Options'!$C:$C,$A61,'BSE - SENSEX Index Options'!$B:$B,D$4,'BSE - SENSEX Index Options'!$I:$I,"Weekly*")+SUMIFS('BSE - SENSEX Index Options'!$M:$M,'BSE - SENSEX Index Options'!$C:$C,$A61,'BSE - SENSEX Index Options'!$B:$B,D$4,'BSE - SENSEX Index Options'!$I:$I,"MDAW*")+SUMIFS('BSE - Other Index Options'!$M:$M,'BSE - Other Index Options'!$C:$C,$A61,'BSE - Other Index Options'!$B:$B,D$4,'BSE - Other Index Options'!$I:$I,"Weekly*")+SUMIFS('BSE - Other Index Options'!$M:$M,'BSE - Other Index Options'!$C:$C,$A61,'BSE - Other Index Options'!$B:$B,D$4,'BSE - Other Index Options'!$I:$I,"MDAW*"))</f>
        <v/>
      </c>
      <c r="E61" s="26">
        <f>IF(SUMIFS('NSE - NIFTY Index Options'!$M:$M,'NSE - NIFTY Index Options'!$C:$C,$A61,'NSE - NIFTY Index Options'!$B:$B,E$4,'NSE - NIFTY Index Options'!$I:$I,"Weekly*")+SUMIFS('NSE - NIFTY Index Options'!$M:$M,'NSE - NIFTY Index Options'!$C:$C,$A61,'NSE - NIFTY Index Options'!$B:$B,E$4,'NSE - NIFTY Index Options'!$I:$I,"MDAW*")+SUMIFS('NSE - Other Index Options'!$M:$M,'NSE - Other Index Options'!$C:$C,$A61,'NSE - Other Index Options'!$B:$B,E$4,'NSE - Other Index Options'!$I:$I,"Weekly*")+SUMIFS('NSE - Other Index Options'!$M:$M,'NSE - Other Index Options'!$C:$C,$A61,'NSE - Other Index Options'!$B:$B,E$4,'NSE - Other Index Options'!$I:$I,"MDAW*")+SUMIFS('BSE - SENSEX Index Options'!$M:$M,'BSE - SENSEX Index Options'!$C:$C,$A61,'BSE - SENSEX Index Options'!$B:$B,E$4,'BSE - SENSEX Index Options'!$I:$I,"Weekly*")+SUMIFS('BSE - SENSEX Index Options'!$M:$M,'BSE - SENSEX Index Options'!$C:$C,$A61,'BSE - SENSEX Index Options'!$B:$B,E$4,'BSE - SENSEX Index Options'!$I:$I,"MDAW*")+SUMIFS('BSE - Other Index Options'!$M:$M,'BSE - Other Index Options'!$C:$C,$A61,'BSE - Other Index Options'!$B:$B,E$4,'BSE - Other Index Options'!$I:$I,"Weekly*")+SUMIFS('BSE - Other Index Options'!$M:$M,'BSE - Other Index Options'!$C:$C,$A61,'BSE - Other Index Options'!$B:$B,E$4,'BSE - Other Index Options'!$I:$I,"MDAW*")=0,"",SUMIFS('NSE - NIFTY Index Options'!$M:$M,'NSE - NIFTY Index Options'!$C:$C,$A61,'NSE - NIFTY Index Options'!$B:$B,E$4,'NSE - NIFTY Index Options'!$I:$I,"Weekly*")+SUMIFS('NSE - NIFTY Index Options'!$M:$M,'NSE - NIFTY Index Options'!$C:$C,$A61,'NSE - NIFTY Index Options'!$B:$B,E$4,'NSE - NIFTY Index Options'!$I:$I,"MDAW*")+SUMIFS('NSE - Other Index Options'!$M:$M,'NSE - Other Index Options'!$C:$C,$A61,'NSE - Other Index Options'!$B:$B,E$4,'NSE - Other Index Options'!$I:$I,"Weekly*")+SUMIFS('NSE - Other Index Options'!$M:$M,'NSE - Other Index Options'!$C:$C,$A61,'NSE - Other Index Options'!$B:$B,E$4,'NSE - Other Index Options'!$I:$I,"MDAW*")+SUMIFS('BSE - SENSEX Index Options'!$M:$M,'BSE - SENSEX Index Options'!$C:$C,$A61,'BSE - SENSEX Index Options'!$B:$B,E$4,'BSE - SENSEX Index Options'!$I:$I,"Weekly*")+SUMIFS('BSE - SENSEX Index Options'!$M:$M,'BSE - SENSEX Index Options'!$C:$C,$A61,'BSE - SENSEX Index Options'!$B:$B,E$4,'BSE - SENSEX Index Options'!$I:$I,"MDAW*")+SUMIFS('BSE - Other Index Options'!$M:$M,'BSE - Other Index Options'!$C:$C,$A61,'BSE - Other Index Options'!$B:$B,E$4,'BSE - Other Index Options'!$I:$I,"Weekly*")+SUMIFS('BSE - Other Index Options'!$M:$M,'BSE - Other Index Options'!$C:$C,$A61,'BSE - Other Index Options'!$B:$B,E$4,'BSE - Other Index Options'!$I:$I,"MDAW*"))</f>
        <v/>
      </c>
      <c r="F61" s="26">
        <f>IF(SUMIFS('NSE - NIFTY Index Options'!$M:$M,'NSE - NIFTY Index Options'!$C:$C,$A61,'NSE - NIFTY Index Options'!$B:$B,F$4,'NSE - NIFTY Index Options'!$I:$I,"Weekly*")+SUMIFS('NSE - NIFTY Index Options'!$M:$M,'NSE - NIFTY Index Options'!$C:$C,$A61,'NSE - NIFTY Index Options'!$B:$B,F$4,'NSE - NIFTY Index Options'!$I:$I,"MDAW*")+SUMIFS('NSE - Other Index Options'!$M:$M,'NSE - Other Index Options'!$C:$C,$A61,'NSE - Other Index Options'!$B:$B,F$4,'NSE - Other Index Options'!$I:$I,"Weekly*")+SUMIFS('NSE - Other Index Options'!$M:$M,'NSE - Other Index Options'!$C:$C,$A61,'NSE - Other Index Options'!$B:$B,F$4,'NSE - Other Index Options'!$I:$I,"MDAW*")+SUMIFS('BSE - SENSEX Index Options'!$M:$M,'BSE - SENSEX Index Options'!$C:$C,$A61,'BSE - SENSEX Index Options'!$B:$B,F$4,'BSE - SENSEX Index Options'!$I:$I,"Weekly*")+SUMIFS('BSE - SENSEX Index Options'!$M:$M,'BSE - SENSEX Index Options'!$C:$C,$A61,'BSE - SENSEX Index Options'!$B:$B,F$4,'BSE - SENSEX Index Options'!$I:$I,"MDAW*")+SUMIFS('BSE - Other Index Options'!$M:$M,'BSE - Other Index Options'!$C:$C,$A61,'BSE - Other Index Options'!$B:$B,F$4,'BSE - Other Index Options'!$I:$I,"Weekly*")+SUMIFS('BSE - Other Index Options'!$M:$M,'BSE - Other Index Options'!$C:$C,$A61,'BSE - Other Index Options'!$B:$B,F$4,'BSE - Other Index Options'!$I:$I,"MDAW*")=0,"",SUMIFS('NSE - NIFTY Index Options'!$M:$M,'NSE - NIFTY Index Options'!$C:$C,$A61,'NSE - NIFTY Index Options'!$B:$B,F$4,'NSE - NIFTY Index Options'!$I:$I,"Weekly*")+SUMIFS('NSE - NIFTY Index Options'!$M:$M,'NSE - NIFTY Index Options'!$C:$C,$A61,'NSE - NIFTY Index Options'!$B:$B,F$4,'NSE - NIFTY Index Options'!$I:$I,"MDAW*")+SUMIFS('NSE - Other Index Options'!$M:$M,'NSE - Other Index Options'!$C:$C,$A61,'NSE - Other Index Options'!$B:$B,F$4,'NSE - Other Index Options'!$I:$I,"Weekly*")+SUMIFS('NSE - Other Index Options'!$M:$M,'NSE - Other Index Options'!$C:$C,$A61,'NSE - Other Index Options'!$B:$B,F$4,'NSE - Other Index Options'!$I:$I,"MDAW*")+SUMIFS('BSE - SENSEX Index Options'!$M:$M,'BSE - SENSEX Index Options'!$C:$C,$A61,'BSE - SENSEX Index Options'!$B:$B,F$4,'BSE - SENSEX Index Options'!$I:$I,"Weekly*")+SUMIFS('BSE - SENSEX Index Options'!$M:$M,'BSE - SENSEX Index Options'!$C:$C,$A61,'BSE - SENSEX Index Options'!$B:$B,F$4,'BSE - SENSEX Index Options'!$I:$I,"MDAW*")+SUMIFS('BSE - Other Index Options'!$M:$M,'BSE - Other Index Options'!$C:$C,$A61,'BSE - Other Index Options'!$B:$B,F$4,'BSE - Other Index Options'!$I:$I,"Weekly*")+SUMIFS('BSE - Other Index Options'!$M:$M,'BSE - Other Index Options'!$C:$C,$A61,'BSE - Other Index Options'!$B:$B,F$4,'BSE - Other Index Options'!$I:$I,"MDAW*"))</f>
        <v/>
      </c>
      <c r="G61" s="26">
        <f>IF(SUMIFS('NSE - NIFTY Index Options'!$M:$M,'NSE - NIFTY Index Options'!$C:$C,$A61,'NSE - NIFTY Index Options'!$B:$B,G$4,'NSE - NIFTY Index Options'!$I:$I,"Weekly*")+SUMIFS('NSE - NIFTY Index Options'!$M:$M,'NSE - NIFTY Index Options'!$C:$C,$A61,'NSE - NIFTY Index Options'!$B:$B,G$4,'NSE - NIFTY Index Options'!$I:$I,"MDAW*")+SUMIFS('NSE - Other Index Options'!$M:$M,'NSE - Other Index Options'!$C:$C,$A61,'NSE - Other Index Options'!$B:$B,G$4,'NSE - Other Index Options'!$I:$I,"Weekly*")+SUMIFS('NSE - Other Index Options'!$M:$M,'NSE - Other Index Options'!$C:$C,$A61,'NSE - Other Index Options'!$B:$B,G$4,'NSE - Other Index Options'!$I:$I,"MDAW*")+SUMIFS('BSE - SENSEX Index Options'!$M:$M,'BSE - SENSEX Index Options'!$C:$C,$A61,'BSE - SENSEX Index Options'!$B:$B,G$4,'BSE - SENSEX Index Options'!$I:$I,"Weekly*")+SUMIFS('BSE - SENSEX Index Options'!$M:$M,'BSE - SENSEX Index Options'!$C:$C,$A61,'BSE - SENSEX Index Options'!$B:$B,G$4,'BSE - SENSEX Index Options'!$I:$I,"MDAW*")+SUMIFS('BSE - Other Index Options'!$M:$M,'BSE - Other Index Options'!$C:$C,$A61,'BSE - Other Index Options'!$B:$B,G$4,'BSE - Other Index Options'!$I:$I,"Weekly*")+SUMIFS('BSE - Other Index Options'!$M:$M,'BSE - Other Index Options'!$C:$C,$A61,'BSE - Other Index Options'!$B:$B,G$4,'BSE - Other Index Options'!$I:$I,"MDAW*")=0,"",SUMIFS('NSE - NIFTY Index Options'!$M:$M,'NSE - NIFTY Index Options'!$C:$C,$A61,'NSE - NIFTY Index Options'!$B:$B,G$4,'NSE - NIFTY Index Options'!$I:$I,"Weekly*")+SUMIFS('NSE - NIFTY Index Options'!$M:$M,'NSE - NIFTY Index Options'!$C:$C,$A61,'NSE - NIFTY Index Options'!$B:$B,G$4,'NSE - NIFTY Index Options'!$I:$I,"MDAW*")+SUMIFS('NSE - Other Index Options'!$M:$M,'NSE - Other Index Options'!$C:$C,$A61,'NSE - Other Index Options'!$B:$B,G$4,'NSE - Other Index Options'!$I:$I,"Weekly*")+SUMIFS('NSE - Other Index Options'!$M:$M,'NSE - Other Index Options'!$C:$C,$A61,'NSE - Other Index Options'!$B:$B,G$4,'NSE - Other Index Options'!$I:$I,"MDAW*")+SUMIFS('BSE - SENSEX Index Options'!$M:$M,'BSE - SENSEX Index Options'!$C:$C,$A61,'BSE - SENSEX Index Options'!$B:$B,G$4,'BSE - SENSEX Index Options'!$I:$I,"Weekly*")+SUMIFS('BSE - SENSEX Index Options'!$M:$M,'BSE - SENSEX Index Options'!$C:$C,$A61,'BSE - SENSEX Index Options'!$B:$B,G$4,'BSE - SENSEX Index Options'!$I:$I,"MDAW*")+SUMIFS('BSE - Other Index Options'!$M:$M,'BSE - Other Index Options'!$C:$C,$A61,'BSE - Other Index Options'!$B:$B,G$4,'BSE - Other Index Options'!$I:$I,"Weekly*")+SUMIFS('BSE - Other Index Options'!$M:$M,'BSE - Other Index Options'!$C:$C,$A61,'BSE - Other Index Options'!$B:$B,G$4,'BSE - Other Index Options'!$I:$I,"MDAW*"))</f>
        <v/>
      </c>
      <c r="H61" s="26">
        <f>IF(SUM(B61:G61)=0,"",SUM(B61:G61))</f>
        <v/>
      </c>
    </row>
    <row r="62" hidden="1" outlineLevel="1">
      <c r="A62" t="inlineStr">
        <is>
          <t>Week4-Aug-2026</t>
        </is>
      </c>
      <c r="B62" s="26">
        <f>IF(SUMIFS('NSE - NIFTY Index Options'!$M:$M,'NSE - NIFTY Index Options'!$C:$C,$A62,'NSE - NIFTY Index Options'!$B:$B,B$4,'NSE - NIFTY Index Options'!$I:$I,"Weekly*")+SUMIFS('NSE - NIFTY Index Options'!$M:$M,'NSE - NIFTY Index Options'!$C:$C,$A62,'NSE - NIFTY Index Options'!$B:$B,B$4,'NSE - NIFTY Index Options'!$I:$I,"MDAW*")+SUMIFS('NSE - Other Index Options'!$M:$M,'NSE - Other Index Options'!$C:$C,$A62,'NSE - Other Index Options'!$B:$B,B$4,'NSE - Other Index Options'!$I:$I,"Weekly*")+SUMIFS('NSE - Other Index Options'!$M:$M,'NSE - Other Index Options'!$C:$C,$A62,'NSE - Other Index Options'!$B:$B,B$4,'NSE - Other Index Options'!$I:$I,"MDAW*")+SUMIFS('BSE - SENSEX Index Options'!$M:$M,'BSE - SENSEX Index Options'!$C:$C,$A62,'BSE - SENSEX Index Options'!$B:$B,B$4,'BSE - SENSEX Index Options'!$I:$I,"Weekly*")+SUMIFS('BSE - SENSEX Index Options'!$M:$M,'BSE - SENSEX Index Options'!$C:$C,$A62,'BSE - SENSEX Index Options'!$B:$B,B$4,'BSE - SENSEX Index Options'!$I:$I,"MDAW*")+SUMIFS('BSE - Other Index Options'!$M:$M,'BSE - Other Index Options'!$C:$C,$A62,'BSE - Other Index Options'!$B:$B,B$4,'BSE - Other Index Options'!$I:$I,"Weekly*")+SUMIFS('BSE - Other Index Options'!$M:$M,'BSE - Other Index Options'!$C:$C,$A62,'BSE - Other Index Options'!$B:$B,B$4,'BSE - Other Index Options'!$I:$I,"MDAW*")=0,"",SUMIFS('NSE - NIFTY Index Options'!$M:$M,'NSE - NIFTY Index Options'!$C:$C,$A62,'NSE - NIFTY Index Options'!$B:$B,B$4,'NSE - NIFTY Index Options'!$I:$I,"Weekly*")+SUMIFS('NSE - NIFTY Index Options'!$M:$M,'NSE - NIFTY Index Options'!$C:$C,$A62,'NSE - NIFTY Index Options'!$B:$B,B$4,'NSE - NIFTY Index Options'!$I:$I,"MDAW*")+SUMIFS('NSE - Other Index Options'!$M:$M,'NSE - Other Index Options'!$C:$C,$A62,'NSE - Other Index Options'!$B:$B,B$4,'NSE - Other Index Options'!$I:$I,"Weekly*")+SUMIFS('NSE - Other Index Options'!$M:$M,'NSE - Other Index Options'!$C:$C,$A62,'NSE - Other Index Options'!$B:$B,B$4,'NSE - Other Index Options'!$I:$I,"MDAW*")+SUMIFS('BSE - SENSEX Index Options'!$M:$M,'BSE - SENSEX Index Options'!$C:$C,$A62,'BSE - SENSEX Index Options'!$B:$B,B$4,'BSE - SENSEX Index Options'!$I:$I,"Weekly*")+SUMIFS('BSE - SENSEX Index Options'!$M:$M,'BSE - SENSEX Index Options'!$C:$C,$A62,'BSE - SENSEX Index Options'!$B:$B,B$4,'BSE - SENSEX Index Options'!$I:$I,"MDAW*")+SUMIFS('BSE - Other Index Options'!$M:$M,'BSE - Other Index Options'!$C:$C,$A62,'BSE - Other Index Options'!$B:$B,B$4,'BSE - Other Index Options'!$I:$I,"Weekly*")+SUMIFS('BSE - Other Index Options'!$M:$M,'BSE - Other Index Options'!$C:$C,$A62,'BSE - Other Index Options'!$B:$B,B$4,'BSE - Other Index Options'!$I:$I,"MDAW*"))</f>
        <v/>
      </c>
      <c r="C62" s="26">
        <f>IF(SUMIFS('NSE - NIFTY Index Options'!$M:$M,'NSE - NIFTY Index Options'!$C:$C,$A62,'NSE - NIFTY Index Options'!$B:$B,C$4,'NSE - NIFTY Index Options'!$I:$I,"Weekly*")+SUMIFS('NSE - NIFTY Index Options'!$M:$M,'NSE - NIFTY Index Options'!$C:$C,$A62,'NSE - NIFTY Index Options'!$B:$B,C$4,'NSE - NIFTY Index Options'!$I:$I,"MDAW*")+SUMIFS('NSE - Other Index Options'!$M:$M,'NSE - Other Index Options'!$C:$C,$A62,'NSE - Other Index Options'!$B:$B,C$4,'NSE - Other Index Options'!$I:$I,"Weekly*")+SUMIFS('NSE - Other Index Options'!$M:$M,'NSE - Other Index Options'!$C:$C,$A62,'NSE - Other Index Options'!$B:$B,C$4,'NSE - Other Index Options'!$I:$I,"MDAW*")+SUMIFS('BSE - SENSEX Index Options'!$M:$M,'BSE - SENSEX Index Options'!$C:$C,$A62,'BSE - SENSEX Index Options'!$B:$B,C$4,'BSE - SENSEX Index Options'!$I:$I,"Weekly*")+SUMIFS('BSE - SENSEX Index Options'!$M:$M,'BSE - SENSEX Index Options'!$C:$C,$A62,'BSE - SENSEX Index Options'!$B:$B,C$4,'BSE - SENSEX Index Options'!$I:$I,"MDAW*")+SUMIFS('BSE - Other Index Options'!$M:$M,'BSE - Other Index Options'!$C:$C,$A62,'BSE - Other Index Options'!$B:$B,C$4,'BSE - Other Index Options'!$I:$I,"Weekly*")+SUMIFS('BSE - Other Index Options'!$M:$M,'BSE - Other Index Options'!$C:$C,$A62,'BSE - Other Index Options'!$B:$B,C$4,'BSE - Other Index Options'!$I:$I,"MDAW*")=0,"",SUMIFS('NSE - NIFTY Index Options'!$M:$M,'NSE - NIFTY Index Options'!$C:$C,$A62,'NSE - NIFTY Index Options'!$B:$B,C$4,'NSE - NIFTY Index Options'!$I:$I,"Weekly*")+SUMIFS('NSE - NIFTY Index Options'!$M:$M,'NSE - NIFTY Index Options'!$C:$C,$A62,'NSE - NIFTY Index Options'!$B:$B,C$4,'NSE - NIFTY Index Options'!$I:$I,"MDAW*")+SUMIFS('NSE - Other Index Options'!$M:$M,'NSE - Other Index Options'!$C:$C,$A62,'NSE - Other Index Options'!$B:$B,C$4,'NSE - Other Index Options'!$I:$I,"Weekly*")+SUMIFS('NSE - Other Index Options'!$M:$M,'NSE - Other Index Options'!$C:$C,$A62,'NSE - Other Index Options'!$B:$B,C$4,'NSE - Other Index Options'!$I:$I,"MDAW*")+SUMIFS('BSE - SENSEX Index Options'!$M:$M,'BSE - SENSEX Index Options'!$C:$C,$A62,'BSE - SENSEX Index Options'!$B:$B,C$4,'BSE - SENSEX Index Options'!$I:$I,"Weekly*")+SUMIFS('BSE - SENSEX Index Options'!$M:$M,'BSE - SENSEX Index Options'!$C:$C,$A62,'BSE - SENSEX Index Options'!$B:$B,C$4,'BSE - SENSEX Index Options'!$I:$I,"MDAW*")+SUMIFS('BSE - Other Index Options'!$M:$M,'BSE - Other Index Options'!$C:$C,$A62,'BSE - Other Index Options'!$B:$B,C$4,'BSE - Other Index Options'!$I:$I,"Weekly*")+SUMIFS('BSE - Other Index Options'!$M:$M,'BSE - Other Index Options'!$C:$C,$A62,'BSE - Other Index Options'!$B:$B,C$4,'BSE - Other Index Options'!$I:$I,"MDAW*"))</f>
        <v/>
      </c>
      <c r="D62" s="26">
        <f>IF(SUMIFS('NSE - NIFTY Index Options'!$M:$M,'NSE - NIFTY Index Options'!$C:$C,$A62,'NSE - NIFTY Index Options'!$B:$B,D$4,'NSE - NIFTY Index Options'!$I:$I,"Weekly*")+SUMIFS('NSE - NIFTY Index Options'!$M:$M,'NSE - NIFTY Index Options'!$C:$C,$A62,'NSE - NIFTY Index Options'!$B:$B,D$4,'NSE - NIFTY Index Options'!$I:$I,"MDAW*")+SUMIFS('NSE - Other Index Options'!$M:$M,'NSE - Other Index Options'!$C:$C,$A62,'NSE - Other Index Options'!$B:$B,D$4,'NSE - Other Index Options'!$I:$I,"Weekly*")+SUMIFS('NSE - Other Index Options'!$M:$M,'NSE - Other Index Options'!$C:$C,$A62,'NSE - Other Index Options'!$B:$B,D$4,'NSE - Other Index Options'!$I:$I,"MDAW*")+SUMIFS('BSE - SENSEX Index Options'!$M:$M,'BSE - SENSEX Index Options'!$C:$C,$A62,'BSE - SENSEX Index Options'!$B:$B,D$4,'BSE - SENSEX Index Options'!$I:$I,"Weekly*")+SUMIFS('BSE - SENSEX Index Options'!$M:$M,'BSE - SENSEX Index Options'!$C:$C,$A62,'BSE - SENSEX Index Options'!$B:$B,D$4,'BSE - SENSEX Index Options'!$I:$I,"MDAW*")+SUMIFS('BSE - Other Index Options'!$M:$M,'BSE - Other Index Options'!$C:$C,$A62,'BSE - Other Index Options'!$B:$B,D$4,'BSE - Other Index Options'!$I:$I,"Weekly*")+SUMIFS('BSE - Other Index Options'!$M:$M,'BSE - Other Index Options'!$C:$C,$A62,'BSE - Other Index Options'!$B:$B,D$4,'BSE - Other Index Options'!$I:$I,"MDAW*")=0,"",SUMIFS('NSE - NIFTY Index Options'!$M:$M,'NSE - NIFTY Index Options'!$C:$C,$A62,'NSE - NIFTY Index Options'!$B:$B,D$4,'NSE - NIFTY Index Options'!$I:$I,"Weekly*")+SUMIFS('NSE - NIFTY Index Options'!$M:$M,'NSE - NIFTY Index Options'!$C:$C,$A62,'NSE - NIFTY Index Options'!$B:$B,D$4,'NSE - NIFTY Index Options'!$I:$I,"MDAW*")+SUMIFS('NSE - Other Index Options'!$M:$M,'NSE - Other Index Options'!$C:$C,$A62,'NSE - Other Index Options'!$B:$B,D$4,'NSE - Other Index Options'!$I:$I,"Weekly*")+SUMIFS('NSE - Other Index Options'!$M:$M,'NSE - Other Index Options'!$C:$C,$A62,'NSE - Other Index Options'!$B:$B,D$4,'NSE - Other Index Options'!$I:$I,"MDAW*")+SUMIFS('BSE - SENSEX Index Options'!$M:$M,'BSE - SENSEX Index Options'!$C:$C,$A62,'BSE - SENSEX Index Options'!$B:$B,D$4,'BSE - SENSEX Index Options'!$I:$I,"Weekly*")+SUMIFS('BSE - SENSEX Index Options'!$M:$M,'BSE - SENSEX Index Options'!$C:$C,$A62,'BSE - SENSEX Index Options'!$B:$B,D$4,'BSE - SENSEX Index Options'!$I:$I,"MDAW*")+SUMIFS('BSE - Other Index Options'!$M:$M,'BSE - Other Index Options'!$C:$C,$A62,'BSE - Other Index Options'!$B:$B,D$4,'BSE - Other Index Options'!$I:$I,"Weekly*")+SUMIFS('BSE - Other Index Options'!$M:$M,'BSE - Other Index Options'!$C:$C,$A62,'BSE - Other Index Options'!$B:$B,D$4,'BSE - Other Index Options'!$I:$I,"MDAW*"))</f>
        <v/>
      </c>
      <c r="E62" s="26">
        <f>IF(SUMIFS('NSE - NIFTY Index Options'!$M:$M,'NSE - NIFTY Index Options'!$C:$C,$A62,'NSE - NIFTY Index Options'!$B:$B,E$4,'NSE - NIFTY Index Options'!$I:$I,"Weekly*")+SUMIFS('NSE - NIFTY Index Options'!$M:$M,'NSE - NIFTY Index Options'!$C:$C,$A62,'NSE - NIFTY Index Options'!$B:$B,E$4,'NSE - NIFTY Index Options'!$I:$I,"MDAW*")+SUMIFS('NSE - Other Index Options'!$M:$M,'NSE - Other Index Options'!$C:$C,$A62,'NSE - Other Index Options'!$B:$B,E$4,'NSE - Other Index Options'!$I:$I,"Weekly*")+SUMIFS('NSE - Other Index Options'!$M:$M,'NSE - Other Index Options'!$C:$C,$A62,'NSE - Other Index Options'!$B:$B,E$4,'NSE - Other Index Options'!$I:$I,"MDAW*")+SUMIFS('BSE - SENSEX Index Options'!$M:$M,'BSE - SENSEX Index Options'!$C:$C,$A62,'BSE - SENSEX Index Options'!$B:$B,E$4,'BSE - SENSEX Index Options'!$I:$I,"Weekly*")+SUMIFS('BSE - SENSEX Index Options'!$M:$M,'BSE - SENSEX Index Options'!$C:$C,$A62,'BSE - SENSEX Index Options'!$B:$B,E$4,'BSE - SENSEX Index Options'!$I:$I,"MDAW*")+SUMIFS('BSE - Other Index Options'!$M:$M,'BSE - Other Index Options'!$C:$C,$A62,'BSE - Other Index Options'!$B:$B,E$4,'BSE - Other Index Options'!$I:$I,"Weekly*")+SUMIFS('BSE - Other Index Options'!$M:$M,'BSE - Other Index Options'!$C:$C,$A62,'BSE - Other Index Options'!$B:$B,E$4,'BSE - Other Index Options'!$I:$I,"MDAW*")=0,"",SUMIFS('NSE - NIFTY Index Options'!$M:$M,'NSE - NIFTY Index Options'!$C:$C,$A62,'NSE - NIFTY Index Options'!$B:$B,E$4,'NSE - NIFTY Index Options'!$I:$I,"Weekly*")+SUMIFS('NSE - NIFTY Index Options'!$M:$M,'NSE - NIFTY Index Options'!$C:$C,$A62,'NSE - NIFTY Index Options'!$B:$B,E$4,'NSE - NIFTY Index Options'!$I:$I,"MDAW*")+SUMIFS('NSE - Other Index Options'!$M:$M,'NSE - Other Index Options'!$C:$C,$A62,'NSE - Other Index Options'!$B:$B,E$4,'NSE - Other Index Options'!$I:$I,"Weekly*")+SUMIFS('NSE - Other Index Options'!$M:$M,'NSE - Other Index Options'!$C:$C,$A62,'NSE - Other Index Options'!$B:$B,E$4,'NSE - Other Index Options'!$I:$I,"MDAW*")+SUMIFS('BSE - SENSEX Index Options'!$M:$M,'BSE - SENSEX Index Options'!$C:$C,$A62,'BSE - SENSEX Index Options'!$B:$B,E$4,'BSE - SENSEX Index Options'!$I:$I,"Weekly*")+SUMIFS('BSE - SENSEX Index Options'!$M:$M,'BSE - SENSEX Index Options'!$C:$C,$A62,'BSE - SENSEX Index Options'!$B:$B,E$4,'BSE - SENSEX Index Options'!$I:$I,"MDAW*")+SUMIFS('BSE - Other Index Options'!$M:$M,'BSE - Other Index Options'!$C:$C,$A62,'BSE - Other Index Options'!$B:$B,E$4,'BSE - Other Index Options'!$I:$I,"Weekly*")+SUMIFS('BSE - Other Index Options'!$M:$M,'BSE - Other Index Options'!$C:$C,$A62,'BSE - Other Index Options'!$B:$B,E$4,'BSE - Other Index Options'!$I:$I,"MDAW*"))</f>
        <v/>
      </c>
      <c r="F62" s="26">
        <f>IF(SUMIFS('NSE - NIFTY Index Options'!$M:$M,'NSE - NIFTY Index Options'!$C:$C,$A62,'NSE - NIFTY Index Options'!$B:$B,F$4,'NSE - NIFTY Index Options'!$I:$I,"Weekly*")+SUMIFS('NSE - NIFTY Index Options'!$M:$M,'NSE - NIFTY Index Options'!$C:$C,$A62,'NSE - NIFTY Index Options'!$B:$B,F$4,'NSE - NIFTY Index Options'!$I:$I,"MDAW*")+SUMIFS('NSE - Other Index Options'!$M:$M,'NSE - Other Index Options'!$C:$C,$A62,'NSE - Other Index Options'!$B:$B,F$4,'NSE - Other Index Options'!$I:$I,"Weekly*")+SUMIFS('NSE - Other Index Options'!$M:$M,'NSE - Other Index Options'!$C:$C,$A62,'NSE - Other Index Options'!$B:$B,F$4,'NSE - Other Index Options'!$I:$I,"MDAW*")+SUMIFS('BSE - SENSEX Index Options'!$M:$M,'BSE - SENSEX Index Options'!$C:$C,$A62,'BSE - SENSEX Index Options'!$B:$B,F$4,'BSE - SENSEX Index Options'!$I:$I,"Weekly*")+SUMIFS('BSE - SENSEX Index Options'!$M:$M,'BSE - SENSEX Index Options'!$C:$C,$A62,'BSE - SENSEX Index Options'!$B:$B,F$4,'BSE - SENSEX Index Options'!$I:$I,"MDAW*")+SUMIFS('BSE - Other Index Options'!$M:$M,'BSE - Other Index Options'!$C:$C,$A62,'BSE - Other Index Options'!$B:$B,F$4,'BSE - Other Index Options'!$I:$I,"Weekly*")+SUMIFS('BSE - Other Index Options'!$M:$M,'BSE - Other Index Options'!$C:$C,$A62,'BSE - Other Index Options'!$B:$B,F$4,'BSE - Other Index Options'!$I:$I,"MDAW*")=0,"",SUMIFS('NSE - NIFTY Index Options'!$M:$M,'NSE - NIFTY Index Options'!$C:$C,$A62,'NSE - NIFTY Index Options'!$B:$B,F$4,'NSE - NIFTY Index Options'!$I:$I,"Weekly*")+SUMIFS('NSE - NIFTY Index Options'!$M:$M,'NSE - NIFTY Index Options'!$C:$C,$A62,'NSE - NIFTY Index Options'!$B:$B,F$4,'NSE - NIFTY Index Options'!$I:$I,"MDAW*")+SUMIFS('NSE - Other Index Options'!$M:$M,'NSE - Other Index Options'!$C:$C,$A62,'NSE - Other Index Options'!$B:$B,F$4,'NSE - Other Index Options'!$I:$I,"Weekly*")+SUMIFS('NSE - Other Index Options'!$M:$M,'NSE - Other Index Options'!$C:$C,$A62,'NSE - Other Index Options'!$B:$B,F$4,'NSE - Other Index Options'!$I:$I,"MDAW*")+SUMIFS('BSE - SENSEX Index Options'!$M:$M,'BSE - SENSEX Index Options'!$C:$C,$A62,'BSE - SENSEX Index Options'!$B:$B,F$4,'BSE - SENSEX Index Options'!$I:$I,"Weekly*")+SUMIFS('BSE - SENSEX Index Options'!$M:$M,'BSE - SENSEX Index Options'!$C:$C,$A62,'BSE - SENSEX Index Options'!$B:$B,F$4,'BSE - SENSEX Index Options'!$I:$I,"MDAW*")+SUMIFS('BSE - Other Index Options'!$M:$M,'BSE - Other Index Options'!$C:$C,$A62,'BSE - Other Index Options'!$B:$B,F$4,'BSE - Other Index Options'!$I:$I,"Weekly*")+SUMIFS('BSE - Other Index Options'!$M:$M,'BSE - Other Index Options'!$C:$C,$A62,'BSE - Other Index Options'!$B:$B,F$4,'BSE - Other Index Options'!$I:$I,"MDAW*"))</f>
        <v/>
      </c>
      <c r="G62" s="26">
        <f>IF(SUMIFS('NSE - NIFTY Index Options'!$M:$M,'NSE - NIFTY Index Options'!$C:$C,$A62,'NSE - NIFTY Index Options'!$B:$B,G$4,'NSE - NIFTY Index Options'!$I:$I,"Weekly*")+SUMIFS('NSE - NIFTY Index Options'!$M:$M,'NSE - NIFTY Index Options'!$C:$C,$A62,'NSE - NIFTY Index Options'!$B:$B,G$4,'NSE - NIFTY Index Options'!$I:$I,"MDAW*")+SUMIFS('NSE - Other Index Options'!$M:$M,'NSE - Other Index Options'!$C:$C,$A62,'NSE - Other Index Options'!$B:$B,G$4,'NSE - Other Index Options'!$I:$I,"Weekly*")+SUMIFS('NSE - Other Index Options'!$M:$M,'NSE - Other Index Options'!$C:$C,$A62,'NSE - Other Index Options'!$B:$B,G$4,'NSE - Other Index Options'!$I:$I,"MDAW*")+SUMIFS('BSE - SENSEX Index Options'!$M:$M,'BSE - SENSEX Index Options'!$C:$C,$A62,'BSE - SENSEX Index Options'!$B:$B,G$4,'BSE - SENSEX Index Options'!$I:$I,"Weekly*")+SUMIFS('BSE - SENSEX Index Options'!$M:$M,'BSE - SENSEX Index Options'!$C:$C,$A62,'BSE - SENSEX Index Options'!$B:$B,G$4,'BSE - SENSEX Index Options'!$I:$I,"MDAW*")+SUMIFS('BSE - Other Index Options'!$M:$M,'BSE - Other Index Options'!$C:$C,$A62,'BSE - Other Index Options'!$B:$B,G$4,'BSE - Other Index Options'!$I:$I,"Weekly*")+SUMIFS('BSE - Other Index Options'!$M:$M,'BSE - Other Index Options'!$C:$C,$A62,'BSE - Other Index Options'!$B:$B,G$4,'BSE - Other Index Options'!$I:$I,"MDAW*")=0,"",SUMIFS('NSE - NIFTY Index Options'!$M:$M,'NSE - NIFTY Index Options'!$C:$C,$A62,'NSE - NIFTY Index Options'!$B:$B,G$4,'NSE - NIFTY Index Options'!$I:$I,"Weekly*")+SUMIFS('NSE - NIFTY Index Options'!$M:$M,'NSE - NIFTY Index Options'!$C:$C,$A62,'NSE - NIFTY Index Options'!$B:$B,G$4,'NSE - NIFTY Index Options'!$I:$I,"MDAW*")+SUMIFS('NSE - Other Index Options'!$M:$M,'NSE - Other Index Options'!$C:$C,$A62,'NSE - Other Index Options'!$B:$B,G$4,'NSE - Other Index Options'!$I:$I,"Weekly*")+SUMIFS('NSE - Other Index Options'!$M:$M,'NSE - Other Index Options'!$C:$C,$A62,'NSE - Other Index Options'!$B:$B,G$4,'NSE - Other Index Options'!$I:$I,"MDAW*")+SUMIFS('BSE - SENSEX Index Options'!$M:$M,'BSE - SENSEX Index Options'!$C:$C,$A62,'BSE - SENSEX Index Options'!$B:$B,G$4,'BSE - SENSEX Index Options'!$I:$I,"Weekly*")+SUMIFS('BSE - SENSEX Index Options'!$M:$M,'BSE - SENSEX Index Options'!$C:$C,$A62,'BSE - SENSEX Index Options'!$B:$B,G$4,'BSE - SENSEX Index Options'!$I:$I,"MDAW*")+SUMIFS('BSE - Other Index Options'!$M:$M,'BSE - Other Index Options'!$C:$C,$A62,'BSE - Other Index Options'!$B:$B,G$4,'BSE - Other Index Options'!$I:$I,"Weekly*")+SUMIFS('BSE - Other Index Options'!$M:$M,'BSE - Other Index Options'!$C:$C,$A62,'BSE - Other Index Options'!$B:$B,G$4,'BSE - Other Index Options'!$I:$I,"MDAW*"))</f>
        <v/>
      </c>
      <c r="H62" s="26">
        <f>IF(SUM(B62:G62)=0,"",SUM(B62:G62))</f>
        <v/>
      </c>
    </row>
    <row r="63" hidden="1" outlineLevel="1">
      <c r="A63" t="inlineStr">
        <is>
          <t>Week5-Aug-2026</t>
        </is>
      </c>
      <c r="B63" s="26">
        <f>IF(SUMIFS('NSE - NIFTY Index Options'!$M:$M,'NSE - NIFTY Index Options'!$C:$C,$A63,'NSE - NIFTY Index Options'!$B:$B,B$4,'NSE - NIFTY Index Options'!$I:$I,"Weekly*")+SUMIFS('NSE - NIFTY Index Options'!$M:$M,'NSE - NIFTY Index Options'!$C:$C,$A63,'NSE - NIFTY Index Options'!$B:$B,B$4,'NSE - NIFTY Index Options'!$I:$I,"MDAW*")+SUMIFS('NSE - Other Index Options'!$M:$M,'NSE - Other Index Options'!$C:$C,$A63,'NSE - Other Index Options'!$B:$B,B$4,'NSE - Other Index Options'!$I:$I,"Weekly*")+SUMIFS('NSE - Other Index Options'!$M:$M,'NSE - Other Index Options'!$C:$C,$A63,'NSE - Other Index Options'!$B:$B,B$4,'NSE - Other Index Options'!$I:$I,"MDAW*")+SUMIFS('BSE - SENSEX Index Options'!$M:$M,'BSE - SENSEX Index Options'!$C:$C,$A63,'BSE - SENSEX Index Options'!$B:$B,B$4,'BSE - SENSEX Index Options'!$I:$I,"Weekly*")+SUMIFS('BSE - SENSEX Index Options'!$M:$M,'BSE - SENSEX Index Options'!$C:$C,$A63,'BSE - SENSEX Index Options'!$B:$B,B$4,'BSE - SENSEX Index Options'!$I:$I,"MDAW*")+SUMIFS('BSE - Other Index Options'!$M:$M,'BSE - Other Index Options'!$C:$C,$A63,'BSE - Other Index Options'!$B:$B,B$4,'BSE - Other Index Options'!$I:$I,"Weekly*")+SUMIFS('BSE - Other Index Options'!$M:$M,'BSE - Other Index Options'!$C:$C,$A63,'BSE - Other Index Options'!$B:$B,B$4,'BSE - Other Index Options'!$I:$I,"MDAW*")=0,"",SUMIFS('NSE - NIFTY Index Options'!$M:$M,'NSE - NIFTY Index Options'!$C:$C,$A63,'NSE - NIFTY Index Options'!$B:$B,B$4,'NSE - NIFTY Index Options'!$I:$I,"Weekly*")+SUMIFS('NSE - NIFTY Index Options'!$M:$M,'NSE - NIFTY Index Options'!$C:$C,$A63,'NSE - NIFTY Index Options'!$B:$B,B$4,'NSE - NIFTY Index Options'!$I:$I,"MDAW*")+SUMIFS('NSE - Other Index Options'!$M:$M,'NSE - Other Index Options'!$C:$C,$A63,'NSE - Other Index Options'!$B:$B,B$4,'NSE - Other Index Options'!$I:$I,"Weekly*")+SUMIFS('NSE - Other Index Options'!$M:$M,'NSE - Other Index Options'!$C:$C,$A63,'NSE - Other Index Options'!$B:$B,B$4,'NSE - Other Index Options'!$I:$I,"MDAW*")+SUMIFS('BSE - SENSEX Index Options'!$M:$M,'BSE - SENSEX Index Options'!$C:$C,$A63,'BSE - SENSEX Index Options'!$B:$B,B$4,'BSE - SENSEX Index Options'!$I:$I,"Weekly*")+SUMIFS('BSE - SENSEX Index Options'!$M:$M,'BSE - SENSEX Index Options'!$C:$C,$A63,'BSE - SENSEX Index Options'!$B:$B,B$4,'BSE - SENSEX Index Options'!$I:$I,"MDAW*")+SUMIFS('BSE - Other Index Options'!$M:$M,'BSE - Other Index Options'!$C:$C,$A63,'BSE - Other Index Options'!$B:$B,B$4,'BSE - Other Index Options'!$I:$I,"Weekly*")+SUMIFS('BSE - Other Index Options'!$M:$M,'BSE - Other Index Options'!$C:$C,$A63,'BSE - Other Index Options'!$B:$B,B$4,'BSE - Other Index Options'!$I:$I,"MDAW*"))</f>
        <v/>
      </c>
      <c r="C63" s="26">
        <f>IF(SUMIFS('NSE - NIFTY Index Options'!$M:$M,'NSE - NIFTY Index Options'!$C:$C,$A63,'NSE - NIFTY Index Options'!$B:$B,C$4,'NSE - NIFTY Index Options'!$I:$I,"Weekly*")+SUMIFS('NSE - NIFTY Index Options'!$M:$M,'NSE - NIFTY Index Options'!$C:$C,$A63,'NSE - NIFTY Index Options'!$B:$B,C$4,'NSE - NIFTY Index Options'!$I:$I,"MDAW*")+SUMIFS('NSE - Other Index Options'!$M:$M,'NSE - Other Index Options'!$C:$C,$A63,'NSE - Other Index Options'!$B:$B,C$4,'NSE - Other Index Options'!$I:$I,"Weekly*")+SUMIFS('NSE - Other Index Options'!$M:$M,'NSE - Other Index Options'!$C:$C,$A63,'NSE - Other Index Options'!$B:$B,C$4,'NSE - Other Index Options'!$I:$I,"MDAW*")+SUMIFS('BSE - SENSEX Index Options'!$M:$M,'BSE - SENSEX Index Options'!$C:$C,$A63,'BSE - SENSEX Index Options'!$B:$B,C$4,'BSE - SENSEX Index Options'!$I:$I,"Weekly*")+SUMIFS('BSE - SENSEX Index Options'!$M:$M,'BSE - SENSEX Index Options'!$C:$C,$A63,'BSE - SENSEX Index Options'!$B:$B,C$4,'BSE - SENSEX Index Options'!$I:$I,"MDAW*")+SUMIFS('BSE - Other Index Options'!$M:$M,'BSE - Other Index Options'!$C:$C,$A63,'BSE - Other Index Options'!$B:$B,C$4,'BSE - Other Index Options'!$I:$I,"Weekly*")+SUMIFS('BSE - Other Index Options'!$M:$M,'BSE - Other Index Options'!$C:$C,$A63,'BSE - Other Index Options'!$B:$B,C$4,'BSE - Other Index Options'!$I:$I,"MDAW*")=0,"",SUMIFS('NSE - NIFTY Index Options'!$M:$M,'NSE - NIFTY Index Options'!$C:$C,$A63,'NSE - NIFTY Index Options'!$B:$B,C$4,'NSE - NIFTY Index Options'!$I:$I,"Weekly*")+SUMIFS('NSE - NIFTY Index Options'!$M:$M,'NSE - NIFTY Index Options'!$C:$C,$A63,'NSE - NIFTY Index Options'!$B:$B,C$4,'NSE - NIFTY Index Options'!$I:$I,"MDAW*")+SUMIFS('NSE - Other Index Options'!$M:$M,'NSE - Other Index Options'!$C:$C,$A63,'NSE - Other Index Options'!$B:$B,C$4,'NSE - Other Index Options'!$I:$I,"Weekly*")+SUMIFS('NSE - Other Index Options'!$M:$M,'NSE - Other Index Options'!$C:$C,$A63,'NSE - Other Index Options'!$B:$B,C$4,'NSE - Other Index Options'!$I:$I,"MDAW*")+SUMIFS('BSE - SENSEX Index Options'!$M:$M,'BSE - SENSEX Index Options'!$C:$C,$A63,'BSE - SENSEX Index Options'!$B:$B,C$4,'BSE - SENSEX Index Options'!$I:$I,"Weekly*")+SUMIFS('BSE - SENSEX Index Options'!$M:$M,'BSE - SENSEX Index Options'!$C:$C,$A63,'BSE - SENSEX Index Options'!$B:$B,C$4,'BSE - SENSEX Index Options'!$I:$I,"MDAW*")+SUMIFS('BSE - Other Index Options'!$M:$M,'BSE - Other Index Options'!$C:$C,$A63,'BSE - Other Index Options'!$B:$B,C$4,'BSE - Other Index Options'!$I:$I,"Weekly*")+SUMIFS('BSE - Other Index Options'!$M:$M,'BSE - Other Index Options'!$C:$C,$A63,'BSE - Other Index Options'!$B:$B,C$4,'BSE - Other Index Options'!$I:$I,"MDAW*"))</f>
        <v/>
      </c>
      <c r="D63" s="26">
        <f>IF(SUMIFS('NSE - NIFTY Index Options'!$M:$M,'NSE - NIFTY Index Options'!$C:$C,$A63,'NSE - NIFTY Index Options'!$B:$B,D$4,'NSE - NIFTY Index Options'!$I:$I,"Weekly*")+SUMIFS('NSE - NIFTY Index Options'!$M:$M,'NSE - NIFTY Index Options'!$C:$C,$A63,'NSE - NIFTY Index Options'!$B:$B,D$4,'NSE - NIFTY Index Options'!$I:$I,"MDAW*")+SUMIFS('NSE - Other Index Options'!$M:$M,'NSE - Other Index Options'!$C:$C,$A63,'NSE - Other Index Options'!$B:$B,D$4,'NSE - Other Index Options'!$I:$I,"Weekly*")+SUMIFS('NSE - Other Index Options'!$M:$M,'NSE - Other Index Options'!$C:$C,$A63,'NSE - Other Index Options'!$B:$B,D$4,'NSE - Other Index Options'!$I:$I,"MDAW*")+SUMIFS('BSE - SENSEX Index Options'!$M:$M,'BSE - SENSEX Index Options'!$C:$C,$A63,'BSE - SENSEX Index Options'!$B:$B,D$4,'BSE - SENSEX Index Options'!$I:$I,"Weekly*")+SUMIFS('BSE - SENSEX Index Options'!$M:$M,'BSE - SENSEX Index Options'!$C:$C,$A63,'BSE - SENSEX Index Options'!$B:$B,D$4,'BSE - SENSEX Index Options'!$I:$I,"MDAW*")+SUMIFS('BSE - Other Index Options'!$M:$M,'BSE - Other Index Options'!$C:$C,$A63,'BSE - Other Index Options'!$B:$B,D$4,'BSE - Other Index Options'!$I:$I,"Weekly*")+SUMIFS('BSE - Other Index Options'!$M:$M,'BSE - Other Index Options'!$C:$C,$A63,'BSE - Other Index Options'!$B:$B,D$4,'BSE - Other Index Options'!$I:$I,"MDAW*")=0,"",SUMIFS('NSE - NIFTY Index Options'!$M:$M,'NSE - NIFTY Index Options'!$C:$C,$A63,'NSE - NIFTY Index Options'!$B:$B,D$4,'NSE - NIFTY Index Options'!$I:$I,"Weekly*")+SUMIFS('NSE - NIFTY Index Options'!$M:$M,'NSE - NIFTY Index Options'!$C:$C,$A63,'NSE - NIFTY Index Options'!$B:$B,D$4,'NSE - NIFTY Index Options'!$I:$I,"MDAW*")+SUMIFS('NSE - Other Index Options'!$M:$M,'NSE - Other Index Options'!$C:$C,$A63,'NSE - Other Index Options'!$B:$B,D$4,'NSE - Other Index Options'!$I:$I,"Weekly*")+SUMIFS('NSE - Other Index Options'!$M:$M,'NSE - Other Index Options'!$C:$C,$A63,'NSE - Other Index Options'!$B:$B,D$4,'NSE - Other Index Options'!$I:$I,"MDAW*")+SUMIFS('BSE - SENSEX Index Options'!$M:$M,'BSE - SENSEX Index Options'!$C:$C,$A63,'BSE - SENSEX Index Options'!$B:$B,D$4,'BSE - SENSEX Index Options'!$I:$I,"Weekly*")+SUMIFS('BSE - SENSEX Index Options'!$M:$M,'BSE - SENSEX Index Options'!$C:$C,$A63,'BSE - SENSEX Index Options'!$B:$B,D$4,'BSE - SENSEX Index Options'!$I:$I,"MDAW*")+SUMIFS('BSE - Other Index Options'!$M:$M,'BSE - Other Index Options'!$C:$C,$A63,'BSE - Other Index Options'!$B:$B,D$4,'BSE - Other Index Options'!$I:$I,"Weekly*")+SUMIFS('BSE - Other Index Options'!$M:$M,'BSE - Other Index Options'!$C:$C,$A63,'BSE - Other Index Options'!$B:$B,D$4,'BSE - Other Index Options'!$I:$I,"MDAW*"))</f>
        <v/>
      </c>
      <c r="E63" s="26">
        <f>IF(SUMIFS('NSE - NIFTY Index Options'!$M:$M,'NSE - NIFTY Index Options'!$C:$C,$A63,'NSE - NIFTY Index Options'!$B:$B,E$4,'NSE - NIFTY Index Options'!$I:$I,"Weekly*")+SUMIFS('NSE - NIFTY Index Options'!$M:$M,'NSE - NIFTY Index Options'!$C:$C,$A63,'NSE - NIFTY Index Options'!$B:$B,E$4,'NSE - NIFTY Index Options'!$I:$I,"MDAW*")+SUMIFS('NSE - Other Index Options'!$M:$M,'NSE - Other Index Options'!$C:$C,$A63,'NSE - Other Index Options'!$B:$B,E$4,'NSE - Other Index Options'!$I:$I,"Weekly*")+SUMIFS('NSE - Other Index Options'!$M:$M,'NSE - Other Index Options'!$C:$C,$A63,'NSE - Other Index Options'!$B:$B,E$4,'NSE - Other Index Options'!$I:$I,"MDAW*")+SUMIFS('BSE - SENSEX Index Options'!$M:$M,'BSE - SENSEX Index Options'!$C:$C,$A63,'BSE - SENSEX Index Options'!$B:$B,E$4,'BSE - SENSEX Index Options'!$I:$I,"Weekly*")+SUMIFS('BSE - SENSEX Index Options'!$M:$M,'BSE - SENSEX Index Options'!$C:$C,$A63,'BSE - SENSEX Index Options'!$B:$B,E$4,'BSE - SENSEX Index Options'!$I:$I,"MDAW*")+SUMIFS('BSE - Other Index Options'!$M:$M,'BSE - Other Index Options'!$C:$C,$A63,'BSE - Other Index Options'!$B:$B,E$4,'BSE - Other Index Options'!$I:$I,"Weekly*")+SUMIFS('BSE - Other Index Options'!$M:$M,'BSE - Other Index Options'!$C:$C,$A63,'BSE - Other Index Options'!$B:$B,E$4,'BSE - Other Index Options'!$I:$I,"MDAW*")=0,"",SUMIFS('NSE - NIFTY Index Options'!$M:$M,'NSE - NIFTY Index Options'!$C:$C,$A63,'NSE - NIFTY Index Options'!$B:$B,E$4,'NSE - NIFTY Index Options'!$I:$I,"Weekly*")+SUMIFS('NSE - NIFTY Index Options'!$M:$M,'NSE - NIFTY Index Options'!$C:$C,$A63,'NSE - NIFTY Index Options'!$B:$B,E$4,'NSE - NIFTY Index Options'!$I:$I,"MDAW*")+SUMIFS('NSE - Other Index Options'!$M:$M,'NSE - Other Index Options'!$C:$C,$A63,'NSE - Other Index Options'!$B:$B,E$4,'NSE - Other Index Options'!$I:$I,"Weekly*")+SUMIFS('NSE - Other Index Options'!$M:$M,'NSE - Other Index Options'!$C:$C,$A63,'NSE - Other Index Options'!$B:$B,E$4,'NSE - Other Index Options'!$I:$I,"MDAW*")+SUMIFS('BSE - SENSEX Index Options'!$M:$M,'BSE - SENSEX Index Options'!$C:$C,$A63,'BSE - SENSEX Index Options'!$B:$B,E$4,'BSE - SENSEX Index Options'!$I:$I,"Weekly*")+SUMIFS('BSE - SENSEX Index Options'!$M:$M,'BSE - SENSEX Index Options'!$C:$C,$A63,'BSE - SENSEX Index Options'!$B:$B,E$4,'BSE - SENSEX Index Options'!$I:$I,"MDAW*")+SUMIFS('BSE - Other Index Options'!$M:$M,'BSE - Other Index Options'!$C:$C,$A63,'BSE - Other Index Options'!$B:$B,E$4,'BSE - Other Index Options'!$I:$I,"Weekly*")+SUMIFS('BSE - Other Index Options'!$M:$M,'BSE - Other Index Options'!$C:$C,$A63,'BSE - Other Index Options'!$B:$B,E$4,'BSE - Other Index Options'!$I:$I,"MDAW*"))</f>
        <v/>
      </c>
      <c r="F63" s="26">
        <f>IF(SUMIFS('NSE - NIFTY Index Options'!$M:$M,'NSE - NIFTY Index Options'!$C:$C,$A63,'NSE - NIFTY Index Options'!$B:$B,F$4,'NSE - NIFTY Index Options'!$I:$I,"Weekly*")+SUMIFS('NSE - NIFTY Index Options'!$M:$M,'NSE - NIFTY Index Options'!$C:$C,$A63,'NSE - NIFTY Index Options'!$B:$B,F$4,'NSE - NIFTY Index Options'!$I:$I,"MDAW*")+SUMIFS('NSE - Other Index Options'!$M:$M,'NSE - Other Index Options'!$C:$C,$A63,'NSE - Other Index Options'!$B:$B,F$4,'NSE - Other Index Options'!$I:$I,"Weekly*")+SUMIFS('NSE - Other Index Options'!$M:$M,'NSE - Other Index Options'!$C:$C,$A63,'NSE - Other Index Options'!$B:$B,F$4,'NSE - Other Index Options'!$I:$I,"MDAW*")+SUMIFS('BSE - SENSEX Index Options'!$M:$M,'BSE - SENSEX Index Options'!$C:$C,$A63,'BSE - SENSEX Index Options'!$B:$B,F$4,'BSE - SENSEX Index Options'!$I:$I,"Weekly*")+SUMIFS('BSE - SENSEX Index Options'!$M:$M,'BSE - SENSEX Index Options'!$C:$C,$A63,'BSE - SENSEX Index Options'!$B:$B,F$4,'BSE - SENSEX Index Options'!$I:$I,"MDAW*")+SUMIFS('BSE - Other Index Options'!$M:$M,'BSE - Other Index Options'!$C:$C,$A63,'BSE - Other Index Options'!$B:$B,F$4,'BSE - Other Index Options'!$I:$I,"Weekly*")+SUMIFS('BSE - Other Index Options'!$M:$M,'BSE - Other Index Options'!$C:$C,$A63,'BSE - Other Index Options'!$B:$B,F$4,'BSE - Other Index Options'!$I:$I,"MDAW*")=0,"",SUMIFS('NSE - NIFTY Index Options'!$M:$M,'NSE - NIFTY Index Options'!$C:$C,$A63,'NSE - NIFTY Index Options'!$B:$B,F$4,'NSE - NIFTY Index Options'!$I:$I,"Weekly*")+SUMIFS('NSE - NIFTY Index Options'!$M:$M,'NSE - NIFTY Index Options'!$C:$C,$A63,'NSE - NIFTY Index Options'!$B:$B,F$4,'NSE - NIFTY Index Options'!$I:$I,"MDAW*")+SUMIFS('NSE - Other Index Options'!$M:$M,'NSE - Other Index Options'!$C:$C,$A63,'NSE - Other Index Options'!$B:$B,F$4,'NSE - Other Index Options'!$I:$I,"Weekly*")+SUMIFS('NSE - Other Index Options'!$M:$M,'NSE - Other Index Options'!$C:$C,$A63,'NSE - Other Index Options'!$B:$B,F$4,'NSE - Other Index Options'!$I:$I,"MDAW*")+SUMIFS('BSE - SENSEX Index Options'!$M:$M,'BSE - SENSEX Index Options'!$C:$C,$A63,'BSE - SENSEX Index Options'!$B:$B,F$4,'BSE - SENSEX Index Options'!$I:$I,"Weekly*")+SUMIFS('BSE - SENSEX Index Options'!$M:$M,'BSE - SENSEX Index Options'!$C:$C,$A63,'BSE - SENSEX Index Options'!$B:$B,F$4,'BSE - SENSEX Index Options'!$I:$I,"MDAW*")+SUMIFS('BSE - Other Index Options'!$M:$M,'BSE - Other Index Options'!$C:$C,$A63,'BSE - Other Index Options'!$B:$B,F$4,'BSE - Other Index Options'!$I:$I,"Weekly*")+SUMIFS('BSE - Other Index Options'!$M:$M,'BSE - Other Index Options'!$C:$C,$A63,'BSE - Other Index Options'!$B:$B,F$4,'BSE - Other Index Options'!$I:$I,"MDAW*"))</f>
        <v/>
      </c>
      <c r="G63" s="26">
        <f>IF(SUMIFS('NSE - NIFTY Index Options'!$M:$M,'NSE - NIFTY Index Options'!$C:$C,$A63,'NSE - NIFTY Index Options'!$B:$B,G$4,'NSE - NIFTY Index Options'!$I:$I,"Weekly*")+SUMIFS('NSE - NIFTY Index Options'!$M:$M,'NSE - NIFTY Index Options'!$C:$C,$A63,'NSE - NIFTY Index Options'!$B:$B,G$4,'NSE - NIFTY Index Options'!$I:$I,"MDAW*")+SUMIFS('NSE - Other Index Options'!$M:$M,'NSE - Other Index Options'!$C:$C,$A63,'NSE - Other Index Options'!$B:$B,G$4,'NSE - Other Index Options'!$I:$I,"Weekly*")+SUMIFS('NSE - Other Index Options'!$M:$M,'NSE - Other Index Options'!$C:$C,$A63,'NSE - Other Index Options'!$B:$B,G$4,'NSE - Other Index Options'!$I:$I,"MDAW*")+SUMIFS('BSE - SENSEX Index Options'!$M:$M,'BSE - SENSEX Index Options'!$C:$C,$A63,'BSE - SENSEX Index Options'!$B:$B,G$4,'BSE - SENSEX Index Options'!$I:$I,"Weekly*")+SUMIFS('BSE - SENSEX Index Options'!$M:$M,'BSE - SENSEX Index Options'!$C:$C,$A63,'BSE - SENSEX Index Options'!$B:$B,G$4,'BSE - SENSEX Index Options'!$I:$I,"MDAW*")+SUMIFS('BSE - Other Index Options'!$M:$M,'BSE - Other Index Options'!$C:$C,$A63,'BSE - Other Index Options'!$B:$B,G$4,'BSE - Other Index Options'!$I:$I,"Weekly*")+SUMIFS('BSE - Other Index Options'!$M:$M,'BSE - Other Index Options'!$C:$C,$A63,'BSE - Other Index Options'!$B:$B,G$4,'BSE - Other Index Options'!$I:$I,"MDAW*")=0,"",SUMIFS('NSE - NIFTY Index Options'!$M:$M,'NSE - NIFTY Index Options'!$C:$C,$A63,'NSE - NIFTY Index Options'!$B:$B,G$4,'NSE - NIFTY Index Options'!$I:$I,"Weekly*")+SUMIFS('NSE - NIFTY Index Options'!$M:$M,'NSE - NIFTY Index Options'!$C:$C,$A63,'NSE - NIFTY Index Options'!$B:$B,G$4,'NSE - NIFTY Index Options'!$I:$I,"MDAW*")+SUMIFS('NSE - Other Index Options'!$M:$M,'NSE - Other Index Options'!$C:$C,$A63,'NSE - Other Index Options'!$B:$B,G$4,'NSE - Other Index Options'!$I:$I,"Weekly*")+SUMIFS('NSE - Other Index Options'!$M:$M,'NSE - Other Index Options'!$C:$C,$A63,'NSE - Other Index Options'!$B:$B,G$4,'NSE - Other Index Options'!$I:$I,"MDAW*")+SUMIFS('BSE - SENSEX Index Options'!$M:$M,'BSE - SENSEX Index Options'!$C:$C,$A63,'BSE - SENSEX Index Options'!$B:$B,G$4,'BSE - SENSEX Index Options'!$I:$I,"Weekly*")+SUMIFS('BSE - SENSEX Index Options'!$M:$M,'BSE - SENSEX Index Options'!$C:$C,$A63,'BSE - SENSEX Index Options'!$B:$B,G$4,'BSE - SENSEX Index Options'!$I:$I,"MDAW*")+SUMIFS('BSE - Other Index Options'!$M:$M,'BSE - Other Index Options'!$C:$C,$A63,'BSE - Other Index Options'!$B:$B,G$4,'BSE - Other Index Options'!$I:$I,"Weekly*")+SUMIFS('BSE - Other Index Options'!$M:$M,'BSE - Other Index Options'!$C:$C,$A63,'BSE - Other Index Options'!$B:$B,G$4,'BSE - Other Index Options'!$I:$I,"MDAW*"))</f>
        <v/>
      </c>
      <c r="H63" s="26">
        <f>IF(SUM(B63:G63)=0,"",SUM(B63:G63))</f>
        <v/>
      </c>
    </row>
    <row r="64" hidden="1" outlineLevel="1">
      <c r="A64" t="inlineStr">
        <is>
          <t>Week1-Sep-2026</t>
        </is>
      </c>
      <c r="B64" s="26">
        <f>IF(SUMIFS('NSE - NIFTY Index Options'!$M:$M,'NSE - NIFTY Index Options'!$C:$C,$A64,'NSE - NIFTY Index Options'!$B:$B,B$4,'NSE - NIFTY Index Options'!$I:$I,"Weekly*")+SUMIFS('NSE - NIFTY Index Options'!$M:$M,'NSE - NIFTY Index Options'!$C:$C,$A64,'NSE - NIFTY Index Options'!$B:$B,B$4,'NSE - NIFTY Index Options'!$I:$I,"MDAW*")+SUMIFS('NSE - Other Index Options'!$M:$M,'NSE - Other Index Options'!$C:$C,$A64,'NSE - Other Index Options'!$B:$B,B$4,'NSE - Other Index Options'!$I:$I,"Weekly*")+SUMIFS('NSE - Other Index Options'!$M:$M,'NSE - Other Index Options'!$C:$C,$A64,'NSE - Other Index Options'!$B:$B,B$4,'NSE - Other Index Options'!$I:$I,"MDAW*")+SUMIFS('BSE - SENSEX Index Options'!$M:$M,'BSE - SENSEX Index Options'!$C:$C,$A64,'BSE - SENSEX Index Options'!$B:$B,B$4,'BSE - SENSEX Index Options'!$I:$I,"Weekly*")+SUMIFS('BSE - SENSEX Index Options'!$M:$M,'BSE - SENSEX Index Options'!$C:$C,$A64,'BSE - SENSEX Index Options'!$B:$B,B$4,'BSE - SENSEX Index Options'!$I:$I,"MDAW*")+SUMIFS('BSE - Other Index Options'!$M:$M,'BSE - Other Index Options'!$C:$C,$A64,'BSE - Other Index Options'!$B:$B,B$4,'BSE - Other Index Options'!$I:$I,"Weekly*")+SUMIFS('BSE - Other Index Options'!$M:$M,'BSE - Other Index Options'!$C:$C,$A64,'BSE - Other Index Options'!$B:$B,B$4,'BSE - Other Index Options'!$I:$I,"MDAW*")=0,"",SUMIFS('NSE - NIFTY Index Options'!$M:$M,'NSE - NIFTY Index Options'!$C:$C,$A64,'NSE - NIFTY Index Options'!$B:$B,B$4,'NSE - NIFTY Index Options'!$I:$I,"Weekly*")+SUMIFS('NSE - NIFTY Index Options'!$M:$M,'NSE - NIFTY Index Options'!$C:$C,$A64,'NSE - NIFTY Index Options'!$B:$B,B$4,'NSE - NIFTY Index Options'!$I:$I,"MDAW*")+SUMIFS('NSE - Other Index Options'!$M:$M,'NSE - Other Index Options'!$C:$C,$A64,'NSE - Other Index Options'!$B:$B,B$4,'NSE - Other Index Options'!$I:$I,"Weekly*")+SUMIFS('NSE - Other Index Options'!$M:$M,'NSE - Other Index Options'!$C:$C,$A64,'NSE - Other Index Options'!$B:$B,B$4,'NSE - Other Index Options'!$I:$I,"MDAW*")+SUMIFS('BSE - SENSEX Index Options'!$M:$M,'BSE - SENSEX Index Options'!$C:$C,$A64,'BSE - SENSEX Index Options'!$B:$B,B$4,'BSE - SENSEX Index Options'!$I:$I,"Weekly*")+SUMIFS('BSE - SENSEX Index Options'!$M:$M,'BSE - SENSEX Index Options'!$C:$C,$A64,'BSE - SENSEX Index Options'!$B:$B,B$4,'BSE - SENSEX Index Options'!$I:$I,"MDAW*")+SUMIFS('BSE - Other Index Options'!$M:$M,'BSE - Other Index Options'!$C:$C,$A64,'BSE - Other Index Options'!$B:$B,B$4,'BSE - Other Index Options'!$I:$I,"Weekly*")+SUMIFS('BSE - Other Index Options'!$M:$M,'BSE - Other Index Options'!$C:$C,$A64,'BSE - Other Index Options'!$B:$B,B$4,'BSE - Other Index Options'!$I:$I,"MDAW*"))</f>
        <v/>
      </c>
      <c r="C64" s="26">
        <f>IF(SUMIFS('NSE - NIFTY Index Options'!$M:$M,'NSE - NIFTY Index Options'!$C:$C,$A64,'NSE - NIFTY Index Options'!$B:$B,C$4,'NSE - NIFTY Index Options'!$I:$I,"Weekly*")+SUMIFS('NSE - NIFTY Index Options'!$M:$M,'NSE - NIFTY Index Options'!$C:$C,$A64,'NSE - NIFTY Index Options'!$B:$B,C$4,'NSE - NIFTY Index Options'!$I:$I,"MDAW*")+SUMIFS('NSE - Other Index Options'!$M:$M,'NSE - Other Index Options'!$C:$C,$A64,'NSE - Other Index Options'!$B:$B,C$4,'NSE - Other Index Options'!$I:$I,"Weekly*")+SUMIFS('NSE - Other Index Options'!$M:$M,'NSE - Other Index Options'!$C:$C,$A64,'NSE - Other Index Options'!$B:$B,C$4,'NSE - Other Index Options'!$I:$I,"MDAW*")+SUMIFS('BSE - SENSEX Index Options'!$M:$M,'BSE - SENSEX Index Options'!$C:$C,$A64,'BSE - SENSEX Index Options'!$B:$B,C$4,'BSE - SENSEX Index Options'!$I:$I,"Weekly*")+SUMIFS('BSE - SENSEX Index Options'!$M:$M,'BSE - SENSEX Index Options'!$C:$C,$A64,'BSE - SENSEX Index Options'!$B:$B,C$4,'BSE - SENSEX Index Options'!$I:$I,"MDAW*")+SUMIFS('BSE - Other Index Options'!$M:$M,'BSE - Other Index Options'!$C:$C,$A64,'BSE - Other Index Options'!$B:$B,C$4,'BSE - Other Index Options'!$I:$I,"Weekly*")+SUMIFS('BSE - Other Index Options'!$M:$M,'BSE - Other Index Options'!$C:$C,$A64,'BSE - Other Index Options'!$B:$B,C$4,'BSE - Other Index Options'!$I:$I,"MDAW*")=0,"",SUMIFS('NSE - NIFTY Index Options'!$M:$M,'NSE - NIFTY Index Options'!$C:$C,$A64,'NSE - NIFTY Index Options'!$B:$B,C$4,'NSE - NIFTY Index Options'!$I:$I,"Weekly*")+SUMIFS('NSE - NIFTY Index Options'!$M:$M,'NSE - NIFTY Index Options'!$C:$C,$A64,'NSE - NIFTY Index Options'!$B:$B,C$4,'NSE - NIFTY Index Options'!$I:$I,"MDAW*")+SUMIFS('NSE - Other Index Options'!$M:$M,'NSE - Other Index Options'!$C:$C,$A64,'NSE - Other Index Options'!$B:$B,C$4,'NSE - Other Index Options'!$I:$I,"Weekly*")+SUMIFS('NSE - Other Index Options'!$M:$M,'NSE - Other Index Options'!$C:$C,$A64,'NSE - Other Index Options'!$B:$B,C$4,'NSE - Other Index Options'!$I:$I,"MDAW*")+SUMIFS('BSE - SENSEX Index Options'!$M:$M,'BSE - SENSEX Index Options'!$C:$C,$A64,'BSE - SENSEX Index Options'!$B:$B,C$4,'BSE - SENSEX Index Options'!$I:$I,"Weekly*")+SUMIFS('BSE - SENSEX Index Options'!$M:$M,'BSE - SENSEX Index Options'!$C:$C,$A64,'BSE - SENSEX Index Options'!$B:$B,C$4,'BSE - SENSEX Index Options'!$I:$I,"MDAW*")+SUMIFS('BSE - Other Index Options'!$M:$M,'BSE - Other Index Options'!$C:$C,$A64,'BSE - Other Index Options'!$B:$B,C$4,'BSE - Other Index Options'!$I:$I,"Weekly*")+SUMIFS('BSE - Other Index Options'!$M:$M,'BSE - Other Index Options'!$C:$C,$A64,'BSE - Other Index Options'!$B:$B,C$4,'BSE - Other Index Options'!$I:$I,"MDAW*"))</f>
        <v/>
      </c>
      <c r="D64" s="26">
        <f>IF(SUMIFS('NSE - NIFTY Index Options'!$M:$M,'NSE - NIFTY Index Options'!$C:$C,$A64,'NSE - NIFTY Index Options'!$B:$B,D$4,'NSE - NIFTY Index Options'!$I:$I,"Weekly*")+SUMIFS('NSE - NIFTY Index Options'!$M:$M,'NSE - NIFTY Index Options'!$C:$C,$A64,'NSE - NIFTY Index Options'!$B:$B,D$4,'NSE - NIFTY Index Options'!$I:$I,"MDAW*")+SUMIFS('NSE - Other Index Options'!$M:$M,'NSE - Other Index Options'!$C:$C,$A64,'NSE - Other Index Options'!$B:$B,D$4,'NSE - Other Index Options'!$I:$I,"Weekly*")+SUMIFS('NSE - Other Index Options'!$M:$M,'NSE - Other Index Options'!$C:$C,$A64,'NSE - Other Index Options'!$B:$B,D$4,'NSE - Other Index Options'!$I:$I,"MDAW*")+SUMIFS('BSE - SENSEX Index Options'!$M:$M,'BSE - SENSEX Index Options'!$C:$C,$A64,'BSE - SENSEX Index Options'!$B:$B,D$4,'BSE - SENSEX Index Options'!$I:$I,"Weekly*")+SUMIFS('BSE - SENSEX Index Options'!$M:$M,'BSE - SENSEX Index Options'!$C:$C,$A64,'BSE - SENSEX Index Options'!$B:$B,D$4,'BSE - SENSEX Index Options'!$I:$I,"MDAW*")+SUMIFS('BSE - Other Index Options'!$M:$M,'BSE - Other Index Options'!$C:$C,$A64,'BSE - Other Index Options'!$B:$B,D$4,'BSE - Other Index Options'!$I:$I,"Weekly*")+SUMIFS('BSE - Other Index Options'!$M:$M,'BSE - Other Index Options'!$C:$C,$A64,'BSE - Other Index Options'!$B:$B,D$4,'BSE - Other Index Options'!$I:$I,"MDAW*")=0,"",SUMIFS('NSE - NIFTY Index Options'!$M:$M,'NSE - NIFTY Index Options'!$C:$C,$A64,'NSE - NIFTY Index Options'!$B:$B,D$4,'NSE - NIFTY Index Options'!$I:$I,"Weekly*")+SUMIFS('NSE - NIFTY Index Options'!$M:$M,'NSE - NIFTY Index Options'!$C:$C,$A64,'NSE - NIFTY Index Options'!$B:$B,D$4,'NSE - NIFTY Index Options'!$I:$I,"MDAW*")+SUMIFS('NSE - Other Index Options'!$M:$M,'NSE - Other Index Options'!$C:$C,$A64,'NSE - Other Index Options'!$B:$B,D$4,'NSE - Other Index Options'!$I:$I,"Weekly*")+SUMIFS('NSE - Other Index Options'!$M:$M,'NSE - Other Index Options'!$C:$C,$A64,'NSE - Other Index Options'!$B:$B,D$4,'NSE - Other Index Options'!$I:$I,"MDAW*")+SUMIFS('BSE - SENSEX Index Options'!$M:$M,'BSE - SENSEX Index Options'!$C:$C,$A64,'BSE - SENSEX Index Options'!$B:$B,D$4,'BSE - SENSEX Index Options'!$I:$I,"Weekly*")+SUMIFS('BSE - SENSEX Index Options'!$M:$M,'BSE - SENSEX Index Options'!$C:$C,$A64,'BSE - SENSEX Index Options'!$B:$B,D$4,'BSE - SENSEX Index Options'!$I:$I,"MDAW*")+SUMIFS('BSE - Other Index Options'!$M:$M,'BSE - Other Index Options'!$C:$C,$A64,'BSE - Other Index Options'!$B:$B,D$4,'BSE - Other Index Options'!$I:$I,"Weekly*")+SUMIFS('BSE - Other Index Options'!$M:$M,'BSE - Other Index Options'!$C:$C,$A64,'BSE - Other Index Options'!$B:$B,D$4,'BSE - Other Index Options'!$I:$I,"MDAW*"))</f>
        <v/>
      </c>
      <c r="E64" s="26">
        <f>IF(SUMIFS('NSE - NIFTY Index Options'!$M:$M,'NSE - NIFTY Index Options'!$C:$C,$A64,'NSE - NIFTY Index Options'!$B:$B,E$4,'NSE - NIFTY Index Options'!$I:$I,"Weekly*")+SUMIFS('NSE - NIFTY Index Options'!$M:$M,'NSE - NIFTY Index Options'!$C:$C,$A64,'NSE - NIFTY Index Options'!$B:$B,E$4,'NSE - NIFTY Index Options'!$I:$I,"MDAW*")+SUMIFS('NSE - Other Index Options'!$M:$M,'NSE - Other Index Options'!$C:$C,$A64,'NSE - Other Index Options'!$B:$B,E$4,'NSE - Other Index Options'!$I:$I,"Weekly*")+SUMIFS('NSE - Other Index Options'!$M:$M,'NSE - Other Index Options'!$C:$C,$A64,'NSE - Other Index Options'!$B:$B,E$4,'NSE - Other Index Options'!$I:$I,"MDAW*")+SUMIFS('BSE - SENSEX Index Options'!$M:$M,'BSE - SENSEX Index Options'!$C:$C,$A64,'BSE - SENSEX Index Options'!$B:$B,E$4,'BSE - SENSEX Index Options'!$I:$I,"Weekly*")+SUMIFS('BSE - SENSEX Index Options'!$M:$M,'BSE - SENSEX Index Options'!$C:$C,$A64,'BSE - SENSEX Index Options'!$B:$B,E$4,'BSE - SENSEX Index Options'!$I:$I,"MDAW*")+SUMIFS('BSE - Other Index Options'!$M:$M,'BSE - Other Index Options'!$C:$C,$A64,'BSE - Other Index Options'!$B:$B,E$4,'BSE - Other Index Options'!$I:$I,"Weekly*")+SUMIFS('BSE - Other Index Options'!$M:$M,'BSE - Other Index Options'!$C:$C,$A64,'BSE - Other Index Options'!$B:$B,E$4,'BSE - Other Index Options'!$I:$I,"MDAW*")=0,"",SUMIFS('NSE - NIFTY Index Options'!$M:$M,'NSE - NIFTY Index Options'!$C:$C,$A64,'NSE - NIFTY Index Options'!$B:$B,E$4,'NSE - NIFTY Index Options'!$I:$I,"Weekly*")+SUMIFS('NSE - NIFTY Index Options'!$M:$M,'NSE - NIFTY Index Options'!$C:$C,$A64,'NSE - NIFTY Index Options'!$B:$B,E$4,'NSE - NIFTY Index Options'!$I:$I,"MDAW*")+SUMIFS('NSE - Other Index Options'!$M:$M,'NSE - Other Index Options'!$C:$C,$A64,'NSE - Other Index Options'!$B:$B,E$4,'NSE - Other Index Options'!$I:$I,"Weekly*")+SUMIFS('NSE - Other Index Options'!$M:$M,'NSE - Other Index Options'!$C:$C,$A64,'NSE - Other Index Options'!$B:$B,E$4,'NSE - Other Index Options'!$I:$I,"MDAW*")+SUMIFS('BSE - SENSEX Index Options'!$M:$M,'BSE - SENSEX Index Options'!$C:$C,$A64,'BSE - SENSEX Index Options'!$B:$B,E$4,'BSE - SENSEX Index Options'!$I:$I,"Weekly*")+SUMIFS('BSE - SENSEX Index Options'!$M:$M,'BSE - SENSEX Index Options'!$C:$C,$A64,'BSE - SENSEX Index Options'!$B:$B,E$4,'BSE - SENSEX Index Options'!$I:$I,"MDAW*")+SUMIFS('BSE - Other Index Options'!$M:$M,'BSE - Other Index Options'!$C:$C,$A64,'BSE - Other Index Options'!$B:$B,E$4,'BSE - Other Index Options'!$I:$I,"Weekly*")+SUMIFS('BSE - Other Index Options'!$M:$M,'BSE - Other Index Options'!$C:$C,$A64,'BSE - Other Index Options'!$B:$B,E$4,'BSE - Other Index Options'!$I:$I,"MDAW*"))</f>
        <v/>
      </c>
      <c r="F64" s="26">
        <f>IF(SUMIFS('NSE - NIFTY Index Options'!$M:$M,'NSE - NIFTY Index Options'!$C:$C,$A64,'NSE - NIFTY Index Options'!$B:$B,F$4,'NSE - NIFTY Index Options'!$I:$I,"Weekly*")+SUMIFS('NSE - NIFTY Index Options'!$M:$M,'NSE - NIFTY Index Options'!$C:$C,$A64,'NSE - NIFTY Index Options'!$B:$B,F$4,'NSE - NIFTY Index Options'!$I:$I,"MDAW*")+SUMIFS('NSE - Other Index Options'!$M:$M,'NSE - Other Index Options'!$C:$C,$A64,'NSE - Other Index Options'!$B:$B,F$4,'NSE - Other Index Options'!$I:$I,"Weekly*")+SUMIFS('NSE - Other Index Options'!$M:$M,'NSE - Other Index Options'!$C:$C,$A64,'NSE - Other Index Options'!$B:$B,F$4,'NSE - Other Index Options'!$I:$I,"MDAW*")+SUMIFS('BSE - SENSEX Index Options'!$M:$M,'BSE - SENSEX Index Options'!$C:$C,$A64,'BSE - SENSEX Index Options'!$B:$B,F$4,'BSE - SENSEX Index Options'!$I:$I,"Weekly*")+SUMIFS('BSE - SENSEX Index Options'!$M:$M,'BSE - SENSEX Index Options'!$C:$C,$A64,'BSE - SENSEX Index Options'!$B:$B,F$4,'BSE - SENSEX Index Options'!$I:$I,"MDAW*")+SUMIFS('BSE - Other Index Options'!$M:$M,'BSE - Other Index Options'!$C:$C,$A64,'BSE - Other Index Options'!$B:$B,F$4,'BSE - Other Index Options'!$I:$I,"Weekly*")+SUMIFS('BSE - Other Index Options'!$M:$M,'BSE - Other Index Options'!$C:$C,$A64,'BSE - Other Index Options'!$B:$B,F$4,'BSE - Other Index Options'!$I:$I,"MDAW*")=0,"",SUMIFS('NSE - NIFTY Index Options'!$M:$M,'NSE - NIFTY Index Options'!$C:$C,$A64,'NSE - NIFTY Index Options'!$B:$B,F$4,'NSE - NIFTY Index Options'!$I:$I,"Weekly*")+SUMIFS('NSE - NIFTY Index Options'!$M:$M,'NSE - NIFTY Index Options'!$C:$C,$A64,'NSE - NIFTY Index Options'!$B:$B,F$4,'NSE - NIFTY Index Options'!$I:$I,"MDAW*")+SUMIFS('NSE - Other Index Options'!$M:$M,'NSE - Other Index Options'!$C:$C,$A64,'NSE - Other Index Options'!$B:$B,F$4,'NSE - Other Index Options'!$I:$I,"Weekly*")+SUMIFS('NSE - Other Index Options'!$M:$M,'NSE - Other Index Options'!$C:$C,$A64,'NSE - Other Index Options'!$B:$B,F$4,'NSE - Other Index Options'!$I:$I,"MDAW*")+SUMIFS('BSE - SENSEX Index Options'!$M:$M,'BSE - SENSEX Index Options'!$C:$C,$A64,'BSE - SENSEX Index Options'!$B:$B,F$4,'BSE - SENSEX Index Options'!$I:$I,"Weekly*")+SUMIFS('BSE - SENSEX Index Options'!$M:$M,'BSE - SENSEX Index Options'!$C:$C,$A64,'BSE - SENSEX Index Options'!$B:$B,F$4,'BSE - SENSEX Index Options'!$I:$I,"MDAW*")+SUMIFS('BSE - Other Index Options'!$M:$M,'BSE - Other Index Options'!$C:$C,$A64,'BSE - Other Index Options'!$B:$B,F$4,'BSE - Other Index Options'!$I:$I,"Weekly*")+SUMIFS('BSE - Other Index Options'!$M:$M,'BSE - Other Index Options'!$C:$C,$A64,'BSE - Other Index Options'!$B:$B,F$4,'BSE - Other Index Options'!$I:$I,"MDAW*"))</f>
        <v/>
      </c>
      <c r="G64" s="26">
        <f>IF(SUMIFS('NSE - NIFTY Index Options'!$M:$M,'NSE - NIFTY Index Options'!$C:$C,$A64,'NSE - NIFTY Index Options'!$B:$B,G$4,'NSE - NIFTY Index Options'!$I:$I,"Weekly*")+SUMIFS('NSE - NIFTY Index Options'!$M:$M,'NSE - NIFTY Index Options'!$C:$C,$A64,'NSE - NIFTY Index Options'!$B:$B,G$4,'NSE - NIFTY Index Options'!$I:$I,"MDAW*")+SUMIFS('NSE - Other Index Options'!$M:$M,'NSE - Other Index Options'!$C:$C,$A64,'NSE - Other Index Options'!$B:$B,G$4,'NSE - Other Index Options'!$I:$I,"Weekly*")+SUMIFS('NSE - Other Index Options'!$M:$M,'NSE - Other Index Options'!$C:$C,$A64,'NSE - Other Index Options'!$B:$B,G$4,'NSE - Other Index Options'!$I:$I,"MDAW*")+SUMIFS('BSE - SENSEX Index Options'!$M:$M,'BSE - SENSEX Index Options'!$C:$C,$A64,'BSE - SENSEX Index Options'!$B:$B,G$4,'BSE - SENSEX Index Options'!$I:$I,"Weekly*")+SUMIFS('BSE - SENSEX Index Options'!$M:$M,'BSE - SENSEX Index Options'!$C:$C,$A64,'BSE - SENSEX Index Options'!$B:$B,G$4,'BSE - SENSEX Index Options'!$I:$I,"MDAW*")+SUMIFS('BSE - Other Index Options'!$M:$M,'BSE - Other Index Options'!$C:$C,$A64,'BSE - Other Index Options'!$B:$B,G$4,'BSE - Other Index Options'!$I:$I,"Weekly*")+SUMIFS('BSE - Other Index Options'!$M:$M,'BSE - Other Index Options'!$C:$C,$A64,'BSE - Other Index Options'!$B:$B,G$4,'BSE - Other Index Options'!$I:$I,"MDAW*")=0,"",SUMIFS('NSE - NIFTY Index Options'!$M:$M,'NSE - NIFTY Index Options'!$C:$C,$A64,'NSE - NIFTY Index Options'!$B:$B,G$4,'NSE - NIFTY Index Options'!$I:$I,"Weekly*")+SUMIFS('NSE - NIFTY Index Options'!$M:$M,'NSE - NIFTY Index Options'!$C:$C,$A64,'NSE - NIFTY Index Options'!$B:$B,G$4,'NSE - NIFTY Index Options'!$I:$I,"MDAW*")+SUMIFS('NSE - Other Index Options'!$M:$M,'NSE - Other Index Options'!$C:$C,$A64,'NSE - Other Index Options'!$B:$B,G$4,'NSE - Other Index Options'!$I:$I,"Weekly*")+SUMIFS('NSE - Other Index Options'!$M:$M,'NSE - Other Index Options'!$C:$C,$A64,'NSE - Other Index Options'!$B:$B,G$4,'NSE - Other Index Options'!$I:$I,"MDAW*")+SUMIFS('BSE - SENSEX Index Options'!$M:$M,'BSE - SENSEX Index Options'!$C:$C,$A64,'BSE - SENSEX Index Options'!$B:$B,G$4,'BSE - SENSEX Index Options'!$I:$I,"Weekly*")+SUMIFS('BSE - SENSEX Index Options'!$M:$M,'BSE - SENSEX Index Options'!$C:$C,$A64,'BSE - SENSEX Index Options'!$B:$B,G$4,'BSE - SENSEX Index Options'!$I:$I,"MDAW*")+SUMIFS('BSE - Other Index Options'!$M:$M,'BSE - Other Index Options'!$C:$C,$A64,'BSE - Other Index Options'!$B:$B,G$4,'BSE - Other Index Options'!$I:$I,"Weekly*")+SUMIFS('BSE - Other Index Options'!$M:$M,'BSE - Other Index Options'!$C:$C,$A64,'BSE - Other Index Options'!$B:$B,G$4,'BSE - Other Index Options'!$I:$I,"MDAW*"))</f>
        <v/>
      </c>
      <c r="H64" s="26">
        <f>IF(SUM(B64:G64)=0,"",SUM(B64:G64))</f>
        <v/>
      </c>
    </row>
    <row r="65" hidden="1" outlineLevel="1">
      <c r="A65" t="inlineStr">
        <is>
          <t>Week2-Sep-2026</t>
        </is>
      </c>
      <c r="B65" s="26">
        <f>IF(SUMIFS('NSE - NIFTY Index Options'!$M:$M,'NSE - NIFTY Index Options'!$C:$C,$A65,'NSE - NIFTY Index Options'!$B:$B,B$4,'NSE - NIFTY Index Options'!$I:$I,"Weekly*")+SUMIFS('NSE - NIFTY Index Options'!$M:$M,'NSE - NIFTY Index Options'!$C:$C,$A65,'NSE - NIFTY Index Options'!$B:$B,B$4,'NSE - NIFTY Index Options'!$I:$I,"MDAW*")+SUMIFS('NSE - Other Index Options'!$M:$M,'NSE - Other Index Options'!$C:$C,$A65,'NSE - Other Index Options'!$B:$B,B$4,'NSE - Other Index Options'!$I:$I,"Weekly*")+SUMIFS('NSE - Other Index Options'!$M:$M,'NSE - Other Index Options'!$C:$C,$A65,'NSE - Other Index Options'!$B:$B,B$4,'NSE - Other Index Options'!$I:$I,"MDAW*")+SUMIFS('BSE - SENSEX Index Options'!$M:$M,'BSE - SENSEX Index Options'!$C:$C,$A65,'BSE - SENSEX Index Options'!$B:$B,B$4,'BSE - SENSEX Index Options'!$I:$I,"Weekly*")+SUMIFS('BSE - SENSEX Index Options'!$M:$M,'BSE - SENSEX Index Options'!$C:$C,$A65,'BSE - SENSEX Index Options'!$B:$B,B$4,'BSE - SENSEX Index Options'!$I:$I,"MDAW*")+SUMIFS('BSE - Other Index Options'!$M:$M,'BSE - Other Index Options'!$C:$C,$A65,'BSE - Other Index Options'!$B:$B,B$4,'BSE - Other Index Options'!$I:$I,"Weekly*")+SUMIFS('BSE - Other Index Options'!$M:$M,'BSE - Other Index Options'!$C:$C,$A65,'BSE - Other Index Options'!$B:$B,B$4,'BSE - Other Index Options'!$I:$I,"MDAW*")=0,"",SUMIFS('NSE - NIFTY Index Options'!$M:$M,'NSE - NIFTY Index Options'!$C:$C,$A65,'NSE - NIFTY Index Options'!$B:$B,B$4,'NSE - NIFTY Index Options'!$I:$I,"Weekly*")+SUMIFS('NSE - NIFTY Index Options'!$M:$M,'NSE - NIFTY Index Options'!$C:$C,$A65,'NSE - NIFTY Index Options'!$B:$B,B$4,'NSE - NIFTY Index Options'!$I:$I,"MDAW*")+SUMIFS('NSE - Other Index Options'!$M:$M,'NSE - Other Index Options'!$C:$C,$A65,'NSE - Other Index Options'!$B:$B,B$4,'NSE - Other Index Options'!$I:$I,"Weekly*")+SUMIFS('NSE - Other Index Options'!$M:$M,'NSE - Other Index Options'!$C:$C,$A65,'NSE - Other Index Options'!$B:$B,B$4,'NSE - Other Index Options'!$I:$I,"MDAW*")+SUMIFS('BSE - SENSEX Index Options'!$M:$M,'BSE - SENSEX Index Options'!$C:$C,$A65,'BSE - SENSEX Index Options'!$B:$B,B$4,'BSE - SENSEX Index Options'!$I:$I,"Weekly*")+SUMIFS('BSE - SENSEX Index Options'!$M:$M,'BSE - SENSEX Index Options'!$C:$C,$A65,'BSE - SENSEX Index Options'!$B:$B,B$4,'BSE - SENSEX Index Options'!$I:$I,"MDAW*")+SUMIFS('BSE - Other Index Options'!$M:$M,'BSE - Other Index Options'!$C:$C,$A65,'BSE - Other Index Options'!$B:$B,B$4,'BSE - Other Index Options'!$I:$I,"Weekly*")+SUMIFS('BSE - Other Index Options'!$M:$M,'BSE - Other Index Options'!$C:$C,$A65,'BSE - Other Index Options'!$B:$B,B$4,'BSE - Other Index Options'!$I:$I,"MDAW*"))</f>
        <v/>
      </c>
      <c r="C65" s="26">
        <f>IF(SUMIFS('NSE - NIFTY Index Options'!$M:$M,'NSE - NIFTY Index Options'!$C:$C,$A65,'NSE - NIFTY Index Options'!$B:$B,C$4,'NSE - NIFTY Index Options'!$I:$I,"Weekly*")+SUMIFS('NSE - NIFTY Index Options'!$M:$M,'NSE - NIFTY Index Options'!$C:$C,$A65,'NSE - NIFTY Index Options'!$B:$B,C$4,'NSE - NIFTY Index Options'!$I:$I,"MDAW*")+SUMIFS('NSE - Other Index Options'!$M:$M,'NSE - Other Index Options'!$C:$C,$A65,'NSE - Other Index Options'!$B:$B,C$4,'NSE - Other Index Options'!$I:$I,"Weekly*")+SUMIFS('NSE - Other Index Options'!$M:$M,'NSE - Other Index Options'!$C:$C,$A65,'NSE - Other Index Options'!$B:$B,C$4,'NSE - Other Index Options'!$I:$I,"MDAW*")+SUMIFS('BSE - SENSEX Index Options'!$M:$M,'BSE - SENSEX Index Options'!$C:$C,$A65,'BSE - SENSEX Index Options'!$B:$B,C$4,'BSE - SENSEX Index Options'!$I:$I,"Weekly*")+SUMIFS('BSE - SENSEX Index Options'!$M:$M,'BSE - SENSEX Index Options'!$C:$C,$A65,'BSE - SENSEX Index Options'!$B:$B,C$4,'BSE - SENSEX Index Options'!$I:$I,"MDAW*")+SUMIFS('BSE - Other Index Options'!$M:$M,'BSE - Other Index Options'!$C:$C,$A65,'BSE - Other Index Options'!$B:$B,C$4,'BSE - Other Index Options'!$I:$I,"Weekly*")+SUMIFS('BSE - Other Index Options'!$M:$M,'BSE - Other Index Options'!$C:$C,$A65,'BSE - Other Index Options'!$B:$B,C$4,'BSE - Other Index Options'!$I:$I,"MDAW*")=0,"",SUMIFS('NSE - NIFTY Index Options'!$M:$M,'NSE - NIFTY Index Options'!$C:$C,$A65,'NSE - NIFTY Index Options'!$B:$B,C$4,'NSE - NIFTY Index Options'!$I:$I,"Weekly*")+SUMIFS('NSE - NIFTY Index Options'!$M:$M,'NSE - NIFTY Index Options'!$C:$C,$A65,'NSE - NIFTY Index Options'!$B:$B,C$4,'NSE - NIFTY Index Options'!$I:$I,"MDAW*")+SUMIFS('NSE - Other Index Options'!$M:$M,'NSE - Other Index Options'!$C:$C,$A65,'NSE - Other Index Options'!$B:$B,C$4,'NSE - Other Index Options'!$I:$I,"Weekly*")+SUMIFS('NSE - Other Index Options'!$M:$M,'NSE - Other Index Options'!$C:$C,$A65,'NSE - Other Index Options'!$B:$B,C$4,'NSE - Other Index Options'!$I:$I,"MDAW*")+SUMIFS('BSE - SENSEX Index Options'!$M:$M,'BSE - SENSEX Index Options'!$C:$C,$A65,'BSE - SENSEX Index Options'!$B:$B,C$4,'BSE - SENSEX Index Options'!$I:$I,"Weekly*")+SUMIFS('BSE - SENSEX Index Options'!$M:$M,'BSE - SENSEX Index Options'!$C:$C,$A65,'BSE - SENSEX Index Options'!$B:$B,C$4,'BSE - SENSEX Index Options'!$I:$I,"MDAW*")+SUMIFS('BSE - Other Index Options'!$M:$M,'BSE - Other Index Options'!$C:$C,$A65,'BSE - Other Index Options'!$B:$B,C$4,'BSE - Other Index Options'!$I:$I,"Weekly*")+SUMIFS('BSE - Other Index Options'!$M:$M,'BSE - Other Index Options'!$C:$C,$A65,'BSE - Other Index Options'!$B:$B,C$4,'BSE - Other Index Options'!$I:$I,"MDAW*"))</f>
        <v/>
      </c>
      <c r="D65" s="26">
        <f>IF(SUMIFS('NSE - NIFTY Index Options'!$M:$M,'NSE - NIFTY Index Options'!$C:$C,$A65,'NSE - NIFTY Index Options'!$B:$B,D$4,'NSE - NIFTY Index Options'!$I:$I,"Weekly*")+SUMIFS('NSE - NIFTY Index Options'!$M:$M,'NSE - NIFTY Index Options'!$C:$C,$A65,'NSE - NIFTY Index Options'!$B:$B,D$4,'NSE - NIFTY Index Options'!$I:$I,"MDAW*")+SUMIFS('NSE - Other Index Options'!$M:$M,'NSE - Other Index Options'!$C:$C,$A65,'NSE - Other Index Options'!$B:$B,D$4,'NSE - Other Index Options'!$I:$I,"Weekly*")+SUMIFS('NSE - Other Index Options'!$M:$M,'NSE - Other Index Options'!$C:$C,$A65,'NSE - Other Index Options'!$B:$B,D$4,'NSE - Other Index Options'!$I:$I,"MDAW*")+SUMIFS('BSE - SENSEX Index Options'!$M:$M,'BSE - SENSEX Index Options'!$C:$C,$A65,'BSE - SENSEX Index Options'!$B:$B,D$4,'BSE - SENSEX Index Options'!$I:$I,"Weekly*")+SUMIFS('BSE - SENSEX Index Options'!$M:$M,'BSE - SENSEX Index Options'!$C:$C,$A65,'BSE - SENSEX Index Options'!$B:$B,D$4,'BSE - SENSEX Index Options'!$I:$I,"MDAW*")+SUMIFS('BSE - Other Index Options'!$M:$M,'BSE - Other Index Options'!$C:$C,$A65,'BSE - Other Index Options'!$B:$B,D$4,'BSE - Other Index Options'!$I:$I,"Weekly*")+SUMIFS('BSE - Other Index Options'!$M:$M,'BSE - Other Index Options'!$C:$C,$A65,'BSE - Other Index Options'!$B:$B,D$4,'BSE - Other Index Options'!$I:$I,"MDAW*")=0,"",SUMIFS('NSE - NIFTY Index Options'!$M:$M,'NSE - NIFTY Index Options'!$C:$C,$A65,'NSE - NIFTY Index Options'!$B:$B,D$4,'NSE - NIFTY Index Options'!$I:$I,"Weekly*")+SUMIFS('NSE - NIFTY Index Options'!$M:$M,'NSE - NIFTY Index Options'!$C:$C,$A65,'NSE - NIFTY Index Options'!$B:$B,D$4,'NSE - NIFTY Index Options'!$I:$I,"MDAW*")+SUMIFS('NSE - Other Index Options'!$M:$M,'NSE - Other Index Options'!$C:$C,$A65,'NSE - Other Index Options'!$B:$B,D$4,'NSE - Other Index Options'!$I:$I,"Weekly*")+SUMIFS('NSE - Other Index Options'!$M:$M,'NSE - Other Index Options'!$C:$C,$A65,'NSE - Other Index Options'!$B:$B,D$4,'NSE - Other Index Options'!$I:$I,"MDAW*")+SUMIFS('BSE - SENSEX Index Options'!$M:$M,'BSE - SENSEX Index Options'!$C:$C,$A65,'BSE - SENSEX Index Options'!$B:$B,D$4,'BSE - SENSEX Index Options'!$I:$I,"Weekly*")+SUMIFS('BSE - SENSEX Index Options'!$M:$M,'BSE - SENSEX Index Options'!$C:$C,$A65,'BSE - SENSEX Index Options'!$B:$B,D$4,'BSE - SENSEX Index Options'!$I:$I,"MDAW*")+SUMIFS('BSE - Other Index Options'!$M:$M,'BSE - Other Index Options'!$C:$C,$A65,'BSE - Other Index Options'!$B:$B,D$4,'BSE - Other Index Options'!$I:$I,"Weekly*")+SUMIFS('BSE - Other Index Options'!$M:$M,'BSE - Other Index Options'!$C:$C,$A65,'BSE - Other Index Options'!$B:$B,D$4,'BSE - Other Index Options'!$I:$I,"MDAW*"))</f>
        <v/>
      </c>
      <c r="E65" s="26">
        <f>IF(SUMIFS('NSE - NIFTY Index Options'!$M:$M,'NSE - NIFTY Index Options'!$C:$C,$A65,'NSE - NIFTY Index Options'!$B:$B,E$4,'NSE - NIFTY Index Options'!$I:$I,"Weekly*")+SUMIFS('NSE - NIFTY Index Options'!$M:$M,'NSE - NIFTY Index Options'!$C:$C,$A65,'NSE - NIFTY Index Options'!$B:$B,E$4,'NSE - NIFTY Index Options'!$I:$I,"MDAW*")+SUMIFS('NSE - Other Index Options'!$M:$M,'NSE - Other Index Options'!$C:$C,$A65,'NSE - Other Index Options'!$B:$B,E$4,'NSE - Other Index Options'!$I:$I,"Weekly*")+SUMIFS('NSE - Other Index Options'!$M:$M,'NSE - Other Index Options'!$C:$C,$A65,'NSE - Other Index Options'!$B:$B,E$4,'NSE - Other Index Options'!$I:$I,"MDAW*")+SUMIFS('BSE - SENSEX Index Options'!$M:$M,'BSE - SENSEX Index Options'!$C:$C,$A65,'BSE - SENSEX Index Options'!$B:$B,E$4,'BSE - SENSEX Index Options'!$I:$I,"Weekly*")+SUMIFS('BSE - SENSEX Index Options'!$M:$M,'BSE - SENSEX Index Options'!$C:$C,$A65,'BSE - SENSEX Index Options'!$B:$B,E$4,'BSE - SENSEX Index Options'!$I:$I,"MDAW*")+SUMIFS('BSE - Other Index Options'!$M:$M,'BSE - Other Index Options'!$C:$C,$A65,'BSE - Other Index Options'!$B:$B,E$4,'BSE - Other Index Options'!$I:$I,"Weekly*")+SUMIFS('BSE - Other Index Options'!$M:$M,'BSE - Other Index Options'!$C:$C,$A65,'BSE - Other Index Options'!$B:$B,E$4,'BSE - Other Index Options'!$I:$I,"MDAW*")=0,"",SUMIFS('NSE - NIFTY Index Options'!$M:$M,'NSE - NIFTY Index Options'!$C:$C,$A65,'NSE - NIFTY Index Options'!$B:$B,E$4,'NSE - NIFTY Index Options'!$I:$I,"Weekly*")+SUMIFS('NSE - NIFTY Index Options'!$M:$M,'NSE - NIFTY Index Options'!$C:$C,$A65,'NSE - NIFTY Index Options'!$B:$B,E$4,'NSE - NIFTY Index Options'!$I:$I,"MDAW*")+SUMIFS('NSE - Other Index Options'!$M:$M,'NSE - Other Index Options'!$C:$C,$A65,'NSE - Other Index Options'!$B:$B,E$4,'NSE - Other Index Options'!$I:$I,"Weekly*")+SUMIFS('NSE - Other Index Options'!$M:$M,'NSE - Other Index Options'!$C:$C,$A65,'NSE - Other Index Options'!$B:$B,E$4,'NSE - Other Index Options'!$I:$I,"MDAW*")+SUMIFS('BSE - SENSEX Index Options'!$M:$M,'BSE - SENSEX Index Options'!$C:$C,$A65,'BSE - SENSEX Index Options'!$B:$B,E$4,'BSE - SENSEX Index Options'!$I:$I,"Weekly*")+SUMIFS('BSE - SENSEX Index Options'!$M:$M,'BSE - SENSEX Index Options'!$C:$C,$A65,'BSE - SENSEX Index Options'!$B:$B,E$4,'BSE - SENSEX Index Options'!$I:$I,"MDAW*")+SUMIFS('BSE - Other Index Options'!$M:$M,'BSE - Other Index Options'!$C:$C,$A65,'BSE - Other Index Options'!$B:$B,E$4,'BSE - Other Index Options'!$I:$I,"Weekly*")+SUMIFS('BSE - Other Index Options'!$M:$M,'BSE - Other Index Options'!$C:$C,$A65,'BSE - Other Index Options'!$B:$B,E$4,'BSE - Other Index Options'!$I:$I,"MDAW*"))</f>
        <v/>
      </c>
      <c r="F65" s="26">
        <f>IF(SUMIFS('NSE - NIFTY Index Options'!$M:$M,'NSE - NIFTY Index Options'!$C:$C,$A65,'NSE - NIFTY Index Options'!$B:$B,F$4,'NSE - NIFTY Index Options'!$I:$I,"Weekly*")+SUMIFS('NSE - NIFTY Index Options'!$M:$M,'NSE - NIFTY Index Options'!$C:$C,$A65,'NSE - NIFTY Index Options'!$B:$B,F$4,'NSE - NIFTY Index Options'!$I:$I,"MDAW*")+SUMIFS('NSE - Other Index Options'!$M:$M,'NSE - Other Index Options'!$C:$C,$A65,'NSE - Other Index Options'!$B:$B,F$4,'NSE - Other Index Options'!$I:$I,"Weekly*")+SUMIFS('NSE - Other Index Options'!$M:$M,'NSE - Other Index Options'!$C:$C,$A65,'NSE - Other Index Options'!$B:$B,F$4,'NSE - Other Index Options'!$I:$I,"MDAW*")+SUMIFS('BSE - SENSEX Index Options'!$M:$M,'BSE - SENSEX Index Options'!$C:$C,$A65,'BSE - SENSEX Index Options'!$B:$B,F$4,'BSE - SENSEX Index Options'!$I:$I,"Weekly*")+SUMIFS('BSE - SENSEX Index Options'!$M:$M,'BSE - SENSEX Index Options'!$C:$C,$A65,'BSE - SENSEX Index Options'!$B:$B,F$4,'BSE - SENSEX Index Options'!$I:$I,"MDAW*")+SUMIFS('BSE - Other Index Options'!$M:$M,'BSE - Other Index Options'!$C:$C,$A65,'BSE - Other Index Options'!$B:$B,F$4,'BSE - Other Index Options'!$I:$I,"Weekly*")+SUMIFS('BSE - Other Index Options'!$M:$M,'BSE - Other Index Options'!$C:$C,$A65,'BSE - Other Index Options'!$B:$B,F$4,'BSE - Other Index Options'!$I:$I,"MDAW*")=0,"",SUMIFS('NSE - NIFTY Index Options'!$M:$M,'NSE - NIFTY Index Options'!$C:$C,$A65,'NSE - NIFTY Index Options'!$B:$B,F$4,'NSE - NIFTY Index Options'!$I:$I,"Weekly*")+SUMIFS('NSE - NIFTY Index Options'!$M:$M,'NSE - NIFTY Index Options'!$C:$C,$A65,'NSE - NIFTY Index Options'!$B:$B,F$4,'NSE - NIFTY Index Options'!$I:$I,"MDAW*")+SUMIFS('NSE - Other Index Options'!$M:$M,'NSE - Other Index Options'!$C:$C,$A65,'NSE - Other Index Options'!$B:$B,F$4,'NSE - Other Index Options'!$I:$I,"Weekly*")+SUMIFS('NSE - Other Index Options'!$M:$M,'NSE - Other Index Options'!$C:$C,$A65,'NSE - Other Index Options'!$B:$B,F$4,'NSE - Other Index Options'!$I:$I,"MDAW*")+SUMIFS('BSE - SENSEX Index Options'!$M:$M,'BSE - SENSEX Index Options'!$C:$C,$A65,'BSE - SENSEX Index Options'!$B:$B,F$4,'BSE - SENSEX Index Options'!$I:$I,"Weekly*")+SUMIFS('BSE - SENSEX Index Options'!$M:$M,'BSE - SENSEX Index Options'!$C:$C,$A65,'BSE - SENSEX Index Options'!$B:$B,F$4,'BSE - SENSEX Index Options'!$I:$I,"MDAW*")+SUMIFS('BSE - Other Index Options'!$M:$M,'BSE - Other Index Options'!$C:$C,$A65,'BSE - Other Index Options'!$B:$B,F$4,'BSE - Other Index Options'!$I:$I,"Weekly*")+SUMIFS('BSE - Other Index Options'!$M:$M,'BSE - Other Index Options'!$C:$C,$A65,'BSE - Other Index Options'!$B:$B,F$4,'BSE - Other Index Options'!$I:$I,"MDAW*"))</f>
        <v/>
      </c>
      <c r="G65" s="26">
        <f>IF(SUMIFS('NSE - NIFTY Index Options'!$M:$M,'NSE - NIFTY Index Options'!$C:$C,$A65,'NSE - NIFTY Index Options'!$B:$B,G$4,'NSE - NIFTY Index Options'!$I:$I,"Weekly*")+SUMIFS('NSE - NIFTY Index Options'!$M:$M,'NSE - NIFTY Index Options'!$C:$C,$A65,'NSE - NIFTY Index Options'!$B:$B,G$4,'NSE - NIFTY Index Options'!$I:$I,"MDAW*")+SUMIFS('NSE - Other Index Options'!$M:$M,'NSE - Other Index Options'!$C:$C,$A65,'NSE - Other Index Options'!$B:$B,G$4,'NSE - Other Index Options'!$I:$I,"Weekly*")+SUMIFS('NSE - Other Index Options'!$M:$M,'NSE - Other Index Options'!$C:$C,$A65,'NSE - Other Index Options'!$B:$B,G$4,'NSE - Other Index Options'!$I:$I,"MDAW*")+SUMIFS('BSE - SENSEX Index Options'!$M:$M,'BSE - SENSEX Index Options'!$C:$C,$A65,'BSE - SENSEX Index Options'!$B:$B,G$4,'BSE - SENSEX Index Options'!$I:$I,"Weekly*")+SUMIFS('BSE - SENSEX Index Options'!$M:$M,'BSE - SENSEX Index Options'!$C:$C,$A65,'BSE - SENSEX Index Options'!$B:$B,G$4,'BSE - SENSEX Index Options'!$I:$I,"MDAW*")+SUMIFS('BSE - Other Index Options'!$M:$M,'BSE - Other Index Options'!$C:$C,$A65,'BSE - Other Index Options'!$B:$B,G$4,'BSE - Other Index Options'!$I:$I,"Weekly*")+SUMIFS('BSE - Other Index Options'!$M:$M,'BSE - Other Index Options'!$C:$C,$A65,'BSE - Other Index Options'!$B:$B,G$4,'BSE - Other Index Options'!$I:$I,"MDAW*")=0,"",SUMIFS('NSE - NIFTY Index Options'!$M:$M,'NSE - NIFTY Index Options'!$C:$C,$A65,'NSE - NIFTY Index Options'!$B:$B,G$4,'NSE - NIFTY Index Options'!$I:$I,"Weekly*")+SUMIFS('NSE - NIFTY Index Options'!$M:$M,'NSE - NIFTY Index Options'!$C:$C,$A65,'NSE - NIFTY Index Options'!$B:$B,G$4,'NSE - NIFTY Index Options'!$I:$I,"MDAW*")+SUMIFS('NSE - Other Index Options'!$M:$M,'NSE - Other Index Options'!$C:$C,$A65,'NSE - Other Index Options'!$B:$B,G$4,'NSE - Other Index Options'!$I:$I,"Weekly*")+SUMIFS('NSE - Other Index Options'!$M:$M,'NSE - Other Index Options'!$C:$C,$A65,'NSE - Other Index Options'!$B:$B,G$4,'NSE - Other Index Options'!$I:$I,"MDAW*")+SUMIFS('BSE - SENSEX Index Options'!$M:$M,'BSE - SENSEX Index Options'!$C:$C,$A65,'BSE - SENSEX Index Options'!$B:$B,G$4,'BSE - SENSEX Index Options'!$I:$I,"Weekly*")+SUMIFS('BSE - SENSEX Index Options'!$M:$M,'BSE - SENSEX Index Options'!$C:$C,$A65,'BSE - SENSEX Index Options'!$B:$B,G$4,'BSE - SENSEX Index Options'!$I:$I,"MDAW*")+SUMIFS('BSE - Other Index Options'!$M:$M,'BSE - Other Index Options'!$C:$C,$A65,'BSE - Other Index Options'!$B:$B,G$4,'BSE - Other Index Options'!$I:$I,"Weekly*")+SUMIFS('BSE - Other Index Options'!$M:$M,'BSE - Other Index Options'!$C:$C,$A65,'BSE - Other Index Options'!$B:$B,G$4,'BSE - Other Index Options'!$I:$I,"MDAW*"))</f>
        <v/>
      </c>
      <c r="H65" s="26">
        <f>IF(SUM(B65:G65)=0,"",SUM(B65:G65))</f>
        <v/>
      </c>
    </row>
    <row r="66" hidden="1" outlineLevel="1">
      <c r="A66" t="inlineStr">
        <is>
          <t>Week3-Sep-2026</t>
        </is>
      </c>
      <c r="B66" s="26">
        <f>IF(SUMIFS('NSE - NIFTY Index Options'!$M:$M,'NSE - NIFTY Index Options'!$C:$C,$A66,'NSE - NIFTY Index Options'!$B:$B,B$4,'NSE - NIFTY Index Options'!$I:$I,"Weekly*")+SUMIFS('NSE - NIFTY Index Options'!$M:$M,'NSE - NIFTY Index Options'!$C:$C,$A66,'NSE - NIFTY Index Options'!$B:$B,B$4,'NSE - NIFTY Index Options'!$I:$I,"MDAW*")+SUMIFS('NSE - Other Index Options'!$M:$M,'NSE - Other Index Options'!$C:$C,$A66,'NSE - Other Index Options'!$B:$B,B$4,'NSE - Other Index Options'!$I:$I,"Weekly*")+SUMIFS('NSE - Other Index Options'!$M:$M,'NSE - Other Index Options'!$C:$C,$A66,'NSE - Other Index Options'!$B:$B,B$4,'NSE - Other Index Options'!$I:$I,"MDAW*")+SUMIFS('BSE - SENSEX Index Options'!$M:$M,'BSE - SENSEX Index Options'!$C:$C,$A66,'BSE - SENSEX Index Options'!$B:$B,B$4,'BSE - SENSEX Index Options'!$I:$I,"Weekly*")+SUMIFS('BSE - SENSEX Index Options'!$M:$M,'BSE - SENSEX Index Options'!$C:$C,$A66,'BSE - SENSEX Index Options'!$B:$B,B$4,'BSE - SENSEX Index Options'!$I:$I,"MDAW*")+SUMIFS('BSE - Other Index Options'!$M:$M,'BSE - Other Index Options'!$C:$C,$A66,'BSE - Other Index Options'!$B:$B,B$4,'BSE - Other Index Options'!$I:$I,"Weekly*")+SUMIFS('BSE - Other Index Options'!$M:$M,'BSE - Other Index Options'!$C:$C,$A66,'BSE - Other Index Options'!$B:$B,B$4,'BSE - Other Index Options'!$I:$I,"MDAW*")=0,"",SUMIFS('NSE - NIFTY Index Options'!$M:$M,'NSE - NIFTY Index Options'!$C:$C,$A66,'NSE - NIFTY Index Options'!$B:$B,B$4,'NSE - NIFTY Index Options'!$I:$I,"Weekly*")+SUMIFS('NSE - NIFTY Index Options'!$M:$M,'NSE - NIFTY Index Options'!$C:$C,$A66,'NSE - NIFTY Index Options'!$B:$B,B$4,'NSE - NIFTY Index Options'!$I:$I,"MDAW*")+SUMIFS('NSE - Other Index Options'!$M:$M,'NSE - Other Index Options'!$C:$C,$A66,'NSE - Other Index Options'!$B:$B,B$4,'NSE - Other Index Options'!$I:$I,"Weekly*")+SUMIFS('NSE - Other Index Options'!$M:$M,'NSE - Other Index Options'!$C:$C,$A66,'NSE - Other Index Options'!$B:$B,B$4,'NSE - Other Index Options'!$I:$I,"MDAW*")+SUMIFS('BSE - SENSEX Index Options'!$M:$M,'BSE - SENSEX Index Options'!$C:$C,$A66,'BSE - SENSEX Index Options'!$B:$B,B$4,'BSE - SENSEX Index Options'!$I:$I,"Weekly*")+SUMIFS('BSE - SENSEX Index Options'!$M:$M,'BSE - SENSEX Index Options'!$C:$C,$A66,'BSE - SENSEX Index Options'!$B:$B,B$4,'BSE - SENSEX Index Options'!$I:$I,"MDAW*")+SUMIFS('BSE - Other Index Options'!$M:$M,'BSE - Other Index Options'!$C:$C,$A66,'BSE - Other Index Options'!$B:$B,B$4,'BSE - Other Index Options'!$I:$I,"Weekly*")+SUMIFS('BSE - Other Index Options'!$M:$M,'BSE - Other Index Options'!$C:$C,$A66,'BSE - Other Index Options'!$B:$B,B$4,'BSE - Other Index Options'!$I:$I,"MDAW*"))</f>
        <v/>
      </c>
      <c r="C66" s="26">
        <f>IF(SUMIFS('NSE - NIFTY Index Options'!$M:$M,'NSE - NIFTY Index Options'!$C:$C,$A66,'NSE - NIFTY Index Options'!$B:$B,C$4,'NSE - NIFTY Index Options'!$I:$I,"Weekly*")+SUMIFS('NSE - NIFTY Index Options'!$M:$M,'NSE - NIFTY Index Options'!$C:$C,$A66,'NSE - NIFTY Index Options'!$B:$B,C$4,'NSE - NIFTY Index Options'!$I:$I,"MDAW*")+SUMIFS('NSE - Other Index Options'!$M:$M,'NSE - Other Index Options'!$C:$C,$A66,'NSE - Other Index Options'!$B:$B,C$4,'NSE - Other Index Options'!$I:$I,"Weekly*")+SUMIFS('NSE - Other Index Options'!$M:$M,'NSE - Other Index Options'!$C:$C,$A66,'NSE - Other Index Options'!$B:$B,C$4,'NSE - Other Index Options'!$I:$I,"MDAW*")+SUMIFS('BSE - SENSEX Index Options'!$M:$M,'BSE - SENSEX Index Options'!$C:$C,$A66,'BSE - SENSEX Index Options'!$B:$B,C$4,'BSE - SENSEX Index Options'!$I:$I,"Weekly*")+SUMIFS('BSE - SENSEX Index Options'!$M:$M,'BSE - SENSEX Index Options'!$C:$C,$A66,'BSE - SENSEX Index Options'!$B:$B,C$4,'BSE - SENSEX Index Options'!$I:$I,"MDAW*")+SUMIFS('BSE - Other Index Options'!$M:$M,'BSE - Other Index Options'!$C:$C,$A66,'BSE - Other Index Options'!$B:$B,C$4,'BSE - Other Index Options'!$I:$I,"Weekly*")+SUMIFS('BSE - Other Index Options'!$M:$M,'BSE - Other Index Options'!$C:$C,$A66,'BSE - Other Index Options'!$B:$B,C$4,'BSE - Other Index Options'!$I:$I,"MDAW*")=0,"",SUMIFS('NSE - NIFTY Index Options'!$M:$M,'NSE - NIFTY Index Options'!$C:$C,$A66,'NSE - NIFTY Index Options'!$B:$B,C$4,'NSE - NIFTY Index Options'!$I:$I,"Weekly*")+SUMIFS('NSE - NIFTY Index Options'!$M:$M,'NSE - NIFTY Index Options'!$C:$C,$A66,'NSE - NIFTY Index Options'!$B:$B,C$4,'NSE - NIFTY Index Options'!$I:$I,"MDAW*")+SUMIFS('NSE - Other Index Options'!$M:$M,'NSE - Other Index Options'!$C:$C,$A66,'NSE - Other Index Options'!$B:$B,C$4,'NSE - Other Index Options'!$I:$I,"Weekly*")+SUMIFS('NSE - Other Index Options'!$M:$M,'NSE - Other Index Options'!$C:$C,$A66,'NSE - Other Index Options'!$B:$B,C$4,'NSE - Other Index Options'!$I:$I,"MDAW*")+SUMIFS('BSE - SENSEX Index Options'!$M:$M,'BSE - SENSEX Index Options'!$C:$C,$A66,'BSE - SENSEX Index Options'!$B:$B,C$4,'BSE - SENSEX Index Options'!$I:$I,"Weekly*")+SUMIFS('BSE - SENSEX Index Options'!$M:$M,'BSE - SENSEX Index Options'!$C:$C,$A66,'BSE - SENSEX Index Options'!$B:$B,C$4,'BSE - SENSEX Index Options'!$I:$I,"MDAW*")+SUMIFS('BSE - Other Index Options'!$M:$M,'BSE - Other Index Options'!$C:$C,$A66,'BSE - Other Index Options'!$B:$B,C$4,'BSE - Other Index Options'!$I:$I,"Weekly*")+SUMIFS('BSE - Other Index Options'!$M:$M,'BSE - Other Index Options'!$C:$C,$A66,'BSE - Other Index Options'!$B:$B,C$4,'BSE - Other Index Options'!$I:$I,"MDAW*"))</f>
        <v/>
      </c>
      <c r="D66" s="26">
        <f>IF(SUMIFS('NSE - NIFTY Index Options'!$M:$M,'NSE - NIFTY Index Options'!$C:$C,$A66,'NSE - NIFTY Index Options'!$B:$B,D$4,'NSE - NIFTY Index Options'!$I:$I,"Weekly*")+SUMIFS('NSE - NIFTY Index Options'!$M:$M,'NSE - NIFTY Index Options'!$C:$C,$A66,'NSE - NIFTY Index Options'!$B:$B,D$4,'NSE - NIFTY Index Options'!$I:$I,"MDAW*")+SUMIFS('NSE - Other Index Options'!$M:$M,'NSE - Other Index Options'!$C:$C,$A66,'NSE - Other Index Options'!$B:$B,D$4,'NSE - Other Index Options'!$I:$I,"Weekly*")+SUMIFS('NSE - Other Index Options'!$M:$M,'NSE - Other Index Options'!$C:$C,$A66,'NSE - Other Index Options'!$B:$B,D$4,'NSE - Other Index Options'!$I:$I,"MDAW*")+SUMIFS('BSE - SENSEX Index Options'!$M:$M,'BSE - SENSEX Index Options'!$C:$C,$A66,'BSE - SENSEX Index Options'!$B:$B,D$4,'BSE - SENSEX Index Options'!$I:$I,"Weekly*")+SUMIFS('BSE - SENSEX Index Options'!$M:$M,'BSE - SENSEX Index Options'!$C:$C,$A66,'BSE - SENSEX Index Options'!$B:$B,D$4,'BSE - SENSEX Index Options'!$I:$I,"MDAW*")+SUMIFS('BSE - Other Index Options'!$M:$M,'BSE - Other Index Options'!$C:$C,$A66,'BSE - Other Index Options'!$B:$B,D$4,'BSE - Other Index Options'!$I:$I,"Weekly*")+SUMIFS('BSE - Other Index Options'!$M:$M,'BSE - Other Index Options'!$C:$C,$A66,'BSE - Other Index Options'!$B:$B,D$4,'BSE - Other Index Options'!$I:$I,"MDAW*")=0,"",SUMIFS('NSE - NIFTY Index Options'!$M:$M,'NSE - NIFTY Index Options'!$C:$C,$A66,'NSE - NIFTY Index Options'!$B:$B,D$4,'NSE - NIFTY Index Options'!$I:$I,"Weekly*")+SUMIFS('NSE - NIFTY Index Options'!$M:$M,'NSE - NIFTY Index Options'!$C:$C,$A66,'NSE - NIFTY Index Options'!$B:$B,D$4,'NSE - NIFTY Index Options'!$I:$I,"MDAW*")+SUMIFS('NSE - Other Index Options'!$M:$M,'NSE - Other Index Options'!$C:$C,$A66,'NSE - Other Index Options'!$B:$B,D$4,'NSE - Other Index Options'!$I:$I,"Weekly*")+SUMIFS('NSE - Other Index Options'!$M:$M,'NSE - Other Index Options'!$C:$C,$A66,'NSE - Other Index Options'!$B:$B,D$4,'NSE - Other Index Options'!$I:$I,"MDAW*")+SUMIFS('BSE - SENSEX Index Options'!$M:$M,'BSE - SENSEX Index Options'!$C:$C,$A66,'BSE - SENSEX Index Options'!$B:$B,D$4,'BSE - SENSEX Index Options'!$I:$I,"Weekly*")+SUMIFS('BSE - SENSEX Index Options'!$M:$M,'BSE - SENSEX Index Options'!$C:$C,$A66,'BSE - SENSEX Index Options'!$B:$B,D$4,'BSE - SENSEX Index Options'!$I:$I,"MDAW*")+SUMIFS('BSE - Other Index Options'!$M:$M,'BSE - Other Index Options'!$C:$C,$A66,'BSE - Other Index Options'!$B:$B,D$4,'BSE - Other Index Options'!$I:$I,"Weekly*")+SUMIFS('BSE - Other Index Options'!$M:$M,'BSE - Other Index Options'!$C:$C,$A66,'BSE - Other Index Options'!$B:$B,D$4,'BSE - Other Index Options'!$I:$I,"MDAW*"))</f>
        <v/>
      </c>
      <c r="E66" s="26">
        <f>IF(SUMIFS('NSE - NIFTY Index Options'!$M:$M,'NSE - NIFTY Index Options'!$C:$C,$A66,'NSE - NIFTY Index Options'!$B:$B,E$4,'NSE - NIFTY Index Options'!$I:$I,"Weekly*")+SUMIFS('NSE - NIFTY Index Options'!$M:$M,'NSE - NIFTY Index Options'!$C:$C,$A66,'NSE - NIFTY Index Options'!$B:$B,E$4,'NSE - NIFTY Index Options'!$I:$I,"MDAW*")+SUMIFS('NSE - Other Index Options'!$M:$M,'NSE - Other Index Options'!$C:$C,$A66,'NSE - Other Index Options'!$B:$B,E$4,'NSE - Other Index Options'!$I:$I,"Weekly*")+SUMIFS('NSE - Other Index Options'!$M:$M,'NSE - Other Index Options'!$C:$C,$A66,'NSE - Other Index Options'!$B:$B,E$4,'NSE - Other Index Options'!$I:$I,"MDAW*")+SUMIFS('BSE - SENSEX Index Options'!$M:$M,'BSE - SENSEX Index Options'!$C:$C,$A66,'BSE - SENSEX Index Options'!$B:$B,E$4,'BSE - SENSEX Index Options'!$I:$I,"Weekly*")+SUMIFS('BSE - SENSEX Index Options'!$M:$M,'BSE - SENSEX Index Options'!$C:$C,$A66,'BSE - SENSEX Index Options'!$B:$B,E$4,'BSE - SENSEX Index Options'!$I:$I,"MDAW*")+SUMIFS('BSE - Other Index Options'!$M:$M,'BSE - Other Index Options'!$C:$C,$A66,'BSE - Other Index Options'!$B:$B,E$4,'BSE - Other Index Options'!$I:$I,"Weekly*")+SUMIFS('BSE - Other Index Options'!$M:$M,'BSE - Other Index Options'!$C:$C,$A66,'BSE - Other Index Options'!$B:$B,E$4,'BSE - Other Index Options'!$I:$I,"MDAW*")=0,"",SUMIFS('NSE - NIFTY Index Options'!$M:$M,'NSE - NIFTY Index Options'!$C:$C,$A66,'NSE - NIFTY Index Options'!$B:$B,E$4,'NSE - NIFTY Index Options'!$I:$I,"Weekly*")+SUMIFS('NSE - NIFTY Index Options'!$M:$M,'NSE - NIFTY Index Options'!$C:$C,$A66,'NSE - NIFTY Index Options'!$B:$B,E$4,'NSE - NIFTY Index Options'!$I:$I,"MDAW*")+SUMIFS('NSE - Other Index Options'!$M:$M,'NSE - Other Index Options'!$C:$C,$A66,'NSE - Other Index Options'!$B:$B,E$4,'NSE - Other Index Options'!$I:$I,"Weekly*")+SUMIFS('NSE - Other Index Options'!$M:$M,'NSE - Other Index Options'!$C:$C,$A66,'NSE - Other Index Options'!$B:$B,E$4,'NSE - Other Index Options'!$I:$I,"MDAW*")+SUMIFS('BSE - SENSEX Index Options'!$M:$M,'BSE - SENSEX Index Options'!$C:$C,$A66,'BSE - SENSEX Index Options'!$B:$B,E$4,'BSE - SENSEX Index Options'!$I:$I,"Weekly*")+SUMIFS('BSE - SENSEX Index Options'!$M:$M,'BSE - SENSEX Index Options'!$C:$C,$A66,'BSE - SENSEX Index Options'!$B:$B,E$4,'BSE - SENSEX Index Options'!$I:$I,"MDAW*")+SUMIFS('BSE - Other Index Options'!$M:$M,'BSE - Other Index Options'!$C:$C,$A66,'BSE - Other Index Options'!$B:$B,E$4,'BSE - Other Index Options'!$I:$I,"Weekly*")+SUMIFS('BSE - Other Index Options'!$M:$M,'BSE - Other Index Options'!$C:$C,$A66,'BSE - Other Index Options'!$B:$B,E$4,'BSE - Other Index Options'!$I:$I,"MDAW*"))</f>
        <v/>
      </c>
      <c r="F66" s="26">
        <f>IF(SUMIFS('NSE - NIFTY Index Options'!$M:$M,'NSE - NIFTY Index Options'!$C:$C,$A66,'NSE - NIFTY Index Options'!$B:$B,F$4,'NSE - NIFTY Index Options'!$I:$I,"Weekly*")+SUMIFS('NSE - NIFTY Index Options'!$M:$M,'NSE - NIFTY Index Options'!$C:$C,$A66,'NSE - NIFTY Index Options'!$B:$B,F$4,'NSE - NIFTY Index Options'!$I:$I,"MDAW*")+SUMIFS('NSE - Other Index Options'!$M:$M,'NSE - Other Index Options'!$C:$C,$A66,'NSE - Other Index Options'!$B:$B,F$4,'NSE - Other Index Options'!$I:$I,"Weekly*")+SUMIFS('NSE - Other Index Options'!$M:$M,'NSE - Other Index Options'!$C:$C,$A66,'NSE - Other Index Options'!$B:$B,F$4,'NSE - Other Index Options'!$I:$I,"MDAW*")+SUMIFS('BSE - SENSEX Index Options'!$M:$M,'BSE - SENSEX Index Options'!$C:$C,$A66,'BSE - SENSEX Index Options'!$B:$B,F$4,'BSE - SENSEX Index Options'!$I:$I,"Weekly*")+SUMIFS('BSE - SENSEX Index Options'!$M:$M,'BSE - SENSEX Index Options'!$C:$C,$A66,'BSE - SENSEX Index Options'!$B:$B,F$4,'BSE - SENSEX Index Options'!$I:$I,"MDAW*")+SUMIFS('BSE - Other Index Options'!$M:$M,'BSE - Other Index Options'!$C:$C,$A66,'BSE - Other Index Options'!$B:$B,F$4,'BSE - Other Index Options'!$I:$I,"Weekly*")+SUMIFS('BSE - Other Index Options'!$M:$M,'BSE - Other Index Options'!$C:$C,$A66,'BSE - Other Index Options'!$B:$B,F$4,'BSE - Other Index Options'!$I:$I,"MDAW*")=0,"",SUMIFS('NSE - NIFTY Index Options'!$M:$M,'NSE - NIFTY Index Options'!$C:$C,$A66,'NSE - NIFTY Index Options'!$B:$B,F$4,'NSE - NIFTY Index Options'!$I:$I,"Weekly*")+SUMIFS('NSE - NIFTY Index Options'!$M:$M,'NSE - NIFTY Index Options'!$C:$C,$A66,'NSE - NIFTY Index Options'!$B:$B,F$4,'NSE - NIFTY Index Options'!$I:$I,"MDAW*")+SUMIFS('NSE - Other Index Options'!$M:$M,'NSE - Other Index Options'!$C:$C,$A66,'NSE - Other Index Options'!$B:$B,F$4,'NSE - Other Index Options'!$I:$I,"Weekly*")+SUMIFS('NSE - Other Index Options'!$M:$M,'NSE - Other Index Options'!$C:$C,$A66,'NSE - Other Index Options'!$B:$B,F$4,'NSE - Other Index Options'!$I:$I,"MDAW*")+SUMIFS('BSE - SENSEX Index Options'!$M:$M,'BSE - SENSEX Index Options'!$C:$C,$A66,'BSE - SENSEX Index Options'!$B:$B,F$4,'BSE - SENSEX Index Options'!$I:$I,"Weekly*")+SUMIFS('BSE - SENSEX Index Options'!$M:$M,'BSE - SENSEX Index Options'!$C:$C,$A66,'BSE - SENSEX Index Options'!$B:$B,F$4,'BSE - SENSEX Index Options'!$I:$I,"MDAW*")+SUMIFS('BSE - Other Index Options'!$M:$M,'BSE - Other Index Options'!$C:$C,$A66,'BSE - Other Index Options'!$B:$B,F$4,'BSE - Other Index Options'!$I:$I,"Weekly*")+SUMIFS('BSE - Other Index Options'!$M:$M,'BSE - Other Index Options'!$C:$C,$A66,'BSE - Other Index Options'!$B:$B,F$4,'BSE - Other Index Options'!$I:$I,"MDAW*"))</f>
        <v/>
      </c>
      <c r="G66" s="26">
        <f>IF(SUMIFS('NSE - NIFTY Index Options'!$M:$M,'NSE - NIFTY Index Options'!$C:$C,$A66,'NSE - NIFTY Index Options'!$B:$B,G$4,'NSE - NIFTY Index Options'!$I:$I,"Weekly*")+SUMIFS('NSE - NIFTY Index Options'!$M:$M,'NSE - NIFTY Index Options'!$C:$C,$A66,'NSE - NIFTY Index Options'!$B:$B,G$4,'NSE - NIFTY Index Options'!$I:$I,"MDAW*")+SUMIFS('NSE - Other Index Options'!$M:$M,'NSE - Other Index Options'!$C:$C,$A66,'NSE - Other Index Options'!$B:$B,G$4,'NSE - Other Index Options'!$I:$I,"Weekly*")+SUMIFS('NSE - Other Index Options'!$M:$M,'NSE - Other Index Options'!$C:$C,$A66,'NSE - Other Index Options'!$B:$B,G$4,'NSE - Other Index Options'!$I:$I,"MDAW*")+SUMIFS('BSE - SENSEX Index Options'!$M:$M,'BSE - SENSEX Index Options'!$C:$C,$A66,'BSE - SENSEX Index Options'!$B:$B,G$4,'BSE - SENSEX Index Options'!$I:$I,"Weekly*")+SUMIFS('BSE - SENSEX Index Options'!$M:$M,'BSE - SENSEX Index Options'!$C:$C,$A66,'BSE - SENSEX Index Options'!$B:$B,G$4,'BSE - SENSEX Index Options'!$I:$I,"MDAW*")+SUMIFS('BSE - Other Index Options'!$M:$M,'BSE - Other Index Options'!$C:$C,$A66,'BSE - Other Index Options'!$B:$B,G$4,'BSE - Other Index Options'!$I:$I,"Weekly*")+SUMIFS('BSE - Other Index Options'!$M:$M,'BSE - Other Index Options'!$C:$C,$A66,'BSE - Other Index Options'!$B:$B,G$4,'BSE - Other Index Options'!$I:$I,"MDAW*")=0,"",SUMIFS('NSE - NIFTY Index Options'!$M:$M,'NSE - NIFTY Index Options'!$C:$C,$A66,'NSE - NIFTY Index Options'!$B:$B,G$4,'NSE - NIFTY Index Options'!$I:$I,"Weekly*")+SUMIFS('NSE - NIFTY Index Options'!$M:$M,'NSE - NIFTY Index Options'!$C:$C,$A66,'NSE - NIFTY Index Options'!$B:$B,G$4,'NSE - NIFTY Index Options'!$I:$I,"MDAW*")+SUMIFS('NSE - Other Index Options'!$M:$M,'NSE - Other Index Options'!$C:$C,$A66,'NSE - Other Index Options'!$B:$B,G$4,'NSE - Other Index Options'!$I:$I,"Weekly*")+SUMIFS('NSE - Other Index Options'!$M:$M,'NSE - Other Index Options'!$C:$C,$A66,'NSE - Other Index Options'!$B:$B,G$4,'NSE - Other Index Options'!$I:$I,"MDAW*")+SUMIFS('BSE - SENSEX Index Options'!$M:$M,'BSE - SENSEX Index Options'!$C:$C,$A66,'BSE - SENSEX Index Options'!$B:$B,G$4,'BSE - SENSEX Index Options'!$I:$I,"Weekly*")+SUMIFS('BSE - SENSEX Index Options'!$M:$M,'BSE - SENSEX Index Options'!$C:$C,$A66,'BSE - SENSEX Index Options'!$B:$B,G$4,'BSE - SENSEX Index Options'!$I:$I,"MDAW*")+SUMIFS('BSE - Other Index Options'!$M:$M,'BSE - Other Index Options'!$C:$C,$A66,'BSE - Other Index Options'!$B:$B,G$4,'BSE - Other Index Options'!$I:$I,"Weekly*")+SUMIFS('BSE - Other Index Options'!$M:$M,'BSE - Other Index Options'!$C:$C,$A66,'BSE - Other Index Options'!$B:$B,G$4,'BSE - Other Index Options'!$I:$I,"MDAW*"))</f>
        <v/>
      </c>
      <c r="H66" s="26">
        <f>IF(SUM(B66:G66)=0,"",SUM(B66:G66))</f>
        <v/>
      </c>
    </row>
    <row r="67" hidden="1" outlineLevel="1">
      <c r="A67" t="inlineStr">
        <is>
          <t>Week4-Sep-2026</t>
        </is>
      </c>
      <c r="B67" s="26">
        <f>IF(SUMIFS('NSE - NIFTY Index Options'!$M:$M,'NSE - NIFTY Index Options'!$C:$C,$A67,'NSE - NIFTY Index Options'!$B:$B,B$4,'NSE - NIFTY Index Options'!$I:$I,"Weekly*")+SUMIFS('NSE - NIFTY Index Options'!$M:$M,'NSE - NIFTY Index Options'!$C:$C,$A67,'NSE - NIFTY Index Options'!$B:$B,B$4,'NSE - NIFTY Index Options'!$I:$I,"MDAW*")+SUMIFS('NSE - Other Index Options'!$M:$M,'NSE - Other Index Options'!$C:$C,$A67,'NSE - Other Index Options'!$B:$B,B$4,'NSE - Other Index Options'!$I:$I,"Weekly*")+SUMIFS('NSE - Other Index Options'!$M:$M,'NSE - Other Index Options'!$C:$C,$A67,'NSE - Other Index Options'!$B:$B,B$4,'NSE - Other Index Options'!$I:$I,"MDAW*")+SUMIFS('BSE - SENSEX Index Options'!$M:$M,'BSE - SENSEX Index Options'!$C:$C,$A67,'BSE - SENSEX Index Options'!$B:$B,B$4,'BSE - SENSEX Index Options'!$I:$I,"Weekly*")+SUMIFS('BSE - SENSEX Index Options'!$M:$M,'BSE - SENSEX Index Options'!$C:$C,$A67,'BSE - SENSEX Index Options'!$B:$B,B$4,'BSE - SENSEX Index Options'!$I:$I,"MDAW*")+SUMIFS('BSE - Other Index Options'!$M:$M,'BSE - Other Index Options'!$C:$C,$A67,'BSE - Other Index Options'!$B:$B,B$4,'BSE - Other Index Options'!$I:$I,"Weekly*")+SUMIFS('BSE - Other Index Options'!$M:$M,'BSE - Other Index Options'!$C:$C,$A67,'BSE - Other Index Options'!$B:$B,B$4,'BSE - Other Index Options'!$I:$I,"MDAW*")=0,"",SUMIFS('NSE - NIFTY Index Options'!$M:$M,'NSE - NIFTY Index Options'!$C:$C,$A67,'NSE - NIFTY Index Options'!$B:$B,B$4,'NSE - NIFTY Index Options'!$I:$I,"Weekly*")+SUMIFS('NSE - NIFTY Index Options'!$M:$M,'NSE - NIFTY Index Options'!$C:$C,$A67,'NSE - NIFTY Index Options'!$B:$B,B$4,'NSE - NIFTY Index Options'!$I:$I,"MDAW*")+SUMIFS('NSE - Other Index Options'!$M:$M,'NSE - Other Index Options'!$C:$C,$A67,'NSE - Other Index Options'!$B:$B,B$4,'NSE - Other Index Options'!$I:$I,"Weekly*")+SUMIFS('NSE - Other Index Options'!$M:$M,'NSE - Other Index Options'!$C:$C,$A67,'NSE - Other Index Options'!$B:$B,B$4,'NSE - Other Index Options'!$I:$I,"MDAW*")+SUMIFS('BSE - SENSEX Index Options'!$M:$M,'BSE - SENSEX Index Options'!$C:$C,$A67,'BSE - SENSEX Index Options'!$B:$B,B$4,'BSE - SENSEX Index Options'!$I:$I,"Weekly*")+SUMIFS('BSE - SENSEX Index Options'!$M:$M,'BSE - SENSEX Index Options'!$C:$C,$A67,'BSE - SENSEX Index Options'!$B:$B,B$4,'BSE - SENSEX Index Options'!$I:$I,"MDAW*")+SUMIFS('BSE - Other Index Options'!$M:$M,'BSE - Other Index Options'!$C:$C,$A67,'BSE - Other Index Options'!$B:$B,B$4,'BSE - Other Index Options'!$I:$I,"Weekly*")+SUMIFS('BSE - Other Index Options'!$M:$M,'BSE - Other Index Options'!$C:$C,$A67,'BSE - Other Index Options'!$B:$B,B$4,'BSE - Other Index Options'!$I:$I,"MDAW*"))</f>
        <v/>
      </c>
      <c r="C67" s="26">
        <f>IF(SUMIFS('NSE - NIFTY Index Options'!$M:$M,'NSE - NIFTY Index Options'!$C:$C,$A67,'NSE - NIFTY Index Options'!$B:$B,C$4,'NSE - NIFTY Index Options'!$I:$I,"Weekly*")+SUMIFS('NSE - NIFTY Index Options'!$M:$M,'NSE - NIFTY Index Options'!$C:$C,$A67,'NSE - NIFTY Index Options'!$B:$B,C$4,'NSE - NIFTY Index Options'!$I:$I,"MDAW*")+SUMIFS('NSE - Other Index Options'!$M:$M,'NSE - Other Index Options'!$C:$C,$A67,'NSE - Other Index Options'!$B:$B,C$4,'NSE - Other Index Options'!$I:$I,"Weekly*")+SUMIFS('NSE - Other Index Options'!$M:$M,'NSE - Other Index Options'!$C:$C,$A67,'NSE - Other Index Options'!$B:$B,C$4,'NSE - Other Index Options'!$I:$I,"MDAW*")+SUMIFS('BSE - SENSEX Index Options'!$M:$M,'BSE - SENSEX Index Options'!$C:$C,$A67,'BSE - SENSEX Index Options'!$B:$B,C$4,'BSE - SENSEX Index Options'!$I:$I,"Weekly*")+SUMIFS('BSE - SENSEX Index Options'!$M:$M,'BSE - SENSEX Index Options'!$C:$C,$A67,'BSE - SENSEX Index Options'!$B:$B,C$4,'BSE - SENSEX Index Options'!$I:$I,"MDAW*")+SUMIFS('BSE - Other Index Options'!$M:$M,'BSE - Other Index Options'!$C:$C,$A67,'BSE - Other Index Options'!$B:$B,C$4,'BSE - Other Index Options'!$I:$I,"Weekly*")+SUMIFS('BSE - Other Index Options'!$M:$M,'BSE - Other Index Options'!$C:$C,$A67,'BSE - Other Index Options'!$B:$B,C$4,'BSE - Other Index Options'!$I:$I,"MDAW*")=0,"",SUMIFS('NSE - NIFTY Index Options'!$M:$M,'NSE - NIFTY Index Options'!$C:$C,$A67,'NSE - NIFTY Index Options'!$B:$B,C$4,'NSE - NIFTY Index Options'!$I:$I,"Weekly*")+SUMIFS('NSE - NIFTY Index Options'!$M:$M,'NSE - NIFTY Index Options'!$C:$C,$A67,'NSE - NIFTY Index Options'!$B:$B,C$4,'NSE - NIFTY Index Options'!$I:$I,"MDAW*")+SUMIFS('NSE - Other Index Options'!$M:$M,'NSE - Other Index Options'!$C:$C,$A67,'NSE - Other Index Options'!$B:$B,C$4,'NSE - Other Index Options'!$I:$I,"Weekly*")+SUMIFS('NSE - Other Index Options'!$M:$M,'NSE - Other Index Options'!$C:$C,$A67,'NSE - Other Index Options'!$B:$B,C$4,'NSE - Other Index Options'!$I:$I,"MDAW*")+SUMIFS('BSE - SENSEX Index Options'!$M:$M,'BSE - SENSEX Index Options'!$C:$C,$A67,'BSE - SENSEX Index Options'!$B:$B,C$4,'BSE - SENSEX Index Options'!$I:$I,"Weekly*")+SUMIFS('BSE - SENSEX Index Options'!$M:$M,'BSE - SENSEX Index Options'!$C:$C,$A67,'BSE - SENSEX Index Options'!$B:$B,C$4,'BSE - SENSEX Index Options'!$I:$I,"MDAW*")+SUMIFS('BSE - Other Index Options'!$M:$M,'BSE - Other Index Options'!$C:$C,$A67,'BSE - Other Index Options'!$B:$B,C$4,'BSE - Other Index Options'!$I:$I,"Weekly*")+SUMIFS('BSE - Other Index Options'!$M:$M,'BSE - Other Index Options'!$C:$C,$A67,'BSE - Other Index Options'!$B:$B,C$4,'BSE - Other Index Options'!$I:$I,"MDAW*"))</f>
        <v/>
      </c>
      <c r="D67" s="26">
        <f>IF(SUMIFS('NSE - NIFTY Index Options'!$M:$M,'NSE - NIFTY Index Options'!$C:$C,$A67,'NSE - NIFTY Index Options'!$B:$B,D$4,'NSE - NIFTY Index Options'!$I:$I,"Weekly*")+SUMIFS('NSE - NIFTY Index Options'!$M:$M,'NSE - NIFTY Index Options'!$C:$C,$A67,'NSE - NIFTY Index Options'!$B:$B,D$4,'NSE - NIFTY Index Options'!$I:$I,"MDAW*")+SUMIFS('NSE - Other Index Options'!$M:$M,'NSE - Other Index Options'!$C:$C,$A67,'NSE - Other Index Options'!$B:$B,D$4,'NSE - Other Index Options'!$I:$I,"Weekly*")+SUMIFS('NSE - Other Index Options'!$M:$M,'NSE - Other Index Options'!$C:$C,$A67,'NSE - Other Index Options'!$B:$B,D$4,'NSE - Other Index Options'!$I:$I,"MDAW*")+SUMIFS('BSE - SENSEX Index Options'!$M:$M,'BSE - SENSEX Index Options'!$C:$C,$A67,'BSE - SENSEX Index Options'!$B:$B,D$4,'BSE - SENSEX Index Options'!$I:$I,"Weekly*")+SUMIFS('BSE - SENSEX Index Options'!$M:$M,'BSE - SENSEX Index Options'!$C:$C,$A67,'BSE - SENSEX Index Options'!$B:$B,D$4,'BSE - SENSEX Index Options'!$I:$I,"MDAW*")+SUMIFS('BSE - Other Index Options'!$M:$M,'BSE - Other Index Options'!$C:$C,$A67,'BSE - Other Index Options'!$B:$B,D$4,'BSE - Other Index Options'!$I:$I,"Weekly*")+SUMIFS('BSE - Other Index Options'!$M:$M,'BSE - Other Index Options'!$C:$C,$A67,'BSE - Other Index Options'!$B:$B,D$4,'BSE - Other Index Options'!$I:$I,"MDAW*")=0,"",SUMIFS('NSE - NIFTY Index Options'!$M:$M,'NSE - NIFTY Index Options'!$C:$C,$A67,'NSE - NIFTY Index Options'!$B:$B,D$4,'NSE - NIFTY Index Options'!$I:$I,"Weekly*")+SUMIFS('NSE - NIFTY Index Options'!$M:$M,'NSE - NIFTY Index Options'!$C:$C,$A67,'NSE - NIFTY Index Options'!$B:$B,D$4,'NSE - NIFTY Index Options'!$I:$I,"MDAW*")+SUMIFS('NSE - Other Index Options'!$M:$M,'NSE - Other Index Options'!$C:$C,$A67,'NSE - Other Index Options'!$B:$B,D$4,'NSE - Other Index Options'!$I:$I,"Weekly*")+SUMIFS('NSE - Other Index Options'!$M:$M,'NSE - Other Index Options'!$C:$C,$A67,'NSE - Other Index Options'!$B:$B,D$4,'NSE - Other Index Options'!$I:$I,"MDAW*")+SUMIFS('BSE - SENSEX Index Options'!$M:$M,'BSE - SENSEX Index Options'!$C:$C,$A67,'BSE - SENSEX Index Options'!$B:$B,D$4,'BSE - SENSEX Index Options'!$I:$I,"Weekly*")+SUMIFS('BSE - SENSEX Index Options'!$M:$M,'BSE - SENSEX Index Options'!$C:$C,$A67,'BSE - SENSEX Index Options'!$B:$B,D$4,'BSE - SENSEX Index Options'!$I:$I,"MDAW*")+SUMIFS('BSE - Other Index Options'!$M:$M,'BSE - Other Index Options'!$C:$C,$A67,'BSE - Other Index Options'!$B:$B,D$4,'BSE - Other Index Options'!$I:$I,"Weekly*")+SUMIFS('BSE - Other Index Options'!$M:$M,'BSE - Other Index Options'!$C:$C,$A67,'BSE - Other Index Options'!$B:$B,D$4,'BSE - Other Index Options'!$I:$I,"MDAW*"))</f>
        <v/>
      </c>
      <c r="E67" s="26">
        <f>IF(SUMIFS('NSE - NIFTY Index Options'!$M:$M,'NSE - NIFTY Index Options'!$C:$C,$A67,'NSE - NIFTY Index Options'!$B:$B,E$4,'NSE - NIFTY Index Options'!$I:$I,"Weekly*")+SUMIFS('NSE - NIFTY Index Options'!$M:$M,'NSE - NIFTY Index Options'!$C:$C,$A67,'NSE - NIFTY Index Options'!$B:$B,E$4,'NSE - NIFTY Index Options'!$I:$I,"MDAW*")+SUMIFS('NSE - Other Index Options'!$M:$M,'NSE - Other Index Options'!$C:$C,$A67,'NSE - Other Index Options'!$B:$B,E$4,'NSE - Other Index Options'!$I:$I,"Weekly*")+SUMIFS('NSE - Other Index Options'!$M:$M,'NSE - Other Index Options'!$C:$C,$A67,'NSE - Other Index Options'!$B:$B,E$4,'NSE - Other Index Options'!$I:$I,"MDAW*")+SUMIFS('BSE - SENSEX Index Options'!$M:$M,'BSE - SENSEX Index Options'!$C:$C,$A67,'BSE - SENSEX Index Options'!$B:$B,E$4,'BSE - SENSEX Index Options'!$I:$I,"Weekly*")+SUMIFS('BSE - SENSEX Index Options'!$M:$M,'BSE - SENSEX Index Options'!$C:$C,$A67,'BSE - SENSEX Index Options'!$B:$B,E$4,'BSE - SENSEX Index Options'!$I:$I,"MDAW*")+SUMIFS('BSE - Other Index Options'!$M:$M,'BSE - Other Index Options'!$C:$C,$A67,'BSE - Other Index Options'!$B:$B,E$4,'BSE - Other Index Options'!$I:$I,"Weekly*")+SUMIFS('BSE - Other Index Options'!$M:$M,'BSE - Other Index Options'!$C:$C,$A67,'BSE - Other Index Options'!$B:$B,E$4,'BSE - Other Index Options'!$I:$I,"MDAW*")=0,"",SUMIFS('NSE - NIFTY Index Options'!$M:$M,'NSE - NIFTY Index Options'!$C:$C,$A67,'NSE - NIFTY Index Options'!$B:$B,E$4,'NSE - NIFTY Index Options'!$I:$I,"Weekly*")+SUMIFS('NSE - NIFTY Index Options'!$M:$M,'NSE - NIFTY Index Options'!$C:$C,$A67,'NSE - NIFTY Index Options'!$B:$B,E$4,'NSE - NIFTY Index Options'!$I:$I,"MDAW*")+SUMIFS('NSE - Other Index Options'!$M:$M,'NSE - Other Index Options'!$C:$C,$A67,'NSE - Other Index Options'!$B:$B,E$4,'NSE - Other Index Options'!$I:$I,"Weekly*")+SUMIFS('NSE - Other Index Options'!$M:$M,'NSE - Other Index Options'!$C:$C,$A67,'NSE - Other Index Options'!$B:$B,E$4,'NSE - Other Index Options'!$I:$I,"MDAW*")+SUMIFS('BSE - SENSEX Index Options'!$M:$M,'BSE - SENSEX Index Options'!$C:$C,$A67,'BSE - SENSEX Index Options'!$B:$B,E$4,'BSE - SENSEX Index Options'!$I:$I,"Weekly*")+SUMIFS('BSE - SENSEX Index Options'!$M:$M,'BSE - SENSEX Index Options'!$C:$C,$A67,'BSE - SENSEX Index Options'!$B:$B,E$4,'BSE - SENSEX Index Options'!$I:$I,"MDAW*")+SUMIFS('BSE - Other Index Options'!$M:$M,'BSE - Other Index Options'!$C:$C,$A67,'BSE - Other Index Options'!$B:$B,E$4,'BSE - Other Index Options'!$I:$I,"Weekly*")+SUMIFS('BSE - Other Index Options'!$M:$M,'BSE - Other Index Options'!$C:$C,$A67,'BSE - Other Index Options'!$B:$B,E$4,'BSE - Other Index Options'!$I:$I,"MDAW*"))</f>
        <v/>
      </c>
      <c r="F67" s="26">
        <f>IF(SUMIFS('NSE - NIFTY Index Options'!$M:$M,'NSE - NIFTY Index Options'!$C:$C,$A67,'NSE - NIFTY Index Options'!$B:$B,F$4,'NSE - NIFTY Index Options'!$I:$I,"Weekly*")+SUMIFS('NSE - NIFTY Index Options'!$M:$M,'NSE - NIFTY Index Options'!$C:$C,$A67,'NSE - NIFTY Index Options'!$B:$B,F$4,'NSE - NIFTY Index Options'!$I:$I,"MDAW*")+SUMIFS('NSE - Other Index Options'!$M:$M,'NSE - Other Index Options'!$C:$C,$A67,'NSE - Other Index Options'!$B:$B,F$4,'NSE - Other Index Options'!$I:$I,"Weekly*")+SUMIFS('NSE - Other Index Options'!$M:$M,'NSE - Other Index Options'!$C:$C,$A67,'NSE - Other Index Options'!$B:$B,F$4,'NSE - Other Index Options'!$I:$I,"MDAW*")+SUMIFS('BSE - SENSEX Index Options'!$M:$M,'BSE - SENSEX Index Options'!$C:$C,$A67,'BSE - SENSEX Index Options'!$B:$B,F$4,'BSE - SENSEX Index Options'!$I:$I,"Weekly*")+SUMIFS('BSE - SENSEX Index Options'!$M:$M,'BSE - SENSEX Index Options'!$C:$C,$A67,'BSE - SENSEX Index Options'!$B:$B,F$4,'BSE - SENSEX Index Options'!$I:$I,"MDAW*")+SUMIFS('BSE - Other Index Options'!$M:$M,'BSE - Other Index Options'!$C:$C,$A67,'BSE - Other Index Options'!$B:$B,F$4,'BSE - Other Index Options'!$I:$I,"Weekly*")+SUMIFS('BSE - Other Index Options'!$M:$M,'BSE - Other Index Options'!$C:$C,$A67,'BSE - Other Index Options'!$B:$B,F$4,'BSE - Other Index Options'!$I:$I,"MDAW*")=0,"",SUMIFS('NSE - NIFTY Index Options'!$M:$M,'NSE - NIFTY Index Options'!$C:$C,$A67,'NSE - NIFTY Index Options'!$B:$B,F$4,'NSE - NIFTY Index Options'!$I:$I,"Weekly*")+SUMIFS('NSE - NIFTY Index Options'!$M:$M,'NSE - NIFTY Index Options'!$C:$C,$A67,'NSE - NIFTY Index Options'!$B:$B,F$4,'NSE - NIFTY Index Options'!$I:$I,"MDAW*")+SUMIFS('NSE - Other Index Options'!$M:$M,'NSE - Other Index Options'!$C:$C,$A67,'NSE - Other Index Options'!$B:$B,F$4,'NSE - Other Index Options'!$I:$I,"Weekly*")+SUMIFS('NSE - Other Index Options'!$M:$M,'NSE - Other Index Options'!$C:$C,$A67,'NSE - Other Index Options'!$B:$B,F$4,'NSE - Other Index Options'!$I:$I,"MDAW*")+SUMIFS('BSE - SENSEX Index Options'!$M:$M,'BSE - SENSEX Index Options'!$C:$C,$A67,'BSE - SENSEX Index Options'!$B:$B,F$4,'BSE - SENSEX Index Options'!$I:$I,"Weekly*")+SUMIFS('BSE - SENSEX Index Options'!$M:$M,'BSE - SENSEX Index Options'!$C:$C,$A67,'BSE - SENSEX Index Options'!$B:$B,F$4,'BSE - SENSEX Index Options'!$I:$I,"MDAW*")+SUMIFS('BSE - Other Index Options'!$M:$M,'BSE - Other Index Options'!$C:$C,$A67,'BSE - Other Index Options'!$B:$B,F$4,'BSE - Other Index Options'!$I:$I,"Weekly*")+SUMIFS('BSE - Other Index Options'!$M:$M,'BSE - Other Index Options'!$C:$C,$A67,'BSE - Other Index Options'!$B:$B,F$4,'BSE - Other Index Options'!$I:$I,"MDAW*"))</f>
        <v/>
      </c>
      <c r="G67" s="26">
        <f>IF(SUMIFS('NSE - NIFTY Index Options'!$M:$M,'NSE - NIFTY Index Options'!$C:$C,$A67,'NSE - NIFTY Index Options'!$B:$B,G$4,'NSE - NIFTY Index Options'!$I:$I,"Weekly*")+SUMIFS('NSE - NIFTY Index Options'!$M:$M,'NSE - NIFTY Index Options'!$C:$C,$A67,'NSE - NIFTY Index Options'!$B:$B,G$4,'NSE - NIFTY Index Options'!$I:$I,"MDAW*")+SUMIFS('NSE - Other Index Options'!$M:$M,'NSE - Other Index Options'!$C:$C,$A67,'NSE - Other Index Options'!$B:$B,G$4,'NSE - Other Index Options'!$I:$I,"Weekly*")+SUMIFS('NSE - Other Index Options'!$M:$M,'NSE - Other Index Options'!$C:$C,$A67,'NSE - Other Index Options'!$B:$B,G$4,'NSE - Other Index Options'!$I:$I,"MDAW*")+SUMIFS('BSE - SENSEX Index Options'!$M:$M,'BSE - SENSEX Index Options'!$C:$C,$A67,'BSE - SENSEX Index Options'!$B:$B,G$4,'BSE - SENSEX Index Options'!$I:$I,"Weekly*")+SUMIFS('BSE - SENSEX Index Options'!$M:$M,'BSE - SENSEX Index Options'!$C:$C,$A67,'BSE - SENSEX Index Options'!$B:$B,G$4,'BSE - SENSEX Index Options'!$I:$I,"MDAW*")+SUMIFS('BSE - Other Index Options'!$M:$M,'BSE - Other Index Options'!$C:$C,$A67,'BSE - Other Index Options'!$B:$B,G$4,'BSE - Other Index Options'!$I:$I,"Weekly*")+SUMIFS('BSE - Other Index Options'!$M:$M,'BSE - Other Index Options'!$C:$C,$A67,'BSE - Other Index Options'!$B:$B,G$4,'BSE - Other Index Options'!$I:$I,"MDAW*")=0,"",SUMIFS('NSE - NIFTY Index Options'!$M:$M,'NSE - NIFTY Index Options'!$C:$C,$A67,'NSE - NIFTY Index Options'!$B:$B,G$4,'NSE - NIFTY Index Options'!$I:$I,"Weekly*")+SUMIFS('NSE - NIFTY Index Options'!$M:$M,'NSE - NIFTY Index Options'!$C:$C,$A67,'NSE - NIFTY Index Options'!$B:$B,G$4,'NSE - NIFTY Index Options'!$I:$I,"MDAW*")+SUMIFS('NSE - Other Index Options'!$M:$M,'NSE - Other Index Options'!$C:$C,$A67,'NSE - Other Index Options'!$B:$B,G$4,'NSE - Other Index Options'!$I:$I,"Weekly*")+SUMIFS('NSE - Other Index Options'!$M:$M,'NSE - Other Index Options'!$C:$C,$A67,'NSE - Other Index Options'!$B:$B,G$4,'NSE - Other Index Options'!$I:$I,"MDAW*")+SUMIFS('BSE - SENSEX Index Options'!$M:$M,'BSE - SENSEX Index Options'!$C:$C,$A67,'BSE - SENSEX Index Options'!$B:$B,G$4,'BSE - SENSEX Index Options'!$I:$I,"Weekly*")+SUMIFS('BSE - SENSEX Index Options'!$M:$M,'BSE - SENSEX Index Options'!$C:$C,$A67,'BSE - SENSEX Index Options'!$B:$B,G$4,'BSE - SENSEX Index Options'!$I:$I,"MDAW*")+SUMIFS('BSE - Other Index Options'!$M:$M,'BSE - Other Index Options'!$C:$C,$A67,'BSE - Other Index Options'!$B:$B,G$4,'BSE - Other Index Options'!$I:$I,"Weekly*")+SUMIFS('BSE - Other Index Options'!$M:$M,'BSE - Other Index Options'!$C:$C,$A67,'BSE - Other Index Options'!$B:$B,G$4,'BSE - Other Index Options'!$I:$I,"MDAW*"))</f>
        <v/>
      </c>
      <c r="H67" s="26">
        <f>IF(SUM(B67:G67)=0,"",SUM(B67:G67))</f>
        <v/>
      </c>
    </row>
    <row r="68" hidden="1" outlineLevel="1">
      <c r="A68" t="inlineStr">
        <is>
          <t>Week5-Sep-2026</t>
        </is>
      </c>
      <c r="B68" s="26">
        <f>IF(SUMIFS('NSE - NIFTY Index Options'!$M:$M,'NSE - NIFTY Index Options'!$C:$C,$A68,'NSE - NIFTY Index Options'!$B:$B,B$4,'NSE - NIFTY Index Options'!$I:$I,"Weekly*")+SUMIFS('NSE - NIFTY Index Options'!$M:$M,'NSE - NIFTY Index Options'!$C:$C,$A68,'NSE - NIFTY Index Options'!$B:$B,B$4,'NSE - NIFTY Index Options'!$I:$I,"MDAW*")+SUMIFS('NSE - Other Index Options'!$M:$M,'NSE - Other Index Options'!$C:$C,$A68,'NSE - Other Index Options'!$B:$B,B$4,'NSE - Other Index Options'!$I:$I,"Weekly*")+SUMIFS('NSE - Other Index Options'!$M:$M,'NSE - Other Index Options'!$C:$C,$A68,'NSE - Other Index Options'!$B:$B,B$4,'NSE - Other Index Options'!$I:$I,"MDAW*")+SUMIFS('BSE - SENSEX Index Options'!$M:$M,'BSE - SENSEX Index Options'!$C:$C,$A68,'BSE - SENSEX Index Options'!$B:$B,B$4,'BSE - SENSEX Index Options'!$I:$I,"Weekly*")+SUMIFS('BSE - SENSEX Index Options'!$M:$M,'BSE - SENSEX Index Options'!$C:$C,$A68,'BSE - SENSEX Index Options'!$B:$B,B$4,'BSE - SENSEX Index Options'!$I:$I,"MDAW*")+SUMIFS('BSE - Other Index Options'!$M:$M,'BSE - Other Index Options'!$C:$C,$A68,'BSE - Other Index Options'!$B:$B,B$4,'BSE - Other Index Options'!$I:$I,"Weekly*")+SUMIFS('BSE - Other Index Options'!$M:$M,'BSE - Other Index Options'!$C:$C,$A68,'BSE - Other Index Options'!$B:$B,B$4,'BSE - Other Index Options'!$I:$I,"MDAW*")=0,"",SUMIFS('NSE - NIFTY Index Options'!$M:$M,'NSE - NIFTY Index Options'!$C:$C,$A68,'NSE - NIFTY Index Options'!$B:$B,B$4,'NSE - NIFTY Index Options'!$I:$I,"Weekly*")+SUMIFS('NSE - NIFTY Index Options'!$M:$M,'NSE - NIFTY Index Options'!$C:$C,$A68,'NSE - NIFTY Index Options'!$B:$B,B$4,'NSE - NIFTY Index Options'!$I:$I,"MDAW*")+SUMIFS('NSE - Other Index Options'!$M:$M,'NSE - Other Index Options'!$C:$C,$A68,'NSE - Other Index Options'!$B:$B,B$4,'NSE - Other Index Options'!$I:$I,"Weekly*")+SUMIFS('NSE - Other Index Options'!$M:$M,'NSE - Other Index Options'!$C:$C,$A68,'NSE - Other Index Options'!$B:$B,B$4,'NSE - Other Index Options'!$I:$I,"MDAW*")+SUMIFS('BSE - SENSEX Index Options'!$M:$M,'BSE - SENSEX Index Options'!$C:$C,$A68,'BSE - SENSEX Index Options'!$B:$B,B$4,'BSE - SENSEX Index Options'!$I:$I,"Weekly*")+SUMIFS('BSE - SENSEX Index Options'!$M:$M,'BSE - SENSEX Index Options'!$C:$C,$A68,'BSE - SENSEX Index Options'!$B:$B,B$4,'BSE - SENSEX Index Options'!$I:$I,"MDAW*")+SUMIFS('BSE - Other Index Options'!$M:$M,'BSE - Other Index Options'!$C:$C,$A68,'BSE - Other Index Options'!$B:$B,B$4,'BSE - Other Index Options'!$I:$I,"Weekly*")+SUMIFS('BSE - Other Index Options'!$M:$M,'BSE - Other Index Options'!$C:$C,$A68,'BSE - Other Index Options'!$B:$B,B$4,'BSE - Other Index Options'!$I:$I,"MDAW*"))</f>
        <v/>
      </c>
      <c r="C68" s="26">
        <f>IF(SUMIFS('NSE - NIFTY Index Options'!$M:$M,'NSE - NIFTY Index Options'!$C:$C,$A68,'NSE - NIFTY Index Options'!$B:$B,C$4,'NSE - NIFTY Index Options'!$I:$I,"Weekly*")+SUMIFS('NSE - NIFTY Index Options'!$M:$M,'NSE - NIFTY Index Options'!$C:$C,$A68,'NSE - NIFTY Index Options'!$B:$B,C$4,'NSE - NIFTY Index Options'!$I:$I,"MDAW*")+SUMIFS('NSE - Other Index Options'!$M:$M,'NSE - Other Index Options'!$C:$C,$A68,'NSE - Other Index Options'!$B:$B,C$4,'NSE - Other Index Options'!$I:$I,"Weekly*")+SUMIFS('NSE - Other Index Options'!$M:$M,'NSE - Other Index Options'!$C:$C,$A68,'NSE - Other Index Options'!$B:$B,C$4,'NSE - Other Index Options'!$I:$I,"MDAW*")+SUMIFS('BSE - SENSEX Index Options'!$M:$M,'BSE - SENSEX Index Options'!$C:$C,$A68,'BSE - SENSEX Index Options'!$B:$B,C$4,'BSE - SENSEX Index Options'!$I:$I,"Weekly*")+SUMIFS('BSE - SENSEX Index Options'!$M:$M,'BSE - SENSEX Index Options'!$C:$C,$A68,'BSE - SENSEX Index Options'!$B:$B,C$4,'BSE - SENSEX Index Options'!$I:$I,"MDAW*")+SUMIFS('BSE - Other Index Options'!$M:$M,'BSE - Other Index Options'!$C:$C,$A68,'BSE - Other Index Options'!$B:$B,C$4,'BSE - Other Index Options'!$I:$I,"Weekly*")+SUMIFS('BSE - Other Index Options'!$M:$M,'BSE - Other Index Options'!$C:$C,$A68,'BSE - Other Index Options'!$B:$B,C$4,'BSE - Other Index Options'!$I:$I,"MDAW*")=0,"",SUMIFS('NSE - NIFTY Index Options'!$M:$M,'NSE - NIFTY Index Options'!$C:$C,$A68,'NSE - NIFTY Index Options'!$B:$B,C$4,'NSE - NIFTY Index Options'!$I:$I,"Weekly*")+SUMIFS('NSE - NIFTY Index Options'!$M:$M,'NSE - NIFTY Index Options'!$C:$C,$A68,'NSE - NIFTY Index Options'!$B:$B,C$4,'NSE - NIFTY Index Options'!$I:$I,"MDAW*")+SUMIFS('NSE - Other Index Options'!$M:$M,'NSE - Other Index Options'!$C:$C,$A68,'NSE - Other Index Options'!$B:$B,C$4,'NSE - Other Index Options'!$I:$I,"Weekly*")+SUMIFS('NSE - Other Index Options'!$M:$M,'NSE - Other Index Options'!$C:$C,$A68,'NSE - Other Index Options'!$B:$B,C$4,'NSE - Other Index Options'!$I:$I,"MDAW*")+SUMIFS('BSE - SENSEX Index Options'!$M:$M,'BSE - SENSEX Index Options'!$C:$C,$A68,'BSE - SENSEX Index Options'!$B:$B,C$4,'BSE - SENSEX Index Options'!$I:$I,"Weekly*")+SUMIFS('BSE - SENSEX Index Options'!$M:$M,'BSE - SENSEX Index Options'!$C:$C,$A68,'BSE - SENSEX Index Options'!$B:$B,C$4,'BSE - SENSEX Index Options'!$I:$I,"MDAW*")+SUMIFS('BSE - Other Index Options'!$M:$M,'BSE - Other Index Options'!$C:$C,$A68,'BSE - Other Index Options'!$B:$B,C$4,'BSE - Other Index Options'!$I:$I,"Weekly*")+SUMIFS('BSE - Other Index Options'!$M:$M,'BSE - Other Index Options'!$C:$C,$A68,'BSE - Other Index Options'!$B:$B,C$4,'BSE - Other Index Options'!$I:$I,"MDAW*"))</f>
        <v/>
      </c>
      <c r="D68" s="26">
        <f>IF(SUMIFS('NSE - NIFTY Index Options'!$M:$M,'NSE - NIFTY Index Options'!$C:$C,$A68,'NSE - NIFTY Index Options'!$B:$B,D$4,'NSE - NIFTY Index Options'!$I:$I,"Weekly*")+SUMIFS('NSE - NIFTY Index Options'!$M:$M,'NSE - NIFTY Index Options'!$C:$C,$A68,'NSE - NIFTY Index Options'!$B:$B,D$4,'NSE - NIFTY Index Options'!$I:$I,"MDAW*")+SUMIFS('NSE - Other Index Options'!$M:$M,'NSE - Other Index Options'!$C:$C,$A68,'NSE - Other Index Options'!$B:$B,D$4,'NSE - Other Index Options'!$I:$I,"Weekly*")+SUMIFS('NSE - Other Index Options'!$M:$M,'NSE - Other Index Options'!$C:$C,$A68,'NSE - Other Index Options'!$B:$B,D$4,'NSE - Other Index Options'!$I:$I,"MDAW*")+SUMIFS('BSE - SENSEX Index Options'!$M:$M,'BSE - SENSEX Index Options'!$C:$C,$A68,'BSE - SENSEX Index Options'!$B:$B,D$4,'BSE - SENSEX Index Options'!$I:$I,"Weekly*")+SUMIFS('BSE - SENSEX Index Options'!$M:$M,'BSE - SENSEX Index Options'!$C:$C,$A68,'BSE - SENSEX Index Options'!$B:$B,D$4,'BSE - SENSEX Index Options'!$I:$I,"MDAW*")+SUMIFS('BSE - Other Index Options'!$M:$M,'BSE - Other Index Options'!$C:$C,$A68,'BSE - Other Index Options'!$B:$B,D$4,'BSE - Other Index Options'!$I:$I,"Weekly*")+SUMIFS('BSE - Other Index Options'!$M:$M,'BSE - Other Index Options'!$C:$C,$A68,'BSE - Other Index Options'!$B:$B,D$4,'BSE - Other Index Options'!$I:$I,"MDAW*")=0,"",SUMIFS('NSE - NIFTY Index Options'!$M:$M,'NSE - NIFTY Index Options'!$C:$C,$A68,'NSE - NIFTY Index Options'!$B:$B,D$4,'NSE - NIFTY Index Options'!$I:$I,"Weekly*")+SUMIFS('NSE - NIFTY Index Options'!$M:$M,'NSE - NIFTY Index Options'!$C:$C,$A68,'NSE - NIFTY Index Options'!$B:$B,D$4,'NSE - NIFTY Index Options'!$I:$I,"MDAW*")+SUMIFS('NSE - Other Index Options'!$M:$M,'NSE - Other Index Options'!$C:$C,$A68,'NSE - Other Index Options'!$B:$B,D$4,'NSE - Other Index Options'!$I:$I,"Weekly*")+SUMIFS('NSE - Other Index Options'!$M:$M,'NSE - Other Index Options'!$C:$C,$A68,'NSE - Other Index Options'!$B:$B,D$4,'NSE - Other Index Options'!$I:$I,"MDAW*")+SUMIFS('BSE - SENSEX Index Options'!$M:$M,'BSE - SENSEX Index Options'!$C:$C,$A68,'BSE - SENSEX Index Options'!$B:$B,D$4,'BSE - SENSEX Index Options'!$I:$I,"Weekly*")+SUMIFS('BSE - SENSEX Index Options'!$M:$M,'BSE - SENSEX Index Options'!$C:$C,$A68,'BSE - SENSEX Index Options'!$B:$B,D$4,'BSE - SENSEX Index Options'!$I:$I,"MDAW*")+SUMIFS('BSE - Other Index Options'!$M:$M,'BSE - Other Index Options'!$C:$C,$A68,'BSE - Other Index Options'!$B:$B,D$4,'BSE - Other Index Options'!$I:$I,"Weekly*")+SUMIFS('BSE - Other Index Options'!$M:$M,'BSE - Other Index Options'!$C:$C,$A68,'BSE - Other Index Options'!$B:$B,D$4,'BSE - Other Index Options'!$I:$I,"MDAW*"))</f>
        <v/>
      </c>
      <c r="E68" s="26">
        <f>IF(SUMIFS('NSE - NIFTY Index Options'!$M:$M,'NSE - NIFTY Index Options'!$C:$C,$A68,'NSE - NIFTY Index Options'!$B:$B,E$4,'NSE - NIFTY Index Options'!$I:$I,"Weekly*")+SUMIFS('NSE - NIFTY Index Options'!$M:$M,'NSE - NIFTY Index Options'!$C:$C,$A68,'NSE - NIFTY Index Options'!$B:$B,E$4,'NSE - NIFTY Index Options'!$I:$I,"MDAW*")+SUMIFS('NSE - Other Index Options'!$M:$M,'NSE - Other Index Options'!$C:$C,$A68,'NSE - Other Index Options'!$B:$B,E$4,'NSE - Other Index Options'!$I:$I,"Weekly*")+SUMIFS('NSE - Other Index Options'!$M:$M,'NSE - Other Index Options'!$C:$C,$A68,'NSE - Other Index Options'!$B:$B,E$4,'NSE - Other Index Options'!$I:$I,"MDAW*")+SUMIFS('BSE - SENSEX Index Options'!$M:$M,'BSE - SENSEX Index Options'!$C:$C,$A68,'BSE - SENSEX Index Options'!$B:$B,E$4,'BSE - SENSEX Index Options'!$I:$I,"Weekly*")+SUMIFS('BSE - SENSEX Index Options'!$M:$M,'BSE - SENSEX Index Options'!$C:$C,$A68,'BSE - SENSEX Index Options'!$B:$B,E$4,'BSE - SENSEX Index Options'!$I:$I,"MDAW*")+SUMIFS('BSE - Other Index Options'!$M:$M,'BSE - Other Index Options'!$C:$C,$A68,'BSE - Other Index Options'!$B:$B,E$4,'BSE - Other Index Options'!$I:$I,"Weekly*")+SUMIFS('BSE - Other Index Options'!$M:$M,'BSE - Other Index Options'!$C:$C,$A68,'BSE - Other Index Options'!$B:$B,E$4,'BSE - Other Index Options'!$I:$I,"MDAW*")=0,"",SUMIFS('NSE - NIFTY Index Options'!$M:$M,'NSE - NIFTY Index Options'!$C:$C,$A68,'NSE - NIFTY Index Options'!$B:$B,E$4,'NSE - NIFTY Index Options'!$I:$I,"Weekly*")+SUMIFS('NSE - NIFTY Index Options'!$M:$M,'NSE - NIFTY Index Options'!$C:$C,$A68,'NSE - NIFTY Index Options'!$B:$B,E$4,'NSE - NIFTY Index Options'!$I:$I,"MDAW*")+SUMIFS('NSE - Other Index Options'!$M:$M,'NSE - Other Index Options'!$C:$C,$A68,'NSE - Other Index Options'!$B:$B,E$4,'NSE - Other Index Options'!$I:$I,"Weekly*")+SUMIFS('NSE - Other Index Options'!$M:$M,'NSE - Other Index Options'!$C:$C,$A68,'NSE - Other Index Options'!$B:$B,E$4,'NSE - Other Index Options'!$I:$I,"MDAW*")+SUMIFS('BSE - SENSEX Index Options'!$M:$M,'BSE - SENSEX Index Options'!$C:$C,$A68,'BSE - SENSEX Index Options'!$B:$B,E$4,'BSE - SENSEX Index Options'!$I:$I,"Weekly*")+SUMIFS('BSE - SENSEX Index Options'!$M:$M,'BSE - SENSEX Index Options'!$C:$C,$A68,'BSE - SENSEX Index Options'!$B:$B,E$4,'BSE - SENSEX Index Options'!$I:$I,"MDAW*")+SUMIFS('BSE - Other Index Options'!$M:$M,'BSE - Other Index Options'!$C:$C,$A68,'BSE - Other Index Options'!$B:$B,E$4,'BSE - Other Index Options'!$I:$I,"Weekly*")+SUMIFS('BSE - Other Index Options'!$M:$M,'BSE - Other Index Options'!$C:$C,$A68,'BSE - Other Index Options'!$B:$B,E$4,'BSE - Other Index Options'!$I:$I,"MDAW*"))</f>
        <v/>
      </c>
      <c r="F68" s="26">
        <f>IF(SUMIFS('NSE - NIFTY Index Options'!$M:$M,'NSE - NIFTY Index Options'!$C:$C,$A68,'NSE - NIFTY Index Options'!$B:$B,F$4,'NSE - NIFTY Index Options'!$I:$I,"Weekly*")+SUMIFS('NSE - NIFTY Index Options'!$M:$M,'NSE - NIFTY Index Options'!$C:$C,$A68,'NSE - NIFTY Index Options'!$B:$B,F$4,'NSE - NIFTY Index Options'!$I:$I,"MDAW*")+SUMIFS('NSE - Other Index Options'!$M:$M,'NSE - Other Index Options'!$C:$C,$A68,'NSE - Other Index Options'!$B:$B,F$4,'NSE - Other Index Options'!$I:$I,"Weekly*")+SUMIFS('NSE - Other Index Options'!$M:$M,'NSE - Other Index Options'!$C:$C,$A68,'NSE - Other Index Options'!$B:$B,F$4,'NSE - Other Index Options'!$I:$I,"MDAW*")+SUMIFS('BSE - SENSEX Index Options'!$M:$M,'BSE - SENSEX Index Options'!$C:$C,$A68,'BSE - SENSEX Index Options'!$B:$B,F$4,'BSE - SENSEX Index Options'!$I:$I,"Weekly*")+SUMIFS('BSE - SENSEX Index Options'!$M:$M,'BSE - SENSEX Index Options'!$C:$C,$A68,'BSE - SENSEX Index Options'!$B:$B,F$4,'BSE - SENSEX Index Options'!$I:$I,"MDAW*")+SUMIFS('BSE - Other Index Options'!$M:$M,'BSE - Other Index Options'!$C:$C,$A68,'BSE - Other Index Options'!$B:$B,F$4,'BSE - Other Index Options'!$I:$I,"Weekly*")+SUMIFS('BSE - Other Index Options'!$M:$M,'BSE - Other Index Options'!$C:$C,$A68,'BSE - Other Index Options'!$B:$B,F$4,'BSE - Other Index Options'!$I:$I,"MDAW*")=0,"",SUMIFS('NSE - NIFTY Index Options'!$M:$M,'NSE - NIFTY Index Options'!$C:$C,$A68,'NSE - NIFTY Index Options'!$B:$B,F$4,'NSE - NIFTY Index Options'!$I:$I,"Weekly*")+SUMIFS('NSE - NIFTY Index Options'!$M:$M,'NSE - NIFTY Index Options'!$C:$C,$A68,'NSE - NIFTY Index Options'!$B:$B,F$4,'NSE - NIFTY Index Options'!$I:$I,"MDAW*")+SUMIFS('NSE - Other Index Options'!$M:$M,'NSE - Other Index Options'!$C:$C,$A68,'NSE - Other Index Options'!$B:$B,F$4,'NSE - Other Index Options'!$I:$I,"Weekly*")+SUMIFS('NSE - Other Index Options'!$M:$M,'NSE - Other Index Options'!$C:$C,$A68,'NSE - Other Index Options'!$B:$B,F$4,'NSE - Other Index Options'!$I:$I,"MDAW*")+SUMIFS('BSE - SENSEX Index Options'!$M:$M,'BSE - SENSEX Index Options'!$C:$C,$A68,'BSE - SENSEX Index Options'!$B:$B,F$4,'BSE - SENSEX Index Options'!$I:$I,"Weekly*")+SUMIFS('BSE - SENSEX Index Options'!$M:$M,'BSE - SENSEX Index Options'!$C:$C,$A68,'BSE - SENSEX Index Options'!$B:$B,F$4,'BSE - SENSEX Index Options'!$I:$I,"MDAW*")+SUMIFS('BSE - Other Index Options'!$M:$M,'BSE - Other Index Options'!$C:$C,$A68,'BSE - Other Index Options'!$B:$B,F$4,'BSE - Other Index Options'!$I:$I,"Weekly*")+SUMIFS('BSE - Other Index Options'!$M:$M,'BSE - Other Index Options'!$C:$C,$A68,'BSE - Other Index Options'!$B:$B,F$4,'BSE - Other Index Options'!$I:$I,"MDAW*"))</f>
        <v/>
      </c>
      <c r="G68" s="26">
        <f>IF(SUMIFS('NSE - NIFTY Index Options'!$M:$M,'NSE - NIFTY Index Options'!$C:$C,$A68,'NSE - NIFTY Index Options'!$B:$B,G$4,'NSE - NIFTY Index Options'!$I:$I,"Weekly*")+SUMIFS('NSE - NIFTY Index Options'!$M:$M,'NSE - NIFTY Index Options'!$C:$C,$A68,'NSE - NIFTY Index Options'!$B:$B,G$4,'NSE - NIFTY Index Options'!$I:$I,"MDAW*")+SUMIFS('NSE - Other Index Options'!$M:$M,'NSE - Other Index Options'!$C:$C,$A68,'NSE - Other Index Options'!$B:$B,G$4,'NSE - Other Index Options'!$I:$I,"Weekly*")+SUMIFS('NSE - Other Index Options'!$M:$M,'NSE - Other Index Options'!$C:$C,$A68,'NSE - Other Index Options'!$B:$B,G$4,'NSE - Other Index Options'!$I:$I,"MDAW*")+SUMIFS('BSE - SENSEX Index Options'!$M:$M,'BSE - SENSEX Index Options'!$C:$C,$A68,'BSE - SENSEX Index Options'!$B:$B,G$4,'BSE - SENSEX Index Options'!$I:$I,"Weekly*")+SUMIFS('BSE - SENSEX Index Options'!$M:$M,'BSE - SENSEX Index Options'!$C:$C,$A68,'BSE - SENSEX Index Options'!$B:$B,G$4,'BSE - SENSEX Index Options'!$I:$I,"MDAW*")+SUMIFS('BSE - Other Index Options'!$M:$M,'BSE - Other Index Options'!$C:$C,$A68,'BSE - Other Index Options'!$B:$B,G$4,'BSE - Other Index Options'!$I:$I,"Weekly*")+SUMIFS('BSE - Other Index Options'!$M:$M,'BSE - Other Index Options'!$C:$C,$A68,'BSE - Other Index Options'!$B:$B,G$4,'BSE - Other Index Options'!$I:$I,"MDAW*")=0,"",SUMIFS('NSE - NIFTY Index Options'!$M:$M,'NSE - NIFTY Index Options'!$C:$C,$A68,'NSE - NIFTY Index Options'!$B:$B,G$4,'NSE - NIFTY Index Options'!$I:$I,"Weekly*")+SUMIFS('NSE - NIFTY Index Options'!$M:$M,'NSE - NIFTY Index Options'!$C:$C,$A68,'NSE - NIFTY Index Options'!$B:$B,G$4,'NSE - NIFTY Index Options'!$I:$I,"MDAW*")+SUMIFS('NSE - Other Index Options'!$M:$M,'NSE - Other Index Options'!$C:$C,$A68,'NSE - Other Index Options'!$B:$B,G$4,'NSE - Other Index Options'!$I:$I,"Weekly*")+SUMIFS('NSE - Other Index Options'!$M:$M,'NSE - Other Index Options'!$C:$C,$A68,'NSE - Other Index Options'!$B:$B,G$4,'NSE - Other Index Options'!$I:$I,"MDAW*")+SUMIFS('BSE - SENSEX Index Options'!$M:$M,'BSE - SENSEX Index Options'!$C:$C,$A68,'BSE - SENSEX Index Options'!$B:$B,G$4,'BSE - SENSEX Index Options'!$I:$I,"Weekly*")+SUMIFS('BSE - SENSEX Index Options'!$M:$M,'BSE - SENSEX Index Options'!$C:$C,$A68,'BSE - SENSEX Index Options'!$B:$B,G$4,'BSE - SENSEX Index Options'!$I:$I,"MDAW*")+SUMIFS('BSE - Other Index Options'!$M:$M,'BSE - Other Index Options'!$C:$C,$A68,'BSE - Other Index Options'!$B:$B,G$4,'BSE - Other Index Options'!$I:$I,"Weekly*")+SUMIFS('BSE - Other Index Options'!$M:$M,'BSE - Other Index Options'!$C:$C,$A68,'BSE - Other Index Options'!$B:$B,G$4,'BSE - Other Index Options'!$I:$I,"MDAW*"))</f>
        <v/>
      </c>
      <c r="H68" s="26">
        <f>IF(SUM(B68:G68)=0,"",SUM(B68:G68))</f>
        <v/>
      </c>
    </row>
    <row r="69" hidden="1" outlineLevel="1">
      <c r="A69" t="inlineStr">
        <is>
          <t>Week1-Oct-2026</t>
        </is>
      </c>
      <c r="B69" s="26">
        <f>IF(SUMIFS('NSE - NIFTY Index Options'!$M:$M,'NSE - NIFTY Index Options'!$C:$C,$A69,'NSE - NIFTY Index Options'!$B:$B,B$4,'NSE - NIFTY Index Options'!$I:$I,"Weekly*")+SUMIFS('NSE - NIFTY Index Options'!$M:$M,'NSE - NIFTY Index Options'!$C:$C,$A69,'NSE - NIFTY Index Options'!$B:$B,B$4,'NSE - NIFTY Index Options'!$I:$I,"MDAW*")+SUMIFS('NSE - Other Index Options'!$M:$M,'NSE - Other Index Options'!$C:$C,$A69,'NSE - Other Index Options'!$B:$B,B$4,'NSE - Other Index Options'!$I:$I,"Weekly*")+SUMIFS('NSE - Other Index Options'!$M:$M,'NSE - Other Index Options'!$C:$C,$A69,'NSE - Other Index Options'!$B:$B,B$4,'NSE - Other Index Options'!$I:$I,"MDAW*")+SUMIFS('BSE - SENSEX Index Options'!$M:$M,'BSE - SENSEX Index Options'!$C:$C,$A69,'BSE - SENSEX Index Options'!$B:$B,B$4,'BSE - SENSEX Index Options'!$I:$I,"Weekly*")+SUMIFS('BSE - SENSEX Index Options'!$M:$M,'BSE - SENSEX Index Options'!$C:$C,$A69,'BSE - SENSEX Index Options'!$B:$B,B$4,'BSE - SENSEX Index Options'!$I:$I,"MDAW*")+SUMIFS('BSE - Other Index Options'!$M:$M,'BSE - Other Index Options'!$C:$C,$A69,'BSE - Other Index Options'!$B:$B,B$4,'BSE - Other Index Options'!$I:$I,"Weekly*")+SUMIFS('BSE - Other Index Options'!$M:$M,'BSE - Other Index Options'!$C:$C,$A69,'BSE - Other Index Options'!$B:$B,B$4,'BSE - Other Index Options'!$I:$I,"MDAW*")=0,"",SUMIFS('NSE - NIFTY Index Options'!$M:$M,'NSE - NIFTY Index Options'!$C:$C,$A69,'NSE - NIFTY Index Options'!$B:$B,B$4,'NSE - NIFTY Index Options'!$I:$I,"Weekly*")+SUMIFS('NSE - NIFTY Index Options'!$M:$M,'NSE - NIFTY Index Options'!$C:$C,$A69,'NSE - NIFTY Index Options'!$B:$B,B$4,'NSE - NIFTY Index Options'!$I:$I,"MDAW*")+SUMIFS('NSE - Other Index Options'!$M:$M,'NSE - Other Index Options'!$C:$C,$A69,'NSE - Other Index Options'!$B:$B,B$4,'NSE - Other Index Options'!$I:$I,"Weekly*")+SUMIFS('NSE - Other Index Options'!$M:$M,'NSE - Other Index Options'!$C:$C,$A69,'NSE - Other Index Options'!$B:$B,B$4,'NSE - Other Index Options'!$I:$I,"MDAW*")+SUMIFS('BSE - SENSEX Index Options'!$M:$M,'BSE - SENSEX Index Options'!$C:$C,$A69,'BSE - SENSEX Index Options'!$B:$B,B$4,'BSE - SENSEX Index Options'!$I:$I,"Weekly*")+SUMIFS('BSE - SENSEX Index Options'!$M:$M,'BSE - SENSEX Index Options'!$C:$C,$A69,'BSE - SENSEX Index Options'!$B:$B,B$4,'BSE - SENSEX Index Options'!$I:$I,"MDAW*")+SUMIFS('BSE - Other Index Options'!$M:$M,'BSE - Other Index Options'!$C:$C,$A69,'BSE - Other Index Options'!$B:$B,B$4,'BSE - Other Index Options'!$I:$I,"Weekly*")+SUMIFS('BSE - Other Index Options'!$M:$M,'BSE - Other Index Options'!$C:$C,$A69,'BSE - Other Index Options'!$B:$B,B$4,'BSE - Other Index Options'!$I:$I,"MDAW*"))</f>
        <v/>
      </c>
      <c r="C69" s="26">
        <f>IF(SUMIFS('NSE - NIFTY Index Options'!$M:$M,'NSE - NIFTY Index Options'!$C:$C,$A69,'NSE - NIFTY Index Options'!$B:$B,C$4,'NSE - NIFTY Index Options'!$I:$I,"Weekly*")+SUMIFS('NSE - NIFTY Index Options'!$M:$M,'NSE - NIFTY Index Options'!$C:$C,$A69,'NSE - NIFTY Index Options'!$B:$B,C$4,'NSE - NIFTY Index Options'!$I:$I,"MDAW*")+SUMIFS('NSE - Other Index Options'!$M:$M,'NSE - Other Index Options'!$C:$C,$A69,'NSE - Other Index Options'!$B:$B,C$4,'NSE - Other Index Options'!$I:$I,"Weekly*")+SUMIFS('NSE - Other Index Options'!$M:$M,'NSE - Other Index Options'!$C:$C,$A69,'NSE - Other Index Options'!$B:$B,C$4,'NSE - Other Index Options'!$I:$I,"MDAW*")+SUMIFS('BSE - SENSEX Index Options'!$M:$M,'BSE - SENSEX Index Options'!$C:$C,$A69,'BSE - SENSEX Index Options'!$B:$B,C$4,'BSE - SENSEX Index Options'!$I:$I,"Weekly*")+SUMIFS('BSE - SENSEX Index Options'!$M:$M,'BSE - SENSEX Index Options'!$C:$C,$A69,'BSE - SENSEX Index Options'!$B:$B,C$4,'BSE - SENSEX Index Options'!$I:$I,"MDAW*")+SUMIFS('BSE - Other Index Options'!$M:$M,'BSE - Other Index Options'!$C:$C,$A69,'BSE - Other Index Options'!$B:$B,C$4,'BSE - Other Index Options'!$I:$I,"Weekly*")+SUMIFS('BSE - Other Index Options'!$M:$M,'BSE - Other Index Options'!$C:$C,$A69,'BSE - Other Index Options'!$B:$B,C$4,'BSE - Other Index Options'!$I:$I,"MDAW*")=0,"",SUMIFS('NSE - NIFTY Index Options'!$M:$M,'NSE - NIFTY Index Options'!$C:$C,$A69,'NSE - NIFTY Index Options'!$B:$B,C$4,'NSE - NIFTY Index Options'!$I:$I,"Weekly*")+SUMIFS('NSE - NIFTY Index Options'!$M:$M,'NSE - NIFTY Index Options'!$C:$C,$A69,'NSE - NIFTY Index Options'!$B:$B,C$4,'NSE - NIFTY Index Options'!$I:$I,"MDAW*")+SUMIFS('NSE - Other Index Options'!$M:$M,'NSE - Other Index Options'!$C:$C,$A69,'NSE - Other Index Options'!$B:$B,C$4,'NSE - Other Index Options'!$I:$I,"Weekly*")+SUMIFS('NSE - Other Index Options'!$M:$M,'NSE - Other Index Options'!$C:$C,$A69,'NSE - Other Index Options'!$B:$B,C$4,'NSE - Other Index Options'!$I:$I,"MDAW*")+SUMIFS('BSE - SENSEX Index Options'!$M:$M,'BSE - SENSEX Index Options'!$C:$C,$A69,'BSE - SENSEX Index Options'!$B:$B,C$4,'BSE - SENSEX Index Options'!$I:$I,"Weekly*")+SUMIFS('BSE - SENSEX Index Options'!$M:$M,'BSE - SENSEX Index Options'!$C:$C,$A69,'BSE - SENSEX Index Options'!$B:$B,C$4,'BSE - SENSEX Index Options'!$I:$I,"MDAW*")+SUMIFS('BSE - Other Index Options'!$M:$M,'BSE - Other Index Options'!$C:$C,$A69,'BSE - Other Index Options'!$B:$B,C$4,'BSE - Other Index Options'!$I:$I,"Weekly*")+SUMIFS('BSE - Other Index Options'!$M:$M,'BSE - Other Index Options'!$C:$C,$A69,'BSE - Other Index Options'!$B:$B,C$4,'BSE - Other Index Options'!$I:$I,"MDAW*"))</f>
        <v/>
      </c>
      <c r="D69" s="26">
        <f>IF(SUMIFS('NSE - NIFTY Index Options'!$M:$M,'NSE - NIFTY Index Options'!$C:$C,$A69,'NSE - NIFTY Index Options'!$B:$B,D$4,'NSE - NIFTY Index Options'!$I:$I,"Weekly*")+SUMIFS('NSE - NIFTY Index Options'!$M:$M,'NSE - NIFTY Index Options'!$C:$C,$A69,'NSE - NIFTY Index Options'!$B:$B,D$4,'NSE - NIFTY Index Options'!$I:$I,"MDAW*")+SUMIFS('NSE - Other Index Options'!$M:$M,'NSE - Other Index Options'!$C:$C,$A69,'NSE - Other Index Options'!$B:$B,D$4,'NSE - Other Index Options'!$I:$I,"Weekly*")+SUMIFS('NSE - Other Index Options'!$M:$M,'NSE - Other Index Options'!$C:$C,$A69,'NSE - Other Index Options'!$B:$B,D$4,'NSE - Other Index Options'!$I:$I,"MDAW*")+SUMIFS('BSE - SENSEX Index Options'!$M:$M,'BSE - SENSEX Index Options'!$C:$C,$A69,'BSE - SENSEX Index Options'!$B:$B,D$4,'BSE - SENSEX Index Options'!$I:$I,"Weekly*")+SUMIFS('BSE - SENSEX Index Options'!$M:$M,'BSE - SENSEX Index Options'!$C:$C,$A69,'BSE - SENSEX Index Options'!$B:$B,D$4,'BSE - SENSEX Index Options'!$I:$I,"MDAW*")+SUMIFS('BSE - Other Index Options'!$M:$M,'BSE - Other Index Options'!$C:$C,$A69,'BSE - Other Index Options'!$B:$B,D$4,'BSE - Other Index Options'!$I:$I,"Weekly*")+SUMIFS('BSE - Other Index Options'!$M:$M,'BSE - Other Index Options'!$C:$C,$A69,'BSE - Other Index Options'!$B:$B,D$4,'BSE - Other Index Options'!$I:$I,"MDAW*")=0,"",SUMIFS('NSE - NIFTY Index Options'!$M:$M,'NSE - NIFTY Index Options'!$C:$C,$A69,'NSE - NIFTY Index Options'!$B:$B,D$4,'NSE - NIFTY Index Options'!$I:$I,"Weekly*")+SUMIFS('NSE - NIFTY Index Options'!$M:$M,'NSE - NIFTY Index Options'!$C:$C,$A69,'NSE - NIFTY Index Options'!$B:$B,D$4,'NSE - NIFTY Index Options'!$I:$I,"MDAW*")+SUMIFS('NSE - Other Index Options'!$M:$M,'NSE - Other Index Options'!$C:$C,$A69,'NSE - Other Index Options'!$B:$B,D$4,'NSE - Other Index Options'!$I:$I,"Weekly*")+SUMIFS('NSE - Other Index Options'!$M:$M,'NSE - Other Index Options'!$C:$C,$A69,'NSE - Other Index Options'!$B:$B,D$4,'NSE - Other Index Options'!$I:$I,"MDAW*")+SUMIFS('BSE - SENSEX Index Options'!$M:$M,'BSE - SENSEX Index Options'!$C:$C,$A69,'BSE - SENSEX Index Options'!$B:$B,D$4,'BSE - SENSEX Index Options'!$I:$I,"Weekly*")+SUMIFS('BSE - SENSEX Index Options'!$M:$M,'BSE - SENSEX Index Options'!$C:$C,$A69,'BSE - SENSEX Index Options'!$B:$B,D$4,'BSE - SENSEX Index Options'!$I:$I,"MDAW*")+SUMIFS('BSE - Other Index Options'!$M:$M,'BSE - Other Index Options'!$C:$C,$A69,'BSE - Other Index Options'!$B:$B,D$4,'BSE - Other Index Options'!$I:$I,"Weekly*")+SUMIFS('BSE - Other Index Options'!$M:$M,'BSE - Other Index Options'!$C:$C,$A69,'BSE - Other Index Options'!$B:$B,D$4,'BSE - Other Index Options'!$I:$I,"MDAW*"))</f>
        <v/>
      </c>
      <c r="E69" s="26">
        <f>IF(SUMIFS('NSE - NIFTY Index Options'!$M:$M,'NSE - NIFTY Index Options'!$C:$C,$A69,'NSE - NIFTY Index Options'!$B:$B,E$4,'NSE - NIFTY Index Options'!$I:$I,"Weekly*")+SUMIFS('NSE - NIFTY Index Options'!$M:$M,'NSE - NIFTY Index Options'!$C:$C,$A69,'NSE - NIFTY Index Options'!$B:$B,E$4,'NSE - NIFTY Index Options'!$I:$I,"MDAW*")+SUMIFS('NSE - Other Index Options'!$M:$M,'NSE - Other Index Options'!$C:$C,$A69,'NSE - Other Index Options'!$B:$B,E$4,'NSE - Other Index Options'!$I:$I,"Weekly*")+SUMIFS('NSE - Other Index Options'!$M:$M,'NSE - Other Index Options'!$C:$C,$A69,'NSE - Other Index Options'!$B:$B,E$4,'NSE - Other Index Options'!$I:$I,"MDAW*")+SUMIFS('BSE - SENSEX Index Options'!$M:$M,'BSE - SENSEX Index Options'!$C:$C,$A69,'BSE - SENSEX Index Options'!$B:$B,E$4,'BSE - SENSEX Index Options'!$I:$I,"Weekly*")+SUMIFS('BSE - SENSEX Index Options'!$M:$M,'BSE - SENSEX Index Options'!$C:$C,$A69,'BSE - SENSEX Index Options'!$B:$B,E$4,'BSE - SENSEX Index Options'!$I:$I,"MDAW*")+SUMIFS('BSE - Other Index Options'!$M:$M,'BSE - Other Index Options'!$C:$C,$A69,'BSE - Other Index Options'!$B:$B,E$4,'BSE - Other Index Options'!$I:$I,"Weekly*")+SUMIFS('BSE - Other Index Options'!$M:$M,'BSE - Other Index Options'!$C:$C,$A69,'BSE - Other Index Options'!$B:$B,E$4,'BSE - Other Index Options'!$I:$I,"MDAW*")=0,"",SUMIFS('NSE - NIFTY Index Options'!$M:$M,'NSE - NIFTY Index Options'!$C:$C,$A69,'NSE - NIFTY Index Options'!$B:$B,E$4,'NSE - NIFTY Index Options'!$I:$I,"Weekly*")+SUMIFS('NSE - NIFTY Index Options'!$M:$M,'NSE - NIFTY Index Options'!$C:$C,$A69,'NSE - NIFTY Index Options'!$B:$B,E$4,'NSE - NIFTY Index Options'!$I:$I,"MDAW*")+SUMIFS('NSE - Other Index Options'!$M:$M,'NSE - Other Index Options'!$C:$C,$A69,'NSE - Other Index Options'!$B:$B,E$4,'NSE - Other Index Options'!$I:$I,"Weekly*")+SUMIFS('NSE - Other Index Options'!$M:$M,'NSE - Other Index Options'!$C:$C,$A69,'NSE - Other Index Options'!$B:$B,E$4,'NSE - Other Index Options'!$I:$I,"MDAW*")+SUMIFS('BSE - SENSEX Index Options'!$M:$M,'BSE - SENSEX Index Options'!$C:$C,$A69,'BSE - SENSEX Index Options'!$B:$B,E$4,'BSE - SENSEX Index Options'!$I:$I,"Weekly*")+SUMIFS('BSE - SENSEX Index Options'!$M:$M,'BSE - SENSEX Index Options'!$C:$C,$A69,'BSE - SENSEX Index Options'!$B:$B,E$4,'BSE - SENSEX Index Options'!$I:$I,"MDAW*")+SUMIFS('BSE - Other Index Options'!$M:$M,'BSE - Other Index Options'!$C:$C,$A69,'BSE - Other Index Options'!$B:$B,E$4,'BSE - Other Index Options'!$I:$I,"Weekly*")+SUMIFS('BSE - Other Index Options'!$M:$M,'BSE - Other Index Options'!$C:$C,$A69,'BSE - Other Index Options'!$B:$B,E$4,'BSE - Other Index Options'!$I:$I,"MDAW*"))</f>
        <v/>
      </c>
      <c r="F69" s="26">
        <f>IF(SUMIFS('NSE - NIFTY Index Options'!$M:$M,'NSE - NIFTY Index Options'!$C:$C,$A69,'NSE - NIFTY Index Options'!$B:$B,F$4,'NSE - NIFTY Index Options'!$I:$I,"Weekly*")+SUMIFS('NSE - NIFTY Index Options'!$M:$M,'NSE - NIFTY Index Options'!$C:$C,$A69,'NSE - NIFTY Index Options'!$B:$B,F$4,'NSE - NIFTY Index Options'!$I:$I,"MDAW*")+SUMIFS('NSE - Other Index Options'!$M:$M,'NSE - Other Index Options'!$C:$C,$A69,'NSE - Other Index Options'!$B:$B,F$4,'NSE - Other Index Options'!$I:$I,"Weekly*")+SUMIFS('NSE - Other Index Options'!$M:$M,'NSE - Other Index Options'!$C:$C,$A69,'NSE - Other Index Options'!$B:$B,F$4,'NSE - Other Index Options'!$I:$I,"MDAW*")+SUMIFS('BSE - SENSEX Index Options'!$M:$M,'BSE - SENSEX Index Options'!$C:$C,$A69,'BSE - SENSEX Index Options'!$B:$B,F$4,'BSE - SENSEX Index Options'!$I:$I,"Weekly*")+SUMIFS('BSE - SENSEX Index Options'!$M:$M,'BSE - SENSEX Index Options'!$C:$C,$A69,'BSE - SENSEX Index Options'!$B:$B,F$4,'BSE - SENSEX Index Options'!$I:$I,"MDAW*")+SUMIFS('BSE - Other Index Options'!$M:$M,'BSE - Other Index Options'!$C:$C,$A69,'BSE - Other Index Options'!$B:$B,F$4,'BSE - Other Index Options'!$I:$I,"Weekly*")+SUMIFS('BSE - Other Index Options'!$M:$M,'BSE - Other Index Options'!$C:$C,$A69,'BSE - Other Index Options'!$B:$B,F$4,'BSE - Other Index Options'!$I:$I,"MDAW*")=0,"",SUMIFS('NSE - NIFTY Index Options'!$M:$M,'NSE - NIFTY Index Options'!$C:$C,$A69,'NSE - NIFTY Index Options'!$B:$B,F$4,'NSE - NIFTY Index Options'!$I:$I,"Weekly*")+SUMIFS('NSE - NIFTY Index Options'!$M:$M,'NSE - NIFTY Index Options'!$C:$C,$A69,'NSE - NIFTY Index Options'!$B:$B,F$4,'NSE - NIFTY Index Options'!$I:$I,"MDAW*")+SUMIFS('NSE - Other Index Options'!$M:$M,'NSE - Other Index Options'!$C:$C,$A69,'NSE - Other Index Options'!$B:$B,F$4,'NSE - Other Index Options'!$I:$I,"Weekly*")+SUMIFS('NSE - Other Index Options'!$M:$M,'NSE - Other Index Options'!$C:$C,$A69,'NSE - Other Index Options'!$B:$B,F$4,'NSE - Other Index Options'!$I:$I,"MDAW*")+SUMIFS('BSE - SENSEX Index Options'!$M:$M,'BSE - SENSEX Index Options'!$C:$C,$A69,'BSE - SENSEX Index Options'!$B:$B,F$4,'BSE - SENSEX Index Options'!$I:$I,"Weekly*")+SUMIFS('BSE - SENSEX Index Options'!$M:$M,'BSE - SENSEX Index Options'!$C:$C,$A69,'BSE - SENSEX Index Options'!$B:$B,F$4,'BSE - SENSEX Index Options'!$I:$I,"MDAW*")+SUMIFS('BSE - Other Index Options'!$M:$M,'BSE - Other Index Options'!$C:$C,$A69,'BSE - Other Index Options'!$B:$B,F$4,'BSE - Other Index Options'!$I:$I,"Weekly*")+SUMIFS('BSE - Other Index Options'!$M:$M,'BSE - Other Index Options'!$C:$C,$A69,'BSE - Other Index Options'!$B:$B,F$4,'BSE - Other Index Options'!$I:$I,"MDAW*"))</f>
        <v/>
      </c>
      <c r="G69" s="26">
        <f>IF(SUMIFS('NSE - NIFTY Index Options'!$M:$M,'NSE - NIFTY Index Options'!$C:$C,$A69,'NSE - NIFTY Index Options'!$B:$B,G$4,'NSE - NIFTY Index Options'!$I:$I,"Weekly*")+SUMIFS('NSE - NIFTY Index Options'!$M:$M,'NSE - NIFTY Index Options'!$C:$C,$A69,'NSE - NIFTY Index Options'!$B:$B,G$4,'NSE - NIFTY Index Options'!$I:$I,"MDAW*")+SUMIFS('NSE - Other Index Options'!$M:$M,'NSE - Other Index Options'!$C:$C,$A69,'NSE - Other Index Options'!$B:$B,G$4,'NSE - Other Index Options'!$I:$I,"Weekly*")+SUMIFS('NSE - Other Index Options'!$M:$M,'NSE - Other Index Options'!$C:$C,$A69,'NSE - Other Index Options'!$B:$B,G$4,'NSE - Other Index Options'!$I:$I,"MDAW*")+SUMIFS('BSE - SENSEX Index Options'!$M:$M,'BSE - SENSEX Index Options'!$C:$C,$A69,'BSE - SENSEX Index Options'!$B:$B,G$4,'BSE - SENSEX Index Options'!$I:$I,"Weekly*")+SUMIFS('BSE - SENSEX Index Options'!$M:$M,'BSE - SENSEX Index Options'!$C:$C,$A69,'BSE - SENSEX Index Options'!$B:$B,G$4,'BSE - SENSEX Index Options'!$I:$I,"MDAW*")+SUMIFS('BSE - Other Index Options'!$M:$M,'BSE - Other Index Options'!$C:$C,$A69,'BSE - Other Index Options'!$B:$B,G$4,'BSE - Other Index Options'!$I:$I,"Weekly*")+SUMIFS('BSE - Other Index Options'!$M:$M,'BSE - Other Index Options'!$C:$C,$A69,'BSE - Other Index Options'!$B:$B,G$4,'BSE - Other Index Options'!$I:$I,"MDAW*")=0,"",SUMIFS('NSE - NIFTY Index Options'!$M:$M,'NSE - NIFTY Index Options'!$C:$C,$A69,'NSE - NIFTY Index Options'!$B:$B,G$4,'NSE - NIFTY Index Options'!$I:$I,"Weekly*")+SUMIFS('NSE - NIFTY Index Options'!$M:$M,'NSE - NIFTY Index Options'!$C:$C,$A69,'NSE - NIFTY Index Options'!$B:$B,G$4,'NSE - NIFTY Index Options'!$I:$I,"MDAW*")+SUMIFS('NSE - Other Index Options'!$M:$M,'NSE - Other Index Options'!$C:$C,$A69,'NSE - Other Index Options'!$B:$B,G$4,'NSE - Other Index Options'!$I:$I,"Weekly*")+SUMIFS('NSE - Other Index Options'!$M:$M,'NSE - Other Index Options'!$C:$C,$A69,'NSE - Other Index Options'!$B:$B,G$4,'NSE - Other Index Options'!$I:$I,"MDAW*")+SUMIFS('BSE - SENSEX Index Options'!$M:$M,'BSE - SENSEX Index Options'!$C:$C,$A69,'BSE - SENSEX Index Options'!$B:$B,G$4,'BSE - SENSEX Index Options'!$I:$I,"Weekly*")+SUMIFS('BSE - SENSEX Index Options'!$M:$M,'BSE - SENSEX Index Options'!$C:$C,$A69,'BSE - SENSEX Index Options'!$B:$B,G$4,'BSE - SENSEX Index Options'!$I:$I,"MDAW*")+SUMIFS('BSE - Other Index Options'!$M:$M,'BSE - Other Index Options'!$C:$C,$A69,'BSE - Other Index Options'!$B:$B,G$4,'BSE - Other Index Options'!$I:$I,"Weekly*")+SUMIFS('BSE - Other Index Options'!$M:$M,'BSE - Other Index Options'!$C:$C,$A69,'BSE - Other Index Options'!$B:$B,G$4,'BSE - Other Index Options'!$I:$I,"MDAW*"))</f>
        <v/>
      </c>
      <c r="H69" s="26">
        <f>IF(SUM(B69:G69)=0,"",SUM(B69:G69))</f>
        <v/>
      </c>
    </row>
    <row r="70" hidden="1" outlineLevel="1">
      <c r="A70" t="inlineStr">
        <is>
          <t>Week2-Oct-2026</t>
        </is>
      </c>
      <c r="B70" s="26">
        <f>IF(SUMIFS('NSE - NIFTY Index Options'!$M:$M,'NSE - NIFTY Index Options'!$C:$C,$A70,'NSE - NIFTY Index Options'!$B:$B,B$4,'NSE - NIFTY Index Options'!$I:$I,"Weekly*")+SUMIFS('NSE - NIFTY Index Options'!$M:$M,'NSE - NIFTY Index Options'!$C:$C,$A70,'NSE - NIFTY Index Options'!$B:$B,B$4,'NSE - NIFTY Index Options'!$I:$I,"MDAW*")+SUMIFS('NSE - Other Index Options'!$M:$M,'NSE - Other Index Options'!$C:$C,$A70,'NSE - Other Index Options'!$B:$B,B$4,'NSE - Other Index Options'!$I:$I,"Weekly*")+SUMIFS('NSE - Other Index Options'!$M:$M,'NSE - Other Index Options'!$C:$C,$A70,'NSE - Other Index Options'!$B:$B,B$4,'NSE - Other Index Options'!$I:$I,"MDAW*")+SUMIFS('BSE - SENSEX Index Options'!$M:$M,'BSE - SENSEX Index Options'!$C:$C,$A70,'BSE - SENSEX Index Options'!$B:$B,B$4,'BSE - SENSEX Index Options'!$I:$I,"Weekly*")+SUMIFS('BSE - SENSEX Index Options'!$M:$M,'BSE - SENSEX Index Options'!$C:$C,$A70,'BSE - SENSEX Index Options'!$B:$B,B$4,'BSE - SENSEX Index Options'!$I:$I,"MDAW*")+SUMIFS('BSE - Other Index Options'!$M:$M,'BSE - Other Index Options'!$C:$C,$A70,'BSE - Other Index Options'!$B:$B,B$4,'BSE - Other Index Options'!$I:$I,"Weekly*")+SUMIFS('BSE - Other Index Options'!$M:$M,'BSE - Other Index Options'!$C:$C,$A70,'BSE - Other Index Options'!$B:$B,B$4,'BSE - Other Index Options'!$I:$I,"MDAW*")=0,"",SUMIFS('NSE - NIFTY Index Options'!$M:$M,'NSE - NIFTY Index Options'!$C:$C,$A70,'NSE - NIFTY Index Options'!$B:$B,B$4,'NSE - NIFTY Index Options'!$I:$I,"Weekly*")+SUMIFS('NSE - NIFTY Index Options'!$M:$M,'NSE - NIFTY Index Options'!$C:$C,$A70,'NSE - NIFTY Index Options'!$B:$B,B$4,'NSE - NIFTY Index Options'!$I:$I,"MDAW*")+SUMIFS('NSE - Other Index Options'!$M:$M,'NSE - Other Index Options'!$C:$C,$A70,'NSE - Other Index Options'!$B:$B,B$4,'NSE - Other Index Options'!$I:$I,"Weekly*")+SUMIFS('NSE - Other Index Options'!$M:$M,'NSE - Other Index Options'!$C:$C,$A70,'NSE - Other Index Options'!$B:$B,B$4,'NSE - Other Index Options'!$I:$I,"MDAW*")+SUMIFS('BSE - SENSEX Index Options'!$M:$M,'BSE - SENSEX Index Options'!$C:$C,$A70,'BSE - SENSEX Index Options'!$B:$B,B$4,'BSE - SENSEX Index Options'!$I:$I,"Weekly*")+SUMIFS('BSE - SENSEX Index Options'!$M:$M,'BSE - SENSEX Index Options'!$C:$C,$A70,'BSE - SENSEX Index Options'!$B:$B,B$4,'BSE - SENSEX Index Options'!$I:$I,"MDAW*")+SUMIFS('BSE - Other Index Options'!$M:$M,'BSE - Other Index Options'!$C:$C,$A70,'BSE - Other Index Options'!$B:$B,B$4,'BSE - Other Index Options'!$I:$I,"Weekly*")+SUMIFS('BSE - Other Index Options'!$M:$M,'BSE - Other Index Options'!$C:$C,$A70,'BSE - Other Index Options'!$B:$B,B$4,'BSE - Other Index Options'!$I:$I,"MDAW*"))</f>
        <v/>
      </c>
      <c r="C70" s="26">
        <f>IF(SUMIFS('NSE - NIFTY Index Options'!$M:$M,'NSE - NIFTY Index Options'!$C:$C,$A70,'NSE - NIFTY Index Options'!$B:$B,C$4,'NSE - NIFTY Index Options'!$I:$I,"Weekly*")+SUMIFS('NSE - NIFTY Index Options'!$M:$M,'NSE - NIFTY Index Options'!$C:$C,$A70,'NSE - NIFTY Index Options'!$B:$B,C$4,'NSE - NIFTY Index Options'!$I:$I,"MDAW*")+SUMIFS('NSE - Other Index Options'!$M:$M,'NSE - Other Index Options'!$C:$C,$A70,'NSE - Other Index Options'!$B:$B,C$4,'NSE - Other Index Options'!$I:$I,"Weekly*")+SUMIFS('NSE - Other Index Options'!$M:$M,'NSE - Other Index Options'!$C:$C,$A70,'NSE - Other Index Options'!$B:$B,C$4,'NSE - Other Index Options'!$I:$I,"MDAW*")+SUMIFS('BSE - SENSEX Index Options'!$M:$M,'BSE - SENSEX Index Options'!$C:$C,$A70,'BSE - SENSEX Index Options'!$B:$B,C$4,'BSE - SENSEX Index Options'!$I:$I,"Weekly*")+SUMIFS('BSE - SENSEX Index Options'!$M:$M,'BSE - SENSEX Index Options'!$C:$C,$A70,'BSE - SENSEX Index Options'!$B:$B,C$4,'BSE - SENSEX Index Options'!$I:$I,"MDAW*")+SUMIFS('BSE - Other Index Options'!$M:$M,'BSE - Other Index Options'!$C:$C,$A70,'BSE - Other Index Options'!$B:$B,C$4,'BSE - Other Index Options'!$I:$I,"Weekly*")+SUMIFS('BSE - Other Index Options'!$M:$M,'BSE - Other Index Options'!$C:$C,$A70,'BSE - Other Index Options'!$B:$B,C$4,'BSE - Other Index Options'!$I:$I,"MDAW*")=0,"",SUMIFS('NSE - NIFTY Index Options'!$M:$M,'NSE - NIFTY Index Options'!$C:$C,$A70,'NSE - NIFTY Index Options'!$B:$B,C$4,'NSE - NIFTY Index Options'!$I:$I,"Weekly*")+SUMIFS('NSE - NIFTY Index Options'!$M:$M,'NSE - NIFTY Index Options'!$C:$C,$A70,'NSE - NIFTY Index Options'!$B:$B,C$4,'NSE - NIFTY Index Options'!$I:$I,"MDAW*")+SUMIFS('NSE - Other Index Options'!$M:$M,'NSE - Other Index Options'!$C:$C,$A70,'NSE - Other Index Options'!$B:$B,C$4,'NSE - Other Index Options'!$I:$I,"Weekly*")+SUMIFS('NSE - Other Index Options'!$M:$M,'NSE - Other Index Options'!$C:$C,$A70,'NSE - Other Index Options'!$B:$B,C$4,'NSE - Other Index Options'!$I:$I,"MDAW*")+SUMIFS('BSE - SENSEX Index Options'!$M:$M,'BSE - SENSEX Index Options'!$C:$C,$A70,'BSE - SENSEX Index Options'!$B:$B,C$4,'BSE - SENSEX Index Options'!$I:$I,"Weekly*")+SUMIFS('BSE - SENSEX Index Options'!$M:$M,'BSE - SENSEX Index Options'!$C:$C,$A70,'BSE - SENSEX Index Options'!$B:$B,C$4,'BSE - SENSEX Index Options'!$I:$I,"MDAW*")+SUMIFS('BSE - Other Index Options'!$M:$M,'BSE - Other Index Options'!$C:$C,$A70,'BSE - Other Index Options'!$B:$B,C$4,'BSE - Other Index Options'!$I:$I,"Weekly*")+SUMIFS('BSE - Other Index Options'!$M:$M,'BSE - Other Index Options'!$C:$C,$A70,'BSE - Other Index Options'!$B:$B,C$4,'BSE - Other Index Options'!$I:$I,"MDAW*"))</f>
        <v/>
      </c>
      <c r="D70" s="26">
        <f>IF(SUMIFS('NSE - NIFTY Index Options'!$M:$M,'NSE - NIFTY Index Options'!$C:$C,$A70,'NSE - NIFTY Index Options'!$B:$B,D$4,'NSE - NIFTY Index Options'!$I:$I,"Weekly*")+SUMIFS('NSE - NIFTY Index Options'!$M:$M,'NSE - NIFTY Index Options'!$C:$C,$A70,'NSE - NIFTY Index Options'!$B:$B,D$4,'NSE - NIFTY Index Options'!$I:$I,"MDAW*")+SUMIFS('NSE - Other Index Options'!$M:$M,'NSE - Other Index Options'!$C:$C,$A70,'NSE - Other Index Options'!$B:$B,D$4,'NSE - Other Index Options'!$I:$I,"Weekly*")+SUMIFS('NSE - Other Index Options'!$M:$M,'NSE - Other Index Options'!$C:$C,$A70,'NSE - Other Index Options'!$B:$B,D$4,'NSE - Other Index Options'!$I:$I,"MDAW*")+SUMIFS('BSE - SENSEX Index Options'!$M:$M,'BSE - SENSEX Index Options'!$C:$C,$A70,'BSE - SENSEX Index Options'!$B:$B,D$4,'BSE - SENSEX Index Options'!$I:$I,"Weekly*")+SUMIFS('BSE - SENSEX Index Options'!$M:$M,'BSE - SENSEX Index Options'!$C:$C,$A70,'BSE - SENSEX Index Options'!$B:$B,D$4,'BSE - SENSEX Index Options'!$I:$I,"MDAW*")+SUMIFS('BSE - Other Index Options'!$M:$M,'BSE - Other Index Options'!$C:$C,$A70,'BSE - Other Index Options'!$B:$B,D$4,'BSE - Other Index Options'!$I:$I,"Weekly*")+SUMIFS('BSE - Other Index Options'!$M:$M,'BSE - Other Index Options'!$C:$C,$A70,'BSE - Other Index Options'!$B:$B,D$4,'BSE - Other Index Options'!$I:$I,"MDAW*")=0,"",SUMIFS('NSE - NIFTY Index Options'!$M:$M,'NSE - NIFTY Index Options'!$C:$C,$A70,'NSE - NIFTY Index Options'!$B:$B,D$4,'NSE - NIFTY Index Options'!$I:$I,"Weekly*")+SUMIFS('NSE - NIFTY Index Options'!$M:$M,'NSE - NIFTY Index Options'!$C:$C,$A70,'NSE - NIFTY Index Options'!$B:$B,D$4,'NSE - NIFTY Index Options'!$I:$I,"MDAW*")+SUMIFS('NSE - Other Index Options'!$M:$M,'NSE - Other Index Options'!$C:$C,$A70,'NSE - Other Index Options'!$B:$B,D$4,'NSE - Other Index Options'!$I:$I,"Weekly*")+SUMIFS('NSE - Other Index Options'!$M:$M,'NSE - Other Index Options'!$C:$C,$A70,'NSE - Other Index Options'!$B:$B,D$4,'NSE - Other Index Options'!$I:$I,"MDAW*")+SUMIFS('BSE - SENSEX Index Options'!$M:$M,'BSE - SENSEX Index Options'!$C:$C,$A70,'BSE - SENSEX Index Options'!$B:$B,D$4,'BSE - SENSEX Index Options'!$I:$I,"Weekly*")+SUMIFS('BSE - SENSEX Index Options'!$M:$M,'BSE - SENSEX Index Options'!$C:$C,$A70,'BSE - SENSEX Index Options'!$B:$B,D$4,'BSE - SENSEX Index Options'!$I:$I,"MDAW*")+SUMIFS('BSE - Other Index Options'!$M:$M,'BSE - Other Index Options'!$C:$C,$A70,'BSE - Other Index Options'!$B:$B,D$4,'BSE - Other Index Options'!$I:$I,"Weekly*")+SUMIFS('BSE - Other Index Options'!$M:$M,'BSE - Other Index Options'!$C:$C,$A70,'BSE - Other Index Options'!$B:$B,D$4,'BSE - Other Index Options'!$I:$I,"MDAW*"))</f>
        <v/>
      </c>
      <c r="E70" s="26">
        <f>IF(SUMIFS('NSE - NIFTY Index Options'!$M:$M,'NSE - NIFTY Index Options'!$C:$C,$A70,'NSE - NIFTY Index Options'!$B:$B,E$4,'NSE - NIFTY Index Options'!$I:$I,"Weekly*")+SUMIFS('NSE - NIFTY Index Options'!$M:$M,'NSE - NIFTY Index Options'!$C:$C,$A70,'NSE - NIFTY Index Options'!$B:$B,E$4,'NSE - NIFTY Index Options'!$I:$I,"MDAW*")+SUMIFS('NSE - Other Index Options'!$M:$M,'NSE - Other Index Options'!$C:$C,$A70,'NSE - Other Index Options'!$B:$B,E$4,'NSE - Other Index Options'!$I:$I,"Weekly*")+SUMIFS('NSE - Other Index Options'!$M:$M,'NSE - Other Index Options'!$C:$C,$A70,'NSE - Other Index Options'!$B:$B,E$4,'NSE - Other Index Options'!$I:$I,"MDAW*")+SUMIFS('BSE - SENSEX Index Options'!$M:$M,'BSE - SENSEX Index Options'!$C:$C,$A70,'BSE - SENSEX Index Options'!$B:$B,E$4,'BSE - SENSEX Index Options'!$I:$I,"Weekly*")+SUMIFS('BSE - SENSEX Index Options'!$M:$M,'BSE - SENSEX Index Options'!$C:$C,$A70,'BSE - SENSEX Index Options'!$B:$B,E$4,'BSE - SENSEX Index Options'!$I:$I,"MDAW*")+SUMIFS('BSE - Other Index Options'!$M:$M,'BSE - Other Index Options'!$C:$C,$A70,'BSE - Other Index Options'!$B:$B,E$4,'BSE - Other Index Options'!$I:$I,"Weekly*")+SUMIFS('BSE - Other Index Options'!$M:$M,'BSE - Other Index Options'!$C:$C,$A70,'BSE - Other Index Options'!$B:$B,E$4,'BSE - Other Index Options'!$I:$I,"MDAW*")=0,"",SUMIFS('NSE - NIFTY Index Options'!$M:$M,'NSE - NIFTY Index Options'!$C:$C,$A70,'NSE - NIFTY Index Options'!$B:$B,E$4,'NSE - NIFTY Index Options'!$I:$I,"Weekly*")+SUMIFS('NSE - NIFTY Index Options'!$M:$M,'NSE - NIFTY Index Options'!$C:$C,$A70,'NSE - NIFTY Index Options'!$B:$B,E$4,'NSE - NIFTY Index Options'!$I:$I,"MDAW*")+SUMIFS('NSE - Other Index Options'!$M:$M,'NSE - Other Index Options'!$C:$C,$A70,'NSE - Other Index Options'!$B:$B,E$4,'NSE - Other Index Options'!$I:$I,"Weekly*")+SUMIFS('NSE - Other Index Options'!$M:$M,'NSE - Other Index Options'!$C:$C,$A70,'NSE - Other Index Options'!$B:$B,E$4,'NSE - Other Index Options'!$I:$I,"MDAW*")+SUMIFS('BSE - SENSEX Index Options'!$M:$M,'BSE - SENSEX Index Options'!$C:$C,$A70,'BSE - SENSEX Index Options'!$B:$B,E$4,'BSE - SENSEX Index Options'!$I:$I,"Weekly*")+SUMIFS('BSE - SENSEX Index Options'!$M:$M,'BSE - SENSEX Index Options'!$C:$C,$A70,'BSE - SENSEX Index Options'!$B:$B,E$4,'BSE - SENSEX Index Options'!$I:$I,"MDAW*")+SUMIFS('BSE - Other Index Options'!$M:$M,'BSE - Other Index Options'!$C:$C,$A70,'BSE - Other Index Options'!$B:$B,E$4,'BSE - Other Index Options'!$I:$I,"Weekly*")+SUMIFS('BSE - Other Index Options'!$M:$M,'BSE - Other Index Options'!$C:$C,$A70,'BSE - Other Index Options'!$B:$B,E$4,'BSE - Other Index Options'!$I:$I,"MDAW*"))</f>
        <v/>
      </c>
      <c r="F70" s="26">
        <f>IF(SUMIFS('NSE - NIFTY Index Options'!$M:$M,'NSE - NIFTY Index Options'!$C:$C,$A70,'NSE - NIFTY Index Options'!$B:$B,F$4,'NSE - NIFTY Index Options'!$I:$I,"Weekly*")+SUMIFS('NSE - NIFTY Index Options'!$M:$M,'NSE - NIFTY Index Options'!$C:$C,$A70,'NSE - NIFTY Index Options'!$B:$B,F$4,'NSE - NIFTY Index Options'!$I:$I,"MDAW*")+SUMIFS('NSE - Other Index Options'!$M:$M,'NSE - Other Index Options'!$C:$C,$A70,'NSE - Other Index Options'!$B:$B,F$4,'NSE - Other Index Options'!$I:$I,"Weekly*")+SUMIFS('NSE - Other Index Options'!$M:$M,'NSE - Other Index Options'!$C:$C,$A70,'NSE - Other Index Options'!$B:$B,F$4,'NSE - Other Index Options'!$I:$I,"MDAW*")+SUMIFS('BSE - SENSEX Index Options'!$M:$M,'BSE - SENSEX Index Options'!$C:$C,$A70,'BSE - SENSEX Index Options'!$B:$B,F$4,'BSE - SENSEX Index Options'!$I:$I,"Weekly*")+SUMIFS('BSE - SENSEX Index Options'!$M:$M,'BSE - SENSEX Index Options'!$C:$C,$A70,'BSE - SENSEX Index Options'!$B:$B,F$4,'BSE - SENSEX Index Options'!$I:$I,"MDAW*")+SUMIFS('BSE - Other Index Options'!$M:$M,'BSE - Other Index Options'!$C:$C,$A70,'BSE - Other Index Options'!$B:$B,F$4,'BSE - Other Index Options'!$I:$I,"Weekly*")+SUMIFS('BSE - Other Index Options'!$M:$M,'BSE - Other Index Options'!$C:$C,$A70,'BSE - Other Index Options'!$B:$B,F$4,'BSE - Other Index Options'!$I:$I,"MDAW*")=0,"",SUMIFS('NSE - NIFTY Index Options'!$M:$M,'NSE - NIFTY Index Options'!$C:$C,$A70,'NSE - NIFTY Index Options'!$B:$B,F$4,'NSE - NIFTY Index Options'!$I:$I,"Weekly*")+SUMIFS('NSE - NIFTY Index Options'!$M:$M,'NSE - NIFTY Index Options'!$C:$C,$A70,'NSE - NIFTY Index Options'!$B:$B,F$4,'NSE - NIFTY Index Options'!$I:$I,"MDAW*")+SUMIFS('NSE - Other Index Options'!$M:$M,'NSE - Other Index Options'!$C:$C,$A70,'NSE - Other Index Options'!$B:$B,F$4,'NSE - Other Index Options'!$I:$I,"Weekly*")+SUMIFS('NSE - Other Index Options'!$M:$M,'NSE - Other Index Options'!$C:$C,$A70,'NSE - Other Index Options'!$B:$B,F$4,'NSE - Other Index Options'!$I:$I,"MDAW*")+SUMIFS('BSE - SENSEX Index Options'!$M:$M,'BSE - SENSEX Index Options'!$C:$C,$A70,'BSE - SENSEX Index Options'!$B:$B,F$4,'BSE - SENSEX Index Options'!$I:$I,"Weekly*")+SUMIFS('BSE - SENSEX Index Options'!$M:$M,'BSE - SENSEX Index Options'!$C:$C,$A70,'BSE - SENSEX Index Options'!$B:$B,F$4,'BSE - SENSEX Index Options'!$I:$I,"MDAW*")+SUMIFS('BSE - Other Index Options'!$M:$M,'BSE - Other Index Options'!$C:$C,$A70,'BSE - Other Index Options'!$B:$B,F$4,'BSE - Other Index Options'!$I:$I,"Weekly*")+SUMIFS('BSE - Other Index Options'!$M:$M,'BSE - Other Index Options'!$C:$C,$A70,'BSE - Other Index Options'!$B:$B,F$4,'BSE - Other Index Options'!$I:$I,"MDAW*"))</f>
        <v/>
      </c>
      <c r="G70" s="26">
        <f>IF(SUMIFS('NSE - NIFTY Index Options'!$M:$M,'NSE - NIFTY Index Options'!$C:$C,$A70,'NSE - NIFTY Index Options'!$B:$B,G$4,'NSE - NIFTY Index Options'!$I:$I,"Weekly*")+SUMIFS('NSE - NIFTY Index Options'!$M:$M,'NSE - NIFTY Index Options'!$C:$C,$A70,'NSE - NIFTY Index Options'!$B:$B,G$4,'NSE - NIFTY Index Options'!$I:$I,"MDAW*")+SUMIFS('NSE - Other Index Options'!$M:$M,'NSE - Other Index Options'!$C:$C,$A70,'NSE - Other Index Options'!$B:$B,G$4,'NSE - Other Index Options'!$I:$I,"Weekly*")+SUMIFS('NSE - Other Index Options'!$M:$M,'NSE - Other Index Options'!$C:$C,$A70,'NSE - Other Index Options'!$B:$B,G$4,'NSE - Other Index Options'!$I:$I,"MDAW*")+SUMIFS('BSE - SENSEX Index Options'!$M:$M,'BSE - SENSEX Index Options'!$C:$C,$A70,'BSE - SENSEX Index Options'!$B:$B,G$4,'BSE - SENSEX Index Options'!$I:$I,"Weekly*")+SUMIFS('BSE - SENSEX Index Options'!$M:$M,'BSE - SENSEX Index Options'!$C:$C,$A70,'BSE - SENSEX Index Options'!$B:$B,G$4,'BSE - SENSEX Index Options'!$I:$I,"MDAW*")+SUMIFS('BSE - Other Index Options'!$M:$M,'BSE - Other Index Options'!$C:$C,$A70,'BSE - Other Index Options'!$B:$B,G$4,'BSE - Other Index Options'!$I:$I,"Weekly*")+SUMIFS('BSE - Other Index Options'!$M:$M,'BSE - Other Index Options'!$C:$C,$A70,'BSE - Other Index Options'!$B:$B,G$4,'BSE - Other Index Options'!$I:$I,"MDAW*")=0,"",SUMIFS('NSE - NIFTY Index Options'!$M:$M,'NSE - NIFTY Index Options'!$C:$C,$A70,'NSE - NIFTY Index Options'!$B:$B,G$4,'NSE - NIFTY Index Options'!$I:$I,"Weekly*")+SUMIFS('NSE - NIFTY Index Options'!$M:$M,'NSE - NIFTY Index Options'!$C:$C,$A70,'NSE - NIFTY Index Options'!$B:$B,G$4,'NSE - NIFTY Index Options'!$I:$I,"MDAW*")+SUMIFS('NSE - Other Index Options'!$M:$M,'NSE - Other Index Options'!$C:$C,$A70,'NSE - Other Index Options'!$B:$B,G$4,'NSE - Other Index Options'!$I:$I,"Weekly*")+SUMIFS('NSE - Other Index Options'!$M:$M,'NSE - Other Index Options'!$C:$C,$A70,'NSE - Other Index Options'!$B:$B,G$4,'NSE - Other Index Options'!$I:$I,"MDAW*")+SUMIFS('BSE - SENSEX Index Options'!$M:$M,'BSE - SENSEX Index Options'!$C:$C,$A70,'BSE - SENSEX Index Options'!$B:$B,G$4,'BSE - SENSEX Index Options'!$I:$I,"Weekly*")+SUMIFS('BSE - SENSEX Index Options'!$M:$M,'BSE - SENSEX Index Options'!$C:$C,$A70,'BSE - SENSEX Index Options'!$B:$B,G$4,'BSE - SENSEX Index Options'!$I:$I,"MDAW*")+SUMIFS('BSE - Other Index Options'!$M:$M,'BSE - Other Index Options'!$C:$C,$A70,'BSE - Other Index Options'!$B:$B,G$4,'BSE - Other Index Options'!$I:$I,"Weekly*")+SUMIFS('BSE - Other Index Options'!$M:$M,'BSE - Other Index Options'!$C:$C,$A70,'BSE - Other Index Options'!$B:$B,G$4,'BSE - Other Index Options'!$I:$I,"MDAW*"))</f>
        <v/>
      </c>
      <c r="H70" s="26">
        <f>IF(SUM(B70:G70)=0,"",SUM(B70:G70))</f>
        <v/>
      </c>
    </row>
    <row r="71" hidden="1" outlineLevel="1">
      <c r="A71" t="inlineStr">
        <is>
          <t>Week3-Oct-2026</t>
        </is>
      </c>
      <c r="B71" s="26">
        <f>IF(SUMIFS('NSE - NIFTY Index Options'!$M:$M,'NSE - NIFTY Index Options'!$C:$C,$A71,'NSE - NIFTY Index Options'!$B:$B,B$4,'NSE - NIFTY Index Options'!$I:$I,"Weekly*")+SUMIFS('NSE - NIFTY Index Options'!$M:$M,'NSE - NIFTY Index Options'!$C:$C,$A71,'NSE - NIFTY Index Options'!$B:$B,B$4,'NSE - NIFTY Index Options'!$I:$I,"MDAW*")+SUMIFS('NSE - Other Index Options'!$M:$M,'NSE - Other Index Options'!$C:$C,$A71,'NSE - Other Index Options'!$B:$B,B$4,'NSE - Other Index Options'!$I:$I,"Weekly*")+SUMIFS('NSE - Other Index Options'!$M:$M,'NSE - Other Index Options'!$C:$C,$A71,'NSE - Other Index Options'!$B:$B,B$4,'NSE - Other Index Options'!$I:$I,"MDAW*")+SUMIFS('BSE - SENSEX Index Options'!$M:$M,'BSE - SENSEX Index Options'!$C:$C,$A71,'BSE - SENSEX Index Options'!$B:$B,B$4,'BSE - SENSEX Index Options'!$I:$I,"Weekly*")+SUMIFS('BSE - SENSEX Index Options'!$M:$M,'BSE - SENSEX Index Options'!$C:$C,$A71,'BSE - SENSEX Index Options'!$B:$B,B$4,'BSE - SENSEX Index Options'!$I:$I,"MDAW*")+SUMIFS('BSE - Other Index Options'!$M:$M,'BSE - Other Index Options'!$C:$C,$A71,'BSE - Other Index Options'!$B:$B,B$4,'BSE - Other Index Options'!$I:$I,"Weekly*")+SUMIFS('BSE - Other Index Options'!$M:$M,'BSE - Other Index Options'!$C:$C,$A71,'BSE - Other Index Options'!$B:$B,B$4,'BSE - Other Index Options'!$I:$I,"MDAW*")=0,"",SUMIFS('NSE - NIFTY Index Options'!$M:$M,'NSE - NIFTY Index Options'!$C:$C,$A71,'NSE - NIFTY Index Options'!$B:$B,B$4,'NSE - NIFTY Index Options'!$I:$I,"Weekly*")+SUMIFS('NSE - NIFTY Index Options'!$M:$M,'NSE - NIFTY Index Options'!$C:$C,$A71,'NSE - NIFTY Index Options'!$B:$B,B$4,'NSE - NIFTY Index Options'!$I:$I,"MDAW*")+SUMIFS('NSE - Other Index Options'!$M:$M,'NSE - Other Index Options'!$C:$C,$A71,'NSE - Other Index Options'!$B:$B,B$4,'NSE - Other Index Options'!$I:$I,"Weekly*")+SUMIFS('NSE - Other Index Options'!$M:$M,'NSE - Other Index Options'!$C:$C,$A71,'NSE - Other Index Options'!$B:$B,B$4,'NSE - Other Index Options'!$I:$I,"MDAW*")+SUMIFS('BSE - SENSEX Index Options'!$M:$M,'BSE - SENSEX Index Options'!$C:$C,$A71,'BSE - SENSEX Index Options'!$B:$B,B$4,'BSE - SENSEX Index Options'!$I:$I,"Weekly*")+SUMIFS('BSE - SENSEX Index Options'!$M:$M,'BSE - SENSEX Index Options'!$C:$C,$A71,'BSE - SENSEX Index Options'!$B:$B,B$4,'BSE - SENSEX Index Options'!$I:$I,"MDAW*")+SUMIFS('BSE - Other Index Options'!$M:$M,'BSE - Other Index Options'!$C:$C,$A71,'BSE - Other Index Options'!$B:$B,B$4,'BSE - Other Index Options'!$I:$I,"Weekly*")+SUMIFS('BSE - Other Index Options'!$M:$M,'BSE - Other Index Options'!$C:$C,$A71,'BSE - Other Index Options'!$B:$B,B$4,'BSE - Other Index Options'!$I:$I,"MDAW*"))</f>
        <v/>
      </c>
      <c r="C71" s="26">
        <f>IF(SUMIFS('NSE - NIFTY Index Options'!$M:$M,'NSE - NIFTY Index Options'!$C:$C,$A71,'NSE - NIFTY Index Options'!$B:$B,C$4,'NSE - NIFTY Index Options'!$I:$I,"Weekly*")+SUMIFS('NSE - NIFTY Index Options'!$M:$M,'NSE - NIFTY Index Options'!$C:$C,$A71,'NSE - NIFTY Index Options'!$B:$B,C$4,'NSE - NIFTY Index Options'!$I:$I,"MDAW*")+SUMIFS('NSE - Other Index Options'!$M:$M,'NSE - Other Index Options'!$C:$C,$A71,'NSE - Other Index Options'!$B:$B,C$4,'NSE - Other Index Options'!$I:$I,"Weekly*")+SUMIFS('NSE - Other Index Options'!$M:$M,'NSE - Other Index Options'!$C:$C,$A71,'NSE - Other Index Options'!$B:$B,C$4,'NSE - Other Index Options'!$I:$I,"MDAW*")+SUMIFS('BSE - SENSEX Index Options'!$M:$M,'BSE - SENSEX Index Options'!$C:$C,$A71,'BSE - SENSEX Index Options'!$B:$B,C$4,'BSE - SENSEX Index Options'!$I:$I,"Weekly*")+SUMIFS('BSE - SENSEX Index Options'!$M:$M,'BSE - SENSEX Index Options'!$C:$C,$A71,'BSE - SENSEX Index Options'!$B:$B,C$4,'BSE - SENSEX Index Options'!$I:$I,"MDAW*")+SUMIFS('BSE - Other Index Options'!$M:$M,'BSE - Other Index Options'!$C:$C,$A71,'BSE - Other Index Options'!$B:$B,C$4,'BSE - Other Index Options'!$I:$I,"Weekly*")+SUMIFS('BSE - Other Index Options'!$M:$M,'BSE - Other Index Options'!$C:$C,$A71,'BSE - Other Index Options'!$B:$B,C$4,'BSE - Other Index Options'!$I:$I,"MDAW*")=0,"",SUMIFS('NSE - NIFTY Index Options'!$M:$M,'NSE - NIFTY Index Options'!$C:$C,$A71,'NSE - NIFTY Index Options'!$B:$B,C$4,'NSE - NIFTY Index Options'!$I:$I,"Weekly*")+SUMIFS('NSE - NIFTY Index Options'!$M:$M,'NSE - NIFTY Index Options'!$C:$C,$A71,'NSE - NIFTY Index Options'!$B:$B,C$4,'NSE - NIFTY Index Options'!$I:$I,"MDAW*")+SUMIFS('NSE - Other Index Options'!$M:$M,'NSE - Other Index Options'!$C:$C,$A71,'NSE - Other Index Options'!$B:$B,C$4,'NSE - Other Index Options'!$I:$I,"Weekly*")+SUMIFS('NSE - Other Index Options'!$M:$M,'NSE - Other Index Options'!$C:$C,$A71,'NSE - Other Index Options'!$B:$B,C$4,'NSE - Other Index Options'!$I:$I,"MDAW*")+SUMIFS('BSE - SENSEX Index Options'!$M:$M,'BSE - SENSEX Index Options'!$C:$C,$A71,'BSE - SENSEX Index Options'!$B:$B,C$4,'BSE - SENSEX Index Options'!$I:$I,"Weekly*")+SUMIFS('BSE - SENSEX Index Options'!$M:$M,'BSE - SENSEX Index Options'!$C:$C,$A71,'BSE - SENSEX Index Options'!$B:$B,C$4,'BSE - SENSEX Index Options'!$I:$I,"MDAW*")+SUMIFS('BSE - Other Index Options'!$M:$M,'BSE - Other Index Options'!$C:$C,$A71,'BSE - Other Index Options'!$B:$B,C$4,'BSE - Other Index Options'!$I:$I,"Weekly*")+SUMIFS('BSE - Other Index Options'!$M:$M,'BSE - Other Index Options'!$C:$C,$A71,'BSE - Other Index Options'!$B:$B,C$4,'BSE - Other Index Options'!$I:$I,"MDAW*"))</f>
        <v/>
      </c>
      <c r="D71" s="26">
        <f>IF(SUMIFS('NSE - NIFTY Index Options'!$M:$M,'NSE - NIFTY Index Options'!$C:$C,$A71,'NSE - NIFTY Index Options'!$B:$B,D$4,'NSE - NIFTY Index Options'!$I:$I,"Weekly*")+SUMIFS('NSE - NIFTY Index Options'!$M:$M,'NSE - NIFTY Index Options'!$C:$C,$A71,'NSE - NIFTY Index Options'!$B:$B,D$4,'NSE - NIFTY Index Options'!$I:$I,"MDAW*")+SUMIFS('NSE - Other Index Options'!$M:$M,'NSE - Other Index Options'!$C:$C,$A71,'NSE - Other Index Options'!$B:$B,D$4,'NSE - Other Index Options'!$I:$I,"Weekly*")+SUMIFS('NSE - Other Index Options'!$M:$M,'NSE - Other Index Options'!$C:$C,$A71,'NSE - Other Index Options'!$B:$B,D$4,'NSE - Other Index Options'!$I:$I,"MDAW*")+SUMIFS('BSE - SENSEX Index Options'!$M:$M,'BSE - SENSEX Index Options'!$C:$C,$A71,'BSE - SENSEX Index Options'!$B:$B,D$4,'BSE - SENSEX Index Options'!$I:$I,"Weekly*")+SUMIFS('BSE - SENSEX Index Options'!$M:$M,'BSE - SENSEX Index Options'!$C:$C,$A71,'BSE - SENSEX Index Options'!$B:$B,D$4,'BSE - SENSEX Index Options'!$I:$I,"MDAW*")+SUMIFS('BSE - Other Index Options'!$M:$M,'BSE - Other Index Options'!$C:$C,$A71,'BSE - Other Index Options'!$B:$B,D$4,'BSE - Other Index Options'!$I:$I,"Weekly*")+SUMIFS('BSE - Other Index Options'!$M:$M,'BSE - Other Index Options'!$C:$C,$A71,'BSE - Other Index Options'!$B:$B,D$4,'BSE - Other Index Options'!$I:$I,"MDAW*")=0,"",SUMIFS('NSE - NIFTY Index Options'!$M:$M,'NSE - NIFTY Index Options'!$C:$C,$A71,'NSE - NIFTY Index Options'!$B:$B,D$4,'NSE - NIFTY Index Options'!$I:$I,"Weekly*")+SUMIFS('NSE - NIFTY Index Options'!$M:$M,'NSE - NIFTY Index Options'!$C:$C,$A71,'NSE - NIFTY Index Options'!$B:$B,D$4,'NSE - NIFTY Index Options'!$I:$I,"MDAW*")+SUMIFS('NSE - Other Index Options'!$M:$M,'NSE - Other Index Options'!$C:$C,$A71,'NSE - Other Index Options'!$B:$B,D$4,'NSE - Other Index Options'!$I:$I,"Weekly*")+SUMIFS('NSE - Other Index Options'!$M:$M,'NSE - Other Index Options'!$C:$C,$A71,'NSE - Other Index Options'!$B:$B,D$4,'NSE - Other Index Options'!$I:$I,"MDAW*")+SUMIFS('BSE - SENSEX Index Options'!$M:$M,'BSE - SENSEX Index Options'!$C:$C,$A71,'BSE - SENSEX Index Options'!$B:$B,D$4,'BSE - SENSEX Index Options'!$I:$I,"Weekly*")+SUMIFS('BSE - SENSEX Index Options'!$M:$M,'BSE - SENSEX Index Options'!$C:$C,$A71,'BSE - SENSEX Index Options'!$B:$B,D$4,'BSE - SENSEX Index Options'!$I:$I,"MDAW*")+SUMIFS('BSE - Other Index Options'!$M:$M,'BSE - Other Index Options'!$C:$C,$A71,'BSE - Other Index Options'!$B:$B,D$4,'BSE - Other Index Options'!$I:$I,"Weekly*")+SUMIFS('BSE - Other Index Options'!$M:$M,'BSE - Other Index Options'!$C:$C,$A71,'BSE - Other Index Options'!$B:$B,D$4,'BSE - Other Index Options'!$I:$I,"MDAW*"))</f>
        <v/>
      </c>
      <c r="E71" s="26">
        <f>IF(SUMIFS('NSE - NIFTY Index Options'!$M:$M,'NSE - NIFTY Index Options'!$C:$C,$A71,'NSE - NIFTY Index Options'!$B:$B,E$4,'NSE - NIFTY Index Options'!$I:$I,"Weekly*")+SUMIFS('NSE - NIFTY Index Options'!$M:$M,'NSE - NIFTY Index Options'!$C:$C,$A71,'NSE - NIFTY Index Options'!$B:$B,E$4,'NSE - NIFTY Index Options'!$I:$I,"MDAW*")+SUMIFS('NSE - Other Index Options'!$M:$M,'NSE - Other Index Options'!$C:$C,$A71,'NSE - Other Index Options'!$B:$B,E$4,'NSE - Other Index Options'!$I:$I,"Weekly*")+SUMIFS('NSE - Other Index Options'!$M:$M,'NSE - Other Index Options'!$C:$C,$A71,'NSE - Other Index Options'!$B:$B,E$4,'NSE - Other Index Options'!$I:$I,"MDAW*")+SUMIFS('BSE - SENSEX Index Options'!$M:$M,'BSE - SENSEX Index Options'!$C:$C,$A71,'BSE - SENSEX Index Options'!$B:$B,E$4,'BSE - SENSEX Index Options'!$I:$I,"Weekly*")+SUMIFS('BSE - SENSEX Index Options'!$M:$M,'BSE - SENSEX Index Options'!$C:$C,$A71,'BSE - SENSEX Index Options'!$B:$B,E$4,'BSE - SENSEX Index Options'!$I:$I,"MDAW*")+SUMIFS('BSE - Other Index Options'!$M:$M,'BSE - Other Index Options'!$C:$C,$A71,'BSE - Other Index Options'!$B:$B,E$4,'BSE - Other Index Options'!$I:$I,"Weekly*")+SUMIFS('BSE - Other Index Options'!$M:$M,'BSE - Other Index Options'!$C:$C,$A71,'BSE - Other Index Options'!$B:$B,E$4,'BSE - Other Index Options'!$I:$I,"MDAW*")=0,"",SUMIFS('NSE - NIFTY Index Options'!$M:$M,'NSE - NIFTY Index Options'!$C:$C,$A71,'NSE - NIFTY Index Options'!$B:$B,E$4,'NSE - NIFTY Index Options'!$I:$I,"Weekly*")+SUMIFS('NSE - NIFTY Index Options'!$M:$M,'NSE - NIFTY Index Options'!$C:$C,$A71,'NSE - NIFTY Index Options'!$B:$B,E$4,'NSE - NIFTY Index Options'!$I:$I,"MDAW*")+SUMIFS('NSE - Other Index Options'!$M:$M,'NSE - Other Index Options'!$C:$C,$A71,'NSE - Other Index Options'!$B:$B,E$4,'NSE - Other Index Options'!$I:$I,"Weekly*")+SUMIFS('NSE - Other Index Options'!$M:$M,'NSE - Other Index Options'!$C:$C,$A71,'NSE - Other Index Options'!$B:$B,E$4,'NSE - Other Index Options'!$I:$I,"MDAW*")+SUMIFS('BSE - SENSEX Index Options'!$M:$M,'BSE - SENSEX Index Options'!$C:$C,$A71,'BSE - SENSEX Index Options'!$B:$B,E$4,'BSE - SENSEX Index Options'!$I:$I,"Weekly*")+SUMIFS('BSE - SENSEX Index Options'!$M:$M,'BSE - SENSEX Index Options'!$C:$C,$A71,'BSE - SENSEX Index Options'!$B:$B,E$4,'BSE - SENSEX Index Options'!$I:$I,"MDAW*")+SUMIFS('BSE - Other Index Options'!$M:$M,'BSE - Other Index Options'!$C:$C,$A71,'BSE - Other Index Options'!$B:$B,E$4,'BSE - Other Index Options'!$I:$I,"Weekly*")+SUMIFS('BSE - Other Index Options'!$M:$M,'BSE - Other Index Options'!$C:$C,$A71,'BSE - Other Index Options'!$B:$B,E$4,'BSE - Other Index Options'!$I:$I,"MDAW*"))</f>
        <v/>
      </c>
      <c r="F71" s="26">
        <f>IF(SUMIFS('NSE - NIFTY Index Options'!$M:$M,'NSE - NIFTY Index Options'!$C:$C,$A71,'NSE - NIFTY Index Options'!$B:$B,F$4,'NSE - NIFTY Index Options'!$I:$I,"Weekly*")+SUMIFS('NSE - NIFTY Index Options'!$M:$M,'NSE - NIFTY Index Options'!$C:$C,$A71,'NSE - NIFTY Index Options'!$B:$B,F$4,'NSE - NIFTY Index Options'!$I:$I,"MDAW*")+SUMIFS('NSE - Other Index Options'!$M:$M,'NSE - Other Index Options'!$C:$C,$A71,'NSE - Other Index Options'!$B:$B,F$4,'NSE - Other Index Options'!$I:$I,"Weekly*")+SUMIFS('NSE - Other Index Options'!$M:$M,'NSE - Other Index Options'!$C:$C,$A71,'NSE - Other Index Options'!$B:$B,F$4,'NSE - Other Index Options'!$I:$I,"MDAW*")+SUMIFS('BSE - SENSEX Index Options'!$M:$M,'BSE - SENSEX Index Options'!$C:$C,$A71,'BSE - SENSEX Index Options'!$B:$B,F$4,'BSE - SENSEX Index Options'!$I:$I,"Weekly*")+SUMIFS('BSE - SENSEX Index Options'!$M:$M,'BSE - SENSEX Index Options'!$C:$C,$A71,'BSE - SENSEX Index Options'!$B:$B,F$4,'BSE - SENSEX Index Options'!$I:$I,"MDAW*")+SUMIFS('BSE - Other Index Options'!$M:$M,'BSE - Other Index Options'!$C:$C,$A71,'BSE - Other Index Options'!$B:$B,F$4,'BSE - Other Index Options'!$I:$I,"Weekly*")+SUMIFS('BSE - Other Index Options'!$M:$M,'BSE - Other Index Options'!$C:$C,$A71,'BSE - Other Index Options'!$B:$B,F$4,'BSE - Other Index Options'!$I:$I,"MDAW*")=0,"",SUMIFS('NSE - NIFTY Index Options'!$M:$M,'NSE - NIFTY Index Options'!$C:$C,$A71,'NSE - NIFTY Index Options'!$B:$B,F$4,'NSE - NIFTY Index Options'!$I:$I,"Weekly*")+SUMIFS('NSE - NIFTY Index Options'!$M:$M,'NSE - NIFTY Index Options'!$C:$C,$A71,'NSE - NIFTY Index Options'!$B:$B,F$4,'NSE - NIFTY Index Options'!$I:$I,"MDAW*")+SUMIFS('NSE - Other Index Options'!$M:$M,'NSE - Other Index Options'!$C:$C,$A71,'NSE - Other Index Options'!$B:$B,F$4,'NSE - Other Index Options'!$I:$I,"Weekly*")+SUMIFS('NSE - Other Index Options'!$M:$M,'NSE - Other Index Options'!$C:$C,$A71,'NSE - Other Index Options'!$B:$B,F$4,'NSE - Other Index Options'!$I:$I,"MDAW*")+SUMIFS('BSE - SENSEX Index Options'!$M:$M,'BSE - SENSEX Index Options'!$C:$C,$A71,'BSE - SENSEX Index Options'!$B:$B,F$4,'BSE - SENSEX Index Options'!$I:$I,"Weekly*")+SUMIFS('BSE - SENSEX Index Options'!$M:$M,'BSE - SENSEX Index Options'!$C:$C,$A71,'BSE - SENSEX Index Options'!$B:$B,F$4,'BSE - SENSEX Index Options'!$I:$I,"MDAW*")+SUMIFS('BSE - Other Index Options'!$M:$M,'BSE - Other Index Options'!$C:$C,$A71,'BSE - Other Index Options'!$B:$B,F$4,'BSE - Other Index Options'!$I:$I,"Weekly*")+SUMIFS('BSE - Other Index Options'!$M:$M,'BSE - Other Index Options'!$C:$C,$A71,'BSE - Other Index Options'!$B:$B,F$4,'BSE - Other Index Options'!$I:$I,"MDAW*"))</f>
        <v/>
      </c>
      <c r="G71" s="26">
        <f>IF(SUMIFS('NSE - NIFTY Index Options'!$M:$M,'NSE - NIFTY Index Options'!$C:$C,$A71,'NSE - NIFTY Index Options'!$B:$B,G$4,'NSE - NIFTY Index Options'!$I:$I,"Weekly*")+SUMIFS('NSE - NIFTY Index Options'!$M:$M,'NSE - NIFTY Index Options'!$C:$C,$A71,'NSE - NIFTY Index Options'!$B:$B,G$4,'NSE - NIFTY Index Options'!$I:$I,"MDAW*")+SUMIFS('NSE - Other Index Options'!$M:$M,'NSE - Other Index Options'!$C:$C,$A71,'NSE - Other Index Options'!$B:$B,G$4,'NSE - Other Index Options'!$I:$I,"Weekly*")+SUMIFS('NSE - Other Index Options'!$M:$M,'NSE - Other Index Options'!$C:$C,$A71,'NSE - Other Index Options'!$B:$B,G$4,'NSE - Other Index Options'!$I:$I,"MDAW*")+SUMIFS('BSE - SENSEX Index Options'!$M:$M,'BSE - SENSEX Index Options'!$C:$C,$A71,'BSE - SENSEX Index Options'!$B:$B,G$4,'BSE - SENSEX Index Options'!$I:$I,"Weekly*")+SUMIFS('BSE - SENSEX Index Options'!$M:$M,'BSE - SENSEX Index Options'!$C:$C,$A71,'BSE - SENSEX Index Options'!$B:$B,G$4,'BSE - SENSEX Index Options'!$I:$I,"MDAW*")+SUMIFS('BSE - Other Index Options'!$M:$M,'BSE - Other Index Options'!$C:$C,$A71,'BSE - Other Index Options'!$B:$B,G$4,'BSE - Other Index Options'!$I:$I,"Weekly*")+SUMIFS('BSE - Other Index Options'!$M:$M,'BSE - Other Index Options'!$C:$C,$A71,'BSE - Other Index Options'!$B:$B,G$4,'BSE - Other Index Options'!$I:$I,"MDAW*")=0,"",SUMIFS('NSE - NIFTY Index Options'!$M:$M,'NSE - NIFTY Index Options'!$C:$C,$A71,'NSE - NIFTY Index Options'!$B:$B,G$4,'NSE - NIFTY Index Options'!$I:$I,"Weekly*")+SUMIFS('NSE - NIFTY Index Options'!$M:$M,'NSE - NIFTY Index Options'!$C:$C,$A71,'NSE - NIFTY Index Options'!$B:$B,G$4,'NSE - NIFTY Index Options'!$I:$I,"MDAW*")+SUMIFS('NSE - Other Index Options'!$M:$M,'NSE - Other Index Options'!$C:$C,$A71,'NSE - Other Index Options'!$B:$B,G$4,'NSE - Other Index Options'!$I:$I,"Weekly*")+SUMIFS('NSE - Other Index Options'!$M:$M,'NSE - Other Index Options'!$C:$C,$A71,'NSE - Other Index Options'!$B:$B,G$4,'NSE - Other Index Options'!$I:$I,"MDAW*")+SUMIFS('BSE - SENSEX Index Options'!$M:$M,'BSE - SENSEX Index Options'!$C:$C,$A71,'BSE - SENSEX Index Options'!$B:$B,G$4,'BSE - SENSEX Index Options'!$I:$I,"Weekly*")+SUMIFS('BSE - SENSEX Index Options'!$M:$M,'BSE - SENSEX Index Options'!$C:$C,$A71,'BSE - SENSEX Index Options'!$B:$B,G$4,'BSE - SENSEX Index Options'!$I:$I,"MDAW*")+SUMIFS('BSE - Other Index Options'!$M:$M,'BSE - Other Index Options'!$C:$C,$A71,'BSE - Other Index Options'!$B:$B,G$4,'BSE - Other Index Options'!$I:$I,"Weekly*")+SUMIFS('BSE - Other Index Options'!$M:$M,'BSE - Other Index Options'!$C:$C,$A71,'BSE - Other Index Options'!$B:$B,G$4,'BSE - Other Index Options'!$I:$I,"MDAW*"))</f>
        <v/>
      </c>
      <c r="H71" s="26">
        <f>IF(SUM(B71:G71)=0,"",SUM(B71:G71))</f>
        <v/>
      </c>
    </row>
    <row r="72" hidden="1" outlineLevel="1">
      <c r="A72" t="inlineStr">
        <is>
          <t>Week4-Oct-2026</t>
        </is>
      </c>
      <c r="B72" s="26">
        <f>IF(SUMIFS('NSE - NIFTY Index Options'!$M:$M,'NSE - NIFTY Index Options'!$C:$C,$A72,'NSE - NIFTY Index Options'!$B:$B,B$4,'NSE - NIFTY Index Options'!$I:$I,"Weekly*")+SUMIFS('NSE - NIFTY Index Options'!$M:$M,'NSE - NIFTY Index Options'!$C:$C,$A72,'NSE - NIFTY Index Options'!$B:$B,B$4,'NSE - NIFTY Index Options'!$I:$I,"MDAW*")+SUMIFS('NSE - Other Index Options'!$M:$M,'NSE - Other Index Options'!$C:$C,$A72,'NSE - Other Index Options'!$B:$B,B$4,'NSE - Other Index Options'!$I:$I,"Weekly*")+SUMIFS('NSE - Other Index Options'!$M:$M,'NSE - Other Index Options'!$C:$C,$A72,'NSE - Other Index Options'!$B:$B,B$4,'NSE - Other Index Options'!$I:$I,"MDAW*")+SUMIFS('BSE - SENSEX Index Options'!$M:$M,'BSE - SENSEX Index Options'!$C:$C,$A72,'BSE - SENSEX Index Options'!$B:$B,B$4,'BSE - SENSEX Index Options'!$I:$I,"Weekly*")+SUMIFS('BSE - SENSEX Index Options'!$M:$M,'BSE - SENSEX Index Options'!$C:$C,$A72,'BSE - SENSEX Index Options'!$B:$B,B$4,'BSE - SENSEX Index Options'!$I:$I,"MDAW*")+SUMIFS('BSE - Other Index Options'!$M:$M,'BSE - Other Index Options'!$C:$C,$A72,'BSE - Other Index Options'!$B:$B,B$4,'BSE - Other Index Options'!$I:$I,"Weekly*")+SUMIFS('BSE - Other Index Options'!$M:$M,'BSE - Other Index Options'!$C:$C,$A72,'BSE - Other Index Options'!$B:$B,B$4,'BSE - Other Index Options'!$I:$I,"MDAW*")=0,"",SUMIFS('NSE - NIFTY Index Options'!$M:$M,'NSE - NIFTY Index Options'!$C:$C,$A72,'NSE - NIFTY Index Options'!$B:$B,B$4,'NSE - NIFTY Index Options'!$I:$I,"Weekly*")+SUMIFS('NSE - NIFTY Index Options'!$M:$M,'NSE - NIFTY Index Options'!$C:$C,$A72,'NSE - NIFTY Index Options'!$B:$B,B$4,'NSE - NIFTY Index Options'!$I:$I,"MDAW*")+SUMIFS('NSE - Other Index Options'!$M:$M,'NSE - Other Index Options'!$C:$C,$A72,'NSE - Other Index Options'!$B:$B,B$4,'NSE - Other Index Options'!$I:$I,"Weekly*")+SUMIFS('NSE - Other Index Options'!$M:$M,'NSE - Other Index Options'!$C:$C,$A72,'NSE - Other Index Options'!$B:$B,B$4,'NSE - Other Index Options'!$I:$I,"MDAW*")+SUMIFS('BSE - SENSEX Index Options'!$M:$M,'BSE - SENSEX Index Options'!$C:$C,$A72,'BSE - SENSEX Index Options'!$B:$B,B$4,'BSE - SENSEX Index Options'!$I:$I,"Weekly*")+SUMIFS('BSE - SENSEX Index Options'!$M:$M,'BSE - SENSEX Index Options'!$C:$C,$A72,'BSE - SENSEX Index Options'!$B:$B,B$4,'BSE - SENSEX Index Options'!$I:$I,"MDAW*")+SUMIFS('BSE - Other Index Options'!$M:$M,'BSE - Other Index Options'!$C:$C,$A72,'BSE - Other Index Options'!$B:$B,B$4,'BSE - Other Index Options'!$I:$I,"Weekly*")+SUMIFS('BSE - Other Index Options'!$M:$M,'BSE - Other Index Options'!$C:$C,$A72,'BSE - Other Index Options'!$B:$B,B$4,'BSE - Other Index Options'!$I:$I,"MDAW*"))</f>
        <v/>
      </c>
      <c r="C72" s="26">
        <f>IF(SUMIFS('NSE - NIFTY Index Options'!$M:$M,'NSE - NIFTY Index Options'!$C:$C,$A72,'NSE - NIFTY Index Options'!$B:$B,C$4,'NSE - NIFTY Index Options'!$I:$I,"Weekly*")+SUMIFS('NSE - NIFTY Index Options'!$M:$M,'NSE - NIFTY Index Options'!$C:$C,$A72,'NSE - NIFTY Index Options'!$B:$B,C$4,'NSE - NIFTY Index Options'!$I:$I,"MDAW*")+SUMIFS('NSE - Other Index Options'!$M:$M,'NSE - Other Index Options'!$C:$C,$A72,'NSE - Other Index Options'!$B:$B,C$4,'NSE - Other Index Options'!$I:$I,"Weekly*")+SUMIFS('NSE - Other Index Options'!$M:$M,'NSE - Other Index Options'!$C:$C,$A72,'NSE - Other Index Options'!$B:$B,C$4,'NSE - Other Index Options'!$I:$I,"MDAW*")+SUMIFS('BSE - SENSEX Index Options'!$M:$M,'BSE - SENSEX Index Options'!$C:$C,$A72,'BSE - SENSEX Index Options'!$B:$B,C$4,'BSE - SENSEX Index Options'!$I:$I,"Weekly*")+SUMIFS('BSE - SENSEX Index Options'!$M:$M,'BSE - SENSEX Index Options'!$C:$C,$A72,'BSE - SENSEX Index Options'!$B:$B,C$4,'BSE - SENSEX Index Options'!$I:$I,"MDAW*")+SUMIFS('BSE - Other Index Options'!$M:$M,'BSE - Other Index Options'!$C:$C,$A72,'BSE - Other Index Options'!$B:$B,C$4,'BSE - Other Index Options'!$I:$I,"Weekly*")+SUMIFS('BSE - Other Index Options'!$M:$M,'BSE - Other Index Options'!$C:$C,$A72,'BSE - Other Index Options'!$B:$B,C$4,'BSE - Other Index Options'!$I:$I,"MDAW*")=0,"",SUMIFS('NSE - NIFTY Index Options'!$M:$M,'NSE - NIFTY Index Options'!$C:$C,$A72,'NSE - NIFTY Index Options'!$B:$B,C$4,'NSE - NIFTY Index Options'!$I:$I,"Weekly*")+SUMIFS('NSE - NIFTY Index Options'!$M:$M,'NSE - NIFTY Index Options'!$C:$C,$A72,'NSE - NIFTY Index Options'!$B:$B,C$4,'NSE - NIFTY Index Options'!$I:$I,"MDAW*")+SUMIFS('NSE - Other Index Options'!$M:$M,'NSE - Other Index Options'!$C:$C,$A72,'NSE - Other Index Options'!$B:$B,C$4,'NSE - Other Index Options'!$I:$I,"Weekly*")+SUMIFS('NSE - Other Index Options'!$M:$M,'NSE - Other Index Options'!$C:$C,$A72,'NSE - Other Index Options'!$B:$B,C$4,'NSE - Other Index Options'!$I:$I,"MDAW*")+SUMIFS('BSE - SENSEX Index Options'!$M:$M,'BSE - SENSEX Index Options'!$C:$C,$A72,'BSE - SENSEX Index Options'!$B:$B,C$4,'BSE - SENSEX Index Options'!$I:$I,"Weekly*")+SUMIFS('BSE - SENSEX Index Options'!$M:$M,'BSE - SENSEX Index Options'!$C:$C,$A72,'BSE - SENSEX Index Options'!$B:$B,C$4,'BSE - SENSEX Index Options'!$I:$I,"MDAW*")+SUMIFS('BSE - Other Index Options'!$M:$M,'BSE - Other Index Options'!$C:$C,$A72,'BSE - Other Index Options'!$B:$B,C$4,'BSE - Other Index Options'!$I:$I,"Weekly*")+SUMIFS('BSE - Other Index Options'!$M:$M,'BSE - Other Index Options'!$C:$C,$A72,'BSE - Other Index Options'!$B:$B,C$4,'BSE - Other Index Options'!$I:$I,"MDAW*"))</f>
        <v/>
      </c>
      <c r="D72" s="26">
        <f>IF(SUMIFS('NSE - NIFTY Index Options'!$M:$M,'NSE - NIFTY Index Options'!$C:$C,$A72,'NSE - NIFTY Index Options'!$B:$B,D$4,'NSE - NIFTY Index Options'!$I:$I,"Weekly*")+SUMIFS('NSE - NIFTY Index Options'!$M:$M,'NSE - NIFTY Index Options'!$C:$C,$A72,'NSE - NIFTY Index Options'!$B:$B,D$4,'NSE - NIFTY Index Options'!$I:$I,"MDAW*")+SUMIFS('NSE - Other Index Options'!$M:$M,'NSE - Other Index Options'!$C:$C,$A72,'NSE - Other Index Options'!$B:$B,D$4,'NSE - Other Index Options'!$I:$I,"Weekly*")+SUMIFS('NSE - Other Index Options'!$M:$M,'NSE - Other Index Options'!$C:$C,$A72,'NSE - Other Index Options'!$B:$B,D$4,'NSE - Other Index Options'!$I:$I,"MDAW*")+SUMIFS('BSE - SENSEX Index Options'!$M:$M,'BSE - SENSEX Index Options'!$C:$C,$A72,'BSE - SENSEX Index Options'!$B:$B,D$4,'BSE - SENSEX Index Options'!$I:$I,"Weekly*")+SUMIFS('BSE - SENSEX Index Options'!$M:$M,'BSE - SENSEX Index Options'!$C:$C,$A72,'BSE - SENSEX Index Options'!$B:$B,D$4,'BSE - SENSEX Index Options'!$I:$I,"MDAW*")+SUMIFS('BSE - Other Index Options'!$M:$M,'BSE - Other Index Options'!$C:$C,$A72,'BSE - Other Index Options'!$B:$B,D$4,'BSE - Other Index Options'!$I:$I,"Weekly*")+SUMIFS('BSE - Other Index Options'!$M:$M,'BSE - Other Index Options'!$C:$C,$A72,'BSE - Other Index Options'!$B:$B,D$4,'BSE - Other Index Options'!$I:$I,"MDAW*")=0,"",SUMIFS('NSE - NIFTY Index Options'!$M:$M,'NSE - NIFTY Index Options'!$C:$C,$A72,'NSE - NIFTY Index Options'!$B:$B,D$4,'NSE - NIFTY Index Options'!$I:$I,"Weekly*")+SUMIFS('NSE - NIFTY Index Options'!$M:$M,'NSE - NIFTY Index Options'!$C:$C,$A72,'NSE - NIFTY Index Options'!$B:$B,D$4,'NSE - NIFTY Index Options'!$I:$I,"MDAW*")+SUMIFS('NSE - Other Index Options'!$M:$M,'NSE - Other Index Options'!$C:$C,$A72,'NSE - Other Index Options'!$B:$B,D$4,'NSE - Other Index Options'!$I:$I,"Weekly*")+SUMIFS('NSE - Other Index Options'!$M:$M,'NSE - Other Index Options'!$C:$C,$A72,'NSE - Other Index Options'!$B:$B,D$4,'NSE - Other Index Options'!$I:$I,"MDAW*")+SUMIFS('BSE - SENSEX Index Options'!$M:$M,'BSE - SENSEX Index Options'!$C:$C,$A72,'BSE - SENSEX Index Options'!$B:$B,D$4,'BSE - SENSEX Index Options'!$I:$I,"Weekly*")+SUMIFS('BSE - SENSEX Index Options'!$M:$M,'BSE - SENSEX Index Options'!$C:$C,$A72,'BSE - SENSEX Index Options'!$B:$B,D$4,'BSE - SENSEX Index Options'!$I:$I,"MDAW*")+SUMIFS('BSE - Other Index Options'!$M:$M,'BSE - Other Index Options'!$C:$C,$A72,'BSE - Other Index Options'!$B:$B,D$4,'BSE - Other Index Options'!$I:$I,"Weekly*")+SUMIFS('BSE - Other Index Options'!$M:$M,'BSE - Other Index Options'!$C:$C,$A72,'BSE - Other Index Options'!$B:$B,D$4,'BSE - Other Index Options'!$I:$I,"MDAW*"))</f>
        <v/>
      </c>
      <c r="E72" s="26">
        <f>IF(SUMIFS('NSE - NIFTY Index Options'!$M:$M,'NSE - NIFTY Index Options'!$C:$C,$A72,'NSE - NIFTY Index Options'!$B:$B,E$4,'NSE - NIFTY Index Options'!$I:$I,"Weekly*")+SUMIFS('NSE - NIFTY Index Options'!$M:$M,'NSE - NIFTY Index Options'!$C:$C,$A72,'NSE - NIFTY Index Options'!$B:$B,E$4,'NSE - NIFTY Index Options'!$I:$I,"MDAW*")+SUMIFS('NSE - Other Index Options'!$M:$M,'NSE - Other Index Options'!$C:$C,$A72,'NSE - Other Index Options'!$B:$B,E$4,'NSE - Other Index Options'!$I:$I,"Weekly*")+SUMIFS('NSE - Other Index Options'!$M:$M,'NSE - Other Index Options'!$C:$C,$A72,'NSE - Other Index Options'!$B:$B,E$4,'NSE - Other Index Options'!$I:$I,"MDAW*")+SUMIFS('BSE - SENSEX Index Options'!$M:$M,'BSE - SENSEX Index Options'!$C:$C,$A72,'BSE - SENSEX Index Options'!$B:$B,E$4,'BSE - SENSEX Index Options'!$I:$I,"Weekly*")+SUMIFS('BSE - SENSEX Index Options'!$M:$M,'BSE - SENSEX Index Options'!$C:$C,$A72,'BSE - SENSEX Index Options'!$B:$B,E$4,'BSE - SENSEX Index Options'!$I:$I,"MDAW*")+SUMIFS('BSE - Other Index Options'!$M:$M,'BSE - Other Index Options'!$C:$C,$A72,'BSE - Other Index Options'!$B:$B,E$4,'BSE - Other Index Options'!$I:$I,"Weekly*")+SUMIFS('BSE - Other Index Options'!$M:$M,'BSE - Other Index Options'!$C:$C,$A72,'BSE - Other Index Options'!$B:$B,E$4,'BSE - Other Index Options'!$I:$I,"MDAW*")=0,"",SUMIFS('NSE - NIFTY Index Options'!$M:$M,'NSE - NIFTY Index Options'!$C:$C,$A72,'NSE - NIFTY Index Options'!$B:$B,E$4,'NSE - NIFTY Index Options'!$I:$I,"Weekly*")+SUMIFS('NSE - NIFTY Index Options'!$M:$M,'NSE - NIFTY Index Options'!$C:$C,$A72,'NSE - NIFTY Index Options'!$B:$B,E$4,'NSE - NIFTY Index Options'!$I:$I,"MDAW*")+SUMIFS('NSE - Other Index Options'!$M:$M,'NSE - Other Index Options'!$C:$C,$A72,'NSE - Other Index Options'!$B:$B,E$4,'NSE - Other Index Options'!$I:$I,"Weekly*")+SUMIFS('NSE - Other Index Options'!$M:$M,'NSE - Other Index Options'!$C:$C,$A72,'NSE - Other Index Options'!$B:$B,E$4,'NSE - Other Index Options'!$I:$I,"MDAW*")+SUMIFS('BSE - SENSEX Index Options'!$M:$M,'BSE - SENSEX Index Options'!$C:$C,$A72,'BSE - SENSEX Index Options'!$B:$B,E$4,'BSE - SENSEX Index Options'!$I:$I,"Weekly*")+SUMIFS('BSE - SENSEX Index Options'!$M:$M,'BSE - SENSEX Index Options'!$C:$C,$A72,'BSE - SENSEX Index Options'!$B:$B,E$4,'BSE - SENSEX Index Options'!$I:$I,"MDAW*")+SUMIFS('BSE - Other Index Options'!$M:$M,'BSE - Other Index Options'!$C:$C,$A72,'BSE - Other Index Options'!$B:$B,E$4,'BSE - Other Index Options'!$I:$I,"Weekly*")+SUMIFS('BSE - Other Index Options'!$M:$M,'BSE - Other Index Options'!$C:$C,$A72,'BSE - Other Index Options'!$B:$B,E$4,'BSE - Other Index Options'!$I:$I,"MDAW*"))</f>
        <v/>
      </c>
      <c r="F72" s="26">
        <f>IF(SUMIFS('NSE - NIFTY Index Options'!$M:$M,'NSE - NIFTY Index Options'!$C:$C,$A72,'NSE - NIFTY Index Options'!$B:$B,F$4,'NSE - NIFTY Index Options'!$I:$I,"Weekly*")+SUMIFS('NSE - NIFTY Index Options'!$M:$M,'NSE - NIFTY Index Options'!$C:$C,$A72,'NSE - NIFTY Index Options'!$B:$B,F$4,'NSE - NIFTY Index Options'!$I:$I,"MDAW*")+SUMIFS('NSE - Other Index Options'!$M:$M,'NSE - Other Index Options'!$C:$C,$A72,'NSE - Other Index Options'!$B:$B,F$4,'NSE - Other Index Options'!$I:$I,"Weekly*")+SUMIFS('NSE - Other Index Options'!$M:$M,'NSE - Other Index Options'!$C:$C,$A72,'NSE - Other Index Options'!$B:$B,F$4,'NSE - Other Index Options'!$I:$I,"MDAW*")+SUMIFS('BSE - SENSEX Index Options'!$M:$M,'BSE - SENSEX Index Options'!$C:$C,$A72,'BSE - SENSEX Index Options'!$B:$B,F$4,'BSE - SENSEX Index Options'!$I:$I,"Weekly*")+SUMIFS('BSE - SENSEX Index Options'!$M:$M,'BSE - SENSEX Index Options'!$C:$C,$A72,'BSE - SENSEX Index Options'!$B:$B,F$4,'BSE - SENSEX Index Options'!$I:$I,"MDAW*")+SUMIFS('BSE - Other Index Options'!$M:$M,'BSE - Other Index Options'!$C:$C,$A72,'BSE - Other Index Options'!$B:$B,F$4,'BSE - Other Index Options'!$I:$I,"Weekly*")+SUMIFS('BSE - Other Index Options'!$M:$M,'BSE - Other Index Options'!$C:$C,$A72,'BSE - Other Index Options'!$B:$B,F$4,'BSE - Other Index Options'!$I:$I,"MDAW*")=0,"",SUMIFS('NSE - NIFTY Index Options'!$M:$M,'NSE - NIFTY Index Options'!$C:$C,$A72,'NSE - NIFTY Index Options'!$B:$B,F$4,'NSE - NIFTY Index Options'!$I:$I,"Weekly*")+SUMIFS('NSE - NIFTY Index Options'!$M:$M,'NSE - NIFTY Index Options'!$C:$C,$A72,'NSE - NIFTY Index Options'!$B:$B,F$4,'NSE - NIFTY Index Options'!$I:$I,"MDAW*")+SUMIFS('NSE - Other Index Options'!$M:$M,'NSE - Other Index Options'!$C:$C,$A72,'NSE - Other Index Options'!$B:$B,F$4,'NSE - Other Index Options'!$I:$I,"Weekly*")+SUMIFS('NSE - Other Index Options'!$M:$M,'NSE - Other Index Options'!$C:$C,$A72,'NSE - Other Index Options'!$B:$B,F$4,'NSE - Other Index Options'!$I:$I,"MDAW*")+SUMIFS('BSE - SENSEX Index Options'!$M:$M,'BSE - SENSEX Index Options'!$C:$C,$A72,'BSE - SENSEX Index Options'!$B:$B,F$4,'BSE - SENSEX Index Options'!$I:$I,"Weekly*")+SUMIFS('BSE - SENSEX Index Options'!$M:$M,'BSE - SENSEX Index Options'!$C:$C,$A72,'BSE - SENSEX Index Options'!$B:$B,F$4,'BSE - SENSEX Index Options'!$I:$I,"MDAW*")+SUMIFS('BSE - Other Index Options'!$M:$M,'BSE - Other Index Options'!$C:$C,$A72,'BSE - Other Index Options'!$B:$B,F$4,'BSE - Other Index Options'!$I:$I,"Weekly*")+SUMIFS('BSE - Other Index Options'!$M:$M,'BSE - Other Index Options'!$C:$C,$A72,'BSE - Other Index Options'!$B:$B,F$4,'BSE - Other Index Options'!$I:$I,"MDAW*"))</f>
        <v/>
      </c>
      <c r="G72" s="26">
        <f>IF(SUMIFS('NSE - NIFTY Index Options'!$M:$M,'NSE - NIFTY Index Options'!$C:$C,$A72,'NSE - NIFTY Index Options'!$B:$B,G$4,'NSE - NIFTY Index Options'!$I:$I,"Weekly*")+SUMIFS('NSE - NIFTY Index Options'!$M:$M,'NSE - NIFTY Index Options'!$C:$C,$A72,'NSE - NIFTY Index Options'!$B:$B,G$4,'NSE - NIFTY Index Options'!$I:$I,"MDAW*")+SUMIFS('NSE - Other Index Options'!$M:$M,'NSE - Other Index Options'!$C:$C,$A72,'NSE - Other Index Options'!$B:$B,G$4,'NSE - Other Index Options'!$I:$I,"Weekly*")+SUMIFS('NSE - Other Index Options'!$M:$M,'NSE - Other Index Options'!$C:$C,$A72,'NSE - Other Index Options'!$B:$B,G$4,'NSE - Other Index Options'!$I:$I,"MDAW*")+SUMIFS('BSE - SENSEX Index Options'!$M:$M,'BSE - SENSEX Index Options'!$C:$C,$A72,'BSE - SENSEX Index Options'!$B:$B,G$4,'BSE - SENSEX Index Options'!$I:$I,"Weekly*")+SUMIFS('BSE - SENSEX Index Options'!$M:$M,'BSE - SENSEX Index Options'!$C:$C,$A72,'BSE - SENSEX Index Options'!$B:$B,G$4,'BSE - SENSEX Index Options'!$I:$I,"MDAW*")+SUMIFS('BSE - Other Index Options'!$M:$M,'BSE - Other Index Options'!$C:$C,$A72,'BSE - Other Index Options'!$B:$B,G$4,'BSE - Other Index Options'!$I:$I,"Weekly*")+SUMIFS('BSE - Other Index Options'!$M:$M,'BSE - Other Index Options'!$C:$C,$A72,'BSE - Other Index Options'!$B:$B,G$4,'BSE - Other Index Options'!$I:$I,"MDAW*")=0,"",SUMIFS('NSE - NIFTY Index Options'!$M:$M,'NSE - NIFTY Index Options'!$C:$C,$A72,'NSE - NIFTY Index Options'!$B:$B,G$4,'NSE - NIFTY Index Options'!$I:$I,"Weekly*")+SUMIFS('NSE - NIFTY Index Options'!$M:$M,'NSE - NIFTY Index Options'!$C:$C,$A72,'NSE - NIFTY Index Options'!$B:$B,G$4,'NSE - NIFTY Index Options'!$I:$I,"MDAW*")+SUMIFS('NSE - Other Index Options'!$M:$M,'NSE - Other Index Options'!$C:$C,$A72,'NSE - Other Index Options'!$B:$B,G$4,'NSE - Other Index Options'!$I:$I,"Weekly*")+SUMIFS('NSE - Other Index Options'!$M:$M,'NSE - Other Index Options'!$C:$C,$A72,'NSE - Other Index Options'!$B:$B,G$4,'NSE - Other Index Options'!$I:$I,"MDAW*")+SUMIFS('BSE - SENSEX Index Options'!$M:$M,'BSE - SENSEX Index Options'!$C:$C,$A72,'BSE - SENSEX Index Options'!$B:$B,G$4,'BSE - SENSEX Index Options'!$I:$I,"Weekly*")+SUMIFS('BSE - SENSEX Index Options'!$M:$M,'BSE - SENSEX Index Options'!$C:$C,$A72,'BSE - SENSEX Index Options'!$B:$B,G$4,'BSE - SENSEX Index Options'!$I:$I,"MDAW*")+SUMIFS('BSE - Other Index Options'!$M:$M,'BSE - Other Index Options'!$C:$C,$A72,'BSE - Other Index Options'!$B:$B,G$4,'BSE - Other Index Options'!$I:$I,"Weekly*")+SUMIFS('BSE - Other Index Options'!$M:$M,'BSE - Other Index Options'!$C:$C,$A72,'BSE - Other Index Options'!$B:$B,G$4,'BSE - Other Index Options'!$I:$I,"MDAW*"))</f>
        <v/>
      </c>
      <c r="H72" s="26">
        <f>IF(SUM(B72:G72)=0,"",SUM(B72:G72))</f>
        <v/>
      </c>
    </row>
    <row r="73" hidden="1" outlineLevel="1">
      <c r="A73" t="inlineStr">
        <is>
          <t>Week5-Oct-2026</t>
        </is>
      </c>
      <c r="B73" s="26">
        <f>IF(SUMIFS('NSE - NIFTY Index Options'!$M:$M,'NSE - NIFTY Index Options'!$C:$C,$A73,'NSE - NIFTY Index Options'!$B:$B,B$4,'NSE - NIFTY Index Options'!$I:$I,"Weekly*")+SUMIFS('NSE - NIFTY Index Options'!$M:$M,'NSE - NIFTY Index Options'!$C:$C,$A73,'NSE - NIFTY Index Options'!$B:$B,B$4,'NSE - NIFTY Index Options'!$I:$I,"MDAW*")+SUMIFS('NSE - Other Index Options'!$M:$M,'NSE - Other Index Options'!$C:$C,$A73,'NSE - Other Index Options'!$B:$B,B$4,'NSE - Other Index Options'!$I:$I,"Weekly*")+SUMIFS('NSE - Other Index Options'!$M:$M,'NSE - Other Index Options'!$C:$C,$A73,'NSE - Other Index Options'!$B:$B,B$4,'NSE - Other Index Options'!$I:$I,"MDAW*")+SUMIFS('BSE - SENSEX Index Options'!$M:$M,'BSE - SENSEX Index Options'!$C:$C,$A73,'BSE - SENSEX Index Options'!$B:$B,B$4,'BSE - SENSEX Index Options'!$I:$I,"Weekly*")+SUMIFS('BSE - SENSEX Index Options'!$M:$M,'BSE - SENSEX Index Options'!$C:$C,$A73,'BSE - SENSEX Index Options'!$B:$B,B$4,'BSE - SENSEX Index Options'!$I:$I,"MDAW*")+SUMIFS('BSE - Other Index Options'!$M:$M,'BSE - Other Index Options'!$C:$C,$A73,'BSE - Other Index Options'!$B:$B,B$4,'BSE - Other Index Options'!$I:$I,"Weekly*")+SUMIFS('BSE - Other Index Options'!$M:$M,'BSE - Other Index Options'!$C:$C,$A73,'BSE - Other Index Options'!$B:$B,B$4,'BSE - Other Index Options'!$I:$I,"MDAW*")=0,"",SUMIFS('NSE - NIFTY Index Options'!$M:$M,'NSE - NIFTY Index Options'!$C:$C,$A73,'NSE - NIFTY Index Options'!$B:$B,B$4,'NSE - NIFTY Index Options'!$I:$I,"Weekly*")+SUMIFS('NSE - NIFTY Index Options'!$M:$M,'NSE - NIFTY Index Options'!$C:$C,$A73,'NSE - NIFTY Index Options'!$B:$B,B$4,'NSE - NIFTY Index Options'!$I:$I,"MDAW*")+SUMIFS('NSE - Other Index Options'!$M:$M,'NSE - Other Index Options'!$C:$C,$A73,'NSE - Other Index Options'!$B:$B,B$4,'NSE - Other Index Options'!$I:$I,"Weekly*")+SUMIFS('NSE - Other Index Options'!$M:$M,'NSE - Other Index Options'!$C:$C,$A73,'NSE - Other Index Options'!$B:$B,B$4,'NSE - Other Index Options'!$I:$I,"MDAW*")+SUMIFS('BSE - SENSEX Index Options'!$M:$M,'BSE - SENSEX Index Options'!$C:$C,$A73,'BSE - SENSEX Index Options'!$B:$B,B$4,'BSE - SENSEX Index Options'!$I:$I,"Weekly*")+SUMIFS('BSE - SENSEX Index Options'!$M:$M,'BSE - SENSEX Index Options'!$C:$C,$A73,'BSE - SENSEX Index Options'!$B:$B,B$4,'BSE - SENSEX Index Options'!$I:$I,"MDAW*")+SUMIFS('BSE - Other Index Options'!$M:$M,'BSE - Other Index Options'!$C:$C,$A73,'BSE - Other Index Options'!$B:$B,B$4,'BSE - Other Index Options'!$I:$I,"Weekly*")+SUMIFS('BSE - Other Index Options'!$M:$M,'BSE - Other Index Options'!$C:$C,$A73,'BSE - Other Index Options'!$B:$B,B$4,'BSE - Other Index Options'!$I:$I,"MDAW*"))</f>
        <v/>
      </c>
      <c r="C73" s="26">
        <f>IF(SUMIFS('NSE - NIFTY Index Options'!$M:$M,'NSE - NIFTY Index Options'!$C:$C,$A73,'NSE - NIFTY Index Options'!$B:$B,C$4,'NSE - NIFTY Index Options'!$I:$I,"Weekly*")+SUMIFS('NSE - NIFTY Index Options'!$M:$M,'NSE - NIFTY Index Options'!$C:$C,$A73,'NSE - NIFTY Index Options'!$B:$B,C$4,'NSE - NIFTY Index Options'!$I:$I,"MDAW*")+SUMIFS('NSE - Other Index Options'!$M:$M,'NSE - Other Index Options'!$C:$C,$A73,'NSE - Other Index Options'!$B:$B,C$4,'NSE - Other Index Options'!$I:$I,"Weekly*")+SUMIFS('NSE - Other Index Options'!$M:$M,'NSE - Other Index Options'!$C:$C,$A73,'NSE - Other Index Options'!$B:$B,C$4,'NSE - Other Index Options'!$I:$I,"MDAW*")+SUMIFS('BSE - SENSEX Index Options'!$M:$M,'BSE - SENSEX Index Options'!$C:$C,$A73,'BSE - SENSEX Index Options'!$B:$B,C$4,'BSE - SENSEX Index Options'!$I:$I,"Weekly*")+SUMIFS('BSE - SENSEX Index Options'!$M:$M,'BSE - SENSEX Index Options'!$C:$C,$A73,'BSE - SENSEX Index Options'!$B:$B,C$4,'BSE - SENSEX Index Options'!$I:$I,"MDAW*")+SUMIFS('BSE - Other Index Options'!$M:$M,'BSE - Other Index Options'!$C:$C,$A73,'BSE - Other Index Options'!$B:$B,C$4,'BSE - Other Index Options'!$I:$I,"Weekly*")+SUMIFS('BSE - Other Index Options'!$M:$M,'BSE - Other Index Options'!$C:$C,$A73,'BSE - Other Index Options'!$B:$B,C$4,'BSE - Other Index Options'!$I:$I,"MDAW*")=0,"",SUMIFS('NSE - NIFTY Index Options'!$M:$M,'NSE - NIFTY Index Options'!$C:$C,$A73,'NSE - NIFTY Index Options'!$B:$B,C$4,'NSE - NIFTY Index Options'!$I:$I,"Weekly*")+SUMIFS('NSE - NIFTY Index Options'!$M:$M,'NSE - NIFTY Index Options'!$C:$C,$A73,'NSE - NIFTY Index Options'!$B:$B,C$4,'NSE - NIFTY Index Options'!$I:$I,"MDAW*")+SUMIFS('NSE - Other Index Options'!$M:$M,'NSE - Other Index Options'!$C:$C,$A73,'NSE - Other Index Options'!$B:$B,C$4,'NSE - Other Index Options'!$I:$I,"Weekly*")+SUMIFS('NSE - Other Index Options'!$M:$M,'NSE - Other Index Options'!$C:$C,$A73,'NSE - Other Index Options'!$B:$B,C$4,'NSE - Other Index Options'!$I:$I,"MDAW*")+SUMIFS('BSE - SENSEX Index Options'!$M:$M,'BSE - SENSEX Index Options'!$C:$C,$A73,'BSE - SENSEX Index Options'!$B:$B,C$4,'BSE - SENSEX Index Options'!$I:$I,"Weekly*")+SUMIFS('BSE - SENSEX Index Options'!$M:$M,'BSE - SENSEX Index Options'!$C:$C,$A73,'BSE - SENSEX Index Options'!$B:$B,C$4,'BSE - SENSEX Index Options'!$I:$I,"MDAW*")+SUMIFS('BSE - Other Index Options'!$M:$M,'BSE - Other Index Options'!$C:$C,$A73,'BSE - Other Index Options'!$B:$B,C$4,'BSE - Other Index Options'!$I:$I,"Weekly*")+SUMIFS('BSE - Other Index Options'!$M:$M,'BSE - Other Index Options'!$C:$C,$A73,'BSE - Other Index Options'!$B:$B,C$4,'BSE - Other Index Options'!$I:$I,"MDAW*"))</f>
        <v/>
      </c>
      <c r="D73" s="26">
        <f>IF(SUMIFS('NSE - NIFTY Index Options'!$M:$M,'NSE - NIFTY Index Options'!$C:$C,$A73,'NSE - NIFTY Index Options'!$B:$B,D$4,'NSE - NIFTY Index Options'!$I:$I,"Weekly*")+SUMIFS('NSE - NIFTY Index Options'!$M:$M,'NSE - NIFTY Index Options'!$C:$C,$A73,'NSE - NIFTY Index Options'!$B:$B,D$4,'NSE - NIFTY Index Options'!$I:$I,"MDAW*")+SUMIFS('NSE - Other Index Options'!$M:$M,'NSE - Other Index Options'!$C:$C,$A73,'NSE - Other Index Options'!$B:$B,D$4,'NSE - Other Index Options'!$I:$I,"Weekly*")+SUMIFS('NSE - Other Index Options'!$M:$M,'NSE - Other Index Options'!$C:$C,$A73,'NSE - Other Index Options'!$B:$B,D$4,'NSE - Other Index Options'!$I:$I,"MDAW*")+SUMIFS('BSE - SENSEX Index Options'!$M:$M,'BSE - SENSEX Index Options'!$C:$C,$A73,'BSE - SENSEX Index Options'!$B:$B,D$4,'BSE - SENSEX Index Options'!$I:$I,"Weekly*")+SUMIFS('BSE - SENSEX Index Options'!$M:$M,'BSE - SENSEX Index Options'!$C:$C,$A73,'BSE - SENSEX Index Options'!$B:$B,D$4,'BSE - SENSEX Index Options'!$I:$I,"MDAW*")+SUMIFS('BSE - Other Index Options'!$M:$M,'BSE - Other Index Options'!$C:$C,$A73,'BSE - Other Index Options'!$B:$B,D$4,'BSE - Other Index Options'!$I:$I,"Weekly*")+SUMIFS('BSE - Other Index Options'!$M:$M,'BSE - Other Index Options'!$C:$C,$A73,'BSE - Other Index Options'!$B:$B,D$4,'BSE - Other Index Options'!$I:$I,"MDAW*")=0,"",SUMIFS('NSE - NIFTY Index Options'!$M:$M,'NSE - NIFTY Index Options'!$C:$C,$A73,'NSE - NIFTY Index Options'!$B:$B,D$4,'NSE - NIFTY Index Options'!$I:$I,"Weekly*")+SUMIFS('NSE - NIFTY Index Options'!$M:$M,'NSE - NIFTY Index Options'!$C:$C,$A73,'NSE - NIFTY Index Options'!$B:$B,D$4,'NSE - NIFTY Index Options'!$I:$I,"MDAW*")+SUMIFS('NSE - Other Index Options'!$M:$M,'NSE - Other Index Options'!$C:$C,$A73,'NSE - Other Index Options'!$B:$B,D$4,'NSE - Other Index Options'!$I:$I,"Weekly*")+SUMIFS('NSE - Other Index Options'!$M:$M,'NSE - Other Index Options'!$C:$C,$A73,'NSE - Other Index Options'!$B:$B,D$4,'NSE - Other Index Options'!$I:$I,"MDAW*")+SUMIFS('BSE - SENSEX Index Options'!$M:$M,'BSE - SENSEX Index Options'!$C:$C,$A73,'BSE - SENSEX Index Options'!$B:$B,D$4,'BSE - SENSEX Index Options'!$I:$I,"Weekly*")+SUMIFS('BSE - SENSEX Index Options'!$M:$M,'BSE - SENSEX Index Options'!$C:$C,$A73,'BSE - SENSEX Index Options'!$B:$B,D$4,'BSE - SENSEX Index Options'!$I:$I,"MDAW*")+SUMIFS('BSE - Other Index Options'!$M:$M,'BSE - Other Index Options'!$C:$C,$A73,'BSE - Other Index Options'!$B:$B,D$4,'BSE - Other Index Options'!$I:$I,"Weekly*")+SUMIFS('BSE - Other Index Options'!$M:$M,'BSE - Other Index Options'!$C:$C,$A73,'BSE - Other Index Options'!$B:$B,D$4,'BSE - Other Index Options'!$I:$I,"MDAW*"))</f>
        <v/>
      </c>
      <c r="E73" s="26">
        <f>IF(SUMIFS('NSE - NIFTY Index Options'!$M:$M,'NSE - NIFTY Index Options'!$C:$C,$A73,'NSE - NIFTY Index Options'!$B:$B,E$4,'NSE - NIFTY Index Options'!$I:$I,"Weekly*")+SUMIFS('NSE - NIFTY Index Options'!$M:$M,'NSE - NIFTY Index Options'!$C:$C,$A73,'NSE - NIFTY Index Options'!$B:$B,E$4,'NSE - NIFTY Index Options'!$I:$I,"MDAW*")+SUMIFS('NSE - Other Index Options'!$M:$M,'NSE - Other Index Options'!$C:$C,$A73,'NSE - Other Index Options'!$B:$B,E$4,'NSE - Other Index Options'!$I:$I,"Weekly*")+SUMIFS('NSE - Other Index Options'!$M:$M,'NSE - Other Index Options'!$C:$C,$A73,'NSE - Other Index Options'!$B:$B,E$4,'NSE - Other Index Options'!$I:$I,"MDAW*")+SUMIFS('BSE - SENSEX Index Options'!$M:$M,'BSE - SENSEX Index Options'!$C:$C,$A73,'BSE - SENSEX Index Options'!$B:$B,E$4,'BSE - SENSEX Index Options'!$I:$I,"Weekly*")+SUMIFS('BSE - SENSEX Index Options'!$M:$M,'BSE - SENSEX Index Options'!$C:$C,$A73,'BSE - SENSEX Index Options'!$B:$B,E$4,'BSE - SENSEX Index Options'!$I:$I,"MDAW*")+SUMIFS('BSE - Other Index Options'!$M:$M,'BSE - Other Index Options'!$C:$C,$A73,'BSE - Other Index Options'!$B:$B,E$4,'BSE - Other Index Options'!$I:$I,"Weekly*")+SUMIFS('BSE - Other Index Options'!$M:$M,'BSE - Other Index Options'!$C:$C,$A73,'BSE - Other Index Options'!$B:$B,E$4,'BSE - Other Index Options'!$I:$I,"MDAW*")=0,"",SUMIFS('NSE - NIFTY Index Options'!$M:$M,'NSE - NIFTY Index Options'!$C:$C,$A73,'NSE - NIFTY Index Options'!$B:$B,E$4,'NSE - NIFTY Index Options'!$I:$I,"Weekly*")+SUMIFS('NSE - NIFTY Index Options'!$M:$M,'NSE - NIFTY Index Options'!$C:$C,$A73,'NSE - NIFTY Index Options'!$B:$B,E$4,'NSE - NIFTY Index Options'!$I:$I,"MDAW*")+SUMIFS('NSE - Other Index Options'!$M:$M,'NSE - Other Index Options'!$C:$C,$A73,'NSE - Other Index Options'!$B:$B,E$4,'NSE - Other Index Options'!$I:$I,"Weekly*")+SUMIFS('NSE - Other Index Options'!$M:$M,'NSE - Other Index Options'!$C:$C,$A73,'NSE - Other Index Options'!$B:$B,E$4,'NSE - Other Index Options'!$I:$I,"MDAW*")+SUMIFS('BSE - SENSEX Index Options'!$M:$M,'BSE - SENSEX Index Options'!$C:$C,$A73,'BSE - SENSEX Index Options'!$B:$B,E$4,'BSE - SENSEX Index Options'!$I:$I,"Weekly*")+SUMIFS('BSE - SENSEX Index Options'!$M:$M,'BSE - SENSEX Index Options'!$C:$C,$A73,'BSE - SENSEX Index Options'!$B:$B,E$4,'BSE - SENSEX Index Options'!$I:$I,"MDAW*")+SUMIFS('BSE - Other Index Options'!$M:$M,'BSE - Other Index Options'!$C:$C,$A73,'BSE - Other Index Options'!$B:$B,E$4,'BSE - Other Index Options'!$I:$I,"Weekly*")+SUMIFS('BSE - Other Index Options'!$M:$M,'BSE - Other Index Options'!$C:$C,$A73,'BSE - Other Index Options'!$B:$B,E$4,'BSE - Other Index Options'!$I:$I,"MDAW*"))</f>
        <v/>
      </c>
      <c r="F73" s="26">
        <f>IF(SUMIFS('NSE - NIFTY Index Options'!$M:$M,'NSE - NIFTY Index Options'!$C:$C,$A73,'NSE - NIFTY Index Options'!$B:$B,F$4,'NSE - NIFTY Index Options'!$I:$I,"Weekly*")+SUMIFS('NSE - NIFTY Index Options'!$M:$M,'NSE - NIFTY Index Options'!$C:$C,$A73,'NSE - NIFTY Index Options'!$B:$B,F$4,'NSE - NIFTY Index Options'!$I:$I,"MDAW*")+SUMIFS('NSE - Other Index Options'!$M:$M,'NSE - Other Index Options'!$C:$C,$A73,'NSE - Other Index Options'!$B:$B,F$4,'NSE - Other Index Options'!$I:$I,"Weekly*")+SUMIFS('NSE - Other Index Options'!$M:$M,'NSE - Other Index Options'!$C:$C,$A73,'NSE - Other Index Options'!$B:$B,F$4,'NSE - Other Index Options'!$I:$I,"MDAW*")+SUMIFS('BSE - SENSEX Index Options'!$M:$M,'BSE - SENSEX Index Options'!$C:$C,$A73,'BSE - SENSEX Index Options'!$B:$B,F$4,'BSE - SENSEX Index Options'!$I:$I,"Weekly*")+SUMIFS('BSE - SENSEX Index Options'!$M:$M,'BSE - SENSEX Index Options'!$C:$C,$A73,'BSE - SENSEX Index Options'!$B:$B,F$4,'BSE - SENSEX Index Options'!$I:$I,"MDAW*")+SUMIFS('BSE - Other Index Options'!$M:$M,'BSE - Other Index Options'!$C:$C,$A73,'BSE - Other Index Options'!$B:$B,F$4,'BSE - Other Index Options'!$I:$I,"Weekly*")+SUMIFS('BSE - Other Index Options'!$M:$M,'BSE - Other Index Options'!$C:$C,$A73,'BSE - Other Index Options'!$B:$B,F$4,'BSE - Other Index Options'!$I:$I,"MDAW*")=0,"",SUMIFS('NSE - NIFTY Index Options'!$M:$M,'NSE - NIFTY Index Options'!$C:$C,$A73,'NSE - NIFTY Index Options'!$B:$B,F$4,'NSE - NIFTY Index Options'!$I:$I,"Weekly*")+SUMIFS('NSE - NIFTY Index Options'!$M:$M,'NSE - NIFTY Index Options'!$C:$C,$A73,'NSE - NIFTY Index Options'!$B:$B,F$4,'NSE - NIFTY Index Options'!$I:$I,"MDAW*")+SUMIFS('NSE - Other Index Options'!$M:$M,'NSE - Other Index Options'!$C:$C,$A73,'NSE - Other Index Options'!$B:$B,F$4,'NSE - Other Index Options'!$I:$I,"Weekly*")+SUMIFS('NSE - Other Index Options'!$M:$M,'NSE - Other Index Options'!$C:$C,$A73,'NSE - Other Index Options'!$B:$B,F$4,'NSE - Other Index Options'!$I:$I,"MDAW*")+SUMIFS('BSE - SENSEX Index Options'!$M:$M,'BSE - SENSEX Index Options'!$C:$C,$A73,'BSE - SENSEX Index Options'!$B:$B,F$4,'BSE - SENSEX Index Options'!$I:$I,"Weekly*")+SUMIFS('BSE - SENSEX Index Options'!$M:$M,'BSE - SENSEX Index Options'!$C:$C,$A73,'BSE - SENSEX Index Options'!$B:$B,F$4,'BSE - SENSEX Index Options'!$I:$I,"MDAW*")+SUMIFS('BSE - Other Index Options'!$M:$M,'BSE - Other Index Options'!$C:$C,$A73,'BSE - Other Index Options'!$B:$B,F$4,'BSE - Other Index Options'!$I:$I,"Weekly*")+SUMIFS('BSE - Other Index Options'!$M:$M,'BSE - Other Index Options'!$C:$C,$A73,'BSE - Other Index Options'!$B:$B,F$4,'BSE - Other Index Options'!$I:$I,"MDAW*"))</f>
        <v/>
      </c>
      <c r="G73" s="26">
        <f>IF(SUMIFS('NSE - NIFTY Index Options'!$M:$M,'NSE - NIFTY Index Options'!$C:$C,$A73,'NSE - NIFTY Index Options'!$B:$B,G$4,'NSE - NIFTY Index Options'!$I:$I,"Weekly*")+SUMIFS('NSE - NIFTY Index Options'!$M:$M,'NSE - NIFTY Index Options'!$C:$C,$A73,'NSE - NIFTY Index Options'!$B:$B,G$4,'NSE - NIFTY Index Options'!$I:$I,"MDAW*")+SUMIFS('NSE - Other Index Options'!$M:$M,'NSE - Other Index Options'!$C:$C,$A73,'NSE - Other Index Options'!$B:$B,G$4,'NSE - Other Index Options'!$I:$I,"Weekly*")+SUMIFS('NSE - Other Index Options'!$M:$M,'NSE - Other Index Options'!$C:$C,$A73,'NSE - Other Index Options'!$B:$B,G$4,'NSE - Other Index Options'!$I:$I,"MDAW*")+SUMIFS('BSE - SENSEX Index Options'!$M:$M,'BSE - SENSEX Index Options'!$C:$C,$A73,'BSE - SENSEX Index Options'!$B:$B,G$4,'BSE - SENSEX Index Options'!$I:$I,"Weekly*")+SUMIFS('BSE - SENSEX Index Options'!$M:$M,'BSE - SENSEX Index Options'!$C:$C,$A73,'BSE - SENSEX Index Options'!$B:$B,G$4,'BSE - SENSEX Index Options'!$I:$I,"MDAW*")+SUMIFS('BSE - Other Index Options'!$M:$M,'BSE - Other Index Options'!$C:$C,$A73,'BSE - Other Index Options'!$B:$B,G$4,'BSE - Other Index Options'!$I:$I,"Weekly*")+SUMIFS('BSE - Other Index Options'!$M:$M,'BSE - Other Index Options'!$C:$C,$A73,'BSE - Other Index Options'!$B:$B,G$4,'BSE - Other Index Options'!$I:$I,"MDAW*")=0,"",SUMIFS('NSE - NIFTY Index Options'!$M:$M,'NSE - NIFTY Index Options'!$C:$C,$A73,'NSE - NIFTY Index Options'!$B:$B,G$4,'NSE - NIFTY Index Options'!$I:$I,"Weekly*")+SUMIFS('NSE - NIFTY Index Options'!$M:$M,'NSE - NIFTY Index Options'!$C:$C,$A73,'NSE - NIFTY Index Options'!$B:$B,G$4,'NSE - NIFTY Index Options'!$I:$I,"MDAW*")+SUMIFS('NSE - Other Index Options'!$M:$M,'NSE - Other Index Options'!$C:$C,$A73,'NSE - Other Index Options'!$B:$B,G$4,'NSE - Other Index Options'!$I:$I,"Weekly*")+SUMIFS('NSE - Other Index Options'!$M:$M,'NSE - Other Index Options'!$C:$C,$A73,'NSE - Other Index Options'!$B:$B,G$4,'NSE - Other Index Options'!$I:$I,"MDAW*")+SUMIFS('BSE - SENSEX Index Options'!$M:$M,'BSE - SENSEX Index Options'!$C:$C,$A73,'BSE - SENSEX Index Options'!$B:$B,G$4,'BSE - SENSEX Index Options'!$I:$I,"Weekly*")+SUMIFS('BSE - SENSEX Index Options'!$M:$M,'BSE - SENSEX Index Options'!$C:$C,$A73,'BSE - SENSEX Index Options'!$B:$B,G$4,'BSE - SENSEX Index Options'!$I:$I,"MDAW*")+SUMIFS('BSE - Other Index Options'!$M:$M,'BSE - Other Index Options'!$C:$C,$A73,'BSE - Other Index Options'!$B:$B,G$4,'BSE - Other Index Options'!$I:$I,"Weekly*")+SUMIFS('BSE - Other Index Options'!$M:$M,'BSE - Other Index Options'!$C:$C,$A73,'BSE - Other Index Options'!$B:$B,G$4,'BSE - Other Index Options'!$I:$I,"MDAW*"))</f>
        <v/>
      </c>
      <c r="H73" s="26">
        <f>IF(SUM(B73:G73)=0,"",SUM(B73:G73))</f>
        <v/>
      </c>
    </row>
    <row r="74" hidden="1" outlineLevel="1">
      <c r="A74" t="inlineStr">
        <is>
          <t>Week1-Nov-2026</t>
        </is>
      </c>
      <c r="B74" s="26">
        <f>IF(SUMIFS('NSE - NIFTY Index Options'!$M:$M,'NSE - NIFTY Index Options'!$C:$C,$A74,'NSE - NIFTY Index Options'!$B:$B,B$4,'NSE - NIFTY Index Options'!$I:$I,"Weekly*")+SUMIFS('NSE - NIFTY Index Options'!$M:$M,'NSE - NIFTY Index Options'!$C:$C,$A74,'NSE - NIFTY Index Options'!$B:$B,B$4,'NSE - NIFTY Index Options'!$I:$I,"MDAW*")+SUMIFS('NSE - Other Index Options'!$M:$M,'NSE - Other Index Options'!$C:$C,$A74,'NSE - Other Index Options'!$B:$B,B$4,'NSE - Other Index Options'!$I:$I,"Weekly*")+SUMIFS('NSE - Other Index Options'!$M:$M,'NSE - Other Index Options'!$C:$C,$A74,'NSE - Other Index Options'!$B:$B,B$4,'NSE - Other Index Options'!$I:$I,"MDAW*")+SUMIFS('BSE - SENSEX Index Options'!$M:$M,'BSE - SENSEX Index Options'!$C:$C,$A74,'BSE - SENSEX Index Options'!$B:$B,B$4,'BSE - SENSEX Index Options'!$I:$I,"Weekly*")+SUMIFS('BSE - SENSEX Index Options'!$M:$M,'BSE - SENSEX Index Options'!$C:$C,$A74,'BSE - SENSEX Index Options'!$B:$B,B$4,'BSE - SENSEX Index Options'!$I:$I,"MDAW*")+SUMIFS('BSE - Other Index Options'!$M:$M,'BSE - Other Index Options'!$C:$C,$A74,'BSE - Other Index Options'!$B:$B,B$4,'BSE - Other Index Options'!$I:$I,"Weekly*")+SUMIFS('BSE - Other Index Options'!$M:$M,'BSE - Other Index Options'!$C:$C,$A74,'BSE - Other Index Options'!$B:$B,B$4,'BSE - Other Index Options'!$I:$I,"MDAW*")=0,"",SUMIFS('NSE - NIFTY Index Options'!$M:$M,'NSE - NIFTY Index Options'!$C:$C,$A74,'NSE - NIFTY Index Options'!$B:$B,B$4,'NSE - NIFTY Index Options'!$I:$I,"Weekly*")+SUMIFS('NSE - NIFTY Index Options'!$M:$M,'NSE - NIFTY Index Options'!$C:$C,$A74,'NSE - NIFTY Index Options'!$B:$B,B$4,'NSE - NIFTY Index Options'!$I:$I,"MDAW*")+SUMIFS('NSE - Other Index Options'!$M:$M,'NSE - Other Index Options'!$C:$C,$A74,'NSE - Other Index Options'!$B:$B,B$4,'NSE - Other Index Options'!$I:$I,"Weekly*")+SUMIFS('NSE - Other Index Options'!$M:$M,'NSE - Other Index Options'!$C:$C,$A74,'NSE - Other Index Options'!$B:$B,B$4,'NSE - Other Index Options'!$I:$I,"MDAW*")+SUMIFS('BSE - SENSEX Index Options'!$M:$M,'BSE - SENSEX Index Options'!$C:$C,$A74,'BSE - SENSEX Index Options'!$B:$B,B$4,'BSE - SENSEX Index Options'!$I:$I,"Weekly*")+SUMIFS('BSE - SENSEX Index Options'!$M:$M,'BSE - SENSEX Index Options'!$C:$C,$A74,'BSE - SENSEX Index Options'!$B:$B,B$4,'BSE - SENSEX Index Options'!$I:$I,"MDAW*")+SUMIFS('BSE - Other Index Options'!$M:$M,'BSE - Other Index Options'!$C:$C,$A74,'BSE - Other Index Options'!$B:$B,B$4,'BSE - Other Index Options'!$I:$I,"Weekly*")+SUMIFS('BSE - Other Index Options'!$M:$M,'BSE - Other Index Options'!$C:$C,$A74,'BSE - Other Index Options'!$B:$B,B$4,'BSE - Other Index Options'!$I:$I,"MDAW*"))</f>
        <v/>
      </c>
      <c r="C74" s="26">
        <f>IF(SUMIFS('NSE - NIFTY Index Options'!$M:$M,'NSE - NIFTY Index Options'!$C:$C,$A74,'NSE - NIFTY Index Options'!$B:$B,C$4,'NSE - NIFTY Index Options'!$I:$I,"Weekly*")+SUMIFS('NSE - NIFTY Index Options'!$M:$M,'NSE - NIFTY Index Options'!$C:$C,$A74,'NSE - NIFTY Index Options'!$B:$B,C$4,'NSE - NIFTY Index Options'!$I:$I,"MDAW*")+SUMIFS('NSE - Other Index Options'!$M:$M,'NSE - Other Index Options'!$C:$C,$A74,'NSE - Other Index Options'!$B:$B,C$4,'NSE - Other Index Options'!$I:$I,"Weekly*")+SUMIFS('NSE - Other Index Options'!$M:$M,'NSE - Other Index Options'!$C:$C,$A74,'NSE - Other Index Options'!$B:$B,C$4,'NSE - Other Index Options'!$I:$I,"MDAW*")+SUMIFS('BSE - SENSEX Index Options'!$M:$M,'BSE - SENSEX Index Options'!$C:$C,$A74,'BSE - SENSEX Index Options'!$B:$B,C$4,'BSE - SENSEX Index Options'!$I:$I,"Weekly*")+SUMIFS('BSE - SENSEX Index Options'!$M:$M,'BSE - SENSEX Index Options'!$C:$C,$A74,'BSE - SENSEX Index Options'!$B:$B,C$4,'BSE - SENSEX Index Options'!$I:$I,"MDAW*")+SUMIFS('BSE - Other Index Options'!$M:$M,'BSE - Other Index Options'!$C:$C,$A74,'BSE - Other Index Options'!$B:$B,C$4,'BSE - Other Index Options'!$I:$I,"Weekly*")+SUMIFS('BSE - Other Index Options'!$M:$M,'BSE - Other Index Options'!$C:$C,$A74,'BSE - Other Index Options'!$B:$B,C$4,'BSE - Other Index Options'!$I:$I,"MDAW*")=0,"",SUMIFS('NSE - NIFTY Index Options'!$M:$M,'NSE - NIFTY Index Options'!$C:$C,$A74,'NSE - NIFTY Index Options'!$B:$B,C$4,'NSE - NIFTY Index Options'!$I:$I,"Weekly*")+SUMIFS('NSE - NIFTY Index Options'!$M:$M,'NSE - NIFTY Index Options'!$C:$C,$A74,'NSE - NIFTY Index Options'!$B:$B,C$4,'NSE - NIFTY Index Options'!$I:$I,"MDAW*")+SUMIFS('NSE - Other Index Options'!$M:$M,'NSE - Other Index Options'!$C:$C,$A74,'NSE - Other Index Options'!$B:$B,C$4,'NSE - Other Index Options'!$I:$I,"Weekly*")+SUMIFS('NSE - Other Index Options'!$M:$M,'NSE - Other Index Options'!$C:$C,$A74,'NSE - Other Index Options'!$B:$B,C$4,'NSE - Other Index Options'!$I:$I,"MDAW*")+SUMIFS('BSE - SENSEX Index Options'!$M:$M,'BSE - SENSEX Index Options'!$C:$C,$A74,'BSE - SENSEX Index Options'!$B:$B,C$4,'BSE - SENSEX Index Options'!$I:$I,"Weekly*")+SUMIFS('BSE - SENSEX Index Options'!$M:$M,'BSE - SENSEX Index Options'!$C:$C,$A74,'BSE - SENSEX Index Options'!$B:$B,C$4,'BSE - SENSEX Index Options'!$I:$I,"MDAW*")+SUMIFS('BSE - Other Index Options'!$M:$M,'BSE - Other Index Options'!$C:$C,$A74,'BSE - Other Index Options'!$B:$B,C$4,'BSE - Other Index Options'!$I:$I,"Weekly*")+SUMIFS('BSE - Other Index Options'!$M:$M,'BSE - Other Index Options'!$C:$C,$A74,'BSE - Other Index Options'!$B:$B,C$4,'BSE - Other Index Options'!$I:$I,"MDAW*"))</f>
        <v/>
      </c>
      <c r="D74" s="26">
        <f>IF(SUMIFS('NSE - NIFTY Index Options'!$M:$M,'NSE - NIFTY Index Options'!$C:$C,$A74,'NSE - NIFTY Index Options'!$B:$B,D$4,'NSE - NIFTY Index Options'!$I:$I,"Weekly*")+SUMIFS('NSE - NIFTY Index Options'!$M:$M,'NSE - NIFTY Index Options'!$C:$C,$A74,'NSE - NIFTY Index Options'!$B:$B,D$4,'NSE - NIFTY Index Options'!$I:$I,"MDAW*")+SUMIFS('NSE - Other Index Options'!$M:$M,'NSE - Other Index Options'!$C:$C,$A74,'NSE - Other Index Options'!$B:$B,D$4,'NSE - Other Index Options'!$I:$I,"Weekly*")+SUMIFS('NSE - Other Index Options'!$M:$M,'NSE - Other Index Options'!$C:$C,$A74,'NSE - Other Index Options'!$B:$B,D$4,'NSE - Other Index Options'!$I:$I,"MDAW*")+SUMIFS('BSE - SENSEX Index Options'!$M:$M,'BSE - SENSEX Index Options'!$C:$C,$A74,'BSE - SENSEX Index Options'!$B:$B,D$4,'BSE - SENSEX Index Options'!$I:$I,"Weekly*")+SUMIFS('BSE - SENSEX Index Options'!$M:$M,'BSE - SENSEX Index Options'!$C:$C,$A74,'BSE - SENSEX Index Options'!$B:$B,D$4,'BSE - SENSEX Index Options'!$I:$I,"MDAW*")+SUMIFS('BSE - Other Index Options'!$M:$M,'BSE - Other Index Options'!$C:$C,$A74,'BSE - Other Index Options'!$B:$B,D$4,'BSE - Other Index Options'!$I:$I,"Weekly*")+SUMIFS('BSE - Other Index Options'!$M:$M,'BSE - Other Index Options'!$C:$C,$A74,'BSE - Other Index Options'!$B:$B,D$4,'BSE - Other Index Options'!$I:$I,"MDAW*")=0,"",SUMIFS('NSE - NIFTY Index Options'!$M:$M,'NSE - NIFTY Index Options'!$C:$C,$A74,'NSE - NIFTY Index Options'!$B:$B,D$4,'NSE - NIFTY Index Options'!$I:$I,"Weekly*")+SUMIFS('NSE - NIFTY Index Options'!$M:$M,'NSE - NIFTY Index Options'!$C:$C,$A74,'NSE - NIFTY Index Options'!$B:$B,D$4,'NSE - NIFTY Index Options'!$I:$I,"MDAW*")+SUMIFS('NSE - Other Index Options'!$M:$M,'NSE - Other Index Options'!$C:$C,$A74,'NSE - Other Index Options'!$B:$B,D$4,'NSE - Other Index Options'!$I:$I,"Weekly*")+SUMIFS('NSE - Other Index Options'!$M:$M,'NSE - Other Index Options'!$C:$C,$A74,'NSE - Other Index Options'!$B:$B,D$4,'NSE - Other Index Options'!$I:$I,"MDAW*")+SUMIFS('BSE - SENSEX Index Options'!$M:$M,'BSE - SENSEX Index Options'!$C:$C,$A74,'BSE - SENSEX Index Options'!$B:$B,D$4,'BSE - SENSEX Index Options'!$I:$I,"Weekly*")+SUMIFS('BSE - SENSEX Index Options'!$M:$M,'BSE - SENSEX Index Options'!$C:$C,$A74,'BSE - SENSEX Index Options'!$B:$B,D$4,'BSE - SENSEX Index Options'!$I:$I,"MDAW*")+SUMIFS('BSE - Other Index Options'!$M:$M,'BSE - Other Index Options'!$C:$C,$A74,'BSE - Other Index Options'!$B:$B,D$4,'BSE - Other Index Options'!$I:$I,"Weekly*")+SUMIFS('BSE - Other Index Options'!$M:$M,'BSE - Other Index Options'!$C:$C,$A74,'BSE - Other Index Options'!$B:$B,D$4,'BSE - Other Index Options'!$I:$I,"MDAW*"))</f>
        <v/>
      </c>
      <c r="E74" s="26">
        <f>IF(SUMIFS('NSE - NIFTY Index Options'!$M:$M,'NSE - NIFTY Index Options'!$C:$C,$A74,'NSE - NIFTY Index Options'!$B:$B,E$4,'NSE - NIFTY Index Options'!$I:$I,"Weekly*")+SUMIFS('NSE - NIFTY Index Options'!$M:$M,'NSE - NIFTY Index Options'!$C:$C,$A74,'NSE - NIFTY Index Options'!$B:$B,E$4,'NSE - NIFTY Index Options'!$I:$I,"MDAW*")+SUMIFS('NSE - Other Index Options'!$M:$M,'NSE - Other Index Options'!$C:$C,$A74,'NSE - Other Index Options'!$B:$B,E$4,'NSE - Other Index Options'!$I:$I,"Weekly*")+SUMIFS('NSE - Other Index Options'!$M:$M,'NSE - Other Index Options'!$C:$C,$A74,'NSE - Other Index Options'!$B:$B,E$4,'NSE - Other Index Options'!$I:$I,"MDAW*")+SUMIFS('BSE - SENSEX Index Options'!$M:$M,'BSE - SENSEX Index Options'!$C:$C,$A74,'BSE - SENSEX Index Options'!$B:$B,E$4,'BSE - SENSEX Index Options'!$I:$I,"Weekly*")+SUMIFS('BSE - SENSEX Index Options'!$M:$M,'BSE - SENSEX Index Options'!$C:$C,$A74,'BSE - SENSEX Index Options'!$B:$B,E$4,'BSE - SENSEX Index Options'!$I:$I,"MDAW*")+SUMIFS('BSE - Other Index Options'!$M:$M,'BSE - Other Index Options'!$C:$C,$A74,'BSE - Other Index Options'!$B:$B,E$4,'BSE - Other Index Options'!$I:$I,"Weekly*")+SUMIFS('BSE - Other Index Options'!$M:$M,'BSE - Other Index Options'!$C:$C,$A74,'BSE - Other Index Options'!$B:$B,E$4,'BSE - Other Index Options'!$I:$I,"MDAW*")=0,"",SUMIFS('NSE - NIFTY Index Options'!$M:$M,'NSE - NIFTY Index Options'!$C:$C,$A74,'NSE - NIFTY Index Options'!$B:$B,E$4,'NSE - NIFTY Index Options'!$I:$I,"Weekly*")+SUMIFS('NSE - NIFTY Index Options'!$M:$M,'NSE - NIFTY Index Options'!$C:$C,$A74,'NSE - NIFTY Index Options'!$B:$B,E$4,'NSE - NIFTY Index Options'!$I:$I,"MDAW*")+SUMIFS('NSE - Other Index Options'!$M:$M,'NSE - Other Index Options'!$C:$C,$A74,'NSE - Other Index Options'!$B:$B,E$4,'NSE - Other Index Options'!$I:$I,"Weekly*")+SUMIFS('NSE - Other Index Options'!$M:$M,'NSE - Other Index Options'!$C:$C,$A74,'NSE - Other Index Options'!$B:$B,E$4,'NSE - Other Index Options'!$I:$I,"MDAW*")+SUMIFS('BSE - SENSEX Index Options'!$M:$M,'BSE - SENSEX Index Options'!$C:$C,$A74,'BSE - SENSEX Index Options'!$B:$B,E$4,'BSE - SENSEX Index Options'!$I:$I,"Weekly*")+SUMIFS('BSE - SENSEX Index Options'!$M:$M,'BSE - SENSEX Index Options'!$C:$C,$A74,'BSE - SENSEX Index Options'!$B:$B,E$4,'BSE - SENSEX Index Options'!$I:$I,"MDAW*")+SUMIFS('BSE - Other Index Options'!$M:$M,'BSE - Other Index Options'!$C:$C,$A74,'BSE - Other Index Options'!$B:$B,E$4,'BSE - Other Index Options'!$I:$I,"Weekly*")+SUMIFS('BSE - Other Index Options'!$M:$M,'BSE - Other Index Options'!$C:$C,$A74,'BSE - Other Index Options'!$B:$B,E$4,'BSE - Other Index Options'!$I:$I,"MDAW*"))</f>
        <v/>
      </c>
      <c r="F74" s="26">
        <f>IF(SUMIFS('NSE - NIFTY Index Options'!$M:$M,'NSE - NIFTY Index Options'!$C:$C,$A74,'NSE - NIFTY Index Options'!$B:$B,F$4,'NSE - NIFTY Index Options'!$I:$I,"Weekly*")+SUMIFS('NSE - NIFTY Index Options'!$M:$M,'NSE - NIFTY Index Options'!$C:$C,$A74,'NSE - NIFTY Index Options'!$B:$B,F$4,'NSE - NIFTY Index Options'!$I:$I,"MDAW*")+SUMIFS('NSE - Other Index Options'!$M:$M,'NSE - Other Index Options'!$C:$C,$A74,'NSE - Other Index Options'!$B:$B,F$4,'NSE - Other Index Options'!$I:$I,"Weekly*")+SUMIFS('NSE - Other Index Options'!$M:$M,'NSE - Other Index Options'!$C:$C,$A74,'NSE - Other Index Options'!$B:$B,F$4,'NSE - Other Index Options'!$I:$I,"MDAW*")+SUMIFS('BSE - SENSEX Index Options'!$M:$M,'BSE - SENSEX Index Options'!$C:$C,$A74,'BSE - SENSEX Index Options'!$B:$B,F$4,'BSE - SENSEX Index Options'!$I:$I,"Weekly*")+SUMIFS('BSE - SENSEX Index Options'!$M:$M,'BSE - SENSEX Index Options'!$C:$C,$A74,'BSE - SENSEX Index Options'!$B:$B,F$4,'BSE - SENSEX Index Options'!$I:$I,"MDAW*")+SUMIFS('BSE - Other Index Options'!$M:$M,'BSE - Other Index Options'!$C:$C,$A74,'BSE - Other Index Options'!$B:$B,F$4,'BSE - Other Index Options'!$I:$I,"Weekly*")+SUMIFS('BSE - Other Index Options'!$M:$M,'BSE - Other Index Options'!$C:$C,$A74,'BSE - Other Index Options'!$B:$B,F$4,'BSE - Other Index Options'!$I:$I,"MDAW*")=0,"",SUMIFS('NSE - NIFTY Index Options'!$M:$M,'NSE - NIFTY Index Options'!$C:$C,$A74,'NSE - NIFTY Index Options'!$B:$B,F$4,'NSE - NIFTY Index Options'!$I:$I,"Weekly*")+SUMIFS('NSE - NIFTY Index Options'!$M:$M,'NSE - NIFTY Index Options'!$C:$C,$A74,'NSE - NIFTY Index Options'!$B:$B,F$4,'NSE - NIFTY Index Options'!$I:$I,"MDAW*")+SUMIFS('NSE - Other Index Options'!$M:$M,'NSE - Other Index Options'!$C:$C,$A74,'NSE - Other Index Options'!$B:$B,F$4,'NSE - Other Index Options'!$I:$I,"Weekly*")+SUMIFS('NSE - Other Index Options'!$M:$M,'NSE - Other Index Options'!$C:$C,$A74,'NSE - Other Index Options'!$B:$B,F$4,'NSE - Other Index Options'!$I:$I,"MDAW*")+SUMIFS('BSE - SENSEX Index Options'!$M:$M,'BSE - SENSEX Index Options'!$C:$C,$A74,'BSE - SENSEX Index Options'!$B:$B,F$4,'BSE - SENSEX Index Options'!$I:$I,"Weekly*")+SUMIFS('BSE - SENSEX Index Options'!$M:$M,'BSE - SENSEX Index Options'!$C:$C,$A74,'BSE - SENSEX Index Options'!$B:$B,F$4,'BSE - SENSEX Index Options'!$I:$I,"MDAW*")+SUMIFS('BSE - Other Index Options'!$M:$M,'BSE - Other Index Options'!$C:$C,$A74,'BSE - Other Index Options'!$B:$B,F$4,'BSE - Other Index Options'!$I:$I,"Weekly*")+SUMIFS('BSE - Other Index Options'!$M:$M,'BSE - Other Index Options'!$C:$C,$A74,'BSE - Other Index Options'!$B:$B,F$4,'BSE - Other Index Options'!$I:$I,"MDAW*"))</f>
        <v/>
      </c>
      <c r="G74" s="26">
        <f>IF(SUMIFS('NSE - NIFTY Index Options'!$M:$M,'NSE - NIFTY Index Options'!$C:$C,$A74,'NSE - NIFTY Index Options'!$B:$B,G$4,'NSE - NIFTY Index Options'!$I:$I,"Weekly*")+SUMIFS('NSE - NIFTY Index Options'!$M:$M,'NSE - NIFTY Index Options'!$C:$C,$A74,'NSE - NIFTY Index Options'!$B:$B,G$4,'NSE - NIFTY Index Options'!$I:$I,"MDAW*")+SUMIFS('NSE - Other Index Options'!$M:$M,'NSE - Other Index Options'!$C:$C,$A74,'NSE - Other Index Options'!$B:$B,G$4,'NSE - Other Index Options'!$I:$I,"Weekly*")+SUMIFS('NSE - Other Index Options'!$M:$M,'NSE - Other Index Options'!$C:$C,$A74,'NSE - Other Index Options'!$B:$B,G$4,'NSE - Other Index Options'!$I:$I,"MDAW*")+SUMIFS('BSE - SENSEX Index Options'!$M:$M,'BSE - SENSEX Index Options'!$C:$C,$A74,'BSE - SENSEX Index Options'!$B:$B,G$4,'BSE - SENSEX Index Options'!$I:$I,"Weekly*")+SUMIFS('BSE - SENSEX Index Options'!$M:$M,'BSE - SENSEX Index Options'!$C:$C,$A74,'BSE - SENSEX Index Options'!$B:$B,G$4,'BSE - SENSEX Index Options'!$I:$I,"MDAW*")+SUMIFS('BSE - Other Index Options'!$M:$M,'BSE - Other Index Options'!$C:$C,$A74,'BSE - Other Index Options'!$B:$B,G$4,'BSE - Other Index Options'!$I:$I,"Weekly*")+SUMIFS('BSE - Other Index Options'!$M:$M,'BSE - Other Index Options'!$C:$C,$A74,'BSE - Other Index Options'!$B:$B,G$4,'BSE - Other Index Options'!$I:$I,"MDAW*")=0,"",SUMIFS('NSE - NIFTY Index Options'!$M:$M,'NSE - NIFTY Index Options'!$C:$C,$A74,'NSE - NIFTY Index Options'!$B:$B,G$4,'NSE - NIFTY Index Options'!$I:$I,"Weekly*")+SUMIFS('NSE - NIFTY Index Options'!$M:$M,'NSE - NIFTY Index Options'!$C:$C,$A74,'NSE - NIFTY Index Options'!$B:$B,G$4,'NSE - NIFTY Index Options'!$I:$I,"MDAW*")+SUMIFS('NSE - Other Index Options'!$M:$M,'NSE - Other Index Options'!$C:$C,$A74,'NSE - Other Index Options'!$B:$B,G$4,'NSE - Other Index Options'!$I:$I,"Weekly*")+SUMIFS('NSE - Other Index Options'!$M:$M,'NSE - Other Index Options'!$C:$C,$A74,'NSE - Other Index Options'!$B:$B,G$4,'NSE - Other Index Options'!$I:$I,"MDAW*")+SUMIFS('BSE - SENSEX Index Options'!$M:$M,'BSE - SENSEX Index Options'!$C:$C,$A74,'BSE - SENSEX Index Options'!$B:$B,G$4,'BSE - SENSEX Index Options'!$I:$I,"Weekly*")+SUMIFS('BSE - SENSEX Index Options'!$M:$M,'BSE - SENSEX Index Options'!$C:$C,$A74,'BSE - SENSEX Index Options'!$B:$B,G$4,'BSE - SENSEX Index Options'!$I:$I,"MDAW*")+SUMIFS('BSE - Other Index Options'!$M:$M,'BSE - Other Index Options'!$C:$C,$A74,'BSE - Other Index Options'!$B:$B,G$4,'BSE - Other Index Options'!$I:$I,"Weekly*")+SUMIFS('BSE - Other Index Options'!$M:$M,'BSE - Other Index Options'!$C:$C,$A74,'BSE - Other Index Options'!$B:$B,G$4,'BSE - Other Index Options'!$I:$I,"MDAW*"))</f>
        <v/>
      </c>
      <c r="H74" s="26">
        <f>IF(SUM(B74:G74)=0,"",SUM(B74:G74))</f>
        <v/>
      </c>
    </row>
    <row r="75" hidden="1" outlineLevel="1">
      <c r="A75" t="inlineStr">
        <is>
          <t>Week2-Nov-2026</t>
        </is>
      </c>
      <c r="B75" s="26">
        <f>IF(SUMIFS('NSE - NIFTY Index Options'!$M:$M,'NSE - NIFTY Index Options'!$C:$C,$A75,'NSE - NIFTY Index Options'!$B:$B,B$4,'NSE - NIFTY Index Options'!$I:$I,"Weekly*")+SUMIFS('NSE - NIFTY Index Options'!$M:$M,'NSE - NIFTY Index Options'!$C:$C,$A75,'NSE - NIFTY Index Options'!$B:$B,B$4,'NSE - NIFTY Index Options'!$I:$I,"MDAW*")+SUMIFS('NSE - Other Index Options'!$M:$M,'NSE - Other Index Options'!$C:$C,$A75,'NSE - Other Index Options'!$B:$B,B$4,'NSE - Other Index Options'!$I:$I,"Weekly*")+SUMIFS('NSE - Other Index Options'!$M:$M,'NSE - Other Index Options'!$C:$C,$A75,'NSE - Other Index Options'!$B:$B,B$4,'NSE - Other Index Options'!$I:$I,"MDAW*")+SUMIFS('BSE - SENSEX Index Options'!$M:$M,'BSE - SENSEX Index Options'!$C:$C,$A75,'BSE - SENSEX Index Options'!$B:$B,B$4,'BSE - SENSEX Index Options'!$I:$I,"Weekly*")+SUMIFS('BSE - SENSEX Index Options'!$M:$M,'BSE - SENSEX Index Options'!$C:$C,$A75,'BSE - SENSEX Index Options'!$B:$B,B$4,'BSE - SENSEX Index Options'!$I:$I,"MDAW*")+SUMIFS('BSE - Other Index Options'!$M:$M,'BSE - Other Index Options'!$C:$C,$A75,'BSE - Other Index Options'!$B:$B,B$4,'BSE - Other Index Options'!$I:$I,"Weekly*")+SUMIFS('BSE - Other Index Options'!$M:$M,'BSE - Other Index Options'!$C:$C,$A75,'BSE - Other Index Options'!$B:$B,B$4,'BSE - Other Index Options'!$I:$I,"MDAW*")=0,"",SUMIFS('NSE - NIFTY Index Options'!$M:$M,'NSE - NIFTY Index Options'!$C:$C,$A75,'NSE - NIFTY Index Options'!$B:$B,B$4,'NSE - NIFTY Index Options'!$I:$I,"Weekly*")+SUMIFS('NSE - NIFTY Index Options'!$M:$M,'NSE - NIFTY Index Options'!$C:$C,$A75,'NSE - NIFTY Index Options'!$B:$B,B$4,'NSE - NIFTY Index Options'!$I:$I,"MDAW*")+SUMIFS('NSE - Other Index Options'!$M:$M,'NSE - Other Index Options'!$C:$C,$A75,'NSE - Other Index Options'!$B:$B,B$4,'NSE - Other Index Options'!$I:$I,"Weekly*")+SUMIFS('NSE - Other Index Options'!$M:$M,'NSE - Other Index Options'!$C:$C,$A75,'NSE - Other Index Options'!$B:$B,B$4,'NSE - Other Index Options'!$I:$I,"MDAW*")+SUMIFS('BSE - SENSEX Index Options'!$M:$M,'BSE - SENSEX Index Options'!$C:$C,$A75,'BSE - SENSEX Index Options'!$B:$B,B$4,'BSE - SENSEX Index Options'!$I:$I,"Weekly*")+SUMIFS('BSE - SENSEX Index Options'!$M:$M,'BSE - SENSEX Index Options'!$C:$C,$A75,'BSE - SENSEX Index Options'!$B:$B,B$4,'BSE - SENSEX Index Options'!$I:$I,"MDAW*")+SUMIFS('BSE - Other Index Options'!$M:$M,'BSE - Other Index Options'!$C:$C,$A75,'BSE - Other Index Options'!$B:$B,B$4,'BSE - Other Index Options'!$I:$I,"Weekly*")+SUMIFS('BSE - Other Index Options'!$M:$M,'BSE - Other Index Options'!$C:$C,$A75,'BSE - Other Index Options'!$B:$B,B$4,'BSE - Other Index Options'!$I:$I,"MDAW*"))</f>
        <v/>
      </c>
      <c r="C75" s="26">
        <f>IF(SUMIFS('NSE - NIFTY Index Options'!$M:$M,'NSE - NIFTY Index Options'!$C:$C,$A75,'NSE - NIFTY Index Options'!$B:$B,C$4,'NSE - NIFTY Index Options'!$I:$I,"Weekly*")+SUMIFS('NSE - NIFTY Index Options'!$M:$M,'NSE - NIFTY Index Options'!$C:$C,$A75,'NSE - NIFTY Index Options'!$B:$B,C$4,'NSE - NIFTY Index Options'!$I:$I,"MDAW*")+SUMIFS('NSE - Other Index Options'!$M:$M,'NSE - Other Index Options'!$C:$C,$A75,'NSE - Other Index Options'!$B:$B,C$4,'NSE - Other Index Options'!$I:$I,"Weekly*")+SUMIFS('NSE - Other Index Options'!$M:$M,'NSE - Other Index Options'!$C:$C,$A75,'NSE - Other Index Options'!$B:$B,C$4,'NSE - Other Index Options'!$I:$I,"MDAW*")+SUMIFS('BSE - SENSEX Index Options'!$M:$M,'BSE - SENSEX Index Options'!$C:$C,$A75,'BSE - SENSEX Index Options'!$B:$B,C$4,'BSE - SENSEX Index Options'!$I:$I,"Weekly*")+SUMIFS('BSE - SENSEX Index Options'!$M:$M,'BSE - SENSEX Index Options'!$C:$C,$A75,'BSE - SENSEX Index Options'!$B:$B,C$4,'BSE - SENSEX Index Options'!$I:$I,"MDAW*")+SUMIFS('BSE - Other Index Options'!$M:$M,'BSE - Other Index Options'!$C:$C,$A75,'BSE - Other Index Options'!$B:$B,C$4,'BSE - Other Index Options'!$I:$I,"Weekly*")+SUMIFS('BSE - Other Index Options'!$M:$M,'BSE - Other Index Options'!$C:$C,$A75,'BSE - Other Index Options'!$B:$B,C$4,'BSE - Other Index Options'!$I:$I,"MDAW*")=0,"",SUMIFS('NSE - NIFTY Index Options'!$M:$M,'NSE - NIFTY Index Options'!$C:$C,$A75,'NSE - NIFTY Index Options'!$B:$B,C$4,'NSE - NIFTY Index Options'!$I:$I,"Weekly*")+SUMIFS('NSE - NIFTY Index Options'!$M:$M,'NSE - NIFTY Index Options'!$C:$C,$A75,'NSE - NIFTY Index Options'!$B:$B,C$4,'NSE - NIFTY Index Options'!$I:$I,"MDAW*")+SUMIFS('NSE - Other Index Options'!$M:$M,'NSE - Other Index Options'!$C:$C,$A75,'NSE - Other Index Options'!$B:$B,C$4,'NSE - Other Index Options'!$I:$I,"Weekly*")+SUMIFS('NSE - Other Index Options'!$M:$M,'NSE - Other Index Options'!$C:$C,$A75,'NSE - Other Index Options'!$B:$B,C$4,'NSE - Other Index Options'!$I:$I,"MDAW*")+SUMIFS('BSE - SENSEX Index Options'!$M:$M,'BSE - SENSEX Index Options'!$C:$C,$A75,'BSE - SENSEX Index Options'!$B:$B,C$4,'BSE - SENSEX Index Options'!$I:$I,"Weekly*")+SUMIFS('BSE - SENSEX Index Options'!$M:$M,'BSE - SENSEX Index Options'!$C:$C,$A75,'BSE - SENSEX Index Options'!$B:$B,C$4,'BSE - SENSEX Index Options'!$I:$I,"MDAW*")+SUMIFS('BSE - Other Index Options'!$M:$M,'BSE - Other Index Options'!$C:$C,$A75,'BSE - Other Index Options'!$B:$B,C$4,'BSE - Other Index Options'!$I:$I,"Weekly*")+SUMIFS('BSE - Other Index Options'!$M:$M,'BSE - Other Index Options'!$C:$C,$A75,'BSE - Other Index Options'!$B:$B,C$4,'BSE - Other Index Options'!$I:$I,"MDAW*"))</f>
        <v/>
      </c>
      <c r="D75" s="26">
        <f>IF(SUMIFS('NSE - NIFTY Index Options'!$M:$M,'NSE - NIFTY Index Options'!$C:$C,$A75,'NSE - NIFTY Index Options'!$B:$B,D$4,'NSE - NIFTY Index Options'!$I:$I,"Weekly*")+SUMIFS('NSE - NIFTY Index Options'!$M:$M,'NSE - NIFTY Index Options'!$C:$C,$A75,'NSE - NIFTY Index Options'!$B:$B,D$4,'NSE - NIFTY Index Options'!$I:$I,"MDAW*")+SUMIFS('NSE - Other Index Options'!$M:$M,'NSE - Other Index Options'!$C:$C,$A75,'NSE - Other Index Options'!$B:$B,D$4,'NSE - Other Index Options'!$I:$I,"Weekly*")+SUMIFS('NSE - Other Index Options'!$M:$M,'NSE - Other Index Options'!$C:$C,$A75,'NSE - Other Index Options'!$B:$B,D$4,'NSE - Other Index Options'!$I:$I,"MDAW*")+SUMIFS('BSE - SENSEX Index Options'!$M:$M,'BSE - SENSEX Index Options'!$C:$C,$A75,'BSE - SENSEX Index Options'!$B:$B,D$4,'BSE - SENSEX Index Options'!$I:$I,"Weekly*")+SUMIFS('BSE - SENSEX Index Options'!$M:$M,'BSE - SENSEX Index Options'!$C:$C,$A75,'BSE - SENSEX Index Options'!$B:$B,D$4,'BSE - SENSEX Index Options'!$I:$I,"MDAW*")+SUMIFS('BSE - Other Index Options'!$M:$M,'BSE - Other Index Options'!$C:$C,$A75,'BSE - Other Index Options'!$B:$B,D$4,'BSE - Other Index Options'!$I:$I,"Weekly*")+SUMIFS('BSE - Other Index Options'!$M:$M,'BSE - Other Index Options'!$C:$C,$A75,'BSE - Other Index Options'!$B:$B,D$4,'BSE - Other Index Options'!$I:$I,"MDAW*")=0,"",SUMIFS('NSE - NIFTY Index Options'!$M:$M,'NSE - NIFTY Index Options'!$C:$C,$A75,'NSE - NIFTY Index Options'!$B:$B,D$4,'NSE - NIFTY Index Options'!$I:$I,"Weekly*")+SUMIFS('NSE - NIFTY Index Options'!$M:$M,'NSE - NIFTY Index Options'!$C:$C,$A75,'NSE - NIFTY Index Options'!$B:$B,D$4,'NSE - NIFTY Index Options'!$I:$I,"MDAW*")+SUMIFS('NSE - Other Index Options'!$M:$M,'NSE - Other Index Options'!$C:$C,$A75,'NSE - Other Index Options'!$B:$B,D$4,'NSE - Other Index Options'!$I:$I,"Weekly*")+SUMIFS('NSE - Other Index Options'!$M:$M,'NSE - Other Index Options'!$C:$C,$A75,'NSE - Other Index Options'!$B:$B,D$4,'NSE - Other Index Options'!$I:$I,"MDAW*")+SUMIFS('BSE - SENSEX Index Options'!$M:$M,'BSE - SENSEX Index Options'!$C:$C,$A75,'BSE - SENSEX Index Options'!$B:$B,D$4,'BSE - SENSEX Index Options'!$I:$I,"Weekly*")+SUMIFS('BSE - SENSEX Index Options'!$M:$M,'BSE - SENSEX Index Options'!$C:$C,$A75,'BSE - SENSEX Index Options'!$B:$B,D$4,'BSE - SENSEX Index Options'!$I:$I,"MDAW*")+SUMIFS('BSE - Other Index Options'!$M:$M,'BSE - Other Index Options'!$C:$C,$A75,'BSE - Other Index Options'!$B:$B,D$4,'BSE - Other Index Options'!$I:$I,"Weekly*")+SUMIFS('BSE - Other Index Options'!$M:$M,'BSE - Other Index Options'!$C:$C,$A75,'BSE - Other Index Options'!$B:$B,D$4,'BSE - Other Index Options'!$I:$I,"MDAW*"))</f>
        <v/>
      </c>
      <c r="E75" s="26">
        <f>IF(SUMIFS('NSE - NIFTY Index Options'!$M:$M,'NSE - NIFTY Index Options'!$C:$C,$A75,'NSE - NIFTY Index Options'!$B:$B,E$4,'NSE - NIFTY Index Options'!$I:$I,"Weekly*")+SUMIFS('NSE - NIFTY Index Options'!$M:$M,'NSE - NIFTY Index Options'!$C:$C,$A75,'NSE - NIFTY Index Options'!$B:$B,E$4,'NSE - NIFTY Index Options'!$I:$I,"MDAW*")+SUMIFS('NSE - Other Index Options'!$M:$M,'NSE - Other Index Options'!$C:$C,$A75,'NSE - Other Index Options'!$B:$B,E$4,'NSE - Other Index Options'!$I:$I,"Weekly*")+SUMIFS('NSE - Other Index Options'!$M:$M,'NSE - Other Index Options'!$C:$C,$A75,'NSE - Other Index Options'!$B:$B,E$4,'NSE - Other Index Options'!$I:$I,"MDAW*")+SUMIFS('BSE - SENSEX Index Options'!$M:$M,'BSE - SENSEX Index Options'!$C:$C,$A75,'BSE - SENSEX Index Options'!$B:$B,E$4,'BSE - SENSEX Index Options'!$I:$I,"Weekly*")+SUMIFS('BSE - SENSEX Index Options'!$M:$M,'BSE - SENSEX Index Options'!$C:$C,$A75,'BSE - SENSEX Index Options'!$B:$B,E$4,'BSE - SENSEX Index Options'!$I:$I,"MDAW*")+SUMIFS('BSE - Other Index Options'!$M:$M,'BSE - Other Index Options'!$C:$C,$A75,'BSE - Other Index Options'!$B:$B,E$4,'BSE - Other Index Options'!$I:$I,"Weekly*")+SUMIFS('BSE - Other Index Options'!$M:$M,'BSE - Other Index Options'!$C:$C,$A75,'BSE - Other Index Options'!$B:$B,E$4,'BSE - Other Index Options'!$I:$I,"MDAW*")=0,"",SUMIFS('NSE - NIFTY Index Options'!$M:$M,'NSE - NIFTY Index Options'!$C:$C,$A75,'NSE - NIFTY Index Options'!$B:$B,E$4,'NSE - NIFTY Index Options'!$I:$I,"Weekly*")+SUMIFS('NSE - NIFTY Index Options'!$M:$M,'NSE - NIFTY Index Options'!$C:$C,$A75,'NSE - NIFTY Index Options'!$B:$B,E$4,'NSE - NIFTY Index Options'!$I:$I,"MDAW*")+SUMIFS('NSE - Other Index Options'!$M:$M,'NSE - Other Index Options'!$C:$C,$A75,'NSE - Other Index Options'!$B:$B,E$4,'NSE - Other Index Options'!$I:$I,"Weekly*")+SUMIFS('NSE - Other Index Options'!$M:$M,'NSE - Other Index Options'!$C:$C,$A75,'NSE - Other Index Options'!$B:$B,E$4,'NSE - Other Index Options'!$I:$I,"MDAW*")+SUMIFS('BSE - SENSEX Index Options'!$M:$M,'BSE - SENSEX Index Options'!$C:$C,$A75,'BSE - SENSEX Index Options'!$B:$B,E$4,'BSE - SENSEX Index Options'!$I:$I,"Weekly*")+SUMIFS('BSE - SENSEX Index Options'!$M:$M,'BSE - SENSEX Index Options'!$C:$C,$A75,'BSE - SENSEX Index Options'!$B:$B,E$4,'BSE - SENSEX Index Options'!$I:$I,"MDAW*")+SUMIFS('BSE - Other Index Options'!$M:$M,'BSE - Other Index Options'!$C:$C,$A75,'BSE - Other Index Options'!$B:$B,E$4,'BSE - Other Index Options'!$I:$I,"Weekly*")+SUMIFS('BSE - Other Index Options'!$M:$M,'BSE - Other Index Options'!$C:$C,$A75,'BSE - Other Index Options'!$B:$B,E$4,'BSE - Other Index Options'!$I:$I,"MDAW*"))</f>
        <v/>
      </c>
      <c r="F75" s="26">
        <f>IF(SUMIFS('NSE - NIFTY Index Options'!$M:$M,'NSE - NIFTY Index Options'!$C:$C,$A75,'NSE - NIFTY Index Options'!$B:$B,F$4,'NSE - NIFTY Index Options'!$I:$I,"Weekly*")+SUMIFS('NSE - NIFTY Index Options'!$M:$M,'NSE - NIFTY Index Options'!$C:$C,$A75,'NSE - NIFTY Index Options'!$B:$B,F$4,'NSE - NIFTY Index Options'!$I:$I,"MDAW*")+SUMIFS('NSE - Other Index Options'!$M:$M,'NSE - Other Index Options'!$C:$C,$A75,'NSE - Other Index Options'!$B:$B,F$4,'NSE - Other Index Options'!$I:$I,"Weekly*")+SUMIFS('NSE - Other Index Options'!$M:$M,'NSE - Other Index Options'!$C:$C,$A75,'NSE - Other Index Options'!$B:$B,F$4,'NSE - Other Index Options'!$I:$I,"MDAW*")+SUMIFS('BSE - SENSEX Index Options'!$M:$M,'BSE - SENSEX Index Options'!$C:$C,$A75,'BSE - SENSEX Index Options'!$B:$B,F$4,'BSE - SENSEX Index Options'!$I:$I,"Weekly*")+SUMIFS('BSE - SENSEX Index Options'!$M:$M,'BSE - SENSEX Index Options'!$C:$C,$A75,'BSE - SENSEX Index Options'!$B:$B,F$4,'BSE - SENSEX Index Options'!$I:$I,"MDAW*")+SUMIFS('BSE - Other Index Options'!$M:$M,'BSE - Other Index Options'!$C:$C,$A75,'BSE - Other Index Options'!$B:$B,F$4,'BSE - Other Index Options'!$I:$I,"Weekly*")+SUMIFS('BSE - Other Index Options'!$M:$M,'BSE - Other Index Options'!$C:$C,$A75,'BSE - Other Index Options'!$B:$B,F$4,'BSE - Other Index Options'!$I:$I,"MDAW*")=0,"",SUMIFS('NSE - NIFTY Index Options'!$M:$M,'NSE - NIFTY Index Options'!$C:$C,$A75,'NSE - NIFTY Index Options'!$B:$B,F$4,'NSE - NIFTY Index Options'!$I:$I,"Weekly*")+SUMIFS('NSE - NIFTY Index Options'!$M:$M,'NSE - NIFTY Index Options'!$C:$C,$A75,'NSE - NIFTY Index Options'!$B:$B,F$4,'NSE - NIFTY Index Options'!$I:$I,"MDAW*")+SUMIFS('NSE - Other Index Options'!$M:$M,'NSE - Other Index Options'!$C:$C,$A75,'NSE - Other Index Options'!$B:$B,F$4,'NSE - Other Index Options'!$I:$I,"Weekly*")+SUMIFS('NSE - Other Index Options'!$M:$M,'NSE - Other Index Options'!$C:$C,$A75,'NSE - Other Index Options'!$B:$B,F$4,'NSE - Other Index Options'!$I:$I,"MDAW*")+SUMIFS('BSE - SENSEX Index Options'!$M:$M,'BSE - SENSEX Index Options'!$C:$C,$A75,'BSE - SENSEX Index Options'!$B:$B,F$4,'BSE - SENSEX Index Options'!$I:$I,"Weekly*")+SUMIFS('BSE - SENSEX Index Options'!$M:$M,'BSE - SENSEX Index Options'!$C:$C,$A75,'BSE - SENSEX Index Options'!$B:$B,F$4,'BSE - SENSEX Index Options'!$I:$I,"MDAW*")+SUMIFS('BSE - Other Index Options'!$M:$M,'BSE - Other Index Options'!$C:$C,$A75,'BSE - Other Index Options'!$B:$B,F$4,'BSE - Other Index Options'!$I:$I,"Weekly*")+SUMIFS('BSE - Other Index Options'!$M:$M,'BSE - Other Index Options'!$C:$C,$A75,'BSE - Other Index Options'!$B:$B,F$4,'BSE - Other Index Options'!$I:$I,"MDAW*"))</f>
        <v/>
      </c>
      <c r="G75" s="26">
        <f>IF(SUMIFS('NSE - NIFTY Index Options'!$M:$M,'NSE - NIFTY Index Options'!$C:$C,$A75,'NSE - NIFTY Index Options'!$B:$B,G$4,'NSE - NIFTY Index Options'!$I:$I,"Weekly*")+SUMIFS('NSE - NIFTY Index Options'!$M:$M,'NSE - NIFTY Index Options'!$C:$C,$A75,'NSE - NIFTY Index Options'!$B:$B,G$4,'NSE - NIFTY Index Options'!$I:$I,"MDAW*")+SUMIFS('NSE - Other Index Options'!$M:$M,'NSE - Other Index Options'!$C:$C,$A75,'NSE - Other Index Options'!$B:$B,G$4,'NSE - Other Index Options'!$I:$I,"Weekly*")+SUMIFS('NSE - Other Index Options'!$M:$M,'NSE - Other Index Options'!$C:$C,$A75,'NSE - Other Index Options'!$B:$B,G$4,'NSE - Other Index Options'!$I:$I,"MDAW*")+SUMIFS('BSE - SENSEX Index Options'!$M:$M,'BSE - SENSEX Index Options'!$C:$C,$A75,'BSE - SENSEX Index Options'!$B:$B,G$4,'BSE - SENSEX Index Options'!$I:$I,"Weekly*")+SUMIFS('BSE - SENSEX Index Options'!$M:$M,'BSE - SENSEX Index Options'!$C:$C,$A75,'BSE - SENSEX Index Options'!$B:$B,G$4,'BSE - SENSEX Index Options'!$I:$I,"MDAW*")+SUMIFS('BSE - Other Index Options'!$M:$M,'BSE - Other Index Options'!$C:$C,$A75,'BSE - Other Index Options'!$B:$B,G$4,'BSE - Other Index Options'!$I:$I,"Weekly*")+SUMIFS('BSE - Other Index Options'!$M:$M,'BSE - Other Index Options'!$C:$C,$A75,'BSE - Other Index Options'!$B:$B,G$4,'BSE - Other Index Options'!$I:$I,"MDAW*")=0,"",SUMIFS('NSE - NIFTY Index Options'!$M:$M,'NSE - NIFTY Index Options'!$C:$C,$A75,'NSE - NIFTY Index Options'!$B:$B,G$4,'NSE - NIFTY Index Options'!$I:$I,"Weekly*")+SUMIFS('NSE - NIFTY Index Options'!$M:$M,'NSE - NIFTY Index Options'!$C:$C,$A75,'NSE - NIFTY Index Options'!$B:$B,G$4,'NSE - NIFTY Index Options'!$I:$I,"MDAW*")+SUMIFS('NSE - Other Index Options'!$M:$M,'NSE - Other Index Options'!$C:$C,$A75,'NSE - Other Index Options'!$B:$B,G$4,'NSE - Other Index Options'!$I:$I,"Weekly*")+SUMIFS('NSE - Other Index Options'!$M:$M,'NSE - Other Index Options'!$C:$C,$A75,'NSE - Other Index Options'!$B:$B,G$4,'NSE - Other Index Options'!$I:$I,"MDAW*")+SUMIFS('BSE - SENSEX Index Options'!$M:$M,'BSE - SENSEX Index Options'!$C:$C,$A75,'BSE - SENSEX Index Options'!$B:$B,G$4,'BSE - SENSEX Index Options'!$I:$I,"Weekly*")+SUMIFS('BSE - SENSEX Index Options'!$M:$M,'BSE - SENSEX Index Options'!$C:$C,$A75,'BSE - SENSEX Index Options'!$B:$B,G$4,'BSE - SENSEX Index Options'!$I:$I,"MDAW*")+SUMIFS('BSE - Other Index Options'!$M:$M,'BSE - Other Index Options'!$C:$C,$A75,'BSE - Other Index Options'!$B:$B,G$4,'BSE - Other Index Options'!$I:$I,"Weekly*")+SUMIFS('BSE - Other Index Options'!$M:$M,'BSE - Other Index Options'!$C:$C,$A75,'BSE - Other Index Options'!$B:$B,G$4,'BSE - Other Index Options'!$I:$I,"MDAW*"))</f>
        <v/>
      </c>
      <c r="H75" s="26">
        <f>IF(SUM(B75:G75)=0,"",SUM(B75:G75))</f>
        <v/>
      </c>
    </row>
    <row r="76" hidden="1" outlineLevel="1">
      <c r="A76" t="inlineStr">
        <is>
          <t>Week3-Nov-2026</t>
        </is>
      </c>
      <c r="B76" s="26">
        <f>IF(SUMIFS('NSE - NIFTY Index Options'!$M:$M,'NSE - NIFTY Index Options'!$C:$C,$A76,'NSE - NIFTY Index Options'!$B:$B,B$4,'NSE - NIFTY Index Options'!$I:$I,"Weekly*")+SUMIFS('NSE - NIFTY Index Options'!$M:$M,'NSE - NIFTY Index Options'!$C:$C,$A76,'NSE - NIFTY Index Options'!$B:$B,B$4,'NSE - NIFTY Index Options'!$I:$I,"MDAW*")+SUMIFS('NSE - Other Index Options'!$M:$M,'NSE - Other Index Options'!$C:$C,$A76,'NSE - Other Index Options'!$B:$B,B$4,'NSE - Other Index Options'!$I:$I,"Weekly*")+SUMIFS('NSE - Other Index Options'!$M:$M,'NSE - Other Index Options'!$C:$C,$A76,'NSE - Other Index Options'!$B:$B,B$4,'NSE - Other Index Options'!$I:$I,"MDAW*")+SUMIFS('BSE - SENSEX Index Options'!$M:$M,'BSE - SENSEX Index Options'!$C:$C,$A76,'BSE - SENSEX Index Options'!$B:$B,B$4,'BSE - SENSEX Index Options'!$I:$I,"Weekly*")+SUMIFS('BSE - SENSEX Index Options'!$M:$M,'BSE - SENSEX Index Options'!$C:$C,$A76,'BSE - SENSEX Index Options'!$B:$B,B$4,'BSE - SENSEX Index Options'!$I:$I,"MDAW*")+SUMIFS('BSE - Other Index Options'!$M:$M,'BSE - Other Index Options'!$C:$C,$A76,'BSE - Other Index Options'!$B:$B,B$4,'BSE - Other Index Options'!$I:$I,"Weekly*")+SUMIFS('BSE - Other Index Options'!$M:$M,'BSE - Other Index Options'!$C:$C,$A76,'BSE - Other Index Options'!$B:$B,B$4,'BSE - Other Index Options'!$I:$I,"MDAW*")=0,"",SUMIFS('NSE - NIFTY Index Options'!$M:$M,'NSE - NIFTY Index Options'!$C:$C,$A76,'NSE - NIFTY Index Options'!$B:$B,B$4,'NSE - NIFTY Index Options'!$I:$I,"Weekly*")+SUMIFS('NSE - NIFTY Index Options'!$M:$M,'NSE - NIFTY Index Options'!$C:$C,$A76,'NSE - NIFTY Index Options'!$B:$B,B$4,'NSE - NIFTY Index Options'!$I:$I,"MDAW*")+SUMIFS('NSE - Other Index Options'!$M:$M,'NSE - Other Index Options'!$C:$C,$A76,'NSE - Other Index Options'!$B:$B,B$4,'NSE - Other Index Options'!$I:$I,"Weekly*")+SUMIFS('NSE - Other Index Options'!$M:$M,'NSE - Other Index Options'!$C:$C,$A76,'NSE - Other Index Options'!$B:$B,B$4,'NSE - Other Index Options'!$I:$I,"MDAW*")+SUMIFS('BSE - SENSEX Index Options'!$M:$M,'BSE - SENSEX Index Options'!$C:$C,$A76,'BSE - SENSEX Index Options'!$B:$B,B$4,'BSE - SENSEX Index Options'!$I:$I,"Weekly*")+SUMIFS('BSE - SENSEX Index Options'!$M:$M,'BSE - SENSEX Index Options'!$C:$C,$A76,'BSE - SENSEX Index Options'!$B:$B,B$4,'BSE - SENSEX Index Options'!$I:$I,"MDAW*")+SUMIFS('BSE - Other Index Options'!$M:$M,'BSE - Other Index Options'!$C:$C,$A76,'BSE - Other Index Options'!$B:$B,B$4,'BSE - Other Index Options'!$I:$I,"Weekly*")+SUMIFS('BSE - Other Index Options'!$M:$M,'BSE - Other Index Options'!$C:$C,$A76,'BSE - Other Index Options'!$B:$B,B$4,'BSE - Other Index Options'!$I:$I,"MDAW*"))</f>
        <v/>
      </c>
      <c r="C76" s="26">
        <f>IF(SUMIFS('NSE - NIFTY Index Options'!$M:$M,'NSE - NIFTY Index Options'!$C:$C,$A76,'NSE - NIFTY Index Options'!$B:$B,C$4,'NSE - NIFTY Index Options'!$I:$I,"Weekly*")+SUMIFS('NSE - NIFTY Index Options'!$M:$M,'NSE - NIFTY Index Options'!$C:$C,$A76,'NSE - NIFTY Index Options'!$B:$B,C$4,'NSE - NIFTY Index Options'!$I:$I,"MDAW*")+SUMIFS('NSE - Other Index Options'!$M:$M,'NSE - Other Index Options'!$C:$C,$A76,'NSE - Other Index Options'!$B:$B,C$4,'NSE - Other Index Options'!$I:$I,"Weekly*")+SUMIFS('NSE - Other Index Options'!$M:$M,'NSE - Other Index Options'!$C:$C,$A76,'NSE - Other Index Options'!$B:$B,C$4,'NSE - Other Index Options'!$I:$I,"MDAW*")+SUMIFS('BSE - SENSEX Index Options'!$M:$M,'BSE - SENSEX Index Options'!$C:$C,$A76,'BSE - SENSEX Index Options'!$B:$B,C$4,'BSE - SENSEX Index Options'!$I:$I,"Weekly*")+SUMIFS('BSE - SENSEX Index Options'!$M:$M,'BSE - SENSEX Index Options'!$C:$C,$A76,'BSE - SENSEX Index Options'!$B:$B,C$4,'BSE - SENSEX Index Options'!$I:$I,"MDAW*")+SUMIFS('BSE - Other Index Options'!$M:$M,'BSE - Other Index Options'!$C:$C,$A76,'BSE - Other Index Options'!$B:$B,C$4,'BSE - Other Index Options'!$I:$I,"Weekly*")+SUMIFS('BSE - Other Index Options'!$M:$M,'BSE - Other Index Options'!$C:$C,$A76,'BSE - Other Index Options'!$B:$B,C$4,'BSE - Other Index Options'!$I:$I,"MDAW*")=0,"",SUMIFS('NSE - NIFTY Index Options'!$M:$M,'NSE - NIFTY Index Options'!$C:$C,$A76,'NSE - NIFTY Index Options'!$B:$B,C$4,'NSE - NIFTY Index Options'!$I:$I,"Weekly*")+SUMIFS('NSE - NIFTY Index Options'!$M:$M,'NSE - NIFTY Index Options'!$C:$C,$A76,'NSE - NIFTY Index Options'!$B:$B,C$4,'NSE - NIFTY Index Options'!$I:$I,"MDAW*")+SUMIFS('NSE - Other Index Options'!$M:$M,'NSE - Other Index Options'!$C:$C,$A76,'NSE - Other Index Options'!$B:$B,C$4,'NSE - Other Index Options'!$I:$I,"Weekly*")+SUMIFS('NSE - Other Index Options'!$M:$M,'NSE - Other Index Options'!$C:$C,$A76,'NSE - Other Index Options'!$B:$B,C$4,'NSE - Other Index Options'!$I:$I,"MDAW*")+SUMIFS('BSE - SENSEX Index Options'!$M:$M,'BSE - SENSEX Index Options'!$C:$C,$A76,'BSE - SENSEX Index Options'!$B:$B,C$4,'BSE - SENSEX Index Options'!$I:$I,"Weekly*")+SUMIFS('BSE - SENSEX Index Options'!$M:$M,'BSE - SENSEX Index Options'!$C:$C,$A76,'BSE - SENSEX Index Options'!$B:$B,C$4,'BSE - SENSEX Index Options'!$I:$I,"MDAW*")+SUMIFS('BSE - Other Index Options'!$M:$M,'BSE - Other Index Options'!$C:$C,$A76,'BSE - Other Index Options'!$B:$B,C$4,'BSE - Other Index Options'!$I:$I,"Weekly*")+SUMIFS('BSE - Other Index Options'!$M:$M,'BSE - Other Index Options'!$C:$C,$A76,'BSE - Other Index Options'!$B:$B,C$4,'BSE - Other Index Options'!$I:$I,"MDAW*"))</f>
        <v/>
      </c>
      <c r="D76" s="26">
        <f>IF(SUMIFS('NSE - NIFTY Index Options'!$M:$M,'NSE - NIFTY Index Options'!$C:$C,$A76,'NSE - NIFTY Index Options'!$B:$B,D$4,'NSE - NIFTY Index Options'!$I:$I,"Weekly*")+SUMIFS('NSE - NIFTY Index Options'!$M:$M,'NSE - NIFTY Index Options'!$C:$C,$A76,'NSE - NIFTY Index Options'!$B:$B,D$4,'NSE - NIFTY Index Options'!$I:$I,"MDAW*")+SUMIFS('NSE - Other Index Options'!$M:$M,'NSE - Other Index Options'!$C:$C,$A76,'NSE - Other Index Options'!$B:$B,D$4,'NSE - Other Index Options'!$I:$I,"Weekly*")+SUMIFS('NSE - Other Index Options'!$M:$M,'NSE - Other Index Options'!$C:$C,$A76,'NSE - Other Index Options'!$B:$B,D$4,'NSE - Other Index Options'!$I:$I,"MDAW*")+SUMIFS('BSE - SENSEX Index Options'!$M:$M,'BSE - SENSEX Index Options'!$C:$C,$A76,'BSE - SENSEX Index Options'!$B:$B,D$4,'BSE - SENSEX Index Options'!$I:$I,"Weekly*")+SUMIFS('BSE - SENSEX Index Options'!$M:$M,'BSE - SENSEX Index Options'!$C:$C,$A76,'BSE - SENSEX Index Options'!$B:$B,D$4,'BSE - SENSEX Index Options'!$I:$I,"MDAW*")+SUMIFS('BSE - Other Index Options'!$M:$M,'BSE - Other Index Options'!$C:$C,$A76,'BSE - Other Index Options'!$B:$B,D$4,'BSE - Other Index Options'!$I:$I,"Weekly*")+SUMIFS('BSE - Other Index Options'!$M:$M,'BSE - Other Index Options'!$C:$C,$A76,'BSE - Other Index Options'!$B:$B,D$4,'BSE - Other Index Options'!$I:$I,"MDAW*")=0,"",SUMIFS('NSE - NIFTY Index Options'!$M:$M,'NSE - NIFTY Index Options'!$C:$C,$A76,'NSE - NIFTY Index Options'!$B:$B,D$4,'NSE - NIFTY Index Options'!$I:$I,"Weekly*")+SUMIFS('NSE - NIFTY Index Options'!$M:$M,'NSE - NIFTY Index Options'!$C:$C,$A76,'NSE - NIFTY Index Options'!$B:$B,D$4,'NSE - NIFTY Index Options'!$I:$I,"MDAW*")+SUMIFS('NSE - Other Index Options'!$M:$M,'NSE - Other Index Options'!$C:$C,$A76,'NSE - Other Index Options'!$B:$B,D$4,'NSE - Other Index Options'!$I:$I,"Weekly*")+SUMIFS('NSE - Other Index Options'!$M:$M,'NSE - Other Index Options'!$C:$C,$A76,'NSE - Other Index Options'!$B:$B,D$4,'NSE - Other Index Options'!$I:$I,"MDAW*")+SUMIFS('BSE - SENSEX Index Options'!$M:$M,'BSE - SENSEX Index Options'!$C:$C,$A76,'BSE - SENSEX Index Options'!$B:$B,D$4,'BSE - SENSEX Index Options'!$I:$I,"Weekly*")+SUMIFS('BSE - SENSEX Index Options'!$M:$M,'BSE - SENSEX Index Options'!$C:$C,$A76,'BSE - SENSEX Index Options'!$B:$B,D$4,'BSE - SENSEX Index Options'!$I:$I,"MDAW*")+SUMIFS('BSE - Other Index Options'!$M:$M,'BSE - Other Index Options'!$C:$C,$A76,'BSE - Other Index Options'!$B:$B,D$4,'BSE - Other Index Options'!$I:$I,"Weekly*")+SUMIFS('BSE - Other Index Options'!$M:$M,'BSE - Other Index Options'!$C:$C,$A76,'BSE - Other Index Options'!$B:$B,D$4,'BSE - Other Index Options'!$I:$I,"MDAW*"))</f>
        <v/>
      </c>
      <c r="E76" s="26">
        <f>IF(SUMIFS('NSE - NIFTY Index Options'!$M:$M,'NSE - NIFTY Index Options'!$C:$C,$A76,'NSE - NIFTY Index Options'!$B:$B,E$4,'NSE - NIFTY Index Options'!$I:$I,"Weekly*")+SUMIFS('NSE - NIFTY Index Options'!$M:$M,'NSE - NIFTY Index Options'!$C:$C,$A76,'NSE - NIFTY Index Options'!$B:$B,E$4,'NSE - NIFTY Index Options'!$I:$I,"MDAW*")+SUMIFS('NSE - Other Index Options'!$M:$M,'NSE - Other Index Options'!$C:$C,$A76,'NSE - Other Index Options'!$B:$B,E$4,'NSE - Other Index Options'!$I:$I,"Weekly*")+SUMIFS('NSE - Other Index Options'!$M:$M,'NSE - Other Index Options'!$C:$C,$A76,'NSE - Other Index Options'!$B:$B,E$4,'NSE - Other Index Options'!$I:$I,"MDAW*")+SUMIFS('BSE - SENSEX Index Options'!$M:$M,'BSE - SENSEX Index Options'!$C:$C,$A76,'BSE - SENSEX Index Options'!$B:$B,E$4,'BSE - SENSEX Index Options'!$I:$I,"Weekly*")+SUMIFS('BSE - SENSEX Index Options'!$M:$M,'BSE - SENSEX Index Options'!$C:$C,$A76,'BSE - SENSEX Index Options'!$B:$B,E$4,'BSE - SENSEX Index Options'!$I:$I,"MDAW*")+SUMIFS('BSE - Other Index Options'!$M:$M,'BSE - Other Index Options'!$C:$C,$A76,'BSE - Other Index Options'!$B:$B,E$4,'BSE - Other Index Options'!$I:$I,"Weekly*")+SUMIFS('BSE - Other Index Options'!$M:$M,'BSE - Other Index Options'!$C:$C,$A76,'BSE - Other Index Options'!$B:$B,E$4,'BSE - Other Index Options'!$I:$I,"MDAW*")=0,"",SUMIFS('NSE - NIFTY Index Options'!$M:$M,'NSE - NIFTY Index Options'!$C:$C,$A76,'NSE - NIFTY Index Options'!$B:$B,E$4,'NSE - NIFTY Index Options'!$I:$I,"Weekly*")+SUMIFS('NSE - NIFTY Index Options'!$M:$M,'NSE - NIFTY Index Options'!$C:$C,$A76,'NSE - NIFTY Index Options'!$B:$B,E$4,'NSE - NIFTY Index Options'!$I:$I,"MDAW*")+SUMIFS('NSE - Other Index Options'!$M:$M,'NSE - Other Index Options'!$C:$C,$A76,'NSE - Other Index Options'!$B:$B,E$4,'NSE - Other Index Options'!$I:$I,"Weekly*")+SUMIFS('NSE - Other Index Options'!$M:$M,'NSE - Other Index Options'!$C:$C,$A76,'NSE - Other Index Options'!$B:$B,E$4,'NSE - Other Index Options'!$I:$I,"MDAW*")+SUMIFS('BSE - SENSEX Index Options'!$M:$M,'BSE - SENSEX Index Options'!$C:$C,$A76,'BSE - SENSEX Index Options'!$B:$B,E$4,'BSE - SENSEX Index Options'!$I:$I,"Weekly*")+SUMIFS('BSE - SENSEX Index Options'!$M:$M,'BSE - SENSEX Index Options'!$C:$C,$A76,'BSE - SENSEX Index Options'!$B:$B,E$4,'BSE - SENSEX Index Options'!$I:$I,"MDAW*")+SUMIFS('BSE - Other Index Options'!$M:$M,'BSE - Other Index Options'!$C:$C,$A76,'BSE - Other Index Options'!$B:$B,E$4,'BSE - Other Index Options'!$I:$I,"Weekly*")+SUMIFS('BSE - Other Index Options'!$M:$M,'BSE - Other Index Options'!$C:$C,$A76,'BSE - Other Index Options'!$B:$B,E$4,'BSE - Other Index Options'!$I:$I,"MDAW*"))</f>
        <v/>
      </c>
      <c r="F76" s="26">
        <f>IF(SUMIFS('NSE - NIFTY Index Options'!$M:$M,'NSE - NIFTY Index Options'!$C:$C,$A76,'NSE - NIFTY Index Options'!$B:$B,F$4,'NSE - NIFTY Index Options'!$I:$I,"Weekly*")+SUMIFS('NSE - NIFTY Index Options'!$M:$M,'NSE - NIFTY Index Options'!$C:$C,$A76,'NSE - NIFTY Index Options'!$B:$B,F$4,'NSE - NIFTY Index Options'!$I:$I,"MDAW*")+SUMIFS('NSE - Other Index Options'!$M:$M,'NSE - Other Index Options'!$C:$C,$A76,'NSE - Other Index Options'!$B:$B,F$4,'NSE - Other Index Options'!$I:$I,"Weekly*")+SUMIFS('NSE - Other Index Options'!$M:$M,'NSE - Other Index Options'!$C:$C,$A76,'NSE - Other Index Options'!$B:$B,F$4,'NSE - Other Index Options'!$I:$I,"MDAW*")+SUMIFS('BSE - SENSEX Index Options'!$M:$M,'BSE - SENSEX Index Options'!$C:$C,$A76,'BSE - SENSEX Index Options'!$B:$B,F$4,'BSE - SENSEX Index Options'!$I:$I,"Weekly*")+SUMIFS('BSE - SENSEX Index Options'!$M:$M,'BSE - SENSEX Index Options'!$C:$C,$A76,'BSE - SENSEX Index Options'!$B:$B,F$4,'BSE - SENSEX Index Options'!$I:$I,"MDAW*")+SUMIFS('BSE - Other Index Options'!$M:$M,'BSE - Other Index Options'!$C:$C,$A76,'BSE - Other Index Options'!$B:$B,F$4,'BSE - Other Index Options'!$I:$I,"Weekly*")+SUMIFS('BSE - Other Index Options'!$M:$M,'BSE - Other Index Options'!$C:$C,$A76,'BSE - Other Index Options'!$B:$B,F$4,'BSE - Other Index Options'!$I:$I,"MDAW*")=0,"",SUMIFS('NSE - NIFTY Index Options'!$M:$M,'NSE - NIFTY Index Options'!$C:$C,$A76,'NSE - NIFTY Index Options'!$B:$B,F$4,'NSE - NIFTY Index Options'!$I:$I,"Weekly*")+SUMIFS('NSE - NIFTY Index Options'!$M:$M,'NSE - NIFTY Index Options'!$C:$C,$A76,'NSE - NIFTY Index Options'!$B:$B,F$4,'NSE - NIFTY Index Options'!$I:$I,"MDAW*")+SUMIFS('NSE - Other Index Options'!$M:$M,'NSE - Other Index Options'!$C:$C,$A76,'NSE - Other Index Options'!$B:$B,F$4,'NSE - Other Index Options'!$I:$I,"Weekly*")+SUMIFS('NSE - Other Index Options'!$M:$M,'NSE - Other Index Options'!$C:$C,$A76,'NSE - Other Index Options'!$B:$B,F$4,'NSE - Other Index Options'!$I:$I,"MDAW*")+SUMIFS('BSE - SENSEX Index Options'!$M:$M,'BSE - SENSEX Index Options'!$C:$C,$A76,'BSE - SENSEX Index Options'!$B:$B,F$4,'BSE - SENSEX Index Options'!$I:$I,"Weekly*")+SUMIFS('BSE - SENSEX Index Options'!$M:$M,'BSE - SENSEX Index Options'!$C:$C,$A76,'BSE - SENSEX Index Options'!$B:$B,F$4,'BSE - SENSEX Index Options'!$I:$I,"MDAW*")+SUMIFS('BSE - Other Index Options'!$M:$M,'BSE - Other Index Options'!$C:$C,$A76,'BSE - Other Index Options'!$B:$B,F$4,'BSE - Other Index Options'!$I:$I,"Weekly*")+SUMIFS('BSE - Other Index Options'!$M:$M,'BSE - Other Index Options'!$C:$C,$A76,'BSE - Other Index Options'!$B:$B,F$4,'BSE - Other Index Options'!$I:$I,"MDAW*"))</f>
        <v/>
      </c>
      <c r="G76" s="26">
        <f>IF(SUMIFS('NSE - NIFTY Index Options'!$M:$M,'NSE - NIFTY Index Options'!$C:$C,$A76,'NSE - NIFTY Index Options'!$B:$B,G$4,'NSE - NIFTY Index Options'!$I:$I,"Weekly*")+SUMIFS('NSE - NIFTY Index Options'!$M:$M,'NSE - NIFTY Index Options'!$C:$C,$A76,'NSE - NIFTY Index Options'!$B:$B,G$4,'NSE - NIFTY Index Options'!$I:$I,"MDAW*")+SUMIFS('NSE - Other Index Options'!$M:$M,'NSE - Other Index Options'!$C:$C,$A76,'NSE - Other Index Options'!$B:$B,G$4,'NSE - Other Index Options'!$I:$I,"Weekly*")+SUMIFS('NSE - Other Index Options'!$M:$M,'NSE - Other Index Options'!$C:$C,$A76,'NSE - Other Index Options'!$B:$B,G$4,'NSE - Other Index Options'!$I:$I,"MDAW*")+SUMIFS('BSE - SENSEX Index Options'!$M:$M,'BSE - SENSEX Index Options'!$C:$C,$A76,'BSE - SENSEX Index Options'!$B:$B,G$4,'BSE - SENSEX Index Options'!$I:$I,"Weekly*")+SUMIFS('BSE - SENSEX Index Options'!$M:$M,'BSE - SENSEX Index Options'!$C:$C,$A76,'BSE - SENSEX Index Options'!$B:$B,G$4,'BSE - SENSEX Index Options'!$I:$I,"MDAW*")+SUMIFS('BSE - Other Index Options'!$M:$M,'BSE - Other Index Options'!$C:$C,$A76,'BSE - Other Index Options'!$B:$B,G$4,'BSE - Other Index Options'!$I:$I,"Weekly*")+SUMIFS('BSE - Other Index Options'!$M:$M,'BSE - Other Index Options'!$C:$C,$A76,'BSE - Other Index Options'!$B:$B,G$4,'BSE - Other Index Options'!$I:$I,"MDAW*")=0,"",SUMIFS('NSE - NIFTY Index Options'!$M:$M,'NSE - NIFTY Index Options'!$C:$C,$A76,'NSE - NIFTY Index Options'!$B:$B,G$4,'NSE - NIFTY Index Options'!$I:$I,"Weekly*")+SUMIFS('NSE - NIFTY Index Options'!$M:$M,'NSE - NIFTY Index Options'!$C:$C,$A76,'NSE - NIFTY Index Options'!$B:$B,G$4,'NSE - NIFTY Index Options'!$I:$I,"MDAW*")+SUMIFS('NSE - Other Index Options'!$M:$M,'NSE - Other Index Options'!$C:$C,$A76,'NSE - Other Index Options'!$B:$B,G$4,'NSE - Other Index Options'!$I:$I,"Weekly*")+SUMIFS('NSE - Other Index Options'!$M:$M,'NSE - Other Index Options'!$C:$C,$A76,'NSE - Other Index Options'!$B:$B,G$4,'NSE - Other Index Options'!$I:$I,"MDAW*")+SUMIFS('BSE - SENSEX Index Options'!$M:$M,'BSE - SENSEX Index Options'!$C:$C,$A76,'BSE - SENSEX Index Options'!$B:$B,G$4,'BSE - SENSEX Index Options'!$I:$I,"Weekly*")+SUMIFS('BSE - SENSEX Index Options'!$M:$M,'BSE - SENSEX Index Options'!$C:$C,$A76,'BSE - SENSEX Index Options'!$B:$B,G$4,'BSE - SENSEX Index Options'!$I:$I,"MDAW*")+SUMIFS('BSE - Other Index Options'!$M:$M,'BSE - Other Index Options'!$C:$C,$A76,'BSE - Other Index Options'!$B:$B,G$4,'BSE - Other Index Options'!$I:$I,"Weekly*")+SUMIFS('BSE - Other Index Options'!$M:$M,'BSE - Other Index Options'!$C:$C,$A76,'BSE - Other Index Options'!$B:$B,G$4,'BSE - Other Index Options'!$I:$I,"MDAW*"))</f>
        <v/>
      </c>
      <c r="H76" s="26">
        <f>IF(SUM(B76:G76)=0,"",SUM(B76:G76))</f>
        <v/>
      </c>
    </row>
    <row r="77" hidden="1" outlineLevel="1">
      <c r="A77" t="inlineStr">
        <is>
          <t>Week4-Nov-2026</t>
        </is>
      </c>
      <c r="B77" s="26">
        <f>IF(SUMIFS('NSE - NIFTY Index Options'!$M:$M,'NSE - NIFTY Index Options'!$C:$C,$A77,'NSE - NIFTY Index Options'!$B:$B,B$4,'NSE - NIFTY Index Options'!$I:$I,"Weekly*")+SUMIFS('NSE - NIFTY Index Options'!$M:$M,'NSE - NIFTY Index Options'!$C:$C,$A77,'NSE - NIFTY Index Options'!$B:$B,B$4,'NSE - NIFTY Index Options'!$I:$I,"MDAW*")+SUMIFS('NSE - Other Index Options'!$M:$M,'NSE - Other Index Options'!$C:$C,$A77,'NSE - Other Index Options'!$B:$B,B$4,'NSE - Other Index Options'!$I:$I,"Weekly*")+SUMIFS('NSE - Other Index Options'!$M:$M,'NSE - Other Index Options'!$C:$C,$A77,'NSE - Other Index Options'!$B:$B,B$4,'NSE - Other Index Options'!$I:$I,"MDAW*")+SUMIFS('BSE - SENSEX Index Options'!$M:$M,'BSE - SENSEX Index Options'!$C:$C,$A77,'BSE - SENSEX Index Options'!$B:$B,B$4,'BSE - SENSEX Index Options'!$I:$I,"Weekly*")+SUMIFS('BSE - SENSEX Index Options'!$M:$M,'BSE - SENSEX Index Options'!$C:$C,$A77,'BSE - SENSEX Index Options'!$B:$B,B$4,'BSE - SENSEX Index Options'!$I:$I,"MDAW*")+SUMIFS('BSE - Other Index Options'!$M:$M,'BSE - Other Index Options'!$C:$C,$A77,'BSE - Other Index Options'!$B:$B,B$4,'BSE - Other Index Options'!$I:$I,"Weekly*")+SUMIFS('BSE - Other Index Options'!$M:$M,'BSE - Other Index Options'!$C:$C,$A77,'BSE - Other Index Options'!$B:$B,B$4,'BSE - Other Index Options'!$I:$I,"MDAW*")=0,"",SUMIFS('NSE - NIFTY Index Options'!$M:$M,'NSE - NIFTY Index Options'!$C:$C,$A77,'NSE - NIFTY Index Options'!$B:$B,B$4,'NSE - NIFTY Index Options'!$I:$I,"Weekly*")+SUMIFS('NSE - NIFTY Index Options'!$M:$M,'NSE - NIFTY Index Options'!$C:$C,$A77,'NSE - NIFTY Index Options'!$B:$B,B$4,'NSE - NIFTY Index Options'!$I:$I,"MDAW*")+SUMIFS('NSE - Other Index Options'!$M:$M,'NSE - Other Index Options'!$C:$C,$A77,'NSE - Other Index Options'!$B:$B,B$4,'NSE - Other Index Options'!$I:$I,"Weekly*")+SUMIFS('NSE - Other Index Options'!$M:$M,'NSE - Other Index Options'!$C:$C,$A77,'NSE - Other Index Options'!$B:$B,B$4,'NSE - Other Index Options'!$I:$I,"MDAW*")+SUMIFS('BSE - SENSEX Index Options'!$M:$M,'BSE - SENSEX Index Options'!$C:$C,$A77,'BSE - SENSEX Index Options'!$B:$B,B$4,'BSE - SENSEX Index Options'!$I:$I,"Weekly*")+SUMIFS('BSE - SENSEX Index Options'!$M:$M,'BSE - SENSEX Index Options'!$C:$C,$A77,'BSE - SENSEX Index Options'!$B:$B,B$4,'BSE - SENSEX Index Options'!$I:$I,"MDAW*")+SUMIFS('BSE - Other Index Options'!$M:$M,'BSE - Other Index Options'!$C:$C,$A77,'BSE - Other Index Options'!$B:$B,B$4,'BSE - Other Index Options'!$I:$I,"Weekly*")+SUMIFS('BSE - Other Index Options'!$M:$M,'BSE - Other Index Options'!$C:$C,$A77,'BSE - Other Index Options'!$B:$B,B$4,'BSE - Other Index Options'!$I:$I,"MDAW*"))</f>
        <v/>
      </c>
      <c r="C77" s="26">
        <f>IF(SUMIFS('NSE - NIFTY Index Options'!$M:$M,'NSE - NIFTY Index Options'!$C:$C,$A77,'NSE - NIFTY Index Options'!$B:$B,C$4,'NSE - NIFTY Index Options'!$I:$I,"Weekly*")+SUMIFS('NSE - NIFTY Index Options'!$M:$M,'NSE - NIFTY Index Options'!$C:$C,$A77,'NSE - NIFTY Index Options'!$B:$B,C$4,'NSE - NIFTY Index Options'!$I:$I,"MDAW*")+SUMIFS('NSE - Other Index Options'!$M:$M,'NSE - Other Index Options'!$C:$C,$A77,'NSE - Other Index Options'!$B:$B,C$4,'NSE - Other Index Options'!$I:$I,"Weekly*")+SUMIFS('NSE - Other Index Options'!$M:$M,'NSE - Other Index Options'!$C:$C,$A77,'NSE - Other Index Options'!$B:$B,C$4,'NSE - Other Index Options'!$I:$I,"MDAW*")+SUMIFS('BSE - SENSEX Index Options'!$M:$M,'BSE - SENSEX Index Options'!$C:$C,$A77,'BSE - SENSEX Index Options'!$B:$B,C$4,'BSE - SENSEX Index Options'!$I:$I,"Weekly*")+SUMIFS('BSE - SENSEX Index Options'!$M:$M,'BSE - SENSEX Index Options'!$C:$C,$A77,'BSE - SENSEX Index Options'!$B:$B,C$4,'BSE - SENSEX Index Options'!$I:$I,"MDAW*")+SUMIFS('BSE - Other Index Options'!$M:$M,'BSE - Other Index Options'!$C:$C,$A77,'BSE - Other Index Options'!$B:$B,C$4,'BSE - Other Index Options'!$I:$I,"Weekly*")+SUMIFS('BSE - Other Index Options'!$M:$M,'BSE - Other Index Options'!$C:$C,$A77,'BSE - Other Index Options'!$B:$B,C$4,'BSE - Other Index Options'!$I:$I,"MDAW*")=0,"",SUMIFS('NSE - NIFTY Index Options'!$M:$M,'NSE - NIFTY Index Options'!$C:$C,$A77,'NSE - NIFTY Index Options'!$B:$B,C$4,'NSE - NIFTY Index Options'!$I:$I,"Weekly*")+SUMIFS('NSE - NIFTY Index Options'!$M:$M,'NSE - NIFTY Index Options'!$C:$C,$A77,'NSE - NIFTY Index Options'!$B:$B,C$4,'NSE - NIFTY Index Options'!$I:$I,"MDAW*")+SUMIFS('NSE - Other Index Options'!$M:$M,'NSE - Other Index Options'!$C:$C,$A77,'NSE - Other Index Options'!$B:$B,C$4,'NSE - Other Index Options'!$I:$I,"Weekly*")+SUMIFS('NSE - Other Index Options'!$M:$M,'NSE - Other Index Options'!$C:$C,$A77,'NSE - Other Index Options'!$B:$B,C$4,'NSE - Other Index Options'!$I:$I,"MDAW*")+SUMIFS('BSE - SENSEX Index Options'!$M:$M,'BSE - SENSEX Index Options'!$C:$C,$A77,'BSE - SENSEX Index Options'!$B:$B,C$4,'BSE - SENSEX Index Options'!$I:$I,"Weekly*")+SUMIFS('BSE - SENSEX Index Options'!$M:$M,'BSE - SENSEX Index Options'!$C:$C,$A77,'BSE - SENSEX Index Options'!$B:$B,C$4,'BSE - SENSEX Index Options'!$I:$I,"MDAW*")+SUMIFS('BSE - Other Index Options'!$M:$M,'BSE - Other Index Options'!$C:$C,$A77,'BSE - Other Index Options'!$B:$B,C$4,'BSE - Other Index Options'!$I:$I,"Weekly*")+SUMIFS('BSE - Other Index Options'!$M:$M,'BSE - Other Index Options'!$C:$C,$A77,'BSE - Other Index Options'!$B:$B,C$4,'BSE - Other Index Options'!$I:$I,"MDAW*"))</f>
        <v/>
      </c>
      <c r="D77" s="26">
        <f>IF(SUMIFS('NSE - NIFTY Index Options'!$M:$M,'NSE - NIFTY Index Options'!$C:$C,$A77,'NSE - NIFTY Index Options'!$B:$B,D$4,'NSE - NIFTY Index Options'!$I:$I,"Weekly*")+SUMIFS('NSE - NIFTY Index Options'!$M:$M,'NSE - NIFTY Index Options'!$C:$C,$A77,'NSE - NIFTY Index Options'!$B:$B,D$4,'NSE - NIFTY Index Options'!$I:$I,"MDAW*")+SUMIFS('NSE - Other Index Options'!$M:$M,'NSE - Other Index Options'!$C:$C,$A77,'NSE - Other Index Options'!$B:$B,D$4,'NSE - Other Index Options'!$I:$I,"Weekly*")+SUMIFS('NSE - Other Index Options'!$M:$M,'NSE - Other Index Options'!$C:$C,$A77,'NSE - Other Index Options'!$B:$B,D$4,'NSE - Other Index Options'!$I:$I,"MDAW*")+SUMIFS('BSE - SENSEX Index Options'!$M:$M,'BSE - SENSEX Index Options'!$C:$C,$A77,'BSE - SENSEX Index Options'!$B:$B,D$4,'BSE - SENSEX Index Options'!$I:$I,"Weekly*")+SUMIFS('BSE - SENSEX Index Options'!$M:$M,'BSE - SENSEX Index Options'!$C:$C,$A77,'BSE - SENSEX Index Options'!$B:$B,D$4,'BSE - SENSEX Index Options'!$I:$I,"MDAW*")+SUMIFS('BSE - Other Index Options'!$M:$M,'BSE - Other Index Options'!$C:$C,$A77,'BSE - Other Index Options'!$B:$B,D$4,'BSE - Other Index Options'!$I:$I,"Weekly*")+SUMIFS('BSE - Other Index Options'!$M:$M,'BSE - Other Index Options'!$C:$C,$A77,'BSE - Other Index Options'!$B:$B,D$4,'BSE - Other Index Options'!$I:$I,"MDAW*")=0,"",SUMIFS('NSE - NIFTY Index Options'!$M:$M,'NSE - NIFTY Index Options'!$C:$C,$A77,'NSE - NIFTY Index Options'!$B:$B,D$4,'NSE - NIFTY Index Options'!$I:$I,"Weekly*")+SUMIFS('NSE - NIFTY Index Options'!$M:$M,'NSE - NIFTY Index Options'!$C:$C,$A77,'NSE - NIFTY Index Options'!$B:$B,D$4,'NSE - NIFTY Index Options'!$I:$I,"MDAW*")+SUMIFS('NSE - Other Index Options'!$M:$M,'NSE - Other Index Options'!$C:$C,$A77,'NSE - Other Index Options'!$B:$B,D$4,'NSE - Other Index Options'!$I:$I,"Weekly*")+SUMIFS('NSE - Other Index Options'!$M:$M,'NSE - Other Index Options'!$C:$C,$A77,'NSE - Other Index Options'!$B:$B,D$4,'NSE - Other Index Options'!$I:$I,"MDAW*")+SUMIFS('BSE - SENSEX Index Options'!$M:$M,'BSE - SENSEX Index Options'!$C:$C,$A77,'BSE - SENSEX Index Options'!$B:$B,D$4,'BSE - SENSEX Index Options'!$I:$I,"Weekly*")+SUMIFS('BSE - SENSEX Index Options'!$M:$M,'BSE - SENSEX Index Options'!$C:$C,$A77,'BSE - SENSEX Index Options'!$B:$B,D$4,'BSE - SENSEX Index Options'!$I:$I,"MDAW*")+SUMIFS('BSE - Other Index Options'!$M:$M,'BSE - Other Index Options'!$C:$C,$A77,'BSE - Other Index Options'!$B:$B,D$4,'BSE - Other Index Options'!$I:$I,"Weekly*")+SUMIFS('BSE - Other Index Options'!$M:$M,'BSE - Other Index Options'!$C:$C,$A77,'BSE - Other Index Options'!$B:$B,D$4,'BSE - Other Index Options'!$I:$I,"MDAW*"))</f>
        <v/>
      </c>
      <c r="E77" s="26">
        <f>IF(SUMIFS('NSE - NIFTY Index Options'!$M:$M,'NSE - NIFTY Index Options'!$C:$C,$A77,'NSE - NIFTY Index Options'!$B:$B,E$4,'NSE - NIFTY Index Options'!$I:$I,"Weekly*")+SUMIFS('NSE - NIFTY Index Options'!$M:$M,'NSE - NIFTY Index Options'!$C:$C,$A77,'NSE - NIFTY Index Options'!$B:$B,E$4,'NSE - NIFTY Index Options'!$I:$I,"MDAW*")+SUMIFS('NSE - Other Index Options'!$M:$M,'NSE - Other Index Options'!$C:$C,$A77,'NSE - Other Index Options'!$B:$B,E$4,'NSE - Other Index Options'!$I:$I,"Weekly*")+SUMIFS('NSE - Other Index Options'!$M:$M,'NSE - Other Index Options'!$C:$C,$A77,'NSE - Other Index Options'!$B:$B,E$4,'NSE - Other Index Options'!$I:$I,"MDAW*")+SUMIFS('BSE - SENSEX Index Options'!$M:$M,'BSE - SENSEX Index Options'!$C:$C,$A77,'BSE - SENSEX Index Options'!$B:$B,E$4,'BSE - SENSEX Index Options'!$I:$I,"Weekly*")+SUMIFS('BSE - SENSEX Index Options'!$M:$M,'BSE - SENSEX Index Options'!$C:$C,$A77,'BSE - SENSEX Index Options'!$B:$B,E$4,'BSE - SENSEX Index Options'!$I:$I,"MDAW*")+SUMIFS('BSE - Other Index Options'!$M:$M,'BSE - Other Index Options'!$C:$C,$A77,'BSE - Other Index Options'!$B:$B,E$4,'BSE - Other Index Options'!$I:$I,"Weekly*")+SUMIFS('BSE - Other Index Options'!$M:$M,'BSE - Other Index Options'!$C:$C,$A77,'BSE - Other Index Options'!$B:$B,E$4,'BSE - Other Index Options'!$I:$I,"MDAW*")=0,"",SUMIFS('NSE - NIFTY Index Options'!$M:$M,'NSE - NIFTY Index Options'!$C:$C,$A77,'NSE - NIFTY Index Options'!$B:$B,E$4,'NSE - NIFTY Index Options'!$I:$I,"Weekly*")+SUMIFS('NSE - NIFTY Index Options'!$M:$M,'NSE - NIFTY Index Options'!$C:$C,$A77,'NSE - NIFTY Index Options'!$B:$B,E$4,'NSE - NIFTY Index Options'!$I:$I,"MDAW*")+SUMIFS('NSE - Other Index Options'!$M:$M,'NSE - Other Index Options'!$C:$C,$A77,'NSE - Other Index Options'!$B:$B,E$4,'NSE - Other Index Options'!$I:$I,"Weekly*")+SUMIFS('NSE - Other Index Options'!$M:$M,'NSE - Other Index Options'!$C:$C,$A77,'NSE - Other Index Options'!$B:$B,E$4,'NSE - Other Index Options'!$I:$I,"MDAW*")+SUMIFS('BSE - SENSEX Index Options'!$M:$M,'BSE - SENSEX Index Options'!$C:$C,$A77,'BSE - SENSEX Index Options'!$B:$B,E$4,'BSE - SENSEX Index Options'!$I:$I,"Weekly*")+SUMIFS('BSE - SENSEX Index Options'!$M:$M,'BSE - SENSEX Index Options'!$C:$C,$A77,'BSE - SENSEX Index Options'!$B:$B,E$4,'BSE - SENSEX Index Options'!$I:$I,"MDAW*")+SUMIFS('BSE - Other Index Options'!$M:$M,'BSE - Other Index Options'!$C:$C,$A77,'BSE - Other Index Options'!$B:$B,E$4,'BSE - Other Index Options'!$I:$I,"Weekly*")+SUMIFS('BSE - Other Index Options'!$M:$M,'BSE - Other Index Options'!$C:$C,$A77,'BSE - Other Index Options'!$B:$B,E$4,'BSE - Other Index Options'!$I:$I,"MDAW*"))</f>
        <v/>
      </c>
      <c r="F77" s="26">
        <f>IF(SUMIFS('NSE - NIFTY Index Options'!$M:$M,'NSE - NIFTY Index Options'!$C:$C,$A77,'NSE - NIFTY Index Options'!$B:$B,F$4,'NSE - NIFTY Index Options'!$I:$I,"Weekly*")+SUMIFS('NSE - NIFTY Index Options'!$M:$M,'NSE - NIFTY Index Options'!$C:$C,$A77,'NSE - NIFTY Index Options'!$B:$B,F$4,'NSE - NIFTY Index Options'!$I:$I,"MDAW*")+SUMIFS('NSE - Other Index Options'!$M:$M,'NSE - Other Index Options'!$C:$C,$A77,'NSE - Other Index Options'!$B:$B,F$4,'NSE - Other Index Options'!$I:$I,"Weekly*")+SUMIFS('NSE - Other Index Options'!$M:$M,'NSE - Other Index Options'!$C:$C,$A77,'NSE - Other Index Options'!$B:$B,F$4,'NSE - Other Index Options'!$I:$I,"MDAW*")+SUMIFS('BSE - SENSEX Index Options'!$M:$M,'BSE - SENSEX Index Options'!$C:$C,$A77,'BSE - SENSEX Index Options'!$B:$B,F$4,'BSE - SENSEX Index Options'!$I:$I,"Weekly*")+SUMIFS('BSE - SENSEX Index Options'!$M:$M,'BSE - SENSEX Index Options'!$C:$C,$A77,'BSE - SENSEX Index Options'!$B:$B,F$4,'BSE - SENSEX Index Options'!$I:$I,"MDAW*")+SUMIFS('BSE - Other Index Options'!$M:$M,'BSE - Other Index Options'!$C:$C,$A77,'BSE - Other Index Options'!$B:$B,F$4,'BSE - Other Index Options'!$I:$I,"Weekly*")+SUMIFS('BSE - Other Index Options'!$M:$M,'BSE - Other Index Options'!$C:$C,$A77,'BSE - Other Index Options'!$B:$B,F$4,'BSE - Other Index Options'!$I:$I,"MDAW*")=0,"",SUMIFS('NSE - NIFTY Index Options'!$M:$M,'NSE - NIFTY Index Options'!$C:$C,$A77,'NSE - NIFTY Index Options'!$B:$B,F$4,'NSE - NIFTY Index Options'!$I:$I,"Weekly*")+SUMIFS('NSE - NIFTY Index Options'!$M:$M,'NSE - NIFTY Index Options'!$C:$C,$A77,'NSE - NIFTY Index Options'!$B:$B,F$4,'NSE - NIFTY Index Options'!$I:$I,"MDAW*")+SUMIFS('NSE - Other Index Options'!$M:$M,'NSE - Other Index Options'!$C:$C,$A77,'NSE - Other Index Options'!$B:$B,F$4,'NSE - Other Index Options'!$I:$I,"Weekly*")+SUMIFS('NSE - Other Index Options'!$M:$M,'NSE - Other Index Options'!$C:$C,$A77,'NSE - Other Index Options'!$B:$B,F$4,'NSE - Other Index Options'!$I:$I,"MDAW*")+SUMIFS('BSE - SENSEX Index Options'!$M:$M,'BSE - SENSEX Index Options'!$C:$C,$A77,'BSE - SENSEX Index Options'!$B:$B,F$4,'BSE - SENSEX Index Options'!$I:$I,"Weekly*")+SUMIFS('BSE - SENSEX Index Options'!$M:$M,'BSE - SENSEX Index Options'!$C:$C,$A77,'BSE - SENSEX Index Options'!$B:$B,F$4,'BSE - SENSEX Index Options'!$I:$I,"MDAW*")+SUMIFS('BSE - Other Index Options'!$M:$M,'BSE - Other Index Options'!$C:$C,$A77,'BSE - Other Index Options'!$B:$B,F$4,'BSE - Other Index Options'!$I:$I,"Weekly*")+SUMIFS('BSE - Other Index Options'!$M:$M,'BSE - Other Index Options'!$C:$C,$A77,'BSE - Other Index Options'!$B:$B,F$4,'BSE - Other Index Options'!$I:$I,"MDAW*"))</f>
        <v/>
      </c>
      <c r="G77" s="26">
        <f>IF(SUMIFS('NSE - NIFTY Index Options'!$M:$M,'NSE - NIFTY Index Options'!$C:$C,$A77,'NSE - NIFTY Index Options'!$B:$B,G$4,'NSE - NIFTY Index Options'!$I:$I,"Weekly*")+SUMIFS('NSE - NIFTY Index Options'!$M:$M,'NSE - NIFTY Index Options'!$C:$C,$A77,'NSE - NIFTY Index Options'!$B:$B,G$4,'NSE - NIFTY Index Options'!$I:$I,"MDAW*")+SUMIFS('NSE - Other Index Options'!$M:$M,'NSE - Other Index Options'!$C:$C,$A77,'NSE - Other Index Options'!$B:$B,G$4,'NSE - Other Index Options'!$I:$I,"Weekly*")+SUMIFS('NSE - Other Index Options'!$M:$M,'NSE - Other Index Options'!$C:$C,$A77,'NSE - Other Index Options'!$B:$B,G$4,'NSE - Other Index Options'!$I:$I,"MDAW*")+SUMIFS('BSE - SENSEX Index Options'!$M:$M,'BSE - SENSEX Index Options'!$C:$C,$A77,'BSE - SENSEX Index Options'!$B:$B,G$4,'BSE - SENSEX Index Options'!$I:$I,"Weekly*")+SUMIFS('BSE - SENSEX Index Options'!$M:$M,'BSE - SENSEX Index Options'!$C:$C,$A77,'BSE - SENSEX Index Options'!$B:$B,G$4,'BSE - SENSEX Index Options'!$I:$I,"MDAW*")+SUMIFS('BSE - Other Index Options'!$M:$M,'BSE - Other Index Options'!$C:$C,$A77,'BSE - Other Index Options'!$B:$B,G$4,'BSE - Other Index Options'!$I:$I,"Weekly*")+SUMIFS('BSE - Other Index Options'!$M:$M,'BSE - Other Index Options'!$C:$C,$A77,'BSE - Other Index Options'!$B:$B,G$4,'BSE - Other Index Options'!$I:$I,"MDAW*")=0,"",SUMIFS('NSE - NIFTY Index Options'!$M:$M,'NSE - NIFTY Index Options'!$C:$C,$A77,'NSE - NIFTY Index Options'!$B:$B,G$4,'NSE - NIFTY Index Options'!$I:$I,"Weekly*")+SUMIFS('NSE - NIFTY Index Options'!$M:$M,'NSE - NIFTY Index Options'!$C:$C,$A77,'NSE - NIFTY Index Options'!$B:$B,G$4,'NSE - NIFTY Index Options'!$I:$I,"MDAW*")+SUMIFS('NSE - Other Index Options'!$M:$M,'NSE - Other Index Options'!$C:$C,$A77,'NSE - Other Index Options'!$B:$B,G$4,'NSE - Other Index Options'!$I:$I,"Weekly*")+SUMIFS('NSE - Other Index Options'!$M:$M,'NSE - Other Index Options'!$C:$C,$A77,'NSE - Other Index Options'!$B:$B,G$4,'NSE - Other Index Options'!$I:$I,"MDAW*")+SUMIFS('BSE - SENSEX Index Options'!$M:$M,'BSE - SENSEX Index Options'!$C:$C,$A77,'BSE - SENSEX Index Options'!$B:$B,G$4,'BSE - SENSEX Index Options'!$I:$I,"Weekly*")+SUMIFS('BSE - SENSEX Index Options'!$M:$M,'BSE - SENSEX Index Options'!$C:$C,$A77,'BSE - SENSEX Index Options'!$B:$B,G$4,'BSE - SENSEX Index Options'!$I:$I,"MDAW*")+SUMIFS('BSE - Other Index Options'!$M:$M,'BSE - Other Index Options'!$C:$C,$A77,'BSE - Other Index Options'!$B:$B,G$4,'BSE - Other Index Options'!$I:$I,"Weekly*")+SUMIFS('BSE - Other Index Options'!$M:$M,'BSE - Other Index Options'!$C:$C,$A77,'BSE - Other Index Options'!$B:$B,G$4,'BSE - Other Index Options'!$I:$I,"MDAW*"))</f>
        <v/>
      </c>
      <c r="H77" s="26">
        <f>IF(SUM(B77:G77)=0,"",SUM(B77:G77))</f>
        <v/>
      </c>
    </row>
    <row r="78" hidden="1" outlineLevel="1">
      <c r="A78" t="inlineStr">
        <is>
          <t>Week5-Nov-2026</t>
        </is>
      </c>
      <c r="B78" s="26">
        <f>IF(SUMIFS('NSE - NIFTY Index Options'!$M:$M,'NSE - NIFTY Index Options'!$C:$C,$A78,'NSE - NIFTY Index Options'!$B:$B,B$4,'NSE - NIFTY Index Options'!$I:$I,"Weekly*")+SUMIFS('NSE - NIFTY Index Options'!$M:$M,'NSE - NIFTY Index Options'!$C:$C,$A78,'NSE - NIFTY Index Options'!$B:$B,B$4,'NSE - NIFTY Index Options'!$I:$I,"MDAW*")+SUMIFS('NSE - Other Index Options'!$M:$M,'NSE - Other Index Options'!$C:$C,$A78,'NSE - Other Index Options'!$B:$B,B$4,'NSE - Other Index Options'!$I:$I,"Weekly*")+SUMIFS('NSE - Other Index Options'!$M:$M,'NSE - Other Index Options'!$C:$C,$A78,'NSE - Other Index Options'!$B:$B,B$4,'NSE - Other Index Options'!$I:$I,"MDAW*")+SUMIFS('BSE - SENSEX Index Options'!$M:$M,'BSE - SENSEX Index Options'!$C:$C,$A78,'BSE - SENSEX Index Options'!$B:$B,B$4,'BSE - SENSEX Index Options'!$I:$I,"Weekly*")+SUMIFS('BSE - SENSEX Index Options'!$M:$M,'BSE - SENSEX Index Options'!$C:$C,$A78,'BSE - SENSEX Index Options'!$B:$B,B$4,'BSE - SENSEX Index Options'!$I:$I,"MDAW*")+SUMIFS('BSE - Other Index Options'!$M:$M,'BSE - Other Index Options'!$C:$C,$A78,'BSE - Other Index Options'!$B:$B,B$4,'BSE - Other Index Options'!$I:$I,"Weekly*")+SUMIFS('BSE - Other Index Options'!$M:$M,'BSE - Other Index Options'!$C:$C,$A78,'BSE - Other Index Options'!$B:$B,B$4,'BSE - Other Index Options'!$I:$I,"MDAW*")=0,"",SUMIFS('NSE - NIFTY Index Options'!$M:$M,'NSE - NIFTY Index Options'!$C:$C,$A78,'NSE - NIFTY Index Options'!$B:$B,B$4,'NSE - NIFTY Index Options'!$I:$I,"Weekly*")+SUMIFS('NSE - NIFTY Index Options'!$M:$M,'NSE - NIFTY Index Options'!$C:$C,$A78,'NSE - NIFTY Index Options'!$B:$B,B$4,'NSE - NIFTY Index Options'!$I:$I,"MDAW*")+SUMIFS('NSE - Other Index Options'!$M:$M,'NSE - Other Index Options'!$C:$C,$A78,'NSE - Other Index Options'!$B:$B,B$4,'NSE - Other Index Options'!$I:$I,"Weekly*")+SUMIFS('NSE - Other Index Options'!$M:$M,'NSE - Other Index Options'!$C:$C,$A78,'NSE - Other Index Options'!$B:$B,B$4,'NSE - Other Index Options'!$I:$I,"MDAW*")+SUMIFS('BSE - SENSEX Index Options'!$M:$M,'BSE - SENSEX Index Options'!$C:$C,$A78,'BSE - SENSEX Index Options'!$B:$B,B$4,'BSE - SENSEX Index Options'!$I:$I,"Weekly*")+SUMIFS('BSE - SENSEX Index Options'!$M:$M,'BSE - SENSEX Index Options'!$C:$C,$A78,'BSE - SENSEX Index Options'!$B:$B,B$4,'BSE - SENSEX Index Options'!$I:$I,"MDAW*")+SUMIFS('BSE - Other Index Options'!$M:$M,'BSE - Other Index Options'!$C:$C,$A78,'BSE - Other Index Options'!$B:$B,B$4,'BSE - Other Index Options'!$I:$I,"Weekly*")+SUMIFS('BSE - Other Index Options'!$M:$M,'BSE - Other Index Options'!$C:$C,$A78,'BSE - Other Index Options'!$B:$B,B$4,'BSE - Other Index Options'!$I:$I,"MDAW*"))</f>
        <v/>
      </c>
      <c r="C78" s="26">
        <f>IF(SUMIFS('NSE - NIFTY Index Options'!$M:$M,'NSE - NIFTY Index Options'!$C:$C,$A78,'NSE - NIFTY Index Options'!$B:$B,C$4,'NSE - NIFTY Index Options'!$I:$I,"Weekly*")+SUMIFS('NSE - NIFTY Index Options'!$M:$M,'NSE - NIFTY Index Options'!$C:$C,$A78,'NSE - NIFTY Index Options'!$B:$B,C$4,'NSE - NIFTY Index Options'!$I:$I,"MDAW*")+SUMIFS('NSE - Other Index Options'!$M:$M,'NSE - Other Index Options'!$C:$C,$A78,'NSE - Other Index Options'!$B:$B,C$4,'NSE - Other Index Options'!$I:$I,"Weekly*")+SUMIFS('NSE - Other Index Options'!$M:$M,'NSE - Other Index Options'!$C:$C,$A78,'NSE - Other Index Options'!$B:$B,C$4,'NSE - Other Index Options'!$I:$I,"MDAW*")+SUMIFS('BSE - SENSEX Index Options'!$M:$M,'BSE - SENSEX Index Options'!$C:$C,$A78,'BSE - SENSEX Index Options'!$B:$B,C$4,'BSE - SENSEX Index Options'!$I:$I,"Weekly*")+SUMIFS('BSE - SENSEX Index Options'!$M:$M,'BSE - SENSEX Index Options'!$C:$C,$A78,'BSE - SENSEX Index Options'!$B:$B,C$4,'BSE - SENSEX Index Options'!$I:$I,"MDAW*")+SUMIFS('BSE - Other Index Options'!$M:$M,'BSE - Other Index Options'!$C:$C,$A78,'BSE - Other Index Options'!$B:$B,C$4,'BSE - Other Index Options'!$I:$I,"Weekly*")+SUMIFS('BSE - Other Index Options'!$M:$M,'BSE - Other Index Options'!$C:$C,$A78,'BSE - Other Index Options'!$B:$B,C$4,'BSE - Other Index Options'!$I:$I,"MDAW*")=0,"",SUMIFS('NSE - NIFTY Index Options'!$M:$M,'NSE - NIFTY Index Options'!$C:$C,$A78,'NSE - NIFTY Index Options'!$B:$B,C$4,'NSE - NIFTY Index Options'!$I:$I,"Weekly*")+SUMIFS('NSE - NIFTY Index Options'!$M:$M,'NSE - NIFTY Index Options'!$C:$C,$A78,'NSE - NIFTY Index Options'!$B:$B,C$4,'NSE - NIFTY Index Options'!$I:$I,"MDAW*")+SUMIFS('NSE - Other Index Options'!$M:$M,'NSE - Other Index Options'!$C:$C,$A78,'NSE - Other Index Options'!$B:$B,C$4,'NSE - Other Index Options'!$I:$I,"Weekly*")+SUMIFS('NSE - Other Index Options'!$M:$M,'NSE - Other Index Options'!$C:$C,$A78,'NSE - Other Index Options'!$B:$B,C$4,'NSE - Other Index Options'!$I:$I,"MDAW*")+SUMIFS('BSE - SENSEX Index Options'!$M:$M,'BSE - SENSEX Index Options'!$C:$C,$A78,'BSE - SENSEX Index Options'!$B:$B,C$4,'BSE - SENSEX Index Options'!$I:$I,"Weekly*")+SUMIFS('BSE - SENSEX Index Options'!$M:$M,'BSE - SENSEX Index Options'!$C:$C,$A78,'BSE - SENSEX Index Options'!$B:$B,C$4,'BSE - SENSEX Index Options'!$I:$I,"MDAW*")+SUMIFS('BSE - Other Index Options'!$M:$M,'BSE - Other Index Options'!$C:$C,$A78,'BSE - Other Index Options'!$B:$B,C$4,'BSE - Other Index Options'!$I:$I,"Weekly*")+SUMIFS('BSE - Other Index Options'!$M:$M,'BSE - Other Index Options'!$C:$C,$A78,'BSE - Other Index Options'!$B:$B,C$4,'BSE - Other Index Options'!$I:$I,"MDAW*"))</f>
        <v/>
      </c>
      <c r="D78" s="26">
        <f>IF(SUMIFS('NSE - NIFTY Index Options'!$M:$M,'NSE - NIFTY Index Options'!$C:$C,$A78,'NSE - NIFTY Index Options'!$B:$B,D$4,'NSE - NIFTY Index Options'!$I:$I,"Weekly*")+SUMIFS('NSE - NIFTY Index Options'!$M:$M,'NSE - NIFTY Index Options'!$C:$C,$A78,'NSE - NIFTY Index Options'!$B:$B,D$4,'NSE - NIFTY Index Options'!$I:$I,"MDAW*")+SUMIFS('NSE - Other Index Options'!$M:$M,'NSE - Other Index Options'!$C:$C,$A78,'NSE - Other Index Options'!$B:$B,D$4,'NSE - Other Index Options'!$I:$I,"Weekly*")+SUMIFS('NSE - Other Index Options'!$M:$M,'NSE - Other Index Options'!$C:$C,$A78,'NSE - Other Index Options'!$B:$B,D$4,'NSE - Other Index Options'!$I:$I,"MDAW*")+SUMIFS('BSE - SENSEX Index Options'!$M:$M,'BSE - SENSEX Index Options'!$C:$C,$A78,'BSE - SENSEX Index Options'!$B:$B,D$4,'BSE - SENSEX Index Options'!$I:$I,"Weekly*")+SUMIFS('BSE - SENSEX Index Options'!$M:$M,'BSE - SENSEX Index Options'!$C:$C,$A78,'BSE - SENSEX Index Options'!$B:$B,D$4,'BSE - SENSEX Index Options'!$I:$I,"MDAW*")+SUMIFS('BSE - Other Index Options'!$M:$M,'BSE - Other Index Options'!$C:$C,$A78,'BSE - Other Index Options'!$B:$B,D$4,'BSE - Other Index Options'!$I:$I,"Weekly*")+SUMIFS('BSE - Other Index Options'!$M:$M,'BSE - Other Index Options'!$C:$C,$A78,'BSE - Other Index Options'!$B:$B,D$4,'BSE - Other Index Options'!$I:$I,"MDAW*")=0,"",SUMIFS('NSE - NIFTY Index Options'!$M:$M,'NSE - NIFTY Index Options'!$C:$C,$A78,'NSE - NIFTY Index Options'!$B:$B,D$4,'NSE - NIFTY Index Options'!$I:$I,"Weekly*")+SUMIFS('NSE - NIFTY Index Options'!$M:$M,'NSE - NIFTY Index Options'!$C:$C,$A78,'NSE - NIFTY Index Options'!$B:$B,D$4,'NSE - NIFTY Index Options'!$I:$I,"MDAW*")+SUMIFS('NSE - Other Index Options'!$M:$M,'NSE - Other Index Options'!$C:$C,$A78,'NSE - Other Index Options'!$B:$B,D$4,'NSE - Other Index Options'!$I:$I,"Weekly*")+SUMIFS('NSE - Other Index Options'!$M:$M,'NSE - Other Index Options'!$C:$C,$A78,'NSE - Other Index Options'!$B:$B,D$4,'NSE - Other Index Options'!$I:$I,"MDAW*")+SUMIFS('BSE - SENSEX Index Options'!$M:$M,'BSE - SENSEX Index Options'!$C:$C,$A78,'BSE - SENSEX Index Options'!$B:$B,D$4,'BSE - SENSEX Index Options'!$I:$I,"Weekly*")+SUMIFS('BSE - SENSEX Index Options'!$M:$M,'BSE - SENSEX Index Options'!$C:$C,$A78,'BSE - SENSEX Index Options'!$B:$B,D$4,'BSE - SENSEX Index Options'!$I:$I,"MDAW*")+SUMIFS('BSE - Other Index Options'!$M:$M,'BSE - Other Index Options'!$C:$C,$A78,'BSE - Other Index Options'!$B:$B,D$4,'BSE - Other Index Options'!$I:$I,"Weekly*")+SUMIFS('BSE - Other Index Options'!$M:$M,'BSE - Other Index Options'!$C:$C,$A78,'BSE - Other Index Options'!$B:$B,D$4,'BSE - Other Index Options'!$I:$I,"MDAW*"))</f>
        <v/>
      </c>
      <c r="E78" s="26">
        <f>IF(SUMIFS('NSE - NIFTY Index Options'!$M:$M,'NSE - NIFTY Index Options'!$C:$C,$A78,'NSE - NIFTY Index Options'!$B:$B,E$4,'NSE - NIFTY Index Options'!$I:$I,"Weekly*")+SUMIFS('NSE - NIFTY Index Options'!$M:$M,'NSE - NIFTY Index Options'!$C:$C,$A78,'NSE - NIFTY Index Options'!$B:$B,E$4,'NSE - NIFTY Index Options'!$I:$I,"MDAW*")+SUMIFS('NSE - Other Index Options'!$M:$M,'NSE - Other Index Options'!$C:$C,$A78,'NSE - Other Index Options'!$B:$B,E$4,'NSE - Other Index Options'!$I:$I,"Weekly*")+SUMIFS('NSE - Other Index Options'!$M:$M,'NSE - Other Index Options'!$C:$C,$A78,'NSE - Other Index Options'!$B:$B,E$4,'NSE - Other Index Options'!$I:$I,"MDAW*")+SUMIFS('BSE - SENSEX Index Options'!$M:$M,'BSE - SENSEX Index Options'!$C:$C,$A78,'BSE - SENSEX Index Options'!$B:$B,E$4,'BSE - SENSEX Index Options'!$I:$I,"Weekly*")+SUMIFS('BSE - SENSEX Index Options'!$M:$M,'BSE - SENSEX Index Options'!$C:$C,$A78,'BSE - SENSEX Index Options'!$B:$B,E$4,'BSE - SENSEX Index Options'!$I:$I,"MDAW*")+SUMIFS('BSE - Other Index Options'!$M:$M,'BSE - Other Index Options'!$C:$C,$A78,'BSE - Other Index Options'!$B:$B,E$4,'BSE - Other Index Options'!$I:$I,"Weekly*")+SUMIFS('BSE - Other Index Options'!$M:$M,'BSE - Other Index Options'!$C:$C,$A78,'BSE - Other Index Options'!$B:$B,E$4,'BSE - Other Index Options'!$I:$I,"MDAW*")=0,"",SUMIFS('NSE - NIFTY Index Options'!$M:$M,'NSE - NIFTY Index Options'!$C:$C,$A78,'NSE - NIFTY Index Options'!$B:$B,E$4,'NSE - NIFTY Index Options'!$I:$I,"Weekly*")+SUMIFS('NSE - NIFTY Index Options'!$M:$M,'NSE - NIFTY Index Options'!$C:$C,$A78,'NSE - NIFTY Index Options'!$B:$B,E$4,'NSE - NIFTY Index Options'!$I:$I,"MDAW*")+SUMIFS('NSE - Other Index Options'!$M:$M,'NSE - Other Index Options'!$C:$C,$A78,'NSE - Other Index Options'!$B:$B,E$4,'NSE - Other Index Options'!$I:$I,"Weekly*")+SUMIFS('NSE - Other Index Options'!$M:$M,'NSE - Other Index Options'!$C:$C,$A78,'NSE - Other Index Options'!$B:$B,E$4,'NSE - Other Index Options'!$I:$I,"MDAW*")+SUMIFS('BSE - SENSEX Index Options'!$M:$M,'BSE - SENSEX Index Options'!$C:$C,$A78,'BSE - SENSEX Index Options'!$B:$B,E$4,'BSE - SENSEX Index Options'!$I:$I,"Weekly*")+SUMIFS('BSE - SENSEX Index Options'!$M:$M,'BSE - SENSEX Index Options'!$C:$C,$A78,'BSE - SENSEX Index Options'!$B:$B,E$4,'BSE - SENSEX Index Options'!$I:$I,"MDAW*")+SUMIFS('BSE - Other Index Options'!$M:$M,'BSE - Other Index Options'!$C:$C,$A78,'BSE - Other Index Options'!$B:$B,E$4,'BSE - Other Index Options'!$I:$I,"Weekly*")+SUMIFS('BSE - Other Index Options'!$M:$M,'BSE - Other Index Options'!$C:$C,$A78,'BSE - Other Index Options'!$B:$B,E$4,'BSE - Other Index Options'!$I:$I,"MDAW*"))</f>
        <v/>
      </c>
      <c r="F78" s="26">
        <f>IF(SUMIFS('NSE - NIFTY Index Options'!$M:$M,'NSE - NIFTY Index Options'!$C:$C,$A78,'NSE - NIFTY Index Options'!$B:$B,F$4,'NSE - NIFTY Index Options'!$I:$I,"Weekly*")+SUMIFS('NSE - NIFTY Index Options'!$M:$M,'NSE - NIFTY Index Options'!$C:$C,$A78,'NSE - NIFTY Index Options'!$B:$B,F$4,'NSE - NIFTY Index Options'!$I:$I,"MDAW*")+SUMIFS('NSE - Other Index Options'!$M:$M,'NSE - Other Index Options'!$C:$C,$A78,'NSE - Other Index Options'!$B:$B,F$4,'NSE - Other Index Options'!$I:$I,"Weekly*")+SUMIFS('NSE - Other Index Options'!$M:$M,'NSE - Other Index Options'!$C:$C,$A78,'NSE - Other Index Options'!$B:$B,F$4,'NSE - Other Index Options'!$I:$I,"MDAW*")+SUMIFS('BSE - SENSEX Index Options'!$M:$M,'BSE - SENSEX Index Options'!$C:$C,$A78,'BSE - SENSEX Index Options'!$B:$B,F$4,'BSE - SENSEX Index Options'!$I:$I,"Weekly*")+SUMIFS('BSE - SENSEX Index Options'!$M:$M,'BSE - SENSEX Index Options'!$C:$C,$A78,'BSE - SENSEX Index Options'!$B:$B,F$4,'BSE - SENSEX Index Options'!$I:$I,"MDAW*")+SUMIFS('BSE - Other Index Options'!$M:$M,'BSE - Other Index Options'!$C:$C,$A78,'BSE - Other Index Options'!$B:$B,F$4,'BSE - Other Index Options'!$I:$I,"Weekly*")+SUMIFS('BSE - Other Index Options'!$M:$M,'BSE - Other Index Options'!$C:$C,$A78,'BSE - Other Index Options'!$B:$B,F$4,'BSE - Other Index Options'!$I:$I,"MDAW*")=0,"",SUMIFS('NSE - NIFTY Index Options'!$M:$M,'NSE - NIFTY Index Options'!$C:$C,$A78,'NSE - NIFTY Index Options'!$B:$B,F$4,'NSE - NIFTY Index Options'!$I:$I,"Weekly*")+SUMIFS('NSE - NIFTY Index Options'!$M:$M,'NSE - NIFTY Index Options'!$C:$C,$A78,'NSE - NIFTY Index Options'!$B:$B,F$4,'NSE - NIFTY Index Options'!$I:$I,"MDAW*")+SUMIFS('NSE - Other Index Options'!$M:$M,'NSE - Other Index Options'!$C:$C,$A78,'NSE - Other Index Options'!$B:$B,F$4,'NSE - Other Index Options'!$I:$I,"Weekly*")+SUMIFS('NSE - Other Index Options'!$M:$M,'NSE - Other Index Options'!$C:$C,$A78,'NSE - Other Index Options'!$B:$B,F$4,'NSE - Other Index Options'!$I:$I,"MDAW*")+SUMIFS('BSE - SENSEX Index Options'!$M:$M,'BSE - SENSEX Index Options'!$C:$C,$A78,'BSE - SENSEX Index Options'!$B:$B,F$4,'BSE - SENSEX Index Options'!$I:$I,"Weekly*")+SUMIFS('BSE - SENSEX Index Options'!$M:$M,'BSE - SENSEX Index Options'!$C:$C,$A78,'BSE - SENSEX Index Options'!$B:$B,F$4,'BSE - SENSEX Index Options'!$I:$I,"MDAW*")+SUMIFS('BSE - Other Index Options'!$M:$M,'BSE - Other Index Options'!$C:$C,$A78,'BSE - Other Index Options'!$B:$B,F$4,'BSE - Other Index Options'!$I:$I,"Weekly*")+SUMIFS('BSE - Other Index Options'!$M:$M,'BSE - Other Index Options'!$C:$C,$A78,'BSE - Other Index Options'!$B:$B,F$4,'BSE - Other Index Options'!$I:$I,"MDAW*"))</f>
        <v/>
      </c>
      <c r="G78" s="26">
        <f>IF(SUMIFS('NSE - NIFTY Index Options'!$M:$M,'NSE - NIFTY Index Options'!$C:$C,$A78,'NSE - NIFTY Index Options'!$B:$B,G$4,'NSE - NIFTY Index Options'!$I:$I,"Weekly*")+SUMIFS('NSE - NIFTY Index Options'!$M:$M,'NSE - NIFTY Index Options'!$C:$C,$A78,'NSE - NIFTY Index Options'!$B:$B,G$4,'NSE - NIFTY Index Options'!$I:$I,"MDAW*")+SUMIFS('NSE - Other Index Options'!$M:$M,'NSE - Other Index Options'!$C:$C,$A78,'NSE - Other Index Options'!$B:$B,G$4,'NSE - Other Index Options'!$I:$I,"Weekly*")+SUMIFS('NSE - Other Index Options'!$M:$M,'NSE - Other Index Options'!$C:$C,$A78,'NSE - Other Index Options'!$B:$B,G$4,'NSE - Other Index Options'!$I:$I,"MDAW*")+SUMIFS('BSE - SENSEX Index Options'!$M:$M,'BSE - SENSEX Index Options'!$C:$C,$A78,'BSE - SENSEX Index Options'!$B:$B,G$4,'BSE - SENSEX Index Options'!$I:$I,"Weekly*")+SUMIFS('BSE - SENSEX Index Options'!$M:$M,'BSE - SENSEX Index Options'!$C:$C,$A78,'BSE - SENSEX Index Options'!$B:$B,G$4,'BSE - SENSEX Index Options'!$I:$I,"MDAW*")+SUMIFS('BSE - Other Index Options'!$M:$M,'BSE - Other Index Options'!$C:$C,$A78,'BSE - Other Index Options'!$B:$B,G$4,'BSE - Other Index Options'!$I:$I,"Weekly*")+SUMIFS('BSE - Other Index Options'!$M:$M,'BSE - Other Index Options'!$C:$C,$A78,'BSE - Other Index Options'!$B:$B,G$4,'BSE - Other Index Options'!$I:$I,"MDAW*")=0,"",SUMIFS('NSE - NIFTY Index Options'!$M:$M,'NSE - NIFTY Index Options'!$C:$C,$A78,'NSE - NIFTY Index Options'!$B:$B,G$4,'NSE - NIFTY Index Options'!$I:$I,"Weekly*")+SUMIFS('NSE - NIFTY Index Options'!$M:$M,'NSE - NIFTY Index Options'!$C:$C,$A78,'NSE - NIFTY Index Options'!$B:$B,G$4,'NSE - NIFTY Index Options'!$I:$I,"MDAW*")+SUMIFS('NSE - Other Index Options'!$M:$M,'NSE - Other Index Options'!$C:$C,$A78,'NSE - Other Index Options'!$B:$B,G$4,'NSE - Other Index Options'!$I:$I,"Weekly*")+SUMIFS('NSE - Other Index Options'!$M:$M,'NSE - Other Index Options'!$C:$C,$A78,'NSE - Other Index Options'!$B:$B,G$4,'NSE - Other Index Options'!$I:$I,"MDAW*")+SUMIFS('BSE - SENSEX Index Options'!$M:$M,'BSE - SENSEX Index Options'!$C:$C,$A78,'BSE - SENSEX Index Options'!$B:$B,G$4,'BSE - SENSEX Index Options'!$I:$I,"Weekly*")+SUMIFS('BSE - SENSEX Index Options'!$M:$M,'BSE - SENSEX Index Options'!$C:$C,$A78,'BSE - SENSEX Index Options'!$B:$B,G$4,'BSE - SENSEX Index Options'!$I:$I,"MDAW*")+SUMIFS('BSE - Other Index Options'!$M:$M,'BSE - Other Index Options'!$C:$C,$A78,'BSE - Other Index Options'!$B:$B,G$4,'BSE - Other Index Options'!$I:$I,"Weekly*")+SUMIFS('BSE - Other Index Options'!$M:$M,'BSE - Other Index Options'!$C:$C,$A78,'BSE - Other Index Options'!$B:$B,G$4,'BSE - Other Index Options'!$I:$I,"MDAW*"))</f>
        <v/>
      </c>
      <c r="H78" s="26">
        <f>IF(SUM(B78:G78)=0,"",SUM(B78:G78))</f>
        <v/>
      </c>
    </row>
    <row r="79" hidden="1" outlineLevel="1">
      <c r="A79" t="inlineStr">
        <is>
          <t>Week1-Dec-2026</t>
        </is>
      </c>
      <c r="B79" s="26">
        <f>IF(SUMIFS('NSE - NIFTY Index Options'!$M:$M,'NSE - NIFTY Index Options'!$C:$C,$A79,'NSE - NIFTY Index Options'!$B:$B,B$4,'NSE - NIFTY Index Options'!$I:$I,"Weekly*")+SUMIFS('NSE - NIFTY Index Options'!$M:$M,'NSE - NIFTY Index Options'!$C:$C,$A79,'NSE - NIFTY Index Options'!$B:$B,B$4,'NSE - NIFTY Index Options'!$I:$I,"MDAW*")+SUMIFS('NSE - Other Index Options'!$M:$M,'NSE - Other Index Options'!$C:$C,$A79,'NSE - Other Index Options'!$B:$B,B$4,'NSE - Other Index Options'!$I:$I,"Weekly*")+SUMIFS('NSE - Other Index Options'!$M:$M,'NSE - Other Index Options'!$C:$C,$A79,'NSE - Other Index Options'!$B:$B,B$4,'NSE - Other Index Options'!$I:$I,"MDAW*")+SUMIFS('BSE - SENSEX Index Options'!$M:$M,'BSE - SENSEX Index Options'!$C:$C,$A79,'BSE - SENSEX Index Options'!$B:$B,B$4,'BSE - SENSEX Index Options'!$I:$I,"Weekly*")+SUMIFS('BSE - SENSEX Index Options'!$M:$M,'BSE - SENSEX Index Options'!$C:$C,$A79,'BSE - SENSEX Index Options'!$B:$B,B$4,'BSE - SENSEX Index Options'!$I:$I,"MDAW*")+SUMIFS('BSE - Other Index Options'!$M:$M,'BSE - Other Index Options'!$C:$C,$A79,'BSE - Other Index Options'!$B:$B,B$4,'BSE - Other Index Options'!$I:$I,"Weekly*")+SUMIFS('BSE - Other Index Options'!$M:$M,'BSE - Other Index Options'!$C:$C,$A79,'BSE - Other Index Options'!$B:$B,B$4,'BSE - Other Index Options'!$I:$I,"MDAW*")=0,"",SUMIFS('NSE - NIFTY Index Options'!$M:$M,'NSE - NIFTY Index Options'!$C:$C,$A79,'NSE - NIFTY Index Options'!$B:$B,B$4,'NSE - NIFTY Index Options'!$I:$I,"Weekly*")+SUMIFS('NSE - NIFTY Index Options'!$M:$M,'NSE - NIFTY Index Options'!$C:$C,$A79,'NSE - NIFTY Index Options'!$B:$B,B$4,'NSE - NIFTY Index Options'!$I:$I,"MDAW*")+SUMIFS('NSE - Other Index Options'!$M:$M,'NSE - Other Index Options'!$C:$C,$A79,'NSE - Other Index Options'!$B:$B,B$4,'NSE - Other Index Options'!$I:$I,"Weekly*")+SUMIFS('NSE - Other Index Options'!$M:$M,'NSE - Other Index Options'!$C:$C,$A79,'NSE - Other Index Options'!$B:$B,B$4,'NSE - Other Index Options'!$I:$I,"MDAW*")+SUMIFS('BSE - SENSEX Index Options'!$M:$M,'BSE - SENSEX Index Options'!$C:$C,$A79,'BSE - SENSEX Index Options'!$B:$B,B$4,'BSE - SENSEX Index Options'!$I:$I,"Weekly*")+SUMIFS('BSE - SENSEX Index Options'!$M:$M,'BSE - SENSEX Index Options'!$C:$C,$A79,'BSE - SENSEX Index Options'!$B:$B,B$4,'BSE - SENSEX Index Options'!$I:$I,"MDAW*")+SUMIFS('BSE - Other Index Options'!$M:$M,'BSE - Other Index Options'!$C:$C,$A79,'BSE - Other Index Options'!$B:$B,B$4,'BSE - Other Index Options'!$I:$I,"Weekly*")+SUMIFS('BSE - Other Index Options'!$M:$M,'BSE - Other Index Options'!$C:$C,$A79,'BSE - Other Index Options'!$B:$B,B$4,'BSE - Other Index Options'!$I:$I,"MDAW*"))</f>
        <v/>
      </c>
      <c r="C79" s="26">
        <f>IF(SUMIFS('NSE - NIFTY Index Options'!$M:$M,'NSE - NIFTY Index Options'!$C:$C,$A79,'NSE - NIFTY Index Options'!$B:$B,C$4,'NSE - NIFTY Index Options'!$I:$I,"Weekly*")+SUMIFS('NSE - NIFTY Index Options'!$M:$M,'NSE - NIFTY Index Options'!$C:$C,$A79,'NSE - NIFTY Index Options'!$B:$B,C$4,'NSE - NIFTY Index Options'!$I:$I,"MDAW*")+SUMIFS('NSE - Other Index Options'!$M:$M,'NSE - Other Index Options'!$C:$C,$A79,'NSE - Other Index Options'!$B:$B,C$4,'NSE - Other Index Options'!$I:$I,"Weekly*")+SUMIFS('NSE - Other Index Options'!$M:$M,'NSE - Other Index Options'!$C:$C,$A79,'NSE - Other Index Options'!$B:$B,C$4,'NSE - Other Index Options'!$I:$I,"MDAW*")+SUMIFS('BSE - SENSEX Index Options'!$M:$M,'BSE - SENSEX Index Options'!$C:$C,$A79,'BSE - SENSEX Index Options'!$B:$B,C$4,'BSE - SENSEX Index Options'!$I:$I,"Weekly*")+SUMIFS('BSE - SENSEX Index Options'!$M:$M,'BSE - SENSEX Index Options'!$C:$C,$A79,'BSE - SENSEX Index Options'!$B:$B,C$4,'BSE - SENSEX Index Options'!$I:$I,"MDAW*")+SUMIFS('BSE - Other Index Options'!$M:$M,'BSE - Other Index Options'!$C:$C,$A79,'BSE - Other Index Options'!$B:$B,C$4,'BSE - Other Index Options'!$I:$I,"Weekly*")+SUMIFS('BSE - Other Index Options'!$M:$M,'BSE - Other Index Options'!$C:$C,$A79,'BSE - Other Index Options'!$B:$B,C$4,'BSE - Other Index Options'!$I:$I,"MDAW*")=0,"",SUMIFS('NSE - NIFTY Index Options'!$M:$M,'NSE - NIFTY Index Options'!$C:$C,$A79,'NSE - NIFTY Index Options'!$B:$B,C$4,'NSE - NIFTY Index Options'!$I:$I,"Weekly*")+SUMIFS('NSE - NIFTY Index Options'!$M:$M,'NSE - NIFTY Index Options'!$C:$C,$A79,'NSE - NIFTY Index Options'!$B:$B,C$4,'NSE - NIFTY Index Options'!$I:$I,"MDAW*")+SUMIFS('NSE - Other Index Options'!$M:$M,'NSE - Other Index Options'!$C:$C,$A79,'NSE - Other Index Options'!$B:$B,C$4,'NSE - Other Index Options'!$I:$I,"Weekly*")+SUMIFS('NSE - Other Index Options'!$M:$M,'NSE - Other Index Options'!$C:$C,$A79,'NSE - Other Index Options'!$B:$B,C$4,'NSE - Other Index Options'!$I:$I,"MDAW*")+SUMIFS('BSE - SENSEX Index Options'!$M:$M,'BSE - SENSEX Index Options'!$C:$C,$A79,'BSE - SENSEX Index Options'!$B:$B,C$4,'BSE - SENSEX Index Options'!$I:$I,"Weekly*")+SUMIFS('BSE - SENSEX Index Options'!$M:$M,'BSE - SENSEX Index Options'!$C:$C,$A79,'BSE - SENSEX Index Options'!$B:$B,C$4,'BSE - SENSEX Index Options'!$I:$I,"MDAW*")+SUMIFS('BSE - Other Index Options'!$M:$M,'BSE - Other Index Options'!$C:$C,$A79,'BSE - Other Index Options'!$B:$B,C$4,'BSE - Other Index Options'!$I:$I,"Weekly*")+SUMIFS('BSE - Other Index Options'!$M:$M,'BSE - Other Index Options'!$C:$C,$A79,'BSE - Other Index Options'!$B:$B,C$4,'BSE - Other Index Options'!$I:$I,"MDAW*"))</f>
        <v/>
      </c>
      <c r="D79" s="26">
        <f>IF(SUMIFS('NSE - NIFTY Index Options'!$M:$M,'NSE - NIFTY Index Options'!$C:$C,$A79,'NSE - NIFTY Index Options'!$B:$B,D$4,'NSE - NIFTY Index Options'!$I:$I,"Weekly*")+SUMIFS('NSE - NIFTY Index Options'!$M:$M,'NSE - NIFTY Index Options'!$C:$C,$A79,'NSE - NIFTY Index Options'!$B:$B,D$4,'NSE - NIFTY Index Options'!$I:$I,"MDAW*")+SUMIFS('NSE - Other Index Options'!$M:$M,'NSE - Other Index Options'!$C:$C,$A79,'NSE - Other Index Options'!$B:$B,D$4,'NSE - Other Index Options'!$I:$I,"Weekly*")+SUMIFS('NSE - Other Index Options'!$M:$M,'NSE - Other Index Options'!$C:$C,$A79,'NSE - Other Index Options'!$B:$B,D$4,'NSE - Other Index Options'!$I:$I,"MDAW*")+SUMIFS('BSE - SENSEX Index Options'!$M:$M,'BSE - SENSEX Index Options'!$C:$C,$A79,'BSE - SENSEX Index Options'!$B:$B,D$4,'BSE - SENSEX Index Options'!$I:$I,"Weekly*")+SUMIFS('BSE - SENSEX Index Options'!$M:$M,'BSE - SENSEX Index Options'!$C:$C,$A79,'BSE - SENSEX Index Options'!$B:$B,D$4,'BSE - SENSEX Index Options'!$I:$I,"MDAW*")+SUMIFS('BSE - Other Index Options'!$M:$M,'BSE - Other Index Options'!$C:$C,$A79,'BSE - Other Index Options'!$B:$B,D$4,'BSE - Other Index Options'!$I:$I,"Weekly*")+SUMIFS('BSE - Other Index Options'!$M:$M,'BSE - Other Index Options'!$C:$C,$A79,'BSE - Other Index Options'!$B:$B,D$4,'BSE - Other Index Options'!$I:$I,"MDAW*")=0,"",SUMIFS('NSE - NIFTY Index Options'!$M:$M,'NSE - NIFTY Index Options'!$C:$C,$A79,'NSE - NIFTY Index Options'!$B:$B,D$4,'NSE - NIFTY Index Options'!$I:$I,"Weekly*")+SUMIFS('NSE - NIFTY Index Options'!$M:$M,'NSE - NIFTY Index Options'!$C:$C,$A79,'NSE - NIFTY Index Options'!$B:$B,D$4,'NSE - NIFTY Index Options'!$I:$I,"MDAW*")+SUMIFS('NSE - Other Index Options'!$M:$M,'NSE - Other Index Options'!$C:$C,$A79,'NSE - Other Index Options'!$B:$B,D$4,'NSE - Other Index Options'!$I:$I,"Weekly*")+SUMIFS('NSE - Other Index Options'!$M:$M,'NSE - Other Index Options'!$C:$C,$A79,'NSE - Other Index Options'!$B:$B,D$4,'NSE - Other Index Options'!$I:$I,"MDAW*")+SUMIFS('BSE - SENSEX Index Options'!$M:$M,'BSE - SENSEX Index Options'!$C:$C,$A79,'BSE - SENSEX Index Options'!$B:$B,D$4,'BSE - SENSEX Index Options'!$I:$I,"Weekly*")+SUMIFS('BSE - SENSEX Index Options'!$M:$M,'BSE - SENSEX Index Options'!$C:$C,$A79,'BSE - SENSEX Index Options'!$B:$B,D$4,'BSE - SENSEX Index Options'!$I:$I,"MDAW*")+SUMIFS('BSE - Other Index Options'!$M:$M,'BSE - Other Index Options'!$C:$C,$A79,'BSE - Other Index Options'!$B:$B,D$4,'BSE - Other Index Options'!$I:$I,"Weekly*")+SUMIFS('BSE - Other Index Options'!$M:$M,'BSE - Other Index Options'!$C:$C,$A79,'BSE - Other Index Options'!$B:$B,D$4,'BSE - Other Index Options'!$I:$I,"MDAW*"))</f>
        <v/>
      </c>
      <c r="E79" s="26">
        <f>IF(SUMIFS('NSE - NIFTY Index Options'!$M:$M,'NSE - NIFTY Index Options'!$C:$C,$A79,'NSE - NIFTY Index Options'!$B:$B,E$4,'NSE - NIFTY Index Options'!$I:$I,"Weekly*")+SUMIFS('NSE - NIFTY Index Options'!$M:$M,'NSE - NIFTY Index Options'!$C:$C,$A79,'NSE - NIFTY Index Options'!$B:$B,E$4,'NSE - NIFTY Index Options'!$I:$I,"MDAW*")+SUMIFS('NSE - Other Index Options'!$M:$M,'NSE - Other Index Options'!$C:$C,$A79,'NSE - Other Index Options'!$B:$B,E$4,'NSE - Other Index Options'!$I:$I,"Weekly*")+SUMIFS('NSE - Other Index Options'!$M:$M,'NSE - Other Index Options'!$C:$C,$A79,'NSE - Other Index Options'!$B:$B,E$4,'NSE - Other Index Options'!$I:$I,"MDAW*")+SUMIFS('BSE - SENSEX Index Options'!$M:$M,'BSE - SENSEX Index Options'!$C:$C,$A79,'BSE - SENSEX Index Options'!$B:$B,E$4,'BSE - SENSEX Index Options'!$I:$I,"Weekly*")+SUMIFS('BSE - SENSEX Index Options'!$M:$M,'BSE - SENSEX Index Options'!$C:$C,$A79,'BSE - SENSEX Index Options'!$B:$B,E$4,'BSE - SENSEX Index Options'!$I:$I,"MDAW*")+SUMIFS('BSE - Other Index Options'!$M:$M,'BSE - Other Index Options'!$C:$C,$A79,'BSE - Other Index Options'!$B:$B,E$4,'BSE - Other Index Options'!$I:$I,"Weekly*")+SUMIFS('BSE - Other Index Options'!$M:$M,'BSE - Other Index Options'!$C:$C,$A79,'BSE - Other Index Options'!$B:$B,E$4,'BSE - Other Index Options'!$I:$I,"MDAW*")=0,"",SUMIFS('NSE - NIFTY Index Options'!$M:$M,'NSE - NIFTY Index Options'!$C:$C,$A79,'NSE - NIFTY Index Options'!$B:$B,E$4,'NSE - NIFTY Index Options'!$I:$I,"Weekly*")+SUMIFS('NSE - NIFTY Index Options'!$M:$M,'NSE - NIFTY Index Options'!$C:$C,$A79,'NSE - NIFTY Index Options'!$B:$B,E$4,'NSE - NIFTY Index Options'!$I:$I,"MDAW*")+SUMIFS('NSE - Other Index Options'!$M:$M,'NSE - Other Index Options'!$C:$C,$A79,'NSE - Other Index Options'!$B:$B,E$4,'NSE - Other Index Options'!$I:$I,"Weekly*")+SUMIFS('NSE - Other Index Options'!$M:$M,'NSE - Other Index Options'!$C:$C,$A79,'NSE - Other Index Options'!$B:$B,E$4,'NSE - Other Index Options'!$I:$I,"MDAW*")+SUMIFS('BSE - SENSEX Index Options'!$M:$M,'BSE - SENSEX Index Options'!$C:$C,$A79,'BSE - SENSEX Index Options'!$B:$B,E$4,'BSE - SENSEX Index Options'!$I:$I,"Weekly*")+SUMIFS('BSE - SENSEX Index Options'!$M:$M,'BSE - SENSEX Index Options'!$C:$C,$A79,'BSE - SENSEX Index Options'!$B:$B,E$4,'BSE - SENSEX Index Options'!$I:$I,"MDAW*")+SUMIFS('BSE - Other Index Options'!$M:$M,'BSE - Other Index Options'!$C:$C,$A79,'BSE - Other Index Options'!$B:$B,E$4,'BSE - Other Index Options'!$I:$I,"Weekly*")+SUMIFS('BSE - Other Index Options'!$M:$M,'BSE - Other Index Options'!$C:$C,$A79,'BSE - Other Index Options'!$B:$B,E$4,'BSE - Other Index Options'!$I:$I,"MDAW*"))</f>
        <v/>
      </c>
      <c r="F79" s="26">
        <f>IF(SUMIFS('NSE - NIFTY Index Options'!$M:$M,'NSE - NIFTY Index Options'!$C:$C,$A79,'NSE - NIFTY Index Options'!$B:$B,F$4,'NSE - NIFTY Index Options'!$I:$I,"Weekly*")+SUMIFS('NSE - NIFTY Index Options'!$M:$M,'NSE - NIFTY Index Options'!$C:$C,$A79,'NSE - NIFTY Index Options'!$B:$B,F$4,'NSE - NIFTY Index Options'!$I:$I,"MDAW*")+SUMIFS('NSE - Other Index Options'!$M:$M,'NSE - Other Index Options'!$C:$C,$A79,'NSE - Other Index Options'!$B:$B,F$4,'NSE - Other Index Options'!$I:$I,"Weekly*")+SUMIFS('NSE - Other Index Options'!$M:$M,'NSE - Other Index Options'!$C:$C,$A79,'NSE - Other Index Options'!$B:$B,F$4,'NSE - Other Index Options'!$I:$I,"MDAW*")+SUMIFS('BSE - SENSEX Index Options'!$M:$M,'BSE - SENSEX Index Options'!$C:$C,$A79,'BSE - SENSEX Index Options'!$B:$B,F$4,'BSE - SENSEX Index Options'!$I:$I,"Weekly*")+SUMIFS('BSE - SENSEX Index Options'!$M:$M,'BSE - SENSEX Index Options'!$C:$C,$A79,'BSE - SENSEX Index Options'!$B:$B,F$4,'BSE - SENSEX Index Options'!$I:$I,"MDAW*")+SUMIFS('BSE - Other Index Options'!$M:$M,'BSE - Other Index Options'!$C:$C,$A79,'BSE - Other Index Options'!$B:$B,F$4,'BSE - Other Index Options'!$I:$I,"Weekly*")+SUMIFS('BSE - Other Index Options'!$M:$M,'BSE - Other Index Options'!$C:$C,$A79,'BSE - Other Index Options'!$B:$B,F$4,'BSE - Other Index Options'!$I:$I,"MDAW*")=0,"",SUMIFS('NSE - NIFTY Index Options'!$M:$M,'NSE - NIFTY Index Options'!$C:$C,$A79,'NSE - NIFTY Index Options'!$B:$B,F$4,'NSE - NIFTY Index Options'!$I:$I,"Weekly*")+SUMIFS('NSE - NIFTY Index Options'!$M:$M,'NSE - NIFTY Index Options'!$C:$C,$A79,'NSE - NIFTY Index Options'!$B:$B,F$4,'NSE - NIFTY Index Options'!$I:$I,"MDAW*")+SUMIFS('NSE - Other Index Options'!$M:$M,'NSE - Other Index Options'!$C:$C,$A79,'NSE - Other Index Options'!$B:$B,F$4,'NSE - Other Index Options'!$I:$I,"Weekly*")+SUMIFS('NSE - Other Index Options'!$M:$M,'NSE - Other Index Options'!$C:$C,$A79,'NSE - Other Index Options'!$B:$B,F$4,'NSE - Other Index Options'!$I:$I,"MDAW*")+SUMIFS('BSE - SENSEX Index Options'!$M:$M,'BSE - SENSEX Index Options'!$C:$C,$A79,'BSE - SENSEX Index Options'!$B:$B,F$4,'BSE - SENSEX Index Options'!$I:$I,"Weekly*")+SUMIFS('BSE - SENSEX Index Options'!$M:$M,'BSE - SENSEX Index Options'!$C:$C,$A79,'BSE - SENSEX Index Options'!$B:$B,F$4,'BSE - SENSEX Index Options'!$I:$I,"MDAW*")+SUMIFS('BSE - Other Index Options'!$M:$M,'BSE - Other Index Options'!$C:$C,$A79,'BSE - Other Index Options'!$B:$B,F$4,'BSE - Other Index Options'!$I:$I,"Weekly*")+SUMIFS('BSE - Other Index Options'!$M:$M,'BSE - Other Index Options'!$C:$C,$A79,'BSE - Other Index Options'!$B:$B,F$4,'BSE - Other Index Options'!$I:$I,"MDAW*"))</f>
        <v/>
      </c>
      <c r="G79" s="26">
        <f>IF(SUMIFS('NSE - NIFTY Index Options'!$M:$M,'NSE - NIFTY Index Options'!$C:$C,$A79,'NSE - NIFTY Index Options'!$B:$B,G$4,'NSE - NIFTY Index Options'!$I:$I,"Weekly*")+SUMIFS('NSE - NIFTY Index Options'!$M:$M,'NSE - NIFTY Index Options'!$C:$C,$A79,'NSE - NIFTY Index Options'!$B:$B,G$4,'NSE - NIFTY Index Options'!$I:$I,"MDAW*")+SUMIFS('NSE - Other Index Options'!$M:$M,'NSE - Other Index Options'!$C:$C,$A79,'NSE - Other Index Options'!$B:$B,G$4,'NSE - Other Index Options'!$I:$I,"Weekly*")+SUMIFS('NSE - Other Index Options'!$M:$M,'NSE - Other Index Options'!$C:$C,$A79,'NSE - Other Index Options'!$B:$B,G$4,'NSE - Other Index Options'!$I:$I,"MDAW*")+SUMIFS('BSE - SENSEX Index Options'!$M:$M,'BSE - SENSEX Index Options'!$C:$C,$A79,'BSE - SENSEX Index Options'!$B:$B,G$4,'BSE - SENSEX Index Options'!$I:$I,"Weekly*")+SUMIFS('BSE - SENSEX Index Options'!$M:$M,'BSE - SENSEX Index Options'!$C:$C,$A79,'BSE - SENSEX Index Options'!$B:$B,G$4,'BSE - SENSEX Index Options'!$I:$I,"MDAW*")+SUMIFS('BSE - Other Index Options'!$M:$M,'BSE - Other Index Options'!$C:$C,$A79,'BSE - Other Index Options'!$B:$B,G$4,'BSE - Other Index Options'!$I:$I,"Weekly*")+SUMIFS('BSE - Other Index Options'!$M:$M,'BSE - Other Index Options'!$C:$C,$A79,'BSE - Other Index Options'!$B:$B,G$4,'BSE - Other Index Options'!$I:$I,"MDAW*")=0,"",SUMIFS('NSE - NIFTY Index Options'!$M:$M,'NSE - NIFTY Index Options'!$C:$C,$A79,'NSE - NIFTY Index Options'!$B:$B,G$4,'NSE - NIFTY Index Options'!$I:$I,"Weekly*")+SUMIFS('NSE - NIFTY Index Options'!$M:$M,'NSE - NIFTY Index Options'!$C:$C,$A79,'NSE - NIFTY Index Options'!$B:$B,G$4,'NSE - NIFTY Index Options'!$I:$I,"MDAW*")+SUMIFS('NSE - Other Index Options'!$M:$M,'NSE - Other Index Options'!$C:$C,$A79,'NSE - Other Index Options'!$B:$B,G$4,'NSE - Other Index Options'!$I:$I,"Weekly*")+SUMIFS('NSE - Other Index Options'!$M:$M,'NSE - Other Index Options'!$C:$C,$A79,'NSE - Other Index Options'!$B:$B,G$4,'NSE - Other Index Options'!$I:$I,"MDAW*")+SUMIFS('BSE - SENSEX Index Options'!$M:$M,'BSE - SENSEX Index Options'!$C:$C,$A79,'BSE - SENSEX Index Options'!$B:$B,G$4,'BSE - SENSEX Index Options'!$I:$I,"Weekly*")+SUMIFS('BSE - SENSEX Index Options'!$M:$M,'BSE - SENSEX Index Options'!$C:$C,$A79,'BSE - SENSEX Index Options'!$B:$B,G$4,'BSE - SENSEX Index Options'!$I:$I,"MDAW*")+SUMIFS('BSE - Other Index Options'!$M:$M,'BSE - Other Index Options'!$C:$C,$A79,'BSE - Other Index Options'!$B:$B,G$4,'BSE - Other Index Options'!$I:$I,"Weekly*")+SUMIFS('BSE - Other Index Options'!$M:$M,'BSE - Other Index Options'!$C:$C,$A79,'BSE - Other Index Options'!$B:$B,G$4,'BSE - Other Index Options'!$I:$I,"MDAW*"))</f>
        <v/>
      </c>
      <c r="H79" s="26">
        <f>IF(SUM(B79:G79)=0,"",SUM(B79:G79))</f>
        <v/>
      </c>
    </row>
    <row r="80" hidden="1" outlineLevel="1">
      <c r="A80" t="inlineStr">
        <is>
          <t>Week2-Dec-2026</t>
        </is>
      </c>
      <c r="B80" s="26">
        <f>IF(SUMIFS('NSE - NIFTY Index Options'!$M:$M,'NSE - NIFTY Index Options'!$C:$C,$A80,'NSE - NIFTY Index Options'!$B:$B,B$4,'NSE - NIFTY Index Options'!$I:$I,"Weekly*")+SUMIFS('NSE - NIFTY Index Options'!$M:$M,'NSE - NIFTY Index Options'!$C:$C,$A80,'NSE - NIFTY Index Options'!$B:$B,B$4,'NSE - NIFTY Index Options'!$I:$I,"MDAW*")+SUMIFS('NSE - Other Index Options'!$M:$M,'NSE - Other Index Options'!$C:$C,$A80,'NSE - Other Index Options'!$B:$B,B$4,'NSE - Other Index Options'!$I:$I,"Weekly*")+SUMIFS('NSE - Other Index Options'!$M:$M,'NSE - Other Index Options'!$C:$C,$A80,'NSE - Other Index Options'!$B:$B,B$4,'NSE - Other Index Options'!$I:$I,"MDAW*")+SUMIFS('BSE - SENSEX Index Options'!$M:$M,'BSE - SENSEX Index Options'!$C:$C,$A80,'BSE - SENSEX Index Options'!$B:$B,B$4,'BSE - SENSEX Index Options'!$I:$I,"Weekly*")+SUMIFS('BSE - SENSEX Index Options'!$M:$M,'BSE - SENSEX Index Options'!$C:$C,$A80,'BSE - SENSEX Index Options'!$B:$B,B$4,'BSE - SENSEX Index Options'!$I:$I,"MDAW*")+SUMIFS('BSE - Other Index Options'!$M:$M,'BSE - Other Index Options'!$C:$C,$A80,'BSE - Other Index Options'!$B:$B,B$4,'BSE - Other Index Options'!$I:$I,"Weekly*")+SUMIFS('BSE - Other Index Options'!$M:$M,'BSE - Other Index Options'!$C:$C,$A80,'BSE - Other Index Options'!$B:$B,B$4,'BSE - Other Index Options'!$I:$I,"MDAW*")=0,"",SUMIFS('NSE - NIFTY Index Options'!$M:$M,'NSE - NIFTY Index Options'!$C:$C,$A80,'NSE - NIFTY Index Options'!$B:$B,B$4,'NSE - NIFTY Index Options'!$I:$I,"Weekly*")+SUMIFS('NSE - NIFTY Index Options'!$M:$M,'NSE - NIFTY Index Options'!$C:$C,$A80,'NSE - NIFTY Index Options'!$B:$B,B$4,'NSE - NIFTY Index Options'!$I:$I,"MDAW*")+SUMIFS('NSE - Other Index Options'!$M:$M,'NSE - Other Index Options'!$C:$C,$A80,'NSE - Other Index Options'!$B:$B,B$4,'NSE - Other Index Options'!$I:$I,"Weekly*")+SUMIFS('NSE - Other Index Options'!$M:$M,'NSE - Other Index Options'!$C:$C,$A80,'NSE - Other Index Options'!$B:$B,B$4,'NSE - Other Index Options'!$I:$I,"MDAW*")+SUMIFS('BSE - SENSEX Index Options'!$M:$M,'BSE - SENSEX Index Options'!$C:$C,$A80,'BSE - SENSEX Index Options'!$B:$B,B$4,'BSE - SENSEX Index Options'!$I:$I,"Weekly*")+SUMIFS('BSE - SENSEX Index Options'!$M:$M,'BSE - SENSEX Index Options'!$C:$C,$A80,'BSE - SENSEX Index Options'!$B:$B,B$4,'BSE - SENSEX Index Options'!$I:$I,"MDAW*")+SUMIFS('BSE - Other Index Options'!$M:$M,'BSE - Other Index Options'!$C:$C,$A80,'BSE - Other Index Options'!$B:$B,B$4,'BSE - Other Index Options'!$I:$I,"Weekly*")+SUMIFS('BSE - Other Index Options'!$M:$M,'BSE - Other Index Options'!$C:$C,$A80,'BSE - Other Index Options'!$B:$B,B$4,'BSE - Other Index Options'!$I:$I,"MDAW*"))</f>
        <v/>
      </c>
      <c r="C80" s="26">
        <f>IF(SUMIFS('NSE - NIFTY Index Options'!$M:$M,'NSE - NIFTY Index Options'!$C:$C,$A80,'NSE - NIFTY Index Options'!$B:$B,C$4,'NSE - NIFTY Index Options'!$I:$I,"Weekly*")+SUMIFS('NSE - NIFTY Index Options'!$M:$M,'NSE - NIFTY Index Options'!$C:$C,$A80,'NSE - NIFTY Index Options'!$B:$B,C$4,'NSE - NIFTY Index Options'!$I:$I,"MDAW*")+SUMIFS('NSE - Other Index Options'!$M:$M,'NSE - Other Index Options'!$C:$C,$A80,'NSE - Other Index Options'!$B:$B,C$4,'NSE - Other Index Options'!$I:$I,"Weekly*")+SUMIFS('NSE - Other Index Options'!$M:$M,'NSE - Other Index Options'!$C:$C,$A80,'NSE - Other Index Options'!$B:$B,C$4,'NSE - Other Index Options'!$I:$I,"MDAW*")+SUMIFS('BSE - SENSEX Index Options'!$M:$M,'BSE - SENSEX Index Options'!$C:$C,$A80,'BSE - SENSEX Index Options'!$B:$B,C$4,'BSE - SENSEX Index Options'!$I:$I,"Weekly*")+SUMIFS('BSE - SENSEX Index Options'!$M:$M,'BSE - SENSEX Index Options'!$C:$C,$A80,'BSE - SENSEX Index Options'!$B:$B,C$4,'BSE - SENSEX Index Options'!$I:$I,"MDAW*")+SUMIFS('BSE - Other Index Options'!$M:$M,'BSE - Other Index Options'!$C:$C,$A80,'BSE - Other Index Options'!$B:$B,C$4,'BSE - Other Index Options'!$I:$I,"Weekly*")+SUMIFS('BSE - Other Index Options'!$M:$M,'BSE - Other Index Options'!$C:$C,$A80,'BSE - Other Index Options'!$B:$B,C$4,'BSE - Other Index Options'!$I:$I,"MDAW*")=0,"",SUMIFS('NSE - NIFTY Index Options'!$M:$M,'NSE - NIFTY Index Options'!$C:$C,$A80,'NSE - NIFTY Index Options'!$B:$B,C$4,'NSE - NIFTY Index Options'!$I:$I,"Weekly*")+SUMIFS('NSE - NIFTY Index Options'!$M:$M,'NSE - NIFTY Index Options'!$C:$C,$A80,'NSE - NIFTY Index Options'!$B:$B,C$4,'NSE - NIFTY Index Options'!$I:$I,"MDAW*")+SUMIFS('NSE - Other Index Options'!$M:$M,'NSE - Other Index Options'!$C:$C,$A80,'NSE - Other Index Options'!$B:$B,C$4,'NSE - Other Index Options'!$I:$I,"Weekly*")+SUMIFS('NSE - Other Index Options'!$M:$M,'NSE - Other Index Options'!$C:$C,$A80,'NSE - Other Index Options'!$B:$B,C$4,'NSE - Other Index Options'!$I:$I,"MDAW*")+SUMIFS('BSE - SENSEX Index Options'!$M:$M,'BSE - SENSEX Index Options'!$C:$C,$A80,'BSE - SENSEX Index Options'!$B:$B,C$4,'BSE - SENSEX Index Options'!$I:$I,"Weekly*")+SUMIFS('BSE - SENSEX Index Options'!$M:$M,'BSE - SENSEX Index Options'!$C:$C,$A80,'BSE - SENSEX Index Options'!$B:$B,C$4,'BSE - SENSEX Index Options'!$I:$I,"MDAW*")+SUMIFS('BSE - Other Index Options'!$M:$M,'BSE - Other Index Options'!$C:$C,$A80,'BSE - Other Index Options'!$B:$B,C$4,'BSE - Other Index Options'!$I:$I,"Weekly*")+SUMIFS('BSE - Other Index Options'!$M:$M,'BSE - Other Index Options'!$C:$C,$A80,'BSE - Other Index Options'!$B:$B,C$4,'BSE - Other Index Options'!$I:$I,"MDAW*"))</f>
        <v/>
      </c>
      <c r="D80" s="26">
        <f>IF(SUMIFS('NSE - NIFTY Index Options'!$M:$M,'NSE - NIFTY Index Options'!$C:$C,$A80,'NSE - NIFTY Index Options'!$B:$B,D$4,'NSE - NIFTY Index Options'!$I:$I,"Weekly*")+SUMIFS('NSE - NIFTY Index Options'!$M:$M,'NSE - NIFTY Index Options'!$C:$C,$A80,'NSE - NIFTY Index Options'!$B:$B,D$4,'NSE - NIFTY Index Options'!$I:$I,"MDAW*")+SUMIFS('NSE - Other Index Options'!$M:$M,'NSE - Other Index Options'!$C:$C,$A80,'NSE - Other Index Options'!$B:$B,D$4,'NSE - Other Index Options'!$I:$I,"Weekly*")+SUMIFS('NSE - Other Index Options'!$M:$M,'NSE - Other Index Options'!$C:$C,$A80,'NSE - Other Index Options'!$B:$B,D$4,'NSE - Other Index Options'!$I:$I,"MDAW*")+SUMIFS('BSE - SENSEX Index Options'!$M:$M,'BSE - SENSEX Index Options'!$C:$C,$A80,'BSE - SENSEX Index Options'!$B:$B,D$4,'BSE - SENSEX Index Options'!$I:$I,"Weekly*")+SUMIFS('BSE - SENSEX Index Options'!$M:$M,'BSE - SENSEX Index Options'!$C:$C,$A80,'BSE - SENSEX Index Options'!$B:$B,D$4,'BSE - SENSEX Index Options'!$I:$I,"MDAW*")+SUMIFS('BSE - Other Index Options'!$M:$M,'BSE - Other Index Options'!$C:$C,$A80,'BSE - Other Index Options'!$B:$B,D$4,'BSE - Other Index Options'!$I:$I,"Weekly*")+SUMIFS('BSE - Other Index Options'!$M:$M,'BSE - Other Index Options'!$C:$C,$A80,'BSE - Other Index Options'!$B:$B,D$4,'BSE - Other Index Options'!$I:$I,"MDAW*")=0,"",SUMIFS('NSE - NIFTY Index Options'!$M:$M,'NSE - NIFTY Index Options'!$C:$C,$A80,'NSE - NIFTY Index Options'!$B:$B,D$4,'NSE - NIFTY Index Options'!$I:$I,"Weekly*")+SUMIFS('NSE - NIFTY Index Options'!$M:$M,'NSE - NIFTY Index Options'!$C:$C,$A80,'NSE - NIFTY Index Options'!$B:$B,D$4,'NSE - NIFTY Index Options'!$I:$I,"MDAW*")+SUMIFS('NSE - Other Index Options'!$M:$M,'NSE - Other Index Options'!$C:$C,$A80,'NSE - Other Index Options'!$B:$B,D$4,'NSE - Other Index Options'!$I:$I,"Weekly*")+SUMIFS('NSE - Other Index Options'!$M:$M,'NSE - Other Index Options'!$C:$C,$A80,'NSE - Other Index Options'!$B:$B,D$4,'NSE - Other Index Options'!$I:$I,"MDAW*")+SUMIFS('BSE - SENSEX Index Options'!$M:$M,'BSE - SENSEX Index Options'!$C:$C,$A80,'BSE - SENSEX Index Options'!$B:$B,D$4,'BSE - SENSEX Index Options'!$I:$I,"Weekly*")+SUMIFS('BSE - SENSEX Index Options'!$M:$M,'BSE - SENSEX Index Options'!$C:$C,$A80,'BSE - SENSEX Index Options'!$B:$B,D$4,'BSE - SENSEX Index Options'!$I:$I,"MDAW*")+SUMIFS('BSE - Other Index Options'!$M:$M,'BSE - Other Index Options'!$C:$C,$A80,'BSE - Other Index Options'!$B:$B,D$4,'BSE - Other Index Options'!$I:$I,"Weekly*")+SUMIFS('BSE - Other Index Options'!$M:$M,'BSE - Other Index Options'!$C:$C,$A80,'BSE - Other Index Options'!$B:$B,D$4,'BSE - Other Index Options'!$I:$I,"MDAW*"))</f>
        <v/>
      </c>
      <c r="E80" s="26">
        <f>IF(SUMIFS('NSE - NIFTY Index Options'!$M:$M,'NSE - NIFTY Index Options'!$C:$C,$A80,'NSE - NIFTY Index Options'!$B:$B,E$4,'NSE - NIFTY Index Options'!$I:$I,"Weekly*")+SUMIFS('NSE - NIFTY Index Options'!$M:$M,'NSE - NIFTY Index Options'!$C:$C,$A80,'NSE - NIFTY Index Options'!$B:$B,E$4,'NSE - NIFTY Index Options'!$I:$I,"MDAW*")+SUMIFS('NSE - Other Index Options'!$M:$M,'NSE - Other Index Options'!$C:$C,$A80,'NSE - Other Index Options'!$B:$B,E$4,'NSE - Other Index Options'!$I:$I,"Weekly*")+SUMIFS('NSE - Other Index Options'!$M:$M,'NSE - Other Index Options'!$C:$C,$A80,'NSE - Other Index Options'!$B:$B,E$4,'NSE - Other Index Options'!$I:$I,"MDAW*")+SUMIFS('BSE - SENSEX Index Options'!$M:$M,'BSE - SENSEX Index Options'!$C:$C,$A80,'BSE - SENSEX Index Options'!$B:$B,E$4,'BSE - SENSEX Index Options'!$I:$I,"Weekly*")+SUMIFS('BSE - SENSEX Index Options'!$M:$M,'BSE - SENSEX Index Options'!$C:$C,$A80,'BSE - SENSEX Index Options'!$B:$B,E$4,'BSE - SENSEX Index Options'!$I:$I,"MDAW*")+SUMIFS('BSE - Other Index Options'!$M:$M,'BSE - Other Index Options'!$C:$C,$A80,'BSE - Other Index Options'!$B:$B,E$4,'BSE - Other Index Options'!$I:$I,"Weekly*")+SUMIFS('BSE - Other Index Options'!$M:$M,'BSE - Other Index Options'!$C:$C,$A80,'BSE - Other Index Options'!$B:$B,E$4,'BSE - Other Index Options'!$I:$I,"MDAW*")=0,"",SUMIFS('NSE - NIFTY Index Options'!$M:$M,'NSE - NIFTY Index Options'!$C:$C,$A80,'NSE - NIFTY Index Options'!$B:$B,E$4,'NSE - NIFTY Index Options'!$I:$I,"Weekly*")+SUMIFS('NSE - NIFTY Index Options'!$M:$M,'NSE - NIFTY Index Options'!$C:$C,$A80,'NSE - NIFTY Index Options'!$B:$B,E$4,'NSE - NIFTY Index Options'!$I:$I,"MDAW*")+SUMIFS('NSE - Other Index Options'!$M:$M,'NSE - Other Index Options'!$C:$C,$A80,'NSE - Other Index Options'!$B:$B,E$4,'NSE - Other Index Options'!$I:$I,"Weekly*")+SUMIFS('NSE - Other Index Options'!$M:$M,'NSE - Other Index Options'!$C:$C,$A80,'NSE - Other Index Options'!$B:$B,E$4,'NSE - Other Index Options'!$I:$I,"MDAW*")+SUMIFS('BSE - SENSEX Index Options'!$M:$M,'BSE - SENSEX Index Options'!$C:$C,$A80,'BSE - SENSEX Index Options'!$B:$B,E$4,'BSE - SENSEX Index Options'!$I:$I,"Weekly*")+SUMIFS('BSE - SENSEX Index Options'!$M:$M,'BSE - SENSEX Index Options'!$C:$C,$A80,'BSE - SENSEX Index Options'!$B:$B,E$4,'BSE - SENSEX Index Options'!$I:$I,"MDAW*")+SUMIFS('BSE - Other Index Options'!$M:$M,'BSE - Other Index Options'!$C:$C,$A80,'BSE - Other Index Options'!$B:$B,E$4,'BSE - Other Index Options'!$I:$I,"Weekly*")+SUMIFS('BSE - Other Index Options'!$M:$M,'BSE - Other Index Options'!$C:$C,$A80,'BSE - Other Index Options'!$B:$B,E$4,'BSE - Other Index Options'!$I:$I,"MDAW*"))</f>
        <v/>
      </c>
      <c r="F80" s="26">
        <f>IF(SUMIFS('NSE - NIFTY Index Options'!$M:$M,'NSE - NIFTY Index Options'!$C:$C,$A80,'NSE - NIFTY Index Options'!$B:$B,F$4,'NSE - NIFTY Index Options'!$I:$I,"Weekly*")+SUMIFS('NSE - NIFTY Index Options'!$M:$M,'NSE - NIFTY Index Options'!$C:$C,$A80,'NSE - NIFTY Index Options'!$B:$B,F$4,'NSE - NIFTY Index Options'!$I:$I,"MDAW*")+SUMIFS('NSE - Other Index Options'!$M:$M,'NSE - Other Index Options'!$C:$C,$A80,'NSE - Other Index Options'!$B:$B,F$4,'NSE - Other Index Options'!$I:$I,"Weekly*")+SUMIFS('NSE - Other Index Options'!$M:$M,'NSE - Other Index Options'!$C:$C,$A80,'NSE - Other Index Options'!$B:$B,F$4,'NSE - Other Index Options'!$I:$I,"MDAW*")+SUMIFS('BSE - SENSEX Index Options'!$M:$M,'BSE - SENSEX Index Options'!$C:$C,$A80,'BSE - SENSEX Index Options'!$B:$B,F$4,'BSE - SENSEX Index Options'!$I:$I,"Weekly*")+SUMIFS('BSE - SENSEX Index Options'!$M:$M,'BSE - SENSEX Index Options'!$C:$C,$A80,'BSE - SENSEX Index Options'!$B:$B,F$4,'BSE - SENSEX Index Options'!$I:$I,"MDAW*")+SUMIFS('BSE - Other Index Options'!$M:$M,'BSE - Other Index Options'!$C:$C,$A80,'BSE - Other Index Options'!$B:$B,F$4,'BSE - Other Index Options'!$I:$I,"Weekly*")+SUMIFS('BSE - Other Index Options'!$M:$M,'BSE - Other Index Options'!$C:$C,$A80,'BSE - Other Index Options'!$B:$B,F$4,'BSE - Other Index Options'!$I:$I,"MDAW*")=0,"",SUMIFS('NSE - NIFTY Index Options'!$M:$M,'NSE - NIFTY Index Options'!$C:$C,$A80,'NSE - NIFTY Index Options'!$B:$B,F$4,'NSE - NIFTY Index Options'!$I:$I,"Weekly*")+SUMIFS('NSE - NIFTY Index Options'!$M:$M,'NSE - NIFTY Index Options'!$C:$C,$A80,'NSE - NIFTY Index Options'!$B:$B,F$4,'NSE - NIFTY Index Options'!$I:$I,"MDAW*")+SUMIFS('NSE - Other Index Options'!$M:$M,'NSE - Other Index Options'!$C:$C,$A80,'NSE - Other Index Options'!$B:$B,F$4,'NSE - Other Index Options'!$I:$I,"Weekly*")+SUMIFS('NSE - Other Index Options'!$M:$M,'NSE - Other Index Options'!$C:$C,$A80,'NSE - Other Index Options'!$B:$B,F$4,'NSE - Other Index Options'!$I:$I,"MDAW*")+SUMIFS('BSE - SENSEX Index Options'!$M:$M,'BSE - SENSEX Index Options'!$C:$C,$A80,'BSE - SENSEX Index Options'!$B:$B,F$4,'BSE - SENSEX Index Options'!$I:$I,"Weekly*")+SUMIFS('BSE - SENSEX Index Options'!$M:$M,'BSE - SENSEX Index Options'!$C:$C,$A80,'BSE - SENSEX Index Options'!$B:$B,F$4,'BSE - SENSEX Index Options'!$I:$I,"MDAW*")+SUMIFS('BSE - Other Index Options'!$M:$M,'BSE - Other Index Options'!$C:$C,$A80,'BSE - Other Index Options'!$B:$B,F$4,'BSE - Other Index Options'!$I:$I,"Weekly*")+SUMIFS('BSE - Other Index Options'!$M:$M,'BSE - Other Index Options'!$C:$C,$A80,'BSE - Other Index Options'!$B:$B,F$4,'BSE - Other Index Options'!$I:$I,"MDAW*"))</f>
        <v/>
      </c>
      <c r="G80" s="26">
        <f>IF(SUMIFS('NSE - NIFTY Index Options'!$M:$M,'NSE - NIFTY Index Options'!$C:$C,$A80,'NSE - NIFTY Index Options'!$B:$B,G$4,'NSE - NIFTY Index Options'!$I:$I,"Weekly*")+SUMIFS('NSE - NIFTY Index Options'!$M:$M,'NSE - NIFTY Index Options'!$C:$C,$A80,'NSE - NIFTY Index Options'!$B:$B,G$4,'NSE - NIFTY Index Options'!$I:$I,"MDAW*")+SUMIFS('NSE - Other Index Options'!$M:$M,'NSE - Other Index Options'!$C:$C,$A80,'NSE - Other Index Options'!$B:$B,G$4,'NSE - Other Index Options'!$I:$I,"Weekly*")+SUMIFS('NSE - Other Index Options'!$M:$M,'NSE - Other Index Options'!$C:$C,$A80,'NSE - Other Index Options'!$B:$B,G$4,'NSE - Other Index Options'!$I:$I,"MDAW*")+SUMIFS('BSE - SENSEX Index Options'!$M:$M,'BSE - SENSEX Index Options'!$C:$C,$A80,'BSE - SENSEX Index Options'!$B:$B,G$4,'BSE - SENSEX Index Options'!$I:$I,"Weekly*")+SUMIFS('BSE - SENSEX Index Options'!$M:$M,'BSE - SENSEX Index Options'!$C:$C,$A80,'BSE - SENSEX Index Options'!$B:$B,G$4,'BSE - SENSEX Index Options'!$I:$I,"MDAW*")+SUMIFS('BSE - Other Index Options'!$M:$M,'BSE - Other Index Options'!$C:$C,$A80,'BSE - Other Index Options'!$B:$B,G$4,'BSE - Other Index Options'!$I:$I,"Weekly*")+SUMIFS('BSE - Other Index Options'!$M:$M,'BSE - Other Index Options'!$C:$C,$A80,'BSE - Other Index Options'!$B:$B,G$4,'BSE - Other Index Options'!$I:$I,"MDAW*")=0,"",SUMIFS('NSE - NIFTY Index Options'!$M:$M,'NSE - NIFTY Index Options'!$C:$C,$A80,'NSE - NIFTY Index Options'!$B:$B,G$4,'NSE - NIFTY Index Options'!$I:$I,"Weekly*")+SUMIFS('NSE - NIFTY Index Options'!$M:$M,'NSE - NIFTY Index Options'!$C:$C,$A80,'NSE - NIFTY Index Options'!$B:$B,G$4,'NSE - NIFTY Index Options'!$I:$I,"MDAW*")+SUMIFS('NSE - Other Index Options'!$M:$M,'NSE - Other Index Options'!$C:$C,$A80,'NSE - Other Index Options'!$B:$B,G$4,'NSE - Other Index Options'!$I:$I,"Weekly*")+SUMIFS('NSE - Other Index Options'!$M:$M,'NSE - Other Index Options'!$C:$C,$A80,'NSE - Other Index Options'!$B:$B,G$4,'NSE - Other Index Options'!$I:$I,"MDAW*")+SUMIFS('BSE - SENSEX Index Options'!$M:$M,'BSE - SENSEX Index Options'!$C:$C,$A80,'BSE - SENSEX Index Options'!$B:$B,G$4,'BSE - SENSEX Index Options'!$I:$I,"Weekly*")+SUMIFS('BSE - SENSEX Index Options'!$M:$M,'BSE - SENSEX Index Options'!$C:$C,$A80,'BSE - SENSEX Index Options'!$B:$B,G$4,'BSE - SENSEX Index Options'!$I:$I,"MDAW*")+SUMIFS('BSE - Other Index Options'!$M:$M,'BSE - Other Index Options'!$C:$C,$A80,'BSE - Other Index Options'!$B:$B,G$4,'BSE - Other Index Options'!$I:$I,"Weekly*")+SUMIFS('BSE - Other Index Options'!$M:$M,'BSE - Other Index Options'!$C:$C,$A80,'BSE - Other Index Options'!$B:$B,G$4,'BSE - Other Index Options'!$I:$I,"MDAW*"))</f>
        <v/>
      </c>
      <c r="H80" s="26">
        <f>IF(SUM(B80:G80)=0,"",SUM(B80:G80))</f>
        <v/>
      </c>
    </row>
    <row r="81" hidden="1" outlineLevel="1">
      <c r="A81" t="inlineStr">
        <is>
          <t>Week3-Dec-2026</t>
        </is>
      </c>
      <c r="B81" s="26">
        <f>IF(SUMIFS('NSE - NIFTY Index Options'!$M:$M,'NSE - NIFTY Index Options'!$C:$C,$A81,'NSE - NIFTY Index Options'!$B:$B,B$4,'NSE - NIFTY Index Options'!$I:$I,"Weekly*")+SUMIFS('NSE - NIFTY Index Options'!$M:$M,'NSE - NIFTY Index Options'!$C:$C,$A81,'NSE - NIFTY Index Options'!$B:$B,B$4,'NSE - NIFTY Index Options'!$I:$I,"MDAW*")+SUMIFS('NSE - Other Index Options'!$M:$M,'NSE - Other Index Options'!$C:$C,$A81,'NSE - Other Index Options'!$B:$B,B$4,'NSE - Other Index Options'!$I:$I,"Weekly*")+SUMIFS('NSE - Other Index Options'!$M:$M,'NSE - Other Index Options'!$C:$C,$A81,'NSE - Other Index Options'!$B:$B,B$4,'NSE - Other Index Options'!$I:$I,"MDAW*")+SUMIFS('BSE - SENSEX Index Options'!$M:$M,'BSE - SENSEX Index Options'!$C:$C,$A81,'BSE - SENSEX Index Options'!$B:$B,B$4,'BSE - SENSEX Index Options'!$I:$I,"Weekly*")+SUMIFS('BSE - SENSEX Index Options'!$M:$M,'BSE - SENSEX Index Options'!$C:$C,$A81,'BSE - SENSEX Index Options'!$B:$B,B$4,'BSE - SENSEX Index Options'!$I:$I,"MDAW*")+SUMIFS('BSE - Other Index Options'!$M:$M,'BSE - Other Index Options'!$C:$C,$A81,'BSE - Other Index Options'!$B:$B,B$4,'BSE - Other Index Options'!$I:$I,"Weekly*")+SUMIFS('BSE - Other Index Options'!$M:$M,'BSE - Other Index Options'!$C:$C,$A81,'BSE - Other Index Options'!$B:$B,B$4,'BSE - Other Index Options'!$I:$I,"MDAW*")=0,"",SUMIFS('NSE - NIFTY Index Options'!$M:$M,'NSE - NIFTY Index Options'!$C:$C,$A81,'NSE - NIFTY Index Options'!$B:$B,B$4,'NSE - NIFTY Index Options'!$I:$I,"Weekly*")+SUMIFS('NSE - NIFTY Index Options'!$M:$M,'NSE - NIFTY Index Options'!$C:$C,$A81,'NSE - NIFTY Index Options'!$B:$B,B$4,'NSE - NIFTY Index Options'!$I:$I,"MDAW*")+SUMIFS('NSE - Other Index Options'!$M:$M,'NSE - Other Index Options'!$C:$C,$A81,'NSE - Other Index Options'!$B:$B,B$4,'NSE - Other Index Options'!$I:$I,"Weekly*")+SUMIFS('NSE - Other Index Options'!$M:$M,'NSE - Other Index Options'!$C:$C,$A81,'NSE - Other Index Options'!$B:$B,B$4,'NSE - Other Index Options'!$I:$I,"MDAW*")+SUMIFS('BSE - SENSEX Index Options'!$M:$M,'BSE - SENSEX Index Options'!$C:$C,$A81,'BSE - SENSEX Index Options'!$B:$B,B$4,'BSE - SENSEX Index Options'!$I:$I,"Weekly*")+SUMIFS('BSE - SENSEX Index Options'!$M:$M,'BSE - SENSEX Index Options'!$C:$C,$A81,'BSE - SENSEX Index Options'!$B:$B,B$4,'BSE - SENSEX Index Options'!$I:$I,"MDAW*")+SUMIFS('BSE - Other Index Options'!$M:$M,'BSE - Other Index Options'!$C:$C,$A81,'BSE - Other Index Options'!$B:$B,B$4,'BSE - Other Index Options'!$I:$I,"Weekly*")+SUMIFS('BSE - Other Index Options'!$M:$M,'BSE - Other Index Options'!$C:$C,$A81,'BSE - Other Index Options'!$B:$B,B$4,'BSE - Other Index Options'!$I:$I,"MDAW*"))</f>
        <v/>
      </c>
      <c r="C81" s="26">
        <f>IF(SUMIFS('NSE - NIFTY Index Options'!$M:$M,'NSE - NIFTY Index Options'!$C:$C,$A81,'NSE - NIFTY Index Options'!$B:$B,C$4,'NSE - NIFTY Index Options'!$I:$I,"Weekly*")+SUMIFS('NSE - NIFTY Index Options'!$M:$M,'NSE - NIFTY Index Options'!$C:$C,$A81,'NSE - NIFTY Index Options'!$B:$B,C$4,'NSE - NIFTY Index Options'!$I:$I,"MDAW*")+SUMIFS('NSE - Other Index Options'!$M:$M,'NSE - Other Index Options'!$C:$C,$A81,'NSE - Other Index Options'!$B:$B,C$4,'NSE - Other Index Options'!$I:$I,"Weekly*")+SUMIFS('NSE - Other Index Options'!$M:$M,'NSE - Other Index Options'!$C:$C,$A81,'NSE - Other Index Options'!$B:$B,C$4,'NSE - Other Index Options'!$I:$I,"MDAW*")+SUMIFS('BSE - SENSEX Index Options'!$M:$M,'BSE - SENSEX Index Options'!$C:$C,$A81,'BSE - SENSEX Index Options'!$B:$B,C$4,'BSE - SENSEX Index Options'!$I:$I,"Weekly*")+SUMIFS('BSE - SENSEX Index Options'!$M:$M,'BSE - SENSEX Index Options'!$C:$C,$A81,'BSE - SENSEX Index Options'!$B:$B,C$4,'BSE - SENSEX Index Options'!$I:$I,"MDAW*")+SUMIFS('BSE - Other Index Options'!$M:$M,'BSE - Other Index Options'!$C:$C,$A81,'BSE - Other Index Options'!$B:$B,C$4,'BSE - Other Index Options'!$I:$I,"Weekly*")+SUMIFS('BSE - Other Index Options'!$M:$M,'BSE - Other Index Options'!$C:$C,$A81,'BSE - Other Index Options'!$B:$B,C$4,'BSE - Other Index Options'!$I:$I,"MDAW*")=0,"",SUMIFS('NSE - NIFTY Index Options'!$M:$M,'NSE - NIFTY Index Options'!$C:$C,$A81,'NSE - NIFTY Index Options'!$B:$B,C$4,'NSE - NIFTY Index Options'!$I:$I,"Weekly*")+SUMIFS('NSE - NIFTY Index Options'!$M:$M,'NSE - NIFTY Index Options'!$C:$C,$A81,'NSE - NIFTY Index Options'!$B:$B,C$4,'NSE - NIFTY Index Options'!$I:$I,"MDAW*")+SUMIFS('NSE - Other Index Options'!$M:$M,'NSE - Other Index Options'!$C:$C,$A81,'NSE - Other Index Options'!$B:$B,C$4,'NSE - Other Index Options'!$I:$I,"Weekly*")+SUMIFS('NSE - Other Index Options'!$M:$M,'NSE - Other Index Options'!$C:$C,$A81,'NSE - Other Index Options'!$B:$B,C$4,'NSE - Other Index Options'!$I:$I,"MDAW*")+SUMIFS('BSE - SENSEX Index Options'!$M:$M,'BSE - SENSEX Index Options'!$C:$C,$A81,'BSE - SENSEX Index Options'!$B:$B,C$4,'BSE - SENSEX Index Options'!$I:$I,"Weekly*")+SUMIFS('BSE - SENSEX Index Options'!$M:$M,'BSE - SENSEX Index Options'!$C:$C,$A81,'BSE - SENSEX Index Options'!$B:$B,C$4,'BSE - SENSEX Index Options'!$I:$I,"MDAW*")+SUMIFS('BSE - Other Index Options'!$M:$M,'BSE - Other Index Options'!$C:$C,$A81,'BSE - Other Index Options'!$B:$B,C$4,'BSE - Other Index Options'!$I:$I,"Weekly*")+SUMIFS('BSE - Other Index Options'!$M:$M,'BSE - Other Index Options'!$C:$C,$A81,'BSE - Other Index Options'!$B:$B,C$4,'BSE - Other Index Options'!$I:$I,"MDAW*"))</f>
        <v/>
      </c>
      <c r="D81" s="26">
        <f>IF(SUMIFS('NSE - NIFTY Index Options'!$M:$M,'NSE - NIFTY Index Options'!$C:$C,$A81,'NSE - NIFTY Index Options'!$B:$B,D$4,'NSE - NIFTY Index Options'!$I:$I,"Weekly*")+SUMIFS('NSE - NIFTY Index Options'!$M:$M,'NSE - NIFTY Index Options'!$C:$C,$A81,'NSE - NIFTY Index Options'!$B:$B,D$4,'NSE - NIFTY Index Options'!$I:$I,"MDAW*")+SUMIFS('NSE - Other Index Options'!$M:$M,'NSE - Other Index Options'!$C:$C,$A81,'NSE - Other Index Options'!$B:$B,D$4,'NSE - Other Index Options'!$I:$I,"Weekly*")+SUMIFS('NSE - Other Index Options'!$M:$M,'NSE - Other Index Options'!$C:$C,$A81,'NSE - Other Index Options'!$B:$B,D$4,'NSE - Other Index Options'!$I:$I,"MDAW*")+SUMIFS('BSE - SENSEX Index Options'!$M:$M,'BSE - SENSEX Index Options'!$C:$C,$A81,'BSE - SENSEX Index Options'!$B:$B,D$4,'BSE - SENSEX Index Options'!$I:$I,"Weekly*")+SUMIFS('BSE - SENSEX Index Options'!$M:$M,'BSE - SENSEX Index Options'!$C:$C,$A81,'BSE - SENSEX Index Options'!$B:$B,D$4,'BSE - SENSEX Index Options'!$I:$I,"MDAW*")+SUMIFS('BSE - Other Index Options'!$M:$M,'BSE - Other Index Options'!$C:$C,$A81,'BSE - Other Index Options'!$B:$B,D$4,'BSE - Other Index Options'!$I:$I,"Weekly*")+SUMIFS('BSE - Other Index Options'!$M:$M,'BSE - Other Index Options'!$C:$C,$A81,'BSE - Other Index Options'!$B:$B,D$4,'BSE - Other Index Options'!$I:$I,"MDAW*")=0,"",SUMIFS('NSE - NIFTY Index Options'!$M:$M,'NSE - NIFTY Index Options'!$C:$C,$A81,'NSE - NIFTY Index Options'!$B:$B,D$4,'NSE - NIFTY Index Options'!$I:$I,"Weekly*")+SUMIFS('NSE - NIFTY Index Options'!$M:$M,'NSE - NIFTY Index Options'!$C:$C,$A81,'NSE - NIFTY Index Options'!$B:$B,D$4,'NSE - NIFTY Index Options'!$I:$I,"MDAW*")+SUMIFS('NSE - Other Index Options'!$M:$M,'NSE - Other Index Options'!$C:$C,$A81,'NSE - Other Index Options'!$B:$B,D$4,'NSE - Other Index Options'!$I:$I,"Weekly*")+SUMIFS('NSE - Other Index Options'!$M:$M,'NSE - Other Index Options'!$C:$C,$A81,'NSE - Other Index Options'!$B:$B,D$4,'NSE - Other Index Options'!$I:$I,"MDAW*")+SUMIFS('BSE - SENSEX Index Options'!$M:$M,'BSE - SENSEX Index Options'!$C:$C,$A81,'BSE - SENSEX Index Options'!$B:$B,D$4,'BSE - SENSEX Index Options'!$I:$I,"Weekly*")+SUMIFS('BSE - SENSEX Index Options'!$M:$M,'BSE - SENSEX Index Options'!$C:$C,$A81,'BSE - SENSEX Index Options'!$B:$B,D$4,'BSE - SENSEX Index Options'!$I:$I,"MDAW*")+SUMIFS('BSE - Other Index Options'!$M:$M,'BSE - Other Index Options'!$C:$C,$A81,'BSE - Other Index Options'!$B:$B,D$4,'BSE - Other Index Options'!$I:$I,"Weekly*")+SUMIFS('BSE - Other Index Options'!$M:$M,'BSE - Other Index Options'!$C:$C,$A81,'BSE - Other Index Options'!$B:$B,D$4,'BSE - Other Index Options'!$I:$I,"MDAW*"))</f>
        <v/>
      </c>
      <c r="E81" s="26">
        <f>IF(SUMIFS('NSE - NIFTY Index Options'!$M:$M,'NSE - NIFTY Index Options'!$C:$C,$A81,'NSE - NIFTY Index Options'!$B:$B,E$4,'NSE - NIFTY Index Options'!$I:$I,"Weekly*")+SUMIFS('NSE - NIFTY Index Options'!$M:$M,'NSE - NIFTY Index Options'!$C:$C,$A81,'NSE - NIFTY Index Options'!$B:$B,E$4,'NSE - NIFTY Index Options'!$I:$I,"MDAW*")+SUMIFS('NSE - Other Index Options'!$M:$M,'NSE - Other Index Options'!$C:$C,$A81,'NSE - Other Index Options'!$B:$B,E$4,'NSE - Other Index Options'!$I:$I,"Weekly*")+SUMIFS('NSE - Other Index Options'!$M:$M,'NSE - Other Index Options'!$C:$C,$A81,'NSE - Other Index Options'!$B:$B,E$4,'NSE - Other Index Options'!$I:$I,"MDAW*")+SUMIFS('BSE - SENSEX Index Options'!$M:$M,'BSE - SENSEX Index Options'!$C:$C,$A81,'BSE - SENSEX Index Options'!$B:$B,E$4,'BSE - SENSEX Index Options'!$I:$I,"Weekly*")+SUMIFS('BSE - SENSEX Index Options'!$M:$M,'BSE - SENSEX Index Options'!$C:$C,$A81,'BSE - SENSEX Index Options'!$B:$B,E$4,'BSE - SENSEX Index Options'!$I:$I,"MDAW*")+SUMIFS('BSE - Other Index Options'!$M:$M,'BSE - Other Index Options'!$C:$C,$A81,'BSE - Other Index Options'!$B:$B,E$4,'BSE - Other Index Options'!$I:$I,"Weekly*")+SUMIFS('BSE - Other Index Options'!$M:$M,'BSE - Other Index Options'!$C:$C,$A81,'BSE - Other Index Options'!$B:$B,E$4,'BSE - Other Index Options'!$I:$I,"MDAW*")=0,"",SUMIFS('NSE - NIFTY Index Options'!$M:$M,'NSE - NIFTY Index Options'!$C:$C,$A81,'NSE - NIFTY Index Options'!$B:$B,E$4,'NSE - NIFTY Index Options'!$I:$I,"Weekly*")+SUMIFS('NSE - NIFTY Index Options'!$M:$M,'NSE - NIFTY Index Options'!$C:$C,$A81,'NSE - NIFTY Index Options'!$B:$B,E$4,'NSE - NIFTY Index Options'!$I:$I,"MDAW*")+SUMIFS('NSE - Other Index Options'!$M:$M,'NSE - Other Index Options'!$C:$C,$A81,'NSE - Other Index Options'!$B:$B,E$4,'NSE - Other Index Options'!$I:$I,"Weekly*")+SUMIFS('NSE - Other Index Options'!$M:$M,'NSE - Other Index Options'!$C:$C,$A81,'NSE - Other Index Options'!$B:$B,E$4,'NSE - Other Index Options'!$I:$I,"MDAW*")+SUMIFS('BSE - SENSEX Index Options'!$M:$M,'BSE - SENSEX Index Options'!$C:$C,$A81,'BSE - SENSEX Index Options'!$B:$B,E$4,'BSE - SENSEX Index Options'!$I:$I,"Weekly*")+SUMIFS('BSE - SENSEX Index Options'!$M:$M,'BSE - SENSEX Index Options'!$C:$C,$A81,'BSE - SENSEX Index Options'!$B:$B,E$4,'BSE - SENSEX Index Options'!$I:$I,"MDAW*")+SUMIFS('BSE - Other Index Options'!$M:$M,'BSE - Other Index Options'!$C:$C,$A81,'BSE - Other Index Options'!$B:$B,E$4,'BSE - Other Index Options'!$I:$I,"Weekly*")+SUMIFS('BSE - Other Index Options'!$M:$M,'BSE - Other Index Options'!$C:$C,$A81,'BSE - Other Index Options'!$B:$B,E$4,'BSE - Other Index Options'!$I:$I,"MDAW*"))</f>
        <v/>
      </c>
      <c r="F81" s="26">
        <f>IF(SUMIFS('NSE - NIFTY Index Options'!$M:$M,'NSE - NIFTY Index Options'!$C:$C,$A81,'NSE - NIFTY Index Options'!$B:$B,F$4,'NSE - NIFTY Index Options'!$I:$I,"Weekly*")+SUMIFS('NSE - NIFTY Index Options'!$M:$M,'NSE - NIFTY Index Options'!$C:$C,$A81,'NSE - NIFTY Index Options'!$B:$B,F$4,'NSE - NIFTY Index Options'!$I:$I,"MDAW*")+SUMIFS('NSE - Other Index Options'!$M:$M,'NSE - Other Index Options'!$C:$C,$A81,'NSE - Other Index Options'!$B:$B,F$4,'NSE - Other Index Options'!$I:$I,"Weekly*")+SUMIFS('NSE - Other Index Options'!$M:$M,'NSE - Other Index Options'!$C:$C,$A81,'NSE - Other Index Options'!$B:$B,F$4,'NSE - Other Index Options'!$I:$I,"MDAW*")+SUMIFS('BSE - SENSEX Index Options'!$M:$M,'BSE - SENSEX Index Options'!$C:$C,$A81,'BSE - SENSEX Index Options'!$B:$B,F$4,'BSE - SENSEX Index Options'!$I:$I,"Weekly*")+SUMIFS('BSE - SENSEX Index Options'!$M:$M,'BSE - SENSEX Index Options'!$C:$C,$A81,'BSE - SENSEX Index Options'!$B:$B,F$4,'BSE - SENSEX Index Options'!$I:$I,"MDAW*")+SUMIFS('BSE - Other Index Options'!$M:$M,'BSE - Other Index Options'!$C:$C,$A81,'BSE - Other Index Options'!$B:$B,F$4,'BSE - Other Index Options'!$I:$I,"Weekly*")+SUMIFS('BSE - Other Index Options'!$M:$M,'BSE - Other Index Options'!$C:$C,$A81,'BSE - Other Index Options'!$B:$B,F$4,'BSE - Other Index Options'!$I:$I,"MDAW*")=0,"",SUMIFS('NSE - NIFTY Index Options'!$M:$M,'NSE - NIFTY Index Options'!$C:$C,$A81,'NSE - NIFTY Index Options'!$B:$B,F$4,'NSE - NIFTY Index Options'!$I:$I,"Weekly*")+SUMIFS('NSE - NIFTY Index Options'!$M:$M,'NSE - NIFTY Index Options'!$C:$C,$A81,'NSE - NIFTY Index Options'!$B:$B,F$4,'NSE - NIFTY Index Options'!$I:$I,"MDAW*")+SUMIFS('NSE - Other Index Options'!$M:$M,'NSE - Other Index Options'!$C:$C,$A81,'NSE - Other Index Options'!$B:$B,F$4,'NSE - Other Index Options'!$I:$I,"Weekly*")+SUMIFS('NSE - Other Index Options'!$M:$M,'NSE - Other Index Options'!$C:$C,$A81,'NSE - Other Index Options'!$B:$B,F$4,'NSE - Other Index Options'!$I:$I,"MDAW*")+SUMIFS('BSE - SENSEX Index Options'!$M:$M,'BSE - SENSEX Index Options'!$C:$C,$A81,'BSE - SENSEX Index Options'!$B:$B,F$4,'BSE - SENSEX Index Options'!$I:$I,"Weekly*")+SUMIFS('BSE - SENSEX Index Options'!$M:$M,'BSE - SENSEX Index Options'!$C:$C,$A81,'BSE - SENSEX Index Options'!$B:$B,F$4,'BSE - SENSEX Index Options'!$I:$I,"MDAW*")+SUMIFS('BSE - Other Index Options'!$M:$M,'BSE - Other Index Options'!$C:$C,$A81,'BSE - Other Index Options'!$B:$B,F$4,'BSE - Other Index Options'!$I:$I,"Weekly*")+SUMIFS('BSE - Other Index Options'!$M:$M,'BSE - Other Index Options'!$C:$C,$A81,'BSE - Other Index Options'!$B:$B,F$4,'BSE - Other Index Options'!$I:$I,"MDAW*"))</f>
        <v/>
      </c>
      <c r="G81" s="26">
        <f>IF(SUMIFS('NSE - NIFTY Index Options'!$M:$M,'NSE - NIFTY Index Options'!$C:$C,$A81,'NSE - NIFTY Index Options'!$B:$B,G$4,'NSE - NIFTY Index Options'!$I:$I,"Weekly*")+SUMIFS('NSE - NIFTY Index Options'!$M:$M,'NSE - NIFTY Index Options'!$C:$C,$A81,'NSE - NIFTY Index Options'!$B:$B,G$4,'NSE - NIFTY Index Options'!$I:$I,"MDAW*")+SUMIFS('NSE - Other Index Options'!$M:$M,'NSE - Other Index Options'!$C:$C,$A81,'NSE - Other Index Options'!$B:$B,G$4,'NSE - Other Index Options'!$I:$I,"Weekly*")+SUMIFS('NSE - Other Index Options'!$M:$M,'NSE - Other Index Options'!$C:$C,$A81,'NSE - Other Index Options'!$B:$B,G$4,'NSE - Other Index Options'!$I:$I,"MDAW*")+SUMIFS('BSE - SENSEX Index Options'!$M:$M,'BSE - SENSEX Index Options'!$C:$C,$A81,'BSE - SENSEX Index Options'!$B:$B,G$4,'BSE - SENSEX Index Options'!$I:$I,"Weekly*")+SUMIFS('BSE - SENSEX Index Options'!$M:$M,'BSE - SENSEX Index Options'!$C:$C,$A81,'BSE - SENSEX Index Options'!$B:$B,G$4,'BSE - SENSEX Index Options'!$I:$I,"MDAW*")+SUMIFS('BSE - Other Index Options'!$M:$M,'BSE - Other Index Options'!$C:$C,$A81,'BSE - Other Index Options'!$B:$B,G$4,'BSE - Other Index Options'!$I:$I,"Weekly*")+SUMIFS('BSE - Other Index Options'!$M:$M,'BSE - Other Index Options'!$C:$C,$A81,'BSE - Other Index Options'!$B:$B,G$4,'BSE - Other Index Options'!$I:$I,"MDAW*")=0,"",SUMIFS('NSE - NIFTY Index Options'!$M:$M,'NSE - NIFTY Index Options'!$C:$C,$A81,'NSE - NIFTY Index Options'!$B:$B,G$4,'NSE - NIFTY Index Options'!$I:$I,"Weekly*")+SUMIFS('NSE - NIFTY Index Options'!$M:$M,'NSE - NIFTY Index Options'!$C:$C,$A81,'NSE - NIFTY Index Options'!$B:$B,G$4,'NSE - NIFTY Index Options'!$I:$I,"MDAW*")+SUMIFS('NSE - Other Index Options'!$M:$M,'NSE - Other Index Options'!$C:$C,$A81,'NSE - Other Index Options'!$B:$B,G$4,'NSE - Other Index Options'!$I:$I,"Weekly*")+SUMIFS('NSE - Other Index Options'!$M:$M,'NSE - Other Index Options'!$C:$C,$A81,'NSE - Other Index Options'!$B:$B,G$4,'NSE - Other Index Options'!$I:$I,"MDAW*")+SUMIFS('BSE - SENSEX Index Options'!$M:$M,'BSE - SENSEX Index Options'!$C:$C,$A81,'BSE - SENSEX Index Options'!$B:$B,G$4,'BSE - SENSEX Index Options'!$I:$I,"Weekly*")+SUMIFS('BSE - SENSEX Index Options'!$M:$M,'BSE - SENSEX Index Options'!$C:$C,$A81,'BSE - SENSEX Index Options'!$B:$B,G$4,'BSE - SENSEX Index Options'!$I:$I,"MDAW*")+SUMIFS('BSE - Other Index Options'!$M:$M,'BSE - Other Index Options'!$C:$C,$A81,'BSE - Other Index Options'!$B:$B,G$4,'BSE - Other Index Options'!$I:$I,"Weekly*")+SUMIFS('BSE - Other Index Options'!$M:$M,'BSE - Other Index Options'!$C:$C,$A81,'BSE - Other Index Options'!$B:$B,G$4,'BSE - Other Index Options'!$I:$I,"MDAW*"))</f>
        <v/>
      </c>
      <c r="H81" s="26">
        <f>IF(SUM(B81:G81)=0,"",SUM(B81:G81))</f>
        <v/>
      </c>
    </row>
    <row r="82" hidden="1" outlineLevel="1">
      <c r="A82" t="inlineStr">
        <is>
          <t>Week4-Dec-2026</t>
        </is>
      </c>
      <c r="B82" s="26">
        <f>IF(SUMIFS('NSE - NIFTY Index Options'!$M:$M,'NSE - NIFTY Index Options'!$C:$C,$A82,'NSE - NIFTY Index Options'!$B:$B,B$4,'NSE - NIFTY Index Options'!$I:$I,"Weekly*")+SUMIFS('NSE - NIFTY Index Options'!$M:$M,'NSE - NIFTY Index Options'!$C:$C,$A82,'NSE - NIFTY Index Options'!$B:$B,B$4,'NSE - NIFTY Index Options'!$I:$I,"MDAW*")+SUMIFS('NSE - Other Index Options'!$M:$M,'NSE - Other Index Options'!$C:$C,$A82,'NSE - Other Index Options'!$B:$B,B$4,'NSE - Other Index Options'!$I:$I,"Weekly*")+SUMIFS('NSE - Other Index Options'!$M:$M,'NSE - Other Index Options'!$C:$C,$A82,'NSE - Other Index Options'!$B:$B,B$4,'NSE - Other Index Options'!$I:$I,"MDAW*")+SUMIFS('BSE - SENSEX Index Options'!$M:$M,'BSE - SENSEX Index Options'!$C:$C,$A82,'BSE - SENSEX Index Options'!$B:$B,B$4,'BSE - SENSEX Index Options'!$I:$I,"Weekly*")+SUMIFS('BSE - SENSEX Index Options'!$M:$M,'BSE - SENSEX Index Options'!$C:$C,$A82,'BSE - SENSEX Index Options'!$B:$B,B$4,'BSE - SENSEX Index Options'!$I:$I,"MDAW*")+SUMIFS('BSE - Other Index Options'!$M:$M,'BSE - Other Index Options'!$C:$C,$A82,'BSE - Other Index Options'!$B:$B,B$4,'BSE - Other Index Options'!$I:$I,"Weekly*")+SUMIFS('BSE - Other Index Options'!$M:$M,'BSE - Other Index Options'!$C:$C,$A82,'BSE - Other Index Options'!$B:$B,B$4,'BSE - Other Index Options'!$I:$I,"MDAW*")=0,"",SUMIFS('NSE - NIFTY Index Options'!$M:$M,'NSE - NIFTY Index Options'!$C:$C,$A82,'NSE - NIFTY Index Options'!$B:$B,B$4,'NSE - NIFTY Index Options'!$I:$I,"Weekly*")+SUMIFS('NSE - NIFTY Index Options'!$M:$M,'NSE - NIFTY Index Options'!$C:$C,$A82,'NSE - NIFTY Index Options'!$B:$B,B$4,'NSE - NIFTY Index Options'!$I:$I,"MDAW*")+SUMIFS('NSE - Other Index Options'!$M:$M,'NSE - Other Index Options'!$C:$C,$A82,'NSE - Other Index Options'!$B:$B,B$4,'NSE - Other Index Options'!$I:$I,"Weekly*")+SUMIFS('NSE - Other Index Options'!$M:$M,'NSE - Other Index Options'!$C:$C,$A82,'NSE - Other Index Options'!$B:$B,B$4,'NSE - Other Index Options'!$I:$I,"MDAW*")+SUMIFS('BSE - SENSEX Index Options'!$M:$M,'BSE - SENSEX Index Options'!$C:$C,$A82,'BSE - SENSEX Index Options'!$B:$B,B$4,'BSE - SENSEX Index Options'!$I:$I,"Weekly*")+SUMIFS('BSE - SENSEX Index Options'!$M:$M,'BSE - SENSEX Index Options'!$C:$C,$A82,'BSE - SENSEX Index Options'!$B:$B,B$4,'BSE - SENSEX Index Options'!$I:$I,"MDAW*")+SUMIFS('BSE - Other Index Options'!$M:$M,'BSE - Other Index Options'!$C:$C,$A82,'BSE - Other Index Options'!$B:$B,B$4,'BSE - Other Index Options'!$I:$I,"Weekly*")+SUMIFS('BSE - Other Index Options'!$M:$M,'BSE - Other Index Options'!$C:$C,$A82,'BSE - Other Index Options'!$B:$B,B$4,'BSE - Other Index Options'!$I:$I,"MDAW*"))</f>
        <v/>
      </c>
      <c r="C82" s="26">
        <f>IF(SUMIFS('NSE - NIFTY Index Options'!$M:$M,'NSE - NIFTY Index Options'!$C:$C,$A82,'NSE - NIFTY Index Options'!$B:$B,C$4,'NSE - NIFTY Index Options'!$I:$I,"Weekly*")+SUMIFS('NSE - NIFTY Index Options'!$M:$M,'NSE - NIFTY Index Options'!$C:$C,$A82,'NSE - NIFTY Index Options'!$B:$B,C$4,'NSE - NIFTY Index Options'!$I:$I,"MDAW*")+SUMIFS('NSE - Other Index Options'!$M:$M,'NSE - Other Index Options'!$C:$C,$A82,'NSE - Other Index Options'!$B:$B,C$4,'NSE - Other Index Options'!$I:$I,"Weekly*")+SUMIFS('NSE - Other Index Options'!$M:$M,'NSE - Other Index Options'!$C:$C,$A82,'NSE - Other Index Options'!$B:$B,C$4,'NSE - Other Index Options'!$I:$I,"MDAW*")+SUMIFS('BSE - SENSEX Index Options'!$M:$M,'BSE - SENSEX Index Options'!$C:$C,$A82,'BSE - SENSEX Index Options'!$B:$B,C$4,'BSE - SENSEX Index Options'!$I:$I,"Weekly*")+SUMIFS('BSE - SENSEX Index Options'!$M:$M,'BSE - SENSEX Index Options'!$C:$C,$A82,'BSE - SENSEX Index Options'!$B:$B,C$4,'BSE - SENSEX Index Options'!$I:$I,"MDAW*")+SUMIFS('BSE - Other Index Options'!$M:$M,'BSE - Other Index Options'!$C:$C,$A82,'BSE - Other Index Options'!$B:$B,C$4,'BSE - Other Index Options'!$I:$I,"Weekly*")+SUMIFS('BSE - Other Index Options'!$M:$M,'BSE - Other Index Options'!$C:$C,$A82,'BSE - Other Index Options'!$B:$B,C$4,'BSE - Other Index Options'!$I:$I,"MDAW*")=0,"",SUMIFS('NSE - NIFTY Index Options'!$M:$M,'NSE - NIFTY Index Options'!$C:$C,$A82,'NSE - NIFTY Index Options'!$B:$B,C$4,'NSE - NIFTY Index Options'!$I:$I,"Weekly*")+SUMIFS('NSE - NIFTY Index Options'!$M:$M,'NSE - NIFTY Index Options'!$C:$C,$A82,'NSE - NIFTY Index Options'!$B:$B,C$4,'NSE - NIFTY Index Options'!$I:$I,"MDAW*")+SUMIFS('NSE - Other Index Options'!$M:$M,'NSE - Other Index Options'!$C:$C,$A82,'NSE - Other Index Options'!$B:$B,C$4,'NSE - Other Index Options'!$I:$I,"Weekly*")+SUMIFS('NSE - Other Index Options'!$M:$M,'NSE - Other Index Options'!$C:$C,$A82,'NSE - Other Index Options'!$B:$B,C$4,'NSE - Other Index Options'!$I:$I,"MDAW*")+SUMIFS('BSE - SENSEX Index Options'!$M:$M,'BSE - SENSEX Index Options'!$C:$C,$A82,'BSE - SENSEX Index Options'!$B:$B,C$4,'BSE - SENSEX Index Options'!$I:$I,"Weekly*")+SUMIFS('BSE - SENSEX Index Options'!$M:$M,'BSE - SENSEX Index Options'!$C:$C,$A82,'BSE - SENSEX Index Options'!$B:$B,C$4,'BSE - SENSEX Index Options'!$I:$I,"MDAW*")+SUMIFS('BSE - Other Index Options'!$M:$M,'BSE - Other Index Options'!$C:$C,$A82,'BSE - Other Index Options'!$B:$B,C$4,'BSE - Other Index Options'!$I:$I,"Weekly*")+SUMIFS('BSE - Other Index Options'!$M:$M,'BSE - Other Index Options'!$C:$C,$A82,'BSE - Other Index Options'!$B:$B,C$4,'BSE - Other Index Options'!$I:$I,"MDAW*"))</f>
        <v/>
      </c>
      <c r="D82" s="26">
        <f>IF(SUMIFS('NSE - NIFTY Index Options'!$M:$M,'NSE - NIFTY Index Options'!$C:$C,$A82,'NSE - NIFTY Index Options'!$B:$B,D$4,'NSE - NIFTY Index Options'!$I:$I,"Weekly*")+SUMIFS('NSE - NIFTY Index Options'!$M:$M,'NSE - NIFTY Index Options'!$C:$C,$A82,'NSE - NIFTY Index Options'!$B:$B,D$4,'NSE - NIFTY Index Options'!$I:$I,"MDAW*")+SUMIFS('NSE - Other Index Options'!$M:$M,'NSE - Other Index Options'!$C:$C,$A82,'NSE - Other Index Options'!$B:$B,D$4,'NSE - Other Index Options'!$I:$I,"Weekly*")+SUMIFS('NSE - Other Index Options'!$M:$M,'NSE - Other Index Options'!$C:$C,$A82,'NSE - Other Index Options'!$B:$B,D$4,'NSE - Other Index Options'!$I:$I,"MDAW*")+SUMIFS('BSE - SENSEX Index Options'!$M:$M,'BSE - SENSEX Index Options'!$C:$C,$A82,'BSE - SENSEX Index Options'!$B:$B,D$4,'BSE - SENSEX Index Options'!$I:$I,"Weekly*")+SUMIFS('BSE - SENSEX Index Options'!$M:$M,'BSE - SENSEX Index Options'!$C:$C,$A82,'BSE - SENSEX Index Options'!$B:$B,D$4,'BSE - SENSEX Index Options'!$I:$I,"MDAW*")+SUMIFS('BSE - Other Index Options'!$M:$M,'BSE - Other Index Options'!$C:$C,$A82,'BSE - Other Index Options'!$B:$B,D$4,'BSE - Other Index Options'!$I:$I,"Weekly*")+SUMIFS('BSE - Other Index Options'!$M:$M,'BSE - Other Index Options'!$C:$C,$A82,'BSE - Other Index Options'!$B:$B,D$4,'BSE - Other Index Options'!$I:$I,"MDAW*")=0,"",SUMIFS('NSE - NIFTY Index Options'!$M:$M,'NSE - NIFTY Index Options'!$C:$C,$A82,'NSE - NIFTY Index Options'!$B:$B,D$4,'NSE - NIFTY Index Options'!$I:$I,"Weekly*")+SUMIFS('NSE - NIFTY Index Options'!$M:$M,'NSE - NIFTY Index Options'!$C:$C,$A82,'NSE - NIFTY Index Options'!$B:$B,D$4,'NSE - NIFTY Index Options'!$I:$I,"MDAW*")+SUMIFS('NSE - Other Index Options'!$M:$M,'NSE - Other Index Options'!$C:$C,$A82,'NSE - Other Index Options'!$B:$B,D$4,'NSE - Other Index Options'!$I:$I,"Weekly*")+SUMIFS('NSE - Other Index Options'!$M:$M,'NSE - Other Index Options'!$C:$C,$A82,'NSE - Other Index Options'!$B:$B,D$4,'NSE - Other Index Options'!$I:$I,"MDAW*")+SUMIFS('BSE - SENSEX Index Options'!$M:$M,'BSE - SENSEX Index Options'!$C:$C,$A82,'BSE - SENSEX Index Options'!$B:$B,D$4,'BSE - SENSEX Index Options'!$I:$I,"Weekly*")+SUMIFS('BSE - SENSEX Index Options'!$M:$M,'BSE - SENSEX Index Options'!$C:$C,$A82,'BSE - SENSEX Index Options'!$B:$B,D$4,'BSE - SENSEX Index Options'!$I:$I,"MDAW*")+SUMIFS('BSE - Other Index Options'!$M:$M,'BSE - Other Index Options'!$C:$C,$A82,'BSE - Other Index Options'!$B:$B,D$4,'BSE - Other Index Options'!$I:$I,"Weekly*")+SUMIFS('BSE - Other Index Options'!$M:$M,'BSE - Other Index Options'!$C:$C,$A82,'BSE - Other Index Options'!$B:$B,D$4,'BSE - Other Index Options'!$I:$I,"MDAW*"))</f>
        <v/>
      </c>
      <c r="E82" s="26">
        <f>IF(SUMIFS('NSE - NIFTY Index Options'!$M:$M,'NSE - NIFTY Index Options'!$C:$C,$A82,'NSE - NIFTY Index Options'!$B:$B,E$4,'NSE - NIFTY Index Options'!$I:$I,"Weekly*")+SUMIFS('NSE - NIFTY Index Options'!$M:$M,'NSE - NIFTY Index Options'!$C:$C,$A82,'NSE - NIFTY Index Options'!$B:$B,E$4,'NSE - NIFTY Index Options'!$I:$I,"MDAW*")+SUMIFS('NSE - Other Index Options'!$M:$M,'NSE - Other Index Options'!$C:$C,$A82,'NSE - Other Index Options'!$B:$B,E$4,'NSE - Other Index Options'!$I:$I,"Weekly*")+SUMIFS('NSE - Other Index Options'!$M:$M,'NSE - Other Index Options'!$C:$C,$A82,'NSE - Other Index Options'!$B:$B,E$4,'NSE - Other Index Options'!$I:$I,"MDAW*")+SUMIFS('BSE - SENSEX Index Options'!$M:$M,'BSE - SENSEX Index Options'!$C:$C,$A82,'BSE - SENSEX Index Options'!$B:$B,E$4,'BSE - SENSEX Index Options'!$I:$I,"Weekly*")+SUMIFS('BSE - SENSEX Index Options'!$M:$M,'BSE - SENSEX Index Options'!$C:$C,$A82,'BSE - SENSEX Index Options'!$B:$B,E$4,'BSE - SENSEX Index Options'!$I:$I,"MDAW*")+SUMIFS('BSE - Other Index Options'!$M:$M,'BSE - Other Index Options'!$C:$C,$A82,'BSE - Other Index Options'!$B:$B,E$4,'BSE - Other Index Options'!$I:$I,"Weekly*")+SUMIFS('BSE - Other Index Options'!$M:$M,'BSE - Other Index Options'!$C:$C,$A82,'BSE - Other Index Options'!$B:$B,E$4,'BSE - Other Index Options'!$I:$I,"MDAW*")=0,"",SUMIFS('NSE - NIFTY Index Options'!$M:$M,'NSE - NIFTY Index Options'!$C:$C,$A82,'NSE - NIFTY Index Options'!$B:$B,E$4,'NSE - NIFTY Index Options'!$I:$I,"Weekly*")+SUMIFS('NSE - NIFTY Index Options'!$M:$M,'NSE - NIFTY Index Options'!$C:$C,$A82,'NSE - NIFTY Index Options'!$B:$B,E$4,'NSE - NIFTY Index Options'!$I:$I,"MDAW*")+SUMIFS('NSE - Other Index Options'!$M:$M,'NSE - Other Index Options'!$C:$C,$A82,'NSE - Other Index Options'!$B:$B,E$4,'NSE - Other Index Options'!$I:$I,"Weekly*")+SUMIFS('NSE - Other Index Options'!$M:$M,'NSE - Other Index Options'!$C:$C,$A82,'NSE - Other Index Options'!$B:$B,E$4,'NSE - Other Index Options'!$I:$I,"MDAW*")+SUMIFS('BSE - SENSEX Index Options'!$M:$M,'BSE - SENSEX Index Options'!$C:$C,$A82,'BSE - SENSEX Index Options'!$B:$B,E$4,'BSE - SENSEX Index Options'!$I:$I,"Weekly*")+SUMIFS('BSE - SENSEX Index Options'!$M:$M,'BSE - SENSEX Index Options'!$C:$C,$A82,'BSE - SENSEX Index Options'!$B:$B,E$4,'BSE - SENSEX Index Options'!$I:$I,"MDAW*")+SUMIFS('BSE - Other Index Options'!$M:$M,'BSE - Other Index Options'!$C:$C,$A82,'BSE - Other Index Options'!$B:$B,E$4,'BSE - Other Index Options'!$I:$I,"Weekly*")+SUMIFS('BSE - Other Index Options'!$M:$M,'BSE - Other Index Options'!$C:$C,$A82,'BSE - Other Index Options'!$B:$B,E$4,'BSE - Other Index Options'!$I:$I,"MDAW*"))</f>
        <v/>
      </c>
      <c r="F82" s="26">
        <f>IF(SUMIFS('NSE - NIFTY Index Options'!$M:$M,'NSE - NIFTY Index Options'!$C:$C,$A82,'NSE - NIFTY Index Options'!$B:$B,F$4,'NSE - NIFTY Index Options'!$I:$I,"Weekly*")+SUMIFS('NSE - NIFTY Index Options'!$M:$M,'NSE - NIFTY Index Options'!$C:$C,$A82,'NSE - NIFTY Index Options'!$B:$B,F$4,'NSE - NIFTY Index Options'!$I:$I,"MDAW*")+SUMIFS('NSE - Other Index Options'!$M:$M,'NSE - Other Index Options'!$C:$C,$A82,'NSE - Other Index Options'!$B:$B,F$4,'NSE - Other Index Options'!$I:$I,"Weekly*")+SUMIFS('NSE - Other Index Options'!$M:$M,'NSE - Other Index Options'!$C:$C,$A82,'NSE - Other Index Options'!$B:$B,F$4,'NSE - Other Index Options'!$I:$I,"MDAW*")+SUMIFS('BSE - SENSEX Index Options'!$M:$M,'BSE - SENSEX Index Options'!$C:$C,$A82,'BSE - SENSEX Index Options'!$B:$B,F$4,'BSE - SENSEX Index Options'!$I:$I,"Weekly*")+SUMIFS('BSE - SENSEX Index Options'!$M:$M,'BSE - SENSEX Index Options'!$C:$C,$A82,'BSE - SENSEX Index Options'!$B:$B,F$4,'BSE - SENSEX Index Options'!$I:$I,"MDAW*")+SUMIFS('BSE - Other Index Options'!$M:$M,'BSE - Other Index Options'!$C:$C,$A82,'BSE - Other Index Options'!$B:$B,F$4,'BSE - Other Index Options'!$I:$I,"Weekly*")+SUMIFS('BSE - Other Index Options'!$M:$M,'BSE - Other Index Options'!$C:$C,$A82,'BSE - Other Index Options'!$B:$B,F$4,'BSE - Other Index Options'!$I:$I,"MDAW*")=0,"",SUMIFS('NSE - NIFTY Index Options'!$M:$M,'NSE - NIFTY Index Options'!$C:$C,$A82,'NSE - NIFTY Index Options'!$B:$B,F$4,'NSE - NIFTY Index Options'!$I:$I,"Weekly*")+SUMIFS('NSE - NIFTY Index Options'!$M:$M,'NSE - NIFTY Index Options'!$C:$C,$A82,'NSE - NIFTY Index Options'!$B:$B,F$4,'NSE - NIFTY Index Options'!$I:$I,"MDAW*")+SUMIFS('NSE - Other Index Options'!$M:$M,'NSE - Other Index Options'!$C:$C,$A82,'NSE - Other Index Options'!$B:$B,F$4,'NSE - Other Index Options'!$I:$I,"Weekly*")+SUMIFS('NSE - Other Index Options'!$M:$M,'NSE - Other Index Options'!$C:$C,$A82,'NSE - Other Index Options'!$B:$B,F$4,'NSE - Other Index Options'!$I:$I,"MDAW*")+SUMIFS('BSE - SENSEX Index Options'!$M:$M,'BSE - SENSEX Index Options'!$C:$C,$A82,'BSE - SENSEX Index Options'!$B:$B,F$4,'BSE - SENSEX Index Options'!$I:$I,"Weekly*")+SUMIFS('BSE - SENSEX Index Options'!$M:$M,'BSE - SENSEX Index Options'!$C:$C,$A82,'BSE - SENSEX Index Options'!$B:$B,F$4,'BSE - SENSEX Index Options'!$I:$I,"MDAW*")+SUMIFS('BSE - Other Index Options'!$M:$M,'BSE - Other Index Options'!$C:$C,$A82,'BSE - Other Index Options'!$B:$B,F$4,'BSE - Other Index Options'!$I:$I,"Weekly*")+SUMIFS('BSE - Other Index Options'!$M:$M,'BSE - Other Index Options'!$C:$C,$A82,'BSE - Other Index Options'!$B:$B,F$4,'BSE - Other Index Options'!$I:$I,"MDAW*"))</f>
        <v/>
      </c>
      <c r="G82" s="26">
        <f>IF(SUMIFS('NSE - NIFTY Index Options'!$M:$M,'NSE - NIFTY Index Options'!$C:$C,$A82,'NSE - NIFTY Index Options'!$B:$B,G$4,'NSE - NIFTY Index Options'!$I:$I,"Weekly*")+SUMIFS('NSE - NIFTY Index Options'!$M:$M,'NSE - NIFTY Index Options'!$C:$C,$A82,'NSE - NIFTY Index Options'!$B:$B,G$4,'NSE - NIFTY Index Options'!$I:$I,"MDAW*")+SUMIFS('NSE - Other Index Options'!$M:$M,'NSE - Other Index Options'!$C:$C,$A82,'NSE - Other Index Options'!$B:$B,G$4,'NSE - Other Index Options'!$I:$I,"Weekly*")+SUMIFS('NSE - Other Index Options'!$M:$M,'NSE - Other Index Options'!$C:$C,$A82,'NSE - Other Index Options'!$B:$B,G$4,'NSE - Other Index Options'!$I:$I,"MDAW*")+SUMIFS('BSE - SENSEX Index Options'!$M:$M,'BSE - SENSEX Index Options'!$C:$C,$A82,'BSE - SENSEX Index Options'!$B:$B,G$4,'BSE - SENSEX Index Options'!$I:$I,"Weekly*")+SUMIFS('BSE - SENSEX Index Options'!$M:$M,'BSE - SENSEX Index Options'!$C:$C,$A82,'BSE - SENSEX Index Options'!$B:$B,G$4,'BSE - SENSEX Index Options'!$I:$I,"MDAW*")+SUMIFS('BSE - Other Index Options'!$M:$M,'BSE - Other Index Options'!$C:$C,$A82,'BSE - Other Index Options'!$B:$B,G$4,'BSE - Other Index Options'!$I:$I,"Weekly*")+SUMIFS('BSE - Other Index Options'!$M:$M,'BSE - Other Index Options'!$C:$C,$A82,'BSE - Other Index Options'!$B:$B,G$4,'BSE - Other Index Options'!$I:$I,"MDAW*")=0,"",SUMIFS('NSE - NIFTY Index Options'!$M:$M,'NSE - NIFTY Index Options'!$C:$C,$A82,'NSE - NIFTY Index Options'!$B:$B,G$4,'NSE - NIFTY Index Options'!$I:$I,"Weekly*")+SUMIFS('NSE - NIFTY Index Options'!$M:$M,'NSE - NIFTY Index Options'!$C:$C,$A82,'NSE - NIFTY Index Options'!$B:$B,G$4,'NSE - NIFTY Index Options'!$I:$I,"MDAW*")+SUMIFS('NSE - Other Index Options'!$M:$M,'NSE - Other Index Options'!$C:$C,$A82,'NSE - Other Index Options'!$B:$B,G$4,'NSE - Other Index Options'!$I:$I,"Weekly*")+SUMIFS('NSE - Other Index Options'!$M:$M,'NSE - Other Index Options'!$C:$C,$A82,'NSE - Other Index Options'!$B:$B,G$4,'NSE - Other Index Options'!$I:$I,"MDAW*")+SUMIFS('BSE - SENSEX Index Options'!$M:$M,'BSE - SENSEX Index Options'!$C:$C,$A82,'BSE - SENSEX Index Options'!$B:$B,G$4,'BSE - SENSEX Index Options'!$I:$I,"Weekly*")+SUMIFS('BSE - SENSEX Index Options'!$M:$M,'BSE - SENSEX Index Options'!$C:$C,$A82,'BSE - SENSEX Index Options'!$B:$B,G$4,'BSE - SENSEX Index Options'!$I:$I,"MDAW*")+SUMIFS('BSE - Other Index Options'!$M:$M,'BSE - Other Index Options'!$C:$C,$A82,'BSE - Other Index Options'!$B:$B,G$4,'BSE - Other Index Options'!$I:$I,"Weekly*")+SUMIFS('BSE - Other Index Options'!$M:$M,'BSE - Other Index Options'!$C:$C,$A82,'BSE - Other Index Options'!$B:$B,G$4,'BSE - Other Index Options'!$I:$I,"MDAW*"))</f>
        <v/>
      </c>
      <c r="H82" s="26">
        <f>IF(SUM(B82:G82)=0,"",SUM(B82:G82))</f>
        <v/>
      </c>
    </row>
    <row r="83" hidden="1" outlineLevel="1">
      <c r="A83" t="inlineStr">
        <is>
          <t>Week5-Dec-2026</t>
        </is>
      </c>
      <c r="B83" s="26">
        <f>IF(SUMIFS('NSE - NIFTY Index Options'!$M:$M,'NSE - NIFTY Index Options'!$C:$C,$A83,'NSE - NIFTY Index Options'!$B:$B,B$4,'NSE - NIFTY Index Options'!$I:$I,"Weekly*")+SUMIFS('NSE - NIFTY Index Options'!$M:$M,'NSE - NIFTY Index Options'!$C:$C,$A83,'NSE - NIFTY Index Options'!$B:$B,B$4,'NSE - NIFTY Index Options'!$I:$I,"MDAW*")+SUMIFS('NSE - Other Index Options'!$M:$M,'NSE - Other Index Options'!$C:$C,$A83,'NSE - Other Index Options'!$B:$B,B$4,'NSE - Other Index Options'!$I:$I,"Weekly*")+SUMIFS('NSE - Other Index Options'!$M:$M,'NSE - Other Index Options'!$C:$C,$A83,'NSE - Other Index Options'!$B:$B,B$4,'NSE - Other Index Options'!$I:$I,"MDAW*")+SUMIFS('BSE - SENSEX Index Options'!$M:$M,'BSE - SENSEX Index Options'!$C:$C,$A83,'BSE - SENSEX Index Options'!$B:$B,B$4,'BSE - SENSEX Index Options'!$I:$I,"Weekly*")+SUMIFS('BSE - SENSEX Index Options'!$M:$M,'BSE - SENSEX Index Options'!$C:$C,$A83,'BSE - SENSEX Index Options'!$B:$B,B$4,'BSE - SENSEX Index Options'!$I:$I,"MDAW*")+SUMIFS('BSE - Other Index Options'!$M:$M,'BSE - Other Index Options'!$C:$C,$A83,'BSE - Other Index Options'!$B:$B,B$4,'BSE - Other Index Options'!$I:$I,"Weekly*")+SUMIFS('BSE - Other Index Options'!$M:$M,'BSE - Other Index Options'!$C:$C,$A83,'BSE - Other Index Options'!$B:$B,B$4,'BSE - Other Index Options'!$I:$I,"MDAW*")=0,"",SUMIFS('NSE - NIFTY Index Options'!$M:$M,'NSE - NIFTY Index Options'!$C:$C,$A83,'NSE - NIFTY Index Options'!$B:$B,B$4,'NSE - NIFTY Index Options'!$I:$I,"Weekly*")+SUMIFS('NSE - NIFTY Index Options'!$M:$M,'NSE - NIFTY Index Options'!$C:$C,$A83,'NSE - NIFTY Index Options'!$B:$B,B$4,'NSE - NIFTY Index Options'!$I:$I,"MDAW*")+SUMIFS('NSE - Other Index Options'!$M:$M,'NSE - Other Index Options'!$C:$C,$A83,'NSE - Other Index Options'!$B:$B,B$4,'NSE - Other Index Options'!$I:$I,"Weekly*")+SUMIFS('NSE - Other Index Options'!$M:$M,'NSE - Other Index Options'!$C:$C,$A83,'NSE - Other Index Options'!$B:$B,B$4,'NSE - Other Index Options'!$I:$I,"MDAW*")+SUMIFS('BSE - SENSEX Index Options'!$M:$M,'BSE - SENSEX Index Options'!$C:$C,$A83,'BSE - SENSEX Index Options'!$B:$B,B$4,'BSE - SENSEX Index Options'!$I:$I,"Weekly*")+SUMIFS('BSE - SENSEX Index Options'!$M:$M,'BSE - SENSEX Index Options'!$C:$C,$A83,'BSE - SENSEX Index Options'!$B:$B,B$4,'BSE - SENSEX Index Options'!$I:$I,"MDAW*")+SUMIFS('BSE - Other Index Options'!$M:$M,'BSE - Other Index Options'!$C:$C,$A83,'BSE - Other Index Options'!$B:$B,B$4,'BSE - Other Index Options'!$I:$I,"Weekly*")+SUMIFS('BSE - Other Index Options'!$M:$M,'BSE - Other Index Options'!$C:$C,$A83,'BSE - Other Index Options'!$B:$B,B$4,'BSE - Other Index Options'!$I:$I,"MDAW*"))</f>
        <v/>
      </c>
      <c r="C83" s="26">
        <f>IF(SUMIFS('NSE - NIFTY Index Options'!$M:$M,'NSE - NIFTY Index Options'!$C:$C,$A83,'NSE - NIFTY Index Options'!$B:$B,C$4,'NSE - NIFTY Index Options'!$I:$I,"Weekly*")+SUMIFS('NSE - NIFTY Index Options'!$M:$M,'NSE - NIFTY Index Options'!$C:$C,$A83,'NSE - NIFTY Index Options'!$B:$B,C$4,'NSE - NIFTY Index Options'!$I:$I,"MDAW*")+SUMIFS('NSE - Other Index Options'!$M:$M,'NSE - Other Index Options'!$C:$C,$A83,'NSE - Other Index Options'!$B:$B,C$4,'NSE - Other Index Options'!$I:$I,"Weekly*")+SUMIFS('NSE - Other Index Options'!$M:$M,'NSE - Other Index Options'!$C:$C,$A83,'NSE - Other Index Options'!$B:$B,C$4,'NSE - Other Index Options'!$I:$I,"MDAW*")+SUMIFS('BSE - SENSEX Index Options'!$M:$M,'BSE - SENSEX Index Options'!$C:$C,$A83,'BSE - SENSEX Index Options'!$B:$B,C$4,'BSE - SENSEX Index Options'!$I:$I,"Weekly*")+SUMIFS('BSE - SENSEX Index Options'!$M:$M,'BSE - SENSEX Index Options'!$C:$C,$A83,'BSE - SENSEX Index Options'!$B:$B,C$4,'BSE - SENSEX Index Options'!$I:$I,"MDAW*")+SUMIFS('BSE - Other Index Options'!$M:$M,'BSE - Other Index Options'!$C:$C,$A83,'BSE - Other Index Options'!$B:$B,C$4,'BSE - Other Index Options'!$I:$I,"Weekly*")+SUMIFS('BSE - Other Index Options'!$M:$M,'BSE - Other Index Options'!$C:$C,$A83,'BSE - Other Index Options'!$B:$B,C$4,'BSE - Other Index Options'!$I:$I,"MDAW*")=0,"",SUMIFS('NSE - NIFTY Index Options'!$M:$M,'NSE - NIFTY Index Options'!$C:$C,$A83,'NSE - NIFTY Index Options'!$B:$B,C$4,'NSE - NIFTY Index Options'!$I:$I,"Weekly*")+SUMIFS('NSE - NIFTY Index Options'!$M:$M,'NSE - NIFTY Index Options'!$C:$C,$A83,'NSE - NIFTY Index Options'!$B:$B,C$4,'NSE - NIFTY Index Options'!$I:$I,"MDAW*")+SUMIFS('NSE - Other Index Options'!$M:$M,'NSE - Other Index Options'!$C:$C,$A83,'NSE - Other Index Options'!$B:$B,C$4,'NSE - Other Index Options'!$I:$I,"Weekly*")+SUMIFS('NSE - Other Index Options'!$M:$M,'NSE - Other Index Options'!$C:$C,$A83,'NSE - Other Index Options'!$B:$B,C$4,'NSE - Other Index Options'!$I:$I,"MDAW*")+SUMIFS('BSE - SENSEX Index Options'!$M:$M,'BSE - SENSEX Index Options'!$C:$C,$A83,'BSE - SENSEX Index Options'!$B:$B,C$4,'BSE - SENSEX Index Options'!$I:$I,"Weekly*")+SUMIFS('BSE - SENSEX Index Options'!$M:$M,'BSE - SENSEX Index Options'!$C:$C,$A83,'BSE - SENSEX Index Options'!$B:$B,C$4,'BSE - SENSEX Index Options'!$I:$I,"MDAW*")+SUMIFS('BSE - Other Index Options'!$M:$M,'BSE - Other Index Options'!$C:$C,$A83,'BSE - Other Index Options'!$B:$B,C$4,'BSE - Other Index Options'!$I:$I,"Weekly*")+SUMIFS('BSE - Other Index Options'!$M:$M,'BSE - Other Index Options'!$C:$C,$A83,'BSE - Other Index Options'!$B:$B,C$4,'BSE - Other Index Options'!$I:$I,"MDAW*"))</f>
        <v/>
      </c>
      <c r="D83" s="26">
        <f>IF(SUMIFS('NSE - NIFTY Index Options'!$M:$M,'NSE - NIFTY Index Options'!$C:$C,$A83,'NSE - NIFTY Index Options'!$B:$B,D$4,'NSE - NIFTY Index Options'!$I:$I,"Weekly*")+SUMIFS('NSE - NIFTY Index Options'!$M:$M,'NSE - NIFTY Index Options'!$C:$C,$A83,'NSE - NIFTY Index Options'!$B:$B,D$4,'NSE - NIFTY Index Options'!$I:$I,"MDAW*")+SUMIFS('NSE - Other Index Options'!$M:$M,'NSE - Other Index Options'!$C:$C,$A83,'NSE - Other Index Options'!$B:$B,D$4,'NSE - Other Index Options'!$I:$I,"Weekly*")+SUMIFS('NSE - Other Index Options'!$M:$M,'NSE - Other Index Options'!$C:$C,$A83,'NSE - Other Index Options'!$B:$B,D$4,'NSE - Other Index Options'!$I:$I,"MDAW*")+SUMIFS('BSE - SENSEX Index Options'!$M:$M,'BSE - SENSEX Index Options'!$C:$C,$A83,'BSE - SENSEX Index Options'!$B:$B,D$4,'BSE - SENSEX Index Options'!$I:$I,"Weekly*")+SUMIFS('BSE - SENSEX Index Options'!$M:$M,'BSE - SENSEX Index Options'!$C:$C,$A83,'BSE - SENSEX Index Options'!$B:$B,D$4,'BSE - SENSEX Index Options'!$I:$I,"MDAW*")+SUMIFS('BSE - Other Index Options'!$M:$M,'BSE - Other Index Options'!$C:$C,$A83,'BSE - Other Index Options'!$B:$B,D$4,'BSE - Other Index Options'!$I:$I,"Weekly*")+SUMIFS('BSE - Other Index Options'!$M:$M,'BSE - Other Index Options'!$C:$C,$A83,'BSE - Other Index Options'!$B:$B,D$4,'BSE - Other Index Options'!$I:$I,"MDAW*")=0,"",SUMIFS('NSE - NIFTY Index Options'!$M:$M,'NSE - NIFTY Index Options'!$C:$C,$A83,'NSE - NIFTY Index Options'!$B:$B,D$4,'NSE - NIFTY Index Options'!$I:$I,"Weekly*")+SUMIFS('NSE - NIFTY Index Options'!$M:$M,'NSE - NIFTY Index Options'!$C:$C,$A83,'NSE - NIFTY Index Options'!$B:$B,D$4,'NSE - NIFTY Index Options'!$I:$I,"MDAW*")+SUMIFS('NSE - Other Index Options'!$M:$M,'NSE - Other Index Options'!$C:$C,$A83,'NSE - Other Index Options'!$B:$B,D$4,'NSE - Other Index Options'!$I:$I,"Weekly*")+SUMIFS('NSE - Other Index Options'!$M:$M,'NSE - Other Index Options'!$C:$C,$A83,'NSE - Other Index Options'!$B:$B,D$4,'NSE - Other Index Options'!$I:$I,"MDAW*")+SUMIFS('BSE - SENSEX Index Options'!$M:$M,'BSE - SENSEX Index Options'!$C:$C,$A83,'BSE - SENSEX Index Options'!$B:$B,D$4,'BSE - SENSEX Index Options'!$I:$I,"Weekly*")+SUMIFS('BSE - SENSEX Index Options'!$M:$M,'BSE - SENSEX Index Options'!$C:$C,$A83,'BSE - SENSEX Index Options'!$B:$B,D$4,'BSE - SENSEX Index Options'!$I:$I,"MDAW*")+SUMIFS('BSE - Other Index Options'!$M:$M,'BSE - Other Index Options'!$C:$C,$A83,'BSE - Other Index Options'!$B:$B,D$4,'BSE - Other Index Options'!$I:$I,"Weekly*")+SUMIFS('BSE - Other Index Options'!$M:$M,'BSE - Other Index Options'!$C:$C,$A83,'BSE - Other Index Options'!$B:$B,D$4,'BSE - Other Index Options'!$I:$I,"MDAW*"))</f>
        <v/>
      </c>
      <c r="E83" s="26">
        <f>IF(SUMIFS('NSE - NIFTY Index Options'!$M:$M,'NSE - NIFTY Index Options'!$C:$C,$A83,'NSE - NIFTY Index Options'!$B:$B,E$4,'NSE - NIFTY Index Options'!$I:$I,"Weekly*")+SUMIFS('NSE - NIFTY Index Options'!$M:$M,'NSE - NIFTY Index Options'!$C:$C,$A83,'NSE - NIFTY Index Options'!$B:$B,E$4,'NSE - NIFTY Index Options'!$I:$I,"MDAW*")+SUMIFS('NSE - Other Index Options'!$M:$M,'NSE - Other Index Options'!$C:$C,$A83,'NSE - Other Index Options'!$B:$B,E$4,'NSE - Other Index Options'!$I:$I,"Weekly*")+SUMIFS('NSE - Other Index Options'!$M:$M,'NSE - Other Index Options'!$C:$C,$A83,'NSE - Other Index Options'!$B:$B,E$4,'NSE - Other Index Options'!$I:$I,"MDAW*")+SUMIFS('BSE - SENSEX Index Options'!$M:$M,'BSE - SENSEX Index Options'!$C:$C,$A83,'BSE - SENSEX Index Options'!$B:$B,E$4,'BSE - SENSEX Index Options'!$I:$I,"Weekly*")+SUMIFS('BSE - SENSEX Index Options'!$M:$M,'BSE - SENSEX Index Options'!$C:$C,$A83,'BSE - SENSEX Index Options'!$B:$B,E$4,'BSE - SENSEX Index Options'!$I:$I,"MDAW*")+SUMIFS('BSE - Other Index Options'!$M:$M,'BSE - Other Index Options'!$C:$C,$A83,'BSE - Other Index Options'!$B:$B,E$4,'BSE - Other Index Options'!$I:$I,"Weekly*")+SUMIFS('BSE - Other Index Options'!$M:$M,'BSE - Other Index Options'!$C:$C,$A83,'BSE - Other Index Options'!$B:$B,E$4,'BSE - Other Index Options'!$I:$I,"MDAW*")=0,"",SUMIFS('NSE - NIFTY Index Options'!$M:$M,'NSE - NIFTY Index Options'!$C:$C,$A83,'NSE - NIFTY Index Options'!$B:$B,E$4,'NSE - NIFTY Index Options'!$I:$I,"Weekly*")+SUMIFS('NSE - NIFTY Index Options'!$M:$M,'NSE - NIFTY Index Options'!$C:$C,$A83,'NSE - NIFTY Index Options'!$B:$B,E$4,'NSE - NIFTY Index Options'!$I:$I,"MDAW*")+SUMIFS('NSE - Other Index Options'!$M:$M,'NSE - Other Index Options'!$C:$C,$A83,'NSE - Other Index Options'!$B:$B,E$4,'NSE - Other Index Options'!$I:$I,"Weekly*")+SUMIFS('NSE - Other Index Options'!$M:$M,'NSE - Other Index Options'!$C:$C,$A83,'NSE - Other Index Options'!$B:$B,E$4,'NSE - Other Index Options'!$I:$I,"MDAW*")+SUMIFS('BSE - SENSEX Index Options'!$M:$M,'BSE - SENSEX Index Options'!$C:$C,$A83,'BSE - SENSEX Index Options'!$B:$B,E$4,'BSE - SENSEX Index Options'!$I:$I,"Weekly*")+SUMIFS('BSE - SENSEX Index Options'!$M:$M,'BSE - SENSEX Index Options'!$C:$C,$A83,'BSE - SENSEX Index Options'!$B:$B,E$4,'BSE - SENSEX Index Options'!$I:$I,"MDAW*")+SUMIFS('BSE - Other Index Options'!$M:$M,'BSE - Other Index Options'!$C:$C,$A83,'BSE - Other Index Options'!$B:$B,E$4,'BSE - Other Index Options'!$I:$I,"Weekly*")+SUMIFS('BSE - Other Index Options'!$M:$M,'BSE - Other Index Options'!$C:$C,$A83,'BSE - Other Index Options'!$B:$B,E$4,'BSE - Other Index Options'!$I:$I,"MDAW*"))</f>
        <v/>
      </c>
      <c r="F83" s="26">
        <f>IF(SUMIFS('NSE - NIFTY Index Options'!$M:$M,'NSE - NIFTY Index Options'!$C:$C,$A83,'NSE - NIFTY Index Options'!$B:$B,F$4,'NSE - NIFTY Index Options'!$I:$I,"Weekly*")+SUMIFS('NSE - NIFTY Index Options'!$M:$M,'NSE - NIFTY Index Options'!$C:$C,$A83,'NSE - NIFTY Index Options'!$B:$B,F$4,'NSE - NIFTY Index Options'!$I:$I,"MDAW*")+SUMIFS('NSE - Other Index Options'!$M:$M,'NSE - Other Index Options'!$C:$C,$A83,'NSE - Other Index Options'!$B:$B,F$4,'NSE - Other Index Options'!$I:$I,"Weekly*")+SUMIFS('NSE - Other Index Options'!$M:$M,'NSE - Other Index Options'!$C:$C,$A83,'NSE - Other Index Options'!$B:$B,F$4,'NSE - Other Index Options'!$I:$I,"MDAW*")+SUMIFS('BSE - SENSEX Index Options'!$M:$M,'BSE - SENSEX Index Options'!$C:$C,$A83,'BSE - SENSEX Index Options'!$B:$B,F$4,'BSE - SENSEX Index Options'!$I:$I,"Weekly*")+SUMIFS('BSE - SENSEX Index Options'!$M:$M,'BSE - SENSEX Index Options'!$C:$C,$A83,'BSE - SENSEX Index Options'!$B:$B,F$4,'BSE - SENSEX Index Options'!$I:$I,"MDAW*")+SUMIFS('BSE - Other Index Options'!$M:$M,'BSE - Other Index Options'!$C:$C,$A83,'BSE - Other Index Options'!$B:$B,F$4,'BSE - Other Index Options'!$I:$I,"Weekly*")+SUMIFS('BSE - Other Index Options'!$M:$M,'BSE - Other Index Options'!$C:$C,$A83,'BSE - Other Index Options'!$B:$B,F$4,'BSE - Other Index Options'!$I:$I,"MDAW*")=0,"",SUMIFS('NSE - NIFTY Index Options'!$M:$M,'NSE - NIFTY Index Options'!$C:$C,$A83,'NSE - NIFTY Index Options'!$B:$B,F$4,'NSE - NIFTY Index Options'!$I:$I,"Weekly*")+SUMIFS('NSE - NIFTY Index Options'!$M:$M,'NSE - NIFTY Index Options'!$C:$C,$A83,'NSE - NIFTY Index Options'!$B:$B,F$4,'NSE - NIFTY Index Options'!$I:$I,"MDAW*")+SUMIFS('NSE - Other Index Options'!$M:$M,'NSE - Other Index Options'!$C:$C,$A83,'NSE - Other Index Options'!$B:$B,F$4,'NSE - Other Index Options'!$I:$I,"Weekly*")+SUMIFS('NSE - Other Index Options'!$M:$M,'NSE - Other Index Options'!$C:$C,$A83,'NSE - Other Index Options'!$B:$B,F$4,'NSE - Other Index Options'!$I:$I,"MDAW*")+SUMIFS('BSE - SENSEX Index Options'!$M:$M,'BSE - SENSEX Index Options'!$C:$C,$A83,'BSE - SENSEX Index Options'!$B:$B,F$4,'BSE - SENSEX Index Options'!$I:$I,"Weekly*")+SUMIFS('BSE - SENSEX Index Options'!$M:$M,'BSE - SENSEX Index Options'!$C:$C,$A83,'BSE - SENSEX Index Options'!$B:$B,F$4,'BSE - SENSEX Index Options'!$I:$I,"MDAW*")+SUMIFS('BSE - Other Index Options'!$M:$M,'BSE - Other Index Options'!$C:$C,$A83,'BSE - Other Index Options'!$B:$B,F$4,'BSE - Other Index Options'!$I:$I,"Weekly*")+SUMIFS('BSE - Other Index Options'!$M:$M,'BSE - Other Index Options'!$C:$C,$A83,'BSE - Other Index Options'!$B:$B,F$4,'BSE - Other Index Options'!$I:$I,"MDAW*"))</f>
        <v/>
      </c>
      <c r="G83" s="26">
        <f>IF(SUMIFS('NSE - NIFTY Index Options'!$M:$M,'NSE - NIFTY Index Options'!$C:$C,$A83,'NSE - NIFTY Index Options'!$B:$B,G$4,'NSE - NIFTY Index Options'!$I:$I,"Weekly*")+SUMIFS('NSE - NIFTY Index Options'!$M:$M,'NSE - NIFTY Index Options'!$C:$C,$A83,'NSE - NIFTY Index Options'!$B:$B,G$4,'NSE - NIFTY Index Options'!$I:$I,"MDAW*")+SUMIFS('NSE - Other Index Options'!$M:$M,'NSE - Other Index Options'!$C:$C,$A83,'NSE - Other Index Options'!$B:$B,G$4,'NSE - Other Index Options'!$I:$I,"Weekly*")+SUMIFS('NSE - Other Index Options'!$M:$M,'NSE - Other Index Options'!$C:$C,$A83,'NSE - Other Index Options'!$B:$B,G$4,'NSE - Other Index Options'!$I:$I,"MDAW*")+SUMIFS('BSE - SENSEX Index Options'!$M:$M,'BSE - SENSEX Index Options'!$C:$C,$A83,'BSE - SENSEX Index Options'!$B:$B,G$4,'BSE - SENSEX Index Options'!$I:$I,"Weekly*")+SUMIFS('BSE - SENSEX Index Options'!$M:$M,'BSE - SENSEX Index Options'!$C:$C,$A83,'BSE - SENSEX Index Options'!$B:$B,G$4,'BSE - SENSEX Index Options'!$I:$I,"MDAW*")+SUMIFS('BSE - Other Index Options'!$M:$M,'BSE - Other Index Options'!$C:$C,$A83,'BSE - Other Index Options'!$B:$B,G$4,'BSE - Other Index Options'!$I:$I,"Weekly*")+SUMIFS('BSE - Other Index Options'!$M:$M,'BSE - Other Index Options'!$C:$C,$A83,'BSE - Other Index Options'!$B:$B,G$4,'BSE - Other Index Options'!$I:$I,"MDAW*")=0,"",SUMIFS('NSE - NIFTY Index Options'!$M:$M,'NSE - NIFTY Index Options'!$C:$C,$A83,'NSE - NIFTY Index Options'!$B:$B,G$4,'NSE - NIFTY Index Options'!$I:$I,"Weekly*")+SUMIFS('NSE - NIFTY Index Options'!$M:$M,'NSE - NIFTY Index Options'!$C:$C,$A83,'NSE - NIFTY Index Options'!$B:$B,G$4,'NSE - NIFTY Index Options'!$I:$I,"MDAW*")+SUMIFS('NSE - Other Index Options'!$M:$M,'NSE - Other Index Options'!$C:$C,$A83,'NSE - Other Index Options'!$B:$B,G$4,'NSE - Other Index Options'!$I:$I,"Weekly*")+SUMIFS('NSE - Other Index Options'!$M:$M,'NSE - Other Index Options'!$C:$C,$A83,'NSE - Other Index Options'!$B:$B,G$4,'NSE - Other Index Options'!$I:$I,"MDAW*")+SUMIFS('BSE - SENSEX Index Options'!$M:$M,'BSE - SENSEX Index Options'!$C:$C,$A83,'BSE - SENSEX Index Options'!$B:$B,G$4,'BSE - SENSEX Index Options'!$I:$I,"Weekly*")+SUMIFS('BSE - SENSEX Index Options'!$M:$M,'BSE - SENSEX Index Options'!$C:$C,$A83,'BSE - SENSEX Index Options'!$B:$B,G$4,'BSE - SENSEX Index Options'!$I:$I,"MDAW*")+SUMIFS('BSE - Other Index Options'!$M:$M,'BSE - Other Index Options'!$C:$C,$A83,'BSE - Other Index Options'!$B:$B,G$4,'BSE - Other Index Options'!$I:$I,"Weekly*")+SUMIFS('BSE - Other Index Options'!$M:$M,'BSE - Other Index Options'!$C:$C,$A83,'BSE - Other Index Options'!$B:$B,G$4,'BSE - Other Index Options'!$I:$I,"MDAW*"))</f>
        <v/>
      </c>
      <c r="H83" s="26">
        <f>IF(SUM(B83:G83)=0,"",SUM(B83:G83))</f>
        <v/>
      </c>
    </row>
    <row r="84" hidden="1" outlineLevel="1">
      <c r="A84" t="inlineStr">
        <is>
          <t>Week1-Jan-2027</t>
        </is>
      </c>
      <c r="B84" s="26">
        <f>IF(SUMIFS('NSE - NIFTY Index Options'!$M:$M,'NSE - NIFTY Index Options'!$C:$C,$A84,'NSE - NIFTY Index Options'!$B:$B,B$4,'NSE - NIFTY Index Options'!$I:$I,"Weekly*")+SUMIFS('NSE - NIFTY Index Options'!$M:$M,'NSE - NIFTY Index Options'!$C:$C,$A84,'NSE - NIFTY Index Options'!$B:$B,B$4,'NSE - NIFTY Index Options'!$I:$I,"MDAW*")+SUMIFS('NSE - Other Index Options'!$M:$M,'NSE - Other Index Options'!$C:$C,$A84,'NSE - Other Index Options'!$B:$B,B$4,'NSE - Other Index Options'!$I:$I,"Weekly*")+SUMIFS('NSE - Other Index Options'!$M:$M,'NSE - Other Index Options'!$C:$C,$A84,'NSE - Other Index Options'!$B:$B,B$4,'NSE - Other Index Options'!$I:$I,"MDAW*")+SUMIFS('BSE - SENSEX Index Options'!$M:$M,'BSE - SENSEX Index Options'!$C:$C,$A84,'BSE - SENSEX Index Options'!$B:$B,B$4,'BSE - SENSEX Index Options'!$I:$I,"Weekly*")+SUMIFS('BSE - SENSEX Index Options'!$M:$M,'BSE - SENSEX Index Options'!$C:$C,$A84,'BSE - SENSEX Index Options'!$B:$B,B$4,'BSE - SENSEX Index Options'!$I:$I,"MDAW*")+SUMIFS('BSE - Other Index Options'!$M:$M,'BSE - Other Index Options'!$C:$C,$A84,'BSE - Other Index Options'!$B:$B,B$4,'BSE - Other Index Options'!$I:$I,"Weekly*")+SUMIFS('BSE - Other Index Options'!$M:$M,'BSE - Other Index Options'!$C:$C,$A84,'BSE - Other Index Options'!$B:$B,B$4,'BSE - Other Index Options'!$I:$I,"MDAW*")=0,"",SUMIFS('NSE - NIFTY Index Options'!$M:$M,'NSE - NIFTY Index Options'!$C:$C,$A84,'NSE - NIFTY Index Options'!$B:$B,B$4,'NSE - NIFTY Index Options'!$I:$I,"Weekly*")+SUMIFS('NSE - NIFTY Index Options'!$M:$M,'NSE - NIFTY Index Options'!$C:$C,$A84,'NSE - NIFTY Index Options'!$B:$B,B$4,'NSE - NIFTY Index Options'!$I:$I,"MDAW*")+SUMIFS('NSE - Other Index Options'!$M:$M,'NSE - Other Index Options'!$C:$C,$A84,'NSE - Other Index Options'!$B:$B,B$4,'NSE - Other Index Options'!$I:$I,"Weekly*")+SUMIFS('NSE - Other Index Options'!$M:$M,'NSE - Other Index Options'!$C:$C,$A84,'NSE - Other Index Options'!$B:$B,B$4,'NSE - Other Index Options'!$I:$I,"MDAW*")+SUMIFS('BSE - SENSEX Index Options'!$M:$M,'BSE - SENSEX Index Options'!$C:$C,$A84,'BSE - SENSEX Index Options'!$B:$B,B$4,'BSE - SENSEX Index Options'!$I:$I,"Weekly*")+SUMIFS('BSE - SENSEX Index Options'!$M:$M,'BSE - SENSEX Index Options'!$C:$C,$A84,'BSE - SENSEX Index Options'!$B:$B,B$4,'BSE - SENSEX Index Options'!$I:$I,"MDAW*")+SUMIFS('BSE - Other Index Options'!$M:$M,'BSE - Other Index Options'!$C:$C,$A84,'BSE - Other Index Options'!$B:$B,B$4,'BSE - Other Index Options'!$I:$I,"Weekly*")+SUMIFS('BSE - Other Index Options'!$M:$M,'BSE - Other Index Options'!$C:$C,$A84,'BSE - Other Index Options'!$B:$B,B$4,'BSE - Other Index Options'!$I:$I,"MDAW*"))</f>
        <v/>
      </c>
      <c r="C84" s="26">
        <f>IF(SUMIFS('NSE - NIFTY Index Options'!$M:$M,'NSE - NIFTY Index Options'!$C:$C,$A84,'NSE - NIFTY Index Options'!$B:$B,C$4,'NSE - NIFTY Index Options'!$I:$I,"Weekly*")+SUMIFS('NSE - NIFTY Index Options'!$M:$M,'NSE - NIFTY Index Options'!$C:$C,$A84,'NSE - NIFTY Index Options'!$B:$B,C$4,'NSE - NIFTY Index Options'!$I:$I,"MDAW*")+SUMIFS('NSE - Other Index Options'!$M:$M,'NSE - Other Index Options'!$C:$C,$A84,'NSE - Other Index Options'!$B:$B,C$4,'NSE - Other Index Options'!$I:$I,"Weekly*")+SUMIFS('NSE - Other Index Options'!$M:$M,'NSE - Other Index Options'!$C:$C,$A84,'NSE - Other Index Options'!$B:$B,C$4,'NSE - Other Index Options'!$I:$I,"MDAW*")+SUMIFS('BSE - SENSEX Index Options'!$M:$M,'BSE - SENSEX Index Options'!$C:$C,$A84,'BSE - SENSEX Index Options'!$B:$B,C$4,'BSE - SENSEX Index Options'!$I:$I,"Weekly*")+SUMIFS('BSE - SENSEX Index Options'!$M:$M,'BSE - SENSEX Index Options'!$C:$C,$A84,'BSE - SENSEX Index Options'!$B:$B,C$4,'BSE - SENSEX Index Options'!$I:$I,"MDAW*")+SUMIFS('BSE - Other Index Options'!$M:$M,'BSE - Other Index Options'!$C:$C,$A84,'BSE - Other Index Options'!$B:$B,C$4,'BSE - Other Index Options'!$I:$I,"Weekly*")+SUMIFS('BSE - Other Index Options'!$M:$M,'BSE - Other Index Options'!$C:$C,$A84,'BSE - Other Index Options'!$B:$B,C$4,'BSE - Other Index Options'!$I:$I,"MDAW*")=0,"",SUMIFS('NSE - NIFTY Index Options'!$M:$M,'NSE - NIFTY Index Options'!$C:$C,$A84,'NSE - NIFTY Index Options'!$B:$B,C$4,'NSE - NIFTY Index Options'!$I:$I,"Weekly*")+SUMIFS('NSE - NIFTY Index Options'!$M:$M,'NSE - NIFTY Index Options'!$C:$C,$A84,'NSE - NIFTY Index Options'!$B:$B,C$4,'NSE - NIFTY Index Options'!$I:$I,"MDAW*")+SUMIFS('NSE - Other Index Options'!$M:$M,'NSE - Other Index Options'!$C:$C,$A84,'NSE - Other Index Options'!$B:$B,C$4,'NSE - Other Index Options'!$I:$I,"Weekly*")+SUMIFS('NSE - Other Index Options'!$M:$M,'NSE - Other Index Options'!$C:$C,$A84,'NSE - Other Index Options'!$B:$B,C$4,'NSE - Other Index Options'!$I:$I,"MDAW*")+SUMIFS('BSE - SENSEX Index Options'!$M:$M,'BSE - SENSEX Index Options'!$C:$C,$A84,'BSE - SENSEX Index Options'!$B:$B,C$4,'BSE - SENSEX Index Options'!$I:$I,"Weekly*")+SUMIFS('BSE - SENSEX Index Options'!$M:$M,'BSE - SENSEX Index Options'!$C:$C,$A84,'BSE - SENSEX Index Options'!$B:$B,C$4,'BSE - SENSEX Index Options'!$I:$I,"MDAW*")+SUMIFS('BSE - Other Index Options'!$M:$M,'BSE - Other Index Options'!$C:$C,$A84,'BSE - Other Index Options'!$B:$B,C$4,'BSE - Other Index Options'!$I:$I,"Weekly*")+SUMIFS('BSE - Other Index Options'!$M:$M,'BSE - Other Index Options'!$C:$C,$A84,'BSE - Other Index Options'!$B:$B,C$4,'BSE - Other Index Options'!$I:$I,"MDAW*"))</f>
        <v/>
      </c>
      <c r="D84" s="26">
        <f>IF(SUMIFS('NSE - NIFTY Index Options'!$M:$M,'NSE - NIFTY Index Options'!$C:$C,$A84,'NSE - NIFTY Index Options'!$B:$B,D$4,'NSE - NIFTY Index Options'!$I:$I,"Weekly*")+SUMIFS('NSE - NIFTY Index Options'!$M:$M,'NSE - NIFTY Index Options'!$C:$C,$A84,'NSE - NIFTY Index Options'!$B:$B,D$4,'NSE - NIFTY Index Options'!$I:$I,"MDAW*")+SUMIFS('NSE - Other Index Options'!$M:$M,'NSE - Other Index Options'!$C:$C,$A84,'NSE - Other Index Options'!$B:$B,D$4,'NSE - Other Index Options'!$I:$I,"Weekly*")+SUMIFS('NSE - Other Index Options'!$M:$M,'NSE - Other Index Options'!$C:$C,$A84,'NSE - Other Index Options'!$B:$B,D$4,'NSE - Other Index Options'!$I:$I,"MDAW*")+SUMIFS('BSE - SENSEX Index Options'!$M:$M,'BSE - SENSEX Index Options'!$C:$C,$A84,'BSE - SENSEX Index Options'!$B:$B,D$4,'BSE - SENSEX Index Options'!$I:$I,"Weekly*")+SUMIFS('BSE - SENSEX Index Options'!$M:$M,'BSE - SENSEX Index Options'!$C:$C,$A84,'BSE - SENSEX Index Options'!$B:$B,D$4,'BSE - SENSEX Index Options'!$I:$I,"MDAW*")+SUMIFS('BSE - Other Index Options'!$M:$M,'BSE - Other Index Options'!$C:$C,$A84,'BSE - Other Index Options'!$B:$B,D$4,'BSE - Other Index Options'!$I:$I,"Weekly*")+SUMIFS('BSE - Other Index Options'!$M:$M,'BSE - Other Index Options'!$C:$C,$A84,'BSE - Other Index Options'!$B:$B,D$4,'BSE - Other Index Options'!$I:$I,"MDAW*")=0,"",SUMIFS('NSE - NIFTY Index Options'!$M:$M,'NSE - NIFTY Index Options'!$C:$C,$A84,'NSE - NIFTY Index Options'!$B:$B,D$4,'NSE - NIFTY Index Options'!$I:$I,"Weekly*")+SUMIFS('NSE - NIFTY Index Options'!$M:$M,'NSE - NIFTY Index Options'!$C:$C,$A84,'NSE - NIFTY Index Options'!$B:$B,D$4,'NSE - NIFTY Index Options'!$I:$I,"MDAW*")+SUMIFS('NSE - Other Index Options'!$M:$M,'NSE - Other Index Options'!$C:$C,$A84,'NSE - Other Index Options'!$B:$B,D$4,'NSE - Other Index Options'!$I:$I,"Weekly*")+SUMIFS('NSE - Other Index Options'!$M:$M,'NSE - Other Index Options'!$C:$C,$A84,'NSE - Other Index Options'!$B:$B,D$4,'NSE - Other Index Options'!$I:$I,"MDAW*")+SUMIFS('BSE - SENSEX Index Options'!$M:$M,'BSE - SENSEX Index Options'!$C:$C,$A84,'BSE - SENSEX Index Options'!$B:$B,D$4,'BSE - SENSEX Index Options'!$I:$I,"Weekly*")+SUMIFS('BSE - SENSEX Index Options'!$M:$M,'BSE - SENSEX Index Options'!$C:$C,$A84,'BSE - SENSEX Index Options'!$B:$B,D$4,'BSE - SENSEX Index Options'!$I:$I,"MDAW*")+SUMIFS('BSE - Other Index Options'!$M:$M,'BSE - Other Index Options'!$C:$C,$A84,'BSE - Other Index Options'!$B:$B,D$4,'BSE - Other Index Options'!$I:$I,"Weekly*")+SUMIFS('BSE - Other Index Options'!$M:$M,'BSE - Other Index Options'!$C:$C,$A84,'BSE - Other Index Options'!$B:$B,D$4,'BSE - Other Index Options'!$I:$I,"MDAW*"))</f>
        <v/>
      </c>
      <c r="E84" s="26">
        <f>IF(SUMIFS('NSE - NIFTY Index Options'!$M:$M,'NSE - NIFTY Index Options'!$C:$C,$A84,'NSE - NIFTY Index Options'!$B:$B,E$4,'NSE - NIFTY Index Options'!$I:$I,"Weekly*")+SUMIFS('NSE - NIFTY Index Options'!$M:$M,'NSE - NIFTY Index Options'!$C:$C,$A84,'NSE - NIFTY Index Options'!$B:$B,E$4,'NSE - NIFTY Index Options'!$I:$I,"MDAW*")+SUMIFS('NSE - Other Index Options'!$M:$M,'NSE - Other Index Options'!$C:$C,$A84,'NSE - Other Index Options'!$B:$B,E$4,'NSE - Other Index Options'!$I:$I,"Weekly*")+SUMIFS('NSE - Other Index Options'!$M:$M,'NSE - Other Index Options'!$C:$C,$A84,'NSE - Other Index Options'!$B:$B,E$4,'NSE - Other Index Options'!$I:$I,"MDAW*")+SUMIFS('BSE - SENSEX Index Options'!$M:$M,'BSE - SENSEX Index Options'!$C:$C,$A84,'BSE - SENSEX Index Options'!$B:$B,E$4,'BSE - SENSEX Index Options'!$I:$I,"Weekly*")+SUMIFS('BSE - SENSEX Index Options'!$M:$M,'BSE - SENSEX Index Options'!$C:$C,$A84,'BSE - SENSEX Index Options'!$B:$B,E$4,'BSE - SENSEX Index Options'!$I:$I,"MDAW*")+SUMIFS('BSE - Other Index Options'!$M:$M,'BSE - Other Index Options'!$C:$C,$A84,'BSE - Other Index Options'!$B:$B,E$4,'BSE - Other Index Options'!$I:$I,"Weekly*")+SUMIFS('BSE - Other Index Options'!$M:$M,'BSE - Other Index Options'!$C:$C,$A84,'BSE - Other Index Options'!$B:$B,E$4,'BSE - Other Index Options'!$I:$I,"MDAW*")=0,"",SUMIFS('NSE - NIFTY Index Options'!$M:$M,'NSE - NIFTY Index Options'!$C:$C,$A84,'NSE - NIFTY Index Options'!$B:$B,E$4,'NSE - NIFTY Index Options'!$I:$I,"Weekly*")+SUMIFS('NSE - NIFTY Index Options'!$M:$M,'NSE - NIFTY Index Options'!$C:$C,$A84,'NSE - NIFTY Index Options'!$B:$B,E$4,'NSE - NIFTY Index Options'!$I:$I,"MDAW*")+SUMIFS('NSE - Other Index Options'!$M:$M,'NSE - Other Index Options'!$C:$C,$A84,'NSE - Other Index Options'!$B:$B,E$4,'NSE - Other Index Options'!$I:$I,"Weekly*")+SUMIFS('NSE - Other Index Options'!$M:$M,'NSE - Other Index Options'!$C:$C,$A84,'NSE - Other Index Options'!$B:$B,E$4,'NSE - Other Index Options'!$I:$I,"MDAW*")+SUMIFS('BSE - SENSEX Index Options'!$M:$M,'BSE - SENSEX Index Options'!$C:$C,$A84,'BSE - SENSEX Index Options'!$B:$B,E$4,'BSE - SENSEX Index Options'!$I:$I,"Weekly*")+SUMIFS('BSE - SENSEX Index Options'!$M:$M,'BSE - SENSEX Index Options'!$C:$C,$A84,'BSE - SENSEX Index Options'!$B:$B,E$4,'BSE - SENSEX Index Options'!$I:$I,"MDAW*")+SUMIFS('BSE - Other Index Options'!$M:$M,'BSE - Other Index Options'!$C:$C,$A84,'BSE - Other Index Options'!$B:$B,E$4,'BSE - Other Index Options'!$I:$I,"Weekly*")+SUMIFS('BSE - Other Index Options'!$M:$M,'BSE - Other Index Options'!$C:$C,$A84,'BSE - Other Index Options'!$B:$B,E$4,'BSE - Other Index Options'!$I:$I,"MDAW*"))</f>
        <v/>
      </c>
      <c r="F84" s="26">
        <f>IF(SUMIFS('NSE - NIFTY Index Options'!$M:$M,'NSE - NIFTY Index Options'!$C:$C,$A84,'NSE - NIFTY Index Options'!$B:$B,F$4,'NSE - NIFTY Index Options'!$I:$I,"Weekly*")+SUMIFS('NSE - NIFTY Index Options'!$M:$M,'NSE - NIFTY Index Options'!$C:$C,$A84,'NSE - NIFTY Index Options'!$B:$B,F$4,'NSE - NIFTY Index Options'!$I:$I,"MDAW*")+SUMIFS('NSE - Other Index Options'!$M:$M,'NSE - Other Index Options'!$C:$C,$A84,'NSE - Other Index Options'!$B:$B,F$4,'NSE - Other Index Options'!$I:$I,"Weekly*")+SUMIFS('NSE - Other Index Options'!$M:$M,'NSE - Other Index Options'!$C:$C,$A84,'NSE - Other Index Options'!$B:$B,F$4,'NSE - Other Index Options'!$I:$I,"MDAW*")+SUMIFS('BSE - SENSEX Index Options'!$M:$M,'BSE - SENSEX Index Options'!$C:$C,$A84,'BSE - SENSEX Index Options'!$B:$B,F$4,'BSE - SENSEX Index Options'!$I:$I,"Weekly*")+SUMIFS('BSE - SENSEX Index Options'!$M:$M,'BSE - SENSEX Index Options'!$C:$C,$A84,'BSE - SENSEX Index Options'!$B:$B,F$4,'BSE - SENSEX Index Options'!$I:$I,"MDAW*")+SUMIFS('BSE - Other Index Options'!$M:$M,'BSE - Other Index Options'!$C:$C,$A84,'BSE - Other Index Options'!$B:$B,F$4,'BSE - Other Index Options'!$I:$I,"Weekly*")+SUMIFS('BSE - Other Index Options'!$M:$M,'BSE - Other Index Options'!$C:$C,$A84,'BSE - Other Index Options'!$B:$B,F$4,'BSE - Other Index Options'!$I:$I,"MDAW*")=0,"",SUMIFS('NSE - NIFTY Index Options'!$M:$M,'NSE - NIFTY Index Options'!$C:$C,$A84,'NSE - NIFTY Index Options'!$B:$B,F$4,'NSE - NIFTY Index Options'!$I:$I,"Weekly*")+SUMIFS('NSE - NIFTY Index Options'!$M:$M,'NSE - NIFTY Index Options'!$C:$C,$A84,'NSE - NIFTY Index Options'!$B:$B,F$4,'NSE - NIFTY Index Options'!$I:$I,"MDAW*")+SUMIFS('NSE - Other Index Options'!$M:$M,'NSE - Other Index Options'!$C:$C,$A84,'NSE - Other Index Options'!$B:$B,F$4,'NSE - Other Index Options'!$I:$I,"Weekly*")+SUMIFS('NSE - Other Index Options'!$M:$M,'NSE - Other Index Options'!$C:$C,$A84,'NSE - Other Index Options'!$B:$B,F$4,'NSE - Other Index Options'!$I:$I,"MDAW*")+SUMIFS('BSE - SENSEX Index Options'!$M:$M,'BSE - SENSEX Index Options'!$C:$C,$A84,'BSE - SENSEX Index Options'!$B:$B,F$4,'BSE - SENSEX Index Options'!$I:$I,"Weekly*")+SUMIFS('BSE - SENSEX Index Options'!$M:$M,'BSE - SENSEX Index Options'!$C:$C,$A84,'BSE - SENSEX Index Options'!$B:$B,F$4,'BSE - SENSEX Index Options'!$I:$I,"MDAW*")+SUMIFS('BSE - Other Index Options'!$M:$M,'BSE - Other Index Options'!$C:$C,$A84,'BSE - Other Index Options'!$B:$B,F$4,'BSE - Other Index Options'!$I:$I,"Weekly*")+SUMIFS('BSE - Other Index Options'!$M:$M,'BSE - Other Index Options'!$C:$C,$A84,'BSE - Other Index Options'!$B:$B,F$4,'BSE - Other Index Options'!$I:$I,"MDAW*"))</f>
        <v/>
      </c>
      <c r="G84" s="26">
        <f>IF(SUMIFS('NSE - NIFTY Index Options'!$M:$M,'NSE - NIFTY Index Options'!$C:$C,$A84,'NSE - NIFTY Index Options'!$B:$B,G$4,'NSE - NIFTY Index Options'!$I:$I,"Weekly*")+SUMIFS('NSE - NIFTY Index Options'!$M:$M,'NSE - NIFTY Index Options'!$C:$C,$A84,'NSE - NIFTY Index Options'!$B:$B,G$4,'NSE - NIFTY Index Options'!$I:$I,"MDAW*")+SUMIFS('NSE - Other Index Options'!$M:$M,'NSE - Other Index Options'!$C:$C,$A84,'NSE - Other Index Options'!$B:$B,G$4,'NSE - Other Index Options'!$I:$I,"Weekly*")+SUMIFS('NSE - Other Index Options'!$M:$M,'NSE - Other Index Options'!$C:$C,$A84,'NSE - Other Index Options'!$B:$B,G$4,'NSE - Other Index Options'!$I:$I,"MDAW*")+SUMIFS('BSE - SENSEX Index Options'!$M:$M,'BSE - SENSEX Index Options'!$C:$C,$A84,'BSE - SENSEX Index Options'!$B:$B,G$4,'BSE - SENSEX Index Options'!$I:$I,"Weekly*")+SUMIFS('BSE - SENSEX Index Options'!$M:$M,'BSE - SENSEX Index Options'!$C:$C,$A84,'BSE - SENSEX Index Options'!$B:$B,G$4,'BSE - SENSEX Index Options'!$I:$I,"MDAW*")+SUMIFS('BSE - Other Index Options'!$M:$M,'BSE - Other Index Options'!$C:$C,$A84,'BSE - Other Index Options'!$B:$B,G$4,'BSE - Other Index Options'!$I:$I,"Weekly*")+SUMIFS('BSE - Other Index Options'!$M:$M,'BSE - Other Index Options'!$C:$C,$A84,'BSE - Other Index Options'!$B:$B,G$4,'BSE - Other Index Options'!$I:$I,"MDAW*")=0,"",SUMIFS('NSE - NIFTY Index Options'!$M:$M,'NSE - NIFTY Index Options'!$C:$C,$A84,'NSE - NIFTY Index Options'!$B:$B,G$4,'NSE - NIFTY Index Options'!$I:$I,"Weekly*")+SUMIFS('NSE - NIFTY Index Options'!$M:$M,'NSE - NIFTY Index Options'!$C:$C,$A84,'NSE - NIFTY Index Options'!$B:$B,G$4,'NSE - NIFTY Index Options'!$I:$I,"MDAW*")+SUMIFS('NSE - Other Index Options'!$M:$M,'NSE - Other Index Options'!$C:$C,$A84,'NSE - Other Index Options'!$B:$B,G$4,'NSE - Other Index Options'!$I:$I,"Weekly*")+SUMIFS('NSE - Other Index Options'!$M:$M,'NSE - Other Index Options'!$C:$C,$A84,'NSE - Other Index Options'!$B:$B,G$4,'NSE - Other Index Options'!$I:$I,"MDAW*")+SUMIFS('BSE - SENSEX Index Options'!$M:$M,'BSE - SENSEX Index Options'!$C:$C,$A84,'BSE - SENSEX Index Options'!$B:$B,G$4,'BSE - SENSEX Index Options'!$I:$I,"Weekly*")+SUMIFS('BSE - SENSEX Index Options'!$M:$M,'BSE - SENSEX Index Options'!$C:$C,$A84,'BSE - SENSEX Index Options'!$B:$B,G$4,'BSE - SENSEX Index Options'!$I:$I,"MDAW*")+SUMIFS('BSE - Other Index Options'!$M:$M,'BSE - Other Index Options'!$C:$C,$A84,'BSE - Other Index Options'!$B:$B,G$4,'BSE - Other Index Options'!$I:$I,"Weekly*")+SUMIFS('BSE - Other Index Options'!$M:$M,'BSE - Other Index Options'!$C:$C,$A84,'BSE - Other Index Options'!$B:$B,G$4,'BSE - Other Index Options'!$I:$I,"MDAW*"))</f>
        <v/>
      </c>
      <c r="H84" s="26">
        <f>IF(SUM(B84:G84)=0,"",SUM(B84:G84))</f>
        <v/>
      </c>
    </row>
    <row r="85" hidden="1" outlineLevel="1">
      <c r="A85" t="inlineStr">
        <is>
          <t>Week2-Jan-2027</t>
        </is>
      </c>
      <c r="B85" s="26">
        <f>IF(SUMIFS('NSE - NIFTY Index Options'!$M:$M,'NSE - NIFTY Index Options'!$C:$C,$A85,'NSE - NIFTY Index Options'!$B:$B,B$4,'NSE - NIFTY Index Options'!$I:$I,"Weekly*")+SUMIFS('NSE - NIFTY Index Options'!$M:$M,'NSE - NIFTY Index Options'!$C:$C,$A85,'NSE - NIFTY Index Options'!$B:$B,B$4,'NSE - NIFTY Index Options'!$I:$I,"MDAW*")+SUMIFS('NSE - Other Index Options'!$M:$M,'NSE - Other Index Options'!$C:$C,$A85,'NSE - Other Index Options'!$B:$B,B$4,'NSE - Other Index Options'!$I:$I,"Weekly*")+SUMIFS('NSE - Other Index Options'!$M:$M,'NSE - Other Index Options'!$C:$C,$A85,'NSE - Other Index Options'!$B:$B,B$4,'NSE - Other Index Options'!$I:$I,"MDAW*")+SUMIFS('BSE - SENSEX Index Options'!$M:$M,'BSE - SENSEX Index Options'!$C:$C,$A85,'BSE - SENSEX Index Options'!$B:$B,B$4,'BSE - SENSEX Index Options'!$I:$I,"Weekly*")+SUMIFS('BSE - SENSEX Index Options'!$M:$M,'BSE - SENSEX Index Options'!$C:$C,$A85,'BSE - SENSEX Index Options'!$B:$B,B$4,'BSE - SENSEX Index Options'!$I:$I,"MDAW*")+SUMIFS('BSE - Other Index Options'!$M:$M,'BSE - Other Index Options'!$C:$C,$A85,'BSE - Other Index Options'!$B:$B,B$4,'BSE - Other Index Options'!$I:$I,"Weekly*")+SUMIFS('BSE - Other Index Options'!$M:$M,'BSE - Other Index Options'!$C:$C,$A85,'BSE - Other Index Options'!$B:$B,B$4,'BSE - Other Index Options'!$I:$I,"MDAW*")=0,"",SUMIFS('NSE - NIFTY Index Options'!$M:$M,'NSE - NIFTY Index Options'!$C:$C,$A85,'NSE - NIFTY Index Options'!$B:$B,B$4,'NSE - NIFTY Index Options'!$I:$I,"Weekly*")+SUMIFS('NSE - NIFTY Index Options'!$M:$M,'NSE - NIFTY Index Options'!$C:$C,$A85,'NSE - NIFTY Index Options'!$B:$B,B$4,'NSE - NIFTY Index Options'!$I:$I,"MDAW*")+SUMIFS('NSE - Other Index Options'!$M:$M,'NSE - Other Index Options'!$C:$C,$A85,'NSE - Other Index Options'!$B:$B,B$4,'NSE - Other Index Options'!$I:$I,"Weekly*")+SUMIFS('NSE - Other Index Options'!$M:$M,'NSE - Other Index Options'!$C:$C,$A85,'NSE - Other Index Options'!$B:$B,B$4,'NSE - Other Index Options'!$I:$I,"MDAW*")+SUMIFS('BSE - SENSEX Index Options'!$M:$M,'BSE - SENSEX Index Options'!$C:$C,$A85,'BSE - SENSEX Index Options'!$B:$B,B$4,'BSE - SENSEX Index Options'!$I:$I,"Weekly*")+SUMIFS('BSE - SENSEX Index Options'!$M:$M,'BSE - SENSEX Index Options'!$C:$C,$A85,'BSE - SENSEX Index Options'!$B:$B,B$4,'BSE - SENSEX Index Options'!$I:$I,"MDAW*")+SUMIFS('BSE - Other Index Options'!$M:$M,'BSE - Other Index Options'!$C:$C,$A85,'BSE - Other Index Options'!$B:$B,B$4,'BSE - Other Index Options'!$I:$I,"Weekly*")+SUMIFS('BSE - Other Index Options'!$M:$M,'BSE - Other Index Options'!$C:$C,$A85,'BSE - Other Index Options'!$B:$B,B$4,'BSE - Other Index Options'!$I:$I,"MDAW*"))</f>
        <v/>
      </c>
      <c r="C85" s="26">
        <f>IF(SUMIFS('NSE - NIFTY Index Options'!$M:$M,'NSE - NIFTY Index Options'!$C:$C,$A85,'NSE - NIFTY Index Options'!$B:$B,C$4,'NSE - NIFTY Index Options'!$I:$I,"Weekly*")+SUMIFS('NSE - NIFTY Index Options'!$M:$M,'NSE - NIFTY Index Options'!$C:$C,$A85,'NSE - NIFTY Index Options'!$B:$B,C$4,'NSE - NIFTY Index Options'!$I:$I,"MDAW*")+SUMIFS('NSE - Other Index Options'!$M:$M,'NSE - Other Index Options'!$C:$C,$A85,'NSE - Other Index Options'!$B:$B,C$4,'NSE - Other Index Options'!$I:$I,"Weekly*")+SUMIFS('NSE - Other Index Options'!$M:$M,'NSE - Other Index Options'!$C:$C,$A85,'NSE - Other Index Options'!$B:$B,C$4,'NSE - Other Index Options'!$I:$I,"MDAW*")+SUMIFS('BSE - SENSEX Index Options'!$M:$M,'BSE - SENSEX Index Options'!$C:$C,$A85,'BSE - SENSEX Index Options'!$B:$B,C$4,'BSE - SENSEX Index Options'!$I:$I,"Weekly*")+SUMIFS('BSE - SENSEX Index Options'!$M:$M,'BSE - SENSEX Index Options'!$C:$C,$A85,'BSE - SENSEX Index Options'!$B:$B,C$4,'BSE - SENSEX Index Options'!$I:$I,"MDAW*")+SUMIFS('BSE - Other Index Options'!$M:$M,'BSE - Other Index Options'!$C:$C,$A85,'BSE - Other Index Options'!$B:$B,C$4,'BSE - Other Index Options'!$I:$I,"Weekly*")+SUMIFS('BSE - Other Index Options'!$M:$M,'BSE - Other Index Options'!$C:$C,$A85,'BSE - Other Index Options'!$B:$B,C$4,'BSE - Other Index Options'!$I:$I,"MDAW*")=0,"",SUMIFS('NSE - NIFTY Index Options'!$M:$M,'NSE - NIFTY Index Options'!$C:$C,$A85,'NSE - NIFTY Index Options'!$B:$B,C$4,'NSE - NIFTY Index Options'!$I:$I,"Weekly*")+SUMIFS('NSE - NIFTY Index Options'!$M:$M,'NSE - NIFTY Index Options'!$C:$C,$A85,'NSE - NIFTY Index Options'!$B:$B,C$4,'NSE - NIFTY Index Options'!$I:$I,"MDAW*")+SUMIFS('NSE - Other Index Options'!$M:$M,'NSE - Other Index Options'!$C:$C,$A85,'NSE - Other Index Options'!$B:$B,C$4,'NSE - Other Index Options'!$I:$I,"Weekly*")+SUMIFS('NSE - Other Index Options'!$M:$M,'NSE - Other Index Options'!$C:$C,$A85,'NSE - Other Index Options'!$B:$B,C$4,'NSE - Other Index Options'!$I:$I,"MDAW*")+SUMIFS('BSE - SENSEX Index Options'!$M:$M,'BSE - SENSEX Index Options'!$C:$C,$A85,'BSE - SENSEX Index Options'!$B:$B,C$4,'BSE - SENSEX Index Options'!$I:$I,"Weekly*")+SUMIFS('BSE - SENSEX Index Options'!$M:$M,'BSE - SENSEX Index Options'!$C:$C,$A85,'BSE - SENSEX Index Options'!$B:$B,C$4,'BSE - SENSEX Index Options'!$I:$I,"MDAW*")+SUMIFS('BSE - Other Index Options'!$M:$M,'BSE - Other Index Options'!$C:$C,$A85,'BSE - Other Index Options'!$B:$B,C$4,'BSE - Other Index Options'!$I:$I,"Weekly*")+SUMIFS('BSE - Other Index Options'!$M:$M,'BSE - Other Index Options'!$C:$C,$A85,'BSE - Other Index Options'!$B:$B,C$4,'BSE - Other Index Options'!$I:$I,"MDAW*"))</f>
        <v/>
      </c>
      <c r="D85" s="26">
        <f>IF(SUMIFS('NSE - NIFTY Index Options'!$M:$M,'NSE - NIFTY Index Options'!$C:$C,$A85,'NSE - NIFTY Index Options'!$B:$B,D$4,'NSE - NIFTY Index Options'!$I:$I,"Weekly*")+SUMIFS('NSE - NIFTY Index Options'!$M:$M,'NSE - NIFTY Index Options'!$C:$C,$A85,'NSE - NIFTY Index Options'!$B:$B,D$4,'NSE - NIFTY Index Options'!$I:$I,"MDAW*")+SUMIFS('NSE - Other Index Options'!$M:$M,'NSE - Other Index Options'!$C:$C,$A85,'NSE - Other Index Options'!$B:$B,D$4,'NSE - Other Index Options'!$I:$I,"Weekly*")+SUMIFS('NSE - Other Index Options'!$M:$M,'NSE - Other Index Options'!$C:$C,$A85,'NSE - Other Index Options'!$B:$B,D$4,'NSE - Other Index Options'!$I:$I,"MDAW*")+SUMIFS('BSE - SENSEX Index Options'!$M:$M,'BSE - SENSEX Index Options'!$C:$C,$A85,'BSE - SENSEX Index Options'!$B:$B,D$4,'BSE - SENSEX Index Options'!$I:$I,"Weekly*")+SUMIFS('BSE - SENSEX Index Options'!$M:$M,'BSE - SENSEX Index Options'!$C:$C,$A85,'BSE - SENSEX Index Options'!$B:$B,D$4,'BSE - SENSEX Index Options'!$I:$I,"MDAW*")+SUMIFS('BSE - Other Index Options'!$M:$M,'BSE - Other Index Options'!$C:$C,$A85,'BSE - Other Index Options'!$B:$B,D$4,'BSE - Other Index Options'!$I:$I,"Weekly*")+SUMIFS('BSE - Other Index Options'!$M:$M,'BSE - Other Index Options'!$C:$C,$A85,'BSE - Other Index Options'!$B:$B,D$4,'BSE - Other Index Options'!$I:$I,"MDAW*")=0,"",SUMIFS('NSE - NIFTY Index Options'!$M:$M,'NSE - NIFTY Index Options'!$C:$C,$A85,'NSE - NIFTY Index Options'!$B:$B,D$4,'NSE - NIFTY Index Options'!$I:$I,"Weekly*")+SUMIFS('NSE - NIFTY Index Options'!$M:$M,'NSE - NIFTY Index Options'!$C:$C,$A85,'NSE - NIFTY Index Options'!$B:$B,D$4,'NSE - NIFTY Index Options'!$I:$I,"MDAW*")+SUMIFS('NSE - Other Index Options'!$M:$M,'NSE - Other Index Options'!$C:$C,$A85,'NSE - Other Index Options'!$B:$B,D$4,'NSE - Other Index Options'!$I:$I,"Weekly*")+SUMIFS('NSE - Other Index Options'!$M:$M,'NSE - Other Index Options'!$C:$C,$A85,'NSE - Other Index Options'!$B:$B,D$4,'NSE - Other Index Options'!$I:$I,"MDAW*")+SUMIFS('BSE - SENSEX Index Options'!$M:$M,'BSE - SENSEX Index Options'!$C:$C,$A85,'BSE - SENSEX Index Options'!$B:$B,D$4,'BSE - SENSEX Index Options'!$I:$I,"Weekly*")+SUMIFS('BSE - SENSEX Index Options'!$M:$M,'BSE - SENSEX Index Options'!$C:$C,$A85,'BSE - SENSEX Index Options'!$B:$B,D$4,'BSE - SENSEX Index Options'!$I:$I,"MDAW*")+SUMIFS('BSE - Other Index Options'!$M:$M,'BSE - Other Index Options'!$C:$C,$A85,'BSE - Other Index Options'!$B:$B,D$4,'BSE - Other Index Options'!$I:$I,"Weekly*")+SUMIFS('BSE - Other Index Options'!$M:$M,'BSE - Other Index Options'!$C:$C,$A85,'BSE - Other Index Options'!$B:$B,D$4,'BSE - Other Index Options'!$I:$I,"MDAW*"))</f>
        <v/>
      </c>
      <c r="E85" s="26">
        <f>IF(SUMIFS('NSE - NIFTY Index Options'!$M:$M,'NSE - NIFTY Index Options'!$C:$C,$A85,'NSE - NIFTY Index Options'!$B:$B,E$4,'NSE - NIFTY Index Options'!$I:$I,"Weekly*")+SUMIFS('NSE - NIFTY Index Options'!$M:$M,'NSE - NIFTY Index Options'!$C:$C,$A85,'NSE - NIFTY Index Options'!$B:$B,E$4,'NSE - NIFTY Index Options'!$I:$I,"MDAW*")+SUMIFS('NSE - Other Index Options'!$M:$M,'NSE - Other Index Options'!$C:$C,$A85,'NSE - Other Index Options'!$B:$B,E$4,'NSE - Other Index Options'!$I:$I,"Weekly*")+SUMIFS('NSE - Other Index Options'!$M:$M,'NSE - Other Index Options'!$C:$C,$A85,'NSE - Other Index Options'!$B:$B,E$4,'NSE - Other Index Options'!$I:$I,"MDAW*")+SUMIFS('BSE - SENSEX Index Options'!$M:$M,'BSE - SENSEX Index Options'!$C:$C,$A85,'BSE - SENSEX Index Options'!$B:$B,E$4,'BSE - SENSEX Index Options'!$I:$I,"Weekly*")+SUMIFS('BSE - SENSEX Index Options'!$M:$M,'BSE - SENSEX Index Options'!$C:$C,$A85,'BSE - SENSEX Index Options'!$B:$B,E$4,'BSE - SENSEX Index Options'!$I:$I,"MDAW*")+SUMIFS('BSE - Other Index Options'!$M:$M,'BSE - Other Index Options'!$C:$C,$A85,'BSE - Other Index Options'!$B:$B,E$4,'BSE - Other Index Options'!$I:$I,"Weekly*")+SUMIFS('BSE - Other Index Options'!$M:$M,'BSE - Other Index Options'!$C:$C,$A85,'BSE - Other Index Options'!$B:$B,E$4,'BSE - Other Index Options'!$I:$I,"MDAW*")=0,"",SUMIFS('NSE - NIFTY Index Options'!$M:$M,'NSE - NIFTY Index Options'!$C:$C,$A85,'NSE - NIFTY Index Options'!$B:$B,E$4,'NSE - NIFTY Index Options'!$I:$I,"Weekly*")+SUMIFS('NSE - NIFTY Index Options'!$M:$M,'NSE - NIFTY Index Options'!$C:$C,$A85,'NSE - NIFTY Index Options'!$B:$B,E$4,'NSE - NIFTY Index Options'!$I:$I,"MDAW*")+SUMIFS('NSE - Other Index Options'!$M:$M,'NSE - Other Index Options'!$C:$C,$A85,'NSE - Other Index Options'!$B:$B,E$4,'NSE - Other Index Options'!$I:$I,"Weekly*")+SUMIFS('NSE - Other Index Options'!$M:$M,'NSE - Other Index Options'!$C:$C,$A85,'NSE - Other Index Options'!$B:$B,E$4,'NSE - Other Index Options'!$I:$I,"MDAW*")+SUMIFS('BSE - SENSEX Index Options'!$M:$M,'BSE - SENSEX Index Options'!$C:$C,$A85,'BSE - SENSEX Index Options'!$B:$B,E$4,'BSE - SENSEX Index Options'!$I:$I,"Weekly*")+SUMIFS('BSE - SENSEX Index Options'!$M:$M,'BSE - SENSEX Index Options'!$C:$C,$A85,'BSE - SENSEX Index Options'!$B:$B,E$4,'BSE - SENSEX Index Options'!$I:$I,"MDAW*")+SUMIFS('BSE - Other Index Options'!$M:$M,'BSE - Other Index Options'!$C:$C,$A85,'BSE - Other Index Options'!$B:$B,E$4,'BSE - Other Index Options'!$I:$I,"Weekly*")+SUMIFS('BSE - Other Index Options'!$M:$M,'BSE - Other Index Options'!$C:$C,$A85,'BSE - Other Index Options'!$B:$B,E$4,'BSE - Other Index Options'!$I:$I,"MDAW*"))</f>
        <v/>
      </c>
      <c r="F85" s="26">
        <f>IF(SUMIFS('NSE - NIFTY Index Options'!$M:$M,'NSE - NIFTY Index Options'!$C:$C,$A85,'NSE - NIFTY Index Options'!$B:$B,F$4,'NSE - NIFTY Index Options'!$I:$I,"Weekly*")+SUMIFS('NSE - NIFTY Index Options'!$M:$M,'NSE - NIFTY Index Options'!$C:$C,$A85,'NSE - NIFTY Index Options'!$B:$B,F$4,'NSE - NIFTY Index Options'!$I:$I,"MDAW*")+SUMIFS('NSE - Other Index Options'!$M:$M,'NSE - Other Index Options'!$C:$C,$A85,'NSE - Other Index Options'!$B:$B,F$4,'NSE - Other Index Options'!$I:$I,"Weekly*")+SUMIFS('NSE - Other Index Options'!$M:$M,'NSE - Other Index Options'!$C:$C,$A85,'NSE - Other Index Options'!$B:$B,F$4,'NSE - Other Index Options'!$I:$I,"MDAW*")+SUMIFS('BSE - SENSEX Index Options'!$M:$M,'BSE - SENSEX Index Options'!$C:$C,$A85,'BSE - SENSEX Index Options'!$B:$B,F$4,'BSE - SENSEX Index Options'!$I:$I,"Weekly*")+SUMIFS('BSE - SENSEX Index Options'!$M:$M,'BSE - SENSEX Index Options'!$C:$C,$A85,'BSE - SENSEX Index Options'!$B:$B,F$4,'BSE - SENSEX Index Options'!$I:$I,"MDAW*")+SUMIFS('BSE - Other Index Options'!$M:$M,'BSE - Other Index Options'!$C:$C,$A85,'BSE - Other Index Options'!$B:$B,F$4,'BSE - Other Index Options'!$I:$I,"Weekly*")+SUMIFS('BSE - Other Index Options'!$M:$M,'BSE - Other Index Options'!$C:$C,$A85,'BSE - Other Index Options'!$B:$B,F$4,'BSE - Other Index Options'!$I:$I,"MDAW*")=0,"",SUMIFS('NSE - NIFTY Index Options'!$M:$M,'NSE - NIFTY Index Options'!$C:$C,$A85,'NSE - NIFTY Index Options'!$B:$B,F$4,'NSE - NIFTY Index Options'!$I:$I,"Weekly*")+SUMIFS('NSE - NIFTY Index Options'!$M:$M,'NSE - NIFTY Index Options'!$C:$C,$A85,'NSE - NIFTY Index Options'!$B:$B,F$4,'NSE - NIFTY Index Options'!$I:$I,"MDAW*")+SUMIFS('NSE - Other Index Options'!$M:$M,'NSE - Other Index Options'!$C:$C,$A85,'NSE - Other Index Options'!$B:$B,F$4,'NSE - Other Index Options'!$I:$I,"Weekly*")+SUMIFS('NSE - Other Index Options'!$M:$M,'NSE - Other Index Options'!$C:$C,$A85,'NSE - Other Index Options'!$B:$B,F$4,'NSE - Other Index Options'!$I:$I,"MDAW*")+SUMIFS('BSE - SENSEX Index Options'!$M:$M,'BSE - SENSEX Index Options'!$C:$C,$A85,'BSE - SENSEX Index Options'!$B:$B,F$4,'BSE - SENSEX Index Options'!$I:$I,"Weekly*")+SUMIFS('BSE - SENSEX Index Options'!$M:$M,'BSE - SENSEX Index Options'!$C:$C,$A85,'BSE - SENSEX Index Options'!$B:$B,F$4,'BSE - SENSEX Index Options'!$I:$I,"MDAW*")+SUMIFS('BSE - Other Index Options'!$M:$M,'BSE - Other Index Options'!$C:$C,$A85,'BSE - Other Index Options'!$B:$B,F$4,'BSE - Other Index Options'!$I:$I,"Weekly*")+SUMIFS('BSE - Other Index Options'!$M:$M,'BSE - Other Index Options'!$C:$C,$A85,'BSE - Other Index Options'!$B:$B,F$4,'BSE - Other Index Options'!$I:$I,"MDAW*"))</f>
        <v/>
      </c>
      <c r="G85" s="26">
        <f>IF(SUMIFS('NSE - NIFTY Index Options'!$M:$M,'NSE - NIFTY Index Options'!$C:$C,$A85,'NSE - NIFTY Index Options'!$B:$B,G$4,'NSE - NIFTY Index Options'!$I:$I,"Weekly*")+SUMIFS('NSE - NIFTY Index Options'!$M:$M,'NSE - NIFTY Index Options'!$C:$C,$A85,'NSE - NIFTY Index Options'!$B:$B,G$4,'NSE - NIFTY Index Options'!$I:$I,"MDAW*")+SUMIFS('NSE - Other Index Options'!$M:$M,'NSE - Other Index Options'!$C:$C,$A85,'NSE - Other Index Options'!$B:$B,G$4,'NSE - Other Index Options'!$I:$I,"Weekly*")+SUMIFS('NSE - Other Index Options'!$M:$M,'NSE - Other Index Options'!$C:$C,$A85,'NSE - Other Index Options'!$B:$B,G$4,'NSE - Other Index Options'!$I:$I,"MDAW*")+SUMIFS('BSE - SENSEX Index Options'!$M:$M,'BSE - SENSEX Index Options'!$C:$C,$A85,'BSE - SENSEX Index Options'!$B:$B,G$4,'BSE - SENSEX Index Options'!$I:$I,"Weekly*")+SUMIFS('BSE - SENSEX Index Options'!$M:$M,'BSE - SENSEX Index Options'!$C:$C,$A85,'BSE - SENSEX Index Options'!$B:$B,G$4,'BSE - SENSEX Index Options'!$I:$I,"MDAW*")+SUMIFS('BSE - Other Index Options'!$M:$M,'BSE - Other Index Options'!$C:$C,$A85,'BSE - Other Index Options'!$B:$B,G$4,'BSE - Other Index Options'!$I:$I,"Weekly*")+SUMIFS('BSE - Other Index Options'!$M:$M,'BSE - Other Index Options'!$C:$C,$A85,'BSE - Other Index Options'!$B:$B,G$4,'BSE - Other Index Options'!$I:$I,"MDAW*")=0,"",SUMIFS('NSE - NIFTY Index Options'!$M:$M,'NSE - NIFTY Index Options'!$C:$C,$A85,'NSE - NIFTY Index Options'!$B:$B,G$4,'NSE - NIFTY Index Options'!$I:$I,"Weekly*")+SUMIFS('NSE - NIFTY Index Options'!$M:$M,'NSE - NIFTY Index Options'!$C:$C,$A85,'NSE - NIFTY Index Options'!$B:$B,G$4,'NSE - NIFTY Index Options'!$I:$I,"MDAW*")+SUMIFS('NSE - Other Index Options'!$M:$M,'NSE - Other Index Options'!$C:$C,$A85,'NSE - Other Index Options'!$B:$B,G$4,'NSE - Other Index Options'!$I:$I,"Weekly*")+SUMIFS('NSE - Other Index Options'!$M:$M,'NSE - Other Index Options'!$C:$C,$A85,'NSE - Other Index Options'!$B:$B,G$4,'NSE - Other Index Options'!$I:$I,"MDAW*")+SUMIFS('BSE - SENSEX Index Options'!$M:$M,'BSE - SENSEX Index Options'!$C:$C,$A85,'BSE - SENSEX Index Options'!$B:$B,G$4,'BSE - SENSEX Index Options'!$I:$I,"Weekly*")+SUMIFS('BSE - SENSEX Index Options'!$M:$M,'BSE - SENSEX Index Options'!$C:$C,$A85,'BSE - SENSEX Index Options'!$B:$B,G$4,'BSE - SENSEX Index Options'!$I:$I,"MDAW*")+SUMIFS('BSE - Other Index Options'!$M:$M,'BSE - Other Index Options'!$C:$C,$A85,'BSE - Other Index Options'!$B:$B,G$4,'BSE - Other Index Options'!$I:$I,"Weekly*")+SUMIFS('BSE - Other Index Options'!$M:$M,'BSE - Other Index Options'!$C:$C,$A85,'BSE - Other Index Options'!$B:$B,G$4,'BSE - Other Index Options'!$I:$I,"MDAW*"))</f>
        <v/>
      </c>
      <c r="H85" s="26">
        <f>IF(SUM(B85:G85)=0,"",SUM(B85:G85))</f>
        <v/>
      </c>
    </row>
    <row r="86" hidden="1" outlineLevel="1">
      <c r="A86" t="inlineStr">
        <is>
          <t>Week3-Jan-2027</t>
        </is>
      </c>
      <c r="B86" s="26">
        <f>IF(SUMIFS('NSE - NIFTY Index Options'!$M:$M,'NSE - NIFTY Index Options'!$C:$C,$A86,'NSE - NIFTY Index Options'!$B:$B,B$4,'NSE - NIFTY Index Options'!$I:$I,"Weekly*")+SUMIFS('NSE - NIFTY Index Options'!$M:$M,'NSE - NIFTY Index Options'!$C:$C,$A86,'NSE - NIFTY Index Options'!$B:$B,B$4,'NSE - NIFTY Index Options'!$I:$I,"MDAW*")+SUMIFS('NSE - Other Index Options'!$M:$M,'NSE - Other Index Options'!$C:$C,$A86,'NSE - Other Index Options'!$B:$B,B$4,'NSE - Other Index Options'!$I:$I,"Weekly*")+SUMIFS('NSE - Other Index Options'!$M:$M,'NSE - Other Index Options'!$C:$C,$A86,'NSE - Other Index Options'!$B:$B,B$4,'NSE - Other Index Options'!$I:$I,"MDAW*")+SUMIFS('BSE - SENSEX Index Options'!$M:$M,'BSE - SENSEX Index Options'!$C:$C,$A86,'BSE - SENSEX Index Options'!$B:$B,B$4,'BSE - SENSEX Index Options'!$I:$I,"Weekly*")+SUMIFS('BSE - SENSEX Index Options'!$M:$M,'BSE - SENSEX Index Options'!$C:$C,$A86,'BSE - SENSEX Index Options'!$B:$B,B$4,'BSE - SENSEX Index Options'!$I:$I,"MDAW*")+SUMIFS('BSE - Other Index Options'!$M:$M,'BSE - Other Index Options'!$C:$C,$A86,'BSE - Other Index Options'!$B:$B,B$4,'BSE - Other Index Options'!$I:$I,"Weekly*")+SUMIFS('BSE - Other Index Options'!$M:$M,'BSE - Other Index Options'!$C:$C,$A86,'BSE - Other Index Options'!$B:$B,B$4,'BSE - Other Index Options'!$I:$I,"MDAW*")=0,"",SUMIFS('NSE - NIFTY Index Options'!$M:$M,'NSE - NIFTY Index Options'!$C:$C,$A86,'NSE - NIFTY Index Options'!$B:$B,B$4,'NSE - NIFTY Index Options'!$I:$I,"Weekly*")+SUMIFS('NSE - NIFTY Index Options'!$M:$M,'NSE - NIFTY Index Options'!$C:$C,$A86,'NSE - NIFTY Index Options'!$B:$B,B$4,'NSE - NIFTY Index Options'!$I:$I,"MDAW*")+SUMIFS('NSE - Other Index Options'!$M:$M,'NSE - Other Index Options'!$C:$C,$A86,'NSE - Other Index Options'!$B:$B,B$4,'NSE - Other Index Options'!$I:$I,"Weekly*")+SUMIFS('NSE - Other Index Options'!$M:$M,'NSE - Other Index Options'!$C:$C,$A86,'NSE - Other Index Options'!$B:$B,B$4,'NSE - Other Index Options'!$I:$I,"MDAW*")+SUMIFS('BSE - SENSEX Index Options'!$M:$M,'BSE - SENSEX Index Options'!$C:$C,$A86,'BSE - SENSEX Index Options'!$B:$B,B$4,'BSE - SENSEX Index Options'!$I:$I,"Weekly*")+SUMIFS('BSE - SENSEX Index Options'!$M:$M,'BSE - SENSEX Index Options'!$C:$C,$A86,'BSE - SENSEX Index Options'!$B:$B,B$4,'BSE - SENSEX Index Options'!$I:$I,"MDAW*")+SUMIFS('BSE - Other Index Options'!$M:$M,'BSE - Other Index Options'!$C:$C,$A86,'BSE - Other Index Options'!$B:$B,B$4,'BSE - Other Index Options'!$I:$I,"Weekly*")+SUMIFS('BSE - Other Index Options'!$M:$M,'BSE - Other Index Options'!$C:$C,$A86,'BSE - Other Index Options'!$B:$B,B$4,'BSE - Other Index Options'!$I:$I,"MDAW*"))</f>
        <v/>
      </c>
      <c r="C86" s="26">
        <f>IF(SUMIFS('NSE - NIFTY Index Options'!$M:$M,'NSE - NIFTY Index Options'!$C:$C,$A86,'NSE - NIFTY Index Options'!$B:$B,C$4,'NSE - NIFTY Index Options'!$I:$I,"Weekly*")+SUMIFS('NSE - NIFTY Index Options'!$M:$M,'NSE - NIFTY Index Options'!$C:$C,$A86,'NSE - NIFTY Index Options'!$B:$B,C$4,'NSE - NIFTY Index Options'!$I:$I,"MDAW*")+SUMIFS('NSE - Other Index Options'!$M:$M,'NSE - Other Index Options'!$C:$C,$A86,'NSE - Other Index Options'!$B:$B,C$4,'NSE - Other Index Options'!$I:$I,"Weekly*")+SUMIFS('NSE - Other Index Options'!$M:$M,'NSE - Other Index Options'!$C:$C,$A86,'NSE - Other Index Options'!$B:$B,C$4,'NSE - Other Index Options'!$I:$I,"MDAW*")+SUMIFS('BSE - SENSEX Index Options'!$M:$M,'BSE - SENSEX Index Options'!$C:$C,$A86,'BSE - SENSEX Index Options'!$B:$B,C$4,'BSE - SENSEX Index Options'!$I:$I,"Weekly*")+SUMIFS('BSE - SENSEX Index Options'!$M:$M,'BSE - SENSEX Index Options'!$C:$C,$A86,'BSE - SENSEX Index Options'!$B:$B,C$4,'BSE - SENSEX Index Options'!$I:$I,"MDAW*")+SUMIFS('BSE - Other Index Options'!$M:$M,'BSE - Other Index Options'!$C:$C,$A86,'BSE - Other Index Options'!$B:$B,C$4,'BSE - Other Index Options'!$I:$I,"Weekly*")+SUMIFS('BSE - Other Index Options'!$M:$M,'BSE - Other Index Options'!$C:$C,$A86,'BSE - Other Index Options'!$B:$B,C$4,'BSE - Other Index Options'!$I:$I,"MDAW*")=0,"",SUMIFS('NSE - NIFTY Index Options'!$M:$M,'NSE - NIFTY Index Options'!$C:$C,$A86,'NSE - NIFTY Index Options'!$B:$B,C$4,'NSE - NIFTY Index Options'!$I:$I,"Weekly*")+SUMIFS('NSE - NIFTY Index Options'!$M:$M,'NSE - NIFTY Index Options'!$C:$C,$A86,'NSE - NIFTY Index Options'!$B:$B,C$4,'NSE - NIFTY Index Options'!$I:$I,"MDAW*")+SUMIFS('NSE - Other Index Options'!$M:$M,'NSE - Other Index Options'!$C:$C,$A86,'NSE - Other Index Options'!$B:$B,C$4,'NSE - Other Index Options'!$I:$I,"Weekly*")+SUMIFS('NSE - Other Index Options'!$M:$M,'NSE - Other Index Options'!$C:$C,$A86,'NSE - Other Index Options'!$B:$B,C$4,'NSE - Other Index Options'!$I:$I,"MDAW*")+SUMIFS('BSE - SENSEX Index Options'!$M:$M,'BSE - SENSEX Index Options'!$C:$C,$A86,'BSE - SENSEX Index Options'!$B:$B,C$4,'BSE - SENSEX Index Options'!$I:$I,"Weekly*")+SUMIFS('BSE - SENSEX Index Options'!$M:$M,'BSE - SENSEX Index Options'!$C:$C,$A86,'BSE - SENSEX Index Options'!$B:$B,C$4,'BSE - SENSEX Index Options'!$I:$I,"MDAW*")+SUMIFS('BSE - Other Index Options'!$M:$M,'BSE - Other Index Options'!$C:$C,$A86,'BSE - Other Index Options'!$B:$B,C$4,'BSE - Other Index Options'!$I:$I,"Weekly*")+SUMIFS('BSE - Other Index Options'!$M:$M,'BSE - Other Index Options'!$C:$C,$A86,'BSE - Other Index Options'!$B:$B,C$4,'BSE - Other Index Options'!$I:$I,"MDAW*"))</f>
        <v/>
      </c>
      <c r="D86" s="26">
        <f>IF(SUMIFS('NSE - NIFTY Index Options'!$M:$M,'NSE - NIFTY Index Options'!$C:$C,$A86,'NSE - NIFTY Index Options'!$B:$B,D$4,'NSE - NIFTY Index Options'!$I:$I,"Weekly*")+SUMIFS('NSE - NIFTY Index Options'!$M:$M,'NSE - NIFTY Index Options'!$C:$C,$A86,'NSE - NIFTY Index Options'!$B:$B,D$4,'NSE - NIFTY Index Options'!$I:$I,"MDAW*")+SUMIFS('NSE - Other Index Options'!$M:$M,'NSE - Other Index Options'!$C:$C,$A86,'NSE - Other Index Options'!$B:$B,D$4,'NSE - Other Index Options'!$I:$I,"Weekly*")+SUMIFS('NSE - Other Index Options'!$M:$M,'NSE - Other Index Options'!$C:$C,$A86,'NSE - Other Index Options'!$B:$B,D$4,'NSE - Other Index Options'!$I:$I,"MDAW*")+SUMIFS('BSE - SENSEX Index Options'!$M:$M,'BSE - SENSEX Index Options'!$C:$C,$A86,'BSE - SENSEX Index Options'!$B:$B,D$4,'BSE - SENSEX Index Options'!$I:$I,"Weekly*")+SUMIFS('BSE - SENSEX Index Options'!$M:$M,'BSE - SENSEX Index Options'!$C:$C,$A86,'BSE - SENSEX Index Options'!$B:$B,D$4,'BSE - SENSEX Index Options'!$I:$I,"MDAW*")+SUMIFS('BSE - Other Index Options'!$M:$M,'BSE - Other Index Options'!$C:$C,$A86,'BSE - Other Index Options'!$B:$B,D$4,'BSE - Other Index Options'!$I:$I,"Weekly*")+SUMIFS('BSE - Other Index Options'!$M:$M,'BSE - Other Index Options'!$C:$C,$A86,'BSE - Other Index Options'!$B:$B,D$4,'BSE - Other Index Options'!$I:$I,"MDAW*")=0,"",SUMIFS('NSE - NIFTY Index Options'!$M:$M,'NSE - NIFTY Index Options'!$C:$C,$A86,'NSE - NIFTY Index Options'!$B:$B,D$4,'NSE - NIFTY Index Options'!$I:$I,"Weekly*")+SUMIFS('NSE - NIFTY Index Options'!$M:$M,'NSE - NIFTY Index Options'!$C:$C,$A86,'NSE - NIFTY Index Options'!$B:$B,D$4,'NSE - NIFTY Index Options'!$I:$I,"MDAW*")+SUMIFS('NSE - Other Index Options'!$M:$M,'NSE - Other Index Options'!$C:$C,$A86,'NSE - Other Index Options'!$B:$B,D$4,'NSE - Other Index Options'!$I:$I,"Weekly*")+SUMIFS('NSE - Other Index Options'!$M:$M,'NSE - Other Index Options'!$C:$C,$A86,'NSE - Other Index Options'!$B:$B,D$4,'NSE - Other Index Options'!$I:$I,"MDAW*")+SUMIFS('BSE - SENSEX Index Options'!$M:$M,'BSE - SENSEX Index Options'!$C:$C,$A86,'BSE - SENSEX Index Options'!$B:$B,D$4,'BSE - SENSEX Index Options'!$I:$I,"Weekly*")+SUMIFS('BSE - SENSEX Index Options'!$M:$M,'BSE - SENSEX Index Options'!$C:$C,$A86,'BSE - SENSEX Index Options'!$B:$B,D$4,'BSE - SENSEX Index Options'!$I:$I,"MDAW*")+SUMIFS('BSE - Other Index Options'!$M:$M,'BSE - Other Index Options'!$C:$C,$A86,'BSE - Other Index Options'!$B:$B,D$4,'BSE - Other Index Options'!$I:$I,"Weekly*")+SUMIFS('BSE - Other Index Options'!$M:$M,'BSE - Other Index Options'!$C:$C,$A86,'BSE - Other Index Options'!$B:$B,D$4,'BSE - Other Index Options'!$I:$I,"MDAW*"))</f>
        <v/>
      </c>
      <c r="E86" s="26">
        <f>IF(SUMIFS('NSE - NIFTY Index Options'!$M:$M,'NSE - NIFTY Index Options'!$C:$C,$A86,'NSE - NIFTY Index Options'!$B:$B,E$4,'NSE - NIFTY Index Options'!$I:$I,"Weekly*")+SUMIFS('NSE - NIFTY Index Options'!$M:$M,'NSE - NIFTY Index Options'!$C:$C,$A86,'NSE - NIFTY Index Options'!$B:$B,E$4,'NSE - NIFTY Index Options'!$I:$I,"MDAW*")+SUMIFS('NSE - Other Index Options'!$M:$M,'NSE - Other Index Options'!$C:$C,$A86,'NSE - Other Index Options'!$B:$B,E$4,'NSE - Other Index Options'!$I:$I,"Weekly*")+SUMIFS('NSE - Other Index Options'!$M:$M,'NSE - Other Index Options'!$C:$C,$A86,'NSE - Other Index Options'!$B:$B,E$4,'NSE - Other Index Options'!$I:$I,"MDAW*")+SUMIFS('BSE - SENSEX Index Options'!$M:$M,'BSE - SENSEX Index Options'!$C:$C,$A86,'BSE - SENSEX Index Options'!$B:$B,E$4,'BSE - SENSEX Index Options'!$I:$I,"Weekly*")+SUMIFS('BSE - SENSEX Index Options'!$M:$M,'BSE - SENSEX Index Options'!$C:$C,$A86,'BSE - SENSEX Index Options'!$B:$B,E$4,'BSE - SENSEX Index Options'!$I:$I,"MDAW*")+SUMIFS('BSE - Other Index Options'!$M:$M,'BSE - Other Index Options'!$C:$C,$A86,'BSE - Other Index Options'!$B:$B,E$4,'BSE - Other Index Options'!$I:$I,"Weekly*")+SUMIFS('BSE - Other Index Options'!$M:$M,'BSE - Other Index Options'!$C:$C,$A86,'BSE - Other Index Options'!$B:$B,E$4,'BSE - Other Index Options'!$I:$I,"MDAW*")=0,"",SUMIFS('NSE - NIFTY Index Options'!$M:$M,'NSE - NIFTY Index Options'!$C:$C,$A86,'NSE - NIFTY Index Options'!$B:$B,E$4,'NSE - NIFTY Index Options'!$I:$I,"Weekly*")+SUMIFS('NSE - NIFTY Index Options'!$M:$M,'NSE - NIFTY Index Options'!$C:$C,$A86,'NSE - NIFTY Index Options'!$B:$B,E$4,'NSE - NIFTY Index Options'!$I:$I,"MDAW*")+SUMIFS('NSE - Other Index Options'!$M:$M,'NSE - Other Index Options'!$C:$C,$A86,'NSE - Other Index Options'!$B:$B,E$4,'NSE - Other Index Options'!$I:$I,"Weekly*")+SUMIFS('NSE - Other Index Options'!$M:$M,'NSE - Other Index Options'!$C:$C,$A86,'NSE - Other Index Options'!$B:$B,E$4,'NSE - Other Index Options'!$I:$I,"MDAW*")+SUMIFS('BSE - SENSEX Index Options'!$M:$M,'BSE - SENSEX Index Options'!$C:$C,$A86,'BSE - SENSEX Index Options'!$B:$B,E$4,'BSE - SENSEX Index Options'!$I:$I,"Weekly*")+SUMIFS('BSE - SENSEX Index Options'!$M:$M,'BSE - SENSEX Index Options'!$C:$C,$A86,'BSE - SENSEX Index Options'!$B:$B,E$4,'BSE - SENSEX Index Options'!$I:$I,"MDAW*")+SUMIFS('BSE - Other Index Options'!$M:$M,'BSE - Other Index Options'!$C:$C,$A86,'BSE - Other Index Options'!$B:$B,E$4,'BSE - Other Index Options'!$I:$I,"Weekly*")+SUMIFS('BSE - Other Index Options'!$M:$M,'BSE - Other Index Options'!$C:$C,$A86,'BSE - Other Index Options'!$B:$B,E$4,'BSE - Other Index Options'!$I:$I,"MDAW*"))</f>
        <v/>
      </c>
      <c r="F86" s="26">
        <f>IF(SUMIFS('NSE - NIFTY Index Options'!$M:$M,'NSE - NIFTY Index Options'!$C:$C,$A86,'NSE - NIFTY Index Options'!$B:$B,F$4,'NSE - NIFTY Index Options'!$I:$I,"Weekly*")+SUMIFS('NSE - NIFTY Index Options'!$M:$M,'NSE - NIFTY Index Options'!$C:$C,$A86,'NSE - NIFTY Index Options'!$B:$B,F$4,'NSE - NIFTY Index Options'!$I:$I,"MDAW*")+SUMIFS('NSE - Other Index Options'!$M:$M,'NSE - Other Index Options'!$C:$C,$A86,'NSE - Other Index Options'!$B:$B,F$4,'NSE - Other Index Options'!$I:$I,"Weekly*")+SUMIFS('NSE - Other Index Options'!$M:$M,'NSE - Other Index Options'!$C:$C,$A86,'NSE - Other Index Options'!$B:$B,F$4,'NSE - Other Index Options'!$I:$I,"MDAW*")+SUMIFS('BSE - SENSEX Index Options'!$M:$M,'BSE - SENSEX Index Options'!$C:$C,$A86,'BSE - SENSEX Index Options'!$B:$B,F$4,'BSE - SENSEX Index Options'!$I:$I,"Weekly*")+SUMIFS('BSE - SENSEX Index Options'!$M:$M,'BSE - SENSEX Index Options'!$C:$C,$A86,'BSE - SENSEX Index Options'!$B:$B,F$4,'BSE - SENSEX Index Options'!$I:$I,"MDAW*")+SUMIFS('BSE - Other Index Options'!$M:$M,'BSE - Other Index Options'!$C:$C,$A86,'BSE - Other Index Options'!$B:$B,F$4,'BSE - Other Index Options'!$I:$I,"Weekly*")+SUMIFS('BSE - Other Index Options'!$M:$M,'BSE - Other Index Options'!$C:$C,$A86,'BSE - Other Index Options'!$B:$B,F$4,'BSE - Other Index Options'!$I:$I,"MDAW*")=0,"",SUMIFS('NSE - NIFTY Index Options'!$M:$M,'NSE - NIFTY Index Options'!$C:$C,$A86,'NSE - NIFTY Index Options'!$B:$B,F$4,'NSE - NIFTY Index Options'!$I:$I,"Weekly*")+SUMIFS('NSE - NIFTY Index Options'!$M:$M,'NSE - NIFTY Index Options'!$C:$C,$A86,'NSE - NIFTY Index Options'!$B:$B,F$4,'NSE - NIFTY Index Options'!$I:$I,"MDAW*")+SUMIFS('NSE - Other Index Options'!$M:$M,'NSE - Other Index Options'!$C:$C,$A86,'NSE - Other Index Options'!$B:$B,F$4,'NSE - Other Index Options'!$I:$I,"Weekly*")+SUMIFS('NSE - Other Index Options'!$M:$M,'NSE - Other Index Options'!$C:$C,$A86,'NSE - Other Index Options'!$B:$B,F$4,'NSE - Other Index Options'!$I:$I,"MDAW*")+SUMIFS('BSE - SENSEX Index Options'!$M:$M,'BSE - SENSEX Index Options'!$C:$C,$A86,'BSE - SENSEX Index Options'!$B:$B,F$4,'BSE - SENSEX Index Options'!$I:$I,"Weekly*")+SUMIFS('BSE - SENSEX Index Options'!$M:$M,'BSE - SENSEX Index Options'!$C:$C,$A86,'BSE - SENSEX Index Options'!$B:$B,F$4,'BSE - SENSEX Index Options'!$I:$I,"MDAW*")+SUMIFS('BSE - Other Index Options'!$M:$M,'BSE - Other Index Options'!$C:$C,$A86,'BSE - Other Index Options'!$B:$B,F$4,'BSE - Other Index Options'!$I:$I,"Weekly*")+SUMIFS('BSE - Other Index Options'!$M:$M,'BSE - Other Index Options'!$C:$C,$A86,'BSE - Other Index Options'!$B:$B,F$4,'BSE - Other Index Options'!$I:$I,"MDAW*"))</f>
        <v/>
      </c>
      <c r="G86" s="26">
        <f>IF(SUMIFS('NSE - NIFTY Index Options'!$M:$M,'NSE - NIFTY Index Options'!$C:$C,$A86,'NSE - NIFTY Index Options'!$B:$B,G$4,'NSE - NIFTY Index Options'!$I:$I,"Weekly*")+SUMIFS('NSE - NIFTY Index Options'!$M:$M,'NSE - NIFTY Index Options'!$C:$C,$A86,'NSE - NIFTY Index Options'!$B:$B,G$4,'NSE - NIFTY Index Options'!$I:$I,"MDAW*")+SUMIFS('NSE - Other Index Options'!$M:$M,'NSE - Other Index Options'!$C:$C,$A86,'NSE - Other Index Options'!$B:$B,G$4,'NSE - Other Index Options'!$I:$I,"Weekly*")+SUMIFS('NSE - Other Index Options'!$M:$M,'NSE - Other Index Options'!$C:$C,$A86,'NSE - Other Index Options'!$B:$B,G$4,'NSE - Other Index Options'!$I:$I,"MDAW*")+SUMIFS('BSE - SENSEX Index Options'!$M:$M,'BSE - SENSEX Index Options'!$C:$C,$A86,'BSE - SENSEX Index Options'!$B:$B,G$4,'BSE - SENSEX Index Options'!$I:$I,"Weekly*")+SUMIFS('BSE - SENSEX Index Options'!$M:$M,'BSE - SENSEX Index Options'!$C:$C,$A86,'BSE - SENSEX Index Options'!$B:$B,G$4,'BSE - SENSEX Index Options'!$I:$I,"MDAW*")+SUMIFS('BSE - Other Index Options'!$M:$M,'BSE - Other Index Options'!$C:$C,$A86,'BSE - Other Index Options'!$B:$B,G$4,'BSE - Other Index Options'!$I:$I,"Weekly*")+SUMIFS('BSE - Other Index Options'!$M:$M,'BSE - Other Index Options'!$C:$C,$A86,'BSE - Other Index Options'!$B:$B,G$4,'BSE - Other Index Options'!$I:$I,"MDAW*")=0,"",SUMIFS('NSE - NIFTY Index Options'!$M:$M,'NSE - NIFTY Index Options'!$C:$C,$A86,'NSE - NIFTY Index Options'!$B:$B,G$4,'NSE - NIFTY Index Options'!$I:$I,"Weekly*")+SUMIFS('NSE - NIFTY Index Options'!$M:$M,'NSE - NIFTY Index Options'!$C:$C,$A86,'NSE - NIFTY Index Options'!$B:$B,G$4,'NSE - NIFTY Index Options'!$I:$I,"MDAW*")+SUMIFS('NSE - Other Index Options'!$M:$M,'NSE - Other Index Options'!$C:$C,$A86,'NSE - Other Index Options'!$B:$B,G$4,'NSE - Other Index Options'!$I:$I,"Weekly*")+SUMIFS('NSE - Other Index Options'!$M:$M,'NSE - Other Index Options'!$C:$C,$A86,'NSE - Other Index Options'!$B:$B,G$4,'NSE - Other Index Options'!$I:$I,"MDAW*")+SUMIFS('BSE - SENSEX Index Options'!$M:$M,'BSE - SENSEX Index Options'!$C:$C,$A86,'BSE - SENSEX Index Options'!$B:$B,G$4,'BSE - SENSEX Index Options'!$I:$I,"Weekly*")+SUMIFS('BSE - SENSEX Index Options'!$M:$M,'BSE - SENSEX Index Options'!$C:$C,$A86,'BSE - SENSEX Index Options'!$B:$B,G$4,'BSE - SENSEX Index Options'!$I:$I,"MDAW*")+SUMIFS('BSE - Other Index Options'!$M:$M,'BSE - Other Index Options'!$C:$C,$A86,'BSE - Other Index Options'!$B:$B,G$4,'BSE - Other Index Options'!$I:$I,"Weekly*")+SUMIFS('BSE - Other Index Options'!$M:$M,'BSE - Other Index Options'!$C:$C,$A86,'BSE - Other Index Options'!$B:$B,G$4,'BSE - Other Index Options'!$I:$I,"MDAW*"))</f>
        <v/>
      </c>
      <c r="H86" s="26">
        <f>IF(SUM(B86:G86)=0,"",SUM(B86:G86))</f>
        <v/>
      </c>
    </row>
    <row r="87" hidden="1" outlineLevel="1">
      <c r="A87" t="inlineStr">
        <is>
          <t>Week4-Jan-2027</t>
        </is>
      </c>
      <c r="B87" s="26">
        <f>IF(SUMIFS('NSE - NIFTY Index Options'!$M:$M,'NSE - NIFTY Index Options'!$C:$C,$A87,'NSE - NIFTY Index Options'!$B:$B,B$4,'NSE - NIFTY Index Options'!$I:$I,"Weekly*")+SUMIFS('NSE - NIFTY Index Options'!$M:$M,'NSE - NIFTY Index Options'!$C:$C,$A87,'NSE - NIFTY Index Options'!$B:$B,B$4,'NSE - NIFTY Index Options'!$I:$I,"MDAW*")+SUMIFS('NSE - Other Index Options'!$M:$M,'NSE - Other Index Options'!$C:$C,$A87,'NSE - Other Index Options'!$B:$B,B$4,'NSE - Other Index Options'!$I:$I,"Weekly*")+SUMIFS('NSE - Other Index Options'!$M:$M,'NSE - Other Index Options'!$C:$C,$A87,'NSE - Other Index Options'!$B:$B,B$4,'NSE - Other Index Options'!$I:$I,"MDAW*")+SUMIFS('BSE - SENSEX Index Options'!$M:$M,'BSE - SENSEX Index Options'!$C:$C,$A87,'BSE - SENSEX Index Options'!$B:$B,B$4,'BSE - SENSEX Index Options'!$I:$I,"Weekly*")+SUMIFS('BSE - SENSEX Index Options'!$M:$M,'BSE - SENSEX Index Options'!$C:$C,$A87,'BSE - SENSEX Index Options'!$B:$B,B$4,'BSE - SENSEX Index Options'!$I:$I,"MDAW*")+SUMIFS('BSE - Other Index Options'!$M:$M,'BSE - Other Index Options'!$C:$C,$A87,'BSE - Other Index Options'!$B:$B,B$4,'BSE - Other Index Options'!$I:$I,"Weekly*")+SUMIFS('BSE - Other Index Options'!$M:$M,'BSE - Other Index Options'!$C:$C,$A87,'BSE - Other Index Options'!$B:$B,B$4,'BSE - Other Index Options'!$I:$I,"MDAW*")=0,"",SUMIFS('NSE - NIFTY Index Options'!$M:$M,'NSE - NIFTY Index Options'!$C:$C,$A87,'NSE - NIFTY Index Options'!$B:$B,B$4,'NSE - NIFTY Index Options'!$I:$I,"Weekly*")+SUMIFS('NSE - NIFTY Index Options'!$M:$M,'NSE - NIFTY Index Options'!$C:$C,$A87,'NSE - NIFTY Index Options'!$B:$B,B$4,'NSE - NIFTY Index Options'!$I:$I,"MDAW*")+SUMIFS('NSE - Other Index Options'!$M:$M,'NSE - Other Index Options'!$C:$C,$A87,'NSE - Other Index Options'!$B:$B,B$4,'NSE - Other Index Options'!$I:$I,"Weekly*")+SUMIFS('NSE - Other Index Options'!$M:$M,'NSE - Other Index Options'!$C:$C,$A87,'NSE - Other Index Options'!$B:$B,B$4,'NSE - Other Index Options'!$I:$I,"MDAW*")+SUMIFS('BSE - SENSEX Index Options'!$M:$M,'BSE - SENSEX Index Options'!$C:$C,$A87,'BSE - SENSEX Index Options'!$B:$B,B$4,'BSE - SENSEX Index Options'!$I:$I,"Weekly*")+SUMIFS('BSE - SENSEX Index Options'!$M:$M,'BSE - SENSEX Index Options'!$C:$C,$A87,'BSE - SENSEX Index Options'!$B:$B,B$4,'BSE - SENSEX Index Options'!$I:$I,"MDAW*")+SUMIFS('BSE - Other Index Options'!$M:$M,'BSE - Other Index Options'!$C:$C,$A87,'BSE - Other Index Options'!$B:$B,B$4,'BSE - Other Index Options'!$I:$I,"Weekly*")+SUMIFS('BSE - Other Index Options'!$M:$M,'BSE - Other Index Options'!$C:$C,$A87,'BSE - Other Index Options'!$B:$B,B$4,'BSE - Other Index Options'!$I:$I,"MDAW*"))</f>
        <v/>
      </c>
      <c r="C87" s="26">
        <f>IF(SUMIFS('NSE - NIFTY Index Options'!$M:$M,'NSE - NIFTY Index Options'!$C:$C,$A87,'NSE - NIFTY Index Options'!$B:$B,C$4,'NSE - NIFTY Index Options'!$I:$I,"Weekly*")+SUMIFS('NSE - NIFTY Index Options'!$M:$M,'NSE - NIFTY Index Options'!$C:$C,$A87,'NSE - NIFTY Index Options'!$B:$B,C$4,'NSE - NIFTY Index Options'!$I:$I,"MDAW*")+SUMIFS('NSE - Other Index Options'!$M:$M,'NSE - Other Index Options'!$C:$C,$A87,'NSE - Other Index Options'!$B:$B,C$4,'NSE - Other Index Options'!$I:$I,"Weekly*")+SUMIFS('NSE - Other Index Options'!$M:$M,'NSE - Other Index Options'!$C:$C,$A87,'NSE - Other Index Options'!$B:$B,C$4,'NSE - Other Index Options'!$I:$I,"MDAW*")+SUMIFS('BSE - SENSEX Index Options'!$M:$M,'BSE - SENSEX Index Options'!$C:$C,$A87,'BSE - SENSEX Index Options'!$B:$B,C$4,'BSE - SENSEX Index Options'!$I:$I,"Weekly*")+SUMIFS('BSE - SENSEX Index Options'!$M:$M,'BSE - SENSEX Index Options'!$C:$C,$A87,'BSE - SENSEX Index Options'!$B:$B,C$4,'BSE - SENSEX Index Options'!$I:$I,"MDAW*")+SUMIFS('BSE - Other Index Options'!$M:$M,'BSE - Other Index Options'!$C:$C,$A87,'BSE - Other Index Options'!$B:$B,C$4,'BSE - Other Index Options'!$I:$I,"Weekly*")+SUMIFS('BSE - Other Index Options'!$M:$M,'BSE - Other Index Options'!$C:$C,$A87,'BSE - Other Index Options'!$B:$B,C$4,'BSE - Other Index Options'!$I:$I,"MDAW*")=0,"",SUMIFS('NSE - NIFTY Index Options'!$M:$M,'NSE - NIFTY Index Options'!$C:$C,$A87,'NSE - NIFTY Index Options'!$B:$B,C$4,'NSE - NIFTY Index Options'!$I:$I,"Weekly*")+SUMIFS('NSE - NIFTY Index Options'!$M:$M,'NSE - NIFTY Index Options'!$C:$C,$A87,'NSE - NIFTY Index Options'!$B:$B,C$4,'NSE - NIFTY Index Options'!$I:$I,"MDAW*")+SUMIFS('NSE - Other Index Options'!$M:$M,'NSE - Other Index Options'!$C:$C,$A87,'NSE - Other Index Options'!$B:$B,C$4,'NSE - Other Index Options'!$I:$I,"Weekly*")+SUMIFS('NSE - Other Index Options'!$M:$M,'NSE - Other Index Options'!$C:$C,$A87,'NSE - Other Index Options'!$B:$B,C$4,'NSE - Other Index Options'!$I:$I,"MDAW*")+SUMIFS('BSE - SENSEX Index Options'!$M:$M,'BSE - SENSEX Index Options'!$C:$C,$A87,'BSE - SENSEX Index Options'!$B:$B,C$4,'BSE - SENSEX Index Options'!$I:$I,"Weekly*")+SUMIFS('BSE - SENSEX Index Options'!$M:$M,'BSE - SENSEX Index Options'!$C:$C,$A87,'BSE - SENSEX Index Options'!$B:$B,C$4,'BSE - SENSEX Index Options'!$I:$I,"MDAW*")+SUMIFS('BSE - Other Index Options'!$M:$M,'BSE - Other Index Options'!$C:$C,$A87,'BSE - Other Index Options'!$B:$B,C$4,'BSE - Other Index Options'!$I:$I,"Weekly*")+SUMIFS('BSE - Other Index Options'!$M:$M,'BSE - Other Index Options'!$C:$C,$A87,'BSE - Other Index Options'!$B:$B,C$4,'BSE - Other Index Options'!$I:$I,"MDAW*"))</f>
        <v/>
      </c>
      <c r="D87" s="26">
        <f>IF(SUMIFS('NSE - NIFTY Index Options'!$M:$M,'NSE - NIFTY Index Options'!$C:$C,$A87,'NSE - NIFTY Index Options'!$B:$B,D$4,'NSE - NIFTY Index Options'!$I:$I,"Weekly*")+SUMIFS('NSE - NIFTY Index Options'!$M:$M,'NSE - NIFTY Index Options'!$C:$C,$A87,'NSE - NIFTY Index Options'!$B:$B,D$4,'NSE - NIFTY Index Options'!$I:$I,"MDAW*")+SUMIFS('NSE - Other Index Options'!$M:$M,'NSE - Other Index Options'!$C:$C,$A87,'NSE - Other Index Options'!$B:$B,D$4,'NSE - Other Index Options'!$I:$I,"Weekly*")+SUMIFS('NSE - Other Index Options'!$M:$M,'NSE - Other Index Options'!$C:$C,$A87,'NSE - Other Index Options'!$B:$B,D$4,'NSE - Other Index Options'!$I:$I,"MDAW*")+SUMIFS('BSE - SENSEX Index Options'!$M:$M,'BSE - SENSEX Index Options'!$C:$C,$A87,'BSE - SENSEX Index Options'!$B:$B,D$4,'BSE - SENSEX Index Options'!$I:$I,"Weekly*")+SUMIFS('BSE - SENSEX Index Options'!$M:$M,'BSE - SENSEX Index Options'!$C:$C,$A87,'BSE - SENSEX Index Options'!$B:$B,D$4,'BSE - SENSEX Index Options'!$I:$I,"MDAW*")+SUMIFS('BSE - Other Index Options'!$M:$M,'BSE - Other Index Options'!$C:$C,$A87,'BSE - Other Index Options'!$B:$B,D$4,'BSE - Other Index Options'!$I:$I,"Weekly*")+SUMIFS('BSE - Other Index Options'!$M:$M,'BSE - Other Index Options'!$C:$C,$A87,'BSE - Other Index Options'!$B:$B,D$4,'BSE - Other Index Options'!$I:$I,"MDAW*")=0,"",SUMIFS('NSE - NIFTY Index Options'!$M:$M,'NSE - NIFTY Index Options'!$C:$C,$A87,'NSE - NIFTY Index Options'!$B:$B,D$4,'NSE - NIFTY Index Options'!$I:$I,"Weekly*")+SUMIFS('NSE - NIFTY Index Options'!$M:$M,'NSE - NIFTY Index Options'!$C:$C,$A87,'NSE - NIFTY Index Options'!$B:$B,D$4,'NSE - NIFTY Index Options'!$I:$I,"MDAW*")+SUMIFS('NSE - Other Index Options'!$M:$M,'NSE - Other Index Options'!$C:$C,$A87,'NSE - Other Index Options'!$B:$B,D$4,'NSE - Other Index Options'!$I:$I,"Weekly*")+SUMIFS('NSE - Other Index Options'!$M:$M,'NSE - Other Index Options'!$C:$C,$A87,'NSE - Other Index Options'!$B:$B,D$4,'NSE - Other Index Options'!$I:$I,"MDAW*")+SUMIFS('BSE - SENSEX Index Options'!$M:$M,'BSE - SENSEX Index Options'!$C:$C,$A87,'BSE - SENSEX Index Options'!$B:$B,D$4,'BSE - SENSEX Index Options'!$I:$I,"Weekly*")+SUMIFS('BSE - SENSEX Index Options'!$M:$M,'BSE - SENSEX Index Options'!$C:$C,$A87,'BSE - SENSEX Index Options'!$B:$B,D$4,'BSE - SENSEX Index Options'!$I:$I,"MDAW*")+SUMIFS('BSE - Other Index Options'!$M:$M,'BSE - Other Index Options'!$C:$C,$A87,'BSE - Other Index Options'!$B:$B,D$4,'BSE - Other Index Options'!$I:$I,"Weekly*")+SUMIFS('BSE - Other Index Options'!$M:$M,'BSE - Other Index Options'!$C:$C,$A87,'BSE - Other Index Options'!$B:$B,D$4,'BSE - Other Index Options'!$I:$I,"MDAW*"))</f>
        <v/>
      </c>
      <c r="E87" s="26">
        <f>IF(SUMIFS('NSE - NIFTY Index Options'!$M:$M,'NSE - NIFTY Index Options'!$C:$C,$A87,'NSE - NIFTY Index Options'!$B:$B,E$4,'NSE - NIFTY Index Options'!$I:$I,"Weekly*")+SUMIFS('NSE - NIFTY Index Options'!$M:$M,'NSE - NIFTY Index Options'!$C:$C,$A87,'NSE - NIFTY Index Options'!$B:$B,E$4,'NSE - NIFTY Index Options'!$I:$I,"MDAW*")+SUMIFS('NSE - Other Index Options'!$M:$M,'NSE - Other Index Options'!$C:$C,$A87,'NSE - Other Index Options'!$B:$B,E$4,'NSE - Other Index Options'!$I:$I,"Weekly*")+SUMIFS('NSE - Other Index Options'!$M:$M,'NSE - Other Index Options'!$C:$C,$A87,'NSE - Other Index Options'!$B:$B,E$4,'NSE - Other Index Options'!$I:$I,"MDAW*")+SUMIFS('BSE - SENSEX Index Options'!$M:$M,'BSE - SENSEX Index Options'!$C:$C,$A87,'BSE - SENSEX Index Options'!$B:$B,E$4,'BSE - SENSEX Index Options'!$I:$I,"Weekly*")+SUMIFS('BSE - SENSEX Index Options'!$M:$M,'BSE - SENSEX Index Options'!$C:$C,$A87,'BSE - SENSEX Index Options'!$B:$B,E$4,'BSE - SENSEX Index Options'!$I:$I,"MDAW*")+SUMIFS('BSE - Other Index Options'!$M:$M,'BSE - Other Index Options'!$C:$C,$A87,'BSE - Other Index Options'!$B:$B,E$4,'BSE - Other Index Options'!$I:$I,"Weekly*")+SUMIFS('BSE - Other Index Options'!$M:$M,'BSE - Other Index Options'!$C:$C,$A87,'BSE - Other Index Options'!$B:$B,E$4,'BSE - Other Index Options'!$I:$I,"MDAW*")=0,"",SUMIFS('NSE - NIFTY Index Options'!$M:$M,'NSE - NIFTY Index Options'!$C:$C,$A87,'NSE - NIFTY Index Options'!$B:$B,E$4,'NSE - NIFTY Index Options'!$I:$I,"Weekly*")+SUMIFS('NSE - NIFTY Index Options'!$M:$M,'NSE - NIFTY Index Options'!$C:$C,$A87,'NSE - NIFTY Index Options'!$B:$B,E$4,'NSE - NIFTY Index Options'!$I:$I,"MDAW*")+SUMIFS('NSE - Other Index Options'!$M:$M,'NSE - Other Index Options'!$C:$C,$A87,'NSE - Other Index Options'!$B:$B,E$4,'NSE - Other Index Options'!$I:$I,"Weekly*")+SUMIFS('NSE - Other Index Options'!$M:$M,'NSE - Other Index Options'!$C:$C,$A87,'NSE - Other Index Options'!$B:$B,E$4,'NSE - Other Index Options'!$I:$I,"MDAW*")+SUMIFS('BSE - SENSEX Index Options'!$M:$M,'BSE - SENSEX Index Options'!$C:$C,$A87,'BSE - SENSEX Index Options'!$B:$B,E$4,'BSE - SENSEX Index Options'!$I:$I,"Weekly*")+SUMIFS('BSE - SENSEX Index Options'!$M:$M,'BSE - SENSEX Index Options'!$C:$C,$A87,'BSE - SENSEX Index Options'!$B:$B,E$4,'BSE - SENSEX Index Options'!$I:$I,"MDAW*")+SUMIFS('BSE - Other Index Options'!$M:$M,'BSE - Other Index Options'!$C:$C,$A87,'BSE - Other Index Options'!$B:$B,E$4,'BSE - Other Index Options'!$I:$I,"Weekly*")+SUMIFS('BSE - Other Index Options'!$M:$M,'BSE - Other Index Options'!$C:$C,$A87,'BSE - Other Index Options'!$B:$B,E$4,'BSE - Other Index Options'!$I:$I,"MDAW*"))</f>
        <v/>
      </c>
      <c r="F87" s="26">
        <f>IF(SUMIFS('NSE - NIFTY Index Options'!$M:$M,'NSE - NIFTY Index Options'!$C:$C,$A87,'NSE - NIFTY Index Options'!$B:$B,F$4,'NSE - NIFTY Index Options'!$I:$I,"Weekly*")+SUMIFS('NSE - NIFTY Index Options'!$M:$M,'NSE - NIFTY Index Options'!$C:$C,$A87,'NSE - NIFTY Index Options'!$B:$B,F$4,'NSE - NIFTY Index Options'!$I:$I,"MDAW*")+SUMIFS('NSE - Other Index Options'!$M:$M,'NSE - Other Index Options'!$C:$C,$A87,'NSE - Other Index Options'!$B:$B,F$4,'NSE - Other Index Options'!$I:$I,"Weekly*")+SUMIFS('NSE - Other Index Options'!$M:$M,'NSE - Other Index Options'!$C:$C,$A87,'NSE - Other Index Options'!$B:$B,F$4,'NSE - Other Index Options'!$I:$I,"MDAW*")+SUMIFS('BSE - SENSEX Index Options'!$M:$M,'BSE - SENSEX Index Options'!$C:$C,$A87,'BSE - SENSEX Index Options'!$B:$B,F$4,'BSE - SENSEX Index Options'!$I:$I,"Weekly*")+SUMIFS('BSE - SENSEX Index Options'!$M:$M,'BSE - SENSEX Index Options'!$C:$C,$A87,'BSE - SENSEX Index Options'!$B:$B,F$4,'BSE - SENSEX Index Options'!$I:$I,"MDAW*")+SUMIFS('BSE - Other Index Options'!$M:$M,'BSE - Other Index Options'!$C:$C,$A87,'BSE - Other Index Options'!$B:$B,F$4,'BSE - Other Index Options'!$I:$I,"Weekly*")+SUMIFS('BSE - Other Index Options'!$M:$M,'BSE - Other Index Options'!$C:$C,$A87,'BSE - Other Index Options'!$B:$B,F$4,'BSE - Other Index Options'!$I:$I,"MDAW*")=0,"",SUMIFS('NSE - NIFTY Index Options'!$M:$M,'NSE - NIFTY Index Options'!$C:$C,$A87,'NSE - NIFTY Index Options'!$B:$B,F$4,'NSE - NIFTY Index Options'!$I:$I,"Weekly*")+SUMIFS('NSE - NIFTY Index Options'!$M:$M,'NSE - NIFTY Index Options'!$C:$C,$A87,'NSE - NIFTY Index Options'!$B:$B,F$4,'NSE - NIFTY Index Options'!$I:$I,"MDAW*")+SUMIFS('NSE - Other Index Options'!$M:$M,'NSE - Other Index Options'!$C:$C,$A87,'NSE - Other Index Options'!$B:$B,F$4,'NSE - Other Index Options'!$I:$I,"Weekly*")+SUMIFS('NSE - Other Index Options'!$M:$M,'NSE - Other Index Options'!$C:$C,$A87,'NSE - Other Index Options'!$B:$B,F$4,'NSE - Other Index Options'!$I:$I,"MDAW*")+SUMIFS('BSE - SENSEX Index Options'!$M:$M,'BSE - SENSEX Index Options'!$C:$C,$A87,'BSE - SENSEX Index Options'!$B:$B,F$4,'BSE - SENSEX Index Options'!$I:$I,"Weekly*")+SUMIFS('BSE - SENSEX Index Options'!$M:$M,'BSE - SENSEX Index Options'!$C:$C,$A87,'BSE - SENSEX Index Options'!$B:$B,F$4,'BSE - SENSEX Index Options'!$I:$I,"MDAW*")+SUMIFS('BSE - Other Index Options'!$M:$M,'BSE - Other Index Options'!$C:$C,$A87,'BSE - Other Index Options'!$B:$B,F$4,'BSE - Other Index Options'!$I:$I,"Weekly*")+SUMIFS('BSE - Other Index Options'!$M:$M,'BSE - Other Index Options'!$C:$C,$A87,'BSE - Other Index Options'!$B:$B,F$4,'BSE - Other Index Options'!$I:$I,"MDAW*"))</f>
        <v/>
      </c>
      <c r="G87" s="26">
        <f>IF(SUMIFS('NSE - NIFTY Index Options'!$M:$M,'NSE - NIFTY Index Options'!$C:$C,$A87,'NSE - NIFTY Index Options'!$B:$B,G$4,'NSE - NIFTY Index Options'!$I:$I,"Weekly*")+SUMIFS('NSE - NIFTY Index Options'!$M:$M,'NSE - NIFTY Index Options'!$C:$C,$A87,'NSE - NIFTY Index Options'!$B:$B,G$4,'NSE - NIFTY Index Options'!$I:$I,"MDAW*")+SUMIFS('NSE - Other Index Options'!$M:$M,'NSE - Other Index Options'!$C:$C,$A87,'NSE - Other Index Options'!$B:$B,G$4,'NSE - Other Index Options'!$I:$I,"Weekly*")+SUMIFS('NSE - Other Index Options'!$M:$M,'NSE - Other Index Options'!$C:$C,$A87,'NSE - Other Index Options'!$B:$B,G$4,'NSE - Other Index Options'!$I:$I,"MDAW*")+SUMIFS('BSE - SENSEX Index Options'!$M:$M,'BSE - SENSEX Index Options'!$C:$C,$A87,'BSE - SENSEX Index Options'!$B:$B,G$4,'BSE - SENSEX Index Options'!$I:$I,"Weekly*")+SUMIFS('BSE - SENSEX Index Options'!$M:$M,'BSE - SENSEX Index Options'!$C:$C,$A87,'BSE - SENSEX Index Options'!$B:$B,G$4,'BSE - SENSEX Index Options'!$I:$I,"MDAW*")+SUMIFS('BSE - Other Index Options'!$M:$M,'BSE - Other Index Options'!$C:$C,$A87,'BSE - Other Index Options'!$B:$B,G$4,'BSE - Other Index Options'!$I:$I,"Weekly*")+SUMIFS('BSE - Other Index Options'!$M:$M,'BSE - Other Index Options'!$C:$C,$A87,'BSE - Other Index Options'!$B:$B,G$4,'BSE - Other Index Options'!$I:$I,"MDAW*")=0,"",SUMIFS('NSE - NIFTY Index Options'!$M:$M,'NSE - NIFTY Index Options'!$C:$C,$A87,'NSE - NIFTY Index Options'!$B:$B,G$4,'NSE - NIFTY Index Options'!$I:$I,"Weekly*")+SUMIFS('NSE - NIFTY Index Options'!$M:$M,'NSE - NIFTY Index Options'!$C:$C,$A87,'NSE - NIFTY Index Options'!$B:$B,G$4,'NSE - NIFTY Index Options'!$I:$I,"MDAW*")+SUMIFS('NSE - Other Index Options'!$M:$M,'NSE - Other Index Options'!$C:$C,$A87,'NSE - Other Index Options'!$B:$B,G$4,'NSE - Other Index Options'!$I:$I,"Weekly*")+SUMIFS('NSE - Other Index Options'!$M:$M,'NSE - Other Index Options'!$C:$C,$A87,'NSE - Other Index Options'!$B:$B,G$4,'NSE - Other Index Options'!$I:$I,"MDAW*")+SUMIFS('BSE - SENSEX Index Options'!$M:$M,'BSE - SENSEX Index Options'!$C:$C,$A87,'BSE - SENSEX Index Options'!$B:$B,G$4,'BSE - SENSEX Index Options'!$I:$I,"Weekly*")+SUMIFS('BSE - SENSEX Index Options'!$M:$M,'BSE - SENSEX Index Options'!$C:$C,$A87,'BSE - SENSEX Index Options'!$B:$B,G$4,'BSE - SENSEX Index Options'!$I:$I,"MDAW*")+SUMIFS('BSE - Other Index Options'!$M:$M,'BSE - Other Index Options'!$C:$C,$A87,'BSE - Other Index Options'!$B:$B,G$4,'BSE - Other Index Options'!$I:$I,"Weekly*")+SUMIFS('BSE - Other Index Options'!$M:$M,'BSE - Other Index Options'!$C:$C,$A87,'BSE - Other Index Options'!$B:$B,G$4,'BSE - Other Index Options'!$I:$I,"MDAW*"))</f>
        <v/>
      </c>
      <c r="H87" s="26">
        <f>IF(SUM(B87:G87)=0,"",SUM(B87:G87))</f>
        <v/>
      </c>
    </row>
    <row r="88" hidden="1" outlineLevel="1">
      <c r="A88" t="inlineStr">
        <is>
          <t>Week5-Jan-2027</t>
        </is>
      </c>
      <c r="B88" s="26">
        <f>IF(SUMIFS('NSE - NIFTY Index Options'!$M:$M,'NSE - NIFTY Index Options'!$C:$C,$A88,'NSE - NIFTY Index Options'!$B:$B,B$4,'NSE - NIFTY Index Options'!$I:$I,"Weekly*")+SUMIFS('NSE - NIFTY Index Options'!$M:$M,'NSE - NIFTY Index Options'!$C:$C,$A88,'NSE - NIFTY Index Options'!$B:$B,B$4,'NSE - NIFTY Index Options'!$I:$I,"MDAW*")+SUMIFS('NSE - Other Index Options'!$M:$M,'NSE - Other Index Options'!$C:$C,$A88,'NSE - Other Index Options'!$B:$B,B$4,'NSE - Other Index Options'!$I:$I,"Weekly*")+SUMIFS('NSE - Other Index Options'!$M:$M,'NSE - Other Index Options'!$C:$C,$A88,'NSE - Other Index Options'!$B:$B,B$4,'NSE - Other Index Options'!$I:$I,"MDAW*")+SUMIFS('BSE - SENSEX Index Options'!$M:$M,'BSE - SENSEX Index Options'!$C:$C,$A88,'BSE - SENSEX Index Options'!$B:$B,B$4,'BSE - SENSEX Index Options'!$I:$I,"Weekly*")+SUMIFS('BSE - SENSEX Index Options'!$M:$M,'BSE - SENSEX Index Options'!$C:$C,$A88,'BSE - SENSEX Index Options'!$B:$B,B$4,'BSE - SENSEX Index Options'!$I:$I,"MDAW*")+SUMIFS('BSE - Other Index Options'!$M:$M,'BSE - Other Index Options'!$C:$C,$A88,'BSE - Other Index Options'!$B:$B,B$4,'BSE - Other Index Options'!$I:$I,"Weekly*")+SUMIFS('BSE - Other Index Options'!$M:$M,'BSE - Other Index Options'!$C:$C,$A88,'BSE - Other Index Options'!$B:$B,B$4,'BSE - Other Index Options'!$I:$I,"MDAW*")=0,"",SUMIFS('NSE - NIFTY Index Options'!$M:$M,'NSE - NIFTY Index Options'!$C:$C,$A88,'NSE - NIFTY Index Options'!$B:$B,B$4,'NSE - NIFTY Index Options'!$I:$I,"Weekly*")+SUMIFS('NSE - NIFTY Index Options'!$M:$M,'NSE - NIFTY Index Options'!$C:$C,$A88,'NSE - NIFTY Index Options'!$B:$B,B$4,'NSE - NIFTY Index Options'!$I:$I,"MDAW*")+SUMIFS('NSE - Other Index Options'!$M:$M,'NSE - Other Index Options'!$C:$C,$A88,'NSE - Other Index Options'!$B:$B,B$4,'NSE - Other Index Options'!$I:$I,"Weekly*")+SUMIFS('NSE - Other Index Options'!$M:$M,'NSE - Other Index Options'!$C:$C,$A88,'NSE - Other Index Options'!$B:$B,B$4,'NSE - Other Index Options'!$I:$I,"MDAW*")+SUMIFS('BSE - SENSEX Index Options'!$M:$M,'BSE - SENSEX Index Options'!$C:$C,$A88,'BSE - SENSEX Index Options'!$B:$B,B$4,'BSE - SENSEX Index Options'!$I:$I,"Weekly*")+SUMIFS('BSE - SENSEX Index Options'!$M:$M,'BSE - SENSEX Index Options'!$C:$C,$A88,'BSE - SENSEX Index Options'!$B:$B,B$4,'BSE - SENSEX Index Options'!$I:$I,"MDAW*")+SUMIFS('BSE - Other Index Options'!$M:$M,'BSE - Other Index Options'!$C:$C,$A88,'BSE - Other Index Options'!$B:$B,B$4,'BSE - Other Index Options'!$I:$I,"Weekly*")+SUMIFS('BSE - Other Index Options'!$M:$M,'BSE - Other Index Options'!$C:$C,$A88,'BSE - Other Index Options'!$B:$B,B$4,'BSE - Other Index Options'!$I:$I,"MDAW*"))</f>
        <v/>
      </c>
      <c r="C88" s="26">
        <f>IF(SUMIFS('NSE - NIFTY Index Options'!$M:$M,'NSE - NIFTY Index Options'!$C:$C,$A88,'NSE - NIFTY Index Options'!$B:$B,C$4,'NSE - NIFTY Index Options'!$I:$I,"Weekly*")+SUMIFS('NSE - NIFTY Index Options'!$M:$M,'NSE - NIFTY Index Options'!$C:$C,$A88,'NSE - NIFTY Index Options'!$B:$B,C$4,'NSE - NIFTY Index Options'!$I:$I,"MDAW*")+SUMIFS('NSE - Other Index Options'!$M:$M,'NSE - Other Index Options'!$C:$C,$A88,'NSE - Other Index Options'!$B:$B,C$4,'NSE - Other Index Options'!$I:$I,"Weekly*")+SUMIFS('NSE - Other Index Options'!$M:$M,'NSE - Other Index Options'!$C:$C,$A88,'NSE - Other Index Options'!$B:$B,C$4,'NSE - Other Index Options'!$I:$I,"MDAW*")+SUMIFS('BSE - SENSEX Index Options'!$M:$M,'BSE - SENSEX Index Options'!$C:$C,$A88,'BSE - SENSEX Index Options'!$B:$B,C$4,'BSE - SENSEX Index Options'!$I:$I,"Weekly*")+SUMIFS('BSE - SENSEX Index Options'!$M:$M,'BSE - SENSEX Index Options'!$C:$C,$A88,'BSE - SENSEX Index Options'!$B:$B,C$4,'BSE - SENSEX Index Options'!$I:$I,"MDAW*")+SUMIFS('BSE - Other Index Options'!$M:$M,'BSE - Other Index Options'!$C:$C,$A88,'BSE - Other Index Options'!$B:$B,C$4,'BSE - Other Index Options'!$I:$I,"Weekly*")+SUMIFS('BSE - Other Index Options'!$M:$M,'BSE - Other Index Options'!$C:$C,$A88,'BSE - Other Index Options'!$B:$B,C$4,'BSE - Other Index Options'!$I:$I,"MDAW*")=0,"",SUMIFS('NSE - NIFTY Index Options'!$M:$M,'NSE - NIFTY Index Options'!$C:$C,$A88,'NSE - NIFTY Index Options'!$B:$B,C$4,'NSE - NIFTY Index Options'!$I:$I,"Weekly*")+SUMIFS('NSE - NIFTY Index Options'!$M:$M,'NSE - NIFTY Index Options'!$C:$C,$A88,'NSE - NIFTY Index Options'!$B:$B,C$4,'NSE - NIFTY Index Options'!$I:$I,"MDAW*")+SUMIFS('NSE - Other Index Options'!$M:$M,'NSE - Other Index Options'!$C:$C,$A88,'NSE - Other Index Options'!$B:$B,C$4,'NSE - Other Index Options'!$I:$I,"Weekly*")+SUMIFS('NSE - Other Index Options'!$M:$M,'NSE - Other Index Options'!$C:$C,$A88,'NSE - Other Index Options'!$B:$B,C$4,'NSE - Other Index Options'!$I:$I,"MDAW*")+SUMIFS('BSE - SENSEX Index Options'!$M:$M,'BSE - SENSEX Index Options'!$C:$C,$A88,'BSE - SENSEX Index Options'!$B:$B,C$4,'BSE - SENSEX Index Options'!$I:$I,"Weekly*")+SUMIFS('BSE - SENSEX Index Options'!$M:$M,'BSE - SENSEX Index Options'!$C:$C,$A88,'BSE - SENSEX Index Options'!$B:$B,C$4,'BSE - SENSEX Index Options'!$I:$I,"MDAW*")+SUMIFS('BSE - Other Index Options'!$M:$M,'BSE - Other Index Options'!$C:$C,$A88,'BSE - Other Index Options'!$B:$B,C$4,'BSE - Other Index Options'!$I:$I,"Weekly*")+SUMIFS('BSE - Other Index Options'!$M:$M,'BSE - Other Index Options'!$C:$C,$A88,'BSE - Other Index Options'!$B:$B,C$4,'BSE - Other Index Options'!$I:$I,"MDAW*"))</f>
        <v/>
      </c>
      <c r="D88" s="26">
        <f>IF(SUMIFS('NSE - NIFTY Index Options'!$M:$M,'NSE - NIFTY Index Options'!$C:$C,$A88,'NSE - NIFTY Index Options'!$B:$B,D$4,'NSE - NIFTY Index Options'!$I:$I,"Weekly*")+SUMIFS('NSE - NIFTY Index Options'!$M:$M,'NSE - NIFTY Index Options'!$C:$C,$A88,'NSE - NIFTY Index Options'!$B:$B,D$4,'NSE - NIFTY Index Options'!$I:$I,"MDAW*")+SUMIFS('NSE - Other Index Options'!$M:$M,'NSE - Other Index Options'!$C:$C,$A88,'NSE - Other Index Options'!$B:$B,D$4,'NSE - Other Index Options'!$I:$I,"Weekly*")+SUMIFS('NSE - Other Index Options'!$M:$M,'NSE - Other Index Options'!$C:$C,$A88,'NSE - Other Index Options'!$B:$B,D$4,'NSE - Other Index Options'!$I:$I,"MDAW*")+SUMIFS('BSE - SENSEX Index Options'!$M:$M,'BSE - SENSEX Index Options'!$C:$C,$A88,'BSE - SENSEX Index Options'!$B:$B,D$4,'BSE - SENSEX Index Options'!$I:$I,"Weekly*")+SUMIFS('BSE - SENSEX Index Options'!$M:$M,'BSE - SENSEX Index Options'!$C:$C,$A88,'BSE - SENSEX Index Options'!$B:$B,D$4,'BSE - SENSEX Index Options'!$I:$I,"MDAW*")+SUMIFS('BSE - Other Index Options'!$M:$M,'BSE - Other Index Options'!$C:$C,$A88,'BSE - Other Index Options'!$B:$B,D$4,'BSE - Other Index Options'!$I:$I,"Weekly*")+SUMIFS('BSE - Other Index Options'!$M:$M,'BSE - Other Index Options'!$C:$C,$A88,'BSE - Other Index Options'!$B:$B,D$4,'BSE - Other Index Options'!$I:$I,"MDAW*")=0,"",SUMIFS('NSE - NIFTY Index Options'!$M:$M,'NSE - NIFTY Index Options'!$C:$C,$A88,'NSE - NIFTY Index Options'!$B:$B,D$4,'NSE - NIFTY Index Options'!$I:$I,"Weekly*")+SUMIFS('NSE - NIFTY Index Options'!$M:$M,'NSE - NIFTY Index Options'!$C:$C,$A88,'NSE - NIFTY Index Options'!$B:$B,D$4,'NSE - NIFTY Index Options'!$I:$I,"MDAW*")+SUMIFS('NSE - Other Index Options'!$M:$M,'NSE - Other Index Options'!$C:$C,$A88,'NSE - Other Index Options'!$B:$B,D$4,'NSE - Other Index Options'!$I:$I,"Weekly*")+SUMIFS('NSE - Other Index Options'!$M:$M,'NSE - Other Index Options'!$C:$C,$A88,'NSE - Other Index Options'!$B:$B,D$4,'NSE - Other Index Options'!$I:$I,"MDAW*")+SUMIFS('BSE - SENSEX Index Options'!$M:$M,'BSE - SENSEX Index Options'!$C:$C,$A88,'BSE - SENSEX Index Options'!$B:$B,D$4,'BSE - SENSEX Index Options'!$I:$I,"Weekly*")+SUMIFS('BSE - SENSEX Index Options'!$M:$M,'BSE - SENSEX Index Options'!$C:$C,$A88,'BSE - SENSEX Index Options'!$B:$B,D$4,'BSE - SENSEX Index Options'!$I:$I,"MDAW*")+SUMIFS('BSE - Other Index Options'!$M:$M,'BSE - Other Index Options'!$C:$C,$A88,'BSE - Other Index Options'!$B:$B,D$4,'BSE - Other Index Options'!$I:$I,"Weekly*")+SUMIFS('BSE - Other Index Options'!$M:$M,'BSE - Other Index Options'!$C:$C,$A88,'BSE - Other Index Options'!$B:$B,D$4,'BSE - Other Index Options'!$I:$I,"MDAW*"))</f>
        <v/>
      </c>
      <c r="E88" s="26">
        <f>IF(SUMIFS('NSE - NIFTY Index Options'!$M:$M,'NSE - NIFTY Index Options'!$C:$C,$A88,'NSE - NIFTY Index Options'!$B:$B,E$4,'NSE - NIFTY Index Options'!$I:$I,"Weekly*")+SUMIFS('NSE - NIFTY Index Options'!$M:$M,'NSE - NIFTY Index Options'!$C:$C,$A88,'NSE - NIFTY Index Options'!$B:$B,E$4,'NSE - NIFTY Index Options'!$I:$I,"MDAW*")+SUMIFS('NSE - Other Index Options'!$M:$M,'NSE - Other Index Options'!$C:$C,$A88,'NSE - Other Index Options'!$B:$B,E$4,'NSE - Other Index Options'!$I:$I,"Weekly*")+SUMIFS('NSE - Other Index Options'!$M:$M,'NSE - Other Index Options'!$C:$C,$A88,'NSE - Other Index Options'!$B:$B,E$4,'NSE - Other Index Options'!$I:$I,"MDAW*")+SUMIFS('BSE - SENSEX Index Options'!$M:$M,'BSE - SENSEX Index Options'!$C:$C,$A88,'BSE - SENSEX Index Options'!$B:$B,E$4,'BSE - SENSEX Index Options'!$I:$I,"Weekly*")+SUMIFS('BSE - SENSEX Index Options'!$M:$M,'BSE - SENSEX Index Options'!$C:$C,$A88,'BSE - SENSEX Index Options'!$B:$B,E$4,'BSE - SENSEX Index Options'!$I:$I,"MDAW*")+SUMIFS('BSE - Other Index Options'!$M:$M,'BSE - Other Index Options'!$C:$C,$A88,'BSE - Other Index Options'!$B:$B,E$4,'BSE - Other Index Options'!$I:$I,"Weekly*")+SUMIFS('BSE - Other Index Options'!$M:$M,'BSE - Other Index Options'!$C:$C,$A88,'BSE - Other Index Options'!$B:$B,E$4,'BSE - Other Index Options'!$I:$I,"MDAW*")=0,"",SUMIFS('NSE - NIFTY Index Options'!$M:$M,'NSE - NIFTY Index Options'!$C:$C,$A88,'NSE - NIFTY Index Options'!$B:$B,E$4,'NSE - NIFTY Index Options'!$I:$I,"Weekly*")+SUMIFS('NSE - NIFTY Index Options'!$M:$M,'NSE - NIFTY Index Options'!$C:$C,$A88,'NSE - NIFTY Index Options'!$B:$B,E$4,'NSE - NIFTY Index Options'!$I:$I,"MDAW*")+SUMIFS('NSE - Other Index Options'!$M:$M,'NSE - Other Index Options'!$C:$C,$A88,'NSE - Other Index Options'!$B:$B,E$4,'NSE - Other Index Options'!$I:$I,"Weekly*")+SUMIFS('NSE - Other Index Options'!$M:$M,'NSE - Other Index Options'!$C:$C,$A88,'NSE - Other Index Options'!$B:$B,E$4,'NSE - Other Index Options'!$I:$I,"MDAW*")+SUMIFS('BSE - SENSEX Index Options'!$M:$M,'BSE - SENSEX Index Options'!$C:$C,$A88,'BSE - SENSEX Index Options'!$B:$B,E$4,'BSE - SENSEX Index Options'!$I:$I,"Weekly*")+SUMIFS('BSE - SENSEX Index Options'!$M:$M,'BSE - SENSEX Index Options'!$C:$C,$A88,'BSE - SENSEX Index Options'!$B:$B,E$4,'BSE - SENSEX Index Options'!$I:$I,"MDAW*")+SUMIFS('BSE - Other Index Options'!$M:$M,'BSE - Other Index Options'!$C:$C,$A88,'BSE - Other Index Options'!$B:$B,E$4,'BSE - Other Index Options'!$I:$I,"Weekly*")+SUMIFS('BSE - Other Index Options'!$M:$M,'BSE - Other Index Options'!$C:$C,$A88,'BSE - Other Index Options'!$B:$B,E$4,'BSE - Other Index Options'!$I:$I,"MDAW*"))</f>
        <v/>
      </c>
      <c r="F88" s="26">
        <f>IF(SUMIFS('NSE - NIFTY Index Options'!$M:$M,'NSE - NIFTY Index Options'!$C:$C,$A88,'NSE - NIFTY Index Options'!$B:$B,F$4,'NSE - NIFTY Index Options'!$I:$I,"Weekly*")+SUMIFS('NSE - NIFTY Index Options'!$M:$M,'NSE - NIFTY Index Options'!$C:$C,$A88,'NSE - NIFTY Index Options'!$B:$B,F$4,'NSE - NIFTY Index Options'!$I:$I,"MDAW*")+SUMIFS('NSE - Other Index Options'!$M:$M,'NSE - Other Index Options'!$C:$C,$A88,'NSE - Other Index Options'!$B:$B,F$4,'NSE - Other Index Options'!$I:$I,"Weekly*")+SUMIFS('NSE - Other Index Options'!$M:$M,'NSE - Other Index Options'!$C:$C,$A88,'NSE - Other Index Options'!$B:$B,F$4,'NSE - Other Index Options'!$I:$I,"MDAW*")+SUMIFS('BSE - SENSEX Index Options'!$M:$M,'BSE - SENSEX Index Options'!$C:$C,$A88,'BSE - SENSEX Index Options'!$B:$B,F$4,'BSE - SENSEX Index Options'!$I:$I,"Weekly*")+SUMIFS('BSE - SENSEX Index Options'!$M:$M,'BSE - SENSEX Index Options'!$C:$C,$A88,'BSE - SENSEX Index Options'!$B:$B,F$4,'BSE - SENSEX Index Options'!$I:$I,"MDAW*")+SUMIFS('BSE - Other Index Options'!$M:$M,'BSE - Other Index Options'!$C:$C,$A88,'BSE - Other Index Options'!$B:$B,F$4,'BSE - Other Index Options'!$I:$I,"Weekly*")+SUMIFS('BSE - Other Index Options'!$M:$M,'BSE - Other Index Options'!$C:$C,$A88,'BSE - Other Index Options'!$B:$B,F$4,'BSE - Other Index Options'!$I:$I,"MDAW*")=0,"",SUMIFS('NSE - NIFTY Index Options'!$M:$M,'NSE - NIFTY Index Options'!$C:$C,$A88,'NSE - NIFTY Index Options'!$B:$B,F$4,'NSE - NIFTY Index Options'!$I:$I,"Weekly*")+SUMIFS('NSE - NIFTY Index Options'!$M:$M,'NSE - NIFTY Index Options'!$C:$C,$A88,'NSE - NIFTY Index Options'!$B:$B,F$4,'NSE - NIFTY Index Options'!$I:$I,"MDAW*")+SUMIFS('NSE - Other Index Options'!$M:$M,'NSE - Other Index Options'!$C:$C,$A88,'NSE - Other Index Options'!$B:$B,F$4,'NSE - Other Index Options'!$I:$I,"Weekly*")+SUMIFS('NSE - Other Index Options'!$M:$M,'NSE - Other Index Options'!$C:$C,$A88,'NSE - Other Index Options'!$B:$B,F$4,'NSE - Other Index Options'!$I:$I,"MDAW*")+SUMIFS('BSE - SENSEX Index Options'!$M:$M,'BSE - SENSEX Index Options'!$C:$C,$A88,'BSE - SENSEX Index Options'!$B:$B,F$4,'BSE - SENSEX Index Options'!$I:$I,"Weekly*")+SUMIFS('BSE - SENSEX Index Options'!$M:$M,'BSE - SENSEX Index Options'!$C:$C,$A88,'BSE - SENSEX Index Options'!$B:$B,F$4,'BSE - SENSEX Index Options'!$I:$I,"MDAW*")+SUMIFS('BSE - Other Index Options'!$M:$M,'BSE - Other Index Options'!$C:$C,$A88,'BSE - Other Index Options'!$B:$B,F$4,'BSE - Other Index Options'!$I:$I,"Weekly*")+SUMIFS('BSE - Other Index Options'!$M:$M,'BSE - Other Index Options'!$C:$C,$A88,'BSE - Other Index Options'!$B:$B,F$4,'BSE - Other Index Options'!$I:$I,"MDAW*"))</f>
        <v/>
      </c>
      <c r="G88" s="26">
        <f>IF(SUMIFS('NSE - NIFTY Index Options'!$M:$M,'NSE - NIFTY Index Options'!$C:$C,$A88,'NSE - NIFTY Index Options'!$B:$B,G$4,'NSE - NIFTY Index Options'!$I:$I,"Weekly*")+SUMIFS('NSE - NIFTY Index Options'!$M:$M,'NSE - NIFTY Index Options'!$C:$C,$A88,'NSE - NIFTY Index Options'!$B:$B,G$4,'NSE - NIFTY Index Options'!$I:$I,"MDAW*")+SUMIFS('NSE - Other Index Options'!$M:$M,'NSE - Other Index Options'!$C:$C,$A88,'NSE - Other Index Options'!$B:$B,G$4,'NSE - Other Index Options'!$I:$I,"Weekly*")+SUMIFS('NSE - Other Index Options'!$M:$M,'NSE - Other Index Options'!$C:$C,$A88,'NSE - Other Index Options'!$B:$B,G$4,'NSE - Other Index Options'!$I:$I,"MDAW*")+SUMIFS('BSE - SENSEX Index Options'!$M:$M,'BSE - SENSEX Index Options'!$C:$C,$A88,'BSE - SENSEX Index Options'!$B:$B,G$4,'BSE - SENSEX Index Options'!$I:$I,"Weekly*")+SUMIFS('BSE - SENSEX Index Options'!$M:$M,'BSE - SENSEX Index Options'!$C:$C,$A88,'BSE - SENSEX Index Options'!$B:$B,G$4,'BSE - SENSEX Index Options'!$I:$I,"MDAW*")+SUMIFS('BSE - Other Index Options'!$M:$M,'BSE - Other Index Options'!$C:$C,$A88,'BSE - Other Index Options'!$B:$B,G$4,'BSE - Other Index Options'!$I:$I,"Weekly*")+SUMIFS('BSE - Other Index Options'!$M:$M,'BSE - Other Index Options'!$C:$C,$A88,'BSE - Other Index Options'!$B:$B,G$4,'BSE - Other Index Options'!$I:$I,"MDAW*")=0,"",SUMIFS('NSE - NIFTY Index Options'!$M:$M,'NSE - NIFTY Index Options'!$C:$C,$A88,'NSE - NIFTY Index Options'!$B:$B,G$4,'NSE - NIFTY Index Options'!$I:$I,"Weekly*")+SUMIFS('NSE - NIFTY Index Options'!$M:$M,'NSE - NIFTY Index Options'!$C:$C,$A88,'NSE - NIFTY Index Options'!$B:$B,G$4,'NSE - NIFTY Index Options'!$I:$I,"MDAW*")+SUMIFS('NSE - Other Index Options'!$M:$M,'NSE - Other Index Options'!$C:$C,$A88,'NSE - Other Index Options'!$B:$B,G$4,'NSE - Other Index Options'!$I:$I,"Weekly*")+SUMIFS('NSE - Other Index Options'!$M:$M,'NSE - Other Index Options'!$C:$C,$A88,'NSE - Other Index Options'!$B:$B,G$4,'NSE - Other Index Options'!$I:$I,"MDAW*")+SUMIFS('BSE - SENSEX Index Options'!$M:$M,'BSE - SENSEX Index Options'!$C:$C,$A88,'BSE - SENSEX Index Options'!$B:$B,G$4,'BSE - SENSEX Index Options'!$I:$I,"Weekly*")+SUMIFS('BSE - SENSEX Index Options'!$M:$M,'BSE - SENSEX Index Options'!$C:$C,$A88,'BSE - SENSEX Index Options'!$B:$B,G$4,'BSE - SENSEX Index Options'!$I:$I,"MDAW*")+SUMIFS('BSE - Other Index Options'!$M:$M,'BSE - Other Index Options'!$C:$C,$A88,'BSE - Other Index Options'!$B:$B,G$4,'BSE - Other Index Options'!$I:$I,"Weekly*")+SUMIFS('BSE - Other Index Options'!$M:$M,'BSE - Other Index Options'!$C:$C,$A88,'BSE - Other Index Options'!$B:$B,G$4,'BSE - Other Index Options'!$I:$I,"MDAW*"))</f>
        <v/>
      </c>
      <c r="H88" s="26">
        <f>IF(SUM(B88:G88)=0,"",SUM(B88:G88))</f>
        <v/>
      </c>
    </row>
    <row r="89" hidden="1" outlineLevel="1">
      <c r="A89" t="inlineStr">
        <is>
          <t>Week1-Feb-2027</t>
        </is>
      </c>
      <c r="B89" s="26">
        <f>IF(SUMIFS('NSE - NIFTY Index Options'!$M:$M,'NSE - NIFTY Index Options'!$C:$C,$A89,'NSE - NIFTY Index Options'!$B:$B,B$4,'NSE - NIFTY Index Options'!$I:$I,"Weekly*")+SUMIFS('NSE - NIFTY Index Options'!$M:$M,'NSE - NIFTY Index Options'!$C:$C,$A89,'NSE - NIFTY Index Options'!$B:$B,B$4,'NSE - NIFTY Index Options'!$I:$I,"MDAW*")+SUMIFS('NSE - Other Index Options'!$M:$M,'NSE - Other Index Options'!$C:$C,$A89,'NSE - Other Index Options'!$B:$B,B$4,'NSE - Other Index Options'!$I:$I,"Weekly*")+SUMIFS('NSE - Other Index Options'!$M:$M,'NSE - Other Index Options'!$C:$C,$A89,'NSE - Other Index Options'!$B:$B,B$4,'NSE - Other Index Options'!$I:$I,"MDAW*")+SUMIFS('BSE - SENSEX Index Options'!$M:$M,'BSE - SENSEX Index Options'!$C:$C,$A89,'BSE - SENSEX Index Options'!$B:$B,B$4,'BSE - SENSEX Index Options'!$I:$I,"Weekly*")+SUMIFS('BSE - SENSEX Index Options'!$M:$M,'BSE - SENSEX Index Options'!$C:$C,$A89,'BSE - SENSEX Index Options'!$B:$B,B$4,'BSE - SENSEX Index Options'!$I:$I,"MDAW*")+SUMIFS('BSE - Other Index Options'!$M:$M,'BSE - Other Index Options'!$C:$C,$A89,'BSE - Other Index Options'!$B:$B,B$4,'BSE - Other Index Options'!$I:$I,"Weekly*")+SUMIFS('BSE - Other Index Options'!$M:$M,'BSE - Other Index Options'!$C:$C,$A89,'BSE - Other Index Options'!$B:$B,B$4,'BSE - Other Index Options'!$I:$I,"MDAW*")=0,"",SUMIFS('NSE - NIFTY Index Options'!$M:$M,'NSE - NIFTY Index Options'!$C:$C,$A89,'NSE - NIFTY Index Options'!$B:$B,B$4,'NSE - NIFTY Index Options'!$I:$I,"Weekly*")+SUMIFS('NSE - NIFTY Index Options'!$M:$M,'NSE - NIFTY Index Options'!$C:$C,$A89,'NSE - NIFTY Index Options'!$B:$B,B$4,'NSE - NIFTY Index Options'!$I:$I,"MDAW*")+SUMIFS('NSE - Other Index Options'!$M:$M,'NSE - Other Index Options'!$C:$C,$A89,'NSE - Other Index Options'!$B:$B,B$4,'NSE - Other Index Options'!$I:$I,"Weekly*")+SUMIFS('NSE - Other Index Options'!$M:$M,'NSE - Other Index Options'!$C:$C,$A89,'NSE - Other Index Options'!$B:$B,B$4,'NSE - Other Index Options'!$I:$I,"MDAW*")+SUMIFS('BSE - SENSEX Index Options'!$M:$M,'BSE - SENSEX Index Options'!$C:$C,$A89,'BSE - SENSEX Index Options'!$B:$B,B$4,'BSE - SENSEX Index Options'!$I:$I,"Weekly*")+SUMIFS('BSE - SENSEX Index Options'!$M:$M,'BSE - SENSEX Index Options'!$C:$C,$A89,'BSE - SENSEX Index Options'!$B:$B,B$4,'BSE - SENSEX Index Options'!$I:$I,"MDAW*")+SUMIFS('BSE - Other Index Options'!$M:$M,'BSE - Other Index Options'!$C:$C,$A89,'BSE - Other Index Options'!$B:$B,B$4,'BSE - Other Index Options'!$I:$I,"Weekly*")+SUMIFS('BSE - Other Index Options'!$M:$M,'BSE - Other Index Options'!$C:$C,$A89,'BSE - Other Index Options'!$B:$B,B$4,'BSE - Other Index Options'!$I:$I,"MDAW*"))</f>
        <v/>
      </c>
      <c r="C89" s="26">
        <f>IF(SUMIFS('NSE - NIFTY Index Options'!$M:$M,'NSE - NIFTY Index Options'!$C:$C,$A89,'NSE - NIFTY Index Options'!$B:$B,C$4,'NSE - NIFTY Index Options'!$I:$I,"Weekly*")+SUMIFS('NSE - NIFTY Index Options'!$M:$M,'NSE - NIFTY Index Options'!$C:$C,$A89,'NSE - NIFTY Index Options'!$B:$B,C$4,'NSE - NIFTY Index Options'!$I:$I,"MDAW*")+SUMIFS('NSE - Other Index Options'!$M:$M,'NSE - Other Index Options'!$C:$C,$A89,'NSE - Other Index Options'!$B:$B,C$4,'NSE - Other Index Options'!$I:$I,"Weekly*")+SUMIFS('NSE - Other Index Options'!$M:$M,'NSE - Other Index Options'!$C:$C,$A89,'NSE - Other Index Options'!$B:$B,C$4,'NSE - Other Index Options'!$I:$I,"MDAW*")+SUMIFS('BSE - SENSEX Index Options'!$M:$M,'BSE - SENSEX Index Options'!$C:$C,$A89,'BSE - SENSEX Index Options'!$B:$B,C$4,'BSE - SENSEX Index Options'!$I:$I,"Weekly*")+SUMIFS('BSE - SENSEX Index Options'!$M:$M,'BSE - SENSEX Index Options'!$C:$C,$A89,'BSE - SENSEX Index Options'!$B:$B,C$4,'BSE - SENSEX Index Options'!$I:$I,"MDAW*")+SUMIFS('BSE - Other Index Options'!$M:$M,'BSE - Other Index Options'!$C:$C,$A89,'BSE - Other Index Options'!$B:$B,C$4,'BSE - Other Index Options'!$I:$I,"Weekly*")+SUMIFS('BSE - Other Index Options'!$M:$M,'BSE - Other Index Options'!$C:$C,$A89,'BSE - Other Index Options'!$B:$B,C$4,'BSE - Other Index Options'!$I:$I,"MDAW*")=0,"",SUMIFS('NSE - NIFTY Index Options'!$M:$M,'NSE - NIFTY Index Options'!$C:$C,$A89,'NSE - NIFTY Index Options'!$B:$B,C$4,'NSE - NIFTY Index Options'!$I:$I,"Weekly*")+SUMIFS('NSE - NIFTY Index Options'!$M:$M,'NSE - NIFTY Index Options'!$C:$C,$A89,'NSE - NIFTY Index Options'!$B:$B,C$4,'NSE - NIFTY Index Options'!$I:$I,"MDAW*")+SUMIFS('NSE - Other Index Options'!$M:$M,'NSE - Other Index Options'!$C:$C,$A89,'NSE - Other Index Options'!$B:$B,C$4,'NSE - Other Index Options'!$I:$I,"Weekly*")+SUMIFS('NSE - Other Index Options'!$M:$M,'NSE - Other Index Options'!$C:$C,$A89,'NSE - Other Index Options'!$B:$B,C$4,'NSE - Other Index Options'!$I:$I,"MDAW*")+SUMIFS('BSE - SENSEX Index Options'!$M:$M,'BSE - SENSEX Index Options'!$C:$C,$A89,'BSE - SENSEX Index Options'!$B:$B,C$4,'BSE - SENSEX Index Options'!$I:$I,"Weekly*")+SUMIFS('BSE - SENSEX Index Options'!$M:$M,'BSE - SENSEX Index Options'!$C:$C,$A89,'BSE - SENSEX Index Options'!$B:$B,C$4,'BSE - SENSEX Index Options'!$I:$I,"MDAW*")+SUMIFS('BSE - Other Index Options'!$M:$M,'BSE - Other Index Options'!$C:$C,$A89,'BSE - Other Index Options'!$B:$B,C$4,'BSE - Other Index Options'!$I:$I,"Weekly*")+SUMIFS('BSE - Other Index Options'!$M:$M,'BSE - Other Index Options'!$C:$C,$A89,'BSE - Other Index Options'!$B:$B,C$4,'BSE - Other Index Options'!$I:$I,"MDAW*"))</f>
        <v/>
      </c>
      <c r="D89" s="26">
        <f>IF(SUMIFS('NSE - NIFTY Index Options'!$M:$M,'NSE - NIFTY Index Options'!$C:$C,$A89,'NSE - NIFTY Index Options'!$B:$B,D$4,'NSE - NIFTY Index Options'!$I:$I,"Weekly*")+SUMIFS('NSE - NIFTY Index Options'!$M:$M,'NSE - NIFTY Index Options'!$C:$C,$A89,'NSE - NIFTY Index Options'!$B:$B,D$4,'NSE - NIFTY Index Options'!$I:$I,"MDAW*")+SUMIFS('NSE - Other Index Options'!$M:$M,'NSE - Other Index Options'!$C:$C,$A89,'NSE - Other Index Options'!$B:$B,D$4,'NSE - Other Index Options'!$I:$I,"Weekly*")+SUMIFS('NSE - Other Index Options'!$M:$M,'NSE - Other Index Options'!$C:$C,$A89,'NSE - Other Index Options'!$B:$B,D$4,'NSE - Other Index Options'!$I:$I,"MDAW*")+SUMIFS('BSE - SENSEX Index Options'!$M:$M,'BSE - SENSEX Index Options'!$C:$C,$A89,'BSE - SENSEX Index Options'!$B:$B,D$4,'BSE - SENSEX Index Options'!$I:$I,"Weekly*")+SUMIFS('BSE - SENSEX Index Options'!$M:$M,'BSE - SENSEX Index Options'!$C:$C,$A89,'BSE - SENSEX Index Options'!$B:$B,D$4,'BSE - SENSEX Index Options'!$I:$I,"MDAW*")+SUMIFS('BSE - Other Index Options'!$M:$M,'BSE - Other Index Options'!$C:$C,$A89,'BSE - Other Index Options'!$B:$B,D$4,'BSE - Other Index Options'!$I:$I,"Weekly*")+SUMIFS('BSE - Other Index Options'!$M:$M,'BSE - Other Index Options'!$C:$C,$A89,'BSE - Other Index Options'!$B:$B,D$4,'BSE - Other Index Options'!$I:$I,"MDAW*")=0,"",SUMIFS('NSE - NIFTY Index Options'!$M:$M,'NSE - NIFTY Index Options'!$C:$C,$A89,'NSE - NIFTY Index Options'!$B:$B,D$4,'NSE - NIFTY Index Options'!$I:$I,"Weekly*")+SUMIFS('NSE - NIFTY Index Options'!$M:$M,'NSE - NIFTY Index Options'!$C:$C,$A89,'NSE - NIFTY Index Options'!$B:$B,D$4,'NSE - NIFTY Index Options'!$I:$I,"MDAW*")+SUMIFS('NSE - Other Index Options'!$M:$M,'NSE - Other Index Options'!$C:$C,$A89,'NSE - Other Index Options'!$B:$B,D$4,'NSE - Other Index Options'!$I:$I,"Weekly*")+SUMIFS('NSE - Other Index Options'!$M:$M,'NSE - Other Index Options'!$C:$C,$A89,'NSE - Other Index Options'!$B:$B,D$4,'NSE - Other Index Options'!$I:$I,"MDAW*")+SUMIFS('BSE - SENSEX Index Options'!$M:$M,'BSE - SENSEX Index Options'!$C:$C,$A89,'BSE - SENSEX Index Options'!$B:$B,D$4,'BSE - SENSEX Index Options'!$I:$I,"Weekly*")+SUMIFS('BSE - SENSEX Index Options'!$M:$M,'BSE - SENSEX Index Options'!$C:$C,$A89,'BSE - SENSEX Index Options'!$B:$B,D$4,'BSE - SENSEX Index Options'!$I:$I,"MDAW*")+SUMIFS('BSE - Other Index Options'!$M:$M,'BSE - Other Index Options'!$C:$C,$A89,'BSE - Other Index Options'!$B:$B,D$4,'BSE - Other Index Options'!$I:$I,"Weekly*")+SUMIFS('BSE - Other Index Options'!$M:$M,'BSE - Other Index Options'!$C:$C,$A89,'BSE - Other Index Options'!$B:$B,D$4,'BSE - Other Index Options'!$I:$I,"MDAW*"))</f>
        <v/>
      </c>
      <c r="E89" s="26">
        <f>IF(SUMIFS('NSE - NIFTY Index Options'!$M:$M,'NSE - NIFTY Index Options'!$C:$C,$A89,'NSE - NIFTY Index Options'!$B:$B,E$4,'NSE - NIFTY Index Options'!$I:$I,"Weekly*")+SUMIFS('NSE - NIFTY Index Options'!$M:$M,'NSE - NIFTY Index Options'!$C:$C,$A89,'NSE - NIFTY Index Options'!$B:$B,E$4,'NSE - NIFTY Index Options'!$I:$I,"MDAW*")+SUMIFS('NSE - Other Index Options'!$M:$M,'NSE - Other Index Options'!$C:$C,$A89,'NSE - Other Index Options'!$B:$B,E$4,'NSE - Other Index Options'!$I:$I,"Weekly*")+SUMIFS('NSE - Other Index Options'!$M:$M,'NSE - Other Index Options'!$C:$C,$A89,'NSE - Other Index Options'!$B:$B,E$4,'NSE - Other Index Options'!$I:$I,"MDAW*")+SUMIFS('BSE - SENSEX Index Options'!$M:$M,'BSE - SENSEX Index Options'!$C:$C,$A89,'BSE - SENSEX Index Options'!$B:$B,E$4,'BSE - SENSEX Index Options'!$I:$I,"Weekly*")+SUMIFS('BSE - SENSEX Index Options'!$M:$M,'BSE - SENSEX Index Options'!$C:$C,$A89,'BSE - SENSEX Index Options'!$B:$B,E$4,'BSE - SENSEX Index Options'!$I:$I,"MDAW*")+SUMIFS('BSE - Other Index Options'!$M:$M,'BSE - Other Index Options'!$C:$C,$A89,'BSE - Other Index Options'!$B:$B,E$4,'BSE - Other Index Options'!$I:$I,"Weekly*")+SUMIFS('BSE - Other Index Options'!$M:$M,'BSE - Other Index Options'!$C:$C,$A89,'BSE - Other Index Options'!$B:$B,E$4,'BSE - Other Index Options'!$I:$I,"MDAW*")=0,"",SUMIFS('NSE - NIFTY Index Options'!$M:$M,'NSE - NIFTY Index Options'!$C:$C,$A89,'NSE - NIFTY Index Options'!$B:$B,E$4,'NSE - NIFTY Index Options'!$I:$I,"Weekly*")+SUMIFS('NSE - NIFTY Index Options'!$M:$M,'NSE - NIFTY Index Options'!$C:$C,$A89,'NSE - NIFTY Index Options'!$B:$B,E$4,'NSE - NIFTY Index Options'!$I:$I,"MDAW*")+SUMIFS('NSE - Other Index Options'!$M:$M,'NSE - Other Index Options'!$C:$C,$A89,'NSE - Other Index Options'!$B:$B,E$4,'NSE - Other Index Options'!$I:$I,"Weekly*")+SUMIFS('NSE - Other Index Options'!$M:$M,'NSE - Other Index Options'!$C:$C,$A89,'NSE - Other Index Options'!$B:$B,E$4,'NSE - Other Index Options'!$I:$I,"MDAW*")+SUMIFS('BSE - SENSEX Index Options'!$M:$M,'BSE - SENSEX Index Options'!$C:$C,$A89,'BSE - SENSEX Index Options'!$B:$B,E$4,'BSE - SENSEX Index Options'!$I:$I,"Weekly*")+SUMIFS('BSE - SENSEX Index Options'!$M:$M,'BSE - SENSEX Index Options'!$C:$C,$A89,'BSE - SENSEX Index Options'!$B:$B,E$4,'BSE - SENSEX Index Options'!$I:$I,"MDAW*")+SUMIFS('BSE - Other Index Options'!$M:$M,'BSE - Other Index Options'!$C:$C,$A89,'BSE - Other Index Options'!$B:$B,E$4,'BSE - Other Index Options'!$I:$I,"Weekly*")+SUMIFS('BSE - Other Index Options'!$M:$M,'BSE - Other Index Options'!$C:$C,$A89,'BSE - Other Index Options'!$B:$B,E$4,'BSE - Other Index Options'!$I:$I,"MDAW*"))</f>
        <v/>
      </c>
      <c r="F89" s="26">
        <f>IF(SUMIFS('NSE - NIFTY Index Options'!$M:$M,'NSE - NIFTY Index Options'!$C:$C,$A89,'NSE - NIFTY Index Options'!$B:$B,F$4,'NSE - NIFTY Index Options'!$I:$I,"Weekly*")+SUMIFS('NSE - NIFTY Index Options'!$M:$M,'NSE - NIFTY Index Options'!$C:$C,$A89,'NSE - NIFTY Index Options'!$B:$B,F$4,'NSE - NIFTY Index Options'!$I:$I,"MDAW*")+SUMIFS('NSE - Other Index Options'!$M:$M,'NSE - Other Index Options'!$C:$C,$A89,'NSE - Other Index Options'!$B:$B,F$4,'NSE - Other Index Options'!$I:$I,"Weekly*")+SUMIFS('NSE - Other Index Options'!$M:$M,'NSE - Other Index Options'!$C:$C,$A89,'NSE - Other Index Options'!$B:$B,F$4,'NSE - Other Index Options'!$I:$I,"MDAW*")+SUMIFS('BSE - SENSEX Index Options'!$M:$M,'BSE - SENSEX Index Options'!$C:$C,$A89,'BSE - SENSEX Index Options'!$B:$B,F$4,'BSE - SENSEX Index Options'!$I:$I,"Weekly*")+SUMIFS('BSE - SENSEX Index Options'!$M:$M,'BSE - SENSEX Index Options'!$C:$C,$A89,'BSE - SENSEX Index Options'!$B:$B,F$4,'BSE - SENSEX Index Options'!$I:$I,"MDAW*")+SUMIFS('BSE - Other Index Options'!$M:$M,'BSE - Other Index Options'!$C:$C,$A89,'BSE - Other Index Options'!$B:$B,F$4,'BSE - Other Index Options'!$I:$I,"Weekly*")+SUMIFS('BSE - Other Index Options'!$M:$M,'BSE - Other Index Options'!$C:$C,$A89,'BSE - Other Index Options'!$B:$B,F$4,'BSE - Other Index Options'!$I:$I,"MDAW*")=0,"",SUMIFS('NSE - NIFTY Index Options'!$M:$M,'NSE - NIFTY Index Options'!$C:$C,$A89,'NSE - NIFTY Index Options'!$B:$B,F$4,'NSE - NIFTY Index Options'!$I:$I,"Weekly*")+SUMIFS('NSE - NIFTY Index Options'!$M:$M,'NSE - NIFTY Index Options'!$C:$C,$A89,'NSE - NIFTY Index Options'!$B:$B,F$4,'NSE - NIFTY Index Options'!$I:$I,"MDAW*")+SUMIFS('NSE - Other Index Options'!$M:$M,'NSE - Other Index Options'!$C:$C,$A89,'NSE - Other Index Options'!$B:$B,F$4,'NSE - Other Index Options'!$I:$I,"Weekly*")+SUMIFS('NSE - Other Index Options'!$M:$M,'NSE - Other Index Options'!$C:$C,$A89,'NSE - Other Index Options'!$B:$B,F$4,'NSE - Other Index Options'!$I:$I,"MDAW*")+SUMIFS('BSE - SENSEX Index Options'!$M:$M,'BSE - SENSEX Index Options'!$C:$C,$A89,'BSE - SENSEX Index Options'!$B:$B,F$4,'BSE - SENSEX Index Options'!$I:$I,"Weekly*")+SUMIFS('BSE - SENSEX Index Options'!$M:$M,'BSE - SENSEX Index Options'!$C:$C,$A89,'BSE - SENSEX Index Options'!$B:$B,F$4,'BSE - SENSEX Index Options'!$I:$I,"MDAW*")+SUMIFS('BSE - Other Index Options'!$M:$M,'BSE - Other Index Options'!$C:$C,$A89,'BSE - Other Index Options'!$B:$B,F$4,'BSE - Other Index Options'!$I:$I,"Weekly*")+SUMIFS('BSE - Other Index Options'!$M:$M,'BSE - Other Index Options'!$C:$C,$A89,'BSE - Other Index Options'!$B:$B,F$4,'BSE - Other Index Options'!$I:$I,"MDAW*"))</f>
        <v/>
      </c>
      <c r="G89" s="26">
        <f>IF(SUMIFS('NSE - NIFTY Index Options'!$M:$M,'NSE - NIFTY Index Options'!$C:$C,$A89,'NSE - NIFTY Index Options'!$B:$B,G$4,'NSE - NIFTY Index Options'!$I:$I,"Weekly*")+SUMIFS('NSE - NIFTY Index Options'!$M:$M,'NSE - NIFTY Index Options'!$C:$C,$A89,'NSE - NIFTY Index Options'!$B:$B,G$4,'NSE - NIFTY Index Options'!$I:$I,"MDAW*")+SUMIFS('NSE - Other Index Options'!$M:$M,'NSE - Other Index Options'!$C:$C,$A89,'NSE - Other Index Options'!$B:$B,G$4,'NSE - Other Index Options'!$I:$I,"Weekly*")+SUMIFS('NSE - Other Index Options'!$M:$M,'NSE - Other Index Options'!$C:$C,$A89,'NSE - Other Index Options'!$B:$B,G$4,'NSE - Other Index Options'!$I:$I,"MDAW*")+SUMIFS('BSE - SENSEX Index Options'!$M:$M,'BSE - SENSEX Index Options'!$C:$C,$A89,'BSE - SENSEX Index Options'!$B:$B,G$4,'BSE - SENSEX Index Options'!$I:$I,"Weekly*")+SUMIFS('BSE - SENSEX Index Options'!$M:$M,'BSE - SENSEX Index Options'!$C:$C,$A89,'BSE - SENSEX Index Options'!$B:$B,G$4,'BSE - SENSEX Index Options'!$I:$I,"MDAW*")+SUMIFS('BSE - Other Index Options'!$M:$M,'BSE - Other Index Options'!$C:$C,$A89,'BSE - Other Index Options'!$B:$B,G$4,'BSE - Other Index Options'!$I:$I,"Weekly*")+SUMIFS('BSE - Other Index Options'!$M:$M,'BSE - Other Index Options'!$C:$C,$A89,'BSE - Other Index Options'!$B:$B,G$4,'BSE - Other Index Options'!$I:$I,"MDAW*")=0,"",SUMIFS('NSE - NIFTY Index Options'!$M:$M,'NSE - NIFTY Index Options'!$C:$C,$A89,'NSE - NIFTY Index Options'!$B:$B,G$4,'NSE - NIFTY Index Options'!$I:$I,"Weekly*")+SUMIFS('NSE - NIFTY Index Options'!$M:$M,'NSE - NIFTY Index Options'!$C:$C,$A89,'NSE - NIFTY Index Options'!$B:$B,G$4,'NSE - NIFTY Index Options'!$I:$I,"MDAW*")+SUMIFS('NSE - Other Index Options'!$M:$M,'NSE - Other Index Options'!$C:$C,$A89,'NSE - Other Index Options'!$B:$B,G$4,'NSE - Other Index Options'!$I:$I,"Weekly*")+SUMIFS('NSE - Other Index Options'!$M:$M,'NSE - Other Index Options'!$C:$C,$A89,'NSE - Other Index Options'!$B:$B,G$4,'NSE - Other Index Options'!$I:$I,"MDAW*")+SUMIFS('BSE - SENSEX Index Options'!$M:$M,'BSE - SENSEX Index Options'!$C:$C,$A89,'BSE - SENSEX Index Options'!$B:$B,G$4,'BSE - SENSEX Index Options'!$I:$I,"Weekly*")+SUMIFS('BSE - SENSEX Index Options'!$M:$M,'BSE - SENSEX Index Options'!$C:$C,$A89,'BSE - SENSEX Index Options'!$B:$B,G$4,'BSE - SENSEX Index Options'!$I:$I,"MDAW*")+SUMIFS('BSE - Other Index Options'!$M:$M,'BSE - Other Index Options'!$C:$C,$A89,'BSE - Other Index Options'!$B:$B,G$4,'BSE - Other Index Options'!$I:$I,"Weekly*")+SUMIFS('BSE - Other Index Options'!$M:$M,'BSE - Other Index Options'!$C:$C,$A89,'BSE - Other Index Options'!$B:$B,G$4,'BSE - Other Index Options'!$I:$I,"MDAW*"))</f>
        <v/>
      </c>
      <c r="H89" s="26">
        <f>IF(SUM(B89:G89)=0,"",SUM(B89:G89))</f>
        <v/>
      </c>
    </row>
    <row r="90" hidden="1" outlineLevel="1">
      <c r="A90" t="inlineStr">
        <is>
          <t>Week2-Feb-2027</t>
        </is>
      </c>
      <c r="B90" s="26">
        <f>IF(SUMIFS('NSE - NIFTY Index Options'!$M:$M,'NSE - NIFTY Index Options'!$C:$C,$A90,'NSE - NIFTY Index Options'!$B:$B,B$4,'NSE - NIFTY Index Options'!$I:$I,"Weekly*")+SUMIFS('NSE - NIFTY Index Options'!$M:$M,'NSE - NIFTY Index Options'!$C:$C,$A90,'NSE - NIFTY Index Options'!$B:$B,B$4,'NSE - NIFTY Index Options'!$I:$I,"MDAW*")+SUMIFS('NSE - Other Index Options'!$M:$M,'NSE - Other Index Options'!$C:$C,$A90,'NSE - Other Index Options'!$B:$B,B$4,'NSE - Other Index Options'!$I:$I,"Weekly*")+SUMIFS('NSE - Other Index Options'!$M:$M,'NSE - Other Index Options'!$C:$C,$A90,'NSE - Other Index Options'!$B:$B,B$4,'NSE - Other Index Options'!$I:$I,"MDAW*")+SUMIFS('BSE - SENSEX Index Options'!$M:$M,'BSE - SENSEX Index Options'!$C:$C,$A90,'BSE - SENSEX Index Options'!$B:$B,B$4,'BSE - SENSEX Index Options'!$I:$I,"Weekly*")+SUMIFS('BSE - SENSEX Index Options'!$M:$M,'BSE - SENSEX Index Options'!$C:$C,$A90,'BSE - SENSEX Index Options'!$B:$B,B$4,'BSE - SENSEX Index Options'!$I:$I,"MDAW*")+SUMIFS('BSE - Other Index Options'!$M:$M,'BSE - Other Index Options'!$C:$C,$A90,'BSE - Other Index Options'!$B:$B,B$4,'BSE - Other Index Options'!$I:$I,"Weekly*")+SUMIFS('BSE - Other Index Options'!$M:$M,'BSE - Other Index Options'!$C:$C,$A90,'BSE - Other Index Options'!$B:$B,B$4,'BSE - Other Index Options'!$I:$I,"MDAW*")=0,"",SUMIFS('NSE - NIFTY Index Options'!$M:$M,'NSE - NIFTY Index Options'!$C:$C,$A90,'NSE - NIFTY Index Options'!$B:$B,B$4,'NSE - NIFTY Index Options'!$I:$I,"Weekly*")+SUMIFS('NSE - NIFTY Index Options'!$M:$M,'NSE - NIFTY Index Options'!$C:$C,$A90,'NSE - NIFTY Index Options'!$B:$B,B$4,'NSE - NIFTY Index Options'!$I:$I,"MDAW*")+SUMIFS('NSE - Other Index Options'!$M:$M,'NSE - Other Index Options'!$C:$C,$A90,'NSE - Other Index Options'!$B:$B,B$4,'NSE - Other Index Options'!$I:$I,"Weekly*")+SUMIFS('NSE - Other Index Options'!$M:$M,'NSE - Other Index Options'!$C:$C,$A90,'NSE - Other Index Options'!$B:$B,B$4,'NSE - Other Index Options'!$I:$I,"MDAW*")+SUMIFS('BSE - SENSEX Index Options'!$M:$M,'BSE - SENSEX Index Options'!$C:$C,$A90,'BSE - SENSEX Index Options'!$B:$B,B$4,'BSE - SENSEX Index Options'!$I:$I,"Weekly*")+SUMIFS('BSE - SENSEX Index Options'!$M:$M,'BSE - SENSEX Index Options'!$C:$C,$A90,'BSE - SENSEX Index Options'!$B:$B,B$4,'BSE - SENSEX Index Options'!$I:$I,"MDAW*")+SUMIFS('BSE - Other Index Options'!$M:$M,'BSE - Other Index Options'!$C:$C,$A90,'BSE - Other Index Options'!$B:$B,B$4,'BSE - Other Index Options'!$I:$I,"Weekly*")+SUMIFS('BSE - Other Index Options'!$M:$M,'BSE - Other Index Options'!$C:$C,$A90,'BSE - Other Index Options'!$B:$B,B$4,'BSE - Other Index Options'!$I:$I,"MDAW*"))</f>
        <v/>
      </c>
      <c r="C90" s="26">
        <f>IF(SUMIFS('NSE - NIFTY Index Options'!$M:$M,'NSE - NIFTY Index Options'!$C:$C,$A90,'NSE - NIFTY Index Options'!$B:$B,C$4,'NSE - NIFTY Index Options'!$I:$I,"Weekly*")+SUMIFS('NSE - NIFTY Index Options'!$M:$M,'NSE - NIFTY Index Options'!$C:$C,$A90,'NSE - NIFTY Index Options'!$B:$B,C$4,'NSE - NIFTY Index Options'!$I:$I,"MDAW*")+SUMIFS('NSE - Other Index Options'!$M:$M,'NSE - Other Index Options'!$C:$C,$A90,'NSE - Other Index Options'!$B:$B,C$4,'NSE - Other Index Options'!$I:$I,"Weekly*")+SUMIFS('NSE - Other Index Options'!$M:$M,'NSE - Other Index Options'!$C:$C,$A90,'NSE - Other Index Options'!$B:$B,C$4,'NSE - Other Index Options'!$I:$I,"MDAW*")+SUMIFS('BSE - SENSEX Index Options'!$M:$M,'BSE - SENSEX Index Options'!$C:$C,$A90,'BSE - SENSEX Index Options'!$B:$B,C$4,'BSE - SENSEX Index Options'!$I:$I,"Weekly*")+SUMIFS('BSE - SENSEX Index Options'!$M:$M,'BSE - SENSEX Index Options'!$C:$C,$A90,'BSE - SENSEX Index Options'!$B:$B,C$4,'BSE - SENSEX Index Options'!$I:$I,"MDAW*")+SUMIFS('BSE - Other Index Options'!$M:$M,'BSE - Other Index Options'!$C:$C,$A90,'BSE - Other Index Options'!$B:$B,C$4,'BSE - Other Index Options'!$I:$I,"Weekly*")+SUMIFS('BSE - Other Index Options'!$M:$M,'BSE - Other Index Options'!$C:$C,$A90,'BSE - Other Index Options'!$B:$B,C$4,'BSE - Other Index Options'!$I:$I,"MDAW*")=0,"",SUMIFS('NSE - NIFTY Index Options'!$M:$M,'NSE - NIFTY Index Options'!$C:$C,$A90,'NSE - NIFTY Index Options'!$B:$B,C$4,'NSE - NIFTY Index Options'!$I:$I,"Weekly*")+SUMIFS('NSE - NIFTY Index Options'!$M:$M,'NSE - NIFTY Index Options'!$C:$C,$A90,'NSE - NIFTY Index Options'!$B:$B,C$4,'NSE - NIFTY Index Options'!$I:$I,"MDAW*")+SUMIFS('NSE - Other Index Options'!$M:$M,'NSE - Other Index Options'!$C:$C,$A90,'NSE - Other Index Options'!$B:$B,C$4,'NSE - Other Index Options'!$I:$I,"Weekly*")+SUMIFS('NSE - Other Index Options'!$M:$M,'NSE - Other Index Options'!$C:$C,$A90,'NSE - Other Index Options'!$B:$B,C$4,'NSE - Other Index Options'!$I:$I,"MDAW*")+SUMIFS('BSE - SENSEX Index Options'!$M:$M,'BSE - SENSEX Index Options'!$C:$C,$A90,'BSE - SENSEX Index Options'!$B:$B,C$4,'BSE - SENSEX Index Options'!$I:$I,"Weekly*")+SUMIFS('BSE - SENSEX Index Options'!$M:$M,'BSE - SENSEX Index Options'!$C:$C,$A90,'BSE - SENSEX Index Options'!$B:$B,C$4,'BSE - SENSEX Index Options'!$I:$I,"MDAW*")+SUMIFS('BSE - Other Index Options'!$M:$M,'BSE - Other Index Options'!$C:$C,$A90,'BSE - Other Index Options'!$B:$B,C$4,'BSE - Other Index Options'!$I:$I,"Weekly*")+SUMIFS('BSE - Other Index Options'!$M:$M,'BSE - Other Index Options'!$C:$C,$A90,'BSE - Other Index Options'!$B:$B,C$4,'BSE - Other Index Options'!$I:$I,"MDAW*"))</f>
        <v/>
      </c>
      <c r="D90" s="26">
        <f>IF(SUMIFS('NSE - NIFTY Index Options'!$M:$M,'NSE - NIFTY Index Options'!$C:$C,$A90,'NSE - NIFTY Index Options'!$B:$B,D$4,'NSE - NIFTY Index Options'!$I:$I,"Weekly*")+SUMIFS('NSE - NIFTY Index Options'!$M:$M,'NSE - NIFTY Index Options'!$C:$C,$A90,'NSE - NIFTY Index Options'!$B:$B,D$4,'NSE - NIFTY Index Options'!$I:$I,"MDAW*")+SUMIFS('NSE - Other Index Options'!$M:$M,'NSE - Other Index Options'!$C:$C,$A90,'NSE - Other Index Options'!$B:$B,D$4,'NSE - Other Index Options'!$I:$I,"Weekly*")+SUMIFS('NSE - Other Index Options'!$M:$M,'NSE - Other Index Options'!$C:$C,$A90,'NSE - Other Index Options'!$B:$B,D$4,'NSE - Other Index Options'!$I:$I,"MDAW*")+SUMIFS('BSE - SENSEX Index Options'!$M:$M,'BSE - SENSEX Index Options'!$C:$C,$A90,'BSE - SENSEX Index Options'!$B:$B,D$4,'BSE - SENSEX Index Options'!$I:$I,"Weekly*")+SUMIFS('BSE - SENSEX Index Options'!$M:$M,'BSE - SENSEX Index Options'!$C:$C,$A90,'BSE - SENSEX Index Options'!$B:$B,D$4,'BSE - SENSEX Index Options'!$I:$I,"MDAW*")+SUMIFS('BSE - Other Index Options'!$M:$M,'BSE - Other Index Options'!$C:$C,$A90,'BSE - Other Index Options'!$B:$B,D$4,'BSE - Other Index Options'!$I:$I,"Weekly*")+SUMIFS('BSE - Other Index Options'!$M:$M,'BSE - Other Index Options'!$C:$C,$A90,'BSE - Other Index Options'!$B:$B,D$4,'BSE - Other Index Options'!$I:$I,"MDAW*")=0,"",SUMIFS('NSE - NIFTY Index Options'!$M:$M,'NSE - NIFTY Index Options'!$C:$C,$A90,'NSE - NIFTY Index Options'!$B:$B,D$4,'NSE - NIFTY Index Options'!$I:$I,"Weekly*")+SUMIFS('NSE - NIFTY Index Options'!$M:$M,'NSE - NIFTY Index Options'!$C:$C,$A90,'NSE - NIFTY Index Options'!$B:$B,D$4,'NSE - NIFTY Index Options'!$I:$I,"MDAW*")+SUMIFS('NSE - Other Index Options'!$M:$M,'NSE - Other Index Options'!$C:$C,$A90,'NSE - Other Index Options'!$B:$B,D$4,'NSE - Other Index Options'!$I:$I,"Weekly*")+SUMIFS('NSE - Other Index Options'!$M:$M,'NSE - Other Index Options'!$C:$C,$A90,'NSE - Other Index Options'!$B:$B,D$4,'NSE - Other Index Options'!$I:$I,"MDAW*")+SUMIFS('BSE - SENSEX Index Options'!$M:$M,'BSE - SENSEX Index Options'!$C:$C,$A90,'BSE - SENSEX Index Options'!$B:$B,D$4,'BSE - SENSEX Index Options'!$I:$I,"Weekly*")+SUMIFS('BSE - SENSEX Index Options'!$M:$M,'BSE - SENSEX Index Options'!$C:$C,$A90,'BSE - SENSEX Index Options'!$B:$B,D$4,'BSE - SENSEX Index Options'!$I:$I,"MDAW*")+SUMIFS('BSE - Other Index Options'!$M:$M,'BSE - Other Index Options'!$C:$C,$A90,'BSE - Other Index Options'!$B:$B,D$4,'BSE - Other Index Options'!$I:$I,"Weekly*")+SUMIFS('BSE - Other Index Options'!$M:$M,'BSE - Other Index Options'!$C:$C,$A90,'BSE - Other Index Options'!$B:$B,D$4,'BSE - Other Index Options'!$I:$I,"MDAW*"))</f>
        <v/>
      </c>
      <c r="E90" s="26">
        <f>IF(SUMIFS('NSE - NIFTY Index Options'!$M:$M,'NSE - NIFTY Index Options'!$C:$C,$A90,'NSE - NIFTY Index Options'!$B:$B,E$4,'NSE - NIFTY Index Options'!$I:$I,"Weekly*")+SUMIFS('NSE - NIFTY Index Options'!$M:$M,'NSE - NIFTY Index Options'!$C:$C,$A90,'NSE - NIFTY Index Options'!$B:$B,E$4,'NSE - NIFTY Index Options'!$I:$I,"MDAW*")+SUMIFS('NSE - Other Index Options'!$M:$M,'NSE - Other Index Options'!$C:$C,$A90,'NSE - Other Index Options'!$B:$B,E$4,'NSE - Other Index Options'!$I:$I,"Weekly*")+SUMIFS('NSE - Other Index Options'!$M:$M,'NSE - Other Index Options'!$C:$C,$A90,'NSE - Other Index Options'!$B:$B,E$4,'NSE - Other Index Options'!$I:$I,"MDAW*")+SUMIFS('BSE - SENSEX Index Options'!$M:$M,'BSE - SENSEX Index Options'!$C:$C,$A90,'BSE - SENSEX Index Options'!$B:$B,E$4,'BSE - SENSEX Index Options'!$I:$I,"Weekly*")+SUMIFS('BSE - SENSEX Index Options'!$M:$M,'BSE - SENSEX Index Options'!$C:$C,$A90,'BSE - SENSEX Index Options'!$B:$B,E$4,'BSE - SENSEX Index Options'!$I:$I,"MDAW*")+SUMIFS('BSE - Other Index Options'!$M:$M,'BSE - Other Index Options'!$C:$C,$A90,'BSE - Other Index Options'!$B:$B,E$4,'BSE - Other Index Options'!$I:$I,"Weekly*")+SUMIFS('BSE - Other Index Options'!$M:$M,'BSE - Other Index Options'!$C:$C,$A90,'BSE - Other Index Options'!$B:$B,E$4,'BSE - Other Index Options'!$I:$I,"MDAW*")=0,"",SUMIFS('NSE - NIFTY Index Options'!$M:$M,'NSE - NIFTY Index Options'!$C:$C,$A90,'NSE - NIFTY Index Options'!$B:$B,E$4,'NSE - NIFTY Index Options'!$I:$I,"Weekly*")+SUMIFS('NSE - NIFTY Index Options'!$M:$M,'NSE - NIFTY Index Options'!$C:$C,$A90,'NSE - NIFTY Index Options'!$B:$B,E$4,'NSE - NIFTY Index Options'!$I:$I,"MDAW*")+SUMIFS('NSE - Other Index Options'!$M:$M,'NSE - Other Index Options'!$C:$C,$A90,'NSE - Other Index Options'!$B:$B,E$4,'NSE - Other Index Options'!$I:$I,"Weekly*")+SUMIFS('NSE - Other Index Options'!$M:$M,'NSE - Other Index Options'!$C:$C,$A90,'NSE - Other Index Options'!$B:$B,E$4,'NSE - Other Index Options'!$I:$I,"MDAW*")+SUMIFS('BSE - SENSEX Index Options'!$M:$M,'BSE - SENSEX Index Options'!$C:$C,$A90,'BSE - SENSEX Index Options'!$B:$B,E$4,'BSE - SENSEX Index Options'!$I:$I,"Weekly*")+SUMIFS('BSE - SENSEX Index Options'!$M:$M,'BSE - SENSEX Index Options'!$C:$C,$A90,'BSE - SENSEX Index Options'!$B:$B,E$4,'BSE - SENSEX Index Options'!$I:$I,"MDAW*")+SUMIFS('BSE - Other Index Options'!$M:$M,'BSE - Other Index Options'!$C:$C,$A90,'BSE - Other Index Options'!$B:$B,E$4,'BSE - Other Index Options'!$I:$I,"Weekly*")+SUMIFS('BSE - Other Index Options'!$M:$M,'BSE - Other Index Options'!$C:$C,$A90,'BSE - Other Index Options'!$B:$B,E$4,'BSE - Other Index Options'!$I:$I,"MDAW*"))</f>
        <v/>
      </c>
      <c r="F90" s="26">
        <f>IF(SUMIFS('NSE - NIFTY Index Options'!$M:$M,'NSE - NIFTY Index Options'!$C:$C,$A90,'NSE - NIFTY Index Options'!$B:$B,F$4,'NSE - NIFTY Index Options'!$I:$I,"Weekly*")+SUMIFS('NSE - NIFTY Index Options'!$M:$M,'NSE - NIFTY Index Options'!$C:$C,$A90,'NSE - NIFTY Index Options'!$B:$B,F$4,'NSE - NIFTY Index Options'!$I:$I,"MDAW*")+SUMIFS('NSE - Other Index Options'!$M:$M,'NSE - Other Index Options'!$C:$C,$A90,'NSE - Other Index Options'!$B:$B,F$4,'NSE - Other Index Options'!$I:$I,"Weekly*")+SUMIFS('NSE - Other Index Options'!$M:$M,'NSE - Other Index Options'!$C:$C,$A90,'NSE - Other Index Options'!$B:$B,F$4,'NSE - Other Index Options'!$I:$I,"MDAW*")+SUMIFS('BSE - SENSEX Index Options'!$M:$M,'BSE - SENSEX Index Options'!$C:$C,$A90,'BSE - SENSEX Index Options'!$B:$B,F$4,'BSE - SENSEX Index Options'!$I:$I,"Weekly*")+SUMIFS('BSE - SENSEX Index Options'!$M:$M,'BSE - SENSEX Index Options'!$C:$C,$A90,'BSE - SENSEX Index Options'!$B:$B,F$4,'BSE - SENSEX Index Options'!$I:$I,"MDAW*")+SUMIFS('BSE - Other Index Options'!$M:$M,'BSE - Other Index Options'!$C:$C,$A90,'BSE - Other Index Options'!$B:$B,F$4,'BSE - Other Index Options'!$I:$I,"Weekly*")+SUMIFS('BSE - Other Index Options'!$M:$M,'BSE - Other Index Options'!$C:$C,$A90,'BSE - Other Index Options'!$B:$B,F$4,'BSE - Other Index Options'!$I:$I,"MDAW*")=0,"",SUMIFS('NSE - NIFTY Index Options'!$M:$M,'NSE - NIFTY Index Options'!$C:$C,$A90,'NSE - NIFTY Index Options'!$B:$B,F$4,'NSE - NIFTY Index Options'!$I:$I,"Weekly*")+SUMIFS('NSE - NIFTY Index Options'!$M:$M,'NSE - NIFTY Index Options'!$C:$C,$A90,'NSE - NIFTY Index Options'!$B:$B,F$4,'NSE - NIFTY Index Options'!$I:$I,"MDAW*")+SUMIFS('NSE - Other Index Options'!$M:$M,'NSE - Other Index Options'!$C:$C,$A90,'NSE - Other Index Options'!$B:$B,F$4,'NSE - Other Index Options'!$I:$I,"Weekly*")+SUMIFS('NSE - Other Index Options'!$M:$M,'NSE - Other Index Options'!$C:$C,$A90,'NSE - Other Index Options'!$B:$B,F$4,'NSE - Other Index Options'!$I:$I,"MDAW*")+SUMIFS('BSE - SENSEX Index Options'!$M:$M,'BSE - SENSEX Index Options'!$C:$C,$A90,'BSE - SENSEX Index Options'!$B:$B,F$4,'BSE - SENSEX Index Options'!$I:$I,"Weekly*")+SUMIFS('BSE - SENSEX Index Options'!$M:$M,'BSE - SENSEX Index Options'!$C:$C,$A90,'BSE - SENSEX Index Options'!$B:$B,F$4,'BSE - SENSEX Index Options'!$I:$I,"MDAW*")+SUMIFS('BSE - Other Index Options'!$M:$M,'BSE - Other Index Options'!$C:$C,$A90,'BSE - Other Index Options'!$B:$B,F$4,'BSE - Other Index Options'!$I:$I,"Weekly*")+SUMIFS('BSE - Other Index Options'!$M:$M,'BSE - Other Index Options'!$C:$C,$A90,'BSE - Other Index Options'!$B:$B,F$4,'BSE - Other Index Options'!$I:$I,"MDAW*"))</f>
        <v/>
      </c>
      <c r="G90" s="26">
        <f>IF(SUMIFS('NSE - NIFTY Index Options'!$M:$M,'NSE - NIFTY Index Options'!$C:$C,$A90,'NSE - NIFTY Index Options'!$B:$B,G$4,'NSE - NIFTY Index Options'!$I:$I,"Weekly*")+SUMIFS('NSE - NIFTY Index Options'!$M:$M,'NSE - NIFTY Index Options'!$C:$C,$A90,'NSE - NIFTY Index Options'!$B:$B,G$4,'NSE - NIFTY Index Options'!$I:$I,"MDAW*")+SUMIFS('NSE - Other Index Options'!$M:$M,'NSE - Other Index Options'!$C:$C,$A90,'NSE - Other Index Options'!$B:$B,G$4,'NSE - Other Index Options'!$I:$I,"Weekly*")+SUMIFS('NSE - Other Index Options'!$M:$M,'NSE - Other Index Options'!$C:$C,$A90,'NSE - Other Index Options'!$B:$B,G$4,'NSE - Other Index Options'!$I:$I,"MDAW*")+SUMIFS('BSE - SENSEX Index Options'!$M:$M,'BSE - SENSEX Index Options'!$C:$C,$A90,'BSE - SENSEX Index Options'!$B:$B,G$4,'BSE - SENSEX Index Options'!$I:$I,"Weekly*")+SUMIFS('BSE - SENSEX Index Options'!$M:$M,'BSE - SENSEX Index Options'!$C:$C,$A90,'BSE - SENSEX Index Options'!$B:$B,G$4,'BSE - SENSEX Index Options'!$I:$I,"MDAW*")+SUMIFS('BSE - Other Index Options'!$M:$M,'BSE - Other Index Options'!$C:$C,$A90,'BSE - Other Index Options'!$B:$B,G$4,'BSE - Other Index Options'!$I:$I,"Weekly*")+SUMIFS('BSE - Other Index Options'!$M:$M,'BSE - Other Index Options'!$C:$C,$A90,'BSE - Other Index Options'!$B:$B,G$4,'BSE - Other Index Options'!$I:$I,"MDAW*")=0,"",SUMIFS('NSE - NIFTY Index Options'!$M:$M,'NSE - NIFTY Index Options'!$C:$C,$A90,'NSE - NIFTY Index Options'!$B:$B,G$4,'NSE - NIFTY Index Options'!$I:$I,"Weekly*")+SUMIFS('NSE - NIFTY Index Options'!$M:$M,'NSE - NIFTY Index Options'!$C:$C,$A90,'NSE - NIFTY Index Options'!$B:$B,G$4,'NSE - NIFTY Index Options'!$I:$I,"MDAW*")+SUMIFS('NSE - Other Index Options'!$M:$M,'NSE - Other Index Options'!$C:$C,$A90,'NSE - Other Index Options'!$B:$B,G$4,'NSE - Other Index Options'!$I:$I,"Weekly*")+SUMIFS('NSE - Other Index Options'!$M:$M,'NSE - Other Index Options'!$C:$C,$A90,'NSE - Other Index Options'!$B:$B,G$4,'NSE - Other Index Options'!$I:$I,"MDAW*")+SUMIFS('BSE - SENSEX Index Options'!$M:$M,'BSE - SENSEX Index Options'!$C:$C,$A90,'BSE - SENSEX Index Options'!$B:$B,G$4,'BSE - SENSEX Index Options'!$I:$I,"Weekly*")+SUMIFS('BSE - SENSEX Index Options'!$M:$M,'BSE - SENSEX Index Options'!$C:$C,$A90,'BSE - SENSEX Index Options'!$B:$B,G$4,'BSE - SENSEX Index Options'!$I:$I,"MDAW*")+SUMIFS('BSE - Other Index Options'!$M:$M,'BSE - Other Index Options'!$C:$C,$A90,'BSE - Other Index Options'!$B:$B,G$4,'BSE - Other Index Options'!$I:$I,"Weekly*")+SUMIFS('BSE - Other Index Options'!$M:$M,'BSE - Other Index Options'!$C:$C,$A90,'BSE - Other Index Options'!$B:$B,G$4,'BSE - Other Index Options'!$I:$I,"MDAW*"))</f>
        <v/>
      </c>
      <c r="H90" s="26">
        <f>IF(SUM(B90:G90)=0,"",SUM(B90:G90))</f>
        <v/>
      </c>
    </row>
    <row r="91" hidden="1" outlineLevel="1">
      <c r="A91" t="inlineStr">
        <is>
          <t>Week3-Feb-2027</t>
        </is>
      </c>
      <c r="B91" s="26">
        <f>IF(SUMIFS('NSE - NIFTY Index Options'!$M:$M,'NSE - NIFTY Index Options'!$C:$C,$A91,'NSE - NIFTY Index Options'!$B:$B,B$4,'NSE - NIFTY Index Options'!$I:$I,"Weekly*")+SUMIFS('NSE - NIFTY Index Options'!$M:$M,'NSE - NIFTY Index Options'!$C:$C,$A91,'NSE - NIFTY Index Options'!$B:$B,B$4,'NSE - NIFTY Index Options'!$I:$I,"MDAW*")+SUMIFS('NSE - Other Index Options'!$M:$M,'NSE - Other Index Options'!$C:$C,$A91,'NSE - Other Index Options'!$B:$B,B$4,'NSE - Other Index Options'!$I:$I,"Weekly*")+SUMIFS('NSE - Other Index Options'!$M:$M,'NSE - Other Index Options'!$C:$C,$A91,'NSE - Other Index Options'!$B:$B,B$4,'NSE - Other Index Options'!$I:$I,"MDAW*")+SUMIFS('BSE - SENSEX Index Options'!$M:$M,'BSE - SENSEX Index Options'!$C:$C,$A91,'BSE - SENSEX Index Options'!$B:$B,B$4,'BSE - SENSEX Index Options'!$I:$I,"Weekly*")+SUMIFS('BSE - SENSEX Index Options'!$M:$M,'BSE - SENSEX Index Options'!$C:$C,$A91,'BSE - SENSEX Index Options'!$B:$B,B$4,'BSE - SENSEX Index Options'!$I:$I,"MDAW*")+SUMIFS('BSE - Other Index Options'!$M:$M,'BSE - Other Index Options'!$C:$C,$A91,'BSE - Other Index Options'!$B:$B,B$4,'BSE - Other Index Options'!$I:$I,"Weekly*")+SUMIFS('BSE - Other Index Options'!$M:$M,'BSE - Other Index Options'!$C:$C,$A91,'BSE - Other Index Options'!$B:$B,B$4,'BSE - Other Index Options'!$I:$I,"MDAW*")=0,"",SUMIFS('NSE - NIFTY Index Options'!$M:$M,'NSE - NIFTY Index Options'!$C:$C,$A91,'NSE - NIFTY Index Options'!$B:$B,B$4,'NSE - NIFTY Index Options'!$I:$I,"Weekly*")+SUMIFS('NSE - NIFTY Index Options'!$M:$M,'NSE - NIFTY Index Options'!$C:$C,$A91,'NSE - NIFTY Index Options'!$B:$B,B$4,'NSE - NIFTY Index Options'!$I:$I,"MDAW*")+SUMIFS('NSE - Other Index Options'!$M:$M,'NSE - Other Index Options'!$C:$C,$A91,'NSE - Other Index Options'!$B:$B,B$4,'NSE - Other Index Options'!$I:$I,"Weekly*")+SUMIFS('NSE - Other Index Options'!$M:$M,'NSE - Other Index Options'!$C:$C,$A91,'NSE - Other Index Options'!$B:$B,B$4,'NSE - Other Index Options'!$I:$I,"MDAW*")+SUMIFS('BSE - SENSEX Index Options'!$M:$M,'BSE - SENSEX Index Options'!$C:$C,$A91,'BSE - SENSEX Index Options'!$B:$B,B$4,'BSE - SENSEX Index Options'!$I:$I,"Weekly*")+SUMIFS('BSE - SENSEX Index Options'!$M:$M,'BSE - SENSEX Index Options'!$C:$C,$A91,'BSE - SENSEX Index Options'!$B:$B,B$4,'BSE - SENSEX Index Options'!$I:$I,"MDAW*")+SUMIFS('BSE - Other Index Options'!$M:$M,'BSE - Other Index Options'!$C:$C,$A91,'BSE - Other Index Options'!$B:$B,B$4,'BSE - Other Index Options'!$I:$I,"Weekly*")+SUMIFS('BSE - Other Index Options'!$M:$M,'BSE - Other Index Options'!$C:$C,$A91,'BSE - Other Index Options'!$B:$B,B$4,'BSE - Other Index Options'!$I:$I,"MDAW*"))</f>
        <v/>
      </c>
      <c r="C91" s="26">
        <f>IF(SUMIFS('NSE - NIFTY Index Options'!$M:$M,'NSE - NIFTY Index Options'!$C:$C,$A91,'NSE - NIFTY Index Options'!$B:$B,C$4,'NSE - NIFTY Index Options'!$I:$I,"Weekly*")+SUMIFS('NSE - NIFTY Index Options'!$M:$M,'NSE - NIFTY Index Options'!$C:$C,$A91,'NSE - NIFTY Index Options'!$B:$B,C$4,'NSE - NIFTY Index Options'!$I:$I,"MDAW*")+SUMIFS('NSE - Other Index Options'!$M:$M,'NSE - Other Index Options'!$C:$C,$A91,'NSE - Other Index Options'!$B:$B,C$4,'NSE - Other Index Options'!$I:$I,"Weekly*")+SUMIFS('NSE - Other Index Options'!$M:$M,'NSE - Other Index Options'!$C:$C,$A91,'NSE - Other Index Options'!$B:$B,C$4,'NSE - Other Index Options'!$I:$I,"MDAW*")+SUMIFS('BSE - SENSEX Index Options'!$M:$M,'BSE - SENSEX Index Options'!$C:$C,$A91,'BSE - SENSEX Index Options'!$B:$B,C$4,'BSE - SENSEX Index Options'!$I:$I,"Weekly*")+SUMIFS('BSE - SENSEX Index Options'!$M:$M,'BSE - SENSEX Index Options'!$C:$C,$A91,'BSE - SENSEX Index Options'!$B:$B,C$4,'BSE - SENSEX Index Options'!$I:$I,"MDAW*")+SUMIFS('BSE - Other Index Options'!$M:$M,'BSE - Other Index Options'!$C:$C,$A91,'BSE - Other Index Options'!$B:$B,C$4,'BSE - Other Index Options'!$I:$I,"Weekly*")+SUMIFS('BSE - Other Index Options'!$M:$M,'BSE - Other Index Options'!$C:$C,$A91,'BSE - Other Index Options'!$B:$B,C$4,'BSE - Other Index Options'!$I:$I,"MDAW*")=0,"",SUMIFS('NSE - NIFTY Index Options'!$M:$M,'NSE - NIFTY Index Options'!$C:$C,$A91,'NSE - NIFTY Index Options'!$B:$B,C$4,'NSE - NIFTY Index Options'!$I:$I,"Weekly*")+SUMIFS('NSE - NIFTY Index Options'!$M:$M,'NSE - NIFTY Index Options'!$C:$C,$A91,'NSE - NIFTY Index Options'!$B:$B,C$4,'NSE - NIFTY Index Options'!$I:$I,"MDAW*")+SUMIFS('NSE - Other Index Options'!$M:$M,'NSE - Other Index Options'!$C:$C,$A91,'NSE - Other Index Options'!$B:$B,C$4,'NSE - Other Index Options'!$I:$I,"Weekly*")+SUMIFS('NSE - Other Index Options'!$M:$M,'NSE - Other Index Options'!$C:$C,$A91,'NSE - Other Index Options'!$B:$B,C$4,'NSE - Other Index Options'!$I:$I,"MDAW*")+SUMIFS('BSE - SENSEX Index Options'!$M:$M,'BSE - SENSEX Index Options'!$C:$C,$A91,'BSE - SENSEX Index Options'!$B:$B,C$4,'BSE - SENSEX Index Options'!$I:$I,"Weekly*")+SUMIFS('BSE - SENSEX Index Options'!$M:$M,'BSE - SENSEX Index Options'!$C:$C,$A91,'BSE - SENSEX Index Options'!$B:$B,C$4,'BSE - SENSEX Index Options'!$I:$I,"MDAW*")+SUMIFS('BSE - Other Index Options'!$M:$M,'BSE - Other Index Options'!$C:$C,$A91,'BSE - Other Index Options'!$B:$B,C$4,'BSE - Other Index Options'!$I:$I,"Weekly*")+SUMIFS('BSE - Other Index Options'!$M:$M,'BSE - Other Index Options'!$C:$C,$A91,'BSE - Other Index Options'!$B:$B,C$4,'BSE - Other Index Options'!$I:$I,"MDAW*"))</f>
        <v/>
      </c>
      <c r="D91" s="26">
        <f>IF(SUMIFS('NSE - NIFTY Index Options'!$M:$M,'NSE - NIFTY Index Options'!$C:$C,$A91,'NSE - NIFTY Index Options'!$B:$B,D$4,'NSE - NIFTY Index Options'!$I:$I,"Weekly*")+SUMIFS('NSE - NIFTY Index Options'!$M:$M,'NSE - NIFTY Index Options'!$C:$C,$A91,'NSE - NIFTY Index Options'!$B:$B,D$4,'NSE - NIFTY Index Options'!$I:$I,"MDAW*")+SUMIFS('NSE - Other Index Options'!$M:$M,'NSE - Other Index Options'!$C:$C,$A91,'NSE - Other Index Options'!$B:$B,D$4,'NSE - Other Index Options'!$I:$I,"Weekly*")+SUMIFS('NSE - Other Index Options'!$M:$M,'NSE - Other Index Options'!$C:$C,$A91,'NSE - Other Index Options'!$B:$B,D$4,'NSE - Other Index Options'!$I:$I,"MDAW*")+SUMIFS('BSE - SENSEX Index Options'!$M:$M,'BSE - SENSEX Index Options'!$C:$C,$A91,'BSE - SENSEX Index Options'!$B:$B,D$4,'BSE - SENSEX Index Options'!$I:$I,"Weekly*")+SUMIFS('BSE - SENSEX Index Options'!$M:$M,'BSE - SENSEX Index Options'!$C:$C,$A91,'BSE - SENSEX Index Options'!$B:$B,D$4,'BSE - SENSEX Index Options'!$I:$I,"MDAW*")+SUMIFS('BSE - Other Index Options'!$M:$M,'BSE - Other Index Options'!$C:$C,$A91,'BSE - Other Index Options'!$B:$B,D$4,'BSE - Other Index Options'!$I:$I,"Weekly*")+SUMIFS('BSE - Other Index Options'!$M:$M,'BSE - Other Index Options'!$C:$C,$A91,'BSE - Other Index Options'!$B:$B,D$4,'BSE - Other Index Options'!$I:$I,"MDAW*")=0,"",SUMIFS('NSE - NIFTY Index Options'!$M:$M,'NSE - NIFTY Index Options'!$C:$C,$A91,'NSE - NIFTY Index Options'!$B:$B,D$4,'NSE - NIFTY Index Options'!$I:$I,"Weekly*")+SUMIFS('NSE - NIFTY Index Options'!$M:$M,'NSE - NIFTY Index Options'!$C:$C,$A91,'NSE - NIFTY Index Options'!$B:$B,D$4,'NSE - NIFTY Index Options'!$I:$I,"MDAW*")+SUMIFS('NSE - Other Index Options'!$M:$M,'NSE - Other Index Options'!$C:$C,$A91,'NSE - Other Index Options'!$B:$B,D$4,'NSE - Other Index Options'!$I:$I,"Weekly*")+SUMIFS('NSE - Other Index Options'!$M:$M,'NSE - Other Index Options'!$C:$C,$A91,'NSE - Other Index Options'!$B:$B,D$4,'NSE - Other Index Options'!$I:$I,"MDAW*")+SUMIFS('BSE - SENSEX Index Options'!$M:$M,'BSE - SENSEX Index Options'!$C:$C,$A91,'BSE - SENSEX Index Options'!$B:$B,D$4,'BSE - SENSEX Index Options'!$I:$I,"Weekly*")+SUMIFS('BSE - SENSEX Index Options'!$M:$M,'BSE - SENSEX Index Options'!$C:$C,$A91,'BSE - SENSEX Index Options'!$B:$B,D$4,'BSE - SENSEX Index Options'!$I:$I,"MDAW*")+SUMIFS('BSE - Other Index Options'!$M:$M,'BSE - Other Index Options'!$C:$C,$A91,'BSE - Other Index Options'!$B:$B,D$4,'BSE - Other Index Options'!$I:$I,"Weekly*")+SUMIFS('BSE - Other Index Options'!$M:$M,'BSE - Other Index Options'!$C:$C,$A91,'BSE - Other Index Options'!$B:$B,D$4,'BSE - Other Index Options'!$I:$I,"MDAW*"))</f>
        <v/>
      </c>
      <c r="E91" s="26">
        <f>IF(SUMIFS('NSE - NIFTY Index Options'!$M:$M,'NSE - NIFTY Index Options'!$C:$C,$A91,'NSE - NIFTY Index Options'!$B:$B,E$4,'NSE - NIFTY Index Options'!$I:$I,"Weekly*")+SUMIFS('NSE - NIFTY Index Options'!$M:$M,'NSE - NIFTY Index Options'!$C:$C,$A91,'NSE - NIFTY Index Options'!$B:$B,E$4,'NSE - NIFTY Index Options'!$I:$I,"MDAW*")+SUMIFS('NSE - Other Index Options'!$M:$M,'NSE - Other Index Options'!$C:$C,$A91,'NSE - Other Index Options'!$B:$B,E$4,'NSE - Other Index Options'!$I:$I,"Weekly*")+SUMIFS('NSE - Other Index Options'!$M:$M,'NSE - Other Index Options'!$C:$C,$A91,'NSE - Other Index Options'!$B:$B,E$4,'NSE - Other Index Options'!$I:$I,"MDAW*")+SUMIFS('BSE - SENSEX Index Options'!$M:$M,'BSE - SENSEX Index Options'!$C:$C,$A91,'BSE - SENSEX Index Options'!$B:$B,E$4,'BSE - SENSEX Index Options'!$I:$I,"Weekly*")+SUMIFS('BSE - SENSEX Index Options'!$M:$M,'BSE - SENSEX Index Options'!$C:$C,$A91,'BSE - SENSEX Index Options'!$B:$B,E$4,'BSE - SENSEX Index Options'!$I:$I,"MDAW*")+SUMIFS('BSE - Other Index Options'!$M:$M,'BSE - Other Index Options'!$C:$C,$A91,'BSE - Other Index Options'!$B:$B,E$4,'BSE - Other Index Options'!$I:$I,"Weekly*")+SUMIFS('BSE - Other Index Options'!$M:$M,'BSE - Other Index Options'!$C:$C,$A91,'BSE - Other Index Options'!$B:$B,E$4,'BSE - Other Index Options'!$I:$I,"MDAW*")=0,"",SUMIFS('NSE - NIFTY Index Options'!$M:$M,'NSE - NIFTY Index Options'!$C:$C,$A91,'NSE - NIFTY Index Options'!$B:$B,E$4,'NSE - NIFTY Index Options'!$I:$I,"Weekly*")+SUMIFS('NSE - NIFTY Index Options'!$M:$M,'NSE - NIFTY Index Options'!$C:$C,$A91,'NSE - NIFTY Index Options'!$B:$B,E$4,'NSE - NIFTY Index Options'!$I:$I,"MDAW*")+SUMIFS('NSE - Other Index Options'!$M:$M,'NSE - Other Index Options'!$C:$C,$A91,'NSE - Other Index Options'!$B:$B,E$4,'NSE - Other Index Options'!$I:$I,"Weekly*")+SUMIFS('NSE - Other Index Options'!$M:$M,'NSE - Other Index Options'!$C:$C,$A91,'NSE - Other Index Options'!$B:$B,E$4,'NSE - Other Index Options'!$I:$I,"MDAW*")+SUMIFS('BSE - SENSEX Index Options'!$M:$M,'BSE - SENSEX Index Options'!$C:$C,$A91,'BSE - SENSEX Index Options'!$B:$B,E$4,'BSE - SENSEX Index Options'!$I:$I,"Weekly*")+SUMIFS('BSE - SENSEX Index Options'!$M:$M,'BSE - SENSEX Index Options'!$C:$C,$A91,'BSE - SENSEX Index Options'!$B:$B,E$4,'BSE - SENSEX Index Options'!$I:$I,"MDAW*")+SUMIFS('BSE - Other Index Options'!$M:$M,'BSE - Other Index Options'!$C:$C,$A91,'BSE - Other Index Options'!$B:$B,E$4,'BSE - Other Index Options'!$I:$I,"Weekly*")+SUMIFS('BSE - Other Index Options'!$M:$M,'BSE - Other Index Options'!$C:$C,$A91,'BSE - Other Index Options'!$B:$B,E$4,'BSE - Other Index Options'!$I:$I,"MDAW*"))</f>
        <v/>
      </c>
      <c r="F91" s="26">
        <f>IF(SUMIFS('NSE - NIFTY Index Options'!$M:$M,'NSE - NIFTY Index Options'!$C:$C,$A91,'NSE - NIFTY Index Options'!$B:$B,F$4,'NSE - NIFTY Index Options'!$I:$I,"Weekly*")+SUMIFS('NSE - NIFTY Index Options'!$M:$M,'NSE - NIFTY Index Options'!$C:$C,$A91,'NSE - NIFTY Index Options'!$B:$B,F$4,'NSE - NIFTY Index Options'!$I:$I,"MDAW*")+SUMIFS('NSE - Other Index Options'!$M:$M,'NSE - Other Index Options'!$C:$C,$A91,'NSE - Other Index Options'!$B:$B,F$4,'NSE - Other Index Options'!$I:$I,"Weekly*")+SUMIFS('NSE - Other Index Options'!$M:$M,'NSE - Other Index Options'!$C:$C,$A91,'NSE - Other Index Options'!$B:$B,F$4,'NSE - Other Index Options'!$I:$I,"MDAW*")+SUMIFS('BSE - SENSEX Index Options'!$M:$M,'BSE - SENSEX Index Options'!$C:$C,$A91,'BSE - SENSEX Index Options'!$B:$B,F$4,'BSE - SENSEX Index Options'!$I:$I,"Weekly*")+SUMIFS('BSE - SENSEX Index Options'!$M:$M,'BSE - SENSEX Index Options'!$C:$C,$A91,'BSE - SENSEX Index Options'!$B:$B,F$4,'BSE - SENSEX Index Options'!$I:$I,"MDAW*")+SUMIFS('BSE - Other Index Options'!$M:$M,'BSE - Other Index Options'!$C:$C,$A91,'BSE - Other Index Options'!$B:$B,F$4,'BSE - Other Index Options'!$I:$I,"Weekly*")+SUMIFS('BSE - Other Index Options'!$M:$M,'BSE - Other Index Options'!$C:$C,$A91,'BSE - Other Index Options'!$B:$B,F$4,'BSE - Other Index Options'!$I:$I,"MDAW*")=0,"",SUMIFS('NSE - NIFTY Index Options'!$M:$M,'NSE - NIFTY Index Options'!$C:$C,$A91,'NSE - NIFTY Index Options'!$B:$B,F$4,'NSE - NIFTY Index Options'!$I:$I,"Weekly*")+SUMIFS('NSE - NIFTY Index Options'!$M:$M,'NSE - NIFTY Index Options'!$C:$C,$A91,'NSE - NIFTY Index Options'!$B:$B,F$4,'NSE - NIFTY Index Options'!$I:$I,"MDAW*")+SUMIFS('NSE - Other Index Options'!$M:$M,'NSE - Other Index Options'!$C:$C,$A91,'NSE - Other Index Options'!$B:$B,F$4,'NSE - Other Index Options'!$I:$I,"Weekly*")+SUMIFS('NSE - Other Index Options'!$M:$M,'NSE - Other Index Options'!$C:$C,$A91,'NSE - Other Index Options'!$B:$B,F$4,'NSE - Other Index Options'!$I:$I,"MDAW*")+SUMIFS('BSE - SENSEX Index Options'!$M:$M,'BSE - SENSEX Index Options'!$C:$C,$A91,'BSE - SENSEX Index Options'!$B:$B,F$4,'BSE - SENSEX Index Options'!$I:$I,"Weekly*")+SUMIFS('BSE - SENSEX Index Options'!$M:$M,'BSE - SENSEX Index Options'!$C:$C,$A91,'BSE - SENSEX Index Options'!$B:$B,F$4,'BSE - SENSEX Index Options'!$I:$I,"MDAW*")+SUMIFS('BSE - Other Index Options'!$M:$M,'BSE - Other Index Options'!$C:$C,$A91,'BSE - Other Index Options'!$B:$B,F$4,'BSE - Other Index Options'!$I:$I,"Weekly*")+SUMIFS('BSE - Other Index Options'!$M:$M,'BSE - Other Index Options'!$C:$C,$A91,'BSE - Other Index Options'!$B:$B,F$4,'BSE - Other Index Options'!$I:$I,"MDAW*"))</f>
        <v/>
      </c>
      <c r="G91" s="26">
        <f>IF(SUMIFS('NSE - NIFTY Index Options'!$M:$M,'NSE - NIFTY Index Options'!$C:$C,$A91,'NSE - NIFTY Index Options'!$B:$B,G$4,'NSE - NIFTY Index Options'!$I:$I,"Weekly*")+SUMIFS('NSE - NIFTY Index Options'!$M:$M,'NSE - NIFTY Index Options'!$C:$C,$A91,'NSE - NIFTY Index Options'!$B:$B,G$4,'NSE - NIFTY Index Options'!$I:$I,"MDAW*")+SUMIFS('NSE - Other Index Options'!$M:$M,'NSE - Other Index Options'!$C:$C,$A91,'NSE - Other Index Options'!$B:$B,G$4,'NSE - Other Index Options'!$I:$I,"Weekly*")+SUMIFS('NSE - Other Index Options'!$M:$M,'NSE - Other Index Options'!$C:$C,$A91,'NSE - Other Index Options'!$B:$B,G$4,'NSE - Other Index Options'!$I:$I,"MDAW*")+SUMIFS('BSE - SENSEX Index Options'!$M:$M,'BSE - SENSEX Index Options'!$C:$C,$A91,'BSE - SENSEX Index Options'!$B:$B,G$4,'BSE - SENSEX Index Options'!$I:$I,"Weekly*")+SUMIFS('BSE - SENSEX Index Options'!$M:$M,'BSE - SENSEX Index Options'!$C:$C,$A91,'BSE - SENSEX Index Options'!$B:$B,G$4,'BSE - SENSEX Index Options'!$I:$I,"MDAW*")+SUMIFS('BSE - Other Index Options'!$M:$M,'BSE - Other Index Options'!$C:$C,$A91,'BSE - Other Index Options'!$B:$B,G$4,'BSE - Other Index Options'!$I:$I,"Weekly*")+SUMIFS('BSE - Other Index Options'!$M:$M,'BSE - Other Index Options'!$C:$C,$A91,'BSE - Other Index Options'!$B:$B,G$4,'BSE - Other Index Options'!$I:$I,"MDAW*")=0,"",SUMIFS('NSE - NIFTY Index Options'!$M:$M,'NSE - NIFTY Index Options'!$C:$C,$A91,'NSE - NIFTY Index Options'!$B:$B,G$4,'NSE - NIFTY Index Options'!$I:$I,"Weekly*")+SUMIFS('NSE - NIFTY Index Options'!$M:$M,'NSE - NIFTY Index Options'!$C:$C,$A91,'NSE - NIFTY Index Options'!$B:$B,G$4,'NSE - NIFTY Index Options'!$I:$I,"MDAW*")+SUMIFS('NSE - Other Index Options'!$M:$M,'NSE - Other Index Options'!$C:$C,$A91,'NSE - Other Index Options'!$B:$B,G$4,'NSE - Other Index Options'!$I:$I,"Weekly*")+SUMIFS('NSE - Other Index Options'!$M:$M,'NSE - Other Index Options'!$C:$C,$A91,'NSE - Other Index Options'!$B:$B,G$4,'NSE - Other Index Options'!$I:$I,"MDAW*")+SUMIFS('BSE - SENSEX Index Options'!$M:$M,'BSE - SENSEX Index Options'!$C:$C,$A91,'BSE - SENSEX Index Options'!$B:$B,G$4,'BSE - SENSEX Index Options'!$I:$I,"Weekly*")+SUMIFS('BSE - SENSEX Index Options'!$M:$M,'BSE - SENSEX Index Options'!$C:$C,$A91,'BSE - SENSEX Index Options'!$B:$B,G$4,'BSE - SENSEX Index Options'!$I:$I,"MDAW*")+SUMIFS('BSE - Other Index Options'!$M:$M,'BSE - Other Index Options'!$C:$C,$A91,'BSE - Other Index Options'!$B:$B,G$4,'BSE - Other Index Options'!$I:$I,"Weekly*")+SUMIFS('BSE - Other Index Options'!$M:$M,'BSE - Other Index Options'!$C:$C,$A91,'BSE - Other Index Options'!$B:$B,G$4,'BSE - Other Index Options'!$I:$I,"MDAW*"))</f>
        <v/>
      </c>
      <c r="H91" s="26">
        <f>IF(SUM(B91:G91)=0,"",SUM(B91:G91))</f>
        <v/>
      </c>
    </row>
    <row r="92" hidden="1" outlineLevel="1">
      <c r="A92" t="inlineStr">
        <is>
          <t>Week4-Feb-2027</t>
        </is>
      </c>
      <c r="B92" s="26">
        <f>IF(SUMIFS('NSE - NIFTY Index Options'!$M:$M,'NSE - NIFTY Index Options'!$C:$C,$A92,'NSE - NIFTY Index Options'!$B:$B,B$4,'NSE - NIFTY Index Options'!$I:$I,"Weekly*")+SUMIFS('NSE - NIFTY Index Options'!$M:$M,'NSE - NIFTY Index Options'!$C:$C,$A92,'NSE - NIFTY Index Options'!$B:$B,B$4,'NSE - NIFTY Index Options'!$I:$I,"MDAW*")+SUMIFS('NSE - Other Index Options'!$M:$M,'NSE - Other Index Options'!$C:$C,$A92,'NSE - Other Index Options'!$B:$B,B$4,'NSE - Other Index Options'!$I:$I,"Weekly*")+SUMIFS('NSE - Other Index Options'!$M:$M,'NSE - Other Index Options'!$C:$C,$A92,'NSE - Other Index Options'!$B:$B,B$4,'NSE - Other Index Options'!$I:$I,"MDAW*")+SUMIFS('BSE - SENSEX Index Options'!$M:$M,'BSE - SENSEX Index Options'!$C:$C,$A92,'BSE - SENSEX Index Options'!$B:$B,B$4,'BSE - SENSEX Index Options'!$I:$I,"Weekly*")+SUMIFS('BSE - SENSEX Index Options'!$M:$M,'BSE - SENSEX Index Options'!$C:$C,$A92,'BSE - SENSEX Index Options'!$B:$B,B$4,'BSE - SENSEX Index Options'!$I:$I,"MDAW*")+SUMIFS('BSE - Other Index Options'!$M:$M,'BSE - Other Index Options'!$C:$C,$A92,'BSE - Other Index Options'!$B:$B,B$4,'BSE - Other Index Options'!$I:$I,"Weekly*")+SUMIFS('BSE - Other Index Options'!$M:$M,'BSE - Other Index Options'!$C:$C,$A92,'BSE - Other Index Options'!$B:$B,B$4,'BSE - Other Index Options'!$I:$I,"MDAW*")=0,"",SUMIFS('NSE - NIFTY Index Options'!$M:$M,'NSE - NIFTY Index Options'!$C:$C,$A92,'NSE - NIFTY Index Options'!$B:$B,B$4,'NSE - NIFTY Index Options'!$I:$I,"Weekly*")+SUMIFS('NSE - NIFTY Index Options'!$M:$M,'NSE - NIFTY Index Options'!$C:$C,$A92,'NSE - NIFTY Index Options'!$B:$B,B$4,'NSE - NIFTY Index Options'!$I:$I,"MDAW*")+SUMIFS('NSE - Other Index Options'!$M:$M,'NSE - Other Index Options'!$C:$C,$A92,'NSE - Other Index Options'!$B:$B,B$4,'NSE - Other Index Options'!$I:$I,"Weekly*")+SUMIFS('NSE - Other Index Options'!$M:$M,'NSE - Other Index Options'!$C:$C,$A92,'NSE - Other Index Options'!$B:$B,B$4,'NSE - Other Index Options'!$I:$I,"MDAW*")+SUMIFS('BSE - SENSEX Index Options'!$M:$M,'BSE - SENSEX Index Options'!$C:$C,$A92,'BSE - SENSEX Index Options'!$B:$B,B$4,'BSE - SENSEX Index Options'!$I:$I,"Weekly*")+SUMIFS('BSE - SENSEX Index Options'!$M:$M,'BSE - SENSEX Index Options'!$C:$C,$A92,'BSE - SENSEX Index Options'!$B:$B,B$4,'BSE - SENSEX Index Options'!$I:$I,"MDAW*")+SUMIFS('BSE - Other Index Options'!$M:$M,'BSE - Other Index Options'!$C:$C,$A92,'BSE - Other Index Options'!$B:$B,B$4,'BSE - Other Index Options'!$I:$I,"Weekly*")+SUMIFS('BSE - Other Index Options'!$M:$M,'BSE - Other Index Options'!$C:$C,$A92,'BSE - Other Index Options'!$B:$B,B$4,'BSE - Other Index Options'!$I:$I,"MDAW*"))</f>
        <v/>
      </c>
      <c r="C92" s="26">
        <f>IF(SUMIFS('NSE - NIFTY Index Options'!$M:$M,'NSE - NIFTY Index Options'!$C:$C,$A92,'NSE - NIFTY Index Options'!$B:$B,C$4,'NSE - NIFTY Index Options'!$I:$I,"Weekly*")+SUMIFS('NSE - NIFTY Index Options'!$M:$M,'NSE - NIFTY Index Options'!$C:$C,$A92,'NSE - NIFTY Index Options'!$B:$B,C$4,'NSE - NIFTY Index Options'!$I:$I,"MDAW*")+SUMIFS('NSE - Other Index Options'!$M:$M,'NSE - Other Index Options'!$C:$C,$A92,'NSE - Other Index Options'!$B:$B,C$4,'NSE - Other Index Options'!$I:$I,"Weekly*")+SUMIFS('NSE - Other Index Options'!$M:$M,'NSE - Other Index Options'!$C:$C,$A92,'NSE - Other Index Options'!$B:$B,C$4,'NSE - Other Index Options'!$I:$I,"MDAW*")+SUMIFS('BSE - SENSEX Index Options'!$M:$M,'BSE - SENSEX Index Options'!$C:$C,$A92,'BSE - SENSEX Index Options'!$B:$B,C$4,'BSE - SENSEX Index Options'!$I:$I,"Weekly*")+SUMIFS('BSE - SENSEX Index Options'!$M:$M,'BSE - SENSEX Index Options'!$C:$C,$A92,'BSE - SENSEX Index Options'!$B:$B,C$4,'BSE - SENSEX Index Options'!$I:$I,"MDAW*")+SUMIFS('BSE - Other Index Options'!$M:$M,'BSE - Other Index Options'!$C:$C,$A92,'BSE - Other Index Options'!$B:$B,C$4,'BSE - Other Index Options'!$I:$I,"Weekly*")+SUMIFS('BSE - Other Index Options'!$M:$M,'BSE - Other Index Options'!$C:$C,$A92,'BSE - Other Index Options'!$B:$B,C$4,'BSE - Other Index Options'!$I:$I,"MDAW*")=0,"",SUMIFS('NSE - NIFTY Index Options'!$M:$M,'NSE - NIFTY Index Options'!$C:$C,$A92,'NSE - NIFTY Index Options'!$B:$B,C$4,'NSE - NIFTY Index Options'!$I:$I,"Weekly*")+SUMIFS('NSE - NIFTY Index Options'!$M:$M,'NSE - NIFTY Index Options'!$C:$C,$A92,'NSE - NIFTY Index Options'!$B:$B,C$4,'NSE - NIFTY Index Options'!$I:$I,"MDAW*")+SUMIFS('NSE - Other Index Options'!$M:$M,'NSE - Other Index Options'!$C:$C,$A92,'NSE - Other Index Options'!$B:$B,C$4,'NSE - Other Index Options'!$I:$I,"Weekly*")+SUMIFS('NSE - Other Index Options'!$M:$M,'NSE - Other Index Options'!$C:$C,$A92,'NSE - Other Index Options'!$B:$B,C$4,'NSE - Other Index Options'!$I:$I,"MDAW*")+SUMIFS('BSE - SENSEX Index Options'!$M:$M,'BSE - SENSEX Index Options'!$C:$C,$A92,'BSE - SENSEX Index Options'!$B:$B,C$4,'BSE - SENSEX Index Options'!$I:$I,"Weekly*")+SUMIFS('BSE - SENSEX Index Options'!$M:$M,'BSE - SENSEX Index Options'!$C:$C,$A92,'BSE - SENSEX Index Options'!$B:$B,C$4,'BSE - SENSEX Index Options'!$I:$I,"MDAW*")+SUMIFS('BSE - Other Index Options'!$M:$M,'BSE - Other Index Options'!$C:$C,$A92,'BSE - Other Index Options'!$B:$B,C$4,'BSE - Other Index Options'!$I:$I,"Weekly*")+SUMIFS('BSE - Other Index Options'!$M:$M,'BSE - Other Index Options'!$C:$C,$A92,'BSE - Other Index Options'!$B:$B,C$4,'BSE - Other Index Options'!$I:$I,"MDAW*"))</f>
        <v/>
      </c>
      <c r="D92" s="26">
        <f>IF(SUMIFS('NSE - NIFTY Index Options'!$M:$M,'NSE - NIFTY Index Options'!$C:$C,$A92,'NSE - NIFTY Index Options'!$B:$B,D$4,'NSE - NIFTY Index Options'!$I:$I,"Weekly*")+SUMIFS('NSE - NIFTY Index Options'!$M:$M,'NSE - NIFTY Index Options'!$C:$C,$A92,'NSE - NIFTY Index Options'!$B:$B,D$4,'NSE - NIFTY Index Options'!$I:$I,"MDAW*")+SUMIFS('NSE - Other Index Options'!$M:$M,'NSE - Other Index Options'!$C:$C,$A92,'NSE - Other Index Options'!$B:$B,D$4,'NSE - Other Index Options'!$I:$I,"Weekly*")+SUMIFS('NSE - Other Index Options'!$M:$M,'NSE - Other Index Options'!$C:$C,$A92,'NSE - Other Index Options'!$B:$B,D$4,'NSE - Other Index Options'!$I:$I,"MDAW*")+SUMIFS('BSE - SENSEX Index Options'!$M:$M,'BSE - SENSEX Index Options'!$C:$C,$A92,'BSE - SENSEX Index Options'!$B:$B,D$4,'BSE - SENSEX Index Options'!$I:$I,"Weekly*")+SUMIFS('BSE - SENSEX Index Options'!$M:$M,'BSE - SENSEX Index Options'!$C:$C,$A92,'BSE - SENSEX Index Options'!$B:$B,D$4,'BSE - SENSEX Index Options'!$I:$I,"MDAW*")+SUMIFS('BSE - Other Index Options'!$M:$M,'BSE - Other Index Options'!$C:$C,$A92,'BSE - Other Index Options'!$B:$B,D$4,'BSE - Other Index Options'!$I:$I,"Weekly*")+SUMIFS('BSE - Other Index Options'!$M:$M,'BSE - Other Index Options'!$C:$C,$A92,'BSE - Other Index Options'!$B:$B,D$4,'BSE - Other Index Options'!$I:$I,"MDAW*")=0,"",SUMIFS('NSE - NIFTY Index Options'!$M:$M,'NSE - NIFTY Index Options'!$C:$C,$A92,'NSE - NIFTY Index Options'!$B:$B,D$4,'NSE - NIFTY Index Options'!$I:$I,"Weekly*")+SUMIFS('NSE - NIFTY Index Options'!$M:$M,'NSE - NIFTY Index Options'!$C:$C,$A92,'NSE - NIFTY Index Options'!$B:$B,D$4,'NSE - NIFTY Index Options'!$I:$I,"MDAW*")+SUMIFS('NSE - Other Index Options'!$M:$M,'NSE - Other Index Options'!$C:$C,$A92,'NSE - Other Index Options'!$B:$B,D$4,'NSE - Other Index Options'!$I:$I,"Weekly*")+SUMIFS('NSE - Other Index Options'!$M:$M,'NSE - Other Index Options'!$C:$C,$A92,'NSE - Other Index Options'!$B:$B,D$4,'NSE - Other Index Options'!$I:$I,"MDAW*")+SUMIFS('BSE - SENSEX Index Options'!$M:$M,'BSE - SENSEX Index Options'!$C:$C,$A92,'BSE - SENSEX Index Options'!$B:$B,D$4,'BSE - SENSEX Index Options'!$I:$I,"Weekly*")+SUMIFS('BSE - SENSEX Index Options'!$M:$M,'BSE - SENSEX Index Options'!$C:$C,$A92,'BSE - SENSEX Index Options'!$B:$B,D$4,'BSE - SENSEX Index Options'!$I:$I,"MDAW*")+SUMIFS('BSE - Other Index Options'!$M:$M,'BSE - Other Index Options'!$C:$C,$A92,'BSE - Other Index Options'!$B:$B,D$4,'BSE - Other Index Options'!$I:$I,"Weekly*")+SUMIFS('BSE - Other Index Options'!$M:$M,'BSE - Other Index Options'!$C:$C,$A92,'BSE - Other Index Options'!$B:$B,D$4,'BSE - Other Index Options'!$I:$I,"MDAW*"))</f>
        <v/>
      </c>
      <c r="E92" s="26">
        <f>IF(SUMIFS('NSE - NIFTY Index Options'!$M:$M,'NSE - NIFTY Index Options'!$C:$C,$A92,'NSE - NIFTY Index Options'!$B:$B,E$4,'NSE - NIFTY Index Options'!$I:$I,"Weekly*")+SUMIFS('NSE - NIFTY Index Options'!$M:$M,'NSE - NIFTY Index Options'!$C:$C,$A92,'NSE - NIFTY Index Options'!$B:$B,E$4,'NSE - NIFTY Index Options'!$I:$I,"MDAW*")+SUMIFS('NSE - Other Index Options'!$M:$M,'NSE - Other Index Options'!$C:$C,$A92,'NSE - Other Index Options'!$B:$B,E$4,'NSE - Other Index Options'!$I:$I,"Weekly*")+SUMIFS('NSE - Other Index Options'!$M:$M,'NSE - Other Index Options'!$C:$C,$A92,'NSE - Other Index Options'!$B:$B,E$4,'NSE - Other Index Options'!$I:$I,"MDAW*")+SUMIFS('BSE - SENSEX Index Options'!$M:$M,'BSE - SENSEX Index Options'!$C:$C,$A92,'BSE - SENSEX Index Options'!$B:$B,E$4,'BSE - SENSEX Index Options'!$I:$I,"Weekly*")+SUMIFS('BSE - SENSEX Index Options'!$M:$M,'BSE - SENSEX Index Options'!$C:$C,$A92,'BSE - SENSEX Index Options'!$B:$B,E$4,'BSE - SENSEX Index Options'!$I:$I,"MDAW*")+SUMIFS('BSE - Other Index Options'!$M:$M,'BSE - Other Index Options'!$C:$C,$A92,'BSE - Other Index Options'!$B:$B,E$4,'BSE - Other Index Options'!$I:$I,"Weekly*")+SUMIFS('BSE - Other Index Options'!$M:$M,'BSE - Other Index Options'!$C:$C,$A92,'BSE - Other Index Options'!$B:$B,E$4,'BSE - Other Index Options'!$I:$I,"MDAW*")=0,"",SUMIFS('NSE - NIFTY Index Options'!$M:$M,'NSE - NIFTY Index Options'!$C:$C,$A92,'NSE - NIFTY Index Options'!$B:$B,E$4,'NSE - NIFTY Index Options'!$I:$I,"Weekly*")+SUMIFS('NSE - NIFTY Index Options'!$M:$M,'NSE - NIFTY Index Options'!$C:$C,$A92,'NSE - NIFTY Index Options'!$B:$B,E$4,'NSE - NIFTY Index Options'!$I:$I,"MDAW*")+SUMIFS('NSE - Other Index Options'!$M:$M,'NSE - Other Index Options'!$C:$C,$A92,'NSE - Other Index Options'!$B:$B,E$4,'NSE - Other Index Options'!$I:$I,"Weekly*")+SUMIFS('NSE - Other Index Options'!$M:$M,'NSE - Other Index Options'!$C:$C,$A92,'NSE - Other Index Options'!$B:$B,E$4,'NSE - Other Index Options'!$I:$I,"MDAW*")+SUMIFS('BSE - SENSEX Index Options'!$M:$M,'BSE - SENSEX Index Options'!$C:$C,$A92,'BSE - SENSEX Index Options'!$B:$B,E$4,'BSE - SENSEX Index Options'!$I:$I,"Weekly*")+SUMIFS('BSE - SENSEX Index Options'!$M:$M,'BSE - SENSEX Index Options'!$C:$C,$A92,'BSE - SENSEX Index Options'!$B:$B,E$4,'BSE - SENSEX Index Options'!$I:$I,"MDAW*")+SUMIFS('BSE - Other Index Options'!$M:$M,'BSE - Other Index Options'!$C:$C,$A92,'BSE - Other Index Options'!$B:$B,E$4,'BSE - Other Index Options'!$I:$I,"Weekly*")+SUMIFS('BSE - Other Index Options'!$M:$M,'BSE - Other Index Options'!$C:$C,$A92,'BSE - Other Index Options'!$B:$B,E$4,'BSE - Other Index Options'!$I:$I,"MDAW*"))</f>
        <v/>
      </c>
      <c r="F92" s="26">
        <f>IF(SUMIFS('NSE - NIFTY Index Options'!$M:$M,'NSE - NIFTY Index Options'!$C:$C,$A92,'NSE - NIFTY Index Options'!$B:$B,F$4,'NSE - NIFTY Index Options'!$I:$I,"Weekly*")+SUMIFS('NSE - NIFTY Index Options'!$M:$M,'NSE - NIFTY Index Options'!$C:$C,$A92,'NSE - NIFTY Index Options'!$B:$B,F$4,'NSE - NIFTY Index Options'!$I:$I,"MDAW*")+SUMIFS('NSE - Other Index Options'!$M:$M,'NSE - Other Index Options'!$C:$C,$A92,'NSE - Other Index Options'!$B:$B,F$4,'NSE - Other Index Options'!$I:$I,"Weekly*")+SUMIFS('NSE - Other Index Options'!$M:$M,'NSE - Other Index Options'!$C:$C,$A92,'NSE - Other Index Options'!$B:$B,F$4,'NSE - Other Index Options'!$I:$I,"MDAW*")+SUMIFS('BSE - SENSEX Index Options'!$M:$M,'BSE - SENSEX Index Options'!$C:$C,$A92,'BSE - SENSEX Index Options'!$B:$B,F$4,'BSE - SENSEX Index Options'!$I:$I,"Weekly*")+SUMIFS('BSE - SENSEX Index Options'!$M:$M,'BSE - SENSEX Index Options'!$C:$C,$A92,'BSE - SENSEX Index Options'!$B:$B,F$4,'BSE - SENSEX Index Options'!$I:$I,"MDAW*")+SUMIFS('BSE - Other Index Options'!$M:$M,'BSE - Other Index Options'!$C:$C,$A92,'BSE - Other Index Options'!$B:$B,F$4,'BSE - Other Index Options'!$I:$I,"Weekly*")+SUMIFS('BSE - Other Index Options'!$M:$M,'BSE - Other Index Options'!$C:$C,$A92,'BSE - Other Index Options'!$B:$B,F$4,'BSE - Other Index Options'!$I:$I,"MDAW*")=0,"",SUMIFS('NSE - NIFTY Index Options'!$M:$M,'NSE - NIFTY Index Options'!$C:$C,$A92,'NSE - NIFTY Index Options'!$B:$B,F$4,'NSE - NIFTY Index Options'!$I:$I,"Weekly*")+SUMIFS('NSE - NIFTY Index Options'!$M:$M,'NSE - NIFTY Index Options'!$C:$C,$A92,'NSE - NIFTY Index Options'!$B:$B,F$4,'NSE - NIFTY Index Options'!$I:$I,"MDAW*")+SUMIFS('NSE - Other Index Options'!$M:$M,'NSE - Other Index Options'!$C:$C,$A92,'NSE - Other Index Options'!$B:$B,F$4,'NSE - Other Index Options'!$I:$I,"Weekly*")+SUMIFS('NSE - Other Index Options'!$M:$M,'NSE - Other Index Options'!$C:$C,$A92,'NSE - Other Index Options'!$B:$B,F$4,'NSE - Other Index Options'!$I:$I,"MDAW*")+SUMIFS('BSE - SENSEX Index Options'!$M:$M,'BSE - SENSEX Index Options'!$C:$C,$A92,'BSE - SENSEX Index Options'!$B:$B,F$4,'BSE - SENSEX Index Options'!$I:$I,"Weekly*")+SUMIFS('BSE - SENSEX Index Options'!$M:$M,'BSE - SENSEX Index Options'!$C:$C,$A92,'BSE - SENSEX Index Options'!$B:$B,F$4,'BSE - SENSEX Index Options'!$I:$I,"MDAW*")+SUMIFS('BSE - Other Index Options'!$M:$M,'BSE - Other Index Options'!$C:$C,$A92,'BSE - Other Index Options'!$B:$B,F$4,'BSE - Other Index Options'!$I:$I,"Weekly*")+SUMIFS('BSE - Other Index Options'!$M:$M,'BSE - Other Index Options'!$C:$C,$A92,'BSE - Other Index Options'!$B:$B,F$4,'BSE - Other Index Options'!$I:$I,"MDAW*"))</f>
        <v/>
      </c>
      <c r="G92" s="26">
        <f>IF(SUMIFS('NSE - NIFTY Index Options'!$M:$M,'NSE - NIFTY Index Options'!$C:$C,$A92,'NSE - NIFTY Index Options'!$B:$B,G$4,'NSE - NIFTY Index Options'!$I:$I,"Weekly*")+SUMIFS('NSE - NIFTY Index Options'!$M:$M,'NSE - NIFTY Index Options'!$C:$C,$A92,'NSE - NIFTY Index Options'!$B:$B,G$4,'NSE - NIFTY Index Options'!$I:$I,"MDAW*")+SUMIFS('NSE - Other Index Options'!$M:$M,'NSE - Other Index Options'!$C:$C,$A92,'NSE - Other Index Options'!$B:$B,G$4,'NSE - Other Index Options'!$I:$I,"Weekly*")+SUMIFS('NSE - Other Index Options'!$M:$M,'NSE - Other Index Options'!$C:$C,$A92,'NSE - Other Index Options'!$B:$B,G$4,'NSE - Other Index Options'!$I:$I,"MDAW*")+SUMIFS('BSE - SENSEX Index Options'!$M:$M,'BSE - SENSEX Index Options'!$C:$C,$A92,'BSE - SENSEX Index Options'!$B:$B,G$4,'BSE - SENSEX Index Options'!$I:$I,"Weekly*")+SUMIFS('BSE - SENSEX Index Options'!$M:$M,'BSE - SENSEX Index Options'!$C:$C,$A92,'BSE - SENSEX Index Options'!$B:$B,G$4,'BSE - SENSEX Index Options'!$I:$I,"MDAW*")+SUMIFS('BSE - Other Index Options'!$M:$M,'BSE - Other Index Options'!$C:$C,$A92,'BSE - Other Index Options'!$B:$B,G$4,'BSE - Other Index Options'!$I:$I,"Weekly*")+SUMIFS('BSE - Other Index Options'!$M:$M,'BSE - Other Index Options'!$C:$C,$A92,'BSE - Other Index Options'!$B:$B,G$4,'BSE - Other Index Options'!$I:$I,"MDAW*")=0,"",SUMIFS('NSE - NIFTY Index Options'!$M:$M,'NSE - NIFTY Index Options'!$C:$C,$A92,'NSE - NIFTY Index Options'!$B:$B,G$4,'NSE - NIFTY Index Options'!$I:$I,"Weekly*")+SUMIFS('NSE - NIFTY Index Options'!$M:$M,'NSE - NIFTY Index Options'!$C:$C,$A92,'NSE - NIFTY Index Options'!$B:$B,G$4,'NSE - NIFTY Index Options'!$I:$I,"MDAW*")+SUMIFS('NSE - Other Index Options'!$M:$M,'NSE - Other Index Options'!$C:$C,$A92,'NSE - Other Index Options'!$B:$B,G$4,'NSE - Other Index Options'!$I:$I,"Weekly*")+SUMIFS('NSE - Other Index Options'!$M:$M,'NSE - Other Index Options'!$C:$C,$A92,'NSE - Other Index Options'!$B:$B,G$4,'NSE - Other Index Options'!$I:$I,"MDAW*")+SUMIFS('BSE - SENSEX Index Options'!$M:$M,'BSE - SENSEX Index Options'!$C:$C,$A92,'BSE - SENSEX Index Options'!$B:$B,G$4,'BSE - SENSEX Index Options'!$I:$I,"Weekly*")+SUMIFS('BSE - SENSEX Index Options'!$M:$M,'BSE - SENSEX Index Options'!$C:$C,$A92,'BSE - SENSEX Index Options'!$B:$B,G$4,'BSE - SENSEX Index Options'!$I:$I,"MDAW*")+SUMIFS('BSE - Other Index Options'!$M:$M,'BSE - Other Index Options'!$C:$C,$A92,'BSE - Other Index Options'!$B:$B,G$4,'BSE - Other Index Options'!$I:$I,"Weekly*")+SUMIFS('BSE - Other Index Options'!$M:$M,'BSE - Other Index Options'!$C:$C,$A92,'BSE - Other Index Options'!$B:$B,G$4,'BSE - Other Index Options'!$I:$I,"MDAW*"))</f>
        <v/>
      </c>
      <c r="H92" s="26">
        <f>IF(SUM(B92:G92)=0,"",SUM(B92:G92))</f>
        <v/>
      </c>
    </row>
    <row r="93" hidden="1" outlineLevel="1">
      <c r="A93" t="inlineStr">
        <is>
          <t>Week1-Mar-2027</t>
        </is>
      </c>
      <c r="B93" s="26">
        <f>IF(SUMIFS('NSE - NIFTY Index Options'!$M:$M,'NSE - NIFTY Index Options'!$C:$C,$A93,'NSE - NIFTY Index Options'!$B:$B,B$4,'NSE - NIFTY Index Options'!$I:$I,"Weekly*")+SUMIFS('NSE - NIFTY Index Options'!$M:$M,'NSE - NIFTY Index Options'!$C:$C,$A93,'NSE - NIFTY Index Options'!$B:$B,B$4,'NSE - NIFTY Index Options'!$I:$I,"MDAW*")+SUMIFS('NSE - Other Index Options'!$M:$M,'NSE - Other Index Options'!$C:$C,$A93,'NSE - Other Index Options'!$B:$B,B$4,'NSE - Other Index Options'!$I:$I,"Weekly*")+SUMIFS('NSE - Other Index Options'!$M:$M,'NSE - Other Index Options'!$C:$C,$A93,'NSE - Other Index Options'!$B:$B,B$4,'NSE - Other Index Options'!$I:$I,"MDAW*")+SUMIFS('BSE - SENSEX Index Options'!$M:$M,'BSE - SENSEX Index Options'!$C:$C,$A93,'BSE - SENSEX Index Options'!$B:$B,B$4,'BSE - SENSEX Index Options'!$I:$I,"Weekly*")+SUMIFS('BSE - SENSEX Index Options'!$M:$M,'BSE - SENSEX Index Options'!$C:$C,$A93,'BSE - SENSEX Index Options'!$B:$B,B$4,'BSE - SENSEX Index Options'!$I:$I,"MDAW*")+SUMIFS('BSE - Other Index Options'!$M:$M,'BSE - Other Index Options'!$C:$C,$A93,'BSE - Other Index Options'!$B:$B,B$4,'BSE - Other Index Options'!$I:$I,"Weekly*")+SUMIFS('BSE - Other Index Options'!$M:$M,'BSE - Other Index Options'!$C:$C,$A93,'BSE - Other Index Options'!$B:$B,B$4,'BSE - Other Index Options'!$I:$I,"MDAW*")=0,"",SUMIFS('NSE - NIFTY Index Options'!$M:$M,'NSE - NIFTY Index Options'!$C:$C,$A93,'NSE - NIFTY Index Options'!$B:$B,B$4,'NSE - NIFTY Index Options'!$I:$I,"Weekly*")+SUMIFS('NSE - NIFTY Index Options'!$M:$M,'NSE - NIFTY Index Options'!$C:$C,$A93,'NSE - NIFTY Index Options'!$B:$B,B$4,'NSE - NIFTY Index Options'!$I:$I,"MDAW*")+SUMIFS('NSE - Other Index Options'!$M:$M,'NSE - Other Index Options'!$C:$C,$A93,'NSE - Other Index Options'!$B:$B,B$4,'NSE - Other Index Options'!$I:$I,"Weekly*")+SUMIFS('NSE - Other Index Options'!$M:$M,'NSE - Other Index Options'!$C:$C,$A93,'NSE - Other Index Options'!$B:$B,B$4,'NSE - Other Index Options'!$I:$I,"MDAW*")+SUMIFS('BSE - SENSEX Index Options'!$M:$M,'BSE - SENSEX Index Options'!$C:$C,$A93,'BSE - SENSEX Index Options'!$B:$B,B$4,'BSE - SENSEX Index Options'!$I:$I,"Weekly*")+SUMIFS('BSE - SENSEX Index Options'!$M:$M,'BSE - SENSEX Index Options'!$C:$C,$A93,'BSE - SENSEX Index Options'!$B:$B,B$4,'BSE - SENSEX Index Options'!$I:$I,"MDAW*")+SUMIFS('BSE - Other Index Options'!$M:$M,'BSE - Other Index Options'!$C:$C,$A93,'BSE - Other Index Options'!$B:$B,B$4,'BSE - Other Index Options'!$I:$I,"Weekly*")+SUMIFS('BSE - Other Index Options'!$M:$M,'BSE - Other Index Options'!$C:$C,$A93,'BSE - Other Index Options'!$B:$B,B$4,'BSE - Other Index Options'!$I:$I,"MDAW*"))</f>
        <v/>
      </c>
      <c r="C93" s="26">
        <f>IF(SUMIFS('NSE - NIFTY Index Options'!$M:$M,'NSE - NIFTY Index Options'!$C:$C,$A93,'NSE - NIFTY Index Options'!$B:$B,C$4,'NSE - NIFTY Index Options'!$I:$I,"Weekly*")+SUMIFS('NSE - NIFTY Index Options'!$M:$M,'NSE - NIFTY Index Options'!$C:$C,$A93,'NSE - NIFTY Index Options'!$B:$B,C$4,'NSE - NIFTY Index Options'!$I:$I,"MDAW*")+SUMIFS('NSE - Other Index Options'!$M:$M,'NSE - Other Index Options'!$C:$C,$A93,'NSE - Other Index Options'!$B:$B,C$4,'NSE - Other Index Options'!$I:$I,"Weekly*")+SUMIFS('NSE - Other Index Options'!$M:$M,'NSE - Other Index Options'!$C:$C,$A93,'NSE - Other Index Options'!$B:$B,C$4,'NSE - Other Index Options'!$I:$I,"MDAW*")+SUMIFS('BSE - SENSEX Index Options'!$M:$M,'BSE - SENSEX Index Options'!$C:$C,$A93,'BSE - SENSEX Index Options'!$B:$B,C$4,'BSE - SENSEX Index Options'!$I:$I,"Weekly*")+SUMIFS('BSE - SENSEX Index Options'!$M:$M,'BSE - SENSEX Index Options'!$C:$C,$A93,'BSE - SENSEX Index Options'!$B:$B,C$4,'BSE - SENSEX Index Options'!$I:$I,"MDAW*")+SUMIFS('BSE - Other Index Options'!$M:$M,'BSE - Other Index Options'!$C:$C,$A93,'BSE - Other Index Options'!$B:$B,C$4,'BSE - Other Index Options'!$I:$I,"Weekly*")+SUMIFS('BSE - Other Index Options'!$M:$M,'BSE - Other Index Options'!$C:$C,$A93,'BSE - Other Index Options'!$B:$B,C$4,'BSE - Other Index Options'!$I:$I,"MDAW*")=0,"",SUMIFS('NSE - NIFTY Index Options'!$M:$M,'NSE - NIFTY Index Options'!$C:$C,$A93,'NSE - NIFTY Index Options'!$B:$B,C$4,'NSE - NIFTY Index Options'!$I:$I,"Weekly*")+SUMIFS('NSE - NIFTY Index Options'!$M:$M,'NSE - NIFTY Index Options'!$C:$C,$A93,'NSE - NIFTY Index Options'!$B:$B,C$4,'NSE - NIFTY Index Options'!$I:$I,"MDAW*")+SUMIFS('NSE - Other Index Options'!$M:$M,'NSE - Other Index Options'!$C:$C,$A93,'NSE - Other Index Options'!$B:$B,C$4,'NSE - Other Index Options'!$I:$I,"Weekly*")+SUMIFS('NSE - Other Index Options'!$M:$M,'NSE - Other Index Options'!$C:$C,$A93,'NSE - Other Index Options'!$B:$B,C$4,'NSE - Other Index Options'!$I:$I,"MDAW*")+SUMIFS('BSE - SENSEX Index Options'!$M:$M,'BSE - SENSEX Index Options'!$C:$C,$A93,'BSE - SENSEX Index Options'!$B:$B,C$4,'BSE - SENSEX Index Options'!$I:$I,"Weekly*")+SUMIFS('BSE - SENSEX Index Options'!$M:$M,'BSE - SENSEX Index Options'!$C:$C,$A93,'BSE - SENSEX Index Options'!$B:$B,C$4,'BSE - SENSEX Index Options'!$I:$I,"MDAW*")+SUMIFS('BSE - Other Index Options'!$M:$M,'BSE - Other Index Options'!$C:$C,$A93,'BSE - Other Index Options'!$B:$B,C$4,'BSE - Other Index Options'!$I:$I,"Weekly*")+SUMIFS('BSE - Other Index Options'!$M:$M,'BSE - Other Index Options'!$C:$C,$A93,'BSE - Other Index Options'!$B:$B,C$4,'BSE - Other Index Options'!$I:$I,"MDAW*"))</f>
        <v/>
      </c>
      <c r="D93" s="26">
        <f>IF(SUMIFS('NSE - NIFTY Index Options'!$M:$M,'NSE - NIFTY Index Options'!$C:$C,$A93,'NSE - NIFTY Index Options'!$B:$B,D$4,'NSE - NIFTY Index Options'!$I:$I,"Weekly*")+SUMIFS('NSE - NIFTY Index Options'!$M:$M,'NSE - NIFTY Index Options'!$C:$C,$A93,'NSE - NIFTY Index Options'!$B:$B,D$4,'NSE - NIFTY Index Options'!$I:$I,"MDAW*")+SUMIFS('NSE - Other Index Options'!$M:$M,'NSE - Other Index Options'!$C:$C,$A93,'NSE - Other Index Options'!$B:$B,D$4,'NSE - Other Index Options'!$I:$I,"Weekly*")+SUMIFS('NSE - Other Index Options'!$M:$M,'NSE - Other Index Options'!$C:$C,$A93,'NSE - Other Index Options'!$B:$B,D$4,'NSE - Other Index Options'!$I:$I,"MDAW*")+SUMIFS('BSE - SENSEX Index Options'!$M:$M,'BSE - SENSEX Index Options'!$C:$C,$A93,'BSE - SENSEX Index Options'!$B:$B,D$4,'BSE - SENSEX Index Options'!$I:$I,"Weekly*")+SUMIFS('BSE - SENSEX Index Options'!$M:$M,'BSE - SENSEX Index Options'!$C:$C,$A93,'BSE - SENSEX Index Options'!$B:$B,D$4,'BSE - SENSEX Index Options'!$I:$I,"MDAW*")+SUMIFS('BSE - Other Index Options'!$M:$M,'BSE - Other Index Options'!$C:$C,$A93,'BSE - Other Index Options'!$B:$B,D$4,'BSE - Other Index Options'!$I:$I,"Weekly*")+SUMIFS('BSE - Other Index Options'!$M:$M,'BSE - Other Index Options'!$C:$C,$A93,'BSE - Other Index Options'!$B:$B,D$4,'BSE - Other Index Options'!$I:$I,"MDAW*")=0,"",SUMIFS('NSE - NIFTY Index Options'!$M:$M,'NSE - NIFTY Index Options'!$C:$C,$A93,'NSE - NIFTY Index Options'!$B:$B,D$4,'NSE - NIFTY Index Options'!$I:$I,"Weekly*")+SUMIFS('NSE - NIFTY Index Options'!$M:$M,'NSE - NIFTY Index Options'!$C:$C,$A93,'NSE - NIFTY Index Options'!$B:$B,D$4,'NSE - NIFTY Index Options'!$I:$I,"MDAW*")+SUMIFS('NSE - Other Index Options'!$M:$M,'NSE - Other Index Options'!$C:$C,$A93,'NSE - Other Index Options'!$B:$B,D$4,'NSE - Other Index Options'!$I:$I,"Weekly*")+SUMIFS('NSE - Other Index Options'!$M:$M,'NSE - Other Index Options'!$C:$C,$A93,'NSE - Other Index Options'!$B:$B,D$4,'NSE - Other Index Options'!$I:$I,"MDAW*")+SUMIFS('BSE - SENSEX Index Options'!$M:$M,'BSE - SENSEX Index Options'!$C:$C,$A93,'BSE - SENSEX Index Options'!$B:$B,D$4,'BSE - SENSEX Index Options'!$I:$I,"Weekly*")+SUMIFS('BSE - SENSEX Index Options'!$M:$M,'BSE - SENSEX Index Options'!$C:$C,$A93,'BSE - SENSEX Index Options'!$B:$B,D$4,'BSE - SENSEX Index Options'!$I:$I,"MDAW*")+SUMIFS('BSE - Other Index Options'!$M:$M,'BSE - Other Index Options'!$C:$C,$A93,'BSE - Other Index Options'!$B:$B,D$4,'BSE - Other Index Options'!$I:$I,"Weekly*")+SUMIFS('BSE - Other Index Options'!$M:$M,'BSE - Other Index Options'!$C:$C,$A93,'BSE - Other Index Options'!$B:$B,D$4,'BSE - Other Index Options'!$I:$I,"MDAW*"))</f>
        <v/>
      </c>
      <c r="E93" s="26">
        <f>IF(SUMIFS('NSE - NIFTY Index Options'!$M:$M,'NSE - NIFTY Index Options'!$C:$C,$A93,'NSE - NIFTY Index Options'!$B:$B,E$4,'NSE - NIFTY Index Options'!$I:$I,"Weekly*")+SUMIFS('NSE - NIFTY Index Options'!$M:$M,'NSE - NIFTY Index Options'!$C:$C,$A93,'NSE - NIFTY Index Options'!$B:$B,E$4,'NSE - NIFTY Index Options'!$I:$I,"MDAW*")+SUMIFS('NSE - Other Index Options'!$M:$M,'NSE - Other Index Options'!$C:$C,$A93,'NSE - Other Index Options'!$B:$B,E$4,'NSE - Other Index Options'!$I:$I,"Weekly*")+SUMIFS('NSE - Other Index Options'!$M:$M,'NSE - Other Index Options'!$C:$C,$A93,'NSE - Other Index Options'!$B:$B,E$4,'NSE - Other Index Options'!$I:$I,"MDAW*")+SUMIFS('BSE - SENSEX Index Options'!$M:$M,'BSE - SENSEX Index Options'!$C:$C,$A93,'BSE - SENSEX Index Options'!$B:$B,E$4,'BSE - SENSEX Index Options'!$I:$I,"Weekly*")+SUMIFS('BSE - SENSEX Index Options'!$M:$M,'BSE - SENSEX Index Options'!$C:$C,$A93,'BSE - SENSEX Index Options'!$B:$B,E$4,'BSE - SENSEX Index Options'!$I:$I,"MDAW*")+SUMIFS('BSE - Other Index Options'!$M:$M,'BSE - Other Index Options'!$C:$C,$A93,'BSE - Other Index Options'!$B:$B,E$4,'BSE - Other Index Options'!$I:$I,"Weekly*")+SUMIFS('BSE - Other Index Options'!$M:$M,'BSE - Other Index Options'!$C:$C,$A93,'BSE - Other Index Options'!$B:$B,E$4,'BSE - Other Index Options'!$I:$I,"MDAW*")=0,"",SUMIFS('NSE - NIFTY Index Options'!$M:$M,'NSE - NIFTY Index Options'!$C:$C,$A93,'NSE - NIFTY Index Options'!$B:$B,E$4,'NSE - NIFTY Index Options'!$I:$I,"Weekly*")+SUMIFS('NSE - NIFTY Index Options'!$M:$M,'NSE - NIFTY Index Options'!$C:$C,$A93,'NSE - NIFTY Index Options'!$B:$B,E$4,'NSE - NIFTY Index Options'!$I:$I,"MDAW*")+SUMIFS('NSE - Other Index Options'!$M:$M,'NSE - Other Index Options'!$C:$C,$A93,'NSE - Other Index Options'!$B:$B,E$4,'NSE - Other Index Options'!$I:$I,"Weekly*")+SUMIFS('NSE - Other Index Options'!$M:$M,'NSE - Other Index Options'!$C:$C,$A93,'NSE - Other Index Options'!$B:$B,E$4,'NSE - Other Index Options'!$I:$I,"MDAW*")+SUMIFS('BSE - SENSEX Index Options'!$M:$M,'BSE - SENSEX Index Options'!$C:$C,$A93,'BSE - SENSEX Index Options'!$B:$B,E$4,'BSE - SENSEX Index Options'!$I:$I,"Weekly*")+SUMIFS('BSE - SENSEX Index Options'!$M:$M,'BSE - SENSEX Index Options'!$C:$C,$A93,'BSE - SENSEX Index Options'!$B:$B,E$4,'BSE - SENSEX Index Options'!$I:$I,"MDAW*")+SUMIFS('BSE - Other Index Options'!$M:$M,'BSE - Other Index Options'!$C:$C,$A93,'BSE - Other Index Options'!$B:$B,E$4,'BSE - Other Index Options'!$I:$I,"Weekly*")+SUMIFS('BSE - Other Index Options'!$M:$M,'BSE - Other Index Options'!$C:$C,$A93,'BSE - Other Index Options'!$B:$B,E$4,'BSE - Other Index Options'!$I:$I,"MDAW*"))</f>
        <v/>
      </c>
      <c r="F93" s="26">
        <f>IF(SUMIFS('NSE - NIFTY Index Options'!$M:$M,'NSE - NIFTY Index Options'!$C:$C,$A93,'NSE - NIFTY Index Options'!$B:$B,F$4,'NSE - NIFTY Index Options'!$I:$I,"Weekly*")+SUMIFS('NSE - NIFTY Index Options'!$M:$M,'NSE - NIFTY Index Options'!$C:$C,$A93,'NSE - NIFTY Index Options'!$B:$B,F$4,'NSE - NIFTY Index Options'!$I:$I,"MDAW*")+SUMIFS('NSE - Other Index Options'!$M:$M,'NSE - Other Index Options'!$C:$C,$A93,'NSE - Other Index Options'!$B:$B,F$4,'NSE - Other Index Options'!$I:$I,"Weekly*")+SUMIFS('NSE - Other Index Options'!$M:$M,'NSE - Other Index Options'!$C:$C,$A93,'NSE - Other Index Options'!$B:$B,F$4,'NSE - Other Index Options'!$I:$I,"MDAW*")+SUMIFS('BSE - SENSEX Index Options'!$M:$M,'BSE - SENSEX Index Options'!$C:$C,$A93,'BSE - SENSEX Index Options'!$B:$B,F$4,'BSE - SENSEX Index Options'!$I:$I,"Weekly*")+SUMIFS('BSE - SENSEX Index Options'!$M:$M,'BSE - SENSEX Index Options'!$C:$C,$A93,'BSE - SENSEX Index Options'!$B:$B,F$4,'BSE - SENSEX Index Options'!$I:$I,"MDAW*")+SUMIFS('BSE - Other Index Options'!$M:$M,'BSE - Other Index Options'!$C:$C,$A93,'BSE - Other Index Options'!$B:$B,F$4,'BSE - Other Index Options'!$I:$I,"Weekly*")+SUMIFS('BSE - Other Index Options'!$M:$M,'BSE - Other Index Options'!$C:$C,$A93,'BSE - Other Index Options'!$B:$B,F$4,'BSE - Other Index Options'!$I:$I,"MDAW*")=0,"",SUMIFS('NSE - NIFTY Index Options'!$M:$M,'NSE - NIFTY Index Options'!$C:$C,$A93,'NSE - NIFTY Index Options'!$B:$B,F$4,'NSE - NIFTY Index Options'!$I:$I,"Weekly*")+SUMIFS('NSE - NIFTY Index Options'!$M:$M,'NSE - NIFTY Index Options'!$C:$C,$A93,'NSE - NIFTY Index Options'!$B:$B,F$4,'NSE - NIFTY Index Options'!$I:$I,"MDAW*")+SUMIFS('NSE - Other Index Options'!$M:$M,'NSE - Other Index Options'!$C:$C,$A93,'NSE - Other Index Options'!$B:$B,F$4,'NSE - Other Index Options'!$I:$I,"Weekly*")+SUMIFS('NSE - Other Index Options'!$M:$M,'NSE - Other Index Options'!$C:$C,$A93,'NSE - Other Index Options'!$B:$B,F$4,'NSE - Other Index Options'!$I:$I,"MDAW*")+SUMIFS('BSE - SENSEX Index Options'!$M:$M,'BSE - SENSEX Index Options'!$C:$C,$A93,'BSE - SENSEX Index Options'!$B:$B,F$4,'BSE - SENSEX Index Options'!$I:$I,"Weekly*")+SUMIFS('BSE - SENSEX Index Options'!$M:$M,'BSE - SENSEX Index Options'!$C:$C,$A93,'BSE - SENSEX Index Options'!$B:$B,F$4,'BSE - SENSEX Index Options'!$I:$I,"MDAW*")+SUMIFS('BSE - Other Index Options'!$M:$M,'BSE - Other Index Options'!$C:$C,$A93,'BSE - Other Index Options'!$B:$B,F$4,'BSE - Other Index Options'!$I:$I,"Weekly*")+SUMIFS('BSE - Other Index Options'!$M:$M,'BSE - Other Index Options'!$C:$C,$A93,'BSE - Other Index Options'!$B:$B,F$4,'BSE - Other Index Options'!$I:$I,"MDAW*"))</f>
        <v/>
      </c>
      <c r="G93" s="26">
        <f>IF(SUMIFS('NSE - NIFTY Index Options'!$M:$M,'NSE - NIFTY Index Options'!$C:$C,$A93,'NSE - NIFTY Index Options'!$B:$B,G$4,'NSE - NIFTY Index Options'!$I:$I,"Weekly*")+SUMIFS('NSE - NIFTY Index Options'!$M:$M,'NSE - NIFTY Index Options'!$C:$C,$A93,'NSE - NIFTY Index Options'!$B:$B,G$4,'NSE - NIFTY Index Options'!$I:$I,"MDAW*")+SUMIFS('NSE - Other Index Options'!$M:$M,'NSE - Other Index Options'!$C:$C,$A93,'NSE - Other Index Options'!$B:$B,G$4,'NSE - Other Index Options'!$I:$I,"Weekly*")+SUMIFS('NSE - Other Index Options'!$M:$M,'NSE - Other Index Options'!$C:$C,$A93,'NSE - Other Index Options'!$B:$B,G$4,'NSE - Other Index Options'!$I:$I,"MDAW*")+SUMIFS('BSE - SENSEX Index Options'!$M:$M,'BSE - SENSEX Index Options'!$C:$C,$A93,'BSE - SENSEX Index Options'!$B:$B,G$4,'BSE - SENSEX Index Options'!$I:$I,"Weekly*")+SUMIFS('BSE - SENSEX Index Options'!$M:$M,'BSE - SENSEX Index Options'!$C:$C,$A93,'BSE - SENSEX Index Options'!$B:$B,G$4,'BSE - SENSEX Index Options'!$I:$I,"MDAW*")+SUMIFS('BSE - Other Index Options'!$M:$M,'BSE - Other Index Options'!$C:$C,$A93,'BSE - Other Index Options'!$B:$B,G$4,'BSE - Other Index Options'!$I:$I,"Weekly*")+SUMIFS('BSE - Other Index Options'!$M:$M,'BSE - Other Index Options'!$C:$C,$A93,'BSE - Other Index Options'!$B:$B,G$4,'BSE - Other Index Options'!$I:$I,"MDAW*")=0,"",SUMIFS('NSE - NIFTY Index Options'!$M:$M,'NSE - NIFTY Index Options'!$C:$C,$A93,'NSE - NIFTY Index Options'!$B:$B,G$4,'NSE - NIFTY Index Options'!$I:$I,"Weekly*")+SUMIFS('NSE - NIFTY Index Options'!$M:$M,'NSE - NIFTY Index Options'!$C:$C,$A93,'NSE - NIFTY Index Options'!$B:$B,G$4,'NSE - NIFTY Index Options'!$I:$I,"MDAW*")+SUMIFS('NSE - Other Index Options'!$M:$M,'NSE - Other Index Options'!$C:$C,$A93,'NSE - Other Index Options'!$B:$B,G$4,'NSE - Other Index Options'!$I:$I,"Weekly*")+SUMIFS('NSE - Other Index Options'!$M:$M,'NSE - Other Index Options'!$C:$C,$A93,'NSE - Other Index Options'!$B:$B,G$4,'NSE - Other Index Options'!$I:$I,"MDAW*")+SUMIFS('BSE - SENSEX Index Options'!$M:$M,'BSE - SENSEX Index Options'!$C:$C,$A93,'BSE - SENSEX Index Options'!$B:$B,G$4,'BSE - SENSEX Index Options'!$I:$I,"Weekly*")+SUMIFS('BSE - SENSEX Index Options'!$M:$M,'BSE - SENSEX Index Options'!$C:$C,$A93,'BSE - SENSEX Index Options'!$B:$B,G$4,'BSE - SENSEX Index Options'!$I:$I,"MDAW*")+SUMIFS('BSE - Other Index Options'!$M:$M,'BSE - Other Index Options'!$C:$C,$A93,'BSE - Other Index Options'!$B:$B,G$4,'BSE - Other Index Options'!$I:$I,"Weekly*")+SUMIFS('BSE - Other Index Options'!$M:$M,'BSE - Other Index Options'!$C:$C,$A93,'BSE - Other Index Options'!$B:$B,G$4,'BSE - Other Index Options'!$I:$I,"MDAW*"))</f>
        <v/>
      </c>
      <c r="H93" s="26">
        <f>IF(SUM(B93:G93)=0,"",SUM(B93:G93))</f>
        <v/>
      </c>
    </row>
    <row r="94" hidden="1" outlineLevel="1">
      <c r="A94" t="inlineStr">
        <is>
          <t>Week2-Mar-2027</t>
        </is>
      </c>
      <c r="B94" s="26">
        <f>IF(SUMIFS('NSE - NIFTY Index Options'!$M:$M,'NSE - NIFTY Index Options'!$C:$C,$A94,'NSE - NIFTY Index Options'!$B:$B,B$4,'NSE - NIFTY Index Options'!$I:$I,"Weekly*")+SUMIFS('NSE - NIFTY Index Options'!$M:$M,'NSE - NIFTY Index Options'!$C:$C,$A94,'NSE - NIFTY Index Options'!$B:$B,B$4,'NSE - NIFTY Index Options'!$I:$I,"MDAW*")+SUMIFS('NSE - Other Index Options'!$M:$M,'NSE - Other Index Options'!$C:$C,$A94,'NSE - Other Index Options'!$B:$B,B$4,'NSE - Other Index Options'!$I:$I,"Weekly*")+SUMIFS('NSE - Other Index Options'!$M:$M,'NSE - Other Index Options'!$C:$C,$A94,'NSE - Other Index Options'!$B:$B,B$4,'NSE - Other Index Options'!$I:$I,"MDAW*")+SUMIFS('BSE - SENSEX Index Options'!$M:$M,'BSE - SENSEX Index Options'!$C:$C,$A94,'BSE - SENSEX Index Options'!$B:$B,B$4,'BSE - SENSEX Index Options'!$I:$I,"Weekly*")+SUMIFS('BSE - SENSEX Index Options'!$M:$M,'BSE - SENSEX Index Options'!$C:$C,$A94,'BSE - SENSEX Index Options'!$B:$B,B$4,'BSE - SENSEX Index Options'!$I:$I,"MDAW*")+SUMIFS('BSE - Other Index Options'!$M:$M,'BSE - Other Index Options'!$C:$C,$A94,'BSE - Other Index Options'!$B:$B,B$4,'BSE - Other Index Options'!$I:$I,"Weekly*")+SUMIFS('BSE - Other Index Options'!$M:$M,'BSE - Other Index Options'!$C:$C,$A94,'BSE - Other Index Options'!$B:$B,B$4,'BSE - Other Index Options'!$I:$I,"MDAW*")=0,"",SUMIFS('NSE - NIFTY Index Options'!$M:$M,'NSE - NIFTY Index Options'!$C:$C,$A94,'NSE - NIFTY Index Options'!$B:$B,B$4,'NSE - NIFTY Index Options'!$I:$I,"Weekly*")+SUMIFS('NSE - NIFTY Index Options'!$M:$M,'NSE - NIFTY Index Options'!$C:$C,$A94,'NSE - NIFTY Index Options'!$B:$B,B$4,'NSE - NIFTY Index Options'!$I:$I,"MDAW*")+SUMIFS('NSE - Other Index Options'!$M:$M,'NSE - Other Index Options'!$C:$C,$A94,'NSE - Other Index Options'!$B:$B,B$4,'NSE - Other Index Options'!$I:$I,"Weekly*")+SUMIFS('NSE - Other Index Options'!$M:$M,'NSE - Other Index Options'!$C:$C,$A94,'NSE - Other Index Options'!$B:$B,B$4,'NSE - Other Index Options'!$I:$I,"MDAW*")+SUMIFS('BSE - SENSEX Index Options'!$M:$M,'BSE - SENSEX Index Options'!$C:$C,$A94,'BSE - SENSEX Index Options'!$B:$B,B$4,'BSE - SENSEX Index Options'!$I:$I,"Weekly*")+SUMIFS('BSE - SENSEX Index Options'!$M:$M,'BSE - SENSEX Index Options'!$C:$C,$A94,'BSE - SENSEX Index Options'!$B:$B,B$4,'BSE - SENSEX Index Options'!$I:$I,"MDAW*")+SUMIFS('BSE - Other Index Options'!$M:$M,'BSE - Other Index Options'!$C:$C,$A94,'BSE - Other Index Options'!$B:$B,B$4,'BSE - Other Index Options'!$I:$I,"Weekly*")+SUMIFS('BSE - Other Index Options'!$M:$M,'BSE - Other Index Options'!$C:$C,$A94,'BSE - Other Index Options'!$B:$B,B$4,'BSE - Other Index Options'!$I:$I,"MDAW*"))</f>
        <v/>
      </c>
      <c r="C94" s="26">
        <f>IF(SUMIFS('NSE - NIFTY Index Options'!$M:$M,'NSE - NIFTY Index Options'!$C:$C,$A94,'NSE - NIFTY Index Options'!$B:$B,C$4,'NSE - NIFTY Index Options'!$I:$I,"Weekly*")+SUMIFS('NSE - NIFTY Index Options'!$M:$M,'NSE - NIFTY Index Options'!$C:$C,$A94,'NSE - NIFTY Index Options'!$B:$B,C$4,'NSE - NIFTY Index Options'!$I:$I,"MDAW*")+SUMIFS('NSE - Other Index Options'!$M:$M,'NSE - Other Index Options'!$C:$C,$A94,'NSE - Other Index Options'!$B:$B,C$4,'NSE - Other Index Options'!$I:$I,"Weekly*")+SUMIFS('NSE - Other Index Options'!$M:$M,'NSE - Other Index Options'!$C:$C,$A94,'NSE - Other Index Options'!$B:$B,C$4,'NSE - Other Index Options'!$I:$I,"MDAW*")+SUMIFS('BSE - SENSEX Index Options'!$M:$M,'BSE - SENSEX Index Options'!$C:$C,$A94,'BSE - SENSEX Index Options'!$B:$B,C$4,'BSE - SENSEX Index Options'!$I:$I,"Weekly*")+SUMIFS('BSE - SENSEX Index Options'!$M:$M,'BSE - SENSEX Index Options'!$C:$C,$A94,'BSE - SENSEX Index Options'!$B:$B,C$4,'BSE - SENSEX Index Options'!$I:$I,"MDAW*")+SUMIFS('BSE - Other Index Options'!$M:$M,'BSE - Other Index Options'!$C:$C,$A94,'BSE - Other Index Options'!$B:$B,C$4,'BSE - Other Index Options'!$I:$I,"Weekly*")+SUMIFS('BSE - Other Index Options'!$M:$M,'BSE - Other Index Options'!$C:$C,$A94,'BSE - Other Index Options'!$B:$B,C$4,'BSE - Other Index Options'!$I:$I,"MDAW*")=0,"",SUMIFS('NSE - NIFTY Index Options'!$M:$M,'NSE - NIFTY Index Options'!$C:$C,$A94,'NSE - NIFTY Index Options'!$B:$B,C$4,'NSE - NIFTY Index Options'!$I:$I,"Weekly*")+SUMIFS('NSE - NIFTY Index Options'!$M:$M,'NSE - NIFTY Index Options'!$C:$C,$A94,'NSE - NIFTY Index Options'!$B:$B,C$4,'NSE - NIFTY Index Options'!$I:$I,"MDAW*")+SUMIFS('NSE - Other Index Options'!$M:$M,'NSE - Other Index Options'!$C:$C,$A94,'NSE - Other Index Options'!$B:$B,C$4,'NSE - Other Index Options'!$I:$I,"Weekly*")+SUMIFS('NSE - Other Index Options'!$M:$M,'NSE - Other Index Options'!$C:$C,$A94,'NSE - Other Index Options'!$B:$B,C$4,'NSE - Other Index Options'!$I:$I,"MDAW*")+SUMIFS('BSE - SENSEX Index Options'!$M:$M,'BSE - SENSEX Index Options'!$C:$C,$A94,'BSE - SENSEX Index Options'!$B:$B,C$4,'BSE - SENSEX Index Options'!$I:$I,"Weekly*")+SUMIFS('BSE - SENSEX Index Options'!$M:$M,'BSE - SENSEX Index Options'!$C:$C,$A94,'BSE - SENSEX Index Options'!$B:$B,C$4,'BSE - SENSEX Index Options'!$I:$I,"MDAW*")+SUMIFS('BSE - Other Index Options'!$M:$M,'BSE - Other Index Options'!$C:$C,$A94,'BSE - Other Index Options'!$B:$B,C$4,'BSE - Other Index Options'!$I:$I,"Weekly*")+SUMIFS('BSE - Other Index Options'!$M:$M,'BSE - Other Index Options'!$C:$C,$A94,'BSE - Other Index Options'!$B:$B,C$4,'BSE - Other Index Options'!$I:$I,"MDAW*"))</f>
        <v/>
      </c>
      <c r="D94" s="26">
        <f>IF(SUMIFS('NSE - NIFTY Index Options'!$M:$M,'NSE - NIFTY Index Options'!$C:$C,$A94,'NSE - NIFTY Index Options'!$B:$B,D$4,'NSE - NIFTY Index Options'!$I:$I,"Weekly*")+SUMIFS('NSE - NIFTY Index Options'!$M:$M,'NSE - NIFTY Index Options'!$C:$C,$A94,'NSE - NIFTY Index Options'!$B:$B,D$4,'NSE - NIFTY Index Options'!$I:$I,"MDAW*")+SUMIFS('NSE - Other Index Options'!$M:$M,'NSE - Other Index Options'!$C:$C,$A94,'NSE - Other Index Options'!$B:$B,D$4,'NSE - Other Index Options'!$I:$I,"Weekly*")+SUMIFS('NSE - Other Index Options'!$M:$M,'NSE - Other Index Options'!$C:$C,$A94,'NSE - Other Index Options'!$B:$B,D$4,'NSE - Other Index Options'!$I:$I,"MDAW*")+SUMIFS('BSE - SENSEX Index Options'!$M:$M,'BSE - SENSEX Index Options'!$C:$C,$A94,'BSE - SENSEX Index Options'!$B:$B,D$4,'BSE - SENSEX Index Options'!$I:$I,"Weekly*")+SUMIFS('BSE - SENSEX Index Options'!$M:$M,'BSE - SENSEX Index Options'!$C:$C,$A94,'BSE - SENSEX Index Options'!$B:$B,D$4,'BSE - SENSEX Index Options'!$I:$I,"MDAW*")+SUMIFS('BSE - Other Index Options'!$M:$M,'BSE - Other Index Options'!$C:$C,$A94,'BSE - Other Index Options'!$B:$B,D$4,'BSE - Other Index Options'!$I:$I,"Weekly*")+SUMIFS('BSE - Other Index Options'!$M:$M,'BSE - Other Index Options'!$C:$C,$A94,'BSE - Other Index Options'!$B:$B,D$4,'BSE - Other Index Options'!$I:$I,"MDAW*")=0,"",SUMIFS('NSE - NIFTY Index Options'!$M:$M,'NSE - NIFTY Index Options'!$C:$C,$A94,'NSE - NIFTY Index Options'!$B:$B,D$4,'NSE - NIFTY Index Options'!$I:$I,"Weekly*")+SUMIFS('NSE - NIFTY Index Options'!$M:$M,'NSE - NIFTY Index Options'!$C:$C,$A94,'NSE - NIFTY Index Options'!$B:$B,D$4,'NSE - NIFTY Index Options'!$I:$I,"MDAW*")+SUMIFS('NSE - Other Index Options'!$M:$M,'NSE - Other Index Options'!$C:$C,$A94,'NSE - Other Index Options'!$B:$B,D$4,'NSE - Other Index Options'!$I:$I,"Weekly*")+SUMIFS('NSE - Other Index Options'!$M:$M,'NSE - Other Index Options'!$C:$C,$A94,'NSE - Other Index Options'!$B:$B,D$4,'NSE - Other Index Options'!$I:$I,"MDAW*")+SUMIFS('BSE - SENSEX Index Options'!$M:$M,'BSE - SENSEX Index Options'!$C:$C,$A94,'BSE - SENSEX Index Options'!$B:$B,D$4,'BSE - SENSEX Index Options'!$I:$I,"Weekly*")+SUMIFS('BSE - SENSEX Index Options'!$M:$M,'BSE - SENSEX Index Options'!$C:$C,$A94,'BSE - SENSEX Index Options'!$B:$B,D$4,'BSE - SENSEX Index Options'!$I:$I,"MDAW*")+SUMIFS('BSE - Other Index Options'!$M:$M,'BSE - Other Index Options'!$C:$C,$A94,'BSE - Other Index Options'!$B:$B,D$4,'BSE - Other Index Options'!$I:$I,"Weekly*")+SUMIFS('BSE - Other Index Options'!$M:$M,'BSE - Other Index Options'!$C:$C,$A94,'BSE - Other Index Options'!$B:$B,D$4,'BSE - Other Index Options'!$I:$I,"MDAW*"))</f>
        <v/>
      </c>
      <c r="E94" s="26">
        <f>IF(SUMIFS('NSE - NIFTY Index Options'!$M:$M,'NSE - NIFTY Index Options'!$C:$C,$A94,'NSE - NIFTY Index Options'!$B:$B,E$4,'NSE - NIFTY Index Options'!$I:$I,"Weekly*")+SUMIFS('NSE - NIFTY Index Options'!$M:$M,'NSE - NIFTY Index Options'!$C:$C,$A94,'NSE - NIFTY Index Options'!$B:$B,E$4,'NSE - NIFTY Index Options'!$I:$I,"MDAW*")+SUMIFS('NSE - Other Index Options'!$M:$M,'NSE - Other Index Options'!$C:$C,$A94,'NSE - Other Index Options'!$B:$B,E$4,'NSE - Other Index Options'!$I:$I,"Weekly*")+SUMIFS('NSE - Other Index Options'!$M:$M,'NSE - Other Index Options'!$C:$C,$A94,'NSE - Other Index Options'!$B:$B,E$4,'NSE - Other Index Options'!$I:$I,"MDAW*")+SUMIFS('BSE - SENSEX Index Options'!$M:$M,'BSE - SENSEX Index Options'!$C:$C,$A94,'BSE - SENSEX Index Options'!$B:$B,E$4,'BSE - SENSEX Index Options'!$I:$I,"Weekly*")+SUMIFS('BSE - SENSEX Index Options'!$M:$M,'BSE - SENSEX Index Options'!$C:$C,$A94,'BSE - SENSEX Index Options'!$B:$B,E$4,'BSE - SENSEX Index Options'!$I:$I,"MDAW*")+SUMIFS('BSE - Other Index Options'!$M:$M,'BSE - Other Index Options'!$C:$C,$A94,'BSE - Other Index Options'!$B:$B,E$4,'BSE - Other Index Options'!$I:$I,"Weekly*")+SUMIFS('BSE - Other Index Options'!$M:$M,'BSE - Other Index Options'!$C:$C,$A94,'BSE - Other Index Options'!$B:$B,E$4,'BSE - Other Index Options'!$I:$I,"MDAW*")=0,"",SUMIFS('NSE - NIFTY Index Options'!$M:$M,'NSE - NIFTY Index Options'!$C:$C,$A94,'NSE - NIFTY Index Options'!$B:$B,E$4,'NSE - NIFTY Index Options'!$I:$I,"Weekly*")+SUMIFS('NSE - NIFTY Index Options'!$M:$M,'NSE - NIFTY Index Options'!$C:$C,$A94,'NSE - NIFTY Index Options'!$B:$B,E$4,'NSE - NIFTY Index Options'!$I:$I,"MDAW*")+SUMIFS('NSE - Other Index Options'!$M:$M,'NSE - Other Index Options'!$C:$C,$A94,'NSE - Other Index Options'!$B:$B,E$4,'NSE - Other Index Options'!$I:$I,"Weekly*")+SUMIFS('NSE - Other Index Options'!$M:$M,'NSE - Other Index Options'!$C:$C,$A94,'NSE - Other Index Options'!$B:$B,E$4,'NSE - Other Index Options'!$I:$I,"MDAW*")+SUMIFS('BSE - SENSEX Index Options'!$M:$M,'BSE - SENSEX Index Options'!$C:$C,$A94,'BSE - SENSEX Index Options'!$B:$B,E$4,'BSE - SENSEX Index Options'!$I:$I,"Weekly*")+SUMIFS('BSE - SENSEX Index Options'!$M:$M,'BSE - SENSEX Index Options'!$C:$C,$A94,'BSE - SENSEX Index Options'!$B:$B,E$4,'BSE - SENSEX Index Options'!$I:$I,"MDAW*")+SUMIFS('BSE - Other Index Options'!$M:$M,'BSE - Other Index Options'!$C:$C,$A94,'BSE - Other Index Options'!$B:$B,E$4,'BSE - Other Index Options'!$I:$I,"Weekly*")+SUMIFS('BSE - Other Index Options'!$M:$M,'BSE - Other Index Options'!$C:$C,$A94,'BSE - Other Index Options'!$B:$B,E$4,'BSE - Other Index Options'!$I:$I,"MDAW*"))</f>
        <v/>
      </c>
      <c r="F94" s="26">
        <f>IF(SUMIFS('NSE - NIFTY Index Options'!$M:$M,'NSE - NIFTY Index Options'!$C:$C,$A94,'NSE - NIFTY Index Options'!$B:$B,F$4,'NSE - NIFTY Index Options'!$I:$I,"Weekly*")+SUMIFS('NSE - NIFTY Index Options'!$M:$M,'NSE - NIFTY Index Options'!$C:$C,$A94,'NSE - NIFTY Index Options'!$B:$B,F$4,'NSE - NIFTY Index Options'!$I:$I,"MDAW*")+SUMIFS('NSE - Other Index Options'!$M:$M,'NSE - Other Index Options'!$C:$C,$A94,'NSE - Other Index Options'!$B:$B,F$4,'NSE - Other Index Options'!$I:$I,"Weekly*")+SUMIFS('NSE - Other Index Options'!$M:$M,'NSE - Other Index Options'!$C:$C,$A94,'NSE - Other Index Options'!$B:$B,F$4,'NSE - Other Index Options'!$I:$I,"MDAW*")+SUMIFS('BSE - SENSEX Index Options'!$M:$M,'BSE - SENSEX Index Options'!$C:$C,$A94,'BSE - SENSEX Index Options'!$B:$B,F$4,'BSE - SENSEX Index Options'!$I:$I,"Weekly*")+SUMIFS('BSE - SENSEX Index Options'!$M:$M,'BSE - SENSEX Index Options'!$C:$C,$A94,'BSE - SENSEX Index Options'!$B:$B,F$4,'BSE - SENSEX Index Options'!$I:$I,"MDAW*")+SUMIFS('BSE - Other Index Options'!$M:$M,'BSE - Other Index Options'!$C:$C,$A94,'BSE - Other Index Options'!$B:$B,F$4,'BSE - Other Index Options'!$I:$I,"Weekly*")+SUMIFS('BSE - Other Index Options'!$M:$M,'BSE - Other Index Options'!$C:$C,$A94,'BSE - Other Index Options'!$B:$B,F$4,'BSE - Other Index Options'!$I:$I,"MDAW*")=0,"",SUMIFS('NSE - NIFTY Index Options'!$M:$M,'NSE - NIFTY Index Options'!$C:$C,$A94,'NSE - NIFTY Index Options'!$B:$B,F$4,'NSE - NIFTY Index Options'!$I:$I,"Weekly*")+SUMIFS('NSE - NIFTY Index Options'!$M:$M,'NSE - NIFTY Index Options'!$C:$C,$A94,'NSE - NIFTY Index Options'!$B:$B,F$4,'NSE - NIFTY Index Options'!$I:$I,"MDAW*")+SUMIFS('NSE - Other Index Options'!$M:$M,'NSE - Other Index Options'!$C:$C,$A94,'NSE - Other Index Options'!$B:$B,F$4,'NSE - Other Index Options'!$I:$I,"Weekly*")+SUMIFS('NSE - Other Index Options'!$M:$M,'NSE - Other Index Options'!$C:$C,$A94,'NSE - Other Index Options'!$B:$B,F$4,'NSE - Other Index Options'!$I:$I,"MDAW*")+SUMIFS('BSE - SENSEX Index Options'!$M:$M,'BSE - SENSEX Index Options'!$C:$C,$A94,'BSE - SENSEX Index Options'!$B:$B,F$4,'BSE - SENSEX Index Options'!$I:$I,"Weekly*")+SUMIFS('BSE - SENSEX Index Options'!$M:$M,'BSE - SENSEX Index Options'!$C:$C,$A94,'BSE - SENSEX Index Options'!$B:$B,F$4,'BSE - SENSEX Index Options'!$I:$I,"MDAW*")+SUMIFS('BSE - Other Index Options'!$M:$M,'BSE - Other Index Options'!$C:$C,$A94,'BSE - Other Index Options'!$B:$B,F$4,'BSE - Other Index Options'!$I:$I,"Weekly*")+SUMIFS('BSE - Other Index Options'!$M:$M,'BSE - Other Index Options'!$C:$C,$A94,'BSE - Other Index Options'!$B:$B,F$4,'BSE - Other Index Options'!$I:$I,"MDAW*"))</f>
        <v/>
      </c>
      <c r="G94" s="26">
        <f>IF(SUMIFS('NSE - NIFTY Index Options'!$M:$M,'NSE - NIFTY Index Options'!$C:$C,$A94,'NSE - NIFTY Index Options'!$B:$B,G$4,'NSE - NIFTY Index Options'!$I:$I,"Weekly*")+SUMIFS('NSE - NIFTY Index Options'!$M:$M,'NSE - NIFTY Index Options'!$C:$C,$A94,'NSE - NIFTY Index Options'!$B:$B,G$4,'NSE - NIFTY Index Options'!$I:$I,"MDAW*")+SUMIFS('NSE - Other Index Options'!$M:$M,'NSE - Other Index Options'!$C:$C,$A94,'NSE - Other Index Options'!$B:$B,G$4,'NSE - Other Index Options'!$I:$I,"Weekly*")+SUMIFS('NSE - Other Index Options'!$M:$M,'NSE - Other Index Options'!$C:$C,$A94,'NSE - Other Index Options'!$B:$B,G$4,'NSE - Other Index Options'!$I:$I,"MDAW*")+SUMIFS('BSE - SENSEX Index Options'!$M:$M,'BSE - SENSEX Index Options'!$C:$C,$A94,'BSE - SENSEX Index Options'!$B:$B,G$4,'BSE - SENSEX Index Options'!$I:$I,"Weekly*")+SUMIFS('BSE - SENSEX Index Options'!$M:$M,'BSE - SENSEX Index Options'!$C:$C,$A94,'BSE - SENSEX Index Options'!$B:$B,G$4,'BSE - SENSEX Index Options'!$I:$I,"MDAW*")+SUMIFS('BSE - Other Index Options'!$M:$M,'BSE - Other Index Options'!$C:$C,$A94,'BSE - Other Index Options'!$B:$B,G$4,'BSE - Other Index Options'!$I:$I,"Weekly*")+SUMIFS('BSE - Other Index Options'!$M:$M,'BSE - Other Index Options'!$C:$C,$A94,'BSE - Other Index Options'!$B:$B,G$4,'BSE - Other Index Options'!$I:$I,"MDAW*")=0,"",SUMIFS('NSE - NIFTY Index Options'!$M:$M,'NSE - NIFTY Index Options'!$C:$C,$A94,'NSE - NIFTY Index Options'!$B:$B,G$4,'NSE - NIFTY Index Options'!$I:$I,"Weekly*")+SUMIFS('NSE - NIFTY Index Options'!$M:$M,'NSE - NIFTY Index Options'!$C:$C,$A94,'NSE - NIFTY Index Options'!$B:$B,G$4,'NSE - NIFTY Index Options'!$I:$I,"MDAW*")+SUMIFS('NSE - Other Index Options'!$M:$M,'NSE - Other Index Options'!$C:$C,$A94,'NSE - Other Index Options'!$B:$B,G$4,'NSE - Other Index Options'!$I:$I,"Weekly*")+SUMIFS('NSE - Other Index Options'!$M:$M,'NSE - Other Index Options'!$C:$C,$A94,'NSE - Other Index Options'!$B:$B,G$4,'NSE - Other Index Options'!$I:$I,"MDAW*")+SUMIFS('BSE - SENSEX Index Options'!$M:$M,'BSE - SENSEX Index Options'!$C:$C,$A94,'BSE - SENSEX Index Options'!$B:$B,G$4,'BSE - SENSEX Index Options'!$I:$I,"Weekly*")+SUMIFS('BSE - SENSEX Index Options'!$M:$M,'BSE - SENSEX Index Options'!$C:$C,$A94,'BSE - SENSEX Index Options'!$B:$B,G$4,'BSE - SENSEX Index Options'!$I:$I,"MDAW*")+SUMIFS('BSE - Other Index Options'!$M:$M,'BSE - Other Index Options'!$C:$C,$A94,'BSE - Other Index Options'!$B:$B,G$4,'BSE - Other Index Options'!$I:$I,"Weekly*")+SUMIFS('BSE - Other Index Options'!$M:$M,'BSE - Other Index Options'!$C:$C,$A94,'BSE - Other Index Options'!$B:$B,G$4,'BSE - Other Index Options'!$I:$I,"MDAW*"))</f>
        <v/>
      </c>
      <c r="H94" s="26">
        <f>IF(SUM(B94:G94)=0,"",SUM(B94:G94))</f>
        <v/>
      </c>
    </row>
    <row r="95" hidden="1" outlineLevel="1">
      <c r="A95" t="inlineStr">
        <is>
          <t>Week3-Mar-2027</t>
        </is>
      </c>
      <c r="B95" s="26">
        <f>IF(SUMIFS('NSE - NIFTY Index Options'!$M:$M,'NSE - NIFTY Index Options'!$C:$C,$A95,'NSE - NIFTY Index Options'!$B:$B,B$4,'NSE - NIFTY Index Options'!$I:$I,"Weekly*")+SUMIFS('NSE - NIFTY Index Options'!$M:$M,'NSE - NIFTY Index Options'!$C:$C,$A95,'NSE - NIFTY Index Options'!$B:$B,B$4,'NSE - NIFTY Index Options'!$I:$I,"MDAW*")+SUMIFS('NSE - Other Index Options'!$M:$M,'NSE - Other Index Options'!$C:$C,$A95,'NSE - Other Index Options'!$B:$B,B$4,'NSE - Other Index Options'!$I:$I,"Weekly*")+SUMIFS('NSE - Other Index Options'!$M:$M,'NSE - Other Index Options'!$C:$C,$A95,'NSE - Other Index Options'!$B:$B,B$4,'NSE - Other Index Options'!$I:$I,"MDAW*")+SUMIFS('BSE - SENSEX Index Options'!$M:$M,'BSE - SENSEX Index Options'!$C:$C,$A95,'BSE - SENSEX Index Options'!$B:$B,B$4,'BSE - SENSEX Index Options'!$I:$I,"Weekly*")+SUMIFS('BSE - SENSEX Index Options'!$M:$M,'BSE - SENSEX Index Options'!$C:$C,$A95,'BSE - SENSEX Index Options'!$B:$B,B$4,'BSE - SENSEX Index Options'!$I:$I,"MDAW*")+SUMIFS('BSE - Other Index Options'!$M:$M,'BSE - Other Index Options'!$C:$C,$A95,'BSE - Other Index Options'!$B:$B,B$4,'BSE - Other Index Options'!$I:$I,"Weekly*")+SUMIFS('BSE - Other Index Options'!$M:$M,'BSE - Other Index Options'!$C:$C,$A95,'BSE - Other Index Options'!$B:$B,B$4,'BSE - Other Index Options'!$I:$I,"MDAW*")=0,"",SUMIFS('NSE - NIFTY Index Options'!$M:$M,'NSE - NIFTY Index Options'!$C:$C,$A95,'NSE - NIFTY Index Options'!$B:$B,B$4,'NSE - NIFTY Index Options'!$I:$I,"Weekly*")+SUMIFS('NSE - NIFTY Index Options'!$M:$M,'NSE - NIFTY Index Options'!$C:$C,$A95,'NSE - NIFTY Index Options'!$B:$B,B$4,'NSE - NIFTY Index Options'!$I:$I,"MDAW*")+SUMIFS('NSE - Other Index Options'!$M:$M,'NSE - Other Index Options'!$C:$C,$A95,'NSE - Other Index Options'!$B:$B,B$4,'NSE - Other Index Options'!$I:$I,"Weekly*")+SUMIFS('NSE - Other Index Options'!$M:$M,'NSE - Other Index Options'!$C:$C,$A95,'NSE - Other Index Options'!$B:$B,B$4,'NSE - Other Index Options'!$I:$I,"MDAW*")+SUMIFS('BSE - SENSEX Index Options'!$M:$M,'BSE - SENSEX Index Options'!$C:$C,$A95,'BSE - SENSEX Index Options'!$B:$B,B$4,'BSE - SENSEX Index Options'!$I:$I,"Weekly*")+SUMIFS('BSE - SENSEX Index Options'!$M:$M,'BSE - SENSEX Index Options'!$C:$C,$A95,'BSE - SENSEX Index Options'!$B:$B,B$4,'BSE - SENSEX Index Options'!$I:$I,"MDAW*")+SUMIFS('BSE - Other Index Options'!$M:$M,'BSE - Other Index Options'!$C:$C,$A95,'BSE - Other Index Options'!$B:$B,B$4,'BSE - Other Index Options'!$I:$I,"Weekly*")+SUMIFS('BSE - Other Index Options'!$M:$M,'BSE - Other Index Options'!$C:$C,$A95,'BSE - Other Index Options'!$B:$B,B$4,'BSE - Other Index Options'!$I:$I,"MDAW*"))</f>
        <v/>
      </c>
      <c r="C95" s="26">
        <f>IF(SUMIFS('NSE - NIFTY Index Options'!$M:$M,'NSE - NIFTY Index Options'!$C:$C,$A95,'NSE - NIFTY Index Options'!$B:$B,C$4,'NSE - NIFTY Index Options'!$I:$I,"Weekly*")+SUMIFS('NSE - NIFTY Index Options'!$M:$M,'NSE - NIFTY Index Options'!$C:$C,$A95,'NSE - NIFTY Index Options'!$B:$B,C$4,'NSE - NIFTY Index Options'!$I:$I,"MDAW*")+SUMIFS('NSE - Other Index Options'!$M:$M,'NSE - Other Index Options'!$C:$C,$A95,'NSE - Other Index Options'!$B:$B,C$4,'NSE - Other Index Options'!$I:$I,"Weekly*")+SUMIFS('NSE - Other Index Options'!$M:$M,'NSE - Other Index Options'!$C:$C,$A95,'NSE - Other Index Options'!$B:$B,C$4,'NSE - Other Index Options'!$I:$I,"MDAW*")+SUMIFS('BSE - SENSEX Index Options'!$M:$M,'BSE - SENSEX Index Options'!$C:$C,$A95,'BSE - SENSEX Index Options'!$B:$B,C$4,'BSE - SENSEX Index Options'!$I:$I,"Weekly*")+SUMIFS('BSE - SENSEX Index Options'!$M:$M,'BSE - SENSEX Index Options'!$C:$C,$A95,'BSE - SENSEX Index Options'!$B:$B,C$4,'BSE - SENSEX Index Options'!$I:$I,"MDAW*")+SUMIFS('BSE - Other Index Options'!$M:$M,'BSE - Other Index Options'!$C:$C,$A95,'BSE - Other Index Options'!$B:$B,C$4,'BSE - Other Index Options'!$I:$I,"Weekly*")+SUMIFS('BSE - Other Index Options'!$M:$M,'BSE - Other Index Options'!$C:$C,$A95,'BSE - Other Index Options'!$B:$B,C$4,'BSE - Other Index Options'!$I:$I,"MDAW*")=0,"",SUMIFS('NSE - NIFTY Index Options'!$M:$M,'NSE - NIFTY Index Options'!$C:$C,$A95,'NSE - NIFTY Index Options'!$B:$B,C$4,'NSE - NIFTY Index Options'!$I:$I,"Weekly*")+SUMIFS('NSE - NIFTY Index Options'!$M:$M,'NSE - NIFTY Index Options'!$C:$C,$A95,'NSE - NIFTY Index Options'!$B:$B,C$4,'NSE - NIFTY Index Options'!$I:$I,"MDAW*")+SUMIFS('NSE - Other Index Options'!$M:$M,'NSE - Other Index Options'!$C:$C,$A95,'NSE - Other Index Options'!$B:$B,C$4,'NSE - Other Index Options'!$I:$I,"Weekly*")+SUMIFS('NSE - Other Index Options'!$M:$M,'NSE - Other Index Options'!$C:$C,$A95,'NSE - Other Index Options'!$B:$B,C$4,'NSE - Other Index Options'!$I:$I,"MDAW*")+SUMIFS('BSE - SENSEX Index Options'!$M:$M,'BSE - SENSEX Index Options'!$C:$C,$A95,'BSE - SENSEX Index Options'!$B:$B,C$4,'BSE - SENSEX Index Options'!$I:$I,"Weekly*")+SUMIFS('BSE - SENSEX Index Options'!$M:$M,'BSE - SENSEX Index Options'!$C:$C,$A95,'BSE - SENSEX Index Options'!$B:$B,C$4,'BSE - SENSEX Index Options'!$I:$I,"MDAW*")+SUMIFS('BSE - Other Index Options'!$M:$M,'BSE - Other Index Options'!$C:$C,$A95,'BSE - Other Index Options'!$B:$B,C$4,'BSE - Other Index Options'!$I:$I,"Weekly*")+SUMIFS('BSE - Other Index Options'!$M:$M,'BSE - Other Index Options'!$C:$C,$A95,'BSE - Other Index Options'!$B:$B,C$4,'BSE - Other Index Options'!$I:$I,"MDAW*"))</f>
        <v/>
      </c>
      <c r="D95" s="26">
        <f>IF(SUMIFS('NSE - NIFTY Index Options'!$M:$M,'NSE - NIFTY Index Options'!$C:$C,$A95,'NSE - NIFTY Index Options'!$B:$B,D$4,'NSE - NIFTY Index Options'!$I:$I,"Weekly*")+SUMIFS('NSE - NIFTY Index Options'!$M:$M,'NSE - NIFTY Index Options'!$C:$C,$A95,'NSE - NIFTY Index Options'!$B:$B,D$4,'NSE - NIFTY Index Options'!$I:$I,"MDAW*")+SUMIFS('NSE - Other Index Options'!$M:$M,'NSE - Other Index Options'!$C:$C,$A95,'NSE - Other Index Options'!$B:$B,D$4,'NSE - Other Index Options'!$I:$I,"Weekly*")+SUMIFS('NSE - Other Index Options'!$M:$M,'NSE - Other Index Options'!$C:$C,$A95,'NSE - Other Index Options'!$B:$B,D$4,'NSE - Other Index Options'!$I:$I,"MDAW*")+SUMIFS('BSE - SENSEX Index Options'!$M:$M,'BSE - SENSEX Index Options'!$C:$C,$A95,'BSE - SENSEX Index Options'!$B:$B,D$4,'BSE - SENSEX Index Options'!$I:$I,"Weekly*")+SUMIFS('BSE - SENSEX Index Options'!$M:$M,'BSE - SENSEX Index Options'!$C:$C,$A95,'BSE - SENSEX Index Options'!$B:$B,D$4,'BSE - SENSEX Index Options'!$I:$I,"MDAW*")+SUMIFS('BSE - Other Index Options'!$M:$M,'BSE - Other Index Options'!$C:$C,$A95,'BSE - Other Index Options'!$B:$B,D$4,'BSE - Other Index Options'!$I:$I,"Weekly*")+SUMIFS('BSE - Other Index Options'!$M:$M,'BSE - Other Index Options'!$C:$C,$A95,'BSE - Other Index Options'!$B:$B,D$4,'BSE - Other Index Options'!$I:$I,"MDAW*")=0,"",SUMIFS('NSE - NIFTY Index Options'!$M:$M,'NSE - NIFTY Index Options'!$C:$C,$A95,'NSE - NIFTY Index Options'!$B:$B,D$4,'NSE - NIFTY Index Options'!$I:$I,"Weekly*")+SUMIFS('NSE - NIFTY Index Options'!$M:$M,'NSE - NIFTY Index Options'!$C:$C,$A95,'NSE - NIFTY Index Options'!$B:$B,D$4,'NSE - NIFTY Index Options'!$I:$I,"MDAW*")+SUMIFS('NSE - Other Index Options'!$M:$M,'NSE - Other Index Options'!$C:$C,$A95,'NSE - Other Index Options'!$B:$B,D$4,'NSE - Other Index Options'!$I:$I,"Weekly*")+SUMIFS('NSE - Other Index Options'!$M:$M,'NSE - Other Index Options'!$C:$C,$A95,'NSE - Other Index Options'!$B:$B,D$4,'NSE - Other Index Options'!$I:$I,"MDAW*")+SUMIFS('BSE - SENSEX Index Options'!$M:$M,'BSE - SENSEX Index Options'!$C:$C,$A95,'BSE - SENSEX Index Options'!$B:$B,D$4,'BSE - SENSEX Index Options'!$I:$I,"Weekly*")+SUMIFS('BSE - SENSEX Index Options'!$M:$M,'BSE - SENSEX Index Options'!$C:$C,$A95,'BSE - SENSEX Index Options'!$B:$B,D$4,'BSE - SENSEX Index Options'!$I:$I,"MDAW*")+SUMIFS('BSE - Other Index Options'!$M:$M,'BSE - Other Index Options'!$C:$C,$A95,'BSE - Other Index Options'!$B:$B,D$4,'BSE - Other Index Options'!$I:$I,"Weekly*")+SUMIFS('BSE - Other Index Options'!$M:$M,'BSE - Other Index Options'!$C:$C,$A95,'BSE - Other Index Options'!$B:$B,D$4,'BSE - Other Index Options'!$I:$I,"MDAW*"))</f>
        <v/>
      </c>
      <c r="E95" s="26">
        <f>IF(SUMIFS('NSE - NIFTY Index Options'!$M:$M,'NSE - NIFTY Index Options'!$C:$C,$A95,'NSE - NIFTY Index Options'!$B:$B,E$4,'NSE - NIFTY Index Options'!$I:$I,"Weekly*")+SUMIFS('NSE - NIFTY Index Options'!$M:$M,'NSE - NIFTY Index Options'!$C:$C,$A95,'NSE - NIFTY Index Options'!$B:$B,E$4,'NSE - NIFTY Index Options'!$I:$I,"MDAW*")+SUMIFS('NSE - Other Index Options'!$M:$M,'NSE - Other Index Options'!$C:$C,$A95,'NSE - Other Index Options'!$B:$B,E$4,'NSE - Other Index Options'!$I:$I,"Weekly*")+SUMIFS('NSE - Other Index Options'!$M:$M,'NSE - Other Index Options'!$C:$C,$A95,'NSE - Other Index Options'!$B:$B,E$4,'NSE - Other Index Options'!$I:$I,"MDAW*")+SUMIFS('BSE - SENSEX Index Options'!$M:$M,'BSE - SENSEX Index Options'!$C:$C,$A95,'BSE - SENSEX Index Options'!$B:$B,E$4,'BSE - SENSEX Index Options'!$I:$I,"Weekly*")+SUMIFS('BSE - SENSEX Index Options'!$M:$M,'BSE - SENSEX Index Options'!$C:$C,$A95,'BSE - SENSEX Index Options'!$B:$B,E$4,'BSE - SENSEX Index Options'!$I:$I,"MDAW*")+SUMIFS('BSE - Other Index Options'!$M:$M,'BSE - Other Index Options'!$C:$C,$A95,'BSE - Other Index Options'!$B:$B,E$4,'BSE - Other Index Options'!$I:$I,"Weekly*")+SUMIFS('BSE - Other Index Options'!$M:$M,'BSE - Other Index Options'!$C:$C,$A95,'BSE - Other Index Options'!$B:$B,E$4,'BSE - Other Index Options'!$I:$I,"MDAW*")=0,"",SUMIFS('NSE - NIFTY Index Options'!$M:$M,'NSE - NIFTY Index Options'!$C:$C,$A95,'NSE - NIFTY Index Options'!$B:$B,E$4,'NSE - NIFTY Index Options'!$I:$I,"Weekly*")+SUMIFS('NSE - NIFTY Index Options'!$M:$M,'NSE - NIFTY Index Options'!$C:$C,$A95,'NSE - NIFTY Index Options'!$B:$B,E$4,'NSE - NIFTY Index Options'!$I:$I,"MDAW*")+SUMIFS('NSE - Other Index Options'!$M:$M,'NSE - Other Index Options'!$C:$C,$A95,'NSE - Other Index Options'!$B:$B,E$4,'NSE - Other Index Options'!$I:$I,"Weekly*")+SUMIFS('NSE - Other Index Options'!$M:$M,'NSE - Other Index Options'!$C:$C,$A95,'NSE - Other Index Options'!$B:$B,E$4,'NSE - Other Index Options'!$I:$I,"MDAW*")+SUMIFS('BSE - SENSEX Index Options'!$M:$M,'BSE - SENSEX Index Options'!$C:$C,$A95,'BSE - SENSEX Index Options'!$B:$B,E$4,'BSE - SENSEX Index Options'!$I:$I,"Weekly*")+SUMIFS('BSE - SENSEX Index Options'!$M:$M,'BSE - SENSEX Index Options'!$C:$C,$A95,'BSE - SENSEX Index Options'!$B:$B,E$4,'BSE - SENSEX Index Options'!$I:$I,"MDAW*")+SUMIFS('BSE - Other Index Options'!$M:$M,'BSE - Other Index Options'!$C:$C,$A95,'BSE - Other Index Options'!$B:$B,E$4,'BSE - Other Index Options'!$I:$I,"Weekly*")+SUMIFS('BSE - Other Index Options'!$M:$M,'BSE - Other Index Options'!$C:$C,$A95,'BSE - Other Index Options'!$B:$B,E$4,'BSE - Other Index Options'!$I:$I,"MDAW*"))</f>
        <v/>
      </c>
      <c r="F95" s="26">
        <f>IF(SUMIFS('NSE - NIFTY Index Options'!$M:$M,'NSE - NIFTY Index Options'!$C:$C,$A95,'NSE - NIFTY Index Options'!$B:$B,F$4,'NSE - NIFTY Index Options'!$I:$I,"Weekly*")+SUMIFS('NSE - NIFTY Index Options'!$M:$M,'NSE - NIFTY Index Options'!$C:$C,$A95,'NSE - NIFTY Index Options'!$B:$B,F$4,'NSE - NIFTY Index Options'!$I:$I,"MDAW*")+SUMIFS('NSE - Other Index Options'!$M:$M,'NSE - Other Index Options'!$C:$C,$A95,'NSE - Other Index Options'!$B:$B,F$4,'NSE - Other Index Options'!$I:$I,"Weekly*")+SUMIFS('NSE - Other Index Options'!$M:$M,'NSE - Other Index Options'!$C:$C,$A95,'NSE - Other Index Options'!$B:$B,F$4,'NSE - Other Index Options'!$I:$I,"MDAW*")+SUMIFS('BSE - SENSEX Index Options'!$M:$M,'BSE - SENSEX Index Options'!$C:$C,$A95,'BSE - SENSEX Index Options'!$B:$B,F$4,'BSE - SENSEX Index Options'!$I:$I,"Weekly*")+SUMIFS('BSE - SENSEX Index Options'!$M:$M,'BSE - SENSEX Index Options'!$C:$C,$A95,'BSE - SENSEX Index Options'!$B:$B,F$4,'BSE - SENSEX Index Options'!$I:$I,"MDAW*")+SUMIFS('BSE - Other Index Options'!$M:$M,'BSE - Other Index Options'!$C:$C,$A95,'BSE - Other Index Options'!$B:$B,F$4,'BSE - Other Index Options'!$I:$I,"Weekly*")+SUMIFS('BSE - Other Index Options'!$M:$M,'BSE - Other Index Options'!$C:$C,$A95,'BSE - Other Index Options'!$B:$B,F$4,'BSE - Other Index Options'!$I:$I,"MDAW*")=0,"",SUMIFS('NSE - NIFTY Index Options'!$M:$M,'NSE - NIFTY Index Options'!$C:$C,$A95,'NSE - NIFTY Index Options'!$B:$B,F$4,'NSE - NIFTY Index Options'!$I:$I,"Weekly*")+SUMIFS('NSE - NIFTY Index Options'!$M:$M,'NSE - NIFTY Index Options'!$C:$C,$A95,'NSE - NIFTY Index Options'!$B:$B,F$4,'NSE - NIFTY Index Options'!$I:$I,"MDAW*")+SUMIFS('NSE - Other Index Options'!$M:$M,'NSE - Other Index Options'!$C:$C,$A95,'NSE - Other Index Options'!$B:$B,F$4,'NSE - Other Index Options'!$I:$I,"Weekly*")+SUMIFS('NSE - Other Index Options'!$M:$M,'NSE - Other Index Options'!$C:$C,$A95,'NSE - Other Index Options'!$B:$B,F$4,'NSE - Other Index Options'!$I:$I,"MDAW*")+SUMIFS('BSE - SENSEX Index Options'!$M:$M,'BSE - SENSEX Index Options'!$C:$C,$A95,'BSE - SENSEX Index Options'!$B:$B,F$4,'BSE - SENSEX Index Options'!$I:$I,"Weekly*")+SUMIFS('BSE - SENSEX Index Options'!$M:$M,'BSE - SENSEX Index Options'!$C:$C,$A95,'BSE - SENSEX Index Options'!$B:$B,F$4,'BSE - SENSEX Index Options'!$I:$I,"MDAW*")+SUMIFS('BSE - Other Index Options'!$M:$M,'BSE - Other Index Options'!$C:$C,$A95,'BSE - Other Index Options'!$B:$B,F$4,'BSE - Other Index Options'!$I:$I,"Weekly*")+SUMIFS('BSE - Other Index Options'!$M:$M,'BSE - Other Index Options'!$C:$C,$A95,'BSE - Other Index Options'!$B:$B,F$4,'BSE - Other Index Options'!$I:$I,"MDAW*"))</f>
        <v/>
      </c>
      <c r="G95" s="26">
        <f>IF(SUMIFS('NSE - NIFTY Index Options'!$M:$M,'NSE - NIFTY Index Options'!$C:$C,$A95,'NSE - NIFTY Index Options'!$B:$B,G$4,'NSE - NIFTY Index Options'!$I:$I,"Weekly*")+SUMIFS('NSE - NIFTY Index Options'!$M:$M,'NSE - NIFTY Index Options'!$C:$C,$A95,'NSE - NIFTY Index Options'!$B:$B,G$4,'NSE - NIFTY Index Options'!$I:$I,"MDAW*")+SUMIFS('NSE - Other Index Options'!$M:$M,'NSE - Other Index Options'!$C:$C,$A95,'NSE - Other Index Options'!$B:$B,G$4,'NSE - Other Index Options'!$I:$I,"Weekly*")+SUMIFS('NSE - Other Index Options'!$M:$M,'NSE - Other Index Options'!$C:$C,$A95,'NSE - Other Index Options'!$B:$B,G$4,'NSE - Other Index Options'!$I:$I,"MDAW*")+SUMIFS('BSE - SENSEX Index Options'!$M:$M,'BSE - SENSEX Index Options'!$C:$C,$A95,'BSE - SENSEX Index Options'!$B:$B,G$4,'BSE - SENSEX Index Options'!$I:$I,"Weekly*")+SUMIFS('BSE - SENSEX Index Options'!$M:$M,'BSE - SENSEX Index Options'!$C:$C,$A95,'BSE - SENSEX Index Options'!$B:$B,G$4,'BSE - SENSEX Index Options'!$I:$I,"MDAW*")+SUMIFS('BSE - Other Index Options'!$M:$M,'BSE - Other Index Options'!$C:$C,$A95,'BSE - Other Index Options'!$B:$B,G$4,'BSE - Other Index Options'!$I:$I,"Weekly*")+SUMIFS('BSE - Other Index Options'!$M:$M,'BSE - Other Index Options'!$C:$C,$A95,'BSE - Other Index Options'!$B:$B,G$4,'BSE - Other Index Options'!$I:$I,"MDAW*")=0,"",SUMIFS('NSE - NIFTY Index Options'!$M:$M,'NSE - NIFTY Index Options'!$C:$C,$A95,'NSE - NIFTY Index Options'!$B:$B,G$4,'NSE - NIFTY Index Options'!$I:$I,"Weekly*")+SUMIFS('NSE - NIFTY Index Options'!$M:$M,'NSE - NIFTY Index Options'!$C:$C,$A95,'NSE - NIFTY Index Options'!$B:$B,G$4,'NSE - NIFTY Index Options'!$I:$I,"MDAW*")+SUMIFS('NSE - Other Index Options'!$M:$M,'NSE - Other Index Options'!$C:$C,$A95,'NSE - Other Index Options'!$B:$B,G$4,'NSE - Other Index Options'!$I:$I,"Weekly*")+SUMIFS('NSE - Other Index Options'!$M:$M,'NSE - Other Index Options'!$C:$C,$A95,'NSE - Other Index Options'!$B:$B,G$4,'NSE - Other Index Options'!$I:$I,"MDAW*")+SUMIFS('BSE - SENSEX Index Options'!$M:$M,'BSE - SENSEX Index Options'!$C:$C,$A95,'BSE - SENSEX Index Options'!$B:$B,G$4,'BSE - SENSEX Index Options'!$I:$I,"Weekly*")+SUMIFS('BSE - SENSEX Index Options'!$M:$M,'BSE - SENSEX Index Options'!$C:$C,$A95,'BSE - SENSEX Index Options'!$B:$B,G$4,'BSE - SENSEX Index Options'!$I:$I,"MDAW*")+SUMIFS('BSE - Other Index Options'!$M:$M,'BSE - Other Index Options'!$C:$C,$A95,'BSE - Other Index Options'!$B:$B,G$4,'BSE - Other Index Options'!$I:$I,"Weekly*")+SUMIFS('BSE - Other Index Options'!$M:$M,'BSE - Other Index Options'!$C:$C,$A95,'BSE - Other Index Options'!$B:$B,G$4,'BSE - Other Index Options'!$I:$I,"MDAW*"))</f>
        <v/>
      </c>
      <c r="H95" s="26">
        <f>IF(SUM(B95:G95)=0,"",SUM(B95:G95))</f>
        <v/>
      </c>
    </row>
    <row r="96" hidden="1" outlineLevel="1">
      <c r="A96" t="inlineStr">
        <is>
          <t>Week4-Mar-2027</t>
        </is>
      </c>
      <c r="B96" s="26">
        <f>IF(SUMIFS('NSE - NIFTY Index Options'!$M:$M,'NSE - NIFTY Index Options'!$C:$C,$A96,'NSE - NIFTY Index Options'!$B:$B,B$4,'NSE - NIFTY Index Options'!$I:$I,"Weekly*")+SUMIFS('NSE - NIFTY Index Options'!$M:$M,'NSE - NIFTY Index Options'!$C:$C,$A96,'NSE - NIFTY Index Options'!$B:$B,B$4,'NSE - NIFTY Index Options'!$I:$I,"MDAW*")+SUMIFS('NSE - Other Index Options'!$M:$M,'NSE - Other Index Options'!$C:$C,$A96,'NSE - Other Index Options'!$B:$B,B$4,'NSE - Other Index Options'!$I:$I,"Weekly*")+SUMIFS('NSE - Other Index Options'!$M:$M,'NSE - Other Index Options'!$C:$C,$A96,'NSE - Other Index Options'!$B:$B,B$4,'NSE - Other Index Options'!$I:$I,"MDAW*")+SUMIFS('BSE - SENSEX Index Options'!$M:$M,'BSE - SENSEX Index Options'!$C:$C,$A96,'BSE - SENSEX Index Options'!$B:$B,B$4,'BSE - SENSEX Index Options'!$I:$I,"Weekly*")+SUMIFS('BSE - SENSEX Index Options'!$M:$M,'BSE - SENSEX Index Options'!$C:$C,$A96,'BSE - SENSEX Index Options'!$B:$B,B$4,'BSE - SENSEX Index Options'!$I:$I,"MDAW*")+SUMIFS('BSE - Other Index Options'!$M:$M,'BSE - Other Index Options'!$C:$C,$A96,'BSE - Other Index Options'!$B:$B,B$4,'BSE - Other Index Options'!$I:$I,"Weekly*")+SUMIFS('BSE - Other Index Options'!$M:$M,'BSE - Other Index Options'!$C:$C,$A96,'BSE - Other Index Options'!$B:$B,B$4,'BSE - Other Index Options'!$I:$I,"MDAW*")=0,"",SUMIFS('NSE - NIFTY Index Options'!$M:$M,'NSE - NIFTY Index Options'!$C:$C,$A96,'NSE - NIFTY Index Options'!$B:$B,B$4,'NSE - NIFTY Index Options'!$I:$I,"Weekly*")+SUMIFS('NSE - NIFTY Index Options'!$M:$M,'NSE - NIFTY Index Options'!$C:$C,$A96,'NSE - NIFTY Index Options'!$B:$B,B$4,'NSE - NIFTY Index Options'!$I:$I,"MDAW*")+SUMIFS('NSE - Other Index Options'!$M:$M,'NSE - Other Index Options'!$C:$C,$A96,'NSE - Other Index Options'!$B:$B,B$4,'NSE - Other Index Options'!$I:$I,"Weekly*")+SUMIFS('NSE - Other Index Options'!$M:$M,'NSE - Other Index Options'!$C:$C,$A96,'NSE - Other Index Options'!$B:$B,B$4,'NSE - Other Index Options'!$I:$I,"MDAW*")+SUMIFS('BSE - SENSEX Index Options'!$M:$M,'BSE - SENSEX Index Options'!$C:$C,$A96,'BSE - SENSEX Index Options'!$B:$B,B$4,'BSE - SENSEX Index Options'!$I:$I,"Weekly*")+SUMIFS('BSE - SENSEX Index Options'!$M:$M,'BSE - SENSEX Index Options'!$C:$C,$A96,'BSE - SENSEX Index Options'!$B:$B,B$4,'BSE - SENSEX Index Options'!$I:$I,"MDAW*")+SUMIFS('BSE - Other Index Options'!$M:$M,'BSE - Other Index Options'!$C:$C,$A96,'BSE - Other Index Options'!$B:$B,B$4,'BSE - Other Index Options'!$I:$I,"Weekly*")+SUMIFS('BSE - Other Index Options'!$M:$M,'BSE - Other Index Options'!$C:$C,$A96,'BSE - Other Index Options'!$B:$B,B$4,'BSE - Other Index Options'!$I:$I,"MDAW*"))</f>
        <v/>
      </c>
      <c r="C96" s="26">
        <f>IF(SUMIFS('NSE - NIFTY Index Options'!$M:$M,'NSE - NIFTY Index Options'!$C:$C,$A96,'NSE - NIFTY Index Options'!$B:$B,C$4,'NSE - NIFTY Index Options'!$I:$I,"Weekly*")+SUMIFS('NSE - NIFTY Index Options'!$M:$M,'NSE - NIFTY Index Options'!$C:$C,$A96,'NSE - NIFTY Index Options'!$B:$B,C$4,'NSE - NIFTY Index Options'!$I:$I,"MDAW*")+SUMIFS('NSE - Other Index Options'!$M:$M,'NSE - Other Index Options'!$C:$C,$A96,'NSE - Other Index Options'!$B:$B,C$4,'NSE - Other Index Options'!$I:$I,"Weekly*")+SUMIFS('NSE - Other Index Options'!$M:$M,'NSE - Other Index Options'!$C:$C,$A96,'NSE - Other Index Options'!$B:$B,C$4,'NSE - Other Index Options'!$I:$I,"MDAW*")+SUMIFS('BSE - SENSEX Index Options'!$M:$M,'BSE - SENSEX Index Options'!$C:$C,$A96,'BSE - SENSEX Index Options'!$B:$B,C$4,'BSE - SENSEX Index Options'!$I:$I,"Weekly*")+SUMIFS('BSE - SENSEX Index Options'!$M:$M,'BSE - SENSEX Index Options'!$C:$C,$A96,'BSE - SENSEX Index Options'!$B:$B,C$4,'BSE - SENSEX Index Options'!$I:$I,"MDAW*")+SUMIFS('BSE - Other Index Options'!$M:$M,'BSE - Other Index Options'!$C:$C,$A96,'BSE - Other Index Options'!$B:$B,C$4,'BSE - Other Index Options'!$I:$I,"Weekly*")+SUMIFS('BSE - Other Index Options'!$M:$M,'BSE - Other Index Options'!$C:$C,$A96,'BSE - Other Index Options'!$B:$B,C$4,'BSE - Other Index Options'!$I:$I,"MDAW*")=0,"",SUMIFS('NSE - NIFTY Index Options'!$M:$M,'NSE - NIFTY Index Options'!$C:$C,$A96,'NSE - NIFTY Index Options'!$B:$B,C$4,'NSE - NIFTY Index Options'!$I:$I,"Weekly*")+SUMIFS('NSE - NIFTY Index Options'!$M:$M,'NSE - NIFTY Index Options'!$C:$C,$A96,'NSE - NIFTY Index Options'!$B:$B,C$4,'NSE - NIFTY Index Options'!$I:$I,"MDAW*")+SUMIFS('NSE - Other Index Options'!$M:$M,'NSE - Other Index Options'!$C:$C,$A96,'NSE - Other Index Options'!$B:$B,C$4,'NSE - Other Index Options'!$I:$I,"Weekly*")+SUMIFS('NSE - Other Index Options'!$M:$M,'NSE - Other Index Options'!$C:$C,$A96,'NSE - Other Index Options'!$B:$B,C$4,'NSE - Other Index Options'!$I:$I,"MDAW*")+SUMIFS('BSE - SENSEX Index Options'!$M:$M,'BSE - SENSEX Index Options'!$C:$C,$A96,'BSE - SENSEX Index Options'!$B:$B,C$4,'BSE - SENSEX Index Options'!$I:$I,"Weekly*")+SUMIFS('BSE - SENSEX Index Options'!$M:$M,'BSE - SENSEX Index Options'!$C:$C,$A96,'BSE - SENSEX Index Options'!$B:$B,C$4,'BSE - SENSEX Index Options'!$I:$I,"MDAW*")+SUMIFS('BSE - Other Index Options'!$M:$M,'BSE - Other Index Options'!$C:$C,$A96,'BSE - Other Index Options'!$B:$B,C$4,'BSE - Other Index Options'!$I:$I,"Weekly*")+SUMIFS('BSE - Other Index Options'!$M:$M,'BSE - Other Index Options'!$C:$C,$A96,'BSE - Other Index Options'!$B:$B,C$4,'BSE - Other Index Options'!$I:$I,"MDAW*"))</f>
        <v/>
      </c>
      <c r="D96" s="26">
        <f>IF(SUMIFS('NSE - NIFTY Index Options'!$M:$M,'NSE - NIFTY Index Options'!$C:$C,$A96,'NSE - NIFTY Index Options'!$B:$B,D$4,'NSE - NIFTY Index Options'!$I:$I,"Weekly*")+SUMIFS('NSE - NIFTY Index Options'!$M:$M,'NSE - NIFTY Index Options'!$C:$C,$A96,'NSE - NIFTY Index Options'!$B:$B,D$4,'NSE - NIFTY Index Options'!$I:$I,"MDAW*")+SUMIFS('NSE - Other Index Options'!$M:$M,'NSE - Other Index Options'!$C:$C,$A96,'NSE - Other Index Options'!$B:$B,D$4,'NSE - Other Index Options'!$I:$I,"Weekly*")+SUMIFS('NSE - Other Index Options'!$M:$M,'NSE - Other Index Options'!$C:$C,$A96,'NSE - Other Index Options'!$B:$B,D$4,'NSE - Other Index Options'!$I:$I,"MDAW*")+SUMIFS('BSE - SENSEX Index Options'!$M:$M,'BSE - SENSEX Index Options'!$C:$C,$A96,'BSE - SENSEX Index Options'!$B:$B,D$4,'BSE - SENSEX Index Options'!$I:$I,"Weekly*")+SUMIFS('BSE - SENSEX Index Options'!$M:$M,'BSE - SENSEX Index Options'!$C:$C,$A96,'BSE - SENSEX Index Options'!$B:$B,D$4,'BSE - SENSEX Index Options'!$I:$I,"MDAW*")+SUMIFS('BSE - Other Index Options'!$M:$M,'BSE - Other Index Options'!$C:$C,$A96,'BSE - Other Index Options'!$B:$B,D$4,'BSE - Other Index Options'!$I:$I,"Weekly*")+SUMIFS('BSE - Other Index Options'!$M:$M,'BSE - Other Index Options'!$C:$C,$A96,'BSE - Other Index Options'!$B:$B,D$4,'BSE - Other Index Options'!$I:$I,"MDAW*")=0,"",SUMIFS('NSE - NIFTY Index Options'!$M:$M,'NSE - NIFTY Index Options'!$C:$C,$A96,'NSE - NIFTY Index Options'!$B:$B,D$4,'NSE - NIFTY Index Options'!$I:$I,"Weekly*")+SUMIFS('NSE - NIFTY Index Options'!$M:$M,'NSE - NIFTY Index Options'!$C:$C,$A96,'NSE - NIFTY Index Options'!$B:$B,D$4,'NSE - NIFTY Index Options'!$I:$I,"MDAW*")+SUMIFS('NSE - Other Index Options'!$M:$M,'NSE - Other Index Options'!$C:$C,$A96,'NSE - Other Index Options'!$B:$B,D$4,'NSE - Other Index Options'!$I:$I,"Weekly*")+SUMIFS('NSE - Other Index Options'!$M:$M,'NSE - Other Index Options'!$C:$C,$A96,'NSE - Other Index Options'!$B:$B,D$4,'NSE - Other Index Options'!$I:$I,"MDAW*")+SUMIFS('BSE - SENSEX Index Options'!$M:$M,'BSE - SENSEX Index Options'!$C:$C,$A96,'BSE - SENSEX Index Options'!$B:$B,D$4,'BSE - SENSEX Index Options'!$I:$I,"Weekly*")+SUMIFS('BSE - SENSEX Index Options'!$M:$M,'BSE - SENSEX Index Options'!$C:$C,$A96,'BSE - SENSEX Index Options'!$B:$B,D$4,'BSE - SENSEX Index Options'!$I:$I,"MDAW*")+SUMIFS('BSE - Other Index Options'!$M:$M,'BSE - Other Index Options'!$C:$C,$A96,'BSE - Other Index Options'!$B:$B,D$4,'BSE - Other Index Options'!$I:$I,"Weekly*")+SUMIFS('BSE - Other Index Options'!$M:$M,'BSE - Other Index Options'!$C:$C,$A96,'BSE - Other Index Options'!$B:$B,D$4,'BSE - Other Index Options'!$I:$I,"MDAW*"))</f>
        <v/>
      </c>
      <c r="E96" s="26">
        <f>IF(SUMIFS('NSE - NIFTY Index Options'!$M:$M,'NSE - NIFTY Index Options'!$C:$C,$A96,'NSE - NIFTY Index Options'!$B:$B,E$4,'NSE - NIFTY Index Options'!$I:$I,"Weekly*")+SUMIFS('NSE - NIFTY Index Options'!$M:$M,'NSE - NIFTY Index Options'!$C:$C,$A96,'NSE - NIFTY Index Options'!$B:$B,E$4,'NSE - NIFTY Index Options'!$I:$I,"MDAW*")+SUMIFS('NSE - Other Index Options'!$M:$M,'NSE - Other Index Options'!$C:$C,$A96,'NSE - Other Index Options'!$B:$B,E$4,'NSE - Other Index Options'!$I:$I,"Weekly*")+SUMIFS('NSE - Other Index Options'!$M:$M,'NSE - Other Index Options'!$C:$C,$A96,'NSE - Other Index Options'!$B:$B,E$4,'NSE - Other Index Options'!$I:$I,"MDAW*")+SUMIFS('BSE - SENSEX Index Options'!$M:$M,'BSE - SENSEX Index Options'!$C:$C,$A96,'BSE - SENSEX Index Options'!$B:$B,E$4,'BSE - SENSEX Index Options'!$I:$I,"Weekly*")+SUMIFS('BSE - SENSEX Index Options'!$M:$M,'BSE - SENSEX Index Options'!$C:$C,$A96,'BSE - SENSEX Index Options'!$B:$B,E$4,'BSE - SENSEX Index Options'!$I:$I,"MDAW*")+SUMIFS('BSE - Other Index Options'!$M:$M,'BSE - Other Index Options'!$C:$C,$A96,'BSE - Other Index Options'!$B:$B,E$4,'BSE - Other Index Options'!$I:$I,"Weekly*")+SUMIFS('BSE - Other Index Options'!$M:$M,'BSE - Other Index Options'!$C:$C,$A96,'BSE - Other Index Options'!$B:$B,E$4,'BSE - Other Index Options'!$I:$I,"MDAW*")=0,"",SUMIFS('NSE - NIFTY Index Options'!$M:$M,'NSE - NIFTY Index Options'!$C:$C,$A96,'NSE - NIFTY Index Options'!$B:$B,E$4,'NSE - NIFTY Index Options'!$I:$I,"Weekly*")+SUMIFS('NSE - NIFTY Index Options'!$M:$M,'NSE - NIFTY Index Options'!$C:$C,$A96,'NSE - NIFTY Index Options'!$B:$B,E$4,'NSE - NIFTY Index Options'!$I:$I,"MDAW*")+SUMIFS('NSE - Other Index Options'!$M:$M,'NSE - Other Index Options'!$C:$C,$A96,'NSE - Other Index Options'!$B:$B,E$4,'NSE - Other Index Options'!$I:$I,"Weekly*")+SUMIFS('NSE - Other Index Options'!$M:$M,'NSE - Other Index Options'!$C:$C,$A96,'NSE - Other Index Options'!$B:$B,E$4,'NSE - Other Index Options'!$I:$I,"MDAW*")+SUMIFS('BSE - SENSEX Index Options'!$M:$M,'BSE - SENSEX Index Options'!$C:$C,$A96,'BSE - SENSEX Index Options'!$B:$B,E$4,'BSE - SENSEX Index Options'!$I:$I,"Weekly*")+SUMIFS('BSE - SENSEX Index Options'!$M:$M,'BSE - SENSEX Index Options'!$C:$C,$A96,'BSE - SENSEX Index Options'!$B:$B,E$4,'BSE - SENSEX Index Options'!$I:$I,"MDAW*")+SUMIFS('BSE - Other Index Options'!$M:$M,'BSE - Other Index Options'!$C:$C,$A96,'BSE - Other Index Options'!$B:$B,E$4,'BSE - Other Index Options'!$I:$I,"Weekly*")+SUMIFS('BSE - Other Index Options'!$M:$M,'BSE - Other Index Options'!$C:$C,$A96,'BSE - Other Index Options'!$B:$B,E$4,'BSE - Other Index Options'!$I:$I,"MDAW*"))</f>
        <v/>
      </c>
      <c r="F96" s="26">
        <f>IF(SUMIFS('NSE - NIFTY Index Options'!$M:$M,'NSE - NIFTY Index Options'!$C:$C,$A96,'NSE - NIFTY Index Options'!$B:$B,F$4,'NSE - NIFTY Index Options'!$I:$I,"Weekly*")+SUMIFS('NSE - NIFTY Index Options'!$M:$M,'NSE - NIFTY Index Options'!$C:$C,$A96,'NSE - NIFTY Index Options'!$B:$B,F$4,'NSE - NIFTY Index Options'!$I:$I,"MDAW*")+SUMIFS('NSE - Other Index Options'!$M:$M,'NSE - Other Index Options'!$C:$C,$A96,'NSE - Other Index Options'!$B:$B,F$4,'NSE - Other Index Options'!$I:$I,"Weekly*")+SUMIFS('NSE - Other Index Options'!$M:$M,'NSE - Other Index Options'!$C:$C,$A96,'NSE - Other Index Options'!$B:$B,F$4,'NSE - Other Index Options'!$I:$I,"MDAW*")+SUMIFS('BSE - SENSEX Index Options'!$M:$M,'BSE - SENSEX Index Options'!$C:$C,$A96,'BSE - SENSEX Index Options'!$B:$B,F$4,'BSE - SENSEX Index Options'!$I:$I,"Weekly*")+SUMIFS('BSE - SENSEX Index Options'!$M:$M,'BSE - SENSEX Index Options'!$C:$C,$A96,'BSE - SENSEX Index Options'!$B:$B,F$4,'BSE - SENSEX Index Options'!$I:$I,"MDAW*")+SUMIFS('BSE - Other Index Options'!$M:$M,'BSE - Other Index Options'!$C:$C,$A96,'BSE - Other Index Options'!$B:$B,F$4,'BSE - Other Index Options'!$I:$I,"Weekly*")+SUMIFS('BSE - Other Index Options'!$M:$M,'BSE - Other Index Options'!$C:$C,$A96,'BSE - Other Index Options'!$B:$B,F$4,'BSE - Other Index Options'!$I:$I,"MDAW*")=0,"",SUMIFS('NSE - NIFTY Index Options'!$M:$M,'NSE - NIFTY Index Options'!$C:$C,$A96,'NSE - NIFTY Index Options'!$B:$B,F$4,'NSE - NIFTY Index Options'!$I:$I,"Weekly*")+SUMIFS('NSE - NIFTY Index Options'!$M:$M,'NSE - NIFTY Index Options'!$C:$C,$A96,'NSE - NIFTY Index Options'!$B:$B,F$4,'NSE - NIFTY Index Options'!$I:$I,"MDAW*")+SUMIFS('NSE - Other Index Options'!$M:$M,'NSE - Other Index Options'!$C:$C,$A96,'NSE - Other Index Options'!$B:$B,F$4,'NSE - Other Index Options'!$I:$I,"Weekly*")+SUMIFS('NSE - Other Index Options'!$M:$M,'NSE - Other Index Options'!$C:$C,$A96,'NSE - Other Index Options'!$B:$B,F$4,'NSE - Other Index Options'!$I:$I,"MDAW*")+SUMIFS('BSE - SENSEX Index Options'!$M:$M,'BSE - SENSEX Index Options'!$C:$C,$A96,'BSE - SENSEX Index Options'!$B:$B,F$4,'BSE - SENSEX Index Options'!$I:$I,"Weekly*")+SUMIFS('BSE - SENSEX Index Options'!$M:$M,'BSE - SENSEX Index Options'!$C:$C,$A96,'BSE - SENSEX Index Options'!$B:$B,F$4,'BSE - SENSEX Index Options'!$I:$I,"MDAW*")+SUMIFS('BSE - Other Index Options'!$M:$M,'BSE - Other Index Options'!$C:$C,$A96,'BSE - Other Index Options'!$B:$B,F$4,'BSE - Other Index Options'!$I:$I,"Weekly*")+SUMIFS('BSE - Other Index Options'!$M:$M,'BSE - Other Index Options'!$C:$C,$A96,'BSE - Other Index Options'!$B:$B,F$4,'BSE - Other Index Options'!$I:$I,"MDAW*"))</f>
        <v/>
      </c>
      <c r="G96" s="26">
        <f>IF(SUMIFS('NSE - NIFTY Index Options'!$M:$M,'NSE - NIFTY Index Options'!$C:$C,$A96,'NSE - NIFTY Index Options'!$B:$B,G$4,'NSE - NIFTY Index Options'!$I:$I,"Weekly*")+SUMIFS('NSE - NIFTY Index Options'!$M:$M,'NSE - NIFTY Index Options'!$C:$C,$A96,'NSE - NIFTY Index Options'!$B:$B,G$4,'NSE - NIFTY Index Options'!$I:$I,"MDAW*")+SUMIFS('NSE - Other Index Options'!$M:$M,'NSE - Other Index Options'!$C:$C,$A96,'NSE - Other Index Options'!$B:$B,G$4,'NSE - Other Index Options'!$I:$I,"Weekly*")+SUMIFS('NSE - Other Index Options'!$M:$M,'NSE - Other Index Options'!$C:$C,$A96,'NSE - Other Index Options'!$B:$B,G$4,'NSE - Other Index Options'!$I:$I,"MDAW*")+SUMIFS('BSE - SENSEX Index Options'!$M:$M,'BSE - SENSEX Index Options'!$C:$C,$A96,'BSE - SENSEX Index Options'!$B:$B,G$4,'BSE - SENSEX Index Options'!$I:$I,"Weekly*")+SUMIFS('BSE - SENSEX Index Options'!$M:$M,'BSE - SENSEX Index Options'!$C:$C,$A96,'BSE - SENSEX Index Options'!$B:$B,G$4,'BSE - SENSEX Index Options'!$I:$I,"MDAW*")+SUMIFS('BSE - Other Index Options'!$M:$M,'BSE - Other Index Options'!$C:$C,$A96,'BSE - Other Index Options'!$B:$B,G$4,'BSE - Other Index Options'!$I:$I,"Weekly*")+SUMIFS('BSE - Other Index Options'!$M:$M,'BSE - Other Index Options'!$C:$C,$A96,'BSE - Other Index Options'!$B:$B,G$4,'BSE - Other Index Options'!$I:$I,"MDAW*")=0,"",SUMIFS('NSE - NIFTY Index Options'!$M:$M,'NSE - NIFTY Index Options'!$C:$C,$A96,'NSE - NIFTY Index Options'!$B:$B,G$4,'NSE - NIFTY Index Options'!$I:$I,"Weekly*")+SUMIFS('NSE - NIFTY Index Options'!$M:$M,'NSE - NIFTY Index Options'!$C:$C,$A96,'NSE - NIFTY Index Options'!$B:$B,G$4,'NSE - NIFTY Index Options'!$I:$I,"MDAW*")+SUMIFS('NSE - Other Index Options'!$M:$M,'NSE - Other Index Options'!$C:$C,$A96,'NSE - Other Index Options'!$B:$B,G$4,'NSE - Other Index Options'!$I:$I,"Weekly*")+SUMIFS('NSE - Other Index Options'!$M:$M,'NSE - Other Index Options'!$C:$C,$A96,'NSE - Other Index Options'!$B:$B,G$4,'NSE - Other Index Options'!$I:$I,"MDAW*")+SUMIFS('BSE - SENSEX Index Options'!$M:$M,'BSE - SENSEX Index Options'!$C:$C,$A96,'BSE - SENSEX Index Options'!$B:$B,G$4,'BSE - SENSEX Index Options'!$I:$I,"Weekly*")+SUMIFS('BSE - SENSEX Index Options'!$M:$M,'BSE - SENSEX Index Options'!$C:$C,$A96,'BSE - SENSEX Index Options'!$B:$B,G$4,'BSE - SENSEX Index Options'!$I:$I,"MDAW*")+SUMIFS('BSE - Other Index Options'!$M:$M,'BSE - Other Index Options'!$C:$C,$A96,'BSE - Other Index Options'!$B:$B,G$4,'BSE - Other Index Options'!$I:$I,"Weekly*")+SUMIFS('BSE - Other Index Options'!$M:$M,'BSE - Other Index Options'!$C:$C,$A96,'BSE - Other Index Options'!$B:$B,G$4,'BSE - Other Index Options'!$I:$I,"MDAW*"))</f>
        <v/>
      </c>
      <c r="H96" s="26">
        <f>IF(SUM(B96:G96)=0,"",SUM(B96:G96))</f>
        <v/>
      </c>
    </row>
    <row r="97" hidden="1" outlineLevel="1">
      <c r="A97" t="inlineStr">
        <is>
          <t>Week5-Mar-2027</t>
        </is>
      </c>
      <c r="B97" s="26">
        <f>IF(SUMIFS('NSE - NIFTY Index Options'!$M:$M,'NSE - NIFTY Index Options'!$C:$C,$A97,'NSE - NIFTY Index Options'!$B:$B,B$4,'NSE - NIFTY Index Options'!$I:$I,"Weekly*")+SUMIFS('NSE - NIFTY Index Options'!$M:$M,'NSE - NIFTY Index Options'!$C:$C,$A97,'NSE - NIFTY Index Options'!$B:$B,B$4,'NSE - NIFTY Index Options'!$I:$I,"MDAW*")+SUMIFS('NSE - Other Index Options'!$M:$M,'NSE - Other Index Options'!$C:$C,$A97,'NSE - Other Index Options'!$B:$B,B$4,'NSE - Other Index Options'!$I:$I,"Weekly*")+SUMIFS('NSE - Other Index Options'!$M:$M,'NSE - Other Index Options'!$C:$C,$A97,'NSE - Other Index Options'!$B:$B,B$4,'NSE - Other Index Options'!$I:$I,"MDAW*")+SUMIFS('BSE - SENSEX Index Options'!$M:$M,'BSE - SENSEX Index Options'!$C:$C,$A97,'BSE - SENSEX Index Options'!$B:$B,B$4,'BSE - SENSEX Index Options'!$I:$I,"Weekly*")+SUMIFS('BSE - SENSEX Index Options'!$M:$M,'BSE - SENSEX Index Options'!$C:$C,$A97,'BSE - SENSEX Index Options'!$B:$B,B$4,'BSE - SENSEX Index Options'!$I:$I,"MDAW*")+SUMIFS('BSE - Other Index Options'!$M:$M,'BSE - Other Index Options'!$C:$C,$A97,'BSE - Other Index Options'!$B:$B,B$4,'BSE - Other Index Options'!$I:$I,"Weekly*")+SUMIFS('BSE - Other Index Options'!$M:$M,'BSE - Other Index Options'!$C:$C,$A97,'BSE - Other Index Options'!$B:$B,B$4,'BSE - Other Index Options'!$I:$I,"MDAW*")=0,"",SUMIFS('NSE - NIFTY Index Options'!$M:$M,'NSE - NIFTY Index Options'!$C:$C,$A97,'NSE - NIFTY Index Options'!$B:$B,B$4,'NSE - NIFTY Index Options'!$I:$I,"Weekly*")+SUMIFS('NSE - NIFTY Index Options'!$M:$M,'NSE - NIFTY Index Options'!$C:$C,$A97,'NSE - NIFTY Index Options'!$B:$B,B$4,'NSE - NIFTY Index Options'!$I:$I,"MDAW*")+SUMIFS('NSE - Other Index Options'!$M:$M,'NSE - Other Index Options'!$C:$C,$A97,'NSE - Other Index Options'!$B:$B,B$4,'NSE - Other Index Options'!$I:$I,"Weekly*")+SUMIFS('NSE - Other Index Options'!$M:$M,'NSE - Other Index Options'!$C:$C,$A97,'NSE - Other Index Options'!$B:$B,B$4,'NSE - Other Index Options'!$I:$I,"MDAW*")+SUMIFS('BSE - SENSEX Index Options'!$M:$M,'BSE - SENSEX Index Options'!$C:$C,$A97,'BSE - SENSEX Index Options'!$B:$B,B$4,'BSE - SENSEX Index Options'!$I:$I,"Weekly*")+SUMIFS('BSE - SENSEX Index Options'!$M:$M,'BSE - SENSEX Index Options'!$C:$C,$A97,'BSE - SENSEX Index Options'!$B:$B,B$4,'BSE - SENSEX Index Options'!$I:$I,"MDAW*")+SUMIFS('BSE - Other Index Options'!$M:$M,'BSE - Other Index Options'!$C:$C,$A97,'BSE - Other Index Options'!$B:$B,B$4,'BSE - Other Index Options'!$I:$I,"Weekly*")+SUMIFS('BSE - Other Index Options'!$M:$M,'BSE - Other Index Options'!$C:$C,$A97,'BSE - Other Index Options'!$B:$B,B$4,'BSE - Other Index Options'!$I:$I,"MDAW*"))</f>
        <v/>
      </c>
      <c r="C97" s="26">
        <f>IF(SUMIFS('NSE - NIFTY Index Options'!$M:$M,'NSE - NIFTY Index Options'!$C:$C,$A97,'NSE - NIFTY Index Options'!$B:$B,C$4,'NSE - NIFTY Index Options'!$I:$I,"Weekly*")+SUMIFS('NSE - NIFTY Index Options'!$M:$M,'NSE - NIFTY Index Options'!$C:$C,$A97,'NSE - NIFTY Index Options'!$B:$B,C$4,'NSE - NIFTY Index Options'!$I:$I,"MDAW*")+SUMIFS('NSE - Other Index Options'!$M:$M,'NSE - Other Index Options'!$C:$C,$A97,'NSE - Other Index Options'!$B:$B,C$4,'NSE - Other Index Options'!$I:$I,"Weekly*")+SUMIFS('NSE - Other Index Options'!$M:$M,'NSE - Other Index Options'!$C:$C,$A97,'NSE - Other Index Options'!$B:$B,C$4,'NSE - Other Index Options'!$I:$I,"MDAW*")+SUMIFS('BSE - SENSEX Index Options'!$M:$M,'BSE - SENSEX Index Options'!$C:$C,$A97,'BSE - SENSEX Index Options'!$B:$B,C$4,'BSE - SENSEX Index Options'!$I:$I,"Weekly*")+SUMIFS('BSE - SENSEX Index Options'!$M:$M,'BSE - SENSEX Index Options'!$C:$C,$A97,'BSE - SENSEX Index Options'!$B:$B,C$4,'BSE - SENSEX Index Options'!$I:$I,"MDAW*")+SUMIFS('BSE - Other Index Options'!$M:$M,'BSE - Other Index Options'!$C:$C,$A97,'BSE - Other Index Options'!$B:$B,C$4,'BSE - Other Index Options'!$I:$I,"Weekly*")+SUMIFS('BSE - Other Index Options'!$M:$M,'BSE - Other Index Options'!$C:$C,$A97,'BSE - Other Index Options'!$B:$B,C$4,'BSE - Other Index Options'!$I:$I,"MDAW*")=0,"",SUMIFS('NSE - NIFTY Index Options'!$M:$M,'NSE - NIFTY Index Options'!$C:$C,$A97,'NSE - NIFTY Index Options'!$B:$B,C$4,'NSE - NIFTY Index Options'!$I:$I,"Weekly*")+SUMIFS('NSE - NIFTY Index Options'!$M:$M,'NSE - NIFTY Index Options'!$C:$C,$A97,'NSE - NIFTY Index Options'!$B:$B,C$4,'NSE - NIFTY Index Options'!$I:$I,"MDAW*")+SUMIFS('NSE - Other Index Options'!$M:$M,'NSE - Other Index Options'!$C:$C,$A97,'NSE - Other Index Options'!$B:$B,C$4,'NSE - Other Index Options'!$I:$I,"Weekly*")+SUMIFS('NSE - Other Index Options'!$M:$M,'NSE - Other Index Options'!$C:$C,$A97,'NSE - Other Index Options'!$B:$B,C$4,'NSE - Other Index Options'!$I:$I,"MDAW*")+SUMIFS('BSE - SENSEX Index Options'!$M:$M,'BSE - SENSEX Index Options'!$C:$C,$A97,'BSE - SENSEX Index Options'!$B:$B,C$4,'BSE - SENSEX Index Options'!$I:$I,"Weekly*")+SUMIFS('BSE - SENSEX Index Options'!$M:$M,'BSE - SENSEX Index Options'!$C:$C,$A97,'BSE - SENSEX Index Options'!$B:$B,C$4,'BSE - SENSEX Index Options'!$I:$I,"MDAW*")+SUMIFS('BSE - Other Index Options'!$M:$M,'BSE - Other Index Options'!$C:$C,$A97,'BSE - Other Index Options'!$B:$B,C$4,'BSE - Other Index Options'!$I:$I,"Weekly*")+SUMIFS('BSE - Other Index Options'!$M:$M,'BSE - Other Index Options'!$C:$C,$A97,'BSE - Other Index Options'!$B:$B,C$4,'BSE - Other Index Options'!$I:$I,"MDAW*"))</f>
        <v/>
      </c>
      <c r="D97" s="26">
        <f>IF(SUMIFS('NSE - NIFTY Index Options'!$M:$M,'NSE - NIFTY Index Options'!$C:$C,$A97,'NSE - NIFTY Index Options'!$B:$B,D$4,'NSE - NIFTY Index Options'!$I:$I,"Weekly*")+SUMIFS('NSE - NIFTY Index Options'!$M:$M,'NSE - NIFTY Index Options'!$C:$C,$A97,'NSE - NIFTY Index Options'!$B:$B,D$4,'NSE - NIFTY Index Options'!$I:$I,"MDAW*")+SUMIFS('NSE - Other Index Options'!$M:$M,'NSE - Other Index Options'!$C:$C,$A97,'NSE - Other Index Options'!$B:$B,D$4,'NSE - Other Index Options'!$I:$I,"Weekly*")+SUMIFS('NSE - Other Index Options'!$M:$M,'NSE - Other Index Options'!$C:$C,$A97,'NSE - Other Index Options'!$B:$B,D$4,'NSE - Other Index Options'!$I:$I,"MDAW*")+SUMIFS('BSE - SENSEX Index Options'!$M:$M,'BSE - SENSEX Index Options'!$C:$C,$A97,'BSE - SENSEX Index Options'!$B:$B,D$4,'BSE - SENSEX Index Options'!$I:$I,"Weekly*")+SUMIFS('BSE - SENSEX Index Options'!$M:$M,'BSE - SENSEX Index Options'!$C:$C,$A97,'BSE - SENSEX Index Options'!$B:$B,D$4,'BSE - SENSEX Index Options'!$I:$I,"MDAW*")+SUMIFS('BSE - Other Index Options'!$M:$M,'BSE - Other Index Options'!$C:$C,$A97,'BSE - Other Index Options'!$B:$B,D$4,'BSE - Other Index Options'!$I:$I,"Weekly*")+SUMIFS('BSE - Other Index Options'!$M:$M,'BSE - Other Index Options'!$C:$C,$A97,'BSE - Other Index Options'!$B:$B,D$4,'BSE - Other Index Options'!$I:$I,"MDAW*")=0,"",SUMIFS('NSE - NIFTY Index Options'!$M:$M,'NSE - NIFTY Index Options'!$C:$C,$A97,'NSE - NIFTY Index Options'!$B:$B,D$4,'NSE - NIFTY Index Options'!$I:$I,"Weekly*")+SUMIFS('NSE - NIFTY Index Options'!$M:$M,'NSE - NIFTY Index Options'!$C:$C,$A97,'NSE - NIFTY Index Options'!$B:$B,D$4,'NSE - NIFTY Index Options'!$I:$I,"MDAW*")+SUMIFS('NSE - Other Index Options'!$M:$M,'NSE - Other Index Options'!$C:$C,$A97,'NSE - Other Index Options'!$B:$B,D$4,'NSE - Other Index Options'!$I:$I,"Weekly*")+SUMIFS('NSE - Other Index Options'!$M:$M,'NSE - Other Index Options'!$C:$C,$A97,'NSE - Other Index Options'!$B:$B,D$4,'NSE - Other Index Options'!$I:$I,"MDAW*")+SUMIFS('BSE - SENSEX Index Options'!$M:$M,'BSE - SENSEX Index Options'!$C:$C,$A97,'BSE - SENSEX Index Options'!$B:$B,D$4,'BSE - SENSEX Index Options'!$I:$I,"Weekly*")+SUMIFS('BSE - SENSEX Index Options'!$M:$M,'BSE - SENSEX Index Options'!$C:$C,$A97,'BSE - SENSEX Index Options'!$B:$B,D$4,'BSE - SENSEX Index Options'!$I:$I,"MDAW*")+SUMIFS('BSE - Other Index Options'!$M:$M,'BSE - Other Index Options'!$C:$C,$A97,'BSE - Other Index Options'!$B:$B,D$4,'BSE - Other Index Options'!$I:$I,"Weekly*")+SUMIFS('BSE - Other Index Options'!$M:$M,'BSE - Other Index Options'!$C:$C,$A97,'BSE - Other Index Options'!$B:$B,D$4,'BSE - Other Index Options'!$I:$I,"MDAW*"))</f>
        <v/>
      </c>
      <c r="E97" s="26">
        <f>IF(SUMIFS('NSE - NIFTY Index Options'!$M:$M,'NSE - NIFTY Index Options'!$C:$C,$A97,'NSE - NIFTY Index Options'!$B:$B,E$4,'NSE - NIFTY Index Options'!$I:$I,"Weekly*")+SUMIFS('NSE - NIFTY Index Options'!$M:$M,'NSE - NIFTY Index Options'!$C:$C,$A97,'NSE - NIFTY Index Options'!$B:$B,E$4,'NSE - NIFTY Index Options'!$I:$I,"MDAW*")+SUMIFS('NSE - Other Index Options'!$M:$M,'NSE - Other Index Options'!$C:$C,$A97,'NSE - Other Index Options'!$B:$B,E$4,'NSE - Other Index Options'!$I:$I,"Weekly*")+SUMIFS('NSE - Other Index Options'!$M:$M,'NSE - Other Index Options'!$C:$C,$A97,'NSE - Other Index Options'!$B:$B,E$4,'NSE - Other Index Options'!$I:$I,"MDAW*")+SUMIFS('BSE - SENSEX Index Options'!$M:$M,'BSE - SENSEX Index Options'!$C:$C,$A97,'BSE - SENSEX Index Options'!$B:$B,E$4,'BSE - SENSEX Index Options'!$I:$I,"Weekly*")+SUMIFS('BSE - SENSEX Index Options'!$M:$M,'BSE - SENSEX Index Options'!$C:$C,$A97,'BSE - SENSEX Index Options'!$B:$B,E$4,'BSE - SENSEX Index Options'!$I:$I,"MDAW*")+SUMIFS('BSE - Other Index Options'!$M:$M,'BSE - Other Index Options'!$C:$C,$A97,'BSE - Other Index Options'!$B:$B,E$4,'BSE - Other Index Options'!$I:$I,"Weekly*")+SUMIFS('BSE - Other Index Options'!$M:$M,'BSE - Other Index Options'!$C:$C,$A97,'BSE - Other Index Options'!$B:$B,E$4,'BSE - Other Index Options'!$I:$I,"MDAW*")=0,"",SUMIFS('NSE - NIFTY Index Options'!$M:$M,'NSE - NIFTY Index Options'!$C:$C,$A97,'NSE - NIFTY Index Options'!$B:$B,E$4,'NSE - NIFTY Index Options'!$I:$I,"Weekly*")+SUMIFS('NSE - NIFTY Index Options'!$M:$M,'NSE - NIFTY Index Options'!$C:$C,$A97,'NSE - NIFTY Index Options'!$B:$B,E$4,'NSE - NIFTY Index Options'!$I:$I,"MDAW*")+SUMIFS('NSE - Other Index Options'!$M:$M,'NSE - Other Index Options'!$C:$C,$A97,'NSE - Other Index Options'!$B:$B,E$4,'NSE - Other Index Options'!$I:$I,"Weekly*")+SUMIFS('NSE - Other Index Options'!$M:$M,'NSE - Other Index Options'!$C:$C,$A97,'NSE - Other Index Options'!$B:$B,E$4,'NSE - Other Index Options'!$I:$I,"MDAW*")+SUMIFS('BSE - SENSEX Index Options'!$M:$M,'BSE - SENSEX Index Options'!$C:$C,$A97,'BSE - SENSEX Index Options'!$B:$B,E$4,'BSE - SENSEX Index Options'!$I:$I,"Weekly*")+SUMIFS('BSE - SENSEX Index Options'!$M:$M,'BSE - SENSEX Index Options'!$C:$C,$A97,'BSE - SENSEX Index Options'!$B:$B,E$4,'BSE - SENSEX Index Options'!$I:$I,"MDAW*")+SUMIFS('BSE - Other Index Options'!$M:$M,'BSE - Other Index Options'!$C:$C,$A97,'BSE - Other Index Options'!$B:$B,E$4,'BSE - Other Index Options'!$I:$I,"Weekly*")+SUMIFS('BSE - Other Index Options'!$M:$M,'BSE - Other Index Options'!$C:$C,$A97,'BSE - Other Index Options'!$B:$B,E$4,'BSE - Other Index Options'!$I:$I,"MDAW*"))</f>
        <v/>
      </c>
      <c r="F97" s="26">
        <f>IF(SUMIFS('NSE - NIFTY Index Options'!$M:$M,'NSE - NIFTY Index Options'!$C:$C,$A97,'NSE - NIFTY Index Options'!$B:$B,F$4,'NSE - NIFTY Index Options'!$I:$I,"Weekly*")+SUMIFS('NSE - NIFTY Index Options'!$M:$M,'NSE - NIFTY Index Options'!$C:$C,$A97,'NSE - NIFTY Index Options'!$B:$B,F$4,'NSE - NIFTY Index Options'!$I:$I,"MDAW*")+SUMIFS('NSE - Other Index Options'!$M:$M,'NSE - Other Index Options'!$C:$C,$A97,'NSE - Other Index Options'!$B:$B,F$4,'NSE - Other Index Options'!$I:$I,"Weekly*")+SUMIFS('NSE - Other Index Options'!$M:$M,'NSE - Other Index Options'!$C:$C,$A97,'NSE - Other Index Options'!$B:$B,F$4,'NSE - Other Index Options'!$I:$I,"MDAW*")+SUMIFS('BSE - SENSEX Index Options'!$M:$M,'BSE - SENSEX Index Options'!$C:$C,$A97,'BSE - SENSEX Index Options'!$B:$B,F$4,'BSE - SENSEX Index Options'!$I:$I,"Weekly*")+SUMIFS('BSE - SENSEX Index Options'!$M:$M,'BSE - SENSEX Index Options'!$C:$C,$A97,'BSE - SENSEX Index Options'!$B:$B,F$4,'BSE - SENSEX Index Options'!$I:$I,"MDAW*")+SUMIFS('BSE - Other Index Options'!$M:$M,'BSE - Other Index Options'!$C:$C,$A97,'BSE - Other Index Options'!$B:$B,F$4,'BSE - Other Index Options'!$I:$I,"Weekly*")+SUMIFS('BSE - Other Index Options'!$M:$M,'BSE - Other Index Options'!$C:$C,$A97,'BSE - Other Index Options'!$B:$B,F$4,'BSE - Other Index Options'!$I:$I,"MDAW*")=0,"",SUMIFS('NSE - NIFTY Index Options'!$M:$M,'NSE - NIFTY Index Options'!$C:$C,$A97,'NSE - NIFTY Index Options'!$B:$B,F$4,'NSE - NIFTY Index Options'!$I:$I,"Weekly*")+SUMIFS('NSE - NIFTY Index Options'!$M:$M,'NSE - NIFTY Index Options'!$C:$C,$A97,'NSE - NIFTY Index Options'!$B:$B,F$4,'NSE - NIFTY Index Options'!$I:$I,"MDAW*")+SUMIFS('NSE - Other Index Options'!$M:$M,'NSE - Other Index Options'!$C:$C,$A97,'NSE - Other Index Options'!$B:$B,F$4,'NSE - Other Index Options'!$I:$I,"Weekly*")+SUMIFS('NSE - Other Index Options'!$M:$M,'NSE - Other Index Options'!$C:$C,$A97,'NSE - Other Index Options'!$B:$B,F$4,'NSE - Other Index Options'!$I:$I,"MDAW*")+SUMIFS('BSE - SENSEX Index Options'!$M:$M,'BSE - SENSEX Index Options'!$C:$C,$A97,'BSE - SENSEX Index Options'!$B:$B,F$4,'BSE - SENSEX Index Options'!$I:$I,"Weekly*")+SUMIFS('BSE - SENSEX Index Options'!$M:$M,'BSE - SENSEX Index Options'!$C:$C,$A97,'BSE - SENSEX Index Options'!$B:$B,F$4,'BSE - SENSEX Index Options'!$I:$I,"MDAW*")+SUMIFS('BSE - Other Index Options'!$M:$M,'BSE - Other Index Options'!$C:$C,$A97,'BSE - Other Index Options'!$B:$B,F$4,'BSE - Other Index Options'!$I:$I,"Weekly*")+SUMIFS('BSE - Other Index Options'!$M:$M,'BSE - Other Index Options'!$C:$C,$A97,'BSE - Other Index Options'!$B:$B,F$4,'BSE - Other Index Options'!$I:$I,"MDAW*"))</f>
        <v/>
      </c>
      <c r="G97" s="26">
        <f>IF(SUMIFS('NSE - NIFTY Index Options'!$M:$M,'NSE - NIFTY Index Options'!$C:$C,$A97,'NSE - NIFTY Index Options'!$B:$B,G$4,'NSE - NIFTY Index Options'!$I:$I,"Weekly*")+SUMIFS('NSE - NIFTY Index Options'!$M:$M,'NSE - NIFTY Index Options'!$C:$C,$A97,'NSE - NIFTY Index Options'!$B:$B,G$4,'NSE - NIFTY Index Options'!$I:$I,"MDAW*")+SUMIFS('NSE - Other Index Options'!$M:$M,'NSE - Other Index Options'!$C:$C,$A97,'NSE - Other Index Options'!$B:$B,G$4,'NSE - Other Index Options'!$I:$I,"Weekly*")+SUMIFS('NSE - Other Index Options'!$M:$M,'NSE - Other Index Options'!$C:$C,$A97,'NSE - Other Index Options'!$B:$B,G$4,'NSE - Other Index Options'!$I:$I,"MDAW*")+SUMIFS('BSE - SENSEX Index Options'!$M:$M,'BSE - SENSEX Index Options'!$C:$C,$A97,'BSE - SENSEX Index Options'!$B:$B,G$4,'BSE - SENSEX Index Options'!$I:$I,"Weekly*")+SUMIFS('BSE - SENSEX Index Options'!$M:$M,'BSE - SENSEX Index Options'!$C:$C,$A97,'BSE - SENSEX Index Options'!$B:$B,G$4,'BSE - SENSEX Index Options'!$I:$I,"MDAW*")+SUMIFS('BSE - Other Index Options'!$M:$M,'BSE - Other Index Options'!$C:$C,$A97,'BSE - Other Index Options'!$B:$B,G$4,'BSE - Other Index Options'!$I:$I,"Weekly*")+SUMIFS('BSE - Other Index Options'!$M:$M,'BSE - Other Index Options'!$C:$C,$A97,'BSE - Other Index Options'!$B:$B,G$4,'BSE - Other Index Options'!$I:$I,"MDAW*")=0,"",SUMIFS('NSE - NIFTY Index Options'!$M:$M,'NSE - NIFTY Index Options'!$C:$C,$A97,'NSE - NIFTY Index Options'!$B:$B,G$4,'NSE - NIFTY Index Options'!$I:$I,"Weekly*")+SUMIFS('NSE - NIFTY Index Options'!$M:$M,'NSE - NIFTY Index Options'!$C:$C,$A97,'NSE - NIFTY Index Options'!$B:$B,G$4,'NSE - NIFTY Index Options'!$I:$I,"MDAW*")+SUMIFS('NSE - Other Index Options'!$M:$M,'NSE - Other Index Options'!$C:$C,$A97,'NSE - Other Index Options'!$B:$B,G$4,'NSE - Other Index Options'!$I:$I,"Weekly*")+SUMIFS('NSE - Other Index Options'!$M:$M,'NSE - Other Index Options'!$C:$C,$A97,'NSE - Other Index Options'!$B:$B,G$4,'NSE - Other Index Options'!$I:$I,"MDAW*")+SUMIFS('BSE - SENSEX Index Options'!$M:$M,'BSE - SENSEX Index Options'!$C:$C,$A97,'BSE - SENSEX Index Options'!$B:$B,G$4,'BSE - SENSEX Index Options'!$I:$I,"Weekly*")+SUMIFS('BSE - SENSEX Index Options'!$M:$M,'BSE - SENSEX Index Options'!$C:$C,$A97,'BSE - SENSEX Index Options'!$B:$B,G$4,'BSE - SENSEX Index Options'!$I:$I,"MDAW*")+SUMIFS('BSE - Other Index Options'!$M:$M,'BSE - Other Index Options'!$C:$C,$A97,'BSE - Other Index Options'!$B:$B,G$4,'BSE - Other Index Options'!$I:$I,"Weekly*")+SUMIFS('BSE - Other Index Options'!$M:$M,'BSE - Other Index Options'!$C:$C,$A97,'BSE - Other Index Options'!$B:$B,G$4,'BSE - Other Index Options'!$I:$I,"MDAW*"))</f>
        <v/>
      </c>
      <c r="H97" s="26">
        <f>IF(SUM(B97:G97)=0,"",SUM(B97:G97))</f>
        <v/>
      </c>
    </row>
    <row r="98" hidden="1" outlineLevel="1">
      <c r="A98" t="inlineStr">
        <is>
          <t>Week1-Apr-2027</t>
        </is>
      </c>
      <c r="B98" s="26">
        <f>IF(SUMIFS('NSE - NIFTY Index Options'!$M:$M,'NSE - NIFTY Index Options'!$C:$C,$A98,'NSE - NIFTY Index Options'!$B:$B,B$4,'NSE - NIFTY Index Options'!$I:$I,"Weekly*")+SUMIFS('NSE - NIFTY Index Options'!$M:$M,'NSE - NIFTY Index Options'!$C:$C,$A98,'NSE - NIFTY Index Options'!$B:$B,B$4,'NSE - NIFTY Index Options'!$I:$I,"MDAW*")+SUMIFS('NSE - Other Index Options'!$M:$M,'NSE - Other Index Options'!$C:$C,$A98,'NSE - Other Index Options'!$B:$B,B$4,'NSE - Other Index Options'!$I:$I,"Weekly*")+SUMIFS('NSE - Other Index Options'!$M:$M,'NSE - Other Index Options'!$C:$C,$A98,'NSE - Other Index Options'!$B:$B,B$4,'NSE - Other Index Options'!$I:$I,"MDAW*")+SUMIFS('BSE - SENSEX Index Options'!$M:$M,'BSE - SENSEX Index Options'!$C:$C,$A98,'BSE - SENSEX Index Options'!$B:$B,B$4,'BSE - SENSEX Index Options'!$I:$I,"Weekly*")+SUMIFS('BSE - SENSEX Index Options'!$M:$M,'BSE - SENSEX Index Options'!$C:$C,$A98,'BSE - SENSEX Index Options'!$B:$B,B$4,'BSE - SENSEX Index Options'!$I:$I,"MDAW*")+SUMIFS('BSE - Other Index Options'!$M:$M,'BSE - Other Index Options'!$C:$C,$A98,'BSE - Other Index Options'!$B:$B,B$4,'BSE - Other Index Options'!$I:$I,"Weekly*")+SUMIFS('BSE - Other Index Options'!$M:$M,'BSE - Other Index Options'!$C:$C,$A98,'BSE - Other Index Options'!$B:$B,B$4,'BSE - Other Index Options'!$I:$I,"MDAW*")=0,"",SUMIFS('NSE - NIFTY Index Options'!$M:$M,'NSE - NIFTY Index Options'!$C:$C,$A98,'NSE - NIFTY Index Options'!$B:$B,B$4,'NSE - NIFTY Index Options'!$I:$I,"Weekly*")+SUMIFS('NSE - NIFTY Index Options'!$M:$M,'NSE - NIFTY Index Options'!$C:$C,$A98,'NSE - NIFTY Index Options'!$B:$B,B$4,'NSE - NIFTY Index Options'!$I:$I,"MDAW*")+SUMIFS('NSE - Other Index Options'!$M:$M,'NSE - Other Index Options'!$C:$C,$A98,'NSE - Other Index Options'!$B:$B,B$4,'NSE - Other Index Options'!$I:$I,"Weekly*")+SUMIFS('NSE - Other Index Options'!$M:$M,'NSE - Other Index Options'!$C:$C,$A98,'NSE - Other Index Options'!$B:$B,B$4,'NSE - Other Index Options'!$I:$I,"MDAW*")+SUMIFS('BSE - SENSEX Index Options'!$M:$M,'BSE - SENSEX Index Options'!$C:$C,$A98,'BSE - SENSEX Index Options'!$B:$B,B$4,'BSE - SENSEX Index Options'!$I:$I,"Weekly*")+SUMIFS('BSE - SENSEX Index Options'!$M:$M,'BSE - SENSEX Index Options'!$C:$C,$A98,'BSE - SENSEX Index Options'!$B:$B,B$4,'BSE - SENSEX Index Options'!$I:$I,"MDAW*")+SUMIFS('BSE - Other Index Options'!$M:$M,'BSE - Other Index Options'!$C:$C,$A98,'BSE - Other Index Options'!$B:$B,B$4,'BSE - Other Index Options'!$I:$I,"Weekly*")+SUMIFS('BSE - Other Index Options'!$M:$M,'BSE - Other Index Options'!$C:$C,$A98,'BSE - Other Index Options'!$B:$B,B$4,'BSE - Other Index Options'!$I:$I,"MDAW*"))</f>
        <v/>
      </c>
      <c r="C98" s="26">
        <f>IF(SUMIFS('NSE - NIFTY Index Options'!$M:$M,'NSE - NIFTY Index Options'!$C:$C,$A98,'NSE - NIFTY Index Options'!$B:$B,C$4,'NSE - NIFTY Index Options'!$I:$I,"Weekly*")+SUMIFS('NSE - NIFTY Index Options'!$M:$M,'NSE - NIFTY Index Options'!$C:$C,$A98,'NSE - NIFTY Index Options'!$B:$B,C$4,'NSE - NIFTY Index Options'!$I:$I,"MDAW*")+SUMIFS('NSE - Other Index Options'!$M:$M,'NSE - Other Index Options'!$C:$C,$A98,'NSE - Other Index Options'!$B:$B,C$4,'NSE - Other Index Options'!$I:$I,"Weekly*")+SUMIFS('NSE - Other Index Options'!$M:$M,'NSE - Other Index Options'!$C:$C,$A98,'NSE - Other Index Options'!$B:$B,C$4,'NSE - Other Index Options'!$I:$I,"MDAW*")+SUMIFS('BSE - SENSEX Index Options'!$M:$M,'BSE - SENSEX Index Options'!$C:$C,$A98,'BSE - SENSEX Index Options'!$B:$B,C$4,'BSE - SENSEX Index Options'!$I:$I,"Weekly*")+SUMIFS('BSE - SENSEX Index Options'!$M:$M,'BSE - SENSEX Index Options'!$C:$C,$A98,'BSE - SENSEX Index Options'!$B:$B,C$4,'BSE - SENSEX Index Options'!$I:$I,"MDAW*")+SUMIFS('BSE - Other Index Options'!$M:$M,'BSE - Other Index Options'!$C:$C,$A98,'BSE - Other Index Options'!$B:$B,C$4,'BSE - Other Index Options'!$I:$I,"Weekly*")+SUMIFS('BSE - Other Index Options'!$M:$M,'BSE - Other Index Options'!$C:$C,$A98,'BSE - Other Index Options'!$B:$B,C$4,'BSE - Other Index Options'!$I:$I,"MDAW*")=0,"",SUMIFS('NSE - NIFTY Index Options'!$M:$M,'NSE - NIFTY Index Options'!$C:$C,$A98,'NSE - NIFTY Index Options'!$B:$B,C$4,'NSE - NIFTY Index Options'!$I:$I,"Weekly*")+SUMIFS('NSE - NIFTY Index Options'!$M:$M,'NSE - NIFTY Index Options'!$C:$C,$A98,'NSE - NIFTY Index Options'!$B:$B,C$4,'NSE - NIFTY Index Options'!$I:$I,"MDAW*")+SUMIFS('NSE - Other Index Options'!$M:$M,'NSE - Other Index Options'!$C:$C,$A98,'NSE - Other Index Options'!$B:$B,C$4,'NSE - Other Index Options'!$I:$I,"Weekly*")+SUMIFS('NSE - Other Index Options'!$M:$M,'NSE - Other Index Options'!$C:$C,$A98,'NSE - Other Index Options'!$B:$B,C$4,'NSE - Other Index Options'!$I:$I,"MDAW*")+SUMIFS('BSE - SENSEX Index Options'!$M:$M,'BSE - SENSEX Index Options'!$C:$C,$A98,'BSE - SENSEX Index Options'!$B:$B,C$4,'BSE - SENSEX Index Options'!$I:$I,"Weekly*")+SUMIFS('BSE - SENSEX Index Options'!$M:$M,'BSE - SENSEX Index Options'!$C:$C,$A98,'BSE - SENSEX Index Options'!$B:$B,C$4,'BSE - SENSEX Index Options'!$I:$I,"MDAW*")+SUMIFS('BSE - Other Index Options'!$M:$M,'BSE - Other Index Options'!$C:$C,$A98,'BSE - Other Index Options'!$B:$B,C$4,'BSE - Other Index Options'!$I:$I,"Weekly*")+SUMIFS('BSE - Other Index Options'!$M:$M,'BSE - Other Index Options'!$C:$C,$A98,'BSE - Other Index Options'!$B:$B,C$4,'BSE - Other Index Options'!$I:$I,"MDAW*"))</f>
        <v/>
      </c>
      <c r="D98" s="26">
        <f>IF(SUMIFS('NSE - NIFTY Index Options'!$M:$M,'NSE - NIFTY Index Options'!$C:$C,$A98,'NSE - NIFTY Index Options'!$B:$B,D$4,'NSE - NIFTY Index Options'!$I:$I,"Weekly*")+SUMIFS('NSE - NIFTY Index Options'!$M:$M,'NSE - NIFTY Index Options'!$C:$C,$A98,'NSE - NIFTY Index Options'!$B:$B,D$4,'NSE - NIFTY Index Options'!$I:$I,"MDAW*")+SUMIFS('NSE - Other Index Options'!$M:$M,'NSE - Other Index Options'!$C:$C,$A98,'NSE - Other Index Options'!$B:$B,D$4,'NSE - Other Index Options'!$I:$I,"Weekly*")+SUMIFS('NSE - Other Index Options'!$M:$M,'NSE - Other Index Options'!$C:$C,$A98,'NSE - Other Index Options'!$B:$B,D$4,'NSE - Other Index Options'!$I:$I,"MDAW*")+SUMIFS('BSE - SENSEX Index Options'!$M:$M,'BSE - SENSEX Index Options'!$C:$C,$A98,'BSE - SENSEX Index Options'!$B:$B,D$4,'BSE - SENSEX Index Options'!$I:$I,"Weekly*")+SUMIFS('BSE - SENSEX Index Options'!$M:$M,'BSE - SENSEX Index Options'!$C:$C,$A98,'BSE - SENSEX Index Options'!$B:$B,D$4,'BSE - SENSEX Index Options'!$I:$I,"MDAW*")+SUMIFS('BSE - Other Index Options'!$M:$M,'BSE - Other Index Options'!$C:$C,$A98,'BSE - Other Index Options'!$B:$B,D$4,'BSE - Other Index Options'!$I:$I,"Weekly*")+SUMIFS('BSE - Other Index Options'!$M:$M,'BSE - Other Index Options'!$C:$C,$A98,'BSE - Other Index Options'!$B:$B,D$4,'BSE - Other Index Options'!$I:$I,"MDAW*")=0,"",SUMIFS('NSE - NIFTY Index Options'!$M:$M,'NSE - NIFTY Index Options'!$C:$C,$A98,'NSE - NIFTY Index Options'!$B:$B,D$4,'NSE - NIFTY Index Options'!$I:$I,"Weekly*")+SUMIFS('NSE - NIFTY Index Options'!$M:$M,'NSE - NIFTY Index Options'!$C:$C,$A98,'NSE - NIFTY Index Options'!$B:$B,D$4,'NSE - NIFTY Index Options'!$I:$I,"MDAW*")+SUMIFS('NSE - Other Index Options'!$M:$M,'NSE - Other Index Options'!$C:$C,$A98,'NSE - Other Index Options'!$B:$B,D$4,'NSE - Other Index Options'!$I:$I,"Weekly*")+SUMIFS('NSE - Other Index Options'!$M:$M,'NSE - Other Index Options'!$C:$C,$A98,'NSE - Other Index Options'!$B:$B,D$4,'NSE - Other Index Options'!$I:$I,"MDAW*")+SUMIFS('BSE - SENSEX Index Options'!$M:$M,'BSE - SENSEX Index Options'!$C:$C,$A98,'BSE - SENSEX Index Options'!$B:$B,D$4,'BSE - SENSEX Index Options'!$I:$I,"Weekly*")+SUMIFS('BSE - SENSEX Index Options'!$M:$M,'BSE - SENSEX Index Options'!$C:$C,$A98,'BSE - SENSEX Index Options'!$B:$B,D$4,'BSE - SENSEX Index Options'!$I:$I,"MDAW*")+SUMIFS('BSE - Other Index Options'!$M:$M,'BSE - Other Index Options'!$C:$C,$A98,'BSE - Other Index Options'!$B:$B,D$4,'BSE - Other Index Options'!$I:$I,"Weekly*")+SUMIFS('BSE - Other Index Options'!$M:$M,'BSE - Other Index Options'!$C:$C,$A98,'BSE - Other Index Options'!$B:$B,D$4,'BSE - Other Index Options'!$I:$I,"MDAW*"))</f>
        <v/>
      </c>
      <c r="E98" s="26">
        <f>IF(SUMIFS('NSE - NIFTY Index Options'!$M:$M,'NSE - NIFTY Index Options'!$C:$C,$A98,'NSE - NIFTY Index Options'!$B:$B,E$4,'NSE - NIFTY Index Options'!$I:$I,"Weekly*")+SUMIFS('NSE - NIFTY Index Options'!$M:$M,'NSE - NIFTY Index Options'!$C:$C,$A98,'NSE - NIFTY Index Options'!$B:$B,E$4,'NSE - NIFTY Index Options'!$I:$I,"MDAW*")+SUMIFS('NSE - Other Index Options'!$M:$M,'NSE - Other Index Options'!$C:$C,$A98,'NSE - Other Index Options'!$B:$B,E$4,'NSE - Other Index Options'!$I:$I,"Weekly*")+SUMIFS('NSE - Other Index Options'!$M:$M,'NSE - Other Index Options'!$C:$C,$A98,'NSE - Other Index Options'!$B:$B,E$4,'NSE - Other Index Options'!$I:$I,"MDAW*")+SUMIFS('BSE - SENSEX Index Options'!$M:$M,'BSE - SENSEX Index Options'!$C:$C,$A98,'BSE - SENSEX Index Options'!$B:$B,E$4,'BSE - SENSEX Index Options'!$I:$I,"Weekly*")+SUMIFS('BSE - SENSEX Index Options'!$M:$M,'BSE - SENSEX Index Options'!$C:$C,$A98,'BSE - SENSEX Index Options'!$B:$B,E$4,'BSE - SENSEX Index Options'!$I:$I,"MDAW*")+SUMIFS('BSE - Other Index Options'!$M:$M,'BSE - Other Index Options'!$C:$C,$A98,'BSE - Other Index Options'!$B:$B,E$4,'BSE - Other Index Options'!$I:$I,"Weekly*")+SUMIFS('BSE - Other Index Options'!$M:$M,'BSE - Other Index Options'!$C:$C,$A98,'BSE - Other Index Options'!$B:$B,E$4,'BSE - Other Index Options'!$I:$I,"MDAW*")=0,"",SUMIFS('NSE - NIFTY Index Options'!$M:$M,'NSE - NIFTY Index Options'!$C:$C,$A98,'NSE - NIFTY Index Options'!$B:$B,E$4,'NSE - NIFTY Index Options'!$I:$I,"Weekly*")+SUMIFS('NSE - NIFTY Index Options'!$M:$M,'NSE - NIFTY Index Options'!$C:$C,$A98,'NSE - NIFTY Index Options'!$B:$B,E$4,'NSE - NIFTY Index Options'!$I:$I,"MDAW*")+SUMIFS('NSE - Other Index Options'!$M:$M,'NSE - Other Index Options'!$C:$C,$A98,'NSE - Other Index Options'!$B:$B,E$4,'NSE - Other Index Options'!$I:$I,"Weekly*")+SUMIFS('NSE - Other Index Options'!$M:$M,'NSE - Other Index Options'!$C:$C,$A98,'NSE - Other Index Options'!$B:$B,E$4,'NSE - Other Index Options'!$I:$I,"MDAW*")+SUMIFS('BSE - SENSEX Index Options'!$M:$M,'BSE - SENSEX Index Options'!$C:$C,$A98,'BSE - SENSEX Index Options'!$B:$B,E$4,'BSE - SENSEX Index Options'!$I:$I,"Weekly*")+SUMIFS('BSE - SENSEX Index Options'!$M:$M,'BSE - SENSEX Index Options'!$C:$C,$A98,'BSE - SENSEX Index Options'!$B:$B,E$4,'BSE - SENSEX Index Options'!$I:$I,"MDAW*")+SUMIFS('BSE - Other Index Options'!$M:$M,'BSE - Other Index Options'!$C:$C,$A98,'BSE - Other Index Options'!$B:$B,E$4,'BSE - Other Index Options'!$I:$I,"Weekly*")+SUMIFS('BSE - Other Index Options'!$M:$M,'BSE - Other Index Options'!$C:$C,$A98,'BSE - Other Index Options'!$B:$B,E$4,'BSE - Other Index Options'!$I:$I,"MDAW*"))</f>
        <v/>
      </c>
      <c r="F98" s="26">
        <f>IF(SUMIFS('NSE - NIFTY Index Options'!$M:$M,'NSE - NIFTY Index Options'!$C:$C,$A98,'NSE - NIFTY Index Options'!$B:$B,F$4,'NSE - NIFTY Index Options'!$I:$I,"Weekly*")+SUMIFS('NSE - NIFTY Index Options'!$M:$M,'NSE - NIFTY Index Options'!$C:$C,$A98,'NSE - NIFTY Index Options'!$B:$B,F$4,'NSE - NIFTY Index Options'!$I:$I,"MDAW*")+SUMIFS('NSE - Other Index Options'!$M:$M,'NSE - Other Index Options'!$C:$C,$A98,'NSE - Other Index Options'!$B:$B,F$4,'NSE - Other Index Options'!$I:$I,"Weekly*")+SUMIFS('NSE - Other Index Options'!$M:$M,'NSE - Other Index Options'!$C:$C,$A98,'NSE - Other Index Options'!$B:$B,F$4,'NSE - Other Index Options'!$I:$I,"MDAW*")+SUMIFS('BSE - SENSEX Index Options'!$M:$M,'BSE - SENSEX Index Options'!$C:$C,$A98,'BSE - SENSEX Index Options'!$B:$B,F$4,'BSE - SENSEX Index Options'!$I:$I,"Weekly*")+SUMIFS('BSE - SENSEX Index Options'!$M:$M,'BSE - SENSEX Index Options'!$C:$C,$A98,'BSE - SENSEX Index Options'!$B:$B,F$4,'BSE - SENSEX Index Options'!$I:$I,"MDAW*")+SUMIFS('BSE - Other Index Options'!$M:$M,'BSE - Other Index Options'!$C:$C,$A98,'BSE - Other Index Options'!$B:$B,F$4,'BSE - Other Index Options'!$I:$I,"Weekly*")+SUMIFS('BSE - Other Index Options'!$M:$M,'BSE - Other Index Options'!$C:$C,$A98,'BSE - Other Index Options'!$B:$B,F$4,'BSE - Other Index Options'!$I:$I,"MDAW*")=0,"",SUMIFS('NSE - NIFTY Index Options'!$M:$M,'NSE - NIFTY Index Options'!$C:$C,$A98,'NSE - NIFTY Index Options'!$B:$B,F$4,'NSE - NIFTY Index Options'!$I:$I,"Weekly*")+SUMIFS('NSE - NIFTY Index Options'!$M:$M,'NSE - NIFTY Index Options'!$C:$C,$A98,'NSE - NIFTY Index Options'!$B:$B,F$4,'NSE - NIFTY Index Options'!$I:$I,"MDAW*")+SUMIFS('NSE - Other Index Options'!$M:$M,'NSE - Other Index Options'!$C:$C,$A98,'NSE - Other Index Options'!$B:$B,F$4,'NSE - Other Index Options'!$I:$I,"Weekly*")+SUMIFS('NSE - Other Index Options'!$M:$M,'NSE - Other Index Options'!$C:$C,$A98,'NSE - Other Index Options'!$B:$B,F$4,'NSE - Other Index Options'!$I:$I,"MDAW*")+SUMIFS('BSE - SENSEX Index Options'!$M:$M,'BSE - SENSEX Index Options'!$C:$C,$A98,'BSE - SENSEX Index Options'!$B:$B,F$4,'BSE - SENSEX Index Options'!$I:$I,"Weekly*")+SUMIFS('BSE - SENSEX Index Options'!$M:$M,'BSE - SENSEX Index Options'!$C:$C,$A98,'BSE - SENSEX Index Options'!$B:$B,F$4,'BSE - SENSEX Index Options'!$I:$I,"MDAW*")+SUMIFS('BSE - Other Index Options'!$M:$M,'BSE - Other Index Options'!$C:$C,$A98,'BSE - Other Index Options'!$B:$B,F$4,'BSE - Other Index Options'!$I:$I,"Weekly*")+SUMIFS('BSE - Other Index Options'!$M:$M,'BSE - Other Index Options'!$C:$C,$A98,'BSE - Other Index Options'!$B:$B,F$4,'BSE - Other Index Options'!$I:$I,"MDAW*"))</f>
        <v/>
      </c>
      <c r="G98" s="26">
        <f>IF(SUMIFS('NSE - NIFTY Index Options'!$M:$M,'NSE - NIFTY Index Options'!$C:$C,$A98,'NSE - NIFTY Index Options'!$B:$B,G$4,'NSE - NIFTY Index Options'!$I:$I,"Weekly*")+SUMIFS('NSE - NIFTY Index Options'!$M:$M,'NSE - NIFTY Index Options'!$C:$C,$A98,'NSE - NIFTY Index Options'!$B:$B,G$4,'NSE - NIFTY Index Options'!$I:$I,"MDAW*")+SUMIFS('NSE - Other Index Options'!$M:$M,'NSE - Other Index Options'!$C:$C,$A98,'NSE - Other Index Options'!$B:$B,G$4,'NSE - Other Index Options'!$I:$I,"Weekly*")+SUMIFS('NSE - Other Index Options'!$M:$M,'NSE - Other Index Options'!$C:$C,$A98,'NSE - Other Index Options'!$B:$B,G$4,'NSE - Other Index Options'!$I:$I,"MDAW*")+SUMIFS('BSE - SENSEX Index Options'!$M:$M,'BSE - SENSEX Index Options'!$C:$C,$A98,'BSE - SENSEX Index Options'!$B:$B,G$4,'BSE - SENSEX Index Options'!$I:$I,"Weekly*")+SUMIFS('BSE - SENSEX Index Options'!$M:$M,'BSE - SENSEX Index Options'!$C:$C,$A98,'BSE - SENSEX Index Options'!$B:$B,G$4,'BSE - SENSEX Index Options'!$I:$I,"MDAW*")+SUMIFS('BSE - Other Index Options'!$M:$M,'BSE - Other Index Options'!$C:$C,$A98,'BSE - Other Index Options'!$B:$B,G$4,'BSE - Other Index Options'!$I:$I,"Weekly*")+SUMIFS('BSE - Other Index Options'!$M:$M,'BSE - Other Index Options'!$C:$C,$A98,'BSE - Other Index Options'!$B:$B,G$4,'BSE - Other Index Options'!$I:$I,"MDAW*")=0,"",SUMIFS('NSE - NIFTY Index Options'!$M:$M,'NSE - NIFTY Index Options'!$C:$C,$A98,'NSE - NIFTY Index Options'!$B:$B,G$4,'NSE - NIFTY Index Options'!$I:$I,"Weekly*")+SUMIFS('NSE - NIFTY Index Options'!$M:$M,'NSE - NIFTY Index Options'!$C:$C,$A98,'NSE - NIFTY Index Options'!$B:$B,G$4,'NSE - NIFTY Index Options'!$I:$I,"MDAW*")+SUMIFS('NSE - Other Index Options'!$M:$M,'NSE - Other Index Options'!$C:$C,$A98,'NSE - Other Index Options'!$B:$B,G$4,'NSE - Other Index Options'!$I:$I,"Weekly*")+SUMIFS('NSE - Other Index Options'!$M:$M,'NSE - Other Index Options'!$C:$C,$A98,'NSE - Other Index Options'!$B:$B,G$4,'NSE - Other Index Options'!$I:$I,"MDAW*")+SUMIFS('BSE - SENSEX Index Options'!$M:$M,'BSE - SENSEX Index Options'!$C:$C,$A98,'BSE - SENSEX Index Options'!$B:$B,G$4,'BSE - SENSEX Index Options'!$I:$I,"Weekly*")+SUMIFS('BSE - SENSEX Index Options'!$M:$M,'BSE - SENSEX Index Options'!$C:$C,$A98,'BSE - SENSEX Index Options'!$B:$B,G$4,'BSE - SENSEX Index Options'!$I:$I,"MDAW*")+SUMIFS('BSE - Other Index Options'!$M:$M,'BSE - Other Index Options'!$C:$C,$A98,'BSE - Other Index Options'!$B:$B,G$4,'BSE - Other Index Options'!$I:$I,"Weekly*")+SUMIFS('BSE - Other Index Options'!$M:$M,'BSE - Other Index Options'!$C:$C,$A98,'BSE - Other Index Options'!$B:$B,G$4,'BSE - Other Index Options'!$I:$I,"MDAW*"))</f>
        <v/>
      </c>
      <c r="H98" s="26">
        <f>IF(SUM(B98:G98)=0,"",SUM(B98:G98))</f>
        <v/>
      </c>
    </row>
    <row r="99" hidden="1" outlineLevel="1">
      <c r="A99" t="inlineStr">
        <is>
          <t>Week2-Apr-2027</t>
        </is>
      </c>
      <c r="B99" s="26">
        <f>IF(SUMIFS('NSE - NIFTY Index Options'!$M:$M,'NSE - NIFTY Index Options'!$C:$C,$A99,'NSE - NIFTY Index Options'!$B:$B,B$4,'NSE - NIFTY Index Options'!$I:$I,"Weekly*")+SUMIFS('NSE - NIFTY Index Options'!$M:$M,'NSE - NIFTY Index Options'!$C:$C,$A99,'NSE - NIFTY Index Options'!$B:$B,B$4,'NSE - NIFTY Index Options'!$I:$I,"MDAW*")+SUMIFS('NSE - Other Index Options'!$M:$M,'NSE - Other Index Options'!$C:$C,$A99,'NSE - Other Index Options'!$B:$B,B$4,'NSE - Other Index Options'!$I:$I,"Weekly*")+SUMIFS('NSE - Other Index Options'!$M:$M,'NSE - Other Index Options'!$C:$C,$A99,'NSE - Other Index Options'!$B:$B,B$4,'NSE - Other Index Options'!$I:$I,"MDAW*")+SUMIFS('BSE - SENSEX Index Options'!$M:$M,'BSE - SENSEX Index Options'!$C:$C,$A99,'BSE - SENSEX Index Options'!$B:$B,B$4,'BSE - SENSEX Index Options'!$I:$I,"Weekly*")+SUMIFS('BSE - SENSEX Index Options'!$M:$M,'BSE - SENSEX Index Options'!$C:$C,$A99,'BSE - SENSEX Index Options'!$B:$B,B$4,'BSE - SENSEX Index Options'!$I:$I,"MDAW*")+SUMIFS('BSE - Other Index Options'!$M:$M,'BSE - Other Index Options'!$C:$C,$A99,'BSE - Other Index Options'!$B:$B,B$4,'BSE - Other Index Options'!$I:$I,"Weekly*")+SUMIFS('BSE - Other Index Options'!$M:$M,'BSE - Other Index Options'!$C:$C,$A99,'BSE - Other Index Options'!$B:$B,B$4,'BSE - Other Index Options'!$I:$I,"MDAW*")=0,"",SUMIFS('NSE - NIFTY Index Options'!$M:$M,'NSE - NIFTY Index Options'!$C:$C,$A99,'NSE - NIFTY Index Options'!$B:$B,B$4,'NSE - NIFTY Index Options'!$I:$I,"Weekly*")+SUMIFS('NSE - NIFTY Index Options'!$M:$M,'NSE - NIFTY Index Options'!$C:$C,$A99,'NSE - NIFTY Index Options'!$B:$B,B$4,'NSE - NIFTY Index Options'!$I:$I,"MDAW*")+SUMIFS('NSE - Other Index Options'!$M:$M,'NSE - Other Index Options'!$C:$C,$A99,'NSE - Other Index Options'!$B:$B,B$4,'NSE - Other Index Options'!$I:$I,"Weekly*")+SUMIFS('NSE - Other Index Options'!$M:$M,'NSE - Other Index Options'!$C:$C,$A99,'NSE - Other Index Options'!$B:$B,B$4,'NSE - Other Index Options'!$I:$I,"MDAW*")+SUMIFS('BSE - SENSEX Index Options'!$M:$M,'BSE - SENSEX Index Options'!$C:$C,$A99,'BSE - SENSEX Index Options'!$B:$B,B$4,'BSE - SENSEX Index Options'!$I:$I,"Weekly*")+SUMIFS('BSE - SENSEX Index Options'!$M:$M,'BSE - SENSEX Index Options'!$C:$C,$A99,'BSE - SENSEX Index Options'!$B:$B,B$4,'BSE - SENSEX Index Options'!$I:$I,"MDAW*")+SUMIFS('BSE - Other Index Options'!$M:$M,'BSE - Other Index Options'!$C:$C,$A99,'BSE - Other Index Options'!$B:$B,B$4,'BSE - Other Index Options'!$I:$I,"Weekly*")+SUMIFS('BSE - Other Index Options'!$M:$M,'BSE - Other Index Options'!$C:$C,$A99,'BSE - Other Index Options'!$B:$B,B$4,'BSE - Other Index Options'!$I:$I,"MDAW*"))</f>
        <v/>
      </c>
      <c r="C99" s="26">
        <f>IF(SUMIFS('NSE - NIFTY Index Options'!$M:$M,'NSE - NIFTY Index Options'!$C:$C,$A99,'NSE - NIFTY Index Options'!$B:$B,C$4,'NSE - NIFTY Index Options'!$I:$I,"Weekly*")+SUMIFS('NSE - NIFTY Index Options'!$M:$M,'NSE - NIFTY Index Options'!$C:$C,$A99,'NSE - NIFTY Index Options'!$B:$B,C$4,'NSE - NIFTY Index Options'!$I:$I,"MDAW*")+SUMIFS('NSE - Other Index Options'!$M:$M,'NSE - Other Index Options'!$C:$C,$A99,'NSE - Other Index Options'!$B:$B,C$4,'NSE - Other Index Options'!$I:$I,"Weekly*")+SUMIFS('NSE - Other Index Options'!$M:$M,'NSE - Other Index Options'!$C:$C,$A99,'NSE - Other Index Options'!$B:$B,C$4,'NSE - Other Index Options'!$I:$I,"MDAW*")+SUMIFS('BSE - SENSEX Index Options'!$M:$M,'BSE - SENSEX Index Options'!$C:$C,$A99,'BSE - SENSEX Index Options'!$B:$B,C$4,'BSE - SENSEX Index Options'!$I:$I,"Weekly*")+SUMIFS('BSE - SENSEX Index Options'!$M:$M,'BSE - SENSEX Index Options'!$C:$C,$A99,'BSE - SENSEX Index Options'!$B:$B,C$4,'BSE - SENSEX Index Options'!$I:$I,"MDAW*")+SUMIFS('BSE - Other Index Options'!$M:$M,'BSE - Other Index Options'!$C:$C,$A99,'BSE - Other Index Options'!$B:$B,C$4,'BSE - Other Index Options'!$I:$I,"Weekly*")+SUMIFS('BSE - Other Index Options'!$M:$M,'BSE - Other Index Options'!$C:$C,$A99,'BSE - Other Index Options'!$B:$B,C$4,'BSE - Other Index Options'!$I:$I,"MDAW*")=0,"",SUMIFS('NSE - NIFTY Index Options'!$M:$M,'NSE - NIFTY Index Options'!$C:$C,$A99,'NSE - NIFTY Index Options'!$B:$B,C$4,'NSE - NIFTY Index Options'!$I:$I,"Weekly*")+SUMIFS('NSE - NIFTY Index Options'!$M:$M,'NSE - NIFTY Index Options'!$C:$C,$A99,'NSE - NIFTY Index Options'!$B:$B,C$4,'NSE - NIFTY Index Options'!$I:$I,"MDAW*")+SUMIFS('NSE - Other Index Options'!$M:$M,'NSE - Other Index Options'!$C:$C,$A99,'NSE - Other Index Options'!$B:$B,C$4,'NSE - Other Index Options'!$I:$I,"Weekly*")+SUMIFS('NSE - Other Index Options'!$M:$M,'NSE - Other Index Options'!$C:$C,$A99,'NSE - Other Index Options'!$B:$B,C$4,'NSE - Other Index Options'!$I:$I,"MDAW*")+SUMIFS('BSE - SENSEX Index Options'!$M:$M,'BSE - SENSEX Index Options'!$C:$C,$A99,'BSE - SENSEX Index Options'!$B:$B,C$4,'BSE - SENSEX Index Options'!$I:$I,"Weekly*")+SUMIFS('BSE - SENSEX Index Options'!$M:$M,'BSE - SENSEX Index Options'!$C:$C,$A99,'BSE - SENSEX Index Options'!$B:$B,C$4,'BSE - SENSEX Index Options'!$I:$I,"MDAW*")+SUMIFS('BSE - Other Index Options'!$M:$M,'BSE - Other Index Options'!$C:$C,$A99,'BSE - Other Index Options'!$B:$B,C$4,'BSE - Other Index Options'!$I:$I,"Weekly*")+SUMIFS('BSE - Other Index Options'!$M:$M,'BSE - Other Index Options'!$C:$C,$A99,'BSE - Other Index Options'!$B:$B,C$4,'BSE - Other Index Options'!$I:$I,"MDAW*"))</f>
        <v/>
      </c>
      <c r="D99" s="26">
        <f>IF(SUMIFS('NSE - NIFTY Index Options'!$M:$M,'NSE - NIFTY Index Options'!$C:$C,$A99,'NSE - NIFTY Index Options'!$B:$B,D$4,'NSE - NIFTY Index Options'!$I:$I,"Weekly*")+SUMIFS('NSE - NIFTY Index Options'!$M:$M,'NSE - NIFTY Index Options'!$C:$C,$A99,'NSE - NIFTY Index Options'!$B:$B,D$4,'NSE - NIFTY Index Options'!$I:$I,"MDAW*")+SUMIFS('NSE - Other Index Options'!$M:$M,'NSE - Other Index Options'!$C:$C,$A99,'NSE - Other Index Options'!$B:$B,D$4,'NSE - Other Index Options'!$I:$I,"Weekly*")+SUMIFS('NSE - Other Index Options'!$M:$M,'NSE - Other Index Options'!$C:$C,$A99,'NSE - Other Index Options'!$B:$B,D$4,'NSE - Other Index Options'!$I:$I,"MDAW*")+SUMIFS('BSE - SENSEX Index Options'!$M:$M,'BSE - SENSEX Index Options'!$C:$C,$A99,'BSE - SENSEX Index Options'!$B:$B,D$4,'BSE - SENSEX Index Options'!$I:$I,"Weekly*")+SUMIFS('BSE - SENSEX Index Options'!$M:$M,'BSE - SENSEX Index Options'!$C:$C,$A99,'BSE - SENSEX Index Options'!$B:$B,D$4,'BSE - SENSEX Index Options'!$I:$I,"MDAW*")+SUMIFS('BSE - Other Index Options'!$M:$M,'BSE - Other Index Options'!$C:$C,$A99,'BSE - Other Index Options'!$B:$B,D$4,'BSE - Other Index Options'!$I:$I,"Weekly*")+SUMIFS('BSE - Other Index Options'!$M:$M,'BSE - Other Index Options'!$C:$C,$A99,'BSE - Other Index Options'!$B:$B,D$4,'BSE - Other Index Options'!$I:$I,"MDAW*")=0,"",SUMIFS('NSE - NIFTY Index Options'!$M:$M,'NSE - NIFTY Index Options'!$C:$C,$A99,'NSE - NIFTY Index Options'!$B:$B,D$4,'NSE - NIFTY Index Options'!$I:$I,"Weekly*")+SUMIFS('NSE - NIFTY Index Options'!$M:$M,'NSE - NIFTY Index Options'!$C:$C,$A99,'NSE - NIFTY Index Options'!$B:$B,D$4,'NSE - NIFTY Index Options'!$I:$I,"MDAW*")+SUMIFS('NSE - Other Index Options'!$M:$M,'NSE - Other Index Options'!$C:$C,$A99,'NSE - Other Index Options'!$B:$B,D$4,'NSE - Other Index Options'!$I:$I,"Weekly*")+SUMIFS('NSE - Other Index Options'!$M:$M,'NSE - Other Index Options'!$C:$C,$A99,'NSE - Other Index Options'!$B:$B,D$4,'NSE - Other Index Options'!$I:$I,"MDAW*")+SUMIFS('BSE - SENSEX Index Options'!$M:$M,'BSE - SENSEX Index Options'!$C:$C,$A99,'BSE - SENSEX Index Options'!$B:$B,D$4,'BSE - SENSEX Index Options'!$I:$I,"Weekly*")+SUMIFS('BSE - SENSEX Index Options'!$M:$M,'BSE - SENSEX Index Options'!$C:$C,$A99,'BSE - SENSEX Index Options'!$B:$B,D$4,'BSE - SENSEX Index Options'!$I:$I,"MDAW*")+SUMIFS('BSE - Other Index Options'!$M:$M,'BSE - Other Index Options'!$C:$C,$A99,'BSE - Other Index Options'!$B:$B,D$4,'BSE - Other Index Options'!$I:$I,"Weekly*")+SUMIFS('BSE - Other Index Options'!$M:$M,'BSE - Other Index Options'!$C:$C,$A99,'BSE - Other Index Options'!$B:$B,D$4,'BSE - Other Index Options'!$I:$I,"MDAW*"))</f>
        <v/>
      </c>
      <c r="E99" s="26">
        <f>IF(SUMIFS('NSE - NIFTY Index Options'!$M:$M,'NSE - NIFTY Index Options'!$C:$C,$A99,'NSE - NIFTY Index Options'!$B:$B,E$4,'NSE - NIFTY Index Options'!$I:$I,"Weekly*")+SUMIFS('NSE - NIFTY Index Options'!$M:$M,'NSE - NIFTY Index Options'!$C:$C,$A99,'NSE - NIFTY Index Options'!$B:$B,E$4,'NSE - NIFTY Index Options'!$I:$I,"MDAW*")+SUMIFS('NSE - Other Index Options'!$M:$M,'NSE - Other Index Options'!$C:$C,$A99,'NSE - Other Index Options'!$B:$B,E$4,'NSE - Other Index Options'!$I:$I,"Weekly*")+SUMIFS('NSE - Other Index Options'!$M:$M,'NSE - Other Index Options'!$C:$C,$A99,'NSE - Other Index Options'!$B:$B,E$4,'NSE - Other Index Options'!$I:$I,"MDAW*")+SUMIFS('BSE - SENSEX Index Options'!$M:$M,'BSE - SENSEX Index Options'!$C:$C,$A99,'BSE - SENSEX Index Options'!$B:$B,E$4,'BSE - SENSEX Index Options'!$I:$I,"Weekly*")+SUMIFS('BSE - SENSEX Index Options'!$M:$M,'BSE - SENSEX Index Options'!$C:$C,$A99,'BSE - SENSEX Index Options'!$B:$B,E$4,'BSE - SENSEX Index Options'!$I:$I,"MDAW*")+SUMIFS('BSE - Other Index Options'!$M:$M,'BSE - Other Index Options'!$C:$C,$A99,'BSE - Other Index Options'!$B:$B,E$4,'BSE - Other Index Options'!$I:$I,"Weekly*")+SUMIFS('BSE - Other Index Options'!$M:$M,'BSE - Other Index Options'!$C:$C,$A99,'BSE - Other Index Options'!$B:$B,E$4,'BSE - Other Index Options'!$I:$I,"MDAW*")=0,"",SUMIFS('NSE - NIFTY Index Options'!$M:$M,'NSE - NIFTY Index Options'!$C:$C,$A99,'NSE - NIFTY Index Options'!$B:$B,E$4,'NSE - NIFTY Index Options'!$I:$I,"Weekly*")+SUMIFS('NSE - NIFTY Index Options'!$M:$M,'NSE - NIFTY Index Options'!$C:$C,$A99,'NSE - NIFTY Index Options'!$B:$B,E$4,'NSE - NIFTY Index Options'!$I:$I,"MDAW*")+SUMIFS('NSE - Other Index Options'!$M:$M,'NSE - Other Index Options'!$C:$C,$A99,'NSE - Other Index Options'!$B:$B,E$4,'NSE - Other Index Options'!$I:$I,"Weekly*")+SUMIFS('NSE - Other Index Options'!$M:$M,'NSE - Other Index Options'!$C:$C,$A99,'NSE - Other Index Options'!$B:$B,E$4,'NSE - Other Index Options'!$I:$I,"MDAW*")+SUMIFS('BSE - SENSEX Index Options'!$M:$M,'BSE - SENSEX Index Options'!$C:$C,$A99,'BSE - SENSEX Index Options'!$B:$B,E$4,'BSE - SENSEX Index Options'!$I:$I,"Weekly*")+SUMIFS('BSE - SENSEX Index Options'!$M:$M,'BSE - SENSEX Index Options'!$C:$C,$A99,'BSE - SENSEX Index Options'!$B:$B,E$4,'BSE - SENSEX Index Options'!$I:$I,"MDAW*")+SUMIFS('BSE - Other Index Options'!$M:$M,'BSE - Other Index Options'!$C:$C,$A99,'BSE - Other Index Options'!$B:$B,E$4,'BSE - Other Index Options'!$I:$I,"Weekly*")+SUMIFS('BSE - Other Index Options'!$M:$M,'BSE - Other Index Options'!$C:$C,$A99,'BSE - Other Index Options'!$B:$B,E$4,'BSE - Other Index Options'!$I:$I,"MDAW*"))</f>
        <v/>
      </c>
      <c r="F99" s="26">
        <f>IF(SUMIFS('NSE - NIFTY Index Options'!$M:$M,'NSE - NIFTY Index Options'!$C:$C,$A99,'NSE - NIFTY Index Options'!$B:$B,F$4,'NSE - NIFTY Index Options'!$I:$I,"Weekly*")+SUMIFS('NSE - NIFTY Index Options'!$M:$M,'NSE - NIFTY Index Options'!$C:$C,$A99,'NSE - NIFTY Index Options'!$B:$B,F$4,'NSE - NIFTY Index Options'!$I:$I,"MDAW*")+SUMIFS('NSE - Other Index Options'!$M:$M,'NSE - Other Index Options'!$C:$C,$A99,'NSE - Other Index Options'!$B:$B,F$4,'NSE - Other Index Options'!$I:$I,"Weekly*")+SUMIFS('NSE - Other Index Options'!$M:$M,'NSE - Other Index Options'!$C:$C,$A99,'NSE - Other Index Options'!$B:$B,F$4,'NSE - Other Index Options'!$I:$I,"MDAW*")+SUMIFS('BSE - SENSEX Index Options'!$M:$M,'BSE - SENSEX Index Options'!$C:$C,$A99,'BSE - SENSEX Index Options'!$B:$B,F$4,'BSE - SENSEX Index Options'!$I:$I,"Weekly*")+SUMIFS('BSE - SENSEX Index Options'!$M:$M,'BSE - SENSEX Index Options'!$C:$C,$A99,'BSE - SENSEX Index Options'!$B:$B,F$4,'BSE - SENSEX Index Options'!$I:$I,"MDAW*")+SUMIFS('BSE - Other Index Options'!$M:$M,'BSE - Other Index Options'!$C:$C,$A99,'BSE - Other Index Options'!$B:$B,F$4,'BSE - Other Index Options'!$I:$I,"Weekly*")+SUMIFS('BSE - Other Index Options'!$M:$M,'BSE - Other Index Options'!$C:$C,$A99,'BSE - Other Index Options'!$B:$B,F$4,'BSE - Other Index Options'!$I:$I,"MDAW*")=0,"",SUMIFS('NSE - NIFTY Index Options'!$M:$M,'NSE - NIFTY Index Options'!$C:$C,$A99,'NSE - NIFTY Index Options'!$B:$B,F$4,'NSE - NIFTY Index Options'!$I:$I,"Weekly*")+SUMIFS('NSE - NIFTY Index Options'!$M:$M,'NSE - NIFTY Index Options'!$C:$C,$A99,'NSE - NIFTY Index Options'!$B:$B,F$4,'NSE - NIFTY Index Options'!$I:$I,"MDAW*")+SUMIFS('NSE - Other Index Options'!$M:$M,'NSE - Other Index Options'!$C:$C,$A99,'NSE - Other Index Options'!$B:$B,F$4,'NSE - Other Index Options'!$I:$I,"Weekly*")+SUMIFS('NSE - Other Index Options'!$M:$M,'NSE - Other Index Options'!$C:$C,$A99,'NSE - Other Index Options'!$B:$B,F$4,'NSE - Other Index Options'!$I:$I,"MDAW*")+SUMIFS('BSE - SENSEX Index Options'!$M:$M,'BSE - SENSEX Index Options'!$C:$C,$A99,'BSE - SENSEX Index Options'!$B:$B,F$4,'BSE - SENSEX Index Options'!$I:$I,"Weekly*")+SUMIFS('BSE - SENSEX Index Options'!$M:$M,'BSE - SENSEX Index Options'!$C:$C,$A99,'BSE - SENSEX Index Options'!$B:$B,F$4,'BSE - SENSEX Index Options'!$I:$I,"MDAW*")+SUMIFS('BSE - Other Index Options'!$M:$M,'BSE - Other Index Options'!$C:$C,$A99,'BSE - Other Index Options'!$B:$B,F$4,'BSE - Other Index Options'!$I:$I,"Weekly*")+SUMIFS('BSE - Other Index Options'!$M:$M,'BSE - Other Index Options'!$C:$C,$A99,'BSE - Other Index Options'!$B:$B,F$4,'BSE - Other Index Options'!$I:$I,"MDAW*"))</f>
        <v/>
      </c>
      <c r="G99" s="26">
        <f>IF(SUMIFS('NSE - NIFTY Index Options'!$M:$M,'NSE - NIFTY Index Options'!$C:$C,$A99,'NSE - NIFTY Index Options'!$B:$B,G$4,'NSE - NIFTY Index Options'!$I:$I,"Weekly*")+SUMIFS('NSE - NIFTY Index Options'!$M:$M,'NSE - NIFTY Index Options'!$C:$C,$A99,'NSE - NIFTY Index Options'!$B:$B,G$4,'NSE - NIFTY Index Options'!$I:$I,"MDAW*")+SUMIFS('NSE - Other Index Options'!$M:$M,'NSE - Other Index Options'!$C:$C,$A99,'NSE - Other Index Options'!$B:$B,G$4,'NSE - Other Index Options'!$I:$I,"Weekly*")+SUMIFS('NSE - Other Index Options'!$M:$M,'NSE - Other Index Options'!$C:$C,$A99,'NSE - Other Index Options'!$B:$B,G$4,'NSE - Other Index Options'!$I:$I,"MDAW*")+SUMIFS('BSE - SENSEX Index Options'!$M:$M,'BSE - SENSEX Index Options'!$C:$C,$A99,'BSE - SENSEX Index Options'!$B:$B,G$4,'BSE - SENSEX Index Options'!$I:$I,"Weekly*")+SUMIFS('BSE - SENSEX Index Options'!$M:$M,'BSE - SENSEX Index Options'!$C:$C,$A99,'BSE - SENSEX Index Options'!$B:$B,G$4,'BSE - SENSEX Index Options'!$I:$I,"MDAW*")+SUMIFS('BSE - Other Index Options'!$M:$M,'BSE - Other Index Options'!$C:$C,$A99,'BSE - Other Index Options'!$B:$B,G$4,'BSE - Other Index Options'!$I:$I,"Weekly*")+SUMIFS('BSE - Other Index Options'!$M:$M,'BSE - Other Index Options'!$C:$C,$A99,'BSE - Other Index Options'!$B:$B,G$4,'BSE - Other Index Options'!$I:$I,"MDAW*")=0,"",SUMIFS('NSE - NIFTY Index Options'!$M:$M,'NSE - NIFTY Index Options'!$C:$C,$A99,'NSE - NIFTY Index Options'!$B:$B,G$4,'NSE - NIFTY Index Options'!$I:$I,"Weekly*")+SUMIFS('NSE - NIFTY Index Options'!$M:$M,'NSE - NIFTY Index Options'!$C:$C,$A99,'NSE - NIFTY Index Options'!$B:$B,G$4,'NSE - NIFTY Index Options'!$I:$I,"MDAW*")+SUMIFS('NSE - Other Index Options'!$M:$M,'NSE - Other Index Options'!$C:$C,$A99,'NSE - Other Index Options'!$B:$B,G$4,'NSE - Other Index Options'!$I:$I,"Weekly*")+SUMIFS('NSE - Other Index Options'!$M:$M,'NSE - Other Index Options'!$C:$C,$A99,'NSE - Other Index Options'!$B:$B,G$4,'NSE - Other Index Options'!$I:$I,"MDAW*")+SUMIFS('BSE - SENSEX Index Options'!$M:$M,'BSE - SENSEX Index Options'!$C:$C,$A99,'BSE - SENSEX Index Options'!$B:$B,G$4,'BSE - SENSEX Index Options'!$I:$I,"Weekly*")+SUMIFS('BSE - SENSEX Index Options'!$M:$M,'BSE - SENSEX Index Options'!$C:$C,$A99,'BSE - SENSEX Index Options'!$B:$B,G$4,'BSE - SENSEX Index Options'!$I:$I,"MDAW*")+SUMIFS('BSE - Other Index Options'!$M:$M,'BSE - Other Index Options'!$C:$C,$A99,'BSE - Other Index Options'!$B:$B,G$4,'BSE - Other Index Options'!$I:$I,"Weekly*")+SUMIFS('BSE - Other Index Options'!$M:$M,'BSE - Other Index Options'!$C:$C,$A99,'BSE - Other Index Options'!$B:$B,G$4,'BSE - Other Index Options'!$I:$I,"MDAW*"))</f>
        <v/>
      </c>
      <c r="H99" s="26">
        <f>IF(SUM(B99:G99)=0,"",SUM(B99:G99))</f>
        <v/>
      </c>
    </row>
    <row r="100" hidden="1" outlineLevel="1">
      <c r="A100" t="inlineStr">
        <is>
          <t>Week3-Apr-2027</t>
        </is>
      </c>
      <c r="B100" s="26">
        <f>IF(SUMIFS('NSE - NIFTY Index Options'!$M:$M,'NSE - NIFTY Index Options'!$C:$C,$A100,'NSE - NIFTY Index Options'!$B:$B,B$4,'NSE - NIFTY Index Options'!$I:$I,"Weekly*")+SUMIFS('NSE - NIFTY Index Options'!$M:$M,'NSE - NIFTY Index Options'!$C:$C,$A100,'NSE - NIFTY Index Options'!$B:$B,B$4,'NSE - NIFTY Index Options'!$I:$I,"MDAW*")+SUMIFS('NSE - Other Index Options'!$M:$M,'NSE - Other Index Options'!$C:$C,$A100,'NSE - Other Index Options'!$B:$B,B$4,'NSE - Other Index Options'!$I:$I,"Weekly*")+SUMIFS('NSE - Other Index Options'!$M:$M,'NSE - Other Index Options'!$C:$C,$A100,'NSE - Other Index Options'!$B:$B,B$4,'NSE - Other Index Options'!$I:$I,"MDAW*")+SUMIFS('BSE - SENSEX Index Options'!$M:$M,'BSE - SENSEX Index Options'!$C:$C,$A100,'BSE - SENSEX Index Options'!$B:$B,B$4,'BSE - SENSEX Index Options'!$I:$I,"Weekly*")+SUMIFS('BSE - SENSEX Index Options'!$M:$M,'BSE - SENSEX Index Options'!$C:$C,$A100,'BSE - SENSEX Index Options'!$B:$B,B$4,'BSE - SENSEX Index Options'!$I:$I,"MDAW*")+SUMIFS('BSE - Other Index Options'!$M:$M,'BSE - Other Index Options'!$C:$C,$A100,'BSE - Other Index Options'!$B:$B,B$4,'BSE - Other Index Options'!$I:$I,"Weekly*")+SUMIFS('BSE - Other Index Options'!$M:$M,'BSE - Other Index Options'!$C:$C,$A100,'BSE - Other Index Options'!$B:$B,B$4,'BSE - Other Index Options'!$I:$I,"MDAW*")=0,"",SUMIFS('NSE - NIFTY Index Options'!$M:$M,'NSE - NIFTY Index Options'!$C:$C,$A100,'NSE - NIFTY Index Options'!$B:$B,B$4,'NSE - NIFTY Index Options'!$I:$I,"Weekly*")+SUMIFS('NSE - NIFTY Index Options'!$M:$M,'NSE - NIFTY Index Options'!$C:$C,$A100,'NSE - NIFTY Index Options'!$B:$B,B$4,'NSE - NIFTY Index Options'!$I:$I,"MDAW*")+SUMIFS('NSE - Other Index Options'!$M:$M,'NSE - Other Index Options'!$C:$C,$A100,'NSE - Other Index Options'!$B:$B,B$4,'NSE - Other Index Options'!$I:$I,"Weekly*")+SUMIFS('NSE - Other Index Options'!$M:$M,'NSE - Other Index Options'!$C:$C,$A100,'NSE - Other Index Options'!$B:$B,B$4,'NSE - Other Index Options'!$I:$I,"MDAW*")+SUMIFS('BSE - SENSEX Index Options'!$M:$M,'BSE - SENSEX Index Options'!$C:$C,$A100,'BSE - SENSEX Index Options'!$B:$B,B$4,'BSE - SENSEX Index Options'!$I:$I,"Weekly*")+SUMIFS('BSE - SENSEX Index Options'!$M:$M,'BSE - SENSEX Index Options'!$C:$C,$A100,'BSE - SENSEX Index Options'!$B:$B,B$4,'BSE - SENSEX Index Options'!$I:$I,"MDAW*")+SUMIFS('BSE - Other Index Options'!$M:$M,'BSE - Other Index Options'!$C:$C,$A100,'BSE - Other Index Options'!$B:$B,B$4,'BSE - Other Index Options'!$I:$I,"Weekly*")+SUMIFS('BSE - Other Index Options'!$M:$M,'BSE - Other Index Options'!$C:$C,$A100,'BSE - Other Index Options'!$B:$B,B$4,'BSE - Other Index Options'!$I:$I,"MDAW*"))</f>
        <v/>
      </c>
      <c r="C100" s="26">
        <f>IF(SUMIFS('NSE - NIFTY Index Options'!$M:$M,'NSE - NIFTY Index Options'!$C:$C,$A100,'NSE - NIFTY Index Options'!$B:$B,C$4,'NSE - NIFTY Index Options'!$I:$I,"Weekly*")+SUMIFS('NSE - NIFTY Index Options'!$M:$M,'NSE - NIFTY Index Options'!$C:$C,$A100,'NSE - NIFTY Index Options'!$B:$B,C$4,'NSE - NIFTY Index Options'!$I:$I,"MDAW*")+SUMIFS('NSE - Other Index Options'!$M:$M,'NSE - Other Index Options'!$C:$C,$A100,'NSE - Other Index Options'!$B:$B,C$4,'NSE - Other Index Options'!$I:$I,"Weekly*")+SUMIFS('NSE - Other Index Options'!$M:$M,'NSE - Other Index Options'!$C:$C,$A100,'NSE - Other Index Options'!$B:$B,C$4,'NSE - Other Index Options'!$I:$I,"MDAW*")+SUMIFS('BSE - SENSEX Index Options'!$M:$M,'BSE - SENSEX Index Options'!$C:$C,$A100,'BSE - SENSEX Index Options'!$B:$B,C$4,'BSE - SENSEX Index Options'!$I:$I,"Weekly*")+SUMIFS('BSE - SENSEX Index Options'!$M:$M,'BSE - SENSEX Index Options'!$C:$C,$A100,'BSE - SENSEX Index Options'!$B:$B,C$4,'BSE - SENSEX Index Options'!$I:$I,"MDAW*")+SUMIFS('BSE - Other Index Options'!$M:$M,'BSE - Other Index Options'!$C:$C,$A100,'BSE - Other Index Options'!$B:$B,C$4,'BSE - Other Index Options'!$I:$I,"Weekly*")+SUMIFS('BSE - Other Index Options'!$M:$M,'BSE - Other Index Options'!$C:$C,$A100,'BSE - Other Index Options'!$B:$B,C$4,'BSE - Other Index Options'!$I:$I,"MDAW*")=0,"",SUMIFS('NSE - NIFTY Index Options'!$M:$M,'NSE - NIFTY Index Options'!$C:$C,$A100,'NSE - NIFTY Index Options'!$B:$B,C$4,'NSE - NIFTY Index Options'!$I:$I,"Weekly*")+SUMIFS('NSE - NIFTY Index Options'!$M:$M,'NSE - NIFTY Index Options'!$C:$C,$A100,'NSE - NIFTY Index Options'!$B:$B,C$4,'NSE - NIFTY Index Options'!$I:$I,"MDAW*")+SUMIFS('NSE - Other Index Options'!$M:$M,'NSE - Other Index Options'!$C:$C,$A100,'NSE - Other Index Options'!$B:$B,C$4,'NSE - Other Index Options'!$I:$I,"Weekly*")+SUMIFS('NSE - Other Index Options'!$M:$M,'NSE - Other Index Options'!$C:$C,$A100,'NSE - Other Index Options'!$B:$B,C$4,'NSE - Other Index Options'!$I:$I,"MDAW*")+SUMIFS('BSE - SENSEX Index Options'!$M:$M,'BSE - SENSEX Index Options'!$C:$C,$A100,'BSE - SENSEX Index Options'!$B:$B,C$4,'BSE - SENSEX Index Options'!$I:$I,"Weekly*")+SUMIFS('BSE - SENSEX Index Options'!$M:$M,'BSE - SENSEX Index Options'!$C:$C,$A100,'BSE - SENSEX Index Options'!$B:$B,C$4,'BSE - SENSEX Index Options'!$I:$I,"MDAW*")+SUMIFS('BSE - Other Index Options'!$M:$M,'BSE - Other Index Options'!$C:$C,$A100,'BSE - Other Index Options'!$B:$B,C$4,'BSE - Other Index Options'!$I:$I,"Weekly*")+SUMIFS('BSE - Other Index Options'!$M:$M,'BSE - Other Index Options'!$C:$C,$A100,'BSE - Other Index Options'!$B:$B,C$4,'BSE - Other Index Options'!$I:$I,"MDAW*"))</f>
        <v/>
      </c>
      <c r="D100" s="26">
        <f>IF(SUMIFS('NSE - NIFTY Index Options'!$M:$M,'NSE - NIFTY Index Options'!$C:$C,$A100,'NSE - NIFTY Index Options'!$B:$B,D$4,'NSE - NIFTY Index Options'!$I:$I,"Weekly*")+SUMIFS('NSE - NIFTY Index Options'!$M:$M,'NSE - NIFTY Index Options'!$C:$C,$A100,'NSE - NIFTY Index Options'!$B:$B,D$4,'NSE - NIFTY Index Options'!$I:$I,"MDAW*")+SUMIFS('NSE - Other Index Options'!$M:$M,'NSE - Other Index Options'!$C:$C,$A100,'NSE - Other Index Options'!$B:$B,D$4,'NSE - Other Index Options'!$I:$I,"Weekly*")+SUMIFS('NSE - Other Index Options'!$M:$M,'NSE - Other Index Options'!$C:$C,$A100,'NSE - Other Index Options'!$B:$B,D$4,'NSE - Other Index Options'!$I:$I,"MDAW*")+SUMIFS('BSE - SENSEX Index Options'!$M:$M,'BSE - SENSEX Index Options'!$C:$C,$A100,'BSE - SENSEX Index Options'!$B:$B,D$4,'BSE - SENSEX Index Options'!$I:$I,"Weekly*")+SUMIFS('BSE - SENSEX Index Options'!$M:$M,'BSE - SENSEX Index Options'!$C:$C,$A100,'BSE - SENSEX Index Options'!$B:$B,D$4,'BSE - SENSEX Index Options'!$I:$I,"MDAW*")+SUMIFS('BSE - Other Index Options'!$M:$M,'BSE - Other Index Options'!$C:$C,$A100,'BSE - Other Index Options'!$B:$B,D$4,'BSE - Other Index Options'!$I:$I,"Weekly*")+SUMIFS('BSE - Other Index Options'!$M:$M,'BSE - Other Index Options'!$C:$C,$A100,'BSE - Other Index Options'!$B:$B,D$4,'BSE - Other Index Options'!$I:$I,"MDAW*")=0,"",SUMIFS('NSE - NIFTY Index Options'!$M:$M,'NSE - NIFTY Index Options'!$C:$C,$A100,'NSE - NIFTY Index Options'!$B:$B,D$4,'NSE - NIFTY Index Options'!$I:$I,"Weekly*")+SUMIFS('NSE - NIFTY Index Options'!$M:$M,'NSE - NIFTY Index Options'!$C:$C,$A100,'NSE - NIFTY Index Options'!$B:$B,D$4,'NSE - NIFTY Index Options'!$I:$I,"MDAW*")+SUMIFS('NSE - Other Index Options'!$M:$M,'NSE - Other Index Options'!$C:$C,$A100,'NSE - Other Index Options'!$B:$B,D$4,'NSE - Other Index Options'!$I:$I,"Weekly*")+SUMIFS('NSE - Other Index Options'!$M:$M,'NSE - Other Index Options'!$C:$C,$A100,'NSE - Other Index Options'!$B:$B,D$4,'NSE - Other Index Options'!$I:$I,"MDAW*")+SUMIFS('BSE - SENSEX Index Options'!$M:$M,'BSE - SENSEX Index Options'!$C:$C,$A100,'BSE - SENSEX Index Options'!$B:$B,D$4,'BSE - SENSEX Index Options'!$I:$I,"Weekly*")+SUMIFS('BSE - SENSEX Index Options'!$M:$M,'BSE - SENSEX Index Options'!$C:$C,$A100,'BSE - SENSEX Index Options'!$B:$B,D$4,'BSE - SENSEX Index Options'!$I:$I,"MDAW*")+SUMIFS('BSE - Other Index Options'!$M:$M,'BSE - Other Index Options'!$C:$C,$A100,'BSE - Other Index Options'!$B:$B,D$4,'BSE - Other Index Options'!$I:$I,"Weekly*")+SUMIFS('BSE - Other Index Options'!$M:$M,'BSE - Other Index Options'!$C:$C,$A100,'BSE - Other Index Options'!$B:$B,D$4,'BSE - Other Index Options'!$I:$I,"MDAW*"))</f>
        <v/>
      </c>
      <c r="E100" s="26">
        <f>IF(SUMIFS('NSE - NIFTY Index Options'!$M:$M,'NSE - NIFTY Index Options'!$C:$C,$A100,'NSE - NIFTY Index Options'!$B:$B,E$4,'NSE - NIFTY Index Options'!$I:$I,"Weekly*")+SUMIFS('NSE - NIFTY Index Options'!$M:$M,'NSE - NIFTY Index Options'!$C:$C,$A100,'NSE - NIFTY Index Options'!$B:$B,E$4,'NSE - NIFTY Index Options'!$I:$I,"MDAW*")+SUMIFS('NSE - Other Index Options'!$M:$M,'NSE - Other Index Options'!$C:$C,$A100,'NSE - Other Index Options'!$B:$B,E$4,'NSE - Other Index Options'!$I:$I,"Weekly*")+SUMIFS('NSE - Other Index Options'!$M:$M,'NSE - Other Index Options'!$C:$C,$A100,'NSE - Other Index Options'!$B:$B,E$4,'NSE - Other Index Options'!$I:$I,"MDAW*")+SUMIFS('BSE - SENSEX Index Options'!$M:$M,'BSE - SENSEX Index Options'!$C:$C,$A100,'BSE - SENSEX Index Options'!$B:$B,E$4,'BSE - SENSEX Index Options'!$I:$I,"Weekly*")+SUMIFS('BSE - SENSEX Index Options'!$M:$M,'BSE - SENSEX Index Options'!$C:$C,$A100,'BSE - SENSEX Index Options'!$B:$B,E$4,'BSE - SENSEX Index Options'!$I:$I,"MDAW*")+SUMIFS('BSE - Other Index Options'!$M:$M,'BSE - Other Index Options'!$C:$C,$A100,'BSE - Other Index Options'!$B:$B,E$4,'BSE - Other Index Options'!$I:$I,"Weekly*")+SUMIFS('BSE - Other Index Options'!$M:$M,'BSE - Other Index Options'!$C:$C,$A100,'BSE - Other Index Options'!$B:$B,E$4,'BSE - Other Index Options'!$I:$I,"MDAW*")=0,"",SUMIFS('NSE - NIFTY Index Options'!$M:$M,'NSE - NIFTY Index Options'!$C:$C,$A100,'NSE - NIFTY Index Options'!$B:$B,E$4,'NSE - NIFTY Index Options'!$I:$I,"Weekly*")+SUMIFS('NSE - NIFTY Index Options'!$M:$M,'NSE - NIFTY Index Options'!$C:$C,$A100,'NSE - NIFTY Index Options'!$B:$B,E$4,'NSE - NIFTY Index Options'!$I:$I,"MDAW*")+SUMIFS('NSE - Other Index Options'!$M:$M,'NSE - Other Index Options'!$C:$C,$A100,'NSE - Other Index Options'!$B:$B,E$4,'NSE - Other Index Options'!$I:$I,"Weekly*")+SUMIFS('NSE - Other Index Options'!$M:$M,'NSE - Other Index Options'!$C:$C,$A100,'NSE - Other Index Options'!$B:$B,E$4,'NSE - Other Index Options'!$I:$I,"MDAW*")+SUMIFS('BSE - SENSEX Index Options'!$M:$M,'BSE - SENSEX Index Options'!$C:$C,$A100,'BSE - SENSEX Index Options'!$B:$B,E$4,'BSE - SENSEX Index Options'!$I:$I,"Weekly*")+SUMIFS('BSE - SENSEX Index Options'!$M:$M,'BSE - SENSEX Index Options'!$C:$C,$A100,'BSE - SENSEX Index Options'!$B:$B,E$4,'BSE - SENSEX Index Options'!$I:$I,"MDAW*")+SUMIFS('BSE - Other Index Options'!$M:$M,'BSE - Other Index Options'!$C:$C,$A100,'BSE - Other Index Options'!$B:$B,E$4,'BSE - Other Index Options'!$I:$I,"Weekly*")+SUMIFS('BSE - Other Index Options'!$M:$M,'BSE - Other Index Options'!$C:$C,$A100,'BSE - Other Index Options'!$B:$B,E$4,'BSE - Other Index Options'!$I:$I,"MDAW*"))</f>
        <v/>
      </c>
      <c r="F100" s="26">
        <f>IF(SUMIFS('NSE - NIFTY Index Options'!$M:$M,'NSE - NIFTY Index Options'!$C:$C,$A100,'NSE - NIFTY Index Options'!$B:$B,F$4,'NSE - NIFTY Index Options'!$I:$I,"Weekly*")+SUMIFS('NSE - NIFTY Index Options'!$M:$M,'NSE - NIFTY Index Options'!$C:$C,$A100,'NSE - NIFTY Index Options'!$B:$B,F$4,'NSE - NIFTY Index Options'!$I:$I,"MDAW*")+SUMIFS('NSE - Other Index Options'!$M:$M,'NSE - Other Index Options'!$C:$C,$A100,'NSE - Other Index Options'!$B:$B,F$4,'NSE - Other Index Options'!$I:$I,"Weekly*")+SUMIFS('NSE - Other Index Options'!$M:$M,'NSE - Other Index Options'!$C:$C,$A100,'NSE - Other Index Options'!$B:$B,F$4,'NSE - Other Index Options'!$I:$I,"MDAW*")+SUMIFS('BSE - SENSEX Index Options'!$M:$M,'BSE - SENSEX Index Options'!$C:$C,$A100,'BSE - SENSEX Index Options'!$B:$B,F$4,'BSE - SENSEX Index Options'!$I:$I,"Weekly*")+SUMIFS('BSE - SENSEX Index Options'!$M:$M,'BSE - SENSEX Index Options'!$C:$C,$A100,'BSE - SENSEX Index Options'!$B:$B,F$4,'BSE - SENSEX Index Options'!$I:$I,"MDAW*")+SUMIFS('BSE - Other Index Options'!$M:$M,'BSE - Other Index Options'!$C:$C,$A100,'BSE - Other Index Options'!$B:$B,F$4,'BSE - Other Index Options'!$I:$I,"Weekly*")+SUMIFS('BSE - Other Index Options'!$M:$M,'BSE - Other Index Options'!$C:$C,$A100,'BSE - Other Index Options'!$B:$B,F$4,'BSE - Other Index Options'!$I:$I,"MDAW*")=0,"",SUMIFS('NSE - NIFTY Index Options'!$M:$M,'NSE - NIFTY Index Options'!$C:$C,$A100,'NSE - NIFTY Index Options'!$B:$B,F$4,'NSE - NIFTY Index Options'!$I:$I,"Weekly*")+SUMIFS('NSE - NIFTY Index Options'!$M:$M,'NSE - NIFTY Index Options'!$C:$C,$A100,'NSE - NIFTY Index Options'!$B:$B,F$4,'NSE - NIFTY Index Options'!$I:$I,"MDAW*")+SUMIFS('NSE - Other Index Options'!$M:$M,'NSE - Other Index Options'!$C:$C,$A100,'NSE - Other Index Options'!$B:$B,F$4,'NSE - Other Index Options'!$I:$I,"Weekly*")+SUMIFS('NSE - Other Index Options'!$M:$M,'NSE - Other Index Options'!$C:$C,$A100,'NSE - Other Index Options'!$B:$B,F$4,'NSE - Other Index Options'!$I:$I,"MDAW*")+SUMIFS('BSE - SENSEX Index Options'!$M:$M,'BSE - SENSEX Index Options'!$C:$C,$A100,'BSE - SENSEX Index Options'!$B:$B,F$4,'BSE - SENSEX Index Options'!$I:$I,"Weekly*")+SUMIFS('BSE - SENSEX Index Options'!$M:$M,'BSE - SENSEX Index Options'!$C:$C,$A100,'BSE - SENSEX Index Options'!$B:$B,F$4,'BSE - SENSEX Index Options'!$I:$I,"MDAW*")+SUMIFS('BSE - Other Index Options'!$M:$M,'BSE - Other Index Options'!$C:$C,$A100,'BSE - Other Index Options'!$B:$B,F$4,'BSE - Other Index Options'!$I:$I,"Weekly*")+SUMIFS('BSE - Other Index Options'!$M:$M,'BSE - Other Index Options'!$C:$C,$A100,'BSE - Other Index Options'!$B:$B,F$4,'BSE - Other Index Options'!$I:$I,"MDAW*"))</f>
        <v/>
      </c>
      <c r="G100" s="26">
        <f>IF(SUMIFS('NSE - NIFTY Index Options'!$M:$M,'NSE - NIFTY Index Options'!$C:$C,$A100,'NSE - NIFTY Index Options'!$B:$B,G$4,'NSE - NIFTY Index Options'!$I:$I,"Weekly*")+SUMIFS('NSE - NIFTY Index Options'!$M:$M,'NSE - NIFTY Index Options'!$C:$C,$A100,'NSE - NIFTY Index Options'!$B:$B,G$4,'NSE - NIFTY Index Options'!$I:$I,"MDAW*")+SUMIFS('NSE - Other Index Options'!$M:$M,'NSE - Other Index Options'!$C:$C,$A100,'NSE - Other Index Options'!$B:$B,G$4,'NSE - Other Index Options'!$I:$I,"Weekly*")+SUMIFS('NSE - Other Index Options'!$M:$M,'NSE - Other Index Options'!$C:$C,$A100,'NSE - Other Index Options'!$B:$B,G$4,'NSE - Other Index Options'!$I:$I,"MDAW*")+SUMIFS('BSE - SENSEX Index Options'!$M:$M,'BSE - SENSEX Index Options'!$C:$C,$A100,'BSE - SENSEX Index Options'!$B:$B,G$4,'BSE - SENSEX Index Options'!$I:$I,"Weekly*")+SUMIFS('BSE - SENSEX Index Options'!$M:$M,'BSE - SENSEX Index Options'!$C:$C,$A100,'BSE - SENSEX Index Options'!$B:$B,G$4,'BSE - SENSEX Index Options'!$I:$I,"MDAW*")+SUMIFS('BSE - Other Index Options'!$M:$M,'BSE - Other Index Options'!$C:$C,$A100,'BSE - Other Index Options'!$B:$B,G$4,'BSE - Other Index Options'!$I:$I,"Weekly*")+SUMIFS('BSE - Other Index Options'!$M:$M,'BSE - Other Index Options'!$C:$C,$A100,'BSE - Other Index Options'!$B:$B,G$4,'BSE - Other Index Options'!$I:$I,"MDAW*")=0,"",SUMIFS('NSE - NIFTY Index Options'!$M:$M,'NSE - NIFTY Index Options'!$C:$C,$A100,'NSE - NIFTY Index Options'!$B:$B,G$4,'NSE - NIFTY Index Options'!$I:$I,"Weekly*")+SUMIFS('NSE - NIFTY Index Options'!$M:$M,'NSE - NIFTY Index Options'!$C:$C,$A100,'NSE - NIFTY Index Options'!$B:$B,G$4,'NSE - NIFTY Index Options'!$I:$I,"MDAW*")+SUMIFS('NSE - Other Index Options'!$M:$M,'NSE - Other Index Options'!$C:$C,$A100,'NSE - Other Index Options'!$B:$B,G$4,'NSE - Other Index Options'!$I:$I,"Weekly*")+SUMIFS('NSE - Other Index Options'!$M:$M,'NSE - Other Index Options'!$C:$C,$A100,'NSE - Other Index Options'!$B:$B,G$4,'NSE - Other Index Options'!$I:$I,"MDAW*")+SUMIFS('BSE - SENSEX Index Options'!$M:$M,'BSE - SENSEX Index Options'!$C:$C,$A100,'BSE - SENSEX Index Options'!$B:$B,G$4,'BSE - SENSEX Index Options'!$I:$I,"Weekly*")+SUMIFS('BSE - SENSEX Index Options'!$M:$M,'BSE - SENSEX Index Options'!$C:$C,$A100,'BSE - SENSEX Index Options'!$B:$B,G$4,'BSE - SENSEX Index Options'!$I:$I,"MDAW*")+SUMIFS('BSE - Other Index Options'!$M:$M,'BSE - Other Index Options'!$C:$C,$A100,'BSE - Other Index Options'!$B:$B,G$4,'BSE - Other Index Options'!$I:$I,"Weekly*")+SUMIFS('BSE - Other Index Options'!$M:$M,'BSE - Other Index Options'!$C:$C,$A100,'BSE - Other Index Options'!$B:$B,G$4,'BSE - Other Index Options'!$I:$I,"MDAW*"))</f>
        <v/>
      </c>
      <c r="H100" s="26">
        <f>IF(SUM(B100:G100)=0,"",SUM(B100:G100))</f>
        <v/>
      </c>
    </row>
    <row r="101" hidden="1" outlineLevel="1">
      <c r="A101" t="inlineStr">
        <is>
          <t>Week4-Apr-2027</t>
        </is>
      </c>
      <c r="B101" s="26">
        <f>IF(SUMIFS('NSE - NIFTY Index Options'!$M:$M,'NSE - NIFTY Index Options'!$C:$C,$A101,'NSE - NIFTY Index Options'!$B:$B,B$4,'NSE - NIFTY Index Options'!$I:$I,"Weekly*")+SUMIFS('NSE - NIFTY Index Options'!$M:$M,'NSE - NIFTY Index Options'!$C:$C,$A101,'NSE - NIFTY Index Options'!$B:$B,B$4,'NSE - NIFTY Index Options'!$I:$I,"MDAW*")+SUMIFS('NSE - Other Index Options'!$M:$M,'NSE - Other Index Options'!$C:$C,$A101,'NSE - Other Index Options'!$B:$B,B$4,'NSE - Other Index Options'!$I:$I,"Weekly*")+SUMIFS('NSE - Other Index Options'!$M:$M,'NSE - Other Index Options'!$C:$C,$A101,'NSE - Other Index Options'!$B:$B,B$4,'NSE - Other Index Options'!$I:$I,"MDAW*")+SUMIFS('BSE - SENSEX Index Options'!$M:$M,'BSE - SENSEX Index Options'!$C:$C,$A101,'BSE - SENSEX Index Options'!$B:$B,B$4,'BSE - SENSEX Index Options'!$I:$I,"Weekly*")+SUMIFS('BSE - SENSEX Index Options'!$M:$M,'BSE - SENSEX Index Options'!$C:$C,$A101,'BSE - SENSEX Index Options'!$B:$B,B$4,'BSE - SENSEX Index Options'!$I:$I,"MDAW*")+SUMIFS('BSE - Other Index Options'!$M:$M,'BSE - Other Index Options'!$C:$C,$A101,'BSE - Other Index Options'!$B:$B,B$4,'BSE - Other Index Options'!$I:$I,"Weekly*")+SUMIFS('BSE - Other Index Options'!$M:$M,'BSE - Other Index Options'!$C:$C,$A101,'BSE - Other Index Options'!$B:$B,B$4,'BSE - Other Index Options'!$I:$I,"MDAW*")=0,"",SUMIFS('NSE - NIFTY Index Options'!$M:$M,'NSE - NIFTY Index Options'!$C:$C,$A101,'NSE - NIFTY Index Options'!$B:$B,B$4,'NSE - NIFTY Index Options'!$I:$I,"Weekly*")+SUMIFS('NSE - NIFTY Index Options'!$M:$M,'NSE - NIFTY Index Options'!$C:$C,$A101,'NSE - NIFTY Index Options'!$B:$B,B$4,'NSE - NIFTY Index Options'!$I:$I,"MDAW*")+SUMIFS('NSE - Other Index Options'!$M:$M,'NSE - Other Index Options'!$C:$C,$A101,'NSE - Other Index Options'!$B:$B,B$4,'NSE - Other Index Options'!$I:$I,"Weekly*")+SUMIFS('NSE - Other Index Options'!$M:$M,'NSE - Other Index Options'!$C:$C,$A101,'NSE - Other Index Options'!$B:$B,B$4,'NSE - Other Index Options'!$I:$I,"MDAW*")+SUMIFS('BSE - SENSEX Index Options'!$M:$M,'BSE - SENSEX Index Options'!$C:$C,$A101,'BSE - SENSEX Index Options'!$B:$B,B$4,'BSE - SENSEX Index Options'!$I:$I,"Weekly*")+SUMIFS('BSE - SENSEX Index Options'!$M:$M,'BSE - SENSEX Index Options'!$C:$C,$A101,'BSE - SENSEX Index Options'!$B:$B,B$4,'BSE - SENSEX Index Options'!$I:$I,"MDAW*")+SUMIFS('BSE - Other Index Options'!$M:$M,'BSE - Other Index Options'!$C:$C,$A101,'BSE - Other Index Options'!$B:$B,B$4,'BSE - Other Index Options'!$I:$I,"Weekly*")+SUMIFS('BSE - Other Index Options'!$M:$M,'BSE - Other Index Options'!$C:$C,$A101,'BSE - Other Index Options'!$B:$B,B$4,'BSE - Other Index Options'!$I:$I,"MDAW*"))</f>
        <v/>
      </c>
      <c r="C101" s="26">
        <f>IF(SUMIFS('NSE - NIFTY Index Options'!$M:$M,'NSE - NIFTY Index Options'!$C:$C,$A101,'NSE - NIFTY Index Options'!$B:$B,C$4,'NSE - NIFTY Index Options'!$I:$I,"Weekly*")+SUMIFS('NSE - NIFTY Index Options'!$M:$M,'NSE - NIFTY Index Options'!$C:$C,$A101,'NSE - NIFTY Index Options'!$B:$B,C$4,'NSE - NIFTY Index Options'!$I:$I,"MDAW*")+SUMIFS('NSE - Other Index Options'!$M:$M,'NSE - Other Index Options'!$C:$C,$A101,'NSE - Other Index Options'!$B:$B,C$4,'NSE - Other Index Options'!$I:$I,"Weekly*")+SUMIFS('NSE - Other Index Options'!$M:$M,'NSE - Other Index Options'!$C:$C,$A101,'NSE - Other Index Options'!$B:$B,C$4,'NSE - Other Index Options'!$I:$I,"MDAW*")+SUMIFS('BSE - SENSEX Index Options'!$M:$M,'BSE - SENSEX Index Options'!$C:$C,$A101,'BSE - SENSEX Index Options'!$B:$B,C$4,'BSE - SENSEX Index Options'!$I:$I,"Weekly*")+SUMIFS('BSE - SENSEX Index Options'!$M:$M,'BSE - SENSEX Index Options'!$C:$C,$A101,'BSE - SENSEX Index Options'!$B:$B,C$4,'BSE - SENSEX Index Options'!$I:$I,"MDAW*")+SUMIFS('BSE - Other Index Options'!$M:$M,'BSE - Other Index Options'!$C:$C,$A101,'BSE - Other Index Options'!$B:$B,C$4,'BSE - Other Index Options'!$I:$I,"Weekly*")+SUMIFS('BSE - Other Index Options'!$M:$M,'BSE - Other Index Options'!$C:$C,$A101,'BSE - Other Index Options'!$B:$B,C$4,'BSE - Other Index Options'!$I:$I,"MDAW*")=0,"",SUMIFS('NSE - NIFTY Index Options'!$M:$M,'NSE - NIFTY Index Options'!$C:$C,$A101,'NSE - NIFTY Index Options'!$B:$B,C$4,'NSE - NIFTY Index Options'!$I:$I,"Weekly*")+SUMIFS('NSE - NIFTY Index Options'!$M:$M,'NSE - NIFTY Index Options'!$C:$C,$A101,'NSE - NIFTY Index Options'!$B:$B,C$4,'NSE - NIFTY Index Options'!$I:$I,"MDAW*")+SUMIFS('NSE - Other Index Options'!$M:$M,'NSE - Other Index Options'!$C:$C,$A101,'NSE - Other Index Options'!$B:$B,C$4,'NSE - Other Index Options'!$I:$I,"Weekly*")+SUMIFS('NSE - Other Index Options'!$M:$M,'NSE - Other Index Options'!$C:$C,$A101,'NSE - Other Index Options'!$B:$B,C$4,'NSE - Other Index Options'!$I:$I,"MDAW*")+SUMIFS('BSE - SENSEX Index Options'!$M:$M,'BSE - SENSEX Index Options'!$C:$C,$A101,'BSE - SENSEX Index Options'!$B:$B,C$4,'BSE - SENSEX Index Options'!$I:$I,"Weekly*")+SUMIFS('BSE - SENSEX Index Options'!$M:$M,'BSE - SENSEX Index Options'!$C:$C,$A101,'BSE - SENSEX Index Options'!$B:$B,C$4,'BSE - SENSEX Index Options'!$I:$I,"MDAW*")+SUMIFS('BSE - Other Index Options'!$M:$M,'BSE - Other Index Options'!$C:$C,$A101,'BSE - Other Index Options'!$B:$B,C$4,'BSE - Other Index Options'!$I:$I,"Weekly*")+SUMIFS('BSE - Other Index Options'!$M:$M,'BSE - Other Index Options'!$C:$C,$A101,'BSE - Other Index Options'!$B:$B,C$4,'BSE - Other Index Options'!$I:$I,"MDAW*"))</f>
        <v/>
      </c>
      <c r="D101" s="26">
        <f>IF(SUMIFS('NSE - NIFTY Index Options'!$M:$M,'NSE - NIFTY Index Options'!$C:$C,$A101,'NSE - NIFTY Index Options'!$B:$B,D$4,'NSE - NIFTY Index Options'!$I:$I,"Weekly*")+SUMIFS('NSE - NIFTY Index Options'!$M:$M,'NSE - NIFTY Index Options'!$C:$C,$A101,'NSE - NIFTY Index Options'!$B:$B,D$4,'NSE - NIFTY Index Options'!$I:$I,"MDAW*")+SUMIFS('NSE - Other Index Options'!$M:$M,'NSE - Other Index Options'!$C:$C,$A101,'NSE - Other Index Options'!$B:$B,D$4,'NSE - Other Index Options'!$I:$I,"Weekly*")+SUMIFS('NSE - Other Index Options'!$M:$M,'NSE - Other Index Options'!$C:$C,$A101,'NSE - Other Index Options'!$B:$B,D$4,'NSE - Other Index Options'!$I:$I,"MDAW*")+SUMIFS('BSE - SENSEX Index Options'!$M:$M,'BSE - SENSEX Index Options'!$C:$C,$A101,'BSE - SENSEX Index Options'!$B:$B,D$4,'BSE - SENSEX Index Options'!$I:$I,"Weekly*")+SUMIFS('BSE - SENSEX Index Options'!$M:$M,'BSE - SENSEX Index Options'!$C:$C,$A101,'BSE - SENSEX Index Options'!$B:$B,D$4,'BSE - SENSEX Index Options'!$I:$I,"MDAW*")+SUMIFS('BSE - Other Index Options'!$M:$M,'BSE - Other Index Options'!$C:$C,$A101,'BSE - Other Index Options'!$B:$B,D$4,'BSE - Other Index Options'!$I:$I,"Weekly*")+SUMIFS('BSE - Other Index Options'!$M:$M,'BSE - Other Index Options'!$C:$C,$A101,'BSE - Other Index Options'!$B:$B,D$4,'BSE - Other Index Options'!$I:$I,"MDAW*")=0,"",SUMIFS('NSE - NIFTY Index Options'!$M:$M,'NSE - NIFTY Index Options'!$C:$C,$A101,'NSE - NIFTY Index Options'!$B:$B,D$4,'NSE - NIFTY Index Options'!$I:$I,"Weekly*")+SUMIFS('NSE - NIFTY Index Options'!$M:$M,'NSE - NIFTY Index Options'!$C:$C,$A101,'NSE - NIFTY Index Options'!$B:$B,D$4,'NSE - NIFTY Index Options'!$I:$I,"MDAW*")+SUMIFS('NSE - Other Index Options'!$M:$M,'NSE - Other Index Options'!$C:$C,$A101,'NSE - Other Index Options'!$B:$B,D$4,'NSE - Other Index Options'!$I:$I,"Weekly*")+SUMIFS('NSE - Other Index Options'!$M:$M,'NSE - Other Index Options'!$C:$C,$A101,'NSE - Other Index Options'!$B:$B,D$4,'NSE - Other Index Options'!$I:$I,"MDAW*")+SUMIFS('BSE - SENSEX Index Options'!$M:$M,'BSE - SENSEX Index Options'!$C:$C,$A101,'BSE - SENSEX Index Options'!$B:$B,D$4,'BSE - SENSEX Index Options'!$I:$I,"Weekly*")+SUMIFS('BSE - SENSEX Index Options'!$M:$M,'BSE - SENSEX Index Options'!$C:$C,$A101,'BSE - SENSEX Index Options'!$B:$B,D$4,'BSE - SENSEX Index Options'!$I:$I,"MDAW*")+SUMIFS('BSE - Other Index Options'!$M:$M,'BSE - Other Index Options'!$C:$C,$A101,'BSE - Other Index Options'!$B:$B,D$4,'BSE - Other Index Options'!$I:$I,"Weekly*")+SUMIFS('BSE - Other Index Options'!$M:$M,'BSE - Other Index Options'!$C:$C,$A101,'BSE - Other Index Options'!$B:$B,D$4,'BSE - Other Index Options'!$I:$I,"MDAW*"))</f>
        <v/>
      </c>
      <c r="E101" s="26">
        <f>IF(SUMIFS('NSE - NIFTY Index Options'!$M:$M,'NSE - NIFTY Index Options'!$C:$C,$A101,'NSE - NIFTY Index Options'!$B:$B,E$4,'NSE - NIFTY Index Options'!$I:$I,"Weekly*")+SUMIFS('NSE - NIFTY Index Options'!$M:$M,'NSE - NIFTY Index Options'!$C:$C,$A101,'NSE - NIFTY Index Options'!$B:$B,E$4,'NSE - NIFTY Index Options'!$I:$I,"MDAW*")+SUMIFS('NSE - Other Index Options'!$M:$M,'NSE - Other Index Options'!$C:$C,$A101,'NSE - Other Index Options'!$B:$B,E$4,'NSE - Other Index Options'!$I:$I,"Weekly*")+SUMIFS('NSE - Other Index Options'!$M:$M,'NSE - Other Index Options'!$C:$C,$A101,'NSE - Other Index Options'!$B:$B,E$4,'NSE - Other Index Options'!$I:$I,"MDAW*")+SUMIFS('BSE - SENSEX Index Options'!$M:$M,'BSE - SENSEX Index Options'!$C:$C,$A101,'BSE - SENSEX Index Options'!$B:$B,E$4,'BSE - SENSEX Index Options'!$I:$I,"Weekly*")+SUMIFS('BSE - SENSEX Index Options'!$M:$M,'BSE - SENSEX Index Options'!$C:$C,$A101,'BSE - SENSEX Index Options'!$B:$B,E$4,'BSE - SENSEX Index Options'!$I:$I,"MDAW*")+SUMIFS('BSE - Other Index Options'!$M:$M,'BSE - Other Index Options'!$C:$C,$A101,'BSE - Other Index Options'!$B:$B,E$4,'BSE - Other Index Options'!$I:$I,"Weekly*")+SUMIFS('BSE - Other Index Options'!$M:$M,'BSE - Other Index Options'!$C:$C,$A101,'BSE - Other Index Options'!$B:$B,E$4,'BSE - Other Index Options'!$I:$I,"MDAW*")=0,"",SUMIFS('NSE - NIFTY Index Options'!$M:$M,'NSE - NIFTY Index Options'!$C:$C,$A101,'NSE - NIFTY Index Options'!$B:$B,E$4,'NSE - NIFTY Index Options'!$I:$I,"Weekly*")+SUMIFS('NSE - NIFTY Index Options'!$M:$M,'NSE - NIFTY Index Options'!$C:$C,$A101,'NSE - NIFTY Index Options'!$B:$B,E$4,'NSE - NIFTY Index Options'!$I:$I,"MDAW*")+SUMIFS('NSE - Other Index Options'!$M:$M,'NSE - Other Index Options'!$C:$C,$A101,'NSE - Other Index Options'!$B:$B,E$4,'NSE - Other Index Options'!$I:$I,"Weekly*")+SUMIFS('NSE - Other Index Options'!$M:$M,'NSE - Other Index Options'!$C:$C,$A101,'NSE - Other Index Options'!$B:$B,E$4,'NSE - Other Index Options'!$I:$I,"MDAW*")+SUMIFS('BSE - SENSEX Index Options'!$M:$M,'BSE - SENSEX Index Options'!$C:$C,$A101,'BSE - SENSEX Index Options'!$B:$B,E$4,'BSE - SENSEX Index Options'!$I:$I,"Weekly*")+SUMIFS('BSE - SENSEX Index Options'!$M:$M,'BSE - SENSEX Index Options'!$C:$C,$A101,'BSE - SENSEX Index Options'!$B:$B,E$4,'BSE - SENSEX Index Options'!$I:$I,"MDAW*")+SUMIFS('BSE - Other Index Options'!$M:$M,'BSE - Other Index Options'!$C:$C,$A101,'BSE - Other Index Options'!$B:$B,E$4,'BSE - Other Index Options'!$I:$I,"Weekly*")+SUMIFS('BSE - Other Index Options'!$M:$M,'BSE - Other Index Options'!$C:$C,$A101,'BSE - Other Index Options'!$B:$B,E$4,'BSE - Other Index Options'!$I:$I,"MDAW*"))</f>
        <v/>
      </c>
      <c r="F101" s="26">
        <f>IF(SUMIFS('NSE - NIFTY Index Options'!$M:$M,'NSE - NIFTY Index Options'!$C:$C,$A101,'NSE - NIFTY Index Options'!$B:$B,F$4,'NSE - NIFTY Index Options'!$I:$I,"Weekly*")+SUMIFS('NSE - NIFTY Index Options'!$M:$M,'NSE - NIFTY Index Options'!$C:$C,$A101,'NSE - NIFTY Index Options'!$B:$B,F$4,'NSE - NIFTY Index Options'!$I:$I,"MDAW*")+SUMIFS('NSE - Other Index Options'!$M:$M,'NSE - Other Index Options'!$C:$C,$A101,'NSE - Other Index Options'!$B:$B,F$4,'NSE - Other Index Options'!$I:$I,"Weekly*")+SUMIFS('NSE - Other Index Options'!$M:$M,'NSE - Other Index Options'!$C:$C,$A101,'NSE - Other Index Options'!$B:$B,F$4,'NSE - Other Index Options'!$I:$I,"MDAW*")+SUMIFS('BSE - SENSEX Index Options'!$M:$M,'BSE - SENSEX Index Options'!$C:$C,$A101,'BSE - SENSEX Index Options'!$B:$B,F$4,'BSE - SENSEX Index Options'!$I:$I,"Weekly*")+SUMIFS('BSE - SENSEX Index Options'!$M:$M,'BSE - SENSEX Index Options'!$C:$C,$A101,'BSE - SENSEX Index Options'!$B:$B,F$4,'BSE - SENSEX Index Options'!$I:$I,"MDAW*")+SUMIFS('BSE - Other Index Options'!$M:$M,'BSE - Other Index Options'!$C:$C,$A101,'BSE - Other Index Options'!$B:$B,F$4,'BSE - Other Index Options'!$I:$I,"Weekly*")+SUMIFS('BSE - Other Index Options'!$M:$M,'BSE - Other Index Options'!$C:$C,$A101,'BSE - Other Index Options'!$B:$B,F$4,'BSE - Other Index Options'!$I:$I,"MDAW*")=0,"",SUMIFS('NSE - NIFTY Index Options'!$M:$M,'NSE - NIFTY Index Options'!$C:$C,$A101,'NSE - NIFTY Index Options'!$B:$B,F$4,'NSE - NIFTY Index Options'!$I:$I,"Weekly*")+SUMIFS('NSE - NIFTY Index Options'!$M:$M,'NSE - NIFTY Index Options'!$C:$C,$A101,'NSE - NIFTY Index Options'!$B:$B,F$4,'NSE - NIFTY Index Options'!$I:$I,"MDAW*")+SUMIFS('NSE - Other Index Options'!$M:$M,'NSE - Other Index Options'!$C:$C,$A101,'NSE - Other Index Options'!$B:$B,F$4,'NSE - Other Index Options'!$I:$I,"Weekly*")+SUMIFS('NSE - Other Index Options'!$M:$M,'NSE - Other Index Options'!$C:$C,$A101,'NSE - Other Index Options'!$B:$B,F$4,'NSE - Other Index Options'!$I:$I,"MDAW*")+SUMIFS('BSE - SENSEX Index Options'!$M:$M,'BSE - SENSEX Index Options'!$C:$C,$A101,'BSE - SENSEX Index Options'!$B:$B,F$4,'BSE - SENSEX Index Options'!$I:$I,"Weekly*")+SUMIFS('BSE - SENSEX Index Options'!$M:$M,'BSE - SENSEX Index Options'!$C:$C,$A101,'BSE - SENSEX Index Options'!$B:$B,F$4,'BSE - SENSEX Index Options'!$I:$I,"MDAW*")+SUMIFS('BSE - Other Index Options'!$M:$M,'BSE - Other Index Options'!$C:$C,$A101,'BSE - Other Index Options'!$B:$B,F$4,'BSE - Other Index Options'!$I:$I,"Weekly*")+SUMIFS('BSE - Other Index Options'!$M:$M,'BSE - Other Index Options'!$C:$C,$A101,'BSE - Other Index Options'!$B:$B,F$4,'BSE - Other Index Options'!$I:$I,"MDAW*"))</f>
        <v/>
      </c>
      <c r="G101" s="26">
        <f>IF(SUMIFS('NSE - NIFTY Index Options'!$M:$M,'NSE - NIFTY Index Options'!$C:$C,$A101,'NSE - NIFTY Index Options'!$B:$B,G$4,'NSE - NIFTY Index Options'!$I:$I,"Weekly*")+SUMIFS('NSE - NIFTY Index Options'!$M:$M,'NSE - NIFTY Index Options'!$C:$C,$A101,'NSE - NIFTY Index Options'!$B:$B,G$4,'NSE - NIFTY Index Options'!$I:$I,"MDAW*")+SUMIFS('NSE - Other Index Options'!$M:$M,'NSE - Other Index Options'!$C:$C,$A101,'NSE - Other Index Options'!$B:$B,G$4,'NSE - Other Index Options'!$I:$I,"Weekly*")+SUMIFS('NSE - Other Index Options'!$M:$M,'NSE - Other Index Options'!$C:$C,$A101,'NSE - Other Index Options'!$B:$B,G$4,'NSE - Other Index Options'!$I:$I,"MDAW*")+SUMIFS('BSE - SENSEX Index Options'!$M:$M,'BSE - SENSEX Index Options'!$C:$C,$A101,'BSE - SENSEX Index Options'!$B:$B,G$4,'BSE - SENSEX Index Options'!$I:$I,"Weekly*")+SUMIFS('BSE - SENSEX Index Options'!$M:$M,'BSE - SENSEX Index Options'!$C:$C,$A101,'BSE - SENSEX Index Options'!$B:$B,G$4,'BSE - SENSEX Index Options'!$I:$I,"MDAW*")+SUMIFS('BSE - Other Index Options'!$M:$M,'BSE - Other Index Options'!$C:$C,$A101,'BSE - Other Index Options'!$B:$B,G$4,'BSE - Other Index Options'!$I:$I,"Weekly*")+SUMIFS('BSE - Other Index Options'!$M:$M,'BSE - Other Index Options'!$C:$C,$A101,'BSE - Other Index Options'!$B:$B,G$4,'BSE - Other Index Options'!$I:$I,"MDAW*")=0,"",SUMIFS('NSE - NIFTY Index Options'!$M:$M,'NSE - NIFTY Index Options'!$C:$C,$A101,'NSE - NIFTY Index Options'!$B:$B,G$4,'NSE - NIFTY Index Options'!$I:$I,"Weekly*")+SUMIFS('NSE - NIFTY Index Options'!$M:$M,'NSE - NIFTY Index Options'!$C:$C,$A101,'NSE - NIFTY Index Options'!$B:$B,G$4,'NSE - NIFTY Index Options'!$I:$I,"MDAW*")+SUMIFS('NSE - Other Index Options'!$M:$M,'NSE - Other Index Options'!$C:$C,$A101,'NSE - Other Index Options'!$B:$B,G$4,'NSE - Other Index Options'!$I:$I,"Weekly*")+SUMIFS('NSE - Other Index Options'!$M:$M,'NSE - Other Index Options'!$C:$C,$A101,'NSE - Other Index Options'!$B:$B,G$4,'NSE - Other Index Options'!$I:$I,"MDAW*")+SUMIFS('BSE - SENSEX Index Options'!$M:$M,'BSE - SENSEX Index Options'!$C:$C,$A101,'BSE - SENSEX Index Options'!$B:$B,G$4,'BSE - SENSEX Index Options'!$I:$I,"Weekly*")+SUMIFS('BSE - SENSEX Index Options'!$M:$M,'BSE - SENSEX Index Options'!$C:$C,$A101,'BSE - SENSEX Index Options'!$B:$B,G$4,'BSE - SENSEX Index Options'!$I:$I,"MDAW*")+SUMIFS('BSE - Other Index Options'!$M:$M,'BSE - Other Index Options'!$C:$C,$A101,'BSE - Other Index Options'!$B:$B,G$4,'BSE - Other Index Options'!$I:$I,"Weekly*")+SUMIFS('BSE - Other Index Options'!$M:$M,'BSE - Other Index Options'!$C:$C,$A101,'BSE - Other Index Options'!$B:$B,G$4,'BSE - Other Index Options'!$I:$I,"MDAW*"))</f>
        <v/>
      </c>
      <c r="H101" s="26">
        <f>IF(SUM(B101:G101)=0,"",SUM(B101:G101))</f>
        <v/>
      </c>
    </row>
    <row r="102" hidden="1" outlineLevel="1">
      <c r="A102" t="inlineStr">
        <is>
          <t>Week5-Apr-2027</t>
        </is>
      </c>
      <c r="B102" s="26">
        <f>IF(SUMIFS('NSE - NIFTY Index Options'!$M:$M,'NSE - NIFTY Index Options'!$C:$C,$A102,'NSE - NIFTY Index Options'!$B:$B,B$4,'NSE - NIFTY Index Options'!$I:$I,"Weekly*")+SUMIFS('NSE - NIFTY Index Options'!$M:$M,'NSE - NIFTY Index Options'!$C:$C,$A102,'NSE - NIFTY Index Options'!$B:$B,B$4,'NSE - NIFTY Index Options'!$I:$I,"MDAW*")+SUMIFS('NSE - Other Index Options'!$M:$M,'NSE - Other Index Options'!$C:$C,$A102,'NSE - Other Index Options'!$B:$B,B$4,'NSE - Other Index Options'!$I:$I,"Weekly*")+SUMIFS('NSE - Other Index Options'!$M:$M,'NSE - Other Index Options'!$C:$C,$A102,'NSE - Other Index Options'!$B:$B,B$4,'NSE - Other Index Options'!$I:$I,"MDAW*")+SUMIFS('BSE - SENSEX Index Options'!$M:$M,'BSE - SENSEX Index Options'!$C:$C,$A102,'BSE - SENSEX Index Options'!$B:$B,B$4,'BSE - SENSEX Index Options'!$I:$I,"Weekly*")+SUMIFS('BSE - SENSEX Index Options'!$M:$M,'BSE - SENSEX Index Options'!$C:$C,$A102,'BSE - SENSEX Index Options'!$B:$B,B$4,'BSE - SENSEX Index Options'!$I:$I,"MDAW*")+SUMIFS('BSE - Other Index Options'!$M:$M,'BSE - Other Index Options'!$C:$C,$A102,'BSE - Other Index Options'!$B:$B,B$4,'BSE - Other Index Options'!$I:$I,"Weekly*")+SUMIFS('BSE - Other Index Options'!$M:$M,'BSE - Other Index Options'!$C:$C,$A102,'BSE - Other Index Options'!$B:$B,B$4,'BSE - Other Index Options'!$I:$I,"MDAW*")=0,"",SUMIFS('NSE - NIFTY Index Options'!$M:$M,'NSE - NIFTY Index Options'!$C:$C,$A102,'NSE - NIFTY Index Options'!$B:$B,B$4,'NSE - NIFTY Index Options'!$I:$I,"Weekly*")+SUMIFS('NSE - NIFTY Index Options'!$M:$M,'NSE - NIFTY Index Options'!$C:$C,$A102,'NSE - NIFTY Index Options'!$B:$B,B$4,'NSE - NIFTY Index Options'!$I:$I,"MDAW*")+SUMIFS('NSE - Other Index Options'!$M:$M,'NSE - Other Index Options'!$C:$C,$A102,'NSE - Other Index Options'!$B:$B,B$4,'NSE - Other Index Options'!$I:$I,"Weekly*")+SUMIFS('NSE - Other Index Options'!$M:$M,'NSE - Other Index Options'!$C:$C,$A102,'NSE - Other Index Options'!$B:$B,B$4,'NSE - Other Index Options'!$I:$I,"MDAW*")+SUMIFS('BSE - SENSEX Index Options'!$M:$M,'BSE - SENSEX Index Options'!$C:$C,$A102,'BSE - SENSEX Index Options'!$B:$B,B$4,'BSE - SENSEX Index Options'!$I:$I,"Weekly*")+SUMIFS('BSE - SENSEX Index Options'!$M:$M,'BSE - SENSEX Index Options'!$C:$C,$A102,'BSE - SENSEX Index Options'!$B:$B,B$4,'BSE - SENSEX Index Options'!$I:$I,"MDAW*")+SUMIFS('BSE - Other Index Options'!$M:$M,'BSE - Other Index Options'!$C:$C,$A102,'BSE - Other Index Options'!$B:$B,B$4,'BSE - Other Index Options'!$I:$I,"Weekly*")+SUMIFS('BSE - Other Index Options'!$M:$M,'BSE - Other Index Options'!$C:$C,$A102,'BSE - Other Index Options'!$B:$B,B$4,'BSE - Other Index Options'!$I:$I,"MDAW*"))</f>
        <v/>
      </c>
      <c r="C102" s="26">
        <f>IF(SUMIFS('NSE - NIFTY Index Options'!$M:$M,'NSE - NIFTY Index Options'!$C:$C,$A102,'NSE - NIFTY Index Options'!$B:$B,C$4,'NSE - NIFTY Index Options'!$I:$I,"Weekly*")+SUMIFS('NSE - NIFTY Index Options'!$M:$M,'NSE - NIFTY Index Options'!$C:$C,$A102,'NSE - NIFTY Index Options'!$B:$B,C$4,'NSE - NIFTY Index Options'!$I:$I,"MDAW*")+SUMIFS('NSE - Other Index Options'!$M:$M,'NSE - Other Index Options'!$C:$C,$A102,'NSE - Other Index Options'!$B:$B,C$4,'NSE - Other Index Options'!$I:$I,"Weekly*")+SUMIFS('NSE - Other Index Options'!$M:$M,'NSE - Other Index Options'!$C:$C,$A102,'NSE - Other Index Options'!$B:$B,C$4,'NSE - Other Index Options'!$I:$I,"MDAW*")+SUMIFS('BSE - SENSEX Index Options'!$M:$M,'BSE - SENSEX Index Options'!$C:$C,$A102,'BSE - SENSEX Index Options'!$B:$B,C$4,'BSE - SENSEX Index Options'!$I:$I,"Weekly*")+SUMIFS('BSE - SENSEX Index Options'!$M:$M,'BSE - SENSEX Index Options'!$C:$C,$A102,'BSE - SENSEX Index Options'!$B:$B,C$4,'BSE - SENSEX Index Options'!$I:$I,"MDAW*")+SUMIFS('BSE - Other Index Options'!$M:$M,'BSE - Other Index Options'!$C:$C,$A102,'BSE - Other Index Options'!$B:$B,C$4,'BSE - Other Index Options'!$I:$I,"Weekly*")+SUMIFS('BSE - Other Index Options'!$M:$M,'BSE - Other Index Options'!$C:$C,$A102,'BSE - Other Index Options'!$B:$B,C$4,'BSE - Other Index Options'!$I:$I,"MDAW*")=0,"",SUMIFS('NSE - NIFTY Index Options'!$M:$M,'NSE - NIFTY Index Options'!$C:$C,$A102,'NSE - NIFTY Index Options'!$B:$B,C$4,'NSE - NIFTY Index Options'!$I:$I,"Weekly*")+SUMIFS('NSE - NIFTY Index Options'!$M:$M,'NSE - NIFTY Index Options'!$C:$C,$A102,'NSE - NIFTY Index Options'!$B:$B,C$4,'NSE - NIFTY Index Options'!$I:$I,"MDAW*")+SUMIFS('NSE - Other Index Options'!$M:$M,'NSE - Other Index Options'!$C:$C,$A102,'NSE - Other Index Options'!$B:$B,C$4,'NSE - Other Index Options'!$I:$I,"Weekly*")+SUMIFS('NSE - Other Index Options'!$M:$M,'NSE - Other Index Options'!$C:$C,$A102,'NSE - Other Index Options'!$B:$B,C$4,'NSE - Other Index Options'!$I:$I,"MDAW*")+SUMIFS('BSE - SENSEX Index Options'!$M:$M,'BSE - SENSEX Index Options'!$C:$C,$A102,'BSE - SENSEX Index Options'!$B:$B,C$4,'BSE - SENSEX Index Options'!$I:$I,"Weekly*")+SUMIFS('BSE - SENSEX Index Options'!$M:$M,'BSE - SENSEX Index Options'!$C:$C,$A102,'BSE - SENSEX Index Options'!$B:$B,C$4,'BSE - SENSEX Index Options'!$I:$I,"MDAW*")+SUMIFS('BSE - Other Index Options'!$M:$M,'BSE - Other Index Options'!$C:$C,$A102,'BSE - Other Index Options'!$B:$B,C$4,'BSE - Other Index Options'!$I:$I,"Weekly*")+SUMIFS('BSE - Other Index Options'!$M:$M,'BSE - Other Index Options'!$C:$C,$A102,'BSE - Other Index Options'!$B:$B,C$4,'BSE - Other Index Options'!$I:$I,"MDAW*"))</f>
        <v/>
      </c>
      <c r="D102" s="26">
        <f>IF(SUMIFS('NSE - NIFTY Index Options'!$M:$M,'NSE - NIFTY Index Options'!$C:$C,$A102,'NSE - NIFTY Index Options'!$B:$B,D$4,'NSE - NIFTY Index Options'!$I:$I,"Weekly*")+SUMIFS('NSE - NIFTY Index Options'!$M:$M,'NSE - NIFTY Index Options'!$C:$C,$A102,'NSE - NIFTY Index Options'!$B:$B,D$4,'NSE - NIFTY Index Options'!$I:$I,"MDAW*")+SUMIFS('NSE - Other Index Options'!$M:$M,'NSE - Other Index Options'!$C:$C,$A102,'NSE - Other Index Options'!$B:$B,D$4,'NSE - Other Index Options'!$I:$I,"Weekly*")+SUMIFS('NSE - Other Index Options'!$M:$M,'NSE - Other Index Options'!$C:$C,$A102,'NSE - Other Index Options'!$B:$B,D$4,'NSE - Other Index Options'!$I:$I,"MDAW*")+SUMIFS('BSE - SENSEX Index Options'!$M:$M,'BSE - SENSEX Index Options'!$C:$C,$A102,'BSE - SENSEX Index Options'!$B:$B,D$4,'BSE - SENSEX Index Options'!$I:$I,"Weekly*")+SUMIFS('BSE - SENSEX Index Options'!$M:$M,'BSE - SENSEX Index Options'!$C:$C,$A102,'BSE - SENSEX Index Options'!$B:$B,D$4,'BSE - SENSEX Index Options'!$I:$I,"MDAW*")+SUMIFS('BSE - Other Index Options'!$M:$M,'BSE - Other Index Options'!$C:$C,$A102,'BSE - Other Index Options'!$B:$B,D$4,'BSE - Other Index Options'!$I:$I,"Weekly*")+SUMIFS('BSE - Other Index Options'!$M:$M,'BSE - Other Index Options'!$C:$C,$A102,'BSE - Other Index Options'!$B:$B,D$4,'BSE - Other Index Options'!$I:$I,"MDAW*")=0,"",SUMIFS('NSE - NIFTY Index Options'!$M:$M,'NSE - NIFTY Index Options'!$C:$C,$A102,'NSE - NIFTY Index Options'!$B:$B,D$4,'NSE - NIFTY Index Options'!$I:$I,"Weekly*")+SUMIFS('NSE - NIFTY Index Options'!$M:$M,'NSE - NIFTY Index Options'!$C:$C,$A102,'NSE - NIFTY Index Options'!$B:$B,D$4,'NSE - NIFTY Index Options'!$I:$I,"MDAW*")+SUMIFS('NSE - Other Index Options'!$M:$M,'NSE - Other Index Options'!$C:$C,$A102,'NSE - Other Index Options'!$B:$B,D$4,'NSE - Other Index Options'!$I:$I,"Weekly*")+SUMIFS('NSE - Other Index Options'!$M:$M,'NSE - Other Index Options'!$C:$C,$A102,'NSE - Other Index Options'!$B:$B,D$4,'NSE - Other Index Options'!$I:$I,"MDAW*")+SUMIFS('BSE - SENSEX Index Options'!$M:$M,'BSE - SENSEX Index Options'!$C:$C,$A102,'BSE - SENSEX Index Options'!$B:$B,D$4,'BSE - SENSEX Index Options'!$I:$I,"Weekly*")+SUMIFS('BSE - SENSEX Index Options'!$M:$M,'BSE - SENSEX Index Options'!$C:$C,$A102,'BSE - SENSEX Index Options'!$B:$B,D$4,'BSE - SENSEX Index Options'!$I:$I,"MDAW*")+SUMIFS('BSE - Other Index Options'!$M:$M,'BSE - Other Index Options'!$C:$C,$A102,'BSE - Other Index Options'!$B:$B,D$4,'BSE - Other Index Options'!$I:$I,"Weekly*")+SUMIFS('BSE - Other Index Options'!$M:$M,'BSE - Other Index Options'!$C:$C,$A102,'BSE - Other Index Options'!$B:$B,D$4,'BSE - Other Index Options'!$I:$I,"MDAW*"))</f>
        <v/>
      </c>
      <c r="E102" s="26">
        <f>IF(SUMIFS('NSE - NIFTY Index Options'!$M:$M,'NSE - NIFTY Index Options'!$C:$C,$A102,'NSE - NIFTY Index Options'!$B:$B,E$4,'NSE - NIFTY Index Options'!$I:$I,"Weekly*")+SUMIFS('NSE - NIFTY Index Options'!$M:$M,'NSE - NIFTY Index Options'!$C:$C,$A102,'NSE - NIFTY Index Options'!$B:$B,E$4,'NSE - NIFTY Index Options'!$I:$I,"MDAW*")+SUMIFS('NSE - Other Index Options'!$M:$M,'NSE - Other Index Options'!$C:$C,$A102,'NSE - Other Index Options'!$B:$B,E$4,'NSE - Other Index Options'!$I:$I,"Weekly*")+SUMIFS('NSE - Other Index Options'!$M:$M,'NSE - Other Index Options'!$C:$C,$A102,'NSE - Other Index Options'!$B:$B,E$4,'NSE - Other Index Options'!$I:$I,"MDAW*")+SUMIFS('BSE - SENSEX Index Options'!$M:$M,'BSE - SENSEX Index Options'!$C:$C,$A102,'BSE - SENSEX Index Options'!$B:$B,E$4,'BSE - SENSEX Index Options'!$I:$I,"Weekly*")+SUMIFS('BSE - SENSEX Index Options'!$M:$M,'BSE - SENSEX Index Options'!$C:$C,$A102,'BSE - SENSEX Index Options'!$B:$B,E$4,'BSE - SENSEX Index Options'!$I:$I,"MDAW*")+SUMIFS('BSE - Other Index Options'!$M:$M,'BSE - Other Index Options'!$C:$C,$A102,'BSE - Other Index Options'!$B:$B,E$4,'BSE - Other Index Options'!$I:$I,"Weekly*")+SUMIFS('BSE - Other Index Options'!$M:$M,'BSE - Other Index Options'!$C:$C,$A102,'BSE - Other Index Options'!$B:$B,E$4,'BSE - Other Index Options'!$I:$I,"MDAW*")=0,"",SUMIFS('NSE - NIFTY Index Options'!$M:$M,'NSE - NIFTY Index Options'!$C:$C,$A102,'NSE - NIFTY Index Options'!$B:$B,E$4,'NSE - NIFTY Index Options'!$I:$I,"Weekly*")+SUMIFS('NSE - NIFTY Index Options'!$M:$M,'NSE - NIFTY Index Options'!$C:$C,$A102,'NSE - NIFTY Index Options'!$B:$B,E$4,'NSE - NIFTY Index Options'!$I:$I,"MDAW*")+SUMIFS('NSE - Other Index Options'!$M:$M,'NSE - Other Index Options'!$C:$C,$A102,'NSE - Other Index Options'!$B:$B,E$4,'NSE - Other Index Options'!$I:$I,"Weekly*")+SUMIFS('NSE - Other Index Options'!$M:$M,'NSE - Other Index Options'!$C:$C,$A102,'NSE - Other Index Options'!$B:$B,E$4,'NSE - Other Index Options'!$I:$I,"MDAW*")+SUMIFS('BSE - SENSEX Index Options'!$M:$M,'BSE - SENSEX Index Options'!$C:$C,$A102,'BSE - SENSEX Index Options'!$B:$B,E$4,'BSE - SENSEX Index Options'!$I:$I,"Weekly*")+SUMIFS('BSE - SENSEX Index Options'!$M:$M,'BSE - SENSEX Index Options'!$C:$C,$A102,'BSE - SENSEX Index Options'!$B:$B,E$4,'BSE - SENSEX Index Options'!$I:$I,"MDAW*")+SUMIFS('BSE - Other Index Options'!$M:$M,'BSE - Other Index Options'!$C:$C,$A102,'BSE - Other Index Options'!$B:$B,E$4,'BSE - Other Index Options'!$I:$I,"Weekly*")+SUMIFS('BSE - Other Index Options'!$M:$M,'BSE - Other Index Options'!$C:$C,$A102,'BSE - Other Index Options'!$B:$B,E$4,'BSE - Other Index Options'!$I:$I,"MDAW*"))</f>
        <v/>
      </c>
      <c r="F102" s="26">
        <f>IF(SUMIFS('NSE - NIFTY Index Options'!$M:$M,'NSE - NIFTY Index Options'!$C:$C,$A102,'NSE - NIFTY Index Options'!$B:$B,F$4,'NSE - NIFTY Index Options'!$I:$I,"Weekly*")+SUMIFS('NSE - NIFTY Index Options'!$M:$M,'NSE - NIFTY Index Options'!$C:$C,$A102,'NSE - NIFTY Index Options'!$B:$B,F$4,'NSE - NIFTY Index Options'!$I:$I,"MDAW*")+SUMIFS('NSE - Other Index Options'!$M:$M,'NSE - Other Index Options'!$C:$C,$A102,'NSE - Other Index Options'!$B:$B,F$4,'NSE - Other Index Options'!$I:$I,"Weekly*")+SUMIFS('NSE - Other Index Options'!$M:$M,'NSE - Other Index Options'!$C:$C,$A102,'NSE - Other Index Options'!$B:$B,F$4,'NSE - Other Index Options'!$I:$I,"MDAW*")+SUMIFS('BSE - SENSEX Index Options'!$M:$M,'BSE - SENSEX Index Options'!$C:$C,$A102,'BSE - SENSEX Index Options'!$B:$B,F$4,'BSE - SENSEX Index Options'!$I:$I,"Weekly*")+SUMIFS('BSE - SENSEX Index Options'!$M:$M,'BSE - SENSEX Index Options'!$C:$C,$A102,'BSE - SENSEX Index Options'!$B:$B,F$4,'BSE - SENSEX Index Options'!$I:$I,"MDAW*")+SUMIFS('BSE - Other Index Options'!$M:$M,'BSE - Other Index Options'!$C:$C,$A102,'BSE - Other Index Options'!$B:$B,F$4,'BSE - Other Index Options'!$I:$I,"Weekly*")+SUMIFS('BSE - Other Index Options'!$M:$M,'BSE - Other Index Options'!$C:$C,$A102,'BSE - Other Index Options'!$B:$B,F$4,'BSE - Other Index Options'!$I:$I,"MDAW*")=0,"",SUMIFS('NSE - NIFTY Index Options'!$M:$M,'NSE - NIFTY Index Options'!$C:$C,$A102,'NSE - NIFTY Index Options'!$B:$B,F$4,'NSE - NIFTY Index Options'!$I:$I,"Weekly*")+SUMIFS('NSE - NIFTY Index Options'!$M:$M,'NSE - NIFTY Index Options'!$C:$C,$A102,'NSE - NIFTY Index Options'!$B:$B,F$4,'NSE - NIFTY Index Options'!$I:$I,"MDAW*")+SUMIFS('NSE - Other Index Options'!$M:$M,'NSE - Other Index Options'!$C:$C,$A102,'NSE - Other Index Options'!$B:$B,F$4,'NSE - Other Index Options'!$I:$I,"Weekly*")+SUMIFS('NSE - Other Index Options'!$M:$M,'NSE - Other Index Options'!$C:$C,$A102,'NSE - Other Index Options'!$B:$B,F$4,'NSE - Other Index Options'!$I:$I,"MDAW*")+SUMIFS('BSE - SENSEX Index Options'!$M:$M,'BSE - SENSEX Index Options'!$C:$C,$A102,'BSE - SENSEX Index Options'!$B:$B,F$4,'BSE - SENSEX Index Options'!$I:$I,"Weekly*")+SUMIFS('BSE - SENSEX Index Options'!$M:$M,'BSE - SENSEX Index Options'!$C:$C,$A102,'BSE - SENSEX Index Options'!$B:$B,F$4,'BSE - SENSEX Index Options'!$I:$I,"MDAW*")+SUMIFS('BSE - Other Index Options'!$M:$M,'BSE - Other Index Options'!$C:$C,$A102,'BSE - Other Index Options'!$B:$B,F$4,'BSE - Other Index Options'!$I:$I,"Weekly*")+SUMIFS('BSE - Other Index Options'!$M:$M,'BSE - Other Index Options'!$C:$C,$A102,'BSE - Other Index Options'!$B:$B,F$4,'BSE - Other Index Options'!$I:$I,"MDAW*"))</f>
        <v/>
      </c>
      <c r="G102" s="26">
        <f>IF(SUMIFS('NSE - NIFTY Index Options'!$M:$M,'NSE - NIFTY Index Options'!$C:$C,$A102,'NSE - NIFTY Index Options'!$B:$B,G$4,'NSE - NIFTY Index Options'!$I:$I,"Weekly*")+SUMIFS('NSE - NIFTY Index Options'!$M:$M,'NSE - NIFTY Index Options'!$C:$C,$A102,'NSE - NIFTY Index Options'!$B:$B,G$4,'NSE - NIFTY Index Options'!$I:$I,"MDAW*")+SUMIFS('NSE - Other Index Options'!$M:$M,'NSE - Other Index Options'!$C:$C,$A102,'NSE - Other Index Options'!$B:$B,G$4,'NSE - Other Index Options'!$I:$I,"Weekly*")+SUMIFS('NSE - Other Index Options'!$M:$M,'NSE - Other Index Options'!$C:$C,$A102,'NSE - Other Index Options'!$B:$B,G$4,'NSE - Other Index Options'!$I:$I,"MDAW*")+SUMIFS('BSE - SENSEX Index Options'!$M:$M,'BSE - SENSEX Index Options'!$C:$C,$A102,'BSE - SENSEX Index Options'!$B:$B,G$4,'BSE - SENSEX Index Options'!$I:$I,"Weekly*")+SUMIFS('BSE - SENSEX Index Options'!$M:$M,'BSE - SENSEX Index Options'!$C:$C,$A102,'BSE - SENSEX Index Options'!$B:$B,G$4,'BSE - SENSEX Index Options'!$I:$I,"MDAW*")+SUMIFS('BSE - Other Index Options'!$M:$M,'BSE - Other Index Options'!$C:$C,$A102,'BSE - Other Index Options'!$B:$B,G$4,'BSE - Other Index Options'!$I:$I,"Weekly*")+SUMIFS('BSE - Other Index Options'!$M:$M,'BSE - Other Index Options'!$C:$C,$A102,'BSE - Other Index Options'!$B:$B,G$4,'BSE - Other Index Options'!$I:$I,"MDAW*")=0,"",SUMIFS('NSE - NIFTY Index Options'!$M:$M,'NSE - NIFTY Index Options'!$C:$C,$A102,'NSE - NIFTY Index Options'!$B:$B,G$4,'NSE - NIFTY Index Options'!$I:$I,"Weekly*")+SUMIFS('NSE - NIFTY Index Options'!$M:$M,'NSE - NIFTY Index Options'!$C:$C,$A102,'NSE - NIFTY Index Options'!$B:$B,G$4,'NSE - NIFTY Index Options'!$I:$I,"MDAW*")+SUMIFS('NSE - Other Index Options'!$M:$M,'NSE - Other Index Options'!$C:$C,$A102,'NSE - Other Index Options'!$B:$B,G$4,'NSE - Other Index Options'!$I:$I,"Weekly*")+SUMIFS('NSE - Other Index Options'!$M:$M,'NSE - Other Index Options'!$C:$C,$A102,'NSE - Other Index Options'!$B:$B,G$4,'NSE - Other Index Options'!$I:$I,"MDAW*")+SUMIFS('BSE - SENSEX Index Options'!$M:$M,'BSE - SENSEX Index Options'!$C:$C,$A102,'BSE - SENSEX Index Options'!$B:$B,G$4,'BSE - SENSEX Index Options'!$I:$I,"Weekly*")+SUMIFS('BSE - SENSEX Index Options'!$M:$M,'BSE - SENSEX Index Options'!$C:$C,$A102,'BSE - SENSEX Index Options'!$B:$B,G$4,'BSE - SENSEX Index Options'!$I:$I,"MDAW*")+SUMIFS('BSE - Other Index Options'!$M:$M,'BSE - Other Index Options'!$C:$C,$A102,'BSE - Other Index Options'!$B:$B,G$4,'BSE - Other Index Options'!$I:$I,"Weekly*")+SUMIFS('BSE - Other Index Options'!$M:$M,'BSE - Other Index Options'!$C:$C,$A102,'BSE - Other Index Options'!$B:$B,G$4,'BSE - Other Index Options'!$I:$I,"MDAW*"))</f>
        <v/>
      </c>
      <c r="H102" s="26">
        <f>IF(SUM(B102:G102)=0,"",SUM(B102:G102))</f>
        <v/>
      </c>
    </row>
    <row r="103" hidden="1" outlineLevel="1">
      <c r="A103" t="inlineStr">
        <is>
          <t>Week1-May-2027</t>
        </is>
      </c>
      <c r="B103" s="26">
        <f>IF(SUMIFS('NSE - NIFTY Index Options'!$M:$M,'NSE - NIFTY Index Options'!$C:$C,$A103,'NSE - NIFTY Index Options'!$B:$B,B$4,'NSE - NIFTY Index Options'!$I:$I,"Weekly*")+SUMIFS('NSE - NIFTY Index Options'!$M:$M,'NSE - NIFTY Index Options'!$C:$C,$A103,'NSE - NIFTY Index Options'!$B:$B,B$4,'NSE - NIFTY Index Options'!$I:$I,"MDAW*")+SUMIFS('NSE - Other Index Options'!$M:$M,'NSE - Other Index Options'!$C:$C,$A103,'NSE - Other Index Options'!$B:$B,B$4,'NSE - Other Index Options'!$I:$I,"Weekly*")+SUMIFS('NSE - Other Index Options'!$M:$M,'NSE - Other Index Options'!$C:$C,$A103,'NSE - Other Index Options'!$B:$B,B$4,'NSE - Other Index Options'!$I:$I,"MDAW*")+SUMIFS('BSE - SENSEX Index Options'!$M:$M,'BSE - SENSEX Index Options'!$C:$C,$A103,'BSE - SENSEX Index Options'!$B:$B,B$4,'BSE - SENSEX Index Options'!$I:$I,"Weekly*")+SUMIFS('BSE - SENSEX Index Options'!$M:$M,'BSE - SENSEX Index Options'!$C:$C,$A103,'BSE - SENSEX Index Options'!$B:$B,B$4,'BSE - SENSEX Index Options'!$I:$I,"MDAW*")+SUMIFS('BSE - Other Index Options'!$M:$M,'BSE - Other Index Options'!$C:$C,$A103,'BSE - Other Index Options'!$B:$B,B$4,'BSE - Other Index Options'!$I:$I,"Weekly*")+SUMIFS('BSE - Other Index Options'!$M:$M,'BSE - Other Index Options'!$C:$C,$A103,'BSE - Other Index Options'!$B:$B,B$4,'BSE - Other Index Options'!$I:$I,"MDAW*")=0,"",SUMIFS('NSE - NIFTY Index Options'!$M:$M,'NSE - NIFTY Index Options'!$C:$C,$A103,'NSE - NIFTY Index Options'!$B:$B,B$4,'NSE - NIFTY Index Options'!$I:$I,"Weekly*")+SUMIFS('NSE - NIFTY Index Options'!$M:$M,'NSE - NIFTY Index Options'!$C:$C,$A103,'NSE - NIFTY Index Options'!$B:$B,B$4,'NSE - NIFTY Index Options'!$I:$I,"MDAW*")+SUMIFS('NSE - Other Index Options'!$M:$M,'NSE - Other Index Options'!$C:$C,$A103,'NSE - Other Index Options'!$B:$B,B$4,'NSE - Other Index Options'!$I:$I,"Weekly*")+SUMIFS('NSE - Other Index Options'!$M:$M,'NSE - Other Index Options'!$C:$C,$A103,'NSE - Other Index Options'!$B:$B,B$4,'NSE - Other Index Options'!$I:$I,"MDAW*")+SUMIFS('BSE - SENSEX Index Options'!$M:$M,'BSE - SENSEX Index Options'!$C:$C,$A103,'BSE - SENSEX Index Options'!$B:$B,B$4,'BSE - SENSEX Index Options'!$I:$I,"Weekly*")+SUMIFS('BSE - SENSEX Index Options'!$M:$M,'BSE - SENSEX Index Options'!$C:$C,$A103,'BSE - SENSEX Index Options'!$B:$B,B$4,'BSE - SENSEX Index Options'!$I:$I,"MDAW*")+SUMIFS('BSE - Other Index Options'!$M:$M,'BSE - Other Index Options'!$C:$C,$A103,'BSE - Other Index Options'!$B:$B,B$4,'BSE - Other Index Options'!$I:$I,"Weekly*")+SUMIFS('BSE - Other Index Options'!$M:$M,'BSE - Other Index Options'!$C:$C,$A103,'BSE - Other Index Options'!$B:$B,B$4,'BSE - Other Index Options'!$I:$I,"MDAW*"))</f>
        <v/>
      </c>
      <c r="C103" s="26">
        <f>IF(SUMIFS('NSE - NIFTY Index Options'!$M:$M,'NSE - NIFTY Index Options'!$C:$C,$A103,'NSE - NIFTY Index Options'!$B:$B,C$4,'NSE - NIFTY Index Options'!$I:$I,"Weekly*")+SUMIFS('NSE - NIFTY Index Options'!$M:$M,'NSE - NIFTY Index Options'!$C:$C,$A103,'NSE - NIFTY Index Options'!$B:$B,C$4,'NSE - NIFTY Index Options'!$I:$I,"MDAW*")+SUMIFS('NSE - Other Index Options'!$M:$M,'NSE - Other Index Options'!$C:$C,$A103,'NSE - Other Index Options'!$B:$B,C$4,'NSE - Other Index Options'!$I:$I,"Weekly*")+SUMIFS('NSE - Other Index Options'!$M:$M,'NSE - Other Index Options'!$C:$C,$A103,'NSE - Other Index Options'!$B:$B,C$4,'NSE - Other Index Options'!$I:$I,"MDAW*")+SUMIFS('BSE - SENSEX Index Options'!$M:$M,'BSE - SENSEX Index Options'!$C:$C,$A103,'BSE - SENSEX Index Options'!$B:$B,C$4,'BSE - SENSEX Index Options'!$I:$I,"Weekly*")+SUMIFS('BSE - SENSEX Index Options'!$M:$M,'BSE - SENSEX Index Options'!$C:$C,$A103,'BSE - SENSEX Index Options'!$B:$B,C$4,'BSE - SENSEX Index Options'!$I:$I,"MDAW*")+SUMIFS('BSE - Other Index Options'!$M:$M,'BSE - Other Index Options'!$C:$C,$A103,'BSE - Other Index Options'!$B:$B,C$4,'BSE - Other Index Options'!$I:$I,"Weekly*")+SUMIFS('BSE - Other Index Options'!$M:$M,'BSE - Other Index Options'!$C:$C,$A103,'BSE - Other Index Options'!$B:$B,C$4,'BSE - Other Index Options'!$I:$I,"MDAW*")=0,"",SUMIFS('NSE - NIFTY Index Options'!$M:$M,'NSE - NIFTY Index Options'!$C:$C,$A103,'NSE - NIFTY Index Options'!$B:$B,C$4,'NSE - NIFTY Index Options'!$I:$I,"Weekly*")+SUMIFS('NSE - NIFTY Index Options'!$M:$M,'NSE - NIFTY Index Options'!$C:$C,$A103,'NSE - NIFTY Index Options'!$B:$B,C$4,'NSE - NIFTY Index Options'!$I:$I,"MDAW*")+SUMIFS('NSE - Other Index Options'!$M:$M,'NSE - Other Index Options'!$C:$C,$A103,'NSE - Other Index Options'!$B:$B,C$4,'NSE - Other Index Options'!$I:$I,"Weekly*")+SUMIFS('NSE - Other Index Options'!$M:$M,'NSE - Other Index Options'!$C:$C,$A103,'NSE - Other Index Options'!$B:$B,C$4,'NSE - Other Index Options'!$I:$I,"MDAW*")+SUMIFS('BSE - SENSEX Index Options'!$M:$M,'BSE - SENSEX Index Options'!$C:$C,$A103,'BSE - SENSEX Index Options'!$B:$B,C$4,'BSE - SENSEX Index Options'!$I:$I,"Weekly*")+SUMIFS('BSE - SENSEX Index Options'!$M:$M,'BSE - SENSEX Index Options'!$C:$C,$A103,'BSE - SENSEX Index Options'!$B:$B,C$4,'BSE - SENSEX Index Options'!$I:$I,"MDAW*")+SUMIFS('BSE - Other Index Options'!$M:$M,'BSE - Other Index Options'!$C:$C,$A103,'BSE - Other Index Options'!$B:$B,C$4,'BSE - Other Index Options'!$I:$I,"Weekly*")+SUMIFS('BSE - Other Index Options'!$M:$M,'BSE - Other Index Options'!$C:$C,$A103,'BSE - Other Index Options'!$B:$B,C$4,'BSE - Other Index Options'!$I:$I,"MDAW*"))</f>
        <v/>
      </c>
      <c r="D103" s="26">
        <f>IF(SUMIFS('NSE - NIFTY Index Options'!$M:$M,'NSE - NIFTY Index Options'!$C:$C,$A103,'NSE - NIFTY Index Options'!$B:$B,D$4,'NSE - NIFTY Index Options'!$I:$I,"Weekly*")+SUMIFS('NSE - NIFTY Index Options'!$M:$M,'NSE - NIFTY Index Options'!$C:$C,$A103,'NSE - NIFTY Index Options'!$B:$B,D$4,'NSE - NIFTY Index Options'!$I:$I,"MDAW*")+SUMIFS('NSE - Other Index Options'!$M:$M,'NSE - Other Index Options'!$C:$C,$A103,'NSE - Other Index Options'!$B:$B,D$4,'NSE - Other Index Options'!$I:$I,"Weekly*")+SUMIFS('NSE - Other Index Options'!$M:$M,'NSE - Other Index Options'!$C:$C,$A103,'NSE - Other Index Options'!$B:$B,D$4,'NSE - Other Index Options'!$I:$I,"MDAW*")+SUMIFS('BSE - SENSEX Index Options'!$M:$M,'BSE - SENSEX Index Options'!$C:$C,$A103,'BSE - SENSEX Index Options'!$B:$B,D$4,'BSE - SENSEX Index Options'!$I:$I,"Weekly*")+SUMIFS('BSE - SENSEX Index Options'!$M:$M,'BSE - SENSEX Index Options'!$C:$C,$A103,'BSE - SENSEX Index Options'!$B:$B,D$4,'BSE - SENSEX Index Options'!$I:$I,"MDAW*")+SUMIFS('BSE - Other Index Options'!$M:$M,'BSE - Other Index Options'!$C:$C,$A103,'BSE - Other Index Options'!$B:$B,D$4,'BSE - Other Index Options'!$I:$I,"Weekly*")+SUMIFS('BSE - Other Index Options'!$M:$M,'BSE - Other Index Options'!$C:$C,$A103,'BSE - Other Index Options'!$B:$B,D$4,'BSE - Other Index Options'!$I:$I,"MDAW*")=0,"",SUMIFS('NSE - NIFTY Index Options'!$M:$M,'NSE - NIFTY Index Options'!$C:$C,$A103,'NSE - NIFTY Index Options'!$B:$B,D$4,'NSE - NIFTY Index Options'!$I:$I,"Weekly*")+SUMIFS('NSE - NIFTY Index Options'!$M:$M,'NSE - NIFTY Index Options'!$C:$C,$A103,'NSE - NIFTY Index Options'!$B:$B,D$4,'NSE - NIFTY Index Options'!$I:$I,"MDAW*")+SUMIFS('NSE - Other Index Options'!$M:$M,'NSE - Other Index Options'!$C:$C,$A103,'NSE - Other Index Options'!$B:$B,D$4,'NSE - Other Index Options'!$I:$I,"Weekly*")+SUMIFS('NSE - Other Index Options'!$M:$M,'NSE - Other Index Options'!$C:$C,$A103,'NSE - Other Index Options'!$B:$B,D$4,'NSE - Other Index Options'!$I:$I,"MDAW*")+SUMIFS('BSE - SENSEX Index Options'!$M:$M,'BSE - SENSEX Index Options'!$C:$C,$A103,'BSE - SENSEX Index Options'!$B:$B,D$4,'BSE - SENSEX Index Options'!$I:$I,"Weekly*")+SUMIFS('BSE - SENSEX Index Options'!$M:$M,'BSE - SENSEX Index Options'!$C:$C,$A103,'BSE - SENSEX Index Options'!$B:$B,D$4,'BSE - SENSEX Index Options'!$I:$I,"MDAW*")+SUMIFS('BSE - Other Index Options'!$M:$M,'BSE - Other Index Options'!$C:$C,$A103,'BSE - Other Index Options'!$B:$B,D$4,'BSE - Other Index Options'!$I:$I,"Weekly*")+SUMIFS('BSE - Other Index Options'!$M:$M,'BSE - Other Index Options'!$C:$C,$A103,'BSE - Other Index Options'!$B:$B,D$4,'BSE - Other Index Options'!$I:$I,"MDAW*"))</f>
        <v/>
      </c>
      <c r="E103" s="26">
        <f>IF(SUMIFS('NSE - NIFTY Index Options'!$M:$M,'NSE - NIFTY Index Options'!$C:$C,$A103,'NSE - NIFTY Index Options'!$B:$B,E$4,'NSE - NIFTY Index Options'!$I:$I,"Weekly*")+SUMIFS('NSE - NIFTY Index Options'!$M:$M,'NSE - NIFTY Index Options'!$C:$C,$A103,'NSE - NIFTY Index Options'!$B:$B,E$4,'NSE - NIFTY Index Options'!$I:$I,"MDAW*")+SUMIFS('NSE - Other Index Options'!$M:$M,'NSE - Other Index Options'!$C:$C,$A103,'NSE - Other Index Options'!$B:$B,E$4,'NSE - Other Index Options'!$I:$I,"Weekly*")+SUMIFS('NSE - Other Index Options'!$M:$M,'NSE - Other Index Options'!$C:$C,$A103,'NSE - Other Index Options'!$B:$B,E$4,'NSE - Other Index Options'!$I:$I,"MDAW*")+SUMIFS('BSE - SENSEX Index Options'!$M:$M,'BSE - SENSEX Index Options'!$C:$C,$A103,'BSE - SENSEX Index Options'!$B:$B,E$4,'BSE - SENSEX Index Options'!$I:$I,"Weekly*")+SUMIFS('BSE - SENSEX Index Options'!$M:$M,'BSE - SENSEX Index Options'!$C:$C,$A103,'BSE - SENSEX Index Options'!$B:$B,E$4,'BSE - SENSEX Index Options'!$I:$I,"MDAW*")+SUMIFS('BSE - Other Index Options'!$M:$M,'BSE - Other Index Options'!$C:$C,$A103,'BSE - Other Index Options'!$B:$B,E$4,'BSE - Other Index Options'!$I:$I,"Weekly*")+SUMIFS('BSE - Other Index Options'!$M:$M,'BSE - Other Index Options'!$C:$C,$A103,'BSE - Other Index Options'!$B:$B,E$4,'BSE - Other Index Options'!$I:$I,"MDAW*")=0,"",SUMIFS('NSE - NIFTY Index Options'!$M:$M,'NSE - NIFTY Index Options'!$C:$C,$A103,'NSE - NIFTY Index Options'!$B:$B,E$4,'NSE - NIFTY Index Options'!$I:$I,"Weekly*")+SUMIFS('NSE - NIFTY Index Options'!$M:$M,'NSE - NIFTY Index Options'!$C:$C,$A103,'NSE - NIFTY Index Options'!$B:$B,E$4,'NSE - NIFTY Index Options'!$I:$I,"MDAW*")+SUMIFS('NSE - Other Index Options'!$M:$M,'NSE - Other Index Options'!$C:$C,$A103,'NSE - Other Index Options'!$B:$B,E$4,'NSE - Other Index Options'!$I:$I,"Weekly*")+SUMIFS('NSE - Other Index Options'!$M:$M,'NSE - Other Index Options'!$C:$C,$A103,'NSE - Other Index Options'!$B:$B,E$4,'NSE - Other Index Options'!$I:$I,"MDAW*")+SUMIFS('BSE - SENSEX Index Options'!$M:$M,'BSE - SENSEX Index Options'!$C:$C,$A103,'BSE - SENSEX Index Options'!$B:$B,E$4,'BSE - SENSEX Index Options'!$I:$I,"Weekly*")+SUMIFS('BSE - SENSEX Index Options'!$M:$M,'BSE - SENSEX Index Options'!$C:$C,$A103,'BSE - SENSEX Index Options'!$B:$B,E$4,'BSE - SENSEX Index Options'!$I:$I,"MDAW*")+SUMIFS('BSE - Other Index Options'!$M:$M,'BSE - Other Index Options'!$C:$C,$A103,'BSE - Other Index Options'!$B:$B,E$4,'BSE - Other Index Options'!$I:$I,"Weekly*")+SUMIFS('BSE - Other Index Options'!$M:$M,'BSE - Other Index Options'!$C:$C,$A103,'BSE - Other Index Options'!$B:$B,E$4,'BSE - Other Index Options'!$I:$I,"MDAW*"))</f>
        <v/>
      </c>
      <c r="F103" s="26">
        <f>IF(SUMIFS('NSE - NIFTY Index Options'!$M:$M,'NSE - NIFTY Index Options'!$C:$C,$A103,'NSE - NIFTY Index Options'!$B:$B,F$4,'NSE - NIFTY Index Options'!$I:$I,"Weekly*")+SUMIFS('NSE - NIFTY Index Options'!$M:$M,'NSE - NIFTY Index Options'!$C:$C,$A103,'NSE - NIFTY Index Options'!$B:$B,F$4,'NSE - NIFTY Index Options'!$I:$I,"MDAW*")+SUMIFS('NSE - Other Index Options'!$M:$M,'NSE - Other Index Options'!$C:$C,$A103,'NSE - Other Index Options'!$B:$B,F$4,'NSE - Other Index Options'!$I:$I,"Weekly*")+SUMIFS('NSE - Other Index Options'!$M:$M,'NSE - Other Index Options'!$C:$C,$A103,'NSE - Other Index Options'!$B:$B,F$4,'NSE - Other Index Options'!$I:$I,"MDAW*")+SUMIFS('BSE - SENSEX Index Options'!$M:$M,'BSE - SENSEX Index Options'!$C:$C,$A103,'BSE - SENSEX Index Options'!$B:$B,F$4,'BSE - SENSEX Index Options'!$I:$I,"Weekly*")+SUMIFS('BSE - SENSEX Index Options'!$M:$M,'BSE - SENSEX Index Options'!$C:$C,$A103,'BSE - SENSEX Index Options'!$B:$B,F$4,'BSE - SENSEX Index Options'!$I:$I,"MDAW*")+SUMIFS('BSE - Other Index Options'!$M:$M,'BSE - Other Index Options'!$C:$C,$A103,'BSE - Other Index Options'!$B:$B,F$4,'BSE - Other Index Options'!$I:$I,"Weekly*")+SUMIFS('BSE - Other Index Options'!$M:$M,'BSE - Other Index Options'!$C:$C,$A103,'BSE - Other Index Options'!$B:$B,F$4,'BSE - Other Index Options'!$I:$I,"MDAW*")=0,"",SUMIFS('NSE - NIFTY Index Options'!$M:$M,'NSE - NIFTY Index Options'!$C:$C,$A103,'NSE - NIFTY Index Options'!$B:$B,F$4,'NSE - NIFTY Index Options'!$I:$I,"Weekly*")+SUMIFS('NSE - NIFTY Index Options'!$M:$M,'NSE - NIFTY Index Options'!$C:$C,$A103,'NSE - NIFTY Index Options'!$B:$B,F$4,'NSE - NIFTY Index Options'!$I:$I,"MDAW*")+SUMIFS('NSE - Other Index Options'!$M:$M,'NSE - Other Index Options'!$C:$C,$A103,'NSE - Other Index Options'!$B:$B,F$4,'NSE - Other Index Options'!$I:$I,"Weekly*")+SUMIFS('NSE - Other Index Options'!$M:$M,'NSE - Other Index Options'!$C:$C,$A103,'NSE - Other Index Options'!$B:$B,F$4,'NSE - Other Index Options'!$I:$I,"MDAW*")+SUMIFS('BSE - SENSEX Index Options'!$M:$M,'BSE - SENSEX Index Options'!$C:$C,$A103,'BSE - SENSEX Index Options'!$B:$B,F$4,'BSE - SENSEX Index Options'!$I:$I,"Weekly*")+SUMIFS('BSE - SENSEX Index Options'!$M:$M,'BSE - SENSEX Index Options'!$C:$C,$A103,'BSE - SENSEX Index Options'!$B:$B,F$4,'BSE - SENSEX Index Options'!$I:$I,"MDAW*")+SUMIFS('BSE - Other Index Options'!$M:$M,'BSE - Other Index Options'!$C:$C,$A103,'BSE - Other Index Options'!$B:$B,F$4,'BSE - Other Index Options'!$I:$I,"Weekly*")+SUMIFS('BSE - Other Index Options'!$M:$M,'BSE - Other Index Options'!$C:$C,$A103,'BSE - Other Index Options'!$B:$B,F$4,'BSE - Other Index Options'!$I:$I,"MDAW*"))</f>
        <v/>
      </c>
      <c r="G103" s="26">
        <f>IF(SUMIFS('NSE - NIFTY Index Options'!$M:$M,'NSE - NIFTY Index Options'!$C:$C,$A103,'NSE - NIFTY Index Options'!$B:$B,G$4,'NSE - NIFTY Index Options'!$I:$I,"Weekly*")+SUMIFS('NSE - NIFTY Index Options'!$M:$M,'NSE - NIFTY Index Options'!$C:$C,$A103,'NSE - NIFTY Index Options'!$B:$B,G$4,'NSE - NIFTY Index Options'!$I:$I,"MDAW*")+SUMIFS('NSE - Other Index Options'!$M:$M,'NSE - Other Index Options'!$C:$C,$A103,'NSE - Other Index Options'!$B:$B,G$4,'NSE - Other Index Options'!$I:$I,"Weekly*")+SUMIFS('NSE - Other Index Options'!$M:$M,'NSE - Other Index Options'!$C:$C,$A103,'NSE - Other Index Options'!$B:$B,G$4,'NSE - Other Index Options'!$I:$I,"MDAW*")+SUMIFS('BSE - SENSEX Index Options'!$M:$M,'BSE - SENSEX Index Options'!$C:$C,$A103,'BSE - SENSEX Index Options'!$B:$B,G$4,'BSE - SENSEX Index Options'!$I:$I,"Weekly*")+SUMIFS('BSE - SENSEX Index Options'!$M:$M,'BSE - SENSEX Index Options'!$C:$C,$A103,'BSE - SENSEX Index Options'!$B:$B,G$4,'BSE - SENSEX Index Options'!$I:$I,"MDAW*")+SUMIFS('BSE - Other Index Options'!$M:$M,'BSE - Other Index Options'!$C:$C,$A103,'BSE - Other Index Options'!$B:$B,G$4,'BSE - Other Index Options'!$I:$I,"Weekly*")+SUMIFS('BSE - Other Index Options'!$M:$M,'BSE - Other Index Options'!$C:$C,$A103,'BSE - Other Index Options'!$B:$B,G$4,'BSE - Other Index Options'!$I:$I,"MDAW*")=0,"",SUMIFS('NSE - NIFTY Index Options'!$M:$M,'NSE - NIFTY Index Options'!$C:$C,$A103,'NSE - NIFTY Index Options'!$B:$B,G$4,'NSE - NIFTY Index Options'!$I:$I,"Weekly*")+SUMIFS('NSE - NIFTY Index Options'!$M:$M,'NSE - NIFTY Index Options'!$C:$C,$A103,'NSE - NIFTY Index Options'!$B:$B,G$4,'NSE - NIFTY Index Options'!$I:$I,"MDAW*")+SUMIFS('NSE - Other Index Options'!$M:$M,'NSE - Other Index Options'!$C:$C,$A103,'NSE - Other Index Options'!$B:$B,G$4,'NSE - Other Index Options'!$I:$I,"Weekly*")+SUMIFS('NSE - Other Index Options'!$M:$M,'NSE - Other Index Options'!$C:$C,$A103,'NSE - Other Index Options'!$B:$B,G$4,'NSE - Other Index Options'!$I:$I,"MDAW*")+SUMIFS('BSE - SENSEX Index Options'!$M:$M,'BSE - SENSEX Index Options'!$C:$C,$A103,'BSE - SENSEX Index Options'!$B:$B,G$4,'BSE - SENSEX Index Options'!$I:$I,"Weekly*")+SUMIFS('BSE - SENSEX Index Options'!$M:$M,'BSE - SENSEX Index Options'!$C:$C,$A103,'BSE - SENSEX Index Options'!$B:$B,G$4,'BSE - SENSEX Index Options'!$I:$I,"MDAW*")+SUMIFS('BSE - Other Index Options'!$M:$M,'BSE - Other Index Options'!$C:$C,$A103,'BSE - Other Index Options'!$B:$B,G$4,'BSE - Other Index Options'!$I:$I,"Weekly*")+SUMIFS('BSE - Other Index Options'!$M:$M,'BSE - Other Index Options'!$C:$C,$A103,'BSE - Other Index Options'!$B:$B,G$4,'BSE - Other Index Options'!$I:$I,"MDAW*"))</f>
        <v/>
      </c>
      <c r="H103" s="26">
        <f>IF(SUM(B103:G103)=0,"",SUM(B103:G103))</f>
        <v/>
      </c>
    </row>
    <row r="104" hidden="1" outlineLevel="1">
      <c r="A104" t="inlineStr">
        <is>
          <t>Week2-May-2027</t>
        </is>
      </c>
      <c r="B104" s="26">
        <f>IF(SUMIFS('NSE - NIFTY Index Options'!$M:$M,'NSE - NIFTY Index Options'!$C:$C,$A104,'NSE - NIFTY Index Options'!$B:$B,B$4,'NSE - NIFTY Index Options'!$I:$I,"Weekly*")+SUMIFS('NSE - NIFTY Index Options'!$M:$M,'NSE - NIFTY Index Options'!$C:$C,$A104,'NSE - NIFTY Index Options'!$B:$B,B$4,'NSE - NIFTY Index Options'!$I:$I,"MDAW*")+SUMIFS('NSE - Other Index Options'!$M:$M,'NSE - Other Index Options'!$C:$C,$A104,'NSE - Other Index Options'!$B:$B,B$4,'NSE - Other Index Options'!$I:$I,"Weekly*")+SUMIFS('NSE - Other Index Options'!$M:$M,'NSE - Other Index Options'!$C:$C,$A104,'NSE - Other Index Options'!$B:$B,B$4,'NSE - Other Index Options'!$I:$I,"MDAW*")+SUMIFS('BSE - SENSEX Index Options'!$M:$M,'BSE - SENSEX Index Options'!$C:$C,$A104,'BSE - SENSEX Index Options'!$B:$B,B$4,'BSE - SENSEX Index Options'!$I:$I,"Weekly*")+SUMIFS('BSE - SENSEX Index Options'!$M:$M,'BSE - SENSEX Index Options'!$C:$C,$A104,'BSE - SENSEX Index Options'!$B:$B,B$4,'BSE - SENSEX Index Options'!$I:$I,"MDAW*")+SUMIFS('BSE - Other Index Options'!$M:$M,'BSE - Other Index Options'!$C:$C,$A104,'BSE - Other Index Options'!$B:$B,B$4,'BSE - Other Index Options'!$I:$I,"Weekly*")+SUMIFS('BSE - Other Index Options'!$M:$M,'BSE - Other Index Options'!$C:$C,$A104,'BSE - Other Index Options'!$B:$B,B$4,'BSE - Other Index Options'!$I:$I,"MDAW*")=0,"",SUMIFS('NSE - NIFTY Index Options'!$M:$M,'NSE - NIFTY Index Options'!$C:$C,$A104,'NSE - NIFTY Index Options'!$B:$B,B$4,'NSE - NIFTY Index Options'!$I:$I,"Weekly*")+SUMIFS('NSE - NIFTY Index Options'!$M:$M,'NSE - NIFTY Index Options'!$C:$C,$A104,'NSE - NIFTY Index Options'!$B:$B,B$4,'NSE - NIFTY Index Options'!$I:$I,"MDAW*")+SUMIFS('NSE - Other Index Options'!$M:$M,'NSE - Other Index Options'!$C:$C,$A104,'NSE - Other Index Options'!$B:$B,B$4,'NSE - Other Index Options'!$I:$I,"Weekly*")+SUMIFS('NSE - Other Index Options'!$M:$M,'NSE - Other Index Options'!$C:$C,$A104,'NSE - Other Index Options'!$B:$B,B$4,'NSE - Other Index Options'!$I:$I,"MDAW*")+SUMIFS('BSE - SENSEX Index Options'!$M:$M,'BSE - SENSEX Index Options'!$C:$C,$A104,'BSE - SENSEX Index Options'!$B:$B,B$4,'BSE - SENSEX Index Options'!$I:$I,"Weekly*")+SUMIFS('BSE - SENSEX Index Options'!$M:$M,'BSE - SENSEX Index Options'!$C:$C,$A104,'BSE - SENSEX Index Options'!$B:$B,B$4,'BSE - SENSEX Index Options'!$I:$I,"MDAW*")+SUMIFS('BSE - Other Index Options'!$M:$M,'BSE - Other Index Options'!$C:$C,$A104,'BSE - Other Index Options'!$B:$B,B$4,'BSE - Other Index Options'!$I:$I,"Weekly*")+SUMIFS('BSE - Other Index Options'!$M:$M,'BSE - Other Index Options'!$C:$C,$A104,'BSE - Other Index Options'!$B:$B,B$4,'BSE - Other Index Options'!$I:$I,"MDAW*"))</f>
        <v/>
      </c>
      <c r="C104" s="26">
        <f>IF(SUMIFS('NSE - NIFTY Index Options'!$M:$M,'NSE - NIFTY Index Options'!$C:$C,$A104,'NSE - NIFTY Index Options'!$B:$B,C$4,'NSE - NIFTY Index Options'!$I:$I,"Weekly*")+SUMIFS('NSE - NIFTY Index Options'!$M:$M,'NSE - NIFTY Index Options'!$C:$C,$A104,'NSE - NIFTY Index Options'!$B:$B,C$4,'NSE - NIFTY Index Options'!$I:$I,"MDAW*")+SUMIFS('NSE - Other Index Options'!$M:$M,'NSE - Other Index Options'!$C:$C,$A104,'NSE - Other Index Options'!$B:$B,C$4,'NSE - Other Index Options'!$I:$I,"Weekly*")+SUMIFS('NSE - Other Index Options'!$M:$M,'NSE - Other Index Options'!$C:$C,$A104,'NSE - Other Index Options'!$B:$B,C$4,'NSE - Other Index Options'!$I:$I,"MDAW*")+SUMIFS('BSE - SENSEX Index Options'!$M:$M,'BSE - SENSEX Index Options'!$C:$C,$A104,'BSE - SENSEX Index Options'!$B:$B,C$4,'BSE - SENSEX Index Options'!$I:$I,"Weekly*")+SUMIFS('BSE - SENSEX Index Options'!$M:$M,'BSE - SENSEX Index Options'!$C:$C,$A104,'BSE - SENSEX Index Options'!$B:$B,C$4,'BSE - SENSEX Index Options'!$I:$I,"MDAW*")+SUMIFS('BSE - Other Index Options'!$M:$M,'BSE - Other Index Options'!$C:$C,$A104,'BSE - Other Index Options'!$B:$B,C$4,'BSE - Other Index Options'!$I:$I,"Weekly*")+SUMIFS('BSE - Other Index Options'!$M:$M,'BSE - Other Index Options'!$C:$C,$A104,'BSE - Other Index Options'!$B:$B,C$4,'BSE - Other Index Options'!$I:$I,"MDAW*")=0,"",SUMIFS('NSE - NIFTY Index Options'!$M:$M,'NSE - NIFTY Index Options'!$C:$C,$A104,'NSE - NIFTY Index Options'!$B:$B,C$4,'NSE - NIFTY Index Options'!$I:$I,"Weekly*")+SUMIFS('NSE - NIFTY Index Options'!$M:$M,'NSE - NIFTY Index Options'!$C:$C,$A104,'NSE - NIFTY Index Options'!$B:$B,C$4,'NSE - NIFTY Index Options'!$I:$I,"MDAW*")+SUMIFS('NSE - Other Index Options'!$M:$M,'NSE - Other Index Options'!$C:$C,$A104,'NSE - Other Index Options'!$B:$B,C$4,'NSE - Other Index Options'!$I:$I,"Weekly*")+SUMIFS('NSE - Other Index Options'!$M:$M,'NSE - Other Index Options'!$C:$C,$A104,'NSE - Other Index Options'!$B:$B,C$4,'NSE - Other Index Options'!$I:$I,"MDAW*")+SUMIFS('BSE - SENSEX Index Options'!$M:$M,'BSE - SENSEX Index Options'!$C:$C,$A104,'BSE - SENSEX Index Options'!$B:$B,C$4,'BSE - SENSEX Index Options'!$I:$I,"Weekly*")+SUMIFS('BSE - SENSEX Index Options'!$M:$M,'BSE - SENSEX Index Options'!$C:$C,$A104,'BSE - SENSEX Index Options'!$B:$B,C$4,'BSE - SENSEX Index Options'!$I:$I,"MDAW*")+SUMIFS('BSE - Other Index Options'!$M:$M,'BSE - Other Index Options'!$C:$C,$A104,'BSE - Other Index Options'!$B:$B,C$4,'BSE - Other Index Options'!$I:$I,"Weekly*")+SUMIFS('BSE - Other Index Options'!$M:$M,'BSE - Other Index Options'!$C:$C,$A104,'BSE - Other Index Options'!$B:$B,C$4,'BSE - Other Index Options'!$I:$I,"MDAW*"))</f>
        <v/>
      </c>
      <c r="D104" s="26">
        <f>IF(SUMIFS('NSE - NIFTY Index Options'!$M:$M,'NSE - NIFTY Index Options'!$C:$C,$A104,'NSE - NIFTY Index Options'!$B:$B,D$4,'NSE - NIFTY Index Options'!$I:$I,"Weekly*")+SUMIFS('NSE - NIFTY Index Options'!$M:$M,'NSE - NIFTY Index Options'!$C:$C,$A104,'NSE - NIFTY Index Options'!$B:$B,D$4,'NSE - NIFTY Index Options'!$I:$I,"MDAW*")+SUMIFS('NSE - Other Index Options'!$M:$M,'NSE - Other Index Options'!$C:$C,$A104,'NSE - Other Index Options'!$B:$B,D$4,'NSE - Other Index Options'!$I:$I,"Weekly*")+SUMIFS('NSE - Other Index Options'!$M:$M,'NSE - Other Index Options'!$C:$C,$A104,'NSE - Other Index Options'!$B:$B,D$4,'NSE - Other Index Options'!$I:$I,"MDAW*")+SUMIFS('BSE - SENSEX Index Options'!$M:$M,'BSE - SENSEX Index Options'!$C:$C,$A104,'BSE - SENSEX Index Options'!$B:$B,D$4,'BSE - SENSEX Index Options'!$I:$I,"Weekly*")+SUMIFS('BSE - SENSEX Index Options'!$M:$M,'BSE - SENSEX Index Options'!$C:$C,$A104,'BSE - SENSEX Index Options'!$B:$B,D$4,'BSE - SENSEX Index Options'!$I:$I,"MDAW*")+SUMIFS('BSE - Other Index Options'!$M:$M,'BSE - Other Index Options'!$C:$C,$A104,'BSE - Other Index Options'!$B:$B,D$4,'BSE - Other Index Options'!$I:$I,"Weekly*")+SUMIFS('BSE - Other Index Options'!$M:$M,'BSE - Other Index Options'!$C:$C,$A104,'BSE - Other Index Options'!$B:$B,D$4,'BSE - Other Index Options'!$I:$I,"MDAW*")=0,"",SUMIFS('NSE - NIFTY Index Options'!$M:$M,'NSE - NIFTY Index Options'!$C:$C,$A104,'NSE - NIFTY Index Options'!$B:$B,D$4,'NSE - NIFTY Index Options'!$I:$I,"Weekly*")+SUMIFS('NSE - NIFTY Index Options'!$M:$M,'NSE - NIFTY Index Options'!$C:$C,$A104,'NSE - NIFTY Index Options'!$B:$B,D$4,'NSE - NIFTY Index Options'!$I:$I,"MDAW*")+SUMIFS('NSE - Other Index Options'!$M:$M,'NSE - Other Index Options'!$C:$C,$A104,'NSE - Other Index Options'!$B:$B,D$4,'NSE - Other Index Options'!$I:$I,"Weekly*")+SUMIFS('NSE - Other Index Options'!$M:$M,'NSE - Other Index Options'!$C:$C,$A104,'NSE - Other Index Options'!$B:$B,D$4,'NSE - Other Index Options'!$I:$I,"MDAW*")+SUMIFS('BSE - SENSEX Index Options'!$M:$M,'BSE - SENSEX Index Options'!$C:$C,$A104,'BSE - SENSEX Index Options'!$B:$B,D$4,'BSE - SENSEX Index Options'!$I:$I,"Weekly*")+SUMIFS('BSE - SENSEX Index Options'!$M:$M,'BSE - SENSEX Index Options'!$C:$C,$A104,'BSE - SENSEX Index Options'!$B:$B,D$4,'BSE - SENSEX Index Options'!$I:$I,"MDAW*")+SUMIFS('BSE - Other Index Options'!$M:$M,'BSE - Other Index Options'!$C:$C,$A104,'BSE - Other Index Options'!$B:$B,D$4,'BSE - Other Index Options'!$I:$I,"Weekly*")+SUMIFS('BSE - Other Index Options'!$M:$M,'BSE - Other Index Options'!$C:$C,$A104,'BSE - Other Index Options'!$B:$B,D$4,'BSE - Other Index Options'!$I:$I,"MDAW*"))</f>
        <v/>
      </c>
      <c r="E104" s="26">
        <f>IF(SUMIFS('NSE - NIFTY Index Options'!$M:$M,'NSE - NIFTY Index Options'!$C:$C,$A104,'NSE - NIFTY Index Options'!$B:$B,E$4,'NSE - NIFTY Index Options'!$I:$I,"Weekly*")+SUMIFS('NSE - NIFTY Index Options'!$M:$M,'NSE - NIFTY Index Options'!$C:$C,$A104,'NSE - NIFTY Index Options'!$B:$B,E$4,'NSE - NIFTY Index Options'!$I:$I,"MDAW*")+SUMIFS('NSE - Other Index Options'!$M:$M,'NSE - Other Index Options'!$C:$C,$A104,'NSE - Other Index Options'!$B:$B,E$4,'NSE - Other Index Options'!$I:$I,"Weekly*")+SUMIFS('NSE - Other Index Options'!$M:$M,'NSE - Other Index Options'!$C:$C,$A104,'NSE - Other Index Options'!$B:$B,E$4,'NSE - Other Index Options'!$I:$I,"MDAW*")+SUMIFS('BSE - SENSEX Index Options'!$M:$M,'BSE - SENSEX Index Options'!$C:$C,$A104,'BSE - SENSEX Index Options'!$B:$B,E$4,'BSE - SENSEX Index Options'!$I:$I,"Weekly*")+SUMIFS('BSE - SENSEX Index Options'!$M:$M,'BSE - SENSEX Index Options'!$C:$C,$A104,'BSE - SENSEX Index Options'!$B:$B,E$4,'BSE - SENSEX Index Options'!$I:$I,"MDAW*")+SUMIFS('BSE - Other Index Options'!$M:$M,'BSE - Other Index Options'!$C:$C,$A104,'BSE - Other Index Options'!$B:$B,E$4,'BSE - Other Index Options'!$I:$I,"Weekly*")+SUMIFS('BSE - Other Index Options'!$M:$M,'BSE - Other Index Options'!$C:$C,$A104,'BSE - Other Index Options'!$B:$B,E$4,'BSE - Other Index Options'!$I:$I,"MDAW*")=0,"",SUMIFS('NSE - NIFTY Index Options'!$M:$M,'NSE - NIFTY Index Options'!$C:$C,$A104,'NSE - NIFTY Index Options'!$B:$B,E$4,'NSE - NIFTY Index Options'!$I:$I,"Weekly*")+SUMIFS('NSE - NIFTY Index Options'!$M:$M,'NSE - NIFTY Index Options'!$C:$C,$A104,'NSE - NIFTY Index Options'!$B:$B,E$4,'NSE - NIFTY Index Options'!$I:$I,"MDAW*")+SUMIFS('NSE - Other Index Options'!$M:$M,'NSE - Other Index Options'!$C:$C,$A104,'NSE - Other Index Options'!$B:$B,E$4,'NSE - Other Index Options'!$I:$I,"Weekly*")+SUMIFS('NSE - Other Index Options'!$M:$M,'NSE - Other Index Options'!$C:$C,$A104,'NSE - Other Index Options'!$B:$B,E$4,'NSE - Other Index Options'!$I:$I,"MDAW*")+SUMIFS('BSE - SENSEX Index Options'!$M:$M,'BSE - SENSEX Index Options'!$C:$C,$A104,'BSE - SENSEX Index Options'!$B:$B,E$4,'BSE - SENSEX Index Options'!$I:$I,"Weekly*")+SUMIFS('BSE - SENSEX Index Options'!$M:$M,'BSE - SENSEX Index Options'!$C:$C,$A104,'BSE - SENSEX Index Options'!$B:$B,E$4,'BSE - SENSEX Index Options'!$I:$I,"MDAW*")+SUMIFS('BSE - Other Index Options'!$M:$M,'BSE - Other Index Options'!$C:$C,$A104,'BSE - Other Index Options'!$B:$B,E$4,'BSE - Other Index Options'!$I:$I,"Weekly*")+SUMIFS('BSE - Other Index Options'!$M:$M,'BSE - Other Index Options'!$C:$C,$A104,'BSE - Other Index Options'!$B:$B,E$4,'BSE - Other Index Options'!$I:$I,"MDAW*"))</f>
        <v/>
      </c>
      <c r="F104" s="26">
        <f>IF(SUMIFS('NSE - NIFTY Index Options'!$M:$M,'NSE - NIFTY Index Options'!$C:$C,$A104,'NSE - NIFTY Index Options'!$B:$B,F$4,'NSE - NIFTY Index Options'!$I:$I,"Weekly*")+SUMIFS('NSE - NIFTY Index Options'!$M:$M,'NSE - NIFTY Index Options'!$C:$C,$A104,'NSE - NIFTY Index Options'!$B:$B,F$4,'NSE - NIFTY Index Options'!$I:$I,"MDAW*")+SUMIFS('NSE - Other Index Options'!$M:$M,'NSE - Other Index Options'!$C:$C,$A104,'NSE - Other Index Options'!$B:$B,F$4,'NSE - Other Index Options'!$I:$I,"Weekly*")+SUMIFS('NSE - Other Index Options'!$M:$M,'NSE - Other Index Options'!$C:$C,$A104,'NSE - Other Index Options'!$B:$B,F$4,'NSE - Other Index Options'!$I:$I,"MDAW*")+SUMIFS('BSE - SENSEX Index Options'!$M:$M,'BSE - SENSEX Index Options'!$C:$C,$A104,'BSE - SENSEX Index Options'!$B:$B,F$4,'BSE - SENSEX Index Options'!$I:$I,"Weekly*")+SUMIFS('BSE - SENSEX Index Options'!$M:$M,'BSE - SENSEX Index Options'!$C:$C,$A104,'BSE - SENSEX Index Options'!$B:$B,F$4,'BSE - SENSEX Index Options'!$I:$I,"MDAW*")+SUMIFS('BSE - Other Index Options'!$M:$M,'BSE - Other Index Options'!$C:$C,$A104,'BSE - Other Index Options'!$B:$B,F$4,'BSE - Other Index Options'!$I:$I,"Weekly*")+SUMIFS('BSE - Other Index Options'!$M:$M,'BSE - Other Index Options'!$C:$C,$A104,'BSE - Other Index Options'!$B:$B,F$4,'BSE - Other Index Options'!$I:$I,"MDAW*")=0,"",SUMIFS('NSE - NIFTY Index Options'!$M:$M,'NSE - NIFTY Index Options'!$C:$C,$A104,'NSE - NIFTY Index Options'!$B:$B,F$4,'NSE - NIFTY Index Options'!$I:$I,"Weekly*")+SUMIFS('NSE - NIFTY Index Options'!$M:$M,'NSE - NIFTY Index Options'!$C:$C,$A104,'NSE - NIFTY Index Options'!$B:$B,F$4,'NSE - NIFTY Index Options'!$I:$I,"MDAW*")+SUMIFS('NSE - Other Index Options'!$M:$M,'NSE - Other Index Options'!$C:$C,$A104,'NSE - Other Index Options'!$B:$B,F$4,'NSE - Other Index Options'!$I:$I,"Weekly*")+SUMIFS('NSE - Other Index Options'!$M:$M,'NSE - Other Index Options'!$C:$C,$A104,'NSE - Other Index Options'!$B:$B,F$4,'NSE - Other Index Options'!$I:$I,"MDAW*")+SUMIFS('BSE - SENSEX Index Options'!$M:$M,'BSE - SENSEX Index Options'!$C:$C,$A104,'BSE - SENSEX Index Options'!$B:$B,F$4,'BSE - SENSEX Index Options'!$I:$I,"Weekly*")+SUMIFS('BSE - SENSEX Index Options'!$M:$M,'BSE - SENSEX Index Options'!$C:$C,$A104,'BSE - SENSEX Index Options'!$B:$B,F$4,'BSE - SENSEX Index Options'!$I:$I,"MDAW*")+SUMIFS('BSE - Other Index Options'!$M:$M,'BSE - Other Index Options'!$C:$C,$A104,'BSE - Other Index Options'!$B:$B,F$4,'BSE - Other Index Options'!$I:$I,"Weekly*")+SUMIFS('BSE - Other Index Options'!$M:$M,'BSE - Other Index Options'!$C:$C,$A104,'BSE - Other Index Options'!$B:$B,F$4,'BSE - Other Index Options'!$I:$I,"MDAW*"))</f>
        <v/>
      </c>
      <c r="G104" s="26">
        <f>IF(SUMIFS('NSE - NIFTY Index Options'!$M:$M,'NSE - NIFTY Index Options'!$C:$C,$A104,'NSE - NIFTY Index Options'!$B:$B,G$4,'NSE - NIFTY Index Options'!$I:$I,"Weekly*")+SUMIFS('NSE - NIFTY Index Options'!$M:$M,'NSE - NIFTY Index Options'!$C:$C,$A104,'NSE - NIFTY Index Options'!$B:$B,G$4,'NSE - NIFTY Index Options'!$I:$I,"MDAW*")+SUMIFS('NSE - Other Index Options'!$M:$M,'NSE - Other Index Options'!$C:$C,$A104,'NSE - Other Index Options'!$B:$B,G$4,'NSE - Other Index Options'!$I:$I,"Weekly*")+SUMIFS('NSE - Other Index Options'!$M:$M,'NSE - Other Index Options'!$C:$C,$A104,'NSE - Other Index Options'!$B:$B,G$4,'NSE - Other Index Options'!$I:$I,"MDAW*")+SUMIFS('BSE - SENSEX Index Options'!$M:$M,'BSE - SENSEX Index Options'!$C:$C,$A104,'BSE - SENSEX Index Options'!$B:$B,G$4,'BSE - SENSEX Index Options'!$I:$I,"Weekly*")+SUMIFS('BSE - SENSEX Index Options'!$M:$M,'BSE - SENSEX Index Options'!$C:$C,$A104,'BSE - SENSEX Index Options'!$B:$B,G$4,'BSE - SENSEX Index Options'!$I:$I,"MDAW*")+SUMIFS('BSE - Other Index Options'!$M:$M,'BSE - Other Index Options'!$C:$C,$A104,'BSE - Other Index Options'!$B:$B,G$4,'BSE - Other Index Options'!$I:$I,"Weekly*")+SUMIFS('BSE - Other Index Options'!$M:$M,'BSE - Other Index Options'!$C:$C,$A104,'BSE - Other Index Options'!$B:$B,G$4,'BSE - Other Index Options'!$I:$I,"MDAW*")=0,"",SUMIFS('NSE - NIFTY Index Options'!$M:$M,'NSE - NIFTY Index Options'!$C:$C,$A104,'NSE - NIFTY Index Options'!$B:$B,G$4,'NSE - NIFTY Index Options'!$I:$I,"Weekly*")+SUMIFS('NSE - NIFTY Index Options'!$M:$M,'NSE - NIFTY Index Options'!$C:$C,$A104,'NSE - NIFTY Index Options'!$B:$B,G$4,'NSE - NIFTY Index Options'!$I:$I,"MDAW*")+SUMIFS('NSE - Other Index Options'!$M:$M,'NSE - Other Index Options'!$C:$C,$A104,'NSE - Other Index Options'!$B:$B,G$4,'NSE - Other Index Options'!$I:$I,"Weekly*")+SUMIFS('NSE - Other Index Options'!$M:$M,'NSE - Other Index Options'!$C:$C,$A104,'NSE - Other Index Options'!$B:$B,G$4,'NSE - Other Index Options'!$I:$I,"MDAW*")+SUMIFS('BSE - SENSEX Index Options'!$M:$M,'BSE - SENSEX Index Options'!$C:$C,$A104,'BSE - SENSEX Index Options'!$B:$B,G$4,'BSE - SENSEX Index Options'!$I:$I,"Weekly*")+SUMIFS('BSE - SENSEX Index Options'!$M:$M,'BSE - SENSEX Index Options'!$C:$C,$A104,'BSE - SENSEX Index Options'!$B:$B,G$4,'BSE - SENSEX Index Options'!$I:$I,"MDAW*")+SUMIFS('BSE - Other Index Options'!$M:$M,'BSE - Other Index Options'!$C:$C,$A104,'BSE - Other Index Options'!$B:$B,G$4,'BSE - Other Index Options'!$I:$I,"Weekly*")+SUMIFS('BSE - Other Index Options'!$M:$M,'BSE - Other Index Options'!$C:$C,$A104,'BSE - Other Index Options'!$B:$B,G$4,'BSE - Other Index Options'!$I:$I,"MDAW*"))</f>
        <v/>
      </c>
      <c r="H104" s="26">
        <f>IF(SUM(B104:G104)=0,"",SUM(B104:G104))</f>
        <v/>
      </c>
    </row>
    <row r="105" hidden="1" outlineLevel="1">
      <c r="A105" t="inlineStr">
        <is>
          <t>Week3-May-2027</t>
        </is>
      </c>
      <c r="B105" s="26">
        <f>IF(SUMIFS('NSE - NIFTY Index Options'!$M:$M,'NSE - NIFTY Index Options'!$C:$C,$A105,'NSE - NIFTY Index Options'!$B:$B,B$4,'NSE - NIFTY Index Options'!$I:$I,"Weekly*")+SUMIFS('NSE - NIFTY Index Options'!$M:$M,'NSE - NIFTY Index Options'!$C:$C,$A105,'NSE - NIFTY Index Options'!$B:$B,B$4,'NSE - NIFTY Index Options'!$I:$I,"MDAW*")+SUMIFS('NSE - Other Index Options'!$M:$M,'NSE - Other Index Options'!$C:$C,$A105,'NSE - Other Index Options'!$B:$B,B$4,'NSE - Other Index Options'!$I:$I,"Weekly*")+SUMIFS('NSE - Other Index Options'!$M:$M,'NSE - Other Index Options'!$C:$C,$A105,'NSE - Other Index Options'!$B:$B,B$4,'NSE - Other Index Options'!$I:$I,"MDAW*")+SUMIFS('BSE - SENSEX Index Options'!$M:$M,'BSE - SENSEX Index Options'!$C:$C,$A105,'BSE - SENSEX Index Options'!$B:$B,B$4,'BSE - SENSEX Index Options'!$I:$I,"Weekly*")+SUMIFS('BSE - SENSEX Index Options'!$M:$M,'BSE - SENSEX Index Options'!$C:$C,$A105,'BSE - SENSEX Index Options'!$B:$B,B$4,'BSE - SENSEX Index Options'!$I:$I,"MDAW*")+SUMIFS('BSE - Other Index Options'!$M:$M,'BSE - Other Index Options'!$C:$C,$A105,'BSE - Other Index Options'!$B:$B,B$4,'BSE - Other Index Options'!$I:$I,"Weekly*")+SUMIFS('BSE - Other Index Options'!$M:$M,'BSE - Other Index Options'!$C:$C,$A105,'BSE - Other Index Options'!$B:$B,B$4,'BSE - Other Index Options'!$I:$I,"MDAW*")=0,"",SUMIFS('NSE - NIFTY Index Options'!$M:$M,'NSE - NIFTY Index Options'!$C:$C,$A105,'NSE - NIFTY Index Options'!$B:$B,B$4,'NSE - NIFTY Index Options'!$I:$I,"Weekly*")+SUMIFS('NSE - NIFTY Index Options'!$M:$M,'NSE - NIFTY Index Options'!$C:$C,$A105,'NSE - NIFTY Index Options'!$B:$B,B$4,'NSE - NIFTY Index Options'!$I:$I,"MDAW*")+SUMIFS('NSE - Other Index Options'!$M:$M,'NSE - Other Index Options'!$C:$C,$A105,'NSE - Other Index Options'!$B:$B,B$4,'NSE - Other Index Options'!$I:$I,"Weekly*")+SUMIFS('NSE - Other Index Options'!$M:$M,'NSE - Other Index Options'!$C:$C,$A105,'NSE - Other Index Options'!$B:$B,B$4,'NSE - Other Index Options'!$I:$I,"MDAW*")+SUMIFS('BSE - SENSEX Index Options'!$M:$M,'BSE - SENSEX Index Options'!$C:$C,$A105,'BSE - SENSEX Index Options'!$B:$B,B$4,'BSE - SENSEX Index Options'!$I:$I,"Weekly*")+SUMIFS('BSE - SENSEX Index Options'!$M:$M,'BSE - SENSEX Index Options'!$C:$C,$A105,'BSE - SENSEX Index Options'!$B:$B,B$4,'BSE - SENSEX Index Options'!$I:$I,"MDAW*")+SUMIFS('BSE - Other Index Options'!$M:$M,'BSE - Other Index Options'!$C:$C,$A105,'BSE - Other Index Options'!$B:$B,B$4,'BSE - Other Index Options'!$I:$I,"Weekly*")+SUMIFS('BSE - Other Index Options'!$M:$M,'BSE - Other Index Options'!$C:$C,$A105,'BSE - Other Index Options'!$B:$B,B$4,'BSE - Other Index Options'!$I:$I,"MDAW*"))</f>
        <v/>
      </c>
      <c r="C105" s="26">
        <f>IF(SUMIFS('NSE - NIFTY Index Options'!$M:$M,'NSE - NIFTY Index Options'!$C:$C,$A105,'NSE - NIFTY Index Options'!$B:$B,C$4,'NSE - NIFTY Index Options'!$I:$I,"Weekly*")+SUMIFS('NSE - NIFTY Index Options'!$M:$M,'NSE - NIFTY Index Options'!$C:$C,$A105,'NSE - NIFTY Index Options'!$B:$B,C$4,'NSE - NIFTY Index Options'!$I:$I,"MDAW*")+SUMIFS('NSE - Other Index Options'!$M:$M,'NSE - Other Index Options'!$C:$C,$A105,'NSE - Other Index Options'!$B:$B,C$4,'NSE - Other Index Options'!$I:$I,"Weekly*")+SUMIFS('NSE - Other Index Options'!$M:$M,'NSE - Other Index Options'!$C:$C,$A105,'NSE - Other Index Options'!$B:$B,C$4,'NSE - Other Index Options'!$I:$I,"MDAW*")+SUMIFS('BSE - SENSEX Index Options'!$M:$M,'BSE - SENSEX Index Options'!$C:$C,$A105,'BSE - SENSEX Index Options'!$B:$B,C$4,'BSE - SENSEX Index Options'!$I:$I,"Weekly*")+SUMIFS('BSE - SENSEX Index Options'!$M:$M,'BSE - SENSEX Index Options'!$C:$C,$A105,'BSE - SENSEX Index Options'!$B:$B,C$4,'BSE - SENSEX Index Options'!$I:$I,"MDAW*")+SUMIFS('BSE - Other Index Options'!$M:$M,'BSE - Other Index Options'!$C:$C,$A105,'BSE - Other Index Options'!$B:$B,C$4,'BSE - Other Index Options'!$I:$I,"Weekly*")+SUMIFS('BSE - Other Index Options'!$M:$M,'BSE - Other Index Options'!$C:$C,$A105,'BSE - Other Index Options'!$B:$B,C$4,'BSE - Other Index Options'!$I:$I,"MDAW*")=0,"",SUMIFS('NSE - NIFTY Index Options'!$M:$M,'NSE - NIFTY Index Options'!$C:$C,$A105,'NSE - NIFTY Index Options'!$B:$B,C$4,'NSE - NIFTY Index Options'!$I:$I,"Weekly*")+SUMIFS('NSE - NIFTY Index Options'!$M:$M,'NSE - NIFTY Index Options'!$C:$C,$A105,'NSE - NIFTY Index Options'!$B:$B,C$4,'NSE - NIFTY Index Options'!$I:$I,"MDAW*")+SUMIFS('NSE - Other Index Options'!$M:$M,'NSE - Other Index Options'!$C:$C,$A105,'NSE - Other Index Options'!$B:$B,C$4,'NSE - Other Index Options'!$I:$I,"Weekly*")+SUMIFS('NSE - Other Index Options'!$M:$M,'NSE - Other Index Options'!$C:$C,$A105,'NSE - Other Index Options'!$B:$B,C$4,'NSE - Other Index Options'!$I:$I,"MDAW*")+SUMIFS('BSE - SENSEX Index Options'!$M:$M,'BSE - SENSEX Index Options'!$C:$C,$A105,'BSE - SENSEX Index Options'!$B:$B,C$4,'BSE - SENSEX Index Options'!$I:$I,"Weekly*")+SUMIFS('BSE - SENSEX Index Options'!$M:$M,'BSE - SENSEX Index Options'!$C:$C,$A105,'BSE - SENSEX Index Options'!$B:$B,C$4,'BSE - SENSEX Index Options'!$I:$I,"MDAW*")+SUMIFS('BSE - Other Index Options'!$M:$M,'BSE - Other Index Options'!$C:$C,$A105,'BSE - Other Index Options'!$B:$B,C$4,'BSE - Other Index Options'!$I:$I,"Weekly*")+SUMIFS('BSE - Other Index Options'!$M:$M,'BSE - Other Index Options'!$C:$C,$A105,'BSE - Other Index Options'!$B:$B,C$4,'BSE - Other Index Options'!$I:$I,"MDAW*"))</f>
        <v/>
      </c>
      <c r="D105" s="26">
        <f>IF(SUMIFS('NSE - NIFTY Index Options'!$M:$M,'NSE - NIFTY Index Options'!$C:$C,$A105,'NSE - NIFTY Index Options'!$B:$B,D$4,'NSE - NIFTY Index Options'!$I:$I,"Weekly*")+SUMIFS('NSE - NIFTY Index Options'!$M:$M,'NSE - NIFTY Index Options'!$C:$C,$A105,'NSE - NIFTY Index Options'!$B:$B,D$4,'NSE - NIFTY Index Options'!$I:$I,"MDAW*")+SUMIFS('NSE - Other Index Options'!$M:$M,'NSE - Other Index Options'!$C:$C,$A105,'NSE - Other Index Options'!$B:$B,D$4,'NSE - Other Index Options'!$I:$I,"Weekly*")+SUMIFS('NSE - Other Index Options'!$M:$M,'NSE - Other Index Options'!$C:$C,$A105,'NSE - Other Index Options'!$B:$B,D$4,'NSE - Other Index Options'!$I:$I,"MDAW*")+SUMIFS('BSE - SENSEX Index Options'!$M:$M,'BSE - SENSEX Index Options'!$C:$C,$A105,'BSE - SENSEX Index Options'!$B:$B,D$4,'BSE - SENSEX Index Options'!$I:$I,"Weekly*")+SUMIFS('BSE - SENSEX Index Options'!$M:$M,'BSE - SENSEX Index Options'!$C:$C,$A105,'BSE - SENSEX Index Options'!$B:$B,D$4,'BSE - SENSEX Index Options'!$I:$I,"MDAW*")+SUMIFS('BSE - Other Index Options'!$M:$M,'BSE - Other Index Options'!$C:$C,$A105,'BSE - Other Index Options'!$B:$B,D$4,'BSE - Other Index Options'!$I:$I,"Weekly*")+SUMIFS('BSE - Other Index Options'!$M:$M,'BSE - Other Index Options'!$C:$C,$A105,'BSE - Other Index Options'!$B:$B,D$4,'BSE - Other Index Options'!$I:$I,"MDAW*")=0,"",SUMIFS('NSE - NIFTY Index Options'!$M:$M,'NSE - NIFTY Index Options'!$C:$C,$A105,'NSE - NIFTY Index Options'!$B:$B,D$4,'NSE - NIFTY Index Options'!$I:$I,"Weekly*")+SUMIFS('NSE - NIFTY Index Options'!$M:$M,'NSE - NIFTY Index Options'!$C:$C,$A105,'NSE - NIFTY Index Options'!$B:$B,D$4,'NSE - NIFTY Index Options'!$I:$I,"MDAW*")+SUMIFS('NSE - Other Index Options'!$M:$M,'NSE - Other Index Options'!$C:$C,$A105,'NSE - Other Index Options'!$B:$B,D$4,'NSE - Other Index Options'!$I:$I,"Weekly*")+SUMIFS('NSE - Other Index Options'!$M:$M,'NSE - Other Index Options'!$C:$C,$A105,'NSE - Other Index Options'!$B:$B,D$4,'NSE - Other Index Options'!$I:$I,"MDAW*")+SUMIFS('BSE - SENSEX Index Options'!$M:$M,'BSE - SENSEX Index Options'!$C:$C,$A105,'BSE - SENSEX Index Options'!$B:$B,D$4,'BSE - SENSEX Index Options'!$I:$I,"Weekly*")+SUMIFS('BSE - SENSEX Index Options'!$M:$M,'BSE - SENSEX Index Options'!$C:$C,$A105,'BSE - SENSEX Index Options'!$B:$B,D$4,'BSE - SENSEX Index Options'!$I:$I,"MDAW*")+SUMIFS('BSE - Other Index Options'!$M:$M,'BSE - Other Index Options'!$C:$C,$A105,'BSE - Other Index Options'!$B:$B,D$4,'BSE - Other Index Options'!$I:$I,"Weekly*")+SUMIFS('BSE - Other Index Options'!$M:$M,'BSE - Other Index Options'!$C:$C,$A105,'BSE - Other Index Options'!$B:$B,D$4,'BSE - Other Index Options'!$I:$I,"MDAW*"))</f>
        <v/>
      </c>
      <c r="E105" s="26">
        <f>IF(SUMIFS('NSE - NIFTY Index Options'!$M:$M,'NSE - NIFTY Index Options'!$C:$C,$A105,'NSE - NIFTY Index Options'!$B:$B,E$4,'NSE - NIFTY Index Options'!$I:$I,"Weekly*")+SUMIFS('NSE - NIFTY Index Options'!$M:$M,'NSE - NIFTY Index Options'!$C:$C,$A105,'NSE - NIFTY Index Options'!$B:$B,E$4,'NSE - NIFTY Index Options'!$I:$I,"MDAW*")+SUMIFS('NSE - Other Index Options'!$M:$M,'NSE - Other Index Options'!$C:$C,$A105,'NSE - Other Index Options'!$B:$B,E$4,'NSE - Other Index Options'!$I:$I,"Weekly*")+SUMIFS('NSE - Other Index Options'!$M:$M,'NSE - Other Index Options'!$C:$C,$A105,'NSE - Other Index Options'!$B:$B,E$4,'NSE - Other Index Options'!$I:$I,"MDAW*")+SUMIFS('BSE - SENSEX Index Options'!$M:$M,'BSE - SENSEX Index Options'!$C:$C,$A105,'BSE - SENSEX Index Options'!$B:$B,E$4,'BSE - SENSEX Index Options'!$I:$I,"Weekly*")+SUMIFS('BSE - SENSEX Index Options'!$M:$M,'BSE - SENSEX Index Options'!$C:$C,$A105,'BSE - SENSEX Index Options'!$B:$B,E$4,'BSE - SENSEX Index Options'!$I:$I,"MDAW*")+SUMIFS('BSE - Other Index Options'!$M:$M,'BSE - Other Index Options'!$C:$C,$A105,'BSE - Other Index Options'!$B:$B,E$4,'BSE - Other Index Options'!$I:$I,"Weekly*")+SUMIFS('BSE - Other Index Options'!$M:$M,'BSE - Other Index Options'!$C:$C,$A105,'BSE - Other Index Options'!$B:$B,E$4,'BSE - Other Index Options'!$I:$I,"MDAW*")=0,"",SUMIFS('NSE - NIFTY Index Options'!$M:$M,'NSE - NIFTY Index Options'!$C:$C,$A105,'NSE - NIFTY Index Options'!$B:$B,E$4,'NSE - NIFTY Index Options'!$I:$I,"Weekly*")+SUMIFS('NSE - NIFTY Index Options'!$M:$M,'NSE - NIFTY Index Options'!$C:$C,$A105,'NSE - NIFTY Index Options'!$B:$B,E$4,'NSE - NIFTY Index Options'!$I:$I,"MDAW*")+SUMIFS('NSE - Other Index Options'!$M:$M,'NSE - Other Index Options'!$C:$C,$A105,'NSE - Other Index Options'!$B:$B,E$4,'NSE - Other Index Options'!$I:$I,"Weekly*")+SUMIFS('NSE - Other Index Options'!$M:$M,'NSE - Other Index Options'!$C:$C,$A105,'NSE - Other Index Options'!$B:$B,E$4,'NSE - Other Index Options'!$I:$I,"MDAW*")+SUMIFS('BSE - SENSEX Index Options'!$M:$M,'BSE - SENSEX Index Options'!$C:$C,$A105,'BSE - SENSEX Index Options'!$B:$B,E$4,'BSE - SENSEX Index Options'!$I:$I,"Weekly*")+SUMIFS('BSE - SENSEX Index Options'!$M:$M,'BSE - SENSEX Index Options'!$C:$C,$A105,'BSE - SENSEX Index Options'!$B:$B,E$4,'BSE - SENSEX Index Options'!$I:$I,"MDAW*")+SUMIFS('BSE - Other Index Options'!$M:$M,'BSE - Other Index Options'!$C:$C,$A105,'BSE - Other Index Options'!$B:$B,E$4,'BSE - Other Index Options'!$I:$I,"Weekly*")+SUMIFS('BSE - Other Index Options'!$M:$M,'BSE - Other Index Options'!$C:$C,$A105,'BSE - Other Index Options'!$B:$B,E$4,'BSE - Other Index Options'!$I:$I,"MDAW*"))</f>
        <v/>
      </c>
      <c r="F105" s="26">
        <f>IF(SUMIFS('NSE - NIFTY Index Options'!$M:$M,'NSE - NIFTY Index Options'!$C:$C,$A105,'NSE - NIFTY Index Options'!$B:$B,F$4,'NSE - NIFTY Index Options'!$I:$I,"Weekly*")+SUMIFS('NSE - NIFTY Index Options'!$M:$M,'NSE - NIFTY Index Options'!$C:$C,$A105,'NSE - NIFTY Index Options'!$B:$B,F$4,'NSE - NIFTY Index Options'!$I:$I,"MDAW*")+SUMIFS('NSE - Other Index Options'!$M:$M,'NSE - Other Index Options'!$C:$C,$A105,'NSE - Other Index Options'!$B:$B,F$4,'NSE - Other Index Options'!$I:$I,"Weekly*")+SUMIFS('NSE - Other Index Options'!$M:$M,'NSE - Other Index Options'!$C:$C,$A105,'NSE - Other Index Options'!$B:$B,F$4,'NSE - Other Index Options'!$I:$I,"MDAW*")+SUMIFS('BSE - SENSEX Index Options'!$M:$M,'BSE - SENSEX Index Options'!$C:$C,$A105,'BSE - SENSEX Index Options'!$B:$B,F$4,'BSE - SENSEX Index Options'!$I:$I,"Weekly*")+SUMIFS('BSE - SENSEX Index Options'!$M:$M,'BSE - SENSEX Index Options'!$C:$C,$A105,'BSE - SENSEX Index Options'!$B:$B,F$4,'BSE - SENSEX Index Options'!$I:$I,"MDAW*")+SUMIFS('BSE - Other Index Options'!$M:$M,'BSE - Other Index Options'!$C:$C,$A105,'BSE - Other Index Options'!$B:$B,F$4,'BSE - Other Index Options'!$I:$I,"Weekly*")+SUMIFS('BSE - Other Index Options'!$M:$M,'BSE - Other Index Options'!$C:$C,$A105,'BSE - Other Index Options'!$B:$B,F$4,'BSE - Other Index Options'!$I:$I,"MDAW*")=0,"",SUMIFS('NSE - NIFTY Index Options'!$M:$M,'NSE - NIFTY Index Options'!$C:$C,$A105,'NSE - NIFTY Index Options'!$B:$B,F$4,'NSE - NIFTY Index Options'!$I:$I,"Weekly*")+SUMIFS('NSE - NIFTY Index Options'!$M:$M,'NSE - NIFTY Index Options'!$C:$C,$A105,'NSE - NIFTY Index Options'!$B:$B,F$4,'NSE - NIFTY Index Options'!$I:$I,"MDAW*")+SUMIFS('NSE - Other Index Options'!$M:$M,'NSE - Other Index Options'!$C:$C,$A105,'NSE - Other Index Options'!$B:$B,F$4,'NSE - Other Index Options'!$I:$I,"Weekly*")+SUMIFS('NSE - Other Index Options'!$M:$M,'NSE - Other Index Options'!$C:$C,$A105,'NSE - Other Index Options'!$B:$B,F$4,'NSE - Other Index Options'!$I:$I,"MDAW*")+SUMIFS('BSE - SENSEX Index Options'!$M:$M,'BSE - SENSEX Index Options'!$C:$C,$A105,'BSE - SENSEX Index Options'!$B:$B,F$4,'BSE - SENSEX Index Options'!$I:$I,"Weekly*")+SUMIFS('BSE - SENSEX Index Options'!$M:$M,'BSE - SENSEX Index Options'!$C:$C,$A105,'BSE - SENSEX Index Options'!$B:$B,F$4,'BSE - SENSEX Index Options'!$I:$I,"MDAW*")+SUMIFS('BSE - Other Index Options'!$M:$M,'BSE - Other Index Options'!$C:$C,$A105,'BSE - Other Index Options'!$B:$B,F$4,'BSE - Other Index Options'!$I:$I,"Weekly*")+SUMIFS('BSE - Other Index Options'!$M:$M,'BSE - Other Index Options'!$C:$C,$A105,'BSE - Other Index Options'!$B:$B,F$4,'BSE - Other Index Options'!$I:$I,"MDAW*"))</f>
        <v/>
      </c>
      <c r="G105" s="26">
        <f>IF(SUMIFS('NSE - NIFTY Index Options'!$M:$M,'NSE - NIFTY Index Options'!$C:$C,$A105,'NSE - NIFTY Index Options'!$B:$B,G$4,'NSE - NIFTY Index Options'!$I:$I,"Weekly*")+SUMIFS('NSE - NIFTY Index Options'!$M:$M,'NSE - NIFTY Index Options'!$C:$C,$A105,'NSE - NIFTY Index Options'!$B:$B,G$4,'NSE - NIFTY Index Options'!$I:$I,"MDAW*")+SUMIFS('NSE - Other Index Options'!$M:$M,'NSE - Other Index Options'!$C:$C,$A105,'NSE - Other Index Options'!$B:$B,G$4,'NSE - Other Index Options'!$I:$I,"Weekly*")+SUMIFS('NSE - Other Index Options'!$M:$M,'NSE - Other Index Options'!$C:$C,$A105,'NSE - Other Index Options'!$B:$B,G$4,'NSE - Other Index Options'!$I:$I,"MDAW*")+SUMIFS('BSE - SENSEX Index Options'!$M:$M,'BSE - SENSEX Index Options'!$C:$C,$A105,'BSE - SENSEX Index Options'!$B:$B,G$4,'BSE - SENSEX Index Options'!$I:$I,"Weekly*")+SUMIFS('BSE - SENSEX Index Options'!$M:$M,'BSE - SENSEX Index Options'!$C:$C,$A105,'BSE - SENSEX Index Options'!$B:$B,G$4,'BSE - SENSEX Index Options'!$I:$I,"MDAW*")+SUMIFS('BSE - Other Index Options'!$M:$M,'BSE - Other Index Options'!$C:$C,$A105,'BSE - Other Index Options'!$B:$B,G$4,'BSE - Other Index Options'!$I:$I,"Weekly*")+SUMIFS('BSE - Other Index Options'!$M:$M,'BSE - Other Index Options'!$C:$C,$A105,'BSE - Other Index Options'!$B:$B,G$4,'BSE - Other Index Options'!$I:$I,"MDAW*")=0,"",SUMIFS('NSE - NIFTY Index Options'!$M:$M,'NSE - NIFTY Index Options'!$C:$C,$A105,'NSE - NIFTY Index Options'!$B:$B,G$4,'NSE - NIFTY Index Options'!$I:$I,"Weekly*")+SUMIFS('NSE - NIFTY Index Options'!$M:$M,'NSE - NIFTY Index Options'!$C:$C,$A105,'NSE - NIFTY Index Options'!$B:$B,G$4,'NSE - NIFTY Index Options'!$I:$I,"MDAW*")+SUMIFS('NSE - Other Index Options'!$M:$M,'NSE - Other Index Options'!$C:$C,$A105,'NSE - Other Index Options'!$B:$B,G$4,'NSE - Other Index Options'!$I:$I,"Weekly*")+SUMIFS('NSE - Other Index Options'!$M:$M,'NSE - Other Index Options'!$C:$C,$A105,'NSE - Other Index Options'!$B:$B,G$4,'NSE - Other Index Options'!$I:$I,"MDAW*")+SUMIFS('BSE - SENSEX Index Options'!$M:$M,'BSE - SENSEX Index Options'!$C:$C,$A105,'BSE - SENSEX Index Options'!$B:$B,G$4,'BSE - SENSEX Index Options'!$I:$I,"Weekly*")+SUMIFS('BSE - SENSEX Index Options'!$M:$M,'BSE - SENSEX Index Options'!$C:$C,$A105,'BSE - SENSEX Index Options'!$B:$B,G$4,'BSE - SENSEX Index Options'!$I:$I,"MDAW*")+SUMIFS('BSE - Other Index Options'!$M:$M,'BSE - Other Index Options'!$C:$C,$A105,'BSE - Other Index Options'!$B:$B,G$4,'BSE - Other Index Options'!$I:$I,"Weekly*")+SUMIFS('BSE - Other Index Options'!$M:$M,'BSE - Other Index Options'!$C:$C,$A105,'BSE - Other Index Options'!$B:$B,G$4,'BSE - Other Index Options'!$I:$I,"MDAW*"))</f>
        <v/>
      </c>
      <c r="H105" s="26">
        <f>IF(SUM(B105:G105)=0,"",SUM(B105:G105))</f>
        <v/>
      </c>
    </row>
    <row r="106" hidden="1" outlineLevel="1">
      <c r="A106" t="inlineStr">
        <is>
          <t>Week4-May-2027</t>
        </is>
      </c>
      <c r="B106" s="26">
        <f>IF(SUMIFS('NSE - NIFTY Index Options'!$M:$M,'NSE - NIFTY Index Options'!$C:$C,$A106,'NSE - NIFTY Index Options'!$B:$B,B$4,'NSE - NIFTY Index Options'!$I:$I,"Weekly*")+SUMIFS('NSE - NIFTY Index Options'!$M:$M,'NSE - NIFTY Index Options'!$C:$C,$A106,'NSE - NIFTY Index Options'!$B:$B,B$4,'NSE - NIFTY Index Options'!$I:$I,"MDAW*")+SUMIFS('NSE - Other Index Options'!$M:$M,'NSE - Other Index Options'!$C:$C,$A106,'NSE - Other Index Options'!$B:$B,B$4,'NSE - Other Index Options'!$I:$I,"Weekly*")+SUMIFS('NSE - Other Index Options'!$M:$M,'NSE - Other Index Options'!$C:$C,$A106,'NSE - Other Index Options'!$B:$B,B$4,'NSE - Other Index Options'!$I:$I,"MDAW*")+SUMIFS('BSE - SENSEX Index Options'!$M:$M,'BSE - SENSEX Index Options'!$C:$C,$A106,'BSE - SENSEX Index Options'!$B:$B,B$4,'BSE - SENSEX Index Options'!$I:$I,"Weekly*")+SUMIFS('BSE - SENSEX Index Options'!$M:$M,'BSE - SENSEX Index Options'!$C:$C,$A106,'BSE - SENSEX Index Options'!$B:$B,B$4,'BSE - SENSEX Index Options'!$I:$I,"MDAW*")+SUMIFS('BSE - Other Index Options'!$M:$M,'BSE - Other Index Options'!$C:$C,$A106,'BSE - Other Index Options'!$B:$B,B$4,'BSE - Other Index Options'!$I:$I,"Weekly*")+SUMIFS('BSE - Other Index Options'!$M:$M,'BSE - Other Index Options'!$C:$C,$A106,'BSE - Other Index Options'!$B:$B,B$4,'BSE - Other Index Options'!$I:$I,"MDAW*")=0,"",SUMIFS('NSE - NIFTY Index Options'!$M:$M,'NSE - NIFTY Index Options'!$C:$C,$A106,'NSE - NIFTY Index Options'!$B:$B,B$4,'NSE - NIFTY Index Options'!$I:$I,"Weekly*")+SUMIFS('NSE - NIFTY Index Options'!$M:$M,'NSE - NIFTY Index Options'!$C:$C,$A106,'NSE - NIFTY Index Options'!$B:$B,B$4,'NSE - NIFTY Index Options'!$I:$I,"MDAW*")+SUMIFS('NSE - Other Index Options'!$M:$M,'NSE - Other Index Options'!$C:$C,$A106,'NSE - Other Index Options'!$B:$B,B$4,'NSE - Other Index Options'!$I:$I,"Weekly*")+SUMIFS('NSE - Other Index Options'!$M:$M,'NSE - Other Index Options'!$C:$C,$A106,'NSE - Other Index Options'!$B:$B,B$4,'NSE - Other Index Options'!$I:$I,"MDAW*")+SUMIFS('BSE - SENSEX Index Options'!$M:$M,'BSE - SENSEX Index Options'!$C:$C,$A106,'BSE - SENSEX Index Options'!$B:$B,B$4,'BSE - SENSEX Index Options'!$I:$I,"Weekly*")+SUMIFS('BSE - SENSEX Index Options'!$M:$M,'BSE - SENSEX Index Options'!$C:$C,$A106,'BSE - SENSEX Index Options'!$B:$B,B$4,'BSE - SENSEX Index Options'!$I:$I,"MDAW*")+SUMIFS('BSE - Other Index Options'!$M:$M,'BSE - Other Index Options'!$C:$C,$A106,'BSE - Other Index Options'!$B:$B,B$4,'BSE - Other Index Options'!$I:$I,"Weekly*")+SUMIFS('BSE - Other Index Options'!$M:$M,'BSE - Other Index Options'!$C:$C,$A106,'BSE - Other Index Options'!$B:$B,B$4,'BSE - Other Index Options'!$I:$I,"MDAW*"))</f>
        <v/>
      </c>
      <c r="C106" s="26">
        <f>IF(SUMIFS('NSE - NIFTY Index Options'!$M:$M,'NSE - NIFTY Index Options'!$C:$C,$A106,'NSE - NIFTY Index Options'!$B:$B,C$4,'NSE - NIFTY Index Options'!$I:$I,"Weekly*")+SUMIFS('NSE - NIFTY Index Options'!$M:$M,'NSE - NIFTY Index Options'!$C:$C,$A106,'NSE - NIFTY Index Options'!$B:$B,C$4,'NSE - NIFTY Index Options'!$I:$I,"MDAW*")+SUMIFS('NSE - Other Index Options'!$M:$M,'NSE - Other Index Options'!$C:$C,$A106,'NSE - Other Index Options'!$B:$B,C$4,'NSE - Other Index Options'!$I:$I,"Weekly*")+SUMIFS('NSE - Other Index Options'!$M:$M,'NSE - Other Index Options'!$C:$C,$A106,'NSE - Other Index Options'!$B:$B,C$4,'NSE - Other Index Options'!$I:$I,"MDAW*")+SUMIFS('BSE - SENSEX Index Options'!$M:$M,'BSE - SENSEX Index Options'!$C:$C,$A106,'BSE - SENSEX Index Options'!$B:$B,C$4,'BSE - SENSEX Index Options'!$I:$I,"Weekly*")+SUMIFS('BSE - SENSEX Index Options'!$M:$M,'BSE - SENSEX Index Options'!$C:$C,$A106,'BSE - SENSEX Index Options'!$B:$B,C$4,'BSE - SENSEX Index Options'!$I:$I,"MDAW*")+SUMIFS('BSE - Other Index Options'!$M:$M,'BSE - Other Index Options'!$C:$C,$A106,'BSE - Other Index Options'!$B:$B,C$4,'BSE - Other Index Options'!$I:$I,"Weekly*")+SUMIFS('BSE - Other Index Options'!$M:$M,'BSE - Other Index Options'!$C:$C,$A106,'BSE - Other Index Options'!$B:$B,C$4,'BSE - Other Index Options'!$I:$I,"MDAW*")=0,"",SUMIFS('NSE - NIFTY Index Options'!$M:$M,'NSE - NIFTY Index Options'!$C:$C,$A106,'NSE - NIFTY Index Options'!$B:$B,C$4,'NSE - NIFTY Index Options'!$I:$I,"Weekly*")+SUMIFS('NSE - NIFTY Index Options'!$M:$M,'NSE - NIFTY Index Options'!$C:$C,$A106,'NSE - NIFTY Index Options'!$B:$B,C$4,'NSE - NIFTY Index Options'!$I:$I,"MDAW*")+SUMIFS('NSE - Other Index Options'!$M:$M,'NSE - Other Index Options'!$C:$C,$A106,'NSE - Other Index Options'!$B:$B,C$4,'NSE - Other Index Options'!$I:$I,"Weekly*")+SUMIFS('NSE - Other Index Options'!$M:$M,'NSE - Other Index Options'!$C:$C,$A106,'NSE - Other Index Options'!$B:$B,C$4,'NSE - Other Index Options'!$I:$I,"MDAW*")+SUMIFS('BSE - SENSEX Index Options'!$M:$M,'BSE - SENSEX Index Options'!$C:$C,$A106,'BSE - SENSEX Index Options'!$B:$B,C$4,'BSE - SENSEX Index Options'!$I:$I,"Weekly*")+SUMIFS('BSE - SENSEX Index Options'!$M:$M,'BSE - SENSEX Index Options'!$C:$C,$A106,'BSE - SENSEX Index Options'!$B:$B,C$4,'BSE - SENSEX Index Options'!$I:$I,"MDAW*")+SUMIFS('BSE - Other Index Options'!$M:$M,'BSE - Other Index Options'!$C:$C,$A106,'BSE - Other Index Options'!$B:$B,C$4,'BSE - Other Index Options'!$I:$I,"Weekly*")+SUMIFS('BSE - Other Index Options'!$M:$M,'BSE - Other Index Options'!$C:$C,$A106,'BSE - Other Index Options'!$B:$B,C$4,'BSE - Other Index Options'!$I:$I,"MDAW*"))</f>
        <v/>
      </c>
      <c r="D106" s="26">
        <f>IF(SUMIFS('NSE - NIFTY Index Options'!$M:$M,'NSE - NIFTY Index Options'!$C:$C,$A106,'NSE - NIFTY Index Options'!$B:$B,D$4,'NSE - NIFTY Index Options'!$I:$I,"Weekly*")+SUMIFS('NSE - NIFTY Index Options'!$M:$M,'NSE - NIFTY Index Options'!$C:$C,$A106,'NSE - NIFTY Index Options'!$B:$B,D$4,'NSE - NIFTY Index Options'!$I:$I,"MDAW*")+SUMIFS('NSE - Other Index Options'!$M:$M,'NSE - Other Index Options'!$C:$C,$A106,'NSE - Other Index Options'!$B:$B,D$4,'NSE - Other Index Options'!$I:$I,"Weekly*")+SUMIFS('NSE - Other Index Options'!$M:$M,'NSE - Other Index Options'!$C:$C,$A106,'NSE - Other Index Options'!$B:$B,D$4,'NSE - Other Index Options'!$I:$I,"MDAW*")+SUMIFS('BSE - SENSEX Index Options'!$M:$M,'BSE - SENSEX Index Options'!$C:$C,$A106,'BSE - SENSEX Index Options'!$B:$B,D$4,'BSE - SENSEX Index Options'!$I:$I,"Weekly*")+SUMIFS('BSE - SENSEX Index Options'!$M:$M,'BSE - SENSEX Index Options'!$C:$C,$A106,'BSE - SENSEX Index Options'!$B:$B,D$4,'BSE - SENSEX Index Options'!$I:$I,"MDAW*")+SUMIFS('BSE - Other Index Options'!$M:$M,'BSE - Other Index Options'!$C:$C,$A106,'BSE - Other Index Options'!$B:$B,D$4,'BSE - Other Index Options'!$I:$I,"Weekly*")+SUMIFS('BSE - Other Index Options'!$M:$M,'BSE - Other Index Options'!$C:$C,$A106,'BSE - Other Index Options'!$B:$B,D$4,'BSE - Other Index Options'!$I:$I,"MDAW*")=0,"",SUMIFS('NSE - NIFTY Index Options'!$M:$M,'NSE - NIFTY Index Options'!$C:$C,$A106,'NSE - NIFTY Index Options'!$B:$B,D$4,'NSE - NIFTY Index Options'!$I:$I,"Weekly*")+SUMIFS('NSE - NIFTY Index Options'!$M:$M,'NSE - NIFTY Index Options'!$C:$C,$A106,'NSE - NIFTY Index Options'!$B:$B,D$4,'NSE - NIFTY Index Options'!$I:$I,"MDAW*")+SUMIFS('NSE - Other Index Options'!$M:$M,'NSE - Other Index Options'!$C:$C,$A106,'NSE - Other Index Options'!$B:$B,D$4,'NSE - Other Index Options'!$I:$I,"Weekly*")+SUMIFS('NSE - Other Index Options'!$M:$M,'NSE - Other Index Options'!$C:$C,$A106,'NSE - Other Index Options'!$B:$B,D$4,'NSE - Other Index Options'!$I:$I,"MDAW*")+SUMIFS('BSE - SENSEX Index Options'!$M:$M,'BSE - SENSEX Index Options'!$C:$C,$A106,'BSE - SENSEX Index Options'!$B:$B,D$4,'BSE - SENSEX Index Options'!$I:$I,"Weekly*")+SUMIFS('BSE - SENSEX Index Options'!$M:$M,'BSE - SENSEX Index Options'!$C:$C,$A106,'BSE - SENSEX Index Options'!$B:$B,D$4,'BSE - SENSEX Index Options'!$I:$I,"MDAW*")+SUMIFS('BSE - Other Index Options'!$M:$M,'BSE - Other Index Options'!$C:$C,$A106,'BSE - Other Index Options'!$B:$B,D$4,'BSE - Other Index Options'!$I:$I,"Weekly*")+SUMIFS('BSE - Other Index Options'!$M:$M,'BSE - Other Index Options'!$C:$C,$A106,'BSE - Other Index Options'!$B:$B,D$4,'BSE - Other Index Options'!$I:$I,"MDAW*"))</f>
        <v/>
      </c>
      <c r="E106" s="26">
        <f>IF(SUMIFS('NSE - NIFTY Index Options'!$M:$M,'NSE - NIFTY Index Options'!$C:$C,$A106,'NSE - NIFTY Index Options'!$B:$B,E$4,'NSE - NIFTY Index Options'!$I:$I,"Weekly*")+SUMIFS('NSE - NIFTY Index Options'!$M:$M,'NSE - NIFTY Index Options'!$C:$C,$A106,'NSE - NIFTY Index Options'!$B:$B,E$4,'NSE - NIFTY Index Options'!$I:$I,"MDAW*")+SUMIFS('NSE - Other Index Options'!$M:$M,'NSE - Other Index Options'!$C:$C,$A106,'NSE - Other Index Options'!$B:$B,E$4,'NSE - Other Index Options'!$I:$I,"Weekly*")+SUMIFS('NSE - Other Index Options'!$M:$M,'NSE - Other Index Options'!$C:$C,$A106,'NSE - Other Index Options'!$B:$B,E$4,'NSE - Other Index Options'!$I:$I,"MDAW*")+SUMIFS('BSE - SENSEX Index Options'!$M:$M,'BSE - SENSEX Index Options'!$C:$C,$A106,'BSE - SENSEX Index Options'!$B:$B,E$4,'BSE - SENSEX Index Options'!$I:$I,"Weekly*")+SUMIFS('BSE - SENSEX Index Options'!$M:$M,'BSE - SENSEX Index Options'!$C:$C,$A106,'BSE - SENSEX Index Options'!$B:$B,E$4,'BSE - SENSEX Index Options'!$I:$I,"MDAW*")+SUMIFS('BSE - Other Index Options'!$M:$M,'BSE - Other Index Options'!$C:$C,$A106,'BSE - Other Index Options'!$B:$B,E$4,'BSE - Other Index Options'!$I:$I,"Weekly*")+SUMIFS('BSE - Other Index Options'!$M:$M,'BSE - Other Index Options'!$C:$C,$A106,'BSE - Other Index Options'!$B:$B,E$4,'BSE - Other Index Options'!$I:$I,"MDAW*")=0,"",SUMIFS('NSE - NIFTY Index Options'!$M:$M,'NSE - NIFTY Index Options'!$C:$C,$A106,'NSE - NIFTY Index Options'!$B:$B,E$4,'NSE - NIFTY Index Options'!$I:$I,"Weekly*")+SUMIFS('NSE - NIFTY Index Options'!$M:$M,'NSE - NIFTY Index Options'!$C:$C,$A106,'NSE - NIFTY Index Options'!$B:$B,E$4,'NSE - NIFTY Index Options'!$I:$I,"MDAW*")+SUMIFS('NSE - Other Index Options'!$M:$M,'NSE - Other Index Options'!$C:$C,$A106,'NSE - Other Index Options'!$B:$B,E$4,'NSE - Other Index Options'!$I:$I,"Weekly*")+SUMIFS('NSE - Other Index Options'!$M:$M,'NSE - Other Index Options'!$C:$C,$A106,'NSE - Other Index Options'!$B:$B,E$4,'NSE - Other Index Options'!$I:$I,"MDAW*")+SUMIFS('BSE - SENSEX Index Options'!$M:$M,'BSE - SENSEX Index Options'!$C:$C,$A106,'BSE - SENSEX Index Options'!$B:$B,E$4,'BSE - SENSEX Index Options'!$I:$I,"Weekly*")+SUMIFS('BSE - SENSEX Index Options'!$M:$M,'BSE - SENSEX Index Options'!$C:$C,$A106,'BSE - SENSEX Index Options'!$B:$B,E$4,'BSE - SENSEX Index Options'!$I:$I,"MDAW*")+SUMIFS('BSE - Other Index Options'!$M:$M,'BSE - Other Index Options'!$C:$C,$A106,'BSE - Other Index Options'!$B:$B,E$4,'BSE - Other Index Options'!$I:$I,"Weekly*")+SUMIFS('BSE - Other Index Options'!$M:$M,'BSE - Other Index Options'!$C:$C,$A106,'BSE - Other Index Options'!$B:$B,E$4,'BSE - Other Index Options'!$I:$I,"MDAW*"))</f>
        <v/>
      </c>
      <c r="F106" s="26">
        <f>IF(SUMIFS('NSE - NIFTY Index Options'!$M:$M,'NSE - NIFTY Index Options'!$C:$C,$A106,'NSE - NIFTY Index Options'!$B:$B,F$4,'NSE - NIFTY Index Options'!$I:$I,"Weekly*")+SUMIFS('NSE - NIFTY Index Options'!$M:$M,'NSE - NIFTY Index Options'!$C:$C,$A106,'NSE - NIFTY Index Options'!$B:$B,F$4,'NSE - NIFTY Index Options'!$I:$I,"MDAW*")+SUMIFS('NSE - Other Index Options'!$M:$M,'NSE - Other Index Options'!$C:$C,$A106,'NSE - Other Index Options'!$B:$B,F$4,'NSE - Other Index Options'!$I:$I,"Weekly*")+SUMIFS('NSE - Other Index Options'!$M:$M,'NSE - Other Index Options'!$C:$C,$A106,'NSE - Other Index Options'!$B:$B,F$4,'NSE - Other Index Options'!$I:$I,"MDAW*")+SUMIFS('BSE - SENSEX Index Options'!$M:$M,'BSE - SENSEX Index Options'!$C:$C,$A106,'BSE - SENSEX Index Options'!$B:$B,F$4,'BSE - SENSEX Index Options'!$I:$I,"Weekly*")+SUMIFS('BSE - SENSEX Index Options'!$M:$M,'BSE - SENSEX Index Options'!$C:$C,$A106,'BSE - SENSEX Index Options'!$B:$B,F$4,'BSE - SENSEX Index Options'!$I:$I,"MDAW*")+SUMIFS('BSE - Other Index Options'!$M:$M,'BSE - Other Index Options'!$C:$C,$A106,'BSE - Other Index Options'!$B:$B,F$4,'BSE - Other Index Options'!$I:$I,"Weekly*")+SUMIFS('BSE - Other Index Options'!$M:$M,'BSE - Other Index Options'!$C:$C,$A106,'BSE - Other Index Options'!$B:$B,F$4,'BSE - Other Index Options'!$I:$I,"MDAW*")=0,"",SUMIFS('NSE - NIFTY Index Options'!$M:$M,'NSE - NIFTY Index Options'!$C:$C,$A106,'NSE - NIFTY Index Options'!$B:$B,F$4,'NSE - NIFTY Index Options'!$I:$I,"Weekly*")+SUMIFS('NSE - NIFTY Index Options'!$M:$M,'NSE - NIFTY Index Options'!$C:$C,$A106,'NSE - NIFTY Index Options'!$B:$B,F$4,'NSE - NIFTY Index Options'!$I:$I,"MDAW*")+SUMIFS('NSE - Other Index Options'!$M:$M,'NSE - Other Index Options'!$C:$C,$A106,'NSE - Other Index Options'!$B:$B,F$4,'NSE - Other Index Options'!$I:$I,"Weekly*")+SUMIFS('NSE - Other Index Options'!$M:$M,'NSE - Other Index Options'!$C:$C,$A106,'NSE - Other Index Options'!$B:$B,F$4,'NSE - Other Index Options'!$I:$I,"MDAW*")+SUMIFS('BSE - SENSEX Index Options'!$M:$M,'BSE - SENSEX Index Options'!$C:$C,$A106,'BSE - SENSEX Index Options'!$B:$B,F$4,'BSE - SENSEX Index Options'!$I:$I,"Weekly*")+SUMIFS('BSE - SENSEX Index Options'!$M:$M,'BSE - SENSEX Index Options'!$C:$C,$A106,'BSE - SENSEX Index Options'!$B:$B,F$4,'BSE - SENSEX Index Options'!$I:$I,"MDAW*")+SUMIFS('BSE - Other Index Options'!$M:$M,'BSE - Other Index Options'!$C:$C,$A106,'BSE - Other Index Options'!$B:$B,F$4,'BSE - Other Index Options'!$I:$I,"Weekly*")+SUMIFS('BSE - Other Index Options'!$M:$M,'BSE - Other Index Options'!$C:$C,$A106,'BSE - Other Index Options'!$B:$B,F$4,'BSE - Other Index Options'!$I:$I,"MDAW*"))</f>
        <v/>
      </c>
      <c r="G106" s="26">
        <f>IF(SUMIFS('NSE - NIFTY Index Options'!$M:$M,'NSE - NIFTY Index Options'!$C:$C,$A106,'NSE - NIFTY Index Options'!$B:$B,G$4,'NSE - NIFTY Index Options'!$I:$I,"Weekly*")+SUMIFS('NSE - NIFTY Index Options'!$M:$M,'NSE - NIFTY Index Options'!$C:$C,$A106,'NSE - NIFTY Index Options'!$B:$B,G$4,'NSE - NIFTY Index Options'!$I:$I,"MDAW*")+SUMIFS('NSE - Other Index Options'!$M:$M,'NSE - Other Index Options'!$C:$C,$A106,'NSE - Other Index Options'!$B:$B,G$4,'NSE - Other Index Options'!$I:$I,"Weekly*")+SUMIFS('NSE - Other Index Options'!$M:$M,'NSE - Other Index Options'!$C:$C,$A106,'NSE - Other Index Options'!$B:$B,G$4,'NSE - Other Index Options'!$I:$I,"MDAW*")+SUMIFS('BSE - SENSEX Index Options'!$M:$M,'BSE - SENSEX Index Options'!$C:$C,$A106,'BSE - SENSEX Index Options'!$B:$B,G$4,'BSE - SENSEX Index Options'!$I:$I,"Weekly*")+SUMIFS('BSE - SENSEX Index Options'!$M:$M,'BSE - SENSEX Index Options'!$C:$C,$A106,'BSE - SENSEX Index Options'!$B:$B,G$4,'BSE - SENSEX Index Options'!$I:$I,"MDAW*")+SUMIFS('BSE - Other Index Options'!$M:$M,'BSE - Other Index Options'!$C:$C,$A106,'BSE - Other Index Options'!$B:$B,G$4,'BSE - Other Index Options'!$I:$I,"Weekly*")+SUMIFS('BSE - Other Index Options'!$M:$M,'BSE - Other Index Options'!$C:$C,$A106,'BSE - Other Index Options'!$B:$B,G$4,'BSE - Other Index Options'!$I:$I,"MDAW*")=0,"",SUMIFS('NSE - NIFTY Index Options'!$M:$M,'NSE - NIFTY Index Options'!$C:$C,$A106,'NSE - NIFTY Index Options'!$B:$B,G$4,'NSE - NIFTY Index Options'!$I:$I,"Weekly*")+SUMIFS('NSE - NIFTY Index Options'!$M:$M,'NSE - NIFTY Index Options'!$C:$C,$A106,'NSE - NIFTY Index Options'!$B:$B,G$4,'NSE - NIFTY Index Options'!$I:$I,"MDAW*")+SUMIFS('NSE - Other Index Options'!$M:$M,'NSE - Other Index Options'!$C:$C,$A106,'NSE - Other Index Options'!$B:$B,G$4,'NSE - Other Index Options'!$I:$I,"Weekly*")+SUMIFS('NSE - Other Index Options'!$M:$M,'NSE - Other Index Options'!$C:$C,$A106,'NSE - Other Index Options'!$B:$B,G$4,'NSE - Other Index Options'!$I:$I,"MDAW*")+SUMIFS('BSE - SENSEX Index Options'!$M:$M,'BSE - SENSEX Index Options'!$C:$C,$A106,'BSE - SENSEX Index Options'!$B:$B,G$4,'BSE - SENSEX Index Options'!$I:$I,"Weekly*")+SUMIFS('BSE - SENSEX Index Options'!$M:$M,'BSE - SENSEX Index Options'!$C:$C,$A106,'BSE - SENSEX Index Options'!$B:$B,G$4,'BSE - SENSEX Index Options'!$I:$I,"MDAW*")+SUMIFS('BSE - Other Index Options'!$M:$M,'BSE - Other Index Options'!$C:$C,$A106,'BSE - Other Index Options'!$B:$B,G$4,'BSE - Other Index Options'!$I:$I,"Weekly*")+SUMIFS('BSE - Other Index Options'!$M:$M,'BSE - Other Index Options'!$C:$C,$A106,'BSE - Other Index Options'!$B:$B,G$4,'BSE - Other Index Options'!$I:$I,"MDAW*"))</f>
        <v/>
      </c>
      <c r="H106" s="26">
        <f>IF(SUM(B106:G106)=0,"",SUM(B106:G106))</f>
        <v/>
      </c>
    </row>
    <row r="107" hidden="1" outlineLevel="1">
      <c r="A107" t="inlineStr">
        <is>
          <t>Week5-May-2027</t>
        </is>
      </c>
      <c r="B107" s="26">
        <f>IF(SUMIFS('NSE - NIFTY Index Options'!$M:$M,'NSE - NIFTY Index Options'!$C:$C,$A107,'NSE - NIFTY Index Options'!$B:$B,B$4,'NSE - NIFTY Index Options'!$I:$I,"Weekly*")+SUMIFS('NSE - NIFTY Index Options'!$M:$M,'NSE - NIFTY Index Options'!$C:$C,$A107,'NSE - NIFTY Index Options'!$B:$B,B$4,'NSE - NIFTY Index Options'!$I:$I,"MDAW*")+SUMIFS('NSE - Other Index Options'!$M:$M,'NSE - Other Index Options'!$C:$C,$A107,'NSE - Other Index Options'!$B:$B,B$4,'NSE - Other Index Options'!$I:$I,"Weekly*")+SUMIFS('NSE - Other Index Options'!$M:$M,'NSE - Other Index Options'!$C:$C,$A107,'NSE - Other Index Options'!$B:$B,B$4,'NSE - Other Index Options'!$I:$I,"MDAW*")+SUMIFS('BSE - SENSEX Index Options'!$M:$M,'BSE - SENSEX Index Options'!$C:$C,$A107,'BSE - SENSEX Index Options'!$B:$B,B$4,'BSE - SENSEX Index Options'!$I:$I,"Weekly*")+SUMIFS('BSE - SENSEX Index Options'!$M:$M,'BSE - SENSEX Index Options'!$C:$C,$A107,'BSE - SENSEX Index Options'!$B:$B,B$4,'BSE - SENSEX Index Options'!$I:$I,"MDAW*")+SUMIFS('BSE - Other Index Options'!$M:$M,'BSE - Other Index Options'!$C:$C,$A107,'BSE - Other Index Options'!$B:$B,B$4,'BSE - Other Index Options'!$I:$I,"Weekly*")+SUMIFS('BSE - Other Index Options'!$M:$M,'BSE - Other Index Options'!$C:$C,$A107,'BSE - Other Index Options'!$B:$B,B$4,'BSE - Other Index Options'!$I:$I,"MDAW*")=0,"",SUMIFS('NSE - NIFTY Index Options'!$M:$M,'NSE - NIFTY Index Options'!$C:$C,$A107,'NSE - NIFTY Index Options'!$B:$B,B$4,'NSE - NIFTY Index Options'!$I:$I,"Weekly*")+SUMIFS('NSE - NIFTY Index Options'!$M:$M,'NSE - NIFTY Index Options'!$C:$C,$A107,'NSE - NIFTY Index Options'!$B:$B,B$4,'NSE - NIFTY Index Options'!$I:$I,"MDAW*")+SUMIFS('NSE - Other Index Options'!$M:$M,'NSE - Other Index Options'!$C:$C,$A107,'NSE - Other Index Options'!$B:$B,B$4,'NSE - Other Index Options'!$I:$I,"Weekly*")+SUMIFS('NSE - Other Index Options'!$M:$M,'NSE - Other Index Options'!$C:$C,$A107,'NSE - Other Index Options'!$B:$B,B$4,'NSE - Other Index Options'!$I:$I,"MDAW*")+SUMIFS('BSE - SENSEX Index Options'!$M:$M,'BSE - SENSEX Index Options'!$C:$C,$A107,'BSE - SENSEX Index Options'!$B:$B,B$4,'BSE - SENSEX Index Options'!$I:$I,"Weekly*")+SUMIFS('BSE - SENSEX Index Options'!$M:$M,'BSE - SENSEX Index Options'!$C:$C,$A107,'BSE - SENSEX Index Options'!$B:$B,B$4,'BSE - SENSEX Index Options'!$I:$I,"MDAW*")+SUMIFS('BSE - Other Index Options'!$M:$M,'BSE - Other Index Options'!$C:$C,$A107,'BSE - Other Index Options'!$B:$B,B$4,'BSE - Other Index Options'!$I:$I,"Weekly*")+SUMIFS('BSE - Other Index Options'!$M:$M,'BSE - Other Index Options'!$C:$C,$A107,'BSE - Other Index Options'!$B:$B,B$4,'BSE - Other Index Options'!$I:$I,"MDAW*"))</f>
        <v/>
      </c>
      <c r="C107" s="26">
        <f>IF(SUMIFS('NSE - NIFTY Index Options'!$M:$M,'NSE - NIFTY Index Options'!$C:$C,$A107,'NSE - NIFTY Index Options'!$B:$B,C$4,'NSE - NIFTY Index Options'!$I:$I,"Weekly*")+SUMIFS('NSE - NIFTY Index Options'!$M:$M,'NSE - NIFTY Index Options'!$C:$C,$A107,'NSE - NIFTY Index Options'!$B:$B,C$4,'NSE - NIFTY Index Options'!$I:$I,"MDAW*")+SUMIFS('NSE - Other Index Options'!$M:$M,'NSE - Other Index Options'!$C:$C,$A107,'NSE - Other Index Options'!$B:$B,C$4,'NSE - Other Index Options'!$I:$I,"Weekly*")+SUMIFS('NSE - Other Index Options'!$M:$M,'NSE - Other Index Options'!$C:$C,$A107,'NSE - Other Index Options'!$B:$B,C$4,'NSE - Other Index Options'!$I:$I,"MDAW*")+SUMIFS('BSE - SENSEX Index Options'!$M:$M,'BSE - SENSEX Index Options'!$C:$C,$A107,'BSE - SENSEX Index Options'!$B:$B,C$4,'BSE - SENSEX Index Options'!$I:$I,"Weekly*")+SUMIFS('BSE - SENSEX Index Options'!$M:$M,'BSE - SENSEX Index Options'!$C:$C,$A107,'BSE - SENSEX Index Options'!$B:$B,C$4,'BSE - SENSEX Index Options'!$I:$I,"MDAW*")+SUMIFS('BSE - Other Index Options'!$M:$M,'BSE - Other Index Options'!$C:$C,$A107,'BSE - Other Index Options'!$B:$B,C$4,'BSE - Other Index Options'!$I:$I,"Weekly*")+SUMIFS('BSE - Other Index Options'!$M:$M,'BSE - Other Index Options'!$C:$C,$A107,'BSE - Other Index Options'!$B:$B,C$4,'BSE - Other Index Options'!$I:$I,"MDAW*")=0,"",SUMIFS('NSE - NIFTY Index Options'!$M:$M,'NSE - NIFTY Index Options'!$C:$C,$A107,'NSE - NIFTY Index Options'!$B:$B,C$4,'NSE - NIFTY Index Options'!$I:$I,"Weekly*")+SUMIFS('NSE - NIFTY Index Options'!$M:$M,'NSE - NIFTY Index Options'!$C:$C,$A107,'NSE - NIFTY Index Options'!$B:$B,C$4,'NSE - NIFTY Index Options'!$I:$I,"MDAW*")+SUMIFS('NSE - Other Index Options'!$M:$M,'NSE - Other Index Options'!$C:$C,$A107,'NSE - Other Index Options'!$B:$B,C$4,'NSE - Other Index Options'!$I:$I,"Weekly*")+SUMIFS('NSE - Other Index Options'!$M:$M,'NSE - Other Index Options'!$C:$C,$A107,'NSE - Other Index Options'!$B:$B,C$4,'NSE - Other Index Options'!$I:$I,"MDAW*")+SUMIFS('BSE - SENSEX Index Options'!$M:$M,'BSE - SENSEX Index Options'!$C:$C,$A107,'BSE - SENSEX Index Options'!$B:$B,C$4,'BSE - SENSEX Index Options'!$I:$I,"Weekly*")+SUMIFS('BSE - SENSEX Index Options'!$M:$M,'BSE - SENSEX Index Options'!$C:$C,$A107,'BSE - SENSEX Index Options'!$B:$B,C$4,'BSE - SENSEX Index Options'!$I:$I,"MDAW*")+SUMIFS('BSE - Other Index Options'!$M:$M,'BSE - Other Index Options'!$C:$C,$A107,'BSE - Other Index Options'!$B:$B,C$4,'BSE - Other Index Options'!$I:$I,"Weekly*")+SUMIFS('BSE - Other Index Options'!$M:$M,'BSE - Other Index Options'!$C:$C,$A107,'BSE - Other Index Options'!$B:$B,C$4,'BSE - Other Index Options'!$I:$I,"MDAW*"))</f>
        <v/>
      </c>
      <c r="D107" s="26">
        <f>IF(SUMIFS('NSE - NIFTY Index Options'!$M:$M,'NSE - NIFTY Index Options'!$C:$C,$A107,'NSE - NIFTY Index Options'!$B:$B,D$4,'NSE - NIFTY Index Options'!$I:$I,"Weekly*")+SUMIFS('NSE - NIFTY Index Options'!$M:$M,'NSE - NIFTY Index Options'!$C:$C,$A107,'NSE - NIFTY Index Options'!$B:$B,D$4,'NSE - NIFTY Index Options'!$I:$I,"MDAW*")+SUMIFS('NSE - Other Index Options'!$M:$M,'NSE - Other Index Options'!$C:$C,$A107,'NSE - Other Index Options'!$B:$B,D$4,'NSE - Other Index Options'!$I:$I,"Weekly*")+SUMIFS('NSE - Other Index Options'!$M:$M,'NSE - Other Index Options'!$C:$C,$A107,'NSE - Other Index Options'!$B:$B,D$4,'NSE - Other Index Options'!$I:$I,"MDAW*")+SUMIFS('BSE - SENSEX Index Options'!$M:$M,'BSE - SENSEX Index Options'!$C:$C,$A107,'BSE - SENSEX Index Options'!$B:$B,D$4,'BSE - SENSEX Index Options'!$I:$I,"Weekly*")+SUMIFS('BSE - SENSEX Index Options'!$M:$M,'BSE - SENSEX Index Options'!$C:$C,$A107,'BSE - SENSEX Index Options'!$B:$B,D$4,'BSE - SENSEX Index Options'!$I:$I,"MDAW*")+SUMIFS('BSE - Other Index Options'!$M:$M,'BSE - Other Index Options'!$C:$C,$A107,'BSE - Other Index Options'!$B:$B,D$4,'BSE - Other Index Options'!$I:$I,"Weekly*")+SUMIFS('BSE - Other Index Options'!$M:$M,'BSE - Other Index Options'!$C:$C,$A107,'BSE - Other Index Options'!$B:$B,D$4,'BSE - Other Index Options'!$I:$I,"MDAW*")=0,"",SUMIFS('NSE - NIFTY Index Options'!$M:$M,'NSE - NIFTY Index Options'!$C:$C,$A107,'NSE - NIFTY Index Options'!$B:$B,D$4,'NSE - NIFTY Index Options'!$I:$I,"Weekly*")+SUMIFS('NSE - NIFTY Index Options'!$M:$M,'NSE - NIFTY Index Options'!$C:$C,$A107,'NSE - NIFTY Index Options'!$B:$B,D$4,'NSE - NIFTY Index Options'!$I:$I,"MDAW*")+SUMIFS('NSE - Other Index Options'!$M:$M,'NSE - Other Index Options'!$C:$C,$A107,'NSE - Other Index Options'!$B:$B,D$4,'NSE - Other Index Options'!$I:$I,"Weekly*")+SUMIFS('NSE - Other Index Options'!$M:$M,'NSE - Other Index Options'!$C:$C,$A107,'NSE - Other Index Options'!$B:$B,D$4,'NSE - Other Index Options'!$I:$I,"MDAW*")+SUMIFS('BSE - SENSEX Index Options'!$M:$M,'BSE - SENSEX Index Options'!$C:$C,$A107,'BSE - SENSEX Index Options'!$B:$B,D$4,'BSE - SENSEX Index Options'!$I:$I,"Weekly*")+SUMIFS('BSE - SENSEX Index Options'!$M:$M,'BSE - SENSEX Index Options'!$C:$C,$A107,'BSE - SENSEX Index Options'!$B:$B,D$4,'BSE - SENSEX Index Options'!$I:$I,"MDAW*")+SUMIFS('BSE - Other Index Options'!$M:$M,'BSE - Other Index Options'!$C:$C,$A107,'BSE - Other Index Options'!$B:$B,D$4,'BSE - Other Index Options'!$I:$I,"Weekly*")+SUMIFS('BSE - Other Index Options'!$M:$M,'BSE - Other Index Options'!$C:$C,$A107,'BSE - Other Index Options'!$B:$B,D$4,'BSE - Other Index Options'!$I:$I,"MDAW*"))</f>
        <v/>
      </c>
      <c r="E107" s="26">
        <f>IF(SUMIFS('NSE - NIFTY Index Options'!$M:$M,'NSE - NIFTY Index Options'!$C:$C,$A107,'NSE - NIFTY Index Options'!$B:$B,E$4,'NSE - NIFTY Index Options'!$I:$I,"Weekly*")+SUMIFS('NSE - NIFTY Index Options'!$M:$M,'NSE - NIFTY Index Options'!$C:$C,$A107,'NSE - NIFTY Index Options'!$B:$B,E$4,'NSE - NIFTY Index Options'!$I:$I,"MDAW*")+SUMIFS('NSE - Other Index Options'!$M:$M,'NSE - Other Index Options'!$C:$C,$A107,'NSE - Other Index Options'!$B:$B,E$4,'NSE - Other Index Options'!$I:$I,"Weekly*")+SUMIFS('NSE - Other Index Options'!$M:$M,'NSE - Other Index Options'!$C:$C,$A107,'NSE - Other Index Options'!$B:$B,E$4,'NSE - Other Index Options'!$I:$I,"MDAW*")+SUMIFS('BSE - SENSEX Index Options'!$M:$M,'BSE - SENSEX Index Options'!$C:$C,$A107,'BSE - SENSEX Index Options'!$B:$B,E$4,'BSE - SENSEX Index Options'!$I:$I,"Weekly*")+SUMIFS('BSE - SENSEX Index Options'!$M:$M,'BSE - SENSEX Index Options'!$C:$C,$A107,'BSE - SENSEX Index Options'!$B:$B,E$4,'BSE - SENSEX Index Options'!$I:$I,"MDAW*")+SUMIFS('BSE - Other Index Options'!$M:$M,'BSE - Other Index Options'!$C:$C,$A107,'BSE - Other Index Options'!$B:$B,E$4,'BSE - Other Index Options'!$I:$I,"Weekly*")+SUMIFS('BSE - Other Index Options'!$M:$M,'BSE - Other Index Options'!$C:$C,$A107,'BSE - Other Index Options'!$B:$B,E$4,'BSE - Other Index Options'!$I:$I,"MDAW*")=0,"",SUMIFS('NSE - NIFTY Index Options'!$M:$M,'NSE - NIFTY Index Options'!$C:$C,$A107,'NSE - NIFTY Index Options'!$B:$B,E$4,'NSE - NIFTY Index Options'!$I:$I,"Weekly*")+SUMIFS('NSE - NIFTY Index Options'!$M:$M,'NSE - NIFTY Index Options'!$C:$C,$A107,'NSE - NIFTY Index Options'!$B:$B,E$4,'NSE - NIFTY Index Options'!$I:$I,"MDAW*")+SUMIFS('NSE - Other Index Options'!$M:$M,'NSE - Other Index Options'!$C:$C,$A107,'NSE - Other Index Options'!$B:$B,E$4,'NSE - Other Index Options'!$I:$I,"Weekly*")+SUMIFS('NSE - Other Index Options'!$M:$M,'NSE - Other Index Options'!$C:$C,$A107,'NSE - Other Index Options'!$B:$B,E$4,'NSE - Other Index Options'!$I:$I,"MDAW*")+SUMIFS('BSE - SENSEX Index Options'!$M:$M,'BSE - SENSEX Index Options'!$C:$C,$A107,'BSE - SENSEX Index Options'!$B:$B,E$4,'BSE - SENSEX Index Options'!$I:$I,"Weekly*")+SUMIFS('BSE - SENSEX Index Options'!$M:$M,'BSE - SENSEX Index Options'!$C:$C,$A107,'BSE - SENSEX Index Options'!$B:$B,E$4,'BSE - SENSEX Index Options'!$I:$I,"MDAW*")+SUMIFS('BSE - Other Index Options'!$M:$M,'BSE - Other Index Options'!$C:$C,$A107,'BSE - Other Index Options'!$B:$B,E$4,'BSE - Other Index Options'!$I:$I,"Weekly*")+SUMIFS('BSE - Other Index Options'!$M:$M,'BSE - Other Index Options'!$C:$C,$A107,'BSE - Other Index Options'!$B:$B,E$4,'BSE - Other Index Options'!$I:$I,"MDAW*"))</f>
        <v/>
      </c>
      <c r="F107" s="26">
        <f>IF(SUMIFS('NSE - NIFTY Index Options'!$M:$M,'NSE - NIFTY Index Options'!$C:$C,$A107,'NSE - NIFTY Index Options'!$B:$B,F$4,'NSE - NIFTY Index Options'!$I:$I,"Weekly*")+SUMIFS('NSE - NIFTY Index Options'!$M:$M,'NSE - NIFTY Index Options'!$C:$C,$A107,'NSE - NIFTY Index Options'!$B:$B,F$4,'NSE - NIFTY Index Options'!$I:$I,"MDAW*")+SUMIFS('NSE - Other Index Options'!$M:$M,'NSE - Other Index Options'!$C:$C,$A107,'NSE - Other Index Options'!$B:$B,F$4,'NSE - Other Index Options'!$I:$I,"Weekly*")+SUMIFS('NSE - Other Index Options'!$M:$M,'NSE - Other Index Options'!$C:$C,$A107,'NSE - Other Index Options'!$B:$B,F$4,'NSE - Other Index Options'!$I:$I,"MDAW*")+SUMIFS('BSE - SENSEX Index Options'!$M:$M,'BSE - SENSEX Index Options'!$C:$C,$A107,'BSE - SENSEX Index Options'!$B:$B,F$4,'BSE - SENSEX Index Options'!$I:$I,"Weekly*")+SUMIFS('BSE - SENSEX Index Options'!$M:$M,'BSE - SENSEX Index Options'!$C:$C,$A107,'BSE - SENSEX Index Options'!$B:$B,F$4,'BSE - SENSEX Index Options'!$I:$I,"MDAW*")+SUMIFS('BSE - Other Index Options'!$M:$M,'BSE - Other Index Options'!$C:$C,$A107,'BSE - Other Index Options'!$B:$B,F$4,'BSE - Other Index Options'!$I:$I,"Weekly*")+SUMIFS('BSE - Other Index Options'!$M:$M,'BSE - Other Index Options'!$C:$C,$A107,'BSE - Other Index Options'!$B:$B,F$4,'BSE - Other Index Options'!$I:$I,"MDAW*")=0,"",SUMIFS('NSE - NIFTY Index Options'!$M:$M,'NSE - NIFTY Index Options'!$C:$C,$A107,'NSE - NIFTY Index Options'!$B:$B,F$4,'NSE - NIFTY Index Options'!$I:$I,"Weekly*")+SUMIFS('NSE - NIFTY Index Options'!$M:$M,'NSE - NIFTY Index Options'!$C:$C,$A107,'NSE - NIFTY Index Options'!$B:$B,F$4,'NSE - NIFTY Index Options'!$I:$I,"MDAW*")+SUMIFS('NSE - Other Index Options'!$M:$M,'NSE - Other Index Options'!$C:$C,$A107,'NSE - Other Index Options'!$B:$B,F$4,'NSE - Other Index Options'!$I:$I,"Weekly*")+SUMIFS('NSE - Other Index Options'!$M:$M,'NSE - Other Index Options'!$C:$C,$A107,'NSE - Other Index Options'!$B:$B,F$4,'NSE - Other Index Options'!$I:$I,"MDAW*")+SUMIFS('BSE - SENSEX Index Options'!$M:$M,'BSE - SENSEX Index Options'!$C:$C,$A107,'BSE - SENSEX Index Options'!$B:$B,F$4,'BSE - SENSEX Index Options'!$I:$I,"Weekly*")+SUMIFS('BSE - SENSEX Index Options'!$M:$M,'BSE - SENSEX Index Options'!$C:$C,$A107,'BSE - SENSEX Index Options'!$B:$B,F$4,'BSE - SENSEX Index Options'!$I:$I,"MDAW*")+SUMIFS('BSE - Other Index Options'!$M:$M,'BSE - Other Index Options'!$C:$C,$A107,'BSE - Other Index Options'!$B:$B,F$4,'BSE - Other Index Options'!$I:$I,"Weekly*")+SUMIFS('BSE - Other Index Options'!$M:$M,'BSE - Other Index Options'!$C:$C,$A107,'BSE - Other Index Options'!$B:$B,F$4,'BSE - Other Index Options'!$I:$I,"MDAW*"))</f>
        <v/>
      </c>
      <c r="G107" s="26">
        <f>IF(SUMIFS('NSE - NIFTY Index Options'!$M:$M,'NSE - NIFTY Index Options'!$C:$C,$A107,'NSE - NIFTY Index Options'!$B:$B,G$4,'NSE - NIFTY Index Options'!$I:$I,"Weekly*")+SUMIFS('NSE - NIFTY Index Options'!$M:$M,'NSE - NIFTY Index Options'!$C:$C,$A107,'NSE - NIFTY Index Options'!$B:$B,G$4,'NSE - NIFTY Index Options'!$I:$I,"MDAW*")+SUMIFS('NSE - Other Index Options'!$M:$M,'NSE - Other Index Options'!$C:$C,$A107,'NSE - Other Index Options'!$B:$B,G$4,'NSE - Other Index Options'!$I:$I,"Weekly*")+SUMIFS('NSE - Other Index Options'!$M:$M,'NSE - Other Index Options'!$C:$C,$A107,'NSE - Other Index Options'!$B:$B,G$4,'NSE - Other Index Options'!$I:$I,"MDAW*")+SUMIFS('BSE - SENSEX Index Options'!$M:$M,'BSE - SENSEX Index Options'!$C:$C,$A107,'BSE - SENSEX Index Options'!$B:$B,G$4,'BSE - SENSEX Index Options'!$I:$I,"Weekly*")+SUMIFS('BSE - SENSEX Index Options'!$M:$M,'BSE - SENSEX Index Options'!$C:$C,$A107,'BSE - SENSEX Index Options'!$B:$B,G$4,'BSE - SENSEX Index Options'!$I:$I,"MDAW*")+SUMIFS('BSE - Other Index Options'!$M:$M,'BSE - Other Index Options'!$C:$C,$A107,'BSE - Other Index Options'!$B:$B,G$4,'BSE - Other Index Options'!$I:$I,"Weekly*")+SUMIFS('BSE - Other Index Options'!$M:$M,'BSE - Other Index Options'!$C:$C,$A107,'BSE - Other Index Options'!$B:$B,G$4,'BSE - Other Index Options'!$I:$I,"MDAW*")=0,"",SUMIFS('NSE - NIFTY Index Options'!$M:$M,'NSE - NIFTY Index Options'!$C:$C,$A107,'NSE - NIFTY Index Options'!$B:$B,G$4,'NSE - NIFTY Index Options'!$I:$I,"Weekly*")+SUMIFS('NSE - NIFTY Index Options'!$M:$M,'NSE - NIFTY Index Options'!$C:$C,$A107,'NSE - NIFTY Index Options'!$B:$B,G$4,'NSE - NIFTY Index Options'!$I:$I,"MDAW*")+SUMIFS('NSE - Other Index Options'!$M:$M,'NSE - Other Index Options'!$C:$C,$A107,'NSE - Other Index Options'!$B:$B,G$4,'NSE - Other Index Options'!$I:$I,"Weekly*")+SUMIFS('NSE - Other Index Options'!$M:$M,'NSE - Other Index Options'!$C:$C,$A107,'NSE - Other Index Options'!$B:$B,G$4,'NSE - Other Index Options'!$I:$I,"MDAW*")+SUMIFS('BSE - SENSEX Index Options'!$M:$M,'BSE - SENSEX Index Options'!$C:$C,$A107,'BSE - SENSEX Index Options'!$B:$B,G$4,'BSE - SENSEX Index Options'!$I:$I,"Weekly*")+SUMIFS('BSE - SENSEX Index Options'!$M:$M,'BSE - SENSEX Index Options'!$C:$C,$A107,'BSE - SENSEX Index Options'!$B:$B,G$4,'BSE - SENSEX Index Options'!$I:$I,"MDAW*")+SUMIFS('BSE - Other Index Options'!$M:$M,'BSE - Other Index Options'!$C:$C,$A107,'BSE - Other Index Options'!$B:$B,G$4,'BSE - Other Index Options'!$I:$I,"Weekly*")+SUMIFS('BSE - Other Index Options'!$M:$M,'BSE - Other Index Options'!$C:$C,$A107,'BSE - Other Index Options'!$B:$B,G$4,'BSE - Other Index Options'!$I:$I,"MDAW*"))</f>
        <v/>
      </c>
      <c r="H107" s="26">
        <f>IF(SUM(B107:G107)=0,"",SUM(B107:G107))</f>
        <v/>
      </c>
    </row>
    <row r="108" hidden="1" outlineLevel="1">
      <c r="A108" t="inlineStr">
        <is>
          <t>Week1-Jun-2027</t>
        </is>
      </c>
      <c r="B108" s="26">
        <f>IF(SUMIFS('NSE - NIFTY Index Options'!$M:$M,'NSE - NIFTY Index Options'!$C:$C,$A108,'NSE - NIFTY Index Options'!$B:$B,B$4,'NSE - NIFTY Index Options'!$I:$I,"Weekly*")+SUMIFS('NSE - NIFTY Index Options'!$M:$M,'NSE - NIFTY Index Options'!$C:$C,$A108,'NSE - NIFTY Index Options'!$B:$B,B$4,'NSE - NIFTY Index Options'!$I:$I,"MDAW*")+SUMIFS('NSE - Other Index Options'!$M:$M,'NSE - Other Index Options'!$C:$C,$A108,'NSE - Other Index Options'!$B:$B,B$4,'NSE - Other Index Options'!$I:$I,"Weekly*")+SUMIFS('NSE - Other Index Options'!$M:$M,'NSE - Other Index Options'!$C:$C,$A108,'NSE - Other Index Options'!$B:$B,B$4,'NSE - Other Index Options'!$I:$I,"MDAW*")+SUMIFS('BSE - SENSEX Index Options'!$M:$M,'BSE - SENSEX Index Options'!$C:$C,$A108,'BSE - SENSEX Index Options'!$B:$B,B$4,'BSE - SENSEX Index Options'!$I:$I,"Weekly*")+SUMIFS('BSE - SENSEX Index Options'!$M:$M,'BSE - SENSEX Index Options'!$C:$C,$A108,'BSE - SENSEX Index Options'!$B:$B,B$4,'BSE - SENSEX Index Options'!$I:$I,"MDAW*")+SUMIFS('BSE - Other Index Options'!$M:$M,'BSE - Other Index Options'!$C:$C,$A108,'BSE - Other Index Options'!$B:$B,B$4,'BSE - Other Index Options'!$I:$I,"Weekly*")+SUMIFS('BSE - Other Index Options'!$M:$M,'BSE - Other Index Options'!$C:$C,$A108,'BSE - Other Index Options'!$B:$B,B$4,'BSE - Other Index Options'!$I:$I,"MDAW*")=0,"",SUMIFS('NSE - NIFTY Index Options'!$M:$M,'NSE - NIFTY Index Options'!$C:$C,$A108,'NSE - NIFTY Index Options'!$B:$B,B$4,'NSE - NIFTY Index Options'!$I:$I,"Weekly*")+SUMIFS('NSE - NIFTY Index Options'!$M:$M,'NSE - NIFTY Index Options'!$C:$C,$A108,'NSE - NIFTY Index Options'!$B:$B,B$4,'NSE - NIFTY Index Options'!$I:$I,"MDAW*")+SUMIFS('NSE - Other Index Options'!$M:$M,'NSE - Other Index Options'!$C:$C,$A108,'NSE - Other Index Options'!$B:$B,B$4,'NSE - Other Index Options'!$I:$I,"Weekly*")+SUMIFS('NSE - Other Index Options'!$M:$M,'NSE - Other Index Options'!$C:$C,$A108,'NSE - Other Index Options'!$B:$B,B$4,'NSE - Other Index Options'!$I:$I,"MDAW*")+SUMIFS('BSE - SENSEX Index Options'!$M:$M,'BSE - SENSEX Index Options'!$C:$C,$A108,'BSE - SENSEX Index Options'!$B:$B,B$4,'BSE - SENSEX Index Options'!$I:$I,"Weekly*")+SUMIFS('BSE - SENSEX Index Options'!$M:$M,'BSE - SENSEX Index Options'!$C:$C,$A108,'BSE - SENSEX Index Options'!$B:$B,B$4,'BSE - SENSEX Index Options'!$I:$I,"MDAW*")+SUMIFS('BSE - Other Index Options'!$M:$M,'BSE - Other Index Options'!$C:$C,$A108,'BSE - Other Index Options'!$B:$B,B$4,'BSE - Other Index Options'!$I:$I,"Weekly*")+SUMIFS('BSE - Other Index Options'!$M:$M,'BSE - Other Index Options'!$C:$C,$A108,'BSE - Other Index Options'!$B:$B,B$4,'BSE - Other Index Options'!$I:$I,"MDAW*"))</f>
        <v/>
      </c>
      <c r="C108" s="26">
        <f>IF(SUMIFS('NSE - NIFTY Index Options'!$M:$M,'NSE - NIFTY Index Options'!$C:$C,$A108,'NSE - NIFTY Index Options'!$B:$B,C$4,'NSE - NIFTY Index Options'!$I:$I,"Weekly*")+SUMIFS('NSE - NIFTY Index Options'!$M:$M,'NSE - NIFTY Index Options'!$C:$C,$A108,'NSE - NIFTY Index Options'!$B:$B,C$4,'NSE - NIFTY Index Options'!$I:$I,"MDAW*")+SUMIFS('NSE - Other Index Options'!$M:$M,'NSE - Other Index Options'!$C:$C,$A108,'NSE - Other Index Options'!$B:$B,C$4,'NSE - Other Index Options'!$I:$I,"Weekly*")+SUMIFS('NSE - Other Index Options'!$M:$M,'NSE - Other Index Options'!$C:$C,$A108,'NSE - Other Index Options'!$B:$B,C$4,'NSE - Other Index Options'!$I:$I,"MDAW*")+SUMIFS('BSE - SENSEX Index Options'!$M:$M,'BSE - SENSEX Index Options'!$C:$C,$A108,'BSE - SENSEX Index Options'!$B:$B,C$4,'BSE - SENSEX Index Options'!$I:$I,"Weekly*")+SUMIFS('BSE - SENSEX Index Options'!$M:$M,'BSE - SENSEX Index Options'!$C:$C,$A108,'BSE - SENSEX Index Options'!$B:$B,C$4,'BSE - SENSEX Index Options'!$I:$I,"MDAW*")+SUMIFS('BSE - Other Index Options'!$M:$M,'BSE - Other Index Options'!$C:$C,$A108,'BSE - Other Index Options'!$B:$B,C$4,'BSE - Other Index Options'!$I:$I,"Weekly*")+SUMIFS('BSE - Other Index Options'!$M:$M,'BSE - Other Index Options'!$C:$C,$A108,'BSE - Other Index Options'!$B:$B,C$4,'BSE - Other Index Options'!$I:$I,"MDAW*")=0,"",SUMIFS('NSE - NIFTY Index Options'!$M:$M,'NSE - NIFTY Index Options'!$C:$C,$A108,'NSE - NIFTY Index Options'!$B:$B,C$4,'NSE - NIFTY Index Options'!$I:$I,"Weekly*")+SUMIFS('NSE - NIFTY Index Options'!$M:$M,'NSE - NIFTY Index Options'!$C:$C,$A108,'NSE - NIFTY Index Options'!$B:$B,C$4,'NSE - NIFTY Index Options'!$I:$I,"MDAW*")+SUMIFS('NSE - Other Index Options'!$M:$M,'NSE - Other Index Options'!$C:$C,$A108,'NSE - Other Index Options'!$B:$B,C$4,'NSE - Other Index Options'!$I:$I,"Weekly*")+SUMIFS('NSE - Other Index Options'!$M:$M,'NSE - Other Index Options'!$C:$C,$A108,'NSE - Other Index Options'!$B:$B,C$4,'NSE - Other Index Options'!$I:$I,"MDAW*")+SUMIFS('BSE - SENSEX Index Options'!$M:$M,'BSE - SENSEX Index Options'!$C:$C,$A108,'BSE - SENSEX Index Options'!$B:$B,C$4,'BSE - SENSEX Index Options'!$I:$I,"Weekly*")+SUMIFS('BSE - SENSEX Index Options'!$M:$M,'BSE - SENSEX Index Options'!$C:$C,$A108,'BSE - SENSEX Index Options'!$B:$B,C$4,'BSE - SENSEX Index Options'!$I:$I,"MDAW*")+SUMIFS('BSE - Other Index Options'!$M:$M,'BSE - Other Index Options'!$C:$C,$A108,'BSE - Other Index Options'!$B:$B,C$4,'BSE - Other Index Options'!$I:$I,"Weekly*")+SUMIFS('BSE - Other Index Options'!$M:$M,'BSE - Other Index Options'!$C:$C,$A108,'BSE - Other Index Options'!$B:$B,C$4,'BSE - Other Index Options'!$I:$I,"MDAW*"))</f>
        <v/>
      </c>
      <c r="D108" s="26">
        <f>IF(SUMIFS('NSE - NIFTY Index Options'!$M:$M,'NSE - NIFTY Index Options'!$C:$C,$A108,'NSE - NIFTY Index Options'!$B:$B,D$4,'NSE - NIFTY Index Options'!$I:$I,"Weekly*")+SUMIFS('NSE - NIFTY Index Options'!$M:$M,'NSE - NIFTY Index Options'!$C:$C,$A108,'NSE - NIFTY Index Options'!$B:$B,D$4,'NSE - NIFTY Index Options'!$I:$I,"MDAW*")+SUMIFS('NSE - Other Index Options'!$M:$M,'NSE - Other Index Options'!$C:$C,$A108,'NSE - Other Index Options'!$B:$B,D$4,'NSE - Other Index Options'!$I:$I,"Weekly*")+SUMIFS('NSE - Other Index Options'!$M:$M,'NSE - Other Index Options'!$C:$C,$A108,'NSE - Other Index Options'!$B:$B,D$4,'NSE - Other Index Options'!$I:$I,"MDAW*")+SUMIFS('BSE - SENSEX Index Options'!$M:$M,'BSE - SENSEX Index Options'!$C:$C,$A108,'BSE - SENSEX Index Options'!$B:$B,D$4,'BSE - SENSEX Index Options'!$I:$I,"Weekly*")+SUMIFS('BSE - SENSEX Index Options'!$M:$M,'BSE - SENSEX Index Options'!$C:$C,$A108,'BSE - SENSEX Index Options'!$B:$B,D$4,'BSE - SENSEX Index Options'!$I:$I,"MDAW*")+SUMIFS('BSE - Other Index Options'!$M:$M,'BSE - Other Index Options'!$C:$C,$A108,'BSE - Other Index Options'!$B:$B,D$4,'BSE - Other Index Options'!$I:$I,"Weekly*")+SUMIFS('BSE - Other Index Options'!$M:$M,'BSE - Other Index Options'!$C:$C,$A108,'BSE - Other Index Options'!$B:$B,D$4,'BSE - Other Index Options'!$I:$I,"MDAW*")=0,"",SUMIFS('NSE - NIFTY Index Options'!$M:$M,'NSE - NIFTY Index Options'!$C:$C,$A108,'NSE - NIFTY Index Options'!$B:$B,D$4,'NSE - NIFTY Index Options'!$I:$I,"Weekly*")+SUMIFS('NSE - NIFTY Index Options'!$M:$M,'NSE - NIFTY Index Options'!$C:$C,$A108,'NSE - NIFTY Index Options'!$B:$B,D$4,'NSE - NIFTY Index Options'!$I:$I,"MDAW*")+SUMIFS('NSE - Other Index Options'!$M:$M,'NSE - Other Index Options'!$C:$C,$A108,'NSE - Other Index Options'!$B:$B,D$4,'NSE - Other Index Options'!$I:$I,"Weekly*")+SUMIFS('NSE - Other Index Options'!$M:$M,'NSE - Other Index Options'!$C:$C,$A108,'NSE - Other Index Options'!$B:$B,D$4,'NSE - Other Index Options'!$I:$I,"MDAW*")+SUMIFS('BSE - SENSEX Index Options'!$M:$M,'BSE - SENSEX Index Options'!$C:$C,$A108,'BSE - SENSEX Index Options'!$B:$B,D$4,'BSE - SENSEX Index Options'!$I:$I,"Weekly*")+SUMIFS('BSE - SENSEX Index Options'!$M:$M,'BSE - SENSEX Index Options'!$C:$C,$A108,'BSE - SENSEX Index Options'!$B:$B,D$4,'BSE - SENSEX Index Options'!$I:$I,"MDAW*")+SUMIFS('BSE - Other Index Options'!$M:$M,'BSE - Other Index Options'!$C:$C,$A108,'BSE - Other Index Options'!$B:$B,D$4,'BSE - Other Index Options'!$I:$I,"Weekly*")+SUMIFS('BSE - Other Index Options'!$M:$M,'BSE - Other Index Options'!$C:$C,$A108,'BSE - Other Index Options'!$B:$B,D$4,'BSE - Other Index Options'!$I:$I,"MDAW*"))</f>
        <v/>
      </c>
      <c r="E108" s="26">
        <f>IF(SUMIFS('NSE - NIFTY Index Options'!$M:$M,'NSE - NIFTY Index Options'!$C:$C,$A108,'NSE - NIFTY Index Options'!$B:$B,E$4,'NSE - NIFTY Index Options'!$I:$I,"Weekly*")+SUMIFS('NSE - NIFTY Index Options'!$M:$M,'NSE - NIFTY Index Options'!$C:$C,$A108,'NSE - NIFTY Index Options'!$B:$B,E$4,'NSE - NIFTY Index Options'!$I:$I,"MDAW*")+SUMIFS('NSE - Other Index Options'!$M:$M,'NSE - Other Index Options'!$C:$C,$A108,'NSE - Other Index Options'!$B:$B,E$4,'NSE - Other Index Options'!$I:$I,"Weekly*")+SUMIFS('NSE - Other Index Options'!$M:$M,'NSE - Other Index Options'!$C:$C,$A108,'NSE - Other Index Options'!$B:$B,E$4,'NSE - Other Index Options'!$I:$I,"MDAW*")+SUMIFS('BSE - SENSEX Index Options'!$M:$M,'BSE - SENSEX Index Options'!$C:$C,$A108,'BSE - SENSEX Index Options'!$B:$B,E$4,'BSE - SENSEX Index Options'!$I:$I,"Weekly*")+SUMIFS('BSE - SENSEX Index Options'!$M:$M,'BSE - SENSEX Index Options'!$C:$C,$A108,'BSE - SENSEX Index Options'!$B:$B,E$4,'BSE - SENSEX Index Options'!$I:$I,"MDAW*")+SUMIFS('BSE - Other Index Options'!$M:$M,'BSE - Other Index Options'!$C:$C,$A108,'BSE - Other Index Options'!$B:$B,E$4,'BSE - Other Index Options'!$I:$I,"Weekly*")+SUMIFS('BSE - Other Index Options'!$M:$M,'BSE - Other Index Options'!$C:$C,$A108,'BSE - Other Index Options'!$B:$B,E$4,'BSE - Other Index Options'!$I:$I,"MDAW*")=0,"",SUMIFS('NSE - NIFTY Index Options'!$M:$M,'NSE - NIFTY Index Options'!$C:$C,$A108,'NSE - NIFTY Index Options'!$B:$B,E$4,'NSE - NIFTY Index Options'!$I:$I,"Weekly*")+SUMIFS('NSE - NIFTY Index Options'!$M:$M,'NSE - NIFTY Index Options'!$C:$C,$A108,'NSE - NIFTY Index Options'!$B:$B,E$4,'NSE - NIFTY Index Options'!$I:$I,"MDAW*")+SUMIFS('NSE - Other Index Options'!$M:$M,'NSE - Other Index Options'!$C:$C,$A108,'NSE - Other Index Options'!$B:$B,E$4,'NSE - Other Index Options'!$I:$I,"Weekly*")+SUMIFS('NSE - Other Index Options'!$M:$M,'NSE - Other Index Options'!$C:$C,$A108,'NSE - Other Index Options'!$B:$B,E$4,'NSE - Other Index Options'!$I:$I,"MDAW*")+SUMIFS('BSE - SENSEX Index Options'!$M:$M,'BSE - SENSEX Index Options'!$C:$C,$A108,'BSE - SENSEX Index Options'!$B:$B,E$4,'BSE - SENSEX Index Options'!$I:$I,"Weekly*")+SUMIFS('BSE - SENSEX Index Options'!$M:$M,'BSE - SENSEX Index Options'!$C:$C,$A108,'BSE - SENSEX Index Options'!$B:$B,E$4,'BSE - SENSEX Index Options'!$I:$I,"MDAW*")+SUMIFS('BSE - Other Index Options'!$M:$M,'BSE - Other Index Options'!$C:$C,$A108,'BSE - Other Index Options'!$B:$B,E$4,'BSE - Other Index Options'!$I:$I,"Weekly*")+SUMIFS('BSE - Other Index Options'!$M:$M,'BSE - Other Index Options'!$C:$C,$A108,'BSE - Other Index Options'!$B:$B,E$4,'BSE - Other Index Options'!$I:$I,"MDAW*"))</f>
        <v/>
      </c>
      <c r="F108" s="26">
        <f>IF(SUMIFS('NSE - NIFTY Index Options'!$M:$M,'NSE - NIFTY Index Options'!$C:$C,$A108,'NSE - NIFTY Index Options'!$B:$B,F$4,'NSE - NIFTY Index Options'!$I:$I,"Weekly*")+SUMIFS('NSE - NIFTY Index Options'!$M:$M,'NSE - NIFTY Index Options'!$C:$C,$A108,'NSE - NIFTY Index Options'!$B:$B,F$4,'NSE - NIFTY Index Options'!$I:$I,"MDAW*")+SUMIFS('NSE - Other Index Options'!$M:$M,'NSE - Other Index Options'!$C:$C,$A108,'NSE - Other Index Options'!$B:$B,F$4,'NSE - Other Index Options'!$I:$I,"Weekly*")+SUMIFS('NSE - Other Index Options'!$M:$M,'NSE - Other Index Options'!$C:$C,$A108,'NSE - Other Index Options'!$B:$B,F$4,'NSE - Other Index Options'!$I:$I,"MDAW*")+SUMIFS('BSE - SENSEX Index Options'!$M:$M,'BSE - SENSEX Index Options'!$C:$C,$A108,'BSE - SENSEX Index Options'!$B:$B,F$4,'BSE - SENSEX Index Options'!$I:$I,"Weekly*")+SUMIFS('BSE - SENSEX Index Options'!$M:$M,'BSE - SENSEX Index Options'!$C:$C,$A108,'BSE - SENSEX Index Options'!$B:$B,F$4,'BSE - SENSEX Index Options'!$I:$I,"MDAW*")+SUMIFS('BSE - Other Index Options'!$M:$M,'BSE - Other Index Options'!$C:$C,$A108,'BSE - Other Index Options'!$B:$B,F$4,'BSE - Other Index Options'!$I:$I,"Weekly*")+SUMIFS('BSE - Other Index Options'!$M:$M,'BSE - Other Index Options'!$C:$C,$A108,'BSE - Other Index Options'!$B:$B,F$4,'BSE - Other Index Options'!$I:$I,"MDAW*")=0,"",SUMIFS('NSE - NIFTY Index Options'!$M:$M,'NSE - NIFTY Index Options'!$C:$C,$A108,'NSE - NIFTY Index Options'!$B:$B,F$4,'NSE - NIFTY Index Options'!$I:$I,"Weekly*")+SUMIFS('NSE - NIFTY Index Options'!$M:$M,'NSE - NIFTY Index Options'!$C:$C,$A108,'NSE - NIFTY Index Options'!$B:$B,F$4,'NSE - NIFTY Index Options'!$I:$I,"MDAW*")+SUMIFS('NSE - Other Index Options'!$M:$M,'NSE - Other Index Options'!$C:$C,$A108,'NSE - Other Index Options'!$B:$B,F$4,'NSE - Other Index Options'!$I:$I,"Weekly*")+SUMIFS('NSE - Other Index Options'!$M:$M,'NSE - Other Index Options'!$C:$C,$A108,'NSE - Other Index Options'!$B:$B,F$4,'NSE - Other Index Options'!$I:$I,"MDAW*")+SUMIFS('BSE - SENSEX Index Options'!$M:$M,'BSE - SENSEX Index Options'!$C:$C,$A108,'BSE - SENSEX Index Options'!$B:$B,F$4,'BSE - SENSEX Index Options'!$I:$I,"Weekly*")+SUMIFS('BSE - SENSEX Index Options'!$M:$M,'BSE - SENSEX Index Options'!$C:$C,$A108,'BSE - SENSEX Index Options'!$B:$B,F$4,'BSE - SENSEX Index Options'!$I:$I,"MDAW*")+SUMIFS('BSE - Other Index Options'!$M:$M,'BSE - Other Index Options'!$C:$C,$A108,'BSE - Other Index Options'!$B:$B,F$4,'BSE - Other Index Options'!$I:$I,"Weekly*")+SUMIFS('BSE - Other Index Options'!$M:$M,'BSE - Other Index Options'!$C:$C,$A108,'BSE - Other Index Options'!$B:$B,F$4,'BSE - Other Index Options'!$I:$I,"MDAW*"))</f>
        <v/>
      </c>
      <c r="G108" s="26">
        <f>IF(SUMIFS('NSE - NIFTY Index Options'!$M:$M,'NSE - NIFTY Index Options'!$C:$C,$A108,'NSE - NIFTY Index Options'!$B:$B,G$4,'NSE - NIFTY Index Options'!$I:$I,"Weekly*")+SUMIFS('NSE - NIFTY Index Options'!$M:$M,'NSE - NIFTY Index Options'!$C:$C,$A108,'NSE - NIFTY Index Options'!$B:$B,G$4,'NSE - NIFTY Index Options'!$I:$I,"MDAW*")+SUMIFS('NSE - Other Index Options'!$M:$M,'NSE - Other Index Options'!$C:$C,$A108,'NSE - Other Index Options'!$B:$B,G$4,'NSE - Other Index Options'!$I:$I,"Weekly*")+SUMIFS('NSE - Other Index Options'!$M:$M,'NSE - Other Index Options'!$C:$C,$A108,'NSE - Other Index Options'!$B:$B,G$4,'NSE - Other Index Options'!$I:$I,"MDAW*")+SUMIFS('BSE - SENSEX Index Options'!$M:$M,'BSE - SENSEX Index Options'!$C:$C,$A108,'BSE - SENSEX Index Options'!$B:$B,G$4,'BSE - SENSEX Index Options'!$I:$I,"Weekly*")+SUMIFS('BSE - SENSEX Index Options'!$M:$M,'BSE - SENSEX Index Options'!$C:$C,$A108,'BSE - SENSEX Index Options'!$B:$B,G$4,'BSE - SENSEX Index Options'!$I:$I,"MDAW*")+SUMIFS('BSE - Other Index Options'!$M:$M,'BSE - Other Index Options'!$C:$C,$A108,'BSE - Other Index Options'!$B:$B,G$4,'BSE - Other Index Options'!$I:$I,"Weekly*")+SUMIFS('BSE - Other Index Options'!$M:$M,'BSE - Other Index Options'!$C:$C,$A108,'BSE - Other Index Options'!$B:$B,G$4,'BSE - Other Index Options'!$I:$I,"MDAW*")=0,"",SUMIFS('NSE - NIFTY Index Options'!$M:$M,'NSE - NIFTY Index Options'!$C:$C,$A108,'NSE - NIFTY Index Options'!$B:$B,G$4,'NSE - NIFTY Index Options'!$I:$I,"Weekly*")+SUMIFS('NSE - NIFTY Index Options'!$M:$M,'NSE - NIFTY Index Options'!$C:$C,$A108,'NSE - NIFTY Index Options'!$B:$B,G$4,'NSE - NIFTY Index Options'!$I:$I,"MDAW*")+SUMIFS('NSE - Other Index Options'!$M:$M,'NSE - Other Index Options'!$C:$C,$A108,'NSE - Other Index Options'!$B:$B,G$4,'NSE - Other Index Options'!$I:$I,"Weekly*")+SUMIFS('NSE - Other Index Options'!$M:$M,'NSE - Other Index Options'!$C:$C,$A108,'NSE - Other Index Options'!$B:$B,G$4,'NSE - Other Index Options'!$I:$I,"MDAW*")+SUMIFS('BSE - SENSEX Index Options'!$M:$M,'BSE - SENSEX Index Options'!$C:$C,$A108,'BSE - SENSEX Index Options'!$B:$B,G$4,'BSE - SENSEX Index Options'!$I:$I,"Weekly*")+SUMIFS('BSE - SENSEX Index Options'!$M:$M,'BSE - SENSEX Index Options'!$C:$C,$A108,'BSE - SENSEX Index Options'!$B:$B,G$4,'BSE - SENSEX Index Options'!$I:$I,"MDAW*")+SUMIFS('BSE - Other Index Options'!$M:$M,'BSE - Other Index Options'!$C:$C,$A108,'BSE - Other Index Options'!$B:$B,G$4,'BSE - Other Index Options'!$I:$I,"Weekly*")+SUMIFS('BSE - Other Index Options'!$M:$M,'BSE - Other Index Options'!$C:$C,$A108,'BSE - Other Index Options'!$B:$B,G$4,'BSE - Other Index Options'!$I:$I,"MDAW*"))</f>
        <v/>
      </c>
      <c r="H108" s="26">
        <f>IF(SUM(B108:G108)=0,"",SUM(B108:G108))</f>
        <v/>
      </c>
    </row>
    <row r="109" hidden="1" outlineLevel="1">
      <c r="A109" t="inlineStr">
        <is>
          <t>Week2-Jun-2027</t>
        </is>
      </c>
      <c r="B109" s="26">
        <f>IF(SUMIFS('NSE - NIFTY Index Options'!$M:$M,'NSE - NIFTY Index Options'!$C:$C,$A109,'NSE - NIFTY Index Options'!$B:$B,B$4,'NSE - NIFTY Index Options'!$I:$I,"Weekly*")+SUMIFS('NSE - NIFTY Index Options'!$M:$M,'NSE - NIFTY Index Options'!$C:$C,$A109,'NSE - NIFTY Index Options'!$B:$B,B$4,'NSE - NIFTY Index Options'!$I:$I,"MDAW*")+SUMIFS('NSE - Other Index Options'!$M:$M,'NSE - Other Index Options'!$C:$C,$A109,'NSE - Other Index Options'!$B:$B,B$4,'NSE - Other Index Options'!$I:$I,"Weekly*")+SUMIFS('NSE - Other Index Options'!$M:$M,'NSE - Other Index Options'!$C:$C,$A109,'NSE - Other Index Options'!$B:$B,B$4,'NSE - Other Index Options'!$I:$I,"MDAW*")+SUMIFS('BSE - SENSEX Index Options'!$M:$M,'BSE - SENSEX Index Options'!$C:$C,$A109,'BSE - SENSEX Index Options'!$B:$B,B$4,'BSE - SENSEX Index Options'!$I:$I,"Weekly*")+SUMIFS('BSE - SENSEX Index Options'!$M:$M,'BSE - SENSEX Index Options'!$C:$C,$A109,'BSE - SENSEX Index Options'!$B:$B,B$4,'BSE - SENSEX Index Options'!$I:$I,"MDAW*")+SUMIFS('BSE - Other Index Options'!$M:$M,'BSE - Other Index Options'!$C:$C,$A109,'BSE - Other Index Options'!$B:$B,B$4,'BSE - Other Index Options'!$I:$I,"Weekly*")+SUMIFS('BSE - Other Index Options'!$M:$M,'BSE - Other Index Options'!$C:$C,$A109,'BSE - Other Index Options'!$B:$B,B$4,'BSE - Other Index Options'!$I:$I,"MDAW*")=0,"",SUMIFS('NSE - NIFTY Index Options'!$M:$M,'NSE - NIFTY Index Options'!$C:$C,$A109,'NSE - NIFTY Index Options'!$B:$B,B$4,'NSE - NIFTY Index Options'!$I:$I,"Weekly*")+SUMIFS('NSE - NIFTY Index Options'!$M:$M,'NSE - NIFTY Index Options'!$C:$C,$A109,'NSE - NIFTY Index Options'!$B:$B,B$4,'NSE - NIFTY Index Options'!$I:$I,"MDAW*")+SUMIFS('NSE - Other Index Options'!$M:$M,'NSE - Other Index Options'!$C:$C,$A109,'NSE - Other Index Options'!$B:$B,B$4,'NSE - Other Index Options'!$I:$I,"Weekly*")+SUMIFS('NSE - Other Index Options'!$M:$M,'NSE - Other Index Options'!$C:$C,$A109,'NSE - Other Index Options'!$B:$B,B$4,'NSE - Other Index Options'!$I:$I,"MDAW*")+SUMIFS('BSE - SENSEX Index Options'!$M:$M,'BSE - SENSEX Index Options'!$C:$C,$A109,'BSE - SENSEX Index Options'!$B:$B,B$4,'BSE - SENSEX Index Options'!$I:$I,"Weekly*")+SUMIFS('BSE - SENSEX Index Options'!$M:$M,'BSE - SENSEX Index Options'!$C:$C,$A109,'BSE - SENSEX Index Options'!$B:$B,B$4,'BSE - SENSEX Index Options'!$I:$I,"MDAW*")+SUMIFS('BSE - Other Index Options'!$M:$M,'BSE - Other Index Options'!$C:$C,$A109,'BSE - Other Index Options'!$B:$B,B$4,'BSE - Other Index Options'!$I:$I,"Weekly*")+SUMIFS('BSE - Other Index Options'!$M:$M,'BSE - Other Index Options'!$C:$C,$A109,'BSE - Other Index Options'!$B:$B,B$4,'BSE - Other Index Options'!$I:$I,"MDAW*"))</f>
        <v/>
      </c>
      <c r="C109" s="26">
        <f>IF(SUMIFS('NSE - NIFTY Index Options'!$M:$M,'NSE - NIFTY Index Options'!$C:$C,$A109,'NSE - NIFTY Index Options'!$B:$B,C$4,'NSE - NIFTY Index Options'!$I:$I,"Weekly*")+SUMIFS('NSE - NIFTY Index Options'!$M:$M,'NSE - NIFTY Index Options'!$C:$C,$A109,'NSE - NIFTY Index Options'!$B:$B,C$4,'NSE - NIFTY Index Options'!$I:$I,"MDAW*")+SUMIFS('NSE - Other Index Options'!$M:$M,'NSE - Other Index Options'!$C:$C,$A109,'NSE - Other Index Options'!$B:$B,C$4,'NSE - Other Index Options'!$I:$I,"Weekly*")+SUMIFS('NSE - Other Index Options'!$M:$M,'NSE - Other Index Options'!$C:$C,$A109,'NSE - Other Index Options'!$B:$B,C$4,'NSE - Other Index Options'!$I:$I,"MDAW*")+SUMIFS('BSE - SENSEX Index Options'!$M:$M,'BSE - SENSEX Index Options'!$C:$C,$A109,'BSE - SENSEX Index Options'!$B:$B,C$4,'BSE - SENSEX Index Options'!$I:$I,"Weekly*")+SUMIFS('BSE - SENSEX Index Options'!$M:$M,'BSE - SENSEX Index Options'!$C:$C,$A109,'BSE - SENSEX Index Options'!$B:$B,C$4,'BSE - SENSEX Index Options'!$I:$I,"MDAW*")+SUMIFS('BSE - Other Index Options'!$M:$M,'BSE - Other Index Options'!$C:$C,$A109,'BSE - Other Index Options'!$B:$B,C$4,'BSE - Other Index Options'!$I:$I,"Weekly*")+SUMIFS('BSE - Other Index Options'!$M:$M,'BSE - Other Index Options'!$C:$C,$A109,'BSE - Other Index Options'!$B:$B,C$4,'BSE - Other Index Options'!$I:$I,"MDAW*")=0,"",SUMIFS('NSE - NIFTY Index Options'!$M:$M,'NSE - NIFTY Index Options'!$C:$C,$A109,'NSE - NIFTY Index Options'!$B:$B,C$4,'NSE - NIFTY Index Options'!$I:$I,"Weekly*")+SUMIFS('NSE - NIFTY Index Options'!$M:$M,'NSE - NIFTY Index Options'!$C:$C,$A109,'NSE - NIFTY Index Options'!$B:$B,C$4,'NSE - NIFTY Index Options'!$I:$I,"MDAW*")+SUMIFS('NSE - Other Index Options'!$M:$M,'NSE - Other Index Options'!$C:$C,$A109,'NSE - Other Index Options'!$B:$B,C$4,'NSE - Other Index Options'!$I:$I,"Weekly*")+SUMIFS('NSE - Other Index Options'!$M:$M,'NSE - Other Index Options'!$C:$C,$A109,'NSE - Other Index Options'!$B:$B,C$4,'NSE - Other Index Options'!$I:$I,"MDAW*")+SUMIFS('BSE - SENSEX Index Options'!$M:$M,'BSE - SENSEX Index Options'!$C:$C,$A109,'BSE - SENSEX Index Options'!$B:$B,C$4,'BSE - SENSEX Index Options'!$I:$I,"Weekly*")+SUMIFS('BSE - SENSEX Index Options'!$M:$M,'BSE - SENSEX Index Options'!$C:$C,$A109,'BSE - SENSEX Index Options'!$B:$B,C$4,'BSE - SENSEX Index Options'!$I:$I,"MDAW*")+SUMIFS('BSE - Other Index Options'!$M:$M,'BSE - Other Index Options'!$C:$C,$A109,'BSE - Other Index Options'!$B:$B,C$4,'BSE - Other Index Options'!$I:$I,"Weekly*")+SUMIFS('BSE - Other Index Options'!$M:$M,'BSE - Other Index Options'!$C:$C,$A109,'BSE - Other Index Options'!$B:$B,C$4,'BSE - Other Index Options'!$I:$I,"MDAW*"))</f>
        <v/>
      </c>
      <c r="D109" s="26">
        <f>IF(SUMIFS('NSE - NIFTY Index Options'!$M:$M,'NSE - NIFTY Index Options'!$C:$C,$A109,'NSE - NIFTY Index Options'!$B:$B,D$4,'NSE - NIFTY Index Options'!$I:$I,"Weekly*")+SUMIFS('NSE - NIFTY Index Options'!$M:$M,'NSE - NIFTY Index Options'!$C:$C,$A109,'NSE - NIFTY Index Options'!$B:$B,D$4,'NSE - NIFTY Index Options'!$I:$I,"MDAW*")+SUMIFS('NSE - Other Index Options'!$M:$M,'NSE - Other Index Options'!$C:$C,$A109,'NSE - Other Index Options'!$B:$B,D$4,'NSE - Other Index Options'!$I:$I,"Weekly*")+SUMIFS('NSE - Other Index Options'!$M:$M,'NSE - Other Index Options'!$C:$C,$A109,'NSE - Other Index Options'!$B:$B,D$4,'NSE - Other Index Options'!$I:$I,"MDAW*")+SUMIFS('BSE - SENSEX Index Options'!$M:$M,'BSE - SENSEX Index Options'!$C:$C,$A109,'BSE - SENSEX Index Options'!$B:$B,D$4,'BSE - SENSEX Index Options'!$I:$I,"Weekly*")+SUMIFS('BSE - SENSEX Index Options'!$M:$M,'BSE - SENSEX Index Options'!$C:$C,$A109,'BSE - SENSEX Index Options'!$B:$B,D$4,'BSE - SENSEX Index Options'!$I:$I,"MDAW*")+SUMIFS('BSE - Other Index Options'!$M:$M,'BSE - Other Index Options'!$C:$C,$A109,'BSE - Other Index Options'!$B:$B,D$4,'BSE - Other Index Options'!$I:$I,"Weekly*")+SUMIFS('BSE - Other Index Options'!$M:$M,'BSE - Other Index Options'!$C:$C,$A109,'BSE - Other Index Options'!$B:$B,D$4,'BSE - Other Index Options'!$I:$I,"MDAW*")=0,"",SUMIFS('NSE - NIFTY Index Options'!$M:$M,'NSE - NIFTY Index Options'!$C:$C,$A109,'NSE - NIFTY Index Options'!$B:$B,D$4,'NSE - NIFTY Index Options'!$I:$I,"Weekly*")+SUMIFS('NSE - NIFTY Index Options'!$M:$M,'NSE - NIFTY Index Options'!$C:$C,$A109,'NSE - NIFTY Index Options'!$B:$B,D$4,'NSE - NIFTY Index Options'!$I:$I,"MDAW*")+SUMIFS('NSE - Other Index Options'!$M:$M,'NSE - Other Index Options'!$C:$C,$A109,'NSE - Other Index Options'!$B:$B,D$4,'NSE - Other Index Options'!$I:$I,"Weekly*")+SUMIFS('NSE - Other Index Options'!$M:$M,'NSE - Other Index Options'!$C:$C,$A109,'NSE - Other Index Options'!$B:$B,D$4,'NSE - Other Index Options'!$I:$I,"MDAW*")+SUMIFS('BSE - SENSEX Index Options'!$M:$M,'BSE - SENSEX Index Options'!$C:$C,$A109,'BSE - SENSEX Index Options'!$B:$B,D$4,'BSE - SENSEX Index Options'!$I:$I,"Weekly*")+SUMIFS('BSE - SENSEX Index Options'!$M:$M,'BSE - SENSEX Index Options'!$C:$C,$A109,'BSE - SENSEX Index Options'!$B:$B,D$4,'BSE - SENSEX Index Options'!$I:$I,"MDAW*")+SUMIFS('BSE - Other Index Options'!$M:$M,'BSE - Other Index Options'!$C:$C,$A109,'BSE - Other Index Options'!$B:$B,D$4,'BSE - Other Index Options'!$I:$I,"Weekly*")+SUMIFS('BSE - Other Index Options'!$M:$M,'BSE - Other Index Options'!$C:$C,$A109,'BSE - Other Index Options'!$B:$B,D$4,'BSE - Other Index Options'!$I:$I,"MDAW*"))</f>
        <v/>
      </c>
      <c r="E109" s="26">
        <f>IF(SUMIFS('NSE - NIFTY Index Options'!$M:$M,'NSE - NIFTY Index Options'!$C:$C,$A109,'NSE - NIFTY Index Options'!$B:$B,E$4,'NSE - NIFTY Index Options'!$I:$I,"Weekly*")+SUMIFS('NSE - NIFTY Index Options'!$M:$M,'NSE - NIFTY Index Options'!$C:$C,$A109,'NSE - NIFTY Index Options'!$B:$B,E$4,'NSE - NIFTY Index Options'!$I:$I,"MDAW*")+SUMIFS('NSE - Other Index Options'!$M:$M,'NSE - Other Index Options'!$C:$C,$A109,'NSE - Other Index Options'!$B:$B,E$4,'NSE - Other Index Options'!$I:$I,"Weekly*")+SUMIFS('NSE - Other Index Options'!$M:$M,'NSE - Other Index Options'!$C:$C,$A109,'NSE - Other Index Options'!$B:$B,E$4,'NSE - Other Index Options'!$I:$I,"MDAW*")+SUMIFS('BSE - SENSEX Index Options'!$M:$M,'BSE - SENSEX Index Options'!$C:$C,$A109,'BSE - SENSEX Index Options'!$B:$B,E$4,'BSE - SENSEX Index Options'!$I:$I,"Weekly*")+SUMIFS('BSE - SENSEX Index Options'!$M:$M,'BSE - SENSEX Index Options'!$C:$C,$A109,'BSE - SENSEX Index Options'!$B:$B,E$4,'BSE - SENSEX Index Options'!$I:$I,"MDAW*")+SUMIFS('BSE - Other Index Options'!$M:$M,'BSE - Other Index Options'!$C:$C,$A109,'BSE - Other Index Options'!$B:$B,E$4,'BSE - Other Index Options'!$I:$I,"Weekly*")+SUMIFS('BSE - Other Index Options'!$M:$M,'BSE - Other Index Options'!$C:$C,$A109,'BSE - Other Index Options'!$B:$B,E$4,'BSE - Other Index Options'!$I:$I,"MDAW*")=0,"",SUMIFS('NSE - NIFTY Index Options'!$M:$M,'NSE - NIFTY Index Options'!$C:$C,$A109,'NSE - NIFTY Index Options'!$B:$B,E$4,'NSE - NIFTY Index Options'!$I:$I,"Weekly*")+SUMIFS('NSE - NIFTY Index Options'!$M:$M,'NSE - NIFTY Index Options'!$C:$C,$A109,'NSE - NIFTY Index Options'!$B:$B,E$4,'NSE - NIFTY Index Options'!$I:$I,"MDAW*")+SUMIFS('NSE - Other Index Options'!$M:$M,'NSE - Other Index Options'!$C:$C,$A109,'NSE - Other Index Options'!$B:$B,E$4,'NSE - Other Index Options'!$I:$I,"Weekly*")+SUMIFS('NSE - Other Index Options'!$M:$M,'NSE - Other Index Options'!$C:$C,$A109,'NSE - Other Index Options'!$B:$B,E$4,'NSE - Other Index Options'!$I:$I,"MDAW*")+SUMIFS('BSE - SENSEX Index Options'!$M:$M,'BSE - SENSEX Index Options'!$C:$C,$A109,'BSE - SENSEX Index Options'!$B:$B,E$4,'BSE - SENSEX Index Options'!$I:$I,"Weekly*")+SUMIFS('BSE - SENSEX Index Options'!$M:$M,'BSE - SENSEX Index Options'!$C:$C,$A109,'BSE - SENSEX Index Options'!$B:$B,E$4,'BSE - SENSEX Index Options'!$I:$I,"MDAW*")+SUMIFS('BSE - Other Index Options'!$M:$M,'BSE - Other Index Options'!$C:$C,$A109,'BSE - Other Index Options'!$B:$B,E$4,'BSE - Other Index Options'!$I:$I,"Weekly*")+SUMIFS('BSE - Other Index Options'!$M:$M,'BSE - Other Index Options'!$C:$C,$A109,'BSE - Other Index Options'!$B:$B,E$4,'BSE - Other Index Options'!$I:$I,"MDAW*"))</f>
        <v/>
      </c>
      <c r="F109" s="26">
        <f>IF(SUMIFS('NSE - NIFTY Index Options'!$M:$M,'NSE - NIFTY Index Options'!$C:$C,$A109,'NSE - NIFTY Index Options'!$B:$B,F$4,'NSE - NIFTY Index Options'!$I:$I,"Weekly*")+SUMIFS('NSE - NIFTY Index Options'!$M:$M,'NSE - NIFTY Index Options'!$C:$C,$A109,'NSE - NIFTY Index Options'!$B:$B,F$4,'NSE - NIFTY Index Options'!$I:$I,"MDAW*")+SUMIFS('NSE - Other Index Options'!$M:$M,'NSE - Other Index Options'!$C:$C,$A109,'NSE - Other Index Options'!$B:$B,F$4,'NSE - Other Index Options'!$I:$I,"Weekly*")+SUMIFS('NSE - Other Index Options'!$M:$M,'NSE - Other Index Options'!$C:$C,$A109,'NSE - Other Index Options'!$B:$B,F$4,'NSE - Other Index Options'!$I:$I,"MDAW*")+SUMIFS('BSE - SENSEX Index Options'!$M:$M,'BSE - SENSEX Index Options'!$C:$C,$A109,'BSE - SENSEX Index Options'!$B:$B,F$4,'BSE - SENSEX Index Options'!$I:$I,"Weekly*")+SUMIFS('BSE - SENSEX Index Options'!$M:$M,'BSE - SENSEX Index Options'!$C:$C,$A109,'BSE - SENSEX Index Options'!$B:$B,F$4,'BSE - SENSEX Index Options'!$I:$I,"MDAW*")+SUMIFS('BSE - Other Index Options'!$M:$M,'BSE - Other Index Options'!$C:$C,$A109,'BSE - Other Index Options'!$B:$B,F$4,'BSE - Other Index Options'!$I:$I,"Weekly*")+SUMIFS('BSE - Other Index Options'!$M:$M,'BSE - Other Index Options'!$C:$C,$A109,'BSE - Other Index Options'!$B:$B,F$4,'BSE - Other Index Options'!$I:$I,"MDAW*")=0,"",SUMIFS('NSE - NIFTY Index Options'!$M:$M,'NSE - NIFTY Index Options'!$C:$C,$A109,'NSE - NIFTY Index Options'!$B:$B,F$4,'NSE - NIFTY Index Options'!$I:$I,"Weekly*")+SUMIFS('NSE - NIFTY Index Options'!$M:$M,'NSE - NIFTY Index Options'!$C:$C,$A109,'NSE - NIFTY Index Options'!$B:$B,F$4,'NSE - NIFTY Index Options'!$I:$I,"MDAW*")+SUMIFS('NSE - Other Index Options'!$M:$M,'NSE - Other Index Options'!$C:$C,$A109,'NSE - Other Index Options'!$B:$B,F$4,'NSE - Other Index Options'!$I:$I,"Weekly*")+SUMIFS('NSE - Other Index Options'!$M:$M,'NSE - Other Index Options'!$C:$C,$A109,'NSE - Other Index Options'!$B:$B,F$4,'NSE - Other Index Options'!$I:$I,"MDAW*")+SUMIFS('BSE - SENSEX Index Options'!$M:$M,'BSE - SENSEX Index Options'!$C:$C,$A109,'BSE - SENSEX Index Options'!$B:$B,F$4,'BSE - SENSEX Index Options'!$I:$I,"Weekly*")+SUMIFS('BSE - SENSEX Index Options'!$M:$M,'BSE - SENSEX Index Options'!$C:$C,$A109,'BSE - SENSEX Index Options'!$B:$B,F$4,'BSE - SENSEX Index Options'!$I:$I,"MDAW*")+SUMIFS('BSE - Other Index Options'!$M:$M,'BSE - Other Index Options'!$C:$C,$A109,'BSE - Other Index Options'!$B:$B,F$4,'BSE - Other Index Options'!$I:$I,"Weekly*")+SUMIFS('BSE - Other Index Options'!$M:$M,'BSE - Other Index Options'!$C:$C,$A109,'BSE - Other Index Options'!$B:$B,F$4,'BSE - Other Index Options'!$I:$I,"MDAW*"))</f>
        <v/>
      </c>
      <c r="G109" s="26">
        <f>IF(SUMIFS('NSE - NIFTY Index Options'!$M:$M,'NSE - NIFTY Index Options'!$C:$C,$A109,'NSE - NIFTY Index Options'!$B:$B,G$4,'NSE - NIFTY Index Options'!$I:$I,"Weekly*")+SUMIFS('NSE - NIFTY Index Options'!$M:$M,'NSE - NIFTY Index Options'!$C:$C,$A109,'NSE - NIFTY Index Options'!$B:$B,G$4,'NSE - NIFTY Index Options'!$I:$I,"MDAW*")+SUMIFS('NSE - Other Index Options'!$M:$M,'NSE - Other Index Options'!$C:$C,$A109,'NSE - Other Index Options'!$B:$B,G$4,'NSE - Other Index Options'!$I:$I,"Weekly*")+SUMIFS('NSE - Other Index Options'!$M:$M,'NSE - Other Index Options'!$C:$C,$A109,'NSE - Other Index Options'!$B:$B,G$4,'NSE - Other Index Options'!$I:$I,"MDAW*")+SUMIFS('BSE - SENSEX Index Options'!$M:$M,'BSE - SENSEX Index Options'!$C:$C,$A109,'BSE - SENSEX Index Options'!$B:$B,G$4,'BSE - SENSEX Index Options'!$I:$I,"Weekly*")+SUMIFS('BSE - SENSEX Index Options'!$M:$M,'BSE - SENSEX Index Options'!$C:$C,$A109,'BSE - SENSEX Index Options'!$B:$B,G$4,'BSE - SENSEX Index Options'!$I:$I,"MDAW*")+SUMIFS('BSE - Other Index Options'!$M:$M,'BSE - Other Index Options'!$C:$C,$A109,'BSE - Other Index Options'!$B:$B,G$4,'BSE - Other Index Options'!$I:$I,"Weekly*")+SUMIFS('BSE - Other Index Options'!$M:$M,'BSE - Other Index Options'!$C:$C,$A109,'BSE - Other Index Options'!$B:$B,G$4,'BSE - Other Index Options'!$I:$I,"MDAW*")=0,"",SUMIFS('NSE - NIFTY Index Options'!$M:$M,'NSE - NIFTY Index Options'!$C:$C,$A109,'NSE - NIFTY Index Options'!$B:$B,G$4,'NSE - NIFTY Index Options'!$I:$I,"Weekly*")+SUMIFS('NSE - NIFTY Index Options'!$M:$M,'NSE - NIFTY Index Options'!$C:$C,$A109,'NSE - NIFTY Index Options'!$B:$B,G$4,'NSE - NIFTY Index Options'!$I:$I,"MDAW*")+SUMIFS('NSE - Other Index Options'!$M:$M,'NSE - Other Index Options'!$C:$C,$A109,'NSE - Other Index Options'!$B:$B,G$4,'NSE - Other Index Options'!$I:$I,"Weekly*")+SUMIFS('NSE - Other Index Options'!$M:$M,'NSE - Other Index Options'!$C:$C,$A109,'NSE - Other Index Options'!$B:$B,G$4,'NSE - Other Index Options'!$I:$I,"MDAW*")+SUMIFS('BSE - SENSEX Index Options'!$M:$M,'BSE - SENSEX Index Options'!$C:$C,$A109,'BSE - SENSEX Index Options'!$B:$B,G$4,'BSE - SENSEX Index Options'!$I:$I,"Weekly*")+SUMIFS('BSE - SENSEX Index Options'!$M:$M,'BSE - SENSEX Index Options'!$C:$C,$A109,'BSE - SENSEX Index Options'!$B:$B,G$4,'BSE - SENSEX Index Options'!$I:$I,"MDAW*")+SUMIFS('BSE - Other Index Options'!$M:$M,'BSE - Other Index Options'!$C:$C,$A109,'BSE - Other Index Options'!$B:$B,G$4,'BSE - Other Index Options'!$I:$I,"Weekly*")+SUMIFS('BSE - Other Index Options'!$M:$M,'BSE - Other Index Options'!$C:$C,$A109,'BSE - Other Index Options'!$B:$B,G$4,'BSE - Other Index Options'!$I:$I,"MDAW*"))</f>
        <v/>
      </c>
      <c r="H109" s="26">
        <f>IF(SUM(B109:G109)=0,"",SUM(B109:G109))</f>
        <v/>
      </c>
    </row>
    <row r="110" hidden="1" outlineLevel="1">
      <c r="A110" t="inlineStr">
        <is>
          <t>Week3-Jun-2027</t>
        </is>
      </c>
      <c r="B110" s="26">
        <f>IF(SUMIFS('NSE - NIFTY Index Options'!$M:$M,'NSE - NIFTY Index Options'!$C:$C,$A110,'NSE - NIFTY Index Options'!$B:$B,B$4,'NSE - NIFTY Index Options'!$I:$I,"Weekly*")+SUMIFS('NSE - NIFTY Index Options'!$M:$M,'NSE - NIFTY Index Options'!$C:$C,$A110,'NSE - NIFTY Index Options'!$B:$B,B$4,'NSE - NIFTY Index Options'!$I:$I,"MDAW*")+SUMIFS('NSE - Other Index Options'!$M:$M,'NSE - Other Index Options'!$C:$C,$A110,'NSE - Other Index Options'!$B:$B,B$4,'NSE - Other Index Options'!$I:$I,"Weekly*")+SUMIFS('NSE - Other Index Options'!$M:$M,'NSE - Other Index Options'!$C:$C,$A110,'NSE - Other Index Options'!$B:$B,B$4,'NSE - Other Index Options'!$I:$I,"MDAW*")+SUMIFS('BSE - SENSEX Index Options'!$M:$M,'BSE - SENSEX Index Options'!$C:$C,$A110,'BSE - SENSEX Index Options'!$B:$B,B$4,'BSE - SENSEX Index Options'!$I:$I,"Weekly*")+SUMIFS('BSE - SENSEX Index Options'!$M:$M,'BSE - SENSEX Index Options'!$C:$C,$A110,'BSE - SENSEX Index Options'!$B:$B,B$4,'BSE - SENSEX Index Options'!$I:$I,"MDAW*")+SUMIFS('BSE - Other Index Options'!$M:$M,'BSE - Other Index Options'!$C:$C,$A110,'BSE - Other Index Options'!$B:$B,B$4,'BSE - Other Index Options'!$I:$I,"Weekly*")+SUMIFS('BSE - Other Index Options'!$M:$M,'BSE - Other Index Options'!$C:$C,$A110,'BSE - Other Index Options'!$B:$B,B$4,'BSE - Other Index Options'!$I:$I,"MDAW*")=0,"",SUMIFS('NSE - NIFTY Index Options'!$M:$M,'NSE - NIFTY Index Options'!$C:$C,$A110,'NSE - NIFTY Index Options'!$B:$B,B$4,'NSE - NIFTY Index Options'!$I:$I,"Weekly*")+SUMIFS('NSE - NIFTY Index Options'!$M:$M,'NSE - NIFTY Index Options'!$C:$C,$A110,'NSE - NIFTY Index Options'!$B:$B,B$4,'NSE - NIFTY Index Options'!$I:$I,"MDAW*")+SUMIFS('NSE - Other Index Options'!$M:$M,'NSE - Other Index Options'!$C:$C,$A110,'NSE - Other Index Options'!$B:$B,B$4,'NSE - Other Index Options'!$I:$I,"Weekly*")+SUMIFS('NSE - Other Index Options'!$M:$M,'NSE - Other Index Options'!$C:$C,$A110,'NSE - Other Index Options'!$B:$B,B$4,'NSE - Other Index Options'!$I:$I,"MDAW*")+SUMIFS('BSE - SENSEX Index Options'!$M:$M,'BSE - SENSEX Index Options'!$C:$C,$A110,'BSE - SENSEX Index Options'!$B:$B,B$4,'BSE - SENSEX Index Options'!$I:$I,"Weekly*")+SUMIFS('BSE - SENSEX Index Options'!$M:$M,'BSE - SENSEX Index Options'!$C:$C,$A110,'BSE - SENSEX Index Options'!$B:$B,B$4,'BSE - SENSEX Index Options'!$I:$I,"MDAW*")+SUMIFS('BSE - Other Index Options'!$M:$M,'BSE - Other Index Options'!$C:$C,$A110,'BSE - Other Index Options'!$B:$B,B$4,'BSE - Other Index Options'!$I:$I,"Weekly*")+SUMIFS('BSE - Other Index Options'!$M:$M,'BSE - Other Index Options'!$C:$C,$A110,'BSE - Other Index Options'!$B:$B,B$4,'BSE - Other Index Options'!$I:$I,"MDAW*"))</f>
        <v/>
      </c>
      <c r="C110" s="26">
        <f>IF(SUMIFS('NSE - NIFTY Index Options'!$M:$M,'NSE - NIFTY Index Options'!$C:$C,$A110,'NSE - NIFTY Index Options'!$B:$B,C$4,'NSE - NIFTY Index Options'!$I:$I,"Weekly*")+SUMIFS('NSE - NIFTY Index Options'!$M:$M,'NSE - NIFTY Index Options'!$C:$C,$A110,'NSE - NIFTY Index Options'!$B:$B,C$4,'NSE - NIFTY Index Options'!$I:$I,"MDAW*")+SUMIFS('NSE - Other Index Options'!$M:$M,'NSE - Other Index Options'!$C:$C,$A110,'NSE - Other Index Options'!$B:$B,C$4,'NSE - Other Index Options'!$I:$I,"Weekly*")+SUMIFS('NSE - Other Index Options'!$M:$M,'NSE - Other Index Options'!$C:$C,$A110,'NSE - Other Index Options'!$B:$B,C$4,'NSE - Other Index Options'!$I:$I,"MDAW*")+SUMIFS('BSE - SENSEX Index Options'!$M:$M,'BSE - SENSEX Index Options'!$C:$C,$A110,'BSE - SENSEX Index Options'!$B:$B,C$4,'BSE - SENSEX Index Options'!$I:$I,"Weekly*")+SUMIFS('BSE - SENSEX Index Options'!$M:$M,'BSE - SENSEX Index Options'!$C:$C,$A110,'BSE - SENSEX Index Options'!$B:$B,C$4,'BSE - SENSEX Index Options'!$I:$I,"MDAW*")+SUMIFS('BSE - Other Index Options'!$M:$M,'BSE - Other Index Options'!$C:$C,$A110,'BSE - Other Index Options'!$B:$B,C$4,'BSE - Other Index Options'!$I:$I,"Weekly*")+SUMIFS('BSE - Other Index Options'!$M:$M,'BSE - Other Index Options'!$C:$C,$A110,'BSE - Other Index Options'!$B:$B,C$4,'BSE - Other Index Options'!$I:$I,"MDAW*")=0,"",SUMIFS('NSE - NIFTY Index Options'!$M:$M,'NSE - NIFTY Index Options'!$C:$C,$A110,'NSE - NIFTY Index Options'!$B:$B,C$4,'NSE - NIFTY Index Options'!$I:$I,"Weekly*")+SUMIFS('NSE - NIFTY Index Options'!$M:$M,'NSE - NIFTY Index Options'!$C:$C,$A110,'NSE - NIFTY Index Options'!$B:$B,C$4,'NSE - NIFTY Index Options'!$I:$I,"MDAW*")+SUMIFS('NSE - Other Index Options'!$M:$M,'NSE - Other Index Options'!$C:$C,$A110,'NSE - Other Index Options'!$B:$B,C$4,'NSE - Other Index Options'!$I:$I,"Weekly*")+SUMIFS('NSE - Other Index Options'!$M:$M,'NSE - Other Index Options'!$C:$C,$A110,'NSE - Other Index Options'!$B:$B,C$4,'NSE - Other Index Options'!$I:$I,"MDAW*")+SUMIFS('BSE - SENSEX Index Options'!$M:$M,'BSE - SENSEX Index Options'!$C:$C,$A110,'BSE - SENSEX Index Options'!$B:$B,C$4,'BSE - SENSEX Index Options'!$I:$I,"Weekly*")+SUMIFS('BSE - SENSEX Index Options'!$M:$M,'BSE - SENSEX Index Options'!$C:$C,$A110,'BSE - SENSEX Index Options'!$B:$B,C$4,'BSE - SENSEX Index Options'!$I:$I,"MDAW*")+SUMIFS('BSE - Other Index Options'!$M:$M,'BSE - Other Index Options'!$C:$C,$A110,'BSE - Other Index Options'!$B:$B,C$4,'BSE - Other Index Options'!$I:$I,"Weekly*")+SUMIFS('BSE - Other Index Options'!$M:$M,'BSE - Other Index Options'!$C:$C,$A110,'BSE - Other Index Options'!$B:$B,C$4,'BSE - Other Index Options'!$I:$I,"MDAW*"))</f>
        <v/>
      </c>
      <c r="D110" s="26">
        <f>IF(SUMIFS('NSE - NIFTY Index Options'!$M:$M,'NSE - NIFTY Index Options'!$C:$C,$A110,'NSE - NIFTY Index Options'!$B:$B,D$4,'NSE - NIFTY Index Options'!$I:$I,"Weekly*")+SUMIFS('NSE - NIFTY Index Options'!$M:$M,'NSE - NIFTY Index Options'!$C:$C,$A110,'NSE - NIFTY Index Options'!$B:$B,D$4,'NSE - NIFTY Index Options'!$I:$I,"MDAW*")+SUMIFS('NSE - Other Index Options'!$M:$M,'NSE - Other Index Options'!$C:$C,$A110,'NSE - Other Index Options'!$B:$B,D$4,'NSE - Other Index Options'!$I:$I,"Weekly*")+SUMIFS('NSE - Other Index Options'!$M:$M,'NSE - Other Index Options'!$C:$C,$A110,'NSE - Other Index Options'!$B:$B,D$4,'NSE - Other Index Options'!$I:$I,"MDAW*")+SUMIFS('BSE - SENSEX Index Options'!$M:$M,'BSE - SENSEX Index Options'!$C:$C,$A110,'BSE - SENSEX Index Options'!$B:$B,D$4,'BSE - SENSEX Index Options'!$I:$I,"Weekly*")+SUMIFS('BSE - SENSEX Index Options'!$M:$M,'BSE - SENSEX Index Options'!$C:$C,$A110,'BSE - SENSEX Index Options'!$B:$B,D$4,'BSE - SENSEX Index Options'!$I:$I,"MDAW*")+SUMIFS('BSE - Other Index Options'!$M:$M,'BSE - Other Index Options'!$C:$C,$A110,'BSE - Other Index Options'!$B:$B,D$4,'BSE - Other Index Options'!$I:$I,"Weekly*")+SUMIFS('BSE - Other Index Options'!$M:$M,'BSE - Other Index Options'!$C:$C,$A110,'BSE - Other Index Options'!$B:$B,D$4,'BSE - Other Index Options'!$I:$I,"MDAW*")=0,"",SUMIFS('NSE - NIFTY Index Options'!$M:$M,'NSE - NIFTY Index Options'!$C:$C,$A110,'NSE - NIFTY Index Options'!$B:$B,D$4,'NSE - NIFTY Index Options'!$I:$I,"Weekly*")+SUMIFS('NSE - NIFTY Index Options'!$M:$M,'NSE - NIFTY Index Options'!$C:$C,$A110,'NSE - NIFTY Index Options'!$B:$B,D$4,'NSE - NIFTY Index Options'!$I:$I,"MDAW*")+SUMIFS('NSE - Other Index Options'!$M:$M,'NSE - Other Index Options'!$C:$C,$A110,'NSE - Other Index Options'!$B:$B,D$4,'NSE - Other Index Options'!$I:$I,"Weekly*")+SUMIFS('NSE - Other Index Options'!$M:$M,'NSE - Other Index Options'!$C:$C,$A110,'NSE - Other Index Options'!$B:$B,D$4,'NSE - Other Index Options'!$I:$I,"MDAW*")+SUMIFS('BSE - SENSEX Index Options'!$M:$M,'BSE - SENSEX Index Options'!$C:$C,$A110,'BSE - SENSEX Index Options'!$B:$B,D$4,'BSE - SENSEX Index Options'!$I:$I,"Weekly*")+SUMIFS('BSE - SENSEX Index Options'!$M:$M,'BSE - SENSEX Index Options'!$C:$C,$A110,'BSE - SENSEX Index Options'!$B:$B,D$4,'BSE - SENSEX Index Options'!$I:$I,"MDAW*")+SUMIFS('BSE - Other Index Options'!$M:$M,'BSE - Other Index Options'!$C:$C,$A110,'BSE - Other Index Options'!$B:$B,D$4,'BSE - Other Index Options'!$I:$I,"Weekly*")+SUMIFS('BSE - Other Index Options'!$M:$M,'BSE - Other Index Options'!$C:$C,$A110,'BSE - Other Index Options'!$B:$B,D$4,'BSE - Other Index Options'!$I:$I,"MDAW*"))</f>
        <v/>
      </c>
      <c r="E110" s="26">
        <f>IF(SUMIFS('NSE - NIFTY Index Options'!$M:$M,'NSE - NIFTY Index Options'!$C:$C,$A110,'NSE - NIFTY Index Options'!$B:$B,E$4,'NSE - NIFTY Index Options'!$I:$I,"Weekly*")+SUMIFS('NSE - NIFTY Index Options'!$M:$M,'NSE - NIFTY Index Options'!$C:$C,$A110,'NSE - NIFTY Index Options'!$B:$B,E$4,'NSE - NIFTY Index Options'!$I:$I,"MDAW*")+SUMIFS('NSE - Other Index Options'!$M:$M,'NSE - Other Index Options'!$C:$C,$A110,'NSE - Other Index Options'!$B:$B,E$4,'NSE - Other Index Options'!$I:$I,"Weekly*")+SUMIFS('NSE - Other Index Options'!$M:$M,'NSE - Other Index Options'!$C:$C,$A110,'NSE - Other Index Options'!$B:$B,E$4,'NSE - Other Index Options'!$I:$I,"MDAW*")+SUMIFS('BSE - SENSEX Index Options'!$M:$M,'BSE - SENSEX Index Options'!$C:$C,$A110,'BSE - SENSEX Index Options'!$B:$B,E$4,'BSE - SENSEX Index Options'!$I:$I,"Weekly*")+SUMIFS('BSE - SENSEX Index Options'!$M:$M,'BSE - SENSEX Index Options'!$C:$C,$A110,'BSE - SENSEX Index Options'!$B:$B,E$4,'BSE - SENSEX Index Options'!$I:$I,"MDAW*")+SUMIFS('BSE - Other Index Options'!$M:$M,'BSE - Other Index Options'!$C:$C,$A110,'BSE - Other Index Options'!$B:$B,E$4,'BSE - Other Index Options'!$I:$I,"Weekly*")+SUMIFS('BSE - Other Index Options'!$M:$M,'BSE - Other Index Options'!$C:$C,$A110,'BSE - Other Index Options'!$B:$B,E$4,'BSE - Other Index Options'!$I:$I,"MDAW*")=0,"",SUMIFS('NSE - NIFTY Index Options'!$M:$M,'NSE - NIFTY Index Options'!$C:$C,$A110,'NSE - NIFTY Index Options'!$B:$B,E$4,'NSE - NIFTY Index Options'!$I:$I,"Weekly*")+SUMIFS('NSE - NIFTY Index Options'!$M:$M,'NSE - NIFTY Index Options'!$C:$C,$A110,'NSE - NIFTY Index Options'!$B:$B,E$4,'NSE - NIFTY Index Options'!$I:$I,"MDAW*")+SUMIFS('NSE - Other Index Options'!$M:$M,'NSE - Other Index Options'!$C:$C,$A110,'NSE - Other Index Options'!$B:$B,E$4,'NSE - Other Index Options'!$I:$I,"Weekly*")+SUMIFS('NSE - Other Index Options'!$M:$M,'NSE - Other Index Options'!$C:$C,$A110,'NSE - Other Index Options'!$B:$B,E$4,'NSE - Other Index Options'!$I:$I,"MDAW*")+SUMIFS('BSE - SENSEX Index Options'!$M:$M,'BSE - SENSEX Index Options'!$C:$C,$A110,'BSE - SENSEX Index Options'!$B:$B,E$4,'BSE - SENSEX Index Options'!$I:$I,"Weekly*")+SUMIFS('BSE - SENSEX Index Options'!$M:$M,'BSE - SENSEX Index Options'!$C:$C,$A110,'BSE - SENSEX Index Options'!$B:$B,E$4,'BSE - SENSEX Index Options'!$I:$I,"MDAW*")+SUMIFS('BSE - Other Index Options'!$M:$M,'BSE - Other Index Options'!$C:$C,$A110,'BSE - Other Index Options'!$B:$B,E$4,'BSE - Other Index Options'!$I:$I,"Weekly*")+SUMIFS('BSE - Other Index Options'!$M:$M,'BSE - Other Index Options'!$C:$C,$A110,'BSE - Other Index Options'!$B:$B,E$4,'BSE - Other Index Options'!$I:$I,"MDAW*"))</f>
        <v/>
      </c>
      <c r="F110" s="26">
        <f>IF(SUMIFS('NSE - NIFTY Index Options'!$M:$M,'NSE - NIFTY Index Options'!$C:$C,$A110,'NSE - NIFTY Index Options'!$B:$B,F$4,'NSE - NIFTY Index Options'!$I:$I,"Weekly*")+SUMIFS('NSE - NIFTY Index Options'!$M:$M,'NSE - NIFTY Index Options'!$C:$C,$A110,'NSE - NIFTY Index Options'!$B:$B,F$4,'NSE - NIFTY Index Options'!$I:$I,"MDAW*")+SUMIFS('NSE - Other Index Options'!$M:$M,'NSE - Other Index Options'!$C:$C,$A110,'NSE - Other Index Options'!$B:$B,F$4,'NSE - Other Index Options'!$I:$I,"Weekly*")+SUMIFS('NSE - Other Index Options'!$M:$M,'NSE - Other Index Options'!$C:$C,$A110,'NSE - Other Index Options'!$B:$B,F$4,'NSE - Other Index Options'!$I:$I,"MDAW*")+SUMIFS('BSE - SENSEX Index Options'!$M:$M,'BSE - SENSEX Index Options'!$C:$C,$A110,'BSE - SENSEX Index Options'!$B:$B,F$4,'BSE - SENSEX Index Options'!$I:$I,"Weekly*")+SUMIFS('BSE - SENSEX Index Options'!$M:$M,'BSE - SENSEX Index Options'!$C:$C,$A110,'BSE - SENSEX Index Options'!$B:$B,F$4,'BSE - SENSEX Index Options'!$I:$I,"MDAW*")+SUMIFS('BSE - Other Index Options'!$M:$M,'BSE - Other Index Options'!$C:$C,$A110,'BSE - Other Index Options'!$B:$B,F$4,'BSE - Other Index Options'!$I:$I,"Weekly*")+SUMIFS('BSE - Other Index Options'!$M:$M,'BSE - Other Index Options'!$C:$C,$A110,'BSE - Other Index Options'!$B:$B,F$4,'BSE - Other Index Options'!$I:$I,"MDAW*")=0,"",SUMIFS('NSE - NIFTY Index Options'!$M:$M,'NSE - NIFTY Index Options'!$C:$C,$A110,'NSE - NIFTY Index Options'!$B:$B,F$4,'NSE - NIFTY Index Options'!$I:$I,"Weekly*")+SUMIFS('NSE - NIFTY Index Options'!$M:$M,'NSE - NIFTY Index Options'!$C:$C,$A110,'NSE - NIFTY Index Options'!$B:$B,F$4,'NSE - NIFTY Index Options'!$I:$I,"MDAW*")+SUMIFS('NSE - Other Index Options'!$M:$M,'NSE - Other Index Options'!$C:$C,$A110,'NSE - Other Index Options'!$B:$B,F$4,'NSE - Other Index Options'!$I:$I,"Weekly*")+SUMIFS('NSE - Other Index Options'!$M:$M,'NSE - Other Index Options'!$C:$C,$A110,'NSE - Other Index Options'!$B:$B,F$4,'NSE - Other Index Options'!$I:$I,"MDAW*")+SUMIFS('BSE - SENSEX Index Options'!$M:$M,'BSE - SENSEX Index Options'!$C:$C,$A110,'BSE - SENSEX Index Options'!$B:$B,F$4,'BSE - SENSEX Index Options'!$I:$I,"Weekly*")+SUMIFS('BSE - SENSEX Index Options'!$M:$M,'BSE - SENSEX Index Options'!$C:$C,$A110,'BSE - SENSEX Index Options'!$B:$B,F$4,'BSE - SENSEX Index Options'!$I:$I,"MDAW*")+SUMIFS('BSE - Other Index Options'!$M:$M,'BSE - Other Index Options'!$C:$C,$A110,'BSE - Other Index Options'!$B:$B,F$4,'BSE - Other Index Options'!$I:$I,"Weekly*")+SUMIFS('BSE - Other Index Options'!$M:$M,'BSE - Other Index Options'!$C:$C,$A110,'BSE - Other Index Options'!$B:$B,F$4,'BSE - Other Index Options'!$I:$I,"MDAW*"))</f>
        <v/>
      </c>
      <c r="G110" s="26">
        <f>IF(SUMIFS('NSE - NIFTY Index Options'!$M:$M,'NSE - NIFTY Index Options'!$C:$C,$A110,'NSE - NIFTY Index Options'!$B:$B,G$4,'NSE - NIFTY Index Options'!$I:$I,"Weekly*")+SUMIFS('NSE - NIFTY Index Options'!$M:$M,'NSE - NIFTY Index Options'!$C:$C,$A110,'NSE - NIFTY Index Options'!$B:$B,G$4,'NSE - NIFTY Index Options'!$I:$I,"MDAW*")+SUMIFS('NSE - Other Index Options'!$M:$M,'NSE - Other Index Options'!$C:$C,$A110,'NSE - Other Index Options'!$B:$B,G$4,'NSE - Other Index Options'!$I:$I,"Weekly*")+SUMIFS('NSE - Other Index Options'!$M:$M,'NSE - Other Index Options'!$C:$C,$A110,'NSE - Other Index Options'!$B:$B,G$4,'NSE - Other Index Options'!$I:$I,"MDAW*")+SUMIFS('BSE - SENSEX Index Options'!$M:$M,'BSE - SENSEX Index Options'!$C:$C,$A110,'BSE - SENSEX Index Options'!$B:$B,G$4,'BSE - SENSEX Index Options'!$I:$I,"Weekly*")+SUMIFS('BSE - SENSEX Index Options'!$M:$M,'BSE - SENSEX Index Options'!$C:$C,$A110,'BSE - SENSEX Index Options'!$B:$B,G$4,'BSE - SENSEX Index Options'!$I:$I,"MDAW*")+SUMIFS('BSE - Other Index Options'!$M:$M,'BSE - Other Index Options'!$C:$C,$A110,'BSE - Other Index Options'!$B:$B,G$4,'BSE - Other Index Options'!$I:$I,"Weekly*")+SUMIFS('BSE - Other Index Options'!$M:$M,'BSE - Other Index Options'!$C:$C,$A110,'BSE - Other Index Options'!$B:$B,G$4,'BSE - Other Index Options'!$I:$I,"MDAW*")=0,"",SUMIFS('NSE - NIFTY Index Options'!$M:$M,'NSE - NIFTY Index Options'!$C:$C,$A110,'NSE - NIFTY Index Options'!$B:$B,G$4,'NSE - NIFTY Index Options'!$I:$I,"Weekly*")+SUMIFS('NSE - NIFTY Index Options'!$M:$M,'NSE - NIFTY Index Options'!$C:$C,$A110,'NSE - NIFTY Index Options'!$B:$B,G$4,'NSE - NIFTY Index Options'!$I:$I,"MDAW*")+SUMIFS('NSE - Other Index Options'!$M:$M,'NSE - Other Index Options'!$C:$C,$A110,'NSE - Other Index Options'!$B:$B,G$4,'NSE - Other Index Options'!$I:$I,"Weekly*")+SUMIFS('NSE - Other Index Options'!$M:$M,'NSE - Other Index Options'!$C:$C,$A110,'NSE - Other Index Options'!$B:$B,G$4,'NSE - Other Index Options'!$I:$I,"MDAW*")+SUMIFS('BSE - SENSEX Index Options'!$M:$M,'BSE - SENSEX Index Options'!$C:$C,$A110,'BSE - SENSEX Index Options'!$B:$B,G$4,'BSE - SENSEX Index Options'!$I:$I,"Weekly*")+SUMIFS('BSE - SENSEX Index Options'!$M:$M,'BSE - SENSEX Index Options'!$C:$C,$A110,'BSE - SENSEX Index Options'!$B:$B,G$4,'BSE - SENSEX Index Options'!$I:$I,"MDAW*")+SUMIFS('BSE - Other Index Options'!$M:$M,'BSE - Other Index Options'!$C:$C,$A110,'BSE - Other Index Options'!$B:$B,G$4,'BSE - Other Index Options'!$I:$I,"Weekly*")+SUMIFS('BSE - Other Index Options'!$M:$M,'BSE - Other Index Options'!$C:$C,$A110,'BSE - Other Index Options'!$B:$B,G$4,'BSE - Other Index Options'!$I:$I,"MDAW*"))</f>
        <v/>
      </c>
      <c r="H110" s="26">
        <f>IF(SUM(B110:G110)=0,"",SUM(B110:G110))</f>
        <v/>
      </c>
    </row>
    <row r="111" hidden="1" outlineLevel="1">
      <c r="A111" t="inlineStr">
        <is>
          <t>Week4-Jun-2027</t>
        </is>
      </c>
      <c r="B111" s="26">
        <f>IF(SUMIFS('NSE - NIFTY Index Options'!$M:$M,'NSE - NIFTY Index Options'!$C:$C,$A111,'NSE - NIFTY Index Options'!$B:$B,B$4,'NSE - NIFTY Index Options'!$I:$I,"Weekly*")+SUMIFS('NSE - NIFTY Index Options'!$M:$M,'NSE - NIFTY Index Options'!$C:$C,$A111,'NSE - NIFTY Index Options'!$B:$B,B$4,'NSE - NIFTY Index Options'!$I:$I,"MDAW*")+SUMIFS('NSE - Other Index Options'!$M:$M,'NSE - Other Index Options'!$C:$C,$A111,'NSE - Other Index Options'!$B:$B,B$4,'NSE - Other Index Options'!$I:$I,"Weekly*")+SUMIFS('NSE - Other Index Options'!$M:$M,'NSE - Other Index Options'!$C:$C,$A111,'NSE - Other Index Options'!$B:$B,B$4,'NSE - Other Index Options'!$I:$I,"MDAW*")+SUMIFS('BSE - SENSEX Index Options'!$M:$M,'BSE - SENSEX Index Options'!$C:$C,$A111,'BSE - SENSEX Index Options'!$B:$B,B$4,'BSE - SENSEX Index Options'!$I:$I,"Weekly*")+SUMIFS('BSE - SENSEX Index Options'!$M:$M,'BSE - SENSEX Index Options'!$C:$C,$A111,'BSE - SENSEX Index Options'!$B:$B,B$4,'BSE - SENSEX Index Options'!$I:$I,"MDAW*")+SUMIFS('BSE - Other Index Options'!$M:$M,'BSE - Other Index Options'!$C:$C,$A111,'BSE - Other Index Options'!$B:$B,B$4,'BSE - Other Index Options'!$I:$I,"Weekly*")+SUMIFS('BSE - Other Index Options'!$M:$M,'BSE - Other Index Options'!$C:$C,$A111,'BSE - Other Index Options'!$B:$B,B$4,'BSE - Other Index Options'!$I:$I,"MDAW*")=0,"",SUMIFS('NSE - NIFTY Index Options'!$M:$M,'NSE - NIFTY Index Options'!$C:$C,$A111,'NSE - NIFTY Index Options'!$B:$B,B$4,'NSE - NIFTY Index Options'!$I:$I,"Weekly*")+SUMIFS('NSE - NIFTY Index Options'!$M:$M,'NSE - NIFTY Index Options'!$C:$C,$A111,'NSE - NIFTY Index Options'!$B:$B,B$4,'NSE - NIFTY Index Options'!$I:$I,"MDAW*")+SUMIFS('NSE - Other Index Options'!$M:$M,'NSE - Other Index Options'!$C:$C,$A111,'NSE - Other Index Options'!$B:$B,B$4,'NSE - Other Index Options'!$I:$I,"Weekly*")+SUMIFS('NSE - Other Index Options'!$M:$M,'NSE - Other Index Options'!$C:$C,$A111,'NSE - Other Index Options'!$B:$B,B$4,'NSE - Other Index Options'!$I:$I,"MDAW*")+SUMIFS('BSE - SENSEX Index Options'!$M:$M,'BSE - SENSEX Index Options'!$C:$C,$A111,'BSE - SENSEX Index Options'!$B:$B,B$4,'BSE - SENSEX Index Options'!$I:$I,"Weekly*")+SUMIFS('BSE - SENSEX Index Options'!$M:$M,'BSE - SENSEX Index Options'!$C:$C,$A111,'BSE - SENSEX Index Options'!$B:$B,B$4,'BSE - SENSEX Index Options'!$I:$I,"MDAW*")+SUMIFS('BSE - Other Index Options'!$M:$M,'BSE - Other Index Options'!$C:$C,$A111,'BSE - Other Index Options'!$B:$B,B$4,'BSE - Other Index Options'!$I:$I,"Weekly*")+SUMIFS('BSE - Other Index Options'!$M:$M,'BSE - Other Index Options'!$C:$C,$A111,'BSE - Other Index Options'!$B:$B,B$4,'BSE - Other Index Options'!$I:$I,"MDAW*"))</f>
        <v/>
      </c>
      <c r="C111" s="26">
        <f>IF(SUMIFS('NSE - NIFTY Index Options'!$M:$M,'NSE - NIFTY Index Options'!$C:$C,$A111,'NSE - NIFTY Index Options'!$B:$B,C$4,'NSE - NIFTY Index Options'!$I:$I,"Weekly*")+SUMIFS('NSE - NIFTY Index Options'!$M:$M,'NSE - NIFTY Index Options'!$C:$C,$A111,'NSE - NIFTY Index Options'!$B:$B,C$4,'NSE - NIFTY Index Options'!$I:$I,"MDAW*")+SUMIFS('NSE - Other Index Options'!$M:$M,'NSE - Other Index Options'!$C:$C,$A111,'NSE - Other Index Options'!$B:$B,C$4,'NSE - Other Index Options'!$I:$I,"Weekly*")+SUMIFS('NSE - Other Index Options'!$M:$M,'NSE - Other Index Options'!$C:$C,$A111,'NSE - Other Index Options'!$B:$B,C$4,'NSE - Other Index Options'!$I:$I,"MDAW*")+SUMIFS('BSE - SENSEX Index Options'!$M:$M,'BSE - SENSEX Index Options'!$C:$C,$A111,'BSE - SENSEX Index Options'!$B:$B,C$4,'BSE - SENSEX Index Options'!$I:$I,"Weekly*")+SUMIFS('BSE - SENSEX Index Options'!$M:$M,'BSE - SENSEX Index Options'!$C:$C,$A111,'BSE - SENSEX Index Options'!$B:$B,C$4,'BSE - SENSEX Index Options'!$I:$I,"MDAW*")+SUMIFS('BSE - Other Index Options'!$M:$M,'BSE - Other Index Options'!$C:$C,$A111,'BSE - Other Index Options'!$B:$B,C$4,'BSE - Other Index Options'!$I:$I,"Weekly*")+SUMIFS('BSE - Other Index Options'!$M:$M,'BSE - Other Index Options'!$C:$C,$A111,'BSE - Other Index Options'!$B:$B,C$4,'BSE - Other Index Options'!$I:$I,"MDAW*")=0,"",SUMIFS('NSE - NIFTY Index Options'!$M:$M,'NSE - NIFTY Index Options'!$C:$C,$A111,'NSE - NIFTY Index Options'!$B:$B,C$4,'NSE - NIFTY Index Options'!$I:$I,"Weekly*")+SUMIFS('NSE - NIFTY Index Options'!$M:$M,'NSE - NIFTY Index Options'!$C:$C,$A111,'NSE - NIFTY Index Options'!$B:$B,C$4,'NSE - NIFTY Index Options'!$I:$I,"MDAW*")+SUMIFS('NSE - Other Index Options'!$M:$M,'NSE - Other Index Options'!$C:$C,$A111,'NSE - Other Index Options'!$B:$B,C$4,'NSE - Other Index Options'!$I:$I,"Weekly*")+SUMIFS('NSE - Other Index Options'!$M:$M,'NSE - Other Index Options'!$C:$C,$A111,'NSE - Other Index Options'!$B:$B,C$4,'NSE - Other Index Options'!$I:$I,"MDAW*")+SUMIFS('BSE - SENSEX Index Options'!$M:$M,'BSE - SENSEX Index Options'!$C:$C,$A111,'BSE - SENSEX Index Options'!$B:$B,C$4,'BSE - SENSEX Index Options'!$I:$I,"Weekly*")+SUMIFS('BSE - SENSEX Index Options'!$M:$M,'BSE - SENSEX Index Options'!$C:$C,$A111,'BSE - SENSEX Index Options'!$B:$B,C$4,'BSE - SENSEX Index Options'!$I:$I,"MDAW*")+SUMIFS('BSE - Other Index Options'!$M:$M,'BSE - Other Index Options'!$C:$C,$A111,'BSE - Other Index Options'!$B:$B,C$4,'BSE - Other Index Options'!$I:$I,"Weekly*")+SUMIFS('BSE - Other Index Options'!$M:$M,'BSE - Other Index Options'!$C:$C,$A111,'BSE - Other Index Options'!$B:$B,C$4,'BSE - Other Index Options'!$I:$I,"MDAW*"))</f>
        <v/>
      </c>
      <c r="D111" s="26">
        <f>IF(SUMIFS('NSE - NIFTY Index Options'!$M:$M,'NSE - NIFTY Index Options'!$C:$C,$A111,'NSE - NIFTY Index Options'!$B:$B,D$4,'NSE - NIFTY Index Options'!$I:$I,"Weekly*")+SUMIFS('NSE - NIFTY Index Options'!$M:$M,'NSE - NIFTY Index Options'!$C:$C,$A111,'NSE - NIFTY Index Options'!$B:$B,D$4,'NSE - NIFTY Index Options'!$I:$I,"MDAW*")+SUMIFS('NSE - Other Index Options'!$M:$M,'NSE - Other Index Options'!$C:$C,$A111,'NSE - Other Index Options'!$B:$B,D$4,'NSE - Other Index Options'!$I:$I,"Weekly*")+SUMIFS('NSE - Other Index Options'!$M:$M,'NSE - Other Index Options'!$C:$C,$A111,'NSE - Other Index Options'!$B:$B,D$4,'NSE - Other Index Options'!$I:$I,"MDAW*")+SUMIFS('BSE - SENSEX Index Options'!$M:$M,'BSE - SENSEX Index Options'!$C:$C,$A111,'BSE - SENSEX Index Options'!$B:$B,D$4,'BSE - SENSEX Index Options'!$I:$I,"Weekly*")+SUMIFS('BSE - SENSEX Index Options'!$M:$M,'BSE - SENSEX Index Options'!$C:$C,$A111,'BSE - SENSEX Index Options'!$B:$B,D$4,'BSE - SENSEX Index Options'!$I:$I,"MDAW*")+SUMIFS('BSE - Other Index Options'!$M:$M,'BSE - Other Index Options'!$C:$C,$A111,'BSE - Other Index Options'!$B:$B,D$4,'BSE - Other Index Options'!$I:$I,"Weekly*")+SUMIFS('BSE - Other Index Options'!$M:$M,'BSE - Other Index Options'!$C:$C,$A111,'BSE - Other Index Options'!$B:$B,D$4,'BSE - Other Index Options'!$I:$I,"MDAW*")=0,"",SUMIFS('NSE - NIFTY Index Options'!$M:$M,'NSE - NIFTY Index Options'!$C:$C,$A111,'NSE - NIFTY Index Options'!$B:$B,D$4,'NSE - NIFTY Index Options'!$I:$I,"Weekly*")+SUMIFS('NSE - NIFTY Index Options'!$M:$M,'NSE - NIFTY Index Options'!$C:$C,$A111,'NSE - NIFTY Index Options'!$B:$B,D$4,'NSE - NIFTY Index Options'!$I:$I,"MDAW*")+SUMIFS('NSE - Other Index Options'!$M:$M,'NSE - Other Index Options'!$C:$C,$A111,'NSE - Other Index Options'!$B:$B,D$4,'NSE - Other Index Options'!$I:$I,"Weekly*")+SUMIFS('NSE - Other Index Options'!$M:$M,'NSE - Other Index Options'!$C:$C,$A111,'NSE - Other Index Options'!$B:$B,D$4,'NSE - Other Index Options'!$I:$I,"MDAW*")+SUMIFS('BSE - SENSEX Index Options'!$M:$M,'BSE - SENSEX Index Options'!$C:$C,$A111,'BSE - SENSEX Index Options'!$B:$B,D$4,'BSE - SENSEX Index Options'!$I:$I,"Weekly*")+SUMIFS('BSE - SENSEX Index Options'!$M:$M,'BSE - SENSEX Index Options'!$C:$C,$A111,'BSE - SENSEX Index Options'!$B:$B,D$4,'BSE - SENSEX Index Options'!$I:$I,"MDAW*")+SUMIFS('BSE - Other Index Options'!$M:$M,'BSE - Other Index Options'!$C:$C,$A111,'BSE - Other Index Options'!$B:$B,D$4,'BSE - Other Index Options'!$I:$I,"Weekly*")+SUMIFS('BSE - Other Index Options'!$M:$M,'BSE - Other Index Options'!$C:$C,$A111,'BSE - Other Index Options'!$B:$B,D$4,'BSE - Other Index Options'!$I:$I,"MDAW*"))</f>
        <v/>
      </c>
      <c r="E111" s="26">
        <f>IF(SUMIFS('NSE - NIFTY Index Options'!$M:$M,'NSE - NIFTY Index Options'!$C:$C,$A111,'NSE - NIFTY Index Options'!$B:$B,E$4,'NSE - NIFTY Index Options'!$I:$I,"Weekly*")+SUMIFS('NSE - NIFTY Index Options'!$M:$M,'NSE - NIFTY Index Options'!$C:$C,$A111,'NSE - NIFTY Index Options'!$B:$B,E$4,'NSE - NIFTY Index Options'!$I:$I,"MDAW*")+SUMIFS('NSE - Other Index Options'!$M:$M,'NSE - Other Index Options'!$C:$C,$A111,'NSE - Other Index Options'!$B:$B,E$4,'NSE - Other Index Options'!$I:$I,"Weekly*")+SUMIFS('NSE - Other Index Options'!$M:$M,'NSE - Other Index Options'!$C:$C,$A111,'NSE - Other Index Options'!$B:$B,E$4,'NSE - Other Index Options'!$I:$I,"MDAW*")+SUMIFS('BSE - SENSEX Index Options'!$M:$M,'BSE - SENSEX Index Options'!$C:$C,$A111,'BSE - SENSEX Index Options'!$B:$B,E$4,'BSE - SENSEX Index Options'!$I:$I,"Weekly*")+SUMIFS('BSE - SENSEX Index Options'!$M:$M,'BSE - SENSEX Index Options'!$C:$C,$A111,'BSE - SENSEX Index Options'!$B:$B,E$4,'BSE - SENSEX Index Options'!$I:$I,"MDAW*")+SUMIFS('BSE - Other Index Options'!$M:$M,'BSE - Other Index Options'!$C:$C,$A111,'BSE - Other Index Options'!$B:$B,E$4,'BSE - Other Index Options'!$I:$I,"Weekly*")+SUMIFS('BSE - Other Index Options'!$M:$M,'BSE - Other Index Options'!$C:$C,$A111,'BSE - Other Index Options'!$B:$B,E$4,'BSE - Other Index Options'!$I:$I,"MDAW*")=0,"",SUMIFS('NSE - NIFTY Index Options'!$M:$M,'NSE - NIFTY Index Options'!$C:$C,$A111,'NSE - NIFTY Index Options'!$B:$B,E$4,'NSE - NIFTY Index Options'!$I:$I,"Weekly*")+SUMIFS('NSE - NIFTY Index Options'!$M:$M,'NSE - NIFTY Index Options'!$C:$C,$A111,'NSE - NIFTY Index Options'!$B:$B,E$4,'NSE - NIFTY Index Options'!$I:$I,"MDAW*")+SUMIFS('NSE - Other Index Options'!$M:$M,'NSE - Other Index Options'!$C:$C,$A111,'NSE - Other Index Options'!$B:$B,E$4,'NSE - Other Index Options'!$I:$I,"Weekly*")+SUMIFS('NSE - Other Index Options'!$M:$M,'NSE - Other Index Options'!$C:$C,$A111,'NSE - Other Index Options'!$B:$B,E$4,'NSE - Other Index Options'!$I:$I,"MDAW*")+SUMIFS('BSE - SENSEX Index Options'!$M:$M,'BSE - SENSEX Index Options'!$C:$C,$A111,'BSE - SENSEX Index Options'!$B:$B,E$4,'BSE - SENSEX Index Options'!$I:$I,"Weekly*")+SUMIFS('BSE - SENSEX Index Options'!$M:$M,'BSE - SENSEX Index Options'!$C:$C,$A111,'BSE - SENSEX Index Options'!$B:$B,E$4,'BSE - SENSEX Index Options'!$I:$I,"MDAW*")+SUMIFS('BSE - Other Index Options'!$M:$M,'BSE - Other Index Options'!$C:$C,$A111,'BSE - Other Index Options'!$B:$B,E$4,'BSE - Other Index Options'!$I:$I,"Weekly*")+SUMIFS('BSE - Other Index Options'!$M:$M,'BSE - Other Index Options'!$C:$C,$A111,'BSE - Other Index Options'!$B:$B,E$4,'BSE - Other Index Options'!$I:$I,"MDAW*"))</f>
        <v/>
      </c>
      <c r="F111" s="26">
        <f>IF(SUMIFS('NSE - NIFTY Index Options'!$M:$M,'NSE - NIFTY Index Options'!$C:$C,$A111,'NSE - NIFTY Index Options'!$B:$B,F$4,'NSE - NIFTY Index Options'!$I:$I,"Weekly*")+SUMIFS('NSE - NIFTY Index Options'!$M:$M,'NSE - NIFTY Index Options'!$C:$C,$A111,'NSE - NIFTY Index Options'!$B:$B,F$4,'NSE - NIFTY Index Options'!$I:$I,"MDAW*")+SUMIFS('NSE - Other Index Options'!$M:$M,'NSE - Other Index Options'!$C:$C,$A111,'NSE - Other Index Options'!$B:$B,F$4,'NSE - Other Index Options'!$I:$I,"Weekly*")+SUMIFS('NSE - Other Index Options'!$M:$M,'NSE - Other Index Options'!$C:$C,$A111,'NSE - Other Index Options'!$B:$B,F$4,'NSE - Other Index Options'!$I:$I,"MDAW*")+SUMIFS('BSE - SENSEX Index Options'!$M:$M,'BSE - SENSEX Index Options'!$C:$C,$A111,'BSE - SENSEX Index Options'!$B:$B,F$4,'BSE - SENSEX Index Options'!$I:$I,"Weekly*")+SUMIFS('BSE - SENSEX Index Options'!$M:$M,'BSE - SENSEX Index Options'!$C:$C,$A111,'BSE - SENSEX Index Options'!$B:$B,F$4,'BSE - SENSEX Index Options'!$I:$I,"MDAW*")+SUMIFS('BSE - Other Index Options'!$M:$M,'BSE - Other Index Options'!$C:$C,$A111,'BSE - Other Index Options'!$B:$B,F$4,'BSE - Other Index Options'!$I:$I,"Weekly*")+SUMIFS('BSE - Other Index Options'!$M:$M,'BSE - Other Index Options'!$C:$C,$A111,'BSE - Other Index Options'!$B:$B,F$4,'BSE - Other Index Options'!$I:$I,"MDAW*")=0,"",SUMIFS('NSE - NIFTY Index Options'!$M:$M,'NSE - NIFTY Index Options'!$C:$C,$A111,'NSE - NIFTY Index Options'!$B:$B,F$4,'NSE - NIFTY Index Options'!$I:$I,"Weekly*")+SUMIFS('NSE - NIFTY Index Options'!$M:$M,'NSE - NIFTY Index Options'!$C:$C,$A111,'NSE - NIFTY Index Options'!$B:$B,F$4,'NSE - NIFTY Index Options'!$I:$I,"MDAW*")+SUMIFS('NSE - Other Index Options'!$M:$M,'NSE - Other Index Options'!$C:$C,$A111,'NSE - Other Index Options'!$B:$B,F$4,'NSE - Other Index Options'!$I:$I,"Weekly*")+SUMIFS('NSE - Other Index Options'!$M:$M,'NSE - Other Index Options'!$C:$C,$A111,'NSE - Other Index Options'!$B:$B,F$4,'NSE - Other Index Options'!$I:$I,"MDAW*")+SUMIFS('BSE - SENSEX Index Options'!$M:$M,'BSE - SENSEX Index Options'!$C:$C,$A111,'BSE - SENSEX Index Options'!$B:$B,F$4,'BSE - SENSEX Index Options'!$I:$I,"Weekly*")+SUMIFS('BSE - SENSEX Index Options'!$M:$M,'BSE - SENSEX Index Options'!$C:$C,$A111,'BSE - SENSEX Index Options'!$B:$B,F$4,'BSE - SENSEX Index Options'!$I:$I,"MDAW*")+SUMIFS('BSE - Other Index Options'!$M:$M,'BSE - Other Index Options'!$C:$C,$A111,'BSE - Other Index Options'!$B:$B,F$4,'BSE - Other Index Options'!$I:$I,"Weekly*")+SUMIFS('BSE - Other Index Options'!$M:$M,'BSE - Other Index Options'!$C:$C,$A111,'BSE - Other Index Options'!$B:$B,F$4,'BSE - Other Index Options'!$I:$I,"MDAW*"))</f>
        <v/>
      </c>
      <c r="G111" s="26">
        <f>IF(SUMIFS('NSE - NIFTY Index Options'!$M:$M,'NSE - NIFTY Index Options'!$C:$C,$A111,'NSE - NIFTY Index Options'!$B:$B,G$4,'NSE - NIFTY Index Options'!$I:$I,"Weekly*")+SUMIFS('NSE - NIFTY Index Options'!$M:$M,'NSE - NIFTY Index Options'!$C:$C,$A111,'NSE - NIFTY Index Options'!$B:$B,G$4,'NSE - NIFTY Index Options'!$I:$I,"MDAW*")+SUMIFS('NSE - Other Index Options'!$M:$M,'NSE - Other Index Options'!$C:$C,$A111,'NSE - Other Index Options'!$B:$B,G$4,'NSE - Other Index Options'!$I:$I,"Weekly*")+SUMIFS('NSE - Other Index Options'!$M:$M,'NSE - Other Index Options'!$C:$C,$A111,'NSE - Other Index Options'!$B:$B,G$4,'NSE - Other Index Options'!$I:$I,"MDAW*")+SUMIFS('BSE - SENSEX Index Options'!$M:$M,'BSE - SENSEX Index Options'!$C:$C,$A111,'BSE - SENSEX Index Options'!$B:$B,G$4,'BSE - SENSEX Index Options'!$I:$I,"Weekly*")+SUMIFS('BSE - SENSEX Index Options'!$M:$M,'BSE - SENSEX Index Options'!$C:$C,$A111,'BSE - SENSEX Index Options'!$B:$B,G$4,'BSE - SENSEX Index Options'!$I:$I,"MDAW*")+SUMIFS('BSE - Other Index Options'!$M:$M,'BSE - Other Index Options'!$C:$C,$A111,'BSE - Other Index Options'!$B:$B,G$4,'BSE - Other Index Options'!$I:$I,"Weekly*")+SUMIFS('BSE - Other Index Options'!$M:$M,'BSE - Other Index Options'!$C:$C,$A111,'BSE - Other Index Options'!$B:$B,G$4,'BSE - Other Index Options'!$I:$I,"MDAW*")=0,"",SUMIFS('NSE - NIFTY Index Options'!$M:$M,'NSE - NIFTY Index Options'!$C:$C,$A111,'NSE - NIFTY Index Options'!$B:$B,G$4,'NSE - NIFTY Index Options'!$I:$I,"Weekly*")+SUMIFS('NSE - NIFTY Index Options'!$M:$M,'NSE - NIFTY Index Options'!$C:$C,$A111,'NSE - NIFTY Index Options'!$B:$B,G$4,'NSE - NIFTY Index Options'!$I:$I,"MDAW*")+SUMIFS('NSE - Other Index Options'!$M:$M,'NSE - Other Index Options'!$C:$C,$A111,'NSE - Other Index Options'!$B:$B,G$4,'NSE - Other Index Options'!$I:$I,"Weekly*")+SUMIFS('NSE - Other Index Options'!$M:$M,'NSE - Other Index Options'!$C:$C,$A111,'NSE - Other Index Options'!$B:$B,G$4,'NSE - Other Index Options'!$I:$I,"MDAW*")+SUMIFS('BSE - SENSEX Index Options'!$M:$M,'BSE - SENSEX Index Options'!$C:$C,$A111,'BSE - SENSEX Index Options'!$B:$B,G$4,'BSE - SENSEX Index Options'!$I:$I,"Weekly*")+SUMIFS('BSE - SENSEX Index Options'!$M:$M,'BSE - SENSEX Index Options'!$C:$C,$A111,'BSE - SENSEX Index Options'!$B:$B,G$4,'BSE - SENSEX Index Options'!$I:$I,"MDAW*")+SUMIFS('BSE - Other Index Options'!$M:$M,'BSE - Other Index Options'!$C:$C,$A111,'BSE - Other Index Options'!$B:$B,G$4,'BSE - Other Index Options'!$I:$I,"Weekly*")+SUMIFS('BSE - Other Index Options'!$M:$M,'BSE - Other Index Options'!$C:$C,$A111,'BSE - Other Index Options'!$B:$B,G$4,'BSE - Other Index Options'!$I:$I,"MDAW*"))</f>
        <v/>
      </c>
      <c r="H111" s="26">
        <f>IF(SUM(B111:G111)=0,"",SUM(B111:G111))</f>
        <v/>
      </c>
    </row>
    <row r="112" hidden="1" outlineLevel="1">
      <c r="A112" t="inlineStr">
        <is>
          <t>Week5-Jun-2027</t>
        </is>
      </c>
      <c r="B112" s="26">
        <f>IF(SUMIFS('NSE - NIFTY Index Options'!$M:$M,'NSE - NIFTY Index Options'!$C:$C,$A112,'NSE - NIFTY Index Options'!$B:$B,B$4,'NSE - NIFTY Index Options'!$I:$I,"Weekly*")+SUMIFS('NSE - NIFTY Index Options'!$M:$M,'NSE - NIFTY Index Options'!$C:$C,$A112,'NSE - NIFTY Index Options'!$B:$B,B$4,'NSE - NIFTY Index Options'!$I:$I,"MDAW*")+SUMIFS('NSE - Other Index Options'!$M:$M,'NSE - Other Index Options'!$C:$C,$A112,'NSE - Other Index Options'!$B:$B,B$4,'NSE - Other Index Options'!$I:$I,"Weekly*")+SUMIFS('NSE - Other Index Options'!$M:$M,'NSE - Other Index Options'!$C:$C,$A112,'NSE - Other Index Options'!$B:$B,B$4,'NSE - Other Index Options'!$I:$I,"MDAW*")+SUMIFS('BSE - SENSEX Index Options'!$M:$M,'BSE - SENSEX Index Options'!$C:$C,$A112,'BSE - SENSEX Index Options'!$B:$B,B$4,'BSE - SENSEX Index Options'!$I:$I,"Weekly*")+SUMIFS('BSE - SENSEX Index Options'!$M:$M,'BSE - SENSEX Index Options'!$C:$C,$A112,'BSE - SENSEX Index Options'!$B:$B,B$4,'BSE - SENSEX Index Options'!$I:$I,"MDAW*")+SUMIFS('BSE - Other Index Options'!$M:$M,'BSE - Other Index Options'!$C:$C,$A112,'BSE - Other Index Options'!$B:$B,B$4,'BSE - Other Index Options'!$I:$I,"Weekly*")+SUMIFS('BSE - Other Index Options'!$M:$M,'BSE - Other Index Options'!$C:$C,$A112,'BSE - Other Index Options'!$B:$B,B$4,'BSE - Other Index Options'!$I:$I,"MDAW*")=0,"",SUMIFS('NSE - NIFTY Index Options'!$M:$M,'NSE - NIFTY Index Options'!$C:$C,$A112,'NSE - NIFTY Index Options'!$B:$B,B$4,'NSE - NIFTY Index Options'!$I:$I,"Weekly*")+SUMIFS('NSE - NIFTY Index Options'!$M:$M,'NSE - NIFTY Index Options'!$C:$C,$A112,'NSE - NIFTY Index Options'!$B:$B,B$4,'NSE - NIFTY Index Options'!$I:$I,"MDAW*")+SUMIFS('NSE - Other Index Options'!$M:$M,'NSE - Other Index Options'!$C:$C,$A112,'NSE - Other Index Options'!$B:$B,B$4,'NSE - Other Index Options'!$I:$I,"Weekly*")+SUMIFS('NSE - Other Index Options'!$M:$M,'NSE - Other Index Options'!$C:$C,$A112,'NSE - Other Index Options'!$B:$B,B$4,'NSE - Other Index Options'!$I:$I,"MDAW*")+SUMIFS('BSE - SENSEX Index Options'!$M:$M,'BSE - SENSEX Index Options'!$C:$C,$A112,'BSE - SENSEX Index Options'!$B:$B,B$4,'BSE - SENSEX Index Options'!$I:$I,"Weekly*")+SUMIFS('BSE - SENSEX Index Options'!$M:$M,'BSE - SENSEX Index Options'!$C:$C,$A112,'BSE - SENSEX Index Options'!$B:$B,B$4,'BSE - SENSEX Index Options'!$I:$I,"MDAW*")+SUMIFS('BSE - Other Index Options'!$M:$M,'BSE - Other Index Options'!$C:$C,$A112,'BSE - Other Index Options'!$B:$B,B$4,'BSE - Other Index Options'!$I:$I,"Weekly*")+SUMIFS('BSE - Other Index Options'!$M:$M,'BSE - Other Index Options'!$C:$C,$A112,'BSE - Other Index Options'!$B:$B,B$4,'BSE - Other Index Options'!$I:$I,"MDAW*"))</f>
        <v/>
      </c>
      <c r="C112" s="26">
        <f>IF(SUMIFS('NSE - NIFTY Index Options'!$M:$M,'NSE - NIFTY Index Options'!$C:$C,$A112,'NSE - NIFTY Index Options'!$B:$B,C$4,'NSE - NIFTY Index Options'!$I:$I,"Weekly*")+SUMIFS('NSE - NIFTY Index Options'!$M:$M,'NSE - NIFTY Index Options'!$C:$C,$A112,'NSE - NIFTY Index Options'!$B:$B,C$4,'NSE - NIFTY Index Options'!$I:$I,"MDAW*")+SUMIFS('NSE - Other Index Options'!$M:$M,'NSE - Other Index Options'!$C:$C,$A112,'NSE - Other Index Options'!$B:$B,C$4,'NSE - Other Index Options'!$I:$I,"Weekly*")+SUMIFS('NSE - Other Index Options'!$M:$M,'NSE - Other Index Options'!$C:$C,$A112,'NSE - Other Index Options'!$B:$B,C$4,'NSE - Other Index Options'!$I:$I,"MDAW*")+SUMIFS('BSE - SENSEX Index Options'!$M:$M,'BSE - SENSEX Index Options'!$C:$C,$A112,'BSE - SENSEX Index Options'!$B:$B,C$4,'BSE - SENSEX Index Options'!$I:$I,"Weekly*")+SUMIFS('BSE - SENSEX Index Options'!$M:$M,'BSE - SENSEX Index Options'!$C:$C,$A112,'BSE - SENSEX Index Options'!$B:$B,C$4,'BSE - SENSEX Index Options'!$I:$I,"MDAW*")+SUMIFS('BSE - Other Index Options'!$M:$M,'BSE - Other Index Options'!$C:$C,$A112,'BSE - Other Index Options'!$B:$B,C$4,'BSE - Other Index Options'!$I:$I,"Weekly*")+SUMIFS('BSE - Other Index Options'!$M:$M,'BSE - Other Index Options'!$C:$C,$A112,'BSE - Other Index Options'!$B:$B,C$4,'BSE - Other Index Options'!$I:$I,"MDAW*")=0,"",SUMIFS('NSE - NIFTY Index Options'!$M:$M,'NSE - NIFTY Index Options'!$C:$C,$A112,'NSE - NIFTY Index Options'!$B:$B,C$4,'NSE - NIFTY Index Options'!$I:$I,"Weekly*")+SUMIFS('NSE - NIFTY Index Options'!$M:$M,'NSE - NIFTY Index Options'!$C:$C,$A112,'NSE - NIFTY Index Options'!$B:$B,C$4,'NSE - NIFTY Index Options'!$I:$I,"MDAW*")+SUMIFS('NSE - Other Index Options'!$M:$M,'NSE - Other Index Options'!$C:$C,$A112,'NSE - Other Index Options'!$B:$B,C$4,'NSE - Other Index Options'!$I:$I,"Weekly*")+SUMIFS('NSE - Other Index Options'!$M:$M,'NSE - Other Index Options'!$C:$C,$A112,'NSE - Other Index Options'!$B:$B,C$4,'NSE - Other Index Options'!$I:$I,"MDAW*")+SUMIFS('BSE - SENSEX Index Options'!$M:$M,'BSE - SENSEX Index Options'!$C:$C,$A112,'BSE - SENSEX Index Options'!$B:$B,C$4,'BSE - SENSEX Index Options'!$I:$I,"Weekly*")+SUMIFS('BSE - SENSEX Index Options'!$M:$M,'BSE - SENSEX Index Options'!$C:$C,$A112,'BSE - SENSEX Index Options'!$B:$B,C$4,'BSE - SENSEX Index Options'!$I:$I,"MDAW*")+SUMIFS('BSE - Other Index Options'!$M:$M,'BSE - Other Index Options'!$C:$C,$A112,'BSE - Other Index Options'!$B:$B,C$4,'BSE - Other Index Options'!$I:$I,"Weekly*")+SUMIFS('BSE - Other Index Options'!$M:$M,'BSE - Other Index Options'!$C:$C,$A112,'BSE - Other Index Options'!$B:$B,C$4,'BSE - Other Index Options'!$I:$I,"MDAW*"))</f>
        <v/>
      </c>
      <c r="D112" s="26">
        <f>IF(SUMIFS('NSE - NIFTY Index Options'!$M:$M,'NSE - NIFTY Index Options'!$C:$C,$A112,'NSE - NIFTY Index Options'!$B:$B,D$4,'NSE - NIFTY Index Options'!$I:$I,"Weekly*")+SUMIFS('NSE - NIFTY Index Options'!$M:$M,'NSE - NIFTY Index Options'!$C:$C,$A112,'NSE - NIFTY Index Options'!$B:$B,D$4,'NSE - NIFTY Index Options'!$I:$I,"MDAW*")+SUMIFS('NSE - Other Index Options'!$M:$M,'NSE - Other Index Options'!$C:$C,$A112,'NSE - Other Index Options'!$B:$B,D$4,'NSE - Other Index Options'!$I:$I,"Weekly*")+SUMIFS('NSE - Other Index Options'!$M:$M,'NSE - Other Index Options'!$C:$C,$A112,'NSE - Other Index Options'!$B:$B,D$4,'NSE - Other Index Options'!$I:$I,"MDAW*")+SUMIFS('BSE - SENSEX Index Options'!$M:$M,'BSE - SENSEX Index Options'!$C:$C,$A112,'BSE - SENSEX Index Options'!$B:$B,D$4,'BSE - SENSEX Index Options'!$I:$I,"Weekly*")+SUMIFS('BSE - SENSEX Index Options'!$M:$M,'BSE - SENSEX Index Options'!$C:$C,$A112,'BSE - SENSEX Index Options'!$B:$B,D$4,'BSE - SENSEX Index Options'!$I:$I,"MDAW*")+SUMIFS('BSE - Other Index Options'!$M:$M,'BSE - Other Index Options'!$C:$C,$A112,'BSE - Other Index Options'!$B:$B,D$4,'BSE - Other Index Options'!$I:$I,"Weekly*")+SUMIFS('BSE - Other Index Options'!$M:$M,'BSE - Other Index Options'!$C:$C,$A112,'BSE - Other Index Options'!$B:$B,D$4,'BSE - Other Index Options'!$I:$I,"MDAW*")=0,"",SUMIFS('NSE - NIFTY Index Options'!$M:$M,'NSE - NIFTY Index Options'!$C:$C,$A112,'NSE - NIFTY Index Options'!$B:$B,D$4,'NSE - NIFTY Index Options'!$I:$I,"Weekly*")+SUMIFS('NSE - NIFTY Index Options'!$M:$M,'NSE - NIFTY Index Options'!$C:$C,$A112,'NSE - NIFTY Index Options'!$B:$B,D$4,'NSE - NIFTY Index Options'!$I:$I,"MDAW*")+SUMIFS('NSE - Other Index Options'!$M:$M,'NSE - Other Index Options'!$C:$C,$A112,'NSE - Other Index Options'!$B:$B,D$4,'NSE - Other Index Options'!$I:$I,"Weekly*")+SUMIFS('NSE - Other Index Options'!$M:$M,'NSE - Other Index Options'!$C:$C,$A112,'NSE - Other Index Options'!$B:$B,D$4,'NSE - Other Index Options'!$I:$I,"MDAW*")+SUMIFS('BSE - SENSEX Index Options'!$M:$M,'BSE - SENSEX Index Options'!$C:$C,$A112,'BSE - SENSEX Index Options'!$B:$B,D$4,'BSE - SENSEX Index Options'!$I:$I,"Weekly*")+SUMIFS('BSE - SENSEX Index Options'!$M:$M,'BSE - SENSEX Index Options'!$C:$C,$A112,'BSE - SENSEX Index Options'!$B:$B,D$4,'BSE - SENSEX Index Options'!$I:$I,"MDAW*")+SUMIFS('BSE - Other Index Options'!$M:$M,'BSE - Other Index Options'!$C:$C,$A112,'BSE - Other Index Options'!$B:$B,D$4,'BSE - Other Index Options'!$I:$I,"Weekly*")+SUMIFS('BSE - Other Index Options'!$M:$M,'BSE - Other Index Options'!$C:$C,$A112,'BSE - Other Index Options'!$B:$B,D$4,'BSE - Other Index Options'!$I:$I,"MDAW*"))</f>
        <v/>
      </c>
      <c r="E112" s="26">
        <f>IF(SUMIFS('NSE - NIFTY Index Options'!$M:$M,'NSE - NIFTY Index Options'!$C:$C,$A112,'NSE - NIFTY Index Options'!$B:$B,E$4,'NSE - NIFTY Index Options'!$I:$I,"Weekly*")+SUMIFS('NSE - NIFTY Index Options'!$M:$M,'NSE - NIFTY Index Options'!$C:$C,$A112,'NSE - NIFTY Index Options'!$B:$B,E$4,'NSE - NIFTY Index Options'!$I:$I,"MDAW*")+SUMIFS('NSE - Other Index Options'!$M:$M,'NSE - Other Index Options'!$C:$C,$A112,'NSE - Other Index Options'!$B:$B,E$4,'NSE - Other Index Options'!$I:$I,"Weekly*")+SUMIFS('NSE - Other Index Options'!$M:$M,'NSE - Other Index Options'!$C:$C,$A112,'NSE - Other Index Options'!$B:$B,E$4,'NSE - Other Index Options'!$I:$I,"MDAW*")+SUMIFS('BSE - SENSEX Index Options'!$M:$M,'BSE - SENSEX Index Options'!$C:$C,$A112,'BSE - SENSEX Index Options'!$B:$B,E$4,'BSE - SENSEX Index Options'!$I:$I,"Weekly*")+SUMIFS('BSE - SENSEX Index Options'!$M:$M,'BSE - SENSEX Index Options'!$C:$C,$A112,'BSE - SENSEX Index Options'!$B:$B,E$4,'BSE - SENSEX Index Options'!$I:$I,"MDAW*")+SUMIFS('BSE - Other Index Options'!$M:$M,'BSE - Other Index Options'!$C:$C,$A112,'BSE - Other Index Options'!$B:$B,E$4,'BSE - Other Index Options'!$I:$I,"Weekly*")+SUMIFS('BSE - Other Index Options'!$M:$M,'BSE - Other Index Options'!$C:$C,$A112,'BSE - Other Index Options'!$B:$B,E$4,'BSE - Other Index Options'!$I:$I,"MDAW*")=0,"",SUMIFS('NSE - NIFTY Index Options'!$M:$M,'NSE - NIFTY Index Options'!$C:$C,$A112,'NSE - NIFTY Index Options'!$B:$B,E$4,'NSE - NIFTY Index Options'!$I:$I,"Weekly*")+SUMIFS('NSE - NIFTY Index Options'!$M:$M,'NSE - NIFTY Index Options'!$C:$C,$A112,'NSE - NIFTY Index Options'!$B:$B,E$4,'NSE - NIFTY Index Options'!$I:$I,"MDAW*")+SUMIFS('NSE - Other Index Options'!$M:$M,'NSE - Other Index Options'!$C:$C,$A112,'NSE - Other Index Options'!$B:$B,E$4,'NSE - Other Index Options'!$I:$I,"Weekly*")+SUMIFS('NSE - Other Index Options'!$M:$M,'NSE - Other Index Options'!$C:$C,$A112,'NSE - Other Index Options'!$B:$B,E$4,'NSE - Other Index Options'!$I:$I,"MDAW*")+SUMIFS('BSE - SENSEX Index Options'!$M:$M,'BSE - SENSEX Index Options'!$C:$C,$A112,'BSE - SENSEX Index Options'!$B:$B,E$4,'BSE - SENSEX Index Options'!$I:$I,"Weekly*")+SUMIFS('BSE - SENSEX Index Options'!$M:$M,'BSE - SENSEX Index Options'!$C:$C,$A112,'BSE - SENSEX Index Options'!$B:$B,E$4,'BSE - SENSEX Index Options'!$I:$I,"MDAW*")+SUMIFS('BSE - Other Index Options'!$M:$M,'BSE - Other Index Options'!$C:$C,$A112,'BSE - Other Index Options'!$B:$B,E$4,'BSE - Other Index Options'!$I:$I,"Weekly*")+SUMIFS('BSE - Other Index Options'!$M:$M,'BSE - Other Index Options'!$C:$C,$A112,'BSE - Other Index Options'!$B:$B,E$4,'BSE - Other Index Options'!$I:$I,"MDAW*"))</f>
        <v/>
      </c>
      <c r="F112" s="26">
        <f>IF(SUMIFS('NSE - NIFTY Index Options'!$M:$M,'NSE - NIFTY Index Options'!$C:$C,$A112,'NSE - NIFTY Index Options'!$B:$B,F$4,'NSE - NIFTY Index Options'!$I:$I,"Weekly*")+SUMIFS('NSE - NIFTY Index Options'!$M:$M,'NSE - NIFTY Index Options'!$C:$C,$A112,'NSE - NIFTY Index Options'!$B:$B,F$4,'NSE - NIFTY Index Options'!$I:$I,"MDAW*")+SUMIFS('NSE - Other Index Options'!$M:$M,'NSE - Other Index Options'!$C:$C,$A112,'NSE - Other Index Options'!$B:$B,F$4,'NSE - Other Index Options'!$I:$I,"Weekly*")+SUMIFS('NSE - Other Index Options'!$M:$M,'NSE - Other Index Options'!$C:$C,$A112,'NSE - Other Index Options'!$B:$B,F$4,'NSE - Other Index Options'!$I:$I,"MDAW*")+SUMIFS('BSE - SENSEX Index Options'!$M:$M,'BSE - SENSEX Index Options'!$C:$C,$A112,'BSE - SENSEX Index Options'!$B:$B,F$4,'BSE - SENSEX Index Options'!$I:$I,"Weekly*")+SUMIFS('BSE - SENSEX Index Options'!$M:$M,'BSE - SENSEX Index Options'!$C:$C,$A112,'BSE - SENSEX Index Options'!$B:$B,F$4,'BSE - SENSEX Index Options'!$I:$I,"MDAW*")+SUMIFS('BSE - Other Index Options'!$M:$M,'BSE - Other Index Options'!$C:$C,$A112,'BSE - Other Index Options'!$B:$B,F$4,'BSE - Other Index Options'!$I:$I,"Weekly*")+SUMIFS('BSE - Other Index Options'!$M:$M,'BSE - Other Index Options'!$C:$C,$A112,'BSE - Other Index Options'!$B:$B,F$4,'BSE - Other Index Options'!$I:$I,"MDAW*")=0,"",SUMIFS('NSE - NIFTY Index Options'!$M:$M,'NSE - NIFTY Index Options'!$C:$C,$A112,'NSE - NIFTY Index Options'!$B:$B,F$4,'NSE - NIFTY Index Options'!$I:$I,"Weekly*")+SUMIFS('NSE - NIFTY Index Options'!$M:$M,'NSE - NIFTY Index Options'!$C:$C,$A112,'NSE - NIFTY Index Options'!$B:$B,F$4,'NSE - NIFTY Index Options'!$I:$I,"MDAW*")+SUMIFS('NSE - Other Index Options'!$M:$M,'NSE - Other Index Options'!$C:$C,$A112,'NSE - Other Index Options'!$B:$B,F$4,'NSE - Other Index Options'!$I:$I,"Weekly*")+SUMIFS('NSE - Other Index Options'!$M:$M,'NSE - Other Index Options'!$C:$C,$A112,'NSE - Other Index Options'!$B:$B,F$4,'NSE - Other Index Options'!$I:$I,"MDAW*")+SUMIFS('BSE - SENSEX Index Options'!$M:$M,'BSE - SENSEX Index Options'!$C:$C,$A112,'BSE - SENSEX Index Options'!$B:$B,F$4,'BSE - SENSEX Index Options'!$I:$I,"Weekly*")+SUMIFS('BSE - SENSEX Index Options'!$M:$M,'BSE - SENSEX Index Options'!$C:$C,$A112,'BSE - SENSEX Index Options'!$B:$B,F$4,'BSE - SENSEX Index Options'!$I:$I,"MDAW*")+SUMIFS('BSE - Other Index Options'!$M:$M,'BSE - Other Index Options'!$C:$C,$A112,'BSE - Other Index Options'!$B:$B,F$4,'BSE - Other Index Options'!$I:$I,"Weekly*")+SUMIFS('BSE - Other Index Options'!$M:$M,'BSE - Other Index Options'!$C:$C,$A112,'BSE - Other Index Options'!$B:$B,F$4,'BSE - Other Index Options'!$I:$I,"MDAW*"))</f>
        <v/>
      </c>
      <c r="G112" s="26">
        <f>IF(SUMIFS('NSE - NIFTY Index Options'!$M:$M,'NSE - NIFTY Index Options'!$C:$C,$A112,'NSE - NIFTY Index Options'!$B:$B,G$4,'NSE - NIFTY Index Options'!$I:$I,"Weekly*")+SUMIFS('NSE - NIFTY Index Options'!$M:$M,'NSE - NIFTY Index Options'!$C:$C,$A112,'NSE - NIFTY Index Options'!$B:$B,G$4,'NSE - NIFTY Index Options'!$I:$I,"MDAW*")+SUMIFS('NSE - Other Index Options'!$M:$M,'NSE - Other Index Options'!$C:$C,$A112,'NSE - Other Index Options'!$B:$B,G$4,'NSE - Other Index Options'!$I:$I,"Weekly*")+SUMIFS('NSE - Other Index Options'!$M:$M,'NSE - Other Index Options'!$C:$C,$A112,'NSE - Other Index Options'!$B:$B,G$4,'NSE - Other Index Options'!$I:$I,"MDAW*")+SUMIFS('BSE - SENSEX Index Options'!$M:$M,'BSE - SENSEX Index Options'!$C:$C,$A112,'BSE - SENSEX Index Options'!$B:$B,G$4,'BSE - SENSEX Index Options'!$I:$I,"Weekly*")+SUMIFS('BSE - SENSEX Index Options'!$M:$M,'BSE - SENSEX Index Options'!$C:$C,$A112,'BSE - SENSEX Index Options'!$B:$B,G$4,'BSE - SENSEX Index Options'!$I:$I,"MDAW*")+SUMIFS('BSE - Other Index Options'!$M:$M,'BSE - Other Index Options'!$C:$C,$A112,'BSE - Other Index Options'!$B:$B,G$4,'BSE - Other Index Options'!$I:$I,"Weekly*")+SUMIFS('BSE - Other Index Options'!$M:$M,'BSE - Other Index Options'!$C:$C,$A112,'BSE - Other Index Options'!$B:$B,G$4,'BSE - Other Index Options'!$I:$I,"MDAW*")=0,"",SUMIFS('NSE - NIFTY Index Options'!$M:$M,'NSE - NIFTY Index Options'!$C:$C,$A112,'NSE - NIFTY Index Options'!$B:$B,G$4,'NSE - NIFTY Index Options'!$I:$I,"Weekly*")+SUMIFS('NSE - NIFTY Index Options'!$M:$M,'NSE - NIFTY Index Options'!$C:$C,$A112,'NSE - NIFTY Index Options'!$B:$B,G$4,'NSE - NIFTY Index Options'!$I:$I,"MDAW*")+SUMIFS('NSE - Other Index Options'!$M:$M,'NSE - Other Index Options'!$C:$C,$A112,'NSE - Other Index Options'!$B:$B,G$4,'NSE - Other Index Options'!$I:$I,"Weekly*")+SUMIFS('NSE - Other Index Options'!$M:$M,'NSE - Other Index Options'!$C:$C,$A112,'NSE - Other Index Options'!$B:$B,G$4,'NSE - Other Index Options'!$I:$I,"MDAW*")+SUMIFS('BSE - SENSEX Index Options'!$M:$M,'BSE - SENSEX Index Options'!$C:$C,$A112,'BSE - SENSEX Index Options'!$B:$B,G$4,'BSE - SENSEX Index Options'!$I:$I,"Weekly*")+SUMIFS('BSE - SENSEX Index Options'!$M:$M,'BSE - SENSEX Index Options'!$C:$C,$A112,'BSE - SENSEX Index Options'!$B:$B,G$4,'BSE - SENSEX Index Options'!$I:$I,"MDAW*")+SUMIFS('BSE - Other Index Options'!$M:$M,'BSE - Other Index Options'!$C:$C,$A112,'BSE - Other Index Options'!$B:$B,G$4,'BSE - Other Index Options'!$I:$I,"Weekly*")+SUMIFS('BSE - Other Index Options'!$M:$M,'BSE - Other Index Options'!$C:$C,$A112,'BSE - Other Index Options'!$B:$B,G$4,'BSE - Other Index Options'!$I:$I,"MDAW*"))</f>
        <v/>
      </c>
      <c r="H112" s="26">
        <f>IF(SUM(B112:G112)=0,"",SUM(B112:G112))</f>
        <v/>
      </c>
    </row>
    <row r="113" hidden="1" outlineLevel="1">
      <c r="A113" t="inlineStr">
        <is>
          <t>Week1-Jul-2027</t>
        </is>
      </c>
      <c r="B113" s="26">
        <f>IF(SUMIFS('NSE - NIFTY Index Options'!$M:$M,'NSE - NIFTY Index Options'!$C:$C,$A113,'NSE - NIFTY Index Options'!$B:$B,B$4,'NSE - NIFTY Index Options'!$I:$I,"Weekly*")+SUMIFS('NSE - NIFTY Index Options'!$M:$M,'NSE - NIFTY Index Options'!$C:$C,$A113,'NSE - NIFTY Index Options'!$B:$B,B$4,'NSE - NIFTY Index Options'!$I:$I,"MDAW*")+SUMIFS('NSE - Other Index Options'!$M:$M,'NSE - Other Index Options'!$C:$C,$A113,'NSE - Other Index Options'!$B:$B,B$4,'NSE - Other Index Options'!$I:$I,"Weekly*")+SUMIFS('NSE - Other Index Options'!$M:$M,'NSE - Other Index Options'!$C:$C,$A113,'NSE - Other Index Options'!$B:$B,B$4,'NSE - Other Index Options'!$I:$I,"MDAW*")+SUMIFS('BSE - SENSEX Index Options'!$M:$M,'BSE - SENSEX Index Options'!$C:$C,$A113,'BSE - SENSEX Index Options'!$B:$B,B$4,'BSE - SENSEX Index Options'!$I:$I,"Weekly*")+SUMIFS('BSE - SENSEX Index Options'!$M:$M,'BSE - SENSEX Index Options'!$C:$C,$A113,'BSE - SENSEX Index Options'!$B:$B,B$4,'BSE - SENSEX Index Options'!$I:$I,"MDAW*")+SUMIFS('BSE - Other Index Options'!$M:$M,'BSE - Other Index Options'!$C:$C,$A113,'BSE - Other Index Options'!$B:$B,B$4,'BSE - Other Index Options'!$I:$I,"Weekly*")+SUMIFS('BSE - Other Index Options'!$M:$M,'BSE - Other Index Options'!$C:$C,$A113,'BSE - Other Index Options'!$B:$B,B$4,'BSE - Other Index Options'!$I:$I,"MDAW*")=0,"",SUMIFS('NSE - NIFTY Index Options'!$M:$M,'NSE - NIFTY Index Options'!$C:$C,$A113,'NSE - NIFTY Index Options'!$B:$B,B$4,'NSE - NIFTY Index Options'!$I:$I,"Weekly*")+SUMIFS('NSE - NIFTY Index Options'!$M:$M,'NSE - NIFTY Index Options'!$C:$C,$A113,'NSE - NIFTY Index Options'!$B:$B,B$4,'NSE - NIFTY Index Options'!$I:$I,"MDAW*")+SUMIFS('NSE - Other Index Options'!$M:$M,'NSE - Other Index Options'!$C:$C,$A113,'NSE - Other Index Options'!$B:$B,B$4,'NSE - Other Index Options'!$I:$I,"Weekly*")+SUMIFS('NSE - Other Index Options'!$M:$M,'NSE - Other Index Options'!$C:$C,$A113,'NSE - Other Index Options'!$B:$B,B$4,'NSE - Other Index Options'!$I:$I,"MDAW*")+SUMIFS('BSE - SENSEX Index Options'!$M:$M,'BSE - SENSEX Index Options'!$C:$C,$A113,'BSE - SENSEX Index Options'!$B:$B,B$4,'BSE - SENSEX Index Options'!$I:$I,"Weekly*")+SUMIFS('BSE - SENSEX Index Options'!$M:$M,'BSE - SENSEX Index Options'!$C:$C,$A113,'BSE - SENSEX Index Options'!$B:$B,B$4,'BSE - SENSEX Index Options'!$I:$I,"MDAW*")+SUMIFS('BSE - Other Index Options'!$M:$M,'BSE - Other Index Options'!$C:$C,$A113,'BSE - Other Index Options'!$B:$B,B$4,'BSE - Other Index Options'!$I:$I,"Weekly*")+SUMIFS('BSE - Other Index Options'!$M:$M,'BSE - Other Index Options'!$C:$C,$A113,'BSE - Other Index Options'!$B:$B,B$4,'BSE - Other Index Options'!$I:$I,"MDAW*"))</f>
        <v/>
      </c>
      <c r="C113" s="26">
        <f>IF(SUMIFS('NSE - NIFTY Index Options'!$M:$M,'NSE - NIFTY Index Options'!$C:$C,$A113,'NSE - NIFTY Index Options'!$B:$B,C$4,'NSE - NIFTY Index Options'!$I:$I,"Weekly*")+SUMIFS('NSE - NIFTY Index Options'!$M:$M,'NSE - NIFTY Index Options'!$C:$C,$A113,'NSE - NIFTY Index Options'!$B:$B,C$4,'NSE - NIFTY Index Options'!$I:$I,"MDAW*")+SUMIFS('NSE - Other Index Options'!$M:$M,'NSE - Other Index Options'!$C:$C,$A113,'NSE - Other Index Options'!$B:$B,C$4,'NSE - Other Index Options'!$I:$I,"Weekly*")+SUMIFS('NSE - Other Index Options'!$M:$M,'NSE - Other Index Options'!$C:$C,$A113,'NSE - Other Index Options'!$B:$B,C$4,'NSE - Other Index Options'!$I:$I,"MDAW*")+SUMIFS('BSE - SENSEX Index Options'!$M:$M,'BSE - SENSEX Index Options'!$C:$C,$A113,'BSE - SENSEX Index Options'!$B:$B,C$4,'BSE - SENSEX Index Options'!$I:$I,"Weekly*")+SUMIFS('BSE - SENSEX Index Options'!$M:$M,'BSE - SENSEX Index Options'!$C:$C,$A113,'BSE - SENSEX Index Options'!$B:$B,C$4,'BSE - SENSEX Index Options'!$I:$I,"MDAW*")+SUMIFS('BSE - Other Index Options'!$M:$M,'BSE - Other Index Options'!$C:$C,$A113,'BSE - Other Index Options'!$B:$B,C$4,'BSE - Other Index Options'!$I:$I,"Weekly*")+SUMIFS('BSE - Other Index Options'!$M:$M,'BSE - Other Index Options'!$C:$C,$A113,'BSE - Other Index Options'!$B:$B,C$4,'BSE - Other Index Options'!$I:$I,"MDAW*")=0,"",SUMIFS('NSE - NIFTY Index Options'!$M:$M,'NSE - NIFTY Index Options'!$C:$C,$A113,'NSE - NIFTY Index Options'!$B:$B,C$4,'NSE - NIFTY Index Options'!$I:$I,"Weekly*")+SUMIFS('NSE - NIFTY Index Options'!$M:$M,'NSE - NIFTY Index Options'!$C:$C,$A113,'NSE - NIFTY Index Options'!$B:$B,C$4,'NSE - NIFTY Index Options'!$I:$I,"MDAW*")+SUMIFS('NSE - Other Index Options'!$M:$M,'NSE - Other Index Options'!$C:$C,$A113,'NSE - Other Index Options'!$B:$B,C$4,'NSE - Other Index Options'!$I:$I,"Weekly*")+SUMIFS('NSE - Other Index Options'!$M:$M,'NSE - Other Index Options'!$C:$C,$A113,'NSE - Other Index Options'!$B:$B,C$4,'NSE - Other Index Options'!$I:$I,"MDAW*")+SUMIFS('BSE - SENSEX Index Options'!$M:$M,'BSE - SENSEX Index Options'!$C:$C,$A113,'BSE - SENSEX Index Options'!$B:$B,C$4,'BSE - SENSEX Index Options'!$I:$I,"Weekly*")+SUMIFS('BSE - SENSEX Index Options'!$M:$M,'BSE - SENSEX Index Options'!$C:$C,$A113,'BSE - SENSEX Index Options'!$B:$B,C$4,'BSE - SENSEX Index Options'!$I:$I,"MDAW*")+SUMIFS('BSE - Other Index Options'!$M:$M,'BSE - Other Index Options'!$C:$C,$A113,'BSE - Other Index Options'!$B:$B,C$4,'BSE - Other Index Options'!$I:$I,"Weekly*")+SUMIFS('BSE - Other Index Options'!$M:$M,'BSE - Other Index Options'!$C:$C,$A113,'BSE - Other Index Options'!$B:$B,C$4,'BSE - Other Index Options'!$I:$I,"MDAW*"))</f>
        <v/>
      </c>
      <c r="D113" s="26">
        <f>IF(SUMIFS('NSE - NIFTY Index Options'!$M:$M,'NSE - NIFTY Index Options'!$C:$C,$A113,'NSE - NIFTY Index Options'!$B:$B,D$4,'NSE - NIFTY Index Options'!$I:$I,"Weekly*")+SUMIFS('NSE - NIFTY Index Options'!$M:$M,'NSE - NIFTY Index Options'!$C:$C,$A113,'NSE - NIFTY Index Options'!$B:$B,D$4,'NSE - NIFTY Index Options'!$I:$I,"MDAW*")+SUMIFS('NSE - Other Index Options'!$M:$M,'NSE - Other Index Options'!$C:$C,$A113,'NSE - Other Index Options'!$B:$B,D$4,'NSE - Other Index Options'!$I:$I,"Weekly*")+SUMIFS('NSE - Other Index Options'!$M:$M,'NSE - Other Index Options'!$C:$C,$A113,'NSE - Other Index Options'!$B:$B,D$4,'NSE - Other Index Options'!$I:$I,"MDAW*")+SUMIFS('BSE - SENSEX Index Options'!$M:$M,'BSE - SENSEX Index Options'!$C:$C,$A113,'BSE - SENSEX Index Options'!$B:$B,D$4,'BSE - SENSEX Index Options'!$I:$I,"Weekly*")+SUMIFS('BSE - SENSEX Index Options'!$M:$M,'BSE - SENSEX Index Options'!$C:$C,$A113,'BSE - SENSEX Index Options'!$B:$B,D$4,'BSE - SENSEX Index Options'!$I:$I,"MDAW*")+SUMIFS('BSE - Other Index Options'!$M:$M,'BSE - Other Index Options'!$C:$C,$A113,'BSE - Other Index Options'!$B:$B,D$4,'BSE - Other Index Options'!$I:$I,"Weekly*")+SUMIFS('BSE - Other Index Options'!$M:$M,'BSE - Other Index Options'!$C:$C,$A113,'BSE - Other Index Options'!$B:$B,D$4,'BSE - Other Index Options'!$I:$I,"MDAW*")=0,"",SUMIFS('NSE - NIFTY Index Options'!$M:$M,'NSE - NIFTY Index Options'!$C:$C,$A113,'NSE - NIFTY Index Options'!$B:$B,D$4,'NSE - NIFTY Index Options'!$I:$I,"Weekly*")+SUMIFS('NSE - NIFTY Index Options'!$M:$M,'NSE - NIFTY Index Options'!$C:$C,$A113,'NSE - NIFTY Index Options'!$B:$B,D$4,'NSE - NIFTY Index Options'!$I:$I,"MDAW*")+SUMIFS('NSE - Other Index Options'!$M:$M,'NSE - Other Index Options'!$C:$C,$A113,'NSE - Other Index Options'!$B:$B,D$4,'NSE - Other Index Options'!$I:$I,"Weekly*")+SUMIFS('NSE - Other Index Options'!$M:$M,'NSE - Other Index Options'!$C:$C,$A113,'NSE - Other Index Options'!$B:$B,D$4,'NSE - Other Index Options'!$I:$I,"MDAW*")+SUMIFS('BSE - SENSEX Index Options'!$M:$M,'BSE - SENSEX Index Options'!$C:$C,$A113,'BSE - SENSEX Index Options'!$B:$B,D$4,'BSE - SENSEX Index Options'!$I:$I,"Weekly*")+SUMIFS('BSE - SENSEX Index Options'!$M:$M,'BSE - SENSEX Index Options'!$C:$C,$A113,'BSE - SENSEX Index Options'!$B:$B,D$4,'BSE - SENSEX Index Options'!$I:$I,"MDAW*")+SUMIFS('BSE - Other Index Options'!$M:$M,'BSE - Other Index Options'!$C:$C,$A113,'BSE - Other Index Options'!$B:$B,D$4,'BSE - Other Index Options'!$I:$I,"Weekly*")+SUMIFS('BSE - Other Index Options'!$M:$M,'BSE - Other Index Options'!$C:$C,$A113,'BSE - Other Index Options'!$B:$B,D$4,'BSE - Other Index Options'!$I:$I,"MDAW*"))</f>
        <v/>
      </c>
      <c r="E113" s="26">
        <f>IF(SUMIFS('NSE - NIFTY Index Options'!$M:$M,'NSE - NIFTY Index Options'!$C:$C,$A113,'NSE - NIFTY Index Options'!$B:$B,E$4,'NSE - NIFTY Index Options'!$I:$I,"Weekly*")+SUMIFS('NSE - NIFTY Index Options'!$M:$M,'NSE - NIFTY Index Options'!$C:$C,$A113,'NSE - NIFTY Index Options'!$B:$B,E$4,'NSE - NIFTY Index Options'!$I:$I,"MDAW*")+SUMIFS('NSE - Other Index Options'!$M:$M,'NSE - Other Index Options'!$C:$C,$A113,'NSE - Other Index Options'!$B:$B,E$4,'NSE - Other Index Options'!$I:$I,"Weekly*")+SUMIFS('NSE - Other Index Options'!$M:$M,'NSE - Other Index Options'!$C:$C,$A113,'NSE - Other Index Options'!$B:$B,E$4,'NSE - Other Index Options'!$I:$I,"MDAW*")+SUMIFS('BSE - SENSEX Index Options'!$M:$M,'BSE - SENSEX Index Options'!$C:$C,$A113,'BSE - SENSEX Index Options'!$B:$B,E$4,'BSE - SENSEX Index Options'!$I:$I,"Weekly*")+SUMIFS('BSE - SENSEX Index Options'!$M:$M,'BSE - SENSEX Index Options'!$C:$C,$A113,'BSE - SENSEX Index Options'!$B:$B,E$4,'BSE - SENSEX Index Options'!$I:$I,"MDAW*")+SUMIFS('BSE - Other Index Options'!$M:$M,'BSE - Other Index Options'!$C:$C,$A113,'BSE - Other Index Options'!$B:$B,E$4,'BSE - Other Index Options'!$I:$I,"Weekly*")+SUMIFS('BSE - Other Index Options'!$M:$M,'BSE - Other Index Options'!$C:$C,$A113,'BSE - Other Index Options'!$B:$B,E$4,'BSE - Other Index Options'!$I:$I,"MDAW*")=0,"",SUMIFS('NSE - NIFTY Index Options'!$M:$M,'NSE - NIFTY Index Options'!$C:$C,$A113,'NSE - NIFTY Index Options'!$B:$B,E$4,'NSE - NIFTY Index Options'!$I:$I,"Weekly*")+SUMIFS('NSE - NIFTY Index Options'!$M:$M,'NSE - NIFTY Index Options'!$C:$C,$A113,'NSE - NIFTY Index Options'!$B:$B,E$4,'NSE - NIFTY Index Options'!$I:$I,"MDAW*")+SUMIFS('NSE - Other Index Options'!$M:$M,'NSE - Other Index Options'!$C:$C,$A113,'NSE - Other Index Options'!$B:$B,E$4,'NSE - Other Index Options'!$I:$I,"Weekly*")+SUMIFS('NSE - Other Index Options'!$M:$M,'NSE - Other Index Options'!$C:$C,$A113,'NSE - Other Index Options'!$B:$B,E$4,'NSE - Other Index Options'!$I:$I,"MDAW*")+SUMIFS('BSE - SENSEX Index Options'!$M:$M,'BSE - SENSEX Index Options'!$C:$C,$A113,'BSE - SENSEX Index Options'!$B:$B,E$4,'BSE - SENSEX Index Options'!$I:$I,"Weekly*")+SUMIFS('BSE - SENSEX Index Options'!$M:$M,'BSE - SENSEX Index Options'!$C:$C,$A113,'BSE - SENSEX Index Options'!$B:$B,E$4,'BSE - SENSEX Index Options'!$I:$I,"MDAW*")+SUMIFS('BSE - Other Index Options'!$M:$M,'BSE - Other Index Options'!$C:$C,$A113,'BSE - Other Index Options'!$B:$B,E$4,'BSE - Other Index Options'!$I:$I,"Weekly*")+SUMIFS('BSE - Other Index Options'!$M:$M,'BSE - Other Index Options'!$C:$C,$A113,'BSE - Other Index Options'!$B:$B,E$4,'BSE - Other Index Options'!$I:$I,"MDAW*"))</f>
        <v/>
      </c>
      <c r="F113" s="26">
        <f>IF(SUMIFS('NSE - NIFTY Index Options'!$M:$M,'NSE - NIFTY Index Options'!$C:$C,$A113,'NSE - NIFTY Index Options'!$B:$B,F$4,'NSE - NIFTY Index Options'!$I:$I,"Weekly*")+SUMIFS('NSE - NIFTY Index Options'!$M:$M,'NSE - NIFTY Index Options'!$C:$C,$A113,'NSE - NIFTY Index Options'!$B:$B,F$4,'NSE - NIFTY Index Options'!$I:$I,"MDAW*")+SUMIFS('NSE - Other Index Options'!$M:$M,'NSE - Other Index Options'!$C:$C,$A113,'NSE - Other Index Options'!$B:$B,F$4,'NSE - Other Index Options'!$I:$I,"Weekly*")+SUMIFS('NSE - Other Index Options'!$M:$M,'NSE - Other Index Options'!$C:$C,$A113,'NSE - Other Index Options'!$B:$B,F$4,'NSE - Other Index Options'!$I:$I,"MDAW*")+SUMIFS('BSE - SENSEX Index Options'!$M:$M,'BSE - SENSEX Index Options'!$C:$C,$A113,'BSE - SENSEX Index Options'!$B:$B,F$4,'BSE - SENSEX Index Options'!$I:$I,"Weekly*")+SUMIFS('BSE - SENSEX Index Options'!$M:$M,'BSE - SENSEX Index Options'!$C:$C,$A113,'BSE - SENSEX Index Options'!$B:$B,F$4,'BSE - SENSEX Index Options'!$I:$I,"MDAW*")+SUMIFS('BSE - Other Index Options'!$M:$M,'BSE - Other Index Options'!$C:$C,$A113,'BSE - Other Index Options'!$B:$B,F$4,'BSE - Other Index Options'!$I:$I,"Weekly*")+SUMIFS('BSE - Other Index Options'!$M:$M,'BSE - Other Index Options'!$C:$C,$A113,'BSE - Other Index Options'!$B:$B,F$4,'BSE - Other Index Options'!$I:$I,"MDAW*")=0,"",SUMIFS('NSE - NIFTY Index Options'!$M:$M,'NSE - NIFTY Index Options'!$C:$C,$A113,'NSE - NIFTY Index Options'!$B:$B,F$4,'NSE - NIFTY Index Options'!$I:$I,"Weekly*")+SUMIFS('NSE - NIFTY Index Options'!$M:$M,'NSE - NIFTY Index Options'!$C:$C,$A113,'NSE - NIFTY Index Options'!$B:$B,F$4,'NSE - NIFTY Index Options'!$I:$I,"MDAW*")+SUMIFS('NSE - Other Index Options'!$M:$M,'NSE - Other Index Options'!$C:$C,$A113,'NSE - Other Index Options'!$B:$B,F$4,'NSE - Other Index Options'!$I:$I,"Weekly*")+SUMIFS('NSE - Other Index Options'!$M:$M,'NSE - Other Index Options'!$C:$C,$A113,'NSE - Other Index Options'!$B:$B,F$4,'NSE - Other Index Options'!$I:$I,"MDAW*")+SUMIFS('BSE - SENSEX Index Options'!$M:$M,'BSE - SENSEX Index Options'!$C:$C,$A113,'BSE - SENSEX Index Options'!$B:$B,F$4,'BSE - SENSEX Index Options'!$I:$I,"Weekly*")+SUMIFS('BSE - SENSEX Index Options'!$M:$M,'BSE - SENSEX Index Options'!$C:$C,$A113,'BSE - SENSEX Index Options'!$B:$B,F$4,'BSE - SENSEX Index Options'!$I:$I,"MDAW*")+SUMIFS('BSE - Other Index Options'!$M:$M,'BSE - Other Index Options'!$C:$C,$A113,'BSE - Other Index Options'!$B:$B,F$4,'BSE - Other Index Options'!$I:$I,"Weekly*")+SUMIFS('BSE - Other Index Options'!$M:$M,'BSE - Other Index Options'!$C:$C,$A113,'BSE - Other Index Options'!$B:$B,F$4,'BSE - Other Index Options'!$I:$I,"MDAW*"))</f>
        <v/>
      </c>
      <c r="G113" s="26">
        <f>IF(SUMIFS('NSE - NIFTY Index Options'!$M:$M,'NSE - NIFTY Index Options'!$C:$C,$A113,'NSE - NIFTY Index Options'!$B:$B,G$4,'NSE - NIFTY Index Options'!$I:$I,"Weekly*")+SUMIFS('NSE - NIFTY Index Options'!$M:$M,'NSE - NIFTY Index Options'!$C:$C,$A113,'NSE - NIFTY Index Options'!$B:$B,G$4,'NSE - NIFTY Index Options'!$I:$I,"MDAW*")+SUMIFS('NSE - Other Index Options'!$M:$M,'NSE - Other Index Options'!$C:$C,$A113,'NSE - Other Index Options'!$B:$B,G$4,'NSE - Other Index Options'!$I:$I,"Weekly*")+SUMIFS('NSE - Other Index Options'!$M:$M,'NSE - Other Index Options'!$C:$C,$A113,'NSE - Other Index Options'!$B:$B,G$4,'NSE - Other Index Options'!$I:$I,"MDAW*")+SUMIFS('BSE - SENSEX Index Options'!$M:$M,'BSE - SENSEX Index Options'!$C:$C,$A113,'BSE - SENSEX Index Options'!$B:$B,G$4,'BSE - SENSEX Index Options'!$I:$I,"Weekly*")+SUMIFS('BSE - SENSEX Index Options'!$M:$M,'BSE - SENSEX Index Options'!$C:$C,$A113,'BSE - SENSEX Index Options'!$B:$B,G$4,'BSE - SENSEX Index Options'!$I:$I,"MDAW*")+SUMIFS('BSE - Other Index Options'!$M:$M,'BSE - Other Index Options'!$C:$C,$A113,'BSE - Other Index Options'!$B:$B,G$4,'BSE - Other Index Options'!$I:$I,"Weekly*")+SUMIFS('BSE - Other Index Options'!$M:$M,'BSE - Other Index Options'!$C:$C,$A113,'BSE - Other Index Options'!$B:$B,G$4,'BSE - Other Index Options'!$I:$I,"MDAW*")=0,"",SUMIFS('NSE - NIFTY Index Options'!$M:$M,'NSE - NIFTY Index Options'!$C:$C,$A113,'NSE - NIFTY Index Options'!$B:$B,G$4,'NSE - NIFTY Index Options'!$I:$I,"Weekly*")+SUMIFS('NSE - NIFTY Index Options'!$M:$M,'NSE - NIFTY Index Options'!$C:$C,$A113,'NSE - NIFTY Index Options'!$B:$B,G$4,'NSE - NIFTY Index Options'!$I:$I,"MDAW*")+SUMIFS('NSE - Other Index Options'!$M:$M,'NSE - Other Index Options'!$C:$C,$A113,'NSE - Other Index Options'!$B:$B,G$4,'NSE - Other Index Options'!$I:$I,"Weekly*")+SUMIFS('NSE - Other Index Options'!$M:$M,'NSE - Other Index Options'!$C:$C,$A113,'NSE - Other Index Options'!$B:$B,G$4,'NSE - Other Index Options'!$I:$I,"MDAW*")+SUMIFS('BSE - SENSEX Index Options'!$M:$M,'BSE - SENSEX Index Options'!$C:$C,$A113,'BSE - SENSEX Index Options'!$B:$B,G$4,'BSE - SENSEX Index Options'!$I:$I,"Weekly*")+SUMIFS('BSE - SENSEX Index Options'!$M:$M,'BSE - SENSEX Index Options'!$C:$C,$A113,'BSE - SENSEX Index Options'!$B:$B,G$4,'BSE - SENSEX Index Options'!$I:$I,"MDAW*")+SUMIFS('BSE - Other Index Options'!$M:$M,'BSE - Other Index Options'!$C:$C,$A113,'BSE - Other Index Options'!$B:$B,G$4,'BSE - Other Index Options'!$I:$I,"Weekly*")+SUMIFS('BSE - Other Index Options'!$M:$M,'BSE - Other Index Options'!$C:$C,$A113,'BSE - Other Index Options'!$B:$B,G$4,'BSE - Other Index Options'!$I:$I,"MDAW*"))</f>
        <v/>
      </c>
      <c r="H113" s="26">
        <f>IF(SUM(B113:G113)=0,"",SUM(B113:G113))</f>
        <v/>
      </c>
    </row>
    <row r="114" hidden="1" outlineLevel="1">
      <c r="A114" t="inlineStr">
        <is>
          <t>Week2-Jul-2027</t>
        </is>
      </c>
      <c r="B114" s="26">
        <f>IF(SUMIFS('NSE - NIFTY Index Options'!$M:$M,'NSE - NIFTY Index Options'!$C:$C,$A114,'NSE - NIFTY Index Options'!$B:$B,B$4,'NSE - NIFTY Index Options'!$I:$I,"Weekly*")+SUMIFS('NSE - NIFTY Index Options'!$M:$M,'NSE - NIFTY Index Options'!$C:$C,$A114,'NSE - NIFTY Index Options'!$B:$B,B$4,'NSE - NIFTY Index Options'!$I:$I,"MDAW*")+SUMIFS('NSE - Other Index Options'!$M:$M,'NSE - Other Index Options'!$C:$C,$A114,'NSE - Other Index Options'!$B:$B,B$4,'NSE - Other Index Options'!$I:$I,"Weekly*")+SUMIFS('NSE - Other Index Options'!$M:$M,'NSE - Other Index Options'!$C:$C,$A114,'NSE - Other Index Options'!$B:$B,B$4,'NSE - Other Index Options'!$I:$I,"MDAW*")+SUMIFS('BSE - SENSEX Index Options'!$M:$M,'BSE - SENSEX Index Options'!$C:$C,$A114,'BSE - SENSEX Index Options'!$B:$B,B$4,'BSE - SENSEX Index Options'!$I:$I,"Weekly*")+SUMIFS('BSE - SENSEX Index Options'!$M:$M,'BSE - SENSEX Index Options'!$C:$C,$A114,'BSE - SENSEX Index Options'!$B:$B,B$4,'BSE - SENSEX Index Options'!$I:$I,"MDAW*")+SUMIFS('BSE - Other Index Options'!$M:$M,'BSE - Other Index Options'!$C:$C,$A114,'BSE - Other Index Options'!$B:$B,B$4,'BSE - Other Index Options'!$I:$I,"Weekly*")+SUMIFS('BSE - Other Index Options'!$M:$M,'BSE - Other Index Options'!$C:$C,$A114,'BSE - Other Index Options'!$B:$B,B$4,'BSE - Other Index Options'!$I:$I,"MDAW*")=0,"",SUMIFS('NSE - NIFTY Index Options'!$M:$M,'NSE - NIFTY Index Options'!$C:$C,$A114,'NSE - NIFTY Index Options'!$B:$B,B$4,'NSE - NIFTY Index Options'!$I:$I,"Weekly*")+SUMIFS('NSE - NIFTY Index Options'!$M:$M,'NSE - NIFTY Index Options'!$C:$C,$A114,'NSE - NIFTY Index Options'!$B:$B,B$4,'NSE - NIFTY Index Options'!$I:$I,"MDAW*")+SUMIFS('NSE - Other Index Options'!$M:$M,'NSE - Other Index Options'!$C:$C,$A114,'NSE - Other Index Options'!$B:$B,B$4,'NSE - Other Index Options'!$I:$I,"Weekly*")+SUMIFS('NSE - Other Index Options'!$M:$M,'NSE - Other Index Options'!$C:$C,$A114,'NSE - Other Index Options'!$B:$B,B$4,'NSE - Other Index Options'!$I:$I,"MDAW*")+SUMIFS('BSE - SENSEX Index Options'!$M:$M,'BSE - SENSEX Index Options'!$C:$C,$A114,'BSE - SENSEX Index Options'!$B:$B,B$4,'BSE - SENSEX Index Options'!$I:$I,"Weekly*")+SUMIFS('BSE - SENSEX Index Options'!$M:$M,'BSE - SENSEX Index Options'!$C:$C,$A114,'BSE - SENSEX Index Options'!$B:$B,B$4,'BSE - SENSEX Index Options'!$I:$I,"MDAW*")+SUMIFS('BSE - Other Index Options'!$M:$M,'BSE - Other Index Options'!$C:$C,$A114,'BSE - Other Index Options'!$B:$B,B$4,'BSE - Other Index Options'!$I:$I,"Weekly*")+SUMIFS('BSE - Other Index Options'!$M:$M,'BSE - Other Index Options'!$C:$C,$A114,'BSE - Other Index Options'!$B:$B,B$4,'BSE - Other Index Options'!$I:$I,"MDAW*"))</f>
        <v/>
      </c>
      <c r="C114" s="26">
        <f>IF(SUMIFS('NSE - NIFTY Index Options'!$M:$M,'NSE - NIFTY Index Options'!$C:$C,$A114,'NSE - NIFTY Index Options'!$B:$B,C$4,'NSE - NIFTY Index Options'!$I:$I,"Weekly*")+SUMIFS('NSE - NIFTY Index Options'!$M:$M,'NSE - NIFTY Index Options'!$C:$C,$A114,'NSE - NIFTY Index Options'!$B:$B,C$4,'NSE - NIFTY Index Options'!$I:$I,"MDAW*")+SUMIFS('NSE - Other Index Options'!$M:$M,'NSE - Other Index Options'!$C:$C,$A114,'NSE - Other Index Options'!$B:$B,C$4,'NSE - Other Index Options'!$I:$I,"Weekly*")+SUMIFS('NSE - Other Index Options'!$M:$M,'NSE - Other Index Options'!$C:$C,$A114,'NSE - Other Index Options'!$B:$B,C$4,'NSE - Other Index Options'!$I:$I,"MDAW*")+SUMIFS('BSE - SENSEX Index Options'!$M:$M,'BSE - SENSEX Index Options'!$C:$C,$A114,'BSE - SENSEX Index Options'!$B:$B,C$4,'BSE - SENSEX Index Options'!$I:$I,"Weekly*")+SUMIFS('BSE - SENSEX Index Options'!$M:$M,'BSE - SENSEX Index Options'!$C:$C,$A114,'BSE - SENSEX Index Options'!$B:$B,C$4,'BSE - SENSEX Index Options'!$I:$I,"MDAW*")+SUMIFS('BSE - Other Index Options'!$M:$M,'BSE - Other Index Options'!$C:$C,$A114,'BSE - Other Index Options'!$B:$B,C$4,'BSE - Other Index Options'!$I:$I,"Weekly*")+SUMIFS('BSE - Other Index Options'!$M:$M,'BSE - Other Index Options'!$C:$C,$A114,'BSE - Other Index Options'!$B:$B,C$4,'BSE - Other Index Options'!$I:$I,"MDAW*")=0,"",SUMIFS('NSE - NIFTY Index Options'!$M:$M,'NSE - NIFTY Index Options'!$C:$C,$A114,'NSE - NIFTY Index Options'!$B:$B,C$4,'NSE - NIFTY Index Options'!$I:$I,"Weekly*")+SUMIFS('NSE - NIFTY Index Options'!$M:$M,'NSE - NIFTY Index Options'!$C:$C,$A114,'NSE - NIFTY Index Options'!$B:$B,C$4,'NSE - NIFTY Index Options'!$I:$I,"MDAW*")+SUMIFS('NSE - Other Index Options'!$M:$M,'NSE - Other Index Options'!$C:$C,$A114,'NSE - Other Index Options'!$B:$B,C$4,'NSE - Other Index Options'!$I:$I,"Weekly*")+SUMIFS('NSE - Other Index Options'!$M:$M,'NSE - Other Index Options'!$C:$C,$A114,'NSE - Other Index Options'!$B:$B,C$4,'NSE - Other Index Options'!$I:$I,"MDAW*")+SUMIFS('BSE - SENSEX Index Options'!$M:$M,'BSE - SENSEX Index Options'!$C:$C,$A114,'BSE - SENSEX Index Options'!$B:$B,C$4,'BSE - SENSEX Index Options'!$I:$I,"Weekly*")+SUMIFS('BSE - SENSEX Index Options'!$M:$M,'BSE - SENSEX Index Options'!$C:$C,$A114,'BSE - SENSEX Index Options'!$B:$B,C$4,'BSE - SENSEX Index Options'!$I:$I,"MDAW*")+SUMIFS('BSE - Other Index Options'!$M:$M,'BSE - Other Index Options'!$C:$C,$A114,'BSE - Other Index Options'!$B:$B,C$4,'BSE - Other Index Options'!$I:$I,"Weekly*")+SUMIFS('BSE - Other Index Options'!$M:$M,'BSE - Other Index Options'!$C:$C,$A114,'BSE - Other Index Options'!$B:$B,C$4,'BSE - Other Index Options'!$I:$I,"MDAW*"))</f>
        <v/>
      </c>
      <c r="D114" s="26">
        <f>IF(SUMIFS('NSE - NIFTY Index Options'!$M:$M,'NSE - NIFTY Index Options'!$C:$C,$A114,'NSE - NIFTY Index Options'!$B:$B,D$4,'NSE - NIFTY Index Options'!$I:$I,"Weekly*")+SUMIFS('NSE - NIFTY Index Options'!$M:$M,'NSE - NIFTY Index Options'!$C:$C,$A114,'NSE - NIFTY Index Options'!$B:$B,D$4,'NSE - NIFTY Index Options'!$I:$I,"MDAW*")+SUMIFS('NSE - Other Index Options'!$M:$M,'NSE - Other Index Options'!$C:$C,$A114,'NSE - Other Index Options'!$B:$B,D$4,'NSE - Other Index Options'!$I:$I,"Weekly*")+SUMIFS('NSE - Other Index Options'!$M:$M,'NSE - Other Index Options'!$C:$C,$A114,'NSE - Other Index Options'!$B:$B,D$4,'NSE - Other Index Options'!$I:$I,"MDAW*")+SUMIFS('BSE - SENSEX Index Options'!$M:$M,'BSE - SENSEX Index Options'!$C:$C,$A114,'BSE - SENSEX Index Options'!$B:$B,D$4,'BSE - SENSEX Index Options'!$I:$I,"Weekly*")+SUMIFS('BSE - SENSEX Index Options'!$M:$M,'BSE - SENSEX Index Options'!$C:$C,$A114,'BSE - SENSEX Index Options'!$B:$B,D$4,'BSE - SENSEX Index Options'!$I:$I,"MDAW*")+SUMIFS('BSE - Other Index Options'!$M:$M,'BSE - Other Index Options'!$C:$C,$A114,'BSE - Other Index Options'!$B:$B,D$4,'BSE - Other Index Options'!$I:$I,"Weekly*")+SUMIFS('BSE - Other Index Options'!$M:$M,'BSE - Other Index Options'!$C:$C,$A114,'BSE - Other Index Options'!$B:$B,D$4,'BSE - Other Index Options'!$I:$I,"MDAW*")=0,"",SUMIFS('NSE - NIFTY Index Options'!$M:$M,'NSE - NIFTY Index Options'!$C:$C,$A114,'NSE - NIFTY Index Options'!$B:$B,D$4,'NSE - NIFTY Index Options'!$I:$I,"Weekly*")+SUMIFS('NSE - NIFTY Index Options'!$M:$M,'NSE - NIFTY Index Options'!$C:$C,$A114,'NSE - NIFTY Index Options'!$B:$B,D$4,'NSE - NIFTY Index Options'!$I:$I,"MDAW*")+SUMIFS('NSE - Other Index Options'!$M:$M,'NSE - Other Index Options'!$C:$C,$A114,'NSE - Other Index Options'!$B:$B,D$4,'NSE - Other Index Options'!$I:$I,"Weekly*")+SUMIFS('NSE - Other Index Options'!$M:$M,'NSE - Other Index Options'!$C:$C,$A114,'NSE - Other Index Options'!$B:$B,D$4,'NSE - Other Index Options'!$I:$I,"MDAW*")+SUMIFS('BSE - SENSEX Index Options'!$M:$M,'BSE - SENSEX Index Options'!$C:$C,$A114,'BSE - SENSEX Index Options'!$B:$B,D$4,'BSE - SENSEX Index Options'!$I:$I,"Weekly*")+SUMIFS('BSE - SENSEX Index Options'!$M:$M,'BSE - SENSEX Index Options'!$C:$C,$A114,'BSE - SENSEX Index Options'!$B:$B,D$4,'BSE - SENSEX Index Options'!$I:$I,"MDAW*")+SUMIFS('BSE - Other Index Options'!$M:$M,'BSE - Other Index Options'!$C:$C,$A114,'BSE - Other Index Options'!$B:$B,D$4,'BSE - Other Index Options'!$I:$I,"Weekly*")+SUMIFS('BSE - Other Index Options'!$M:$M,'BSE - Other Index Options'!$C:$C,$A114,'BSE - Other Index Options'!$B:$B,D$4,'BSE - Other Index Options'!$I:$I,"MDAW*"))</f>
        <v/>
      </c>
      <c r="E114" s="26">
        <f>IF(SUMIFS('NSE - NIFTY Index Options'!$M:$M,'NSE - NIFTY Index Options'!$C:$C,$A114,'NSE - NIFTY Index Options'!$B:$B,E$4,'NSE - NIFTY Index Options'!$I:$I,"Weekly*")+SUMIFS('NSE - NIFTY Index Options'!$M:$M,'NSE - NIFTY Index Options'!$C:$C,$A114,'NSE - NIFTY Index Options'!$B:$B,E$4,'NSE - NIFTY Index Options'!$I:$I,"MDAW*")+SUMIFS('NSE - Other Index Options'!$M:$M,'NSE - Other Index Options'!$C:$C,$A114,'NSE - Other Index Options'!$B:$B,E$4,'NSE - Other Index Options'!$I:$I,"Weekly*")+SUMIFS('NSE - Other Index Options'!$M:$M,'NSE - Other Index Options'!$C:$C,$A114,'NSE - Other Index Options'!$B:$B,E$4,'NSE - Other Index Options'!$I:$I,"MDAW*")+SUMIFS('BSE - SENSEX Index Options'!$M:$M,'BSE - SENSEX Index Options'!$C:$C,$A114,'BSE - SENSEX Index Options'!$B:$B,E$4,'BSE - SENSEX Index Options'!$I:$I,"Weekly*")+SUMIFS('BSE - SENSEX Index Options'!$M:$M,'BSE - SENSEX Index Options'!$C:$C,$A114,'BSE - SENSEX Index Options'!$B:$B,E$4,'BSE - SENSEX Index Options'!$I:$I,"MDAW*")+SUMIFS('BSE - Other Index Options'!$M:$M,'BSE - Other Index Options'!$C:$C,$A114,'BSE - Other Index Options'!$B:$B,E$4,'BSE - Other Index Options'!$I:$I,"Weekly*")+SUMIFS('BSE - Other Index Options'!$M:$M,'BSE - Other Index Options'!$C:$C,$A114,'BSE - Other Index Options'!$B:$B,E$4,'BSE - Other Index Options'!$I:$I,"MDAW*")=0,"",SUMIFS('NSE - NIFTY Index Options'!$M:$M,'NSE - NIFTY Index Options'!$C:$C,$A114,'NSE - NIFTY Index Options'!$B:$B,E$4,'NSE - NIFTY Index Options'!$I:$I,"Weekly*")+SUMIFS('NSE - NIFTY Index Options'!$M:$M,'NSE - NIFTY Index Options'!$C:$C,$A114,'NSE - NIFTY Index Options'!$B:$B,E$4,'NSE - NIFTY Index Options'!$I:$I,"MDAW*")+SUMIFS('NSE - Other Index Options'!$M:$M,'NSE - Other Index Options'!$C:$C,$A114,'NSE - Other Index Options'!$B:$B,E$4,'NSE - Other Index Options'!$I:$I,"Weekly*")+SUMIFS('NSE - Other Index Options'!$M:$M,'NSE - Other Index Options'!$C:$C,$A114,'NSE - Other Index Options'!$B:$B,E$4,'NSE - Other Index Options'!$I:$I,"MDAW*")+SUMIFS('BSE - SENSEX Index Options'!$M:$M,'BSE - SENSEX Index Options'!$C:$C,$A114,'BSE - SENSEX Index Options'!$B:$B,E$4,'BSE - SENSEX Index Options'!$I:$I,"Weekly*")+SUMIFS('BSE - SENSEX Index Options'!$M:$M,'BSE - SENSEX Index Options'!$C:$C,$A114,'BSE - SENSEX Index Options'!$B:$B,E$4,'BSE - SENSEX Index Options'!$I:$I,"MDAW*")+SUMIFS('BSE - Other Index Options'!$M:$M,'BSE - Other Index Options'!$C:$C,$A114,'BSE - Other Index Options'!$B:$B,E$4,'BSE - Other Index Options'!$I:$I,"Weekly*")+SUMIFS('BSE - Other Index Options'!$M:$M,'BSE - Other Index Options'!$C:$C,$A114,'BSE - Other Index Options'!$B:$B,E$4,'BSE - Other Index Options'!$I:$I,"MDAW*"))</f>
        <v/>
      </c>
      <c r="F114" s="26">
        <f>IF(SUMIFS('NSE - NIFTY Index Options'!$M:$M,'NSE - NIFTY Index Options'!$C:$C,$A114,'NSE - NIFTY Index Options'!$B:$B,F$4,'NSE - NIFTY Index Options'!$I:$I,"Weekly*")+SUMIFS('NSE - NIFTY Index Options'!$M:$M,'NSE - NIFTY Index Options'!$C:$C,$A114,'NSE - NIFTY Index Options'!$B:$B,F$4,'NSE - NIFTY Index Options'!$I:$I,"MDAW*")+SUMIFS('NSE - Other Index Options'!$M:$M,'NSE - Other Index Options'!$C:$C,$A114,'NSE - Other Index Options'!$B:$B,F$4,'NSE - Other Index Options'!$I:$I,"Weekly*")+SUMIFS('NSE - Other Index Options'!$M:$M,'NSE - Other Index Options'!$C:$C,$A114,'NSE - Other Index Options'!$B:$B,F$4,'NSE - Other Index Options'!$I:$I,"MDAW*")+SUMIFS('BSE - SENSEX Index Options'!$M:$M,'BSE - SENSEX Index Options'!$C:$C,$A114,'BSE - SENSEX Index Options'!$B:$B,F$4,'BSE - SENSEX Index Options'!$I:$I,"Weekly*")+SUMIFS('BSE - SENSEX Index Options'!$M:$M,'BSE - SENSEX Index Options'!$C:$C,$A114,'BSE - SENSEX Index Options'!$B:$B,F$4,'BSE - SENSEX Index Options'!$I:$I,"MDAW*")+SUMIFS('BSE - Other Index Options'!$M:$M,'BSE - Other Index Options'!$C:$C,$A114,'BSE - Other Index Options'!$B:$B,F$4,'BSE - Other Index Options'!$I:$I,"Weekly*")+SUMIFS('BSE - Other Index Options'!$M:$M,'BSE - Other Index Options'!$C:$C,$A114,'BSE - Other Index Options'!$B:$B,F$4,'BSE - Other Index Options'!$I:$I,"MDAW*")=0,"",SUMIFS('NSE - NIFTY Index Options'!$M:$M,'NSE - NIFTY Index Options'!$C:$C,$A114,'NSE - NIFTY Index Options'!$B:$B,F$4,'NSE - NIFTY Index Options'!$I:$I,"Weekly*")+SUMIFS('NSE - NIFTY Index Options'!$M:$M,'NSE - NIFTY Index Options'!$C:$C,$A114,'NSE - NIFTY Index Options'!$B:$B,F$4,'NSE - NIFTY Index Options'!$I:$I,"MDAW*")+SUMIFS('NSE - Other Index Options'!$M:$M,'NSE - Other Index Options'!$C:$C,$A114,'NSE - Other Index Options'!$B:$B,F$4,'NSE - Other Index Options'!$I:$I,"Weekly*")+SUMIFS('NSE - Other Index Options'!$M:$M,'NSE - Other Index Options'!$C:$C,$A114,'NSE - Other Index Options'!$B:$B,F$4,'NSE - Other Index Options'!$I:$I,"MDAW*")+SUMIFS('BSE - SENSEX Index Options'!$M:$M,'BSE - SENSEX Index Options'!$C:$C,$A114,'BSE - SENSEX Index Options'!$B:$B,F$4,'BSE - SENSEX Index Options'!$I:$I,"Weekly*")+SUMIFS('BSE - SENSEX Index Options'!$M:$M,'BSE - SENSEX Index Options'!$C:$C,$A114,'BSE - SENSEX Index Options'!$B:$B,F$4,'BSE - SENSEX Index Options'!$I:$I,"MDAW*")+SUMIFS('BSE - Other Index Options'!$M:$M,'BSE - Other Index Options'!$C:$C,$A114,'BSE - Other Index Options'!$B:$B,F$4,'BSE - Other Index Options'!$I:$I,"Weekly*")+SUMIFS('BSE - Other Index Options'!$M:$M,'BSE - Other Index Options'!$C:$C,$A114,'BSE - Other Index Options'!$B:$B,F$4,'BSE - Other Index Options'!$I:$I,"MDAW*"))</f>
        <v/>
      </c>
      <c r="G114" s="26">
        <f>IF(SUMIFS('NSE - NIFTY Index Options'!$M:$M,'NSE - NIFTY Index Options'!$C:$C,$A114,'NSE - NIFTY Index Options'!$B:$B,G$4,'NSE - NIFTY Index Options'!$I:$I,"Weekly*")+SUMIFS('NSE - NIFTY Index Options'!$M:$M,'NSE - NIFTY Index Options'!$C:$C,$A114,'NSE - NIFTY Index Options'!$B:$B,G$4,'NSE - NIFTY Index Options'!$I:$I,"MDAW*")+SUMIFS('NSE - Other Index Options'!$M:$M,'NSE - Other Index Options'!$C:$C,$A114,'NSE - Other Index Options'!$B:$B,G$4,'NSE - Other Index Options'!$I:$I,"Weekly*")+SUMIFS('NSE - Other Index Options'!$M:$M,'NSE - Other Index Options'!$C:$C,$A114,'NSE - Other Index Options'!$B:$B,G$4,'NSE - Other Index Options'!$I:$I,"MDAW*")+SUMIFS('BSE - SENSEX Index Options'!$M:$M,'BSE - SENSEX Index Options'!$C:$C,$A114,'BSE - SENSEX Index Options'!$B:$B,G$4,'BSE - SENSEX Index Options'!$I:$I,"Weekly*")+SUMIFS('BSE - SENSEX Index Options'!$M:$M,'BSE - SENSEX Index Options'!$C:$C,$A114,'BSE - SENSEX Index Options'!$B:$B,G$4,'BSE - SENSEX Index Options'!$I:$I,"MDAW*")+SUMIFS('BSE - Other Index Options'!$M:$M,'BSE - Other Index Options'!$C:$C,$A114,'BSE - Other Index Options'!$B:$B,G$4,'BSE - Other Index Options'!$I:$I,"Weekly*")+SUMIFS('BSE - Other Index Options'!$M:$M,'BSE - Other Index Options'!$C:$C,$A114,'BSE - Other Index Options'!$B:$B,G$4,'BSE - Other Index Options'!$I:$I,"MDAW*")=0,"",SUMIFS('NSE - NIFTY Index Options'!$M:$M,'NSE - NIFTY Index Options'!$C:$C,$A114,'NSE - NIFTY Index Options'!$B:$B,G$4,'NSE - NIFTY Index Options'!$I:$I,"Weekly*")+SUMIFS('NSE - NIFTY Index Options'!$M:$M,'NSE - NIFTY Index Options'!$C:$C,$A114,'NSE - NIFTY Index Options'!$B:$B,G$4,'NSE - NIFTY Index Options'!$I:$I,"MDAW*")+SUMIFS('NSE - Other Index Options'!$M:$M,'NSE - Other Index Options'!$C:$C,$A114,'NSE - Other Index Options'!$B:$B,G$4,'NSE - Other Index Options'!$I:$I,"Weekly*")+SUMIFS('NSE - Other Index Options'!$M:$M,'NSE - Other Index Options'!$C:$C,$A114,'NSE - Other Index Options'!$B:$B,G$4,'NSE - Other Index Options'!$I:$I,"MDAW*")+SUMIFS('BSE - SENSEX Index Options'!$M:$M,'BSE - SENSEX Index Options'!$C:$C,$A114,'BSE - SENSEX Index Options'!$B:$B,G$4,'BSE - SENSEX Index Options'!$I:$I,"Weekly*")+SUMIFS('BSE - SENSEX Index Options'!$M:$M,'BSE - SENSEX Index Options'!$C:$C,$A114,'BSE - SENSEX Index Options'!$B:$B,G$4,'BSE - SENSEX Index Options'!$I:$I,"MDAW*")+SUMIFS('BSE - Other Index Options'!$M:$M,'BSE - Other Index Options'!$C:$C,$A114,'BSE - Other Index Options'!$B:$B,G$4,'BSE - Other Index Options'!$I:$I,"Weekly*")+SUMIFS('BSE - Other Index Options'!$M:$M,'BSE - Other Index Options'!$C:$C,$A114,'BSE - Other Index Options'!$B:$B,G$4,'BSE - Other Index Options'!$I:$I,"MDAW*"))</f>
        <v/>
      </c>
      <c r="H114" s="26">
        <f>IF(SUM(B114:G114)=0,"",SUM(B114:G114))</f>
        <v/>
      </c>
    </row>
    <row r="115" hidden="1" outlineLevel="1">
      <c r="A115" t="inlineStr">
        <is>
          <t>Week3-Jul-2027</t>
        </is>
      </c>
      <c r="B115" s="26">
        <f>IF(SUMIFS('NSE - NIFTY Index Options'!$M:$M,'NSE - NIFTY Index Options'!$C:$C,$A115,'NSE - NIFTY Index Options'!$B:$B,B$4,'NSE - NIFTY Index Options'!$I:$I,"Weekly*")+SUMIFS('NSE - NIFTY Index Options'!$M:$M,'NSE - NIFTY Index Options'!$C:$C,$A115,'NSE - NIFTY Index Options'!$B:$B,B$4,'NSE - NIFTY Index Options'!$I:$I,"MDAW*")+SUMIFS('NSE - Other Index Options'!$M:$M,'NSE - Other Index Options'!$C:$C,$A115,'NSE - Other Index Options'!$B:$B,B$4,'NSE - Other Index Options'!$I:$I,"Weekly*")+SUMIFS('NSE - Other Index Options'!$M:$M,'NSE - Other Index Options'!$C:$C,$A115,'NSE - Other Index Options'!$B:$B,B$4,'NSE - Other Index Options'!$I:$I,"MDAW*")+SUMIFS('BSE - SENSEX Index Options'!$M:$M,'BSE - SENSEX Index Options'!$C:$C,$A115,'BSE - SENSEX Index Options'!$B:$B,B$4,'BSE - SENSEX Index Options'!$I:$I,"Weekly*")+SUMIFS('BSE - SENSEX Index Options'!$M:$M,'BSE - SENSEX Index Options'!$C:$C,$A115,'BSE - SENSEX Index Options'!$B:$B,B$4,'BSE - SENSEX Index Options'!$I:$I,"MDAW*")+SUMIFS('BSE - Other Index Options'!$M:$M,'BSE - Other Index Options'!$C:$C,$A115,'BSE - Other Index Options'!$B:$B,B$4,'BSE - Other Index Options'!$I:$I,"Weekly*")+SUMIFS('BSE - Other Index Options'!$M:$M,'BSE - Other Index Options'!$C:$C,$A115,'BSE - Other Index Options'!$B:$B,B$4,'BSE - Other Index Options'!$I:$I,"MDAW*")=0,"",SUMIFS('NSE - NIFTY Index Options'!$M:$M,'NSE - NIFTY Index Options'!$C:$C,$A115,'NSE - NIFTY Index Options'!$B:$B,B$4,'NSE - NIFTY Index Options'!$I:$I,"Weekly*")+SUMIFS('NSE - NIFTY Index Options'!$M:$M,'NSE - NIFTY Index Options'!$C:$C,$A115,'NSE - NIFTY Index Options'!$B:$B,B$4,'NSE - NIFTY Index Options'!$I:$I,"MDAW*")+SUMIFS('NSE - Other Index Options'!$M:$M,'NSE - Other Index Options'!$C:$C,$A115,'NSE - Other Index Options'!$B:$B,B$4,'NSE - Other Index Options'!$I:$I,"Weekly*")+SUMIFS('NSE - Other Index Options'!$M:$M,'NSE - Other Index Options'!$C:$C,$A115,'NSE - Other Index Options'!$B:$B,B$4,'NSE - Other Index Options'!$I:$I,"MDAW*")+SUMIFS('BSE - SENSEX Index Options'!$M:$M,'BSE - SENSEX Index Options'!$C:$C,$A115,'BSE - SENSEX Index Options'!$B:$B,B$4,'BSE - SENSEX Index Options'!$I:$I,"Weekly*")+SUMIFS('BSE - SENSEX Index Options'!$M:$M,'BSE - SENSEX Index Options'!$C:$C,$A115,'BSE - SENSEX Index Options'!$B:$B,B$4,'BSE - SENSEX Index Options'!$I:$I,"MDAW*")+SUMIFS('BSE - Other Index Options'!$M:$M,'BSE - Other Index Options'!$C:$C,$A115,'BSE - Other Index Options'!$B:$B,B$4,'BSE - Other Index Options'!$I:$I,"Weekly*")+SUMIFS('BSE - Other Index Options'!$M:$M,'BSE - Other Index Options'!$C:$C,$A115,'BSE - Other Index Options'!$B:$B,B$4,'BSE - Other Index Options'!$I:$I,"MDAW*"))</f>
        <v/>
      </c>
      <c r="C115" s="26">
        <f>IF(SUMIFS('NSE - NIFTY Index Options'!$M:$M,'NSE - NIFTY Index Options'!$C:$C,$A115,'NSE - NIFTY Index Options'!$B:$B,C$4,'NSE - NIFTY Index Options'!$I:$I,"Weekly*")+SUMIFS('NSE - NIFTY Index Options'!$M:$M,'NSE - NIFTY Index Options'!$C:$C,$A115,'NSE - NIFTY Index Options'!$B:$B,C$4,'NSE - NIFTY Index Options'!$I:$I,"MDAW*")+SUMIFS('NSE - Other Index Options'!$M:$M,'NSE - Other Index Options'!$C:$C,$A115,'NSE - Other Index Options'!$B:$B,C$4,'NSE - Other Index Options'!$I:$I,"Weekly*")+SUMIFS('NSE - Other Index Options'!$M:$M,'NSE - Other Index Options'!$C:$C,$A115,'NSE - Other Index Options'!$B:$B,C$4,'NSE - Other Index Options'!$I:$I,"MDAW*")+SUMIFS('BSE - SENSEX Index Options'!$M:$M,'BSE - SENSEX Index Options'!$C:$C,$A115,'BSE - SENSEX Index Options'!$B:$B,C$4,'BSE - SENSEX Index Options'!$I:$I,"Weekly*")+SUMIFS('BSE - SENSEX Index Options'!$M:$M,'BSE - SENSEX Index Options'!$C:$C,$A115,'BSE - SENSEX Index Options'!$B:$B,C$4,'BSE - SENSEX Index Options'!$I:$I,"MDAW*")+SUMIFS('BSE - Other Index Options'!$M:$M,'BSE - Other Index Options'!$C:$C,$A115,'BSE - Other Index Options'!$B:$B,C$4,'BSE - Other Index Options'!$I:$I,"Weekly*")+SUMIFS('BSE - Other Index Options'!$M:$M,'BSE - Other Index Options'!$C:$C,$A115,'BSE - Other Index Options'!$B:$B,C$4,'BSE - Other Index Options'!$I:$I,"MDAW*")=0,"",SUMIFS('NSE - NIFTY Index Options'!$M:$M,'NSE - NIFTY Index Options'!$C:$C,$A115,'NSE - NIFTY Index Options'!$B:$B,C$4,'NSE - NIFTY Index Options'!$I:$I,"Weekly*")+SUMIFS('NSE - NIFTY Index Options'!$M:$M,'NSE - NIFTY Index Options'!$C:$C,$A115,'NSE - NIFTY Index Options'!$B:$B,C$4,'NSE - NIFTY Index Options'!$I:$I,"MDAW*")+SUMIFS('NSE - Other Index Options'!$M:$M,'NSE - Other Index Options'!$C:$C,$A115,'NSE - Other Index Options'!$B:$B,C$4,'NSE - Other Index Options'!$I:$I,"Weekly*")+SUMIFS('NSE - Other Index Options'!$M:$M,'NSE - Other Index Options'!$C:$C,$A115,'NSE - Other Index Options'!$B:$B,C$4,'NSE - Other Index Options'!$I:$I,"MDAW*")+SUMIFS('BSE - SENSEX Index Options'!$M:$M,'BSE - SENSEX Index Options'!$C:$C,$A115,'BSE - SENSEX Index Options'!$B:$B,C$4,'BSE - SENSEX Index Options'!$I:$I,"Weekly*")+SUMIFS('BSE - SENSEX Index Options'!$M:$M,'BSE - SENSEX Index Options'!$C:$C,$A115,'BSE - SENSEX Index Options'!$B:$B,C$4,'BSE - SENSEX Index Options'!$I:$I,"MDAW*")+SUMIFS('BSE - Other Index Options'!$M:$M,'BSE - Other Index Options'!$C:$C,$A115,'BSE - Other Index Options'!$B:$B,C$4,'BSE - Other Index Options'!$I:$I,"Weekly*")+SUMIFS('BSE - Other Index Options'!$M:$M,'BSE - Other Index Options'!$C:$C,$A115,'BSE - Other Index Options'!$B:$B,C$4,'BSE - Other Index Options'!$I:$I,"MDAW*"))</f>
        <v/>
      </c>
      <c r="D115" s="26">
        <f>IF(SUMIFS('NSE - NIFTY Index Options'!$M:$M,'NSE - NIFTY Index Options'!$C:$C,$A115,'NSE - NIFTY Index Options'!$B:$B,D$4,'NSE - NIFTY Index Options'!$I:$I,"Weekly*")+SUMIFS('NSE - NIFTY Index Options'!$M:$M,'NSE - NIFTY Index Options'!$C:$C,$A115,'NSE - NIFTY Index Options'!$B:$B,D$4,'NSE - NIFTY Index Options'!$I:$I,"MDAW*")+SUMIFS('NSE - Other Index Options'!$M:$M,'NSE - Other Index Options'!$C:$C,$A115,'NSE - Other Index Options'!$B:$B,D$4,'NSE - Other Index Options'!$I:$I,"Weekly*")+SUMIFS('NSE - Other Index Options'!$M:$M,'NSE - Other Index Options'!$C:$C,$A115,'NSE - Other Index Options'!$B:$B,D$4,'NSE - Other Index Options'!$I:$I,"MDAW*")+SUMIFS('BSE - SENSEX Index Options'!$M:$M,'BSE - SENSEX Index Options'!$C:$C,$A115,'BSE - SENSEX Index Options'!$B:$B,D$4,'BSE - SENSEX Index Options'!$I:$I,"Weekly*")+SUMIFS('BSE - SENSEX Index Options'!$M:$M,'BSE - SENSEX Index Options'!$C:$C,$A115,'BSE - SENSEX Index Options'!$B:$B,D$4,'BSE - SENSEX Index Options'!$I:$I,"MDAW*")+SUMIFS('BSE - Other Index Options'!$M:$M,'BSE - Other Index Options'!$C:$C,$A115,'BSE - Other Index Options'!$B:$B,D$4,'BSE - Other Index Options'!$I:$I,"Weekly*")+SUMIFS('BSE - Other Index Options'!$M:$M,'BSE - Other Index Options'!$C:$C,$A115,'BSE - Other Index Options'!$B:$B,D$4,'BSE - Other Index Options'!$I:$I,"MDAW*")=0,"",SUMIFS('NSE - NIFTY Index Options'!$M:$M,'NSE - NIFTY Index Options'!$C:$C,$A115,'NSE - NIFTY Index Options'!$B:$B,D$4,'NSE - NIFTY Index Options'!$I:$I,"Weekly*")+SUMIFS('NSE - NIFTY Index Options'!$M:$M,'NSE - NIFTY Index Options'!$C:$C,$A115,'NSE - NIFTY Index Options'!$B:$B,D$4,'NSE - NIFTY Index Options'!$I:$I,"MDAW*")+SUMIFS('NSE - Other Index Options'!$M:$M,'NSE - Other Index Options'!$C:$C,$A115,'NSE - Other Index Options'!$B:$B,D$4,'NSE - Other Index Options'!$I:$I,"Weekly*")+SUMIFS('NSE - Other Index Options'!$M:$M,'NSE - Other Index Options'!$C:$C,$A115,'NSE - Other Index Options'!$B:$B,D$4,'NSE - Other Index Options'!$I:$I,"MDAW*")+SUMIFS('BSE - SENSEX Index Options'!$M:$M,'BSE - SENSEX Index Options'!$C:$C,$A115,'BSE - SENSEX Index Options'!$B:$B,D$4,'BSE - SENSEX Index Options'!$I:$I,"Weekly*")+SUMIFS('BSE - SENSEX Index Options'!$M:$M,'BSE - SENSEX Index Options'!$C:$C,$A115,'BSE - SENSEX Index Options'!$B:$B,D$4,'BSE - SENSEX Index Options'!$I:$I,"MDAW*")+SUMIFS('BSE - Other Index Options'!$M:$M,'BSE - Other Index Options'!$C:$C,$A115,'BSE - Other Index Options'!$B:$B,D$4,'BSE - Other Index Options'!$I:$I,"Weekly*")+SUMIFS('BSE - Other Index Options'!$M:$M,'BSE - Other Index Options'!$C:$C,$A115,'BSE - Other Index Options'!$B:$B,D$4,'BSE - Other Index Options'!$I:$I,"MDAW*"))</f>
        <v/>
      </c>
      <c r="E115" s="26">
        <f>IF(SUMIFS('NSE - NIFTY Index Options'!$M:$M,'NSE - NIFTY Index Options'!$C:$C,$A115,'NSE - NIFTY Index Options'!$B:$B,E$4,'NSE - NIFTY Index Options'!$I:$I,"Weekly*")+SUMIFS('NSE - NIFTY Index Options'!$M:$M,'NSE - NIFTY Index Options'!$C:$C,$A115,'NSE - NIFTY Index Options'!$B:$B,E$4,'NSE - NIFTY Index Options'!$I:$I,"MDAW*")+SUMIFS('NSE - Other Index Options'!$M:$M,'NSE - Other Index Options'!$C:$C,$A115,'NSE - Other Index Options'!$B:$B,E$4,'NSE - Other Index Options'!$I:$I,"Weekly*")+SUMIFS('NSE - Other Index Options'!$M:$M,'NSE - Other Index Options'!$C:$C,$A115,'NSE - Other Index Options'!$B:$B,E$4,'NSE - Other Index Options'!$I:$I,"MDAW*")+SUMIFS('BSE - SENSEX Index Options'!$M:$M,'BSE - SENSEX Index Options'!$C:$C,$A115,'BSE - SENSEX Index Options'!$B:$B,E$4,'BSE - SENSEX Index Options'!$I:$I,"Weekly*")+SUMIFS('BSE - SENSEX Index Options'!$M:$M,'BSE - SENSEX Index Options'!$C:$C,$A115,'BSE - SENSEX Index Options'!$B:$B,E$4,'BSE - SENSEX Index Options'!$I:$I,"MDAW*")+SUMIFS('BSE - Other Index Options'!$M:$M,'BSE - Other Index Options'!$C:$C,$A115,'BSE - Other Index Options'!$B:$B,E$4,'BSE - Other Index Options'!$I:$I,"Weekly*")+SUMIFS('BSE - Other Index Options'!$M:$M,'BSE - Other Index Options'!$C:$C,$A115,'BSE - Other Index Options'!$B:$B,E$4,'BSE - Other Index Options'!$I:$I,"MDAW*")=0,"",SUMIFS('NSE - NIFTY Index Options'!$M:$M,'NSE - NIFTY Index Options'!$C:$C,$A115,'NSE - NIFTY Index Options'!$B:$B,E$4,'NSE - NIFTY Index Options'!$I:$I,"Weekly*")+SUMIFS('NSE - NIFTY Index Options'!$M:$M,'NSE - NIFTY Index Options'!$C:$C,$A115,'NSE - NIFTY Index Options'!$B:$B,E$4,'NSE - NIFTY Index Options'!$I:$I,"MDAW*")+SUMIFS('NSE - Other Index Options'!$M:$M,'NSE - Other Index Options'!$C:$C,$A115,'NSE - Other Index Options'!$B:$B,E$4,'NSE - Other Index Options'!$I:$I,"Weekly*")+SUMIFS('NSE - Other Index Options'!$M:$M,'NSE - Other Index Options'!$C:$C,$A115,'NSE - Other Index Options'!$B:$B,E$4,'NSE - Other Index Options'!$I:$I,"MDAW*")+SUMIFS('BSE - SENSEX Index Options'!$M:$M,'BSE - SENSEX Index Options'!$C:$C,$A115,'BSE - SENSEX Index Options'!$B:$B,E$4,'BSE - SENSEX Index Options'!$I:$I,"Weekly*")+SUMIFS('BSE - SENSEX Index Options'!$M:$M,'BSE - SENSEX Index Options'!$C:$C,$A115,'BSE - SENSEX Index Options'!$B:$B,E$4,'BSE - SENSEX Index Options'!$I:$I,"MDAW*")+SUMIFS('BSE - Other Index Options'!$M:$M,'BSE - Other Index Options'!$C:$C,$A115,'BSE - Other Index Options'!$B:$B,E$4,'BSE - Other Index Options'!$I:$I,"Weekly*")+SUMIFS('BSE - Other Index Options'!$M:$M,'BSE - Other Index Options'!$C:$C,$A115,'BSE - Other Index Options'!$B:$B,E$4,'BSE - Other Index Options'!$I:$I,"MDAW*"))</f>
        <v/>
      </c>
      <c r="F115" s="26">
        <f>IF(SUMIFS('NSE - NIFTY Index Options'!$M:$M,'NSE - NIFTY Index Options'!$C:$C,$A115,'NSE - NIFTY Index Options'!$B:$B,F$4,'NSE - NIFTY Index Options'!$I:$I,"Weekly*")+SUMIFS('NSE - NIFTY Index Options'!$M:$M,'NSE - NIFTY Index Options'!$C:$C,$A115,'NSE - NIFTY Index Options'!$B:$B,F$4,'NSE - NIFTY Index Options'!$I:$I,"MDAW*")+SUMIFS('NSE - Other Index Options'!$M:$M,'NSE - Other Index Options'!$C:$C,$A115,'NSE - Other Index Options'!$B:$B,F$4,'NSE - Other Index Options'!$I:$I,"Weekly*")+SUMIFS('NSE - Other Index Options'!$M:$M,'NSE - Other Index Options'!$C:$C,$A115,'NSE - Other Index Options'!$B:$B,F$4,'NSE - Other Index Options'!$I:$I,"MDAW*")+SUMIFS('BSE - SENSEX Index Options'!$M:$M,'BSE - SENSEX Index Options'!$C:$C,$A115,'BSE - SENSEX Index Options'!$B:$B,F$4,'BSE - SENSEX Index Options'!$I:$I,"Weekly*")+SUMIFS('BSE - SENSEX Index Options'!$M:$M,'BSE - SENSEX Index Options'!$C:$C,$A115,'BSE - SENSEX Index Options'!$B:$B,F$4,'BSE - SENSEX Index Options'!$I:$I,"MDAW*")+SUMIFS('BSE - Other Index Options'!$M:$M,'BSE - Other Index Options'!$C:$C,$A115,'BSE - Other Index Options'!$B:$B,F$4,'BSE - Other Index Options'!$I:$I,"Weekly*")+SUMIFS('BSE - Other Index Options'!$M:$M,'BSE - Other Index Options'!$C:$C,$A115,'BSE - Other Index Options'!$B:$B,F$4,'BSE - Other Index Options'!$I:$I,"MDAW*")=0,"",SUMIFS('NSE - NIFTY Index Options'!$M:$M,'NSE - NIFTY Index Options'!$C:$C,$A115,'NSE - NIFTY Index Options'!$B:$B,F$4,'NSE - NIFTY Index Options'!$I:$I,"Weekly*")+SUMIFS('NSE - NIFTY Index Options'!$M:$M,'NSE - NIFTY Index Options'!$C:$C,$A115,'NSE - NIFTY Index Options'!$B:$B,F$4,'NSE - NIFTY Index Options'!$I:$I,"MDAW*")+SUMIFS('NSE - Other Index Options'!$M:$M,'NSE - Other Index Options'!$C:$C,$A115,'NSE - Other Index Options'!$B:$B,F$4,'NSE - Other Index Options'!$I:$I,"Weekly*")+SUMIFS('NSE - Other Index Options'!$M:$M,'NSE - Other Index Options'!$C:$C,$A115,'NSE - Other Index Options'!$B:$B,F$4,'NSE - Other Index Options'!$I:$I,"MDAW*")+SUMIFS('BSE - SENSEX Index Options'!$M:$M,'BSE - SENSEX Index Options'!$C:$C,$A115,'BSE - SENSEX Index Options'!$B:$B,F$4,'BSE - SENSEX Index Options'!$I:$I,"Weekly*")+SUMIFS('BSE - SENSEX Index Options'!$M:$M,'BSE - SENSEX Index Options'!$C:$C,$A115,'BSE - SENSEX Index Options'!$B:$B,F$4,'BSE - SENSEX Index Options'!$I:$I,"MDAW*")+SUMIFS('BSE - Other Index Options'!$M:$M,'BSE - Other Index Options'!$C:$C,$A115,'BSE - Other Index Options'!$B:$B,F$4,'BSE - Other Index Options'!$I:$I,"Weekly*")+SUMIFS('BSE - Other Index Options'!$M:$M,'BSE - Other Index Options'!$C:$C,$A115,'BSE - Other Index Options'!$B:$B,F$4,'BSE - Other Index Options'!$I:$I,"MDAW*"))</f>
        <v/>
      </c>
      <c r="G115" s="26">
        <f>IF(SUMIFS('NSE - NIFTY Index Options'!$M:$M,'NSE - NIFTY Index Options'!$C:$C,$A115,'NSE - NIFTY Index Options'!$B:$B,G$4,'NSE - NIFTY Index Options'!$I:$I,"Weekly*")+SUMIFS('NSE - NIFTY Index Options'!$M:$M,'NSE - NIFTY Index Options'!$C:$C,$A115,'NSE - NIFTY Index Options'!$B:$B,G$4,'NSE - NIFTY Index Options'!$I:$I,"MDAW*")+SUMIFS('NSE - Other Index Options'!$M:$M,'NSE - Other Index Options'!$C:$C,$A115,'NSE - Other Index Options'!$B:$B,G$4,'NSE - Other Index Options'!$I:$I,"Weekly*")+SUMIFS('NSE - Other Index Options'!$M:$M,'NSE - Other Index Options'!$C:$C,$A115,'NSE - Other Index Options'!$B:$B,G$4,'NSE - Other Index Options'!$I:$I,"MDAW*")+SUMIFS('BSE - SENSEX Index Options'!$M:$M,'BSE - SENSEX Index Options'!$C:$C,$A115,'BSE - SENSEX Index Options'!$B:$B,G$4,'BSE - SENSEX Index Options'!$I:$I,"Weekly*")+SUMIFS('BSE - SENSEX Index Options'!$M:$M,'BSE - SENSEX Index Options'!$C:$C,$A115,'BSE - SENSEX Index Options'!$B:$B,G$4,'BSE - SENSEX Index Options'!$I:$I,"MDAW*")+SUMIFS('BSE - Other Index Options'!$M:$M,'BSE - Other Index Options'!$C:$C,$A115,'BSE - Other Index Options'!$B:$B,G$4,'BSE - Other Index Options'!$I:$I,"Weekly*")+SUMIFS('BSE - Other Index Options'!$M:$M,'BSE - Other Index Options'!$C:$C,$A115,'BSE - Other Index Options'!$B:$B,G$4,'BSE - Other Index Options'!$I:$I,"MDAW*")=0,"",SUMIFS('NSE - NIFTY Index Options'!$M:$M,'NSE - NIFTY Index Options'!$C:$C,$A115,'NSE - NIFTY Index Options'!$B:$B,G$4,'NSE - NIFTY Index Options'!$I:$I,"Weekly*")+SUMIFS('NSE - NIFTY Index Options'!$M:$M,'NSE - NIFTY Index Options'!$C:$C,$A115,'NSE - NIFTY Index Options'!$B:$B,G$4,'NSE - NIFTY Index Options'!$I:$I,"MDAW*")+SUMIFS('NSE - Other Index Options'!$M:$M,'NSE - Other Index Options'!$C:$C,$A115,'NSE - Other Index Options'!$B:$B,G$4,'NSE - Other Index Options'!$I:$I,"Weekly*")+SUMIFS('NSE - Other Index Options'!$M:$M,'NSE - Other Index Options'!$C:$C,$A115,'NSE - Other Index Options'!$B:$B,G$4,'NSE - Other Index Options'!$I:$I,"MDAW*")+SUMIFS('BSE - SENSEX Index Options'!$M:$M,'BSE - SENSEX Index Options'!$C:$C,$A115,'BSE - SENSEX Index Options'!$B:$B,G$4,'BSE - SENSEX Index Options'!$I:$I,"Weekly*")+SUMIFS('BSE - SENSEX Index Options'!$M:$M,'BSE - SENSEX Index Options'!$C:$C,$A115,'BSE - SENSEX Index Options'!$B:$B,G$4,'BSE - SENSEX Index Options'!$I:$I,"MDAW*")+SUMIFS('BSE - Other Index Options'!$M:$M,'BSE - Other Index Options'!$C:$C,$A115,'BSE - Other Index Options'!$B:$B,G$4,'BSE - Other Index Options'!$I:$I,"Weekly*")+SUMIFS('BSE - Other Index Options'!$M:$M,'BSE - Other Index Options'!$C:$C,$A115,'BSE - Other Index Options'!$B:$B,G$4,'BSE - Other Index Options'!$I:$I,"MDAW*"))</f>
        <v/>
      </c>
      <c r="H115" s="26">
        <f>IF(SUM(B115:G115)=0,"",SUM(B115:G115))</f>
        <v/>
      </c>
    </row>
    <row r="116" hidden="1" outlineLevel="1">
      <c r="A116" t="inlineStr">
        <is>
          <t>Week4-Jul-2027</t>
        </is>
      </c>
      <c r="B116" s="26">
        <f>IF(SUMIFS('NSE - NIFTY Index Options'!$M:$M,'NSE - NIFTY Index Options'!$C:$C,$A116,'NSE - NIFTY Index Options'!$B:$B,B$4,'NSE - NIFTY Index Options'!$I:$I,"Weekly*")+SUMIFS('NSE - NIFTY Index Options'!$M:$M,'NSE - NIFTY Index Options'!$C:$C,$A116,'NSE - NIFTY Index Options'!$B:$B,B$4,'NSE - NIFTY Index Options'!$I:$I,"MDAW*")+SUMIFS('NSE - Other Index Options'!$M:$M,'NSE - Other Index Options'!$C:$C,$A116,'NSE - Other Index Options'!$B:$B,B$4,'NSE - Other Index Options'!$I:$I,"Weekly*")+SUMIFS('NSE - Other Index Options'!$M:$M,'NSE - Other Index Options'!$C:$C,$A116,'NSE - Other Index Options'!$B:$B,B$4,'NSE - Other Index Options'!$I:$I,"MDAW*")+SUMIFS('BSE - SENSEX Index Options'!$M:$M,'BSE - SENSEX Index Options'!$C:$C,$A116,'BSE - SENSEX Index Options'!$B:$B,B$4,'BSE - SENSEX Index Options'!$I:$I,"Weekly*")+SUMIFS('BSE - SENSEX Index Options'!$M:$M,'BSE - SENSEX Index Options'!$C:$C,$A116,'BSE - SENSEX Index Options'!$B:$B,B$4,'BSE - SENSEX Index Options'!$I:$I,"MDAW*")+SUMIFS('BSE - Other Index Options'!$M:$M,'BSE - Other Index Options'!$C:$C,$A116,'BSE - Other Index Options'!$B:$B,B$4,'BSE - Other Index Options'!$I:$I,"Weekly*")+SUMIFS('BSE - Other Index Options'!$M:$M,'BSE - Other Index Options'!$C:$C,$A116,'BSE - Other Index Options'!$B:$B,B$4,'BSE - Other Index Options'!$I:$I,"MDAW*")=0,"",SUMIFS('NSE - NIFTY Index Options'!$M:$M,'NSE - NIFTY Index Options'!$C:$C,$A116,'NSE - NIFTY Index Options'!$B:$B,B$4,'NSE - NIFTY Index Options'!$I:$I,"Weekly*")+SUMIFS('NSE - NIFTY Index Options'!$M:$M,'NSE - NIFTY Index Options'!$C:$C,$A116,'NSE - NIFTY Index Options'!$B:$B,B$4,'NSE - NIFTY Index Options'!$I:$I,"MDAW*")+SUMIFS('NSE - Other Index Options'!$M:$M,'NSE - Other Index Options'!$C:$C,$A116,'NSE - Other Index Options'!$B:$B,B$4,'NSE - Other Index Options'!$I:$I,"Weekly*")+SUMIFS('NSE - Other Index Options'!$M:$M,'NSE - Other Index Options'!$C:$C,$A116,'NSE - Other Index Options'!$B:$B,B$4,'NSE - Other Index Options'!$I:$I,"MDAW*")+SUMIFS('BSE - SENSEX Index Options'!$M:$M,'BSE - SENSEX Index Options'!$C:$C,$A116,'BSE - SENSEX Index Options'!$B:$B,B$4,'BSE - SENSEX Index Options'!$I:$I,"Weekly*")+SUMIFS('BSE - SENSEX Index Options'!$M:$M,'BSE - SENSEX Index Options'!$C:$C,$A116,'BSE - SENSEX Index Options'!$B:$B,B$4,'BSE - SENSEX Index Options'!$I:$I,"MDAW*")+SUMIFS('BSE - Other Index Options'!$M:$M,'BSE - Other Index Options'!$C:$C,$A116,'BSE - Other Index Options'!$B:$B,B$4,'BSE - Other Index Options'!$I:$I,"Weekly*")+SUMIFS('BSE - Other Index Options'!$M:$M,'BSE - Other Index Options'!$C:$C,$A116,'BSE - Other Index Options'!$B:$B,B$4,'BSE - Other Index Options'!$I:$I,"MDAW*"))</f>
        <v/>
      </c>
      <c r="C116" s="26">
        <f>IF(SUMIFS('NSE - NIFTY Index Options'!$M:$M,'NSE - NIFTY Index Options'!$C:$C,$A116,'NSE - NIFTY Index Options'!$B:$B,C$4,'NSE - NIFTY Index Options'!$I:$I,"Weekly*")+SUMIFS('NSE - NIFTY Index Options'!$M:$M,'NSE - NIFTY Index Options'!$C:$C,$A116,'NSE - NIFTY Index Options'!$B:$B,C$4,'NSE - NIFTY Index Options'!$I:$I,"MDAW*")+SUMIFS('NSE - Other Index Options'!$M:$M,'NSE - Other Index Options'!$C:$C,$A116,'NSE - Other Index Options'!$B:$B,C$4,'NSE - Other Index Options'!$I:$I,"Weekly*")+SUMIFS('NSE - Other Index Options'!$M:$M,'NSE - Other Index Options'!$C:$C,$A116,'NSE - Other Index Options'!$B:$B,C$4,'NSE - Other Index Options'!$I:$I,"MDAW*")+SUMIFS('BSE - SENSEX Index Options'!$M:$M,'BSE - SENSEX Index Options'!$C:$C,$A116,'BSE - SENSEX Index Options'!$B:$B,C$4,'BSE - SENSEX Index Options'!$I:$I,"Weekly*")+SUMIFS('BSE - SENSEX Index Options'!$M:$M,'BSE - SENSEX Index Options'!$C:$C,$A116,'BSE - SENSEX Index Options'!$B:$B,C$4,'BSE - SENSEX Index Options'!$I:$I,"MDAW*")+SUMIFS('BSE - Other Index Options'!$M:$M,'BSE - Other Index Options'!$C:$C,$A116,'BSE - Other Index Options'!$B:$B,C$4,'BSE - Other Index Options'!$I:$I,"Weekly*")+SUMIFS('BSE - Other Index Options'!$M:$M,'BSE - Other Index Options'!$C:$C,$A116,'BSE - Other Index Options'!$B:$B,C$4,'BSE - Other Index Options'!$I:$I,"MDAW*")=0,"",SUMIFS('NSE - NIFTY Index Options'!$M:$M,'NSE - NIFTY Index Options'!$C:$C,$A116,'NSE - NIFTY Index Options'!$B:$B,C$4,'NSE - NIFTY Index Options'!$I:$I,"Weekly*")+SUMIFS('NSE - NIFTY Index Options'!$M:$M,'NSE - NIFTY Index Options'!$C:$C,$A116,'NSE - NIFTY Index Options'!$B:$B,C$4,'NSE - NIFTY Index Options'!$I:$I,"MDAW*")+SUMIFS('NSE - Other Index Options'!$M:$M,'NSE - Other Index Options'!$C:$C,$A116,'NSE - Other Index Options'!$B:$B,C$4,'NSE - Other Index Options'!$I:$I,"Weekly*")+SUMIFS('NSE - Other Index Options'!$M:$M,'NSE - Other Index Options'!$C:$C,$A116,'NSE - Other Index Options'!$B:$B,C$4,'NSE - Other Index Options'!$I:$I,"MDAW*")+SUMIFS('BSE - SENSEX Index Options'!$M:$M,'BSE - SENSEX Index Options'!$C:$C,$A116,'BSE - SENSEX Index Options'!$B:$B,C$4,'BSE - SENSEX Index Options'!$I:$I,"Weekly*")+SUMIFS('BSE - SENSEX Index Options'!$M:$M,'BSE - SENSEX Index Options'!$C:$C,$A116,'BSE - SENSEX Index Options'!$B:$B,C$4,'BSE - SENSEX Index Options'!$I:$I,"MDAW*")+SUMIFS('BSE - Other Index Options'!$M:$M,'BSE - Other Index Options'!$C:$C,$A116,'BSE - Other Index Options'!$B:$B,C$4,'BSE - Other Index Options'!$I:$I,"Weekly*")+SUMIFS('BSE - Other Index Options'!$M:$M,'BSE - Other Index Options'!$C:$C,$A116,'BSE - Other Index Options'!$B:$B,C$4,'BSE - Other Index Options'!$I:$I,"MDAW*"))</f>
        <v/>
      </c>
      <c r="D116" s="26">
        <f>IF(SUMIFS('NSE - NIFTY Index Options'!$M:$M,'NSE - NIFTY Index Options'!$C:$C,$A116,'NSE - NIFTY Index Options'!$B:$B,D$4,'NSE - NIFTY Index Options'!$I:$I,"Weekly*")+SUMIFS('NSE - NIFTY Index Options'!$M:$M,'NSE - NIFTY Index Options'!$C:$C,$A116,'NSE - NIFTY Index Options'!$B:$B,D$4,'NSE - NIFTY Index Options'!$I:$I,"MDAW*")+SUMIFS('NSE - Other Index Options'!$M:$M,'NSE - Other Index Options'!$C:$C,$A116,'NSE - Other Index Options'!$B:$B,D$4,'NSE - Other Index Options'!$I:$I,"Weekly*")+SUMIFS('NSE - Other Index Options'!$M:$M,'NSE - Other Index Options'!$C:$C,$A116,'NSE - Other Index Options'!$B:$B,D$4,'NSE - Other Index Options'!$I:$I,"MDAW*")+SUMIFS('BSE - SENSEX Index Options'!$M:$M,'BSE - SENSEX Index Options'!$C:$C,$A116,'BSE - SENSEX Index Options'!$B:$B,D$4,'BSE - SENSEX Index Options'!$I:$I,"Weekly*")+SUMIFS('BSE - SENSEX Index Options'!$M:$M,'BSE - SENSEX Index Options'!$C:$C,$A116,'BSE - SENSEX Index Options'!$B:$B,D$4,'BSE - SENSEX Index Options'!$I:$I,"MDAW*")+SUMIFS('BSE - Other Index Options'!$M:$M,'BSE - Other Index Options'!$C:$C,$A116,'BSE - Other Index Options'!$B:$B,D$4,'BSE - Other Index Options'!$I:$I,"Weekly*")+SUMIFS('BSE - Other Index Options'!$M:$M,'BSE - Other Index Options'!$C:$C,$A116,'BSE - Other Index Options'!$B:$B,D$4,'BSE - Other Index Options'!$I:$I,"MDAW*")=0,"",SUMIFS('NSE - NIFTY Index Options'!$M:$M,'NSE - NIFTY Index Options'!$C:$C,$A116,'NSE - NIFTY Index Options'!$B:$B,D$4,'NSE - NIFTY Index Options'!$I:$I,"Weekly*")+SUMIFS('NSE - NIFTY Index Options'!$M:$M,'NSE - NIFTY Index Options'!$C:$C,$A116,'NSE - NIFTY Index Options'!$B:$B,D$4,'NSE - NIFTY Index Options'!$I:$I,"MDAW*")+SUMIFS('NSE - Other Index Options'!$M:$M,'NSE - Other Index Options'!$C:$C,$A116,'NSE - Other Index Options'!$B:$B,D$4,'NSE - Other Index Options'!$I:$I,"Weekly*")+SUMIFS('NSE - Other Index Options'!$M:$M,'NSE - Other Index Options'!$C:$C,$A116,'NSE - Other Index Options'!$B:$B,D$4,'NSE - Other Index Options'!$I:$I,"MDAW*")+SUMIFS('BSE - SENSEX Index Options'!$M:$M,'BSE - SENSEX Index Options'!$C:$C,$A116,'BSE - SENSEX Index Options'!$B:$B,D$4,'BSE - SENSEX Index Options'!$I:$I,"Weekly*")+SUMIFS('BSE - SENSEX Index Options'!$M:$M,'BSE - SENSEX Index Options'!$C:$C,$A116,'BSE - SENSEX Index Options'!$B:$B,D$4,'BSE - SENSEX Index Options'!$I:$I,"MDAW*")+SUMIFS('BSE - Other Index Options'!$M:$M,'BSE - Other Index Options'!$C:$C,$A116,'BSE - Other Index Options'!$B:$B,D$4,'BSE - Other Index Options'!$I:$I,"Weekly*")+SUMIFS('BSE - Other Index Options'!$M:$M,'BSE - Other Index Options'!$C:$C,$A116,'BSE - Other Index Options'!$B:$B,D$4,'BSE - Other Index Options'!$I:$I,"MDAW*"))</f>
        <v/>
      </c>
      <c r="E116" s="26">
        <f>IF(SUMIFS('NSE - NIFTY Index Options'!$M:$M,'NSE - NIFTY Index Options'!$C:$C,$A116,'NSE - NIFTY Index Options'!$B:$B,E$4,'NSE - NIFTY Index Options'!$I:$I,"Weekly*")+SUMIFS('NSE - NIFTY Index Options'!$M:$M,'NSE - NIFTY Index Options'!$C:$C,$A116,'NSE - NIFTY Index Options'!$B:$B,E$4,'NSE - NIFTY Index Options'!$I:$I,"MDAW*")+SUMIFS('NSE - Other Index Options'!$M:$M,'NSE - Other Index Options'!$C:$C,$A116,'NSE - Other Index Options'!$B:$B,E$4,'NSE - Other Index Options'!$I:$I,"Weekly*")+SUMIFS('NSE - Other Index Options'!$M:$M,'NSE - Other Index Options'!$C:$C,$A116,'NSE - Other Index Options'!$B:$B,E$4,'NSE - Other Index Options'!$I:$I,"MDAW*")+SUMIFS('BSE - SENSEX Index Options'!$M:$M,'BSE - SENSEX Index Options'!$C:$C,$A116,'BSE - SENSEX Index Options'!$B:$B,E$4,'BSE - SENSEX Index Options'!$I:$I,"Weekly*")+SUMIFS('BSE - SENSEX Index Options'!$M:$M,'BSE - SENSEX Index Options'!$C:$C,$A116,'BSE - SENSEX Index Options'!$B:$B,E$4,'BSE - SENSEX Index Options'!$I:$I,"MDAW*")+SUMIFS('BSE - Other Index Options'!$M:$M,'BSE - Other Index Options'!$C:$C,$A116,'BSE - Other Index Options'!$B:$B,E$4,'BSE - Other Index Options'!$I:$I,"Weekly*")+SUMIFS('BSE - Other Index Options'!$M:$M,'BSE - Other Index Options'!$C:$C,$A116,'BSE - Other Index Options'!$B:$B,E$4,'BSE - Other Index Options'!$I:$I,"MDAW*")=0,"",SUMIFS('NSE - NIFTY Index Options'!$M:$M,'NSE - NIFTY Index Options'!$C:$C,$A116,'NSE - NIFTY Index Options'!$B:$B,E$4,'NSE - NIFTY Index Options'!$I:$I,"Weekly*")+SUMIFS('NSE - NIFTY Index Options'!$M:$M,'NSE - NIFTY Index Options'!$C:$C,$A116,'NSE - NIFTY Index Options'!$B:$B,E$4,'NSE - NIFTY Index Options'!$I:$I,"MDAW*")+SUMIFS('NSE - Other Index Options'!$M:$M,'NSE - Other Index Options'!$C:$C,$A116,'NSE - Other Index Options'!$B:$B,E$4,'NSE - Other Index Options'!$I:$I,"Weekly*")+SUMIFS('NSE - Other Index Options'!$M:$M,'NSE - Other Index Options'!$C:$C,$A116,'NSE - Other Index Options'!$B:$B,E$4,'NSE - Other Index Options'!$I:$I,"MDAW*")+SUMIFS('BSE - SENSEX Index Options'!$M:$M,'BSE - SENSEX Index Options'!$C:$C,$A116,'BSE - SENSEX Index Options'!$B:$B,E$4,'BSE - SENSEX Index Options'!$I:$I,"Weekly*")+SUMIFS('BSE - SENSEX Index Options'!$M:$M,'BSE - SENSEX Index Options'!$C:$C,$A116,'BSE - SENSEX Index Options'!$B:$B,E$4,'BSE - SENSEX Index Options'!$I:$I,"MDAW*")+SUMIFS('BSE - Other Index Options'!$M:$M,'BSE - Other Index Options'!$C:$C,$A116,'BSE - Other Index Options'!$B:$B,E$4,'BSE - Other Index Options'!$I:$I,"Weekly*")+SUMIFS('BSE - Other Index Options'!$M:$M,'BSE - Other Index Options'!$C:$C,$A116,'BSE - Other Index Options'!$B:$B,E$4,'BSE - Other Index Options'!$I:$I,"MDAW*"))</f>
        <v/>
      </c>
      <c r="F116" s="26">
        <f>IF(SUMIFS('NSE - NIFTY Index Options'!$M:$M,'NSE - NIFTY Index Options'!$C:$C,$A116,'NSE - NIFTY Index Options'!$B:$B,F$4,'NSE - NIFTY Index Options'!$I:$I,"Weekly*")+SUMIFS('NSE - NIFTY Index Options'!$M:$M,'NSE - NIFTY Index Options'!$C:$C,$A116,'NSE - NIFTY Index Options'!$B:$B,F$4,'NSE - NIFTY Index Options'!$I:$I,"MDAW*")+SUMIFS('NSE - Other Index Options'!$M:$M,'NSE - Other Index Options'!$C:$C,$A116,'NSE - Other Index Options'!$B:$B,F$4,'NSE - Other Index Options'!$I:$I,"Weekly*")+SUMIFS('NSE - Other Index Options'!$M:$M,'NSE - Other Index Options'!$C:$C,$A116,'NSE - Other Index Options'!$B:$B,F$4,'NSE - Other Index Options'!$I:$I,"MDAW*")+SUMIFS('BSE - SENSEX Index Options'!$M:$M,'BSE - SENSEX Index Options'!$C:$C,$A116,'BSE - SENSEX Index Options'!$B:$B,F$4,'BSE - SENSEX Index Options'!$I:$I,"Weekly*")+SUMIFS('BSE - SENSEX Index Options'!$M:$M,'BSE - SENSEX Index Options'!$C:$C,$A116,'BSE - SENSEX Index Options'!$B:$B,F$4,'BSE - SENSEX Index Options'!$I:$I,"MDAW*")+SUMIFS('BSE - Other Index Options'!$M:$M,'BSE - Other Index Options'!$C:$C,$A116,'BSE - Other Index Options'!$B:$B,F$4,'BSE - Other Index Options'!$I:$I,"Weekly*")+SUMIFS('BSE - Other Index Options'!$M:$M,'BSE - Other Index Options'!$C:$C,$A116,'BSE - Other Index Options'!$B:$B,F$4,'BSE - Other Index Options'!$I:$I,"MDAW*")=0,"",SUMIFS('NSE - NIFTY Index Options'!$M:$M,'NSE - NIFTY Index Options'!$C:$C,$A116,'NSE - NIFTY Index Options'!$B:$B,F$4,'NSE - NIFTY Index Options'!$I:$I,"Weekly*")+SUMIFS('NSE - NIFTY Index Options'!$M:$M,'NSE - NIFTY Index Options'!$C:$C,$A116,'NSE - NIFTY Index Options'!$B:$B,F$4,'NSE - NIFTY Index Options'!$I:$I,"MDAW*")+SUMIFS('NSE - Other Index Options'!$M:$M,'NSE - Other Index Options'!$C:$C,$A116,'NSE - Other Index Options'!$B:$B,F$4,'NSE - Other Index Options'!$I:$I,"Weekly*")+SUMIFS('NSE - Other Index Options'!$M:$M,'NSE - Other Index Options'!$C:$C,$A116,'NSE - Other Index Options'!$B:$B,F$4,'NSE - Other Index Options'!$I:$I,"MDAW*")+SUMIFS('BSE - SENSEX Index Options'!$M:$M,'BSE - SENSEX Index Options'!$C:$C,$A116,'BSE - SENSEX Index Options'!$B:$B,F$4,'BSE - SENSEX Index Options'!$I:$I,"Weekly*")+SUMIFS('BSE - SENSEX Index Options'!$M:$M,'BSE - SENSEX Index Options'!$C:$C,$A116,'BSE - SENSEX Index Options'!$B:$B,F$4,'BSE - SENSEX Index Options'!$I:$I,"MDAW*")+SUMIFS('BSE - Other Index Options'!$M:$M,'BSE - Other Index Options'!$C:$C,$A116,'BSE - Other Index Options'!$B:$B,F$4,'BSE - Other Index Options'!$I:$I,"Weekly*")+SUMIFS('BSE - Other Index Options'!$M:$M,'BSE - Other Index Options'!$C:$C,$A116,'BSE - Other Index Options'!$B:$B,F$4,'BSE - Other Index Options'!$I:$I,"MDAW*"))</f>
        <v/>
      </c>
      <c r="G116" s="26">
        <f>IF(SUMIFS('NSE - NIFTY Index Options'!$M:$M,'NSE - NIFTY Index Options'!$C:$C,$A116,'NSE - NIFTY Index Options'!$B:$B,G$4,'NSE - NIFTY Index Options'!$I:$I,"Weekly*")+SUMIFS('NSE - NIFTY Index Options'!$M:$M,'NSE - NIFTY Index Options'!$C:$C,$A116,'NSE - NIFTY Index Options'!$B:$B,G$4,'NSE - NIFTY Index Options'!$I:$I,"MDAW*")+SUMIFS('NSE - Other Index Options'!$M:$M,'NSE - Other Index Options'!$C:$C,$A116,'NSE - Other Index Options'!$B:$B,G$4,'NSE - Other Index Options'!$I:$I,"Weekly*")+SUMIFS('NSE - Other Index Options'!$M:$M,'NSE - Other Index Options'!$C:$C,$A116,'NSE - Other Index Options'!$B:$B,G$4,'NSE - Other Index Options'!$I:$I,"MDAW*")+SUMIFS('BSE - SENSEX Index Options'!$M:$M,'BSE - SENSEX Index Options'!$C:$C,$A116,'BSE - SENSEX Index Options'!$B:$B,G$4,'BSE - SENSEX Index Options'!$I:$I,"Weekly*")+SUMIFS('BSE - SENSEX Index Options'!$M:$M,'BSE - SENSEX Index Options'!$C:$C,$A116,'BSE - SENSEX Index Options'!$B:$B,G$4,'BSE - SENSEX Index Options'!$I:$I,"MDAW*")+SUMIFS('BSE - Other Index Options'!$M:$M,'BSE - Other Index Options'!$C:$C,$A116,'BSE - Other Index Options'!$B:$B,G$4,'BSE - Other Index Options'!$I:$I,"Weekly*")+SUMIFS('BSE - Other Index Options'!$M:$M,'BSE - Other Index Options'!$C:$C,$A116,'BSE - Other Index Options'!$B:$B,G$4,'BSE - Other Index Options'!$I:$I,"MDAW*")=0,"",SUMIFS('NSE - NIFTY Index Options'!$M:$M,'NSE - NIFTY Index Options'!$C:$C,$A116,'NSE - NIFTY Index Options'!$B:$B,G$4,'NSE - NIFTY Index Options'!$I:$I,"Weekly*")+SUMIFS('NSE - NIFTY Index Options'!$M:$M,'NSE - NIFTY Index Options'!$C:$C,$A116,'NSE - NIFTY Index Options'!$B:$B,G$4,'NSE - NIFTY Index Options'!$I:$I,"MDAW*")+SUMIFS('NSE - Other Index Options'!$M:$M,'NSE - Other Index Options'!$C:$C,$A116,'NSE - Other Index Options'!$B:$B,G$4,'NSE - Other Index Options'!$I:$I,"Weekly*")+SUMIFS('NSE - Other Index Options'!$M:$M,'NSE - Other Index Options'!$C:$C,$A116,'NSE - Other Index Options'!$B:$B,G$4,'NSE - Other Index Options'!$I:$I,"MDAW*")+SUMIFS('BSE - SENSEX Index Options'!$M:$M,'BSE - SENSEX Index Options'!$C:$C,$A116,'BSE - SENSEX Index Options'!$B:$B,G$4,'BSE - SENSEX Index Options'!$I:$I,"Weekly*")+SUMIFS('BSE - SENSEX Index Options'!$M:$M,'BSE - SENSEX Index Options'!$C:$C,$A116,'BSE - SENSEX Index Options'!$B:$B,G$4,'BSE - SENSEX Index Options'!$I:$I,"MDAW*")+SUMIFS('BSE - Other Index Options'!$M:$M,'BSE - Other Index Options'!$C:$C,$A116,'BSE - Other Index Options'!$B:$B,G$4,'BSE - Other Index Options'!$I:$I,"Weekly*")+SUMIFS('BSE - Other Index Options'!$M:$M,'BSE - Other Index Options'!$C:$C,$A116,'BSE - Other Index Options'!$B:$B,G$4,'BSE - Other Index Options'!$I:$I,"MDAW*"))</f>
        <v/>
      </c>
      <c r="H116" s="26">
        <f>IF(SUM(B116:G116)=0,"",SUM(B116:G116))</f>
        <v/>
      </c>
    </row>
    <row r="117" hidden="1" outlineLevel="1">
      <c r="A117" t="inlineStr">
        <is>
          <t>Week5-Jul-2027</t>
        </is>
      </c>
      <c r="B117" s="26">
        <f>IF(SUMIFS('NSE - NIFTY Index Options'!$M:$M,'NSE - NIFTY Index Options'!$C:$C,$A117,'NSE - NIFTY Index Options'!$B:$B,B$4,'NSE - NIFTY Index Options'!$I:$I,"Weekly*")+SUMIFS('NSE - NIFTY Index Options'!$M:$M,'NSE - NIFTY Index Options'!$C:$C,$A117,'NSE - NIFTY Index Options'!$B:$B,B$4,'NSE - NIFTY Index Options'!$I:$I,"MDAW*")+SUMIFS('NSE - Other Index Options'!$M:$M,'NSE - Other Index Options'!$C:$C,$A117,'NSE - Other Index Options'!$B:$B,B$4,'NSE - Other Index Options'!$I:$I,"Weekly*")+SUMIFS('NSE - Other Index Options'!$M:$M,'NSE - Other Index Options'!$C:$C,$A117,'NSE - Other Index Options'!$B:$B,B$4,'NSE - Other Index Options'!$I:$I,"MDAW*")+SUMIFS('BSE - SENSEX Index Options'!$M:$M,'BSE - SENSEX Index Options'!$C:$C,$A117,'BSE - SENSEX Index Options'!$B:$B,B$4,'BSE - SENSEX Index Options'!$I:$I,"Weekly*")+SUMIFS('BSE - SENSEX Index Options'!$M:$M,'BSE - SENSEX Index Options'!$C:$C,$A117,'BSE - SENSEX Index Options'!$B:$B,B$4,'BSE - SENSEX Index Options'!$I:$I,"MDAW*")+SUMIFS('BSE - Other Index Options'!$M:$M,'BSE - Other Index Options'!$C:$C,$A117,'BSE - Other Index Options'!$B:$B,B$4,'BSE - Other Index Options'!$I:$I,"Weekly*")+SUMIFS('BSE - Other Index Options'!$M:$M,'BSE - Other Index Options'!$C:$C,$A117,'BSE - Other Index Options'!$B:$B,B$4,'BSE - Other Index Options'!$I:$I,"MDAW*")=0,"",SUMIFS('NSE - NIFTY Index Options'!$M:$M,'NSE - NIFTY Index Options'!$C:$C,$A117,'NSE - NIFTY Index Options'!$B:$B,B$4,'NSE - NIFTY Index Options'!$I:$I,"Weekly*")+SUMIFS('NSE - NIFTY Index Options'!$M:$M,'NSE - NIFTY Index Options'!$C:$C,$A117,'NSE - NIFTY Index Options'!$B:$B,B$4,'NSE - NIFTY Index Options'!$I:$I,"MDAW*")+SUMIFS('NSE - Other Index Options'!$M:$M,'NSE - Other Index Options'!$C:$C,$A117,'NSE - Other Index Options'!$B:$B,B$4,'NSE - Other Index Options'!$I:$I,"Weekly*")+SUMIFS('NSE - Other Index Options'!$M:$M,'NSE - Other Index Options'!$C:$C,$A117,'NSE - Other Index Options'!$B:$B,B$4,'NSE - Other Index Options'!$I:$I,"MDAW*")+SUMIFS('BSE - SENSEX Index Options'!$M:$M,'BSE - SENSEX Index Options'!$C:$C,$A117,'BSE - SENSEX Index Options'!$B:$B,B$4,'BSE - SENSEX Index Options'!$I:$I,"Weekly*")+SUMIFS('BSE - SENSEX Index Options'!$M:$M,'BSE - SENSEX Index Options'!$C:$C,$A117,'BSE - SENSEX Index Options'!$B:$B,B$4,'BSE - SENSEX Index Options'!$I:$I,"MDAW*")+SUMIFS('BSE - Other Index Options'!$M:$M,'BSE - Other Index Options'!$C:$C,$A117,'BSE - Other Index Options'!$B:$B,B$4,'BSE - Other Index Options'!$I:$I,"Weekly*")+SUMIFS('BSE - Other Index Options'!$M:$M,'BSE - Other Index Options'!$C:$C,$A117,'BSE - Other Index Options'!$B:$B,B$4,'BSE - Other Index Options'!$I:$I,"MDAW*"))</f>
        <v/>
      </c>
      <c r="C117" s="26">
        <f>IF(SUMIFS('NSE - NIFTY Index Options'!$M:$M,'NSE - NIFTY Index Options'!$C:$C,$A117,'NSE - NIFTY Index Options'!$B:$B,C$4,'NSE - NIFTY Index Options'!$I:$I,"Weekly*")+SUMIFS('NSE - NIFTY Index Options'!$M:$M,'NSE - NIFTY Index Options'!$C:$C,$A117,'NSE - NIFTY Index Options'!$B:$B,C$4,'NSE - NIFTY Index Options'!$I:$I,"MDAW*")+SUMIFS('NSE - Other Index Options'!$M:$M,'NSE - Other Index Options'!$C:$C,$A117,'NSE - Other Index Options'!$B:$B,C$4,'NSE - Other Index Options'!$I:$I,"Weekly*")+SUMIFS('NSE - Other Index Options'!$M:$M,'NSE - Other Index Options'!$C:$C,$A117,'NSE - Other Index Options'!$B:$B,C$4,'NSE - Other Index Options'!$I:$I,"MDAW*")+SUMIFS('BSE - SENSEX Index Options'!$M:$M,'BSE - SENSEX Index Options'!$C:$C,$A117,'BSE - SENSEX Index Options'!$B:$B,C$4,'BSE - SENSEX Index Options'!$I:$I,"Weekly*")+SUMIFS('BSE - SENSEX Index Options'!$M:$M,'BSE - SENSEX Index Options'!$C:$C,$A117,'BSE - SENSEX Index Options'!$B:$B,C$4,'BSE - SENSEX Index Options'!$I:$I,"MDAW*")+SUMIFS('BSE - Other Index Options'!$M:$M,'BSE - Other Index Options'!$C:$C,$A117,'BSE - Other Index Options'!$B:$B,C$4,'BSE - Other Index Options'!$I:$I,"Weekly*")+SUMIFS('BSE - Other Index Options'!$M:$M,'BSE - Other Index Options'!$C:$C,$A117,'BSE - Other Index Options'!$B:$B,C$4,'BSE - Other Index Options'!$I:$I,"MDAW*")=0,"",SUMIFS('NSE - NIFTY Index Options'!$M:$M,'NSE - NIFTY Index Options'!$C:$C,$A117,'NSE - NIFTY Index Options'!$B:$B,C$4,'NSE - NIFTY Index Options'!$I:$I,"Weekly*")+SUMIFS('NSE - NIFTY Index Options'!$M:$M,'NSE - NIFTY Index Options'!$C:$C,$A117,'NSE - NIFTY Index Options'!$B:$B,C$4,'NSE - NIFTY Index Options'!$I:$I,"MDAW*")+SUMIFS('NSE - Other Index Options'!$M:$M,'NSE - Other Index Options'!$C:$C,$A117,'NSE - Other Index Options'!$B:$B,C$4,'NSE - Other Index Options'!$I:$I,"Weekly*")+SUMIFS('NSE - Other Index Options'!$M:$M,'NSE - Other Index Options'!$C:$C,$A117,'NSE - Other Index Options'!$B:$B,C$4,'NSE - Other Index Options'!$I:$I,"MDAW*")+SUMIFS('BSE - SENSEX Index Options'!$M:$M,'BSE - SENSEX Index Options'!$C:$C,$A117,'BSE - SENSEX Index Options'!$B:$B,C$4,'BSE - SENSEX Index Options'!$I:$I,"Weekly*")+SUMIFS('BSE - SENSEX Index Options'!$M:$M,'BSE - SENSEX Index Options'!$C:$C,$A117,'BSE - SENSEX Index Options'!$B:$B,C$4,'BSE - SENSEX Index Options'!$I:$I,"MDAW*")+SUMIFS('BSE - Other Index Options'!$M:$M,'BSE - Other Index Options'!$C:$C,$A117,'BSE - Other Index Options'!$B:$B,C$4,'BSE - Other Index Options'!$I:$I,"Weekly*")+SUMIFS('BSE - Other Index Options'!$M:$M,'BSE - Other Index Options'!$C:$C,$A117,'BSE - Other Index Options'!$B:$B,C$4,'BSE - Other Index Options'!$I:$I,"MDAW*"))</f>
        <v/>
      </c>
      <c r="D117" s="26">
        <f>IF(SUMIFS('NSE - NIFTY Index Options'!$M:$M,'NSE - NIFTY Index Options'!$C:$C,$A117,'NSE - NIFTY Index Options'!$B:$B,D$4,'NSE - NIFTY Index Options'!$I:$I,"Weekly*")+SUMIFS('NSE - NIFTY Index Options'!$M:$M,'NSE - NIFTY Index Options'!$C:$C,$A117,'NSE - NIFTY Index Options'!$B:$B,D$4,'NSE - NIFTY Index Options'!$I:$I,"MDAW*")+SUMIFS('NSE - Other Index Options'!$M:$M,'NSE - Other Index Options'!$C:$C,$A117,'NSE - Other Index Options'!$B:$B,D$4,'NSE - Other Index Options'!$I:$I,"Weekly*")+SUMIFS('NSE - Other Index Options'!$M:$M,'NSE - Other Index Options'!$C:$C,$A117,'NSE - Other Index Options'!$B:$B,D$4,'NSE - Other Index Options'!$I:$I,"MDAW*")+SUMIFS('BSE - SENSEX Index Options'!$M:$M,'BSE - SENSEX Index Options'!$C:$C,$A117,'BSE - SENSEX Index Options'!$B:$B,D$4,'BSE - SENSEX Index Options'!$I:$I,"Weekly*")+SUMIFS('BSE - SENSEX Index Options'!$M:$M,'BSE - SENSEX Index Options'!$C:$C,$A117,'BSE - SENSEX Index Options'!$B:$B,D$4,'BSE - SENSEX Index Options'!$I:$I,"MDAW*")+SUMIFS('BSE - Other Index Options'!$M:$M,'BSE - Other Index Options'!$C:$C,$A117,'BSE - Other Index Options'!$B:$B,D$4,'BSE - Other Index Options'!$I:$I,"Weekly*")+SUMIFS('BSE - Other Index Options'!$M:$M,'BSE - Other Index Options'!$C:$C,$A117,'BSE - Other Index Options'!$B:$B,D$4,'BSE - Other Index Options'!$I:$I,"MDAW*")=0,"",SUMIFS('NSE - NIFTY Index Options'!$M:$M,'NSE - NIFTY Index Options'!$C:$C,$A117,'NSE - NIFTY Index Options'!$B:$B,D$4,'NSE - NIFTY Index Options'!$I:$I,"Weekly*")+SUMIFS('NSE - NIFTY Index Options'!$M:$M,'NSE - NIFTY Index Options'!$C:$C,$A117,'NSE - NIFTY Index Options'!$B:$B,D$4,'NSE - NIFTY Index Options'!$I:$I,"MDAW*")+SUMIFS('NSE - Other Index Options'!$M:$M,'NSE - Other Index Options'!$C:$C,$A117,'NSE - Other Index Options'!$B:$B,D$4,'NSE - Other Index Options'!$I:$I,"Weekly*")+SUMIFS('NSE - Other Index Options'!$M:$M,'NSE - Other Index Options'!$C:$C,$A117,'NSE - Other Index Options'!$B:$B,D$4,'NSE - Other Index Options'!$I:$I,"MDAW*")+SUMIFS('BSE - SENSEX Index Options'!$M:$M,'BSE - SENSEX Index Options'!$C:$C,$A117,'BSE - SENSEX Index Options'!$B:$B,D$4,'BSE - SENSEX Index Options'!$I:$I,"Weekly*")+SUMIFS('BSE - SENSEX Index Options'!$M:$M,'BSE - SENSEX Index Options'!$C:$C,$A117,'BSE - SENSEX Index Options'!$B:$B,D$4,'BSE - SENSEX Index Options'!$I:$I,"MDAW*")+SUMIFS('BSE - Other Index Options'!$M:$M,'BSE - Other Index Options'!$C:$C,$A117,'BSE - Other Index Options'!$B:$B,D$4,'BSE - Other Index Options'!$I:$I,"Weekly*")+SUMIFS('BSE - Other Index Options'!$M:$M,'BSE - Other Index Options'!$C:$C,$A117,'BSE - Other Index Options'!$B:$B,D$4,'BSE - Other Index Options'!$I:$I,"MDAW*"))</f>
        <v/>
      </c>
      <c r="E117" s="26">
        <f>IF(SUMIFS('NSE - NIFTY Index Options'!$M:$M,'NSE - NIFTY Index Options'!$C:$C,$A117,'NSE - NIFTY Index Options'!$B:$B,E$4,'NSE - NIFTY Index Options'!$I:$I,"Weekly*")+SUMIFS('NSE - NIFTY Index Options'!$M:$M,'NSE - NIFTY Index Options'!$C:$C,$A117,'NSE - NIFTY Index Options'!$B:$B,E$4,'NSE - NIFTY Index Options'!$I:$I,"MDAW*")+SUMIFS('NSE - Other Index Options'!$M:$M,'NSE - Other Index Options'!$C:$C,$A117,'NSE - Other Index Options'!$B:$B,E$4,'NSE - Other Index Options'!$I:$I,"Weekly*")+SUMIFS('NSE - Other Index Options'!$M:$M,'NSE - Other Index Options'!$C:$C,$A117,'NSE - Other Index Options'!$B:$B,E$4,'NSE - Other Index Options'!$I:$I,"MDAW*")+SUMIFS('BSE - SENSEX Index Options'!$M:$M,'BSE - SENSEX Index Options'!$C:$C,$A117,'BSE - SENSEX Index Options'!$B:$B,E$4,'BSE - SENSEX Index Options'!$I:$I,"Weekly*")+SUMIFS('BSE - SENSEX Index Options'!$M:$M,'BSE - SENSEX Index Options'!$C:$C,$A117,'BSE - SENSEX Index Options'!$B:$B,E$4,'BSE - SENSEX Index Options'!$I:$I,"MDAW*")+SUMIFS('BSE - Other Index Options'!$M:$M,'BSE - Other Index Options'!$C:$C,$A117,'BSE - Other Index Options'!$B:$B,E$4,'BSE - Other Index Options'!$I:$I,"Weekly*")+SUMIFS('BSE - Other Index Options'!$M:$M,'BSE - Other Index Options'!$C:$C,$A117,'BSE - Other Index Options'!$B:$B,E$4,'BSE - Other Index Options'!$I:$I,"MDAW*")=0,"",SUMIFS('NSE - NIFTY Index Options'!$M:$M,'NSE - NIFTY Index Options'!$C:$C,$A117,'NSE - NIFTY Index Options'!$B:$B,E$4,'NSE - NIFTY Index Options'!$I:$I,"Weekly*")+SUMIFS('NSE - NIFTY Index Options'!$M:$M,'NSE - NIFTY Index Options'!$C:$C,$A117,'NSE - NIFTY Index Options'!$B:$B,E$4,'NSE - NIFTY Index Options'!$I:$I,"MDAW*")+SUMIFS('NSE - Other Index Options'!$M:$M,'NSE - Other Index Options'!$C:$C,$A117,'NSE - Other Index Options'!$B:$B,E$4,'NSE - Other Index Options'!$I:$I,"Weekly*")+SUMIFS('NSE - Other Index Options'!$M:$M,'NSE - Other Index Options'!$C:$C,$A117,'NSE - Other Index Options'!$B:$B,E$4,'NSE - Other Index Options'!$I:$I,"MDAW*")+SUMIFS('BSE - SENSEX Index Options'!$M:$M,'BSE - SENSEX Index Options'!$C:$C,$A117,'BSE - SENSEX Index Options'!$B:$B,E$4,'BSE - SENSEX Index Options'!$I:$I,"Weekly*")+SUMIFS('BSE - SENSEX Index Options'!$M:$M,'BSE - SENSEX Index Options'!$C:$C,$A117,'BSE - SENSEX Index Options'!$B:$B,E$4,'BSE - SENSEX Index Options'!$I:$I,"MDAW*")+SUMIFS('BSE - Other Index Options'!$M:$M,'BSE - Other Index Options'!$C:$C,$A117,'BSE - Other Index Options'!$B:$B,E$4,'BSE - Other Index Options'!$I:$I,"Weekly*")+SUMIFS('BSE - Other Index Options'!$M:$M,'BSE - Other Index Options'!$C:$C,$A117,'BSE - Other Index Options'!$B:$B,E$4,'BSE - Other Index Options'!$I:$I,"MDAW*"))</f>
        <v/>
      </c>
      <c r="F117" s="26">
        <f>IF(SUMIFS('NSE - NIFTY Index Options'!$M:$M,'NSE - NIFTY Index Options'!$C:$C,$A117,'NSE - NIFTY Index Options'!$B:$B,F$4,'NSE - NIFTY Index Options'!$I:$I,"Weekly*")+SUMIFS('NSE - NIFTY Index Options'!$M:$M,'NSE - NIFTY Index Options'!$C:$C,$A117,'NSE - NIFTY Index Options'!$B:$B,F$4,'NSE - NIFTY Index Options'!$I:$I,"MDAW*")+SUMIFS('NSE - Other Index Options'!$M:$M,'NSE - Other Index Options'!$C:$C,$A117,'NSE - Other Index Options'!$B:$B,F$4,'NSE - Other Index Options'!$I:$I,"Weekly*")+SUMIFS('NSE - Other Index Options'!$M:$M,'NSE - Other Index Options'!$C:$C,$A117,'NSE - Other Index Options'!$B:$B,F$4,'NSE - Other Index Options'!$I:$I,"MDAW*")+SUMIFS('BSE - SENSEX Index Options'!$M:$M,'BSE - SENSEX Index Options'!$C:$C,$A117,'BSE - SENSEX Index Options'!$B:$B,F$4,'BSE - SENSEX Index Options'!$I:$I,"Weekly*")+SUMIFS('BSE - SENSEX Index Options'!$M:$M,'BSE - SENSEX Index Options'!$C:$C,$A117,'BSE - SENSEX Index Options'!$B:$B,F$4,'BSE - SENSEX Index Options'!$I:$I,"MDAW*")+SUMIFS('BSE - Other Index Options'!$M:$M,'BSE - Other Index Options'!$C:$C,$A117,'BSE - Other Index Options'!$B:$B,F$4,'BSE - Other Index Options'!$I:$I,"Weekly*")+SUMIFS('BSE - Other Index Options'!$M:$M,'BSE - Other Index Options'!$C:$C,$A117,'BSE - Other Index Options'!$B:$B,F$4,'BSE - Other Index Options'!$I:$I,"MDAW*")=0,"",SUMIFS('NSE - NIFTY Index Options'!$M:$M,'NSE - NIFTY Index Options'!$C:$C,$A117,'NSE - NIFTY Index Options'!$B:$B,F$4,'NSE - NIFTY Index Options'!$I:$I,"Weekly*")+SUMIFS('NSE - NIFTY Index Options'!$M:$M,'NSE - NIFTY Index Options'!$C:$C,$A117,'NSE - NIFTY Index Options'!$B:$B,F$4,'NSE - NIFTY Index Options'!$I:$I,"MDAW*")+SUMIFS('NSE - Other Index Options'!$M:$M,'NSE - Other Index Options'!$C:$C,$A117,'NSE - Other Index Options'!$B:$B,F$4,'NSE - Other Index Options'!$I:$I,"Weekly*")+SUMIFS('NSE - Other Index Options'!$M:$M,'NSE - Other Index Options'!$C:$C,$A117,'NSE - Other Index Options'!$B:$B,F$4,'NSE - Other Index Options'!$I:$I,"MDAW*")+SUMIFS('BSE - SENSEX Index Options'!$M:$M,'BSE - SENSEX Index Options'!$C:$C,$A117,'BSE - SENSEX Index Options'!$B:$B,F$4,'BSE - SENSEX Index Options'!$I:$I,"Weekly*")+SUMIFS('BSE - SENSEX Index Options'!$M:$M,'BSE - SENSEX Index Options'!$C:$C,$A117,'BSE - SENSEX Index Options'!$B:$B,F$4,'BSE - SENSEX Index Options'!$I:$I,"MDAW*")+SUMIFS('BSE - Other Index Options'!$M:$M,'BSE - Other Index Options'!$C:$C,$A117,'BSE - Other Index Options'!$B:$B,F$4,'BSE - Other Index Options'!$I:$I,"Weekly*")+SUMIFS('BSE - Other Index Options'!$M:$M,'BSE - Other Index Options'!$C:$C,$A117,'BSE - Other Index Options'!$B:$B,F$4,'BSE - Other Index Options'!$I:$I,"MDAW*"))</f>
        <v/>
      </c>
      <c r="G117" s="26">
        <f>IF(SUMIFS('NSE - NIFTY Index Options'!$M:$M,'NSE - NIFTY Index Options'!$C:$C,$A117,'NSE - NIFTY Index Options'!$B:$B,G$4,'NSE - NIFTY Index Options'!$I:$I,"Weekly*")+SUMIFS('NSE - NIFTY Index Options'!$M:$M,'NSE - NIFTY Index Options'!$C:$C,$A117,'NSE - NIFTY Index Options'!$B:$B,G$4,'NSE - NIFTY Index Options'!$I:$I,"MDAW*")+SUMIFS('NSE - Other Index Options'!$M:$M,'NSE - Other Index Options'!$C:$C,$A117,'NSE - Other Index Options'!$B:$B,G$4,'NSE - Other Index Options'!$I:$I,"Weekly*")+SUMIFS('NSE - Other Index Options'!$M:$M,'NSE - Other Index Options'!$C:$C,$A117,'NSE - Other Index Options'!$B:$B,G$4,'NSE - Other Index Options'!$I:$I,"MDAW*")+SUMIFS('BSE - SENSEX Index Options'!$M:$M,'BSE - SENSEX Index Options'!$C:$C,$A117,'BSE - SENSEX Index Options'!$B:$B,G$4,'BSE - SENSEX Index Options'!$I:$I,"Weekly*")+SUMIFS('BSE - SENSEX Index Options'!$M:$M,'BSE - SENSEX Index Options'!$C:$C,$A117,'BSE - SENSEX Index Options'!$B:$B,G$4,'BSE - SENSEX Index Options'!$I:$I,"MDAW*")+SUMIFS('BSE - Other Index Options'!$M:$M,'BSE - Other Index Options'!$C:$C,$A117,'BSE - Other Index Options'!$B:$B,G$4,'BSE - Other Index Options'!$I:$I,"Weekly*")+SUMIFS('BSE - Other Index Options'!$M:$M,'BSE - Other Index Options'!$C:$C,$A117,'BSE - Other Index Options'!$B:$B,G$4,'BSE - Other Index Options'!$I:$I,"MDAW*")=0,"",SUMIFS('NSE - NIFTY Index Options'!$M:$M,'NSE - NIFTY Index Options'!$C:$C,$A117,'NSE - NIFTY Index Options'!$B:$B,G$4,'NSE - NIFTY Index Options'!$I:$I,"Weekly*")+SUMIFS('NSE - NIFTY Index Options'!$M:$M,'NSE - NIFTY Index Options'!$C:$C,$A117,'NSE - NIFTY Index Options'!$B:$B,G$4,'NSE - NIFTY Index Options'!$I:$I,"MDAW*")+SUMIFS('NSE - Other Index Options'!$M:$M,'NSE - Other Index Options'!$C:$C,$A117,'NSE - Other Index Options'!$B:$B,G$4,'NSE - Other Index Options'!$I:$I,"Weekly*")+SUMIFS('NSE - Other Index Options'!$M:$M,'NSE - Other Index Options'!$C:$C,$A117,'NSE - Other Index Options'!$B:$B,G$4,'NSE - Other Index Options'!$I:$I,"MDAW*")+SUMIFS('BSE - SENSEX Index Options'!$M:$M,'BSE - SENSEX Index Options'!$C:$C,$A117,'BSE - SENSEX Index Options'!$B:$B,G$4,'BSE - SENSEX Index Options'!$I:$I,"Weekly*")+SUMIFS('BSE - SENSEX Index Options'!$M:$M,'BSE - SENSEX Index Options'!$C:$C,$A117,'BSE - SENSEX Index Options'!$B:$B,G$4,'BSE - SENSEX Index Options'!$I:$I,"MDAW*")+SUMIFS('BSE - Other Index Options'!$M:$M,'BSE - Other Index Options'!$C:$C,$A117,'BSE - Other Index Options'!$B:$B,G$4,'BSE - Other Index Options'!$I:$I,"Weekly*")+SUMIFS('BSE - Other Index Options'!$M:$M,'BSE - Other Index Options'!$C:$C,$A117,'BSE - Other Index Options'!$B:$B,G$4,'BSE - Other Index Options'!$I:$I,"MDAW*"))</f>
        <v/>
      </c>
      <c r="H117" s="26">
        <f>IF(SUM(B117:G117)=0,"",SUM(B117:G117))</f>
        <v/>
      </c>
    </row>
    <row r="118" hidden="1" outlineLevel="1">
      <c r="A118" t="inlineStr">
        <is>
          <t>Week1-Aug-2027</t>
        </is>
      </c>
      <c r="B118" s="26">
        <f>IF(SUMIFS('NSE - NIFTY Index Options'!$M:$M,'NSE - NIFTY Index Options'!$C:$C,$A118,'NSE - NIFTY Index Options'!$B:$B,B$4,'NSE - NIFTY Index Options'!$I:$I,"Weekly*")+SUMIFS('NSE - NIFTY Index Options'!$M:$M,'NSE - NIFTY Index Options'!$C:$C,$A118,'NSE - NIFTY Index Options'!$B:$B,B$4,'NSE - NIFTY Index Options'!$I:$I,"MDAW*")+SUMIFS('NSE - Other Index Options'!$M:$M,'NSE - Other Index Options'!$C:$C,$A118,'NSE - Other Index Options'!$B:$B,B$4,'NSE - Other Index Options'!$I:$I,"Weekly*")+SUMIFS('NSE - Other Index Options'!$M:$M,'NSE - Other Index Options'!$C:$C,$A118,'NSE - Other Index Options'!$B:$B,B$4,'NSE - Other Index Options'!$I:$I,"MDAW*")+SUMIFS('BSE - SENSEX Index Options'!$M:$M,'BSE - SENSEX Index Options'!$C:$C,$A118,'BSE - SENSEX Index Options'!$B:$B,B$4,'BSE - SENSEX Index Options'!$I:$I,"Weekly*")+SUMIFS('BSE - SENSEX Index Options'!$M:$M,'BSE - SENSEX Index Options'!$C:$C,$A118,'BSE - SENSEX Index Options'!$B:$B,B$4,'BSE - SENSEX Index Options'!$I:$I,"MDAW*")+SUMIFS('BSE - Other Index Options'!$M:$M,'BSE - Other Index Options'!$C:$C,$A118,'BSE - Other Index Options'!$B:$B,B$4,'BSE - Other Index Options'!$I:$I,"Weekly*")+SUMIFS('BSE - Other Index Options'!$M:$M,'BSE - Other Index Options'!$C:$C,$A118,'BSE - Other Index Options'!$B:$B,B$4,'BSE - Other Index Options'!$I:$I,"MDAW*")=0,"",SUMIFS('NSE - NIFTY Index Options'!$M:$M,'NSE - NIFTY Index Options'!$C:$C,$A118,'NSE - NIFTY Index Options'!$B:$B,B$4,'NSE - NIFTY Index Options'!$I:$I,"Weekly*")+SUMIFS('NSE - NIFTY Index Options'!$M:$M,'NSE - NIFTY Index Options'!$C:$C,$A118,'NSE - NIFTY Index Options'!$B:$B,B$4,'NSE - NIFTY Index Options'!$I:$I,"MDAW*")+SUMIFS('NSE - Other Index Options'!$M:$M,'NSE - Other Index Options'!$C:$C,$A118,'NSE - Other Index Options'!$B:$B,B$4,'NSE - Other Index Options'!$I:$I,"Weekly*")+SUMIFS('NSE - Other Index Options'!$M:$M,'NSE - Other Index Options'!$C:$C,$A118,'NSE - Other Index Options'!$B:$B,B$4,'NSE - Other Index Options'!$I:$I,"MDAW*")+SUMIFS('BSE - SENSEX Index Options'!$M:$M,'BSE - SENSEX Index Options'!$C:$C,$A118,'BSE - SENSEX Index Options'!$B:$B,B$4,'BSE - SENSEX Index Options'!$I:$I,"Weekly*")+SUMIFS('BSE - SENSEX Index Options'!$M:$M,'BSE - SENSEX Index Options'!$C:$C,$A118,'BSE - SENSEX Index Options'!$B:$B,B$4,'BSE - SENSEX Index Options'!$I:$I,"MDAW*")+SUMIFS('BSE - Other Index Options'!$M:$M,'BSE - Other Index Options'!$C:$C,$A118,'BSE - Other Index Options'!$B:$B,B$4,'BSE - Other Index Options'!$I:$I,"Weekly*")+SUMIFS('BSE - Other Index Options'!$M:$M,'BSE - Other Index Options'!$C:$C,$A118,'BSE - Other Index Options'!$B:$B,B$4,'BSE - Other Index Options'!$I:$I,"MDAW*"))</f>
        <v/>
      </c>
      <c r="C118" s="26">
        <f>IF(SUMIFS('NSE - NIFTY Index Options'!$M:$M,'NSE - NIFTY Index Options'!$C:$C,$A118,'NSE - NIFTY Index Options'!$B:$B,C$4,'NSE - NIFTY Index Options'!$I:$I,"Weekly*")+SUMIFS('NSE - NIFTY Index Options'!$M:$M,'NSE - NIFTY Index Options'!$C:$C,$A118,'NSE - NIFTY Index Options'!$B:$B,C$4,'NSE - NIFTY Index Options'!$I:$I,"MDAW*")+SUMIFS('NSE - Other Index Options'!$M:$M,'NSE - Other Index Options'!$C:$C,$A118,'NSE - Other Index Options'!$B:$B,C$4,'NSE - Other Index Options'!$I:$I,"Weekly*")+SUMIFS('NSE - Other Index Options'!$M:$M,'NSE - Other Index Options'!$C:$C,$A118,'NSE - Other Index Options'!$B:$B,C$4,'NSE - Other Index Options'!$I:$I,"MDAW*")+SUMIFS('BSE - SENSEX Index Options'!$M:$M,'BSE - SENSEX Index Options'!$C:$C,$A118,'BSE - SENSEX Index Options'!$B:$B,C$4,'BSE - SENSEX Index Options'!$I:$I,"Weekly*")+SUMIFS('BSE - SENSEX Index Options'!$M:$M,'BSE - SENSEX Index Options'!$C:$C,$A118,'BSE - SENSEX Index Options'!$B:$B,C$4,'BSE - SENSEX Index Options'!$I:$I,"MDAW*")+SUMIFS('BSE - Other Index Options'!$M:$M,'BSE - Other Index Options'!$C:$C,$A118,'BSE - Other Index Options'!$B:$B,C$4,'BSE - Other Index Options'!$I:$I,"Weekly*")+SUMIFS('BSE - Other Index Options'!$M:$M,'BSE - Other Index Options'!$C:$C,$A118,'BSE - Other Index Options'!$B:$B,C$4,'BSE - Other Index Options'!$I:$I,"MDAW*")=0,"",SUMIFS('NSE - NIFTY Index Options'!$M:$M,'NSE - NIFTY Index Options'!$C:$C,$A118,'NSE - NIFTY Index Options'!$B:$B,C$4,'NSE - NIFTY Index Options'!$I:$I,"Weekly*")+SUMIFS('NSE - NIFTY Index Options'!$M:$M,'NSE - NIFTY Index Options'!$C:$C,$A118,'NSE - NIFTY Index Options'!$B:$B,C$4,'NSE - NIFTY Index Options'!$I:$I,"MDAW*")+SUMIFS('NSE - Other Index Options'!$M:$M,'NSE - Other Index Options'!$C:$C,$A118,'NSE - Other Index Options'!$B:$B,C$4,'NSE - Other Index Options'!$I:$I,"Weekly*")+SUMIFS('NSE - Other Index Options'!$M:$M,'NSE - Other Index Options'!$C:$C,$A118,'NSE - Other Index Options'!$B:$B,C$4,'NSE - Other Index Options'!$I:$I,"MDAW*")+SUMIFS('BSE - SENSEX Index Options'!$M:$M,'BSE - SENSEX Index Options'!$C:$C,$A118,'BSE - SENSEX Index Options'!$B:$B,C$4,'BSE - SENSEX Index Options'!$I:$I,"Weekly*")+SUMIFS('BSE - SENSEX Index Options'!$M:$M,'BSE - SENSEX Index Options'!$C:$C,$A118,'BSE - SENSEX Index Options'!$B:$B,C$4,'BSE - SENSEX Index Options'!$I:$I,"MDAW*")+SUMIFS('BSE - Other Index Options'!$M:$M,'BSE - Other Index Options'!$C:$C,$A118,'BSE - Other Index Options'!$B:$B,C$4,'BSE - Other Index Options'!$I:$I,"Weekly*")+SUMIFS('BSE - Other Index Options'!$M:$M,'BSE - Other Index Options'!$C:$C,$A118,'BSE - Other Index Options'!$B:$B,C$4,'BSE - Other Index Options'!$I:$I,"MDAW*"))</f>
        <v/>
      </c>
      <c r="D118" s="26">
        <f>IF(SUMIFS('NSE - NIFTY Index Options'!$M:$M,'NSE - NIFTY Index Options'!$C:$C,$A118,'NSE - NIFTY Index Options'!$B:$B,D$4,'NSE - NIFTY Index Options'!$I:$I,"Weekly*")+SUMIFS('NSE - NIFTY Index Options'!$M:$M,'NSE - NIFTY Index Options'!$C:$C,$A118,'NSE - NIFTY Index Options'!$B:$B,D$4,'NSE - NIFTY Index Options'!$I:$I,"MDAW*")+SUMIFS('NSE - Other Index Options'!$M:$M,'NSE - Other Index Options'!$C:$C,$A118,'NSE - Other Index Options'!$B:$B,D$4,'NSE - Other Index Options'!$I:$I,"Weekly*")+SUMIFS('NSE - Other Index Options'!$M:$M,'NSE - Other Index Options'!$C:$C,$A118,'NSE - Other Index Options'!$B:$B,D$4,'NSE - Other Index Options'!$I:$I,"MDAW*")+SUMIFS('BSE - SENSEX Index Options'!$M:$M,'BSE - SENSEX Index Options'!$C:$C,$A118,'BSE - SENSEX Index Options'!$B:$B,D$4,'BSE - SENSEX Index Options'!$I:$I,"Weekly*")+SUMIFS('BSE - SENSEX Index Options'!$M:$M,'BSE - SENSEX Index Options'!$C:$C,$A118,'BSE - SENSEX Index Options'!$B:$B,D$4,'BSE - SENSEX Index Options'!$I:$I,"MDAW*")+SUMIFS('BSE - Other Index Options'!$M:$M,'BSE - Other Index Options'!$C:$C,$A118,'BSE - Other Index Options'!$B:$B,D$4,'BSE - Other Index Options'!$I:$I,"Weekly*")+SUMIFS('BSE - Other Index Options'!$M:$M,'BSE - Other Index Options'!$C:$C,$A118,'BSE - Other Index Options'!$B:$B,D$4,'BSE - Other Index Options'!$I:$I,"MDAW*")=0,"",SUMIFS('NSE - NIFTY Index Options'!$M:$M,'NSE - NIFTY Index Options'!$C:$C,$A118,'NSE - NIFTY Index Options'!$B:$B,D$4,'NSE - NIFTY Index Options'!$I:$I,"Weekly*")+SUMIFS('NSE - NIFTY Index Options'!$M:$M,'NSE - NIFTY Index Options'!$C:$C,$A118,'NSE - NIFTY Index Options'!$B:$B,D$4,'NSE - NIFTY Index Options'!$I:$I,"MDAW*")+SUMIFS('NSE - Other Index Options'!$M:$M,'NSE - Other Index Options'!$C:$C,$A118,'NSE - Other Index Options'!$B:$B,D$4,'NSE - Other Index Options'!$I:$I,"Weekly*")+SUMIFS('NSE - Other Index Options'!$M:$M,'NSE - Other Index Options'!$C:$C,$A118,'NSE - Other Index Options'!$B:$B,D$4,'NSE - Other Index Options'!$I:$I,"MDAW*")+SUMIFS('BSE - SENSEX Index Options'!$M:$M,'BSE - SENSEX Index Options'!$C:$C,$A118,'BSE - SENSEX Index Options'!$B:$B,D$4,'BSE - SENSEX Index Options'!$I:$I,"Weekly*")+SUMIFS('BSE - SENSEX Index Options'!$M:$M,'BSE - SENSEX Index Options'!$C:$C,$A118,'BSE - SENSEX Index Options'!$B:$B,D$4,'BSE - SENSEX Index Options'!$I:$I,"MDAW*")+SUMIFS('BSE - Other Index Options'!$M:$M,'BSE - Other Index Options'!$C:$C,$A118,'BSE - Other Index Options'!$B:$B,D$4,'BSE - Other Index Options'!$I:$I,"Weekly*")+SUMIFS('BSE - Other Index Options'!$M:$M,'BSE - Other Index Options'!$C:$C,$A118,'BSE - Other Index Options'!$B:$B,D$4,'BSE - Other Index Options'!$I:$I,"MDAW*"))</f>
        <v/>
      </c>
      <c r="E118" s="26">
        <f>IF(SUMIFS('NSE - NIFTY Index Options'!$M:$M,'NSE - NIFTY Index Options'!$C:$C,$A118,'NSE - NIFTY Index Options'!$B:$B,E$4,'NSE - NIFTY Index Options'!$I:$I,"Weekly*")+SUMIFS('NSE - NIFTY Index Options'!$M:$M,'NSE - NIFTY Index Options'!$C:$C,$A118,'NSE - NIFTY Index Options'!$B:$B,E$4,'NSE - NIFTY Index Options'!$I:$I,"MDAW*")+SUMIFS('NSE - Other Index Options'!$M:$M,'NSE - Other Index Options'!$C:$C,$A118,'NSE - Other Index Options'!$B:$B,E$4,'NSE - Other Index Options'!$I:$I,"Weekly*")+SUMIFS('NSE - Other Index Options'!$M:$M,'NSE - Other Index Options'!$C:$C,$A118,'NSE - Other Index Options'!$B:$B,E$4,'NSE - Other Index Options'!$I:$I,"MDAW*")+SUMIFS('BSE - SENSEX Index Options'!$M:$M,'BSE - SENSEX Index Options'!$C:$C,$A118,'BSE - SENSEX Index Options'!$B:$B,E$4,'BSE - SENSEX Index Options'!$I:$I,"Weekly*")+SUMIFS('BSE - SENSEX Index Options'!$M:$M,'BSE - SENSEX Index Options'!$C:$C,$A118,'BSE - SENSEX Index Options'!$B:$B,E$4,'BSE - SENSEX Index Options'!$I:$I,"MDAW*")+SUMIFS('BSE - Other Index Options'!$M:$M,'BSE - Other Index Options'!$C:$C,$A118,'BSE - Other Index Options'!$B:$B,E$4,'BSE - Other Index Options'!$I:$I,"Weekly*")+SUMIFS('BSE - Other Index Options'!$M:$M,'BSE - Other Index Options'!$C:$C,$A118,'BSE - Other Index Options'!$B:$B,E$4,'BSE - Other Index Options'!$I:$I,"MDAW*")=0,"",SUMIFS('NSE - NIFTY Index Options'!$M:$M,'NSE - NIFTY Index Options'!$C:$C,$A118,'NSE - NIFTY Index Options'!$B:$B,E$4,'NSE - NIFTY Index Options'!$I:$I,"Weekly*")+SUMIFS('NSE - NIFTY Index Options'!$M:$M,'NSE - NIFTY Index Options'!$C:$C,$A118,'NSE - NIFTY Index Options'!$B:$B,E$4,'NSE - NIFTY Index Options'!$I:$I,"MDAW*")+SUMIFS('NSE - Other Index Options'!$M:$M,'NSE - Other Index Options'!$C:$C,$A118,'NSE - Other Index Options'!$B:$B,E$4,'NSE - Other Index Options'!$I:$I,"Weekly*")+SUMIFS('NSE - Other Index Options'!$M:$M,'NSE - Other Index Options'!$C:$C,$A118,'NSE - Other Index Options'!$B:$B,E$4,'NSE - Other Index Options'!$I:$I,"MDAW*")+SUMIFS('BSE - SENSEX Index Options'!$M:$M,'BSE - SENSEX Index Options'!$C:$C,$A118,'BSE - SENSEX Index Options'!$B:$B,E$4,'BSE - SENSEX Index Options'!$I:$I,"Weekly*")+SUMIFS('BSE - SENSEX Index Options'!$M:$M,'BSE - SENSEX Index Options'!$C:$C,$A118,'BSE - SENSEX Index Options'!$B:$B,E$4,'BSE - SENSEX Index Options'!$I:$I,"MDAW*")+SUMIFS('BSE - Other Index Options'!$M:$M,'BSE - Other Index Options'!$C:$C,$A118,'BSE - Other Index Options'!$B:$B,E$4,'BSE - Other Index Options'!$I:$I,"Weekly*")+SUMIFS('BSE - Other Index Options'!$M:$M,'BSE - Other Index Options'!$C:$C,$A118,'BSE - Other Index Options'!$B:$B,E$4,'BSE - Other Index Options'!$I:$I,"MDAW*"))</f>
        <v/>
      </c>
      <c r="F118" s="26">
        <f>IF(SUMIFS('NSE - NIFTY Index Options'!$M:$M,'NSE - NIFTY Index Options'!$C:$C,$A118,'NSE - NIFTY Index Options'!$B:$B,F$4,'NSE - NIFTY Index Options'!$I:$I,"Weekly*")+SUMIFS('NSE - NIFTY Index Options'!$M:$M,'NSE - NIFTY Index Options'!$C:$C,$A118,'NSE - NIFTY Index Options'!$B:$B,F$4,'NSE - NIFTY Index Options'!$I:$I,"MDAW*")+SUMIFS('NSE - Other Index Options'!$M:$M,'NSE - Other Index Options'!$C:$C,$A118,'NSE - Other Index Options'!$B:$B,F$4,'NSE - Other Index Options'!$I:$I,"Weekly*")+SUMIFS('NSE - Other Index Options'!$M:$M,'NSE - Other Index Options'!$C:$C,$A118,'NSE - Other Index Options'!$B:$B,F$4,'NSE - Other Index Options'!$I:$I,"MDAW*")+SUMIFS('BSE - SENSEX Index Options'!$M:$M,'BSE - SENSEX Index Options'!$C:$C,$A118,'BSE - SENSEX Index Options'!$B:$B,F$4,'BSE - SENSEX Index Options'!$I:$I,"Weekly*")+SUMIFS('BSE - SENSEX Index Options'!$M:$M,'BSE - SENSEX Index Options'!$C:$C,$A118,'BSE - SENSEX Index Options'!$B:$B,F$4,'BSE - SENSEX Index Options'!$I:$I,"MDAW*")+SUMIFS('BSE - Other Index Options'!$M:$M,'BSE - Other Index Options'!$C:$C,$A118,'BSE - Other Index Options'!$B:$B,F$4,'BSE - Other Index Options'!$I:$I,"Weekly*")+SUMIFS('BSE - Other Index Options'!$M:$M,'BSE - Other Index Options'!$C:$C,$A118,'BSE - Other Index Options'!$B:$B,F$4,'BSE - Other Index Options'!$I:$I,"MDAW*")=0,"",SUMIFS('NSE - NIFTY Index Options'!$M:$M,'NSE - NIFTY Index Options'!$C:$C,$A118,'NSE - NIFTY Index Options'!$B:$B,F$4,'NSE - NIFTY Index Options'!$I:$I,"Weekly*")+SUMIFS('NSE - NIFTY Index Options'!$M:$M,'NSE - NIFTY Index Options'!$C:$C,$A118,'NSE - NIFTY Index Options'!$B:$B,F$4,'NSE - NIFTY Index Options'!$I:$I,"MDAW*")+SUMIFS('NSE - Other Index Options'!$M:$M,'NSE - Other Index Options'!$C:$C,$A118,'NSE - Other Index Options'!$B:$B,F$4,'NSE - Other Index Options'!$I:$I,"Weekly*")+SUMIFS('NSE - Other Index Options'!$M:$M,'NSE - Other Index Options'!$C:$C,$A118,'NSE - Other Index Options'!$B:$B,F$4,'NSE - Other Index Options'!$I:$I,"MDAW*")+SUMIFS('BSE - SENSEX Index Options'!$M:$M,'BSE - SENSEX Index Options'!$C:$C,$A118,'BSE - SENSEX Index Options'!$B:$B,F$4,'BSE - SENSEX Index Options'!$I:$I,"Weekly*")+SUMIFS('BSE - SENSEX Index Options'!$M:$M,'BSE - SENSEX Index Options'!$C:$C,$A118,'BSE - SENSEX Index Options'!$B:$B,F$4,'BSE - SENSEX Index Options'!$I:$I,"MDAW*")+SUMIFS('BSE - Other Index Options'!$M:$M,'BSE - Other Index Options'!$C:$C,$A118,'BSE - Other Index Options'!$B:$B,F$4,'BSE - Other Index Options'!$I:$I,"Weekly*")+SUMIFS('BSE - Other Index Options'!$M:$M,'BSE - Other Index Options'!$C:$C,$A118,'BSE - Other Index Options'!$B:$B,F$4,'BSE - Other Index Options'!$I:$I,"MDAW*"))</f>
        <v/>
      </c>
      <c r="G118" s="26">
        <f>IF(SUMIFS('NSE - NIFTY Index Options'!$M:$M,'NSE - NIFTY Index Options'!$C:$C,$A118,'NSE - NIFTY Index Options'!$B:$B,G$4,'NSE - NIFTY Index Options'!$I:$I,"Weekly*")+SUMIFS('NSE - NIFTY Index Options'!$M:$M,'NSE - NIFTY Index Options'!$C:$C,$A118,'NSE - NIFTY Index Options'!$B:$B,G$4,'NSE - NIFTY Index Options'!$I:$I,"MDAW*")+SUMIFS('NSE - Other Index Options'!$M:$M,'NSE - Other Index Options'!$C:$C,$A118,'NSE - Other Index Options'!$B:$B,G$4,'NSE - Other Index Options'!$I:$I,"Weekly*")+SUMIFS('NSE - Other Index Options'!$M:$M,'NSE - Other Index Options'!$C:$C,$A118,'NSE - Other Index Options'!$B:$B,G$4,'NSE - Other Index Options'!$I:$I,"MDAW*")+SUMIFS('BSE - SENSEX Index Options'!$M:$M,'BSE - SENSEX Index Options'!$C:$C,$A118,'BSE - SENSEX Index Options'!$B:$B,G$4,'BSE - SENSEX Index Options'!$I:$I,"Weekly*")+SUMIFS('BSE - SENSEX Index Options'!$M:$M,'BSE - SENSEX Index Options'!$C:$C,$A118,'BSE - SENSEX Index Options'!$B:$B,G$4,'BSE - SENSEX Index Options'!$I:$I,"MDAW*")+SUMIFS('BSE - Other Index Options'!$M:$M,'BSE - Other Index Options'!$C:$C,$A118,'BSE - Other Index Options'!$B:$B,G$4,'BSE - Other Index Options'!$I:$I,"Weekly*")+SUMIFS('BSE - Other Index Options'!$M:$M,'BSE - Other Index Options'!$C:$C,$A118,'BSE - Other Index Options'!$B:$B,G$4,'BSE - Other Index Options'!$I:$I,"MDAW*")=0,"",SUMIFS('NSE - NIFTY Index Options'!$M:$M,'NSE - NIFTY Index Options'!$C:$C,$A118,'NSE - NIFTY Index Options'!$B:$B,G$4,'NSE - NIFTY Index Options'!$I:$I,"Weekly*")+SUMIFS('NSE - NIFTY Index Options'!$M:$M,'NSE - NIFTY Index Options'!$C:$C,$A118,'NSE - NIFTY Index Options'!$B:$B,G$4,'NSE - NIFTY Index Options'!$I:$I,"MDAW*")+SUMIFS('NSE - Other Index Options'!$M:$M,'NSE - Other Index Options'!$C:$C,$A118,'NSE - Other Index Options'!$B:$B,G$4,'NSE - Other Index Options'!$I:$I,"Weekly*")+SUMIFS('NSE - Other Index Options'!$M:$M,'NSE - Other Index Options'!$C:$C,$A118,'NSE - Other Index Options'!$B:$B,G$4,'NSE - Other Index Options'!$I:$I,"MDAW*")+SUMIFS('BSE - SENSEX Index Options'!$M:$M,'BSE - SENSEX Index Options'!$C:$C,$A118,'BSE - SENSEX Index Options'!$B:$B,G$4,'BSE - SENSEX Index Options'!$I:$I,"Weekly*")+SUMIFS('BSE - SENSEX Index Options'!$M:$M,'BSE - SENSEX Index Options'!$C:$C,$A118,'BSE - SENSEX Index Options'!$B:$B,G$4,'BSE - SENSEX Index Options'!$I:$I,"MDAW*")+SUMIFS('BSE - Other Index Options'!$M:$M,'BSE - Other Index Options'!$C:$C,$A118,'BSE - Other Index Options'!$B:$B,G$4,'BSE - Other Index Options'!$I:$I,"Weekly*")+SUMIFS('BSE - Other Index Options'!$M:$M,'BSE - Other Index Options'!$C:$C,$A118,'BSE - Other Index Options'!$B:$B,G$4,'BSE - Other Index Options'!$I:$I,"MDAW*"))</f>
        <v/>
      </c>
      <c r="H118" s="26">
        <f>IF(SUM(B118:G118)=0,"",SUM(B118:G118))</f>
        <v/>
      </c>
    </row>
    <row r="119" hidden="1" outlineLevel="1">
      <c r="A119" t="inlineStr">
        <is>
          <t>Week2-Aug-2027</t>
        </is>
      </c>
      <c r="B119" s="26">
        <f>IF(SUMIFS('NSE - NIFTY Index Options'!$M:$M,'NSE - NIFTY Index Options'!$C:$C,$A119,'NSE - NIFTY Index Options'!$B:$B,B$4,'NSE - NIFTY Index Options'!$I:$I,"Weekly*")+SUMIFS('NSE - NIFTY Index Options'!$M:$M,'NSE - NIFTY Index Options'!$C:$C,$A119,'NSE - NIFTY Index Options'!$B:$B,B$4,'NSE - NIFTY Index Options'!$I:$I,"MDAW*")+SUMIFS('NSE - Other Index Options'!$M:$M,'NSE - Other Index Options'!$C:$C,$A119,'NSE - Other Index Options'!$B:$B,B$4,'NSE - Other Index Options'!$I:$I,"Weekly*")+SUMIFS('NSE - Other Index Options'!$M:$M,'NSE - Other Index Options'!$C:$C,$A119,'NSE - Other Index Options'!$B:$B,B$4,'NSE - Other Index Options'!$I:$I,"MDAW*")+SUMIFS('BSE - SENSEX Index Options'!$M:$M,'BSE - SENSEX Index Options'!$C:$C,$A119,'BSE - SENSEX Index Options'!$B:$B,B$4,'BSE - SENSEX Index Options'!$I:$I,"Weekly*")+SUMIFS('BSE - SENSEX Index Options'!$M:$M,'BSE - SENSEX Index Options'!$C:$C,$A119,'BSE - SENSEX Index Options'!$B:$B,B$4,'BSE - SENSEX Index Options'!$I:$I,"MDAW*")+SUMIFS('BSE - Other Index Options'!$M:$M,'BSE - Other Index Options'!$C:$C,$A119,'BSE - Other Index Options'!$B:$B,B$4,'BSE - Other Index Options'!$I:$I,"Weekly*")+SUMIFS('BSE - Other Index Options'!$M:$M,'BSE - Other Index Options'!$C:$C,$A119,'BSE - Other Index Options'!$B:$B,B$4,'BSE - Other Index Options'!$I:$I,"MDAW*")=0,"",SUMIFS('NSE - NIFTY Index Options'!$M:$M,'NSE - NIFTY Index Options'!$C:$C,$A119,'NSE - NIFTY Index Options'!$B:$B,B$4,'NSE - NIFTY Index Options'!$I:$I,"Weekly*")+SUMIFS('NSE - NIFTY Index Options'!$M:$M,'NSE - NIFTY Index Options'!$C:$C,$A119,'NSE - NIFTY Index Options'!$B:$B,B$4,'NSE - NIFTY Index Options'!$I:$I,"MDAW*")+SUMIFS('NSE - Other Index Options'!$M:$M,'NSE - Other Index Options'!$C:$C,$A119,'NSE - Other Index Options'!$B:$B,B$4,'NSE - Other Index Options'!$I:$I,"Weekly*")+SUMIFS('NSE - Other Index Options'!$M:$M,'NSE - Other Index Options'!$C:$C,$A119,'NSE - Other Index Options'!$B:$B,B$4,'NSE - Other Index Options'!$I:$I,"MDAW*")+SUMIFS('BSE - SENSEX Index Options'!$M:$M,'BSE - SENSEX Index Options'!$C:$C,$A119,'BSE - SENSEX Index Options'!$B:$B,B$4,'BSE - SENSEX Index Options'!$I:$I,"Weekly*")+SUMIFS('BSE - SENSEX Index Options'!$M:$M,'BSE - SENSEX Index Options'!$C:$C,$A119,'BSE - SENSEX Index Options'!$B:$B,B$4,'BSE - SENSEX Index Options'!$I:$I,"MDAW*")+SUMIFS('BSE - Other Index Options'!$M:$M,'BSE - Other Index Options'!$C:$C,$A119,'BSE - Other Index Options'!$B:$B,B$4,'BSE - Other Index Options'!$I:$I,"Weekly*")+SUMIFS('BSE - Other Index Options'!$M:$M,'BSE - Other Index Options'!$C:$C,$A119,'BSE - Other Index Options'!$B:$B,B$4,'BSE - Other Index Options'!$I:$I,"MDAW*"))</f>
        <v/>
      </c>
      <c r="C119" s="26">
        <f>IF(SUMIFS('NSE - NIFTY Index Options'!$M:$M,'NSE - NIFTY Index Options'!$C:$C,$A119,'NSE - NIFTY Index Options'!$B:$B,C$4,'NSE - NIFTY Index Options'!$I:$I,"Weekly*")+SUMIFS('NSE - NIFTY Index Options'!$M:$M,'NSE - NIFTY Index Options'!$C:$C,$A119,'NSE - NIFTY Index Options'!$B:$B,C$4,'NSE - NIFTY Index Options'!$I:$I,"MDAW*")+SUMIFS('NSE - Other Index Options'!$M:$M,'NSE - Other Index Options'!$C:$C,$A119,'NSE - Other Index Options'!$B:$B,C$4,'NSE - Other Index Options'!$I:$I,"Weekly*")+SUMIFS('NSE - Other Index Options'!$M:$M,'NSE - Other Index Options'!$C:$C,$A119,'NSE - Other Index Options'!$B:$B,C$4,'NSE - Other Index Options'!$I:$I,"MDAW*")+SUMIFS('BSE - SENSEX Index Options'!$M:$M,'BSE - SENSEX Index Options'!$C:$C,$A119,'BSE - SENSEX Index Options'!$B:$B,C$4,'BSE - SENSEX Index Options'!$I:$I,"Weekly*")+SUMIFS('BSE - SENSEX Index Options'!$M:$M,'BSE - SENSEX Index Options'!$C:$C,$A119,'BSE - SENSEX Index Options'!$B:$B,C$4,'BSE - SENSEX Index Options'!$I:$I,"MDAW*")+SUMIFS('BSE - Other Index Options'!$M:$M,'BSE - Other Index Options'!$C:$C,$A119,'BSE - Other Index Options'!$B:$B,C$4,'BSE - Other Index Options'!$I:$I,"Weekly*")+SUMIFS('BSE - Other Index Options'!$M:$M,'BSE - Other Index Options'!$C:$C,$A119,'BSE - Other Index Options'!$B:$B,C$4,'BSE - Other Index Options'!$I:$I,"MDAW*")=0,"",SUMIFS('NSE - NIFTY Index Options'!$M:$M,'NSE - NIFTY Index Options'!$C:$C,$A119,'NSE - NIFTY Index Options'!$B:$B,C$4,'NSE - NIFTY Index Options'!$I:$I,"Weekly*")+SUMIFS('NSE - NIFTY Index Options'!$M:$M,'NSE - NIFTY Index Options'!$C:$C,$A119,'NSE - NIFTY Index Options'!$B:$B,C$4,'NSE - NIFTY Index Options'!$I:$I,"MDAW*")+SUMIFS('NSE - Other Index Options'!$M:$M,'NSE - Other Index Options'!$C:$C,$A119,'NSE - Other Index Options'!$B:$B,C$4,'NSE - Other Index Options'!$I:$I,"Weekly*")+SUMIFS('NSE - Other Index Options'!$M:$M,'NSE - Other Index Options'!$C:$C,$A119,'NSE - Other Index Options'!$B:$B,C$4,'NSE - Other Index Options'!$I:$I,"MDAW*")+SUMIFS('BSE - SENSEX Index Options'!$M:$M,'BSE - SENSEX Index Options'!$C:$C,$A119,'BSE - SENSEX Index Options'!$B:$B,C$4,'BSE - SENSEX Index Options'!$I:$I,"Weekly*")+SUMIFS('BSE - SENSEX Index Options'!$M:$M,'BSE - SENSEX Index Options'!$C:$C,$A119,'BSE - SENSEX Index Options'!$B:$B,C$4,'BSE - SENSEX Index Options'!$I:$I,"MDAW*")+SUMIFS('BSE - Other Index Options'!$M:$M,'BSE - Other Index Options'!$C:$C,$A119,'BSE - Other Index Options'!$B:$B,C$4,'BSE - Other Index Options'!$I:$I,"Weekly*")+SUMIFS('BSE - Other Index Options'!$M:$M,'BSE - Other Index Options'!$C:$C,$A119,'BSE - Other Index Options'!$B:$B,C$4,'BSE - Other Index Options'!$I:$I,"MDAW*"))</f>
        <v/>
      </c>
      <c r="D119" s="26">
        <f>IF(SUMIFS('NSE - NIFTY Index Options'!$M:$M,'NSE - NIFTY Index Options'!$C:$C,$A119,'NSE - NIFTY Index Options'!$B:$B,D$4,'NSE - NIFTY Index Options'!$I:$I,"Weekly*")+SUMIFS('NSE - NIFTY Index Options'!$M:$M,'NSE - NIFTY Index Options'!$C:$C,$A119,'NSE - NIFTY Index Options'!$B:$B,D$4,'NSE - NIFTY Index Options'!$I:$I,"MDAW*")+SUMIFS('NSE - Other Index Options'!$M:$M,'NSE - Other Index Options'!$C:$C,$A119,'NSE - Other Index Options'!$B:$B,D$4,'NSE - Other Index Options'!$I:$I,"Weekly*")+SUMIFS('NSE - Other Index Options'!$M:$M,'NSE - Other Index Options'!$C:$C,$A119,'NSE - Other Index Options'!$B:$B,D$4,'NSE - Other Index Options'!$I:$I,"MDAW*")+SUMIFS('BSE - SENSEX Index Options'!$M:$M,'BSE - SENSEX Index Options'!$C:$C,$A119,'BSE - SENSEX Index Options'!$B:$B,D$4,'BSE - SENSEX Index Options'!$I:$I,"Weekly*")+SUMIFS('BSE - SENSEX Index Options'!$M:$M,'BSE - SENSEX Index Options'!$C:$C,$A119,'BSE - SENSEX Index Options'!$B:$B,D$4,'BSE - SENSEX Index Options'!$I:$I,"MDAW*")+SUMIFS('BSE - Other Index Options'!$M:$M,'BSE - Other Index Options'!$C:$C,$A119,'BSE - Other Index Options'!$B:$B,D$4,'BSE - Other Index Options'!$I:$I,"Weekly*")+SUMIFS('BSE - Other Index Options'!$M:$M,'BSE - Other Index Options'!$C:$C,$A119,'BSE - Other Index Options'!$B:$B,D$4,'BSE - Other Index Options'!$I:$I,"MDAW*")=0,"",SUMIFS('NSE - NIFTY Index Options'!$M:$M,'NSE - NIFTY Index Options'!$C:$C,$A119,'NSE - NIFTY Index Options'!$B:$B,D$4,'NSE - NIFTY Index Options'!$I:$I,"Weekly*")+SUMIFS('NSE - NIFTY Index Options'!$M:$M,'NSE - NIFTY Index Options'!$C:$C,$A119,'NSE - NIFTY Index Options'!$B:$B,D$4,'NSE - NIFTY Index Options'!$I:$I,"MDAW*")+SUMIFS('NSE - Other Index Options'!$M:$M,'NSE - Other Index Options'!$C:$C,$A119,'NSE - Other Index Options'!$B:$B,D$4,'NSE - Other Index Options'!$I:$I,"Weekly*")+SUMIFS('NSE - Other Index Options'!$M:$M,'NSE - Other Index Options'!$C:$C,$A119,'NSE - Other Index Options'!$B:$B,D$4,'NSE - Other Index Options'!$I:$I,"MDAW*")+SUMIFS('BSE - SENSEX Index Options'!$M:$M,'BSE - SENSEX Index Options'!$C:$C,$A119,'BSE - SENSEX Index Options'!$B:$B,D$4,'BSE - SENSEX Index Options'!$I:$I,"Weekly*")+SUMIFS('BSE - SENSEX Index Options'!$M:$M,'BSE - SENSEX Index Options'!$C:$C,$A119,'BSE - SENSEX Index Options'!$B:$B,D$4,'BSE - SENSEX Index Options'!$I:$I,"MDAW*")+SUMIFS('BSE - Other Index Options'!$M:$M,'BSE - Other Index Options'!$C:$C,$A119,'BSE - Other Index Options'!$B:$B,D$4,'BSE - Other Index Options'!$I:$I,"Weekly*")+SUMIFS('BSE - Other Index Options'!$M:$M,'BSE - Other Index Options'!$C:$C,$A119,'BSE - Other Index Options'!$B:$B,D$4,'BSE - Other Index Options'!$I:$I,"MDAW*"))</f>
        <v/>
      </c>
      <c r="E119" s="26">
        <f>IF(SUMIFS('NSE - NIFTY Index Options'!$M:$M,'NSE - NIFTY Index Options'!$C:$C,$A119,'NSE - NIFTY Index Options'!$B:$B,E$4,'NSE - NIFTY Index Options'!$I:$I,"Weekly*")+SUMIFS('NSE - NIFTY Index Options'!$M:$M,'NSE - NIFTY Index Options'!$C:$C,$A119,'NSE - NIFTY Index Options'!$B:$B,E$4,'NSE - NIFTY Index Options'!$I:$I,"MDAW*")+SUMIFS('NSE - Other Index Options'!$M:$M,'NSE - Other Index Options'!$C:$C,$A119,'NSE - Other Index Options'!$B:$B,E$4,'NSE - Other Index Options'!$I:$I,"Weekly*")+SUMIFS('NSE - Other Index Options'!$M:$M,'NSE - Other Index Options'!$C:$C,$A119,'NSE - Other Index Options'!$B:$B,E$4,'NSE - Other Index Options'!$I:$I,"MDAW*")+SUMIFS('BSE - SENSEX Index Options'!$M:$M,'BSE - SENSEX Index Options'!$C:$C,$A119,'BSE - SENSEX Index Options'!$B:$B,E$4,'BSE - SENSEX Index Options'!$I:$I,"Weekly*")+SUMIFS('BSE - SENSEX Index Options'!$M:$M,'BSE - SENSEX Index Options'!$C:$C,$A119,'BSE - SENSEX Index Options'!$B:$B,E$4,'BSE - SENSEX Index Options'!$I:$I,"MDAW*")+SUMIFS('BSE - Other Index Options'!$M:$M,'BSE - Other Index Options'!$C:$C,$A119,'BSE - Other Index Options'!$B:$B,E$4,'BSE - Other Index Options'!$I:$I,"Weekly*")+SUMIFS('BSE - Other Index Options'!$M:$M,'BSE - Other Index Options'!$C:$C,$A119,'BSE - Other Index Options'!$B:$B,E$4,'BSE - Other Index Options'!$I:$I,"MDAW*")=0,"",SUMIFS('NSE - NIFTY Index Options'!$M:$M,'NSE - NIFTY Index Options'!$C:$C,$A119,'NSE - NIFTY Index Options'!$B:$B,E$4,'NSE - NIFTY Index Options'!$I:$I,"Weekly*")+SUMIFS('NSE - NIFTY Index Options'!$M:$M,'NSE - NIFTY Index Options'!$C:$C,$A119,'NSE - NIFTY Index Options'!$B:$B,E$4,'NSE - NIFTY Index Options'!$I:$I,"MDAW*")+SUMIFS('NSE - Other Index Options'!$M:$M,'NSE - Other Index Options'!$C:$C,$A119,'NSE - Other Index Options'!$B:$B,E$4,'NSE - Other Index Options'!$I:$I,"Weekly*")+SUMIFS('NSE - Other Index Options'!$M:$M,'NSE - Other Index Options'!$C:$C,$A119,'NSE - Other Index Options'!$B:$B,E$4,'NSE - Other Index Options'!$I:$I,"MDAW*")+SUMIFS('BSE - SENSEX Index Options'!$M:$M,'BSE - SENSEX Index Options'!$C:$C,$A119,'BSE - SENSEX Index Options'!$B:$B,E$4,'BSE - SENSEX Index Options'!$I:$I,"Weekly*")+SUMIFS('BSE - SENSEX Index Options'!$M:$M,'BSE - SENSEX Index Options'!$C:$C,$A119,'BSE - SENSEX Index Options'!$B:$B,E$4,'BSE - SENSEX Index Options'!$I:$I,"MDAW*")+SUMIFS('BSE - Other Index Options'!$M:$M,'BSE - Other Index Options'!$C:$C,$A119,'BSE - Other Index Options'!$B:$B,E$4,'BSE - Other Index Options'!$I:$I,"Weekly*")+SUMIFS('BSE - Other Index Options'!$M:$M,'BSE - Other Index Options'!$C:$C,$A119,'BSE - Other Index Options'!$B:$B,E$4,'BSE - Other Index Options'!$I:$I,"MDAW*"))</f>
        <v/>
      </c>
      <c r="F119" s="26">
        <f>IF(SUMIFS('NSE - NIFTY Index Options'!$M:$M,'NSE - NIFTY Index Options'!$C:$C,$A119,'NSE - NIFTY Index Options'!$B:$B,F$4,'NSE - NIFTY Index Options'!$I:$I,"Weekly*")+SUMIFS('NSE - NIFTY Index Options'!$M:$M,'NSE - NIFTY Index Options'!$C:$C,$A119,'NSE - NIFTY Index Options'!$B:$B,F$4,'NSE - NIFTY Index Options'!$I:$I,"MDAW*")+SUMIFS('NSE - Other Index Options'!$M:$M,'NSE - Other Index Options'!$C:$C,$A119,'NSE - Other Index Options'!$B:$B,F$4,'NSE - Other Index Options'!$I:$I,"Weekly*")+SUMIFS('NSE - Other Index Options'!$M:$M,'NSE - Other Index Options'!$C:$C,$A119,'NSE - Other Index Options'!$B:$B,F$4,'NSE - Other Index Options'!$I:$I,"MDAW*")+SUMIFS('BSE - SENSEX Index Options'!$M:$M,'BSE - SENSEX Index Options'!$C:$C,$A119,'BSE - SENSEX Index Options'!$B:$B,F$4,'BSE - SENSEX Index Options'!$I:$I,"Weekly*")+SUMIFS('BSE - SENSEX Index Options'!$M:$M,'BSE - SENSEX Index Options'!$C:$C,$A119,'BSE - SENSEX Index Options'!$B:$B,F$4,'BSE - SENSEX Index Options'!$I:$I,"MDAW*")+SUMIFS('BSE - Other Index Options'!$M:$M,'BSE - Other Index Options'!$C:$C,$A119,'BSE - Other Index Options'!$B:$B,F$4,'BSE - Other Index Options'!$I:$I,"Weekly*")+SUMIFS('BSE - Other Index Options'!$M:$M,'BSE - Other Index Options'!$C:$C,$A119,'BSE - Other Index Options'!$B:$B,F$4,'BSE - Other Index Options'!$I:$I,"MDAW*")=0,"",SUMIFS('NSE - NIFTY Index Options'!$M:$M,'NSE - NIFTY Index Options'!$C:$C,$A119,'NSE - NIFTY Index Options'!$B:$B,F$4,'NSE - NIFTY Index Options'!$I:$I,"Weekly*")+SUMIFS('NSE - NIFTY Index Options'!$M:$M,'NSE - NIFTY Index Options'!$C:$C,$A119,'NSE - NIFTY Index Options'!$B:$B,F$4,'NSE - NIFTY Index Options'!$I:$I,"MDAW*")+SUMIFS('NSE - Other Index Options'!$M:$M,'NSE - Other Index Options'!$C:$C,$A119,'NSE - Other Index Options'!$B:$B,F$4,'NSE - Other Index Options'!$I:$I,"Weekly*")+SUMIFS('NSE - Other Index Options'!$M:$M,'NSE - Other Index Options'!$C:$C,$A119,'NSE - Other Index Options'!$B:$B,F$4,'NSE - Other Index Options'!$I:$I,"MDAW*")+SUMIFS('BSE - SENSEX Index Options'!$M:$M,'BSE - SENSEX Index Options'!$C:$C,$A119,'BSE - SENSEX Index Options'!$B:$B,F$4,'BSE - SENSEX Index Options'!$I:$I,"Weekly*")+SUMIFS('BSE - SENSEX Index Options'!$M:$M,'BSE - SENSEX Index Options'!$C:$C,$A119,'BSE - SENSEX Index Options'!$B:$B,F$4,'BSE - SENSEX Index Options'!$I:$I,"MDAW*")+SUMIFS('BSE - Other Index Options'!$M:$M,'BSE - Other Index Options'!$C:$C,$A119,'BSE - Other Index Options'!$B:$B,F$4,'BSE - Other Index Options'!$I:$I,"Weekly*")+SUMIFS('BSE - Other Index Options'!$M:$M,'BSE - Other Index Options'!$C:$C,$A119,'BSE - Other Index Options'!$B:$B,F$4,'BSE - Other Index Options'!$I:$I,"MDAW*"))</f>
        <v/>
      </c>
      <c r="G119" s="26">
        <f>IF(SUMIFS('NSE - NIFTY Index Options'!$M:$M,'NSE - NIFTY Index Options'!$C:$C,$A119,'NSE - NIFTY Index Options'!$B:$B,G$4,'NSE - NIFTY Index Options'!$I:$I,"Weekly*")+SUMIFS('NSE - NIFTY Index Options'!$M:$M,'NSE - NIFTY Index Options'!$C:$C,$A119,'NSE - NIFTY Index Options'!$B:$B,G$4,'NSE - NIFTY Index Options'!$I:$I,"MDAW*")+SUMIFS('NSE - Other Index Options'!$M:$M,'NSE - Other Index Options'!$C:$C,$A119,'NSE - Other Index Options'!$B:$B,G$4,'NSE - Other Index Options'!$I:$I,"Weekly*")+SUMIFS('NSE - Other Index Options'!$M:$M,'NSE - Other Index Options'!$C:$C,$A119,'NSE - Other Index Options'!$B:$B,G$4,'NSE - Other Index Options'!$I:$I,"MDAW*")+SUMIFS('BSE - SENSEX Index Options'!$M:$M,'BSE - SENSEX Index Options'!$C:$C,$A119,'BSE - SENSEX Index Options'!$B:$B,G$4,'BSE - SENSEX Index Options'!$I:$I,"Weekly*")+SUMIFS('BSE - SENSEX Index Options'!$M:$M,'BSE - SENSEX Index Options'!$C:$C,$A119,'BSE - SENSEX Index Options'!$B:$B,G$4,'BSE - SENSEX Index Options'!$I:$I,"MDAW*")+SUMIFS('BSE - Other Index Options'!$M:$M,'BSE - Other Index Options'!$C:$C,$A119,'BSE - Other Index Options'!$B:$B,G$4,'BSE - Other Index Options'!$I:$I,"Weekly*")+SUMIFS('BSE - Other Index Options'!$M:$M,'BSE - Other Index Options'!$C:$C,$A119,'BSE - Other Index Options'!$B:$B,G$4,'BSE - Other Index Options'!$I:$I,"MDAW*")=0,"",SUMIFS('NSE - NIFTY Index Options'!$M:$M,'NSE - NIFTY Index Options'!$C:$C,$A119,'NSE - NIFTY Index Options'!$B:$B,G$4,'NSE - NIFTY Index Options'!$I:$I,"Weekly*")+SUMIFS('NSE - NIFTY Index Options'!$M:$M,'NSE - NIFTY Index Options'!$C:$C,$A119,'NSE - NIFTY Index Options'!$B:$B,G$4,'NSE - NIFTY Index Options'!$I:$I,"MDAW*")+SUMIFS('NSE - Other Index Options'!$M:$M,'NSE - Other Index Options'!$C:$C,$A119,'NSE - Other Index Options'!$B:$B,G$4,'NSE - Other Index Options'!$I:$I,"Weekly*")+SUMIFS('NSE - Other Index Options'!$M:$M,'NSE - Other Index Options'!$C:$C,$A119,'NSE - Other Index Options'!$B:$B,G$4,'NSE - Other Index Options'!$I:$I,"MDAW*")+SUMIFS('BSE - SENSEX Index Options'!$M:$M,'BSE - SENSEX Index Options'!$C:$C,$A119,'BSE - SENSEX Index Options'!$B:$B,G$4,'BSE - SENSEX Index Options'!$I:$I,"Weekly*")+SUMIFS('BSE - SENSEX Index Options'!$M:$M,'BSE - SENSEX Index Options'!$C:$C,$A119,'BSE - SENSEX Index Options'!$B:$B,G$4,'BSE - SENSEX Index Options'!$I:$I,"MDAW*")+SUMIFS('BSE - Other Index Options'!$M:$M,'BSE - Other Index Options'!$C:$C,$A119,'BSE - Other Index Options'!$B:$B,G$4,'BSE - Other Index Options'!$I:$I,"Weekly*")+SUMIFS('BSE - Other Index Options'!$M:$M,'BSE - Other Index Options'!$C:$C,$A119,'BSE - Other Index Options'!$B:$B,G$4,'BSE - Other Index Options'!$I:$I,"MDAW*"))</f>
        <v/>
      </c>
      <c r="H119" s="26">
        <f>IF(SUM(B119:G119)=0,"",SUM(B119:G119))</f>
        <v/>
      </c>
    </row>
    <row r="120" hidden="1" outlineLevel="1">
      <c r="A120" t="inlineStr">
        <is>
          <t>Week3-Aug-2027</t>
        </is>
      </c>
      <c r="B120" s="26">
        <f>IF(SUMIFS('NSE - NIFTY Index Options'!$M:$M,'NSE - NIFTY Index Options'!$C:$C,$A120,'NSE - NIFTY Index Options'!$B:$B,B$4,'NSE - NIFTY Index Options'!$I:$I,"Weekly*")+SUMIFS('NSE - NIFTY Index Options'!$M:$M,'NSE - NIFTY Index Options'!$C:$C,$A120,'NSE - NIFTY Index Options'!$B:$B,B$4,'NSE - NIFTY Index Options'!$I:$I,"MDAW*")+SUMIFS('NSE - Other Index Options'!$M:$M,'NSE - Other Index Options'!$C:$C,$A120,'NSE - Other Index Options'!$B:$B,B$4,'NSE - Other Index Options'!$I:$I,"Weekly*")+SUMIFS('NSE - Other Index Options'!$M:$M,'NSE - Other Index Options'!$C:$C,$A120,'NSE - Other Index Options'!$B:$B,B$4,'NSE - Other Index Options'!$I:$I,"MDAW*")+SUMIFS('BSE - SENSEX Index Options'!$M:$M,'BSE - SENSEX Index Options'!$C:$C,$A120,'BSE - SENSEX Index Options'!$B:$B,B$4,'BSE - SENSEX Index Options'!$I:$I,"Weekly*")+SUMIFS('BSE - SENSEX Index Options'!$M:$M,'BSE - SENSEX Index Options'!$C:$C,$A120,'BSE - SENSEX Index Options'!$B:$B,B$4,'BSE - SENSEX Index Options'!$I:$I,"MDAW*")+SUMIFS('BSE - Other Index Options'!$M:$M,'BSE - Other Index Options'!$C:$C,$A120,'BSE - Other Index Options'!$B:$B,B$4,'BSE - Other Index Options'!$I:$I,"Weekly*")+SUMIFS('BSE - Other Index Options'!$M:$M,'BSE - Other Index Options'!$C:$C,$A120,'BSE - Other Index Options'!$B:$B,B$4,'BSE - Other Index Options'!$I:$I,"MDAW*")=0,"",SUMIFS('NSE - NIFTY Index Options'!$M:$M,'NSE - NIFTY Index Options'!$C:$C,$A120,'NSE - NIFTY Index Options'!$B:$B,B$4,'NSE - NIFTY Index Options'!$I:$I,"Weekly*")+SUMIFS('NSE - NIFTY Index Options'!$M:$M,'NSE - NIFTY Index Options'!$C:$C,$A120,'NSE - NIFTY Index Options'!$B:$B,B$4,'NSE - NIFTY Index Options'!$I:$I,"MDAW*")+SUMIFS('NSE - Other Index Options'!$M:$M,'NSE - Other Index Options'!$C:$C,$A120,'NSE - Other Index Options'!$B:$B,B$4,'NSE - Other Index Options'!$I:$I,"Weekly*")+SUMIFS('NSE - Other Index Options'!$M:$M,'NSE - Other Index Options'!$C:$C,$A120,'NSE - Other Index Options'!$B:$B,B$4,'NSE - Other Index Options'!$I:$I,"MDAW*")+SUMIFS('BSE - SENSEX Index Options'!$M:$M,'BSE - SENSEX Index Options'!$C:$C,$A120,'BSE - SENSEX Index Options'!$B:$B,B$4,'BSE - SENSEX Index Options'!$I:$I,"Weekly*")+SUMIFS('BSE - SENSEX Index Options'!$M:$M,'BSE - SENSEX Index Options'!$C:$C,$A120,'BSE - SENSEX Index Options'!$B:$B,B$4,'BSE - SENSEX Index Options'!$I:$I,"MDAW*")+SUMIFS('BSE - Other Index Options'!$M:$M,'BSE - Other Index Options'!$C:$C,$A120,'BSE - Other Index Options'!$B:$B,B$4,'BSE - Other Index Options'!$I:$I,"Weekly*")+SUMIFS('BSE - Other Index Options'!$M:$M,'BSE - Other Index Options'!$C:$C,$A120,'BSE - Other Index Options'!$B:$B,B$4,'BSE - Other Index Options'!$I:$I,"MDAW*"))</f>
        <v/>
      </c>
      <c r="C120" s="26">
        <f>IF(SUMIFS('NSE - NIFTY Index Options'!$M:$M,'NSE - NIFTY Index Options'!$C:$C,$A120,'NSE - NIFTY Index Options'!$B:$B,C$4,'NSE - NIFTY Index Options'!$I:$I,"Weekly*")+SUMIFS('NSE - NIFTY Index Options'!$M:$M,'NSE - NIFTY Index Options'!$C:$C,$A120,'NSE - NIFTY Index Options'!$B:$B,C$4,'NSE - NIFTY Index Options'!$I:$I,"MDAW*")+SUMIFS('NSE - Other Index Options'!$M:$M,'NSE - Other Index Options'!$C:$C,$A120,'NSE - Other Index Options'!$B:$B,C$4,'NSE - Other Index Options'!$I:$I,"Weekly*")+SUMIFS('NSE - Other Index Options'!$M:$M,'NSE - Other Index Options'!$C:$C,$A120,'NSE - Other Index Options'!$B:$B,C$4,'NSE - Other Index Options'!$I:$I,"MDAW*")+SUMIFS('BSE - SENSEX Index Options'!$M:$M,'BSE - SENSEX Index Options'!$C:$C,$A120,'BSE - SENSEX Index Options'!$B:$B,C$4,'BSE - SENSEX Index Options'!$I:$I,"Weekly*")+SUMIFS('BSE - SENSEX Index Options'!$M:$M,'BSE - SENSEX Index Options'!$C:$C,$A120,'BSE - SENSEX Index Options'!$B:$B,C$4,'BSE - SENSEX Index Options'!$I:$I,"MDAW*")+SUMIFS('BSE - Other Index Options'!$M:$M,'BSE - Other Index Options'!$C:$C,$A120,'BSE - Other Index Options'!$B:$B,C$4,'BSE - Other Index Options'!$I:$I,"Weekly*")+SUMIFS('BSE - Other Index Options'!$M:$M,'BSE - Other Index Options'!$C:$C,$A120,'BSE - Other Index Options'!$B:$B,C$4,'BSE - Other Index Options'!$I:$I,"MDAW*")=0,"",SUMIFS('NSE - NIFTY Index Options'!$M:$M,'NSE - NIFTY Index Options'!$C:$C,$A120,'NSE - NIFTY Index Options'!$B:$B,C$4,'NSE - NIFTY Index Options'!$I:$I,"Weekly*")+SUMIFS('NSE - NIFTY Index Options'!$M:$M,'NSE - NIFTY Index Options'!$C:$C,$A120,'NSE - NIFTY Index Options'!$B:$B,C$4,'NSE - NIFTY Index Options'!$I:$I,"MDAW*")+SUMIFS('NSE - Other Index Options'!$M:$M,'NSE - Other Index Options'!$C:$C,$A120,'NSE - Other Index Options'!$B:$B,C$4,'NSE - Other Index Options'!$I:$I,"Weekly*")+SUMIFS('NSE - Other Index Options'!$M:$M,'NSE - Other Index Options'!$C:$C,$A120,'NSE - Other Index Options'!$B:$B,C$4,'NSE - Other Index Options'!$I:$I,"MDAW*")+SUMIFS('BSE - SENSEX Index Options'!$M:$M,'BSE - SENSEX Index Options'!$C:$C,$A120,'BSE - SENSEX Index Options'!$B:$B,C$4,'BSE - SENSEX Index Options'!$I:$I,"Weekly*")+SUMIFS('BSE - SENSEX Index Options'!$M:$M,'BSE - SENSEX Index Options'!$C:$C,$A120,'BSE - SENSEX Index Options'!$B:$B,C$4,'BSE - SENSEX Index Options'!$I:$I,"MDAW*")+SUMIFS('BSE - Other Index Options'!$M:$M,'BSE - Other Index Options'!$C:$C,$A120,'BSE - Other Index Options'!$B:$B,C$4,'BSE - Other Index Options'!$I:$I,"Weekly*")+SUMIFS('BSE - Other Index Options'!$M:$M,'BSE - Other Index Options'!$C:$C,$A120,'BSE - Other Index Options'!$B:$B,C$4,'BSE - Other Index Options'!$I:$I,"MDAW*"))</f>
        <v/>
      </c>
      <c r="D120" s="26">
        <f>IF(SUMIFS('NSE - NIFTY Index Options'!$M:$M,'NSE - NIFTY Index Options'!$C:$C,$A120,'NSE - NIFTY Index Options'!$B:$B,D$4,'NSE - NIFTY Index Options'!$I:$I,"Weekly*")+SUMIFS('NSE - NIFTY Index Options'!$M:$M,'NSE - NIFTY Index Options'!$C:$C,$A120,'NSE - NIFTY Index Options'!$B:$B,D$4,'NSE - NIFTY Index Options'!$I:$I,"MDAW*")+SUMIFS('NSE - Other Index Options'!$M:$M,'NSE - Other Index Options'!$C:$C,$A120,'NSE - Other Index Options'!$B:$B,D$4,'NSE - Other Index Options'!$I:$I,"Weekly*")+SUMIFS('NSE - Other Index Options'!$M:$M,'NSE - Other Index Options'!$C:$C,$A120,'NSE - Other Index Options'!$B:$B,D$4,'NSE - Other Index Options'!$I:$I,"MDAW*")+SUMIFS('BSE - SENSEX Index Options'!$M:$M,'BSE - SENSEX Index Options'!$C:$C,$A120,'BSE - SENSEX Index Options'!$B:$B,D$4,'BSE - SENSEX Index Options'!$I:$I,"Weekly*")+SUMIFS('BSE - SENSEX Index Options'!$M:$M,'BSE - SENSEX Index Options'!$C:$C,$A120,'BSE - SENSEX Index Options'!$B:$B,D$4,'BSE - SENSEX Index Options'!$I:$I,"MDAW*")+SUMIFS('BSE - Other Index Options'!$M:$M,'BSE - Other Index Options'!$C:$C,$A120,'BSE - Other Index Options'!$B:$B,D$4,'BSE - Other Index Options'!$I:$I,"Weekly*")+SUMIFS('BSE - Other Index Options'!$M:$M,'BSE - Other Index Options'!$C:$C,$A120,'BSE - Other Index Options'!$B:$B,D$4,'BSE - Other Index Options'!$I:$I,"MDAW*")=0,"",SUMIFS('NSE - NIFTY Index Options'!$M:$M,'NSE - NIFTY Index Options'!$C:$C,$A120,'NSE - NIFTY Index Options'!$B:$B,D$4,'NSE - NIFTY Index Options'!$I:$I,"Weekly*")+SUMIFS('NSE - NIFTY Index Options'!$M:$M,'NSE - NIFTY Index Options'!$C:$C,$A120,'NSE - NIFTY Index Options'!$B:$B,D$4,'NSE - NIFTY Index Options'!$I:$I,"MDAW*")+SUMIFS('NSE - Other Index Options'!$M:$M,'NSE - Other Index Options'!$C:$C,$A120,'NSE - Other Index Options'!$B:$B,D$4,'NSE - Other Index Options'!$I:$I,"Weekly*")+SUMIFS('NSE - Other Index Options'!$M:$M,'NSE - Other Index Options'!$C:$C,$A120,'NSE - Other Index Options'!$B:$B,D$4,'NSE - Other Index Options'!$I:$I,"MDAW*")+SUMIFS('BSE - SENSEX Index Options'!$M:$M,'BSE - SENSEX Index Options'!$C:$C,$A120,'BSE - SENSEX Index Options'!$B:$B,D$4,'BSE - SENSEX Index Options'!$I:$I,"Weekly*")+SUMIFS('BSE - SENSEX Index Options'!$M:$M,'BSE - SENSEX Index Options'!$C:$C,$A120,'BSE - SENSEX Index Options'!$B:$B,D$4,'BSE - SENSEX Index Options'!$I:$I,"MDAW*")+SUMIFS('BSE - Other Index Options'!$M:$M,'BSE - Other Index Options'!$C:$C,$A120,'BSE - Other Index Options'!$B:$B,D$4,'BSE - Other Index Options'!$I:$I,"Weekly*")+SUMIFS('BSE - Other Index Options'!$M:$M,'BSE - Other Index Options'!$C:$C,$A120,'BSE - Other Index Options'!$B:$B,D$4,'BSE - Other Index Options'!$I:$I,"MDAW*"))</f>
        <v/>
      </c>
      <c r="E120" s="26">
        <f>IF(SUMIFS('NSE - NIFTY Index Options'!$M:$M,'NSE - NIFTY Index Options'!$C:$C,$A120,'NSE - NIFTY Index Options'!$B:$B,E$4,'NSE - NIFTY Index Options'!$I:$I,"Weekly*")+SUMIFS('NSE - NIFTY Index Options'!$M:$M,'NSE - NIFTY Index Options'!$C:$C,$A120,'NSE - NIFTY Index Options'!$B:$B,E$4,'NSE - NIFTY Index Options'!$I:$I,"MDAW*")+SUMIFS('NSE - Other Index Options'!$M:$M,'NSE - Other Index Options'!$C:$C,$A120,'NSE - Other Index Options'!$B:$B,E$4,'NSE - Other Index Options'!$I:$I,"Weekly*")+SUMIFS('NSE - Other Index Options'!$M:$M,'NSE - Other Index Options'!$C:$C,$A120,'NSE - Other Index Options'!$B:$B,E$4,'NSE - Other Index Options'!$I:$I,"MDAW*")+SUMIFS('BSE - SENSEX Index Options'!$M:$M,'BSE - SENSEX Index Options'!$C:$C,$A120,'BSE - SENSEX Index Options'!$B:$B,E$4,'BSE - SENSEX Index Options'!$I:$I,"Weekly*")+SUMIFS('BSE - SENSEX Index Options'!$M:$M,'BSE - SENSEX Index Options'!$C:$C,$A120,'BSE - SENSEX Index Options'!$B:$B,E$4,'BSE - SENSEX Index Options'!$I:$I,"MDAW*")+SUMIFS('BSE - Other Index Options'!$M:$M,'BSE - Other Index Options'!$C:$C,$A120,'BSE - Other Index Options'!$B:$B,E$4,'BSE - Other Index Options'!$I:$I,"Weekly*")+SUMIFS('BSE - Other Index Options'!$M:$M,'BSE - Other Index Options'!$C:$C,$A120,'BSE - Other Index Options'!$B:$B,E$4,'BSE - Other Index Options'!$I:$I,"MDAW*")=0,"",SUMIFS('NSE - NIFTY Index Options'!$M:$M,'NSE - NIFTY Index Options'!$C:$C,$A120,'NSE - NIFTY Index Options'!$B:$B,E$4,'NSE - NIFTY Index Options'!$I:$I,"Weekly*")+SUMIFS('NSE - NIFTY Index Options'!$M:$M,'NSE - NIFTY Index Options'!$C:$C,$A120,'NSE - NIFTY Index Options'!$B:$B,E$4,'NSE - NIFTY Index Options'!$I:$I,"MDAW*")+SUMIFS('NSE - Other Index Options'!$M:$M,'NSE - Other Index Options'!$C:$C,$A120,'NSE - Other Index Options'!$B:$B,E$4,'NSE - Other Index Options'!$I:$I,"Weekly*")+SUMIFS('NSE - Other Index Options'!$M:$M,'NSE - Other Index Options'!$C:$C,$A120,'NSE - Other Index Options'!$B:$B,E$4,'NSE - Other Index Options'!$I:$I,"MDAW*")+SUMIFS('BSE - SENSEX Index Options'!$M:$M,'BSE - SENSEX Index Options'!$C:$C,$A120,'BSE - SENSEX Index Options'!$B:$B,E$4,'BSE - SENSEX Index Options'!$I:$I,"Weekly*")+SUMIFS('BSE - SENSEX Index Options'!$M:$M,'BSE - SENSEX Index Options'!$C:$C,$A120,'BSE - SENSEX Index Options'!$B:$B,E$4,'BSE - SENSEX Index Options'!$I:$I,"MDAW*")+SUMIFS('BSE - Other Index Options'!$M:$M,'BSE - Other Index Options'!$C:$C,$A120,'BSE - Other Index Options'!$B:$B,E$4,'BSE - Other Index Options'!$I:$I,"Weekly*")+SUMIFS('BSE - Other Index Options'!$M:$M,'BSE - Other Index Options'!$C:$C,$A120,'BSE - Other Index Options'!$B:$B,E$4,'BSE - Other Index Options'!$I:$I,"MDAW*"))</f>
        <v/>
      </c>
      <c r="F120" s="26">
        <f>IF(SUMIFS('NSE - NIFTY Index Options'!$M:$M,'NSE - NIFTY Index Options'!$C:$C,$A120,'NSE - NIFTY Index Options'!$B:$B,F$4,'NSE - NIFTY Index Options'!$I:$I,"Weekly*")+SUMIFS('NSE - NIFTY Index Options'!$M:$M,'NSE - NIFTY Index Options'!$C:$C,$A120,'NSE - NIFTY Index Options'!$B:$B,F$4,'NSE - NIFTY Index Options'!$I:$I,"MDAW*")+SUMIFS('NSE - Other Index Options'!$M:$M,'NSE - Other Index Options'!$C:$C,$A120,'NSE - Other Index Options'!$B:$B,F$4,'NSE - Other Index Options'!$I:$I,"Weekly*")+SUMIFS('NSE - Other Index Options'!$M:$M,'NSE - Other Index Options'!$C:$C,$A120,'NSE - Other Index Options'!$B:$B,F$4,'NSE - Other Index Options'!$I:$I,"MDAW*")+SUMIFS('BSE - SENSEX Index Options'!$M:$M,'BSE - SENSEX Index Options'!$C:$C,$A120,'BSE - SENSEX Index Options'!$B:$B,F$4,'BSE - SENSEX Index Options'!$I:$I,"Weekly*")+SUMIFS('BSE - SENSEX Index Options'!$M:$M,'BSE - SENSEX Index Options'!$C:$C,$A120,'BSE - SENSEX Index Options'!$B:$B,F$4,'BSE - SENSEX Index Options'!$I:$I,"MDAW*")+SUMIFS('BSE - Other Index Options'!$M:$M,'BSE - Other Index Options'!$C:$C,$A120,'BSE - Other Index Options'!$B:$B,F$4,'BSE - Other Index Options'!$I:$I,"Weekly*")+SUMIFS('BSE - Other Index Options'!$M:$M,'BSE - Other Index Options'!$C:$C,$A120,'BSE - Other Index Options'!$B:$B,F$4,'BSE - Other Index Options'!$I:$I,"MDAW*")=0,"",SUMIFS('NSE - NIFTY Index Options'!$M:$M,'NSE - NIFTY Index Options'!$C:$C,$A120,'NSE - NIFTY Index Options'!$B:$B,F$4,'NSE - NIFTY Index Options'!$I:$I,"Weekly*")+SUMIFS('NSE - NIFTY Index Options'!$M:$M,'NSE - NIFTY Index Options'!$C:$C,$A120,'NSE - NIFTY Index Options'!$B:$B,F$4,'NSE - NIFTY Index Options'!$I:$I,"MDAW*")+SUMIFS('NSE - Other Index Options'!$M:$M,'NSE - Other Index Options'!$C:$C,$A120,'NSE - Other Index Options'!$B:$B,F$4,'NSE - Other Index Options'!$I:$I,"Weekly*")+SUMIFS('NSE - Other Index Options'!$M:$M,'NSE - Other Index Options'!$C:$C,$A120,'NSE - Other Index Options'!$B:$B,F$4,'NSE - Other Index Options'!$I:$I,"MDAW*")+SUMIFS('BSE - SENSEX Index Options'!$M:$M,'BSE - SENSEX Index Options'!$C:$C,$A120,'BSE - SENSEX Index Options'!$B:$B,F$4,'BSE - SENSEX Index Options'!$I:$I,"Weekly*")+SUMIFS('BSE - SENSEX Index Options'!$M:$M,'BSE - SENSEX Index Options'!$C:$C,$A120,'BSE - SENSEX Index Options'!$B:$B,F$4,'BSE - SENSEX Index Options'!$I:$I,"MDAW*")+SUMIFS('BSE - Other Index Options'!$M:$M,'BSE - Other Index Options'!$C:$C,$A120,'BSE - Other Index Options'!$B:$B,F$4,'BSE - Other Index Options'!$I:$I,"Weekly*")+SUMIFS('BSE - Other Index Options'!$M:$M,'BSE - Other Index Options'!$C:$C,$A120,'BSE - Other Index Options'!$B:$B,F$4,'BSE - Other Index Options'!$I:$I,"MDAW*"))</f>
        <v/>
      </c>
      <c r="G120" s="26">
        <f>IF(SUMIFS('NSE - NIFTY Index Options'!$M:$M,'NSE - NIFTY Index Options'!$C:$C,$A120,'NSE - NIFTY Index Options'!$B:$B,G$4,'NSE - NIFTY Index Options'!$I:$I,"Weekly*")+SUMIFS('NSE - NIFTY Index Options'!$M:$M,'NSE - NIFTY Index Options'!$C:$C,$A120,'NSE - NIFTY Index Options'!$B:$B,G$4,'NSE - NIFTY Index Options'!$I:$I,"MDAW*")+SUMIFS('NSE - Other Index Options'!$M:$M,'NSE - Other Index Options'!$C:$C,$A120,'NSE - Other Index Options'!$B:$B,G$4,'NSE - Other Index Options'!$I:$I,"Weekly*")+SUMIFS('NSE - Other Index Options'!$M:$M,'NSE - Other Index Options'!$C:$C,$A120,'NSE - Other Index Options'!$B:$B,G$4,'NSE - Other Index Options'!$I:$I,"MDAW*")+SUMIFS('BSE - SENSEX Index Options'!$M:$M,'BSE - SENSEX Index Options'!$C:$C,$A120,'BSE - SENSEX Index Options'!$B:$B,G$4,'BSE - SENSEX Index Options'!$I:$I,"Weekly*")+SUMIFS('BSE - SENSEX Index Options'!$M:$M,'BSE - SENSEX Index Options'!$C:$C,$A120,'BSE - SENSEX Index Options'!$B:$B,G$4,'BSE - SENSEX Index Options'!$I:$I,"MDAW*")+SUMIFS('BSE - Other Index Options'!$M:$M,'BSE - Other Index Options'!$C:$C,$A120,'BSE - Other Index Options'!$B:$B,G$4,'BSE - Other Index Options'!$I:$I,"Weekly*")+SUMIFS('BSE - Other Index Options'!$M:$M,'BSE - Other Index Options'!$C:$C,$A120,'BSE - Other Index Options'!$B:$B,G$4,'BSE - Other Index Options'!$I:$I,"MDAW*")=0,"",SUMIFS('NSE - NIFTY Index Options'!$M:$M,'NSE - NIFTY Index Options'!$C:$C,$A120,'NSE - NIFTY Index Options'!$B:$B,G$4,'NSE - NIFTY Index Options'!$I:$I,"Weekly*")+SUMIFS('NSE - NIFTY Index Options'!$M:$M,'NSE - NIFTY Index Options'!$C:$C,$A120,'NSE - NIFTY Index Options'!$B:$B,G$4,'NSE - NIFTY Index Options'!$I:$I,"MDAW*")+SUMIFS('NSE - Other Index Options'!$M:$M,'NSE - Other Index Options'!$C:$C,$A120,'NSE - Other Index Options'!$B:$B,G$4,'NSE - Other Index Options'!$I:$I,"Weekly*")+SUMIFS('NSE - Other Index Options'!$M:$M,'NSE - Other Index Options'!$C:$C,$A120,'NSE - Other Index Options'!$B:$B,G$4,'NSE - Other Index Options'!$I:$I,"MDAW*")+SUMIFS('BSE - SENSEX Index Options'!$M:$M,'BSE - SENSEX Index Options'!$C:$C,$A120,'BSE - SENSEX Index Options'!$B:$B,G$4,'BSE - SENSEX Index Options'!$I:$I,"Weekly*")+SUMIFS('BSE - SENSEX Index Options'!$M:$M,'BSE - SENSEX Index Options'!$C:$C,$A120,'BSE - SENSEX Index Options'!$B:$B,G$4,'BSE - SENSEX Index Options'!$I:$I,"MDAW*")+SUMIFS('BSE - Other Index Options'!$M:$M,'BSE - Other Index Options'!$C:$C,$A120,'BSE - Other Index Options'!$B:$B,G$4,'BSE - Other Index Options'!$I:$I,"Weekly*")+SUMIFS('BSE - Other Index Options'!$M:$M,'BSE - Other Index Options'!$C:$C,$A120,'BSE - Other Index Options'!$B:$B,G$4,'BSE - Other Index Options'!$I:$I,"MDAW*"))</f>
        <v/>
      </c>
      <c r="H120" s="26">
        <f>IF(SUM(B120:G120)=0,"",SUM(B120:G120))</f>
        <v/>
      </c>
    </row>
    <row r="121" hidden="1" outlineLevel="1">
      <c r="A121" t="inlineStr">
        <is>
          <t>Week4-Aug-2027</t>
        </is>
      </c>
      <c r="B121" s="26">
        <f>IF(SUMIFS('NSE - NIFTY Index Options'!$M:$M,'NSE - NIFTY Index Options'!$C:$C,$A121,'NSE - NIFTY Index Options'!$B:$B,B$4,'NSE - NIFTY Index Options'!$I:$I,"Weekly*")+SUMIFS('NSE - NIFTY Index Options'!$M:$M,'NSE - NIFTY Index Options'!$C:$C,$A121,'NSE - NIFTY Index Options'!$B:$B,B$4,'NSE - NIFTY Index Options'!$I:$I,"MDAW*")+SUMIFS('NSE - Other Index Options'!$M:$M,'NSE - Other Index Options'!$C:$C,$A121,'NSE - Other Index Options'!$B:$B,B$4,'NSE - Other Index Options'!$I:$I,"Weekly*")+SUMIFS('NSE - Other Index Options'!$M:$M,'NSE - Other Index Options'!$C:$C,$A121,'NSE - Other Index Options'!$B:$B,B$4,'NSE - Other Index Options'!$I:$I,"MDAW*")+SUMIFS('BSE - SENSEX Index Options'!$M:$M,'BSE - SENSEX Index Options'!$C:$C,$A121,'BSE - SENSEX Index Options'!$B:$B,B$4,'BSE - SENSEX Index Options'!$I:$I,"Weekly*")+SUMIFS('BSE - SENSEX Index Options'!$M:$M,'BSE - SENSEX Index Options'!$C:$C,$A121,'BSE - SENSEX Index Options'!$B:$B,B$4,'BSE - SENSEX Index Options'!$I:$I,"MDAW*")+SUMIFS('BSE - Other Index Options'!$M:$M,'BSE - Other Index Options'!$C:$C,$A121,'BSE - Other Index Options'!$B:$B,B$4,'BSE - Other Index Options'!$I:$I,"Weekly*")+SUMIFS('BSE - Other Index Options'!$M:$M,'BSE - Other Index Options'!$C:$C,$A121,'BSE - Other Index Options'!$B:$B,B$4,'BSE - Other Index Options'!$I:$I,"MDAW*")=0,"",SUMIFS('NSE - NIFTY Index Options'!$M:$M,'NSE - NIFTY Index Options'!$C:$C,$A121,'NSE - NIFTY Index Options'!$B:$B,B$4,'NSE - NIFTY Index Options'!$I:$I,"Weekly*")+SUMIFS('NSE - NIFTY Index Options'!$M:$M,'NSE - NIFTY Index Options'!$C:$C,$A121,'NSE - NIFTY Index Options'!$B:$B,B$4,'NSE - NIFTY Index Options'!$I:$I,"MDAW*")+SUMIFS('NSE - Other Index Options'!$M:$M,'NSE - Other Index Options'!$C:$C,$A121,'NSE - Other Index Options'!$B:$B,B$4,'NSE - Other Index Options'!$I:$I,"Weekly*")+SUMIFS('NSE - Other Index Options'!$M:$M,'NSE - Other Index Options'!$C:$C,$A121,'NSE - Other Index Options'!$B:$B,B$4,'NSE - Other Index Options'!$I:$I,"MDAW*")+SUMIFS('BSE - SENSEX Index Options'!$M:$M,'BSE - SENSEX Index Options'!$C:$C,$A121,'BSE - SENSEX Index Options'!$B:$B,B$4,'BSE - SENSEX Index Options'!$I:$I,"Weekly*")+SUMIFS('BSE - SENSEX Index Options'!$M:$M,'BSE - SENSEX Index Options'!$C:$C,$A121,'BSE - SENSEX Index Options'!$B:$B,B$4,'BSE - SENSEX Index Options'!$I:$I,"MDAW*")+SUMIFS('BSE - Other Index Options'!$M:$M,'BSE - Other Index Options'!$C:$C,$A121,'BSE - Other Index Options'!$B:$B,B$4,'BSE - Other Index Options'!$I:$I,"Weekly*")+SUMIFS('BSE - Other Index Options'!$M:$M,'BSE - Other Index Options'!$C:$C,$A121,'BSE - Other Index Options'!$B:$B,B$4,'BSE - Other Index Options'!$I:$I,"MDAW*"))</f>
        <v/>
      </c>
      <c r="C121" s="26">
        <f>IF(SUMIFS('NSE - NIFTY Index Options'!$M:$M,'NSE - NIFTY Index Options'!$C:$C,$A121,'NSE - NIFTY Index Options'!$B:$B,C$4,'NSE - NIFTY Index Options'!$I:$I,"Weekly*")+SUMIFS('NSE - NIFTY Index Options'!$M:$M,'NSE - NIFTY Index Options'!$C:$C,$A121,'NSE - NIFTY Index Options'!$B:$B,C$4,'NSE - NIFTY Index Options'!$I:$I,"MDAW*")+SUMIFS('NSE - Other Index Options'!$M:$M,'NSE - Other Index Options'!$C:$C,$A121,'NSE - Other Index Options'!$B:$B,C$4,'NSE - Other Index Options'!$I:$I,"Weekly*")+SUMIFS('NSE - Other Index Options'!$M:$M,'NSE - Other Index Options'!$C:$C,$A121,'NSE - Other Index Options'!$B:$B,C$4,'NSE - Other Index Options'!$I:$I,"MDAW*")+SUMIFS('BSE - SENSEX Index Options'!$M:$M,'BSE - SENSEX Index Options'!$C:$C,$A121,'BSE - SENSEX Index Options'!$B:$B,C$4,'BSE - SENSEX Index Options'!$I:$I,"Weekly*")+SUMIFS('BSE - SENSEX Index Options'!$M:$M,'BSE - SENSEX Index Options'!$C:$C,$A121,'BSE - SENSEX Index Options'!$B:$B,C$4,'BSE - SENSEX Index Options'!$I:$I,"MDAW*")+SUMIFS('BSE - Other Index Options'!$M:$M,'BSE - Other Index Options'!$C:$C,$A121,'BSE - Other Index Options'!$B:$B,C$4,'BSE - Other Index Options'!$I:$I,"Weekly*")+SUMIFS('BSE - Other Index Options'!$M:$M,'BSE - Other Index Options'!$C:$C,$A121,'BSE - Other Index Options'!$B:$B,C$4,'BSE - Other Index Options'!$I:$I,"MDAW*")=0,"",SUMIFS('NSE - NIFTY Index Options'!$M:$M,'NSE - NIFTY Index Options'!$C:$C,$A121,'NSE - NIFTY Index Options'!$B:$B,C$4,'NSE - NIFTY Index Options'!$I:$I,"Weekly*")+SUMIFS('NSE - NIFTY Index Options'!$M:$M,'NSE - NIFTY Index Options'!$C:$C,$A121,'NSE - NIFTY Index Options'!$B:$B,C$4,'NSE - NIFTY Index Options'!$I:$I,"MDAW*")+SUMIFS('NSE - Other Index Options'!$M:$M,'NSE - Other Index Options'!$C:$C,$A121,'NSE - Other Index Options'!$B:$B,C$4,'NSE - Other Index Options'!$I:$I,"Weekly*")+SUMIFS('NSE - Other Index Options'!$M:$M,'NSE - Other Index Options'!$C:$C,$A121,'NSE - Other Index Options'!$B:$B,C$4,'NSE - Other Index Options'!$I:$I,"MDAW*")+SUMIFS('BSE - SENSEX Index Options'!$M:$M,'BSE - SENSEX Index Options'!$C:$C,$A121,'BSE - SENSEX Index Options'!$B:$B,C$4,'BSE - SENSEX Index Options'!$I:$I,"Weekly*")+SUMIFS('BSE - SENSEX Index Options'!$M:$M,'BSE - SENSEX Index Options'!$C:$C,$A121,'BSE - SENSEX Index Options'!$B:$B,C$4,'BSE - SENSEX Index Options'!$I:$I,"MDAW*")+SUMIFS('BSE - Other Index Options'!$M:$M,'BSE - Other Index Options'!$C:$C,$A121,'BSE - Other Index Options'!$B:$B,C$4,'BSE - Other Index Options'!$I:$I,"Weekly*")+SUMIFS('BSE - Other Index Options'!$M:$M,'BSE - Other Index Options'!$C:$C,$A121,'BSE - Other Index Options'!$B:$B,C$4,'BSE - Other Index Options'!$I:$I,"MDAW*"))</f>
        <v/>
      </c>
      <c r="D121" s="26">
        <f>IF(SUMIFS('NSE - NIFTY Index Options'!$M:$M,'NSE - NIFTY Index Options'!$C:$C,$A121,'NSE - NIFTY Index Options'!$B:$B,D$4,'NSE - NIFTY Index Options'!$I:$I,"Weekly*")+SUMIFS('NSE - NIFTY Index Options'!$M:$M,'NSE - NIFTY Index Options'!$C:$C,$A121,'NSE - NIFTY Index Options'!$B:$B,D$4,'NSE - NIFTY Index Options'!$I:$I,"MDAW*")+SUMIFS('NSE - Other Index Options'!$M:$M,'NSE - Other Index Options'!$C:$C,$A121,'NSE - Other Index Options'!$B:$B,D$4,'NSE - Other Index Options'!$I:$I,"Weekly*")+SUMIFS('NSE - Other Index Options'!$M:$M,'NSE - Other Index Options'!$C:$C,$A121,'NSE - Other Index Options'!$B:$B,D$4,'NSE - Other Index Options'!$I:$I,"MDAW*")+SUMIFS('BSE - SENSEX Index Options'!$M:$M,'BSE - SENSEX Index Options'!$C:$C,$A121,'BSE - SENSEX Index Options'!$B:$B,D$4,'BSE - SENSEX Index Options'!$I:$I,"Weekly*")+SUMIFS('BSE - SENSEX Index Options'!$M:$M,'BSE - SENSEX Index Options'!$C:$C,$A121,'BSE - SENSEX Index Options'!$B:$B,D$4,'BSE - SENSEX Index Options'!$I:$I,"MDAW*")+SUMIFS('BSE - Other Index Options'!$M:$M,'BSE - Other Index Options'!$C:$C,$A121,'BSE - Other Index Options'!$B:$B,D$4,'BSE - Other Index Options'!$I:$I,"Weekly*")+SUMIFS('BSE - Other Index Options'!$M:$M,'BSE - Other Index Options'!$C:$C,$A121,'BSE - Other Index Options'!$B:$B,D$4,'BSE - Other Index Options'!$I:$I,"MDAW*")=0,"",SUMIFS('NSE - NIFTY Index Options'!$M:$M,'NSE - NIFTY Index Options'!$C:$C,$A121,'NSE - NIFTY Index Options'!$B:$B,D$4,'NSE - NIFTY Index Options'!$I:$I,"Weekly*")+SUMIFS('NSE - NIFTY Index Options'!$M:$M,'NSE - NIFTY Index Options'!$C:$C,$A121,'NSE - NIFTY Index Options'!$B:$B,D$4,'NSE - NIFTY Index Options'!$I:$I,"MDAW*")+SUMIFS('NSE - Other Index Options'!$M:$M,'NSE - Other Index Options'!$C:$C,$A121,'NSE - Other Index Options'!$B:$B,D$4,'NSE - Other Index Options'!$I:$I,"Weekly*")+SUMIFS('NSE - Other Index Options'!$M:$M,'NSE - Other Index Options'!$C:$C,$A121,'NSE - Other Index Options'!$B:$B,D$4,'NSE - Other Index Options'!$I:$I,"MDAW*")+SUMIFS('BSE - SENSEX Index Options'!$M:$M,'BSE - SENSEX Index Options'!$C:$C,$A121,'BSE - SENSEX Index Options'!$B:$B,D$4,'BSE - SENSEX Index Options'!$I:$I,"Weekly*")+SUMIFS('BSE - SENSEX Index Options'!$M:$M,'BSE - SENSEX Index Options'!$C:$C,$A121,'BSE - SENSEX Index Options'!$B:$B,D$4,'BSE - SENSEX Index Options'!$I:$I,"MDAW*")+SUMIFS('BSE - Other Index Options'!$M:$M,'BSE - Other Index Options'!$C:$C,$A121,'BSE - Other Index Options'!$B:$B,D$4,'BSE - Other Index Options'!$I:$I,"Weekly*")+SUMIFS('BSE - Other Index Options'!$M:$M,'BSE - Other Index Options'!$C:$C,$A121,'BSE - Other Index Options'!$B:$B,D$4,'BSE - Other Index Options'!$I:$I,"MDAW*"))</f>
        <v/>
      </c>
      <c r="E121" s="26">
        <f>IF(SUMIFS('NSE - NIFTY Index Options'!$M:$M,'NSE - NIFTY Index Options'!$C:$C,$A121,'NSE - NIFTY Index Options'!$B:$B,E$4,'NSE - NIFTY Index Options'!$I:$I,"Weekly*")+SUMIFS('NSE - NIFTY Index Options'!$M:$M,'NSE - NIFTY Index Options'!$C:$C,$A121,'NSE - NIFTY Index Options'!$B:$B,E$4,'NSE - NIFTY Index Options'!$I:$I,"MDAW*")+SUMIFS('NSE - Other Index Options'!$M:$M,'NSE - Other Index Options'!$C:$C,$A121,'NSE - Other Index Options'!$B:$B,E$4,'NSE - Other Index Options'!$I:$I,"Weekly*")+SUMIFS('NSE - Other Index Options'!$M:$M,'NSE - Other Index Options'!$C:$C,$A121,'NSE - Other Index Options'!$B:$B,E$4,'NSE - Other Index Options'!$I:$I,"MDAW*")+SUMIFS('BSE - SENSEX Index Options'!$M:$M,'BSE - SENSEX Index Options'!$C:$C,$A121,'BSE - SENSEX Index Options'!$B:$B,E$4,'BSE - SENSEX Index Options'!$I:$I,"Weekly*")+SUMIFS('BSE - SENSEX Index Options'!$M:$M,'BSE - SENSEX Index Options'!$C:$C,$A121,'BSE - SENSEX Index Options'!$B:$B,E$4,'BSE - SENSEX Index Options'!$I:$I,"MDAW*")+SUMIFS('BSE - Other Index Options'!$M:$M,'BSE - Other Index Options'!$C:$C,$A121,'BSE - Other Index Options'!$B:$B,E$4,'BSE - Other Index Options'!$I:$I,"Weekly*")+SUMIFS('BSE - Other Index Options'!$M:$M,'BSE - Other Index Options'!$C:$C,$A121,'BSE - Other Index Options'!$B:$B,E$4,'BSE - Other Index Options'!$I:$I,"MDAW*")=0,"",SUMIFS('NSE - NIFTY Index Options'!$M:$M,'NSE - NIFTY Index Options'!$C:$C,$A121,'NSE - NIFTY Index Options'!$B:$B,E$4,'NSE - NIFTY Index Options'!$I:$I,"Weekly*")+SUMIFS('NSE - NIFTY Index Options'!$M:$M,'NSE - NIFTY Index Options'!$C:$C,$A121,'NSE - NIFTY Index Options'!$B:$B,E$4,'NSE - NIFTY Index Options'!$I:$I,"MDAW*")+SUMIFS('NSE - Other Index Options'!$M:$M,'NSE - Other Index Options'!$C:$C,$A121,'NSE - Other Index Options'!$B:$B,E$4,'NSE - Other Index Options'!$I:$I,"Weekly*")+SUMIFS('NSE - Other Index Options'!$M:$M,'NSE - Other Index Options'!$C:$C,$A121,'NSE - Other Index Options'!$B:$B,E$4,'NSE - Other Index Options'!$I:$I,"MDAW*")+SUMIFS('BSE - SENSEX Index Options'!$M:$M,'BSE - SENSEX Index Options'!$C:$C,$A121,'BSE - SENSEX Index Options'!$B:$B,E$4,'BSE - SENSEX Index Options'!$I:$I,"Weekly*")+SUMIFS('BSE - SENSEX Index Options'!$M:$M,'BSE - SENSEX Index Options'!$C:$C,$A121,'BSE - SENSEX Index Options'!$B:$B,E$4,'BSE - SENSEX Index Options'!$I:$I,"MDAW*")+SUMIFS('BSE - Other Index Options'!$M:$M,'BSE - Other Index Options'!$C:$C,$A121,'BSE - Other Index Options'!$B:$B,E$4,'BSE - Other Index Options'!$I:$I,"Weekly*")+SUMIFS('BSE - Other Index Options'!$M:$M,'BSE - Other Index Options'!$C:$C,$A121,'BSE - Other Index Options'!$B:$B,E$4,'BSE - Other Index Options'!$I:$I,"MDAW*"))</f>
        <v/>
      </c>
      <c r="F121" s="26">
        <f>IF(SUMIFS('NSE - NIFTY Index Options'!$M:$M,'NSE - NIFTY Index Options'!$C:$C,$A121,'NSE - NIFTY Index Options'!$B:$B,F$4,'NSE - NIFTY Index Options'!$I:$I,"Weekly*")+SUMIFS('NSE - NIFTY Index Options'!$M:$M,'NSE - NIFTY Index Options'!$C:$C,$A121,'NSE - NIFTY Index Options'!$B:$B,F$4,'NSE - NIFTY Index Options'!$I:$I,"MDAW*")+SUMIFS('NSE - Other Index Options'!$M:$M,'NSE - Other Index Options'!$C:$C,$A121,'NSE - Other Index Options'!$B:$B,F$4,'NSE - Other Index Options'!$I:$I,"Weekly*")+SUMIFS('NSE - Other Index Options'!$M:$M,'NSE - Other Index Options'!$C:$C,$A121,'NSE - Other Index Options'!$B:$B,F$4,'NSE - Other Index Options'!$I:$I,"MDAW*")+SUMIFS('BSE - SENSEX Index Options'!$M:$M,'BSE - SENSEX Index Options'!$C:$C,$A121,'BSE - SENSEX Index Options'!$B:$B,F$4,'BSE - SENSEX Index Options'!$I:$I,"Weekly*")+SUMIFS('BSE - SENSEX Index Options'!$M:$M,'BSE - SENSEX Index Options'!$C:$C,$A121,'BSE - SENSEX Index Options'!$B:$B,F$4,'BSE - SENSEX Index Options'!$I:$I,"MDAW*")+SUMIFS('BSE - Other Index Options'!$M:$M,'BSE - Other Index Options'!$C:$C,$A121,'BSE - Other Index Options'!$B:$B,F$4,'BSE - Other Index Options'!$I:$I,"Weekly*")+SUMIFS('BSE - Other Index Options'!$M:$M,'BSE - Other Index Options'!$C:$C,$A121,'BSE - Other Index Options'!$B:$B,F$4,'BSE - Other Index Options'!$I:$I,"MDAW*")=0,"",SUMIFS('NSE - NIFTY Index Options'!$M:$M,'NSE - NIFTY Index Options'!$C:$C,$A121,'NSE - NIFTY Index Options'!$B:$B,F$4,'NSE - NIFTY Index Options'!$I:$I,"Weekly*")+SUMIFS('NSE - NIFTY Index Options'!$M:$M,'NSE - NIFTY Index Options'!$C:$C,$A121,'NSE - NIFTY Index Options'!$B:$B,F$4,'NSE - NIFTY Index Options'!$I:$I,"MDAW*")+SUMIFS('NSE - Other Index Options'!$M:$M,'NSE - Other Index Options'!$C:$C,$A121,'NSE - Other Index Options'!$B:$B,F$4,'NSE - Other Index Options'!$I:$I,"Weekly*")+SUMIFS('NSE - Other Index Options'!$M:$M,'NSE - Other Index Options'!$C:$C,$A121,'NSE - Other Index Options'!$B:$B,F$4,'NSE - Other Index Options'!$I:$I,"MDAW*")+SUMIFS('BSE - SENSEX Index Options'!$M:$M,'BSE - SENSEX Index Options'!$C:$C,$A121,'BSE - SENSEX Index Options'!$B:$B,F$4,'BSE - SENSEX Index Options'!$I:$I,"Weekly*")+SUMIFS('BSE - SENSEX Index Options'!$M:$M,'BSE - SENSEX Index Options'!$C:$C,$A121,'BSE - SENSEX Index Options'!$B:$B,F$4,'BSE - SENSEX Index Options'!$I:$I,"MDAW*")+SUMIFS('BSE - Other Index Options'!$M:$M,'BSE - Other Index Options'!$C:$C,$A121,'BSE - Other Index Options'!$B:$B,F$4,'BSE - Other Index Options'!$I:$I,"Weekly*")+SUMIFS('BSE - Other Index Options'!$M:$M,'BSE - Other Index Options'!$C:$C,$A121,'BSE - Other Index Options'!$B:$B,F$4,'BSE - Other Index Options'!$I:$I,"MDAW*"))</f>
        <v/>
      </c>
      <c r="G121" s="26">
        <f>IF(SUMIFS('NSE - NIFTY Index Options'!$M:$M,'NSE - NIFTY Index Options'!$C:$C,$A121,'NSE - NIFTY Index Options'!$B:$B,G$4,'NSE - NIFTY Index Options'!$I:$I,"Weekly*")+SUMIFS('NSE - NIFTY Index Options'!$M:$M,'NSE - NIFTY Index Options'!$C:$C,$A121,'NSE - NIFTY Index Options'!$B:$B,G$4,'NSE - NIFTY Index Options'!$I:$I,"MDAW*")+SUMIFS('NSE - Other Index Options'!$M:$M,'NSE - Other Index Options'!$C:$C,$A121,'NSE - Other Index Options'!$B:$B,G$4,'NSE - Other Index Options'!$I:$I,"Weekly*")+SUMIFS('NSE - Other Index Options'!$M:$M,'NSE - Other Index Options'!$C:$C,$A121,'NSE - Other Index Options'!$B:$B,G$4,'NSE - Other Index Options'!$I:$I,"MDAW*")+SUMIFS('BSE - SENSEX Index Options'!$M:$M,'BSE - SENSEX Index Options'!$C:$C,$A121,'BSE - SENSEX Index Options'!$B:$B,G$4,'BSE - SENSEX Index Options'!$I:$I,"Weekly*")+SUMIFS('BSE - SENSEX Index Options'!$M:$M,'BSE - SENSEX Index Options'!$C:$C,$A121,'BSE - SENSEX Index Options'!$B:$B,G$4,'BSE - SENSEX Index Options'!$I:$I,"MDAW*")+SUMIFS('BSE - Other Index Options'!$M:$M,'BSE - Other Index Options'!$C:$C,$A121,'BSE - Other Index Options'!$B:$B,G$4,'BSE - Other Index Options'!$I:$I,"Weekly*")+SUMIFS('BSE - Other Index Options'!$M:$M,'BSE - Other Index Options'!$C:$C,$A121,'BSE - Other Index Options'!$B:$B,G$4,'BSE - Other Index Options'!$I:$I,"MDAW*")=0,"",SUMIFS('NSE - NIFTY Index Options'!$M:$M,'NSE - NIFTY Index Options'!$C:$C,$A121,'NSE - NIFTY Index Options'!$B:$B,G$4,'NSE - NIFTY Index Options'!$I:$I,"Weekly*")+SUMIFS('NSE - NIFTY Index Options'!$M:$M,'NSE - NIFTY Index Options'!$C:$C,$A121,'NSE - NIFTY Index Options'!$B:$B,G$4,'NSE - NIFTY Index Options'!$I:$I,"MDAW*")+SUMIFS('NSE - Other Index Options'!$M:$M,'NSE - Other Index Options'!$C:$C,$A121,'NSE - Other Index Options'!$B:$B,G$4,'NSE - Other Index Options'!$I:$I,"Weekly*")+SUMIFS('NSE - Other Index Options'!$M:$M,'NSE - Other Index Options'!$C:$C,$A121,'NSE - Other Index Options'!$B:$B,G$4,'NSE - Other Index Options'!$I:$I,"MDAW*")+SUMIFS('BSE - SENSEX Index Options'!$M:$M,'BSE - SENSEX Index Options'!$C:$C,$A121,'BSE - SENSEX Index Options'!$B:$B,G$4,'BSE - SENSEX Index Options'!$I:$I,"Weekly*")+SUMIFS('BSE - SENSEX Index Options'!$M:$M,'BSE - SENSEX Index Options'!$C:$C,$A121,'BSE - SENSEX Index Options'!$B:$B,G$4,'BSE - SENSEX Index Options'!$I:$I,"MDAW*")+SUMIFS('BSE - Other Index Options'!$M:$M,'BSE - Other Index Options'!$C:$C,$A121,'BSE - Other Index Options'!$B:$B,G$4,'BSE - Other Index Options'!$I:$I,"Weekly*")+SUMIFS('BSE - Other Index Options'!$M:$M,'BSE - Other Index Options'!$C:$C,$A121,'BSE - Other Index Options'!$B:$B,G$4,'BSE - Other Index Options'!$I:$I,"MDAW*"))</f>
        <v/>
      </c>
      <c r="H121" s="26">
        <f>IF(SUM(B121:G121)=0,"",SUM(B121:G121))</f>
        <v/>
      </c>
    </row>
    <row r="122" hidden="1" outlineLevel="1">
      <c r="A122" t="inlineStr">
        <is>
          <t>Week5-Aug-2027</t>
        </is>
      </c>
      <c r="B122" s="26">
        <f>IF(SUMIFS('NSE - NIFTY Index Options'!$M:$M,'NSE - NIFTY Index Options'!$C:$C,$A122,'NSE - NIFTY Index Options'!$B:$B,B$4,'NSE - NIFTY Index Options'!$I:$I,"Weekly*")+SUMIFS('NSE - NIFTY Index Options'!$M:$M,'NSE - NIFTY Index Options'!$C:$C,$A122,'NSE - NIFTY Index Options'!$B:$B,B$4,'NSE - NIFTY Index Options'!$I:$I,"MDAW*")+SUMIFS('NSE - Other Index Options'!$M:$M,'NSE - Other Index Options'!$C:$C,$A122,'NSE - Other Index Options'!$B:$B,B$4,'NSE - Other Index Options'!$I:$I,"Weekly*")+SUMIFS('NSE - Other Index Options'!$M:$M,'NSE - Other Index Options'!$C:$C,$A122,'NSE - Other Index Options'!$B:$B,B$4,'NSE - Other Index Options'!$I:$I,"MDAW*")+SUMIFS('BSE - SENSEX Index Options'!$M:$M,'BSE - SENSEX Index Options'!$C:$C,$A122,'BSE - SENSEX Index Options'!$B:$B,B$4,'BSE - SENSEX Index Options'!$I:$I,"Weekly*")+SUMIFS('BSE - SENSEX Index Options'!$M:$M,'BSE - SENSEX Index Options'!$C:$C,$A122,'BSE - SENSEX Index Options'!$B:$B,B$4,'BSE - SENSEX Index Options'!$I:$I,"MDAW*")+SUMIFS('BSE - Other Index Options'!$M:$M,'BSE - Other Index Options'!$C:$C,$A122,'BSE - Other Index Options'!$B:$B,B$4,'BSE - Other Index Options'!$I:$I,"Weekly*")+SUMIFS('BSE - Other Index Options'!$M:$M,'BSE - Other Index Options'!$C:$C,$A122,'BSE - Other Index Options'!$B:$B,B$4,'BSE - Other Index Options'!$I:$I,"MDAW*")=0,"",SUMIFS('NSE - NIFTY Index Options'!$M:$M,'NSE - NIFTY Index Options'!$C:$C,$A122,'NSE - NIFTY Index Options'!$B:$B,B$4,'NSE - NIFTY Index Options'!$I:$I,"Weekly*")+SUMIFS('NSE - NIFTY Index Options'!$M:$M,'NSE - NIFTY Index Options'!$C:$C,$A122,'NSE - NIFTY Index Options'!$B:$B,B$4,'NSE - NIFTY Index Options'!$I:$I,"MDAW*")+SUMIFS('NSE - Other Index Options'!$M:$M,'NSE - Other Index Options'!$C:$C,$A122,'NSE - Other Index Options'!$B:$B,B$4,'NSE - Other Index Options'!$I:$I,"Weekly*")+SUMIFS('NSE - Other Index Options'!$M:$M,'NSE - Other Index Options'!$C:$C,$A122,'NSE - Other Index Options'!$B:$B,B$4,'NSE - Other Index Options'!$I:$I,"MDAW*")+SUMIFS('BSE - SENSEX Index Options'!$M:$M,'BSE - SENSEX Index Options'!$C:$C,$A122,'BSE - SENSEX Index Options'!$B:$B,B$4,'BSE - SENSEX Index Options'!$I:$I,"Weekly*")+SUMIFS('BSE - SENSEX Index Options'!$M:$M,'BSE - SENSEX Index Options'!$C:$C,$A122,'BSE - SENSEX Index Options'!$B:$B,B$4,'BSE - SENSEX Index Options'!$I:$I,"MDAW*")+SUMIFS('BSE - Other Index Options'!$M:$M,'BSE - Other Index Options'!$C:$C,$A122,'BSE - Other Index Options'!$B:$B,B$4,'BSE - Other Index Options'!$I:$I,"Weekly*")+SUMIFS('BSE - Other Index Options'!$M:$M,'BSE - Other Index Options'!$C:$C,$A122,'BSE - Other Index Options'!$B:$B,B$4,'BSE - Other Index Options'!$I:$I,"MDAW*"))</f>
        <v/>
      </c>
      <c r="C122" s="26">
        <f>IF(SUMIFS('NSE - NIFTY Index Options'!$M:$M,'NSE - NIFTY Index Options'!$C:$C,$A122,'NSE - NIFTY Index Options'!$B:$B,C$4,'NSE - NIFTY Index Options'!$I:$I,"Weekly*")+SUMIFS('NSE - NIFTY Index Options'!$M:$M,'NSE - NIFTY Index Options'!$C:$C,$A122,'NSE - NIFTY Index Options'!$B:$B,C$4,'NSE - NIFTY Index Options'!$I:$I,"MDAW*")+SUMIFS('NSE - Other Index Options'!$M:$M,'NSE - Other Index Options'!$C:$C,$A122,'NSE - Other Index Options'!$B:$B,C$4,'NSE - Other Index Options'!$I:$I,"Weekly*")+SUMIFS('NSE - Other Index Options'!$M:$M,'NSE - Other Index Options'!$C:$C,$A122,'NSE - Other Index Options'!$B:$B,C$4,'NSE - Other Index Options'!$I:$I,"MDAW*")+SUMIFS('BSE - SENSEX Index Options'!$M:$M,'BSE - SENSEX Index Options'!$C:$C,$A122,'BSE - SENSEX Index Options'!$B:$B,C$4,'BSE - SENSEX Index Options'!$I:$I,"Weekly*")+SUMIFS('BSE - SENSEX Index Options'!$M:$M,'BSE - SENSEX Index Options'!$C:$C,$A122,'BSE - SENSEX Index Options'!$B:$B,C$4,'BSE - SENSEX Index Options'!$I:$I,"MDAW*")+SUMIFS('BSE - Other Index Options'!$M:$M,'BSE - Other Index Options'!$C:$C,$A122,'BSE - Other Index Options'!$B:$B,C$4,'BSE - Other Index Options'!$I:$I,"Weekly*")+SUMIFS('BSE - Other Index Options'!$M:$M,'BSE - Other Index Options'!$C:$C,$A122,'BSE - Other Index Options'!$B:$B,C$4,'BSE - Other Index Options'!$I:$I,"MDAW*")=0,"",SUMIFS('NSE - NIFTY Index Options'!$M:$M,'NSE - NIFTY Index Options'!$C:$C,$A122,'NSE - NIFTY Index Options'!$B:$B,C$4,'NSE - NIFTY Index Options'!$I:$I,"Weekly*")+SUMIFS('NSE - NIFTY Index Options'!$M:$M,'NSE - NIFTY Index Options'!$C:$C,$A122,'NSE - NIFTY Index Options'!$B:$B,C$4,'NSE - NIFTY Index Options'!$I:$I,"MDAW*")+SUMIFS('NSE - Other Index Options'!$M:$M,'NSE - Other Index Options'!$C:$C,$A122,'NSE - Other Index Options'!$B:$B,C$4,'NSE - Other Index Options'!$I:$I,"Weekly*")+SUMIFS('NSE - Other Index Options'!$M:$M,'NSE - Other Index Options'!$C:$C,$A122,'NSE - Other Index Options'!$B:$B,C$4,'NSE - Other Index Options'!$I:$I,"MDAW*")+SUMIFS('BSE - SENSEX Index Options'!$M:$M,'BSE - SENSEX Index Options'!$C:$C,$A122,'BSE - SENSEX Index Options'!$B:$B,C$4,'BSE - SENSEX Index Options'!$I:$I,"Weekly*")+SUMIFS('BSE - SENSEX Index Options'!$M:$M,'BSE - SENSEX Index Options'!$C:$C,$A122,'BSE - SENSEX Index Options'!$B:$B,C$4,'BSE - SENSEX Index Options'!$I:$I,"MDAW*")+SUMIFS('BSE - Other Index Options'!$M:$M,'BSE - Other Index Options'!$C:$C,$A122,'BSE - Other Index Options'!$B:$B,C$4,'BSE - Other Index Options'!$I:$I,"Weekly*")+SUMIFS('BSE - Other Index Options'!$M:$M,'BSE - Other Index Options'!$C:$C,$A122,'BSE - Other Index Options'!$B:$B,C$4,'BSE - Other Index Options'!$I:$I,"MDAW*"))</f>
        <v/>
      </c>
      <c r="D122" s="26">
        <f>IF(SUMIFS('NSE - NIFTY Index Options'!$M:$M,'NSE - NIFTY Index Options'!$C:$C,$A122,'NSE - NIFTY Index Options'!$B:$B,D$4,'NSE - NIFTY Index Options'!$I:$I,"Weekly*")+SUMIFS('NSE - NIFTY Index Options'!$M:$M,'NSE - NIFTY Index Options'!$C:$C,$A122,'NSE - NIFTY Index Options'!$B:$B,D$4,'NSE - NIFTY Index Options'!$I:$I,"MDAW*")+SUMIFS('NSE - Other Index Options'!$M:$M,'NSE - Other Index Options'!$C:$C,$A122,'NSE - Other Index Options'!$B:$B,D$4,'NSE - Other Index Options'!$I:$I,"Weekly*")+SUMIFS('NSE - Other Index Options'!$M:$M,'NSE - Other Index Options'!$C:$C,$A122,'NSE - Other Index Options'!$B:$B,D$4,'NSE - Other Index Options'!$I:$I,"MDAW*")+SUMIFS('BSE - SENSEX Index Options'!$M:$M,'BSE - SENSEX Index Options'!$C:$C,$A122,'BSE - SENSEX Index Options'!$B:$B,D$4,'BSE - SENSEX Index Options'!$I:$I,"Weekly*")+SUMIFS('BSE - SENSEX Index Options'!$M:$M,'BSE - SENSEX Index Options'!$C:$C,$A122,'BSE - SENSEX Index Options'!$B:$B,D$4,'BSE - SENSEX Index Options'!$I:$I,"MDAW*")+SUMIFS('BSE - Other Index Options'!$M:$M,'BSE - Other Index Options'!$C:$C,$A122,'BSE - Other Index Options'!$B:$B,D$4,'BSE - Other Index Options'!$I:$I,"Weekly*")+SUMIFS('BSE - Other Index Options'!$M:$M,'BSE - Other Index Options'!$C:$C,$A122,'BSE - Other Index Options'!$B:$B,D$4,'BSE - Other Index Options'!$I:$I,"MDAW*")=0,"",SUMIFS('NSE - NIFTY Index Options'!$M:$M,'NSE - NIFTY Index Options'!$C:$C,$A122,'NSE - NIFTY Index Options'!$B:$B,D$4,'NSE - NIFTY Index Options'!$I:$I,"Weekly*")+SUMIFS('NSE - NIFTY Index Options'!$M:$M,'NSE - NIFTY Index Options'!$C:$C,$A122,'NSE - NIFTY Index Options'!$B:$B,D$4,'NSE - NIFTY Index Options'!$I:$I,"MDAW*")+SUMIFS('NSE - Other Index Options'!$M:$M,'NSE - Other Index Options'!$C:$C,$A122,'NSE - Other Index Options'!$B:$B,D$4,'NSE - Other Index Options'!$I:$I,"Weekly*")+SUMIFS('NSE - Other Index Options'!$M:$M,'NSE - Other Index Options'!$C:$C,$A122,'NSE - Other Index Options'!$B:$B,D$4,'NSE - Other Index Options'!$I:$I,"MDAW*")+SUMIFS('BSE - SENSEX Index Options'!$M:$M,'BSE - SENSEX Index Options'!$C:$C,$A122,'BSE - SENSEX Index Options'!$B:$B,D$4,'BSE - SENSEX Index Options'!$I:$I,"Weekly*")+SUMIFS('BSE - SENSEX Index Options'!$M:$M,'BSE - SENSEX Index Options'!$C:$C,$A122,'BSE - SENSEX Index Options'!$B:$B,D$4,'BSE - SENSEX Index Options'!$I:$I,"MDAW*")+SUMIFS('BSE - Other Index Options'!$M:$M,'BSE - Other Index Options'!$C:$C,$A122,'BSE - Other Index Options'!$B:$B,D$4,'BSE - Other Index Options'!$I:$I,"Weekly*")+SUMIFS('BSE - Other Index Options'!$M:$M,'BSE - Other Index Options'!$C:$C,$A122,'BSE - Other Index Options'!$B:$B,D$4,'BSE - Other Index Options'!$I:$I,"MDAW*"))</f>
        <v/>
      </c>
      <c r="E122" s="26">
        <f>IF(SUMIFS('NSE - NIFTY Index Options'!$M:$M,'NSE - NIFTY Index Options'!$C:$C,$A122,'NSE - NIFTY Index Options'!$B:$B,E$4,'NSE - NIFTY Index Options'!$I:$I,"Weekly*")+SUMIFS('NSE - NIFTY Index Options'!$M:$M,'NSE - NIFTY Index Options'!$C:$C,$A122,'NSE - NIFTY Index Options'!$B:$B,E$4,'NSE - NIFTY Index Options'!$I:$I,"MDAW*")+SUMIFS('NSE - Other Index Options'!$M:$M,'NSE - Other Index Options'!$C:$C,$A122,'NSE - Other Index Options'!$B:$B,E$4,'NSE - Other Index Options'!$I:$I,"Weekly*")+SUMIFS('NSE - Other Index Options'!$M:$M,'NSE - Other Index Options'!$C:$C,$A122,'NSE - Other Index Options'!$B:$B,E$4,'NSE - Other Index Options'!$I:$I,"MDAW*")+SUMIFS('BSE - SENSEX Index Options'!$M:$M,'BSE - SENSEX Index Options'!$C:$C,$A122,'BSE - SENSEX Index Options'!$B:$B,E$4,'BSE - SENSEX Index Options'!$I:$I,"Weekly*")+SUMIFS('BSE - SENSEX Index Options'!$M:$M,'BSE - SENSEX Index Options'!$C:$C,$A122,'BSE - SENSEX Index Options'!$B:$B,E$4,'BSE - SENSEX Index Options'!$I:$I,"MDAW*")+SUMIFS('BSE - Other Index Options'!$M:$M,'BSE - Other Index Options'!$C:$C,$A122,'BSE - Other Index Options'!$B:$B,E$4,'BSE - Other Index Options'!$I:$I,"Weekly*")+SUMIFS('BSE - Other Index Options'!$M:$M,'BSE - Other Index Options'!$C:$C,$A122,'BSE - Other Index Options'!$B:$B,E$4,'BSE - Other Index Options'!$I:$I,"MDAW*")=0,"",SUMIFS('NSE - NIFTY Index Options'!$M:$M,'NSE - NIFTY Index Options'!$C:$C,$A122,'NSE - NIFTY Index Options'!$B:$B,E$4,'NSE - NIFTY Index Options'!$I:$I,"Weekly*")+SUMIFS('NSE - NIFTY Index Options'!$M:$M,'NSE - NIFTY Index Options'!$C:$C,$A122,'NSE - NIFTY Index Options'!$B:$B,E$4,'NSE - NIFTY Index Options'!$I:$I,"MDAW*")+SUMIFS('NSE - Other Index Options'!$M:$M,'NSE - Other Index Options'!$C:$C,$A122,'NSE - Other Index Options'!$B:$B,E$4,'NSE - Other Index Options'!$I:$I,"Weekly*")+SUMIFS('NSE - Other Index Options'!$M:$M,'NSE - Other Index Options'!$C:$C,$A122,'NSE - Other Index Options'!$B:$B,E$4,'NSE - Other Index Options'!$I:$I,"MDAW*")+SUMIFS('BSE - SENSEX Index Options'!$M:$M,'BSE - SENSEX Index Options'!$C:$C,$A122,'BSE - SENSEX Index Options'!$B:$B,E$4,'BSE - SENSEX Index Options'!$I:$I,"Weekly*")+SUMIFS('BSE - SENSEX Index Options'!$M:$M,'BSE - SENSEX Index Options'!$C:$C,$A122,'BSE - SENSEX Index Options'!$B:$B,E$4,'BSE - SENSEX Index Options'!$I:$I,"MDAW*")+SUMIFS('BSE - Other Index Options'!$M:$M,'BSE - Other Index Options'!$C:$C,$A122,'BSE - Other Index Options'!$B:$B,E$4,'BSE - Other Index Options'!$I:$I,"Weekly*")+SUMIFS('BSE - Other Index Options'!$M:$M,'BSE - Other Index Options'!$C:$C,$A122,'BSE - Other Index Options'!$B:$B,E$4,'BSE - Other Index Options'!$I:$I,"MDAW*"))</f>
        <v/>
      </c>
      <c r="F122" s="26">
        <f>IF(SUMIFS('NSE - NIFTY Index Options'!$M:$M,'NSE - NIFTY Index Options'!$C:$C,$A122,'NSE - NIFTY Index Options'!$B:$B,F$4,'NSE - NIFTY Index Options'!$I:$I,"Weekly*")+SUMIFS('NSE - NIFTY Index Options'!$M:$M,'NSE - NIFTY Index Options'!$C:$C,$A122,'NSE - NIFTY Index Options'!$B:$B,F$4,'NSE - NIFTY Index Options'!$I:$I,"MDAW*")+SUMIFS('NSE - Other Index Options'!$M:$M,'NSE - Other Index Options'!$C:$C,$A122,'NSE - Other Index Options'!$B:$B,F$4,'NSE - Other Index Options'!$I:$I,"Weekly*")+SUMIFS('NSE - Other Index Options'!$M:$M,'NSE - Other Index Options'!$C:$C,$A122,'NSE - Other Index Options'!$B:$B,F$4,'NSE - Other Index Options'!$I:$I,"MDAW*")+SUMIFS('BSE - SENSEX Index Options'!$M:$M,'BSE - SENSEX Index Options'!$C:$C,$A122,'BSE - SENSEX Index Options'!$B:$B,F$4,'BSE - SENSEX Index Options'!$I:$I,"Weekly*")+SUMIFS('BSE - SENSEX Index Options'!$M:$M,'BSE - SENSEX Index Options'!$C:$C,$A122,'BSE - SENSEX Index Options'!$B:$B,F$4,'BSE - SENSEX Index Options'!$I:$I,"MDAW*")+SUMIFS('BSE - Other Index Options'!$M:$M,'BSE - Other Index Options'!$C:$C,$A122,'BSE - Other Index Options'!$B:$B,F$4,'BSE - Other Index Options'!$I:$I,"Weekly*")+SUMIFS('BSE - Other Index Options'!$M:$M,'BSE - Other Index Options'!$C:$C,$A122,'BSE - Other Index Options'!$B:$B,F$4,'BSE - Other Index Options'!$I:$I,"MDAW*")=0,"",SUMIFS('NSE - NIFTY Index Options'!$M:$M,'NSE - NIFTY Index Options'!$C:$C,$A122,'NSE - NIFTY Index Options'!$B:$B,F$4,'NSE - NIFTY Index Options'!$I:$I,"Weekly*")+SUMIFS('NSE - NIFTY Index Options'!$M:$M,'NSE - NIFTY Index Options'!$C:$C,$A122,'NSE - NIFTY Index Options'!$B:$B,F$4,'NSE - NIFTY Index Options'!$I:$I,"MDAW*")+SUMIFS('NSE - Other Index Options'!$M:$M,'NSE - Other Index Options'!$C:$C,$A122,'NSE - Other Index Options'!$B:$B,F$4,'NSE - Other Index Options'!$I:$I,"Weekly*")+SUMIFS('NSE - Other Index Options'!$M:$M,'NSE - Other Index Options'!$C:$C,$A122,'NSE - Other Index Options'!$B:$B,F$4,'NSE - Other Index Options'!$I:$I,"MDAW*")+SUMIFS('BSE - SENSEX Index Options'!$M:$M,'BSE - SENSEX Index Options'!$C:$C,$A122,'BSE - SENSEX Index Options'!$B:$B,F$4,'BSE - SENSEX Index Options'!$I:$I,"Weekly*")+SUMIFS('BSE - SENSEX Index Options'!$M:$M,'BSE - SENSEX Index Options'!$C:$C,$A122,'BSE - SENSEX Index Options'!$B:$B,F$4,'BSE - SENSEX Index Options'!$I:$I,"MDAW*")+SUMIFS('BSE - Other Index Options'!$M:$M,'BSE - Other Index Options'!$C:$C,$A122,'BSE - Other Index Options'!$B:$B,F$4,'BSE - Other Index Options'!$I:$I,"Weekly*")+SUMIFS('BSE - Other Index Options'!$M:$M,'BSE - Other Index Options'!$C:$C,$A122,'BSE - Other Index Options'!$B:$B,F$4,'BSE - Other Index Options'!$I:$I,"MDAW*"))</f>
        <v/>
      </c>
      <c r="G122" s="26">
        <f>IF(SUMIFS('NSE - NIFTY Index Options'!$M:$M,'NSE - NIFTY Index Options'!$C:$C,$A122,'NSE - NIFTY Index Options'!$B:$B,G$4,'NSE - NIFTY Index Options'!$I:$I,"Weekly*")+SUMIFS('NSE - NIFTY Index Options'!$M:$M,'NSE - NIFTY Index Options'!$C:$C,$A122,'NSE - NIFTY Index Options'!$B:$B,G$4,'NSE - NIFTY Index Options'!$I:$I,"MDAW*")+SUMIFS('NSE - Other Index Options'!$M:$M,'NSE - Other Index Options'!$C:$C,$A122,'NSE - Other Index Options'!$B:$B,G$4,'NSE - Other Index Options'!$I:$I,"Weekly*")+SUMIFS('NSE - Other Index Options'!$M:$M,'NSE - Other Index Options'!$C:$C,$A122,'NSE - Other Index Options'!$B:$B,G$4,'NSE - Other Index Options'!$I:$I,"MDAW*")+SUMIFS('BSE - SENSEX Index Options'!$M:$M,'BSE - SENSEX Index Options'!$C:$C,$A122,'BSE - SENSEX Index Options'!$B:$B,G$4,'BSE - SENSEX Index Options'!$I:$I,"Weekly*")+SUMIFS('BSE - SENSEX Index Options'!$M:$M,'BSE - SENSEX Index Options'!$C:$C,$A122,'BSE - SENSEX Index Options'!$B:$B,G$4,'BSE - SENSEX Index Options'!$I:$I,"MDAW*")+SUMIFS('BSE - Other Index Options'!$M:$M,'BSE - Other Index Options'!$C:$C,$A122,'BSE - Other Index Options'!$B:$B,G$4,'BSE - Other Index Options'!$I:$I,"Weekly*")+SUMIFS('BSE - Other Index Options'!$M:$M,'BSE - Other Index Options'!$C:$C,$A122,'BSE - Other Index Options'!$B:$B,G$4,'BSE - Other Index Options'!$I:$I,"MDAW*")=0,"",SUMIFS('NSE - NIFTY Index Options'!$M:$M,'NSE - NIFTY Index Options'!$C:$C,$A122,'NSE - NIFTY Index Options'!$B:$B,G$4,'NSE - NIFTY Index Options'!$I:$I,"Weekly*")+SUMIFS('NSE - NIFTY Index Options'!$M:$M,'NSE - NIFTY Index Options'!$C:$C,$A122,'NSE - NIFTY Index Options'!$B:$B,G$4,'NSE - NIFTY Index Options'!$I:$I,"MDAW*")+SUMIFS('NSE - Other Index Options'!$M:$M,'NSE - Other Index Options'!$C:$C,$A122,'NSE - Other Index Options'!$B:$B,G$4,'NSE - Other Index Options'!$I:$I,"Weekly*")+SUMIFS('NSE - Other Index Options'!$M:$M,'NSE - Other Index Options'!$C:$C,$A122,'NSE - Other Index Options'!$B:$B,G$4,'NSE - Other Index Options'!$I:$I,"MDAW*")+SUMIFS('BSE - SENSEX Index Options'!$M:$M,'BSE - SENSEX Index Options'!$C:$C,$A122,'BSE - SENSEX Index Options'!$B:$B,G$4,'BSE - SENSEX Index Options'!$I:$I,"Weekly*")+SUMIFS('BSE - SENSEX Index Options'!$M:$M,'BSE - SENSEX Index Options'!$C:$C,$A122,'BSE - SENSEX Index Options'!$B:$B,G$4,'BSE - SENSEX Index Options'!$I:$I,"MDAW*")+SUMIFS('BSE - Other Index Options'!$M:$M,'BSE - Other Index Options'!$C:$C,$A122,'BSE - Other Index Options'!$B:$B,G$4,'BSE - Other Index Options'!$I:$I,"Weekly*")+SUMIFS('BSE - Other Index Options'!$M:$M,'BSE - Other Index Options'!$C:$C,$A122,'BSE - Other Index Options'!$B:$B,G$4,'BSE - Other Index Options'!$I:$I,"MDAW*"))</f>
        <v/>
      </c>
      <c r="H122" s="26">
        <f>IF(SUM(B122:G122)=0,"",SUM(B122:G122))</f>
        <v/>
      </c>
    </row>
    <row r="123" hidden="1" outlineLevel="1">
      <c r="A123" t="inlineStr">
        <is>
          <t>Week1-Sep-2027</t>
        </is>
      </c>
      <c r="B123" s="26">
        <f>IF(SUMIFS('NSE - NIFTY Index Options'!$M:$M,'NSE - NIFTY Index Options'!$C:$C,$A123,'NSE - NIFTY Index Options'!$B:$B,B$4,'NSE - NIFTY Index Options'!$I:$I,"Weekly*")+SUMIFS('NSE - NIFTY Index Options'!$M:$M,'NSE - NIFTY Index Options'!$C:$C,$A123,'NSE - NIFTY Index Options'!$B:$B,B$4,'NSE - NIFTY Index Options'!$I:$I,"MDAW*")+SUMIFS('NSE - Other Index Options'!$M:$M,'NSE - Other Index Options'!$C:$C,$A123,'NSE - Other Index Options'!$B:$B,B$4,'NSE - Other Index Options'!$I:$I,"Weekly*")+SUMIFS('NSE - Other Index Options'!$M:$M,'NSE - Other Index Options'!$C:$C,$A123,'NSE - Other Index Options'!$B:$B,B$4,'NSE - Other Index Options'!$I:$I,"MDAW*")+SUMIFS('BSE - SENSEX Index Options'!$M:$M,'BSE - SENSEX Index Options'!$C:$C,$A123,'BSE - SENSEX Index Options'!$B:$B,B$4,'BSE - SENSEX Index Options'!$I:$I,"Weekly*")+SUMIFS('BSE - SENSEX Index Options'!$M:$M,'BSE - SENSEX Index Options'!$C:$C,$A123,'BSE - SENSEX Index Options'!$B:$B,B$4,'BSE - SENSEX Index Options'!$I:$I,"MDAW*")+SUMIFS('BSE - Other Index Options'!$M:$M,'BSE - Other Index Options'!$C:$C,$A123,'BSE - Other Index Options'!$B:$B,B$4,'BSE - Other Index Options'!$I:$I,"Weekly*")+SUMIFS('BSE - Other Index Options'!$M:$M,'BSE - Other Index Options'!$C:$C,$A123,'BSE - Other Index Options'!$B:$B,B$4,'BSE - Other Index Options'!$I:$I,"MDAW*")=0,"",SUMIFS('NSE - NIFTY Index Options'!$M:$M,'NSE - NIFTY Index Options'!$C:$C,$A123,'NSE - NIFTY Index Options'!$B:$B,B$4,'NSE - NIFTY Index Options'!$I:$I,"Weekly*")+SUMIFS('NSE - NIFTY Index Options'!$M:$M,'NSE - NIFTY Index Options'!$C:$C,$A123,'NSE - NIFTY Index Options'!$B:$B,B$4,'NSE - NIFTY Index Options'!$I:$I,"MDAW*")+SUMIFS('NSE - Other Index Options'!$M:$M,'NSE - Other Index Options'!$C:$C,$A123,'NSE - Other Index Options'!$B:$B,B$4,'NSE - Other Index Options'!$I:$I,"Weekly*")+SUMIFS('NSE - Other Index Options'!$M:$M,'NSE - Other Index Options'!$C:$C,$A123,'NSE - Other Index Options'!$B:$B,B$4,'NSE - Other Index Options'!$I:$I,"MDAW*")+SUMIFS('BSE - SENSEX Index Options'!$M:$M,'BSE - SENSEX Index Options'!$C:$C,$A123,'BSE - SENSEX Index Options'!$B:$B,B$4,'BSE - SENSEX Index Options'!$I:$I,"Weekly*")+SUMIFS('BSE - SENSEX Index Options'!$M:$M,'BSE - SENSEX Index Options'!$C:$C,$A123,'BSE - SENSEX Index Options'!$B:$B,B$4,'BSE - SENSEX Index Options'!$I:$I,"MDAW*")+SUMIFS('BSE - Other Index Options'!$M:$M,'BSE - Other Index Options'!$C:$C,$A123,'BSE - Other Index Options'!$B:$B,B$4,'BSE - Other Index Options'!$I:$I,"Weekly*")+SUMIFS('BSE - Other Index Options'!$M:$M,'BSE - Other Index Options'!$C:$C,$A123,'BSE - Other Index Options'!$B:$B,B$4,'BSE - Other Index Options'!$I:$I,"MDAW*"))</f>
        <v/>
      </c>
      <c r="C123" s="26">
        <f>IF(SUMIFS('NSE - NIFTY Index Options'!$M:$M,'NSE - NIFTY Index Options'!$C:$C,$A123,'NSE - NIFTY Index Options'!$B:$B,C$4,'NSE - NIFTY Index Options'!$I:$I,"Weekly*")+SUMIFS('NSE - NIFTY Index Options'!$M:$M,'NSE - NIFTY Index Options'!$C:$C,$A123,'NSE - NIFTY Index Options'!$B:$B,C$4,'NSE - NIFTY Index Options'!$I:$I,"MDAW*")+SUMIFS('NSE - Other Index Options'!$M:$M,'NSE - Other Index Options'!$C:$C,$A123,'NSE - Other Index Options'!$B:$B,C$4,'NSE - Other Index Options'!$I:$I,"Weekly*")+SUMIFS('NSE - Other Index Options'!$M:$M,'NSE - Other Index Options'!$C:$C,$A123,'NSE - Other Index Options'!$B:$B,C$4,'NSE - Other Index Options'!$I:$I,"MDAW*")+SUMIFS('BSE - SENSEX Index Options'!$M:$M,'BSE - SENSEX Index Options'!$C:$C,$A123,'BSE - SENSEX Index Options'!$B:$B,C$4,'BSE - SENSEX Index Options'!$I:$I,"Weekly*")+SUMIFS('BSE - SENSEX Index Options'!$M:$M,'BSE - SENSEX Index Options'!$C:$C,$A123,'BSE - SENSEX Index Options'!$B:$B,C$4,'BSE - SENSEX Index Options'!$I:$I,"MDAW*")+SUMIFS('BSE - Other Index Options'!$M:$M,'BSE - Other Index Options'!$C:$C,$A123,'BSE - Other Index Options'!$B:$B,C$4,'BSE - Other Index Options'!$I:$I,"Weekly*")+SUMIFS('BSE - Other Index Options'!$M:$M,'BSE - Other Index Options'!$C:$C,$A123,'BSE - Other Index Options'!$B:$B,C$4,'BSE - Other Index Options'!$I:$I,"MDAW*")=0,"",SUMIFS('NSE - NIFTY Index Options'!$M:$M,'NSE - NIFTY Index Options'!$C:$C,$A123,'NSE - NIFTY Index Options'!$B:$B,C$4,'NSE - NIFTY Index Options'!$I:$I,"Weekly*")+SUMIFS('NSE - NIFTY Index Options'!$M:$M,'NSE - NIFTY Index Options'!$C:$C,$A123,'NSE - NIFTY Index Options'!$B:$B,C$4,'NSE - NIFTY Index Options'!$I:$I,"MDAW*")+SUMIFS('NSE - Other Index Options'!$M:$M,'NSE - Other Index Options'!$C:$C,$A123,'NSE - Other Index Options'!$B:$B,C$4,'NSE - Other Index Options'!$I:$I,"Weekly*")+SUMIFS('NSE - Other Index Options'!$M:$M,'NSE - Other Index Options'!$C:$C,$A123,'NSE - Other Index Options'!$B:$B,C$4,'NSE - Other Index Options'!$I:$I,"MDAW*")+SUMIFS('BSE - SENSEX Index Options'!$M:$M,'BSE - SENSEX Index Options'!$C:$C,$A123,'BSE - SENSEX Index Options'!$B:$B,C$4,'BSE - SENSEX Index Options'!$I:$I,"Weekly*")+SUMIFS('BSE - SENSEX Index Options'!$M:$M,'BSE - SENSEX Index Options'!$C:$C,$A123,'BSE - SENSEX Index Options'!$B:$B,C$4,'BSE - SENSEX Index Options'!$I:$I,"MDAW*")+SUMIFS('BSE - Other Index Options'!$M:$M,'BSE - Other Index Options'!$C:$C,$A123,'BSE - Other Index Options'!$B:$B,C$4,'BSE - Other Index Options'!$I:$I,"Weekly*")+SUMIFS('BSE - Other Index Options'!$M:$M,'BSE - Other Index Options'!$C:$C,$A123,'BSE - Other Index Options'!$B:$B,C$4,'BSE - Other Index Options'!$I:$I,"MDAW*"))</f>
        <v/>
      </c>
      <c r="D123" s="26">
        <f>IF(SUMIFS('NSE - NIFTY Index Options'!$M:$M,'NSE - NIFTY Index Options'!$C:$C,$A123,'NSE - NIFTY Index Options'!$B:$B,D$4,'NSE - NIFTY Index Options'!$I:$I,"Weekly*")+SUMIFS('NSE - NIFTY Index Options'!$M:$M,'NSE - NIFTY Index Options'!$C:$C,$A123,'NSE - NIFTY Index Options'!$B:$B,D$4,'NSE - NIFTY Index Options'!$I:$I,"MDAW*")+SUMIFS('NSE - Other Index Options'!$M:$M,'NSE - Other Index Options'!$C:$C,$A123,'NSE - Other Index Options'!$B:$B,D$4,'NSE - Other Index Options'!$I:$I,"Weekly*")+SUMIFS('NSE - Other Index Options'!$M:$M,'NSE - Other Index Options'!$C:$C,$A123,'NSE - Other Index Options'!$B:$B,D$4,'NSE - Other Index Options'!$I:$I,"MDAW*")+SUMIFS('BSE - SENSEX Index Options'!$M:$M,'BSE - SENSEX Index Options'!$C:$C,$A123,'BSE - SENSEX Index Options'!$B:$B,D$4,'BSE - SENSEX Index Options'!$I:$I,"Weekly*")+SUMIFS('BSE - SENSEX Index Options'!$M:$M,'BSE - SENSEX Index Options'!$C:$C,$A123,'BSE - SENSEX Index Options'!$B:$B,D$4,'BSE - SENSEX Index Options'!$I:$I,"MDAW*")+SUMIFS('BSE - Other Index Options'!$M:$M,'BSE - Other Index Options'!$C:$C,$A123,'BSE - Other Index Options'!$B:$B,D$4,'BSE - Other Index Options'!$I:$I,"Weekly*")+SUMIFS('BSE - Other Index Options'!$M:$M,'BSE - Other Index Options'!$C:$C,$A123,'BSE - Other Index Options'!$B:$B,D$4,'BSE - Other Index Options'!$I:$I,"MDAW*")=0,"",SUMIFS('NSE - NIFTY Index Options'!$M:$M,'NSE - NIFTY Index Options'!$C:$C,$A123,'NSE - NIFTY Index Options'!$B:$B,D$4,'NSE - NIFTY Index Options'!$I:$I,"Weekly*")+SUMIFS('NSE - NIFTY Index Options'!$M:$M,'NSE - NIFTY Index Options'!$C:$C,$A123,'NSE - NIFTY Index Options'!$B:$B,D$4,'NSE - NIFTY Index Options'!$I:$I,"MDAW*")+SUMIFS('NSE - Other Index Options'!$M:$M,'NSE - Other Index Options'!$C:$C,$A123,'NSE - Other Index Options'!$B:$B,D$4,'NSE - Other Index Options'!$I:$I,"Weekly*")+SUMIFS('NSE - Other Index Options'!$M:$M,'NSE - Other Index Options'!$C:$C,$A123,'NSE - Other Index Options'!$B:$B,D$4,'NSE - Other Index Options'!$I:$I,"MDAW*")+SUMIFS('BSE - SENSEX Index Options'!$M:$M,'BSE - SENSEX Index Options'!$C:$C,$A123,'BSE - SENSEX Index Options'!$B:$B,D$4,'BSE - SENSEX Index Options'!$I:$I,"Weekly*")+SUMIFS('BSE - SENSEX Index Options'!$M:$M,'BSE - SENSEX Index Options'!$C:$C,$A123,'BSE - SENSEX Index Options'!$B:$B,D$4,'BSE - SENSEX Index Options'!$I:$I,"MDAW*")+SUMIFS('BSE - Other Index Options'!$M:$M,'BSE - Other Index Options'!$C:$C,$A123,'BSE - Other Index Options'!$B:$B,D$4,'BSE - Other Index Options'!$I:$I,"Weekly*")+SUMIFS('BSE - Other Index Options'!$M:$M,'BSE - Other Index Options'!$C:$C,$A123,'BSE - Other Index Options'!$B:$B,D$4,'BSE - Other Index Options'!$I:$I,"MDAW*"))</f>
        <v/>
      </c>
      <c r="E123" s="26">
        <f>IF(SUMIFS('NSE - NIFTY Index Options'!$M:$M,'NSE - NIFTY Index Options'!$C:$C,$A123,'NSE - NIFTY Index Options'!$B:$B,E$4,'NSE - NIFTY Index Options'!$I:$I,"Weekly*")+SUMIFS('NSE - NIFTY Index Options'!$M:$M,'NSE - NIFTY Index Options'!$C:$C,$A123,'NSE - NIFTY Index Options'!$B:$B,E$4,'NSE - NIFTY Index Options'!$I:$I,"MDAW*")+SUMIFS('NSE - Other Index Options'!$M:$M,'NSE - Other Index Options'!$C:$C,$A123,'NSE - Other Index Options'!$B:$B,E$4,'NSE - Other Index Options'!$I:$I,"Weekly*")+SUMIFS('NSE - Other Index Options'!$M:$M,'NSE - Other Index Options'!$C:$C,$A123,'NSE - Other Index Options'!$B:$B,E$4,'NSE - Other Index Options'!$I:$I,"MDAW*")+SUMIFS('BSE - SENSEX Index Options'!$M:$M,'BSE - SENSEX Index Options'!$C:$C,$A123,'BSE - SENSEX Index Options'!$B:$B,E$4,'BSE - SENSEX Index Options'!$I:$I,"Weekly*")+SUMIFS('BSE - SENSEX Index Options'!$M:$M,'BSE - SENSEX Index Options'!$C:$C,$A123,'BSE - SENSEX Index Options'!$B:$B,E$4,'BSE - SENSEX Index Options'!$I:$I,"MDAW*")+SUMIFS('BSE - Other Index Options'!$M:$M,'BSE - Other Index Options'!$C:$C,$A123,'BSE - Other Index Options'!$B:$B,E$4,'BSE - Other Index Options'!$I:$I,"Weekly*")+SUMIFS('BSE - Other Index Options'!$M:$M,'BSE - Other Index Options'!$C:$C,$A123,'BSE - Other Index Options'!$B:$B,E$4,'BSE - Other Index Options'!$I:$I,"MDAW*")=0,"",SUMIFS('NSE - NIFTY Index Options'!$M:$M,'NSE - NIFTY Index Options'!$C:$C,$A123,'NSE - NIFTY Index Options'!$B:$B,E$4,'NSE - NIFTY Index Options'!$I:$I,"Weekly*")+SUMIFS('NSE - NIFTY Index Options'!$M:$M,'NSE - NIFTY Index Options'!$C:$C,$A123,'NSE - NIFTY Index Options'!$B:$B,E$4,'NSE - NIFTY Index Options'!$I:$I,"MDAW*")+SUMIFS('NSE - Other Index Options'!$M:$M,'NSE - Other Index Options'!$C:$C,$A123,'NSE - Other Index Options'!$B:$B,E$4,'NSE - Other Index Options'!$I:$I,"Weekly*")+SUMIFS('NSE - Other Index Options'!$M:$M,'NSE - Other Index Options'!$C:$C,$A123,'NSE - Other Index Options'!$B:$B,E$4,'NSE - Other Index Options'!$I:$I,"MDAW*")+SUMIFS('BSE - SENSEX Index Options'!$M:$M,'BSE - SENSEX Index Options'!$C:$C,$A123,'BSE - SENSEX Index Options'!$B:$B,E$4,'BSE - SENSEX Index Options'!$I:$I,"Weekly*")+SUMIFS('BSE - SENSEX Index Options'!$M:$M,'BSE - SENSEX Index Options'!$C:$C,$A123,'BSE - SENSEX Index Options'!$B:$B,E$4,'BSE - SENSEX Index Options'!$I:$I,"MDAW*")+SUMIFS('BSE - Other Index Options'!$M:$M,'BSE - Other Index Options'!$C:$C,$A123,'BSE - Other Index Options'!$B:$B,E$4,'BSE - Other Index Options'!$I:$I,"Weekly*")+SUMIFS('BSE - Other Index Options'!$M:$M,'BSE - Other Index Options'!$C:$C,$A123,'BSE - Other Index Options'!$B:$B,E$4,'BSE - Other Index Options'!$I:$I,"MDAW*"))</f>
        <v/>
      </c>
      <c r="F123" s="26">
        <f>IF(SUMIFS('NSE - NIFTY Index Options'!$M:$M,'NSE - NIFTY Index Options'!$C:$C,$A123,'NSE - NIFTY Index Options'!$B:$B,F$4,'NSE - NIFTY Index Options'!$I:$I,"Weekly*")+SUMIFS('NSE - NIFTY Index Options'!$M:$M,'NSE - NIFTY Index Options'!$C:$C,$A123,'NSE - NIFTY Index Options'!$B:$B,F$4,'NSE - NIFTY Index Options'!$I:$I,"MDAW*")+SUMIFS('NSE - Other Index Options'!$M:$M,'NSE - Other Index Options'!$C:$C,$A123,'NSE - Other Index Options'!$B:$B,F$4,'NSE - Other Index Options'!$I:$I,"Weekly*")+SUMIFS('NSE - Other Index Options'!$M:$M,'NSE - Other Index Options'!$C:$C,$A123,'NSE - Other Index Options'!$B:$B,F$4,'NSE - Other Index Options'!$I:$I,"MDAW*")+SUMIFS('BSE - SENSEX Index Options'!$M:$M,'BSE - SENSEX Index Options'!$C:$C,$A123,'BSE - SENSEX Index Options'!$B:$B,F$4,'BSE - SENSEX Index Options'!$I:$I,"Weekly*")+SUMIFS('BSE - SENSEX Index Options'!$M:$M,'BSE - SENSEX Index Options'!$C:$C,$A123,'BSE - SENSEX Index Options'!$B:$B,F$4,'BSE - SENSEX Index Options'!$I:$I,"MDAW*")+SUMIFS('BSE - Other Index Options'!$M:$M,'BSE - Other Index Options'!$C:$C,$A123,'BSE - Other Index Options'!$B:$B,F$4,'BSE - Other Index Options'!$I:$I,"Weekly*")+SUMIFS('BSE - Other Index Options'!$M:$M,'BSE - Other Index Options'!$C:$C,$A123,'BSE - Other Index Options'!$B:$B,F$4,'BSE - Other Index Options'!$I:$I,"MDAW*")=0,"",SUMIFS('NSE - NIFTY Index Options'!$M:$M,'NSE - NIFTY Index Options'!$C:$C,$A123,'NSE - NIFTY Index Options'!$B:$B,F$4,'NSE - NIFTY Index Options'!$I:$I,"Weekly*")+SUMIFS('NSE - NIFTY Index Options'!$M:$M,'NSE - NIFTY Index Options'!$C:$C,$A123,'NSE - NIFTY Index Options'!$B:$B,F$4,'NSE - NIFTY Index Options'!$I:$I,"MDAW*")+SUMIFS('NSE - Other Index Options'!$M:$M,'NSE - Other Index Options'!$C:$C,$A123,'NSE - Other Index Options'!$B:$B,F$4,'NSE - Other Index Options'!$I:$I,"Weekly*")+SUMIFS('NSE - Other Index Options'!$M:$M,'NSE - Other Index Options'!$C:$C,$A123,'NSE - Other Index Options'!$B:$B,F$4,'NSE - Other Index Options'!$I:$I,"MDAW*")+SUMIFS('BSE - SENSEX Index Options'!$M:$M,'BSE - SENSEX Index Options'!$C:$C,$A123,'BSE - SENSEX Index Options'!$B:$B,F$4,'BSE - SENSEX Index Options'!$I:$I,"Weekly*")+SUMIFS('BSE - SENSEX Index Options'!$M:$M,'BSE - SENSEX Index Options'!$C:$C,$A123,'BSE - SENSEX Index Options'!$B:$B,F$4,'BSE - SENSEX Index Options'!$I:$I,"MDAW*")+SUMIFS('BSE - Other Index Options'!$M:$M,'BSE - Other Index Options'!$C:$C,$A123,'BSE - Other Index Options'!$B:$B,F$4,'BSE - Other Index Options'!$I:$I,"Weekly*")+SUMIFS('BSE - Other Index Options'!$M:$M,'BSE - Other Index Options'!$C:$C,$A123,'BSE - Other Index Options'!$B:$B,F$4,'BSE - Other Index Options'!$I:$I,"MDAW*"))</f>
        <v/>
      </c>
      <c r="G123" s="26">
        <f>IF(SUMIFS('NSE - NIFTY Index Options'!$M:$M,'NSE - NIFTY Index Options'!$C:$C,$A123,'NSE - NIFTY Index Options'!$B:$B,G$4,'NSE - NIFTY Index Options'!$I:$I,"Weekly*")+SUMIFS('NSE - NIFTY Index Options'!$M:$M,'NSE - NIFTY Index Options'!$C:$C,$A123,'NSE - NIFTY Index Options'!$B:$B,G$4,'NSE - NIFTY Index Options'!$I:$I,"MDAW*")+SUMIFS('NSE - Other Index Options'!$M:$M,'NSE - Other Index Options'!$C:$C,$A123,'NSE - Other Index Options'!$B:$B,G$4,'NSE - Other Index Options'!$I:$I,"Weekly*")+SUMIFS('NSE - Other Index Options'!$M:$M,'NSE - Other Index Options'!$C:$C,$A123,'NSE - Other Index Options'!$B:$B,G$4,'NSE - Other Index Options'!$I:$I,"MDAW*")+SUMIFS('BSE - SENSEX Index Options'!$M:$M,'BSE - SENSEX Index Options'!$C:$C,$A123,'BSE - SENSEX Index Options'!$B:$B,G$4,'BSE - SENSEX Index Options'!$I:$I,"Weekly*")+SUMIFS('BSE - SENSEX Index Options'!$M:$M,'BSE - SENSEX Index Options'!$C:$C,$A123,'BSE - SENSEX Index Options'!$B:$B,G$4,'BSE - SENSEX Index Options'!$I:$I,"MDAW*")+SUMIFS('BSE - Other Index Options'!$M:$M,'BSE - Other Index Options'!$C:$C,$A123,'BSE - Other Index Options'!$B:$B,G$4,'BSE - Other Index Options'!$I:$I,"Weekly*")+SUMIFS('BSE - Other Index Options'!$M:$M,'BSE - Other Index Options'!$C:$C,$A123,'BSE - Other Index Options'!$B:$B,G$4,'BSE - Other Index Options'!$I:$I,"MDAW*")=0,"",SUMIFS('NSE - NIFTY Index Options'!$M:$M,'NSE - NIFTY Index Options'!$C:$C,$A123,'NSE - NIFTY Index Options'!$B:$B,G$4,'NSE - NIFTY Index Options'!$I:$I,"Weekly*")+SUMIFS('NSE - NIFTY Index Options'!$M:$M,'NSE - NIFTY Index Options'!$C:$C,$A123,'NSE - NIFTY Index Options'!$B:$B,G$4,'NSE - NIFTY Index Options'!$I:$I,"MDAW*")+SUMIFS('NSE - Other Index Options'!$M:$M,'NSE - Other Index Options'!$C:$C,$A123,'NSE - Other Index Options'!$B:$B,G$4,'NSE - Other Index Options'!$I:$I,"Weekly*")+SUMIFS('NSE - Other Index Options'!$M:$M,'NSE - Other Index Options'!$C:$C,$A123,'NSE - Other Index Options'!$B:$B,G$4,'NSE - Other Index Options'!$I:$I,"MDAW*")+SUMIFS('BSE - SENSEX Index Options'!$M:$M,'BSE - SENSEX Index Options'!$C:$C,$A123,'BSE - SENSEX Index Options'!$B:$B,G$4,'BSE - SENSEX Index Options'!$I:$I,"Weekly*")+SUMIFS('BSE - SENSEX Index Options'!$M:$M,'BSE - SENSEX Index Options'!$C:$C,$A123,'BSE - SENSEX Index Options'!$B:$B,G$4,'BSE - SENSEX Index Options'!$I:$I,"MDAW*")+SUMIFS('BSE - Other Index Options'!$M:$M,'BSE - Other Index Options'!$C:$C,$A123,'BSE - Other Index Options'!$B:$B,G$4,'BSE - Other Index Options'!$I:$I,"Weekly*")+SUMIFS('BSE - Other Index Options'!$M:$M,'BSE - Other Index Options'!$C:$C,$A123,'BSE - Other Index Options'!$B:$B,G$4,'BSE - Other Index Options'!$I:$I,"MDAW*"))</f>
        <v/>
      </c>
      <c r="H123" s="26">
        <f>IF(SUM(B123:G123)=0,"",SUM(B123:G123))</f>
        <v/>
      </c>
    </row>
    <row r="124" hidden="1" outlineLevel="1">
      <c r="A124" t="inlineStr">
        <is>
          <t>Week2-Sep-2027</t>
        </is>
      </c>
      <c r="B124" s="26">
        <f>IF(SUMIFS('NSE - NIFTY Index Options'!$M:$M,'NSE - NIFTY Index Options'!$C:$C,$A124,'NSE - NIFTY Index Options'!$B:$B,B$4,'NSE - NIFTY Index Options'!$I:$I,"Weekly*")+SUMIFS('NSE - NIFTY Index Options'!$M:$M,'NSE - NIFTY Index Options'!$C:$C,$A124,'NSE - NIFTY Index Options'!$B:$B,B$4,'NSE - NIFTY Index Options'!$I:$I,"MDAW*")+SUMIFS('NSE - Other Index Options'!$M:$M,'NSE - Other Index Options'!$C:$C,$A124,'NSE - Other Index Options'!$B:$B,B$4,'NSE - Other Index Options'!$I:$I,"Weekly*")+SUMIFS('NSE - Other Index Options'!$M:$M,'NSE - Other Index Options'!$C:$C,$A124,'NSE - Other Index Options'!$B:$B,B$4,'NSE - Other Index Options'!$I:$I,"MDAW*")+SUMIFS('BSE - SENSEX Index Options'!$M:$M,'BSE - SENSEX Index Options'!$C:$C,$A124,'BSE - SENSEX Index Options'!$B:$B,B$4,'BSE - SENSEX Index Options'!$I:$I,"Weekly*")+SUMIFS('BSE - SENSEX Index Options'!$M:$M,'BSE - SENSEX Index Options'!$C:$C,$A124,'BSE - SENSEX Index Options'!$B:$B,B$4,'BSE - SENSEX Index Options'!$I:$I,"MDAW*")+SUMIFS('BSE - Other Index Options'!$M:$M,'BSE - Other Index Options'!$C:$C,$A124,'BSE - Other Index Options'!$B:$B,B$4,'BSE - Other Index Options'!$I:$I,"Weekly*")+SUMIFS('BSE - Other Index Options'!$M:$M,'BSE - Other Index Options'!$C:$C,$A124,'BSE - Other Index Options'!$B:$B,B$4,'BSE - Other Index Options'!$I:$I,"MDAW*")=0,"",SUMIFS('NSE - NIFTY Index Options'!$M:$M,'NSE - NIFTY Index Options'!$C:$C,$A124,'NSE - NIFTY Index Options'!$B:$B,B$4,'NSE - NIFTY Index Options'!$I:$I,"Weekly*")+SUMIFS('NSE - NIFTY Index Options'!$M:$M,'NSE - NIFTY Index Options'!$C:$C,$A124,'NSE - NIFTY Index Options'!$B:$B,B$4,'NSE - NIFTY Index Options'!$I:$I,"MDAW*")+SUMIFS('NSE - Other Index Options'!$M:$M,'NSE - Other Index Options'!$C:$C,$A124,'NSE - Other Index Options'!$B:$B,B$4,'NSE - Other Index Options'!$I:$I,"Weekly*")+SUMIFS('NSE - Other Index Options'!$M:$M,'NSE - Other Index Options'!$C:$C,$A124,'NSE - Other Index Options'!$B:$B,B$4,'NSE - Other Index Options'!$I:$I,"MDAW*")+SUMIFS('BSE - SENSEX Index Options'!$M:$M,'BSE - SENSEX Index Options'!$C:$C,$A124,'BSE - SENSEX Index Options'!$B:$B,B$4,'BSE - SENSEX Index Options'!$I:$I,"Weekly*")+SUMIFS('BSE - SENSEX Index Options'!$M:$M,'BSE - SENSEX Index Options'!$C:$C,$A124,'BSE - SENSEX Index Options'!$B:$B,B$4,'BSE - SENSEX Index Options'!$I:$I,"MDAW*")+SUMIFS('BSE - Other Index Options'!$M:$M,'BSE - Other Index Options'!$C:$C,$A124,'BSE - Other Index Options'!$B:$B,B$4,'BSE - Other Index Options'!$I:$I,"Weekly*")+SUMIFS('BSE - Other Index Options'!$M:$M,'BSE - Other Index Options'!$C:$C,$A124,'BSE - Other Index Options'!$B:$B,B$4,'BSE - Other Index Options'!$I:$I,"MDAW*"))</f>
        <v/>
      </c>
      <c r="C124" s="26">
        <f>IF(SUMIFS('NSE - NIFTY Index Options'!$M:$M,'NSE - NIFTY Index Options'!$C:$C,$A124,'NSE - NIFTY Index Options'!$B:$B,C$4,'NSE - NIFTY Index Options'!$I:$I,"Weekly*")+SUMIFS('NSE - NIFTY Index Options'!$M:$M,'NSE - NIFTY Index Options'!$C:$C,$A124,'NSE - NIFTY Index Options'!$B:$B,C$4,'NSE - NIFTY Index Options'!$I:$I,"MDAW*")+SUMIFS('NSE - Other Index Options'!$M:$M,'NSE - Other Index Options'!$C:$C,$A124,'NSE - Other Index Options'!$B:$B,C$4,'NSE - Other Index Options'!$I:$I,"Weekly*")+SUMIFS('NSE - Other Index Options'!$M:$M,'NSE - Other Index Options'!$C:$C,$A124,'NSE - Other Index Options'!$B:$B,C$4,'NSE - Other Index Options'!$I:$I,"MDAW*")+SUMIFS('BSE - SENSEX Index Options'!$M:$M,'BSE - SENSEX Index Options'!$C:$C,$A124,'BSE - SENSEX Index Options'!$B:$B,C$4,'BSE - SENSEX Index Options'!$I:$I,"Weekly*")+SUMIFS('BSE - SENSEX Index Options'!$M:$M,'BSE - SENSEX Index Options'!$C:$C,$A124,'BSE - SENSEX Index Options'!$B:$B,C$4,'BSE - SENSEX Index Options'!$I:$I,"MDAW*")+SUMIFS('BSE - Other Index Options'!$M:$M,'BSE - Other Index Options'!$C:$C,$A124,'BSE - Other Index Options'!$B:$B,C$4,'BSE - Other Index Options'!$I:$I,"Weekly*")+SUMIFS('BSE - Other Index Options'!$M:$M,'BSE - Other Index Options'!$C:$C,$A124,'BSE - Other Index Options'!$B:$B,C$4,'BSE - Other Index Options'!$I:$I,"MDAW*")=0,"",SUMIFS('NSE - NIFTY Index Options'!$M:$M,'NSE - NIFTY Index Options'!$C:$C,$A124,'NSE - NIFTY Index Options'!$B:$B,C$4,'NSE - NIFTY Index Options'!$I:$I,"Weekly*")+SUMIFS('NSE - NIFTY Index Options'!$M:$M,'NSE - NIFTY Index Options'!$C:$C,$A124,'NSE - NIFTY Index Options'!$B:$B,C$4,'NSE - NIFTY Index Options'!$I:$I,"MDAW*")+SUMIFS('NSE - Other Index Options'!$M:$M,'NSE - Other Index Options'!$C:$C,$A124,'NSE - Other Index Options'!$B:$B,C$4,'NSE - Other Index Options'!$I:$I,"Weekly*")+SUMIFS('NSE - Other Index Options'!$M:$M,'NSE - Other Index Options'!$C:$C,$A124,'NSE - Other Index Options'!$B:$B,C$4,'NSE - Other Index Options'!$I:$I,"MDAW*")+SUMIFS('BSE - SENSEX Index Options'!$M:$M,'BSE - SENSEX Index Options'!$C:$C,$A124,'BSE - SENSEX Index Options'!$B:$B,C$4,'BSE - SENSEX Index Options'!$I:$I,"Weekly*")+SUMIFS('BSE - SENSEX Index Options'!$M:$M,'BSE - SENSEX Index Options'!$C:$C,$A124,'BSE - SENSEX Index Options'!$B:$B,C$4,'BSE - SENSEX Index Options'!$I:$I,"MDAW*")+SUMIFS('BSE - Other Index Options'!$M:$M,'BSE - Other Index Options'!$C:$C,$A124,'BSE - Other Index Options'!$B:$B,C$4,'BSE - Other Index Options'!$I:$I,"Weekly*")+SUMIFS('BSE - Other Index Options'!$M:$M,'BSE - Other Index Options'!$C:$C,$A124,'BSE - Other Index Options'!$B:$B,C$4,'BSE - Other Index Options'!$I:$I,"MDAW*"))</f>
        <v/>
      </c>
      <c r="D124" s="26">
        <f>IF(SUMIFS('NSE - NIFTY Index Options'!$M:$M,'NSE - NIFTY Index Options'!$C:$C,$A124,'NSE - NIFTY Index Options'!$B:$B,D$4,'NSE - NIFTY Index Options'!$I:$I,"Weekly*")+SUMIFS('NSE - NIFTY Index Options'!$M:$M,'NSE - NIFTY Index Options'!$C:$C,$A124,'NSE - NIFTY Index Options'!$B:$B,D$4,'NSE - NIFTY Index Options'!$I:$I,"MDAW*")+SUMIFS('NSE - Other Index Options'!$M:$M,'NSE - Other Index Options'!$C:$C,$A124,'NSE - Other Index Options'!$B:$B,D$4,'NSE - Other Index Options'!$I:$I,"Weekly*")+SUMIFS('NSE - Other Index Options'!$M:$M,'NSE - Other Index Options'!$C:$C,$A124,'NSE - Other Index Options'!$B:$B,D$4,'NSE - Other Index Options'!$I:$I,"MDAW*")+SUMIFS('BSE - SENSEX Index Options'!$M:$M,'BSE - SENSEX Index Options'!$C:$C,$A124,'BSE - SENSEX Index Options'!$B:$B,D$4,'BSE - SENSEX Index Options'!$I:$I,"Weekly*")+SUMIFS('BSE - SENSEX Index Options'!$M:$M,'BSE - SENSEX Index Options'!$C:$C,$A124,'BSE - SENSEX Index Options'!$B:$B,D$4,'BSE - SENSEX Index Options'!$I:$I,"MDAW*")+SUMIFS('BSE - Other Index Options'!$M:$M,'BSE - Other Index Options'!$C:$C,$A124,'BSE - Other Index Options'!$B:$B,D$4,'BSE - Other Index Options'!$I:$I,"Weekly*")+SUMIFS('BSE - Other Index Options'!$M:$M,'BSE - Other Index Options'!$C:$C,$A124,'BSE - Other Index Options'!$B:$B,D$4,'BSE - Other Index Options'!$I:$I,"MDAW*")=0,"",SUMIFS('NSE - NIFTY Index Options'!$M:$M,'NSE - NIFTY Index Options'!$C:$C,$A124,'NSE - NIFTY Index Options'!$B:$B,D$4,'NSE - NIFTY Index Options'!$I:$I,"Weekly*")+SUMIFS('NSE - NIFTY Index Options'!$M:$M,'NSE - NIFTY Index Options'!$C:$C,$A124,'NSE - NIFTY Index Options'!$B:$B,D$4,'NSE - NIFTY Index Options'!$I:$I,"MDAW*")+SUMIFS('NSE - Other Index Options'!$M:$M,'NSE - Other Index Options'!$C:$C,$A124,'NSE - Other Index Options'!$B:$B,D$4,'NSE - Other Index Options'!$I:$I,"Weekly*")+SUMIFS('NSE - Other Index Options'!$M:$M,'NSE - Other Index Options'!$C:$C,$A124,'NSE - Other Index Options'!$B:$B,D$4,'NSE - Other Index Options'!$I:$I,"MDAW*")+SUMIFS('BSE - SENSEX Index Options'!$M:$M,'BSE - SENSEX Index Options'!$C:$C,$A124,'BSE - SENSEX Index Options'!$B:$B,D$4,'BSE - SENSEX Index Options'!$I:$I,"Weekly*")+SUMIFS('BSE - SENSEX Index Options'!$M:$M,'BSE - SENSEX Index Options'!$C:$C,$A124,'BSE - SENSEX Index Options'!$B:$B,D$4,'BSE - SENSEX Index Options'!$I:$I,"MDAW*")+SUMIFS('BSE - Other Index Options'!$M:$M,'BSE - Other Index Options'!$C:$C,$A124,'BSE - Other Index Options'!$B:$B,D$4,'BSE - Other Index Options'!$I:$I,"Weekly*")+SUMIFS('BSE - Other Index Options'!$M:$M,'BSE - Other Index Options'!$C:$C,$A124,'BSE - Other Index Options'!$B:$B,D$4,'BSE - Other Index Options'!$I:$I,"MDAW*"))</f>
        <v/>
      </c>
      <c r="E124" s="26">
        <f>IF(SUMIFS('NSE - NIFTY Index Options'!$M:$M,'NSE - NIFTY Index Options'!$C:$C,$A124,'NSE - NIFTY Index Options'!$B:$B,E$4,'NSE - NIFTY Index Options'!$I:$I,"Weekly*")+SUMIFS('NSE - NIFTY Index Options'!$M:$M,'NSE - NIFTY Index Options'!$C:$C,$A124,'NSE - NIFTY Index Options'!$B:$B,E$4,'NSE - NIFTY Index Options'!$I:$I,"MDAW*")+SUMIFS('NSE - Other Index Options'!$M:$M,'NSE - Other Index Options'!$C:$C,$A124,'NSE - Other Index Options'!$B:$B,E$4,'NSE - Other Index Options'!$I:$I,"Weekly*")+SUMIFS('NSE - Other Index Options'!$M:$M,'NSE - Other Index Options'!$C:$C,$A124,'NSE - Other Index Options'!$B:$B,E$4,'NSE - Other Index Options'!$I:$I,"MDAW*")+SUMIFS('BSE - SENSEX Index Options'!$M:$M,'BSE - SENSEX Index Options'!$C:$C,$A124,'BSE - SENSEX Index Options'!$B:$B,E$4,'BSE - SENSEX Index Options'!$I:$I,"Weekly*")+SUMIFS('BSE - SENSEX Index Options'!$M:$M,'BSE - SENSEX Index Options'!$C:$C,$A124,'BSE - SENSEX Index Options'!$B:$B,E$4,'BSE - SENSEX Index Options'!$I:$I,"MDAW*")+SUMIFS('BSE - Other Index Options'!$M:$M,'BSE - Other Index Options'!$C:$C,$A124,'BSE - Other Index Options'!$B:$B,E$4,'BSE - Other Index Options'!$I:$I,"Weekly*")+SUMIFS('BSE - Other Index Options'!$M:$M,'BSE - Other Index Options'!$C:$C,$A124,'BSE - Other Index Options'!$B:$B,E$4,'BSE - Other Index Options'!$I:$I,"MDAW*")=0,"",SUMIFS('NSE - NIFTY Index Options'!$M:$M,'NSE - NIFTY Index Options'!$C:$C,$A124,'NSE - NIFTY Index Options'!$B:$B,E$4,'NSE - NIFTY Index Options'!$I:$I,"Weekly*")+SUMIFS('NSE - NIFTY Index Options'!$M:$M,'NSE - NIFTY Index Options'!$C:$C,$A124,'NSE - NIFTY Index Options'!$B:$B,E$4,'NSE - NIFTY Index Options'!$I:$I,"MDAW*")+SUMIFS('NSE - Other Index Options'!$M:$M,'NSE - Other Index Options'!$C:$C,$A124,'NSE - Other Index Options'!$B:$B,E$4,'NSE - Other Index Options'!$I:$I,"Weekly*")+SUMIFS('NSE - Other Index Options'!$M:$M,'NSE - Other Index Options'!$C:$C,$A124,'NSE - Other Index Options'!$B:$B,E$4,'NSE - Other Index Options'!$I:$I,"MDAW*")+SUMIFS('BSE - SENSEX Index Options'!$M:$M,'BSE - SENSEX Index Options'!$C:$C,$A124,'BSE - SENSEX Index Options'!$B:$B,E$4,'BSE - SENSEX Index Options'!$I:$I,"Weekly*")+SUMIFS('BSE - SENSEX Index Options'!$M:$M,'BSE - SENSEX Index Options'!$C:$C,$A124,'BSE - SENSEX Index Options'!$B:$B,E$4,'BSE - SENSEX Index Options'!$I:$I,"MDAW*")+SUMIFS('BSE - Other Index Options'!$M:$M,'BSE - Other Index Options'!$C:$C,$A124,'BSE - Other Index Options'!$B:$B,E$4,'BSE - Other Index Options'!$I:$I,"Weekly*")+SUMIFS('BSE - Other Index Options'!$M:$M,'BSE - Other Index Options'!$C:$C,$A124,'BSE - Other Index Options'!$B:$B,E$4,'BSE - Other Index Options'!$I:$I,"MDAW*"))</f>
        <v/>
      </c>
      <c r="F124" s="26">
        <f>IF(SUMIFS('NSE - NIFTY Index Options'!$M:$M,'NSE - NIFTY Index Options'!$C:$C,$A124,'NSE - NIFTY Index Options'!$B:$B,F$4,'NSE - NIFTY Index Options'!$I:$I,"Weekly*")+SUMIFS('NSE - NIFTY Index Options'!$M:$M,'NSE - NIFTY Index Options'!$C:$C,$A124,'NSE - NIFTY Index Options'!$B:$B,F$4,'NSE - NIFTY Index Options'!$I:$I,"MDAW*")+SUMIFS('NSE - Other Index Options'!$M:$M,'NSE - Other Index Options'!$C:$C,$A124,'NSE - Other Index Options'!$B:$B,F$4,'NSE - Other Index Options'!$I:$I,"Weekly*")+SUMIFS('NSE - Other Index Options'!$M:$M,'NSE - Other Index Options'!$C:$C,$A124,'NSE - Other Index Options'!$B:$B,F$4,'NSE - Other Index Options'!$I:$I,"MDAW*")+SUMIFS('BSE - SENSEX Index Options'!$M:$M,'BSE - SENSEX Index Options'!$C:$C,$A124,'BSE - SENSEX Index Options'!$B:$B,F$4,'BSE - SENSEX Index Options'!$I:$I,"Weekly*")+SUMIFS('BSE - SENSEX Index Options'!$M:$M,'BSE - SENSEX Index Options'!$C:$C,$A124,'BSE - SENSEX Index Options'!$B:$B,F$4,'BSE - SENSEX Index Options'!$I:$I,"MDAW*")+SUMIFS('BSE - Other Index Options'!$M:$M,'BSE - Other Index Options'!$C:$C,$A124,'BSE - Other Index Options'!$B:$B,F$4,'BSE - Other Index Options'!$I:$I,"Weekly*")+SUMIFS('BSE - Other Index Options'!$M:$M,'BSE - Other Index Options'!$C:$C,$A124,'BSE - Other Index Options'!$B:$B,F$4,'BSE - Other Index Options'!$I:$I,"MDAW*")=0,"",SUMIFS('NSE - NIFTY Index Options'!$M:$M,'NSE - NIFTY Index Options'!$C:$C,$A124,'NSE - NIFTY Index Options'!$B:$B,F$4,'NSE - NIFTY Index Options'!$I:$I,"Weekly*")+SUMIFS('NSE - NIFTY Index Options'!$M:$M,'NSE - NIFTY Index Options'!$C:$C,$A124,'NSE - NIFTY Index Options'!$B:$B,F$4,'NSE - NIFTY Index Options'!$I:$I,"MDAW*")+SUMIFS('NSE - Other Index Options'!$M:$M,'NSE - Other Index Options'!$C:$C,$A124,'NSE - Other Index Options'!$B:$B,F$4,'NSE - Other Index Options'!$I:$I,"Weekly*")+SUMIFS('NSE - Other Index Options'!$M:$M,'NSE - Other Index Options'!$C:$C,$A124,'NSE - Other Index Options'!$B:$B,F$4,'NSE - Other Index Options'!$I:$I,"MDAW*")+SUMIFS('BSE - SENSEX Index Options'!$M:$M,'BSE - SENSEX Index Options'!$C:$C,$A124,'BSE - SENSEX Index Options'!$B:$B,F$4,'BSE - SENSEX Index Options'!$I:$I,"Weekly*")+SUMIFS('BSE - SENSEX Index Options'!$M:$M,'BSE - SENSEX Index Options'!$C:$C,$A124,'BSE - SENSEX Index Options'!$B:$B,F$4,'BSE - SENSEX Index Options'!$I:$I,"MDAW*")+SUMIFS('BSE - Other Index Options'!$M:$M,'BSE - Other Index Options'!$C:$C,$A124,'BSE - Other Index Options'!$B:$B,F$4,'BSE - Other Index Options'!$I:$I,"Weekly*")+SUMIFS('BSE - Other Index Options'!$M:$M,'BSE - Other Index Options'!$C:$C,$A124,'BSE - Other Index Options'!$B:$B,F$4,'BSE - Other Index Options'!$I:$I,"MDAW*"))</f>
        <v/>
      </c>
      <c r="G124" s="26">
        <f>IF(SUMIFS('NSE - NIFTY Index Options'!$M:$M,'NSE - NIFTY Index Options'!$C:$C,$A124,'NSE - NIFTY Index Options'!$B:$B,G$4,'NSE - NIFTY Index Options'!$I:$I,"Weekly*")+SUMIFS('NSE - NIFTY Index Options'!$M:$M,'NSE - NIFTY Index Options'!$C:$C,$A124,'NSE - NIFTY Index Options'!$B:$B,G$4,'NSE - NIFTY Index Options'!$I:$I,"MDAW*")+SUMIFS('NSE - Other Index Options'!$M:$M,'NSE - Other Index Options'!$C:$C,$A124,'NSE - Other Index Options'!$B:$B,G$4,'NSE - Other Index Options'!$I:$I,"Weekly*")+SUMIFS('NSE - Other Index Options'!$M:$M,'NSE - Other Index Options'!$C:$C,$A124,'NSE - Other Index Options'!$B:$B,G$4,'NSE - Other Index Options'!$I:$I,"MDAW*")+SUMIFS('BSE - SENSEX Index Options'!$M:$M,'BSE - SENSEX Index Options'!$C:$C,$A124,'BSE - SENSEX Index Options'!$B:$B,G$4,'BSE - SENSEX Index Options'!$I:$I,"Weekly*")+SUMIFS('BSE - SENSEX Index Options'!$M:$M,'BSE - SENSEX Index Options'!$C:$C,$A124,'BSE - SENSEX Index Options'!$B:$B,G$4,'BSE - SENSEX Index Options'!$I:$I,"MDAW*")+SUMIFS('BSE - Other Index Options'!$M:$M,'BSE - Other Index Options'!$C:$C,$A124,'BSE - Other Index Options'!$B:$B,G$4,'BSE - Other Index Options'!$I:$I,"Weekly*")+SUMIFS('BSE - Other Index Options'!$M:$M,'BSE - Other Index Options'!$C:$C,$A124,'BSE - Other Index Options'!$B:$B,G$4,'BSE - Other Index Options'!$I:$I,"MDAW*")=0,"",SUMIFS('NSE - NIFTY Index Options'!$M:$M,'NSE - NIFTY Index Options'!$C:$C,$A124,'NSE - NIFTY Index Options'!$B:$B,G$4,'NSE - NIFTY Index Options'!$I:$I,"Weekly*")+SUMIFS('NSE - NIFTY Index Options'!$M:$M,'NSE - NIFTY Index Options'!$C:$C,$A124,'NSE - NIFTY Index Options'!$B:$B,G$4,'NSE - NIFTY Index Options'!$I:$I,"MDAW*")+SUMIFS('NSE - Other Index Options'!$M:$M,'NSE - Other Index Options'!$C:$C,$A124,'NSE - Other Index Options'!$B:$B,G$4,'NSE - Other Index Options'!$I:$I,"Weekly*")+SUMIFS('NSE - Other Index Options'!$M:$M,'NSE - Other Index Options'!$C:$C,$A124,'NSE - Other Index Options'!$B:$B,G$4,'NSE - Other Index Options'!$I:$I,"MDAW*")+SUMIFS('BSE - SENSEX Index Options'!$M:$M,'BSE - SENSEX Index Options'!$C:$C,$A124,'BSE - SENSEX Index Options'!$B:$B,G$4,'BSE - SENSEX Index Options'!$I:$I,"Weekly*")+SUMIFS('BSE - SENSEX Index Options'!$M:$M,'BSE - SENSEX Index Options'!$C:$C,$A124,'BSE - SENSEX Index Options'!$B:$B,G$4,'BSE - SENSEX Index Options'!$I:$I,"MDAW*")+SUMIFS('BSE - Other Index Options'!$M:$M,'BSE - Other Index Options'!$C:$C,$A124,'BSE - Other Index Options'!$B:$B,G$4,'BSE - Other Index Options'!$I:$I,"Weekly*")+SUMIFS('BSE - Other Index Options'!$M:$M,'BSE - Other Index Options'!$C:$C,$A124,'BSE - Other Index Options'!$B:$B,G$4,'BSE - Other Index Options'!$I:$I,"MDAW*"))</f>
        <v/>
      </c>
      <c r="H124" s="26">
        <f>IF(SUM(B124:G124)=0,"",SUM(B124:G124))</f>
        <v/>
      </c>
    </row>
    <row r="125" hidden="1" outlineLevel="1">
      <c r="A125" t="inlineStr">
        <is>
          <t>Week3-Sep-2027</t>
        </is>
      </c>
      <c r="B125" s="26">
        <f>IF(SUMIFS('NSE - NIFTY Index Options'!$M:$M,'NSE - NIFTY Index Options'!$C:$C,$A125,'NSE - NIFTY Index Options'!$B:$B,B$4,'NSE - NIFTY Index Options'!$I:$I,"Weekly*")+SUMIFS('NSE - NIFTY Index Options'!$M:$M,'NSE - NIFTY Index Options'!$C:$C,$A125,'NSE - NIFTY Index Options'!$B:$B,B$4,'NSE - NIFTY Index Options'!$I:$I,"MDAW*")+SUMIFS('NSE - Other Index Options'!$M:$M,'NSE - Other Index Options'!$C:$C,$A125,'NSE - Other Index Options'!$B:$B,B$4,'NSE - Other Index Options'!$I:$I,"Weekly*")+SUMIFS('NSE - Other Index Options'!$M:$M,'NSE - Other Index Options'!$C:$C,$A125,'NSE - Other Index Options'!$B:$B,B$4,'NSE - Other Index Options'!$I:$I,"MDAW*")+SUMIFS('BSE - SENSEX Index Options'!$M:$M,'BSE - SENSEX Index Options'!$C:$C,$A125,'BSE - SENSEX Index Options'!$B:$B,B$4,'BSE - SENSEX Index Options'!$I:$I,"Weekly*")+SUMIFS('BSE - SENSEX Index Options'!$M:$M,'BSE - SENSEX Index Options'!$C:$C,$A125,'BSE - SENSEX Index Options'!$B:$B,B$4,'BSE - SENSEX Index Options'!$I:$I,"MDAW*")+SUMIFS('BSE - Other Index Options'!$M:$M,'BSE - Other Index Options'!$C:$C,$A125,'BSE - Other Index Options'!$B:$B,B$4,'BSE - Other Index Options'!$I:$I,"Weekly*")+SUMIFS('BSE - Other Index Options'!$M:$M,'BSE - Other Index Options'!$C:$C,$A125,'BSE - Other Index Options'!$B:$B,B$4,'BSE - Other Index Options'!$I:$I,"MDAW*")=0,"",SUMIFS('NSE - NIFTY Index Options'!$M:$M,'NSE - NIFTY Index Options'!$C:$C,$A125,'NSE - NIFTY Index Options'!$B:$B,B$4,'NSE - NIFTY Index Options'!$I:$I,"Weekly*")+SUMIFS('NSE - NIFTY Index Options'!$M:$M,'NSE - NIFTY Index Options'!$C:$C,$A125,'NSE - NIFTY Index Options'!$B:$B,B$4,'NSE - NIFTY Index Options'!$I:$I,"MDAW*")+SUMIFS('NSE - Other Index Options'!$M:$M,'NSE - Other Index Options'!$C:$C,$A125,'NSE - Other Index Options'!$B:$B,B$4,'NSE - Other Index Options'!$I:$I,"Weekly*")+SUMIFS('NSE - Other Index Options'!$M:$M,'NSE - Other Index Options'!$C:$C,$A125,'NSE - Other Index Options'!$B:$B,B$4,'NSE - Other Index Options'!$I:$I,"MDAW*")+SUMIFS('BSE - SENSEX Index Options'!$M:$M,'BSE - SENSEX Index Options'!$C:$C,$A125,'BSE - SENSEX Index Options'!$B:$B,B$4,'BSE - SENSEX Index Options'!$I:$I,"Weekly*")+SUMIFS('BSE - SENSEX Index Options'!$M:$M,'BSE - SENSEX Index Options'!$C:$C,$A125,'BSE - SENSEX Index Options'!$B:$B,B$4,'BSE - SENSEX Index Options'!$I:$I,"MDAW*")+SUMIFS('BSE - Other Index Options'!$M:$M,'BSE - Other Index Options'!$C:$C,$A125,'BSE - Other Index Options'!$B:$B,B$4,'BSE - Other Index Options'!$I:$I,"Weekly*")+SUMIFS('BSE - Other Index Options'!$M:$M,'BSE - Other Index Options'!$C:$C,$A125,'BSE - Other Index Options'!$B:$B,B$4,'BSE - Other Index Options'!$I:$I,"MDAW*"))</f>
        <v/>
      </c>
      <c r="C125" s="26">
        <f>IF(SUMIFS('NSE - NIFTY Index Options'!$M:$M,'NSE - NIFTY Index Options'!$C:$C,$A125,'NSE - NIFTY Index Options'!$B:$B,C$4,'NSE - NIFTY Index Options'!$I:$I,"Weekly*")+SUMIFS('NSE - NIFTY Index Options'!$M:$M,'NSE - NIFTY Index Options'!$C:$C,$A125,'NSE - NIFTY Index Options'!$B:$B,C$4,'NSE - NIFTY Index Options'!$I:$I,"MDAW*")+SUMIFS('NSE - Other Index Options'!$M:$M,'NSE - Other Index Options'!$C:$C,$A125,'NSE - Other Index Options'!$B:$B,C$4,'NSE - Other Index Options'!$I:$I,"Weekly*")+SUMIFS('NSE - Other Index Options'!$M:$M,'NSE - Other Index Options'!$C:$C,$A125,'NSE - Other Index Options'!$B:$B,C$4,'NSE - Other Index Options'!$I:$I,"MDAW*")+SUMIFS('BSE - SENSEX Index Options'!$M:$M,'BSE - SENSEX Index Options'!$C:$C,$A125,'BSE - SENSEX Index Options'!$B:$B,C$4,'BSE - SENSEX Index Options'!$I:$I,"Weekly*")+SUMIFS('BSE - SENSEX Index Options'!$M:$M,'BSE - SENSEX Index Options'!$C:$C,$A125,'BSE - SENSEX Index Options'!$B:$B,C$4,'BSE - SENSEX Index Options'!$I:$I,"MDAW*")+SUMIFS('BSE - Other Index Options'!$M:$M,'BSE - Other Index Options'!$C:$C,$A125,'BSE - Other Index Options'!$B:$B,C$4,'BSE - Other Index Options'!$I:$I,"Weekly*")+SUMIFS('BSE - Other Index Options'!$M:$M,'BSE - Other Index Options'!$C:$C,$A125,'BSE - Other Index Options'!$B:$B,C$4,'BSE - Other Index Options'!$I:$I,"MDAW*")=0,"",SUMIFS('NSE - NIFTY Index Options'!$M:$M,'NSE - NIFTY Index Options'!$C:$C,$A125,'NSE - NIFTY Index Options'!$B:$B,C$4,'NSE - NIFTY Index Options'!$I:$I,"Weekly*")+SUMIFS('NSE - NIFTY Index Options'!$M:$M,'NSE - NIFTY Index Options'!$C:$C,$A125,'NSE - NIFTY Index Options'!$B:$B,C$4,'NSE - NIFTY Index Options'!$I:$I,"MDAW*")+SUMIFS('NSE - Other Index Options'!$M:$M,'NSE - Other Index Options'!$C:$C,$A125,'NSE - Other Index Options'!$B:$B,C$4,'NSE - Other Index Options'!$I:$I,"Weekly*")+SUMIFS('NSE - Other Index Options'!$M:$M,'NSE - Other Index Options'!$C:$C,$A125,'NSE - Other Index Options'!$B:$B,C$4,'NSE - Other Index Options'!$I:$I,"MDAW*")+SUMIFS('BSE - SENSEX Index Options'!$M:$M,'BSE - SENSEX Index Options'!$C:$C,$A125,'BSE - SENSEX Index Options'!$B:$B,C$4,'BSE - SENSEX Index Options'!$I:$I,"Weekly*")+SUMIFS('BSE - SENSEX Index Options'!$M:$M,'BSE - SENSEX Index Options'!$C:$C,$A125,'BSE - SENSEX Index Options'!$B:$B,C$4,'BSE - SENSEX Index Options'!$I:$I,"MDAW*")+SUMIFS('BSE - Other Index Options'!$M:$M,'BSE - Other Index Options'!$C:$C,$A125,'BSE - Other Index Options'!$B:$B,C$4,'BSE - Other Index Options'!$I:$I,"Weekly*")+SUMIFS('BSE - Other Index Options'!$M:$M,'BSE - Other Index Options'!$C:$C,$A125,'BSE - Other Index Options'!$B:$B,C$4,'BSE - Other Index Options'!$I:$I,"MDAW*"))</f>
        <v/>
      </c>
      <c r="D125" s="26">
        <f>IF(SUMIFS('NSE - NIFTY Index Options'!$M:$M,'NSE - NIFTY Index Options'!$C:$C,$A125,'NSE - NIFTY Index Options'!$B:$B,D$4,'NSE - NIFTY Index Options'!$I:$I,"Weekly*")+SUMIFS('NSE - NIFTY Index Options'!$M:$M,'NSE - NIFTY Index Options'!$C:$C,$A125,'NSE - NIFTY Index Options'!$B:$B,D$4,'NSE - NIFTY Index Options'!$I:$I,"MDAW*")+SUMIFS('NSE - Other Index Options'!$M:$M,'NSE - Other Index Options'!$C:$C,$A125,'NSE - Other Index Options'!$B:$B,D$4,'NSE - Other Index Options'!$I:$I,"Weekly*")+SUMIFS('NSE - Other Index Options'!$M:$M,'NSE - Other Index Options'!$C:$C,$A125,'NSE - Other Index Options'!$B:$B,D$4,'NSE - Other Index Options'!$I:$I,"MDAW*")+SUMIFS('BSE - SENSEX Index Options'!$M:$M,'BSE - SENSEX Index Options'!$C:$C,$A125,'BSE - SENSEX Index Options'!$B:$B,D$4,'BSE - SENSEX Index Options'!$I:$I,"Weekly*")+SUMIFS('BSE - SENSEX Index Options'!$M:$M,'BSE - SENSEX Index Options'!$C:$C,$A125,'BSE - SENSEX Index Options'!$B:$B,D$4,'BSE - SENSEX Index Options'!$I:$I,"MDAW*")+SUMIFS('BSE - Other Index Options'!$M:$M,'BSE - Other Index Options'!$C:$C,$A125,'BSE - Other Index Options'!$B:$B,D$4,'BSE - Other Index Options'!$I:$I,"Weekly*")+SUMIFS('BSE - Other Index Options'!$M:$M,'BSE - Other Index Options'!$C:$C,$A125,'BSE - Other Index Options'!$B:$B,D$4,'BSE - Other Index Options'!$I:$I,"MDAW*")=0,"",SUMIFS('NSE - NIFTY Index Options'!$M:$M,'NSE - NIFTY Index Options'!$C:$C,$A125,'NSE - NIFTY Index Options'!$B:$B,D$4,'NSE - NIFTY Index Options'!$I:$I,"Weekly*")+SUMIFS('NSE - NIFTY Index Options'!$M:$M,'NSE - NIFTY Index Options'!$C:$C,$A125,'NSE - NIFTY Index Options'!$B:$B,D$4,'NSE - NIFTY Index Options'!$I:$I,"MDAW*")+SUMIFS('NSE - Other Index Options'!$M:$M,'NSE - Other Index Options'!$C:$C,$A125,'NSE - Other Index Options'!$B:$B,D$4,'NSE - Other Index Options'!$I:$I,"Weekly*")+SUMIFS('NSE - Other Index Options'!$M:$M,'NSE - Other Index Options'!$C:$C,$A125,'NSE - Other Index Options'!$B:$B,D$4,'NSE - Other Index Options'!$I:$I,"MDAW*")+SUMIFS('BSE - SENSEX Index Options'!$M:$M,'BSE - SENSEX Index Options'!$C:$C,$A125,'BSE - SENSEX Index Options'!$B:$B,D$4,'BSE - SENSEX Index Options'!$I:$I,"Weekly*")+SUMIFS('BSE - SENSEX Index Options'!$M:$M,'BSE - SENSEX Index Options'!$C:$C,$A125,'BSE - SENSEX Index Options'!$B:$B,D$4,'BSE - SENSEX Index Options'!$I:$I,"MDAW*")+SUMIFS('BSE - Other Index Options'!$M:$M,'BSE - Other Index Options'!$C:$C,$A125,'BSE - Other Index Options'!$B:$B,D$4,'BSE - Other Index Options'!$I:$I,"Weekly*")+SUMIFS('BSE - Other Index Options'!$M:$M,'BSE - Other Index Options'!$C:$C,$A125,'BSE - Other Index Options'!$B:$B,D$4,'BSE - Other Index Options'!$I:$I,"MDAW*"))</f>
        <v/>
      </c>
      <c r="E125" s="26">
        <f>IF(SUMIFS('NSE - NIFTY Index Options'!$M:$M,'NSE - NIFTY Index Options'!$C:$C,$A125,'NSE - NIFTY Index Options'!$B:$B,E$4,'NSE - NIFTY Index Options'!$I:$I,"Weekly*")+SUMIFS('NSE - NIFTY Index Options'!$M:$M,'NSE - NIFTY Index Options'!$C:$C,$A125,'NSE - NIFTY Index Options'!$B:$B,E$4,'NSE - NIFTY Index Options'!$I:$I,"MDAW*")+SUMIFS('NSE - Other Index Options'!$M:$M,'NSE - Other Index Options'!$C:$C,$A125,'NSE - Other Index Options'!$B:$B,E$4,'NSE - Other Index Options'!$I:$I,"Weekly*")+SUMIFS('NSE - Other Index Options'!$M:$M,'NSE - Other Index Options'!$C:$C,$A125,'NSE - Other Index Options'!$B:$B,E$4,'NSE - Other Index Options'!$I:$I,"MDAW*")+SUMIFS('BSE - SENSEX Index Options'!$M:$M,'BSE - SENSEX Index Options'!$C:$C,$A125,'BSE - SENSEX Index Options'!$B:$B,E$4,'BSE - SENSEX Index Options'!$I:$I,"Weekly*")+SUMIFS('BSE - SENSEX Index Options'!$M:$M,'BSE - SENSEX Index Options'!$C:$C,$A125,'BSE - SENSEX Index Options'!$B:$B,E$4,'BSE - SENSEX Index Options'!$I:$I,"MDAW*")+SUMIFS('BSE - Other Index Options'!$M:$M,'BSE - Other Index Options'!$C:$C,$A125,'BSE - Other Index Options'!$B:$B,E$4,'BSE - Other Index Options'!$I:$I,"Weekly*")+SUMIFS('BSE - Other Index Options'!$M:$M,'BSE - Other Index Options'!$C:$C,$A125,'BSE - Other Index Options'!$B:$B,E$4,'BSE - Other Index Options'!$I:$I,"MDAW*")=0,"",SUMIFS('NSE - NIFTY Index Options'!$M:$M,'NSE - NIFTY Index Options'!$C:$C,$A125,'NSE - NIFTY Index Options'!$B:$B,E$4,'NSE - NIFTY Index Options'!$I:$I,"Weekly*")+SUMIFS('NSE - NIFTY Index Options'!$M:$M,'NSE - NIFTY Index Options'!$C:$C,$A125,'NSE - NIFTY Index Options'!$B:$B,E$4,'NSE - NIFTY Index Options'!$I:$I,"MDAW*")+SUMIFS('NSE - Other Index Options'!$M:$M,'NSE - Other Index Options'!$C:$C,$A125,'NSE - Other Index Options'!$B:$B,E$4,'NSE - Other Index Options'!$I:$I,"Weekly*")+SUMIFS('NSE - Other Index Options'!$M:$M,'NSE - Other Index Options'!$C:$C,$A125,'NSE - Other Index Options'!$B:$B,E$4,'NSE - Other Index Options'!$I:$I,"MDAW*")+SUMIFS('BSE - SENSEX Index Options'!$M:$M,'BSE - SENSEX Index Options'!$C:$C,$A125,'BSE - SENSEX Index Options'!$B:$B,E$4,'BSE - SENSEX Index Options'!$I:$I,"Weekly*")+SUMIFS('BSE - SENSEX Index Options'!$M:$M,'BSE - SENSEX Index Options'!$C:$C,$A125,'BSE - SENSEX Index Options'!$B:$B,E$4,'BSE - SENSEX Index Options'!$I:$I,"MDAW*")+SUMIFS('BSE - Other Index Options'!$M:$M,'BSE - Other Index Options'!$C:$C,$A125,'BSE - Other Index Options'!$B:$B,E$4,'BSE - Other Index Options'!$I:$I,"Weekly*")+SUMIFS('BSE - Other Index Options'!$M:$M,'BSE - Other Index Options'!$C:$C,$A125,'BSE - Other Index Options'!$B:$B,E$4,'BSE - Other Index Options'!$I:$I,"MDAW*"))</f>
        <v/>
      </c>
      <c r="F125" s="26">
        <f>IF(SUMIFS('NSE - NIFTY Index Options'!$M:$M,'NSE - NIFTY Index Options'!$C:$C,$A125,'NSE - NIFTY Index Options'!$B:$B,F$4,'NSE - NIFTY Index Options'!$I:$I,"Weekly*")+SUMIFS('NSE - NIFTY Index Options'!$M:$M,'NSE - NIFTY Index Options'!$C:$C,$A125,'NSE - NIFTY Index Options'!$B:$B,F$4,'NSE - NIFTY Index Options'!$I:$I,"MDAW*")+SUMIFS('NSE - Other Index Options'!$M:$M,'NSE - Other Index Options'!$C:$C,$A125,'NSE - Other Index Options'!$B:$B,F$4,'NSE - Other Index Options'!$I:$I,"Weekly*")+SUMIFS('NSE - Other Index Options'!$M:$M,'NSE - Other Index Options'!$C:$C,$A125,'NSE - Other Index Options'!$B:$B,F$4,'NSE - Other Index Options'!$I:$I,"MDAW*")+SUMIFS('BSE - SENSEX Index Options'!$M:$M,'BSE - SENSEX Index Options'!$C:$C,$A125,'BSE - SENSEX Index Options'!$B:$B,F$4,'BSE - SENSEX Index Options'!$I:$I,"Weekly*")+SUMIFS('BSE - SENSEX Index Options'!$M:$M,'BSE - SENSEX Index Options'!$C:$C,$A125,'BSE - SENSEX Index Options'!$B:$B,F$4,'BSE - SENSEX Index Options'!$I:$I,"MDAW*")+SUMIFS('BSE - Other Index Options'!$M:$M,'BSE - Other Index Options'!$C:$C,$A125,'BSE - Other Index Options'!$B:$B,F$4,'BSE - Other Index Options'!$I:$I,"Weekly*")+SUMIFS('BSE - Other Index Options'!$M:$M,'BSE - Other Index Options'!$C:$C,$A125,'BSE - Other Index Options'!$B:$B,F$4,'BSE - Other Index Options'!$I:$I,"MDAW*")=0,"",SUMIFS('NSE - NIFTY Index Options'!$M:$M,'NSE - NIFTY Index Options'!$C:$C,$A125,'NSE - NIFTY Index Options'!$B:$B,F$4,'NSE - NIFTY Index Options'!$I:$I,"Weekly*")+SUMIFS('NSE - NIFTY Index Options'!$M:$M,'NSE - NIFTY Index Options'!$C:$C,$A125,'NSE - NIFTY Index Options'!$B:$B,F$4,'NSE - NIFTY Index Options'!$I:$I,"MDAW*")+SUMIFS('NSE - Other Index Options'!$M:$M,'NSE - Other Index Options'!$C:$C,$A125,'NSE - Other Index Options'!$B:$B,F$4,'NSE - Other Index Options'!$I:$I,"Weekly*")+SUMIFS('NSE - Other Index Options'!$M:$M,'NSE - Other Index Options'!$C:$C,$A125,'NSE - Other Index Options'!$B:$B,F$4,'NSE - Other Index Options'!$I:$I,"MDAW*")+SUMIFS('BSE - SENSEX Index Options'!$M:$M,'BSE - SENSEX Index Options'!$C:$C,$A125,'BSE - SENSEX Index Options'!$B:$B,F$4,'BSE - SENSEX Index Options'!$I:$I,"Weekly*")+SUMIFS('BSE - SENSEX Index Options'!$M:$M,'BSE - SENSEX Index Options'!$C:$C,$A125,'BSE - SENSEX Index Options'!$B:$B,F$4,'BSE - SENSEX Index Options'!$I:$I,"MDAW*")+SUMIFS('BSE - Other Index Options'!$M:$M,'BSE - Other Index Options'!$C:$C,$A125,'BSE - Other Index Options'!$B:$B,F$4,'BSE - Other Index Options'!$I:$I,"Weekly*")+SUMIFS('BSE - Other Index Options'!$M:$M,'BSE - Other Index Options'!$C:$C,$A125,'BSE - Other Index Options'!$B:$B,F$4,'BSE - Other Index Options'!$I:$I,"MDAW*"))</f>
        <v/>
      </c>
      <c r="G125" s="26">
        <f>IF(SUMIFS('NSE - NIFTY Index Options'!$M:$M,'NSE - NIFTY Index Options'!$C:$C,$A125,'NSE - NIFTY Index Options'!$B:$B,G$4,'NSE - NIFTY Index Options'!$I:$I,"Weekly*")+SUMIFS('NSE - NIFTY Index Options'!$M:$M,'NSE - NIFTY Index Options'!$C:$C,$A125,'NSE - NIFTY Index Options'!$B:$B,G$4,'NSE - NIFTY Index Options'!$I:$I,"MDAW*")+SUMIFS('NSE - Other Index Options'!$M:$M,'NSE - Other Index Options'!$C:$C,$A125,'NSE - Other Index Options'!$B:$B,G$4,'NSE - Other Index Options'!$I:$I,"Weekly*")+SUMIFS('NSE - Other Index Options'!$M:$M,'NSE - Other Index Options'!$C:$C,$A125,'NSE - Other Index Options'!$B:$B,G$4,'NSE - Other Index Options'!$I:$I,"MDAW*")+SUMIFS('BSE - SENSEX Index Options'!$M:$M,'BSE - SENSEX Index Options'!$C:$C,$A125,'BSE - SENSEX Index Options'!$B:$B,G$4,'BSE - SENSEX Index Options'!$I:$I,"Weekly*")+SUMIFS('BSE - SENSEX Index Options'!$M:$M,'BSE - SENSEX Index Options'!$C:$C,$A125,'BSE - SENSEX Index Options'!$B:$B,G$4,'BSE - SENSEX Index Options'!$I:$I,"MDAW*")+SUMIFS('BSE - Other Index Options'!$M:$M,'BSE - Other Index Options'!$C:$C,$A125,'BSE - Other Index Options'!$B:$B,G$4,'BSE - Other Index Options'!$I:$I,"Weekly*")+SUMIFS('BSE - Other Index Options'!$M:$M,'BSE - Other Index Options'!$C:$C,$A125,'BSE - Other Index Options'!$B:$B,G$4,'BSE - Other Index Options'!$I:$I,"MDAW*")=0,"",SUMIFS('NSE - NIFTY Index Options'!$M:$M,'NSE - NIFTY Index Options'!$C:$C,$A125,'NSE - NIFTY Index Options'!$B:$B,G$4,'NSE - NIFTY Index Options'!$I:$I,"Weekly*")+SUMIFS('NSE - NIFTY Index Options'!$M:$M,'NSE - NIFTY Index Options'!$C:$C,$A125,'NSE - NIFTY Index Options'!$B:$B,G$4,'NSE - NIFTY Index Options'!$I:$I,"MDAW*")+SUMIFS('NSE - Other Index Options'!$M:$M,'NSE - Other Index Options'!$C:$C,$A125,'NSE - Other Index Options'!$B:$B,G$4,'NSE - Other Index Options'!$I:$I,"Weekly*")+SUMIFS('NSE - Other Index Options'!$M:$M,'NSE - Other Index Options'!$C:$C,$A125,'NSE - Other Index Options'!$B:$B,G$4,'NSE - Other Index Options'!$I:$I,"MDAW*")+SUMIFS('BSE - SENSEX Index Options'!$M:$M,'BSE - SENSEX Index Options'!$C:$C,$A125,'BSE - SENSEX Index Options'!$B:$B,G$4,'BSE - SENSEX Index Options'!$I:$I,"Weekly*")+SUMIFS('BSE - SENSEX Index Options'!$M:$M,'BSE - SENSEX Index Options'!$C:$C,$A125,'BSE - SENSEX Index Options'!$B:$B,G$4,'BSE - SENSEX Index Options'!$I:$I,"MDAW*")+SUMIFS('BSE - Other Index Options'!$M:$M,'BSE - Other Index Options'!$C:$C,$A125,'BSE - Other Index Options'!$B:$B,G$4,'BSE - Other Index Options'!$I:$I,"Weekly*")+SUMIFS('BSE - Other Index Options'!$M:$M,'BSE - Other Index Options'!$C:$C,$A125,'BSE - Other Index Options'!$B:$B,G$4,'BSE - Other Index Options'!$I:$I,"MDAW*"))</f>
        <v/>
      </c>
      <c r="H125" s="26">
        <f>IF(SUM(B125:G125)=0,"",SUM(B125:G125))</f>
        <v/>
      </c>
    </row>
    <row r="126" hidden="1" outlineLevel="1">
      <c r="A126" t="inlineStr">
        <is>
          <t>Week4-Sep-2027</t>
        </is>
      </c>
      <c r="B126" s="26">
        <f>IF(SUMIFS('NSE - NIFTY Index Options'!$M:$M,'NSE - NIFTY Index Options'!$C:$C,$A126,'NSE - NIFTY Index Options'!$B:$B,B$4,'NSE - NIFTY Index Options'!$I:$I,"Weekly*")+SUMIFS('NSE - NIFTY Index Options'!$M:$M,'NSE - NIFTY Index Options'!$C:$C,$A126,'NSE - NIFTY Index Options'!$B:$B,B$4,'NSE - NIFTY Index Options'!$I:$I,"MDAW*")+SUMIFS('NSE - Other Index Options'!$M:$M,'NSE - Other Index Options'!$C:$C,$A126,'NSE - Other Index Options'!$B:$B,B$4,'NSE - Other Index Options'!$I:$I,"Weekly*")+SUMIFS('NSE - Other Index Options'!$M:$M,'NSE - Other Index Options'!$C:$C,$A126,'NSE - Other Index Options'!$B:$B,B$4,'NSE - Other Index Options'!$I:$I,"MDAW*")+SUMIFS('BSE - SENSEX Index Options'!$M:$M,'BSE - SENSEX Index Options'!$C:$C,$A126,'BSE - SENSEX Index Options'!$B:$B,B$4,'BSE - SENSEX Index Options'!$I:$I,"Weekly*")+SUMIFS('BSE - SENSEX Index Options'!$M:$M,'BSE - SENSEX Index Options'!$C:$C,$A126,'BSE - SENSEX Index Options'!$B:$B,B$4,'BSE - SENSEX Index Options'!$I:$I,"MDAW*")+SUMIFS('BSE - Other Index Options'!$M:$M,'BSE - Other Index Options'!$C:$C,$A126,'BSE - Other Index Options'!$B:$B,B$4,'BSE - Other Index Options'!$I:$I,"Weekly*")+SUMIFS('BSE - Other Index Options'!$M:$M,'BSE - Other Index Options'!$C:$C,$A126,'BSE - Other Index Options'!$B:$B,B$4,'BSE - Other Index Options'!$I:$I,"MDAW*")=0,"",SUMIFS('NSE - NIFTY Index Options'!$M:$M,'NSE - NIFTY Index Options'!$C:$C,$A126,'NSE - NIFTY Index Options'!$B:$B,B$4,'NSE - NIFTY Index Options'!$I:$I,"Weekly*")+SUMIFS('NSE - NIFTY Index Options'!$M:$M,'NSE - NIFTY Index Options'!$C:$C,$A126,'NSE - NIFTY Index Options'!$B:$B,B$4,'NSE - NIFTY Index Options'!$I:$I,"MDAW*")+SUMIFS('NSE - Other Index Options'!$M:$M,'NSE - Other Index Options'!$C:$C,$A126,'NSE - Other Index Options'!$B:$B,B$4,'NSE - Other Index Options'!$I:$I,"Weekly*")+SUMIFS('NSE - Other Index Options'!$M:$M,'NSE - Other Index Options'!$C:$C,$A126,'NSE - Other Index Options'!$B:$B,B$4,'NSE - Other Index Options'!$I:$I,"MDAW*")+SUMIFS('BSE - SENSEX Index Options'!$M:$M,'BSE - SENSEX Index Options'!$C:$C,$A126,'BSE - SENSEX Index Options'!$B:$B,B$4,'BSE - SENSEX Index Options'!$I:$I,"Weekly*")+SUMIFS('BSE - SENSEX Index Options'!$M:$M,'BSE - SENSEX Index Options'!$C:$C,$A126,'BSE - SENSEX Index Options'!$B:$B,B$4,'BSE - SENSEX Index Options'!$I:$I,"MDAW*")+SUMIFS('BSE - Other Index Options'!$M:$M,'BSE - Other Index Options'!$C:$C,$A126,'BSE - Other Index Options'!$B:$B,B$4,'BSE - Other Index Options'!$I:$I,"Weekly*")+SUMIFS('BSE - Other Index Options'!$M:$M,'BSE - Other Index Options'!$C:$C,$A126,'BSE - Other Index Options'!$B:$B,B$4,'BSE - Other Index Options'!$I:$I,"MDAW*"))</f>
        <v/>
      </c>
      <c r="C126" s="26">
        <f>IF(SUMIFS('NSE - NIFTY Index Options'!$M:$M,'NSE - NIFTY Index Options'!$C:$C,$A126,'NSE - NIFTY Index Options'!$B:$B,C$4,'NSE - NIFTY Index Options'!$I:$I,"Weekly*")+SUMIFS('NSE - NIFTY Index Options'!$M:$M,'NSE - NIFTY Index Options'!$C:$C,$A126,'NSE - NIFTY Index Options'!$B:$B,C$4,'NSE - NIFTY Index Options'!$I:$I,"MDAW*")+SUMIFS('NSE - Other Index Options'!$M:$M,'NSE - Other Index Options'!$C:$C,$A126,'NSE - Other Index Options'!$B:$B,C$4,'NSE - Other Index Options'!$I:$I,"Weekly*")+SUMIFS('NSE - Other Index Options'!$M:$M,'NSE - Other Index Options'!$C:$C,$A126,'NSE - Other Index Options'!$B:$B,C$4,'NSE - Other Index Options'!$I:$I,"MDAW*")+SUMIFS('BSE - SENSEX Index Options'!$M:$M,'BSE - SENSEX Index Options'!$C:$C,$A126,'BSE - SENSEX Index Options'!$B:$B,C$4,'BSE - SENSEX Index Options'!$I:$I,"Weekly*")+SUMIFS('BSE - SENSEX Index Options'!$M:$M,'BSE - SENSEX Index Options'!$C:$C,$A126,'BSE - SENSEX Index Options'!$B:$B,C$4,'BSE - SENSEX Index Options'!$I:$I,"MDAW*")+SUMIFS('BSE - Other Index Options'!$M:$M,'BSE - Other Index Options'!$C:$C,$A126,'BSE - Other Index Options'!$B:$B,C$4,'BSE - Other Index Options'!$I:$I,"Weekly*")+SUMIFS('BSE - Other Index Options'!$M:$M,'BSE - Other Index Options'!$C:$C,$A126,'BSE - Other Index Options'!$B:$B,C$4,'BSE - Other Index Options'!$I:$I,"MDAW*")=0,"",SUMIFS('NSE - NIFTY Index Options'!$M:$M,'NSE - NIFTY Index Options'!$C:$C,$A126,'NSE - NIFTY Index Options'!$B:$B,C$4,'NSE - NIFTY Index Options'!$I:$I,"Weekly*")+SUMIFS('NSE - NIFTY Index Options'!$M:$M,'NSE - NIFTY Index Options'!$C:$C,$A126,'NSE - NIFTY Index Options'!$B:$B,C$4,'NSE - NIFTY Index Options'!$I:$I,"MDAW*")+SUMIFS('NSE - Other Index Options'!$M:$M,'NSE - Other Index Options'!$C:$C,$A126,'NSE - Other Index Options'!$B:$B,C$4,'NSE - Other Index Options'!$I:$I,"Weekly*")+SUMIFS('NSE - Other Index Options'!$M:$M,'NSE - Other Index Options'!$C:$C,$A126,'NSE - Other Index Options'!$B:$B,C$4,'NSE - Other Index Options'!$I:$I,"MDAW*")+SUMIFS('BSE - SENSEX Index Options'!$M:$M,'BSE - SENSEX Index Options'!$C:$C,$A126,'BSE - SENSEX Index Options'!$B:$B,C$4,'BSE - SENSEX Index Options'!$I:$I,"Weekly*")+SUMIFS('BSE - SENSEX Index Options'!$M:$M,'BSE - SENSEX Index Options'!$C:$C,$A126,'BSE - SENSEX Index Options'!$B:$B,C$4,'BSE - SENSEX Index Options'!$I:$I,"MDAW*")+SUMIFS('BSE - Other Index Options'!$M:$M,'BSE - Other Index Options'!$C:$C,$A126,'BSE - Other Index Options'!$B:$B,C$4,'BSE - Other Index Options'!$I:$I,"Weekly*")+SUMIFS('BSE - Other Index Options'!$M:$M,'BSE - Other Index Options'!$C:$C,$A126,'BSE - Other Index Options'!$B:$B,C$4,'BSE - Other Index Options'!$I:$I,"MDAW*"))</f>
        <v/>
      </c>
      <c r="D126" s="26">
        <f>IF(SUMIFS('NSE - NIFTY Index Options'!$M:$M,'NSE - NIFTY Index Options'!$C:$C,$A126,'NSE - NIFTY Index Options'!$B:$B,D$4,'NSE - NIFTY Index Options'!$I:$I,"Weekly*")+SUMIFS('NSE - NIFTY Index Options'!$M:$M,'NSE - NIFTY Index Options'!$C:$C,$A126,'NSE - NIFTY Index Options'!$B:$B,D$4,'NSE - NIFTY Index Options'!$I:$I,"MDAW*")+SUMIFS('NSE - Other Index Options'!$M:$M,'NSE - Other Index Options'!$C:$C,$A126,'NSE - Other Index Options'!$B:$B,D$4,'NSE - Other Index Options'!$I:$I,"Weekly*")+SUMIFS('NSE - Other Index Options'!$M:$M,'NSE - Other Index Options'!$C:$C,$A126,'NSE - Other Index Options'!$B:$B,D$4,'NSE - Other Index Options'!$I:$I,"MDAW*")+SUMIFS('BSE - SENSEX Index Options'!$M:$M,'BSE - SENSEX Index Options'!$C:$C,$A126,'BSE - SENSEX Index Options'!$B:$B,D$4,'BSE - SENSEX Index Options'!$I:$I,"Weekly*")+SUMIFS('BSE - SENSEX Index Options'!$M:$M,'BSE - SENSEX Index Options'!$C:$C,$A126,'BSE - SENSEX Index Options'!$B:$B,D$4,'BSE - SENSEX Index Options'!$I:$I,"MDAW*")+SUMIFS('BSE - Other Index Options'!$M:$M,'BSE - Other Index Options'!$C:$C,$A126,'BSE - Other Index Options'!$B:$B,D$4,'BSE - Other Index Options'!$I:$I,"Weekly*")+SUMIFS('BSE - Other Index Options'!$M:$M,'BSE - Other Index Options'!$C:$C,$A126,'BSE - Other Index Options'!$B:$B,D$4,'BSE - Other Index Options'!$I:$I,"MDAW*")=0,"",SUMIFS('NSE - NIFTY Index Options'!$M:$M,'NSE - NIFTY Index Options'!$C:$C,$A126,'NSE - NIFTY Index Options'!$B:$B,D$4,'NSE - NIFTY Index Options'!$I:$I,"Weekly*")+SUMIFS('NSE - NIFTY Index Options'!$M:$M,'NSE - NIFTY Index Options'!$C:$C,$A126,'NSE - NIFTY Index Options'!$B:$B,D$4,'NSE - NIFTY Index Options'!$I:$I,"MDAW*")+SUMIFS('NSE - Other Index Options'!$M:$M,'NSE - Other Index Options'!$C:$C,$A126,'NSE - Other Index Options'!$B:$B,D$4,'NSE - Other Index Options'!$I:$I,"Weekly*")+SUMIFS('NSE - Other Index Options'!$M:$M,'NSE - Other Index Options'!$C:$C,$A126,'NSE - Other Index Options'!$B:$B,D$4,'NSE - Other Index Options'!$I:$I,"MDAW*")+SUMIFS('BSE - SENSEX Index Options'!$M:$M,'BSE - SENSEX Index Options'!$C:$C,$A126,'BSE - SENSEX Index Options'!$B:$B,D$4,'BSE - SENSEX Index Options'!$I:$I,"Weekly*")+SUMIFS('BSE - SENSEX Index Options'!$M:$M,'BSE - SENSEX Index Options'!$C:$C,$A126,'BSE - SENSEX Index Options'!$B:$B,D$4,'BSE - SENSEX Index Options'!$I:$I,"MDAW*")+SUMIFS('BSE - Other Index Options'!$M:$M,'BSE - Other Index Options'!$C:$C,$A126,'BSE - Other Index Options'!$B:$B,D$4,'BSE - Other Index Options'!$I:$I,"Weekly*")+SUMIFS('BSE - Other Index Options'!$M:$M,'BSE - Other Index Options'!$C:$C,$A126,'BSE - Other Index Options'!$B:$B,D$4,'BSE - Other Index Options'!$I:$I,"MDAW*"))</f>
        <v/>
      </c>
      <c r="E126" s="26">
        <f>IF(SUMIFS('NSE - NIFTY Index Options'!$M:$M,'NSE - NIFTY Index Options'!$C:$C,$A126,'NSE - NIFTY Index Options'!$B:$B,E$4,'NSE - NIFTY Index Options'!$I:$I,"Weekly*")+SUMIFS('NSE - NIFTY Index Options'!$M:$M,'NSE - NIFTY Index Options'!$C:$C,$A126,'NSE - NIFTY Index Options'!$B:$B,E$4,'NSE - NIFTY Index Options'!$I:$I,"MDAW*")+SUMIFS('NSE - Other Index Options'!$M:$M,'NSE - Other Index Options'!$C:$C,$A126,'NSE - Other Index Options'!$B:$B,E$4,'NSE - Other Index Options'!$I:$I,"Weekly*")+SUMIFS('NSE - Other Index Options'!$M:$M,'NSE - Other Index Options'!$C:$C,$A126,'NSE - Other Index Options'!$B:$B,E$4,'NSE - Other Index Options'!$I:$I,"MDAW*")+SUMIFS('BSE - SENSEX Index Options'!$M:$M,'BSE - SENSEX Index Options'!$C:$C,$A126,'BSE - SENSEX Index Options'!$B:$B,E$4,'BSE - SENSEX Index Options'!$I:$I,"Weekly*")+SUMIFS('BSE - SENSEX Index Options'!$M:$M,'BSE - SENSEX Index Options'!$C:$C,$A126,'BSE - SENSEX Index Options'!$B:$B,E$4,'BSE - SENSEX Index Options'!$I:$I,"MDAW*")+SUMIFS('BSE - Other Index Options'!$M:$M,'BSE - Other Index Options'!$C:$C,$A126,'BSE - Other Index Options'!$B:$B,E$4,'BSE - Other Index Options'!$I:$I,"Weekly*")+SUMIFS('BSE - Other Index Options'!$M:$M,'BSE - Other Index Options'!$C:$C,$A126,'BSE - Other Index Options'!$B:$B,E$4,'BSE - Other Index Options'!$I:$I,"MDAW*")=0,"",SUMIFS('NSE - NIFTY Index Options'!$M:$M,'NSE - NIFTY Index Options'!$C:$C,$A126,'NSE - NIFTY Index Options'!$B:$B,E$4,'NSE - NIFTY Index Options'!$I:$I,"Weekly*")+SUMIFS('NSE - NIFTY Index Options'!$M:$M,'NSE - NIFTY Index Options'!$C:$C,$A126,'NSE - NIFTY Index Options'!$B:$B,E$4,'NSE - NIFTY Index Options'!$I:$I,"MDAW*")+SUMIFS('NSE - Other Index Options'!$M:$M,'NSE - Other Index Options'!$C:$C,$A126,'NSE - Other Index Options'!$B:$B,E$4,'NSE - Other Index Options'!$I:$I,"Weekly*")+SUMIFS('NSE - Other Index Options'!$M:$M,'NSE - Other Index Options'!$C:$C,$A126,'NSE - Other Index Options'!$B:$B,E$4,'NSE - Other Index Options'!$I:$I,"MDAW*")+SUMIFS('BSE - SENSEX Index Options'!$M:$M,'BSE - SENSEX Index Options'!$C:$C,$A126,'BSE - SENSEX Index Options'!$B:$B,E$4,'BSE - SENSEX Index Options'!$I:$I,"Weekly*")+SUMIFS('BSE - SENSEX Index Options'!$M:$M,'BSE - SENSEX Index Options'!$C:$C,$A126,'BSE - SENSEX Index Options'!$B:$B,E$4,'BSE - SENSEX Index Options'!$I:$I,"MDAW*")+SUMIFS('BSE - Other Index Options'!$M:$M,'BSE - Other Index Options'!$C:$C,$A126,'BSE - Other Index Options'!$B:$B,E$4,'BSE - Other Index Options'!$I:$I,"Weekly*")+SUMIFS('BSE - Other Index Options'!$M:$M,'BSE - Other Index Options'!$C:$C,$A126,'BSE - Other Index Options'!$B:$B,E$4,'BSE - Other Index Options'!$I:$I,"MDAW*"))</f>
        <v/>
      </c>
      <c r="F126" s="26">
        <f>IF(SUMIFS('NSE - NIFTY Index Options'!$M:$M,'NSE - NIFTY Index Options'!$C:$C,$A126,'NSE - NIFTY Index Options'!$B:$B,F$4,'NSE - NIFTY Index Options'!$I:$I,"Weekly*")+SUMIFS('NSE - NIFTY Index Options'!$M:$M,'NSE - NIFTY Index Options'!$C:$C,$A126,'NSE - NIFTY Index Options'!$B:$B,F$4,'NSE - NIFTY Index Options'!$I:$I,"MDAW*")+SUMIFS('NSE - Other Index Options'!$M:$M,'NSE - Other Index Options'!$C:$C,$A126,'NSE - Other Index Options'!$B:$B,F$4,'NSE - Other Index Options'!$I:$I,"Weekly*")+SUMIFS('NSE - Other Index Options'!$M:$M,'NSE - Other Index Options'!$C:$C,$A126,'NSE - Other Index Options'!$B:$B,F$4,'NSE - Other Index Options'!$I:$I,"MDAW*")+SUMIFS('BSE - SENSEX Index Options'!$M:$M,'BSE - SENSEX Index Options'!$C:$C,$A126,'BSE - SENSEX Index Options'!$B:$B,F$4,'BSE - SENSEX Index Options'!$I:$I,"Weekly*")+SUMIFS('BSE - SENSEX Index Options'!$M:$M,'BSE - SENSEX Index Options'!$C:$C,$A126,'BSE - SENSEX Index Options'!$B:$B,F$4,'BSE - SENSEX Index Options'!$I:$I,"MDAW*")+SUMIFS('BSE - Other Index Options'!$M:$M,'BSE - Other Index Options'!$C:$C,$A126,'BSE - Other Index Options'!$B:$B,F$4,'BSE - Other Index Options'!$I:$I,"Weekly*")+SUMIFS('BSE - Other Index Options'!$M:$M,'BSE - Other Index Options'!$C:$C,$A126,'BSE - Other Index Options'!$B:$B,F$4,'BSE - Other Index Options'!$I:$I,"MDAW*")=0,"",SUMIFS('NSE - NIFTY Index Options'!$M:$M,'NSE - NIFTY Index Options'!$C:$C,$A126,'NSE - NIFTY Index Options'!$B:$B,F$4,'NSE - NIFTY Index Options'!$I:$I,"Weekly*")+SUMIFS('NSE - NIFTY Index Options'!$M:$M,'NSE - NIFTY Index Options'!$C:$C,$A126,'NSE - NIFTY Index Options'!$B:$B,F$4,'NSE - NIFTY Index Options'!$I:$I,"MDAW*")+SUMIFS('NSE - Other Index Options'!$M:$M,'NSE - Other Index Options'!$C:$C,$A126,'NSE - Other Index Options'!$B:$B,F$4,'NSE - Other Index Options'!$I:$I,"Weekly*")+SUMIFS('NSE - Other Index Options'!$M:$M,'NSE - Other Index Options'!$C:$C,$A126,'NSE - Other Index Options'!$B:$B,F$4,'NSE - Other Index Options'!$I:$I,"MDAW*")+SUMIFS('BSE - SENSEX Index Options'!$M:$M,'BSE - SENSEX Index Options'!$C:$C,$A126,'BSE - SENSEX Index Options'!$B:$B,F$4,'BSE - SENSEX Index Options'!$I:$I,"Weekly*")+SUMIFS('BSE - SENSEX Index Options'!$M:$M,'BSE - SENSEX Index Options'!$C:$C,$A126,'BSE - SENSEX Index Options'!$B:$B,F$4,'BSE - SENSEX Index Options'!$I:$I,"MDAW*")+SUMIFS('BSE - Other Index Options'!$M:$M,'BSE - Other Index Options'!$C:$C,$A126,'BSE - Other Index Options'!$B:$B,F$4,'BSE - Other Index Options'!$I:$I,"Weekly*")+SUMIFS('BSE - Other Index Options'!$M:$M,'BSE - Other Index Options'!$C:$C,$A126,'BSE - Other Index Options'!$B:$B,F$4,'BSE - Other Index Options'!$I:$I,"MDAW*"))</f>
        <v/>
      </c>
      <c r="G126" s="26">
        <f>IF(SUMIFS('NSE - NIFTY Index Options'!$M:$M,'NSE - NIFTY Index Options'!$C:$C,$A126,'NSE - NIFTY Index Options'!$B:$B,G$4,'NSE - NIFTY Index Options'!$I:$I,"Weekly*")+SUMIFS('NSE - NIFTY Index Options'!$M:$M,'NSE - NIFTY Index Options'!$C:$C,$A126,'NSE - NIFTY Index Options'!$B:$B,G$4,'NSE - NIFTY Index Options'!$I:$I,"MDAW*")+SUMIFS('NSE - Other Index Options'!$M:$M,'NSE - Other Index Options'!$C:$C,$A126,'NSE - Other Index Options'!$B:$B,G$4,'NSE - Other Index Options'!$I:$I,"Weekly*")+SUMIFS('NSE - Other Index Options'!$M:$M,'NSE - Other Index Options'!$C:$C,$A126,'NSE - Other Index Options'!$B:$B,G$4,'NSE - Other Index Options'!$I:$I,"MDAW*")+SUMIFS('BSE - SENSEX Index Options'!$M:$M,'BSE - SENSEX Index Options'!$C:$C,$A126,'BSE - SENSEX Index Options'!$B:$B,G$4,'BSE - SENSEX Index Options'!$I:$I,"Weekly*")+SUMIFS('BSE - SENSEX Index Options'!$M:$M,'BSE - SENSEX Index Options'!$C:$C,$A126,'BSE - SENSEX Index Options'!$B:$B,G$4,'BSE - SENSEX Index Options'!$I:$I,"MDAW*")+SUMIFS('BSE - Other Index Options'!$M:$M,'BSE - Other Index Options'!$C:$C,$A126,'BSE - Other Index Options'!$B:$B,G$4,'BSE - Other Index Options'!$I:$I,"Weekly*")+SUMIFS('BSE - Other Index Options'!$M:$M,'BSE - Other Index Options'!$C:$C,$A126,'BSE - Other Index Options'!$B:$B,G$4,'BSE - Other Index Options'!$I:$I,"MDAW*")=0,"",SUMIFS('NSE - NIFTY Index Options'!$M:$M,'NSE - NIFTY Index Options'!$C:$C,$A126,'NSE - NIFTY Index Options'!$B:$B,G$4,'NSE - NIFTY Index Options'!$I:$I,"Weekly*")+SUMIFS('NSE - NIFTY Index Options'!$M:$M,'NSE - NIFTY Index Options'!$C:$C,$A126,'NSE - NIFTY Index Options'!$B:$B,G$4,'NSE - NIFTY Index Options'!$I:$I,"MDAW*")+SUMIFS('NSE - Other Index Options'!$M:$M,'NSE - Other Index Options'!$C:$C,$A126,'NSE - Other Index Options'!$B:$B,G$4,'NSE - Other Index Options'!$I:$I,"Weekly*")+SUMIFS('NSE - Other Index Options'!$M:$M,'NSE - Other Index Options'!$C:$C,$A126,'NSE - Other Index Options'!$B:$B,G$4,'NSE - Other Index Options'!$I:$I,"MDAW*")+SUMIFS('BSE - SENSEX Index Options'!$M:$M,'BSE - SENSEX Index Options'!$C:$C,$A126,'BSE - SENSEX Index Options'!$B:$B,G$4,'BSE - SENSEX Index Options'!$I:$I,"Weekly*")+SUMIFS('BSE - SENSEX Index Options'!$M:$M,'BSE - SENSEX Index Options'!$C:$C,$A126,'BSE - SENSEX Index Options'!$B:$B,G$4,'BSE - SENSEX Index Options'!$I:$I,"MDAW*")+SUMIFS('BSE - Other Index Options'!$M:$M,'BSE - Other Index Options'!$C:$C,$A126,'BSE - Other Index Options'!$B:$B,G$4,'BSE - Other Index Options'!$I:$I,"Weekly*")+SUMIFS('BSE - Other Index Options'!$M:$M,'BSE - Other Index Options'!$C:$C,$A126,'BSE - Other Index Options'!$B:$B,G$4,'BSE - Other Index Options'!$I:$I,"MDAW*"))</f>
        <v/>
      </c>
      <c r="H126" s="26">
        <f>IF(SUM(B126:G126)=0,"",SUM(B126:G126))</f>
        <v/>
      </c>
    </row>
    <row r="127" hidden="1" outlineLevel="1">
      <c r="A127" t="inlineStr">
        <is>
          <t>Week5-Sep-2027</t>
        </is>
      </c>
      <c r="B127" s="26">
        <f>IF(SUMIFS('NSE - NIFTY Index Options'!$M:$M,'NSE - NIFTY Index Options'!$C:$C,$A127,'NSE - NIFTY Index Options'!$B:$B,B$4,'NSE - NIFTY Index Options'!$I:$I,"Weekly*")+SUMIFS('NSE - NIFTY Index Options'!$M:$M,'NSE - NIFTY Index Options'!$C:$C,$A127,'NSE - NIFTY Index Options'!$B:$B,B$4,'NSE - NIFTY Index Options'!$I:$I,"MDAW*")+SUMIFS('NSE - Other Index Options'!$M:$M,'NSE - Other Index Options'!$C:$C,$A127,'NSE - Other Index Options'!$B:$B,B$4,'NSE - Other Index Options'!$I:$I,"Weekly*")+SUMIFS('NSE - Other Index Options'!$M:$M,'NSE - Other Index Options'!$C:$C,$A127,'NSE - Other Index Options'!$B:$B,B$4,'NSE - Other Index Options'!$I:$I,"MDAW*")+SUMIFS('BSE - SENSEX Index Options'!$M:$M,'BSE - SENSEX Index Options'!$C:$C,$A127,'BSE - SENSEX Index Options'!$B:$B,B$4,'BSE - SENSEX Index Options'!$I:$I,"Weekly*")+SUMIFS('BSE - SENSEX Index Options'!$M:$M,'BSE - SENSEX Index Options'!$C:$C,$A127,'BSE - SENSEX Index Options'!$B:$B,B$4,'BSE - SENSEX Index Options'!$I:$I,"MDAW*")+SUMIFS('BSE - Other Index Options'!$M:$M,'BSE - Other Index Options'!$C:$C,$A127,'BSE - Other Index Options'!$B:$B,B$4,'BSE - Other Index Options'!$I:$I,"Weekly*")+SUMIFS('BSE - Other Index Options'!$M:$M,'BSE - Other Index Options'!$C:$C,$A127,'BSE - Other Index Options'!$B:$B,B$4,'BSE - Other Index Options'!$I:$I,"MDAW*")=0,"",SUMIFS('NSE - NIFTY Index Options'!$M:$M,'NSE - NIFTY Index Options'!$C:$C,$A127,'NSE - NIFTY Index Options'!$B:$B,B$4,'NSE - NIFTY Index Options'!$I:$I,"Weekly*")+SUMIFS('NSE - NIFTY Index Options'!$M:$M,'NSE - NIFTY Index Options'!$C:$C,$A127,'NSE - NIFTY Index Options'!$B:$B,B$4,'NSE - NIFTY Index Options'!$I:$I,"MDAW*")+SUMIFS('NSE - Other Index Options'!$M:$M,'NSE - Other Index Options'!$C:$C,$A127,'NSE - Other Index Options'!$B:$B,B$4,'NSE - Other Index Options'!$I:$I,"Weekly*")+SUMIFS('NSE - Other Index Options'!$M:$M,'NSE - Other Index Options'!$C:$C,$A127,'NSE - Other Index Options'!$B:$B,B$4,'NSE - Other Index Options'!$I:$I,"MDAW*")+SUMIFS('BSE - SENSEX Index Options'!$M:$M,'BSE - SENSEX Index Options'!$C:$C,$A127,'BSE - SENSEX Index Options'!$B:$B,B$4,'BSE - SENSEX Index Options'!$I:$I,"Weekly*")+SUMIFS('BSE - SENSEX Index Options'!$M:$M,'BSE - SENSEX Index Options'!$C:$C,$A127,'BSE - SENSEX Index Options'!$B:$B,B$4,'BSE - SENSEX Index Options'!$I:$I,"MDAW*")+SUMIFS('BSE - Other Index Options'!$M:$M,'BSE - Other Index Options'!$C:$C,$A127,'BSE - Other Index Options'!$B:$B,B$4,'BSE - Other Index Options'!$I:$I,"Weekly*")+SUMIFS('BSE - Other Index Options'!$M:$M,'BSE - Other Index Options'!$C:$C,$A127,'BSE - Other Index Options'!$B:$B,B$4,'BSE - Other Index Options'!$I:$I,"MDAW*"))</f>
        <v/>
      </c>
      <c r="C127" s="26">
        <f>IF(SUMIFS('NSE - NIFTY Index Options'!$M:$M,'NSE - NIFTY Index Options'!$C:$C,$A127,'NSE - NIFTY Index Options'!$B:$B,C$4,'NSE - NIFTY Index Options'!$I:$I,"Weekly*")+SUMIFS('NSE - NIFTY Index Options'!$M:$M,'NSE - NIFTY Index Options'!$C:$C,$A127,'NSE - NIFTY Index Options'!$B:$B,C$4,'NSE - NIFTY Index Options'!$I:$I,"MDAW*")+SUMIFS('NSE - Other Index Options'!$M:$M,'NSE - Other Index Options'!$C:$C,$A127,'NSE - Other Index Options'!$B:$B,C$4,'NSE - Other Index Options'!$I:$I,"Weekly*")+SUMIFS('NSE - Other Index Options'!$M:$M,'NSE - Other Index Options'!$C:$C,$A127,'NSE - Other Index Options'!$B:$B,C$4,'NSE - Other Index Options'!$I:$I,"MDAW*")+SUMIFS('BSE - SENSEX Index Options'!$M:$M,'BSE - SENSEX Index Options'!$C:$C,$A127,'BSE - SENSEX Index Options'!$B:$B,C$4,'BSE - SENSEX Index Options'!$I:$I,"Weekly*")+SUMIFS('BSE - SENSEX Index Options'!$M:$M,'BSE - SENSEX Index Options'!$C:$C,$A127,'BSE - SENSEX Index Options'!$B:$B,C$4,'BSE - SENSEX Index Options'!$I:$I,"MDAW*")+SUMIFS('BSE - Other Index Options'!$M:$M,'BSE - Other Index Options'!$C:$C,$A127,'BSE - Other Index Options'!$B:$B,C$4,'BSE - Other Index Options'!$I:$I,"Weekly*")+SUMIFS('BSE - Other Index Options'!$M:$M,'BSE - Other Index Options'!$C:$C,$A127,'BSE - Other Index Options'!$B:$B,C$4,'BSE - Other Index Options'!$I:$I,"MDAW*")=0,"",SUMIFS('NSE - NIFTY Index Options'!$M:$M,'NSE - NIFTY Index Options'!$C:$C,$A127,'NSE - NIFTY Index Options'!$B:$B,C$4,'NSE - NIFTY Index Options'!$I:$I,"Weekly*")+SUMIFS('NSE - NIFTY Index Options'!$M:$M,'NSE - NIFTY Index Options'!$C:$C,$A127,'NSE - NIFTY Index Options'!$B:$B,C$4,'NSE - NIFTY Index Options'!$I:$I,"MDAW*")+SUMIFS('NSE - Other Index Options'!$M:$M,'NSE - Other Index Options'!$C:$C,$A127,'NSE - Other Index Options'!$B:$B,C$4,'NSE - Other Index Options'!$I:$I,"Weekly*")+SUMIFS('NSE - Other Index Options'!$M:$M,'NSE - Other Index Options'!$C:$C,$A127,'NSE - Other Index Options'!$B:$B,C$4,'NSE - Other Index Options'!$I:$I,"MDAW*")+SUMIFS('BSE - SENSEX Index Options'!$M:$M,'BSE - SENSEX Index Options'!$C:$C,$A127,'BSE - SENSEX Index Options'!$B:$B,C$4,'BSE - SENSEX Index Options'!$I:$I,"Weekly*")+SUMIFS('BSE - SENSEX Index Options'!$M:$M,'BSE - SENSEX Index Options'!$C:$C,$A127,'BSE - SENSEX Index Options'!$B:$B,C$4,'BSE - SENSEX Index Options'!$I:$I,"MDAW*")+SUMIFS('BSE - Other Index Options'!$M:$M,'BSE - Other Index Options'!$C:$C,$A127,'BSE - Other Index Options'!$B:$B,C$4,'BSE - Other Index Options'!$I:$I,"Weekly*")+SUMIFS('BSE - Other Index Options'!$M:$M,'BSE - Other Index Options'!$C:$C,$A127,'BSE - Other Index Options'!$B:$B,C$4,'BSE - Other Index Options'!$I:$I,"MDAW*"))</f>
        <v/>
      </c>
      <c r="D127" s="26">
        <f>IF(SUMIFS('NSE - NIFTY Index Options'!$M:$M,'NSE - NIFTY Index Options'!$C:$C,$A127,'NSE - NIFTY Index Options'!$B:$B,D$4,'NSE - NIFTY Index Options'!$I:$I,"Weekly*")+SUMIFS('NSE - NIFTY Index Options'!$M:$M,'NSE - NIFTY Index Options'!$C:$C,$A127,'NSE - NIFTY Index Options'!$B:$B,D$4,'NSE - NIFTY Index Options'!$I:$I,"MDAW*")+SUMIFS('NSE - Other Index Options'!$M:$M,'NSE - Other Index Options'!$C:$C,$A127,'NSE - Other Index Options'!$B:$B,D$4,'NSE - Other Index Options'!$I:$I,"Weekly*")+SUMIFS('NSE - Other Index Options'!$M:$M,'NSE - Other Index Options'!$C:$C,$A127,'NSE - Other Index Options'!$B:$B,D$4,'NSE - Other Index Options'!$I:$I,"MDAW*")+SUMIFS('BSE - SENSEX Index Options'!$M:$M,'BSE - SENSEX Index Options'!$C:$C,$A127,'BSE - SENSEX Index Options'!$B:$B,D$4,'BSE - SENSEX Index Options'!$I:$I,"Weekly*")+SUMIFS('BSE - SENSEX Index Options'!$M:$M,'BSE - SENSEX Index Options'!$C:$C,$A127,'BSE - SENSEX Index Options'!$B:$B,D$4,'BSE - SENSEX Index Options'!$I:$I,"MDAW*")+SUMIFS('BSE - Other Index Options'!$M:$M,'BSE - Other Index Options'!$C:$C,$A127,'BSE - Other Index Options'!$B:$B,D$4,'BSE - Other Index Options'!$I:$I,"Weekly*")+SUMIFS('BSE - Other Index Options'!$M:$M,'BSE - Other Index Options'!$C:$C,$A127,'BSE - Other Index Options'!$B:$B,D$4,'BSE - Other Index Options'!$I:$I,"MDAW*")=0,"",SUMIFS('NSE - NIFTY Index Options'!$M:$M,'NSE - NIFTY Index Options'!$C:$C,$A127,'NSE - NIFTY Index Options'!$B:$B,D$4,'NSE - NIFTY Index Options'!$I:$I,"Weekly*")+SUMIFS('NSE - NIFTY Index Options'!$M:$M,'NSE - NIFTY Index Options'!$C:$C,$A127,'NSE - NIFTY Index Options'!$B:$B,D$4,'NSE - NIFTY Index Options'!$I:$I,"MDAW*")+SUMIFS('NSE - Other Index Options'!$M:$M,'NSE - Other Index Options'!$C:$C,$A127,'NSE - Other Index Options'!$B:$B,D$4,'NSE - Other Index Options'!$I:$I,"Weekly*")+SUMIFS('NSE - Other Index Options'!$M:$M,'NSE - Other Index Options'!$C:$C,$A127,'NSE - Other Index Options'!$B:$B,D$4,'NSE - Other Index Options'!$I:$I,"MDAW*")+SUMIFS('BSE - SENSEX Index Options'!$M:$M,'BSE - SENSEX Index Options'!$C:$C,$A127,'BSE - SENSEX Index Options'!$B:$B,D$4,'BSE - SENSEX Index Options'!$I:$I,"Weekly*")+SUMIFS('BSE - SENSEX Index Options'!$M:$M,'BSE - SENSEX Index Options'!$C:$C,$A127,'BSE - SENSEX Index Options'!$B:$B,D$4,'BSE - SENSEX Index Options'!$I:$I,"MDAW*")+SUMIFS('BSE - Other Index Options'!$M:$M,'BSE - Other Index Options'!$C:$C,$A127,'BSE - Other Index Options'!$B:$B,D$4,'BSE - Other Index Options'!$I:$I,"Weekly*")+SUMIFS('BSE - Other Index Options'!$M:$M,'BSE - Other Index Options'!$C:$C,$A127,'BSE - Other Index Options'!$B:$B,D$4,'BSE - Other Index Options'!$I:$I,"MDAW*"))</f>
        <v/>
      </c>
      <c r="E127" s="26">
        <f>IF(SUMIFS('NSE - NIFTY Index Options'!$M:$M,'NSE - NIFTY Index Options'!$C:$C,$A127,'NSE - NIFTY Index Options'!$B:$B,E$4,'NSE - NIFTY Index Options'!$I:$I,"Weekly*")+SUMIFS('NSE - NIFTY Index Options'!$M:$M,'NSE - NIFTY Index Options'!$C:$C,$A127,'NSE - NIFTY Index Options'!$B:$B,E$4,'NSE - NIFTY Index Options'!$I:$I,"MDAW*")+SUMIFS('NSE - Other Index Options'!$M:$M,'NSE - Other Index Options'!$C:$C,$A127,'NSE - Other Index Options'!$B:$B,E$4,'NSE - Other Index Options'!$I:$I,"Weekly*")+SUMIFS('NSE - Other Index Options'!$M:$M,'NSE - Other Index Options'!$C:$C,$A127,'NSE - Other Index Options'!$B:$B,E$4,'NSE - Other Index Options'!$I:$I,"MDAW*")+SUMIFS('BSE - SENSEX Index Options'!$M:$M,'BSE - SENSEX Index Options'!$C:$C,$A127,'BSE - SENSEX Index Options'!$B:$B,E$4,'BSE - SENSEX Index Options'!$I:$I,"Weekly*")+SUMIFS('BSE - SENSEX Index Options'!$M:$M,'BSE - SENSEX Index Options'!$C:$C,$A127,'BSE - SENSEX Index Options'!$B:$B,E$4,'BSE - SENSEX Index Options'!$I:$I,"MDAW*")+SUMIFS('BSE - Other Index Options'!$M:$M,'BSE - Other Index Options'!$C:$C,$A127,'BSE - Other Index Options'!$B:$B,E$4,'BSE - Other Index Options'!$I:$I,"Weekly*")+SUMIFS('BSE - Other Index Options'!$M:$M,'BSE - Other Index Options'!$C:$C,$A127,'BSE - Other Index Options'!$B:$B,E$4,'BSE - Other Index Options'!$I:$I,"MDAW*")=0,"",SUMIFS('NSE - NIFTY Index Options'!$M:$M,'NSE - NIFTY Index Options'!$C:$C,$A127,'NSE - NIFTY Index Options'!$B:$B,E$4,'NSE - NIFTY Index Options'!$I:$I,"Weekly*")+SUMIFS('NSE - NIFTY Index Options'!$M:$M,'NSE - NIFTY Index Options'!$C:$C,$A127,'NSE - NIFTY Index Options'!$B:$B,E$4,'NSE - NIFTY Index Options'!$I:$I,"MDAW*")+SUMIFS('NSE - Other Index Options'!$M:$M,'NSE - Other Index Options'!$C:$C,$A127,'NSE - Other Index Options'!$B:$B,E$4,'NSE - Other Index Options'!$I:$I,"Weekly*")+SUMIFS('NSE - Other Index Options'!$M:$M,'NSE - Other Index Options'!$C:$C,$A127,'NSE - Other Index Options'!$B:$B,E$4,'NSE - Other Index Options'!$I:$I,"MDAW*")+SUMIFS('BSE - SENSEX Index Options'!$M:$M,'BSE - SENSEX Index Options'!$C:$C,$A127,'BSE - SENSEX Index Options'!$B:$B,E$4,'BSE - SENSEX Index Options'!$I:$I,"Weekly*")+SUMIFS('BSE - SENSEX Index Options'!$M:$M,'BSE - SENSEX Index Options'!$C:$C,$A127,'BSE - SENSEX Index Options'!$B:$B,E$4,'BSE - SENSEX Index Options'!$I:$I,"MDAW*")+SUMIFS('BSE - Other Index Options'!$M:$M,'BSE - Other Index Options'!$C:$C,$A127,'BSE - Other Index Options'!$B:$B,E$4,'BSE - Other Index Options'!$I:$I,"Weekly*")+SUMIFS('BSE - Other Index Options'!$M:$M,'BSE - Other Index Options'!$C:$C,$A127,'BSE - Other Index Options'!$B:$B,E$4,'BSE - Other Index Options'!$I:$I,"MDAW*"))</f>
        <v/>
      </c>
      <c r="F127" s="26">
        <f>IF(SUMIFS('NSE - NIFTY Index Options'!$M:$M,'NSE - NIFTY Index Options'!$C:$C,$A127,'NSE - NIFTY Index Options'!$B:$B,F$4,'NSE - NIFTY Index Options'!$I:$I,"Weekly*")+SUMIFS('NSE - NIFTY Index Options'!$M:$M,'NSE - NIFTY Index Options'!$C:$C,$A127,'NSE - NIFTY Index Options'!$B:$B,F$4,'NSE - NIFTY Index Options'!$I:$I,"MDAW*")+SUMIFS('NSE - Other Index Options'!$M:$M,'NSE - Other Index Options'!$C:$C,$A127,'NSE - Other Index Options'!$B:$B,F$4,'NSE - Other Index Options'!$I:$I,"Weekly*")+SUMIFS('NSE - Other Index Options'!$M:$M,'NSE - Other Index Options'!$C:$C,$A127,'NSE - Other Index Options'!$B:$B,F$4,'NSE - Other Index Options'!$I:$I,"MDAW*")+SUMIFS('BSE - SENSEX Index Options'!$M:$M,'BSE - SENSEX Index Options'!$C:$C,$A127,'BSE - SENSEX Index Options'!$B:$B,F$4,'BSE - SENSEX Index Options'!$I:$I,"Weekly*")+SUMIFS('BSE - SENSEX Index Options'!$M:$M,'BSE - SENSEX Index Options'!$C:$C,$A127,'BSE - SENSEX Index Options'!$B:$B,F$4,'BSE - SENSEX Index Options'!$I:$I,"MDAW*")+SUMIFS('BSE - Other Index Options'!$M:$M,'BSE - Other Index Options'!$C:$C,$A127,'BSE - Other Index Options'!$B:$B,F$4,'BSE - Other Index Options'!$I:$I,"Weekly*")+SUMIFS('BSE - Other Index Options'!$M:$M,'BSE - Other Index Options'!$C:$C,$A127,'BSE - Other Index Options'!$B:$B,F$4,'BSE - Other Index Options'!$I:$I,"MDAW*")=0,"",SUMIFS('NSE - NIFTY Index Options'!$M:$M,'NSE - NIFTY Index Options'!$C:$C,$A127,'NSE - NIFTY Index Options'!$B:$B,F$4,'NSE - NIFTY Index Options'!$I:$I,"Weekly*")+SUMIFS('NSE - NIFTY Index Options'!$M:$M,'NSE - NIFTY Index Options'!$C:$C,$A127,'NSE - NIFTY Index Options'!$B:$B,F$4,'NSE - NIFTY Index Options'!$I:$I,"MDAW*")+SUMIFS('NSE - Other Index Options'!$M:$M,'NSE - Other Index Options'!$C:$C,$A127,'NSE - Other Index Options'!$B:$B,F$4,'NSE - Other Index Options'!$I:$I,"Weekly*")+SUMIFS('NSE - Other Index Options'!$M:$M,'NSE - Other Index Options'!$C:$C,$A127,'NSE - Other Index Options'!$B:$B,F$4,'NSE - Other Index Options'!$I:$I,"MDAW*")+SUMIFS('BSE - SENSEX Index Options'!$M:$M,'BSE - SENSEX Index Options'!$C:$C,$A127,'BSE - SENSEX Index Options'!$B:$B,F$4,'BSE - SENSEX Index Options'!$I:$I,"Weekly*")+SUMIFS('BSE - SENSEX Index Options'!$M:$M,'BSE - SENSEX Index Options'!$C:$C,$A127,'BSE - SENSEX Index Options'!$B:$B,F$4,'BSE - SENSEX Index Options'!$I:$I,"MDAW*")+SUMIFS('BSE - Other Index Options'!$M:$M,'BSE - Other Index Options'!$C:$C,$A127,'BSE - Other Index Options'!$B:$B,F$4,'BSE - Other Index Options'!$I:$I,"Weekly*")+SUMIFS('BSE - Other Index Options'!$M:$M,'BSE - Other Index Options'!$C:$C,$A127,'BSE - Other Index Options'!$B:$B,F$4,'BSE - Other Index Options'!$I:$I,"MDAW*"))</f>
        <v/>
      </c>
      <c r="G127" s="26">
        <f>IF(SUMIFS('NSE - NIFTY Index Options'!$M:$M,'NSE - NIFTY Index Options'!$C:$C,$A127,'NSE - NIFTY Index Options'!$B:$B,G$4,'NSE - NIFTY Index Options'!$I:$I,"Weekly*")+SUMIFS('NSE - NIFTY Index Options'!$M:$M,'NSE - NIFTY Index Options'!$C:$C,$A127,'NSE - NIFTY Index Options'!$B:$B,G$4,'NSE - NIFTY Index Options'!$I:$I,"MDAW*")+SUMIFS('NSE - Other Index Options'!$M:$M,'NSE - Other Index Options'!$C:$C,$A127,'NSE - Other Index Options'!$B:$B,G$4,'NSE - Other Index Options'!$I:$I,"Weekly*")+SUMIFS('NSE - Other Index Options'!$M:$M,'NSE - Other Index Options'!$C:$C,$A127,'NSE - Other Index Options'!$B:$B,G$4,'NSE - Other Index Options'!$I:$I,"MDAW*")+SUMIFS('BSE - SENSEX Index Options'!$M:$M,'BSE - SENSEX Index Options'!$C:$C,$A127,'BSE - SENSEX Index Options'!$B:$B,G$4,'BSE - SENSEX Index Options'!$I:$I,"Weekly*")+SUMIFS('BSE - SENSEX Index Options'!$M:$M,'BSE - SENSEX Index Options'!$C:$C,$A127,'BSE - SENSEX Index Options'!$B:$B,G$4,'BSE - SENSEX Index Options'!$I:$I,"MDAW*")+SUMIFS('BSE - Other Index Options'!$M:$M,'BSE - Other Index Options'!$C:$C,$A127,'BSE - Other Index Options'!$B:$B,G$4,'BSE - Other Index Options'!$I:$I,"Weekly*")+SUMIFS('BSE - Other Index Options'!$M:$M,'BSE - Other Index Options'!$C:$C,$A127,'BSE - Other Index Options'!$B:$B,G$4,'BSE - Other Index Options'!$I:$I,"MDAW*")=0,"",SUMIFS('NSE - NIFTY Index Options'!$M:$M,'NSE - NIFTY Index Options'!$C:$C,$A127,'NSE - NIFTY Index Options'!$B:$B,G$4,'NSE - NIFTY Index Options'!$I:$I,"Weekly*")+SUMIFS('NSE - NIFTY Index Options'!$M:$M,'NSE - NIFTY Index Options'!$C:$C,$A127,'NSE - NIFTY Index Options'!$B:$B,G$4,'NSE - NIFTY Index Options'!$I:$I,"MDAW*")+SUMIFS('NSE - Other Index Options'!$M:$M,'NSE - Other Index Options'!$C:$C,$A127,'NSE - Other Index Options'!$B:$B,G$4,'NSE - Other Index Options'!$I:$I,"Weekly*")+SUMIFS('NSE - Other Index Options'!$M:$M,'NSE - Other Index Options'!$C:$C,$A127,'NSE - Other Index Options'!$B:$B,G$4,'NSE - Other Index Options'!$I:$I,"MDAW*")+SUMIFS('BSE - SENSEX Index Options'!$M:$M,'BSE - SENSEX Index Options'!$C:$C,$A127,'BSE - SENSEX Index Options'!$B:$B,G$4,'BSE - SENSEX Index Options'!$I:$I,"Weekly*")+SUMIFS('BSE - SENSEX Index Options'!$M:$M,'BSE - SENSEX Index Options'!$C:$C,$A127,'BSE - SENSEX Index Options'!$B:$B,G$4,'BSE - SENSEX Index Options'!$I:$I,"MDAW*")+SUMIFS('BSE - Other Index Options'!$M:$M,'BSE - Other Index Options'!$C:$C,$A127,'BSE - Other Index Options'!$B:$B,G$4,'BSE - Other Index Options'!$I:$I,"Weekly*")+SUMIFS('BSE - Other Index Options'!$M:$M,'BSE - Other Index Options'!$C:$C,$A127,'BSE - Other Index Options'!$B:$B,G$4,'BSE - Other Index Options'!$I:$I,"MDAW*"))</f>
        <v/>
      </c>
      <c r="H127" s="26">
        <f>IF(SUM(B127:G127)=0,"",SUM(B127:G127))</f>
        <v/>
      </c>
    </row>
    <row r="128" hidden="1" outlineLevel="1">
      <c r="A128" t="inlineStr">
        <is>
          <t>Week1-Oct-2027</t>
        </is>
      </c>
      <c r="B128" s="26">
        <f>IF(SUMIFS('NSE - NIFTY Index Options'!$M:$M,'NSE - NIFTY Index Options'!$C:$C,$A128,'NSE - NIFTY Index Options'!$B:$B,B$4,'NSE - NIFTY Index Options'!$I:$I,"Weekly*")+SUMIFS('NSE - NIFTY Index Options'!$M:$M,'NSE - NIFTY Index Options'!$C:$C,$A128,'NSE - NIFTY Index Options'!$B:$B,B$4,'NSE - NIFTY Index Options'!$I:$I,"MDAW*")+SUMIFS('NSE - Other Index Options'!$M:$M,'NSE - Other Index Options'!$C:$C,$A128,'NSE - Other Index Options'!$B:$B,B$4,'NSE - Other Index Options'!$I:$I,"Weekly*")+SUMIFS('NSE - Other Index Options'!$M:$M,'NSE - Other Index Options'!$C:$C,$A128,'NSE - Other Index Options'!$B:$B,B$4,'NSE - Other Index Options'!$I:$I,"MDAW*")+SUMIFS('BSE - SENSEX Index Options'!$M:$M,'BSE - SENSEX Index Options'!$C:$C,$A128,'BSE - SENSEX Index Options'!$B:$B,B$4,'BSE - SENSEX Index Options'!$I:$I,"Weekly*")+SUMIFS('BSE - SENSEX Index Options'!$M:$M,'BSE - SENSEX Index Options'!$C:$C,$A128,'BSE - SENSEX Index Options'!$B:$B,B$4,'BSE - SENSEX Index Options'!$I:$I,"MDAW*")+SUMIFS('BSE - Other Index Options'!$M:$M,'BSE - Other Index Options'!$C:$C,$A128,'BSE - Other Index Options'!$B:$B,B$4,'BSE - Other Index Options'!$I:$I,"Weekly*")+SUMIFS('BSE - Other Index Options'!$M:$M,'BSE - Other Index Options'!$C:$C,$A128,'BSE - Other Index Options'!$B:$B,B$4,'BSE - Other Index Options'!$I:$I,"MDAW*")=0,"",SUMIFS('NSE - NIFTY Index Options'!$M:$M,'NSE - NIFTY Index Options'!$C:$C,$A128,'NSE - NIFTY Index Options'!$B:$B,B$4,'NSE - NIFTY Index Options'!$I:$I,"Weekly*")+SUMIFS('NSE - NIFTY Index Options'!$M:$M,'NSE - NIFTY Index Options'!$C:$C,$A128,'NSE - NIFTY Index Options'!$B:$B,B$4,'NSE - NIFTY Index Options'!$I:$I,"MDAW*")+SUMIFS('NSE - Other Index Options'!$M:$M,'NSE - Other Index Options'!$C:$C,$A128,'NSE - Other Index Options'!$B:$B,B$4,'NSE - Other Index Options'!$I:$I,"Weekly*")+SUMIFS('NSE - Other Index Options'!$M:$M,'NSE - Other Index Options'!$C:$C,$A128,'NSE - Other Index Options'!$B:$B,B$4,'NSE - Other Index Options'!$I:$I,"MDAW*")+SUMIFS('BSE - SENSEX Index Options'!$M:$M,'BSE - SENSEX Index Options'!$C:$C,$A128,'BSE - SENSEX Index Options'!$B:$B,B$4,'BSE - SENSEX Index Options'!$I:$I,"Weekly*")+SUMIFS('BSE - SENSEX Index Options'!$M:$M,'BSE - SENSEX Index Options'!$C:$C,$A128,'BSE - SENSEX Index Options'!$B:$B,B$4,'BSE - SENSEX Index Options'!$I:$I,"MDAW*")+SUMIFS('BSE - Other Index Options'!$M:$M,'BSE - Other Index Options'!$C:$C,$A128,'BSE - Other Index Options'!$B:$B,B$4,'BSE - Other Index Options'!$I:$I,"Weekly*")+SUMIFS('BSE - Other Index Options'!$M:$M,'BSE - Other Index Options'!$C:$C,$A128,'BSE - Other Index Options'!$B:$B,B$4,'BSE - Other Index Options'!$I:$I,"MDAW*"))</f>
        <v/>
      </c>
      <c r="C128" s="26">
        <f>IF(SUMIFS('NSE - NIFTY Index Options'!$M:$M,'NSE - NIFTY Index Options'!$C:$C,$A128,'NSE - NIFTY Index Options'!$B:$B,C$4,'NSE - NIFTY Index Options'!$I:$I,"Weekly*")+SUMIFS('NSE - NIFTY Index Options'!$M:$M,'NSE - NIFTY Index Options'!$C:$C,$A128,'NSE - NIFTY Index Options'!$B:$B,C$4,'NSE - NIFTY Index Options'!$I:$I,"MDAW*")+SUMIFS('NSE - Other Index Options'!$M:$M,'NSE - Other Index Options'!$C:$C,$A128,'NSE - Other Index Options'!$B:$B,C$4,'NSE - Other Index Options'!$I:$I,"Weekly*")+SUMIFS('NSE - Other Index Options'!$M:$M,'NSE - Other Index Options'!$C:$C,$A128,'NSE - Other Index Options'!$B:$B,C$4,'NSE - Other Index Options'!$I:$I,"MDAW*")+SUMIFS('BSE - SENSEX Index Options'!$M:$M,'BSE - SENSEX Index Options'!$C:$C,$A128,'BSE - SENSEX Index Options'!$B:$B,C$4,'BSE - SENSEX Index Options'!$I:$I,"Weekly*")+SUMIFS('BSE - SENSEX Index Options'!$M:$M,'BSE - SENSEX Index Options'!$C:$C,$A128,'BSE - SENSEX Index Options'!$B:$B,C$4,'BSE - SENSEX Index Options'!$I:$I,"MDAW*")+SUMIFS('BSE - Other Index Options'!$M:$M,'BSE - Other Index Options'!$C:$C,$A128,'BSE - Other Index Options'!$B:$B,C$4,'BSE - Other Index Options'!$I:$I,"Weekly*")+SUMIFS('BSE - Other Index Options'!$M:$M,'BSE - Other Index Options'!$C:$C,$A128,'BSE - Other Index Options'!$B:$B,C$4,'BSE - Other Index Options'!$I:$I,"MDAW*")=0,"",SUMIFS('NSE - NIFTY Index Options'!$M:$M,'NSE - NIFTY Index Options'!$C:$C,$A128,'NSE - NIFTY Index Options'!$B:$B,C$4,'NSE - NIFTY Index Options'!$I:$I,"Weekly*")+SUMIFS('NSE - NIFTY Index Options'!$M:$M,'NSE - NIFTY Index Options'!$C:$C,$A128,'NSE - NIFTY Index Options'!$B:$B,C$4,'NSE - NIFTY Index Options'!$I:$I,"MDAW*")+SUMIFS('NSE - Other Index Options'!$M:$M,'NSE - Other Index Options'!$C:$C,$A128,'NSE - Other Index Options'!$B:$B,C$4,'NSE - Other Index Options'!$I:$I,"Weekly*")+SUMIFS('NSE - Other Index Options'!$M:$M,'NSE - Other Index Options'!$C:$C,$A128,'NSE - Other Index Options'!$B:$B,C$4,'NSE - Other Index Options'!$I:$I,"MDAW*")+SUMIFS('BSE - SENSEX Index Options'!$M:$M,'BSE - SENSEX Index Options'!$C:$C,$A128,'BSE - SENSEX Index Options'!$B:$B,C$4,'BSE - SENSEX Index Options'!$I:$I,"Weekly*")+SUMIFS('BSE - SENSEX Index Options'!$M:$M,'BSE - SENSEX Index Options'!$C:$C,$A128,'BSE - SENSEX Index Options'!$B:$B,C$4,'BSE - SENSEX Index Options'!$I:$I,"MDAW*")+SUMIFS('BSE - Other Index Options'!$M:$M,'BSE - Other Index Options'!$C:$C,$A128,'BSE - Other Index Options'!$B:$B,C$4,'BSE - Other Index Options'!$I:$I,"Weekly*")+SUMIFS('BSE - Other Index Options'!$M:$M,'BSE - Other Index Options'!$C:$C,$A128,'BSE - Other Index Options'!$B:$B,C$4,'BSE - Other Index Options'!$I:$I,"MDAW*"))</f>
        <v/>
      </c>
      <c r="D128" s="26">
        <f>IF(SUMIFS('NSE - NIFTY Index Options'!$M:$M,'NSE - NIFTY Index Options'!$C:$C,$A128,'NSE - NIFTY Index Options'!$B:$B,D$4,'NSE - NIFTY Index Options'!$I:$I,"Weekly*")+SUMIFS('NSE - NIFTY Index Options'!$M:$M,'NSE - NIFTY Index Options'!$C:$C,$A128,'NSE - NIFTY Index Options'!$B:$B,D$4,'NSE - NIFTY Index Options'!$I:$I,"MDAW*")+SUMIFS('NSE - Other Index Options'!$M:$M,'NSE - Other Index Options'!$C:$C,$A128,'NSE - Other Index Options'!$B:$B,D$4,'NSE - Other Index Options'!$I:$I,"Weekly*")+SUMIFS('NSE - Other Index Options'!$M:$M,'NSE - Other Index Options'!$C:$C,$A128,'NSE - Other Index Options'!$B:$B,D$4,'NSE - Other Index Options'!$I:$I,"MDAW*")+SUMIFS('BSE - SENSEX Index Options'!$M:$M,'BSE - SENSEX Index Options'!$C:$C,$A128,'BSE - SENSEX Index Options'!$B:$B,D$4,'BSE - SENSEX Index Options'!$I:$I,"Weekly*")+SUMIFS('BSE - SENSEX Index Options'!$M:$M,'BSE - SENSEX Index Options'!$C:$C,$A128,'BSE - SENSEX Index Options'!$B:$B,D$4,'BSE - SENSEX Index Options'!$I:$I,"MDAW*")+SUMIFS('BSE - Other Index Options'!$M:$M,'BSE - Other Index Options'!$C:$C,$A128,'BSE - Other Index Options'!$B:$B,D$4,'BSE - Other Index Options'!$I:$I,"Weekly*")+SUMIFS('BSE - Other Index Options'!$M:$M,'BSE - Other Index Options'!$C:$C,$A128,'BSE - Other Index Options'!$B:$B,D$4,'BSE - Other Index Options'!$I:$I,"MDAW*")=0,"",SUMIFS('NSE - NIFTY Index Options'!$M:$M,'NSE - NIFTY Index Options'!$C:$C,$A128,'NSE - NIFTY Index Options'!$B:$B,D$4,'NSE - NIFTY Index Options'!$I:$I,"Weekly*")+SUMIFS('NSE - NIFTY Index Options'!$M:$M,'NSE - NIFTY Index Options'!$C:$C,$A128,'NSE - NIFTY Index Options'!$B:$B,D$4,'NSE - NIFTY Index Options'!$I:$I,"MDAW*")+SUMIFS('NSE - Other Index Options'!$M:$M,'NSE - Other Index Options'!$C:$C,$A128,'NSE - Other Index Options'!$B:$B,D$4,'NSE - Other Index Options'!$I:$I,"Weekly*")+SUMIFS('NSE - Other Index Options'!$M:$M,'NSE - Other Index Options'!$C:$C,$A128,'NSE - Other Index Options'!$B:$B,D$4,'NSE - Other Index Options'!$I:$I,"MDAW*")+SUMIFS('BSE - SENSEX Index Options'!$M:$M,'BSE - SENSEX Index Options'!$C:$C,$A128,'BSE - SENSEX Index Options'!$B:$B,D$4,'BSE - SENSEX Index Options'!$I:$I,"Weekly*")+SUMIFS('BSE - SENSEX Index Options'!$M:$M,'BSE - SENSEX Index Options'!$C:$C,$A128,'BSE - SENSEX Index Options'!$B:$B,D$4,'BSE - SENSEX Index Options'!$I:$I,"MDAW*")+SUMIFS('BSE - Other Index Options'!$M:$M,'BSE - Other Index Options'!$C:$C,$A128,'BSE - Other Index Options'!$B:$B,D$4,'BSE - Other Index Options'!$I:$I,"Weekly*")+SUMIFS('BSE - Other Index Options'!$M:$M,'BSE - Other Index Options'!$C:$C,$A128,'BSE - Other Index Options'!$B:$B,D$4,'BSE - Other Index Options'!$I:$I,"MDAW*"))</f>
        <v/>
      </c>
      <c r="E128" s="26">
        <f>IF(SUMIFS('NSE - NIFTY Index Options'!$M:$M,'NSE - NIFTY Index Options'!$C:$C,$A128,'NSE - NIFTY Index Options'!$B:$B,E$4,'NSE - NIFTY Index Options'!$I:$I,"Weekly*")+SUMIFS('NSE - NIFTY Index Options'!$M:$M,'NSE - NIFTY Index Options'!$C:$C,$A128,'NSE - NIFTY Index Options'!$B:$B,E$4,'NSE - NIFTY Index Options'!$I:$I,"MDAW*")+SUMIFS('NSE - Other Index Options'!$M:$M,'NSE - Other Index Options'!$C:$C,$A128,'NSE - Other Index Options'!$B:$B,E$4,'NSE - Other Index Options'!$I:$I,"Weekly*")+SUMIFS('NSE - Other Index Options'!$M:$M,'NSE - Other Index Options'!$C:$C,$A128,'NSE - Other Index Options'!$B:$B,E$4,'NSE - Other Index Options'!$I:$I,"MDAW*")+SUMIFS('BSE - SENSEX Index Options'!$M:$M,'BSE - SENSEX Index Options'!$C:$C,$A128,'BSE - SENSEX Index Options'!$B:$B,E$4,'BSE - SENSEX Index Options'!$I:$I,"Weekly*")+SUMIFS('BSE - SENSEX Index Options'!$M:$M,'BSE - SENSEX Index Options'!$C:$C,$A128,'BSE - SENSEX Index Options'!$B:$B,E$4,'BSE - SENSEX Index Options'!$I:$I,"MDAW*")+SUMIFS('BSE - Other Index Options'!$M:$M,'BSE - Other Index Options'!$C:$C,$A128,'BSE - Other Index Options'!$B:$B,E$4,'BSE - Other Index Options'!$I:$I,"Weekly*")+SUMIFS('BSE - Other Index Options'!$M:$M,'BSE - Other Index Options'!$C:$C,$A128,'BSE - Other Index Options'!$B:$B,E$4,'BSE - Other Index Options'!$I:$I,"MDAW*")=0,"",SUMIFS('NSE - NIFTY Index Options'!$M:$M,'NSE - NIFTY Index Options'!$C:$C,$A128,'NSE - NIFTY Index Options'!$B:$B,E$4,'NSE - NIFTY Index Options'!$I:$I,"Weekly*")+SUMIFS('NSE - NIFTY Index Options'!$M:$M,'NSE - NIFTY Index Options'!$C:$C,$A128,'NSE - NIFTY Index Options'!$B:$B,E$4,'NSE - NIFTY Index Options'!$I:$I,"MDAW*")+SUMIFS('NSE - Other Index Options'!$M:$M,'NSE - Other Index Options'!$C:$C,$A128,'NSE - Other Index Options'!$B:$B,E$4,'NSE - Other Index Options'!$I:$I,"Weekly*")+SUMIFS('NSE - Other Index Options'!$M:$M,'NSE - Other Index Options'!$C:$C,$A128,'NSE - Other Index Options'!$B:$B,E$4,'NSE - Other Index Options'!$I:$I,"MDAW*")+SUMIFS('BSE - SENSEX Index Options'!$M:$M,'BSE - SENSEX Index Options'!$C:$C,$A128,'BSE - SENSEX Index Options'!$B:$B,E$4,'BSE - SENSEX Index Options'!$I:$I,"Weekly*")+SUMIFS('BSE - SENSEX Index Options'!$M:$M,'BSE - SENSEX Index Options'!$C:$C,$A128,'BSE - SENSEX Index Options'!$B:$B,E$4,'BSE - SENSEX Index Options'!$I:$I,"MDAW*")+SUMIFS('BSE - Other Index Options'!$M:$M,'BSE - Other Index Options'!$C:$C,$A128,'BSE - Other Index Options'!$B:$B,E$4,'BSE - Other Index Options'!$I:$I,"Weekly*")+SUMIFS('BSE - Other Index Options'!$M:$M,'BSE - Other Index Options'!$C:$C,$A128,'BSE - Other Index Options'!$B:$B,E$4,'BSE - Other Index Options'!$I:$I,"MDAW*"))</f>
        <v/>
      </c>
      <c r="F128" s="26">
        <f>IF(SUMIFS('NSE - NIFTY Index Options'!$M:$M,'NSE - NIFTY Index Options'!$C:$C,$A128,'NSE - NIFTY Index Options'!$B:$B,F$4,'NSE - NIFTY Index Options'!$I:$I,"Weekly*")+SUMIFS('NSE - NIFTY Index Options'!$M:$M,'NSE - NIFTY Index Options'!$C:$C,$A128,'NSE - NIFTY Index Options'!$B:$B,F$4,'NSE - NIFTY Index Options'!$I:$I,"MDAW*")+SUMIFS('NSE - Other Index Options'!$M:$M,'NSE - Other Index Options'!$C:$C,$A128,'NSE - Other Index Options'!$B:$B,F$4,'NSE - Other Index Options'!$I:$I,"Weekly*")+SUMIFS('NSE - Other Index Options'!$M:$M,'NSE - Other Index Options'!$C:$C,$A128,'NSE - Other Index Options'!$B:$B,F$4,'NSE - Other Index Options'!$I:$I,"MDAW*")+SUMIFS('BSE - SENSEX Index Options'!$M:$M,'BSE - SENSEX Index Options'!$C:$C,$A128,'BSE - SENSEX Index Options'!$B:$B,F$4,'BSE - SENSEX Index Options'!$I:$I,"Weekly*")+SUMIFS('BSE - SENSEX Index Options'!$M:$M,'BSE - SENSEX Index Options'!$C:$C,$A128,'BSE - SENSEX Index Options'!$B:$B,F$4,'BSE - SENSEX Index Options'!$I:$I,"MDAW*")+SUMIFS('BSE - Other Index Options'!$M:$M,'BSE - Other Index Options'!$C:$C,$A128,'BSE - Other Index Options'!$B:$B,F$4,'BSE - Other Index Options'!$I:$I,"Weekly*")+SUMIFS('BSE - Other Index Options'!$M:$M,'BSE - Other Index Options'!$C:$C,$A128,'BSE - Other Index Options'!$B:$B,F$4,'BSE - Other Index Options'!$I:$I,"MDAW*")=0,"",SUMIFS('NSE - NIFTY Index Options'!$M:$M,'NSE - NIFTY Index Options'!$C:$C,$A128,'NSE - NIFTY Index Options'!$B:$B,F$4,'NSE - NIFTY Index Options'!$I:$I,"Weekly*")+SUMIFS('NSE - NIFTY Index Options'!$M:$M,'NSE - NIFTY Index Options'!$C:$C,$A128,'NSE - NIFTY Index Options'!$B:$B,F$4,'NSE - NIFTY Index Options'!$I:$I,"MDAW*")+SUMIFS('NSE - Other Index Options'!$M:$M,'NSE - Other Index Options'!$C:$C,$A128,'NSE - Other Index Options'!$B:$B,F$4,'NSE - Other Index Options'!$I:$I,"Weekly*")+SUMIFS('NSE - Other Index Options'!$M:$M,'NSE - Other Index Options'!$C:$C,$A128,'NSE - Other Index Options'!$B:$B,F$4,'NSE - Other Index Options'!$I:$I,"MDAW*")+SUMIFS('BSE - SENSEX Index Options'!$M:$M,'BSE - SENSEX Index Options'!$C:$C,$A128,'BSE - SENSEX Index Options'!$B:$B,F$4,'BSE - SENSEX Index Options'!$I:$I,"Weekly*")+SUMIFS('BSE - SENSEX Index Options'!$M:$M,'BSE - SENSEX Index Options'!$C:$C,$A128,'BSE - SENSEX Index Options'!$B:$B,F$4,'BSE - SENSEX Index Options'!$I:$I,"MDAW*")+SUMIFS('BSE - Other Index Options'!$M:$M,'BSE - Other Index Options'!$C:$C,$A128,'BSE - Other Index Options'!$B:$B,F$4,'BSE - Other Index Options'!$I:$I,"Weekly*")+SUMIFS('BSE - Other Index Options'!$M:$M,'BSE - Other Index Options'!$C:$C,$A128,'BSE - Other Index Options'!$B:$B,F$4,'BSE - Other Index Options'!$I:$I,"MDAW*"))</f>
        <v/>
      </c>
      <c r="G128" s="26">
        <f>IF(SUMIFS('NSE - NIFTY Index Options'!$M:$M,'NSE - NIFTY Index Options'!$C:$C,$A128,'NSE - NIFTY Index Options'!$B:$B,G$4,'NSE - NIFTY Index Options'!$I:$I,"Weekly*")+SUMIFS('NSE - NIFTY Index Options'!$M:$M,'NSE - NIFTY Index Options'!$C:$C,$A128,'NSE - NIFTY Index Options'!$B:$B,G$4,'NSE - NIFTY Index Options'!$I:$I,"MDAW*")+SUMIFS('NSE - Other Index Options'!$M:$M,'NSE - Other Index Options'!$C:$C,$A128,'NSE - Other Index Options'!$B:$B,G$4,'NSE - Other Index Options'!$I:$I,"Weekly*")+SUMIFS('NSE - Other Index Options'!$M:$M,'NSE - Other Index Options'!$C:$C,$A128,'NSE - Other Index Options'!$B:$B,G$4,'NSE - Other Index Options'!$I:$I,"MDAW*")+SUMIFS('BSE - SENSEX Index Options'!$M:$M,'BSE - SENSEX Index Options'!$C:$C,$A128,'BSE - SENSEX Index Options'!$B:$B,G$4,'BSE - SENSEX Index Options'!$I:$I,"Weekly*")+SUMIFS('BSE - SENSEX Index Options'!$M:$M,'BSE - SENSEX Index Options'!$C:$C,$A128,'BSE - SENSEX Index Options'!$B:$B,G$4,'BSE - SENSEX Index Options'!$I:$I,"MDAW*")+SUMIFS('BSE - Other Index Options'!$M:$M,'BSE - Other Index Options'!$C:$C,$A128,'BSE - Other Index Options'!$B:$B,G$4,'BSE - Other Index Options'!$I:$I,"Weekly*")+SUMIFS('BSE - Other Index Options'!$M:$M,'BSE - Other Index Options'!$C:$C,$A128,'BSE - Other Index Options'!$B:$B,G$4,'BSE - Other Index Options'!$I:$I,"MDAW*")=0,"",SUMIFS('NSE - NIFTY Index Options'!$M:$M,'NSE - NIFTY Index Options'!$C:$C,$A128,'NSE - NIFTY Index Options'!$B:$B,G$4,'NSE - NIFTY Index Options'!$I:$I,"Weekly*")+SUMIFS('NSE - NIFTY Index Options'!$M:$M,'NSE - NIFTY Index Options'!$C:$C,$A128,'NSE - NIFTY Index Options'!$B:$B,G$4,'NSE - NIFTY Index Options'!$I:$I,"MDAW*")+SUMIFS('NSE - Other Index Options'!$M:$M,'NSE - Other Index Options'!$C:$C,$A128,'NSE - Other Index Options'!$B:$B,G$4,'NSE - Other Index Options'!$I:$I,"Weekly*")+SUMIFS('NSE - Other Index Options'!$M:$M,'NSE - Other Index Options'!$C:$C,$A128,'NSE - Other Index Options'!$B:$B,G$4,'NSE - Other Index Options'!$I:$I,"MDAW*")+SUMIFS('BSE - SENSEX Index Options'!$M:$M,'BSE - SENSEX Index Options'!$C:$C,$A128,'BSE - SENSEX Index Options'!$B:$B,G$4,'BSE - SENSEX Index Options'!$I:$I,"Weekly*")+SUMIFS('BSE - SENSEX Index Options'!$M:$M,'BSE - SENSEX Index Options'!$C:$C,$A128,'BSE - SENSEX Index Options'!$B:$B,G$4,'BSE - SENSEX Index Options'!$I:$I,"MDAW*")+SUMIFS('BSE - Other Index Options'!$M:$M,'BSE - Other Index Options'!$C:$C,$A128,'BSE - Other Index Options'!$B:$B,G$4,'BSE - Other Index Options'!$I:$I,"Weekly*")+SUMIFS('BSE - Other Index Options'!$M:$M,'BSE - Other Index Options'!$C:$C,$A128,'BSE - Other Index Options'!$B:$B,G$4,'BSE - Other Index Options'!$I:$I,"MDAW*"))</f>
        <v/>
      </c>
      <c r="H128" s="26">
        <f>IF(SUM(B128:G128)=0,"",SUM(B128:G128))</f>
        <v/>
      </c>
    </row>
    <row r="129" hidden="1" outlineLevel="1">
      <c r="A129" t="inlineStr">
        <is>
          <t>Week2-Oct-2027</t>
        </is>
      </c>
      <c r="B129" s="26">
        <f>IF(SUMIFS('NSE - NIFTY Index Options'!$M:$M,'NSE - NIFTY Index Options'!$C:$C,$A129,'NSE - NIFTY Index Options'!$B:$B,B$4,'NSE - NIFTY Index Options'!$I:$I,"Weekly*")+SUMIFS('NSE - NIFTY Index Options'!$M:$M,'NSE - NIFTY Index Options'!$C:$C,$A129,'NSE - NIFTY Index Options'!$B:$B,B$4,'NSE - NIFTY Index Options'!$I:$I,"MDAW*")+SUMIFS('NSE - Other Index Options'!$M:$M,'NSE - Other Index Options'!$C:$C,$A129,'NSE - Other Index Options'!$B:$B,B$4,'NSE - Other Index Options'!$I:$I,"Weekly*")+SUMIFS('NSE - Other Index Options'!$M:$M,'NSE - Other Index Options'!$C:$C,$A129,'NSE - Other Index Options'!$B:$B,B$4,'NSE - Other Index Options'!$I:$I,"MDAW*")+SUMIFS('BSE - SENSEX Index Options'!$M:$M,'BSE - SENSEX Index Options'!$C:$C,$A129,'BSE - SENSEX Index Options'!$B:$B,B$4,'BSE - SENSEX Index Options'!$I:$I,"Weekly*")+SUMIFS('BSE - SENSEX Index Options'!$M:$M,'BSE - SENSEX Index Options'!$C:$C,$A129,'BSE - SENSEX Index Options'!$B:$B,B$4,'BSE - SENSEX Index Options'!$I:$I,"MDAW*")+SUMIFS('BSE - Other Index Options'!$M:$M,'BSE - Other Index Options'!$C:$C,$A129,'BSE - Other Index Options'!$B:$B,B$4,'BSE - Other Index Options'!$I:$I,"Weekly*")+SUMIFS('BSE - Other Index Options'!$M:$M,'BSE - Other Index Options'!$C:$C,$A129,'BSE - Other Index Options'!$B:$B,B$4,'BSE - Other Index Options'!$I:$I,"MDAW*")=0,"",SUMIFS('NSE - NIFTY Index Options'!$M:$M,'NSE - NIFTY Index Options'!$C:$C,$A129,'NSE - NIFTY Index Options'!$B:$B,B$4,'NSE - NIFTY Index Options'!$I:$I,"Weekly*")+SUMIFS('NSE - NIFTY Index Options'!$M:$M,'NSE - NIFTY Index Options'!$C:$C,$A129,'NSE - NIFTY Index Options'!$B:$B,B$4,'NSE - NIFTY Index Options'!$I:$I,"MDAW*")+SUMIFS('NSE - Other Index Options'!$M:$M,'NSE - Other Index Options'!$C:$C,$A129,'NSE - Other Index Options'!$B:$B,B$4,'NSE - Other Index Options'!$I:$I,"Weekly*")+SUMIFS('NSE - Other Index Options'!$M:$M,'NSE - Other Index Options'!$C:$C,$A129,'NSE - Other Index Options'!$B:$B,B$4,'NSE - Other Index Options'!$I:$I,"MDAW*")+SUMIFS('BSE - SENSEX Index Options'!$M:$M,'BSE - SENSEX Index Options'!$C:$C,$A129,'BSE - SENSEX Index Options'!$B:$B,B$4,'BSE - SENSEX Index Options'!$I:$I,"Weekly*")+SUMIFS('BSE - SENSEX Index Options'!$M:$M,'BSE - SENSEX Index Options'!$C:$C,$A129,'BSE - SENSEX Index Options'!$B:$B,B$4,'BSE - SENSEX Index Options'!$I:$I,"MDAW*")+SUMIFS('BSE - Other Index Options'!$M:$M,'BSE - Other Index Options'!$C:$C,$A129,'BSE - Other Index Options'!$B:$B,B$4,'BSE - Other Index Options'!$I:$I,"Weekly*")+SUMIFS('BSE - Other Index Options'!$M:$M,'BSE - Other Index Options'!$C:$C,$A129,'BSE - Other Index Options'!$B:$B,B$4,'BSE - Other Index Options'!$I:$I,"MDAW*"))</f>
        <v/>
      </c>
      <c r="C129" s="26">
        <f>IF(SUMIFS('NSE - NIFTY Index Options'!$M:$M,'NSE - NIFTY Index Options'!$C:$C,$A129,'NSE - NIFTY Index Options'!$B:$B,C$4,'NSE - NIFTY Index Options'!$I:$I,"Weekly*")+SUMIFS('NSE - NIFTY Index Options'!$M:$M,'NSE - NIFTY Index Options'!$C:$C,$A129,'NSE - NIFTY Index Options'!$B:$B,C$4,'NSE - NIFTY Index Options'!$I:$I,"MDAW*")+SUMIFS('NSE - Other Index Options'!$M:$M,'NSE - Other Index Options'!$C:$C,$A129,'NSE - Other Index Options'!$B:$B,C$4,'NSE - Other Index Options'!$I:$I,"Weekly*")+SUMIFS('NSE - Other Index Options'!$M:$M,'NSE - Other Index Options'!$C:$C,$A129,'NSE - Other Index Options'!$B:$B,C$4,'NSE - Other Index Options'!$I:$I,"MDAW*")+SUMIFS('BSE - SENSEX Index Options'!$M:$M,'BSE - SENSEX Index Options'!$C:$C,$A129,'BSE - SENSEX Index Options'!$B:$B,C$4,'BSE - SENSEX Index Options'!$I:$I,"Weekly*")+SUMIFS('BSE - SENSEX Index Options'!$M:$M,'BSE - SENSEX Index Options'!$C:$C,$A129,'BSE - SENSEX Index Options'!$B:$B,C$4,'BSE - SENSEX Index Options'!$I:$I,"MDAW*")+SUMIFS('BSE - Other Index Options'!$M:$M,'BSE - Other Index Options'!$C:$C,$A129,'BSE - Other Index Options'!$B:$B,C$4,'BSE - Other Index Options'!$I:$I,"Weekly*")+SUMIFS('BSE - Other Index Options'!$M:$M,'BSE - Other Index Options'!$C:$C,$A129,'BSE - Other Index Options'!$B:$B,C$4,'BSE - Other Index Options'!$I:$I,"MDAW*")=0,"",SUMIFS('NSE - NIFTY Index Options'!$M:$M,'NSE - NIFTY Index Options'!$C:$C,$A129,'NSE - NIFTY Index Options'!$B:$B,C$4,'NSE - NIFTY Index Options'!$I:$I,"Weekly*")+SUMIFS('NSE - NIFTY Index Options'!$M:$M,'NSE - NIFTY Index Options'!$C:$C,$A129,'NSE - NIFTY Index Options'!$B:$B,C$4,'NSE - NIFTY Index Options'!$I:$I,"MDAW*")+SUMIFS('NSE - Other Index Options'!$M:$M,'NSE - Other Index Options'!$C:$C,$A129,'NSE - Other Index Options'!$B:$B,C$4,'NSE - Other Index Options'!$I:$I,"Weekly*")+SUMIFS('NSE - Other Index Options'!$M:$M,'NSE - Other Index Options'!$C:$C,$A129,'NSE - Other Index Options'!$B:$B,C$4,'NSE - Other Index Options'!$I:$I,"MDAW*")+SUMIFS('BSE - SENSEX Index Options'!$M:$M,'BSE - SENSEX Index Options'!$C:$C,$A129,'BSE - SENSEX Index Options'!$B:$B,C$4,'BSE - SENSEX Index Options'!$I:$I,"Weekly*")+SUMIFS('BSE - SENSEX Index Options'!$M:$M,'BSE - SENSEX Index Options'!$C:$C,$A129,'BSE - SENSEX Index Options'!$B:$B,C$4,'BSE - SENSEX Index Options'!$I:$I,"MDAW*")+SUMIFS('BSE - Other Index Options'!$M:$M,'BSE - Other Index Options'!$C:$C,$A129,'BSE - Other Index Options'!$B:$B,C$4,'BSE - Other Index Options'!$I:$I,"Weekly*")+SUMIFS('BSE - Other Index Options'!$M:$M,'BSE - Other Index Options'!$C:$C,$A129,'BSE - Other Index Options'!$B:$B,C$4,'BSE - Other Index Options'!$I:$I,"MDAW*"))</f>
        <v/>
      </c>
      <c r="D129" s="26">
        <f>IF(SUMIFS('NSE - NIFTY Index Options'!$M:$M,'NSE - NIFTY Index Options'!$C:$C,$A129,'NSE - NIFTY Index Options'!$B:$B,D$4,'NSE - NIFTY Index Options'!$I:$I,"Weekly*")+SUMIFS('NSE - NIFTY Index Options'!$M:$M,'NSE - NIFTY Index Options'!$C:$C,$A129,'NSE - NIFTY Index Options'!$B:$B,D$4,'NSE - NIFTY Index Options'!$I:$I,"MDAW*")+SUMIFS('NSE - Other Index Options'!$M:$M,'NSE - Other Index Options'!$C:$C,$A129,'NSE - Other Index Options'!$B:$B,D$4,'NSE - Other Index Options'!$I:$I,"Weekly*")+SUMIFS('NSE - Other Index Options'!$M:$M,'NSE - Other Index Options'!$C:$C,$A129,'NSE - Other Index Options'!$B:$B,D$4,'NSE - Other Index Options'!$I:$I,"MDAW*")+SUMIFS('BSE - SENSEX Index Options'!$M:$M,'BSE - SENSEX Index Options'!$C:$C,$A129,'BSE - SENSEX Index Options'!$B:$B,D$4,'BSE - SENSEX Index Options'!$I:$I,"Weekly*")+SUMIFS('BSE - SENSEX Index Options'!$M:$M,'BSE - SENSEX Index Options'!$C:$C,$A129,'BSE - SENSEX Index Options'!$B:$B,D$4,'BSE - SENSEX Index Options'!$I:$I,"MDAW*")+SUMIFS('BSE - Other Index Options'!$M:$M,'BSE - Other Index Options'!$C:$C,$A129,'BSE - Other Index Options'!$B:$B,D$4,'BSE - Other Index Options'!$I:$I,"Weekly*")+SUMIFS('BSE - Other Index Options'!$M:$M,'BSE - Other Index Options'!$C:$C,$A129,'BSE - Other Index Options'!$B:$B,D$4,'BSE - Other Index Options'!$I:$I,"MDAW*")=0,"",SUMIFS('NSE - NIFTY Index Options'!$M:$M,'NSE - NIFTY Index Options'!$C:$C,$A129,'NSE - NIFTY Index Options'!$B:$B,D$4,'NSE - NIFTY Index Options'!$I:$I,"Weekly*")+SUMIFS('NSE - NIFTY Index Options'!$M:$M,'NSE - NIFTY Index Options'!$C:$C,$A129,'NSE - NIFTY Index Options'!$B:$B,D$4,'NSE - NIFTY Index Options'!$I:$I,"MDAW*")+SUMIFS('NSE - Other Index Options'!$M:$M,'NSE - Other Index Options'!$C:$C,$A129,'NSE - Other Index Options'!$B:$B,D$4,'NSE - Other Index Options'!$I:$I,"Weekly*")+SUMIFS('NSE - Other Index Options'!$M:$M,'NSE - Other Index Options'!$C:$C,$A129,'NSE - Other Index Options'!$B:$B,D$4,'NSE - Other Index Options'!$I:$I,"MDAW*")+SUMIFS('BSE - SENSEX Index Options'!$M:$M,'BSE - SENSEX Index Options'!$C:$C,$A129,'BSE - SENSEX Index Options'!$B:$B,D$4,'BSE - SENSEX Index Options'!$I:$I,"Weekly*")+SUMIFS('BSE - SENSEX Index Options'!$M:$M,'BSE - SENSEX Index Options'!$C:$C,$A129,'BSE - SENSEX Index Options'!$B:$B,D$4,'BSE - SENSEX Index Options'!$I:$I,"MDAW*")+SUMIFS('BSE - Other Index Options'!$M:$M,'BSE - Other Index Options'!$C:$C,$A129,'BSE - Other Index Options'!$B:$B,D$4,'BSE - Other Index Options'!$I:$I,"Weekly*")+SUMIFS('BSE - Other Index Options'!$M:$M,'BSE - Other Index Options'!$C:$C,$A129,'BSE - Other Index Options'!$B:$B,D$4,'BSE - Other Index Options'!$I:$I,"MDAW*"))</f>
        <v/>
      </c>
      <c r="E129" s="26">
        <f>IF(SUMIFS('NSE - NIFTY Index Options'!$M:$M,'NSE - NIFTY Index Options'!$C:$C,$A129,'NSE - NIFTY Index Options'!$B:$B,E$4,'NSE - NIFTY Index Options'!$I:$I,"Weekly*")+SUMIFS('NSE - NIFTY Index Options'!$M:$M,'NSE - NIFTY Index Options'!$C:$C,$A129,'NSE - NIFTY Index Options'!$B:$B,E$4,'NSE - NIFTY Index Options'!$I:$I,"MDAW*")+SUMIFS('NSE - Other Index Options'!$M:$M,'NSE - Other Index Options'!$C:$C,$A129,'NSE - Other Index Options'!$B:$B,E$4,'NSE - Other Index Options'!$I:$I,"Weekly*")+SUMIFS('NSE - Other Index Options'!$M:$M,'NSE - Other Index Options'!$C:$C,$A129,'NSE - Other Index Options'!$B:$B,E$4,'NSE - Other Index Options'!$I:$I,"MDAW*")+SUMIFS('BSE - SENSEX Index Options'!$M:$M,'BSE - SENSEX Index Options'!$C:$C,$A129,'BSE - SENSEX Index Options'!$B:$B,E$4,'BSE - SENSEX Index Options'!$I:$I,"Weekly*")+SUMIFS('BSE - SENSEX Index Options'!$M:$M,'BSE - SENSEX Index Options'!$C:$C,$A129,'BSE - SENSEX Index Options'!$B:$B,E$4,'BSE - SENSEX Index Options'!$I:$I,"MDAW*")+SUMIFS('BSE - Other Index Options'!$M:$M,'BSE - Other Index Options'!$C:$C,$A129,'BSE - Other Index Options'!$B:$B,E$4,'BSE - Other Index Options'!$I:$I,"Weekly*")+SUMIFS('BSE - Other Index Options'!$M:$M,'BSE - Other Index Options'!$C:$C,$A129,'BSE - Other Index Options'!$B:$B,E$4,'BSE - Other Index Options'!$I:$I,"MDAW*")=0,"",SUMIFS('NSE - NIFTY Index Options'!$M:$M,'NSE - NIFTY Index Options'!$C:$C,$A129,'NSE - NIFTY Index Options'!$B:$B,E$4,'NSE - NIFTY Index Options'!$I:$I,"Weekly*")+SUMIFS('NSE - NIFTY Index Options'!$M:$M,'NSE - NIFTY Index Options'!$C:$C,$A129,'NSE - NIFTY Index Options'!$B:$B,E$4,'NSE - NIFTY Index Options'!$I:$I,"MDAW*")+SUMIFS('NSE - Other Index Options'!$M:$M,'NSE - Other Index Options'!$C:$C,$A129,'NSE - Other Index Options'!$B:$B,E$4,'NSE - Other Index Options'!$I:$I,"Weekly*")+SUMIFS('NSE - Other Index Options'!$M:$M,'NSE - Other Index Options'!$C:$C,$A129,'NSE - Other Index Options'!$B:$B,E$4,'NSE - Other Index Options'!$I:$I,"MDAW*")+SUMIFS('BSE - SENSEX Index Options'!$M:$M,'BSE - SENSEX Index Options'!$C:$C,$A129,'BSE - SENSEX Index Options'!$B:$B,E$4,'BSE - SENSEX Index Options'!$I:$I,"Weekly*")+SUMIFS('BSE - SENSEX Index Options'!$M:$M,'BSE - SENSEX Index Options'!$C:$C,$A129,'BSE - SENSEX Index Options'!$B:$B,E$4,'BSE - SENSEX Index Options'!$I:$I,"MDAW*")+SUMIFS('BSE - Other Index Options'!$M:$M,'BSE - Other Index Options'!$C:$C,$A129,'BSE - Other Index Options'!$B:$B,E$4,'BSE - Other Index Options'!$I:$I,"Weekly*")+SUMIFS('BSE - Other Index Options'!$M:$M,'BSE - Other Index Options'!$C:$C,$A129,'BSE - Other Index Options'!$B:$B,E$4,'BSE - Other Index Options'!$I:$I,"MDAW*"))</f>
        <v/>
      </c>
      <c r="F129" s="26">
        <f>IF(SUMIFS('NSE - NIFTY Index Options'!$M:$M,'NSE - NIFTY Index Options'!$C:$C,$A129,'NSE - NIFTY Index Options'!$B:$B,F$4,'NSE - NIFTY Index Options'!$I:$I,"Weekly*")+SUMIFS('NSE - NIFTY Index Options'!$M:$M,'NSE - NIFTY Index Options'!$C:$C,$A129,'NSE - NIFTY Index Options'!$B:$B,F$4,'NSE - NIFTY Index Options'!$I:$I,"MDAW*")+SUMIFS('NSE - Other Index Options'!$M:$M,'NSE - Other Index Options'!$C:$C,$A129,'NSE - Other Index Options'!$B:$B,F$4,'NSE - Other Index Options'!$I:$I,"Weekly*")+SUMIFS('NSE - Other Index Options'!$M:$M,'NSE - Other Index Options'!$C:$C,$A129,'NSE - Other Index Options'!$B:$B,F$4,'NSE - Other Index Options'!$I:$I,"MDAW*")+SUMIFS('BSE - SENSEX Index Options'!$M:$M,'BSE - SENSEX Index Options'!$C:$C,$A129,'BSE - SENSEX Index Options'!$B:$B,F$4,'BSE - SENSEX Index Options'!$I:$I,"Weekly*")+SUMIFS('BSE - SENSEX Index Options'!$M:$M,'BSE - SENSEX Index Options'!$C:$C,$A129,'BSE - SENSEX Index Options'!$B:$B,F$4,'BSE - SENSEX Index Options'!$I:$I,"MDAW*")+SUMIFS('BSE - Other Index Options'!$M:$M,'BSE - Other Index Options'!$C:$C,$A129,'BSE - Other Index Options'!$B:$B,F$4,'BSE - Other Index Options'!$I:$I,"Weekly*")+SUMIFS('BSE - Other Index Options'!$M:$M,'BSE - Other Index Options'!$C:$C,$A129,'BSE - Other Index Options'!$B:$B,F$4,'BSE - Other Index Options'!$I:$I,"MDAW*")=0,"",SUMIFS('NSE - NIFTY Index Options'!$M:$M,'NSE - NIFTY Index Options'!$C:$C,$A129,'NSE - NIFTY Index Options'!$B:$B,F$4,'NSE - NIFTY Index Options'!$I:$I,"Weekly*")+SUMIFS('NSE - NIFTY Index Options'!$M:$M,'NSE - NIFTY Index Options'!$C:$C,$A129,'NSE - NIFTY Index Options'!$B:$B,F$4,'NSE - NIFTY Index Options'!$I:$I,"MDAW*")+SUMIFS('NSE - Other Index Options'!$M:$M,'NSE - Other Index Options'!$C:$C,$A129,'NSE - Other Index Options'!$B:$B,F$4,'NSE - Other Index Options'!$I:$I,"Weekly*")+SUMIFS('NSE - Other Index Options'!$M:$M,'NSE - Other Index Options'!$C:$C,$A129,'NSE - Other Index Options'!$B:$B,F$4,'NSE - Other Index Options'!$I:$I,"MDAW*")+SUMIFS('BSE - SENSEX Index Options'!$M:$M,'BSE - SENSEX Index Options'!$C:$C,$A129,'BSE - SENSEX Index Options'!$B:$B,F$4,'BSE - SENSEX Index Options'!$I:$I,"Weekly*")+SUMIFS('BSE - SENSEX Index Options'!$M:$M,'BSE - SENSEX Index Options'!$C:$C,$A129,'BSE - SENSEX Index Options'!$B:$B,F$4,'BSE - SENSEX Index Options'!$I:$I,"MDAW*")+SUMIFS('BSE - Other Index Options'!$M:$M,'BSE - Other Index Options'!$C:$C,$A129,'BSE - Other Index Options'!$B:$B,F$4,'BSE - Other Index Options'!$I:$I,"Weekly*")+SUMIFS('BSE - Other Index Options'!$M:$M,'BSE - Other Index Options'!$C:$C,$A129,'BSE - Other Index Options'!$B:$B,F$4,'BSE - Other Index Options'!$I:$I,"MDAW*"))</f>
        <v/>
      </c>
      <c r="G129" s="26">
        <f>IF(SUMIFS('NSE - NIFTY Index Options'!$M:$M,'NSE - NIFTY Index Options'!$C:$C,$A129,'NSE - NIFTY Index Options'!$B:$B,G$4,'NSE - NIFTY Index Options'!$I:$I,"Weekly*")+SUMIFS('NSE - NIFTY Index Options'!$M:$M,'NSE - NIFTY Index Options'!$C:$C,$A129,'NSE - NIFTY Index Options'!$B:$B,G$4,'NSE - NIFTY Index Options'!$I:$I,"MDAW*")+SUMIFS('NSE - Other Index Options'!$M:$M,'NSE - Other Index Options'!$C:$C,$A129,'NSE - Other Index Options'!$B:$B,G$4,'NSE - Other Index Options'!$I:$I,"Weekly*")+SUMIFS('NSE - Other Index Options'!$M:$M,'NSE - Other Index Options'!$C:$C,$A129,'NSE - Other Index Options'!$B:$B,G$4,'NSE - Other Index Options'!$I:$I,"MDAW*")+SUMIFS('BSE - SENSEX Index Options'!$M:$M,'BSE - SENSEX Index Options'!$C:$C,$A129,'BSE - SENSEX Index Options'!$B:$B,G$4,'BSE - SENSEX Index Options'!$I:$I,"Weekly*")+SUMIFS('BSE - SENSEX Index Options'!$M:$M,'BSE - SENSEX Index Options'!$C:$C,$A129,'BSE - SENSEX Index Options'!$B:$B,G$4,'BSE - SENSEX Index Options'!$I:$I,"MDAW*")+SUMIFS('BSE - Other Index Options'!$M:$M,'BSE - Other Index Options'!$C:$C,$A129,'BSE - Other Index Options'!$B:$B,G$4,'BSE - Other Index Options'!$I:$I,"Weekly*")+SUMIFS('BSE - Other Index Options'!$M:$M,'BSE - Other Index Options'!$C:$C,$A129,'BSE - Other Index Options'!$B:$B,G$4,'BSE - Other Index Options'!$I:$I,"MDAW*")=0,"",SUMIFS('NSE - NIFTY Index Options'!$M:$M,'NSE - NIFTY Index Options'!$C:$C,$A129,'NSE - NIFTY Index Options'!$B:$B,G$4,'NSE - NIFTY Index Options'!$I:$I,"Weekly*")+SUMIFS('NSE - NIFTY Index Options'!$M:$M,'NSE - NIFTY Index Options'!$C:$C,$A129,'NSE - NIFTY Index Options'!$B:$B,G$4,'NSE - NIFTY Index Options'!$I:$I,"MDAW*")+SUMIFS('NSE - Other Index Options'!$M:$M,'NSE - Other Index Options'!$C:$C,$A129,'NSE - Other Index Options'!$B:$B,G$4,'NSE - Other Index Options'!$I:$I,"Weekly*")+SUMIFS('NSE - Other Index Options'!$M:$M,'NSE - Other Index Options'!$C:$C,$A129,'NSE - Other Index Options'!$B:$B,G$4,'NSE - Other Index Options'!$I:$I,"MDAW*")+SUMIFS('BSE - SENSEX Index Options'!$M:$M,'BSE - SENSEX Index Options'!$C:$C,$A129,'BSE - SENSEX Index Options'!$B:$B,G$4,'BSE - SENSEX Index Options'!$I:$I,"Weekly*")+SUMIFS('BSE - SENSEX Index Options'!$M:$M,'BSE - SENSEX Index Options'!$C:$C,$A129,'BSE - SENSEX Index Options'!$B:$B,G$4,'BSE - SENSEX Index Options'!$I:$I,"MDAW*")+SUMIFS('BSE - Other Index Options'!$M:$M,'BSE - Other Index Options'!$C:$C,$A129,'BSE - Other Index Options'!$B:$B,G$4,'BSE - Other Index Options'!$I:$I,"Weekly*")+SUMIFS('BSE - Other Index Options'!$M:$M,'BSE - Other Index Options'!$C:$C,$A129,'BSE - Other Index Options'!$B:$B,G$4,'BSE - Other Index Options'!$I:$I,"MDAW*"))</f>
        <v/>
      </c>
      <c r="H129" s="26">
        <f>IF(SUM(B129:G129)=0,"",SUM(B129:G129))</f>
        <v/>
      </c>
    </row>
    <row r="130" hidden="1" outlineLevel="1">
      <c r="A130" t="inlineStr">
        <is>
          <t>Week3-Oct-2027</t>
        </is>
      </c>
      <c r="B130" s="26">
        <f>IF(SUMIFS('NSE - NIFTY Index Options'!$M:$M,'NSE - NIFTY Index Options'!$C:$C,$A130,'NSE - NIFTY Index Options'!$B:$B,B$4,'NSE - NIFTY Index Options'!$I:$I,"Weekly*")+SUMIFS('NSE - NIFTY Index Options'!$M:$M,'NSE - NIFTY Index Options'!$C:$C,$A130,'NSE - NIFTY Index Options'!$B:$B,B$4,'NSE - NIFTY Index Options'!$I:$I,"MDAW*")+SUMIFS('NSE - Other Index Options'!$M:$M,'NSE - Other Index Options'!$C:$C,$A130,'NSE - Other Index Options'!$B:$B,B$4,'NSE - Other Index Options'!$I:$I,"Weekly*")+SUMIFS('NSE - Other Index Options'!$M:$M,'NSE - Other Index Options'!$C:$C,$A130,'NSE - Other Index Options'!$B:$B,B$4,'NSE - Other Index Options'!$I:$I,"MDAW*")+SUMIFS('BSE - SENSEX Index Options'!$M:$M,'BSE - SENSEX Index Options'!$C:$C,$A130,'BSE - SENSEX Index Options'!$B:$B,B$4,'BSE - SENSEX Index Options'!$I:$I,"Weekly*")+SUMIFS('BSE - SENSEX Index Options'!$M:$M,'BSE - SENSEX Index Options'!$C:$C,$A130,'BSE - SENSEX Index Options'!$B:$B,B$4,'BSE - SENSEX Index Options'!$I:$I,"MDAW*")+SUMIFS('BSE - Other Index Options'!$M:$M,'BSE - Other Index Options'!$C:$C,$A130,'BSE - Other Index Options'!$B:$B,B$4,'BSE - Other Index Options'!$I:$I,"Weekly*")+SUMIFS('BSE - Other Index Options'!$M:$M,'BSE - Other Index Options'!$C:$C,$A130,'BSE - Other Index Options'!$B:$B,B$4,'BSE - Other Index Options'!$I:$I,"MDAW*")=0,"",SUMIFS('NSE - NIFTY Index Options'!$M:$M,'NSE - NIFTY Index Options'!$C:$C,$A130,'NSE - NIFTY Index Options'!$B:$B,B$4,'NSE - NIFTY Index Options'!$I:$I,"Weekly*")+SUMIFS('NSE - NIFTY Index Options'!$M:$M,'NSE - NIFTY Index Options'!$C:$C,$A130,'NSE - NIFTY Index Options'!$B:$B,B$4,'NSE - NIFTY Index Options'!$I:$I,"MDAW*")+SUMIFS('NSE - Other Index Options'!$M:$M,'NSE - Other Index Options'!$C:$C,$A130,'NSE - Other Index Options'!$B:$B,B$4,'NSE - Other Index Options'!$I:$I,"Weekly*")+SUMIFS('NSE - Other Index Options'!$M:$M,'NSE - Other Index Options'!$C:$C,$A130,'NSE - Other Index Options'!$B:$B,B$4,'NSE - Other Index Options'!$I:$I,"MDAW*")+SUMIFS('BSE - SENSEX Index Options'!$M:$M,'BSE - SENSEX Index Options'!$C:$C,$A130,'BSE - SENSEX Index Options'!$B:$B,B$4,'BSE - SENSEX Index Options'!$I:$I,"Weekly*")+SUMIFS('BSE - SENSEX Index Options'!$M:$M,'BSE - SENSEX Index Options'!$C:$C,$A130,'BSE - SENSEX Index Options'!$B:$B,B$4,'BSE - SENSEX Index Options'!$I:$I,"MDAW*")+SUMIFS('BSE - Other Index Options'!$M:$M,'BSE - Other Index Options'!$C:$C,$A130,'BSE - Other Index Options'!$B:$B,B$4,'BSE - Other Index Options'!$I:$I,"Weekly*")+SUMIFS('BSE - Other Index Options'!$M:$M,'BSE - Other Index Options'!$C:$C,$A130,'BSE - Other Index Options'!$B:$B,B$4,'BSE - Other Index Options'!$I:$I,"MDAW*"))</f>
        <v/>
      </c>
      <c r="C130" s="26">
        <f>IF(SUMIFS('NSE - NIFTY Index Options'!$M:$M,'NSE - NIFTY Index Options'!$C:$C,$A130,'NSE - NIFTY Index Options'!$B:$B,C$4,'NSE - NIFTY Index Options'!$I:$I,"Weekly*")+SUMIFS('NSE - NIFTY Index Options'!$M:$M,'NSE - NIFTY Index Options'!$C:$C,$A130,'NSE - NIFTY Index Options'!$B:$B,C$4,'NSE - NIFTY Index Options'!$I:$I,"MDAW*")+SUMIFS('NSE - Other Index Options'!$M:$M,'NSE - Other Index Options'!$C:$C,$A130,'NSE - Other Index Options'!$B:$B,C$4,'NSE - Other Index Options'!$I:$I,"Weekly*")+SUMIFS('NSE - Other Index Options'!$M:$M,'NSE - Other Index Options'!$C:$C,$A130,'NSE - Other Index Options'!$B:$B,C$4,'NSE - Other Index Options'!$I:$I,"MDAW*")+SUMIFS('BSE - SENSEX Index Options'!$M:$M,'BSE - SENSEX Index Options'!$C:$C,$A130,'BSE - SENSEX Index Options'!$B:$B,C$4,'BSE - SENSEX Index Options'!$I:$I,"Weekly*")+SUMIFS('BSE - SENSEX Index Options'!$M:$M,'BSE - SENSEX Index Options'!$C:$C,$A130,'BSE - SENSEX Index Options'!$B:$B,C$4,'BSE - SENSEX Index Options'!$I:$I,"MDAW*")+SUMIFS('BSE - Other Index Options'!$M:$M,'BSE - Other Index Options'!$C:$C,$A130,'BSE - Other Index Options'!$B:$B,C$4,'BSE - Other Index Options'!$I:$I,"Weekly*")+SUMIFS('BSE - Other Index Options'!$M:$M,'BSE - Other Index Options'!$C:$C,$A130,'BSE - Other Index Options'!$B:$B,C$4,'BSE - Other Index Options'!$I:$I,"MDAW*")=0,"",SUMIFS('NSE - NIFTY Index Options'!$M:$M,'NSE - NIFTY Index Options'!$C:$C,$A130,'NSE - NIFTY Index Options'!$B:$B,C$4,'NSE - NIFTY Index Options'!$I:$I,"Weekly*")+SUMIFS('NSE - NIFTY Index Options'!$M:$M,'NSE - NIFTY Index Options'!$C:$C,$A130,'NSE - NIFTY Index Options'!$B:$B,C$4,'NSE - NIFTY Index Options'!$I:$I,"MDAW*")+SUMIFS('NSE - Other Index Options'!$M:$M,'NSE - Other Index Options'!$C:$C,$A130,'NSE - Other Index Options'!$B:$B,C$4,'NSE - Other Index Options'!$I:$I,"Weekly*")+SUMIFS('NSE - Other Index Options'!$M:$M,'NSE - Other Index Options'!$C:$C,$A130,'NSE - Other Index Options'!$B:$B,C$4,'NSE - Other Index Options'!$I:$I,"MDAW*")+SUMIFS('BSE - SENSEX Index Options'!$M:$M,'BSE - SENSEX Index Options'!$C:$C,$A130,'BSE - SENSEX Index Options'!$B:$B,C$4,'BSE - SENSEX Index Options'!$I:$I,"Weekly*")+SUMIFS('BSE - SENSEX Index Options'!$M:$M,'BSE - SENSEX Index Options'!$C:$C,$A130,'BSE - SENSEX Index Options'!$B:$B,C$4,'BSE - SENSEX Index Options'!$I:$I,"MDAW*")+SUMIFS('BSE - Other Index Options'!$M:$M,'BSE - Other Index Options'!$C:$C,$A130,'BSE - Other Index Options'!$B:$B,C$4,'BSE - Other Index Options'!$I:$I,"Weekly*")+SUMIFS('BSE - Other Index Options'!$M:$M,'BSE - Other Index Options'!$C:$C,$A130,'BSE - Other Index Options'!$B:$B,C$4,'BSE - Other Index Options'!$I:$I,"MDAW*"))</f>
        <v/>
      </c>
      <c r="D130" s="26">
        <f>IF(SUMIFS('NSE - NIFTY Index Options'!$M:$M,'NSE - NIFTY Index Options'!$C:$C,$A130,'NSE - NIFTY Index Options'!$B:$B,D$4,'NSE - NIFTY Index Options'!$I:$I,"Weekly*")+SUMIFS('NSE - NIFTY Index Options'!$M:$M,'NSE - NIFTY Index Options'!$C:$C,$A130,'NSE - NIFTY Index Options'!$B:$B,D$4,'NSE - NIFTY Index Options'!$I:$I,"MDAW*")+SUMIFS('NSE - Other Index Options'!$M:$M,'NSE - Other Index Options'!$C:$C,$A130,'NSE - Other Index Options'!$B:$B,D$4,'NSE - Other Index Options'!$I:$I,"Weekly*")+SUMIFS('NSE - Other Index Options'!$M:$M,'NSE - Other Index Options'!$C:$C,$A130,'NSE - Other Index Options'!$B:$B,D$4,'NSE - Other Index Options'!$I:$I,"MDAW*")+SUMIFS('BSE - SENSEX Index Options'!$M:$M,'BSE - SENSEX Index Options'!$C:$C,$A130,'BSE - SENSEX Index Options'!$B:$B,D$4,'BSE - SENSEX Index Options'!$I:$I,"Weekly*")+SUMIFS('BSE - SENSEX Index Options'!$M:$M,'BSE - SENSEX Index Options'!$C:$C,$A130,'BSE - SENSEX Index Options'!$B:$B,D$4,'BSE - SENSEX Index Options'!$I:$I,"MDAW*")+SUMIFS('BSE - Other Index Options'!$M:$M,'BSE - Other Index Options'!$C:$C,$A130,'BSE - Other Index Options'!$B:$B,D$4,'BSE - Other Index Options'!$I:$I,"Weekly*")+SUMIFS('BSE - Other Index Options'!$M:$M,'BSE - Other Index Options'!$C:$C,$A130,'BSE - Other Index Options'!$B:$B,D$4,'BSE - Other Index Options'!$I:$I,"MDAW*")=0,"",SUMIFS('NSE - NIFTY Index Options'!$M:$M,'NSE - NIFTY Index Options'!$C:$C,$A130,'NSE - NIFTY Index Options'!$B:$B,D$4,'NSE - NIFTY Index Options'!$I:$I,"Weekly*")+SUMIFS('NSE - NIFTY Index Options'!$M:$M,'NSE - NIFTY Index Options'!$C:$C,$A130,'NSE - NIFTY Index Options'!$B:$B,D$4,'NSE - NIFTY Index Options'!$I:$I,"MDAW*")+SUMIFS('NSE - Other Index Options'!$M:$M,'NSE - Other Index Options'!$C:$C,$A130,'NSE - Other Index Options'!$B:$B,D$4,'NSE - Other Index Options'!$I:$I,"Weekly*")+SUMIFS('NSE - Other Index Options'!$M:$M,'NSE - Other Index Options'!$C:$C,$A130,'NSE - Other Index Options'!$B:$B,D$4,'NSE - Other Index Options'!$I:$I,"MDAW*")+SUMIFS('BSE - SENSEX Index Options'!$M:$M,'BSE - SENSEX Index Options'!$C:$C,$A130,'BSE - SENSEX Index Options'!$B:$B,D$4,'BSE - SENSEX Index Options'!$I:$I,"Weekly*")+SUMIFS('BSE - SENSEX Index Options'!$M:$M,'BSE - SENSEX Index Options'!$C:$C,$A130,'BSE - SENSEX Index Options'!$B:$B,D$4,'BSE - SENSEX Index Options'!$I:$I,"MDAW*")+SUMIFS('BSE - Other Index Options'!$M:$M,'BSE - Other Index Options'!$C:$C,$A130,'BSE - Other Index Options'!$B:$B,D$4,'BSE - Other Index Options'!$I:$I,"Weekly*")+SUMIFS('BSE - Other Index Options'!$M:$M,'BSE - Other Index Options'!$C:$C,$A130,'BSE - Other Index Options'!$B:$B,D$4,'BSE - Other Index Options'!$I:$I,"MDAW*"))</f>
        <v/>
      </c>
      <c r="E130" s="26">
        <f>IF(SUMIFS('NSE - NIFTY Index Options'!$M:$M,'NSE - NIFTY Index Options'!$C:$C,$A130,'NSE - NIFTY Index Options'!$B:$B,E$4,'NSE - NIFTY Index Options'!$I:$I,"Weekly*")+SUMIFS('NSE - NIFTY Index Options'!$M:$M,'NSE - NIFTY Index Options'!$C:$C,$A130,'NSE - NIFTY Index Options'!$B:$B,E$4,'NSE - NIFTY Index Options'!$I:$I,"MDAW*")+SUMIFS('NSE - Other Index Options'!$M:$M,'NSE - Other Index Options'!$C:$C,$A130,'NSE - Other Index Options'!$B:$B,E$4,'NSE - Other Index Options'!$I:$I,"Weekly*")+SUMIFS('NSE - Other Index Options'!$M:$M,'NSE - Other Index Options'!$C:$C,$A130,'NSE - Other Index Options'!$B:$B,E$4,'NSE - Other Index Options'!$I:$I,"MDAW*")+SUMIFS('BSE - SENSEX Index Options'!$M:$M,'BSE - SENSEX Index Options'!$C:$C,$A130,'BSE - SENSEX Index Options'!$B:$B,E$4,'BSE - SENSEX Index Options'!$I:$I,"Weekly*")+SUMIFS('BSE - SENSEX Index Options'!$M:$M,'BSE - SENSEX Index Options'!$C:$C,$A130,'BSE - SENSEX Index Options'!$B:$B,E$4,'BSE - SENSEX Index Options'!$I:$I,"MDAW*")+SUMIFS('BSE - Other Index Options'!$M:$M,'BSE - Other Index Options'!$C:$C,$A130,'BSE - Other Index Options'!$B:$B,E$4,'BSE - Other Index Options'!$I:$I,"Weekly*")+SUMIFS('BSE - Other Index Options'!$M:$M,'BSE - Other Index Options'!$C:$C,$A130,'BSE - Other Index Options'!$B:$B,E$4,'BSE - Other Index Options'!$I:$I,"MDAW*")=0,"",SUMIFS('NSE - NIFTY Index Options'!$M:$M,'NSE - NIFTY Index Options'!$C:$C,$A130,'NSE - NIFTY Index Options'!$B:$B,E$4,'NSE - NIFTY Index Options'!$I:$I,"Weekly*")+SUMIFS('NSE - NIFTY Index Options'!$M:$M,'NSE - NIFTY Index Options'!$C:$C,$A130,'NSE - NIFTY Index Options'!$B:$B,E$4,'NSE - NIFTY Index Options'!$I:$I,"MDAW*")+SUMIFS('NSE - Other Index Options'!$M:$M,'NSE - Other Index Options'!$C:$C,$A130,'NSE - Other Index Options'!$B:$B,E$4,'NSE - Other Index Options'!$I:$I,"Weekly*")+SUMIFS('NSE - Other Index Options'!$M:$M,'NSE - Other Index Options'!$C:$C,$A130,'NSE - Other Index Options'!$B:$B,E$4,'NSE - Other Index Options'!$I:$I,"MDAW*")+SUMIFS('BSE - SENSEX Index Options'!$M:$M,'BSE - SENSEX Index Options'!$C:$C,$A130,'BSE - SENSEX Index Options'!$B:$B,E$4,'BSE - SENSEX Index Options'!$I:$I,"Weekly*")+SUMIFS('BSE - SENSEX Index Options'!$M:$M,'BSE - SENSEX Index Options'!$C:$C,$A130,'BSE - SENSEX Index Options'!$B:$B,E$4,'BSE - SENSEX Index Options'!$I:$I,"MDAW*")+SUMIFS('BSE - Other Index Options'!$M:$M,'BSE - Other Index Options'!$C:$C,$A130,'BSE - Other Index Options'!$B:$B,E$4,'BSE - Other Index Options'!$I:$I,"Weekly*")+SUMIFS('BSE - Other Index Options'!$M:$M,'BSE - Other Index Options'!$C:$C,$A130,'BSE - Other Index Options'!$B:$B,E$4,'BSE - Other Index Options'!$I:$I,"MDAW*"))</f>
        <v/>
      </c>
      <c r="F130" s="26">
        <f>IF(SUMIFS('NSE - NIFTY Index Options'!$M:$M,'NSE - NIFTY Index Options'!$C:$C,$A130,'NSE - NIFTY Index Options'!$B:$B,F$4,'NSE - NIFTY Index Options'!$I:$I,"Weekly*")+SUMIFS('NSE - NIFTY Index Options'!$M:$M,'NSE - NIFTY Index Options'!$C:$C,$A130,'NSE - NIFTY Index Options'!$B:$B,F$4,'NSE - NIFTY Index Options'!$I:$I,"MDAW*")+SUMIFS('NSE - Other Index Options'!$M:$M,'NSE - Other Index Options'!$C:$C,$A130,'NSE - Other Index Options'!$B:$B,F$4,'NSE - Other Index Options'!$I:$I,"Weekly*")+SUMIFS('NSE - Other Index Options'!$M:$M,'NSE - Other Index Options'!$C:$C,$A130,'NSE - Other Index Options'!$B:$B,F$4,'NSE - Other Index Options'!$I:$I,"MDAW*")+SUMIFS('BSE - SENSEX Index Options'!$M:$M,'BSE - SENSEX Index Options'!$C:$C,$A130,'BSE - SENSEX Index Options'!$B:$B,F$4,'BSE - SENSEX Index Options'!$I:$I,"Weekly*")+SUMIFS('BSE - SENSEX Index Options'!$M:$M,'BSE - SENSEX Index Options'!$C:$C,$A130,'BSE - SENSEX Index Options'!$B:$B,F$4,'BSE - SENSEX Index Options'!$I:$I,"MDAW*")+SUMIFS('BSE - Other Index Options'!$M:$M,'BSE - Other Index Options'!$C:$C,$A130,'BSE - Other Index Options'!$B:$B,F$4,'BSE - Other Index Options'!$I:$I,"Weekly*")+SUMIFS('BSE - Other Index Options'!$M:$M,'BSE - Other Index Options'!$C:$C,$A130,'BSE - Other Index Options'!$B:$B,F$4,'BSE - Other Index Options'!$I:$I,"MDAW*")=0,"",SUMIFS('NSE - NIFTY Index Options'!$M:$M,'NSE - NIFTY Index Options'!$C:$C,$A130,'NSE - NIFTY Index Options'!$B:$B,F$4,'NSE - NIFTY Index Options'!$I:$I,"Weekly*")+SUMIFS('NSE - NIFTY Index Options'!$M:$M,'NSE - NIFTY Index Options'!$C:$C,$A130,'NSE - NIFTY Index Options'!$B:$B,F$4,'NSE - NIFTY Index Options'!$I:$I,"MDAW*")+SUMIFS('NSE - Other Index Options'!$M:$M,'NSE - Other Index Options'!$C:$C,$A130,'NSE - Other Index Options'!$B:$B,F$4,'NSE - Other Index Options'!$I:$I,"Weekly*")+SUMIFS('NSE - Other Index Options'!$M:$M,'NSE - Other Index Options'!$C:$C,$A130,'NSE - Other Index Options'!$B:$B,F$4,'NSE - Other Index Options'!$I:$I,"MDAW*")+SUMIFS('BSE - SENSEX Index Options'!$M:$M,'BSE - SENSEX Index Options'!$C:$C,$A130,'BSE - SENSEX Index Options'!$B:$B,F$4,'BSE - SENSEX Index Options'!$I:$I,"Weekly*")+SUMIFS('BSE - SENSEX Index Options'!$M:$M,'BSE - SENSEX Index Options'!$C:$C,$A130,'BSE - SENSEX Index Options'!$B:$B,F$4,'BSE - SENSEX Index Options'!$I:$I,"MDAW*")+SUMIFS('BSE - Other Index Options'!$M:$M,'BSE - Other Index Options'!$C:$C,$A130,'BSE - Other Index Options'!$B:$B,F$4,'BSE - Other Index Options'!$I:$I,"Weekly*")+SUMIFS('BSE - Other Index Options'!$M:$M,'BSE - Other Index Options'!$C:$C,$A130,'BSE - Other Index Options'!$B:$B,F$4,'BSE - Other Index Options'!$I:$I,"MDAW*"))</f>
        <v/>
      </c>
      <c r="G130" s="26">
        <f>IF(SUMIFS('NSE - NIFTY Index Options'!$M:$M,'NSE - NIFTY Index Options'!$C:$C,$A130,'NSE - NIFTY Index Options'!$B:$B,G$4,'NSE - NIFTY Index Options'!$I:$I,"Weekly*")+SUMIFS('NSE - NIFTY Index Options'!$M:$M,'NSE - NIFTY Index Options'!$C:$C,$A130,'NSE - NIFTY Index Options'!$B:$B,G$4,'NSE - NIFTY Index Options'!$I:$I,"MDAW*")+SUMIFS('NSE - Other Index Options'!$M:$M,'NSE - Other Index Options'!$C:$C,$A130,'NSE - Other Index Options'!$B:$B,G$4,'NSE - Other Index Options'!$I:$I,"Weekly*")+SUMIFS('NSE - Other Index Options'!$M:$M,'NSE - Other Index Options'!$C:$C,$A130,'NSE - Other Index Options'!$B:$B,G$4,'NSE - Other Index Options'!$I:$I,"MDAW*")+SUMIFS('BSE - SENSEX Index Options'!$M:$M,'BSE - SENSEX Index Options'!$C:$C,$A130,'BSE - SENSEX Index Options'!$B:$B,G$4,'BSE - SENSEX Index Options'!$I:$I,"Weekly*")+SUMIFS('BSE - SENSEX Index Options'!$M:$M,'BSE - SENSEX Index Options'!$C:$C,$A130,'BSE - SENSEX Index Options'!$B:$B,G$4,'BSE - SENSEX Index Options'!$I:$I,"MDAW*")+SUMIFS('BSE - Other Index Options'!$M:$M,'BSE - Other Index Options'!$C:$C,$A130,'BSE - Other Index Options'!$B:$B,G$4,'BSE - Other Index Options'!$I:$I,"Weekly*")+SUMIFS('BSE - Other Index Options'!$M:$M,'BSE - Other Index Options'!$C:$C,$A130,'BSE - Other Index Options'!$B:$B,G$4,'BSE - Other Index Options'!$I:$I,"MDAW*")=0,"",SUMIFS('NSE - NIFTY Index Options'!$M:$M,'NSE - NIFTY Index Options'!$C:$C,$A130,'NSE - NIFTY Index Options'!$B:$B,G$4,'NSE - NIFTY Index Options'!$I:$I,"Weekly*")+SUMIFS('NSE - NIFTY Index Options'!$M:$M,'NSE - NIFTY Index Options'!$C:$C,$A130,'NSE - NIFTY Index Options'!$B:$B,G$4,'NSE - NIFTY Index Options'!$I:$I,"MDAW*")+SUMIFS('NSE - Other Index Options'!$M:$M,'NSE - Other Index Options'!$C:$C,$A130,'NSE - Other Index Options'!$B:$B,G$4,'NSE - Other Index Options'!$I:$I,"Weekly*")+SUMIFS('NSE - Other Index Options'!$M:$M,'NSE - Other Index Options'!$C:$C,$A130,'NSE - Other Index Options'!$B:$B,G$4,'NSE - Other Index Options'!$I:$I,"MDAW*")+SUMIFS('BSE - SENSEX Index Options'!$M:$M,'BSE - SENSEX Index Options'!$C:$C,$A130,'BSE - SENSEX Index Options'!$B:$B,G$4,'BSE - SENSEX Index Options'!$I:$I,"Weekly*")+SUMIFS('BSE - SENSEX Index Options'!$M:$M,'BSE - SENSEX Index Options'!$C:$C,$A130,'BSE - SENSEX Index Options'!$B:$B,G$4,'BSE - SENSEX Index Options'!$I:$I,"MDAW*")+SUMIFS('BSE - Other Index Options'!$M:$M,'BSE - Other Index Options'!$C:$C,$A130,'BSE - Other Index Options'!$B:$B,G$4,'BSE - Other Index Options'!$I:$I,"Weekly*")+SUMIFS('BSE - Other Index Options'!$M:$M,'BSE - Other Index Options'!$C:$C,$A130,'BSE - Other Index Options'!$B:$B,G$4,'BSE - Other Index Options'!$I:$I,"MDAW*"))</f>
        <v/>
      </c>
      <c r="H130" s="26">
        <f>IF(SUM(B130:G130)=0,"",SUM(B130:G130))</f>
        <v/>
      </c>
    </row>
    <row r="131" hidden="1" outlineLevel="1">
      <c r="A131" t="inlineStr">
        <is>
          <t>Week4-Oct-2027</t>
        </is>
      </c>
      <c r="B131" s="26">
        <f>IF(SUMIFS('NSE - NIFTY Index Options'!$M:$M,'NSE - NIFTY Index Options'!$C:$C,$A131,'NSE - NIFTY Index Options'!$B:$B,B$4,'NSE - NIFTY Index Options'!$I:$I,"Weekly*")+SUMIFS('NSE - NIFTY Index Options'!$M:$M,'NSE - NIFTY Index Options'!$C:$C,$A131,'NSE - NIFTY Index Options'!$B:$B,B$4,'NSE - NIFTY Index Options'!$I:$I,"MDAW*")+SUMIFS('NSE - Other Index Options'!$M:$M,'NSE - Other Index Options'!$C:$C,$A131,'NSE - Other Index Options'!$B:$B,B$4,'NSE - Other Index Options'!$I:$I,"Weekly*")+SUMIFS('NSE - Other Index Options'!$M:$M,'NSE - Other Index Options'!$C:$C,$A131,'NSE - Other Index Options'!$B:$B,B$4,'NSE - Other Index Options'!$I:$I,"MDAW*")+SUMIFS('BSE - SENSEX Index Options'!$M:$M,'BSE - SENSEX Index Options'!$C:$C,$A131,'BSE - SENSEX Index Options'!$B:$B,B$4,'BSE - SENSEX Index Options'!$I:$I,"Weekly*")+SUMIFS('BSE - SENSEX Index Options'!$M:$M,'BSE - SENSEX Index Options'!$C:$C,$A131,'BSE - SENSEX Index Options'!$B:$B,B$4,'BSE - SENSEX Index Options'!$I:$I,"MDAW*")+SUMIFS('BSE - Other Index Options'!$M:$M,'BSE - Other Index Options'!$C:$C,$A131,'BSE - Other Index Options'!$B:$B,B$4,'BSE - Other Index Options'!$I:$I,"Weekly*")+SUMIFS('BSE - Other Index Options'!$M:$M,'BSE - Other Index Options'!$C:$C,$A131,'BSE - Other Index Options'!$B:$B,B$4,'BSE - Other Index Options'!$I:$I,"MDAW*")=0,"",SUMIFS('NSE - NIFTY Index Options'!$M:$M,'NSE - NIFTY Index Options'!$C:$C,$A131,'NSE - NIFTY Index Options'!$B:$B,B$4,'NSE - NIFTY Index Options'!$I:$I,"Weekly*")+SUMIFS('NSE - NIFTY Index Options'!$M:$M,'NSE - NIFTY Index Options'!$C:$C,$A131,'NSE - NIFTY Index Options'!$B:$B,B$4,'NSE - NIFTY Index Options'!$I:$I,"MDAW*")+SUMIFS('NSE - Other Index Options'!$M:$M,'NSE - Other Index Options'!$C:$C,$A131,'NSE - Other Index Options'!$B:$B,B$4,'NSE - Other Index Options'!$I:$I,"Weekly*")+SUMIFS('NSE - Other Index Options'!$M:$M,'NSE - Other Index Options'!$C:$C,$A131,'NSE - Other Index Options'!$B:$B,B$4,'NSE - Other Index Options'!$I:$I,"MDAW*")+SUMIFS('BSE - SENSEX Index Options'!$M:$M,'BSE - SENSEX Index Options'!$C:$C,$A131,'BSE - SENSEX Index Options'!$B:$B,B$4,'BSE - SENSEX Index Options'!$I:$I,"Weekly*")+SUMIFS('BSE - SENSEX Index Options'!$M:$M,'BSE - SENSEX Index Options'!$C:$C,$A131,'BSE - SENSEX Index Options'!$B:$B,B$4,'BSE - SENSEX Index Options'!$I:$I,"MDAW*")+SUMIFS('BSE - Other Index Options'!$M:$M,'BSE - Other Index Options'!$C:$C,$A131,'BSE - Other Index Options'!$B:$B,B$4,'BSE - Other Index Options'!$I:$I,"Weekly*")+SUMIFS('BSE - Other Index Options'!$M:$M,'BSE - Other Index Options'!$C:$C,$A131,'BSE - Other Index Options'!$B:$B,B$4,'BSE - Other Index Options'!$I:$I,"MDAW*"))</f>
        <v/>
      </c>
      <c r="C131" s="26">
        <f>IF(SUMIFS('NSE - NIFTY Index Options'!$M:$M,'NSE - NIFTY Index Options'!$C:$C,$A131,'NSE - NIFTY Index Options'!$B:$B,C$4,'NSE - NIFTY Index Options'!$I:$I,"Weekly*")+SUMIFS('NSE - NIFTY Index Options'!$M:$M,'NSE - NIFTY Index Options'!$C:$C,$A131,'NSE - NIFTY Index Options'!$B:$B,C$4,'NSE - NIFTY Index Options'!$I:$I,"MDAW*")+SUMIFS('NSE - Other Index Options'!$M:$M,'NSE - Other Index Options'!$C:$C,$A131,'NSE - Other Index Options'!$B:$B,C$4,'NSE - Other Index Options'!$I:$I,"Weekly*")+SUMIFS('NSE - Other Index Options'!$M:$M,'NSE - Other Index Options'!$C:$C,$A131,'NSE - Other Index Options'!$B:$B,C$4,'NSE - Other Index Options'!$I:$I,"MDAW*")+SUMIFS('BSE - SENSEX Index Options'!$M:$M,'BSE - SENSEX Index Options'!$C:$C,$A131,'BSE - SENSEX Index Options'!$B:$B,C$4,'BSE - SENSEX Index Options'!$I:$I,"Weekly*")+SUMIFS('BSE - SENSEX Index Options'!$M:$M,'BSE - SENSEX Index Options'!$C:$C,$A131,'BSE - SENSEX Index Options'!$B:$B,C$4,'BSE - SENSEX Index Options'!$I:$I,"MDAW*")+SUMIFS('BSE - Other Index Options'!$M:$M,'BSE - Other Index Options'!$C:$C,$A131,'BSE - Other Index Options'!$B:$B,C$4,'BSE - Other Index Options'!$I:$I,"Weekly*")+SUMIFS('BSE - Other Index Options'!$M:$M,'BSE - Other Index Options'!$C:$C,$A131,'BSE - Other Index Options'!$B:$B,C$4,'BSE - Other Index Options'!$I:$I,"MDAW*")=0,"",SUMIFS('NSE - NIFTY Index Options'!$M:$M,'NSE - NIFTY Index Options'!$C:$C,$A131,'NSE - NIFTY Index Options'!$B:$B,C$4,'NSE - NIFTY Index Options'!$I:$I,"Weekly*")+SUMIFS('NSE - NIFTY Index Options'!$M:$M,'NSE - NIFTY Index Options'!$C:$C,$A131,'NSE - NIFTY Index Options'!$B:$B,C$4,'NSE - NIFTY Index Options'!$I:$I,"MDAW*")+SUMIFS('NSE - Other Index Options'!$M:$M,'NSE - Other Index Options'!$C:$C,$A131,'NSE - Other Index Options'!$B:$B,C$4,'NSE - Other Index Options'!$I:$I,"Weekly*")+SUMIFS('NSE - Other Index Options'!$M:$M,'NSE - Other Index Options'!$C:$C,$A131,'NSE - Other Index Options'!$B:$B,C$4,'NSE - Other Index Options'!$I:$I,"MDAW*")+SUMIFS('BSE - SENSEX Index Options'!$M:$M,'BSE - SENSEX Index Options'!$C:$C,$A131,'BSE - SENSEX Index Options'!$B:$B,C$4,'BSE - SENSEX Index Options'!$I:$I,"Weekly*")+SUMIFS('BSE - SENSEX Index Options'!$M:$M,'BSE - SENSEX Index Options'!$C:$C,$A131,'BSE - SENSEX Index Options'!$B:$B,C$4,'BSE - SENSEX Index Options'!$I:$I,"MDAW*")+SUMIFS('BSE - Other Index Options'!$M:$M,'BSE - Other Index Options'!$C:$C,$A131,'BSE - Other Index Options'!$B:$B,C$4,'BSE - Other Index Options'!$I:$I,"Weekly*")+SUMIFS('BSE - Other Index Options'!$M:$M,'BSE - Other Index Options'!$C:$C,$A131,'BSE - Other Index Options'!$B:$B,C$4,'BSE - Other Index Options'!$I:$I,"MDAW*"))</f>
        <v/>
      </c>
      <c r="D131" s="26">
        <f>IF(SUMIFS('NSE - NIFTY Index Options'!$M:$M,'NSE - NIFTY Index Options'!$C:$C,$A131,'NSE - NIFTY Index Options'!$B:$B,D$4,'NSE - NIFTY Index Options'!$I:$I,"Weekly*")+SUMIFS('NSE - NIFTY Index Options'!$M:$M,'NSE - NIFTY Index Options'!$C:$C,$A131,'NSE - NIFTY Index Options'!$B:$B,D$4,'NSE - NIFTY Index Options'!$I:$I,"MDAW*")+SUMIFS('NSE - Other Index Options'!$M:$M,'NSE - Other Index Options'!$C:$C,$A131,'NSE - Other Index Options'!$B:$B,D$4,'NSE - Other Index Options'!$I:$I,"Weekly*")+SUMIFS('NSE - Other Index Options'!$M:$M,'NSE - Other Index Options'!$C:$C,$A131,'NSE - Other Index Options'!$B:$B,D$4,'NSE - Other Index Options'!$I:$I,"MDAW*")+SUMIFS('BSE - SENSEX Index Options'!$M:$M,'BSE - SENSEX Index Options'!$C:$C,$A131,'BSE - SENSEX Index Options'!$B:$B,D$4,'BSE - SENSEX Index Options'!$I:$I,"Weekly*")+SUMIFS('BSE - SENSEX Index Options'!$M:$M,'BSE - SENSEX Index Options'!$C:$C,$A131,'BSE - SENSEX Index Options'!$B:$B,D$4,'BSE - SENSEX Index Options'!$I:$I,"MDAW*")+SUMIFS('BSE - Other Index Options'!$M:$M,'BSE - Other Index Options'!$C:$C,$A131,'BSE - Other Index Options'!$B:$B,D$4,'BSE - Other Index Options'!$I:$I,"Weekly*")+SUMIFS('BSE - Other Index Options'!$M:$M,'BSE - Other Index Options'!$C:$C,$A131,'BSE - Other Index Options'!$B:$B,D$4,'BSE - Other Index Options'!$I:$I,"MDAW*")=0,"",SUMIFS('NSE - NIFTY Index Options'!$M:$M,'NSE - NIFTY Index Options'!$C:$C,$A131,'NSE - NIFTY Index Options'!$B:$B,D$4,'NSE - NIFTY Index Options'!$I:$I,"Weekly*")+SUMIFS('NSE - NIFTY Index Options'!$M:$M,'NSE - NIFTY Index Options'!$C:$C,$A131,'NSE - NIFTY Index Options'!$B:$B,D$4,'NSE - NIFTY Index Options'!$I:$I,"MDAW*")+SUMIFS('NSE - Other Index Options'!$M:$M,'NSE - Other Index Options'!$C:$C,$A131,'NSE - Other Index Options'!$B:$B,D$4,'NSE - Other Index Options'!$I:$I,"Weekly*")+SUMIFS('NSE - Other Index Options'!$M:$M,'NSE - Other Index Options'!$C:$C,$A131,'NSE - Other Index Options'!$B:$B,D$4,'NSE - Other Index Options'!$I:$I,"MDAW*")+SUMIFS('BSE - SENSEX Index Options'!$M:$M,'BSE - SENSEX Index Options'!$C:$C,$A131,'BSE - SENSEX Index Options'!$B:$B,D$4,'BSE - SENSEX Index Options'!$I:$I,"Weekly*")+SUMIFS('BSE - SENSEX Index Options'!$M:$M,'BSE - SENSEX Index Options'!$C:$C,$A131,'BSE - SENSEX Index Options'!$B:$B,D$4,'BSE - SENSEX Index Options'!$I:$I,"MDAW*")+SUMIFS('BSE - Other Index Options'!$M:$M,'BSE - Other Index Options'!$C:$C,$A131,'BSE - Other Index Options'!$B:$B,D$4,'BSE - Other Index Options'!$I:$I,"Weekly*")+SUMIFS('BSE - Other Index Options'!$M:$M,'BSE - Other Index Options'!$C:$C,$A131,'BSE - Other Index Options'!$B:$B,D$4,'BSE - Other Index Options'!$I:$I,"MDAW*"))</f>
        <v/>
      </c>
      <c r="E131" s="26">
        <f>IF(SUMIFS('NSE - NIFTY Index Options'!$M:$M,'NSE - NIFTY Index Options'!$C:$C,$A131,'NSE - NIFTY Index Options'!$B:$B,E$4,'NSE - NIFTY Index Options'!$I:$I,"Weekly*")+SUMIFS('NSE - NIFTY Index Options'!$M:$M,'NSE - NIFTY Index Options'!$C:$C,$A131,'NSE - NIFTY Index Options'!$B:$B,E$4,'NSE - NIFTY Index Options'!$I:$I,"MDAW*")+SUMIFS('NSE - Other Index Options'!$M:$M,'NSE - Other Index Options'!$C:$C,$A131,'NSE - Other Index Options'!$B:$B,E$4,'NSE - Other Index Options'!$I:$I,"Weekly*")+SUMIFS('NSE - Other Index Options'!$M:$M,'NSE - Other Index Options'!$C:$C,$A131,'NSE - Other Index Options'!$B:$B,E$4,'NSE - Other Index Options'!$I:$I,"MDAW*")+SUMIFS('BSE - SENSEX Index Options'!$M:$M,'BSE - SENSEX Index Options'!$C:$C,$A131,'BSE - SENSEX Index Options'!$B:$B,E$4,'BSE - SENSEX Index Options'!$I:$I,"Weekly*")+SUMIFS('BSE - SENSEX Index Options'!$M:$M,'BSE - SENSEX Index Options'!$C:$C,$A131,'BSE - SENSEX Index Options'!$B:$B,E$4,'BSE - SENSEX Index Options'!$I:$I,"MDAW*")+SUMIFS('BSE - Other Index Options'!$M:$M,'BSE - Other Index Options'!$C:$C,$A131,'BSE - Other Index Options'!$B:$B,E$4,'BSE - Other Index Options'!$I:$I,"Weekly*")+SUMIFS('BSE - Other Index Options'!$M:$M,'BSE - Other Index Options'!$C:$C,$A131,'BSE - Other Index Options'!$B:$B,E$4,'BSE - Other Index Options'!$I:$I,"MDAW*")=0,"",SUMIFS('NSE - NIFTY Index Options'!$M:$M,'NSE - NIFTY Index Options'!$C:$C,$A131,'NSE - NIFTY Index Options'!$B:$B,E$4,'NSE - NIFTY Index Options'!$I:$I,"Weekly*")+SUMIFS('NSE - NIFTY Index Options'!$M:$M,'NSE - NIFTY Index Options'!$C:$C,$A131,'NSE - NIFTY Index Options'!$B:$B,E$4,'NSE - NIFTY Index Options'!$I:$I,"MDAW*")+SUMIFS('NSE - Other Index Options'!$M:$M,'NSE - Other Index Options'!$C:$C,$A131,'NSE - Other Index Options'!$B:$B,E$4,'NSE - Other Index Options'!$I:$I,"Weekly*")+SUMIFS('NSE - Other Index Options'!$M:$M,'NSE - Other Index Options'!$C:$C,$A131,'NSE - Other Index Options'!$B:$B,E$4,'NSE - Other Index Options'!$I:$I,"MDAW*")+SUMIFS('BSE - SENSEX Index Options'!$M:$M,'BSE - SENSEX Index Options'!$C:$C,$A131,'BSE - SENSEX Index Options'!$B:$B,E$4,'BSE - SENSEX Index Options'!$I:$I,"Weekly*")+SUMIFS('BSE - SENSEX Index Options'!$M:$M,'BSE - SENSEX Index Options'!$C:$C,$A131,'BSE - SENSEX Index Options'!$B:$B,E$4,'BSE - SENSEX Index Options'!$I:$I,"MDAW*")+SUMIFS('BSE - Other Index Options'!$M:$M,'BSE - Other Index Options'!$C:$C,$A131,'BSE - Other Index Options'!$B:$B,E$4,'BSE - Other Index Options'!$I:$I,"Weekly*")+SUMIFS('BSE - Other Index Options'!$M:$M,'BSE - Other Index Options'!$C:$C,$A131,'BSE - Other Index Options'!$B:$B,E$4,'BSE - Other Index Options'!$I:$I,"MDAW*"))</f>
        <v/>
      </c>
      <c r="F131" s="26">
        <f>IF(SUMIFS('NSE - NIFTY Index Options'!$M:$M,'NSE - NIFTY Index Options'!$C:$C,$A131,'NSE - NIFTY Index Options'!$B:$B,F$4,'NSE - NIFTY Index Options'!$I:$I,"Weekly*")+SUMIFS('NSE - NIFTY Index Options'!$M:$M,'NSE - NIFTY Index Options'!$C:$C,$A131,'NSE - NIFTY Index Options'!$B:$B,F$4,'NSE - NIFTY Index Options'!$I:$I,"MDAW*")+SUMIFS('NSE - Other Index Options'!$M:$M,'NSE - Other Index Options'!$C:$C,$A131,'NSE - Other Index Options'!$B:$B,F$4,'NSE - Other Index Options'!$I:$I,"Weekly*")+SUMIFS('NSE - Other Index Options'!$M:$M,'NSE - Other Index Options'!$C:$C,$A131,'NSE - Other Index Options'!$B:$B,F$4,'NSE - Other Index Options'!$I:$I,"MDAW*")+SUMIFS('BSE - SENSEX Index Options'!$M:$M,'BSE - SENSEX Index Options'!$C:$C,$A131,'BSE - SENSEX Index Options'!$B:$B,F$4,'BSE - SENSEX Index Options'!$I:$I,"Weekly*")+SUMIFS('BSE - SENSEX Index Options'!$M:$M,'BSE - SENSEX Index Options'!$C:$C,$A131,'BSE - SENSEX Index Options'!$B:$B,F$4,'BSE - SENSEX Index Options'!$I:$I,"MDAW*")+SUMIFS('BSE - Other Index Options'!$M:$M,'BSE - Other Index Options'!$C:$C,$A131,'BSE - Other Index Options'!$B:$B,F$4,'BSE - Other Index Options'!$I:$I,"Weekly*")+SUMIFS('BSE - Other Index Options'!$M:$M,'BSE - Other Index Options'!$C:$C,$A131,'BSE - Other Index Options'!$B:$B,F$4,'BSE - Other Index Options'!$I:$I,"MDAW*")=0,"",SUMIFS('NSE - NIFTY Index Options'!$M:$M,'NSE - NIFTY Index Options'!$C:$C,$A131,'NSE - NIFTY Index Options'!$B:$B,F$4,'NSE - NIFTY Index Options'!$I:$I,"Weekly*")+SUMIFS('NSE - NIFTY Index Options'!$M:$M,'NSE - NIFTY Index Options'!$C:$C,$A131,'NSE - NIFTY Index Options'!$B:$B,F$4,'NSE - NIFTY Index Options'!$I:$I,"MDAW*")+SUMIFS('NSE - Other Index Options'!$M:$M,'NSE - Other Index Options'!$C:$C,$A131,'NSE - Other Index Options'!$B:$B,F$4,'NSE - Other Index Options'!$I:$I,"Weekly*")+SUMIFS('NSE - Other Index Options'!$M:$M,'NSE - Other Index Options'!$C:$C,$A131,'NSE - Other Index Options'!$B:$B,F$4,'NSE - Other Index Options'!$I:$I,"MDAW*")+SUMIFS('BSE - SENSEX Index Options'!$M:$M,'BSE - SENSEX Index Options'!$C:$C,$A131,'BSE - SENSEX Index Options'!$B:$B,F$4,'BSE - SENSEX Index Options'!$I:$I,"Weekly*")+SUMIFS('BSE - SENSEX Index Options'!$M:$M,'BSE - SENSEX Index Options'!$C:$C,$A131,'BSE - SENSEX Index Options'!$B:$B,F$4,'BSE - SENSEX Index Options'!$I:$I,"MDAW*")+SUMIFS('BSE - Other Index Options'!$M:$M,'BSE - Other Index Options'!$C:$C,$A131,'BSE - Other Index Options'!$B:$B,F$4,'BSE - Other Index Options'!$I:$I,"Weekly*")+SUMIFS('BSE - Other Index Options'!$M:$M,'BSE - Other Index Options'!$C:$C,$A131,'BSE - Other Index Options'!$B:$B,F$4,'BSE - Other Index Options'!$I:$I,"MDAW*"))</f>
        <v/>
      </c>
      <c r="G131" s="26">
        <f>IF(SUMIFS('NSE - NIFTY Index Options'!$M:$M,'NSE - NIFTY Index Options'!$C:$C,$A131,'NSE - NIFTY Index Options'!$B:$B,G$4,'NSE - NIFTY Index Options'!$I:$I,"Weekly*")+SUMIFS('NSE - NIFTY Index Options'!$M:$M,'NSE - NIFTY Index Options'!$C:$C,$A131,'NSE - NIFTY Index Options'!$B:$B,G$4,'NSE - NIFTY Index Options'!$I:$I,"MDAW*")+SUMIFS('NSE - Other Index Options'!$M:$M,'NSE - Other Index Options'!$C:$C,$A131,'NSE - Other Index Options'!$B:$B,G$4,'NSE - Other Index Options'!$I:$I,"Weekly*")+SUMIFS('NSE - Other Index Options'!$M:$M,'NSE - Other Index Options'!$C:$C,$A131,'NSE - Other Index Options'!$B:$B,G$4,'NSE - Other Index Options'!$I:$I,"MDAW*")+SUMIFS('BSE - SENSEX Index Options'!$M:$M,'BSE - SENSEX Index Options'!$C:$C,$A131,'BSE - SENSEX Index Options'!$B:$B,G$4,'BSE - SENSEX Index Options'!$I:$I,"Weekly*")+SUMIFS('BSE - SENSEX Index Options'!$M:$M,'BSE - SENSEX Index Options'!$C:$C,$A131,'BSE - SENSEX Index Options'!$B:$B,G$4,'BSE - SENSEX Index Options'!$I:$I,"MDAW*")+SUMIFS('BSE - Other Index Options'!$M:$M,'BSE - Other Index Options'!$C:$C,$A131,'BSE - Other Index Options'!$B:$B,G$4,'BSE - Other Index Options'!$I:$I,"Weekly*")+SUMIFS('BSE - Other Index Options'!$M:$M,'BSE - Other Index Options'!$C:$C,$A131,'BSE - Other Index Options'!$B:$B,G$4,'BSE - Other Index Options'!$I:$I,"MDAW*")=0,"",SUMIFS('NSE - NIFTY Index Options'!$M:$M,'NSE - NIFTY Index Options'!$C:$C,$A131,'NSE - NIFTY Index Options'!$B:$B,G$4,'NSE - NIFTY Index Options'!$I:$I,"Weekly*")+SUMIFS('NSE - NIFTY Index Options'!$M:$M,'NSE - NIFTY Index Options'!$C:$C,$A131,'NSE - NIFTY Index Options'!$B:$B,G$4,'NSE - NIFTY Index Options'!$I:$I,"MDAW*")+SUMIFS('NSE - Other Index Options'!$M:$M,'NSE - Other Index Options'!$C:$C,$A131,'NSE - Other Index Options'!$B:$B,G$4,'NSE - Other Index Options'!$I:$I,"Weekly*")+SUMIFS('NSE - Other Index Options'!$M:$M,'NSE - Other Index Options'!$C:$C,$A131,'NSE - Other Index Options'!$B:$B,G$4,'NSE - Other Index Options'!$I:$I,"MDAW*")+SUMIFS('BSE - SENSEX Index Options'!$M:$M,'BSE - SENSEX Index Options'!$C:$C,$A131,'BSE - SENSEX Index Options'!$B:$B,G$4,'BSE - SENSEX Index Options'!$I:$I,"Weekly*")+SUMIFS('BSE - SENSEX Index Options'!$M:$M,'BSE - SENSEX Index Options'!$C:$C,$A131,'BSE - SENSEX Index Options'!$B:$B,G$4,'BSE - SENSEX Index Options'!$I:$I,"MDAW*")+SUMIFS('BSE - Other Index Options'!$M:$M,'BSE - Other Index Options'!$C:$C,$A131,'BSE - Other Index Options'!$B:$B,G$4,'BSE - Other Index Options'!$I:$I,"Weekly*")+SUMIFS('BSE - Other Index Options'!$M:$M,'BSE - Other Index Options'!$C:$C,$A131,'BSE - Other Index Options'!$B:$B,G$4,'BSE - Other Index Options'!$I:$I,"MDAW*"))</f>
        <v/>
      </c>
      <c r="H131" s="26">
        <f>IF(SUM(B131:G131)=0,"",SUM(B131:G131))</f>
        <v/>
      </c>
    </row>
    <row r="132" hidden="1" outlineLevel="1">
      <c r="A132" t="inlineStr">
        <is>
          <t>Week5-Oct-2027</t>
        </is>
      </c>
      <c r="B132" s="26">
        <f>IF(SUMIFS('NSE - NIFTY Index Options'!$M:$M,'NSE - NIFTY Index Options'!$C:$C,$A132,'NSE - NIFTY Index Options'!$B:$B,B$4,'NSE - NIFTY Index Options'!$I:$I,"Weekly*")+SUMIFS('NSE - NIFTY Index Options'!$M:$M,'NSE - NIFTY Index Options'!$C:$C,$A132,'NSE - NIFTY Index Options'!$B:$B,B$4,'NSE - NIFTY Index Options'!$I:$I,"MDAW*")+SUMIFS('NSE - Other Index Options'!$M:$M,'NSE - Other Index Options'!$C:$C,$A132,'NSE - Other Index Options'!$B:$B,B$4,'NSE - Other Index Options'!$I:$I,"Weekly*")+SUMIFS('NSE - Other Index Options'!$M:$M,'NSE - Other Index Options'!$C:$C,$A132,'NSE - Other Index Options'!$B:$B,B$4,'NSE - Other Index Options'!$I:$I,"MDAW*")+SUMIFS('BSE - SENSEX Index Options'!$M:$M,'BSE - SENSEX Index Options'!$C:$C,$A132,'BSE - SENSEX Index Options'!$B:$B,B$4,'BSE - SENSEX Index Options'!$I:$I,"Weekly*")+SUMIFS('BSE - SENSEX Index Options'!$M:$M,'BSE - SENSEX Index Options'!$C:$C,$A132,'BSE - SENSEX Index Options'!$B:$B,B$4,'BSE - SENSEX Index Options'!$I:$I,"MDAW*")+SUMIFS('BSE - Other Index Options'!$M:$M,'BSE - Other Index Options'!$C:$C,$A132,'BSE - Other Index Options'!$B:$B,B$4,'BSE - Other Index Options'!$I:$I,"Weekly*")+SUMIFS('BSE - Other Index Options'!$M:$M,'BSE - Other Index Options'!$C:$C,$A132,'BSE - Other Index Options'!$B:$B,B$4,'BSE - Other Index Options'!$I:$I,"MDAW*")=0,"",SUMIFS('NSE - NIFTY Index Options'!$M:$M,'NSE - NIFTY Index Options'!$C:$C,$A132,'NSE - NIFTY Index Options'!$B:$B,B$4,'NSE - NIFTY Index Options'!$I:$I,"Weekly*")+SUMIFS('NSE - NIFTY Index Options'!$M:$M,'NSE - NIFTY Index Options'!$C:$C,$A132,'NSE - NIFTY Index Options'!$B:$B,B$4,'NSE - NIFTY Index Options'!$I:$I,"MDAW*")+SUMIFS('NSE - Other Index Options'!$M:$M,'NSE - Other Index Options'!$C:$C,$A132,'NSE - Other Index Options'!$B:$B,B$4,'NSE - Other Index Options'!$I:$I,"Weekly*")+SUMIFS('NSE - Other Index Options'!$M:$M,'NSE - Other Index Options'!$C:$C,$A132,'NSE - Other Index Options'!$B:$B,B$4,'NSE - Other Index Options'!$I:$I,"MDAW*")+SUMIFS('BSE - SENSEX Index Options'!$M:$M,'BSE - SENSEX Index Options'!$C:$C,$A132,'BSE - SENSEX Index Options'!$B:$B,B$4,'BSE - SENSEX Index Options'!$I:$I,"Weekly*")+SUMIFS('BSE - SENSEX Index Options'!$M:$M,'BSE - SENSEX Index Options'!$C:$C,$A132,'BSE - SENSEX Index Options'!$B:$B,B$4,'BSE - SENSEX Index Options'!$I:$I,"MDAW*")+SUMIFS('BSE - Other Index Options'!$M:$M,'BSE - Other Index Options'!$C:$C,$A132,'BSE - Other Index Options'!$B:$B,B$4,'BSE - Other Index Options'!$I:$I,"Weekly*")+SUMIFS('BSE - Other Index Options'!$M:$M,'BSE - Other Index Options'!$C:$C,$A132,'BSE - Other Index Options'!$B:$B,B$4,'BSE - Other Index Options'!$I:$I,"MDAW*"))</f>
        <v/>
      </c>
      <c r="C132" s="26">
        <f>IF(SUMIFS('NSE - NIFTY Index Options'!$M:$M,'NSE - NIFTY Index Options'!$C:$C,$A132,'NSE - NIFTY Index Options'!$B:$B,C$4,'NSE - NIFTY Index Options'!$I:$I,"Weekly*")+SUMIFS('NSE - NIFTY Index Options'!$M:$M,'NSE - NIFTY Index Options'!$C:$C,$A132,'NSE - NIFTY Index Options'!$B:$B,C$4,'NSE - NIFTY Index Options'!$I:$I,"MDAW*")+SUMIFS('NSE - Other Index Options'!$M:$M,'NSE - Other Index Options'!$C:$C,$A132,'NSE - Other Index Options'!$B:$B,C$4,'NSE - Other Index Options'!$I:$I,"Weekly*")+SUMIFS('NSE - Other Index Options'!$M:$M,'NSE - Other Index Options'!$C:$C,$A132,'NSE - Other Index Options'!$B:$B,C$4,'NSE - Other Index Options'!$I:$I,"MDAW*")+SUMIFS('BSE - SENSEX Index Options'!$M:$M,'BSE - SENSEX Index Options'!$C:$C,$A132,'BSE - SENSEX Index Options'!$B:$B,C$4,'BSE - SENSEX Index Options'!$I:$I,"Weekly*")+SUMIFS('BSE - SENSEX Index Options'!$M:$M,'BSE - SENSEX Index Options'!$C:$C,$A132,'BSE - SENSEX Index Options'!$B:$B,C$4,'BSE - SENSEX Index Options'!$I:$I,"MDAW*")+SUMIFS('BSE - Other Index Options'!$M:$M,'BSE - Other Index Options'!$C:$C,$A132,'BSE - Other Index Options'!$B:$B,C$4,'BSE - Other Index Options'!$I:$I,"Weekly*")+SUMIFS('BSE - Other Index Options'!$M:$M,'BSE - Other Index Options'!$C:$C,$A132,'BSE - Other Index Options'!$B:$B,C$4,'BSE - Other Index Options'!$I:$I,"MDAW*")=0,"",SUMIFS('NSE - NIFTY Index Options'!$M:$M,'NSE - NIFTY Index Options'!$C:$C,$A132,'NSE - NIFTY Index Options'!$B:$B,C$4,'NSE - NIFTY Index Options'!$I:$I,"Weekly*")+SUMIFS('NSE - NIFTY Index Options'!$M:$M,'NSE - NIFTY Index Options'!$C:$C,$A132,'NSE - NIFTY Index Options'!$B:$B,C$4,'NSE - NIFTY Index Options'!$I:$I,"MDAW*")+SUMIFS('NSE - Other Index Options'!$M:$M,'NSE - Other Index Options'!$C:$C,$A132,'NSE - Other Index Options'!$B:$B,C$4,'NSE - Other Index Options'!$I:$I,"Weekly*")+SUMIFS('NSE - Other Index Options'!$M:$M,'NSE - Other Index Options'!$C:$C,$A132,'NSE - Other Index Options'!$B:$B,C$4,'NSE - Other Index Options'!$I:$I,"MDAW*")+SUMIFS('BSE - SENSEX Index Options'!$M:$M,'BSE - SENSEX Index Options'!$C:$C,$A132,'BSE - SENSEX Index Options'!$B:$B,C$4,'BSE - SENSEX Index Options'!$I:$I,"Weekly*")+SUMIFS('BSE - SENSEX Index Options'!$M:$M,'BSE - SENSEX Index Options'!$C:$C,$A132,'BSE - SENSEX Index Options'!$B:$B,C$4,'BSE - SENSEX Index Options'!$I:$I,"MDAW*")+SUMIFS('BSE - Other Index Options'!$M:$M,'BSE - Other Index Options'!$C:$C,$A132,'BSE - Other Index Options'!$B:$B,C$4,'BSE - Other Index Options'!$I:$I,"Weekly*")+SUMIFS('BSE - Other Index Options'!$M:$M,'BSE - Other Index Options'!$C:$C,$A132,'BSE - Other Index Options'!$B:$B,C$4,'BSE - Other Index Options'!$I:$I,"MDAW*"))</f>
        <v/>
      </c>
      <c r="D132" s="26">
        <f>IF(SUMIFS('NSE - NIFTY Index Options'!$M:$M,'NSE - NIFTY Index Options'!$C:$C,$A132,'NSE - NIFTY Index Options'!$B:$B,D$4,'NSE - NIFTY Index Options'!$I:$I,"Weekly*")+SUMIFS('NSE - NIFTY Index Options'!$M:$M,'NSE - NIFTY Index Options'!$C:$C,$A132,'NSE - NIFTY Index Options'!$B:$B,D$4,'NSE - NIFTY Index Options'!$I:$I,"MDAW*")+SUMIFS('NSE - Other Index Options'!$M:$M,'NSE - Other Index Options'!$C:$C,$A132,'NSE - Other Index Options'!$B:$B,D$4,'NSE - Other Index Options'!$I:$I,"Weekly*")+SUMIFS('NSE - Other Index Options'!$M:$M,'NSE - Other Index Options'!$C:$C,$A132,'NSE - Other Index Options'!$B:$B,D$4,'NSE - Other Index Options'!$I:$I,"MDAW*")+SUMIFS('BSE - SENSEX Index Options'!$M:$M,'BSE - SENSEX Index Options'!$C:$C,$A132,'BSE - SENSEX Index Options'!$B:$B,D$4,'BSE - SENSEX Index Options'!$I:$I,"Weekly*")+SUMIFS('BSE - SENSEX Index Options'!$M:$M,'BSE - SENSEX Index Options'!$C:$C,$A132,'BSE - SENSEX Index Options'!$B:$B,D$4,'BSE - SENSEX Index Options'!$I:$I,"MDAW*")+SUMIFS('BSE - Other Index Options'!$M:$M,'BSE - Other Index Options'!$C:$C,$A132,'BSE - Other Index Options'!$B:$B,D$4,'BSE - Other Index Options'!$I:$I,"Weekly*")+SUMIFS('BSE - Other Index Options'!$M:$M,'BSE - Other Index Options'!$C:$C,$A132,'BSE - Other Index Options'!$B:$B,D$4,'BSE - Other Index Options'!$I:$I,"MDAW*")=0,"",SUMIFS('NSE - NIFTY Index Options'!$M:$M,'NSE - NIFTY Index Options'!$C:$C,$A132,'NSE - NIFTY Index Options'!$B:$B,D$4,'NSE - NIFTY Index Options'!$I:$I,"Weekly*")+SUMIFS('NSE - NIFTY Index Options'!$M:$M,'NSE - NIFTY Index Options'!$C:$C,$A132,'NSE - NIFTY Index Options'!$B:$B,D$4,'NSE - NIFTY Index Options'!$I:$I,"MDAW*")+SUMIFS('NSE - Other Index Options'!$M:$M,'NSE - Other Index Options'!$C:$C,$A132,'NSE - Other Index Options'!$B:$B,D$4,'NSE - Other Index Options'!$I:$I,"Weekly*")+SUMIFS('NSE - Other Index Options'!$M:$M,'NSE - Other Index Options'!$C:$C,$A132,'NSE - Other Index Options'!$B:$B,D$4,'NSE - Other Index Options'!$I:$I,"MDAW*")+SUMIFS('BSE - SENSEX Index Options'!$M:$M,'BSE - SENSEX Index Options'!$C:$C,$A132,'BSE - SENSEX Index Options'!$B:$B,D$4,'BSE - SENSEX Index Options'!$I:$I,"Weekly*")+SUMIFS('BSE - SENSEX Index Options'!$M:$M,'BSE - SENSEX Index Options'!$C:$C,$A132,'BSE - SENSEX Index Options'!$B:$B,D$4,'BSE - SENSEX Index Options'!$I:$I,"MDAW*")+SUMIFS('BSE - Other Index Options'!$M:$M,'BSE - Other Index Options'!$C:$C,$A132,'BSE - Other Index Options'!$B:$B,D$4,'BSE - Other Index Options'!$I:$I,"Weekly*")+SUMIFS('BSE - Other Index Options'!$M:$M,'BSE - Other Index Options'!$C:$C,$A132,'BSE - Other Index Options'!$B:$B,D$4,'BSE - Other Index Options'!$I:$I,"MDAW*"))</f>
        <v/>
      </c>
      <c r="E132" s="26">
        <f>IF(SUMIFS('NSE - NIFTY Index Options'!$M:$M,'NSE - NIFTY Index Options'!$C:$C,$A132,'NSE - NIFTY Index Options'!$B:$B,E$4,'NSE - NIFTY Index Options'!$I:$I,"Weekly*")+SUMIFS('NSE - NIFTY Index Options'!$M:$M,'NSE - NIFTY Index Options'!$C:$C,$A132,'NSE - NIFTY Index Options'!$B:$B,E$4,'NSE - NIFTY Index Options'!$I:$I,"MDAW*")+SUMIFS('NSE - Other Index Options'!$M:$M,'NSE - Other Index Options'!$C:$C,$A132,'NSE - Other Index Options'!$B:$B,E$4,'NSE - Other Index Options'!$I:$I,"Weekly*")+SUMIFS('NSE - Other Index Options'!$M:$M,'NSE - Other Index Options'!$C:$C,$A132,'NSE - Other Index Options'!$B:$B,E$4,'NSE - Other Index Options'!$I:$I,"MDAW*")+SUMIFS('BSE - SENSEX Index Options'!$M:$M,'BSE - SENSEX Index Options'!$C:$C,$A132,'BSE - SENSEX Index Options'!$B:$B,E$4,'BSE - SENSEX Index Options'!$I:$I,"Weekly*")+SUMIFS('BSE - SENSEX Index Options'!$M:$M,'BSE - SENSEX Index Options'!$C:$C,$A132,'BSE - SENSEX Index Options'!$B:$B,E$4,'BSE - SENSEX Index Options'!$I:$I,"MDAW*")+SUMIFS('BSE - Other Index Options'!$M:$M,'BSE - Other Index Options'!$C:$C,$A132,'BSE - Other Index Options'!$B:$B,E$4,'BSE - Other Index Options'!$I:$I,"Weekly*")+SUMIFS('BSE - Other Index Options'!$M:$M,'BSE - Other Index Options'!$C:$C,$A132,'BSE - Other Index Options'!$B:$B,E$4,'BSE - Other Index Options'!$I:$I,"MDAW*")=0,"",SUMIFS('NSE - NIFTY Index Options'!$M:$M,'NSE - NIFTY Index Options'!$C:$C,$A132,'NSE - NIFTY Index Options'!$B:$B,E$4,'NSE - NIFTY Index Options'!$I:$I,"Weekly*")+SUMIFS('NSE - NIFTY Index Options'!$M:$M,'NSE - NIFTY Index Options'!$C:$C,$A132,'NSE - NIFTY Index Options'!$B:$B,E$4,'NSE - NIFTY Index Options'!$I:$I,"MDAW*")+SUMIFS('NSE - Other Index Options'!$M:$M,'NSE - Other Index Options'!$C:$C,$A132,'NSE - Other Index Options'!$B:$B,E$4,'NSE - Other Index Options'!$I:$I,"Weekly*")+SUMIFS('NSE - Other Index Options'!$M:$M,'NSE - Other Index Options'!$C:$C,$A132,'NSE - Other Index Options'!$B:$B,E$4,'NSE - Other Index Options'!$I:$I,"MDAW*")+SUMIFS('BSE - SENSEX Index Options'!$M:$M,'BSE - SENSEX Index Options'!$C:$C,$A132,'BSE - SENSEX Index Options'!$B:$B,E$4,'BSE - SENSEX Index Options'!$I:$I,"Weekly*")+SUMIFS('BSE - SENSEX Index Options'!$M:$M,'BSE - SENSEX Index Options'!$C:$C,$A132,'BSE - SENSEX Index Options'!$B:$B,E$4,'BSE - SENSEX Index Options'!$I:$I,"MDAW*")+SUMIFS('BSE - Other Index Options'!$M:$M,'BSE - Other Index Options'!$C:$C,$A132,'BSE - Other Index Options'!$B:$B,E$4,'BSE - Other Index Options'!$I:$I,"Weekly*")+SUMIFS('BSE - Other Index Options'!$M:$M,'BSE - Other Index Options'!$C:$C,$A132,'BSE - Other Index Options'!$B:$B,E$4,'BSE - Other Index Options'!$I:$I,"MDAW*"))</f>
        <v/>
      </c>
      <c r="F132" s="26">
        <f>IF(SUMIFS('NSE - NIFTY Index Options'!$M:$M,'NSE - NIFTY Index Options'!$C:$C,$A132,'NSE - NIFTY Index Options'!$B:$B,F$4,'NSE - NIFTY Index Options'!$I:$I,"Weekly*")+SUMIFS('NSE - NIFTY Index Options'!$M:$M,'NSE - NIFTY Index Options'!$C:$C,$A132,'NSE - NIFTY Index Options'!$B:$B,F$4,'NSE - NIFTY Index Options'!$I:$I,"MDAW*")+SUMIFS('NSE - Other Index Options'!$M:$M,'NSE - Other Index Options'!$C:$C,$A132,'NSE - Other Index Options'!$B:$B,F$4,'NSE - Other Index Options'!$I:$I,"Weekly*")+SUMIFS('NSE - Other Index Options'!$M:$M,'NSE - Other Index Options'!$C:$C,$A132,'NSE - Other Index Options'!$B:$B,F$4,'NSE - Other Index Options'!$I:$I,"MDAW*")+SUMIFS('BSE - SENSEX Index Options'!$M:$M,'BSE - SENSEX Index Options'!$C:$C,$A132,'BSE - SENSEX Index Options'!$B:$B,F$4,'BSE - SENSEX Index Options'!$I:$I,"Weekly*")+SUMIFS('BSE - SENSEX Index Options'!$M:$M,'BSE - SENSEX Index Options'!$C:$C,$A132,'BSE - SENSEX Index Options'!$B:$B,F$4,'BSE - SENSEX Index Options'!$I:$I,"MDAW*")+SUMIFS('BSE - Other Index Options'!$M:$M,'BSE - Other Index Options'!$C:$C,$A132,'BSE - Other Index Options'!$B:$B,F$4,'BSE - Other Index Options'!$I:$I,"Weekly*")+SUMIFS('BSE - Other Index Options'!$M:$M,'BSE - Other Index Options'!$C:$C,$A132,'BSE - Other Index Options'!$B:$B,F$4,'BSE - Other Index Options'!$I:$I,"MDAW*")=0,"",SUMIFS('NSE - NIFTY Index Options'!$M:$M,'NSE - NIFTY Index Options'!$C:$C,$A132,'NSE - NIFTY Index Options'!$B:$B,F$4,'NSE - NIFTY Index Options'!$I:$I,"Weekly*")+SUMIFS('NSE - NIFTY Index Options'!$M:$M,'NSE - NIFTY Index Options'!$C:$C,$A132,'NSE - NIFTY Index Options'!$B:$B,F$4,'NSE - NIFTY Index Options'!$I:$I,"MDAW*")+SUMIFS('NSE - Other Index Options'!$M:$M,'NSE - Other Index Options'!$C:$C,$A132,'NSE - Other Index Options'!$B:$B,F$4,'NSE - Other Index Options'!$I:$I,"Weekly*")+SUMIFS('NSE - Other Index Options'!$M:$M,'NSE - Other Index Options'!$C:$C,$A132,'NSE - Other Index Options'!$B:$B,F$4,'NSE - Other Index Options'!$I:$I,"MDAW*")+SUMIFS('BSE - SENSEX Index Options'!$M:$M,'BSE - SENSEX Index Options'!$C:$C,$A132,'BSE - SENSEX Index Options'!$B:$B,F$4,'BSE - SENSEX Index Options'!$I:$I,"Weekly*")+SUMIFS('BSE - SENSEX Index Options'!$M:$M,'BSE - SENSEX Index Options'!$C:$C,$A132,'BSE - SENSEX Index Options'!$B:$B,F$4,'BSE - SENSEX Index Options'!$I:$I,"MDAW*")+SUMIFS('BSE - Other Index Options'!$M:$M,'BSE - Other Index Options'!$C:$C,$A132,'BSE - Other Index Options'!$B:$B,F$4,'BSE - Other Index Options'!$I:$I,"Weekly*")+SUMIFS('BSE - Other Index Options'!$M:$M,'BSE - Other Index Options'!$C:$C,$A132,'BSE - Other Index Options'!$B:$B,F$4,'BSE - Other Index Options'!$I:$I,"MDAW*"))</f>
        <v/>
      </c>
      <c r="G132" s="26">
        <f>IF(SUMIFS('NSE - NIFTY Index Options'!$M:$M,'NSE - NIFTY Index Options'!$C:$C,$A132,'NSE - NIFTY Index Options'!$B:$B,G$4,'NSE - NIFTY Index Options'!$I:$I,"Weekly*")+SUMIFS('NSE - NIFTY Index Options'!$M:$M,'NSE - NIFTY Index Options'!$C:$C,$A132,'NSE - NIFTY Index Options'!$B:$B,G$4,'NSE - NIFTY Index Options'!$I:$I,"MDAW*")+SUMIFS('NSE - Other Index Options'!$M:$M,'NSE - Other Index Options'!$C:$C,$A132,'NSE - Other Index Options'!$B:$B,G$4,'NSE - Other Index Options'!$I:$I,"Weekly*")+SUMIFS('NSE - Other Index Options'!$M:$M,'NSE - Other Index Options'!$C:$C,$A132,'NSE - Other Index Options'!$B:$B,G$4,'NSE - Other Index Options'!$I:$I,"MDAW*")+SUMIFS('BSE - SENSEX Index Options'!$M:$M,'BSE - SENSEX Index Options'!$C:$C,$A132,'BSE - SENSEX Index Options'!$B:$B,G$4,'BSE - SENSEX Index Options'!$I:$I,"Weekly*")+SUMIFS('BSE - SENSEX Index Options'!$M:$M,'BSE - SENSEX Index Options'!$C:$C,$A132,'BSE - SENSEX Index Options'!$B:$B,G$4,'BSE - SENSEX Index Options'!$I:$I,"MDAW*")+SUMIFS('BSE - Other Index Options'!$M:$M,'BSE - Other Index Options'!$C:$C,$A132,'BSE - Other Index Options'!$B:$B,G$4,'BSE - Other Index Options'!$I:$I,"Weekly*")+SUMIFS('BSE - Other Index Options'!$M:$M,'BSE - Other Index Options'!$C:$C,$A132,'BSE - Other Index Options'!$B:$B,G$4,'BSE - Other Index Options'!$I:$I,"MDAW*")=0,"",SUMIFS('NSE - NIFTY Index Options'!$M:$M,'NSE - NIFTY Index Options'!$C:$C,$A132,'NSE - NIFTY Index Options'!$B:$B,G$4,'NSE - NIFTY Index Options'!$I:$I,"Weekly*")+SUMIFS('NSE - NIFTY Index Options'!$M:$M,'NSE - NIFTY Index Options'!$C:$C,$A132,'NSE - NIFTY Index Options'!$B:$B,G$4,'NSE - NIFTY Index Options'!$I:$I,"MDAW*")+SUMIFS('NSE - Other Index Options'!$M:$M,'NSE - Other Index Options'!$C:$C,$A132,'NSE - Other Index Options'!$B:$B,G$4,'NSE - Other Index Options'!$I:$I,"Weekly*")+SUMIFS('NSE - Other Index Options'!$M:$M,'NSE - Other Index Options'!$C:$C,$A132,'NSE - Other Index Options'!$B:$B,G$4,'NSE - Other Index Options'!$I:$I,"MDAW*")+SUMIFS('BSE - SENSEX Index Options'!$M:$M,'BSE - SENSEX Index Options'!$C:$C,$A132,'BSE - SENSEX Index Options'!$B:$B,G$4,'BSE - SENSEX Index Options'!$I:$I,"Weekly*")+SUMIFS('BSE - SENSEX Index Options'!$M:$M,'BSE - SENSEX Index Options'!$C:$C,$A132,'BSE - SENSEX Index Options'!$B:$B,G$4,'BSE - SENSEX Index Options'!$I:$I,"MDAW*")+SUMIFS('BSE - Other Index Options'!$M:$M,'BSE - Other Index Options'!$C:$C,$A132,'BSE - Other Index Options'!$B:$B,G$4,'BSE - Other Index Options'!$I:$I,"Weekly*")+SUMIFS('BSE - Other Index Options'!$M:$M,'BSE - Other Index Options'!$C:$C,$A132,'BSE - Other Index Options'!$B:$B,G$4,'BSE - Other Index Options'!$I:$I,"MDAW*"))</f>
        <v/>
      </c>
      <c r="H132" s="26">
        <f>IF(SUM(B132:G132)=0,"",SUM(B132:G132))</f>
        <v/>
      </c>
    </row>
    <row r="133" hidden="1" outlineLevel="1">
      <c r="A133" t="inlineStr">
        <is>
          <t>Week1-Nov-2027</t>
        </is>
      </c>
      <c r="B133" s="26">
        <f>IF(SUMIFS('NSE - NIFTY Index Options'!$M:$M,'NSE - NIFTY Index Options'!$C:$C,$A133,'NSE - NIFTY Index Options'!$B:$B,B$4,'NSE - NIFTY Index Options'!$I:$I,"Weekly*")+SUMIFS('NSE - NIFTY Index Options'!$M:$M,'NSE - NIFTY Index Options'!$C:$C,$A133,'NSE - NIFTY Index Options'!$B:$B,B$4,'NSE - NIFTY Index Options'!$I:$I,"MDAW*")+SUMIFS('NSE - Other Index Options'!$M:$M,'NSE - Other Index Options'!$C:$C,$A133,'NSE - Other Index Options'!$B:$B,B$4,'NSE - Other Index Options'!$I:$I,"Weekly*")+SUMIFS('NSE - Other Index Options'!$M:$M,'NSE - Other Index Options'!$C:$C,$A133,'NSE - Other Index Options'!$B:$B,B$4,'NSE - Other Index Options'!$I:$I,"MDAW*")+SUMIFS('BSE - SENSEX Index Options'!$M:$M,'BSE - SENSEX Index Options'!$C:$C,$A133,'BSE - SENSEX Index Options'!$B:$B,B$4,'BSE - SENSEX Index Options'!$I:$I,"Weekly*")+SUMIFS('BSE - SENSEX Index Options'!$M:$M,'BSE - SENSEX Index Options'!$C:$C,$A133,'BSE - SENSEX Index Options'!$B:$B,B$4,'BSE - SENSEX Index Options'!$I:$I,"MDAW*")+SUMIFS('BSE - Other Index Options'!$M:$M,'BSE - Other Index Options'!$C:$C,$A133,'BSE - Other Index Options'!$B:$B,B$4,'BSE - Other Index Options'!$I:$I,"Weekly*")+SUMIFS('BSE - Other Index Options'!$M:$M,'BSE - Other Index Options'!$C:$C,$A133,'BSE - Other Index Options'!$B:$B,B$4,'BSE - Other Index Options'!$I:$I,"MDAW*")=0,"",SUMIFS('NSE - NIFTY Index Options'!$M:$M,'NSE - NIFTY Index Options'!$C:$C,$A133,'NSE - NIFTY Index Options'!$B:$B,B$4,'NSE - NIFTY Index Options'!$I:$I,"Weekly*")+SUMIFS('NSE - NIFTY Index Options'!$M:$M,'NSE - NIFTY Index Options'!$C:$C,$A133,'NSE - NIFTY Index Options'!$B:$B,B$4,'NSE - NIFTY Index Options'!$I:$I,"MDAW*")+SUMIFS('NSE - Other Index Options'!$M:$M,'NSE - Other Index Options'!$C:$C,$A133,'NSE - Other Index Options'!$B:$B,B$4,'NSE - Other Index Options'!$I:$I,"Weekly*")+SUMIFS('NSE - Other Index Options'!$M:$M,'NSE - Other Index Options'!$C:$C,$A133,'NSE - Other Index Options'!$B:$B,B$4,'NSE - Other Index Options'!$I:$I,"MDAW*")+SUMIFS('BSE - SENSEX Index Options'!$M:$M,'BSE - SENSEX Index Options'!$C:$C,$A133,'BSE - SENSEX Index Options'!$B:$B,B$4,'BSE - SENSEX Index Options'!$I:$I,"Weekly*")+SUMIFS('BSE - SENSEX Index Options'!$M:$M,'BSE - SENSEX Index Options'!$C:$C,$A133,'BSE - SENSEX Index Options'!$B:$B,B$4,'BSE - SENSEX Index Options'!$I:$I,"MDAW*")+SUMIFS('BSE - Other Index Options'!$M:$M,'BSE - Other Index Options'!$C:$C,$A133,'BSE - Other Index Options'!$B:$B,B$4,'BSE - Other Index Options'!$I:$I,"Weekly*")+SUMIFS('BSE - Other Index Options'!$M:$M,'BSE - Other Index Options'!$C:$C,$A133,'BSE - Other Index Options'!$B:$B,B$4,'BSE - Other Index Options'!$I:$I,"MDAW*"))</f>
        <v/>
      </c>
      <c r="C133" s="26">
        <f>IF(SUMIFS('NSE - NIFTY Index Options'!$M:$M,'NSE - NIFTY Index Options'!$C:$C,$A133,'NSE - NIFTY Index Options'!$B:$B,C$4,'NSE - NIFTY Index Options'!$I:$I,"Weekly*")+SUMIFS('NSE - NIFTY Index Options'!$M:$M,'NSE - NIFTY Index Options'!$C:$C,$A133,'NSE - NIFTY Index Options'!$B:$B,C$4,'NSE - NIFTY Index Options'!$I:$I,"MDAW*")+SUMIFS('NSE - Other Index Options'!$M:$M,'NSE - Other Index Options'!$C:$C,$A133,'NSE - Other Index Options'!$B:$B,C$4,'NSE - Other Index Options'!$I:$I,"Weekly*")+SUMIFS('NSE - Other Index Options'!$M:$M,'NSE - Other Index Options'!$C:$C,$A133,'NSE - Other Index Options'!$B:$B,C$4,'NSE - Other Index Options'!$I:$I,"MDAW*")+SUMIFS('BSE - SENSEX Index Options'!$M:$M,'BSE - SENSEX Index Options'!$C:$C,$A133,'BSE - SENSEX Index Options'!$B:$B,C$4,'BSE - SENSEX Index Options'!$I:$I,"Weekly*")+SUMIFS('BSE - SENSEX Index Options'!$M:$M,'BSE - SENSEX Index Options'!$C:$C,$A133,'BSE - SENSEX Index Options'!$B:$B,C$4,'BSE - SENSEX Index Options'!$I:$I,"MDAW*")+SUMIFS('BSE - Other Index Options'!$M:$M,'BSE - Other Index Options'!$C:$C,$A133,'BSE - Other Index Options'!$B:$B,C$4,'BSE - Other Index Options'!$I:$I,"Weekly*")+SUMIFS('BSE - Other Index Options'!$M:$M,'BSE - Other Index Options'!$C:$C,$A133,'BSE - Other Index Options'!$B:$B,C$4,'BSE - Other Index Options'!$I:$I,"MDAW*")=0,"",SUMIFS('NSE - NIFTY Index Options'!$M:$M,'NSE - NIFTY Index Options'!$C:$C,$A133,'NSE - NIFTY Index Options'!$B:$B,C$4,'NSE - NIFTY Index Options'!$I:$I,"Weekly*")+SUMIFS('NSE - NIFTY Index Options'!$M:$M,'NSE - NIFTY Index Options'!$C:$C,$A133,'NSE - NIFTY Index Options'!$B:$B,C$4,'NSE - NIFTY Index Options'!$I:$I,"MDAW*")+SUMIFS('NSE - Other Index Options'!$M:$M,'NSE - Other Index Options'!$C:$C,$A133,'NSE - Other Index Options'!$B:$B,C$4,'NSE - Other Index Options'!$I:$I,"Weekly*")+SUMIFS('NSE - Other Index Options'!$M:$M,'NSE - Other Index Options'!$C:$C,$A133,'NSE - Other Index Options'!$B:$B,C$4,'NSE - Other Index Options'!$I:$I,"MDAW*")+SUMIFS('BSE - SENSEX Index Options'!$M:$M,'BSE - SENSEX Index Options'!$C:$C,$A133,'BSE - SENSEX Index Options'!$B:$B,C$4,'BSE - SENSEX Index Options'!$I:$I,"Weekly*")+SUMIFS('BSE - SENSEX Index Options'!$M:$M,'BSE - SENSEX Index Options'!$C:$C,$A133,'BSE - SENSEX Index Options'!$B:$B,C$4,'BSE - SENSEX Index Options'!$I:$I,"MDAW*")+SUMIFS('BSE - Other Index Options'!$M:$M,'BSE - Other Index Options'!$C:$C,$A133,'BSE - Other Index Options'!$B:$B,C$4,'BSE - Other Index Options'!$I:$I,"Weekly*")+SUMIFS('BSE - Other Index Options'!$M:$M,'BSE - Other Index Options'!$C:$C,$A133,'BSE - Other Index Options'!$B:$B,C$4,'BSE - Other Index Options'!$I:$I,"MDAW*"))</f>
        <v/>
      </c>
      <c r="D133" s="26">
        <f>IF(SUMIFS('NSE - NIFTY Index Options'!$M:$M,'NSE - NIFTY Index Options'!$C:$C,$A133,'NSE - NIFTY Index Options'!$B:$B,D$4,'NSE - NIFTY Index Options'!$I:$I,"Weekly*")+SUMIFS('NSE - NIFTY Index Options'!$M:$M,'NSE - NIFTY Index Options'!$C:$C,$A133,'NSE - NIFTY Index Options'!$B:$B,D$4,'NSE - NIFTY Index Options'!$I:$I,"MDAW*")+SUMIFS('NSE - Other Index Options'!$M:$M,'NSE - Other Index Options'!$C:$C,$A133,'NSE - Other Index Options'!$B:$B,D$4,'NSE - Other Index Options'!$I:$I,"Weekly*")+SUMIFS('NSE - Other Index Options'!$M:$M,'NSE - Other Index Options'!$C:$C,$A133,'NSE - Other Index Options'!$B:$B,D$4,'NSE - Other Index Options'!$I:$I,"MDAW*")+SUMIFS('BSE - SENSEX Index Options'!$M:$M,'BSE - SENSEX Index Options'!$C:$C,$A133,'BSE - SENSEX Index Options'!$B:$B,D$4,'BSE - SENSEX Index Options'!$I:$I,"Weekly*")+SUMIFS('BSE - SENSEX Index Options'!$M:$M,'BSE - SENSEX Index Options'!$C:$C,$A133,'BSE - SENSEX Index Options'!$B:$B,D$4,'BSE - SENSEX Index Options'!$I:$I,"MDAW*")+SUMIFS('BSE - Other Index Options'!$M:$M,'BSE - Other Index Options'!$C:$C,$A133,'BSE - Other Index Options'!$B:$B,D$4,'BSE - Other Index Options'!$I:$I,"Weekly*")+SUMIFS('BSE - Other Index Options'!$M:$M,'BSE - Other Index Options'!$C:$C,$A133,'BSE - Other Index Options'!$B:$B,D$4,'BSE - Other Index Options'!$I:$I,"MDAW*")=0,"",SUMIFS('NSE - NIFTY Index Options'!$M:$M,'NSE - NIFTY Index Options'!$C:$C,$A133,'NSE - NIFTY Index Options'!$B:$B,D$4,'NSE - NIFTY Index Options'!$I:$I,"Weekly*")+SUMIFS('NSE - NIFTY Index Options'!$M:$M,'NSE - NIFTY Index Options'!$C:$C,$A133,'NSE - NIFTY Index Options'!$B:$B,D$4,'NSE - NIFTY Index Options'!$I:$I,"MDAW*")+SUMIFS('NSE - Other Index Options'!$M:$M,'NSE - Other Index Options'!$C:$C,$A133,'NSE - Other Index Options'!$B:$B,D$4,'NSE - Other Index Options'!$I:$I,"Weekly*")+SUMIFS('NSE - Other Index Options'!$M:$M,'NSE - Other Index Options'!$C:$C,$A133,'NSE - Other Index Options'!$B:$B,D$4,'NSE - Other Index Options'!$I:$I,"MDAW*")+SUMIFS('BSE - SENSEX Index Options'!$M:$M,'BSE - SENSEX Index Options'!$C:$C,$A133,'BSE - SENSEX Index Options'!$B:$B,D$4,'BSE - SENSEX Index Options'!$I:$I,"Weekly*")+SUMIFS('BSE - SENSEX Index Options'!$M:$M,'BSE - SENSEX Index Options'!$C:$C,$A133,'BSE - SENSEX Index Options'!$B:$B,D$4,'BSE - SENSEX Index Options'!$I:$I,"MDAW*")+SUMIFS('BSE - Other Index Options'!$M:$M,'BSE - Other Index Options'!$C:$C,$A133,'BSE - Other Index Options'!$B:$B,D$4,'BSE - Other Index Options'!$I:$I,"Weekly*")+SUMIFS('BSE - Other Index Options'!$M:$M,'BSE - Other Index Options'!$C:$C,$A133,'BSE - Other Index Options'!$B:$B,D$4,'BSE - Other Index Options'!$I:$I,"MDAW*"))</f>
        <v/>
      </c>
      <c r="E133" s="26">
        <f>IF(SUMIFS('NSE - NIFTY Index Options'!$M:$M,'NSE - NIFTY Index Options'!$C:$C,$A133,'NSE - NIFTY Index Options'!$B:$B,E$4,'NSE - NIFTY Index Options'!$I:$I,"Weekly*")+SUMIFS('NSE - NIFTY Index Options'!$M:$M,'NSE - NIFTY Index Options'!$C:$C,$A133,'NSE - NIFTY Index Options'!$B:$B,E$4,'NSE - NIFTY Index Options'!$I:$I,"MDAW*")+SUMIFS('NSE - Other Index Options'!$M:$M,'NSE - Other Index Options'!$C:$C,$A133,'NSE - Other Index Options'!$B:$B,E$4,'NSE - Other Index Options'!$I:$I,"Weekly*")+SUMIFS('NSE - Other Index Options'!$M:$M,'NSE - Other Index Options'!$C:$C,$A133,'NSE - Other Index Options'!$B:$B,E$4,'NSE - Other Index Options'!$I:$I,"MDAW*")+SUMIFS('BSE - SENSEX Index Options'!$M:$M,'BSE - SENSEX Index Options'!$C:$C,$A133,'BSE - SENSEX Index Options'!$B:$B,E$4,'BSE - SENSEX Index Options'!$I:$I,"Weekly*")+SUMIFS('BSE - SENSEX Index Options'!$M:$M,'BSE - SENSEX Index Options'!$C:$C,$A133,'BSE - SENSEX Index Options'!$B:$B,E$4,'BSE - SENSEX Index Options'!$I:$I,"MDAW*")+SUMIFS('BSE - Other Index Options'!$M:$M,'BSE - Other Index Options'!$C:$C,$A133,'BSE - Other Index Options'!$B:$B,E$4,'BSE - Other Index Options'!$I:$I,"Weekly*")+SUMIFS('BSE - Other Index Options'!$M:$M,'BSE - Other Index Options'!$C:$C,$A133,'BSE - Other Index Options'!$B:$B,E$4,'BSE - Other Index Options'!$I:$I,"MDAW*")=0,"",SUMIFS('NSE - NIFTY Index Options'!$M:$M,'NSE - NIFTY Index Options'!$C:$C,$A133,'NSE - NIFTY Index Options'!$B:$B,E$4,'NSE - NIFTY Index Options'!$I:$I,"Weekly*")+SUMIFS('NSE - NIFTY Index Options'!$M:$M,'NSE - NIFTY Index Options'!$C:$C,$A133,'NSE - NIFTY Index Options'!$B:$B,E$4,'NSE - NIFTY Index Options'!$I:$I,"MDAW*")+SUMIFS('NSE - Other Index Options'!$M:$M,'NSE - Other Index Options'!$C:$C,$A133,'NSE - Other Index Options'!$B:$B,E$4,'NSE - Other Index Options'!$I:$I,"Weekly*")+SUMIFS('NSE - Other Index Options'!$M:$M,'NSE - Other Index Options'!$C:$C,$A133,'NSE - Other Index Options'!$B:$B,E$4,'NSE - Other Index Options'!$I:$I,"MDAW*")+SUMIFS('BSE - SENSEX Index Options'!$M:$M,'BSE - SENSEX Index Options'!$C:$C,$A133,'BSE - SENSEX Index Options'!$B:$B,E$4,'BSE - SENSEX Index Options'!$I:$I,"Weekly*")+SUMIFS('BSE - SENSEX Index Options'!$M:$M,'BSE - SENSEX Index Options'!$C:$C,$A133,'BSE - SENSEX Index Options'!$B:$B,E$4,'BSE - SENSEX Index Options'!$I:$I,"MDAW*")+SUMIFS('BSE - Other Index Options'!$M:$M,'BSE - Other Index Options'!$C:$C,$A133,'BSE - Other Index Options'!$B:$B,E$4,'BSE - Other Index Options'!$I:$I,"Weekly*")+SUMIFS('BSE - Other Index Options'!$M:$M,'BSE - Other Index Options'!$C:$C,$A133,'BSE - Other Index Options'!$B:$B,E$4,'BSE - Other Index Options'!$I:$I,"MDAW*"))</f>
        <v/>
      </c>
      <c r="F133" s="26">
        <f>IF(SUMIFS('NSE - NIFTY Index Options'!$M:$M,'NSE - NIFTY Index Options'!$C:$C,$A133,'NSE - NIFTY Index Options'!$B:$B,F$4,'NSE - NIFTY Index Options'!$I:$I,"Weekly*")+SUMIFS('NSE - NIFTY Index Options'!$M:$M,'NSE - NIFTY Index Options'!$C:$C,$A133,'NSE - NIFTY Index Options'!$B:$B,F$4,'NSE - NIFTY Index Options'!$I:$I,"MDAW*")+SUMIFS('NSE - Other Index Options'!$M:$M,'NSE - Other Index Options'!$C:$C,$A133,'NSE - Other Index Options'!$B:$B,F$4,'NSE - Other Index Options'!$I:$I,"Weekly*")+SUMIFS('NSE - Other Index Options'!$M:$M,'NSE - Other Index Options'!$C:$C,$A133,'NSE - Other Index Options'!$B:$B,F$4,'NSE - Other Index Options'!$I:$I,"MDAW*")+SUMIFS('BSE - SENSEX Index Options'!$M:$M,'BSE - SENSEX Index Options'!$C:$C,$A133,'BSE - SENSEX Index Options'!$B:$B,F$4,'BSE - SENSEX Index Options'!$I:$I,"Weekly*")+SUMIFS('BSE - SENSEX Index Options'!$M:$M,'BSE - SENSEX Index Options'!$C:$C,$A133,'BSE - SENSEX Index Options'!$B:$B,F$4,'BSE - SENSEX Index Options'!$I:$I,"MDAW*")+SUMIFS('BSE - Other Index Options'!$M:$M,'BSE - Other Index Options'!$C:$C,$A133,'BSE - Other Index Options'!$B:$B,F$4,'BSE - Other Index Options'!$I:$I,"Weekly*")+SUMIFS('BSE - Other Index Options'!$M:$M,'BSE - Other Index Options'!$C:$C,$A133,'BSE - Other Index Options'!$B:$B,F$4,'BSE - Other Index Options'!$I:$I,"MDAW*")=0,"",SUMIFS('NSE - NIFTY Index Options'!$M:$M,'NSE - NIFTY Index Options'!$C:$C,$A133,'NSE - NIFTY Index Options'!$B:$B,F$4,'NSE - NIFTY Index Options'!$I:$I,"Weekly*")+SUMIFS('NSE - NIFTY Index Options'!$M:$M,'NSE - NIFTY Index Options'!$C:$C,$A133,'NSE - NIFTY Index Options'!$B:$B,F$4,'NSE - NIFTY Index Options'!$I:$I,"MDAW*")+SUMIFS('NSE - Other Index Options'!$M:$M,'NSE - Other Index Options'!$C:$C,$A133,'NSE - Other Index Options'!$B:$B,F$4,'NSE - Other Index Options'!$I:$I,"Weekly*")+SUMIFS('NSE - Other Index Options'!$M:$M,'NSE - Other Index Options'!$C:$C,$A133,'NSE - Other Index Options'!$B:$B,F$4,'NSE - Other Index Options'!$I:$I,"MDAW*")+SUMIFS('BSE - SENSEX Index Options'!$M:$M,'BSE - SENSEX Index Options'!$C:$C,$A133,'BSE - SENSEX Index Options'!$B:$B,F$4,'BSE - SENSEX Index Options'!$I:$I,"Weekly*")+SUMIFS('BSE - SENSEX Index Options'!$M:$M,'BSE - SENSEX Index Options'!$C:$C,$A133,'BSE - SENSEX Index Options'!$B:$B,F$4,'BSE - SENSEX Index Options'!$I:$I,"MDAW*")+SUMIFS('BSE - Other Index Options'!$M:$M,'BSE - Other Index Options'!$C:$C,$A133,'BSE - Other Index Options'!$B:$B,F$4,'BSE - Other Index Options'!$I:$I,"Weekly*")+SUMIFS('BSE - Other Index Options'!$M:$M,'BSE - Other Index Options'!$C:$C,$A133,'BSE - Other Index Options'!$B:$B,F$4,'BSE - Other Index Options'!$I:$I,"MDAW*"))</f>
        <v/>
      </c>
      <c r="G133" s="26">
        <f>IF(SUMIFS('NSE - NIFTY Index Options'!$M:$M,'NSE - NIFTY Index Options'!$C:$C,$A133,'NSE - NIFTY Index Options'!$B:$B,G$4,'NSE - NIFTY Index Options'!$I:$I,"Weekly*")+SUMIFS('NSE - NIFTY Index Options'!$M:$M,'NSE - NIFTY Index Options'!$C:$C,$A133,'NSE - NIFTY Index Options'!$B:$B,G$4,'NSE - NIFTY Index Options'!$I:$I,"MDAW*")+SUMIFS('NSE - Other Index Options'!$M:$M,'NSE - Other Index Options'!$C:$C,$A133,'NSE - Other Index Options'!$B:$B,G$4,'NSE - Other Index Options'!$I:$I,"Weekly*")+SUMIFS('NSE - Other Index Options'!$M:$M,'NSE - Other Index Options'!$C:$C,$A133,'NSE - Other Index Options'!$B:$B,G$4,'NSE - Other Index Options'!$I:$I,"MDAW*")+SUMIFS('BSE - SENSEX Index Options'!$M:$M,'BSE - SENSEX Index Options'!$C:$C,$A133,'BSE - SENSEX Index Options'!$B:$B,G$4,'BSE - SENSEX Index Options'!$I:$I,"Weekly*")+SUMIFS('BSE - SENSEX Index Options'!$M:$M,'BSE - SENSEX Index Options'!$C:$C,$A133,'BSE - SENSEX Index Options'!$B:$B,G$4,'BSE - SENSEX Index Options'!$I:$I,"MDAW*")+SUMIFS('BSE - Other Index Options'!$M:$M,'BSE - Other Index Options'!$C:$C,$A133,'BSE - Other Index Options'!$B:$B,G$4,'BSE - Other Index Options'!$I:$I,"Weekly*")+SUMIFS('BSE - Other Index Options'!$M:$M,'BSE - Other Index Options'!$C:$C,$A133,'BSE - Other Index Options'!$B:$B,G$4,'BSE - Other Index Options'!$I:$I,"MDAW*")=0,"",SUMIFS('NSE - NIFTY Index Options'!$M:$M,'NSE - NIFTY Index Options'!$C:$C,$A133,'NSE - NIFTY Index Options'!$B:$B,G$4,'NSE - NIFTY Index Options'!$I:$I,"Weekly*")+SUMIFS('NSE - NIFTY Index Options'!$M:$M,'NSE - NIFTY Index Options'!$C:$C,$A133,'NSE - NIFTY Index Options'!$B:$B,G$4,'NSE - NIFTY Index Options'!$I:$I,"MDAW*")+SUMIFS('NSE - Other Index Options'!$M:$M,'NSE - Other Index Options'!$C:$C,$A133,'NSE - Other Index Options'!$B:$B,G$4,'NSE - Other Index Options'!$I:$I,"Weekly*")+SUMIFS('NSE - Other Index Options'!$M:$M,'NSE - Other Index Options'!$C:$C,$A133,'NSE - Other Index Options'!$B:$B,G$4,'NSE - Other Index Options'!$I:$I,"MDAW*")+SUMIFS('BSE - SENSEX Index Options'!$M:$M,'BSE - SENSEX Index Options'!$C:$C,$A133,'BSE - SENSEX Index Options'!$B:$B,G$4,'BSE - SENSEX Index Options'!$I:$I,"Weekly*")+SUMIFS('BSE - SENSEX Index Options'!$M:$M,'BSE - SENSEX Index Options'!$C:$C,$A133,'BSE - SENSEX Index Options'!$B:$B,G$4,'BSE - SENSEX Index Options'!$I:$I,"MDAW*")+SUMIFS('BSE - Other Index Options'!$M:$M,'BSE - Other Index Options'!$C:$C,$A133,'BSE - Other Index Options'!$B:$B,G$4,'BSE - Other Index Options'!$I:$I,"Weekly*")+SUMIFS('BSE - Other Index Options'!$M:$M,'BSE - Other Index Options'!$C:$C,$A133,'BSE - Other Index Options'!$B:$B,G$4,'BSE - Other Index Options'!$I:$I,"MDAW*"))</f>
        <v/>
      </c>
      <c r="H133" s="26">
        <f>IF(SUM(B133:G133)=0,"",SUM(B133:G133))</f>
        <v/>
      </c>
    </row>
    <row r="134" hidden="1" outlineLevel="1">
      <c r="A134" t="inlineStr">
        <is>
          <t>Week2-Nov-2027</t>
        </is>
      </c>
      <c r="B134" s="26">
        <f>IF(SUMIFS('NSE - NIFTY Index Options'!$M:$M,'NSE - NIFTY Index Options'!$C:$C,$A134,'NSE - NIFTY Index Options'!$B:$B,B$4,'NSE - NIFTY Index Options'!$I:$I,"Weekly*")+SUMIFS('NSE - NIFTY Index Options'!$M:$M,'NSE - NIFTY Index Options'!$C:$C,$A134,'NSE - NIFTY Index Options'!$B:$B,B$4,'NSE - NIFTY Index Options'!$I:$I,"MDAW*")+SUMIFS('NSE - Other Index Options'!$M:$M,'NSE - Other Index Options'!$C:$C,$A134,'NSE - Other Index Options'!$B:$B,B$4,'NSE - Other Index Options'!$I:$I,"Weekly*")+SUMIFS('NSE - Other Index Options'!$M:$M,'NSE - Other Index Options'!$C:$C,$A134,'NSE - Other Index Options'!$B:$B,B$4,'NSE - Other Index Options'!$I:$I,"MDAW*")+SUMIFS('BSE - SENSEX Index Options'!$M:$M,'BSE - SENSEX Index Options'!$C:$C,$A134,'BSE - SENSEX Index Options'!$B:$B,B$4,'BSE - SENSEX Index Options'!$I:$I,"Weekly*")+SUMIFS('BSE - SENSEX Index Options'!$M:$M,'BSE - SENSEX Index Options'!$C:$C,$A134,'BSE - SENSEX Index Options'!$B:$B,B$4,'BSE - SENSEX Index Options'!$I:$I,"MDAW*")+SUMIFS('BSE - Other Index Options'!$M:$M,'BSE - Other Index Options'!$C:$C,$A134,'BSE - Other Index Options'!$B:$B,B$4,'BSE - Other Index Options'!$I:$I,"Weekly*")+SUMIFS('BSE - Other Index Options'!$M:$M,'BSE - Other Index Options'!$C:$C,$A134,'BSE - Other Index Options'!$B:$B,B$4,'BSE - Other Index Options'!$I:$I,"MDAW*")=0,"",SUMIFS('NSE - NIFTY Index Options'!$M:$M,'NSE - NIFTY Index Options'!$C:$C,$A134,'NSE - NIFTY Index Options'!$B:$B,B$4,'NSE - NIFTY Index Options'!$I:$I,"Weekly*")+SUMIFS('NSE - NIFTY Index Options'!$M:$M,'NSE - NIFTY Index Options'!$C:$C,$A134,'NSE - NIFTY Index Options'!$B:$B,B$4,'NSE - NIFTY Index Options'!$I:$I,"MDAW*")+SUMIFS('NSE - Other Index Options'!$M:$M,'NSE - Other Index Options'!$C:$C,$A134,'NSE - Other Index Options'!$B:$B,B$4,'NSE - Other Index Options'!$I:$I,"Weekly*")+SUMIFS('NSE - Other Index Options'!$M:$M,'NSE - Other Index Options'!$C:$C,$A134,'NSE - Other Index Options'!$B:$B,B$4,'NSE - Other Index Options'!$I:$I,"MDAW*")+SUMIFS('BSE - SENSEX Index Options'!$M:$M,'BSE - SENSEX Index Options'!$C:$C,$A134,'BSE - SENSEX Index Options'!$B:$B,B$4,'BSE - SENSEX Index Options'!$I:$I,"Weekly*")+SUMIFS('BSE - SENSEX Index Options'!$M:$M,'BSE - SENSEX Index Options'!$C:$C,$A134,'BSE - SENSEX Index Options'!$B:$B,B$4,'BSE - SENSEX Index Options'!$I:$I,"MDAW*")+SUMIFS('BSE - Other Index Options'!$M:$M,'BSE - Other Index Options'!$C:$C,$A134,'BSE - Other Index Options'!$B:$B,B$4,'BSE - Other Index Options'!$I:$I,"Weekly*")+SUMIFS('BSE - Other Index Options'!$M:$M,'BSE - Other Index Options'!$C:$C,$A134,'BSE - Other Index Options'!$B:$B,B$4,'BSE - Other Index Options'!$I:$I,"MDAW*"))</f>
        <v/>
      </c>
      <c r="C134" s="26">
        <f>IF(SUMIFS('NSE - NIFTY Index Options'!$M:$M,'NSE - NIFTY Index Options'!$C:$C,$A134,'NSE - NIFTY Index Options'!$B:$B,C$4,'NSE - NIFTY Index Options'!$I:$I,"Weekly*")+SUMIFS('NSE - NIFTY Index Options'!$M:$M,'NSE - NIFTY Index Options'!$C:$C,$A134,'NSE - NIFTY Index Options'!$B:$B,C$4,'NSE - NIFTY Index Options'!$I:$I,"MDAW*")+SUMIFS('NSE - Other Index Options'!$M:$M,'NSE - Other Index Options'!$C:$C,$A134,'NSE - Other Index Options'!$B:$B,C$4,'NSE - Other Index Options'!$I:$I,"Weekly*")+SUMIFS('NSE - Other Index Options'!$M:$M,'NSE - Other Index Options'!$C:$C,$A134,'NSE - Other Index Options'!$B:$B,C$4,'NSE - Other Index Options'!$I:$I,"MDAW*")+SUMIFS('BSE - SENSEX Index Options'!$M:$M,'BSE - SENSEX Index Options'!$C:$C,$A134,'BSE - SENSEX Index Options'!$B:$B,C$4,'BSE - SENSEX Index Options'!$I:$I,"Weekly*")+SUMIFS('BSE - SENSEX Index Options'!$M:$M,'BSE - SENSEX Index Options'!$C:$C,$A134,'BSE - SENSEX Index Options'!$B:$B,C$4,'BSE - SENSEX Index Options'!$I:$I,"MDAW*")+SUMIFS('BSE - Other Index Options'!$M:$M,'BSE - Other Index Options'!$C:$C,$A134,'BSE - Other Index Options'!$B:$B,C$4,'BSE - Other Index Options'!$I:$I,"Weekly*")+SUMIFS('BSE - Other Index Options'!$M:$M,'BSE - Other Index Options'!$C:$C,$A134,'BSE - Other Index Options'!$B:$B,C$4,'BSE - Other Index Options'!$I:$I,"MDAW*")=0,"",SUMIFS('NSE - NIFTY Index Options'!$M:$M,'NSE - NIFTY Index Options'!$C:$C,$A134,'NSE - NIFTY Index Options'!$B:$B,C$4,'NSE - NIFTY Index Options'!$I:$I,"Weekly*")+SUMIFS('NSE - NIFTY Index Options'!$M:$M,'NSE - NIFTY Index Options'!$C:$C,$A134,'NSE - NIFTY Index Options'!$B:$B,C$4,'NSE - NIFTY Index Options'!$I:$I,"MDAW*")+SUMIFS('NSE - Other Index Options'!$M:$M,'NSE - Other Index Options'!$C:$C,$A134,'NSE - Other Index Options'!$B:$B,C$4,'NSE - Other Index Options'!$I:$I,"Weekly*")+SUMIFS('NSE - Other Index Options'!$M:$M,'NSE - Other Index Options'!$C:$C,$A134,'NSE - Other Index Options'!$B:$B,C$4,'NSE - Other Index Options'!$I:$I,"MDAW*")+SUMIFS('BSE - SENSEX Index Options'!$M:$M,'BSE - SENSEX Index Options'!$C:$C,$A134,'BSE - SENSEX Index Options'!$B:$B,C$4,'BSE - SENSEX Index Options'!$I:$I,"Weekly*")+SUMIFS('BSE - SENSEX Index Options'!$M:$M,'BSE - SENSEX Index Options'!$C:$C,$A134,'BSE - SENSEX Index Options'!$B:$B,C$4,'BSE - SENSEX Index Options'!$I:$I,"MDAW*")+SUMIFS('BSE - Other Index Options'!$M:$M,'BSE - Other Index Options'!$C:$C,$A134,'BSE - Other Index Options'!$B:$B,C$4,'BSE - Other Index Options'!$I:$I,"Weekly*")+SUMIFS('BSE - Other Index Options'!$M:$M,'BSE - Other Index Options'!$C:$C,$A134,'BSE - Other Index Options'!$B:$B,C$4,'BSE - Other Index Options'!$I:$I,"MDAW*"))</f>
        <v/>
      </c>
      <c r="D134" s="26">
        <f>IF(SUMIFS('NSE - NIFTY Index Options'!$M:$M,'NSE - NIFTY Index Options'!$C:$C,$A134,'NSE - NIFTY Index Options'!$B:$B,D$4,'NSE - NIFTY Index Options'!$I:$I,"Weekly*")+SUMIFS('NSE - NIFTY Index Options'!$M:$M,'NSE - NIFTY Index Options'!$C:$C,$A134,'NSE - NIFTY Index Options'!$B:$B,D$4,'NSE - NIFTY Index Options'!$I:$I,"MDAW*")+SUMIFS('NSE - Other Index Options'!$M:$M,'NSE - Other Index Options'!$C:$C,$A134,'NSE - Other Index Options'!$B:$B,D$4,'NSE - Other Index Options'!$I:$I,"Weekly*")+SUMIFS('NSE - Other Index Options'!$M:$M,'NSE - Other Index Options'!$C:$C,$A134,'NSE - Other Index Options'!$B:$B,D$4,'NSE - Other Index Options'!$I:$I,"MDAW*")+SUMIFS('BSE - SENSEX Index Options'!$M:$M,'BSE - SENSEX Index Options'!$C:$C,$A134,'BSE - SENSEX Index Options'!$B:$B,D$4,'BSE - SENSEX Index Options'!$I:$I,"Weekly*")+SUMIFS('BSE - SENSEX Index Options'!$M:$M,'BSE - SENSEX Index Options'!$C:$C,$A134,'BSE - SENSEX Index Options'!$B:$B,D$4,'BSE - SENSEX Index Options'!$I:$I,"MDAW*")+SUMIFS('BSE - Other Index Options'!$M:$M,'BSE - Other Index Options'!$C:$C,$A134,'BSE - Other Index Options'!$B:$B,D$4,'BSE - Other Index Options'!$I:$I,"Weekly*")+SUMIFS('BSE - Other Index Options'!$M:$M,'BSE - Other Index Options'!$C:$C,$A134,'BSE - Other Index Options'!$B:$B,D$4,'BSE - Other Index Options'!$I:$I,"MDAW*")=0,"",SUMIFS('NSE - NIFTY Index Options'!$M:$M,'NSE - NIFTY Index Options'!$C:$C,$A134,'NSE - NIFTY Index Options'!$B:$B,D$4,'NSE - NIFTY Index Options'!$I:$I,"Weekly*")+SUMIFS('NSE - NIFTY Index Options'!$M:$M,'NSE - NIFTY Index Options'!$C:$C,$A134,'NSE - NIFTY Index Options'!$B:$B,D$4,'NSE - NIFTY Index Options'!$I:$I,"MDAW*")+SUMIFS('NSE - Other Index Options'!$M:$M,'NSE - Other Index Options'!$C:$C,$A134,'NSE - Other Index Options'!$B:$B,D$4,'NSE - Other Index Options'!$I:$I,"Weekly*")+SUMIFS('NSE - Other Index Options'!$M:$M,'NSE - Other Index Options'!$C:$C,$A134,'NSE - Other Index Options'!$B:$B,D$4,'NSE - Other Index Options'!$I:$I,"MDAW*")+SUMIFS('BSE - SENSEX Index Options'!$M:$M,'BSE - SENSEX Index Options'!$C:$C,$A134,'BSE - SENSEX Index Options'!$B:$B,D$4,'BSE - SENSEX Index Options'!$I:$I,"Weekly*")+SUMIFS('BSE - SENSEX Index Options'!$M:$M,'BSE - SENSEX Index Options'!$C:$C,$A134,'BSE - SENSEX Index Options'!$B:$B,D$4,'BSE - SENSEX Index Options'!$I:$I,"MDAW*")+SUMIFS('BSE - Other Index Options'!$M:$M,'BSE - Other Index Options'!$C:$C,$A134,'BSE - Other Index Options'!$B:$B,D$4,'BSE - Other Index Options'!$I:$I,"Weekly*")+SUMIFS('BSE - Other Index Options'!$M:$M,'BSE - Other Index Options'!$C:$C,$A134,'BSE - Other Index Options'!$B:$B,D$4,'BSE - Other Index Options'!$I:$I,"MDAW*"))</f>
        <v/>
      </c>
      <c r="E134" s="26">
        <f>IF(SUMIFS('NSE - NIFTY Index Options'!$M:$M,'NSE - NIFTY Index Options'!$C:$C,$A134,'NSE - NIFTY Index Options'!$B:$B,E$4,'NSE - NIFTY Index Options'!$I:$I,"Weekly*")+SUMIFS('NSE - NIFTY Index Options'!$M:$M,'NSE - NIFTY Index Options'!$C:$C,$A134,'NSE - NIFTY Index Options'!$B:$B,E$4,'NSE - NIFTY Index Options'!$I:$I,"MDAW*")+SUMIFS('NSE - Other Index Options'!$M:$M,'NSE - Other Index Options'!$C:$C,$A134,'NSE - Other Index Options'!$B:$B,E$4,'NSE - Other Index Options'!$I:$I,"Weekly*")+SUMIFS('NSE - Other Index Options'!$M:$M,'NSE - Other Index Options'!$C:$C,$A134,'NSE - Other Index Options'!$B:$B,E$4,'NSE - Other Index Options'!$I:$I,"MDAW*")+SUMIFS('BSE - SENSEX Index Options'!$M:$M,'BSE - SENSEX Index Options'!$C:$C,$A134,'BSE - SENSEX Index Options'!$B:$B,E$4,'BSE - SENSEX Index Options'!$I:$I,"Weekly*")+SUMIFS('BSE - SENSEX Index Options'!$M:$M,'BSE - SENSEX Index Options'!$C:$C,$A134,'BSE - SENSEX Index Options'!$B:$B,E$4,'BSE - SENSEX Index Options'!$I:$I,"MDAW*")+SUMIFS('BSE - Other Index Options'!$M:$M,'BSE - Other Index Options'!$C:$C,$A134,'BSE - Other Index Options'!$B:$B,E$4,'BSE - Other Index Options'!$I:$I,"Weekly*")+SUMIFS('BSE - Other Index Options'!$M:$M,'BSE - Other Index Options'!$C:$C,$A134,'BSE - Other Index Options'!$B:$B,E$4,'BSE - Other Index Options'!$I:$I,"MDAW*")=0,"",SUMIFS('NSE - NIFTY Index Options'!$M:$M,'NSE - NIFTY Index Options'!$C:$C,$A134,'NSE - NIFTY Index Options'!$B:$B,E$4,'NSE - NIFTY Index Options'!$I:$I,"Weekly*")+SUMIFS('NSE - NIFTY Index Options'!$M:$M,'NSE - NIFTY Index Options'!$C:$C,$A134,'NSE - NIFTY Index Options'!$B:$B,E$4,'NSE - NIFTY Index Options'!$I:$I,"MDAW*")+SUMIFS('NSE - Other Index Options'!$M:$M,'NSE - Other Index Options'!$C:$C,$A134,'NSE - Other Index Options'!$B:$B,E$4,'NSE - Other Index Options'!$I:$I,"Weekly*")+SUMIFS('NSE - Other Index Options'!$M:$M,'NSE - Other Index Options'!$C:$C,$A134,'NSE - Other Index Options'!$B:$B,E$4,'NSE - Other Index Options'!$I:$I,"MDAW*")+SUMIFS('BSE - SENSEX Index Options'!$M:$M,'BSE - SENSEX Index Options'!$C:$C,$A134,'BSE - SENSEX Index Options'!$B:$B,E$4,'BSE - SENSEX Index Options'!$I:$I,"Weekly*")+SUMIFS('BSE - SENSEX Index Options'!$M:$M,'BSE - SENSEX Index Options'!$C:$C,$A134,'BSE - SENSEX Index Options'!$B:$B,E$4,'BSE - SENSEX Index Options'!$I:$I,"MDAW*")+SUMIFS('BSE - Other Index Options'!$M:$M,'BSE - Other Index Options'!$C:$C,$A134,'BSE - Other Index Options'!$B:$B,E$4,'BSE - Other Index Options'!$I:$I,"Weekly*")+SUMIFS('BSE - Other Index Options'!$M:$M,'BSE - Other Index Options'!$C:$C,$A134,'BSE - Other Index Options'!$B:$B,E$4,'BSE - Other Index Options'!$I:$I,"MDAW*"))</f>
        <v/>
      </c>
      <c r="F134" s="26">
        <f>IF(SUMIFS('NSE - NIFTY Index Options'!$M:$M,'NSE - NIFTY Index Options'!$C:$C,$A134,'NSE - NIFTY Index Options'!$B:$B,F$4,'NSE - NIFTY Index Options'!$I:$I,"Weekly*")+SUMIFS('NSE - NIFTY Index Options'!$M:$M,'NSE - NIFTY Index Options'!$C:$C,$A134,'NSE - NIFTY Index Options'!$B:$B,F$4,'NSE - NIFTY Index Options'!$I:$I,"MDAW*")+SUMIFS('NSE - Other Index Options'!$M:$M,'NSE - Other Index Options'!$C:$C,$A134,'NSE - Other Index Options'!$B:$B,F$4,'NSE - Other Index Options'!$I:$I,"Weekly*")+SUMIFS('NSE - Other Index Options'!$M:$M,'NSE - Other Index Options'!$C:$C,$A134,'NSE - Other Index Options'!$B:$B,F$4,'NSE - Other Index Options'!$I:$I,"MDAW*")+SUMIFS('BSE - SENSEX Index Options'!$M:$M,'BSE - SENSEX Index Options'!$C:$C,$A134,'BSE - SENSEX Index Options'!$B:$B,F$4,'BSE - SENSEX Index Options'!$I:$I,"Weekly*")+SUMIFS('BSE - SENSEX Index Options'!$M:$M,'BSE - SENSEX Index Options'!$C:$C,$A134,'BSE - SENSEX Index Options'!$B:$B,F$4,'BSE - SENSEX Index Options'!$I:$I,"MDAW*")+SUMIFS('BSE - Other Index Options'!$M:$M,'BSE - Other Index Options'!$C:$C,$A134,'BSE - Other Index Options'!$B:$B,F$4,'BSE - Other Index Options'!$I:$I,"Weekly*")+SUMIFS('BSE - Other Index Options'!$M:$M,'BSE - Other Index Options'!$C:$C,$A134,'BSE - Other Index Options'!$B:$B,F$4,'BSE - Other Index Options'!$I:$I,"MDAW*")=0,"",SUMIFS('NSE - NIFTY Index Options'!$M:$M,'NSE - NIFTY Index Options'!$C:$C,$A134,'NSE - NIFTY Index Options'!$B:$B,F$4,'NSE - NIFTY Index Options'!$I:$I,"Weekly*")+SUMIFS('NSE - NIFTY Index Options'!$M:$M,'NSE - NIFTY Index Options'!$C:$C,$A134,'NSE - NIFTY Index Options'!$B:$B,F$4,'NSE - NIFTY Index Options'!$I:$I,"MDAW*")+SUMIFS('NSE - Other Index Options'!$M:$M,'NSE - Other Index Options'!$C:$C,$A134,'NSE - Other Index Options'!$B:$B,F$4,'NSE - Other Index Options'!$I:$I,"Weekly*")+SUMIFS('NSE - Other Index Options'!$M:$M,'NSE - Other Index Options'!$C:$C,$A134,'NSE - Other Index Options'!$B:$B,F$4,'NSE - Other Index Options'!$I:$I,"MDAW*")+SUMIFS('BSE - SENSEX Index Options'!$M:$M,'BSE - SENSEX Index Options'!$C:$C,$A134,'BSE - SENSEX Index Options'!$B:$B,F$4,'BSE - SENSEX Index Options'!$I:$I,"Weekly*")+SUMIFS('BSE - SENSEX Index Options'!$M:$M,'BSE - SENSEX Index Options'!$C:$C,$A134,'BSE - SENSEX Index Options'!$B:$B,F$4,'BSE - SENSEX Index Options'!$I:$I,"MDAW*")+SUMIFS('BSE - Other Index Options'!$M:$M,'BSE - Other Index Options'!$C:$C,$A134,'BSE - Other Index Options'!$B:$B,F$4,'BSE - Other Index Options'!$I:$I,"Weekly*")+SUMIFS('BSE - Other Index Options'!$M:$M,'BSE - Other Index Options'!$C:$C,$A134,'BSE - Other Index Options'!$B:$B,F$4,'BSE - Other Index Options'!$I:$I,"MDAW*"))</f>
        <v/>
      </c>
      <c r="G134" s="26">
        <f>IF(SUMIFS('NSE - NIFTY Index Options'!$M:$M,'NSE - NIFTY Index Options'!$C:$C,$A134,'NSE - NIFTY Index Options'!$B:$B,G$4,'NSE - NIFTY Index Options'!$I:$I,"Weekly*")+SUMIFS('NSE - NIFTY Index Options'!$M:$M,'NSE - NIFTY Index Options'!$C:$C,$A134,'NSE - NIFTY Index Options'!$B:$B,G$4,'NSE - NIFTY Index Options'!$I:$I,"MDAW*")+SUMIFS('NSE - Other Index Options'!$M:$M,'NSE - Other Index Options'!$C:$C,$A134,'NSE - Other Index Options'!$B:$B,G$4,'NSE - Other Index Options'!$I:$I,"Weekly*")+SUMIFS('NSE - Other Index Options'!$M:$M,'NSE - Other Index Options'!$C:$C,$A134,'NSE - Other Index Options'!$B:$B,G$4,'NSE - Other Index Options'!$I:$I,"MDAW*")+SUMIFS('BSE - SENSEX Index Options'!$M:$M,'BSE - SENSEX Index Options'!$C:$C,$A134,'BSE - SENSEX Index Options'!$B:$B,G$4,'BSE - SENSEX Index Options'!$I:$I,"Weekly*")+SUMIFS('BSE - SENSEX Index Options'!$M:$M,'BSE - SENSEX Index Options'!$C:$C,$A134,'BSE - SENSEX Index Options'!$B:$B,G$4,'BSE - SENSEX Index Options'!$I:$I,"MDAW*")+SUMIFS('BSE - Other Index Options'!$M:$M,'BSE - Other Index Options'!$C:$C,$A134,'BSE - Other Index Options'!$B:$B,G$4,'BSE - Other Index Options'!$I:$I,"Weekly*")+SUMIFS('BSE - Other Index Options'!$M:$M,'BSE - Other Index Options'!$C:$C,$A134,'BSE - Other Index Options'!$B:$B,G$4,'BSE - Other Index Options'!$I:$I,"MDAW*")=0,"",SUMIFS('NSE - NIFTY Index Options'!$M:$M,'NSE - NIFTY Index Options'!$C:$C,$A134,'NSE - NIFTY Index Options'!$B:$B,G$4,'NSE - NIFTY Index Options'!$I:$I,"Weekly*")+SUMIFS('NSE - NIFTY Index Options'!$M:$M,'NSE - NIFTY Index Options'!$C:$C,$A134,'NSE - NIFTY Index Options'!$B:$B,G$4,'NSE - NIFTY Index Options'!$I:$I,"MDAW*")+SUMIFS('NSE - Other Index Options'!$M:$M,'NSE - Other Index Options'!$C:$C,$A134,'NSE - Other Index Options'!$B:$B,G$4,'NSE - Other Index Options'!$I:$I,"Weekly*")+SUMIFS('NSE - Other Index Options'!$M:$M,'NSE - Other Index Options'!$C:$C,$A134,'NSE - Other Index Options'!$B:$B,G$4,'NSE - Other Index Options'!$I:$I,"MDAW*")+SUMIFS('BSE - SENSEX Index Options'!$M:$M,'BSE - SENSEX Index Options'!$C:$C,$A134,'BSE - SENSEX Index Options'!$B:$B,G$4,'BSE - SENSEX Index Options'!$I:$I,"Weekly*")+SUMIFS('BSE - SENSEX Index Options'!$M:$M,'BSE - SENSEX Index Options'!$C:$C,$A134,'BSE - SENSEX Index Options'!$B:$B,G$4,'BSE - SENSEX Index Options'!$I:$I,"MDAW*")+SUMIFS('BSE - Other Index Options'!$M:$M,'BSE - Other Index Options'!$C:$C,$A134,'BSE - Other Index Options'!$B:$B,G$4,'BSE - Other Index Options'!$I:$I,"Weekly*")+SUMIFS('BSE - Other Index Options'!$M:$M,'BSE - Other Index Options'!$C:$C,$A134,'BSE - Other Index Options'!$B:$B,G$4,'BSE - Other Index Options'!$I:$I,"MDAW*"))</f>
        <v/>
      </c>
      <c r="H134" s="26">
        <f>IF(SUM(B134:G134)=0,"",SUM(B134:G134))</f>
        <v/>
      </c>
    </row>
    <row r="135" hidden="1" outlineLevel="1">
      <c r="A135" t="inlineStr">
        <is>
          <t>Week3-Nov-2027</t>
        </is>
      </c>
      <c r="B135" s="26">
        <f>IF(SUMIFS('NSE - NIFTY Index Options'!$M:$M,'NSE - NIFTY Index Options'!$C:$C,$A135,'NSE - NIFTY Index Options'!$B:$B,B$4,'NSE - NIFTY Index Options'!$I:$I,"Weekly*")+SUMIFS('NSE - NIFTY Index Options'!$M:$M,'NSE - NIFTY Index Options'!$C:$C,$A135,'NSE - NIFTY Index Options'!$B:$B,B$4,'NSE - NIFTY Index Options'!$I:$I,"MDAW*")+SUMIFS('NSE - Other Index Options'!$M:$M,'NSE - Other Index Options'!$C:$C,$A135,'NSE - Other Index Options'!$B:$B,B$4,'NSE - Other Index Options'!$I:$I,"Weekly*")+SUMIFS('NSE - Other Index Options'!$M:$M,'NSE - Other Index Options'!$C:$C,$A135,'NSE - Other Index Options'!$B:$B,B$4,'NSE - Other Index Options'!$I:$I,"MDAW*")+SUMIFS('BSE - SENSEX Index Options'!$M:$M,'BSE - SENSEX Index Options'!$C:$C,$A135,'BSE - SENSEX Index Options'!$B:$B,B$4,'BSE - SENSEX Index Options'!$I:$I,"Weekly*")+SUMIFS('BSE - SENSEX Index Options'!$M:$M,'BSE - SENSEX Index Options'!$C:$C,$A135,'BSE - SENSEX Index Options'!$B:$B,B$4,'BSE - SENSEX Index Options'!$I:$I,"MDAW*")+SUMIFS('BSE - Other Index Options'!$M:$M,'BSE - Other Index Options'!$C:$C,$A135,'BSE - Other Index Options'!$B:$B,B$4,'BSE - Other Index Options'!$I:$I,"Weekly*")+SUMIFS('BSE - Other Index Options'!$M:$M,'BSE - Other Index Options'!$C:$C,$A135,'BSE - Other Index Options'!$B:$B,B$4,'BSE - Other Index Options'!$I:$I,"MDAW*")=0,"",SUMIFS('NSE - NIFTY Index Options'!$M:$M,'NSE - NIFTY Index Options'!$C:$C,$A135,'NSE - NIFTY Index Options'!$B:$B,B$4,'NSE - NIFTY Index Options'!$I:$I,"Weekly*")+SUMIFS('NSE - NIFTY Index Options'!$M:$M,'NSE - NIFTY Index Options'!$C:$C,$A135,'NSE - NIFTY Index Options'!$B:$B,B$4,'NSE - NIFTY Index Options'!$I:$I,"MDAW*")+SUMIFS('NSE - Other Index Options'!$M:$M,'NSE - Other Index Options'!$C:$C,$A135,'NSE - Other Index Options'!$B:$B,B$4,'NSE - Other Index Options'!$I:$I,"Weekly*")+SUMIFS('NSE - Other Index Options'!$M:$M,'NSE - Other Index Options'!$C:$C,$A135,'NSE - Other Index Options'!$B:$B,B$4,'NSE - Other Index Options'!$I:$I,"MDAW*")+SUMIFS('BSE - SENSEX Index Options'!$M:$M,'BSE - SENSEX Index Options'!$C:$C,$A135,'BSE - SENSEX Index Options'!$B:$B,B$4,'BSE - SENSEX Index Options'!$I:$I,"Weekly*")+SUMIFS('BSE - SENSEX Index Options'!$M:$M,'BSE - SENSEX Index Options'!$C:$C,$A135,'BSE - SENSEX Index Options'!$B:$B,B$4,'BSE - SENSEX Index Options'!$I:$I,"MDAW*")+SUMIFS('BSE - Other Index Options'!$M:$M,'BSE - Other Index Options'!$C:$C,$A135,'BSE - Other Index Options'!$B:$B,B$4,'BSE - Other Index Options'!$I:$I,"Weekly*")+SUMIFS('BSE - Other Index Options'!$M:$M,'BSE - Other Index Options'!$C:$C,$A135,'BSE - Other Index Options'!$B:$B,B$4,'BSE - Other Index Options'!$I:$I,"MDAW*"))</f>
        <v/>
      </c>
      <c r="C135" s="26">
        <f>IF(SUMIFS('NSE - NIFTY Index Options'!$M:$M,'NSE - NIFTY Index Options'!$C:$C,$A135,'NSE - NIFTY Index Options'!$B:$B,C$4,'NSE - NIFTY Index Options'!$I:$I,"Weekly*")+SUMIFS('NSE - NIFTY Index Options'!$M:$M,'NSE - NIFTY Index Options'!$C:$C,$A135,'NSE - NIFTY Index Options'!$B:$B,C$4,'NSE - NIFTY Index Options'!$I:$I,"MDAW*")+SUMIFS('NSE - Other Index Options'!$M:$M,'NSE - Other Index Options'!$C:$C,$A135,'NSE - Other Index Options'!$B:$B,C$4,'NSE - Other Index Options'!$I:$I,"Weekly*")+SUMIFS('NSE - Other Index Options'!$M:$M,'NSE - Other Index Options'!$C:$C,$A135,'NSE - Other Index Options'!$B:$B,C$4,'NSE - Other Index Options'!$I:$I,"MDAW*")+SUMIFS('BSE - SENSEX Index Options'!$M:$M,'BSE - SENSEX Index Options'!$C:$C,$A135,'BSE - SENSEX Index Options'!$B:$B,C$4,'BSE - SENSEX Index Options'!$I:$I,"Weekly*")+SUMIFS('BSE - SENSEX Index Options'!$M:$M,'BSE - SENSEX Index Options'!$C:$C,$A135,'BSE - SENSEX Index Options'!$B:$B,C$4,'BSE - SENSEX Index Options'!$I:$I,"MDAW*")+SUMIFS('BSE - Other Index Options'!$M:$M,'BSE - Other Index Options'!$C:$C,$A135,'BSE - Other Index Options'!$B:$B,C$4,'BSE - Other Index Options'!$I:$I,"Weekly*")+SUMIFS('BSE - Other Index Options'!$M:$M,'BSE - Other Index Options'!$C:$C,$A135,'BSE - Other Index Options'!$B:$B,C$4,'BSE - Other Index Options'!$I:$I,"MDAW*")=0,"",SUMIFS('NSE - NIFTY Index Options'!$M:$M,'NSE - NIFTY Index Options'!$C:$C,$A135,'NSE - NIFTY Index Options'!$B:$B,C$4,'NSE - NIFTY Index Options'!$I:$I,"Weekly*")+SUMIFS('NSE - NIFTY Index Options'!$M:$M,'NSE - NIFTY Index Options'!$C:$C,$A135,'NSE - NIFTY Index Options'!$B:$B,C$4,'NSE - NIFTY Index Options'!$I:$I,"MDAW*")+SUMIFS('NSE - Other Index Options'!$M:$M,'NSE - Other Index Options'!$C:$C,$A135,'NSE - Other Index Options'!$B:$B,C$4,'NSE - Other Index Options'!$I:$I,"Weekly*")+SUMIFS('NSE - Other Index Options'!$M:$M,'NSE - Other Index Options'!$C:$C,$A135,'NSE - Other Index Options'!$B:$B,C$4,'NSE - Other Index Options'!$I:$I,"MDAW*")+SUMIFS('BSE - SENSEX Index Options'!$M:$M,'BSE - SENSEX Index Options'!$C:$C,$A135,'BSE - SENSEX Index Options'!$B:$B,C$4,'BSE - SENSEX Index Options'!$I:$I,"Weekly*")+SUMIFS('BSE - SENSEX Index Options'!$M:$M,'BSE - SENSEX Index Options'!$C:$C,$A135,'BSE - SENSEX Index Options'!$B:$B,C$4,'BSE - SENSEX Index Options'!$I:$I,"MDAW*")+SUMIFS('BSE - Other Index Options'!$M:$M,'BSE - Other Index Options'!$C:$C,$A135,'BSE - Other Index Options'!$B:$B,C$4,'BSE - Other Index Options'!$I:$I,"Weekly*")+SUMIFS('BSE - Other Index Options'!$M:$M,'BSE - Other Index Options'!$C:$C,$A135,'BSE - Other Index Options'!$B:$B,C$4,'BSE - Other Index Options'!$I:$I,"MDAW*"))</f>
        <v/>
      </c>
      <c r="D135" s="26">
        <f>IF(SUMIFS('NSE - NIFTY Index Options'!$M:$M,'NSE - NIFTY Index Options'!$C:$C,$A135,'NSE - NIFTY Index Options'!$B:$B,D$4,'NSE - NIFTY Index Options'!$I:$I,"Weekly*")+SUMIFS('NSE - NIFTY Index Options'!$M:$M,'NSE - NIFTY Index Options'!$C:$C,$A135,'NSE - NIFTY Index Options'!$B:$B,D$4,'NSE - NIFTY Index Options'!$I:$I,"MDAW*")+SUMIFS('NSE - Other Index Options'!$M:$M,'NSE - Other Index Options'!$C:$C,$A135,'NSE - Other Index Options'!$B:$B,D$4,'NSE - Other Index Options'!$I:$I,"Weekly*")+SUMIFS('NSE - Other Index Options'!$M:$M,'NSE - Other Index Options'!$C:$C,$A135,'NSE - Other Index Options'!$B:$B,D$4,'NSE - Other Index Options'!$I:$I,"MDAW*")+SUMIFS('BSE - SENSEX Index Options'!$M:$M,'BSE - SENSEX Index Options'!$C:$C,$A135,'BSE - SENSEX Index Options'!$B:$B,D$4,'BSE - SENSEX Index Options'!$I:$I,"Weekly*")+SUMIFS('BSE - SENSEX Index Options'!$M:$M,'BSE - SENSEX Index Options'!$C:$C,$A135,'BSE - SENSEX Index Options'!$B:$B,D$4,'BSE - SENSEX Index Options'!$I:$I,"MDAW*")+SUMIFS('BSE - Other Index Options'!$M:$M,'BSE - Other Index Options'!$C:$C,$A135,'BSE - Other Index Options'!$B:$B,D$4,'BSE - Other Index Options'!$I:$I,"Weekly*")+SUMIFS('BSE - Other Index Options'!$M:$M,'BSE - Other Index Options'!$C:$C,$A135,'BSE - Other Index Options'!$B:$B,D$4,'BSE - Other Index Options'!$I:$I,"MDAW*")=0,"",SUMIFS('NSE - NIFTY Index Options'!$M:$M,'NSE - NIFTY Index Options'!$C:$C,$A135,'NSE - NIFTY Index Options'!$B:$B,D$4,'NSE - NIFTY Index Options'!$I:$I,"Weekly*")+SUMIFS('NSE - NIFTY Index Options'!$M:$M,'NSE - NIFTY Index Options'!$C:$C,$A135,'NSE - NIFTY Index Options'!$B:$B,D$4,'NSE - NIFTY Index Options'!$I:$I,"MDAW*")+SUMIFS('NSE - Other Index Options'!$M:$M,'NSE - Other Index Options'!$C:$C,$A135,'NSE - Other Index Options'!$B:$B,D$4,'NSE - Other Index Options'!$I:$I,"Weekly*")+SUMIFS('NSE - Other Index Options'!$M:$M,'NSE - Other Index Options'!$C:$C,$A135,'NSE - Other Index Options'!$B:$B,D$4,'NSE - Other Index Options'!$I:$I,"MDAW*")+SUMIFS('BSE - SENSEX Index Options'!$M:$M,'BSE - SENSEX Index Options'!$C:$C,$A135,'BSE - SENSEX Index Options'!$B:$B,D$4,'BSE - SENSEX Index Options'!$I:$I,"Weekly*")+SUMIFS('BSE - SENSEX Index Options'!$M:$M,'BSE - SENSEX Index Options'!$C:$C,$A135,'BSE - SENSEX Index Options'!$B:$B,D$4,'BSE - SENSEX Index Options'!$I:$I,"MDAW*")+SUMIFS('BSE - Other Index Options'!$M:$M,'BSE - Other Index Options'!$C:$C,$A135,'BSE - Other Index Options'!$B:$B,D$4,'BSE - Other Index Options'!$I:$I,"Weekly*")+SUMIFS('BSE - Other Index Options'!$M:$M,'BSE - Other Index Options'!$C:$C,$A135,'BSE - Other Index Options'!$B:$B,D$4,'BSE - Other Index Options'!$I:$I,"MDAW*"))</f>
        <v/>
      </c>
      <c r="E135" s="26">
        <f>IF(SUMIFS('NSE - NIFTY Index Options'!$M:$M,'NSE - NIFTY Index Options'!$C:$C,$A135,'NSE - NIFTY Index Options'!$B:$B,E$4,'NSE - NIFTY Index Options'!$I:$I,"Weekly*")+SUMIFS('NSE - NIFTY Index Options'!$M:$M,'NSE - NIFTY Index Options'!$C:$C,$A135,'NSE - NIFTY Index Options'!$B:$B,E$4,'NSE - NIFTY Index Options'!$I:$I,"MDAW*")+SUMIFS('NSE - Other Index Options'!$M:$M,'NSE - Other Index Options'!$C:$C,$A135,'NSE - Other Index Options'!$B:$B,E$4,'NSE - Other Index Options'!$I:$I,"Weekly*")+SUMIFS('NSE - Other Index Options'!$M:$M,'NSE - Other Index Options'!$C:$C,$A135,'NSE - Other Index Options'!$B:$B,E$4,'NSE - Other Index Options'!$I:$I,"MDAW*")+SUMIFS('BSE - SENSEX Index Options'!$M:$M,'BSE - SENSEX Index Options'!$C:$C,$A135,'BSE - SENSEX Index Options'!$B:$B,E$4,'BSE - SENSEX Index Options'!$I:$I,"Weekly*")+SUMIFS('BSE - SENSEX Index Options'!$M:$M,'BSE - SENSEX Index Options'!$C:$C,$A135,'BSE - SENSEX Index Options'!$B:$B,E$4,'BSE - SENSEX Index Options'!$I:$I,"MDAW*")+SUMIFS('BSE - Other Index Options'!$M:$M,'BSE - Other Index Options'!$C:$C,$A135,'BSE - Other Index Options'!$B:$B,E$4,'BSE - Other Index Options'!$I:$I,"Weekly*")+SUMIFS('BSE - Other Index Options'!$M:$M,'BSE - Other Index Options'!$C:$C,$A135,'BSE - Other Index Options'!$B:$B,E$4,'BSE - Other Index Options'!$I:$I,"MDAW*")=0,"",SUMIFS('NSE - NIFTY Index Options'!$M:$M,'NSE - NIFTY Index Options'!$C:$C,$A135,'NSE - NIFTY Index Options'!$B:$B,E$4,'NSE - NIFTY Index Options'!$I:$I,"Weekly*")+SUMIFS('NSE - NIFTY Index Options'!$M:$M,'NSE - NIFTY Index Options'!$C:$C,$A135,'NSE - NIFTY Index Options'!$B:$B,E$4,'NSE - NIFTY Index Options'!$I:$I,"MDAW*")+SUMIFS('NSE - Other Index Options'!$M:$M,'NSE - Other Index Options'!$C:$C,$A135,'NSE - Other Index Options'!$B:$B,E$4,'NSE - Other Index Options'!$I:$I,"Weekly*")+SUMIFS('NSE - Other Index Options'!$M:$M,'NSE - Other Index Options'!$C:$C,$A135,'NSE - Other Index Options'!$B:$B,E$4,'NSE - Other Index Options'!$I:$I,"MDAW*")+SUMIFS('BSE - SENSEX Index Options'!$M:$M,'BSE - SENSEX Index Options'!$C:$C,$A135,'BSE - SENSEX Index Options'!$B:$B,E$4,'BSE - SENSEX Index Options'!$I:$I,"Weekly*")+SUMIFS('BSE - SENSEX Index Options'!$M:$M,'BSE - SENSEX Index Options'!$C:$C,$A135,'BSE - SENSEX Index Options'!$B:$B,E$4,'BSE - SENSEX Index Options'!$I:$I,"MDAW*")+SUMIFS('BSE - Other Index Options'!$M:$M,'BSE - Other Index Options'!$C:$C,$A135,'BSE - Other Index Options'!$B:$B,E$4,'BSE - Other Index Options'!$I:$I,"Weekly*")+SUMIFS('BSE - Other Index Options'!$M:$M,'BSE - Other Index Options'!$C:$C,$A135,'BSE - Other Index Options'!$B:$B,E$4,'BSE - Other Index Options'!$I:$I,"MDAW*"))</f>
        <v/>
      </c>
      <c r="F135" s="26">
        <f>IF(SUMIFS('NSE - NIFTY Index Options'!$M:$M,'NSE - NIFTY Index Options'!$C:$C,$A135,'NSE - NIFTY Index Options'!$B:$B,F$4,'NSE - NIFTY Index Options'!$I:$I,"Weekly*")+SUMIFS('NSE - NIFTY Index Options'!$M:$M,'NSE - NIFTY Index Options'!$C:$C,$A135,'NSE - NIFTY Index Options'!$B:$B,F$4,'NSE - NIFTY Index Options'!$I:$I,"MDAW*")+SUMIFS('NSE - Other Index Options'!$M:$M,'NSE - Other Index Options'!$C:$C,$A135,'NSE - Other Index Options'!$B:$B,F$4,'NSE - Other Index Options'!$I:$I,"Weekly*")+SUMIFS('NSE - Other Index Options'!$M:$M,'NSE - Other Index Options'!$C:$C,$A135,'NSE - Other Index Options'!$B:$B,F$4,'NSE - Other Index Options'!$I:$I,"MDAW*")+SUMIFS('BSE - SENSEX Index Options'!$M:$M,'BSE - SENSEX Index Options'!$C:$C,$A135,'BSE - SENSEX Index Options'!$B:$B,F$4,'BSE - SENSEX Index Options'!$I:$I,"Weekly*")+SUMIFS('BSE - SENSEX Index Options'!$M:$M,'BSE - SENSEX Index Options'!$C:$C,$A135,'BSE - SENSEX Index Options'!$B:$B,F$4,'BSE - SENSEX Index Options'!$I:$I,"MDAW*")+SUMIFS('BSE - Other Index Options'!$M:$M,'BSE - Other Index Options'!$C:$C,$A135,'BSE - Other Index Options'!$B:$B,F$4,'BSE - Other Index Options'!$I:$I,"Weekly*")+SUMIFS('BSE - Other Index Options'!$M:$M,'BSE - Other Index Options'!$C:$C,$A135,'BSE - Other Index Options'!$B:$B,F$4,'BSE - Other Index Options'!$I:$I,"MDAW*")=0,"",SUMIFS('NSE - NIFTY Index Options'!$M:$M,'NSE - NIFTY Index Options'!$C:$C,$A135,'NSE - NIFTY Index Options'!$B:$B,F$4,'NSE - NIFTY Index Options'!$I:$I,"Weekly*")+SUMIFS('NSE - NIFTY Index Options'!$M:$M,'NSE - NIFTY Index Options'!$C:$C,$A135,'NSE - NIFTY Index Options'!$B:$B,F$4,'NSE - NIFTY Index Options'!$I:$I,"MDAW*")+SUMIFS('NSE - Other Index Options'!$M:$M,'NSE - Other Index Options'!$C:$C,$A135,'NSE - Other Index Options'!$B:$B,F$4,'NSE - Other Index Options'!$I:$I,"Weekly*")+SUMIFS('NSE - Other Index Options'!$M:$M,'NSE - Other Index Options'!$C:$C,$A135,'NSE - Other Index Options'!$B:$B,F$4,'NSE - Other Index Options'!$I:$I,"MDAW*")+SUMIFS('BSE - SENSEX Index Options'!$M:$M,'BSE - SENSEX Index Options'!$C:$C,$A135,'BSE - SENSEX Index Options'!$B:$B,F$4,'BSE - SENSEX Index Options'!$I:$I,"Weekly*")+SUMIFS('BSE - SENSEX Index Options'!$M:$M,'BSE - SENSEX Index Options'!$C:$C,$A135,'BSE - SENSEX Index Options'!$B:$B,F$4,'BSE - SENSEX Index Options'!$I:$I,"MDAW*")+SUMIFS('BSE - Other Index Options'!$M:$M,'BSE - Other Index Options'!$C:$C,$A135,'BSE - Other Index Options'!$B:$B,F$4,'BSE - Other Index Options'!$I:$I,"Weekly*")+SUMIFS('BSE - Other Index Options'!$M:$M,'BSE - Other Index Options'!$C:$C,$A135,'BSE - Other Index Options'!$B:$B,F$4,'BSE - Other Index Options'!$I:$I,"MDAW*"))</f>
        <v/>
      </c>
      <c r="G135" s="26">
        <f>IF(SUMIFS('NSE - NIFTY Index Options'!$M:$M,'NSE - NIFTY Index Options'!$C:$C,$A135,'NSE - NIFTY Index Options'!$B:$B,G$4,'NSE - NIFTY Index Options'!$I:$I,"Weekly*")+SUMIFS('NSE - NIFTY Index Options'!$M:$M,'NSE - NIFTY Index Options'!$C:$C,$A135,'NSE - NIFTY Index Options'!$B:$B,G$4,'NSE - NIFTY Index Options'!$I:$I,"MDAW*")+SUMIFS('NSE - Other Index Options'!$M:$M,'NSE - Other Index Options'!$C:$C,$A135,'NSE - Other Index Options'!$B:$B,G$4,'NSE - Other Index Options'!$I:$I,"Weekly*")+SUMIFS('NSE - Other Index Options'!$M:$M,'NSE - Other Index Options'!$C:$C,$A135,'NSE - Other Index Options'!$B:$B,G$4,'NSE - Other Index Options'!$I:$I,"MDAW*")+SUMIFS('BSE - SENSEX Index Options'!$M:$M,'BSE - SENSEX Index Options'!$C:$C,$A135,'BSE - SENSEX Index Options'!$B:$B,G$4,'BSE - SENSEX Index Options'!$I:$I,"Weekly*")+SUMIFS('BSE - SENSEX Index Options'!$M:$M,'BSE - SENSEX Index Options'!$C:$C,$A135,'BSE - SENSEX Index Options'!$B:$B,G$4,'BSE - SENSEX Index Options'!$I:$I,"MDAW*")+SUMIFS('BSE - Other Index Options'!$M:$M,'BSE - Other Index Options'!$C:$C,$A135,'BSE - Other Index Options'!$B:$B,G$4,'BSE - Other Index Options'!$I:$I,"Weekly*")+SUMIFS('BSE - Other Index Options'!$M:$M,'BSE - Other Index Options'!$C:$C,$A135,'BSE - Other Index Options'!$B:$B,G$4,'BSE - Other Index Options'!$I:$I,"MDAW*")=0,"",SUMIFS('NSE - NIFTY Index Options'!$M:$M,'NSE - NIFTY Index Options'!$C:$C,$A135,'NSE - NIFTY Index Options'!$B:$B,G$4,'NSE - NIFTY Index Options'!$I:$I,"Weekly*")+SUMIFS('NSE - NIFTY Index Options'!$M:$M,'NSE - NIFTY Index Options'!$C:$C,$A135,'NSE - NIFTY Index Options'!$B:$B,G$4,'NSE - NIFTY Index Options'!$I:$I,"MDAW*")+SUMIFS('NSE - Other Index Options'!$M:$M,'NSE - Other Index Options'!$C:$C,$A135,'NSE - Other Index Options'!$B:$B,G$4,'NSE - Other Index Options'!$I:$I,"Weekly*")+SUMIFS('NSE - Other Index Options'!$M:$M,'NSE - Other Index Options'!$C:$C,$A135,'NSE - Other Index Options'!$B:$B,G$4,'NSE - Other Index Options'!$I:$I,"MDAW*")+SUMIFS('BSE - SENSEX Index Options'!$M:$M,'BSE - SENSEX Index Options'!$C:$C,$A135,'BSE - SENSEX Index Options'!$B:$B,G$4,'BSE - SENSEX Index Options'!$I:$I,"Weekly*")+SUMIFS('BSE - SENSEX Index Options'!$M:$M,'BSE - SENSEX Index Options'!$C:$C,$A135,'BSE - SENSEX Index Options'!$B:$B,G$4,'BSE - SENSEX Index Options'!$I:$I,"MDAW*")+SUMIFS('BSE - Other Index Options'!$M:$M,'BSE - Other Index Options'!$C:$C,$A135,'BSE - Other Index Options'!$B:$B,G$4,'BSE - Other Index Options'!$I:$I,"Weekly*")+SUMIFS('BSE - Other Index Options'!$M:$M,'BSE - Other Index Options'!$C:$C,$A135,'BSE - Other Index Options'!$B:$B,G$4,'BSE - Other Index Options'!$I:$I,"MDAW*"))</f>
        <v/>
      </c>
      <c r="H135" s="26">
        <f>IF(SUM(B135:G135)=0,"",SUM(B135:G135))</f>
        <v/>
      </c>
    </row>
    <row r="136" hidden="1" outlineLevel="1">
      <c r="A136" t="inlineStr">
        <is>
          <t>Week4-Nov-2027</t>
        </is>
      </c>
      <c r="B136" s="26">
        <f>IF(SUMIFS('NSE - NIFTY Index Options'!$M:$M,'NSE - NIFTY Index Options'!$C:$C,$A136,'NSE - NIFTY Index Options'!$B:$B,B$4,'NSE - NIFTY Index Options'!$I:$I,"Weekly*")+SUMIFS('NSE - NIFTY Index Options'!$M:$M,'NSE - NIFTY Index Options'!$C:$C,$A136,'NSE - NIFTY Index Options'!$B:$B,B$4,'NSE - NIFTY Index Options'!$I:$I,"MDAW*")+SUMIFS('NSE - Other Index Options'!$M:$M,'NSE - Other Index Options'!$C:$C,$A136,'NSE - Other Index Options'!$B:$B,B$4,'NSE - Other Index Options'!$I:$I,"Weekly*")+SUMIFS('NSE - Other Index Options'!$M:$M,'NSE - Other Index Options'!$C:$C,$A136,'NSE - Other Index Options'!$B:$B,B$4,'NSE - Other Index Options'!$I:$I,"MDAW*")+SUMIFS('BSE - SENSEX Index Options'!$M:$M,'BSE - SENSEX Index Options'!$C:$C,$A136,'BSE - SENSEX Index Options'!$B:$B,B$4,'BSE - SENSEX Index Options'!$I:$I,"Weekly*")+SUMIFS('BSE - SENSEX Index Options'!$M:$M,'BSE - SENSEX Index Options'!$C:$C,$A136,'BSE - SENSEX Index Options'!$B:$B,B$4,'BSE - SENSEX Index Options'!$I:$I,"MDAW*")+SUMIFS('BSE - Other Index Options'!$M:$M,'BSE - Other Index Options'!$C:$C,$A136,'BSE - Other Index Options'!$B:$B,B$4,'BSE - Other Index Options'!$I:$I,"Weekly*")+SUMIFS('BSE - Other Index Options'!$M:$M,'BSE - Other Index Options'!$C:$C,$A136,'BSE - Other Index Options'!$B:$B,B$4,'BSE - Other Index Options'!$I:$I,"MDAW*")=0,"",SUMIFS('NSE - NIFTY Index Options'!$M:$M,'NSE - NIFTY Index Options'!$C:$C,$A136,'NSE - NIFTY Index Options'!$B:$B,B$4,'NSE - NIFTY Index Options'!$I:$I,"Weekly*")+SUMIFS('NSE - NIFTY Index Options'!$M:$M,'NSE - NIFTY Index Options'!$C:$C,$A136,'NSE - NIFTY Index Options'!$B:$B,B$4,'NSE - NIFTY Index Options'!$I:$I,"MDAW*")+SUMIFS('NSE - Other Index Options'!$M:$M,'NSE - Other Index Options'!$C:$C,$A136,'NSE - Other Index Options'!$B:$B,B$4,'NSE - Other Index Options'!$I:$I,"Weekly*")+SUMIFS('NSE - Other Index Options'!$M:$M,'NSE - Other Index Options'!$C:$C,$A136,'NSE - Other Index Options'!$B:$B,B$4,'NSE - Other Index Options'!$I:$I,"MDAW*")+SUMIFS('BSE - SENSEX Index Options'!$M:$M,'BSE - SENSEX Index Options'!$C:$C,$A136,'BSE - SENSEX Index Options'!$B:$B,B$4,'BSE - SENSEX Index Options'!$I:$I,"Weekly*")+SUMIFS('BSE - SENSEX Index Options'!$M:$M,'BSE - SENSEX Index Options'!$C:$C,$A136,'BSE - SENSEX Index Options'!$B:$B,B$4,'BSE - SENSEX Index Options'!$I:$I,"MDAW*")+SUMIFS('BSE - Other Index Options'!$M:$M,'BSE - Other Index Options'!$C:$C,$A136,'BSE - Other Index Options'!$B:$B,B$4,'BSE - Other Index Options'!$I:$I,"Weekly*")+SUMIFS('BSE - Other Index Options'!$M:$M,'BSE - Other Index Options'!$C:$C,$A136,'BSE - Other Index Options'!$B:$B,B$4,'BSE - Other Index Options'!$I:$I,"MDAW*"))</f>
        <v/>
      </c>
      <c r="C136" s="26">
        <f>IF(SUMIFS('NSE - NIFTY Index Options'!$M:$M,'NSE - NIFTY Index Options'!$C:$C,$A136,'NSE - NIFTY Index Options'!$B:$B,C$4,'NSE - NIFTY Index Options'!$I:$I,"Weekly*")+SUMIFS('NSE - NIFTY Index Options'!$M:$M,'NSE - NIFTY Index Options'!$C:$C,$A136,'NSE - NIFTY Index Options'!$B:$B,C$4,'NSE - NIFTY Index Options'!$I:$I,"MDAW*")+SUMIFS('NSE - Other Index Options'!$M:$M,'NSE - Other Index Options'!$C:$C,$A136,'NSE - Other Index Options'!$B:$B,C$4,'NSE - Other Index Options'!$I:$I,"Weekly*")+SUMIFS('NSE - Other Index Options'!$M:$M,'NSE - Other Index Options'!$C:$C,$A136,'NSE - Other Index Options'!$B:$B,C$4,'NSE - Other Index Options'!$I:$I,"MDAW*")+SUMIFS('BSE - SENSEX Index Options'!$M:$M,'BSE - SENSEX Index Options'!$C:$C,$A136,'BSE - SENSEX Index Options'!$B:$B,C$4,'BSE - SENSEX Index Options'!$I:$I,"Weekly*")+SUMIFS('BSE - SENSEX Index Options'!$M:$M,'BSE - SENSEX Index Options'!$C:$C,$A136,'BSE - SENSEX Index Options'!$B:$B,C$4,'BSE - SENSEX Index Options'!$I:$I,"MDAW*")+SUMIFS('BSE - Other Index Options'!$M:$M,'BSE - Other Index Options'!$C:$C,$A136,'BSE - Other Index Options'!$B:$B,C$4,'BSE - Other Index Options'!$I:$I,"Weekly*")+SUMIFS('BSE - Other Index Options'!$M:$M,'BSE - Other Index Options'!$C:$C,$A136,'BSE - Other Index Options'!$B:$B,C$4,'BSE - Other Index Options'!$I:$I,"MDAW*")=0,"",SUMIFS('NSE - NIFTY Index Options'!$M:$M,'NSE - NIFTY Index Options'!$C:$C,$A136,'NSE - NIFTY Index Options'!$B:$B,C$4,'NSE - NIFTY Index Options'!$I:$I,"Weekly*")+SUMIFS('NSE - NIFTY Index Options'!$M:$M,'NSE - NIFTY Index Options'!$C:$C,$A136,'NSE - NIFTY Index Options'!$B:$B,C$4,'NSE - NIFTY Index Options'!$I:$I,"MDAW*")+SUMIFS('NSE - Other Index Options'!$M:$M,'NSE - Other Index Options'!$C:$C,$A136,'NSE - Other Index Options'!$B:$B,C$4,'NSE - Other Index Options'!$I:$I,"Weekly*")+SUMIFS('NSE - Other Index Options'!$M:$M,'NSE - Other Index Options'!$C:$C,$A136,'NSE - Other Index Options'!$B:$B,C$4,'NSE - Other Index Options'!$I:$I,"MDAW*")+SUMIFS('BSE - SENSEX Index Options'!$M:$M,'BSE - SENSEX Index Options'!$C:$C,$A136,'BSE - SENSEX Index Options'!$B:$B,C$4,'BSE - SENSEX Index Options'!$I:$I,"Weekly*")+SUMIFS('BSE - SENSEX Index Options'!$M:$M,'BSE - SENSEX Index Options'!$C:$C,$A136,'BSE - SENSEX Index Options'!$B:$B,C$4,'BSE - SENSEX Index Options'!$I:$I,"MDAW*")+SUMIFS('BSE - Other Index Options'!$M:$M,'BSE - Other Index Options'!$C:$C,$A136,'BSE - Other Index Options'!$B:$B,C$4,'BSE - Other Index Options'!$I:$I,"Weekly*")+SUMIFS('BSE - Other Index Options'!$M:$M,'BSE - Other Index Options'!$C:$C,$A136,'BSE - Other Index Options'!$B:$B,C$4,'BSE - Other Index Options'!$I:$I,"MDAW*"))</f>
        <v/>
      </c>
      <c r="D136" s="26">
        <f>IF(SUMIFS('NSE - NIFTY Index Options'!$M:$M,'NSE - NIFTY Index Options'!$C:$C,$A136,'NSE - NIFTY Index Options'!$B:$B,D$4,'NSE - NIFTY Index Options'!$I:$I,"Weekly*")+SUMIFS('NSE - NIFTY Index Options'!$M:$M,'NSE - NIFTY Index Options'!$C:$C,$A136,'NSE - NIFTY Index Options'!$B:$B,D$4,'NSE - NIFTY Index Options'!$I:$I,"MDAW*")+SUMIFS('NSE - Other Index Options'!$M:$M,'NSE - Other Index Options'!$C:$C,$A136,'NSE - Other Index Options'!$B:$B,D$4,'NSE - Other Index Options'!$I:$I,"Weekly*")+SUMIFS('NSE - Other Index Options'!$M:$M,'NSE - Other Index Options'!$C:$C,$A136,'NSE - Other Index Options'!$B:$B,D$4,'NSE - Other Index Options'!$I:$I,"MDAW*")+SUMIFS('BSE - SENSEX Index Options'!$M:$M,'BSE - SENSEX Index Options'!$C:$C,$A136,'BSE - SENSEX Index Options'!$B:$B,D$4,'BSE - SENSEX Index Options'!$I:$I,"Weekly*")+SUMIFS('BSE - SENSEX Index Options'!$M:$M,'BSE - SENSEX Index Options'!$C:$C,$A136,'BSE - SENSEX Index Options'!$B:$B,D$4,'BSE - SENSEX Index Options'!$I:$I,"MDAW*")+SUMIFS('BSE - Other Index Options'!$M:$M,'BSE - Other Index Options'!$C:$C,$A136,'BSE - Other Index Options'!$B:$B,D$4,'BSE - Other Index Options'!$I:$I,"Weekly*")+SUMIFS('BSE - Other Index Options'!$M:$M,'BSE - Other Index Options'!$C:$C,$A136,'BSE - Other Index Options'!$B:$B,D$4,'BSE - Other Index Options'!$I:$I,"MDAW*")=0,"",SUMIFS('NSE - NIFTY Index Options'!$M:$M,'NSE - NIFTY Index Options'!$C:$C,$A136,'NSE - NIFTY Index Options'!$B:$B,D$4,'NSE - NIFTY Index Options'!$I:$I,"Weekly*")+SUMIFS('NSE - NIFTY Index Options'!$M:$M,'NSE - NIFTY Index Options'!$C:$C,$A136,'NSE - NIFTY Index Options'!$B:$B,D$4,'NSE - NIFTY Index Options'!$I:$I,"MDAW*")+SUMIFS('NSE - Other Index Options'!$M:$M,'NSE - Other Index Options'!$C:$C,$A136,'NSE - Other Index Options'!$B:$B,D$4,'NSE - Other Index Options'!$I:$I,"Weekly*")+SUMIFS('NSE - Other Index Options'!$M:$M,'NSE - Other Index Options'!$C:$C,$A136,'NSE - Other Index Options'!$B:$B,D$4,'NSE - Other Index Options'!$I:$I,"MDAW*")+SUMIFS('BSE - SENSEX Index Options'!$M:$M,'BSE - SENSEX Index Options'!$C:$C,$A136,'BSE - SENSEX Index Options'!$B:$B,D$4,'BSE - SENSEX Index Options'!$I:$I,"Weekly*")+SUMIFS('BSE - SENSEX Index Options'!$M:$M,'BSE - SENSEX Index Options'!$C:$C,$A136,'BSE - SENSEX Index Options'!$B:$B,D$4,'BSE - SENSEX Index Options'!$I:$I,"MDAW*")+SUMIFS('BSE - Other Index Options'!$M:$M,'BSE - Other Index Options'!$C:$C,$A136,'BSE - Other Index Options'!$B:$B,D$4,'BSE - Other Index Options'!$I:$I,"Weekly*")+SUMIFS('BSE - Other Index Options'!$M:$M,'BSE - Other Index Options'!$C:$C,$A136,'BSE - Other Index Options'!$B:$B,D$4,'BSE - Other Index Options'!$I:$I,"MDAW*"))</f>
        <v/>
      </c>
      <c r="E136" s="26">
        <f>IF(SUMIFS('NSE - NIFTY Index Options'!$M:$M,'NSE - NIFTY Index Options'!$C:$C,$A136,'NSE - NIFTY Index Options'!$B:$B,E$4,'NSE - NIFTY Index Options'!$I:$I,"Weekly*")+SUMIFS('NSE - NIFTY Index Options'!$M:$M,'NSE - NIFTY Index Options'!$C:$C,$A136,'NSE - NIFTY Index Options'!$B:$B,E$4,'NSE - NIFTY Index Options'!$I:$I,"MDAW*")+SUMIFS('NSE - Other Index Options'!$M:$M,'NSE - Other Index Options'!$C:$C,$A136,'NSE - Other Index Options'!$B:$B,E$4,'NSE - Other Index Options'!$I:$I,"Weekly*")+SUMIFS('NSE - Other Index Options'!$M:$M,'NSE - Other Index Options'!$C:$C,$A136,'NSE - Other Index Options'!$B:$B,E$4,'NSE - Other Index Options'!$I:$I,"MDAW*")+SUMIFS('BSE - SENSEX Index Options'!$M:$M,'BSE - SENSEX Index Options'!$C:$C,$A136,'BSE - SENSEX Index Options'!$B:$B,E$4,'BSE - SENSEX Index Options'!$I:$I,"Weekly*")+SUMIFS('BSE - SENSEX Index Options'!$M:$M,'BSE - SENSEX Index Options'!$C:$C,$A136,'BSE - SENSEX Index Options'!$B:$B,E$4,'BSE - SENSEX Index Options'!$I:$I,"MDAW*")+SUMIFS('BSE - Other Index Options'!$M:$M,'BSE - Other Index Options'!$C:$C,$A136,'BSE - Other Index Options'!$B:$B,E$4,'BSE - Other Index Options'!$I:$I,"Weekly*")+SUMIFS('BSE - Other Index Options'!$M:$M,'BSE - Other Index Options'!$C:$C,$A136,'BSE - Other Index Options'!$B:$B,E$4,'BSE - Other Index Options'!$I:$I,"MDAW*")=0,"",SUMIFS('NSE - NIFTY Index Options'!$M:$M,'NSE - NIFTY Index Options'!$C:$C,$A136,'NSE - NIFTY Index Options'!$B:$B,E$4,'NSE - NIFTY Index Options'!$I:$I,"Weekly*")+SUMIFS('NSE - NIFTY Index Options'!$M:$M,'NSE - NIFTY Index Options'!$C:$C,$A136,'NSE - NIFTY Index Options'!$B:$B,E$4,'NSE - NIFTY Index Options'!$I:$I,"MDAW*")+SUMIFS('NSE - Other Index Options'!$M:$M,'NSE - Other Index Options'!$C:$C,$A136,'NSE - Other Index Options'!$B:$B,E$4,'NSE - Other Index Options'!$I:$I,"Weekly*")+SUMIFS('NSE - Other Index Options'!$M:$M,'NSE - Other Index Options'!$C:$C,$A136,'NSE - Other Index Options'!$B:$B,E$4,'NSE - Other Index Options'!$I:$I,"MDAW*")+SUMIFS('BSE - SENSEX Index Options'!$M:$M,'BSE - SENSEX Index Options'!$C:$C,$A136,'BSE - SENSEX Index Options'!$B:$B,E$4,'BSE - SENSEX Index Options'!$I:$I,"Weekly*")+SUMIFS('BSE - SENSEX Index Options'!$M:$M,'BSE - SENSEX Index Options'!$C:$C,$A136,'BSE - SENSEX Index Options'!$B:$B,E$4,'BSE - SENSEX Index Options'!$I:$I,"MDAW*")+SUMIFS('BSE - Other Index Options'!$M:$M,'BSE - Other Index Options'!$C:$C,$A136,'BSE - Other Index Options'!$B:$B,E$4,'BSE - Other Index Options'!$I:$I,"Weekly*")+SUMIFS('BSE - Other Index Options'!$M:$M,'BSE - Other Index Options'!$C:$C,$A136,'BSE - Other Index Options'!$B:$B,E$4,'BSE - Other Index Options'!$I:$I,"MDAW*"))</f>
        <v/>
      </c>
      <c r="F136" s="26">
        <f>IF(SUMIFS('NSE - NIFTY Index Options'!$M:$M,'NSE - NIFTY Index Options'!$C:$C,$A136,'NSE - NIFTY Index Options'!$B:$B,F$4,'NSE - NIFTY Index Options'!$I:$I,"Weekly*")+SUMIFS('NSE - NIFTY Index Options'!$M:$M,'NSE - NIFTY Index Options'!$C:$C,$A136,'NSE - NIFTY Index Options'!$B:$B,F$4,'NSE - NIFTY Index Options'!$I:$I,"MDAW*")+SUMIFS('NSE - Other Index Options'!$M:$M,'NSE - Other Index Options'!$C:$C,$A136,'NSE - Other Index Options'!$B:$B,F$4,'NSE - Other Index Options'!$I:$I,"Weekly*")+SUMIFS('NSE - Other Index Options'!$M:$M,'NSE - Other Index Options'!$C:$C,$A136,'NSE - Other Index Options'!$B:$B,F$4,'NSE - Other Index Options'!$I:$I,"MDAW*")+SUMIFS('BSE - SENSEX Index Options'!$M:$M,'BSE - SENSEX Index Options'!$C:$C,$A136,'BSE - SENSEX Index Options'!$B:$B,F$4,'BSE - SENSEX Index Options'!$I:$I,"Weekly*")+SUMIFS('BSE - SENSEX Index Options'!$M:$M,'BSE - SENSEX Index Options'!$C:$C,$A136,'BSE - SENSEX Index Options'!$B:$B,F$4,'BSE - SENSEX Index Options'!$I:$I,"MDAW*")+SUMIFS('BSE - Other Index Options'!$M:$M,'BSE - Other Index Options'!$C:$C,$A136,'BSE - Other Index Options'!$B:$B,F$4,'BSE - Other Index Options'!$I:$I,"Weekly*")+SUMIFS('BSE - Other Index Options'!$M:$M,'BSE - Other Index Options'!$C:$C,$A136,'BSE - Other Index Options'!$B:$B,F$4,'BSE - Other Index Options'!$I:$I,"MDAW*")=0,"",SUMIFS('NSE - NIFTY Index Options'!$M:$M,'NSE - NIFTY Index Options'!$C:$C,$A136,'NSE - NIFTY Index Options'!$B:$B,F$4,'NSE - NIFTY Index Options'!$I:$I,"Weekly*")+SUMIFS('NSE - NIFTY Index Options'!$M:$M,'NSE - NIFTY Index Options'!$C:$C,$A136,'NSE - NIFTY Index Options'!$B:$B,F$4,'NSE - NIFTY Index Options'!$I:$I,"MDAW*")+SUMIFS('NSE - Other Index Options'!$M:$M,'NSE - Other Index Options'!$C:$C,$A136,'NSE - Other Index Options'!$B:$B,F$4,'NSE - Other Index Options'!$I:$I,"Weekly*")+SUMIFS('NSE - Other Index Options'!$M:$M,'NSE - Other Index Options'!$C:$C,$A136,'NSE - Other Index Options'!$B:$B,F$4,'NSE - Other Index Options'!$I:$I,"MDAW*")+SUMIFS('BSE - SENSEX Index Options'!$M:$M,'BSE - SENSEX Index Options'!$C:$C,$A136,'BSE - SENSEX Index Options'!$B:$B,F$4,'BSE - SENSEX Index Options'!$I:$I,"Weekly*")+SUMIFS('BSE - SENSEX Index Options'!$M:$M,'BSE - SENSEX Index Options'!$C:$C,$A136,'BSE - SENSEX Index Options'!$B:$B,F$4,'BSE - SENSEX Index Options'!$I:$I,"MDAW*")+SUMIFS('BSE - Other Index Options'!$M:$M,'BSE - Other Index Options'!$C:$C,$A136,'BSE - Other Index Options'!$B:$B,F$4,'BSE - Other Index Options'!$I:$I,"Weekly*")+SUMIFS('BSE - Other Index Options'!$M:$M,'BSE - Other Index Options'!$C:$C,$A136,'BSE - Other Index Options'!$B:$B,F$4,'BSE - Other Index Options'!$I:$I,"MDAW*"))</f>
        <v/>
      </c>
      <c r="G136" s="26">
        <f>IF(SUMIFS('NSE - NIFTY Index Options'!$M:$M,'NSE - NIFTY Index Options'!$C:$C,$A136,'NSE - NIFTY Index Options'!$B:$B,G$4,'NSE - NIFTY Index Options'!$I:$I,"Weekly*")+SUMIFS('NSE - NIFTY Index Options'!$M:$M,'NSE - NIFTY Index Options'!$C:$C,$A136,'NSE - NIFTY Index Options'!$B:$B,G$4,'NSE - NIFTY Index Options'!$I:$I,"MDAW*")+SUMIFS('NSE - Other Index Options'!$M:$M,'NSE - Other Index Options'!$C:$C,$A136,'NSE - Other Index Options'!$B:$B,G$4,'NSE - Other Index Options'!$I:$I,"Weekly*")+SUMIFS('NSE - Other Index Options'!$M:$M,'NSE - Other Index Options'!$C:$C,$A136,'NSE - Other Index Options'!$B:$B,G$4,'NSE - Other Index Options'!$I:$I,"MDAW*")+SUMIFS('BSE - SENSEX Index Options'!$M:$M,'BSE - SENSEX Index Options'!$C:$C,$A136,'BSE - SENSEX Index Options'!$B:$B,G$4,'BSE - SENSEX Index Options'!$I:$I,"Weekly*")+SUMIFS('BSE - SENSEX Index Options'!$M:$M,'BSE - SENSEX Index Options'!$C:$C,$A136,'BSE - SENSEX Index Options'!$B:$B,G$4,'BSE - SENSEX Index Options'!$I:$I,"MDAW*")+SUMIFS('BSE - Other Index Options'!$M:$M,'BSE - Other Index Options'!$C:$C,$A136,'BSE - Other Index Options'!$B:$B,G$4,'BSE - Other Index Options'!$I:$I,"Weekly*")+SUMIFS('BSE - Other Index Options'!$M:$M,'BSE - Other Index Options'!$C:$C,$A136,'BSE - Other Index Options'!$B:$B,G$4,'BSE - Other Index Options'!$I:$I,"MDAW*")=0,"",SUMIFS('NSE - NIFTY Index Options'!$M:$M,'NSE - NIFTY Index Options'!$C:$C,$A136,'NSE - NIFTY Index Options'!$B:$B,G$4,'NSE - NIFTY Index Options'!$I:$I,"Weekly*")+SUMIFS('NSE - NIFTY Index Options'!$M:$M,'NSE - NIFTY Index Options'!$C:$C,$A136,'NSE - NIFTY Index Options'!$B:$B,G$4,'NSE - NIFTY Index Options'!$I:$I,"MDAW*")+SUMIFS('NSE - Other Index Options'!$M:$M,'NSE - Other Index Options'!$C:$C,$A136,'NSE - Other Index Options'!$B:$B,G$4,'NSE - Other Index Options'!$I:$I,"Weekly*")+SUMIFS('NSE - Other Index Options'!$M:$M,'NSE - Other Index Options'!$C:$C,$A136,'NSE - Other Index Options'!$B:$B,G$4,'NSE - Other Index Options'!$I:$I,"MDAW*")+SUMIFS('BSE - SENSEX Index Options'!$M:$M,'BSE - SENSEX Index Options'!$C:$C,$A136,'BSE - SENSEX Index Options'!$B:$B,G$4,'BSE - SENSEX Index Options'!$I:$I,"Weekly*")+SUMIFS('BSE - SENSEX Index Options'!$M:$M,'BSE - SENSEX Index Options'!$C:$C,$A136,'BSE - SENSEX Index Options'!$B:$B,G$4,'BSE - SENSEX Index Options'!$I:$I,"MDAW*")+SUMIFS('BSE - Other Index Options'!$M:$M,'BSE - Other Index Options'!$C:$C,$A136,'BSE - Other Index Options'!$B:$B,G$4,'BSE - Other Index Options'!$I:$I,"Weekly*")+SUMIFS('BSE - Other Index Options'!$M:$M,'BSE - Other Index Options'!$C:$C,$A136,'BSE - Other Index Options'!$B:$B,G$4,'BSE - Other Index Options'!$I:$I,"MDAW*"))</f>
        <v/>
      </c>
      <c r="H136" s="26">
        <f>IF(SUM(B136:G136)=0,"",SUM(B136:G136))</f>
        <v/>
      </c>
    </row>
    <row r="137" hidden="1" outlineLevel="1">
      <c r="A137" t="inlineStr">
        <is>
          <t>Week5-Nov-2027</t>
        </is>
      </c>
      <c r="B137" s="26">
        <f>IF(SUMIFS('NSE - NIFTY Index Options'!$M:$M,'NSE - NIFTY Index Options'!$C:$C,$A137,'NSE - NIFTY Index Options'!$B:$B,B$4,'NSE - NIFTY Index Options'!$I:$I,"Weekly*")+SUMIFS('NSE - NIFTY Index Options'!$M:$M,'NSE - NIFTY Index Options'!$C:$C,$A137,'NSE - NIFTY Index Options'!$B:$B,B$4,'NSE - NIFTY Index Options'!$I:$I,"MDAW*")+SUMIFS('NSE - Other Index Options'!$M:$M,'NSE - Other Index Options'!$C:$C,$A137,'NSE - Other Index Options'!$B:$B,B$4,'NSE - Other Index Options'!$I:$I,"Weekly*")+SUMIFS('NSE - Other Index Options'!$M:$M,'NSE - Other Index Options'!$C:$C,$A137,'NSE - Other Index Options'!$B:$B,B$4,'NSE - Other Index Options'!$I:$I,"MDAW*")+SUMIFS('BSE - SENSEX Index Options'!$M:$M,'BSE - SENSEX Index Options'!$C:$C,$A137,'BSE - SENSEX Index Options'!$B:$B,B$4,'BSE - SENSEX Index Options'!$I:$I,"Weekly*")+SUMIFS('BSE - SENSEX Index Options'!$M:$M,'BSE - SENSEX Index Options'!$C:$C,$A137,'BSE - SENSEX Index Options'!$B:$B,B$4,'BSE - SENSEX Index Options'!$I:$I,"MDAW*")+SUMIFS('BSE - Other Index Options'!$M:$M,'BSE - Other Index Options'!$C:$C,$A137,'BSE - Other Index Options'!$B:$B,B$4,'BSE - Other Index Options'!$I:$I,"Weekly*")+SUMIFS('BSE - Other Index Options'!$M:$M,'BSE - Other Index Options'!$C:$C,$A137,'BSE - Other Index Options'!$B:$B,B$4,'BSE - Other Index Options'!$I:$I,"MDAW*")=0,"",SUMIFS('NSE - NIFTY Index Options'!$M:$M,'NSE - NIFTY Index Options'!$C:$C,$A137,'NSE - NIFTY Index Options'!$B:$B,B$4,'NSE - NIFTY Index Options'!$I:$I,"Weekly*")+SUMIFS('NSE - NIFTY Index Options'!$M:$M,'NSE - NIFTY Index Options'!$C:$C,$A137,'NSE - NIFTY Index Options'!$B:$B,B$4,'NSE - NIFTY Index Options'!$I:$I,"MDAW*")+SUMIFS('NSE - Other Index Options'!$M:$M,'NSE - Other Index Options'!$C:$C,$A137,'NSE - Other Index Options'!$B:$B,B$4,'NSE - Other Index Options'!$I:$I,"Weekly*")+SUMIFS('NSE - Other Index Options'!$M:$M,'NSE - Other Index Options'!$C:$C,$A137,'NSE - Other Index Options'!$B:$B,B$4,'NSE - Other Index Options'!$I:$I,"MDAW*")+SUMIFS('BSE - SENSEX Index Options'!$M:$M,'BSE - SENSEX Index Options'!$C:$C,$A137,'BSE - SENSEX Index Options'!$B:$B,B$4,'BSE - SENSEX Index Options'!$I:$I,"Weekly*")+SUMIFS('BSE - SENSEX Index Options'!$M:$M,'BSE - SENSEX Index Options'!$C:$C,$A137,'BSE - SENSEX Index Options'!$B:$B,B$4,'BSE - SENSEX Index Options'!$I:$I,"MDAW*")+SUMIFS('BSE - Other Index Options'!$M:$M,'BSE - Other Index Options'!$C:$C,$A137,'BSE - Other Index Options'!$B:$B,B$4,'BSE - Other Index Options'!$I:$I,"Weekly*")+SUMIFS('BSE - Other Index Options'!$M:$M,'BSE - Other Index Options'!$C:$C,$A137,'BSE - Other Index Options'!$B:$B,B$4,'BSE - Other Index Options'!$I:$I,"MDAW*"))</f>
        <v/>
      </c>
      <c r="C137" s="26">
        <f>IF(SUMIFS('NSE - NIFTY Index Options'!$M:$M,'NSE - NIFTY Index Options'!$C:$C,$A137,'NSE - NIFTY Index Options'!$B:$B,C$4,'NSE - NIFTY Index Options'!$I:$I,"Weekly*")+SUMIFS('NSE - NIFTY Index Options'!$M:$M,'NSE - NIFTY Index Options'!$C:$C,$A137,'NSE - NIFTY Index Options'!$B:$B,C$4,'NSE - NIFTY Index Options'!$I:$I,"MDAW*")+SUMIFS('NSE - Other Index Options'!$M:$M,'NSE - Other Index Options'!$C:$C,$A137,'NSE - Other Index Options'!$B:$B,C$4,'NSE - Other Index Options'!$I:$I,"Weekly*")+SUMIFS('NSE - Other Index Options'!$M:$M,'NSE - Other Index Options'!$C:$C,$A137,'NSE - Other Index Options'!$B:$B,C$4,'NSE - Other Index Options'!$I:$I,"MDAW*")+SUMIFS('BSE - SENSEX Index Options'!$M:$M,'BSE - SENSEX Index Options'!$C:$C,$A137,'BSE - SENSEX Index Options'!$B:$B,C$4,'BSE - SENSEX Index Options'!$I:$I,"Weekly*")+SUMIFS('BSE - SENSEX Index Options'!$M:$M,'BSE - SENSEX Index Options'!$C:$C,$A137,'BSE - SENSEX Index Options'!$B:$B,C$4,'BSE - SENSEX Index Options'!$I:$I,"MDAW*")+SUMIFS('BSE - Other Index Options'!$M:$M,'BSE - Other Index Options'!$C:$C,$A137,'BSE - Other Index Options'!$B:$B,C$4,'BSE - Other Index Options'!$I:$I,"Weekly*")+SUMIFS('BSE - Other Index Options'!$M:$M,'BSE - Other Index Options'!$C:$C,$A137,'BSE - Other Index Options'!$B:$B,C$4,'BSE - Other Index Options'!$I:$I,"MDAW*")=0,"",SUMIFS('NSE - NIFTY Index Options'!$M:$M,'NSE - NIFTY Index Options'!$C:$C,$A137,'NSE - NIFTY Index Options'!$B:$B,C$4,'NSE - NIFTY Index Options'!$I:$I,"Weekly*")+SUMIFS('NSE - NIFTY Index Options'!$M:$M,'NSE - NIFTY Index Options'!$C:$C,$A137,'NSE - NIFTY Index Options'!$B:$B,C$4,'NSE - NIFTY Index Options'!$I:$I,"MDAW*")+SUMIFS('NSE - Other Index Options'!$M:$M,'NSE - Other Index Options'!$C:$C,$A137,'NSE - Other Index Options'!$B:$B,C$4,'NSE - Other Index Options'!$I:$I,"Weekly*")+SUMIFS('NSE - Other Index Options'!$M:$M,'NSE - Other Index Options'!$C:$C,$A137,'NSE - Other Index Options'!$B:$B,C$4,'NSE - Other Index Options'!$I:$I,"MDAW*")+SUMIFS('BSE - SENSEX Index Options'!$M:$M,'BSE - SENSEX Index Options'!$C:$C,$A137,'BSE - SENSEX Index Options'!$B:$B,C$4,'BSE - SENSEX Index Options'!$I:$I,"Weekly*")+SUMIFS('BSE - SENSEX Index Options'!$M:$M,'BSE - SENSEX Index Options'!$C:$C,$A137,'BSE - SENSEX Index Options'!$B:$B,C$4,'BSE - SENSEX Index Options'!$I:$I,"MDAW*")+SUMIFS('BSE - Other Index Options'!$M:$M,'BSE - Other Index Options'!$C:$C,$A137,'BSE - Other Index Options'!$B:$B,C$4,'BSE - Other Index Options'!$I:$I,"Weekly*")+SUMIFS('BSE - Other Index Options'!$M:$M,'BSE - Other Index Options'!$C:$C,$A137,'BSE - Other Index Options'!$B:$B,C$4,'BSE - Other Index Options'!$I:$I,"MDAW*"))</f>
        <v/>
      </c>
      <c r="D137" s="26">
        <f>IF(SUMIFS('NSE - NIFTY Index Options'!$M:$M,'NSE - NIFTY Index Options'!$C:$C,$A137,'NSE - NIFTY Index Options'!$B:$B,D$4,'NSE - NIFTY Index Options'!$I:$I,"Weekly*")+SUMIFS('NSE - NIFTY Index Options'!$M:$M,'NSE - NIFTY Index Options'!$C:$C,$A137,'NSE - NIFTY Index Options'!$B:$B,D$4,'NSE - NIFTY Index Options'!$I:$I,"MDAW*")+SUMIFS('NSE - Other Index Options'!$M:$M,'NSE - Other Index Options'!$C:$C,$A137,'NSE - Other Index Options'!$B:$B,D$4,'NSE - Other Index Options'!$I:$I,"Weekly*")+SUMIFS('NSE - Other Index Options'!$M:$M,'NSE - Other Index Options'!$C:$C,$A137,'NSE - Other Index Options'!$B:$B,D$4,'NSE - Other Index Options'!$I:$I,"MDAW*")+SUMIFS('BSE - SENSEX Index Options'!$M:$M,'BSE - SENSEX Index Options'!$C:$C,$A137,'BSE - SENSEX Index Options'!$B:$B,D$4,'BSE - SENSEX Index Options'!$I:$I,"Weekly*")+SUMIFS('BSE - SENSEX Index Options'!$M:$M,'BSE - SENSEX Index Options'!$C:$C,$A137,'BSE - SENSEX Index Options'!$B:$B,D$4,'BSE - SENSEX Index Options'!$I:$I,"MDAW*")+SUMIFS('BSE - Other Index Options'!$M:$M,'BSE - Other Index Options'!$C:$C,$A137,'BSE - Other Index Options'!$B:$B,D$4,'BSE - Other Index Options'!$I:$I,"Weekly*")+SUMIFS('BSE - Other Index Options'!$M:$M,'BSE - Other Index Options'!$C:$C,$A137,'BSE - Other Index Options'!$B:$B,D$4,'BSE - Other Index Options'!$I:$I,"MDAW*")=0,"",SUMIFS('NSE - NIFTY Index Options'!$M:$M,'NSE - NIFTY Index Options'!$C:$C,$A137,'NSE - NIFTY Index Options'!$B:$B,D$4,'NSE - NIFTY Index Options'!$I:$I,"Weekly*")+SUMIFS('NSE - NIFTY Index Options'!$M:$M,'NSE - NIFTY Index Options'!$C:$C,$A137,'NSE - NIFTY Index Options'!$B:$B,D$4,'NSE - NIFTY Index Options'!$I:$I,"MDAW*")+SUMIFS('NSE - Other Index Options'!$M:$M,'NSE - Other Index Options'!$C:$C,$A137,'NSE - Other Index Options'!$B:$B,D$4,'NSE - Other Index Options'!$I:$I,"Weekly*")+SUMIFS('NSE - Other Index Options'!$M:$M,'NSE - Other Index Options'!$C:$C,$A137,'NSE - Other Index Options'!$B:$B,D$4,'NSE - Other Index Options'!$I:$I,"MDAW*")+SUMIFS('BSE - SENSEX Index Options'!$M:$M,'BSE - SENSEX Index Options'!$C:$C,$A137,'BSE - SENSEX Index Options'!$B:$B,D$4,'BSE - SENSEX Index Options'!$I:$I,"Weekly*")+SUMIFS('BSE - SENSEX Index Options'!$M:$M,'BSE - SENSEX Index Options'!$C:$C,$A137,'BSE - SENSEX Index Options'!$B:$B,D$4,'BSE - SENSEX Index Options'!$I:$I,"MDAW*")+SUMIFS('BSE - Other Index Options'!$M:$M,'BSE - Other Index Options'!$C:$C,$A137,'BSE - Other Index Options'!$B:$B,D$4,'BSE - Other Index Options'!$I:$I,"Weekly*")+SUMIFS('BSE - Other Index Options'!$M:$M,'BSE - Other Index Options'!$C:$C,$A137,'BSE - Other Index Options'!$B:$B,D$4,'BSE - Other Index Options'!$I:$I,"MDAW*"))</f>
        <v/>
      </c>
      <c r="E137" s="26">
        <f>IF(SUMIFS('NSE - NIFTY Index Options'!$M:$M,'NSE - NIFTY Index Options'!$C:$C,$A137,'NSE - NIFTY Index Options'!$B:$B,E$4,'NSE - NIFTY Index Options'!$I:$I,"Weekly*")+SUMIFS('NSE - NIFTY Index Options'!$M:$M,'NSE - NIFTY Index Options'!$C:$C,$A137,'NSE - NIFTY Index Options'!$B:$B,E$4,'NSE - NIFTY Index Options'!$I:$I,"MDAW*")+SUMIFS('NSE - Other Index Options'!$M:$M,'NSE - Other Index Options'!$C:$C,$A137,'NSE - Other Index Options'!$B:$B,E$4,'NSE - Other Index Options'!$I:$I,"Weekly*")+SUMIFS('NSE - Other Index Options'!$M:$M,'NSE - Other Index Options'!$C:$C,$A137,'NSE - Other Index Options'!$B:$B,E$4,'NSE - Other Index Options'!$I:$I,"MDAW*")+SUMIFS('BSE - SENSEX Index Options'!$M:$M,'BSE - SENSEX Index Options'!$C:$C,$A137,'BSE - SENSEX Index Options'!$B:$B,E$4,'BSE - SENSEX Index Options'!$I:$I,"Weekly*")+SUMIFS('BSE - SENSEX Index Options'!$M:$M,'BSE - SENSEX Index Options'!$C:$C,$A137,'BSE - SENSEX Index Options'!$B:$B,E$4,'BSE - SENSEX Index Options'!$I:$I,"MDAW*")+SUMIFS('BSE - Other Index Options'!$M:$M,'BSE - Other Index Options'!$C:$C,$A137,'BSE - Other Index Options'!$B:$B,E$4,'BSE - Other Index Options'!$I:$I,"Weekly*")+SUMIFS('BSE - Other Index Options'!$M:$M,'BSE - Other Index Options'!$C:$C,$A137,'BSE - Other Index Options'!$B:$B,E$4,'BSE - Other Index Options'!$I:$I,"MDAW*")=0,"",SUMIFS('NSE - NIFTY Index Options'!$M:$M,'NSE - NIFTY Index Options'!$C:$C,$A137,'NSE - NIFTY Index Options'!$B:$B,E$4,'NSE - NIFTY Index Options'!$I:$I,"Weekly*")+SUMIFS('NSE - NIFTY Index Options'!$M:$M,'NSE - NIFTY Index Options'!$C:$C,$A137,'NSE - NIFTY Index Options'!$B:$B,E$4,'NSE - NIFTY Index Options'!$I:$I,"MDAW*")+SUMIFS('NSE - Other Index Options'!$M:$M,'NSE - Other Index Options'!$C:$C,$A137,'NSE - Other Index Options'!$B:$B,E$4,'NSE - Other Index Options'!$I:$I,"Weekly*")+SUMIFS('NSE - Other Index Options'!$M:$M,'NSE - Other Index Options'!$C:$C,$A137,'NSE - Other Index Options'!$B:$B,E$4,'NSE - Other Index Options'!$I:$I,"MDAW*")+SUMIFS('BSE - SENSEX Index Options'!$M:$M,'BSE - SENSEX Index Options'!$C:$C,$A137,'BSE - SENSEX Index Options'!$B:$B,E$4,'BSE - SENSEX Index Options'!$I:$I,"Weekly*")+SUMIFS('BSE - SENSEX Index Options'!$M:$M,'BSE - SENSEX Index Options'!$C:$C,$A137,'BSE - SENSEX Index Options'!$B:$B,E$4,'BSE - SENSEX Index Options'!$I:$I,"MDAW*")+SUMIFS('BSE - Other Index Options'!$M:$M,'BSE - Other Index Options'!$C:$C,$A137,'BSE - Other Index Options'!$B:$B,E$4,'BSE - Other Index Options'!$I:$I,"Weekly*")+SUMIFS('BSE - Other Index Options'!$M:$M,'BSE - Other Index Options'!$C:$C,$A137,'BSE - Other Index Options'!$B:$B,E$4,'BSE - Other Index Options'!$I:$I,"MDAW*"))</f>
        <v/>
      </c>
      <c r="F137" s="26">
        <f>IF(SUMIFS('NSE - NIFTY Index Options'!$M:$M,'NSE - NIFTY Index Options'!$C:$C,$A137,'NSE - NIFTY Index Options'!$B:$B,F$4,'NSE - NIFTY Index Options'!$I:$I,"Weekly*")+SUMIFS('NSE - NIFTY Index Options'!$M:$M,'NSE - NIFTY Index Options'!$C:$C,$A137,'NSE - NIFTY Index Options'!$B:$B,F$4,'NSE - NIFTY Index Options'!$I:$I,"MDAW*")+SUMIFS('NSE - Other Index Options'!$M:$M,'NSE - Other Index Options'!$C:$C,$A137,'NSE - Other Index Options'!$B:$B,F$4,'NSE - Other Index Options'!$I:$I,"Weekly*")+SUMIFS('NSE - Other Index Options'!$M:$M,'NSE - Other Index Options'!$C:$C,$A137,'NSE - Other Index Options'!$B:$B,F$4,'NSE - Other Index Options'!$I:$I,"MDAW*")+SUMIFS('BSE - SENSEX Index Options'!$M:$M,'BSE - SENSEX Index Options'!$C:$C,$A137,'BSE - SENSEX Index Options'!$B:$B,F$4,'BSE - SENSEX Index Options'!$I:$I,"Weekly*")+SUMIFS('BSE - SENSEX Index Options'!$M:$M,'BSE - SENSEX Index Options'!$C:$C,$A137,'BSE - SENSEX Index Options'!$B:$B,F$4,'BSE - SENSEX Index Options'!$I:$I,"MDAW*")+SUMIFS('BSE - Other Index Options'!$M:$M,'BSE - Other Index Options'!$C:$C,$A137,'BSE - Other Index Options'!$B:$B,F$4,'BSE - Other Index Options'!$I:$I,"Weekly*")+SUMIFS('BSE - Other Index Options'!$M:$M,'BSE - Other Index Options'!$C:$C,$A137,'BSE - Other Index Options'!$B:$B,F$4,'BSE - Other Index Options'!$I:$I,"MDAW*")=0,"",SUMIFS('NSE - NIFTY Index Options'!$M:$M,'NSE - NIFTY Index Options'!$C:$C,$A137,'NSE - NIFTY Index Options'!$B:$B,F$4,'NSE - NIFTY Index Options'!$I:$I,"Weekly*")+SUMIFS('NSE - NIFTY Index Options'!$M:$M,'NSE - NIFTY Index Options'!$C:$C,$A137,'NSE - NIFTY Index Options'!$B:$B,F$4,'NSE - NIFTY Index Options'!$I:$I,"MDAW*")+SUMIFS('NSE - Other Index Options'!$M:$M,'NSE - Other Index Options'!$C:$C,$A137,'NSE - Other Index Options'!$B:$B,F$4,'NSE - Other Index Options'!$I:$I,"Weekly*")+SUMIFS('NSE - Other Index Options'!$M:$M,'NSE - Other Index Options'!$C:$C,$A137,'NSE - Other Index Options'!$B:$B,F$4,'NSE - Other Index Options'!$I:$I,"MDAW*")+SUMIFS('BSE - SENSEX Index Options'!$M:$M,'BSE - SENSEX Index Options'!$C:$C,$A137,'BSE - SENSEX Index Options'!$B:$B,F$4,'BSE - SENSEX Index Options'!$I:$I,"Weekly*")+SUMIFS('BSE - SENSEX Index Options'!$M:$M,'BSE - SENSEX Index Options'!$C:$C,$A137,'BSE - SENSEX Index Options'!$B:$B,F$4,'BSE - SENSEX Index Options'!$I:$I,"MDAW*")+SUMIFS('BSE - Other Index Options'!$M:$M,'BSE - Other Index Options'!$C:$C,$A137,'BSE - Other Index Options'!$B:$B,F$4,'BSE - Other Index Options'!$I:$I,"Weekly*")+SUMIFS('BSE - Other Index Options'!$M:$M,'BSE - Other Index Options'!$C:$C,$A137,'BSE - Other Index Options'!$B:$B,F$4,'BSE - Other Index Options'!$I:$I,"MDAW*"))</f>
        <v/>
      </c>
      <c r="G137" s="26">
        <f>IF(SUMIFS('NSE - NIFTY Index Options'!$M:$M,'NSE - NIFTY Index Options'!$C:$C,$A137,'NSE - NIFTY Index Options'!$B:$B,G$4,'NSE - NIFTY Index Options'!$I:$I,"Weekly*")+SUMIFS('NSE - NIFTY Index Options'!$M:$M,'NSE - NIFTY Index Options'!$C:$C,$A137,'NSE - NIFTY Index Options'!$B:$B,G$4,'NSE - NIFTY Index Options'!$I:$I,"MDAW*")+SUMIFS('NSE - Other Index Options'!$M:$M,'NSE - Other Index Options'!$C:$C,$A137,'NSE - Other Index Options'!$B:$B,G$4,'NSE - Other Index Options'!$I:$I,"Weekly*")+SUMIFS('NSE - Other Index Options'!$M:$M,'NSE - Other Index Options'!$C:$C,$A137,'NSE - Other Index Options'!$B:$B,G$4,'NSE - Other Index Options'!$I:$I,"MDAW*")+SUMIFS('BSE - SENSEX Index Options'!$M:$M,'BSE - SENSEX Index Options'!$C:$C,$A137,'BSE - SENSEX Index Options'!$B:$B,G$4,'BSE - SENSEX Index Options'!$I:$I,"Weekly*")+SUMIFS('BSE - SENSEX Index Options'!$M:$M,'BSE - SENSEX Index Options'!$C:$C,$A137,'BSE - SENSEX Index Options'!$B:$B,G$4,'BSE - SENSEX Index Options'!$I:$I,"MDAW*")+SUMIFS('BSE - Other Index Options'!$M:$M,'BSE - Other Index Options'!$C:$C,$A137,'BSE - Other Index Options'!$B:$B,G$4,'BSE - Other Index Options'!$I:$I,"Weekly*")+SUMIFS('BSE - Other Index Options'!$M:$M,'BSE - Other Index Options'!$C:$C,$A137,'BSE - Other Index Options'!$B:$B,G$4,'BSE - Other Index Options'!$I:$I,"MDAW*")=0,"",SUMIFS('NSE - NIFTY Index Options'!$M:$M,'NSE - NIFTY Index Options'!$C:$C,$A137,'NSE - NIFTY Index Options'!$B:$B,G$4,'NSE - NIFTY Index Options'!$I:$I,"Weekly*")+SUMIFS('NSE - NIFTY Index Options'!$M:$M,'NSE - NIFTY Index Options'!$C:$C,$A137,'NSE - NIFTY Index Options'!$B:$B,G$4,'NSE - NIFTY Index Options'!$I:$I,"MDAW*")+SUMIFS('NSE - Other Index Options'!$M:$M,'NSE - Other Index Options'!$C:$C,$A137,'NSE - Other Index Options'!$B:$B,G$4,'NSE - Other Index Options'!$I:$I,"Weekly*")+SUMIFS('NSE - Other Index Options'!$M:$M,'NSE - Other Index Options'!$C:$C,$A137,'NSE - Other Index Options'!$B:$B,G$4,'NSE - Other Index Options'!$I:$I,"MDAW*")+SUMIFS('BSE - SENSEX Index Options'!$M:$M,'BSE - SENSEX Index Options'!$C:$C,$A137,'BSE - SENSEX Index Options'!$B:$B,G$4,'BSE - SENSEX Index Options'!$I:$I,"Weekly*")+SUMIFS('BSE - SENSEX Index Options'!$M:$M,'BSE - SENSEX Index Options'!$C:$C,$A137,'BSE - SENSEX Index Options'!$B:$B,G$4,'BSE - SENSEX Index Options'!$I:$I,"MDAW*")+SUMIFS('BSE - Other Index Options'!$M:$M,'BSE - Other Index Options'!$C:$C,$A137,'BSE - Other Index Options'!$B:$B,G$4,'BSE - Other Index Options'!$I:$I,"Weekly*")+SUMIFS('BSE - Other Index Options'!$M:$M,'BSE - Other Index Options'!$C:$C,$A137,'BSE - Other Index Options'!$B:$B,G$4,'BSE - Other Index Options'!$I:$I,"MDAW*"))</f>
        <v/>
      </c>
      <c r="H137" s="26">
        <f>IF(SUM(B137:G137)=0,"",SUM(B137:G137))</f>
        <v/>
      </c>
    </row>
    <row r="138" hidden="1" outlineLevel="1">
      <c r="A138" t="inlineStr">
        <is>
          <t>Week1-Dec-2027</t>
        </is>
      </c>
      <c r="B138" s="26">
        <f>IF(SUMIFS('NSE - NIFTY Index Options'!$M:$M,'NSE - NIFTY Index Options'!$C:$C,$A138,'NSE - NIFTY Index Options'!$B:$B,B$4,'NSE - NIFTY Index Options'!$I:$I,"Weekly*")+SUMIFS('NSE - NIFTY Index Options'!$M:$M,'NSE - NIFTY Index Options'!$C:$C,$A138,'NSE - NIFTY Index Options'!$B:$B,B$4,'NSE - NIFTY Index Options'!$I:$I,"MDAW*")+SUMIFS('NSE - Other Index Options'!$M:$M,'NSE - Other Index Options'!$C:$C,$A138,'NSE - Other Index Options'!$B:$B,B$4,'NSE - Other Index Options'!$I:$I,"Weekly*")+SUMIFS('NSE - Other Index Options'!$M:$M,'NSE - Other Index Options'!$C:$C,$A138,'NSE - Other Index Options'!$B:$B,B$4,'NSE - Other Index Options'!$I:$I,"MDAW*")+SUMIFS('BSE - SENSEX Index Options'!$M:$M,'BSE - SENSEX Index Options'!$C:$C,$A138,'BSE - SENSEX Index Options'!$B:$B,B$4,'BSE - SENSEX Index Options'!$I:$I,"Weekly*")+SUMIFS('BSE - SENSEX Index Options'!$M:$M,'BSE - SENSEX Index Options'!$C:$C,$A138,'BSE - SENSEX Index Options'!$B:$B,B$4,'BSE - SENSEX Index Options'!$I:$I,"MDAW*")+SUMIFS('BSE - Other Index Options'!$M:$M,'BSE - Other Index Options'!$C:$C,$A138,'BSE - Other Index Options'!$B:$B,B$4,'BSE - Other Index Options'!$I:$I,"Weekly*")+SUMIFS('BSE - Other Index Options'!$M:$M,'BSE - Other Index Options'!$C:$C,$A138,'BSE - Other Index Options'!$B:$B,B$4,'BSE - Other Index Options'!$I:$I,"MDAW*")=0,"",SUMIFS('NSE - NIFTY Index Options'!$M:$M,'NSE - NIFTY Index Options'!$C:$C,$A138,'NSE - NIFTY Index Options'!$B:$B,B$4,'NSE - NIFTY Index Options'!$I:$I,"Weekly*")+SUMIFS('NSE - NIFTY Index Options'!$M:$M,'NSE - NIFTY Index Options'!$C:$C,$A138,'NSE - NIFTY Index Options'!$B:$B,B$4,'NSE - NIFTY Index Options'!$I:$I,"MDAW*")+SUMIFS('NSE - Other Index Options'!$M:$M,'NSE - Other Index Options'!$C:$C,$A138,'NSE - Other Index Options'!$B:$B,B$4,'NSE - Other Index Options'!$I:$I,"Weekly*")+SUMIFS('NSE - Other Index Options'!$M:$M,'NSE - Other Index Options'!$C:$C,$A138,'NSE - Other Index Options'!$B:$B,B$4,'NSE - Other Index Options'!$I:$I,"MDAW*")+SUMIFS('BSE - SENSEX Index Options'!$M:$M,'BSE - SENSEX Index Options'!$C:$C,$A138,'BSE - SENSEX Index Options'!$B:$B,B$4,'BSE - SENSEX Index Options'!$I:$I,"Weekly*")+SUMIFS('BSE - SENSEX Index Options'!$M:$M,'BSE - SENSEX Index Options'!$C:$C,$A138,'BSE - SENSEX Index Options'!$B:$B,B$4,'BSE - SENSEX Index Options'!$I:$I,"MDAW*")+SUMIFS('BSE - Other Index Options'!$M:$M,'BSE - Other Index Options'!$C:$C,$A138,'BSE - Other Index Options'!$B:$B,B$4,'BSE - Other Index Options'!$I:$I,"Weekly*")+SUMIFS('BSE - Other Index Options'!$M:$M,'BSE - Other Index Options'!$C:$C,$A138,'BSE - Other Index Options'!$B:$B,B$4,'BSE - Other Index Options'!$I:$I,"MDAW*"))</f>
        <v/>
      </c>
      <c r="C138" s="26">
        <f>IF(SUMIFS('NSE - NIFTY Index Options'!$M:$M,'NSE - NIFTY Index Options'!$C:$C,$A138,'NSE - NIFTY Index Options'!$B:$B,C$4,'NSE - NIFTY Index Options'!$I:$I,"Weekly*")+SUMIFS('NSE - NIFTY Index Options'!$M:$M,'NSE - NIFTY Index Options'!$C:$C,$A138,'NSE - NIFTY Index Options'!$B:$B,C$4,'NSE - NIFTY Index Options'!$I:$I,"MDAW*")+SUMIFS('NSE - Other Index Options'!$M:$M,'NSE - Other Index Options'!$C:$C,$A138,'NSE - Other Index Options'!$B:$B,C$4,'NSE - Other Index Options'!$I:$I,"Weekly*")+SUMIFS('NSE - Other Index Options'!$M:$M,'NSE - Other Index Options'!$C:$C,$A138,'NSE - Other Index Options'!$B:$B,C$4,'NSE - Other Index Options'!$I:$I,"MDAW*")+SUMIFS('BSE - SENSEX Index Options'!$M:$M,'BSE - SENSEX Index Options'!$C:$C,$A138,'BSE - SENSEX Index Options'!$B:$B,C$4,'BSE - SENSEX Index Options'!$I:$I,"Weekly*")+SUMIFS('BSE - SENSEX Index Options'!$M:$M,'BSE - SENSEX Index Options'!$C:$C,$A138,'BSE - SENSEX Index Options'!$B:$B,C$4,'BSE - SENSEX Index Options'!$I:$I,"MDAW*")+SUMIFS('BSE - Other Index Options'!$M:$M,'BSE - Other Index Options'!$C:$C,$A138,'BSE - Other Index Options'!$B:$B,C$4,'BSE - Other Index Options'!$I:$I,"Weekly*")+SUMIFS('BSE - Other Index Options'!$M:$M,'BSE - Other Index Options'!$C:$C,$A138,'BSE - Other Index Options'!$B:$B,C$4,'BSE - Other Index Options'!$I:$I,"MDAW*")=0,"",SUMIFS('NSE - NIFTY Index Options'!$M:$M,'NSE - NIFTY Index Options'!$C:$C,$A138,'NSE - NIFTY Index Options'!$B:$B,C$4,'NSE - NIFTY Index Options'!$I:$I,"Weekly*")+SUMIFS('NSE - NIFTY Index Options'!$M:$M,'NSE - NIFTY Index Options'!$C:$C,$A138,'NSE - NIFTY Index Options'!$B:$B,C$4,'NSE - NIFTY Index Options'!$I:$I,"MDAW*")+SUMIFS('NSE - Other Index Options'!$M:$M,'NSE - Other Index Options'!$C:$C,$A138,'NSE - Other Index Options'!$B:$B,C$4,'NSE - Other Index Options'!$I:$I,"Weekly*")+SUMIFS('NSE - Other Index Options'!$M:$M,'NSE - Other Index Options'!$C:$C,$A138,'NSE - Other Index Options'!$B:$B,C$4,'NSE - Other Index Options'!$I:$I,"MDAW*")+SUMIFS('BSE - SENSEX Index Options'!$M:$M,'BSE - SENSEX Index Options'!$C:$C,$A138,'BSE - SENSEX Index Options'!$B:$B,C$4,'BSE - SENSEX Index Options'!$I:$I,"Weekly*")+SUMIFS('BSE - SENSEX Index Options'!$M:$M,'BSE - SENSEX Index Options'!$C:$C,$A138,'BSE - SENSEX Index Options'!$B:$B,C$4,'BSE - SENSEX Index Options'!$I:$I,"MDAW*")+SUMIFS('BSE - Other Index Options'!$M:$M,'BSE - Other Index Options'!$C:$C,$A138,'BSE - Other Index Options'!$B:$B,C$4,'BSE - Other Index Options'!$I:$I,"Weekly*")+SUMIFS('BSE - Other Index Options'!$M:$M,'BSE - Other Index Options'!$C:$C,$A138,'BSE - Other Index Options'!$B:$B,C$4,'BSE - Other Index Options'!$I:$I,"MDAW*"))</f>
        <v/>
      </c>
      <c r="D138" s="26">
        <f>IF(SUMIFS('NSE - NIFTY Index Options'!$M:$M,'NSE - NIFTY Index Options'!$C:$C,$A138,'NSE - NIFTY Index Options'!$B:$B,D$4,'NSE - NIFTY Index Options'!$I:$I,"Weekly*")+SUMIFS('NSE - NIFTY Index Options'!$M:$M,'NSE - NIFTY Index Options'!$C:$C,$A138,'NSE - NIFTY Index Options'!$B:$B,D$4,'NSE - NIFTY Index Options'!$I:$I,"MDAW*")+SUMIFS('NSE - Other Index Options'!$M:$M,'NSE - Other Index Options'!$C:$C,$A138,'NSE - Other Index Options'!$B:$B,D$4,'NSE - Other Index Options'!$I:$I,"Weekly*")+SUMIFS('NSE - Other Index Options'!$M:$M,'NSE - Other Index Options'!$C:$C,$A138,'NSE - Other Index Options'!$B:$B,D$4,'NSE - Other Index Options'!$I:$I,"MDAW*")+SUMIFS('BSE - SENSEX Index Options'!$M:$M,'BSE - SENSEX Index Options'!$C:$C,$A138,'BSE - SENSEX Index Options'!$B:$B,D$4,'BSE - SENSEX Index Options'!$I:$I,"Weekly*")+SUMIFS('BSE - SENSEX Index Options'!$M:$M,'BSE - SENSEX Index Options'!$C:$C,$A138,'BSE - SENSEX Index Options'!$B:$B,D$4,'BSE - SENSEX Index Options'!$I:$I,"MDAW*")+SUMIFS('BSE - Other Index Options'!$M:$M,'BSE - Other Index Options'!$C:$C,$A138,'BSE - Other Index Options'!$B:$B,D$4,'BSE - Other Index Options'!$I:$I,"Weekly*")+SUMIFS('BSE - Other Index Options'!$M:$M,'BSE - Other Index Options'!$C:$C,$A138,'BSE - Other Index Options'!$B:$B,D$4,'BSE - Other Index Options'!$I:$I,"MDAW*")=0,"",SUMIFS('NSE - NIFTY Index Options'!$M:$M,'NSE - NIFTY Index Options'!$C:$C,$A138,'NSE - NIFTY Index Options'!$B:$B,D$4,'NSE - NIFTY Index Options'!$I:$I,"Weekly*")+SUMIFS('NSE - NIFTY Index Options'!$M:$M,'NSE - NIFTY Index Options'!$C:$C,$A138,'NSE - NIFTY Index Options'!$B:$B,D$4,'NSE - NIFTY Index Options'!$I:$I,"MDAW*")+SUMIFS('NSE - Other Index Options'!$M:$M,'NSE - Other Index Options'!$C:$C,$A138,'NSE - Other Index Options'!$B:$B,D$4,'NSE - Other Index Options'!$I:$I,"Weekly*")+SUMIFS('NSE - Other Index Options'!$M:$M,'NSE - Other Index Options'!$C:$C,$A138,'NSE - Other Index Options'!$B:$B,D$4,'NSE - Other Index Options'!$I:$I,"MDAW*")+SUMIFS('BSE - SENSEX Index Options'!$M:$M,'BSE - SENSEX Index Options'!$C:$C,$A138,'BSE - SENSEX Index Options'!$B:$B,D$4,'BSE - SENSEX Index Options'!$I:$I,"Weekly*")+SUMIFS('BSE - SENSEX Index Options'!$M:$M,'BSE - SENSEX Index Options'!$C:$C,$A138,'BSE - SENSEX Index Options'!$B:$B,D$4,'BSE - SENSEX Index Options'!$I:$I,"MDAW*")+SUMIFS('BSE - Other Index Options'!$M:$M,'BSE - Other Index Options'!$C:$C,$A138,'BSE - Other Index Options'!$B:$B,D$4,'BSE - Other Index Options'!$I:$I,"Weekly*")+SUMIFS('BSE - Other Index Options'!$M:$M,'BSE - Other Index Options'!$C:$C,$A138,'BSE - Other Index Options'!$B:$B,D$4,'BSE - Other Index Options'!$I:$I,"MDAW*"))</f>
        <v/>
      </c>
      <c r="E138" s="26">
        <f>IF(SUMIFS('NSE - NIFTY Index Options'!$M:$M,'NSE - NIFTY Index Options'!$C:$C,$A138,'NSE - NIFTY Index Options'!$B:$B,E$4,'NSE - NIFTY Index Options'!$I:$I,"Weekly*")+SUMIFS('NSE - NIFTY Index Options'!$M:$M,'NSE - NIFTY Index Options'!$C:$C,$A138,'NSE - NIFTY Index Options'!$B:$B,E$4,'NSE - NIFTY Index Options'!$I:$I,"MDAW*")+SUMIFS('NSE - Other Index Options'!$M:$M,'NSE - Other Index Options'!$C:$C,$A138,'NSE - Other Index Options'!$B:$B,E$4,'NSE - Other Index Options'!$I:$I,"Weekly*")+SUMIFS('NSE - Other Index Options'!$M:$M,'NSE - Other Index Options'!$C:$C,$A138,'NSE - Other Index Options'!$B:$B,E$4,'NSE - Other Index Options'!$I:$I,"MDAW*")+SUMIFS('BSE - SENSEX Index Options'!$M:$M,'BSE - SENSEX Index Options'!$C:$C,$A138,'BSE - SENSEX Index Options'!$B:$B,E$4,'BSE - SENSEX Index Options'!$I:$I,"Weekly*")+SUMIFS('BSE - SENSEX Index Options'!$M:$M,'BSE - SENSEX Index Options'!$C:$C,$A138,'BSE - SENSEX Index Options'!$B:$B,E$4,'BSE - SENSEX Index Options'!$I:$I,"MDAW*")+SUMIFS('BSE - Other Index Options'!$M:$M,'BSE - Other Index Options'!$C:$C,$A138,'BSE - Other Index Options'!$B:$B,E$4,'BSE - Other Index Options'!$I:$I,"Weekly*")+SUMIFS('BSE - Other Index Options'!$M:$M,'BSE - Other Index Options'!$C:$C,$A138,'BSE - Other Index Options'!$B:$B,E$4,'BSE - Other Index Options'!$I:$I,"MDAW*")=0,"",SUMIFS('NSE - NIFTY Index Options'!$M:$M,'NSE - NIFTY Index Options'!$C:$C,$A138,'NSE - NIFTY Index Options'!$B:$B,E$4,'NSE - NIFTY Index Options'!$I:$I,"Weekly*")+SUMIFS('NSE - NIFTY Index Options'!$M:$M,'NSE - NIFTY Index Options'!$C:$C,$A138,'NSE - NIFTY Index Options'!$B:$B,E$4,'NSE - NIFTY Index Options'!$I:$I,"MDAW*")+SUMIFS('NSE - Other Index Options'!$M:$M,'NSE - Other Index Options'!$C:$C,$A138,'NSE - Other Index Options'!$B:$B,E$4,'NSE - Other Index Options'!$I:$I,"Weekly*")+SUMIFS('NSE - Other Index Options'!$M:$M,'NSE - Other Index Options'!$C:$C,$A138,'NSE - Other Index Options'!$B:$B,E$4,'NSE - Other Index Options'!$I:$I,"MDAW*")+SUMIFS('BSE - SENSEX Index Options'!$M:$M,'BSE - SENSEX Index Options'!$C:$C,$A138,'BSE - SENSEX Index Options'!$B:$B,E$4,'BSE - SENSEX Index Options'!$I:$I,"Weekly*")+SUMIFS('BSE - SENSEX Index Options'!$M:$M,'BSE - SENSEX Index Options'!$C:$C,$A138,'BSE - SENSEX Index Options'!$B:$B,E$4,'BSE - SENSEX Index Options'!$I:$I,"MDAW*")+SUMIFS('BSE - Other Index Options'!$M:$M,'BSE - Other Index Options'!$C:$C,$A138,'BSE - Other Index Options'!$B:$B,E$4,'BSE - Other Index Options'!$I:$I,"Weekly*")+SUMIFS('BSE - Other Index Options'!$M:$M,'BSE - Other Index Options'!$C:$C,$A138,'BSE - Other Index Options'!$B:$B,E$4,'BSE - Other Index Options'!$I:$I,"MDAW*"))</f>
        <v/>
      </c>
      <c r="F138" s="26">
        <f>IF(SUMIFS('NSE - NIFTY Index Options'!$M:$M,'NSE - NIFTY Index Options'!$C:$C,$A138,'NSE - NIFTY Index Options'!$B:$B,F$4,'NSE - NIFTY Index Options'!$I:$I,"Weekly*")+SUMIFS('NSE - NIFTY Index Options'!$M:$M,'NSE - NIFTY Index Options'!$C:$C,$A138,'NSE - NIFTY Index Options'!$B:$B,F$4,'NSE - NIFTY Index Options'!$I:$I,"MDAW*")+SUMIFS('NSE - Other Index Options'!$M:$M,'NSE - Other Index Options'!$C:$C,$A138,'NSE - Other Index Options'!$B:$B,F$4,'NSE - Other Index Options'!$I:$I,"Weekly*")+SUMIFS('NSE - Other Index Options'!$M:$M,'NSE - Other Index Options'!$C:$C,$A138,'NSE - Other Index Options'!$B:$B,F$4,'NSE - Other Index Options'!$I:$I,"MDAW*")+SUMIFS('BSE - SENSEX Index Options'!$M:$M,'BSE - SENSEX Index Options'!$C:$C,$A138,'BSE - SENSEX Index Options'!$B:$B,F$4,'BSE - SENSEX Index Options'!$I:$I,"Weekly*")+SUMIFS('BSE - SENSEX Index Options'!$M:$M,'BSE - SENSEX Index Options'!$C:$C,$A138,'BSE - SENSEX Index Options'!$B:$B,F$4,'BSE - SENSEX Index Options'!$I:$I,"MDAW*")+SUMIFS('BSE - Other Index Options'!$M:$M,'BSE - Other Index Options'!$C:$C,$A138,'BSE - Other Index Options'!$B:$B,F$4,'BSE - Other Index Options'!$I:$I,"Weekly*")+SUMIFS('BSE - Other Index Options'!$M:$M,'BSE - Other Index Options'!$C:$C,$A138,'BSE - Other Index Options'!$B:$B,F$4,'BSE - Other Index Options'!$I:$I,"MDAW*")=0,"",SUMIFS('NSE - NIFTY Index Options'!$M:$M,'NSE - NIFTY Index Options'!$C:$C,$A138,'NSE - NIFTY Index Options'!$B:$B,F$4,'NSE - NIFTY Index Options'!$I:$I,"Weekly*")+SUMIFS('NSE - NIFTY Index Options'!$M:$M,'NSE - NIFTY Index Options'!$C:$C,$A138,'NSE - NIFTY Index Options'!$B:$B,F$4,'NSE - NIFTY Index Options'!$I:$I,"MDAW*")+SUMIFS('NSE - Other Index Options'!$M:$M,'NSE - Other Index Options'!$C:$C,$A138,'NSE - Other Index Options'!$B:$B,F$4,'NSE - Other Index Options'!$I:$I,"Weekly*")+SUMIFS('NSE - Other Index Options'!$M:$M,'NSE - Other Index Options'!$C:$C,$A138,'NSE - Other Index Options'!$B:$B,F$4,'NSE - Other Index Options'!$I:$I,"MDAW*")+SUMIFS('BSE - SENSEX Index Options'!$M:$M,'BSE - SENSEX Index Options'!$C:$C,$A138,'BSE - SENSEX Index Options'!$B:$B,F$4,'BSE - SENSEX Index Options'!$I:$I,"Weekly*")+SUMIFS('BSE - SENSEX Index Options'!$M:$M,'BSE - SENSEX Index Options'!$C:$C,$A138,'BSE - SENSEX Index Options'!$B:$B,F$4,'BSE - SENSEX Index Options'!$I:$I,"MDAW*")+SUMIFS('BSE - Other Index Options'!$M:$M,'BSE - Other Index Options'!$C:$C,$A138,'BSE - Other Index Options'!$B:$B,F$4,'BSE - Other Index Options'!$I:$I,"Weekly*")+SUMIFS('BSE - Other Index Options'!$M:$M,'BSE - Other Index Options'!$C:$C,$A138,'BSE - Other Index Options'!$B:$B,F$4,'BSE - Other Index Options'!$I:$I,"MDAW*"))</f>
        <v/>
      </c>
      <c r="G138" s="26">
        <f>IF(SUMIFS('NSE - NIFTY Index Options'!$M:$M,'NSE - NIFTY Index Options'!$C:$C,$A138,'NSE - NIFTY Index Options'!$B:$B,G$4,'NSE - NIFTY Index Options'!$I:$I,"Weekly*")+SUMIFS('NSE - NIFTY Index Options'!$M:$M,'NSE - NIFTY Index Options'!$C:$C,$A138,'NSE - NIFTY Index Options'!$B:$B,G$4,'NSE - NIFTY Index Options'!$I:$I,"MDAW*")+SUMIFS('NSE - Other Index Options'!$M:$M,'NSE - Other Index Options'!$C:$C,$A138,'NSE - Other Index Options'!$B:$B,G$4,'NSE - Other Index Options'!$I:$I,"Weekly*")+SUMIFS('NSE - Other Index Options'!$M:$M,'NSE - Other Index Options'!$C:$C,$A138,'NSE - Other Index Options'!$B:$B,G$4,'NSE - Other Index Options'!$I:$I,"MDAW*")+SUMIFS('BSE - SENSEX Index Options'!$M:$M,'BSE - SENSEX Index Options'!$C:$C,$A138,'BSE - SENSEX Index Options'!$B:$B,G$4,'BSE - SENSEX Index Options'!$I:$I,"Weekly*")+SUMIFS('BSE - SENSEX Index Options'!$M:$M,'BSE - SENSEX Index Options'!$C:$C,$A138,'BSE - SENSEX Index Options'!$B:$B,G$4,'BSE - SENSEX Index Options'!$I:$I,"MDAW*")+SUMIFS('BSE - Other Index Options'!$M:$M,'BSE - Other Index Options'!$C:$C,$A138,'BSE - Other Index Options'!$B:$B,G$4,'BSE - Other Index Options'!$I:$I,"Weekly*")+SUMIFS('BSE - Other Index Options'!$M:$M,'BSE - Other Index Options'!$C:$C,$A138,'BSE - Other Index Options'!$B:$B,G$4,'BSE - Other Index Options'!$I:$I,"MDAW*")=0,"",SUMIFS('NSE - NIFTY Index Options'!$M:$M,'NSE - NIFTY Index Options'!$C:$C,$A138,'NSE - NIFTY Index Options'!$B:$B,G$4,'NSE - NIFTY Index Options'!$I:$I,"Weekly*")+SUMIFS('NSE - NIFTY Index Options'!$M:$M,'NSE - NIFTY Index Options'!$C:$C,$A138,'NSE - NIFTY Index Options'!$B:$B,G$4,'NSE - NIFTY Index Options'!$I:$I,"MDAW*")+SUMIFS('NSE - Other Index Options'!$M:$M,'NSE - Other Index Options'!$C:$C,$A138,'NSE - Other Index Options'!$B:$B,G$4,'NSE - Other Index Options'!$I:$I,"Weekly*")+SUMIFS('NSE - Other Index Options'!$M:$M,'NSE - Other Index Options'!$C:$C,$A138,'NSE - Other Index Options'!$B:$B,G$4,'NSE - Other Index Options'!$I:$I,"MDAW*")+SUMIFS('BSE - SENSEX Index Options'!$M:$M,'BSE - SENSEX Index Options'!$C:$C,$A138,'BSE - SENSEX Index Options'!$B:$B,G$4,'BSE - SENSEX Index Options'!$I:$I,"Weekly*")+SUMIFS('BSE - SENSEX Index Options'!$M:$M,'BSE - SENSEX Index Options'!$C:$C,$A138,'BSE - SENSEX Index Options'!$B:$B,G$4,'BSE - SENSEX Index Options'!$I:$I,"MDAW*")+SUMIFS('BSE - Other Index Options'!$M:$M,'BSE - Other Index Options'!$C:$C,$A138,'BSE - Other Index Options'!$B:$B,G$4,'BSE - Other Index Options'!$I:$I,"Weekly*")+SUMIFS('BSE - Other Index Options'!$M:$M,'BSE - Other Index Options'!$C:$C,$A138,'BSE - Other Index Options'!$B:$B,G$4,'BSE - Other Index Options'!$I:$I,"MDAW*"))</f>
        <v/>
      </c>
      <c r="H138" s="26">
        <f>IF(SUM(B138:G138)=0,"",SUM(B138:G138))</f>
        <v/>
      </c>
    </row>
    <row r="139" hidden="1" outlineLevel="1">
      <c r="A139" t="inlineStr">
        <is>
          <t>Week2-Dec-2027</t>
        </is>
      </c>
      <c r="B139" s="26">
        <f>IF(SUMIFS('NSE - NIFTY Index Options'!$M:$M,'NSE - NIFTY Index Options'!$C:$C,$A139,'NSE - NIFTY Index Options'!$B:$B,B$4,'NSE - NIFTY Index Options'!$I:$I,"Weekly*")+SUMIFS('NSE - NIFTY Index Options'!$M:$M,'NSE - NIFTY Index Options'!$C:$C,$A139,'NSE - NIFTY Index Options'!$B:$B,B$4,'NSE - NIFTY Index Options'!$I:$I,"MDAW*")+SUMIFS('NSE - Other Index Options'!$M:$M,'NSE - Other Index Options'!$C:$C,$A139,'NSE - Other Index Options'!$B:$B,B$4,'NSE - Other Index Options'!$I:$I,"Weekly*")+SUMIFS('NSE - Other Index Options'!$M:$M,'NSE - Other Index Options'!$C:$C,$A139,'NSE - Other Index Options'!$B:$B,B$4,'NSE - Other Index Options'!$I:$I,"MDAW*")+SUMIFS('BSE - SENSEX Index Options'!$M:$M,'BSE - SENSEX Index Options'!$C:$C,$A139,'BSE - SENSEX Index Options'!$B:$B,B$4,'BSE - SENSEX Index Options'!$I:$I,"Weekly*")+SUMIFS('BSE - SENSEX Index Options'!$M:$M,'BSE - SENSEX Index Options'!$C:$C,$A139,'BSE - SENSEX Index Options'!$B:$B,B$4,'BSE - SENSEX Index Options'!$I:$I,"MDAW*")+SUMIFS('BSE - Other Index Options'!$M:$M,'BSE - Other Index Options'!$C:$C,$A139,'BSE - Other Index Options'!$B:$B,B$4,'BSE - Other Index Options'!$I:$I,"Weekly*")+SUMIFS('BSE - Other Index Options'!$M:$M,'BSE - Other Index Options'!$C:$C,$A139,'BSE - Other Index Options'!$B:$B,B$4,'BSE - Other Index Options'!$I:$I,"MDAW*")=0,"",SUMIFS('NSE - NIFTY Index Options'!$M:$M,'NSE - NIFTY Index Options'!$C:$C,$A139,'NSE - NIFTY Index Options'!$B:$B,B$4,'NSE - NIFTY Index Options'!$I:$I,"Weekly*")+SUMIFS('NSE - NIFTY Index Options'!$M:$M,'NSE - NIFTY Index Options'!$C:$C,$A139,'NSE - NIFTY Index Options'!$B:$B,B$4,'NSE - NIFTY Index Options'!$I:$I,"MDAW*")+SUMIFS('NSE - Other Index Options'!$M:$M,'NSE - Other Index Options'!$C:$C,$A139,'NSE - Other Index Options'!$B:$B,B$4,'NSE - Other Index Options'!$I:$I,"Weekly*")+SUMIFS('NSE - Other Index Options'!$M:$M,'NSE - Other Index Options'!$C:$C,$A139,'NSE - Other Index Options'!$B:$B,B$4,'NSE - Other Index Options'!$I:$I,"MDAW*")+SUMIFS('BSE - SENSEX Index Options'!$M:$M,'BSE - SENSEX Index Options'!$C:$C,$A139,'BSE - SENSEX Index Options'!$B:$B,B$4,'BSE - SENSEX Index Options'!$I:$I,"Weekly*")+SUMIFS('BSE - SENSEX Index Options'!$M:$M,'BSE - SENSEX Index Options'!$C:$C,$A139,'BSE - SENSEX Index Options'!$B:$B,B$4,'BSE - SENSEX Index Options'!$I:$I,"MDAW*")+SUMIFS('BSE - Other Index Options'!$M:$M,'BSE - Other Index Options'!$C:$C,$A139,'BSE - Other Index Options'!$B:$B,B$4,'BSE - Other Index Options'!$I:$I,"Weekly*")+SUMIFS('BSE - Other Index Options'!$M:$M,'BSE - Other Index Options'!$C:$C,$A139,'BSE - Other Index Options'!$B:$B,B$4,'BSE - Other Index Options'!$I:$I,"MDAW*"))</f>
        <v/>
      </c>
      <c r="C139" s="26">
        <f>IF(SUMIFS('NSE - NIFTY Index Options'!$M:$M,'NSE - NIFTY Index Options'!$C:$C,$A139,'NSE - NIFTY Index Options'!$B:$B,C$4,'NSE - NIFTY Index Options'!$I:$I,"Weekly*")+SUMIFS('NSE - NIFTY Index Options'!$M:$M,'NSE - NIFTY Index Options'!$C:$C,$A139,'NSE - NIFTY Index Options'!$B:$B,C$4,'NSE - NIFTY Index Options'!$I:$I,"MDAW*")+SUMIFS('NSE - Other Index Options'!$M:$M,'NSE - Other Index Options'!$C:$C,$A139,'NSE - Other Index Options'!$B:$B,C$4,'NSE - Other Index Options'!$I:$I,"Weekly*")+SUMIFS('NSE - Other Index Options'!$M:$M,'NSE - Other Index Options'!$C:$C,$A139,'NSE - Other Index Options'!$B:$B,C$4,'NSE - Other Index Options'!$I:$I,"MDAW*")+SUMIFS('BSE - SENSEX Index Options'!$M:$M,'BSE - SENSEX Index Options'!$C:$C,$A139,'BSE - SENSEX Index Options'!$B:$B,C$4,'BSE - SENSEX Index Options'!$I:$I,"Weekly*")+SUMIFS('BSE - SENSEX Index Options'!$M:$M,'BSE - SENSEX Index Options'!$C:$C,$A139,'BSE - SENSEX Index Options'!$B:$B,C$4,'BSE - SENSEX Index Options'!$I:$I,"MDAW*")+SUMIFS('BSE - Other Index Options'!$M:$M,'BSE - Other Index Options'!$C:$C,$A139,'BSE - Other Index Options'!$B:$B,C$4,'BSE - Other Index Options'!$I:$I,"Weekly*")+SUMIFS('BSE - Other Index Options'!$M:$M,'BSE - Other Index Options'!$C:$C,$A139,'BSE - Other Index Options'!$B:$B,C$4,'BSE - Other Index Options'!$I:$I,"MDAW*")=0,"",SUMIFS('NSE - NIFTY Index Options'!$M:$M,'NSE - NIFTY Index Options'!$C:$C,$A139,'NSE - NIFTY Index Options'!$B:$B,C$4,'NSE - NIFTY Index Options'!$I:$I,"Weekly*")+SUMIFS('NSE - NIFTY Index Options'!$M:$M,'NSE - NIFTY Index Options'!$C:$C,$A139,'NSE - NIFTY Index Options'!$B:$B,C$4,'NSE - NIFTY Index Options'!$I:$I,"MDAW*")+SUMIFS('NSE - Other Index Options'!$M:$M,'NSE - Other Index Options'!$C:$C,$A139,'NSE - Other Index Options'!$B:$B,C$4,'NSE - Other Index Options'!$I:$I,"Weekly*")+SUMIFS('NSE - Other Index Options'!$M:$M,'NSE - Other Index Options'!$C:$C,$A139,'NSE - Other Index Options'!$B:$B,C$4,'NSE - Other Index Options'!$I:$I,"MDAW*")+SUMIFS('BSE - SENSEX Index Options'!$M:$M,'BSE - SENSEX Index Options'!$C:$C,$A139,'BSE - SENSEX Index Options'!$B:$B,C$4,'BSE - SENSEX Index Options'!$I:$I,"Weekly*")+SUMIFS('BSE - SENSEX Index Options'!$M:$M,'BSE - SENSEX Index Options'!$C:$C,$A139,'BSE - SENSEX Index Options'!$B:$B,C$4,'BSE - SENSEX Index Options'!$I:$I,"MDAW*")+SUMIFS('BSE - Other Index Options'!$M:$M,'BSE - Other Index Options'!$C:$C,$A139,'BSE - Other Index Options'!$B:$B,C$4,'BSE - Other Index Options'!$I:$I,"Weekly*")+SUMIFS('BSE - Other Index Options'!$M:$M,'BSE - Other Index Options'!$C:$C,$A139,'BSE - Other Index Options'!$B:$B,C$4,'BSE - Other Index Options'!$I:$I,"MDAW*"))</f>
        <v/>
      </c>
      <c r="D139" s="26">
        <f>IF(SUMIFS('NSE - NIFTY Index Options'!$M:$M,'NSE - NIFTY Index Options'!$C:$C,$A139,'NSE - NIFTY Index Options'!$B:$B,D$4,'NSE - NIFTY Index Options'!$I:$I,"Weekly*")+SUMIFS('NSE - NIFTY Index Options'!$M:$M,'NSE - NIFTY Index Options'!$C:$C,$A139,'NSE - NIFTY Index Options'!$B:$B,D$4,'NSE - NIFTY Index Options'!$I:$I,"MDAW*")+SUMIFS('NSE - Other Index Options'!$M:$M,'NSE - Other Index Options'!$C:$C,$A139,'NSE - Other Index Options'!$B:$B,D$4,'NSE - Other Index Options'!$I:$I,"Weekly*")+SUMIFS('NSE - Other Index Options'!$M:$M,'NSE - Other Index Options'!$C:$C,$A139,'NSE - Other Index Options'!$B:$B,D$4,'NSE - Other Index Options'!$I:$I,"MDAW*")+SUMIFS('BSE - SENSEX Index Options'!$M:$M,'BSE - SENSEX Index Options'!$C:$C,$A139,'BSE - SENSEX Index Options'!$B:$B,D$4,'BSE - SENSEX Index Options'!$I:$I,"Weekly*")+SUMIFS('BSE - SENSEX Index Options'!$M:$M,'BSE - SENSEX Index Options'!$C:$C,$A139,'BSE - SENSEX Index Options'!$B:$B,D$4,'BSE - SENSEX Index Options'!$I:$I,"MDAW*")+SUMIFS('BSE - Other Index Options'!$M:$M,'BSE - Other Index Options'!$C:$C,$A139,'BSE - Other Index Options'!$B:$B,D$4,'BSE - Other Index Options'!$I:$I,"Weekly*")+SUMIFS('BSE - Other Index Options'!$M:$M,'BSE - Other Index Options'!$C:$C,$A139,'BSE - Other Index Options'!$B:$B,D$4,'BSE - Other Index Options'!$I:$I,"MDAW*")=0,"",SUMIFS('NSE - NIFTY Index Options'!$M:$M,'NSE - NIFTY Index Options'!$C:$C,$A139,'NSE - NIFTY Index Options'!$B:$B,D$4,'NSE - NIFTY Index Options'!$I:$I,"Weekly*")+SUMIFS('NSE - NIFTY Index Options'!$M:$M,'NSE - NIFTY Index Options'!$C:$C,$A139,'NSE - NIFTY Index Options'!$B:$B,D$4,'NSE - NIFTY Index Options'!$I:$I,"MDAW*")+SUMIFS('NSE - Other Index Options'!$M:$M,'NSE - Other Index Options'!$C:$C,$A139,'NSE - Other Index Options'!$B:$B,D$4,'NSE - Other Index Options'!$I:$I,"Weekly*")+SUMIFS('NSE - Other Index Options'!$M:$M,'NSE - Other Index Options'!$C:$C,$A139,'NSE - Other Index Options'!$B:$B,D$4,'NSE - Other Index Options'!$I:$I,"MDAW*")+SUMIFS('BSE - SENSEX Index Options'!$M:$M,'BSE - SENSEX Index Options'!$C:$C,$A139,'BSE - SENSEX Index Options'!$B:$B,D$4,'BSE - SENSEX Index Options'!$I:$I,"Weekly*")+SUMIFS('BSE - SENSEX Index Options'!$M:$M,'BSE - SENSEX Index Options'!$C:$C,$A139,'BSE - SENSEX Index Options'!$B:$B,D$4,'BSE - SENSEX Index Options'!$I:$I,"MDAW*")+SUMIFS('BSE - Other Index Options'!$M:$M,'BSE - Other Index Options'!$C:$C,$A139,'BSE - Other Index Options'!$B:$B,D$4,'BSE - Other Index Options'!$I:$I,"Weekly*")+SUMIFS('BSE - Other Index Options'!$M:$M,'BSE - Other Index Options'!$C:$C,$A139,'BSE - Other Index Options'!$B:$B,D$4,'BSE - Other Index Options'!$I:$I,"MDAW*"))</f>
        <v/>
      </c>
      <c r="E139" s="26">
        <f>IF(SUMIFS('NSE - NIFTY Index Options'!$M:$M,'NSE - NIFTY Index Options'!$C:$C,$A139,'NSE - NIFTY Index Options'!$B:$B,E$4,'NSE - NIFTY Index Options'!$I:$I,"Weekly*")+SUMIFS('NSE - NIFTY Index Options'!$M:$M,'NSE - NIFTY Index Options'!$C:$C,$A139,'NSE - NIFTY Index Options'!$B:$B,E$4,'NSE - NIFTY Index Options'!$I:$I,"MDAW*")+SUMIFS('NSE - Other Index Options'!$M:$M,'NSE - Other Index Options'!$C:$C,$A139,'NSE - Other Index Options'!$B:$B,E$4,'NSE - Other Index Options'!$I:$I,"Weekly*")+SUMIFS('NSE - Other Index Options'!$M:$M,'NSE - Other Index Options'!$C:$C,$A139,'NSE - Other Index Options'!$B:$B,E$4,'NSE - Other Index Options'!$I:$I,"MDAW*")+SUMIFS('BSE - SENSEX Index Options'!$M:$M,'BSE - SENSEX Index Options'!$C:$C,$A139,'BSE - SENSEX Index Options'!$B:$B,E$4,'BSE - SENSEX Index Options'!$I:$I,"Weekly*")+SUMIFS('BSE - SENSEX Index Options'!$M:$M,'BSE - SENSEX Index Options'!$C:$C,$A139,'BSE - SENSEX Index Options'!$B:$B,E$4,'BSE - SENSEX Index Options'!$I:$I,"MDAW*")+SUMIFS('BSE - Other Index Options'!$M:$M,'BSE - Other Index Options'!$C:$C,$A139,'BSE - Other Index Options'!$B:$B,E$4,'BSE - Other Index Options'!$I:$I,"Weekly*")+SUMIFS('BSE - Other Index Options'!$M:$M,'BSE - Other Index Options'!$C:$C,$A139,'BSE - Other Index Options'!$B:$B,E$4,'BSE - Other Index Options'!$I:$I,"MDAW*")=0,"",SUMIFS('NSE - NIFTY Index Options'!$M:$M,'NSE - NIFTY Index Options'!$C:$C,$A139,'NSE - NIFTY Index Options'!$B:$B,E$4,'NSE - NIFTY Index Options'!$I:$I,"Weekly*")+SUMIFS('NSE - NIFTY Index Options'!$M:$M,'NSE - NIFTY Index Options'!$C:$C,$A139,'NSE - NIFTY Index Options'!$B:$B,E$4,'NSE - NIFTY Index Options'!$I:$I,"MDAW*")+SUMIFS('NSE - Other Index Options'!$M:$M,'NSE - Other Index Options'!$C:$C,$A139,'NSE - Other Index Options'!$B:$B,E$4,'NSE - Other Index Options'!$I:$I,"Weekly*")+SUMIFS('NSE - Other Index Options'!$M:$M,'NSE - Other Index Options'!$C:$C,$A139,'NSE - Other Index Options'!$B:$B,E$4,'NSE - Other Index Options'!$I:$I,"MDAW*")+SUMIFS('BSE - SENSEX Index Options'!$M:$M,'BSE - SENSEX Index Options'!$C:$C,$A139,'BSE - SENSEX Index Options'!$B:$B,E$4,'BSE - SENSEX Index Options'!$I:$I,"Weekly*")+SUMIFS('BSE - SENSEX Index Options'!$M:$M,'BSE - SENSEX Index Options'!$C:$C,$A139,'BSE - SENSEX Index Options'!$B:$B,E$4,'BSE - SENSEX Index Options'!$I:$I,"MDAW*")+SUMIFS('BSE - Other Index Options'!$M:$M,'BSE - Other Index Options'!$C:$C,$A139,'BSE - Other Index Options'!$B:$B,E$4,'BSE - Other Index Options'!$I:$I,"Weekly*")+SUMIFS('BSE - Other Index Options'!$M:$M,'BSE - Other Index Options'!$C:$C,$A139,'BSE - Other Index Options'!$B:$B,E$4,'BSE - Other Index Options'!$I:$I,"MDAW*"))</f>
        <v/>
      </c>
      <c r="F139" s="26">
        <f>IF(SUMIFS('NSE - NIFTY Index Options'!$M:$M,'NSE - NIFTY Index Options'!$C:$C,$A139,'NSE - NIFTY Index Options'!$B:$B,F$4,'NSE - NIFTY Index Options'!$I:$I,"Weekly*")+SUMIFS('NSE - NIFTY Index Options'!$M:$M,'NSE - NIFTY Index Options'!$C:$C,$A139,'NSE - NIFTY Index Options'!$B:$B,F$4,'NSE - NIFTY Index Options'!$I:$I,"MDAW*")+SUMIFS('NSE - Other Index Options'!$M:$M,'NSE - Other Index Options'!$C:$C,$A139,'NSE - Other Index Options'!$B:$B,F$4,'NSE - Other Index Options'!$I:$I,"Weekly*")+SUMIFS('NSE - Other Index Options'!$M:$M,'NSE - Other Index Options'!$C:$C,$A139,'NSE - Other Index Options'!$B:$B,F$4,'NSE - Other Index Options'!$I:$I,"MDAW*")+SUMIFS('BSE - SENSEX Index Options'!$M:$M,'BSE - SENSEX Index Options'!$C:$C,$A139,'BSE - SENSEX Index Options'!$B:$B,F$4,'BSE - SENSEX Index Options'!$I:$I,"Weekly*")+SUMIFS('BSE - SENSEX Index Options'!$M:$M,'BSE - SENSEX Index Options'!$C:$C,$A139,'BSE - SENSEX Index Options'!$B:$B,F$4,'BSE - SENSEX Index Options'!$I:$I,"MDAW*")+SUMIFS('BSE - Other Index Options'!$M:$M,'BSE - Other Index Options'!$C:$C,$A139,'BSE - Other Index Options'!$B:$B,F$4,'BSE - Other Index Options'!$I:$I,"Weekly*")+SUMIFS('BSE - Other Index Options'!$M:$M,'BSE - Other Index Options'!$C:$C,$A139,'BSE - Other Index Options'!$B:$B,F$4,'BSE - Other Index Options'!$I:$I,"MDAW*")=0,"",SUMIFS('NSE - NIFTY Index Options'!$M:$M,'NSE - NIFTY Index Options'!$C:$C,$A139,'NSE - NIFTY Index Options'!$B:$B,F$4,'NSE - NIFTY Index Options'!$I:$I,"Weekly*")+SUMIFS('NSE - NIFTY Index Options'!$M:$M,'NSE - NIFTY Index Options'!$C:$C,$A139,'NSE - NIFTY Index Options'!$B:$B,F$4,'NSE - NIFTY Index Options'!$I:$I,"MDAW*")+SUMIFS('NSE - Other Index Options'!$M:$M,'NSE - Other Index Options'!$C:$C,$A139,'NSE - Other Index Options'!$B:$B,F$4,'NSE - Other Index Options'!$I:$I,"Weekly*")+SUMIFS('NSE - Other Index Options'!$M:$M,'NSE - Other Index Options'!$C:$C,$A139,'NSE - Other Index Options'!$B:$B,F$4,'NSE - Other Index Options'!$I:$I,"MDAW*")+SUMIFS('BSE - SENSEX Index Options'!$M:$M,'BSE - SENSEX Index Options'!$C:$C,$A139,'BSE - SENSEX Index Options'!$B:$B,F$4,'BSE - SENSEX Index Options'!$I:$I,"Weekly*")+SUMIFS('BSE - SENSEX Index Options'!$M:$M,'BSE - SENSEX Index Options'!$C:$C,$A139,'BSE - SENSEX Index Options'!$B:$B,F$4,'BSE - SENSEX Index Options'!$I:$I,"MDAW*")+SUMIFS('BSE - Other Index Options'!$M:$M,'BSE - Other Index Options'!$C:$C,$A139,'BSE - Other Index Options'!$B:$B,F$4,'BSE - Other Index Options'!$I:$I,"Weekly*")+SUMIFS('BSE - Other Index Options'!$M:$M,'BSE - Other Index Options'!$C:$C,$A139,'BSE - Other Index Options'!$B:$B,F$4,'BSE - Other Index Options'!$I:$I,"MDAW*"))</f>
        <v/>
      </c>
      <c r="G139" s="26">
        <f>IF(SUMIFS('NSE - NIFTY Index Options'!$M:$M,'NSE - NIFTY Index Options'!$C:$C,$A139,'NSE - NIFTY Index Options'!$B:$B,G$4,'NSE - NIFTY Index Options'!$I:$I,"Weekly*")+SUMIFS('NSE - NIFTY Index Options'!$M:$M,'NSE - NIFTY Index Options'!$C:$C,$A139,'NSE - NIFTY Index Options'!$B:$B,G$4,'NSE - NIFTY Index Options'!$I:$I,"MDAW*")+SUMIFS('NSE - Other Index Options'!$M:$M,'NSE - Other Index Options'!$C:$C,$A139,'NSE - Other Index Options'!$B:$B,G$4,'NSE - Other Index Options'!$I:$I,"Weekly*")+SUMIFS('NSE - Other Index Options'!$M:$M,'NSE - Other Index Options'!$C:$C,$A139,'NSE - Other Index Options'!$B:$B,G$4,'NSE - Other Index Options'!$I:$I,"MDAW*")+SUMIFS('BSE - SENSEX Index Options'!$M:$M,'BSE - SENSEX Index Options'!$C:$C,$A139,'BSE - SENSEX Index Options'!$B:$B,G$4,'BSE - SENSEX Index Options'!$I:$I,"Weekly*")+SUMIFS('BSE - SENSEX Index Options'!$M:$M,'BSE - SENSEX Index Options'!$C:$C,$A139,'BSE - SENSEX Index Options'!$B:$B,G$4,'BSE - SENSEX Index Options'!$I:$I,"MDAW*")+SUMIFS('BSE - Other Index Options'!$M:$M,'BSE - Other Index Options'!$C:$C,$A139,'BSE - Other Index Options'!$B:$B,G$4,'BSE - Other Index Options'!$I:$I,"Weekly*")+SUMIFS('BSE - Other Index Options'!$M:$M,'BSE - Other Index Options'!$C:$C,$A139,'BSE - Other Index Options'!$B:$B,G$4,'BSE - Other Index Options'!$I:$I,"MDAW*")=0,"",SUMIFS('NSE - NIFTY Index Options'!$M:$M,'NSE - NIFTY Index Options'!$C:$C,$A139,'NSE - NIFTY Index Options'!$B:$B,G$4,'NSE - NIFTY Index Options'!$I:$I,"Weekly*")+SUMIFS('NSE - NIFTY Index Options'!$M:$M,'NSE - NIFTY Index Options'!$C:$C,$A139,'NSE - NIFTY Index Options'!$B:$B,G$4,'NSE - NIFTY Index Options'!$I:$I,"MDAW*")+SUMIFS('NSE - Other Index Options'!$M:$M,'NSE - Other Index Options'!$C:$C,$A139,'NSE - Other Index Options'!$B:$B,G$4,'NSE - Other Index Options'!$I:$I,"Weekly*")+SUMIFS('NSE - Other Index Options'!$M:$M,'NSE - Other Index Options'!$C:$C,$A139,'NSE - Other Index Options'!$B:$B,G$4,'NSE - Other Index Options'!$I:$I,"MDAW*")+SUMIFS('BSE - SENSEX Index Options'!$M:$M,'BSE - SENSEX Index Options'!$C:$C,$A139,'BSE - SENSEX Index Options'!$B:$B,G$4,'BSE - SENSEX Index Options'!$I:$I,"Weekly*")+SUMIFS('BSE - SENSEX Index Options'!$M:$M,'BSE - SENSEX Index Options'!$C:$C,$A139,'BSE - SENSEX Index Options'!$B:$B,G$4,'BSE - SENSEX Index Options'!$I:$I,"MDAW*")+SUMIFS('BSE - Other Index Options'!$M:$M,'BSE - Other Index Options'!$C:$C,$A139,'BSE - Other Index Options'!$B:$B,G$4,'BSE - Other Index Options'!$I:$I,"Weekly*")+SUMIFS('BSE - Other Index Options'!$M:$M,'BSE - Other Index Options'!$C:$C,$A139,'BSE - Other Index Options'!$B:$B,G$4,'BSE - Other Index Options'!$I:$I,"MDAW*"))</f>
        <v/>
      </c>
      <c r="H139" s="26">
        <f>IF(SUM(B139:G139)=0,"",SUM(B139:G139))</f>
        <v/>
      </c>
    </row>
    <row r="140" hidden="1" outlineLevel="1">
      <c r="A140" t="inlineStr">
        <is>
          <t>Week3-Dec-2027</t>
        </is>
      </c>
      <c r="B140" s="26">
        <f>IF(SUMIFS('NSE - NIFTY Index Options'!$M:$M,'NSE - NIFTY Index Options'!$C:$C,$A140,'NSE - NIFTY Index Options'!$B:$B,B$4,'NSE - NIFTY Index Options'!$I:$I,"Weekly*")+SUMIFS('NSE - NIFTY Index Options'!$M:$M,'NSE - NIFTY Index Options'!$C:$C,$A140,'NSE - NIFTY Index Options'!$B:$B,B$4,'NSE - NIFTY Index Options'!$I:$I,"MDAW*")+SUMIFS('NSE - Other Index Options'!$M:$M,'NSE - Other Index Options'!$C:$C,$A140,'NSE - Other Index Options'!$B:$B,B$4,'NSE - Other Index Options'!$I:$I,"Weekly*")+SUMIFS('NSE - Other Index Options'!$M:$M,'NSE - Other Index Options'!$C:$C,$A140,'NSE - Other Index Options'!$B:$B,B$4,'NSE - Other Index Options'!$I:$I,"MDAW*")+SUMIFS('BSE - SENSEX Index Options'!$M:$M,'BSE - SENSEX Index Options'!$C:$C,$A140,'BSE - SENSEX Index Options'!$B:$B,B$4,'BSE - SENSEX Index Options'!$I:$I,"Weekly*")+SUMIFS('BSE - SENSEX Index Options'!$M:$M,'BSE - SENSEX Index Options'!$C:$C,$A140,'BSE - SENSEX Index Options'!$B:$B,B$4,'BSE - SENSEX Index Options'!$I:$I,"MDAW*")+SUMIFS('BSE - Other Index Options'!$M:$M,'BSE - Other Index Options'!$C:$C,$A140,'BSE - Other Index Options'!$B:$B,B$4,'BSE - Other Index Options'!$I:$I,"Weekly*")+SUMIFS('BSE - Other Index Options'!$M:$M,'BSE - Other Index Options'!$C:$C,$A140,'BSE - Other Index Options'!$B:$B,B$4,'BSE - Other Index Options'!$I:$I,"MDAW*")=0,"",SUMIFS('NSE - NIFTY Index Options'!$M:$M,'NSE - NIFTY Index Options'!$C:$C,$A140,'NSE - NIFTY Index Options'!$B:$B,B$4,'NSE - NIFTY Index Options'!$I:$I,"Weekly*")+SUMIFS('NSE - NIFTY Index Options'!$M:$M,'NSE - NIFTY Index Options'!$C:$C,$A140,'NSE - NIFTY Index Options'!$B:$B,B$4,'NSE - NIFTY Index Options'!$I:$I,"MDAW*")+SUMIFS('NSE - Other Index Options'!$M:$M,'NSE - Other Index Options'!$C:$C,$A140,'NSE - Other Index Options'!$B:$B,B$4,'NSE - Other Index Options'!$I:$I,"Weekly*")+SUMIFS('NSE - Other Index Options'!$M:$M,'NSE - Other Index Options'!$C:$C,$A140,'NSE - Other Index Options'!$B:$B,B$4,'NSE - Other Index Options'!$I:$I,"MDAW*")+SUMIFS('BSE - SENSEX Index Options'!$M:$M,'BSE - SENSEX Index Options'!$C:$C,$A140,'BSE - SENSEX Index Options'!$B:$B,B$4,'BSE - SENSEX Index Options'!$I:$I,"Weekly*")+SUMIFS('BSE - SENSEX Index Options'!$M:$M,'BSE - SENSEX Index Options'!$C:$C,$A140,'BSE - SENSEX Index Options'!$B:$B,B$4,'BSE - SENSEX Index Options'!$I:$I,"MDAW*")+SUMIFS('BSE - Other Index Options'!$M:$M,'BSE - Other Index Options'!$C:$C,$A140,'BSE - Other Index Options'!$B:$B,B$4,'BSE - Other Index Options'!$I:$I,"Weekly*")+SUMIFS('BSE - Other Index Options'!$M:$M,'BSE - Other Index Options'!$C:$C,$A140,'BSE - Other Index Options'!$B:$B,B$4,'BSE - Other Index Options'!$I:$I,"MDAW*"))</f>
        <v/>
      </c>
      <c r="C140" s="26">
        <f>IF(SUMIFS('NSE - NIFTY Index Options'!$M:$M,'NSE - NIFTY Index Options'!$C:$C,$A140,'NSE - NIFTY Index Options'!$B:$B,C$4,'NSE - NIFTY Index Options'!$I:$I,"Weekly*")+SUMIFS('NSE - NIFTY Index Options'!$M:$M,'NSE - NIFTY Index Options'!$C:$C,$A140,'NSE - NIFTY Index Options'!$B:$B,C$4,'NSE - NIFTY Index Options'!$I:$I,"MDAW*")+SUMIFS('NSE - Other Index Options'!$M:$M,'NSE - Other Index Options'!$C:$C,$A140,'NSE - Other Index Options'!$B:$B,C$4,'NSE - Other Index Options'!$I:$I,"Weekly*")+SUMIFS('NSE - Other Index Options'!$M:$M,'NSE - Other Index Options'!$C:$C,$A140,'NSE - Other Index Options'!$B:$B,C$4,'NSE - Other Index Options'!$I:$I,"MDAW*")+SUMIFS('BSE - SENSEX Index Options'!$M:$M,'BSE - SENSEX Index Options'!$C:$C,$A140,'BSE - SENSEX Index Options'!$B:$B,C$4,'BSE - SENSEX Index Options'!$I:$I,"Weekly*")+SUMIFS('BSE - SENSEX Index Options'!$M:$M,'BSE - SENSEX Index Options'!$C:$C,$A140,'BSE - SENSEX Index Options'!$B:$B,C$4,'BSE - SENSEX Index Options'!$I:$I,"MDAW*")+SUMIFS('BSE - Other Index Options'!$M:$M,'BSE - Other Index Options'!$C:$C,$A140,'BSE - Other Index Options'!$B:$B,C$4,'BSE - Other Index Options'!$I:$I,"Weekly*")+SUMIFS('BSE - Other Index Options'!$M:$M,'BSE - Other Index Options'!$C:$C,$A140,'BSE - Other Index Options'!$B:$B,C$4,'BSE - Other Index Options'!$I:$I,"MDAW*")=0,"",SUMIFS('NSE - NIFTY Index Options'!$M:$M,'NSE - NIFTY Index Options'!$C:$C,$A140,'NSE - NIFTY Index Options'!$B:$B,C$4,'NSE - NIFTY Index Options'!$I:$I,"Weekly*")+SUMIFS('NSE - NIFTY Index Options'!$M:$M,'NSE - NIFTY Index Options'!$C:$C,$A140,'NSE - NIFTY Index Options'!$B:$B,C$4,'NSE - NIFTY Index Options'!$I:$I,"MDAW*")+SUMIFS('NSE - Other Index Options'!$M:$M,'NSE - Other Index Options'!$C:$C,$A140,'NSE - Other Index Options'!$B:$B,C$4,'NSE - Other Index Options'!$I:$I,"Weekly*")+SUMIFS('NSE - Other Index Options'!$M:$M,'NSE - Other Index Options'!$C:$C,$A140,'NSE - Other Index Options'!$B:$B,C$4,'NSE - Other Index Options'!$I:$I,"MDAW*")+SUMIFS('BSE - SENSEX Index Options'!$M:$M,'BSE - SENSEX Index Options'!$C:$C,$A140,'BSE - SENSEX Index Options'!$B:$B,C$4,'BSE - SENSEX Index Options'!$I:$I,"Weekly*")+SUMIFS('BSE - SENSEX Index Options'!$M:$M,'BSE - SENSEX Index Options'!$C:$C,$A140,'BSE - SENSEX Index Options'!$B:$B,C$4,'BSE - SENSEX Index Options'!$I:$I,"MDAW*")+SUMIFS('BSE - Other Index Options'!$M:$M,'BSE - Other Index Options'!$C:$C,$A140,'BSE - Other Index Options'!$B:$B,C$4,'BSE - Other Index Options'!$I:$I,"Weekly*")+SUMIFS('BSE - Other Index Options'!$M:$M,'BSE - Other Index Options'!$C:$C,$A140,'BSE - Other Index Options'!$B:$B,C$4,'BSE - Other Index Options'!$I:$I,"MDAW*"))</f>
        <v/>
      </c>
      <c r="D140" s="26">
        <f>IF(SUMIFS('NSE - NIFTY Index Options'!$M:$M,'NSE - NIFTY Index Options'!$C:$C,$A140,'NSE - NIFTY Index Options'!$B:$B,D$4,'NSE - NIFTY Index Options'!$I:$I,"Weekly*")+SUMIFS('NSE - NIFTY Index Options'!$M:$M,'NSE - NIFTY Index Options'!$C:$C,$A140,'NSE - NIFTY Index Options'!$B:$B,D$4,'NSE - NIFTY Index Options'!$I:$I,"MDAW*")+SUMIFS('NSE - Other Index Options'!$M:$M,'NSE - Other Index Options'!$C:$C,$A140,'NSE - Other Index Options'!$B:$B,D$4,'NSE - Other Index Options'!$I:$I,"Weekly*")+SUMIFS('NSE - Other Index Options'!$M:$M,'NSE - Other Index Options'!$C:$C,$A140,'NSE - Other Index Options'!$B:$B,D$4,'NSE - Other Index Options'!$I:$I,"MDAW*")+SUMIFS('BSE - SENSEX Index Options'!$M:$M,'BSE - SENSEX Index Options'!$C:$C,$A140,'BSE - SENSEX Index Options'!$B:$B,D$4,'BSE - SENSEX Index Options'!$I:$I,"Weekly*")+SUMIFS('BSE - SENSEX Index Options'!$M:$M,'BSE - SENSEX Index Options'!$C:$C,$A140,'BSE - SENSEX Index Options'!$B:$B,D$4,'BSE - SENSEX Index Options'!$I:$I,"MDAW*")+SUMIFS('BSE - Other Index Options'!$M:$M,'BSE - Other Index Options'!$C:$C,$A140,'BSE - Other Index Options'!$B:$B,D$4,'BSE - Other Index Options'!$I:$I,"Weekly*")+SUMIFS('BSE - Other Index Options'!$M:$M,'BSE - Other Index Options'!$C:$C,$A140,'BSE - Other Index Options'!$B:$B,D$4,'BSE - Other Index Options'!$I:$I,"MDAW*")=0,"",SUMIFS('NSE - NIFTY Index Options'!$M:$M,'NSE - NIFTY Index Options'!$C:$C,$A140,'NSE - NIFTY Index Options'!$B:$B,D$4,'NSE - NIFTY Index Options'!$I:$I,"Weekly*")+SUMIFS('NSE - NIFTY Index Options'!$M:$M,'NSE - NIFTY Index Options'!$C:$C,$A140,'NSE - NIFTY Index Options'!$B:$B,D$4,'NSE - NIFTY Index Options'!$I:$I,"MDAW*")+SUMIFS('NSE - Other Index Options'!$M:$M,'NSE - Other Index Options'!$C:$C,$A140,'NSE - Other Index Options'!$B:$B,D$4,'NSE - Other Index Options'!$I:$I,"Weekly*")+SUMIFS('NSE - Other Index Options'!$M:$M,'NSE - Other Index Options'!$C:$C,$A140,'NSE - Other Index Options'!$B:$B,D$4,'NSE - Other Index Options'!$I:$I,"MDAW*")+SUMIFS('BSE - SENSEX Index Options'!$M:$M,'BSE - SENSEX Index Options'!$C:$C,$A140,'BSE - SENSEX Index Options'!$B:$B,D$4,'BSE - SENSEX Index Options'!$I:$I,"Weekly*")+SUMIFS('BSE - SENSEX Index Options'!$M:$M,'BSE - SENSEX Index Options'!$C:$C,$A140,'BSE - SENSEX Index Options'!$B:$B,D$4,'BSE - SENSEX Index Options'!$I:$I,"MDAW*")+SUMIFS('BSE - Other Index Options'!$M:$M,'BSE - Other Index Options'!$C:$C,$A140,'BSE - Other Index Options'!$B:$B,D$4,'BSE - Other Index Options'!$I:$I,"Weekly*")+SUMIFS('BSE - Other Index Options'!$M:$M,'BSE - Other Index Options'!$C:$C,$A140,'BSE - Other Index Options'!$B:$B,D$4,'BSE - Other Index Options'!$I:$I,"MDAW*"))</f>
        <v/>
      </c>
      <c r="E140" s="26">
        <f>IF(SUMIFS('NSE - NIFTY Index Options'!$M:$M,'NSE - NIFTY Index Options'!$C:$C,$A140,'NSE - NIFTY Index Options'!$B:$B,E$4,'NSE - NIFTY Index Options'!$I:$I,"Weekly*")+SUMIFS('NSE - NIFTY Index Options'!$M:$M,'NSE - NIFTY Index Options'!$C:$C,$A140,'NSE - NIFTY Index Options'!$B:$B,E$4,'NSE - NIFTY Index Options'!$I:$I,"MDAW*")+SUMIFS('NSE - Other Index Options'!$M:$M,'NSE - Other Index Options'!$C:$C,$A140,'NSE - Other Index Options'!$B:$B,E$4,'NSE - Other Index Options'!$I:$I,"Weekly*")+SUMIFS('NSE - Other Index Options'!$M:$M,'NSE - Other Index Options'!$C:$C,$A140,'NSE - Other Index Options'!$B:$B,E$4,'NSE - Other Index Options'!$I:$I,"MDAW*")+SUMIFS('BSE - SENSEX Index Options'!$M:$M,'BSE - SENSEX Index Options'!$C:$C,$A140,'BSE - SENSEX Index Options'!$B:$B,E$4,'BSE - SENSEX Index Options'!$I:$I,"Weekly*")+SUMIFS('BSE - SENSEX Index Options'!$M:$M,'BSE - SENSEX Index Options'!$C:$C,$A140,'BSE - SENSEX Index Options'!$B:$B,E$4,'BSE - SENSEX Index Options'!$I:$I,"MDAW*")+SUMIFS('BSE - Other Index Options'!$M:$M,'BSE - Other Index Options'!$C:$C,$A140,'BSE - Other Index Options'!$B:$B,E$4,'BSE - Other Index Options'!$I:$I,"Weekly*")+SUMIFS('BSE - Other Index Options'!$M:$M,'BSE - Other Index Options'!$C:$C,$A140,'BSE - Other Index Options'!$B:$B,E$4,'BSE - Other Index Options'!$I:$I,"MDAW*")=0,"",SUMIFS('NSE - NIFTY Index Options'!$M:$M,'NSE - NIFTY Index Options'!$C:$C,$A140,'NSE - NIFTY Index Options'!$B:$B,E$4,'NSE - NIFTY Index Options'!$I:$I,"Weekly*")+SUMIFS('NSE - NIFTY Index Options'!$M:$M,'NSE - NIFTY Index Options'!$C:$C,$A140,'NSE - NIFTY Index Options'!$B:$B,E$4,'NSE - NIFTY Index Options'!$I:$I,"MDAW*")+SUMIFS('NSE - Other Index Options'!$M:$M,'NSE - Other Index Options'!$C:$C,$A140,'NSE - Other Index Options'!$B:$B,E$4,'NSE - Other Index Options'!$I:$I,"Weekly*")+SUMIFS('NSE - Other Index Options'!$M:$M,'NSE - Other Index Options'!$C:$C,$A140,'NSE - Other Index Options'!$B:$B,E$4,'NSE - Other Index Options'!$I:$I,"MDAW*")+SUMIFS('BSE - SENSEX Index Options'!$M:$M,'BSE - SENSEX Index Options'!$C:$C,$A140,'BSE - SENSEX Index Options'!$B:$B,E$4,'BSE - SENSEX Index Options'!$I:$I,"Weekly*")+SUMIFS('BSE - SENSEX Index Options'!$M:$M,'BSE - SENSEX Index Options'!$C:$C,$A140,'BSE - SENSEX Index Options'!$B:$B,E$4,'BSE - SENSEX Index Options'!$I:$I,"MDAW*")+SUMIFS('BSE - Other Index Options'!$M:$M,'BSE - Other Index Options'!$C:$C,$A140,'BSE - Other Index Options'!$B:$B,E$4,'BSE - Other Index Options'!$I:$I,"Weekly*")+SUMIFS('BSE - Other Index Options'!$M:$M,'BSE - Other Index Options'!$C:$C,$A140,'BSE - Other Index Options'!$B:$B,E$4,'BSE - Other Index Options'!$I:$I,"MDAW*"))</f>
        <v/>
      </c>
      <c r="F140" s="26">
        <f>IF(SUMIFS('NSE - NIFTY Index Options'!$M:$M,'NSE - NIFTY Index Options'!$C:$C,$A140,'NSE - NIFTY Index Options'!$B:$B,F$4,'NSE - NIFTY Index Options'!$I:$I,"Weekly*")+SUMIFS('NSE - NIFTY Index Options'!$M:$M,'NSE - NIFTY Index Options'!$C:$C,$A140,'NSE - NIFTY Index Options'!$B:$B,F$4,'NSE - NIFTY Index Options'!$I:$I,"MDAW*")+SUMIFS('NSE - Other Index Options'!$M:$M,'NSE - Other Index Options'!$C:$C,$A140,'NSE - Other Index Options'!$B:$B,F$4,'NSE - Other Index Options'!$I:$I,"Weekly*")+SUMIFS('NSE - Other Index Options'!$M:$M,'NSE - Other Index Options'!$C:$C,$A140,'NSE - Other Index Options'!$B:$B,F$4,'NSE - Other Index Options'!$I:$I,"MDAW*")+SUMIFS('BSE - SENSEX Index Options'!$M:$M,'BSE - SENSEX Index Options'!$C:$C,$A140,'BSE - SENSEX Index Options'!$B:$B,F$4,'BSE - SENSEX Index Options'!$I:$I,"Weekly*")+SUMIFS('BSE - SENSEX Index Options'!$M:$M,'BSE - SENSEX Index Options'!$C:$C,$A140,'BSE - SENSEX Index Options'!$B:$B,F$4,'BSE - SENSEX Index Options'!$I:$I,"MDAW*")+SUMIFS('BSE - Other Index Options'!$M:$M,'BSE - Other Index Options'!$C:$C,$A140,'BSE - Other Index Options'!$B:$B,F$4,'BSE - Other Index Options'!$I:$I,"Weekly*")+SUMIFS('BSE - Other Index Options'!$M:$M,'BSE - Other Index Options'!$C:$C,$A140,'BSE - Other Index Options'!$B:$B,F$4,'BSE - Other Index Options'!$I:$I,"MDAW*")=0,"",SUMIFS('NSE - NIFTY Index Options'!$M:$M,'NSE - NIFTY Index Options'!$C:$C,$A140,'NSE - NIFTY Index Options'!$B:$B,F$4,'NSE - NIFTY Index Options'!$I:$I,"Weekly*")+SUMIFS('NSE - NIFTY Index Options'!$M:$M,'NSE - NIFTY Index Options'!$C:$C,$A140,'NSE - NIFTY Index Options'!$B:$B,F$4,'NSE - NIFTY Index Options'!$I:$I,"MDAW*")+SUMIFS('NSE - Other Index Options'!$M:$M,'NSE - Other Index Options'!$C:$C,$A140,'NSE - Other Index Options'!$B:$B,F$4,'NSE - Other Index Options'!$I:$I,"Weekly*")+SUMIFS('NSE - Other Index Options'!$M:$M,'NSE - Other Index Options'!$C:$C,$A140,'NSE - Other Index Options'!$B:$B,F$4,'NSE - Other Index Options'!$I:$I,"MDAW*")+SUMIFS('BSE - SENSEX Index Options'!$M:$M,'BSE - SENSEX Index Options'!$C:$C,$A140,'BSE - SENSEX Index Options'!$B:$B,F$4,'BSE - SENSEX Index Options'!$I:$I,"Weekly*")+SUMIFS('BSE - SENSEX Index Options'!$M:$M,'BSE - SENSEX Index Options'!$C:$C,$A140,'BSE - SENSEX Index Options'!$B:$B,F$4,'BSE - SENSEX Index Options'!$I:$I,"MDAW*")+SUMIFS('BSE - Other Index Options'!$M:$M,'BSE - Other Index Options'!$C:$C,$A140,'BSE - Other Index Options'!$B:$B,F$4,'BSE - Other Index Options'!$I:$I,"Weekly*")+SUMIFS('BSE - Other Index Options'!$M:$M,'BSE - Other Index Options'!$C:$C,$A140,'BSE - Other Index Options'!$B:$B,F$4,'BSE - Other Index Options'!$I:$I,"MDAW*"))</f>
        <v/>
      </c>
      <c r="G140" s="26">
        <f>IF(SUMIFS('NSE - NIFTY Index Options'!$M:$M,'NSE - NIFTY Index Options'!$C:$C,$A140,'NSE - NIFTY Index Options'!$B:$B,G$4,'NSE - NIFTY Index Options'!$I:$I,"Weekly*")+SUMIFS('NSE - NIFTY Index Options'!$M:$M,'NSE - NIFTY Index Options'!$C:$C,$A140,'NSE - NIFTY Index Options'!$B:$B,G$4,'NSE - NIFTY Index Options'!$I:$I,"MDAW*")+SUMIFS('NSE - Other Index Options'!$M:$M,'NSE - Other Index Options'!$C:$C,$A140,'NSE - Other Index Options'!$B:$B,G$4,'NSE - Other Index Options'!$I:$I,"Weekly*")+SUMIFS('NSE - Other Index Options'!$M:$M,'NSE - Other Index Options'!$C:$C,$A140,'NSE - Other Index Options'!$B:$B,G$4,'NSE - Other Index Options'!$I:$I,"MDAW*")+SUMIFS('BSE - SENSEX Index Options'!$M:$M,'BSE - SENSEX Index Options'!$C:$C,$A140,'BSE - SENSEX Index Options'!$B:$B,G$4,'BSE - SENSEX Index Options'!$I:$I,"Weekly*")+SUMIFS('BSE - SENSEX Index Options'!$M:$M,'BSE - SENSEX Index Options'!$C:$C,$A140,'BSE - SENSEX Index Options'!$B:$B,G$4,'BSE - SENSEX Index Options'!$I:$I,"MDAW*")+SUMIFS('BSE - Other Index Options'!$M:$M,'BSE - Other Index Options'!$C:$C,$A140,'BSE - Other Index Options'!$B:$B,G$4,'BSE - Other Index Options'!$I:$I,"Weekly*")+SUMIFS('BSE - Other Index Options'!$M:$M,'BSE - Other Index Options'!$C:$C,$A140,'BSE - Other Index Options'!$B:$B,G$4,'BSE - Other Index Options'!$I:$I,"MDAW*")=0,"",SUMIFS('NSE - NIFTY Index Options'!$M:$M,'NSE - NIFTY Index Options'!$C:$C,$A140,'NSE - NIFTY Index Options'!$B:$B,G$4,'NSE - NIFTY Index Options'!$I:$I,"Weekly*")+SUMIFS('NSE - NIFTY Index Options'!$M:$M,'NSE - NIFTY Index Options'!$C:$C,$A140,'NSE - NIFTY Index Options'!$B:$B,G$4,'NSE - NIFTY Index Options'!$I:$I,"MDAW*")+SUMIFS('NSE - Other Index Options'!$M:$M,'NSE - Other Index Options'!$C:$C,$A140,'NSE - Other Index Options'!$B:$B,G$4,'NSE - Other Index Options'!$I:$I,"Weekly*")+SUMIFS('NSE - Other Index Options'!$M:$M,'NSE - Other Index Options'!$C:$C,$A140,'NSE - Other Index Options'!$B:$B,G$4,'NSE - Other Index Options'!$I:$I,"MDAW*")+SUMIFS('BSE - SENSEX Index Options'!$M:$M,'BSE - SENSEX Index Options'!$C:$C,$A140,'BSE - SENSEX Index Options'!$B:$B,G$4,'BSE - SENSEX Index Options'!$I:$I,"Weekly*")+SUMIFS('BSE - SENSEX Index Options'!$M:$M,'BSE - SENSEX Index Options'!$C:$C,$A140,'BSE - SENSEX Index Options'!$B:$B,G$4,'BSE - SENSEX Index Options'!$I:$I,"MDAW*")+SUMIFS('BSE - Other Index Options'!$M:$M,'BSE - Other Index Options'!$C:$C,$A140,'BSE - Other Index Options'!$B:$B,G$4,'BSE - Other Index Options'!$I:$I,"Weekly*")+SUMIFS('BSE - Other Index Options'!$M:$M,'BSE - Other Index Options'!$C:$C,$A140,'BSE - Other Index Options'!$B:$B,G$4,'BSE - Other Index Options'!$I:$I,"MDAW*"))</f>
        <v/>
      </c>
      <c r="H140" s="26">
        <f>IF(SUM(B140:G140)=0,"",SUM(B140:G140))</f>
        <v/>
      </c>
    </row>
    <row r="141" hidden="1" outlineLevel="1">
      <c r="A141" t="inlineStr">
        <is>
          <t>Week4-Dec-2027</t>
        </is>
      </c>
      <c r="B141" s="26">
        <f>IF(SUMIFS('NSE - NIFTY Index Options'!$M:$M,'NSE - NIFTY Index Options'!$C:$C,$A141,'NSE - NIFTY Index Options'!$B:$B,B$4,'NSE - NIFTY Index Options'!$I:$I,"Weekly*")+SUMIFS('NSE - NIFTY Index Options'!$M:$M,'NSE - NIFTY Index Options'!$C:$C,$A141,'NSE - NIFTY Index Options'!$B:$B,B$4,'NSE - NIFTY Index Options'!$I:$I,"MDAW*")+SUMIFS('NSE - Other Index Options'!$M:$M,'NSE - Other Index Options'!$C:$C,$A141,'NSE - Other Index Options'!$B:$B,B$4,'NSE - Other Index Options'!$I:$I,"Weekly*")+SUMIFS('NSE - Other Index Options'!$M:$M,'NSE - Other Index Options'!$C:$C,$A141,'NSE - Other Index Options'!$B:$B,B$4,'NSE - Other Index Options'!$I:$I,"MDAW*")+SUMIFS('BSE - SENSEX Index Options'!$M:$M,'BSE - SENSEX Index Options'!$C:$C,$A141,'BSE - SENSEX Index Options'!$B:$B,B$4,'BSE - SENSEX Index Options'!$I:$I,"Weekly*")+SUMIFS('BSE - SENSEX Index Options'!$M:$M,'BSE - SENSEX Index Options'!$C:$C,$A141,'BSE - SENSEX Index Options'!$B:$B,B$4,'BSE - SENSEX Index Options'!$I:$I,"MDAW*")+SUMIFS('BSE - Other Index Options'!$M:$M,'BSE - Other Index Options'!$C:$C,$A141,'BSE - Other Index Options'!$B:$B,B$4,'BSE - Other Index Options'!$I:$I,"Weekly*")+SUMIFS('BSE - Other Index Options'!$M:$M,'BSE - Other Index Options'!$C:$C,$A141,'BSE - Other Index Options'!$B:$B,B$4,'BSE - Other Index Options'!$I:$I,"MDAW*")=0,"",SUMIFS('NSE - NIFTY Index Options'!$M:$M,'NSE - NIFTY Index Options'!$C:$C,$A141,'NSE - NIFTY Index Options'!$B:$B,B$4,'NSE - NIFTY Index Options'!$I:$I,"Weekly*")+SUMIFS('NSE - NIFTY Index Options'!$M:$M,'NSE - NIFTY Index Options'!$C:$C,$A141,'NSE - NIFTY Index Options'!$B:$B,B$4,'NSE - NIFTY Index Options'!$I:$I,"MDAW*")+SUMIFS('NSE - Other Index Options'!$M:$M,'NSE - Other Index Options'!$C:$C,$A141,'NSE - Other Index Options'!$B:$B,B$4,'NSE - Other Index Options'!$I:$I,"Weekly*")+SUMIFS('NSE - Other Index Options'!$M:$M,'NSE - Other Index Options'!$C:$C,$A141,'NSE - Other Index Options'!$B:$B,B$4,'NSE - Other Index Options'!$I:$I,"MDAW*")+SUMIFS('BSE - SENSEX Index Options'!$M:$M,'BSE - SENSEX Index Options'!$C:$C,$A141,'BSE - SENSEX Index Options'!$B:$B,B$4,'BSE - SENSEX Index Options'!$I:$I,"Weekly*")+SUMIFS('BSE - SENSEX Index Options'!$M:$M,'BSE - SENSEX Index Options'!$C:$C,$A141,'BSE - SENSEX Index Options'!$B:$B,B$4,'BSE - SENSEX Index Options'!$I:$I,"MDAW*")+SUMIFS('BSE - Other Index Options'!$M:$M,'BSE - Other Index Options'!$C:$C,$A141,'BSE - Other Index Options'!$B:$B,B$4,'BSE - Other Index Options'!$I:$I,"Weekly*")+SUMIFS('BSE - Other Index Options'!$M:$M,'BSE - Other Index Options'!$C:$C,$A141,'BSE - Other Index Options'!$B:$B,B$4,'BSE - Other Index Options'!$I:$I,"MDAW*"))</f>
        <v/>
      </c>
      <c r="C141" s="26">
        <f>IF(SUMIFS('NSE - NIFTY Index Options'!$M:$M,'NSE - NIFTY Index Options'!$C:$C,$A141,'NSE - NIFTY Index Options'!$B:$B,C$4,'NSE - NIFTY Index Options'!$I:$I,"Weekly*")+SUMIFS('NSE - NIFTY Index Options'!$M:$M,'NSE - NIFTY Index Options'!$C:$C,$A141,'NSE - NIFTY Index Options'!$B:$B,C$4,'NSE - NIFTY Index Options'!$I:$I,"MDAW*")+SUMIFS('NSE - Other Index Options'!$M:$M,'NSE - Other Index Options'!$C:$C,$A141,'NSE - Other Index Options'!$B:$B,C$4,'NSE - Other Index Options'!$I:$I,"Weekly*")+SUMIFS('NSE - Other Index Options'!$M:$M,'NSE - Other Index Options'!$C:$C,$A141,'NSE - Other Index Options'!$B:$B,C$4,'NSE - Other Index Options'!$I:$I,"MDAW*")+SUMIFS('BSE - SENSEX Index Options'!$M:$M,'BSE - SENSEX Index Options'!$C:$C,$A141,'BSE - SENSEX Index Options'!$B:$B,C$4,'BSE - SENSEX Index Options'!$I:$I,"Weekly*")+SUMIFS('BSE - SENSEX Index Options'!$M:$M,'BSE - SENSEX Index Options'!$C:$C,$A141,'BSE - SENSEX Index Options'!$B:$B,C$4,'BSE - SENSEX Index Options'!$I:$I,"MDAW*")+SUMIFS('BSE - Other Index Options'!$M:$M,'BSE - Other Index Options'!$C:$C,$A141,'BSE - Other Index Options'!$B:$B,C$4,'BSE - Other Index Options'!$I:$I,"Weekly*")+SUMIFS('BSE - Other Index Options'!$M:$M,'BSE - Other Index Options'!$C:$C,$A141,'BSE - Other Index Options'!$B:$B,C$4,'BSE - Other Index Options'!$I:$I,"MDAW*")=0,"",SUMIFS('NSE - NIFTY Index Options'!$M:$M,'NSE - NIFTY Index Options'!$C:$C,$A141,'NSE - NIFTY Index Options'!$B:$B,C$4,'NSE - NIFTY Index Options'!$I:$I,"Weekly*")+SUMIFS('NSE - NIFTY Index Options'!$M:$M,'NSE - NIFTY Index Options'!$C:$C,$A141,'NSE - NIFTY Index Options'!$B:$B,C$4,'NSE - NIFTY Index Options'!$I:$I,"MDAW*")+SUMIFS('NSE - Other Index Options'!$M:$M,'NSE - Other Index Options'!$C:$C,$A141,'NSE - Other Index Options'!$B:$B,C$4,'NSE - Other Index Options'!$I:$I,"Weekly*")+SUMIFS('NSE - Other Index Options'!$M:$M,'NSE - Other Index Options'!$C:$C,$A141,'NSE - Other Index Options'!$B:$B,C$4,'NSE - Other Index Options'!$I:$I,"MDAW*")+SUMIFS('BSE - SENSEX Index Options'!$M:$M,'BSE - SENSEX Index Options'!$C:$C,$A141,'BSE - SENSEX Index Options'!$B:$B,C$4,'BSE - SENSEX Index Options'!$I:$I,"Weekly*")+SUMIFS('BSE - SENSEX Index Options'!$M:$M,'BSE - SENSEX Index Options'!$C:$C,$A141,'BSE - SENSEX Index Options'!$B:$B,C$4,'BSE - SENSEX Index Options'!$I:$I,"MDAW*")+SUMIFS('BSE - Other Index Options'!$M:$M,'BSE - Other Index Options'!$C:$C,$A141,'BSE - Other Index Options'!$B:$B,C$4,'BSE - Other Index Options'!$I:$I,"Weekly*")+SUMIFS('BSE - Other Index Options'!$M:$M,'BSE - Other Index Options'!$C:$C,$A141,'BSE - Other Index Options'!$B:$B,C$4,'BSE - Other Index Options'!$I:$I,"MDAW*"))</f>
        <v/>
      </c>
      <c r="D141" s="26">
        <f>IF(SUMIFS('NSE - NIFTY Index Options'!$M:$M,'NSE - NIFTY Index Options'!$C:$C,$A141,'NSE - NIFTY Index Options'!$B:$B,D$4,'NSE - NIFTY Index Options'!$I:$I,"Weekly*")+SUMIFS('NSE - NIFTY Index Options'!$M:$M,'NSE - NIFTY Index Options'!$C:$C,$A141,'NSE - NIFTY Index Options'!$B:$B,D$4,'NSE - NIFTY Index Options'!$I:$I,"MDAW*")+SUMIFS('NSE - Other Index Options'!$M:$M,'NSE - Other Index Options'!$C:$C,$A141,'NSE - Other Index Options'!$B:$B,D$4,'NSE - Other Index Options'!$I:$I,"Weekly*")+SUMIFS('NSE - Other Index Options'!$M:$M,'NSE - Other Index Options'!$C:$C,$A141,'NSE - Other Index Options'!$B:$B,D$4,'NSE - Other Index Options'!$I:$I,"MDAW*")+SUMIFS('BSE - SENSEX Index Options'!$M:$M,'BSE - SENSEX Index Options'!$C:$C,$A141,'BSE - SENSEX Index Options'!$B:$B,D$4,'BSE - SENSEX Index Options'!$I:$I,"Weekly*")+SUMIFS('BSE - SENSEX Index Options'!$M:$M,'BSE - SENSEX Index Options'!$C:$C,$A141,'BSE - SENSEX Index Options'!$B:$B,D$4,'BSE - SENSEX Index Options'!$I:$I,"MDAW*")+SUMIFS('BSE - Other Index Options'!$M:$M,'BSE - Other Index Options'!$C:$C,$A141,'BSE - Other Index Options'!$B:$B,D$4,'BSE - Other Index Options'!$I:$I,"Weekly*")+SUMIFS('BSE - Other Index Options'!$M:$M,'BSE - Other Index Options'!$C:$C,$A141,'BSE - Other Index Options'!$B:$B,D$4,'BSE - Other Index Options'!$I:$I,"MDAW*")=0,"",SUMIFS('NSE - NIFTY Index Options'!$M:$M,'NSE - NIFTY Index Options'!$C:$C,$A141,'NSE - NIFTY Index Options'!$B:$B,D$4,'NSE - NIFTY Index Options'!$I:$I,"Weekly*")+SUMIFS('NSE - NIFTY Index Options'!$M:$M,'NSE - NIFTY Index Options'!$C:$C,$A141,'NSE - NIFTY Index Options'!$B:$B,D$4,'NSE - NIFTY Index Options'!$I:$I,"MDAW*")+SUMIFS('NSE - Other Index Options'!$M:$M,'NSE - Other Index Options'!$C:$C,$A141,'NSE - Other Index Options'!$B:$B,D$4,'NSE - Other Index Options'!$I:$I,"Weekly*")+SUMIFS('NSE - Other Index Options'!$M:$M,'NSE - Other Index Options'!$C:$C,$A141,'NSE - Other Index Options'!$B:$B,D$4,'NSE - Other Index Options'!$I:$I,"MDAW*")+SUMIFS('BSE - SENSEX Index Options'!$M:$M,'BSE - SENSEX Index Options'!$C:$C,$A141,'BSE - SENSEX Index Options'!$B:$B,D$4,'BSE - SENSEX Index Options'!$I:$I,"Weekly*")+SUMIFS('BSE - SENSEX Index Options'!$M:$M,'BSE - SENSEX Index Options'!$C:$C,$A141,'BSE - SENSEX Index Options'!$B:$B,D$4,'BSE - SENSEX Index Options'!$I:$I,"MDAW*")+SUMIFS('BSE - Other Index Options'!$M:$M,'BSE - Other Index Options'!$C:$C,$A141,'BSE - Other Index Options'!$B:$B,D$4,'BSE - Other Index Options'!$I:$I,"Weekly*")+SUMIFS('BSE - Other Index Options'!$M:$M,'BSE - Other Index Options'!$C:$C,$A141,'BSE - Other Index Options'!$B:$B,D$4,'BSE - Other Index Options'!$I:$I,"MDAW*"))</f>
        <v/>
      </c>
      <c r="E141" s="26">
        <f>IF(SUMIFS('NSE - NIFTY Index Options'!$M:$M,'NSE - NIFTY Index Options'!$C:$C,$A141,'NSE - NIFTY Index Options'!$B:$B,E$4,'NSE - NIFTY Index Options'!$I:$I,"Weekly*")+SUMIFS('NSE - NIFTY Index Options'!$M:$M,'NSE - NIFTY Index Options'!$C:$C,$A141,'NSE - NIFTY Index Options'!$B:$B,E$4,'NSE - NIFTY Index Options'!$I:$I,"MDAW*")+SUMIFS('NSE - Other Index Options'!$M:$M,'NSE - Other Index Options'!$C:$C,$A141,'NSE - Other Index Options'!$B:$B,E$4,'NSE - Other Index Options'!$I:$I,"Weekly*")+SUMIFS('NSE - Other Index Options'!$M:$M,'NSE - Other Index Options'!$C:$C,$A141,'NSE - Other Index Options'!$B:$B,E$4,'NSE - Other Index Options'!$I:$I,"MDAW*")+SUMIFS('BSE - SENSEX Index Options'!$M:$M,'BSE - SENSEX Index Options'!$C:$C,$A141,'BSE - SENSEX Index Options'!$B:$B,E$4,'BSE - SENSEX Index Options'!$I:$I,"Weekly*")+SUMIFS('BSE - SENSEX Index Options'!$M:$M,'BSE - SENSEX Index Options'!$C:$C,$A141,'BSE - SENSEX Index Options'!$B:$B,E$4,'BSE - SENSEX Index Options'!$I:$I,"MDAW*")+SUMIFS('BSE - Other Index Options'!$M:$M,'BSE - Other Index Options'!$C:$C,$A141,'BSE - Other Index Options'!$B:$B,E$4,'BSE - Other Index Options'!$I:$I,"Weekly*")+SUMIFS('BSE - Other Index Options'!$M:$M,'BSE - Other Index Options'!$C:$C,$A141,'BSE - Other Index Options'!$B:$B,E$4,'BSE - Other Index Options'!$I:$I,"MDAW*")=0,"",SUMIFS('NSE - NIFTY Index Options'!$M:$M,'NSE - NIFTY Index Options'!$C:$C,$A141,'NSE - NIFTY Index Options'!$B:$B,E$4,'NSE - NIFTY Index Options'!$I:$I,"Weekly*")+SUMIFS('NSE - NIFTY Index Options'!$M:$M,'NSE - NIFTY Index Options'!$C:$C,$A141,'NSE - NIFTY Index Options'!$B:$B,E$4,'NSE - NIFTY Index Options'!$I:$I,"MDAW*")+SUMIFS('NSE - Other Index Options'!$M:$M,'NSE - Other Index Options'!$C:$C,$A141,'NSE - Other Index Options'!$B:$B,E$4,'NSE - Other Index Options'!$I:$I,"Weekly*")+SUMIFS('NSE - Other Index Options'!$M:$M,'NSE - Other Index Options'!$C:$C,$A141,'NSE - Other Index Options'!$B:$B,E$4,'NSE - Other Index Options'!$I:$I,"MDAW*")+SUMIFS('BSE - SENSEX Index Options'!$M:$M,'BSE - SENSEX Index Options'!$C:$C,$A141,'BSE - SENSEX Index Options'!$B:$B,E$4,'BSE - SENSEX Index Options'!$I:$I,"Weekly*")+SUMIFS('BSE - SENSEX Index Options'!$M:$M,'BSE - SENSEX Index Options'!$C:$C,$A141,'BSE - SENSEX Index Options'!$B:$B,E$4,'BSE - SENSEX Index Options'!$I:$I,"MDAW*")+SUMIFS('BSE - Other Index Options'!$M:$M,'BSE - Other Index Options'!$C:$C,$A141,'BSE - Other Index Options'!$B:$B,E$4,'BSE - Other Index Options'!$I:$I,"Weekly*")+SUMIFS('BSE - Other Index Options'!$M:$M,'BSE - Other Index Options'!$C:$C,$A141,'BSE - Other Index Options'!$B:$B,E$4,'BSE - Other Index Options'!$I:$I,"MDAW*"))</f>
        <v/>
      </c>
      <c r="F141" s="26">
        <f>IF(SUMIFS('NSE - NIFTY Index Options'!$M:$M,'NSE - NIFTY Index Options'!$C:$C,$A141,'NSE - NIFTY Index Options'!$B:$B,F$4,'NSE - NIFTY Index Options'!$I:$I,"Weekly*")+SUMIFS('NSE - NIFTY Index Options'!$M:$M,'NSE - NIFTY Index Options'!$C:$C,$A141,'NSE - NIFTY Index Options'!$B:$B,F$4,'NSE - NIFTY Index Options'!$I:$I,"MDAW*")+SUMIFS('NSE - Other Index Options'!$M:$M,'NSE - Other Index Options'!$C:$C,$A141,'NSE - Other Index Options'!$B:$B,F$4,'NSE - Other Index Options'!$I:$I,"Weekly*")+SUMIFS('NSE - Other Index Options'!$M:$M,'NSE - Other Index Options'!$C:$C,$A141,'NSE - Other Index Options'!$B:$B,F$4,'NSE - Other Index Options'!$I:$I,"MDAW*")+SUMIFS('BSE - SENSEX Index Options'!$M:$M,'BSE - SENSEX Index Options'!$C:$C,$A141,'BSE - SENSEX Index Options'!$B:$B,F$4,'BSE - SENSEX Index Options'!$I:$I,"Weekly*")+SUMIFS('BSE - SENSEX Index Options'!$M:$M,'BSE - SENSEX Index Options'!$C:$C,$A141,'BSE - SENSEX Index Options'!$B:$B,F$4,'BSE - SENSEX Index Options'!$I:$I,"MDAW*")+SUMIFS('BSE - Other Index Options'!$M:$M,'BSE - Other Index Options'!$C:$C,$A141,'BSE - Other Index Options'!$B:$B,F$4,'BSE - Other Index Options'!$I:$I,"Weekly*")+SUMIFS('BSE - Other Index Options'!$M:$M,'BSE - Other Index Options'!$C:$C,$A141,'BSE - Other Index Options'!$B:$B,F$4,'BSE - Other Index Options'!$I:$I,"MDAW*")=0,"",SUMIFS('NSE - NIFTY Index Options'!$M:$M,'NSE - NIFTY Index Options'!$C:$C,$A141,'NSE - NIFTY Index Options'!$B:$B,F$4,'NSE - NIFTY Index Options'!$I:$I,"Weekly*")+SUMIFS('NSE - NIFTY Index Options'!$M:$M,'NSE - NIFTY Index Options'!$C:$C,$A141,'NSE - NIFTY Index Options'!$B:$B,F$4,'NSE - NIFTY Index Options'!$I:$I,"MDAW*")+SUMIFS('NSE - Other Index Options'!$M:$M,'NSE - Other Index Options'!$C:$C,$A141,'NSE - Other Index Options'!$B:$B,F$4,'NSE - Other Index Options'!$I:$I,"Weekly*")+SUMIFS('NSE - Other Index Options'!$M:$M,'NSE - Other Index Options'!$C:$C,$A141,'NSE - Other Index Options'!$B:$B,F$4,'NSE - Other Index Options'!$I:$I,"MDAW*")+SUMIFS('BSE - SENSEX Index Options'!$M:$M,'BSE - SENSEX Index Options'!$C:$C,$A141,'BSE - SENSEX Index Options'!$B:$B,F$4,'BSE - SENSEX Index Options'!$I:$I,"Weekly*")+SUMIFS('BSE - SENSEX Index Options'!$M:$M,'BSE - SENSEX Index Options'!$C:$C,$A141,'BSE - SENSEX Index Options'!$B:$B,F$4,'BSE - SENSEX Index Options'!$I:$I,"MDAW*")+SUMIFS('BSE - Other Index Options'!$M:$M,'BSE - Other Index Options'!$C:$C,$A141,'BSE - Other Index Options'!$B:$B,F$4,'BSE - Other Index Options'!$I:$I,"Weekly*")+SUMIFS('BSE - Other Index Options'!$M:$M,'BSE - Other Index Options'!$C:$C,$A141,'BSE - Other Index Options'!$B:$B,F$4,'BSE - Other Index Options'!$I:$I,"MDAW*"))</f>
        <v/>
      </c>
      <c r="G141" s="26">
        <f>IF(SUMIFS('NSE - NIFTY Index Options'!$M:$M,'NSE - NIFTY Index Options'!$C:$C,$A141,'NSE - NIFTY Index Options'!$B:$B,G$4,'NSE - NIFTY Index Options'!$I:$I,"Weekly*")+SUMIFS('NSE - NIFTY Index Options'!$M:$M,'NSE - NIFTY Index Options'!$C:$C,$A141,'NSE - NIFTY Index Options'!$B:$B,G$4,'NSE - NIFTY Index Options'!$I:$I,"MDAW*")+SUMIFS('NSE - Other Index Options'!$M:$M,'NSE - Other Index Options'!$C:$C,$A141,'NSE - Other Index Options'!$B:$B,G$4,'NSE - Other Index Options'!$I:$I,"Weekly*")+SUMIFS('NSE - Other Index Options'!$M:$M,'NSE - Other Index Options'!$C:$C,$A141,'NSE - Other Index Options'!$B:$B,G$4,'NSE - Other Index Options'!$I:$I,"MDAW*")+SUMIFS('BSE - SENSEX Index Options'!$M:$M,'BSE - SENSEX Index Options'!$C:$C,$A141,'BSE - SENSEX Index Options'!$B:$B,G$4,'BSE - SENSEX Index Options'!$I:$I,"Weekly*")+SUMIFS('BSE - SENSEX Index Options'!$M:$M,'BSE - SENSEX Index Options'!$C:$C,$A141,'BSE - SENSEX Index Options'!$B:$B,G$4,'BSE - SENSEX Index Options'!$I:$I,"MDAW*")+SUMIFS('BSE - Other Index Options'!$M:$M,'BSE - Other Index Options'!$C:$C,$A141,'BSE - Other Index Options'!$B:$B,G$4,'BSE - Other Index Options'!$I:$I,"Weekly*")+SUMIFS('BSE - Other Index Options'!$M:$M,'BSE - Other Index Options'!$C:$C,$A141,'BSE - Other Index Options'!$B:$B,G$4,'BSE - Other Index Options'!$I:$I,"MDAW*")=0,"",SUMIFS('NSE - NIFTY Index Options'!$M:$M,'NSE - NIFTY Index Options'!$C:$C,$A141,'NSE - NIFTY Index Options'!$B:$B,G$4,'NSE - NIFTY Index Options'!$I:$I,"Weekly*")+SUMIFS('NSE - NIFTY Index Options'!$M:$M,'NSE - NIFTY Index Options'!$C:$C,$A141,'NSE - NIFTY Index Options'!$B:$B,G$4,'NSE - NIFTY Index Options'!$I:$I,"MDAW*")+SUMIFS('NSE - Other Index Options'!$M:$M,'NSE - Other Index Options'!$C:$C,$A141,'NSE - Other Index Options'!$B:$B,G$4,'NSE - Other Index Options'!$I:$I,"Weekly*")+SUMIFS('NSE - Other Index Options'!$M:$M,'NSE - Other Index Options'!$C:$C,$A141,'NSE - Other Index Options'!$B:$B,G$4,'NSE - Other Index Options'!$I:$I,"MDAW*")+SUMIFS('BSE - SENSEX Index Options'!$M:$M,'BSE - SENSEX Index Options'!$C:$C,$A141,'BSE - SENSEX Index Options'!$B:$B,G$4,'BSE - SENSEX Index Options'!$I:$I,"Weekly*")+SUMIFS('BSE - SENSEX Index Options'!$M:$M,'BSE - SENSEX Index Options'!$C:$C,$A141,'BSE - SENSEX Index Options'!$B:$B,G$4,'BSE - SENSEX Index Options'!$I:$I,"MDAW*")+SUMIFS('BSE - Other Index Options'!$M:$M,'BSE - Other Index Options'!$C:$C,$A141,'BSE - Other Index Options'!$B:$B,G$4,'BSE - Other Index Options'!$I:$I,"Weekly*")+SUMIFS('BSE - Other Index Options'!$M:$M,'BSE - Other Index Options'!$C:$C,$A141,'BSE - Other Index Options'!$B:$B,G$4,'BSE - Other Index Options'!$I:$I,"MDAW*"))</f>
        <v/>
      </c>
      <c r="H141" s="26">
        <f>IF(SUM(B141:G141)=0,"",SUM(B141:G141))</f>
        <v/>
      </c>
    </row>
    <row r="142" hidden="1" outlineLevel="1">
      <c r="A142" t="inlineStr">
        <is>
          <t>Week5-Dec-2027</t>
        </is>
      </c>
      <c r="B142" s="26">
        <f>IF(SUMIFS('NSE - NIFTY Index Options'!$M:$M,'NSE - NIFTY Index Options'!$C:$C,$A142,'NSE - NIFTY Index Options'!$B:$B,B$4,'NSE - NIFTY Index Options'!$I:$I,"Weekly*")+SUMIFS('NSE - NIFTY Index Options'!$M:$M,'NSE - NIFTY Index Options'!$C:$C,$A142,'NSE - NIFTY Index Options'!$B:$B,B$4,'NSE - NIFTY Index Options'!$I:$I,"MDAW*")+SUMIFS('NSE - Other Index Options'!$M:$M,'NSE - Other Index Options'!$C:$C,$A142,'NSE - Other Index Options'!$B:$B,B$4,'NSE - Other Index Options'!$I:$I,"Weekly*")+SUMIFS('NSE - Other Index Options'!$M:$M,'NSE - Other Index Options'!$C:$C,$A142,'NSE - Other Index Options'!$B:$B,B$4,'NSE - Other Index Options'!$I:$I,"MDAW*")+SUMIFS('BSE - SENSEX Index Options'!$M:$M,'BSE - SENSEX Index Options'!$C:$C,$A142,'BSE - SENSEX Index Options'!$B:$B,B$4,'BSE - SENSEX Index Options'!$I:$I,"Weekly*")+SUMIFS('BSE - SENSEX Index Options'!$M:$M,'BSE - SENSEX Index Options'!$C:$C,$A142,'BSE - SENSEX Index Options'!$B:$B,B$4,'BSE - SENSEX Index Options'!$I:$I,"MDAW*")+SUMIFS('BSE - Other Index Options'!$M:$M,'BSE - Other Index Options'!$C:$C,$A142,'BSE - Other Index Options'!$B:$B,B$4,'BSE - Other Index Options'!$I:$I,"Weekly*")+SUMIFS('BSE - Other Index Options'!$M:$M,'BSE - Other Index Options'!$C:$C,$A142,'BSE - Other Index Options'!$B:$B,B$4,'BSE - Other Index Options'!$I:$I,"MDAW*")=0,"",SUMIFS('NSE - NIFTY Index Options'!$M:$M,'NSE - NIFTY Index Options'!$C:$C,$A142,'NSE - NIFTY Index Options'!$B:$B,B$4,'NSE - NIFTY Index Options'!$I:$I,"Weekly*")+SUMIFS('NSE - NIFTY Index Options'!$M:$M,'NSE - NIFTY Index Options'!$C:$C,$A142,'NSE - NIFTY Index Options'!$B:$B,B$4,'NSE - NIFTY Index Options'!$I:$I,"MDAW*")+SUMIFS('NSE - Other Index Options'!$M:$M,'NSE - Other Index Options'!$C:$C,$A142,'NSE - Other Index Options'!$B:$B,B$4,'NSE - Other Index Options'!$I:$I,"Weekly*")+SUMIFS('NSE - Other Index Options'!$M:$M,'NSE - Other Index Options'!$C:$C,$A142,'NSE - Other Index Options'!$B:$B,B$4,'NSE - Other Index Options'!$I:$I,"MDAW*")+SUMIFS('BSE - SENSEX Index Options'!$M:$M,'BSE - SENSEX Index Options'!$C:$C,$A142,'BSE - SENSEX Index Options'!$B:$B,B$4,'BSE - SENSEX Index Options'!$I:$I,"Weekly*")+SUMIFS('BSE - SENSEX Index Options'!$M:$M,'BSE - SENSEX Index Options'!$C:$C,$A142,'BSE - SENSEX Index Options'!$B:$B,B$4,'BSE - SENSEX Index Options'!$I:$I,"MDAW*")+SUMIFS('BSE - Other Index Options'!$M:$M,'BSE - Other Index Options'!$C:$C,$A142,'BSE - Other Index Options'!$B:$B,B$4,'BSE - Other Index Options'!$I:$I,"Weekly*")+SUMIFS('BSE - Other Index Options'!$M:$M,'BSE - Other Index Options'!$C:$C,$A142,'BSE - Other Index Options'!$B:$B,B$4,'BSE - Other Index Options'!$I:$I,"MDAW*"))</f>
        <v/>
      </c>
      <c r="C142" s="26">
        <f>IF(SUMIFS('NSE - NIFTY Index Options'!$M:$M,'NSE - NIFTY Index Options'!$C:$C,$A142,'NSE - NIFTY Index Options'!$B:$B,C$4,'NSE - NIFTY Index Options'!$I:$I,"Weekly*")+SUMIFS('NSE - NIFTY Index Options'!$M:$M,'NSE - NIFTY Index Options'!$C:$C,$A142,'NSE - NIFTY Index Options'!$B:$B,C$4,'NSE - NIFTY Index Options'!$I:$I,"MDAW*")+SUMIFS('NSE - Other Index Options'!$M:$M,'NSE - Other Index Options'!$C:$C,$A142,'NSE - Other Index Options'!$B:$B,C$4,'NSE - Other Index Options'!$I:$I,"Weekly*")+SUMIFS('NSE - Other Index Options'!$M:$M,'NSE - Other Index Options'!$C:$C,$A142,'NSE - Other Index Options'!$B:$B,C$4,'NSE - Other Index Options'!$I:$I,"MDAW*")+SUMIFS('BSE - SENSEX Index Options'!$M:$M,'BSE - SENSEX Index Options'!$C:$C,$A142,'BSE - SENSEX Index Options'!$B:$B,C$4,'BSE - SENSEX Index Options'!$I:$I,"Weekly*")+SUMIFS('BSE - SENSEX Index Options'!$M:$M,'BSE - SENSEX Index Options'!$C:$C,$A142,'BSE - SENSEX Index Options'!$B:$B,C$4,'BSE - SENSEX Index Options'!$I:$I,"MDAW*")+SUMIFS('BSE - Other Index Options'!$M:$M,'BSE - Other Index Options'!$C:$C,$A142,'BSE - Other Index Options'!$B:$B,C$4,'BSE - Other Index Options'!$I:$I,"Weekly*")+SUMIFS('BSE - Other Index Options'!$M:$M,'BSE - Other Index Options'!$C:$C,$A142,'BSE - Other Index Options'!$B:$B,C$4,'BSE - Other Index Options'!$I:$I,"MDAW*")=0,"",SUMIFS('NSE - NIFTY Index Options'!$M:$M,'NSE - NIFTY Index Options'!$C:$C,$A142,'NSE - NIFTY Index Options'!$B:$B,C$4,'NSE - NIFTY Index Options'!$I:$I,"Weekly*")+SUMIFS('NSE - NIFTY Index Options'!$M:$M,'NSE - NIFTY Index Options'!$C:$C,$A142,'NSE - NIFTY Index Options'!$B:$B,C$4,'NSE - NIFTY Index Options'!$I:$I,"MDAW*")+SUMIFS('NSE - Other Index Options'!$M:$M,'NSE - Other Index Options'!$C:$C,$A142,'NSE - Other Index Options'!$B:$B,C$4,'NSE - Other Index Options'!$I:$I,"Weekly*")+SUMIFS('NSE - Other Index Options'!$M:$M,'NSE - Other Index Options'!$C:$C,$A142,'NSE - Other Index Options'!$B:$B,C$4,'NSE - Other Index Options'!$I:$I,"MDAW*")+SUMIFS('BSE - SENSEX Index Options'!$M:$M,'BSE - SENSEX Index Options'!$C:$C,$A142,'BSE - SENSEX Index Options'!$B:$B,C$4,'BSE - SENSEX Index Options'!$I:$I,"Weekly*")+SUMIFS('BSE - SENSEX Index Options'!$M:$M,'BSE - SENSEX Index Options'!$C:$C,$A142,'BSE - SENSEX Index Options'!$B:$B,C$4,'BSE - SENSEX Index Options'!$I:$I,"MDAW*")+SUMIFS('BSE - Other Index Options'!$M:$M,'BSE - Other Index Options'!$C:$C,$A142,'BSE - Other Index Options'!$B:$B,C$4,'BSE - Other Index Options'!$I:$I,"Weekly*")+SUMIFS('BSE - Other Index Options'!$M:$M,'BSE - Other Index Options'!$C:$C,$A142,'BSE - Other Index Options'!$B:$B,C$4,'BSE - Other Index Options'!$I:$I,"MDAW*"))</f>
        <v/>
      </c>
      <c r="D142" s="26">
        <f>IF(SUMIFS('NSE - NIFTY Index Options'!$M:$M,'NSE - NIFTY Index Options'!$C:$C,$A142,'NSE - NIFTY Index Options'!$B:$B,D$4,'NSE - NIFTY Index Options'!$I:$I,"Weekly*")+SUMIFS('NSE - NIFTY Index Options'!$M:$M,'NSE - NIFTY Index Options'!$C:$C,$A142,'NSE - NIFTY Index Options'!$B:$B,D$4,'NSE - NIFTY Index Options'!$I:$I,"MDAW*")+SUMIFS('NSE - Other Index Options'!$M:$M,'NSE - Other Index Options'!$C:$C,$A142,'NSE - Other Index Options'!$B:$B,D$4,'NSE - Other Index Options'!$I:$I,"Weekly*")+SUMIFS('NSE - Other Index Options'!$M:$M,'NSE - Other Index Options'!$C:$C,$A142,'NSE - Other Index Options'!$B:$B,D$4,'NSE - Other Index Options'!$I:$I,"MDAW*")+SUMIFS('BSE - SENSEX Index Options'!$M:$M,'BSE - SENSEX Index Options'!$C:$C,$A142,'BSE - SENSEX Index Options'!$B:$B,D$4,'BSE - SENSEX Index Options'!$I:$I,"Weekly*")+SUMIFS('BSE - SENSEX Index Options'!$M:$M,'BSE - SENSEX Index Options'!$C:$C,$A142,'BSE - SENSEX Index Options'!$B:$B,D$4,'BSE - SENSEX Index Options'!$I:$I,"MDAW*")+SUMIFS('BSE - Other Index Options'!$M:$M,'BSE - Other Index Options'!$C:$C,$A142,'BSE - Other Index Options'!$B:$B,D$4,'BSE - Other Index Options'!$I:$I,"Weekly*")+SUMIFS('BSE - Other Index Options'!$M:$M,'BSE - Other Index Options'!$C:$C,$A142,'BSE - Other Index Options'!$B:$B,D$4,'BSE - Other Index Options'!$I:$I,"MDAW*")=0,"",SUMIFS('NSE - NIFTY Index Options'!$M:$M,'NSE - NIFTY Index Options'!$C:$C,$A142,'NSE - NIFTY Index Options'!$B:$B,D$4,'NSE - NIFTY Index Options'!$I:$I,"Weekly*")+SUMIFS('NSE - NIFTY Index Options'!$M:$M,'NSE - NIFTY Index Options'!$C:$C,$A142,'NSE - NIFTY Index Options'!$B:$B,D$4,'NSE - NIFTY Index Options'!$I:$I,"MDAW*")+SUMIFS('NSE - Other Index Options'!$M:$M,'NSE - Other Index Options'!$C:$C,$A142,'NSE - Other Index Options'!$B:$B,D$4,'NSE - Other Index Options'!$I:$I,"Weekly*")+SUMIFS('NSE - Other Index Options'!$M:$M,'NSE - Other Index Options'!$C:$C,$A142,'NSE - Other Index Options'!$B:$B,D$4,'NSE - Other Index Options'!$I:$I,"MDAW*")+SUMIFS('BSE - SENSEX Index Options'!$M:$M,'BSE - SENSEX Index Options'!$C:$C,$A142,'BSE - SENSEX Index Options'!$B:$B,D$4,'BSE - SENSEX Index Options'!$I:$I,"Weekly*")+SUMIFS('BSE - SENSEX Index Options'!$M:$M,'BSE - SENSEX Index Options'!$C:$C,$A142,'BSE - SENSEX Index Options'!$B:$B,D$4,'BSE - SENSEX Index Options'!$I:$I,"MDAW*")+SUMIFS('BSE - Other Index Options'!$M:$M,'BSE - Other Index Options'!$C:$C,$A142,'BSE - Other Index Options'!$B:$B,D$4,'BSE - Other Index Options'!$I:$I,"Weekly*")+SUMIFS('BSE - Other Index Options'!$M:$M,'BSE - Other Index Options'!$C:$C,$A142,'BSE - Other Index Options'!$B:$B,D$4,'BSE - Other Index Options'!$I:$I,"MDAW*"))</f>
        <v/>
      </c>
      <c r="E142" s="26">
        <f>IF(SUMIFS('NSE - NIFTY Index Options'!$M:$M,'NSE - NIFTY Index Options'!$C:$C,$A142,'NSE - NIFTY Index Options'!$B:$B,E$4,'NSE - NIFTY Index Options'!$I:$I,"Weekly*")+SUMIFS('NSE - NIFTY Index Options'!$M:$M,'NSE - NIFTY Index Options'!$C:$C,$A142,'NSE - NIFTY Index Options'!$B:$B,E$4,'NSE - NIFTY Index Options'!$I:$I,"MDAW*")+SUMIFS('NSE - Other Index Options'!$M:$M,'NSE - Other Index Options'!$C:$C,$A142,'NSE - Other Index Options'!$B:$B,E$4,'NSE - Other Index Options'!$I:$I,"Weekly*")+SUMIFS('NSE - Other Index Options'!$M:$M,'NSE - Other Index Options'!$C:$C,$A142,'NSE - Other Index Options'!$B:$B,E$4,'NSE - Other Index Options'!$I:$I,"MDAW*")+SUMIFS('BSE - SENSEX Index Options'!$M:$M,'BSE - SENSEX Index Options'!$C:$C,$A142,'BSE - SENSEX Index Options'!$B:$B,E$4,'BSE - SENSEX Index Options'!$I:$I,"Weekly*")+SUMIFS('BSE - SENSEX Index Options'!$M:$M,'BSE - SENSEX Index Options'!$C:$C,$A142,'BSE - SENSEX Index Options'!$B:$B,E$4,'BSE - SENSEX Index Options'!$I:$I,"MDAW*")+SUMIFS('BSE - Other Index Options'!$M:$M,'BSE - Other Index Options'!$C:$C,$A142,'BSE - Other Index Options'!$B:$B,E$4,'BSE - Other Index Options'!$I:$I,"Weekly*")+SUMIFS('BSE - Other Index Options'!$M:$M,'BSE - Other Index Options'!$C:$C,$A142,'BSE - Other Index Options'!$B:$B,E$4,'BSE - Other Index Options'!$I:$I,"MDAW*")=0,"",SUMIFS('NSE - NIFTY Index Options'!$M:$M,'NSE - NIFTY Index Options'!$C:$C,$A142,'NSE - NIFTY Index Options'!$B:$B,E$4,'NSE - NIFTY Index Options'!$I:$I,"Weekly*")+SUMIFS('NSE - NIFTY Index Options'!$M:$M,'NSE - NIFTY Index Options'!$C:$C,$A142,'NSE - NIFTY Index Options'!$B:$B,E$4,'NSE - NIFTY Index Options'!$I:$I,"MDAW*")+SUMIFS('NSE - Other Index Options'!$M:$M,'NSE - Other Index Options'!$C:$C,$A142,'NSE - Other Index Options'!$B:$B,E$4,'NSE - Other Index Options'!$I:$I,"Weekly*")+SUMIFS('NSE - Other Index Options'!$M:$M,'NSE - Other Index Options'!$C:$C,$A142,'NSE - Other Index Options'!$B:$B,E$4,'NSE - Other Index Options'!$I:$I,"MDAW*")+SUMIFS('BSE - SENSEX Index Options'!$M:$M,'BSE - SENSEX Index Options'!$C:$C,$A142,'BSE - SENSEX Index Options'!$B:$B,E$4,'BSE - SENSEX Index Options'!$I:$I,"Weekly*")+SUMIFS('BSE - SENSEX Index Options'!$M:$M,'BSE - SENSEX Index Options'!$C:$C,$A142,'BSE - SENSEX Index Options'!$B:$B,E$4,'BSE - SENSEX Index Options'!$I:$I,"MDAW*")+SUMIFS('BSE - Other Index Options'!$M:$M,'BSE - Other Index Options'!$C:$C,$A142,'BSE - Other Index Options'!$B:$B,E$4,'BSE - Other Index Options'!$I:$I,"Weekly*")+SUMIFS('BSE - Other Index Options'!$M:$M,'BSE - Other Index Options'!$C:$C,$A142,'BSE - Other Index Options'!$B:$B,E$4,'BSE - Other Index Options'!$I:$I,"MDAW*"))</f>
        <v/>
      </c>
      <c r="F142" s="26">
        <f>IF(SUMIFS('NSE - NIFTY Index Options'!$M:$M,'NSE - NIFTY Index Options'!$C:$C,$A142,'NSE - NIFTY Index Options'!$B:$B,F$4,'NSE - NIFTY Index Options'!$I:$I,"Weekly*")+SUMIFS('NSE - NIFTY Index Options'!$M:$M,'NSE - NIFTY Index Options'!$C:$C,$A142,'NSE - NIFTY Index Options'!$B:$B,F$4,'NSE - NIFTY Index Options'!$I:$I,"MDAW*")+SUMIFS('NSE - Other Index Options'!$M:$M,'NSE - Other Index Options'!$C:$C,$A142,'NSE - Other Index Options'!$B:$B,F$4,'NSE - Other Index Options'!$I:$I,"Weekly*")+SUMIFS('NSE - Other Index Options'!$M:$M,'NSE - Other Index Options'!$C:$C,$A142,'NSE - Other Index Options'!$B:$B,F$4,'NSE - Other Index Options'!$I:$I,"MDAW*")+SUMIFS('BSE - SENSEX Index Options'!$M:$M,'BSE - SENSEX Index Options'!$C:$C,$A142,'BSE - SENSEX Index Options'!$B:$B,F$4,'BSE - SENSEX Index Options'!$I:$I,"Weekly*")+SUMIFS('BSE - SENSEX Index Options'!$M:$M,'BSE - SENSEX Index Options'!$C:$C,$A142,'BSE - SENSEX Index Options'!$B:$B,F$4,'BSE - SENSEX Index Options'!$I:$I,"MDAW*")+SUMIFS('BSE - Other Index Options'!$M:$M,'BSE - Other Index Options'!$C:$C,$A142,'BSE - Other Index Options'!$B:$B,F$4,'BSE - Other Index Options'!$I:$I,"Weekly*")+SUMIFS('BSE - Other Index Options'!$M:$M,'BSE - Other Index Options'!$C:$C,$A142,'BSE - Other Index Options'!$B:$B,F$4,'BSE - Other Index Options'!$I:$I,"MDAW*")=0,"",SUMIFS('NSE - NIFTY Index Options'!$M:$M,'NSE - NIFTY Index Options'!$C:$C,$A142,'NSE - NIFTY Index Options'!$B:$B,F$4,'NSE - NIFTY Index Options'!$I:$I,"Weekly*")+SUMIFS('NSE - NIFTY Index Options'!$M:$M,'NSE - NIFTY Index Options'!$C:$C,$A142,'NSE - NIFTY Index Options'!$B:$B,F$4,'NSE - NIFTY Index Options'!$I:$I,"MDAW*")+SUMIFS('NSE - Other Index Options'!$M:$M,'NSE - Other Index Options'!$C:$C,$A142,'NSE - Other Index Options'!$B:$B,F$4,'NSE - Other Index Options'!$I:$I,"Weekly*")+SUMIFS('NSE - Other Index Options'!$M:$M,'NSE - Other Index Options'!$C:$C,$A142,'NSE - Other Index Options'!$B:$B,F$4,'NSE - Other Index Options'!$I:$I,"MDAW*")+SUMIFS('BSE - SENSEX Index Options'!$M:$M,'BSE - SENSEX Index Options'!$C:$C,$A142,'BSE - SENSEX Index Options'!$B:$B,F$4,'BSE - SENSEX Index Options'!$I:$I,"Weekly*")+SUMIFS('BSE - SENSEX Index Options'!$M:$M,'BSE - SENSEX Index Options'!$C:$C,$A142,'BSE - SENSEX Index Options'!$B:$B,F$4,'BSE - SENSEX Index Options'!$I:$I,"MDAW*")+SUMIFS('BSE - Other Index Options'!$M:$M,'BSE - Other Index Options'!$C:$C,$A142,'BSE - Other Index Options'!$B:$B,F$4,'BSE - Other Index Options'!$I:$I,"Weekly*")+SUMIFS('BSE - Other Index Options'!$M:$M,'BSE - Other Index Options'!$C:$C,$A142,'BSE - Other Index Options'!$B:$B,F$4,'BSE - Other Index Options'!$I:$I,"MDAW*"))</f>
        <v/>
      </c>
      <c r="G142" s="26">
        <f>IF(SUMIFS('NSE - NIFTY Index Options'!$M:$M,'NSE - NIFTY Index Options'!$C:$C,$A142,'NSE - NIFTY Index Options'!$B:$B,G$4,'NSE - NIFTY Index Options'!$I:$I,"Weekly*")+SUMIFS('NSE - NIFTY Index Options'!$M:$M,'NSE - NIFTY Index Options'!$C:$C,$A142,'NSE - NIFTY Index Options'!$B:$B,G$4,'NSE - NIFTY Index Options'!$I:$I,"MDAW*")+SUMIFS('NSE - Other Index Options'!$M:$M,'NSE - Other Index Options'!$C:$C,$A142,'NSE - Other Index Options'!$B:$B,G$4,'NSE - Other Index Options'!$I:$I,"Weekly*")+SUMIFS('NSE - Other Index Options'!$M:$M,'NSE - Other Index Options'!$C:$C,$A142,'NSE - Other Index Options'!$B:$B,G$4,'NSE - Other Index Options'!$I:$I,"MDAW*")+SUMIFS('BSE - SENSEX Index Options'!$M:$M,'BSE - SENSEX Index Options'!$C:$C,$A142,'BSE - SENSEX Index Options'!$B:$B,G$4,'BSE - SENSEX Index Options'!$I:$I,"Weekly*")+SUMIFS('BSE - SENSEX Index Options'!$M:$M,'BSE - SENSEX Index Options'!$C:$C,$A142,'BSE - SENSEX Index Options'!$B:$B,G$4,'BSE - SENSEX Index Options'!$I:$I,"MDAW*")+SUMIFS('BSE - Other Index Options'!$M:$M,'BSE - Other Index Options'!$C:$C,$A142,'BSE - Other Index Options'!$B:$B,G$4,'BSE - Other Index Options'!$I:$I,"Weekly*")+SUMIFS('BSE - Other Index Options'!$M:$M,'BSE - Other Index Options'!$C:$C,$A142,'BSE - Other Index Options'!$B:$B,G$4,'BSE - Other Index Options'!$I:$I,"MDAW*")=0,"",SUMIFS('NSE - NIFTY Index Options'!$M:$M,'NSE - NIFTY Index Options'!$C:$C,$A142,'NSE - NIFTY Index Options'!$B:$B,G$4,'NSE - NIFTY Index Options'!$I:$I,"Weekly*")+SUMIFS('NSE - NIFTY Index Options'!$M:$M,'NSE - NIFTY Index Options'!$C:$C,$A142,'NSE - NIFTY Index Options'!$B:$B,G$4,'NSE - NIFTY Index Options'!$I:$I,"MDAW*")+SUMIFS('NSE - Other Index Options'!$M:$M,'NSE - Other Index Options'!$C:$C,$A142,'NSE - Other Index Options'!$B:$B,G$4,'NSE - Other Index Options'!$I:$I,"Weekly*")+SUMIFS('NSE - Other Index Options'!$M:$M,'NSE - Other Index Options'!$C:$C,$A142,'NSE - Other Index Options'!$B:$B,G$4,'NSE - Other Index Options'!$I:$I,"MDAW*")+SUMIFS('BSE - SENSEX Index Options'!$M:$M,'BSE - SENSEX Index Options'!$C:$C,$A142,'BSE - SENSEX Index Options'!$B:$B,G$4,'BSE - SENSEX Index Options'!$I:$I,"Weekly*")+SUMIFS('BSE - SENSEX Index Options'!$M:$M,'BSE - SENSEX Index Options'!$C:$C,$A142,'BSE - SENSEX Index Options'!$B:$B,G$4,'BSE - SENSEX Index Options'!$I:$I,"MDAW*")+SUMIFS('BSE - Other Index Options'!$M:$M,'BSE - Other Index Options'!$C:$C,$A142,'BSE - Other Index Options'!$B:$B,G$4,'BSE - Other Index Options'!$I:$I,"Weekly*")+SUMIFS('BSE - Other Index Options'!$M:$M,'BSE - Other Index Options'!$C:$C,$A142,'BSE - Other Index Options'!$B:$B,G$4,'BSE - Other Index Options'!$I:$I,"MDAW*"))</f>
        <v/>
      </c>
      <c r="H142" s="26">
        <f>IF(SUM(B142:G142)=0,"",SUM(B142:G142))</f>
        <v/>
      </c>
    </row>
    <row r="143" collapsed="1">
      <c r="A143" s="45" t="inlineStr">
        <is>
          <t>Total</t>
        </is>
      </c>
      <c r="B143" s="46">
        <f>IF(SUM(B5:B142)=0,"",SUM(B5:B142))</f>
        <v/>
      </c>
      <c r="C143" s="46">
        <f>IF(SUM(C5:C142)=0,"",SUM(C5:C142))</f>
        <v/>
      </c>
      <c r="D143" s="46">
        <f>IF(SUM(D5:D142)=0,"",SUM(D5:D142))</f>
        <v/>
      </c>
      <c r="E143" s="46">
        <f>IF(SUM(E5:E142)=0,"",SUM(E5:E142))</f>
        <v/>
      </c>
      <c r="F143" s="46">
        <f>IF(SUM(F5:F142)=0,"",SUM(F5:F142))</f>
        <v/>
      </c>
      <c r="G143" s="46">
        <f>IF(SUM(G5:G142)=0,"",SUM(G5:G142))</f>
        <v/>
      </c>
      <c r="H143" s="46">
        <f>IF(SUM(H5:H142)=0,"",SUM(H5:H142))</f>
        <v/>
      </c>
    </row>
    <row r="146">
      <c r="A146" s="45" t="inlineStr">
        <is>
          <t>Day-wise Composition of Weekly+MDAW Premium (Mon-Fri; all weeks)</t>
        </is>
      </c>
      <c r="H146" s="59" t="inlineStr">
        <is>
          <t>Day Composition (complete 5-day weeks only)</t>
        </is>
      </c>
    </row>
    <row r="147">
      <c r="A147" s="45" t="inlineStr">
        <is>
          <t>Trade Week-Month-Year</t>
        </is>
      </c>
      <c r="B147" s="45" t="inlineStr">
        <is>
          <t>Monday</t>
        </is>
      </c>
      <c r="C147" s="45" t="inlineStr">
        <is>
          <t>Tuesday</t>
        </is>
      </c>
      <c r="D147" s="45" t="inlineStr">
        <is>
          <t>Wednesday</t>
        </is>
      </c>
      <c r="E147" s="45" t="inlineStr">
        <is>
          <t>Thursday</t>
        </is>
      </c>
      <c r="F147" s="45" t="inlineStr">
        <is>
          <t>Friday</t>
        </is>
      </c>
      <c r="H147" s="59" t="inlineStr">
        <is>
          <t>Monday</t>
        </is>
      </c>
      <c r="I147" s="59" t="inlineStr">
        <is>
          <t>Tuesday</t>
        </is>
      </c>
      <c r="J147" s="59" t="inlineStr">
        <is>
          <t>Wednesday</t>
        </is>
      </c>
      <c r="K147" s="59" t="inlineStr">
        <is>
          <t>Thursday</t>
        </is>
      </c>
      <c r="L147" s="59" t="inlineStr">
        <is>
          <t>Friday</t>
        </is>
      </c>
    </row>
    <row r="148">
      <c r="A148" t="inlineStr">
        <is>
          <t>Week1-Sep-2025</t>
        </is>
      </c>
      <c r="B148" s="27">
        <f>IF(OR(SUM($B5:$F5)=0,B5=""),"",B5/SUM($B5:$F5))</f>
        <v/>
      </c>
      <c r="C148" s="27">
        <f>IF(OR(SUM($B5:$F5)=0,C5=""),"",C5/SUM($B5:$F5))</f>
        <v/>
      </c>
      <c r="D148" s="27">
        <f>IF(OR(SUM($B5:$F5)=0,D5=""),"",D5/SUM($B5:$F5))</f>
        <v/>
      </c>
      <c r="E148" s="27">
        <f>IF(OR(SUM($B5:$F5)=0,E5=""),"",E5/SUM($B5:$F5))</f>
        <v/>
      </c>
      <c r="F148" s="27">
        <f>IF(OR(SUM($B5:$F5)=0,F5=""),"",F5/SUM($B5:$F5))</f>
        <v/>
      </c>
      <c r="H148" s="27">
        <f>IF(COUNT(B5:F5)=5,B5/SUM($B5:$F5),"")</f>
        <v/>
      </c>
      <c r="I148" s="27">
        <f>IF(COUNT(B5:F5)=5,C5/SUM($B5:$F5),"")</f>
        <v/>
      </c>
      <c r="J148" s="27">
        <f>IF(COUNT(B5:F5)=5,D5/SUM($B5:$F5),"")</f>
        <v/>
      </c>
      <c r="K148" s="27">
        <f>IF(COUNT(B5:F5)=5,E5/SUM($B5:$F5),"")</f>
        <v/>
      </c>
      <c r="L148" s="27">
        <f>IF(COUNT(B5:F5)=5,F5/SUM($B5:$F5),"")</f>
        <v/>
      </c>
    </row>
    <row r="149">
      <c r="A149" t="inlineStr">
        <is>
          <t>Week2-Sep-2025</t>
        </is>
      </c>
      <c r="B149" s="27">
        <f>IF(OR(SUM($B6:$F6)=0,B6=""),"",B6/SUM($B6:$F6))</f>
        <v/>
      </c>
      <c r="C149" s="27">
        <f>IF(OR(SUM($B6:$F6)=0,C6=""),"",C6/SUM($B6:$F6))</f>
        <v/>
      </c>
      <c r="D149" s="27">
        <f>IF(OR(SUM($B6:$F6)=0,D6=""),"",D6/SUM($B6:$F6))</f>
        <v/>
      </c>
      <c r="E149" s="27">
        <f>IF(OR(SUM($B6:$F6)=0,E6=""),"",E6/SUM($B6:$F6))</f>
        <v/>
      </c>
      <c r="F149" s="27">
        <f>IF(OR(SUM($B6:$F6)=0,F6=""),"",F6/SUM($B6:$F6))</f>
        <v/>
      </c>
      <c r="H149" s="27">
        <f>IF(COUNT(B6:F6)=5,B6/SUM($B6:$F6),"")</f>
        <v/>
      </c>
      <c r="I149" s="27">
        <f>IF(COUNT(B6:F6)=5,C6/SUM($B6:$F6),"")</f>
        <v/>
      </c>
      <c r="J149" s="27">
        <f>IF(COUNT(B6:F6)=5,D6/SUM($B6:$F6),"")</f>
        <v/>
      </c>
      <c r="K149" s="27">
        <f>IF(COUNT(B6:F6)=5,E6/SUM($B6:$F6),"")</f>
        <v/>
      </c>
      <c r="L149" s="27">
        <f>IF(COUNT(B6:F6)=5,F6/SUM($B6:$F6),"")</f>
        <v/>
      </c>
    </row>
    <row r="150">
      <c r="A150" t="inlineStr">
        <is>
          <t>Week3-Sep-2025</t>
        </is>
      </c>
      <c r="B150" s="27">
        <f>IF(OR(SUM($B7:$F7)=0,B7=""),"",B7/SUM($B7:$F7))</f>
        <v/>
      </c>
      <c r="C150" s="27">
        <f>IF(OR(SUM($B7:$F7)=0,C7=""),"",C7/SUM($B7:$F7))</f>
        <v/>
      </c>
      <c r="D150" s="27">
        <f>IF(OR(SUM($B7:$F7)=0,D7=""),"",D7/SUM($B7:$F7))</f>
        <v/>
      </c>
      <c r="E150" s="27">
        <f>IF(OR(SUM($B7:$F7)=0,E7=""),"",E7/SUM($B7:$F7))</f>
        <v/>
      </c>
      <c r="F150" s="27">
        <f>IF(OR(SUM($B7:$F7)=0,F7=""),"",F7/SUM($B7:$F7))</f>
        <v/>
      </c>
      <c r="H150" s="27">
        <f>IF(COUNT(B7:F7)=5,B7/SUM($B7:$F7),"")</f>
        <v/>
      </c>
      <c r="I150" s="27">
        <f>IF(COUNT(B7:F7)=5,C7/SUM($B7:$F7),"")</f>
        <v/>
      </c>
      <c r="J150" s="27">
        <f>IF(COUNT(B7:F7)=5,D7/SUM($B7:$F7),"")</f>
        <v/>
      </c>
      <c r="K150" s="27">
        <f>IF(COUNT(B7:F7)=5,E7/SUM($B7:$F7),"")</f>
        <v/>
      </c>
      <c r="L150" s="27">
        <f>IF(COUNT(B7:F7)=5,F7/SUM($B7:$F7),"")</f>
        <v/>
      </c>
    </row>
    <row r="151">
      <c r="A151" t="inlineStr">
        <is>
          <t>Week4-Sep-2025</t>
        </is>
      </c>
      <c r="B151" s="27">
        <f>IF(OR(SUM($B8:$F8)=0,B8=""),"",B8/SUM($B8:$F8))</f>
        <v/>
      </c>
      <c r="C151" s="27">
        <f>IF(OR(SUM($B8:$F8)=0,C8=""),"",C8/SUM($B8:$F8))</f>
        <v/>
      </c>
      <c r="D151" s="27">
        <f>IF(OR(SUM($B8:$F8)=0,D8=""),"",D8/SUM($B8:$F8))</f>
        <v/>
      </c>
      <c r="E151" s="27">
        <f>IF(OR(SUM($B8:$F8)=0,E8=""),"",E8/SUM($B8:$F8))</f>
        <v/>
      </c>
      <c r="F151" s="27">
        <f>IF(OR(SUM($B8:$F8)=0,F8=""),"",F8/SUM($B8:$F8))</f>
        <v/>
      </c>
      <c r="H151" s="27">
        <f>IF(COUNT(B8:F8)=5,B8/SUM($B8:$F8),"")</f>
        <v/>
      </c>
      <c r="I151" s="27">
        <f>IF(COUNT(B8:F8)=5,C8/SUM($B8:$F8),"")</f>
        <v/>
      </c>
      <c r="J151" s="27">
        <f>IF(COUNT(B8:F8)=5,D8/SUM($B8:$F8),"")</f>
        <v/>
      </c>
      <c r="K151" s="27">
        <f>IF(COUNT(B8:F8)=5,E8/SUM($B8:$F8),"")</f>
        <v/>
      </c>
      <c r="L151" s="27">
        <f>IF(COUNT(B8:F8)=5,F8/SUM($B8:$F8),"")</f>
        <v/>
      </c>
    </row>
    <row r="152">
      <c r="A152" t="inlineStr">
        <is>
          <t>Week5-Sep-2025</t>
        </is>
      </c>
      <c r="B152" s="27">
        <f>IF(OR(SUM($B9:$F9)=0,B9=""),"",B9/SUM($B9:$F9))</f>
        <v/>
      </c>
      <c r="C152" s="27">
        <f>IF(OR(SUM($B9:$F9)=0,C9=""),"",C9/SUM($B9:$F9))</f>
        <v/>
      </c>
      <c r="D152" s="27">
        <f>IF(OR(SUM($B9:$F9)=0,D9=""),"",D9/SUM($B9:$F9))</f>
        <v/>
      </c>
      <c r="E152" s="27">
        <f>IF(OR(SUM($B9:$F9)=0,E9=""),"",E9/SUM($B9:$F9))</f>
        <v/>
      </c>
      <c r="F152" s="27">
        <f>IF(OR(SUM($B9:$F9)=0,F9=""),"",F9/SUM($B9:$F9))</f>
        <v/>
      </c>
      <c r="H152" s="27">
        <f>IF(COUNT(B9:F9)=5,B9/SUM($B9:$F9),"")</f>
        <v/>
      </c>
      <c r="I152" s="27">
        <f>IF(COUNT(B9:F9)=5,C9/SUM($B9:$F9),"")</f>
        <v/>
      </c>
      <c r="J152" s="27">
        <f>IF(COUNT(B9:F9)=5,D9/SUM($B9:$F9),"")</f>
        <v/>
      </c>
      <c r="K152" s="27">
        <f>IF(COUNT(B9:F9)=5,E9/SUM($B9:$F9),"")</f>
        <v/>
      </c>
      <c r="L152" s="27">
        <f>IF(COUNT(B9:F9)=5,F9/SUM($B9:$F9),"")</f>
        <v/>
      </c>
    </row>
    <row r="153">
      <c r="A153" t="inlineStr">
        <is>
          <t>Week1-Oct-2025</t>
        </is>
      </c>
      <c r="B153" s="27">
        <f>IF(OR(SUM($B10:$F10)=0,B10=""),"",B10/SUM($B10:$F10))</f>
        <v/>
      </c>
      <c r="C153" s="27">
        <f>IF(OR(SUM($B10:$F10)=0,C10=""),"",C10/SUM($B10:$F10))</f>
        <v/>
      </c>
      <c r="D153" s="27">
        <f>IF(OR(SUM($B10:$F10)=0,D10=""),"",D10/SUM($B10:$F10))</f>
        <v/>
      </c>
      <c r="E153" s="27">
        <f>IF(OR(SUM($B10:$F10)=0,E10=""),"",E10/SUM($B10:$F10))</f>
        <v/>
      </c>
      <c r="F153" s="27">
        <f>IF(OR(SUM($B10:$F10)=0,F10=""),"",F10/SUM($B10:$F10))</f>
        <v/>
      </c>
      <c r="H153" s="27">
        <f>IF(COUNT(B10:F10)=5,B10/SUM($B10:$F10),"")</f>
        <v/>
      </c>
      <c r="I153" s="27">
        <f>IF(COUNT(B10:F10)=5,C10/SUM($B10:$F10),"")</f>
        <v/>
      </c>
      <c r="J153" s="27">
        <f>IF(COUNT(B10:F10)=5,D10/SUM($B10:$F10),"")</f>
        <v/>
      </c>
      <c r="K153" s="27">
        <f>IF(COUNT(B10:F10)=5,E10/SUM($B10:$F10),"")</f>
        <v/>
      </c>
      <c r="L153" s="27">
        <f>IF(COUNT(B10:F10)=5,F10/SUM($B10:$F10),"")</f>
        <v/>
      </c>
    </row>
    <row r="154">
      <c r="A154" t="inlineStr">
        <is>
          <t>Week2-Oct-2025</t>
        </is>
      </c>
      <c r="B154" s="27">
        <f>IF(OR(SUM($B11:$F11)=0,B11=""),"",B11/SUM($B11:$F11))</f>
        <v/>
      </c>
      <c r="C154" s="27">
        <f>IF(OR(SUM($B11:$F11)=0,C11=""),"",C11/SUM($B11:$F11))</f>
        <v/>
      </c>
      <c r="D154" s="27">
        <f>IF(OR(SUM($B11:$F11)=0,D11=""),"",D11/SUM($B11:$F11))</f>
        <v/>
      </c>
      <c r="E154" s="27">
        <f>IF(OR(SUM($B11:$F11)=0,E11=""),"",E11/SUM($B11:$F11))</f>
        <v/>
      </c>
      <c r="F154" s="27">
        <f>IF(OR(SUM($B11:$F11)=0,F11=""),"",F11/SUM($B11:$F11))</f>
        <v/>
      </c>
      <c r="H154" s="27">
        <f>IF(COUNT(B11:F11)=5,B11/SUM($B11:$F11),"")</f>
        <v/>
      </c>
      <c r="I154" s="27">
        <f>IF(COUNT(B11:F11)=5,C11/SUM($B11:$F11),"")</f>
        <v/>
      </c>
      <c r="J154" s="27">
        <f>IF(COUNT(B11:F11)=5,D11/SUM($B11:$F11),"")</f>
        <v/>
      </c>
      <c r="K154" s="27">
        <f>IF(COUNT(B11:F11)=5,E11/SUM($B11:$F11),"")</f>
        <v/>
      </c>
      <c r="L154" s="27">
        <f>IF(COUNT(B11:F11)=5,F11/SUM($B11:$F11),"")</f>
        <v/>
      </c>
    </row>
    <row r="155">
      <c r="A155" t="inlineStr">
        <is>
          <t>Week3-Oct-2025</t>
        </is>
      </c>
      <c r="B155" s="27">
        <f>IF(OR(SUM($B12:$F12)=0,B12=""),"",B12/SUM($B12:$F12))</f>
        <v/>
      </c>
      <c r="C155" s="27">
        <f>IF(OR(SUM($B12:$F12)=0,C12=""),"",C12/SUM($B12:$F12))</f>
        <v/>
      </c>
      <c r="D155" s="27">
        <f>IF(OR(SUM($B12:$F12)=0,D12=""),"",D12/SUM($B12:$F12))</f>
        <v/>
      </c>
      <c r="E155" s="27">
        <f>IF(OR(SUM($B12:$F12)=0,E12=""),"",E12/SUM($B12:$F12))</f>
        <v/>
      </c>
      <c r="F155" s="27">
        <f>IF(OR(SUM($B12:$F12)=0,F12=""),"",F12/SUM($B12:$F12))</f>
        <v/>
      </c>
      <c r="H155" s="27">
        <f>IF(COUNT(B12:F12)=5,B12/SUM($B12:$F12),"")</f>
        <v/>
      </c>
      <c r="I155" s="27">
        <f>IF(COUNT(B12:F12)=5,C12/SUM($B12:$F12),"")</f>
        <v/>
      </c>
      <c r="J155" s="27">
        <f>IF(COUNT(B12:F12)=5,D12/SUM($B12:$F12),"")</f>
        <v/>
      </c>
      <c r="K155" s="27">
        <f>IF(COUNT(B12:F12)=5,E12/SUM($B12:$F12),"")</f>
        <v/>
      </c>
      <c r="L155" s="27">
        <f>IF(COUNT(B12:F12)=5,F12/SUM($B12:$F12),"")</f>
        <v/>
      </c>
    </row>
    <row r="156">
      <c r="A156" t="inlineStr">
        <is>
          <t>Week4-Oct-2025</t>
        </is>
      </c>
      <c r="B156" s="27">
        <f>IF(OR(SUM($B13:$F13)=0,B13=""),"",B13/SUM($B13:$F13))</f>
        <v/>
      </c>
      <c r="C156" s="27">
        <f>IF(OR(SUM($B13:$F13)=0,C13=""),"",C13/SUM($B13:$F13))</f>
        <v/>
      </c>
      <c r="D156" s="27">
        <f>IF(OR(SUM($B13:$F13)=0,D13=""),"",D13/SUM($B13:$F13))</f>
        <v/>
      </c>
      <c r="E156" s="27">
        <f>IF(OR(SUM($B13:$F13)=0,E13=""),"",E13/SUM($B13:$F13))</f>
        <v/>
      </c>
      <c r="F156" s="27">
        <f>IF(OR(SUM($B13:$F13)=0,F13=""),"",F13/SUM($B13:$F13))</f>
        <v/>
      </c>
      <c r="H156" s="27">
        <f>IF(COUNT(B13:F13)=5,B13/SUM($B13:$F13),"")</f>
        <v/>
      </c>
      <c r="I156" s="27">
        <f>IF(COUNT(B13:F13)=5,C13/SUM($B13:$F13),"")</f>
        <v/>
      </c>
      <c r="J156" s="27">
        <f>IF(COUNT(B13:F13)=5,D13/SUM($B13:$F13),"")</f>
        <v/>
      </c>
      <c r="K156" s="27">
        <f>IF(COUNT(B13:F13)=5,E13/SUM($B13:$F13),"")</f>
        <v/>
      </c>
      <c r="L156" s="27">
        <f>IF(COUNT(B13:F13)=5,F13/SUM($B13:$F13),"")</f>
        <v/>
      </c>
    </row>
    <row r="157">
      <c r="A157" t="inlineStr">
        <is>
          <t>Week5-Oct-2025</t>
        </is>
      </c>
      <c r="B157" s="27">
        <f>IF(OR(SUM($B14:$F14)=0,B14=""),"",B14/SUM($B14:$F14))</f>
        <v/>
      </c>
      <c r="C157" s="27">
        <f>IF(OR(SUM($B14:$F14)=0,C14=""),"",C14/SUM($B14:$F14))</f>
        <v/>
      </c>
      <c r="D157" s="27">
        <f>IF(OR(SUM($B14:$F14)=0,D14=""),"",D14/SUM($B14:$F14))</f>
        <v/>
      </c>
      <c r="E157" s="27">
        <f>IF(OR(SUM($B14:$F14)=0,E14=""),"",E14/SUM($B14:$F14))</f>
        <v/>
      </c>
      <c r="F157" s="27">
        <f>IF(OR(SUM($B14:$F14)=0,F14=""),"",F14/SUM($B14:$F14))</f>
        <v/>
      </c>
      <c r="H157" s="27">
        <f>IF(COUNT(B14:F14)=5,B14/SUM($B14:$F14),"")</f>
        <v/>
      </c>
      <c r="I157" s="27">
        <f>IF(COUNT(B14:F14)=5,C14/SUM($B14:$F14),"")</f>
        <v/>
      </c>
      <c r="J157" s="27">
        <f>IF(COUNT(B14:F14)=5,D14/SUM($B14:$F14),"")</f>
        <v/>
      </c>
      <c r="K157" s="27">
        <f>IF(COUNT(B14:F14)=5,E14/SUM($B14:$F14),"")</f>
        <v/>
      </c>
      <c r="L157" s="27">
        <f>IF(COUNT(B14:F14)=5,F14/SUM($B14:$F14),"")</f>
        <v/>
      </c>
    </row>
    <row r="158">
      <c r="A158" t="inlineStr">
        <is>
          <t>Week1-Nov-2025</t>
        </is>
      </c>
      <c r="B158" s="27">
        <f>IF(OR(SUM($B15:$F15)=0,B15=""),"",B15/SUM($B15:$F15))</f>
        <v/>
      </c>
      <c r="C158" s="27">
        <f>IF(OR(SUM($B15:$F15)=0,C15=""),"",C15/SUM($B15:$F15))</f>
        <v/>
      </c>
      <c r="D158" s="27">
        <f>IF(OR(SUM($B15:$F15)=0,D15=""),"",D15/SUM($B15:$F15))</f>
        <v/>
      </c>
      <c r="E158" s="27">
        <f>IF(OR(SUM($B15:$F15)=0,E15=""),"",E15/SUM($B15:$F15))</f>
        <v/>
      </c>
      <c r="F158" s="27">
        <f>IF(OR(SUM($B15:$F15)=0,F15=""),"",F15/SUM($B15:$F15))</f>
        <v/>
      </c>
      <c r="H158" s="27">
        <f>IF(COUNT(B15:F15)=5,B15/SUM($B15:$F15),"")</f>
        <v/>
      </c>
      <c r="I158" s="27">
        <f>IF(COUNT(B15:F15)=5,C15/SUM($B15:$F15),"")</f>
        <v/>
      </c>
      <c r="J158" s="27">
        <f>IF(COUNT(B15:F15)=5,D15/SUM($B15:$F15),"")</f>
        <v/>
      </c>
      <c r="K158" s="27">
        <f>IF(COUNT(B15:F15)=5,E15/SUM($B15:$F15),"")</f>
        <v/>
      </c>
      <c r="L158" s="27">
        <f>IF(COUNT(B15:F15)=5,F15/SUM($B15:$F15),"")</f>
        <v/>
      </c>
    </row>
    <row r="159">
      <c r="A159" t="inlineStr">
        <is>
          <t>Week2-Nov-2025</t>
        </is>
      </c>
      <c r="B159" s="27">
        <f>IF(OR(SUM($B16:$F16)=0,B16=""),"",B16/SUM($B16:$F16))</f>
        <v/>
      </c>
      <c r="C159" s="27">
        <f>IF(OR(SUM($B16:$F16)=0,C16=""),"",C16/SUM($B16:$F16))</f>
        <v/>
      </c>
      <c r="D159" s="27">
        <f>IF(OR(SUM($B16:$F16)=0,D16=""),"",D16/SUM($B16:$F16))</f>
        <v/>
      </c>
      <c r="E159" s="27">
        <f>IF(OR(SUM($B16:$F16)=0,E16=""),"",E16/SUM($B16:$F16))</f>
        <v/>
      </c>
      <c r="F159" s="27">
        <f>IF(OR(SUM($B16:$F16)=0,F16=""),"",F16/SUM($B16:$F16))</f>
        <v/>
      </c>
      <c r="H159" s="27">
        <f>IF(COUNT(B16:F16)=5,B16/SUM($B16:$F16),"")</f>
        <v/>
      </c>
      <c r="I159" s="27">
        <f>IF(COUNT(B16:F16)=5,C16/SUM($B16:$F16),"")</f>
        <v/>
      </c>
      <c r="J159" s="27">
        <f>IF(COUNT(B16:F16)=5,D16/SUM($B16:$F16),"")</f>
        <v/>
      </c>
      <c r="K159" s="27">
        <f>IF(COUNT(B16:F16)=5,E16/SUM($B16:$F16),"")</f>
        <v/>
      </c>
      <c r="L159" s="27">
        <f>IF(COUNT(B16:F16)=5,F16/SUM($B16:$F16),"")</f>
        <v/>
      </c>
    </row>
    <row r="160">
      <c r="A160" t="inlineStr">
        <is>
          <t>Week3-Nov-2025</t>
        </is>
      </c>
      <c r="B160" s="27">
        <f>IF(OR(SUM($B17:$F17)=0,B17=""),"",B17/SUM($B17:$F17))</f>
        <v/>
      </c>
      <c r="C160" s="27">
        <f>IF(OR(SUM($B17:$F17)=0,C17=""),"",C17/SUM($B17:$F17))</f>
        <v/>
      </c>
      <c r="D160" s="27">
        <f>IF(OR(SUM($B17:$F17)=0,D17=""),"",D17/SUM($B17:$F17))</f>
        <v/>
      </c>
      <c r="E160" s="27">
        <f>IF(OR(SUM($B17:$F17)=0,E17=""),"",E17/SUM($B17:$F17))</f>
        <v/>
      </c>
      <c r="F160" s="27">
        <f>IF(OR(SUM($B17:$F17)=0,F17=""),"",F17/SUM($B17:$F17))</f>
        <v/>
      </c>
      <c r="H160" s="27">
        <f>IF(COUNT(B17:F17)=5,B17/SUM($B17:$F17),"")</f>
        <v/>
      </c>
      <c r="I160" s="27">
        <f>IF(COUNT(B17:F17)=5,C17/SUM($B17:$F17),"")</f>
        <v/>
      </c>
      <c r="J160" s="27">
        <f>IF(COUNT(B17:F17)=5,D17/SUM($B17:$F17),"")</f>
        <v/>
      </c>
      <c r="K160" s="27">
        <f>IF(COUNT(B17:F17)=5,E17/SUM($B17:$F17),"")</f>
        <v/>
      </c>
      <c r="L160" s="27">
        <f>IF(COUNT(B17:F17)=5,F17/SUM($B17:$F17),"")</f>
        <v/>
      </c>
    </row>
    <row r="161">
      <c r="A161" t="inlineStr">
        <is>
          <t>Week4-Nov-2025</t>
        </is>
      </c>
      <c r="B161" s="27">
        <f>IF(OR(SUM($B18:$F18)=0,B18=""),"",B18/SUM($B18:$F18))</f>
        <v/>
      </c>
      <c r="C161" s="27">
        <f>IF(OR(SUM($B18:$F18)=0,C18=""),"",C18/SUM($B18:$F18))</f>
        <v/>
      </c>
      <c r="D161" s="27">
        <f>IF(OR(SUM($B18:$F18)=0,D18=""),"",D18/SUM($B18:$F18))</f>
        <v/>
      </c>
      <c r="E161" s="27">
        <f>IF(OR(SUM($B18:$F18)=0,E18=""),"",E18/SUM($B18:$F18))</f>
        <v/>
      </c>
      <c r="F161" s="27">
        <f>IF(OR(SUM($B18:$F18)=0,F18=""),"",F18/SUM($B18:$F18))</f>
        <v/>
      </c>
      <c r="H161" s="27">
        <f>IF(COUNT(B18:F18)=5,B18/SUM($B18:$F18),"")</f>
        <v/>
      </c>
      <c r="I161" s="27">
        <f>IF(COUNT(B18:F18)=5,C18/SUM($B18:$F18),"")</f>
        <v/>
      </c>
      <c r="J161" s="27">
        <f>IF(COUNT(B18:F18)=5,D18/SUM($B18:$F18),"")</f>
        <v/>
      </c>
      <c r="K161" s="27">
        <f>IF(COUNT(B18:F18)=5,E18/SUM($B18:$F18),"")</f>
        <v/>
      </c>
      <c r="L161" s="27">
        <f>IF(COUNT(B18:F18)=5,F18/SUM($B18:$F18),"")</f>
        <v/>
      </c>
    </row>
    <row r="162">
      <c r="A162" t="inlineStr">
        <is>
          <t>Week5-Nov-2025</t>
        </is>
      </c>
      <c r="B162" s="27">
        <f>IF(OR(SUM($B19:$F19)=0,B19=""),"",B19/SUM($B19:$F19))</f>
        <v/>
      </c>
      <c r="C162" s="27">
        <f>IF(OR(SUM($B19:$F19)=0,C19=""),"",C19/SUM($B19:$F19))</f>
        <v/>
      </c>
      <c r="D162" s="27">
        <f>IF(OR(SUM($B19:$F19)=0,D19=""),"",D19/SUM($B19:$F19))</f>
        <v/>
      </c>
      <c r="E162" s="27">
        <f>IF(OR(SUM($B19:$F19)=0,E19=""),"",E19/SUM($B19:$F19))</f>
        <v/>
      </c>
      <c r="F162" s="27">
        <f>IF(OR(SUM($B19:$F19)=0,F19=""),"",F19/SUM($B19:$F19))</f>
        <v/>
      </c>
      <c r="H162" s="27">
        <f>IF(COUNT(B19:F19)=5,B19/SUM($B19:$F19),"")</f>
        <v/>
      </c>
      <c r="I162" s="27">
        <f>IF(COUNT(B19:F19)=5,C19/SUM($B19:$F19),"")</f>
        <v/>
      </c>
      <c r="J162" s="27">
        <f>IF(COUNT(B19:F19)=5,D19/SUM($B19:$F19),"")</f>
        <v/>
      </c>
      <c r="K162" s="27">
        <f>IF(COUNT(B19:F19)=5,E19/SUM($B19:$F19),"")</f>
        <v/>
      </c>
      <c r="L162" s="27">
        <f>IF(COUNT(B19:F19)=5,F19/SUM($B19:$F19),"")</f>
        <v/>
      </c>
    </row>
    <row r="163">
      <c r="A163" t="inlineStr">
        <is>
          <t>Week1-Dec-2025</t>
        </is>
      </c>
      <c r="B163" s="27">
        <f>IF(OR(SUM($B20:$F20)=0,B20=""),"",B20/SUM($B20:$F20))</f>
        <v/>
      </c>
      <c r="C163" s="27">
        <f>IF(OR(SUM($B20:$F20)=0,C20=""),"",C20/SUM($B20:$F20))</f>
        <v/>
      </c>
      <c r="D163" s="27">
        <f>IF(OR(SUM($B20:$F20)=0,D20=""),"",D20/SUM($B20:$F20))</f>
        <v/>
      </c>
      <c r="E163" s="27">
        <f>IF(OR(SUM($B20:$F20)=0,E20=""),"",E20/SUM($B20:$F20))</f>
        <v/>
      </c>
      <c r="F163" s="27">
        <f>IF(OR(SUM($B20:$F20)=0,F20=""),"",F20/SUM($B20:$F20))</f>
        <v/>
      </c>
      <c r="H163" s="27">
        <f>IF(COUNT(B20:F20)=5,B20/SUM($B20:$F20),"")</f>
        <v/>
      </c>
      <c r="I163" s="27">
        <f>IF(COUNT(B20:F20)=5,C20/SUM($B20:$F20),"")</f>
        <v/>
      </c>
      <c r="J163" s="27">
        <f>IF(COUNT(B20:F20)=5,D20/SUM($B20:$F20),"")</f>
        <v/>
      </c>
      <c r="K163" s="27">
        <f>IF(COUNT(B20:F20)=5,E20/SUM($B20:$F20),"")</f>
        <v/>
      </c>
      <c r="L163" s="27">
        <f>IF(COUNT(B20:F20)=5,F20/SUM($B20:$F20),"")</f>
        <v/>
      </c>
    </row>
    <row r="164">
      <c r="A164" t="inlineStr">
        <is>
          <t>Week2-Dec-2025</t>
        </is>
      </c>
      <c r="B164" s="27">
        <f>IF(OR(SUM($B21:$F21)=0,B21=""),"",B21/SUM($B21:$F21))</f>
        <v/>
      </c>
      <c r="C164" s="27">
        <f>IF(OR(SUM($B21:$F21)=0,C21=""),"",C21/SUM($B21:$F21))</f>
        <v/>
      </c>
      <c r="D164" s="27">
        <f>IF(OR(SUM($B21:$F21)=0,D21=""),"",D21/SUM($B21:$F21))</f>
        <v/>
      </c>
      <c r="E164" s="27">
        <f>IF(OR(SUM($B21:$F21)=0,E21=""),"",E21/SUM($B21:$F21))</f>
        <v/>
      </c>
      <c r="F164" s="27">
        <f>IF(OR(SUM($B21:$F21)=0,F21=""),"",F21/SUM($B21:$F21))</f>
        <v/>
      </c>
      <c r="H164" s="27">
        <f>IF(COUNT(B21:F21)=5,B21/SUM($B21:$F21),"")</f>
        <v/>
      </c>
      <c r="I164" s="27">
        <f>IF(COUNT(B21:F21)=5,C21/SUM($B21:$F21),"")</f>
        <v/>
      </c>
      <c r="J164" s="27">
        <f>IF(COUNT(B21:F21)=5,D21/SUM($B21:$F21),"")</f>
        <v/>
      </c>
      <c r="K164" s="27">
        <f>IF(COUNT(B21:F21)=5,E21/SUM($B21:$F21),"")</f>
        <v/>
      </c>
      <c r="L164" s="27">
        <f>IF(COUNT(B21:F21)=5,F21/SUM($B21:$F21),"")</f>
        <v/>
      </c>
    </row>
    <row r="165">
      <c r="A165" t="inlineStr">
        <is>
          <t>Week3-Dec-2025</t>
        </is>
      </c>
      <c r="B165" s="27">
        <f>IF(OR(SUM($B22:$F22)=0,B22=""),"",B22/SUM($B22:$F22))</f>
        <v/>
      </c>
      <c r="C165" s="27">
        <f>IF(OR(SUM($B22:$F22)=0,C22=""),"",C22/SUM($B22:$F22))</f>
        <v/>
      </c>
      <c r="D165" s="27">
        <f>IF(OR(SUM($B22:$F22)=0,D22=""),"",D22/SUM($B22:$F22))</f>
        <v/>
      </c>
      <c r="E165" s="27">
        <f>IF(OR(SUM($B22:$F22)=0,E22=""),"",E22/SUM($B22:$F22))</f>
        <v/>
      </c>
      <c r="F165" s="27">
        <f>IF(OR(SUM($B22:$F22)=0,F22=""),"",F22/SUM($B22:$F22))</f>
        <v/>
      </c>
      <c r="H165" s="27">
        <f>IF(COUNT(B22:F22)=5,B22/SUM($B22:$F22),"")</f>
        <v/>
      </c>
      <c r="I165" s="27">
        <f>IF(COUNT(B22:F22)=5,C22/SUM($B22:$F22),"")</f>
        <v/>
      </c>
      <c r="J165" s="27">
        <f>IF(COUNT(B22:F22)=5,D22/SUM($B22:$F22),"")</f>
        <v/>
      </c>
      <c r="K165" s="27">
        <f>IF(COUNT(B22:F22)=5,E22/SUM($B22:$F22),"")</f>
        <v/>
      </c>
      <c r="L165" s="27">
        <f>IF(COUNT(B22:F22)=5,F22/SUM($B22:$F22),"")</f>
        <v/>
      </c>
    </row>
    <row r="166">
      <c r="A166" t="inlineStr">
        <is>
          <t>Week4-Dec-2025</t>
        </is>
      </c>
      <c r="B166" s="27">
        <f>IF(OR(SUM($B23:$F23)=0,B23=""),"",B23/SUM($B23:$F23))</f>
        <v/>
      </c>
      <c r="C166" s="27">
        <f>IF(OR(SUM($B23:$F23)=0,C23=""),"",C23/SUM($B23:$F23))</f>
        <v/>
      </c>
      <c r="D166" s="27">
        <f>IF(OR(SUM($B23:$F23)=0,D23=""),"",D23/SUM($B23:$F23))</f>
        <v/>
      </c>
      <c r="E166" s="27">
        <f>IF(OR(SUM($B23:$F23)=0,E23=""),"",E23/SUM($B23:$F23))</f>
        <v/>
      </c>
      <c r="F166" s="27">
        <f>IF(OR(SUM($B23:$F23)=0,F23=""),"",F23/SUM($B23:$F23))</f>
        <v/>
      </c>
      <c r="H166" s="27">
        <f>IF(COUNT(B23:F23)=5,B23/SUM($B23:$F23),"")</f>
        <v/>
      </c>
      <c r="I166" s="27">
        <f>IF(COUNT(B23:F23)=5,C23/SUM($B23:$F23),"")</f>
        <v/>
      </c>
      <c r="J166" s="27">
        <f>IF(COUNT(B23:F23)=5,D23/SUM($B23:$F23),"")</f>
        <v/>
      </c>
      <c r="K166" s="27">
        <f>IF(COUNT(B23:F23)=5,E23/SUM($B23:$F23),"")</f>
        <v/>
      </c>
      <c r="L166" s="27">
        <f>IF(COUNT(B23:F23)=5,F23/SUM($B23:$F23),"")</f>
        <v/>
      </c>
    </row>
    <row r="167">
      <c r="A167" t="inlineStr">
        <is>
          <t>Week5-Dec-2025</t>
        </is>
      </c>
      <c r="B167" s="27">
        <f>IF(OR(SUM($B24:$F24)=0,B24=""),"",B24/SUM($B24:$F24))</f>
        <v/>
      </c>
      <c r="C167" s="27">
        <f>IF(OR(SUM($B24:$F24)=0,C24=""),"",C24/SUM($B24:$F24))</f>
        <v/>
      </c>
      <c r="D167" s="27">
        <f>IF(OR(SUM($B24:$F24)=0,D24=""),"",D24/SUM($B24:$F24))</f>
        <v/>
      </c>
      <c r="E167" s="27">
        <f>IF(OR(SUM($B24:$F24)=0,E24=""),"",E24/SUM($B24:$F24))</f>
        <v/>
      </c>
      <c r="F167" s="27">
        <f>IF(OR(SUM($B24:$F24)=0,F24=""),"",F24/SUM($B24:$F24))</f>
        <v/>
      </c>
      <c r="H167" s="27">
        <f>IF(COUNT(B24:F24)=5,B24/SUM($B24:$F24),"")</f>
        <v/>
      </c>
      <c r="I167" s="27">
        <f>IF(COUNT(B24:F24)=5,C24/SUM($B24:$F24),"")</f>
        <v/>
      </c>
      <c r="J167" s="27">
        <f>IF(COUNT(B24:F24)=5,D24/SUM($B24:$F24),"")</f>
        <v/>
      </c>
      <c r="K167" s="27">
        <f>IF(COUNT(B24:F24)=5,E24/SUM($B24:$F24),"")</f>
        <v/>
      </c>
      <c r="L167" s="27">
        <f>IF(COUNT(B24:F24)=5,F24/SUM($B24:$F24),"")</f>
        <v/>
      </c>
    </row>
    <row r="168">
      <c r="A168" t="inlineStr">
        <is>
          <t>Week1-Jan-2026</t>
        </is>
      </c>
      <c r="B168" s="27">
        <f>IF(OR(SUM($B25:$F25)=0,B25=""),"",B25/SUM($B25:$F25))</f>
        <v/>
      </c>
      <c r="C168" s="27">
        <f>IF(OR(SUM($B25:$F25)=0,C25=""),"",C25/SUM($B25:$F25))</f>
        <v/>
      </c>
      <c r="D168" s="27">
        <f>IF(OR(SUM($B25:$F25)=0,D25=""),"",D25/SUM($B25:$F25))</f>
        <v/>
      </c>
      <c r="E168" s="27">
        <f>IF(OR(SUM($B25:$F25)=0,E25=""),"",E25/SUM($B25:$F25))</f>
        <v/>
      </c>
      <c r="F168" s="27">
        <f>IF(OR(SUM($B25:$F25)=0,F25=""),"",F25/SUM($B25:$F25))</f>
        <v/>
      </c>
      <c r="H168" s="27">
        <f>IF(COUNT(B25:F25)=5,B25/SUM($B25:$F25),"")</f>
        <v/>
      </c>
      <c r="I168" s="27">
        <f>IF(COUNT(B25:F25)=5,C25/SUM($B25:$F25),"")</f>
        <v/>
      </c>
      <c r="J168" s="27">
        <f>IF(COUNT(B25:F25)=5,D25/SUM($B25:$F25),"")</f>
        <v/>
      </c>
      <c r="K168" s="27">
        <f>IF(COUNT(B25:F25)=5,E25/SUM($B25:$F25),"")</f>
        <v/>
      </c>
      <c r="L168" s="27">
        <f>IF(COUNT(B25:F25)=5,F25/SUM($B25:$F25),"")</f>
        <v/>
      </c>
    </row>
    <row r="169">
      <c r="A169" t="inlineStr">
        <is>
          <t>Week2-Jan-2026</t>
        </is>
      </c>
      <c r="B169" s="27">
        <f>IF(OR(SUM($B26:$F26)=0,B26=""),"",B26/SUM($B26:$F26))</f>
        <v/>
      </c>
      <c r="C169" s="27">
        <f>IF(OR(SUM($B26:$F26)=0,C26=""),"",C26/SUM($B26:$F26))</f>
        <v/>
      </c>
      <c r="D169" s="27">
        <f>IF(OR(SUM($B26:$F26)=0,D26=""),"",D26/SUM($B26:$F26))</f>
        <v/>
      </c>
      <c r="E169" s="27">
        <f>IF(OR(SUM($B26:$F26)=0,E26=""),"",E26/SUM($B26:$F26))</f>
        <v/>
      </c>
      <c r="F169" s="27">
        <f>IF(OR(SUM($B26:$F26)=0,F26=""),"",F26/SUM($B26:$F26))</f>
        <v/>
      </c>
      <c r="H169" s="27">
        <f>IF(COUNT(B26:F26)=5,B26/SUM($B26:$F26),"")</f>
        <v/>
      </c>
      <c r="I169" s="27">
        <f>IF(COUNT(B26:F26)=5,C26/SUM($B26:$F26),"")</f>
        <v/>
      </c>
      <c r="J169" s="27">
        <f>IF(COUNT(B26:F26)=5,D26/SUM($B26:$F26),"")</f>
        <v/>
      </c>
      <c r="K169" s="27">
        <f>IF(COUNT(B26:F26)=5,E26/SUM($B26:$F26),"")</f>
        <v/>
      </c>
      <c r="L169" s="27">
        <f>IF(COUNT(B26:F26)=5,F26/SUM($B26:$F26),"")</f>
        <v/>
      </c>
    </row>
    <row r="170">
      <c r="A170" t="inlineStr">
        <is>
          <t>Week3-Jan-2026</t>
        </is>
      </c>
      <c r="B170" s="27">
        <f>IF(OR(SUM($B27:$F27)=0,B27=""),"",B27/SUM($B27:$F27))</f>
        <v/>
      </c>
      <c r="C170" s="27">
        <f>IF(OR(SUM($B27:$F27)=0,C27=""),"",C27/SUM($B27:$F27))</f>
        <v/>
      </c>
      <c r="D170" s="27">
        <f>IF(OR(SUM($B27:$F27)=0,D27=""),"",D27/SUM($B27:$F27))</f>
        <v/>
      </c>
      <c r="E170" s="27">
        <f>IF(OR(SUM($B27:$F27)=0,E27=""),"",E27/SUM($B27:$F27))</f>
        <v/>
      </c>
      <c r="F170" s="27">
        <f>IF(OR(SUM($B27:$F27)=0,F27=""),"",F27/SUM($B27:$F27))</f>
        <v/>
      </c>
      <c r="H170" s="27">
        <f>IF(COUNT(B27:F27)=5,B27/SUM($B27:$F27),"")</f>
        <v/>
      </c>
      <c r="I170" s="27">
        <f>IF(COUNT(B27:F27)=5,C27/SUM($B27:$F27),"")</f>
        <v/>
      </c>
      <c r="J170" s="27">
        <f>IF(COUNT(B27:F27)=5,D27/SUM($B27:$F27),"")</f>
        <v/>
      </c>
      <c r="K170" s="27">
        <f>IF(COUNT(B27:F27)=5,E27/SUM($B27:$F27),"")</f>
        <v/>
      </c>
      <c r="L170" s="27">
        <f>IF(COUNT(B27:F27)=5,F27/SUM($B27:$F27),"")</f>
        <v/>
      </c>
    </row>
    <row r="171">
      <c r="A171" t="inlineStr">
        <is>
          <t>Week4-Jan-2026</t>
        </is>
      </c>
      <c r="B171" s="27">
        <f>IF(OR(SUM($B28:$F28)=0,B28=""),"",B28/SUM($B28:$F28))</f>
        <v/>
      </c>
      <c r="C171" s="27">
        <f>IF(OR(SUM($B28:$F28)=0,C28=""),"",C28/SUM($B28:$F28))</f>
        <v/>
      </c>
      <c r="D171" s="27">
        <f>IF(OR(SUM($B28:$F28)=0,D28=""),"",D28/SUM($B28:$F28))</f>
        <v/>
      </c>
      <c r="E171" s="27">
        <f>IF(OR(SUM($B28:$F28)=0,E28=""),"",E28/SUM($B28:$F28))</f>
        <v/>
      </c>
      <c r="F171" s="27">
        <f>IF(OR(SUM($B28:$F28)=0,F28=""),"",F28/SUM($B28:$F28))</f>
        <v/>
      </c>
      <c r="H171" s="27">
        <f>IF(COUNT(B28:F28)=5,B28/SUM($B28:$F28),"")</f>
        <v/>
      </c>
      <c r="I171" s="27">
        <f>IF(COUNT(B28:F28)=5,C28/SUM($B28:$F28),"")</f>
        <v/>
      </c>
      <c r="J171" s="27">
        <f>IF(COUNT(B28:F28)=5,D28/SUM($B28:$F28),"")</f>
        <v/>
      </c>
      <c r="K171" s="27">
        <f>IF(COUNT(B28:F28)=5,E28/SUM($B28:$F28),"")</f>
        <v/>
      </c>
      <c r="L171" s="27">
        <f>IF(COUNT(B28:F28)=5,F28/SUM($B28:$F28),"")</f>
        <v/>
      </c>
    </row>
    <row r="172">
      <c r="A172" t="inlineStr">
        <is>
          <t>Week5-Jan-2026</t>
        </is>
      </c>
      <c r="B172" s="27">
        <f>IF(OR(SUM($B29:$F29)=0,B29=""),"",B29/SUM($B29:$F29))</f>
        <v/>
      </c>
      <c r="C172" s="27">
        <f>IF(OR(SUM($B29:$F29)=0,C29=""),"",C29/SUM($B29:$F29))</f>
        <v/>
      </c>
      <c r="D172" s="27">
        <f>IF(OR(SUM($B29:$F29)=0,D29=""),"",D29/SUM($B29:$F29))</f>
        <v/>
      </c>
      <c r="E172" s="27">
        <f>IF(OR(SUM($B29:$F29)=0,E29=""),"",E29/SUM($B29:$F29))</f>
        <v/>
      </c>
      <c r="F172" s="27">
        <f>IF(OR(SUM($B29:$F29)=0,F29=""),"",F29/SUM($B29:$F29))</f>
        <v/>
      </c>
      <c r="H172" s="27">
        <f>IF(COUNT(B29:F29)=5,B29/SUM($B29:$F29),"")</f>
        <v/>
      </c>
      <c r="I172" s="27">
        <f>IF(COUNT(B29:F29)=5,C29/SUM($B29:$F29),"")</f>
        <v/>
      </c>
      <c r="J172" s="27">
        <f>IF(COUNT(B29:F29)=5,D29/SUM($B29:$F29),"")</f>
        <v/>
      </c>
      <c r="K172" s="27">
        <f>IF(COUNT(B29:F29)=5,E29/SUM($B29:$F29),"")</f>
        <v/>
      </c>
      <c r="L172" s="27">
        <f>IF(COUNT(B29:F29)=5,F29/SUM($B29:$F29),"")</f>
        <v/>
      </c>
    </row>
    <row r="173">
      <c r="A173" t="inlineStr">
        <is>
          <t>Week1-Feb-2026</t>
        </is>
      </c>
      <c r="B173" s="27">
        <f>IF(OR(SUM($B30:$F30)=0,B30=""),"",B30/SUM($B30:$F30))</f>
        <v/>
      </c>
      <c r="C173" s="27">
        <f>IF(OR(SUM($B30:$F30)=0,C30=""),"",C30/SUM($B30:$F30))</f>
        <v/>
      </c>
      <c r="D173" s="27">
        <f>IF(OR(SUM($B30:$F30)=0,D30=""),"",D30/SUM($B30:$F30))</f>
        <v/>
      </c>
      <c r="E173" s="27">
        <f>IF(OR(SUM($B30:$F30)=0,E30=""),"",E30/SUM($B30:$F30))</f>
        <v/>
      </c>
      <c r="F173" s="27">
        <f>IF(OR(SUM($B30:$F30)=0,F30=""),"",F30/SUM($B30:$F30))</f>
        <v/>
      </c>
      <c r="H173" s="27" t="n"/>
      <c r="I173" s="27" t="n"/>
      <c r="J173" s="27" t="n"/>
      <c r="K173" s="27" t="n"/>
      <c r="L173" s="27" t="n"/>
    </row>
    <row r="174">
      <c r="A174" t="inlineStr">
        <is>
          <t>Week2-Feb-2026</t>
        </is>
      </c>
      <c r="B174" s="27">
        <f>IF(OR(SUM($B31:$F31)=0,B31=""),"",B31/SUM($B31:$F31))</f>
        <v/>
      </c>
      <c r="C174" s="27">
        <f>IF(OR(SUM($B31:$F31)=0,C31=""),"",C31/SUM($B31:$F31))</f>
        <v/>
      </c>
      <c r="D174" s="27">
        <f>IF(OR(SUM($B31:$F31)=0,D31=""),"",D31/SUM($B31:$F31))</f>
        <v/>
      </c>
      <c r="E174" s="27">
        <f>IF(OR(SUM($B31:$F31)=0,E31=""),"",E31/SUM($B31:$F31))</f>
        <v/>
      </c>
      <c r="F174" s="27">
        <f>IF(OR(SUM($B31:$F31)=0,F31=""),"",F31/SUM($B31:$F31))</f>
        <v/>
      </c>
      <c r="H174" s="27">
        <f>IF(COUNT(B31:F31)=5,B31/SUM($B31:$F31),"")</f>
        <v/>
      </c>
      <c r="I174" s="27">
        <f>IF(COUNT(B31:F31)=5,C31/SUM($B31:$F31),"")</f>
        <v/>
      </c>
      <c r="J174" s="27">
        <f>IF(COUNT(B31:F31)=5,D31/SUM($B31:$F31),"")</f>
        <v/>
      </c>
      <c r="K174" s="27">
        <f>IF(COUNT(B31:F31)=5,E31/SUM($B31:$F31),"")</f>
        <v/>
      </c>
      <c r="L174" s="27">
        <f>IF(COUNT(B31:F31)=5,F31/SUM($B31:$F31),"")</f>
        <v/>
      </c>
    </row>
    <row r="175">
      <c r="A175" t="inlineStr">
        <is>
          <t>Week3-Feb-2026</t>
        </is>
      </c>
      <c r="B175" s="27">
        <f>IF(OR(SUM($B32:$F32)=0,B32=""),"",B32/SUM($B32:$F32))</f>
        <v/>
      </c>
      <c r="C175" s="27">
        <f>IF(OR(SUM($B32:$F32)=0,C32=""),"",C32/SUM($B32:$F32))</f>
        <v/>
      </c>
      <c r="D175" s="27">
        <f>IF(OR(SUM($B32:$F32)=0,D32=""),"",D32/SUM($B32:$F32))</f>
        <v/>
      </c>
      <c r="E175" s="27">
        <f>IF(OR(SUM($B32:$F32)=0,E32=""),"",E32/SUM($B32:$F32))</f>
        <v/>
      </c>
      <c r="F175" s="27">
        <f>IF(OR(SUM($B32:$F32)=0,F32=""),"",F32/SUM($B32:$F32))</f>
        <v/>
      </c>
      <c r="H175" s="27">
        <f>IF(COUNT(B32:F32)=5,B32/SUM($B32:$F32),"")</f>
        <v/>
      </c>
      <c r="I175" s="27">
        <f>IF(COUNT(B32:F32)=5,C32/SUM($B32:$F32),"")</f>
        <v/>
      </c>
      <c r="J175" s="27">
        <f>IF(COUNT(B32:F32)=5,D32/SUM($B32:$F32),"")</f>
        <v/>
      </c>
      <c r="K175" s="27">
        <f>IF(COUNT(B32:F32)=5,E32/SUM($B32:$F32),"")</f>
        <v/>
      </c>
      <c r="L175" s="27">
        <f>IF(COUNT(B32:F32)=5,F32/SUM($B32:$F32),"")</f>
        <v/>
      </c>
    </row>
    <row r="176">
      <c r="A176" t="inlineStr">
        <is>
          <t>Week4-Feb-2026</t>
        </is>
      </c>
      <c r="B176" s="27">
        <f>IF(OR(SUM($B33:$F33)=0,B33=""),"",B33/SUM($B33:$F33))</f>
        <v/>
      </c>
      <c r="C176" s="27">
        <f>IF(OR(SUM($B33:$F33)=0,C33=""),"",C33/SUM($B33:$F33))</f>
        <v/>
      </c>
      <c r="D176" s="27">
        <f>IF(OR(SUM($B33:$F33)=0,D33=""),"",D33/SUM($B33:$F33))</f>
        <v/>
      </c>
      <c r="E176" s="27">
        <f>IF(OR(SUM($B33:$F33)=0,E33=""),"",E33/SUM($B33:$F33))</f>
        <v/>
      </c>
      <c r="F176" s="27">
        <f>IF(OR(SUM($B33:$F33)=0,F33=""),"",F33/SUM($B33:$F33))</f>
        <v/>
      </c>
      <c r="H176" s="27">
        <f>IF(COUNT(B33:F33)=5,B33/SUM($B33:$F33),"")</f>
        <v/>
      </c>
      <c r="I176" s="27">
        <f>IF(COUNT(B33:F33)=5,C33/SUM($B33:$F33),"")</f>
        <v/>
      </c>
      <c r="J176" s="27">
        <f>IF(COUNT(B33:F33)=5,D33/SUM($B33:$F33),"")</f>
        <v/>
      </c>
      <c r="K176" s="27">
        <f>IF(COUNT(B33:F33)=5,E33/SUM($B33:$F33),"")</f>
        <v/>
      </c>
      <c r="L176" s="27">
        <f>IF(COUNT(B33:F33)=5,F33/SUM($B33:$F33),"")</f>
        <v/>
      </c>
    </row>
    <row r="177">
      <c r="A177" t="inlineStr">
        <is>
          <t>Week1-Mar-2026</t>
        </is>
      </c>
      <c r="B177" s="27">
        <f>IF(OR(SUM($B34:$F34)=0,B34=""),"",B34/SUM($B34:$F34))</f>
        <v/>
      </c>
      <c r="C177" s="27">
        <f>IF(OR(SUM($B34:$F34)=0,C34=""),"",C34/SUM($B34:$F34))</f>
        <v/>
      </c>
      <c r="D177" s="27">
        <f>IF(OR(SUM($B34:$F34)=0,D34=""),"",D34/SUM($B34:$F34))</f>
        <v/>
      </c>
      <c r="E177" s="27">
        <f>IF(OR(SUM($B34:$F34)=0,E34=""),"",E34/SUM($B34:$F34))</f>
        <v/>
      </c>
      <c r="F177" s="27">
        <f>IF(OR(SUM($B34:$F34)=0,F34=""),"",F34/SUM($B34:$F34))</f>
        <v/>
      </c>
      <c r="H177" s="27">
        <f>IF(COUNT(B34:F34)=5,B34/SUM($B34:$F34),"")</f>
        <v/>
      </c>
      <c r="I177" s="27">
        <f>IF(COUNT(B34:F34)=5,C34/SUM($B34:$F34),"")</f>
        <v/>
      </c>
      <c r="J177" s="27">
        <f>IF(COUNT(B34:F34)=5,D34/SUM($B34:$F34),"")</f>
        <v/>
      </c>
      <c r="K177" s="27">
        <f>IF(COUNT(B34:F34)=5,E34/SUM($B34:$F34),"")</f>
        <v/>
      </c>
      <c r="L177" s="27">
        <f>IF(COUNT(B34:F34)=5,F34/SUM($B34:$F34),"")</f>
        <v/>
      </c>
    </row>
    <row r="178">
      <c r="A178" t="inlineStr">
        <is>
          <t>Week2-Mar-2026</t>
        </is>
      </c>
      <c r="B178" s="27">
        <f>IF(OR(SUM($B35:$F35)=0,B35=""),"",B35/SUM($B35:$F35))</f>
        <v/>
      </c>
      <c r="C178" s="27">
        <f>IF(OR(SUM($B35:$F35)=0,C35=""),"",C35/SUM($B35:$F35))</f>
        <v/>
      </c>
      <c r="D178" s="27">
        <f>IF(OR(SUM($B35:$F35)=0,D35=""),"",D35/SUM($B35:$F35))</f>
        <v/>
      </c>
      <c r="E178" s="27">
        <f>IF(OR(SUM($B35:$F35)=0,E35=""),"",E35/SUM($B35:$F35))</f>
        <v/>
      </c>
      <c r="F178" s="27">
        <f>IF(OR(SUM($B35:$F35)=0,F35=""),"",F35/SUM($B35:$F35))</f>
        <v/>
      </c>
      <c r="H178" s="27">
        <f>IF(COUNT(B35:F35)=5,B35/SUM($B35:$F35),"")</f>
        <v/>
      </c>
      <c r="I178" s="27">
        <f>IF(COUNT(B35:F35)=5,C35/SUM($B35:$F35),"")</f>
        <v/>
      </c>
      <c r="J178" s="27">
        <f>IF(COUNT(B35:F35)=5,D35/SUM($B35:$F35),"")</f>
        <v/>
      </c>
      <c r="K178" s="27">
        <f>IF(COUNT(B35:F35)=5,E35/SUM($B35:$F35),"")</f>
        <v/>
      </c>
      <c r="L178" s="27">
        <f>IF(COUNT(B35:F35)=5,F35/SUM($B35:$F35),"")</f>
        <v/>
      </c>
    </row>
    <row r="179">
      <c r="A179" t="inlineStr">
        <is>
          <t>Week3-Mar-2026</t>
        </is>
      </c>
      <c r="B179" s="27">
        <f>IF(OR(SUM($B36:$F36)=0,B36=""),"",B36/SUM($B36:$F36))</f>
        <v/>
      </c>
      <c r="C179" s="27">
        <f>IF(OR(SUM($B36:$F36)=0,C36=""),"",C36/SUM($B36:$F36))</f>
        <v/>
      </c>
      <c r="D179" s="27">
        <f>IF(OR(SUM($B36:$F36)=0,D36=""),"",D36/SUM($B36:$F36))</f>
        <v/>
      </c>
      <c r="E179" s="27">
        <f>IF(OR(SUM($B36:$F36)=0,E36=""),"",E36/SUM($B36:$F36))</f>
        <v/>
      </c>
      <c r="F179" s="27">
        <f>IF(OR(SUM($B36:$F36)=0,F36=""),"",F36/SUM($B36:$F36))</f>
        <v/>
      </c>
      <c r="H179" s="27">
        <f>IF(COUNT(B36:F36)=5,B36/SUM($B36:$F36),"")</f>
        <v/>
      </c>
      <c r="I179" s="27">
        <f>IF(COUNT(B36:F36)=5,C36/SUM($B36:$F36),"")</f>
        <v/>
      </c>
      <c r="J179" s="27">
        <f>IF(COUNT(B36:F36)=5,D36/SUM($B36:$F36),"")</f>
        <v/>
      </c>
      <c r="K179" s="27">
        <f>IF(COUNT(B36:F36)=5,E36/SUM($B36:$F36),"")</f>
        <v/>
      </c>
      <c r="L179" s="27">
        <f>IF(COUNT(B36:F36)=5,F36/SUM($B36:$F36),"")</f>
        <v/>
      </c>
    </row>
    <row r="180">
      <c r="A180" t="inlineStr">
        <is>
          <t>Week4-Mar-2026</t>
        </is>
      </c>
      <c r="B180" s="27">
        <f>IF(OR(SUM($B37:$F37)=0,B37=""),"",B37/SUM($B37:$F37))</f>
        <v/>
      </c>
      <c r="C180" s="27">
        <f>IF(OR(SUM($B37:$F37)=0,C37=""),"",C37/SUM($B37:$F37))</f>
        <v/>
      </c>
      <c r="D180" s="27">
        <f>IF(OR(SUM($B37:$F37)=0,D37=""),"",D37/SUM($B37:$F37))</f>
        <v/>
      </c>
      <c r="E180" s="27">
        <f>IF(OR(SUM($B37:$F37)=0,E37=""),"",E37/SUM($B37:$F37))</f>
        <v/>
      </c>
      <c r="F180" s="27">
        <f>IF(OR(SUM($B37:$F37)=0,F37=""),"",F37/SUM($B37:$F37))</f>
        <v/>
      </c>
      <c r="H180" s="27">
        <f>IF(COUNT(B37:F37)=5,B37/SUM($B37:$F37),"")</f>
        <v/>
      </c>
      <c r="I180" s="27">
        <f>IF(COUNT(B37:F37)=5,C37/SUM($B37:$F37),"")</f>
        <v/>
      </c>
      <c r="J180" s="27">
        <f>IF(COUNT(B37:F37)=5,D37/SUM($B37:$F37),"")</f>
        <v/>
      </c>
      <c r="K180" s="27">
        <f>IF(COUNT(B37:F37)=5,E37/SUM($B37:$F37),"")</f>
        <v/>
      </c>
      <c r="L180" s="27">
        <f>IF(COUNT(B37:F37)=5,F37/SUM($B37:$F37),"")</f>
        <v/>
      </c>
    </row>
    <row r="181">
      <c r="A181" t="inlineStr">
        <is>
          <t>Week5-Mar-2026</t>
        </is>
      </c>
      <c r="B181" s="27">
        <f>IF(OR(SUM($B38:$F38)=0,B38=""),"",B38/SUM($B38:$F38))</f>
        <v/>
      </c>
      <c r="C181" s="27">
        <f>IF(OR(SUM($B38:$F38)=0,C38=""),"",C38/SUM($B38:$F38))</f>
        <v/>
      </c>
      <c r="D181" s="27">
        <f>IF(OR(SUM($B38:$F38)=0,D38=""),"",D38/SUM($B38:$F38))</f>
        <v/>
      </c>
      <c r="E181" s="27">
        <f>IF(OR(SUM($B38:$F38)=0,E38=""),"",E38/SUM($B38:$F38))</f>
        <v/>
      </c>
      <c r="F181" s="27">
        <f>IF(OR(SUM($B38:$F38)=0,F38=""),"",F38/SUM($B38:$F38))</f>
        <v/>
      </c>
      <c r="H181" s="27">
        <f>IF(COUNT(B38:F38)=5,B38/SUM($B38:$F38),"")</f>
        <v/>
      </c>
      <c r="I181" s="27">
        <f>IF(COUNT(B38:F38)=5,C38/SUM($B38:$F38),"")</f>
        <v/>
      </c>
      <c r="J181" s="27">
        <f>IF(COUNT(B38:F38)=5,D38/SUM($B38:$F38),"")</f>
        <v/>
      </c>
      <c r="K181" s="27">
        <f>IF(COUNT(B38:F38)=5,E38/SUM($B38:$F38),"")</f>
        <v/>
      </c>
      <c r="L181" s="27">
        <f>IF(COUNT(B38:F38)=5,F38/SUM($B38:$F38),"")</f>
        <v/>
      </c>
    </row>
    <row r="182">
      <c r="A182" t="inlineStr">
        <is>
          <t>Week1-Apr-2026</t>
        </is>
      </c>
      <c r="B182" s="27">
        <f>IF(OR(SUM($B39:$F39)=0,B39=""),"",B39/SUM($B39:$F39))</f>
        <v/>
      </c>
      <c r="C182" s="27">
        <f>IF(OR(SUM($B39:$F39)=0,C39=""),"",C39/SUM($B39:$F39))</f>
        <v/>
      </c>
      <c r="D182" s="27">
        <f>IF(OR(SUM($B39:$F39)=0,D39=""),"",D39/SUM($B39:$F39))</f>
        <v/>
      </c>
      <c r="E182" s="27">
        <f>IF(OR(SUM($B39:$F39)=0,E39=""),"",E39/SUM($B39:$F39))</f>
        <v/>
      </c>
      <c r="F182" s="27">
        <f>IF(OR(SUM($B39:$F39)=0,F39=""),"",F39/SUM($B39:$F39))</f>
        <v/>
      </c>
      <c r="H182" s="27">
        <f>IF(COUNT(B39:F39)=5,B39/SUM($B39:$F39),"")</f>
        <v/>
      </c>
      <c r="I182" s="27">
        <f>IF(COUNT(B39:F39)=5,C39/SUM($B39:$F39),"")</f>
        <v/>
      </c>
      <c r="J182" s="27">
        <f>IF(COUNT(B39:F39)=5,D39/SUM($B39:$F39),"")</f>
        <v/>
      </c>
      <c r="K182" s="27">
        <f>IF(COUNT(B39:F39)=5,E39/SUM($B39:$F39),"")</f>
        <v/>
      </c>
      <c r="L182" s="27">
        <f>IF(COUNT(B39:F39)=5,F39/SUM($B39:$F39),"")</f>
        <v/>
      </c>
    </row>
    <row r="183">
      <c r="A183" t="inlineStr">
        <is>
          <t>Week2-Apr-2026</t>
        </is>
      </c>
      <c r="B183" s="27">
        <f>IF(OR(SUM($B40:$F40)=0,B40=""),"",B40/SUM($B40:$F40))</f>
        <v/>
      </c>
      <c r="C183" s="27">
        <f>IF(OR(SUM($B40:$F40)=0,C40=""),"",C40/SUM($B40:$F40))</f>
        <v/>
      </c>
      <c r="D183" s="27">
        <f>IF(OR(SUM($B40:$F40)=0,D40=""),"",D40/SUM($B40:$F40))</f>
        <v/>
      </c>
      <c r="E183" s="27">
        <f>IF(OR(SUM($B40:$F40)=0,E40=""),"",E40/SUM($B40:$F40))</f>
        <v/>
      </c>
      <c r="F183" s="27">
        <f>IF(OR(SUM($B40:$F40)=0,F40=""),"",F40/SUM($B40:$F40))</f>
        <v/>
      </c>
      <c r="H183" s="27">
        <f>IF(COUNT(B40:F40)=5,B40/SUM($B40:$F40),"")</f>
        <v/>
      </c>
      <c r="I183" s="27">
        <f>IF(COUNT(B40:F40)=5,C40/SUM($B40:$F40),"")</f>
        <v/>
      </c>
      <c r="J183" s="27">
        <f>IF(COUNT(B40:F40)=5,D40/SUM($B40:$F40),"")</f>
        <v/>
      </c>
      <c r="K183" s="27">
        <f>IF(COUNT(B40:F40)=5,E40/SUM($B40:$F40),"")</f>
        <v/>
      </c>
      <c r="L183" s="27">
        <f>IF(COUNT(B40:F40)=5,F40/SUM($B40:$F40),"")</f>
        <v/>
      </c>
    </row>
    <row r="184">
      <c r="A184" t="inlineStr">
        <is>
          <t>Week3-Apr-2026</t>
        </is>
      </c>
      <c r="B184" s="27">
        <f>IF(OR(SUM($B41:$F41)=0,B41=""),"",B41/SUM($B41:$F41))</f>
        <v/>
      </c>
      <c r="C184" s="27">
        <f>IF(OR(SUM($B41:$F41)=0,C41=""),"",C41/SUM($B41:$F41))</f>
        <v/>
      </c>
      <c r="D184" s="27">
        <f>IF(OR(SUM($B41:$F41)=0,D41=""),"",D41/SUM($B41:$F41))</f>
        <v/>
      </c>
      <c r="E184" s="27">
        <f>IF(OR(SUM($B41:$F41)=0,E41=""),"",E41/SUM($B41:$F41))</f>
        <v/>
      </c>
      <c r="F184" s="27">
        <f>IF(OR(SUM($B41:$F41)=0,F41=""),"",F41/SUM($B41:$F41))</f>
        <v/>
      </c>
      <c r="H184" s="27">
        <f>IF(COUNT(B41:F41)=5,B41/SUM($B41:$F41),"")</f>
        <v/>
      </c>
      <c r="I184" s="27">
        <f>IF(COUNT(B41:F41)=5,C41/SUM($B41:$F41),"")</f>
        <v/>
      </c>
      <c r="J184" s="27">
        <f>IF(COUNT(B41:F41)=5,D41/SUM($B41:$F41),"")</f>
        <v/>
      </c>
      <c r="K184" s="27">
        <f>IF(COUNT(B41:F41)=5,E41/SUM($B41:$F41),"")</f>
        <v/>
      </c>
      <c r="L184" s="27">
        <f>IF(COUNT(B41:F41)=5,F41/SUM($B41:$F41),"")</f>
        <v/>
      </c>
    </row>
    <row r="185">
      <c r="A185" t="inlineStr">
        <is>
          <t>Week4-Apr-2026</t>
        </is>
      </c>
      <c r="B185" s="27">
        <f>IF(OR(SUM($B42:$F42)=0,B42=""),"",B42/SUM($B42:$F42))</f>
        <v/>
      </c>
      <c r="C185" s="27">
        <f>IF(OR(SUM($B42:$F42)=0,C42=""),"",C42/SUM($B42:$F42))</f>
        <v/>
      </c>
      <c r="D185" s="27">
        <f>IF(OR(SUM($B42:$F42)=0,D42=""),"",D42/SUM($B42:$F42))</f>
        <v/>
      </c>
      <c r="E185" s="27">
        <f>IF(OR(SUM($B42:$F42)=0,E42=""),"",E42/SUM($B42:$F42))</f>
        <v/>
      </c>
      <c r="F185" s="27">
        <f>IF(OR(SUM($B42:$F42)=0,F42=""),"",F42/SUM($B42:$F42))</f>
        <v/>
      </c>
      <c r="H185" s="27">
        <f>IF(COUNT(B42:F42)=5,B42/SUM($B42:$F42),"")</f>
        <v/>
      </c>
      <c r="I185" s="27">
        <f>IF(COUNT(B42:F42)=5,C42/SUM($B42:$F42),"")</f>
        <v/>
      </c>
      <c r="J185" s="27">
        <f>IF(COUNT(B42:F42)=5,D42/SUM($B42:$F42),"")</f>
        <v/>
      </c>
      <c r="K185" s="27">
        <f>IF(COUNT(B42:F42)=5,E42/SUM($B42:$F42),"")</f>
        <v/>
      </c>
      <c r="L185" s="27">
        <f>IF(COUNT(B42:F42)=5,F42/SUM($B42:$F42),"")</f>
        <v/>
      </c>
    </row>
    <row r="186">
      <c r="A186" t="inlineStr">
        <is>
          <t>Week5-Apr-2026</t>
        </is>
      </c>
      <c r="B186" s="27">
        <f>IF(OR(SUM($B43:$F43)=0,B43=""),"",B43/SUM($B43:$F43))</f>
        <v/>
      </c>
      <c r="C186" s="27">
        <f>IF(OR(SUM($B43:$F43)=0,C43=""),"",C43/SUM($B43:$F43))</f>
        <v/>
      </c>
      <c r="D186" s="27">
        <f>IF(OR(SUM($B43:$F43)=0,D43=""),"",D43/SUM($B43:$F43))</f>
        <v/>
      </c>
      <c r="E186" s="27">
        <f>IF(OR(SUM($B43:$F43)=0,E43=""),"",E43/SUM($B43:$F43))</f>
        <v/>
      </c>
      <c r="F186" s="27">
        <f>IF(OR(SUM($B43:$F43)=0,F43=""),"",F43/SUM($B43:$F43))</f>
        <v/>
      </c>
      <c r="H186" s="27">
        <f>IF(COUNT(B43:F43)=5,B43/SUM($B43:$F43),"")</f>
        <v/>
      </c>
      <c r="I186" s="27">
        <f>IF(COUNT(B43:F43)=5,C43/SUM($B43:$F43),"")</f>
        <v/>
      </c>
      <c r="J186" s="27">
        <f>IF(COUNT(B43:F43)=5,D43/SUM($B43:$F43),"")</f>
        <v/>
      </c>
      <c r="K186" s="27">
        <f>IF(COUNT(B43:F43)=5,E43/SUM($B43:$F43),"")</f>
        <v/>
      </c>
      <c r="L186" s="27">
        <f>IF(COUNT(B43:F43)=5,F43/SUM($B43:$F43),"")</f>
        <v/>
      </c>
    </row>
    <row r="187">
      <c r="A187" t="inlineStr">
        <is>
          <t>Week1-May-2026</t>
        </is>
      </c>
      <c r="B187" s="27">
        <f>IF(OR(SUM($B44:$F44)=0,B44=""),"",B44/SUM($B44:$F44))</f>
        <v/>
      </c>
      <c r="C187" s="27">
        <f>IF(OR(SUM($B44:$F44)=0,C44=""),"",C44/SUM($B44:$F44))</f>
        <v/>
      </c>
      <c r="D187" s="27">
        <f>IF(OR(SUM($B44:$F44)=0,D44=""),"",D44/SUM($B44:$F44))</f>
        <v/>
      </c>
      <c r="E187" s="27">
        <f>IF(OR(SUM($B44:$F44)=0,E44=""),"",E44/SUM($B44:$F44))</f>
        <v/>
      </c>
      <c r="F187" s="27">
        <f>IF(OR(SUM($B44:$F44)=0,F44=""),"",F44/SUM($B44:$F44))</f>
        <v/>
      </c>
      <c r="H187" s="27">
        <f>IF(COUNT(B44:F44)=5,B44/SUM($B44:$F44),"")</f>
        <v/>
      </c>
      <c r="I187" s="27">
        <f>IF(COUNT(B44:F44)=5,C44/SUM($B44:$F44),"")</f>
        <v/>
      </c>
      <c r="J187" s="27">
        <f>IF(COUNT(B44:F44)=5,D44/SUM($B44:$F44),"")</f>
        <v/>
      </c>
      <c r="K187" s="27">
        <f>IF(COUNT(B44:F44)=5,E44/SUM($B44:$F44),"")</f>
        <v/>
      </c>
      <c r="L187" s="27">
        <f>IF(COUNT(B44:F44)=5,F44/SUM($B44:$F44),"")</f>
        <v/>
      </c>
    </row>
    <row r="188">
      <c r="A188" t="inlineStr">
        <is>
          <t>Week2-May-2026</t>
        </is>
      </c>
      <c r="B188" s="27">
        <f>IF(OR(SUM($B45:$F45)=0,B45=""),"",B45/SUM($B45:$F45))</f>
        <v/>
      </c>
      <c r="C188" s="27">
        <f>IF(OR(SUM($B45:$F45)=0,C45=""),"",C45/SUM($B45:$F45))</f>
        <v/>
      </c>
      <c r="D188" s="27">
        <f>IF(OR(SUM($B45:$F45)=0,D45=""),"",D45/SUM($B45:$F45))</f>
        <v/>
      </c>
      <c r="E188" s="27">
        <f>IF(OR(SUM($B45:$F45)=0,E45=""),"",E45/SUM($B45:$F45))</f>
        <v/>
      </c>
      <c r="F188" s="27">
        <f>IF(OR(SUM($B45:$F45)=0,F45=""),"",F45/SUM($B45:$F45))</f>
        <v/>
      </c>
      <c r="H188" s="27">
        <f>IF(COUNT(B45:F45)=5,B45/SUM($B45:$F45),"")</f>
        <v/>
      </c>
      <c r="I188" s="27">
        <f>IF(COUNT(B45:F45)=5,C45/SUM($B45:$F45),"")</f>
        <v/>
      </c>
      <c r="J188" s="27">
        <f>IF(COUNT(B45:F45)=5,D45/SUM($B45:$F45),"")</f>
        <v/>
      </c>
      <c r="K188" s="27">
        <f>IF(COUNT(B45:F45)=5,E45/SUM($B45:$F45),"")</f>
        <v/>
      </c>
      <c r="L188" s="27">
        <f>IF(COUNT(B45:F45)=5,F45/SUM($B45:$F45),"")</f>
        <v/>
      </c>
    </row>
    <row r="189">
      <c r="A189" t="inlineStr">
        <is>
          <t>Week3-May-2026</t>
        </is>
      </c>
      <c r="B189" s="27">
        <f>IF(OR(SUM($B46:$F46)=0,B46=""),"",B46/SUM($B46:$F46))</f>
        <v/>
      </c>
      <c r="C189" s="27">
        <f>IF(OR(SUM($B46:$F46)=0,C46=""),"",C46/SUM($B46:$F46))</f>
        <v/>
      </c>
      <c r="D189" s="27">
        <f>IF(OR(SUM($B46:$F46)=0,D46=""),"",D46/SUM($B46:$F46))</f>
        <v/>
      </c>
      <c r="E189" s="27">
        <f>IF(OR(SUM($B46:$F46)=0,E46=""),"",E46/SUM($B46:$F46))</f>
        <v/>
      </c>
      <c r="F189" s="27">
        <f>IF(OR(SUM($B46:$F46)=0,F46=""),"",F46/SUM($B46:$F46))</f>
        <v/>
      </c>
      <c r="H189" s="27">
        <f>IF(COUNT(B46:F46)=5,B46/SUM($B46:$F46),"")</f>
        <v/>
      </c>
      <c r="I189" s="27">
        <f>IF(COUNT(B46:F46)=5,C46/SUM($B46:$F46),"")</f>
        <v/>
      </c>
      <c r="J189" s="27">
        <f>IF(COUNT(B46:F46)=5,D46/SUM($B46:$F46),"")</f>
        <v/>
      </c>
      <c r="K189" s="27">
        <f>IF(COUNT(B46:F46)=5,E46/SUM($B46:$F46),"")</f>
        <v/>
      </c>
      <c r="L189" s="27">
        <f>IF(COUNT(B46:F46)=5,F46/SUM($B46:$F46),"")</f>
        <v/>
      </c>
    </row>
    <row r="190">
      <c r="A190" t="inlineStr">
        <is>
          <t>Week4-May-2026</t>
        </is>
      </c>
      <c r="B190" s="27">
        <f>IF(OR(SUM($B47:$F47)=0,B47=""),"",B47/SUM($B47:$F47))</f>
        <v/>
      </c>
      <c r="C190" s="27">
        <f>IF(OR(SUM($B47:$F47)=0,C47=""),"",C47/SUM($B47:$F47))</f>
        <v/>
      </c>
      <c r="D190" s="27">
        <f>IF(OR(SUM($B47:$F47)=0,D47=""),"",D47/SUM($B47:$F47))</f>
        <v/>
      </c>
      <c r="E190" s="27">
        <f>IF(OR(SUM($B47:$F47)=0,E47=""),"",E47/SUM($B47:$F47))</f>
        <v/>
      </c>
      <c r="F190" s="27">
        <f>IF(OR(SUM($B47:$F47)=0,F47=""),"",F47/SUM($B47:$F47))</f>
        <v/>
      </c>
      <c r="H190" s="27">
        <f>IF(COUNT(B47:F47)=5,B47/SUM($B47:$F47),"")</f>
        <v/>
      </c>
      <c r="I190" s="27">
        <f>IF(COUNT(B47:F47)=5,C47/SUM($B47:$F47),"")</f>
        <v/>
      </c>
      <c r="J190" s="27">
        <f>IF(COUNT(B47:F47)=5,D47/SUM($B47:$F47),"")</f>
        <v/>
      </c>
      <c r="K190" s="27">
        <f>IF(COUNT(B47:F47)=5,E47/SUM($B47:$F47),"")</f>
        <v/>
      </c>
      <c r="L190" s="27">
        <f>IF(COUNT(B47:F47)=5,F47/SUM($B47:$F47),"")</f>
        <v/>
      </c>
    </row>
    <row r="191">
      <c r="A191" t="inlineStr">
        <is>
          <t>Week5-May-2026</t>
        </is>
      </c>
      <c r="B191" s="27">
        <f>IF(OR(SUM($B48:$F48)=0,B48=""),"",B48/SUM($B48:$F48))</f>
        <v/>
      </c>
      <c r="C191" s="27">
        <f>IF(OR(SUM($B48:$F48)=0,C48=""),"",C48/SUM($B48:$F48))</f>
        <v/>
      </c>
      <c r="D191" s="27">
        <f>IF(OR(SUM($B48:$F48)=0,D48=""),"",D48/SUM($B48:$F48))</f>
        <v/>
      </c>
      <c r="E191" s="27">
        <f>IF(OR(SUM($B48:$F48)=0,E48=""),"",E48/SUM($B48:$F48))</f>
        <v/>
      </c>
      <c r="F191" s="27">
        <f>IF(OR(SUM($B48:$F48)=0,F48=""),"",F48/SUM($B48:$F48))</f>
        <v/>
      </c>
      <c r="H191" s="27">
        <f>IF(COUNT(B48:F48)=5,B48/SUM($B48:$F48),"")</f>
        <v/>
      </c>
      <c r="I191" s="27">
        <f>IF(COUNT(B48:F48)=5,C48/SUM($B48:$F48),"")</f>
        <v/>
      </c>
      <c r="J191" s="27">
        <f>IF(COUNT(B48:F48)=5,D48/SUM($B48:$F48),"")</f>
        <v/>
      </c>
      <c r="K191" s="27">
        <f>IF(COUNT(B48:F48)=5,E48/SUM($B48:$F48),"")</f>
        <v/>
      </c>
      <c r="L191" s="27">
        <f>IF(COUNT(B48:F48)=5,F48/SUM($B48:$F48),"")</f>
        <v/>
      </c>
    </row>
    <row r="192">
      <c r="A192" t="inlineStr">
        <is>
          <t>Week1-Jun-2026</t>
        </is>
      </c>
      <c r="B192" s="27">
        <f>IF(OR(SUM($B49:$F49)=0,B49=""),"",B49/SUM($B49:$F49))</f>
        <v/>
      </c>
      <c r="C192" s="27">
        <f>IF(OR(SUM($B49:$F49)=0,C49=""),"",C49/SUM($B49:$F49))</f>
        <v/>
      </c>
      <c r="D192" s="27">
        <f>IF(OR(SUM($B49:$F49)=0,D49=""),"",D49/SUM($B49:$F49))</f>
        <v/>
      </c>
      <c r="E192" s="27">
        <f>IF(OR(SUM($B49:$F49)=0,E49=""),"",E49/SUM($B49:$F49))</f>
        <v/>
      </c>
      <c r="F192" s="27">
        <f>IF(OR(SUM($B49:$F49)=0,F49=""),"",F49/SUM($B49:$F49))</f>
        <v/>
      </c>
      <c r="H192" s="27">
        <f>IF(COUNT(B49:F49)=5,B49/SUM($B49:$F49),"")</f>
        <v/>
      </c>
      <c r="I192" s="27">
        <f>IF(COUNT(B49:F49)=5,C49/SUM($B49:$F49),"")</f>
        <v/>
      </c>
      <c r="J192" s="27">
        <f>IF(COUNT(B49:F49)=5,D49/SUM($B49:$F49),"")</f>
        <v/>
      </c>
      <c r="K192" s="27">
        <f>IF(COUNT(B49:F49)=5,E49/SUM($B49:$F49),"")</f>
        <v/>
      </c>
      <c r="L192" s="27">
        <f>IF(COUNT(B49:F49)=5,F49/SUM($B49:$F49),"")</f>
        <v/>
      </c>
    </row>
    <row r="193">
      <c r="A193" t="inlineStr">
        <is>
          <t>Week2-Jun-2026</t>
        </is>
      </c>
      <c r="B193" s="27">
        <f>IF(OR(SUM($B50:$F50)=0,B50=""),"",B50/SUM($B50:$F50))</f>
        <v/>
      </c>
      <c r="C193" s="27">
        <f>IF(OR(SUM($B50:$F50)=0,C50=""),"",C50/SUM($B50:$F50))</f>
        <v/>
      </c>
      <c r="D193" s="27">
        <f>IF(OR(SUM($B50:$F50)=0,D50=""),"",D50/SUM($B50:$F50))</f>
        <v/>
      </c>
      <c r="E193" s="27">
        <f>IF(OR(SUM($B50:$F50)=0,E50=""),"",E50/SUM($B50:$F50))</f>
        <v/>
      </c>
      <c r="F193" s="27">
        <f>IF(OR(SUM($B50:$F50)=0,F50=""),"",F50/SUM($B50:$F50))</f>
        <v/>
      </c>
      <c r="H193" s="27">
        <f>IF(COUNT(B50:F50)=5,B50/SUM($B50:$F50),"")</f>
        <v/>
      </c>
      <c r="I193" s="27">
        <f>IF(COUNT(B50:F50)=5,C50/SUM($B50:$F50),"")</f>
        <v/>
      </c>
      <c r="J193" s="27">
        <f>IF(COUNT(B50:F50)=5,D50/SUM($B50:$F50),"")</f>
        <v/>
      </c>
      <c r="K193" s="27">
        <f>IF(COUNT(B50:F50)=5,E50/SUM($B50:$F50),"")</f>
        <v/>
      </c>
      <c r="L193" s="27">
        <f>IF(COUNT(B50:F50)=5,F50/SUM($B50:$F50),"")</f>
        <v/>
      </c>
    </row>
    <row r="194">
      <c r="A194" t="inlineStr">
        <is>
          <t>Week3-Jun-2026</t>
        </is>
      </c>
      <c r="B194" s="27">
        <f>IF(OR(SUM($B51:$F51)=0,B51=""),"",B51/SUM($B51:$F51))</f>
        <v/>
      </c>
      <c r="C194" s="27">
        <f>IF(OR(SUM($B51:$F51)=0,C51=""),"",C51/SUM($B51:$F51))</f>
        <v/>
      </c>
      <c r="D194" s="27">
        <f>IF(OR(SUM($B51:$F51)=0,D51=""),"",D51/SUM($B51:$F51))</f>
        <v/>
      </c>
      <c r="E194" s="27">
        <f>IF(OR(SUM($B51:$F51)=0,E51=""),"",E51/SUM($B51:$F51))</f>
        <v/>
      </c>
      <c r="F194" s="27">
        <f>IF(OR(SUM($B51:$F51)=0,F51=""),"",F51/SUM($B51:$F51))</f>
        <v/>
      </c>
      <c r="H194" s="27">
        <f>IF(COUNT(B51:F51)=5,B51/SUM($B51:$F51),"")</f>
        <v/>
      </c>
      <c r="I194" s="27">
        <f>IF(COUNT(B51:F51)=5,C51/SUM($B51:$F51),"")</f>
        <v/>
      </c>
      <c r="J194" s="27">
        <f>IF(COUNT(B51:F51)=5,D51/SUM($B51:$F51),"")</f>
        <v/>
      </c>
      <c r="K194" s="27">
        <f>IF(COUNT(B51:F51)=5,E51/SUM($B51:$F51),"")</f>
        <v/>
      </c>
      <c r="L194" s="27">
        <f>IF(COUNT(B51:F51)=5,F51/SUM($B51:$F51),"")</f>
        <v/>
      </c>
    </row>
    <row r="195">
      <c r="A195" t="inlineStr">
        <is>
          <t>Week4-Jun-2026</t>
        </is>
      </c>
      <c r="B195" s="27">
        <f>IF(OR(SUM($B52:$F52)=0,B52=""),"",B52/SUM($B52:$F52))</f>
        <v/>
      </c>
      <c r="C195" s="27">
        <f>IF(OR(SUM($B52:$F52)=0,C52=""),"",C52/SUM($B52:$F52))</f>
        <v/>
      </c>
      <c r="D195" s="27">
        <f>IF(OR(SUM($B52:$F52)=0,D52=""),"",D52/SUM($B52:$F52))</f>
        <v/>
      </c>
      <c r="E195" s="27">
        <f>IF(OR(SUM($B52:$F52)=0,E52=""),"",E52/SUM($B52:$F52))</f>
        <v/>
      </c>
      <c r="F195" s="27">
        <f>IF(OR(SUM($B52:$F52)=0,F52=""),"",F52/SUM($B52:$F52))</f>
        <v/>
      </c>
      <c r="H195" s="27">
        <f>IF(COUNT(B52:F52)=5,B52/SUM($B52:$F52),"")</f>
        <v/>
      </c>
      <c r="I195" s="27">
        <f>IF(COUNT(B52:F52)=5,C52/SUM($B52:$F52),"")</f>
        <v/>
      </c>
      <c r="J195" s="27">
        <f>IF(COUNT(B52:F52)=5,D52/SUM($B52:$F52),"")</f>
        <v/>
      </c>
      <c r="K195" s="27">
        <f>IF(COUNT(B52:F52)=5,E52/SUM($B52:$F52),"")</f>
        <v/>
      </c>
      <c r="L195" s="27">
        <f>IF(COUNT(B52:F52)=5,F52/SUM($B52:$F52),"")</f>
        <v/>
      </c>
    </row>
    <row r="196">
      <c r="A196" t="inlineStr">
        <is>
          <t>Week5-Jun-2026</t>
        </is>
      </c>
      <c r="B196" s="27">
        <f>IF(OR(SUM($B53:$F53)=0,B53=""),"",B53/SUM($B53:$F53))</f>
        <v/>
      </c>
      <c r="C196" s="27">
        <f>IF(OR(SUM($B53:$F53)=0,C53=""),"",C53/SUM($B53:$F53))</f>
        <v/>
      </c>
      <c r="D196" s="27">
        <f>IF(OR(SUM($B53:$F53)=0,D53=""),"",D53/SUM($B53:$F53))</f>
        <v/>
      </c>
      <c r="E196" s="27">
        <f>IF(OR(SUM($B53:$F53)=0,E53=""),"",E53/SUM($B53:$F53))</f>
        <v/>
      </c>
      <c r="F196" s="27">
        <f>IF(OR(SUM($B53:$F53)=0,F53=""),"",F53/SUM($B53:$F53))</f>
        <v/>
      </c>
      <c r="H196" s="27">
        <f>IF(COUNT(B53:F53)=5,B53/SUM($B53:$F53),"")</f>
        <v/>
      </c>
      <c r="I196" s="27">
        <f>IF(COUNT(B53:F53)=5,C53/SUM($B53:$F53),"")</f>
        <v/>
      </c>
      <c r="J196" s="27">
        <f>IF(COUNT(B53:F53)=5,D53/SUM($B53:$F53),"")</f>
        <v/>
      </c>
      <c r="K196" s="27">
        <f>IF(COUNT(B53:F53)=5,E53/SUM($B53:$F53),"")</f>
        <v/>
      </c>
      <c r="L196" s="27">
        <f>IF(COUNT(B53:F53)=5,F53/SUM($B53:$F53),"")</f>
        <v/>
      </c>
    </row>
    <row r="197">
      <c r="A197" t="inlineStr">
        <is>
          <t>Week1-Jul-2026</t>
        </is>
      </c>
      <c r="B197" s="27">
        <f>IF(OR(SUM($B54:$F54)=0,B54=""),"",B54/SUM($B54:$F54))</f>
        <v/>
      </c>
      <c r="C197" s="27">
        <f>IF(OR(SUM($B54:$F54)=0,C54=""),"",C54/SUM($B54:$F54))</f>
        <v/>
      </c>
      <c r="D197" s="27">
        <f>IF(OR(SUM($B54:$F54)=0,D54=""),"",D54/SUM($B54:$F54))</f>
        <v/>
      </c>
      <c r="E197" s="27">
        <f>IF(OR(SUM($B54:$F54)=0,E54=""),"",E54/SUM($B54:$F54))</f>
        <v/>
      </c>
      <c r="F197" s="27">
        <f>IF(OR(SUM($B54:$F54)=0,F54=""),"",F54/SUM($B54:$F54))</f>
        <v/>
      </c>
      <c r="H197" s="27">
        <f>IF(COUNT(B54:F54)=5,B54/SUM($B54:$F54),"")</f>
        <v/>
      </c>
      <c r="I197" s="27">
        <f>IF(COUNT(B54:F54)=5,C54/SUM($B54:$F54),"")</f>
        <v/>
      </c>
      <c r="J197" s="27">
        <f>IF(COUNT(B54:F54)=5,D54/SUM($B54:$F54),"")</f>
        <v/>
      </c>
      <c r="K197" s="27">
        <f>IF(COUNT(B54:F54)=5,E54/SUM($B54:$F54),"")</f>
        <v/>
      </c>
      <c r="L197" s="27">
        <f>IF(COUNT(B54:F54)=5,F54/SUM($B54:$F54),"")</f>
        <v/>
      </c>
    </row>
    <row r="198">
      <c r="A198" t="inlineStr">
        <is>
          <t>Week2-Jul-2026</t>
        </is>
      </c>
      <c r="B198" s="27">
        <f>IF(OR(SUM($B55:$F55)=0,B55=""),"",B55/SUM($B55:$F55))</f>
        <v/>
      </c>
      <c r="C198" s="27">
        <f>IF(OR(SUM($B55:$F55)=0,C55=""),"",C55/SUM($B55:$F55))</f>
        <v/>
      </c>
      <c r="D198" s="27">
        <f>IF(OR(SUM($B55:$F55)=0,D55=""),"",D55/SUM($B55:$F55))</f>
        <v/>
      </c>
      <c r="E198" s="27">
        <f>IF(OR(SUM($B55:$F55)=0,E55=""),"",E55/SUM($B55:$F55))</f>
        <v/>
      </c>
      <c r="F198" s="27">
        <f>IF(OR(SUM($B55:$F55)=0,F55=""),"",F55/SUM($B55:$F55))</f>
        <v/>
      </c>
      <c r="H198" s="27">
        <f>IF(COUNT(B55:F55)=5,B55/SUM($B55:$F55),"")</f>
        <v/>
      </c>
      <c r="I198" s="27">
        <f>IF(COUNT(B55:F55)=5,C55/SUM($B55:$F55),"")</f>
        <v/>
      </c>
      <c r="J198" s="27">
        <f>IF(COUNT(B55:F55)=5,D55/SUM($B55:$F55),"")</f>
        <v/>
      </c>
      <c r="K198" s="27">
        <f>IF(COUNT(B55:F55)=5,E55/SUM($B55:$F55),"")</f>
        <v/>
      </c>
      <c r="L198" s="27">
        <f>IF(COUNT(B55:F55)=5,F55/SUM($B55:$F55),"")</f>
        <v/>
      </c>
    </row>
    <row r="199">
      <c r="A199" t="inlineStr">
        <is>
          <t>Week3-Jul-2026</t>
        </is>
      </c>
      <c r="B199" s="27">
        <f>IF(OR(SUM($B56:$F56)=0,B56=""),"",B56/SUM($B56:$F56))</f>
        <v/>
      </c>
      <c r="C199" s="27">
        <f>IF(OR(SUM($B56:$F56)=0,C56=""),"",C56/SUM($B56:$F56))</f>
        <v/>
      </c>
      <c r="D199" s="27">
        <f>IF(OR(SUM($B56:$F56)=0,D56=""),"",D56/SUM($B56:$F56))</f>
        <v/>
      </c>
      <c r="E199" s="27">
        <f>IF(OR(SUM($B56:$F56)=0,E56=""),"",E56/SUM($B56:$F56))</f>
        <v/>
      </c>
      <c r="F199" s="27">
        <f>IF(OR(SUM($B56:$F56)=0,F56=""),"",F56/SUM($B56:$F56))</f>
        <v/>
      </c>
      <c r="H199" s="27">
        <f>IF(COUNT(B56:F56)=5,B56/SUM($B56:$F56),"")</f>
        <v/>
      </c>
      <c r="I199" s="27">
        <f>IF(COUNT(B56:F56)=5,C56/SUM($B56:$F56),"")</f>
        <v/>
      </c>
      <c r="J199" s="27">
        <f>IF(COUNT(B56:F56)=5,D56/SUM($B56:$F56),"")</f>
        <v/>
      </c>
      <c r="K199" s="27">
        <f>IF(COUNT(B56:F56)=5,E56/SUM($B56:$F56),"")</f>
        <v/>
      </c>
      <c r="L199" s="27">
        <f>IF(COUNT(B56:F56)=5,F56/SUM($B56:$F56),"")</f>
        <v/>
      </c>
    </row>
    <row r="200">
      <c r="A200" t="inlineStr">
        <is>
          <t>Week4-Jul-2026</t>
        </is>
      </c>
      <c r="B200" s="27">
        <f>IF(OR(SUM($B57:$F57)=0,B57=""),"",B57/SUM($B57:$F57))</f>
        <v/>
      </c>
      <c r="C200" s="27">
        <f>IF(OR(SUM($B57:$F57)=0,C57=""),"",C57/SUM($B57:$F57))</f>
        <v/>
      </c>
      <c r="D200" s="27">
        <f>IF(OR(SUM($B57:$F57)=0,D57=""),"",D57/SUM($B57:$F57))</f>
        <v/>
      </c>
      <c r="E200" s="27">
        <f>IF(OR(SUM($B57:$F57)=0,E57=""),"",E57/SUM($B57:$F57))</f>
        <v/>
      </c>
      <c r="F200" s="27">
        <f>IF(OR(SUM($B57:$F57)=0,F57=""),"",F57/SUM($B57:$F57))</f>
        <v/>
      </c>
      <c r="H200" s="27">
        <f>IF(COUNT(B57:F57)=5,B57/SUM($B57:$F57),"")</f>
        <v/>
      </c>
      <c r="I200" s="27">
        <f>IF(COUNT(B57:F57)=5,C57/SUM($B57:$F57),"")</f>
        <v/>
      </c>
      <c r="J200" s="27">
        <f>IF(COUNT(B57:F57)=5,D57/SUM($B57:$F57),"")</f>
        <v/>
      </c>
      <c r="K200" s="27">
        <f>IF(COUNT(B57:F57)=5,E57/SUM($B57:$F57),"")</f>
        <v/>
      </c>
      <c r="L200" s="27">
        <f>IF(COUNT(B57:F57)=5,F57/SUM($B57:$F57),"")</f>
        <v/>
      </c>
    </row>
    <row r="201">
      <c r="A201" t="inlineStr">
        <is>
          <t>Week5-Jul-2026</t>
        </is>
      </c>
      <c r="B201" s="27">
        <f>IF(OR(SUM($B58:$F58)=0,B58=""),"",B58/SUM($B58:$F58))</f>
        <v/>
      </c>
      <c r="C201" s="27">
        <f>IF(OR(SUM($B58:$F58)=0,C58=""),"",C58/SUM($B58:$F58))</f>
        <v/>
      </c>
      <c r="D201" s="27">
        <f>IF(OR(SUM($B58:$F58)=0,D58=""),"",D58/SUM($B58:$F58))</f>
        <v/>
      </c>
      <c r="E201" s="27">
        <f>IF(OR(SUM($B58:$F58)=0,E58=""),"",E58/SUM($B58:$F58))</f>
        <v/>
      </c>
      <c r="F201" s="27">
        <f>IF(OR(SUM($B58:$F58)=0,F58=""),"",F58/SUM($B58:$F58))</f>
        <v/>
      </c>
      <c r="H201" s="27">
        <f>IF(COUNT(B58:F58)=5,B58/SUM($B58:$F58),"")</f>
        <v/>
      </c>
      <c r="I201" s="27">
        <f>IF(COUNT(B58:F58)=5,C58/SUM($B58:$F58),"")</f>
        <v/>
      </c>
      <c r="J201" s="27">
        <f>IF(COUNT(B58:F58)=5,D58/SUM($B58:$F58),"")</f>
        <v/>
      </c>
      <c r="K201" s="27">
        <f>IF(COUNT(B58:F58)=5,E58/SUM($B58:$F58),"")</f>
        <v/>
      </c>
      <c r="L201" s="27">
        <f>IF(COUNT(B58:F58)=5,F58/SUM($B58:$F58),"")</f>
        <v/>
      </c>
    </row>
    <row r="202">
      <c r="A202" t="inlineStr">
        <is>
          <t>Week1-Aug-2026</t>
        </is>
      </c>
      <c r="B202" s="27">
        <f>IF(OR(SUM($B59:$F59)=0,B59=""),"",B59/SUM($B59:$F59))</f>
        <v/>
      </c>
      <c r="C202" s="27">
        <f>IF(OR(SUM($B59:$F59)=0,C59=""),"",C59/SUM($B59:$F59))</f>
        <v/>
      </c>
      <c r="D202" s="27">
        <f>IF(OR(SUM($B59:$F59)=0,D59=""),"",D59/SUM($B59:$F59))</f>
        <v/>
      </c>
      <c r="E202" s="27">
        <f>IF(OR(SUM($B59:$F59)=0,E59=""),"",E59/SUM($B59:$F59))</f>
        <v/>
      </c>
      <c r="F202" s="27">
        <f>IF(OR(SUM($B59:$F59)=0,F59=""),"",F59/SUM($B59:$F59))</f>
        <v/>
      </c>
      <c r="H202" s="27">
        <f>IF(COUNT(B59:F59)=5,B59/SUM($B59:$F59),"")</f>
        <v/>
      </c>
      <c r="I202" s="27">
        <f>IF(COUNT(B59:F59)=5,C59/SUM($B59:$F59),"")</f>
        <v/>
      </c>
      <c r="J202" s="27">
        <f>IF(COUNT(B59:F59)=5,D59/SUM($B59:$F59),"")</f>
        <v/>
      </c>
      <c r="K202" s="27">
        <f>IF(COUNT(B59:F59)=5,E59/SUM($B59:$F59),"")</f>
        <v/>
      </c>
      <c r="L202" s="27">
        <f>IF(COUNT(B59:F59)=5,F59/SUM($B59:$F59),"")</f>
        <v/>
      </c>
    </row>
    <row r="203" hidden="1" outlineLevel="1">
      <c r="A203" t="inlineStr">
        <is>
          <t>Week2-Aug-2026</t>
        </is>
      </c>
      <c r="B203" s="27">
        <f>IF(OR(SUM($B60:$F60)=0,B60=""),"",B60/SUM($B60:$F60))</f>
        <v/>
      </c>
      <c r="C203" s="27">
        <f>IF(OR(SUM($B60:$F60)=0,C60=""),"",C60/SUM($B60:$F60))</f>
        <v/>
      </c>
      <c r="D203" s="27">
        <f>IF(OR(SUM($B60:$F60)=0,D60=""),"",D60/SUM($B60:$F60))</f>
        <v/>
      </c>
      <c r="E203" s="27">
        <f>IF(OR(SUM($B60:$F60)=0,E60=""),"",E60/SUM($B60:$F60))</f>
        <v/>
      </c>
      <c r="F203" s="27">
        <f>IF(OR(SUM($B60:$F60)=0,F60=""),"",F60/SUM($B60:$F60))</f>
        <v/>
      </c>
      <c r="H203" s="27">
        <f>IF(COUNT(B60:F60)=5,B60/SUM($B60:$F60),"")</f>
        <v/>
      </c>
      <c r="I203" s="27">
        <f>IF(COUNT(B60:F60)=5,C60/SUM($B60:$F60),"")</f>
        <v/>
      </c>
      <c r="J203" s="27">
        <f>IF(COUNT(B60:F60)=5,D60/SUM($B60:$F60),"")</f>
        <v/>
      </c>
      <c r="K203" s="27">
        <f>IF(COUNT(B60:F60)=5,E60/SUM($B60:$F60),"")</f>
        <v/>
      </c>
      <c r="L203" s="27">
        <f>IF(COUNT(B60:F60)=5,F60/SUM($B60:$F60),"")</f>
        <v/>
      </c>
    </row>
    <row r="204" hidden="1" outlineLevel="1">
      <c r="A204" t="inlineStr">
        <is>
          <t>Week3-Aug-2026</t>
        </is>
      </c>
      <c r="B204" s="27">
        <f>IF(OR(SUM($B61:$F61)=0,B61=""),"",B61/SUM($B61:$F61))</f>
        <v/>
      </c>
      <c r="C204" s="27">
        <f>IF(OR(SUM($B61:$F61)=0,C61=""),"",C61/SUM($B61:$F61))</f>
        <v/>
      </c>
      <c r="D204" s="27">
        <f>IF(OR(SUM($B61:$F61)=0,D61=""),"",D61/SUM($B61:$F61))</f>
        <v/>
      </c>
      <c r="E204" s="27">
        <f>IF(OR(SUM($B61:$F61)=0,E61=""),"",E61/SUM($B61:$F61))</f>
        <v/>
      </c>
      <c r="F204" s="27">
        <f>IF(OR(SUM($B61:$F61)=0,F61=""),"",F61/SUM($B61:$F61))</f>
        <v/>
      </c>
      <c r="H204" s="27">
        <f>IF(COUNT(B61:F61)=5,B61/SUM($B61:$F61),"")</f>
        <v/>
      </c>
      <c r="I204" s="27">
        <f>IF(COUNT(B61:F61)=5,C61/SUM($B61:$F61),"")</f>
        <v/>
      </c>
      <c r="J204" s="27">
        <f>IF(COUNT(B61:F61)=5,D61/SUM($B61:$F61),"")</f>
        <v/>
      </c>
      <c r="K204" s="27">
        <f>IF(COUNT(B61:F61)=5,E61/SUM($B61:$F61),"")</f>
        <v/>
      </c>
      <c r="L204" s="27">
        <f>IF(COUNT(B61:F61)=5,F61/SUM($B61:$F61),"")</f>
        <v/>
      </c>
    </row>
    <row r="205" hidden="1" outlineLevel="1">
      <c r="A205" t="inlineStr">
        <is>
          <t>Week4-Aug-2026</t>
        </is>
      </c>
      <c r="B205" s="27">
        <f>IF(OR(SUM($B62:$F62)=0,B62=""),"",B62/SUM($B62:$F62))</f>
        <v/>
      </c>
      <c r="C205" s="27">
        <f>IF(OR(SUM($B62:$F62)=0,C62=""),"",C62/SUM($B62:$F62))</f>
        <v/>
      </c>
      <c r="D205" s="27">
        <f>IF(OR(SUM($B62:$F62)=0,D62=""),"",D62/SUM($B62:$F62))</f>
        <v/>
      </c>
      <c r="E205" s="27">
        <f>IF(OR(SUM($B62:$F62)=0,E62=""),"",E62/SUM($B62:$F62))</f>
        <v/>
      </c>
      <c r="F205" s="27">
        <f>IF(OR(SUM($B62:$F62)=0,F62=""),"",F62/SUM($B62:$F62))</f>
        <v/>
      </c>
      <c r="H205" s="27">
        <f>IF(COUNT(B62:F62)=5,B62/SUM($B62:$F62),"")</f>
        <v/>
      </c>
      <c r="I205" s="27">
        <f>IF(COUNT(B62:F62)=5,C62/SUM($B62:$F62),"")</f>
        <v/>
      </c>
      <c r="J205" s="27">
        <f>IF(COUNT(B62:F62)=5,D62/SUM($B62:$F62),"")</f>
        <v/>
      </c>
      <c r="K205" s="27">
        <f>IF(COUNT(B62:F62)=5,E62/SUM($B62:$F62),"")</f>
        <v/>
      </c>
      <c r="L205" s="27">
        <f>IF(COUNT(B62:F62)=5,F62/SUM($B62:$F62),"")</f>
        <v/>
      </c>
    </row>
    <row r="206" hidden="1" outlineLevel="1">
      <c r="A206" t="inlineStr">
        <is>
          <t>Week5-Aug-2026</t>
        </is>
      </c>
      <c r="B206" s="27">
        <f>IF(OR(SUM($B63:$F63)=0,B63=""),"",B63/SUM($B63:$F63))</f>
        <v/>
      </c>
      <c r="C206" s="27">
        <f>IF(OR(SUM($B63:$F63)=0,C63=""),"",C63/SUM($B63:$F63))</f>
        <v/>
      </c>
      <c r="D206" s="27">
        <f>IF(OR(SUM($B63:$F63)=0,D63=""),"",D63/SUM($B63:$F63))</f>
        <v/>
      </c>
      <c r="E206" s="27">
        <f>IF(OR(SUM($B63:$F63)=0,E63=""),"",E63/SUM($B63:$F63))</f>
        <v/>
      </c>
      <c r="F206" s="27">
        <f>IF(OR(SUM($B63:$F63)=0,F63=""),"",F63/SUM($B63:$F63))</f>
        <v/>
      </c>
      <c r="H206" s="27">
        <f>IF(COUNT(B63:F63)=5,B63/SUM($B63:$F63),"")</f>
        <v/>
      </c>
      <c r="I206" s="27">
        <f>IF(COUNT(B63:F63)=5,C63/SUM($B63:$F63),"")</f>
        <v/>
      </c>
      <c r="J206" s="27">
        <f>IF(COUNT(B63:F63)=5,D63/SUM($B63:$F63),"")</f>
        <v/>
      </c>
      <c r="K206" s="27">
        <f>IF(COUNT(B63:F63)=5,E63/SUM($B63:$F63),"")</f>
        <v/>
      </c>
      <c r="L206" s="27">
        <f>IF(COUNT(B63:F63)=5,F63/SUM($B63:$F63),"")</f>
        <v/>
      </c>
    </row>
    <row r="207" hidden="1" outlineLevel="1">
      <c r="A207" t="inlineStr">
        <is>
          <t>Week1-Sep-2026</t>
        </is>
      </c>
      <c r="B207" s="27">
        <f>IF(OR(SUM($B64:$F64)=0,B64=""),"",B64/SUM($B64:$F64))</f>
        <v/>
      </c>
      <c r="C207" s="27">
        <f>IF(OR(SUM($B64:$F64)=0,C64=""),"",C64/SUM($B64:$F64))</f>
        <v/>
      </c>
      <c r="D207" s="27">
        <f>IF(OR(SUM($B64:$F64)=0,D64=""),"",D64/SUM($B64:$F64))</f>
        <v/>
      </c>
      <c r="E207" s="27">
        <f>IF(OR(SUM($B64:$F64)=0,E64=""),"",E64/SUM($B64:$F64))</f>
        <v/>
      </c>
      <c r="F207" s="27">
        <f>IF(OR(SUM($B64:$F64)=0,F64=""),"",F64/SUM($B64:$F64))</f>
        <v/>
      </c>
      <c r="H207" s="27">
        <f>IF(COUNT(B64:F64)=5,B64/SUM($B64:$F64),"")</f>
        <v/>
      </c>
      <c r="I207" s="27">
        <f>IF(COUNT(B64:F64)=5,C64/SUM($B64:$F64),"")</f>
        <v/>
      </c>
      <c r="J207" s="27">
        <f>IF(COUNT(B64:F64)=5,D64/SUM($B64:$F64),"")</f>
        <v/>
      </c>
      <c r="K207" s="27">
        <f>IF(COUNT(B64:F64)=5,E64/SUM($B64:$F64),"")</f>
        <v/>
      </c>
      <c r="L207" s="27">
        <f>IF(COUNT(B64:F64)=5,F64/SUM($B64:$F64),"")</f>
        <v/>
      </c>
    </row>
    <row r="208" hidden="1" outlineLevel="1">
      <c r="A208" t="inlineStr">
        <is>
          <t>Week2-Sep-2026</t>
        </is>
      </c>
      <c r="B208" s="27">
        <f>IF(OR(SUM($B65:$F65)=0,B65=""),"",B65/SUM($B65:$F65))</f>
        <v/>
      </c>
      <c r="C208" s="27">
        <f>IF(OR(SUM($B65:$F65)=0,C65=""),"",C65/SUM($B65:$F65))</f>
        <v/>
      </c>
      <c r="D208" s="27">
        <f>IF(OR(SUM($B65:$F65)=0,D65=""),"",D65/SUM($B65:$F65))</f>
        <v/>
      </c>
      <c r="E208" s="27">
        <f>IF(OR(SUM($B65:$F65)=0,E65=""),"",E65/SUM($B65:$F65))</f>
        <v/>
      </c>
      <c r="F208" s="27">
        <f>IF(OR(SUM($B65:$F65)=0,F65=""),"",F65/SUM($B65:$F65))</f>
        <v/>
      </c>
      <c r="H208" s="27">
        <f>IF(COUNT(B65:F65)=5,B65/SUM($B65:$F65),"")</f>
        <v/>
      </c>
      <c r="I208" s="27">
        <f>IF(COUNT(B65:F65)=5,C65/SUM($B65:$F65),"")</f>
        <v/>
      </c>
      <c r="J208" s="27">
        <f>IF(COUNT(B65:F65)=5,D65/SUM($B65:$F65),"")</f>
        <v/>
      </c>
      <c r="K208" s="27">
        <f>IF(COUNT(B65:F65)=5,E65/SUM($B65:$F65),"")</f>
        <v/>
      </c>
      <c r="L208" s="27">
        <f>IF(COUNT(B65:F65)=5,F65/SUM($B65:$F65),"")</f>
        <v/>
      </c>
    </row>
    <row r="209" hidden="1" outlineLevel="1">
      <c r="A209" t="inlineStr">
        <is>
          <t>Week3-Sep-2026</t>
        </is>
      </c>
      <c r="B209" s="27">
        <f>IF(OR(SUM($B66:$F66)=0,B66=""),"",B66/SUM($B66:$F66))</f>
        <v/>
      </c>
      <c r="C209" s="27">
        <f>IF(OR(SUM($B66:$F66)=0,C66=""),"",C66/SUM($B66:$F66))</f>
        <v/>
      </c>
      <c r="D209" s="27">
        <f>IF(OR(SUM($B66:$F66)=0,D66=""),"",D66/SUM($B66:$F66))</f>
        <v/>
      </c>
      <c r="E209" s="27">
        <f>IF(OR(SUM($B66:$F66)=0,E66=""),"",E66/SUM($B66:$F66))</f>
        <v/>
      </c>
      <c r="F209" s="27">
        <f>IF(OR(SUM($B66:$F66)=0,F66=""),"",F66/SUM($B66:$F66))</f>
        <v/>
      </c>
      <c r="H209" s="27">
        <f>IF(COUNT(B66:F66)=5,B66/SUM($B66:$F66),"")</f>
        <v/>
      </c>
      <c r="I209" s="27">
        <f>IF(COUNT(B66:F66)=5,C66/SUM($B66:$F66),"")</f>
        <v/>
      </c>
      <c r="J209" s="27">
        <f>IF(COUNT(B66:F66)=5,D66/SUM($B66:$F66),"")</f>
        <v/>
      </c>
      <c r="K209" s="27">
        <f>IF(COUNT(B66:F66)=5,E66/SUM($B66:$F66),"")</f>
        <v/>
      </c>
      <c r="L209" s="27">
        <f>IF(COUNT(B66:F66)=5,F66/SUM($B66:$F66),"")</f>
        <v/>
      </c>
    </row>
    <row r="210" hidden="1" outlineLevel="1">
      <c r="A210" t="inlineStr">
        <is>
          <t>Week4-Sep-2026</t>
        </is>
      </c>
      <c r="B210" s="27">
        <f>IF(OR(SUM($B67:$F67)=0,B67=""),"",B67/SUM($B67:$F67))</f>
        <v/>
      </c>
      <c r="C210" s="27">
        <f>IF(OR(SUM($B67:$F67)=0,C67=""),"",C67/SUM($B67:$F67))</f>
        <v/>
      </c>
      <c r="D210" s="27">
        <f>IF(OR(SUM($B67:$F67)=0,D67=""),"",D67/SUM($B67:$F67))</f>
        <v/>
      </c>
      <c r="E210" s="27">
        <f>IF(OR(SUM($B67:$F67)=0,E67=""),"",E67/SUM($B67:$F67))</f>
        <v/>
      </c>
      <c r="F210" s="27">
        <f>IF(OR(SUM($B67:$F67)=0,F67=""),"",F67/SUM($B67:$F67))</f>
        <v/>
      </c>
      <c r="H210" s="27">
        <f>IF(COUNT(B67:F67)=5,B67/SUM($B67:$F67),"")</f>
        <v/>
      </c>
      <c r="I210" s="27">
        <f>IF(COUNT(B67:F67)=5,C67/SUM($B67:$F67),"")</f>
        <v/>
      </c>
      <c r="J210" s="27">
        <f>IF(COUNT(B67:F67)=5,D67/SUM($B67:$F67),"")</f>
        <v/>
      </c>
      <c r="K210" s="27">
        <f>IF(COUNT(B67:F67)=5,E67/SUM($B67:$F67),"")</f>
        <v/>
      </c>
      <c r="L210" s="27">
        <f>IF(COUNT(B67:F67)=5,F67/SUM($B67:$F67),"")</f>
        <v/>
      </c>
    </row>
    <row r="211" hidden="1" outlineLevel="1">
      <c r="A211" t="inlineStr">
        <is>
          <t>Week5-Sep-2026</t>
        </is>
      </c>
      <c r="B211" s="27">
        <f>IF(OR(SUM($B68:$F68)=0,B68=""),"",B68/SUM($B68:$F68))</f>
        <v/>
      </c>
      <c r="C211" s="27">
        <f>IF(OR(SUM($B68:$F68)=0,C68=""),"",C68/SUM($B68:$F68))</f>
        <v/>
      </c>
      <c r="D211" s="27">
        <f>IF(OR(SUM($B68:$F68)=0,D68=""),"",D68/SUM($B68:$F68))</f>
        <v/>
      </c>
      <c r="E211" s="27">
        <f>IF(OR(SUM($B68:$F68)=0,E68=""),"",E68/SUM($B68:$F68))</f>
        <v/>
      </c>
      <c r="F211" s="27">
        <f>IF(OR(SUM($B68:$F68)=0,F68=""),"",F68/SUM($B68:$F68))</f>
        <v/>
      </c>
      <c r="H211" s="27">
        <f>IF(COUNT(B68:F68)=5,B68/SUM($B68:$F68),"")</f>
        <v/>
      </c>
      <c r="I211" s="27">
        <f>IF(COUNT(B68:F68)=5,C68/SUM($B68:$F68),"")</f>
        <v/>
      </c>
      <c r="J211" s="27">
        <f>IF(COUNT(B68:F68)=5,D68/SUM($B68:$F68),"")</f>
        <v/>
      </c>
      <c r="K211" s="27">
        <f>IF(COUNT(B68:F68)=5,E68/SUM($B68:$F68),"")</f>
        <v/>
      </c>
      <c r="L211" s="27">
        <f>IF(COUNT(B68:F68)=5,F68/SUM($B68:$F68),"")</f>
        <v/>
      </c>
    </row>
    <row r="212" hidden="1" outlineLevel="1">
      <c r="A212" t="inlineStr">
        <is>
          <t>Week1-Oct-2026</t>
        </is>
      </c>
      <c r="B212" s="27">
        <f>IF(OR(SUM($B69:$F69)=0,B69=""),"",B69/SUM($B69:$F69))</f>
        <v/>
      </c>
      <c r="C212" s="27">
        <f>IF(OR(SUM($B69:$F69)=0,C69=""),"",C69/SUM($B69:$F69))</f>
        <v/>
      </c>
      <c r="D212" s="27">
        <f>IF(OR(SUM($B69:$F69)=0,D69=""),"",D69/SUM($B69:$F69))</f>
        <v/>
      </c>
      <c r="E212" s="27">
        <f>IF(OR(SUM($B69:$F69)=0,E69=""),"",E69/SUM($B69:$F69))</f>
        <v/>
      </c>
      <c r="F212" s="27">
        <f>IF(OR(SUM($B69:$F69)=0,F69=""),"",F69/SUM($B69:$F69))</f>
        <v/>
      </c>
      <c r="H212" s="27">
        <f>IF(COUNT(B69:F69)=5,B69/SUM($B69:$F69),"")</f>
        <v/>
      </c>
      <c r="I212" s="27">
        <f>IF(COUNT(B69:F69)=5,C69/SUM($B69:$F69),"")</f>
        <v/>
      </c>
      <c r="J212" s="27">
        <f>IF(COUNT(B69:F69)=5,D69/SUM($B69:$F69),"")</f>
        <v/>
      </c>
      <c r="K212" s="27">
        <f>IF(COUNT(B69:F69)=5,E69/SUM($B69:$F69),"")</f>
        <v/>
      </c>
      <c r="L212" s="27">
        <f>IF(COUNT(B69:F69)=5,F69/SUM($B69:$F69),"")</f>
        <v/>
      </c>
    </row>
    <row r="213" hidden="1" outlineLevel="1">
      <c r="A213" t="inlineStr">
        <is>
          <t>Week2-Oct-2026</t>
        </is>
      </c>
      <c r="B213" s="27">
        <f>IF(OR(SUM($B70:$F70)=0,B70=""),"",B70/SUM($B70:$F70))</f>
        <v/>
      </c>
      <c r="C213" s="27">
        <f>IF(OR(SUM($B70:$F70)=0,C70=""),"",C70/SUM($B70:$F70))</f>
        <v/>
      </c>
      <c r="D213" s="27">
        <f>IF(OR(SUM($B70:$F70)=0,D70=""),"",D70/SUM($B70:$F70))</f>
        <v/>
      </c>
      <c r="E213" s="27">
        <f>IF(OR(SUM($B70:$F70)=0,E70=""),"",E70/SUM($B70:$F70))</f>
        <v/>
      </c>
      <c r="F213" s="27">
        <f>IF(OR(SUM($B70:$F70)=0,F70=""),"",F70/SUM($B70:$F70))</f>
        <v/>
      </c>
      <c r="H213" s="27">
        <f>IF(COUNT(B70:F70)=5,B70/SUM($B70:$F70),"")</f>
        <v/>
      </c>
      <c r="I213" s="27">
        <f>IF(COUNT(B70:F70)=5,C70/SUM($B70:$F70),"")</f>
        <v/>
      </c>
      <c r="J213" s="27">
        <f>IF(COUNT(B70:F70)=5,D70/SUM($B70:$F70),"")</f>
        <v/>
      </c>
      <c r="K213" s="27">
        <f>IF(COUNT(B70:F70)=5,E70/SUM($B70:$F70),"")</f>
        <v/>
      </c>
      <c r="L213" s="27">
        <f>IF(COUNT(B70:F70)=5,F70/SUM($B70:$F70),"")</f>
        <v/>
      </c>
    </row>
    <row r="214" hidden="1" outlineLevel="1">
      <c r="A214" t="inlineStr">
        <is>
          <t>Week3-Oct-2026</t>
        </is>
      </c>
      <c r="B214" s="27">
        <f>IF(OR(SUM($B71:$F71)=0,B71=""),"",B71/SUM($B71:$F71))</f>
        <v/>
      </c>
      <c r="C214" s="27">
        <f>IF(OR(SUM($B71:$F71)=0,C71=""),"",C71/SUM($B71:$F71))</f>
        <v/>
      </c>
      <c r="D214" s="27">
        <f>IF(OR(SUM($B71:$F71)=0,D71=""),"",D71/SUM($B71:$F71))</f>
        <v/>
      </c>
      <c r="E214" s="27">
        <f>IF(OR(SUM($B71:$F71)=0,E71=""),"",E71/SUM($B71:$F71))</f>
        <v/>
      </c>
      <c r="F214" s="27">
        <f>IF(OR(SUM($B71:$F71)=0,F71=""),"",F71/SUM($B71:$F71))</f>
        <v/>
      </c>
      <c r="H214" s="27">
        <f>IF(COUNT(B71:F71)=5,B71/SUM($B71:$F71),"")</f>
        <v/>
      </c>
      <c r="I214" s="27">
        <f>IF(COUNT(B71:F71)=5,C71/SUM($B71:$F71),"")</f>
        <v/>
      </c>
      <c r="J214" s="27">
        <f>IF(COUNT(B71:F71)=5,D71/SUM($B71:$F71),"")</f>
        <v/>
      </c>
      <c r="K214" s="27">
        <f>IF(COUNT(B71:F71)=5,E71/SUM($B71:$F71),"")</f>
        <v/>
      </c>
      <c r="L214" s="27">
        <f>IF(COUNT(B71:F71)=5,F71/SUM($B71:$F71),"")</f>
        <v/>
      </c>
    </row>
    <row r="215" hidden="1" outlineLevel="1">
      <c r="A215" t="inlineStr">
        <is>
          <t>Week4-Oct-2026</t>
        </is>
      </c>
      <c r="B215" s="27">
        <f>IF(OR(SUM($B72:$F72)=0,B72=""),"",B72/SUM($B72:$F72))</f>
        <v/>
      </c>
      <c r="C215" s="27">
        <f>IF(OR(SUM($B72:$F72)=0,C72=""),"",C72/SUM($B72:$F72))</f>
        <v/>
      </c>
      <c r="D215" s="27">
        <f>IF(OR(SUM($B72:$F72)=0,D72=""),"",D72/SUM($B72:$F72))</f>
        <v/>
      </c>
      <c r="E215" s="27">
        <f>IF(OR(SUM($B72:$F72)=0,E72=""),"",E72/SUM($B72:$F72))</f>
        <v/>
      </c>
      <c r="F215" s="27">
        <f>IF(OR(SUM($B72:$F72)=0,F72=""),"",F72/SUM($B72:$F72))</f>
        <v/>
      </c>
      <c r="H215" s="27">
        <f>IF(COUNT(B72:F72)=5,B72/SUM($B72:$F72),"")</f>
        <v/>
      </c>
      <c r="I215" s="27">
        <f>IF(COUNT(B72:F72)=5,C72/SUM($B72:$F72),"")</f>
        <v/>
      </c>
      <c r="J215" s="27">
        <f>IF(COUNT(B72:F72)=5,D72/SUM($B72:$F72),"")</f>
        <v/>
      </c>
      <c r="K215" s="27">
        <f>IF(COUNT(B72:F72)=5,E72/SUM($B72:$F72),"")</f>
        <v/>
      </c>
      <c r="L215" s="27">
        <f>IF(COUNT(B72:F72)=5,F72/SUM($B72:$F72),"")</f>
        <v/>
      </c>
    </row>
    <row r="216" hidden="1" outlineLevel="1">
      <c r="A216" t="inlineStr">
        <is>
          <t>Week5-Oct-2026</t>
        </is>
      </c>
      <c r="B216" s="27">
        <f>IF(OR(SUM($B73:$F73)=0,B73=""),"",B73/SUM($B73:$F73))</f>
        <v/>
      </c>
      <c r="C216" s="27">
        <f>IF(OR(SUM($B73:$F73)=0,C73=""),"",C73/SUM($B73:$F73))</f>
        <v/>
      </c>
      <c r="D216" s="27">
        <f>IF(OR(SUM($B73:$F73)=0,D73=""),"",D73/SUM($B73:$F73))</f>
        <v/>
      </c>
      <c r="E216" s="27">
        <f>IF(OR(SUM($B73:$F73)=0,E73=""),"",E73/SUM($B73:$F73))</f>
        <v/>
      </c>
      <c r="F216" s="27">
        <f>IF(OR(SUM($B73:$F73)=0,F73=""),"",F73/SUM($B73:$F73))</f>
        <v/>
      </c>
      <c r="H216" s="27">
        <f>IF(COUNT(B73:F73)=5,B73/SUM($B73:$F73),"")</f>
        <v/>
      </c>
      <c r="I216" s="27">
        <f>IF(COUNT(B73:F73)=5,C73/SUM($B73:$F73),"")</f>
        <v/>
      </c>
      <c r="J216" s="27">
        <f>IF(COUNT(B73:F73)=5,D73/SUM($B73:$F73),"")</f>
        <v/>
      </c>
      <c r="K216" s="27">
        <f>IF(COUNT(B73:F73)=5,E73/SUM($B73:$F73),"")</f>
        <v/>
      </c>
      <c r="L216" s="27">
        <f>IF(COUNT(B73:F73)=5,F73/SUM($B73:$F73),"")</f>
        <v/>
      </c>
    </row>
    <row r="217" hidden="1" outlineLevel="1">
      <c r="A217" t="inlineStr">
        <is>
          <t>Week1-Nov-2026</t>
        </is>
      </c>
      <c r="B217" s="27">
        <f>IF(OR(SUM($B74:$F74)=0,B74=""),"",B74/SUM($B74:$F74))</f>
        <v/>
      </c>
      <c r="C217" s="27">
        <f>IF(OR(SUM($B74:$F74)=0,C74=""),"",C74/SUM($B74:$F74))</f>
        <v/>
      </c>
      <c r="D217" s="27">
        <f>IF(OR(SUM($B74:$F74)=0,D74=""),"",D74/SUM($B74:$F74))</f>
        <v/>
      </c>
      <c r="E217" s="27">
        <f>IF(OR(SUM($B74:$F74)=0,E74=""),"",E74/SUM($B74:$F74))</f>
        <v/>
      </c>
      <c r="F217" s="27">
        <f>IF(OR(SUM($B74:$F74)=0,F74=""),"",F74/SUM($B74:$F74))</f>
        <v/>
      </c>
      <c r="H217" s="27">
        <f>IF(COUNT(B74:F74)=5,B74/SUM($B74:$F74),"")</f>
        <v/>
      </c>
      <c r="I217" s="27">
        <f>IF(COUNT(B74:F74)=5,C74/SUM($B74:$F74),"")</f>
        <v/>
      </c>
      <c r="J217" s="27">
        <f>IF(COUNT(B74:F74)=5,D74/SUM($B74:$F74),"")</f>
        <v/>
      </c>
      <c r="K217" s="27">
        <f>IF(COUNT(B74:F74)=5,E74/SUM($B74:$F74),"")</f>
        <v/>
      </c>
      <c r="L217" s="27">
        <f>IF(COUNT(B74:F74)=5,F74/SUM($B74:$F74),"")</f>
        <v/>
      </c>
    </row>
    <row r="218" hidden="1" outlineLevel="1">
      <c r="A218" t="inlineStr">
        <is>
          <t>Week2-Nov-2026</t>
        </is>
      </c>
      <c r="B218" s="27">
        <f>IF(OR(SUM($B75:$F75)=0,B75=""),"",B75/SUM($B75:$F75))</f>
        <v/>
      </c>
      <c r="C218" s="27">
        <f>IF(OR(SUM($B75:$F75)=0,C75=""),"",C75/SUM($B75:$F75))</f>
        <v/>
      </c>
      <c r="D218" s="27">
        <f>IF(OR(SUM($B75:$F75)=0,D75=""),"",D75/SUM($B75:$F75))</f>
        <v/>
      </c>
      <c r="E218" s="27">
        <f>IF(OR(SUM($B75:$F75)=0,E75=""),"",E75/SUM($B75:$F75))</f>
        <v/>
      </c>
      <c r="F218" s="27">
        <f>IF(OR(SUM($B75:$F75)=0,F75=""),"",F75/SUM($B75:$F75))</f>
        <v/>
      </c>
      <c r="H218" s="27">
        <f>IF(COUNT(B75:F75)=5,B75/SUM($B75:$F75),"")</f>
        <v/>
      </c>
      <c r="I218" s="27">
        <f>IF(COUNT(B75:F75)=5,C75/SUM($B75:$F75),"")</f>
        <v/>
      </c>
      <c r="J218" s="27">
        <f>IF(COUNT(B75:F75)=5,D75/SUM($B75:$F75),"")</f>
        <v/>
      </c>
      <c r="K218" s="27">
        <f>IF(COUNT(B75:F75)=5,E75/SUM($B75:$F75),"")</f>
        <v/>
      </c>
      <c r="L218" s="27">
        <f>IF(COUNT(B75:F75)=5,F75/SUM($B75:$F75),"")</f>
        <v/>
      </c>
    </row>
    <row r="219" hidden="1" outlineLevel="1">
      <c r="A219" t="inlineStr">
        <is>
          <t>Week3-Nov-2026</t>
        </is>
      </c>
      <c r="B219" s="27">
        <f>IF(OR(SUM($B76:$F76)=0,B76=""),"",B76/SUM($B76:$F76))</f>
        <v/>
      </c>
      <c r="C219" s="27">
        <f>IF(OR(SUM($B76:$F76)=0,C76=""),"",C76/SUM($B76:$F76))</f>
        <v/>
      </c>
      <c r="D219" s="27">
        <f>IF(OR(SUM($B76:$F76)=0,D76=""),"",D76/SUM($B76:$F76))</f>
        <v/>
      </c>
      <c r="E219" s="27">
        <f>IF(OR(SUM($B76:$F76)=0,E76=""),"",E76/SUM($B76:$F76))</f>
        <v/>
      </c>
      <c r="F219" s="27">
        <f>IF(OR(SUM($B76:$F76)=0,F76=""),"",F76/SUM($B76:$F76))</f>
        <v/>
      </c>
      <c r="H219" s="27">
        <f>IF(COUNT(B76:F76)=5,B76/SUM($B76:$F76),"")</f>
        <v/>
      </c>
      <c r="I219" s="27">
        <f>IF(COUNT(B76:F76)=5,C76/SUM($B76:$F76),"")</f>
        <v/>
      </c>
      <c r="J219" s="27">
        <f>IF(COUNT(B76:F76)=5,D76/SUM($B76:$F76),"")</f>
        <v/>
      </c>
      <c r="K219" s="27">
        <f>IF(COUNT(B76:F76)=5,E76/SUM($B76:$F76),"")</f>
        <v/>
      </c>
      <c r="L219" s="27">
        <f>IF(COUNT(B76:F76)=5,F76/SUM($B76:$F76),"")</f>
        <v/>
      </c>
    </row>
    <row r="220" hidden="1" outlineLevel="1">
      <c r="A220" t="inlineStr">
        <is>
          <t>Week4-Nov-2026</t>
        </is>
      </c>
      <c r="B220" s="27">
        <f>IF(OR(SUM($B77:$F77)=0,B77=""),"",B77/SUM($B77:$F77))</f>
        <v/>
      </c>
      <c r="C220" s="27">
        <f>IF(OR(SUM($B77:$F77)=0,C77=""),"",C77/SUM($B77:$F77))</f>
        <v/>
      </c>
      <c r="D220" s="27">
        <f>IF(OR(SUM($B77:$F77)=0,D77=""),"",D77/SUM($B77:$F77))</f>
        <v/>
      </c>
      <c r="E220" s="27">
        <f>IF(OR(SUM($B77:$F77)=0,E77=""),"",E77/SUM($B77:$F77))</f>
        <v/>
      </c>
      <c r="F220" s="27">
        <f>IF(OR(SUM($B77:$F77)=0,F77=""),"",F77/SUM($B77:$F77))</f>
        <v/>
      </c>
      <c r="H220" s="27">
        <f>IF(COUNT(B77:F77)=5,B77/SUM($B77:$F77),"")</f>
        <v/>
      </c>
      <c r="I220" s="27">
        <f>IF(COUNT(B77:F77)=5,C77/SUM($B77:$F77),"")</f>
        <v/>
      </c>
      <c r="J220" s="27">
        <f>IF(COUNT(B77:F77)=5,D77/SUM($B77:$F77),"")</f>
        <v/>
      </c>
      <c r="K220" s="27">
        <f>IF(COUNT(B77:F77)=5,E77/SUM($B77:$F77),"")</f>
        <v/>
      </c>
      <c r="L220" s="27">
        <f>IF(COUNT(B77:F77)=5,F77/SUM($B77:$F77),"")</f>
        <v/>
      </c>
    </row>
    <row r="221" hidden="1" outlineLevel="1">
      <c r="A221" t="inlineStr">
        <is>
          <t>Week5-Nov-2026</t>
        </is>
      </c>
      <c r="B221" s="27">
        <f>IF(OR(SUM($B78:$F78)=0,B78=""),"",B78/SUM($B78:$F78))</f>
        <v/>
      </c>
      <c r="C221" s="27">
        <f>IF(OR(SUM($B78:$F78)=0,C78=""),"",C78/SUM($B78:$F78))</f>
        <v/>
      </c>
      <c r="D221" s="27">
        <f>IF(OR(SUM($B78:$F78)=0,D78=""),"",D78/SUM($B78:$F78))</f>
        <v/>
      </c>
      <c r="E221" s="27">
        <f>IF(OR(SUM($B78:$F78)=0,E78=""),"",E78/SUM($B78:$F78))</f>
        <v/>
      </c>
      <c r="F221" s="27">
        <f>IF(OR(SUM($B78:$F78)=0,F78=""),"",F78/SUM($B78:$F78))</f>
        <v/>
      </c>
      <c r="H221" s="27">
        <f>IF(COUNT(B78:F78)=5,B78/SUM($B78:$F78),"")</f>
        <v/>
      </c>
      <c r="I221" s="27">
        <f>IF(COUNT(B78:F78)=5,C78/SUM($B78:$F78),"")</f>
        <v/>
      </c>
      <c r="J221" s="27">
        <f>IF(COUNT(B78:F78)=5,D78/SUM($B78:$F78),"")</f>
        <v/>
      </c>
      <c r="K221" s="27">
        <f>IF(COUNT(B78:F78)=5,E78/SUM($B78:$F78),"")</f>
        <v/>
      </c>
      <c r="L221" s="27">
        <f>IF(COUNT(B78:F78)=5,F78/SUM($B78:$F78),"")</f>
        <v/>
      </c>
    </row>
    <row r="222" hidden="1" outlineLevel="1">
      <c r="A222" t="inlineStr">
        <is>
          <t>Week1-Dec-2026</t>
        </is>
      </c>
      <c r="B222" s="27">
        <f>IF(OR(SUM($B79:$F79)=0,B79=""),"",B79/SUM($B79:$F79))</f>
        <v/>
      </c>
      <c r="C222" s="27">
        <f>IF(OR(SUM($B79:$F79)=0,C79=""),"",C79/SUM($B79:$F79))</f>
        <v/>
      </c>
      <c r="D222" s="27">
        <f>IF(OR(SUM($B79:$F79)=0,D79=""),"",D79/SUM($B79:$F79))</f>
        <v/>
      </c>
      <c r="E222" s="27">
        <f>IF(OR(SUM($B79:$F79)=0,E79=""),"",E79/SUM($B79:$F79))</f>
        <v/>
      </c>
      <c r="F222" s="27">
        <f>IF(OR(SUM($B79:$F79)=0,F79=""),"",F79/SUM($B79:$F79))</f>
        <v/>
      </c>
      <c r="H222" s="27">
        <f>IF(COUNT(B79:F79)=5,B79/SUM($B79:$F79),"")</f>
        <v/>
      </c>
      <c r="I222" s="27">
        <f>IF(COUNT(B79:F79)=5,C79/SUM($B79:$F79),"")</f>
        <v/>
      </c>
      <c r="J222" s="27">
        <f>IF(COUNT(B79:F79)=5,D79/SUM($B79:$F79),"")</f>
        <v/>
      </c>
      <c r="K222" s="27">
        <f>IF(COUNT(B79:F79)=5,E79/SUM($B79:$F79),"")</f>
        <v/>
      </c>
      <c r="L222" s="27">
        <f>IF(COUNT(B79:F79)=5,F79/SUM($B79:$F79),"")</f>
        <v/>
      </c>
    </row>
    <row r="223" hidden="1" outlineLevel="1">
      <c r="A223" t="inlineStr">
        <is>
          <t>Week2-Dec-2026</t>
        </is>
      </c>
      <c r="B223" s="27">
        <f>IF(OR(SUM($B80:$F80)=0,B80=""),"",B80/SUM($B80:$F80))</f>
        <v/>
      </c>
      <c r="C223" s="27">
        <f>IF(OR(SUM($B80:$F80)=0,C80=""),"",C80/SUM($B80:$F80))</f>
        <v/>
      </c>
      <c r="D223" s="27">
        <f>IF(OR(SUM($B80:$F80)=0,D80=""),"",D80/SUM($B80:$F80))</f>
        <v/>
      </c>
      <c r="E223" s="27">
        <f>IF(OR(SUM($B80:$F80)=0,E80=""),"",E80/SUM($B80:$F80))</f>
        <v/>
      </c>
      <c r="F223" s="27">
        <f>IF(OR(SUM($B80:$F80)=0,F80=""),"",F80/SUM($B80:$F80))</f>
        <v/>
      </c>
      <c r="H223" s="27">
        <f>IF(COUNT(B80:F80)=5,B80/SUM($B80:$F80),"")</f>
        <v/>
      </c>
      <c r="I223" s="27">
        <f>IF(COUNT(B80:F80)=5,C80/SUM($B80:$F80),"")</f>
        <v/>
      </c>
      <c r="J223" s="27">
        <f>IF(COUNT(B80:F80)=5,D80/SUM($B80:$F80),"")</f>
        <v/>
      </c>
      <c r="K223" s="27">
        <f>IF(COUNT(B80:F80)=5,E80/SUM($B80:$F80),"")</f>
        <v/>
      </c>
      <c r="L223" s="27">
        <f>IF(COUNT(B80:F80)=5,F80/SUM($B80:$F80),"")</f>
        <v/>
      </c>
    </row>
    <row r="224" hidden="1" outlineLevel="1">
      <c r="A224" t="inlineStr">
        <is>
          <t>Week3-Dec-2026</t>
        </is>
      </c>
      <c r="B224" s="27">
        <f>IF(OR(SUM($B81:$F81)=0,B81=""),"",B81/SUM($B81:$F81))</f>
        <v/>
      </c>
      <c r="C224" s="27">
        <f>IF(OR(SUM($B81:$F81)=0,C81=""),"",C81/SUM($B81:$F81))</f>
        <v/>
      </c>
      <c r="D224" s="27">
        <f>IF(OR(SUM($B81:$F81)=0,D81=""),"",D81/SUM($B81:$F81))</f>
        <v/>
      </c>
      <c r="E224" s="27">
        <f>IF(OR(SUM($B81:$F81)=0,E81=""),"",E81/SUM($B81:$F81))</f>
        <v/>
      </c>
      <c r="F224" s="27">
        <f>IF(OR(SUM($B81:$F81)=0,F81=""),"",F81/SUM($B81:$F81))</f>
        <v/>
      </c>
      <c r="H224" s="27">
        <f>IF(COUNT(B81:F81)=5,B81/SUM($B81:$F81),"")</f>
        <v/>
      </c>
      <c r="I224" s="27">
        <f>IF(COUNT(B81:F81)=5,C81/SUM($B81:$F81),"")</f>
        <v/>
      </c>
      <c r="J224" s="27">
        <f>IF(COUNT(B81:F81)=5,D81/SUM($B81:$F81),"")</f>
        <v/>
      </c>
      <c r="K224" s="27">
        <f>IF(COUNT(B81:F81)=5,E81/SUM($B81:$F81),"")</f>
        <v/>
      </c>
      <c r="L224" s="27">
        <f>IF(COUNT(B81:F81)=5,F81/SUM($B81:$F81),"")</f>
        <v/>
      </c>
    </row>
    <row r="225" hidden="1" outlineLevel="1">
      <c r="A225" t="inlineStr">
        <is>
          <t>Week4-Dec-2026</t>
        </is>
      </c>
      <c r="B225" s="27">
        <f>IF(OR(SUM($B82:$F82)=0,B82=""),"",B82/SUM($B82:$F82))</f>
        <v/>
      </c>
      <c r="C225" s="27">
        <f>IF(OR(SUM($B82:$F82)=0,C82=""),"",C82/SUM($B82:$F82))</f>
        <v/>
      </c>
      <c r="D225" s="27">
        <f>IF(OR(SUM($B82:$F82)=0,D82=""),"",D82/SUM($B82:$F82))</f>
        <v/>
      </c>
      <c r="E225" s="27">
        <f>IF(OR(SUM($B82:$F82)=0,E82=""),"",E82/SUM($B82:$F82))</f>
        <v/>
      </c>
      <c r="F225" s="27">
        <f>IF(OR(SUM($B82:$F82)=0,F82=""),"",F82/SUM($B82:$F82))</f>
        <v/>
      </c>
      <c r="H225" s="27">
        <f>IF(COUNT(B82:F82)=5,B82/SUM($B82:$F82),"")</f>
        <v/>
      </c>
      <c r="I225" s="27">
        <f>IF(COUNT(B82:F82)=5,C82/SUM($B82:$F82),"")</f>
        <v/>
      </c>
      <c r="J225" s="27">
        <f>IF(COUNT(B82:F82)=5,D82/SUM($B82:$F82),"")</f>
        <v/>
      </c>
      <c r="K225" s="27">
        <f>IF(COUNT(B82:F82)=5,E82/SUM($B82:$F82),"")</f>
        <v/>
      </c>
      <c r="L225" s="27">
        <f>IF(COUNT(B82:F82)=5,F82/SUM($B82:$F82),"")</f>
        <v/>
      </c>
    </row>
    <row r="226" hidden="1" outlineLevel="1">
      <c r="A226" t="inlineStr">
        <is>
          <t>Week5-Dec-2026</t>
        </is>
      </c>
      <c r="B226" s="27">
        <f>IF(OR(SUM($B83:$F83)=0,B83=""),"",B83/SUM($B83:$F83))</f>
        <v/>
      </c>
      <c r="C226" s="27">
        <f>IF(OR(SUM($B83:$F83)=0,C83=""),"",C83/SUM($B83:$F83))</f>
        <v/>
      </c>
      <c r="D226" s="27">
        <f>IF(OR(SUM($B83:$F83)=0,D83=""),"",D83/SUM($B83:$F83))</f>
        <v/>
      </c>
      <c r="E226" s="27">
        <f>IF(OR(SUM($B83:$F83)=0,E83=""),"",E83/SUM($B83:$F83))</f>
        <v/>
      </c>
      <c r="F226" s="27">
        <f>IF(OR(SUM($B83:$F83)=0,F83=""),"",F83/SUM($B83:$F83))</f>
        <v/>
      </c>
      <c r="H226" s="27">
        <f>IF(COUNT(B83:F83)=5,B83/SUM($B83:$F83),"")</f>
        <v/>
      </c>
      <c r="I226" s="27">
        <f>IF(COUNT(B83:F83)=5,C83/SUM($B83:$F83),"")</f>
        <v/>
      </c>
      <c r="J226" s="27">
        <f>IF(COUNT(B83:F83)=5,D83/SUM($B83:$F83),"")</f>
        <v/>
      </c>
      <c r="K226" s="27">
        <f>IF(COUNT(B83:F83)=5,E83/SUM($B83:$F83),"")</f>
        <v/>
      </c>
      <c r="L226" s="27">
        <f>IF(COUNT(B83:F83)=5,F83/SUM($B83:$F83),"")</f>
        <v/>
      </c>
    </row>
    <row r="227" hidden="1" outlineLevel="1">
      <c r="A227" t="inlineStr">
        <is>
          <t>Week1-Jan-2027</t>
        </is>
      </c>
      <c r="B227" s="27">
        <f>IF(OR(SUM($B84:$F84)=0,B84=""),"",B84/SUM($B84:$F84))</f>
        <v/>
      </c>
      <c r="C227" s="27">
        <f>IF(OR(SUM($B84:$F84)=0,C84=""),"",C84/SUM($B84:$F84))</f>
        <v/>
      </c>
      <c r="D227" s="27">
        <f>IF(OR(SUM($B84:$F84)=0,D84=""),"",D84/SUM($B84:$F84))</f>
        <v/>
      </c>
      <c r="E227" s="27">
        <f>IF(OR(SUM($B84:$F84)=0,E84=""),"",E84/SUM($B84:$F84))</f>
        <v/>
      </c>
      <c r="F227" s="27">
        <f>IF(OR(SUM($B84:$F84)=0,F84=""),"",F84/SUM($B84:$F84))</f>
        <v/>
      </c>
      <c r="H227" s="27">
        <f>IF(COUNT(B84:F84)=5,B84/SUM($B84:$F84),"")</f>
        <v/>
      </c>
      <c r="I227" s="27">
        <f>IF(COUNT(B84:F84)=5,C84/SUM($B84:$F84),"")</f>
        <v/>
      </c>
      <c r="J227" s="27">
        <f>IF(COUNT(B84:F84)=5,D84/SUM($B84:$F84),"")</f>
        <v/>
      </c>
      <c r="K227" s="27">
        <f>IF(COUNT(B84:F84)=5,E84/SUM($B84:$F84),"")</f>
        <v/>
      </c>
      <c r="L227" s="27">
        <f>IF(COUNT(B84:F84)=5,F84/SUM($B84:$F84),"")</f>
        <v/>
      </c>
    </row>
    <row r="228" hidden="1" outlineLevel="1">
      <c r="A228" t="inlineStr">
        <is>
          <t>Week2-Jan-2027</t>
        </is>
      </c>
      <c r="B228" s="27">
        <f>IF(OR(SUM($B85:$F85)=0,B85=""),"",B85/SUM($B85:$F85))</f>
        <v/>
      </c>
      <c r="C228" s="27">
        <f>IF(OR(SUM($B85:$F85)=0,C85=""),"",C85/SUM($B85:$F85))</f>
        <v/>
      </c>
      <c r="D228" s="27">
        <f>IF(OR(SUM($B85:$F85)=0,D85=""),"",D85/SUM($B85:$F85))</f>
        <v/>
      </c>
      <c r="E228" s="27">
        <f>IF(OR(SUM($B85:$F85)=0,E85=""),"",E85/SUM($B85:$F85))</f>
        <v/>
      </c>
      <c r="F228" s="27">
        <f>IF(OR(SUM($B85:$F85)=0,F85=""),"",F85/SUM($B85:$F85))</f>
        <v/>
      </c>
      <c r="H228" s="27">
        <f>IF(COUNT(B85:F85)=5,B85/SUM($B85:$F85),"")</f>
        <v/>
      </c>
      <c r="I228" s="27">
        <f>IF(COUNT(B85:F85)=5,C85/SUM($B85:$F85),"")</f>
        <v/>
      </c>
      <c r="J228" s="27">
        <f>IF(COUNT(B85:F85)=5,D85/SUM($B85:$F85),"")</f>
        <v/>
      </c>
      <c r="K228" s="27">
        <f>IF(COUNT(B85:F85)=5,E85/SUM($B85:$F85),"")</f>
        <v/>
      </c>
      <c r="L228" s="27">
        <f>IF(COUNT(B85:F85)=5,F85/SUM($B85:$F85),"")</f>
        <v/>
      </c>
    </row>
    <row r="229" hidden="1" outlineLevel="1">
      <c r="A229" t="inlineStr">
        <is>
          <t>Week3-Jan-2027</t>
        </is>
      </c>
      <c r="B229" s="27">
        <f>IF(OR(SUM($B86:$F86)=0,B86=""),"",B86/SUM($B86:$F86))</f>
        <v/>
      </c>
      <c r="C229" s="27">
        <f>IF(OR(SUM($B86:$F86)=0,C86=""),"",C86/SUM($B86:$F86))</f>
        <v/>
      </c>
      <c r="D229" s="27">
        <f>IF(OR(SUM($B86:$F86)=0,D86=""),"",D86/SUM($B86:$F86))</f>
        <v/>
      </c>
      <c r="E229" s="27">
        <f>IF(OR(SUM($B86:$F86)=0,E86=""),"",E86/SUM($B86:$F86))</f>
        <v/>
      </c>
      <c r="F229" s="27">
        <f>IF(OR(SUM($B86:$F86)=0,F86=""),"",F86/SUM($B86:$F86))</f>
        <v/>
      </c>
      <c r="H229" s="27">
        <f>IF(COUNT(B86:F86)=5,B86/SUM($B86:$F86),"")</f>
        <v/>
      </c>
      <c r="I229" s="27">
        <f>IF(COUNT(B86:F86)=5,C86/SUM($B86:$F86),"")</f>
        <v/>
      </c>
      <c r="J229" s="27">
        <f>IF(COUNT(B86:F86)=5,D86/SUM($B86:$F86),"")</f>
        <v/>
      </c>
      <c r="K229" s="27">
        <f>IF(COUNT(B86:F86)=5,E86/SUM($B86:$F86),"")</f>
        <v/>
      </c>
      <c r="L229" s="27">
        <f>IF(COUNT(B86:F86)=5,F86/SUM($B86:$F86),"")</f>
        <v/>
      </c>
    </row>
    <row r="230" hidden="1" outlineLevel="1">
      <c r="A230" t="inlineStr">
        <is>
          <t>Week4-Jan-2027</t>
        </is>
      </c>
      <c r="B230" s="27">
        <f>IF(OR(SUM($B87:$F87)=0,B87=""),"",B87/SUM($B87:$F87))</f>
        <v/>
      </c>
      <c r="C230" s="27">
        <f>IF(OR(SUM($B87:$F87)=0,C87=""),"",C87/SUM($B87:$F87))</f>
        <v/>
      </c>
      <c r="D230" s="27">
        <f>IF(OR(SUM($B87:$F87)=0,D87=""),"",D87/SUM($B87:$F87))</f>
        <v/>
      </c>
      <c r="E230" s="27">
        <f>IF(OR(SUM($B87:$F87)=0,E87=""),"",E87/SUM($B87:$F87))</f>
        <v/>
      </c>
      <c r="F230" s="27">
        <f>IF(OR(SUM($B87:$F87)=0,F87=""),"",F87/SUM($B87:$F87))</f>
        <v/>
      </c>
      <c r="H230" s="27">
        <f>IF(COUNT(B87:F87)=5,B87/SUM($B87:$F87),"")</f>
        <v/>
      </c>
      <c r="I230" s="27">
        <f>IF(COUNT(B87:F87)=5,C87/SUM($B87:$F87),"")</f>
        <v/>
      </c>
      <c r="J230" s="27">
        <f>IF(COUNT(B87:F87)=5,D87/SUM($B87:$F87),"")</f>
        <v/>
      </c>
      <c r="K230" s="27">
        <f>IF(COUNT(B87:F87)=5,E87/SUM($B87:$F87),"")</f>
        <v/>
      </c>
      <c r="L230" s="27">
        <f>IF(COUNT(B87:F87)=5,F87/SUM($B87:$F87),"")</f>
        <v/>
      </c>
    </row>
    <row r="231" hidden="1" outlineLevel="1">
      <c r="A231" t="inlineStr">
        <is>
          <t>Week5-Jan-2027</t>
        </is>
      </c>
      <c r="B231" s="27">
        <f>IF(OR(SUM($B88:$F88)=0,B88=""),"",B88/SUM($B88:$F88))</f>
        <v/>
      </c>
      <c r="C231" s="27">
        <f>IF(OR(SUM($B88:$F88)=0,C88=""),"",C88/SUM($B88:$F88))</f>
        <v/>
      </c>
      <c r="D231" s="27">
        <f>IF(OR(SUM($B88:$F88)=0,D88=""),"",D88/SUM($B88:$F88))</f>
        <v/>
      </c>
      <c r="E231" s="27">
        <f>IF(OR(SUM($B88:$F88)=0,E88=""),"",E88/SUM($B88:$F88))</f>
        <v/>
      </c>
      <c r="F231" s="27">
        <f>IF(OR(SUM($B88:$F88)=0,F88=""),"",F88/SUM($B88:$F88))</f>
        <v/>
      </c>
      <c r="H231" s="27">
        <f>IF(COUNT(B88:F88)=5,B88/SUM($B88:$F88),"")</f>
        <v/>
      </c>
      <c r="I231" s="27">
        <f>IF(COUNT(B88:F88)=5,C88/SUM($B88:$F88),"")</f>
        <v/>
      </c>
      <c r="J231" s="27">
        <f>IF(COUNT(B88:F88)=5,D88/SUM($B88:$F88),"")</f>
        <v/>
      </c>
      <c r="K231" s="27">
        <f>IF(COUNT(B88:F88)=5,E88/SUM($B88:$F88),"")</f>
        <v/>
      </c>
      <c r="L231" s="27">
        <f>IF(COUNT(B88:F88)=5,F88/SUM($B88:$F88),"")</f>
        <v/>
      </c>
    </row>
    <row r="232" hidden="1" outlineLevel="1">
      <c r="A232" t="inlineStr">
        <is>
          <t>Week1-Feb-2027</t>
        </is>
      </c>
      <c r="B232" s="27">
        <f>IF(OR(SUM($B89:$F89)=0,B89=""),"",B89/SUM($B89:$F89))</f>
        <v/>
      </c>
      <c r="C232" s="27">
        <f>IF(OR(SUM($B89:$F89)=0,C89=""),"",C89/SUM($B89:$F89))</f>
        <v/>
      </c>
      <c r="D232" s="27">
        <f>IF(OR(SUM($B89:$F89)=0,D89=""),"",D89/SUM($B89:$F89))</f>
        <v/>
      </c>
      <c r="E232" s="27">
        <f>IF(OR(SUM($B89:$F89)=0,E89=""),"",E89/SUM($B89:$F89))</f>
        <v/>
      </c>
      <c r="F232" s="27">
        <f>IF(OR(SUM($B89:$F89)=0,F89=""),"",F89/SUM($B89:$F89))</f>
        <v/>
      </c>
      <c r="H232" s="27">
        <f>IF(COUNT(B89:F89)=5,B89/SUM($B89:$F89),"")</f>
        <v/>
      </c>
      <c r="I232" s="27">
        <f>IF(COUNT(B89:F89)=5,C89/SUM($B89:$F89),"")</f>
        <v/>
      </c>
      <c r="J232" s="27">
        <f>IF(COUNT(B89:F89)=5,D89/SUM($B89:$F89),"")</f>
        <v/>
      </c>
      <c r="K232" s="27">
        <f>IF(COUNT(B89:F89)=5,E89/SUM($B89:$F89),"")</f>
        <v/>
      </c>
      <c r="L232" s="27">
        <f>IF(COUNT(B89:F89)=5,F89/SUM($B89:$F89),"")</f>
        <v/>
      </c>
    </row>
    <row r="233" hidden="1" outlineLevel="1">
      <c r="A233" t="inlineStr">
        <is>
          <t>Week2-Feb-2027</t>
        </is>
      </c>
      <c r="B233" s="27">
        <f>IF(OR(SUM($B90:$F90)=0,B90=""),"",B90/SUM($B90:$F90))</f>
        <v/>
      </c>
      <c r="C233" s="27">
        <f>IF(OR(SUM($B90:$F90)=0,C90=""),"",C90/SUM($B90:$F90))</f>
        <v/>
      </c>
      <c r="D233" s="27">
        <f>IF(OR(SUM($B90:$F90)=0,D90=""),"",D90/SUM($B90:$F90))</f>
        <v/>
      </c>
      <c r="E233" s="27">
        <f>IF(OR(SUM($B90:$F90)=0,E90=""),"",E90/SUM($B90:$F90))</f>
        <v/>
      </c>
      <c r="F233" s="27">
        <f>IF(OR(SUM($B90:$F90)=0,F90=""),"",F90/SUM($B90:$F90))</f>
        <v/>
      </c>
      <c r="H233" s="27">
        <f>IF(COUNT(B90:F90)=5,B90/SUM($B90:$F90),"")</f>
        <v/>
      </c>
      <c r="I233" s="27">
        <f>IF(COUNT(B90:F90)=5,C90/SUM($B90:$F90),"")</f>
        <v/>
      </c>
      <c r="J233" s="27">
        <f>IF(COUNT(B90:F90)=5,D90/SUM($B90:$F90),"")</f>
        <v/>
      </c>
      <c r="K233" s="27">
        <f>IF(COUNT(B90:F90)=5,E90/SUM($B90:$F90),"")</f>
        <v/>
      </c>
      <c r="L233" s="27">
        <f>IF(COUNT(B90:F90)=5,F90/SUM($B90:$F90),"")</f>
        <v/>
      </c>
    </row>
    <row r="234" hidden="1" outlineLevel="1">
      <c r="A234" t="inlineStr">
        <is>
          <t>Week3-Feb-2027</t>
        </is>
      </c>
      <c r="B234" s="27">
        <f>IF(OR(SUM($B91:$F91)=0,B91=""),"",B91/SUM($B91:$F91))</f>
        <v/>
      </c>
      <c r="C234" s="27">
        <f>IF(OR(SUM($B91:$F91)=0,C91=""),"",C91/SUM($B91:$F91))</f>
        <v/>
      </c>
      <c r="D234" s="27">
        <f>IF(OR(SUM($B91:$F91)=0,D91=""),"",D91/SUM($B91:$F91))</f>
        <v/>
      </c>
      <c r="E234" s="27">
        <f>IF(OR(SUM($B91:$F91)=0,E91=""),"",E91/SUM($B91:$F91))</f>
        <v/>
      </c>
      <c r="F234" s="27">
        <f>IF(OR(SUM($B91:$F91)=0,F91=""),"",F91/SUM($B91:$F91))</f>
        <v/>
      </c>
      <c r="H234" s="27">
        <f>IF(COUNT(B91:F91)=5,B91/SUM($B91:$F91),"")</f>
        <v/>
      </c>
      <c r="I234" s="27">
        <f>IF(COUNT(B91:F91)=5,C91/SUM($B91:$F91),"")</f>
        <v/>
      </c>
      <c r="J234" s="27">
        <f>IF(COUNT(B91:F91)=5,D91/SUM($B91:$F91),"")</f>
        <v/>
      </c>
      <c r="K234" s="27">
        <f>IF(COUNT(B91:F91)=5,E91/SUM($B91:$F91),"")</f>
        <v/>
      </c>
      <c r="L234" s="27">
        <f>IF(COUNT(B91:F91)=5,F91/SUM($B91:$F91),"")</f>
        <v/>
      </c>
    </row>
    <row r="235" hidden="1" outlineLevel="1">
      <c r="A235" t="inlineStr">
        <is>
          <t>Week4-Feb-2027</t>
        </is>
      </c>
      <c r="B235" s="27">
        <f>IF(OR(SUM($B92:$F92)=0,B92=""),"",B92/SUM($B92:$F92))</f>
        <v/>
      </c>
      <c r="C235" s="27">
        <f>IF(OR(SUM($B92:$F92)=0,C92=""),"",C92/SUM($B92:$F92))</f>
        <v/>
      </c>
      <c r="D235" s="27">
        <f>IF(OR(SUM($B92:$F92)=0,D92=""),"",D92/SUM($B92:$F92))</f>
        <v/>
      </c>
      <c r="E235" s="27">
        <f>IF(OR(SUM($B92:$F92)=0,E92=""),"",E92/SUM($B92:$F92))</f>
        <v/>
      </c>
      <c r="F235" s="27">
        <f>IF(OR(SUM($B92:$F92)=0,F92=""),"",F92/SUM($B92:$F92))</f>
        <v/>
      </c>
      <c r="H235" s="27">
        <f>IF(COUNT(B92:F92)=5,B92/SUM($B92:$F92),"")</f>
        <v/>
      </c>
      <c r="I235" s="27">
        <f>IF(COUNT(B92:F92)=5,C92/SUM($B92:$F92),"")</f>
        <v/>
      </c>
      <c r="J235" s="27">
        <f>IF(COUNT(B92:F92)=5,D92/SUM($B92:$F92),"")</f>
        <v/>
      </c>
      <c r="K235" s="27">
        <f>IF(COUNT(B92:F92)=5,E92/SUM($B92:$F92),"")</f>
        <v/>
      </c>
      <c r="L235" s="27">
        <f>IF(COUNT(B92:F92)=5,F92/SUM($B92:$F92),"")</f>
        <v/>
      </c>
    </row>
    <row r="236" hidden="1" outlineLevel="1">
      <c r="A236" t="inlineStr">
        <is>
          <t>Week1-Mar-2027</t>
        </is>
      </c>
      <c r="B236" s="27">
        <f>IF(OR(SUM($B93:$F93)=0,B93=""),"",B93/SUM($B93:$F93))</f>
        <v/>
      </c>
      <c r="C236" s="27">
        <f>IF(OR(SUM($B93:$F93)=0,C93=""),"",C93/SUM($B93:$F93))</f>
        <v/>
      </c>
      <c r="D236" s="27">
        <f>IF(OR(SUM($B93:$F93)=0,D93=""),"",D93/SUM($B93:$F93))</f>
        <v/>
      </c>
      <c r="E236" s="27">
        <f>IF(OR(SUM($B93:$F93)=0,E93=""),"",E93/SUM($B93:$F93))</f>
        <v/>
      </c>
      <c r="F236" s="27">
        <f>IF(OR(SUM($B93:$F93)=0,F93=""),"",F93/SUM($B93:$F93))</f>
        <v/>
      </c>
      <c r="H236" s="27">
        <f>IF(COUNT(B93:F93)=5,B93/SUM($B93:$F93),"")</f>
        <v/>
      </c>
      <c r="I236" s="27">
        <f>IF(COUNT(B93:F93)=5,C93/SUM($B93:$F93),"")</f>
        <v/>
      </c>
      <c r="J236" s="27">
        <f>IF(COUNT(B93:F93)=5,D93/SUM($B93:$F93),"")</f>
        <v/>
      </c>
      <c r="K236" s="27">
        <f>IF(COUNT(B93:F93)=5,E93/SUM($B93:$F93),"")</f>
        <v/>
      </c>
      <c r="L236" s="27">
        <f>IF(COUNT(B93:F93)=5,F93/SUM($B93:$F93),"")</f>
        <v/>
      </c>
    </row>
    <row r="237" hidden="1" outlineLevel="1">
      <c r="A237" t="inlineStr">
        <is>
          <t>Week2-Mar-2027</t>
        </is>
      </c>
      <c r="B237" s="27">
        <f>IF(OR(SUM($B94:$F94)=0,B94=""),"",B94/SUM($B94:$F94))</f>
        <v/>
      </c>
      <c r="C237" s="27">
        <f>IF(OR(SUM($B94:$F94)=0,C94=""),"",C94/SUM($B94:$F94))</f>
        <v/>
      </c>
      <c r="D237" s="27">
        <f>IF(OR(SUM($B94:$F94)=0,D94=""),"",D94/SUM($B94:$F94))</f>
        <v/>
      </c>
      <c r="E237" s="27">
        <f>IF(OR(SUM($B94:$F94)=0,E94=""),"",E94/SUM($B94:$F94))</f>
        <v/>
      </c>
      <c r="F237" s="27">
        <f>IF(OR(SUM($B94:$F94)=0,F94=""),"",F94/SUM($B94:$F94))</f>
        <v/>
      </c>
      <c r="H237" s="27">
        <f>IF(COUNT(B94:F94)=5,B94/SUM($B94:$F94),"")</f>
        <v/>
      </c>
      <c r="I237" s="27">
        <f>IF(COUNT(B94:F94)=5,C94/SUM($B94:$F94),"")</f>
        <v/>
      </c>
      <c r="J237" s="27">
        <f>IF(COUNT(B94:F94)=5,D94/SUM($B94:$F94),"")</f>
        <v/>
      </c>
      <c r="K237" s="27">
        <f>IF(COUNT(B94:F94)=5,E94/SUM($B94:$F94),"")</f>
        <v/>
      </c>
      <c r="L237" s="27">
        <f>IF(COUNT(B94:F94)=5,F94/SUM($B94:$F94),"")</f>
        <v/>
      </c>
    </row>
    <row r="238" hidden="1" outlineLevel="1">
      <c r="A238" t="inlineStr">
        <is>
          <t>Week3-Mar-2027</t>
        </is>
      </c>
      <c r="B238" s="27">
        <f>IF(OR(SUM($B95:$F95)=0,B95=""),"",B95/SUM($B95:$F95))</f>
        <v/>
      </c>
      <c r="C238" s="27">
        <f>IF(OR(SUM($B95:$F95)=0,C95=""),"",C95/SUM($B95:$F95))</f>
        <v/>
      </c>
      <c r="D238" s="27">
        <f>IF(OR(SUM($B95:$F95)=0,D95=""),"",D95/SUM($B95:$F95))</f>
        <v/>
      </c>
      <c r="E238" s="27">
        <f>IF(OR(SUM($B95:$F95)=0,E95=""),"",E95/SUM($B95:$F95))</f>
        <v/>
      </c>
      <c r="F238" s="27">
        <f>IF(OR(SUM($B95:$F95)=0,F95=""),"",F95/SUM($B95:$F95))</f>
        <v/>
      </c>
      <c r="H238" s="27">
        <f>IF(COUNT(B95:F95)=5,B95/SUM($B95:$F95),"")</f>
        <v/>
      </c>
      <c r="I238" s="27">
        <f>IF(COUNT(B95:F95)=5,C95/SUM($B95:$F95),"")</f>
        <v/>
      </c>
      <c r="J238" s="27">
        <f>IF(COUNT(B95:F95)=5,D95/SUM($B95:$F95),"")</f>
        <v/>
      </c>
      <c r="K238" s="27">
        <f>IF(COUNT(B95:F95)=5,E95/SUM($B95:$F95),"")</f>
        <v/>
      </c>
      <c r="L238" s="27">
        <f>IF(COUNT(B95:F95)=5,F95/SUM($B95:$F95),"")</f>
        <v/>
      </c>
    </row>
    <row r="239" hidden="1" outlineLevel="1">
      <c r="A239" t="inlineStr">
        <is>
          <t>Week4-Mar-2027</t>
        </is>
      </c>
      <c r="B239" s="27">
        <f>IF(OR(SUM($B96:$F96)=0,B96=""),"",B96/SUM($B96:$F96))</f>
        <v/>
      </c>
      <c r="C239" s="27">
        <f>IF(OR(SUM($B96:$F96)=0,C96=""),"",C96/SUM($B96:$F96))</f>
        <v/>
      </c>
      <c r="D239" s="27">
        <f>IF(OR(SUM($B96:$F96)=0,D96=""),"",D96/SUM($B96:$F96))</f>
        <v/>
      </c>
      <c r="E239" s="27">
        <f>IF(OR(SUM($B96:$F96)=0,E96=""),"",E96/SUM($B96:$F96))</f>
        <v/>
      </c>
      <c r="F239" s="27">
        <f>IF(OR(SUM($B96:$F96)=0,F96=""),"",F96/SUM($B96:$F96))</f>
        <v/>
      </c>
      <c r="H239" s="27">
        <f>IF(COUNT(B96:F96)=5,B96/SUM($B96:$F96),"")</f>
        <v/>
      </c>
      <c r="I239" s="27">
        <f>IF(COUNT(B96:F96)=5,C96/SUM($B96:$F96),"")</f>
        <v/>
      </c>
      <c r="J239" s="27">
        <f>IF(COUNT(B96:F96)=5,D96/SUM($B96:$F96),"")</f>
        <v/>
      </c>
      <c r="K239" s="27">
        <f>IF(COUNT(B96:F96)=5,E96/SUM($B96:$F96),"")</f>
        <v/>
      </c>
      <c r="L239" s="27">
        <f>IF(COUNT(B96:F96)=5,F96/SUM($B96:$F96),"")</f>
        <v/>
      </c>
    </row>
    <row r="240" hidden="1" outlineLevel="1">
      <c r="A240" t="inlineStr">
        <is>
          <t>Week5-Mar-2027</t>
        </is>
      </c>
      <c r="B240" s="27">
        <f>IF(OR(SUM($B97:$F97)=0,B97=""),"",B97/SUM($B97:$F97))</f>
        <v/>
      </c>
      <c r="C240" s="27">
        <f>IF(OR(SUM($B97:$F97)=0,C97=""),"",C97/SUM($B97:$F97))</f>
        <v/>
      </c>
      <c r="D240" s="27">
        <f>IF(OR(SUM($B97:$F97)=0,D97=""),"",D97/SUM($B97:$F97))</f>
        <v/>
      </c>
      <c r="E240" s="27">
        <f>IF(OR(SUM($B97:$F97)=0,E97=""),"",E97/SUM($B97:$F97))</f>
        <v/>
      </c>
      <c r="F240" s="27">
        <f>IF(OR(SUM($B97:$F97)=0,F97=""),"",F97/SUM($B97:$F97))</f>
        <v/>
      </c>
      <c r="H240" s="27">
        <f>IF(COUNT(B97:F97)=5,B97/SUM($B97:$F97),"")</f>
        <v/>
      </c>
      <c r="I240" s="27">
        <f>IF(COUNT(B97:F97)=5,C97/SUM($B97:$F97),"")</f>
        <v/>
      </c>
      <c r="J240" s="27">
        <f>IF(COUNT(B97:F97)=5,D97/SUM($B97:$F97),"")</f>
        <v/>
      </c>
      <c r="K240" s="27">
        <f>IF(COUNT(B97:F97)=5,E97/SUM($B97:$F97),"")</f>
        <v/>
      </c>
      <c r="L240" s="27">
        <f>IF(COUNT(B97:F97)=5,F97/SUM($B97:$F97),"")</f>
        <v/>
      </c>
    </row>
    <row r="241" hidden="1" outlineLevel="1">
      <c r="A241" t="inlineStr">
        <is>
          <t>Week1-Apr-2027</t>
        </is>
      </c>
      <c r="B241" s="27">
        <f>IF(OR(SUM($B98:$F98)=0,B98=""),"",B98/SUM($B98:$F98))</f>
        <v/>
      </c>
      <c r="C241" s="27">
        <f>IF(OR(SUM($B98:$F98)=0,C98=""),"",C98/SUM($B98:$F98))</f>
        <v/>
      </c>
      <c r="D241" s="27">
        <f>IF(OR(SUM($B98:$F98)=0,D98=""),"",D98/SUM($B98:$F98))</f>
        <v/>
      </c>
      <c r="E241" s="27">
        <f>IF(OR(SUM($B98:$F98)=0,E98=""),"",E98/SUM($B98:$F98))</f>
        <v/>
      </c>
      <c r="F241" s="27">
        <f>IF(OR(SUM($B98:$F98)=0,F98=""),"",F98/SUM($B98:$F98))</f>
        <v/>
      </c>
      <c r="H241" s="27">
        <f>IF(COUNT(B98:F98)=5,B98/SUM($B98:$F98),"")</f>
        <v/>
      </c>
      <c r="I241" s="27">
        <f>IF(COUNT(B98:F98)=5,C98/SUM($B98:$F98),"")</f>
        <v/>
      </c>
      <c r="J241" s="27">
        <f>IF(COUNT(B98:F98)=5,D98/SUM($B98:$F98),"")</f>
        <v/>
      </c>
      <c r="K241" s="27">
        <f>IF(COUNT(B98:F98)=5,E98/SUM($B98:$F98),"")</f>
        <v/>
      </c>
      <c r="L241" s="27">
        <f>IF(COUNT(B98:F98)=5,F98/SUM($B98:$F98),"")</f>
        <v/>
      </c>
    </row>
    <row r="242" hidden="1" outlineLevel="1">
      <c r="A242" t="inlineStr">
        <is>
          <t>Week2-Apr-2027</t>
        </is>
      </c>
      <c r="B242" s="27">
        <f>IF(OR(SUM($B99:$F99)=0,B99=""),"",B99/SUM($B99:$F99))</f>
        <v/>
      </c>
      <c r="C242" s="27">
        <f>IF(OR(SUM($B99:$F99)=0,C99=""),"",C99/SUM($B99:$F99))</f>
        <v/>
      </c>
      <c r="D242" s="27">
        <f>IF(OR(SUM($B99:$F99)=0,D99=""),"",D99/SUM($B99:$F99))</f>
        <v/>
      </c>
      <c r="E242" s="27">
        <f>IF(OR(SUM($B99:$F99)=0,E99=""),"",E99/SUM($B99:$F99))</f>
        <v/>
      </c>
      <c r="F242" s="27">
        <f>IF(OR(SUM($B99:$F99)=0,F99=""),"",F99/SUM($B99:$F99))</f>
        <v/>
      </c>
      <c r="H242" s="27">
        <f>IF(COUNT(B99:F99)=5,B99/SUM($B99:$F99),"")</f>
        <v/>
      </c>
      <c r="I242" s="27">
        <f>IF(COUNT(B99:F99)=5,C99/SUM($B99:$F99),"")</f>
        <v/>
      </c>
      <c r="J242" s="27">
        <f>IF(COUNT(B99:F99)=5,D99/SUM($B99:$F99),"")</f>
        <v/>
      </c>
      <c r="K242" s="27">
        <f>IF(COUNT(B99:F99)=5,E99/SUM($B99:$F99),"")</f>
        <v/>
      </c>
      <c r="L242" s="27">
        <f>IF(COUNT(B99:F99)=5,F99/SUM($B99:$F99),"")</f>
        <v/>
      </c>
    </row>
    <row r="243" hidden="1" outlineLevel="1">
      <c r="A243" t="inlineStr">
        <is>
          <t>Week3-Apr-2027</t>
        </is>
      </c>
      <c r="B243" s="27">
        <f>IF(OR(SUM($B100:$F100)=0,B100=""),"",B100/SUM($B100:$F100))</f>
        <v/>
      </c>
      <c r="C243" s="27">
        <f>IF(OR(SUM($B100:$F100)=0,C100=""),"",C100/SUM($B100:$F100))</f>
        <v/>
      </c>
      <c r="D243" s="27">
        <f>IF(OR(SUM($B100:$F100)=0,D100=""),"",D100/SUM($B100:$F100))</f>
        <v/>
      </c>
      <c r="E243" s="27">
        <f>IF(OR(SUM($B100:$F100)=0,E100=""),"",E100/SUM($B100:$F100))</f>
        <v/>
      </c>
      <c r="F243" s="27">
        <f>IF(OR(SUM($B100:$F100)=0,F100=""),"",F100/SUM($B100:$F100))</f>
        <v/>
      </c>
      <c r="H243" s="27">
        <f>IF(COUNT(B100:F100)=5,B100/SUM($B100:$F100),"")</f>
        <v/>
      </c>
      <c r="I243" s="27">
        <f>IF(COUNT(B100:F100)=5,C100/SUM($B100:$F100),"")</f>
        <v/>
      </c>
      <c r="J243" s="27">
        <f>IF(COUNT(B100:F100)=5,D100/SUM($B100:$F100),"")</f>
        <v/>
      </c>
      <c r="K243" s="27">
        <f>IF(COUNT(B100:F100)=5,E100/SUM($B100:$F100),"")</f>
        <v/>
      </c>
      <c r="L243" s="27">
        <f>IF(COUNT(B100:F100)=5,F100/SUM($B100:$F100),"")</f>
        <v/>
      </c>
    </row>
    <row r="244" hidden="1" outlineLevel="1">
      <c r="A244" t="inlineStr">
        <is>
          <t>Week4-Apr-2027</t>
        </is>
      </c>
      <c r="B244" s="27">
        <f>IF(OR(SUM($B101:$F101)=0,B101=""),"",B101/SUM($B101:$F101))</f>
        <v/>
      </c>
      <c r="C244" s="27">
        <f>IF(OR(SUM($B101:$F101)=0,C101=""),"",C101/SUM($B101:$F101))</f>
        <v/>
      </c>
      <c r="D244" s="27">
        <f>IF(OR(SUM($B101:$F101)=0,D101=""),"",D101/SUM($B101:$F101))</f>
        <v/>
      </c>
      <c r="E244" s="27">
        <f>IF(OR(SUM($B101:$F101)=0,E101=""),"",E101/SUM($B101:$F101))</f>
        <v/>
      </c>
      <c r="F244" s="27">
        <f>IF(OR(SUM($B101:$F101)=0,F101=""),"",F101/SUM($B101:$F101))</f>
        <v/>
      </c>
      <c r="H244" s="27">
        <f>IF(COUNT(B101:F101)=5,B101/SUM($B101:$F101),"")</f>
        <v/>
      </c>
      <c r="I244" s="27">
        <f>IF(COUNT(B101:F101)=5,C101/SUM($B101:$F101),"")</f>
        <v/>
      </c>
      <c r="J244" s="27">
        <f>IF(COUNT(B101:F101)=5,D101/SUM($B101:$F101),"")</f>
        <v/>
      </c>
      <c r="K244" s="27">
        <f>IF(COUNT(B101:F101)=5,E101/SUM($B101:$F101),"")</f>
        <v/>
      </c>
      <c r="L244" s="27">
        <f>IF(COUNT(B101:F101)=5,F101/SUM($B101:$F101),"")</f>
        <v/>
      </c>
    </row>
    <row r="245" hidden="1" outlineLevel="1">
      <c r="A245" t="inlineStr">
        <is>
          <t>Week5-Apr-2027</t>
        </is>
      </c>
      <c r="B245" s="27">
        <f>IF(OR(SUM($B102:$F102)=0,B102=""),"",B102/SUM($B102:$F102))</f>
        <v/>
      </c>
      <c r="C245" s="27">
        <f>IF(OR(SUM($B102:$F102)=0,C102=""),"",C102/SUM($B102:$F102))</f>
        <v/>
      </c>
      <c r="D245" s="27">
        <f>IF(OR(SUM($B102:$F102)=0,D102=""),"",D102/SUM($B102:$F102))</f>
        <v/>
      </c>
      <c r="E245" s="27">
        <f>IF(OR(SUM($B102:$F102)=0,E102=""),"",E102/SUM($B102:$F102))</f>
        <v/>
      </c>
      <c r="F245" s="27">
        <f>IF(OR(SUM($B102:$F102)=0,F102=""),"",F102/SUM($B102:$F102))</f>
        <v/>
      </c>
      <c r="H245" s="27">
        <f>IF(COUNT(B102:F102)=5,B102/SUM($B102:$F102),"")</f>
        <v/>
      </c>
      <c r="I245" s="27">
        <f>IF(COUNT(B102:F102)=5,C102/SUM($B102:$F102),"")</f>
        <v/>
      </c>
      <c r="J245" s="27">
        <f>IF(COUNT(B102:F102)=5,D102/SUM($B102:$F102),"")</f>
        <v/>
      </c>
      <c r="K245" s="27">
        <f>IF(COUNT(B102:F102)=5,E102/SUM($B102:$F102),"")</f>
        <v/>
      </c>
      <c r="L245" s="27">
        <f>IF(COUNT(B102:F102)=5,F102/SUM($B102:$F102),"")</f>
        <v/>
      </c>
    </row>
    <row r="246" hidden="1" outlineLevel="1">
      <c r="A246" t="inlineStr">
        <is>
          <t>Week1-May-2027</t>
        </is>
      </c>
      <c r="B246" s="27">
        <f>IF(OR(SUM($B103:$F103)=0,B103=""),"",B103/SUM($B103:$F103))</f>
        <v/>
      </c>
      <c r="C246" s="27">
        <f>IF(OR(SUM($B103:$F103)=0,C103=""),"",C103/SUM($B103:$F103))</f>
        <v/>
      </c>
      <c r="D246" s="27">
        <f>IF(OR(SUM($B103:$F103)=0,D103=""),"",D103/SUM($B103:$F103))</f>
        <v/>
      </c>
      <c r="E246" s="27">
        <f>IF(OR(SUM($B103:$F103)=0,E103=""),"",E103/SUM($B103:$F103))</f>
        <v/>
      </c>
      <c r="F246" s="27">
        <f>IF(OR(SUM($B103:$F103)=0,F103=""),"",F103/SUM($B103:$F103))</f>
        <v/>
      </c>
      <c r="H246" s="27">
        <f>IF(COUNT(B103:F103)=5,B103/SUM($B103:$F103),"")</f>
        <v/>
      </c>
      <c r="I246" s="27">
        <f>IF(COUNT(B103:F103)=5,C103/SUM($B103:$F103),"")</f>
        <v/>
      </c>
      <c r="J246" s="27">
        <f>IF(COUNT(B103:F103)=5,D103/SUM($B103:$F103),"")</f>
        <v/>
      </c>
      <c r="K246" s="27">
        <f>IF(COUNT(B103:F103)=5,E103/SUM($B103:$F103),"")</f>
        <v/>
      </c>
      <c r="L246" s="27">
        <f>IF(COUNT(B103:F103)=5,F103/SUM($B103:$F103),"")</f>
        <v/>
      </c>
    </row>
    <row r="247" hidden="1" outlineLevel="1">
      <c r="A247" t="inlineStr">
        <is>
          <t>Week2-May-2027</t>
        </is>
      </c>
      <c r="B247" s="27">
        <f>IF(OR(SUM($B104:$F104)=0,B104=""),"",B104/SUM($B104:$F104))</f>
        <v/>
      </c>
      <c r="C247" s="27">
        <f>IF(OR(SUM($B104:$F104)=0,C104=""),"",C104/SUM($B104:$F104))</f>
        <v/>
      </c>
      <c r="D247" s="27">
        <f>IF(OR(SUM($B104:$F104)=0,D104=""),"",D104/SUM($B104:$F104))</f>
        <v/>
      </c>
      <c r="E247" s="27">
        <f>IF(OR(SUM($B104:$F104)=0,E104=""),"",E104/SUM($B104:$F104))</f>
        <v/>
      </c>
      <c r="F247" s="27">
        <f>IF(OR(SUM($B104:$F104)=0,F104=""),"",F104/SUM($B104:$F104))</f>
        <v/>
      </c>
      <c r="H247" s="27">
        <f>IF(COUNT(B104:F104)=5,B104/SUM($B104:$F104),"")</f>
        <v/>
      </c>
      <c r="I247" s="27">
        <f>IF(COUNT(B104:F104)=5,C104/SUM($B104:$F104),"")</f>
        <v/>
      </c>
      <c r="J247" s="27">
        <f>IF(COUNT(B104:F104)=5,D104/SUM($B104:$F104),"")</f>
        <v/>
      </c>
      <c r="K247" s="27">
        <f>IF(COUNT(B104:F104)=5,E104/SUM($B104:$F104),"")</f>
        <v/>
      </c>
      <c r="L247" s="27">
        <f>IF(COUNT(B104:F104)=5,F104/SUM($B104:$F104),"")</f>
        <v/>
      </c>
    </row>
    <row r="248" hidden="1" outlineLevel="1">
      <c r="A248" t="inlineStr">
        <is>
          <t>Week3-May-2027</t>
        </is>
      </c>
      <c r="B248" s="27">
        <f>IF(OR(SUM($B105:$F105)=0,B105=""),"",B105/SUM($B105:$F105))</f>
        <v/>
      </c>
      <c r="C248" s="27">
        <f>IF(OR(SUM($B105:$F105)=0,C105=""),"",C105/SUM($B105:$F105))</f>
        <v/>
      </c>
      <c r="D248" s="27">
        <f>IF(OR(SUM($B105:$F105)=0,D105=""),"",D105/SUM($B105:$F105))</f>
        <v/>
      </c>
      <c r="E248" s="27">
        <f>IF(OR(SUM($B105:$F105)=0,E105=""),"",E105/SUM($B105:$F105))</f>
        <v/>
      </c>
      <c r="F248" s="27">
        <f>IF(OR(SUM($B105:$F105)=0,F105=""),"",F105/SUM($B105:$F105))</f>
        <v/>
      </c>
      <c r="H248" s="27">
        <f>IF(COUNT(B105:F105)=5,B105/SUM($B105:$F105),"")</f>
        <v/>
      </c>
      <c r="I248" s="27">
        <f>IF(COUNT(B105:F105)=5,C105/SUM($B105:$F105),"")</f>
        <v/>
      </c>
      <c r="J248" s="27">
        <f>IF(COUNT(B105:F105)=5,D105/SUM($B105:$F105),"")</f>
        <v/>
      </c>
      <c r="K248" s="27">
        <f>IF(COUNT(B105:F105)=5,E105/SUM($B105:$F105),"")</f>
        <v/>
      </c>
      <c r="L248" s="27">
        <f>IF(COUNT(B105:F105)=5,F105/SUM($B105:$F105),"")</f>
        <v/>
      </c>
    </row>
    <row r="249" hidden="1" outlineLevel="1">
      <c r="A249" t="inlineStr">
        <is>
          <t>Week4-May-2027</t>
        </is>
      </c>
      <c r="B249" s="27">
        <f>IF(OR(SUM($B106:$F106)=0,B106=""),"",B106/SUM($B106:$F106))</f>
        <v/>
      </c>
      <c r="C249" s="27">
        <f>IF(OR(SUM($B106:$F106)=0,C106=""),"",C106/SUM($B106:$F106))</f>
        <v/>
      </c>
      <c r="D249" s="27">
        <f>IF(OR(SUM($B106:$F106)=0,D106=""),"",D106/SUM($B106:$F106))</f>
        <v/>
      </c>
      <c r="E249" s="27">
        <f>IF(OR(SUM($B106:$F106)=0,E106=""),"",E106/SUM($B106:$F106))</f>
        <v/>
      </c>
      <c r="F249" s="27">
        <f>IF(OR(SUM($B106:$F106)=0,F106=""),"",F106/SUM($B106:$F106))</f>
        <v/>
      </c>
      <c r="H249" s="27">
        <f>IF(COUNT(B106:F106)=5,B106/SUM($B106:$F106),"")</f>
        <v/>
      </c>
      <c r="I249" s="27">
        <f>IF(COUNT(B106:F106)=5,C106/SUM($B106:$F106),"")</f>
        <v/>
      </c>
      <c r="J249" s="27">
        <f>IF(COUNT(B106:F106)=5,D106/SUM($B106:$F106),"")</f>
        <v/>
      </c>
      <c r="K249" s="27">
        <f>IF(COUNT(B106:F106)=5,E106/SUM($B106:$F106),"")</f>
        <v/>
      </c>
      <c r="L249" s="27">
        <f>IF(COUNT(B106:F106)=5,F106/SUM($B106:$F106),"")</f>
        <v/>
      </c>
    </row>
    <row r="250" hidden="1" outlineLevel="1">
      <c r="A250" t="inlineStr">
        <is>
          <t>Week5-May-2027</t>
        </is>
      </c>
      <c r="B250" s="27">
        <f>IF(OR(SUM($B107:$F107)=0,B107=""),"",B107/SUM($B107:$F107))</f>
        <v/>
      </c>
      <c r="C250" s="27">
        <f>IF(OR(SUM($B107:$F107)=0,C107=""),"",C107/SUM($B107:$F107))</f>
        <v/>
      </c>
      <c r="D250" s="27">
        <f>IF(OR(SUM($B107:$F107)=0,D107=""),"",D107/SUM($B107:$F107))</f>
        <v/>
      </c>
      <c r="E250" s="27">
        <f>IF(OR(SUM($B107:$F107)=0,E107=""),"",E107/SUM($B107:$F107))</f>
        <v/>
      </c>
      <c r="F250" s="27">
        <f>IF(OR(SUM($B107:$F107)=0,F107=""),"",F107/SUM($B107:$F107))</f>
        <v/>
      </c>
      <c r="H250" s="27">
        <f>IF(COUNT(B107:F107)=5,B107/SUM($B107:$F107),"")</f>
        <v/>
      </c>
      <c r="I250" s="27">
        <f>IF(COUNT(B107:F107)=5,C107/SUM($B107:$F107),"")</f>
        <v/>
      </c>
      <c r="J250" s="27">
        <f>IF(COUNT(B107:F107)=5,D107/SUM($B107:$F107),"")</f>
        <v/>
      </c>
      <c r="K250" s="27">
        <f>IF(COUNT(B107:F107)=5,E107/SUM($B107:$F107),"")</f>
        <v/>
      </c>
      <c r="L250" s="27">
        <f>IF(COUNT(B107:F107)=5,F107/SUM($B107:$F107),"")</f>
        <v/>
      </c>
    </row>
    <row r="251" hidden="1" outlineLevel="1">
      <c r="A251" t="inlineStr">
        <is>
          <t>Week1-Jun-2027</t>
        </is>
      </c>
      <c r="B251" s="27">
        <f>IF(OR(SUM($B108:$F108)=0,B108=""),"",B108/SUM($B108:$F108))</f>
        <v/>
      </c>
      <c r="C251" s="27">
        <f>IF(OR(SUM($B108:$F108)=0,C108=""),"",C108/SUM($B108:$F108))</f>
        <v/>
      </c>
      <c r="D251" s="27">
        <f>IF(OR(SUM($B108:$F108)=0,D108=""),"",D108/SUM($B108:$F108))</f>
        <v/>
      </c>
      <c r="E251" s="27">
        <f>IF(OR(SUM($B108:$F108)=0,E108=""),"",E108/SUM($B108:$F108))</f>
        <v/>
      </c>
      <c r="F251" s="27">
        <f>IF(OR(SUM($B108:$F108)=0,F108=""),"",F108/SUM($B108:$F108))</f>
        <v/>
      </c>
      <c r="H251" s="27">
        <f>IF(COUNT(B108:F108)=5,B108/SUM($B108:$F108),"")</f>
        <v/>
      </c>
      <c r="I251" s="27">
        <f>IF(COUNT(B108:F108)=5,C108/SUM($B108:$F108),"")</f>
        <v/>
      </c>
      <c r="J251" s="27">
        <f>IF(COUNT(B108:F108)=5,D108/SUM($B108:$F108),"")</f>
        <v/>
      </c>
      <c r="K251" s="27">
        <f>IF(COUNT(B108:F108)=5,E108/SUM($B108:$F108),"")</f>
        <v/>
      </c>
      <c r="L251" s="27">
        <f>IF(COUNT(B108:F108)=5,F108/SUM($B108:$F108),"")</f>
        <v/>
      </c>
    </row>
    <row r="252" hidden="1" outlineLevel="1">
      <c r="A252" t="inlineStr">
        <is>
          <t>Week2-Jun-2027</t>
        </is>
      </c>
      <c r="B252" s="27">
        <f>IF(OR(SUM($B109:$F109)=0,B109=""),"",B109/SUM($B109:$F109))</f>
        <v/>
      </c>
      <c r="C252" s="27">
        <f>IF(OR(SUM($B109:$F109)=0,C109=""),"",C109/SUM($B109:$F109))</f>
        <v/>
      </c>
      <c r="D252" s="27">
        <f>IF(OR(SUM($B109:$F109)=0,D109=""),"",D109/SUM($B109:$F109))</f>
        <v/>
      </c>
      <c r="E252" s="27">
        <f>IF(OR(SUM($B109:$F109)=0,E109=""),"",E109/SUM($B109:$F109))</f>
        <v/>
      </c>
      <c r="F252" s="27">
        <f>IF(OR(SUM($B109:$F109)=0,F109=""),"",F109/SUM($B109:$F109))</f>
        <v/>
      </c>
      <c r="H252" s="27">
        <f>IF(COUNT(B109:F109)=5,B109/SUM($B109:$F109),"")</f>
        <v/>
      </c>
      <c r="I252" s="27">
        <f>IF(COUNT(B109:F109)=5,C109/SUM($B109:$F109),"")</f>
        <v/>
      </c>
      <c r="J252" s="27">
        <f>IF(COUNT(B109:F109)=5,D109/SUM($B109:$F109),"")</f>
        <v/>
      </c>
      <c r="K252" s="27">
        <f>IF(COUNT(B109:F109)=5,E109/SUM($B109:$F109),"")</f>
        <v/>
      </c>
      <c r="L252" s="27">
        <f>IF(COUNT(B109:F109)=5,F109/SUM($B109:$F109),"")</f>
        <v/>
      </c>
    </row>
    <row r="253" hidden="1" outlineLevel="1">
      <c r="A253" t="inlineStr">
        <is>
          <t>Week3-Jun-2027</t>
        </is>
      </c>
      <c r="B253" s="27">
        <f>IF(OR(SUM($B110:$F110)=0,B110=""),"",B110/SUM($B110:$F110))</f>
        <v/>
      </c>
      <c r="C253" s="27">
        <f>IF(OR(SUM($B110:$F110)=0,C110=""),"",C110/SUM($B110:$F110))</f>
        <v/>
      </c>
      <c r="D253" s="27">
        <f>IF(OR(SUM($B110:$F110)=0,D110=""),"",D110/SUM($B110:$F110))</f>
        <v/>
      </c>
      <c r="E253" s="27">
        <f>IF(OR(SUM($B110:$F110)=0,E110=""),"",E110/SUM($B110:$F110))</f>
        <v/>
      </c>
      <c r="F253" s="27">
        <f>IF(OR(SUM($B110:$F110)=0,F110=""),"",F110/SUM($B110:$F110))</f>
        <v/>
      </c>
      <c r="H253" s="27">
        <f>IF(COUNT(B110:F110)=5,B110/SUM($B110:$F110),"")</f>
        <v/>
      </c>
      <c r="I253" s="27">
        <f>IF(COUNT(B110:F110)=5,C110/SUM($B110:$F110),"")</f>
        <v/>
      </c>
      <c r="J253" s="27">
        <f>IF(COUNT(B110:F110)=5,D110/SUM($B110:$F110),"")</f>
        <v/>
      </c>
      <c r="K253" s="27">
        <f>IF(COUNT(B110:F110)=5,E110/SUM($B110:$F110),"")</f>
        <v/>
      </c>
      <c r="L253" s="27">
        <f>IF(COUNT(B110:F110)=5,F110/SUM($B110:$F110),"")</f>
        <v/>
      </c>
    </row>
    <row r="254" hidden="1" outlineLevel="1">
      <c r="A254" t="inlineStr">
        <is>
          <t>Week4-Jun-2027</t>
        </is>
      </c>
      <c r="B254" s="27">
        <f>IF(OR(SUM($B111:$F111)=0,B111=""),"",B111/SUM($B111:$F111))</f>
        <v/>
      </c>
      <c r="C254" s="27">
        <f>IF(OR(SUM($B111:$F111)=0,C111=""),"",C111/SUM($B111:$F111))</f>
        <v/>
      </c>
      <c r="D254" s="27">
        <f>IF(OR(SUM($B111:$F111)=0,D111=""),"",D111/SUM($B111:$F111))</f>
        <v/>
      </c>
      <c r="E254" s="27">
        <f>IF(OR(SUM($B111:$F111)=0,E111=""),"",E111/SUM($B111:$F111))</f>
        <v/>
      </c>
      <c r="F254" s="27">
        <f>IF(OR(SUM($B111:$F111)=0,F111=""),"",F111/SUM($B111:$F111))</f>
        <v/>
      </c>
      <c r="H254" s="27">
        <f>IF(COUNT(B111:F111)=5,B111/SUM($B111:$F111),"")</f>
        <v/>
      </c>
      <c r="I254" s="27">
        <f>IF(COUNT(B111:F111)=5,C111/SUM($B111:$F111),"")</f>
        <v/>
      </c>
      <c r="J254" s="27">
        <f>IF(COUNT(B111:F111)=5,D111/SUM($B111:$F111),"")</f>
        <v/>
      </c>
      <c r="K254" s="27">
        <f>IF(COUNT(B111:F111)=5,E111/SUM($B111:$F111),"")</f>
        <v/>
      </c>
      <c r="L254" s="27">
        <f>IF(COUNT(B111:F111)=5,F111/SUM($B111:$F111),"")</f>
        <v/>
      </c>
    </row>
    <row r="255" hidden="1" outlineLevel="1">
      <c r="A255" t="inlineStr">
        <is>
          <t>Week5-Jun-2027</t>
        </is>
      </c>
      <c r="B255" s="27">
        <f>IF(OR(SUM($B112:$F112)=0,B112=""),"",B112/SUM($B112:$F112))</f>
        <v/>
      </c>
      <c r="C255" s="27">
        <f>IF(OR(SUM($B112:$F112)=0,C112=""),"",C112/SUM($B112:$F112))</f>
        <v/>
      </c>
      <c r="D255" s="27">
        <f>IF(OR(SUM($B112:$F112)=0,D112=""),"",D112/SUM($B112:$F112))</f>
        <v/>
      </c>
      <c r="E255" s="27">
        <f>IF(OR(SUM($B112:$F112)=0,E112=""),"",E112/SUM($B112:$F112))</f>
        <v/>
      </c>
      <c r="F255" s="27">
        <f>IF(OR(SUM($B112:$F112)=0,F112=""),"",F112/SUM($B112:$F112))</f>
        <v/>
      </c>
      <c r="H255" s="27">
        <f>IF(COUNT(B112:F112)=5,B112/SUM($B112:$F112),"")</f>
        <v/>
      </c>
      <c r="I255" s="27">
        <f>IF(COUNT(B112:F112)=5,C112/SUM($B112:$F112),"")</f>
        <v/>
      </c>
      <c r="J255" s="27">
        <f>IF(COUNT(B112:F112)=5,D112/SUM($B112:$F112),"")</f>
        <v/>
      </c>
      <c r="K255" s="27">
        <f>IF(COUNT(B112:F112)=5,E112/SUM($B112:$F112),"")</f>
        <v/>
      </c>
      <c r="L255" s="27">
        <f>IF(COUNT(B112:F112)=5,F112/SUM($B112:$F112),"")</f>
        <v/>
      </c>
    </row>
    <row r="256" hidden="1" outlineLevel="1">
      <c r="A256" t="inlineStr">
        <is>
          <t>Week1-Jul-2027</t>
        </is>
      </c>
      <c r="B256" s="27">
        <f>IF(OR(SUM($B113:$F113)=0,B113=""),"",B113/SUM($B113:$F113))</f>
        <v/>
      </c>
      <c r="C256" s="27">
        <f>IF(OR(SUM($B113:$F113)=0,C113=""),"",C113/SUM($B113:$F113))</f>
        <v/>
      </c>
      <c r="D256" s="27">
        <f>IF(OR(SUM($B113:$F113)=0,D113=""),"",D113/SUM($B113:$F113))</f>
        <v/>
      </c>
      <c r="E256" s="27">
        <f>IF(OR(SUM($B113:$F113)=0,E113=""),"",E113/SUM($B113:$F113))</f>
        <v/>
      </c>
      <c r="F256" s="27">
        <f>IF(OR(SUM($B113:$F113)=0,F113=""),"",F113/SUM($B113:$F113))</f>
        <v/>
      </c>
      <c r="H256" s="27">
        <f>IF(COUNT(B113:F113)=5,B113/SUM($B113:$F113),"")</f>
        <v/>
      </c>
      <c r="I256" s="27">
        <f>IF(COUNT(B113:F113)=5,C113/SUM($B113:$F113),"")</f>
        <v/>
      </c>
      <c r="J256" s="27">
        <f>IF(COUNT(B113:F113)=5,D113/SUM($B113:$F113),"")</f>
        <v/>
      </c>
      <c r="K256" s="27">
        <f>IF(COUNT(B113:F113)=5,E113/SUM($B113:$F113),"")</f>
        <v/>
      </c>
      <c r="L256" s="27">
        <f>IF(COUNT(B113:F113)=5,F113/SUM($B113:$F113),"")</f>
        <v/>
      </c>
    </row>
    <row r="257" hidden="1" outlineLevel="1">
      <c r="A257" t="inlineStr">
        <is>
          <t>Week2-Jul-2027</t>
        </is>
      </c>
      <c r="B257" s="27">
        <f>IF(OR(SUM($B114:$F114)=0,B114=""),"",B114/SUM($B114:$F114))</f>
        <v/>
      </c>
      <c r="C257" s="27">
        <f>IF(OR(SUM($B114:$F114)=0,C114=""),"",C114/SUM($B114:$F114))</f>
        <v/>
      </c>
      <c r="D257" s="27">
        <f>IF(OR(SUM($B114:$F114)=0,D114=""),"",D114/SUM($B114:$F114))</f>
        <v/>
      </c>
      <c r="E257" s="27">
        <f>IF(OR(SUM($B114:$F114)=0,E114=""),"",E114/SUM($B114:$F114))</f>
        <v/>
      </c>
      <c r="F257" s="27">
        <f>IF(OR(SUM($B114:$F114)=0,F114=""),"",F114/SUM($B114:$F114))</f>
        <v/>
      </c>
      <c r="H257" s="27">
        <f>IF(COUNT(B114:F114)=5,B114/SUM($B114:$F114),"")</f>
        <v/>
      </c>
      <c r="I257" s="27">
        <f>IF(COUNT(B114:F114)=5,C114/SUM($B114:$F114),"")</f>
        <v/>
      </c>
      <c r="J257" s="27">
        <f>IF(COUNT(B114:F114)=5,D114/SUM($B114:$F114),"")</f>
        <v/>
      </c>
      <c r="K257" s="27">
        <f>IF(COUNT(B114:F114)=5,E114/SUM($B114:$F114),"")</f>
        <v/>
      </c>
      <c r="L257" s="27">
        <f>IF(COUNT(B114:F114)=5,F114/SUM($B114:$F114),"")</f>
        <v/>
      </c>
    </row>
    <row r="258" hidden="1" outlineLevel="1">
      <c r="A258" t="inlineStr">
        <is>
          <t>Week3-Jul-2027</t>
        </is>
      </c>
      <c r="B258" s="27">
        <f>IF(OR(SUM($B115:$F115)=0,B115=""),"",B115/SUM($B115:$F115))</f>
        <v/>
      </c>
      <c r="C258" s="27">
        <f>IF(OR(SUM($B115:$F115)=0,C115=""),"",C115/SUM($B115:$F115))</f>
        <v/>
      </c>
      <c r="D258" s="27">
        <f>IF(OR(SUM($B115:$F115)=0,D115=""),"",D115/SUM($B115:$F115))</f>
        <v/>
      </c>
      <c r="E258" s="27">
        <f>IF(OR(SUM($B115:$F115)=0,E115=""),"",E115/SUM($B115:$F115))</f>
        <v/>
      </c>
      <c r="F258" s="27">
        <f>IF(OR(SUM($B115:$F115)=0,F115=""),"",F115/SUM($B115:$F115))</f>
        <v/>
      </c>
      <c r="H258" s="27">
        <f>IF(COUNT(B115:F115)=5,B115/SUM($B115:$F115),"")</f>
        <v/>
      </c>
      <c r="I258" s="27">
        <f>IF(COUNT(B115:F115)=5,C115/SUM($B115:$F115),"")</f>
        <v/>
      </c>
      <c r="J258" s="27">
        <f>IF(COUNT(B115:F115)=5,D115/SUM($B115:$F115),"")</f>
        <v/>
      </c>
      <c r="K258" s="27">
        <f>IF(COUNT(B115:F115)=5,E115/SUM($B115:$F115),"")</f>
        <v/>
      </c>
      <c r="L258" s="27">
        <f>IF(COUNT(B115:F115)=5,F115/SUM($B115:$F115),"")</f>
        <v/>
      </c>
    </row>
    <row r="259" hidden="1" outlineLevel="1">
      <c r="A259" t="inlineStr">
        <is>
          <t>Week4-Jul-2027</t>
        </is>
      </c>
      <c r="B259" s="27">
        <f>IF(OR(SUM($B116:$F116)=0,B116=""),"",B116/SUM($B116:$F116))</f>
        <v/>
      </c>
      <c r="C259" s="27">
        <f>IF(OR(SUM($B116:$F116)=0,C116=""),"",C116/SUM($B116:$F116))</f>
        <v/>
      </c>
      <c r="D259" s="27">
        <f>IF(OR(SUM($B116:$F116)=0,D116=""),"",D116/SUM($B116:$F116))</f>
        <v/>
      </c>
      <c r="E259" s="27">
        <f>IF(OR(SUM($B116:$F116)=0,E116=""),"",E116/SUM($B116:$F116))</f>
        <v/>
      </c>
      <c r="F259" s="27">
        <f>IF(OR(SUM($B116:$F116)=0,F116=""),"",F116/SUM($B116:$F116))</f>
        <v/>
      </c>
      <c r="H259" s="27">
        <f>IF(COUNT(B116:F116)=5,B116/SUM($B116:$F116),"")</f>
        <v/>
      </c>
      <c r="I259" s="27">
        <f>IF(COUNT(B116:F116)=5,C116/SUM($B116:$F116),"")</f>
        <v/>
      </c>
      <c r="J259" s="27">
        <f>IF(COUNT(B116:F116)=5,D116/SUM($B116:$F116),"")</f>
        <v/>
      </c>
      <c r="K259" s="27">
        <f>IF(COUNT(B116:F116)=5,E116/SUM($B116:$F116),"")</f>
        <v/>
      </c>
      <c r="L259" s="27">
        <f>IF(COUNT(B116:F116)=5,F116/SUM($B116:$F116),"")</f>
        <v/>
      </c>
    </row>
    <row r="260" hidden="1" outlineLevel="1">
      <c r="A260" t="inlineStr">
        <is>
          <t>Week5-Jul-2027</t>
        </is>
      </c>
      <c r="B260" s="27">
        <f>IF(OR(SUM($B117:$F117)=0,B117=""),"",B117/SUM($B117:$F117))</f>
        <v/>
      </c>
      <c r="C260" s="27">
        <f>IF(OR(SUM($B117:$F117)=0,C117=""),"",C117/SUM($B117:$F117))</f>
        <v/>
      </c>
      <c r="D260" s="27">
        <f>IF(OR(SUM($B117:$F117)=0,D117=""),"",D117/SUM($B117:$F117))</f>
        <v/>
      </c>
      <c r="E260" s="27">
        <f>IF(OR(SUM($B117:$F117)=0,E117=""),"",E117/SUM($B117:$F117))</f>
        <v/>
      </c>
      <c r="F260" s="27">
        <f>IF(OR(SUM($B117:$F117)=0,F117=""),"",F117/SUM($B117:$F117))</f>
        <v/>
      </c>
      <c r="H260" s="27">
        <f>IF(COUNT(B117:F117)=5,B117/SUM($B117:$F117),"")</f>
        <v/>
      </c>
      <c r="I260" s="27">
        <f>IF(COUNT(B117:F117)=5,C117/SUM($B117:$F117),"")</f>
        <v/>
      </c>
      <c r="J260" s="27">
        <f>IF(COUNT(B117:F117)=5,D117/SUM($B117:$F117),"")</f>
        <v/>
      </c>
      <c r="K260" s="27">
        <f>IF(COUNT(B117:F117)=5,E117/SUM($B117:$F117),"")</f>
        <v/>
      </c>
      <c r="L260" s="27">
        <f>IF(COUNT(B117:F117)=5,F117/SUM($B117:$F117),"")</f>
        <v/>
      </c>
    </row>
    <row r="261" hidden="1" outlineLevel="1">
      <c r="A261" t="inlineStr">
        <is>
          <t>Week1-Aug-2027</t>
        </is>
      </c>
      <c r="B261" s="27">
        <f>IF(OR(SUM($B118:$F118)=0,B118=""),"",B118/SUM($B118:$F118))</f>
        <v/>
      </c>
      <c r="C261" s="27">
        <f>IF(OR(SUM($B118:$F118)=0,C118=""),"",C118/SUM($B118:$F118))</f>
        <v/>
      </c>
      <c r="D261" s="27">
        <f>IF(OR(SUM($B118:$F118)=0,D118=""),"",D118/SUM($B118:$F118))</f>
        <v/>
      </c>
      <c r="E261" s="27">
        <f>IF(OR(SUM($B118:$F118)=0,E118=""),"",E118/SUM($B118:$F118))</f>
        <v/>
      </c>
      <c r="F261" s="27">
        <f>IF(OR(SUM($B118:$F118)=0,F118=""),"",F118/SUM($B118:$F118))</f>
        <v/>
      </c>
      <c r="H261" s="27">
        <f>IF(COUNT(B118:F118)=5,B118/SUM($B118:$F118),"")</f>
        <v/>
      </c>
      <c r="I261" s="27">
        <f>IF(COUNT(B118:F118)=5,C118/SUM($B118:$F118),"")</f>
        <v/>
      </c>
      <c r="J261" s="27">
        <f>IF(COUNT(B118:F118)=5,D118/SUM($B118:$F118),"")</f>
        <v/>
      </c>
      <c r="K261" s="27">
        <f>IF(COUNT(B118:F118)=5,E118/SUM($B118:$F118),"")</f>
        <v/>
      </c>
      <c r="L261" s="27">
        <f>IF(COUNT(B118:F118)=5,F118/SUM($B118:$F118),"")</f>
        <v/>
      </c>
    </row>
    <row r="262" hidden="1" outlineLevel="1">
      <c r="A262" t="inlineStr">
        <is>
          <t>Week2-Aug-2027</t>
        </is>
      </c>
      <c r="B262" s="27">
        <f>IF(OR(SUM($B119:$F119)=0,B119=""),"",B119/SUM($B119:$F119))</f>
        <v/>
      </c>
      <c r="C262" s="27">
        <f>IF(OR(SUM($B119:$F119)=0,C119=""),"",C119/SUM($B119:$F119))</f>
        <v/>
      </c>
      <c r="D262" s="27">
        <f>IF(OR(SUM($B119:$F119)=0,D119=""),"",D119/SUM($B119:$F119))</f>
        <v/>
      </c>
      <c r="E262" s="27">
        <f>IF(OR(SUM($B119:$F119)=0,E119=""),"",E119/SUM($B119:$F119))</f>
        <v/>
      </c>
      <c r="F262" s="27">
        <f>IF(OR(SUM($B119:$F119)=0,F119=""),"",F119/SUM($B119:$F119))</f>
        <v/>
      </c>
      <c r="H262" s="27">
        <f>IF(COUNT(B119:F119)=5,B119/SUM($B119:$F119),"")</f>
        <v/>
      </c>
      <c r="I262" s="27">
        <f>IF(COUNT(B119:F119)=5,C119/SUM($B119:$F119),"")</f>
        <v/>
      </c>
      <c r="J262" s="27">
        <f>IF(COUNT(B119:F119)=5,D119/SUM($B119:$F119),"")</f>
        <v/>
      </c>
      <c r="K262" s="27">
        <f>IF(COUNT(B119:F119)=5,E119/SUM($B119:$F119),"")</f>
        <v/>
      </c>
      <c r="L262" s="27">
        <f>IF(COUNT(B119:F119)=5,F119/SUM($B119:$F119),"")</f>
        <v/>
      </c>
    </row>
    <row r="263" hidden="1" outlineLevel="1">
      <c r="A263" t="inlineStr">
        <is>
          <t>Week3-Aug-2027</t>
        </is>
      </c>
      <c r="B263" s="27">
        <f>IF(OR(SUM($B120:$F120)=0,B120=""),"",B120/SUM($B120:$F120))</f>
        <v/>
      </c>
      <c r="C263" s="27">
        <f>IF(OR(SUM($B120:$F120)=0,C120=""),"",C120/SUM($B120:$F120))</f>
        <v/>
      </c>
      <c r="D263" s="27">
        <f>IF(OR(SUM($B120:$F120)=0,D120=""),"",D120/SUM($B120:$F120))</f>
        <v/>
      </c>
      <c r="E263" s="27">
        <f>IF(OR(SUM($B120:$F120)=0,E120=""),"",E120/SUM($B120:$F120))</f>
        <v/>
      </c>
      <c r="F263" s="27">
        <f>IF(OR(SUM($B120:$F120)=0,F120=""),"",F120/SUM($B120:$F120))</f>
        <v/>
      </c>
      <c r="H263" s="27">
        <f>IF(COUNT(B120:F120)=5,B120/SUM($B120:$F120),"")</f>
        <v/>
      </c>
      <c r="I263" s="27">
        <f>IF(COUNT(B120:F120)=5,C120/SUM($B120:$F120),"")</f>
        <v/>
      </c>
      <c r="J263" s="27">
        <f>IF(COUNT(B120:F120)=5,D120/SUM($B120:$F120),"")</f>
        <v/>
      </c>
      <c r="K263" s="27">
        <f>IF(COUNT(B120:F120)=5,E120/SUM($B120:$F120),"")</f>
        <v/>
      </c>
      <c r="L263" s="27">
        <f>IF(COUNT(B120:F120)=5,F120/SUM($B120:$F120),"")</f>
        <v/>
      </c>
    </row>
    <row r="264" hidden="1" outlineLevel="1">
      <c r="A264" t="inlineStr">
        <is>
          <t>Week4-Aug-2027</t>
        </is>
      </c>
      <c r="B264" s="27">
        <f>IF(OR(SUM($B121:$F121)=0,B121=""),"",B121/SUM($B121:$F121))</f>
        <v/>
      </c>
      <c r="C264" s="27">
        <f>IF(OR(SUM($B121:$F121)=0,C121=""),"",C121/SUM($B121:$F121))</f>
        <v/>
      </c>
      <c r="D264" s="27">
        <f>IF(OR(SUM($B121:$F121)=0,D121=""),"",D121/SUM($B121:$F121))</f>
        <v/>
      </c>
      <c r="E264" s="27">
        <f>IF(OR(SUM($B121:$F121)=0,E121=""),"",E121/SUM($B121:$F121))</f>
        <v/>
      </c>
      <c r="F264" s="27">
        <f>IF(OR(SUM($B121:$F121)=0,F121=""),"",F121/SUM($B121:$F121))</f>
        <v/>
      </c>
      <c r="H264" s="27">
        <f>IF(COUNT(B121:F121)=5,B121/SUM($B121:$F121),"")</f>
        <v/>
      </c>
      <c r="I264" s="27">
        <f>IF(COUNT(B121:F121)=5,C121/SUM($B121:$F121),"")</f>
        <v/>
      </c>
      <c r="J264" s="27">
        <f>IF(COUNT(B121:F121)=5,D121/SUM($B121:$F121),"")</f>
        <v/>
      </c>
      <c r="K264" s="27">
        <f>IF(COUNT(B121:F121)=5,E121/SUM($B121:$F121),"")</f>
        <v/>
      </c>
      <c r="L264" s="27">
        <f>IF(COUNT(B121:F121)=5,F121/SUM($B121:$F121),"")</f>
        <v/>
      </c>
    </row>
    <row r="265" hidden="1" outlineLevel="1">
      <c r="A265" t="inlineStr">
        <is>
          <t>Week5-Aug-2027</t>
        </is>
      </c>
      <c r="B265" s="27">
        <f>IF(OR(SUM($B122:$F122)=0,B122=""),"",B122/SUM($B122:$F122))</f>
        <v/>
      </c>
      <c r="C265" s="27">
        <f>IF(OR(SUM($B122:$F122)=0,C122=""),"",C122/SUM($B122:$F122))</f>
        <v/>
      </c>
      <c r="D265" s="27">
        <f>IF(OR(SUM($B122:$F122)=0,D122=""),"",D122/SUM($B122:$F122))</f>
        <v/>
      </c>
      <c r="E265" s="27">
        <f>IF(OR(SUM($B122:$F122)=0,E122=""),"",E122/SUM($B122:$F122))</f>
        <v/>
      </c>
      <c r="F265" s="27">
        <f>IF(OR(SUM($B122:$F122)=0,F122=""),"",F122/SUM($B122:$F122))</f>
        <v/>
      </c>
      <c r="H265" s="27">
        <f>IF(COUNT(B122:F122)=5,B122/SUM($B122:$F122),"")</f>
        <v/>
      </c>
      <c r="I265" s="27">
        <f>IF(COUNT(B122:F122)=5,C122/SUM($B122:$F122),"")</f>
        <v/>
      </c>
      <c r="J265" s="27">
        <f>IF(COUNT(B122:F122)=5,D122/SUM($B122:$F122),"")</f>
        <v/>
      </c>
      <c r="K265" s="27">
        <f>IF(COUNT(B122:F122)=5,E122/SUM($B122:$F122),"")</f>
        <v/>
      </c>
      <c r="L265" s="27">
        <f>IF(COUNT(B122:F122)=5,F122/SUM($B122:$F122),"")</f>
        <v/>
      </c>
    </row>
    <row r="266" hidden="1" outlineLevel="1">
      <c r="A266" t="inlineStr">
        <is>
          <t>Week1-Sep-2027</t>
        </is>
      </c>
      <c r="B266" s="27">
        <f>IF(OR(SUM($B123:$F123)=0,B123=""),"",B123/SUM($B123:$F123))</f>
        <v/>
      </c>
      <c r="C266" s="27">
        <f>IF(OR(SUM($B123:$F123)=0,C123=""),"",C123/SUM($B123:$F123))</f>
        <v/>
      </c>
      <c r="D266" s="27">
        <f>IF(OR(SUM($B123:$F123)=0,D123=""),"",D123/SUM($B123:$F123))</f>
        <v/>
      </c>
      <c r="E266" s="27">
        <f>IF(OR(SUM($B123:$F123)=0,E123=""),"",E123/SUM($B123:$F123))</f>
        <v/>
      </c>
      <c r="F266" s="27">
        <f>IF(OR(SUM($B123:$F123)=0,F123=""),"",F123/SUM($B123:$F123))</f>
        <v/>
      </c>
      <c r="H266" s="27">
        <f>IF(COUNT(B123:F123)=5,B123/SUM($B123:$F123),"")</f>
        <v/>
      </c>
      <c r="I266" s="27">
        <f>IF(COUNT(B123:F123)=5,C123/SUM($B123:$F123),"")</f>
        <v/>
      </c>
      <c r="J266" s="27">
        <f>IF(COUNT(B123:F123)=5,D123/SUM($B123:$F123),"")</f>
        <v/>
      </c>
      <c r="K266" s="27">
        <f>IF(COUNT(B123:F123)=5,E123/SUM($B123:$F123),"")</f>
        <v/>
      </c>
      <c r="L266" s="27">
        <f>IF(COUNT(B123:F123)=5,F123/SUM($B123:$F123),"")</f>
        <v/>
      </c>
    </row>
    <row r="267" hidden="1" outlineLevel="1">
      <c r="A267" t="inlineStr">
        <is>
          <t>Week2-Sep-2027</t>
        </is>
      </c>
      <c r="B267" s="27">
        <f>IF(OR(SUM($B124:$F124)=0,B124=""),"",B124/SUM($B124:$F124))</f>
        <v/>
      </c>
      <c r="C267" s="27">
        <f>IF(OR(SUM($B124:$F124)=0,C124=""),"",C124/SUM($B124:$F124))</f>
        <v/>
      </c>
      <c r="D267" s="27">
        <f>IF(OR(SUM($B124:$F124)=0,D124=""),"",D124/SUM($B124:$F124))</f>
        <v/>
      </c>
      <c r="E267" s="27">
        <f>IF(OR(SUM($B124:$F124)=0,E124=""),"",E124/SUM($B124:$F124))</f>
        <v/>
      </c>
      <c r="F267" s="27">
        <f>IF(OR(SUM($B124:$F124)=0,F124=""),"",F124/SUM($B124:$F124))</f>
        <v/>
      </c>
      <c r="H267" s="27">
        <f>IF(COUNT(B124:F124)=5,B124/SUM($B124:$F124),"")</f>
        <v/>
      </c>
      <c r="I267" s="27">
        <f>IF(COUNT(B124:F124)=5,C124/SUM($B124:$F124),"")</f>
        <v/>
      </c>
      <c r="J267" s="27">
        <f>IF(COUNT(B124:F124)=5,D124/SUM($B124:$F124),"")</f>
        <v/>
      </c>
      <c r="K267" s="27">
        <f>IF(COUNT(B124:F124)=5,E124/SUM($B124:$F124),"")</f>
        <v/>
      </c>
      <c r="L267" s="27">
        <f>IF(COUNT(B124:F124)=5,F124/SUM($B124:$F124),"")</f>
        <v/>
      </c>
    </row>
    <row r="268" hidden="1" outlineLevel="1">
      <c r="A268" t="inlineStr">
        <is>
          <t>Week3-Sep-2027</t>
        </is>
      </c>
      <c r="B268" s="27">
        <f>IF(OR(SUM($B125:$F125)=0,B125=""),"",B125/SUM($B125:$F125))</f>
        <v/>
      </c>
      <c r="C268" s="27">
        <f>IF(OR(SUM($B125:$F125)=0,C125=""),"",C125/SUM($B125:$F125))</f>
        <v/>
      </c>
      <c r="D268" s="27">
        <f>IF(OR(SUM($B125:$F125)=0,D125=""),"",D125/SUM($B125:$F125))</f>
        <v/>
      </c>
      <c r="E268" s="27">
        <f>IF(OR(SUM($B125:$F125)=0,E125=""),"",E125/SUM($B125:$F125))</f>
        <v/>
      </c>
      <c r="F268" s="27">
        <f>IF(OR(SUM($B125:$F125)=0,F125=""),"",F125/SUM($B125:$F125))</f>
        <v/>
      </c>
      <c r="H268" s="27">
        <f>IF(COUNT(B125:F125)=5,B125/SUM($B125:$F125),"")</f>
        <v/>
      </c>
      <c r="I268" s="27">
        <f>IF(COUNT(B125:F125)=5,C125/SUM($B125:$F125),"")</f>
        <v/>
      </c>
      <c r="J268" s="27">
        <f>IF(COUNT(B125:F125)=5,D125/SUM($B125:$F125),"")</f>
        <v/>
      </c>
      <c r="K268" s="27">
        <f>IF(COUNT(B125:F125)=5,E125/SUM($B125:$F125),"")</f>
        <v/>
      </c>
      <c r="L268" s="27">
        <f>IF(COUNT(B125:F125)=5,F125/SUM($B125:$F125),"")</f>
        <v/>
      </c>
    </row>
    <row r="269" hidden="1" outlineLevel="1">
      <c r="A269" t="inlineStr">
        <is>
          <t>Week4-Sep-2027</t>
        </is>
      </c>
      <c r="B269" s="27">
        <f>IF(OR(SUM($B126:$F126)=0,B126=""),"",B126/SUM($B126:$F126))</f>
        <v/>
      </c>
      <c r="C269" s="27">
        <f>IF(OR(SUM($B126:$F126)=0,C126=""),"",C126/SUM($B126:$F126))</f>
        <v/>
      </c>
      <c r="D269" s="27">
        <f>IF(OR(SUM($B126:$F126)=0,D126=""),"",D126/SUM($B126:$F126))</f>
        <v/>
      </c>
      <c r="E269" s="27">
        <f>IF(OR(SUM($B126:$F126)=0,E126=""),"",E126/SUM($B126:$F126))</f>
        <v/>
      </c>
      <c r="F269" s="27">
        <f>IF(OR(SUM($B126:$F126)=0,F126=""),"",F126/SUM($B126:$F126))</f>
        <v/>
      </c>
      <c r="H269" s="27">
        <f>IF(COUNT(B126:F126)=5,B126/SUM($B126:$F126),"")</f>
        <v/>
      </c>
      <c r="I269" s="27">
        <f>IF(COUNT(B126:F126)=5,C126/SUM($B126:$F126),"")</f>
        <v/>
      </c>
      <c r="J269" s="27">
        <f>IF(COUNT(B126:F126)=5,D126/SUM($B126:$F126),"")</f>
        <v/>
      </c>
      <c r="K269" s="27">
        <f>IF(COUNT(B126:F126)=5,E126/SUM($B126:$F126),"")</f>
        <v/>
      </c>
      <c r="L269" s="27">
        <f>IF(COUNT(B126:F126)=5,F126/SUM($B126:$F126),"")</f>
        <v/>
      </c>
    </row>
    <row r="270" hidden="1" outlineLevel="1">
      <c r="A270" t="inlineStr">
        <is>
          <t>Week5-Sep-2027</t>
        </is>
      </c>
      <c r="B270" s="27">
        <f>IF(OR(SUM($B127:$F127)=0,B127=""),"",B127/SUM($B127:$F127))</f>
        <v/>
      </c>
      <c r="C270" s="27">
        <f>IF(OR(SUM($B127:$F127)=0,C127=""),"",C127/SUM($B127:$F127))</f>
        <v/>
      </c>
      <c r="D270" s="27">
        <f>IF(OR(SUM($B127:$F127)=0,D127=""),"",D127/SUM($B127:$F127))</f>
        <v/>
      </c>
      <c r="E270" s="27">
        <f>IF(OR(SUM($B127:$F127)=0,E127=""),"",E127/SUM($B127:$F127))</f>
        <v/>
      </c>
      <c r="F270" s="27">
        <f>IF(OR(SUM($B127:$F127)=0,F127=""),"",F127/SUM($B127:$F127))</f>
        <v/>
      </c>
      <c r="H270" s="27">
        <f>IF(COUNT(B127:F127)=5,B127/SUM($B127:$F127),"")</f>
        <v/>
      </c>
      <c r="I270" s="27">
        <f>IF(COUNT(B127:F127)=5,C127/SUM($B127:$F127),"")</f>
        <v/>
      </c>
      <c r="J270" s="27">
        <f>IF(COUNT(B127:F127)=5,D127/SUM($B127:$F127),"")</f>
        <v/>
      </c>
      <c r="K270" s="27">
        <f>IF(COUNT(B127:F127)=5,E127/SUM($B127:$F127),"")</f>
        <v/>
      </c>
      <c r="L270" s="27">
        <f>IF(COUNT(B127:F127)=5,F127/SUM($B127:$F127),"")</f>
        <v/>
      </c>
    </row>
    <row r="271" hidden="1" outlineLevel="1">
      <c r="A271" t="inlineStr">
        <is>
          <t>Week1-Oct-2027</t>
        </is>
      </c>
      <c r="B271" s="27">
        <f>IF(OR(SUM($B128:$F128)=0,B128=""),"",B128/SUM($B128:$F128))</f>
        <v/>
      </c>
      <c r="C271" s="27">
        <f>IF(OR(SUM($B128:$F128)=0,C128=""),"",C128/SUM($B128:$F128))</f>
        <v/>
      </c>
      <c r="D271" s="27">
        <f>IF(OR(SUM($B128:$F128)=0,D128=""),"",D128/SUM($B128:$F128))</f>
        <v/>
      </c>
      <c r="E271" s="27">
        <f>IF(OR(SUM($B128:$F128)=0,E128=""),"",E128/SUM($B128:$F128))</f>
        <v/>
      </c>
      <c r="F271" s="27">
        <f>IF(OR(SUM($B128:$F128)=0,F128=""),"",F128/SUM($B128:$F128))</f>
        <v/>
      </c>
      <c r="H271" s="27">
        <f>IF(COUNT(B128:F128)=5,B128/SUM($B128:$F128),"")</f>
        <v/>
      </c>
      <c r="I271" s="27">
        <f>IF(COUNT(B128:F128)=5,C128/SUM($B128:$F128),"")</f>
        <v/>
      </c>
      <c r="J271" s="27">
        <f>IF(COUNT(B128:F128)=5,D128/SUM($B128:$F128),"")</f>
        <v/>
      </c>
      <c r="K271" s="27">
        <f>IF(COUNT(B128:F128)=5,E128/SUM($B128:$F128),"")</f>
        <v/>
      </c>
      <c r="L271" s="27">
        <f>IF(COUNT(B128:F128)=5,F128/SUM($B128:$F128),"")</f>
        <v/>
      </c>
    </row>
    <row r="272" hidden="1" outlineLevel="1">
      <c r="A272" t="inlineStr">
        <is>
          <t>Week2-Oct-2027</t>
        </is>
      </c>
      <c r="B272" s="27">
        <f>IF(OR(SUM($B129:$F129)=0,B129=""),"",B129/SUM($B129:$F129))</f>
        <v/>
      </c>
      <c r="C272" s="27">
        <f>IF(OR(SUM($B129:$F129)=0,C129=""),"",C129/SUM($B129:$F129))</f>
        <v/>
      </c>
      <c r="D272" s="27">
        <f>IF(OR(SUM($B129:$F129)=0,D129=""),"",D129/SUM($B129:$F129))</f>
        <v/>
      </c>
      <c r="E272" s="27">
        <f>IF(OR(SUM($B129:$F129)=0,E129=""),"",E129/SUM($B129:$F129))</f>
        <v/>
      </c>
      <c r="F272" s="27">
        <f>IF(OR(SUM($B129:$F129)=0,F129=""),"",F129/SUM($B129:$F129))</f>
        <v/>
      </c>
      <c r="H272" s="27">
        <f>IF(COUNT(B129:F129)=5,B129/SUM($B129:$F129),"")</f>
        <v/>
      </c>
      <c r="I272" s="27">
        <f>IF(COUNT(B129:F129)=5,C129/SUM($B129:$F129),"")</f>
        <v/>
      </c>
      <c r="J272" s="27">
        <f>IF(COUNT(B129:F129)=5,D129/SUM($B129:$F129),"")</f>
        <v/>
      </c>
      <c r="K272" s="27">
        <f>IF(COUNT(B129:F129)=5,E129/SUM($B129:$F129),"")</f>
        <v/>
      </c>
      <c r="L272" s="27">
        <f>IF(COUNT(B129:F129)=5,F129/SUM($B129:$F129),"")</f>
        <v/>
      </c>
    </row>
    <row r="273" hidden="1" outlineLevel="1">
      <c r="A273" t="inlineStr">
        <is>
          <t>Week3-Oct-2027</t>
        </is>
      </c>
      <c r="B273" s="27">
        <f>IF(OR(SUM($B130:$F130)=0,B130=""),"",B130/SUM($B130:$F130))</f>
        <v/>
      </c>
      <c r="C273" s="27">
        <f>IF(OR(SUM($B130:$F130)=0,C130=""),"",C130/SUM($B130:$F130))</f>
        <v/>
      </c>
      <c r="D273" s="27">
        <f>IF(OR(SUM($B130:$F130)=0,D130=""),"",D130/SUM($B130:$F130))</f>
        <v/>
      </c>
      <c r="E273" s="27">
        <f>IF(OR(SUM($B130:$F130)=0,E130=""),"",E130/SUM($B130:$F130))</f>
        <v/>
      </c>
      <c r="F273" s="27">
        <f>IF(OR(SUM($B130:$F130)=0,F130=""),"",F130/SUM($B130:$F130))</f>
        <v/>
      </c>
      <c r="H273" s="27">
        <f>IF(COUNT(B130:F130)=5,B130/SUM($B130:$F130),"")</f>
        <v/>
      </c>
      <c r="I273" s="27">
        <f>IF(COUNT(B130:F130)=5,C130/SUM($B130:$F130),"")</f>
        <v/>
      </c>
      <c r="J273" s="27">
        <f>IF(COUNT(B130:F130)=5,D130/SUM($B130:$F130),"")</f>
        <v/>
      </c>
      <c r="K273" s="27">
        <f>IF(COUNT(B130:F130)=5,E130/SUM($B130:$F130),"")</f>
        <v/>
      </c>
      <c r="L273" s="27">
        <f>IF(COUNT(B130:F130)=5,F130/SUM($B130:$F130),"")</f>
        <v/>
      </c>
    </row>
    <row r="274" hidden="1" outlineLevel="1">
      <c r="A274" t="inlineStr">
        <is>
          <t>Week4-Oct-2027</t>
        </is>
      </c>
      <c r="B274" s="27">
        <f>IF(OR(SUM($B131:$F131)=0,B131=""),"",B131/SUM($B131:$F131))</f>
        <v/>
      </c>
      <c r="C274" s="27">
        <f>IF(OR(SUM($B131:$F131)=0,C131=""),"",C131/SUM($B131:$F131))</f>
        <v/>
      </c>
      <c r="D274" s="27">
        <f>IF(OR(SUM($B131:$F131)=0,D131=""),"",D131/SUM($B131:$F131))</f>
        <v/>
      </c>
      <c r="E274" s="27">
        <f>IF(OR(SUM($B131:$F131)=0,E131=""),"",E131/SUM($B131:$F131))</f>
        <v/>
      </c>
      <c r="F274" s="27">
        <f>IF(OR(SUM($B131:$F131)=0,F131=""),"",F131/SUM($B131:$F131))</f>
        <v/>
      </c>
      <c r="H274" s="27">
        <f>IF(COUNT(B131:F131)=5,B131/SUM($B131:$F131),"")</f>
        <v/>
      </c>
      <c r="I274" s="27">
        <f>IF(COUNT(B131:F131)=5,C131/SUM($B131:$F131),"")</f>
        <v/>
      </c>
      <c r="J274" s="27">
        <f>IF(COUNT(B131:F131)=5,D131/SUM($B131:$F131),"")</f>
        <v/>
      </c>
      <c r="K274" s="27">
        <f>IF(COUNT(B131:F131)=5,E131/SUM($B131:$F131),"")</f>
        <v/>
      </c>
      <c r="L274" s="27">
        <f>IF(COUNT(B131:F131)=5,F131/SUM($B131:$F131),"")</f>
        <v/>
      </c>
    </row>
    <row r="275" hidden="1" outlineLevel="1">
      <c r="A275" t="inlineStr">
        <is>
          <t>Week5-Oct-2027</t>
        </is>
      </c>
      <c r="B275" s="27">
        <f>IF(OR(SUM($B132:$F132)=0,B132=""),"",B132/SUM($B132:$F132))</f>
        <v/>
      </c>
      <c r="C275" s="27">
        <f>IF(OR(SUM($B132:$F132)=0,C132=""),"",C132/SUM($B132:$F132))</f>
        <v/>
      </c>
      <c r="D275" s="27">
        <f>IF(OR(SUM($B132:$F132)=0,D132=""),"",D132/SUM($B132:$F132))</f>
        <v/>
      </c>
      <c r="E275" s="27">
        <f>IF(OR(SUM($B132:$F132)=0,E132=""),"",E132/SUM($B132:$F132))</f>
        <v/>
      </c>
      <c r="F275" s="27">
        <f>IF(OR(SUM($B132:$F132)=0,F132=""),"",F132/SUM($B132:$F132))</f>
        <v/>
      </c>
      <c r="H275" s="27">
        <f>IF(COUNT(B132:F132)=5,B132/SUM($B132:$F132),"")</f>
        <v/>
      </c>
      <c r="I275" s="27">
        <f>IF(COUNT(B132:F132)=5,C132/SUM($B132:$F132),"")</f>
        <v/>
      </c>
      <c r="J275" s="27">
        <f>IF(COUNT(B132:F132)=5,D132/SUM($B132:$F132),"")</f>
        <v/>
      </c>
      <c r="K275" s="27">
        <f>IF(COUNT(B132:F132)=5,E132/SUM($B132:$F132),"")</f>
        <v/>
      </c>
      <c r="L275" s="27">
        <f>IF(COUNT(B132:F132)=5,F132/SUM($B132:$F132),"")</f>
        <v/>
      </c>
    </row>
    <row r="276" hidden="1" outlineLevel="1">
      <c r="A276" t="inlineStr">
        <is>
          <t>Week1-Nov-2027</t>
        </is>
      </c>
      <c r="B276" s="27">
        <f>IF(OR(SUM($B133:$F133)=0,B133=""),"",B133/SUM($B133:$F133))</f>
        <v/>
      </c>
      <c r="C276" s="27">
        <f>IF(OR(SUM($B133:$F133)=0,C133=""),"",C133/SUM($B133:$F133))</f>
        <v/>
      </c>
      <c r="D276" s="27">
        <f>IF(OR(SUM($B133:$F133)=0,D133=""),"",D133/SUM($B133:$F133))</f>
        <v/>
      </c>
      <c r="E276" s="27">
        <f>IF(OR(SUM($B133:$F133)=0,E133=""),"",E133/SUM($B133:$F133))</f>
        <v/>
      </c>
      <c r="F276" s="27">
        <f>IF(OR(SUM($B133:$F133)=0,F133=""),"",F133/SUM($B133:$F133))</f>
        <v/>
      </c>
      <c r="H276" s="27">
        <f>IF(COUNT(B133:F133)=5,B133/SUM($B133:$F133),"")</f>
        <v/>
      </c>
      <c r="I276" s="27">
        <f>IF(COUNT(B133:F133)=5,C133/SUM($B133:$F133),"")</f>
        <v/>
      </c>
      <c r="J276" s="27">
        <f>IF(COUNT(B133:F133)=5,D133/SUM($B133:$F133),"")</f>
        <v/>
      </c>
      <c r="K276" s="27">
        <f>IF(COUNT(B133:F133)=5,E133/SUM($B133:$F133),"")</f>
        <v/>
      </c>
      <c r="L276" s="27">
        <f>IF(COUNT(B133:F133)=5,F133/SUM($B133:$F133),"")</f>
        <v/>
      </c>
    </row>
    <row r="277" hidden="1" outlineLevel="1">
      <c r="A277" t="inlineStr">
        <is>
          <t>Week2-Nov-2027</t>
        </is>
      </c>
      <c r="B277" s="27">
        <f>IF(OR(SUM($B134:$F134)=0,B134=""),"",B134/SUM($B134:$F134))</f>
        <v/>
      </c>
      <c r="C277" s="27">
        <f>IF(OR(SUM($B134:$F134)=0,C134=""),"",C134/SUM($B134:$F134))</f>
        <v/>
      </c>
      <c r="D277" s="27">
        <f>IF(OR(SUM($B134:$F134)=0,D134=""),"",D134/SUM($B134:$F134))</f>
        <v/>
      </c>
      <c r="E277" s="27">
        <f>IF(OR(SUM($B134:$F134)=0,E134=""),"",E134/SUM($B134:$F134))</f>
        <v/>
      </c>
      <c r="F277" s="27">
        <f>IF(OR(SUM($B134:$F134)=0,F134=""),"",F134/SUM($B134:$F134))</f>
        <v/>
      </c>
      <c r="H277" s="27">
        <f>IF(COUNT(B134:F134)=5,B134/SUM($B134:$F134),"")</f>
        <v/>
      </c>
      <c r="I277" s="27">
        <f>IF(COUNT(B134:F134)=5,C134/SUM($B134:$F134),"")</f>
        <v/>
      </c>
      <c r="J277" s="27">
        <f>IF(COUNT(B134:F134)=5,D134/SUM($B134:$F134),"")</f>
        <v/>
      </c>
      <c r="K277" s="27">
        <f>IF(COUNT(B134:F134)=5,E134/SUM($B134:$F134),"")</f>
        <v/>
      </c>
      <c r="L277" s="27">
        <f>IF(COUNT(B134:F134)=5,F134/SUM($B134:$F134),"")</f>
        <v/>
      </c>
    </row>
    <row r="278" hidden="1" outlineLevel="1">
      <c r="A278" t="inlineStr">
        <is>
          <t>Week3-Nov-2027</t>
        </is>
      </c>
      <c r="B278" s="27">
        <f>IF(OR(SUM($B135:$F135)=0,B135=""),"",B135/SUM($B135:$F135))</f>
        <v/>
      </c>
      <c r="C278" s="27">
        <f>IF(OR(SUM($B135:$F135)=0,C135=""),"",C135/SUM($B135:$F135))</f>
        <v/>
      </c>
      <c r="D278" s="27">
        <f>IF(OR(SUM($B135:$F135)=0,D135=""),"",D135/SUM($B135:$F135))</f>
        <v/>
      </c>
      <c r="E278" s="27">
        <f>IF(OR(SUM($B135:$F135)=0,E135=""),"",E135/SUM($B135:$F135))</f>
        <v/>
      </c>
      <c r="F278" s="27">
        <f>IF(OR(SUM($B135:$F135)=0,F135=""),"",F135/SUM($B135:$F135))</f>
        <v/>
      </c>
      <c r="H278" s="27">
        <f>IF(COUNT(B135:F135)=5,B135/SUM($B135:$F135),"")</f>
        <v/>
      </c>
      <c r="I278" s="27">
        <f>IF(COUNT(B135:F135)=5,C135/SUM($B135:$F135),"")</f>
        <v/>
      </c>
      <c r="J278" s="27">
        <f>IF(COUNT(B135:F135)=5,D135/SUM($B135:$F135),"")</f>
        <v/>
      </c>
      <c r="K278" s="27">
        <f>IF(COUNT(B135:F135)=5,E135/SUM($B135:$F135),"")</f>
        <v/>
      </c>
      <c r="L278" s="27">
        <f>IF(COUNT(B135:F135)=5,F135/SUM($B135:$F135),"")</f>
        <v/>
      </c>
    </row>
    <row r="279" hidden="1" outlineLevel="1">
      <c r="A279" t="inlineStr">
        <is>
          <t>Week4-Nov-2027</t>
        </is>
      </c>
      <c r="B279" s="27">
        <f>IF(OR(SUM($B136:$F136)=0,B136=""),"",B136/SUM($B136:$F136))</f>
        <v/>
      </c>
      <c r="C279" s="27">
        <f>IF(OR(SUM($B136:$F136)=0,C136=""),"",C136/SUM($B136:$F136))</f>
        <v/>
      </c>
      <c r="D279" s="27">
        <f>IF(OR(SUM($B136:$F136)=0,D136=""),"",D136/SUM($B136:$F136))</f>
        <v/>
      </c>
      <c r="E279" s="27">
        <f>IF(OR(SUM($B136:$F136)=0,E136=""),"",E136/SUM($B136:$F136))</f>
        <v/>
      </c>
      <c r="F279" s="27">
        <f>IF(OR(SUM($B136:$F136)=0,F136=""),"",F136/SUM($B136:$F136))</f>
        <v/>
      </c>
      <c r="H279" s="27">
        <f>IF(COUNT(B136:F136)=5,B136/SUM($B136:$F136),"")</f>
        <v/>
      </c>
      <c r="I279" s="27">
        <f>IF(COUNT(B136:F136)=5,C136/SUM($B136:$F136),"")</f>
        <v/>
      </c>
      <c r="J279" s="27">
        <f>IF(COUNT(B136:F136)=5,D136/SUM($B136:$F136),"")</f>
        <v/>
      </c>
      <c r="K279" s="27">
        <f>IF(COUNT(B136:F136)=5,E136/SUM($B136:$F136),"")</f>
        <v/>
      </c>
      <c r="L279" s="27">
        <f>IF(COUNT(B136:F136)=5,F136/SUM($B136:$F136),"")</f>
        <v/>
      </c>
    </row>
    <row r="280" hidden="1" outlineLevel="1">
      <c r="A280" t="inlineStr">
        <is>
          <t>Week5-Nov-2027</t>
        </is>
      </c>
      <c r="B280" s="27">
        <f>IF(OR(SUM($B137:$F137)=0,B137=""),"",B137/SUM($B137:$F137))</f>
        <v/>
      </c>
      <c r="C280" s="27">
        <f>IF(OR(SUM($B137:$F137)=0,C137=""),"",C137/SUM($B137:$F137))</f>
        <v/>
      </c>
      <c r="D280" s="27">
        <f>IF(OR(SUM($B137:$F137)=0,D137=""),"",D137/SUM($B137:$F137))</f>
        <v/>
      </c>
      <c r="E280" s="27">
        <f>IF(OR(SUM($B137:$F137)=0,E137=""),"",E137/SUM($B137:$F137))</f>
        <v/>
      </c>
      <c r="F280" s="27">
        <f>IF(OR(SUM($B137:$F137)=0,F137=""),"",F137/SUM($B137:$F137))</f>
        <v/>
      </c>
      <c r="H280" s="27">
        <f>IF(COUNT(B137:F137)=5,B137/SUM($B137:$F137),"")</f>
        <v/>
      </c>
      <c r="I280" s="27">
        <f>IF(COUNT(B137:F137)=5,C137/SUM($B137:$F137),"")</f>
        <v/>
      </c>
      <c r="J280" s="27">
        <f>IF(COUNT(B137:F137)=5,D137/SUM($B137:$F137),"")</f>
        <v/>
      </c>
      <c r="K280" s="27">
        <f>IF(COUNT(B137:F137)=5,E137/SUM($B137:$F137),"")</f>
        <v/>
      </c>
      <c r="L280" s="27">
        <f>IF(COUNT(B137:F137)=5,F137/SUM($B137:$F137),"")</f>
        <v/>
      </c>
    </row>
    <row r="281" hidden="1" outlineLevel="1">
      <c r="A281" t="inlineStr">
        <is>
          <t>Week1-Dec-2027</t>
        </is>
      </c>
      <c r="B281" s="27">
        <f>IF(OR(SUM($B138:$F138)=0,B138=""),"",B138/SUM($B138:$F138))</f>
        <v/>
      </c>
      <c r="C281" s="27">
        <f>IF(OR(SUM($B138:$F138)=0,C138=""),"",C138/SUM($B138:$F138))</f>
        <v/>
      </c>
      <c r="D281" s="27">
        <f>IF(OR(SUM($B138:$F138)=0,D138=""),"",D138/SUM($B138:$F138))</f>
        <v/>
      </c>
      <c r="E281" s="27">
        <f>IF(OR(SUM($B138:$F138)=0,E138=""),"",E138/SUM($B138:$F138))</f>
        <v/>
      </c>
      <c r="F281" s="27">
        <f>IF(OR(SUM($B138:$F138)=0,F138=""),"",F138/SUM($B138:$F138))</f>
        <v/>
      </c>
      <c r="H281" s="27">
        <f>IF(COUNT(B138:F138)=5,B138/SUM($B138:$F138),"")</f>
        <v/>
      </c>
      <c r="I281" s="27">
        <f>IF(COUNT(B138:F138)=5,C138/SUM($B138:$F138),"")</f>
        <v/>
      </c>
      <c r="J281" s="27">
        <f>IF(COUNT(B138:F138)=5,D138/SUM($B138:$F138),"")</f>
        <v/>
      </c>
      <c r="K281" s="27">
        <f>IF(COUNT(B138:F138)=5,E138/SUM($B138:$F138),"")</f>
        <v/>
      </c>
      <c r="L281" s="27">
        <f>IF(COUNT(B138:F138)=5,F138/SUM($B138:$F138),"")</f>
        <v/>
      </c>
    </row>
    <row r="282" hidden="1" outlineLevel="1">
      <c r="A282" t="inlineStr">
        <is>
          <t>Week2-Dec-2027</t>
        </is>
      </c>
      <c r="B282" s="27">
        <f>IF(OR(SUM($B139:$F139)=0,B139=""),"",B139/SUM($B139:$F139))</f>
        <v/>
      </c>
      <c r="C282" s="27">
        <f>IF(OR(SUM($B139:$F139)=0,C139=""),"",C139/SUM($B139:$F139))</f>
        <v/>
      </c>
      <c r="D282" s="27">
        <f>IF(OR(SUM($B139:$F139)=0,D139=""),"",D139/SUM($B139:$F139))</f>
        <v/>
      </c>
      <c r="E282" s="27">
        <f>IF(OR(SUM($B139:$F139)=0,E139=""),"",E139/SUM($B139:$F139))</f>
        <v/>
      </c>
      <c r="F282" s="27">
        <f>IF(OR(SUM($B139:$F139)=0,F139=""),"",F139/SUM($B139:$F139))</f>
        <v/>
      </c>
      <c r="H282" s="27">
        <f>IF(COUNT(B139:F139)=5,B139/SUM($B139:$F139),"")</f>
        <v/>
      </c>
      <c r="I282" s="27">
        <f>IF(COUNT(B139:F139)=5,C139/SUM($B139:$F139),"")</f>
        <v/>
      </c>
      <c r="J282" s="27">
        <f>IF(COUNT(B139:F139)=5,D139/SUM($B139:$F139),"")</f>
        <v/>
      </c>
      <c r="K282" s="27">
        <f>IF(COUNT(B139:F139)=5,E139/SUM($B139:$F139),"")</f>
        <v/>
      </c>
      <c r="L282" s="27">
        <f>IF(COUNT(B139:F139)=5,F139/SUM($B139:$F139),"")</f>
        <v/>
      </c>
    </row>
    <row r="283" hidden="1" outlineLevel="1">
      <c r="A283" t="inlineStr">
        <is>
          <t>Week3-Dec-2027</t>
        </is>
      </c>
      <c r="B283" s="27">
        <f>IF(OR(SUM($B140:$F140)=0,B140=""),"",B140/SUM($B140:$F140))</f>
        <v/>
      </c>
      <c r="C283" s="27">
        <f>IF(OR(SUM($B140:$F140)=0,C140=""),"",C140/SUM($B140:$F140))</f>
        <v/>
      </c>
      <c r="D283" s="27">
        <f>IF(OR(SUM($B140:$F140)=0,D140=""),"",D140/SUM($B140:$F140))</f>
        <v/>
      </c>
      <c r="E283" s="27">
        <f>IF(OR(SUM($B140:$F140)=0,E140=""),"",E140/SUM($B140:$F140))</f>
        <v/>
      </c>
      <c r="F283" s="27">
        <f>IF(OR(SUM($B140:$F140)=0,F140=""),"",F140/SUM($B140:$F140))</f>
        <v/>
      </c>
      <c r="H283" s="27">
        <f>IF(COUNT(B140:F140)=5,B140/SUM($B140:$F140),"")</f>
        <v/>
      </c>
      <c r="I283" s="27">
        <f>IF(COUNT(B140:F140)=5,C140/SUM($B140:$F140),"")</f>
        <v/>
      </c>
      <c r="J283" s="27">
        <f>IF(COUNT(B140:F140)=5,D140/SUM($B140:$F140),"")</f>
        <v/>
      </c>
      <c r="K283" s="27">
        <f>IF(COUNT(B140:F140)=5,E140/SUM($B140:$F140),"")</f>
        <v/>
      </c>
      <c r="L283" s="27">
        <f>IF(COUNT(B140:F140)=5,F140/SUM($B140:$F140),"")</f>
        <v/>
      </c>
    </row>
    <row r="284" hidden="1" outlineLevel="1">
      <c r="A284" t="inlineStr">
        <is>
          <t>Week4-Dec-2027</t>
        </is>
      </c>
      <c r="B284" s="27">
        <f>IF(OR(SUM($B141:$F141)=0,B141=""),"",B141/SUM($B141:$F141))</f>
        <v/>
      </c>
      <c r="C284" s="27">
        <f>IF(OR(SUM($B141:$F141)=0,C141=""),"",C141/SUM($B141:$F141))</f>
        <v/>
      </c>
      <c r="D284" s="27">
        <f>IF(OR(SUM($B141:$F141)=0,D141=""),"",D141/SUM($B141:$F141))</f>
        <v/>
      </c>
      <c r="E284" s="27">
        <f>IF(OR(SUM($B141:$F141)=0,E141=""),"",E141/SUM($B141:$F141))</f>
        <v/>
      </c>
      <c r="F284" s="27">
        <f>IF(OR(SUM($B141:$F141)=0,F141=""),"",F141/SUM($B141:$F141))</f>
        <v/>
      </c>
      <c r="H284" s="27">
        <f>IF(COUNT(B141:F141)=5,B141/SUM($B141:$F141),"")</f>
        <v/>
      </c>
      <c r="I284" s="27">
        <f>IF(COUNT(B141:F141)=5,C141/SUM($B141:$F141),"")</f>
        <v/>
      </c>
      <c r="J284" s="27">
        <f>IF(COUNT(B141:F141)=5,D141/SUM($B141:$F141),"")</f>
        <v/>
      </c>
      <c r="K284" s="27">
        <f>IF(COUNT(B141:F141)=5,E141/SUM($B141:$F141),"")</f>
        <v/>
      </c>
      <c r="L284" s="27">
        <f>IF(COUNT(B141:F141)=5,F141/SUM($B141:$F141),"")</f>
        <v/>
      </c>
    </row>
    <row r="285" hidden="1" outlineLevel="1">
      <c r="A285" t="inlineStr">
        <is>
          <t>Week5-Dec-2027</t>
        </is>
      </c>
      <c r="B285" s="27">
        <f>IF(OR(SUM($B142:$F142)=0,B142=""),"",B142/SUM($B142:$F142))</f>
        <v/>
      </c>
      <c r="C285" s="27">
        <f>IF(OR(SUM($B142:$F142)=0,C142=""),"",C142/SUM($B142:$F142))</f>
        <v/>
      </c>
      <c r="D285" s="27">
        <f>IF(OR(SUM($B142:$F142)=0,D142=""),"",D142/SUM($B142:$F142))</f>
        <v/>
      </c>
      <c r="E285" s="27">
        <f>IF(OR(SUM($B142:$F142)=0,E142=""),"",E142/SUM($B142:$F142))</f>
        <v/>
      </c>
      <c r="F285" s="27">
        <f>IF(OR(SUM($B142:$F142)=0,F142=""),"",F142/SUM($B142:$F142))</f>
        <v/>
      </c>
      <c r="H285" s="27">
        <f>IF(COUNT(B142:F142)=5,B142/SUM($B142:$F142),"")</f>
        <v/>
      </c>
      <c r="I285" s="27">
        <f>IF(COUNT(B142:F142)=5,C142/SUM($B142:$F142),"")</f>
        <v/>
      </c>
      <c r="J285" s="27">
        <f>IF(COUNT(B142:F142)=5,D142/SUM($B142:$F142),"")</f>
        <v/>
      </c>
      <c r="K285" s="27">
        <f>IF(COUNT(B142:F142)=5,E142/SUM($B142:$F142),"")</f>
        <v/>
      </c>
      <c r="L285" s="27">
        <f>IF(COUNT(B142:F142)=5,F142/SUM($B142:$F142),"")</f>
        <v/>
      </c>
    </row>
    <row r="286" collapsed="1">
      <c r="A286" s="45" t="inlineStr">
        <is>
          <t>Average (complete weeks)</t>
        </is>
      </c>
      <c r="B286" s="47">
        <f>IFERROR(AVERAGE(B148:B285),"")</f>
        <v/>
      </c>
      <c r="C286" s="47">
        <f>IFERROR(AVERAGE(C148:C285),"")</f>
        <v/>
      </c>
      <c r="D286" s="47">
        <f>IFERROR(AVERAGE(D148:D285),"")</f>
        <v/>
      </c>
      <c r="E286" s="47">
        <f>IFERROR(AVERAGE(E148:E285),"")</f>
        <v/>
      </c>
      <c r="F286" s="47">
        <f>IFERROR(AVERAGE(F148:F285),"")</f>
        <v/>
      </c>
      <c r="H286" s="60">
        <f>IFERROR(AVERAGE(H148:H285),"")</f>
        <v/>
      </c>
      <c r="I286" s="60">
        <f>IFERROR(AVERAGE(I148:I285),"")</f>
        <v/>
      </c>
      <c r="J286" s="60">
        <f>IFERROR(AVERAGE(J148:J285),"")</f>
        <v/>
      </c>
      <c r="K286" s="60">
        <f>IFERROR(AVERAGE(K148:K285),"")</f>
        <v/>
      </c>
      <c r="L286" s="60">
        <f>IFERROR(AVERAGE(L148:L285),"")</f>
        <v/>
      </c>
    </row>
  </sheetData>
  <conditionalFormatting sqref="B148:B2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8:C2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8:D28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8:E28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8:F28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8:H2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8:H28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8:I28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8:J28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8:K28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8:L28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F11"/>
  <sheetViews>
    <sheetView zoomScale="190" workbookViewId="0">
      <selection activeCell="B12" sqref="B12"/>
    </sheetView>
  </sheetViews>
  <sheetFormatPr baseColWidth="10" defaultRowHeight="16"/>
  <cols>
    <col width="10.83203125" customWidth="1" style="17" min="1" max="1"/>
    <col width="13" bestFit="1" customWidth="1" style="17" min="2" max="3"/>
    <col width="10.83203125" customWidth="1" style="17" min="4" max="44"/>
    <col width="10.83203125" customWidth="1" style="17" min="45" max="16384"/>
  </cols>
  <sheetData>
    <row r="2" customFormat="1" s="16">
      <c r="A2" s="23" t="n">
        <v>46143</v>
      </c>
      <c r="B2" s="16" t="inlineStr">
        <is>
          <t>NSE</t>
        </is>
      </c>
      <c r="C2" s="16" t="inlineStr">
        <is>
          <t>BSE</t>
        </is>
      </c>
      <c r="E2" s="16" t="inlineStr">
        <is>
          <t>NSE</t>
        </is>
      </c>
      <c r="F2" s="16" t="inlineStr">
        <is>
          <t>BSE</t>
        </is>
      </c>
    </row>
    <row r="3">
      <c r="A3" s="17" t="inlineStr">
        <is>
          <t>Sunday</t>
        </is>
      </c>
      <c r="B3" s="18">
        <f>IFERROR('NSE Summary'!B10,0)</f>
        <v/>
      </c>
      <c r="C3" s="18">
        <f>'BSE Summary'!B3</f>
        <v/>
      </c>
      <c r="E3" s="21">
        <f>B3/SUM(B3:C3)</f>
        <v/>
      </c>
      <c r="F3" s="20">
        <f>1-E3</f>
        <v/>
      </c>
    </row>
    <row r="4">
      <c r="A4" s="17" t="inlineStr">
        <is>
          <t>Monday</t>
        </is>
      </c>
      <c r="B4" s="18">
        <f>'NSE Summary'!B5</f>
        <v/>
      </c>
      <c r="C4" s="18">
        <f>'BSE Summary'!B4</f>
        <v/>
      </c>
      <c r="E4" s="21">
        <f>B4/SUM(B4:C4)</f>
        <v/>
      </c>
      <c r="F4" s="20">
        <f>1-E4</f>
        <v/>
      </c>
    </row>
    <row r="5">
      <c r="A5" s="17" t="inlineStr">
        <is>
          <t>Tuesday</t>
        </is>
      </c>
      <c r="B5" s="18">
        <f>'NSE Summary'!B6</f>
        <v/>
      </c>
      <c r="C5" s="18">
        <f>'BSE Summary'!B5</f>
        <v/>
      </c>
      <c r="E5" s="21">
        <f>B5/SUM(B5:C5)</f>
        <v/>
      </c>
      <c r="F5" s="20">
        <f>1-E5</f>
        <v/>
      </c>
    </row>
    <row r="6">
      <c r="A6" s="17" t="inlineStr">
        <is>
          <t>Wednesday</t>
        </is>
      </c>
      <c r="B6" s="18">
        <f>'NSE Summary'!B7</f>
        <v/>
      </c>
      <c r="C6" s="18">
        <f>'BSE Summary'!B6</f>
        <v/>
      </c>
      <c r="E6" s="20">
        <f>B6/SUM(B6:C6)</f>
        <v/>
      </c>
      <c r="F6" s="21">
        <f>1-E6</f>
        <v/>
      </c>
    </row>
    <row r="7">
      <c r="A7" s="17" t="inlineStr">
        <is>
          <t>Thursday</t>
        </is>
      </c>
      <c r="B7" s="18">
        <f>'NSE Summary'!B8</f>
        <v/>
      </c>
      <c r="C7" s="18">
        <f>'BSE Summary'!B7</f>
        <v/>
      </c>
      <c r="E7" s="20">
        <f>B7/SUM(B7:C7)</f>
        <v/>
      </c>
      <c r="F7" s="21">
        <f>1-E7</f>
        <v/>
      </c>
    </row>
    <row r="8">
      <c r="A8" s="17" t="inlineStr">
        <is>
          <t>Friday</t>
        </is>
      </c>
      <c r="B8" s="18">
        <f>'NSE Summary'!B9</f>
        <v/>
      </c>
      <c r="C8" s="18">
        <f>'BSE Summary'!B8</f>
        <v/>
      </c>
      <c r="E8" s="21">
        <f>B8/SUM(B8:C8)</f>
        <v/>
      </c>
      <c r="F8" s="20">
        <f>1-E8</f>
        <v/>
      </c>
    </row>
    <row r="9" customFormat="1" s="16">
      <c r="B9" s="19">
        <f>SUM(B3:B8)</f>
        <v/>
      </c>
      <c r="C9" s="19">
        <f>SUM(C3:C8)</f>
        <v/>
      </c>
      <c r="E9" s="21">
        <f>B9/SUM(B9:C9)</f>
        <v/>
      </c>
      <c r="F9" s="20">
        <f>1-E9</f>
        <v/>
      </c>
    </row>
    <row r="11">
      <c r="C11" s="18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4:I25"/>
  <sheetViews>
    <sheetView topLeftCell="A2" workbookViewId="0">
      <selection activeCell="B5" sqref="B5:B10"/>
    </sheetView>
  </sheetViews>
  <sheetFormatPr baseColWidth="10" defaultRowHeight="15"/>
  <cols>
    <col width="28.33203125" bestFit="1" customWidth="1" style="4" min="1" max="1"/>
    <col width="15.33203125" bestFit="1" customWidth="1" style="4" min="2" max="2"/>
    <col width="14.6640625" bestFit="1" customWidth="1" style="4" min="3" max="3"/>
    <col width="14.5" bestFit="1" customWidth="1" style="4" min="4" max="4"/>
    <col width="12.83203125" bestFit="1" customWidth="1" style="4" min="5" max="5"/>
    <col width="14" bestFit="1" customWidth="1" style="4" min="6" max="6"/>
    <col width="11.6640625" customWidth="1" style="4" min="7" max="7"/>
    <col width="28.33203125" bestFit="1" customWidth="1" style="4" min="8" max="8"/>
    <col width="15.33203125" bestFit="1" customWidth="1" style="4" min="9" max="9"/>
    <col width="11.5" bestFit="1" customWidth="1" style="4" min="10" max="10"/>
    <col width="10.83203125" customWidth="1" style="4" min="11" max="52"/>
    <col width="10.83203125" customWidth="1" style="4" min="53" max="16384"/>
  </cols>
  <sheetData>
    <row r="4" customFormat="1" s="1">
      <c r="A4" s="1" t="inlineStr">
        <is>
          <t>Total Index Options</t>
        </is>
      </c>
      <c r="B4" s="1" t="inlineStr">
        <is>
          <t>Premium Turnover</t>
        </is>
      </c>
    </row>
    <row r="5" ht="16" customHeight="1">
      <c r="A5" s="2" t="inlineStr">
        <is>
          <t>Monday</t>
        </is>
      </c>
      <c r="B5" s="3">
        <f>IFERROR(VLOOKUP(A5,$A$19:$F$28,2,0),0)+IFERROR(VLOOKUP(A5,$H$19:$K$28,2,0),0)</f>
        <v/>
      </c>
    </row>
    <row r="6" ht="16" customHeight="1">
      <c r="A6" s="2" t="inlineStr">
        <is>
          <t>Tuesday</t>
        </is>
      </c>
      <c r="B6" s="3">
        <f>IFERROR(VLOOKUP(A6,$A$19:$F$28,2,0),0)+IFERROR(VLOOKUP(A6,$H$19:$K$28,2,0),0)</f>
        <v/>
      </c>
    </row>
    <row r="7" ht="16" customHeight="1">
      <c r="A7" s="2" t="inlineStr">
        <is>
          <t>Wednesday</t>
        </is>
      </c>
      <c r="B7" s="3">
        <f>IFERROR(VLOOKUP(A7,$A$19:$F$28,2,0),0)+IFERROR(VLOOKUP(A7,$H$19:$K$28,2,0),0)</f>
        <v/>
      </c>
    </row>
    <row r="8" ht="16" customHeight="1">
      <c r="A8" s="2" t="inlineStr">
        <is>
          <t>Thursday</t>
        </is>
      </c>
      <c r="B8" s="3">
        <f>IFERROR(VLOOKUP(A8,$A$19:$F$28,2,0),0)+IFERROR(VLOOKUP(A8,$H$19:$K$28,2,0),0)</f>
        <v/>
      </c>
    </row>
    <row r="9" ht="16" customHeight="1">
      <c r="A9" s="2" t="inlineStr">
        <is>
          <t>Friday</t>
        </is>
      </c>
      <c r="B9" s="3">
        <f>IFERROR(VLOOKUP(A9,$A$19:$F$28,2,0),0)+IFERROR(VLOOKUP(A9,$H$19:$K$28,2,0),0)</f>
        <v/>
      </c>
    </row>
    <row r="10" ht="16" customHeight="1">
      <c r="A10" s="2" t="inlineStr">
        <is>
          <t>Sunday</t>
        </is>
      </c>
      <c r="B10" s="3">
        <f>IFERROR(VLOOKUP(A10,$A$19:$F$28,2,0),0)+IFERROR(VLOOKUP(A10,$H$19:$K$28,2,0),0)</f>
        <v/>
      </c>
    </row>
    <row r="11" customFormat="1" s="1">
      <c r="A11" s="5" t="inlineStr">
        <is>
          <t>Total</t>
        </is>
      </c>
      <c r="B11" s="6">
        <f>SUM(B5:B10)</f>
        <v/>
      </c>
    </row>
    <row r="12" customFormat="1" s="1">
      <c r="A12" s="5" t="n"/>
      <c r="B12" s="6" t="n"/>
    </row>
    <row r="13" customFormat="1" s="1">
      <c r="A13" s="5" t="n"/>
      <c r="B13" s="6" t="n"/>
    </row>
    <row r="14" customFormat="1" s="1">
      <c r="A14" s="5" t="n"/>
      <c r="B14" s="6" t="n"/>
    </row>
    <row r="16" ht="16" customHeight="1">
      <c r="A16" s="12" t="inlineStr">
        <is>
          <t>Trade Month - Year</t>
        </is>
      </c>
      <c r="B16" s="22" t="n">
        <v>46143</v>
      </c>
      <c r="H16" s="12" t="inlineStr">
        <is>
          <t>Trade Month - Year</t>
        </is>
      </c>
      <c r="I16" s="22" t="n">
        <v>46143</v>
      </c>
    </row>
    <row r="17" customFormat="1" s="1">
      <c r="A17" s="1" t="inlineStr">
        <is>
          <t>NIFTY Index Options</t>
        </is>
      </c>
      <c r="H17" s="1" t="inlineStr">
        <is>
          <t>Other index Options</t>
        </is>
      </c>
    </row>
    <row r="18" ht="16" customHeight="1">
      <c r="A18" s="12" t="inlineStr">
        <is>
          <t>Row Labels</t>
        </is>
      </c>
      <c r="B18" t="inlineStr">
        <is>
          <t>Sum of Premium Turnover (INR Bn)</t>
        </is>
      </c>
      <c r="H18" s="12" t="inlineStr">
        <is>
          <t>Row Labels</t>
        </is>
      </c>
      <c r="I18" t="inlineStr">
        <is>
          <t>Sum of Premium Turnover (INR Bn)</t>
        </is>
      </c>
    </row>
    <row r="19" ht="16" customHeight="1">
      <c r="A19" s="13" t="inlineStr">
        <is>
          <t>Monday</t>
        </is>
      </c>
      <c r="B19" s="14" t="n">
        <v>2528.13</v>
      </c>
      <c r="H19" s="13" t="inlineStr">
        <is>
          <t>Monday</t>
        </is>
      </c>
      <c r="I19" s="14" t="n">
        <v>231.4382999999999</v>
      </c>
    </row>
    <row r="20" ht="16" customHeight="1">
      <c r="A20" s="13" t="inlineStr">
        <is>
          <t>Tuesday</t>
        </is>
      </c>
      <c r="B20" s="14" t="n">
        <v>2883.6904</v>
      </c>
      <c r="G20" s="7" t="n"/>
      <c r="H20" s="13" t="inlineStr">
        <is>
          <t>Tuesday</t>
        </is>
      </c>
      <c r="I20" s="14" t="n">
        <v>312.7886999999999</v>
      </c>
    </row>
    <row r="21" ht="16" customHeight="1">
      <c r="A21" s="13" t="inlineStr">
        <is>
          <t>Wednesday</t>
        </is>
      </c>
      <c r="B21" s="14" t="n">
        <v>1479.8361</v>
      </c>
      <c r="G21" s="7" t="n"/>
      <c r="H21" s="13" t="inlineStr">
        <is>
          <t>Wednesday</t>
        </is>
      </c>
      <c r="I21" s="14" t="n">
        <v>200.6369</v>
      </c>
    </row>
    <row r="22" ht="16" customHeight="1">
      <c r="A22" s="13" t="inlineStr">
        <is>
          <t>Thursday</t>
        </is>
      </c>
      <c r="B22" s="14" t="n">
        <v>1014.3474</v>
      </c>
      <c r="G22" s="7" t="n"/>
      <c r="H22" s="13" t="inlineStr">
        <is>
          <t>Thursday</t>
        </is>
      </c>
      <c r="I22" s="14" t="n">
        <v>145.4254</v>
      </c>
    </row>
    <row r="23" ht="16" customHeight="1">
      <c r="A23" s="13" t="inlineStr">
        <is>
          <t>Friday</t>
        </is>
      </c>
      <c r="B23" s="14" t="n">
        <v>2121.697999999999</v>
      </c>
      <c r="G23" s="7" t="n"/>
      <c r="H23" s="13" t="inlineStr">
        <is>
          <t>Friday</t>
        </is>
      </c>
      <c r="I23" s="14" t="n">
        <v>210.725</v>
      </c>
    </row>
    <row r="24" ht="16" customHeight="1">
      <c r="A24" s="13" t="inlineStr">
        <is>
          <t>Grand Total</t>
        </is>
      </c>
      <c r="B24" s="14" t="n">
        <v>10027.7019</v>
      </c>
      <c r="G24" s="7" t="n"/>
      <c r="H24" s="13" t="inlineStr">
        <is>
          <t>Grand Total</t>
        </is>
      </c>
      <c r="I24" s="14" t="n">
        <v>1101.0143</v>
      </c>
    </row>
    <row r="25" ht="16" customHeight="1">
      <c r="G25" s="7" t="n"/>
    </row>
    <row r="26" ht="16" customHeight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K21"/>
  <sheetViews>
    <sheetView workbookViewId="0">
      <selection activeCell="B9" sqref="B9"/>
    </sheetView>
  </sheetViews>
  <sheetFormatPr baseColWidth="10" defaultRowHeight="15"/>
  <cols>
    <col width="16.33203125" bestFit="1" customWidth="1" style="4" min="1" max="1"/>
    <col width="29.83203125" bestFit="1" customWidth="1" style="4" min="2" max="2"/>
    <col width="10.83203125" customWidth="1" style="4" min="3" max="9"/>
    <col width="16.83203125" bestFit="1" customWidth="1" style="4" min="10" max="10"/>
    <col width="29.83203125" bestFit="1" customWidth="1" style="4" min="11" max="11"/>
    <col width="10.83203125" customWidth="1" style="4" min="12" max="53"/>
    <col width="10.83203125" customWidth="1" style="4" min="54" max="16384"/>
  </cols>
  <sheetData>
    <row r="2" customFormat="1" s="1">
      <c r="A2" s="1" t="inlineStr">
        <is>
          <t>Total Index Options</t>
        </is>
      </c>
    </row>
    <row r="3">
      <c r="A3" s="2" t="inlineStr">
        <is>
          <t>Sunday</t>
        </is>
      </c>
      <c r="B3" s="8">
        <f>IFERROR(VLOOKUP(A3,$A$16:$B$23,2,0),0)+IFERROR(VLOOKUP(A3,$J$16:$K$23,2,0),0)</f>
        <v/>
      </c>
    </row>
    <row r="4">
      <c r="A4" s="2" t="inlineStr">
        <is>
          <t>Monday</t>
        </is>
      </c>
      <c r="B4" s="8">
        <f>IFERROR(VLOOKUP(A4,$A$16:$B$23,2,0),0)+IFERROR(VLOOKUP(A4,$J$16:$K$23,2,0),0)</f>
        <v/>
      </c>
    </row>
    <row r="5">
      <c r="A5" s="2" t="inlineStr">
        <is>
          <t>Tuesday</t>
        </is>
      </c>
      <c r="B5" s="8">
        <f>IFERROR(VLOOKUP(A5,$A$16:$B$23,2,0),0)+IFERROR(VLOOKUP(A5,$J$16:$K$23,2,0),0)</f>
        <v/>
      </c>
    </row>
    <row r="6">
      <c r="A6" s="2" t="inlineStr">
        <is>
          <t>Wednesday</t>
        </is>
      </c>
      <c r="B6" s="8">
        <f>IFERROR(VLOOKUP(A6,$A$16:$B$23,2,0),0)+IFERROR(VLOOKUP(A6,$J$16:$K$23,2,0),0)</f>
        <v/>
      </c>
    </row>
    <row r="7">
      <c r="A7" s="2" t="inlineStr">
        <is>
          <t>Thursday</t>
        </is>
      </c>
      <c r="B7" s="8">
        <f>IFERROR(VLOOKUP(A7,$A$16:$B$23,2,0),0)+IFERROR(VLOOKUP(A7,$J$16:$K$23,2,0),0)</f>
        <v/>
      </c>
    </row>
    <row r="8">
      <c r="A8" s="2" t="inlineStr">
        <is>
          <t>Friday</t>
        </is>
      </c>
      <c r="B8" s="8">
        <f>IFERROR(VLOOKUP(A8,$A$16:$B$23,2,0),0)+IFERROR(VLOOKUP(A8,$J$16:$K$23,2,0),0)</f>
        <v/>
      </c>
    </row>
    <row r="9" customFormat="1" s="1">
      <c r="B9" s="9">
        <f>SUM(B3:B8)</f>
        <v/>
      </c>
    </row>
    <row r="13" ht="16" customHeight="1">
      <c r="A13" s="12" t="inlineStr">
        <is>
          <t>Trade Month - Year</t>
        </is>
      </c>
      <c r="B13" s="22" t="n">
        <v>46143</v>
      </c>
      <c r="J13" s="12" t="inlineStr">
        <is>
          <t>Trade Month - Year</t>
        </is>
      </c>
      <c r="K13" s="22" t="n">
        <v>46143</v>
      </c>
    </row>
    <row r="14" customFormat="1" s="15">
      <c r="A14" s="15" t="inlineStr">
        <is>
          <t>NIFTY Options</t>
        </is>
      </c>
      <c r="J14" s="15" t="inlineStr">
        <is>
          <t>Other Index options</t>
        </is>
      </c>
    </row>
    <row r="15" ht="16" customHeight="1">
      <c r="A15" s="12" t="inlineStr">
        <is>
          <t>Row Labels</t>
        </is>
      </c>
      <c r="B15" t="inlineStr">
        <is>
          <t>Sum of Premium Turnover (INR Bn)</t>
        </is>
      </c>
      <c r="J15" s="12" t="inlineStr">
        <is>
          <t>Row Labels</t>
        </is>
      </c>
      <c r="K15" t="inlineStr">
        <is>
          <t>Sum of Premium Turnover (INR Bn)</t>
        </is>
      </c>
    </row>
    <row r="16" ht="16" customHeight="1">
      <c r="A16" s="13" t="inlineStr">
        <is>
          <t>Monday</t>
        </is>
      </c>
      <c r="B16" s="14" t="n">
        <v>517.9765</v>
      </c>
      <c r="J16" s="13" t="inlineStr">
        <is>
          <t>Monday</t>
        </is>
      </c>
      <c r="K16" s="14" t="n">
        <v>0.2359</v>
      </c>
    </row>
    <row r="17" ht="16" customHeight="1">
      <c r="A17" s="13" t="inlineStr">
        <is>
          <t>Tuesday</t>
        </is>
      </c>
      <c r="B17" s="14" t="n">
        <v>459.6529</v>
      </c>
      <c r="J17" s="13" t="inlineStr">
        <is>
          <t>Tuesday</t>
        </is>
      </c>
      <c r="K17" s="14" t="n">
        <v>0.4556</v>
      </c>
    </row>
    <row r="18" ht="16" customHeight="1">
      <c r="A18" s="13" t="inlineStr">
        <is>
          <t>Wednesday</t>
        </is>
      </c>
      <c r="B18" s="14" t="n">
        <v>1973.3771</v>
      </c>
      <c r="J18" s="13" t="inlineStr">
        <is>
          <t>Wednesday</t>
        </is>
      </c>
      <c r="K18" s="14" t="n">
        <v>10.3866</v>
      </c>
    </row>
    <row r="19" ht="16" customHeight="1">
      <c r="A19" s="13" t="inlineStr">
        <is>
          <t>Thursday</t>
        </is>
      </c>
      <c r="B19" s="14" t="n">
        <v>2217.2828</v>
      </c>
      <c r="J19" s="13" t="inlineStr">
        <is>
          <t>Thursday</t>
        </is>
      </c>
      <c r="K19" s="14" t="n">
        <v>0.2643</v>
      </c>
    </row>
    <row r="20" ht="16" customHeight="1">
      <c r="A20" s="13" t="inlineStr">
        <is>
          <t>Friday</t>
        </is>
      </c>
      <c r="B20" s="14" t="n">
        <v>456.9172</v>
      </c>
      <c r="J20" s="13" t="inlineStr">
        <is>
          <t>Friday</t>
        </is>
      </c>
      <c r="K20" s="14" t="n">
        <v>0.3337</v>
      </c>
    </row>
    <row r="21" ht="16" customHeight="1">
      <c r="A21" s="13" t="inlineStr">
        <is>
          <t>Grand Total</t>
        </is>
      </c>
      <c r="B21" s="14" t="n">
        <v>5625.2065</v>
      </c>
      <c r="J21" s="13" t="inlineStr">
        <is>
          <t>Grand Total</t>
        </is>
      </c>
      <c r="K21" s="14" t="n">
        <v>11.6761</v>
      </c>
    </row>
    <row r="22" ht="16" customHeight="1"/>
    <row r="23" ht="16" customHeight="1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177"/>
  <sheetViews>
    <sheetView zoomScale="150" workbookViewId="0">
      <pane ySplit="1" topLeftCell="A2" activePane="bottomLeft" state="frozen"/>
      <selection pane="bottomLeft" activeCell="B9" sqref="B9"/>
      <selection pane="bottomLeft" activeCell="B9" sqref="B9"/>
    </sheetView>
  </sheetViews>
  <sheetFormatPr baseColWidth="10" defaultColWidth="8.83203125" defaultRowHeight="16"/>
  <cols>
    <col width="12" customWidth="1" style="4" min="1" max="1"/>
    <col width="11" customWidth="1" style="4" min="2" max="2"/>
    <col width="18" customWidth="1" style="4" min="3" max="3"/>
    <col width="14" customWidth="1" style="4" min="4" max="4"/>
    <col width="14" customWidth="1" style="4" min="5" max="5"/>
    <col width="12" bestFit="1" customWidth="1" style="4" min="6" max="6"/>
    <col width="11" customWidth="1" style="4" min="7" max="7"/>
    <col width="20" customWidth="1" style="4" min="8" max="8"/>
    <col width="20" customWidth="1" min="9" max="9"/>
    <col width="18" customWidth="1" style="4" min="10" max="10"/>
    <col width="20" customWidth="1" style="4" min="11" max="11"/>
    <col width="26" customWidth="1" style="4" min="12" max="12"/>
    <col width="26" customWidth="1" min="13" max="13"/>
    <col width="8.83203125" customWidth="1" style="4" min="14" max="55"/>
    <col width="8.83203125" customWidth="1" style="4" min="56" max="16384"/>
  </cols>
  <sheetData>
    <row r="1" ht="16" customHeight="1">
      <c r="A1" s="75" t="inlineStr">
        <is>
          <t>Trade Date</t>
        </is>
      </c>
      <c r="B1" s="75" t="inlineStr">
        <is>
          <t>Trade Day</t>
        </is>
      </c>
      <c r="C1" s="75" t="inlineStr">
        <is>
          <t>Trade Week-Month-Year</t>
        </is>
      </c>
      <c r="D1" s="75" t="inlineStr">
        <is>
          <t>Trade Month - Year</t>
        </is>
      </c>
      <c r="E1" s="75" t="inlineStr">
        <is>
          <t>Trade Quarter</t>
        </is>
      </c>
      <c r="F1" s="75" t="inlineStr">
        <is>
          <t>Expiry Date</t>
        </is>
      </c>
      <c r="G1" s="75" t="inlineStr">
        <is>
          <t>Expiry Day</t>
        </is>
      </c>
      <c r="H1" s="75" t="inlineStr">
        <is>
          <t>Expiry Type 2</t>
        </is>
      </c>
      <c r="I1" s="75" t="inlineStr">
        <is>
          <t>Expiry Type</t>
        </is>
      </c>
      <c r="J1" s="75" t="inlineStr">
        <is>
          <t>Expiry Month Offset</t>
        </is>
      </c>
      <c r="K1" s="75" t="inlineStr">
        <is>
          <t>Number of Contracts</t>
        </is>
      </c>
      <c r="L1" s="75" t="inlineStr">
        <is>
          <t>Notional Turnover (INR Bn)</t>
        </is>
      </c>
      <c r="M1" s="75" t="inlineStr">
        <is>
          <t>Premium Turnover (INR Bn)</t>
        </is>
      </c>
    </row>
    <row r="2" ht="16" customHeight="1">
      <c r="A2" t="inlineStr">
        <is>
          <t>01-Sep-2025</t>
        </is>
      </c>
      <c r="B2" t="inlineStr">
        <is>
          <t>Monday</t>
        </is>
      </c>
      <c r="C2" t="inlineStr">
        <is>
          <t>Week1-Sep-2025</t>
        </is>
      </c>
      <c r="D2" s="78" t="n">
        <v>45901</v>
      </c>
      <c r="E2" t="inlineStr">
        <is>
          <t>Q2FY26</t>
        </is>
      </c>
      <c r="F2" t="inlineStr">
        <is>
          <t>02-Sep-2025</t>
        </is>
      </c>
      <c r="G2" t="inlineStr">
        <is>
          <t>Tuesday</t>
        </is>
      </c>
      <c r="H2" t="inlineStr">
        <is>
          <t>Weekly - Tuesday</t>
        </is>
      </c>
      <c r="I2" t="inlineStr">
        <is>
          <t>Weekly - Tuesday</t>
        </is>
      </c>
      <c r="J2" t="inlineStr">
        <is>
          <t>Same Month Expiry</t>
        </is>
      </c>
      <c r="K2" s="25" t="n">
        <v>106028868</v>
      </c>
      <c r="L2" s="26" t="n">
        <v>195611.3238</v>
      </c>
      <c r="M2" s="26" t="n">
        <v>320.4747</v>
      </c>
    </row>
    <row r="3" ht="16" customHeight="1">
      <c r="A3" t="inlineStr">
        <is>
          <t>01-Sep-2025</t>
        </is>
      </c>
      <c r="B3" t="inlineStr">
        <is>
          <t>Monday</t>
        </is>
      </c>
      <c r="C3" t="inlineStr">
        <is>
          <t>Week1-Sep-2025</t>
        </is>
      </c>
      <c r="D3" s="78" t="n">
        <v>45901</v>
      </c>
      <c r="E3" t="inlineStr">
        <is>
          <t>Q2FY26</t>
        </is>
      </c>
      <c r="F3" t="inlineStr">
        <is>
          <t>09-Sep-2025</t>
        </is>
      </c>
      <c r="G3" t="inlineStr">
        <is>
          <t>Tuesday</t>
        </is>
      </c>
      <c r="H3" t="inlineStr">
        <is>
          <t>Weekly - Tuesday</t>
        </is>
      </c>
      <c r="I3" t="inlineStr">
        <is>
          <t>Weekly - Tuesday</t>
        </is>
      </c>
      <c r="J3" t="inlineStr">
        <is>
          <t>Same Month Expiry</t>
        </is>
      </c>
      <c r="K3" s="25" t="n">
        <v>4029784</v>
      </c>
      <c r="L3" s="26" t="n">
        <v>7452.1597</v>
      </c>
      <c r="M3" s="26" t="n">
        <v>20.5134</v>
      </c>
    </row>
    <row r="4" ht="16" customHeight="1">
      <c r="A4" t="inlineStr">
        <is>
          <t>01-Sep-2025</t>
        </is>
      </c>
      <c r="B4" t="inlineStr">
        <is>
          <t>Monday</t>
        </is>
      </c>
      <c r="C4" t="inlineStr">
        <is>
          <t>Week1-Sep-2025</t>
        </is>
      </c>
      <c r="D4" s="78" t="n">
        <v>45901</v>
      </c>
      <c r="E4" t="inlineStr">
        <is>
          <t>Q2FY26</t>
        </is>
      </c>
      <c r="F4" t="inlineStr">
        <is>
          <t>16-Sep-2025</t>
        </is>
      </c>
      <c r="G4" t="inlineStr">
        <is>
          <t>Tuesday</t>
        </is>
      </c>
      <c r="H4" t="inlineStr">
        <is>
          <t>Weekly - Tuesday</t>
        </is>
      </c>
      <c r="I4" t="inlineStr">
        <is>
          <t>Weekly - Tuesday</t>
        </is>
      </c>
      <c r="J4" t="inlineStr">
        <is>
          <t>Same Month Expiry</t>
        </is>
      </c>
      <c r="K4" s="25" t="n">
        <v>180472</v>
      </c>
      <c r="L4" s="26" t="n">
        <v>334.8364</v>
      </c>
      <c r="M4" s="26" t="n">
        <v>1.2927</v>
      </c>
    </row>
    <row r="5" ht="16" customHeight="1">
      <c r="A5" t="inlineStr">
        <is>
          <t>01-Sep-2025</t>
        </is>
      </c>
      <c r="B5" t="inlineStr">
        <is>
          <t>Monday</t>
        </is>
      </c>
      <c r="C5" t="inlineStr">
        <is>
          <t>Week1-Sep-2025</t>
        </is>
      </c>
      <c r="D5" s="78" t="n">
        <v>45901</v>
      </c>
      <c r="E5" t="inlineStr">
        <is>
          <t>Q2FY26</t>
        </is>
      </c>
      <c r="F5" t="inlineStr">
        <is>
          <t>23-Sep-2025</t>
        </is>
      </c>
      <c r="G5" t="inlineStr">
        <is>
          <t>Tuesday</t>
        </is>
      </c>
      <c r="H5" t="inlineStr">
        <is>
          <t>Weekly - Tuesday</t>
        </is>
      </c>
      <c r="I5" t="inlineStr">
        <is>
          <t>Weekly - Tuesday</t>
        </is>
      </c>
      <c r="J5" t="inlineStr">
        <is>
          <t>Same Month Expiry</t>
        </is>
      </c>
      <c r="K5" s="25" t="n">
        <v>12809</v>
      </c>
      <c r="L5" s="26" t="n">
        <v>23.7925</v>
      </c>
      <c r="M5" s="26" t="n">
        <v>0.1222</v>
      </c>
    </row>
    <row r="6" ht="16" customHeight="1">
      <c r="A6" t="inlineStr">
        <is>
          <t>01-Sep-2025</t>
        </is>
      </c>
      <c r="B6" t="inlineStr">
        <is>
          <t>Monday</t>
        </is>
      </c>
      <c r="C6" t="inlineStr">
        <is>
          <t>Week1-Sep-2025</t>
        </is>
      </c>
      <c r="D6" s="78" t="n">
        <v>45901</v>
      </c>
      <c r="E6" t="inlineStr">
        <is>
          <t>Q2FY26</t>
        </is>
      </c>
      <c r="F6" t="inlineStr">
        <is>
          <t>30-Sep-2025</t>
        </is>
      </c>
      <c r="G6" t="inlineStr">
        <is>
          <t>Tuesday</t>
        </is>
      </c>
      <c r="H6" t="inlineStr">
        <is>
          <t>Monthly - Tuesday</t>
        </is>
      </c>
      <c r="I6" t="inlineStr">
        <is>
          <t>Monthly - Tuesday</t>
        </is>
      </c>
      <c r="J6" t="inlineStr">
        <is>
          <t>Same Month Expiry</t>
        </is>
      </c>
      <c r="K6" s="25" t="n">
        <v>937540</v>
      </c>
      <c r="L6" s="26" t="n">
        <v>1745.446</v>
      </c>
      <c r="M6" s="26" t="n">
        <v>11.7428</v>
      </c>
    </row>
    <row r="7" ht="16" customHeight="1">
      <c r="A7" t="inlineStr">
        <is>
          <t>01-Sep-2025</t>
        </is>
      </c>
      <c r="B7" t="inlineStr">
        <is>
          <t>Monday</t>
        </is>
      </c>
      <c r="C7" t="inlineStr">
        <is>
          <t>Week1-Sep-2025</t>
        </is>
      </c>
      <c r="D7" s="78" t="n">
        <v>45901</v>
      </c>
      <c r="E7" t="inlineStr">
        <is>
          <t>Q2FY26</t>
        </is>
      </c>
      <c r="F7" t="inlineStr">
        <is>
          <t>28-Oct-2025</t>
        </is>
      </c>
      <c r="G7" t="inlineStr">
        <is>
          <t>Tuesday</t>
        </is>
      </c>
      <c r="H7" t="inlineStr">
        <is>
          <t>Monthly - Tuesday</t>
        </is>
      </c>
      <c r="I7" t="inlineStr">
        <is>
          <t>Monthly - Tuesday</t>
        </is>
      </c>
      <c r="J7" t="inlineStr">
        <is>
          <t>Month+1 Expiry</t>
        </is>
      </c>
      <c r="K7" s="25" t="n">
        <v>92526</v>
      </c>
      <c r="L7" s="26" t="n">
        <v>173.1333</v>
      </c>
      <c r="M7" s="26" t="n">
        <v>1.5934</v>
      </c>
    </row>
    <row r="8" ht="16" customHeight="1">
      <c r="A8" t="inlineStr">
        <is>
          <t>01-Sep-2025</t>
        </is>
      </c>
      <c r="B8" t="inlineStr">
        <is>
          <t>Monday</t>
        </is>
      </c>
      <c r="C8" t="inlineStr">
        <is>
          <t>Week1-Sep-2025</t>
        </is>
      </c>
      <c r="D8" s="78" t="n">
        <v>45901</v>
      </c>
      <c r="E8" t="inlineStr">
        <is>
          <t>Q2FY26</t>
        </is>
      </c>
      <c r="F8" t="inlineStr">
        <is>
          <t>25-Nov-2025</t>
        </is>
      </c>
      <c r="G8" t="inlineStr">
        <is>
          <t>Tuesday</t>
        </is>
      </c>
      <c r="H8" t="inlineStr">
        <is>
          <t>Monthly - Tuesday</t>
        </is>
      </c>
      <c r="I8" t="inlineStr">
        <is>
          <t>Monthly - Tuesday</t>
        </is>
      </c>
      <c r="J8" t="inlineStr">
        <is>
          <t>Month+2 Expiry</t>
        </is>
      </c>
      <c r="K8" s="25" t="n">
        <v>12947</v>
      </c>
      <c r="L8" s="26" t="n">
        <v>24.1647</v>
      </c>
      <c r="M8" s="26" t="n">
        <v>0.3138</v>
      </c>
    </row>
    <row r="9" ht="16" customHeight="1">
      <c r="A9" t="inlineStr">
        <is>
          <t>01-Sep-2025</t>
        </is>
      </c>
      <c r="B9" t="inlineStr">
        <is>
          <t>Monday</t>
        </is>
      </c>
      <c r="C9" t="inlineStr">
        <is>
          <t>Week1-Sep-2025</t>
        </is>
      </c>
      <c r="D9" s="78" t="n">
        <v>45901</v>
      </c>
      <c r="E9" t="inlineStr">
        <is>
          <t>Q2FY26</t>
        </is>
      </c>
      <c r="F9" t="inlineStr">
        <is>
          <t>30-Dec-2025</t>
        </is>
      </c>
      <c r="G9" t="inlineStr">
        <is>
          <t>Tuesday</t>
        </is>
      </c>
      <c r="H9" t="inlineStr">
        <is>
          <t>Monthly - Tuesday</t>
        </is>
      </c>
      <c r="I9" t="inlineStr">
        <is>
          <t>Monthly - Tuesday</t>
        </is>
      </c>
      <c r="J9" t="inlineStr">
        <is>
          <t>Month+3 Expiry</t>
        </is>
      </c>
      <c r="K9" s="25" t="n">
        <v>47888</v>
      </c>
      <c r="L9" s="26" t="n">
        <v>91.8372</v>
      </c>
      <c r="M9" s="26" t="n">
        <v>1.5443</v>
      </c>
    </row>
    <row r="10" ht="16" customHeight="1">
      <c r="A10" t="inlineStr">
        <is>
          <t>01-Sep-2025</t>
        </is>
      </c>
      <c r="B10" t="inlineStr">
        <is>
          <t>Monday</t>
        </is>
      </c>
      <c r="C10" t="inlineStr">
        <is>
          <t>Week1-Sep-2025</t>
        </is>
      </c>
      <c r="D10" s="78" t="n">
        <v>45901</v>
      </c>
      <c r="E10" t="inlineStr">
        <is>
          <t>Q2FY26</t>
        </is>
      </c>
      <c r="F10" t="inlineStr">
        <is>
          <t>31-Mar-2026</t>
        </is>
      </c>
      <c r="G10" t="inlineStr">
        <is>
          <t>Tuesday</t>
        </is>
      </c>
      <c r="H10" t="inlineStr">
        <is>
          <t>Monthly - Tuesday</t>
        </is>
      </c>
      <c r="I10" t="inlineStr">
        <is>
          <t>Monthly - Tuesday</t>
        </is>
      </c>
      <c r="J10" t="inlineStr">
        <is>
          <t>Month+6 Expiry</t>
        </is>
      </c>
      <c r="K10" s="25" t="n">
        <v>7389</v>
      </c>
      <c r="L10" s="26" t="n">
        <v>14.3411</v>
      </c>
      <c r="M10" s="26" t="n">
        <v>0.2684</v>
      </c>
    </row>
    <row r="11" ht="16" customHeight="1">
      <c r="A11" t="inlineStr">
        <is>
          <t>01-Sep-2025</t>
        </is>
      </c>
      <c r="B11" t="inlineStr">
        <is>
          <t>Monday</t>
        </is>
      </c>
      <c r="C11" t="inlineStr">
        <is>
          <t>Week1-Sep-2025</t>
        </is>
      </c>
      <c r="D11" s="78" t="n">
        <v>45901</v>
      </c>
      <c r="E11" t="inlineStr">
        <is>
          <t>Q2FY26</t>
        </is>
      </c>
      <c r="F11" t="inlineStr">
        <is>
          <t>30-Jun-2026</t>
        </is>
      </c>
      <c r="G11" t="inlineStr">
        <is>
          <t>Tuesday</t>
        </is>
      </c>
      <c r="H11" t="inlineStr">
        <is>
          <t>Monthly - Tuesday</t>
        </is>
      </c>
      <c r="I11" t="inlineStr">
        <is>
          <t>Monthly - Tuesday</t>
        </is>
      </c>
      <c r="J11" t="inlineStr">
        <is>
          <t>Month+9 Expiry</t>
        </is>
      </c>
      <c r="K11" s="25" t="n">
        <v>98</v>
      </c>
      <c r="L11" s="26" t="n">
        <v>0.1839</v>
      </c>
      <c r="M11" s="26" t="n">
        <v>0.0049</v>
      </c>
    </row>
    <row r="12" ht="16" customHeight="1">
      <c r="A12" t="inlineStr">
        <is>
          <t>01-Sep-2025</t>
        </is>
      </c>
      <c r="B12" t="inlineStr">
        <is>
          <t>Monday</t>
        </is>
      </c>
      <c r="C12" t="inlineStr">
        <is>
          <t>Week1-Sep-2025</t>
        </is>
      </c>
      <c r="D12" s="78" t="n">
        <v>45901</v>
      </c>
      <c r="E12" t="inlineStr">
        <is>
          <t>Q2FY26</t>
        </is>
      </c>
      <c r="F12" t="inlineStr">
        <is>
          <t>29-Dec-2026</t>
        </is>
      </c>
      <c r="G12" t="inlineStr">
        <is>
          <t>Tuesday</t>
        </is>
      </c>
      <c r="H12" t="inlineStr">
        <is>
          <t>Monthly - Tuesday</t>
        </is>
      </c>
      <c r="I12" t="inlineStr">
        <is>
          <t>Monthly - Tuesday</t>
        </is>
      </c>
      <c r="J12" t="inlineStr">
        <is>
          <t>Month+15 Expiry</t>
        </is>
      </c>
      <c r="K12" s="25" t="n">
        <v>625</v>
      </c>
      <c r="L12" s="26" t="n">
        <v>1.2643</v>
      </c>
      <c r="M12" s="26" t="n">
        <v>0.0513</v>
      </c>
    </row>
    <row r="13" ht="16" customHeight="1">
      <c r="A13" t="inlineStr">
        <is>
          <t>01-Sep-2025</t>
        </is>
      </c>
      <c r="B13" t="inlineStr">
        <is>
          <t>Monday</t>
        </is>
      </c>
      <c r="C13" t="inlineStr">
        <is>
          <t>Week1-Sep-2025</t>
        </is>
      </c>
      <c r="D13" s="78" t="n">
        <v>45901</v>
      </c>
      <c r="E13" t="inlineStr">
        <is>
          <t>Q2FY26</t>
        </is>
      </c>
      <c r="F13" t="inlineStr">
        <is>
          <t>29-Jun-2027</t>
        </is>
      </c>
      <c r="G13" t="inlineStr">
        <is>
          <t>Tuesday</t>
        </is>
      </c>
      <c r="H13" t="inlineStr">
        <is>
          <t>Monthly - Tuesday</t>
        </is>
      </c>
      <c r="I13" t="inlineStr">
        <is>
          <t>Monthly - Tuesday</t>
        </is>
      </c>
      <c r="J13" t="inlineStr">
        <is>
          <t>Month+21 Expiry</t>
        </is>
      </c>
      <c r="K13" s="25" t="n">
        <v>0</v>
      </c>
      <c r="L13" s="26" t="n">
        <v>0</v>
      </c>
      <c r="M13" s="26" t="n">
        <v>0</v>
      </c>
    </row>
    <row r="14" ht="16" customHeight="1">
      <c r="A14" t="inlineStr">
        <is>
          <t>01-Sep-2025</t>
        </is>
      </c>
      <c r="B14" t="inlineStr">
        <is>
          <t>Monday</t>
        </is>
      </c>
      <c r="C14" t="inlineStr">
        <is>
          <t>Week1-Sep-2025</t>
        </is>
      </c>
      <c r="D14" s="78" t="n">
        <v>45901</v>
      </c>
      <c r="E14" t="inlineStr">
        <is>
          <t>Q2FY26</t>
        </is>
      </c>
      <c r="F14" t="inlineStr">
        <is>
          <t>28-Dec-2027</t>
        </is>
      </c>
      <c r="G14" t="inlineStr">
        <is>
          <t>Tuesday</t>
        </is>
      </c>
      <c r="H14" t="inlineStr">
        <is>
          <t>Monthly - Tuesday</t>
        </is>
      </c>
      <c r="I14" t="inlineStr">
        <is>
          <t>Monthly - Tuesday</t>
        </is>
      </c>
      <c r="J14" t="inlineStr">
        <is>
          <t>Month+27 Expiry</t>
        </is>
      </c>
      <c r="K14" s="25" t="n">
        <v>1</v>
      </c>
      <c r="L14" s="26" t="n">
        <v>0.0018</v>
      </c>
      <c r="M14" s="26" t="n">
        <v>0</v>
      </c>
    </row>
    <row r="15" ht="16" customHeight="1">
      <c r="A15" t="inlineStr">
        <is>
          <t>01-Sep-2025</t>
        </is>
      </c>
      <c r="B15" t="inlineStr">
        <is>
          <t>Monday</t>
        </is>
      </c>
      <c r="C15" t="inlineStr">
        <is>
          <t>Week1-Sep-2025</t>
        </is>
      </c>
      <c r="D15" s="78" t="n">
        <v>45901</v>
      </c>
      <c r="E15" t="inlineStr">
        <is>
          <t>Q2FY26</t>
        </is>
      </c>
      <c r="F15" t="inlineStr">
        <is>
          <t>27-Jun-2028</t>
        </is>
      </c>
      <c r="G15" t="inlineStr">
        <is>
          <t>Tuesday</t>
        </is>
      </c>
      <c r="H15" t="inlineStr">
        <is>
          <t>Monthly - Tuesday</t>
        </is>
      </c>
      <c r="I15" t="inlineStr">
        <is>
          <t>Monthly - Tuesday</t>
        </is>
      </c>
      <c r="J15" t="inlineStr">
        <is>
          <t>Month+33 Expiry</t>
        </is>
      </c>
      <c r="K15" s="25" t="n">
        <v>4</v>
      </c>
      <c r="L15" s="26" t="n">
        <v>0.0067</v>
      </c>
      <c r="M15" s="26" t="n">
        <v>0.0001</v>
      </c>
    </row>
    <row r="16" ht="16" customHeight="1">
      <c r="A16" t="inlineStr">
        <is>
          <t>01-Sep-2025</t>
        </is>
      </c>
      <c r="B16" t="inlineStr">
        <is>
          <t>Monday</t>
        </is>
      </c>
      <c r="C16" t="inlineStr">
        <is>
          <t>Week1-Sep-2025</t>
        </is>
      </c>
      <c r="D16" s="78" t="n">
        <v>45901</v>
      </c>
      <c r="E16" t="inlineStr">
        <is>
          <t>Q2FY26</t>
        </is>
      </c>
      <c r="F16" t="inlineStr">
        <is>
          <t>26-Dec-2028</t>
        </is>
      </c>
      <c r="G16" t="inlineStr">
        <is>
          <t>Tuesday</t>
        </is>
      </c>
      <c r="H16" t="inlineStr">
        <is>
          <t>Monthly - Tuesday</t>
        </is>
      </c>
      <c r="I16" t="inlineStr">
        <is>
          <t>Monthly - Tuesday</t>
        </is>
      </c>
      <c r="J16" t="inlineStr">
        <is>
          <t>Month+39 Expiry</t>
        </is>
      </c>
      <c r="K16" s="25" t="n">
        <v>14</v>
      </c>
      <c r="L16" s="26" t="n">
        <v>0.0252</v>
      </c>
      <c r="M16" s="26" t="n">
        <v>0.0007</v>
      </c>
    </row>
    <row r="17" ht="16" customHeight="1">
      <c r="A17" t="inlineStr">
        <is>
          <t>01-Sep-2025</t>
        </is>
      </c>
      <c r="B17" t="inlineStr">
        <is>
          <t>Monday</t>
        </is>
      </c>
      <c r="C17" t="inlineStr">
        <is>
          <t>Week1-Sep-2025</t>
        </is>
      </c>
      <c r="D17" s="78" t="n">
        <v>45901</v>
      </c>
      <c r="E17" t="inlineStr">
        <is>
          <t>Q2FY26</t>
        </is>
      </c>
      <c r="F17" t="inlineStr">
        <is>
          <t>26-Jun-2029</t>
        </is>
      </c>
      <c r="G17" t="inlineStr">
        <is>
          <t>Tuesday</t>
        </is>
      </c>
      <c r="H17" t="inlineStr">
        <is>
          <t>Monthly - Tuesday</t>
        </is>
      </c>
      <c r="I17" t="inlineStr">
        <is>
          <t>Monthly - Tuesday</t>
        </is>
      </c>
      <c r="J17" t="inlineStr">
        <is>
          <t>Month+45 Expiry</t>
        </is>
      </c>
      <c r="K17" s="25" t="n">
        <v>0</v>
      </c>
      <c r="L17" s="26" t="n">
        <v>0</v>
      </c>
      <c r="M17" s="26" t="n">
        <v>0</v>
      </c>
    </row>
    <row r="18" ht="16" customHeight="1">
      <c r="A18" t="inlineStr">
        <is>
          <t>01-Sep-2025</t>
        </is>
      </c>
      <c r="B18" t="inlineStr">
        <is>
          <t>Monday</t>
        </is>
      </c>
      <c r="C18" t="inlineStr">
        <is>
          <t>Week1-Sep-2025</t>
        </is>
      </c>
      <c r="D18" s="78" t="n">
        <v>45901</v>
      </c>
      <c r="E18" t="inlineStr">
        <is>
          <t>Q2FY26</t>
        </is>
      </c>
      <c r="F18" t="inlineStr">
        <is>
          <t>24-Dec-2029</t>
        </is>
      </c>
      <c r="G18" t="inlineStr">
        <is>
          <t>Monday</t>
        </is>
      </c>
      <c r="H18" t="inlineStr">
        <is>
          <t>Weekly - Monday</t>
        </is>
      </c>
      <c r="I18" t="inlineStr">
        <is>
          <t>Weekly - Monday</t>
        </is>
      </c>
      <c r="J18" t="inlineStr">
        <is>
          <t>Month+51 Expiry</t>
        </is>
      </c>
      <c r="K18" s="25" t="n">
        <v>0</v>
      </c>
      <c r="L18" s="26" t="n">
        <v>0</v>
      </c>
      <c r="M18" s="26" t="n">
        <v>0</v>
      </c>
    </row>
    <row r="19" ht="16" customHeight="1">
      <c r="A19" t="inlineStr">
        <is>
          <t>01-Sep-2025</t>
        </is>
      </c>
      <c r="B19" t="inlineStr">
        <is>
          <t>Monday</t>
        </is>
      </c>
      <c r="C19" t="inlineStr">
        <is>
          <t>Week1-Sep-2025</t>
        </is>
      </c>
      <c r="D19" s="78" t="n">
        <v>45901</v>
      </c>
      <c r="E19" t="inlineStr">
        <is>
          <t>Q2FY26</t>
        </is>
      </c>
      <c r="F19" t="inlineStr">
        <is>
          <t>25-Jun-2030</t>
        </is>
      </c>
      <c r="G19" t="inlineStr">
        <is>
          <t>Tuesday</t>
        </is>
      </c>
      <c r="H19" t="inlineStr">
        <is>
          <t>Monthly - Tuesday</t>
        </is>
      </c>
      <c r="I19" t="inlineStr">
        <is>
          <t>Monthly - Tuesday</t>
        </is>
      </c>
      <c r="J19" t="inlineStr">
        <is>
          <t>Month+57 Expiry</t>
        </is>
      </c>
      <c r="K19" s="25" t="n">
        <v>0</v>
      </c>
      <c r="L19" s="26" t="n">
        <v>0</v>
      </c>
      <c r="M19" s="26" t="n">
        <v>0</v>
      </c>
    </row>
    <row r="20" ht="16" customHeight="1">
      <c r="A20" t="inlineStr">
        <is>
          <t>02-Sep-2025</t>
        </is>
      </c>
      <c r="B20" t="inlineStr">
        <is>
          <t>Tuesday</t>
        </is>
      </c>
      <c r="C20" t="inlineStr">
        <is>
          <t>Week1-Sep-2025</t>
        </is>
      </c>
      <c r="D20" s="78" t="n">
        <v>45901</v>
      </c>
      <c r="E20" t="inlineStr">
        <is>
          <t>Q2FY26</t>
        </is>
      </c>
      <c r="F20" t="inlineStr">
        <is>
          <t>02-Sep-2025</t>
        </is>
      </c>
      <c r="G20" t="inlineStr">
        <is>
          <t>Tuesday</t>
        </is>
      </c>
      <c r="H20" t="inlineStr">
        <is>
          <t>Weekly - Tuesday</t>
        </is>
      </c>
      <c r="I20" t="inlineStr">
        <is>
          <t>Weekly - Tuesday</t>
        </is>
      </c>
      <c r="J20" t="inlineStr">
        <is>
          <t>Same Month Expiry</t>
        </is>
      </c>
      <c r="K20" s="25" t="n">
        <v>345607365</v>
      </c>
      <c r="L20" s="26" t="n">
        <v>639129.0561</v>
      </c>
      <c r="M20" s="26" t="n">
        <v>563.6180000000001</v>
      </c>
    </row>
    <row r="21" ht="16" customHeight="1">
      <c r="A21" t="inlineStr">
        <is>
          <t>02-Sep-2025</t>
        </is>
      </c>
      <c r="B21" t="inlineStr">
        <is>
          <t>Tuesday</t>
        </is>
      </c>
      <c r="C21" t="inlineStr">
        <is>
          <t>Week1-Sep-2025</t>
        </is>
      </c>
      <c r="D21" s="78" t="n">
        <v>45901</v>
      </c>
      <c r="E21" t="inlineStr">
        <is>
          <t>Q2FY26</t>
        </is>
      </c>
      <c r="F21" t="inlineStr">
        <is>
          <t>09-Sep-2025</t>
        </is>
      </c>
      <c r="G21" t="inlineStr">
        <is>
          <t>Tuesday</t>
        </is>
      </c>
      <c r="H21" t="inlineStr">
        <is>
          <t>Weekly - Tuesday</t>
        </is>
      </c>
      <c r="I21" t="inlineStr">
        <is>
          <t>Weekly - Tuesday</t>
        </is>
      </c>
      <c r="J21" t="inlineStr">
        <is>
          <t>Same Month Expiry</t>
        </is>
      </c>
      <c r="K21" s="25" t="n">
        <v>11437491</v>
      </c>
      <c r="L21" s="26" t="n">
        <v>21205.7139</v>
      </c>
      <c r="M21" s="26" t="n">
        <v>61.5992</v>
      </c>
    </row>
    <row r="22" ht="16" customHeight="1">
      <c r="A22" t="inlineStr">
        <is>
          <t>02-Sep-2025</t>
        </is>
      </c>
      <c r="B22" t="inlineStr">
        <is>
          <t>Tuesday</t>
        </is>
      </c>
      <c r="C22" t="inlineStr">
        <is>
          <t>Week1-Sep-2025</t>
        </is>
      </c>
      <c r="D22" s="78" t="n">
        <v>45901</v>
      </c>
      <c r="E22" t="inlineStr">
        <is>
          <t>Q2FY26</t>
        </is>
      </c>
      <c r="F22" t="inlineStr">
        <is>
          <t>16-Sep-2025</t>
        </is>
      </c>
      <c r="G22" t="inlineStr">
        <is>
          <t>Tuesday</t>
        </is>
      </c>
      <c r="H22" t="inlineStr">
        <is>
          <t>Weekly - Tuesday</t>
        </is>
      </c>
      <c r="I22" t="inlineStr">
        <is>
          <t>Weekly - Tuesday</t>
        </is>
      </c>
      <c r="J22" t="inlineStr">
        <is>
          <t>Same Month Expiry</t>
        </is>
      </c>
      <c r="K22" s="25" t="n">
        <v>407592</v>
      </c>
      <c r="L22" s="26" t="n">
        <v>756.2195</v>
      </c>
      <c r="M22" s="26" t="n">
        <v>2.9828</v>
      </c>
    </row>
    <row r="23" ht="16" customHeight="1">
      <c r="A23" t="inlineStr">
        <is>
          <t>02-Sep-2025</t>
        </is>
      </c>
      <c r="B23" t="inlineStr">
        <is>
          <t>Tuesday</t>
        </is>
      </c>
      <c r="C23" t="inlineStr">
        <is>
          <t>Week1-Sep-2025</t>
        </is>
      </c>
      <c r="D23" s="78" t="n">
        <v>45901</v>
      </c>
      <c r="E23" t="inlineStr">
        <is>
          <t>Q2FY26</t>
        </is>
      </c>
      <c r="F23" t="inlineStr">
        <is>
          <t>23-Sep-2025</t>
        </is>
      </c>
      <c r="G23" t="inlineStr">
        <is>
          <t>Tuesday</t>
        </is>
      </c>
      <c r="H23" t="inlineStr">
        <is>
          <t>Weekly - Tuesday</t>
        </is>
      </c>
      <c r="I23" t="inlineStr">
        <is>
          <t>Weekly - Tuesday</t>
        </is>
      </c>
      <c r="J23" t="inlineStr">
        <is>
          <t>Same Month Expiry</t>
        </is>
      </c>
      <c r="K23" s="25" t="n">
        <v>23137</v>
      </c>
      <c r="L23" s="26" t="n">
        <v>42.9907</v>
      </c>
      <c r="M23" s="26" t="n">
        <v>0.2309</v>
      </c>
    </row>
    <row r="24" ht="16" customHeight="1">
      <c r="A24" t="inlineStr">
        <is>
          <t>02-Sep-2025</t>
        </is>
      </c>
      <c r="B24" t="inlineStr">
        <is>
          <t>Tuesday</t>
        </is>
      </c>
      <c r="C24" t="inlineStr">
        <is>
          <t>Week1-Sep-2025</t>
        </is>
      </c>
      <c r="D24" s="78" t="n">
        <v>45901</v>
      </c>
      <c r="E24" t="inlineStr">
        <is>
          <t>Q2FY26</t>
        </is>
      </c>
      <c r="F24" t="inlineStr">
        <is>
          <t>30-Sep-2025</t>
        </is>
      </c>
      <c r="G24" t="inlineStr">
        <is>
          <t>Tuesday</t>
        </is>
      </c>
      <c r="H24" t="inlineStr">
        <is>
          <t>Monthly - Tuesday</t>
        </is>
      </c>
      <c r="I24" t="inlineStr">
        <is>
          <t>Monthly - Tuesday</t>
        </is>
      </c>
      <c r="J24" t="inlineStr">
        <is>
          <t>Same Month Expiry</t>
        </is>
      </c>
      <c r="K24" s="25" t="n">
        <v>1258468</v>
      </c>
      <c r="L24" s="26" t="n">
        <v>2348.7395</v>
      </c>
      <c r="M24" s="26" t="n">
        <v>16.2604</v>
      </c>
    </row>
    <row r="25" ht="16" customHeight="1">
      <c r="A25" t="inlineStr">
        <is>
          <t>02-Sep-2025</t>
        </is>
      </c>
      <c r="B25" t="inlineStr">
        <is>
          <t>Tuesday</t>
        </is>
      </c>
      <c r="C25" t="inlineStr">
        <is>
          <t>Week1-Sep-2025</t>
        </is>
      </c>
      <c r="D25" s="78" t="n">
        <v>45901</v>
      </c>
      <c r="E25" t="inlineStr">
        <is>
          <t>Q2FY26</t>
        </is>
      </c>
      <c r="F25" t="inlineStr">
        <is>
          <t>28-Oct-2025</t>
        </is>
      </c>
      <c r="G25" t="inlineStr">
        <is>
          <t>Tuesday</t>
        </is>
      </c>
      <c r="H25" t="inlineStr">
        <is>
          <t>Monthly - Tuesday</t>
        </is>
      </c>
      <c r="I25" t="inlineStr">
        <is>
          <t>Monthly - Tuesday</t>
        </is>
      </c>
      <c r="J25" t="inlineStr">
        <is>
          <t>Month+1 Expiry</t>
        </is>
      </c>
      <c r="K25" s="25" t="n">
        <v>142317</v>
      </c>
      <c r="L25" s="26" t="n">
        <v>265.8324</v>
      </c>
      <c r="M25" s="26" t="n">
        <v>2.0135</v>
      </c>
    </row>
    <row r="26" ht="16" customHeight="1">
      <c r="A26" t="inlineStr">
        <is>
          <t>02-Sep-2025</t>
        </is>
      </c>
      <c r="B26" t="inlineStr">
        <is>
          <t>Tuesday</t>
        </is>
      </c>
      <c r="C26" t="inlineStr">
        <is>
          <t>Week1-Sep-2025</t>
        </is>
      </c>
      <c r="D26" s="78" t="n">
        <v>45901</v>
      </c>
      <c r="E26" t="inlineStr">
        <is>
          <t>Q2FY26</t>
        </is>
      </c>
      <c r="F26" t="inlineStr">
        <is>
          <t>25-Nov-2025</t>
        </is>
      </c>
      <c r="G26" t="inlineStr">
        <is>
          <t>Tuesday</t>
        </is>
      </c>
      <c r="H26" t="inlineStr">
        <is>
          <t>Monthly - Tuesday</t>
        </is>
      </c>
      <c r="I26" t="inlineStr">
        <is>
          <t>Monthly - Tuesday</t>
        </is>
      </c>
      <c r="J26" t="inlineStr">
        <is>
          <t>Month+2 Expiry</t>
        </is>
      </c>
      <c r="K26" s="25" t="n">
        <v>32847</v>
      </c>
      <c r="L26" s="26" t="n">
        <v>61.0075</v>
      </c>
      <c r="M26" s="26" t="n">
        <v>0.5943000000000001</v>
      </c>
    </row>
    <row r="27" ht="16" customHeight="1">
      <c r="A27" t="inlineStr">
        <is>
          <t>02-Sep-2025</t>
        </is>
      </c>
      <c r="B27" t="inlineStr">
        <is>
          <t>Tuesday</t>
        </is>
      </c>
      <c r="C27" t="inlineStr">
        <is>
          <t>Week1-Sep-2025</t>
        </is>
      </c>
      <c r="D27" s="78" t="n">
        <v>45901</v>
      </c>
      <c r="E27" t="inlineStr">
        <is>
          <t>Q2FY26</t>
        </is>
      </c>
      <c r="F27" t="inlineStr">
        <is>
          <t>30-Dec-2025</t>
        </is>
      </c>
      <c r="G27" t="inlineStr">
        <is>
          <t>Tuesday</t>
        </is>
      </c>
      <c r="H27" t="inlineStr">
        <is>
          <t>Monthly - Tuesday</t>
        </is>
      </c>
      <c r="I27" t="inlineStr">
        <is>
          <t>Monthly - Tuesday</t>
        </is>
      </c>
      <c r="J27" t="inlineStr">
        <is>
          <t>Month+3 Expiry</t>
        </is>
      </c>
      <c r="K27" s="25" t="n">
        <v>50509</v>
      </c>
      <c r="L27" s="26" t="n">
        <v>95.5705</v>
      </c>
      <c r="M27" s="26" t="n">
        <v>1.4688</v>
      </c>
    </row>
    <row r="28" ht="16" customHeight="1">
      <c r="A28" t="inlineStr">
        <is>
          <t>02-Sep-2025</t>
        </is>
      </c>
      <c r="B28" t="inlineStr">
        <is>
          <t>Tuesday</t>
        </is>
      </c>
      <c r="C28" t="inlineStr">
        <is>
          <t>Week1-Sep-2025</t>
        </is>
      </c>
      <c r="D28" s="78" t="n">
        <v>45901</v>
      </c>
      <c r="E28" t="inlineStr">
        <is>
          <t>Q2FY26</t>
        </is>
      </c>
      <c r="F28" t="inlineStr">
        <is>
          <t>31-Mar-2026</t>
        </is>
      </c>
      <c r="G28" t="inlineStr">
        <is>
          <t>Tuesday</t>
        </is>
      </c>
      <c r="H28" t="inlineStr">
        <is>
          <t>Monthly - Tuesday</t>
        </is>
      </c>
      <c r="I28" t="inlineStr">
        <is>
          <t>Monthly - Tuesday</t>
        </is>
      </c>
      <c r="J28" t="inlineStr">
        <is>
          <t>Month+6 Expiry</t>
        </is>
      </c>
      <c r="K28" s="25" t="n">
        <v>8237</v>
      </c>
      <c r="L28" s="26" t="n">
        <v>16.0725</v>
      </c>
      <c r="M28" s="26" t="n">
        <v>0.3223</v>
      </c>
    </row>
    <row r="29" ht="16" customHeight="1">
      <c r="A29" t="inlineStr">
        <is>
          <t>02-Sep-2025</t>
        </is>
      </c>
      <c r="B29" t="inlineStr">
        <is>
          <t>Tuesday</t>
        </is>
      </c>
      <c r="C29" t="inlineStr">
        <is>
          <t>Week1-Sep-2025</t>
        </is>
      </c>
      <c r="D29" s="78" t="n">
        <v>45901</v>
      </c>
      <c r="E29" t="inlineStr">
        <is>
          <t>Q2FY26</t>
        </is>
      </c>
      <c r="F29" t="inlineStr">
        <is>
          <t>30-Jun-2026</t>
        </is>
      </c>
      <c r="G29" t="inlineStr">
        <is>
          <t>Tuesday</t>
        </is>
      </c>
      <c r="H29" t="inlineStr">
        <is>
          <t>Monthly - Tuesday</t>
        </is>
      </c>
      <c r="I29" t="inlineStr">
        <is>
          <t>Monthly - Tuesday</t>
        </is>
      </c>
      <c r="J29" t="inlineStr">
        <is>
          <t>Month+9 Expiry</t>
        </is>
      </c>
      <c r="K29" s="25" t="n">
        <v>64</v>
      </c>
      <c r="L29" s="26" t="n">
        <v>0.1217</v>
      </c>
      <c r="M29" s="26" t="n">
        <v>0.0035</v>
      </c>
    </row>
    <row r="30" ht="16" customHeight="1">
      <c r="A30" t="inlineStr">
        <is>
          <t>02-Sep-2025</t>
        </is>
      </c>
      <c r="B30" t="inlineStr">
        <is>
          <t>Tuesday</t>
        </is>
      </c>
      <c r="C30" t="inlineStr">
        <is>
          <t>Week1-Sep-2025</t>
        </is>
      </c>
      <c r="D30" s="78" t="n">
        <v>45901</v>
      </c>
      <c r="E30" t="inlineStr">
        <is>
          <t>Q2FY26</t>
        </is>
      </c>
      <c r="F30" t="inlineStr">
        <is>
          <t>29-Dec-2026</t>
        </is>
      </c>
      <c r="G30" t="inlineStr">
        <is>
          <t>Tuesday</t>
        </is>
      </c>
      <c r="H30" t="inlineStr">
        <is>
          <t>Monthly - Tuesday</t>
        </is>
      </c>
      <c r="I30" t="inlineStr">
        <is>
          <t>Monthly - Tuesday</t>
        </is>
      </c>
      <c r="J30" t="inlineStr">
        <is>
          <t>Month+15 Expiry</t>
        </is>
      </c>
      <c r="K30" s="25" t="n">
        <v>425</v>
      </c>
      <c r="L30" s="26" t="n">
        <v>0.8169999999999999</v>
      </c>
      <c r="M30" s="26" t="n">
        <v>0.0265</v>
      </c>
    </row>
    <row r="31" ht="16" customHeight="1">
      <c r="A31" t="inlineStr">
        <is>
          <t>02-Sep-2025</t>
        </is>
      </c>
      <c r="B31" t="inlineStr">
        <is>
          <t>Tuesday</t>
        </is>
      </c>
      <c r="C31" t="inlineStr">
        <is>
          <t>Week1-Sep-2025</t>
        </is>
      </c>
      <c r="D31" s="78" t="n">
        <v>45901</v>
      </c>
      <c r="E31" t="inlineStr">
        <is>
          <t>Q2FY26</t>
        </is>
      </c>
      <c r="F31" t="inlineStr">
        <is>
          <t>29-Jun-2027</t>
        </is>
      </c>
      <c r="G31" t="inlineStr">
        <is>
          <t>Tuesday</t>
        </is>
      </c>
      <c r="H31" t="inlineStr">
        <is>
          <t>Monthly - Tuesday</t>
        </is>
      </c>
      <c r="I31" t="inlineStr">
        <is>
          <t>Monthly - Tuesday</t>
        </is>
      </c>
      <c r="J31" t="inlineStr">
        <is>
          <t>Month+21 Expiry</t>
        </is>
      </c>
      <c r="K31" s="25" t="n">
        <v>0</v>
      </c>
      <c r="L31" s="26" t="n">
        <v>0</v>
      </c>
      <c r="M31" s="26" t="n">
        <v>0</v>
      </c>
    </row>
    <row r="32" ht="16" customHeight="1">
      <c r="A32" t="inlineStr">
        <is>
          <t>02-Sep-2025</t>
        </is>
      </c>
      <c r="B32" t="inlineStr">
        <is>
          <t>Tuesday</t>
        </is>
      </c>
      <c r="C32" t="inlineStr">
        <is>
          <t>Week1-Sep-2025</t>
        </is>
      </c>
      <c r="D32" s="78" t="n">
        <v>45901</v>
      </c>
      <c r="E32" t="inlineStr">
        <is>
          <t>Q2FY26</t>
        </is>
      </c>
      <c r="F32" t="inlineStr">
        <is>
          <t>28-Dec-2027</t>
        </is>
      </c>
      <c r="G32" t="inlineStr">
        <is>
          <t>Tuesday</t>
        </is>
      </c>
      <c r="H32" t="inlineStr">
        <is>
          <t>Monthly - Tuesday</t>
        </is>
      </c>
      <c r="I32" t="inlineStr">
        <is>
          <t>Monthly - Tuesday</t>
        </is>
      </c>
      <c r="J32" t="inlineStr">
        <is>
          <t>Month+27 Expiry</t>
        </is>
      </c>
      <c r="K32" s="25" t="n">
        <v>1</v>
      </c>
      <c r="L32" s="26" t="n">
        <v>0.0022</v>
      </c>
      <c r="M32" s="26" t="n">
        <v>0.0002</v>
      </c>
    </row>
    <row r="33" ht="16" customHeight="1">
      <c r="A33" t="inlineStr">
        <is>
          <t>02-Sep-2025</t>
        </is>
      </c>
      <c r="B33" t="inlineStr">
        <is>
          <t>Tuesday</t>
        </is>
      </c>
      <c r="C33" t="inlineStr">
        <is>
          <t>Week1-Sep-2025</t>
        </is>
      </c>
      <c r="D33" s="78" t="n">
        <v>45901</v>
      </c>
      <c r="E33" t="inlineStr">
        <is>
          <t>Q2FY26</t>
        </is>
      </c>
      <c r="F33" t="inlineStr">
        <is>
          <t>27-Jun-2028</t>
        </is>
      </c>
      <c r="G33" t="inlineStr">
        <is>
          <t>Tuesday</t>
        </is>
      </c>
      <c r="H33" t="inlineStr">
        <is>
          <t>Monthly - Tuesday</t>
        </is>
      </c>
      <c r="I33" t="inlineStr">
        <is>
          <t>Monthly - Tuesday</t>
        </is>
      </c>
      <c r="J33" t="inlineStr">
        <is>
          <t>Month+33 Expiry</t>
        </is>
      </c>
      <c r="K33" s="25" t="n">
        <v>0</v>
      </c>
      <c r="L33" s="26" t="n">
        <v>0</v>
      </c>
      <c r="M33" s="26" t="n">
        <v>0</v>
      </c>
    </row>
    <row r="34" ht="16" customHeight="1">
      <c r="A34" t="inlineStr">
        <is>
          <t>02-Sep-2025</t>
        </is>
      </c>
      <c r="B34" t="inlineStr">
        <is>
          <t>Tuesday</t>
        </is>
      </c>
      <c r="C34" t="inlineStr">
        <is>
          <t>Week1-Sep-2025</t>
        </is>
      </c>
      <c r="D34" s="78" t="n">
        <v>45901</v>
      </c>
      <c r="E34" t="inlineStr">
        <is>
          <t>Q2FY26</t>
        </is>
      </c>
      <c r="F34" t="inlineStr">
        <is>
          <t>26-Dec-2028</t>
        </is>
      </c>
      <c r="G34" t="inlineStr">
        <is>
          <t>Tuesday</t>
        </is>
      </c>
      <c r="H34" t="inlineStr">
        <is>
          <t>Monthly - Tuesday</t>
        </is>
      </c>
      <c r="I34" t="inlineStr">
        <is>
          <t>Monthly - Tuesday</t>
        </is>
      </c>
      <c r="J34" t="inlineStr">
        <is>
          <t>Month+39 Expiry</t>
        </is>
      </c>
      <c r="K34" s="25" t="n">
        <v>0</v>
      </c>
      <c r="L34" s="26" t="n">
        <v>0</v>
      </c>
      <c r="M34" s="26" t="n">
        <v>0</v>
      </c>
    </row>
    <row r="35" ht="16" customHeight="1">
      <c r="A35" t="inlineStr">
        <is>
          <t>02-Sep-2025</t>
        </is>
      </c>
      <c r="B35" t="inlineStr">
        <is>
          <t>Tuesday</t>
        </is>
      </c>
      <c r="C35" t="inlineStr">
        <is>
          <t>Week1-Sep-2025</t>
        </is>
      </c>
      <c r="D35" s="78" t="n">
        <v>45901</v>
      </c>
      <c r="E35" t="inlineStr">
        <is>
          <t>Q2FY26</t>
        </is>
      </c>
      <c r="F35" t="inlineStr">
        <is>
          <t>26-Jun-2029</t>
        </is>
      </c>
      <c r="G35" t="inlineStr">
        <is>
          <t>Tuesday</t>
        </is>
      </c>
      <c r="H35" t="inlineStr">
        <is>
          <t>Monthly - Tuesday</t>
        </is>
      </c>
      <c r="I35" t="inlineStr">
        <is>
          <t>Monthly - Tuesday</t>
        </is>
      </c>
      <c r="J35" t="inlineStr">
        <is>
          <t>Month+45 Expiry</t>
        </is>
      </c>
      <c r="K35" s="25" t="n">
        <v>0</v>
      </c>
      <c r="L35" s="26" t="n">
        <v>0</v>
      </c>
      <c r="M35" s="26" t="n">
        <v>0</v>
      </c>
    </row>
    <row r="36" ht="16" customHeight="1">
      <c r="A36" t="inlineStr">
        <is>
          <t>02-Sep-2025</t>
        </is>
      </c>
      <c r="B36" t="inlineStr">
        <is>
          <t>Tuesday</t>
        </is>
      </c>
      <c r="C36" t="inlineStr">
        <is>
          <t>Week1-Sep-2025</t>
        </is>
      </c>
      <c r="D36" s="78" t="n">
        <v>45901</v>
      </c>
      <c r="E36" t="inlineStr">
        <is>
          <t>Q2FY26</t>
        </is>
      </c>
      <c r="F36" t="inlineStr">
        <is>
          <t>24-Dec-2029</t>
        </is>
      </c>
      <c r="G36" t="inlineStr">
        <is>
          <t>Monday</t>
        </is>
      </c>
      <c r="H36" t="inlineStr">
        <is>
          <t>Weekly - Monday</t>
        </is>
      </c>
      <c r="I36" t="inlineStr">
        <is>
          <t>Weekly - Monday</t>
        </is>
      </c>
      <c r="J36" t="inlineStr">
        <is>
          <t>Month+51 Expiry</t>
        </is>
      </c>
      <c r="K36" s="25" t="n">
        <v>0</v>
      </c>
      <c r="L36" s="26" t="n">
        <v>0</v>
      </c>
      <c r="M36" s="26" t="n">
        <v>0</v>
      </c>
    </row>
    <row r="37" ht="16" customHeight="1">
      <c r="A37" t="inlineStr">
        <is>
          <t>02-Sep-2025</t>
        </is>
      </c>
      <c r="B37" t="inlineStr">
        <is>
          <t>Tuesday</t>
        </is>
      </c>
      <c r="C37" t="inlineStr">
        <is>
          <t>Week1-Sep-2025</t>
        </is>
      </c>
      <c r="D37" s="78" t="n">
        <v>45901</v>
      </c>
      <c r="E37" t="inlineStr">
        <is>
          <t>Q2FY26</t>
        </is>
      </c>
      <c r="F37" t="inlineStr">
        <is>
          <t>25-Jun-2030</t>
        </is>
      </c>
      <c r="G37" t="inlineStr">
        <is>
          <t>Tuesday</t>
        </is>
      </c>
      <c r="H37" t="inlineStr">
        <is>
          <t>Monthly - Tuesday</t>
        </is>
      </c>
      <c r="I37" t="inlineStr">
        <is>
          <t>Monthly - Tuesday</t>
        </is>
      </c>
      <c r="J37" t="inlineStr">
        <is>
          <t>Month+57 Expiry</t>
        </is>
      </c>
      <c r="K37" s="25" t="n">
        <v>0</v>
      </c>
      <c r="L37" s="26" t="n">
        <v>0</v>
      </c>
      <c r="M37" s="26" t="n">
        <v>0</v>
      </c>
    </row>
    <row r="38" ht="16" customHeight="1">
      <c r="A38" t="inlineStr">
        <is>
          <t>03-Sep-2025</t>
        </is>
      </c>
      <c r="B38" t="inlineStr">
        <is>
          <t>Wednesday</t>
        </is>
      </c>
      <c r="C38" t="inlineStr">
        <is>
          <t>Week1-Sep-2025</t>
        </is>
      </c>
      <c r="D38" s="78" t="n">
        <v>45901</v>
      </c>
      <c r="E38" t="inlineStr">
        <is>
          <t>Q2FY26</t>
        </is>
      </c>
      <c r="F38" t="inlineStr">
        <is>
          <t>09-Sep-2025</t>
        </is>
      </c>
      <c r="G38" t="inlineStr">
        <is>
          <t>Tuesday</t>
        </is>
      </c>
      <c r="H38" t="inlineStr">
        <is>
          <t>Weekly - Tuesday</t>
        </is>
      </c>
      <c r="I38" t="inlineStr">
        <is>
          <t>Weekly - Tuesday</t>
        </is>
      </c>
      <c r="J38" t="inlineStr">
        <is>
          <t>Same Month Expiry</t>
        </is>
      </c>
      <c r="K38" s="25" t="n">
        <v>58381775</v>
      </c>
      <c r="L38" s="26" t="n">
        <v>108094.5012</v>
      </c>
      <c r="M38" s="26" t="n">
        <v>309.3733</v>
      </c>
    </row>
    <row r="39" ht="16" customHeight="1">
      <c r="A39" t="inlineStr">
        <is>
          <t>03-Sep-2025</t>
        </is>
      </c>
      <c r="B39" t="inlineStr">
        <is>
          <t>Wednesday</t>
        </is>
      </c>
      <c r="C39" t="inlineStr">
        <is>
          <t>Week1-Sep-2025</t>
        </is>
      </c>
      <c r="D39" s="78" t="n">
        <v>45901</v>
      </c>
      <c r="E39" t="inlineStr">
        <is>
          <t>Q2FY26</t>
        </is>
      </c>
      <c r="F39" t="inlineStr">
        <is>
          <t>16-Sep-2025</t>
        </is>
      </c>
      <c r="G39" t="inlineStr">
        <is>
          <t>Tuesday</t>
        </is>
      </c>
      <c r="H39" t="inlineStr">
        <is>
          <t>Weekly - Tuesday</t>
        </is>
      </c>
      <c r="I39" t="inlineStr">
        <is>
          <t>Weekly - Tuesday</t>
        </is>
      </c>
      <c r="J39" t="inlineStr">
        <is>
          <t>Same Month Expiry</t>
        </is>
      </c>
      <c r="K39" s="25" t="n">
        <v>944724</v>
      </c>
      <c r="L39" s="26" t="n">
        <v>1752.9338</v>
      </c>
      <c r="M39" s="26" t="n">
        <v>6.0377</v>
      </c>
    </row>
    <row r="40" ht="16" customHeight="1">
      <c r="A40" t="inlineStr">
        <is>
          <t>03-Sep-2025</t>
        </is>
      </c>
      <c r="B40" t="inlineStr">
        <is>
          <t>Wednesday</t>
        </is>
      </c>
      <c r="C40" t="inlineStr">
        <is>
          <t>Week1-Sep-2025</t>
        </is>
      </c>
      <c r="D40" s="78" t="n">
        <v>45901</v>
      </c>
      <c r="E40" t="inlineStr">
        <is>
          <t>Q2FY26</t>
        </is>
      </c>
      <c r="F40" t="inlineStr">
        <is>
          <t>23-Sep-2025</t>
        </is>
      </c>
      <c r="G40" t="inlineStr">
        <is>
          <t>Tuesday</t>
        </is>
      </c>
      <c r="H40" t="inlineStr">
        <is>
          <t>Weekly - Tuesday</t>
        </is>
      </c>
      <c r="I40" t="inlineStr">
        <is>
          <t>Weekly - Tuesday</t>
        </is>
      </c>
      <c r="J40" t="inlineStr">
        <is>
          <t>Same Month Expiry</t>
        </is>
      </c>
      <c r="K40" s="25" t="n">
        <v>45649</v>
      </c>
      <c r="L40" s="26" t="n">
        <v>85.3383</v>
      </c>
      <c r="M40" s="26" t="n">
        <v>0.4117</v>
      </c>
    </row>
    <row r="41" ht="16" customHeight="1">
      <c r="A41" t="inlineStr">
        <is>
          <t>03-Sep-2025</t>
        </is>
      </c>
      <c r="B41" t="inlineStr">
        <is>
          <t>Wednesday</t>
        </is>
      </c>
      <c r="C41" t="inlineStr">
        <is>
          <t>Week1-Sep-2025</t>
        </is>
      </c>
      <c r="D41" s="78" t="n">
        <v>45901</v>
      </c>
      <c r="E41" t="inlineStr">
        <is>
          <t>Q2FY26</t>
        </is>
      </c>
      <c r="F41" t="inlineStr">
        <is>
          <t>30-Sep-2025</t>
        </is>
      </c>
      <c r="G41" t="inlineStr">
        <is>
          <t>Tuesday</t>
        </is>
      </c>
      <c r="H41" t="inlineStr">
        <is>
          <t>Monthly - Tuesday</t>
        </is>
      </c>
      <c r="I41" t="inlineStr">
        <is>
          <t>Monthly - Tuesday</t>
        </is>
      </c>
      <c r="J41" t="inlineStr">
        <is>
          <t>Same Month Expiry</t>
        </is>
      </c>
      <c r="K41" s="25" t="n">
        <v>970036</v>
      </c>
      <c r="L41" s="26" t="n">
        <v>1811.0163</v>
      </c>
      <c r="M41" s="26" t="n">
        <v>11.6074</v>
      </c>
    </row>
    <row r="42" ht="16" customHeight="1">
      <c r="A42" t="inlineStr">
        <is>
          <t>03-Sep-2025</t>
        </is>
      </c>
      <c r="B42" t="inlineStr">
        <is>
          <t>Wednesday</t>
        </is>
      </c>
      <c r="C42" t="inlineStr">
        <is>
          <t>Week1-Sep-2025</t>
        </is>
      </c>
      <c r="D42" s="78" t="n">
        <v>45901</v>
      </c>
      <c r="E42" t="inlineStr">
        <is>
          <t>Q2FY26</t>
        </is>
      </c>
      <c r="F42" t="inlineStr">
        <is>
          <t>07-Oct-2025</t>
        </is>
      </c>
      <c r="G42" t="inlineStr">
        <is>
          <t>Tuesday</t>
        </is>
      </c>
      <c r="H42" t="inlineStr">
        <is>
          <t>Weekly - Tuesday</t>
        </is>
      </c>
      <c r="I42" t="inlineStr">
        <is>
          <t>Weekly - Tuesday</t>
        </is>
      </c>
      <c r="J42" t="inlineStr">
        <is>
          <t>Month+1 Expiry</t>
        </is>
      </c>
      <c r="K42" s="25" t="n">
        <v>928</v>
      </c>
      <c r="L42" s="26" t="n">
        <v>1.722</v>
      </c>
      <c r="M42" s="26" t="n">
        <v>0.022</v>
      </c>
    </row>
    <row r="43" ht="16" customHeight="1">
      <c r="A43" t="inlineStr">
        <is>
          <t>03-Sep-2025</t>
        </is>
      </c>
      <c r="B43" t="inlineStr">
        <is>
          <t>Wednesday</t>
        </is>
      </c>
      <c r="C43" t="inlineStr">
        <is>
          <t>Week1-Sep-2025</t>
        </is>
      </c>
      <c r="D43" s="78" t="n">
        <v>45901</v>
      </c>
      <c r="E43" t="inlineStr">
        <is>
          <t>Q2FY26</t>
        </is>
      </c>
      <c r="F43" t="inlineStr">
        <is>
          <t>28-Oct-2025</t>
        </is>
      </c>
      <c r="G43" t="inlineStr">
        <is>
          <t>Tuesday</t>
        </is>
      </c>
      <c r="H43" t="inlineStr">
        <is>
          <t>Monthly - Tuesday</t>
        </is>
      </c>
      <c r="I43" t="inlineStr">
        <is>
          <t>Monthly - Tuesday</t>
        </is>
      </c>
      <c r="J43" t="inlineStr">
        <is>
          <t>Month+1 Expiry</t>
        </is>
      </c>
      <c r="K43" s="25" t="n">
        <v>131634</v>
      </c>
      <c r="L43" s="26" t="n">
        <v>246.2167</v>
      </c>
      <c r="M43" s="26" t="n">
        <v>1.6684</v>
      </c>
    </row>
    <row r="44" ht="16" customHeight="1">
      <c r="A44" t="inlineStr">
        <is>
          <t>03-Sep-2025</t>
        </is>
      </c>
      <c r="B44" t="inlineStr">
        <is>
          <t>Wednesday</t>
        </is>
      </c>
      <c r="C44" t="inlineStr">
        <is>
          <t>Week1-Sep-2025</t>
        </is>
      </c>
      <c r="D44" s="78" t="n">
        <v>45901</v>
      </c>
      <c r="E44" t="inlineStr">
        <is>
          <t>Q2FY26</t>
        </is>
      </c>
      <c r="F44" t="inlineStr">
        <is>
          <t>25-Nov-2025</t>
        </is>
      </c>
      <c r="G44" t="inlineStr">
        <is>
          <t>Tuesday</t>
        </is>
      </c>
      <c r="H44" t="inlineStr">
        <is>
          <t>Monthly - Tuesday</t>
        </is>
      </c>
      <c r="I44" t="inlineStr">
        <is>
          <t>Monthly - Tuesday</t>
        </is>
      </c>
      <c r="J44" t="inlineStr">
        <is>
          <t>Month+2 Expiry</t>
        </is>
      </c>
      <c r="K44" s="25" t="n">
        <v>20810</v>
      </c>
      <c r="L44" s="26" t="n">
        <v>39.1296</v>
      </c>
      <c r="M44" s="26" t="n">
        <v>0.3625</v>
      </c>
    </row>
    <row r="45" ht="16" customHeight="1">
      <c r="A45" t="inlineStr">
        <is>
          <t>03-Sep-2025</t>
        </is>
      </c>
      <c r="B45" t="inlineStr">
        <is>
          <t>Wednesday</t>
        </is>
      </c>
      <c r="C45" t="inlineStr">
        <is>
          <t>Week1-Sep-2025</t>
        </is>
      </c>
      <c r="D45" s="78" t="n">
        <v>45901</v>
      </c>
      <c r="E45" t="inlineStr">
        <is>
          <t>Q2FY26</t>
        </is>
      </c>
      <c r="F45" t="inlineStr">
        <is>
          <t>30-Dec-2025</t>
        </is>
      </c>
      <c r="G45" t="inlineStr">
        <is>
          <t>Tuesday</t>
        </is>
      </c>
      <c r="H45" t="inlineStr">
        <is>
          <t>Monthly - Tuesday</t>
        </is>
      </c>
      <c r="I45" t="inlineStr">
        <is>
          <t>Monthly - Tuesday</t>
        </is>
      </c>
      <c r="J45" t="inlineStr">
        <is>
          <t>Month+3 Expiry</t>
        </is>
      </c>
      <c r="K45" s="25" t="n">
        <v>40731</v>
      </c>
      <c r="L45" s="26" t="n">
        <v>77.34480000000001</v>
      </c>
      <c r="M45" s="26" t="n">
        <v>1.0103</v>
      </c>
    </row>
    <row r="46" ht="16" customHeight="1">
      <c r="A46" t="inlineStr">
        <is>
          <t>03-Sep-2025</t>
        </is>
      </c>
      <c r="B46" t="inlineStr">
        <is>
          <t>Wednesday</t>
        </is>
      </c>
      <c r="C46" t="inlineStr">
        <is>
          <t>Week1-Sep-2025</t>
        </is>
      </c>
      <c r="D46" s="78" t="n">
        <v>45901</v>
      </c>
      <c r="E46" t="inlineStr">
        <is>
          <t>Q2FY26</t>
        </is>
      </c>
      <c r="F46" t="inlineStr">
        <is>
          <t>31-Mar-2026</t>
        </is>
      </c>
      <c r="G46" t="inlineStr">
        <is>
          <t>Tuesday</t>
        </is>
      </c>
      <c r="H46" t="inlineStr">
        <is>
          <t>Monthly - Tuesday</t>
        </is>
      </c>
      <c r="I46" t="inlineStr">
        <is>
          <t>Monthly - Tuesday</t>
        </is>
      </c>
      <c r="J46" t="inlineStr">
        <is>
          <t>Month+6 Expiry</t>
        </is>
      </c>
      <c r="K46" s="25" t="n">
        <v>5689</v>
      </c>
      <c r="L46" s="26" t="n">
        <v>11.0238</v>
      </c>
      <c r="M46" s="26" t="n">
        <v>0.1878</v>
      </c>
    </row>
    <row r="47" ht="16" customHeight="1">
      <c r="A47" t="inlineStr">
        <is>
          <t>03-Sep-2025</t>
        </is>
      </c>
      <c r="B47" t="inlineStr">
        <is>
          <t>Wednesday</t>
        </is>
      </c>
      <c r="C47" t="inlineStr">
        <is>
          <t>Week1-Sep-2025</t>
        </is>
      </c>
      <c r="D47" s="78" t="n">
        <v>45901</v>
      </c>
      <c r="E47" t="inlineStr">
        <is>
          <t>Q2FY26</t>
        </is>
      </c>
      <c r="F47" t="inlineStr">
        <is>
          <t>30-Jun-2026</t>
        </is>
      </c>
      <c r="G47" t="inlineStr">
        <is>
          <t>Tuesday</t>
        </is>
      </c>
      <c r="H47" t="inlineStr">
        <is>
          <t>Monthly - Tuesday</t>
        </is>
      </c>
      <c r="I47" t="inlineStr">
        <is>
          <t>Monthly - Tuesday</t>
        </is>
      </c>
      <c r="J47" t="inlineStr">
        <is>
          <t>Month+9 Expiry</t>
        </is>
      </c>
      <c r="K47" s="25" t="n">
        <v>4722</v>
      </c>
      <c r="L47" s="26" t="n">
        <v>7.1075</v>
      </c>
      <c r="M47" s="26" t="n">
        <v>0.0156</v>
      </c>
    </row>
    <row r="48" ht="16" customHeight="1">
      <c r="A48" t="inlineStr">
        <is>
          <t>03-Sep-2025</t>
        </is>
      </c>
      <c r="B48" t="inlineStr">
        <is>
          <t>Wednesday</t>
        </is>
      </c>
      <c r="C48" t="inlineStr">
        <is>
          <t>Week1-Sep-2025</t>
        </is>
      </c>
      <c r="D48" s="78" t="n">
        <v>45901</v>
      </c>
      <c r="E48" t="inlineStr">
        <is>
          <t>Q2FY26</t>
        </is>
      </c>
      <c r="F48" t="inlineStr">
        <is>
          <t>29-Dec-2026</t>
        </is>
      </c>
      <c r="G48" t="inlineStr">
        <is>
          <t>Tuesday</t>
        </is>
      </c>
      <c r="H48" t="inlineStr">
        <is>
          <t>Monthly - Tuesday</t>
        </is>
      </c>
      <c r="I48" t="inlineStr">
        <is>
          <t>Monthly - Tuesday</t>
        </is>
      </c>
      <c r="J48" t="inlineStr">
        <is>
          <t>Month+15 Expiry</t>
        </is>
      </c>
      <c r="K48" s="25" t="n">
        <v>437</v>
      </c>
      <c r="L48" s="26" t="n">
        <v>0.8782</v>
      </c>
      <c r="M48" s="26" t="n">
        <v>0.0313</v>
      </c>
    </row>
    <row r="49" ht="16" customHeight="1">
      <c r="A49" t="inlineStr">
        <is>
          <t>03-Sep-2025</t>
        </is>
      </c>
      <c r="B49" t="inlineStr">
        <is>
          <t>Wednesday</t>
        </is>
      </c>
      <c r="C49" t="inlineStr">
        <is>
          <t>Week1-Sep-2025</t>
        </is>
      </c>
      <c r="D49" s="78" t="n">
        <v>45901</v>
      </c>
      <c r="E49" t="inlineStr">
        <is>
          <t>Q2FY26</t>
        </is>
      </c>
      <c r="F49" t="inlineStr">
        <is>
          <t>29-Jun-2027</t>
        </is>
      </c>
      <c r="G49" t="inlineStr">
        <is>
          <t>Tuesday</t>
        </is>
      </c>
      <c r="H49" t="inlineStr">
        <is>
          <t>Monthly - Tuesday</t>
        </is>
      </c>
      <c r="I49" t="inlineStr">
        <is>
          <t>Monthly - Tuesday</t>
        </is>
      </c>
      <c r="J49" t="inlineStr">
        <is>
          <t>Month+21 Expiry</t>
        </is>
      </c>
      <c r="K49" s="25" t="n">
        <v>0</v>
      </c>
      <c r="L49" s="26" t="n">
        <v>0</v>
      </c>
      <c r="M49" s="26" t="n">
        <v>0</v>
      </c>
    </row>
    <row r="50" ht="16" customHeight="1">
      <c r="A50" t="inlineStr">
        <is>
          <t>03-Sep-2025</t>
        </is>
      </c>
      <c r="B50" t="inlineStr">
        <is>
          <t>Wednesday</t>
        </is>
      </c>
      <c r="C50" t="inlineStr">
        <is>
          <t>Week1-Sep-2025</t>
        </is>
      </c>
      <c r="D50" s="78" t="n">
        <v>45901</v>
      </c>
      <c r="E50" t="inlineStr">
        <is>
          <t>Q2FY26</t>
        </is>
      </c>
      <c r="F50" t="inlineStr">
        <is>
          <t>28-Dec-2027</t>
        </is>
      </c>
      <c r="G50" t="inlineStr">
        <is>
          <t>Tuesday</t>
        </is>
      </c>
      <c r="H50" t="inlineStr">
        <is>
          <t>Monthly - Tuesday</t>
        </is>
      </c>
      <c r="I50" t="inlineStr">
        <is>
          <t>Monthly - Tuesday</t>
        </is>
      </c>
      <c r="J50" t="inlineStr">
        <is>
          <t>Month+27 Expiry</t>
        </is>
      </c>
      <c r="K50" s="25" t="n">
        <v>16</v>
      </c>
      <c r="L50" s="26" t="n">
        <v>0.029</v>
      </c>
      <c r="M50" s="26" t="n">
        <v>0.001</v>
      </c>
    </row>
    <row r="51" ht="16" customHeight="1">
      <c r="A51" t="inlineStr">
        <is>
          <t>03-Sep-2025</t>
        </is>
      </c>
      <c r="B51" t="inlineStr">
        <is>
          <t>Wednesday</t>
        </is>
      </c>
      <c r="C51" t="inlineStr">
        <is>
          <t>Week1-Sep-2025</t>
        </is>
      </c>
      <c r="D51" s="78" t="n">
        <v>45901</v>
      </c>
      <c r="E51" t="inlineStr">
        <is>
          <t>Q2FY26</t>
        </is>
      </c>
      <c r="F51" t="inlineStr">
        <is>
          <t>27-Jun-2028</t>
        </is>
      </c>
      <c r="G51" t="inlineStr">
        <is>
          <t>Tuesday</t>
        </is>
      </c>
      <c r="H51" t="inlineStr">
        <is>
          <t>Monthly - Tuesday</t>
        </is>
      </c>
      <c r="I51" t="inlineStr">
        <is>
          <t>Monthly - Tuesday</t>
        </is>
      </c>
      <c r="J51" t="inlineStr">
        <is>
          <t>Month+33 Expiry</t>
        </is>
      </c>
      <c r="K51" s="25" t="n">
        <v>0</v>
      </c>
      <c r="L51" s="26" t="n">
        <v>0</v>
      </c>
      <c r="M51" s="26" t="n">
        <v>0</v>
      </c>
    </row>
    <row r="52" ht="16" customHeight="1">
      <c r="A52" t="inlineStr">
        <is>
          <t>03-Sep-2025</t>
        </is>
      </c>
      <c r="B52" t="inlineStr">
        <is>
          <t>Wednesday</t>
        </is>
      </c>
      <c r="C52" t="inlineStr">
        <is>
          <t>Week1-Sep-2025</t>
        </is>
      </c>
      <c r="D52" s="78" t="n">
        <v>45901</v>
      </c>
      <c r="E52" t="inlineStr">
        <is>
          <t>Q2FY26</t>
        </is>
      </c>
      <c r="F52" t="inlineStr">
        <is>
          <t>26-Dec-2028</t>
        </is>
      </c>
      <c r="G52" t="inlineStr">
        <is>
          <t>Tuesday</t>
        </is>
      </c>
      <c r="H52" t="inlineStr">
        <is>
          <t>Monthly - Tuesday</t>
        </is>
      </c>
      <c r="I52" t="inlineStr">
        <is>
          <t>Monthly - Tuesday</t>
        </is>
      </c>
      <c r="J52" t="inlineStr">
        <is>
          <t>Month+39 Expiry</t>
        </is>
      </c>
      <c r="K52" s="25" t="n">
        <v>1</v>
      </c>
      <c r="L52" s="26" t="n">
        <v>0.002</v>
      </c>
      <c r="M52" s="26" t="n">
        <v>0.0001</v>
      </c>
    </row>
    <row r="53" ht="16" customHeight="1">
      <c r="A53" t="inlineStr">
        <is>
          <t>03-Sep-2025</t>
        </is>
      </c>
      <c r="B53" t="inlineStr">
        <is>
          <t>Wednesday</t>
        </is>
      </c>
      <c r="C53" t="inlineStr">
        <is>
          <t>Week1-Sep-2025</t>
        </is>
      </c>
      <c r="D53" s="78" t="n">
        <v>45901</v>
      </c>
      <c r="E53" t="inlineStr">
        <is>
          <t>Q2FY26</t>
        </is>
      </c>
      <c r="F53" t="inlineStr">
        <is>
          <t>26-Jun-2029</t>
        </is>
      </c>
      <c r="G53" t="inlineStr">
        <is>
          <t>Tuesday</t>
        </is>
      </c>
      <c r="H53" t="inlineStr">
        <is>
          <t>Monthly - Tuesday</t>
        </is>
      </c>
      <c r="I53" t="inlineStr">
        <is>
          <t>Monthly - Tuesday</t>
        </is>
      </c>
      <c r="J53" t="inlineStr">
        <is>
          <t>Month+45 Expiry</t>
        </is>
      </c>
      <c r="K53" s="25" t="n">
        <v>0</v>
      </c>
      <c r="L53" s="26" t="n">
        <v>0</v>
      </c>
      <c r="M53" s="26" t="n">
        <v>0</v>
      </c>
    </row>
    <row r="54" ht="16" customHeight="1">
      <c r="A54" t="inlineStr">
        <is>
          <t>03-Sep-2025</t>
        </is>
      </c>
      <c r="B54" t="inlineStr">
        <is>
          <t>Wednesday</t>
        </is>
      </c>
      <c r="C54" t="inlineStr">
        <is>
          <t>Week1-Sep-2025</t>
        </is>
      </c>
      <c r="D54" s="78" t="n">
        <v>45901</v>
      </c>
      <c r="E54" t="inlineStr">
        <is>
          <t>Q2FY26</t>
        </is>
      </c>
      <c r="F54" t="inlineStr">
        <is>
          <t>24-Dec-2029</t>
        </is>
      </c>
      <c r="G54" t="inlineStr">
        <is>
          <t>Monday</t>
        </is>
      </c>
      <c r="H54" t="inlineStr">
        <is>
          <t>Weekly - Monday</t>
        </is>
      </c>
      <c r="I54" t="inlineStr">
        <is>
          <t>Weekly - Monday</t>
        </is>
      </c>
      <c r="J54" t="inlineStr">
        <is>
          <t>Month+51 Expiry</t>
        </is>
      </c>
      <c r="K54" s="25" t="n">
        <v>0</v>
      </c>
      <c r="L54" s="26" t="n">
        <v>0</v>
      </c>
      <c r="M54" s="26" t="n">
        <v>0</v>
      </c>
    </row>
    <row r="55" ht="16" customHeight="1">
      <c r="A55" t="inlineStr">
        <is>
          <t>03-Sep-2025</t>
        </is>
      </c>
      <c r="B55" t="inlineStr">
        <is>
          <t>Wednesday</t>
        </is>
      </c>
      <c r="C55" t="inlineStr">
        <is>
          <t>Week1-Sep-2025</t>
        </is>
      </c>
      <c r="D55" s="78" t="n">
        <v>45901</v>
      </c>
      <c r="E55" t="inlineStr">
        <is>
          <t>Q2FY26</t>
        </is>
      </c>
      <c r="F55" t="inlineStr">
        <is>
          <t>25-Jun-2030</t>
        </is>
      </c>
      <c r="G55" t="inlineStr">
        <is>
          <t>Tuesday</t>
        </is>
      </c>
      <c r="H55" t="inlineStr">
        <is>
          <t>Monthly - Tuesday</t>
        </is>
      </c>
      <c r="I55" t="inlineStr">
        <is>
          <t>Monthly - Tuesday</t>
        </is>
      </c>
      <c r="J55" t="inlineStr">
        <is>
          <t>Month+57 Expiry</t>
        </is>
      </c>
      <c r="K55" s="25" t="n">
        <v>0</v>
      </c>
      <c r="L55" s="26" t="n">
        <v>0</v>
      </c>
      <c r="M55" s="26" t="n">
        <v>0</v>
      </c>
    </row>
    <row r="56" ht="16" customHeight="1">
      <c r="A56" t="inlineStr">
        <is>
          <t>04-Sep-2025</t>
        </is>
      </c>
      <c r="B56" t="inlineStr">
        <is>
          <t>Thursday</t>
        </is>
      </c>
      <c r="C56" t="inlineStr">
        <is>
          <t>Week1-Sep-2025</t>
        </is>
      </c>
      <c r="D56" s="78" t="n">
        <v>45901</v>
      </c>
      <c r="E56" t="inlineStr">
        <is>
          <t>Q2FY26</t>
        </is>
      </c>
      <c r="F56" t="inlineStr">
        <is>
          <t>09-Sep-2025</t>
        </is>
      </c>
      <c r="G56" t="inlineStr">
        <is>
          <t>Tuesday</t>
        </is>
      </c>
      <c r="H56" t="inlineStr">
        <is>
          <t>Weekly - Tuesday</t>
        </is>
      </c>
      <c r="I56" t="inlineStr">
        <is>
          <t>Weekly - Tuesday</t>
        </is>
      </c>
      <c r="J56" t="inlineStr">
        <is>
          <t>Same Month Expiry</t>
        </is>
      </c>
      <c r="K56" s="25" t="n">
        <v>69893914</v>
      </c>
      <c r="L56" s="26" t="n">
        <v>130374.2359</v>
      </c>
      <c r="M56" s="26" t="n">
        <v>315.1406</v>
      </c>
    </row>
    <row r="57" ht="16" customHeight="1">
      <c r="A57" t="inlineStr">
        <is>
          <t>04-Sep-2025</t>
        </is>
      </c>
      <c r="B57" t="inlineStr">
        <is>
          <t>Thursday</t>
        </is>
      </c>
      <c r="C57" t="inlineStr">
        <is>
          <t>Week1-Sep-2025</t>
        </is>
      </c>
      <c r="D57" s="78" t="n">
        <v>45901</v>
      </c>
      <c r="E57" t="inlineStr">
        <is>
          <t>Q2FY26</t>
        </is>
      </c>
      <c r="F57" t="inlineStr">
        <is>
          <t>16-Sep-2025</t>
        </is>
      </c>
      <c r="G57" t="inlineStr">
        <is>
          <t>Tuesday</t>
        </is>
      </c>
      <c r="H57" t="inlineStr">
        <is>
          <t>Weekly - Tuesday</t>
        </is>
      </c>
      <c r="I57" t="inlineStr">
        <is>
          <t>Weekly - Tuesday</t>
        </is>
      </c>
      <c r="J57" t="inlineStr">
        <is>
          <t>Same Month Expiry</t>
        </is>
      </c>
      <c r="K57" s="25" t="n">
        <v>1970946</v>
      </c>
      <c r="L57" s="26" t="n">
        <v>3688.3204</v>
      </c>
      <c r="M57" s="26" t="n">
        <v>12.6894</v>
      </c>
    </row>
    <row r="58" ht="16" customHeight="1">
      <c r="A58" t="inlineStr">
        <is>
          <t>04-Sep-2025</t>
        </is>
      </c>
      <c r="B58" t="inlineStr">
        <is>
          <t>Thursday</t>
        </is>
      </c>
      <c r="C58" t="inlineStr">
        <is>
          <t>Week1-Sep-2025</t>
        </is>
      </c>
      <c r="D58" s="78" t="n">
        <v>45901</v>
      </c>
      <c r="E58" t="inlineStr">
        <is>
          <t>Q2FY26</t>
        </is>
      </c>
      <c r="F58" t="inlineStr">
        <is>
          <t>23-Sep-2025</t>
        </is>
      </c>
      <c r="G58" t="inlineStr">
        <is>
          <t>Tuesday</t>
        </is>
      </c>
      <c r="H58" t="inlineStr">
        <is>
          <t>Weekly - Tuesday</t>
        </is>
      </c>
      <c r="I58" t="inlineStr">
        <is>
          <t>Weekly - Tuesday</t>
        </is>
      </c>
      <c r="J58" t="inlineStr">
        <is>
          <t>Same Month Expiry</t>
        </is>
      </c>
      <c r="K58" s="25" t="n">
        <v>81233</v>
      </c>
      <c r="L58" s="26" t="n">
        <v>152.3591</v>
      </c>
      <c r="M58" s="26" t="n">
        <v>0.7473</v>
      </c>
    </row>
    <row r="59" ht="16" customHeight="1">
      <c r="A59" t="inlineStr">
        <is>
          <t>04-Sep-2025</t>
        </is>
      </c>
      <c r="B59" t="inlineStr">
        <is>
          <t>Thursday</t>
        </is>
      </c>
      <c r="C59" t="inlineStr">
        <is>
          <t>Week1-Sep-2025</t>
        </is>
      </c>
      <c r="D59" s="78" t="n">
        <v>45901</v>
      </c>
      <c r="E59" t="inlineStr">
        <is>
          <t>Q2FY26</t>
        </is>
      </c>
      <c r="F59" t="inlineStr">
        <is>
          <t>30-Sep-2025</t>
        </is>
      </c>
      <c r="G59" t="inlineStr">
        <is>
          <t>Tuesday</t>
        </is>
      </c>
      <c r="H59" t="inlineStr">
        <is>
          <t>Monthly - Tuesday</t>
        </is>
      </c>
      <c r="I59" t="inlineStr">
        <is>
          <t>Monthly - Tuesday</t>
        </is>
      </c>
      <c r="J59" t="inlineStr">
        <is>
          <t>Same Month Expiry</t>
        </is>
      </c>
      <c r="K59" s="25" t="n">
        <v>1438666</v>
      </c>
      <c r="L59" s="26" t="n">
        <v>2692.5288</v>
      </c>
      <c r="M59" s="26" t="n">
        <v>16.4258</v>
      </c>
    </row>
    <row r="60" ht="16" customHeight="1">
      <c r="A60" t="inlineStr">
        <is>
          <t>04-Sep-2025</t>
        </is>
      </c>
      <c r="B60" t="inlineStr">
        <is>
          <t>Thursday</t>
        </is>
      </c>
      <c r="C60" t="inlineStr">
        <is>
          <t>Week1-Sep-2025</t>
        </is>
      </c>
      <c r="D60" s="78" t="n">
        <v>45901</v>
      </c>
      <c r="E60" t="inlineStr">
        <is>
          <t>Q2FY26</t>
        </is>
      </c>
      <c r="F60" t="inlineStr">
        <is>
          <t>07-Oct-2025</t>
        </is>
      </c>
      <c r="G60" t="inlineStr">
        <is>
          <t>Tuesday</t>
        </is>
      </c>
      <c r="H60" t="inlineStr">
        <is>
          <t>Weekly - Tuesday</t>
        </is>
      </c>
      <c r="I60" t="inlineStr">
        <is>
          <t>Weekly - Tuesday</t>
        </is>
      </c>
      <c r="J60" t="inlineStr">
        <is>
          <t>Month+1 Expiry</t>
        </is>
      </c>
      <c r="K60" s="25" t="n">
        <v>2435</v>
      </c>
      <c r="L60" s="26" t="n">
        <v>4.6003</v>
      </c>
      <c r="M60" s="26" t="n">
        <v>0.0366</v>
      </c>
    </row>
    <row r="61" ht="16" customHeight="1">
      <c r="A61" t="inlineStr">
        <is>
          <t>04-Sep-2025</t>
        </is>
      </c>
      <c r="B61" t="inlineStr">
        <is>
          <t>Thursday</t>
        </is>
      </c>
      <c r="C61" t="inlineStr">
        <is>
          <t>Week1-Sep-2025</t>
        </is>
      </c>
      <c r="D61" s="78" t="n">
        <v>45901</v>
      </c>
      <c r="E61" t="inlineStr">
        <is>
          <t>Q2FY26</t>
        </is>
      </c>
      <c r="F61" t="inlineStr">
        <is>
          <t>28-Oct-2025</t>
        </is>
      </c>
      <c r="G61" t="inlineStr">
        <is>
          <t>Tuesday</t>
        </is>
      </c>
      <c r="H61" t="inlineStr">
        <is>
          <t>Monthly - Tuesday</t>
        </is>
      </c>
      <c r="I61" t="inlineStr">
        <is>
          <t>Monthly - Tuesday</t>
        </is>
      </c>
      <c r="J61" t="inlineStr">
        <is>
          <t>Month+1 Expiry</t>
        </is>
      </c>
      <c r="K61" s="25" t="n">
        <v>173860</v>
      </c>
      <c r="L61" s="26" t="n">
        <v>325.6854</v>
      </c>
      <c r="M61" s="26" t="n">
        <v>2.7425</v>
      </c>
    </row>
    <row r="62" ht="16" customHeight="1">
      <c r="A62" t="inlineStr">
        <is>
          <t>04-Sep-2025</t>
        </is>
      </c>
      <c r="B62" t="inlineStr">
        <is>
          <t>Thursday</t>
        </is>
      </c>
      <c r="C62" t="inlineStr">
        <is>
          <t>Week1-Sep-2025</t>
        </is>
      </c>
      <c r="D62" s="78" t="n">
        <v>45901</v>
      </c>
      <c r="E62" t="inlineStr">
        <is>
          <t>Q2FY26</t>
        </is>
      </c>
      <c r="F62" t="inlineStr">
        <is>
          <t>25-Nov-2025</t>
        </is>
      </c>
      <c r="G62" t="inlineStr">
        <is>
          <t>Tuesday</t>
        </is>
      </c>
      <c r="H62" t="inlineStr">
        <is>
          <t>Monthly - Tuesday</t>
        </is>
      </c>
      <c r="I62" t="inlineStr">
        <is>
          <t>Monthly - Tuesday</t>
        </is>
      </c>
      <c r="J62" t="inlineStr">
        <is>
          <t>Month+2 Expiry</t>
        </is>
      </c>
      <c r="K62" s="25" t="n">
        <v>22847</v>
      </c>
      <c r="L62" s="26" t="n">
        <v>42.7257</v>
      </c>
      <c r="M62" s="26" t="n">
        <v>0.4499</v>
      </c>
    </row>
    <row r="63" ht="16" customHeight="1">
      <c r="A63" t="inlineStr">
        <is>
          <t>04-Sep-2025</t>
        </is>
      </c>
      <c r="B63" t="inlineStr">
        <is>
          <t>Thursday</t>
        </is>
      </c>
      <c r="C63" t="inlineStr">
        <is>
          <t>Week1-Sep-2025</t>
        </is>
      </c>
      <c r="D63" s="78" t="n">
        <v>45901</v>
      </c>
      <c r="E63" t="inlineStr">
        <is>
          <t>Q2FY26</t>
        </is>
      </c>
      <c r="F63" t="inlineStr">
        <is>
          <t>30-Dec-2025</t>
        </is>
      </c>
      <c r="G63" t="inlineStr">
        <is>
          <t>Tuesday</t>
        </is>
      </c>
      <c r="H63" t="inlineStr">
        <is>
          <t>Monthly - Tuesday</t>
        </is>
      </c>
      <c r="I63" t="inlineStr">
        <is>
          <t>Monthly - Tuesday</t>
        </is>
      </c>
      <c r="J63" t="inlineStr">
        <is>
          <t>Month+3 Expiry</t>
        </is>
      </c>
      <c r="K63" s="25" t="n">
        <v>60015</v>
      </c>
      <c r="L63" s="26" t="n">
        <v>113.0429</v>
      </c>
      <c r="M63" s="26" t="n">
        <v>1.5056</v>
      </c>
    </row>
    <row r="64" ht="16" customHeight="1">
      <c r="A64" t="inlineStr">
        <is>
          <t>04-Sep-2025</t>
        </is>
      </c>
      <c r="B64" t="inlineStr">
        <is>
          <t>Thursday</t>
        </is>
      </c>
      <c r="C64" t="inlineStr">
        <is>
          <t>Week1-Sep-2025</t>
        </is>
      </c>
      <c r="D64" s="78" t="n">
        <v>45901</v>
      </c>
      <c r="E64" t="inlineStr">
        <is>
          <t>Q2FY26</t>
        </is>
      </c>
      <c r="F64" t="inlineStr">
        <is>
          <t>31-Mar-2026</t>
        </is>
      </c>
      <c r="G64" t="inlineStr">
        <is>
          <t>Tuesday</t>
        </is>
      </c>
      <c r="H64" t="inlineStr">
        <is>
          <t>Monthly - Tuesday</t>
        </is>
      </c>
      <c r="I64" t="inlineStr">
        <is>
          <t>Monthly - Tuesday</t>
        </is>
      </c>
      <c r="J64" t="inlineStr">
        <is>
          <t>Month+6 Expiry</t>
        </is>
      </c>
      <c r="K64" s="25" t="n">
        <v>8607</v>
      </c>
      <c r="L64" s="26" t="n">
        <v>16.8536</v>
      </c>
      <c r="M64" s="26" t="n">
        <v>0.2899</v>
      </c>
    </row>
    <row r="65" ht="16" customHeight="1">
      <c r="A65" t="inlineStr">
        <is>
          <t>04-Sep-2025</t>
        </is>
      </c>
      <c r="B65" t="inlineStr">
        <is>
          <t>Thursday</t>
        </is>
      </c>
      <c r="C65" t="inlineStr">
        <is>
          <t>Week1-Sep-2025</t>
        </is>
      </c>
      <c r="D65" s="78" t="n">
        <v>45901</v>
      </c>
      <c r="E65" t="inlineStr">
        <is>
          <t>Q2FY26</t>
        </is>
      </c>
      <c r="F65" t="inlineStr">
        <is>
          <t>30-Jun-2026</t>
        </is>
      </c>
      <c r="G65" t="inlineStr">
        <is>
          <t>Tuesday</t>
        </is>
      </c>
      <c r="H65" t="inlineStr">
        <is>
          <t>Monthly - Tuesday</t>
        </is>
      </c>
      <c r="I65" t="inlineStr">
        <is>
          <t>Monthly - Tuesday</t>
        </is>
      </c>
      <c r="J65" t="inlineStr">
        <is>
          <t>Month+9 Expiry</t>
        </is>
      </c>
      <c r="K65" s="25" t="n">
        <v>91</v>
      </c>
      <c r="L65" s="26" t="n">
        <v>0.1687</v>
      </c>
      <c r="M65" s="26" t="n">
        <v>0.0045</v>
      </c>
    </row>
    <row r="66" ht="16" customHeight="1">
      <c r="A66" t="inlineStr">
        <is>
          <t>04-Sep-2025</t>
        </is>
      </c>
      <c r="B66" t="inlineStr">
        <is>
          <t>Thursday</t>
        </is>
      </c>
      <c r="C66" t="inlineStr">
        <is>
          <t>Week1-Sep-2025</t>
        </is>
      </c>
      <c r="D66" s="78" t="n">
        <v>45901</v>
      </c>
      <c r="E66" t="inlineStr">
        <is>
          <t>Q2FY26</t>
        </is>
      </c>
      <c r="F66" t="inlineStr">
        <is>
          <t>29-Dec-2026</t>
        </is>
      </c>
      <c r="G66" t="inlineStr">
        <is>
          <t>Tuesday</t>
        </is>
      </c>
      <c r="H66" t="inlineStr">
        <is>
          <t>Monthly - Tuesday</t>
        </is>
      </c>
      <c r="I66" t="inlineStr">
        <is>
          <t>Monthly - Tuesday</t>
        </is>
      </c>
      <c r="J66" t="inlineStr">
        <is>
          <t>Month+15 Expiry</t>
        </is>
      </c>
      <c r="K66" s="25" t="n">
        <v>520</v>
      </c>
      <c r="L66" s="26" t="n">
        <v>1.015</v>
      </c>
      <c r="M66" s="26" t="n">
        <v>0.0356</v>
      </c>
    </row>
    <row r="67" ht="16" customHeight="1">
      <c r="A67" t="inlineStr">
        <is>
          <t>04-Sep-2025</t>
        </is>
      </c>
      <c r="B67" t="inlineStr">
        <is>
          <t>Thursday</t>
        </is>
      </c>
      <c r="C67" t="inlineStr">
        <is>
          <t>Week1-Sep-2025</t>
        </is>
      </c>
      <c r="D67" s="78" t="n">
        <v>45901</v>
      </c>
      <c r="E67" t="inlineStr">
        <is>
          <t>Q2FY26</t>
        </is>
      </c>
      <c r="F67" t="inlineStr">
        <is>
          <t>29-Jun-2027</t>
        </is>
      </c>
      <c r="G67" t="inlineStr">
        <is>
          <t>Tuesday</t>
        </is>
      </c>
      <c r="H67" t="inlineStr">
        <is>
          <t>Monthly - Tuesday</t>
        </is>
      </c>
      <c r="I67" t="inlineStr">
        <is>
          <t>Monthly - Tuesday</t>
        </is>
      </c>
      <c r="J67" t="inlineStr">
        <is>
          <t>Month+21 Expiry</t>
        </is>
      </c>
      <c r="K67" s="25" t="n">
        <v>0</v>
      </c>
      <c r="L67" s="26" t="n">
        <v>0</v>
      </c>
      <c r="M67" s="26" t="n">
        <v>0</v>
      </c>
    </row>
    <row r="68" ht="16" customHeight="1">
      <c r="A68" t="inlineStr">
        <is>
          <t>04-Sep-2025</t>
        </is>
      </c>
      <c r="B68" t="inlineStr">
        <is>
          <t>Thursday</t>
        </is>
      </c>
      <c r="C68" t="inlineStr">
        <is>
          <t>Week1-Sep-2025</t>
        </is>
      </c>
      <c r="D68" s="78" t="n">
        <v>45901</v>
      </c>
      <c r="E68" t="inlineStr">
        <is>
          <t>Q2FY26</t>
        </is>
      </c>
      <c r="F68" t="inlineStr">
        <is>
          <t>28-Dec-2027</t>
        </is>
      </c>
      <c r="G68" t="inlineStr">
        <is>
          <t>Tuesday</t>
        </is>
      </c>
      <c r="H68" t="inlineStr">
        <is>
          <t>Monthly - Tuesday</t>
        </is>
      </c>
      <c r="I68" t="inlineStr">
        <is>
          <t>Monthly - Tuesday</t>
        </is>
      </c>
      <c r="J68" t="inlineStr">
        <is>
          <t>Month+27 Expiry</t>
        </is>
      </c>
      <c r="K68" s="25" t="n">
        <v>1</v>
      </c>
      <c r="L68" s="26" t="n">
        <v>0.0016</v>
      </c>
      <c r="M68" s="26" t="n">
        <v>0</v>
      </c>
    </row>
    <row r="69" ht="16" customHeight="1">
      <c r="A69" t="inlineStr">
        <is>
          <t>04-Sep-2025</t>
        </is>
      </c>
      <c r="B69" t="inlineStr">
        <is>
          <t>Thursday</t>
        </is>
      </c>
      <c r="C69" t="inlineStr">
        <is>
          <t>Week1-Sep-2025</t>
        </is>
      </c>
      <c r="D69" s="78" t="n">
        <v>45901</v>
      </c>
      <c r="E69" t="inlineStr">
        <is>
          <t>Q2FY26</t>
        </is>
      </c>
      <c r="F69" t="inlineStr">
        <is>
          <t>27-Jun-2028</t>
        </is>
      </c>
      <c r="G69" t="inlineStr">
        <is>
          <t>Tuesday</t>
        </is>
      </c>
      <c r="H69" t="inlineStr">
        <is>
          <t>Monthly - Tuesday</t>
        </is>
      </c>
      <c r="I69" t="inlineStr">
        <is>
          <t>Monthly - Tuesday</t>
        </is>
      </c>
      <c r="J69" t="inlineStr">
        <is>
          <t>Month+33 Expiry</t>
        </is>
      </c>
      <c r="K69" s="25" t="n">
        <v>0</v>
      </c>
      <c r="L69" s="26" t="n">
        <v>0</v>
      </c>
      <c r="M69" s="26" t="n">
        <v>0</v>
      </c>
    </row>
    <row r="70" ht="16" customHeight="1">
      <c r="A70" t="inlineStr">
        <is>
          <t>04-Sep-2025</t>
        </is>
      </c>
      <c r="B70" t="inlineStr">
        <is>
          <t>Thursday</t>
        </is>
      </c>
      <c r="C70" t="inlineStr">
        <is>
          <t>Week1-Sep-2025</t>
        </is>
      </c>
      <c r="D70" s="78" t="n">
        <v>45901</v>
      </c>
      <c r="E70" t="inlineStr">
        <is>
          <t>Q2FY26</t>
        </is>
      </c>
      <c r="F70" t="inlineStr">
        <is>
          <t>26-Dec-2028</t>
        </is>
      </c>
      <c r="G70" t="inlineStr">
        <is>
          <t>Tuesday</t>
        </is>
      </c>
      <c r="H70" t="inlineStr">
        <is>
          <t>Monthly - Tuesday</t>
        </is>
      </c>
      <c r="I70" t="inlineStr">
        <is>
          <t>Monthly - Tuesday</t>
        </is>
      </c>
      <c r="J70" t="inlineStr">
        <is>
          <t>Month+39 Expiry</t>
        </is>
      </c>
      <c r="K70" s="25" t="n">
        <v>1</v>
      </c>
      <c r="L70" s="26" t="n">
        <v>0.0019</v>
      </c>
      <c r="M70" s="26" t="n">
        <v>0.0001</v>
      </c>
    </row>
    <row r="71" ht="16" customHeight="1">
      <c r="A71" t="inlineStr">
        <is>
          <t>04-Sep-2025</t>
        </is>
      </c>
      <c r="B71" t="inlineStr">
        <is>
          <t>Thursday</t>
        </is>
      </c>
      <c r="C71" t="inlineStr">
        <is>
          <t>Week1-Sep-2025</t>
        </is>
      </c>
      <c r="D71" s="78" t="n">
        <v>45901</v>
      </c>
      <c r="E71" t="inlineStr">
        <is>
          <t>Q2FY26</t>
        </is>
      </c>
      <c r="F71" t="inlineStr">
        <is>
          <t>26-Jun-2029</t>
        </is>
      </c>
      <c r="G71" t="inlineStr">
        <is>
          <t>Tuesday</t>
        </is>
      </c>
      <c r="H71" t="inlineStr">
        <is>
          <t>Monthly - Tuesday</t>
        </is>
      </c>
      <c r="I71" t="inlineStr">
        <is>
          <t>Monthly - Tuesday</t>
        </is>
      </c>
      <c r="J71" t="inlineStr">
        <is>
          <t>Month+45 Expiry</t>
        </is>
      </c>
      <c r="K71" s="25" t="n">
        <v>0</v>
      </c>
      <c r="L71" s="26" t="n">
        <v>0</v>
      </c>
      <c r="M71" s="26" t="n">
        <v>0</v>
      </c>
    </row>
    <row r="72" ht="16" customHeight="1">
      <c r="A72" t="inlineStr">
        <is>
          <t>04-Sep-2025</t>
        </is>
      </c>
      <c r="B72" t="inlineStr">
        <is>
          <t>Thursday</t>
        </is>
      </c>
      <c r="C72" t="inlineStr">
        <is>
          <t>Week1-Sep-2025</t>
        </is>
      </c>
      <c r="D72" s="78" t="n">
        <v>45901</v>
      </c>
      <c r="E72" t="inlineStr">
        <is>
          <t>Q2FY26</t>
        </is>
      </c>
      <c r="F72" t="inlineStr">
        <is>
          <t>24-Dec-2029</t>
        </is>
      </c>
      <c r="G72" t="inlineStr">
        <is>
          <t>Monday</t>
        </is>
      </c>
      <c r="H72" t="inlineStr">
        <is>
          <t>Weekly - Monday</t>
        </is>
      </c>
      <c r="I72" t="inlineStr">
        <is>
          <t>Weekly - Monday</t>
        </is>
      </c>
      <c r="J72" t="inlineStr">
        <is>
          <t>Month+51 Expiry</t>
        </is>
      </c>
      <c r="K72" s="25" t="n">
        <v>0</v>
      </c>
      <c r="L72" s="26" t="n">
        <v>0</v>
      </c>
      <c r="M72" s="26" t="n">
        <v>0</v>
      </c>
    </row>
    <row r="73" ht="16" customHeight="1">
      <c r="A73" t="inlineStr">
        <is>
          <t>04-Sep-2025</t>
        </is>
      </c>
      <c r="B73" t="inlineStr">
        <is>
          <t>Thursday</t>
        </is>
      </c>
      <c r="C73" t="inlineStr">
        <is>
          <t>Week1-Sep-2025</t>
        </is>
      </c>
      <c r="D73" s="78" t="n">
        <v>45901</v>
      </c>
      <c r="E73" t="inlineStr">
        <is>
          <t>Q2FY26</t>
        </is>
      </c>
      <c r="F73" t="inlineStr">
        <is>
          <t>25-Jun-2030</t>
        </is>
      </c>
      <c r="G73" t="inlineStr">
        <is>
          <t>Tuesday</t>
        </is>
      </c>
      <c r="H73" t="inlineStr">
        <is>
          <t>Monthly - Tuesday</t>
        </is>
      </c>
      <c r="I73" t="inlineStr">
        <is>
          <t>Monthly - Tuesday</t>
        </is>
      </c>
      <c r="J73" t="inlineStr">
        <is>
          <t>Month+57 Expiry</t>
        </is>
      </c>
      <c r="K73" s="25" t="n">
        <v>0</v>
      </c>
      <c r="L73" s="26" t="n">
        <v>0</v>
      </c>
      <c r="M73" s="26" t="n">
        <v>0</v>
      </c>
    </row>
    <row r="74" ht="16" customHeight="1">
      <c r="A74" t="inlineStr">
        <is>
          <t>05-Sep-2025</t>
        </is>
      </c>
      <c r="B74" t="inlineStr">
        <is>
          <t>Friday</t>
        </is>
      </c>
      <c r="C74" t="inlineStr">
        <is>
          <t>Week1-Sep-2025</t>
        </is>
      </c>
      <c r="D74" s="78" t="n">
        <v>45901</v>
      </c>
      <c r="E74" t="inlineStr">
        <is>
          <t>Q2FY26</t>
        </is>
      </c>
      <c r="F74" t="inlineStr">
        <is>
          <t>09-Sep-2025</t>
        </is>
      </c>
      <c r="G74" t="inlineStr">
        <is>
          <t>Tuesday</t>
        </is>
      </c>
      <c r="H74" t="inlineStr">
        <is>
          <t>Weekly - Tuesday</t>
        </is>
      </c>
      <c r="I74" t="inlineStr">
        <is>
          <t>Weekly - Tuesday</t>
        </is>
      </c>
      <c r="J74" t="inlineStr">
        <is>
          <t>Same Month Expiry</t>
        </is>
      </c>
      <c r="K74" s="25" t="n">
        <v>120034823</v>
      </c>
      <c r="L74" s="26" t="n">
        <v>223147.099</v>
      </c>
      <c r="M74" s="26" t="n">
        <v>450.0884</v>
      </c>
    </row>
    <row r="75" ht="16" customHeight="1">
      <c r="A75" t="inlineStr">
        <is>
          <t>05-Sep-2025</t>
        </is>
      </c>
      <c r="B75" t="inlineStr">
        <is>
          <t>Friday</t>
        </is>
      </c>
      <c r="C75" t="inlineStr">
        <is>
          <t>Week1-Sep-2025</t>
        </is>
      </c>
      <c r="D75" s="78" t="n">
        <v>45901</v>
      </c>
      <c r="E75" t="inlineStr">
        <is>
          <t>Q2FY26</t>
        </is>
      </c>
      <c r="F75" t="inlineStr">
        <is>
          <t>16-Sep-2025</t>
        </is>
      </c>
      <c r="G75" t="inlineStr">
        <is>
          <t>Tuesday</t>
        </is>
      </c>
      <c r="H75" t="inlineStr">
        <is>
          <t>Weekly - Tuesday</t>
        </is>
      </c>
      <c r="I75" t="inlineStr">
        <is>
          <t>Weekly - Tuesday</t>
        </is>
      </c>
      <c r="J75" t="inlineStr">
        <is>
          <t>Same Month Expiry</t>
        </is>
      </c>
      <c r="K75" s="25" t="n">
        <v>3091445</v>
      </c>
      <c r="L75" s="26" t="n">
        <v>5755.9977</v>
      </c>
      <c r="M75" s="26" t="n">
        <v>18.5899</v>
      </c>
    </row>
    <row r="76" ht="16" customHeight="1">
      <c r="A76" t="inlineStr">
        <is>
          <t>05-Sep-2025</t>
        </is>
      </c>
      <c r="B76" t="inlineStr">
        <is>
          <t>Friday</t>
        </is>
      </c>
      <c r="C76" t="inlineStr">
        <is>
          <t>Week1-Sep-2025</t>
        </is>
      </c>
      <c r="D76" s="78" t="n">
        <v>45901</v>
      </c>
      <c r="E76" t="inlineStr">
        <is>
          <t>Q2FY26</t>
        </is>
      </c>
      <c r="F76" t="inlineStr">
        <is>
          <t>23-Sep-2025</t>
        </is>
      </c>
      <c r="G76" t="inlineStr">
        <is>
          <t>Tuesday</t>
        </is>
      </c>
      <c r="H76" t="inlineStr">
        <is>
          <t>Weekly - Tuesday</t>
        </is>
      </c>
      <c r="I76" t="inlineStr">
        <is>
          <t>Weekly - Tuesday</t>
        </is>
      </c>
      <c r="J76" t="inlineStr">
        <is>
          <t>Same Month Expiry</t>
        </is>
      </c>
      <c r="K76" s="25" t="n">
        <v>103549</v>
      </c>
      <c r="L76" s="26" t="n">
        <v>192.9492</v>
      </c>
      <c r="M76" s="26" t="n">
        <v>0.9638</v>
      </c>
    </row>
    <row r="77" ht="16" customHeight="1">
      <c r="A77" t="inlineStr">
        <is>
          <t>05-Sep-2025</t>
        </is>
      </c>
      <c r="B77" t="inlineStr">
        <is>
          <t>Friday</t>
        </is>
      </c>
      <c r="C77" t="inlineStr">
        <is>
          <t>Week1-Sep-2025</t>
        </is>
      </c>
      <c r="D77" s="78" t="n">
        <v>45901</v>
      </c>
      <c r="E77" t="inlineStr">
        <is>
          <t>Q2FY26</t>
        </is>
      </c>
      <c r="F77" t="inlineStr">
        <is>
          <t>30-Sep-2025</t>
        </is>
      </c>
      <c r="G77" t="inlineStr">
        <is>
          <t>Tuesday</t>
        </is>
      </c>
      <c r="H77" t="inlineStr">
        <is>
          <t>Monthly - Tuesday</t>
        </is>
      </c>
      <c r="I77" t="inlineStr">
        <is>
          <t>Monthly - Tuesday</t>
        </is>
      </c>
      <c r="J77" t="inlineStr">
        <is>
          <t>Same Month Expiry</t>
        </is>
      </c>
      <c r="K77" s="25" t="n">
        <v>1320053</v>
      </c>
      <c r="L77" s="26" t="n">
        <v>2467.1445</v>
      </c>
      <c r="M77" s="26" t="n">
        <v>14.6244</v>
      </c>
    </row>
    <row r="78" ht="16" customHeight="1">
      <c r="A78" t="inlineStr">
        <is>
          <t>05-Sep-2025</t>
        </is>
      </c>
      <c r="B78" t="inlineStr">
        <is>
          <t>Friday</t>
        </is>
      </c>
      <c r="C78" t="inlineStr">
        <is>
          <t>Week1-Sep-2025</t>
        </is>
      </c>
      <c r="D78" s="78" t="n">
        <v>45901</v>
      </c>
      <c r="E78" t="inlineStr">
        <is>
          <t>Q2FY26</t>
        </is>
      </c>
      <c r="F78" t="inlineStr">
        <is>
          <t>07-Oct-2025</t>
        </is>
      </c>
      <c r="G78" t="inlineStr">
        <is>
          <t>Tuesday</t>
        </is>
      </c>
      <c r="H78" t="inlineStr">
        <is>
          <t>Weekly - Tuesday</t>
        </is>
      </c>
      <c r="I78" t="inlineStr">
        <is>
          <t>Weekly - Tuesday</t>
        </is>
      </c>
      <c r="J78" t="inlineStr">
        <is>
          <t>Month+1 Expiry</t>
        </is>
      </c>
      <c r="K78" s="25" t="n">
        <v>4045</v>
      </c>
      <c r="L78" s="26" t="n">
        <v>7.7525</v>
      </c>
      <c r="M78" s="26" t="n">
        <v>0.0344</v>
      </c>
    </row>
    <row r="79" ht="16" customHeight="1">
      <c r="A79" t="inlineStr">
        <is>
          <t>05-Sep-2025</t>
        </is>
      </c>
      <c r="B79" t="inlineStr">
        <is>
          <t>Friday</t>
        </is>
      </c>
      <c r="C79" t="inlineStr">
        <is>
          <t>Week1-Sep-2025</t>
        </is>
      </c>
      <c r="D79" s="78" t="n">
        <v>45901</v>
      </c>
      <c r="E79" t="inlineStr">
        <is>
          <t>Q2FY26</t>
        </is>
      </c>
      <c r="F79" t="inlineStr">
        <is>
          <t>28-Oct-2025</t>
        </is>
      </c>
      <c r="G79" t="inlineStr">
        <is>
          <t>Tuesday</t>
        </is>
      </c>
      <c r="H79" t="inlineStr">
        <is>
          <t>Monthly - Tuesday</t>
        </is>
      </c>
      <c r="I79" t="inlineStr">
        <is>
          <t>Monthly - Tuesday</t>
        </is>
      </c>
      <c r="J79" t="inlineStr">
        <is>
          <t>Month+1 Expiry</t>
        </is>
      </c>
      <c r="K79" s="25" t="n">
        <v>158050</v>
      </c>
      <c r="L79" s="26" t="n">
        <v>297.591</v>
      </c>
      <c r="M79" s="26" t="n">
        <v>2.2562</v>
      </c>
    </row>
    <row r="80" ht="16" customHeight="1">
      <c r="A80" t="inlineStr">
        <is>
          <t>05-Sep-2025</t>
        </is>
      </c>
      <c r="B80" t="inlineStr">
        <is>
          <t>Friday</t>
        </is>
      </c>
      <c r="C80" t="inlineStr">
        <is>
          <t>Week1-Sep-2025</t>
        </is>
      </c>
      <c r="D80" s="78" t="n">
        <v>45901</v>
      </c>
      <c r="E80" t="inlineStr">
        <is>
          <t>Q2FY26</t>
        </is>
      </c>
      <c r="F80" t="inlineStr">
        <is>
          <t>25-Nov-2025</t>
        </is>
      </c>
      <c r="G80" t="inlineStr">
        <is>
          <t>Tuesday</t>
        </is>
      </c>
      <c r="H80" t="inlineStr">
        <is>
          <t>Monthly - Tuesday</t>
        </is>
      </c>
      <c r="I80" t="inlineStr">
        <is>
          <t>Monthly - Tuesday</t>
        </is>
      </c>
      <c r="J80" t="inlineStr">
        <is>
          <t>Month+2 Expiry</t>
        </is>
      </c>
      <c r="K80" s="25" t="n">
        <v>19933</v>
      </c>
      <c r="L80" s="26" t="n">
        <v>37.1505</v>
      </c>
      <c r="M80" s="26" t="n">
        <v>0.3688</v>
      </c>
    </row>
    <row r="81" ht="16" customHeight="1">
      <c r="A81" t="inlineStr">
        <is>
          <t>05-Sep-2025</t>
        </is>
      </c>
      <c r="B81" t="inlineStr">
        <is>
          <t>Friday</t>
        </is>
      </c>
      <c r="C81" t="inlineStr">
        <is>
          <t>Week1-Sep-2025</t>
        </is>
      </c>
      <c r="D81" s="78" t="n">
        <v>45901</v>
      </c>
      <c r="E81" t="inlineStr">
        <is>
          <t>Q2FY26</t>
        </is>
      </c>
      <c r="F81" t="inlineStr">
        <is>
          <t>30-Dec-2025</t>
        </is>
      </c>
      <c r="G81" t="inlineStr">
        <is>
          <t>Tuesday</t>
        </is>
      </c>
      <c r="H81" t="inlineStr">
        <is>
          <t>Monthly - Tuesday</t>
        </is>
      </c>
      <c r="I81" t="inlineStr">
        <is>
          <t>Monthly - Tuesday</t>
        </is>
      </c>
      <c r="J81" t="inlineStr">
        <is>
          <t>Month+3 Expiry</t>
        </is>
      </c>
      <c r="K81" s="25" t="n">
        <v>51322</v>
      </c>
      <c r="L81" s="26" t="n">
        <v>96.42910000000001</v>
      </c>
      <c r="M81" s="26" t="n">
        <v>1.2153</v>
      </c>
    </row>
    <row r="82" ht="16" customHeight="1">
      <c r="A82" t="inlineStr">
        <is>
          <t>05-Sep-2025</t>
        </is>
      </c>
      <c r="B82" t="inlineStr">
        <is>
          <t>Friday</t>
        </is>
      </c>
      <c r="C82" t="inlineStr">
        <is>
          <t>Week1-Sep-2025</t>
        </is>
      </c>
      <c r="D82" s="78" t="n">
        <v>45901</v>
      </c>
      <c r="E82" t="inlineStr">
        <is>
          <t>Q2FY26</t>
        </is>
      </c>
      <c r="F82" t="inlineStr">
        <is>
          <t>31-Mar-2026</t>
        </is>
      </c>
      <c r="G82" t="inlineStr">
        <is>
          <t>Tuesday</t>
        </is>
      </c>
      <c r="H82" t="inlineStr">
        <is>
          <t>Monthly - Tuesday</t>
        </is>
      </c>
      <c r="I82" t="inlineStr">
        <is>
          <t>Monthly - Tuesday</t>
        </is>
      </c>
      <c r="J82" t="inlineStr">
        <is>
          <t>Month+6 Expiry</t>
        </is>
      </c>
      <c r="K82" s="25" t="n">
        <v>7751</v>
      </c>
      <c r="L82" s="26" t="n">
        <v>15.214</v>
      </c>
      <c r="M82" s="26" t="n">
        <v>0.248</v>
      </c>
    </row>
    <row r="83" ht="16" customHeight="1">
      <c r="A83" t="inlineStr">
        <is>
          <t>05-Sep-2025</t>
        </is>
      </c>
      <c r="B83" t="inlineStr">
        <is>
          <t>Friday</t>
        </is>
      </c>
      <c r="C83" t="inlineStr">
        <is>
          <t>Week1-Sep-2025</t>
        </is>
      </c>
      <c r="D83" s="78" t="n">
        <v>45901</v>
      </c>
      <c r="E83" t="inlineStr">
        <is>
          <t>Q2FY26</t>
        </is>
      </c>
      <c r="F83" t="inlineStr">
        <is>
          <t>30-Jun-2026</t>
        </is>
      </c>
      <c r="G83" t="inlineStr">
        <is>
          <t>Tuesday</t>
        </is>
      </c>
      <c r="H83" t="inlineStr">
        <is>
          <t>Monthly - Tuesday</t>
        </is>
      </c>
      <c r="I83" t="inlineStr">
        <is>
          <t>Monthly - Tuesday</t>
        </is>
      </c>
      <c r="J83" t="inlineStr">
        <is>
          <t>Month+9 Expiry</t>
        </is>
      </c>
      <c r="K83" s="25" t="n">
        <v>57</v>
      </c>
      <c r="L83" s="26" t="n">
        <v>0.1063</v>
      </c>
      <c r="M83" s="26" t="n">
        <v>0.003</v>
      </c>
    </row>
    <row r="84" ht="16" customHeight="1">
      <c r="A84" t="inlineStr">
        <is>
          <t>05-Sep-2025</t>
        </is>
      </c>
      <c r="B84" t="inlineStr">
        <is>
          <t>Friday</t>
        </is>
      </c>
      <c r="C84" t="inlineStr">
        <is>
          <t>Week1-Sep-2025</t>
        </is>
      </c>
      <c r="D84" s="78" t="n">
        <v>45901</v>
      </c>
      <c r="E84" t="inlineStr">
        <is>
          <t>Q2FY26</t>
        </is>
      </c>
      <c r="F84" t="inlineStr">
        <is>
          <t>29-Dec-2026</t>
        </is>
      </c>
      <c r="G84" t="inlineStr">
        <is>
          <t>Tuesday</t>
        </is>
      </c>
      <c r="H84" t="inlineStr">
        <is>
          <t>Monthly - Tuesday</t>
        </is>
      </c>
      <c r="I84" t="inlineStr">
        <is>
          <t>Monthly - Tuesday</t>
        </is>
      </c>
      <c r="J84" t="inlineStr">
        <is>
          <t>Month+15 Expiry</t>
        </is>
      </c>
      <c r="K84" s="25" t="n">
        <v>486</v>
      </c>
      <c r="L84" s="26" t="n">
        <v>0.9334</v>
      </c>
      <c r="M84" s="26" t="n">
        <v>0.0317</v>
      </c>
    </row>
    <row r="85" ht="16" customHeight="1">
      <c r="A85" t="inlineStr">
        <is>
          <t>05-Sep-2025</t>
        </is>
      </c>
      <c r="B85" t="inlineStr">
        <is>
          <t>Friday</t>
        </is>
      </c>
      <c r="C85" t="inlineStr">
        <is>
          <t>Week1-Sep-2025</t>
        </is>
      </c>
      <c r="D85" s="78" t="n">
        <v>45901</v>
      </c>
      <c r="E85" t="inlineStr">
        <is>
          <t>Q2FY26</t>
        </is>
      </c>
      <c r="F85" t="inlineStr">
        <is>
          <t>29-Jun-2027</t>
        </is>
      </c>
      <c r="G85" t="inlineStr">
        <is>
          <t>Tuesday</t>
        </is>
      </c>
      <c r="H85" t="inlineStr">
        <is>
          <t>Monthly - Tuesday</t>
        </is>
      </c>
      <c r="I85" t="inlineStr">
        <is>
          <t>Monthly - Tuesday</t>
        </is>
      </c>
      <c r="J85" t="inlineStr">
        <is>
          <t>Month+21 Expiry</t>
        </is>
      </c>
      <c r="K85" s="25" t="n">
        <v>0</v>
      </c>
      <c r="L85" s="26" t="n">
        <v>0</v>
      </c>
      <c r="M85" s="26" t="n">
        <v>0</v>
      </c>
    </row>
    <row r="86" ht="16" customHeight="1">
      <c r="A86" t="inlineStr">
        <is>
          <t>05-Sep-2025</t>
        </is>
      </c>
      <c r="B86" t="inlineStr">
        <is>
          <t>Friday</t>
        </is>
      </c>
      <c r="C86" t="inlineStr">
        <is>
          <t>Week1-Sep-2025</t>
        </is>
      </c>
      <c r="D86" s="78" t="n">
        <v>45901</v>
      </c>
      <c r="E86" t="inlineStr">
        <is>
          <t>Q2FY26</t>
        </is>
      </c>
      <c r="F86" t="inlineStr">
        <is>
          <t>28-Dec-2027</t>
        </is>
      </c>
      <c r="G86" t="inlineStr">
        <is>
          <t>Tuesday</t>
        </is>
      </c>
      <c r="H86" t="inlineStr">
        <is>
          <t>Monthly - Tuesday</t>
        </is>
      </c>
      <c r="I86" t="inlineStr">
        <is>
          <t>Monthly - Tuesday</t>
        </is>
      </c>
      <c r="J86" t="inlineStr">
        <is>
          <t>Month+27 Expiry</t>
        </is>
      </c>
      <c r="K86" s="25" t="n">
        <v>0</v>
      </c>
      <c r="L86" s="26" t="n">
        <v>0</v>
      </c>
      <c r="M86" s="26" t="n">
        <v>0</v>
      </c>
    </row>
    <row r="87" ht="16" customHeight="1">
      <c r="A87" t="inlineStr">
        <is>
          <t>05-Sep-2025</t>
        </is>
      </c>
      <c r="B87" t="inlineStr">
        <is>
          <t>Friday</t>
        </is>
      </c>
      <c r="C87" t="inlineStr">
        <is>
          <t>Week1-Sep-2025</t>
        </is>
      </c>
      <c r="D87" s="78" t="n">
        <v>45901</v>
      </c>
      <c r="E87" t="inlineStr">
        <is>
          <t>Q2FY26</t>
        </is>
      </c>
      <c r="F87" t="inlineStr">
        <is>
          <t>27-Jun-2028</t>
        </is>
      </c>
      <c r="G87" t="inlineStr">
        <is>
          <t>Tuesday</t>
        </is>
      </c>
      <c r="H87" t="inlineStr">
        <is>
          <t>Monthly - Tuesday</t>
        </is>
      </c>
      <c r="I87" t="inlineStr">
        <is>
          <t>Monthly - Tuesday</t>
        </is>
      </c>
      <c r="J87" t="inlineStr">
        <is>
          <t>Month+33 Expiry</t>
        </is>
      </c>
      <c r="K87" s="25" t="n">
        <v>0</v>
      </c>
      <c r="L87" s="26" t="n">
        <v>0</v>
      </c>
      <c r="M87" s="26" t="n">
        <v>0</v>
      </c>
    </row>
    <row r="88" ht="16" customHeight="1">
      <c r="A88" t="inlineStr">
        <is>
          <t>05-Sep-2025</t>
        </is>
      </c>
      <c r="B88" t="inlineStr">
        <is>
          <t>Friday</t>
        </is>
      </c>
      <c r="C88" t="inlineStr">
        <is>
          <t>Week1-Sep-2025</t>
        </is>
      </c>
      <c r="D88" s="78" t="n">
        <v>45901</v>
      </c>
      <c r="E88" t="inlineStr">
        <is>
          <t>Q2FY26</t>
        </is>
      </c>
      <c r="F88" t="inlineStr">
        <is>
          <t>26-Dec-2028</t>
        </is>
      </c>
      <c r="G88" t="inlineStr">
        <is>
          <t>Tuesday</t>
        </is>
      </c>
      <c r="H88" t="inlineStr">
        <is>
          <t>Monthly - Tuesday</t>
        </is>
      </c>
      <c r="I88" t="inlineStr">
        <is>
          <t>Monthly - Tuesday</t>
        </is>
      </c>
      <c r="J88" t="inlineStr">
        <is>
          <t>Month+39 Expiry</t>
        </is>
      </c>
      <c r="K88" s="25" t="n">
        <v>1</v>
      </c>
      <c r="L88" s="26" t="n">
        <v>0.002</v>
      </c>
      <c r="M88" s="26" t="n">
        <v>0.0001</v>
      </c>
    </row>
    <row r="89" ht="16" customHeight="1">
      <c r="A89" t="inlineStr">
        <is>
          <t>05-Sep-2025</t>
        </is>
      </c>
      <c r="B89" t="inlineStr">
        <is>
          <t>Friday</t>
        </is>
      </c>
      <c r="C89" t="inlineStr">
        <is>
          <t>Week1-Sep-2025</t>
        </is>
      </c>
      <c r="D89" s="78" t="n">
        <v>45901</v>
      </c>
      <c r="E89" t="inlineStr">
        <is>
          <t>Q2FY26</t>
        </is>
      </c>
      <c r="F89" t="inlineStr">
        <is>
          <t>26-Jun-2029</t>
        </is>
      </c>
      <c r="G89" t="inlineStr">
        <is>
          <t>Tuesday</t>
        </is>
      </c>
      <c r="H89" t="inlineStr">
        <is>
          <t>Monthly - Tuesday</t>
        </is>
      </c>
      <c r="I89" t="inlineStr">
        <is>
          <t>Monthly - Tuesday</t>
        </is>
      </c>
      <c r="J89" t="inlineStr">
        <is>
          <t>Month+45 Expiry</t>
        </is>
      </c>
      <c r="K89" s="25" t="n">
        <v>0</v>
      </c>
      <c r="L89" s="26" t="n">
        <v>0</v>
      </c>
      <c r="M89" s="26" t="n">
        <v>0</v>
      </c>
    </row>
    <row r="90" ht="16" customHeight="1">
      <c r="A90" t="inlineStr">
        <is>
          <t>05-Sep-2025</t>
        </is>
      </c>
      <c r="B90" t="inlineStr">
        <is>
          <t>Friday</t>
        </is>
      </c>
      <c r="C90" t="inlineStr">
        <is>
          <t>Week1-Sep-2025</t>
        </is>
      </c>
      <c r="D90" s="78" t="n">
        <v>45901</v>
      </c>
      <c r="E90" t="inlineStr">
        <is>
          <t>Q2FY26</t>
        </is>
      </c>
      <c r="F90" t="inlineStr">
        <is>
          <t>24-Dec-2029</t>
        </is>
      </c>
      <c r="G90" t="inlineStr">
        <is>
          <t>Monday</t>
        </is>
      </c>
      <c r="H90" t="inlineStr">
        <is>
          <t>Weekly - Monday</t>
        </is>
      </c>
      <c r="I90" t="inlineStr">
        <is>
          <t>Weekly - Monday</t>
        </is>
      </c>
      <c r="J90" t="inlineStr">
        <is>
          <t>Month+51 Expiry</t>
        </is>
      </c>
      <c r="K90" s="25" t="n">
        <v>4</v>
      </c>
      <c r="L90" s="26" t="n">
        <v>0.0071</v>
      </c>
      <c r="M90" s="26" t="n">
        <v>0.0002</v>
      </c>
    </row>
    <row r="91" ht="16" customHeight="1">
      <c r="A91" t="inlineStr">
        <is>
          <t>05-Sep-2025</t>
        </is>
      </c>
      <c r="B91" t="inlineStr">
        <is>
          <t>Friday</t>
        </is>
      </c>
      <c r="C91" t="inlineStr">
        <is>
          <t>Week1-Sep-2025</t>
        </is>
      </c>
      <c r="D91" s="78" t="n">
        <v>45901</v>
      </c>
      <c r="E91" t="inlineStr">
        <is>
          <t>Q2FY26</t>
        </is>
      </c>
      <c r="F91" t="inlineStr">
        <is>
          <t>25-Jun-2030</t>
        </is>
      </c>
      <c r="G91" t="inlineStr">
        <is>
          <t>Tuesday</t>
        </is>
      </c>
      <c r="H91" t="inlineStr">
        <is>
          <t>Monthly - Tuesday</t>
        </is>
      </c>
      <c r="I91" t="inlineStr">
        <is>
          <t>Monthly - Tuesday</t>
        </is>
      </c>
      <c r="J91" t="inlineStr">
        <is>
          <t>Month+57 Expiry</t>
        </is>
      </c>
      <c r="K91" s="25" t="n">
        <v>0</v>
      </c>
      <c r="L91" s="26" t="n">
        <v>0</v>
      </c>
      <c r="M91" s="26" t="n">
        <v>0</v>
      </c>
    </row>
    <row r="92" ht="16" customHeight="1">
      <c r="A92" t="inlineStr">
        <is>
          <t>08-Sep-2025</t>
        </is>
      </c>
      <c r="B92" t="inlineStr">
        <is>
          <t>Monday</t>
        </is>
      </c>
      <c r="C92" t="inlineStr">
        <is>
          <t>Week2-Sep-2025</t>
        </is>
      </c>
      <c r="D92" s="78" t="n">
        <v>45901</v>
      </c>
      <c r="E92" t="inlineStr">
        <is>
          <t>Q2FY26</t>
        </is>
      </c>
      <c r="F92" t="inlineStr">
        <is>
          <t>09-Sep-2025</t>
        </is>
      </c>
      <c r="G92" t="inlineStr">
        <is>
          <t>Tuesday</t>
        </is>
      </c>
      <c r="H92" t="inlineStr">
        <is>
          <t>Weekly - Tuesday</t>
        </is>
      </c>
      <c r="I92" t="inlineStr">
        <is>
          <t>Weekly - Tuesday</t>
        </is>
      </c>
      <c r="J92" t="inlineStr">
        <is>
          <t>Same Month Expiry</t>
        </is>
      </c>
      <c r="K92" s="25" t="n">
        <v>130935873</v>
      </c>
      <c r="L92" s="26" t="n">
        <v>244001.6976</v>
      </c>
      <c r="M92" s="26" t="n">
        <v>391.1065</v>
      </c>
    </row>
    <row r="93" ht="16" customHeight="1">
      <c r="A93" t="inlineStr">
        <is>
          <t>08-Sep-2025</t>
        </is>
      </c>
      <c r="B93" t="inlineStr">
        <is>
          <t>Monday</t>
        </is>
      </c>
      <c r="C93" t="inlineStr">
        <is>
          <t>Week2-Sep-2025</t>
        </is>
      </c>
      <c r="D93" s="78" t="n">
        <v>45901</v>
      </c>
      <c r="E93" t="inlineStr">
        <is>
          <t>Q2FY26</t>
        </is>
      </c>
      <c r="F93" t="inlineStr">
        <is>
          <t>16-Sep-2025</t>
        </is>
      </c>
      <c r="G93" t="inlineStr">
        <is>
          <t>Tuesday</t>
        </is>
      </c>
      <c r="H93" t="inlineStr">
        <is>
          <t>Weekly - Tuesday</t>
        </is>
      </c>
      <c r="I93" t="inlineStr">
        <is>
          <t>Weekly - Tuesday</t>
        </is>
      </c>
      <c r="J93" t="inlineStr">
        <is>
          <t>Same Month Expiry</t>
        </is>
      </c>
      <c r="K93" s="25" t="n">
        <v>4524032</v>
      </c>
      <c r="L93" s="26" t="n">
        <v>8435.097299999999</v>
      </c>
      <c r="M93" s="26" t="n">
        <v>23.1981</v>
      </c>
    </row>
    <row r="94" ht="16" customHeight="1">
      <c r="A94" t="inlineStr">
        <is>
          <t>08-Sep-2025</t>
        </is>
      </c>
      <c r="B94" t="inlineStr">
        <is>
          <t>Monday</t>
        </is>
      </c>
      <c r="C94" t="inlineStr">
        <is>
          <t>Week2-Sep-2025</t>
        </is>
      </c>
      <c r="D94" s="78" t="n">
        <v>45901</v>
      </c>
      <c r="E94" t="inlineStr">
        <is>
          <t>Q2FY26</t>
        </is>
      </c>
      <c r="F94" t="inlineStr">
        <is>
          <t>23-Sep-2025</t>
        </is>
      </c>
      <c r="G94" t="inlineStr">
        <is>
          <t>Tuesday</t>
        </is>
      </c>
      <c r="H94" t="inlineStr">
        <is>
          <t>Weekly - Tuesday</t>
        </is>
      </c>
      <c r="I94" t="inlineStr">
        <is>
          <t>Weekly - Tuesday</t>
        </is>
      </c>
      <c r="J94" t="inlineStr">
        <is>
          <t>Same Month Expiry</t>
        </is>
      </c>
      <c r="K94" s="25" t="n">
        <v>184275</v>
      </c>
      <c r="L94" s="26" t="n">
        <v>344.1577</v>
      </c>
      <c r="M94" s="26" t="n">
        <v>1.4291</v>
      </c>
    </row>
    <row r="95" ht="16" customHeight="1">
      <c r="A95" t="inlineStr">
        <is>
          <t>08-Sep-2025</t>
        </is>
      </c>
      <c r="B95" t="inlineStr">
        <is>
          <t>Monday</t>
        </is>
      </c>
      <c r="C95" t="inlineStr">
        <is>
          <t>Week2-Sep-2025</t>
        </is>
      </c>
      <c r="D95" s="78" t="n">
        <v>45901</v>
      </c>
      <c r="E95" t="inlineStr">
        <is>
          <t>Q2FY26</t>
        </is>
      </c>
      <c r="F95" t="inlineStr">
        <is>
          <t>30-Sep-2025</t>
        </is>
      </c>
      <c r="G95" t="inlineStr">
        <is>
          <t>Tuesday</t>
        </is>
      </c>
      <c r="H95" t="inlineStr">
        <is>
          <t>Monthly - Tuesday</t>
        </is>
      </c>
      <c r="I95" t="inlineStr">
        <is>
          <t>Monthly - Tuesday</t>
        </is>
      </c>
      <c r="J95" t="inlineStr">
        <is>
          <t>Same Month Expiry</t>
        </is>
      </c>
      <c r="K95" s="25" t="n">
        <v>1103535</v>
      </c>
      <c r="L95" s="26" t="n">
        <v>2062.9652</v>
      </c>
      <c r="M95" s="26" t="n">
        <v>11.8416</v>
      </c>
    </row>
    <row r="96" ht="16" customHeight="1">
      <c r="A96" t="inlineStr">
        <is>
          <t>08-Sep-2025</t>
        </is>
      </c>
      <c r="B96" t="inlineStr">
        <is>
          <t>Monday</t>
        </is>
      </c>
      <c r="C96" t="inlineStr">
        <is>
          <t>Week2-Sep-2025</t>
        </is>
      </c>
      <c r="D96" s="78" t="n">
        <v>45901</v>
      </c>
      <c r="E96" t="inlineStr">
        <is>
          <t>Q2FY26</t>
        </is>
      </c>
      <c r="F96" t="inlineStr">
        <is>
          <t>07-Oct-2025</t>
        </is>
      </c>
      <c r="G96" t="inlineStr">
        <is>
          <t>Tuesday</t>
        </is>
      </c>
      <c r="H96" t="inlineStr">
        <is>
          <t>Weekly - Tuesday</t>
        </is>
      </c>
      <c r="I96" t="inlineStr">
        <is>
          <t>Weekly - Tuesday</t>
        </is>
      </c>
      <c r="J96" t="inlineStr">
        <is>
          <t>Month+1 Expiry</t>
        </is>
      </c>
      <c r="K96" s="25" t="n">
        <v>5457</v>
      </c>
      <c r="L96" s="26" t="n">
        <v>10.3852</v>
      </c>
      <c r="M96" s="26" t="n">
        <v>0.0732</v>
      </c>
    </row>
    <row r="97" ht="16" customHeight="1">
      <c r="A97" t="inlineStr">
        <is>
          <t>08-Sep-2025</t>
        </is>
      </c>
      <c r="B97" t="inlineStr">
        <is>
          <t>Monday</t>
        </is>
      </c>
      <c r="C97" t="inlineStr">
        <is>
          <t>Week2-Sep-2025</t>
        </is>
      </c>
      <c r="D97" s="78" t="n">
        <v>45901</v>
      </c>
      <c r="E97" t="inlineStr">
        <is>
          <t>Q2FY26</t>
        </is>
      </c>
      <c r="F97" t="inlineStr">
        <is>
          <t>28-Oct-2025</t>
        </is>
      </c>
      <c r="G97" t="inlineStr">
        <is>
          <t>Tuesday</t>
        </is>
      </c>
      <c r="H97" t="inlineStr">
        <is>
          <t>Monthly - Tuesday</t>
        </is>
      </c>
      <c r="I97" t="inlineStr">
        <is>
          <t>Monthly - Tuesday</t>
        </is>
      </c>
      <c r="J97" t="inlineStr">
        <is>
          <t>Month+1 Expiry</t>
        </is>
      </c>
      <c r="K97" s="25" t="n">
        <v>133776</v>
      </c>
      <c r="L97" s="26" t="n">
        <v>249.7167</v>
      </c>
      <c r="M97" s="26" t="n">
        <v>1.5739</v>
      </c>
    </row>
    <row r="98" ht="16" customHeight="1">
      <c r="A98" t="inlineStr">
        <is>
          <t>08-Sep-2025</t>
        </is>
      </c>
      <c r="B98" t="inlineStr">
        <is>
          <t>Monday</t>
        </is>
      </c>
      <c r="C98" t="inlineStr">
        <is>
          <t>Week2-Sep-2025</t>
        </is>
      </c>
      <c r="D98" s="78" t="n">
        <v>45901</v>
      </c>
      <c r="E98" t="inlineStr">
        <is>
          <t>Q2FY26</t>
        </is>
      </c>
      <c r="F98" t="inlineStr">
        <is>
          <t>25-Nov-2025</t>
        </is>
      </c>
      <c r="G98" t="inlineStr">
        <is>
          <t>Tuesday</t>
        </is>
      </c>
      <c r="H98" t="inlineStr">
        <is>
          <t>Monthly - Tuesday</t>
        </is>
      </c>
      <c r="I98" t="inlineStr">
        <is>
          <t>Monthly - Tuesday</t>
        </is>
      </c>
      <c r="J98" t="inlineStr">
        <is>
          <t>Month+2 Expiry</t>
        </is>
      </c>
      <c r="K98" s="25" t="n">
        <v>23514</v>
      </c>
      <c r="L98" s="26" t="n">
        <v>43.851</v>
      </c>
      <c r="M98" s="26" t="n">
        <v>0.4018</v>
      </c>
    </row>
    <row r="99" ht="16" customHeight="1">
      <c r="A99" t="inlineStr">
        <is>
          <t>08-Sep-2025</t>
        </is>
      </c>
      <c r="B99" t="inlineStr">
        <is>
          <t>Monday</t>
        </is>
      </c>
      <c r="C99" t="inlineStr">
        <is>
          <t>Week2-Sep-2025</t>
        </is>
      </c>
      <c r="D99" s="78" t="n">
        <v>45901</v>
      </c>
      <c r="E99" t="inlineStr">
        <is>
          <t>Q2FY26</t>
        </is>
      </c>
      <c r="F99" t="inlineStr">
        <is>
          <t>30-Dec-2025</t>
        </is>
      </c>
      <c r="G99" t="inlineStr">
        <is>
          <t>Tuesday</t>
        </is>
      </c>
      <c r="H99" t="inlineStr">
        <is>
          <t>Monthly - Tuesday</t>
        </is>
      </c>
      <c r="I99" t="inlineStr">
        <is>
          <t>Monthly - Tuesday</t>
        </is>
      </c>
      <c r="J99" t="inlineStr">
        <is>
          <t>Month+3 Expiry</t>
        </is>
      </c>
      <c r="K99" s="25" t="n">
        <v>44818</v>
      </c>
      <c r="L99" s="26" t="n">
        <v>84.0307</v>
      </c>
      <c r="M99" s="26" t="n">
        <v>1.0965</v>
      </c>
    </row>
    <row r="100" ht="16" customHeight="1">
      <c r="A100" t="inlineStr">
        <is>
          <t>08-Sep-2025</t>
        </is>
      </c>
      <c r="B100" t="inlineStr">
        <is>
          <t>Monday</t>
        </is>
      </c>
      <c r="C100" t="inlineStr">
        <is>
          <t>Week2-Sep-2025</t>
        </is>
      </c>
      <c r="D100" s="78" t="n">
        <v>45901</v>
      </c>
      <c r="E100" t="inlineStr">
        <is>
          <t>Q2FY26</t>
        </is>
      </c>
      <c r="F100" t="inlineStr">
        <is>
          <t>31-Mar-2026</t>
        </is>
      </c>
      <c r="G100" t="inlineStr">
        <is>
          <t>Tuesday</t>
        </is>
      </c>
      <c r="H100" t="inlineStr">
        <is>
          <t>Monthly - Tuesday</t>
        </is>
      </c>
      <c r="I100" t="inlineStr">
        <is>
          <t>Monthly - Tuesday</t>
        </is>
      </c>
      <c r="J100" t="inlineStr">
        <is>
          <t>Month+6 Expiry</t>
        </is>
      </c>
      <c r="K100" s="25" t="n">
        <v>7598</v>
      </c>
      <c r="L100" s="26" t="n">
        <v>14.5856</v>
      </c>
      <c r="M100" s="26" t="n">
        <v>0.2487</v>
      </c>
    </row>
    <row r="101" ht="16" customHeight="1">
      <c r="A101" t="inlineStr">
        <is>
          <t>08-Sep-2025</t>
        </is>
      </c>
      <c r="B101" t="inlineStr">
        <is>
          <t>Monday</t>
        </is>
      </c>
      <c r="C101" t="inlineStr">
        <is>
          <t>Week2-Sep-2025</t>
        </is>
      </c>
      <c r="D101" s="78" t="n">
        <v>45901</v>
      </c>
      <c r="E101" t="inlineStr">
        <is>
          <t>Q2FY26</t>
        </is>
      </c>
      <c r="F101" t="inlineStr">
        <is>
          <t>30-Jun-2026</t>
        </is>
      </c>
      <c r="G101" t="inlineStr">
        <is>
          <t>Tuesday</t>
        </is>
      </c>
      <c r="H101" t="inlineStr">
        <is>
          <t>Monthly - Tuesday</t>
        </is>
      </c>
      <c r="I101" t="inlineStr">
        <is>
          <t>Monthly - Tuesday</t>
        </is>
      </c>
      <c r="J101" t="inlineStr">
        <is>
          <t>Month+9 Expiry</t>
        </is>
      </c>
      <c r="K101" s="25" t="n">
        <v>165</v>
      </c>
      <c r="L101" s="26" t="n">
        <v>0.3108</v>
      </c>
      <c r="M101" s="26" t="n">
        <v>0.0094</v>
      </c>
    </row>
    <row r="102" ht="16" customHeight="1">
      <c r="A102" t="inlineStr">
        <is>
          <t>08-Sep-2025</t>
        </is>
      </c>
      <c r="B102" t="inlineStr">
        <is>
          <t>Monday</t>
        </is>
      </c>
      <c r="C102" t="inlineStr">
        <is>
          <t>Week2-Sep-2025</t>
        </is>
      </c>
      <c r="D102" s="78" t="n">
        <v>45901</v>
      </c>
      <c r="E102" t="inlineStr">
        <is>
          <t>Q2FY26</t>
        </is>
      </c>
      <c r="F102" t="inlineStr">
        <is>
          <t>29-Dec-2026</t>
        </is>
      </c>
      <c r="G102" t="inlineStr">
        <is>
          <t>Tuesday</t>
        </is>
      </c>
      <c r="H102" t="inlineStr">
        <is>
          <t>Monthly - Tuesday</t>
        </is>
      </c>
      <c r="I102" t="inlineStr">
        <is>
          <t>Monthly - Tuesday</t>
        </is>
      </c>
      <c r="J102" t="inlineStr">
        <is>
          <t>Month+15 Expiry</t>
        </is>
      </c>
      <c r="K102" s="25" t="n">
        <v>692</v>
      </c>
      <c r="L102" s="26" t="n">
        <v>1.4104</v>
      </c>
      <c r="M102" s="26" t="n">
        <v>0.0494</v>
      </c>
    </row>
    <row r="103" ht="16" customHeight="1">
      <c r="A103" t="inlineStr">
        <is>
          <t>08-Sep-2025</t>
        </is>
      </c>
      <c r="B103" t="inlineStr">
        <is>
          <t>Monday</t>
        </is>
      </c>
      <c r="C103" t="inlineStr">
        <is>
          <t>Week2-Sep-2025</t>
        </is>
      </c>
      <c r="D103" s="78" t="n">
        <v>45901</v>
      </c>
      <c r="E103" t="inlineStr">
        <is>
          <t>Q2FY26</t>
        </is>
      </c>
      <c r="F103" t="inlineStr">
        <is>
          <t>29-Jun-2027</t>
        </is>
      </c>
      <c r="G103" t="inlineStr">
        <is>
          <t>Tuesday</t>
        </is>
      </c>
      <c r="H103" t="inlineStr">
        <is>
          <t>Monthly - Tuesday</t>
        </is>
      </c>
      <c r="I103" t="inlineStr">
        <is>
          <t>Monthly - Tuesday</t>
        </is>
      </c>
      <c r="J103" t="inlineStr">
        <is>
          <t>Month+21 Expiry</t>
        </is>
      </c>
      <c r="K103" s="25" t="n">
        <v>0</v>
      </c>
      <c r="L103" s="26" t="n">
        <v>0</v>
      </c>
      <c r="M103" s="26" t="n">
        <v>0</v>
      </c>
    </row>
    <row r="104" ht="16" customHeight="1">
      <c r="A104" t="inlineStr">
        <is>
          <t>08-Sep-2025</t>
        </is>
      </c>
      <c r="B104" t="inlineStr">
        <is>
          <t>Monday</t>
        </is>
      </c>
      <c r="C104" t="inlineStr">
        <is>
          <t>Week2-Sep-2025</t>
        </is>
      </c>
      <c r="D104" s="78" t="n">
        <v>45901</v>
      </c>
      <c r="E104" t="inlineStr">
        <is>
          <t>Q2FY26</t>
        </is>
      </c>
      <c r="F104" t="inlineStr">
        <is>
          <t>28-Dec-2027</t>
        </is>
      </c>
      <c r="G104" t="inlineStr">
        <is>
          <t>Tuesday</t>
        </is>
      </c>
      <c r="H104" t="inlineStr">
        <is>
          <t>Monthly - Tuesday</t>
        </is>
      </c>
      <c r="I104" t="inlineStr">
        <is>
          <t>Monthly - Tuesday</t>
        </is>
      </c>
      <c r="J104" t="inlineStr">
        <is>
          <t>Month+27 Expiry</t>
        </is>
      </c>
      <c r="K104" s="25" t="n">
        <v>18</v>
      </c>
      <c r="L104" s="26" t="n">
        <v>0.0341</v>
      </c>
      <c r="M104" s="26" t="n">
        <v>0.0012</v>
      </c>
    </row>
    <row r="105" ht="16" customHeight="1">
      <c r="A105" t="inlineStr">
        <is>
          <t>08-Sep-2025</t>
        </is>
      </c>
      <c r="B105" t="inlineStr">
        <is>
          <t>Monday</t>
        </is>
      </c>
      <c r="C105" t="inlineStr">
        <is>
          <t>Week2-Sep-2025</t>
        </is>
      </c>
      <c r="D105" s="78" t="n">
        <v>45901</v>
      </c>
      <c r="E105" t="inlineStr">
        <is>
          <t>Q2FY26</t>
        </is>
      </c>
      <c r="F105" t="inlineStr">
        <is>
          <t>27-Jun-2028</t>
        </is>
      </c>
      <c r="G105" t="inlineStr">
        <is>
          <t>Tuesday</t>
        </is>
      </c>
      <c r="H105" t="inlineStr">
        <is>
          <t>Monthly - Tuesday</t>
        </is>
      </c>
      <c r="I105" t="inlineStr">
        <is>
          <t>Monthly - Tuesday</t>
        </is>
      </c>
      <c r="J105" t="inlineStr">
        <is>
          <t>Month+33 Expiry</t>
        </is>
      </c>
      <c r="K105" s="25" t="n">
        <v>0</v>
      </c>
      <c r="L105" s="26" t="n">
        <v>0</v>
      </c>
      <c r="M105" s="26" t="n">
        <v>0</v>
      </c>
    </row>
    <row r="106" ht="16" customHeight="1">
      <c r="A106" t="inlineStr">
        <is>
          <t>08-Sep-2025</t>
        </is>
      </c>
      <c r="B106" t="inlineStr">
        <is>
          <t>Monday</t>
        </is>
      </c>
      <c r="C106" t="inlineStr">
        <is>
          <t>Week2-Sep-2025</t>
        </is>
      </c>
      <c r="D106" s="78" t="n">
        <v>45901</v>
      </c>
      <c r="E106" t="inlineStr">
        <is>
          <t>Q2FY26</t>
        </is>
      </c>
      <c r="F106" t="inlineStr">
        <is>
          <t>26-Dec-2028</t>
        </is>
      </c>
      <c r="G106" t="inlineStr">
        <is>
          <t>Tuesday</t>
        </is>
      </c>
      <c r="H106" t="inlineStr">
        <is>
          <t>Monthly - Tuesday</t>
        </is>
      </c>
      <c r="I106" t="inlineStr">
        <is>
          <t>Monthly - Tuesday</t>
        </is>
      </c>
      <c r="J106" t="inlineStr">
        <is>
          <t>Month+39 Expiry</t>
        </is>
      </c>
      <c r="K106" s="25" t="n">
        <v>0</v>
      </c>
      <c r="L106" s="26" t="n">
        <v>0</v>
      </c>
      <c r="M106" s="26" t="n">
        <v>0</v>
      </c>
    </row>
    <row r="107" ht="16" customHeight="1">
      <c r="A107" t="inlineStr">
        <is>
          <t>08-Sep-2025</t>
        </is>
      </c>
      <c r="B107" t="inlineStr">
        <is>
          <t>Monday</t>
        </is>
      </c>
      <c r="C107" t="inlineStr">
        <is>
          <t>Week2-Sep-2025</t>
        </is>
      </c>
      <c r="D107" s="78" t="n">
        <v>45901</v>
      </c>
      <c r="E107" t="inlineStr">
        <is>
          <t>Q2FY26</t>
        </is>
      </c>
      <c r="F107" t="inlineStr">
        <is>
          <t>26-Jun-2029</t>
        </is>
      </c>
      <c r="G107" t="inlineStr">
        <is>
          <t>Tuesday</t>
        </is>
      </c>
      <c r="H107" t="inlineStr">
        <is>
          <t>Monthly - Tuesday</t>
        </is>
      </c>
      <c r="I107" t="inlineStr">
        <is>
          <t>Monthly - Tuesday</t>
        </is>
      </c>
      <c r="J107" t="inlineStr">
        <is>
          <t>Month+45 Expiry</t>
        </is>
      </c>
      <c r="K107" s="25" t="n">
        <v>0</v>
      </c>
      <c r="L107" s="26" t="n">
        <v>0</v>
      </c>
      <c r="M107" s="26" t="n">
        <v>0</v>
      </c>
    </row>
    <row r="108" ht="16" customHeight="1">
      <c r="A108" t="inlineStr">
        <is>
          <t>08-Sep-2025</t>
        </is>
      </c>
      <c r="B108" t="inlineStr">
        <is>
          <t>Monday</t>
        </is>
      </c>
      <c r="C108" t="inlineStr">
        <is>
          <t>Week2-Sep-2025</t>
        </is>
      </c>
      <c r="D108" s="78" t="n">
        <v>45901</v>
      </c>
      <c r="E108" t="inlineStr">
        <is>
          <t>Q2FY26</t>
        </is>
      </c>
      <c r="F108" t="inlineStr">
        <is>
          <t>24-Dec-2029</t>
        </is>
      </c>
      <c r="G108" t="inlineStr">
        <is>
          <t>Monday</t>
        </is>
      </c>
      <c r="H108" t="inlineStr">
        <is>
          <t>Weekly - Monday</t>
        </is>
      </c>
      <c r="I108" t="inlineStr">
        <is>
          <t>Weekly - Monday</t>
        </is>
      </c>
      <c r="J108" t="inlineStr">
        <is>
          <t>Month+51 Expiry</t>
        </is>
      </c>
      <c r="K108" s="25" t="n">
        <v>0</v>
      </c>
      <c r="L108" s="26" t="n">
        <v>0</v>
      </c>
      <c r="M108" s="26" t="n">
        <v>0</v>
      </c>
    </row>
    <row r="109" ht="16" customHeight="1">
      <c r="A109" t="inlineStr">
        <is>
          <t>08-Sep-2025</t>
        </is>
      </c>
      <c r="B109" t="inlineStr">
        <is>
          <t>Monday</t>
        </is>
      </c>
      <c r="C109" t="inlineStr">
        <is>
          <t>Week2-Sep-2025</t>
        </is>
      </c>
      <c r="D109" s="78" t="n">
        <v>45901</v>
      </c>
      <c r="E109" t="inlineStr">
        <is>
          <t>Q2FY26</t>
        </is>
      </c>
      <c r="F109" t="inlineStr">
        <is>
          <t>25-Jun-2030</t>
        </is>
      </c>
      <c r="G109" t="inlineStr">
        <is>
          <t>Tuesday</t>
        </is>
      </c>
      <c r="H109" t="inlineStr">
        <is>
          <t>Monthly - Tuesday</t>
        </is>
      </c>
      <c r="I109" t="inlineStr">
        <is>
          <t>Monthly - Tuesday</t>
        </is>
      </c>
      <c r="J109" t="inlineStr">
        <is>
          <t>Month+57 Expiry</t>
        </is>
      </c>
      <c r="K109" s="25" t="n">
        <v>0</v>
      </c>
      <c r="L109" s="26" t="n">
        <v>0</v>
      </c>
      <c r="M109" s="26" t="n">
        <v>0</v>
      </c>
    </row>
    <row r="110" ht="16" customHeight="1">
      <c r="A110" t="inlineStr">
        <is>
          <t>09-Sep-2025</t>
        </is>
      </c>
      <c r="B110" t="inlineStr">
        <is>
          <t>Tuesday</t>
        </is>
      </c>
      <c r="C110" t="inlineStr">
        <is>
          <t>Week2-Sep-2025</t>
        </is>
      </c>
      <c r="D110" s="78" t="n">
        <v>45901</v>
      </c>
      <c r="E110" t="inlineStr">
        <is>
          <t>Q2FY26</t>
        </is>
      </c>
      <c r="F110" t="inlineStr">
        <is>
          <t>09-Sep-2025</t>
        </is>
      </c>
      <c r="G110" t="inlineStr">
        <is>
          <t>Tuesday</t>
        </is>
      </c>
      <c r="H110" t="inlineStr">
        <is>
          <t>Weekly - Tuesday</t>
        </is>
      </c>
      <c r="I110" t="inlineStr">
        <is>
          <t>Weekly - Tuesday</t>
        </is>
      </c>
      <c r="J110" t="inlineStr">
        <is>
          <t>Same Month Expiry</t>
        </is>
      </c>
      <c r="K110" s="25" t="n">
        <v>261389801</v>
      </c>
      <c r="L110" s="26" t="n">
        <v>487267.6262</v>
      </c>
      <c r="M110" s="26" t="n">
        <v>434.032</v>
      </c>
    </row>
    <row r="111" ht="16" customHeight="1">
      <c r="A111" t="inlineStr">
        <is>
          <t>09-Sep-2025</t>
        </is>
      </c>
      <c r="B111" t="inlineStr">
        <is>
          <t>Tuesday</t>
        </is>
      </c>
      <c r="C111" t="inlineStr">
        <is>
          <t>Week2-Sep-2025</t>
        </is>
      </c>
      <c r="D111" s="78" t="n">
        <v>45901</v>
      </c>
      <c r="E111" t="inlineStr">
        <is>
          <t>Q2FY26</t>
        </is>
      </c>
      <c r="F111" t="inlineStr">
        <is>
          <t>16-Sep-2025</t>
        </is>
      </c>
      <c r="G111" t="inlineStr">
        <is>
          <t>Tuesday</t>
        </is>
      </c>
      <c r="H111" t="inlineStr">
        <is>
          <t>Weekly - Tuesday</t>
        </is>
      </c>
      <c r="I111" t="inlineStr">
        <is>
          <t>Weekly - Tuesday</t>
        </is>
      </c>
      <c r="J111" t="inlineStr">
        <is>
          <t>Same Month Expiry</t>
        </is>
      </c>
      <c r="K111" s="25" t="n">
        <v>7566681</v>
      </c>
      <c r="L111" s="26" t="n">
        <v>14145.8471</v>
      </c>
      <c r="M111" s="26" t="n">
        <v>40.4273</v>
      </c>
    </row>
    <row r="112" ht="16" customHeight="1">
      <c r="A112" t="inlineStr">
        <is>
          <t>09-Sep-2025</t>
        </is>
      </c>
      <c r="B112" t="inlineStr">
        <is>
          <t>Tuesday</t>
        </is>
      </c>
      <c r="C112" t="inlineStr">
        <is>
          <t>Week2-Sep-2025</t>
        </is>
      </c>
      <c r="D112" s="78" t="n">
        <v>45901</v>
      </c>
      <c r="E112" t="inlineStr">
        <is>
          <t>Q2FY26</t>
        </is>
      </c>
      <c r="F112" t="inlineStr">
        <is>
          <t>23-Sep-2025</t>
        </is>
      </c>
      <c r="G112" t="inlineStr">
        <is>
          <t>Tuesday</t>
        </is>
      </c>
      <c r="H112" t="inlineStr">
        <is>
          <t>Weekly - Tuesday</t>
        </is>
      </c>
      <c r="I112" t="inlineStr">
        <is>
          <t>Weekly - Tuesday</t>
        </is>
      </c>
      <c r="J112" t="inlineStr">
        <is>
          <t>Same Month Expiry</t>
        </is>
      </c>
      <c r="K112" s="25" t="n">
        <v>217221</v>
      </c>
      <c r="L112" s="26" t="n">
        <v>406.5249</v>
      </c>
      <c r="M112" s="26" t="n">
        <v>1.67</v>
      </c>
    </row>
    <row r="113" ht="16" customHeight="1">
      <c r="A113" t="inlineStr">
        <is>
          <t>09-Sep-2025</t>
        </is>
      </c>
      <c r="B113" t="inlineStr">
        <is>
          <t>Tuesday</t>
        </is>
      </c>
      <c r="C113" t="inlineStr">
        <is>
          <t>Week2-Sep-2025</t>
        </is>
      </c>
      <c r="D113" s="78" t="n">
        <v>45901</v>
      </c>
      <c r="E113" t="inlineStr">
        <is>
          <t>Q2FY26</t>
        </is>
      </c>
      <c r="F113" t="inlineStr">
        <is>
          <t>30-Sep-2025</t>
        </is>
      </c>
      <c r="G113" t="inlineStr">
        <is>
          <t>Tuesday</t>
        </is>
      </c>
      <c r="H113" t="inlineStr">
        <is>
          <t>Monthly - Tuesday</t>
        </is>
      </c>
      <c r="I113" t="inlineStr">
        <is>
          <t>Monthly - Tuesday</t>
        </is>
      </c>
      <c r="J113" t="inlineStr">
        <is>
          <t>Same Month Expiry</t>
        </is>
      </c>
      <c r="K113" s="25" t="n">
        <v>803333</v>
      </c>
      <c r="L113" s="26" t="n">
        <v>1502.6478</v>
      </c>
      <c r="M113" s="26" t="n">
        <v>8.6723</v>
      </c>
    </row>
    <row r="114" ht="16" customHeight="1">
      <c r="A114" t="inlineStr">
        <is>
          <t>09-Sep-2025</t>
        </is>
      </c>
      <c r="B114" t="inlineStr">
        <is>
          <t>Tuesday</t>
        </is>
      </c>
      <c r="C114" t="inlineStr">
        <is>
          <t>Week2-Sep-2025</t>
        </is>
      </c>
      <c r="D114" s="78" t="n">
        <v>45901</v>
      </c>
      <c r="E114" t="inlineStr">
        <is>
          <t>Q2FY26</t>
        </is>
      </c>
      <c r="F114" t="inlineStr">
        <is>
          <t>07-Oct-2025</t>
        </is>
      </c>
      <c r="G114" t="inlineStr">
        <is>
          <t>Tuesday</t>
        </is>
      </c>
      <c r="H114" t="inlineStr">
        <is>
          <t>Weekly - Tuesday</t>
        </is>
      </c>
      <c r="I114" t="inlineStr">
        <is>
          <t>Weekly - Tuesday</t>
        </is>
      </c>
      <c r="J114" t="inlineStr">
        <is>
          <t>Month+1 Expiry</t>
        </is>
      </c>
      <c r="K114" s="25" t="n">
        <v>3236</v>
      </c>
      <c r="L114" s="26" t="n">
        <v>6.1074</v>
      </c>
      <c r="M114" s="26" t="n">
        <v>0.0404</v>
      </c>
    </row>
    <row r="115" ht="16" customHeight="1">
      <c r="A115" t="inlineStr">
        <is>
          <t>09-Sep-2025</t>
        </is>
      </c>
      <c r="B115" t="inlineStr">
        <is>
          <t>Tuesday</t>
        </is>
      </c>
      <c r="C115" t="inlineStr">
        <is>
          <t>Week2-Sep-2025</t>
        </is>
      </c>
      <c r="D115" s="78" t="n">
        <v>45901</v>
      </c>
      <c r="E115" t="inlineStr">
        <is>
          <t>Q2FY26</t>
        </is>
      </c>
      <c r="F115" t="inlineStr">
        <is>
          <t>28-Oct-2025</t>
        </is>
      </c>
      <c r="G115" t="inlineStr">
        <is>
          <t>Tuesday</t>
        </is>
      </c>
      <c r="H115" t="inlineStr">
        <is>
          <t>Monthly - Tuesday</t>
        </is>
      </c>
      <c r="I115" t="inlineStr">
        <is>
          <t>Monthly - Tuesday</t>
        </is>
      </c>
      <c r="J115" t="inlineStr">
        <is>
          <t>Month+1 Expiry</t>
        </is>
      </c>
      <c r="K115" s="25" t="n">
        <v>103493</v>
      </c>
      <c r="L115" s="26" t="n">
        <v>195.5999</v>
      </c>
      <c r="M115" s="26" t="n">
        <v>1.1782</v>
      </c>
    </row>
    <row r="116" ht="16" customHeight="1">
      <c r="A116" t="inlineStr">
        <is>
          <t>09-Sep-2025</t>
        </is>
      </c>
      <c r="B116" t="inlineStr">
        <is>
          <t>Tuesday</t>
        </is>
      </c>
      <c r="C116" t="inlineStr">
        <is>
          <t>Week2-Sep-2025</t>
        </is>
      </c>
      <c r="D116" s="78" t="n">
        <v>45901</v>
      </c>
      <c r="E116" t="inlineStr">
        <is>
          <t>Q2FY26</t>
        </is>
      </c>
      <c r="F116" t="inlineStr">
        <is>
          <t>25-Nov-2025</t>
        </is>
      </c>
      <c r="G116" t="inlineStr">
        <is>
          <t>Tuesday</t>
        </is>
      </c>
      <c r="H116" t="inlineStr">
        <is>
          <t>Monthly - Tuesday</t>
        </is>
      </c>
      <c r="I116" t="inlineStr">
        <is>
          <t>Monthly - Tuesday</t>
        </is>
      </c>
      <c r="J116" t="inlineStr">
        <is>
          <t>Month+2 Expiry</t>
        </is>
      </c>
      <c r="K116" s="25" t="n">
        <v>18191</v>
      </c>
      <c r="L116" s="26" t="n">
        <v>33.7036</v>
      </c>
      <c r="M116" s="26" t="n">
        <v>0.2526</v>
      </c>
    </row>
    <row r="117" ht="16" customHeight="1">
      <c r="A117" t="inlineStr">
        <is>
          <t>09-Sep-2025</t>
        </is>
      </c>
      <c r="B117" t="inlineStr">
        <is>
          <t>Tuesday</t>
        </is>
      </c>
      <c r="C117" t="inlineStr">
        <is>
          <t>Week2-Sep-2025</t>
        </is>
      </c>
      <c r="D117" s="78" t="n">
        <v>45901</v>
      </c>
      <c r="E117" t="inlineStr">
        <is>
          <t>Q2FY26</t>
        </is>
      </c>
      <c r="F117" t="inlineStr">
        <is>
          <t>30-Dec-2025</t>
        </is>
      </c>
      <c r="G117" t="inlineStr">
        <is>
          <t>Tuesday</t>
        </is>
      </c>
      <c r="H117" t="inlineStr">
        <is>
          <t>Monthly - Tuesday</t>
        </is>
      </c>
      <c r="I117" t="inlineStr">
        <is>
          <t>Monthly - Tuesday</t>
        </is>
      </c>
      <c r="J117" t="inlineStr">
        <is>
          <t>Month+3 Expiry</t>
        </is>
      </c>
      <c r="K117" s="25" t="n">
        <v>34213</v>
      </c>
      <c r="L117" s="26" t="n">
        <v>63.8754</v>
      </c>
      <c r="M117" s="26" t="n">
        <v>0.9835</v>
      </c>
    </row>
    <row r="118" ht="16" customHeight="1">
      <c r="A118" t="inlineStr">
        <is>
          <t>09-Sep-2025</t>
        </is>
      </c>
      <c r="B118" t="inlineStr">
        <is>
          <t>Tuesday</t>
        </is>
      </c>
      <c r="C118" t="inlineStr">
        <is>
          <t>Week2-Sep-2025</t>
        </is>
      </c>
      <c r="D118" s="78" t="n">
        <v>45901</v>
      </c>
      <c r="E118" t="inlineStr">
        <is>
          <t>Q2FY26</t>
        </is>
      </c>
      <c r="F118" t="inlineStr">
        <is>
          <t>31-Mar-2026</t>
        </is>
      </c>
      <c r="G118" t="inlineStr">
        <is>
          <t>Tuesday</t>
        </is>
      </c>
      <c r="H118" t="inlineStr">
        <is>
          <t>Monthly - Tuesday</t>
        </is>
      </c>
      <c r="I118" t="inlineStr">
        <is>
          <t>Monthly - Tuesday</t>
        </is>
      </c>
      <c r="J118" t="inlineStr">
        <is>
          <t>Month+6 Expiry</t>
        </is>
      </c>
      <c r="K118" s="25" t="n">
        <v>6404</v>
      </c>
      <c r="L118" s="26" t="n">
        <v>12.3033</v>
      </c>
      <c r="M118" s="26" t="n">
        <v>0.2099</v>
      </c>
    </row>
    <row r="119" ht="16" customHeight="1">
      <c r="A119" t="inlineStr">
        <is>
          <t>09-Sep-2025</t>
        </is>
      </c>
      <c r="B119" t="inlineStr">
        <is>
          <t>Tuesday</t>
        </is>
      </c>
      <c r="C119" t="inlineStr">
        <is>
          <t>Week2-Sep-2025</t>
        </is>
      </c>
      <c r="D119" s="78" t="n">
        <v>45901</v>
      </c>
      <c r="E119" t="inlineStr">
        <is>
          <t>Q2FY26</t>
        </is>
      </c>
      <c r="F119" t="inlineStr">
        <is>
          <t>30-Jun-2026</t>
        </is>
      </c>
      <c r="G119" t="inlineStr">
        <is>
          <t>Tuesday</t>
        </is>
      </c>
      <c r="H119" t="inlineStr">
        <is>
          <t>Monthly - Tuesday</t>
        </is>
      </c>
      <c r="I119" t="inlineStr">
        <is>
          <t>Monthly - Tuesday</t>
        </is>
      </c>
      <c r="J119" t="inlineStr">
        <is>
          <t>Month+9 Expiry</t>
        </is>
      </c>
      <c r="K119" s="25" t="n">
        <v>60</v>
      </c>
      <c r="L119" s="26" t="n">
        <v>0.1168</v>
      </c>
      <c r="M119" s="26" t="n">
        <v>0.0038</v>
      </c>
    </row>
    <row r="120" ht="16" customHeight="1">
      <c r="A120" t="inlineStr">
        <is>
          <t>09-Sep-2025</t>
        </is>
      </c>
      <c r="B120" t="inlineStr">
        <is>
          <t>Tuesday</t>
        </is>
      </c>
      <c r="C120" t="inlineStr">
        <is>
          <t>Week2-Sep-2025</t>
        </is>
      </c>
      <c r="D120" s="78" t="n">
        <v>45901</v>
      </c>
      <c r="E120" t="inlineStr">
        <is>
          <t>Q2FY26</t>
        </is>
      </c>
      <c r="F120" t="inlineStr">
        <is>
          <t>29-Dec-2026</t>
        </is>
      </c>
      <c r="G120" t="inlineStr">
        <is>
          <t>Tuesday</t>
        </is>
      </c>
      <c r="H120" t="inlineStr">
        <is>
          <t>Monthly - Tuesday</t>
        </is>
      </c>
      <c r="I120" t="inlineStr">
        <is>
          <t>Monthly - Tuesday</t>
        </is>
      </c>
      <c r="J120" t="inlineStr">
        <is>
          <t>Month+15 Expiry</t>
        </is>
      </c>
      <c r="K120" s="25" t="n">
        <v>424</v>
      </c>
      <c r="L120" s="26" t="n">
        <v>0.8598</v>
      </c>
      <c r="M120" s="26" t="n">
        <v>0.0305</v>
      </c>
    </row>
    <row r="121" ht="16" customHeight="1">
      <c r="A121" t="inlineStr">
        <is>
          <t>09-Sep-2025</t>
        </is>
      </c>
      <c r="B121" t="inlineStr">
        <is>
          <t>Tuesday</t>
        </is>
      </c>
      <c r="C121" t="inlineStr">
        <is>
          <t>Week2-Sep-2025</t>
        </is>
      </c>
      <c r="D121" s="78" t="n">
        <v>45901</v>
      </c>
      <c r="E121" t="inlineStr">
        <is>
          <t>Q2FY26</t>
        </is>
      </c>
      <c r="F121" t="inlineStr">
        <is>
          <t>29-Jun-2027</t>
        </is>
      </c>
      <c r="G121" t="inlineStr">
        <is>
          <t>Tuesday</t>
        </is>
      </c>
      <c r="H121" t="inlineStr">
        <is>
          <t>Monthly - Tuesday</t>
        </is>
      </c>
      <c r="I121" t="inlineStr">
        <is>
          <t>Monthly - Tuesday</t>
        </is>
      </c>
      <c r="J121" t="inlineStr">
        <is>
          <t>Month+21 Expiry</t>
        </is>
      </c>
      <c r="K121" s="25" t="n">
        <v>0</v>
      </c>
      <c r="L121" s="26" t="n">
        <v>0</v>
      </c>
      <c r="M121" s="26" t="n">
        <v>0</v>
      </c>
    </row>
    <row r="122" ht="16" customHeight="1">
      <c r="A122" t="inlineStr">
        <is>
          <t>09-Sep-2025</t>
        </is>
      </c>
      <c r="B122" t="inlineStr">
        <is>
          <t>Tuesday</t>
        </is>
      </c>
      <c r="C122" t="inlineStr">
        <is>
          <t>Week2-Sep-2025</t>
        </is>
      </c>
      <c r="D122" s="78" t="n">
        <v>45901</v>
      </c>
      <c r="E122" t="inlineStr">
        <is>
          <t>Q2FY26</t>
        </is>
      </c>
      <c r="F122" t="inlineStr">
        <is>
          <t>28-Dec-2027</t>
        </is>
      </c>
      <c r="G122" t="inlineStr">
        <is>
          <t>Tuesday</t>
        </is>
      </c>
      <c r="H122" t="inlineStr">
        <is>
          <t>Monthly - Tuesday</t>
        </is>
      </c>
      <c r="I122" t="inlineStr">
        <is>
          <t>Monthly - Tuesday</t>
        </is>
      </c>
      <c r="J122" t="inlineStr">
        <is>
          <t>Month+27 Expiry</t>
        </is>
      </c>
      <c r="K122" s="25" t="n">
        <v>3</v>
      </c>
      <c r="L122" s="26" t="n">
        <v>0.0056</v>
      </c>
      <c r="M122" s="26" t="n">
        <v>0.0002</v>
      </c>
    </row>
    <row r="123" ht="16" customHeight="1">
      <c r="A123" t="inlineStr">
        <is>
          <t>09-Sep-2025</t>
        </is>
      </c>
      <c r="B123" t="inlineStr">
        <is>
          <t>Tuesday</t>
        </is>
      </c>
      <c r="C123" t="inlineStr">
        <is>
          <t>Week2-Sep-2025</t>
        </is>
      </c>
      <c r="D123" s="78" t="n">
        <v>45901</v>
      </c>
      <c r="E123" t="inlineStr">
        <is>
          <t>Q2FY26</t>
        </is>
      </c>
      <c r="F123" t="inlineStr">
        <is>
          <t>27-Jun-2028</t>
        </is>
      </c>
      <c r="G123" t="inlineStr">
        <is>
          <t>Tuesday</t>
        </is>
      </c>
      <c r="H123" t="inlineStr">
        <is>
          <t>Monthly - Tuesday</t>
        </is>
      </c>
      <c r="I123" t="inlineStr">
        <is>
          <t>Monthly - Tuesday</t>
        </is>
      </c>
      <c r="J123" t="inlineStr">
        <is>
          <t>Month+33 Expiry</t>
        </is>
      </c>
      <c r="K123" s="25" t="n">
        <v>0</v>
      </c>
      <c r="L123" s="26" t="n">
        <v>0</v>
      </c>
      <c r="M123" s="26" t="n">
        <v>0</v>
      </c>
    </row>
    <row r="124" ht="16" customHeight="1">
      <c r="A124" t="inlineStr">
        <is>
          <t>09-Sep-2025</t>
        </is>
      </c>
      <c r="B124" t="inlineStr">
        <is>
          <t>Tuesday</t>
        </is>
      </c>
      <c r="C124" t="inlineStr">
        <is>
          <t>Week2-Sep-2025</t>
        </is>
      </c>
      <c r="D124" s="78" t="n">
        <v>45901</v>
      </c>
      <c r="E124" t="inlineStr">
        <is>
          <t>Q2FY26</t>
        </is>
      </c>
      <c r="F124" t="inlineStr">
        <is>
          <t>26-Dec-2028</t>
        </is>
      </c>
      <c r="G124" t="inlineStr">
        <is>
          <t>Tuesday</t>
        </is>
      </c>
      <c r="H124" t="inlineStr">
        <is>
          <t>Monthly - Tuesday</t>
        </is>
      </c>
      <c r="I124" t="inlineStr">
        <is>
          <t>Monthly - Tuesday</t>
        </is>
      </c>
      <c r="J124" t="inlineStr">
        <is>
          <t>Month+39 Expiry</t>
        </is>
      </c>
      <c r="K124" s="25" t="n">
        <v>0</v>
      </c>
      <c r="L124" s="26" t="n">
        <v>0</v>
      </c>
      <c r="M124" s="26" t="n">
        <v>0</v>
      </c>
    </row>
    <row r="125" ht="16" customHeight="1">
      <c r="A125" t="inlineStr">
        <is>
          <t>09-Sep-2025</t>
        </is>
      </c>
      <c r="B125" t="inlineStr">
        <is>
          <t>Tuesday</t>
        </is>
      </c>
      <c r="C125" t="inlineStr">
        <is>
          <t>Week2-Sep-2025</t>
        </is>
      </c>
      <c r="D125" s="78" t="n">
        <v>45901</v>
      </c>
      <c r="E125" t="inlineStr">
        <is>
          <t>Q2FY26</t>
        </is>
      </c>
      <c r="F125" t="inlineStr">
        <is>
          <t>26-Jun-2029</t>
        </is>
      </c>
      <c r="G125" t="inlineStr">
        <is>
          <t>Tuesday</t>
        </is>
      </c>
      <c r="H125" t="inlineStr">
        <is>
          <t>Monthly - Tuesday</t>
        </is>
      </c>
      <c r="I125" t="inlineStr">
        <is>
          <t>Monthly - Tuesday</t>
        </is>
      </c>
      <c r="J125" t="inlineStr">
        <is>
          <t>Month+45 Expiry</t>
        </is>
      </c>
      <c r="K125" s="25" t="n">
        <v>0</v>
      </c>
      <c r="L125" s="26" t="n">
        <v>0</v>
      </c>
      <c r="M125" s="26" t="n">
        <v>0</v>
      </c>
    </row>
    <row r="126" ht="16" customHeight="1">
      <c r="A126" t="inlineStr">
        <is>
          <t>09-Sep-2025</t>
        </is>
      </c>
      <c r="B126" t="inlineStr">
        <is>
          <t>Tuesday</t>
        </is>
      </c>
      <c r="C126" t="inlineStr">
        <is>
          <t>Week2-Sep-2025</t>
        </is>
      </c>
      <c r="D126" s="78" t="n">
        <v>45901</v>
      </c>
      <c r="E126" t="inlineStr">
        <is>
          <t>Q2FY26</t>
        </is>
      </c>
      <c r="F126" t="inlineStr">
        <is>
          <t>24-Dec-2029</t>
        </is>
      </c>
      <c r="G126" t="inlineStr">
        <is>
          <t>Monday</t>
        </is>
      </c>
      <c r="H126" t="inlineStr">
        <is>
          <t>Weekly - Monday</t>
        </is>
      </c>
      <c r="I126" t="inlineStr">
        <is>
          <t>Weekly - Monday</t>
        </is>
      </c>
      <c r="J126" t="inlineStr">
        <is>
          <t>Month+51 Expiry</t>
        </is>
      </c>
      <c r="K126" s="25" t="n">
        <v>0</v>
      </c>
      <c r="L126" s="26" t="n">
        <v>0</v>
      </c>
      <c r="M126" s="26" t="n">
        <v>0</v>
      </c>
    </row>
    <row r="127" ht="16" customHeight="1">
      <c r="A127" t="inlineStr">
        <is>
          <t>09-Sep-2025</t>
        </is>
      </c>
      <c r="B127" t="inlineStr">
        <is>
          <t>Tuesday</t>
        </is>
      </c>
      <c r="C127" t="inlineStr">
        <is>
          <t>Week2-Sep-2025</t>
        </is>
      </c>
      <c r="D127" s="78" t="n">
        <v>45901</v>
      </c>
      <c r="E127" t="inlineStr">
        <is>
          <t>Q2FY26</t>
        </is>
      </c>
      <c r="F127" t="inlineStr">
        <is>
          <t>25-Jun-2030</t>
        </is>
      </c>
      <c r="G127" t="inlineStr">
        <is>
          <t>Tuesday</t>
        </is>
      </c>
      <c r="H127" t="inlineStr">
        <is>
          <t>Monthly - Tuesday</t>
        </is>
      </c>
      <c r="I127" t="inlineStr">
        <is>
          <t>Monthly - Tuesday</t>
        </is>
      </c>
      <c r="J127" t="inlineStr">
        <is>
          <t>Month+57 Expiry</t>
        </is>
      </c>
      <c r="K127" s="25" t="n">
        <v>0</v>
      </c>
      <c r="L127" s="26" t="n">
        <v>0</v>
      </c>
      <c r="M127" s="26" t="n">
        <v>0</v>
      </c>
    </row>
    <row r="128" ht="16" customHeight="1">
      <c r="A128" t="inlineStr">
        <is>
          <t>10-Sep-2025</t>
        </is>
      </c>
      <c r="B128" t="inlineStr">
        <is>
          <t>Wednesday</t>
        </is>
      </c>
      <c r="C128" t="inlineStr">
        <is>
          <t>Week2-Sep-2025</t>
        </is>
      </c>
      <c r="D128" s="78" t="n">
        <v>45901</v>
      </c>
      <c r="E128" t="inlineStr">
        <is>
          <t>Q2FY26</t>
        </is>
      </c>
      <c r="F128" t="inlineStr">
        <is>
          <t>16-Sep-2025</t>
        </is>
      </c>
      <c r="G128" t="inlineStr">
        <is>
          <t>Tuesday</t>
        </is>
      </c>
      <c r="H128" t="inlineStr">
        <is>
          <t>Weekly - Tuesday</t>
        </is>
      </c>
      <c r="I128" t="inlineStr">
        <is>
          <t>Weekly - Tuesday</t>
        </is>
      </c>
      <c r="J128" t="inlineStr">
        <is>
          <t>Same Month Expiry</t>
        </is>
      </c>
      <c r="K128" s="25" t="n">
        <v>48764604</v>
      </c>
      <c r="L128" s="26" t="n">
        <v>91660.7123</v>
      </c>
      <c r="M128" s="26" t="n">
        <v>258.1875</v>
      </c>
    </row>
    <row r="129" ht="16" customHeight="1">
      <c r="A129" t="inlineStr">
        <is>
          <t>10-Sep-2025</t>
        </is>
      </c>
      <c r="B129" t="inlineStr">
        <is>
          <t>Wednesday</t>
        </is>
      </c>
      <c r="C129" t="inlineStr">
        <is>
          <t>Week2-Sep-2025</t>
        </is>
      </c>
      <c r="D129" s="78" t="n">
        <v>45901</v>
      </c>
      <c r="E129" t="inlineStr">
        <is>
          <t>Q2FY26</t>
        </is>
      </c>
      <c r="F129" t="inlineStr">
        <is>
          <t>23-Sep-2025</t>
        </is>
      </c>
      <c r="G129" t="inlineStr">
        <is>
          <t>Tuesday</t>
        </is>
      </c>
      <c r="H129" t="inlineStr">
        <is>
          <t>Weekly - Tuesday</t>
        </is>
      </c>
      <c r="I129" t="inlineStr">
        <is>
          <t>Weekly - Tuesday</t>
        </is>
      </c>
      <c r="J129" t="inlineStr">
        <is>
          <t>Same Month Expiry</t>
        </is>
      </c>
      <c r="K129" s="25" t="n">
        <v>860660</v>
      </c>
      <c r="L129" s="26" t="n">
        <v>1617.6422</v>
      </c>
      <c r="M129" s="26" t="n">
        <v>5.9519</v>
      </c>
    </row>
    <row r="130" ht="16" customHeight="1">
      <c r="A130" t="inlineStr">
        <is>
          <t>10-Sep-2025</t>
        </is>
      </c>
      <c r="B130" t="inlineStr">
        <is>
          <t>Wednesday</t>
        </is>
      </c>
      <c r="C130" t="inlineStr">
        <is>
          <t>Week2-Sep-2025</t>
        </is>
      </c>
      <c r="D130" s="78" t="n">
        <v>45901</v>
      </c>
      <c r="E130" t="inlineStr">
        <is>
          <t>Q2FY26</t>
        </is>
      </c>
      <c r="F130" t="inlineStr">
        <is>
          <t>30-Sep-2025</t>
        </is>
      </c>
      <c r="G130" t="inlineStr">
        <is>
          <t>Tuesday</t>
        </is>
      </c>
      <c r="H130" t="inlineStr">
        <is>
          <t>Monthly - Tuesday</t>
        </is>
      </c>
      <c r="I130" t="inlineStr">
        <is>
          <t>Monthly - Tuesday</t>
        </is>
      </c>
      <c r="J130" t="inlineStr">
        <is>
          <t>Same Month Expiry</t>
        </is>
      </c>
      <c r="K130" s="25" t="n">
        <v>1405153</v>
      </c>
      <c r="L130" s="26" t="n">
        <v>2635.6644</v>
      </c>
      <c r="M130" s="26" t="n">
        <v>14.1882</v>
      </c>
    </row>
    <row r="131" ht="16" customHeight="1">
      <c r="A131" t="inlineStr">
        <is>
          <t>10-Sep-2025</t>
        </is>
      </c>
      <c r="B131" t="inlineStr">
        <is>
          <t>Wednesday</t>
        </is>
      </c>
      <c r="C131" t="inlineStr">
        <is>
          <t>Week2-Sep-2025</t>
        </is>
      </c>
      <c r="D131" s="78" t="n">
        <v>45901</v>
      </c>
      <c r="E131" t="inlineStr">
        <is>
          <t>Q2FY26</t>
        </is>
      </c>
      <c r="F131" t="inlineStr">
        <is>
          <t>07-Oct-2025</t>
        </is>
      </c>
      <c r="G131" t="inlineStr">
        <is>
          <t>Tuesday</t>
        </is>
      </c>
      <c r="H131" t="inlineStr">
        <is>
          <t>Weekly - Tuesday</t>
        </is>
      </c>
      <c r="I131" t="inlineStr">
        <is>
          <t>Weekly - Tuesday</t>
        </is>
      </c>
      <c r="J131" t="inlineStr">
        <is>
          <t>Month+1 Expiry</t>
        </is>
      </c>
      <c r="K131" s="25" t="n">
        <v>11846</v>
      </c>
      <c r="L131" s="26" t="n">
        <v>22.5241</v>
      </c>
      <c r="M131" s="26" t="n">
        <v>0.157</v>
      </c>
    </row>
    <row r="132" ht="16" customHeight="1">
      <c r="A132" t="inlineStr">
        <is>
          <t>10-Sep-2025</t>
        </is>
      </c>
      <c r="B132" t="inlineStr">
        <is>
          <t>Wednesday</t>
        </is>
      </c>
      <c r="C132" t="inlineStr">
        <is>
          <t>Week2-Sep-2025</t>
        </is>
      </c>
      <c r="D132" s="78" t="n">
        <v>45901</v>
      </c>
      <c r="E132" t="inlineStr">
        <is>
          <t>Q2FY26</t>
        </is>
      </c>
      <c r="F132" t="inlineStr">
        <is>
          <t>14-Oct-2025</t>
        </is>
      </c>
      <c r="G132" t="inlineStr">
        <is>
          <t>Tuesday</t>
        </is>
      </c>
      <c r="H132" t="inlineStr">
        <is>
          <t>Weekly - Tuesday</t>
        </is>
      </c>
      <c r="I132" t="inlineStr">
        <is>
          <t>Weekly - Tuesday</t>
        </is>
      </c>
      <c r="J132" t="inlineStr">
        <is>
          <t>Month+1 Expiry</t>
        </is>
      </c>
      <c r="K132" s="25" t="n">
        <v>441</v>
      </c>
      <c r="L132" s="26" t="n">
        <v>0.8397</v>
      </c>
      <c r="M132" s="26" t="n">
        <v>0.008200000000000001</v>
      </c>
    </row>
    <row r="133" ht="16" customHeight="1">
      <c r="A133" t="inlineStr">
        <is>
          <t>10-Sep-2025</t>
        </is>
      </c>
      <c r="B133" t="inlineStr">
        <is>
          <t>Wednesday</t>
        </is>
      </c>
      <c r="C133" t="inlineStr">
        <is>
          <t>Week2-Sep-2025</t>
        </is>
      </c>
      <c r="D133" s="78" t="n">
        <v>45901</v>
      </c>
      <c r="E133" t="inlineStr">
        <is>
          <t>Q2FY26</t>
        </is>
      </c>
      <c r="F133" t="inlineStr">
        <is>
          <t>28-Oct-2025</t>
        </is>
      </c>
      <c r="G133" t="inlineStr">
        <is>
          <t>Tuesday</t>
        </is>
      </c>
      <c r="H133" t="inlineStr">
        <is>
          <t>Monthly - Tuesday</t>
        </is>
      </c>
      <c r="I133" t="inlineStr">
        <is>
          <t>Monthly - Tuesday</t>
        </is>
      </c>
      <c r="J133" t="inlineStr">
        <is>
          <t>Month+1 Expiry</t>
        </is>
      </c>
      <c r="K133" s="25" t="n">
        <v>176317</v>
      </c>
      <c r="L133" s="26" t="n">
        <v>330.6716</v>
      </c>
      <c r="M133" s="26" t="n">
        <v>2.42</v>
      </c>
    </row>
    <row r="134" ht="16" customHeight="1">
      <c r="A134" t="inlineStr">
        <is>
          <t>10-Sep-2025</t>
        </is>
      </c>
      <c r="B134" t="inlineStr">
        <is>
          <t>Wednesday</t>
        </is>
      </c>
      <c r="C134" t="inlineStr">
        <is>
          <t>Week2-Sep-2025</t>
        </is>
      </c>
      <c r="D134" s="78" t="n">
        <v>45901</v>
      </c>
      <c r="E134" t="inlineStr">
        <is>
          <t>Q2FY26</t>
        </is>
      </c>
      <c r="F134" t="inlineStr">
        <is>
          <t>25-Nov-2025</t>
        </is>
      </c>
      <c r="G134" t="inlineStr">
        <is>
          <t>Tuesday</t>
        </is>
      </c>
      <c r="H134" t="inlineStr">
        <is>
          <t>Monthly - Tuesday</t>
        </is>
      </c>
      <c r="I134" t="inlineStr">
        <is>
          <t>Monthly - Tuesday</t>
        </is>
      </c>
      <c r="J134" t="inlineStr">
        <is>
          <t>Month+2 Expiry</t>
        </is>
      </c>
      <c r="K134" s="25" t="n">
        <v>36969</v>
      </c>
      <c r="L134" s="26" t="n">
        <v>69.75</v>
      </c>
      <c r="M134" s="26" t="n">
        <v>0.7657</v>
      </c>
    </row>
    <row r="135" ht="16" customHeight="1">
      <c r="A135" t="inlineStr">
        <is>
          <t>10-Sep-2025</t>
        </is>
      </c>
      <c r="B135" t="inlineStr">
        <is>
          <t>Wednesday</t>
        </is>
      </c>
      <c r="C135" t="inlineStr">
        <is>
          <t>Week2-Sep-2025</t>
        </is>
      </c>
      <c r="D135" s="78" t="n">
        <v>45901</v>
      </c>
      <c r="E135" t="inlineStr">
        <is>
          <t>Q2FY26</t>
        </is>
      </c>
      <c r="F135" t="inlineStr">
        <is>
          <t>30-Dec-2025</t>
        </is>
      </c>
      <c r="G135" t="inlineStr">
        <is>
          <t>Tuesday</t>
        </is>
      </c>
      <c r="H135" t="inlineStr">
        <is>
          <t>Monthly - Tuesday</t>
        </is>
      </c>
      <c r="I135" t="inlineStr">
        <is>
          <t>Monthly - Tuesday</t>
        </is>
      </c>
      <c r="J135" t="inlineStr">
        <is>
          <t>Month+3 Expiry</t>
        </is>
      </c>
      <c r="K135" s="25" t="n">
        <v>63476</v>
      </c>
      <c r="L135" s="26" t="n">
        <v>120.5557</v>
      </c>
      <c r="M135" s="26" t="n">
        <v>1.7368</v>
      </c>
    </row>
    <row r="136" ht="16" customHeight="1">
      <c r="A136" t="inlineStr">
        <is>
          <t>10-Sep-2025</t>
        </is>
      </c>
      <c r="B136" t="inlineStr">
        <is>
          <t>Wednesday</t>
        </is>
      </c>
      <c r="C136" t="inlineStr">
        <is>
          <t>Week2-Sep-2025</t>
        </is>
      </c>
      <c r="D136" s="78" t="n">
        <v>45901</v>
      </c>
      <c r="E136" t="inlineStr">
        <is>
          <t>Q2FY26</t>
        </is>
      </c>
      <c r="F136" t="inlineStr">
        <is>
          <t>31-Mar-2026</t>
        </is>
      </c>
      <c r="G136" t="inlineStr">
        <is>
          <t>Tuesday</t>
        </is>
      </c>
      <c r="H136" t="inlineStr">
        <is>
          <t>Monthly - Tuesday</t>
        </is>
      </c>
      <c r="I136" t="inlineStr">
        <is>
          <t>Monthly - Tuesday</t>
        </is>
      </c>
      <c r="J136" t="inlineStr">
        <is>
          <t>Month+6 Expiry</t>
        </is>
      </c>
      <c r="K136" s="25" t="n">
        <v>21994</v>
      </c>
      <c r="L136" s="26" t="n">
        <v>42.1551</v>
      </c>
      <c r="M136" s="26" t="n">
        <v>0.5847</v>
      </c>
    </row>
    <row r="137" ht="16" customHeight="1">
      <c r="A137" t="inlineStr">
        <is>
          <t>10-Sep-2025</t>
        </is>
      </c>
      <c r="B137" t="inlineStr">
        <is>
          <t>Wednesday</t>
        </is>
      </c>
      <c r="C137" t="inlineStr">
        <is>
          <t>Week2-Sep-2025</t>
        </is>
      </c>
      <c r="D137" s="78" t="n">
        <v>45901</v>
      </c>
      <c r="E137" t="inlineStr">
        <is>
          <t>Q2FY26</t>
        </is>
      </c>
      <c r="F137" t="inlineStr">
        <is>
          <t>30-Jun-2026</t>
        </is>
      </c>
      <c r="G137" t="inlineStr">
        <is>
          <t>Tuesday</t>
        </is>
      </c>
      <c r="H137" t="inlineStr">
        <is>
          <t>Monthly - Tuesday</t>
        </is>
      </c>
      <c r="I137" t="inlineStr">
        <is>
          <t>Monthly - Tuesday</t>
        </is>
      </c>
      <c r="J137" t="inlineStr">
        <is>
          <t>Month+9 Expiry</t>
        </is>
      </c>
      <c r="K137" s="25" t="n">
        <v>150</v>
      </c>
      <c r="L137" s="26" t="n">
        <v>0.2902</v>
      </c>
      <c r="M137" s="26" t="n">
        <v>0.008800000000000001</v>
      </c>
    </row>
    <row r="138" ht="16" customHeight="1">
      <c r="A138" t="inlineStr">
        <is>
          <t>10-Sep-2025</t>
        </is>
      </c>
      <c r="B138" t="inlineStr">
        <is>
          <t>Wednesday</t>
        </is>
      </c>
      <c r="C138" t="inlineStr">
        <is>
          <t>Week2-Sep-2025</t>
        </is>
      </c>
      <c r="D138" s="78" t="n">
        <v>45901</v>
      </c>
      <c r="E138" t="inlineStr">
        <is>
          <t>Q2FY26</t>
        </is>
      </c>
      <c r="F138" t="inlineStr">
        <is>
          <t>29-Dec-2026</t>
        </is>
      </c>
      <c r="G138" t="inlineStr">
        <is>
          <t>Tuesday</t>
        </is>
      </c>
      <c r="H138" t="inlineStr">
        <is>
          <t>Monthly - Tuesday</t>
        </is>
      </c>
      <c r="I138" t="inlineStr">
        <is>
          <t>Monthly - Tuesday</t>
        </is>
      </c>
      <c r="J138" t="inlineStr">
        <is>
          <t>Month+15 Expiry</t>
        </is>
      </c>
      <c r="K138" s="25" t="n">
        <v>847</v>
      </c>
      <c r="L138" s="26" t="n">
        <v>1.7079</v>
      </c>
      <c r="M138" s="26" t="n">
        <v>0.0569</v>
      </c>
    </row>
    <row r="139" ht="16" customHeight="1">
      <c r="A139" t="inlineStr">
        <is>
          <t>10-Sep-2025</t>
        </is>
      </c>
      <c r="B139" t="inlineStr">
        <is>
          <t>Wednesday</t>
        </is>
      </c>
      <c r="C139" t="inlineStr">
        <is>
          <t>Week2-Sep-2025</t>
        </is>
      </c>
      <c r="D139" s="78" t="n">
        <v>45901</v>
      </c>
      <c r="E139" t="inlineStr">
        <is>
          <t>Q2FY26</t>
        </is>
      </c>
      <c r="F139" t="inlineStr">
        <is>
          <t>29-Jun-2027</t>
        </is>
      </c>
      <c r="G139" t="inlineStr">
        <is>
          <t>Tuesday</t>
        </is>
      </c>
      <c r="H139" t="inlineStr">
        <is>
          <t>Monthly - Tuesday</t>
        </is>
      </c>
      <c r="I139" t="inlineStr">
        <is>
          <t>Monthly - Tuesday</t>
        </is>
      </c>
      <c r="J139" t="inlineStr">
        <is>
          <t>Month+21 Expiry</t>
        </is>
      </c>
      <c r="K139" s="25" t="n">
        <v>0</v>
      </c>
      <c r="L139" s="26" t="n">
        <v>0</v>
      </c>
      <c r="M139" s="26" t="n">
        <v>0</v>
      </c>
    </row>
    <row r="140" ht="16" customHeight="1">
      <c r="A140" t="inlineStr">
        <is>
          <t>10-Sep-2025</t>
        </is>
      </c>
      <c r="B140" t="inlineStr">
        <is>
          <t>Wednesday</t>
        </is>
      </c>
      <c r="C140" t="inlineStr">
        <is>
          <t>Week2-Sep-2025</t>
        </is>
      </c>
      <c r="D140" s="78" t="n">
        <v>45901</v>
      </c>
      <c r="E140" t="inlineStr">
        <is>
          <t>Q2FY26</t>
        </is>
      </c>
      <c r="F140" t="inlineStr">
        <is>
          <t>28-Dec-2027</t>
        </is>
      </c>
      <c r="G140" t="inlineStr">
        <is>
          <t>Tuesday</t>
        </is>
      </c>
      <c r="H140" t="inlineStr">
        <is>
          <t>Monthly - Tuesday</t>
        </is>
      </c>
      <c r="I140" t="inlineStr">
        <is>
          <t>Monthly - Tuesday</t>
        </is>
      </c>
      <c r="J140" t="inlineStr">
        <is>
          <t>Month+27 Expiry</t>
        </is>
      </c>
      <c r="K140" s="25" t="n">
        <v>24</v>
      </c>
      <c r="L140" s="26" t="n">
        <v>0.044</v>
      </c>
      <c r="M140" s="26" t="n">
        <v>0.0014</v>
      </c>
    </row>
    <row r="141" ht="16" customHeight="1">
      <c r="A141" t="inlineStr">
        <is>
          <t>10-Sep-2025</t>
        </is>
      </c>
      <c r="B141" t="inlineStr">
        <is>
          <t>Wednesday</t>
        </is>
      </c>
      <c r="C141" t="inlineStr">
        <is>
          <t>Week2-Sep-2025</t>
        </is>
      </c>
      <c r="D141" s="78" t="n">
        <v>45901</v>
      </c>
      <c r="E141" t="inlineStr">
        <is>
          <t>Q2FY26</t>
        </is>
      </c>
      <c r="F141" t="inlineStr">
        <is>
          <t>27-Jun-2028</t>
        </is>
      </c>
      <c r="G141" t="inlineStr">
        <is>
          <t>Tuesday</t>
        </is>
      </c>
      <c r="H141" t="inlineStr">
        <is>
          <t>Monthly - Tuesday</t>
        </is>
      </c>
      <c r="I141" t="inlineStr">
        <is>
          <t>Monthly - Tuesday</t>
        </is>
      </c>
      <c r="J141" t="inlineStr">
        <is>
          <t>Month+33 Expiry</t>
        </is>
      </c>
      <c r="K141" s="25" t="n">
        <v>0</v>
      </c>
      <c r="L141" s="26" t="n">
        <v>0</v>
      </c>
      <c r="M141" s="26" t="n">
        <v>0</v>
      </c>
    </row>
    <row r="142" ht="16" customHeight="1">
      <c r="A142" t="inlineStr">
        <is>
          <t>10-Sep-2025</t>
        </is>
      </c>
      <c r="B142" t="inlineStr">
        <is>
          <t>Wednesday</t>
        </is>
      </c>
      <c r="C142" t="inlineStr">
        <is>
          <t>Week2-Sep-2025</t>
        </is>
      </c>
      <c r="D142" s="78" t="n">
        <v>45901</v>
      </c>
      <c r="E142" t="inlineStr">
        <is>
          <t>Q2FY26</t>
        </is>
      </c>
      <c r="F142" t="inlineStr">
        <is>
          <t>26-Dec-2028</t>
        </is>
      </c>
      <c r="G142" t="inlineStr">
        <is>
          <t>Tuesday</t>
        </is>
      </c>
      <c r="H142" t="inlineStr">
        <is>
          <t>Monthly - Tuesday</t>
        </is>
      </c>
      <c r="I142" t="inlineStr">
        <is>
          <t>Monthly - Tuesday</t>
        </is>
      </c>
      <c r="J142" t="inlineStr">
        <is>
          <t>Month+39 Expiry</t>
        </is>
      </c>
      <c r="K142" s="25" t="n">
        <v>0</v>
      </c>
      <c r="L142" s="26" t="n">
        <v>0</v>
      </c>
      <c r="M142" s="26" t="n">
        <v>0</v>
      </c>
    </row>
    <row r="143" ht="16" customHeight="1">
      <c r="A143" t="inlineStr">
        <is>
          <t>10-Sep-2025</t>
        </is>
      </c>
      <c r="B143" t="inlineStr">
        <is>
          <t>Wednesday</t>
        </is>
      </c>
      <c r="C143" t="inlineStr">
        <is>
          <t>Week2-Sep-2025</t>
        </is>
      </c>
      <c r="D143" s="78" t="n">
        <v>45901</v>
      </c>
      <c r="E143" t="inlineStr">
        <is>
          <t>Q2FY26</t>
        </is>
      </c>
      <c r="F143" t="inlineStr">
        <is>
          <t>26-Jun-2029</t>
        </is>
      </c>
      <c r="G143" t="inlineStr">
        <is>
          <t>Tuesday</t>
        </is>
      </c>
      <c r="H143" t="inlineStr">
        <is>
          <t>Monthly - Tuesday</t>
        </is>
      </c>
      <c r="I143" t="inlineStr">
        <is>
          <t>Monthly - Tuesday</t>
        </is>
      </c>
      <c r="J143" t="inlineStr">
        <is>
          <t>Month+45 Expiry</t>
        </is>
      </c>
      <c r="K143" s="25" t="n">
        <v>0</v>
      </c>
      <c r="L143" s="26" t="n">
        <v>0</v>
      </c>
      <c r="M143" s="26" t="n">
        <v>0</v>
      </c>
    </row>
    <row r="144" ht="16" customHeight="1">
      <c r="A144" t="inlineStr">
        <is>
          <t>10-Sep-2025</t>
        </is>
      </c>
      <c r="B144" t="inlineStr">
        <is>
          <t>Wednesday</t>
        </is>
      </c>
      <c r="C144" t="inlineStr">
        <is>
          <t>Week2-Sep-2025</t>
        </is>
      </c>
      <c r="D144" s="78" t="n">
        <v>45901</v>
      </c>
      <c r="E144" t="inlineStr">
        <is>
          <t>Q2FY26</t>
        </is>
      </c>
      <c r="F144" t="inlineStr">
        <is>
          <t>24-Dec-2029</t>
        </is>
      </c>
      <c r="G144" t="inlineStr">
        <is>
          <t>Monday</t>
        </is>
      </c>
      <c r="H144" t="inlineStr">
        <is>
          <t>Weekly - Monday</t>
        </is>
      </c>
      <c r="I144" t="inlineStr">
        <is>
          <t>Weekly - Monday</t>
        </is>
      </c>
      <c r="J144" t="inlineStr">
        <is>
          <t>Month+51 Expiry</t>
        </is>
      </c>
      <c r="K144" s="25" t="n">
        <v>3</v>
      </c>
      <c r="L144" s="26" t="n">
        <v>0.0053</v>
      </c>
      <c r="M144" s="26" t="n">
        <v>0.0002</v>
      </c>
    </row>
    <row r="145" ht="16" customHeight="1">
      <c r="A145" t="inlineStr">
        <is>
          <t>10-Sep-2025</t>
        </is>
      </c>
      <c r="B145" t="inlineStr">
        <is>
          <t>Wednesday</t>
        </is>
      </c>
      <c r="C145" t="inlineStr">
        <is>
          <t>Week2-Sep-2025</t>
        </is>
      </c>
      <c r="D145" s="78" t="n">
        <v>45901</v>
      </c>
      <c r="E145" t="inlineStr">
        <is>
          <t>Q2FY26</t>
        </is>
      </c>
      <c r="F145" t="inlineStr">
        <is>
          <t>25-Jun-2030</t>
        </is>
      </c>
      <c r="G145" t="inlineStr">
        <is>
          <t>Tuesday</t>
        </is>
      </c>
      <c r="H145" t="inlineStr">
        <is>
          <t>Monthly - Tuesday</t>
        </is>
      </c>
      <c r="I145" t="inlineStr">
        <is>
          <t>Monthly - Tuesday</t>
        </is>
      </c>
      <c r="J145" t="inlineStr">
        <is>
          <t>Month+57 Expiry</t>
        </is>
      </c>
      <c r="K145" s="25" t="n">
        <v>0</v>
      </c>
      <c r="L145" s="26" t="n">
        <v>0</v>
      </c>
      <c r="M145" s="26" t="n">
        <v>0</v>
      </c>
    </row>
    <row r="146" ht="16" customHeight="1">
      <c r="A146" t="inlineStr">
        <is>
          <t>11-Sep-2025</t>
        </is>
      </c>
      <c r="B146" t="inlineStr">
        <is>
          <t>Thursday</t>
        </is>
      </c>
      <c r="C146" t="inlineStr">
        <is>
          <t>Week2-Sep-2025</t>
        </is>
      </c>
      <c r="D146" s="78" t="n">
        <v>45901</v>
      </c>
      <c r="E146" t="inlineStr">
        <is>
          <t>Q2FY26</t>
        </is>
      </c>
      <c r="F146" t="inlineStr">
        <is>
          <t>16-Sep-2025</t>
        </is>
      </c>
      <c r="G146" t="inlineStr">
        <is>
          <t>Tuesday</t>
        </is>
      </c>
      <c r="H146" t="inlineStr">
        <is>
          <t>Weekly - Tuesday</t>
        </is>
      </c>
      <c r="I146" t="inlineStr">
        <is>
          <t>Weekly - Tuesday</t>
        </is>
      </c>
      <c r="J146" t="inlineStr">
        <is>
          <t>Same Month Expiry</t>
        </is>
      </c>
      <c r="K146" s="25" t="n">
        <v>39565538</v>
      </c>
      <c r="L146" s="26" t="n">
        <v>74287.848</v>
      </c>
      <c r="M146" s="26" t="n">
        <v>169.5353</v>
      </c>
    </row>
    <row r="147" ht="16" customHeight="1">
      <c r="A147" t="inlineStr">
        <is>
          <t>11-Sep-2025</t>
        </is>
      </c>
      <c r="B147" t="inlineStr">
        <is>
          <t>Thursday</t>
        </is>
      </c>
      <c r="C147" t="inlineStr">
        <is>
          <t>Week2-Sep-2025</t>
        </is>
      </c>
      <c r="D147" s="78" t="n">
        <v>45901</v>
      </c>
      <c r="E147" t="inlineStr">
        <is>
          <t>Q2FY26</t>
        </is>
      </c>
      <c r="F147" t="inlineStr">
        <is>
          <t>23-Sep-2025</t>
        </is>
      </c>
      <c r="G147" t="inlineStr">
        <is>
          <t>Tuesday</t>
        </is>
      </c>
      <c r="H147" t="inlineStr">
        <is>
          <t>Weekly - Tuesday</t>
        </is>
      </c>
      <c r="I147" t="inlineStr">
        <is>
          <t>Weekly - Tuesday</t>
        </is>
      </c>
      <c r="J147" t="inlineStr">
        <is>
          <t>Same Month Expiry</t>
        </is>
      </c>
      <c r="K147" s="25" t="n">
        <v>849629</v>
      </c>
      <c r="L147" s="26" t="n">
        <v>1594.9236</v>
      </c>
      <c r="M147" s="26" t="n">
        <v>5.4195</v>
      </c>
    </row>
    <row r="148" ht="16" customHeight="1">
      <c r="A148" t="inlineStr">
        <is>
          <t>11-Sep-2025</t>
        </is>
      </c>
      <c r="B148" t="inlineStr">
        <is>
          <t>Thursday</t>
        </is>
      </c>
      <c r="C148" t="inlineStr">
        <is>
          <t>Week2-Sep-2025</t>
        </is>
      </c>
      <c r="D148" s="78" t="n">
        <v>45901</v>
      </c>
      <c r="E148" t="inlineStr">
        <is>
          <t>Q2FY26</t>
        </is>
      </c>
      <c r="F148" t="inlineStr">
        <is>
          <t>30-Sep-2025</t>
        </is>
      </c>
      <c r="G148" t="inlineStr">
        <is>
          <t>Tuesday</t>
        </is>
      </c>
      <c r="H148" t="inlineStr">
        <is>
          <t>Monthly - Tuesday</t>
        </is>
      </c>
      <c r="I148" t="inlineStr">
        <is>
          <t>Monthly - Tuesday</t>
        </is>
      </c>
      <c r="J148" t="inlineStr">
        <is>
          <t>Same Month Expiry</t>
        </is>
      </c>
      <c r="K148" s="25" t="n">
        <v>799508</v>
      </c>
      <c r="L148" s="26" t="n">
        <v>1499.1252</v>
      </c>
      <c r="M148" s="26" t="n">
        <v>7.5692</v>
      </c>
    </row>
    <row r="149" ht="16" customHeight="1">
      <c r="A149" t="inlineStr">
        <is>
          <t>11-Sep-2025</t>
        </is>
      </c>
      <c r="B149" t="inlineStr">
        <is>
          <t>Thursday</t>
        </is>
      </c>
      <c r="C149" t="inlineStr">
        <is>
          <t>Week2-Sep-2025</t>
        </is>
      </c>
      <c r="D149" s="78" t="n">
        <v>45901</v>
      </c>
      <c r="E149" t="inlineStr">
        <is>
          <t>Q2FY26</t>
        </is>
      </c>
      <c r="F149" t="inlineStr">
        <is>
          <t>07-Oct-2025</t>
        </is>
      </c>
      <c r="G149" t="inlineStr">
        <is>
          <t>Tuesday</t>
        </is>
      </c>
      <c r="H149" t="inlineStr">
        <is>
          <t>Weekly - Tuesday</t>
        </is>
      </c>
      <c r="I149" t="inlineStr">
        <is>
          <t>Weekly - Tuesday</t>
        </is>
      </c>
      <c r="J149" t="inlineStr">
        <is>
          <t>Month+1 Expiry</t>
        </is>
      </c>
      <c r="K149" s="25" t="n">
        <v>9729</v>
      </c>
      <c r="L149" s="26" t="n">
        <v>18.5927</v>
      </c>
      <c r="M149" s="26" t="n">
        <v>0.09619999999999999</v>
      </c>
    </row>
    <row r="150" ht="16" customHeight="1">
      <c r="A150" t="inlineStr">
        <is>
          <t>11-Sep-2025</t>
        </is>
      </c>
      <c r="B150" t="inlineStr">
        <is>
          <t>Thursday</t>
        </is>
      </c>
      <c r="C150" t="inlineStr">
        <is>
          <t>Week2-Sep-2025</t>
        </is>
      </c>
      <c r="D150" s="78" t="n">
        <v>45901</v>
      </c>
      <c r="E150" t="inlineStr">
        <is>
          <t>Q2FY26</t>
        </is>
      </c>
      <c r="F150" t="inlineStr">
        <is>
          <t>14-Oct-2025</t>
        </is>
      </c>
      <c r="G150" t="inlineStr">
        <is>
          <t>Tuesday</t>
        </is>
      </c>
      <c r="H150" t="inlineStr">
        <is>
          <t>Weekly - Tuesday</t>
        </is>
      </c>
      <c r="I150" t="inlineStr">
        <is>
          <t>Weekly - Tuesday</t>
        </is>
      </c>
      <c r="J150" t="inlineStr">
        <is>
          <t>Month+1 Expiry</t>
        </is>
      </c>
      <c r="K150" s="25" t="n">
        <v>913</v>
      </c>
      <c r="L150" s="26" t="n">
        <v>1.7316</v>
      </c>
      <c r="M150" s="26" t="n">
        <v>0.0181</v>
      </c>
    </row>
    <row r="151" ht="16" customHeight="1">
      <c r="A151" t="inlineStr">
        <is>
          <t>11-Sep-2025</t>
        </is>
      </c>
      <c r="B151" t="inlineStr">
        <is>
          <t>Thursday</t>
        </is>
      </c>
      <c r="C151" t="inlineStr">
        <is>
          <t>Week2-Sep-2025</t>
        </is>
      </c>
      <c r="D151" s="78" t="n">
        <v>45901</v>
      </c>
      <c r="E151" t="inlineStr">
        <is>
          <t>Q2FY26</t>
        </is>
      </c>
      <c r="F151" t="inlineStr">
        <is>
          <t>28-Oct-2025</t>
        </is>
      </c>
      <c r="G151" t="inlineStr">
        <is>
          <t>Tuesday</t>
        </is>
      </c>
      <c r="H151" t="inlineStr">
        <is>
          <t>Monthly - Tuesday</t>
        </is>
      </c>
      <c r="I151" t="inlineStr">
        <is>
          <t>Monthly - Tuesday</t>
        </is>
      </c>
      <c r="J151" t="inlineStr">
        <is>
          <t>Month+1 Expiry</t>
        </is>
      </c>
      <c r="K151" s="25" t="n">
        <v>107810</v>
      </c>
      <c r="L151" s="26" t="n">
        <v>203.0016</v>
      </c>
      <c r="M151" s="26" t="n">
        <v>1.4732</v>
      </c>
    </row>
    <row r="152" ht="16" customHeight="1">
      <c r="A152" t="inlineStr">
        <is>
          <t>11-Sep-2025</t>
        </is>
      </c>
      <c r="B152" t="inlineStr">
        <is>
          <t>Thursday</t>
        </is>
      </c>
      <c r="C152" t="inlineStr">
        <is>
          <t>Week2-Sep-2025</t>
        </is>
      </c>
      <c r="D152" s="78" t="n">
        <v>45901</v>
      </c>
      <c r="E152" t="inlineStr">
        <is>
          <t>Q2FY26</t>
        </is>
      </c>
      <c r="F152" t="inlineStr">
        <is>
          <t>25-Nov-2025</t>
        </is>
      </c>
      <c r="G152" t="inlineStr">
        <is>
          <t>Tuesday</t>
        </is>
      </c>
      <c r="H152" t="inlineStr">
        <is>
          <t>Monthly - Tuesday</t>
        </is>
      </c>
      <c r="I152" t="inlineStr">
        <is>
          <t>Monthly - Tuesday</t>
        </is>
      </c>
      <c r="J152" t="inlineStr">
        <is>
          <t>Month+2 Expiry</t>
        </is>
      </c>
      <c r="K152" s="25" t="n">
        <v>19263</v>
      </c>
      <c r="L152" s="26" t="n">
        <v>35.964</v>
      </c>
      <c r="M152" s="26" t="n">
        <v>0.3425</v>
      </c>
    </row>
    <row r="153" ht="16" customHeight="1">
      <c r="A153" t="inlineStr">
        <is>
          <t>11-Sep-2025</t>
        </is>
      </c>
      <c r="B153" t="inlineStr">
        <is>
          <t>Thursday</t>
        </is>
      </c>
      <c r="C153" t="inlineStr">
        <is>
          <t>Week2-Sep-2025</t>
        </is>
      </c>
      <c r="D153" s="78" t="n">
        <v>45901</v>
      </c>
      <c r="E153" t="inlineStr">
        <is>
          <t>Q2FY26</t>
        </is>
      </c>
      <c r="F153" t="inlineStr">
        <is>
          <t>30-Dec-2025</t>
        </is>
      </c>
      <c r="G153" t="inlineStr">
        <is>
          <t>Tuesday</t>
        </is>
      </c>
      <c r="H153" t="inlineStr">
        <is>
          <t>Monthly - Tuesday</t>
        </is>
      </c>
      <c r="I153" t="inlineStr">
        <is>
          <t>Monthly - Tuesday</t>
        </is>
      </c>
      <c r="J153" t="inlineStr">
        <is>
          <t>Month+3 Expiry</t>
        </is>
      </c>
      <c r="K153" s="25" t="n">
        <v>36831</v>
      </c>
      <c r="L153" s="26" t="n">
        <v>68.99509999999999</v>
      </c>
      <c r="M153" s="26" t="n">
        <v>0.899</v>
      </c>
    </row>
    <row r="154" ht="16" customHeight="1">
      <c r="A154" t="inlineStr">
        <is>
          <t>11-Sep-2025</t>
        </is>
      </c>
      <c r="B154" t="inlineStr">
        <is>
          <t>Thursday</t>
        </is>
      </c>
      <c r="C154" t="inlineStr">
        <is>
          <t>Week2-Sep-2025</t>
        </is>
      </c>
      <c r="D154" s="78" t="n">
        <v>45901</v>
      </c>
      <c r="E154" t="inlineStr">
        <is>
          <t>Q2FY26</t>
        </is>
      </c>
      <c r="F154" t="inlineStr">
        <is>
          <t>31-Mar-2026</t>
        </is>
      </c>
      <c r="G154" t="inlineStr">
        <is>
          <t>Tuesday</t>
        </is>
      </c>
      <c r="H154" t="inlineStr">
        <is>
          <t>Monthly - Tuesday</t>
        </is>
      </c>
      <c r="I154" t="inlineStr">
        <is>
          <t>Monthly - Tuesday</t>
        </is>
      </c>
      <c r="J154" t="inlineStr">
        <is>
          <t>Month+6 Expiry</t>
        </is>
      </c>
      <c r="K154" s="25" t="n">
        <v>9470</v>
      </c>
      <c r="L154" s="26" t="n">
        <v>17.7123</v>
      </c>
      <c r="M154" s="26" t="n">
        <v>0.2244</v>
      </c>
    </row>
    <row r="155" ht="16" customHeight="1">
      <c r="A155" t="inlineStr">
        <is>
          <t>11-Sep-2025</t>
        </is>
      </c>
      <c r="B155" t="inlineStr">
        <is>
          <t>Thursday</t>
        </is>
      </c>
      <c r="C155" t="inlineStr">
        <is>
          <t>Week2-Sep-2025</t>
        </is>
      </c>
      <c r="D155" s="78" t="n">
        <v>45901</v>
      </c>
      <c r="E155" t="inlineStr">
        <is>
          <t>Q2FY26</t>
        </is>
      </c>
      <c r="F155" t="inlineStr">
        <is>
          <t>30-Jun-2026</t>
        </is>
      </c>
      <c r="G155" t="inlineStr">
        <is>
          <t>Tuesday</t>
        </is>
      </c>
      <c r="H155" t="inlineStr">
        <is>
          <t>Monthly - Tuesday</t>
        </is>
      </c>
      <c r="I155" t="inlineStr">
        <is>
          <t>Monthly - Tuesday</t>
        </is>
      </c>
      <c r="J155" t="inlineStr">
        <is>
          <t>Month+9 Expiry</t>
        </is>
      </c>
      <c r="K155" s="25" t="n">
        <v>192</v>
      </c>
      <c r="L155" s="26" t="n">
        <v>0.3336</v>
      </c>
      <c r="M155" s="26" t="n">
        <v>0.0047</v>
      </c>
    </row>
    <row r="156" ht="16" customHeight="1">
      <c r="A156" t="inlineStr">
        <is>
          <t>11-Sep-2025</t>
        </is>
      </c>
      <c r="B156" t="inlineStr">
        <is>
          <t>Thursday</t>
        </is>
      </c>
      <c r="C156" t="inlineStr">
        <is>
          <t>Week2-Sep-2025</t>
        </is>
      </c>
      <c r="D156" s="78" t="n">
        <v>45901</v>
      </c>
      <c r="E156" t="inlineStr">
        <is>
          <t>Q2FY26</t>
        </is>
      </c>
      <c r="F156" t="inlineStr">
        <is>
          <t>29-Dec-2026</t>
        </is>
      </c>
      <c r="G156" t="inlineStr">
        <is>
          <t>Tuesday</t>
        </is>
      </c>
      <c r="H156" t="inlineStr">
        <is>
          <t>Monthly - Tuesday</t>
        </is>
      </c>
      <c r="I156" t="inlineStr">
        <is>
          <t>Monthly - Tuesday</t>
        </is>
      </c>
      <c r="J156" t="inlineStr">
        <is>
          <t>Month+15 Expiry</t>
        </is>
      </c>
      <c r="K156" s="25" t="n">
        <v>892</v>
      </c>
      <c r="L156" s="26" t="n">
        <v>1.8041</v>
      </c>
      <c r="M156" s="26" t="n">
        <v>0.0512</v>
      </c>
    </row>
    <row r="157" ht="16" customHeight="1">
      <c r="A157" t="inlineStr">
        <is>
          <t>11-Sep-2025</t>
        </is>
      </c>
      <c r="B157" t="inlineStr">
        <is>
          <t>Thursday</t>
        </is>
      </c>
      <c r="C157" t="inlineStr">
        <is>
          <t>Week2-Sep-2025</t>
        </is>
      </c>
      <c r="D157" s="78" t="n">
        <v>45901</v>
      </c>
      <c r="E157" t="inlineStr">
        <is>
          <t>Q2FY26</t>
        </is>
      </c>
      <c r="F157" t="inlineStr">
        <is>
          <t>29-Jun-2027</t>
        </is>
      </c>
      <c r="G157" t="inlineStr">
        <is>
          <t>Tuesday</t>
        </is>
      </c>
      <c r="H157" t="inlineStr">
        <is>
          <t>Monthly - Tuesday</t>
        </is>
      </c>
      <c r="I157" t="inlineStr">
        <is>
          <t>Monthly - Tuesday</t>
        </is>
      </c>
      <c r="J157" t="inlineStr">
        <is>
          <t>Month+21 Expiry</t>
        </is>
      </c>
      <c r="K157" s="25" t="n">
        <v>4</v>
      </c>
      <c r="L157" s="26" t="n">
        <v>0.0064</v>
      </c>
      <c r="M157" s="26" t="n">
        <v>0.0001</v>
      </c>
    </row>
    <row r="158" ht="16" customHeight="1">
      <c r="A158" t="inlineStr">
        <is>
          <t>11-Sep-2025</t>
        </is>
      </c>
      <c r="B158" t="inlineStr">
        <is>
          <t>Thursday</t>
        </is>
      </c>
      <c r="C158" t="inlineStr">
        <is>
          <t>Week2-Sep-2025</t>
        </is>
      </c>
      <c r="D158" s="78" t="n">
        <v>45901</v>
      </c>
      <c r="E158" t="inlineStr">
        <is>
          <t>Q2FY26</t>
        </is>
      </c>
      <c r="F158" t="inlineStr">
        <is>
          <t>28-Dec-2027</t>
        </is>
      </c>
      <c r="G158" t="inlineStr">
        <is>
          <t>Tuesday</t>
        </is>
      </c>
      <c r="H158" t="inlineStr">
        <is>
          <t>Monthly - Tuesday</t>
        </is>
      </c>
      <c r="I158" t="inlineStr">
        <is>
          <t>Monthly - Tuesday</t>
        </is>
      </c>
      <c r="J158" t="inlineStr">
        <is>
          <t>Month+27 Expiry</t>
        </is>
      </c>
      <c r="K158" s="25" t="n">
        <v>30</v>
      </c>
      <c r="L158" s="26" t="n">
        <v>0.045</v>
      </c>
      <c r="M158" s="26" t="n">
        <v>0.0007</v>
      </c>
    </row>
    <row r="159" ht="16" customHeight="1">
      <c r="A159" t="inlineStr">
        <is>
          <t>11-Sep-2025</t>
        </is>
      </c>
      <c r="B159" t="inlineStr">
        <is>
          <t>Thursday</t>
        </is>
      </c>
      <c r="C159" t="inlineStr">
        <is>
          <t>Week2-Sep-2025</t>
        </is>
      </c>
      <c r="D159" s="78" t="n">
        <v>45901</v>
      </c>
      <c r="E159" t="inlineStr">
        <is>
          <t>Q2FY26</t>
        </is>
      </c>
      <c r="F159" t="inlineStr">
        <is>
          <t>27-Jun-2028</t>
        </is>
      </c>
      <c r="G159" t="inlineStr">
        <is>
          <t>Tuesday</t>
        </is>
      </c>
      <c r="H159" t="inlineStr">
        <is>
          <t>Monthly - Tuesday</t>
        </is>
      </c>
      <c r="I159" t="inlineStr">
        <is>
          <t>Monthly - Tuesday</t>
        </is>
      </c>
      <c r="J159" t="inlineStr">
        <is>
          <t>Month+33 Expiry</t>
        </is>
      </c>
      <c r="K159" s="25" t="n">
        <v>0</v>
      </c>
      <c r="L159" s="26" t="n">
        <v>0</v>
      </c>
      <c r="M159" s="26" t="n">
        <v>0</v>
      </c>
    </row>
    <row r="160" ht="16" customHeight="1">
      <c r="A160" t="inlineStr">
        <is>
          <t>11-Sep-2025</t>
        </is>
      </c>
      <c r="B160" t="inlineStr">
        <is>
          <t>Thursday</t>
        </is>
      </c>
      <c r="C160" t="inlineStr">
        <is>
          <t>Week2-Sep-2025</t>
        </is>
      </c>
      <c r="D160" s="78" t="n">
        <v>45901</v>
      </c>
      <c r="E160" t="inlineStr">
        <is>
          <t>Q2FY26</t>
        </is>
      </c>
      <c r="F160" t="inlineStr">
        <is>
          <t>26-Dec-2028</t>
        </is>
      </c>
      <c r="G160" t="inlineStr">
        <is>
          <t>Tuesday</t>
        </is>
      </c>
      <c r="H160" t="inlineStr">
        <is>
          <t>Monthly - Tuesday</t>
        </is>
      </c>
      <c r="I160" t="inlineStr">
        <is>
          <t>Monthly - Tuesday</t>
        </is>
      </c>
      <c r="J160" t="inlineStr">
        <is>
          <t>Month+39 Expiry</t>
        </is>
      </c>
      <c r="K160" s="25" t="n">
        <v>3</v>
      </c>
      <c r="L160" s="26" t="n">
        <v>0.0047</v>
      </c>
      <c r="M160" s="26" t="n">
        <v>0.0001</v>
      </c>
    </row>
    <row r="161" ht="16" customHeight="1">
      <c r="A161" t="inlineStr">
        <is>
          <t>11-Sep-2025</t>
        </is>
      </c>
      <c r="B161" t="inlineStr">
        <is>
          <t>Thursday</t>
        </is>
      </c>
      <c r="C161" t="inlineStr">
        <is>
          <t>Week2-Sep-2025</t>
        </is>
      </c>
      <c r="D161" s="78" t="n">
        <v>45901</v>
      </c>
      <c r="E161" t="inlineStr">
        <is>
          <t>Q2FY26</t>
        </is>
      </c>
      <c r="F161" t="inlineStr">
        <is>
          <t>26-Jun-2029</t>
        </is>
      </c>
      <c r="G161" t="inlineStr">
        <is>
          <t>Tuesday</t>
        </is>
      </c>
      <c r="H161" t="inlineStr">
        <is>
          <t>Monthly - Tuesday</t>
        </is>
      </c>
      <c r="I161" t="inlineStr">
        <is>
          <t>Monthly - Tuesday</t>
        </is>
      </c>
      <c r="J161" t="inlineStr">
        <is>
          <t>Month+45 Expiry</t>
        </is>
      </c>
      <c r="K161" s="25" t="n">
        <v>0</v>
      </c>
      <c r="L161" s="26" t="n">
        <v>0</v>
      </c>
      <c r="M161" s="26" t="n">
        <v>0</v>
      </c>
    </row>
    <row r="162" ht="16" customHeight="1">
      <c r="A162" t="inlineStr">
        <is>
          <t>11-Sep-2025</t>
        </is>
      </c>
      <c r="B162" t="inlineStr">
        <is>
          <t>Thursday</t>
        </is>
      </c>
      <c r="C162" t="inlineStr">
        <is>
          <t>Week2-Sep-2025</t>
        </is>
      </c>
      <c r="D162" s="78" t="n">
        <v>45901</v>
      </c>
      <c r="E162" t="inlineStr">
        <is>
          <t>Q2FY26</t>
        </is>
      </c>
      <c r="F162" t="inlineStr">
        <is>
          <t>24-Dec-2029</t>
        </is>
      </c>
      <c r="G162" t="inlineStr">
        <is>
          <t>Monday</t>
        </is>
      </c>
      <c r="H162" t="inlineStr">
        <is>
          <t>Weekly - Monday</t>
        </is>
      </c>
      <c r="I162" t="inlineStr">
        <is>
          <t>Weekly - Monday</t>
        </is>
      </c>
      <c r="J162" t="inlineStr">
        <is>
          <t>Month+51 Expiry</t>
        </is>
      </c>
      <c r="K162" s="25" t="n">
        <v>0</v>
      </c>
      <c r="L162" s="26" t="n">
        <v>0</v>
      </c>
      <c r="M162" s="26" t="n">
        <v>0</v>
      </c>
    </row>
    <row r="163" ht="16" customHeight="1">
      <c r="A163" t="inlineStr">
        <is>
          <t>11-Sep-2025</t>
        </is>
      </c>
      <c r="B163" t="inlineStr">
        <is>
          <t>Thursday</t>
        </is>
      </c>
      <c r="C163" t="inlineStr">
        <is>
          <t>Week2-Sep-2025</t>
        </is>
      </c>
      <c r="D163" s="78" t="n">
        <v>45901</v>
      </c>
      <c r="E163" t="inlineStr">
        <is>
          <t>Q2FY26</t>
        </is>
      </c>
      <c r="F163" t="inlineStr">
        <is>
          <t>25-Jun-2030</t>
        </is>
      </c>
      <c r="G163" t="inlineStr">
        <is>
          <t>Tuesday</t>
        </is>
      </c>
      <c r="H163" t="inlineStr">
        <is>
          <t>Monthly - Tuesday</t>
        </is>
      </c>
      <c r="I163" t="inlineStr">
        <is>
          <t>Monthly - Tuesday</t>
        </is>
      </c>
      <c r="J163" t="inlineStr">
        <is>
          <t>Month+57 Expiry</t>
        </is>
      </c>
      <c r="K163" s="25" t="n">
        <v>0</v>
      </c>
      <c r="L163" s="26" t="n">
        <v>0</v>
      </c>
      <c r="M163" s="26" t="n">
        <v>0</v>
      </c>
    </row>
    <row r="164" ht="16" customHeight="1">
      <c r="A164" t="inlineStr">
        <is>
          <t>12-Sep-2025</t>
        </is>
      </c>
      <c r="B164" t="inlineStr">
        <is>
          <t>Friday</t>
        </is>
      </c>
      <c r="C164" t="inlineStr">
        <is>
          <t>Week2-Sep-2025</t>
        </is>
      </c>
      <c r="D164" s="78" t="n">
        <v>45901</v>
      </c>
      <c r="E164" t="inlineStr">
        <is>
          <t>Q2FY26</t>
        </is>
      </c>
      <c r="F164" t="inlineStr">
        <is>
          <t>16-Sep-2025</t>
        </is>
      </c>
      <c r="G164" t="inlineStr">
        <is>
          <t>Tuesday</t>
        </is>
      </c>
      <c r="H164" t="inlineStr">
        <is>
          <t>Weekly - Tuesday</t>
        </is>
      </c>
      <c r="I164" t="inlineStr">
        <is>
          <t>Weekly - Tuesday</t>
        </is>
      </c>
      <c r="J164" t="inlineStr">
        <is>
          <t>Same Month Expiry</t>
        </is>
      </c>
      <c r="K164" s="25" t="n">
        <v>63575606</v>
      </c>
      <c r="L164" s="26" t="n">
        <v>119624.5437</v>
      </c>
      <c r="M164" s="26" t="n">
        <v>232.1662</v>
      </c>
    </row>
    <row r="165" ht="16" customHeight="1">
      <c r="A165" t="inlineStr">
        <is>
          <t>12-Sep-2025</t>
        </is>
      </c>
      <c r="B165" t="inlineStr">
        <is>
          <t>Friday</t>
        </is>
      </c>
      <c r="C165" t="inlineStr">
        <is>
          <t>Week2-Sep-2025</t>
        </is>
      </c>
      <c r="D165" s="78" t="n">
        <v>45901</v>
      </c>
      <c r="E165" t="inlineStr">
        <is>
          <t>Q2FY26</t>
        </is>
      </c>
      <c r="F165" t="inlineStr">
        <is>
          <t>23-Sep-2025</t>
        </is>
      </c>
      <c r="G165" t="inlineStr">
        <is>
          <t>Tuesday</t>
        </is>
      </c>
      <c r="H165" t="inlineStr">
        <is>
          <t>Weekly - Tuesday</t>
        </is>
      </c>
      <c r="I165" t="inlineStr">
        <is>
          <t>Weekly - Tuesday</t>
        </is>
      </c>
      <c r="J165" t="inlineStr">
        <is>
          <t>Same Month Expiry</t>
        </is>
      </c>
      <c r="K165" s="25" t="n">
        <v>1601449</v>
      </c>
      <c r="L165" s="26" t="n">
        <v>3020.7448</v>
      </c>
      <c r="M165" s="26" t="n">
        <v>9.4605</v>
      </c>
    </row>
    <row r="166" ht="16" customHeight="1">
      <c r="A166" t="inlineStr">
        <is>
          <t>12-Sep-2025</t>
        </is>
      </c>
      <c r="B166" t="inlineStr">
        <is>
          <t>Friday</t>
        </is>
      </c>
      <c r="C166" t="inlineStr">
        <is>
          <t>Week2-Sep-2025</t>
        </is>
      </c>
      <c r="D166" s="78" t="n">
        <v>45901</v>
      </c>
      <c r="E166" t="inlineStr">
        <is>
          <t>Q2FY26</t>
        </is>
      </c>
      <c r="F166" t="inlineStr">
        <is>
          <t>30-Sep-2025</t>
        </is>
      </c>
      <c r="G166" t="inlineStr">
        <is>
          <t>Tuesday</t>
        </is>
      </c>
      <c r="H166" t="inlineStr">
        <is>
          <t>Monthly - Tuesday</t>
        </is>
      </c>
      <c r="I166" t="inlineStr">
        <is>
          <t>Monthly - Tuesday</t>
        </is>
      </c>
      <c r="J166" t="inlineStr">
        <is>
          <t>Same Month Expiry</t>
        </is>
      </c>
      <c r="K166" s="25" t="n">
        <v>1308003</v>
      </c>
      <c r="L166" s="26" t="n">
        <v>2460.2731</v>
      </c>
      <c r="M166" s="26" t="n">
        <v>11.7441</v>
      </c>
    </row>
    <row r="167" ht="16" customHeight="1">
      <c r="A167" t="inlineStr">
        <is>
          <t>12-Sep-2025</t>
        </is>
      </c>
      <c r="B167" t="inlineStr">
        <is>
          <t>Friday</t>
        </is>
      </c>
      <c r="C167" t="inlineStr">
        <is>
          <t>Week2-Sep-2025</t>
        </is>
      </c>
      <c r="D167" s="78" t="n">
        <v>45901</v>
      </c>
      <c r="E167" t="inlineStr">
        <is>
          <t>Q2FY26</t>
        </is>
      </c>
      <c r="F167" t="inlineStr">
        <is>
          <t>07-Oct-2025</t>
        </is>
      </c>
      <c r="G167" t="inlineStr">
        <is>
          <t>Tuesday</t>
        </is>
      </c>
      <c r="H167" t="inlineStr">
        <is>
          <t>Weekly - Tuesday</t>
        </is>
      </c>
      <c r="I167" t="inlineStr">
        <is>
          <t>Weekly - Tuesday</t>
        </is>
      </c>
      <c r="J167" t="inlineStr">
        <is>
          <t>Month+1 Expiry</t>
        </is>
      </c>
      <c r="K167" s="25" t="n">
        <v>14879</v>
      </c>
      <c r="L167" s="26" t="n">
        <v>28.329</v>
      </c>
      <c r="M167" s="26" t="n">
        <v>0.1459</v>
      </c>
    </row>
    <row r="168" ht="16" customHeight="1">
      <c r="A168" t="inlineStr">
        <is>
          <t>12-Sep-2025</t>
        </is>
      </c>
      <c r="B168" t="inlineStr">
        <is>
          <t>Friday</t>
        </is>
      </c>
      <c r="C168" t="inlineStr">
        <is>
          <t>Week2-Sep-2025</t>
        </is>
      </c>
      <c r="D168" s="78" t="n">
        <v>45901</v>
      </c>
      <c r="E168" t="inlineStr">
        <is>
          <t>Q2FY26</t>
        </is>
      </c>
      <c r="F168" t="inlineStr">
        <is>
          <t>14-Oct-2025</t>
        </is>
      </c>
      <c r="G168" t="inlineStr">
        <is>
          <t>Tuesday</t>
        </is>
      </c>
      <c r="H168" t="inlineStr">
        <is>
          <t>Weekly - Tuesday</t>
        </is>
      </c>
      <c r="I168" t="inlineStr">
        <is>
          <t>Weekly - Tuesday</t>
        </is>
      </c>
      <c r="J168" t="inlineStr">
        <is>
          <t>Month+1 Expiry</t>
        </is>
      </c>
      <c r="K168" s="25" t="n">
        <v>1097</v>
      </c>
      <c r="L168" s="26" t="n">
        <v>2.0953</v>
      </c>
      <c r="M168" s="26" t="n">
        <v>0.0179</v>
      </c>
    </row>
    <row r="169" ht="16" customHeight="1">
      <c r="A169" t="inlineStr">
        <is>
          <t>12-Sep-2025</t>
        </is>
      </c>
      <c r="B169" t="inlineStr">
        <is>
          <t>Friday</t>
        </is>
      </c>
      <c r="C169" t="inlineStr">
        <is>
          <t>Week2-Sep-2025</t>
        </is>
      </c>
      <c r="D169" s="78" t="n">
        <v>45901</v>
      </c>
      <c r="E169" t="inlineStr">
        <is>
          <t>Q2FY26</t>
        </is>
      </c>
      <c r="F169" t="inlineStr">
        <is>
          <t>28-Oct-2025</t>
        </is>
      </c>
      <c r="G169" t="inlineStr">
        <is>
          <t>Tuesday</t>
        </is>
      </c>
      <c r="H169" t="inlineStr">
        <is>
          <t>Monthly - Tuesday</t>
        </is>
      </c>
      <c r="I169" t="inlineStr">
        <is>
          <t>Monthly - Tuesday</t>
        </is>
      </c>
      <c r="J169" t="inlineStr">
        <is>
          <t>Month+1 Expiry</t>
        </is>
      </c>
      <c r="K169" s="25" t="n">
        <v>203404</v>
      </c>
      <c r="L169" s="26" t="n">
        <v>382.5416</v>
      </c>
      <c r="M169" s="26" t="n">
        <v>2.4972</v>
      </c>
    </row>
    <row r="170" ht="16" customHeight="1">
      <c r="A170" t="inlineStr">
        <is>
          <t>12-Sep-2025</t>
        </is>
      </c>
      <c r="B170" t="inlineStr">
        <is>
          <t>Friday</t>
        </is>
      </c>
      <c r="C170" t="inlineStr">
        <is>
          <t>Week2-Sep-2025</t>
        </is>
      </c>
      <c r="D170" s="78" t="n">
        <v>45901</v>
      </c>
      <c r="E170" t="inlineStr">
        <is>
          <t>Q2FY26</t>
        </is>
      </c>
      <c r="F170" t="inlineStr">
        <is>
          <t>25-Nov-2025</t>
        </is>
      </c>
      <c r="G170" t="inlineStr">
        <is>
          <t>Tuesday</t>
        </is>
      </c>
      <c r="H170" t="inlineStr">
        <is>
          <t>Monthly - Tuesday</t>
        </is>
      </c>
      <c r="I170" t="inlineStr">
        <is>
          <t>Monthly - Tuesday</t>
        </is>
      </c>
      <c r="J170" t="inlineStr">
        <is>
          <t>Month+2 Expiry</t>
        </is>
      </c>
      <c r="K170" s="25" t="n">
        <v>42937</v>
      </c>
      <c r="L170" s="26" t="n">
        <v>81.3847</v>
      </c>
      <c r="M170" s="26" t="n">
        <v>0.8186</v>
      </c>
    </row>
    <row r="171" ht="16" customHeight="1">
      <c r="A171" t="inlineStr">
        <is>
          <t>12-Sep-2025</t>
        </is>
      </c>
      <c r="B171" t="inlineStr">
        <is>
          <t>Friday</t>
        </is>
      </c>
      <c r="C171" t="inlineStr">
        <is>
          <t>Week2-Sep-2025</t>
        </is>
      </c>
      <c r="D171" s="78" t="n">
        <v>45901</v>
      </c>
      <c r="E171" t="inlineStr">
        <is>
          <t>Q2FY26</t>
        </is>
      </c>
      <c r="F171" t="inlineStr">
        <is>
          <t>30-Dec-2025</t>
        </is>
      </c>
      <c r="G171" t="inlineStr">
        <is>
          <t>Tuesday</t>
        </is>
      </c>
      <c r="H171" t="inlineStr">
        <is>
          <t>Monthly - Tuesday</t>
        </is>
      </c>
      <c r="I171" t="inlineStr">
        <is>
          <t>Monthly - Tuesday</t>
        </is>
      </c>
      <c r="J171" t="inlineStr">
        <is>
          <t>Month+3 Expiry</t>
        </is>
      </c>
      <c r="K171" s="25" t="n">
        <v>49135</v>
      </c>
      <c r="L171" s="26" t="n">
        <v>92.5256</v>
      </c>
      <c r="M171" s="26" t="n">
        <v>1.3336</v>
      </c>
    </row>
    <row r="172" ht="16" customHeight="1">
      <c r="A172" t="inlineStr">
        <is>
          <t>12-Sep-2025</t>
        </is>
      </c>
      <c r="B172" t="inlineStr">
        <is>
          <t>Friday</t>
        </is>
      </c>
      <c r="C172" t="inlineStr">
        <is>
          <t>Week2-Sep-2025</t>
        </is>
      </c>
      <c r="D172" s="78" t="n">
        <v>45901</v>
      </c>
      <c r="E172" t="inlineStr">
        <is>
          <t>Q2FY26</t>
        </is>
      </c>
      <c r="F172" t="inlineStr">
        <is>
          <t>31-Mar-2026</t>
        </is>
      </c>
      <c r="G172" t="inlineStr">
        <is>
          <t>Tuesday</t>
        </is>
      </c>
      <c r="H172" t="inlineStr">
        <is>
          <t>Monthly - Tuesday</t>
        </is>
      </c>
      <c r="I172" t="inlineStr">
        <is>
          <t>Monthly - Tuesday</t>
        </is>
      </c>
      <c r="J172" t="inlineStr">
        <is>
          <t>Month+6 Expiry</t>
        </is>
      </c>
      <c r="K172" s="25" t="n">
        <v>15010</v>
      </c>
      <c r="L172" s="26" t="n">
        <v>28.8598</v>
      </c>
      <c r="M172" s="26" t="n">
        <v>0.4057</v>
      </c>
    </row>
    <row r="173" ht="16" customHeight="1">
      <c r="A173" t="inlineStr">
        <is>
          <t>12-Sep-2025</t>
        </is>
      </c>
      <c r="B173" t="inlineStr">
        <is>
          <t>Friday</t>
        </is>
      </c>
      <c r="C173" t="inlineStr">
        <is>
          <t>Week2-Sep-2025</t>
        </is>
      </c>
      <c r="D173" s="78" t="n">
        <v>45901</v>
      </c>
      <c r="E173" t="inlineStr">
        <is>
          <t>Q2FY26</t>
        </is>
      </c>
      <c r="F173" t="inlineStr">
        <is>
          <t>30-Jun-2026</t>
        </is>
      </c>
      <c r="G173" t="inlineStr">
        <is>
          <t>Tuesday</t>
        </is>
      </c>
      <c r="H173" t="inlineStr">
        <is>
          <t>Monthly - Tuesday</t>
        </is>
      </c>
      <c r="I173" t="inlineStr">
        <is>
          <t>Monthly - Tuesday</t>
        </is>
      </c>
      <c r="J173" t="inlineStr">
        <is>
          <t>Month+9 Expiry</t>
        </is>
      </c>
      <c r="K173" s="25" t="n">
        <v>371</v>
      </c>
      <c r="L173" s="26" t="n">
        <v>0.6879</v>
      </c>
      <c r="M173" s="26" t="n">
        <v>0.0128</v>
      </c>
    </row>
    <row r="174" ht="16" customHeight="1">
      <c r="A174" t="inlineStr">
        <is>
          <t>12-Sep-2025</t>
        </is>
      </c>
      <c r="B174" t="inlineStr">
        <is>
          <t>Friday</t>
        </is>
      </c>
      <c r="C174" t="inlineStr">
        <is>
          <t>Week2-Sep-2025</t>
        </is>
      </c>
      <c r="D174" s="78" t="n">
        <v>45901</v>
      </c>
      <c r="E174" t="inlineStr">
        <is>
          <t>Q2FY26</t>
        </is>
      </c>
      <c r="F174" t="inlineStr">
        <is>
          <t>29-Dec-2026</t>
        </is>
      </c>
      <c r="G174" t="inlineStr">
        <is>
          <t>Tuesday</t>
        </is>
      </c>
      <c r="H174" t="inlineStr">
        <is>
          <t>Monthly - Tuesday</t>
        </is>
      </c>
      <c r="I174" t="inlineStr">
        <is>
          <t>Monthly - Tuesday</t>
        </is>
      </c>
      <c r="J174" t="inlineStr">
        <is>
          <t>Month+15 Expiry</t>
        </is>
      </c>
      <c r="K174" s="25" t="n">
        <v>1083</v>
      </c>
      <c r="L174" s="26" t="n">
        <v>2.2052</v>
      </c>
      <c r="M174" s="26" t="n">
        <v>0.06950000000000001</v>
      </c>
    </row>
    <row r="175" ht="16" customHeight="1">
      <c r="A175" t="inlineStr">
        <is>
          <t>12-Sep-2025</t>
        </is>
      </c>
      <c r="B175" t="inlineStr">
        <is>
          <t>Friday</t>
        </is>
      </c>
      <c r="C175" t="inlineStr">
        <is>
          <t>Week2-Sep-2025</t>
        </is>
      </c>
      <c r="D175" s="78" t="n">
        <v>45901</v>
      </c>
      <c r="E175" t="inlineStr">
        <is>
          <t>Q2FY26</t>
        </is>
      </c>
      <c r="F175" t="inlineStr">
        <is>
          <t>29-Jun-2027</t>
        </is>
      </c>
      <c r="G175" t="inlineStr">
        <is>
          <t>Tuesday</t>
        </is>
      </c>
      <c r="H175" t="inlineStr">
        <is>
          <t>Monthly - Tuesday</t>
        </is>
      </c>
      <c r="I175" t="inlineStr">
        <is>
          <t>Monthly - Tuesday</t>
        </is>
      </c>
      <c r="J175" t="inlineStr">
        <is>
          <t>Month+21 Expiry</t>
        </is>
      </c>
      <c r="K175" s="25" t="n">
        <v>0</v>
      </c>
      <c r="L175" s="26" t="n">
        <v>0</v>
      </c>
      <c r="M175" s="26" t="n">
        <v>0</v>
      </c>
    </row>
    <row r="176" ht="16" customHeight="1">
      <c r="A176" t="inlineStr">
        <is>
          <t>12-Sep-2025</t>
        </is>
      </c>
      <c r="B176" t="inlineStr">
        <is>
          <t>Friday</t>
        </is>
      </c>
      <c r="C176" t="inlineStr">
        <is>
          <t>Week2-Sep-2025</t>
        </is>
      </c>
      <c r="D176" s="78" t="n">
        <v>45901</v>
      </c>
      <c r="E176" t="inlineStr">
        <is>
          <t>Q2FY26</t>
        </is>
      </c>
      <c r="F176" t="inlineStr">
        <is>
          <t>28-Dec-2027</t>
        </is>
      </c>
      <c r="G176" t="inlineStr">
        <is>
          <t>Tuesday</t>
        </is>
      </c>
      <c r="H176" t="inlineStr">
        <is>
          <t>Monthly - Tuesday</t>
        </is>
      </c>
      <c r="I176" t="inlineStr">
        <is>
          <t>Monthly - Tuesday</t>
        </is>
      </c>
      <c r="J176" t="inlineStr">
        <is>
          <t>Month+27 Expiry</t>
        </is>
      </c>
      <c r="K176" s="25" t="n">
        <v>12</v>
      </c>
      <c r="L176" s="26" t="n">
        <v>0.0232</v>
      </c>
      <c r="M176" s="26" t="n">
        <v>0.0009</v>
      </c>
    </row>
    <row r="177" ht="16" customHeight="1">
      <c r="A177" t="inlineStr">
        <is>
          <t>12-Sep-2025</t>
        </is>
      </c>
      <c r="B177" t="inlineStr">
        <is>
          <t>Friday</t>
        </is>
      </c>
      <c r="C177" t="inlineStr">
        <is>
          <t>Week2-Sep-2025</t>
        </is>
      </c>
      <c r="D177" s="78" t="n">
        <v>45901</v>
      </c>
      <c r="E177" t="inlineStr">
        <is>
          <t>Q2FY26</t>
        </is>
      </c>
      <c r="F177" t="inlineStr">
        <is>
          <t>27-Jun-2028</t>
        </is>
      </c>
      <c r="G177" t="inlineStr">
        <is>
          <t>Tuesday</t>
        </is>
      </c>
      <c r="H177" t="inlineStr">
        <is>
          <t>Monthly - Tuesday</t>
        </is>
      </c>
      <c r="I177" t="inlineStr">
        <is>
          <t>Monthly - Tuesday</t>
        </is>
      </c>
      <c r="J177" t="inlineStr">
        <is>
          <t>Month+33 Expiry</t>
        </is>
      </c>
      <c r="K177" s="25" t="n">
        <v>0</v>
      </c>
      <c r="L177" s="26" t="n">
        <v>0</v>
      </c>
      <c r="M177" s="26" t="n">
        <v>0</v>
      </c>
    </row>
    <row r="178" ht="16" customHeight="1">
      <c r="A178" t="inlineStr">
        <is>
          <t>12-Sep-2025</t>
        </is>
      </c>
      <c r="B178" t="inlineStr">
        <is>
          <t>Friday</t>
        </is>
      </c>
      <c r="C178" t="inlineStr">
        <is>
          <t>Week2-Sep-2025</t>
        </is>
      </c>
      <c r="D178" s="78" t="n">
        <v>45901</v>
      </c>
      <c r="E178" t="inlineStr">
        <is>
          <t>Q2FY26</t>
        </is>
      </c>
      <c r="F178" t="inlineStr">
        <is>
          <t>26-Dec-2028</t>
        </is>
      </c>
      <c r="G178" t="inlineStr">
        <is>
          <t>Tuesday</t>
        </is>
      </c>
      <c r="H178" t="inlineStr">
        <is>
          <t>Monthly - Tuesday</t>
        </is>
      </c>
      <c r="I178" t="inlineStr">
        <is>
          <t>Monthly - Tuesday</t>
        </is>
      </c>
      <c r="J178" t="inlineStr">
        <is>
          <t>Month+39 Expiry</t>
        </is>
      </c>
      <c r="K178" s="25" t="n">
        <v>1</v>
      </c>
      <c r="L178" s="26" t="n">
        <v>0.002</v>
      </c>
      <c r="M178" s="26" t="n">
        <v>0.0001</v>
      </c>
    </row>
    <row r="179" ht="16" customHeight="1">
      <c r="A179" t="inlineStr">
        <is>
          <t>12-Sep-2025</t>
        </is>
      </c>
      <c r="B179" t="inlineStr">
        <is>
          <t>Friday</t>
        </is>
      </c>
      <c r="C179" t="inlineStr">
        <is>
          <t>Week2-Sep-2025</t>
        </is>
      </c>
      <c r="D179" s="78" t="n">
        <v>45901</v>
      </c>
      <c r="E179" t="inlineStr">
        <is>
          <t>Q2FY26</t>
        </is>
      </c>
      <c r="F179" t="inlineStr">
        <is>
          <t>26-Jun-2029</t>
        </is>
      </c>
      <c r="G179" t="inlineStr">
        <is>
          <t>Tuesday</t>
        </is>
      </c>
      <c r="H179" t="inlineStr">
        <is>
          <t>Monthly - Tuesday</t>
        </is>
      </c>
      <c r="I179" t="inlineStr">
        <is>
          <t>Monthly - Tuesday</t>
        </is>
      </c>
      <c r="J179" t="inlineStr">
        <is>
          <t>Month+45 Expiry</t>
        </is>
      </c>
      <c r="K179" s="25" t="n">
        <v>0</v>
      </c>
      <c r="L179" s="26" t="n">
        <v>0</v>
      </c>
      <c r="M179" s="26" t="n">
        <v>0</v>
      </c>
    </row>
    <row r="180" ht="16" customHeight="1">
      <c r="A180" t="inlineStr">
        <is>
          <t>12-Sep-2025</t>
        </is>
      </c>
      <c r="B180" t="inlineStr">
        <is>
          <t>Friday</t>
        </is>
      </c>
      <c r="C180" t="inlineStr">
        <is>
          <t>Week2-Sep-2025</t>
        </is>
      </c>
      <c r="D180" s="78" t="n">
        <v>45901</v>
      </c>
      <c r="E180" t="inlineStr">
        <is>
          <t>Q2FY26</t>
        </is>
      </c>
      <c r="F180" t="inlineStr">
        <is>
          <t>24-Dec-2029</t>
        </is>
      </c>
      <c r="G180" t="inlineStr">
        <is>
          <t>Monday</t>
        </is>
      </c>
      <c r="H180" t="inlineStr">
        <is>
          <t>Weekly - Monday</t>
        </is>
      </c>
      <c r="I180" t="inlineStr">
        <is>
          <t>Weekly - Monday</t>
        </is>
      </c>
      <c r="J180" t="inlineStr">
        <is>
          <t>Month+51 Expiry</t>
        </is>
      </c>
      <c r="K180" s="25" t="n">
        <v>0</v>
      </c>
      <c r="L180" s="26" t="n">
        <v>0</v>
      </c>
      <c r="M180" s="26" t="n">
        <v>0</v>
      </c>
    </row>
    <row r="181" ht="16" customHeight="1">
      <c r="A181" t="inlineStr">
        <is>
          <t>12-Sep-2025</t>
        </is>
      </c>
      <c r="B181" t="inlineStr">
        <is>
          <t>Friday</t>
        </is>
      </c>
      <c r="C181" t="inlineStr">
        <is>
          <t>Week2-Sep-2025</t>
        </is>
      </c>
      <c r="D181" s="78" t="n">
        <v>45901</v>
      </c>
      <c r="E181" t="inlineStr">
        <is>
          <t>Q2FY26</t>
        </is>
      </c>
      <c r="F181" t="inlineStr">
        <is>
          <t>25-Jun-2030</t>
        </is>
      </c>
      <c r="G181" t="inlineStr">
        <is>
          <t>Tuesday</t>
        </is>
      </c>
      <c r="H181" t="inlineStr">
        <is>
          <t>Monthly - Tuesday</t>
        </is>
      </c>
      <c r="I181" t="inlineStr">
        <is>
          <t>Monthly - Tuesday</t>
        </is>
      </c>
      <c r="J181" t="inlineStr">
        <is>
          <t>Month+57 Expiry</t>
        </is>
      </c>
      <c r="K181" s="25" t="n">
        <v>0</v>
      </c>
      <c r="L181" s="26" t="n">
        <v>0</v>
      </c>
      <c r="M181" s="26" t="n">
        <v>0</v>
      </c>
    </row>
    <row r="182" ht="16" customHeight="1">
      <c r="A182" t="inlineStr">
        <is>
          <t>15-Sep-2025</t>
        </is>
      </c>
      <c r="B182" t="inlineStr">
        <is>
          <t>Monday</t>
        </is>
      </c>
      <c r="C182" t="inlineStr">
        <is>
          <t>Week3-Sep-2025</t>
        </is>
      </c>
      <c r="D182" s="78" t="n">
        <v>45901</v>
      </c>
      <c r="E182" t="inlineStr">
        <is>
          <t>Q2FY26</t>
        </is>
      </c>
      <c r="F182" t="inlineStr">
        <is>
          <t>16-Sep-2025</t>
        </is>
      </c>
      <c r="G182" t="inlineStr">
        <is>
          <t>Tuesday</t>
        </is>
      </c>
      <c r="H182" t="inlineStr">
        <is>
          <t>Weekly - Tuesday</t>
        </is>
      </c>
      <c r="I182" t="inlineStr">
        <is>
          <t>Weekly - Tuesday</t>
        </is>
      </c>
      <c r="J182" t="inlineStr">
        <is>
          <t>Same Month Expiry</t>
        </is>
      </c>
      <c r="K182" s="25" t="n">
        <v>86803783</v>
      </c>
      <c r="L182" s="26" t="n">
        <v>163462.3057</v>
      </c>
      <c r="M182" s="26" t="n">
        <v>239.4994</v>
      </c>
    </row>
    <row r="183" ht="16" customHeight="1">
      <c r="A183" t="inlineStr">
        <is>
          <t>15-Sep-2025</t>
        </is>
      </c>
      <c r="B183" t="inlineStr">
        <is>
          <t>Monday</t>
        </is>
      </c>
      <c r="C183" t="inlineStr">
        <is>
          <t>Week3-Sep-2025</t>
        </is>
      </c>
      <c r="D183" s="78" t="n">
        <v>45901</v>
      </c>
      <c r="E183" t="inlineStr">
        <is>
          <t>Q2FY26</t>
        </is>
      </c>
      <c r="F183" t="inlineStr">
        <is>
          <t>23-Sep-2025</t>
        </is>
      </c>
      <c r="G183" t="inlineStr">
        <is>
          <t>Tuesday</t>
        </is>
      </c>
      <c r="H183" t="inlineStr">
        <is>
          <t>Weekly - Tuesday</t>
        </is>
      </c>
      <c r="I183" t="inlineStr">
        <is>
          <t>Weekly - Tuesday</t>
        </is>
      </c>
      <c r="J183" t="inlineStr">
        <is>
          <t>Same Month Expiry</t>
        </is>
      </c>
      <c r="K183" s="25" t="n">
        <v>3165579</v>
      </c>
      <c r="L183" s="26" t="n">
        <v>5970.3122</v>
      </c>
      <c r="M183" s="26" t="n">
        <v>14.867</v>
      </c>
    </row>
    <row r="184" ht="16" customHeight="1">
      <c r="A184" t="inlineStr">
        <is>
          <t>15-Sep-2025</t>
        </is>
      </c>
      <c r="B184" t="inlineStr">
        <is>
          <t>Monday</t>
        </is>
      </c>
      <c r="C184" t="inlineStr">
        <is>
          <t>Week3-Sep-2025</t>
        </is>
      </c>
      <c r="D184" s="78" t="n">
        <v>45901</v>
      </c>
      <c r="E184" t="inlineStr">
        <is>
          <t>Q2FY26</t>
        </is>
      </c>
      <c r="F184" t="inlineStr">
        <is>
          <t>30-Sep-2025</t>
        </is>
      </c>
      <c r="G184" t="inlineStr">
        <is>
          <t>Tuesday</t>
        </is>
      </c>
      <c r="H184" t="inlineStr">
        <is>
          <t>Monthly - Tuesday</t>
        </is>
      </c>
      <c r="I184" t="inlineStr">
        <is>
          <t>Monthly - Tuesday</t>
        </is>
      </c>
      <c r="J184" t="inlineStr">
        <is>
          <t>Same Month Expiry</t>
        </is>
      </c>
      <c r="K184" s="25" t="n">
        <v>952976</v>
      </c>
      <c r="L184" s="26" t="n">
        <v>1791.5852</v>
      </c>
      <c r="M184" s="26" t="n">
        <v>7.9765</v>
      </c>
    </row>
    <row r="185" ht="16" customHeight="1">
      <c r="A185" t="inlineStr">
        <is>
          <t>15-Sep-2025</t>
        </is>
      </c>
      <c r="B185" t="inlineStr">
        <is>
          <t>Monday</t>
        </is>
      </c>
      <c r="C185" t="inlineStr">
        <is>
          <t>Week3-Sep-2025</t>
        </is>
      </c>
      <c r="D185" s="78" t="n">
        <v>45901</v>
      </c>
      <c r="E185" t="inlineStr">
        <is>
          <t>Q2FY26</t>
        </is>
      </c>
      <c r="F185" t="inlineStr">
        <is>
          <t>07-Oct-2025</t>
        </is>
      </c>
      <c r="G185" t="inlineStr">
        <is>
          <t>Tuesday</t>
        </is>
      </c>
      <c r="H185" t="inlineStr">
        <is>
          <t>Weekly - Tuesday</t>
        </is>
      </c>
      <c r="I185" t="inlineStr">
        <is>
          <t>Weekly - Tuesday</t>
        </is>
      </c>
      <c r="J185" t="inlineStr">
        <is>
          <t>Month+1 Expiry</t>
        </is>
      </c>
      <c r="K185" s="25" t="n">
        <v>12129</v>
      </c>
      <c r="L185" s="26" t="n">
        <v>23.0754</v>
      </c>
      <c r="M185" s="26" t="n">
        <v>0.1111</v>
      </c>
    </row>
    <row r="186" ht="16" customHeight="1">
      <c r="A186" t="inlineStr">
        <is>
          <t>15-Sep-2025</t>
        </is>
      </c>
      <c r="B186" t="inlineStr">
        <is>
          <t>Monday</t>
        </is>
      </c>
      <c r="C186" t="inlineStr">
        <is>
          <t>Week3-Sep-2025</t>
        </is>
      </c>
      <c r="D186" s="78" t="n">
        <v>45901</v>
      </c>
      <c r="E186" t="inlineStr">
        <is>
          <t>Q2FY26</t>
        </is>
      </c>
      <c r="F186" t="inlineStr">
        <is>
          <t>14-Oct-2025</t>
        </is>
      </c>
      <c r="G186" t="inlineStr">
        <is>
          <t>Tuesday</t>
        </is>
      </c>
      <c r="H186" t="inlineStr">
        <is>
          <t>Weekly - Tuesday</t>
        </is>
      </c>
      <c r="I186" t="inlineStr">
        <is>
          <t>Weekly - Tuesday</t>
        </is>
      </c>
      <c r="J186" t="inlineStr">
        <is>
          <t>Month+1 Expiry</t>
        </is>
      </c>
      <c r="K186" s="25" t="n">
        <v>1131</v>
      </c>
      <c r="L186" s="26" t="n">
        <v>2.1613</v>
      </c>
      <c r="M186" s="26" t="n">
        <v>0.0164</v>
      </c>
    </row>
    <row r="187" ht="16" customHeight="1">
      <c r="A187" t="inlineStr">
        <is>
          <t>15-Sep-2025</t>
        </is>
      </c>
      <c r="B187" t="inlineStr">
        <is>
          <t>Monday</t>
        </is>
      </c>
      <c r="C187" t="inlineStr">
        <is>
          <t>Week3-Sep-2025</t>
        </is>
      </c>
      <c r="D187" s="78" t="n">
        <v>45901</v>
      </c>
      <c r="E187" t="inlineStr">
        <is>
          <t>Q2FY26</t>
        </is>
      </c>
      <c r="F187" t="inlineStr">
        <is>
          <t>28-Oct-2025</t>
        </is>
      </c>
      <c r="G187" t="inlineStr">
        <is>
          <t>Tuesday</t>
        </is>
      </c>
      <c r="H187" t="inlineStr">
        <is>
          <t>Monthly - Tuesday</t>
        </is>
      </c>
      <c r="I187" t="inlineStr">
        <is>
          <t>Monthly - Tuesday</t>
        </is>
      </c>
      <c r="J187" t="inlineStr">
        <is>
          <t>Month+1 Expiry</t>
        </is>
      </c>
      <c r="K187" s="25" t="n">
        <v>141320</v>
      </c>
      <c r="L187" s="26" t="n">
        <v>267.474</v>
      </c>
      <c r="M187" s="26" t="n">
        <v>1.8697</v>
      </c>
    </row>
    <row r="188" ht="16" customHeight="1">
      <c r="A188" t="inlineStr">
        <is>
          <t>15-Sep-2025</t>
        </is>
      </c>
      <c r="B188" t="inlineStr">
        <is>
          <t>Monday</t>
        </is>
      </c>
      <c r="C188" t="inlineStr">
        <is>
          <t>Week3-Sep-2025</t>
        </is>
      </c>
      <c r="D188" s="78" t="n">
        <v>45901</v>
      </c>
      <c r="E188" t="inlineStr">
        <is>
          <t>Q2FY26</t>
        </is>
      </c>
      <c r="F188" t="inlineStr">
        <is>
          <t>25-Nov-2025</t>
        </is>
      </c>
      <c r="G188" t="inlineStr">
        <is>
          <t>Tuesday</t>
        </is>
      </c>
      <c r="H188" t="inlineStr">
        <is>
          <t>Monthly - Tuesday</t>
        </is>
      </c>
      <c r="I188" t="inlineStr">
        <is>
          <t>Monthly - Tuesday</t>
        </is>
      </c>
      <c r="J188" t="inlineStr">
        <is>
          <t>Month+2 Expiry</t>
        </is>
      </c>
      <c r="K188" s="25" t="n">
        <v>23786</v>
      </c>
      <c r="L188" s="26" t="n">
        <v>44.8365</v>
      </c>
      <c r="M188" s="26" t="n">
        <v>0.4465</v>
      </c>
    </row>
    <row r="189" ht="16" customHeight="1">
      <c r="A189" t="inlineStr">
        <is>
          <t>15-Sep-2025</t>
        </is>
      </c>
      <c r="B189" t="inlineStr">
        <is>
          <t>Monday</t>
        </is>
      </c>
      <c r="C189" t="inlineStr">
        <is>
          <t>Week3-Sep-2025</t>
        </is>
      </c>
      <c r="D189" s="78" t="n">
        <v>45901</v>
      </c>
      <c r="E189" t="inlineStr">
        <is>
          <t>Q2FY26</t>
        </is>
      </c>
      <c r="F189" t="inlineStr">
        <is>
          <t>30-Dec-2025</t>
        </is>
      </c>
      <c r="G189" t="inlineStr">
        <is>
          <t>Tuesday</t>
        </is>
      </c>
      <c r="H189" t="inlineStr">
        <is>
          <t>Monthly - Tuesday</t>
        </is>
      </c>
      <c r="I189" t="inlineStr">
        <is>
          <t>Monthly - Tuesday</t>
        </is>
      </c>
      <c r="J189" t="inlineStr">
        <is>
          <t>Month+3 Expiry</t>
        </is>
      </c>
      <c r="K189" s="25" t="n">
        <v>32834</v>
      </c>
      <c r="L189" s="26" t="n">
        <v>61.9001</v>
      </c>
      <c r="M189" s="26" t="n">
        <v>0.9198</v>
      </c>
    </row>
    <row r="190" ht="16" customHeight="1">
      <c r="A190" t="inlineStr">
        <is>
          <t>15-Sep-2025</t>
        </is>
      </c>
      <c r="B190" t="inlineStr">
        <is>
          <t>Monday</t>
        </is>
      </c>
      <c r="C190" t="inlineStr">
        <is>
          <t>Week3-Sep-2025</t>
        </is>
      </c>
      <c r="D190" s="78" t="n">
        <v>45901</v>
      </c>
      <c r="E190" t="inlineStr">
        <is>
          <t>Q2FY26</t>
        </is>
      </c>
      <c r="F190" t="inlineStr">
        <is>
          <t>31-Mar-2026</t>
        </is>
      </c>
      <c r="G190" t="inlineStr">
        <is>
          <t>Tuesday</t>
        </is>
      </c>
      <c r="H190" t="inlineStr">
        <is>
          <t>Monthly - Tuesday</t>
        </is>
      </c>
      <c r="I190" t="inlineStr">
        <is>
          <t>Monthly - Tuesday</t>
        </is>
      </c>
      <c r="J190" t="inlineStr">
        <is>
          <t>Month+6 Expiry</t>
        </is>
      </c>
      <c r="K190" s="25" t="n">
        <v>10002</v>
      </c>
      <c r="L190" s="26" t="n">
        <v>19.7154</v>
      </c>
      <c r="M190" s="26" t="n">
        <v>0.3205</v>
      </c>
    </row>
    <row r="191" ht="16" customHeight="1">
      <c r="A191" t="inlineStr">
        <is>
          <t>15-Sep-2025</t>
        </is>
      </c>
      <c r="B191" t="inlineStr">
        <is>
          <t>Monday</t>
        </is>
      </c>
      <c r="C191" t="inlineStr">
        <is>
          <t>Week3-Sep-2025</t>
        </is>
      </c>
      <c r="D191" s="78" t="n">
        <v>45901</v>
      </c>
      <c r="E191" t="inlineStr">
        <is>
          <t>Q2FY26</t>
        </is>
      </c>
      <c r="F191" t="inlineStr">
        <is>
          <t>30-Jun-2026</t>
        </is>
      </c>
      <c r="G191" t="inlineStr">
        <is>
          <t>Tuesday</t>
        </is>
      </c>
      <c r="H191" t="inlineStr">
        <is>
          <t>Monthly - Tuesday</t>
        </is>
      </c>
      <c r="I191" t="inlineStr">
        <is>
          <t>Monthly - Tuesday</t>
        </is>
      </c>
      <c r="J191" t="inlineStr">
        <is>
          <t>Month+9 Expiry</t>
        </is>
      </c>
      <c r="K191" s="25" t="n">
        <v>253</v>
      </c>
      <c r="L191" s="26" t="n">
        <v>0.479</v>
      </c>
      <c r="M191" s="26" t="n">
        <v>0.0103</v>
      </c>
    </row>
    <row r="192" ht="16" customHeight="1">
      <c r="A192" t="inlineStr">
        <is>
          <t>15-Sep-2025</t>
        </is>
      </c>
      <c r="B192" t="inlineStr">
        <is>
          <t>Monday</t>
        </is>
      </c>
      <c r="C192" t="inlineStr">
        <is>
          <t>Week3-Sep-2025</t>
        </is>
      </c>
      <c r="D192" s="78" t="n">
        <v>45901</v>
      </c>
      <c r="E192" t="inlineStr">
        <is>
          <t>Q2FY26</t>
        </is>
      </c>
      <c r="F192" t="inlineStr">
        <is>
          <t>29-Dec-2026</t>
        </is>
      </c>
      <c r="G192" t="inlineStr">
        <is>
          <t>Tuesday</t>
        </is>
      </c>
      <c r="H192" t="inlineStr">
        <is>
          <t>Monthly - Tuesday</t>
        </is>
      </c>
      <c r="I192" t="inlineStr">
        <is>
          <t>Monthly - Tuesday</t>
        </is>
      </c>
      <c r="J192" t="inlineStr">
        <is>
          <t>Month+15 Expiry</t>
        </is>
      </c>
      <c r="K192" s="25" t="n">
        <v>916</v>
      </c>
      <c r="L192" s="26" t="n">
        <v>1.8258</v>
      </c>
      <c r="M192" s="26" t="n">
        <v>0.0557</v>
      </c>
    </row>
    <row r="193" ht="16" customHeight="1">
      <c r="A193" t="inlineStr">
        <is>
          <t>15-Sep-2025</t>
        </is>
      </c>
      <c r="B193" t="inlineStr">
        <is>
          <t>Monday</t>
        </is>
      </c>
      <c r="C193" t="inlineStr">
        <is>
          <t>Week3-Sep-2025</t>
        </is>
      </c>
      <c r="D193" s="78" t="n">
        <v>45901</v>
      </c>
      <c r="E193" t="inlineStr">
        <is>
          <t>Q2FY26</t>
        </is>
      </c>
      <c r="F193" t="inlineStr">
        <is>
          <t>29-Jun-2027</t>
        </is>
      </c>
      <c r="G193" t="inlineStr">
        <is>
          <t>Tuesday</t>
        </is>
      </c>
      <c r="H193" t="inlineStr">
        <is>
          <t>Monthly - Tuesday</t>
        </is>
      </c>
      <c r="I193" t="inlineStr">
        <is>
          <t>Monthly - Tuesday</t>
        </is>
      </c>
      <c r="J193" t="inlineStr">
        <is>
          <t>Month+21 Expiry</t>
        </is>
      </c>
      <c r="K193" s="25" t="n">
        <v>0</v>
      </c>
      <c r="L193" s="26" t="n">
        <v>0</v>
      </c>
      <c r="M193" s="26" t="n">
        <v>0</v>
      </c>
    </row>
    <row r="194" ht="16" customHeight="1">
      <c r="A194" t="inlineStr">
        <is>
          <t>15-Sep-2025</t>
        </is>
      </c>
      <c r="B194" t="inlineStr">
        <is>
          <t>Monday</t>
        </is>
      </c>
      <c r="C194" t="inlineStr">
        <is>
          <t>Week3-Sep-2025</t>
        </is>
      </c>
      <c r="D194" s="78" t="n">
        <v>45901</v>
      </c>
      <c r="E194" t="inlineStr">
        <is>
          <t>Q2FY26</t>
        </is>
      </c>
      <c r="F194" t="inlineStr">
        <is>
          <t>28-Dec-2027</t>
        </is>
      </c>
      <c r="G194" t="inlineStr">
        <is>
          <t>Tuesday</t>
        </is>
      </c>
      <c r="H194" t="inlineStr">
        <is>
          <t>Monthly - Tuesday</t>
        </is>
      </c>
      <c r="I194" t="inlineStr">
        <is>
          <t>Monthly - Tuesday</t>
        </is>
      </c>
      <c r="J194" t="inlineStr">
        <is>
          <t>Month+27 Expiry</t>
        </is>
      </c>
      <c r="K194" s="25" t="n">
        <v>3</v>
      </c>
      <c r="L194" s="26" t="n">
        <v>0.0058</v>
      </c>
      <c r="M194" s="26" t="n">
        <v>0.0002</v>
      </c>
    </row>
    <row r="195" ht="16" customHeight="1">
      <c r="A195" t="inlineStr">
        <is>
          <t>15-Sep-2025</t>
        </is>
      </c>
      <c r="B195" t="inlineStr">
        <is>
          <t>Monday</t>
        </is>
      </c>
      <c r="C195" t="inlineStr">
        <is>
          <t>Week3-Sep-2025</t>
        </is>
      </c>
      <c r="D195" s="78" t="n">
        <v>45901</v>
      </c>
      <c r="E195" t="inlineStr">
        <is>
          <t>Q2FY26</t>
        </is>
      </c>
      <c r="F195" t="inlineStr">
        <is>
          <t>27-Jun-2028</t>
        </is>
      </c>
      <c r="G195" t="inlineStr">
        <is>
          <t>Tuesday</t>
        </is>
      </c>
      <c r="H195" t="inlineStr">
        <is>
          <t>Monthly - Tuesday</t>
        </is>
      </c>
      <c r="I195" t="inlineStr">
        <is>
          <t>Monthly - Tuesday</t>
        </is>
      </c>
      <c r="J195" t="inlineStr">
        <is>
          <t>Month+33 Expiry</t>
        </is>
      </c>
      <c r="K195" s="25" t="n">
        <v>0</v>
      </c>
      <c r="L195" s="26" t="n">
        <v>0</v>
      </c>
      <c r="M195" s="26" t="n">
        <v>0</v>
      </c>
    </row>
    <row r="196" ht="16" customHeight="1">
      <c r="A196" t="inlineStr">
        <is>
          <t>15-Sep-2025</t>
        </is>
      </c>
      <c r="B196" t="inlineStr">
        <is>
          <t>Monday</t>
        </is>
      </c>
      <c r="C196" t="inlineStr">
        <is>
          <t>Week3-Sep-2025</t>
        </is>
      </c>
      <c r="D196" s="78" t="n">
        <v>45901</v>
      </c>
      <c r="E196" t="inlineStr">
        <is>
          <t>Q2FY26</t>
        </is>
      </c>
      <c r="F196" t="inlineStr">
        <is>
          <t>26-Dec-2028</t>
        </is>
      </c>
      <c r="G196" t="inlineStr">
        <is>
          <t>Tuesday</t>
        </is>
      </c>
      <c r="H196" t="inlineStr">
        <is>
          <t>Monthly - Tuesday</t>
        </is>
      </c>
      <c r="I196" t="inlineStr">
        <is>
          <t>Monthly - Tuesday</t>
        </is>
      </c>
      <c r="J196" t="inlineStr">
        <is>
          <t>Month+39 Expiry</t>
        </is>
      </c>
      <c r="K196" s="25" t="n">
        <v>1</v>
      </c>
      <c r="L196" s="26" t="n">
        <v>0.002</v>
      </c>
      <c r="M196" s="26" t="n">
        <v>0.0001</v>
      </c>
    </row>
    <row r="197" ht="16" customHeight="1">
      <c r="A197" t="inlineStr">
        <is>
          <t>15-Sep-2025</t>
        </is>
      </c>
      <c r="B197" t="inlineStr">
        <is>
          <t>Monday</t>
        </is>
      </c>
      <c r="C197" t="inlineStr">
        <is>
          <t>Week3-Sep-2025</t>
        </is>
      </c>
      <c r="D197" s="78" t="n">
        <v>45901</v>
      </c>
      <c r="E197" t="inlineStr">
        <is>
          <t>Q2FY26</t>
        </is>
      </c>
      <c r="F197" t="inlineStr">
        <is>
          <t>26-Jun-2029</t>
        </is>
      </c>
      <c r="G197" t="inlineStr">
        <is>
          <t>Tuesday</t>
        </is>
      </c>
      <c r="H197" t="inlineStr">
        <is>
          <t>Monthly - Tuesday</t>
        </is>
      </c>
      <c r="I197" t="inlineStr">
        <is>
          <t>Monthly - Tuesday</t>
        </is>
      </c>
      <c r="J197" t="inlineStr">
        <is>
          <t>Month+45 Expiry</t>
        </is>
      </c>
      <c r="K197" s="25" t="n">
        <v>0</v>
      </c>
      <c r="L197" s="26" t="n">
        <v>0</v>
      </c>
      <c r="M197" s="26" t="n">
        <v>0</v>
      </c>
    </row>
    <row r="198" ht="16" customHeight="1">
      <c r="A198" t="inlineStr">
        <is>
          <t>15-Sep-2025</t>
        </is>
      </c>
      <c r="B198" t="inlineStr">
        <is>
          <t>Monday</t>
        </is>
      </c>
      <c r="C198" t="inlineStr">
        <is>
          <t>Week3-Sep-2025</t>
        </is>
      </c>
      <c r="D198" s="78" t="n">
        <v>45901</v>
      </c>
      <c r="E198" t="inlineStr">
        <is>
          <t>Q2FY26</t>
        </is>
      </c>
      <c r="F198" t="inlineStr">
        <is>
          <t>24-Dec-2029</t>
        </is>
      </c>
      <c r="G198" t="inlineStr">
        <is>
          <t>Monday</t>
        </is>
      </c>
      <c r="H198" t="inlineStr">
        <is>
          <t>Weekly - Monday</t>
        </is>
      </c>
      <c r="I198" t="inlineStr">
        <is>
          <t>Weekly - Monday</t>
        </is>
      </c>
      <c r="J198" t="inlineStr">
        <is>
          <t>Month+51 Expiry</t>
        </is>
      </c>
      <c r="K198" s="25" t="n">
        <v>0</v>
      </c>
      <c r="L198" s="26" t="n">
        <v>0</v>
      </c>
      <c r="M198" s="26" t="n">
        <v>0</v>
      </c>
    </row>
    <row r="199" ht="16" customHeight="1">
      <c r="A199" t="inlineStr">
        <is>
          <t>15-Sep-2025</t>
        </is>
      </c>
      <c r="B199" t="inlineStr">
        <is>
          <t>Monday</t>
        </is>
      </c>
      <c r="C199" t="inlineStr">
        <is>
          <t>Week3-Sep-2025</t>
        </is>
      </c>
      <c r="D199" s="78" t="n">
        <v>45901</v>
      </c>
      <c r="E199" t="inlineStr">
        <is>
          <t>Q2FY26</t>
        </is>
      </c>
      <c r="F199" t="inlineStr">
        <is>
          <t>25-Jun-2030</t>
        </is>
      </c>
      <c r="G199" t="inlineStr">
        <is>
          <t>Tuesday</t>
        </is>
      </c>
      <c r="H199" t="inlineStr">
        <is>
          <t>Monthly - Tuesday</t>
        </is>
      </c>
      <c r="I199" t="inlineStr">
        <is>
          <t>Monthly - Tuesday</t>
        </is>
      </c>
      <c r="J199" t="inlineStr">
        <is>
          <t>Month+57 Expiry</t>
        </is>
      </c>
      <c r="K199" s="25" t="n">
        <v>0</v>
      </c>
      <c r="L199" s="26" t="n">
        <v>0</v>
      </c>
      <c r="M199" s="26" t="n">
        <v>0</v>
      </c>
    </row>
    <row r="200" ht="16" customHeight="1">
      <c r="A200" t="inlineStr">
        <is>
          <t>16-Sep-2025</t>
        </is>
      </c>
      <c r="B200" t="inlineStr">
        <is>
          <t>Tuesday</t>
        </is>
      </c>
      <c r="C200" t="inlineStr">
        <is>
          <t>Week3-Sep-2025</t>
        </is>
      </c>
      <c r="D200" s="78" t="n">
        <v>45901</v>
      </c>
      <c r="E200" t="inlineStr">
        <is>
          <t>Q2FY26</t>
        </is>
      </c>
      <c r="F200" t="inlineStr">
        <is>
          <t>16-Sep-2025</t>
        </is>
      </c>
      <c r="G200" t="inlineStr">
        <is>
          <t>Tuesday</t>
        </is>
      </c>
      <c r="H200" t="inlineStr">
        <is>
          <t>Weekly - Tuesday</t>
        </is>
      </c>
      <c r="I200" t="inlineStr">
        <is>
          <t>Weekly - Tuesday</t>
        </is>
      </c>
      <c r="J200" t="inlineStr">
        <is>
          <t>Same Month Expiry</t>
        </is>
      </c>
      <c r="K200" s="25" t="n">
        <v>233518289</v>
      </c>
      <c r="L200" s="26" t="n">
        <v>440688.7597</v>
      </c>
      <c r="M200" s="26" t="n">
        <v>345.1635</v>
      </c>
    </row>
    <row r="201" ht="16" customHeight="1">
      <c r="A201" t="inlineStr">
        <is>
          <t>16-Sep-2025</t>
        </is>
      </c>
      <c r="B201" t="inlineStr">
        <is>
          <t>Tuesday</t>
        </is>
      </c>
      <c r="C201" t="inlineStr">
        <is>
          <t>Week3-Sep-2025</t>
        </is>
      </c>
      <c r="D201" s="78" t="n">
        <v>45901</v>
      </c>
      <c r="E201" t="inlineStr">
        <is>
          <t>Q2FY26</t>
        </is>
      </c>
      <c r="F201" t="inlineStr">
        <is>
          <t>23-Sep-2025</t>
        </is>
      </c>
      <c r="G201" t="inlineStr">
        <is>
          <t>Tuesday</t>
        </is>
      </c>
      <c r="H201" t="inlineStr">
        <is>
          <t>Weekly - Tuesday</t>
        </is>
      </c>
      <c r="I201" t="inlineStr">
        <is>
          <t>Weekly - Tuesday</t>
        </is>
      </c>
      <c r="J201" t="inlineStr">
        <is>
          <t>Same Month Expiry</t>
        </is>
      </c>
      <c r="K201" s="25" t="n">
        <v>8233050</v>
      </c>
      <c r="L201" s="26" t="n">
        <v>15534.7391</v>
      </c>
      <c r="M201" s="26" t="n">
        <v>42.2781</v>
      </c>
    </row>
    <row r="202" ht="16" customHeight="1">
      <c r="A202" t="inlineStr">
        <is>
          <t>16-Sep-2025</t>
        </is>
      </c>
      <c r="B202" t="inlineStr">
        <is>
          <t>Tuesday</t>
        </is>
      </c>
      <c r="C202" t="inlineStr">
        <is>
          <t>Week3-Sep-2025</t>
        </is>
      </c>
      <c r="D202" s="78" t="n">
        <v>45901</v>
      </c>
      <c r="E202" t="inlineStr">
        <is>
          <t>Q2FY26</t>
        </is>
      </c>
      <c r="F202" t="inlineStr">
        <is>
          <t>30-Sep-2025</t>
        </is>
      </c>
      <c r="G202" t="inlineStr">
        <is>
          <t>Tuesday</t>
        </is>
      </c>
      <c r="H202" t="inlineStr">
        <is>
          <t>Monthly - Tuesday</t>
        </is>
      </c>
      <c r="I202" t="inlineStr">
        <is>
          <t>Monthly - Tuesday</t>
        </is>
      </c>
      <c r="J202" t="inlineStr">
        <is>
          <t>Same Month Expiry</t>
        </is>
      </c>
      <c r="K202" s="25" t="n">
        <v>1784357</v>
      </c>
      <c r="L202" s="26" t="n">
        <v>3371.5897</v>
      </c>
      <c r="M202" s="26" t="n">
        <v>15.3368</v>
      </c>
    </row>
    <row r="203" ht="16" customHeight="1">
      <c r="A203" t="inlineStr">
        <is>
          <t>16-Sep-2025</t>
        </is>
      </c>
      <c r="B203" t="inlineStr">
        <is>
          <t>Tuesday</t>
        </is>
      </c>
      <c r="C203" t="inlineStr">
        <is>
          <t>Week3-Sep-2025</t>
        </is>
      </c>
      <c r="D203" s="78" t="n">
        <v>45901</v>
      </c>
      <c r="E203" t="inlineStr">
        <is>
          <t>Q2FY26</t>
        </is>
      </c>
      <c r="F203" t="inlineStr">
        <is>
          <t>07-Oct-2025</t>
        </is>
      </c>
      <c r="G203" t="inlineStr">
        <is>
          <t>Tuesday</t>
        </is>
      </c>
      <c r="H203" t="inlineStr">
        <is>
          <t>Weekly - Tuesday</t>
        </is>
      </c>
      <c r="I203" t="inlineStr">
        <is>
          <t>Weekly - Tuesday</t>
        </is>
      </c>
      <c r="J203" t="inlineStr">
        <is>
          <t>Month+1 Expiry</t>
        </is>
      </c>
      <c r="K203" s="25" t="n">
        <v>30608</v>
      </c>
      <c r="L203" s="26" t="n">
        <v>58.0646</v>
      </c>
      <c r="M203" s="26" t="n">
        <v>0.2896</v>
      </c>
    </row>
    <row r="204" ht="16" customHeight="1">
      <c r="A204" t="inlineStr">
        <is>
          <t>16-Sep-2025</t>
        </is>
      </c>
      <c r="B204" t="inlineStr">
        <is>
          <t>Tuesday</t>
        </is>
      </c>
      <c r="C204" t="inlineStr">
        <is>
          <t>Week3-Sep-2025</t>
        </is>
      </c>
      <c r="D204" s="78" t="n">
        <v>45901</v>
      </c>
      <c r="E204" t="inlineStr">
        <is>
          <t>Q2FY26</t>
        </is>
      </c>
      <c r="F204" t="inlineStr">
        <is>
          <t>14-Oct-2025</t>
        </is>
      </c>
      <c r="G204" t="inlineStr">
        <is>
          <t>Tuesday</t>
        </is>
      </c>
      <c r="H204" t="inlineStr">
        <is>
          <t>Weekly - Tuesday</t>
        </is>
      </c>
      <c r="I204" t="inlineStr">
        <is>
          <t>Weekly - Tuesday</t>
        </is>
      </c>
      <c r="J204" t="inlineStr">
        <is>
          <t>Month+1 Expiry</t>
        </is>
      </c>
      <c r="K204" s="25" t="n">
        <v>4362</v>
      </c>
      <c r="L204" s="26" t="n">
        <v>8.305300000000001</v>
      </c>
      <c r="M204" s="26" t="n">
        <v>0.0631</v>
      </c>
    </row>
    <row r="205" ht="16" customHeight="1">
      <c r="A205" t="inlineStr">
        <is>
          <t>16-Sep-2025</t>
        </is>
      </c>
      <c r="B205" t="inlineStr">
        <is>
          <t>Tuesday</t>
        </is>
      </c>
      <c r="C205" t="inlineStr">
        <is>
          <t>Week3-Sep-2025</t>
        </is>
      </c>
      <c r="D205" s="78" t="n">
        <v>45901</v>
      </c>
      <c r="E205" t="inlineStr">
        <is>
          <t>Q2FY26</t>
        </is>
      </c>
      <c r="F205" t="inlineStr">
        <is>
          <t>28-Oct-2025</t>
        </is>
      </c>
      <c r="G205" t="inlineStr">
        <is>
          <t>Tuesday</t>
        </is>
      </c>
      <c r="H205" t="inlineStr">
        <is>
          <t>Monthly - Tuesday</t>
        </is>
      </c>
      <c r="I205" t="inlineStr">
        <is>
          <t>Monthly - Tuesday</t>
        </is>
      </c>
      <c r="J205" t="inlineStr">
        <is>
          <t>Month+1 Expiry</t>
        </is>
      </c>
      <c r="K205" s="25" t="n">
        <v>232397</v>
      </c>
      <c r="L205" s="26" t="n">
        <v>438.8971</v>
      </c>
      <c r="M205" s="26" t="n">
        <v>3.2037</v>
      </c>
    </row>
    <row r="206" ht="16" customHeight="1">
      <c r="A206" t="inlineStr">
        <is>
          <t>16-Sep-2025</t>
        </is>
      </c>
      <c r="B206" t="inlineStr">
        <is>
          <t>Tuesday</t>
        </is>
      </c>
      <c r="C206" t="inlineStr">
        <is>
          <t>Week3-Sep-2025</t>
        </is>
      </c>
      <c r="D206" s="78" t="n">
        <v>45901</v>
      </c>
      <c r="E206" t="inlineStr">
        <is>
          <t>Q2FY26</t>
        </is>
      </c>
      <c r="F206" t="inlineStr">
        <is>
          <t>25-Nov-2025</t>
        </is>
      </c>
      <c r="G206" t="inlineStr">
        <is>
          <t>Tuesday</t>
        </is>
      </c>
      <c r="H206" t="inlineStr">
        <is>
          <t>Monthly - Tuesday</t>
        </is>
      </c>
      <c r="I206" t="inlineStr">
        <is>
          <t>Monthly - Tuesday</t>
        </is>
      </c>
      <c r="J206" t="inlineStr">
        <is>
          <t>Month+2 Expiry</t>
        </is>
      </c>
      <c r="K206" s="25" t="n">
        <v>39790</v>
      </c>
      <c r="L206" s="26" t="n">
        <v>74.5569</v>
      </c>
      <c r="M206" s="26" t="n">
        <v>0.6514</v>
      </c>
    </row>
    <row r="207" ht="16" customHeight="1">
      <c r="A207" t="inlineStr">
        <is>
          <t>16-Sep-2025</t>
        </is>
      </c>
      <c r="B207" t="inlineStr">
        <is>
          <t>Tuesday</t>
        </is>
      </c>
      <c r="C207" t="inlineStr">
        <is>
          <t>Week3-Sep-2025</t>
        </is>
      </c>
      <c r="D207" s="78" t="n">
        <v>45901</v>
      </c>
      <c r="E207" t="inlineStr">
        <is>
          <t>Q2FY26</t>
        </is>
      </c>
      <c r="F207" t="inlineStr">
        <is>
          <t>30-Dec-2025</t>
        </is>
      </c>
      <c r="G207" t="inlineStr">
        <is>
          <t>Tuesday</t>
        </is>
      </c>
      <c r="H207" t="inlineStr">
        <is>
          <t>Monthly - Tuesday</t>
        </is>
      </c>
      <c r="I207" t="inlineStr">
        <is>
          <t>Monthly - Tuesday</t>
        </is>
      </c>
      <c r="J207" t="inlineStr">
        <is>
          <t>Month+3 Expiry</t>
        </is>
      </c>
      <c r="K207" s="25" t="n">
        <v>58754</v>
      </c>
      <c r="L207" s="26" t="n">
        <v>110.6312</v>
      </c>
      <c r="M207" s="26" t="n">
        <v>1.5627</v>
      </c>
    </row>
    <row r="208" ht="16" customHeight="1">
      <c r="A208" t="inlineStr">
        <is>
          <t>16-Sep-2025</t>
        </is>
      </c>
      <c r="B208" t="inlineStr">
        <is>
          <t>Tuesday</t>
        </is>
      </c>
      <c r="C208" t="inlineStr">
        <is>
          <t>Week3-Sep-2025</t>
        </is>
      </c>
      <c r="D208" s="78" t="n">
        <v>45901</v>
      </c>
      <c r="E208" t="inlineStr">
        <is>
          <t>Q2FY26</t>
        </is>
      </c>
      <c r="F208" t="inlineStr">
        <is>
          <t>31-Mar-2026</t>
        </is>
      </c>
      <c r="G208" t="inlineStr">
        <is>
          <t>Tuesday</t>
        </is>
      </c>
      <c r="H208" t="inlineStr">
        <is>
          <t>Monthly - Tuesday</t>
        </is>
      </c>
      <c r="I208" t="inlineStr">
        <is>
          <t>Monthly - Tuesday</t>
        </is>
      </c>
      <c r="J208" t="inlineStr">
        <is>
          <t>Month+6 Expiry</t>
        </is>
      </c>
      <c r="K208" s="25" t="n">
        <v>11081</v>
      </c>
      <c r="L208" s="26" t="n">
        <v>21.5935</v>
      </c>
      <c r="M208" s="26" t="n">
        <v>0.4229</v>
      </c>
    </row>
    <row r="209" ht="16" customHeight="1">
      <c r="A209" t="inlineStr">
        <is>
          <t>16-Sep-2025</t>
        </is>
      </c>
      <c r="B209" t="inlineStr">
        <is>
          <t>Tuesday</t>
        </is>
      </c>
      <c r="C209" t="inlineStr">
        <is>
          <t>Week3-Sep-2025</t>
        </is>
      </c>
      <c r="D209" s="78" t="n">
        <v>45901</v>
      </c>
      <c r="E209" t="inlineStr">
        <is>
          <t>Q2FY26</t>
        </is>
      </c>
      <c r="F209" t="inlineStr">
        <is>
          <t>30-Jun-2026</t>
        </is>
      </c>
      <c r="G209" t="inlineStr">
        <is>
          <t>Tuesday</t>
        </is>
      </c>
      <c r="H209" t="inlineStr">
        <is>
          <t>Monthly - Tuesday</t>
        </is>
      </c>
      <c r="I209" t="inlineStr">
        <is>
          <t>Monthly - Tuesday</t>
        </is>
      </c>
      <c r="J209" t="inlineStr">
        <is>
          <t>Month+9 Expiry</t>
        </is>
      </c>
      <c r="K209" s="25" t="n">
        <v>370</v>
      </c>
      <c r="L209" s="26" t="n">
        <v>0.7198</v>
      </c>
      <c r="M209" s="26" t="n">
        <v>0.0136</v>
      </c>
    </row>
    <row r="210" ht="16" customHeight="1">
      <c r="A210" t="inlineStr">
        <is>
          <t>16-Sep-2025</t>
        </is>
      </c>
      <c r="B210" t="inlineStr">
        <is>
          <t>Tuesday</t>
        </is>
      </c>
      <c r="C210" t="inlineStr">
        <is>
          <t>Week3-Sep-2025</t>
        </is>
      </c>
      <c r="D210" s="78" t="n">
        <v>45901</v>
      </c>
      <c r="E210" t="inlineStr">
        <is>
          <t>Q2FY26</t>
        </is>
      </c>
      <c r="F210" t="inlineStr">
        <is>
          <t>29-Dec-2026</t>
        </is>
      </c>
      <c r="G210" t="inlineStr">
        <is>
          <t>Tuesday</t>
        </is>
      </c>
      <c r="H210" t="inlineStr">
        <is>
          <t>Monthly - Tuesday</t>
        </is>
      </c>
      <c r="I210" t="inlineStr">
        <is>
          <t>Monthly - Tuesday</t>
        </is>
      </c>
      <c r="J210" t="inlineStr">
        <is>
          <t>Month+15 Expiry</t>
        </is>
      </c>
      <c r="K210" s="25" t="n">
        <v>1653</v>
      </c>
      <c r="L210" s="26" t="n">
        <v>3.3063</v>
      </c>
      <c r="M210" s="26" t="n">
        <v>0.1168</v>
      </c>
    </row>
    <row r="211" ht="16" customHeight="1">
      <c r="A211" t="inlineStr">
        <is>
          <t>16-Sep-2025</t>
        </is>
      </c>
      <c r="B211" t="inlineStr">
        <is>
          <t>Tuesday</t>
        </is>
      </c>
      <c r="C211" t="inlineStr">
        <is>
          <t>Week3-Sep-2025</t>
        </is>
      </c>
      <c r="D211" s="78" t="n">
        <v>45901</v>
      </c>
      <c r="E211" t="inlineStr">
        <is>
          <t>Q2FY26</t>
        </is>
      </c>
      <c r="F211" t="inlineStr">
        <is>
          <t>29-Jun-2027</t>
        </is>
      </c>
      <c r="G211" t="inlineStr">
        <is>
          <t>Tuesday</t>
        </is>
      </c>
      <c r="H211" t="inlineStr">
        <is>
          <t>Monthly - Tuesday</t>
        </is>
      </c>
      <c r="I211" t="inlineStr">
        <is>
          <t>Monthly - Tuesday</t>
        </is>
      </c>
      <c r="J211" t="inlineStr">
        <is>
          <t>Month+21 Expiry</t>
        </is>
      </c>
      <c r="K211" s="25" t="n">
        <v>0</v>
      </c>
      <c r="L211" s="26" t="n">
        <v>0</v>
      </c>
      <c r="M211" s="26" t="n">
        <v>0</v>
      </c>
    </row>
    <row r="212" ht="16" customHeight="1">
      <c r="A212" t="inlineStr">
        <is>
          <t>16-Sep-2025</t>
        </is>
      </c>
      <c r="B212" t="inlineStr">
        <is>
          <t>Tuesday</t>
        </is>
      </c>
      <c r="C212" t="inlineStr">
        <is>
          <t>Week3-Sep-2025</t>
        </is>
      </c>
      <c r="D212" s="78" t="n">
        <v>45901</v>
      </c>
      <c r="E212" t="inlineStr">
        <is>
          <t>Q2FY26</t>
        </is>
      </c>
      <c r="F212" t="inlineStr">
        <is>
          <t>28-Dec-2027</t>
        </is>
      </c>
      <c r="G212" t="inlineStr">
        <is>
          <t>Tuesday</t>
        </is>
      </c>
      <c r="H212" t="inlineStr">
        <is>
          <t>Monthly - Tuesday</t>
        </is>
      </c>
      <c r="I212" t="inlineStr">
        <is>
          <t>Monthly - Tuesday</t>
        </is>
      </c>
      <c r="J212" t="inlineStr">
        <is>
          <t>Month+27 Expiry</t>
        </is>
      </c>
      <c r="K212" s="25" t="n">
        <v>6</v>
      </c>
      <c r="L212" s="26" t="n">
        <v>0.012</v>
      </c>
      <c r="M212" s="26" t="n">
        <v>0.0005</v>
      </c>
    </row>
    <row r="213" ht="16" customHeight="1">
      <c r="A213" t="inlineStr">
        <is>
          <t>16-Sep-2025</t>
        </is>
      </c>
      <c r="B213" t="inlineStr">
        <is>
          <t>Tuesday</t>
        </is>
      </c>
      <c r="C213" t="inlineStr">
        <is>
          <t>Week3-Sep-2025</t>
        </is>
      </c>
      <c r="D213" s="78" t="n">
        <v>45901</v>
      </c>
      <c r="E213" t="inlineStr">
        <is>
          <t>Q2FY26</t>
        </is>
      </c>
      <c r="F213" t="inlineStr">
        <is>
          <t>27-Jun-2028</t>
        </is>
      </c>
      <c r="G213" t="inlineStr">
        <is>
          <t>Tuesday</t>
        </is>
      </c>
      <c r="H213" t="inlineStr">
        <is>
          <t>Monthly - Tuesday</t>
        </is>
      </c>
      <c r="I213" t="inlineStr">
        <is>
          <t>Monthly - Tuesday</t>
        </is>
      </c>
      <c r="J213" t="inlineStr">
        <is>
          <t>Month+33 Expiry</t>
        </is>
      </c>
      <c r="K213" s="25" t="n">
        <v>0</v>
      </c>
      <c r="L213" s="26" t="n">
        <v>0</v>
      </c>
      <c r="M213" s="26" t="n">
        <v>0</v>
      </c>
    </row>
    <row r="214" ht="16" customHeight="1">
      <c r="A214" t="inlineStr">
        <is>
          <t>16-Sep-2025</t>
        </is>
      </c>
      <c r="B214" t="inlineStr">
        <is>
          <t>Tuesday</t>
        </is>
      </c>
      <c r="C214" t="inlineStr">
        <is>
          <t>Week3-Sep-2025</t>
        </is>
      </c>
      <c r="D214" s="78" t="n">
        <v>45901</v>
      </c>
      <c r="E214" t="inlineStr">
        <is>
          <t>Q2FY26</t>
        </is>
      </c>
      <c r="F214" t="inlineStr">
        <is>
          <t>26-Dec-2028</t>
        </is>
      </c>
      <c r="G214" t="inlineStr">
        <is>
          <t>Tuesday</t>
        </is>
      </c>
      <c r="H214" t="inlineStr">
        <is>
          <t>Monthly - Tuesday</t>
        </is>
      </c>
      <c r="I214" t="inlineStr">
        <is>
          <t>Monthly - Tuesday</t>
        </is>
      </c>
      <c r="J214" t="inlineStr">
        <is>
          <t>Month+39 Expiry</t>
        </is>
      </c>
      <c r="K214" s="25" t="n">
        <v>106</v>
      </c>
      <c r="L214" s="26" t="n">
        <v>0.2583</v>
      </c>
      <c r="M214" s="26" t="n">
        <v>0.0198</v>
      </c>
    </row>
    <row r="215" ht="16" customHeight="1">
      <c r="A215" t="inlineStr">
        <is>
          <t>16-Sep-2025</t>
        </is>
      </c>
      <c r="B215" t="inlineStr">
        <is>
          <t>Tuesday</t>
        </is>
      </c>
      <c r="C215" t="inlineStr">
        <is>
          <t>Week3-Sep-2025</t>
        </is>
      </c>
      <c r="D215" s="78" t="n">
        <v>45901</v>
      </c>
      <c r="E215" t="inlineStr">
        <is>
          <t>Q2FY26</t>
        </is>
      </c>
      <c r="F215" t="inlineStr">
        <is>
          <t>26-Jun-2029</t>
        </is>
      </c>
      <c r="G215" t="inlineStr">
        <is>
          <t>Tuesday</t>
        </is>
      </c>
      <c r="H215" t="inlineStr">
        <is>
          <t>Monthly - Tuesday</t>
        </is>
      </c>
      <c r="I215" t="inlineStr">
        <is>
          <t>Monthly - Tuesday</t>
        </is>
      </c>
      <c r="J215" t="inlineStr">
        <is>
          <t>Month+45 Expiry</t>
        </is>
      </c>
      <c r="K215" s="25" t="n">
        <v>0</v>
      </c>
      <c r="L215" s="26" t="n">
        <v>0</v>
      </c>
      <c r="M215" s="26" t="n">
        <v>0</v>
      </c>
    </row>
    <row r="216" ht="16" customHeight="1">
      <c r="A216" t="inlineStr">
        <is>
          <t>16-Sep-2025</t>
        </is>
      </c>
      <c r="B216" t="inlineStr">
        <is>
          <t>Tuesday</t>
        </is>
      </c>
      <c r="C216" t="inlineStr">
        <is>
          <t>Week3-Sep-2025</t>
        </is>
      </c>
      <c r="D216" s="78" t="n">
        <v>45901</v>
      </c>
      <c r="E216" t="inlineStr">
        <is>
          <t>Q2FY26</t>
        </is>
      </c>
      <c r="F216" t="inlineStr">
        <is>
          <t>24-Dec-2029</t>
        </is>
      </c>
      <c r="G216" t="inlineStr">
        <is>
          <t>Monday</t>
        </is>
      </c>
      <c r="H216" t="inlineStr">
        <is>
          <t>Weekly - Monday</t>
        </is>
      </c>
      <c r="I216" t="inlineStr">
        <is>
          <t>Weekly - Monday</t>
        </is>
      </c>
      <c r="J216" t="inlineStr">
        <is>
          <t>Month+51 Expiry</t>
        </is>
      </c>
      <c r="K216" s="25" t="n">
        <v>0</v>
      </c>
      <c r="L216" s="26" t="n">
        <v>0</v>
      </c>
      <c r="M216" s="26" t="n">
        <v>0</v>
      </c>
    </row>
    <row r="217" ht="16" customHeight="1">
      <c r="A217" t="inlineStr">
        <is>
          <t>16-Sep-2025</t>
        </is>
      </c>
      <c r="B217" t="inlineStr">
        <is>
          <t>Tuesday</t>
        </is>
      </c>
      <c r="C217" t="inlineStr">
        <is>
          <t>Week3-Sep-2025</t>
        </is>
      </c>
      <c r="D217" s="78" t="n">
        <v>45901</v>
      </c>
      <c r="E217" t="inlineStr">
        <is>
          <t>Q2FY26</t>
        </is>
      </c>
      <c r="F217" t="inlineStr">
        <is>
          <t>25-Jun-2030</t>
        </is>
      </c>
      <c r="G217" t="inlineStr">
        <is>
          <t>Tuesday</t>
        </is>
      </c>
      <c r="H217" t="inlineStr">
        <is>
          <t>Monthly - Tuesday</t>
        </is>
      </c>
      <c r="I217" t="inlineStr">
        <is>
          <t>Monthly - Tuesday</t>
        </is>
      </c>
      <c r="J217" t="inlineStr">
        <is>
          <t>Month+57 Expiry</t>
        </is>
      </c>
      <c r="K217" s="25" t="n">
        <v>0</v>
      </c>
      <c r="L217" s="26" t="n">
        <v>0</v>
      </c>
      <c r="M217" s="26" t="n">
        <v>0</v>
      </c>
    </row>
    <row r="218" ht="16" customHeight="1">
      <c r="A218" t="inlineStr">
        <is>
          <t>17-Sep-2025</t>
        </is>
      </c>
      <c r="B218" t="inlineStr">
        <is>
          <t>Wednesday</t>
        </is>
      </c>
      <c r="C218" t="inlineStr">
        <is>
          <t>Week3-Sep-2025</t>
        </is>
      </c>
      <c r="D218" s="78" t="n">
        <v>45901</v>
      </c>
      <c r="E218" t="inlineStr">
        <is>
          <t>Q2FY26</t>
        </is>
      </c>
      <c r="F218" t="inlineStr">
        <is>
          <t>23-Sep-2025</t>
        </is>
      </c>
      <c r="G218" t="inlineStr">
        <is>
          <t>Tuesday</t>
        </is>
      </c>
      <c r="H218" t="inlineStr">
        <is>
          <t>Weekly - Tuesday</t>
        </is>
      </c>
      <c r="I218" t="inlineStr">
        <is>
          <t>Weekly - Tuesday</t>
        </is>
      </c>
      <c r="J218" t="inlineStr">
        <is>
          <t>Same Month Expiry</t>
        </is>
      </c>
      <c r="K218" s="25" t="n">
        <v>38570402</v>
      </c>
      <c r="L218" s="26" t="n">
        <v>73374.60460000001</v>
      </c>
      <c r="M218" s="26" t="n">
        <v>194.1146</v>
      </c>
    </row>
    <row r="219" ht="16" customHeight="1">
      <c r="A219" t="inlineStr">
        <is>
          <t>17-Sep-2025</t>
        </is>
      </c>
      <c r="B219" t="inlineStr">
        <is>
          <t>Wednesday</t>
        </is>
      </c>
      <c r="C219" t="inlineStr">
        <is>
          <t>Week3-Sep-2025</t>
        </is>
      </c>
      <c r="D219" s="78" t="n">
        <v>45901</v>
      </c>
      <c r="E219" t="inlineStr">
        <is>
          <t>Q2FY26</t>
        </is>
      </c>
      <c r="F219" t="inlineStr">
        <is>
          <t>30-Sep-2025</t>
        </is>
      </c>
      <c r="G219" t="inlineStr">
        <is>
          <t>Tuesday</t>
        </is>
      </c>
      <c r="H219" t="inlineStr">
        <is>
          <t>Monthly - Tuesday</t>
        </is>
      </c>
      <c r="I219" t="inlineStr">
        <is>
          <t>Monthly - Tuesday</t>
        </is>
      </c>
      <c r="J219" t="inlineStr">
        <is>
          <t>Same Month Expiry</t>
        </is>
      </c>
      <c r="K219" s="25" t="n">
        <v>2322510</v>
      </c>
      <c r="L219" s="26" t="n">
        <v>4409.6721</v>
      </c>
      <c r="M219" s="26" t="n">
        <v>17.1842</v>
      </c>
    </row>
    <row r="220" ht="16" customHeight="1">
      <c r="A220" t="inlineStr">
        <is>
          <t>17-Sep-2025</t>
        </is>
      </c>
      <c r="B220" t="inlineStr">
        <is>
          <t>Wednesday</t>
        </is>
      </c>
      <c r="C220" t="inlineStr">
        <is>
          <t>Week3-Sep-2025</t>
        </is>
      </c>
      <c r="D220" s="78" t="n">
        <v>45901</v>
      </c>
      <c r="E220" t="inlineStr">
        <is>
          <t>Q2FY26</t>
        </is>
      </c>
      <c r="F220" t="inlineStr">
        <is>
          <t>07-Oct-2025</t>
        </is>
      </c>
      <c r="G220" t="inlineStr">
        <is>
          <t>Tuesday</t>
        </is>
      </c>
      <c r="H220" t="inlineStr">
        <is>
          <t>Weekly - Tuesday</t>
        </is>
      </c>
      <c r="I220" t="inlineStr">
        <is>
          <t>Weekly - Tuesday</t>
        </is>
      </c>
      <c r="J220" t="inlineStr">
        <is>
          <t>Month+1 Expiry</t>
        </is>
      </c>
      <c r="K220" s="25" t="n">
        <v>70322</v>
      </c>
      <c r="L220" s="26" t="n">
        <v>134.7371</v>
      </c>
      <c r="M220" s="26" t="n">
        <v>0.5891</v>
      </c>
    </row>
    <row r="221" ht="16" customHeight="1">
      <c r="A221" t="inlineStr">
        <is>
          <t>17-Sep-2025</t>
        </is>
      </c>
      <c r="B221" t="inlineStr">
        <is>
          <t>Wednesday</t>
        </is>
      </c>
      <c r="C221" t="inlineStr">
        <is>
          <t>Week3-Sep-2025</t>
        </is>
      </c>
      <c r="D221" s="78" t="n">
        <v>45901</v>
      </c>
      <c r="E221" t="inlineStr">
        <is>
          <t>Q2FY26</t>
        </is>
      </c>
      <c r="F221" t="inlineStr">
        <is>
          <t>14-Oct-2025</t>
        </is>
      </c>
      <c r="G221" t="inlineStr">
        <is>
          <t>Tuesday</t>
        </is>
      </c>
      <c r="H221" t="inlineStr">
        <is>
          <t>Weekly - Tuesday</t>
        </is>
      </c>
      <c r="I221" t="inlineStr">
        <is>
          <t>Weekly - Tuesday</t>
        </is>
      </c>
      <c r="J221" t="inlineStr">
        <is>
          <t>Month+1 Expiry</t>
        </is>
      </c>
      <c r="K221" s="25" t="n">
        <v>6116</v>
      </c>
      <c r="L221" s="26" t="n">
        <v>11.7354</v>
      </c>
      <c r="M221" s="26" t="n">
        <v>0.0761</v>
      </c>
    </row>
    <row r="222" ht="16" customHeight="1">
      <c r="A222" t="inlineStr">
        <is>
          <t>17-Sep-2025</t>
        </is>
      </c>
      <c r="B222" t="inlineStr">
        <is>
          <t>Wednesday</t>
        </is>
      </c>
      <c r="C222" t="inlineStr">
        <is>
          <t>Week3-Sep-2025</t>
        </is>
      </c>
      <c r="D222" s="78" t="n">
        <v>45901</v>
      </c>
      <c r="E222" t="inlineStr">
        <is>
          <t>Q2FY26</t>
        </is>
      </c>
      <c r="F222" t="inlineStr">
        <is>
          <t>20-Oct-2025</t>
        </is>
      </c>
      <c r="G222" t="inlineStr">
        <is>
          <t>Monday</t>
        </is>
      </c>
      <c r="H222" t="inlineStr">
        <is>
          <t>Weekly - Monday</t>
        </is>
      </c>
      <c r="I222" t="inlineStr">
        <is>
          <t>Weekly - Monday</t>
        </is>
      </c>
      <c r="J222" t="inlineStr">
        <is>
          <t>Month+1 Expiry</t>
        </is>
      </c>
      <c r="K222" s="25" t="n">
        <v>119</v>
      </c>
      <c r="L222" s="26" t="n">
        <v>0.2306</v>
      </c>
      <c r="M222" s="26" t="n">
        <v>0.0033</v>
      </c>
    </row>
    <row r="223" ht="16" customHeight="1">
      <c r="A223" t="inlineStr">
        <is>
          <t>17-Sep-2025</t>
        </is>
      </c>
      <c r="B223" t="inlineStr">
        <is>
          <t>Wednesday</t>
        </is>
      </c>
      <c r="C223" t="inlineStr">
        <is>
          <t>Week3-Sep-2025</t>
        </is>
      </c>
      <c r="D223" s="78" t="n">
        <v>45901</v>
      </c>
      <c r="E223" t="inlineStr">
        <is>
          <t>Q2FY26</t>
        </is>
      </c>
      <c r="F223" t="inlineStr">
        <is>
          <t>28-Oct-2025</t>
        </is>
      </c>
      <c r="G223" t="inlineStr">
        <is>
          <t>Tuesday</t>
        </is>
      </c>
      <c r="H223" t="inlineStr">
        <is>
          <t>Monthly - Tuesday</t>
        </is>
      </c>
      <c r="I223" t="inlineStr">
        <is>
          <t>Monthly - Tuesday</t>
        </is>
      </c>
      <c r="J223" t="inlineStr">
        <is>
          <t>Month+1 Expiry</t>
        </is>
      </c>
      <c r="K223" s="25" t="n">
        <v>328795</v>
      </c>
      <c r="L223" s="26" t="n">
        <v>623.9633</v>
      </c>
      <c r="M223" s="26" t="n">
        <v>4.1152</v>
      </c>
    </row>
    <row r="224" ht="16" customHeight="1">
      <c r="A224" t="inlineStr">
        <is>
          <t>17-Sep-2025</t>
        </is>
      </c>
      <c r="B224" t="inlineStr">
        <is>
          <t>Wednesday</t>
        </is>
      </c>
      <c r="C224" t="inlineStr">
        <is>
          <t>Week3-Sep-2025</t>
        </is>
      </c>
      <c r="D224" s="78" t="n">
        <v>45901</v>
      </c>
      <c r="E224" t="inlineStr">
        <is>
          <t>Q2FY26</t>
        </is>
      </c>
      <c r="F224" t="inlineStr">
        <is>
          <t>25-Nov-2025</t>
        </is>
      </c>
      <c r="G224" t="inlineStr">
        <is>
          <t>Tuesday</t>
        </is>
      </c>
      <c r="H224" t="inlineStr">
        <is>
          <t>Monthly - Tuesday</t>
        </is>
      </c>
      <c r="I224" t="inlineStr">
        <is>
          <t>Monthly - Tuesday</t>
        </is>
      </c>
      <c r="J224" t="inlineStr">
        <is>
          <t>Month+2 Expiry</t>
        </is>
      </c>
      <c r="K224" s="25" t="n">
        <v>50854</v>
      </c>
      <c r="L224" s="26" t="n">
        <v>96.2927</v>
      </c>
      <c r="M224" s="26" t="n">
        <v>0.9473</v>
      </c>
    </row>
    <row r="225" ht="16" customHeight="1">
      <c r="A225" t="inlineStr">
        <is>
          <t>17-Sep-2025</t>
        </is>
      </c>
      <c r="B225" t="inlineStr">
        <is>
          <t>Wednesday</t>
        </is>
      </c>
      <c r="C225" t="inlineStr">
        <is>
          <t>Week3-Sep-2025</t>
        </is>
      </c>
      <c r="D225" s="78" t="n">
        <v>45901</v>
      </c>
      <c r="E225" t="inlineStr">
        <is>
          <t>Q2FY26</t>
        </is>
      </c>
      <c r="F225" t="inlineStr">
        <is>
          <t>30-Dec-2025</t>
        </is>
      </c>
      <c r="G225" t="inlineStr">
        <is>
          <t>Tuesday</t>
        </is>
      </c>
      <c r="H225" t="inlineStr">
        <is>
          <t>Monthly - Tuesday</t>
        </is>
      </c>
      <c r="I225" t="inlineStr">
        <is>
          <t>Monthly - Tuesday</t>
        </is>
      </c>
      <c r="J225" t="inlineStr">
        <is>
          <t>Month+3 Expiry</t>
        </is>
      </c>
      <c r="K225" s="25" t="n">
        <v>69100</v>
      </c>
      <c r="L225" s="26" t="n">
        <v>131.4864</v>
      </c>
      <c r="M225" s="26" t="n">
        <v>1.7947</v>
      </c>
    </row>
    <row r="226" ht="16" customHeight="1">
      <c r="A226" t="inlineStr">
        <is>
          <t>17-Sep-2025</t>
        </is>
      </c>
      <c r="B226" t="inlineStr">
        <is>
          <t>Wednesday</t>
        </is>
      </c>
      <c r="C226" t="inlineStr">
        <is>
          <t>Week3-Sep-2025</t>
        </is>
      </c>
      <c r="D226" s="78" t="n">
        <v>45901</v>
      </c>
      <c r="E226" t="inlineStr">
        <is>
          <t>Q2FY26</t>
        </is>
      </c>
      <c r="F226" t="inlineStr">
        <is>
          <t>31-Mar-2026</t>
        </is>
      </c>
      <c r="G226" t="inlineStr">
        <is>
          <t>Tuesday</t>
        </is>
      </c>
      <c r="H226" t="inlineStr">
        <is>
          <t>Monthly - Tuesday</t>
        </is>
      </c>
      <c r="I226" t="inlineStr">
        <is>
          <t>Monthly - Tuesday</t>
        </is>
      </c>
      <c r="J226" t="inlineStr">
        <is>
          <t>Month+6 Expiry</t>
        </is>
      </c>
      <c r="K226" s="25" t="n">
        <v>15640</v>
      </c>
      <c r="L226" s="26" t="n">
        <v>30.1442</v>
      </c>
      <c r="M226" s="26" t="n">
        <v>0.5935</v>
      </c>
    </row>
    <row r="227" ht="16" customHeight="1">
      <c r="A227" t="inlineStr">
        <is>
          <t>17-Sep-2025</t>
        </is>
      </c>
      <c r="B227" t="inlineStr">
        <is>
          <t>Wednesday</t>
        </is>
      </c>
      <c r="C227" t="inlineStr">
        <is>
          <t>Week3-Sep-2025</t>
        </is>
      </c>
      <c r="D227" s="78" t="n">
        <v>45901</v>
      </c>
      <c r="E227" t="inlineStr">
        <is>
          <t>Q2FY26</t>
        </is>
      </c>
      <c r="F227" t="inlineStr">
        <is>
          <t>30-Jun-2026</t>
        </is>
      </c>
      <c r="G227" t="inlineStr">
        <is>
          <t>Tuesday</t>
        </is>
      </c>
      <c r="H227" t="inlineStr">
        <is>
          <t>Monthly - Tuesday</t>
        </is>
      </c>
      <c r="I227" t="inlineStr">
        <is>
          <t>Monthly - Tuesday</t>
        </is>
      </c>
      <c r="J227" t="inlineStr">
        <is>
          <t>Month+9 Expiry</t>
        </is>
      </c>
      <c r="K227" s="25" t="n">
        <v>292</v>
      </c>
      <c r="L227" s="26" t="n">
        <v>0.5523</v>
      </c>
      <c r="M227" s="26" t="n">
        <v>0.0137</v>
      </c>
    </row>
    <row r="228" ht="16" customHeight="1">
      <c r="A228" t="inlineStr">
        <is>
          <t>17-Sep-2025</t>
        </is>
      </c>
      <c r="B228" t="inlineStr">
        <is>
          <t>Wednesday</t>
        </is>
      </c>
      <c r="C228" t="inlineStr">
        <is>
          <t>Week3-Sep-2025</t>
        </is>
      </c>
      <c r="D228" s="78" t="n">
        <v>45901</v>
      </c>
      <c r="E228" t="inlineStr">
        <is>
          <t>Q2FY26</t>
        </is>
      </c>
      <c r="F228" t="inlineStr">
        <is>
          <t>29-Dec-2026</t>
        </is>
      </c>
      <c r="G228" t="inlineStr">
        <is>
          <t>Tuesday</t>
        </is>
      </c>
      <c r="H228" t="inlineStr">
        <is>
          <t>Monthly - Tuesday</t>
        </is>
      </c>
      <c r="I228" t="inlineStr">
        <is>
          <t>Monthly - Tuesday</t>
        </is>
      </c>
      <c r="J228" t="inlineStr">
        <is>
          <t>Month+15 Expiry</t>
        </is>
      </c>
      <c r="K228" s="25" t="n">
        <v>1364</v>
      </c>
      <c r="L228" s="26" t="n">
        <v>2.7016</v>
      </c>
      <c r="M228" s="26" t="n">
        <v>0.08740000000000001</v>
      </c>
    </row>
    <row r="229" ht="16" customHeight="1">
      <c r="A229" t="inlineStr">
        <is>
          <t>17-Sep-2025</t>
        </is>
      </c>
      <c r="B229" t="inlineStr">
        <is>
          <t>Wednesday</t>
        </is>
      </c>
      <c r="C229" t="inlineStr">
        <is>
          <t>Week3-Sep-2025</t>
        </is>
      </c>
      <c r="D229" s="78" t="n">
        <v>45901</v>
      </c>
      <c r="E229" t="inlineStr">
        <is>
          <t>Q2FY26</t>
        </is>
      </c>
      <c r="F229" t="inlineStr">
        <is>
          <t>29-Jun-2027</t>
        </is>
      </c>
      <c r="G229" t="inlineStr">
        <is>
          <t>Tuesday</t>
        </is>
      </c>
      <c r="H229" t="inlineStr">
        <is>
          <t>Monthly - Tuesday</t>
        </is>
      </c>
      <c r="I229" t="inlineStr">
        <is>
          <t>Monthly - Tuesday</t>
        </is>
      </c>
      <c r="J229" t="inlineStr">
        <is>
          <t>Month+21 Expiry</t>
        </is>
      </c>
      <c r="K229" s="25" t="n">
        <v>0</v>
      </c>
      <c r="L229" s="26" t="n">
        <v>0</v>
      </c>
      <c r="M229" s="26" t="n">
        <v>0</v>
      </c>
    </row>
    <row r="230" ht="16" customHeight="1">
      <c r="A230" t="inlineStr">
        <is>
          <t>17-Sep-2025</t>
        </is>
      </c>
      <c r="B230" t="inlineStr">
        <is>
          <t>Wednesday</t>
        </is>
      </c>
      <c r="C230" t="inlineStr">
        <is>
          <t>Week3-Sep-2025</t>
        </is>
      </c>
      <c r="D230" s="78" t="n">
        <v>45901</v>
      </c>
      <c r="E230" t="inlineStr">
        <is>
          <t>Q2FY26</t>
        </is>
      </c>
      <c r="F230" t="inlineStr">
        <is>
          <t>28-Dec-2027</t>
        </is>
      </c>
      <c r="G230" t="inlineStr">
        <is>
          <t>Tuesday</t>
        </is>
      </c>
      <c r="H230" t="inlineStr">
        <is>
          <t>Monthly - Tuesday</t>
        </is>
      </c>
      <c r="I230" t="inlineStr">
        <is>
          <t>Monthly - Tuesday</t>
        </is>
      </c>
      <c r="J230" t="inlineStr">
        <is>
          <t>Month+27 Expiry</t>
        </is>
      </c>
      <c r="K230" s="25" t="n">
        <v>11</v>
      </c>
      <c r="L230" s="26" t="n">
        <v>0.0215</v>
      </c>
      <c r="M230" s="26" t="n">
        <v>0.0008</v>
      </c>
    </row>
    <row r="231" ht="16" customHeight="1">
      <c r="A231" t="inlineStr">
        <is>
          <t>17-Sep-2025</t>
        </is>
      </c>
      <c r="B231" t="inlineStr">
        <is>
          <t>Wednesday</t>
        </is>
      </c>
      <c r="C231" t="inlineStr">
        <is>
          <t>Week3-Sep-2025</t>
        </is>
      </c>
      <c r="D231" s="78" t="n">
        <v>45901</v>
      </c>
      <c r="E231" t="inlineStr">
        <is>
          <t>Q2FY26</t>
        </is>
      </c>
      <c r="F231" t="inlineStr">
        <is>
          <t>27-Jun-2028</t>
        </is>
      </c>
      <c r="G231" t="inlineStr">
        <is>
          <t>Tuesday</t>
        </is>
      </c>
      <c r="H231" t="inlineStr">
        <is>
          <t>Monthly - Tuesday</t>
        </is>
      </c>
      <c r="I231" t="inlineStr">
        <is>
          <t>Monthly - Tuesday</t>
        </is>
      </c>
      <c r="J231" t="inlineStr">
        <is>
          <t>Month+33 Expiry</t>
        </is>
      </c>
      <c r="K231" s="25" t="n">
        <v>0</v>
      </c>
      <c r="L231" s="26" t="n">
        <v>0</v>
      </c>
      <c r="M231" s="26" t="n">
        <v>0</v>
      </c>
    </row>
    <row r="232" ht="16" customHeight="1">
      <c r="A232" t="inlineStr">
        <is>
          <t>17-Sep-2025</t>
        </is>
      </c>
      <c r="B232" t="inlineStr">
        <is>
          <t>Wednesday</t>
        </is>
      </c>
      <c r="C232" t="inlineStr">
        <is>
          <t>Week3-Sep-2025</t>
        </is>
      </c>
      <c r="D232" s="78" t="n">
        <v>45901</v>
      </c>
      <c r="E232" t="inlineStr">
        <is>
          <t>Q2FY26</t>
        </is>
      </c>
      <c r="F232" t="inlineStr">
        <is>
          <t>26-Dec-2028</t>
        </is>
      </c>
      <c r="G232" t="inlineStr">
        <is>
          <t>Tuesday</t>
        </is>
      </c>
      <c r="H232" t="inlineStr">
        <is>
          <t>Monthly - Tuesday</t>
        </is>
      </c>
      <c r="I232" t="inlineStr">
        <is>
          <t>Monthly - Tuesday</t>
        </is>
      </c>
      <c r="J232" t="inlineStr">
        <is>
          <t>Month+39 Expiry</t>
        </is>
      </c>
      <c r="K232" s="25" t="n">
        <v>213</v>
      </c>
      <c r="L232" s="26" t="n">
        <v>0.5194</v>
      </c>
      <c r="M232" s="26" t="n">
        <v>0.0405</v>
      </c>
    </row>
    <row r="233" ht="16" customHeight="1">
      <c r="A233" t="inlineStr">
        <is>
          <t>17-Sep-2025</t>
        </is>
      </c>
      <c r="B233" t="inlineStr">
        <is>
          <t>Wednesday</t>
        </is>
      </c>
      <c r="C233" t="inlineStr">
        <is>
          <t>Week3-Sep-2025</t>
        </is>
      </c>
      <c r="D233" s="78" t="n">
        <v>45901</v>
      </c>
      <c r="E233" t="inlineStr">
        <is>
          <t>Q2FY26</t>
        </is>
      </c>
      <c r="F233" t="inlineStr">
        <is>
          <t>26-Jun-2029</t>
        </is>
      </c>
      <c r="G233" t="inlineStr">
        <is>
          <t>Tuesday</t>
        </is>
      </c>
      <c r="H233" t="inlineStr">
        <is>
          <t>Monthly - Tuesday</t>
        </is>
      </c>
      <c r="I233" t="inlineStr">
        <is>
          <t>Monthly - Tuesday</t>
        </is>
      </c>
      <c r="J233" t="inlineStr">
        <is>
          <t>Month+45 Expiry</t>
        </is>
      </c>
      <c r="K233" s="25" t="n">
        <v>0</v>
      </c>
      <c r="L233" s="26" t="n">
        <v>0</v>
      </c>
      <c r="M233" s="26" t="n">
        <v>0</v>
      </c>
    </row>
    <row r="234" ht="16" customHeight="1">
      <c r="A234" t="inlineStr">
        <is>
          <t>17-Sep-2025</t>
        </is>
      </c>
      <c r="B234" t="inlineStr">
        <is>
          <t>Wednesday</t>
        </is>
      </c>
      <c r="C234" t="inlineStr">
        <is>
          <t>Week3-Sep-2025</t>
        </is>
      </c>
      <c r="D234" s="78" t="n">
        <v>45901</v>
      </c>
      <c r="E234" t="inlineStr">
        <is>
          <t>Q2FY26</t>
        </is>
      </c>
      <c r="F234" t="inlineStr">
        <is>
          <t>24-Dec-2029</t>
        </is>
      </c>
      <c r="G234" t="inlineStr">
        <is>
          <t>Monday</t>
        </is>
      </c>
      <c r="H234" t="inlineStr">
        <is>
          <t>Weekly - Monday</t>
        </is>
      </c>
      <c r="I234" t="inlineStr">
        <is>
          <t>Weekly - Monday</t>
        </is>
      </c>
      <c r="J234" t="inlineStr">
        <is>
          <t>Month+51 Expiry</t>
        </is>
      </c>
      <c r="K234" s="25" t="n">
        <v>0</v>
      </c>
      <c r="L234" s="26" t="n">
        <v>0</v>
      </c>
      <c r="M234" s="26" t="n">
        <v>0</v>
      </c>
    </row>
    <row r="235" ht="16" customHeight="1">
      <c r="A235" t="inlineStr">
        <is>
          <t>17-Sep-2025</t>
        </is>
      </c>
      <c r="B235" t="inlineStr">
        <is>
          <t>Wednesday</t>
        </is>
      </c>
      <c r="C235" t="inlineStr">
        <is>
          <t>Week3-Sep-2025</t>
        </is>
      </c>
      <c r="D235" s="78" t="n">
        <v>45901</v>
      </c>
      <c r="E235" t="inlineStr">
        <is>
          <t>Q2FY26</t>
        </is>
      </c>
      <c r="F235" t="inlineStr">
        <is>
          <t>25-Jun-2030</t>
        </is>
      </c>
      <c r="G235" t="inlineStr">
        <is>
          <t>Tuesday</t>
        </is>
      </c>
      <c r="H235" t="inlineStr">
        <is>
          <t>Monthly - Tuesday</t>
        </is>
      </c>
      <c r="I235" t="inlineStr">
        <is>
          <t>Monthly - Tuesday</t>
        </is>
      </c>
      <c r="J235" t="inlineStr">
        <is>
          <t>Month+57 Expiry</t>
        </is>
      </c>
      <c r="K235" s="25" t="n">
        <v>0</v>
      </c>
      <c r="L235" s="26" t="n">
        <v>0</v>
      </c>
      <c r="M235" s="26" t="n">
        <v>0</v>
      </c>
    </row>
    <row r="236" ht="16" customHeight="1">
      <c r="A236" t="inlineStr">
        <is>
          <t>18-Sep-2025</t>
        </is>
      </c>
      <c r="B236" t="inlineStr">
        <is>
          <t>Thursday</t>
        </is>
      </c>
      <c r="C236" t="inlineStr">
        <is>
          <t>Week3-Sep-2025</t>
        </is>
      </c>
      <c r="D236" s="78" t="n">
        <v>45901</v>
      </c>
      <c r="E236" t="inlineStr">
        <is>
          <t>Q2FY26</t>
        </is>
      </c>
      <c r="F236" t="inlineStr">
        <is>
          <t>23-Sep-2025</t>
        </is>
      </c>
      <c r="G236" t="inlineStr">
        <is>
          <t>Tuesday</t>
        </is>
      </c>
      <c r="H236" t="inlineStr">
        <is>
          <t>Weekly - Tuesday</t>
        </is>
      </c>
      <c r="I236" t="inlineStr">
        <is>
          <t>Weekly - Tuesday</t>
        </is>
      </c>
      <c r="J236" t="inlineStr">
        <is>
          <t>Same Month Expiry</t>
        </is>
      </c>
      <c r="K236" s="25" t="n">
        <v>48837235</v>
      </c>
      <c r="L236" s="26" t="n">
        <v>93026.5702</v>
      </c>
      <c r="M236" s="26" t="n">
        <v>188.7064</v>
      </c>
    </row>
    <row r="237" ht="16" customHeight="1">
      <c r="A237" t="inlineStr">
        <is>
          <t>18-Sep-2025</t>
        </is>
      </c>
      <c r="B237" t="inlineStr">
        <is>
          <t>Thursday</t>
        </is>
      </c>
      <c r="C237" t="inlineStr">
        <is>
          <t>Week3-Sep-2025</t>
        </is>
      </c>
      <c r="D237" s="78" t="n">
        <v>45901</v>
      </c>
      <c r="E237" t="inlineStr">
        <is>
          <t>Q2FY26</t>
        </is>
      </c>
      <c r="F237" t="inlineStr">
        <is>
          <t>30-Sep-2025</t>
        </is>
      </c>
      <c r="G237" t="inlineStr">
        <is>
          <t>Tuesday</t>
        </is>
      </c>
      <c r="H237" t="inlineStr">
        <is>
          <t>Monthly - Tuesday</t>
        </is>
      </c>
      <c r="I237" t="inlineStr">
        <is>
          <t>Monthly - Tuesday</t>
        </is>
      </c>
      <c r="J237" t="inlineStr">
        <is>
          <t>Same Month Expiry</t>
        </is>
      </c>
      <c r="K237" s="25" t="n">
        <v>2866624</v>
      </c>
      <c r="L237" s="26" t="n">
        <v>5457.2358</v>
      </c>
      <c r="M237" s="26" t="n">
        <v>19.1703</v>
      </c>
    </row>
    <row r="238" ht="16" customHeight="1">
      <c r="A238" t="inlineStr">
        <is>
          <t>18-Sep-2025</t>
        </is>
      </c>
      <c r="B238" t="inlineStr">
        <is>
          <t>Thursday</t>
        </is>
      </c>
      <c r="C238" t="inlineStr">
        <is>
          <t>Week3-Sep-2025</t>
        </is>
      </c>
      <c r="D238" s="78" t="n">
        <v>45901</v>
      </c>
      <c r="E238" t="inlineStr">
        <is>
          <t>Q2FY26</t>
        </is>
      </c>
      <c r="F238" t="inlineStr">
        <is>
          <t>07-Oct-2025</t>
        </is>
      </c>
      <c r="G238" t="inlineStr">
        <is>
          <t>Tuesday</t>
        </is>
      </c>
      <c r="H238" t="inlineStr">
        <is>
          <t>Weekly - Tuesday</t>
        </is>
      </c>
      <c r="I238" t="inlineStr">
        <is>
          <t>Weekly - Tuesday</t>
        </is>
      </c>
      <c r="J238" t="inlineStr">
        <is>
          <t>Month+1 Expiry</t>
        </is>
      </c>
      <c r="K238" s="25" t="n">
        <v>88457</v>
      </c>
      <c r="L238" s="26" t="n">
        <v>169.2915</v>
      </c>
      <c r="M238" s="26" t="n">
        <v>0.7573</v>
      </c>
    </row>
    <row r="239" ht="16" customHeight="1">
      <c r="A239" t="inlineStr">
        <is>
          <t>18-Sep-2025</t>
        </is>
      </c>
      <c r="B239" t="inlineStr">
        <is>
          <t>Thursday</t>
        </is>
      </c>
      <c r="C239" t="inlineStr">
        <is>
          <t>Week3-Sep-2025</t>
        </is>
      </c>
      <c r="D239" s="78" t="n">
        <v>45901</v>
      </c>
      <c r="E239" t="inlineStr">
        <is>
          <t>Q2FY26</t>
        </is>
      </c>
      <c r="F239" t="inlineStr">
        <is>
          <t>14-Oct-2025</t>
        </is>
      </c>
      <c r="G239" t="inlineStr">
        <is>
          <t>Tuesday</t>
        </is>
      </c>
      <c r="H239" t="inlineStr">
        <is>
          <t>Weekly - Tuesday</t>
        </is>
      </c>
      <c r="I239" t="inlineStr">
        <is>
          <t>Weekly - Tuesday</t>
        </is>
      </c>
      <c r="J239" t="inlineStr">
        <is>
          <t>Month+1 Expiry</t>
        </is>
      </c>
      <c r="K239" s="25" t="n">
        <v>7676</v>
      </c>
      <c r="L239" s="26" t="n">
        <v>14.619</v>
      </c>
      <c r="M239" s="26" t="n">
        <v>0.0799</v>
      </c>
    </row>
    <row r="240" ht="16" customHeight="1">
      <c r="A240" t="inlineStr">
        <is>
          <t>18-Sep-2025</t>
        </is>
      </c>
      <c r="B240" t="inlineStr">
        <is>
          <t>Thursday</t>
        </is>
      </c>
      <c r="C240" t="inlineStr">
        <is>
          <t>Week3-Sep-2025</t>
        </is>
      </c>
      <c r="D240" s="78" t="n">
        <v>45901</v>
      </c>
      <c r="E240" t="inlineStr">
        <is>
          <t>Q2FY26</t>
        </is>
      </c>
      <c r="F240" t="inlineStr">
        <is>
          <t>20-Oct-2025</t>
        </is>
      </c>
      <c r="G240" t="inlineStr">
        <is>
          <t>Monday</t>
        </is>
      </c>
      <c r="H240" t="inlineStr">
        <is>
          <t>Weekly - Monday</t>
        </is>
      </c>
      <c r="I240" t="inlineStr">
        <is>
          <t>Weekly - Monday</t>
        </is>
      </c>
      <c r="J240" t="inlineStr">
        <is>
          <t>Month+1 Expiry</t>
        </is>
      </c>
      <c r="K240" s="25" t="n">
        <v>494</v>
      </c>
      <c r="L240" s="26" t="n">
        <v>0.9520999999999999</v>
      </c>
      <c r="M240" s="26" t="n">
        <v>0.0078</v>
      </c>
    </row>
    <row r="241" ht="16" customHeight="1">
      <c r="A241" t="inlineStr">
        <is>
          <t>18-Sep-2025</t>
        </is>
      </c>
      <c r="B241" t="inlineStr">
        <is>
          <t>Thursday</t>
        </is>
      </c>
      <c r="C241" t="inlineStr">
        <is>
          <t>Week3-Sep-2025</t>
        </is>
      </c>
      <c r="D241" s="78" t="n">
        <v>45901</v>
      </c>
      <c r="E241" t="inlineStr">
        <is>
          <t>Q2FY26</t>
        </is>
      </c>
      <c r="F241" t="inlineStr">
        <is>
          <t>28-Oct-2025</t>
        </is>
      </c>
      <c r="G241" t="inlineStr">
        <is>
          <t>Tuesday</t>
        </is>
      </c>
      <c r="H241" t="inlineStr">
        <is>
          <t>Monthly - Tuesday</t>
        </is>
      </c>
      <c r="I241" t="inlineStr">
        <is>
          <t>Monthly - Tuesday</t>
        </is>
      </c>
      <c r="J241" t="inlineStr">
        <is>
          <t>Month+1 Expiry</t>
        </is>
      </c>
      <c r="K241" s="25" t="n">
        <v>308709</v>
      </c>
      <c r="L241" s="26" t="n">
        <v>589.7854</v>
      </c>
      <c r="M241" s="26" t="n">
        <v>4.104</v>
      </c>
    </row>
    <row r="242" ht="16" customHeight="1">
      <c r="A242" t="inlineStr">
        <is>
          <t>18-Sep-2025</t>
        </is>
      </c>
      <c r="B242" t="inlineStr">
        <is>
          <t>Thursday</t>
        </is>
      </c>
      <c r="C242" t="inlineStr">
        <is>
          <t>Week3-Sep-2025</t>
        </is>
      </c>
      <c r="D242" s="78" t="n">
        <v>45901</v>
      </c>
      <c r="E242" t="inlineStr">
        <is>
          <t>Q2FY26</t>
        </is>
      </c>
      <c r="F242" t="inlineStr">
        <is>
          <t>25-Nov-2025</t>
        </is>
      </c>
      <c r="G242" t="inlineStr">
        <is>
          <t>Tuesday</t>
        </is>
      </c>
      <c r="H242" t="inlineStr">
        <is>
          <t>Monthly - Tuesday</t>
        </is>
      </c>
      <c r="I242" t="inlineStr">
        <is>
          <t>Monthly - Tuesday</t>
        </is>
      </c>
      <c r="J242" t="inlineStr">
        <is>
          <t>Month+2 Expiry</t>
        </is>
      </c>
      <c r="K242" s="25" t="n">
        <v>59149</v>
      </c>
      <c r="L242" s="26" t="n">
        <v>112.5204</v>
      </c>
      <c r="M242" s="26" t="n">
        <v>0.9832</v>
      </c>
    </row>
    <row r="243" ht="16" customHeight="1">
      <c r="A243" t="inlineStr">
        <is>
          <t>18-Sep-2025</t>
        </is>
      </c>
      <c r="B243" t="inlineStr">
        <is>
          <t>Thursday</t>
        </is>
      </c>
      <c r="C243" t="inlineStr">
        <is>
          <t>Week3-Sep-2025</t>
        </is>
      </c>
      <c r="D243" s="78" t="n">
        <v>45901</v>
      </c>
      <c r="E243" t="inlineStr">
        <is>
          <t>Q2FY26</t>
        </is>
      </c>
      <c r="F243" t="inlineStr">
        <is>
          <t>30-Dec-2025</t>
        </is>
      </c>
      <c r="G243" t="inlineStr">
        <is>
          <t>Tuesday</t>
        </is>
      </c>
      <c r="H243" t="inlineStr">
        <is>
          <t>Monthly - Tuesday</t>
        </is>
      </c>
      <c r="I243" t="inlineStr">
        <is>
          <t>Monthly - Tuesday</t>
        </is>
      </c>
      <c r="J243" t="inlineStr">
        <is>
          <t>Month+3 Expiry</t>
        </is>
      </c>
      <c r="K243" s="25" t="n">
        <v>55098</v>
      </c>
      <c r="L243" s="26" t="n">
        <v>105.3217</v>
      </c>
      <c r="M243" s="26" t="n">
        <v>1.3705</v>
      </c>
    </row>
    <row r="244" ht="16" customHeight="1">
      <c r="A244" t="inlineStr">
        <is>
          <t>18-Sep-2025</t>
        </is>
      </c>
      <c r="B244" t="inlineStr">
        <is>
          <t>Thursday</t>
        </is>
      </c>
      <c r="C244" t="inlineStr">
        <is>
          <t>Week3-Sep-2025</t>
        </is>
      </c>
      <c r="D244" s="78" t="n">
        <v>45901</v>
      </c>
      <c r="E244" t="inlineStr">
        <is>
          <t>Q2FY26</t>
        </is>
      </c>
      <c r="F244" t="inlineStr">
        <is>
          <t>31-Mar-2026</t>
        </is>
      </c>
      <c r="G244" t="inlineStr">
        <is>
          <t>Tuesday</t>
        </is>
      </c>
      <c r="H244" t="inlineStr">
        <is>
          <t>Monthly - Tuesday</t>
        </is>
      </c>
      <c r="I244" t="inlineStr">
        <is>
          <t>Monthly - Tuesday</t>
        </is>
      </c>
      <c r="J244" t="inlineStr">
        <is>
          <t>Month+6 Expiry</t>
        </is>
      </c>
      <c r="K244" s="25" t="n">
        <v>12826</v>
      </c>
      <c r="L244" s="26" t="n">
        <v>24.7169</v>
      </c>
      <c r="M244" s="26" t="n">
        <v>0.4177</v>
      </c>
    </row>
    <row r="245" ht="16" customHeight="1">
      <c r="A245" t="inlineStr">
        <is>
          <t>18-Sep-2025</t>
        </is>
      </c>
      <c r="B245" t="inlineStr">
        <is>
          <t>Thursday</t>
        </is>
      </c>
      <c r="C245" t="inlineStr">
        <is>
          <t>Week3-Sep-2025</t>
        </is>
      </c>
      <c r="D245" s="78" t="n">
        <v>45901</v>
      </c>
      <c r="E245" t="inlineStr">
        <is>
          <t>Q2FY26</t>
        </is>
      </c>
      <c r="F245" t="inlineStr">
        <is>
          <t>30-Jun-2026</t>
        </is>
      </c>
      <c r="G245" t="inlineStr">
        <is>
          <t>Tuesday</t>
        </is>
      </c>
      <c r="H245" t="inlineStr">
        <is>
          <t>Monthly - Tuesday</t>
        </is>
      </c>
      <c r="I245" t="inlineStr">
        <is>
          <t>Monthly - Tuesday</t>
        </is>
      </c>
      <c r="J245" t="inlineStr">
        <is>
          <t>Month+9 Expiry</t>
        </is>
      </c>
      <c r="K245" s="25" t="n">
        <v>391</v>
      </c>
      <c r="L245" s="26" t="n">
        <v>0.7359</v>
      </c>
      <c r="M245" s="26" t="n">
        <v>0.0152</v>
      </c>
    </row>
    <row r="246" ht="16" customHeight="1">
      <c r="A246" t="inlineStr">
        <is>
          <t>18-Sep-2025</t>
        </is>
      </c>
      <c r="B246" t="inlineStr">
        <is>
          <t>Thursday</t>
        </is>
      </c>
      <c r="C246" t="inlineStr">
        <is>
          <t>Week3-Sep-2025</t>
        </is>
      </c>
      <c r="D246" s="78" t="n">
        <v>45901</v>
      </c>
      <c r="E246" t="inlineStr">
        <is>
          <t>Q2FY26</t>
        </is>
      </c>
      <c r="F246" t="inlineStr">
        <is>
          <t>29-Dec-2026</t>
        </is>
      </c>
      <c r="G246" t="inlineStr">
        <is>
          <t>Tuesday</t>
        </is>
      </c>
      <c r="H246" t="inlineStr">
        <is>
          <t>Monthly - Tuesday</t>
        </is>
      </c>
      <c r="I246" t="inlineStr">
        <is>
          <t>Monthly - Tuesday</t>
        </is>
      </c>
      <c r="J246" t="inlineStr">
        <is>
          <t>Month+15 Expiry</t>
        </is>
      </c>
      <c r="K246" s="25" t="n">
        <v>1207</v>
      </c>
      <c r="L246" s="26" t="n">
        <v>2.4398</v>
      </c>
      <c r="M246" s="26" t="n">
        <v>0.07829999999999999</v>
      </c>
    </row>
    <row r="247" ht="16" customHeight="1">
      <c r="A247" t="inlineStr">
        <is>
          <t>18-Sep-2025</t>
        </is>
      </c>
      <c r="B247" t="inlineStr">
        <is>
          <t>Thursday</t>
        </is>
      </c>
      <c r="C247" t="inlineStr">
        <is>
          <t>Week3-Sep-2025</t>
        </is>
      </c>
      <c r="D247" s="78" t="n">
        <v>45901</v>
      </c>
      <c r="E247" t="inlineStr">
        <is>
          <t>Q2FY26</t>
        </is>
      </c>
      <c r="F247" t="inlineStr">
        <is>
          <t>29-Jun-2027</t>
        </is>
      </c>
      <c r="G247" t="inlineStr">
        <is>
          <t>Tuesday</t>
        </is>
      </c>
      <c r="H247" t="inlineStr">
        <is>
          <t>Monthly - Tuesday</t>
        </is>
      </c>
      <c r="I247" t="inlineStr">
        <is>
          <t>Monthly - Tuesday</t>
        </is>
      </c>
      <c r="J247" t="inlineStr">
        <is>
          <t>Month+21 Expiry</t>
        </is>
      </c>
      <c r="K247" s="25" t="n">
        <v>0</v>
      </c>
      <c r="L247" s="26" t="n">
        <v>0</v>
      </c>
      <c r="M247" s="26" t="n">
        <v>0</v>
      </c>
    </row>
    <row r="248" ht="16" customHeight="1">
      <c r="A248" t="inlineStr">
        <is>
          <t>18-Sep-2025</t>
        </is>
      </c>
      <c r="B248" t="inlineStr">
        <is>
          <t>Thursday</t>
        </is>
      </c>
      <c r="C248" t="inlineStr">
        <is>
          <t>Week3-Sep-2025</t>
        </is>
      </c>
      <c r="D248" s="78" t="n">
        <v>45901</v>
      </c>
      <c r="E248" t="inlineStr">
        <is>
          <t>Q2FY26</t>
        </is>
      </c>
      <c r="F248" t="inlineStr">
        <is>
          <t>28-Dec-2027</t>
        </is>
      </c>
      <c r="G248" t="inlineStr">
        <is>
          <t>Tuesday</t>
        </is>
      </c>
      <c r="H248" t="inlineStr">
        <is>
          <t>Monthly - Tuesday</t>
        </is>
      </c>
      <c r="I248" t="inlineStr">
        <is>
          <t>Monthly - Tuesday</t>
        </is>
      </c>
      <c r="J248" t="inlineStr">
        <is>
          <t>Month+27 Expiry</t>
        </is>
      </c>
      <c r="K248" s="25" t="n">
        <v>8</v>
      </c>
      <c r="L248" s="26" t="n">
        <v>0.0156</v>
      </c>
      <c r="M248" s="26" t="n">
        <v>0.0005999999999999999</v>
      </c>
    </row>
    <row r="249" ht="16" customHeight="1">
      <c r="A249" t="inlineStr">
        <is>
          <t>18-Sep-2025</t>
        </is>
      </c>
      <c r="B249" t="inlineStr">
        <is>
          <t>Thursday</t>
        </is>
      </c>
      <c r="C249" t="inlineStr">
        <is>
          <t>Week3-Sep-2025</t>
        </is>
      </c>
      <c r="D249" s="78" t="n">
        <v>45901</v>
      </c>
      <c r="E249" t="inlineStr">
        <is>
          <t>Q2FY26</t>
        </is>
      </c>
      <c r="F249" t="inlineStr">
        <is>
          <t>27-Jun-2028</t>
        </is>
      </c>
      <c r="G249" t="inlineStr">
        <is>
          <t>Tuesday</t>
        </is>
      </c>
      <c r="H249" t="inlineStr">
        <is>
          <t>Monthly - Tuesday</t>
        </is>
      </c>
      <c r="I249" t="inlineStr">
        <is>
          <t>Monthly - Tuesday</t>
        </is>
      </c>
      <c r="J249" t="inlineStr">
        <is>
          <t>Month+33 Expiry</t>
        </is>
      </c>
      <c r="K249" s="25" t="n">
        <v>0</v>
      </c>
      <c r="L249" s="26" t="n">
        <v>0</v>
      </c>
      <c r="M249" s="26" t="n">
        <v>0</v>
      </c>
    </row>
    <row r="250" ht="16" customHeight="1">
      <c r="A250" t="inlineStr">
        <is>
          <t>18-Sep-2025</t>
        </is>
      </c>
      <c r="B250" t="inlineStr">
        <is>
          <t>Thursday</t>
        </is>
      </c>
      <c r="C250" t="inlineStr">
        <is>
          <t>Week3-Sep-2025</t>
        </is>
      </c>
      <c r="D250" s="78" t="n">
        <v>45901</v>
      </c>
      <c r="E250" t="inlineStr">
        <is>
          <t>Q2FY26</t>
        </is>
      </c>
      <c r="F250" t="inlineStr">
        <is>
          <t>26-Dec-2028</t>
        </is>
      </c>
      <c r="G250" t="inlineStr">
        <is>
          <t>Tuesday</t>
        </is>
      </c>
      <c r="H250" t="inlineStr">
        <is>
          <t>Monthly - Tuesday</t>
        </is>
      </c>
      <c r="I250" t="inlineStr">
        <is>
          <t>Monthly - Tuesday</t>
        </is>
      </c>
      <c r="J250" t="inlineStr">
        <is>
          <t>Month+39 Expiry</t>
        </is>
      </c>
      <c r="K250" s="25" t="n">
        <v>2</v>
      </c>
      <c r="L250" s="26" t="n">
        <v>0.0039</v>
      </c>
      <c r="M250" s="26" t="n">
        <v>0.0002</v>
      </c>
    </row>
    <row r="251" ht="16" customHeight="1">
      <c r="A251" t="inlineStr">
        <is>
          <t>18-Sep-2025</t>
        </is>
      </c>
      <c r="B251" t="inlineStr">
        <is>
          <t>Thursday</t>
        </is>
      </c>
      <c r="C251" t="inlineStr">
        <is>
          <t>Week3-Sep-2025</t>
        </is>
      </c>
      <c r="D251" s="78" t="n">
        <v>45901</v>
      </c>
      <c r="E251" t="inlineStr">
        <is>
          <t>Q2FY26</t>
        </is>
      </c>
      <c r="F251" t="inlineStr">
        <is>
          <t>26-Jun-2029</t>
        </is>
      </c>
      <c r="G251" t="inlineStr">
        <is>
          <t>Tuesday</t>
        </is>
      </c>
      <c r="H251" t="inlineStr">
        <is>
          <t>Monthly - Tuesday</t>
        </is>
      </c>
      <c r="I251" t="inlineStr">
        <is>
          <t>Monthly - Tuesday</t>
        </is>
      </c>
      <c r="J251" t="inlineStr">
        <is>
          <t>Month+45 Expiry</t>
        </is>
      </c>
      <c r="K251" s="25" t="n">
        <v>0</v>
      </c>
      <c r="L251" s="26" t="n">
        <v>0</v>
      </c>
      <c r="M251" s="26" t="n">
        <v>0</v>
      </c>
    </row>
    <row r="252" ht="16" customHeight="1">
      <c r="A252" t="inlineStr">
        <is>
          <t>18-Sep-2025</t>
        </is>
      </c>
      <c r="B252" t="inlineStr">
        <is>
          <t>Thursday</t>
        </is>
      </c>
      <c r="C252" t="inlineStr">
        <is>
          <t>Week3-Sep-2025</t>
        </is>
      </c>
      <c r="D252" s="78" t="n">
        <v>45901</v>
      </c>
      <c r="E252" t="inlineStr">
        <is>
          <t>Q2FY26</t>
        </is>
      </c>
      <c r="F252" t="inlineStr">
        <is>
          <t>24-Dec-2029</t>
        </is>
      </c>
      <c r="G252" t="inlineStr">
        <is>
          <t>Monday</t>
        </is>
      </c>
      <c r="H252" t="inlineStr">
        <is>
          <t>Weekly - Monday</t>
        </is>
      </c>
      <c r="I252" t="inlineStr">
        <is>
          <t>Weekly - Monday</t>
        </is>
      </c>
      <c r="J252" t="inlineStr">
        <is>
          <t>Month+51 Expiry</t>
        </is>
      </c>
      <c r="K252" s="25" t="n">
        <v>3</v>
      </c>
      <c r="L252" s="26" t="n">
        <v>0.006</v>
      </c>
      <c r="M252" s="26" t="n">
        <v>0.0003</v>
      </c>
    </row>
    <row r="253" ht="16" customHeight="1">
      <c r="A253" t="inlineStr">
        <is>
          <t>18-Sep-2025</t>
        </is>
      </c>
      <c r="B253" t="inlineStr">
        <is>
          <t>Thursday</t>
        </is>
      </c>
      <c r="C253" t="inlineStr">
        <is>
          <t>Week3-Sep-2025</t>
        </is>
      </c>
      <c r="D253" s="78" t="n">
        <v>45901</v>
      </c>
      <c r="E253" t="inlineStr">
        <is>
          <t>Q2FY26</t>
        </is>
      </c>
      <c r="F253" t="inlineStr">
        <is>
          <t>25-Jun-2030</t>
        </is>
      </c>
      <c r="G253" t="inlineStr">
        <is>
          <t>Tuesday</t>
        </is>
      </c>
      <c r="H253" t="inlineStr">
        <is>
          <t>Monthly - Tuesday</t>
        </is>
      </c>
      <c r="I253" t="inlineStr">
        <is>
          <t>Monthly - Tuesday</t>
        </is>
      </c>
      <c r="J253" t="inlineStr">
        <is>
          <t>Month+57 Expiry</t>
        </is>
      </c>
      <c r="K253" s="25" t="n">
        <v>0</v>
      </c>
      <c r="L253" s="26" t="n">
        <v>0</v>
      </c>
      <c r="M253" s="26" t="n">
        <v>0</v>
      </c>
    </row>
    <row r="254" ht="16" customHeight="1">
      <c r="A254" t="inlineStr">
        <is>
          <t>19-Sep-2025</t>
        </is>
      </c>
      <c r="B254" t="inlineStr">
        <is>
          <t>Friday</t>
        </is>
      </c>
      <c r="C254" t="inlineStr">
        <is>
          <t>Week3-Sep-2025</t>
        </is>
      </c>
      <c r="D254" s="78" t="n">
        <v>45901</v>
      </c>
      <c r="E254" t="inlineStr">
        <is>
          <t>Q2FY26</t>
        </is>
      </c>
      <c r="F254" t="inlineStr">
        <is>
          <t>23-Sep-2025</t>
        </is>
      </c>
      <c r="G254" t="inlineStr">
        <is>
          <t>Tuesday</t>
        </is>
      </c>
      <c r="H254" t="inlineStr">
        <is>
          <t>Weekly - Tuesday</t>
        </is>
      </c>
      <c r="I254" t="inlineStr">
        <is>
          <t>Weekly - Tuesday</t>
        </is>
      </c>
      <c r="J254" t="inlineStr">
        <is>
          <t>Same Month Expiry</t>
        </is>
      </c>
      <c r="K254" s="25" t="n">
        <v>86606410</v>
      </c>
      <c r="L254" s="26" t="n">
        <v>164865.7252</v>
      </c>
      <c r="M254" s="26" t="n">
        <v>304.7169</v>
      </c>
    </row>
    <row r="255" ht="16" customHeight="1">
      <c r="A255" t="inlineStr">
        <is>
          <t>19-Sep-2025</t>
        </is>
      </c>
      <c r="B255" t="inlineStr">
        <is>
          <t>Friday</t>
        </is>
      </c>
      <c r="C255" t="inlineStr">
        <is>
          <t>Week3-Sep-2025</t>
        </is>
      </c>
      <c r="D255" s="78" t="n">
        <v>45901</v>
      </c>
      <c r="E255" t="inlineStr">
        <is>
          <t>Q2FY26</t>
        </is>
      </c>
      <c r="F255" t="inlineStr">
        <is>
          <t>30-Sep-2025</t>
        </is>
      </c>
      <c r="G255" t="inlineStr">
        <is>
          <t>Tuesday</t>
        </is>
      </c>
      <c r="H255" t="inlineStr">
        <is>
          <t>Monthly - Tuesday</t>
        </is>
      </c>
      <c r="I255" t="inlineStr">
        <is>
          <t>Monthly - Tuesday</t>
        </is>
      </c>
      <c r="J255" t="inlineStr">
        <is>
          <t>Same Month Expiry</t>
        </is>
      </c>
      <c r="K255" s="25" t="n">
        <v>3690004</v>
      </c>
      <c r="L255" s="26" t="n">
        <v>7037.7994</v>
      </c>
      <c r="M255" s="26" t="n">
        <v>23.7383</v>
      </c>
    </row>
    <row r="256" ht="16" customHeight="1">
      <c r="A256" t="inlineStr">
        <is>
          <t>19-Sep-2025</t>
        </is>
      </c>
      <c r="B256" t="inlineStr">
        <is>
          <t>Friday</t>
        </is>
      </c>
      <c r="C256" t="inlineStr">
        <is>
          <t>Week3-Sep-2025</t>
        </is>
      </c>
      <c r="D256" s="78" t="n">
        <v>45901</v>
      </c>
      <c r="E256" t="inlineStr">
        <is>
          <t>Q2FY26</t>
        </is>
      </c>
      <c r="F256" t="inlineStr">
        <is>
          <t>07-Oct-2025</t>
        </is>
      </c>
      <c r="G256" t="inlineStr">
        <is>
          <t>Tuesday</t>
        </is>
      </c>
      <c r="H256" t="inlineStr">
        <is>
          <t>Weekly - Tuesday</t>
        </is>
      </c>
      <c r="I256" t="inlineStr">
        <is>
          <t>Weekly - Tuesday</t>
        </is>
      </c>
      <c r="J256" t="inlineStr">
        <is>
          <t>Month+1 Expiry</t>
        </is>
      </c>
      <c r="K256" s="25" t="n">
        <v>136603</v>
      </c>
      <c r="L256" s="26" t="n">
        <v>261.4758</v>
      </c>
      <c r="M256" s="26" t="n">
        <v>1.1269</v>
      </c>
    </row>
    <row r="257" ht="16" customHeight="1">
      <c r="A257" t="inlineStr">
        <is>
          <t>19-Sep-2025</t>
        </is>
      </c>
      <c r="B257" t="inlineStr">
        <is>
          <t>Friday</t>
        </is>
      </c>
      <c r="C257" t="inlineStr">
        <is>
          <t>Week3-Sep-2025</t>
        </is>
      </c>
      <c r="D257" s="78" t="n">
        <v>45901</v>
      </c>
      <c r="E257" t="inlineStr">
        <is>
          <t>Q2FY26</t>
        </is>
      </c>
      <c r="F257" t="inlineStr">
        <is>
          <t>14-Oct-2025</t>
        </is>
      </c>
      <c r="G257" t="inlineStr">
        <is>
          <t>Tuesday</t>
        </is>
      </c>
      <c r="H257" t="inlineStr">
        <is>
          <t>Weekly - Tuesday</t>
        </is>
      </c>
      <c r="I257" t="inlineStr">
        <is>
          <t>Weekly - Tuesday</t>
        </is>
      </c>
      <c r="J257" t="inlineStr">
        <is>
          <t>Month+1 Expiry</t>
        </is>
      </c>
      <c r="K257" s="25" t="n">
        <v>9002</v>
      </c>
      <c r="L257" s="26" t="n">
        <v>17.316</v>
      </c>
      <c r="M257" s="26" t="n">
        <v>0.1045</v>
      </c>
    </row>
    <row r="258" ht="16" customHeight="1">
      <c r="A258" t="inlineStr">
        <is>
          <t>19-Sep-2025</t>
        </is>
      </c>
      <c r="B258" t="inlineStr">
        <is>
          <t>Friday</t>
        </is>
      </c>
      <c r="C258" t="inlineStr">
        <is>
          <t>Week3-Sep-2025</t>
        </is>
      </c>
      <c r="D258" s="78" t="n">
        <v>45901</v>
      </c>
      <c r="E258" t="inlineStr">
        <is>
          <t>Q2FY26</t>
        </is>
      </c>
      <c r="F258" t="inlineStr">
        <is>
          <t>20-Oct-2025</t>
        </is>
      </c>
      <c r="G258" t="inlineStr">
        <is>
          <t>Monday</t>
        </is>
      </c>
      <c r="H258" t="inlineStr">
        <is>
          <t>Weekly - Monday</t>
        </is>
      </c>
      <c r="I258" t="inlineStr">
        <is>
          <t>Weekly - Monday</t>
        </is>
      </c>
      <c r="J258" t="inlineStr">
        <is>
          <t>Month+1 Expiry</t>
        </is>
      </c>
      <c r="K258" s="25" t="n">
        <v>1736</v>
      </c>
      <c r="L258" s="26" t="n">
        <v>3.3921</v>
      </c>
      <c r="M258" s="26" t="n">
        <v>0.0179</v>
      </c>
    </row>
    <row r="259" ht="16" customHeight="1">
      <c r="A259" t="inlineStr">
        <is>
          <t>19-Sep-2025</t>
        </is>
      </c>
      <c r="B259" t="inlineStr">
        <is>
          <t>Friday</t>
        </is>
      </c>
      <c r="C259" t="inlineStr">
        <is>
          <t>Week3-Sep-2025</t>
        </is>
      </c>
      <c r="D259" s="78" t="n">
        <v>45901</v>
      </c>
      <c r="E259" t="inlineStr">
        <is>
          <t>Q2FY26</t>
        </is>
      </c>
      <c r="F259" t="inlineStr">
        <is>
          <t>28-Oct-2025</t>
        </is>
      </c>
      <c r="G259" t="inlineStr">
        <is>
          <t>Tuesday</t>
        </is>
      </c>
      <c r="H259" t="inlineStr">
        <is>
          <t>Monthly - Tuesday</t>
        </is>
      </c>
      <c r="I259" t="inlineStr">
        <is>
          <t>Monthly - Tuesday</t>
        </is>
      </c>
      <c r="J259" t="inlineStr">
        <is>
          <t>Month+1 Expiry</t>
        </is>
      </c>
      <c r="K259" s="25" t="n">
        <v>282571</v>
      </c>
      <c r="L259" s="26" t="n">
        <v>539.9981</v>
      </c>
      <c r="M259" s="26" t="n">
        <v>3.7187</v>
      </c>
    </row>
    <row r="260" ht="16" customHeight="1">
      <c r="A260" t="inlineStr">
        <is>
          <t>19-Sep-2025</t>
        </is>
      </c>
      <c r="B260" t="inlineStr">
        <is>
          <t>Friday</t>
        </is>
      </c>
      <c r="C260" t="inlineStr">
        <is>
          <t>Week3-Sep-2025</t>
        </is>
      </c>
      <c r="D260" s="78" t="n">
        <v>45901</v>
      </c>
      <c r="E260" t="inlineStr">
        <is>
          <t>Q2FY26</t>
        </is>
      </c>
      <c r="F260" t="inlineStr">
        <is>
          <t>25-Nov-2025</t>
        </is>
      </c>
      <c r="G260" t="inlineStr">
        <is>
          <t>Tuesday</t>
        </is>
      </c>
      <c r="H260" t="inlineStr">
        <is>
          <t>Monthly - Tuesday</t>
        </is>
      </c>
      <c r="I260" t="inlineStr">
        <is>
          <t>Monthly - Tuesday</t>
        </is>
      </c>
      <c r="J260" t="inlineStr">
        <is>
          <t>Month+2 Expiry</t>
        </is>
      </c>
      <c r="K260" s="25" t="n">
        <v>41072</v>
      </c>
      <c r="L260" s="26" t="n">
        <v>78.129</v>
      </c>
      <c r="M260" s="26" t="n">
        <v>0.6833</v>
      </c>
    </row>
    <row r="261" ht="16" customHeight="1">
      <c r="A261" t="inlineStr">
        <is>
          <t>19-Sep-2025</t>
        </is>
      </c>
      <c r="B261" t="inlineStr">
        <is>
          <t>Friday</t>
        </is>
      </c>
      <c r="C261" t="inlineStr">
        <is>
          <t>Week3-Sep-2025</t>
        </is>
      </c>
      <c r="D261" s="78" t="n">
        <v>45901</v>
      </c>
      <c r="E261" t="inlineStr">
        <is>
          <t>Q2FY26</t>
        </is>
      </c>
      <c r="F261" t="inlineStr">
        <is>
          <t>30-Dec-2025</t>
        </is>
      </c>
      <c r="G261" t="inlineStr">
        <is>
          <t>Tuesday</t>
        </is>
      </c>
      <c r="H261" t="inlineStr">
        <is>
          <t>Monthly - Tuesday</t>
        </is>
      </c>
      <c r="I261" t="inlineStr">
        <is>
          <t>Monthly - Tuesday</t>
        </is>
      </c>
      <c r="J261" t="inlineStr">
        <is>
          <t>Month+3 Expiry</t>
        </is>
      </c>
      <c r="K261" s="25" t="n">
        <v>40537</v>
      </c>
      <c r="L261" s="26" t="n">
        <v>76.34439999999999</v>
      </c>
      <c r="M261" s="26" t="n">
        <v>0.9409999999999999</v>
      </c>
    </row>
    <row r="262" ht="16" customHeight="1">
      <c r="A262" t="inlineStr">
        <is>
          <t>19-Sep-2025</t>
        </is>
      </c>
      <c r="B262" t="inlineStr">
        <is>
          <t>Friday</t>
        </is>
      </c>
      <c r="C262" t="inlineStr">
        <is>
          <t>Week3-Sep-2025</t>
        </is>
      </c>
      <c r="D262" s="78" t="n">
        <v>45901</v>
      </c>
      <c r="E262" t="inlineStr">
        <is>
          <t>Q2FY26</t>
        </is>
      </c>
      <c r="F262" t="inlineStr">
        <is>
          <t>31-Mar-2026</t>
        </is>
      </c>
      <c r="G262" t="inlineStr">
        <is>
          <t>Tuesday</t>
        </is>
      </c>
      <c r="H262" t="inlineStr">
        <is>
          <t>Monthly - Tuesday</t>
        </is>
      </c>
      <c r="I262" t="inlineStr">
        <is>
          <t>Monthly - Tuesday</t>
        </is>
      </c>
      <c r="J262" t="inlineStr">
        <is>
          <t>Month+6 Expiry</t>
        </is>
      </c>
      <c r="K262" s="25" t="n">
        <v>8262</v>
      </c>
      <c r="L262" s="26" t="n">
        <v>15.6445</v>
      </c>
      <c r="M262" s="26" t="n">
        <v>0.2592</v>
      </c>
    </row>
    <row r="263" ht="16" customHeight="1">
      <c r="A263" t="inlineStr">
        <is>
          <t>19-Sep-2025</t>
        </is>
      </c>
      <c r="B263" t="inlineStr">
        <is>
          <t>Friday</t>
        </is>
      </c>
      <c r="C263" t="inlineStr">
        <is>
          <t>Week3-Sep-2025</t>
        </is>
      </c>
      <c r="D263" s="78" t="n">
        <v>45901</v>
      </c>
      <c r="E263" t="inlineStr">
        <is>
          <t>Q2FY26</t>
        </is>
      </c>
      <c r="F263" t="inlineStr">
        <is>
          <t>30-Jun-2026</t>
        </is>
      </c>
      <c r="G263" t="inlineStr">
        <is>
          <t>Tuesday</t>
        </is>
      </c>
      <c r="H263" t="inlineStr">
        <is>
          <t>Monthly - Tuesday</t>
        </is>
      </c>
      <c r="I263" t="inlineStr">
        <is>
          <t>Monthly - Tuesday</t>
        </is>
      </c>
      <c r="J263" t="inlineStr">
        <is>
          <t>Month+9 Expiry</t>
        </is>
      </c>
      <c r="K263" s="25" t="n">
        <v>243</v>
      </c>
      <c r="L263" s="26" t="n">
        <v>0.4588</v>
      </c>
      <c r="M263" s="26" t="n">
        <v>0.0078</v>
      </c>
    </row>
    <row r="264" ht="16" customHeight="1">
      <c r="A264" t="inlineStr">
        <is>
          <t>19-Sep-2025</t>
        </is>
      </c>
      <c r="B264" t="inlineStr">
        <is>
          <t>Friday</t>
        </is>
      </c>
      <c r="C264" t="inlineStr">
        <is>
          <t>Week3-Sep-2025</t>
        </is>
      </c>
      <c r="D264" s="78" t="n">
        <v>45901</v>
      </c>
      <c r="E264" t="inlineStr">
        <is>
          <t>Q2FY26</t>
        </is>
      </c>
      <c r="F264" t="inlineStr">
        <is>
          <t>29-Dec-2026</t>
        </is>
      </c>
      <c r="G264" t="inlineStr">
        <is>
          <t>Tuesday</t>
        </is>
      </c>
      <c r="H264" t="inlineStr">
        <is>
          <t>Monthly - Tuesday</t>
        </is>
      </c>
      <c r="I264" t="inlineStr">
        <is>
          <t>Monthly - Tuesday</t>
        </is>
      </c>
      <c r="J264" t="inlineStr">
        <is>
          <t>Month+15 Expiry</t>
        </is>
      </c>
      <c r="K264" s="25" t="n">
        <v>895</v>
      </c>
      <c r="L264" s="26" t="n">
        <v>1.7486</v>
      </c>
      <c r="M264" s="26" t="n">
        <v>0.0529</v>
      </c>
    </row>
    <row r="265" ht="16" customHeight="1">
      <c r="A265" t="inlineStr">
        <is>
          <t>19-Sep-2025</t>
        </is>
      </c>
      <c r="B265" t="inlineStr">
        <is>
          <t>Friday</t>
        </is>
      </c>
      <c r="C265" t="inlineStr">
        <is>
          <t>Week3-Sep-2025</t>
        </is>
      </c>
      <c r="D265" s="78" t="n">
        <v>45901</v>
      </c>
      <c r="E265" t="inlineStr">
        <is>
          <t>Q2FY26</t>
        </is>
      </c>
      <c r="F265" t="inlineStr">
        <is>
          <t>29-Jun-2027</t>
        </is>
      </c>
      <c r="G265" t="inlineStr">
        <is>
          <t>Tuesday</t>
        </is>
      </c>
      <c r="H265" t="inlineStr">
        <is>
          <t>Monthly - Tuesday</t>
        </is>
      </c>
      <c r="I265" t="inlineStr">
        <is>
          <t>Monthly - Tuesday</t>
        </is>
      </c>
      <c r="J265" t="inlineStr">
        <is>
          <t>Month+21 Expiry</t>
        </is>
      </c>
      <c r="K265" s="25" t="n">
        <v>0</v>
      </c>
      <c r="L265" s="26" t="n">
        <v>0</v>
      </c>
      <c r="M265" s="26" t="n">
        <v>0</v>
      </c>
    </row>
    <row r="266" ht="16" customHeight="1">
      <c r="A266" t="inlineStr">
        <is>
          <t>19-Sep-2025</t>
        </is>
      </c>
      <c r="B266" t="inlineStr">
        <is>
          <t>Friday</t>
        </is>
      </c>
      <c r="C266" t="inlineStr">
        <is>
          <t>Week3-Sep-2025</t>
        </is>
      </c>
      <c r="D266" s="78" t="n">
        <v>45901</v>
      </c>
      <c r="E266" t="inlineStr">
        <is>
          <t>Q2FY26</t>
        </is>
      </c>
      <c r="F266" t="inlineStr">
        <is>
          <t>28-Dec-2027</t>
        </is>
      </c>
      <c r="G266" t="inlineStr">
        <is>
          <t>Tuesday</t>
        </is>
      </c>
      <c r="H266" t="inlineStr">
        <is>
          <t>Monthly - Tuesday</t>
        </is>
      </c>
      <c r="I266" t="inlineStr">
        <is>
          <t>Monthly - Tuesday</t>
        </is>
      </c>
      <c r="J266" t="inlineStr">
        <is>
          <t>Month+27 Expiry</t>
        </is>
      </c>
      <c r="K266" s="25" t="n">
        <v>3</v>
      </c>
      <c r="L266" s="26" t="n">
        <v>0.0061</v>
      </c>
      <c r="M266" s="26" t="n">
        <v>0.0003</v>
      </c>
    </row>
    <row r="267" ht="16" customHeight="1">
      <c r="A267" t="inlineStr">
        <is>
          <t>19-Sep-2025</t>
        </is>
      </c>
      <c r="B267" t="inlineStr">
        <is>
          <t>Friday</t>
        </is>
      </c>
      <c r="C267" t="inlineStr">
        <is>
          <t>Week3-Sep-2025</t>
        </is>
      </c>
      <c r="D267" s="78" t="n">
        <v>45901</v>
      </c>
      <c r="E267" t="inlineStr">
        <is>
          <t>Q2FY26</t>
        </is>
      </c>
      <c r="F267" t="inlineStr">
        <is>
          <t>27-Jun-2028</t>
        </is>
      </c>
      <c r="G267" t="inlineStr">
        <is>
          <t>Tuesday</t>
        </is>
      </c>
      <c r="H267" t="inlineStr">
        <is>
          <t>Monthly - Tuesday</t>
        </is>
      </c>
      <c r="I267" t="inlineStr">
        <is>
          <t>Monthly - Tuesday</t>
        </is>
      </c>
      <c r="J267" t="inlineStr">
        <is>
          <t>Month+33 Expiry</t>
        </is>
      </c>
      <c r="K267" s="25" t="n">
        <v>0</v>
      </c>
      <c r="L267" s="26" t="n">
        <v>0</v>
      </c>
      <c r="M267" s="26" t="n">
        <v>0</v>
      </c>
    </row>
    <row r="268" ht="16" customHeight="1">
      <c r="A268" t="inlineStr">
        <is>
          <t>19-Sep-2025</t>
        </is>
      </c>
      <c r="B268" t="inlineStr">
        <is>
          <t>Friday</t>
        </is>
      </c>
      <c r="C268" t="inlineStr">
        <is>
          <t>Week3-Sep-2025</t>
        </is>
      </c>
      <c r="D268" s="78" t="n">
        <v>45901</v>
      </c>
      <c r="E268" t="inlineStr">
        <is>
          <t>Q2FY26</t>
        </is>
      </c>
      <c r="F268" t="inlineStr">
        <is>
          <t>26-Dec-2028</t>
        </is>
      </c>
      <c r="G268" t="inlineStr">
        <is>
          <t>Tuesday</t>
        </is>
      </c>
      <c r="H268" t="inlineStr">
        <is>
          <t>Monthly - Tuesday</t>
        </is>
      </c>
      <c r="I268" t="inlineStr">
        <is>
          <t>Monthly - Tuesday</t>
        </is>
      </c>
      <c r="J268" t="inlineStr">
        <is>
          <t>Month+39 Expiry</t>
        </is>
      </c>
      <c r="K268" s="25" t="n">
        <v>1</v>
      </c>
      <c r="L268" s="26" t="n">
        <v>0.002</v>
      </c>
      <c r="M268" s="26" t="n">
        <v>0.0001</v>
      </c>
    </row>
    <row r="269" ht="16" customHeight="1">
      <c r="A269" t="inlineStr">
        <is>
          <t>19-Sep-2025</t>
        </is>
      </c>
      <c r="B269" t="inlineStr">
        <is>
          <t>Friday</t>
        </is>
      </c>
      <c r="C269" t="inlineStr">
        <is>
          <t>Week3-Sep-2025</t>
        </is>
      </c>
      <c r="D269" s="78" t="n">
        <v>45901</v>
      </c>
      <c r="E269" t="inlineStr">
        <is>
          <t>Q2FY26</t>
        </is>
      </c>
      <c r="F269" t="inlineStr">
        <is>
          <t>26-Jun-2029</t>
        </is>
      </c>
      <c r="G269" t="inlineStr">
        <is>
          <t>Tuesday</t>
        </is>
      </c>
      <c r="H269" t="inlineStr">
        <is>
          <t>Monthly - Tuesday</t>
        </is>
      </c>
      <c r="I269" t="inlineStr">
        <is>
          <t>Monthly - Tuesday</t>
        </is>
      </c>
      <c r="J269" t="inlineStr">
        <is>
          <t>Month+45 Expiry</t>
        </is>
      </c>
      <c r="K269" s="25" t="n">
        <v>1</v>
      </c>
      <c r="L269" s="26" t="n">
        <v>0.002</v>
      </c>
      <c r="M269" s="26" t="n">
        <v>0.0001</v>
      </c>
    </row>
    <row r="270" ht="16" customHeight="1">
      <c r="A270" t="inlineStr">
        <is>
          <t>19-Sep-2025</t>
        </is>
      </c>
      <c r="B270" t="inlineStr">
        <is>
          <t>Friday</t>
        </is>
      </c>
      <c r="C270" t="inlineStr">
        <is>
          <t>Week3-Sep-2025</t>
        </is>
      </c>
      <c r="D270" s="78" t="n">
        <v>45901</v>
      </c>
      <c r="E270" t="inlineStr">
        <is>
          <t>Q2FY26</t>
        </is>
      </c>
      <c r="F270" t="inlineStr">
        <is>
          <t>24-Dec-2029</t>
        </is>
      </c>
      <c r="G270" t="inlineStr">
        <is>
          <t>Monday</t>
        </is>
      </c>
      <c r="H270" t="inlineStr">
        <is>
          <t>Weekly - Monday</t>
        </is>
      </c>
      <c r="I270" t="inlineStr">
        <is>
          <t>Weekly - Monday</t>
        </is>
      </c>
      <c r="J270" t="inlineStr">
        <is>
          <t>Month+51 Expiry</t>
        </is>
      </c>
      <c r="K270" s="25" t="n">
        <v>1</v>
      </c>
      <c r="L270" s="26" t="n">
        <v>0.002</v>
      </c>
      <c r="M270" s="26" t="n">
        <v>0.0001</v>
      </c>
    </row>
    <row r="271" ht="16" customHeight="1">
      <c r="A271" t="inlineStr">
        <is>
          <t>19-Sep-2025</t>
        </is>
      </c>
      <c r="B271" t="inlineStr">
        <is>
          <t>Friday</t>
        </is>
      </c>
      <c r="C271" t="inlineStr">
        <is>
          <t>Week3-Sep-2025</t>
        </is>
      </c>
      <c r="D271" s="78" t="n">
        <v>45901</v>
      </c>
      <c r="E271" t="inlineStr">
        <is>
          <t>Q2FY26</t>
        </is>
      </c>
      <c r="F271" t="inlineStr">
        <is>
          <t>25-Jun-2030</t>
        </is>
      </c>
      <c r="G271" t="inlineStr">
        <is>
          <t>Tuesday</t>
        </is>
      </c>
      <c r="H271" t="inlineStr">
        <is>
          <t>Monthly - Tuesday</t>
        </is>
      </c>
      <c r="I271" t="inlineStr">
        <is>
          <t>Monthly - Tuesday</t>
        </is>
      </c>
      <c r="J271" t="inlineStr">
        <is>
          <t>Month+57 Expiry</t>
        </is>
      </c>
      <c r="K271" s="25" t="n">
        <v>0</v>
      </c>
      <c r="L271" s="26" t="n">
        <v>0</v>
      </c>
      <c r="M271" s="26" t="n">
        <v>0</v>
      </c>
    </row>
    <row r="272" ht="16" customHeight="1">
      <c r="A272" t="inlineStr">
        <is>
          <t>22-Sep-2025</t>
        </is>
      </c>
      <c r="B272" t="inlineStr">
        <is>
          <t>Monday</t>
        </is>
      </c>
      <c r="C272" t="inlineStr">
        <is>
          <t>Week4-Sep-2025</t>
        </is>
      </c>
      <c r="D272" s="78" t="n">
        <v>45901</v>
      </c>
      <c r="E272" t="inlineStr">
        <is>
          <t>Q2FY26</t>
        </is>
      </c>
      <c r="F272" t="inlineStr">
        <is>
          <t>23-Sep-2025</t>
        </is>
      </c>
      <c r="G272" t="inlineStr">
        <is>
          <t>Tuesday</t>
        </is>
      </c>
      <c r="H272" t="inlineStr">
        <is>
          <t>Weekly - Tuesday</t>
        </is>
      </c>
      <c r="I272" t="inlineStr">
        <is>
          <t>Weekly - Tuesday</t>
        </is>
      </c>
      <c r="J272" t="inlineStr">
        <is>
          <t>Same Month Expiry</t>
        </is>
      </c>
      <c r="K272" s="25" t="n">
        <v>121193325</v>
      </c>
      <c r="L272" s="26" t="n">
        <v>230108.193</v>
      </c>
      <c r="M272" s="26" t="n">
        <v>321.0991</v>
      </c>
    </row>
    <row r="273" ht="16" customHeight="1">
      <c r="A273" t="inlineStr">
        <is>
          <t>22-Sep-2025</t>
        </is>
      </c>
      <c r="B273" t="inlineStr">
        <is>
          <t>Monday</t>
        </is>
      </c>
      <c r="C273" t="inlineStr">
        <is>
          <t>Week4-Sep-2025</t>
        </is>
      </c>
      <c r="D273" s="78" t="n">
        <v>45901</v>
      </c>
      <c r="E273" t="inlineStr">
        <is>
          <t>Q2FY26</t>
        </is>
      </c>
      <c r="F273" t="inlineStr">
        <is>
          <t>30-Sep-2025</t>
        </is>
      </c>
      <c r="G273" t="inlineStr">
        <is>
          <t>Tuesday</t>
        </is>
      </c>
      <c r="H273" t="inlineStr">
        <is>
          <t>Monthly - Tuesday</t>
        </is>
      </c>
      <c r="I273" t="inlineStr">
        <is>
          <t>Monthly - Tuesday</t>
        </is>
      </c>
      <c r="J273" t="inlineStr">
        <is>
          <t>Same Month Expiry</t>
        </is>
      </c>
      <c r="K273" s="25" t="n">
        <v>6090352</v>
      </c>
      <c r="L273" s="26" t="n">
        <v>11607.5492</v>
      </c>
      <c r="M273" s="26" t="n">
        <v>31.0746</v>
      </c>
    </row>
    <row r="274" ht="16" customHeight="1">
      <c r="A274" t="inlineStr">
        <is>
          <t>22-Sep-2025</t>
        </is>
      </c>
      <c r="B274" t="inlineStr">
        <is>
          <t>Monday</t>
        </is>
      </c>
      <c r="C274" t="inlineStr">
        <is>
          <t>Week4-Sep-2025</t>
        </is>
      </c>
      <c r="D274" s="78" t="n">
        <v>45901</v>
      </c>
      <c r="E274" t="inlineStr">
        <is>
          <t>Q2FY26</t>
        </is>
      </c>
      <c r="F274" t="inlineStr">
        <is>
          <t>07-Oct-2025</t>
        </is>
      </c>
      <c r="G274" t="inlineStr">
        <is>
          <t>Tuesday</t>
        </is>
      </c>
      <c r="H274" t="inlineStr">
        <is>
          <t>Weekly - Tuesday</t>
        </is>
      </c>
      <c r="I274" t="inlineStr">
        <is>
          <t>Weekly - Tuesday</t>
        </is>
      </c>
      <c r="J274" t="inlineStr">
        <is>
          <t>Month+1 Expiry</t>
        </is>
      </c>
      <c r="K274" s="25" t="n">
        <v>253425</v>
      </c>
      <c r="L274" s="26" t="n">
        <v>483.7167</v>
      </c>
      <c r="M274" s="26" t="n">
        <v>2.1078</v>
      </c>
    </row>
    <row r="275" ht="16" customHeight="1">
      <c r="A275" t="inlineStr">
        <is>
          <t>22-Sep-2025</t>
        </is>
      </c>
      <c r="B275" t="inlineStr">
        <is>
          <t>Monday</t>
        </is>
      </c>
      <c r="C275" t="inlineStr">
        <is>
          <t>Week4-Sep-2025</t>
        </is>
      </c>
      <c r="D275" s="78" t="n">
        <v>45901</v>
      </c>
      <c r="E275" t="inlineStr">
        <is>
          <t>Q2FY26</t>
        </is>
      </c>
      <c r="F275" t="inlineStr">
        <is>
          <t>14-Oct-2025</t>
        </is>
      </c>
      <c r="G275" t="inlineStr">
        <is>
          <t>Tuesday</t>
        </is>
      </c>
      <c r="H275" t="inlineStr">
        <is>
          <t>Weekly - Tuesday</t>
        </is>
      </c>
      <c r="I275" t="inlineStr">
        <is>
          <t>Weekly - Tuesday</t>
        </is>
      </c>
      <c r="J275" t="inlineStr">
        <is>
          <t>Month+1 Expiry</t>
        </is>
      </c>
      <c r="K275" s="25" t="n">
        <v>18706</v>
      </c>
      <c r="L275" s="26" t="n">
        <v>35.8536</v>
      </c>
      <c r="M275" s="26" t="n">
        <v>0.2333</v>
      </c>
    </row>
    <row r="276" ht="16" customHeight="1">
      <c r="A276" t="inlineStr">
        <is>
          <t>22-Sep-2025</t>
        </is>
      </c>
      <c r="B276" t="inlineStr">
        <is>
          <t>Monday</t>
        </is>
      </c>
      <c r="C276" t="inlineStr">
        <is>
          <t>Week4-Sep-2025</t>
        </is>
      </c>
      <c r="D276" s="78" t="n">
        <v>45901</v>
      </c>
      <c r="E276" t="inlineStr">
        <is>
          <t>Q2FY26</t>
        </is>
      </c>
      <c r="F276" t="inlineStr">
        <is>
          <t>20-Oct-2025</t>
        </is>
      </c>
      <c r="G276" t="inlineStr">
        <is>
          <t>Monday</t>
        </is>
      </c>
      <c r="H276" t="inlineStr">
        <is>
          <t>Weekly - Monday</t>
        </is>
      </c>
      <c r="I276" t="inlineStr">
        <is>
          <t>Weekly - Monday</t>
        </is>
      </c>
      <c r="J276" t="inlineStr">
        <is>
          <t>Month+1 Expiry</t>
        </is>
      </c>
      <c r="K276" s="25" t="n">
        <v>2965</v>
      </c>
      <c r="L276" s="26" t="n">
        <v>5.7032</v>
      </c>
      <c r="M276" s="26" t="n">
        <v>0.0313</v>
      </c>
    </row>
    <row r="277" ht="16" customHeight="1">
      <c r="A277" t="inlineStr">
        <is>
          <t>22-Sep-2025</t>
        </is>
      </c>
      <c r="B277" t="inlineStr">
        <is>
          <t>Monday</t>
        </is>
      </c>
      <c r="C277" t="inlineStr">
        <is>
          <t>Week4-Sep-2025</t>
        </is>
      </c>
      <c r="D277" s="78" t="n">
        <v>45901</v>
      </c>
      <c r="E277" t="inlineStr">
        <is>
          <t>Q2FY26</t>
        </is>
      </c>
      <c r="F277" t="inlineStr">
        <is>
          <t>28-Oct-2025</t>
        </is>
      </c>
      <c r="G277" t="inlineStr">
        <is>
          <t>Tuesday</t>
        </is>
      </c>
      <c r="H277" t="inlineStr">
        <is>
          <t>Monthly - Tuesday</t>
        </is>
      </c>
      <c r="I277" t="inlineStr">
        <is>
          <t>Monthly - Tuesday</t>
        </is>
      </c>
      <c r="J277" t="inlineStr">
        <is>
          <t>Month+1 Expiry</t>
        </is>
      </c>
      <c r="K277" s="25" t="n">
        <v>363209</v>
      </c>
      <c r="L277" s="26" t="n">
        <v>695.2859999999999</v>
      </c>
      <c r="M277" s="26" t="n">
        <v>4.3711</v>
      </c>
    </row>
    <row r="278" ht="16" customHeight="1">
      <c r="A278" t="inlineStr">
        <is>
          <t>22-Sep-2025</t>
        </is>
      </c>
      <c r="B278" t="inlineStr">
        <is>
          <t>Monday</t>
        </is>
      </c>
      <c r="C278" t="inlineStr">
        <is>
          <t>Week4-Sep-2025</t>
        </is>
      </c>
      <c r="D278" s="78" t="n">
        <v>45901</v>
      </c>
      <c r="E278" t="inlineStr">
        <is>
          <t>Q2FY26</t>
        </is>
      </c>
      <c r="F278" t="inlineStr">
        <is>
          <t>25-Nov-2025</t>
        </is>
      </c>
      <c r="G278" t="inlineStr">
        <is>
          <t>Tuesday</t>
        </is>
      </c>
      <c r="H278" t="inlineStr">
        <is>
          <t>Monthly - Tuesday</t>
        </is>
      </c>
      <c r="I278" t="inlineStr">
        <is>
          <t>Monthly - Tuesday</t>
        </is>
      </c>
      <c r="J278" t="inlineStr">
        <is>
          <t>Month+2 Expiry</t>
        </is>
      </c>
      <c r="K278" s="25" t="n">
        <v>48895</v>
      </c>
      <c r="L278" s="26" t="n">
        <v>93.36750000000001</v>
      </c>
      <c r="M278" s="26" t="n">
        <v>0.6964</v>
      </c>
    </row>
    <row r="279" ht="16" customHeight="1">
      <c r="A279" t="inlineStr">
        <is>
          <t>22-Sep-2025</t>
        </is>
      </c>
      <c r="B279" t="inlineStr">
        <is>
          <t>Monday</t>
        </is>
      </c>
      <c r="C279" t="inlineStr">
        <is>
          <t>Week4-Sep-2025</t>
        </is>
      </c>
      <c r="D279" s="78" t="n">
        <v>45901</v>
      </c>
      <c r="E279" t="inlineStr">
        <is>
          <t>Q2FY26</t>
        </is>
      </c>
      <c r="F279" t="inlineStr">
        <is>
          <t>30-Dec-2025</t>
        </is>
      </c>
      <c r="G279" t="inlineStr">
        <is>
          <t>Tuesday</t>
        </is>
      </c>
      <c r="H279" t="inlineStr">
        <is>
          <t>Monthly - Tuesday</t>
        </is>
      </c>
      <c r="I279" t="inlineStr">
        <is>
          <t>Monthly - Tuesday</t>
        </is>
      </c>
      <c r="J279" t="inlineStr">
        <is>
          <t>Month+3 Expiry</t>
        </is>
      </c>
      <c r="K279" s="25" t="n">
        <v>49161</v>
      </c>
      <c r="L279" s="26" t="n">
        <v>93.1203</v>
      </c>
      <c r="M279" s="26" t="n">
        <v>1.7976</v>
      </c>
    </row>
    <row r="280" ht="16" customHeight="1">
      <c r="A280" t="inlineStr">
        <is>
          <t>22-Sep-2025</t>
        </is>
      </c>
      <c r="B280" t="inlineStr">
        <is>
          <t>Monday</t>
        </is>
      </c>
      <c r="C280" t="inlineStr">
        <is>
          <t>Week4-Sep-2025</t>
        </is>
      </c>
      <c r="D280" s="78" t="n">
        <v>45901</v>
      </c>
      <c r="E280" t="inlineStr">
        <is>
          <t>Q2FY26</t>
        </is>
      </c>
      <c r="F280" t="inlineStr">
        <is>
          <t>31-Mar-2026</t>
        </is>
      </c>
      <c r="G280" t="inlineStr">
        <is>
          <t>Tuesday</t>
        </is>
      </c>
      <c r="H280" t="inlineStr">
        <is>
          <t>Monthly - Tuesday</t>
        </is>
      </c>
      <c r="I280" t="inlineStr">
        <is>
          <t>Monthly - Tuesday</t>
        </is>
      </c>
      <c r="J280" t="inlineStr">
        <is>
          <t>Month+6 Expiry</t>
        </is>
      </c>
      <c r="K280" s="25" t="n">
        <v>11515</v>
      </c>
      <c r="L280" s="26" t="n">
        <v>22.2157</v>
      </c>
      <c r="M280" s="26" t="n">
        <v>0.5067</v>
      </c>
    </row>
    <row r="281" ht="16" customHeight="1">
      <c r="A281" t="inlineStr">
        <is>
          <t>22-Sep-2025</t>
        </is>
      </c>
      <c r="B281" t="inlineStr">
        <is>
          <t>Monday</t>
        </is>
      </c>
      <c r="C281" t="inlineStr">
        <is>
          <t>Week4-Sep-2025</t>
        </is>
      </c>
      <c r="D281" s="78" t="n">
        <v>45901</v>
      </c>
      <c r="E281" t="inlineStr">
        <is>
          <t>Q2FY26</t>
        </is>
      </c>
      <c r="F281" t="inlineStr">
        <is>
          <t>30-Jun-2026</t>
        </is>
      </c>
      <c r="G281" t="inlineStr">
        <is>
          <t>Tuesday</t>
        </is>
      </c>
      <c r="H281" t="inlineStr">
        <is>
          <t>Monthly - Tuesday</t>
        </is>
      </c>
      <c r="I281" t="inlineStr">
        <is>
          <t>Monthly - Tuesday</t>
        </is>
      </c>
      <c r="J281" t="inlineStr">
        <is>
          <t>Month+9 Expiry</t>
        </is>
      </c>
      <c r="K281" s="25" t="n">
        <v>243</v>
      </c>
      <c r="L281" s="26" t="n">
        <v>0.4614</v>
      </c>
      <c r="M281" s="26" t="n">
        <v>0.0074</v>
      </c>
    </row>
    <row r="282" ht="16" customHeight="1">
      <c r="A282" t="inlineStr">
        <is>
          <t>22-Sep-2025</t>
        </is>
      </c>
      <c r="B282" t="inlineStr">
        <is>
          <t>Monday</t>
        </is>
      </c>
      <c r="C282" t="inlineStr">
        <is>
          <t>Week4-Sep-2025</t>
        </is>
      </c>
      <c r="D282" s="78" t="n">
        <v>45901</v>
      </c>
      <c r="E282" t="inlineStr">
        <is>
          <t>Q2FY26</t>
        </is>
      </c>
      <c r="F282" t="inlineStr">
        <is>
          <t>29-Dec-2026</t>
        </is>
      </c>
      <c r="G282" t="inlineStr">
        <is>
          <t>Tuesday</t>
        </is>
      </c>
      <c r="H282" t="inlineStr">
        <is>
          <t>Monthly - Tuesday</t>
        </is>
      </c>
      <c r="I282" t="inlineStr">
        <is>
          <t>Monthly - Tuesday</t>
        </is>
      </c>
      <c r="J282" t="inlineStr">
        <is>
          <t>Month+15 Expiry</t>
        </is>
      </c>
      <c r="K282" s="25" t="n">
        <v>628</v>
      </c>
      <c r="L282" s="26" t="n">
        <v>1.2447</v>
      </c>
      <c r="M282" s="26" t="n">
        <v>0.0449</v>
      </c>
    </row>
    <row r="283" ht="16" customHeight="1">
      <c r="A283" t="inlineStr">
        <is>
          <t>22-Sep-2025</t>
        </is>
      </c>
      <c r="B283" t="inlineStr">
        <is>
          <t>Monday</t>
        </is>
      </c>
      <c r="C283" t="inlineStr">
        <is>
          <t>Week4-Sep-2025</t>
        </is>
      </c>
      <c r="D283" s="78" t="n">
        <v>45901</v>
      </c>
      <c r="E283" t="inlineStr">
        <is>
          <t>Q2FY26</t>
        </is>
      </c>
      <c r="F283" t="inlineStr">
        <is>
          <t>29-Jun-2027</t>
        </is>
      </c>
      <c r="G283" t="inlineStr">
        <is>
          <t>Tuesday</t>
        </is>
      </c>
      <c r="H283" t="inlineStr">
        <is>
          <t>Monthly - Tuesday</t>
        </is>
      </c>
      <c r="I283" t="inlineStr">
        <is>
          <t>Monthly - Tuesday</t>
        </is>
      </c>
      <c r="J283" t="inlineStr">
        <is>
          <t>Month+21 Expiry</t>
        </is>
      </c>
      <c r="K283" s="25" t="n">
        <v>0</v>
      </c>
      <c r="L283" s="26" t="n">
        <v>0</v>
      </c>
      <c r="M283" s="26" t="n">
        <v>0</v>
      </c>
    </row>
    <row r="284" ht="16" customHeight="1">
      <c r="A284" t="inlineStr">
        <is>
          <t>22-Sep-2025</t>
        </is>
      </c>
      <c r="B284" t="inlineStr">
        <is>
          <t>Monday</t>
        </is>
      </c>
      <c r="C284" t="inlineStr">
        <is>
          <t>Week4-Sep-2025</t>
        </is>
      </c>
      <c r="D284" s="78" t="n">
        <v>45901</v>
      </c>
      <c r="E284" t="inlineStr">
        <is>
          <t>Q2FY26</t>
        </is>
      </c>
      <c r="F284" t="inlineStr">
        <is>
          <t>28-Dec-2027</t>
        </is>
      </c>
      <c r="G284" t="inlineStr">
        <is>
          <t>Tuesday</t>
        </is>
      </c>
      <c r="H284" t="inlineStr">
        <is>
          <t>Monthly - Tuesday</t>
        </is>
      </c>
      <c r="I284" t="inlineStr">
        <is>
          <t>Monthly - Tuesday</t>
        </is>
      </c>
      <c r="J284" t="inlineStr">
        <is>
          <t>Month+27 Expiry</t>
        </is>
      </c>
      <c r="K284" s="25" t="n">
        <v>0</v>
      </c>
      <c r="L284" s="26" t="n">
        <v>0</v>
      </c>
      <c r="M284" s="26" t="n">
        <v>0</v>
      </c>
    </row>
    <row r="285" ht="16" customHeight="1">
      <c r="A285" t="inlineStr">
        <is>
          <t>22-Sep-2025</t>
        </is>
      </c>
      <c r="B285" t="inlineStr">
        <is>
          <t>Monday</t>
        </is>
      </c>
      <c r="C285" t="inlineStr">
        <is>
          <t>Week4-Sep-2025</t>
        </is>
      </c>
      <c r="D285" s="78" t="n">
        <v>45901</v>
      </c>
      <c r="E285" t="inlineStr">
        <is>
          <t>Q2FY26</t>
        </is>
      </c>
      <c r="F285" t="inlineStr">
        <is>
          <t>27-Jun-2028</t>
        </is>
      </c>
      <c r="G285" t="inlineStr">
        <is>
          <t>Tuesday</t>
        </is>
      </c>
      <c r="H285" t="inlineStr">
        <is>
          <t>Monthly - Tuesday</t>
        </is>
      </c>
      <c r="I285" t="inlineStr">
        <is>
          <t>Monthly - Tuesday</t>
        </is>
      </c>
      <c r="J285" t="inlineStr">
        <is>
          <t>Month+33 Expiry</t>
        </is>
      </c>
      <c r="K285" s="25" t="n">
        <v>0</v>
      </c>
      <c r="L285" s="26" t="n">
        <v>0</v>
      </c>
      <c r="M285" s="26" t="n">
        <v>0</v>
      </c>
    </row>
    <row r="286" ht="16" customHeight="1">
      <c r="A286" t="inlineStr">
        <is>
          <t>22-Sep-2025</t>
        </is>
      </c>
      <c r="B286" t="inlineStr">
        <is>
          <t>Monday</t>
        </is>
      </c>
      <c r="C286" t="inlineStr">
        <is>
          <t>Week4-Sep-2025</t>
        </is>
      </c>
      <c r="D286" s="78" t="n">
        <v>45901</v>
      </c>
      <c r="E286" t="inlineStr">
        <is>
          <t>Q2FY26</t>
        </is>
      </c>
      <c r="F286" t="inlineStr">
        <is>
          <t>26-Dec-2028</t>
        </is>
      </c>
      <c r="G286" t="inlineStr">
        <is>
          <t>Tuesday</t>
        </is>
      </c>
      <c r="H286" t="inlineStr">
        <is>
          <t>Monthly - Tuesday</t>
        </is>
      </c>
      <c r="I286" t="inlineStr">
        <is>
          <t>Monthly - Tuesday</t>
        </is>
      </c>
      <c r="J286" t="inlineStr">
        <is>
          <t>Month+39 Expiry</t>
        </is>
      </c>
      <c r="K286" s="25" t="n">
        <v>0</v>
      </c>
      <c r="L286" s="26" t="n">
        <v>0</v>
      </c>
      <c r="M286" s="26" t="n">
        <v>0</v>
      </c>
    </row>
    <row r="287" ht="16" customHeight="1">
      <c r="A287" t="inlineStr">
        <is>
          <t>22-Sep-2025</t>
        </is>
      </c>
      <c r="B287" t="inlineStr">
        <is>
          <t>Monday</t>
        </is>
      </c>
      <c r="C287" t="inlineStr">
        <is>
          <t>Week4-Sep-2025</t>
        </is>
      </c>
      <c r="D287" s="78" t="n">
        <v>45901</v>
      </c>
      <c r="E287" t="inlineStr">
        <is>
          <t>Q2FY26</t>
        </is>
      </c>
      <c r="F287" t="inlineStr">
        <is>
          <t>26-Jun-2029</t>
        </is>
      </c>
      <c r="G287" t="inlineStr">
        <is>
          <t>Tuesday</t>
        </is>
      </c>
      <c r="H287" t="inlineStr">
        <is>
          <t>Monthly - Tuesday</t>
        </is>
      </c>
      <c r="I287" t="inlineStr">
        <is>
          <t>Monthly - Tuesday</t>
        </is>
      </c>
      <c r="J287" t="inlineStr">
        <is>
          <t>Month+45 Expiry</t>
        </is>
      </c>
      <c r="K287" s="25" t="n">
        <v>0</v>
      </c>
      <c r="L287" s="26" t="n">
        <v>0</v>
      </c>
      <c r="M287" s="26" t="n">
        <v>0</v>
      </c>
    </row>
    <row r="288" ht="16" customHeight="1">
      <c r="A288" t="inlineStr">
        <is>
          <t>22-Sep-2025</t>
        </is>
      </c>
      <c r="B288" t="inlineStr">
        <is>
          <t>Monday</t>
        </is>
      </c>
      <c r="C288" t="inlineStr">
        <is>
          <t>Week4-Sep-2025</t>
        </is>
      </c>
      <c r="D288" s="78" t="n">
        <v>45901</v>
      </c>
      <c r="E288" t="inlineStr">
        <is>
          <t>Q2FY26</t>
        </is>
      </c>
      <c r="F288" t="inlineStr">
        <is>
          <t>24-Dec-2029</t>
        </is>
      </c>
      <c r="G288" t="inlineStr">
        <is>
          <t>Monday</t>
        </is>
      </c>
      <c r="H288" t="inlineStr">
        <is>
          <t>Weekly - Monday</t>
        </is>
      </c>
      <c r="I288" t="inlineStr">
        <is>
          <t>Weekly - Monday</t>
        </is>
      </c>
      <c r="J288" t="inlineStr">
        <is>
          <t>Month+51 Expiry</t>
        </is>
      </c>
      <c r="K288" s="25" t="n">
        <v>0</v>
      </c>
      <c r="L288" s="26" t="n">
        <v>0</v>
      </c>
      <c r="M288" s="26" t="n">
        <v>0</v>
      </c>
    </row>
    <row r="289" ht="16" customHeight="1">
      <c r="A289" t="inlineStr">
        <is>
          <t>22-Sep-2025</t>
        </is>
      </c>
      <c r="B289" t="inlineStr">
        <is>
          <t>Monday</t>
        </is>
      </c>
      <c r="C289" t="inlineStr">
        <is>
          <t>Week4-Sep-2025</t>
        </is>
      </c>
      <c r="D289" s="78" t="n">
        <v>45901</v>
      </c>
      <c r="E289" t="inlineStr">
        <is>
          <t>Q2FY26</t>
        </is>
      </c>
      <c r="F289" t="inlineStr">
        <is>
          <t>25-Jun-2030</t>
        </is>
      </c>
      <c r="G289" t="inlineStr">
        <is>
          <t>Tuesday</t>
        </is>
      </c>
      <c r="H289" t="inlineStr">
        <is>
          <t>Monthly - Tuesday</t>
        </is>
      </c>
      <c r="I289" t="inlineStr">
        <is>
          <t>Monthly - Tuesday</t>
        </is>
      </c>
      <c r="J289" t="inlineStr">
        <is>
          <t>Month+57 Expiry</t>
        </is>
      </c>
      <c r="K289" s="25" t="n">
        <v>0</v>
      </c>
      <c r="L289" s="26" t="n">
        <v>0</v>
      </c>
      <c r="M289" s="26" t="n">
        <v>0</v>
      </c>
    </row>
    <row r="290" ht="16" customHeight="1">
      <c r="A290" t="inlineStr">
        <is>
          <t>23-Sep-2025</t>
        </is>
      </c>
      <c r="B290" t="inlineStr">
        <is>
          <t>Tuesday</t>
        </is>
      </c>
      <c r="C290" t="inlineStr">
        <is>
          <t>Week4-Sep-2025</t>
        </is>
      </c>
      <c r="D290" s="78" t="n">
        <v>45901</v>
      </c>
      <c r="E290" t="inlineStr">
        <is>
          <t>Q2FY26</t>
        </is>
      </c>
      <c r="F290" t="inlineStr">
        <is>
          <t>23-Sep-2025</t>
        </is>
      </c>
      <c r="G290" t="inlineStr">
        <is>
          <t>Tuesday</t>
        </is>
      </c>
      <c r="H290" t="inlineStr">
        <is>
          <t>Weekly - Tuesday</t>
        </is>
      </c>
      <c r="I290" t="inlineStr">
        <is>
          <t>Weekly - Tuesday</t>
        </is>
      </c>
      <c r="J290" t="inlineStr">
        <is>
          <t>Same Month Expiry</t>
        </is>
      </c>
      <c r="K290" s="25" t="n">
        <v>308437541</v>
      </c>
      <c r="L290" s="26" t="n">
        <v>583595.1612</v>
      </c>
      <c r="M290" s="26" t="n">
        <v>497.8365</v>
      </c>
    </row>
    <row r="291" ht="16" customHeight="1">
      <c r="A291" t="inlineStr">
        <is>
          <t>23-Sep-2025</t>
        </is>
      </c>
      <c r="B291" t="inlineStr">
        <is>
          <t>Tuesday</t>
        </is>
      </c>
      <c r="C291" t="inlineStr">
        <is>
          <t>Week4-Sep-2025</t>
        </is>
      </c>
      <c r="D291" s="78" t="n">
        <v>45901</v>
      </c>
      <c r="E291" t="inlineStr">
        <is>
          <t>Q2FY26</t>
        </is>
      </c>
      <c r="F291" t="inlineStr">
        <is>
          <t>30-Sep-2025</t>
        </is>
      </c>
      <c r="G291" t="inlineStr">
        <is>
          <t>Tuesday</t>
        </is>
      </c>
      <c r="H291" t="inlineStr">
        <is>
          <t>Monthly - Tuesday</t>
        </is>
      </c>
      <c r="I291" t="inlineStr">
        <is>
          <t>Monthly - Tuesday</t>
        </is>
      </c>
      <c r="J291" t="inlineStr">
        <is>
          <t>Same Month Expiry</t>
        </is>
      </c>
      <c r="K291" s="25" t="n">
        <v>11870233</v>
      </c>
      <c r="L291" s="26" t="n">
        <v>22539.8029</v>
      </c>
      <c r="M291" s="26" t="n">
        <v>63.8894</v>
      </c>
    </row>
    <row r="292" ht="16" customHeight="1">
      <c r="A292" t="inlineStr">
        <is>
          <t>23-Sep-2025</t>
        </is>
      </c>
      <c r="B292" t="inlineStr">
        <is>
          <t>Tuesday</t>
        </is>
      </c>
      <c r="C292" t="inlineStr">
        <is>
          <t>Week4-Sep-2025</t>
        </is>
      </c>
      <c r="D292" s="78" t="n">
        <v>45901</v>
      </c>
      <c r="E292" t="inlineStr">
        <is>
          <t>Q2FY26</t>
        </is>
      </c>
      <c r="F292" t="inlineStr">
        <is>
          <t>07-Oct-2025</t>
        </is>
      </c>
      <c r="G292" t="inlineStr">
        <is>
          <t>Tuesday</t>
        </is>
      </c>
      <c r="H292" t="inlineStr">
        <is>
          <t>Weekly - Tuesday</t>
        </is>
      </c>
      <c r="I292" t="inlineStr">
        <is>
          <t>Weekly - Tuesday</t>
        </is>
      </c>
      <c r="J292" t="inlineStr">
        <is>
          <t>Month+1 Expiry</t>
        </is>
      </c>
      <c r="K292" s="25" t="n">
        <v>470301</v>
      </c>
      <c r="L292" s="26" t="n">
        <v>895.671</v>
      </c>
      <c r="M292" s="26" t="n">
        <v>4.1161</v>
      </c>
    </row>
    <row r="293" ht="16" customHeight="1">
      <c r="A293" t="inlineStr">
        <is>
          <t>23-Sep-2025</t>
        </is>
      </c>
      <c r="B293" t="inlineStr">
        <is>
          <t>Tuesday</t>
        </is>
      </c>
      <c r="C293" t="inlineStr">
        <is>
          <t>Week4-Sep-2025</t>
        </is>
      </c>
      <c r="D293" s="78" t="n">
        <v>45901</v>
      </c>
      <c r="E293" t="inlineStr">
        <is>
          <t>Q2FY26</t>
        </is>
      </c>
      <c r="F293" t="inlineStr">
        <is>
          <t>14-Oct-2025</t>
        </is>
      </c>
      <c r="G293" t="inlineStr">
        <is>
          <t>Tuesday</t>
        </is>
      </c>
      <c r="H293" t="inlineStr">
        <is>
          <t>Weekly - Tuesday</t>
        </is>
      </c>
      <c r="I293" t="inlineStr">
        <is>
          <t>Weekly - Tuesday</t>
        </is>
      </c>
      <c r="J293" t="inlineStr">
        <is>
          <t>Month+1 Expiry</t>
        </is>
      </c>
      <c r="K293" s="25" t="n">
        <v>27345</v>
      </c>
      <c r="L293" s="26" t="n">
        <v>52.2903</v>
      </c>
      <c r="M293" s="26" t="n">
        <v>0.2785</v>
      </c>
    </row>
    <row r="294" ht="16" customHeight="1">
      <c r="A294" t="inlineStr">
        <is>
          <t>23-Sep-2025</t>
        </is>
      </c>
      <c r="B294" t="inlineStr">
        <is>
          <t>Tuesday</t>
        </is>
      </c>
      <c r="C294" t="inlineStr">
        <is>
          <t>Week4-Sep-2025</t>
        </is>
      </c>
      <c r="D294" s="78" t="n">
        <v>45901</v>
      </c>
      <c r="E294" t="inlineStr">
        <is>
          <t>Q2FY26</t>
        </is>
      </c>
      <c r="F294" t="inlineStr">
        <is>
          <t>20-Oct-2025</t>
        </is>
      </c>
      <c r="G294" t="inlineStr">
        <is>
          <t>Monday</t>
        </is>
      </c>
      <c r="H294" t="inlineStr">
        <is>
          <t>Weekly - Monday</t>
        </is>
      </c>
      <c r="I294" t="inlineStr">
        <is>
          <t>Weekly - Monday</t>
        </is>
      </c>
      <c r="J294" t="inlineStr">
        <is>
          <t>Month+1 Expiry</t>
        </is>
      </c>
      <c r="K294" s="25" t="n">
        <v>3652</v>
      </c>
      <c r="L294" s="26" t="n">
        <v>7.0358</v>
      </c>
      <c r="M294" s="26" t="n">
        <v>0.0459</v>
      </c>
    </row>
    <row r="295" ht="16" customHeight="1">
      <c r="A295" t="inlineStr">
        <is>
          <t>23-Sep-2025</t>
        </is>
      </c>
      <c r="B295" t="inlineStr">
        <is>
          <t>Tuesday</t>
        </is>
      </c>
      <c r="C295" t="inlineStr">
        <is>
          <t>Week4-Sep-2025</t>
        </is>
      </c>
      <c r="D295" s="78" t="n">
        <v>45901</v>
      </c>
      <c r="E295" t="inlineStr">
        <is>
          <t>Q2FY26</t>
        </is>
      </c>
      <c r="F295" t="inlineStr">
        <is>
          <t>28-Oct-2025</t>
        </is>
      </c>
      <c r="G295" t="inlineStr">
        <is>
          <t>Tuesday</t>
        </is>
      </c>
      <c r="H295" t="inlineStr">
        <is>
          <t>Monthly - Tuesday</t>
        </is>
      </c>
      <c r="I295" t="inlineStr">
        <is>
          <t>Monthly - Tuesday</t>
        </is>
      </c>
      <c r="J295" t="inlineStr">
        <is>
          <t>Month+1 Expiry</t>
        </is>
      </c>
      <c r="K295" s="25" t="n">
        <v>488602</v>
      </c>
      <c r="L295" s="26" t="n">
        <v>931.7876</v>
      </c>
      <c r="M295" s="26" t="n">
        <v>6.6891</v>
      </c>
    </row>
    <row r="296" ht="16" customHeight="1">
      <c r="A296" t="inlineStr">
        <is>
          <t>23-Sep-2025</t>
        </is>
      </c>
      <c r="B296" t="inlineStr">
        <is>
          <t>Tuesday</t>
        </is>
      </c>
      <c r="C296" t="inlineStr">
        <is>
          <t>Week4-Sep-2025</t>
        </is>
      </c>
      <c r="D296" s="78" t="n">
        <v>45901</v>
      </c>
      <c r="E296" t="inlineStr">
        <is>
          <t>Q2FY26</t>
        </is>
      </c>
      <c r="F296" t="inlineStr">
        <is>
          <t>25-Nov-2025</t>
        </is>
      </c>
      <c r="G296" t="inlineStr">
        <is>
          <t>Tuesday</t>
        </is>
      </c>
      <c r="H296" t="inlineStr">
        <is>
          <t>Monthly - Tuesday</t>
        </is>
      </c>
      <c r="I296" t="inlineStr">
        <is>
          <t>Monthly - Tuesday</t>
        </is>
      </c>
      <c r="J296" t="inlineStr">
        <is>
          <t>Month+2 Expiry</t>
        </is>
      </c>
      <c r="K296" s="25" t="n">
        <v>51888</v>
      </c>
      <c r="L296" s="26" t="n">
        <v>99.0561</v>
      </c>
      <c r="M296" s="26" t="n">
        <v>0.7667</v>
      </c>
    </row>
    <row r="297" ht="16" customHeight="1">
      <c r="A297" t="inlineStr">
        <is>
          <t>23-Sep-2025</t>
        </is>
      </c>
      <c r="B297" t="inlineStr">
        <is>
          <t>Tuesday</t>
        </is>
      </c>
      <c r="C297" t="inlineStr">
        <is>
          <t>Week4-Sep-2025</t>
        </is>
      </c>
      <c r="D297" s="78" t="n">
        <v>45901</v>
      </c>
      <c r="E297" t="inlineStr">
        <is>
          <t>Q2FY26</t>
        </is>
      </c>
      <c r="F297" t="inlineStr">
        <is>
          <t>30-Dec-2025</t>
        </is>
      </c>
      <c r="G297" t="inlineStr">
        <is>
          <t>Tuesday</t>
        </is>
      </c>
      <c r="H297" t="inlineStr">
        <is>
          <t>Monthly - Tuesday</t>
        </is>
      </c>
      <c r="I297" t="inlineStr">
        <is>
          <t>Monthly - Tuesday</t>
        </is>
      </c>
      <c r="J297" t="inlineStr">
        <is>
          <t>Month+3 Expiry</t>
        </is>
      </c>
      <c r="K297" s="25" t="n">
        <v>48230</v>
      </c>
      <c r="L297" s="26" t="n">
        <v>92.86969999999999</v>
      </c>
      <c r="M297" s="26" t="n">
        <v>1.8391</v>
      </c>
    </row>
    <row r="298" ht="16" customHeight="1">
      <c r="A298" t="inlineStr">
        <is>
          <t>23-Sep-2025</t>
        </is>
      </c>
      <c r="B298" t="inlineStr">
        <is>
          <t>Tuesday</t>
        </is>
      </c>
      <c r="C298" t="inlineStr">
        <is>
          <t>Week4-Sep-2025</t>
        </is>
      </c>
      <c r="D298" s="78" t="n">
        <v>45901</v>
      </c>
      <c r="E298" t="inlineStr">
        <is>
          <t>Q2FY26</t>
        </is>
      </c>
      <c r="F298" t="inlineStr">
        <is>
          <t>31-Mar-2026</t>
        </is>
      </c>
      <c r="G298" t="inlineStr">
        <is>
          <t>Tuesday</t>
        </is>
      </c>
      <c r="H298" t="inlineStr">
        <is>
          <t>Monthly - Tuesday</t>
        </is>
      </c>
      <c r="I298" t="inlineStr">
        <is>
          <t>Monthly - Tuesday</t>
        </is>
      </c>
      <c r="J298" t="inlineStr">
        <is>
          <t>Month+6 Expiry</t>
        </is>
      </c>
      <c r="K298" s="25" t="n">
        <v>14337</v>
      </c>
      <c r="L298" s="26" t="n">
        <v>27.8403</v>
      </c>
      <c r="M298" s="26" t="n">
        <v>0.6095</v>
      </c>
    </row>
    <row r="299" ht="16" customHeight="1">
      <c r="A299" t="inlineStr">
        <is>
          <t>23-Sep-2025</t>
        </is>
      </c>
      <c r="B299" t="inlineStr">
        <is>
          <t>Tuesday</t>
        </is>
      </c>
      <c r="C299" t="inlineStr">
        <is>
          <t>Week4-Sep-2025</t>
        </is>
      </c>
      <c r="D299" s="78" t="n">
        <v>45901</v>
      </c>
      <c r="E299" t="inlineStr">
        <is>
          <t>Q2FY26</t>
        </is>
      </c>
      <c r="F299" t="inlineStr">
        <is>
          <t>30-Jun-2026</t>
        </is>
      </c>
      <c r="G299" t="inlineStr">
        <is>
          <t>Tuesday</t>
        </is>
      </c>
      <c r="H299" t="inlineStr">
        <is>
          <t>Monthly - Tuesday</t>
        </is>
      </c>
      <c r="I299" t="inlineStr">
        <is>
          <t>Monthly - Tuesday</t>
        </is>
      </c>
      <c r="J299" t="inlineStr">
        <is>
          <t>Month+9 Expiry</t>
        </is>
      </c>
      <c r="K299" s="25" t="n">
        <v>240</v>
      </c>
      <c r="L299" s="26" t="n">
        <v>0.4504</v>
      </c>
      <c r="M299" s="26" t="n">
        <v>0.0078</v>
      </c>
    </row>
    <row r="300" ht="16" customHeight="1">
      <c r="A300" t="inlineStr">
        <is>
          <t>23-Sep-2025</t>
        </is>
      </c>
      <c r="B300" t="inlineStr">
        <is>
          <t>Tuesday</t>
        </is>
      </c>
      <c r="C300" t="inlineStr">
        <is>
          <t>Week4-Sep-2025</t>
        </is>
      </c>
      <c r="D300" s="78" t="n">
        <v>45901</v>
      </c>
      <c r="E300" t="inlineStr">
        <is>
          <t>Q2FY26</t>
        </is>
      </c>
      <c r="F300" t="inlineStr">
        <is>
          <t>29-Dec-2026</t>
        </is>
      </c>
      <c r="G300" t="inlineStr">
        <is>
          <t>Tuesday</t>
        </is>
      </c>
      <c r="H300" t="inlineStr">
        <is>
          <t>Monthly - Tuesday</t>
        </is>
      </c>
      <c r="I300" t="inlineStr">
        <is>
          <t>Monthly - Tuesday</t>
        </is>
      </c>
      <c r="J300" t="inlineStr">
        <is>
          <t>Month+15 Expiry</t>
        </is>
      </c>
      <c r="K300" s="25" t="n">
        <v>657</v>
      </c>
      <c r="L300" s="26" t="n">
        <v>1.3221</v>
      </c>
      <c r="M300" s="26" t="n">
        <v>0.046</v>
      </c>
    </row>
    <row r="301" ht="16" customHeight="1">
      <c r="A301" t="inlineStr">
        <is>
          <t>23-Sep-2025</t>
        </is>
      </c>
      <c r="B301" t="inlineStr">
        <is>
          <t>Tuesday</t>
        </is>
      </c>
      <c r="C301" t="inlineStr">
        <is>
          <t>Week4-Sep-2025</t>
        </is>
      </c>
      <c r="D301" s="78" t="n">
        <v>45901</v>
      </c>
      <c r="E301" t="inlineStr">
        <is>
          <t>Q2FY26</t>
        </is>
      </c>
      <c r="F301" t="inlineStr">
        <is>
          <t>29-Jun-2027</t>
        </is>
      </c>
      <c r="G301" t="inlineStr">
        <is>
          <t>Tuesday</t>
        </is>
      </c>
      <c r="H301" t="inlineStr">
        <is>
          <t>Monthly - Tuesday</t>
        </is>
      </c>
      <c r="I301" t="inlineStr">
        <is>
          <t>Monthly - Tuesday</t>
        </is>
      </c>
      <c r="J301" t="inlineStr">
        <is>
          <t>Month+21 Expiry</t>
        </is>
      </c>
      <c r="K301" s="25" t="n">
        <v>2</v>
      </c>
      <c r="L301" s="26" t="n">
        <v>0.0032</v>
      </c>
      <c r="M301" s="26" t="n">
        <v>0</v>
      </c>
    </row>
    <row r="302" ht="16" customHeight="1">
      <c r="A302" t="inlineStr">
        <is>
          <t>23-Sep-2025</t>
        </is>
      </c>
      <c r="B302" t="inlineStr">
        <is>
          <t>Tuesday</t>
        </is>
      </c>
      <c r="C302" t="inlineStr">
        <is>
          <t>Week4-Sep-2025</t>
        </is>
      </c>
      <c r="D302" s="78" t="n">
        <v>45901</v>
      </c>
      <c r="E302" t="inlineStr">
        <is>
          <t>Q2FY26</t>
        </is>
      </c>
      <c r="F302" t="inlineStr">
        <is>
          <t>28-Dec-2027</t>
        </is>
      </c>
      <c r="G302" t="inlineStr">
        <is>
          <t>Tuesday</t>
        </is>
      </c>
      <c r="H302" t="inlineStr">
        <is>
          <t>Monthly - Tuesday</t>
        </is>
      </c>
      <c r="I302" t="inlineStr">
        <is>
          <t>Monthly - Tuesday</t>
        </is>
      </c>
      <c r="J302" t="inlineStr">
        <is>
          <t>Month+27 Expiry</t>
        </is>
      </c>
      <c r="K302" s="25" t="n">
        <v>2</v>
      </c>
      <c r="L302" s="26" t="n">
        <v>0.0037</v>
      </c>
      <c r="M302" s="26" t="n">
        <v>0.0001</v>
      </c>
    </row>
    <row r="303" ht="16" customHeight="1">
      <c r="A303" t="inlineStr">
        <is>
          <t>23-Sep-2025</t>
        </is>
      </c>
      <c r="B303" t="inlineStr">
        <is>
          <t>Tuesday</t>
        </is>
      </c>
      <c r="C303" t="inlineStr">
        <is>
          <t>Week4-Sep-2025</t>
        </is>
      </c>
      <c r="D303" s="78" t="n">
        <v>45901</v>
      </c>
      <c r="E303" t="inlineStr">
        <is>
          <t>Q2FY26</t>
        </is>
      </c>
      <c r="F303" t="inlineStr">
        <is>
          <t>27-Jun-2028</t>
        </is>
      </c>
      <c r="G303" t="inlineStr">
        <is>
          <t>Tuesday</t>
        </is>
      </c>
      <c r="H303" t="inlineStr">
        <is>
          <t>Monthly - Tuesday</t>
        </is>
      </c>
      <c r="I303" t="inlineStr">
        <is>
          <t>Monthly - Tuesday</t>
        </is>
      </c>
      <c r="J303" t="inlineStr">
        <is>
          <t>Month+33 Expiry</t>
        </is>
      </c>
      <c r="K303" s="25" t="n">
        <v>0</v>
      </c>
      <c r="L303" s="26" t="n">
        <v>0</v>
      </c>
      <c r="M303" s="26" t="n">
        <v>0</v>
      </c>
    </row>
    <row r="304" ht="16" customHeight="1">
      <c r="A304" t="inlineStr">
        <is>
          <t>23-Sep-2025</t>
        </is>
      </c>
      <c r="B304" t="inlineStr">
        <is>
          <t>Tuesday</t>
        </is>
      </c>
      <c r="C304" t="inlineStr">
        <is>
          <t>Week4-Sep-2025</t>
        </is>
      </c>
      <c r="D304" s="78" t="n">
        <v>45901</v>
      </c>
      <c r="E304" t="inlineStr">
        <is>
          <t>Q2FY26</t>
        </is>
      </c>
      <c r="F304" t="inlineStr">
        <is>
          <t>26-Dec-2028</t>
        </is>
      </c>
      <c r="G304" t="inlineStr">
        <is>
          <t>Tuesday</t>
        </is>
      </c>
      <c r="H304" t="inlineStr">
        <is>
          <t>Monthly - Tuesday</t>
        </is>
      </c>
      <c r="I304" t="inlineStr">
        <is>
          <t>Monthly - Tuesday</t>
        </is>
      </c>
      <c r="J304" t="inlineStr">
        <is>
          <t>Month+39 Expiry</t>
        </is>
      </c>
      <c r="K304" s="25" t="n">
        <v>0</v>
      </c>
      <c r="L304" s="26" t="n">
        <v>0</v>
      </c>
      <c r="M304" s="26" t="n">
        <v>0</v>
      </c>
    </row>
    <row r="305" ht="16" customHeight="1">
      <c r="A305" t="inlineStr">
        <is>
          <t>23-Sep-2025</t>
        </is>
      </c>
      <c r="B305" t="inlineStr">
        <is>
          <t>Tuesday</t>
        </is>
      </c>
      <c r="C305" t="inlineStr">
        <is>
          <t>Week4-Sep-2025</t>
        </is>
      </c>
      <c r="D305" s="78" t="n">
        <v>45901</v>
      </c>
      <c r="E305" t="inlineStr">
        <is>
          <t>Q2FY26</t>
        </is>
      </c>
      <c r="F305" t="inlineStr">
        <is>
          <t>26-Jun-2029</t>
        </is>
      </c>
      <c r="G305" t="inlineStr">
        <is>
          <t>Tuesday</t>
        </is>
      </c>
      <c r="H305" t="inlineStr">
        <is>
          <t>Monthly - Tuesday</t>
        </is>
      </c>
      <c r="I305" t="inlineStr">
        <is>
          <t>Monthly - Tuesday</t>
        </is>
      </c>
      <c r="J305" t="inlineStr">
        <is>
          <t>Month+45 Expiry</t>
        </is>
      </c>
      <c r="K305" s="25" t="n">
        <v>0</v>
      </c>
      <c r="L305" s="26" t="n">
        <v>0</v>
      </c>
      <c r="M305" s="26" t="n">
        <v>0</v>
      </c>
    </row>
    <row r="306" ht="16" customHeight="1">
      <c r="A306" t="inlineStr">
        <is>
          <t>23-Sep-2025</t>
        </is>
      </c>
      <c r="B306" t="inlineStr">
        <is>
          <t>Tuesday</t>
        </is>
      </c>
      <c r="C306" t="inlineStr">
        <is>
          <t>Week4-Sep-2025</t>
        </is>
      </c>
      <c r="D306" s="78" t="n">
        <v>45901</v>
      </c>
      <c r="E306" t="inlineStr">
        <is>
          <t>Q2FY26</t>
        </is>
      </c>
      <c r="F306" t="inlineStr">
        <is>
          <t>24-Dec-2029</t>
        </is>
      </c>
      <c r="G306" t="inlineStr">
        <is>
          <t>Monday</t>
        </is>
      </c>
      <c r="H306" t="inlineStr">
        <is>
          <t>Weekly - Monday</t>
        </is>
      </c>
      <c r="I306" t="inlineStr">
        <is>
          <t>Weekly - Monday</t>
        </is>
      </c>
      <c r="J306" t="inlineStr">
        <is>
          <t>Month+51 Expiry</t>
        </is>
      </c>
      <c r="K306" s="25" t="n">
        <v>0</v>
      </c>
      <c r="L306" s="26" t="n">
        <v>0</v>
      </c>
      <c r="M306" s="26" t="n">
        <v>0</v>
      </c>
    </row>
    <row r="307" ht="16" customHeight="1">
      <c r="A307" t="inlineStr">
        <is>
          <t>23-Sep-2025</t>
        </is>
      </c>
      <c r="B307" t="inlineStr">
        <is>
          <t>Tuesday</t>
        </is>
      </c>
      <c r="C307" t="inlineStr">
        <is>
          <t>Week4-Sep-2025</t>
        </is>
      </c>
      <c r="D307" s="78" t="n">
        <v>45901</v>
      </c>
      <c r="E307" t="inlineStr">
        <is>
          <t>Q2FY26</t>
        </is>
      </c>
      <c r="F307" t="inlineStr">
        <is>
          <t>25-Jun-2030</t>
        </is>
      </c>
      <c r="G307" t="inlineStr">
        <is>
          <t>Tuesday</t>
        </is>
      </c>
      <c r="H307" t="inlineStr">
        <is>
          <t>Monthly - Tuesday</t>
        </is>
      </c>
      <c r="I307" t="inlineStr">
        <is>
          <t>Monthly - Tuesday</t>
        </is>
      </c>
      <c r="J307" t="inlineStr">
        <is>
          <t>Month+57 Expiry</t>
        </is>
      </c>
      <c r="K307" s="25" t="n">
        <v>0</v>
      </c>
      <c r="L307" s="26" t="n">
        <v>0</v>
      </c>
      <c r="M307" s="26" t="n">
        <v>0</v>
      </c>
    </row>
    <row r="308" ht="16" customHeight="1">
      <c r="A308" t="inlineStr">
        <is>
          <t>24-Sep-2025</t>
        </is>
      </c>
      <c r="B308" t="inlineStr">
        <is>
          <t>Wednesday</t>
        </is>
      </c>
      <c r="C308" t="inlineStr">
        <is>
          <t>Week4-Sep-2025</t>
        </is>
      </c>
      <c r="D308" s="78" t="n">
        <v>45901</v>
      </c>
      <c r="E308" t="inlineStr">
        <is>
          <t>Q2FY26</t>
        </is>
      </c>
      <c r="F308" t="inlineStr">
        <is>
          <t>30-Sep-2025</t>
        </is>
      </c>
      <c r="G308" t="inlineStr">
        <is>
          <t>Tuesday</t>
        </is>
      </c>
      <c r="H308" t="inlineStr">
        <is>
          <t>Monthly - Tuesday</t>
        </is>
      </c>
      <c r="I308" t="inlineStr">
        <is>
          <t>MDAW - Tuesday</t>
        </is>
      </c>
      <c r="J308" t="inlineStr">
        <is>
          <t>Same Month Expiry</t>
        </is>
      </c>
      <c r="K308" s="25" t="n">
        <v>52030968</v>
      </c>
      <c r="L308" s="26" t="n">
        <v>98384.8846</v>
      </c>
      <c r="M308" s="26" t="n">
        <v>262.068</v>
      </c>
    </row>
    <row r="309" ht="16" customHeight="1">
      <c r="A309" t="inlineStr">
        <is>
          <t>24-Sep-2025</t>
        </is>
      </c>
      <c r="B309" t="inlineStr">
        <is>
          <t>Wednesday</t>
        </is>
      </c>
      <c r="C309" t="inlineStr">
        <is>
          <t>Week4-Sep-2025</t>
        </is>
      </c>
      <c r="D309" s="78" t="n">
        <v>45901</v>
      </c>
      <c r="E309" t="inlineStr">
        <is>
          <t>Q2FY26</t>
        </is>
      </c>
      <c r="F309" t="inlineStr">
        <is>
          <t>07-Oct-2025</t>
        </is>
      </c>
      <c r="G309" t="inlineStr">
        <is>
          <t>Tuesday</t>
        </is>
      </c>
      <c r="H309" t="inlineStr">
        <is>
          <t>Weekly - Tuesday</t>
        </is>
      </c>
      <c r="I309" t="inlineStr">
        <is>
          <t>Weekly - Tuesday</t>
        </is>
      </c>
      <c r="J309" t="inlineStr">
        <is>
          <t>Month+1 Expiry</t>
        </is>
      </c>
      <c r="K309" s="25" t="n">
        <v>1304519</v>
      </c>
      <c r="L309" s="26" t="n">
        <v>2474.3313</v>
      </c>
      <c r="M309" s="26" t="n">
        <v>9.906000000000001</v>
      </c>
    </row>
    <row r="310" ht="16" customHeight="1">
      <c r="A310" t="inlineStr">
        <is>
          <t>24-Sep-2025</t>
        </is>
      </c>
      <c r="B310" t="inlineStr">
        <is>
          <t>Wednesday</t>
        </is>
      </c>
      <c r="C310" t="inlineStr">
        <is>
          <t>Week4-Sep-2025</t>
        </is>
      </c>
      <c r="D310" s="78" t="n">
        <v>45901</v>
      </c>
      <c r="E310" t="inlineStr">
        <is>
          <t>Q2FY26</t>
        </is>
      </c>
      <c r="F310" t="inlineStr">
        <is>
          <t>14-Oct-2025</t>
        </is>
      </c>
      <c r="G310" t="inlineStr">
        <is>
          <t>Tuesday</t>
        </is>
      </c>
      <c r="H310" t="inlineStr">
        <is>
          <t>Weekly - Tuesday</t>
        </is>
      </c>
      <c r="I310" t="inlineStr">
        <is>
          <t>Weekly - Tuesday</t>
        </is>
      </c>
      <c r="J310" t="inlineStr">
        <is>
          <t>Month+1 Expiry</t>
        </is>
      </c>
      <c r="K310" s="25" t="n">
        <v>67639</v>
      </c>
      <c r="L310" s="26" t="n">
        <v>128.9205</v>
      </c>
      <c r="M310" s="26" t="n">
        <v>0.6642</v>
      </c>
    </row>
    <row r="311" ht="16" customHeight="1">
      <c r="A311" t="inlineStr">
        <is>
          <t>24-Sep-2025</t>
        </is>
      </c>
      <c r="B311" t="inlineStr">
        <is>
          <t>Wednesday</t>
        </is>
      </c>
      <c r="C311" t="inlineStr">
        <is>
          <t>Week4-Sep-2025</t>
        </is>
      </c>
      <c r="D311" s="78" t="n">
        <v>45901</v>
      </c>
      <c r="E311" t="inlineStr">
        <is>
          <t>Q2FY26</t>
        </is>
      </c>
      <c r="F311" t="inlineStr">
        <is>
          <t>20-Oct-2025</t>
        </is>
      </c>
      <c r="G311" t="inlineStr">
        <is>
          <t>Monday</t>
        </is>
      </c>
      <c r="H311" t="inlineStr">
        <is>
          <t>Weekly - Monday</t>
        </is>
      </c>
      <c r="I311" t="inlineStr">
        <is>
          <t>Weekly - Monday</t>
        </is>
      </c>
      <c r="J311" t="inlineStr">
        <is>
          <t>Month+1 Expiry</t>
        </is>
      </c>
      <c r="K311" s="25" t="n">
        <v>8196</v>
      </c>
      <c r="L311" s="26" t="n">
        <v>15.7387</v>
      </c>
      <c r="M311" s="26" t="n">
        <v>0.0915</v>
      </c>
    </row>
    <row r="312" ht="16" customHeight="1">
      <c r="A312" t="inlineStr">
        <is>
          <t>24-Sep-2025</t>
        </is>
      </c>
      <c r="B312" t="inlineStr">
        <is>
          <t>Wednesday</t>
        </is>
      </c>
      <c r="C312" t="inlineStr">
        <is>
          <t>Week4-Sep-2025</t>
        </is>
      </c>
      <c r="D312" s="78" t="n">
        <v>45901</v>
      </c>
      <c r="E312" t="inlineStr">
        <is>
          <t>Q2FY26</t>
        </is>
      </c>
      <c r="F312" t="inlineStr">
        <is>
          <t>28-Oct-2025</t>
        </is>
      </c>
      <c r="G312" t="inlineStr">
        <is>
          <t>Tuesday</t>
        </is>
      </c>
      <c r="H312" t="inlineStr">
        <is>
          <t>Monthly - Tuesday</t>
        </is>
      </c>
      <c r="I312" t="inlineStr">
        <is>
          <t>Monthly - Tuesday</t>
        </is>
      </c>
      <c r="J312" t="inlineStr">
        <is>
          <t>Month+1 Expiry</t>
        </is>
      </c>
      <c r="K312" s="25" t="n">
        <v>512105</v>
      </c>
      <c r="L312" s="26" t="n">
        <v>975.1428</v>
      </c>
      <c r="M312" s="26" t="n">
        <v>7.1595</v>
      </c>
    </row>
    <row r="313" ht="16" customHeight="1">
      <c r="A313" t="inlineStr">
        <is>
          <t>24-Sep-2025</t>
        </is>
      </c>
      <c r="B313" t="inlineStr">
        <is>
          <t>Wednesday</t>
        </is>
      </c>
      <c r="C313" t="inlineStr">
        <is>
          <t>Week4-Sep-2025</t>
        </is>
      </c>
      <c r="D313" s="78" t="n">
        <v>45901</v>
      </c>
      <c r="E313" t="inlineStr">
        <is>
          <t>Q2FY26</t>
        </is>
      </c>
      <c r="F313" t="inlineStr">
        <is>
          <t>04-Nov-2025</t>
        </is>
      </c>
      <c r="G313" t="inlineStr">
        <is>
          <t>Tuesday</t>
        </is>
      </c>
      <c r="H313" t="inlineStr">
        <is>
          <t>Weekly - Tuesday</t>
        </is>
      </c>
      <c r="I313" t="inlineStr">
        <is>
          <t>Weekly - Tuesday</t>
        </is>
      </c>
      <c r="J313" t="inlineStr">
        <is>
          <t>Month+2 Expiry</t>
        </is>
      </c>
      <c r="K313" s="25" t="n">
        <v>206</v>
      </c>
      <c r="L313" s="26" t="n">
        <v>0.4014</v>
      </c>
      <c r="M313" s="26" t="n">
        <v>0.0021</v>
      </c>
    </row>
    <row r="314" ht="16" customHeight="1">
      <c r="A314" t="inlineStr">
        <is>
          <t>24-Sep-2025</t>
        </is>
      </c>
      <c r="B314" t="inlineStr">
        <is>
          <t>Wednesday</t>
        </is>
      </c>
      <c r="C314" t="inlineStr">
        <is>
          <t>Week4-Sep-2025</t>
        </is>
      </c>
      <c r="D314" s="78" t="n">
        <v>45901</v>
      </c>
      <c r="E314" t="inlineStr">
        <is>
          <t>Q2FY26</t>
        </is>
      </c>
      <c r="F314" t="inlineStr">
        <is>
          <t>25-Nov-2025</t>
        </is>
      </c>
      <c r="G314" t="inlineStr">
        <is>
          <t>Tuesday</t>
        </is>
      </c>
      <c r="H314" t="inlineStr">
        <is>
          <t>Monthly - Tuesday</t>
        </is>
      </c>
      <c r="I314" t="inlineStr">
        <is>
          <t>Monthly - Tuesday</t>
        </is>
      </c>
      <c r="J314" t="inlineStr">
        <is>
          <t>Month+2 Expiry</t>
        </is>
      </c>
      <c r="K314" s="25" t="n">
        <v>46704</v>
      </c>
      <c r="L314" s="26" t="n">
        <v>89.5539</v>
      </c>
      <c r="M314" s="26" t="n">
        <v>0.6734</v>
      </c>
    </row>
    <row r="315" ht="16" customHeight="1">
      <c r="A315" t="inlineStr">
        <is>
          <t>24-Sep-2025</t>
        </is>
      </c>
      <c r="B315" t="inlineStr">
        <is>
          <t>Wednesday</t>
        </is>
      </c>
      <c r="C315" t="inlineStr">
        <is>
          <t>Week4-Sep-2025</t>
        </is>
      </c>
      <c r="D315" s="78" t="n">
        <v>45901</v>
      </c>
      <c r="E315" t="inlineStr">
        <is>
          <t>Q2FY26</t>
        </is>
      </c>
      <c r="F315" t="inlineStr">
        <is>
          <t>30-Dec-2025</t>
        </is>
      </c>
      <c r="G315" t="inlineStr">
        <is>
          <t>Tuesday</t>
        </is>
      </c>
      <c r="H315" t="inlineStr">
        <is>
          <t>Monthly - Tuesday</t>
        </is>
      </c>
      <c r="I315" t="inlineStr">
        <is>
          <t>Monthly - Tuesday</t>
        </is>
      </c>
      <c r="J315" t="inlineStr">
        <is>
          <t>Month+3 Expiry</t>
        </is>
      </c>
      <c r="K315" s="25" t="n">
        <v>48983</v>
      </c>
      <c r="L315" s="26" t="n">
        <v>95.032</v>
      </c>
      <c r="M315" s="26" t="n">
        <v>1.9682</v>
      </c>
    </row>
    <row r="316" ht="16" customHeight="1">
      <c r="A316" t="inlineStr">
        <is>
          <t>24-Sep-2025</t>
        </is>
      </c>
      <c r="B316" t="inlineStr">
        <is>
          <t>Wednesday</t>
        </is>
      </c>
      <c r="C316" t="inlineStr">
        <is>
          <t>Week4-Sep-2025</t>
        </is>
      </c>
      <c r="D316" s="78" t="n">
        <v>45901</v>
      </c>
      <c r="E316" t="inlineStr">
        <is>
          <t>Q2FY26</t>
        </is>
      </c>
      <c r="F316" t="inlineStr">
        <is>
          <t>31-Mar-2026</t>
        </is>
      </c>
      <c r="G316" t="inlineStr">
        <is>
          <t>Tuesday</t>
        </is>
      </c>
      <c r="H316" t="inlineStr">
        <is>
          <t>Monthly - Tuesday</t>
        </is>
      </c>
      <c r="I316" t="inlineStr">
        <is>
          <t>Monthly - Tuesday</t>
        </is>
      </c>
      <c r="J316" t="inlineStr">
        <is>
          <t>Month+6 Expiry</t>
        </is>
      </c>
      <c r="K316" s="25" t="n">
        <v>12196</v>
      </c>
      <c r="L316" s="26" t="n">
        <v>24.4823</v>
      </c>
      <c r="M316" s="26" t="n">
        <v>0.4975</v>
      </c>
    </row>
    <row r="317" ht="16" customHeight="1">
      <c r="A317" t="inlineStr">
        <is>
          <t>24-Sep-2025</t>
        </is>
      </c>
      <c r="B317" t="inlineStr">
        <is>
          <t>Wednesday</t>
        </is>
      </c>
      <c r="C317" t="inlineStr">
        <is>
          <t>Week4-Sep-2025</t>
        </is>
      </c>
      <c r="D317" s="78" t="n">
        <v>45901</v>
      </c>
      <c r="E317" t="inlineStr">
        <is>
          <t>Q2FY26</t>
        </is>
      </c>
      <c r="F317" t="inlineStr">
        <is>
          <t>30-Jun-2026</t>
        </is>
      </c>
      <c r="G317" t="inlineStr">
        <is>
          <t>Tuesday</t>
        </is>
      </c>
      <c r="H317" t="inlineStr">
        <is>
          <t>Monthly - Tuesday</t>
        </is>
      </c>
      <c r="I317" t="inlineStr">
        <is>
          <t>Monthly - Tuesday</t>
        </is>
      </c>
      <c r="J317" t="inlineStr">
        <is>
          <t>Month+9 Expiry</t>
        </is>
      </c>
      <c r="K317" s="25" t="n">
        <v>169</v>
      </c>
      <c r="L317" s="26" t="n">
        <v>0.3247</v>
      </c>
      <c r="M317" s="26" t="n">
        <v>0.007</v>
      </c>
    </row>
    <row r="318" ht="16" customHeight="1">
      <c r="A318" t="inlineStr">
        <is>
          <t>24-Sep-2025</t>
        </is>
      </c>
      <c r="B318" t="inlineStr">
        <is>
          <t>Wednesday</t>
        </is>
      </c>
      <c r="C318" t="inlineStr">
        <is>
          <t>Week4-Sep-2025</t>
        </is>
      </c>
      <c r="D318" s="78" t="n">
        <v>45901</v>
      </c>
      <c r="E318" t="inlineStr">
        <is>
          <t>Q2FY26</t>
        </is>
      </c>
      <c r="F318" t="inlineStr">
        <is>
          <t>29-Dec-2026</t>
        </is>
      </c>
      <c r="G318" t="inlineStr">
        <is>
          <t>Tuesday</t>
        </is>
      </c>
      <c r="H318" t="inlineStr">
        <is>
          <t>Monthly - Tuesday</t>
        </is>
      </c>
      <c r="I318" t="inlineStr">
        <is>
          <t>Monthly - Tuesday</t>
        </is>
      </c>
      <c r="J318" t="inlineStr">
        <is>
          <t>Month+15 Expiry</t>
        </is>
      </c>
      <c r="K318" s="25" t="n">
        <v>986</v>
      </c>
      <c r="L318" s="26" t="n">
        <v>1.9723</v>
      </c>
      <c r="M318" s="26" t="n">
        <v>0.0735</v>
      </c>
    </row>
    <row r="319" ht="16" customHeight="1">
      <c r="A319" t="inlineStr">
        <is>
          <t>24-Sep-2025</t>
        </is>
      </c>
      <c r="B319" t="inlineStr">
        <is>
          <t>Wednesday</t>
        </is>
      </c>
      <c r="C319" t="inlineStr">
        <is>
          <t>Week4-Sep-2025</t>
        </is>
      </c>
      <c r="D319" s="78" t="n">
        <v>45901</v>
      </c>
      <c r="E319" t="inlineStr">
        <is>
          <t>Q2FY26</t>
        </is>
      </c>
      <c r="F319" t="inlineStr">
        <is>
          <t>29-Jun-2027</t>
        </is>
      </c>
      <c r="G319" t="inlineStr">
        <is>
          <t>Tuesday</t>
        </is>
      </c>
      <c r="H319" t="inlineStr">
        <is>
          <t>Monthly - Tuesday</t>
        </is>
      </c>
      <c r="I319" t="inlineStr">
        <is>
          <t>Monthly - Tuesday</t>
        </is>
      </c>
      <c r="J319" t="inlineStr">
        <is>
          <t>Month+21 Expiry</t>
        </is>
      </c>
      <c r="K319" s="25" t="n">
        <v>0</v>
      </c>
      <c r="L319" s="26" t="n">
        <v>0</v>
      </c>
      <c r="M319" s="26" t="n">
        <v>0</v>
      </c>
    </row>
    <row r="320" ht="16" customHeight="1">
      <c r="A320" t="inlineStr">
        <is>
          <t>24-Sep-2025</t>
        </is>
      </c>
      <c r="B320" t="inlineStr">
        <is>
          <t>Wednesday</t>
        </is>
      </c>
      <c r="C320" t="inlineStr">
        <is>
          <t>Week4-Sep-2025</t>
        </is>
      </c>
      <c r="D320" s="78" t="n">
        <v>45901</v>
      </c>
      <c r="E320" t="inlineStr">
        <is>
          <t>Q2FY26</t>
        </is>
      </c>
      <c r="F320" t="inlineStr">
        <is>
          <t>28-Dec-2027</t>
        </is>
      </c>
      <c r="G320" t="inlineStr">
        <is>
          <t>Tuesday</t>
        </is>
      </c>
      <c r="H320" t="inlineStr">
        <is>
          <t>Monthly - Tuesday</t>
        </is>
      </c>
      <c r="I320" t="inlineStr">
        <is>
          <t>Monthly - Tuesday</t>
        </is>
      </c>
      <c r="J320" t="inlineStr">
        <is>
          <t>Month+27 Expiry</t>
        </is>
      </c>
      <c r="K320" s="25" t="n">
        <v>5</v>
      </c>
      <c r="L320" s="26" t="n">
        <v>0.009599999999999999</v>
      </c>
      <c r="M320" s="26" t="n">
        <v>0.0003</v>
      </c>
    </row>
    <row r="321" ht="16" customHeight="1">
      <c r="A321" t="inlineStr">
        <is>
          <t>24-Sep-2025</t>
        </is>
      </c>
      <c r="B321" t="inlineStr">
        <is>
          <t>Wednesday</t>
        </is>
      </c>
      <c r="C321" t="inlineStr">
        <is>
          <t>Week4-Sep-2025</t>
        </is>
      </c>
      <c r="D321" s="78" t="n">
        <v>45901</v>
      </c>
      <c r="E321" t="inlineStr">
        <is>
          <t>Q2FY26</t>
        </is>
      </c>
      <c r="F321" t="inlineStr">
        <is>
          <t>27-Jun-2028</t>
        </is>
      </c>
      <c r="G321" t="inlineStr">
        <is>
          <t>Tuesday</t>
        </is>
      </c>
      <c r="H321" t="inlineStr">
        <is>
          <t>Monthly - Tuesday</t>
        </is>
      </c>
      <c r="I321" t="inlineStr">
        <is>
          <t>Monthly - Tuesday</t>
        </is>
      </c>
      <c r="J321" t="inlineStr">
        <is>
          <t>Month+33 Expiry</t>
        </is>
      </c>
      <c r="K321" s="25" t="n">
        <v>0</v>
      </c>
      <c r="L321" s="26" t="n">
        <v>0</v>
      </c>
      <c r="M321" s="26" t="n">
        <v>0</v>
      </c>
    </row>
    <row r="322" ht="16" customHeight="1">
      <c r="A322" t="inlineStr">
        <is>
          <t>24-Sep-2025</t>
        </is>
      </c>
      <c r="B322" t="inlineStr">
        <is>
          <t>Wednesday</t>
        </is>
      </c>
      <c r="C322" t="inlineStr">
        <is>
          <t>Week4-Sep-2025</t>
        </is>
      </c>
      <c r="D322" s="78" t="n">
        <v>45901</v>
      </c>
      <c r="E322" t="inlineStr">
        <is>
          <t>Q2FY26</t>
        </is>
      </c>
      <c r="F322" t="inlineStr">
        <is>
          <t>26-Dec-2028</t>
        </is>
      </c>
      <c r="G322" t="inlineStr">
        <is>
          <t>Tuesday</t>
        </is>
      </c>
      <c r="H322" t="inlineStr">
        <is>
          <t>Monthly - Tuesday</t>
        </is>
      </c>
      <c r="I322" t="inlineStr">
        <is>
          <t>Monthly - Tuesday</t>
        </is>
      </c>
      <c r="J322" t="inlineStr">
        <is>
          <t>Month+39 Expiry</t>
        </is>
      </c>
      <c r="K322" s="25" t="n">
        <v>1</v>
      </c>
      <c r="L322" s="26" t="n">
        <v>0.002</v>
      </c>
      <c r="M322" s="26" t="n">
        <v>0.0001</v>
      </c>
    </row>
    <row r="323" ht="16" customHeight="1">
      <c r="A323" t="inlineStr">
        <is>
          <t>24-Sep-2025</t>
        </is>
      </c>
      <c r="B323" t="inlineStr">
        <is>
          <t>Wednesday</t>
        </is>
      </c>
      <c r="C323" t="inlineStr">
        <is>
          <t>Week4-Sep-2025</t>
        </is>
      </c>
      <c r="D323" s="78" t="n">
        <v>45901</v>
      </c>
      <c r="E323" t="inlineStr">
        <is>
          <t>Q2FY26</t>
        </is>
      </c>
      <c r="F323" t="inlineStr">
        <is>
          <t>26-Jun-2029</t>
        </is>
      </c>
      <c r="G323" t="inlineStr">
        <is>
          <t>Tuesday</t>
        </is>
      </c>
      <c r="H323" t="inlineStr">
        <is>
          <t>Monthly - Tuesday</t>
        </is>
      </c>
      <c r="I323" t="inlineStr">
        <is>
          <t>Monthly - Tuesday</t>
        </is>
      </c>
      <c r="J323" t="inlineStr">
        <is>
          <t>Month+45 Expiry</t>
        </is>
      </c>
      <c r="K323" s="25" t="n">
        <v>0</v>
      </c>
      <c r="L323" s="26" t="n">
        <v>0</v>
      </c>
      <c r="M323" s="26" t="n">
        <v>0</v>
      </c>
    </row>
    <row r="324" ht="16" customHeight="1">
      <c r="A324" t="inlineStr">
        <is>
          <t>24-Sep-2025</t>
        </is>
      </c>
      <c r="B324" t="inlineStr">
        <is>
          <t>Wednesday</t>
        </is>
      </c>
      <c r="C324" t="inlineStr">
        <is>
          <t>Week4-Sep-2025</t>
        </is>
      </c>
      <c r="D324" s="78" t="n">
        <v>45901</v>
      </c>
      <c r="E324" t="inlineStr">
        <is>
          <t>Q2FY26</t>
        </is>
      </c>
      <c r="F324" t="inlineStr">
        <is>
          <t>24-Dec-2029</t>
        </is>
      </c>
      <c r="G324" t="inlineStr">
        <is>
          <t>Monday</t>
        </is>
      </c>
      <c r="H324" t="inlineStr">
        <is>
          <t>Weekly - Monday</t>
        </is>
      </c>
      <c r="I324" t="inlineStr">
        <is>
          <t>Weekly - Monday</t>
        </is>
      </c>
      <c r="J324" t="inlineStr">
        <is>
          <t>Month+51 Expiry</t>
        </is>
      </c>
      <c r="K324" s="25" t="n">
        <v>0</v>
      </c>
      <c r="L324" s="26" t="n">
        <v>0</v>
      </c>
      <c r="M324" s="26" t="n">
        <v>0</v>
      </c>
    </row>
    <row r="325" ht="16" customHeight="1">
      <c r="A325" t="inlineStr">
        <is>
          <t>24-Sep-2025</t>
        </is>
      </c>
      <c r="B325" t="inlineStr">
        <is>
          <t>Wednesday</t>
        </is>
      </c>
      <c r="C325" t="inlineStr">
        <is>
          <t>Week4-Sep-2025</t>
        </is>
      </c>
      <c r="D325" s="78" t="n">
        <v>45901</v>
      </c>
      <c r="E325" t="inlineStr">
        <is>
          <t>Q2FY26</t>
        </is>
      </c>
      <c r="F325" t="inlineStr">
        <is>
          <t>25-Jun-2030</t>
        </is>
      </c>
      <c r="G325" t="inlineStr">
        <is>
          <t>Tuesday</t>
        </is>
      </c>
      <c r="H325" t="inlineStr">
        <is>
          <t>Monthly - Tuesday</t>
        </is>
      </c>
      <c r="I325" t="inlineStr">
        <is>
          <t>Monthly - Tuesday</t>
        </is>
      </c>
      <c r="J325" t="inlineStr">
        <is>
          <t>Month+57 Expiry</t>
        </is>
      </c>
      <c r="K325" s="25" t="n">
        <v>0</v>
      </c>
      <c r="L325" s="26" t="n">
        <v>0</v>
      </c>
      <c r="M325" s="26" t="n">
        <v>0</v>
      </c>
    </row>
    <row r="326" ht="16" customHeight="1">
      <c r="A326" t="inlineStr">
        <is>
          <t>25-Sep-2025</t>
        </is>
      </c>
      <c r="B326" t="inlineStr">
        <is>
          <t>Thursday</t>
        </is>
      </c>
      <c r="C326" t="inlineStr">
        <is>
          <t>Week4-Sep-2025</t>
        </is>
      </c>
      <c r="D326" s="78" t="n">
        <v>45901</v>
      </c>
      <c r="E326" t="inlineStr">
        <is>
          <t>Q2FY26</t>
        </is>
      </c>
      <c r="F326" t="inlineStr">
        <is>
          <t>30-Sep-2025</t>
        </is>
      </c>
      <c r="G326" t="inlineStr">
        <is>
          <t>Tuesday</t>
        </is>
      </c>
      <c r="H326" t="inlineStr">
        <is>
          <t>Monthly - Tuesday</t>
        </is>
      </c>
      <c r="I326" t="inlineStr">
        <is>
          <t>MDAW - Tuesday</t>
        </is>
      </c>
      <c r="J326" t="inlineStr">
        <is>
          <t>Same Month Expiry</t>
        </is>
      </c>
      <c r="K326" s="25" t="n">
        <v>53729065</v>
      </c>
      <c r="L326" s="26" t="n">
        <v>101408.3696</v>
      </c>
      <c r="M326" s="26" t="n">
        <v>232.4534</v>
      </c>
    </row>
    <row r="327" ht="16" customHeight="1">
      <c r="A327" t="inlineStr">
        <is>
          <t>25-Sep-2025</t>
        </is>
      </c>
      <c r="B327" t="inlineStr">
        <is>
          <t>Thursday</t>
        </is>
      </c>
      <c r="C327" t="inlineStr">
        <is>
          <t>Week4-Sep-2025</t>
        </is>
      </c>
      <c r="D327" s="78" t="n">
        <v>45901</v>
      </c>
      <c r="E327" t="inlineStr">
        <is>
          <t>Q2FY26</t>
        </is>
      </c>
      <c r="F327" t="inlineStr">
        <is>
          <t>07-Oct-2025</t>
        </is>
      </c>
      <c r="G327" t="inlineStr">
        <is>
          <t>Tuesday</t>
        </is>
      </c>
      <c r="H327" t="inlineStr">
        <is>
          <t>Weekly - Tuesday</t>
        </is>
      </c>
      <c r="I327" t="inlineStr">
        <is>
          <t>Weekly - Tuesday</t>
        </is>
      </c>
      <c r="J327" t="inlineStr">
        <is>
          <t>Month+1 Expiry</t>
        </is>
      </c>
      <c r="K327" s="25" t="n">
        <v>1747807</v>
      </c>
      <c r="L327" s="26" t="n">
        <v>3307.4447</v>
      </c>
      <c r="M327" s="26" t="n">
        <v>13.2747</v>
      </c>
    </row>
    <row r="328" ht="16" customHeight="1">
      <c r="A328" t="inlineStr">
        <is>
          <t>25-Sep-2025</t>
        </is>
      </c>
      <c r="B328" t="inlineStr">
        <is>
          <t>Thursday</t>
        </is>
      </c>
      <c r="C328" t="inlineStr">
        <is>
          <t>Week4-Sep-2025</t>
        </is>
      </c>
      <c r="D328" s="78" t="n">
        <v>45901</v>
      </c>
      <c r="E328" t="inlineStr">
        <is>
          <t>Q2FY26</t>
        </is>
      </c>
      <c r="F328" t="inlineStr">
        <is>
          <t>14-Oct-2025</t>
        </is>
      </c>
      <c r="G328" t="inlineStr">
        <is>
          <t>Tuesday</t>
        </is>
      </c>
      <c r="H328" t="inlineStr">
        <is>
          <t>Weekly - Tuesday</t>
        </is>
      </c>
      <c r="I328" t="inlineStr">
        <is>
          <t>Weekly - Tuesday</t>
        </is>
      </c>
      <c r="J328" t="inlineStr">
        <is>
          <t>Month+1 Expiry</t>
        </is>
      </c>
      <c r="K328" s="25" t="n">
        <v>95792</v>
      </c>
      <c r="L328" s="26" t="n">
        <v>181.625</v>
      </c>
      <c r="M328" s="26" t="n">
        <v>0.9408</v>
      </c>
    </row>
    <row r="329" ht="16" customHeight="1">
      <c r="A329" t="inlineStr">
        <is>
          <t>25-Sep-2025</t>
        </is>
      </c>
      <c r="B329" t="inlineStr">
        <is>
          <t>Thursday</t>
        </is>
      </c>
      <c r="C329" t="inlineStr">
        <is>
          <t>Week4-Sep-2025</t>
        </is>
      </c>
      <c r="D329" s="78" t="n">
        <v>45901</v>
      </c>
      <c r="E329" t="inlineStr">
        <is>
          <t>Q2FY26</t>
        </is>
      </c>
      <c r="F329" t="inlineStr">
        <is>
          <t>20-Oct-2025</t>
        </is>
      </c>
      <c r="G329" t="inlineStr">
        <is>
          <t>Monday</t>
        </is>
      </c>
      <c r="H329" t="inlineStr">
        <is>
          <t>Weekly - Monday</t>
        </is>
      </c>
      <c r="I329" t="inlineStr">
        <is>
          <t>Weekly - Monday</t>
        </is>
      </c>
      <c r="J329" t="inlineStr">
        <is>
          <t>Month+1 Expiry</t>
        </is>
      </c>
      <c r="K329" s="25" t="n">
        <v>12189</v>
      </c>
      <c r="L329" s="26" t="n">
        <v>23.3071</v>
      </c>
      <c r="M329" s="26" t="n">
        <v>0.1261</v>
      </c>
    </row>
    <row r="330" ht="16" customHeight="1">
      <c r="A330" t="inlineStr">
        <is>
          <t>25-Sep-2025</t>
        </is>
      </c>
      <c r="B330" t="inlineStr">
        <is>
          <t>Thursday</t>
        </is>
      </c>
      <c r="C330" t="inlineStr">
        <is>
          <t>Week4-Sep-2025</t>
        </is>
      </c>
      <c r="D330" s="78" t="n">
        <v>45901</v>
      </c>
      <c r="E330" t="inlineStr">
        <is>
          <t>Q2FY26</t>
        </is>
      </c>
      <c r="F330" t="inlineStr">
        <is>
          <t>28-Oct-2025</t>
        </is>
      </c>
      <c r="G330" t="inlineStr">
        <is>
          <t>Tuesday</t>
        </is>
      </c>
      <c r="H330" t="inlineStr">
        <is>
          <t>Monthly - Tuesday</t>
        </is>
      </c>
      <c r="I330" t="inlineStr">
        <is>
          <t>Monthly - Tuesday</t>
        </is>
      </c>
      <c r="J330" t="inlineStr">
        <is>
          <t>Month+1 Expiry</t>
        </is>
      </c>
      <c r="K330" s="25" t="n">
        <v>630100</v>
      </c>
      <c r="L330" s="26" t="n">
        <v>1200.1432</v>
      </c>
      <c r="M330" s="26" t="n">
        <v>8.3169</v>
      </c>
    </row>
    <row r="331" ht="16" customHeight="1">
      <c r="A331" t="inlineStr">
        <is>
          <t>25-Sep-2025</t>
        </is>
      </c>
      <c r="B331" t="inlineStr">
        <is>
          <t>Thursday</t>
        </is>
      </c>
      <c r="C331" t="inlineStr">
        <is>
          <t>Week4-Sep-2025</t>
        </is>
      </c>
      <c r="D331" s="78" t="n">
        <v>45901</v>
      </c>
      <c r="E331" t="inlineStr">
        <is>
          <t>Q2FY26</t>
        </is>
      </c>
      <c r="F331" t="inlineStr">
        <is>
          <t>04-Nov-2025</t>
        </is>
      </c>
      <c r="G331" t="inlineStr">
        <is>
          <t>Tuesday</t>
        </is>
      </c>
      <c r="H331" t="inlineStr">
        <is>
          <t>Weekly - Tuesday</t>
        </is>
      </c>
      <c r="I331" t="inlineStr">
        <is>
          <t>Weekly - Tuesday</t>
        </is>
      </c>
      <c r="J331" t="inlineStr">
        <is>
          <t>Month+2 Expiry</t>
        </is>
      </c>
      <c r="K331" s="25" t="n">
        <v>189</v>
      </c>
      <c r="L331" s="26" t="n">
        <v>0.366</v>
      </c>
      <c r="M331" s="26" t="n">
        <v>0.0022</v>
      </c>
    </row>
    <row r="332" ht="16" customHeight="1">
      <c r="A332" t="inlineStr">
        <is>
          <t>25-Sep-2025</t>
        </is>
      </c>
      <c r="B332" t="inlineStr">
        <is>
          <t>Thursday</t>
        </is>
      </c>
      <c r="C332" t="inlineStr">
        <is>
          <t>Week4-Sep-2025</t>
        </is>
      </c>
      <c r="D332" s="78" t="n">
        <v>45901</v>
      </c>
      <c r="E332" t="inlineStr">
        <is>
          <t>Q2FY26</t>
        </is>
      </c>
      <c r="F332" t="inlineStr">
        <is>
          <t>25-Nov-2025</t>
        </is>
      </c>
      <c r="G332" t="inlineStr">
        <is>
          <t>Tuesday</t>
        </is>
      </c>
      <c r="H332" t="inlineStr">
        <is>
          <t>Monthly - Tuesday</t>
        </is>
      </c>
      <c r="I332" t="inlineStr">
        <is>
          <t>Monthly - Tuesday</t>
        </is>
      </c>
      <c r="J332" t="inlineStr">
        <is>
          <t>Month+2 Expiry</t>
        </is>
      </c>
      <c r="K332" s="25" t="n">
        <v>63297</v>
      </c>
      <c r="L332" s="26" t="n">
        <v>121.1714</v>
      </c>
      <c r="M332" s="26" t="n">
        <v>1.0587</v>
      </c>
    </row>
    <row r="333" ht="16" customHeight="1">
      <c r="A333" t="inlineStr">
        <is>
          <t>25-Sep-2025</t>
        </is>
      </c>
      <c r="B333" t="inlineStr">
        <is>
          <t>Thursday</t>
        </is>
      </c>
      <c r="C333" t="inlineStr">
        <is>
          <t>Week4-Sep-2025</t>
        </is>
      </c>
      <c r="D333" s="78" t="n">
        <v>45901</v>
      </c>
      <c r="E333" t="inlineStr">
        <is>
          <t>Q2FY26</t>
        </is>
      </c>
      <c r="F333" t="inlineStr">
        <is>
          <t>30-Dec-2025</t>
        </is>
      </c>
      <c r="G333" t="inlineStr">
        <is>
          <t>Tuesday</t>
        </is>
      </c>
      <c r="H333" t="inlineStr">
        <is>
          <t>Monthly - Tuesday</t>
        </is>
      </c>
      <c r="I333" t="inlineStr">
        <is>
          <t>Monthly - Tuesday</t>
        </is>
      </c>
      <c r="J333" t="inlineStr">
        <is>
          <t>Month+3 Expiry</t>
        </is>
      </c>
      <c r="K333" s="25" t="n">
        <v>73200</v>
      </c>
      <c r="L333" s="26" t="n">
        <v>140.9667</v>
      </c>
      <c r="M333" s="26" t="n">
        <v>3.1223</v>
      </c>
    </row>
    <row r="334" ht="16" customHeight="1">
      <c r="A334" t="inlineStr">
        <is>
          <t>25-Sep-2025</t>
        </is>
      </c>
      <c r="B334" t="inlineStr">
        <is>
          <t>Thursday</t>
        </is>
      </c>
      <c r="C334" t="inlineStr">
        <is>
          <t>Week4-Sep-2025</t>
        </is>
      </c>
      <c r="D334" s="78" t="n">
        <v>45901</v>
      </c>
      <c r="E334" t="inlineStr">
        <is>
          <t>Q2FY26</t>
        </is>
      </c>
      <c r="F334" t="inlineStr">
        <is>
          <t>31-Mar-2026</t>
        </is>
      </c>
      <c r="G334" t="inlineStr">
        <is>
          <t>Tuesday</t>
        </is>
      </c>
      <c r="H334" t="inlineStr">
        <is>
          <t>Monthly - Tuesday</t>
        </is>
      </c>
      <c r="I334" t="inlineStr">
        <is>
          <t>Monthly - Tuesday</t>
        </is>
      </c>
      <c r="J334" t="inlineStr">
        <is>
          <t>Month+6 Expiry</t>
        </is>
      </c>
      <c r="K334" s="25" t="n">
        <v>14701</v>
      </c>
      <c r="L334" s="26" t="n">
        <v>28.9532</v>
      </c>
      <c r="M334" s="26" t="n">
        <v>0.5839</v>
      </c>
    </row>
    <row r="335" ht="16" customHeight="1">
      <c r="A335" t="inlineStr">
        <is>
          <t>25-Sep-2025</t>
        </is>
      </c>
      <c r="B335" t="inlineStr">
        <is>
          <t>Thursday</t>
        </is>
      </c>
      <c r="C335" t="inlineStr">
        <is>
          <t>Week4-Sep-2025</t>
        </is>
      </c>
      <c r="D335" s="78" t="n">
        <v>45901</v>
      </c>
      <c r="E335" t="inlineStr">
        <is>
          <t>Q2FY26</t>
        </is>
      </c>
      <c r="F335" t="inlineStr">
        <is>
          <t>30-Jun-2026</t>
        </is>
      </c>
      <c r="G335" t="inlineStr">
        <is>
          <t>Tuesday</t>
        </is>
      </c>
      <c r="H335" t="inlineStr">
        <is>
          <t>Monthly - Tuesday</t>
        </is>
      </c>
      <c r="I335" t="inlineStr">
        <is>
          <t>Monthly - Tuesday</t>
        </is>
      </c>
      <c r="J335" t="inlineStr">
        <is>
          <t>Month+9 Expiry</t>
        </is>
      </c>
      <c r="K335" s="25" t="n">
        <v>592</v>
      </c>
      <c r="L335" s="26" t="n">
        <v>1.1068</v>
      </c>
      <c r="M335" s="26" t="n">
        <v>0.0206</v>
      </c>
    </row>
    <row r="336" ht="16" customHeight="1">
      <c r="A336" t="inlineStr">
        <is>
          <t>25-Sep-2025</t>
        </is>
      </c>
      <c r="B336" t="inlineStr">
        <is>
          <t>Thursday</t>
        </is>
      </c>
      <c r="C336" t="inlineStr">
        <is>
          <t>Week4-Sep-2025</t>
        </is>
      </c>
      <c r="D336" s="78" t="n">
        <v>45901</v>
      </c>
      <c r="E336" t="inlineStr">
        <is>
          <t>Q2FY26</t>
        </is>
      </c>
      <c r="F336" t="inlineStr">
        <is>
          <t>29-Dec-2026</t>
        </is>
      </c>
      <c r="G336" t="inlineStr">
        <is>
          <t>Tuesday</t>
        </is>
      </c>
      <c r="H336" t="inlineStr">
        <is>
          <t>Monthly - Tuesday</t>
        </is>
      </c>
      <c r="I336" t="inlineStr">
        <is>
          <t>Monthly - Tuesday</t>
        </is>
      </c>
      <c r="J336" t="inlineStr">
        <is>
          <t>Month+15 Expiry</t>
        </is>
      </c>
      <c r="K336" s="25" t="n">
        <v>1576</v>
      </c>
      <c r="L336" s="26" t="n">
        <v>2.9836</v>
      </c>
      <c r="M336" s="26" t="n">
        <v>0.08210000000000001</v>
      </c>
    </row>
    <row r="337" ht="16" customHeight="1">
      <c r="A337" t="inlineStr">
        <is>
          <t>25-Sep-2025</t>
        </is>
      </c>
      <c r="B337" t="inlineStr">
        <is>
          <t>Thursday</t>
        </is>
      </c>
      <c r="C337" t="inlineStr">
        <is>
          <t>Week4-Sep-2025</t>
        </is>
      </c>
      <c r="D337" s="78" t="n">
        <v>45901</v>
      </c>
      <c r="E337" t="inlineStr">
        <is>
          <t>Q2FY26</t>
        </is>
      </c>
      <c r="F337" t="inlineStr">
        <is>
          <t>29-Jun-2027</t>
        </is>
      </c>
      <c r="G337" t="inlineStr">
        <is>
          <t>Tuesday</t>
        </is>
      </c>
      <c r="H337" t="inlineStr">
        <is>
          <t>Monthly - Tuesday</t>
        </is>
      </c>
      <c r="I337" t="inlineStr">
        <is>
          <t>Monthly - Tuesday</t>
        </is>
      </c>
      <c r="J337" t="inlineStr">
        <is>
          <t>Month+21 Expiry</t>
        </is>
      </c>
      <c r="K337" s="25" t="n">
        <v>0</v>
      </c>
      <c r="L337" s="26" t="n">
        <v>0</v>
      </c>
      <c r="M337" s="26" t="n">
        <v>0</v>
      </c>
    </row>
    <row r="338" ht="16" customHeight="1">
      <c r="A338" t="inlineStr">
        <is>
          <t>25-Sep-2025</t>
        </is>
      </c>
      <c r="B338" t="inlineStr">
        <is>
          <t>Thursday</t>
        </is>
      </c>
      <c r="C338" t="inlineStr">
        <is>
          <t>Week4-Sep-2025</t>
        </is>
      </c>
      <c r="D338" s="78" t="n">
        <v>45901</v>
      </c>
      <c r="E338" t="inlineStr">
        <is>
          <t>Q2FY26</t>
        </is>
      </c>
      <c r="F338" t="inlineStr">
        <is>
          <t>28-Dec-2027</t>
        </is>
      </c>
      <c r="G338" t="inlineStr">
        <is>
          <t>Tuesday</t>
        </is>
      </c>
      <c r="H338" t="inlineStr">
        <is>
          <t>Monthly - Tuesday</t>
        </is>
      </c>
      <c r="I338" t="inlineStr">
        <is>
          <t>Monthly - Tuesday</t>
        </is>
      </c>
      <c r="J338" t="inlineStr">
        <is>
          <t>Month+27 Expiry</t>
        </is>
      </c>
      <c r="K338" s="25" t="n">
        <v>9</v>
      </c>
      <c r="L338" s="26" t="n">
        <v>0.0165</v>
      </c>
      <c r="M338" s="26" t="n">
        <v>0.0005</v>
      </c>
    </row>
    <row r="339" ht="16" customHeight="1">
      <c r="A339" t="inlineStr">
        <is>
          <t>25-Sep-2025</t>
        </is>
      </c>
      <c r="B339" t="inlineStr">
        <is>
          <t>Thursday</t>
        </is>
      </c>
      <c r="C339" t="inlineStr">
        <is>
          <t>Week4-Sep-2025</t>
        </is>
      </c>
      <c r="D339" s="78" t="n">
        <v>45901</v>
      </c>
      <c r="E339" t="inlineStr">
        <is>
          <t>Q2FY26</t>
        </is>
      </c>
      <c r="F339" t="inlineStr">
        <is>
          <t>27-Jun-2028</t>
        </is>
      </c>
      <c r="G339" t="inlineStr">
        <is>
          <t>Tuesday</t>
        </is>
      </c>
      <c r="H339" t="inlineStr">
        <is>
          <t>Monthly - Tuesday</t>
        </is>
      </c>
      <c r="I339" t="inlineStr">
        <is>
          <t>Monthly - Tuesday</t>
        </is>
      </c>
      <c r="J339" t="inlineStr">
        <is>
          <t>Month+33 Expiry</t>
        </is>
      </c>
      <c r="K339" s="25" t="n">
        <v>0</v>
      </c>
      <c r="L339" s="26" t="n">
        <v>0</v>
      </c>
      <c r="M339" s="26" t="n">
        <v>0</v>
      </c>
    </row>
    <row r="340" ht="16" customHeight="1">
      <c r="A340" t="inlineStr">
        <is>
          <t>25-Sep-2025</t>
        </is>
      </c>
      <c r="B340" t="inlineStr">
        <is>
          <t>Thursday</t>
        </is>
      </c>
      <c r="C340" t="inlineStr">
        <is>
          <t>Week4-Sep-2025</t>
        </is>
      </c>
      <c r="D340" s="78" t="n">
        <v>45901</v>
      </c>
      <c r="E340" t="inlineStr">
        <is>
          <t>Q2FY26</t>
        </is>
      </c>
      <c r="F340" t="inlineStr">
        <is>
          <t>26-Dec-2028</t>
        </is>
      </c>
      <c r="G340" t="inlineStr">
        <is>
          <t>Tuesday</t>
        </is>
      </c>
      <c r="H340" t="inlineStr">
        <is>
          <t>Monthly - Tuesday</t>
        </is>
      </c>
      <c r="I340" t="inlineStr">
        <is>
          <t>Monthly - Tuesday</t>
        </is>
      </c>
      <c r="J340" t="inlineStr">
        <is>
          <t>Month+39 Expiry</t>
        </is>
      </c>
      <c r="K340" s="25" t="n">
        <v>0</v>
      </c>
      <c r="L340" s="26" t="n">
        <v>0</v>
      </c>
      <c r="M340" s="26" t="n">
        <v>0</v>
      </c>
    </row>
    <row r="341" ht="16" customHeight="1">
      <c r="A341" t="inlineStr">
        <is>
          <t>25-Sep-2025</t>
        </is>
      </c>
      <c r="B341" t="inlineStr">
        <is>
          <t>Thursday</t>
        </is>
      </c>
      <c r="C341" t="inlineStr">
        <is>
          <t>Week4-Sep-2025</t>
        </is>
      </c>
      <c r="D341" s="78" t="n">
        <v>45901</v>
      </c>
      <c r="E341" t="inlineStr">
        <is>
          <t>Q2FY26</t>
        </is>
      </c>
      <c r="F341" t="inlineStr">
        <is>
          <t>26-Jun-2029</t>
        </is>
      </c>
      <c r="G341" t="inlineStr">
        <is>
          <t>Tuesday</t>
        </is>
      </c>
      <c r="H341" t="inlineStr">
        <is>
          <t>Monthly - Tuesday</t>
        </is>
      </c>
      <c r="I341" t="inlineStr">
        <is>
          <t>Monthly - Tuesday</t>
        </is>
      </c>
      <c r="J341" t="inlineStr">
        <is>
          <t>Month+45 Expiry</t>
        </is>
      </c>
      <c r="K341" s="25" t="n">
        <v>0</v>
      </c>
      <c r="L341" s="26" t="n">
        <v>0</v>
      </c>
      <c r="M341" s="26" t="n">
        <v>0</v>
      </c>
    </row>
    <row r="342" ht="16" customHeight="1">
      <c r="A342" t="inlineStr">
        <is>
          <t>25-Sep-2025</t>
        </is>
      </c>
      <c r="B342" t="inlineStr">
        <is>
          <t>Thursday</t>
        </is>
      </c>
      <c r="C342" t="inlineStr">
        <is>
          <t>Week4-Sep-2025</t>
        </is>
      </c>
      <c r="D342" s="78" t="n">
        <v>45901</v>
      </c>
      <c r="E342" t="inlineStr">
        <is>
          <t>Q2FY26</t>
        </is>
      </c>
      <c r="F342" t="inlineStr">
        <is>
          <t>24-Dec-2029</t>
        </is>
      </c>
      <c r="G342" t="inlineStr">
        <is>
          <t>Monday</t>
        </is>
      </c>
      <c r="H342" t="inlineStr">
        <is>
          <t>Weekly - Monday</t>
        </is>
      </c>
      <c r="I342" t="inlineStr">
        <is>
          <t>Weekly - Monday</t>
        </is>
      </c>
      <c r="J342" t="inlineStr">
        <is>
          <t>Month+51 Expiry</t>
        </is>
      </c>
      <c r="K342" s="25" t="n">
        <v>0</v>
      </c>
      <c r="L342" s="26" t="n">
        <v>0</v>
      </c>
      <c r="M342" s="26" t="n">
        <v>0</v>
      </c>
    </row>
    <row r="343" ht="16" customHeight="1">
      <c r="A343" t="inlineStr">
        <is>
          <t>25-Sep-2025</t>
        </is>
      </c>
      <c r="B343" t="inlineStr">
        <is>
          <t>Thursday</t>
        </is>
      </c>
      <c r="C343" t="inlineStr">
        <is>
          <t>Week4-Sep-2025</t>
        </is>
      </c>
      <c r="D343" s="78" t="n">
        <v>45901</v>
      </c>
      <c r="E343" t="inlineStr">
        <is>
          <t>Q2FY26</t>
        </is>
      </c>
      <c r="F343" t="inlineStr">
        <is>
          <t>25-Jun-2030</t>
        </is>
      </c>
      <c r="G343" t="inlineStr">
        <is>
          <t>Tuesday</t>
        </is>
      </c>
      <c r="H343" t="inlineStr">
        <is>
          <t>Monthly - Tuesday</t>
        </is>
      </c>
      <c r="I343" t="inlineStr">
        <is>
          <t>Monthly - Tuesday</t>
        </is>
      </c>
      <c r="J343" t="inlineStr">
        <is>
          <t>Month+57 Expiry</t>
        </is>
      </c>
      <c r="K343" s="25" t="n">
        <v>0</v>
      </c>
      <c r="L343" s="26" t="n">
        <v>0</v>
      </c>
      <c r="M343" s="26" t="n">
        <v>0</v>
      </c>
    </row>
    <row r="344" ht="16" customHeight="1">
      <c r="A344" t="inlineStr">
        <is>
          <t>26-Sep-2025</t>
        </is>
      </c>
      <c r="B344" t="inlineStr">
        <is>
          <t>Friday</t>
        </is>
      </c>
      <c r="C344" t="inlineStr">
        <is>
          <t>Week4-Sep-2025</t>
        </is>
      </c>
      <c r="D344" s="78" t="n">
        <v>45901</v>
      </c>
      <c r="E344" t="inlineStr">
        <is>
          <t>Q2FY26</t>
        </is>
      </c>
      <c r="F344" t="inlineStr">
        <is>
          <t>30-Sep-2025</t>
        </is>
      </c>
      <c r="G344" t="inlineStr">
        <is>
          <t>Tuesday</t>
        </is>
      </c>
      <c r="H344" t="inlineStr">
        <is>
          <t>Monthly - Tuesday</t>
        </is>
      </c>
      <c r="I344" t="inlineStr">
        <is>
          <t>MDAW - Tuesday</t>
        </is>
      </c>
      <c r="J344" t="inlineStr">
        <is>
          <t>Same Month Expiry</t>
        </is>
      </c>
      <c r="K344" s="25" t="n">
        <v>99902311</v>
      </c>
      <c r="L344" s="26" t="n">
        <v>186606.5559</v>
      </c>
      <c r="M344" s="26" t="n">
        <v>392.7948</v>
      </c>
    </row>
    <row r="345" ht="16" customHeight="1">
      <c r="A345" t="inlineStr">
        <is>
          <t>26-Sep-2025</t>
        </is>
      </c>
      <c r="B345" t="inlineStr">
        <is>
          <t>Friday</t>
        </is>
      </c>
      <c r="C345" t="inlineStr">
        <is>
          <t>Week4-Sep-2025</t>
        </is>
      </c>
      <c r="D345" s="78" t="n">
        <v>45901</v>
      </c>
      <c r="E345" t="inlineStr">
        <is>
          <t>Q2FY26</t>
        </is>
      </c>
      <c r="F345" t="inlineStr">
        <is>
          <t>07-Oct-2025</t>
        </is>
      </c>
      <c r="G345" t="inlineStr">
        <is>
          <t>Tuesday</t>
        </is>
      </c>
      <c r="H345" t="inlineStr">
        <is>
          <t>Weekly - Tuesday</t>
        </is>
      </c>
      <c r="I345" t="inlineStr">
        <is>
          <t>Weekly - Tuesday</t>
        </is>
      </c>
      <c r="J345" t="inlineStr">
        <is>
          <t>Month+1 Expiry</t>
        </is>
      </c>
      <c r="K345" s="25" t="n">
        <v>3007115</v>
      </c>
      <c r="L345" s="26" t="n">
        <v>5636.4518</v>
      </c>
      <c r="M345" s="26" t="n">
        <v>21.5725</v>
      </c>
    </row>
    <row r="346" ht="16" customHeight="1">
      <c r="A346" t="inlineStr">
        <is>
          <t>26-Sep-2025</t>
        </is>
      </c>
      <c r="B346" t="inlineStr">
        <is>
          <t>Friday</t>
        </is>
      </c>
      <c r="C346" t="inlineStr">
        <is>
          <t>Week4-Sep-2025</t>
        </is>
      </c>
      <c r="D346" s="78" t="n">
        <v>45901</v>
      </c>
      <c r="E346" t="inlineStr">
        <is>
          <t>Q2FY26</t>
        </is>
      </c>
      <c r="F346" t="inlineStr">
        <is>
          <t>14-Oct-2025</t>
        </is>
      </c>
      <c r="G346" t="inlineStr">
        <is>
          <t>Tuesday</t>
        </is>
      </c>
      <c r="H346" t="inlineStr">
        <is>
          <t>Weekly - Tuesday</t>
        </is>
      </c>
      <c r="I346" t="inlineStr">
        <is>
          <t>Weekly - Tuesday</t>
        </is>
      </c>
      <c r="J346" t="inlineStr">
        <is>
          <t>Month+1 Expiry</t>
        </is>
      </c>
      <c r="K346" s="25" t="n">
        <v>192790</v>
      </c>
      <c r="L346" s="26" t="n">
        <v>362.9687</v>
      </c>
      <c r="M346" s="26" t="n">
        <v>2.0404</v>
      </c>
    </row>
    <row r="347" ht="16" customHeight="1">
      <c r="A347" t="inlineStr">
        <is>
          <t>26-Sep-2025</t>
        </is>
      </c>
      <c r="B347" t="inlineStr">
        <is>
          <t>Friday</t>
        </is>
      </c>
      <c r="C347" t="inlineStr">
        <is>
          <t>Week4-Sep-2025</t>
        </is>
      </c>
      <c r="D347" s="78" t="n">
        <v>45901</v>
      </c>
      <c r="E347" t="inlineStr">
        <is>
          <t>Q2FY26</t>
        </is>
      </c>
      <c r="F347" t="inlineStr">
        <is>
          <t>20-Oct-2025</t>
        </is>
      </c>
      <c r="G347" t="inlineStr">
        <is>
          <t>Monday</t>
        </is>
      </c>
      <c r="H347" t="inlineStr">
        <is>
          <t>Weekly - Monday</t>
        </is>
      </c>
      <c r="I347" t="inlineStr">
        <is>
          <t>Weekly - Monday</t>
        </is>
      </c>
      <c r="J347" t="inlineStr">
        <is>
          <t>Month+1 Expiry</t>
        </is>
      </c>
      <c r="K347" s="25" t="n">
        <v>22364</v>
      </c>
      <c r="L347" s="26" t="n">
        <v>42.2745</v>
      </c>
      <c r="M347" s="26" t="n">
        <v>0.2444</v>
      </c>
    </row>
    <row r="348" ht="16" customHeight="1">
      <c r="A348" t="inlineStr">
        <is>
          <t>26-Sep-2025</t>
        </is>
      </c>
      <c r="B348" t="inlineStr">
        <is>
          <t>Friday</t>
        </is>
      </c>
      <c r="C348" t="inlineStr">
        <is>
          <t>Week4-Sep-2025</t>
        </is>
      </c>
      <c r="D348" s="78" t="n">
        <v>45901</v>
      </c>
      <c r="E348" t="inlineStr">
        <is>
          <t>Q2FY26</t>
        </is>
      </c>
      <c r="F348" t="inlineStr">
        <is>
          <t>28-Oct-2025</t>
        </is>
      </c>
      <c r="G348" t="inlineStr">
        <is>
          <t>Tuesday</t>
        </is>
      </c>
      <c r="H348" t="inlineStr">
        <is>
          <t>Monthly - Tuesday</t>
        </is>
      </c>
      <c r="I348" t="inlineStr">
        <is>
          <t>Monthly - Tuesday</t>
        </is>
      </c>
      <c r="J348" t="inlineStr">
        <is>
          <t>Month+1 Expiry</t>
        </is>
      </c>
      <c r="K348" s="25" t="n">
        <v>1011986</v>
      </c>
      <c r="L348" s="26" t="n">
        <v>1908.1063</v>
      </c>
      <c r="M348" s="26" t="n">
        <v>13.9674</v>
      </c>
    </row>
    <row r="349" ht="16" customHeight="1">
      <c r="A349" t="inlineStr">
        <is>
          <t>26-Sep-2025</t>
        </is>
      </c>
      <c r="B349" t="inlineStr">
        <is>
          <t>Friday</t>
        </is>
      </c>
      <c r="C349" t="inlineStr">
        <is>
          <t>Week4-Sep-2025</t>
        </is>
      </c>
      <c r="D349" s="78" t="n">
        <v>45901</v>
      </c>
      <c r="E349" t="inlineStr">
        <is>
          <t>Q2FY26</t>
        </is>
      </c>
      <c r="F349" t="inlineStr">
        <is>
          <t>04-Nov-2025</t>
        </is>
      </c>
      <c r="G349" t="inlineStr">
        <is>
          <t>Tuesday</t>
        </is>
      </c>
      <c r="H349" t="inlineStr">
        <is>
          <t>Weekly - Tuesday</t>
        </is>
      </c>
      <c r="I349" t="inlineStr">
        <is>
          <t>Weekly - Tuesday</t>
        </is>
      </c>
      <c r="J349" t="inlineStr">
        <is>
          <t>Month+2 Expiry</t>
        </is>
      </c>
      <c r="K349" s="25" t="n">
        <v>532</v>
      </c>
      <c r="L349" s="26" t="n">
        <v>1.0188</v>
      </c>
      <c r="M349" s="26" t="n">
        <v>0.0046</v>
      </c>
    </row>
    <row r="350" ht="16" customHeight="1">
      <c r="A350" t="inlineStr">
        <is>
          <t>26-Sep-2025</t>
        </is>
      </c>
      <c r="B350" t="inlineStr">
        <is>
          <t>Friday</t>
        </is>
      </c>
      <c r="C350" t="inlineStr">
        <is>
          <t>Week4-Sep-2025</t>
        </is>
      </c>
      <c r="D350" s="78" t="n">
        <v>45901</v>
      </c>
      <c r="E350" t="inlineStr">
        <is>
          <t>Q2FY26</t>
        </is>
      </c>
      <c r="F350" t="inlineStr">
        <is>
          <t>25-Nov-2025</t>
        </is>
      </c>
      <c r="G350" t="inlineStr">
        <is>
          <t>Tuesday</t>
        </is>
      </c>
      <c r="H350" t="inlineStr">
        <is>
          <t>Monthly - Tuesday</t>
        </is>
      </c>
      <c r="I350" t="inlineStr">
        <is>
          <t>Monthly - Tuesday</t>
        </is>
      </c>
      <c r="J350" t="inlineStr">
        <is>
          <t>Month+2 Expiry</t>
        </is>
      </c>
      <c r="K350" s="25" t="n">
        <v>132012</v>
      </c>
      <c r="L350" s="26" t="n">
        <v>250.5976</v>
      </c>
      <c r="M350" s="26" t="n">
        <v>2.0904</v>
      </c>
    </row>
    <row r="351" ht="16" customHeight="1">
      <c r="A351" t="inlineStr">
        <is>
          <t>26-Sep-2025</t>
        </is>
      </c>
      <c r="B351" t="inlineStr">
        <is>
          <t>Friday</t>
        </is>
      </c>
      <c r="C351" t="inlineStr">
        <is>
          <t>Week4-Sep-2025</t>
        </is>
      </c>
      <c r="D351" s="78" t="n">
        <v>45901</v>
      </c>
      <c r="E351" t="inlineStr">
        <is>
          <t>Q2FY26</t>
        </is>
      </c>
      <c r="F351" t="inlineStr">
        <is>
          <t>30-Dec-2025</t>
        </is>
      </c>
      <c r="G351" t="inlineStr">
        <is>
          <t>Tuesday</t>
        </is>
      </c>
      <c r="H351" t="inlineStr">
        <is>
          <t>Monthly - Tuesday</t>
        </is>
      </c>
      <c r="I351" t="inlineStr">
        <is>
          <t>Monthly - Tuesday</t>
        </is>
      </c>
      <c r="J351" t="inlineStr">
        <is>
          <t>Month+3 Expiry</t>
        </is>
      </c>
      <c r="K351" s="25" t="n">
        <v>106942</v>
      </c>
      <c r="L351" s="26" t="n">
        <v>204.7887</v>
      </c>
      <c r="M351" s="26" t="n">
        <v>4.6764</v>
      </c>
    </row>
    <row r="352" ht="16" customHeight="1">
      <c r="A352" t="inlineStr">
        <is>
          <t>26-Sep-2025</t>
        </is>
      </c>
      <c r="B352" t="inlineStr">
        <is>
          <t>Friday</t>
        </is>
      </c>
      <c r="C352" t="inlineStr">
        <is>
          <t>Week4-Sep-2025</t>
        </is>
      </c>
      <c r="D352" s="78" t="n">
        <v>45901</v>
      </c>
      <c r="E352" t="inlineStr">
        <is>
          <t>Q2FY26</t>
        </is>
      </c>
      <c r="F352" t="inlineStr">
        <is>
          <t>31-Mar-2026</t>
        </is>
      </c>
      <c r="G352" t="inlineStr">
        <is>
          <t>Tuesday</t>
        </is>
      </c>
      <c r="H352" t="inlineStr">
        <is>
          <t>Monthly - Tuesday</t>
        </is>
      </c>
      <c r="I352" t="inlineStr">
        <is>
          <t>Monthly - Tuesday</t>
        </is>
      </c>
      <c r="J352" t="inlineStr">
        <is>
          <t>Month+6 Expiry</t>
        </is>
      </c>
      <c r="K352" s="25" t="n">
        <v>22082</v>
      </c>
      <c r="L352" s="26" t="n">
        <v>42.6908</v>
      </c>
      <c r="M352" s="26" t="n">
        <v>0.8495</v>
      </c>
    </row>
    <row r="353" ht="16" customHeight="1">
      <c r="A353" t="inlineStr">
        <is>
          <t>26-Sep-2025</t>
        </is>
      </c>
      <c r="B353" t="inlineStr">
        <is>
          <t>Friday</t>
        </is>
      </c>
      <c r="C353" t="inlineStr">
        <is>
          <t>Week4-Sep-2025</t>
        </is>
      </c>
      <c r="D353" s="78" t="n">
        <v>45901</v>
      </c>
      <c r="E353" t="inlineStr">
        <is>
          <t>Q2FY26</t>
        </is>
      </c>
      <c r="F353" t="inlineStr">
        <is>
          <t>30-Jun-2026</t>
        </is>
      </c>
      <c r="G353" t="inlineStr">
        <is>
          <t>Tuesday</t>
        </is>
      </c>
      <c r="H353" t="inlineStr">
        <is>
          <t>Monthly - Tuesday</t>
        </is>
      </c>
      <c r="I353" t="inlineStr">
        <is>
          <t>Monthly - Tuesday</t>
        </is>
      </c>
      <c r="J353" t="inlineStr">
        <is>
          <t>Month+9 Expiry</t>
        </is>
      </c>
      <c r="K353" s="25" t="n">
        <v>753</v>
      </c>
      <c r="L353" s="26" t="n">
        <v>1.4276</v>
      </c>
      <c r="M353" s="26" t="n">
        <v>0.0352</v>
      </c>
    </row>
    <row r="354" ht="16" customHeight="1">
      <c r="A354" t="inlineStr">
        <is>
          <t>26-Sep-2025</t>
        </is>
      </c>
      <c r="B354" t="inlineStr">
        <is>
          <t>Friday</t>
        </is>
      </c>
      <c r="C354" t="inlineStr">
        <is>
          <t>Week4-Sep-2025</t>
        </is>
      </c>
      <c r="D354" s="78" t="n">
        <v>45901</v>
      </c>
      <c r="E354" t="inlineStr">
        <is>
          <t>Q2FY26</t>
        </is>
      </c>
      <c r="F354" t="inlineStr">
        <is>
          <t>29-Dec-2026</t>
        </is>
      </c>
      <c r="G354" t="inlineStr">
        <is>
          <t>Tuesday</t>
        </is>
      </c>
      <c r="H354" t="inlineStr">
        <is>
          <t>Monthly - Tuesday</t>
        </is>
      </c>
      <c r="I354" t="inlineStr">
        <is>
          <t>Monthly - Tuesday</t>
        </is>
      </c>
      <c r="J354" t="inlineStr">
        <is>
          <t>Month+15 Expiry</t>
        </is>
      </c>
      <c r="K354" s="25" t="n">
        <v>1488</v>
      </c>
      <c r="L354" s="26" t="n">
        <v>2.9509</v>
      </c>
      <c r="M354" s="26" t="n">
        <v>0.1044</v>
      </c>
    </row>
    <row r="355" ht="16" customHeight="1">
      <c r="A355" t="inlineStr">
        <is>
          <t>26-Sep-2025</t>
        </is>
      </c>
      <c r="B355" t="inlineStr">
        <is>
          <t>Friday</t>
        </is>
      </c>
      <c r="C355" t="inlineStr">
        <is>
          <t>Week4-Sep-2025</t>
        </is>
      </c>
      <c r="D355" s="78" t="n">
        <v>45901</v>
      </c>
      <c r="E355" t="inlineStr">
        <is>
          <t>Q2FY26</t>
        </is>
      </c>
      <c r="F355" t="inlineStr">
        <is>
          <t>29-Jun-2027</t>
        </is>
      </c>
      <c r="G355" t="inlineStr">
        <is>
          <t>Tuesday</t>
        </is>
      </c>
      <c r="H355" t="inlineStr">
        <is>
          <t>Monthly - Tuesday</t>
        </is>
      </c>
      <c r="I355" t="inlineStr">
        <is>
          <t>Monthly - Tuesday</t>
        </is>
      </c>
      <c r="J355" t="inlineStr">
        <is>
          <t>Month+21 Expiry</t>
        </is>
      </c>
      <c r="K355" s="25" t="n">
        <v>0</v>
      </c>
      <c r="L355" s="26" t="n">
        <v>0</v>
      </c>
      <c r="M355" s="26" t="n">
        <v>0</v>
      </c>
    </row>
    <row r="356" ht="16" customHeight="1">
      <c r="A356" t="inlineStr">
        <is>
          <t>26-Sep-2025</t>
        </is>
      </c>
      <c r="B356" t="inlineStr">
        <is>
          <t>Friday</t>
        </is>
      </c>
      <c r="C356" t="inlineStr">
        <is>
          <t>Week4-Sep-2025</t>
        </is>
      </c>
      <c r="D356" s="78" t="n">
        <v>45901</v>
      </c>
      <c r="E356" t="inlineStr">
        <is>
          <t>Q2FY26</t>
        </is>
      </c>
      <c r="F356" t="inlineStr">
        <is>
          <t>28-Dec-2027</t>
        </is>
      </c>
      <c r="G356" t="inlineStr">
        <is>
          <t>Tuesday</t>
        </is>
      </c>
      <c r="H356" t="inlineStr">
        <is>
          <t>Monthly - Tuesday</t>
        </is>
      </c>
      <c r="I356" t="inlineStr">
        <is>
          <t>Monthly - Tuesday</t>
        </is>
      </c>
      <c r="J356" t="inlineStr">
        <is>
          <t>Month+27 Expiry</t>
        </is>
      </c>
      <c r="K356" s="25" t="n">
        <v>8</v>
      </c>
      <c r="L356" s="26" t="n">
        <v>0.0152</v>
      </c>
      <c r="M356" s="26" t="n">
        <v>0.0007</v>
      </c>
    </row>
    <row r="357" ht="16" customHeight="1">
      <c r="A357" t="inlineStr">
        <is>
          <t>26-Sep-2025</t>
        </is>
      </c>
      <c r="B357" t="inlineStr">
        <is>
          <t>Friday</t>
        </is>
      </c>
      <c r="C357" t="inlineStr">
        <is>
          <t>Week4-Sep-2025</t>
        </is>
      </c>
      <c r="D357" s="78" t="n">
        <v>45901</v>
      </c>
      <c r="E357" t="inlineStr">
        <is>
          <t>Q2FY26</t>
        </is>
      </c>
      <c r="F357" t="inlineStr">
        <is>
          <t>27-Jun-2028</t>
        </is>
      </c>
      <c r="G357" t="inlineStr">
        <is>
          <t>Tuesday</t>
        </is>
      </c>
      <c r="H357" t="inlineStr">
        <is>
          <t>Monthly - Tuesday</t>
        </is>
      </c>
      <c r="I357" t="inlineStr">
        <is>
          <t>Monthly - Tuesday</t>
        </is>
      </c>
      <c r="J357" t="inlineStr">
        <is>
          <t>Month+33 Expiry</t>
        </is>
      </c>
      <c r="K357" s="25" t="n">
        <v>0</v>
      </c>
      <c r="L357" s="26" t="n">
        <v>0</v>
      </c>
      <c r="M357" s="26" t="n">
        <v>0</v>
      </c>
    </row>
    <row r="358" ht="16" customHeight="1">
      <c r="A358" t="inlineStr">
        <is>
          <t>26-Sep-2025</t>
        </is>
      </c>
      <c r="B358" t="inlineStr">
        <is>
          <t>Friday</t>
        </is>
      </c>
      <c r="C358" t="inlineStr">
        <is>
          <t>Week4-Sep-2025</t>
        </is>
      </c>
      <c r="D358" s="78" t="n">
        <v>45901</v>
      </c>
      <c r="E358" t="inlineStr">
        <is>
          <t>Q2FY26</t>
        </is>
      </c>
      <c r="F358" t="inlineStr">
        <is>
          <t>26-Dec-2028</t>
        </is>
      </c>
      <c r="G358" t="inlineStr">
        <is>
          <t>Tuesday</t>
        </is>
      </c>
      <c r="H358" t="inlineStr">
        <is>
          <t>Monthly - Tuesday</t>
        </is>
      </c>
      <c r="I358" t="inlineStr">
        <is>
          <t>Monthly - Tuesday</t>
        </is>
      </c>
      <c r="J358" t="inlineStr">
        <is>
          <t>Month+39 Expiry</t>
        </is>
      </c>
      <c r="K358" s="25" t="n">
        <v>5</v>
      </c>
      <c r="L358" s="26" t="n">
        <v>0.0092</v>
      </c>
      <c r="M358" s="26" t="n">
        <v>0.0003</v>
      </c>
    </row>
    <row r="359" ht="16" customHeight="1">
      <c r="A359" t="inlineStr">
        <is>
          <t>26-Sep-2025</t>
        </is>
      </c>
      <c r="B359" t="inlineStr">
        <is>
          <t>Friday</t>
        </is>
      </c>
      <c r="C359" t="inlineStr">
        <is>
          <t>Week4-Sep-2025</t>
        </is>
      </c>
      <c r="D359" s="78" t="n">
        <v>45901</v>
      </c>
      <c r="E359" t="inlineStr">
        <is>
          <t>Q2FY26</t>
        </is>
      </c>
      <c r="F359" t="inlineStr">
        <is>
          <t>26-Jun-2029</t>
        </is>
      </c>
      <c r="G359" t="inlineStr">
        <is>
          <t>Tuesday</t>
        </is>
      </c>
      <c r="H359" t="inlineStr">
        <is>
          <t>Monthly - Tuesday</t>
        </is>
      </c>
      <c r="I359" t="inlineStr">
        <is>
          <t>Monthly - Tuesday</t>
        </is>
      </c>
      <c r="J359" t="inlineStr">
        <is>
          <t>Month+45 Expiry</t>
        </is>
      </c>
      <c r="K359" s="25" t="n">
        <v>0</v>
      </c>
      <c r="L359" s="26" t="n">
        <v>0</v>
      </c>
      <c r="M359" s="26" t="n">
        <v>0</v>
      </c>
    </row>
    <row r="360" ht="16" customHeight="1">
      <c r="A360" t="inlineStr">
        <is>
          <t>26-Sep-2025</t>
        </is>
      </c>
      <c r="B360" t="inlineStr">
        <is>
          <t>Friday</t>
        </is>
      </c>
      <c r="C360" t="inlineStr">
        <is>
          <t>Week4-Sep-2025</t>
        </is>
      </c>
      <c r="D360" s="78" t="n">
        <v>45901</v>
      </c>
      <c r="E360" t="inlineStr">
        <is>
          <t>Q2FY26</t>
        </is>
      </c>
      <c r="F360" t="inlineStr">
        <is>
          <t>24-Dec-2029</t>
        </is>
      </c>
      <c r="G360" t="inlineStr">
        <is>
          <t>Monday</t>
        </is>
      </c>
      <c r="H360" t="inlineStr">
        <is>
          <t>Weekly - Monday</t>
        </is>
      </c>
      <c r="I360" t="inlineStr">
        <is>
          <t>Weekly - Monday</t>
        </is>
      </c>
      <c r="J360" t="inlineStr">
        <is>
          <t>Month+51 Expiry</t>
        </is>
      </c>
      <c r="K360" s="25" t="n">
        <v>2</v>
      </c>
      <c r="L360" s="26" t="n">
        <v>0.0036</v>
      </c>
      <c r="M360" s="26" t="n">
        <v>0.0001</v>
      </c>
    </row>
    <row r="361" ht="16" customHeight="1">
      <c r="A361" t="inlineStr">
        <is>
          <t>26-Sep-2025</t>
        </is>
      </c>
      <c r="B361" t="inlineStr">
        <is>
          <t>Friday</t>
        </is>
      </c>
      <c r="C361" t="inlineStr">
        <is>
          <t>Week4-Sep-2025</t>
        </is>
      </c>
      <c r="D361" s="78" t="n">
        <v>45901</v>
      </c>
      <c r="E361" t="inlineStr">
        <is>
          <t>Q2FY26</t>
        </is>
      </c>
      <c r="F361" t="inlineStr">
        <is>
          <t>25-Jun-2030</t>
        </is>
      </c>
      <c r="G361" t="inlineStr">
        <is>
          <t>Tuesday</t>
        </is>
      </c>
      <c r="H361" t="inlineStr">
        <is>
          <t>Monthly - Tuesday</t>
        </is>
      </c>
      <c r="I361" t="inlineStr">
        <is>
          <t>Monthly - Tuesday</t>
        </is>
      </c>
      <c r="J361" t="inlineStr">
        <is>
          <t>Month+57 Expiry</t>
        </is>
      </c>
      <c r="K361" s="25" t="n">
        <v>0</v>
      </c>
      <c r="L361" s="26" t="n">
        <v>0</v>
      </c>
      <c r="M361" s="26" t="n">
        <v>0</v>
      </c>
    </row>
    <row r="362" ht="16" customHeight="1">
      <c r="A362" t="inlineStr">
        <is>
          <t>29-Sep-2025</t>
        </is>
      </c>
      <c r="B362" t="inlineStr">
        <is>
          <t>Monday</t>
        </is>
      </c>
      <c r="C362" t="inlineStr">
        <is>
          <t>Week5-Sep-2025</t>
        </is>
      </c>
      <c r="D362" s="78" t="n">
        <v>45901</v>
      </c>
      <c r="E362" t="inlineStr">
        <is>
          <t>Q2FY26</t>
        </is>
      </c>
      <c r="F362" t="inlineStr">
        <is>
          <t>30-Sep-2025</t>
        </is>
      </c>
      <c r="G362" t="inlineStr">
        <is>
          <t>Tuesday</t>
        </is>
      </c>
      <c r="H362" t="inlineStr">
        <is>
          <t>Monthly - Tuesday</t>
        </is>
      </c>
      <c r="I362" t="inlineStr">
        <is>
          <t>MDAW - Tuesday</t>
        </is>
      </c>
      <c r="J362" t="inlineStr">
        <is>
          <t>Same Month Expiry</t>
        </is>
      </c>
      <c r="K362" s="25" t="n">
        <v>147916079</v>
      </c>
      <c r="L362" s="26" t="n">
        <v>274832.9117</v>
      </c>
      <c r="M362" s="26" t="n">
        <v>447.3436</v>
      </c>
    </row>
    <row r="363" ht="16" customHeight="1">
      <c r="A363" t="inlineStr">
        <is>
          <t>29-Sep-2025</t>
        </is>
      </c>
      <c r="B363" t="inlineStr">
        <is>
          <t>Monday</t>
        </is>
      </c>
      <c r="C363" t="inlineStr">
        <is>
          <t>Week5-Sep-2025</t>
        </is>
      </c>
      <c r="D363" s="78" t="n">
        <v>45901</v>
      </c>
      <c r="E363" t="inlineStr">
        <is>
          <t>Q2FY26</t>
        </is>
      </c>
      <c r="F363" t="inlineStr">
        <is>
          <t>07-Oct-2025</t>
        </is>
      </c>
      <c r="G363" t="inlineStr">
        <is>
          <t>Tuesday</t>
        </is>
      </c>
      <c r="H363" t="inlineStr">
        <is>
          <t>Weekly - Tuesday</t>
        </is>
      </c>
      <c r="I363" t="inlineStr">
        <is>
          <t>Weekly - Tuesday</t>
        </is>
      </c>
      <c r="J363" t="inlineStr">
        <is>
          <t>Month+1 Expiry</t>
        </is>
      </c>
      <c r="K363" s="25" t="n">
        <v>5759231</v>
      </c>
      <c r="L363" s="26" t="n">
        <v>10759.5533</v>
      </c>
      <c r="M363" s="26" t="n">
        <v>35.4221</v>
      </c>
    </row>
    <row r="364" ht="16" customHeight="1">
      <c r="A364" t="inlineStr">
        <is>
          <t>29-Sep-2025</t>
        </is>
      </c>
      <c r="B364" t="inlineStr">
        <is>
          <t>Monday</t>
        </is>
      </c>
      <c r="C364" t="inlineStr">
        <is>
          <t>Week5-Sep-2025</t>
        </is>
      </c>
      <c r="D364" s="78" t="n">
        <v>45901</v>
      </c>
      <c r="E364" t="inlineStr">
        <is>
          <t>Q2FY26</t>
        </is>
      </c>
      <c r="F364" t="inlineStr">
        <is>
          <t>14-Oct-2025</t>
        </is>
      </c>
      <c r="G364" t="inlineStr">
        <is>
          <t>Tuesday</t>
        </is>
      </c>
      <c r="H364" t="inlineStr">
        <is>
          <t>Weekly - Tuesday</t>
        </is>
      </c>
      <c r="I364" t="inlineStr">
        <is>
          <t>Weekly - Tuesday</t>
        </is>
      </c>
      <c r="J364" t="inlineStr">
        <is>
          <t>Month+1 Expiry</t>
        </is>
      </c>
      <c r="K364" s="25" t="n">
        <v>269709</v>
      </c>
      <c r="L364" s="26" t="n">
        <v>505.1668</v>
      </c>
      <c r="M364" s="26" t="n">
        <v>2.5428</v>
      </c>
    </row>
    <row r="365" ht="16" customHeight="1">
      <c r="A365" t="inlineStr">
        <is>
          <t>29-Sep-2025</t>
        </is>
      </c>
      <c r="B365" t="inlineStr">
        <is>
          <t>Monday</t>
        </is>
      </c>
      <c r="C365" t="inlineStr">
        <is>
          <t>Week5-Sep-2025</t>
        </is>
      </c>
      <c r="D365" s="78" t="n">
        <v>45901</v>
      </c>
      <c r="E365" t="inlineStr">
        <is>
          <t>Q2FY26</t>
        </is>
      </c>
      <c r="F365" t="inlineStr">
        <is>
          <t>20-Oct-2025</t>
        </is>
      </c>
      <c r="G365" t="inlineStr">
        <is>
          <t>Monday</t>
        </is>
      </c>
      <c r="H365" t="inlineStr">
        <is>
          <t>Weekly - Monday</t>
        </is>
      </c>
      <c r="I365" t="inlineStr">
        <is>
          <t>Weekly - Monday</t>
        </is>
      </c>
      <c r="J365" t="inlineStr">
        <is>
          <t>Month+1 Expiry</t>
        </is>
      </c>
      <c r="K365" s="25" t="n">
        <v>23648</v>
      </c>
      <c r="L365" s="26" t="n">
        <v>44.6564</v>
      </c>
      <c r="M365" s="26" t="n">
        <v>0.2267</v>
      </c>
    </row>
    <row r="366" ht="16" customHeight="1">
      <c r="A366" t="inlineStr">
        <is>
          <t>29-Sep-2025</t>
        </is>
      </c>
      <c r="B366" t="inlineStr">
        <is>
          <t>Monday</t>
        </is>
      </c>
      <c r="C366" t="inlineStr">
        <is>
          <t>Week5-Sep-2025</t>
        </is>
      </c>
      <c r="D366" s="78" t="n">
        <v>45901</v>
      </c>
      <c r="E366" t="inlineStr">
        <is>
          <t>Q2FY26</t>
        </is>
      </c>
      <c r="F366" t="inlineStr">
        <is>
          <t>28-Oct-2025</t>
        </is>
      </c>
      <c r="G366" t="inlineStr">
        <is>
          <t>Tuesday</t>
        </is>
      </c>
      <c r="H366" t="inlineStr">
        <is>
          <t>Monthly - Tuesday</t>
        </is>
      </c>
      <c r="I366" t="inlineStr">
        <is>
          <t>Monthly - Tuesday</t>
        </is>
      </c>
      <c r="J366" t="inlineStr">
        <is>
          <t>Month+1 Expiry</t>
        </is>
      </c>
      <c r="K366" s="25" t="n">
        <v>945288</v>
      </c>
      <c r="L366" s="26" t="n">
        <v>1781.1871</v>
      </c>
      <c r="M366" s="26" t="n">
        <v>15.5683</v>
      </c>
    </row>
    <row r="367" ht="16" customHeight="1">
      <c r="A367" t="inlineStr">
        <is>
          <t>29-Sep-2025</t>
        </is>
      </c>
      <c r="B367" t="inlineStr">
        <is>
          <t>Monday</t>
        </is>
      </c>
      <c r="C367" t="inlineStr">
        <is>
          <t>Week5-Sep-2025</t>
        </is>
      </c>
      <c r="D367" s="78" t="n">
        <v>45901</v>
      </c>
      <c r="E367" t="inlineStr">
        <is>
          <t>Q2FY26</t>
        </is>
      </c>
      <c r="F367" t="inlineStr">
        <is>
          <t>04-Nov-2025</t>
        </is>
      </c>
      <c r="G367" t="inlineStr">
        <is>
          <t>Tuesday</t>
        </is>
      </c>
      <c r="H367" t="inlineStr">
        <is>
          <t>Weekly - Tuesday</t>
        </is>
      </c>
      <c r="I367" t="inlineStr">
        <is>
          <t>Weekly - Tuesday</t>
        </is>
      </c>
      <c r="J367" t="inlineStr">
        <is>
          <t>Month+2 Expiry</t>
        </is>
      </c>
      <c r="K367" s="25" t="n">
        <v>588</v>
      </c>
      <c r="L367" s="26" t="n">
        <v>1.1023</v>
      </c>
      <c r="M367" s="26" t="n">
        <v>0.0072</v>
      </c>
    </row>
    <row r="368" ht="16" customHeight="1">
      <c r="A368" t="inlineStr">
        <is>
          <t>29-Sep-2025</t>
        </is>
      </c>
      <c r="B368" t="inlineStr">
        <is>
          <t>Monday</t>
        </is>
      </c>
      <c r="C368" t="inlineStr">
        <is>
          <t>Week5-Sep-2025</t>
        </is>
      </c>
      <c r="D368" s="78" t="n">
        <v>45901</v>
      </c>
      <c r="E368" t="inlineStr">
        <is>
          <t>Q2FY26</t>
        </is>
      </c>
      <c r="F368" t="inlineStr">
        <is>
          <t>25-Nov-2025</t>
        </is>
      </c>
      <c r="G368" t="inlineStr">
        <is>
          <t>Tuesday</t>
        </is>
      </c>
      <c r="H368" t="inlineStr">
        <is>
          <t>Monthly - Tuesday</t>
        </is>
      </c>
      <c r="I368" t="inlineStr">
        <is>
          <t>Monthly - Tuesday</t>
        </is>
      </c>
      <c r="J368" t="inlineStr">
        <is>
          <t>Month+2 Expiry</t>
        </is>
      </c>
      <c r="K368" s="25" t="n">
        <v>97441</v>
      </c>
      <c r="L368" s="26" t="n">
        <v>184.5541</v>
      </c>
      <c r="M368" s="26" t="n">
        <v>1.5389</v>
      </c>
    </row>
    <row r="369" ht="16" customHeight="1">
      <c r="A369" t="inlineStr">
        <is>
          <t>29-Sep-2025</t>
        </is>
      </c>
      <c r="B369" t="inlineStr">
        <is>
          <t>Monday</t>
        </is>
      </c>
      <c r="C369" t="inlineStr">
        <is>
          <t>Week5-Sep-2025</t>
        </is>
      </c>
      <c r="D369" s="78" t="n">
        <v>45901</v>
      </c>
      <c r="E369" t="inlineStr">
        <is>
          <t>Q2FY26</t>
        </is>
      </c>
      <c r="F369" t="inlineStr">
        <is>
          <t>30-Dec-2025</t>
        </is>
      </c>
      <c r="G369" t="inlineStr">
        <is>
          <t>Tuesday</t>
        </is>
      </c>
      <c r="H369" t="inlineStr">
        <is>
          <t>Monthly - Tuesday</t>
        </is>
      </c>
      <c r="I369" t="inlineStr">
        <is>
          <t>Monthly - Tuesday</t>
        </is>
      </c>
      <c r="J369" t="inlineStr">
        <is>
          <t>Month+3 Expiry</t>
        </is>
      </c>
      <c r="K369" s="25" t="n">
        <v>86763</v>
      </c>
      <c r="L369" s="26" t="n">
        <v>166.903</v>
      </c>
      <c r="M369" s="26" t="n">
        <v>4.289</v>
      </c>
    </row>
    <row r="370" ht="16" customHeight="1">
      <c r="A370" t="inlineStr">
        <is>
          <t>29-Sep-2025</t>
        </is>
      </c>
      <c r="B370" t="inlineStr">
        <is>
          <t>Monday</t>
        </is>
      </c>
      <c r="C370" t="inlineStr">
        <is>
          <t>Week5-Sep-2025</t>
        </is>
      </c>
      <c r="D370" s="78" t="n">
        <v>45901</v>
      </c>
      <c r="E370" t="inlineStr">
        <is>
          <t>Q2FY26</t>
        </is>
      </c>
      <c r="F370" t="inlineStr">
        <is>
          <t>31-Mar-2026</t>
        </is>
      </c>
      <c r="G370" t="inlineStr">
        <is>
          <t>Tuesday</t>
        </is>
      </c>
      <c r="H370" t="inlineStr">
        <is>
          <t>Monthly - Tuesday</t>
        </is>
      </c>
      <c r="I370" t="inlineStr">
        <is>
          <t>Monthly - Tuesday</t>
        </is>
      </c>
      <c r="J370" t="inlineStr">
        <is>
          <t>Month+6 Expiry</t>
        </is>
      </c>
      <c r="K370" s="25" t="n">
        <v>13958</v>
      </c>
      <c r="L370" s="26" t="n">
        <v>26.9719</v>
      </c>
      <c r="M370" s="26" t="n">
        <v>0.5161</v>
      </c>
    </row>
    <row r="371" ht="16" customHeight="1">
      <c r="A371" t="inlineStr">
        <is>
          <t>29-Sep-2025</t>
        </is>
      </c>
      <c r="B371" t="inlineStr">
        <is>
          <t>Monday</t>
        </is>
      </c>
      <c r="C371" t="inlineStr">
        <is>
          <t>Week5-Sep-2025</t>
        </is>
      </c>
      <c r="D371" s="78" t="n">
        <v>45901</v>
      </c>
      <c r="E371" t="inlineStr">
        <is>
          <t>Q2FY26</t>
        </is>
      </c>
      <c r="F371" t="inlineStr">
        <is>
          <t>30-Jun-2026</t>
        </is>
      </c>
      <c r="G371" t="inlineStr">
        <is>
          <t>Tuesday</t>
        </is>
      </c>
      <c r="H371" t="inlineStr">
        <is>
          <t>Monthly - Tuesday</t>
        </is>
      </c>
      <c r="I371" t="inlineStr">
        <is>
          <t>Monthly - Tuesday</t>
        </is>
      </c>
      <c r="J371" t="inlineStr">
        <is>
          <t>Month+9 Expiry</t>
        </is>
      </c>
      <c r="K371" s="25" t="n">
        <v>491</v>
      </c>
      <c r="L371" s="26" t="n">
        <v>0.9576</v>
      </c>
      <c r="M371" s="26" t="n">
        <v>0.0253</v>
      </c>
    </row>
    <row r="372" ht="16" customHeight="1">
      <c r="A372" t="inlineStr">
        <is>
          <t>29-Sep-2025</t>
        </is>
      </c>
      <c r="B372" t="inlineStr">
        <is>
          <t>Monday</t>
        </is>
      </c>
      <c r="C372" t="inlineStr">
        <is>
          <t>Week5-Sep-2025</t>
        </is>
      </c>
      <c r="D372" s="78" t="n">
        <v>45901</v>
      </c>
      <c r="E372" t="inlineStr">
        <is>
          <t>Q2FY26</t>
        </is>
      </c>
      <c r="F372" t="inlineStr">
        <is>
          <t>29-Dec-2026</t>
        </is>
      </c>
      <c r="G372" t="inlineStr">
        <is>
          <t>Tuesday</t>
        </is>
      </c>
      <c r="H372" t="inlineStr">
        <is>
          <t>Monthly - Tuesday</t>
        </is>
      </c>
      <c r="I372" t="inlineStr">
        <is>
          <t>Monthly - Tuesday</t>
        </is>
      </c>
      <c r="J372" t="inlineStr">
        <is>
          <t>Month+15 Expiry</t>
        </is>
      </c>
      <c r="K372" s="25" t="n">
        <v>719</v>
      </c>
      <c r="L372" s="26" t="n">
        <v>1.4148</v>
      </c>
      <c r="M372" s="26" t="n">
        <v>0.0488</v>
      </c>
    </row>
    <row r="373" ht="16" customHeight="1">
      <c r="A373" t="inlineStr">
        <is>
          <t>29-Sep-2025</t>
        </is>
      </c>
      <c r="B373" t="inlineStr">
        <is>
          <t>Monday</t>
        </is>
      </c>
      <c r="C373" t="inlineStr">
        <is>
          <t>Week5-Sep-2025</t>
        </is>
      </c>
      <c r="D373" s="78" t="n">
        <v>45901</v>
      </c>
      <c r="E373" t="inlineStr">
        <is>
          <t>Q2FY26</t>
        </is>
      </c>
      <c r="F373" t="inlineStr">
        <is>
          <t>29-Jun-2027</t>
        </is>
      </c>
      <c r="G373" t="inlineStr">
        <is>
          <t>Tuesday</t>
        </is>
      </c>
      <c r="H373" t="inlineStr">
        <is>
          <t>Monthly - Tuesday</t>
        </is>
      </c>
      <c r="I373" t="inlineStr">
        <is>
          <t>Monthly - Tuesday</t>
        </is>
      </c>
      <c r="J373" t="inlineStr">
        <is>
          <t>Month+21 Expiry</t>
        </is>
      </c>
      <c r="K373" s="25" t="n">
        <v>0</v>
      </c>
      <c r="L373" s="26" t="n">
        <v>0</v>
      </c>
      <c r="M373" s="26" t="n">
        <v>0</v>
      </c>
    </row>
    <row r="374" ht="16" customHeight="1">
      <c r="A374" t="inlineStr">
        <is>
          <t>29-Sep-2025</t>
        </is>
      </c>
      <c r="B374" t="inlineStr">
        <is>
          <t>Monday</t>
        </is>
      </c>
      <c r="C374" t="inlineStr">
        <is>
          <t>Week5-Sep-2025</t>
        </is>
      </c>
      <c r="D374" s="78" t="n">
        <v>45901</v>
      </c>
      <c r="E374" t="inlineStr">
        <is>
          <t>Q2FY26</t>
        </is>
      </c>
      <c r="F374" t="inlineStr">
        <is>
          <t>28-Dec-2027</t>
        </is>
      </c>
      <c r="G374" t="inlineStr">
        <is>
          <t>Tuesday</t>
        </is>
      </c>
      <c r="H374" t="inlineStr">
        <is>
          <t>Monthly - Tuesday</t>
        </is>
      </c>
      <c r="I374" t="inlineStr">
        <is>
          <t>Monthly - Tuesday</t>
        </is>
      </c>
      <c r="J374" t="inlineStr">
        <is>
          <t>Month+27 Expiry</t>
        </is>
      </c>
      <c r="K374" s="25" t="n">
        <v>19</v>
      </c>
      <c r="L374" s="26" t="n">
        <v>0.0355</v>
      </c>
      <c r="M374" s="26" t="n">
        <v>0.0012</v>
      </c>
    </row>
    <row r="375" ht="16" customHeight="1">
      <c r="A375" t="inlineStr">
        <is>
          <t>29-Sep-2025</t>
        </is>
      </c>
      <c r="B375" t="inlineStr">
        <is>
          <t>Monday</t>
        </is>
      </c>
      <c r="C375" t="inlineStr">
        <is>
          <t>Week5-Sep-2025</t>
        </is>
      </c>
      <c r="D375" s="78" t="n">
        <v>45901</v>
      </c>
      <c r="E375" t="inlineStr">
        <is>
          <t>Q2FY26</t>
        </is>
      </c>
      <c r="F375" t="inlineStr">
        <is>
          <t>27-Jun-2028</t>
        </is>
      </c>
      <c r="G375" t="inlineStr">
        <is>
          <t>Tuesday</t>
        </is>
      </c>
      <c r="H375" t="inlineStr">
        <is>
          <t>Monthly - Tuesday</t>
        </is>
      </c>
      <c r="I375" t="inlineStr">
        <is>
          <t>Monthly - Tuesday</t>
        </is>
      </c>
      <c r="J375" t="inlineStr">
        <is>
          <t>Month+33 Expiry</t>
        </is>
      </c>
      <c r="K375" s="25" t="n">
        <v>0</v>
      </c>
      <c r="L375" s="26" t="n">
        <v>0</v>
      </c>
      <c r="M375" s="26" t="n">
        <v>0</v>
      </c>
    </row>
    <row r="376" ht="16" customHeight="1">
      <c r="A376" t="inlineStr">
        <is>
          <t>29-Sep-2025</t>
        </is>
      </c>
      <c r="B376" t="inlineStr">
        <is>
          <t>Monday</t>
        </is>
      </c>
      <c r="C376" t="inlineStr">
        <is>
          <t>Week5-Sep-2025</t>
        </is>
      </c>
      <c r="D376" s="78" t="n">
        <v>45901</v>
      </c>
      <c r="E376" t="inlineStr">
        <is>
          <t>Q2FY26</t>
        </is>
      </c>
      <c r="F376" t="inlineStr">
        <is>
          <t>26-Dec-2028</t>
        </is>
      </c>
      <c r="G376" t="inlineStr">
        <is>
          <t>Tuesday</t>
        </is>
      </c>
      <c r="H376" t="inlineStr">
        <is>
          <t>Monthly - Tuesday</t>
        </is>
      </c>
      <c r="I376" t="inlineStr">
        <is>
          <t>Monthly - Tuesday</t>
        </is>
      </c>
      <c r="J376" t="inlineStr">
        <is>
          <t>Month+39 Expiry</t>
        </is>
      </c>
      <c r="K376" s="25" t="n">
        <v>0</v>
      </c>
      <c r="L376" s="26" t="n">
        <v>0</v>
      </c>
      <c r="M376" s="26" t="n">
        <v>0</v>
      </c>
    </row>
    <row r="377" ht="16" customHeight="1">
      <c r="A377" t="inlineStr">
        <is>
          <t>29-Sep-2025</t>
        </is>
      </c>
      <c r="B377" t="inlineStr">
        <is>
          <t>Monday</t>
        </is>
      </c>
      <c r="C377" t="inlineStr">
        <is>
          <t>Week5-Sep-2025</t>
        </is>
      </c>
      <c r="D377" s="78" t="n">
        <v>45901</v>
      </c>
      <c r="E377" t="inlineStr">
        <is>
          <t>Q2FY26</t>
        </is>
      </c>
      <c r="F377" t="inlineStr">
        <is>
          <t>26-Jun-2029</t>
        </is>
      </c>
      <c r="G377" t="inlineStr">
        <is>
          <t>Tuesday</t>
        </is>
      </c>
      <c r="H377" t="inlineStr">
        <is>
          <t>Monthly - Tuesday</t>
        </is>
      </c>
      <c r="I377" t="inlineStr">
        <is>
          <t>Monthly - Tuesday</t>
        </is>
      </c>
      <c r="J377" t="inlineStr">
        <is>
          <t>Month+45 Expiry</t>
        </is>
      </c>
      <c r="K377" s="25" t="n">
        <v>0</v>
      </c>
      <c r="L377" s="26" t="n">
        <v>0</v>
      </c>
      <c r="M377" s="26" t="n">
        <v>0</v>
      </c>
    </row>
    <row r="378" ht="16" customHeight="1">
      <c r="A378" t="inlineStr">
        <is>
          <t>29-Sep-2025</t>
        </is>
      </c>
      <c r="B378" t="inlineStr">
        <is>
          <t>Monday</t>
        </is>
      </c>
      <c r="C378" t="inlineStr">
        <is>
          <t>Week5-Sep-2025</t>
        </is>
      </c>
      <c r="D378" s="78" t="n">
        <v>45901</v>
      </c>
      <c r="E378" t="inlineStr">
        <is>
          <t>Q2FY26</t>
        </is>
      </c>
      <c r="F378" t="inlineStr">
        <is>
          <t>24-Dec-2029</t>
        </is>
      </c>
      <c r="G378" t="inlineStr">
        <is>
          <t>Monday</t>
        </is>
      </c>
      <c r="H378" t="inlineStr">
        <is>
          <t>Weekly - Monday</t>
        </is>
      </c>
      <c r="I378" t="inlineStr">
        <is>
          <t>Weekly - Monday</t>
        </is>
      </c>
      <c r="J378" t="inlineStr">
        <is>
          <t>Month+51 Expiry</t>
        </is>
      </c>
      <c r="K378" s="25" t="n">
        <v>0</v>
      </c>
      <c r="L378" s="26" t="n">
        <v>0</v>
      </c>
      <c r="M378" s="26" t="n">
        <v>0</v>
      </c>
    </row>
    <row r="379" ht="16" customHeight="1">
      <c r="A379" t="inlineStr">
        <is>
          <t>29-Sep-2025</t>
        </is>
      </c>
      <c r="B379" t="inlineStr">
        <is>
          <t>Monday</t>
        </is>
      </c>
      <c r="C379" t="inlineStr">
        <is>
          <t>Week5-Sep-2025</t>
        </is>
      </c>
      <c r="D379" s="78" t="n">
        <v>45901</v>
      </c>
      <c r="E379" t="inlineStr">
        <is>
          <t>Q2FY26</t>
        </is>
      </c>
      <c r="F379" t="inlineStr">
        <is>
          <t>25-Jun-2030</t>
        </is>
      </c>
      <c r="G379" t="inlineStr">
        <is>
          <t>Tuesday</t>
        </is>
      </c>
      <c r="H379" t="inlineStr">
        <is>
          <t>Monthly - Tuesday</t>
        </is>
      </c>
      <c r="I379" t="inlineStr">
        <is>
          <t>Monthly - Tuesday</t>
        </is>
      </c>
      <c r="J379" t="inlineStr">
        <is>
          <t>Month+57 Expiry</t>
        </is>
      </c>
      <c r="K379" s="25" t="n">
        <v>0</v>
      </c>
      <c r="L379" s="26" t="n">
        <v>0</v>
      </c>
      <c r="M379" s="26" t="n">
        <v>0</v>
      </c>
    </row>
    <row r="380" ht="16" customHeight="1">
      <c r="A380" t="inlineStr">
        <is>
          <t>30-Sep-2025</t>
        </is>
      </c>
      <c r="B380" t="inlineStr">
        <is>
          <t>Tuesday</t>
        </is>
      </c>
      <c r="C380" t="inlineStr">
        <is>
          <t>Week5-Sep-2025</t>
        </is>
      </c>
      <c r="D380" s="78" t="n">
        <v>45901</v>
      </c>
      <c r="E380" t="inlineStr">
        <is>
          <t>Q2FY26</t>
        </is>
      </c>
      <c r="F380" t="inlineStr">
        <is>
          <t>30-Sep-2025</t>
        </is>
      </c>
      <c r="G380" t="inlineStr">
        <is>
          <t>Tuesday</t>
        </is>
      </c>
      <c r="H380" t="inlineStr">
        <is>
          <t>Monthly - Tuesday</t>
        </is>
      </c>
      <c r="I380" t="inlineStr">
        <is>
          <t>MDAW - Tuesday</t>
        </is>
      </c>
      <c r="J380" t="inlineStr">
        <is>
          <t>Same Month Expiry</t>
        </is>
      </c>
      <c r="K380" s="25" t="n">
        <v>259531734</v>
      </c>
      <c r="L380" s="26" t="n">
        <v>480636.949</v>
      </c>
      <c r="M380" s="26" t="n">
        <v>446.3891</v>
      </c>
    </row>
    <row r="381" ht="16" customHeight="1">
      <c r="A381" t="inlineStr">
        <is>
          <t>30-Sep-2025</t>
        </is>
      </c>
      <c r="B381" t="inlineStr">
        <is>
          <t>Tuesday</t>
        </is>
      </c>
      <c r="C381" t="inlineStr">
        <is>
          <t>Week5-Sep-2025</t>
        </is>
      </c>
      <c r="D381" s="78" t="n">
        <v>45901</v>
      </c>
      <c r="E381" t="inlineStr">
        <is>
          <t>Q2FY26</t>
        </is>
      </c>
      <c r="F381" t="inlineStr">
        <is>
          <t>07-Oct-2025</t>
        </is>
      </c>
      <c r="G381" t="inlineStr">
        <is>
          <t>Tuesday</t>
        </is>
      </c>
      <c r="H381" t="inlineStr">
        <is>
          <t>Weekly - Tuesday</t>
        </is>
      </c>
      <c r="I381" t="inlineStr">
        <is>
          <t>Weekly - Tuesday</t>
        </is>
      </c>
      <c r="J381" t="inlineStr">
        <is>
          <t>Month+1 Expiry</t>
        </is>
      </c>
      <c r="K381" s="25" t="n">
        <v>9735243</v>
      </c>
      <c r="L381" s="26" t="n">
        <v>18145.2837</v>
      </c>
      <c r="M381" s="26" t="n">
        <v>57.8283</v>
      </c>
    </row>
    <row r="382" ht="16" customHeight="1">
      <c r="A382" t="inlineStr">
        <is>
          <t>30-Sep-2025</t>
        </is>
      </c>
      <c r="B382" t="inlineStr">
        <is>
          <t>Tuesday</t>
        </is>
      </c>
      <c r="C382" t="inlineStr">
        <is>
          <t>Week5-Sep-2025</t>
        </is>
      </c>
      <c r="D382" s="78" t="n">
        <v>45901</v>
      </c>
      <c r="E382" t="inlineStr">
        <is>
          <t>Q2FY26</t>
        </is>
      </c>
      <c r="F382" t="inlineStr">
        <is>
          <t>14-Oct-2025</t>
        </is>
      </c>
      <c r="G382" t="inlineStr">
        <is>
          <t>Tuesday</t>
        </is>
      </c>
      <c r="H382" t="inlineStr">
        <is>
          <t>Weekly - Tuesday</t>
        </is>
      </c>
      <c r="I382" t="inlineStr">
        <is>
          <t>Weekly - Tuesday</t>
        </is>
      </c>
      <c r="J382" t="inlineStr">
        <is>
          <t>Month+1 Expiry</t>
        </is>
      </c>
      <c r="K382" s="25" t="n">
        <v>384164</v>
      </c>
      <c r="L382" s="26" t="n">
        <v>717.3244999999999</v>
      </c>
      <c r="M382" s="26" t="n">
        <v>3.5466</v>
      </c>
    </row>
    <row r="383" ht="16" customHeight="1">
      <c r="A383" t="inlineStr">
        <is>
          <t>30-Sep-2025</t>
        </is>
      </c>
      <c r="B383" t="inlineStr">
        <is>
          <t>Tuesday</t>
        </is>
      </c>
      <c r="C383" t="inlineStr">
        <is>
          <t>Week5-Sep-2025</t>
        </is>
      </c>
      <c r="D383" s="78" t="n">
        <v>45901</v>
      </c>
      <c r="E383" t="inlineStr">
        <is>
          <t>Q2FY26</t>
        </is>
      </c>
      <c r="F383" t="inlineStr">
        <is>
          <t>20-Oct-2025</t>
        </is>
      </c>
      <c r="G383" t="inlineStr">
        <is>
          <t>Monday</t>
        </is>
      </c>
      <c r="H383" t="inlineStr">
        <is>
          <t>Weekly - Monday</t>
        </is>
      </c>
      <c r="I383" t="inlineStr">
        <is>
          <t>Weekly - Monday</t>
        </is>
      </c>
      <c r="J383" t="inlineStr">
        <is>
          <t>Month+1 Expiry</t>
        </is>
      </c>
      <c r="K383" s="25" t="n">
        <v>28319</v>
      </c>
      <c r="L383" s="26" t="n">
        <v>53.0832</v>
      </c>
      <c r="M383" s="26" t="n">
        <v>0.2753</v>
      </c>
    </row>
    <row r="384" ht="16" customHeight="1">
      <c r="A384" t="inlineStr">
        <is>
          <t>30-Sep-2025</t>
        </is>
      </c>
      <c r="B384" t="inlineStr">
        <is>
          <t>Tuesday</t>
        </is>
      </c>
      <c r="C384" t="inlineStr">
        <is>
          <t>Week5-Sep-2025</t>
        </is>
      </c>
      <c r="D384" s="78" t="n">
        <v>45901</v>
      </c>
      <c r="E384" t="inlineStr">
        <is>
          <t>Q2FY26</t>
        </is>
      </c>
      <c r="F384" t="inlineStr">
        <is>
          <t>28-Oct-2025</t>
        </is>
      </c>
      <c r="G384" t="inlineStr">
        <is>
          <t>Tuesday</t>
        </is>
      </c>
      <c r="H384" t="inlineStr">
        <is>
          <t>Monthly - Tuesday</t>
        </is>
      </c>
      <c r="I384" t="inlineStr">
        <is>
          <t>Monthly - Tuesday</t>
        </is>
      </c>
      <c r="J384" t="inlineStr">
        <is>
          <t>Month+1 Expiry</t>
        </is>
      </c>
      <c r="K384" s="25" t="n">
        <v>1144811</v>
      </c>
      <c r="L384" s="26" t="n">
        <v>2151.4976</v>
      </c>
      <c r="M384" s="26" t="n">
        <v>17.6781</v>
      </c>
    </row>
    <row r="385" ht="16" customHeight="1">
      <c r="A385" t="inlineStr">
        <is>
          <t>30-Sep-2025</t>
        </is>
      </c>
      <c r="B385" t="inlineStr">
        <is>
          <t>Tuesday</t>
        </is>
      </c>
      <c r="C385" t="inlineStr">
        <is>
          <t>Week5-Sep-2025</t>
        </is>
      </c>
      <c r="D385" s="78" t="n">
        <v>45901</v>
      </c>
      <c r="E385" t="inlineStr">
        <is>
          <t>Q2FY26</t>
        </is>
      </c>
      <c r="F385" t="inlineStr">
        <is>
          <t>04-Nov-2025</t>
        </is>
      </c>
      <c r="G385" t="inlineStr">
        <is>
          <t>Tuesday</t>
        </is>
      </c>
      <c r="H385" t="inlineStr">
        <is>
          <t>Weekly - Tuesday</t>
        </is>
      </c>
      <c r="I385" t="inlineStr">
        <is>
          <t>Weekly - Tuesday</t>
        </is>
      </c>
      <c r="J385" t="inlineStr">
        <is>
          <t>Month+2 Expiry</t>
        </is>
      </c>
      <c r="K385" s="25" t="n">
        <v>501</v>
      </c>
      <c r="L385" s="26" t="n">
        <v>0.9417</v>
      </c>
      <c r="M385" s="26" t="n">
        <v>0.006</v>
      </c>
    </row>
    <row r="386" ht="16" customHeight="1">
      <c r="A386" t="inlineStr">
        <is>
          <t>30-Sep-2025</t>
        </is>
      </c>
      <c r="B386" t="inlineStr">
        <is>
          <t>Tuesday</t>
        </is>
      </c>
      <c r="C386" t="inlineStr">
        <is>
          <t>Week5-Sep-2025</t>
        </is>
      </c>
      <c r="D386" s="78" t="n">
        <v>45901</v>
      </c>
      <c r="E386" t="inlineStr">
        <is>
          <t>Q2FY26</t>
        </is>
      </c>
      <c r="F386" t="inlineStr">
        <is>
          <t>25-Nov-2025</t>
        </is>
      </c>
      <c r="G386" t="inlineStr">
        <is>
          <t>Tuesday</t>
        </is>
      </c>
      <c r="H386" t="inlineStr">
        <is>
          <t>Monthly - Tuesday</t>
        </is>
      </c>
      <c r="I386" t="inlineStr">
        <is>
          <t>Monthly - Tuesday</t>
        </is>
      </c>
      <c r="J386" t="inlineStr">
        <is>
          <t>Month+2 Expiry</t>
        </is>
      </c>
      <c r="K386" s="25" t="n">
        <v>87430</v>
      </c>
      <c r="L386" s="26" t="n">
        <v>166.9332</v>
      </c>
      <c r="M386" s="26" t="n">
        <v>1.317</v>
      </c>
    </row>
    <row r="387" ht="16" customHeight="1">
      <c r="A387" t="inlineStr">
        <is>
          <t>30-Sep-2025</t>
        </is>
      </c>
      <c r="B387" t="inlineStr">
        <is>
          <t>Tuesday</t>
        </is>
      </c>
      <c r="C387" t="inlineStr">
        <is>
          <t>Week5-Sep-2025</t>
        </is>
      </c>
      <c r="D387" s="78" t="n">
        <v>45901</v>
      </c>
      <c r="E387" t="inlineStr">
        <is>
          <t>Q2FY26</t>
        </is>
      </c>
      <c r="F387" t="inlineStr">
        <is>
          <t>30-Dec-2025</t>
        </is>
      </c>
      <c r="G387" t="inlineStr">
        <is>
          <t>Tuesday</t>
        </is>
      </c>
      <c r="H387" t="inlineStr">
        <is>
          <t>Monthly - Tuesday</t>
        </is>
      </c>
      <c r="I387" t="inlineStr">
        <is>
          <t>Monthly - Tuesday</t>
        </is>
      </c>
      <c r="J387" t="inlineStr">
        <is>
          <t>Month+3 Expiry</t>
        </is>
      </c>
      <c r="K387" s="25" t="n">
        <v>71868</v>
      </c>
      <c r="L387" s="26" t="n">
        <v>138.0028</v>
      </c>
      <c r="M387" s="26" t="n">
        <v>2.8358</v>
      </c>
    </row>
    <row r="388" ht="16" customHeight="1">
      <c r="A388" t="inlineStr">
        <is>
          <t>30-Sep-2025</t>
        </is>
      </c>
      <c r="B388" t="inlineStr">
        <is>
          <t>Tuesday</t>
        </is>
      </c>
      <c r="C388" t="inlineStr">
        <is>
          <t>Week5-Sep-2025</t>
        </is>
      </c>
      <c r="D388" s="78" t="n">
        <v>45901</v>
      </c>
      <c r="E388" t="inlineStr">
        <is>
          <t>Q2FY26</t>
        </is>
      </c>
      <c r="F388" t="inlineStr">
        <is>
          <t>31-Mar-2026</t>
        </is>
      </c>
      <c r="G388" t="inlineStr">
        <is>
          <t>Tuesday</t>
        </is>
      </c>
      <c r="H388" t="inlineStr">
        <is>
          <t>Monthly - Tuesday</t>
        </is>
      </c>
      <c r="I388" t="inlineStr">
        <is>
          <t>Monthly - Tuesday</t>
        </is>
      </c>
      <c r="J388" t="inlineStr">
        <is>
          <t>Month+6 Expiry</t>
        </is>
      </c>
      <c r="K388" s="25" t="n">
        <v>11478</v>
      </c>
      <c r="L388" s="26" t="n">
        <v>22.2883</v>
      </c>
      <c r="M388" s="26" t="n">
        <v>0.405</v>
      </c>
    </row>
    <row r="389" ht="16" customHeight="1">
      <c r="A389" t="inlineStr">
        <is>
          <t>30-Sep-2025</t>
        </is>
      </c>
      <c r="B389" t="inlineStr">
        <is>
          <t>Tuesday</t>
        </is>
      </c>
      <c r="C389" t="inlineStr">
        <is>
          <t>Week5-Sep-2025</t>
        </is>
      </c>
      <c r="D389" s="78" t="n">
        <v>45901</v>
      </c>
      <c r="E389" t="inlineStr">
        <is>
          <t>Q2FY26</t>
        </is>
      </c>
      <c r="F389" t="inlineStr">
        <is>
          <t>30-Jun-2026</t>
        </is>
      </c>
      <c r="G389" t="inlineStr">
        <is>
          <t>Tuesday</t>
        </is>
      </c>
      <c r="H389" t="inlineStr">
        <is>
          <t>Monthly - Tuesday</t>
        </is>
      </c>
      <c r="I389" t="inlineStr">
        <is>
          <t>Monthly - Tuesday</t>
        </is>
      </c>
      <c r="J389" t="inlineStr">
        <is>
          <t>Month+9 Expiry</t>
        </is>
      </c>
      <c r="K389" s="25" t="n">
        <v>450</v>
      </c>
      <c r="L389" s="26" t="n">
        <v>0.8822</v>
      </c>
      <c r="M389" s="26" t="n">
        <v>0.025</v>
      </c>
    </row>
    <row r="390" ht="16" customHeight="1">
      <c r="A390" t="inlineStr">
        <is>
          <t>30-Sep-2025</t>
        </is>
      </c>
      <c r="B390" t="inlineStr">
        <is>
          <t>Tuesday</t>
        </is>
      </c>
      <c r="C390" t="inlineStr">
        <is>
          <t>Week5-Sep-2025</t>
        </is>
      </c>
      <c r="D390" s="78" t="n">
        <v>45901</v>
      </c>
      <c r="E390" t="inlineStr">
        <is>
          <t>Q2FY26</t>
        </is>
      </c>
      <c r="F390" t="inlineStr">
        <is>
          <t>29-Dec-2026</t>
        </is>
      </c>
      <c r="G390" t="inlineStr">
        <is>
          <t>Tuesday</t>
        </is>
      </c>
      <c r="H390" t="inlineStr">
        <is>
          <t>Monthly - Tuesday</t>
        </is>
      </c>
      <c r="I390" t="inlineStr">
        <is>
          <t>Monthly - Tuesday</t>
        </is>
      </c>
      <c r="J390" t="inlineStr">
        <is>
          <t>Month+15 Expiry</t>
        </is>
      </c>
      <c r="K390" s="25" t="n">
        <v>854</v>
      </c>
      <c r="L390" s="26" t="n">
        <v>1.7373</v>
      </c>
      <c r="M390" s="26" t="n">
        <v>0.06710000000000001</v>
      </c>
    </row>
    <row r="391" ht="16" customHeight="1">
      <c r="A391" t="inlineStr">
        <is>
          <t>30-Sep-2025</t>
        </is>
      </c>
      <c r="B391" t="inlineStr">
        <is>
          <t>Tuesday</t>
        </is>
      </c>
      <c r="C391" t="inlineStr">
        <is>
          <t>Week5-Sep-2025</t>
        </is>
      </c>
      <c r="D391" s="78" t="n">
        <v>45901</v>
      </c>
      <c r="E391" t="inlineStr">
        <is>
          <t>Q2FY26</t>
        </is>
      </c>
      <c r="F391" t="inlineStr">
        <is>
          <t>29-Jun-2027</t>
        </is>
      </c>
      <c r="G391" t="inlineStr">
        <is>
          <t>Tuesday</t>
        </is>
      </c>
      <c r="H391" t="inlineStr">
        <is>
          <t>Monthly - Tuesday</t>
        </is>
      </c>
      <c r="I391" t="inlineStr">
        <is>
          <t>Monthly - Tuesday</t>
        </is>
      </c>
      <c r="J391" t="inlineStr">
        <is>
          <t>Month+21 Expiry</t>
        </is>
      </c>
      <c r="K391" s="25" t="n">
        <v>0</v>
      </c>
      <c r="L391" s="26" t="n">
        <v>0</v>
      </c>
      <c r="M391" s="26" t="n">
        <v>0</v>
      </c>
    </row>
    <row r="392" ht="16" customHeight="1">
      <c r="A392" t="inlineStr">
        <is>
          <t>30-Sep-2025</t>
        </is>
      </c>
      <c r="B392" t="inlineStr">
        <is>
          <t>Tuesday</t>
        </is>
      </c>
      <c r="C392" t="inlineStr">
        <is>
          <t>Week5-Sep-2025</t>
        </is>
      </c>
      <c r="D392" s="78" t="n">
        <v>45901</v>
      </c>
      <c r="E392" t="inlineStr">
        <is>
          <t>Q2FY26</t>
        </is>
      </c>
      <c r="F392" t="inlineStr">
        <is>
          <t>28-Dec-2027</t>
        </is>
      </c>
      <c r="G392" t="inlineStr">
        <is>
          <t>Tuesday</t>
        </is>
      </c>
      <c r="H392" t="inlineStr">
        <is>
          <t>Monthly - Tuesday</t>
        </is>
      </c>
      <c r="I392" t="inlineStr">
        <is>
          <t>Monthly - Tuesday</t>
        </is>
      </c>
      <c r="J392" t="inlineStr">
        <is>
          <t>Month+27 Expiry</t>
        </is>
      </c>
      <c r="K392" s="25" t="n">
        <v>19</v>
      </c>
      <c r="L392" s="26" t="n">
        <v>0.029</v>
      </c>
      <c r="M392" s="26" t="n">
        <v>0.0005</v>
      </c>
    </row>
    <row r="393" ht="16" customHeight="1">
      <c r="A393" t="inlineStr">
        <is>
          <t>30-Sep-2025</t>
        </is>
      </c>
      <c r="B393" t="inlineStr">
        <is>
          <t>Tuesday</t>
        </is>
      </c>
      <c r="C393" t="inlineStr">
        <is>
          <t>Week5-Sep-2025</t>
        </is>
      </c>
      <c r="D393" s="78" t="n">
        <v>45901</v>
      </c>
      <c r="E393" t="inlineStr">
        <is>
          <t>Q2FY26</t>
        </is>
      </c>
      <c r="F393" t="inlineStr">
        <is>
          <t>27-Jun-2028</t>
        </is>
      </c>
      <c r="G393" t="inlineStr">
        <is>
          <t>Tuesday</t>
        </is>
      </c>
      <c r="H393" t="inlineStr">
        <is>
          <t>Monthly - Tuesday</t>
        </is>
      </c>
      <c r="I393" t="inlineStr">
        <is>
          <t>Monthly - Tuesday</t>
        </is>
      </c>
      <c r="J393" t="inlineStr">
        <is>
          <t>Month+33 Expiry</t>
        </is>
      </c>
      <c r="K393" s="25" t="n">
        <v>0</v>
      </c>
      <c r="L393" s="26" t="n">
        <v>0</v>
      </c>
      <c r="M393" s="26" t="n">
        <v>0</v>
      </c>
    </row>
    <row r="394" ht="16" customHeight="1">
      <c r="A394" t="inlineStr">
        <is>
          <t>30-Sep-2025</t>
        </is>
      </c>
      <c r="B394" t="inlineStr">
        <is>
          <t>Tuesday</t>
        </is>
      </c>
      <c r="C394" t="inlineStr">
        <is>
          <t>Week5-Sep-2025</t>
        </is>
      </c>
      <c r="D394" s="78" t="n">
        <v>45901</v>
      </c>
      <c r="E394" t="inlineStr">
        <is>
          <t>Q2FY26</t>
        </is>
      </c>
      <c r="F394" t="inlineStr">
        <is>
          <t>26-Dec-2028</t>
        </is>
      </c>
      <c r="G394" t="inlineStr">
        <is>
          <t>Tuesday</t>
        </is>
      </c>
      <c r="H394" t="inlineStr">
        <is>
          <t>Monthly - Tuesday</t>
        </is>
      </c>
      <c r="I394" t="inlineStr">
        <is>
          <t>Monthly - Tuesday</t>
        </is>
      </c>
      <c r="J394" t="inlineStr">
        <is>
          <t>Month+39 Expiry</t>
        </is>
      </c>
      <c r="K394" s="25" t="n">
        <v>11</v>
      </c>
      <c r="L394" s="26" t="n">
        <v>0.0216</v>
      </c>
      <c r="M394" s="26" t="n">
        <v>0.0009</v>
      </c>
    </row>
    <row r="395" ht="16" customHeight="1">
      <c r="A395" t="inlineStr">
        <is>
          <t>30-Sep-2025</t>
        </is>
      </c>
      <c r="B395" t="inlineStr">
        <is>
          <t>Tuesday</t>
        </is>
      </c>
      <c r="C395" t="inlineStr">
        <is>
          <t>Week5-Sep-2025</t>
        </is>
      </c>
      <c r="D395" s="78" t="n">
        <v>45901</v>
      </c>
      <c r="E395" t="inlineStr">
        <is>
          <t>Q2FY26</t>
        </is>
      </c>
      <c r="F395" t="inlineStr">
        <is>
          <t>26-Jun-2029</t>
        </is>
      </c>
      <c r="G395" t="inlineStr">
        <is>
          <t>Tuesday</t>
        </is>
      </c>
      <c r="H395" t="inlineStr">
        <is>
          <t>Monthly - Tuesday</t>
        </is>
      </c>
      <c r="I395" t="inlineStr">
        <is>
          <t>Monthly - Tuesday</t>
        </is>
      </c>
      <c r="J395" t="inlineStr">
        <is>
          <t>Month+45 Expiry</t>
        </is>
      </c>
      <c r="K395" s="25" t="n">
        <v>0</v>
      </c>
      <c r="L395" s="26" t="n">
        <v>0</v>
      </c>
      <c r="M395" s="26" t="n">
        <v>0</v>
      </c>
    </row>
    <row r="396" ht="16" customHeight="1">
      <c r="A396" t="inlineStr">
        <is>
          <t>30-Sep-2025</t>
        </is>
      </c>
      <c r="B396" t="inlineStr">
        <is>
          <t>Tuesday</t>
        </is>
      </c>
      <c r="C396" t="inlineStr">
        <is>
          <t>Week5-Sep-2025</t>
        </is>
      </c>
      <c r="D396" s="78" t="n">
        <v>45901</v>
      </c>
      <c r="E396" t="inlineStr">
        <is>
          <t>Q2FY26</t>
        </is>
      </c>
      <c r="F396" t="inlineStr">
        <is>
          <t>24-Dec-2029</t>
        </is>
      </c>
      <c r="G396" t="inlineStr">
        <is>
          <t>Monday</t>
        </is>
      </c>
      <c r="H396" t="inlineStr">
        <is>
          <t>Weekly - Monday</t>
        </is>
      </c>
      <c r="I396" t="inlineStr">
        <is>
          <t>Weekly - Monday</t>
        </is>
      </c>
      <c r="J396" t="inlineStr">
        <is>
          <t>Month+51 Expiry</t>
        </is>
      </c>
      <c r="K396" s="25" t="n">
        <v>1</v>
      </c>
      <c r="L396" s="26" t="n">
        <v>0.0021</v>
      </c>
      <c r="M396" s="26" t="n">
        <v>0.0001</v>
      </c>
    </row>
    <row r="397" ht="16" customHeight="1">
      <c r="A397" t="inlineStr">
        <is>
          <t>30-Sep-2025</t>
        </is>
      </c>
      <c r="B397" t="inlineStr">
        <is>
          <t>Tuesday</t>
        </is>
      </c>
      <c r="C397" t="inlineStr">
        <is>
          <t>Week5-Sep-2025</t>
        </is>
      </c>
      <c r="D397" s="78" t="n">
        <v>45901</v>
      </c>
      <c r="E397" t="inlineStr">
        <is>
          <t>Q2FY26</t>
        </is>
      </c>
      <c r="F397" t="inlineStr">
        <is>
          <t>25-Jun-2030</t>
        </is>
      </c>
      <c r="G397" t="inlineStr">
        <is>
          <t>Tuesday</t>
        </is>
      </c>
      <c r="H397" t="inlineStr">
        <is>
          <t>Monthly - Tuesday</t>
        </is>
      </c>
      <c r="I397" t="inlineStr">
        <is>
          <t>Monthly - Tuesday</t>
        </is>
      </c>
      <c r="J397" t="inlineStr">
        <is>
          <t>Month+57 Expiry</t>
        </is>
      </c>
      <c r="K397" s="25" t="n">
        <v>0</v>
      </c>
      <c r="L397" s="26" t="n">
        <v>0</v>
      </c>
      <c r="M397" s="26" t="n">
        <v>0</v>
      </c>
    </row>
    <row r="398" ht="16" customHeight="1">
      <c r="A398" t="inlineStr">
        <is>
          <t>01-Oct-2025</t>
        </is>
      </c>
      <c r="B398" t="inlineStr">
        <is>
          <t>Wednesday</t>
        </is>
      </c>
      <c r="C398" t="inlineStr">
        <is>
          <t>Week1-Oct-2025</t>
        </is>
      </c>
      <c r="D398" s="78" t="n">
        <v>45931</v>
      </c>
      <c r="E398" t="inlineStr">
        <is>
          <t>Q3FY26</t>
        </is>
      </c>
      <c r="F398" t="inlineStr">
        <is>
          <t>07-Oct-2025</t>
        </is>
      </c>
      <c r="G398" t="inlineStr">
        <is>
          <t>Tuesday</t>
        </is>
      </c>
      <c r="H398" t="inlineStr">
        <is>
          <t>Weekly - Tuesday</t>
        </is>
      </c>
      <c r="I398" t="inlineStr">
        <is>
          <t>Weekly - Tuesday</t>
        </is>
      </c>
      <c r="J398" t="inlineStr">
        <is>
          <t>Same Month Expiry</t>
        </is>
      </c>
      <c r="K398" s="25" t="n">
        <v>57093533</v>
      </c>
      <c r="L398" s="26" t="n">
        <v>106161.1632</v>
      </c>
      <c r="M398" s="26" t="n">
        <v>270.5069</v>
      </c>
    </row>
    <row r="399" ht="16" customHeight="1">
      <c r="A399" t="inlineStr">
        <is>
          <t>01-Oct-2025</t>
        </is>
      </c>
      <c r="B399" t="inlineStr">
        <is>
          <t>Wednesday</t>
        </is>
      </c>
      <c r="C399" t="inlineStr">
        <is>
          <t>Week1-Oct-2025</t>
        </is>
      </c>
      <c r="D399" s="78" t="n">
        <v>45931</v>
      </c>
      <c r="E399" t="inlineStr">
        <is>
          <t>Q3FY26</t>
        </is>
      </c>
      <c r="F399" t="inlineStr">
        <is>
          <t>14-Oct-2025</t>
        </is>
      </c>
      <c r="G399" t="inlineStr">
        <is>
          <t>Tuesday</t>
        </is>
      </c>
      <c r="H399" t="inlineStr">
        <is>
          <t>Weekly - Tuesday</t>
        </is>
      </c>
      <c r="I399" t="inlineStr">
        <is>
          <t>Weekly - Tuesday</t>
        </is>
      </c>
      <c r="J399" t="inlineStr">
        <is>
          <t>Same Month Expiry</t>
        </is>
      </c>
      <c r="K399" s="25" t="n">
        <v>1562101</v>
      </c>
      <c r="L399" s="26" t="n">
        <v>2914.2115</v>
      </c>
      <c r="M399" s="26" t="n">
        <v>11.4358</v>
      </c>
    </row>
    <row r="400" ht="16" customHeight="1">
      <c r="A400" t="inlineStr">
        <is>
          <t>01-Oct-2025</t>
        </is>
      </c>
      <c r="B400" t="inlineStr">
        <is>
          <t>Wednesday</t>
        </is>
      </c>
      <c r="C400" t="inlineStr">
        <is>
          <t>Week1-Oct-2025</t>
        </is>
      </c>
      <c r="D400" s="78" t="n">
        <v>45931</v>
      </c>
      <c r="E400" t="inlineStr">
        <is>
          <t>Q3FY26</t>
        </is>
      </c>
      <c r="F400" t="inlineStr">
        <is>
          <t>20-Oct-2025</t>
        </is>
      </c>
      <c r="G400" t="inlineStr">
        <is>
          <t>Monday</t>
        </is>
      </c>
      <c r="H400" t="inlineStr">
        <is>
          <t>Weekly - Monday</t>
        </is>
      </c>
      <c r="I400" t="inlineStr">
        <is>
          <t>Weekly - Monday</t>
        </is>
      </c>
      <c r="J400" t="inlineStr">
        <is>
          <t>Same Month Expiry</t>
        </is>
      </c>
      <c r="K400" s="25" t="n">
        <v>69968</v>
      </c>
      <c r="L400" s="26" t="n">
        <v>131.1495</v>
      </c>
      <c r="M400" s="26" t="n">
        <v>0.675</v>
      </c>
    </row>
    <row r="401" ht="16" customHeight="1">
      <c r="A401" t="inlineStr">
        <is>
          <t>01-Oct-2025</t>
        </is>
      </c>
      <c r="B401" t="inlineStr">
        <is>
          <t>Wednesday</t>
        </is>
      </c>
      <c r="C401" t="inlineStr">
        <is>
          <t>Week1-Oct-2025</t>
        </is>
      </c>
      <c r="D401" s="78" t="n">
        <v>45931</v>
      </c>
      <c r="E401" t="inlineStr">
        <is>
          <t>Q3FY26</t>
        </is>
      </c>
      <c r="F401" t="inlineStr">
        <is>
          <t>28-Oct-2025</t>
        </is>
      </c>
      <c r="G401" t="inlineStr">
        <is>
          <t>Tuesday</t>
        </is>
      </c>
      <c r="H401" t="inlineStr">
        <is>
          <t>Monthly - Tuesday</t>
        </is>
      </c>
      <c r="I401" t="inlineStr">
        <is>
          <t>Monthly - Tuesday</t>
        </is>
      </c>
      <c r="J401" t="inlineStr">
        <is>
          <t>Same Month Expiry</t>
        </is>
      </c>
      <c r="K401" s="25" t="n">
        <v>1476361</v>
      </c>
      <c r="L401" s="26" t="n">
        <v>2766.0961</v>
      </c>
      <c r="M401" s="26" t="n">
        <v>17.9866</v>
      </c>
    </row>
    <row r="402" ht="16" customHeight="1">
      <c r="A402" t="inlineStr">
        <is>
          <t>01-Oct-2025</t>
        </is>
      </c>
      <c r="B402" t="inlineStr">
        <is>
          <t>Wednesday</t>
        </is>
      </c>
      <c r="C402" t="inlineStr">
        <is>
          <t>Week1-Oct-2025</t>
        </is>
      </c>
      <c r="D402" s="78" t="n">
        <v>45931</v>
      </c>
      <c r="E402" t="inlineStr">
        <is>
          <t>Q3FY26</t>
        </is>
      </c>
      <c r="F402" t="inlineStr">
        <is>
          <t>04-Nov-2025</t>
        </is>
      </c>
      <c r="G402" t="inlineStr">
        <is>
          <t>Tuesday</t>
        </is>
      </c>
      <c r="H402" t="inlineStr">
        <is>
          <t>Weekly - Tuesday</t>
        </is>
      </c>
      <c r="I402" t="inlineStr">
        <is>
          <t>Weekly - Tuesday</t>
        </is>
      </c>
      <c r="J402" t="inlineStr">
        <is>
          <t>Month+1 Expiry</t>
        </is>
      </c>
      <c r="K402" s="25" t="n">
        <v>1722</v>
      </c>
      <c r="L402" s="26" t="n">
        <v>3.2351</v>
      </c>
      <c r="M402" s="26" t="n">
        <v>0.0203</v>
      </c>
    </row>
    <row r="403" ht="16" customHeight="1">
      <c r="A403" t="inlineStr">
        <is>
          <t>01-Oct-2025</t>
        </is>
      </c>
      <c r="B403" t="inlineStr">
        <is>
          <t>Wednesday</t>
        </is>
      </c>
      <c r="C403" t="inlineStr">
        <is>
          <t>Week1-Oct-2025</t>
        </is>
      </c>
      <c r="D403" s="78" t="n">
        <v>45931</v>
      </c>
      <c r="E403" t="inlineStr">
        <is>
          <t>Q3FY26</t>
        </is>
      </c>
      <c r="F403" t="inlineStr">
        <is>
          <t>25-Nov-2025</t>
        </is>
      </c>
      <c r="G403" t="inlineStr">
        <is>
          <t>Tuesday</t>
        </is>
      </c>
      <c r="H403" t="inlineStr">
        <is>
          <t>Monthly - Tuesday</t>
        </is>
      </c>
      <c r="I403" t="inlineStr">
        <is>
          <t>Monthly - Tuesday</t>
        </is>
      </c>
      <c r="J403" t="inlineStr">
        <is>
          <t>Month+1 Expiry</t>
        </is>
      </c>
      <c r="K403" s="25" t="n">
        <v>131267</v>
      </c>
      <c r="L403" s="26" t="n">
        <v>247.9427</v>
      </c>
      <c r="M403" s="26" t="n">
        <v>1.7585</v>
      </c>
    </row>
    <row r="404" ht="16" customHeight="1">
      <c r="A404" t="inlineStr">
        <is>
          <t>01-Oct-2025</t>
        </is>
      </c>
      <c r="B404" t="inlineStr">
        <is>
          <t>Wednesday</t>
        </is>
      </c>
      <c r="C404" t="inlineStr">
        <is>
          <t>Week1-Oct-2025</t>
        </is>
      </c>
      <c r="D404" s="78" t="n">
        <v>45931</v>
      </c>
      <c r="E404" t="inlineStr">
        <is>
          <t>Q3FY26</t>
        </is>
      </c>
      <c r="F404" t="inlineStr">
        <is>
          <t>30-Dec-2025</t>
        </is>
      </c>
      <c r="G404" t="inlineStr">
        <is>
          <t>Tuesday</t>
        </is>
      </c>
      <c r="H404" t="inlineStr">
        <is>
          <t>Monthly - Tuesday</t>
        </is>
      </c>
      <c r="I404" t="inlineStr">
        <is>
          <t>Monthly - Tuesday</t>
        </is>
      </c>
      <c r="J404" t="inlineStr">
        <is>
          <t>Month+2 Expiry</t>
        </is>
      </c>
      <c r="K404" s="25" t="n">
        <v>104980</v>
      </c>
      <c r="L404" s="26" t="n">
        <v>199.3182</v>
      </c>
      <c r="M404" s="26" t="n">
        <v>2.7006</v>
      </c>
    </row>
    <row r="405" ht="16" customHeight="1">
      <c r="A405" t="inlineStr">
        <is>
          <t>01-Oct-2025</t>
        </is>
      </c>
      <c r="B405" t="inlineStr">
        <is>
          <t>Wednesday</t>
        </is>
      </c>
      <c r="C405" t="inlineStr">
        <is>
          <t>Week1-Oct-2025</t>
        </is>
      </c>
      <c r="D405" s="78" t="n">
        <v>45931</v>
      </c>
      <c r="E405" t="inlineStr">
        <is>
          <t>Q3FY26</t>
        </is>
      </c>
      <c r="F405" t="inlineStr">
        <is>
          <t>31-Mar-2026</t>
        </is>
      </c>
      <c r="G405" t="inlineStr">
        <is>
          <t>Tuesday</t>
        </is>
      </c>
      <c r="H405" t="inlineStr">
        <is>
          <t>Monthly - Tuesday</t>
        </is>
      </c>
      <c r="I405" t="inlineStr">
        <is>
          <t>Monthly - Tuesday</t>
        </is>
      </c>
      <c r="J405" t="inlineStr">
        <is>
          <t>Month+5 Expiry</t>
        </is>
      </c>
      <c r="K405" s="25" t="n">
        <v>17572</v>
      </c>
      <c r="L405" s="26" t="n">
        <v>33.9013</v>
      </c>
      <c r="M405" s="26" t="n">
        <v>0.5966</v>
      </c>
    </row>
    <row r="406" ht="16" customHeight="1">
      <c r="A406" t="inlineStr">
        <is>
          <t>01-Oct-2025</t>
        </is>
      </c>
      <c r="B406" t="inlineStr">
        <is>
          <t>Wednesday</t>
        </is>
      </c>
      <c r="C406" t="inlineStr">
        <is>
          <t>Week1-Oct-2025</t>
        </is>
      </c>
      <c r="D406" s="78" t="n">
        <v>45931</v>
      </c>
      <c r="E406" t="inlineStr">
        <is>
          <t>Q3FY26</t>
        </is>
      </c>
      <c r="F406" t="inlineStr">
        <is>
          <t>30-Jun-2026</t>
        </is>
      </c>
      <c r="G406" t="inlineStr">
        <is>
          <t>Tuesday</t>
        </is>
      </c>
      <c r="H406" t="inlineStr">
        <is>
          <t>Monthly - Tuesday</t>
        </is>
      </c>
      <c r="I406" t="inlineStr">
        <is>
          <t>Monthly - Tuesday</t>
        </is>
      </c>
      <c r="J406" t="inlineStr">
        <is>
          <t>Month+8 Expiry</t>
        </is>
      </c>
      <c r="K406" s="25" t="n">
        <v>1395</v>
      </c>
      <c r="L406" s="26" t="n">
        <v>2.7165</v>
      </c>
      <c r="M406" s="26" t="n">
        <v>0.07389999999999999</v>
      </c>
    </row>
    <row r="407" ht="16" customHeight="1">
      <c r="A407" t="inlineStr">
        <is>
          <t>01-Oct-2025</t>
        </is>
      </c>
      <c r="B407" t="inlineStr">
        <is>
          <t>Wednesday</t>
        </is>
      </c>
      <c r="C407" t="inlineStr">
        <is>
          <t>Week1-Oct-2025</t>
        </is>
      </c>
      <c r="D407" s="78" t="n">
        <v>45931</v>
      </c>
      <c r="E407" t="inlineStr">
        <is>
          <t>Q3FY26</t>
        </is>
      </c>
      <c r="F407" t="inlineStr">
        <is>
          <t>29-Sep-2026</t>
        </is>
      </c>
      <c r="G407" t="inlineStr">
        <is>
          <t>Tuesday</t>
        </is>
      </c>
      <c r="H407" t="inlineStr">
        <is>
          <t>Monthly - Tuesday</t>
        </is>
      </c>
      <c r="I407" t="inlineStr">
        <is>
          <t>Monthly - Tuesday</t>
        </is>
      </c>
      <c r="J407" t="inlineStr">
        <is>
          <t>Month+11 Expiry</t>
        </is>
      </c>
      <c r="K407" s="25" t="n">
        <v>0</v>
      </c>
      <c r="L407" s="26" t="n">
        <v>0</v>
      </c>
      <c r="M407" s="26" t="n">
        <v>0</v>
      </c>
    </row>
    <row r="408" ht="16" customHeight="1">
      <c r="A408" t="inlineStr">
        <is>
          <t>01-Oct-2025</t>
        </is>
      </c>
      <c r="B408" t="inlineStr">
        <is>
          <t>Wednesday</t>
        </is>
      </c>
      <c r="C408" t="inlineStr">
        <is>
          <t>Week1-Oct-2025</t>
        </is>
      </c>
      <c r="D408" s="78" t="n">
        <v>45931</v>
      </c>
      <c r="E408" t="inlineStr">
        <is>
          <t>Q3FY26</t>
        </is>
      </c>
      <c r="F408" t="inlineStr">
        <is>
          <t>29-Dec-2026</t>
        </is>
      </c>
      <c r="G408" t="inlineStr">
        <is>
          <t>Tuesday</t>
        </is>
      </c>
      <c r="H408" t="inlineStr">
        <is>
          <t>Monthly - Tuesday</t>
        </is>
      </c>
      <c r="I408" t="inlineStr">
        <is>
          <t>Monthly - Tuesday</t>
        </is>
      </c>
      <c r="J408" t="inlineStr">
        <is>
          <t>Month+14 Expiry</t>
        </is>
      </c>
      <c r="K408" s="25" t="n">
        <v>1044</v>
      </c>
      <c r="L408" s="26" t="n">
        <v>2.0705</v>
      </c>
      <c r="M408" s="26" t="n">
        <v>0.0726</v>
      </c>
    </row>
    <row r="409" ht="16" customHeight="1">
      <c r="A409" t="inlineStr">
        <is>
          <t>01-Oct-2025</t>
        </is>
      </c>
      <c r="B409" t="inlineStr">
        <is>
          <t>Wednesday</t>
        </is>
      </c>
      <c r="C409" t="inlineStr">
        <is>
          <t>Week1-Oct-2025</t>
        </is>
      </c>
      <c r="D409" s="78" t="n">
        <v>45931</v>
      </c>
      <c r="E409" t="inlineStr">
        <is>
          <t>Q3FY26</t>
        </is>
      </c>
      <c r="F409" t="inlineStr">
        <is>
          <t>29-Jun-2027</t>
        </is>
      </c>
      <c r="G409" t="inlineStr">
        <is>
          <t>Tuesday</t>
        </is>
      </c>
      <c r="H409" t="inlineStr">
        <is>
          <t>Monthly - Tuesday</t>
        </is>
      </c>
      <c r="I409" t="inlineStr">
        <is>
          <t>Monthly - Tuesday</t>
        </is>
      </c>
      <c r="J409" t="inlineStr">
        <is>
          <t>Month+20 Expiry</t>
        </is>
      </c>
      <c r="K409" s="25" t="n">
        <v>2</v>
      </c>
      <c r="L409" s="26" t="n">
        <v>0.0032</v>
      </c>
      <c r="M409" s="26" t="n">
        <v>0</v>
      </c>
    </row>
    <row r="410" ht="16" customHeight="1">
      <c r="A410" t="inlineStr">
        <is>
          <t>01-Oct-2025</t>
        </is>
      </c>
      <c r="B410" t="inlineStr">
        <is>
          <t>Wednesday</t>
        </is>
      </c>
      <c r="C410" t="inlineStr">
        <is>
          <t>Week1-Oct-2025</t>
        </is>
      </c>
      <c r="D410" s="78" t="n">
        <v>45931</v>
      </c>
      <c r="E410" t="inlineStr">
        <is>
          <t>Q3FY26</t>
        </is>
      </c>
      <c r="F410" t="inlineStr">
        <is>
          <t>28-Dec-2027</t>
        </is>
      </c>
      <c r="G410" t="inlineStr">
        <is>
          <t>Tuesday</t>
        </is>
      </c>
      <c r="H410" t="inlineStr">
        <is>
          <t>Monthly - Tuesday</t>
        </is>
      </c>
      <c r="I410" t="inlineStr">
        <is>
          <t>Monthly - Tuesday</t>
        </is>
      </c>
      <c r="J410" t="inlineStr">
        <is>
          <t>Month+26 Expiry</t>
        </is>
      </c>
      <c r="K410" s="25" t="n">
        <v>11</v>
      </c>
      <c r="L410" s="26" t="n">
        <v>0.0197</v>
      </c>
      <c r="M410" s="26" t="n">
        <v>0.0005</v>
      </c>
    </row>
    <row r="411" ht="16" customHeight="1">
      <c r="A411" t="inlineStr">
        <is>
          <t>01-Oct-2025</t>
        </is>
      </c>
      <c r="B411" t="inlineStr">
        <is>
          <t>Wednesday</t>
        </is>
      </c>
      <c r="C411" t="inlineStr">
        <is>
          <t>Week1-Oct-2025</t>
        </is>
      </c>
      <c r="D411" s="78" t="n">
        <v>45931</v>
      </c>
      <c r="E411" t="inlineStr">
        <is>
          <t>Q3FY26</t>
        </is>
      </c>
      <c r="F411" t="inlineStr">
        <is>
          <t>27-Jun-2028</t>
        </is>
      </c>
      <c r="G411" t="inlineStr">
        <is>
          <t>Tuesday</t>
        </is>
      </c>
      <c r="H411" t="inlineStr">
        <is>
          <t>Monthly - Tuesday</t>
        </is>
      </c>
      <c r="I411" t="inlineStr">
        <is>
          <t>Monthly - Tuesday</t>
        </is>
      </c>
      <c r="J411" t="inlineStr">
        <is>
          <t>Month+32 Expiry</t>
        </is>
      </c>
      <c r="K411" s="25" t="n">
        <v>0</v>
      </c>
      <c r="L411" s="26" t="n">
        <v>0</v>
      </c>
      <c r="M411" s="26" t="n">
        <v>0</v>
      </c>
    </row>
    <row r="412" ht="16" customHeight="1">
      <c r="A412" t="inlineStr">
        <is>
          <t>01-Oct-2025</t>
        </is>
      </c>
      <c r="B412" t="inlineStr">
        <is>
          <t>Wednesday</t>
        </is>
      </c>
      <c r="C412" t="inlineStr">
        <is>
          <t>Week1-Oct-2025</t>
        </is>
      </c>
      <c r="D412" s="78" t="n">
        <v>45931</v>
      </c>
      <c r="E412" t="inlineStr">
        <is>
          <t>Q3FY26</t>
        </is>
      </c>
      <c r="F412" t="inlineStr">
        <is>
          <t>26-Dec-2028</t>
        </is>
      </c>
      <c r="G412" t="inlineStr">
        <is>
          <t>Tuesday</t>
        </is>
      </c>
      <c r="H412" t="inlineStr">
        <is>
          <t>Monthly - Tuesday</t>
        </is>
      </c>
      <c r="I412" t="inlineStr">
        <is>
          <t>Monthly - Tuesday</t>
        </is>
      </c>
      <c r="J412" t="inlineStr">
        <is>
          <t>Month+38 Expiry</t>
        </is>
      </c>
      <c r="K412" s="25" t="n">
        <v>5</v>
      </c>
      <c r="L412" s="26" t="n">
        <v>0.0101</v>
      </c>
      <c r="M412" s="26" t="n">
        <v>0.0005</v>
      </c>
    </row>
    <row r="413" ht="16" customHeight="1">
      <c r="A413" t="inlineStr">
        <is>
          <t>01-Oct-2025</t>
        </is>
      </c>
      <c r="B413" t="inlineStr">
        <is>
          <t>Wednesday</t>
        </is>
      </c>
      <c r="C413" t="inlineStr">
        <is>
          <t>Week1-Oct-2025</t>
        </is>
      </c>
      <c r="D413" s="78" t="n">
        <v>45931</v>
      </c>
      <c r="E413" t="inlineStr">
        <is>
          <t>Q3FY26</t>
        </is>
      </c>
      <c r="F413" t="inlineStr">
        <is>
          <t>26-Jun-2029</t>
        </is>
      </c>
      <c r="G413" t="inlineStr">
        <is>
          <t>Tuesday</t>
        </is>
      </c>
      <c r="H413" t="inlineStr">
        <is>
          <t>Monthly - Tuesday</t>
        </is>
      </c>
      <c r="I413" t="inlineStr">
        <is>
          <t>Monthly - Tuesday</t>
        </is>
      </c>
      <c r="J413" t="inlineStr">
        <is>
          <t>Month+44 Expiry</t>
        </is>
      </c>
      <c r="K413" s="25" t="n">
        <v>0</v>
      </c>
      <c r="L413" s="26" t="n">
        <v>0</v>
      </c>
      <c r="M413" s="26" t="n">
        <v>0</v>
      </c>
    </row>
    <row r="414" ht="16" customHeight="1">
      <c r="A414" t="inlineStr">
        <is>
          <t>01-Oct-2025</t>
        </is>
      </c>
      <c r="B414" t="inlineStr">
        <is>
          <t>Wednesday</t>
        </is>
      </c>
      <c r="C414" t="inlineStr">
        <is>
          <t>Week1-Oct-2025</t>
        </is>
      </c>
      <c r="D414" s="78" t="n">
        <v>45931</v>
      </c>
      <c r="E414" t="inlineStr">
        <is>
          <t>Q3FY26</t>
        </is>
      </c>
      <c r="F414" t="inlineStr">
        <is>
          <t>24-Dec-2029</t>
        </is>
      </c>
      <c r="G414" t="inlineStr">
        <is>
          <t>Monday</t>
        </is>
      </c>
      <c r="H414" t="inlineStr">
        <is>
          <t>Weekly - Monday</t>
        </is>
      </c>
      <c r="I414" t="inlineStr">
        <is>
          <t>Weekly - Monday</t>
        </is>
      </c>
      <c r="J414" t="inlineStr">
        <is>
          <t>Month+50 Expiry</t>
        </is>
      </c>
      <c r="K414" s="25" t="n">
        <v>0</v>
      </c>
      <c r="L414" s="26" t="n">
        <v>0</v>
      </c>
      <c r="M414" s="26" t="n">
        <v>0</v>
      </c>
    </row>
    <row r="415" ht="16" customHeight="1">
      <c r="A415" t="inlineStr">
        <is>
          <t>01-Oct-2025</t>
        </is>
      </c>
      <c r="B415" t="inlineStr">
        <is>
          <t>Wednesday</t>
        </is>
      </c>
      <c r="C415" t="inlineStr">
        <is>
          <t>Week1-Oct-2025</t>
        </is>
      </c>
      <c r="D415" s="78" t="n">
        <v>45931</v>
      </c>
      <c r="E415" t="inlineStr">
        <is>
          <t>Q3FY26</t>
        </is>
      </c>
      <c r="F415" t="inlineStr">
        <is>
          <t>25-Jun-2030</t>
        </is>
      </c>
      <c r="G415" t="inlineStr">
        <is>
          <t>Tuesday</t>
        </is>
      </c>
      <c r="H415" t="inlineStr">
        <is>
          <t>Monthly - Tuesday</t>
        </is>
      </c>
      <c r="I415" t="inlineStr">
        <is>
          <t>Monthly - Tuesday</t>
        </is>
      </c>
      <c r="J415" t="inlineStr">
        <is>
          <t>Month+56 Expiry</t>
        </is>
      </c>
      <c r="K415" s="25" t="n">
        <v>0</v>
      </c>
      <c r="L415" s="26" t="n">
        <v>0</v>
      </c>
      <c r="M415" s="26" t="n">
        <v>0</v>
      </c>
    </row>
    <row r="416" ht="16" customHeight="1">
      <c r="A416" t="inlineStr">
        <is>
          <t>03-Oct-2025</t>
        </is>
      </c>
      <c r="B416" t="inlineStr">
        <is>
          <t>Friday</t>
        </is>
      </c>
      <c r="C416" t="inlineStr">
        <is>
          <t>Week1-Oct-2025</t>
        </is>
      </c>
      <c r="D416" s="78" t="n">
        <v>45931</v>
      </c>
      <c r="E416" t="inlineStr">
        <is>
          <t>Q3FY26</t>
        </is>
      </c>
      <c r="F416" t="inlineStr">
        <is>
          <t>07-Oct-2025</t>
        </is>
      </c>
      <c r="G416" t="inlineStr">
        <is>
          <t>Tuesday</t>
        </is>
      </c>
      <c r="H416" t="inlineStr">
        <is>
          <t>Weekly - Tuesday</t>
        </is>
      </c>
      <c r="I416" t="inlineStr">
        <is>
          <t>Weekly - Tuesday</t>
        </is>
      </c>
      <c r="J416" t="inlineStr">
        <is>
          <t>Same Month Expiry</t>
        </is>
      </c>
      <c r="K416" s="25" t="n">
        <v>96091988</v>
      </c>
      <c r="L416" s="26" t="n">
        <v>179166.2204</v>
      </c>
      <c r="M416" s="26" t="n">
        <v>360.9977</v>
      </c>
    </row>
    <row r="417" ht="16" customHeight="1">
      <c r="A417" t="inlineStr">
        <is>
          <t>03-Oct-2025</t>
        </is>
      </c>
      <c r="B417" t="inlineStr">
        <is>
          <t>Friday</t>
        </is>
      </c>
      <c r="C417" t="inlineStr">
        <is>
          <t>Week1-Oct-2025</t>
        </is>
      </c>
      <c r="D417" s="78" t="n">
        <v>45931</v>
      </c>
      <c r="E417" t="inlineStr">
        <is>
          <t>Q3FY26</t>
        </is>
      </c>
      <c r="F417" t="inlineStr">
        <is>
          <t>14-Oct-2025</t>
        </is>
      </c>
      <c r="G417" t="inlineStr">
        <is>
          <t>Tuesday</t>
        </is>
      </c>
      <c r="H417" t="inlineStr">
        <is>
          <t>Weekly - Tuesday</t>
        </is>
      </c>
      <c r="I417" t="inlineStr">
        <is>
          <t>Weekly - Tuesday</t>
        </is>
      </c>
      <c r="J417" t="inlineStr">
        <is>
          <t>Same Month Expiry</t>
        </is>
      </c>
      <c r="K417" s="25" t="n">
        <v>1998875</v>
      </c>
      <c r="L417" s="26" t="n">
        <v>3738.1654</v>
      </c>
      <c r="M417" s="26" t="n">
        <v>12.2008</v>
      </c>
    </row>
    <row r="418" ht="16" customHeight="1">
      <c r="A418" t="inlineStr">
        <is>
          <t>03-Oct-2025</t>
        </is>
      </c>
      <c r="B418" t="inlineStr">
        <is>
          <t>Friday</t>
        </is>
      </c>
      <c r="C418" t="inlineStr">
        <is>
          <t>Week1-Oct-2025</t>
        </is>
      </c>
      <c r="D418" s="78" t="n">
        <v>45931</v>
      </c>
      <c r="E418" t="inlineStr">
        <is>
          <t>Q3FY26</t>
        </is>
      </c>
      <c r="F418" t="inlineStr">
        <is>
          <t>20-Oct-2025</t>
        </is>
      </c>
      <c r="G418" t="inlineStr">
        <is>
          <t>Monday</t>
        </is>
      </c>
      <c r="H418" t="inlineStr">
        <is>
          <t>Weekly - Monday</t>
        </is>
      </c>
      <c r="I418" t="inlineStr">
        <is>
          <t>Weekly - Monday</t>
        </is>
      </c>
      <c r="J418" t="inlineStr">
        <is>
          <t>Same Month Expiry</t>
        </is>
      </c>
      <c r="K418" s="25" t="n">
        <v>107954</v>
      </c>
      <c r="L418" s="26" t="n">
        <v>202.4913</v>
      </c>
      <c r="M418" s="26" t="n">
        <v>0.8508</v>
      </c>
    </row>
    <row r="419" ht="16" customHeight="1">
      <c r="A419" t="inlineStr">
        <is>
          <t>03-Oct-2025</t>
        </is>
      </c>
      <c r="B419" t="inlineStr">
        <is>
          <t>Friday</t>
        </is>
      </c>
      <c r="C419" t="inlineStr">
        <is>
          <t>Week1-Oct-2025</t>
        </is>
      </c>
      <c r="D419" s="78" t="n">
        <v>45931</v>
      </c>
      <c r="E419" t="inlineStr">
        <is>
          <t>Q3FY26</t>
        </is>
      </c>
      <c r="F419" t="inlineStr">
        <is>
          <t>28-Oct-2025</t>
        </is>
      </c>
      <c r="G419" t="inlineStr">
        <is>
          <t>Tuesday</t>
        </is>
      </c>
      <c r="H419" t="inlineStr">
        <is>
          <t>Monthly - Tuesday</t>
        </is>
      </c>
      <c r="I419" t="inlineStr">
        <is>
          <t>Monthly - Tuesday</t>
        </is>
      </c>
      <c r="J419" t="inlineStr">
        <is>
          <t>Same Month Expiry</t>
        </is>
      </c>
      <c r="K419" s="25" t="n">
        <v>1055430</v>
      </c>
      <c r="L419" s="26" t="n">
        <v>1980.1604</v>
      </c>
      <c r="M419" s="26" t="n">
        <v>10.8071</v>
      </c>
    </row>
    <row r="420" ht="16" customHeight="1">
      <c r="A420" t="inlineStr">
        <is>
          <t>03-Oct-2025</t>
        </is>
      </c>
      <c r="B420" t="inlineStr">
        <is>
          <t>Friday</t>
        </is>
      </c>
      <c r="C420" t="inlineStr">
        <is>
          <t>Week1-Oct-2025</t>
        </is>
      </c>
      <c r="D420" s="78" t="n">
        <v>45931</v>
      </c>
      <c r="E420" t="inlineStr">
        <is>
          <t>Q3FY26</t>
        </is>
      </c>
      <c r="F420" t="inlineStr">
        <is>
          <t>04-Nov-2025</t>
        </is>
      </c>
      <c r="G420" t="inlineStr">
        <is>
          <t>Tuesday</t>
        </is>
      </c>
      <c r="H420" t="inlineStr">
        <is>
          <t>Weekly - Tuesday</t>
        </is>
      </c>
      <c r="I420" t="inlineStr">
        <is>
          <t>Weekly - Tuesday</t>
        </is>
      </c>
      <c r="J420" t="inlineStr">
        <is>
          <t>Month+1 Expiry</t>
        </is>
      </c>
      <c r="K420" s="25" t="n">
        <v>3288</v>
      </c>
      <c r="L420" s="26" t="n">
        <v>6.2053</v>
      </c>
      <c r="M420" s="26" t="n">
        <v>0.0327</v>
      </c>
    </row>
    <row r="421" ht="16" customHeight="1">
      <c r="A421" t="inlineStr">
        <is>
          <t>03-Oct-2025</t>
        </is>
      </c>
      <c r="B421" t="inlineStr">
        <is>
          <t>Friday</t>
        </is>
      </c>
      <c r="C421" t="inlineStr">
        <is>
          <t>Week1-Oct-2025</t>
        </is>
      </c>
      <c r="D421" s="78" t="n">
        <v>45931</v>
      </c>
      <c r="E421" t="inlineStr">
        <is>
          <t>Q3FY26</t>
        </is>
      </c>
      <c r="F421" t="inlineStr">
        <is>
          <t>25-Nov-2025</t>
        </is>
      </c>
      <c r="G421" t="inlineStr">
        <is>
          <t>Tuesday</t>
        </is>
      </c>
      <c r="H421" t="inlineStr">
        <is>
          <t>Monthly - Tuesday</t>
        </is>
      </c>
      <c r="I421" t="inlineStr">
        <is>
          <t>Monthly - Tuesday</t>
        </is>
      </c>
      <c r="J421" t="inlineStr">
        <is>
          <t>Month+1 Expiry</t>
        </is>
      </c>
      <c r="K421" s="25" t="n">
        <v>102465</v>
      </c>
      <c r="L421" s="26" t="n">
        <v>194.3167</v>
      </c>
      <c r="M421" s="26" t="n">
        <v>1.1461</v>
      </c>
    </row>
    <row r="422" ht="16" customHeight="1">
      <c r="A422" t="inlineStr">
        <is>
          <t>03-Oct-2025</t>
        </is>
      </c>
      <c r="B422" t="inlineStr">
        <is>
          <t>Friday</t>
        </is>
      </c>
      <c r="C422" t="inlineStr">
        <is>
          <t>Week1-Oct-2025</t>
        </is>
      </c>
      <c r="D422" s="78" t="n">
        <v>45931</v>
      </c>
      <c r="E422" t="inlineStr">
        <is>
          <t>Q3FY26</t>
        </is>
      </c>
      <c r="F422" t="inlineStr">
        <is>
          <t>30-Dec-2025</t>
        </is>
      </c>
      <c r="G422" t="inlineStr">
        <is>
          <t>Tuesday</t>
        </is>
      </c>
      <c r="H422" t="inlineStr">
        <is>
          <t>Monthly - Tuesday</t>
        </is>
      </c>
      <c r="I422" t="inlineStr">
        <is>
          <t>Monthly - Tuesday</t>
        </is>
      </c>
      <c r="J422" t="inlineStr">
        <is>
          <t>Month+2 Expiry</t>
        </is>
      </c>
      <c r="K422" s="25" t="n">
        <v>66987</v>
      </c>
      <c r="L422" s="26" t="n">
        <v>124.8432</v>
      </c>
      <c r="M422" s="26" t="n">
        <v>1.3096</v>
      </c>
    </row>
    <row r="423" ht="16" customHeight="1">
      <c r="A423" t="inlineStr">
        <is>
          <t>03-Oct-2025</t>
        </is>
      </c>
      <c r="B423" t="inlineStr">
        <is>
          <t>Friday</t>
        </is>
      </c>
      <c r="C423" t="inlineStr">
        <is>
          <t>Week1-Oct-2025</t>
        </is>
      </c>
      <c r="D423" s="78" t="n">
        <v>45931</v>
      </c>
      <c r="E423" t="inlineStr">
        <is>
          <t>Q3FY26</t>
        </is>
      </c>
      <c r="F423" t="inlineStr">
        <is>
          <t>31-Mar-2026</t>
        </is>
      </c>
      <c r="G423" t="inlineStr">
        <is>
          <t>Tuesday</t>
        </is>
      </c>
      <c r="H423" t="inlineStr">
        <is>
          <t>Monthly - Tuesday</t>
        </is>
      </c>
      <c r="I423" t="inlineStr">
        <is>
          <t>Monthly - Tuesday</t>
        </is>
      </c>
      <c r="J423" t="inlineStr">
        <is>
          <t>Month+5 Expiry</t>
        </is>
      </c>
      <c r="K423" s="25" t="n">
        <v>14897</v>
      </c>
      <c r="L423" s="26" t="n">
        <v>29.025</v>
      </c>
      <c r="M423" s="26" t="n">
        <v>0.5252</v>
      </c>
    </row>
    <row r="424" ht="16" customHeight="1">
      <c r="A424" t="inlineStr">
        <is>
          <t>03-Oct-2025</t>
        </is>
      </c>
      <c r="B424" t="inlineStr">
        <is>
          <t>Friday</t>
        </is>
      </c>
      <c r="C424" t="inlineStr">
        <is>
          <t>Week1-Oct-2025</t>
        </is>
      </c>
      <c r="D424" s="78" t="n">
        <v>45931</v>
      </c>
      <c r="E424" t="inlineStr">
        <is>
          <t>Q3FY26</t>
        </is>
      </c>
      <c r="F424" t="inlineStr">
        <is>
          <t>30-Jun-2026</t>
        </is>
      </c>
      <c r="G424" t="inlineStr">
        <is>
          <t>Tuesday</t>
        </is>
      </c>
      <c r="H424" t="inlineStr">
        <is>
          <t>Monthly - Tuesday</t>
        </is>
      </c>
      <c r="I424" t="inlineStr">
        <is>
          <t>Monthly - Tuesday</t>
        </is>
      </c>
      <c r="J424" t="inlineStr">
        <is>
          <t>Month+8 Expiry</t>
        </is>
      </c>
      <c r="K424" s="25" t="n">
        <v>1207</v>
      </c>
      <c r="L424" s="26" t="n">
        <v>2.3502</v>
      </c>
      <c r="M424" s="26" t="n">
        <v>0.055</v>
      </c>
    </row>
    <row r="425" ht="16" customHeight="1">
      <c r="A425" t="inlineStr">
        <is>
          <t>03-Oct-2025</t>
        </is>
      </c>
      <c r="B425" t="inlineStr">
        <is>
          <t>Friday</t>
        </is>
      </c>
      <c r="C425" t="inlineStr">
        <is>
          <t>Week1-Oct-2025</t>
        </is>
      </c>
      <c r="D425" s="78" t="n">
        <v>45931</v>
      </c>
      <c r="E425" t="inlineStr">
        <is>
          <t>Q3FY26</t>
        </is>
      </c>
      <c r="F425" t="inlineStr">
        <is>
          <t>29-Sep-2026</t>
        </is>
      </c>
      <c r="G425" t="inlineStr">
        <is>
          <t>Tuesday</t>
        </is>
      </c>
      <c r="H425" t="inlineStr">
        <is>
          <t>Monthly - Tuesday</t>
        </is>
      </c>
      <c r="I425" t="inlineStr">
        <is>
          <t>Monthly - Tuesday</t>
        </is>
      </c>
      <c r="J425" t="inlineStr">
        <is>
          <t>Month+11 Expiry</t>
        </is>
      </c>
      <c r="K425" s="25" t="n">
        <v>0</v>
      </c>
      <c r="L425" s="26" t="n">
        <v>0</v>
      </c>
      <c r="M425" s="26" t="n">
        <v>0</v>
      </c>
    </row>
    <row r="426" ht="16" customHeight="1">
      <c r="A426" t="inlineStr">
        <is>
          <t>03-Oct-2025</t>
        </is>
      </c>
      <c r="B426" t="inlineStr">
        <is>
          <t>Friday</t>
        </is>
      </c>
      <c r="C426" t="inlineStr">
        <is>
          <t>Week1-Oct-2025</t>
        </is>
      </c>
      <c r="D426" s="78" t="n">
        <v>45931</v>
      </c>
      <c r="E426" t="inlineStr">
        <is>
          <t>Q3FY26</t>
        </is>
      </c>
      <c r="F426" t="inlineStr">
        <is>
          <t>29-Dec-2026</t>
        </is>
      </c>
      <c r="G426" t="inlineStr">
        <is>
          <t>Tuesday</t>
        </is>
      </c>
      <c r="H426" t="inlineStr">
        <is>
          <t>Monthly - Tuesday</t>
        </is>
      </c>
      <c r="I426" t="inlineStr">
        <is>
          <t>Monthly - Tuesday</t>
        </is>
      </c>
      <c r="J426" t="inlineStr">
        <is>
          <t>Month+14 Expiry</t>
        </is>
      </c>
      <c r="K426" s="25" t="n">
        <v>725</v>
      </c>
      <c r="L426" s="26" t="n">
        <v>1.4551</v>
      </c>
      <c r="M426" s="26" t="n">
        <v>0.0483</v>
      </c>
    </row>
    <row r="427" ht="16" customHeight="1">
      <c r="A427" t="inlineStr">
        <is>
          <t>03-Oct-2025</t>
        </is>
      </c>
      <c r="B427" t="inlineStr">
        <is>
          <t>Friday</t>
        </is>
      </c>
      <c r="C427" t="inlineStr">
        <is>
          <t>Week1-Oct-2025</t>
        </is>
      </c>
      <c r="D427" s="78" t="n">
        <v>45931</v>
      </c>
      <c r="E427" t="inlineStr">
        <is>
          <t>Q3FY26</t>
        </is>
      </c>
      <c r="F427" t="inlineStr">
        <is>
          <t>29-Jun-2027</t>
        </is>
      </c>
      <c r="G427" t="inlineStr">
        <is>
          <t>Tuesday</t>
        </is>
      </c>
      <c r="H427" t="inlineStr">
        <is>
          <t>Monthly - Tuesday</t>
        </is>
      </c>
      <c r="I427" t="inlineStr">
        <is>
          <t>Monthly - Tuesday</t>
        </is>
      </c>
      <c r="J427" t="inlineStr">
        <is>
          <t>Month+20 Expiry</t>
        </is>
      </c>
      <c r="K427" s="25" t="n">
        <v>0</v>
      </c>
      <c r="L427" s="26" t="n">
        <v>0</v>
      </c>
      <c r="M427" s="26" t="n">
        <v>0</v>
      </c>
    </row>
    <row r="428" ht="16" customHeight="1">
      <c r="A428" t="inlineStr">
        <is>
          <t>03-Oct-2025</t>
        </is>
      </c>
      <c r="B428" t="inlineStr">
        <is>
          <t>Friday</t>
        </is>
      </c>
      <c r="C428" t="inlineStr">
        <is>
          <t>Week1-Oct-2025</t>
        </is>
      </c>
      <c r="D428" s="78" t="n">
        <v>45931</v>
      </c>
      <c r="E428" t="inlineStr">
        <is>
          <t>Q3FY26</t>
        </is>
      </c>
      <c r="F428" t="inlineStr">
        <is>
          <t>28-Dec-2027</t>
        </is>
      </c>
      <c r="G428" t="inlineStr">
        <is>
          <t>Tuesday</t>
        </is>
      </c>
      <c r="H428" t="inlineStr">
        <is>
          <t>Monthly - Tuesday</t>
        </is>
      </c>
      <c r="I428" t="inlineStr">
        <is>
          <t>Monthly - Tuesday</t>
        </is>
      </c>
      <c r="J428" t="inlineStr">
        <is>
          <t>Month+26 Expiry</t>
        </is>
      </c>
      <c r="K428" s="25" t="n">
        <v>4</v>
      </c>
      <c r="L428" s="26" t="n">
        <v>0.0075</v>
      </c>
      <c r="M428" s="26" t="n">
        <v>0.0003</v>
      </c>
    </row>
    <row r="429" ht="16" customHeight="1">
      <c r="A429" t="inlineStr">
        <is>
          <t>03-Oct-2025</t>
        </is>
      </c>
      <c r="B429" t="inlineStr">
        <is>
          <t>Friday</t>
        </is>
      </c>
      <c r="C429" t="inlineStr">
        <is>
          <t>Week1-Oct-2025</t>
        </is>
      </c>
      <c r="D429" s="78" t="n">
        <v>45931</v>
      </c>
      <c r="E429" t="inlineStr">
        <is>
          <t>Q3FY26</t>
        </is>
      </c>
      <c r="F429" t="inlineStr">
        <is>
          <t>27-Jun-2028</t>
        </is>
      </c>
      <c r="G429" t="inlineStr">
        <is>
          <t>Tuesday</t>
        </is>
      </c>
      <c r="H429" t="inlineStr">
        <is>
          <t>Monthly - Tuesday</t>
        </is>
      </c>
      <c r="I429" t="inlineStr">
        <is>
          <t>Monthly - Tuesday</t>
        </is>
      </c>
      <c r="J429" t="inlineStr">
        <is>
          <t>Month+32 Expiry</t>
        </is>
      </c>
      <c r="K429" s="25" t="n">
        <v>0</v>
      </c>
      <c r="L429" s="26" t="n">
        <v>0</v>
      </c>
      <c r="M429" s="26" t="n">
        <v>0</v>
      </c>
    </row>
    <row r="430" ht="16" customHeight="1">
      <c r="A430" t="inlineStr">
        <is>
          <t>03-Oct-2025</t>
        </is>
      </c>
      <c r="B430" t="inlineStr">
        <is>
          <t>Friday</t>
        </is>
      </c>
      <c r="C430" t="inlineStr">
        <is>
          <t>Week1-Oct-2025</t>
        </is>
      </c>
      <c r="D430" s="78" t="n">
        <v>45931</v>
      </c>
      <c r="E430" t="inlineStr">
        <is>
          <t>Q3FY26</t>
        </is>
      </c>
      <c r="F430" t="inlineStr">
        <is>
          <t>26-Dec-2028</t>
        </is>
      </c>
      <c r="G430" t="inlineStr">
        <is>
          <t>Tuesday</t>
        </is>
      </c>
      <c r="H430" t="inlineStr">
        <is>
          <t>Monthly - Tuesday</t>
        </is>
      </c>
      <c r="I430" t="inlineStr">
        <is>
          <t>Monthly - Tuesday</t>
        </is>
      </c>
      <c r="J430" t="inlineStr">
        <is>
          <t>Month+38 Expiry</t>
        </is>
      </c>
      <c r="K430" s="25" t="n">
        <v>0</v>
      </c>
      <c r="L430" s="26" t="n">
        <v>0</v>
      </c>
      <c r="M430" s="26" t="n">
        <v>0</v>
      </c>
    </row>
    <row r="431" ht="16" customHeight="1">
      <c r="A431" t="inlineStr">
        <is>
          <t>03-Oct-2025</t>
        </is>
      </c>
      <c r="B431" t="inlineStr">
        <is>
          <t>Friday</t>
        </is>
      </c>
      <c r="C431" t="inlineStr">
        <is>
          <t>Week1-Oct-2025</t>
        </is>
      </c>
      <c r="D431" s="78" t="n">
        <v>45931</v>
      </c>
      <c r="E431" t="inlineStr">
        <is>
          <t>Q3FY26</t>
        </is>
      </c>
      <c r="F431" t="inlineStr">
        <is>
          <t>26-Jun-2029</t>
        </is>
      </c>
      <c r="G431" t="inlineStr">
        <is>
          <t>Tuesday</t>
        </is>
      </c>
      <c r="H431" t="inlineStr">
        <is>
          <t>Monthly - Tuesday</t>
        </is>
      </c>
      <c r="I431" t="inlineStr">
        <is>
          <t>Monthly - Tuesday</t>
        </is>
      </c>
      <c r="J431" t="inlineStr">
        <is>
          <t>Month+44 Expiry</t>
        </is>
      </c>
      <c r="K431" s="25" t="n">
        <v>0</v>
      </c>
      <c r="L431" s="26" t="n">
        <v>0</v>
      </c>
      <c r="M431" s="26" t="n">
        <v>0</v>
      </c>
    </row>
    <row r="432" ht="16" customHeight="1">
      <c r="A432" t="inlineStr">
        <is>
          <t>03-Oct-2025</t>
        </is>
      </c>
      <c r="B432" t="inlineStr">
        <is>
          <t>Friday</t>
        </is>
      </c>
      <c r="C432" t="inlineStr">
        <is>
          <t>Week1-Oct-2025</t>
        </is>
      </c>
      <c r="D432" s="78" t="n">
        <v>45931</v>
      </c>
      <c r="E432" t="inlineStr">
        <is>
          <t>Q3FY26</t>
        </is>
      </c>
      <c r="F432" t="inlineStr">
        <is>
          <t>24-Dec-2029</t>
        </is>
      </c>
      <c r="G432" t="inlineStr">
        <is>
          <t>Monday</t>
        </is>
      </c>
      <c r="H432" t="inlineStr">
        <is>
          <t>Weekly - Monday</t>
        </is>
      </c>
      <c r="I432" t="inlineStr">
        <is>
          <t>Weekly - Monday</t>
        </is>
      </c>
      <c r="J432" t="inlineStr">
        <is>
          <t>Month+50 Expiry</t>
        </is>
      </c>
      <c r="K432" s="25" t="n">
        <v>0</v>
      </c>
      <c r="L432" s="26" t="n">
        <v>0</v>
      </c>
      <c r="M432" s="26" t="n">
        <v>0</v>
      </c>
    </row>
    <row r="433" ht="16" customHeight="1">
      <c r="A433" t="inlineStr">
        <is>
          <t>03-Oct-2025</t>
        </is>
      </c>
      <c r="B433" t="inlineStr">
        <is>
          <t>Friday</t>
        </is>
      </c>
      <c r="C433" t="inlineStr">
        <is>
          <t>Week1-Oct-2025</t>
        </is>
      </c>
      <c r="D433" s="78" t="n">
        <v>45931</v>
      </c>
      <c r="E433" t="inlineStr">
        <is>
          <t>Q3FY26</t>
        </is>
      </c>
      <c r="F433" t="inlineStr">
        <is>
          <t>25-Jun-2030</t>
        </is>
      </c>
      <c r="G433" t="inlineStr">
        <is>
          <t>Tuesday</t>
        </is>
      </c>
      <c r="H433" t="inlineStr">
        <is>
          <t>Monthly - Tuesday</t>
        </is>
      </c>
      <c r="I433" t="inlineStr">
        <is>
          <t>Monthly - Tuesday</t>
        </is>
      </c>
      <c r="J433" t="inlineStr">
        <is>
          <t>Month+56 Expiry</t>
        </is>
      </c>
      <c r="K433" s="25" t="n">
        <v>0</v>
      </c>
      <c r="L433" s="26" t="n">
        <v>0</v>
      </c>
      <c r="M433" s="26" t="n">
        <v>0</v>
      </c>
    </row>
    <row r="434" ht="16" customHeight="1">
      <c r="A434" t="inlineStr">
        <is>
          <t>06-Oct-2025</t>
        </is>
      </c>
      <c r="B434" t="inlineStr">
        <is>
          <t>Monday</t>
        </is>
      </c>
      <c r="C434" t="inlineStr">
        <is>
          <t>Week1-Oct-2025</t>
        </is>
      </c>
      <c r="D434" s="78" t="n">
        <v>45931</v>
      </c>
      <c r="E434" t="inlineStr">
        <is>
          <t>Q3FY26</t>
        </is>
      </c>
      <c r="F434" t="inlineStr">
        <is>
          <t>07-Oct-2025</t>
        </is>
      </c>
      <c r="G434" t="inlineStr">
        <is>
          <t>Tuesday</t>
        </is>
      </c>
      <c r="H434" t="inlineStr">
        <is>
          <t>Weekly - Tuesday</t>
        </is>
      </c>
      <c r="I434" t="inlineStr">
        <is>
          <t>Weekly - Tuesday</t>
        </is>
      </c>
      <c r="J434" t="inlineStr">
        <is>
          <t>Same Month Expiry</t>
        </is>
      </c>
      <c r="K434" s="25" t="n">
        <v>139433590</v>
      </c>
      <c r="L434" s="26" t="n">
        <v>261207.8196</v>
      </c>
      <c r="M434" s="26" t="n">
        <v>368.1044</v>
      </c>
    </row>
    <row r="435" ht="16" customHeight="1">
      <c r="A435" t="inlineStr">
        <is>
          <t>06-Oct-2025</t>
        </is>
      </c>
      <c r="B435" t="inlineStr">
        <is>
          <t>Monday</t>
        </is>
      </c>
      <c r="C435" t="inlineStr">
        <is>
          <t>Week1-Oct-2025</t>
        </is>
      </c>
      <c r="D435" s="78" t="n">
        <v>45931</v>
      </c>
      <c r="E435" t="inlineStr">
        <is>
          <t>Q3FY26</t>
        </is>
      </c>
      <c r="F435" t="inlineStr">
        <is>
          <t>14-Oct-2025</t>
        </is>
      </c>
      <c r="G435" t="inlineStr">
        <is>
          <t>Tuesday</t>
        </is>
      </c>
      <c r="H435" t="inlineStr">
        <is>
          <t>Weekly - Tuesday</t>
        </is>
      </c>
      <c r="I435" t="inlineStr">
        <is>
          <t>Weekly - Tuesday</t>
        </is>
      </c>
      <c r="J435" t="inlineStr">
        <is>
          <t>Same Month Expiry</t>
        </is>
      </c>
      <c r="K435" s="25" t="n">
        <v>4572736</v>
      </c>
      <c r="L435" s="26" t="n">
        <v>8592.5525</v>
      </c>
      <c r="M435" s="26" t="n">
        <v>24.0243</v>
      </c>
    </row>
    <row r="436" ht="16" customHeight="1">
      <c r="A436" t="inlineStr">
        <is>
          <t>06-Oct-2025</t>
        </is>
      </c>
      <c r="B436" t="inlineStr">
        <is>
          <t>Monday</t>
        </is>
      </c>
      <c r="C436" t="inlineStr">
        <is>
          <t>Week1-Oct-2025</t>
        </is>
      </c>
      <c r="D436" s="78" t="n">
        <v>45931</v>
      </c>
      <c r="E436" t="inlineStr">
        <is>
          <t>Q3FY26</t>
        </is>
      </c>
      <c r="F436" t="inlineStr">
        <is>
          <t>20-Oct-2025</t>
        </is>
      </c>
      <c r="G436" t="inlineStr">
        <is>
          <t>Monday</t>
        </is>
      </c>
      <c r="H436" t="inlineStr">
        <is>
          <t>Weekly - Monday</t>
        </is>
      </c>
      <c r="I436" t="inlineStr">
        <is>
          <t>Weekly - Monday</t>
        </is>
      </c>
      <c r="J436" t="inlineStr">
        <is>
          <t>Same Month Expiry</t>
        </is>
      </c>
      <c r="K436" s="25" t="n">
        <v>241272</v>
      </c>
      <c r="L436" s="26" t="n">
        <v>454.4902</v>
      </c>
      <c r="M436" s="26" t="n">
        <v>1.7531</v>
      </c>
    </row>
    <row r="437" ht="16" customHeight="1">
      <c r="A437" t="inlineStr">
        <is>
          <t>06-Oct-2025</t>
        </is>
      </c>
      <c r="B437" t="inlineStr">
        <is>
          <t>Monday</t>
        </is>
      </c>
      <c r="C437" t="inlineStr">
        <is>
          <t>Week1-Oct-2025</t>
        </is>
      </c>
      <c r="D437" s="78" t="n">
        <v>45931</v>
      </c>
      <c r="E437" t="inlineStr">
        <is>
          <t>Q3FY26</t>
        </is>
      </c>
      <c r="F437" t="inlineStr">
        <is>
          <t>28-Oct-2025</t>
        </is>
      </c>
      <c r="G437" t="inlineStr">
        <is>
          <t>Tuesday</t>
        </is>
      </c>
      <c r="H437" t="inlineStr">
        <is>
          <t>Monthly - Tuesday</t>
        </is>
      </c>
      <c r="I437" t="inlineStr">
        <is>
          <t>Monthly - Tuesday</t>
        </is>
      </c>
      <c r="J437" t="inlineStr">
        <is>
          <t>Same Month Expiry</t>
        </is>
      </c>
      <c r="K437" s="25" t="n">
        <v>1611903</v>
      </c>
      <c r="L437" s="26" t="n">
        <v>3034.2343</v>
      </c>
      <c r="M437" s="26" t="n">
        <v>16.1967</v>
      </c>
    </row>
    <row r="438" ht="16" customHeight="1">
      <c r="A438" t="inlineStr">
        <is>
          <t>06-Oct-2025</t>
        </is>
      </c>
      <c r="B438" t="inlineStr">
        <is>
          <t>Monday</t>
        </is>
      </c>
      <c r="C438" t="inlineStr">
        <is>
          <t>Week1-Oct-2025</t>
        </is>
      </c>
      <c r="D438" s="78" t="n">
        <v>45931</v>
      </c>
      <c r="E438" t="inlineStr">
        <is>
          <t>Q3FY26</t>
        </is>
      </c>
      <c r="F438" t="inlineStr">
        <is>
          <t>04-Nov-2025</t>
        </is>
      </c>
      <c r="G438" t="inlineStr">
        <is>
          <t>Tuesday</t>
        </is>
      </c>
      <c r="H438" t="inlineStr">
        <is>
          <t>Weekly - Tuesday</t>
        </is>
      </c>
      <c r="I438" t="inlineStr">
        <is>
          <t>Weekly - Tuesday</t>
        </is>
      </c>
      <c r="J438" t="inlineStr">
        <is>
          <t>Month+1 Expiry</t>
        </is>
      </c>
      <c r="K438" s="25" t="n">
        <v>5546</v>
      </c>
      <c r="L438" s="26" t="n">
        <v>10.4739</v>
      </c>
      <c r="M438" s="26" t="n">
        <v>0.0672</v>
      </c>
    </row>
    <row r="439" ht="16" customHeight="1">
      <c r="A439" t="inlineStr">
        <is>
          <t>06-Oct-2025</t>
        </is>
      </c>
      <c r="B439" t="inlineStr">
        <is>
          <t>Monday</t>
        </is>
      </c>
      <c r="C439" t="inlineStr">
        <is>
          <t>Week1-Oct-2025</t>
        </is>
      </c>
      <c r="D439" s="78" t="n">
        <v>45931</v>
      </c>
      <c r="E439" t="inlineStr">
        <is>
          <t>Q3FY26</t>
        </is>
      </c>
      <c r="F439" t="inlineStr">
        <is>
          <t>25-Nov-2025</t>
        </is>
      </c>
      <c r="G439" t="inlineStr">
        <is>
          <t>Tuesday</t>
        </is>
      </c>
      <c r="H439" t="inlineStr">
        <is>
          <t>Monthly - Tuesday</t>
        </is>
      </c>
      <c r="I439" t="inlineStr">
        <is>
          <t>Monthly - Tuesday</t>
        </is>
      </c>
      <c r="J439" t="inlineStr">
        <is>
          <t>Month+1 Expiry</t>
        </is>
      </c>
      <c r="K439" s="25" t="n">
        <v>147420</v>
      </c>
      <c r="L439" s="26" t="n">
        <v>278.241</v>
      </c>
      <c r="M439" s="26" t="n">
        <v>1.9195</v>
      </c>
    </row>
    <row r="440" ht="16" customHeight="1">
      <c r="A440" t="inlineStr">
        <is>
          <t>06-Oct-2025</t>
        </is>
      </c>
      <c r="B440" t="inlineStr">
        <is>
          <t>Monday</t>
        </is>
      </c>
      <c r="C440" t="inlineStr">
        <is>
          <t>Week1-Oct-2025</t>
        </is>
      </c>
      <c r="D440" s="78" t="n">
        <v>45931</v>
      </c>
      <c r="E440" t="inlineStr">
        <is>
          <t>Q3FY26</t>
        </is>
      </c>
      <c r="F440" t="inlineStr">
        <is>
          <t>30-Dec-2025</t>
        </is>
      </c>
      <c r="G440" t="inlineStr">
        <is>
          <t>Tuesday</t>
        </is>
      </c>
      <c r="H440" t="inlineStr">
        <is>
          <t>Monthly - Tuesday</t>
        </is>
      </c>
      <c r="I440" t="inlineStr">
        <is>
          <t>Monthly - Tuesday</t>
        </is>
      </c>
      <c r="J440" t="inlineStr">
        <is>
          <t>Month+2 Expiry</t>
        </is>
      </c>
      <c r="K440" s="25" t="n">
        <v>107070</v>
      </c>
      <c r="L440" s="26" t="n">
        <v>199.2278</v>
      </c>
      <c r="M440" s="26" t="n">
        <v>1.9614</v>
      </c>
    </row>
    <row r="441" ht="16" customHeight="1">
      <c r="A441" t="inlineStr">
        <is>
          <t>06-Oct-2025</t>
        </is>
      </c>
      <c r="B441" t="inlineStr">
        <is>
          <t>Monday</t>
        </is>
      </c>
      <c r="C441" t="inlineStr">
        <is>
          <t>Week1-Oct-2025</t>
        </is>
      </c>
      <c r="D441" s="78" t="n">
        <v>45931</v>
      </c>
      <c r="E441" t="inlineStr">
        <is>
          <t>Q3FY26</t>
        </is>
      </c>
      <c r="F441" t="inlineStr">
        <is>
          <t>31-Mar-2026</t>
        </is>
      </c>
      <c r="G441" t="inlineStr">
        <is>
          <t>Tuesday</t>
        </is>
      </c>
      <c r="H441" t="inlineStr">
        <is>
          <t>Monthly - Tuesday</t>
        </is>
      </c>
      <c r="I441" t="inlineStr">
        <is>
          <t>Monthly - Tuesday</t>
        </is>
      </c>
      <c r="J441" t="inlineStr">
        <is>
          <t>Month+5 Expiry</t>
        </is>
      </c>
      <c r="K441" s="25" t="n">
        <v>15433</v>
      </c>
      <c r="L441" s="26" t="n">
        <v>29.6103</v>
      </c>
      <c r="M441" s="26" t="n">
        <v>0.4921</v>
      </c>
    </row>
    <row r="442" ht="16" customHeight="1">
      <c r="A442" t="inlineStr">
        <is>
          <t>06-Oct-2025</t>
        </is>
      </c>
      <c r="B442" t="inlineStr">
        <is>
          <t>Monday</t>
        </is>
      </c>
      <c r="C442" t="inlineStr">
        <is>
          <t>Week1-Oct-2025</t>
        </is>
      </c>
      <c r="D442" s="78" t="n">
        <v>45931</v>
      </c>
      <c r="E442" t="inlineStr">
        <is>
          <t>Q3FY26</t>
        </is>
      </c>
      <c r="F442" t="inlineStr">
        <is>
          <t>30-Jun-2026</t>
        </is>
      </c>
      <c r="G442" t="inlineStr">
        <is>
          <t>Tuesday</t>
        </is>
      </c>
      <c r="H442" t="inlineStr">
        <is>
          <t>Monthly - Tuesday</t>
        </is>
      </c>
      <c r="I442" t="inlineStr">
        <is>
          <t>Monthly - Tuesday</t>
        </is>
      </c>
      <c r="J442" t="inlineStr">
        <is>
          <t>Month+8 Expiry</t>
        </is>
      </c>
      <c r="K442" s="25" t="n">
        <v>2105</v>
      </c>
      <c r="L442" s="26" t="n">
        <v>4.0966</v>
      </c>
      <c r="M442" s="26" t="n">
        <v>0.09370000000000001</v>
      </c>
    </row>
    <row r="443" ht="16" customHeight="1">
      <c r="A443" t="inlineStr">
        <is>
          <t>06-Oct-2025</t>
        </is>
      </c>
      <c r="B443" t="inlineStr">
        <is>
          <t>Monday</t>
        </is>
      </c>
      <c r="C443" t="inlineStr">
        <is>
          <t>Week1-Oct-2025</t>
        </is>
      </c>
      <c r="D443" s="78" t="n">
        <v>45931</v>
      </c>
      <c r="E443" t="inlineStr">
        <is>
          <t>Q3FY26</t>
        </is>
      </c>
      <c r="F443" t="inlineStr">
        <is>
          <t>29-Sep-2026</t>
        </is>
      </c>
      <c r="G443" t="inlineStr">
        <is>
          <t>Tuesday</t>
        </is>
      </c>
      <c r="H443" t="inlineStr">
        <is>
          <t>Monthly - Tuesday</t>
        </is>
      </c>
      <c r="I443" t="inlineStr">
        <is>
          <t>Monthly - Tuesday</t>
        </is>
      </c>
      <c r="J443" t="inlineStr">
        <is>
          <t>Month+11 Expiry</t>
        </is>
      </c>
      <c r="K443" s="25" t="n">
        <v>0</v>
      </c>
      <c r="L443" s="26" t="n">
        <v>0</v>
      </c>
      <c r="M443" s="26" t="n">
        <v>0</v>
      </c>
    </row>
    <row r="444" ht="16" customHeight="1">
      <c r="A444" t="inlineStr">
        <is>
          <t>06-Oct-2025</t>
        </is>
      </c>
      <c r="B444" t="inlineStr">
        <is>
          <t>Monday</t>
        </is>
      </c>
      <c r="C444" t="inlineStr">
        <is>
          <t>Week1-Oct-2025</t>
        </is>
      </c>
      <c r="D444" s="78" t="n">
        <v>45931</v>
      </c>
      <c r="E444" t="inlineStr">
        <is>
          <t>Q3FY26</t>
        </is>
      </c>
      <c r="F444" t="inlineStr">
        <is>
          <t>29-Dec-2026</t>
        </is>
      </c>
      <c r="G444" t="inlineStr">
        <is>
          <t>Tuesday</t>
        </is>
      </c>
      <c r="H444" t="inlineStr">
        <is>
          <t>Monthly - Tuesday</t>
        </is>
      </c>
      <c r="I444" t="inlineStr">
        <is>
          <t>Monthly - Tuesday</t>
        </is>
      </c>
      <c r="J444" t="inlineStr">
        <is>
          <t>Month+14 Expiry</t>
        </is>
      </c>
      <c r="K444" s="25" t="n">
        <v>1044</v>
      </c>
      <c r="L444" s="26" t="n">
        <v>2.0859</v>
      </c>
      <c r="M444" s="26" t="n">
        <v>0.0675</v>
      </c>
    </row>
    <row r="445" ht="16" customHeight="1">
      <c r="A445" t="inlineStr">
        <is>
          <t>06-Oct-2025</t>
        </is>
      </c>
      <c r="B445" t="inlineStr">
        <is>
          <t>Monday</t>
        </is>
      </c>
      <c r="C445" t="inlineStr">
        <is>
          <t>Week1-Oct-2025</t>
        </is>
      </c>
      <c r="D445" s="78" t="n">
        <v>45931</v>
      </c>
      <c r="E445" t="inlineStr">
        <is>
          <t>Q3FY26</t>
        </is>
      </c>
      <c r="F445" t="inlineStr">
        <is>
          <t>29-Jun-2027</t>
        </is>
      </c>
      <c r="G445" t="inlineStr">
        <is>
          <t>Tuesday</t>
        </is>
      </c>
      <c r="H445" t="inlineStr">
        <is>
          <t>Monthly - Tuesday</t>
        </is>
      </c>
      <c r="I445" t="inlineStr">
        <is>
          <t>Monthly - Tuesday</t>
        </is>
      </c>
      <c r="J445" t="inlineStr">
        <is>
          <t>Month+20 Expiry</t>
        </is>
      </c>
      <c r="K445" s="25" t="n">
        <v>0</v>
      </c>
      <c r="L445" s="26" t="n">
        <v>0</v>
      </c>
      <c r="M445" s="26" t="n">
        <v>0</v>
      </c>
    </row>
    <row r="446" ht="16" customHeight="1">
      <c r="A446" t="inlineStr">
        <is>
          <t>06-Oct-2025</t>
        </is>
      </c>
      <c r="B446" t="inlineStr">
        <is>
          <t>Monday</t>
        </is>
      </c>
      <c r="C446" t="inlineStr">
        <is>
          <t>Week1-Oct-2025</t>
        </is>
      </c>
      <c r="D446" s="78" t="n">
        <v>45931</v>
      </c>
      <c r="E446" t="inlineStr">
        <is>
          <t>Q3FY26</t>
        </is>
      </c>
      <c r="F446" t="inlineStr">
        <is>
          <t>28-Dec-2027</t>
        </is>
      </c>
      <c r="G446" t="inlineStr">
        <is>
          <t>Tuesday</t>
        </is>
      </c>
      <c r="H446" t="inlineStr">
        <is>
          <t>Monthly - Tuesday</t>
        </is>
      </c>
      <c r="I446" t="inlineStr">
        <is>
          <t>Monthly - Tuesday</t>
        </is>
      </c>
      <c r="J446" t="inlineStr">
        <is>
          <t>Month+26 Expiry</t>
        </is>
      </c>
      <c r="K446" s="25" t="n">
        <v>0</v>
      </c>
      <c r="L446" s="26" t="n">
        <v>0</v>
      </c>
      <c r="M446" s="26" t="n">
        <v>0</v>
      </c>
    </row>
    <row r="447" ht="16" customHeight="1">
      <c r="A447" t="inlineStr">
        <is>
          <t>06-Oct-2025</t>
        </is>
      </c>
      <c r="B447" t="inlineStr">
        <is>
          <t>Monday</t>
        </is>
      </c>
      <c r="C447" t="inlineStr">
        <is>
          <t>Week1-Oct-2025</t>
        </is>
      </c>
      <c r="D447" s="78" t="n">
        <v>45931</v>
      </c>
      <c r="E447" t="inlineStr">
        <is>
          <t>Q3FY26</t>
        </is>
      </c>
      <c r="F447" t="inlineStr">
        <is>
          <t>27-Jun-2028</t>
        </is>
      </c>
      <c r="G447" t="inlineStr">
        <is>
          <t>Tuesday</t>
        </is>
      </c>
      <c r="H447" t="inlineStr">
        <is>
          <t>Monthly - Tuesday</t>
        </is>
      </c>
      <c r="I447" t="inlineStr">
        <is>
          <t>Monthly - Tuesday</t>
        </is>
      </c>
      <c r="J447" t="inlineStr">
        <is>
          <t>Month+32 Expiry</t>
        </is>
      </c>
      <c r="K447" s="25" t="n">
        <v>0</v>
      </c>
      <c r="L447" s="26" t="n">
        <v>0</v>
      </c>
      <c r="M447" s="26" t="n">
        <v>0</v>
      </c>
    </row>
    <row r="448" ht="16" customHeight="1">
      <c r="A448" t="inlineStr">
        <is>
          <t>06-Oct-2025</t>
        </is>
      </c>
      <c r="B448" t="inlineStr">
        <is>
          <t>Monday</t>
        </is>
      </c>
      <c r="C448" t="inlineStr">
        <is>
          <t>Week1-Oct-2025</t>
        </is>
      </c>
      <c r="D448" s="78" t="n">
        <v>45931</v>
      </c>
      <c r="E448" t="inlineStr">
        <is>
          <t>Q3FY26</t>
        </is>
      </c>
      <c r="F448" t="inlineStr">
        <is>
          <t>26-Dec-2028</t>
        </is>
      </c>
      <c r="G448" t="inlineStr">
        <is>
          <t>Tuesday</t>
        </is>
      </c>
      <c r="H448" t="inlineStr">
        <is>
          <t>Monthly - Tuesday</t>
        </is>
      </c>
      <c r="I448" t="inlineStr">
        <is>
          <t>Monthly - Tuesday</t>
        </is>
      </c>
      <c r="J448" t="inlineStr">
        <is>
          <t>Month+38 Expiry</t>
        </is>
      </c>
      <c r="K448" s="25" t="n">
        <v>2</v>
      </c>
      <c r="L448" s="26" t="n">
        <v>0.0034</v>
      </c>
      <c r="M448" s="26" t="n">
        <v>0.0001</v>
      </c>
    </row>
    <row r="449" ht="16" customHeight="1">
      <c r="A449" t="inlineStr">
        <is>
          <t>06-Oct-2025</t>
        </is>
      </c>
      <c r="B449" t="inlineStr">
        <is>
          <t>Monday</t>
        </is>
      </c>
      <c r="C449" t="inlineStr">
        <is>
          <t>Week1-Oct-2025</t>
        </is>
      </c>
      <c r="D449" s="78" t="n">
        <v>45931</v>
      </c>
      <c r="E449" t="inlineStr">
        <is>
          <t>Q3FY26</t>
        </is>
      </c>
      <c r="F449" t="inlineStr">
        <is>
          <t>26-Jun-2029</t>
        </is>
      </c>
      <c r="G449" t="inlineStr">
        <is>
          <t>Tuesday</t>
        </is>
      </c>
      <c r="H449" t="inlineStr">
        <is>
          <t>Monthly - Tuesday</t>
        </is>
      </c>
      <c r="I449" t="inlineStr">
        <is>
          <t>Monthly - Tuesday</t>
        </is>
      </c>
      <c r="J449" t="inlineStr">
        <is>
          <t>Month+44 Expiry</t>
        </is>
      </c>
      <c r="K449" s="25" t="n">
        <v>0</v>
      </c>
      <c r="L449" s="26" t="n">
        <v>0</v>
      </c>
      <c r="M449" s="26" t="n">
        <v>0</v>
      </c>
    </row>
    <row r="450" ht="16" customHeight="1">
      <c r="A450" t="inlineStr">
        <is>
          <t>06-Oct-2025</t>
        </is>
      </c>
      <c r="B450" t="inlineStr">
        <is>
          <t>Monday</t>
        </is>
      </c>
      <c r="C450" t="inlineStr">
        <is>
          <t>Week1-Oct-2025</t>
        </is>
      </c>
      <c r="D450" s="78" t="n">
        <v>45931</v>
      </c>
      <c r="E450" t="inlineStr">
        <is>
          <t>Q3FY26</t>
        </is>
      </c>
      <c r="F450" t="inlineStr">
        <is>
          <t>24-Dec-2029</t>
        </is>
      </c>
      <c r="G450" t="inlineStr">
        <is>
          <t>Monday</t>
        </is>
      </c>
      <c r="H450" t="inlineStr">
        <is>
          <t>Weekly - Monday</t>
        </is>
      </c>
      <c r="I450" t="inlineStr">
        <is>
          <t>Weekly - Monday</t>
        </is>
      </c>
      <c r="J450" t="inlineStr">
        <is>
          <t>Month+50 Expiry</t>
        </is>
      </c>
      <c r="K450" s="25" t="n">
        <v>0</v>
      </c>
      <c r="L450" s="26" t="n">
        <v>0</v>
      </c>
      <c r="M450" s="26" t="n">
        <v>0</v>
      </c>
    </row>
    <row r="451" ht="16" customHeight="1">
      <c r="A451" t="inlineStr">
        <is>
          <t>06-Oct-2025</t>
        </is>
      </c>
      <c r="B451" t="inlineStr">
        <is>
          <t>Monday</t>
        </is>
      </c>
      <c r="C451" t="inlineStr">
        <is>
          <t>Week1-Oct-2025</t>
        </is>
      </c>
      <c r="D451" s="78" t="n">
        <v>45931</v>
      </c>
      <c r="E451" t="inlineStr">
        <is>
          <t>Q3FY26</t>
        </is>
      </c>
      <c r="F451" t="inlineStr">
        <is>
          <t>25-Jun-2030</t>
        </is>
      </c>
      <c r="G451" t="inlineStr">
        <is>
          <t>Tuesday</t>
        </is>
      </c>
      <c r="H451" t="inlineStr">
        <is>
          <t>Monthly - Tuesday</t>
        </is>
      </c>
      <c r="I451" t="inlineStr">
        <is>
          <t>Monthly - Tuesday</t>
        </is>
      </c>
      <c r="J451" t="inlineStr">
        <is>
          <t>Month+56 Expiry</t>
        </is>
      </c>
      <c r="K451" s="25" t="n">
        <v>0</v>
      </c>
      <c r="L451" s="26" t="n">
        <v>0</v>
      </c>
      <c r="M451" s="26" t="n">
        <v>0</v>
      </c>
    </row>
    <row r="452" ht="16" customHeight="1">
      <c r="A452" t="inlineStr">
        <is>
          <t>07-Oct-2025</t>
        </is>
      </c>
      <c r="B452" t="inlineStr">
        <is>
          <t>Tuesday</t>
        </is>
      </c>
      <c r="C452" t="inlineStr">
        <is>
          <t>Week1-Oct-2025</t>
        </is>
      </c>
      <c r="D452" s="78" t="n">
        <v>45931</v>
      </c>
      <c r="E452" t="inlineStr">
        <is>
          <t>Q3FY26</t>
        </is>
      </c>
      <c r="F452" t="inlineStr">
        <is>
          <t>07-Oct-2025</t>
        </is>
      </c>
      <c r="G452" t="inlineStr">
        <is>
          <t>Tuesday</t>
        </is>
      </c>
      <c r="H452" t="inlineStr">
        <is>
          <t>Weekly - Tuesday</t>
        </is>
      </c>
      <c r="I452" t="inlineStr">
        <is>
          <t>Weekly - Tuesday</t>
        </is>
      </c>
      <c r="J452" t="inlineStr">
        <is>
          <t>Same Month Expiry</t>
        </is>
      </c>
      <c r="K452" s="25" t="n">
        <v>331806540</v>
      </c>
      <c r="L452" s="26" t="n">
        <v>626076.7779</v>
      </c>
      <c r="M452" s="26" t="n">
        <v>524.7833000000001</v>
      </c>
    </row>
    <row r="453" ht="16" customHeight="1">
      <c r="A453" t="inlineStr">
        <is>
          <t>07-Oct-2025</t>
        </is>
      </c>
      <c r="B453" t="inlineStr">
        <is>
          <t>Tuesday</t>
        </is>
      </c>
      <c r="C453" t="inlineStr">
        <is>
          <t>Week1-Oct-2025</t>
        </is>
      </c>
      <c r="D453" s="78" t="n">
        <v>45931</v>
      </c>
      <c r="E453" t="inlineStr">
        <is>
          <t>Q3FY26</t>
        </is>
      </c>
      <c r="F453" t="inlineStr">
        <is>
          <t>14-Oct-2025</t>
        </is>
      </c>
      <c r="G453" t="inlineStr">
        <is>
          <t>Tuesday</t>
        </is>
      </c>
      <c r="H453" t="inlineStr">
        <is>
          <t>Weekly - Tuesday</t>
        </is>
      </c>
      <c r="I453" t="inlineStr">
        <is>
          <t>Weekly - Tuesday</t>
        </is>
      </c>
      <c r="J453" t="inlineStr">
        <is>
          <t>Same Month Expiry</t>
        </is>
      </c>
      <c r="K453" s="25" t="n">
        <v>11375836</v>
      </c>
      <c r="L453" s="26" t="n">
        <v>21496.0723</v>
      </c>
      <c r="M453" s="26" t="n">
        <v>55.6739</v>
      </c>
    </row>
    <row r="454" ht="16" customHeight="1">
      <c r="A454" t="inlineStr">
        <is>
          <t>07-Oct-2025</t>
        </is>
      </c>
      <c r="B454" t="inlineStr">
        <is>
          <t>Tuesday</t>
        </is>
      </c>
      <c r="C454" t="inlineStr">
        <is>
          <t>Week1-Oct-2025</t>
        </is>
      </c>
      <c r="D454" s="78" t="n">
        <v>45931</v>
      </c>
      <c r="E454" t="inlineStr">
        <is>
          <t>Q3FY26</t>
        </is>
      </c>
      <c r="F454" t="inlineStr">
        <is>
          <t>20-Oct-2025</t>
        </is>
      </c>
      <c r="G454" t="inlineStr">
        <is>
          <t>Monday</t>
        </is>
      </c>
      <c r="H454" t="inlineStr">
        <is>
          <t>Weekly - Monday</t>
        </is>
      </c>
      <c r="I454" t="inlineStr">
        <is>
          <t>Weekly - Monday</t>
        </is>
      </c>
      <c r="J454" t="inlineStr">
        <is>
          <t>Same Month Expiry</t>
        </is>
      </c>
      <c r="K454" s="25" t="n">
        <v>416113</v>
      </c>
      <c r="L454" s="26" t="n">
        <v>788.3361</v>
      </c>
      <c r="M454" s="26" t="n">
        <v>2.833</v>
      </c>
    </row>
    <row r="455" ht="16" customHeight="1">
      <c r="A455" t="inlineStr">
        <is>
          <t>07-Oct-2025</t>
        </is>
      </c>
      <c r="B455" t="inlineStr">
        <is>
          <t>Tuesday</t>
        </is>
      </c>
      <c r="C455" t="inlineStr">
        <is>
          <t>Week1-Oct-2025</t>
        </is>
      </c>
      <c r="D455" s="78" t="n">
        <v>45931</v>
      </c>
      <c r="E455" t="inlineStr">
        <is>
          <t>Q3FY26</t>
        </is>
      </c>
      <c r="F455" t="inlineStr">
        <is>
          <t>28-Oct-2025</t>
        </is>
      </c>
      <c r="G455" t="inlineStr">
        <is>
          <t>Tuesday</t>
        </is>
      </c>
      <c r="H455" t="inlineStr">
        <is>
          <t>Monthly - Tuesday</t>
        </is>
      </c>
      <c r="I455" t="inlineStr">
        <is>
          <t>Monthly - Tuesday</t>
        </is>
      </c>
      <c r="J455" t="inlineStr">
        <is>
          <t>Same Month Expiry</t>
        </is>
      </c>
      <c r="K455" s="25" t="n">
        <v>1588259</v>
      </c>
      <c r="L455" s="26" t="n">
        <v>3004.662</v>
      </c>
      <c r="M455" s="26" t="n">
        <v>16.3295</v>
      </c>
    </row>
    <row r="456" ht="16" customHeight="1">
      <c r="A456" t="inlineStr">
        <is>
          <t>07-Oct-2025</t>
        </is>
      </c>
      <c r="B456" t="inlineStr">
        <is>
          <t>Tuesday</t>
        </is>
      </c>
      <c r="C456" t="inlineStr">
        <is>
          <t>Week1-Oct-2025</t>
        </is>
      </c>
      <c r="D456" s="78" t="n">
        <v>45931</v>
      </c>
      <c r="E456" t="inlineStr">
        <is>
          <t>Q3FY26</t>
        </is>
      </c>
      <c r="F456" t="inlineStr">
        <is>
          <t>04-Nov-2025</t>
        </is>
      </c>
      <c r="G456" t="inlineStr">
        <is>
          <t>Tuesday</t>
        </is>
      </c>
      <c r="H456" t="inlineStr">
        <is>
          <t>Weekly - Tuesday</t>
        </is>
      </c>
      <c r="I456" t="inlineStr">
        <is>
          <t>Weekly - Tuesday</t>
        </is>
      </c>
      <c r="J456" t="inlineStr">
        <is>
          <t>Month+1 Expiry</t>
        </is>
      </c>
      <c r="K456" s="25" t="n">
        <v>6550</v>
      </c>
      <c r="L456" s="26" t="n">
        <v>12.382</v>
      </c>
      <c r="M456" s="26" t="n">
        <v>0.0615</v>
      </c>
    </row>
    <row r="457" ht="16" customHeight="1">
      <c r="A457" t="inlineStr">
        <is>
          <t>07-Oct-2025</t>
        </is>
      </c>
      <c r="B457" t="inlineStr">
        <is>
          <t>Tuesday</t>
        </is>
      </c>
      <c r="C457" t="inlineStr">
        <is>
          <t>Week1-Oct-2025</t>
        </is>
      </c>
      <c r="D457" s="78" t="n">
        <v>45931</v>
      </c>
      <c r="E457" t="inlineStr">
        <is>
          <t>Q3FY26</t>
        </is>
      </c>
      <c r="F457" t="inlineStr">
        <is>
          <t>25-Nov-2025</t>
        </is>
      </c>
      <c r="G457" t="inlineStr">
        <is>
          <t>Tuesday</t>
        </is>
      </c>
      <c r="H457" t="inlineStr">
        <is>
          <t>Monthly - Tuesday</t>
        </is>
      </c>
      <c r="I457" t="inlineStr">
        <is>
          <t>Monthly - Tuesday</t>
        </is>
      </c>
      <c r="J457" t="inlineStr">
        <is>
          <t>Month+1 Expiry</t>
        </is>
      </c>
      <c r="K457" s="25" t="n">
        <v>160788</v>
      </c>
      <c r="L457" s="26" t="n">
        <v>304.6988</v>
      </c>
      <c r="M457" s="26" t="n">
        <v>2.0176</v>
      </c>
    </row>
    <row r="458" ht="16" customHeight="1">
      <c r="A458" t="inlineStr">
        <is>
          <t>07-Oct-2025</t>
        </is>
      </c>
      <c r="B458" t="inlineStr">
        <is>
          <t>Tuesday</t>
        </is>
      </c>
      <c r="C458" t="inlineStr">
        <is>
          <t>Week1-Oct-2025</t>
        </is>
      </c>
      <c r="D458" s="78" t="n">
        <v>45931</v>
      </c>
      <c r="E458" t="inlineStr">
        <is>
          <t>Q3FY26</t>
        </is>
      </c>
      <c r="F458" t="inlineStr">
        <is>
          <t>30-Dec-2025</t>
        </is>
      </c>
      <c r="G458" t="inlineStr">
        <is>
          <t>Tuesday</t>
        </is>
      </c>
      <c r="H458" t="inlineStr">
        <is>
          <t>Monthly - Tuesday</t>
        </is>
      </c>
      <c r="I458" t="inlineStr">
        <is>
          <t>Monthly - Tuesday</t>
        </is>
      </c>
      <c r="J458" t="inlineStr">
        <is>
          <t>Month+2 Expiry</t>
        </is>
      </c>
      <c r="K458" s="25" t="n">
        <v>86974</v>
      </c>
      <c r="L458" s="26" t="n">
        <v>164.8221</v>
      </c>
      <c r="M458" s="26" t="n">
        <v>1.9078</v>
      </c>
    </row>
    <row r="459" ht="16" customHeight="1">
      <c r="A459" t="inlineStr">
        <is>
          <t>07-Oct-2025</t>
        </is>
      </c>
      <c r="B459" t="inlineStr">
        <is>
          <t>Tuesday</t>
        </is>
      </c>
      <c r="C459" t="inlineStr">
        <is>
          <t>Week1-Oct-2025</t>
        </is>
      </c>
      <c r="D459" s="78" t="n">
        <v>45931</v>
      </c>
      <c r="E459" t="inlineStr">
        <is>
          <t>Q3FY26</t>
        </is>
      </c>
      <c r="F459" t="inlineStr">
        <is>
          <t>31-Mar-2026</t>
        </is>
      </c>
      <c r="G459" t="inlineStr">
        <is>
          <t>Tuesday</t>
        </is>
      </c>
      <c r="H459" t="inlineStr">
        <is>
          <t>Monthly - Tuesday</t>
        </is>
      </c>
      <c r="I459" t="inlineStr">
        <is>
          <t>Monthly - Tuesday</t>
        </is>
      </c>
      <c r="J459" t="inlineStr">
        <is>
          <t>Month+5 Expiry</t>
        </is>
      </c>
      <c r="K459" s="25" t="n">
        <v>13577</v>
      </c>
      <c r="L459" s="26" t="n">
        <v>26.1764</v>
      </c>
      <c r="M459" s="26" t="n">
        <v>0.4586</v>
      </c>
    </row>
    <row r="460" ht="16" customHeight="1">
      <c r="A460" t="inlineStr">
        <is>
          <t>07-Oct-2025</t>
        </is>
      </c>
      <c r="B460" t="inlineStr">
        <is>
          <t>Tuesday</t>
        </is>
      </c>
      <c r="C460" t="inlineStr">
        <is>
          <t>Week1-Oct-2025</t>
        </is>
      </c>
      <c r="D460" s="78" t="n">
        <v>45931</v>
      </c>
      <c r="E460" t="inlineStr">
        <is>
          <t>Q3FY26</t>
        </is>
      </c>
      <c r="F460" t="inlineStr">
        <is>
          <t>30-Jun-2026</t>
        </is>
      </c>
      <c r="G460" t="inlineStr">
        <is>
          <t>Tuesday</t>
        </is>
      </c>
      <c r="H460" t="inlineStr">
        <is>
          <t>Monthly - Tuesday</t>
        </is>
      </c>
      <c r="I460" t="inlineStr">
        <is>
          <t>Monthly - Tuesday</t>
        </is>
      </c>
      <c r="J460" t="inlineStr">
        <is>
          <t>Month+8 Expiry</t>
        </is>
      </c>
      <c r="K460" s="25" t="n">
        <v>1089</v>
      </c>
      <c r="L460" s="26" t="n">
        <v>2.0854</v>
      </c>
      <c r="M460" s="26" t="n">
        <v>0.0439</v>
      </c>
    </row>
    <row r="461" ht="16" customHeight="1">
      <c r="A461" t="inlineStr">
        <is>
          <t>07-Oct-2025</t>
        </is>
      </c>
      <c r="B461" t="inlineStr">
        <is>
          <t>Tuesday</t>
        </is>
      </c>
      <c r="C461" t="inlineStr">
        <is>
          <t>Week1-Oct-2025</t>
        </is>
      </c>
      <c r="D461" s="78" t="n">
        <v>45931</v>
      </c>
      <c r="E461" t="inlineStr">
        <is>
          <t>Q3FY26</t>
        </is>
      </c>
      <c r="F461" t="inlineStr">
        <is>
          <t>29-Sep-2026</t>
        </is>
      </c>
      <c r="G461" t="inlineStr">
        <is>
          <t>Tuesday</t>
        </is>
      </c>
      <c r="H461" t="inlineStr">
        <is>
          <t>Monthly - Tuesday</t>
        </is>
      </c>
      <c r="I461" t="inlineStr">
        <is>
          <t>Monthly - Tuesday</t>
        </is>
      </c>
      <c r="J461" t="inlineStr">
        <is>
          <t>Month+11 Expiry</t>
        </is>
      </c>
      <c r="K461" s="25" t="n">
        <v>0</v>
      </c>
      <c r="L461" s="26" t="n">
        <v>0</v>
      </c>
      <c r="M461" s="26" t="n">
        <v>0</v>
      </c>
    </row>
    <row r="462" ht="16" customHeight="1">
      <c r="A462" t="inlineStr">
        <is>
          <t>07-Oct-2025</t>
        </is>
      </c>
      <c r="B462" t="inlineStr">
        <is>
          <t>Tuesday</t>
        </is>
      </c>
      <c r="C462" t="inlineStr">
        <is>
          <t>Week1-Oct-2025</t>
        </is>
      </c>
      <c r="D462" s="78" t="n">
        <v>45931</v>
      </c>
      <c r="E462" t="inlineStr">
        <is>
          <t>Q3FY26</t>
        </is>
      </c>
      <c r="F462" t="inlineStr">
        <is>
          <t>29-Dec-2026</t>
        </is>
      </c>
      <c r="G462" t="inlineStr">
        <is>
          <t>Tuesday</t>
        </is>
      </c>
      <c r="H462" t="inlineStr">
        <is>
          <t>Monthly - Tuesday</t>
        </is>
      </c>
      <c r="I462" t="inlineStr">
        <is>
          <t>Monthly - Tuesday</t>
        </is>
      </c>
      <c r="J462" t="inlineStr">
        <is>
          <t>Month+14 Expiry</t>
        </is>
      </c>
      <c r="K462" s="25" t="n">
        <v>811</v>
      </c>
      <c r="L462" s="26" t="n">
        <v>1.6219</v>
      </c>
      <c r="M462" s="26" t="n">
        <v>0.0593</v>
      </c>
    </row>
    <row r="463" ht="16" customHeight="1">
      <c r="A463" t="inlineStr">
        <is>
          <t>07-Oct-2025</t>
        </is>
      </c>
      <c r="B463" t="inlineStr">
        <is>
          <t>Tuesday</t>
        </is>
      </c>
      <c r="C463" t="inlineStr">
        <is>
          <t>Week1-Oct-2025</t>
        </is>
      </c>
      <c r="D463" s="78" t="n">
        <v>45931</v>
      </c>
      <c r="E463" t="inlineStr">
        <is>
          <t>Q3FY26</t>
        </is>
      </c>
      <c r="F463" t="inlineStr">
        <is>
          <t>29-Jun-2027</t>
        </is>
      </c>
      <c r="G463" t="inlineStr">
        <is>
          <t>Tuesday</t>
        </is>
      </c>
      <c r="H463" t="inlineStr">
        <is>
          <t>Monthly - Tuesday</t>
        </is>
      </c>
      <c r="I463" t="inlineStr">
        <is>
          <t>Monthly - Tuesday</t>
        </is>
      </c>
      <c r="J463" t="inlineStr">
        <is>
          <t>Month+20 Expiry</t>
        </is>
      </c>
      <c r="K463" s="25" t="n">
        <v>0</v>
      </c>
      <c r="L463" s="26" t="n">
        <v>0</v>
      </c>
      <c r="M463" s="26" t="n">
        <v>0</v>
      </c>
    </row>
    <row r="464" ht="16" customHeight="1">
      <c r="A464" t="inlineStr">
        <is>
          <t>07-Oct-2025</t>
        </is>
      </c>
      <c r="B464" t="inlineStr">
        <is>
          <t>Tuesday</t>
        </is>
      </c>
      <c r="C464" t="inlineStr">
        <is>
          <t>Week1-Oct-2025</t>
        </is>
      </c>
      <c r="D464" s="78" t="n">
        <v>45931</v>
      </c>
      <c r="E464" t="inlineStr">
        <is>
          <t>Q3FY26</t>
        </is>
      </c>
      <c r="F464" t="inlineStr">
        <is>
          <t>28-Dec-2027</t>
        </is>
      </c>
      <c r="G464" t="inlineStr">
        <is>
          <t>Tuesday</t>
        </is>
      </c>
      <c r="H464" t="inlineStr">
        <is>
          <t>Monthly - Tuesday</t>
        </is>
      </c>
      <c r="I464" t="inlineStr">
        <is>
          <t>Monthly - Tuesday</t>
        </is>
      </c>
      <c r="J464" t="inlineStr">
        <is>
          <t>Month+26 Expiry</t>
        </is>
      </c>
      <c r="K464" s="25" t="n">
        <v>2</v>
      </c>
      <c r="L464" s="26" t="n">
        <v>0.0039</v>
      </c>
      <c r="M464" s="26" t="n">
        <v>0.0001</v>
      </c>
    </row>
    <row r="465" ht="16" customHeight="1">
      <c r="A465" t="inlineStr">
        <is>
          <t>07-Oct-2025</t>
        </is>
      </c>
      <c r="B465" t="inlineStr">
        <is>
          <t>Tuesday</t>
        </is>
      </c>
      <c r="C465" t="inlineStr">
        <is>
          <t>Week1-Oct-2025</t>
        </is>
      </c>
      <c r="D465" s="78" t="n">
        <v>45931</v>
      </c>
      <c r="E465" t="inlineStr">
        <is>
          <t>Q3FY26</t>
        </is>
      </c>
      <c r="F465" t="inlineStr">
        <is>
          <t>27-Jun-2028</t>
        </is>
      </c>
      <c r="G465" t="inlineStr">
        <is>
          <t>Tuesday</t>
        </is>
      </c>
      <c r="H465" t="inlineStr">
        <is>
          <t>Monthly - Tuesday</t>
        </is>
      </c>
      <c r="I465" t="inlineStr">
        <is>
          <t>Monthly - Tuesday</t>
        </is>
      </c>
      <c r="J465" t="inlineStr">
        <is>
          <t>Month+32 Expiry</t>
        </is>
      </c>
      <c r="K465" s="25" t="n">
        <v>0</v>
      </c>
      <c r="L465" s="26" t="n">
        <v>0</v>
      </c>
      <c r="M465" s="26" t="n">
        <v>0</v>
      </c>
    </row>
    <row r="466" ht="16" customHeight="1">
      <c r="A466" t="inlineStr">
        <is>
          <t>07-Oct-2025</t>
        </is>
      </c>
      <c r="B466" t="inlineStr">
        <is>
          <t>Tuesday</t>
        </is>
      </c>
      <c r="C466" t="inlineStr">
        <is>
          <t>Week1-Oct-2025</t>
        </is>
      </c>
      <c r="D466" s="78" t="n">
        <v>45931</v>
      </c>
      <c r="E466" t="inlineStr">
        <is>
          <t>Q3FY26</t>
        </is>
      </c>
      <c r="F466" t="inlineStr">
        <is>
          <t>26-Dec-2028</t>
        </is>
      </c>
      <c r="G466" t="inlineStr">
        <is>
          <t>Tuesday</t>
        </is>
      </c>
      <c r="H466" t="inlineStr">
        <is>
          <t>Monthly - Tuesday</t>
        </is>
      </c>
      <c r="I466" t="inlineStr">
        <is>
          <t>Monthly - Tuesday</t>
        </is>
      </c>
      <c r="J466" t="inlineStr">
        <is>
          <t>Month+38 Expiry</t>
        </is>
      </c>
      <c r="K466" s="25" t="n">
        <v>1</v>
      </c>
      <c r="L466" s="26" t="n">
        <v>0.0018</v>
      </c>
      <c r="M466" s="26" t="n">
        <v>0</v>
      </c>
    </row>
    <row r="467" ht="16" customHeight="1">
      <c r="A467" t="inlineStr">
        <is>
          <t>07-Oct-2025</t>
        </is>
      </c>
      <c r="B467" t="inlineStr">
        <is>
          <t>Tuesday</t>
        </is>
      </c>
      <c r="C467" t="inlineStr">
        <is>
          <t>Week1-Oct-2025</t>
        </is>
      </c>
      <c r="D467" s="78" t="n">
        <v>45931</v>
      </c>
      <c r="E467" t="inlineStr">
        <is>
          <t>Q3FY26</t>
        </is>
      </c>
      <c r="F467" t="inlineStr">
        <is>
          <t>26-Jun-2029</t>
        </is>
      </c>
      <c r="G467" t="inlineStr">
        <is>
          <t>Tuesday</t>
        </is>
      </c>
      <c r="H467" t="inlineStr">
        <is>
          <t>Monthly - Tuesday</t>
        </is>
      </c>
      <c r="I467" t="inlineStr">
        <is>
          <t>Monthly - Tuesday</t>
        </is>
      </c>
      <c r="J467" t="inlineStr">
        <is>
          <t>Month+44 Expiry</t>
        </is>
      </c>
      <c r="K467" s="25" t="n">
        <v>0</v>
      </c>
      <c r="L467" s="26" t="n">
        <v>0</v>
      </c>
      <c r="M467" s="26" t="n">
        <v>0</v>
      </c>
    </row>
    <row r="468" ht="16" customHeight="1">
      <c r="A468" t="inlineStr">
        <is>
          <t>07-Oct-2025</t>
        </is>
      </c>
      <c r="B468" t="inlineStr">
        <is>
          <t>Tuesday</t>
        </is>
      </c>
      <c r="C468" t="inlineStr">
        <is>
          <t>Week1-Oct-2025</t>
        </is>
      </c>
      <c r="D468" s="78" t="n">
        <v>45931</v>
      </c>
      <c r="E468" t="inlineStr">
        <is>
          <t>Q3FY26</t>
        </is>
      </c>
      <c r="F468" t="inlineStr">
        <is>
          <t>24-Dec-2029</t>
        </is>
      </c>
      <c r="G468" t="inlineStr">
        <is>
          <t>Monday</t>
        </is>
      </c>
      <c r="H468" t="inlineStr">
        <is>
          <t>Weekly - Monday</t>
        </is>
      </c>
      <c r="I468" t="inlineStr">
        <is>
          <t>Weekly - Monday</t>
        </is>
      </c>
      <c r="J468" t="inlineStr">
        <is>
          <t>Month+50 Expiry</t>
        </is>
      </c>
      <c r="K468" s="25" t="n">
        <v>0</v>
      </c>
      <c r="L468" s="26" t="n">
        <v>0</v>
      </c>
      <c r="M468" s="26" t="n">
        <v>0</v>
      </c>
    </row>
    <row r="469" ht="16" customHeight="1">
      <c r="A469" t="inlineStr">
        <is>
          <t>07-Oct-2025</t>
        </is>
      </c>
      <c r="B469" t="inlineStr">
        <is>
          <t>Tuesday</t>
        </is>
      </c>
      <c r="C469" t="inlineStr">
        <is>
          <t>Week1-Oct-2025</t>
        </is>
      </c>
      <c r="D469" s="78" t="n">
        <v>45931</v>
      </c>
      <c r="E469" t="inlineStr">
        <is>
          <t>Q3FY26</t>
        </is>
      </c>
      <c r="F469" t="inlineStr">
        <is>
          <t>25-Jun-2030</t>
        </is>
      </c>
      <c r="G469" t="inlineStr">
        <is>
          <t>Tuesday</t>
        </is>
      </c>
      <c r="H469" t="inlineStr">
        <is>
          <t>Monthly - Tuesday</t>
        </is>
      </c>
      <c r="I469" t="inlineStr">
        <is>
          <t>Monthly - Tuesday</t>
        </is>
      </c>
      <c r="J469" t="inlineStr">
        <is>
          <t>Month+56 Expiry</t>
        </is>
      </c>
      <c r="K469" s="25" t="n">
        <v>0</v>
      </c>
      <c r="L469" s="26" t="n">
        <v>0</v>
      </c>
      <c r="M469" s="26" t="n">
        <v>0</v>
      </c>
    </row>
    <row r="470" ht="16" customHeight="1">
      <c r="A470" t="inlineStr">
        <is>
          <t>08-Oct-2025</t>
        </is>
      </c>
      <c r="B470" t="inlineStr">
        <is>
          <t>Wednesday</t>
        </is>
      </c>
      <c r="C470" t="inlineStr">
        <is>
          <t>Week2-Oct-2025</t>
        </is>
      </c>
      <c r="D470" s="78" t="n">
        <v>45931</v>
      </c>
      <c r="E470" t="inlineStr">
        <is>
          <t>Q3FY26</t>
        </is>
      </c>
      <c r="F470" t="inlineStr">
        <is>
          <t>14-Oct-2025</t>
        </is>
      </c>
      <c r="G470" t="inlineStr">
        <is>
          <t>Tuesday</t>
        </is>
      </c>
      <c r="H470" t="inlineStr">
        <is>
          <t>Weekly - Tuesday</t>
        </is>
      </c>
      <c r="I470" t="inlineStr">
        <is>
          <t>Weekly - Tuesday</t>
        </is>
      </c>
      <c r="J470" t="inlineStr">
        <is>
          <t>Same Month Expiry</t>
        </is>
      </c>
      <c r="K470" s="25" t="n">
        <v>73976004</v>
      </c>
      <c r="L470" s="26" t="n">
        <v>139782.8443</v>
      </c>
      <c r="M470" s="26" t="n">
        <v>351.2164</v>
      </c>
    </row>
    <row r="471" ht="16" customHeight="1">
      <c r="A471" t="inlineStr">
        <is>
          <t>08-Oct-2025</t>
        </is>
      </c>
      <c r="B471" t="inlineStr">
        <is>
          <t>Wednesday</t>
        </is>
      </c>
      <c r="C471" t="inlineStr">
        <is>
          <t>Week2-Oct-2025</t>
        </is>
      </c>
      <c r="D471" s="78" t="n">
        <v>45931</v>
      </c>
      <c r="E471" t="inlineStr">
        <is>
          <t>Q3FY26</t>
        </is>
      </c>
      <c r="F471" t="inlineStr">
        <is>
          <t>20-Oct-2025</t>
        </is>
      </c>
      <c r="G471" t="inlineStr">
        <is>
          <t>Monday</t>
        </is>
      </c>
      <c r="H471" t="inlineStr">
        <is>
          <t>Weekly - Monday</t>
        </is>
      </c>
      <c r="I471" t="inlineStr">
        <is>
          <t>Weekly - Monday</t>
        </is>
      </c>
      <c r="J471" t="inlineStr">
        <is>
          <t>Same Month Expiry</t>
        </is>
      </c>
      <c r="K471" s="25" t="n">
        <v>1234466</v>
      </c>
      <c r="L471" s="26" t="n">
        <v>2337.4712</v>
      </c>
      <c r="M471" s="26" t="n">
        <v>8.286899999999999</v>
      </c>
    </row>
    <row r="472" ht="16" customHeight="1">
      <c r="A472" t="inlineStr">
        <is>
          <t>08-Oct-2025</t>
        </is>
      </c>
      <c r="B472" t="inlineStr">
        <is>
          <t>Wednesday</t>
        </is>
      </c>
      <c r="C472" t="inlineStr">
        <is>
          <t>Week2-Oct-2025</t>
        </is>
      </c>
      <c r="D472" s="78" t="n">
        <v>45931</v>
      </c>
      <c r="E472" t="inlineStr">
        <is>
          <t>Q3FY26</t>
        </is>
      </c>
      <c r="F472" t="inlineStr">
        <is>
          <t>28-Oct-2025</t>
        </is>
      </c>
      <c r="G472" t="inlineStr">
        <is>
          <t>Tuesday</t>
        </is>
      </c>
      <c r="H472" t="inlineStr">
        <is>
          <t>Monthly - Tuesday</t>
        </is>
      </c>
      <c r="I472" t="inlineStr">
        <is>
          <t>Monthly - Tuesday</t>
        </is>
      </c>
      <c r="J472" t="inlineStr">
        <is>
          <t>Same Month Expiry</t>
        </is>
      </c>
      <c r="K472" s="25" t="n">
        <v>1675658</v>
      </c>
      <c r="L472" s="26" t="n">
        <v>3178.343</v>
      </c>
      <c r="M472" s="26" t="n">
        <v>15.9616</v>
      </c>
    </row>
    <row r="473" ht="16" customHeight="1">
      <c r="A473" t="inlineStr">
        <is>
          <t>08-Oct-2025</t>
        </is>
      </c>
      <c r="B473" t="inlineStr">
        <is>
          <t>Wednesday</t>
        </is>
      </c>
      <c r="C473" t="inlineStr">
        <is>
          <t>Week2-Oct-2025</t>
        </is>
      </c>
      <c r="D473" s="78" t="n">
        <v>45931</v>
      </c>
      <c r="E473" t="inlineStr">
        <is>
          <t>Q3FY26</t>
        </is>
      </c>
      <c r="F473" t="inlineStr">
        <is>
          <t>04-Nov-2025</t>
        </is>
      </c>
      <c r="G473" t="inlineStr">
        <is>
          <t>Tuesday</t>
        </is>
      </c>
      <c r="H473" t="inlineStr">
        <is>
          <t>Weekly - Tuesday</t>
        </is>
      </c>
      <c r="I473" t="inlineStr">
        <is>
          <t>Weekly - Tuesday</t>
        </is>
      </c>
      <c r="J473" t="inlineStr">
        <is>
          <t>Month+1 Expiry</t>
        </is>
      </c>
      <c r="K473" s="25" t="n">
        <v>10938</v>
      </c>
      <c r="L473" s="26" t="n">
        <v>20.7059</v>
      </c>
      <c r="M473" s="26" t="n">
        <v>0.1379</v>
      </c>
    </row>
    <row r="474" ht="16" customHeight="1">
      <c r="A474" t="inlineStr">
        <is>
          <t>08-Oct-2025</t>
        </is>
      </c>
      <c r="B474" t="inlineStr">
        <is>
          <t>Wednesday</t>
        </is>
      </c>
      <c r="C474" t="inlineStr">
        <is>
          <t>Week2-Oct-2025</t>
        </is>
      </c>
      <c r="D474" s="78" t="n">
        <v>45931</v>
      </c>
      <c r="E474" t="inlineStr">
        <is>
          <t>Q3FY26</t>
        </is>
      </c>
      <c r="F474" t="inlineStr">
        <is>
          <t>11-Nov-2025</t>
        </is>
      </c>
      <c r="G474" t="inlineStr">
        <is>
          <t>Tuesday</t>
        </is>
      </c>
      <c r="H474" t="inlineStr">
        <is>
          <t>Weekly - Tuesday</t>
        </is>
      </c>
      <c r="I474" t="inlineStr">
        <is>
          <t>Weekly - Tuesday</t>
        </is>
      </c>
      <c r="J474" t="inlineStr">
        <is>
          <t>Month+1 Expiry</t>
        </is>
      </c>
      <c r="K474" s="25" t="n">
        <v>436</v>
      </c>
      <c r="L474" s="26" t="n">
        <v>0.827</v>
      </c>
      <c r="M474" s="26" t="n">
        <v>0.0074</v>
      </c>
    </row>
    <row r="475" ht="16" customHeight="1">
      <c r="A475" t="inlineStr">
        <is>
          <t>08-Oct-2025</t>
        </is>
      </c>
      <c r="B475" t="inlineStr">
        <is>
          <t>Wednesday</t>
        </is>
      </c>
      <c r="C475" t="inlineStr">
        <is>
          <t>Week2-Oct-2025</t>
        </is>
      </c>
      <c r="D475" s="78" t="n">
        <v>45931</v>
      </c>
      <c r="E475" t="inlineStr">
        <is>
          <t>Q3FY26</t>
        </is>
      </c>
      <c r="F475" t="inlineStr">
        <is>
          <t>25-Nov-2025</t>
        </is>
      </c>
      <c r="G475" t="inlineStr">
        <is>
          <t>Tuesday</t>
        </is>
      </c>
      <c r="H475" t="inlineStr">
        <is>
          <t>Monthly - Tuesday</t>
        </is>
      </c>
      <c r="I475" t="inlineStr">
        <is>
          <t>Monthly - Tuesday</t>
        </is>
      </c>
      <c r="J475" t="inlineStr">
        <is>
          <t>Month+1 Expiry</t>
        </is>
      </c>
      <c r="K475" s="25" t="n">
        <v>168690</v>
      </c>
      <c r="L475" s="26" t="n">
        <v>320.3778</v>
      </c>
      <c r="M475" s="26" t="n">
        <v>2.2396</v>
      </c>
    </row>
    <row r="476" ht="16" customHeight="1">
      <c r="A476" t="inlineStr">
        <is>
          <t>08-Oct-2025</t>
        </is>
      </c>
      <c r="B476" t="inlineStr">
        <is>
          <t>Wednesday</t>
        </is>
      </c>
      <c r="C476" t="inlineStr">
        <is>
          <t>Week2-Oct-2025</t>
        </is>
      </c>
      <c r="D476" s="78" t="n">
        <v>45931</v>
      </c>
      <c r="E476" t="inlineStr">
        <is>
          <t>Q3FY26</t>
        </is>
      </c>
      <c r="F476" t="inlineStr">
        <is>
          <t>30-Dec-2025</t>
        </is>
      </c>
      <c r="G476" t="inlineStr">
        <is>
          <t>Tuesday</t>
        </is>
      </c>
      <c r="H476" t="inlineStr">
        <is>
          <t>Monthly - Tuesday</t>
        </is>
      </c>
      <c r="I476" t="inlineStr">
        <is>
          <t>Monthly - Tuesday</t>
        </is>
      </c>
      <c r="J476" t="inlineStr">
        <is>
          <t>Month+2 Expiry</t>
        </is>
      </c>
      <c r="K476" s="25" t="n">
        <v>89038</v>
      </c>
      <c r="L476" s="26" t="n">
        <v>167.6411</v>
      </c>
      <c r="M476" s="26" t="n">
        <v>1.6212</v>
      </c>
    </row>
    <row r="477" ht="16" customHeight="1">
      <c r="A477" t="inlineStr">
        <is>
          <t>08-Oct-2025</t>
        </is>
      </c>
      <c r="B477" t="inlineStr">
        <is>
          <t>Wednesday</t>
        </is>
      </c>
      <c r="C477" t="inlineStr">
        <is>
          <t>Week2-Oct-2025</t>
        </is>
      </c>
      <c r="D477" s="78" t="n">
        <v>45931</v>
      </c>
      <c r="E477" t="inlineStr">
        <is>
          <t>Q3FY26</t>
        </is>
      </c>
      <c r="F477" t="inlineStr">
        <is>
          <t>31-Mar-2026</t>
        </is>
      </c>
      <c r="G477" t="inlineStr">
        <is>
          <t>Tuesday</t>
        </is>
      </c>
      <c r="H477" t="inlineStr">
        <is>
          <t>Monthly - Tuesday</t>
        </is>
      </c>
      <c r="I477" t="inlineStr">
        <is>
          <t>Monthly - Tuesday</t>
        </is>
      </c>
      <c r="J477" t="inlineStr">
        <is>
          <t>Month+5 Expiry</t>
        </is>
      </c>
      <c r="K477" s="25" t="n">
        <v>10703</v>
      </c>
      <c r="L477" s="26" t="n">
        <v>20.7485</v>
      </c>
      <c r="M477" s="26" t="n">
        <v>0.3247</v>
      </c>
    </row>
    <row r="478" ht="16" customHeight="1">
      <c r="A478" t="inlineStr">
        <is>
          <t>08-Oct-2025</t>
        </is>
      </c>
      <c r="B478" t="inlineStr">
        <is>
          <t>Wednesday</t>
        </is>
      </c>
      <c r="C478" t="inlineStr">
        <is>
          <t>Week2-Oct-2025</t>
        </is>
      </c>
      <c r="D478" s="78" t="n">
        <v>45931</v>
      </c>
      <c r="E478" t="inlineStr">
        <is>
          <t>Q3FY26</t>
        </is>
      </c>
      <c r="F478" t="inlineStr">
        <is>
          <t>30-Jun-2026</t>
        </is>
      </c>
      <c r="G478" t="inlineStr">
        <is>
          <t>Tuesday</t>
        </is>
      </c>
      <c r="H478" t="inlineStr">
        <is>
          <t>Monthly - Tuesday</t>
        </is>
      </c>
      <c r="I478" t="inlineStr">
        <is>
          <t>Monthly - Tuesday</t>
        </is>
      </c>
      <c r="J478" t="inlineStr">
        <is>
          <t>Month+8 Expiry</t>
        </is>
      </c>
      <c r="K478" s="25" t="n">
        <v>2033</v>
      </c>
      <c r="L478" s="26" t="n">
        <v>4.0016</v>
      </c>
      <c r="M478" s="26" t="n">
        <v>0.1106</v>
      </c>
    </row>
    <row r="479" ht="16" customHeight="1">
      <c r="A479" t="inlineStr">
        <is>
          <t>08-Oct-2025</t>
        </is>
      </c>
      <c r="B479" t="inlineStr">
        <is>
          <t>Wednesday</t>
        </is>
      </c>
      <c r="C479" t="inlineStr">
        <is>
          <t>Week2-Oct-2025</t>
        </is>
      </c>
      <c r="D479" s="78" t="n">
        <v>45931</v>
      </c>
      <c r="E479" t="inlineStr">
        <is>
          <t>Q3FY26</t>
        </is>
      </c>
      <c r="F479" t="inlineStr">
        <is>
          <t>29-Sep-2026</t>
        </is>
      </c>
      <c r="G479" t="inlineStr">
        <is>
          <t>Tuesday</t>
        </is>
      </c>
      <c r="H479" t="inlineStr">
        <is>
          <t>Monthly - Tuesday</t>
        </is>
      </c>
      <c r="I479" t="inlineStr">
        <is>
          <t>Monthly - Tuesday</t>
        </is>
      </c>
      <c r="J479" t="inlineStr">
        <is>
          <t>Month+11 Expiry</t>
        </is>
      </c>
      <c r="K479" s="25" t="n">
        <v>0</v>
      </c>
      <c r="L479" s="26" t="n">
        <v>0</v>
      </c>
      <c r="M479" s="26" t="n">
        <v>0</v>
      </c>
    </row>
    <row r="480" ht="16" customHeight="1">
      <c r="A480" t="inlineStr">
        <is>
          <t>08-Oct-2025</t>
        </is>
      </c>
      <c r="B480" t="inlineStr">
        <is>
          <t>Wednesday</t>
        </is>
      </c>
      <c r="C480" t="inlineStr">
        <is>
          <t>Week2-Oct-2025</t>
        </is>
      </c>
      <c r="D480" s="78" t="n">
        <v>45931</v>
      </c>
      <c r="E480" t="inlineStr">
        <is>
          <t>Q3FY26</t>
        </is>
      </c>
      <c r="F480" t="inlineStr">
        <is>
          <t>29-Dec-2026</t>
        </is>
      </c>
      <c r="G480" t="inlineStr">
        <is>
          <t>Tuesday</t>
        </is>
      </c>
      <c r="H480" t="inlineStr">
        <is>
          <t>Monthly - Tuesday</t>
        </is>
      </c>
      <c r="I480" t="inlineStr">
        <is>
          <t>Monthly - Tuesday</t>
        </is>
      </c>
      <c r="J480" t="inlineStr">
        <is>
          <t>Month+14 Expiry</t>
        </is>
      </c>
      <c r="K480" s="25" t="n">
        <v>1918</v>
      </c>
      <c r="L480" s="26" t="n">
        <v>3.8736</v>
      </c>
      <c r="M480" s="26" t="n">
        <v>0.1611</v>
      </c>
    </row>
    <row r="481" ht="16" customHeight="1">
      <c r="A481" t="inlineStr">
        <is>
          <t>08-Oct-2025</t>
        </is>
      </c>
      <c r="B481" t="inlineStr">
        <is>
          <t>Wednesday</t>
        </is>
      </c>
      <c r="C481" t="inlineStr">
        <is>
          <t>Week2-Oct-2025</t>
        </is>
      </c>
      <c r="D481" s="78" t="n">
        <v>45931</v>
      </c>
      <c r="E481" t="inlineStr">
        <is>
          <t>Q3FY26</t>
        </is>
      </c>
      <c r="F481" t="inlineStr">
        <is>
          <t>29-Jun-2027</t>
        </is>
      </c>
      <c r="G481" t="inlineStr">
        <is>
          <t>Tuesday</t>
        </is>
      </c>
      <c r="H481" t="inlineStr">
        <is>
          <t>Monthly - Tuesday</t>
        </is>
      </c>
      <c r="I481" t="inlineStr">
        <is>
          <t>Monthly - Tuesday</t>
        </is>
      </c>
      <c r="J481" t="inlineStr">
        <is>
          <t>Month+20 Expiry</t>
        </is>
      </c>
      <c r="K481" s="25" t="n">
        <v>0</v>
      </c>
      <c r="L481" s="26" t="n">
        <v>0</v>
      </c>
      <c r="M481" s="26" t="n">
        <v>0</v>
      </c>
    </row>
    <row r="482" ht="16" customHeight="1">
      <c r="A482" t="inlineStr">
        <is>
          <t>08-Oct-2025</t>
        </is>
      </c>
      <c r="B482" t="inlineStr">
        <is>
          <t>Wednesday</t>
        </is>
      </c>
      <c r="C482" t="inlineStr">
        <is>
          <t>Week2-Oct-2025</t>
        </is>
      </c>
      <c r="D482" s="78" t="n">
        <v>45931</v>
      </c>
      <c r="E482" t="inlineStr">
        <is>
          <t>Q3FY26</t>
        </is>
      </c>
      <c r="F482" t="inlineStr">
        <is>
          <t>28-Dec-2027</t>
        </is>
      </c>
      <c r="G482" t="inlineStr">
        <is>
          <t>Tuesday</t>
        </is>
      </c>
      <c r="H482" t="inlineStr">
        <is>
          <t>Monthly - Tuesday</t>
        </is>
      </c>
      <c r="I482" t="inlineStr">
        <is>
          <t>Monthly - Tuesday</t>
        </is>
      </c>
      <c r="J482" t="inlineStr">
        <is>
          <t>Month+26 Expiry</t>
        </is>
      </c>
      <c r="K482" s="25" t="n">
        <v>0</v>
      </c>
      <c r="L482" s="26" t="n">
        <v>0</v>
      </c>
      <c r="M482" s="26" t="n">
        <v>0</v>
      </c>
    </row>
    <row r="483" ht="16" customHeight="1">
      <c r="A483" t="inlineStr">
        <is>
          <t>08-Oct-2025</t>
        </is>
      </c>
      <c r="B483" t="inlineStr">
        <is>
          <t>Wednesday</t>
        </is>
      </c>
      <c r="C483" t="inlineStr">
        <is>
          <t>Week2-Oct-2025</t>
        </is>
      </c>
      <c r="D483" s="78" t="n">
        <v>45931</v>
      </c>
      <c r="E483" t="inlineStr">
        <is>
          <t>Q3FY26</t>
        </is>
      </c>
      <c r="F483" t="inlineStr">
        <is>
          <t>27-Jun-2028</t>
        </is>
      </c>
      <c r="G483" t="inlineStr">
        <is>
          <t>Tuesday</t>
        </is>
      </c>
      <c r="H483" t="inlineStr">
        <is>
          <t>Monthly - Tuesday</t>
        </is>
      </c>
      <c r="I483" t="inlineStr">
        <is>
          <t>Monthly - Tuesday</t>
        </is>
      </c>
      <c r="J483" t="inlineStr">
        <is>
          <t>Month+32 Expiry</t>
        </is>
      </c>
      <c r="K483" s="25" t="n">
        <v>0</v>
      </c>
      <c r="L483" s="26" t="n">
        <v>0</v>
      </c>
      <c r="M483" s="26" t="n">
        <v>0</v>
      </c>
    </row>
    <row r="484" ht="16" customHeight="1">
      <c r="A484" t="inlineStr">
        <is>
          <t>08-Oct-2025</t>
        </is>
      </c>
      <c r="B484" t="inlineStr">
        <is>
          <t>Wednesday</t>
        </is>
      </c>
      <c r="C484" t="inlineStr">
        <is>
          <t>Week2-Oct-2025</t>
        </is>
      </c>
      <c r="D484" s="78" t="n">
        <v>45931</v>
      </c>
      <c r="E484" t="inlineStr">
        <is>
          <t>Q3FY26</t>
        </is>
      </c>
      <c r="F484" t="inlineStr">
        <is>
          <t>26-Dec-2028</t>
        </is>
      </c>
      <c r="G484" t="inlineStr">
        <is>
          <t>Tuesday</t>
        </is>
      </c>
      <c r="H484" t="inlineStr">
        <is>
          <t>Monthly - Tuesday</t>
        </is>
      </c>
      <c r="I484" t="inlineStr">
        <is>
          <t>Monthly - Tuesday</t>
        </is>
      </c>
      <c r="J484" t="inlineStr">
        <is>
          <t>Month+38 Expiry</t>
        </is>
      </c>
      <c r="K484" s="25" t="n">
        <v>0</v>
      </c>
      <c r="L484" s="26" t="n">
        <v>0</v>
      </c>
      <c r="M484" s="26" t="n">
        <v>0</v>
      </c>
    </row>
    <row r="485" ht="16" customHeight="1">
      <c r="A485" t="inlineStr">
        <is>
          <t>08-Oct-2025</t>
        </is>
      </c>
      <c r="B485" t="inlineStr">
        <is>
          <t>Wednesday</t>
        </is>
      </c>
      <c r="C485" t="inlineStr">
        <is>
          <t>Week2-Oct-2025</t>
        </is>
      </c>
      <c r="D485" s="78" t="n">
        <v>45931</v>
      </c>
      <c r="E485" t="inlineStr">
        <is>
          <t>Q3FY26</t>
        </is>
      </c>
      <c r="F485" t="inlineStr">
        <is>
          <t>26-Jun-2029</t>
        </is>
      </c>
      <c r="G485" t="inlineStr">
        <is>
          <t>Tuesday</t>
        </is>
      </c>
      <c r="H485" t="inlineStr">
        <is>
          <t>Monthly - Tuesday</t>
        </is>
      </c>
      <c r="I485" t="inlineStr">
        <is>
          <t>Monthly - Tuesday</t>
        </is>
      </c>
      <c r="J485" t="inlineStr">
        <is>
          <t>Month+44 Expiry</t>
        </is>
      </c>
      <c r="K485" s="25" t="n">
        <v>0</v>
      </c>
      <c r="L485" s="26" t="n">
        <v>0</v>
      </c>
      <c r="M485" s="26" t="n">
        <v>0</v>
      </c>
    </row>
    <row r="486" ht="16" customHeight="1">
      <c r="A486" t="inlineStr">
        <is>
          <t>08-Oct-2025</t>
        </is>
      </c>
      <c r="B486" t="inlineStr">
        <is>
          <t>Wednesday</t>
        </is>
      </c>
      <c r="C486" t="inlineStr">
        <is>
          <t>Week2-Oct-2025</t>
        </is>
      </c>
      <c r="D486" s="78" t="n">
        <v>45931</v>
      </c>
      <c r="E486" t="inlineStr">
        <is>
          <t>Q3FY26</t>
        </is>
      </c>
      <c r="F486" t="inlineStr">
        <is>
          <t>24-Dec-2029</t>
        </is>
      </c>
      <c r="G486" t="inlineStr">
        <is>
          <t>Monday</t>
        </is>
      </c>
      <c r="H486" t="inlineStr">
        <is>
          <t>Weekly - Monday</t>
        </is>
      </c>
      <c r="I486" t="inlineStr">
        <is>
          <t>Weekly - Monday</t>
        </is>
      </c>
      <c r="J486" t="inlineStr">
        <is>
          <t>Month+50 Expiry</t>
        </is>
      </c>
      <c r="K486" s="25" t="n">
        <v>0</v>
      </c>
      <c r="L486" s="26" t="n">
        <v>0</v>
      </c>
      <c r="M486" s="26" t="n">
        <v>0</v>
      </c>
    </row>
    <row r="487" ht="16" customHeight="1">
      <c r="A487" t="inlineStr">
        <is>
          <t>08-Oct-2025</t>
        </is>
      </c>
      <c r="B487" t="inlineStr">
        <is>
          <t>Wednesday</t>
        </is>
      </c>
      <c r="C487" t="inlineStr">
        <is>
          <t>Week2-Oct-2025</t>
        </is>
      </c>
      <c r="D487" s="78" t="n">
        <v>45931</v>
      </c>
      <c r="E487" t="inlineStr">
        <is>
          <t>Q3FY26</t>
        </is>
      </c>
      <c r="F487" t="inlineStr">
        <is>
          <t>25-Jun-2030</t>
        </is>
      </c>
      <c r="G487" t="inlineStr">
        <is>
          <t>Tuesday</t>
        </is>
      </c>
      <c r="H487" t="inlineStr">
        <is>
          <t>Monthly - Tuesday</t>
        </is>
      </c>
      <c r="I487" t="inlineStr">
        <is>
          <t>Monthly - Tuesday</t>
        </is>
      </c>
      <c r="J487" t="inlineStr">
        <is>
          <t>Month+56 Expiry</t>
        </is>
      </c>
      <c r="K487" s="25" t="n">
        <v>0</v>
      </c>
      <c r="L487" s="26" t="n">
        <v>0</v>
      </c>
      <c r="M487" s="26" t="n">
        <v>0</v>
      </c>
    </row>
    <row r="488" ht="16" customHeight="1">
      <c r="A488" t="inlineStr">
        <is>
          <t>09-Oct-2025</t>
        </is>
      </c>
      <c r="B488" t="inlineStr">
        <is>
          <t>Thursday</t>
        </is>
      </c>
      <c r="C488" t="inlineStr">
        <is>
          <t>Week2-Oct-2025</t>
        </is>
      </c>
      <c r="D488" s="78" t="n">
        <v>45931</v>
      </c>
      <c r="E488" t="inlineStr">
        <is>
          <t>Q3FY26</t>
        </is>
      </c>
      <c r="F488" t="inlineStr">
        <is>
          <t>14-Oct-2025</t>
        </is>
      </c>
      <c r="G488" t="inlineStr">
        <is>
          <t>Tuesday</t>
        </is>
      </c>
      <c r="H488" t="inlineStr">
        <is>
          <t>Weekly - Tuesday</t>
        </is>
      </c>
      <c r="I488" t="inlineStr">
        <is>
          <t>Weekly - Tuesday</t>
        </is>
      </c>
      <c r="J488" t="inlineStr">
        <is>
          <t>Same Month Expiry</t>
        </is>
      </c>
      <c r="K488" s="25" t="n">
        <v>64315398</v>
      </c>
      <c r="L488" s="26" t="n">
        <v>121430.0025</v>
      </c>
      <c r="M488" s="26" t="n">
        <v>274.5396</v>
      </c>
    </row>
    <row r="489" ht="16" customHeight="1">
      <c r="A489" t="inlineStr">
        <is>
          <t>09-Oct-2025</t>
        </is>
      </c>
      <c r="B489" t="inlineStr">
        <is>
          <t>Thursday</t>
        </is>
      </c>
      <c r="C489" t="inlineStr">
        <is>
          <t>Week2-Oct-2025</t>
        </is>
      </c>
      <c r="D489" s="78" t="n">
        <v>45931</v>
      </c>
      <c r="E489" t="inlineStr">
        <is>
          <t>Q3FY26</t>
        </is>
      </c>
      <c r="F489" t="inlineStr">
        <is>
          <t>20-Oct-2025</t>
        </is>
      </c>
      <c r="G489" t="inlineStr">
        <is>
          <t>Monday</t>
        </is>
      </c>
      <c r="H489" t="inlineStr">
        <is>
          <t>Weekly - Monday</t>
        </is>
      </c>
      <c r="I489" t="inlineStr">
        <is>
          <t>Weekly - Monday</t>
        </is>
      </c>
      <c r="J489" t="inlineStr">
        <is>
          <t>Same Month Expiry</t>
        </is>
      </c>
      <c r="K489" s="25" t="n">
        <v>1418930</v>
      </c>
      <c r="L489" s="26" t="n">
        <v>2687.4312</v>
      </c>
      <c r="M489" s="26" t="n">
        <v>8.8711</v>
      </c>
    </row>
    <row r="490" ht="16" customHeight="1">
      <c r="A490" t="inlineStr">
        <is>
          <t>09-Oct-2025</t>
        </is>
      </c>
      <c r="B490" t="inlineStr">
        <is>
          <t>Thursday</t>
        </is>
      </c>
      <c r="C490" t="inlineStr">
        <is>
          <t>Week2-Oct-2025</t>
        </is>
      </c>
      <c r="D490" s="78" t="n">
        <v>45931</v>
      </c>
      <c r="E490" t="inlineStr">
        <is>
          <t>Q3FY26</t>
        </is>
      </c>
      <c r="F490" t="inlineStr">
        <is>
          <t>28-Oct-2025</t>
        </is>
      </c>
      <c r="G490" t="inlineStr">
        <is>
          <t>Tuesday</t>
        </is>
      </c>
      <c r="H490" t="inlineStr">
        <is>
          <t>Monthly - Tuesday</t>
        </is>
      </c>
      <c r="I490" t="inlineStr">
        <is>
          <t>Monthly - Tuesday</t>
        </is>
      </c>
      <c r="J490" t="inlineStr">
        <is>
          <t>Same Month Expiry</t>
        </is>
      </c>
      <c r="K490" s="25" t="n">
        <v>1460975</v>
      </c>
      <c r="L490" s="26" t="n">
        <v>2767.0557</v>
      </c>
      <c r="M490" s="26" t="n">
        <v>14.2293</v>
      </c>
    </row>
    <row r="491" ht="16" customHeight="1">
      <c r="A491" t="inlineStr">
        <is>
          <t>09-Oct-2025</t>
        </is>
      </c>
      <c r="B491" t="inlineStr">
        <is>
          <t>Thursday</t>
        </is>
      </c>
      <c r="C491" t="inlineStr">
        <is>
          <t>Week2-Oct-2025</t>
        </is>
      </c>
      <c r="D491" s="78" t="n">
        <v>45931</v>
      </c>
      <c r="E491" t="inlineStr">
        <is>
          <t>Q3FY26</t>
        </is>
      </c>
      <c r="F491" t="inlineStr">
        <is>
          <t>04-Nov-2025</t>
        </is>
      </c>
      <c r="G491" t="inlineStr">
        <is>
          <t>Tuesday</t>
        </is>
      </c>
      <c r="H491" t="inlineStr">
        <is>
          <t>Weekly - Tuesday</t>
        </is>
      </c>
      <c r="I491" t="inlineStr">
        <is>
          <t>Weekly - Tuesday</t>
        </is>
      </c>
      <c r="J491" t="inlineStr">
        <is>
          <t>Month+1 Expiry</t>
        </is>
      </c>
      <c r="K491" s="25" t="n">
        <v>12400</v>
      </c>
      <c r="L491" s="26" t="n">
        <v>23.6968</v>
      </c>
      <c r="M491" s="26" t="n">
        <v>0.1326</v>
      </c>
    </row>
    <row r="492" ht="16" customHeight="1">
      <c r="A492" t="inlineStr">
        <is>
          <t>09-Oct-2025</t>
        </is>
      </c>
      <c r="B492" t="inlineStr">
        <is>
          <t>Thursday</t>
        </is>
      </c>
      <c r="C492" t="inlineStr">
        <is>
          <t>Week2-Oct-2025</t>
        </is>
      </c>
      <c r="D492" s="78" t="n">
        <v>45931</v>
      </c>
      <c r="E492" t="inlineStr">
        <is>
          <t>Q3FY26</t>
        </is>
      </c>
      <c r="F492" t="inlineStr">
        <is>
          <t>11-Nov-2025</t>
        </is>
      </c>
      <c r="G492" t="inlineStr">
        <is>
          <t>Tuesday</t>
        </is>
      </c>
      <c r="H492" t="inlineStr">
        <is>
          <t>Weekly - Tuesday</t>
        </is>
      </c>
      <c r="I492" t="inlineStr">
        <is>
          <t>Weekly - Tuesday</t>
        </is>
      </c>
      <c r="J492" t="inlineStr">
        <is>
          <t>Month+1 Expiry</t>
        </is>
      </c>
      <c r="K492" s="25" t="n">
        <v>1549</v>
      </c>
      <c r="L492" s="26" t="n">
        <v>2.9371</v>
      </c>
      <c r="M492" s="26" t="n">
        <v>0.0213</v>
      </c>
    </row>
    <row r="493" ht="16" customHeight="1">
      <c r="A493" t="inlineStr">
        <is>
          <t>09-Oct-2025</t>
        </is>
      </c>
      <c r="B493" t="inlineStr">
        <is>
          <t>Thursday</t>
        </is>
      </c>
      <c r="C493" t="inlineStr">
        <is>
          <t>Week2-Oct-2025</t>
        </is>
      </c>
      <c r="D493" s="78" t="n">
        <v>45931</v>
      </c>
      <c r="E493" t="inlineStr">
        <is>
          <t>Q3FY26</t>
        </is>
      </c>
      <c r="F493" t="inlineStr">
        <is>
          <t>25-Nov-2025</t>
        </is>
      </c>
      <c r="G493" t="inlineStr">
        <is>
          <t>Tuesday</t>
        </is>
      </c>
      <c r="H493" t="inlineStr">
        <is>
          <t>Monthly - Tuesday</t>
        </is>
      </c>
      <c r="I493" t="inlineStr">
        <is>
          <t>Monthly - Tuesday</t>
        </is>
      </c>
      <c r="J493" t="inlineStr">
        <is>
          <t>Month+1 Expiry</t>
        </is>
      </c>
      <c r="K493" s="25" t="n">
        <v>184524</v>
      </c>
      <c r="L493" s="26" t="n">
        <v>351.1055</v>
      </c>
      <c r="M493" s="26" t="n">
        <v>2.3356</v>
      </c>
    </row>
    <row r="494" ht="16" customHeight="1">
      <c r="A494" t="inlineStr">
        <is>
          <t>09-Oct-2025</t>
        </is>
      </c>
      <c r="B494" t="inlineStr">
        <is>
          <t>Thursday</t>
        </is>
      </c>
      <c r="C494" t="inlineStr">
        <is>
          <t>Week2-Oct-2025</t>
        </is>
      </c>
      <c r="D494" s="78" t="n">
        <v>45931</v>
      </c>
      <c r="E494" t="inlineStr">
        <is>
          <t>Q3FY26</t>
        </is>
      </c>
      <c r="F494" t="inlineStr">
        <is>
          <t>30-Dec-2025</t>
        </is>
      </c>
      <c r="G494" t="inlineStr">
        <is>
          <t>Tuesday</t>
        </is>
      </c>
      <c r="H494" t="inlineStr">
        <is>
          <t>Monthly - Tuesday</t>
        </is>
      </c>
      <c r="I494" t="inlineStr">
        <is>
          <t>Monthly - Tuesday</t>
        </is>
      </c>
      <c r="J494" t="inlineStr">
        <is>
          <t>Month+2 Expiry</t>
        </is>
      </c>
      <c r="K494" s="25" t="n">
        <v>81705</v>
      </c>
      <c r="L494" s="26" t="n">
        <v>155.0028</v>
      </c>
      <c r="M494" s="26" t="n">
        <v>1.8343</v>
      </c>
    </row>
    <row r="495" ht="16" customHeight="1">
      <c r="A495" t="inlineStr">
        <is>
          <t>09-Oct-2025</t>
        </is>
      </c>
      <c r="B495" t="inlineStr">
        <is>
          <t>Thursday</t>
        </is>
      </c>
      <c r="C495" t="inlineStr">
        <is>
          <t>Week2-Oct-2025</t>
        </is>
      </c>
      <c r="D495" s="78" t="n">
        <v>45931</v>
      </c>
      <c r="E495" t="inlineStr">
        <is>
          <t>Q3FY26</t>
        </is>
      </c>
      <c r="F495" t="inlineStr">
        <is>
          <t>31-Mar-2026</t>
        </is>
      </c>
      <c r="G495" t="inlineStr">
        <is>
          <t>Tuesday</t>
        </is>
      </c>
      <c r="H495" t="inlineStr">
        <is>
          <t>Monthly - Tuesday</t>
        </is>
      </c>
      <c r="I495" t="inlineStr">
        <is>
          <t>Monthly - Tuesday</t>
        </is>
      </c>
      <c r="J495" t="inlineStr">
        <is>
          <t>Month+5 Expiry</t>
        </is>
      </c>
      <c r="K495" s="25" t="n">
        <v>10263</v>
      </c>
      <c r="L495" s="26" t="n">
        <v>19.6647</v>
      </c>
      <c r="M495" s="26" t="n">
        <v>0.2644</v>
      </c>
    </row>
    <row r="496" ht="16" customHeight="1">
      <c r="A496" t="inlineStr">
        <is>
          <t>09-Oct-2025</t>
        </is>
      </c>
      <c r="B496" t="inlineStr">
        <is>
          <t>Thursday</t>
        </is>
      </c>
      <c r="C496" t="inlineStr">
        <is>
          <t>Week2-Oct-2025</t>
        </is>
      </c>
      <c r="D496" s="78" t="n">
        <v>45931</v>
      </c>
      <c r="E496" t="inlineStr">
        <is>
          <t>Q3FY26</t>
        </is>
      </c>
      <c r="F496" t="inlineStr">
        <is>
          <t>30-Jun-2026</t>
        </is>
      </c>
      <c r="G496" t="inlineStr">
        <is>
          <t>Tuesday</t>
        </is>
      </c>
      <c r="H496" t="inlineStr">
        <is>
          <t>Monthly - Tuesday</t>
        </is>
      </c>
      <c r="I496" t="inlineStr">
        <is>
          <t>Monthly - Tuesday</t>
        </is>
      </c>
      <c r="J496" t="inlineStr">
        <is>
          <t>Month+8 Expiry</t>
        </is>
      </c>
      <c r="K496" s="25" t="n">
        <v>1286</v>
      </c>
      <c r="L496" s="26" t="n">
        <v>2.4537</v>
      </c>
      <c r="M496" s="26" t="n">
        <v>0.0553</v>
      </c>
    </row>
    <row r="497" ht="16" customHeight="1">
      <c r="A497" t="inlineStr">
        <is>
          <t>09-Oct-2025</t>
        </is>
      </c>
      <c r="B497" t="inlineStr">
        <is>
          <t>Thursday</t>
        </is>
      </c>
      <c r="C497" t="inlineStr">
        <is>
          <t>Week2-Oct-2025</t>
        </is>
      </c>
      <c r="D497" s="78" t="n">
        <v>45931</v>
      </c>
      <c r="E497" t="inlineStr">
        <is>
          <t>Q3FY26</t>
        </is>
      </c>
      <c r="F497" t="inlineStr">
        <is>
          <t>29-Sep-2026</t>
        </is>
      </c>
      <c r="G497" t="inlineStr">
        <is>
          <t>Tuesday</t>
        </is>
      </c>
      <c r="H497" t="inlineStr">
        <is>
          <t>Monthly - Tuesday</t>
        </is>
      </c>
      <c r="I497" t="inlineStr">
        <is>
          <t>Monthly - Tuesday</t>
        </is>
      </c>
      <c r="J497" t="inlineStr">
        <is>
          <t>Month+11 Expiry</t>
        </is>
      </c>
      <c r="K497" s="25" t="n">
        <v>0</v>
      </c>
      <c r="L497" s="26" t="n">
        <v>0</v>
      </c>
      <c r="M497" s="26" t="n">
        <v>0</v>
      </c>
    </row>
    <row r="498" ht="16" customHeight="1">
      <c r="A498" t="inlineStr">
        <is>
          <t>09-Oct-2025</t>
        </is>
      </c>
      <c r="B498" t="inlineStr">
        <is>
          <t>Thursday</t>
        </is>
      </c>
      <c r="C498" t="inlineStr">
        <is>
          <t>Week2-Oct-2025</t>
        </is>
      </c>
      <c r="D498" s="78" t="n">
        <v>45931</v>
      </c>
      <c r="E498" t="inlineStr">
        <is>
          <t>Q3FY26</t>
        </is>
      </c>
      <c r="F498" t="inlineStr">
        <is>
          <t>29-Dec-2026</t>
        </is>
      </c>
      <c r="G498" t="inlineStr">
        <is>
          <t>Tuesday</t>
        </is>
      </c>
      <c r="H498" t="inlineStr">
        <is>
          <t>Monthly - Tuesday</t>
        </is>
      </c>
      <c r="I498" t="inlineStr">
        <is>
          <t>Monthly - Tuesday</t>
        </is>
      </c>
      <c r="J498" t="inlineStr">
        <is>
          <t>Month+14 Expiry</t>
        </is>
      </c>
      <c r="K498" s="25" t="n">
        <v>1339</v>
      </c>
      <c r="L498" s="26" t="n">
        <v>2.7149</v>
      </c>
      <c r="M498" s="26" t="n">
        <v>0.1117</v>
      </c>
    </row>
    <row r="499" ht="16" customHeight="1">
      <c r="A499" t="inlineStr">
        <is>
          <t>09-Oct-2025</t>
        </is>
      </c>
      <c r="B499" t="inlineStr">
        <is>
          <t>Thursday</t>
        </is>
      </c>
      <c r="C499" t="inlineStr">
        <is>
          <t>Week2-Oct-2025</t>
        </is>
      </c>
      <c r="D499" s="78" t="n">
        <v>45931</v>
      </c>
      <c r="E499" t="inlineStr">
        <is>
          <t>Q3FY26</t>
        </is>
      </c>
      <c r="F499" t="inlineStr">
        <is>
          <t>29-Jun-2027</t>
        </is>
      </c>
      <c r="G499" t="inlineStr">
        <is>
          <t>Tuesday</t>
        </is>
      </c>
      <c r="H499" t="inlineStr">
        <is>
          <t>Monthly - Tuesday</t>
        </is>
      </c>
      <c r="I499" t="inlineStr">
        <is>
          <t>Monthly - Tuesday</t>
        </is>
      </c>
      <c r="J499" t="inlineStr">
        <is>
          <t>Month+20 Expiry</t>
        </is>
      </c>
      <c r="K499" s="25" t="n">
        <v>0</v>
      </c>
      <c r="L499" s="26" t="n">
        <v>0</v>
      </c>
      <c r="M499" s="26" t="n">
        <v>0</v>
      </c>
    </row>
    <row r="500" ht="16" customHeight="1">
      <c r="A500" t="inlineStr">
        <is>
          <t>09-Oct-2025</t>
        </is>
      </c>
      <c r="B500" t="inlineStr">
        <is>
          <t>Thursday</t>
        </is>
      </c>
      <c r="C500" t="inlineStr">
        <is>
          <t>Week2-Oct-2025</t>
        </is>
      </c>
      <c r="D500" s="78" t="n">
        <v>45931</v>
      </c>
      <c r="E500" t="inlineStr">
        <is>
          <t>Q3FY26</t>
        </is>
      </c>
      <c r="F500" t="inlineStr">
        <is>
          <t>28-Dec-2027</t>
        </is>
      </c>
      <c r="G500" t="inlineStr">
        <is>
          <t>Tuesday</t>
        </is>
      </c>
      <c r="H500" t="inlineStr">
        <is>
          <t>Monthly - Tuesday</t>
        </is>
      </c>
      <c r="I500" t="inlineStr">
        <is>
          <t>Monthly - Tuesday</t>
        </is>
      </c>
      <c r="J500" t="inlineStr">
        <is>
          <t>Month+26 Expiry</t>
        </is>
      </c>
      <c r="K500" s="25" t="n">
        <v>0</v>
      </c>
      <c r="L500" s="26" t="n">
        <v>0</v>
      </c>
      <c r="M500" s="26" t="n">
        <v>0</v>
      </c>
    </row>
    <row r="501" ht="16" customHeight="1">
      <c r="A501" t="inlineStr">
        <is>
          <t>09-Oct-2025</t>
        </is>
      </c>
      <c r="B501" t="inlineStr">
        <is>
          <t>Thursday</t>
        </is>
      </c>
      <c r="C501" t="inlineStr">
        <is>
          <t>Week2-Oct-2025</t>
        </is>
      </c>
      <c r="D501" s="78" t="n">
        <v>45931</v>
      </c>
      <c r="E501" t="inlineStr">
        <is>
          <t>Q3FY26</t>
        </is>
      </c>
      <c r="F501" t="inlineStr">
        <is>
          <t>27-Jun-2028</t>
        </is>
      </c>
      <c r="G501" t="inlineStr">
        <is>
          <t>Tuesday</t>
        </is>
      </c>
      <c r="H501" t="inlineStr">
        <is>
          <t>Monthly - Tuesday</t>
        </is>
      </c>
      <c r="I501" t="inlineStr">
        <is>
          <t>Monthly - Tuesday</t>
        </is>
      </c>
      <c r="J501" t="inlineStr">
        <is>
          <t>Month+32 Expiry</t>
        </is>
      </c>
      <c r="K501" s="25" t="n">
        <v>0</v>
      </c>
      <c r="L501" s="26" t="n">
        <v>0</v>
      </c>
      <c r="M501" s="26" t="n">
        <v>0</v>
      </c>
    </row>
    <row r="502" ht="16" customHeight="1">
      <c r="A502" t="inlineStr">
        <is>
          <t>09-Oct-2025</t>
        </is>
      </c>
      <c r="B502" t="inlineStr">
        <is>
          <t>Thursday</t>
        </is>
      </c>
      <c r="C502" t="inlineStr">
        <is>
          <t>Week2-Oct-2025</t>
        </is>
      </c>
      <c r="D502" s="78" t="n">
        <v>45931</v>
      </c>
      <c r="E502" t="inlineStr">
        <is>
          <t>Q3FY26</t>
        </is>
      </c>
      <c r="F502" t="inlineStr">
        <is>
          <t>26-Dec-2028</t>
        </is>
      </c>
      <c r="G502" t="inlineStr">
        <is>
          <t>Tuesday</t>
        </is>
      </c>
      <c r="H502" t="inlineStr">
        <is>
          <t>Monthly - Tuesday</t>
        </is>
      </c>
      <c r="I502" t="inlineStr">
        <is>
          <t>Monthly - Tuesday</t>
        </is>
      </c>
      <c r="J502" t="inlineStr">
        <is>
          <t>Month+38 Expiry</t>
        </is>
      </c>
      <c r="K502" s="25" t="n">
        <v>0</v>
      </c>
      <c r="L502" s="26" t="n">
        <v>0</v>
      </c>
      <c r="M502" s="26" t="n">
        <v>0</v>
      </c>
    </row>
    <row r="503" ht="16" customHeight="1">
      <c r="A503" t="inlineStr">
        <is>
          <t>09-Oct-2025</t>
        </is>
      </c>
      <c r="B503" t="inlineStr">
        <is>
          <t>Thursday</t>
        </is>
      </c>
      <c r="C503" t="inlineStr">
        <is>
          <t>Week2-Oct-2025</t>
        </is>
      </c>
      <c r="D503" s="78" t="n">
        <v>45931</v>
      </c>
      <c r="E503" t="inlineStr">
        <is>
          <t>Q3FY26</t>
        </is>
      </c>
      <c r="F503" t="inlineStr">
        <is>
          <t>26-Jun-2029</t>
        </is>
      </c>
      <c r="G503" t="inlineStr">
        <is>
          <t>Tuesday</t>
        </is>
      </c>
      <c r="H503" t="inlineStr">
        <is>
          <t>Monthly - Tuesday</t>
        </is>
      </c>
      <c r="I503" t="inlineStr">
        <is>
          <t>Monthly - Tuesday</t>
        </is>
      </c>
      <c r="J503" t="inlineStr">
        <is>
          <t>Month+44 Expiry</t>
        </is>
      </c>
      <c r="K503" s="25" t="n">
        <v>0</v>
      </c>
      <c r="L503" s="26" t="n">
        <v>0</v>
      </c>
      <c r="M503" s="26" t="n">
        <v>0</v>
      </c>
    </row>
    <row r="504" ht="16" customHeight="1">
      <c r="A504" t="inlineStr">
        <is>
          <t>09-Oct-2025</t>
        </is>
      </c>
      <c r="B504" t="inlineStr">
        <is>
          <t>Thursday</t>
        </is>
      </c>
      <c r="C504" t="inlineStr">
        <is>
          <t>Week2-Oct-2025</t>
        </is>
      </c>
      <c r="D504" s="78" t="n">
        <v>45931</v>
      </c>
      <c r="E504" t="inlineStr">
        <is>
          <t>Q3FY26</t>
        </is>
      </c>
      <c r="F504" t="inlineStr">
        <is>
          <t>24-Dec-2029</t>
        </is>
      </c>
      <c r="G504" t="inlineStr">
        <is>
          <t>Monday</t>
        </is>
      </c>
      <c r="H504" t="inlineStr">
        <is>
          <t>Weekly - Monday</t>
        </is>
      </c>
      <c r="I504" t="inlineStr">
        <is>
          <t>Weekly - Monday</t>
        </is>
      </c>
      <c r="J504" t="inlineStr">
        <is>
          <t>Month+50 Expiry</t>
        </is>
      </c>
      <c r="K504" s="25" t="n">
        <v>0</v>
      </c>
      <c r="L504" s="26" t="n">
        <v>0</v>
      </c>
      <c r="M504" s="26" t="n">
        <v>0</v>
      </c>
    </row>
    <row r="505" ht="16" customHeight="1">
      <c r="A505" t="inlineStr">
        <is>
          <t>09-Oct-2025</t>
        </is>
      </c>
      <c r="B505" t="inlineStr">
        <is>
          <t>Thursday</t>
        </is>
      </c>
      <c r="C505" t="inlineStr">
        <is>
          <t>Week2-Oct-2025</t>
        </is>
      </c>
      <c r="D505" s="78" t="n">
        <v>45931</v>
      </c>
      <c r="E505" t="inlineStr">
        <is>
          <t>Q3FY26</t>
        </is>
      </c>
      <c r="F505" t="inlineStr">
        <is>
          <t>25-Jun-2030</t>
        </is>
      </c>
      <c r="G505" t="inlineStr">
        <is>
          <t>Tuesday</t>
        </is>
      </c>
      <c r="H505" t="inlineStr">
        <is>
          <t>Monthly - Tuesday</t>
        </is>
      </c>
      <c r="I505" t="inlineStr">
        <is>
          <t>Monthly - Tuesday</t>
        </is>
      </c>
      <c r="J505" t="inlineStr">
        <is>
          <t>Month+56 Expiry</t>
        </is>
      </c>
      <c r="K505" s="25" t="n">
        <v>0</v>
      </c>
      <c r="L505" s="26" t="n">
        <v>0</v>
      </c>
      <c r="M505" s="26" t="n">
        <v>0</v>
      </c>
    </row>
    <row r="506" ht="16" customHeight="1">
      <c r="A506" t="inlineStr">
        <is>
          <t>10-Oct-2025</t>
        </is>
      </c>
      <c r="B506" t="inlineStr">
        <is>
          <t>Friday</t>
        </is>
      </c>
      <c r="C506" t="inlineStr">
        <is>
          <t>Week2-Oct-2025</t>
        </is>
      </c>
      <c r="D506" s="78" t="n">
        <v>45931</v>
      </c>
      <c r="E506" t="inlineStr">
        <is>
          <t>Q3FY26</t>
        </is>
      </c>
      <c r="F506" t="inlineStr">
        <is>
          <t>14-Oct-2025</t>
        </is>
      </c>
      <c r="G506" t="inlineStr">
        <is>
          <t>Tuesday</t>
        </is>
      </c>
      <c r="H506" t="inlineStr">
        <is>
          <t>Weekly - Tuesday</t>
        </is>
      </c>
      <c r="I506" t="inlineStr">
        <is>
          <t>Weekly - Tuesday</t>
        </is>
      </c>
      <c r="J506" t="inlineStr">
        <is>
          <t>Same Month Expiry</t>
        </is>
      </c>
      <c r="K506" s="25" t="n">
        <v>93724570</v>
      </c>
      <c r="L506" s="26" t="n">
        <v>177582.1098</v>
      </c>
      <c r="M506" s="26" t="n">
        <v>366.8527</v>
      </c>
    </row>
    <row r="507" ht="16" customHeight="1">
      <c r="A507" t="inlineStr">
        <is>
          <t>10-Oct-2025</t>
        </is>
      </c>
      <c r="B507" t="inlineStr">
        <is>
          <t>Friday</t>
        </is>
      </c>
      <c r="C507" t="inlineStr">
        <is>
          <t>Week2-Oct-2025</t>
        </is>
      </c>
      <c r="D507" s="78" t="n">
        <v>45931</v>
      </c>
      <c r="E507" t="inlineStr">
        <is>
          <t>Q3FY26</t>
        </is>
      </c>
      <c r="F507" t="inlineStr">
        <is>
          <t>20-Oct-2025</t>
        </is>
      </c>
      <c r="G507" t="inlineStr">
        <is>
          <t>Monday</t>
        </is>
      </c>
      <c r="H507" t="inlineStr">
        <is>
          <t>Weekly - Monday</t>
        </is>
      </c>
      <c r="I507" t="inlineStr">
        <is>
          <t>Weekly - Monday</t>
        </is>
      </c>
      <c r="J507" t="inlineStr">
        <is>
          <t>Same Month Expiry</t>
        </is>
      </c>
      <c r="K507" s="25" t="n">
        <v>2263147</v>
      </c>
      <c r="L507" s="26" t="n">
        <v>4307.5806</v>
      </c>
      <c r="M507" s="26" t="n">
        <v>13.4345</v>
      </c>
    </row>
    <row r="508" ht="16" customHeight="1">
      <c r="A508" t="inlineStr">
        <is>
          <t>10-Oct-2025</t>
        </is>
      </c>
      <c r="B508" t="inlineStr">
        <is>
          <t>Friday</t>
        </is>
      </c>
      <c r="C508" t="inlineStr">
        <is>
          <t>Week2-Oct-2025</t>
        </is>
      </c>
      <c r="D508" s="78" t="n">
        <v>45931</v>
      </c>
      <c r="E508" t="inlineStr">
        <is>
          <t>Q3FY26</t>
        </is>
      </c>
      <c r="F508" t="inlineStr">
        <is>
          <t>28-Oct-2025</t>
        </is>
      </c>
      <c r="G508" t="inlineStr">
        <is>
          <t>Tuesday</t>
        </is>
      </c>
      <c r="H508" t="inlineStr">
        <is>
          <t>Monthly - Tuesday</t>
        </is>
      </c>
      <c r="I508" t="inlineStr">
        <is>
          <t>Monthly - Tuesday</t>
        </is>
      </c>
      <c r="J508" t="inlineStr">
        <is>
          <t>Same Month Expiry</t>
        </is>
      </c>
      <c r="K508" s="25" t="n">
        <v>1847985</v>
      </c>
      <c r="L508" s="26" t="n">
        <v>3514.9546</v>
      </c>
      <c r="M508" s="26" t="n">
        <v>17.7574</v>
      </c>
    </row>
    <row r="509" ht="16" customHeight="1">
      <c r="A509" t="inlineStr">
        <is>
          <t>10-Oct-2025</t>
        </is>
      </c>
      <c r="B509" t="inlineStr">
        <is>
          <t>Friday</t>
        </is>
      </c>
      <c r="C509" t="inlineStr">
        <is>
          <t>Week2-Oct-2025</t>
        </is>
      </c>
      <c r="D509" s="78" t="n">
        <v>45931</v>
      </c>
      <c r="E509" t="inlineStr">
        <is>
          <t>Q3FY26</t>
        </is>
      </c>
      <c r="F509" t="inlineStr">
        <is>
          <t>04-Nov-2025</t>
        </is>
      </c>
      <c r="G509" t="inlineStr">
        <is>
          <t>Tuesday</t>
        </is>
      </c>
      <c r="H509" t="inlineStr">
        <is>
          <t>Weekly - Tuesday</t>
        </is>
      </c>
      <c r="I509" t="inlineStr">
        <is>
          <t>Weekly - Tuesday</t>
        </is>
      </c>
      <c r="J509" t="inlineStr">
        <is>
          <t>Month+1 Expiry</t>
        </is>
      </c>
      <c r="K509" s="25" t="n">
        <v>23117</v>
      </c>
      <c r="L509" s="26" t="n">
        <v>44.16</v>
      </c>
      <c r="M509" s="26" t="n">
        <v>0.2185</v>
      </c>
    </row>
    <row r="510" ht="16" customHeight="1">
      <c r="A510" t="inlineStr">
        <is>
          <t>10-Oct-2025</t>
        </is>
      </c>
      <c r="B510" t="inlineStr">
        <is>
          <t>Friday</t>
        </is>
      </c>
      <c r="C510" t="inlineStr">
        <is>
          <t>Week2-Oct-2025</t>
        </is>
      </c>
      <c r="D510" s="78" t="n">
        <v>45931</v>
      </c>
      <c r="E510" t="inlineStr">
        <is>
          <t>Q3FY26</t>
        </is>
      </c>
      <c r="F510" t="inlineStr">
        <is>
          <t>11-Nov-2025</t>
        </is>
      </c>
      <c r="G510" t="inlineStr">
        <is>
          <t>Tuesday</t>
        </is>
      </c>
      <c r="H510" t="inlineStr">
        <is>
          <t>Weekly - Tuesday</t>
        </is>
      </c>
      <c r="I510" t="inlineStr">
        <is>
          <t>Weekly - Tuesday</t>
        </is>
      </c>
      <c r="J510" t="inlineStr">
        <is>
          <t>Month+1 Expiry</t>
        </is>
      </c>
      <c r="K510" s="25" t="n">
        <v>2614</v>
      </c>
      <c r="L510" s="26" t="n">
        <v>4.9954</v>
      </c>
      <c r="M510" s="26" t="n">
        <v>0.0359</v>
      </c>
    </row>
    <row r="511" ht="16" customHeight="1">
      <c r="A511" t="inlineStr">
        <is>
          <t>10-Oct-2025</t>
        </is>
      </c>
      <c r="B511" t="inlineStr">
        <is>
          <t>Friday</t>
        </is>
      </c>
      <c r="C511" t="inlineStr">
        <is>
          <t>Week2-Oct-2025</t>
        </is>
      </c>
      <c r="D511" s="78" t="n">
        <v>45931</v>
      </c>
      <c r="E511" t="inlineStr">
        <is>
          <t>Q3FY26</t>
        </is>
      </c>
      <c r="F511" t="inlineStr">
        <is>
          <t>25-Nov-2025</t>
        </is>
      </c>
      <c r="G511" t="inlineStr">
        <is>
          <t>Tuesday</t>
        </is>
      </c>
      <c r="H511" t="inlineStr">
        <is>
          <t>Monthly - Tuesday</t>
        </is>
      </c>
      <c r="I511" t="inlineStr">
        <is>
          <t>Monthly - Tuesday</t>
        </is>
      </c>
      <c r="J511" t="inlineStr">
        <is>
          <t>Month+1 Expiry</t>
        </is>
      </c>
      <c r="K511" s="25" t="n">
        <v>241260</v>
      </c>
      <c r="L511" s="26" t="n">
        <v>458.9591</v>
      </c>
      <c r="M511" s="26" t="n">
        <v>3.4363</v>
      </c>
    </row>
    <row r="512" ht="16" customHeight="1">
      <c r="A512" t="inlineStr">
        <is>
          <t>10-Oct-2025</t>
        </is>
      </c>
      <c r="B512" t="inlineStr">
        <is>
          <t>Friday</t>
        </is>
      </c>
      <c r="C512" t="inlineStr">
        <is>
          <t>Week2-Oct-2025</t>
        </is>
      </c>
      <c r="D512" s="78" t="n">
        <v>45931</v>
      </c>
      <c r="E512" t="inlineStr">
        <is>
          <t>Q3FY26</t>
        </is>
      </c>
      <c r="F512" t="inlineStr">
        <is>
          <t>30-Dec-2025</t>
        </is>
      </c>
      <c r="G512" t="inlineStr">
        <is>
          <t>Tuesday</t>
        </is>
      </c>
      <c r="H512" t="inlineStr">
        <is>
          <t>Monthly - Tuesday</t>
        </is>
      </c>
      <c r="I512" t="inlineStr">
        <is>
          <t>Monthly - Tuesday</t>
        </is>
      </c>
      <c r="J512" t="inlineStr">
        <is>
          <t>Month+2 Expiry</t>
        </is>
      </c>
      <c r="K512" s="25" t="n">
        <v>128509</v>
      </c>
      <c r="L512" s="26" t="n">
        <v>244.4493</v>
      </c>
      <c r="M512" s="26" t="n">
        <v>2.9237</v>
      </c>
    </row>
    <row r="513" ht="16" customHeight="1">
      <c r="A513" t="inlineStr">
        <is>
          <t>10-Oct-2025</t>
        </is>
      </c>
      <c r="B513" t="inlineStr">
        <is>
          <t>Friday</t>
        </is>
      </c>
      <c r="C513" t="inlineStr">
        <is>
          <t>Week2-Oct-2025</t>
        </is>
      </c>
      <c r="D513" s="78" t="n">
        <v>45931</v>
      </c>
      <c r="E513" t="inlineStr">
        <is>
          <t>Q3FY26</t>
        </is>
      </c>
      <c r="F513" t="inlineStr">
        <is>
          <t>31-Mar-2026</t>
        </is>
      </c>
      <c r="G513" t="inlineStr">
        <is>
          <t>Tuesday</t>
        </is>
      </c>
      <c r="H513" t="inlineStr">
        <is>
          <t>Monthly - Tuesday</t>
        </is>
      </c>
      <c r="I513" t="inlineStr">
        <is>
          <t>Monthly - Tuesday</t>
        </is>
      </c>
      <c r="J513" t="inlineStr">
        <is>
          <t>Month+5 Expiry</t>
        </is>
      </c>
      <c r="K513" s="25" t="n">
        <v>15312</v>
      </c>
      <c r="L513" s="26" t="n">
        <v>29.4733</v>
      </c>
      <c r="M513" s="26" t="n">
        <v>0.4549</v>
      </c>
    </row>
    <row r="514" ht="16" customHeight="1">
      <c r="A514" t="inlineStr">
        <is>
          <t>10-Oct-2025</t>
        </is>
      </c>
      <c r="B514" t="inlineStr">
        <is>
          <t>Friday</t>
        </is>
      </c>
      <c r="C514" t="inlineStr">
        <is>
          <t>Week2-Oct-2025</t>
        </is>
      </c>
      <c r="D514" s="78" t="n">
        <v>45931</v>
      </c>
      <c r="E514" t="inlineStr">
        <is>
          <t>Q3FY26</t>
        </is>
      </c>
      <c r="F514" t="inlineStr">
        <is>
          <t>30-Jun-2026</t>
        </is>
      </c>
      <c r="G514" t="inlineStr">
        <is>
          <t>Tuesday</t>
        </is>
      </c>
      <c r="H514" t="inlineStr">
        <is>
          <t>Monthly - Tuesday</t>
        </is>
      </c>
      <c r="I514" t="inlineStr">
        <is>
          <t>Monthly - Tuesday</t>
        </is>
      </c>
      <c r="J514" t="inlineStr">
        <is>
          <t>Month+8 Expiry</t>
        </is>
      </c>
      <c r="K514" s="25" t="n">
        <v>1789</v>
      </c>
      <c r="L514" s="26" t="n">
        <v>3.4602</v>
      </c>
      <c r="M514" s="26" t="n">
        <v>0.07770000000000001</v>
      </c>
    </row>
    <row r="515" ht="16" customHeight="1">
      <c r="A515" t="inlineStr">
        <is>
          <t>10-Oct-2025</t>
        </is>
      </c>
      <c r="B515" t="inlineStr">
        <is>
          <t>Friday</t>
        </is>
      </c>
      <c r="C515" t="inlineStr">
        <is>
          <t>Week2-Oct-2025</t>
        </is>
      </c>
      <c r="D515" s="78" t="n">
        <v>45931</v>
      </c>
      <c r="E515" t="inlineStr">
        <is>
          <t>Q3FY26</t>
        </is>
      </c>
      <c r="F515" t="inlineStr">
        <is>
          <t>29-Sep-2026</t>
        </is>
      </c>
      <c r="G515" t="inlineStr">
        <is>
          <t>Tuesday</t>
        </is>
      </c>
      <c r="H515" t="inlineStr">
        <is>
          <t>Monthly - Tuesday</t>
        </is>
      </c>
      <c r="I515" t="inlineStr">
        <is>
          <t>Monthly - Tuesday</t>
        </is>
      </c>
      <c r="J515" t="inlineStr">
        <is>
          <t>Month+11 Expiry</t>
        </is>
      </c>
      <c r="K515" s="25" t="n">
        <v>0</v>
      </c>
      <c r="L515" s="26" t="n">
        <v>0</v>
      </c>
      <c r="M515" s="26" t="n">
        <v>0</v>
      </c>
    </row>
    <row r="516" ht="16" customHeight="1">
      <c r="A516" t="inlineStr">
        <is>
          <t>10-Oct-2025</t>
        </is>
      </c>
      <c r="B516" t="inlineStr">
        <is>
          <t>Friday</t>
        </is>
      </c>
      <c r="C516" t="inlineStr">
        <is>
          <t>Week2-Oct-2025</t>
        </is>
      </c>
      <c r="D516" s="78" t="n">
        <v>45931</v>
      </c>
      <c r="E516" t="inlineStr">
        <is>
          <t>Q3FY26</t>
        </is>
      </c>
      <c r="F516" t="inlineStr">
        <is>
          <t>29-Dec-2026</t>
        </is>
      </c>
      <c r="G516" t="inlineStr">
        <is>
          <t>Tuesday</t>
        </is>
      </c>
      <c r="H516" t="inlineStr">
        <is>
          <t>Monthly - Tuesday</t>
        </is>
      </c>
      <c r="I516" t="inlineStr">
        <is>
          <t>Monthly - Tuesday</t>
        </is>
      </c>
      <c r="J516" t="inlineStr">
        <is>
          <t>Month+14 Expiry</t>
        </is>
      </c>
      <c r="K516" s="25" t="n">
        <v>1218</v>
      </c>
      <c r="L516" s="26" t="n">
        <v>2.4436</v>
      </c>
      <c r="M516" s="26" t="n">
        <v>0.0814</v>
      </c>
    </row>
    <row r="517" ht="16" customHeight="1">
      <c r="A517" t="inlineStr">
        <is>
          <t>10-Oct-2025</t>
        </is>
      </c>
      <c r="B517" t="inlineStr">
        <is>
          <t>Friday</t>
        </is>
      </c>
      <c r="C517" t="inlineStr">
        <is>
          <t>Week2-Oct-2025</t>
        </is>
      </c>
      <c r="D517" s="78" t="n">
        <v>45931</v>
      </c>
      <c r="E517" t="inlineStr">
        <is>
          <t>Q3FY26</t>
        </is>
      </c>
      <c r="F517" t="inlineStr">
        <is>
          <t>29-Jun-2027</t>
        </is>
      </c>
      <c r="G517" t="inlineStr">
        <is>
          <t>Tuesday</t>
        </is>
      </c>
      <c r="H517" t="inlineStr">
        <is>
          <t>Monthly - Tuesday</t>
        </is>
      </c>
      <c r="I517" t="inlineStr">
        <is>
          <t>Monthly - Tuesday</t>
        </is>
      </c>
      <c r="J517" t="inlineStr">
        <is>
          <t>Month+20 Expiry</t>
        </is>
      </c>
      <c r="K517" s="25" t="n">
        <v>0</v>
      </c>
      <c r="L517" s="26" t="n">
        <v>0</v>
      </c>
      <c r="M517" s="26" t="n">
        <v>0</v>
      </c>
    </row>
    <row r="518" ht="16" customHeight="1">
      <c r="A518" t="inlineStr">
        <is>
          <t>10-Oct-2025</t>
        </is>
      </c>
      <c r="B518" t="inlineStr">
        <is>
          <t>Friday</t>
        </is>
      </c>
      <c r="C518" t="inlineStr">
        <is>
          <t>Week2-Oct-2025</t>
        </is>
      </c>
      <c r="D518" s="78" t="n">
        <v>45931</v>
      </c>
      <c r="E518" t="inlineStr">
        <is>
          <t>Q3FY26</t>
        </is>
      </c>
      <c r="F518" t="inlineStr">
        <is>
          <t>28-Dec-2027</t>
        </is>
      </c>
      <c r="G518" t="inlineStr">
        <is>
          <t>Tuesday</t>
        </is>
      </c>
      <c r="H518" t="inlineStr">
        <is>
          <t>Monthly - Tuesday</t>
        </is>
      </c>
      <c r="I518" t="inlineStr">
        <is>
          <t>Monthly - Tuesday</t>
        </is>
      </c>
      <c r="J518" t="inlineStr">
        <is>
          <t>Month+26 Expiry</t>
        </is>
      </c>
      <c r="K518" s="25" t="n">
        <v>8</v>
      </c>
      <c r="L518" s="26" t="n">
        <v>0.0155</v>
      </c>
      <c r="M518" s="26" t="n">
        <v>0.0005999999999999999</v>
      </c>
    </row>
    <row r="519" ht="16" customHeight="1">
      <c r="A519" t="inlineStr">
        <is>
          <t>10-Oct-2025</t>
        </is>
      </c>
      <c r="B519" t="inlineStr">
        <is>
          <t>Friday</t>
        </is>
      </c>
      <c r="C519" t="inlineStr">
        <is>
          <t>Week2-Oct-2025</t>
        </is>
      </c>
      <c r="D519" s="78" t="n">
        <v>45931</v>
      </c>
      <c r="E519" t="inlineStr">
        <is>
          <t>Q3FY26</t>
        </is>
      </c>
      <c r="F519" t="inlineStr">
        <is>
          <t>27-Jun-2028</t>
        </is>
      </c>
      <c r="G519" t="inlineStr">
        <is>
          <t>Tuesday</t>
        </is>
      </c>
      <c r="H519" t="inlineStr">
        <is>
          <t>Monthly - Tuesday</t>
        </is>
      </c>
      <c r="I519" t="inlineStr">
        <is>
          <t>Monthly - Tuesday</t>
        </is>
      </c>
      <c r="J519" t="inlineStr">
        <is>
          <t>Month+32 Expiry</t>
        </is>
      </c>
      <c r="K519" s="25" t="n">
        <v>0</v>
      </c>
      <c r="L519" s="26" t="n">
        <v>0</v>
      </c>
      <c r="M519" s="26" t="n">
        <v>0</v>
      </c>
    </row>
    <row r="520" ht="16" customHeight="1">
      <c r="A520" t="inlineStr">
        <is>
          <t>10-Oct-2025</t>
        </is>
      </c>
      <c r="B520" t="inlineStr">
        <is>
          <t>Friday</t>
        </is>
      </c>
      <c r="C520" t="inlineStr">
        <is>
          <t>Week2-Oct-2025</t>
        </is>
      </c>
      <c r="D520" s="78" t="n">
        <v>45931</v>
      </c>
      <c r="E520" t="inlineStr">
        <is>
          <t>Q3FY26</t>
        </is>
      </c>
      <c r="F520" t="inlineStr">
        <is>
          <t>26-Dec-2028</t>
        </is>
      </c>
      <c r="G520" t="inlineStr">
        <is>
          <t>Tuesday</t>
        </is>
      </c>
      <c r="H520" t="inlineStr">
        <is>
          <t>Monthly - Tuesday</t>
        </is>
      </c>
      <c r="I520" t="inlineStr">
        <is>
          <t>Monthly - Tuesday</t>
        </is>
      </c>
      <c r="J520" t="inlineStr">
        <is>
          <t>Month+38 Expiry</t>
        </is>
      </c>
      <c r="K520" s="25" t="n">
        <v>1</v>
      </c>
      <c r="L520" s="26" t="n">
        <v>0.0023</v>
      </c>
      <c r="M520" s="26" t="n">
        <v>0.0002</v>
      </c>
    </row>
    <row r="521" ht="16" customHeight="1">
      <c r="A521" t="inlineStr">
        <is>
          <t>10-Oct-2025</t>
        </is>
      </c>
      <c r="B521" t="inlineStr">
        <is>
          <t>Friday</t>
        </is>
      </c>
      <c r="C521" t="inlineStr">
        <is>
          <t>Week2-Oct-2025</t>
        </is>
      </c>
      <c r="D521" s="78" t="n">
        <v>45931</v>
      </c>
      <c r="E521" t="inlineStr">
        <is>
          <t>Q3FY26</t>
        </is>
      </c>
      <c r="F521" t="inlineStr">
        <is>
          <t>26-Jun-2029</t>
        </is>
      </c>
      <c r="G521" t="inlineStr">
        <is>
          <t>Tuesday</t>
        </is>
      </c>
      <c r="H521" t="inlineStr">
        <is>
          <t>Monthly - Tuesday</t>
        </is>
      </c>
      <c r="I521" t="inlineStr">
        <is>
          <t>Monthly - Tuesday</t>
        </is>
      </c>
      <c r="J521" t="inlineStr">
        <is>
          <t>Month+44 Expiry</t>
        </is>
      </c>
      <c r="K521" s="25" t="n">
        <v>0</v>
      </c>
      <c r="L521" s="26" t="n">
        <v>0</v>
      </c>
      <c r="M521" s="26" t="n">
        <v>0</v>
      </c>
    </row>
    <row r="522" ht="16" customHeight="1">
      <c r="A522" t="inlineStr">
        <is>
          <t>10-Oct-2025</t>
        </is>
      </c>
      <c r="B522" t="inlineStr">
        <is>
          <t>Friday</t>
        </is>
      </c>
      <c r="C522" t="inlineStr">
        <is>
          <t>Week2-Oct-2025</t>
        </is>
      </c>
      <c r="D522" s="78" t="n">
        <v>45931</v>
      </c>
      <c r="E522" t="inlineStr">
        <is>
          <t>Q3FY26</t>
        </is>
      </c>
      <c r="F522" t="inlineStr">
        <is>
          <t>24-Dec-2029</t>
        </is>
      </c>
      <c r="G522" t="inlineStr">
        <is>
          <t>Monday</t>
        </is>
      </c>
      <c r="H522" t="inlineStr">
        <is>
          <t>Weekly - Monday</t>
        </is>
      </c>
      <c r="I522" t="inlineStr">
        <is>
          <t>Weekly - Monday</t>
        </is>
      </c>
      <c r="J522" t="inlineStr">
        <is>
          <t>Month+50 Expiry</t>
        </is>
      </c>
      <c r="K522" s="25" t="n">
        <v>0</v>
      </c>
      <c r="L522" s="26" t="n">
        <v>0</v>
      </c>
      <c r="M522" s="26" t="n">
        <v>0</v>
      </c>
    </row>
    <row r="523" ht="16" customHeight="1">
      <c r="A523" t="inlineStr">
        <is>
          <t>10-Oct-2025</t>
        </is>
      </c>
      <c r="B523" t="inlineStr">
        <is>
          <t>Friday</t>
        </is>
      </c>
      <c r="C523" t="inlineStr">
        <is>
          <t>Week2-Oct-2025</t>
        </is>
      </c>
      <c r="D523" s="78" t="n">
        <v>45931</v>
      </c>
      <c r="E523" t="inlineStr">
        <is>
          <t>Q3FY26</t>
        </is>
      </c>
      <c r="F523" t="inlineStr">
        <is>
          <t>25-Jun-2030</t>
        </is>
      </c>
      <c r="G523" t="inlineStr">
        <is>
          <t>Tuesday</t>
        </is>
      </c>
      <c r="H523" t="inlineStr">
        <is>
          <t>Monthly - Tuesday</t>
        </is>
      </c>
      <c r="I523" t="inlineStr">
        <is>
          <t>Monthly - Tuesday</t>
        </is>
      </c>
      <c r="J523" t="inlineStr">
        <is>
          <t>Month+56 Expiry</t>
        </is>
      </c>
      <c r="K523" s="25" t="n">
        <v>0</v>
      </c>
      <c r="L523" s="26" t="n">
        <v>0</v>
      </c>
      <c r="M523" s="26" t="n">
        <v>0</v>
      </c>
    </row>
    <row r="524" ht="16" customHeight="1">
      <c r="A524" t="inlineStr">
        <is>
          <t>13-Oct-2025</t>
        </is>
      </c>
      <c r="B524" t="inlineStr">
        <is>
          <t>Monday</t>
        </is>
      </c>
      <c r="C524" t="inlineStr">
        <is>
          <t>Week2-Oct-2025</t>
        </is>
      </c>
      <c r="D524" s="78" t="n">
        <v>45931</v>
      </c>
      <c r="E524" t="inlineStr">
        <is>
          <t>Q3FY26</t>
        </is>
      </c>
      <c r="F524" t="inlineStr">
        <is>
          <t>14-Oct-2025</t>
        </is>
      </c>
      <c r="G524" t="inlineStr">
        <is>
          <t>Tuesday</t>
        </is>
      </c>
      <c r="H524" t="inlineStr">
        <is>
          <t>Weekly - Tuesday</t>
        </is>
      </c>
      <c r="I524" t="inlineStr">
        <is>
          <t>Weekly - Tuesday</t>
        </is>
      </c>
      <c r="J524" t="inlineStr">
        <is>
          <t>Same Month Expiry</t>
        </is>
      </c>
      <c r="K524" s="25" t="n">
        <v>128912031</v>
      </c>
      <c r="L524" s="26" t="n">
        <v>243916.4042</v>
      </c>
      <c r="M524" s="26" t="n">
        <v>402.8925</v>
      </c>
    </row>
    <row r="525" ht="16" customHeight="1">
      <c r="A525" t="inlineStr">
        <is>
          <t>13-Oct-2025</t>
        </is>
      </c>
      <c r="B525" t="inlineStr">
        <is>
          <t>Monday</t>
        </is>
      </c>
      <c r="C525" t="inlineStr">
        <is>
          <t>Week2-Oct-2025</t>
        </is>
      </c>
      <c r="D525" s="78" t="n">
        <v>45931</v>
      </c>
      <c r="E525" t="inlineStr">
        <is>
          <t>Q3FY26</t>
        </is>
      </c>
      <c r="F525" t="inlineStr">
        <is>
          <t>20-Oct-2025</t>
        </is>
      </c>
      <c r="G525" t="inlineStr">
        <is>
          <t>Monday</t>
        </is>
      </c>
      <c r="H525" t="inlineStr">
        <is>
          <t>Weekly - Monday</t>
        </is>
      </c>
      <c r="I525" t="inlineStr">
        <is>
          <t>Weekly - Monday</t>
        </is>
      </c>
      <c r="J525" t="inlineStr">
        <is>
          <t>Same Month Expiry</t>
        </is>
      </c>
      <c r="K525" s="25" t="n">
        <v>4326911</v>
      </c>
      <c r="L525" s="26" t="n">
        <v>8211.780699999999</v>
      </c>
      <c r="M525" s="26" t="n">
        <v>25.3519</v>
      </c>
    </row>
    <row r="526" ht="16" customHeight="1">
      <c r="A526" t="inlineStr">
        <is>
          <t>13-Oct-2025</t>
        </is>
      </c>
      <c r="B526" t="inlineStr">
        <is>
          <t>Monday</t>
        </is>
      </c>
      <c r="C526" t="inlineStr">
        <is>
          <t>Week2-Oct-2025</t>
        </is>
      </c>
      <c r="D526" s="78" t="n">
        <v>45931</v>
      </c>
      <c r="E526" t="inlineStr">
        <is>
          <t>Q3FY26</t>
        </is>
      </c>
      <c r="F526" t="inlineStr">
        <is>
          <t>28-Oct-2025</t>
        </is>
      </c>
      <c r="G526" t="inlineStr">
        <is>
          <t>Tuesday</t>
        </is>
      </c>
      <c r="H526" t="inlineStr">
        <is>
          <t>Monthly - Tuesday</t>
        </is>
      </c>
      <c r="I526" t="inlineStr">
        <is>
          <t>Monthly - Tuesday</t>
        </is>
      </c>
      <c r="J526" t="inlineStr">
        <is>
          <t>Same Month Expiry</t>
        </is>
      </c>
      <c r="K526" s="25" t="n">
        <v>1830186</v>
      </c>
      <c r="L526" s="26" t="n">
        <v>3477.4145</v>
      </c>
      <c r="M526" s="26" t="n">
        <v>17.6847</v>
      </c>
    </row>
    <row r="527" ht="16" customHeight="1">
      <c r="A527" t="inlineStr">
        <is>
          <t>13-Oct-2025</t>
        </is>
      </c>
      <c r="B527" t="inlineStr">
        <is>
          <t>Monday</t>
        </is>
      </c>
      <c r="C527" t="inlineStr">
        <is>
          <t>Week2-Oct-2025</t>
        </is>
      </c>
      <c r="D527" s="78" t="n">
        <v>45931</v>
      </c>
      <c r="E527" t="inlineStr">
        <is>
          <t>Q3FY26</t>
        </is>
      </c>
      <c r="F527" t="inlineStr">
        <is>
          <t>04-Nov-2025</t>
        </is>
      </c>
      <c r="G527" t="inlineStr">
        <is>
          <t>Tuesday</t>
        </is>
      </c>
      <c r="H527" t="inlineStr">
        <is>
          <t>Weekly - Tuesday</t>
        </is>
      </c>
      <c r="I527" t="inlineStr">
        <is>
          <t>Weekly - Tuesday</t>
        </is>
      </c>
      <c r="J527" t="inlineStr">
        <is>
          <t>Month+1 Expiry</t>
        </is>
      </c>
      <c r="K527" s="25" t="n">
        <v>30856</v>
      </c>
      <c r="L527" s="26" t="n">
        <v>58.7225</v>
      </c>
      <c r="M527" s="26" t="n">
        <v>0.3275</v>
      </c>
    </row>
    <row r="528" ht="16" customHeight="1">
      <c r="A528" t="inlineStr">
        <is>
          <t>13-Oct-2025</t>
        </is>
      </c>
      <c r="B528" t="inlineStr">
        <is>
          <t>Monday</t>
        </is>
      </c>
      <c r="C528" t="inlineStr">
        <is>
          <t>Week2-Oct-2025</t>
        </is>
      </c>
      <c r="D528" s="78" t="n">
        <v>45931</v>
      </c>
      <c r="E528" t="inlineStr">
        <is>
          <t>Q3FY26</t>
        </is>
      </c>
      <c r="F528" t="inlineStr">
        <is>
          <t>11-Nov-2025</t>
        </is>
      </c>
      <c r="G528" t="inlineStr">
        <is>
          <t>Tuesday</t>
        </is>
      </c>
      <c r="H528" t="inlineStr">
        <is>
          <t>Weekly - Tuesday</t>
        </is>
      </c>
      <c r="I528" t="inlineStr">
        <is>
          <t>Weekly - Tuesday</t>
        </is>
      </c>
      <c r="J528" t="inlineStr">
        <is>
          <t>Month+1 Expiry</t>
        </is>
      </c>
      <c r="K528" s="25" t="n">
        <v>4406</v>
      </c>
      <c r="L528" s="26" t="n">
        <v>8.428699999999999</v>
      </c>
      <c r="M528" s="26" t="n">
        <v>0.0549</v>
      </c>
    </row>
    <row r="529" ht="16" customHeight="1">
      <c r="A529" t="inlineStr">
        <is>
          <t>13-Oct-2025</t>
        </is>
      </c>
      <c r="B529" t="inlineStr">
        <is>
          <t>Monday</t>
        </is>
      </c>
      <c r="C529" t="inlineStr">
        <is>
          <t>Week2-Oct-2025</t>
        </is>
      </c>
      <c r="D529" s="78" t="n">
        <v>45931</v>
      </c>
      <c r="E529" t="inlineStr">
        <is>
          <t>Q3FY26</t>
        </is>
      </c>
      <c r="F529" t="inlineStr">
        <is>
          <t>25-Nov-2025</t>
        </is>
      </c>
      <c r="G529" t="inlineStr">
        <is>
          <t>Tuesday</t>
        </is>
      </c>
      <c r="H529" t="inlineStr">
        <is>
          <t>Monthly - Tuesday</t>
        </is>
      </c>
      <c r="I529" t="inlineStr">
        <is>
          <t>Monthly - Tuesday</t>
        </is>
      </c>
      <c r="J529" t="inlineStr">
        <is>
          <t>Month+1 Expiry</t>
        </is>
      </c>
      <c r="K529" s="25" t="n">
        <v>177422</v>
      </c>
      <c r="L529" s="26" t="n">
        <v>336.8025</v>
      </c>
      <c r="M529" s="26" t="n">
        <v>2.1683</v>
      </c>
    </row>
    <row r="530" ht="16" customHeight="1">
      <c r="A530" t="inlineStr">
        <is>
          <t>13-Oct-2025</t>
        </is>
      </c>
      <c r="B530" t="inlineStr">
        <is>
          <t>Monday</t>
        </is>
      </c>
      <c r="C530" t="inlineStr">
        <is>
          <t>Week2-Oct-2025</t>
        </is>
      </c>
      <c r="D530" s="78" t="n">
        <v>45931</v>
      </c>
      <c r="E530" t="inlineStr">
        <is>
          <t>Q3FY26</t>
        </is>
      </c>
      <c r="F530" t="inlineStr">
        <is>
          <t>30-Dec-2025</t>
        </is>
      </c>
      <c r="G530" t="inlineStr">
        <is>
          <t>Tuesday</t>
        </is>
      </c>
      <c r="H530" t="inlineStr">
        <is>
          <t>Monthly - Tuesday</t>
        </is>
      </c>
      <c r="I530" t="inlineStr">
        <is>
          <t>Monthly - Tuesday</t>
        </is>
      </c>
      <c r="J530" t="inlineStr">
        <is>
          <t>Month+2 Expiry</t>
        </is>
      </c>
      <c r="K530" s="25" t="n">
        <v>89829</v>
      </c>
      <c r="L530" s="26" t="n">
        <v>169.4561</v>
      </c>
      <c r="M530" s="26" t="n">
        <v>1.7515</v>
      </c>
    </row>
    <row r="531" ht="16" customHeight="1">
      <c r="A531" t="inlineStr">
        <is>
          <t>13-Oct-2025</t>
        </is>
      </c>
      <c r="B531" t="inlineStr">
        <is>
          <t>Monday</t>
        </is>
      </c>
      <c r="C531" t="inlineStr">
        <is>
          <t>Week2-Oct-2025</t>
        </is>
      </c>
      <c r="D531" s="78" t="n">
        <v>45931</v>
      </c>
      <c r="E531" t="inlineStr">
        <is>
          <t>Q3FY26</t>
        </is>
      </c>
      <c r="F531" t="inlineStr">
        <is>
          <t>31-Mar-2026</t>
        </is>
      </c>
      <c r="G531" t="inlineStr">
        <is>
          <t>Tuesday</t>
        </is>
      </c>
      <c r="H531" t="inlineStr">
        <is>
          <t>Monthly - Tuesday</t>
        </is>
      </c>
      <c r="I531" t="inlineStr">
        <is>
          <t>Monthly - Tuesday</t>
        </is>
      </c>
      <c r="J531" t="inlineStr">
        <is>
          <t>Month+5 Expiry</t>
        </is>
      </c>
      <c r="K531" s="25" t="n">
        <v>10943</v>
      </c>
      <c r="L531" s="26" t="n">
        <v>21.2009</v>
      </c>
      <c r="M531" s="26" t="n">
        <v>0.3593</v>
      </c>
    </row>
    <row r="532" ht="16" customHeight="1">
      <c r="A532" t="inlineStr">
        <is>
          <t>13-Oct-2025</t>
        </is>
      </c>
      <c r="B532" t="inlineStr">
        <is>
          <t>Monday</t>
        </is>
      </c>
      <c r="C532" t="inlineStr">
        <is>
          <t>Week2-Oct-2025</t>
        </is>
      </c>
      <c r="D532" s="78" t="n">
        <v>45931</v>
      </c>
      <c r="E532" t="inlineStr">
        <is>
          <t>Q3FY26</t>
        </is>
      </c>
      <c r="F532" t="inlineStr">
        <is>
          <t>30-Jun-2026</t>
        </is>
      </c>
      <c r="G532" t="inlineStr">
        <is>
          <t>Tuesday</t>
        </is>
      </c>
      <c r="H532" t="inlineStr">
        <is>
          <t>Monthly - Tuesday</t>
        </is>
      </c>
      <c r="I532" t="inlineStr">
        <is>
          <t>Monthly - Tuesday</t>
        </is>
      </c>
      <c r="J532" t="inlineStr">
        <is>
          <t>Month+8 Expiry</t>
        </is>
      </c>
      <c r="K532" s="25" t="n">
        <v>1020</v>
      </c>
      <c r="L532" s="26" t="n">
        <v>1.9696</v>
      </c>
      <c r="M532" s="26" t="n">
        <v>0.0437</v>
      </c>
    </row>
    <row r="533" ht="16" customHeight="1">
      <c r="A533" t="inlineStr">
        <is>
          <t>13-Oct-2025</t>
        </is>
      </c>
      <c r="B533" t="inlineStr">
        <is>
          <t>Monday</t>
        </is>
      </c>
      <c r="C533" t="inlineStr">
        <is>
          <t>Week2-Oct-2025</t>
        </is>
      </c>
      <c r="D533" s="78" t="n">
        <v>45931</v>
      </c>
      <c r="E533" t="inlineStr">
        <is>
          <t>Q3FY26</t>
        </is>
      </c>
      <c r="F533" t="inlineStr">
        <is>
          <t>29-Sep-2026</t>
        </is>
      </c>
      <c r="G533" t="inlineStr">
        <is>
          <t>Tuesday</t>
        </is>
      </c>
      <c r="H533" t="inlineStr">
        <is>
          <t>Monthly - Tuesday</t>
        </is>
      </c>
      <c r="I533" t="inlineStr">
        <is>
          <t>Monthly - Tuesday</t>
        </is>
      </c>
      <c r="J533" t="inlineStr">
        <is>
          <t>Month+11 Expiry</t>
        </is>
      </c>
      <c r="K533" s="25" t="n">
        <v>0</v>
      </c>
      <c r="L533" s="26" t="n">
        <v>0</v>
      </c>
      <c r="M533" s="26" t="n">
        <v>0</v>
      </c>
    </row>
    <row r="534" ht="16" customHeight="1">
      <c r="A534" t="inlineStr">
        <is>
          <t>13-Oct-2025</t>
        </is>
      </c>
      <c r="B534" t="inlineStr">
        <is>
          <t>Monday</t>
        </is>
      </c>
      <c r="C534" t="inlineStr">
        <is>
          <t>Week2-Oct-2025</t>
        </is>
      </c>
      <c r="D534" s="78" t="n">
        <v>45931</v>
      </c>
      <c r="E534" t="inlineStr">
        <is>
          <t>Q3FY26</t>
        </is>
      </c>
      <c r="F534" t="inlineStr">
        <is>
          <t>29-Dec-2026</t>
        </is>
      </c>
      <c r="G534" t="inlineStr">
        <is>
          <t>Tuesday</t>
        </is>
      </c>
      <c r="H534" t="inlineStr">
        <is>
          <t>Monthly - Tuesday</t>
        </is>
      </c>
      <c r="I534" t="inlineStr">
        <is>
          <t>Monthly - Tuesday</t>
        </is>
      </c>
      <c r="J534" t="inlineStr">
        <is>
          <t>Month+14 Expiry</t>
        </is>
      </c>
      <c r="K534" s="25" t="n">
        <v>867</v>
      </c>
      <c r="L534" s="26" t="n">
        <v>1.7488</v>
      </c>
      <c r="M534" s="26" t="n">
        <v>0.0672</v>
      </c>
    </row>
    <row r="535" ht="16" customHeight="1">
      <c r="A535" t="inlineStr">
        <is>
          <t>13-Oct-2025</t>
        </is>
      </c>
      <c r="B535" t="inlineStr">
        <is>
          <t>Monday</t>
        </is>
      </c>
      <c r="C535" t="inlineStr">
        <is>
          <t>Week2-Oct-2025</t>
        </is>
      </c>
      <c r="D535" s="78" t="n">
        <v>45931</v>
      </c>
      <c r="E535" t="inlineStr">
        <is>
          <t>Q3FY26</t>
        </is>
      </c>
      <c r="F535" t="inlineStr">
        <is>
          <t>29-Jun-2027</t>
        </is>
      </c>
      <c r="G535" t="inlineStr">
        <is>
          <t>Tuesday</t>
        </is>
      </c>
      <c r="H535" t="inlineStr">
        <is>
          <t>Monthly - Tuesday</t>
        </is>
      </c>
      <c r="I535" t="inlineStr">
        <is>
          <t>Monthly - Tuesday</t>
        </is>
      </c>
      <c r="J535" t="inlineStr">
        <is>
          <t>Month+20 Expiry</t>
        </is>
      </c>
      <c r="K535" s="25" t="n">
        <v>0</v>
      </c>
      <c r="L535" s="26" t="n">
        <v>0</v>
      </c>
      <c r="M535" s="26" t="n">
        <v>0</v>
      </c>
    </row>
    <row r="536" ht="16" customHeight="1">
      <c r="A536" t="inlineStr">
        <is>
          <t>13-Oct-2025</t>
        </is>
      </c>
      <c r="B536" t="inlineStr">
        <is>
          <t>Monday</t>
        </is>
      </c>
      <c r="C536" t="inlineStr">
        <is>
          <t>Week2-Oct-2025</t>
        </is>
      </c>
      <c r="D536" s="78" t="n">
        <v>45931</v>
      </c>
      <c r="E536" t="inlineStr">
        <is>
          <t>Q3FY26</t>
        </is>
      </c>
      <c r="F536" t="inlineStr">
        <is>
          <t>28-Dec-2027</t>
        </is>
      </c>
      <c r="G536" t="inlineStr">
        <is>
          <t>Tuesday</t>
        </is>
      </c>
      <c r="H536" t="inlineStr">
        <is>
          <t>Monthly - Tuesday</t>
        </is>
      </c>
      <c r="I536" t="inlineStr">
        <is>
          <t>Monthly - Tuesday</t>
        </is>
      </c>
      <c r="J536" t="inlineStr">
        <is>
          <t>Month+26 Expiry</t>
        </is>
      </c>
      <c r="K536" s="25" t="n">
        <v>0</v>
      </c>
      <c r="L536" s="26" t="n">
        <v>0</v>
      </c>
      <c r="M536" s="26" t="n">
        <v>0</v>
      </c>
    </row>
    <row r="537" ht="16" customHeight="1">
      <c r="A537" t="inlineStr">
        <is>
          <t>13-Oct-2025</t>
        </is>
      </c>
      <c r="B537" t="inlineStr">
        <is>
          <t>Monday</t>
        </is>
      </c>
      <c r="C537" t="inlineStr">
        <is>
          <t>Week2-Oct-2025</t>
        </is>
      </c>
      <c r="D537" s="78" t="n">
        <v>45931</v>
      </c>
      <c r="E537" t="inlineStr">
        <is>
          <t>Q3FY26</t>
        </is>
      </c>
      <c r="F537" t="inlineStr">
        <is>
          <t>27-Jun-2028</t>
        </is>
      </c>
      <c r="G537" t="inlineStr">
        <is>
          <t>Tuesday</t>
        </is>
      </c>
      <c r="H537" t="inlineStr">
        <is>
          <t>Monthly - Tuesday</t>
        </is>
      </c>
      <c r="I537" t="inlineStr">
        <is>
          <t>Monthly - Tuesday</t>
        </is>
      </c>
      <c r="J537" t="inlineStr">
        <is>
          <t>Month+32 Expiry</t>
        </is>
      </c>
      <c r="K537" s="25" t="n">
        <v>0</v>
      </c>
      <c r="L537" s="26" t="n">
        <v>0</v>
      </c>
      <c r="M537" s="26" t="n">
        <v>0</v>
      </c>
    </row>
    <row r="538" ht="16" customHeight="1">
      <c r="A538" t="inlineStr">
        <is>
          <t>13-Oct-2025</t>
        </is>
      </c>
      <c r="B538" t="inlineStr">
        <is>
          <t>Monday</t>
        </is>
      </c>
      <c r="C538" t="inlineStr">
        <is>
          <t>Week2-Oct-2025</t>
        </is>
      </c>
      <c r="D538" s="78" t="n">
        <v>45931</v>
      </c>
      <c r="E538" t="inlineStr">
        <is>
          <t>Q3FY26</t>
        </is>
      </c>
      <c r="F538" t="inlineStr">
        <is>
          <t>26-Dec-2028</t>
        </is>
      </c>
      <c r="G538" t="inlineStr">
        <is>
          <t>Tuesday</t>
        </is>
      </c>
      <c r="H538" t="inlineStr">
        <is>
          <t>Monthly - Tuesday</t>
        </is>
      </c>
      <c r="I538" t="inlineStr">
        <is>
          <t>Monthly - Tuesday</t>
        </is>
      </c>
      <c r="J538" t="inlineStr">
        <is>
          <t>Month+38 Expiry</t>
        </is>
      </c>
      <c r="K538" s="25" t="n">
        <v>0</v>
      </c>
      <c r="L538" s="26" t="n">
        <v>0</v>
      </c>
      <c r="M538" s="26" t="n">
        <v>0</v>
      </c>
    </row>
    <row r="539" ht="16" customHeight="1">
      <c r="A539" t="inlineStr">
        <is>
          <t>13-Oct-2025</t>
        </is>
      </c>
      <c r="B539" t="inlineStr">
        <is>
          <t>Monday</t>
        </is>
      </c>
      <c r="C539" t="inlineStr">
        <is>
          <t>Week2-Oct-2025</t>
        </is>
      </c>
      <c r="D539" s="78" t="n">
        <v>45931</v>
      </c>
      <c r="E539" t="inlineStr">
        <is>
          <t>Q3FY26</t>
        </is>
      </c>
      <c r="F539" t="inlineStr">
        <is>
          <t>26-Jun-2029</t>
        </is>
      </c>
      <c r="G539" t="inlineStr">
        <is>
          <t>Tuesday</t>
        </is>
      </c>
      <c r="H539" t="inlineStr">
        <is>
          <t>Monthly - Tuesday</t>
        </is>
      </c>
      <c r="I539" t="inlineStr">
        <is>
          <t>Monthly - Tuesday</t>
        </is>
      </c>
      <c r="J539" t="inlineStr">
        <is>
          <t>Month+44 Expiry</t>
        </is>
      </c>
      <c r="K539" s="25" t="n">
        <v>0</v>
      </c>
      <c r="L539" s="26" t="n">
        <v>0</v>
      </c>
      <c r="M539" s="26" t="n">
        <v>0</v>
      </c>
    </row>
    <row r="540" ht="16" customHeight="1">
      <c r="A540" t="inlineStr">
        <is>
          <t>13-Oct-2025</t>
        </is>
      </c>
      <c r="B540" t="inlineStr">
        <is>
          <t>Monday</t>
        </is>
      </c>
      <c r="C540" t="inlineStr">
        <is>
          <t>Week2-Oct-2025</t>
        </is>
      </c>
      <c r="D540" s="78" t="n">
        <v>45931</v>
      </c>
      <c r="E540" t="inlineStr">
        <is>
          <t>Q3FY26</t>
        </is>
      </c>
      <c r="F540" t="inlineStr">
        <is>
          <t>24-Dec-2029</t>
        </is>
      </c>
      <c r="G540" t="inlineStr">
        <is>
          <t>Monday</t>
        </is>
      </c>
      <c r="H540" t="inlineStr">
        <is>
          <t>Weekly - Monday</t>
        </is>
      </c>
      <c r="I540" t="inlineStr">
        <is>
          <t>Weekly - Monday</t>
        </is>
      </c>
      <c r="J540" t="inlineStr">
        <is>
          <t>Month+50 Expiry</t>
        </is>
      </c>
      <c r="K540" s="25" t="n">
        <v>0</v>
      </c>
      <c r="L540" s="26" t="n">
        <v>0</v>
      </c>
      <c r="M540" s="26" t="n">
        <v>0</v>
      </c>
    </row>
    <row r="541" ht="16" customHeight="1">
      <c r="A541" t="inlineStr">
        <is>
          <t>13-Oct-2025</t>
        </is>
      </c>
      <c r="B541" t="inlineStr">
        <is>
          <t>Monday</t>
        </is>
      </c>
      <c r="C541" t="inlineStr">
        <is>
          <t>Week2-Oct-2025</t>
        </is>
      </c>
      <c r="D541" s="78" t="n">
        <v>45931</v>
      </c>
      <c r="E541" t="inlineStr">
        <is>
          <t>Q3FY26</t>
        </is>
      </c>
      <c r="F541" t="inlineStr">
        <is>
          <t>25-Jun-2030</t>
        </is>
      </c>
      <c r="G541" t="inlineStr">
        <is>
          <t>Tuesday</t>
        </is>
      </c>
      <c r="H541" t="inlineStr">
        <is>
          <t>Monthly - Tuesday</t>
        </is>
      </c>
      <c r="I541" t="inlineStr">
        <is>
          <t>Monthly - Tuesday</t>
        </is>
      </c>
      <c r="J541" t="inlineStr">
        <is>
          <t>Month+56 Expiry</t>
        </is>
      </c>
      <c r="K541" s="25" t="n">
        <v>0</v>
      </c>
      <c r="L541" s="26" t="n">
        <v>0</v>
      </c>
      <c r="M541" s="26" t="n">
        <v>0</v>
      </c>
    </row>
    <row r="542" ht="16" customHeight="1">
      <c r="A542" t="inlineStr">
        <is>
          <t>14-Oct-2025</t>
        </is>
      </c>
      <c r="B542" t="inlineStr">
        <is>
          <t>Tuesday</t>
        </is>
      </c>
      <c r="C542" t="inlineStr">
        <is>
          <t>Week2-Oct-2025</t>
        </is>
      </c>
      <c r="D542" s="78" t="n">
        <v>45931</v>
      </c>
      <c r="E542" t="inlineStr">
        <is>
          <t>Q3FY26</t>
        </is>
      </c>
      <c r="F542" t="inlineStr">
        <is>
          <t>14-Oct-2025</t>
        </is>
      </c>
      <c r="G542" t="inlineStr">
        <is>
          <t>Tuesday</t>
        </is>
      </c>
      <c r="H542" t="inlineStr">
        <is>
          <t>Weekly - Tuesday</t>
        </is>
      </c>
      <c r="I542" t="inlineStr">
        <is>
          <t>Weekly - Tuesday</t>
        </is>
      </c>
      <c r="J542" t="inlineStr">
        <is>
          <t>Same Month Expiry</t>
        </is>
      </c>
      <c r="K542" s="25" t="n">
        <v>344063307</v>
      </c>
      <c r="L542" s="26" t="n">
        <v>650135.5338</v>
      </c>
      <c r="M542" s="26" t="n">
        <v>586.076</v>
      </c>
    </row>
    <row r="543" ht="16" customHeight="1">
      <c r="A543" t="inlineStr">
        <is>
          <t>14-Oct-2025</t>
        </is>
      </c>
      <c r="B543" t="inlineStr">
        <is>
          <t>Tuesday</t>
        </is>
      </c>
      <c r="C543" t="inlineStr">
        <is>
          <t>Week2-Oct-2025</t>
        </is>
      </c>
      <c r="D543" s="78" t="n">
        <v>45931</v>
      </c>
      <c r="E543" t="inlineStr">
        <is>
          <t>Q3FY26</t>
        </is>
      </c>
      <c r="F543" t="inlineStr">
        <is>
          <t>20-Oct-2025</t>
        </is>
      </c>
      <c r="G543" t="inlineStr">
        <is>
          <t>Monday</t>
        </is>
      </c>
      <c r="H543" t="inlineStr">
        <is>
          <t>Weekly - Monday</t>
        </is>
      </c>
      <c r="I543" t="inlineStr">
        <is>
          <t>Weekly - Monday</t>
        </is>
      </c>
      <c r="J543" t="inlineStr">
        <is>
          <t>Same Month Expiry</t>
        </is>
      </c>
      <c r="K543" s="25" t="n">
        <v>12826860</v>
      </c>
      <c r="L543" s="26" t="n">
        <v>24338.7165</v>
      </c>
      <c r="M543" s="26" t="n">
        <v>68.7944</v>
      </c>
    </row>
    <row r="544" ht="16" customHeight="1">
      <c r="A544" t="inlineStr">
        <is>
          <t>14-Oct-2025</t>
        </is>
      </c>
      <c r="B544" t="inlineStr">
        <is>
          <t>Tuesday</t>
        </is>
      </c>
      <c r="C544" t="inlineStr">
        <is>
          <t>Week2-Oct-2025</t>
        </is>
      </c>
      <c r="D544" s="78" t="n">
        <v>45931</v>
      </c>
      <c r="E544" t="inlineStr">
        <is>
          <t>Q3FY26</t>
        </is>
      </c>
      <c r="F544" t="inlineStr">
        <is>
          <t>28-Oct-2025</t>
        </is>
      </c>
      <c r="G544" t="inlineStr">
        <is>
          <t>Tuesday</t>
        </is>
      </c>
      <c r="H544" t="inlineStr">
        <is>
          <t>Monthly - Tuesday</t>
        </is>
      </c>
      <c r="I544" t="inlineStr">
        <is>
          <t>Monthly - Tuesday</t>
        </is>
      </c>
      <c r="J544" t="inlineStr">
        <is>
          <t>Same Month Expiry</t>
        </is>
      </c>
      <c r="K544" s="25" t="n">
        <v>2379900</v>
      </c>
      <c r="L544" s="26" t="n">
        <v>4521.644</v>
      </c>
      <c r="M544" s="26" t="n">
        <v>22.1281</v>
      </c>
    </row>
    <row r="545" ht="16" customHeight="1">
      <c r="A545" t="inlineStr">
        <is>
          <t>14-Oct-2025</t>
        </is>
      </c>
      <c r="B545" t="inlineStr">
        <is>
          <t>Tuesday</t>
        </is>
      </c>
      <c r="C545" t="inlineStr">
        <is>
          <t>Week2-Oct-2025</t>
        </is>
      </c>
      <c r="D545" s="78" t="n">
        <v>45931</v>
      </c>
      <c r="E545" t="inlineStr">
        <is>
          <t>Q3FY26</t>
        </is>
      </c>
      <c r="F545" t="inlineStr">
        <is>
          <t>04-Nov-2025</t>
        </is>
      </c>
      <c r="G545" t="inlineStr">
        <is>
          <t>Tuesday</t>
        </is>
      </c>
      <c r="H545" t="inlineStr">
        <is>
          <t>Weekly - Tuesday</t>
        </is>
      </c>
      <c r="I545" t="inlineStr">
        <is>
          <t>Weekly - Tuesday</t>
        </is>
      </c>
      <c r="J545" t="inlineStr">
        <is>
          <t>Month+1 Expiry</t>
        </is>
      </c>
      <c r="K545" s="25" t="n">
        <v>53967</v>
      </c>
      <c r="L545" s="26" t="n">
        <v>103.1018</v>
      </c>
      <c r="M545" s="26" t="n">
        <v>0.6466</v>
      </c>
    </row>
    <row r="546" ht="16" customHeight="1">
      <c r="A546" t="inlineStr">
        <is>
          <t>14-Oct-2025</t>
        </is>
      </c>
      <c r="B546" t="inlineStr">
        <is>
          <t>Tuesday</t>
        </is>
      </c>
      <c r="C546" t="inlineStr">
        <is>
          <t>Week2-Oct-2025</t>
        </is>
      </c>
      <c r="D546" s="78" t="n">
        <v>45931</v>
      </c>
      <c r="E546" t="inlineStr">
        <is>
          <t>Q3FY26</t>
        </is>
      </c>
      <c r="F546" t="inlineStr">
        <is>
          <t>11-Nov-2025</t>
        </is>
      </c>
      <c r="G546" t="inlineStr">
        <is>
          <t>Tuesday</t>
        </is>
      </c>
      <c r="H546" t="inlineStr">
        <is>
          <t>Weekly - Tuesday</t>
        </is>
      </c>
      <c r="I546" t="inlineStr">
        <is>
          <t>Weekly - Tuesday</t>
        </is>
      </c>
      <c r="J546" t="inlineStr">
        <is>
          <t>Month+1 Expiry</t>
        </is>
      </c>
      <c r="K546" s="25" t="n">
        <v>5727</v>
      </c>
      <c r="L546" s="26" t="n">
        <v>10.9566</v>
      </c>
      <c r="M546" s="26" t="n">
        <v>0.078</v>
      </c>
    </row>
    <row r="547" ht="16" customHeight="1">
      <c r="A547" t="inlineStr">
        <is>
          <t>14-Oct-2025</t>
        </is>
      </c>
      <c r="B547" t="inlineStr">
        <is>
          <t>Tuesday</t>
        </is>
      </c>
      <c r="C547" t="inlineStr">
        <is>
          <t>Week2-Oct-2025</t>
        </is>
      </c>
      <c r="D547" s="78" t="n">
        <v>45931</v>
      </c>
      <c r="E547" t="inlineStr">
        <is>
          <t>Q3FY26</t>
        </is>
      </c>
      <c r="F547" t="inlineStr">
        <is>
          <t>25-Nov-2025</t>
        </is>
      </c>
      <c r="G547" t="inlineStr">
        <is>
          <t>Tuesday</t>
        </is>
      </c>
      <c r="H547" t="inlineStr">
        <is>
          <t>Monthly - Tuesday</t>
        </is>
      </c>
      <c r="I547" t="inlineStr">
        <is>
          <t>Monthly - Tuesday</t>
        </is>
      </c>
      <c r="J547" t="inlineStr">
        <is>
          <t>Month+1 Expiry</t>
        </is>
      </c>
      <c r="K547" s="25" t="n">
        <v>253773</v>
      </c>
      <c r="L547" s="26" t="n">
        <v>484.5993</v>
      </c>
      <c r="M547" s="26" t="n">
        <v>3.5213</v>
      </c>
    </row>
    <row r="548" ht="16" customHeight="1">
      <c r="A548" t="inlineStr">
        <is>
          <t>14-Oct-2025</t>
        </is>
      </c>
      <c r="B548" t="inlineStr">
        <is>
          <t>Tuesday</t>
        </is>
      </c>
      <c r="C548" t="inlineStr">
        <is>
          <t>Week2-Oct-2025</t>
        </is>
      </c>
      <c r="D548" s="78" t="n">
        <v>45931</v>
      </c>
      <c r="E548" t="inlineStr">
        <is>
          <t>Q3FY26</t>
        </is>
      </c>
      <c r="F548" t="inlineStr">
        <is>
          <t>30-Dec-2025</t>
        </is>
      </c>
      <c r="G548" t="inlineStr">
        <is>
          <t>Tuesday</t>
        </is>
      </c>
      <c r="H548" t="inlineStr">
        <is>
          <t>Monthly - Tuesday</t>
        </is>
      </c>
      <c r="I548" t="inlineStr">
        <is>
          <t>Monthly - Tuesday</t>
        </is>
      </c>
      <c r="J548" t="inlineStr">
        <is>
          <t>Month+2 Expiry</t>
        </is>
      </c>
      <c r="K548" s="25" t="n">
        <v>122704</v>
      </c>
      <c r="L548" s="26" t="n">
        <v>233.312</v>
      </c>
      <c r="M548" s="26" t="n">
        <v>2.5215</v>
      </c>
    </row>
    <row r="549" ht="16" customHeight="1">
      <c r="A549" t="inlineStr">
        <is>
          <t>14-Oct-2025</t>
        </is>
      </c>
      <c r="B549" t="inlineStr">
        <is>
          <t>Tuesday</t>
        </is>
      </c>
      <c r="C549" t="inlineStr">
        <is>
          <t>Week2-Oct-2025</t>
        </is>
      </c>
      <c r="D549" s="78" t="n">
        <v>45931</v>
      </c>
      <c r="E549" t="inlineStr">
        <is>
          <t>Q3FY26</t>
        </is>
      </c>
      <c r="F549" t="inlineStr">
        <is>
          <t>31-Mar-2026</t>
        </is>
      </c>
      <c r="G549" t="inlineStr">
        <is>
          <t>Tuesday</t>
        </is>
      </c>
      <c r="H549" t="inlineStr">
        <is>
          <t>Monthly - Tuesday</t>
        </is>
      </c>
      <c r="I549" t="inlineStr">
        <is>
          <t>Monthly - Tuesday</t>
        </is>
      </c>
      <c r="J549" t="inlineStr">
        <is>
          <t>Month+5 Expiry</t>
        </is>
      </c>
      <c r="K549" s="25" t="n">
        <v>18052</v>
      </c>
      <c r="L549" s="26" t="n">
        <v>34.882</v>
      </c>
      <c r="M549" s="26" t="n">
        <v>0.6674</v>
      </c>
    </row>
    <row r="550" ht="16" customHeight="1">
      <c r="A550" t="inlineStr">
        <is>
          <t>14-Oct-2025</t>
        </is>
      </c>
      <c r="B550" t="inlineStr">
        <is>
          <t>Tuesday</t>
        </is>
      </c>
      <c r="C550" t="inlineStr">
        <is>
          <t>Week2-Oct-2025</t>
        </is>
      </c>
      <c r="D550" s="78" t="n">
        <v>45931</v>
      </c>
      <c r="E550" t="inlineStr">
        <is>
          <t>Q3FY26</t>
        </is>
      </c>
      <c r="F550" t="inlineStr">
        <is>
          <t>30-Jun-2026</t>
        </is>
      </c>
      <c r="G550" t="inlineStr">
        <is>
          <t>Tuesday</t>
        </is>
      </c>
      <c r="H550" t="inlineStr">
        <is>
          <t>Monthly - Tuesday</t>
        </is>
      </c>
      <c r="I550" t="inlineStr">
        <is>
          <t>Monthly - Tuesday</t>
        </is>
      </c>
      <c r="J550" t="inlineStr">
        <is>
          <t>Month+8 Expiry</t>
        </is>
      </c>
      <c r="K550" s="25" t="n">
        <v>1599</v>
      </c>
      <c r="L550" s="26" t="n">
        <v>3.1461</v>
      </c>
      <c r="M550" s="26" t="n">
        <v>0.0746</v>
      </c>
    </row>
    <row r="551" ht="16" customHeight="1">
      <c r="A551" t="inlineStr">
        <is>
          <t>14-Oct-2025</t>
        </is>
      </c>
      <c r="B551" t="inlineStr">
        <is>
          <t>Tuesday</t>
        </is>
      </c>
      <c r="C551" t="inlineStr">
        <is>
          <t>Week2-Oct-2025</t>
        </is>
      </c>
      <c r="D551" s="78" t="n">
        <v>45931</v>
      </c>
      <c r="E551" t="inlineStr">
        <is>
          <t>Q3FY26</t>
        </is>
      </c>
      <c r="F551" t="inlineStr">
        <is>
          <t>29-Sep-2026</t>
        </is>
      </c>
      <c r="G551" t="inlineStr">
        <is>
          <t>Tuesday</t>
        </is>
      </c>
      <c r="H551" t="inlineStr">
        <is>
          <t>Monthly - Tuesday</t>
        </is>
      </c>
      <c r="I551" t="inlineStr">
        <is>
          <t>Monthly - Tuesday</t>
        </is>
      </c>
      <c r="J551" t="inlineStr">
        <is>
          <t>Month+11 Expiry</t>
        </is>
      </c>
      <c r="K551" s="25" t="n">
        <v>0</v>
      </c>
      <c r="L551" s="26" t="n">
        <v>0</v>
      </c>
      <c r="M551" s="26" t="n">
        <v>0</v>
      </c>
    </row>
    <row r="552" ht="16" customHeight="1">
      <c r="A552" t="inlineStr">
        <is>
          <t>14-Oct-2025</t>
        </is>
      </c>
      <c r="B552" t="inlineStr">
        <is>
          <t>Tuesday</t>
        </is>
      </c>
      <c r="C552" t="inlineStr">
        <is>
          <t>Week2-Oct-2025</t>
        </is>
      </c>
      <c r="D552" s="78" t="n">
        <v>45931</v>
      </c>
      <c r="E552" t="inlineStr">
        <is>
          <t>Q3FY26</t>
        </is>
      </c>
      <c r="F552" t="inlineStr">
        <is>
          <t>29-Dec-2026</t>
        </is>
      </c>
      <c r="G552" t="inlineStr">
        <is>
          <t>Tuesday</t>
        </is>
      </c>
      <c r="H552" t="inlineStr">
        <is>
          <t>Monthly - Tuesday</t>
        </is>
      </c>
      <c r="I552" t="inlineStr">
        <is>
          <t>Monthly - Tuesday</t>
        </is>
      </c>
      <c r="J552" t="inlineStr">
        <is>
          <t>Month+14 Expiry</t>
        </is>
      </c>
      <c r="K552" s="25" t="n">
        <v>732</v>
      </c>
      <c r="L552" s="26" t="n">
        <v>1.4685</v>
      </c>
      <c r="M552" s="26" t="n">
        <v>0.0552</v>
      </c>
    </row>
    <row r="553" ht="16" customHeight="1">
      <c r="A553" t="inlineStr">
        <is>
          <t>14-Oct-2025</t>
        </is>
      </c>
      <c r="B553" t="inlineStr">
        <is>
          <t>Tuesday</t>
        </is>
      </c>
      <c r="C553" t="inlineStr">
        <is>
          <t>Week2-Oct-2025</t>
        </is>
      </c>
      <c r="D553" s="78" t="n">
        <v>45931</v>
      </c>
      <c r="E553" t="inlineStr">
        <is>
          <t>Q3FY26</t>
        </is>
      </c>
      <c r="F553" t="inlineStr">
        <is>
          <t>29-Jun-2027</t>
        </is>
      </c>
      <c r="G553" t="inlineStr">
        <is>
          <t>Tuesday</t>
        </is>
      </c>
      <c r="H553" t="inlineStr">
        <is>
          <t>Monthly - Tuesday</t>
        </is>
      </c>
      <c r="I553" t="inlineStr">
        <is>
          <t>Monthly - Tuesday</t>
        </is>
      </c>
      <c r="J553" t="inlineStr">
        <is>
          <t>Month+20 Expiry</t>
        </is>
      </c>
      <c r="K553" s="25" t="n">
        <v>0</v>
      </c>
      <c r="L553" s="26" t="n">
        <v>0</v>
      </c>
      <c r="M553" s="26" t="n">
        <v>0</v>
      </c>
    </row>
    <row r="554" ht="16" customHeight="1">
      <c r="A554" t="inlineStr">
        <is>
          <t>14-Oct-2025</t>
        </is>
      </c>
      <c r="B554" t="inlineStr">
        <is>
          <t>Tuesday</t>
        </is>
      </c>
      <c r="C554" t="inlineStr">
        <is>
          <t>Week2-Oct-2025</t>
        </is>
      </c>
      <c r="D554" s="78" t="n">
        <v>45931</v>
      </c>
      <c r="E554" t="inlineStr">
        <is>
          <t>Q3FY26</t>
        </is>
      </c>
      <c r="F554" t="inlineStr">
        <is>
          <t>28-Dec-2027</t>
        </is>
      </c>
      <c r="G554" t="inlineStr">
        <is>
          <t>Tuesday</t>
        </is>
      </c>
      <c r="H554" t="inlineStr">
        <is>
          <t>Monthly - Tuesday</t>
        </is>
      </c>
      <c r="I554" t="inlineStr">
        <is>
          <t>Monthly - Tuesday</t>
        </is>
      </c>
      <c r="J554" t="inlineStr">
        <is>
          <t>Month+26 Expiry</t>
        </is>
      </c>
      <c r="K554" s="25" t="n">
        <v>0</v>
      </c>
      <c r="L554" s="26" t="n">
        <v>0</v>
      </c>
      <c r="M554" s="26" t="n">
        <v>0</v>
      </c>
    </row>
    <row r="555" ht="16" customHeight="1">
      <c r="A555" t="inlineStr">
        <is>
          <t>14-Oct-2025</t>
        </is>
      </c>
      <c r="B555" t="inlineStr">
        <is>
          <t>Tuesday</t>
        </is>
      </c>
      <c r="C555" t="inlineStr">
        <is>
          <t>Week2-Oct-2025</t>
        </is>
      </c>
      <c r="D555" s="78" t="n">
        <v>45931</v>
      </c>
      <c r="E555" t="inlineStr">
        <is>
          <t>Q3FY26</t>
        </is>
      </c>
      <c r="F555" t="inlineStr">
        <is>
          <t>27-Jun-2028</t>
        </is>
      </c>
      <c r="G555" t="inlineStr">
        <is>
          <t>Tuesday</t>
        </is>
      </c>
      <c r="H555" t="inlineStr">
        <is>
          <t>Monthly - Tuesday</t>
        </is>
      </c>
      <c r="I555" t="inlineStr">
        <is>
          <t>Monthly - Tuesday</t>
        </is>
      </c>
      <c r="J555" t="inlineStr">
        <is>
          <t>Month+32 Expiry</t>
        </is>
      </c>
      <c r="K555" s="25" t="n">
        <v>0</v>
      </c>
      <c r="L555" s="26" t="n">
        <v>0</v>
      </c>
      <c r="M555" s="26" t="n">
        <v>0</v>
      </c>
    </row>
    <row r="556" ht="16" customHeight="1">
      <c r="A556" t="inlineStr">
        <is>
          <t>14-Oct-2025</t>
        </is>
      </c>
      <c r="B556" t="inlineStr">
        <is>
          <t>Tuesday</t>
        </is>
      </c>
      <c r="C556" t="inlineStr">
        <is>
          <t>Week2-Oct-2025</t>
        </is>
      </c>
      <c r="D556" s="78" t="n">
        <v>45931</v>
      </c>
      <c r="E556" t="inlineStr">
        <is>
          <t>Q3FY26</t>
        </is>
      </c>
      <c r="F556" t="inlineStr">
        <is>
          <t>26-Dec-2028</t>
        </is>
      </c>
      <c r="G556" t="inlineStr">
        <is>
          <t>Tuesday</t>
        </is>
      </c>
      <c r="H556" t="inlineStr">
        <is>
          <t>Monthly - Tuesday</t>
        </is>
      </c>
      <c r="I556" t="inlineStr">
        <is>
          <t>Monthly - Tuesday</t>
        </is>
      </c>
      <c r="J556" t="inlineStr">
        <is>
          <t>Month+38 Expiry</t>
        </is>
      </c>
      <c r="K556" s="25" t="n">
        <v>0</v>
      </c>
      <c r="L556" s="26" t="n">
        <v>0</v>
      </c>
      <c r="M556" s="26" t="n">
        <v>0</v>
      </c>
    </row>
    <row r="557" ht="16" customHeight="1">
      <c r="A557" t="inlineStr">
        <is>
          <t>14-Oct-2025</t>
        </is>
      </c>
      <c r="B557" t="inlineStr">
        <is>
          <t>Tuesday</t>
        </is>
      </c>
      <c r="C557" t="inlineStr">
        <is>
          <t>Week2-Oct-2025</t>
        </is>
      </c>
      <c r="D557" s="78" t="n">
        <v>45931</v>
      </c>
      <c r="E557" t="inlineStr">
        <is>
          <t>Q3FY26</t>
        </is>
      </c>
      <c r="F557" t="inlineStr">
        <is>
          <t>26-Jun-2029</t>
        </is>
      </c>
      <c r="G557" t="inlineStr">
        <is>
          <t>Tuesday</t>
        </is>
      </c>
      <c r="H557" t="inlineStr">
        <is>
          <t>Monthly - Tuesday</t>
        </is>
      </c>
      <c r="I557" t="inlineStr">
        <is>
          <t>Monthly - Tuesday</t>
        </is>
      </c>
      <c r="J557" t="inlineStr">
        <is>
          <t>Month+44 Expiry</t>
        </is>
      </c>
      <c r="K557" s="25" t="n">
        <v>0</v>
      </c>
      <c r="L557" s="26" t="n">
        <v>0</v>
      </c>
      <c r="M557" s="26" t="n">
        <v>0</v>
      </c>
    </row>
    <row r="558" ht="16" customHeight="1">
      <c r="A558" t="inlineStr">
        <is>
          <t>14-Oct-2025</t>
        </is>
      </c>
      <c r="B558" t="inlineStr">
        <is>
          <t>Tuesday</t>
        </is>
      </c>
      <c r="C558" t="inlineStr">
        <is>
          <t>Week2-Oct-2025</t>
        </is>
      </c>
      <c r="D558" s="78" t="n">
        <v>45931</v>
      </c>
      <c r="E558" t="inlineStr">
        <is>
          <t>Q3FY26</t>
        </is>
      </c>
      <c r="F558" t="inlineStr">
        <is>
          <t>24-Dec-2029</t>
        </is>
      </c>
      <c r="G558" t="inlineStr">
        <is>
          <t>Monday</t>
        </is>
      </c>
      <c r="H558" t="inlineStr">
        <is>
          <t>Weekly - Monday</t>
        </is>
      </c>
      <c r="I558" t="inlineStr">
        <is>
          <t>Weekly - Monday</t>
        </is>
      </c>
      <c r="J558" t="inlineStr">
        <is>
          <t>Month+50 Expiry</t>
        </is>
      </c>
      <c r="K558" s="25" t="n">
        <v>0</v>
      </c>
      <c r="L558" s="26" t="n">
        <v>0</v>
      </c>
      <c r="M558" s="26" t="n">
        <v>0</v>
      </c>
    </row>
    <row r="559" ht="16" customHeight="1">
      <c r="A559" t="inlineStr">
        <is>
          <t>14-Oct-2025</t>
        </is>
      </c>
      <c r="B559" t="inlineStr">
        <is>
          <t>Tuesday</t>
        </is>
      </c>
      <c r="C559" t="inlineStr">
        <is>
          <t>Week2-Oct-2025</t>
        </is>
      </c>
      <c r="D559" s="78" t="n">
        <v>45931</v>
      </c>
      <c r="E559" t="inlineStr">
        <is>
          <t>Q3FY26</t>
        </is>
      </c>
      <c r="F559" t="inlineStr">
        <is>
          <t>25-Jun-2030</t>
        </is>
      </c>
      <c r="G559" t="inlineStr">
        <is>
          <t>Tuesday</t>
        </is>
      </c>
      <c r="H559" t="inlineStr">
        <is>
          <t>Monthly - Tuesday</t>
        </is>
      </c>
      <c r="I559" t="inlineStr">
        <is>
          <t>Monthly - Tuesday</t>
        </is>
      </c>
      <c r="J559" t="inlineStr">
        <is>
          <t>Month+56 Expiry</t>
        </is>
      </c>
      <c r="K559" s="25" t="n">
        <v>0</v>
      </c>
      <c r="L559" s="26" t="n">
        <v>0</v>
      </c>
      <c r="M559" s="26" t="n">
        <v>0</v>
      </c>
    </row>
    <row r="560" ht="16" customHeight="1">
      <c r="A560" t="inlineStr">
        <is>
          <t>15-Oct-2025</t>
        </is>
      </c>
      <c r="B560" t="inlineStr">
        <is>
          <t>Wednesday</t>
        </is>
      </c>
      <c r="C560" t="inlineStr">
        <is>
          <t>Week3-Oct-2025</t>
        </is>
      </c>
      <c r="D560" s="78" t="n">
        <v>45931</v>
      </c>
      <c r="E560" t="inlineStr">
        <is>
          <t>Q3FY26</t>
        </is>
      </c>
      <c r="F560" t="inlineStr">
        <is>
          <t>20-Oct-2025</t>
        </is>
      </c>
      <c r="G560" t="inlineStr">
        <is>
          <t>Monday</t>
        </is>
      </c>
      <c r="H560" t="inlineStr">
        <is>
          <t>Weekly - Monday</t>
        </is>
      </c>
      <c r="I560" t="inlineStr">
        <is>
          <t>Weekly - Monday</t>
        </is>
      </c>
      <c r="J560" t="inlineStr">
        <is>
          <t>Same Month Expiry</t>
        </is>
      </c>
      <c r="K560" s="25" t="n">
        <v>57350473</v>
      </c>
      <c r="L560" s="26" t="n">
        <v>108997.2021</v>
      </c>
      <c r="M560" s="26" t="n">
        <v>286.3948</v>
      </c>
    </row>
    <row r="561" ht="16" customHeight="1">
      <c r="A561" t="inlineStr">
        <is>
          <t>15-Oct-2025</t>
        </is>
      </c>
      <c r="B561" t="inlineStr">
        <is>
          <t>Wednesday</t>
        </is>
      </c>
      <c r="C561" t="inlineStr">
        <is>
          <t>Week3-Oct-2025</t>
        </is>
      </c>
      <c r="D561" s="78" t="n">
        <v>45931</v>
      </c>
      <c r="E561" t="inlineStr">
        <is>
          <t>Q3FY26</t>
        </is>
      </c>
      <c r="F561" t="inlineStr">
        <is>
          <t>28-Oct-2025</t>
        </is>
      </c>
      <c r="G561" t="inlineStr">
        <is>
          <t>Tuesday</t>
        </is>
      </c>
      <c r="H561" t="inlineStr">
        <is>
          <t>Monthly - Tuesday</t>
        </is>
      </c>
      <c r="I561" t="inlineStr">
        <is>
          <t>Monthly - Tuesday</t>
        </is>
      </c>
      <c r="J561" t="inlineStr">
        <is>
          <t>Same Month Expiry</t>
        </is>
      </c>
      <c r="K561" s="25" t="n">
        <v>3191824</v>
      </c>
      <c r="L561" s="26" t="n">
        <v>6067.817</v>
      </c>
      <c r="M561" s="26" t="n">
        <v>25.957</v>
      </c>
    </row>
    <row r="562" ht="16" customHeight="1">
      <c r="A562" t="inlineStr">
        <is>
          <t>15-Oct-2025</t>
        </is>
      </c>
      <c r="B562" t="inlineStr">
        <is>
          <t>Wednesday</t>
        </is>
      </c>
      <c r="C562" t="inlineStr">
        <is>
          <t>Week3-Oct-2025</t>
        </is>
      </c>
      <c r="D562" s="78" t="n">
        <v>45931</v>
      </c>
      <c r="E562" t="inlineStr">
        <is>
          <t>Q3FY26</t>
        </is>
      </c>
      <c r="F562" t="inlineStr">
        <is>
          <t>04-Nov-2025</t>
        </is>
      </c>
      <c r="G562" t="inlineStr">
        <is>
          <t>Tuesday</t>
        </is>
      </c>
      <c r="H562" t="inlineStr">
        <is>
          <t>Weekly - Tuesday</t>
        </is>
      </c>
      <c r="I562" t="inlineStr">
        <is>
          <t>Weekly - Tuesday</t>
        </is>
      </c>
      <c r="J562" t="inlineStr">
        <is>
          <t>Month+1 Expiry</t>
        </is>
      </c>
      <c r="K562" s="25" t="n">
        <v>109413</v>
      </c>
      <c r="L562" s="26" t="n">
        <v>209.2283</v>
      </c>
      <c r="M562" s="26" t="n">
        <v>1.1526</v>
      </c>
    </row>
    <row r="563" ht="16" customHeight="1">
      <c r="A563" t="inlineStr">
        <is>
          <t>15-Oct-2025</t>
        </is>
      </c>
      <c r="B563" t="inlineStr">
        <is>
          <t>Wednesday</t>
        </is>
      </c>
      <c r="C563" t="inlineStr">
        <is>
          <t>Week3-Oct-2025</t>
        </is>
      </c>
      <c r="D563" s="78" t="n">
        <v>45931</v>
      </c>
      <c r="E563" t="inlineStr">
        <is>
          <t>Q3FY26</t>
        </is>
      </c>
      <c r="F563" t="inlineStr">
        <is>
          <t>11-Nov-2025</t>
        </is>
      </c>
      <c r="G563" t="inlineStr">
        <is>
          <t>Tuesday</t>
        </is>
      </c>
      <c r="H563" t="inlineStr">
        <is>
          <t>Weekly - Tuesday</t>
        </is>
      </c>
      <c r="I563" t="inlineStr">
        <is>
          <t>Weekly - Tuesday</t>
        </is>
      </c>
      <c r="J563" t="inlineStr">
        <is>
          <t>Month+1 Expiry</t>
        </is>
      </c>
      <c r="K563" s="25" t="n">
        <v>10526</v>
      </c>
      <c r="L563" s="26" t="n">
        <v>20.114</v>
      </c>
      <c r="M563" s="26" t="n">
        <v>0.1368</v>
      </c>
    </row>
    <row r="564" ht="16" customHeight="1">
      <c r="A564" t="inlineStr">
        <is>
          <t>15-Oct-2025</t>
        </is>
      </c>
      <c r="B564" t="inlineStr">
        <is>
          <t>Wednesday</t>
        </is>
      </c>
      <c r="C564" t="inlineStr">
        <is>
          <t>Week3-Oct-2025</t>
        </is>
      </c>
      <c r="D564" s="78" t="n">
        <v>45931</v>
      </c>
      <c r="E564" t="inlineStr">
        <is>
          <t>Q3FY26</t>
        </is>
      </c>
      <c r="F564" t="inlineStr">
        <is>
          <t>18-Nov-2025</t>
        </is>
      </c>
      <c r="G564" t="inlineStr">
        <is>
          <t>Tuesday</t>
        </is>
      </c>
      <c r="H564" t="inlineStr">
        <is>
          <t>Weekly - Tuesday</t>
        </is>
      </c>
      <c r="I564" t="inlineStr">
        <is>
          <t>Weekly - Tuesday</t>
        </is>
      </c>
      <c r="J564" t="inlineStr">
        <is>
          <t>Month+1 Expiry</t>
        </is>
      </c>
      <c r="K564" s="25" t="n">
        <v>98</v>
      </c>
      <c r="L564" s="26" t="n">
        <v>0.1894</v>
      </c>
      <c r="M564" s="26" t="n">
        <v>0.0015</v>
      </c>
    </row>
    <row r="565" ht="16" customHeight="1">
      <c r="A565" t="inlineStr">
        <is>
          <t>15-Oct-2025</t>
        </is>
      </c>
      <c r="B565" t="inlineStr">
        <is>
          <t>Wednesday</t>
        </is>
      </c>
      <c r="C565" t="inlineStr">
        <is>
          <t>Week3-Oct-2025</t>
        </is>
      </c>
      <c r="D565" s="78" t="n">
        <v>45931</v>
      </c>
      <c r="E565" t="inlineStr">
        <is>
          <t>Q3FY26</t>
        </is>
      </c>
      <c r="F565" t="inlineStr">
        <is>
          <t>25-Nov-2025</t>
        </is>
      </c>
      <c r="G565" t="inlineStr">
        <is>
          <t>Tuesday</t>
        </is>
      </c>
      <c r="H565" t="inlineStr">
        <is>
          <t>Monthly - Tuesday</t>
        </is>
      </c>
      <c r="I565" t="inlineStr">
        <is>
          <t>Monthly - Tuesday</t>
        </is>
      </c>
      <c r="J565" t="inlineStr">
        <is>
          <t>Month+1 Expiry</t>
        </is>
      </c>
      <c r="K565" s="25" t="n">
        <v>356992</v>
      </c>
      <c r="L565" s="26" t="n">
        <v>681.7133</v>
      </c>
      <c r="M565" s="26" t="n">
        <v>4.8435</v>
      </c>
    </row>
    <row r="566" ht="16" customHeight="1">
      <c r="A566" t="inlineStr">
        <is>
          <t>15-Oct-2025</t>
        </is>
      </c>
      <c r="B566" t="inlineStr">
        <is>
          <t>Wednesday</t>
        </is>
      </c>
      <c r="C566" t="inlineStr">
        <is>
          <t>Week3-Oct-2025</t>
        </is>
      </c>
      <c r="D566" s="78" t="n">
        <v>45931</v>
      </c>
      <c r="E566" t="inlineStr">
        <is>
          <t>Q3FY26</t>
        </is>
      </c>
      <c r="F566" t="inlineStr">
        <is>
          <t>30-Dec-2025</t>
        </is>
      </c>
      <c r="G566" t="inlineStr">
        <is>
          <t>Tuesday</t>
        </is>
      </c>
      <c r="H566" t="inlineStr">
        <is>
          <t>Monthly - Tuesday</t>
        </is>
      </c>
      <c r="I566" t="inlineStr">
        <is>
          <t>Monthly - Tuesday</t>
        </is>
      </c>
      <c r="J566" t="inlineStr">
        <is>
          <t>Month+2 Expiry</t>
        </is>
      </c>
      <c r="K566" s="25" t="n">
        <v>121328</v>
      </c>
      <c r="L566" s="26" t="n">
        <v>229.6278</v>
      </c>
      <c r="M566" s="26" t="n">
        <v>2.3838</v>
      </c>
    </row>
    <row r="567" ht="16" customHeight="1">
      <c r="A567" t="inlineStr">
        <is>
          <t>15-Oct-2025</t>
        </is>
      </c>
      <c r="B567" t="inlineStr">
        <is>
          <t>Wednesday</t>
        </is>
      </c>
      <c r="C567" t="inlineStr">
        <is>
          <t>Week3-Oct-2025</t>
        </is>
      </c>
      <c r="D567" s="78" t="n">
        <v>45931</v>
      </c>
      <c r="E567" t="inlineStr">
        <is>
          <t>Q3FY26</t>
        </is>
      </c>
      <c r="F567" t="inlineStr">
        <is>
          <t>31-Mar-2026</t>
        </is>
      </c>
      <c r="G567" t="inlineStr">
        <is>
          <t>Tuesday</t>
        </is>
      </c>
      <c r="H567" t="inlineStr">
        <is>
          <t>Monthly - Tuesday</t>
        </is>
      </c>
      <c r="I567" t="inlineStr">
        <is>
          <t>Monthly - Tuesday</t>
        </is>
      </c>
      <c r="J567" t="inlineStr">
        <is>
          <t>Month+5 Expiry</t>
        </is>
      </c>
      <c r="K567" s="25" t="n">
        <v>16265</v>
      </c>
      <c r="L567" s="26" t="n">
        <v>31.3051</v>
      </c>
      <c r="M567" s="26" t="n">
        <v>0.5417999999999999</v>
      </c>
    </row>
    <row r="568" ht="16" customHeight="1">
      <c r="A568" t="inlineStr">
        <is>
          <t>15-Oct-2025</t>
        </is>
      </c>
      <c r="B568" t="inlineStr">
        <is>
          <t>Wednesday</t>
        </is>
      </c>
      <c r="C568" t="inlineStr">
        <is>
          <t>Week3-Oct-2025</t>
        </is>
      </c>
      <c r="D568" s="78" t="n">
        <v>45931</v>
      </c>
      <c r="E568" t="inlineStr">
        <is>
          <t>Q3FY26</t>
        </is>
      </c>
      <c r="F568" t="inlineStr">
        <is>
          <t>30-Jun-2026</t>
        </is>
      </c>
      <c r="G568" t="inlineStr">
        <is>
          <t>Tuesday</t>
        </is>
      </c>
      <c r="H568" t="inlineStr">
        <is>
          <t>Monthly - Tuesday</t>
        </is>
      </c>
      <c r="I568" t="inlineStr">
        <is>
          <t>Monthly - Tuesday</t>
        </is>
      </c>
      <c r="J568" t="inlineStr">
        <is>
          <t>Month+8 Expiry</t>
        </is>
      </c>
      <c r="K568" s="25" t="n">
        <v>6349</v>
      </c>
      <c r="L568" s="26" t="n">
        <v>12.3516</v>
      </c>
      <c r="M568" s="26" t="n">
        <v>0.2511</v>
      </c>
    </row>
    <row r="569" ht="16" customHeight="1">
      <c r="A569" t="inlineStr">
        <is>
          <t>15-Oct-2025</t>
        </is>
      </c>
      <c r="B569" t="inlineStr">
        <is>
          <t>Wednesday</t>
        </is>
      </c>
      <c r="C569" t="inlineStr">
        <is>
          <t>Week3-Oct-2025</t>
        </is>
      </c>
      <c r="D569" s="78" t="n">
        <v>45931</v>
      </c>
      <c r="E569" t="inlineStr">
        <is>
          <t>Q3FY26</t>
        </is>
      </c>
      <c r="F569" t="inlineStr">
        <is>
          <t>29-Sep-2026</t>
        </is>
      </c>
      <c r="G569" t="inlineStr">
        <is>
          <t>Tuesday</t>
        </is>
      </c>
      <c r="H569" t="inlineStr">
        <is>
          <t>Monthly - Tuesday</t>
        </is>
      </c>
      <c r="I569" t="inlineStr">
        <is>
          <t>Monthly - Tuesday</t>
        </is>
      </c>
      <c r="J569" t="inlineStr">
        <is>
          <t>Month+11 Expiry</t>
        </is>
      </c>
      <c r="K569" s="25" t="n">
        <v>0</v>
      </c>
      <c r="L569" s="26" t="n">
        <v>0</v>
      </c>
      <c r="M569" s="26" t="n">
        <v>0</v>
      </c>
    </row>
    <row r="570" ht="16" customHeight="1">
      <c r="A570" t="inlineStr">
        <is>
          <t>15-Oct-2025</t>
        </is>
      </c>
      <c r="B570" t="inlineStr">
        <is>
          <t>Wednesday</t>
        </is>
      </c>
      <c r="C570" t="inlineStr">
        <is>
          <t>Week3-Oct-2025</t>
        </is>
      </c>
      <c r="D570" s="78" t="n">
        <v>45931</v>
      </c>
      <c r="E570" t="inlineStr">
        <is>
          <t>Q3FY26</t>
        </is>
      </c>
      <c r="F570" t="inlineStr">
        <is>
          <t>29-Dec-2026</t>
        </is>
      </c>
      <c r="G570" t="inlineStr">
        <is>
          <t>Tuesday</t>
        </is>
      </c>
      <c r="H570" t="inlineStr">
        <is>
          <t>Monthly - Tuesday</t>
        </is>
      </c>
      <c r="I570" t="inlineStr">
        <is>
          <t>Monthly - Tuesday</t>
        </is>
      </c>
      <c r="J570" t="inlineStr">
        <is>
          <t>Month+14 Expiry</t>
        </is>
      </c>
      <c r="K570" s="25" t="n">
        <v>1528</v>
      </c>
      <c r="L570" s="26" t="n">
        <v>3.0799</v>
      </c>
      <c r="M570" s="26" t="n">
        <v>0.1116</v>
      </c>
    </row>
    <row r="571" ht="16" customHeight="1">
      <c r="A571" t="inlineStr">
        <is>
          <t>15-Oct-2025</t>
        </is>
      </c>
      <c r="B571" t="inlineStr">
        <is>
          <t>Wednesday</t>
        </is>
      </c>
      <c r="C571" t="inlineStr">
        <is>
          <t>Week3-Oct-2025</t>
        </is>
      </c>
      <c r="D571" s="78" t="n">
        <v>45931</v>
      </c>
      <c r="E571" t="inlineStr">
        <is>
          <t>Q3FY26</t>
        </is>
      </c>
      <c r="F571" t="inlineStr">
        <is>
          <t>29-Jun-2027</t>
        </is>
      </c>
      <c r="G571" t="inlineStr">
        <is>
          <t>Tuesday</t>
        </is>
      </c>
      <c r="H571" t="inlineStr">
        <is>
          <t>Monthly - Tuesday</t>
        </is>
      </c>
      <c r="I571" t="inlineStr">
        <is>
          <t>Monthly - Tuesday</t>
        </is>
      </c>
      <c r="J571" t="inlineStr">
        <is>
          <t>Month+20 Expiry</t>
        </is>
      </c>
      <c r="K571" s="25" t="n">
        <v>0</v>
      </c>
      <c r="L571" s="26" t="n">
        <v>0</v>
      </c>
      <c r="M571" s="26" t="n">
        <v>0</v>
      </c>
    </row>
    <row r="572" ht="16" customHeight="1">
      <c r="A572" t="inlineStr">
        <is>
          <t>15-Oct-2025</t>
        </is>
      </c>
      <c r="B572" t="inlineStr">
        <is>
          <t>Wednesday</t>
        </is>
      </c>
      <c r="C572" t="inlineStr">
        <is>
          <t>Week3-Oct-2025</t>
        </is>
      </c>
      <c r="D572" s="78" t="n">
        <v>45931</v>
      </c>
      <c r="E572" t="inlineStr">
        <is>
          <t>Q3FY26</t>
        </is>
      </c>
      <c r="F572" t="inlineStr">
        <is>
          <t>28-Dec-2027</t>
        </is>
      </c>
      <c r="G572" t="inlineStr">
        <is>
          <t>Tuesday</t>
        </is>
      </c>
      <c r="H572" t="inlineStr">
        <is>
          <t>Monthly - Tuesday</t>
        </is>
      </c>
      <c r="I572" t="inlineStr">
        <is>
          <t>Monthly - Tuesday</t>
        </is>
      </c>
      <c r="J572" t="inlineStr">
        <is>
          <t>Month+26 Expiry</t>
        </is>
      </c>
      <c r="K572" s="25" t="n">
        <v>7</v>
      </c>
      <c r="L572" s="26" t="n">
        <v>0.0124</v>
      </c>
      <c r="M572" s="26" t="n">
        <v>0.0003</v>
      </c>
    </row>
    <row r="573" ht="16" customHeight="1">
      <c r="A573" t="inlineStr">
        <is>
          <t>15-Oct-2025</t>
        </is>
      </c>
      <c r="B573" t="inlineStr">
        <is>
          <t>Wednesday</t>
        </is>
      </c>
      <c r="C573" t="inlineStr">
        <is>
          <t>Week3-Oct-2025</t>
        </is>
      </c>
      <c r="D573" s="78" t="n">
        <v>45931</v>
      </c>
      <c r="E573" t="inlineStr">
        <is>
          <t>Q3FY26</t>
        </is>
      </c>
      <c r="F573" t="inlineStr">
        <is>
          <t>27-Jun-2028</t>
        </is>
      </c>
      <c r="G573" t="inlineStr">
        <is>
          <t>Tuesday</t>
        </is>
      </c>
      <c r="H573" t="inlineStr">
        <is>
          <t>Monthly - Tuesday</t>
        </is>
      </c>
      <c r="I573" t="inlineStr">
        <is>
          <t>Monthly - Tuesday</t>
        </is>
      </c>
      <c r="J573" t="inlineStr">
        <is>
          <t>Month+32 Expiry</t>
        </is>
      </c>
      <c r="K573" s="25" t="n">
        <v>0</v>
      </c>
      <c r="L573" s="26" t="n">
        <v>0</v>
      </c>
      <c r="M573" s="26" t="n">
        <v>0</v>
      </c>
    </row>
    <row r="574" ht="16" customHeight="1">
      <c r="A574" t="inlineStr">
        <is>
          <t>15-Oct-2025</t>
        </is>
      </c>
      <c r="B574" t="inlineStr">
        <is>
          <t>Wednesday</t>
        </is>
      </c>
      <c r="C574" t="inlineStr">
        <is>
          <t>Week3-Oct-2025</t>
        </is>
      </c>
      <c r="D574" s="78" t="n">
        <v>45931</v>
      </c>
      <c r="E574" t="inlineStr">
        <is>
          <t>Q3FY26</t>
        </is>
      </c>
      <c r="F574" t="inlineStr">
        <is>
          <t>26-Dec-2028</t>
        </is>
      </c>
      <c r="G574" t="inlineStr">
        <is>
          <t>Tuesday</t>
        </is>
      </c>
      <c r="H574" t="inlineStr">
        <is>
          <t>Monthly - Tuesday</t>
        </is>
      </c>
      <c r="I574" t="inlineStr">
        <is>
          <t>Monthly - Tuesday</t>
        </is>
      </c>
      <c r="J574" t="inlineStr">
        <is>
          <t>Month+38 Expiry</t>
        </is>
      </c>
      <c r="K574" s="25" t="n">
        <v>0</v>
      </c>
      <c r="L574" s="26" t="n">
        <v>0</v>
      </c>
      <c r="M574" s="26" t="n">
        <v>0</v>
      </c>
    </row>
    <row r="575" ht="16" customHeight="1">
      <c r="A575" t="inlineStr">
        <is>
          <t>15-Oct-2025</t>
        </is>
      </c>
      <c r="B575" t="inlineStr">
        <is>
          <t>Wednesday</t>
        </is>
      </c>
      <c r="C575" t="inlineStr">
        <is>
          <t>Week3-Oct-2025</t>
        </is>
      </c>
      <c r="D575" s="78" t="n">
        <v>45931</v>
      </c>
      <c r="E575" t="inlineStr">
        <is>
          <t>Q3FY26</t>
        </is>
      </c>
      <c r="F575" t="inlineStr">
        <is>
          <t>26-Jun-2029</t>
        </is>
      </c>
      <c r="G575" t="inlineStr">
        <is>
          <t>Tuesday</t>
        </is>
      </c>
      <c r="H575" t="inlineStr">
        <is>
          <t>Monthly - Tuesday</t>
        </is>
      </c>
      <c r="I575" t="inlineStr">
        <is>
          <t>Monthly - Tuesday</t>
        </is>
      </c>
      <c r="J575" t="inlineStr">
        <is>
          <t>Month+44 Expiry</t>
        </is>
      </c>
      <c r="K575" s="25" t="n">
        <v>0</v>
      </c>
      <c r="L575" s="26" t="n">
        <v>0</v>
      </c>
      <c r="M575" s="26" t="n">
        <v>0</v>
      </c>
    </row>
    <row r="576" ht="16" customHeight="1">
      <c r="A576" t="inlineStr">
        <is>
          <t>15-Oct-2025</t>
        </is>
      </c>
      <c r="B576" t="inlineStr">
        <is>
          <t>Wednesday</t>
        </is>
      </c>
      <c r="C576" t="inlineStr">
        <is>
          <t>Week3-Oct-2025</t>
        </is>
      </c>
      <c r="D576" s="78" t="n">
        <v>45931</v>
      </c>
      <c r="E576" t="inlineStr">
        <is>
          <t>Q3FY26</t>
        </is>
      </c>
      <c r="F576" t="inlineStr">
        <is>
          <t>24-Dec-2029</t>
        </is>
      </c>
      <c r="G576" t="inlineStr">
        <is>
          <t>Monday</t>
        </is>
      </c>
      <c r="H576" t="inlineStr">
        <is>
          <t>Weekly - Monday</t>
        </is>
      </c>
      <c r="I576" t="inlineStr">
        <is>
          <t>Weekly - Monday</t>
        </is>
      </c>
      <c r="J576" t="inlineStr">
        <is>
          <t>Month+50 Expiry</t>
        </is>
      </c>
      <c r="K576" s="25" t="n">
        <v>0</v>
      </c>
      <c r="L576" s="26" t="n">
        <v>0</v>
      </c>
      <c r="M576" s="26" t="n">
        <v>0</v>
      </c>
    </row>
    <row r="577" ht="16" customHeight="1">
      <c r="A577" t="inlineStr">
        <is>
          <t>15-Oct-2025</t>
        </is>
      </c>
      <c r="B577" t="inlineStr">
        <is>
          <t>Wednesday</t>
        </is>
      </c>
      <c r="C577" t="inlineStr">
        <is>
          <t>Week3-Oct-2025</t>
        </is>
      </c>
      <c r="D577" s="78" t="n">
        <v>45931</v>
      </c>
      <c r="E577" t="inlineStr">
        <is>
          <t>Q3FY26</t>
        </is>
      </c>
      <c r="F577" t="inlineStr">
        <is>
          <t>25-Jun-2030</t>
        </is>
      </c>
      <c r="G577" t="inlineStr">
        <is>
          <t>Tuesday</t>
        </is>
      </c>
      <c r="H577" t="inlineStr">
        <is>
          <t>Monthly - Tuesday</t>
        </is>
      </c>
      <c r="I577" t="inlineStr">
        <is>
          <t>Monthly - Tuesday</t>
        </is>
      </c>
      <c r="J577" t="inlineStr">
        <is>
          <t>Month+56 Expiry</t>
        </is>
      </c>
      <c r="K577" s="25" t="n">
        <v>0</v>
      </c>
      <c r="L577" s="26" t="n">
        <v>0</v>
      </c>
      <c r="M577" s="26" t="n">
        <v>0</v>
      </c>
    </row>
    <row r="578" ht="16" customHeight="1">
      <c r="A578" t="inlineStr">
        <is>
          <t>16-Oct-2025</t>
        </is>
      </c>
      <c r="B578" t="inlineStr">
        <is>
          <t>Thursday</t>
        </is>
      </c>
      <c r="C578" t="inlineStr">
        <is>
          <t>Week3-Oct-2025</t>
        </is>
      </c>
      <c r="D578" s="78" t="n">
        <v>45931</v>
      </c>
      <c r="E578" t="inlineStr">
        <is>
          <t>Q3FY26</t>
        </is>
      </c>
      <c r="F578" t="inlineStr">
        <is>
          <t>20-Oct-2025</t>
        </is>
      </c>
      <c r="G578" t="inlineStr">
        <is>
          <t>Monday</t>
        </is>
      </c>
      <c r="H578" t="inlineStr">
        <is>
          <t>Weekly - Monday</t>
        </is>
      </c>
      <c r="I578" t="inlineStr">
        <is>
          <t>Weekly - Monday</t>
        </is>
      </c>
      <c r="J578" t="inlineStr">
        <is>
          <t>Same Month Expiry</t>
        </is>
      </c>
      <c r="K578" s="25" t="n">
        <v>60901085</v>
      </c>
      <c r="L578" s="26" t="n">
        <v>116377.0201</v>
      </c>
      <c r="M578" s="26" t="n">
        <v>254.9451</v>
      </c>
    </row>
    <row r="579" ht="16" customHeight="1">
      <c r="A579" t="inlineStr">
        <is>
          <t>16-Oct-2025</t>
        </is>
      </c>
      <c r="B579" t="inlineStr">
        <is>
          <t>Thursday</t>
        </is>
      </c>
      <c r="C579" t="inlineStr">
        <is>
          <t>Week3-Oct-2025</t>
        </is>
      </c>
      <c r="D579" s="78" t="n">
        <v>45931</v>
      </c>
      <c r="E579" t="inlineStr">
        <is>
          <t>Q3FY26</t>
        </is>
      </c>
      <c r="F579" t="inlineStr">
        <is>
          <t>28-Oct-2025</t>
        </is>
      </c>
      <c r="G579" t="inlineStr">
        <is>
          <t>Tuesday</t>
        </is>
      </c>
      <c r="H579" t="inlineStr">
        <is>
          <t>Monthly - Tuesday</t>
        </is>
      </c>
      <c r="I579" t="inlineStr">
        <is>
          <t>Monthly - Tuesday</t>
        </is>
      </c>
      <c r="J579" t="inlineStr">
        <is>
          <t>Same Month Expiry</t>
        </is>
      </c>
      <c r="K579" s="25" t="n">
        <v>4708456</v>
      </c>
      <c r="L579" s="26" t="n">
        <v>9014.3524</v>
      </c>
      <c r="M579" s="26" t="n">
        <v>35.6895</v>
      </c>
    </row>
    <row r="580" ht="16" customHeight="1">
      <c r="A580" t="inlineStr">
        <is>
          <t>16-Oct-2025</t>
        </is>
      </c>
      <c r="B580" t="inlineStr">
        <is>
          <t>Thursday</t>
        </is>
      </c>
      <c r="C580" t="inlineStr">
        <is>
          <t>Week3-Oct-2025</t>
        </is>
      </c>
      <c r="D580" s="78" t="n">
        <v>45931</v>
      </c>
      <c r="E580" t="inlineStr">
        <is>
          <t>Q3FY26</t>
        </is>
      </c>
      <c r="F580" t="inlineStr">
        <is>
          <t>04-Nov-2025</t>
        </is>
      </c>
      <c r="G580" t="inlineStr">
        <is>
          <t>Tuesday</t>
        </is>
      </c>
      <c r="H580" t="inlineStr">
        <is>
          <t>Weekly - Tuesday</t>
        </is>
      </c>
      <c r="I580" t="inlineStr">
        <is>
          <t>Weekly - Tuesday</t>
        </is>
      </c>
      <c r="J580" t="inlineStr">
        <is>
          <t>Month+1 Expiry</t>
        </is>
      </c>
      <c r="K580" s="25" t="n">
        <v>174904</v>
      </c>
      <c r="L580" s="26" t="n">
        <v>336.1893</v>
      </c>
      <c r="M580" s="26" t="n">
        <v>1.8124</v>
      </c>
    </row>
    <row r="581" ht="16" customHeight="1">
      <c r="A581" t="inlineStr">
        <is>
          <t>16-Oct-2025</t>
        </is>
      </c>
      <c r="B581" t="inlineStr">
        <is>
          <t>Thursday</t>
        </is>
      </c>
      <c r="C581" t="inlineStr">
        <is>
          <t>Week3-Oct-2025</t>
        </is>
      </c>
      <c r="D581" s="78" t="n">
        <v>45931</v>
      </c>
      <c r="E581" t="inlineStr">
        <is>
          <t>Q3FY26</t>
        </is>
      </c>
      <c r="F581" t="inlineStr">
        <is>
          <t>11-Nov-2025</t>
        </is>
      </c>
      <c r="G581" t="inlineStr">
        <is>
          <t>Tuesday</t>
        </is>
      </c>
      <c r="H581" t="inlineStr">
        <is>
          <t>Weekly - Tuesday</t>
        </is>
      </c>
      <c r="I581" t="inlineStr">
        <is>
          <t>Weekly - Tuesday</t>
        </is>
      </c>
      <c r="J581" t="inlineStr">
        <is>
          <t>Month+1 Expiry</t>
        </is>
      </c>
      <c r="K581" s="25" t="n">
        <v>23423</v>
      </c>
      <c r="L581" s="26" t="n">
        <v>45.1837</v>
      </c>
      <c r="M581" s="26" t="n">
        <v>0.303</v>
      </c>
    </row>
    <row r="582" ht="16" customHeight="1">
      <c r="A582" t="inlineStr">
        <is>
          <t>16-Oct-2025</t>
        </is>
      </c>
      <c r="B582" t="inlineStr">
        <is>
          <t>Thursday</t>
        </is>
      </c>
      <c r="C582" t="inlineStr">
        <is>
          <t>Week3-Oct-2025</t>
        </is>
      </c>
      <c r="D582" s="78" t="n">
        <v>45931</v>
      </c>
      <c r="E582" t="inlineStr">
        <is>
          <t>Q3FY26</t>
        </is>
      </c>
      <c r="F582" t="inlineStr">
        <is>
          <t>18-Nov-2025</t>
        </is>
      </c>
      <c r="G582" t="inlineStr">
        <is>
          <t>Tuesday</t>
        </is>
      </c>
      <c r="H582" t="inlineStr">
        <is>
          <t>Weekly - Tuesday</t>
        </is>
      </c>
      <c r="I582" t="inlineStr">
        <is>
          <t>Weekly - Tuesday</t>
        </is>
      </c>
      <c r="J582" t="inlineStr">
        <is>
          <t>Month+1 Expiry</t>
        </is>
      </c>
      <c r="K582" s="25" t="n">
        <v>1957</v>
      </c>
      <c r="L582" s="26" t="n">
        <v>3.8014</v>
      </c>
      <c r="M582" s="26" t="n">
        <v>0.0274</v>
      </c>
    </row>
    <row r="583" ht="16" customHeight="1">
      <c r="A583" t="inlineStr">
        <is>
          <t>16-Oct-2025</t>
        </is>
      </c>
      <c r="B583" t="inlineStr">
        <is>
          <t>Thursday</t>
        </is>
      </c>
      <c r="C583" t="inlineStr">
        <is>
          <t>Week3-Oct-2025</t>
        </is>
      </c>
      <c r="D583" s="78" t="n">
        <v>45931</v>
      </c>
      <c r="E583" t="inlineStr">
        <is>
          <t>Q3FY26</t>
        </is>
      </c>
      <c r="F583" t="inlineStr">
        <is>
          <t>25-Nov-2025</t>
        </is>
      </c>
      <c r="G583" t="inlineStr">
        <is>
          <t>Tuesday</t>
        </is>
      </c>
      <c r="H583" t="inlineStr">
        <is>
          <t>Monthly - Tuesday</t>
        </is>
      </c>
      <c r="I583" t="inlineStr">
        <is>
          <t>Monthly - Tuesday</t>
        </is>
      </c>
      <c r="J583" t="inlineStr">
        <is>
          <t>Month+1 Expiry</t>
        </is>
      </c>
      <c r="K583" s="25" t="n">
        <v>489711</v>
      </c>
      <c r="L583" s="26" t="n">
        <v>940.3236000000001</v>
      </c>
      <c r="M583" s="26" t="n">
        <v>7.2803</v>
      </c>
    </row>
    <row r="584" ht="16" customHeight="1">
      <c r="A584" t="inlineStr">
        <is>
          <t>16-Oct-2025</t>
        </is>
      </c>
      <c r="B584" t="inlineStr">
        <is>
          <t>Thursday</t>
        </is>
      </c>
      <c r="C584" t="inlineStr">
        <is>
          <t>Week3-Oct-2025</t>
        </is>
      </c>
      <c r="D584" s="78" t="n">
        <v>45931</v>
      </c>
      <c r="E584" t="inlineStr">
        <is>
          <t>Q3FY26</t>
        </is>
      </c>
      <c r="F584" t="inlineStr">
        <is>
          <t>30-Dec-2025</t>
        </is>
      </c>
      <c r="G584" t="inlineStr">
        <is>
          <t>Tuesday</t>
        </is>
      </c>
      <c r="H584" t="inlineStr">
        <is>
          <t>Monthly - Tuesday</t>
        </is>
      </c>
      <c r="I584" t="inlineStr">
        <is>
          <t>Monthly - Tuesday</t>
        </is>
      </c>
      <c r="J584" t="inlineStr">
        <is>
          <t>Month+2 Expiry</t>
        </is>
      </c>
      <c r="K584" s="25" t="n">
        <v>166754</v>
      </c>
      <c r="L584" s="26" t="n">
        <v>320.5102</v>
      </c>
      <c r="M584" s="26" t="n">
        <v>3.8601</v>
      </c>
    </row>
    <row r="585" ht="16" customHeight="1">
      <c r="A585" t="inlineStr">
        <is>
          <t>16-Oct-2025</t>
        </is>
      </c>
      <c r="B585" t="inlineStr">
        <is>
          <t>Thursday</t>
        </is>
      </c>
      <c r="C585" t="inlineStr">
        <is>
          <t>Week3-Oct-2025</t>
        </is>
      </c>
      <c r="D585" s="78" t="n">
        <v>45931</v>
      </c>
      <c r="E585" t="inlineStr">
        <is>
          <t>Q3FY26</t>
        </is>
      </c>
      <c r="F585" t="inlineStr">
        <is>
          <t>31-Mar-2026</t>
        </is>
      </c>
      <c r="G585" t="inlineStr">
        <is>
          <t>Tuesday</t>
        </is>
      </c>
      <c r="H585" t="inlineStr">
        <is>
          <t>Monthly - Tuesday</t>
        </is>
      </c>
      <c r="I585" t="inlineStr">
        <is>
          <t>Monthly - Tuesday</t>
        </is>
      </c>
      <c r="J585" t="inlineStr">
        <is>
          <t>Month+5 Expiry</t>
        </is>
      </c>
      <c r="K585" s="25" t="n">
        <v>32304</v>
      </c>
      <c r="L585" s="26" t="n">
        <v>64.181</v>
      </c>
      <c r="M585" s="26" t="n">
        <v>0.9589</v>
      </c>
    </row>
    <row r="586" ht="16" customHeight="1">
      <c r="A586" t="inlineStr">
        <is>
          <t>16-Oct-2025</t>
        </is>
      </c>
      <c r="B586" t="inlineStr">
        <is>
          <t>Thursday</t>
        </is>
      </c>
      <c r="C586" t="inlineStr">
        <is>
          <t>Week3-Oct-2025</t>
        </is>
      </c>
      <c r="D586" s="78" t="n">
        <v>45931</v>
      </c>
      <c r="E586" t="inlineStr">
        <is>
          <t>Q3FY26</t>
        </is>
      </c>
      <c r="F586" t="inlineStr">
        <is>
          <t>30-Jun-2026</t>
        </is>
      </c>
      <c r="G586" t="inlineStr">
        <is>
          <t>Tuesday</t>
        </is>
      </c>
      <c r="H586" t="inlineStr">
        <is>
          <t>Monthly - Tuesday</t>
        </is>
      </c>
      <c r="I586" t="inlineStr">
        <is>
          <t>Monthly - Tuesday</t>
        </is>
      </c>
      <c r="J586" t="inlineStr">
        <is>
          <t>Month+8 Expiry</t>
        </is>
      </c>
      <c r="K586" s="25" t="n">
        <v>7851</v>
      </c>
      <c r="L586" s="26" t="n">
        <v>15.5562</v>
      </c>
      <c r="M586" s="26" t="n">
        <v>0.3951</v>
      </c>
    </row>
    <row r="587" ht="16" customHeight="1">
      <c r="A587" t="inlineStr">
        <is>
          <t>16-Oct-2025</t>
        </is>
      </c>
      <c r="B587" t="inlineStr">
        <is>
          <t>Thursday</t>
        </is>
      </c>
      <c r="C587" t="inlineStr">
        <is>
          <t>Week3-Oct-2025</t>
        </is>
      </c>
      <c r="D587" s="78" t="n">
        <v>45931</v>
      </c>
      <c r="E587" t="inlineStr">
        <is>
          <t>Q3FY26</t>
        </is>
      </c>
      <c r="F587" t="inlineStr">
        <is>
          <t>29-Sep-2026</t>
        </is>
      </c>
      <c r="G587" t="inlineStr">
        <is>
          <t>Tuesday</t>
        </is>
      </c>
      <c r="H587" t="inlineStr">
        <is>
          <t>Monthly - Tuesday</t>
        </is>
      </c>
      <c r="I587" t="inlineStr">
        <is>
          <t>Monthly - Tuesday</t>
        </is>
      </c>
      <c r="J587" t="inlineStr">
        <is>
          <t>Month+11 Expiry</t>
        </is>
      </c>
      <c r="K587" s="25" t="n">
        <v>0</v>
      </c>
      <c r="L587" s="26" t="n">
        <v>0</v>
      </c>
      <c r="M587" s="26" t="n">
        <v>0</v>
      </c>
    </row>
    <row r="588" ht="16" customHeight="1">
      <c r="A588" t="inlineStr">
        <is>
          <t>16-Oct-2025</t>
        </is>
      </c>
      <c r="B588" t="inlineStr">
        <is>
          <t>Thursday</t>
        </is>
      </c>
      <c r="C588" t="inlineStr">
        <is>
          <t>Week3-Oct-2025</t>
        </is>
      </c>
      <c r="D588" s="78" t="n">
        <v>45931</v>
      </c>
      <c r="E588" t="inlineStr">
        <is>
          <t>Q3FY26</t>
        </is>
      </c>
      <c r="F588" t="inlineStr">
        <is>
          <t>29-Dec-2026</t>
        </is>
      </c>
      <c r="G588" t="inlineStr">
        <is>
          <t>Tuesday</t>
        </is>
      </c>
      <c r="H588" t="inlineStr">
        <is>
          <t>Monthly - Tuesday</t>
        </is>
      </c>
      <c r="I588" t="inlineStr">
        <is>
          <t>Monthly - Tuesday</t>
        </is>
      </c>
      <c r="J588" t="inlineStr">
        <is>
          <t>Month+14 Expiry</t>
        </is>
      </c>
      <c r="K588" s="25" t="n">
        <v>1843</v>
      </c>
      <c r="L588" s="26" t="n">
        <v>3.7002</v>
      </c>
      <c r="M588" s="26" t="n">
        <v>0.122</v>
      </c>
    </row>
    <row r="589" ht="16" customHeight="1">
      <c r="A589" t="inlineStr">
        <is>
          <t>16-Oct-2025</t>
        </is>
      </c>
      <c r="B589" t="inlineStr">
        <is>
          <t>Thursday</t>
        </is>
      </c>
      <c r="C589" t="inlineStr">
        <is>
          <t>Week3-Oct-2025</t>
        </is>
      </c>
      <c r="D589" s="78" t="n">
        <v>45931</v>
      </c>
      <c r="E589" t="inlineStr">
        <is>
          <t>Q3FY26</t>
        </is>
      </c>
      <c r="F589" t="inlineStr">
        <is>
          <t>29-Jun-2027</t>
        </is>
      </c>
      <c r="G589" t="inlineStr">
        <is>
          <t>Tuesday</t>
        </is>
      </c>
      <c r="H589" t="inlineStr">
        <is>
          <t>Monthly - Tuesday</t>
        </is>
      </c>
      <c r="I589" t="inlineStr">
        <is>
          <t>Monthly - Tuesday</t>
        </is>
      </c>
      <c r="J589" t="inlineStr">
        <is>
          <t>Month+20 Expiry</t>
        </is>
      </c>
      <c r="K589" s="25" t="n">
        <v>2</v>
      </c>
      <c r="L589" s="26" t="n">
        <v>0.0032</v>
      </c>
      <c r="M589" s="26" t="n">
        <v>0</v>
      </c>
    </row>
    <row r="590" ht="16" customHeight="1">
      <c r="A590" t="inlineStr">
        <is>
          <t>16-Oct-2025</t>
        </is>
      </c>
      <c r="B590" t="inlineStr">
        <is>
          <t>Thursday</t>
        </is>
      </c>
      <c r="C590" t="inlineStr">
        <is>
          <t>Week3-Oct-2025</t>
        </is>
      </c>
      <c r="D590" s="78" t="n">
        <v>45931</v>
      </c>
      <c r="E590" t="inlineStr">
        <is>
          <t>Q3FY26</t>
        </is>
      </c>
      <c r="F590" t="inlineStr">
        <is>
          <t>28-Dec-2027</t>
        </is>
      </c>
      <c r="G590" t="inlineStr">
        <is>
          <t>Tuesday</t>
        </is>
      </c>
      <c r="H590" t="inlineStr">
        <is>
          <t>Monthly - Tuesday</t>
        </is>
      </c>
      <c r="I590" t="inlineStr">
        <is>
          <t>Monthly - Tuesday</t>
        </is>
      </c>
      <c r="J590" t="inlineStr">
        <is>
          <t>Month+26 Expiry</t>
        </is>
      </c>
      <c r="K590" s="25" t="n">
        <v>20</v>
      </c>
      <c r="L590" s="26" t="n">
        <v>0.0361</v>
      </c>
      <c r="M590" s="26" t="n">
        <v>0.0009</v>
      </c>
    </row>
    <row r="591" ht="16" customHeight="1">
      <c r="A591" t="inlineStr">
        <is>
          <t>16-Oct-2025</t>
        </is>
      </c>
      <c r="B591" t="inlineStr">
        <is>
          <t>Thursday</t>
        </is>
      </c>
      <c r="C591" t="inlineStr">
        <is>
          <t>Week3-Oct-2025</t>
        </is>
      </c>
      <c r="D591" s="78" t="n">
        <v>45931</v>
      </c>
      <c r="E591" t="inlineStr">
        <is>
          <t>Q3FY26</t>
        </is>
      </c>
      <c r="F591" t="inlineStr">
        <is>
          <t>27-Jun-2028</t>
        </is>
      </c>
      <c r="G591" t="inlineStr">
        <is>
          <t>Tuesday</t>
        </is>
      </c>
      <c r="H591" t="inlineStr">
        <is>
          <t>Monthly - Tuesday</t>
        </is>
      </c>
      <c r="I591" t="inlineStr">
        <is>
          <t>Monthly - Tuesday</t>
        </is>
      </c>
      <c r="J591" t="inlineStr">
        <is>
          <t>Month+32 Expiry</t>
        </is>
      </c>
      <c r="K591" s="25" t="n">
        <v>0</v>
      </c>
      <c r="L591" s="26" t="n">
        <v>0</v>
      </c>
      <c r="M591" s="26" t="n">
        <v>0</v>
      </c>
    </row>
    <row r="592" ht="16" customHeight="1">
      <c r="A592" t="inlineStr">
        <is>
          <t>16-Oct-2025</t>
        </is>
      </c>
      <c r="B592" t="inlineStr">
        <is>
          <t>Thursday</t>
        </is>
      </c>
      <c r="C592" t="inlineStr">
        <is>
          <t>Week3-Oct-2025</t>
        </is>
      </c>
      <c r="D592" s="78" t="n">
        <v>45931</v>
      </c>
      <c r="E592" t="inlineStr">
        <is>
          <t>Q3FY26</t>
        </is>
      </c>
      <c r="F592" t="inlineStr">
        <is>
          <t>26-Dec-2028</t>
        </is>
      </c>
      <c r="G592" t="inlineStr">
        <is>
          <t>Tuesday</t>
        </is>
      </c>
      <c r="H592" t="inlineStr">
        <is>
          <t>Monthly - Tuesday</t>
        </is>
      </c>
      <c r="I592" t="inlineStr">
        <is>
          <t>Monthly - Tuesday</t>
        </is>
      </c>
      <c r="J592" t="inlineStr">
        <is>
          <t>Month+38 Expiry</t>
        </is>
      </c>
      <c r="K592" s="25" t="n">
        <v>1</v>
      </c>
      <c r="L592" s="26" t="n">
        <v>0.002</v>
      </c>
      <c r="M592" s="26" t="n">
        <v>0.0001</v>
      </c>
    </row>
    <row r="593" ht="16" customHeight="1">
      <c r="A593" t="inlineStr">
        <is>
          <t>16-Oct-2025</t>
        </is>
      </c>
      <c r="B593" t="inlineStr">
        <is>
          <t>Thursday</t>
        </is>
      </c>
      <c r="C593" t="inlineStr">
        <is>
          <t>Week3-Oct-2025</t>
        </is>
      </c>
      <c r="D593" s="78" t="n">
        <v>45931</v>
      </c>
      <c r="E593" t="inlineStr">
        <is>
          <t>Q3FY26</t>
        </is>
      </c>
      <c r="F593" t="inlineStr">
        <is>
          <t>26-Jun-2029</t>
        </is>
      </c>
      <c r="G593" t="inlineStr">
        <is>
          <t>Tuesday</t>
        </is>
      </c>
      <c r="H593" t="inlineStr">
        <is>
          <t>Monthly - Tuesday</t>
        </is>
      </c>
      <c r="I593" t="inlineStr">
        <is>
          <t>Monthly - Tuesday</t>
        </is>
      </c>
      <c r="J593" t="inlineStr">
        <is>
          <t>Month+44 Expiry</t>
        </is>
      </c>
      <c r="K593" s="25" t="n">
        <v>0</v>
      </c>
      <c r="L593" s="26" t="n">
        <v>0</v>
      </c>
      <c r="M593" s="26" t="n">
        <v>0</v>
      </c>
    </row>
    <row r="594" ht="16" customHeight="1">
      <c r="A594" t="inlineStr">
        <is>
          <t>16-Oct-2025</t>
        </is>
      </c>
      <c r="B594" t="inlineStr">
        <is>
          <t>Thursday</t>
        </is>
      </c>
      <c r="C594" t="inlineStr">
        <is>
          <t>Week3-Oct-2025</t>
        </is>
      </c>
      <c r="D594" s="78" t="n">
        <v>45931</v>
      </c>
      <c r="E594" t="inlineStr">
        <is>
          <t>Q3FY26</t>
        </is>
      </c>
      <c r="F594" t="inlineStr">
        <is>
          <t>24-Dec-2029</t>
        </is>
      </c>
      <c r="G594" t="inlineStr">
        <is>
          <t>Monday</t>
        </is>
      </c>
      <c r="H594" t="inlineStr">
        <is>
          <t>Weekly - Monday</t>
        </is>
      </c>
      <c r="I594" t="inlineStr">
        <is>
          <t>Weekly - Monday</t>
        </is>
      </c>
      <c r="J594" t="inlineStr">
        <is>
          <t>Month+50 Expiry</t>
        </is>
      </c>
      <c r="K594" s="25" t="n">
        <v>106</v>
      </c>
      <c r="L594" s="26" t="n">
        <v>0.2678</v>
      </c>
      <c r="M594" s="26" t="n">
        <v>0.0293</v>
      </c>
    </row>
    <row r="595" ht="16" customHeight="1">
      <c r="A595" t="inlineStr">
        <is>
          <t>16-Oct-2025</t>
        </is>
      </c>
      <c r="B595" t="inlineStr">
        <is>
          <t>Thursday</t>
        </is>
      </c>
      <c r="C595" t="inlineStr">
        <is>
          <t>Week3-Oct-2025</t>
        </is>
      </c>
      <c r="D595" s="78" t="n">
        <v>45931</v>
      </c>
      <c r="E595" t="inlineStr">
        <is>
          <t>Q3FY26</t>
        </is>
      </c>
      <c r="F595" t="inlineStr">
        <is>
          <t>25-Jun-2030</t>
        </is>
      </c>
      <c r="G595" t="inlineStr">
        <is>
          <t>Tuesday</t>
        </is>
      </c>
      <c r="H595" t="inlineStr">
        <is>
          <t>Monthly - Tuesday</t>
        </is>
      </c>
      <c r="I595" t="inlineStr">
        <is>
          <t>Monthly - Tuesday</t>
        </is>
      </c>
      <c r="J595" t="inlineStr">
        <is>
          <t>Month+56 Expiry</t>
        </is>
      </c>
      <c r="K595" s="25" t="n">
        <v>0</v>
      </c>
      <c r="L595" s="26" t="n">
        <v>0</v>
      </c>
      <c r="M595" s="26" t="n">
        <v>0</v>
      </c>
    </row>
    <row r="596" ht="16" customHeight="1">
      <c r="A596" t="inlineStr">
        <is>
          <t>17-Oct-2025</t>
        </is>
      </c>
      <c r="B596" t="inlineStr">
        <is>
          <t>Friday</t>
        </is>
      </c>
      <c r="C596" t="inlineStr">
        <is>
          <t>Week3-Oct-2025</t>
        </is>
      </c>
      <c r="D596" s="78" t="n">
        <v>45931</v>
      </c>
      <c r="E596" t="inlineStr">
        <is>
          <t>Q3FY26</t>
        </is>
      </c>
      <c r="F596" t="inlineStr">
        <is>
          <t>20-Oct-2025</t>
        </is>
      </c>
      <c r="G596" t="inlineStr">
        <is>
          <t>Monday</t>
        </is>
      </c>
      <c r="H596" t="inlineStr">
        <is>
          <t>Weekly - Monday</t>
        </is>
      </c>
      <c r="I596" t="inlineStr">
        <is>
          <t>Weekly - Monday</t>
        </is>
      </c>
      <c r="J596" t="inlineStr">
        <is>
          <t>Same Month Expiry</t>
        </is>
      </c>
      <c r="K596" s="25" t="n">
        <v>147465614</v>
      </c>
      <c r="L596" s="26" t="n">
        <v>284301.3964</v>
      </c>
      <c r="M596" s="26" t="n">
        <v>578.5439</v>
      </c>
    </row>
    <row r="597" ht="16" customHeight="1">
      <c r="A597" t="inlineStr">
        <is>
          <t>17-Oct-2025</t>
        </is>
      </c>
      <c r="B597" t="inlineStr">
        <is>
          <t>Friday</t>
        </is>
      </c>
      <c r="C597" t="inlineStr">
        <is>
          <t>Week3-Oct-2025</t>
        </is>
      </c>
      <c r="D597" s="78" t="n">
        <v>45931</v>
      </c>
      <c r="E597" t="inlineStr">
        <is>
          <t>Q3FY26</t>
        </is>
      </c>
      <c r="F597" t="inlineStr">
        <is>
          <t>28-Oct-2025</t>
        </is>
      </c>
      <c r="G597" t="inlineStr">
        <is>
          <t>Tuesday</t>
        </is>
      </c>
      <c r="H597" t="inlineStr">
        <is>
          <t>Monthly - Tuesday</t>
        </is>
      </c>
      <c r="I597" t="inlineStr">
        <is>
          <t>Monthly - Tuesday</t>
        </is>
      </c>
      <c r="J597" t="inlineStr">
        <is>
          <t>Same Month Expiry</t>
        </is>
      </c>
      <c r="K597" s="25" t="n">
        <v>7867428</v>
      </c>
      <c r="L597" s="26" t="n">
        <v>15190.8799</v>
      </c>
      <c r="M597" s="26" t="n">
        <v>57.4551</v>
      </c>
    </row>
    <row r="598" ht="16" customHeight="1">
      <c r="A598" t="inlineStr">
        <is>
          <t>17-Oct-2025</t>
        </is>
      </c>
      <c r="B598" t="inlineStr">
        <is>
          <t>Friday</t>
        </is>
      </c>
      <c r="C598" t="inlineStr">
        <is>
          <t>Week3-Oct-2025</t>
        </is>
      </c>
      <c r="D598" s="78" t="n">
        <v>45931</v>
      </c>
      <c r="E598" t="inlineStr">
        <is>
          <t>Q3FY26</t>
        </is>
      </c>
      <c r="F598" t="inlineStr">
        <is>
          <t>04-Nov-2025</t>
        </is>
      </c>
      <c r="G598" t="inlineStr">
        <is>
          <t>Tuesday</t>
        </is>
      </c>
      <c r="H598" t="inlineStr">
        <is>
          <t>Weekly - Tuesday</t>
        </is>
      </c>
      <c r="I598" t="inlineStr">
        <is>
          <t>Weekly - Tuesday</t>
        </is>
      </c>
      <c r="J598" t="inlineStr">
        <is>
          <t>Month+1 Expiry</t>
        </is>
      </c>
      <c r="K598" s="25" t="n">
        <v>363357</v>
      </c>
      <c r="L598" s="26" t="n">
        <v>704.2979</v>
      </c>
      <c r="M598" s="26" t="n">
        <v>4.0369</v>
      </c>
    </row>
    <row r="599" ht="16" customHeight="1">
      <c r="A599" t="inlineStr">
        <is>
          <t>17-Oct-2025</t>
        </is>
      </c>
      <c r="B599" t="inlineStr">
        <is>
          <t>Friday</t>
        </is>
      </c>
      <c r="C599" t="inlineStr">
        <is>
          <t>Week3-Oct-2025</t>
        </is>
      </c>
      <c r="D599" s="78" t="n">
        <v>45931</v>
      </c>
      <c r="E599" t="inlineStr">
        <is>
          <t>Q3FY26</t>
        </is>
      </c>
      <c r="F599" t="inlineStr">
        <is>
          <t>11-Nov-2025</t>
        </is>
      </c>
      <c r="G599" t="inlineStr">
        <is>
          <t>Tuesday</t>
        </is>
      </c>
      <c r="H599" t="inlineStr">
        <is>
          <t>Weekly - Tuesday</t>
        </is>
      </c>
      <c r="I599" t="inlineStr">
        <is>
          <t>Weekly - Tuesday</t>
        </is>
      </c>
      <c r="J599" t="inlineStr">
        <is>
          <t>Month+1 Expiry</t>
        </is>
      </c>
      <c r="K599" s="25" t="n">
        <v>42802</v>
      </c>
      <c r="L599" s="26" t="n">
        <v>83.04649999999999</v>
      </c>
      <c r="M599" s="26" t="n">
        <v>0.5658</v>
      </c>
    </row>
    <row r="600" ht="16" customHeight="1">
      <c r="A600" t="inlineStr">
        <is>
          <t>17-Oct-2025</t>
        </is>
      </c>
      <c r="B600" t="inlineStr">
        <is>
          <t>Friday</t>
        </is>
      </c>
      <c r="C600" t="inlineStr">
        <is>
          <t>Week3-Oct-2025</t>
        </is>
      </c>
      <c r="D600" s="78" t="n">
        <v>45931</v>
      </c>
      <c r="E600" t="inlineStr">
        <is>
          <t>Q3FY26</t>
        </is>
      </c>
      <c r="F600" t="inlineStr">
        <is>
          <t>18-Nov-2025</t>
        </is>
      </c>
      <c r="G600" t="inlineStr">
        <is>
          <t>Tuesday</t>
        </is>
      </c>
      <c r="H600" t="inlineStr">
        <is>
          <t>Weekly - Tuesday</t>
        </is>
      </c>
      <c r="I600" t="inlineStr">
        <is>
          <t>Weekly - Tuesday</t>
        </is>
      </c>
      <c r="J600" t="inlineStr">
        <is>
          <t>Month+1 Expiry</t>
        </is>
      </c>
      <c r="K600" s="25" t="n">
        <v>5185</v>
      </c>
      <c r="L600" s="26" t="n">
        <v>10.106</v>
      </c>
      <c r="M600" s="26" t="n">
        <v>0.07530000000000001</v>
      </c>
    </row>
    <row r="601" ht="16" customHeight="1">
      <c r="A601" t="inlineStr">
        <is>
          <t>17-Oct-2025</t>
        </is>
      </c>
      <c r="B601" t="inlineStr">
        <is>
          <t>Friday</t>
        </is>
      </c>
      <c r="C601" t="inlineStr">
        <is>
          <t>Week3-Oct-2025</t>
        </is>
      </c>
      <c r="D601" s="78" t="n">
        <v>45931</v>
      </c>
      <c r="E601" t="inlineStr">
        <is>
          <t>Q3FY26</t>
        </is>
      </c>
      <c r="F601" t="inlineStr">
        <is>
          <t>25-Nov-2025</t>
        </is>
      </c>
      <c r="G601" t="inlineStr">
        <is>
          <t>Tuesday</t>
        </is>
      </c>
      <c r="H601" t="inlineStr">
        <is>
          <t>Monthly - Tuesday</t>
        </is>
      </c>
      <c r="I601" t="inlineStr">
        <is>
          <t>Monthly - Tuesday</t>
        </is>
      </c>
      <c r="J601" t="inlineStr">
        <is>
          <t>Month+1 Expiry</t>
        </is>
      </c>
      <c r="K601" s="25" t="n">
        <v>677364</v>
      </c>
      <c r="L601" s="26" t="n">
        <v>1309.1078</v>
      </c>
      <c r="M601" s="26" t="n">
        <v>10.9795</v>
      </c>
    </row>
    <row r="602" ht="16" customHeight="1">
      <c r="A602" t="inlineStr">
        <is>
          <t>17-Oct-2025</t>
        </is>
      </c>
      <c r="B602" t="inlineStr">
        <is>
          <t>Friday</t>
        </is>
      </c>
      <c r="C602" t="inlineStr">
        <is>
          <t>Week3-Oct-2025</t>
        </is>
      </c>
      <c r="D602" s="78" t="n">
        <v>45931</v>
      </c>
      <c r="E602" t="inlineStr">
        <is>
          <t>Q3FY26</t>
        </is>
      </c>
      <c r="F602" t="inlineStr">
        <is>
          <t>30-Dec-2025</t>
        </is>
      </c>
      <c r="G602" t="inlineStr">
        <is>
          <t>Tuesday</t>
        </is>
      </c>
      <c r="H602" t="inlineStr">
        <is>
          <t>Monthly - Tuesday</t>
        </is>
      </c>
      <c r="I602" t="inlineStr">
        <is>
          <t>Monthly - Tuesday</t>
        </is>
      </c>
      <c r="J602" t="inlineStr">
        <is>
          <t>Month+2 Expiry</t>
        </is>
      </c>
      <c r="K602" s="25" t="n">
        <v>221702</v>
      </c>
      <c r="L602" s="26" t="n">
        <v>427.1103</v>
      </c>
      <c r="M602" s="26" t="n">
        <v>4.5306</v>
      </c>
    </row>
    <row r="603" ht="16" customHeight="1">
      <c r="A603" t="inlineStr">
        <is>
          <t>17-Oct-2025</t>
        </is>
      </c>
      <c r="B603" t="inlineStr">
        <is>
          <t>Friday</t>
        </is>
      </c>
      <c r="C603" t="inlineStr">
        <is>
          <t>Week3-Oct-2025</t>
        </is>
      </c>
      <c r="D603" s="78" t="n">
        <v>45931</v>
      </c>
      <c r="E603" t="inlineStr">
        <is>
          <t>Q3FY26</t>
        </is>
      </c>
      <c r="F603" t="inlineStr">
        <is>
          <t>31-Mar-2026</t>
        </is>
      </c>
      <c r="G603" t="inlineStr">
        <is>
          <t>Tuesday</t>
        </is>
      </c>
      <c r="H603" t="inlineStr">
        <is>
          <t>Monthly - Tuesday</t>
        </is>
      </c>
      <c r="I603" t="inlineStr">
        <is>
          <t>Monthly - Tuesday</t>
        </is>
      </c>
      <c r="J603" t="inlineStr">
        <is>
          <t>Month+5 Expiry</t>
        </is>
      </c>
      <c r="K603" s="25" t="n">
        <v>33762</v>
      </c>
      <c r="L603" s="26" t="n">
        <v>66.9667</v>
      </c>
      <c r="M603" s="26" t="n">
        <v>1.2999</v>
      </c>
    </row>
    <row r="604" ht="16" customHeight="1">
      <c r="A604" t="inlineStr">
        <is>
          <t>17-Oct-2025</t>
        </is>
      </c>
      <c r="B604" t="inlineStr">
        <is>
          <t>Friday</t>
        </is>
      </c>
      <c r="C604" t="inlineStr">
        <is>
          <t>Week3-Oct-2025</t>
        </is>
      </c>
      <c r="D604" s="78" t="n">
        <v>45931</v>
      </c>
      <c r="E604" t="inlineStr">
        <is>
          <t>Q3FY26</t>
        </is>
      </c>
      <c r="F604" t="inlineStr">
        <is>
          <t>30-Jun-2026</t>
        </is>
      </c>
      <c r="G604" t="inlineStr">
        <is>
          <t>Tuesday</t>
        </is>
      </c>
      <c r="H604" t="inlineStr">
        <is>
          <t>Monthly - Tuesday</t>
        </is>
      </c>
      <c r="I604" t="inlineStr">
        <is>
          <t>Monthly - Tuesday</t>
        </is>
      </c>
      <c r="J604" t="inlineStr">
        <is>
          <t>Month+8 Expiry</t>
        </is>
      </c>
      <c r="K604" s="25" t="n">
        <v>5715</v>
      </c>
      <c r="L604" s="26" t="n">
        <v>11.5038</v>
      </c>
      <c r="M604" s="26" t="n">
        <v>0.3164</v>
      </c>
    </row>
    <row r="605" ht="16" customHeight="1">
      <c r="A605" t="inlineStr">
        <is>
          <t>17-Oct-2025</t>
        </is>
      </c>
      <c r="B605" t="inlineStr">
        <is>
          <t>Friday</t>
        </is>
      </c>
      <c r="C605" t="inlineStr">
        <is>
          <t>Week3-Oct-2025</t>
        </is>
      </c>
      <c r="D605" s="78" t="n">
        <v>45931</v>
      </c>
      <c r="E605" t="inlineStr">
        <is>
          <t>Q3FY26</t>
        </is>
      </c>
      <c r="F605" t="inlineStr">
        <is>
          <t>29-Sep-2026</t>
        </is>
      </c>
      <c r="G605" t="inlineStr">
        <is>
          <t>Tuesday</t>
        </is>
      </c>
      <c r="H605" t="inlineStr">
        <is>
          <t>Monthly - Tuesday</t>
        </is>
      </c>
      <c r="I605" t="inlineStr">
        <is>
          <t>Monthly - Tuesday</t>
        </is>
      </c>
      <c r="J605" t="inlineStr">
        <is>
          <t>Month+11 Expiry</t>
        </is>
      </c>
      <c r="K605" s="25" t="n">
        <v>0</v>
      </c>
      <c r="L605" s="26" t="n">
        <v>0</v>
      </c>
      <c r="M605" s="26" t="n">
        <v>0</v>
      </c>
    </row>
    <row r="606" ht="16" customHeight="1">
      <c r="A606" t="inlineStr">
        <is>
          <t>17-Oct-2025</t>
        </is>
      </c>
      <c r="B606" t="inlineStr">
        <is>
          <t>Friday</t>
        </is>
      </c>
      <c r="C606" t="inlineStr">
        <is>
          <t>Week3-Oct-2025</t>
        </is>
      </c>
      <c r="D606" s="78" t="n">
        <v>45931</v>
      </c>
      <c r="E606" t="inlineStr">
        <is>
          <t>Q3FY26</t>
        </is>
      </c>
      <c r="F606" t="inlineStr">
        <is>
          <t>29-Dec-2026</t>
        </is>
      </c>
      <c r="G606" t="inlineStr">
        <is>
          <t>Tuesday</t>
        </is>
      </c>
      <c r="H606" t="inlineStr">
        <is>
          <t>Monthly - Tuesday</t>
        </is>
      </c>
      <c r="I606" t="inlineStr">
        <is>
          <t>Monthly - Tuesday</t>
        </is>
      </c>
      <c r="J606" t="inlineStr">
        <is>
          <t>Month+14 Expiry</t>
        </is>
      </c>
      <c r="K606" s="25" t="n">
        <v>2143</v>
      </c>
      <c r="L606" s="26" t="n">
        <v>4.3035</v>
      </c>
      <c r="M606" s="26" t="n">
        <v>0.1509</v>
      </c>
    </row>
    <row r="607" ht="16" customHeight="1">
      <c r="A607" t="inlineStr">
        <is>
          <t>17-Oct-2025</t>
        </is>
      </c>
      <c r="B607" t="inlineStr">
        <is>
          <t>Friday</t>
        </is>
      </c>
      <c r="C607" t="inlineStr">
        <is>
          <t>Week3-Oct-2025</t>
        </is>
      </c>
      <c r="D607" s="78" t="n">
        <v>45931</v>
      </c>
      <c r="E607" t="inlineStr">
        <is>
          <t>Q3FY26</t>
        </is>
      </c>
      <c r="F607" t="inlineStr">
        <is>
          <t>29-Jun-2027</t>
        </is>
      </c>
      <c r="G607" t="inlineStr">
        <is>
          <t>Tuesday</t>
        </is>
      </c>
      <c r="H607" t="inlineStr">
        <is>
          <t>Monthly - Tuesday</t>
        </is>
      </c>
      <c r="I607" t="inlineStr">
        <is>
          <t>Monthly - Tuesday</t>
        </is>
      </c>
      <c r="J607" t="inlineStr">
        <is>
          <t>Month+20 Expiry</t>
        </is>
      </c>
      <c r="K607" s="25" t="n">
        <v>2</v>
      </c>
      <c r="L607" s="26" t="n">
        <v>0.0032</v>
      </c>
      <c r="M607" s="26" t="n">
        <v>0</v>
      </c>
    </row>
    <row r="608" ht="16" customHeight="1">
      <c r="A608" t="inlineStr">
        <is>
          <t>17-Oct-2025</t>
        </is>
      </c>
      <c r="B608" t="inlineStr">
        <is>
          <t>Friday</t>
        </is>
      </c>
      <c r="C608" t="inlineStr">
        <is>
          <t>Week3-Oct-2025</t>
        </is>
      </c>
      <c r="D608" s="78" t="n">
        <v>45931</v>
      </c>
      <c r="E608" t="inlineStr">
        <is>
          <t>Q3FY26</t>
        </is>
      </c>
      <c r="F608" t="inlineStr">
        <is>
          <t>28-Dec-2027</t>
        </is>
      </c>
      <c r="G608" t="inlineStr">
        <is>
          <t>Tuesday</t>
        </is>
      </c>
      <c r="H608" t="inlineStr">
        <is>
          <t>Monthly - Tuesday</t>
        </is>
      </c>
      <c r="I608" t="inlineStr">
        <is>
          <t>Monthly - Tuesday</t>
        </is>
      </c>
      <c r="J608" t="inlineStr">
        <is>
          <t>Month+26 Expiry</t>
        </is>
      </c>
      <c r="K608" s="25" t="n">
        <v>2</v>
      </c>
      <c r="L608" s="26" t="n">
        <v>0.0023</v>
      </c>
      <c r="M608" s="26" t="n">
        <v>0</v>
      </c>
    </row>
    <row r="609" ht="16" customHeight="1">
      <c r="A609" t="inlineStr">
        <is>
          <t>17-Oct-2025</t>
        </is>
      </c>
      <c r="B609" t="inlineStr">
        <is>
          <t>Friday</t>
        </is>
      </c>
      <c r="C609" t="inlineStr">
        <is>
          <t>Week3-Oct-2025</t>
        </is>
      </c>
      <c r="D609" s="78" t="n">
        <v>45931</v>
      </c>
      <c r="E609" t="inlineStr">
        <is>
          <t>Q3FY26</t>
        </is>
      </c>
      <c r="F609" t="inlineStr">
        <is>
          <t>27-Jun-2028</t>
        </is>
      </c>
      <c r="G609" t="inlineStr">
        <is>
          <t>Tuesday</t>
        </is>
      </c>
      <c r="H609" t="inlineStr">
        <is>
          <t>Monthly - Tuesday</t>
        </is>
      </c>
      <c r="I609" t="inlineStr">
        <is>
          <t>Monthly - Tuesday</t>
        </is>
      </c>
      <c r="J609" t="inlineStr">
        <is>
          <t>Month+32 Expiry</t>
        </is>
      </c>
      <c r="K609" s="25" t="n">
        <v>0</v>
      </c>
      <c r="L609" s="26" t="n">
        <v>0</v>
      </c>
      <c r="M609" s="26" t="n">
        <v>0</v>
      </c>
    </row>
    <row r="610" ht="16" customHeight="1">
      <c r="A610" t="inlineStr">
        <is>
          <t>17-Oct-2025</t>
        </is>
      </c>
      <c r="B610" t="inlineStr">
        <is>
          <t>Friday</t>
        </is>
      </c>
      <c r="C610" t="inlineStr">
        <is>
          <t>Week3-Oct-2025</t>
        </is>
      </c>
      <c r="D610" s="78" t="n">
        <v>45931</v>
      </c>
      <c r="E610" t="inlineStr">
        <is>
          <t>Q3FY26</t>
        </is>
      </c>
      <c r="F610" t="inlineStr">
        <is>
          <t>26-Dec-2028</t>
        </is>
      </c>
      <c r="G610" t="inlineStr">
        <is>
          <t>Tuesday</t>
        </is>
      </c>
      <c r="H610" t="inlineStr">
        <is>
          <t>Monthly - Tuesday</t>
        </is>
      </c>
      <c r="I610" t="inlineStr">
        <is>
          <t>Monthly - Tuesday</t>
        </is>
      </c>
      <c r="J610" t="inlineStr">
        <is>
          <t>Month+38 Expiry</t>
        </is>
      </c>
      <c r="K610" s="25" t="n">
        <v>0</v>
      </c>
      <c r="L610" s="26" t="n">
        <v>0</v>
      </c>
      <c r="M610" s="26" t="n">
        <v>0</v>
      </c>
    </row>
    <row r="611" ht="16" customHeight="1">
      <c r="A611" t="inlineStr">
        <is>
          <t>17-Oct-2025</t>
        </is>
      </c>
      <c r="B611" t="inlineStr">
        <is>
          <t>Friday</t>
        </is>
      </c>
      <c r="C611" t="inlineStr">
        <is>
          <t>Week3-Oct-2025</t>
        </is>
      </c>
      <c r="D611" s="78" t="n">
        <v>45931</v>
      </c>
      <c r="E611" t="inlineStr">
        <is>
          <t>Q3FY26</t>
        </is>
      </c>
      <c r="F611" t="inlineStr">
        <is>
          <t>26-Jun-2029</t>
        </is>
      </c>
      <c r="G611" t="inlineStr">
        <is>
          <t>Tuesday</t>
        </is>
      </c>
      <c r="H611" t="inlineStr">
        <is>
          <t>Monthly - Tuesday</t>
        </is>
      </c>
      <c r="I611" t="inlineStr">
        <is>
          <t>Monthly - Tuesday</t>
        </is>
      </c>
      <c r="J611" t="inlineStr">
        <is>
          <t>Month+44 Expiry</t>
        </is>
      </c>
      <c r="K611" s="25" t="n">
        <v>0</v>
      </c>
      <c r="L611" s="26" t="n">
        <v>0</v>
      </c>
      <c r="M611" s="26" t="n">
        <v>0</v>
      </c>
    </row>
    <row r="612" ht="16" customHeight="1">
      <c r="A612" t="inlineStr">
        <is>
          <t>17-Oct-2025</t>
        </is>
      </c>
      <c r="B612" t="inlineStr">
        <is>
          <t>Friday</t>
        </is>
      </c>
      <c r="C612" t="inlineStr">
        <is>
          <t>Week3-Oct-2025</t>
        </is>
      </c>
      <c r="D612" s="78" t="n">
        <v>45931</v>
      </c>
      <c r="E612" t="inlineStr">
        <is>
          <t>Q3FY26</t>
        </is>
      </c>
      <c r="F612" t="inlineStr">
        <is>
          <t>24-Dec-2029</t>
        </is>
      </c>
      <c r="G612" t="inlineStr">
        <is>
          <t>Monday</t>
        </is>
      </c>
      <c r="H612" t="inlineStr">
        <is>
          <t>Weekly - Monday</t>
        </is>
      </c>
      <c r="I612" t="inlineStr">
        <is>
          <t>Weekly - Monday</t>
        </is>
      </c>
      <c r="J612" t="inlineStr">
        <is>
          <t>Month+50 Expiry</t>
        </is>
      </c>
      <c r="K612" s="25" t="n">
        <v>0</v>
      </c>
      <c r="L612" s="26" t="n">
        <v>0</v>
      </c>
      <c r="M612" s="26" t="n">
        <v>0</v>
      </c>
    </row>
    <row r="613" ht="16" customHeight="1">
      <c r="A613" t="inlineStr">
        <is>
          <t>17-Oct-2025</t>
        </is>
      </c>
      <c r="B613" t="inlineStr">
        <is>
          <t>Friday</t>
        </is>
      </c>
      <c r="C613" t="inlineStr">
        <is>
          <t>Week3-Oct-2025</t>
        </is>
      </c>
      <c r="D613" s="78" t="n">
        <v>45931</v>
      </c>
      <c r="E613" t="inlineStr">
        <is>
          <t>Q3FY26</t>
        </is>
      </c>
      <c r="F613" t="inlineStr">
        <is>
          <t>25-Jun-2030</t>
        </is>
      </c>
      <c r="G613" t="inlineStr">
        <is>
          <t>Tuesday</t>
        </is>
      </c>
      <c r="H613" t="inlineStr">
        <is>
          <t>Monthly - Tuesday</t>
        </is>
      </c>
      <c r="I613" t="inlineStr">
        <is>
          <t>Monthly - Tuesday</t>
        </is>
      </c>
      <c r="J613" t="inlineStr">
        <is>
          <t>Month+56 Expiry</t>
        </is>
      </c>
      <c r="K613" s="25" t="n">
        <v>0</v>
      </c>
      <c r="L613" s="26" t="n">
        <v>0</v>
      </c>
      <c r="M613" s="26" t="n">
        <v>0</v>
      </c>
    </row>
    <row r="614" ht="16" customHeight="1">
      <c r="A614" t="inlineStr">
        <is>
          <t>20-Oct-2025</t>
        </is>
      </c>
      <c r="B614" t="inlineStr">
        <is>
          <t>Monday</t>
        </is>
      </c>
      <c r="C614" t="inlineStr">
        <is>
          <t>Week3-Oct-2025</t>
        </is>
      </c>
      <c r="D614" s="78" t="n">
        <v>45931</v>
      </c>
      <c r="E614" t="inlineStr">
        <is>
          <t>Q3FY26</t>
        </is>
      </c>
      <c r="F614" t="inlineStr">
        <is>
          <t>20-Oct-2025</t>
        </is>
      </c>
      <c r="G614" t="inlineStr">
        <is>
          <t>Monday</t>
        </is>
      </c>
      <c r="H614" t="inlineStr">
        <is>
          <t>Weekly - Monday</t>
        </is>
      </c>
      <c r="I614" t="inlineStr">
        <is>
          <t>Weekly - Monday</t>
        </is>
      </c>
      <c r="J614" t="inlineStr">
        <is>
          <t>Same Month Expiry</t>
        </is>
      </c>
      <c r="K614" s="25" t="n">
        <v>311031142</v>
      </c>
      <c r="L614" s="26" t="n">
        <v>603242.5559</v>
      </c>
      <c r="M614" s="26" t="n">
        <v>538.248</v>
      </c>
    </row>
    <row r="615" ht="16" customHeight="1">
      <c r="A615" t="inlineStr">
        <is>
          <t>20-Oct-2025</t>
        </is>
      </c>
      <c r="B615" t="inlineStr">
        <is>
          <t>Monday</t>
        </is>
      </c>
      <c r="C615" t="inlineStr">
        <is>
          <t>Week3-Oct-2025</t>
        </is>
      </c>
      <c r="D615" s="78" t="n">
        <v>45931</v>
      </c>
      <c r="E615" t="inlineStr">
        <is>
          <t>Q3FY26</t>
        </is>
      </c>
      <c r="F615" t="inlineStr">
        <is>
          <t>28-Oct-2025</t>
        </is>
      </c>
      <c r="G615" t="inlineStr">
        <is>
          <t>Tuesday</t>
        </is>
      </c>
      <c r="H615" t="inlineStr">
        <is>
          <t>Monthly - Tuesday</t>
        </is>
      </c>
      <c r="I615" t="inlineStr">
        <is>
          <t>Monthly - Tuesday</t>
        </is>
      </c>
      <c r="J615" t="inlineStr">
        <is>
          <t>Same Month Expiry</t>
        </is>
      </c>
      <c r="K615" s="25" t="n">
        <v>12681176</v>
      </c>
      <c r="L615" s="26" t="n">
        <v>24503.5202</v>
      </c>
      <c r="M615" s="26" t="n">
        <v>76.7901</v>
      </c>
    </row>
    <row r="616" ht="16" customHeight="1">
      <c r="A616" t="inlineStr">
        <is>
          <t>20-Oct-2025</t>
        </is>
      </c>
      <c r="B616" t="inlineStr">
        <is>
          <t>Monday</t>
        </is>
      </c>
      <c r="C616" t="inlineStr">
        <is>
          <t>Week3-Oct-2025</t>
        </is>
      </c>
      <c r="D616" s="78" t="n">
        <v>45931</v>
      </c>
      <c r="E616" t="inlineStr">
        <is>
          <t>Q3FY26</t>
        </is>
      </c>
      <c r="F616" t="inlineStr">
        <is>
          <t>04-Nov-2025</t>
        </is>
      </c>
      <c r="G616" t="inlineStr">
        <is>
          <t>Tuesday</t>
        </is>
      </c>
      <c r="H616" t="inlineStr">
        <is>
          <t>Weekly - Tuesday</t>
        </is>
      </c>
      <c r="I616" t="inlineStr">
        <is>
          <t>Weekly - Tuesday</t>
        </is>
      </c>
      <c r="J616" t="inlineStr">
        <is>
          <t>Month+1 Expiry</t>
        </is>
      </c>
      <c r="K616" s="25" t="n">
        <v>518155</v>
      </c>
      <c r="L616" s="26" t="n">
        <v>1006.1168</v>
      </c>
      <c r="M616" s="26" t="n">
        <v>4.8125</v>
      </c>
    </row>
    <row r="617" ht="16" customHeight="1">
      <c r="A617" t="inlineStr">
        <is>
          <t>20-Oct-2025</t>
        </is>
      </c>
      <c r="B617" t="inlineStr">
        <is>
          <t>Monday</t>
        </is>
      </c>
      <c r="C617" t="inlineStr">
        <is>
          <t>Week3-Oct-2025</t>
        </is>
      </c>
      <c r="D617" s="78" t="n">
        <v>45931</v>
      </c>
      <c r="E617" t="inlineStr">
        <is>
          <t>Q3FY26</t>
        </is>
      </c>
      <c r="F617" t="inlineStr">
        <is>
          <t>11-Nov-2025</t>
        </is>
      </c>
      <c r="G617" t="inlineStr">
        <is>
          <t>Tuesday</t>
        </is>
      </c>
      <c r="H617" t="inlineStr">
        <is>
          <t>Weekly - Tuesday</t>
        </is>
      </c>
      <c r="I617" t="inlineStr">
        <is>
          <t>Weekly - Tuesday</t>
        </is>
      </c>
      <c r="J617" t="inlineStr">
        <is>
          <t>Month+1 Expiry</t>
        </is>
      </c>
      <c r="K617" s="25" t="n">
        <v>54089</v>
      </c>
      <c r="L617" s="26" t="n">
        <v>105.3414</v>
      </c>
      <c r="M617" s="26" t="n">
        <v>0.6593</v>
      </c>
    </row>
    <row r="618" ht="16" customHeight="1">
      <c r="A618" t="inlineStr">
        <is>
          <t>20-Oct-2025</t>
        </is>
      </c>
      <c r="B618" t="inlineStr">
        <is>
          <t>Monday</t>
        </is>
      </c>
      <c r="C618" t="inlineStr">
        <is>
          <t>Week3-Oct-2025</t>
        </is>
      </c>
      <c r="D618" s="78" t="n">
        <v>45931</v>
      </c>
      <c r="E618" t="inlineStr">
        <is>
          <t>Q3FY26</t>
        </is>
      </c>
      <c r="F618" t="inlineStr">
        <is>
          <t>18-Nov-2025</t>
        </is>
      </c>
      <c r="G618" t="inlineStr">
        <is>
          <t>Tuesday</t>
        </is>
      </c>
      <c r="H618" t="inlineStr">
        <is>
          <t>Weekly - Tuesday</t>
        </is>
      </c>
      <c r="I618" t="inlineStr">
        <is>
          <t>Weekly - Tuesday</t>
        </is>
      </c>
      <c r="J618" t="inlineStr">
        <is>
          <t>Month+1 Expiry</t>
        </is>
      </c>
      <c r="K618" s="25" t="n">
        <v>7350</v>
      </c>
      <c r="L618" s="26" t="n">
        <v>14.2721</v>
      </c>
      <c r="M618" s="26" t="n">
        <v>0.09279999999999999</v>
      </c>
    </row>
    <row r="619" ht="16" customHeight="1">
      <c r="A619" t="inlineStr">
        <is>
          <t>20-Oct-2025</t>
        </is>
      </c>
      <c r="B619" t="inlineStr">
        <is>
          <t>Monday</t>
        </is>
      </c>
      <c r="C619" t="inlineStr">
        <is>
          <t>Week3-Oct-2025</t>
        </is>
      </c>
      <c r="D619" s="78" t="n">
        <v>45931</v>
      </c>
      <c r="E619" t="inlineStr">
        <is>
          <t>Q3FY26</t>
        </is>
      </c>
      <c r="F619" t="inlineStr">
        <is>
          <t>25-Nov-2025</t>
        </is>
      </c>
      <c r="G619" t="inlineStr">
        <is>
          <t>Tuesday</t>
        </is>
      </c>
      <c r="H619" t="inlineStr">
        <is>
          <t>Monthly - Tuesday</t>
        </is>
      </c>
      <c r="I619" t="inlineStr">
        <is>
          <t>Monthly - Tuesday</t>
        </is>
      </c>
      <c r="J619" t="inlineStr">
        <is>
          <t>Month+1 Expiry</t>
        </is>
      </c>
      <c r="K619" s="25" t="n">
        <v>566262</v>
      </c>
      <c r="L619" s="26" t="n">
        <v>1095.522</v>
      </c>
      <c r="M619" s="26" t="n">
        <v>8.8095</v>
      </c>
    </row>
    <row r="620" ht="16" customHeight="1">
      <c r="A620" t="inlineStr">
        <is>
          <t>20-Oct-2025</t>
        </is>
      </c>
      <c r="B620" t="inlineStr">
        <is>
          <t>Monday</t>
        </is>
      </c>
      <c r="C620" t="inlineStr">
        <is>
          <t>Week3-Oct-2025</t>
        </is>
      </c>
      <c r="D620" s="78" t="n">
        <v>45931</v>
      </c>
      <c r="E620" t="inlineStr">
        <is>
          <t>Q3FY26</t>
        </is>
      </c>
      <c r="F620" t="inlineStr">
        <is>
          <t>30-Dec-2025</t>
        </is>
      </c>
      <c r="G620" t="inlineStr">
        <is>
          <t>Tuesday</t>
        </is>
      </c>
      <c r="H620" t="inlineStr">
        <is>
          <t>Monthly - Tuesday</t>
        </is>
      </c>
      <c r="I620" t="inlineStr">
        <is>
          <t>Monthly - Tuesday</t>
        </is>
      </c>
      <c r="J620" t="inlineStr">
        <is>
          <t>Month+2 Expiry</t>
        </is>
      </c>
      <c r="K620" s="25" t="n">
        <v>206805</v>
      </c>
      <c r="L620" s="26" t="n">
        <v>398.4118</v>
      </c>
      <c r="M620" s="26" t="n">
        <v>4.4295</v>
      </c>
    </row>
    <row r="621" ht="16" customHeight="1">
      <c r="A621" t="inlineStr">
        <is>
          <t>20-Oct-2025</t>
        </is>
      </c>
      <c r="B621" t="inlineStr">
        <is>
          <t>Monday</t>
        </is>
      </c>
      <c r="C621" t="inlineStr">
        <is>
          <t>Week3-Oct-2025</t>
        </is>
      </c>
      <c r="D621" s="78" t="n">
        <v>45931</v>
      </c>
      <c r="E621" t="inlineStr">
        <is>
          <t>Q3FY26</t>
        </is>
      </c>
      <c r="F621" t="inlineStr">
        <is>
          <t>31-Mar-2026</t>
        </is>
      </c>
      <c r="G621" t="inlineStr">
        <is>
          <t>Tuesday</t>
        </is>
      </c>
      <c r="H621" t="inlineStr">
        <is>
          <t>Monthly - Tuesday</t>
        </is>
      </c>
      <c r="I621" t="inlineStr">
        <is>
          <t>Monthly - Tuesday</t>
        </is>
      </c>
      <c r="J621" t="inlineStr">
        <is>
          <t>Month+5 Expiry</t>
        </is>
      </c>
      <c r="K621" s="25" t="n">
        <v>27904</v>
      </c>
      <c r="L621" s="26" t="n">
        <v>55.4571</v>
      </c>
      <c r="M621" s="26" t="n">
        <v>0.9923</v>
      </c>
    </row>
    <row r="622" ht="16" customHeight="1">
      <c r="A622" t="inlineStr">
        <is>
          <t>20-Oct-2025</t>
        </is>
      </c>
      <c r="B622" t="inlineStr">
        <is>
          <t>Monday</t>
        </is>
      </c>
      <c r="C622" t="inlineStr">
        <is>
          <t>Week3-Oct-2025</t>
        </is>
      </c>
      <c r="D622" s="78" t="n">
        <v>45931</v>
      </c>
      <c r="E622" t="inlineStr">
        <is>
          <t>Q3FY26</t>
        </is>
      </c>
      <c r="F622" t="inlineStr">
        <is>
          <t>30-Jun-2026</t>
        </is>
      </c>
      <c r="G622" t="inlineStr">
        <is>
          <t>Tuesday</t>
        </is>
      </c>
      <c r="H622" t="inlineStr">
        <is>
          <t>Monthly - Tuesday</t>
        </is>
      </c>
      <c r="I622" t="inlineStr">
        <is>
          <t>Monthly - Tuesday</t>
        </is>
      </c>
      <c r="J622" t="inlineStr">
        <is>
          <t>Month+8 Expiry</t>
        </is>
      </c>
      <c r="K622" s="25" t="n">
        <v>6572</v>
      </c>
      <c r="L622" s="26" t="n">
        <v>13.0557</v>
      </c>
      <c r="M622" s="26" t="n">
        <v>0.3508</v>
      </c>
    </row>
    <row r="623" ht="16" customHeight="1">
      <c r="A623" t="inlineStr">
        <is>
          <t>20-Oct-2025</t>
        </is>
      </c>
      <c r="B623" t="inlineStr">
        <is>
          <t>Monday</t>
        </is>
      </c>
      <c r="C623" t="inlineStr">
        <is>
          <t>Week3-Oct-2025</t>
        </is>
      </c>
      <c r="D623" s="78" t="n">
        <v>45931</v>
      </c>
      <c r="E623" t="inlineStr">
        <is>
          <t>Q3FY26</t>
        </is>
      </c>
      <c r="F623" t="inlineStr">
        <is>
          <t>29-Sep-2026</t>
        </is>
      </c>
      <c r="G623" t="inlineStr">
        <is>
          <t>Tuesday</t>
        </is>
      </c>
      <c r="H623" t="inlineStr">
        <is>
          <t>Monthly - Tuesday</t>
        </is>
      </c>
      <c r="I623" t="inlineStr">
        <is>
          <t>Monthly - Tuesday</t>
        </is>
      </c>
      <c r="J623" t="inlineStr">
        <is>
          <t>Month+11 Expiry</t>
        </is>
      </c>
      <c r="K623" s="25" t="n">
        <v>0</v>
      </c>
      <c r="L623" s="26" t="n">
        <v>0</v>
      </c>
      <c r="M623" s="26" t="n">
        <v>0</v>
      </c>
    </row>
    <row r="624" ht="16" customHeight="1">
      <c r="A624" t="inlineStr">
        <is>
          <t>20-Oct-2025</t>
        </is>
      </c>
      <c r="B624" t="inlineStr">
        <is>
          <t>Monday</t>
        </is>
      </c>
      <c r="C624" t="inlineStr">
        <is>
          <t>Week3-Oct-2025</t>
        </is>
      </c>
      <c r="D624" s="78" t="n">
        <v>45931</v>
      </c>
      <c r="E624" t="inlineStr">
        <is>
          <t>Q3FY26</t>
        </is>
      </c>
      <c r="F624" t="inlineStr">
        <is>
          <t>29-Dec-2026</t>
        </is>
      </c>
      <c r="G624" t="inlineStr">
        <is>
          <t>Tuesday</t>
        </is>
      </c>
      <c r="H624" t="inlineStr">
        <is>
          <t>Monthly - Tuesday</t>
        </is>
      </c>
      <c r="I624" t="inlineStr">
        <is>
          <t>Monthly - Tuesday</t>
        </is>
      </c>
      <c r="J624" t="inlineStr">
        <is>
          <t>Month+14 Expiry</t>
        </is>
      </c>
      <c r="K624" s="25" t="n">
        <v>1764</v>
      </c>
      <c r="L624" s="26" t="n">
        <v>3.5243</v>
      </c>
      <c r="M624" s="26" t="n">
        <v>0.1141</v>
      </c>
    </row>
    <row r="625" ht="16" customHeight="1">
      <c r="A625" t="inlineStr">
        <is>
          <t>20-Oct-2025</t>
        </is>
      </c>
      <c r="B625" t="inlineStr">
        <is>
          <t>Monday</t>
        </is>
      </c>
      <c r="C625" t="inlineStr">
        <is>
          <t>Week3-Oct-2025</t>
        </is>
      </c>
      <c r="D625" s="78" t="n">
        <v>45931</v>
      </c>
      <c r="E625" t="inlineStr">
        <is>
          <t>Q3FY26</t>
        </is>
      </c>
      <c r="F625" t="inlineStr">
        <is>
          <t>29-Jun-2027</t>
        </is>
      </c>
      <c r="G625" t="inlineStr">
        <is>
          <t>Tuesday</t>
        </is>
      </c>
      <c r="H625" t="inlineStr">
        <is>
          <t>Monthly - Tuesday</t>
        </is>
      </c>
      <c r="I625" t="inlineStr">
        <is>
          <t>Monthly - Tuesday</t>
        </is>
      </c>
      <c r="J625" t="inlineStr">
        <is>
          <t>Month+20 Expiry</t>
        </is>
      </c>
      <c r="K625" s="25" t="n">
        <v>0</v>
      </c>
      <c r="L625" s="26" t="n">
        <v>0</v>
      </c>
      <c r="M625" s="26" t="n">
        <v>0</v>
      </c>
    </row>
    <row r="626" ht="16" customHeight="1">
      <c r="A626" t="inlineStr">
        <is>
          <t>20-Oct-2025</t>
        </is>
      </c>
      <c r="B626" t="inlineStr">
        <is>
          <t>Monday</t>
        </is>
      </c>
      <c r="C626" t="inlineStr">
        <is>
          <t>Week3-Oct-2025</t>
        </is>
      </c>
      <c r="D626" s="78" t="n">
        <v>45931</v>
      </c>
      <c r="E626" t="inlineStr">
        <is>
          <t>Q3FY26</t>
        </is>
      </c>
      <c r="F626" t="inlineStr">
        <is>
          <t>28-Dec-2027</t>
        </is>
      </c>
      <c r="G626" t="inlineStr">
        <is>
          <t>Tuesday</t>
        </is>
      </c>
      <c r="H626" t="inlineStr">
        <is>
          <t>Monthly - Tuesday</t>
        </is>
      </c>
      <c r="I626" t="inlineStr">
        <is>
          <t>Monthly - Tuesday</t>
        </is>
      </c>
      <c r="J626" t="inlineStr">
        <is>
          <t>Month+26 Expiry</t>
        </is>
      </c>
      <c r="K626" s="25" t="n">
        <v>0</v>
      </c>
      <c r="L626" s="26" t="n">
        <v>0</v>
      </c>
      <c r="M626" s="26" t="n">
        <v>0</v>
      </c>
    </row>
    <row r="627" ht="16" customHeight="1">
      <c r="A627" t="inlineStr">
        <is>
          <t>20-Oct-2025</t>
        </is>
      </c>
      <c r="B627" t="inlineStr">
        <is>
          <t>Monday</t>
        </is>
      </c>
      <c r="C627" t="inlineStr">
        <is>
          <t>Week3-Oct-2025</t>
        </is>
      </c>
      <c r="D627" s="78" t="n">
        <v>45931</v>
      </c>
      <c r="E627" t="inlineStr">
        <is>
          <t>Q3FY26</t>
        </is>
      </c>
      <c r="F627" t="inlineStr">
        <is>
          <t>27-Jun-2028</t>
        </is>
      </c>
      <c r="G627" t="inlineStr">
        <is>
          <t>Tuesday</t>
        </is>
      </c>
      <c r="H627" t="inlineStr">
        <is>
          <t>Monthly - Tuesday</t>
        </is>
      </c>
      <c r="I627" t="inlineStr">
        <is>
          <t>Monthly - Tuesday</t>
        </is>
      </c>
      <c r="J627" t="inlineStr">
        <is>
          <t>Month+32 Expiry</t>
        </is>
      </c>
      <c r="K627" s="25" t="n">
        <v>0</v>
      </c>
      <c r="L627" s="26" t="n">
        <v>0</v>
      </c>
      <c r="M627" s="26" t="n">
        <v>0</v>
      </c>
    </row>
    <row r="628" ht="16" customHeight="1">
      <c r="A628" t="inlineStr">
        <is>
          <t>20-Oct-2025</t>
        </is>
      </c>
      <c r="B628" t="inlineStr">
        <is>
          <t>Monday</t>
        </is>
      </c>
      <c r="C628" t="inlineStr">
        <is>
          <t>Week3-Oct-2025</t>
        </is>
      </c>
      <c r="D628" s="78" t="n">
        <v>45931</v>
      </c>
      <c r="E628" t="inlineStr">
        <is>
          <t>Q3FY26</t>
        </is>
      </c>
      <c r="F628" t="inlineStr">
        <is>
          <t>26-Dec-2028</t>
        </is>
      </c>
      <c r="G628" t="inlineStr">
        <is>
          <t>Tuesday</t>
        </is>
      </c>
      <c r="H628" t="inlineStr">
        <is>
          <t>Monthly - Tuesday</t>
        </is>
      </c>
      <c r="I628" t="inlineStr">
        <is>
          <t>Monthly - Tuesday</t>
        </is>
      </c>
      <c r="J628" t="inlineStr">
        <is>
          <t>Month+38 Expiry</t>
        </is>
      </c>
      <c r="K628" s="25" t="n">
        <v>5</v>
      </c>
      <c r="L628" s="26" t="n">
        <v>0.0101</v>
      </c>
      <c r="M628" s="26" t="n">
        <v>0.0004</v>
      </c>
    </row>
    <row r="629" ht="16" customHeight="1">
      <c r="A629" t="inlineStr">
        <is>
          <t>20-Oct-2025</t>
        </is>
      </c>
      <c r="B629" t="inlineStr">
        <is>
          <t>Monday</t>
        </is>
      </c>
      <c r="C629" t="inlineStr">
        <is>
          <t>Week3-Oct-2025</t>
        </is>
      </c>
      <c r="D629" s="78" t="n">
        <v>45931</v>
      </c>
      <c r="E629" t="inlineStr">
        <is>
          <t>Q3FY26</t>
        </is>
      </c>
      <c r="F629" t="inlineStr">
        <is>
          <t>26-Jun-2029</t>
        </is>
      </c>
      <c r="G629" t="inlineStr">
        <is>
          <t>Tuesday</t>
        </is>
      </c>
      <c r="H629" t="inlineStr">
        <is>
          <t>Monthly - Tuesday</t>
        </is>
      </c>
      <c r="I629" t="inlineStr">
        <is>
          <t>Monthly - Tuesday</t>
        </is>
      </c>
      <c r="J629" t="inlineStr">
        <is>
          <t>Month+44 Expiry</t>
        </is>
      </c>
      <c r="K629" s="25" t="n">
        <v>0</v>
      </c>
      <c r="L629" s="26" t="n">
        <v>0</v>
      </c>
      <c r="M629" s="26" t="n">
        <v>0</v>
      </c>
    </row>
    <row r="630" ht="16" customHeight="1">
      <c r="A630" t="inlineStr">
        <is>
          <t>20-Oct-2025</t>
        </is>
      </c>
      <c r="B630" t="inlineStr">
        <is>
          <t>Monday</t>
        </is>
      </c>
      <c r="C630" t="inlineStr">
        <is>
          <t>Week3-Oct-2025</t>
        </is>
      </c>
      <c r="D630" s="78" t="n">
        <v>45931</v>
      </c>
      <c r="E630" t="inlineStr">
        <is>
          <t>Q3FY26</t>
        </is>
      </c>
      <c r="F630" t="inlineStr">
        <is>
          <t>24-Dec-2029</t>
        </is>
      </c>
      <c r="G630" t="inlineStr">
        <is>
          <t>Monday</t>
        </is>
      </c>
      <c r="H630" t="inlineStr">
        <is>
          <t>Weekly - Monday</t>
        </is>
      </c>
      <c r="I630" t="inlineStr">
        <is>
          <t>Weekly - Monday</t>
        </is>
      </c>
      <c r="J630" t="inlineStr">
        <is>
          <t>Month+50 Expiry</t>
        </is>
      </c>
      <c r="K630" s="25" t="n">
        <v>0</v>
      </c>
      <c r="L630" s="26" t="n">
        <v>0</v>
      </c>
      <c r="M630" s="26" t="n">
        <v>0</v>
      </c>
    </row>
    <row r="631" ht="16" customHeight="1">
      <c r="A631" t="inlineStr">
        <is>
          <t>20-Oct-2025</t>
        </is>
      </c>
      <c r="B631" t="inlineStr">
        <is>
          <t>Monday</t>
        </is>
      </c>
      <c r="C631" t="inlineStr">
        <is>
          <t>Week3-Oct-2025</t>
        </is>
      </c>
      <c r="D631" s="78" t="n">
        <v>45931</v>
      </c>
      <c r="E631" t="inlineStr">
        <is>
          <t>Q3FY26</t>
        </is>
      </c>
      <c r="F631" t="inlineStr">
        <is>
          <t>25-Jun-2030</t>
        </is>
      </c>
      <c r="G631" t="inlineStr">
        <is>
          <t>Tuesday</t>
        </is>
      </c>
      <c r="H631" t="inlineStr">
        <is>
          <t>Monthly - Tuesday</t>
        </is>
      </c>
      <c r="I631" t="inlineStr">
        <is>
          <t>Monthly - Tuesday</t>
        </is>
      </c>
      <c r="J631" t="inlineStr">
        <is>
          <t>Month+56 Expiry</t>
        </is>
      </c>
      <c r="K631" s="25" t="n">
        <v>0</v>
      </c>
      <c r="L631" s="26" t="n">
        <v>0</v>
      </c>
      <c r="M631" s="26" t="n">
        <v>0</v>
      </c>
    </row>
    <row r="632" ht="16" customHeight="1">
      <c r="A632" t="inlineStr">
        <is>
          <t>21-Oct-2025</t>
        </is>
      </c>
      <c r="B632" t="inlineStr">
        <is>
          <t>Tuesday</t>
        </is>
      </c>
      <c r="C632" t="inlineStr">
        <is>
          <t>Week3-Oct-2025</t>
        </is>
      </c>
      <c r="D632" s="78" t="n">
        <v>45931</v>
      </c>
      <c r="E632" t="inlineStr">
        <is>
          <t>Q3FY26</t>
        </is>
      </c>
      <c r="F632" t="inlineStr">
        <is>
          <t>28-Oct-2025</t>
        </is>
      </c>
      <c r="G632" t="inlineStr">
        <is>
          <t>Tuesday</t>
        </is>
      </c>
      <c r="H632" t="inlineStr">
        <is>
          <t>Monthly - Tuesday</t>
        </is>
      </c>
      <c r="I632" t="inlineStr">
        <is>
          <t>Monthly - Tuesday</t>
        </is>
      </c>
      <c r="J632" t="inlineStr">
        <is>
          <t>Same Month Expiry</t>
        </is>
      </c>
      <c r="K632" s="25" t="n">
        <v>11563142</v>
      </c>
      <c r="L632" s="26" t="n">
        <v>22502.4271</v>
      </c>
      <c r="M632" s="26" t="n">
        <v>54.3321</v>
      </c>
    </row>
    <row r="633" ht="16" customHeight="1">
      <c r="A633" t="inlineStr">
        <is>
          <t>21-Oct-2025</t>
        </is>
      </c>
      <c r="B633" t="inlineStr">
        <is>
          <t>Tuesday</t>
        </is>
      </c>
      <c r="C633" t="inlineStr">
        <is>
          <t>Week3-Oct-2025</t>
        </is>
      </c>
      <c r="D633" s="78" t="n">
        <v>45931</v>
      </c>
      <c r="E633" t="inlineStr">
        <is>
          <t>Q3FY26</t>
        </is>
      </c>
      <c r="F633" t="inlineStr">
        <is>
          <t>04-Nov-2025</t>
        </is>
      </c>
      <c r="G633" t="inlineStr">
        <is>
          <t>Tuesday</t>
        </is>
      </c>
      <c r="H633" t="inlineStr">
        <is>
          <t>Weekly - Tuesday</t>
        </is>
      </c>
      <c r="I633" t="inlineStr">
        <is>
          <t>Weekly - Tuesday</t>
        </is>
      </c>
      <c r="J633" t="inlineStr">
        <is>
          <t>Month+1 Expiry</t>
        </is>
      </c>
      <c r="K633" s="25" t="n">
        <v>293585</v>
      </c>
      <c r="L633" s="26" t="n">
        <v>573.2320999999999</v>
      </c>
      <c r="M633" s="26" t="n">
        <v>2.6908</v>
      </c>
    </row>
    <row r="634" ht="16" customHeight="1">
      <c r="A634" t="inlineStr">
        <is>
          <t>21-Oct-2025</t>
        </is>
      </c>
      <c r="B634" t="inlineStr">
        <is>
          <t>Tuesday</t>
        </is>
      </c>
      <c r="C634" t="inlineStr">
        <is>
          <t>Week3-Oct-2025</t>
        </is>
      </c>
      <c r="D634" s="78" t="n">
        <v>45931</v>
      </c>
      <c r="E634" t="inlineStr">
        <is>
          <t>Q3FY26</t>
        </is>
      </c>
      <c r="F634" t="inlineStr">
        <is>
          <t>11-Nov-2025</t>
        </is>
      </c>
      <c r="G634" t="inlineStr">
        <is>
          <t>Tuesday</t>
        </is>
      </c>
      <c r="H634" t="inlineStr">
        <is>
          <t>Weekly - Tuesday</t>
        </is>
      </c>
      <c r="I634" t="inlineStr">
        <is>
          <t>Weekly - Tuesday</t>
        </is>
      </c>
      <c r="J634" t="inlineStr">
        <is>
          <t>Month+1 Expiry</t>
        </is>
      </c>
      <c r="K634" s="25" t="n">
        <v>19983</v>
      </c>
      <c r="L634" s="26" t="n">
        <v>38.9938</v>
      </c>
      <c r="M634" s="26" t="n">
        <v>0.205</v>
      </c>
    </row>
    <row r="635" ht="16" customHeight="1">
      <c r="A635" t="inlineStr">
        <is>
          <t>21-Oct-2025</t>
        </is>
      </c>
      <c r="B635" t="inlineStr">
        <is>
          <t>Tuesday</t>
        </is>
      </c>
      <c r="C635" t="inlineStr">
        <is>
          <t>Week3-Oct-2025</t>
        </is>
      </c>
      <c r="D635" s="78" t="n">
        <v>45931</v>
      </c>
      <c r="E635" t="inlineStr">
        <is>
          <t>Q3FY26</t>
        </is>
      </c>
      <c r="F635" t="inlineStr">
        <is>
          <t>18-Nov-2025</t>
        </is>
      </c>
      <c r="G635" t="inlineStr">
        <is>
          <t>Tuesday</t>
        </is>
      </c>
      <c r="H635" t="inlineStr">
        <is>
          <t>Weekly - Tuesday</t>
        </is>
      </c>
      <c r="I635" t="inlineStr">
        <is>
          <t>Weekly - Tuesday</t>
        </is>
      </c>
      <c r="J635" t="inlineStr">
        <is>
          <t>Month+1 Expiry</t>
        </is>
      </c>
      <c r="K635" s="25" t="n">
        <v>2113</v>
      </c>
      <c r="L635" s="26" t="n">
        <v>4.1028</v>
      </c>
      <c r="M635" s="26" t="n">
        <v>0.024</v>
      </c>
    </row>
    <row r="636" ht="16" customHeight="1">
      <c r="A636" t="inlineStr">
        <is>
          <t>21-Oct-2025</t>
        </is>
      </c>
      <c r="B636" t="inlineStr">
        <is>
          <t>Tuesday</t>
        </is>
      </c>
      <c r="C636" t="inlineStr">
        <is>
          <t>Week3-Oct-2025</t>
        </is>
      </c>
      <c r="D636" s="78" t="n">
        <v>45931</v>
      </c>
      <c r="E636" t="inlineStr">
        <is>
          <t>Q3FY26</t>
        </is>
      </c>
      <c r="F636" t="inlineStr">
        <is>
          <t>25-Nov-2025</t>
        </is>
      </c>
      <c r="G636" t="inlineStr">
        <is>
          <t>Tuesday</t>
        </is>
      </c>
      <c r="H636" t="inlineStr">
        <is>
          <t>Monthly - Tuesday</t>
        </is>
      </c>
      <c r="I636" t="inlineStr">
        <is>
          <t>Monthly - Tuesday</t>
        </is>
      </c>
      <c r="J636" t="inlineStr">
        <is>
          <t>Month+1 Expiry</t>
        </is>
      </c>
      <c r="K636" s="25" t="n">
        <v>118482</v>
      </c>
      <c r="L636" s="26" t="n">
        <v>230.4404</v>
      </c>
      <c r="M636" s="26" t="n">
        <v>1.7419</v>
      </c>
    </row>
    <row r="637" ht="16" customHeight="1">
      <c r="A637" t="inlineStr">
        <is>
          <t>21-Oct-2025</t>
        </is>
      </c>
      <c r="B637" t="inlineStr">
        <is>
          <t>Tuesday</t>
        </is>
      </c>
      <c r="C637" t="inlineStr">
        <is>
          <t>Week3-Oct-2025</t>
        </is>
      </c>
      <c r="D637" s="78" t="n">
        <v>45931</v>
      </c>
      <c r="E637" t="inlineStr">
        <is>
          <t>Q3FY26</t>
        </is>
      </c>
      <c r="F637" t="inlineStr">
        <is>
          <t>02-Dec-2025</t>
        </is>
      </c>
      <c r="G637" t="inlineStr">
        <is>
          <t>Tuesday</t>
        </is>
      </c>
      <c r="H637" t="inlineStr">
        <is>
          <t>Weekly - Tuesday</t>
        </is>
      </c>
      <c r="I637" t="inlineStr">
        <is>
          <t>Weekly - Tuesday</t>
        </is>
      </c>
      <c r="J637" t="inlineStr">
        <is>
          <t>Month+2 Expiry</t>
        </is>
      </c>
      <c r="K637" s="25" t="n">
        <v>6</v>
      </c>
      <c r="L637" s="26" t="n">
        <v>0.0115</v>
      </c>
      <c r="M637" s="26" t="n">
        <v>0.0001</v>
      </c>
    </row>
    <row r="638" ht="16" customHeight="1">
      <c r="A638" t="inlineStr">
        <is>
          <t>21-Oct-2025</t>
        </is>
      </c>
      <c r="B638" t="inlineStr">
        <is>
          <t>Tuesday</t>
        </is>
      </c>
      <c r="C638" t="inlineStr">
        <is>
          <t>Week3-Oct-2025</t>
        </is>
      </c>
      <c r="D638" s="78" t="n">
        <v>45931</v>
      </c>
      <c r="E638" t="inlineStr">
        <is>
          <t>Q3FY26</t>
        </is>
      </c>
      <c r="F638" t="inlineStr">
        <is>
          <t>30-Dec-2025</t>
        </is>
      </c>
      <c r="G638" t="inlineStr">
        <is>
          <t>Tuesday</t>
        </is>
      </c>
      <c r="H638" t="inlineStr">
        <is>
          <t>Monthly - Tuesday</t>
        </is>
      </c>
      <c r="I638" t="inlineStr">
        <is>
          <t>Monthly - Tuesday</t>
        </is>
      </c>
      <c r="J638" t="inlineStr">
        <is>
          <t>Month+2 Expiry</t>
        </is>
      </c>
      <c r="K638" s="25" t="n">
        <v>32684</v>
      </c>
      <c r="L638" s="26" t="n">
        <v>63.4587</v>
      </c>
      <c r="M638" s="26" t="n">
        <v>0.6484</v>
      </c>
    </row>
    <row r="639" ht="16" customHeight="1">
      <c r="A639" t="inlineStr">
        <is>
          <t>21-Oct-2025</t>
        </is>
      </c>
      <c r="B639" t="inlineStr">
        <is>
          <t>Tuesday</t>
        </is>
      </c>
      <c r="C639" t="inlineStr">
        <is>
          <t>Week3-Oct-2025</t>
        </is>
      </c>
      <c r="D639" s="78" t="n">
        <v>45931</v>
      </c>
      <c r="E639" t="inlineStr">
        <is>
          <t>Q3FY26</t>
        </is>
      </c>
      <c r="F639" t="inlineStr">
        <is>
          <t>31-Mar-2026</t>
        </is>
      </c>
      <c r="G639" t="inlineStr">
        <is>
          <t>Tuesday</t>
        </is>
      </c>
      <c r="H639" t="inlineStr">
        <is>
          <t>Monthly - Tuesday</t>
        </is>
      </c>
      <c r="I639" t="inlineStr">
        <is>
          <t>Monthly - Tuesday</t>
        </is>
      </c>
      <c r="J639" t="inlineStr">
        <is>
          <t>Month+5 Expiry</t>
        </is>
      </c>
      <c r="K639" s="25" t="n">
        <v>4482</v>
      </c>
      <c r="L639" s="26" t="n">
        <v>9.022600000000001</v>
      </c>
      <c r="M639" s="26" t="n">
        <v>0.1383</v>
      </c>
    </row>
    <row r="640" ht="16" customHeight="1">
      <c r="A640" t="inlineStr">
        <is>
          <t>21-Oct-2025</t>
        </is>
      </c>
      <c r="B640" t="inlineStr">
        <is>
          <t>Tuesday</t>
        </is>
      </c>
      <c r="C640" t="inlineStr">
        <is>
          <t>Week3-Oct-2025</t>
        </is>
      </c>
      <c r="D640" s="78" t="n">
        <v>45931</v>
      </c>
      <c r="E640" t="inlineStr">
        <is>
          <t>Q3FY26</t>
        </is>
      </c>
      <c r="F640" t="inlineStr">
        <is>
          <t>30-Jun-2026</t>
        </is>
      </c>
      <c r="G640" t="inlineStr">
        <is>
          <t>Tuesday</t>
        </is>
      </c>
      <c r="H640" t="inlineStr">
        <is>
          <t>Monthly - Tuesday</t>
        </is>
      </c>
      <c r="I640" t="inlineStr">
        <is>
          <t>Monthly - Tuesday</t>
        </is>
      </c>
      <c r="J640" t="inlineStr">
        <is>
          <t>Month+8 Expiry</t>
        </is>
      </c>
      <c r="K640" s="25" t="n">
        <v>966</v>
      </c>
      <c r="L640" s="26" t="n">
        <v>1.9048</v>
      </c>
      <c r="M640" s="26" t="n">
        <v>0.0329</v>
      </c>
    </row>
    <row r="641" ht="16" customHeight="1">
      <c r="A641" t="inlineStr">
        <is>
          <t>21-Oct-2025</t>
        </is>
      </c>
      <c r="B641" t="inlineStr">
        <is>
          <t>Tuesday</t>
        </is>
      </c>
      <c r="C641" t="inlineStr">
        <is>
          <t>Week3-Oct-2025</t>
        </is>
      </c>
      <c r="D641" s="78" t="n">
        <v>45931</v>
      </c>
      <c r="E641" t="inlineStr">
        <is>
          <t>Q3FY26</t>
        </is>
      </c>
      <c r="F641" t="inlineStr">
        <is>
          <t>29-Sep-2026</t>
        </is>
      </c>
      <c r="G641" t="inlineStr">
        <is>
          <t>Tuesday</t>
        </is>
      </c>
      <c r="H641" t="inlineStr">
        <is>
          <t>Monthly - Tuesday</t>
        </is>
      </c>
      <c r="I641" t="inlineStr">
        <is>
          <t>Monthly - Tuesday</t>
        </is>
      </c>
      <c r="J641" t="inlineStr">
        <is>
          <t>Month+11 Expiry</t>
        </is>
      </c>
      <c r="K641" s="25" t="n">
        <v>0</v>
      </c>
      <c r="L641" s="26" t="n">
        <v>0</v>
      </c>
      <c r="M641" s="26" t="n">
        <v>0</v>
      </c>
    </row>
    <row r="642" ht="16" customHeight="1">
      <c r="A642" t="inlineStr">
        <is>
          <t>21-Oct-2025</t>
        </is>
      </c>
      <c r="B642" t="inlineStr">
        <is>
          <t>Tuesday</t>
        </is>
      </c>
      <c r="C642" t="inlineStr">
        <is>
          <t>Week3-Oct-2025</t>
        </is>
      </c>
      <c r="D642" s="78" t="n">
        <v>45931</v>
      </c>
      <c r="E642" t="inlineStr">
        <is>
          <t>Q3FY26</t>
        </is>
      </c>
      <c r="F642" t="inlineStr">
        <is>
          <t>29-Dec-2026</t>
        </is>
      </c>
      <c r="G642" t="inlineStr">
        <is>
          <t>Tuesday</t>
        </is>
      </c>
      <c r="H642" t="inlineStr">
        <is>
          <t>Monthly - Tuesday</t>
        </is>
      </c>
      <c r="I642" t="inlineStr">
        <is>
          <t>Monthly - Tuesday</t>
        </is>
      </c>
      <c r="J642" t="inlineStr">
        <is>
          <t>Month+14 Expiry</t>
        </is>
      </c>
      <c r="K642" s="25" t="n">
        <v>325</v>
      </c>
      <c r="L642" s="26" t="n">
        <v>0.6745</v>
      </c>
      <c r="M642" s="26" t="n">
        <v>0.0231</v>
      </c>
    </row>
    <row r="643" ht="16" customHeight="1">
      <c r="A643" t="inlineStr">
        <is>
          <t>21-Oct-2025</t>
        </is>
      </c>
      <c r="B643" t="inlineStr">
        <is>
          <t>Tuesday</t>
        </is>
      </c>
      <c r="C643" t="inlineStr">
        <is>
          <t>Week3-Oct-2025</t>
        </is>
      </c>
      <c r="D643" s="78" t="n">
        <v>45931</v>
      </c>
      <c r="E643" t="inlineStr">
        <is>
          <t>Q3FY26</t>
        </is>
      </c>
      <c r="F643" t="inlineStr">
        <is>
          <t>29-Jun-2027</t>
        </is>
      </c>
      <c r="G643" t="inlineStr">
        <is>
          <t>Tuesday</t>
        </is>
      </c>
      <c r="H643" t="inlineStr">
        <is>
          <t>Monthly - Tuesday</t>
        </is>
      </c>
      <c r="I643" t="inlineStr">
        <is>
          <t>Monthly - Tuesday</t>
        </is>
      </c>
      <c r="J643" t="inlineStr">
        <is>
          <t>Month+20 Expiry</t>
        </is>
      </c>
      <c r="K643" s="25" t="n">
        <v>0</v>
      </c>
      <c r="L643" s="26" t="n">
        <v>0</v>
      </c>
      <c r="M643" s="26" t="n">
        <v>0</v>
      </c>
    </row>
    <row r="644" ht="16" customHeight="1">
      <c r="A644" t="inlineStr">
        <is>
          <t>21-Oct-2025</t>
        </is>
      </c>
      <c r="B644" t="inlineStr">
        <is>
          <t>Tuesday</t>
        </is>
      </c>
      <c r="C644" t="inlineStr">
        <is>
          <t>Week3-Oct-2025</t>
        </is>
      </c>
      <c r="D644" s="78" t="n">
        <v>45931</v>
      </c>
      <c r="E644" t="inlineStr">
        <is>
          <t>Q3FY26</t>
        </is>
      </c>
      <c r="F644" t="inlineStr">
        <is>
          <t>28-Dec-2027</t>
        </is>
      </c>
      <c r="G644" t="inlineStr">
        <is>
          <t>Tuesday</t>
        </is>
      </c>
      <c r="H644" t="inlineStr">
        <is>
          <t>Monthly - Tuesday</t>
        </is>
      </c>
      <c r="I644" t="inlineStr">
        <is>
          <t>Monthly - Tuesday</t>
        </is>
      </c>
      <c r="J644" t="inlineStr">
        <is>
          <t>Month+26 Expiry</t>
        </is>
      </c>
      <c r="K644" s="25" t="n">
        <v>0</v>
      </c>
      <c r="L644" s="26" t="n">
        <v>0</v>
      </c>
      <c r="M644" s="26" t="n">
        <v>0</v>
      </c>
    </row>
    <row r="645" ht="16" customHeight="1">
      <c r="A645" t="inlineStr">
        <is>
          <t>21-Oct-2025</t>
        </is>
      </c>
      <c r="B645" t="inlineStr">
        <is>
          <t>Tuesday</t>
        </is>
      </c>
      <c r="C645" t="inlineStr">
        <is>
          <t>Week3-Oct-2025</t>
        </is>
      </c>
      <c r="D645" s="78" t="n">
        <v>45931</v>
      </c>
      <c r="E645" t="inlineStr">
        <is>
          <t>Q3FY26</t>
        </is>
      </c>
      <c r="F645" t="inlineStr">
        <is>
          <t>27-Jun-2028</t>
        </is>
      </c>
      <c r="G645" t="inlineStr">
        <is>
          <t>Tuesday</t>
        </is>
      </c>
      <c r="H645" t="inlineStr">
        <is>
          <t>Monthly - Tuesday</t>
        </is>
      </c>
      <c r="I645" t="inlineStr">
        <is>
          <t>Monthly - Tuesday</t>
        </is>
      </c>
      <c r="J645" t="inlineStr">
        <is>
          <t>Month+32 Expiry</t>
        </is>
      </c>
      <c r="K645" s="25" t="n">
        <v>0</v>
      </c>
      <c r="L645" s="26" t="n">
        <v>0</v>
      </c>
      <c r="M645" s="26" t="n">
        <v>0</v>
      </c>
    </row>
    <row r="646" ht="16" customHeight="1">
      <c r="A646" t="inlineStr">
        <is>
          <t>21-Oct-2025</t>
        </is>
      </c>
      <c r="B646" t="inlineStr">
        <is>
          <t>Tuesday</t>
        </is>
      </c>
      <c r="C646" t="inlineStr">
        <is>
          <t>Week3-Oct-2025</t>
        </is>
      </c>
      <c r="D646" s="78" t="n">
        <v>45931</v>
      </c>
      <c r="E646" t="inlineStr">
        <is>
          <t>Q3FY26</t>
        </is>
      </c>
      <c r="F646" t="inlineStr">
        <is>
          <t>26-Dec-2028</t>
        </is>
      </c>
      <c r="G646" t="inlineStr">
        <is>
          <t>Tuesday</t>
        </is>
      </c>
      <c r="H646" t="inlineStr">
        <is>
          <t>Monthly - Tuesday</t>
        </is>
      </c>
      <c r="I646" t="inlineStr">
        <is>
          <t>Monthly - Tuesday</t>
        </is>
      </c>
      <c r="J646" t="inlineStr">
        <is>
          <t>Month+38 Expiry</t>
        </is>
      </c>
      <c r="K646" s="25" t="n">
        <v>0</v>
      </c>
      <c r="L646" s="26" t="n">
        <v>0</v>
      </c>
      <c r="M646" s="26" t="n">
        <v>0</v>
      </c>
    </row>
    <row r="647" ht="16" customHeight="1">
      <c r="A647" t="inlineStr">
        <is>
          <t>21-Oct-2025</t>
        </is>
      </c>
      <c r="B647" t="inlineStr">
        <is>
          <t>Tuesday</t>
        </is>
      </c>
      <c r="C647" t="inlineStr">
        <is>
          <t>Week3-Oct-2025</t>
        </is>
      </c>
      <c r="D647" s="78" t="n">
        <v>45931</v>
      </c>
      <c r="E647" t="inlineStr">
        <is>
          <t>Q3FY26</t>
        </is>
      </c>
      <c r="F647" t="inlineStr">
        <is>
          <t>26-Jun-2029</t>
        </is>
      </c>
      <c r="G647" t="inlineStr">
        <is>
          <t>Tuesday</t>
        </is>
      </c>
      <c r="H647" t="inlineStr">
        <is>
          <t>Monthly - Tuesday</t>
        </is>
      </c>
      <c r="I647" t="inlineStr">
        <is>
          <t>Monthly - Tuesday</t>
        </is>
      </c>
      <c r="J647" t="inlineStr">
        <is>
          <t>Month+44 Expiry</t>
        </is>
      </c>
      <c r="K647" s="25" t="n">
        <v>0</v>
      </c>
      <c r="L647" s="26" t="n">
        <v>0</v>
      </c>
      <c r="M647" s="26" t="n">
        <v>0</v>
      </c>
    </row>
    <row r="648" ht="16" customHeight="1">
      <c r="A648" t="inlineStr">
        <is>
          <t>21-Oct-2025</t>
        </is>
      </c>
      <c r="B648" t="inlineStr">
        <is>
          <t>Tuesday</t>
        </is>
      </c>
      <c r="C648" t="inlineStr">
        <is>
          <t>Week3-Oct-2025</t>
        </is>
      </c>
      <c r="D648" s="78" t="n">
        <v>45931</v>
      </c>
      <c r="E648" t="inlineStr">
        <is>
          <t>Q3FY26</t>
        </is>
      </c>
      <c r="F648" t="inlineStr">
        <is>
          <t>24-Dec-2029</t>
        </is>
      </c>
      <c r="G648" t="inlineStr">
        <is>
          <t>Monday</t>
        </is>
      </c>
      <c r="H648" t="inlineStr">
        <is>
          <t>Weekly - Monday</t>
        </is>
      </c>
      <c r="I648" t="inlineStr">
        <is>
          <t>Weekly - Monday</t>
        </is>
      </c>
      <c r="J648" t="inlineStr">
        <is>
          <t>Month+50 Expiry</t>
        </is>
      </c>
      <c r="K648" s="25" t="n">
        <v>0</v>
      </c>
      <c r="L648" s="26" t="n">
        <v>0</v>
      </c>
      <c r="M648" s="26" t="n">
        <v>0</v>
      </c>
    </row>
    <row r="649" ht="16" customHeight="1">
      <c r="A649" t="inlineStr">
        <is>
          <t>21-Oct-2025</t>
        </is>
      </c>
      <c r="B649" t="inlineStr">
        <is>
          <t>Tuesday</t>
        </is>
      </c>
      <c r="C649" t="inlineStr">
        <is>
          <t>Week3-Oct-2025</t>
        </is>
      </c>
      <c r="D649" s="78" t="n">
        <v>45931</v>
      </c>
      <c r="E649" t="inlineStr">
        <is>
          <t>Q3FY26</t>
        </is>
      </c>
      <c r="F649" t="inlineStr">
        <is>
          <t>25-Jun-2030</t>
        </is>
      </c>
      <c r="G649" t="inlineStr">
        <is>
          <t>Tuesday</t>
        </is>
      </c>
      <c r="H649" t="inlineStr">
        <is>
          <t>Monthly - Tuesday</t>
        </is>
      </c>
      <c r="I649" t="inlineStr">
        <is>
          <t>Monthly - Tuesday</t>
        </is>
      </c>
      <c r="J649" t="inlineStr">
        <is>
          <t>Month+56 Expiry</t>
        </is>
      </c>
      <c r="K649" s="25" t="n">
        <v>0</v>
      </c>
      <c r="L649" s="26" t="n">
        <v>0</v>
      </c>
      <c r="M649" s="26" t="n">
        <v>0</v>
      </c>
    </row>
    <row r="650" ht="16" customHeight="1">
      <c r="A650" t="inlineStr">
        <is>
          <t>23-Oct-2025</t>
        </is>
      </c>
      <c r="B650" t="inlineStr">
        <is>
          <t>Thursday</t>
        </is>
      </c>
      <c r="C650" t="inlineStr">
        <is>
          <t>Week4-Oct-2025</t>
        </is>
      </c>
      <c r="D650" s="78" t="n">
        <v>45931</v>
      </c>
      <c r="E650" t="inlineStr">
        <is>
          <t>Q3FY26</t>
        </is>
      </c>
      <c r="F650" t="inlineStr">
        <is>
          <t>28-Oct-2025</t>
        </is>
      </c>
      <c r="G650" t="inlineStr">
        <is>
          <t>Tuesday</t>
        </is>
      </c>
      <c r="H650" t="inlineStr">
        <is>
          <t>Monthly - Tuesday</t>
        </is>
      </c>
      <c r="I650" t="inlineStr">
        <is>
          <t>MDAW - Tuesday</t>
        </is>
      </c>
      <c r="J650" t="inlineStr">
        <is>
          <t>Same Month Expiry</t>
        </is>
      </c>
      <c r="K650" s="25" t="n">
        <v>63610577</v>
      </c>
      <c r="L650" s="26" t="n">
        <v>124163.2177</v>
      </c>
      <c r="M650" s="26" t="n">
        <v>320.3655</v>
      </c>
    </row>
    <row r="651" ht="16" customHeight="1">
      <c r="A651" t="inlineStr">
        <is>
          <t>23-Oct-2025</t>
        </is>
      </c>
      <c r="B651" t="inlineStr">
        <is>
          <t>Thursday</t>
        </is>
      </c>
      <c r="C651" t="inlineStr">
        <is>
          <t>Week4-Oct-2025</t>
        </is>
      </c>
      <c r="D651" s="78" t="n">
        <v>45931</v>
      </c>
      <c r="E651" t="inlineStr">
        <is>
          <t>Q3FY26</t>
        </is>
      </c>
      <c r="F651" t="inlineStr">
        <is>
          <t>04-Nov-2025</t>
        </is>
      </c>
      <c r="G651" t="inlineStr">
        <is>
          <t>Tuesday</t>
        </is>
      </c>
      <c r="H651" t="inlineStr">
        <is>
          <t>Weekly - Tuesday</t>
        </is>
      </c>
      <c r="I651" t="inlineStr">
        <is>
          <t>Weekly - Tuesday</t>
        </is>
      </c>
      <c r="J651" t="inlineStr">
        <is>
          <t>Month+1 Expiry</t>
        </is>
      </c>
      <c r="K651" s="25" t="n">
        <v>2560294</v>
      </c>
      <c r="L651" s="26" t="n">
        <v>5031.763</v>
      </c>
      <c r="M651" s="26" t="n">
        <v>21.9931</v>
      </c>
    </row>
    <row r="652" ht="16" customHeight="1">
      <c r="A652" t="inlineStr">
        <is>
          <t>23-Oct-2025</t>
        </is>
      </c>
      <c r="B652" t="inlineStr">
        <is>
          <t>Thursday</t>
        </is>
      </c>
      <c r="C652" t="inlineStr">
        <is>
          <t>Week4-Oct-2025</t>
        </is>
      </c>
      <c r="D652" s="78" t="n">
        <v>45931</v>
      </c>
      <c r="E652" t="inlineStr">
        <is>
          <t>Q3FY26</t>
        </is>
      </c>
      <c r="F652" t="inlineStr">
        <is>
          <t>11-Nov-2025</t>
        </is>
      </c>
      <c r="G652" t="inlineStr">
        <is>
          <t>Tuesday</t>
        </is>
      </c>
      <c r="H652" t="inlineStr">
        <is>
          <t>Weekly - Tuesday</t>
        </is>
      </c>
      <c r="I652" t="inlineStr">
        <is>
          <t>Weekly - Tuesday</t>
        </is>
      </c>
      <c r="J652" t="inlineStr">
        <is>
          <t>Month+1 Expiry</t>
        </is>
      </c>
      <c r="K652" s="25" t="n">
        <v>180008</v>
      </c>
      <c r="L652" s="26" t="n">
        <v>354.6436</v>
      </c>
      <c r="M652" s="26" t="n">
        <v>2.1926</v>
      </c>
    </row>
    <row r="653" ht="16" customHeight="1">
      <c r="A653" t="inlineStr">
        <is>
          <t>23-Oct-2025</t>
        </is>
      </c>
      <c r="B653" t="inlineStr">
        <is>
          <t>Thursday</t>
        </is>
      </c>
      <c r="C653" t="inlineStr">
        <is>
          <t>Week4-Oct-2025</t>
        </is>
      </c>
      <c r="D653" s="78" t="n">
        <v>45931</v>
      </c>
      <c r="E653" t="inlineStr">
        <is>
          <t>Q3FY26</t>
        </is>
      </c>
      <c r="F653" t="inlineStr">
        <is>
          <t>18-Nov-2025</t>
        </is>
      </c>
      <c r="G653" t="inlineStr">
        <is>
          <t>Tuesday</t>
        </is>
      </c>
      <c r="H653" t="inlineStr">
        <is>
          <t>Weekly - Tuesday</t>
        </is>
      </c>
      <c r="I653" t="inlineStr">
        <is>
          <t>Weekly - Tuesday</t>
        </is>
      </c>
      <c r="J653" t="inlineStr">
        <is>
          <t>Month+1 Expiry</t>
        </is>
      </c>
      <c r="K653" s="25" t="n">
        <v>19548</v>
      </c>
      <c r="L653" s="26" t="n">
        <v>38.3566</v>
      </c>
      <c r="M653" s="26" t="n">
        <v>0.2458</v>
      </c>
    </row>
    <row r="654" ht="16" customHeight="1">
      <c r="A654" t="inlineStr">
        <is>
          <t>23-Oct-2025</t>
        </is>
      </c>
      <c r="B654" t="inlineStr">
        <is>
          <t>Thursday</t>
        </is>
      </c>
      <c r="C654" t="inlineStr">
        <is>
          <t>Week4-Oct-2025</t>
        </is>
      </c>
      <c r="D654" s="78" t="n">
        <v>45931</v>
      </c>
      <c r="E654" t="inlineStr">
        <is>
          <t>Q3FY26</t>
        </is>
      </c>
      <c r="F654" t="inlineStr">
        <is>
          <t>25-Nov-2025</t>
        </is>
      </c>
      <c r="G654" t="inlineStr">
        <is>
          <t>Tuesday</t>
        </is>
      </c>
      <c r="H654" t="inlineStr">
        <is>
          <t>Monthly - Tuesday</t>
        </is>
      </c>
      <c r="I654" t="inlineStr">
        <is>
          <t>Monthly - Tuesday</t>
        </is>
      </c>
      <c r="J654" t="inlineStr">
        <is>
          <t>Month+1 Expiry</t>
        </is>
      </c>
      <c r="K654" s="25" t="n">
        <v>911423</v>
      </c>
      <c r="L654" s="26" t="n">
        <v>1774.9831</v>
      </c>
      <c r="M654" s="26" t="n">
        <v>13.7144</v>
      </c>
    </row>
    <row r="655" ht="16" customHeight="1">
      <c r="A655" t="inlineStr">
        <is>
          <t>23-Oct-2025</t>
        </is>
      </c>
      <c r="B655" t="inlineStr">
        <is>
          <t>Thursday</t>
        </is>
      </c>
      <c r="C655" t="inlineStr">
        <is>
          <t>Week4-Oct-2025</t>
        </is>
      </c>
      <c r="D655" s="78" t="n">
        <v>45931</v>
      </c>
      <c r="E655" t="inlineStr">
        <is>
          <t>Q3FY26</t>
        </is>
      </c>
      <c r="F655" t="inlineStr">
        <is>
          <t>02-Dec-2025</t>
        </is>
      </c>
      <c r="G655" t="inlineStr">
        <is>
          <t>Tuesday</t>
        </is>
      </c>
      <c r="H655" t="inlineStr">
        <is>
          <t>Weekly - Tuesday</t>
        </is>
      </c>
      <c r="I655" t="inlineStr">
        <is>
          <t>Weekly - Tuesday</t>
        </is>
      </c>
      <c r="J655" t="inlineStr">
        <is>
          <t>Month+2 Expiry</t>
        </is>
      </c>
      <c r="K655" s="25" t="n">
        <v>823</v>
      </c>
      <c r="L655" s="26" t="n">
        <v>1.6152</v>
      </c>
      <c r="M655" s="26" t="n">
        <v>0.0157</v>
      </c>
    </row>
    <row r="656" ht="16" customHeight="1">
      <c r="A656" t="inlineStr">
        <is>
          <t>23-Oct-2025</t>
        </is>
      </c>
      <c r="B656" t="inlineStr">
        <is>
          <t>Thursday</t>
        </is>
      </c>
      <c r="C656" t="inlineStr">
        <is>
          <t>Week4-Oct-2025</t>
        </is>
      </c>
      <c r="D656" s="78" t="n">
        <v>45931</v>
      </c>
      <c r="E656" t="inlineStr">
        <is>
          <t>Q3FY26</t>
        </is>
      </c>
      <c r="F656" t="inlineStr">
        <is>
          <t>30-Dec-2025</t>
        </is>
      </c>
      <c r="G656" t="inlineStr">
        <is>
          <t>Tuesday</t>
        </is>
      </c>
      <c r="H656" t="inlineStr">
        <is>
          <t>Monthly - Tuesday</t>
        </is>
      </c>
      <c r="I656" t="inlineStr">
        <is>
          <t>Monthly - Tuesday</t>
        </is>
      </c>
      <c r="J656" t="inlineStr">
        <is>
          <t>Month+2 Expiry</t>
        </is>
      </c>
      <c r="K656" s="25" t="n">
        <v>278799</v>
      </c>
      <c r="L656" s="26" t="n">
        <v>540.4616</v>
      </c>
      <c r="M656" s="26" t="n">
        <v>5.536</v>
      </c>
    </row>
    <row r="657" ht="16" customHeight="1">
      <c r="A657" t="inlineStr">
        <is>
          <t>23-Oct-2025</t>
        </is>
      </c>
      <c r="B657" t="inlineStr">
        <is>
          <t>Thursday</t>
        </is>
      </c>
      <c r="C657" t="inlineStr">
        <is>
          <t>Week4-Oct-2025</t>
        </is>
      </c>
      <c r="D657" s="78" t="n">
        <v>45931</v>
      </c>
      <c r="E657" t="inlineStr">
        <is>
          <t>Q3FY26</t>
        </is>
      </c>
      <c r="F657" t="inlineStr">
        <is>
          <t>31-Mar-2026</t>
        </is>
      </c>
      <c r="G657" t="inlineStr">
        <is>
          <t>Tuesday</t>
        </is>
      </c>
      <c r="H657" t="inlineStr">
        <is>
          <t>Monthly - Tuesday</t>
        </is>
      </c>
      <c r="I657" t="inlineStr">
        <is>
          <t>Monthly - Tuesday</t>
        </is>
      </c>
      <c r="J657" t="inlineStr">
        <is>
          <t>Month+5 Expiry</t>
        </is>
      </c>
      <c r="K657" s="25" t="n">
        <v>33216</v>
      </c>
      <c r="L657" s="26" t="n">
        <v>65.5513</v>
      </c>
      <c r="M657" s="26" t="n">
        <v>1.0108</v>
      </c>
    </row>
    <row r="658" ht="16" customHeight="1">
      <c r="A658" t="inlineStr">
        <is>
          <t>23-Oct-2025</t>
        </is>
      </c>
      <c r="B658" t="inlineStr">
        <is>
          <t>Thursday</t>
        </is>
      </c>
      <c r="C658" t="inlineStr">
        <is>
          <t>Week4-Oct-2025</t>
        </is>
      </c>
      <c r="D658" s="78" t="n">
        <v>45931</v>
      </c>
      <c r="E658" t="inlineStr">
        <is>
          <t>Q3FY26</t>
        </is>
      </c>
      <c r="F658" t="inlineStr">
        <is>
          <t>30-Jun-2026</t>
        </is>
      </c>
      <c r="G658" t="inlineStr">
        <is>
          <t>Tuesday</t>
        </is>
      </c>
      <c r="H658" t="inlineStr">
        <is>
          <t>Monthly - Tuesday</t>
        </is>
      </c>
      <c r="I658" t="inlineStr">
        <is>
          <t>Monthly - Tuesday</t>
        </is>
      </c>
      <c r="J658" t="inlineStr">
        <is>
          <t>Month+8 Expiry</t>
        </is>
      </c>
      <c r="K658" s="25" t="n">
        <v>7074</v>
      </c>
      <c r="L658" s="26" t="n">
        <v>14.3134</v>
      </c>
      <c r="M658" s="26" t="n">
        <v>0.4304</v>
      </c>
    </row>
    <row r="659" ht="16" customHeight="1">
      <c r="A659" t="inlineStr">
        <is>
          <t>23-Oct-2025</t>
        </is>
      </c>
      <c r="B659" t="inlineStr">
        <is>
          <t>Thursday</t>
        </is>
      </c>
      <c r="C659" t="inlineStr">
        <is>
          <t>Week4-Oct-2025</t>
        </is>
      </c>
      <c r="D659" s="78" t="n">
        <v>45931</v>
      </c>
      <c r="E659" t="inlineStr">
        <is>
          <t>Q3FY26</t>
        </is>
      </c>
      <c r="F659" t="inlineStr">
        <is>
          <t>29-Sep-2026</t>
        </is>
      </c>
      <c r="G659" t="inlineStr">
        <is>
          <t>Tuesday</t>
        </is>
      </c>
      <c r="H659" t="inlineStr">
        <is>
          <t>Monthly - Tuesday</t>
        </is>
      </c>
      <c r="I659" t="inlineStr">
        <is>
          <t>Monthly - Tuesday</t>
        </is>
      </c>
      <c r="J659" t="inlineStr">
        <is>
          <t>Month+11 Expiry</t>
        </is>
      </c>
      <c r="K659" s="25" t="n">
        <v>0</v>
      </c>
      <c r="L659" s="26" t="n">
        <v>0</v>
      </c>
      <c r="M659" s="26" t="n">
        <v>0</v>
      </c>
    </row>
    <row r="660" ht="16" customHeight="1">
      <c r="A660" t="inlineStr">
        <is>
          <t>23-Oct-2025</t>
        </is>
      </c>
      <c r="B660" t="inlineStr">
        <is>
          <t>Thursday</t>
        </is>
      </c>
      <c r="C660" t="inlineStr">
        <is>
          <t>Week4-Oct-2025</t>
        </is>
      </c>
      <c r="D660" s="78" t="n">
        <v>45931</v>
      </c>
      <c r="E660" t="inlineStr">
        <is>
          <t>Q3FY26</t>
        </is>
      </c>
      <c r="F660" t="inlineStr">
        <is>
          <t>29-Dec-2026</t>
        </is>
      </c>
      <c r="G660" t="inlineStr">
        <is>
          <t>Tuesday</t>
        </is>
      </c>
      <c r="H660" t="inlineStr">
        <is>
          <t>Monthly - Tuesday</t>
        </is>
      </c>
      <c r="I660" t="inlineStr">
        <is>
          <t>Monthly - Tuesday</t>
        </is>
      </c>
      <c r="J660" t="inlineStr">
        <is>
          <t>Month+14 Expiry</t>
        </is>
      </c>
      <c r="K660" s="25" t="n">
        <v>3413</v>
      </c>
      <c r="L660" s="26" t="n">
        <v>6.8646</v>
      </c>
      <c r="M660" s="26" t="n">
        <v>0.2051</v>
      </c>
    </row>
    <row r="661" ht="16" customHeight="1">
      <c r="A661" t="inlineStr">
        <is>
          <t>23-Oct-2025</t>
        </is>
      </c>
      <c r="B661" t="inlineStr">
        <is>
          <t>Thursday</t>
        </is>
      </c>
      <c r="C661" t="inlineStr">
        <is>
          <t>Week4-Oct-2025</t>
        </is>
      </c>
      <c r="D661" s="78" t="n">
        <v>45931</v>
      </c>
      <c r="E661" t="inlineStr">
        <is>
          <t>Q3FY26</t>
        </is>
      </c>
      <c r="F661" t="inlineStr">
        <is>
          <t>29-Jun-2027</t>
        </is>
      </c>
      <c r="G661" t="inlineStr">
        <is>
          <t>Tuesday</t>
        </is>
      </c>
      <c r="H661" t="inlineStr">
        <is>
          <t>Monthly - Tuesday</t>
        </is>
      </c>
      <c r="I661" t="inlineStr">
        <is>
          <t>Monthly - Tuesday</t>
        </is>
      </c>
      <c r="J661" t="inlineStr">
        <is>
          <t>Month+20 Expiry</t>
        </is>
      </c>
      <c r="K661" s="25" t="n">
        <v>0</v>
      </c>
      <c r="L661" s="26" t="n">
        <v>0</v>
      </c>
      <c r="M661" s="26" t="n">
        <v>0</v>
      </c>
    </row>
    <row r="662" ht="16" customHeight="1">
      <c r="A662" t="inlineStr">
        <is>
          <t>23-Oct-2025</t>
        </is>
      </c>
      <c r="B662" t="inlineStr">
        <is>
          <t>Thursday</t>
        </is>
      </c>
      <c r="C662" t="inlineStr">
        <is>
          <t>Week4-Oct-2025</t>
        </is>
      </c>
      <c r="D662" s="78" t="n">
        <v>45931</v>
      </c>
      <c r="E662" t="inlineStr">
        <is>
          <t>Q3FY26</t>
        </is>
      </c>
      <c r="F662" t="inlineStr">
        <is>
          <t>28-Dec-2027</t>
        </is>
      </c>
      <c r="G662" t="inlineStr">
        <is>
          <t>Tuesday</t>
        </is>
      </c>
      <c r="H662" t="inlineStr">
        <is>
          <t>Monthly - Tuesday</t>
        </is>
      </c>
      <c r="I662" t="inlineStr">
        <is>
          <t>Monthly - Tuesday</t>
        </is>
      </c>
      <c r="J662" t="inlineStr">
        <is>
          <t>Month+26 Expiry</t>
        </is>
      </c>
      <c r="K662" s="25" t="n">
        <v>1</v>
      </c>
      <c r="L662" s="26" t="n">
        <v>0.002</v>
      </c>
      <c r="M662" s="26" t="n">
        <v>0.0001</v>
      </c>
    </row>
    <row r="663" ht="16" customHeight="1">
      <c r="A663" t="inlineStr">
        <is>
          <t>23-Oct-2025</t>
        </is>
      </c>
      <c r="B663" t="inlineStr">
        <is>
          <t>Thursday</t>
        </is>
      </c>
      <c r="C663" t="inlineStr">
        <is>
          <t>Week4-Oct-2025</t>
        </is>
      </c>
      <c r="D663" s="78" t="n">
        <v>45931</v>
      </c>
      <c r="E663" t="inlineStr">
        <is>
          <t>Q3FY26</t>
        </is>
      </c>
      <c r="F663" t="inlineStr">
        <is>
          <t>27-Jun-2028</t>
        </is>
      </c>
      <c r="G663" t="inlineStr">
        <is>
          <t>Tuesday</t>
        </is>
      </c>
      <c r="H663" t="inlineStr">
        <is>
          <t>Monthly - Tuesday</t>
        </is>
      </c>
      <c r="I663" t="inlineStr">
        <is>
          <t>Monthly - Tuesday</t>
        </is>
      </c>
      <c r="J663" t="inlineStr">
        <is>
          <t>Month+32 Expiry</t>
        </is>
      </c>
      <c r="K663" s="25" t="n">
        <v>0</v>
      </c>
      <c r="L663" s="26" t="n">
        <v>0</v>
      </c>
      <c r="M663" s="26" t="n">
        <v>0</v>
      </c>
    </row>
    <row r="664" ht="16" customHeight="1">
      <c r="A664" t="inlineStr">
        <is>
          <t>23-Oct-2025</t>
        </is>
      </c>
      <c r="B664" t="inlineStr">
        <is>
          <t>Thursday</t>
        </is>
      </c>
      <c r="C664" t="inlineStr">
        <is>
          <t>Week4-Oct-2025</t>
        </is>
      </c>
      <c r="D664" s="78" t="n">
        <v>45931</v>
      </c>
      <c r="E664" t="inlineStr">
        <is>
          <t>Q3FY26</t>
        </is>
      </c>
      <c r="F664" t="inlineStr">
        <is>
          <t>26-Dec-2028</t>
        </is>
      </c>
      <c r="G664" t="inlineStr">
        <is>
          <t>Tuesday</t>
        </is>
      </c>
      <c r="H664" t="inlineStr">
        <is>
          <t>Monthly - Tuesday</t>
        </is>
      </c>
      <c r="I664" t="inlineStr">
        <is>
          <t>Monthly - Tuesday</t>
        </is>
      </c>
      <c r="J664" t="inlineStr">
        <is>
          <t>Month+38 Expiry</t>
        </is>
      </c>
      <c r="K664" s="25" t="n">
        <v>2</v>
      </c>
      <c r="L664" s="26" t="n">
        <v>0.0041</v>
      </c>
      <c r="M664" s="26" t="n">
        <v>0.0002</v>
      </c>
    </row>
    <row r="665" ht="16" customHeight="1">
      <c r="A665" t="inlineStr">
        <is>
          <t>23-Oct-2025</t>
        </is>
      </c>
      <c r="B665" t="inlineStr">
        <is>
          <t>Thursday</t>
        </is>
      </c>
      <c r="C665" t="inlineStr">
        <is>
          <t>Week4-Oct-2025</t>
        </is>
      </c>
      <c r="D665" s="78" t="n">
        <v>45931</v>
      </c>
      <c r="E665" t="inlineStr">
        <is>
          <t>Q3FY26</t>
        </is>
      </c>
      <c r="F665" t="inlineStr">
        <is>
          <t>26-Jun-2029</t>
        </is>
      </c>
      <c r="G665" t="inlineStr">
        <is>
          <t>Tuesday</t>
        </is>
      </c>
      <c r="H665" t="inlineStr">
        <is>
          <t>Monthly - Tuesday</t>
        </is>
      </c>
      <c r="I665" t="inlineStr">
        <is>
          <t>Monthly - Tuesday</t>
        </is>
      </c>
      <c r="J665" t="inlineStr">
        <is>
          <t>Month+44 Expiry</t>
        </is>
      </c>
      <c r="K665" s="25" t="n">
        <v>0</v>
      </c>
      <c r="L665" s="26" t="n">
        <v>0</v>
      </c>
      <c r="M665" s="26" t="n">
        <v>0</v>
      </c>
    </row>
    <row r="666" ht="16" customHeight="1">
      <c r="A666" t="inlineStr">
        <is>
          <t>23-Oct-2025</t>
        </is>
      </c>
      <c r="B666" t="inlineStr">
        <is>
          <t>Thursday</t>
        </is>
      </c>
      <c r="C666" t="inlineStr">
        <is>
          <t>Week4-Oct-2025</t>
        </is>
      </c>
      <c r="D666" s="78" t="n">
        <v>45931</v>
      </c>
      <c r="E666" t="inlineStr">
        <is>
          <t>Q3FY26</t>
        </is>
      </c>
      <c r="F666" t="inlineStr">
        <is>
          <t>24-Dec-2029</t>
        </is>
      </c>
      <c r="G666" t="inlineStr">
        <is>
          <t>Monday</t>
        </is>
      </c>
      <c r="H666" t="inlineStr">
        <is>
          <t>Weekly - Monday</t>
        </is>
      </c>
      <c r="I666" t="inlineStr">
        <is>
          <t>Weekly - Monday</t>
        </is>
      </c>
      <c r="J666" t="inlineStr">
        <is>
          <t>Month+50 Expiry</t>
        </is>
      </c>
      <c r="K666" s="25" t="n">
        <v>0</v>
      </c>
      <c r="L666" s="26" t="n">
        <v>0</v>
      </c>
      <c r="M666" s="26" t="n">
        <v>0</v>
      </c>
    </row>
    <row r="667" ht="16" customHeight="1">
      <c r="A667" t="inlineStr">
        <is>
          <t>23-Oct-2025</t>
        </is>
      </c>
      <c r="B667" t="inlineStr">
        <is>
          <t>Thursday</t>
        </is>
      </c>
      <c r="C667" t="inlineStr">
        <is>
          <t>Week4-Oct-2025</t>
        </is>
      </c>
      <c r="D667" s="78" t="n">
        <v>45931</v>
      </c>
      <c r="E667" t="inlineStr">
        <is>
          <t>Q3FY26</t>
        </is>
      </c>
      <c r="F667" t="inlineStr">
        <is>
          <t>25-Jun-2030</t>
        </is>
      </c>
      <c r="G667" t="inlineStr">
        <is>
          <t>Tuesday</t>
        </is>
      </c>
      <c r="H667" t="inlineStr">
        <is>
          <t>Monthly - Tuesday</t>
        </is>
      </c>
      <c r="I667" t="inlineStr">
        <is>
          <t>Monthly - Tuesday</t>
        </is>
      </c>
      <c r="J667" t="inlineStr">
        <is>
          <t>Month+56 Expiry</t>
        </is>
      </c>
      <c r="K667" s="25" t="n">
        <v>0</v>
      </c>
      <c r="L667" s="26" t="n">
        <v>0</v>
      </c>
      <c r="M667" s="26" t="n">
        <v>0</v>
      </c>
    </row>
    <row r="668" ht="16" customHeight="1">
      <c r="A668" t="inlineStr">
        <is>
          <t>24-Oct-2025</t>
        </is>
      </c>
      <c r="B668" t="inlineStr">
        <is>
          <t>Friday</t>
        </is>
      </c>
      <c r="C668" t="inlineStr">
        <is>
          <t>Week4-Oct-2025</t>
        </is>
      </c>
      <c r="D668" s="78" t="n">
        <v>45931</v>
      </c>
      <c r="E668" t="inlineStr">
        <is>
          <t>Q3FY26</t>
        </is>
      </c>
      <c r="F668" t="inlineStr">
        <is>
          <t>28-Oct-2025</t>
        </is>
      </c>
      <c r="G668" t="inlineStr">
        <is>
          <t>Tuesday</t>
        </is>
      </c>
      <c r="H668" t="inlineStr">
        <is>
          <t>Monthly - Tuesday</t>
        </is>
      </c>
      <c r="I668" t="inlineStr">
        <is>
          <t>MDAW - Tuesday</t>
        </is>
      </c>
      <c r="J668" t="inlineStr">
        <is>
          <t>Same Month Expiry</t>
        </is>
      </c>
      <c r="K668" s="25" t="n">
        <v>116718152</v>
      </c>
      <c r="L668" s="26" t="n">
        <v>226891.5084</v>
      </c>
      <c r="M668" s="26" t="n">
        <v>512.3305</v>
      </c>
    </row>
    <row r="669" ht="16" customHeight="1">
      <c r="A669" t="inlineStr">
        <is>
          <t>24-Oct-2025</t>
        </is>
      </c>
      <c r="B669" t="inlineStr">
        <is>
          <t>Friday</t>
        </is>
      </c>
      <c r="C669" t="inlineStr">
        <is>
          <t>Week4-Oct-2025</t>
        </is>
      </c>
      <c r="D669" s="78" t="n">
        <v>45931</v>
      </c>
      <c r="E669" t="inlineStr">
        <is>
          <t>Q3FY26</t>
        </is>
      </c>
      <c r="F669" t="inlineStr">
        <is>
          <t>04-Nov-2025</t>
        </is>
      </c>
      <c r="G669" t="inlineStr">
        <is>
          <t>Tuesday</t>
        </is>
      </c>
      <c r="H669" t="inlineStr">
        <is>
          <t>Weekly - Tuesday</t>
        </is>
      </c>
      <c r="I669" t="inlineStr">
        <is>
          <t>Weekly - Tuesday</t>
        </is>
      </c>
      <c r="J669" t="inlineStr">
        <is>
          <t>Month+1 Expiry</t>
        </is>
      </c>
      <c r="K669" s="25" t="n">
        <v>3354263</v>
      </c>
      <c r="L669" s="26" t="n">
        <v>6558.5876</v>
      </c>
      <c r="M669" s="26" t="n">
        <v>25.8577</v>
      </c>
    </row>
    <row r="670" ht="16" customHeight="1">
      <c r="A670" t="inlineStr">
        <is>
          <t>24-Oct-2025</t>
        </is>
      </c>
      <c r="B670" t="inlineStr">
        <is>
          <t>Friday</t>
        </is>
      </c>
      <c r="C670" t="inlineStr">
        <is>
          <t>Week4-Oct-2025</t>
        </is>
      </c>
      <c r="D670" s="78" t="n">
        <v>45931</v>
      </c>
      <c r="E670" t="inlineStr">
        <is>
          <t>Q3FY26</t>
        </is>
      </c>
      <c r="F670" t="inlineStr">
        <is>
          <t>11-Nov-2025</t>
        </is>
      </c>
      <c r="G670" t="inlineStr">
        <is>
          <t>Tuesday</t>
        </is>
      </c>
      <c r="H670" t="inlineStr">
        <is>
          <t>Weekly - Tuesday</t>
        </is>
      </c>
      <c r="I670" t="inlineStr">
        <is>
          <t>Weekly - Tuesday</t>
        </is>
      </c>
      <c r="J670" t="inlineStr">
        <is>
          <t>Month+1 Expiry</t>
        </is>
      </c>
      <c r="K670" s="25" t="n">
        <v>206646</v>
      </c>
      <c r="L670" s="26" t="n">
        <v>405.2193</v>
      </c>
      <c r="M670" s="26" t="n">
        <v>2.2449</v>
      </c>
    </row>
    <row r="671" ht="16" customHeight="1">
      <c r="A671" t="inlineStr">
        <is>
          <t>24-Oct-2025</t>
        </is>
      </c>
      <c r="B671" t="inlineStr">
        <is>
          <t>Friday</t>
        </is>
      </c>
      <c r="C671" t="inlineStr">
        <is>
          <t>Week4-Oct-2025</t>
        </is>
      </c>
      <c r="D671" s="78" t="n">
        <v>45931</v>
      </c>
      <c r="E671" t="inlineStr">
        <is>
          <t>Q3FY26</t>
        </is>
      </c>
      <c r="F671" t="inlineStr">
        <is>
          <t>18-Nov-2025</t>
        </is>
      </c>
      <c r="G671" t="inlineStr">
        <is>
          <t>Tuesday</t>
        </is>
      </c>
      <c r="H671" t="inlineStr">
        <is>
          <t>Weekly - Tuesday</t>
        </is>
      </c>
      <c r="I671" t="inlineStr">
        <is>
          <t>Weekly - Tuesday</t>
        </is>
      </c>
      <c r="J671" t="inlineStr">
        <is>
          <t>Month+1 Expiry</t>
        </is>
      </c>
      <c r="K671" s="25" t="n">
        <v>20023</v>
      </c>
      <c r="L671" s="26" t="n">
        <v>39.1716</v>
      </c>
      <c r="M671" s="26" t="n">
        <v>0.2627</v>
      </c>
    </row>
    <row r="672" ht="16" customHeight="1">
      <c r="A672" t="inlineStr">
        <is>
          <t>24-Oct-2025</t>
        </is>
      </c>
      <c r="B672" t="inlineStr">
        <is>
          <t>Friday</t>
        </is>
      </c>
      <c r="C672" t="inlineStr">
        <is>
          <t>Week4-Oct-2025</t>
        </is>
      </c>
      <c r="D672" s="78" t="n">
        <v>45931</v>
      </c>
      <c r="E672" t="inlineStr">
        <is>
          <t>Q3FY26</t>
        </is>
      </c>
      <c r="F672" t="inlineStr">
        <is>
          <t>25-Nov-2025</t>
        </is>
      </c>
      <c r="G672" t="inlineStr">
        <is>
          <t>Tuesday</t>
        </is>
      </c>
      <c r="H672" t="inlineStr">
        <is>
          <t>Monthly - Tuesday</t>
        </is>
      </c>
      <c r="I672" t="inlineStr">
        <is>
          <t>Monthly - Tuesday</t>
        </is>
      </c>
      <c r="J672" t="inlineStr">
        <is>
          <t>Month+1 Expiry</t>
        </is>
      </c>
      <c r="K672" s="25" t="n">
        <v>823504</v>
      </c>
      <c r="L672" s="26" t="n">
        <v>1608.6218</v>
      </c>
      <c r="M672" s="26" t="n">
        <v>12.8839</v>
      </c>
    </row>
    <row r="673" ht="16" customHeight="1">
      <c r="A673" t="inlineStr">
        <is>
          <t>24-Oct-2025</t>
        </is>
      </c>
      <c r="B673" t="inlineStr">
        <is>
          <t>Friday</t>
        </is>
      </c>
      <c r="C673" t="inlineStr">
        <is>
          <t>Week4-Oct-2025</t>
        </is>
      </c>
      <c r="D673" s="78" t="n">
        <v>45931</v>
      </c>
      <c r="E673" t="inlineStr">
        <is>
          <t>Q3FY26</t>
        </is>
      </c>
      <c r="F673" t="inlineStr">
        <is>
          <t>02-Dec-2025</t>
        </is>
      </c>
      <c r="G673" t="inlineStr">
        <is>
          <t>Tuesday</t>
        </is>
      </c>
      <c r="H673" t="inlineStr">
        <is>
          <t>Weekly - Tuesday</t>
        </is>
      </c>
      <c r="I673" t="inlineStr">
        <is>
          <t>Weekly - Tuesday</t>
        </is>
      </c>
      <c r="J673" t="inlineStr">
        <is>
          <t>Month+2 Expiry</t>
        </is>
      </c>
      <c r="K673" s="25" t="n">
        <v>1280</v>
      </c>
      <c r="L673" s="26" t="n">
        <v>2.5174</v>
      </c>
      <c r="M673" s="26" t="n">
        <v>0.0217</v>
      </c>
    </row>
    <row r="674" ht="16" customHeight="1">
      <c r="A674" t="inlineStr">
        <is>
          <t>24-Oct-2025</t>
        </is>
      </c>
      <c r="B674" t="inlineStr">
        <is>
          <t>Friday</t>
        </is>
      </c>
      <c r="C674" t="inlineStr">
        <is>
          <t>Week4-Oct-2025</t>
        </is>
      </c>
      <c r="D674" s="78" t="n">
        <v>45931</v>
      </c>
      <c r="E674" t="inlineStr">
        <is>
          <t>Q3FY26</t>
        </is>
      </c>
      <c r="F674" t="inlineStr">
        <is>
          <t>30-Dec-2025</t>
        </is>
      </c>
      <c r="G674" t="inlineStr">
        <is>
          <t>Tuesday</t>
        </is>
      </c>
      <c r="H674" t="inlineStr">
        <is>
          <t>Monthly - Tuesday</t>
        </is>
      </c>
      <c r="I674" t="inlineStr">
        <is>
          <t>Monthly - Tuesday</t>
        </is>
      </c>
      <c r="J674" t="inlineStr">
        <is>
          <t>Month+2 Expiry</t>
        </is>
      </c>
      <c r="K674" s="25" t="n">
        <v>188476</v>
      </c>
      <c r="L674" s="26" t="n">
        <v>368.7461</v>
      </c>
      <c r="M674" s="26" t="n">
        <v>3.5899</v>
      </c>
    </row>
    <row r="675" ht="16" customHeight="1">
      <c r="A675" t="inlineStr">
        <is>
          <t>24-Oct-2025</t>
        </is>
      </c>
      <c r="B675" t="inlineStr">
        <is>
          <t>Friday</t>
        </is>
      </c>
      <c r="C675" t="inlineStr">
        <is>
          <t>Week4-Oct-2025</t>
        </is>
      </c>
      <c r="D675" s="78" t="n">
        <v>45931</v>
      </c>
      <c r="E675" t="inlineStr">
        <is>
          <t>Q3FY26</t>
        </is>
      </c>
      <c r="F675" t="inlineStr">
        <is>
          <t>31-Mar-2026</t>
        </is>
      </c>
      <c r="G675" t="inlineStr">
        <is>
          <t>Tuesday</t>
        </is>
      </c>
      <c r="H675" t="inlineStr">
        <is>
          <t>Monthly - Tuesday</t>
        </is>
      </c>
      <c r="I675" t="inlineStr">
        <is>
          <t>Monthly - Tuesday</t>
        </is>
      </c>
      <c r="J675" t="inlineStr">
        <is>
          <t>Month+5 Expiry</t>
        </is>
      </c>
      <c r="K675" s="25" t="n">
        <v>20954</v>
      </c>
      <c r="L675" s="26" t="n">
        <v>41.465</v>
      </c>
      <c r="M675" s="26" t="n">
        <v>0.5855</v>
      </c>
    </row>
    <row r="676" ht="16" customHeight="1">
      <c r="A676" t="inlineStr">
        <is>
          <t>24-Oct-2025</t>
        </is>
      </c>
      <c r="B676" t="inlineStr">
        <is>
          <t>Friday</t>
        </is>
      </c>
      <c r="C676" t="inlineStr">
        <is>
          <t>Week4-Oct-2025</t>
        </is>
      </c>
      <c r="D676" s="78" t="n">
        <v>45931</v>
      </c>
      <c r="E676" t="inlineStr">
        <is>
          <t>Q3FY26</t>
        </is>
      </c>
      <c r="F676" t="inlineStr">
        <is>
          <t>30-Jun-2026</t>
        </is>
      </c>
      <c r="G676" t="inlineStr">
        <is>
          <t>Tuesday</t>
        </is>
      </c>
      <c r="H676" t="inlineStr">
        <is>
          <t>Monthly - Tuesday</t>
        </is>
      </c>
      <c r="I676" t="inlineStr">
        <is>
          <t>Monthly - Tuesday</t>
        </is>
      </c>
      <c r="J676" t="inlineStr">
        <is>
          <t>Month+8 Expiry</t>
        </is>
      </c>
      <c r="K676" s="25" t="n">
        <v>7618</v>
      </c>
      <c r="L676" s="26" t="n">
        <v>14.3871</v>
      </c>
      <c r="M676" s="26" t="n">
        <v>0.202</v>
      </c>
    </row>
    <row r="677" ht="16" customHeight="1">
      <c r="A677" t="inlineStr">
        <is>
          <t>24-Oct-2025</t>
        </is>
      </c>
      <c r="B677" t="inlineStr">
        <is>
          <t>Friday</t>
        </is>
      </c>
      <c r="C677" t="inlineStr">
        <is>
          <t>Week4-Oct-2025</t>
        </is>
      </c>
      <c r="D677" s="78" t="n">
        <v>45931</v>
      </c>
      <c r="E677" t="inlineStr">
        <is>
          <t>Q3FY26</t>
        </is>
      </c>
      <c r="F677" t="inlineStr">
        <is>
          <t>29-Sep-2026</t>
        </is>
      </c>
      <c r="G677" t="inlineStr">
        <is>
          <t>Tuesday</t>
        </is>
      </c>
      <c r="H677" t="inlineStr">
        <is>
          <t>Monthly - Tuesday</t>
        </is>
      </c>
      <c r="I677" t="inlineStr">
        <is>
          <t>Monthly - Tuesday</t>
        </is>
      </c>
      <c r="J677" t="inlineStr">
        <is>
          <t>Month+11 Expiry</t>
        </is>
      </c>
      <c r="K677" s="25" t="n">
        <v>0</v>
      </c>
      <c r="L677" s="26" t="n">
        <v>0</v>
      </c>
      <c r="M677" s="26" t="n">
        <v>0</v>
      </c>
    </row>
    <row r="678" ht="16" customHeight="1">
      <c r="A678" t="inlineStr">
        <is>
          <t>24-Oct-2025</t>
        </is>
      </c>
      <c r="B678" t="inlineStr">
        <is>
          <t>Friday</t>
        </is>
      </c>
      <c r="C678" t="inlineStr">
        <is>
          <t>Week4-Oct-2025</t>
        </is>
      </c>
      <c r="D678" s="78" t="n">
        <v>45931</v>
      </c>
      <c r="E678" t="inlineStr">
        <is>
          <t>Q3FY26</t>
        </is>
      </c>
      <c r="F678" t="inlineStr">
        <is>
          <t>29-Dec-2026</t>
        </is>
      </c>
      <c r="G678" t="inlineStr">
        <is>
          <t>Tuesday</t>
        </is>
      </c>
      <c r="H678" t="inlineStr">
        <is>
          <t>Monthly - Tuesday</t>
        </is>
      </c>
      <c r="I678" t="inlineStr">
        <is>
          <t>Monthly - Tuesday</t>
        </is>
      </c>
      <c r="J678" t="inlineStr">
        <is>
          <t>Month+14 Expiry</t>
        </is>
      </c>
      <c r="K678" s="25" t="n">
        <v>2067</v>
      </c>
      <c r="L678" s="26" t="n">
        <v>4.1074</v>
      </c>
      <c r="M678" s="26" t="n">
        <v>0.1181</v>
      </c>
    </row>
    <row r="679" ht="16" customHeight="1">
      <c r="A679" t="inlineStr">
        <is>
          <t>24-Oct-2025</t>
        </is>
      </c>
      <c r="B679" t="inlineStr">
        <is>
          <t>Friday</t>
        </is>
      </c>
      <c r="C679" t="inlineStr">
        <is>
          <t>Week4-Oct-2025</t>
        </is>
      </c>
      <c r="D679" s="78" t="n">
        <v>45931</v>
      </c>
      <c r="E679" t="inlineStr">
        <is>
          <t>Q3FY26</t>
        </is>
      </c>
      <c r="F679" t="inlineStr">
        <is>
          <t>29-Jun-2027</t>
        </is>
      </c>
      <c r="G679" t="inlineStr">
        <is>
          <t>Tuesday</t>
        </is>
      </c>
      <c r="H679" t="inlineStr">
        <is>
          <t>Monthly - Tuesday</t>
        </is>
      </c>
      <c r="I679" t="inlineStr">
        <is>
          <t>Monthly - Tuesday</t>
        </is>
      </c>
      <c r="J679" t="inlineStr">
        <is>
          <t>Month+20 Expiry</t>
        </is>
      </c>
      <c r="K679" s="25" t="n">
        <v>0</v>
      </c>
      <c r="L679" s="26" t="n">
        <v>0</v>
      </c>
      <c r="M679" s="26" t="n">
        <v>0</v>
      </c>
    </row>
    <row r="680" ht="16" customHeight="1">
      <c r="A680" t="inlineStr">
        <is>
          <t>24-Oct-2025</t>
        </is>
      </c>
      <c r="B680" t="inlineStr">
        <is>
          <t>Friday</t>
        </is>
      </c>
      <c r="C680" t="inlineStr">
        <is>
          <t>Week4-Oct-2025</t>
        </is>
      </c>
      <c r="D680" s="78" t="n">
        <v>45931</v>
      </c>
      <c r="E680" t="inlineStr">
        <is>
          <t>Q3FY26</t>
        </is>
      </c>
      <c r="F680" t="inlineStr">
        <is>
          <t>28-Dec-2027</t>
        </is>
      </c>
      <c r="G680" t="inlineStr">
        <is>
          <t>Tuesday</t>
        </is>
      </c>
      <c r="H680" t="inlineStr">
        <is>
          <t>Monthly - Tuesday</t>
        </is>
      </c>
      <c r="I680" t="inlineStr">
        <is>
          <t>Monthly - Tuesday</t>
        </is>
      </c>
      <c r="J680" t="inlineStr">
        <is>
          <t>Month+26 Expiry</t>
        </is>
      </c>
      <c r="K680" s="25" t="n">
        <v>1</v>
      </c>
      <c r="L680" s="26" t="n">
        <v>0.0019</v>
      </c>
      <c r="M680" s="26" t="n">
        <v>0.0001</v>
      </c>
    </row>
    <row r="681" ht="16" customHeight="1">
      <c r="A681" t="inlineStr">
        <is>
          <t>24-Oct-2025</t>
        </is>
      </c>
      <c r="B681" t="inlineStr">
        <is>
          <t>Friday</t>
        </is>
      </c>
      <c r="C681" t="inlineStr">
        <is>
          <t>Week4-Oct-2025</t>
        </is>
      </c>
      <c r="D681" s="78" t="n">
        <v>45931</v>
      </c>
      <c r="E681" t="inlineStr">
        <is>
          <t>Q3FY26</t>
        </is>
      </c>
      <c r="F681" t="inlineStr">
        <is>
          <t>27-Jun-2028</t>
        </is>
      </c>
      <c r="G681" t="inlineStr">
        <is>
          <t>Tuesday</t>
        </is>
      </c>
      <c r="H681" t="inlineStr">
        <is>
          <t>Monthly - Tuesday</t>
        </is>
      </c>
      <c r="I681" t="inlineStr">
        <is>
          <t>Monthly - Tuesday</t>
        </is>
      </c>
      <c r="J681" t="inlineStr">
        <is>
          <t>Month+32 Expiry</t>
        </is>
      </c>
      <c r="K681" s="25" t="n">
        <v>0</v>
      </c>
      <c r="L681" s="26" t="n">
        <v>0</v>
      </c>
      <c r="M681" s="26" t="n">
        <v>0</v>
      </c>
    </row>
    <row r="682" ht="16" customHeight="1">
      <c r="A682" t="inlineStr">
        <is>
          <t>24-Oct-2025</t>
        </is>
      </c>
      <c r="B682" t="inlineStr">
        <is>
          <t>Friday</t>
        </is>
      </c>
      <c r="C682" t="inlineStr">
        <is>
          <t>Week4-Oct-2025</t>
        </is>
      </c>
      <c r="D682" s="78" t="n">
        <v>45931</v>
      </c>
      <c r="E682" t="inlineStr">
        <is>
          <t>Q3FY26</t>
        </is>
      </c>
      <c r="F682" t="inlineStr">
        <is>
          <t>26-Dec-2028</t>
        </is>
      </c>
      <c r="G682" t="inlineStr">
        <is>
          <t>Tuesday</t>
        </is>
      </c>
      <c r="H682" t="inlineStr">
        <is>
          <t>Monthly - Tuesday</t>
        </is>
      </c>
      <c r="I682" t="inlineStr">
        <is>
          <t>Monthly - Tuesday</t>
        </is>
      </c>
      <c r="J682" t="inlineStr">
        <is>
          <t>Month+38 Expiry</t>
        </is>
      </c>
      <c r="K682" s="25" t="n">
        <v>0</v>
      </c>
      <c r="L682" s="26" t="n">
        <v>0</v>
      </c>
      <c r="M682" s="26" t="n">
        <v>0</v>
      </c>
    </row>
    <row r="683" ht="16" customHeight="1">
      <c r="A683" t="inlineStr">
        <is>
          <t>24-Oct-2025</t>
        </is>
      </c>
      <c r="B683" t="inlineStr">
        <is>
          <t>Friday</t>
        </is>
      </c>
      <c r="C683" t="inlineStr">
        <is>
          <t>Week4-Oct-2025</t>
        </is>
      </c>
      <c r="D683" s="78" t="n">
        <v>45931</v>
      </c>
      <c r="E683" t="inlineStr">
        <is>
          <t>Q3FY26</t>
        </is>
      </c>
      <c r="F683" t="inlineStr">
        <is>
          <t>26-Jun-2029</t>
        </is>
      </c>
      <c r="G683" t="inlineStr">
        <is>
          <t>Tuesday</t>
        </is>
      </c>
      <c r="H683" t="inlineStr">
        <is>
          <t>Monthly - Tuesday</t>
        </is>
      </c>
      <c r="I683" t="inlineStr">
        <is>
          <t>Monthly - Tuesday</t>
        </is>
      </c>
      <c r="J683" t="inlineStr">
        <is>
          <t>Month+44 Expiry</t>
        </is>
      </c>
      <c r="K683" s="25" t="n">
        <v>0</v>
      </c>
      <c r="L683" s="26" t="n">
        <v>0</v>
      </c>
      <c r="M683" s="26" t="n">
        <v>0</v>
      </c>
    </row>
    <row r="684" ht="16" customHeight="1">
      <c r="A684" t="inlineStr">
        <is>
          <t>24-Oct-2025</t>
        </is>
      </c>
      <c r="B684" t="inlineStr">
        <is>
          <t>Friday</t>
        </is>
      </c>
      <c r="C684" t="inlineStr">
        <is>
          <t>Week4-Oct-2025</t>
        </is>
      </c>
      <c r="D684" s="78" t="n">
        <v>45931</v>
      </c>
      <c r="E684" t="inlineStr">
        <is>
          <t>Q3FY26</t>
        </is>
      </c>
      <c r="F684" t="inlineStr">
        <is>
          <t>24-Dec-2029</t>
        </is>
      </c>
      <c r="G684" t="inlineStr">
        <is>
          <t>Monday</t>
        </is>
      </c>
      <c r="H684" t="inlineStr">
        <is>
          <t>Weekly - Monday</t>
        </is>
      </c>
      <c r="I684" t="inlineStr">
        <is>
          <t>Weekly - Monday</t>
        </is>
      </c>
      <c r="J684" t="inlineStr">
        <is>
          <t>Month+50 Expiry</t>
        </is>
      </c>
      <c r="K684" s="25" t="n">
        <v>0</v>
      </c>
      <c r="L684" s="26" t="n">
        <v>0</v>
      </c>
      <c r="M684" s="26" t="n">
        <v>0</v>
      </c>
    </row>
    <row r="685" ht="16" customHeight="1">
      <c r="A685" t="inlineStr">
        <is>
          <t>24-Oct-2025</t>
        </is>
      </c>
      <c r="B685" t="inlineStr">
        <is>
          <t>Friday</t>
        </is>
      </c>
      <c r="C685" t="inlineStr">
        <is>
          <t>Week4-Oct-2025</t>
        </is>
      </c>
      <c r="D685" s="78" t="n">
        <v>45931</v>
      </c>
      <c r="E685" t="inlineStr">
        <is>
          <t>Q3FY26</t>
        </is>
      </c>
      <c r="F685" t="inlineStr">
        <is>
          <t>25-Jun-2030</t>
        </is>
      </c>
      <c r="G685" t="inlineStr">
        <is>
          <t>Tuesday</t>
        </is>
      </c>
      <c r="H685" t="inlineStr">
        <is>
          <t>Monthly - Tuesday</t>
        </is>
      </c>
      <c r="I685" t="inlineStr">
        <is>
          <t>Monthly - Tuesday</t>
        </is>
      </c>
      <c r="J685" t="inlineStr">
        <is>
          <t>Month+56 Expiry</t>
        </is>
      </c>
      <c r="K685" s="25" t="n">
        <v>0</v>
      </c>
      <c r="L685" s="26" t="n">
        <v>0</v>
      </c>
      <c r="M685" s="26" t="n">
        <v>0</v>
      </c>
    </row>
    <row r="686" ht="16" customHeight="1">
      <c r="A686" t="inlineStr">
        <is>
          <t>27-Oct-2025</t>
        </is>
      </c>
      <c r="B686" t="inlineStr">
        <is>
          <t>Monday</t>
        </is>
      </c>
      <c r="C686" t="inlineStr">
        <is>
          <t>Week4-Oct-2025</t>
        </is>
      </c>
      <c r="D686" s="78" t="n">
        <v>45931</v>
      </c>
      <c r="E686" t="inlineStr">
        <is>
          <t>Q3FY26</t>
        </is>
      </c>
      <c r="F686" t="inlineStr">
        <is>
          <t>28-Oct-2025</t>
        </is>
      </c>
      <c r="G686" t="inlineStr">
        <is>
          <t>Tuesday</t>
        </is>
      </c>
      <c r="H686" t="inlineStr">
        <is>
          <t>Monthly - Tuesday</t>
        </is>
      </c>
      <c r="I686" t="inlineStr">
        <is>
          <t>MDAW - Tuesday</t>
        </is>
      </c>
      <c r="J686" t="inlineStr">
        <is>
          <t>Same Month Expiry</t>
        </is>
      </c>
      <c r="K686" s="25" t="n">
        <v>124384858</v>
      </c>
      <c r="L686" s="26" t="n">
        <v>242193.321</v>
      </c>
      <c r="M686" s="26" t="n">
        <v>453.4704</v>
      </c>
    </row>
    <row r="687" ht="16" customHeight="1">
      <c r="A687" t="inlineStr">
        <is>
          <t>27-Oct-2025</t>
        </is>
      </c>
      <c r="B687" t="inlineStr">
        <is>
          <t>Monday</t>
        </is>
      </c>
      <c r="C687" t="inlineStr">
        <is>
          <t>Week4-Oct-2025</t>
        </is>
      </c>
      <c r="D687" s="78" t="n">
        <v>45931</v>
      </c>
      <c r="E687" t="inlineStr">
        <is>
          <t>Q3FY26</t>
        </is>
      </c>
      <c r="F687" t="inlineStr">
        <is>
          <t>04-Nov-2025</t>
        </is>
      </c>
      <c r="G687" t="inlineStr">
        <is>
          <t>Tuesday</t>
        </is>
      </c>
      <c r="H687" t="inlineStr">
        <is>
          <t>Weekly - Tuesday</t>
        </is>
      </c>
      <c r="I687" t="inlineStr">
        <is>
          <t>Weekly - Tuesday</t>
        </is>
      </c>
      <c r="J687" t="inlineStr">
        <is>
          <t>Month+1 Expiry</t>
        </is>
      </c>
      <c r="K687" s="25" t="n">
        <v>4989759</v>
      </c>
      <c r="L687" s="26" t="n">
        <v>9776.847400000001</v>
      </c>
      <c r="M687" s="26" t="n">
        <v>35.8232</v>
      </c>
    </row>
    <row r="688" ht="16" customHeight="1">
      <c r="A688" t="inlineStr">
        <is>
          <t>27-Oct-2025</t>
        </is>
      </c>
      <c r="B688" t="inlineStr">
        <is>
          <t>Monday</t>
        </is>
      </c>
      <c r="C688" t="inlineStr">
        <is>
          <t>Week4-Oct-2025</t>
        </is>
      </c>
      <c r="D688" s="78" t="n">
        <v>45931</v>
      </c>
      <c r="E688" t="inlineStr">
        <is>
          <t>Q3FY26</t>
        </is>
      </c>
      <c r="F688" t="inlineStr">
        <is>
          <t>11-Nov-2025</t>
        </is>
      </c>
      <c r="G688" t="inlineStr">
        <is>
          <t>Tuesday</t>
        </is>
      </c>
      <c r="H688" t="inlineStr">
        <is>
          <t>Weekly - Tuesday</t>
        </is>
      </c>
      <c r="I688" t="inlineStr">
        <is>
          <t>Weekly - Tuesday</t>
        </is>
      </c>
      <c r="J688" t="inlineStr">
        <is>
          <t>Month+1 Expiry</t>
        </is>
      </c>
      <c r="K688" s="25" t="n">
        <v>287074</v>
      </c>
      <c r="L688" s="26" t="n">
        <v>564.2722</v>
      </c>
      <c r="M688" s="26" t="n">
        <v>2.9492</v>
      </c>
    </row>
    <row r="689" ht="16" customHeight="1">
      <c r="A689" t="inlineStr">
        <is>
          <t>27-Oct-2025</t>
        </is>
      </c>
      <c r="B689" t="inlineStr">
        <is>
          <t>Monday</t>
        </is>
      </c>
      <c r="C689" t="inlineStr">
        <is>
          <t>Week4-Oct-2025</t>
        </is>
      </c>
      <c r="D689" s="78" t="n">
        <v>45931</v>
      </c>
      <c r="E689" t="inlineStr">
        <is>
          <t>Q3FY26</t>
        </is>
      </c>
      <c r="F689" t="inlineStr">
        <is>
          <t>18-Nov-2025</t>
        </is>
      </c>
      <c r="G689" t="inlineStr">
        <is>
          <t>Tuesday</t>
        </is>
      </c>
      <c r="H689" t="inlineStr">
        <is>
          <t>Weekly - Tuesday</t>
        </is>
      </c>
      <c r="I689" t="inlineStr">
        <is>
          <t>Weekly - Tuesday</t>
        </is>
      </c>
      <c r="J689" t="inlineStr">
        <is>
          <t>Month+1 Expiry</t>
        </is>
      </c>
      <c r="K689" s="25" t="n">
        <v>30684</v>
      </c>
      <c r="L689" s="26" t="n">
        <v>60.5684</v>
      </c>
      <c r="M689" s="26" t="n">
        <v>0.3575</v>
      </c>
    </row>
    <row r="690" ht="16" customHeight="1">
      <c r="A690" t="inlineStr">
        <is>
          <t>27-Oct-2025</t>
        </is>
      </c>
      <c r="B690" t="inlineStr">
        <is>
          <t>Monday</t>
        </is>
      </c>
      <c r="C690" t="inlineStr">
        <is>
          <t>Week4-Oct-2025</t>
        </is>
      </c>
      <c r="D690" s="78" t="n">
        <v>45931</v>
      </c>
      <c r="E690" t="inlineStr">
        <is>
          <t>Q3FY26</t>
        </is>
      </c>
      <c r="F690" t="inlineStr">
        <is>
          <t>25-Nov-2025</t>
        </is>
      </c>
      <c r="G690" t="inlineStr">
        <is>
          <t>Tuesday</t>
        </is>
      </c>
      <c r="H690" t="inlineStr">
        <is>
          <t>Monthly - Tuesday</t>
        </is>
      </c>
      <c r="I690" t="inlineStr">
        <is>
          <t>Monthly - Tuesday</t>
        </is>
      </c>
      <c r="J690" t="inlineStr">
        <is>
          <t>Month+1 Expiry</t>
        </is>
      </c>
      <c r="K690" s="25" t="n">
        <v>1027928</v>
      </c>
      <c r="L690" s="26" t="n">
        <v>2014.6102</v>
      </c>
      <c r="M690" s="26" t="n">
        <v>16.5605</v>
      </c>
    </row>
    <row r="691" ht="16" customHeight="1">
      <c r="A691" t="inlineStr">
        <is>
          <t>27-Oct-2025</t>
        </is>
      </c>
      <c r="B691" t="inlineStr">
        <is>
          <t>Monday</t>
        </is>
      </c>
      <c r="C691" t="inlineStr">
        <is>
          <t>Week4-Oct-2025</t>
        </is>
      </c>
      <c r="D691" s="78" t="n">
        <v>45931</v>
      </c>
      <c r="E691" t="inlineStr">
        <is>
          <t>Q3FY26</t>
        </is>
      </c>
      <c r="F691" t="inlineStr">
        <is>
          <t>02-Dec-2025</t>
        </is>
      </c>
      <c r="G691" t="inlineStr">
        <is>
          <t>Tuesday</t>
        </is>
      </c>
      <c r="H691" t="inlineStr">
        <is>
          <t>Weekly - Tuesday</t>
        </is>
      </c>
      <c r="I691" t="inlineStr">
        <is>
          <t>Weekly - Tuesday</t>
        </is>
      </c>
      <c r="J691" t="inlineStr">
        <is>
          <t>Month+2 Expiry</t>
        </is>
      </c>
      <c r="K691" s="25" t="n">
        <v>2000</v>
      </c>
      <c r="L691" s="26" t="n">
        <v>3.9514</v>
      </c>
      <c r="M691" s="26" t="n">
        <v>0.0347</v>
      </c>
    </row>
    <row r="692" ht="16" customHeight="1">
      <c r="A692" t="inlineStr">
        <is>
          <t>27-Oct-2025</t>
        </is>
      </c>
      <c r="B692" t="inlineStr">
        <is>
          <t>Monday</t>
        </is>
      </c>
      <c r="C692" t="inlineStr">
        <is>
          <t>Week4-Oct-2025</t>
        </is>
      </c>
      <c r="D692" s="78" t="n">
        <v>45931</v>
      </c>
      <c r="E692" t="inlineStr">
        <is>
          <t>Q3FY26</t>
        </is>
      </c>
      <c r="F692" t="inlineStr">
        <is>
          <t>30-Dec-2025</t>
        </is>
      </c>
      <c r="G692" t="inlineStr">
        <is>
          <t>Tuesday</t>
        </is>
      </c>
      <c r="H692" t="inlineStr">
        <is>
          <t>Monthly - Tuesday</t>
        </is>
      </c>
      <c r="I692" t="inlineStr">
        <is>
          <t>Monthly - Tuesday</t>
        </is>
      </c>
      <c r="J692" t="inlineStr">
        <is>
          <t>Month+2 Expiry</t>
        </is>
      </c>
      <c r="K692" s="25" t="n">
        <v>156428</v>
      </c>
      <c r="L692" s="26" t="n">
        <v>305.6692</v>
      </c>
      <c r="M692" s="26" t="n">
        <v>3.3479</v>
      </c>
    </row>
    <row r="693" ht="16" customHeight="1">
      <c r="A693" t="inlineStr">
        <is>
          <t>27-Oct-2025</t>
        </is>
      </c>
      <c r="B693" t="inlineStr">
        <is>
          <t>Monday</t>
        </is>
      </c>
      <c r="C693" t="inlineStr">
        <is>
          <t>Week4-Oct-2025</t>
        </is>
      </c>
      <c r="D693" s="78" t="n">
        <v>45931</v>
      </c>
      <c r="E693" t="inlineStr">
        <is>
          <t>Q3FY26</t>
        </is>
      </c>
      <c r="F693" t="inlineStr">
        <is>
          <t>31-Mar-2026</t>
        </is>
      </c>
      <c r="G693" t="inlineStr">
        <is>
          <t>Tuesday</t>
        </is>
      </c>
      <c r="H693" t="inlineStr">
        <is>
          <t>Monthly - Tuesday</t>
        </is>
      </c>
      <c r="I693" t="inlineStr">
        <is>
          <t>Monthly - Tuesday</t>
        </is>
      </c>
      <c r="J693" t="inlineStr">
        <is>
          <t>Month+5 Expiry</t>
        </is>
      </c>
      <c r="K693" s="25" t="n">
        <v>25329</v>
      </c>
      <c r="L693" s="26" t="n">
        <v>49.733</v>
      </c>
      <c r="M693" s="26" t="n">
        <v>0.7227</v>
      </c>
    </row>
    <row r="694" ht="16" customHeight="1">
      <c r="A694" t="inlineStr">
        <is>
          <t>27-Oct-2025</t>
        </is>
      </c>
      <c r="B694" t="inlineStr">
        <is>
          <t>Monday</t>
        </is>
      </c>
      <c r="C694" t="inlineStr">
        <is>
          <t>Week4-Oct-2025</t>
        </is>
      </c>
      <c r="D694" s="78" t="n">
        <v>45931</v>
      </c>
      <c r="E694" t="inlineStr">
        <is>
          <t>Q3FY26</t>
        </is>
      </c>
      <c r="F694" t="inlineStr">
        <is>
          <t>30-Jun-2026</t>
        </is>
      </c>
      <c r="G694" t="inlineStr">
        <is>
          <t>Tuesday</t>
        </is>
      </c>
      <c r="H694" t="inlineStr">
        <is>
          <t>Monthly - Tuesday</t>
        </is>
      </c>
      <c r="I694" t="inlineStr">
        <is>
          <t>Monthly - Tuesday</t>
        </is>
      </c>
      <c r="J694" t="inlineStr">
        <is>
          <t>Month+8 Expiry</t>
        </is>
      </c>
      <c r="K694" s="25" t="n">
        <v>3914</v>
      </c>
      <c r="L694" s="26" t="n">
        <v>7.5738</v>
      </c>
      <c r="M694" s="26" t="n">
        <v>0.1342</v>
      </c>
    </row>
    <row r="695" ht="16" customHeight="1">
      <c r="A695" t="inlineStr">
        <is>
          <t>27-Oct-2025</t>
        </is>
      </c>
      <c r="B695" t="inlineStr">
        <is>
          <t>Monday</t>
        </is>
      </c>
      <c r="C695" t="inlineStr">
        <is>
          <t>Week4-Oct-2025</t>
        </is>
      </c>
      <c r="D695" s="78" t="n">
        <v>45931</v>
      </c>
      <c r="E695" t="inlineStr">
        <is>
          <t>Q3FY26</t>
        </is>
      </c>
      <c r="F695" t="inlineStr">
        <is>
          <t>29-Sep-2026</t>
        </is>
      </c>
      <c r="G695" t="inlineStr">
        <is>
          <t>Tuesday</t>
        </is>
      </c>
      <c r="H695" t="inlineStr">
        <is>
          <t>Monthly - Tuesday</t>
        </is>
      </c>
      <c r="I695" t="inlineStr">
        <is>
          <t>Monthly - Tuesday</t>
        </is>
      </c>
      <c r="J695" t="inlineStr">
        <is>
          <t>Month+11 Expiry</t>
        </is>
      </c>
      <c r="K695" s="25" t="n">
        <v>0</v>
      </c>
      <c r="L695" s="26" t="n">
        <v>0</v>
      </c>
      <c r="M695" s="26" t="n">
        <v>0</v>
      </c>
    </row>
    <row r="696" ht="16" customHeight="1">
      <c r="A696" t="inlineStr">
        <is>
          <t>27-Oct-2025</t>
        </is>
      </c>
      <c r="B696" t="inlineStr">
        <is>
          <t>Monday</t>
        </is>
      </c>
      <c r="C696" t="inlineStr">
        <is>
          <t>Week4-Oct-2025</t>
        </is>
      </c>
      <c r="D696" s="78" t="n">
        <v>45931</v>
      </c>
      <c r="E696" t="inlineStr">
        <is>
          <t>Q3FY26</t>
        </is>
      </c>
      <c r="F696" t="inlineStr">
        <is>
          <t>29-Dec-2026</t>
        </is>
      </c>
      <c r="G696" t="inlineStr">
        <is>
          <t>Tuesday</t>
        </is>
      </c>
      <c r="H696" t="inlineStr">
        <is>
          <t>Monthly - Tuesday</t>
        </is>
      </c>
      <c r="I696" t="inlineStr">
        <is>
          <t>Monthly - Tuesday</t>
        </is>
      </c>
      <c r="J696" t="inlineStr">
        <is>
          <t>Month+14 Expiry</t>
        </is>
      </c>
      <c r="K696" s="25" t="n">
        <v>2988</v>
      </c>
      <c r="L696" s="26" t="n">
        <v>5.9071</v>
      </c>
      <c r="M696" s="26" t="n">
        <v>0.1591</v>
      </c>
    </row>
    <row r="697" ht="16" customHeight="1">
      <c r="A697" t="inlineStr">
        <is>
          <t>27-Oct-2025</t>
        </is>
      </c>
      <c r="B697" t="inlineStr">
        <is>
          <t>Monday</t>
        </is>
      </c>
      <c r="C697" t="inlineStr">
        <is>
          <t>Week4-Oct-2025</t>
        </is>
      </c>
      <c r="D697" s="78" t="n">
        <v>45931</v>
      </c>
      <c r="E697" t="inlineStr">
        <is>
          <t>Q3FY26</t>
        </is>
      </c>
      <c r="F697" t="inlineStr">
        <is>
          <t>29-Jun-2027</t>
        </is>
      </c>
      <c r="G697" t="inlineStr">
        <is>
          <t>Tuesday</t>
        </is>
      </c>
      <c r="H697" t="inlineStr">
        <is>
          <t>Monthly - Tuesday</t>
        </is>
      </c>
      <c r="I697" t="inlineStr">
        <is>
          <t>Monthly - Tuesday</t>
        </is>
      </c>
      <c r="J697" t="inlineStr">
        <is>
          <t>Month+20 Expiry</t>
        </is>
      </c>
      <c r="K697" s="25" t="n">
        <v>0</v>
      </c>
      <c r="L697" s="26" t="n">
        <v>0</v>
      </c>
      <c r="M697" s="26" t="n">
        <v>0</v>
      </c>
    </row>
    <row r="698" ht="16" customHeight="1">
      <c r="A698" t="inlineStr">
        <is>
          <t>27-Oct-2025</t>
        </is>
      </c>
      <c r="B698" t="inlineStr">
        <is>
          <t>Monday</t>
        </is>
      </c>
      <c r="C698" t="inlineStr">
        <is>
          <t>Week4-Oct-2025</t>
        </is>
      </c>
      <c r="D698" s="78" t="n">
        <v>45931</v>
      </c>
      <c r="E698" t="inlineStr">
        <is>
          <t>Q3FY26</t>
        </is>
      </c>
      <c r="F698" t="inlineStr">
        <is>
          <t>28-Dec-2027</t>
        </is>
      </c>
      <c r="G698" t="inlineStr">
        <is>
          <t>Tuesday</t>
        </is>
      </c>
      <c r="H698" t="inlineStr">
        <is>
          <t>Monthly - Tuesday</t>
        </is>
      </c>
      <c r="I698" t="inlineStr">
        <is>
          <t>Monthly - Tuesday</t>
        </is>
      </c>
      <c r="J698" t="inlineStr">
        <is>
          <t>Month+26 Expiry</t>
        </is>
      </c>
      <c r="K698" s="25" t="n">
        <v>45</v>
      </c>
      <c r="L698" s="26" t="n">
        <v>0.0805</v>
      </c>
      <c r="M698" s="26" t="n">
        <v>0.0019</v>
      </c>
    </row>
    <row r="699" ht="16" customHeight="1">
      <c r="A699" t="inlineStr">
        <is>
          <t>27-Oct-2025</t>
        </is>
      </c>
      <c r="B699" t="inlineStr">
        <is>
          <t>Monday</t>
        </is>
      </c>
      <c r="C699" t="inlineStr">
        <is>
          <t>Week4-Oct-2025</t>
        </is>
      </c>
      <c r="D699" s="78" t="n">
        <v>45931</v>
      </c>
      <c r="E699" t="inlineStr">
        <is>
          <t>Q3FY26</t>
        </is>
      </c>
      <c r="F699" t="inlineStr">
        <is>
          <t>27-Jun-2028</t>
        </is>
      </c>
      <c r="G699" t="inlineStr">
        <is>
          <t>Tuesday</t>
        </is>
      </c>
      <c r="H699" t="inlineStr">
        <is>
          <t>Monthly - Tuesday</t>
        </is>
      </c>
      <c r="I699" t="inlineStr">
        <is>
          <t>Monthly - Tuesday</t>
        </is>
      </c>
      <c r="J699" t="inlineStr">
        <is>
          <t>Month+32 Expiry</t>
        </is>
      </c>
      <c r="K699" s="25" t="n">
        <v>0</v>
      </c>
      <c r="L699" s="26" t="n">
        <v>0</v>
      </c>
      <c r="M699" s="26" t="n">
        <v>0</v>
      </c>
    </row>
    <row r="700" ht="16" customHeight="1">
      <c r="A700" t="inlineStr">
        <is>
          <t>27-Oct-2025</t>
        </is>
      </c>
      <c r="B700" t="inlineStr">
        <is>
          <t>Monday</t>
        </is>
      </c>
      <c r="C700" t="inlineStr">
        <is>
          <t>Week4-Oct-2025</t>
        </is>
      </c>
      <c r="D700" s="78" t="n">
        <v>45931</v>
      </c>
      <c r="E700" t="inlineStr">
        <is>
          <t>Q3FY26</t>
        </is>
      </c>
      <c r="F700" t="inlineStr">
        <is>
          <t>26-Dec-2028</t>
        </is>
      </c>
      <c r="G700" t="inlineStr">
        <is>
          <t>Tuesday</t>
        </is>
      </c>
      <c r="H700" t="inlineStr">
        <is>
          <t>Monthly - Tuesday</t>
        </is>
      </c>
      <c r="I700" t="inlineStr">
        <is>
          <t>Monthly - Tuesday</t>
        </is>
      </c>
      <c r="J700" t="inlineStr">
        <is>
          <t>Month+38 Expiry</t>
        </is>
      </c>
      <c r="K700" s="25" t="n">
        <v>6</v>
      </c>
      <c r="L700" s="26" t="n">
        <v>0.0121</v>
      </c>
      <c r="M700" s="26" t="n">
        <v>0.0004</v>
      </c>
    </row>
    <row r="701" ht="16" customHeight="1">
      <c r="A701" t="inlineStr">
        <is>
          <t>27-Oct-2025</t>
        </is>
      </c>
      <c r="B701" t="inlineStr">
        <is>
          <t>Monday</t>
        </is>
      </c>
      <c r="C701" t="inlineStr">
        <is>
          <t>Week4-Oct-2025</t>
        </is>
      </c>
      <c r="D701" s="78" t="n">
        <v>45931</v>
      </c>
      <c r="E701" t="inlineStr">
        <is>
          <t>Q3FY26</t>
        </is>
      </c>
      <c r="F701" t="inlineStr">
        <is>
          <t>26-Jun-2029</t>
        </is>
      </c>
      <c r="G701" t="inlineStr">
        <is>
          <t>Tuesday</t>
        </is>
      </c>
      <c r="H701" t="inlineStr">
        <is>
          <t>Monthly - Tuesday</t>
        </is>
      </c>
      <c r="I701" t="inlineStr">
        <is>
          <t>Monthly - Tuesday</t>
        </is>
      </c>
      <c r="J701" t="inlineStr">
        <is>
          <t>Month+44 Expiry</t>
        </is>
      </c>
      <c r="K701" s="25" t="n">
        <v>0</v>
      </c>
      <c r="L701" s="26" t="n">
        <v>0</v>
      </c>
      <c r="M701" s="26" t="n">
        <v>0</v>
      </c>
    </row>
    <row r="702" ht="16" customHeight="1">
      <c r="A702" t="inlineStr">
        <is>
          <t>27-Oct-2025</t>
        </is>
      </c>
      <c r="B702" t="inlineStr">
        <is>
          <t>Monday</t>
        </is>
      </c>
      <c r="C702" t="inlineStr">
        <is>
          <t>Week4-Oct-2025</t>
        </is>
      </c>
      <c r="D702" s="78" t="n">
        <v>45931</v>
      </c>
      <c r="E702" t="inlineStr">
        <is>
          <t>Q3FY26</t>
        </is>
      </c>
      <c r="F702" t="inlineStr">
        <is>
          <t>24-Dec-2029</t>
        </is>
      </c>
      <c r="G702" t="inlineStr">
        <is>
          <t>Monday</t>
        </is>
      </c>
      <c r="H702" t="inlineStr">
        <is>
          <t>Weekly - Monday</t>
        </is>
      </c>
      <c r="I702" t="inlineStr">
        <is>
          <t>Weekly - Monday</t>
        </is>
      </c>
      <c r="J702" t="inlineStr">
        <is>
          <t>Month+50 Expiry</t>
        </is>
      </c>
      <c r="K702" s="25" t="n">
        <v>1</v>
      </c>
      <c r="L702" s="26" t="n">
        <v>0.0018</v>
      </c>
      <c r="M702" s="26" t="n">
        <v>0</v>
      </c>
    </row>
    <row r="703" ht="16" customHeight="1">
      <c r="A703" t="inlineStr">
        <is>
          <t>27-Oct-2025</t>
        </is>
      </c>
      <c r="B703" t="inlineStr">
        <is>
          <t>Monday</t>
        </is>
      </c>
      <c r="C703" t="inlineStr">
        <is>
          <t>Week4-Oct-2025</t>
        </is>
      </c>
      <c r="D703" s="78" t="n">
        <v>45931</v>
      </c>
      <c r="E703" t="inlineStr">
        <is>
          <t>Q3FY26</t>
        </is>
      </c>
      <c r="F703" t="inlineStr">
        <is>
          <t>25-Jun-2030</t>
        </is>
      </c>
      <c r="G703" t="inlineStr">
        <is>
          <t>Tuesday</t>
        </is>
      </c>
      <c r="H703" t="inlineStr">
        <is>
          <t>Monthly - Tuesday</t>
        </is>
      </c>
      <c r="I703" t="inlineStr">
        <is>
          <t>Monthly - Tuesday</t>
        </is>
      </c>
      <c r="J703" t="inlineStr">
        <is>
          <t>Month+56 Expiry</t>
        </is>
      </c>
      <c r="K703" s="25" t="n">
        <v>0</v>
      </c>
      <c r="L703" s="26" t="n">
        <v>0</v>
      </c>
      <c r="M703" s="26" t="n">
        <v>0</v>
      </c>
    </row>
    <row r="704" ht="16" customHeight="1">
      <c r="A704" t="inlineStr">
        <is>
          <t>28-Oct-2025</t>
        </is>
      </c>
      <c r="B704" t="inlineStr">
        <is>
          <t>Tuesday</t>
        </is>
      </c>
      <c r="C704" t="inlineStr">
        <is>
          <t>Week4-Oct-2025</t>
        </is>
      </c>
      <c r="D704" s="78" t="n">
        <v>45931</v>
      </c>
      <c r="E704" t="inlineStr">
        <is>
          <t>Q3FY26</t>
        </is>
      </c>
      <c r="F704" t="inlineStr">
        <is>
          <t>28-Oct-2025</t>
        </is>
      </c>
      <c r="G704" t="inlineStr">
        <is>
          <t>Tuesday</t>
        </is>
      </c>
      <c r="H704" t="inlineStr">
        <is>
          <t>Monthly - Tuesday</t>
        </is>
      </c>
      <c r="I704" t="inlineStr">
        <is>
          <t>MDAW - Tuesday</t>
        </is>
      </c>
      <c r="J704" t="inlineStr">
        <is>
          <t>Same Month Expiry</t>
        </is>
      </c>
      <c r="K704" s="25" t="n">
        <v>307497252</v>
      </c>
      <c r="L704" s="26" t="n">
        <v>598194.9240999999</v>
      </c>
      <c r="M704" s="26" t="n">
        <v>606.9393</v>
      </c>
    </row>
    <row r="705" ht="16" customHeight="1">
      <c r="A705" t="inlineStr">
        <is>
          <t>28-Oct-2025</t>
        </is>
      </c>
      <c r="B705" t="inlineStr">
        <is>
          <t>Tuesday</t>
        </is>
      </c>
      <c r="C705" t="inlineStr">
        <is>
          <t>Week4-Oct-2025</t>
        </is>
      </c>
      <c r="D705" s="78" t="n">
        <v>45931</v>
      </c>
      <c r="E705" t="inlineStr">
        <is>
          <t>Q3FY26</t>
        </is>
      </c>
      <c r="F705" t="inlineStr">
        <is>
          <t>04-Nov-2025</t>
        </is>
      </c>
      <c r="G705" t="inlineStr">
        <is>
          <t>Tuesday</t>
        </is>
      </c>
      <c r="H705" t="inlineStr">
        <is>
          <t>Weekly - Tuesday</t>
        </is>
      </c>
      <c r="I705" t="inlineStr">
        <is>
          <t>Weekly - Tuesday</t>
        </is>
      </c>
      <c r="J705" t="inlineStr">
        <is>
          <t>Month+1 Expiry</t>
        </is>
      </c>
      <c r="K705" s="25" t="n">
        <v>11689763</v>
      </c>
      <c r="L705" s="26" t="n">
        <v>22840.0148</v>
      </c>
      <c r="M705" s="26" t="n">
        <v>80.84829999999999</v>
      </c>
    </row>
    <row r="706" ht="16" customHeight="1">
      <c r="A706" t="inlineStr">
        <is>
          <t>28-Oct-2025</t>
        </is>
      </c>
      <c r="B706" t="inlineStr">
        <is>
          <t>Tuesday</t>
        </is>
      </c>
      <c r="C706" t="inlineStr">
        <is>
          <t>Week4-Oct-2025</t>
        </is>
      </c>
      <c r="D706" s="78" t="n">
        <v>45931</v>
      </c>
      <c r="E706" t="inlineStr">
        <is>
          <t>Q3FY26</t>
        </is>
      </c>
      <c r="F706" t="inlineStr">
        <is>
          <t>11-Nov-2025</t>
        </is>
      </c>
      <c r="G706" t="inlineStr">
        <is>
          <t>Tuesday</t>
        </is>
      </c>
      <c r="H706" t="inlineStr">
        <is>
          <t>Weekly - Tuesday</t>
        </is>
      </c>
      <c r="I706" t="inlineStr">
        <is>
          <t>Weekly - Tuesday</t>
        </is>
      </c>
      <c r="J706" t="inlineStr">
        <is>
          <t>Month+1 Expiry</t>
        </is>
      </c>
      <c r="K706" s="25" t="n">
        <v>513420</v>
      </c>
      <c r="L706" s="26" t="n">
        <v>1006.3604</v>
      </c>
      <c r="M706" s="26" t="n">
        <v>5.1829</v>
      </c>
    </row>
    <row r="707" ht="16" customHeight="1">
      <c r="A707" t="inlineStr">
        <is>
          <t>28-Oct-2025</t>
        </is>
      </c>
      <c r="B707" t="inlineStr">
        <is>
          <t>Tuesday</t>
        </is>
      </c>
      <c r="C707" t="inlineStr">
        <is>
          <t>Week4-Oct-2025</t>
        </is>
      </c>
      <c r="D707" s="78" t="n">
        <v>45931</v>
      </c>
      <c r="E707" t="inlineStr">
        <is>
          <t>Q3FY26</t>
        </is>
      </c>
      <c r="F707" t="inlineStr">
        <is>
          <t>18-Nov-2025</t>
        </is>
      </c>
      <c r="G707" t="inlineStr">
        <is>
          <t>Tuesday</t>
        </is>
      </c>
      <c r="H707" t="inlineStr">
        <is>
          <t>Weekly - Tuesday</t>
        </is>
      </c>
      <c r="I707" t="inlineStr">
        <is>
          <t>Weekly - Tuesday</t>
        </is>
      </c>
      <c r="J707" t="inlineStr">
        <is>
          <t>Month+1 Expiry</t>
        </is>
      </c>
      <c r="K707" s="25" t="n">
        <v>42332</v>
      </c>
      <c r="L707" s="26" t="n">
        <v>83.2756</v>
      </c>
      <c r="M707" s="26" t="n">
        <v>0.4874</v>
      </c>
    </row>
    <row r="708" ht="16" customHeight="1">
      <c r="A708" t="inlineStr">
        <is>
          <t>28-Oct-2025</t>
        </is>
      </c>
      <c r="B708" t="inlineStr">
        <is>
          <t>Tuesday</t>
        </is>
      </c>
      <c r="C708" t="inlineStr">
        <is>
          <t>Week4-Oct-2025</t>
        </is>
      </c>
      <c r="D708" s="78" t="n">
        <v>45931</v>
      </c>
      <c r="E708" t="inlineStr">
        <is>
          <t>Q3FY26</t>
        </is>
      </c>
      <c r="F708" t="inlineStr">
        <is>
          <t>25-Nov-2025</t>
        </is>
      </c>
      <c r="G708" t="inlineStr">
        <is>
          <t>Tuesday</t>
        </is>
      </c>
      <c r="H708" t="inlineStr">
        <is>
          <t>Monthly - Tuesday</t>
        </is>
      </c>
      <c r="I708" t="inlineStr">
        <is>
          <t>Monthly - Tuesday</t>
        </is>
      </c>
      <c r="J708" t="inlineStr">
        <is>
          <t>Month+1 Expiry</t>
        </is>
      </c>
      <c r="K708" s="25" t="n">
        <v>1235485</v>
      </c>
      <c r="L708" s="26" t="n">
        <v>2429.6817</v>
      </c>
      <c r="M708" s="26" t="n">
        <v>21.3942</v>
      </c>
    </row>
    <row r="709" ht="16" customHeight="1">
      <c r="A709" t="inlineStr">
        <is>
          <t>28-Oct-2025</t>
        </is>
      </c>
      <c r="B709" t="inlineStr">
        <is>
          <t>Tuesday</t>
        </is>
      </c>
      <c r="C709" t="inlineStr">
        <is>
          <t>Week4-Oct-2025</t>
        </is>
      </c>
      <c r="D709" s="78" t="n">
        <v>45931</v>
      </c>
      <c r="E709" t="inlineStr">
        <is>
          <t>Q3FY26</t>
        </is>
      </c>
      <c r="F709" t="inlineStr">
        <is>
          <t>02-Dec-2025</t>
        </is>
      </c>
      <c r="G709" t="inlineStr">
        <is>
          <t>Tuesday</t>
        </is>
      </c>
      <c r="H709" t="inlineStr">
        <is>
          <t>Weekly - Tuesday</t>
        </is>
      </c>
      <c r="I709" t="inlineStr">
        <is>
          <t>Weekly - Tuesday</t>
        </is>
      </c>
      <c r="J709" t="inlineStr">
        <is>
          <t>Month+2 Expiry</t>
        </is>
      </c>
      <c r="K709" s="25" t="n">
        <v>2343</v>
      </c>
      <c r="L709" s="26" t="n">
        <v>4.6267</v>
      </c>
      <c r="M709" s="26" t="n">
        <v>0.0446</v>
      </c>
    </row>
    <row r="710" ht="16" customHeight="1">
      <c r="A710" t="inlineStr">
        <is>
          <t>28-Oct-2025</t>
        </is>
      </c>
      <c r="B710" t="inlineStr">
        <is>
          <t>Tuesday</t>
        </is>
      </c>
      <c r="C710" t="inlineStr">
        <is>
          <t>Week4-Oct-2025</t>
        </is>
      </c>
      <c r="D710" s="78" t="n">
        <v>45931</v>
      </c>
      <c r="E710" t="inlineStr">
        <is>
          <t>Q3FY26</t>
        </is>
      </c>
      <c r="F710" t="inlineStr">
        <is>
          <t>30-Dec-2025</t>
        </is>
      </c>
      <c r="G710" t="inlineStr">
        <is>
          <t>Tuesday</t>
        </is>
      </c>
      <c r="H710" t="inlineStr">
        <is>
          <t>Monthly - Tuesday</t>
        </is>
      </c>
      <c r="I710" t="inlineStr">
        <is>
          <t>Monthly - Tuesday</t>
        </is>
      </c>
      <c r="J710" t="inlineStr">
        <is>
          <t>Month+2 Expiry</t>
        </is>
      </c>
      <c r="K710" s="25" t="n">
        <v>188460</v>
      </c>
      <c r="L710" s="26" t="n">
        <v>367.0263</v>
      </c>
      <c r="M710" s="26" t="n">
        <v>3.8092</v>
      </c>
    </row>
    <row r="711" ht="16" customHeight="1">
      <c r="A711" t="inlineStr">
        <is>
          <t>28-Oct-2025</t>
        </is>
      </c>
      <c r="B711" t="inlineStr">
        <is>
          <t>Tuesday</t>
        </is>
      </c>
      <c r="C711" t="inlineStr">
        <is>
          <t>Week4-Oct-2025</t>
        </is>
      </c>
      <c r="D711" s="78" t="n">
        <v>45931</v>
      </c>
      <c r="E711" t="inlineStr">
        <is>
          <t>Q3FY26</t>
        </is>
      </c>
      <c r="F711" t="inlineStr">
        <is>
          <t>31-Mar-2026</t>
        </is>
      </c>
      <c r="G711" t="inlineStr">
        <is>
          <t>Tuesday</t>
        </is>
      </c>
      <c r="H711" t="inlineStr">
        <is>
          <t>Monthly - Tuesday</t>
        </is>
      </c>
      <c r="I711" t="inlineStr">
        <is>
          <t>Monthly - Tuesday</t>
        </is>
      </c>
      <c r="J711" t="inlineStr">
        <is>
          <t>Month+5 Expiry</t>
        </is>
      </c>
      <c r="K711" s="25" t="n">
        <v>25313</v>
      </c>
      <c r="L711" s="26" t="n">
        <v>48.8919</v>
      </c>
      <c r="M711" s="26" t="n">
        <v>0.6528</v>
      </c>
    </row>
    <row r="712" ht="16" customHeight="1">
      <c r="A712" t="inlineStr">
        <is>
          <t>28-Oct-2025</t>
        </is>
      </c>
      <c r="B712" t="inlineStr">
        <is>
          <t>Tuesday</t>
        </is>
      </c>
      <c r="C712" t="inlineStr">
        <is>
          <t>Week4-Oct-2025</t>
        </is>
      </c>
      <c r="D712" s="78" t="n">
        <v>45931</v>
      </c>
      <c r="E712" t="inlineStr">
        <is>
          <t>Q3FY26</t>
        </is>
      </c>
      <c r="F712" t="inlineStr">
        <is>
          <t>30-Jun-2026</t>
        </is>
      </c>
      <c r="G712" t="inlineStr">
        <is>
          <t>Tuesday</t>
        </is>
      </c>
      <c r="H712" t="inlineStr">
        <is>
          <t>Monthly - Tuesday</t>
        </is>
      </c>
      <c r="I712" t="inlineStr">
        <is>
          <t>Monthly - Tuesday</t>
        </is>
      </c>
      <c r="J712" t="inlineStr">
        <is>
          <t>Month+8 Expiry</t>
        </is>
      </c>
      <c r="K712" s="25" t="n">
        <v>6268</v>
      </c>
      <c r="L712" s="26" t="n">
        <v>11.7151</v>
      </c>
      <c r="M712" s="26" t="n">
        <v>0.1663</v>
      </c>
    </row>
    <row r="713" ht="16" customHeight="1">
      <c r="A713" t="inlineStr">
        <is>
          <t>28-Oct-2025</t>
        </is>
      </c>
      <c r="B713" t="inlineStr">
        <is>
          <t>Tuesday</t>
        </is>
      </c>
      <c r="C713" t="inlineStr">
        <is>
          <t>Week4-Oct-2025</t>
        </is>
      </c>
      <c r="D713" s="78" t="n">
        <v>45931</v>
      </c>
      <c r="E713" t="inlineStr">
        <is>
          <t>Q3FY26</t>
        </is>
      </c>
      <c r="F713" t="inlineStr">
        <is>
          <t>29-Sep-2026</t>
        </is>
      </c>
      <c r="G713" t="inlineStr">
        <is>
          <t>Tuesday</t>
        </is>
      </c>
      <c r="H713" t="inlineStr">
        <is>
          <t>Monthly - Tuesday</t>
        </is>
      </c>
      <c r="I713" t="inlineStr">
        <is>
          <t>Monthly - Tuesday</t>
        </is>
      </c>
      <c r="J713" t="inlineStr">
        <is>
          <t>Month+11 Expiry</t>
        </is>
      </c>
      <c r="K713" s="25" t="n">
        <v>0</v>
      </c>
      <c r="L713" s="26" t="n">
        <v>0</v>
      </c>
      <c r="M713" s="26" t="n">
        <v>0</v>
      </c>
    </row>
    <row r="714" ht="16" customHeight="1">
      <c r="A714" t="inlineStr">
        <is>
          <t>28-Oct-2025</t>
        </is>
      </c>
      <c r="B714" t="inlineStr">
        <is>
          <t>Tuesday</t>
        </is>
      </c>
      <c r="C714" t="inlineStr">
        <is>
          <t>Week4-Oct-2025</t>
        </is>
      </c>
      <c r="D714" s="78" t="n">
        <v>45931</v>
      </c>
      <c r="E714" t="inlineStr">
        <is>
          <t>Q3FY26</t>
        </is>
      </c>
      <c r="F714" t="inlineStr">
        <is>
          <t>29-Dec-2026</t>
        </is>
      </c>
      <c r="G714" t="inlineStr">
        <is>
          <t>Tuesday</t>
        </is>
      </c>
      <c r="H714" t="inlineStr">
        <is>
          <t>Monthly - Tuesday</t>
        </is>
      </c>
      <c r="I714" t="inlineStr">
        <is>
          <t>Monthly - Tuesday</t>
        </is>
      </c>
      <c r="J714" t="inlineStr">
        <is>
          <t>Month+14 Expiry</t>
        </is>
      </c>
      <c r="K714" s="25" t="n">
        <v>1741</v>
      </c>
      <c r="L714" s="26" t="n">
        <v>3.4294</v>
      </c>
      <c r="M714" s="26" t="n">
        <v>0.09320000000000001</v>
      </c>
    </row>
    <row r="715" ht="16" customHeight="1">
      <c r="A715" t="inlineStr">
        <is>
          <t>28-Oct-2025</t>
        </is>
      </c>
      <c r="B715" t="inlineStr">
        <is>
          <t>Tuesday</t>
        </is>
      </c>
      <c r="C715" t="inlineStr">
        <is>
          <t>Week4-Oct-2025</t>
        </is>
      </c>
      <c r="D715" s="78" t="n">
        <v>45931</v>
      </c>
      <c r="E715" t="inlineStr">
        <is>
          <t>Q3FY26</t>
        </is>
      </c>
      <c r="F715" t="inlineStr">
        <is>
          <t>29-Jun-2027</t>
        </is>
      </c>
      <c r="G715" t="inlineStr">
        <is>
          <t>Tuesday</t>
        </is>
      </c>
      <c r="H715" t="inlineStr">
        <is>
          <t>Monthly - Tuesday</t>
        </is>
      </c>
      <c r="I715" t="inlineStr">
        <is>
          <t>Monthly - Tuesday</t>
        </is>
      </c>
      <c r="J715" t="inlineStr">
        <is>
          <t>Month+20 Expiry</t>
        </is>
      </c>
      <c r="K715" s="25" t="n">
        <v>0</v>
      </c>
      <c r="L715" s="26" t="n">
        <v>0</v>
      </c>
      <c r="M715" s="26" t="n">
        <v>0</v>
      </c>
    </row>
    <row r="716" ht="16" customHeight="1">
      <c r="A716" t="inlineStr">
        <is>
          <t>28-Oct-2025</t>
        </is>
      </c>
      <c r="B716" t="inlineStr">
        <is>
          <t>Tuesday</t>
        </is>
      </c>
      <c r="C716" t="inlineStr">
        <is>
          <t>Week4-Oct-2025</t>
        </is>
      </c>
      <c r="D716" s="78" t="n">
        <v>45931</v>
      </c>
      <c r="E716" t="inlineStr">
        <is>
          <t>Q3FY26</t>
        </is>
      </c>
      <c r="F716" t="inlineStr">
        <is>
          <t>28-Dec-2027</t>
        </is>
      </c>
      <c r="G716" t="inlineStr">
        <is>
          <t>Tuesday</t>
        </is>
      </c>
      <c r="H716" t="inlineStr">
        <is>
          <t>Monthly - Tuesday</t>
        </is>
      </c>
      <c r="I716" t="inlineStr">
        <is>
          <t>Monthly - Tuesday</t>
        </is>
      </c>
      <c r="J716" t="inlineStr">
        <is>
          <t>Month+26 Expiry</t>
        </is>
      </c>
      <c r="K716" s="25" t="n">
        <v>30</v>
      </c>
      <c r="L716" s="26" t="n">
        <v>0.0541</v>
      </c>
      <c r="M716" s="26" t="n">
        <v>0.0013</v>
      </c>
    </row>
    <row r="717" ht="16" customHeight="1">
      <c r="A717" t="inlineStr">
        <is>
          <t>28-Oct-2025</t>
        </is>
      </c>
      <c r="B717" t="inlineStr">
        <is>
          <t>Tuesday</t>
        </is>
      </c>
      <c r="C717" t="inlineStr">
        <is>
          <t>Week4-Oct-2025</t>
        </is>
      </c>
      <c r="D717" s="78" t="n">
        <v>45931</v>
      </c>
      <c r="E717" t="inlineStr">
        <is>
          <t>Q3FY26</t>
        </is>
      </c>
      <c r="F717" t="inlineStr">
        <is>
          <t>27-Jun-2028</t>
        </is>
      </c>
      <c r="G717" t="inlineStr">
        <is>
          <t>Tuesday</t>
        </is>
      </c>
      <c r="H717" t="inlineStr">
        <is>
          <t>Monthly - Tuesday</t>
        </is>
      </c>
      <c r="I717" t="inlineStr">
        <is>
          <t>Monthly - Tuesday</t>
        </is>
      </c>
      <c r="J717" t="inlineStr">
        <is>
          <t>Month+32 Expiry</t>
        </is>
      </c>
      <c r="K717" s="25" t="n">
        <v>0</v>
      </c>
      <c r="L717" s="26" t="n">
        <v>0</v>
      </c>
      <c r="M717" s="26" t="n">
        <v>0</v>
      </c>
    </row>
    <row r="718" ht="16" customHeight="1">
      <c r="A718" t="inlineStr">
        <is>
          <t>28-Oct-2025</t>
        </is>
      </c>
      <c r="B718" t="inlineStr">
        <is>
          <t>Tuesday</t>
        </is>
      </c>
      <c r="C718" t="inlineStr">
        <is>
          <t>Week4-Oct-2025</t>
        </is>
      </c>
      <c r="D718" s="78" t="n">
        <v>45931</v>
      </c>
      <c r="E718" t="inlineStr">
        <is>
          <t>Q3FY26</t>
        </is>
      </c>
      <c r="F718" t="inlineStr">
        <is>
          <t>26-Dec-2028</t>
        </is>
      </c>
      <c r="G718" t="inlineStr">
        <is>
          <t>Tuesday</t>
        </is>
      </c>
      <c r="H718" t="inlineStr">
        <is>
          <t>Monthly - Tuesday</t>
        </is>
      </c>
      <c r="I718" t="inlineStr">
        <is>
          <t>Monthly - Tuesday</t>
        </is>
      </c>
      <c r="J718" t="inlineStr">
        <is>
          <t>Month+38 Expiry</t>
        </is>
      </c>
      <c r="K718" s="25" t="n">
        <v>3</v>
      </c>
      <c r="L718" s="26" t="n">
        <v>0.0061</v>
      </c>
      <c r="M718" s="26" t="n">
        <v>0.0002</v>
      </c>
    </row>
    <row r="719" ht="16" customHeight="1">
      <c r="A719" t="inlineStr">
        <is>
          <t>28-Oct-2025</t>
        </is>
      </c>
      <c r="B719" t="inlineStr">
        <is>
          <t>Tuesday</t>
        </is>
      </c>
      <c r="C719" t="inlineStr">
        <is>
          <t>Week4-Oct-2025</t>
        </is>
      </c>
      <c r="D719" s="78" t="n">
        <v>45931</v>
      </c>
      <c r="E719" t="inlineStr">
        <is>
          <t>Q3FY26</t>
        </is>
      </c>
      <c r="F719" t="inlineStr">
        <is>
          <t>26-Jun-2029</t>
        </is>
      </c>
      <c r="G719" t="inlineStr">
        <is>
          <t>Tuesday</t>
        </is>
      </c>
      <c r="H719" t="inlineStr">
        <is>
          <t>Monthly - Tuesday</t>
        </is>
      </c>
      <c r="I719" t="inlineStr">
        <is>
          <t>Monthly - Tuesday</t>
        </is>
      </c>
      <c r="J719" t="inlineStr">
        <is>
          <t>Month+44 Expiry</t>
        </is>
      </c>
      <c r="K719" s="25" t="n">
        <v>0</v>
      </c>
      <c r="L719" s="26" t="n">
        <v>0</v>
      </c>
      <c r="M719" s="26" t="n">
        <v>0</v>
      </c>
    </row>
    <row r="720" ht="16" customHeight="1">
      <c r="A720" t="inlineStr">
        <is>
          <t>28-Oct-2025</t>
        </is>
      </c>
      <c r="B720" t="inlineStr">
        <is>
          <t>Tuesday</t>
        </is>
      </c>
      <c r="C720" t="inlineStr">
        <is>
          <t>Week4-Oct-2025</t>
        </is>
      </c>
      <c r="D720" s="78" t="n">
        <v>45931</v>
      </c>
      <c r="E720" t="inlineStr">
        <is>
          <t>Q3FY26</t>
        </is>
      </c>
      <c r="F720" t="inlineStr">
        <is>
          <t>24-Dec-2029</t>
        </is>
      </c>
      <c r="G720" t="inlineStr">
        <is>
          <t>Monday</t>
        </is>
      </c>
      <c r="H720" t="inlineStr">
        <is>
          <t>Weekly - Monday</t>
        </is>
      </c>
      <c r="I720" t="inlineStr">
        <is>
          <t>Weekly - Monday</t>
        </is>
      </c>
      <c r="J720" t="inlineStr">
        <is>
          <t>Month+50 Expiry</t>
        </is>
      </c>
      <c r="K720" s="25" t="n">
        <v>1</v>
      </c>
      <c r="L720" s="26" t="n">
        <v>0.0018</v>
      </c>
      <c r="M720" s="26" t="n">
        <v>0</v>
      </c>
    </row>
    <row r="721" ht="16" customHeight="1">
      <c r="A721" t="inlineStr">
        <is>
          <t>28-Oct-2025</t>
        </is>
      </c>
      <c r="B721" t="inlineStr">
        <is>
          <t>Tuesday</t>
        </is>
      </c>
      <c r="C721" t="inlineStr">
        <is>
          <t>Week4-Oct-2025</t>
        </is>
      </c>
      <c r="D721" s="78" t="n">
        <v>45931</v>
      </c>
      <c r="E721" t="inlineStr">
        <is>
          <t>Q3FY26</t>
        </is>
      </c>
      <c r="F721" t="inlineStr">
        <is>
          <t>25-Jun-2030</t>
        </is>
      </c>
      <c r="G721" t="inlineStr">
        <is>
          <t>Tuesday</t>
        </is>
      </c>
      <c r="H721" t="inlineStr">
        <is>
          <t>Monthly - Tuesday</t>
        </is>
      </c>
      <c r="I721" t="inlineStr">
        <is>
          <t>Monthly - Tuesday</t>
        </is>
      </c>
      <c r="J721" t="inlineStr">
        <is>
          <t>Month+56 Expiry</t>
        </is>
      </c>
      <c r="K721" s="25" t="n">
        <v>0</v>
      </c>
      <c r="L721" s="26" t="n">
        <v>0</v>
      </c>
      <c r="M721" s="26" t="n">
        <v>0</v>
      </c>
    </row>
    <row r="722" ht="16" customHeight="1">
      <c r="A722" t="inlineStr">
        <is>
          <t>29-Oct-2025</t>
        </is>
      </c>
      <c r="B722" t="inlineStr">
        <is>
          <t>Wednesday</t>
        </is>
      </c>
      <c r="C722" t="inlineStr">
        <is>
          <t>Week5-Oct-2025</t>
        </is>
      </c>
      <c r="D722" s="78" t="n">
        <v>45931</v>
      </c>
      <c r="E722" t="inlineStr">
        <is>
          <t>Q3FY26</t>
        </is>
      </c>
      <c r="F722" t="inlineStr">
        <is>
          <t>04-Nov-2025</t>
        </is>
      </c>
      <c r="G722" t="inlineStr">
        <is>
          <t>Tuesday</t>
        </is>
      </c>
      <c r="H722" t="inlineStr">
        <is>
          <t>Weekly - Tuesday</t>
        </is>
      </c>
      <c r="I722" t="inlineStr">
        <is>
          <t>Weekly - Tuesday</t>
        </is>
      </c>
      <c r="J722" t="inlineStr">
        <is>
          <t>Month+1 Expiry</t>
        </is>
      </c>
      <c r="K722" s="25" t="n">
        <v>48510836</v>
      </c>
      <c r="L722" s="26" t="n">
        <v>95127.03599999999</v>
      </c>
      <c r="M722" s="26" t="n">
        <v>323.8534</v>
      </c>
    </row>
    <row r="723" ht="16" customHeight="1">
      <c r="A723" t="inlineStr">
        <is>
          <t>29-Oct-2025</t>
        </is>
      </c>
      <c r="B723" t="inlineStr">
        <is>
          <t>Wednesday</t>
        </is>
      </c>
      <c r="C723" t="inlineStr">
        <is>
          <t>Week5-Oct-2025</t>
        </is>
      </c>
      <c r="D723" s="78" t="n">
        <v>45931</v>
      </c>
      <c r="E723" t="inlineStr">
        <is>
          <t>Q3FY26</t>
        </is>
      </c>
      <c r="F723" t="inlineStr">
        <is>
          <t>11-Nov-2025</t>
        </is>
      </c>
      <c r="G723" t="inlineStr">
        <is>
          <t>Tuesday</t>
        </is>
      </c>
      <c r="H723" t="inlineStr">
        <is>
          <t>Weekly - Tuesday</t>
        </is>
      </c>
      <c r="I723" t="inlineStr">
        <is>
          <t>Weekly - Tuesday</t>
        </is>
      </c>
      <c r="J723" t="inlineStr">
        <is>
          <t>Month+1 Expiry</t>
        </is>
      </c>
      <c r="K723" s="25" t="n">
        <v>1082960</v>
      </c>
      <c r="L723" s="26" t="n">
        <v>2127.5252</v>
      </c>
      <c r="M723" s="26" t="n">
        <v>10.5526</v>
      </c>
    </row>
    <row r="724" ht="16" customHeight="1">
      <c r="A724" t="inlineStr">
        <is>
          <t>29-Oct-2025</t>
        </is>
      </c>
      <c r="B724" t="inlineStr">
        <is>
          <t>Wednesday</t>
        </is>
      </c>
      <c r="C724" t="inlineStr">
        <is>
          <t>Week5-Oct-2025</t>
        </is>
      </c>
      <c r="D724" s="78" t="n">
        <v>45931</v>
      </c>
      <c r="E724" t="inlineStr">
        <is>
          <t>Q3FY26</t>
        </is>
      </c>
      <c r="F724" t="inlineStr">
        <is>
          <t>18-Nov-2025</t>
        </is>
      </c>
      <c r="G724" t="inlineStr">
        <is>
          <t>Tuesday</t>
        </is>
      </c>
      <c r="H724" t="inlineStr">
        <is>
          <t>Weekly - Tuesday</t>
        </is>
      </c>
      <c r="I724" t="inlineStr">
        <is>
          <t>Weekly - Tuesday</t>
        </is>
      </c>
      <c r="J724" t="inlineStr">
        <is>
          <t>Month+1 Expiry</t>
        </is>
      </c>
      <c r="K724" s="25" t="n">
        <v>71069</v>
      </c>
      <c r="L724" s="26" t="n">
        <v>140.0794</v>
      </c>
      <c r="M724" s="26" t="n">
        <v>0.893</v>
      </c>
    </row>
    <row r="725" ht="16" customHeight="1">
      <c r="A725" t="inlineStr">
        <is>
          <t>29-Oct-2025</t>
        </is>
      </c>
      <c r="B725" t="inlineStr">
        <is>
          <t>Wednesday</t>
        </is>
      </c>
      <c r="C725" t="inlineStr">
        <is>
          <t>Week5-Oct-2025</t>
        </is>
      </c>
      <c r="D725" s="78" t="n">
        <v>45931</v>
      </c>
      <c r="E725" t="inlineStr">
        <is>
          <t>Q3FY26</t>
        </is>
      </c>
      <c r="F725" t="inlineStr">
        <is>
          <t>25-Nov-2025</t>
        </is>
      </c>
      <c r="G725" t="inlineStr">
        <is>
          <t>Tuesday</t>
        </is>
      </c>
      <c r="H725" t="inlineStr">
        <is>
          <t>Monthly - Tuesday</t>
        </is>
      </c>
      <c r="I725" t="inlineStr">
        <is>
          <t>Monthly - Tuesday</t>
        </is>
      </c>
      <c r="J725" t="inlineStr">
        <is>
          <t>Month+1 Expiry</t>
        </is>
      </c>
      <c r="K725" s="25" t="n">
        <v>1256875</v>
      </c>
      <c r="L725" s="26" t="n">
        <v>2468.6247</v>
      </c>
      <c r="M725" s="26" t="n">
        <v>19.1213</v>
      </c>
    </row>
    <row r="726" ht="16" customHeight="1">
      <c r="A726" t="inlineStr">
        <is>
          <t>29-Oct-2025</t>
        </is>
      </c>
      <c r="B726" t="inlineStr">
        <is>
          <t>Wednesday</t>
        </is>
      </c>
      <c r="C726" t="inlineStr">
        <is>
          <t>Week5-Oct-2025</t>
        </is>
      </c>
      <c r="D726" s="78" t="n">
        <v>45931</v>
      </c>
      <c r="E726" t="inlineStr">
        <is>
          <t>Q3FY26</t>
        </is>
      </c>
      <c r="F726" t="inlineStr">
        <is>
          <t>02-Dec-2025</t>
        </is>
      </c>
      <c r="G726" t="inlineStr">
        <is>
          <t>Tuesday</t>
        </is>
      </c>
      <c r="H726" t="inlineStr">
        <is>
          <t>Weekly - Tuesday</t>
        </is>
      </c>
      <c r="I726" t="inlineStr">
        <is>
          <t>Weekly - Tuesday</t>
        </is>
      </c>
      <c r="J726" t="inlineStr">
        <is>
          <t>Month+2 Expiry</t>
        </is>
      </c>
      <c r="K726" s="25" t="n">
        <v>7380</v>
      </c>
      <c r="L726" s="26" t="n">
        <v>14.6923</v>
      </c>
      <c r="M726" s="26" t="n">
        <v>0.1281</v>
      </c>
    </row>
    <row r="727" ht="16" customHeight="1">
      <c r="A727" t="inlineStr">
        <is>
          <t>29-Oct-2025</t>
        </is>
      </c>
      <c r="B727" t="inlineStr">
        <is>
          <t>Wednesday</t>
        </is>
      </c>
      <c r="C727" t="inlineStr">
        <is>
          <t>Week5-Oct-2025</t>
        </is>
      </c>
      <c r="D727" s="78" t="n">
        <v>45931</v>
      </c>
      <c r="E727" t="inlineStr">
        <is>
          <t>Q3FY26</t>
        </is>
      </c>
      <c r="F727" t="inlineStr">
        <is>
          <t>30-Dec-2025</t>
        </is>
      </c>
      <c r="G727" t="inlineStr">
        <is>
          <t>Tuesday</t>
        </is>
      </c>
      <c r="H727" t="inlineStr">
        <is>
          <t>Monthly - Tuesday</t>
        </is>
      </c>
      <c r="I727" t="inlineStr">
        <is>
          <t>Monthly - Tuesday</t>
        </is>
      </c>
      <c r="J727" t="inlineStr">
        <is>
          <t>Month+2 Expiry</t>
        </is>
      </c>
      <c r="K727" s="25" t="n">
        <v>212059</v>
      </c>
      <c r="L727" s="26" t="n">
        <v>413.403</v>
      </c>
      <c r="M727" s="26" t="n">
        <v>3.8299</v>
      </c>
    </row>
    <row r="728" ht="16" customHeight="1">
      <c r="A728" t="inlineStr">
        <is>
          <t>29-Oct-2025</t>
        </is>
      </c>
      <c r="B728" t="inlineStr">
        <is>
          <t>Wednesday</t>
        </is>
      </c>
      <c r="C728" t="inlineStr">
        <is>
          <t>Week5-Oct-2025</t>
        </is>
      </c>
      <c r="D728" s="78" t="n">
        <v>45931</v>
      </c>
      <c r="E728" t="inlineStr">
        <is>
          <t>Q3FY26</t>
        </is>
      </c>
      <c r="F728" t="inlineStr">
        <is>
          <t>27-Jan-2026</t>
        </is>
      </c>
      <c r="G728" t="inlineStr">
        <is>
          <t>Tuesday</t>
        </is>
      </c>
      <c r="H728" t="inlineStr">
        <is>
          <t>Monthly - Tuesday</t>
        </is>
      </c>
      <c r="I728" t="inlineStr">
        <is>
          <t>Monthly - Tuesday</t>
        </is>
      </c>
      <c r="J728" t="inlineStr">
        <is>
          <t>Month+3 Expiry</t>
        </is>
      </c>
      <c r="K728" s="25" t="n">
        <v>18355</v>
      </c>
      <c r="L728" s="26" t="n">
        <v>31.0066</v>
      </c>
      <c r="M728" s="26" t="n">
        <v>0.3271</v>
      </c>
    </row>
    <row r="729" ht="16" customHeight="1">
      <c r="A729" t="inlineStr">
        <is>
          <t>29-Oct-2025</t>
        </is>
      </c>
      <c r="B729" t="inlineStr">
        <is>
          <t>Wednesday</t>
        </is>
      </c>
      <c r="C729" t="inlineStr">
        <is>
          <t>Week5-Oct-2025</t>
        </is>
      </c>
      <c r="D729" s="78" t="n">
        <v>45931</v>
      </c>
      <c r="E729" t="inlineStr">
        <is>
          <t>Q3FY26</t>
        </is>
      </c>
      <c r="F729" t="inlineStr">
        <is>
          <t>31-Mar-2026</t>
        </is>
      </c>
      <c r="G729" t="inlineStr">
        <is>
          <t>Tuesday</t>
        </is>
      </c>
      <c r="H729" t="inlineStr">
        <is>
          <t>Monthly - Tuesday</t>
        </is>
      </c>
      <c r="I729" t="inlineStr">
        <is>
          <t>Monthly - Tuesday</t>
        </is>
      </c>
      <c r="J729" t="inlineStr">
        <is>
          <t>Month+5 Expiry</t>
        </is>
      </c>
      <c r="K729" s="25" t="n">
        <v>28487</v>
      </c>
      <c r="L729" s="26" t="n">
        <v>55.3295</v>
      </c>
      <c r="M729" s="26" t="n">
        <v>0.7694</v>
      </c>
    </row>
    <row r="730" ht="16" customHeight="1">
      <c r="A730" t="inlineStr">
        <is>
          <t>29-Oct-2025</t>
        </is>
      </c>
      <c r="B730" t="inlineStr">
        <is>
          <t>Wednesday</t>
        </is>
      </c>
      <c r="C730" t="inlineStr">
        <is>
          <t>Week5-Oct-2025</t>
        </is>
      </c>
      <c r="D730" s="78" t="n">
        <v>45931</v>
      </c>
      <c r="E730" t="inlineStr">
        <is>
          <t>Q3FY26</t>
        </is>
      </c>
      <c r="F730" t="inlineStr">
        <is>
          <t>30-Jun-2026</t>
        </is>
      </c>
      <c r="G730" t="inlineStr">
        <is>
          <t>Tuesday</t>
        </is>
      </c>
      <c r="H730" t="inlineStr">
        <is>
          <t>Monthly - Tuesday</t>
        </is>
      </c>
      <c r="I730" t="inlineStr">
        <is>
          <t>Monthly - Tuesday</t>
        </is>
      </c>
      <c r="J730" t="inlineStr">
        <is>
          <t>Month+8 Expiry</t>
        </is>
      </c>
      <c r="K730" s="25" t="n">
        <v>5588</v>
      </c>
      <c r="L730" s="26" t="n">
        <v>11.1247</v>
      </c>
      <c r="M730" s="26" t="n">
        <v>0.2025</v>
      </c>
    </row>
    <row r="731" ht="16" customHeight="1">
      <c r="A731" t="inlineStr">
        <is>
          <t>29-Oct-2025</t>
        </is>
      </c>
      <c r="B731" t="inlineStr">
        <is>
          <t>Wednesday</t>
        </is>
      </c>
      <c r="C731" t="inlineStr">
        <is>
          <t>Week5-Oct-2025</t>
        </is>
      </c>
      <c r="D731" s="78" t="n">
        <v>45931</v>
      </c>
      <c r="E731" t="inlineStr">
        <is>
          <t>Q3FY26</t>
        </is>
      </c>
      <c r="F731" t="inlineStr">
        <is>
          <t>29-Sep-2026</t>
        </is>
      </c>
      <c r="G731" t="inlineStr">
        <is>
          <t>Tuesday</t>
        </is>
      </c>
      <c r="H731" t="inlineStr">
        <is>
          <t>Monthly - Tuesday</t>
        </is>
      </c>
      <c r="I731" t="inlineStr">
        <is>
          <t>Monthly - Tuesday</t>
        </is>
      </c>
      <c r="J731" t="inlineStr">
        <is>
          <t>Month+11 Expiry</t>
        </is>
      </c>
      <c r="K731" s="25" t="n">
        <v>54</v>
      </c>
      <c r="L731" s="26" t="n">
        <v>0.0979</v>
      </c>
      <c r="M731" s="26" t="n">
        <v>0.001</v>
      </c>
    </row>
    <row r="732" ht="16" customHeight="1">
      <c r="A732" t="inlineStr">
        <is>
          <t>29-Oct-2025</t>
        </is>
      </c>
      <c r="B732" t="inlineStr">
        <is>
          <t>Wednesday</t>
        </is>
      </c>
      <c r="C732" t="inlineStr">
        <is>
          <t>Week5-Oct-2025</t>
        </is>
      </c>
      <c r="D732" s="78" t="n">
        <v>45931</v>
      </c>
      <c r="E732" t="inlineStr">
        <is>
          <t>Q3FY26</t>
        </is>
      </c>
      <c r="F732" t="inlineStr">
        <is>
          <t>29-Dec-2026</t>
        </is>
      </c>
      <c r="G732" t="inlineStr">
        <is>
          <t>Tuesday</t>
        </is>
      </c>
      <c r="H732" t="inlineStr">
        <is>
          <t>Monthly - Tuesday</t>
        </is>
      </c>
      <c r="I732" t="inlineStr">
        <is>
          <t>Monthly - Tuesday</t>
        </is>
      </c>
      <c r="J732" t="inlineStr">
        <is>
          <t>Month+14 Expiry</t>
        </is>
      </c>
      <c r="K732" s="25" t="n">
        <v>2689</v>
      </c>
      <c r="L732" s="26" t="n">
        <v>5.1744</v>
      </c>
      <c r="M732" s="26" t="n">
        <v>0.1635</v>
      </c>
    </row>
    <row r="733" ht="16" customHeight="1">
      <c r="A733" t="inlineStr">
        <is>
          <t>29-Oct-2025</t>
        </is>
      </c>
      <c r="B733" t="inlineStr">
        <is>
          <t>Wednesday</t>
        </is>
      </c>
      <c r="C733" t="inlineStr">
        <is>
          <t>Week5-Oct-2025</t>
        </is>
      </c>
      <c r="D733" s="78" t="n">
        <v>45931</v>
      </c>
      <c r="E733" t="inlineStr">
        <is>
          <t>Q3FY26</t>
        </is>
      </c>
      <c r="F733" t="inlineStr">
        <is>
          <t>29-Jun-2027</t>
        </is>
      </c>
      <c r="G733" t="inlineStr">
        <is>
          <t>Tuesday</t>
        </is>
      </c>
      <c r="H733" t="inlineStr">
        <is>
          <t>Monthly - Tuesday</t>
        </is>
      </c>
      <c r="I733" t="inlineStr">
        <is>
          <t>Monthly - Tuesday</t>
        </is>
      </c>
      <c r="J733" t="inlineStr">
        <is>
          <t>Month+20 Expiry</t>
        </is>
      </c>
      <c r="K733" s="25" t="n">
        <v>0</v>
      </c>
      <c r="L733" s="26" t="n">
        <v>0</v>
      </c>
      <c r="M733" s="26" t="n">
        <v>0</v>
      </c>
    </row>
    <row r="734" ht="16" customHeight="1">
      <c r="A734" t="inlineStr">
        <is>
          <t>29-Oct-2025</t>
        </is>
      </c>
      <c r="B734" t="inlineStr">
        <is>
          <t>Wednesday</t>
        </is>
      </c>
      <c r="C734" t="inlineStr">
        <is>
          <t>Week5-Oct-2025</t>
        </is>
      </c>
      <c r="D734" s="78" t="n">
        <v>45931</v>
      </c>
      <c r="E734" t="inlineStr">
        <is>
          <t>Q3FY26</t>
        </is>
      </c>
      <c r="F734" t="inlineStr">
        <is>
          <t>28-Dec-2027</t>
        </is>
      </c>
      <c r="G734" t="inlineStr">
        <is>
          <t>Tuesday</t>
        </is>
      </c>
      <c r="H734" t="inlineStr">
        <is>
          <t>Monthly - Tuesday</t>
        </is>
      </c>
      <c r="I734" t="inlineStr">
        <is>
          <t>Monthly - Tuesday</t>
        </is>
      </c>
      <c r="J734" t="inlineStr">
        <is>
          <t>Month+26 Expiry</t>
        </is>
      </c>
      <c r="K734" s="25" t="n">
        <v>10</v>
      </c>
      <c r="L734" s="26" t="n">
        <v>0.0154</v>
      </c>
      <c r="M734" s="26" t="n">
        <v>0.0003</v>
      </c>
    </row>
    <row r="735" ht="16" customHeight="1">
      <c r="A735" t="inlineStr">
        <is>
          <t>29-Oct-2025</t>
        </is>
      </c>
      <c r="B735" t="inlineStr">
        <is>
          <t>Wednesday</t>
        </is>
      </c>
      <c r="C735" t="inlineStr">
        <is>
          <t>Week5-Oct-2025</t>
        </is>
      </c>
      <c r="D735" s="78" t="n">
        <v>45931</v>
      </c>
      <c r="E735" t="inlineStr">
        <is>
          <t>Q3FY26</t>
        </is>
      </c>
      <c r="F735" t="inlineStr">
        <is>
          <t>27-Jun-2028</t>
        </is>
      </c>
      <c r="G735" t="inlineStr">
        <is>
          <t>Tuesday</t>
        </is>
      </c>
      <c r="H735" t="inlineStr">
        <is>
          <t>Monthly - Tuesday</t>
        </is>
      </c>
      <c r="I735" t="inlineStr">
        <is>
          <t>Monthly - Tuesday</t>
        </is>
      </c>
      <c r="J735" t="inlineStr">
        <is>
          <t>Month+32 Expiry</t>
        </is>
      </c>
      <c r="K735" s="25" t="n">
        <v>0</v>
      </c>
      <c r="L735" s="26" t="n">
        <v>0</v>
      </c>
      <c r="M735" s="26" t="n">
        <v>0</v>
      </c>
    </row>
    <row r="736" ht="16" customHeight="1">
      <c r="A736" t="inlineStr">
        <is>
          <t>29-Oct-2025</t>
        </is>
      </c>
      <c r="B736" t="inlineStr">
        <is>
          <t>Wednesday</t>
        </is>
      </c>
      <c r="C736" t="inlineStr">
        <is>
          <t>Week5-Oct-2025</t>
        </is>
      </c>
      <c r="D736" s="78" t="n">
        <v>45931</v>
      </c>
      <c r="E736" t="inlineStr">
        <is>
          <t>Q3FY26</t>
        </is>
      </c>
      <c r="F736" t="inlineStr">
        <is>
          <t>26-Dec-2028</t>
        </is>
      </c>
      <c r="G736" t="inlineStr">
        <is>
          <t>Tuesday</t>
        </is>
      </c>
      <c r="H736" t="inlineStr">
        <is>
          <t>Monthly - Tuesday</t>
        </is>
      </c>
      <c r="I736" t="inlineStr">
        <is>
          <t>Monthly - Tuesday</t>
        </is>
      </c>
      <c r="J736" t="inlineStr">
        <is>
          <t>Month+38 Expiry</t>
        </is>
      </c>
      <c r="K736" s="25" t="n">
        <v>1</v>
      </c>
      <c r="L736" s="26" t="n">
        <v>0.002</v>
      </c>
      <c r="M736" s="26" t="n">
        <v>0.0001</v>
      </c>
    </row>
    <row r="737" ht="16" customHeight="1">
      <c r="A737" t="inlineStr">
        <is>
          <t>29-Oct-2025</t>
        </is>
      </c>
      <c r="B737" t="inlineStr">
        <is>
          <t>Wednesday</t>
        </is>
      </c>
      <c r="C737" t="inlineStr">
        <is>
          <t>Week5-Oct-2025</t>
        </is>
      </c>
      <c r="D737" s="78" t="n">
        <v>45931</v>
      </c>
      <c r="E737" t="inlineStr">
        <is>
          <t>Q3FY26</t>
        </is>
      </c>
      <c r="F737" t="inlineStr">
        <is>
          <t>26-Jun-2029</t>
        </is>
      </c>
      <c r="G737" t="inlineStr">
        <is>
          <t>Tuesday</t>
        </is>
      </c>
      <c r="H737" t="inlineStr">
        <is>
          <t>Monthly - Tuesday</t>
        </is>
      </c>
      <c r="I737" t="inlineStr">
        <is>
          <t>Monthly - Tuesday</t>
        </is>
      </c>
      <c r="J737" t="inlineStr">
        <is>
          <t>Month+44 Expiry</t>
        </is>
      </c>
      <c r="K737" s="25" t="n">
        <v>0</v>
      </c>
      <c r="L737" s="26" t="n">
        <v>0</v>
      </c>
      <c r="M737" s="26" t="n">
        <v>0</v>
      </c>
    </row>
    <row r="738" ht="16" customHeight="1">
      <c r="A738" t="inlineStr">
        <is>
          <t>29-Oct-2025</t>
        </is>
      </c>
      <c r="B738" t="inlineStr">
        <is>
          <t>Wednesday</t>
        </is>
      </c>
      <c r="C738" t="inlineStr">
        <is>
          <t>Week5-Oct-2025</t>
        </is>
      </c>
      <c r="D738" s="78" t="n">
        <v>45931</v>
      </c>
      <c r="E738" t="inlineStr">
        <is>
          <t>Q3FY26</t>
        </is>
      </c>
      <c r="F738" t="inlineStr">
        <is>
          <t>24-Dec-2029</t>
        </is>
      </c>
      <c r="G738" t="inlineStr">
        <is>
          <t>Monday</t>
        </is>
      </c>
      <c r="H738" t="inlineStr">
        <is>
          <t>Weekly - Monday</t>
        </is>
      </c>
      <c r="I738" t="inlineStr">
        <is>
          <t>Weekly - Monday</t>
        </is>
      </c>
      <c r="J738" t="inlineStr">
        <is>
          <t>Month+50 Expiry</t>
        </is>
      </c>
      <c r="K738" s="25" t="n">
        <v>0</v>
      </c>
      <c r="L738" s="26" t="n">
        <v>0</v>
      </c>
      <c r="M738" s="26" t="n">
        <v>0</v>
      </c>
    </row>
    <row r="739" ht="16" customHeight="1">
      <c r="A739" t="inlineStr">
        <is>
          <t>29-Oct-2025</t>
        </is>
      </c>
      <c r="B739" t="inlineStr">
        <is>
          <t>Wednesday</t>
        </is>
      </c>
      <c r="C739" t="inlineStr">
        <is>
          <t>Week5-Oct-2025</t>
        </is>
      </c>
      <c r="D739" s="78" t="n">
        <v>45931</v>
      </c>
      <c r="E739" t="inlineStr">
        <is>
          <t>Q3FY26</t>
        </is>
      </c>
      <c r="F739" t="inlineStr">
        <is>
          <t>25-Jun-2030</t>
        </is>
      </c>
      <c r="G739" t="inlineStr">
        <is>
          <t>Tuesday</t>
        </is>
      </c>
      <c r="H739" t="inlineStr">
        <is>
          <t>Monthly - Tuesday</t>
        </is>
      </c>
      <c r="I739" t="inlineStr">
        <is>
          <t>Monthly - Tuesday</t>
        </is>
      </c>
      <c r="J739" t="inlineStr">
        <is>
          <t>Month+56 Expiry</t>
        </is>
      </c>
      <c r="K739" s="25" t="n">
        <v>0</v>
      </c>
      <c r="L739" s="26" t="n">
        <v>0</v>
      </c>
      <c r="M739" s="26" t="n">
        <v>0</v>
      </c>
    </row>
    <row r="740" ht="16" customHeight="1">
      <c r="A740" t="inlineStr">
        <is>
          <t>30-Oct-2025</t>
        </is>
      </c>
      <c r="B740" t="inlineStr">
        <is>
          <t>Thursday</t>
        </is>
      </c>
      <c r="C740" t="inlineStr">
        <is>
          <t>Week5-Oct-2025</t>
        </is>
      </c>
      <c r="D740" s="78" t="n">
        <v>45931</v>
      </c>
      <c r="E740" t="inlineStr">
        <is>
          <t>Q3FY26</t>
        </is>
      </c>
      <c r="F740" t="inlineStr">
        <is>
          <t>04-Nov-2025</t>
        </is>
      </c>
      <c r="G740" t="inlineStr">
        <is>
          <t>Tuesday</t>
        </is>
      </c>
      <c r="H740" t="inlineStr">
        <is>
          <t>Weekly - Tuesday</t>
        </is>
      </c>
      <c r="I740" t="inlineStr">
        <is>
          <t>Weekly - Tuesday</t>
        </is>
      </c>
      <c r="J740" t="inlineStr">
        <is>
          <t>Month+1 Expiry</t>
        </is>
      </c>
      <c r="K740" s="25" t="n">
        <v>52560220</v>
      </c>
      <c r="L740" s="26" t="n">
        <v>102830.8242</v>
      </c>
      <c r="M740" s="26" t="n">
        <v>286.6568</v>
      </c>
    </row>
    <row r="741" ht="16" customHeight="1">
      <c r="A741" t="inlineStr">
        <is>
          <t>30-Oct-2025</t>
        </is>
      </c>
      <c r="B741" t="inlineStr">
        <is>
          <t>Thursday</t>
        </is>
      </c>
      <c r="C741" t="inlineStr">
        <is>
          <t>Week5-Oct-2025</t>
        </is>
      </c>
      <c r="D741" s="78" t="n">
        <v>45931</v>
      </c>
      <c r="E741" t="inlineStr">
        <is>
          <t>Q3FY26</t>
        </is>
      </c>
      <c r="F741" t="inlineStr">
        <is>
          <t>11-Nov-2025</t>
        </is>
      </c>
      <c r="G741" t="inlineStr">
        <is>
          <t>Tuesday</t>
        </is>
      </c>
      <c r="H741" t="inlineStr">
        <is>
          <t>Weekly - Tuesday</t>
        </is>
      </c>
      <c r="I741" t="inlineStr">
        <is>
          <t>Weekly - Tuesday</t>
        </is>
      </c>
      <c r="J741" t="inlineStr">
        <is>
          <t>Month+1 Expiry</t>
        </is>
      </c>
      <c r="K741" s="25" t="n">
        <v>1449290</v>
      </c>
      <c r="L741" s="26" t="n">
        <v>2844.5491</v>
      </c>
      <c r="M741" s="26" t="n">
        <v>12.489</v>
      </c>
    </row>
    <row r="742" ht="16" customHeight="1">
      <c r="A742" t="inlineStr">
        <is>
          <t>30-Oct-2025</t>
        </is>
      </c>
      <c r="B742" t="inlineStr">
        <is>
          <t>Thursday</t>
        </is>
      </c>
      <c r="C742" t="inlineStr">
        <is>
          <t>Week5-Oct-2025</t>
        </is>
      </c>
      <c r="D742" s="78" t="n">
        <v>45931</v>
      </c>
      <c r="E742" t="inlineStr">
        <is>
          <t>Q3FY26</t>
        </is>
      </c>
      <c r="F742" t="inlineStr">
        <is>
          <t>18-Nov-2025</t>
        </is>
      </c>
      <c r="G742" t="inlineStr">
        <is>
          <t>Tuesday</t>
        </is>
      </c>
      <c r="H742" t="inlineStr">
        <is>
          <t>Weekly - Tuesday</t>
        </is>
      </c>
      <c r="I742" t="inlineStr">
        <is>
          <t>Weekly - Tuesday</t>
        </is>
      </c>
      <c r="J742" t="inlineStr">
        <is>
          <t>Month+1 Expiry</t>
        </is>
      </c>
      <c r="K742" s="25" t="n">
        <v>84113</v>
      </c>
      <c r="L742" s="26" t="n">
        <v>165.6559</v>
      </c>
      <c r="M742" s="26" t="n">
        <v>0.9245</v>
      </c>
    </row>
    <row r="743" ht="16" customHeight="1">
      <c r="A743" t="inlineStr">
        <is>
          <t>30-Oct-2025</t>
        </is>
      </c>
      <c r="B743" t="inlineStr">
        <is>
          <t>Thursday</t>
        </is>
      </c>
      <c r="C743" t="inlineStr">
        <is>
          <t>Week5-Oct-2025</t>
        </is>
      </c>
      <c r="D743" s="78" t="n">
        <v>45931</v>
      </c>
      <c r="E743" t="inlineStr">
        <is>
          <t>Q3FY26</t>
        </is>
      </c>
      <c r="F743" t="inlineStr">
        <is>
          <t>25-Nov-2025</t>
        </is>
      </c>
      <c r="G743" t="inlineStr">
        <is>
          <t>Tuesday</t>
        </is>
      </c>
      <c r="H743" t="inlineStr">
        <is>
          <t>Monthly - Tuesday</t>
        </is>
      </c>
      <c r="I743" t="inlineStr">
        <is>
          <t>Monthly - Tuesday</t>
        </is>
      </c>
      <c r="J743" t="inlineStr">
        <is>
          <t>Month+1 Expiry</t>
        </is>
      </c>
      <c r="K743" s="25" t="n">
        <v>1206538</v>
      </c>
      <c r="L743" s="26" t="n">
        <v>2372.6658</v>
      </c>
      <c r="M743" s="26" t="n">
        <v>18.0903</v>
      </c>
    </row>
    <row r="744" ht="16" customHeight="1">
      <c r="A744" t="inlineStr">
        <is>
          <t>30-Oct-2025</t>
        </is>
      </c>
      <c r="B744" t="inlineStr">
        <is>
          <t>Thursday</t>
        </is>
      </c>
      <c r="C744" t="inlineStr">
        <is>
          <t>Week5-Oct-2025</t>
        </is>
      </c>
      <c r="D744" s="78" t="n">
        <v>45931</v>
      </c>
      <c r="E744" t="inlineStr">
        <is>
          <t>Q3FY26</t>
        </is>
      </c>
      <c r="F744" t="inlineStr">
        <is>
          <t>02-Dec-2025</t>
        </is>
      </c>
      <c r="G744" t="inlineStr">
        <is>
          <t>Tuesday</t>
        </is>
      </c>
      <c r="H744" t="inlineStr">
        <is>
          <t>Weekly - Tuesday</t>
        </is>
      </c>
      <c r="I744" t="inlineStr">
        <is>
          <t>Weekly - Tuesday</t>
        </is>
      </c>
      <c r="J744" t="inlineStr">
        <is>
          <t>Month+2 Expiry</t>
        </is>
      </c>
      <c r="K744" s="25" t="n">
        <v>5354</v>
      </c>
      <c r="L744" s="26" t="n">
        <v>10.6375</v>
      </c>
      <c r="M744" s="26" t="n">
        <v>0.0907</v>
      </c>
    </row>
    <row r="745" ht="16" customHeight="1">
      <c r="A745" t="inlineStr">
        <is>
          <t>30-Oct-2025</t>
        </is>
      </c>
      <c r="B745" t="inlineStr">
        <is>
          <t>Thursday</t>
        </is>
      </c>
      <c r="C745" t="inlineStr">
        <is>
          <t>Week5-Oct-2025</t>
        </is>
      </c>
      <c r="D745" s="78" t="n">
        <v>45931</v>
      </c>
      <c r="E745" t="inlineStr">
        <is>
          <t>Q3FY26</t>
        </is>
      </c>
      <c r="F745" t="inlineStr">
        <is>
          <t>30-Dec-2025</t>
        </is>
      </c>
      <c r="G745" t="inlineStr">
        <is>
          <t>Tuesday</t>
        </is>
      </c>
      <c r="H745" t="inlineStr">
        <is>
          <t>Monthly - Tuesday</t>
        </is>
      </c>
      <c r="I745" t="inlineStr">
        <is>
          <t>Monthly - Tuesday</t>
        </is>
      </c>
      <c r="J745" t="inlineStr">
        <is>
          <t>Month+2 Expiry</t>
        </is>
      </c>
      <c r="K745" s="25" t="n">
        <v>160602</v>
      </c>
      <c r="L745" s="26" t="n">
        <v>316.1781</v>
      </c>
      <c r="M745" s="26" t="n">
        <v>3.1725</v>
      </c>
    </row>
    <row r="746" ht="16" customHeight="1">
      <c r="A746" t="inlineStr">
        <is>
          <t>30-Oct-2025</t>
        </is>
      </c>
      <c r="B746" t="inlineStr">
        <is>
          <t>Thursday</t>
        </is>
      </c>
      <c r="C746" t="inlineStr">
        <is>
          <t>Week5-Oct-2025</t>
        </is>
      </c>
      <c r="D746" s="78" t="n">
        <v>45931</v>
      </c>
      <c r="E746" t="inlineStr">
        <is>
          <t>Q3FY26</t>
        </is>
      </c>
      <c r="F746" t="inlineStr">
        <is>
          <t>27-Jan-2026</t>
        </is>
      </c>
      <c r="G746" t="inlineStr">
        <is>
          <t>Tuesday</t>
        </is>
      </c>
      <c r="H746" t="inlineStr">
        <is>
          <t>Monthly - Tuesday</t>
        </is>
      </c>
      <c r="I746" t="inlineStr">
        <is>
          <t>Monthly - Tuesday</t>
        </is>
      </c>
      <c r="J746" t="inlineStr">
        <is>
          <t>Month+3 Expiry</t>
        </is>
      </c>
      <c r="K746" s="25" t="n">
        <v>14161</v>
      </c>
      <c r="L746" s="26" t="n">
        <v>24.0181</v>
      </c>
      <c r="M746" s="26" t="n">
        <v>0.2725</v>
      </c>
    </row>
    <row r="747" ht="16" customHeight="1">
      <c r="A747" t="inlineStr">
        <is>
          <t>30-Oct-2025</t>
        </is>
      </c>
      <c r="B747" t="inlineStr">
        <is>
          <t>Thursday</t>
        </is>
      </c>
      <c r="C747" t="inlineStr">
        <is>
          <t>Week5-Oct-2025</t>
        </is>
      </c>
      <c r="D747" s="78" t="n">
        <v>45931</v>
      </c>
      <c r="E747" t="inlineStr">
        <is>
          <t>Q3FY26</t>
        </is>
      </c>
      <c r="F747" t="inlineStr">
        <is>
          <t>31-Mar-2026</t>
        </is>
      </c>
      <c r="G747" t="inlineStr">
        <is>
          <t>Tuesday</t>
        </is>
      </c>
      <c r="H747" t="inlineStr">
        <is>
          <t>Monthly - Tuesday</t>
        </is>
      </c>
      <c r="I747" t="inlineStr">
        <is>
          <t>Monthly - Tuesday</t>
        </is>
      </c>
      <c r="J747" t="inlineStr">
        <is>
          <t>Month+5 Expiry</t>
        </is>
      </c>
      <c r="K747" s="25" t="n">
        <v>22497</v>
      </c>
      <c r="L747" s="26" t="n">
        <v>43.9688</v>
      </c>
      <c r="M747" s="26" t="n">
        <v>0.5992</v>
      </c>
    </row>
    <row r="748" ht="16" customHeight="1">
      <c r="A748" t="inlineStr">
        <is>
          <t>30-Oct-2025</t>
        </is>
      </c>
      <c r="B748" t="inlineStr">
        <is>
          <t>Thursday</t>
        </is>
      </c>
      <c r="C748" t="inlineStr">
        <is>
          <t>Week5-Oct-2025</t>
        </is>
      </c>
      <c r="D748" s="78" t="n">
        <v>45931</v>
      </c>
      <c r="E748" t="inlineStr">
        <is>
          <t>Q3FY26</t>
        </is>
      </c>
      <c r="F748" t="inlineStr">
        <is>
          <t>30-Jun-2026</t>
        </is>
      </c>
      <c r="G748" t="inlineStr">
        <is>
          <t>Tuesday</t>
        </is>
      </c>
      <c r="H748" t="inlineStr">
        <is>
          <t>Monthly - Tuesday</t>
        </is>
      </c>
      <c r="I748" t="inlineStr">
        <is>
          <t>Monthly - Tuesday</t>
        </is>
      </c>
      <c r="J748" t="inlineStr">
        <is>
          <t>Month+8 Expiry</t>
        </is>
      </c>
      <c r="K748" s="25" t="n">
        <v>4283</v>
      </c>
      <c r="L748" s="26" t="n">
        <v>8.6897</v>
      </c>
      <c r="M748" s="26" t="n">
        <v>0.1968</v>
      </c>
    </row>
    <row r="749" ht="16" customHeight="1">
      <c r="A749" t="inlineStr">
        <is>
          <t>30-Oct-2025</t>
        </is>
      </c>
      <c r="B749" t="inlineStr">
        <is>
          <t>Thursday</t>
        </is>
      </c>
      <c r="C749" t="inlineStr">
        <is>
          <t>Week5-Oct-2025</t>
        </is>
      </c>
      <c r="D749" s="78" t="n">
        <v>45931</v>
      </c>
      <c r="E749" t="inlineStr">
        <is>
          <t>Q3FY26</t>
        </is>
      </c>
      <c r="F749" t="inlineStr">
        <is>
          <t>29-Sep-2026</t>
        </is>
      </c>
      <c r="G749" t="inlineStr">
        <is>
          <t>Tuesday</t>
        </is>
      </c>
      <c r="H749" t="inlineStr">
        <is>
          <t>Monthly - Tuesday</t>
        </is>
      </c>
      <c r="I749" t="inlineStr">
        <is>
          <t>Monthly - Tuesday</t>
        </is>
      </c>
      <c r="J749" t="inlineStr">
        <is>
          <t>Month+11 Expiry</t>
        </is>
      </c>
      <c r="K749" s="25" t="n">
        <v>80</v>
      </c>
      <c r="L749" s="26" t="n">
        <v>0.1499</v>
      </c>
      <c r="M749" s="26" t="n">
        <v>0.0021</v>
      </c>
    </row>
    <row r="750" ht="16" customHeight="1">
      <c r="A750" t="inlineStr">
        <is>
          <t>30-Oct-2025</t>
        </is>
      </c>
      <c r="B750" t="inlineStr">
        <is>
          <t>Thursday</t>
        </is>
      </c>
      <c r="C750" t="inlineStr">
        <is>
          <t>Week5-Oct-2025</t>
        </is>
      </c>
      <c r="D750" s="78" t="n">
        <v>45931</v>
      </c>
      <c r="E750" t="inlineStr">
        <is>
          <t>Q3FY26</t>
        </is>
      </c>
      <c r="F750" t="inlineStr">
        <is>
          <t>29-Dec-2026</t>
        </is>
      </c>
      <c r="G750" t="inlineStr">
        <is>
          <t>Tuesday</t>
        </is>
      </c>
      <c r="H750" t="inlineStr">
        <is>
          <t>Monthly - Tuesday</t>
        </is>
      </c>
      <c r="I750" t="inlineStr">
        <is>
          <t>Monthly - Tuesday</t>
        </is>
      </c>
      <c r="J750" t="inlineStr">
        <is>
          <t>Month+14 Expiry</t>
        </is>
      </c>
      <c r="K750" s="25" t="n">
        <v>1746</v>
      </c>
      <c r="L750" s="26" t="n">
        <v>3.5178</v>
      </c>
      <c r="M750" s="26" t="n">
        <v>0.1155</v>
      </c>
    </row>
    <row r="751" ht="16" customHeight="1">
      <c r="A751" t="inlineStr">
        <is>
          <t>30-Oct-2025</t>
        </is>
      </c>
      <c r="B751" t="inlineStr">
        <is>
          <t>Thursday</t>
        </is>
      </c>
      <c r="C751" t="inlineStr">
        <is>
          <t>Week5-Oct-2025</t>
        </is>
      </c>
      <c r="D751" s="78" t="n">
        <v>45931</v>
      </c>
      <c r="E751" t="inlineStr">
        <is>
          <t>Q3FY26</t>
        </is>
      </c>
      <c r="F751" t="inlineStr">
        <is>
          <t>29-Jun-2027</t>
        </is>
      </c>
      <c r="G751" t="inlineStr">
        <is>
          <t>Tuesday</t>
        </is>
      </c>
      <c r="H751" t="inlineStr">
        <is>
          <t>Monthly - Tuesday</t>
        </is>
      </c>
      <c r="I751" t="inlineStr">
        <is>
          <t>Monthly - Tuesday</t>
        </is>
      </c>
      <c r="J751" t="inlineStr">
        <is>
          <t>Month+20 Expiry</t>
        </is>
      </c>
      <c r="K751" s="25" t="n">
        <v>0</v>
      </c>
      <c r="L751" s="26" t="n">
        <v>0</v>
      </c>
      <c r="M751" s="26" t="n">
        <v>0</v>
      </c>
    </row>
    <row r="752" ht="16" customHeight="1">
      <c r="A752" t="inlineStr">
        <is>
          <t>30-Oct-2025</t>
        </is>
      </c>
      <c r="B752" t="inlineStr">
        <is>
          <t>Thursday</t>
        </is>
      </c>
      <c r="C752" t="inlineStr">
        <is>
          <t>Week5-Oct-2025</t>
        </is>
      </c>
      <c r="D752" s="78" t="n">
        <v>45931</v>
      </c>
      <c r="E752" t="inlineStr">
        <is>
          <t>Q3FY26</t>
        </is>
      </c>
      <c r="F752" t="inlineStr">
        <is>
          <t>28-Dec-2027</t>
        </is>
      </c>
      <c r="G752" t="inlineStr">
        <is>
          <t>Tuesday</t>
        </is>
      </c>
      <c r="H752" t="inlineStr">
        <is>
          <t>Monthly - Tuesday</t>
        </is>
      </c>
      <c r="I752" t="inlineStr">
        <is>
          <t>Monthly - Tuesday</t>
        </is>
      </c>
      <c r="J752" t="inlineStr">
        <is>
          <t>Month+26 Expiry</t>
        </is>
      </c>
      <c r="K752" s="25" t="n">
        <v>9</v>
      </c>
      <c r="L752" s="26" t="n">
        <v>0.0157</v>
      </c>
      <c r="M752" s="26" t="n">
        <v>0.0004</v>
      </c>
    </row>
    <row r="753" ht="16" customHeight="1">
      <c r="A753" t="inlineStr">
        <is>
          <t>30-Oct-2025</t>
        </is>
      </c>
      <c r="B753" t="inlineStr">
        <is>
          <t>Thursday</t>
        </is>
      </c>
      <c r="C753" t="inlineStr">
        <is>
          <t>Week5-Oct-2025</t>
        </is>
      </c>
      <c r="D753" s="78" t="n">
        <v>45931</v>
      </c>
      <c r="E753" t="inlineStr">
        <is>
          <t>Q3FY26</t>
        </is>
      </c>
      <c r="F753" t="inlineStr">
        <is>
          <t>27-Jun-2028</t>
        </is>
      </c>
      <c r="G753" t="inlineStr">
        <is>
          <t>Tuesday</t>
        </is>
      </c>
      <c r="H753" t="inlineStr">
        <is>
          <t>Monthly - Tuesday</t>
        </is>
      </c>
      <c r="I753" t="inlineStr">
        <is>
          <t>Monthly - Tuesday</t>
        </is>
      </c>
      <c r="J753" t="inlineStr">
        <is>
          <t>Month+32 Expiry</t>
        </is>
      </c>
      <c r="K753" s="25" t="n">
        <v>0</v>
      </c>
      <c r="L753" s="26" t="n">
        <v>0</v>
      </c>
      <c r="M753" s="26" t="n">
        <v>0</v>
      </c>
    </row>
    <row r="754" ht="16" customHeight="1">
      <c r="A754" t="inlineStr">
        <is>
          <t>30-Oct-2025</t>
        </is>
      </c>
      <c r="B754" t="inlineStr">
        <is>
          <t>Thursday</t>
        </is>
      </c>
      <c r="C754" t="inlineStr">
        <is>
          <t>Week5-Oct-2025</t>
        </is>
      </c>
      <c r="D754" s="78" t="n">
        <v>45931</v>
      </c>
      <c r="E754" t="inlineStr">
        <is>
          <t>Q3FY26</t>
        </is>
      </c>
      <c r="F754" t="inlineStr">
        <is>
          <t>26-Dec-2028</t>
        </is>
      </c>
      <c r="G754" t="inlineStr">
        <is>
          <t>Tuesday</t>
        </is>
      </c>
      <c r="H754" t="inlineStr">
        <is>
          <t>Monthly - Tuesday</t>
        </is>
      </c>
      <c r="I754" t="inlineStr">
        <is>
          <t>Monthly - Tuesday</t>
        </is>
      </c>
      <c r="J754" t="inlineStr">
        <is>
          <t>Month+38 Expiry</t>
        </is>
      </c>
      <c r="K754" s="25" t="n">
        <v>3</v>
      </c>
      <c r="L754" s="26" t="n">
        <v>0.0061</v>
      </c>
      <c r="M754" s="26" t="n">
        <v>0.0002</v>
      </c>
    </row>
    <row r="755" ht="16" customHeight="1">
      <c r="A755" t="inlineStr">
        <is>
          <t>30-Oct-2025</t>
        </is>
      </c>
      <c r="B755" t="inlineStr">
        <is>
          <t>Thursday</t>
        </is>
      </c>
      <c r="C755" t="inlineStr">
        <is>
          <t>Week5-Oct-2025</t>
        </is>
      </c>
      <c r="D755" s="78" t="n">
        <v>45931</v>
      </c>
      <c r="E755" t="inlineStr">
        <is>
          <t>Q3FY26</t>
        </is>
      </c>
      <c r="F755" t="inlineStr">
        <is>
          <t>26-Jun-2029</t>
        </is>
      </c>
      <c r="G755" t="inlineStr">
        <is>
          <t>Tuesday</t>
        </is>
      </c>
      <c r="H755" t="inlineStr">
        <is>
          <t>Monthly - Tuesday</t>
        </is>
      </c>
      <c r="I755" t="inlineStr">
        <is>
          <t>Monthly - Tuesday</t>
        </is>
      </c>
      <c r="J755" t="inlineStr">
        <is>
          <t>Month+44 Expiry</t>
        </is>
      </c>
      <c r="K755" s="25" t="n">
        <v>0</v>
      </c>
      <c r="L755" s="26" t="n">
        <v>0</v>
      </c>
      <c r="M755" s="26" t="n">
        <v>0</v>
      </c>
    </row>
    <row r="756" ht="16" customHeight="1">
      <c r="A756" t="inlineStr">
        <is>
          <t>30-Oct-2025</t>
        </is>
      </c>
      <c r="B756" t="inlineStr">
        <is>
          <t>Thursday</t>
        </is>
      </c>
      <c r="C756" t="inlineStr">
        <is>
          <t>Week5-Oct-2025</t>
        </is>
      </c>
      <c r="D756" s="78" t="n">
        <v>45931</v>
      </c>
      <c r="E756" t="inlineStr">
        <is>
          <t>Q3FY26</t>
        </is>
      </c>
      <c r="F756" t="inlineStr">
        <is>
          <t>24-Dec-2029</t>
        </is>
      </c>
      <c r="G756" t="inlineStr">
        <is>
          <t>Monday</t>
        </is>
      </c>
      <c r="H756" t="inlineStr">
        <is>
          <t>Weekly - Monday</t>
        </is>
      </c>
      <c r="I756" t="inlineStr">
        <is>
          <t>Weekly - Monday</t>
        </is>
      </c>
      <c r="J756" t="inlineStr">
        <is>
          <t>Month+50 Expiry</t>
        </is>
      </c>
      <c r="K756" s="25" t="n">
        <v>0</v>
      </c>
      <c r="L756" s="26" t="n">
        <v>0</v>
      </c>
      <c r="M756" s="26" t="n">
        <v>0</v>
      </c>
    </row>
    <row r="757" ht="16" customHeight="1">
      <c r="A757" t="inlineStr">
        <is>
          <t>30-Oct-2025</t>
        </is>
      </c>
      <c r="B757" t="inlineStr">
        <is>
          <t>Thursday</t>
        </is>
      </c>
      <c r="C757" t="inlineStr">
        <is>
          <t>Week5-Oct-2025</t>
        </is>
      </c>
      <c r="D757" s="78" t="n">
        <v>45931</v>
      </c>
      <c r="E757" t="inlineStr">
        <is>
          <t>Q3FY26</t>
        </is>
      </c>
      <c r="F757" t="inlineStr">
        <is>
          <t>25-Jun-2030</t>
        </is>
      </c>
      <c r="G757" t="inlineStr">
        <is>
          <t>Tuesday</t>
        </is>
      </c>
      <c r="H757" t="inlineStr">
        <is>
          <t>Monthly - Tuesday</t>
        </is>
      </c>
      <c r="I757" t="inlineStr">
        <is>
          <t>Monthly - Tuesday</t>
        </is>
      </c>
      <c r="J757" t="inlineStr">
        <is>
          <t>Month+56 Expiry</t>
        </is>
      </c>
      <c r="K757" s="25" t="n">
        <v>0</v>
      </c>
      <c r="L757" s="26" t="n">
        <v>0</v>
      </c>
      <c r="M757" s="26" t="n">
        <v>0</v>
      </c>
    </row>
    <row r="758" ht="16" customHeight="1">
      <c r="A758" t="inlineStr">
        <is>
          <t>31-Oct-2025</t>
        </is>
      </c>
      <c r="B758" t="inlineStr">
        <is>
          <t>Friday</t>
        </is>
      </c>
      <c r="C758" t="inlineStr">
        <is>
          <t>Week5-Oct-2025</t>
        </is>
      </c>
      <c r="D758" s="78" t="n">
        <v>45931</v>
      </c>
      <c r="E758" t="inlineStr">
        <is>
          <t>Q3FY26</t>
        </is>
      </c>
      <c r="F758" t="inlineStr">
        <is>
          <t>04-Nov-2025</t>
        </is>
      </c>
      <c r="G758" t="inlineStr">
        <is>
          <t>Tuesday</t>
        </is>
      </c>
      <c r="H758" t="inlineStr">
        <is>
          <t>Weekly - Tuesday</t>
        </is>
      </c>
      <c r="I758" t="inlineStr">
        <is>
          <t>Weekly - Tuesday</t>
        </is>
      </c>
      <c r="J758" t="inlineStr">
        <is>
          <t>Month+1 Expiry</t>
        </is>
      </c>
      <c r="K758" s="25" t="n">
        <v>99361213</v>
      </c>
      <c r="L758" s="26" t="n">
        <v>193590.6781</v>
      </c>
      <c r="M758" s="26" t="n">
        <v>448.9246</v>
      </c>
    </row>
    <row r="759" ht="16" customHeight="1">
      <c r="A759" t="inlineStr">
        <is>
          <t>31-Oct-2025</t>
        </is>
      </c>
      <c r="B759" t="inlineStr">
        <is>
          <t>Friday</t>
        </is>
      </c>
      <c r="C759" t="inlineStr">
        <is>
          <t>Week5-Oct-2025</t>
        </is>
      </c>
      <c r="D759" s="78" t="n">
        <v>45931</v>
      </c>
      <c r="E759" t="inlineStr">
        <is>
          <t>Q3FY26</t>
        </is>
      </c>
      <c r="F759" t="inlineStr">
        <is>
          <t>11-Nov-2025</t>
        </is>
      </c>
      <c r="G759" t="inlineStr">
        <is>
          <t>Tuesday</t>
        </is>
      </c>
      <c r="H759" t="inlineStr">
        <is>
          <t>Weekly - Tuesday</t>
        </is>
      </c>
      <c r="I759" t="inlineStr">
        <is>
          <t>Weekly - Tuesday</t>
        </is>
      </c>
      <c r="J759" t="inlineStr">
        <is>
          <t>Month+1 Expiry</t>
        </is>
      </c>
      <c r="K759" s="25" t="n">
        <v>2325416</v>
      </c>
      <c r="L759" s="26" t="n">
        <v>4549.257</v>
      </c>
      <c r="M759" s="26" t="n">
        <v>17.6555</v>
      </c>
    </row>
    <row r="760" ht="16" customHeight="1">
      <c r="A760" t="inlineStr">
        <is>
          <t>31-Oct-2025</t>
        </is>
      </c>
      <c r="B760" t="inlineStr">
        <is>
          <t>Friday</t>
        </is>
      </c>
      <c r="C760" t="inlineStr">
        <is>
          <t>Week5-Oct-2025</t>
        </is>
      </c>
      <c r="D760" s="78" t="n">
        <v>45931</v>
      </c>
      <c r="E760" t="inlineStr">
        <is>
          <t>Q3FY26</t>
        </is>
      </c>
      <c r="F760" t="inlineStr">
        <is>
          <t>18-Nov-2025</t>
        </is>
      </c>
      <c r="G760" t="inlineStr">
        <is>
          <t>Tuesday</t>
        </is>
      </c>
      <c r="H760" t="inlineStr">
        <is>
          <t>Weekly - Tuesday</t>
        </is>
      </c>
      <c r="I760" t="inlineStr">
        <is>
          <t>Weekly - Tuesday</t>
        </is>
      </c>
      <c r="J760" t="inlineStr">
        <is>
          <t>Month+1 Expiry</t>
        </is>
      </c>
      <c r="K760" s="25" t="n">
        <v>132718</v>
      </c>
      <c r="L760" s="26" t="n">
        <v>260.6393</v>
      </c>
      <c r="M760" s="26" t="n">
        <v>1.3585</v>
      </c>
    </row>
    <row r="761" ht="16" customHeight="1">
      <c r="A761" t="inlineStr">
        <is>
          <t>31-Oct-2025</t>
        </is>
      </c>
      <c r="B761" t="inlineStr">
        <is>
          <t>Friday</t>
        </is>
      </c>
      <c r="C761" t="inlineStr">
        <is>
          <t>Week5-Oct-2025</t>
        </is>
      </c>
      <c r="D761" s="78" t="n">
        <v>45931</v>
      </c>
      <c r="E761" t="inlineStr">
        <is>
          <t>Q3FY26</t>
        </is>
      </c>
      <c r="F761" t="inlineStr">
        <is>
          <t>25-Nov-2025</t>
        </is>
      </c>
      <c r="G761" t="inlineStr">
        <is>
          <t>Tuesday</t>
        </is>
      </c>
      <c r="H761" t="inlineStr">
        <is>
          <t>Monthly - Tuesday</t>
        </is>
      </c>
      <c r="I761" t="inlineStr">
        <is>
          <t>Monthly - Tuesday</t>
        </is>
      </c>
      <c r="J761" t="inlineStr">
        <is>
          <t>Month+1 Expiry</t>
        </is>
      </c>
      <c r="K761" s="25" t="n">
        <v>1231944</v>
      </c>
      <c r="L761" s="26" t="n">
        <v>2417.7107</v>
      </c>
      <c r="M761" s="26" t="n">
        <v>17.3739</v>
      </c>
    </row>
    <row r="762" ht="16" customHeight="1">
      <c r="A762" t="inlineStr">
        <is>
          <t>31-Oct-2025</t>
        </is>
      </c>
      <c r="B762" t="inlineStr">
        <is>
          <t>Friday</t>
        </is>
      </c>
      <c r="C762" t="inlineStr">
        <is>
          <t>Week5-Oct-2025</t>
        </is>
      </c>
      <c r="D762" s="78" t="n">
        <v>45931</v>
      </c>
      <c r="E762" t="inlineStr">
        <is>
          <t>Q3FY26</t>
        </is>
      </c>
      <c r="F762" t="inlineStr">
        <is>
          <t>02-Dec-2025</t>
        </is>
      </c>
      <c r="G762" t="inlineStr">
        <is>
          <t>Tuesday</t>
        </is>
      </c>
      <c r="H762" t="inlineStr">
        <is>
          <t>Weekly - Tuesday</t>
        </is>
      </c>
      <c r="I762" t="inlineStr">
        <is>
          <t>Weekly - Tuesday</t>
        </is>
      </c>
      <c r="J762" t="inlineStr">
        <is>
          <t>Month+2 Expiry</t>
        </is>
      </c>
      <c r="K762" s="25" t="n">
        <v>6204</v>
      </c>
      <c r="L762" s="26" t="n">
        <v>12.2361</v>
      </c>
      <c r="M762" s="26" t="n">
        <v>0.09619999999999999</v>
      </c>
    </row>
    <row r="763" ht="16" customHeight="1">
      <c r="A763" t="inlineStr">
        <is>
          <t>31-Oct-2025</t>
        </is>
      </c>
      <c r="B763" t="inlineStr">
        <is>
          <t>Friday</t>
        </is>
      </c>
      <c r="C763" t="inlineStr">
        <is>
          <t>Week5-Oct-2025</t>
        </is>
      </c>
      <c r="D763" s="78" t="n">
        <v>45931</v>
      </c>
      <c r="E763" t="inlineStr">
        <is>
          <t>Q3FY26</t>
        </is>
      </c>
      <c r="F763" t="inlineStr">
        <is>
          <t>30-Dec-2025</t>
        </is>
      </c>
      <c r="G763" t="inlineStr">
        <is>
          <t>Tuesday</t>
        </is>
      </c>
      <c r="H763" t="inlineStr">
        <is>
          <t>Monthly - Tuesday</t>
        </is>
      </c>
      <c r="I763" t="inlineStr">
        <is>
          <t>Monthly - Tuesday</t>
        </is>
      </c>
      <c r="J763" t="inlineStr">
        <is>
          <t>Month+2 Expiry</t>
        </is>
      </c>
      <c r="K763" s="25" t="n">
        <v>154754</v>
      </c>
      <c r="L763" s="26" t="n">
        <v>304.0298</v>
      </c>
      <c r="M763" s="26" t="n">
        <v>2.8496</v>
      </c>
    </row>
    <row r="764" ht="16" customHeight="1">
      <c r="A764" t="inlineStr">
        <is>
          <t>31-Oct-2025</t>
        </is>
      </c>
      <c r="B764" t="inlineStr">
        <is>
          <t>Friday</t>
        </is>
      </c>
      <c r="C764" t="inlineStr">
        <is>
          <t>Week5-Oct-2025</t>
        </is>
      </c>
      <c r="D764" s="78" t="n">
        <v>45931</v>
      </c>
      <c r="E764" t="inlineStr">
        <is>
          <t>Q3FY26</t>
        </is>
      </c>
      <c r="F764" t="inlineStr">
        <is>
          <t>27-Jan-2026</t>
        </is>
      </c>
      <c r="G764" t="inlineStr">
        <is>
          <t>Tuesday</t>
        </is>
      </c>
      <c r="H764" t="inlineStr">
        <is>
          <t>Monthly - Tuesday</t>
        </is>
      </c>
      <c r="I764" t="inlineStr">
        <is>
          <t>Monthly - Tuesday</t>
        </is>
      </c>
      <c r="J764" t="inlineStr">
        <is>
          <t>Month+3 Expiry</t>
        </is>
      </c>
      <c r="K764" s="25" t="n">
        <v>14522</v>
      </c>
      <c r="L764" s="26" t="n">
        <v>24.6129</v>
      </c>
      <c r="M764" s="26" t="n">
        <v>0.2851</v>
      </c>
    </row>
    <row r="765" ht="16" customHeight="1">
      <c r="A765" t="inlineStr">
        <is>
          <t>31-Oct-2025</t>
        </is>
      </c>
      <c r="B765" t="inlineStr">
        <is>
          <t>Friday</t>
        </is>
      </c>
      <c r="C765" t="inlineStr">
        <is>
          <t>Week5-Oct-2025</t>
        </is>
      </c>
      <c r="D765" s="78" t="n">
        <v>45931</v>
      </c>
      <c r="E765" t="inlineStr">
        <is>
          <t>Q3FY26</t>
        </is>
      </c>
      <c r="F765" t="inlineStr">
        <is>
          <t>31-Mar-2026</t>
        </is>
      </c>
      <c r="G765" t="inlineStr">
        <is>
          <t>Tuesday</t>
        </is>
      </c>
      <c r="H765" t="inlineStr">
        <is>
          <t>Monthly - Tuesday</t>
        </is>
      </c>
      <c r="I765" t="inlineStr">
        <is>
          <t>Monthly - Tuesday</t>
        </is>
      </c>
      <c r="J765" t="inlineStr">
        <is>
          <t>Month+5 Expiry</t>
        </is>
      </c>
      <c r="K765" s="25" t="n">
        <v>13524</v>
      </c>
      <c r="L765" s="26" t="n">
        <v>26.6063</v>
      </c>
      <c r="M765" s="26" t="n">
        <v>0.3894</v>
      </c>
    </row>
    <row r="766" ht="16" customHeight="1">
      <c r="A766" t="inlineStr">
        <is>
          <t>31-Oct-2025</t>
        </is>
      </c>
      <c r="B766" t="inlineStr">
        <is>
          <t>Friday</t>
        </is>
      </c>
      <c r="C766" t="inlineStr">
        <is>
          <t>Week5-Oct-2025</t>
        </is>
      </c>
      <c r="D766" s="78" t="n">
        <v>45931</v>
      </c>
      <c r="E766" t="inlineStr">
        <is>
          <t>Q3FY26</t>
        </is>
      </c>
      <c r="F766" t="inlineStr">
        <is>
          <t>30-Jun-2026</t>
        </is>
      </c>
      <c r="G766" t="inlineStr">
        <is>
          <t>Tuesday</t>
        </is>
      </c>
      <c r="H766" t="inlineStr">
        <is>
          <t>Monthly - Tuesday</t>
        </is>
      </c>
      <c r="I766" t="inlineStr">
        <is>
          <t>Monthly - Tuesday</t>
        </is>
      </c>
      <c r="J766" t="inlineStr">
        <is>
          <t>Month+8 Expiry</t>
        </is>
      </c>
      <c r="K766" s="25" t="n">
        <v>7676</v>
      </c>
      <c r="L766" s="26" t="n">
        <v>14.7814</v>
      </c>
      <c r="M766" s="26" t="n">
        <v>0.3109</v>
      </c>
    </row>
    <row r="767" ht="16" customHeight="1">
      <c r="A767" t="inlineStr">
        <is>
          <t>31-Oct-2025</t>
        </is>
      </c>
      <c r="B767" t="inlineStr">
        <is>
          <t>Friday</t>
        </is>
      </c>
      <c r="C767" t="inlineStr">
        <is>
          <t>Week5-Oct-2025</t>
        </is>
      </c>
      <c r="D767" s="78" t="n">
        <v>45931</v>
      </c>
      <c r="E767" t="inlineStr">
        <is>
          <t>Q3FY26</t>
        </is>
      </c>
      <c r="F767" t="inlineStr">
        <is>
          <t>29-Sep-2026</t>
        </is>
      </c>
      <c r="G767" t="inlineStr">
        <is>
          <t>Tuesday</t>
        </is>
      </c>
      <c r="H767" t="inlineStr">
        <is>
          <t>Monthly - Tuesday</t>
        </is>
      </c>
      <c r="I767" t="inlineStr">
        <is>
          <t>Monthly - Tuesday</t>
        </is>
      </c>
      <c r="J767" t="inlineStr">
        <is>
          <t>Month+11 Expiry</t>
        </is>
      </c>
      <c r="K767" s="25" t="n">
        <v>25</v>
      </c>
      <c r="L767" s="26" t="n">
        <v>0.0469</v>
      </c>
      <c r="M767" s="26" t="n">
        <v>0.0007</v>
      </c>
    </row>
    <row r="768" ht="16" customHeight="1">
      <c r="A768" t="inlineStr">
        <is>
          <t>31-Oct-2025</t>
        </is>
      </c>
      <c r="B768" t="inlineStr">
        <is>
          <t>Friday</t>
        </is>
      </c>
      <c r="C768" t="inlineStr">
        <is>
          <t>Week5-Oct-2025</t>
        </is>
      </c>
      <c r="D768" s="78" t="n">
        <v>45931</v>
      </c>
      <c r="E768" t="inlineStr">
        <is>
          <t>Q3FY26</t>
        </is>
      </c>
      <c r="F768" t="inlineStr">
        <is>
          <t>29-Dec-2026</t>
        </is>
      </c>
      <c r="G768" t="inlineStr">
        <is>
          <t>Tuesday</t>
        </is>
      </c>
      <c r="H768" t="inlineStr">
        <is>
          <t>Monthly - Tuesday</t>
        </is>
      </c>
      <c r="I768" t="inlineStr">
        <is>
          <t>Monthly - Tuesday</t>
        </is>
      </c>
      <c r="J768" t="inlineStr">
        <is>
          <t>Month+14 Expiry</t>
        </is>
      </c>
      <c r="K768" s="25" t="n">
        <v>2630</v>
      </c>
      <c r="L768" s="26" t="n">
        <v>5.3418</v>
      </c>
      <c r="M768" s="26" t="n">
        <v>0.1652</v>
      </c>
    </row>
    <row r="769" ht="16" customHeight="1">
      <c r="A769" t="inlineStr">
        <is>
          <t>31-Oct-2025</t>
        </is>
      </c>
      <c r="B769" t="inlineStr">
        <is>
          <t>Friday</t>
        </is>
      </c>
      <c r="C769" t="inlineStr">
        <is>
          <t>Week5-Oct-2025</t>
        </is>
      </c>
      <c r="D769" s="78" t="n">
        <v>45931</v>
      </c>
      <c r="E769" t="inlineStr">
        <is>
          <t>Q3FY26</t>
        </is>
      </c>
      <c r="F769" t="inlineStr">
        <is>
          <t>29-Jun-2027</t>
        </is>
      </c>
      <c r="G769" t="inlineStr">
        <is>
          <t>Tuesday</t>
        </is>
      </c>
      <c r="H769" t="inlineStr">
        <is>
          <t>Monthly - Tuesday</t>
        </is>
      </c>
      <c r="I769" t="inlineStr">
        <is>
          <t>Monthly - Tuesday</t>
        </is>
      </c>
      <c r="J769" t="inlineStr">
        <is>
          <t>Month+20 Expiry</t>
        </is>
      </c>
      <c r="K769" s="25" t="n">
        <v>0</v>
      </c>
      <c r="L769" s="26" t="n">
        <v>0</v>
      </c>
      <c r="M769" s="26" t="n">
        <v>0</v>
      </c>
    </row>
    <row r="770" ht="16" customHeight="1">
      <c r="A770" t="inlineStr">
        <is>
          <t>31-Oct-2025</t>
        </is>
      </c>
      <c r="B770" t="inlineStr">
        <is>
          <t>Friday</t>
        </is>
      </c>
      <c r="C770" t="inlineStr">
        <is>
          <t>Week5-Oct-2025</t>
        </is>
      </c>
      <c r="D770" s="78" t="n">
        <v>45931</v>
      </c>
      <c r="E770" t="inlineStr">
        <is>
          <t>Q3FY26</t>
        </is>
      </c>
      <c r="F770" t="inlineStr">
        <is>
          <t>28-Dec-2027</t>
        </is>
      </c>
      <c r="G770" t="inlineStr">
        <is>
          <t>Tuesday</t>
        </is>
      </c>
      <c r="H770" t="inlineStr">
        <is>
          <t>Monthly - Tuesday</t>
        </is>
      </c>
      <c r="I770" t="inlineStr">
        <is>
          <t>Monthly - Tuesday</t>
        </is>
      </c>
      <c r="J770" t="inlineStr">
        <is>
          <t>Month+26 Expiry</t>
        </is>
      </c>
      <c r="K770" s="25" t="n">
        <v>46</v>
      </c>
      <c r="L770" s="26" t="n">
        <v>0.0927</v>
      </c>
      <c r="M770" s="26" t="n">
        <v>0.0034</v>
      </c>
    </row>
    <row r="771" ht="16" customHeight="1">
      <c r="A771" t="inlineStr">
        <is>
          <t>31-Oct-2025</t>
        </is>
      </c>
      <c r="B771" t="inlineStr">
        <is>
          <t>Friday</t>
        </is>
      </c>
      <c r="C771" t="inlineStr">
        <is>
          <t>Week5-Oct-2025</t>
        </is>
      </c>
      <c r="D771" s="78" t="n">
        <v>45931</v>
      </c>
      <c r="E771" t="inlineStr">
        <is>
          <t>Q3FY26</t>
        </is>
      </c>
      <c r="F771" t="inlineStr">
        <is>
          <t>27-Jun-2028</t>
        </is>
      </c>
      <c r="G771" t="inlineStr">
        <is>
          <t>Tuesday</t>
        </is>
      </c>
      <c r="H771" t="inlineStr">
        <is>
          <t>Monthly - Tuesday</t>
        </is>
      </c>
      <c r="I771" t="inlineStr">
        <is>
          <t>Monthly - Tuesday</t>
        </is>
      </c>
      <c r="J771" t="inlineStr">
        <is>
          <t>Month+32 Expiry</t>
        </is>
      </c>
      <c r="K771" s="25" t="n">
        <v>0</v>
      </c>
      <c r="L771" s="26" t="n">
        <v>0</v>
      </c>
      <c r="M771" s="26" t="n">
        <v>0</v>
      </c>
    </row>
    <row r="772" ht="16" customHeight="1">
      <c r="A772" t="inlineStr">
        <is>
          <t>31-Oct-2025</t>
        </is>
      </c>
      <c r="B772" t="inlineStr">
        <is>
          <t>Friday</t>
        </is>
      </c>
      <c r="C772" t="inlineStr">
        <is>
          <t>Week5-Oct-2025</t>
        </is>
      </c>
      <c r="D772" s="78" t="n">
        <v>45931</v>
      </c>
      <c r="E772" t="inlineStr">
        <is>
          <t>Q3FY26</t>
        </is>
      </c>
      <c r="F772" t="inlineStr">
        <is>
          <t>26-Dec-2028</t>
        </is>
      </c>
      <c r="G772" t="inlineStr">
        <is>
          <t>Tuesday</t>
        </is>
      </c>
      <c r="H772" t="inlineStr">
        <is>
          <t>Monthly - Tuesday</t>
        </is>
      </c>
      <c r="I772" t="inlineStr">
        <is>
          <t>Monthly - Tuesday</t>
        </is>
      </c>
      <c r="J772" t="inlineStr">
        <is>
          <t>Month+38 Expiry</t>
        </is>
      </c>
      <c r="K772" s="25" t="n">
        <v>1</v>
      </c>
      <c r="L772" s="26" t="n">
        <v>0.0025</v>
      </c>
      <c r="M772" s="26" t="n">
        <v>0.0002</v>
      </c>
    </row>
    <row r="773" ht="16" customHeight="1">
      <c r="A773" t="inlineStr">
        <is>
          <t>31-Oct-2025</t>
        </is>
      </c>
      <c r="B773" t="inlineStr">
        <is>
          <t>Friday</t>
        </is>
      </c>
      <c r="C773" t="inlineStr">
        <is>
          <t>Week5-Oct-2025</t>
        </is>
      </c>
      <c r="D773" s="78" t="n">
        <v>45931</v>
      </c>
      <c r="E773" t="inlineStr">
        <is>
          <t>Q3FY26</t>
        </is>
      </c>
      <c r="F773" t="inlineStr">
        <is>
          <t>26-Jun-2029</t>
        </is>
      </c>
      <c r="G773" t="inlineStr">
        <is>
          <t>Tuesday</t>
        </is>
      </c>
      <c r="H773" t="inlineStr">
        <is>
          <t>Monthly - Tuesday</t>
        </is>
      </c>
      <c r="I773" t="inlineStr">
        <is>
          <t>Monthly - Tuesday</t>
        </is>
      </c>
      <c r="J773" t="inlineStr">
        <is>
          <t>Month+44 Expiry</t>
        </is>
      </c>
      <c r="K773" s="25" t="n">
        <v>0</v>
      </c>
      <c r="L773" s="26" t="n">
        <v>0</v>
      </c>
      <c r="M773" s="26" t="n">
        <v>0</v>
      </c>
    </row>
    <row r="774" ht="16" customHeight="1">
      <c r="A774" t="inlineStr">
        <is>
          <t>31-Oct-2025</t>
        </is>
      </c>
      <c r="B774" t="inlineStr">
        <is>
          <t>Friday</t>
        </is>
      </c>
      <c r="C774" t="inlineStr">
        <is>
          <t>Week5-Oct-2025</t>
        </is>
      </c>
      <c r="D774" s="78" t="n">
        <v>45931</v>
      </c>
      <c r="E774" t="inlineStr">
        <is>
          <t>Q3FY26</t>
        </is>
      </c>
      <c r="F774" t="inlineStr">
        <is>
          <t>24-Dec-2029</t>
        </is>
      </c>
      <c r="G774" t="inlineStr">
        <is>
          <t>Monday</t>
        </is>
      </c>
      <c r="H774" t="inlineStr">
        <is>
          <t>Weekly - Monday</t>
        </is>
      </c>
      <c r="I774" t="inlineStr">
        <is>
          <t>Weekly - Monday</t>
        </is>
      </c>
      <c r="J774" t="inlineStr">
        <is>
          <t>Month+50 Expiry</t>
        </is>
      </c>
      <c r="K774" s="25" t="n">
        <v>0</v>
      </c>
      <c r="L774" s="26" t="n">
        <v>0</v>
      </c>
      <c r="M774" s="26" t="n">
        <v>0</v>
      </c>
    </row>
    <row r="775" ht="16" customHeight="1">
      <c r="A775" t="inlineStr">
        <is>
          <t>31-Oct-2025</t>
        </is>
      </c>
      <c r="B775" t="inlineStr">
        <is>
          <t>Friday</t>
        </is>
      </c>
      <c r="C775" t="inlineStr">
        <is>
          <t>Week5-Oct-2025</t>
        </is>
      </c>
      <c r="D775" s="78" t="n">
        <v>45931</v>
      </c>
      <c r="E775" t="inlineStr">
        <is>
          <t>Q3FY26</t>
        </is>
      </c>
      <c r="F775" t="inlineStr">
        <is>
          <t>25-Jun-2030</t>
        </is>
      </c>
      <c r="G775" t="inlineStr">
        <is>
          <t>Tuesday</t>
        </is>
      </c>
      <c r="H775" t="inlineStr">
        <is>
          <t>Monthly - Tuesday</t>
        </is>
      </c>
      <c r="I775" t="inlineStr">
        <is>
          <t>Monthly - Tuesday</t>
        </is>
      </c>
      <c r="J775" t="inlineStr">
        <is>
          <t>Month+56 Expiry</t>
        </is>
      </c>
      <c r="K775" s="25" t="n">
        <v>0</v>
      </c>
      <c r="L775" s="26" t="n">
        <v>0</v>
      </c>
      <c r="M775" s="26" t="n">
        <v>0</v>
      </c>
    </row>
    <row r="776" ht="16" customHeight="1">
      <c r="A776" t="inlineStr">
        <is>
          <t>03-Nov-2025</t>
        </is>
      </c>
      <c r="B776" t="inlineStr">
        <is>
          <t>Monday</t>
        </is>
      </c>
      <c r="C776" t="inlineStr">
        <is>
          <t>Week1-Nov-2025</t>
        </is>
      </c>
      <c r="D776" s="78" t="n">
        <v>45962</v>
      </c>
      <c r="E776" t="inlineStr">
        <is>
          <t>Q3FY26</t>
        </is>
      </c>
      <c r="F776" t="inlineStr">
        <is>
          <t>04-Nov-2025</t>
        </is>
      </c>
      <c r="G776" t="inlineStr">
        <is>
          <t>Tuesday</t>
        </is>
      </c>
      <c r="H776" t="inlineStr">
        <is>
          <t>Weekly - Tuesday</t>
        </is>
      </c>
      <c r="I776" t="inlineStr">
        <is>
          <t>Weekly - Tuesday</t>
        </is>
      </c>
      <c r="J776" t="inlineStr">
        <is>
          <t>Same Month Expiry</t>
        </is>
      </c>
      <c r="K776" s="25" t="n">
        <v>123061875</v>
      </c>
      <c r="L776" s="26" t="n">
        <v>238449.1456</v>
      </c>
      <c r="M776" s="26" t="n">
        <v>426.9631</v>
      </c>
    </row>
    <row r="777" ht="16" customHeight="1">
      <c r="A777" t="inlineStr">
        <is>
          <t>03-Nov-2025</t>
        </is>
      </c>
      <c r="B777" t="inlineStr">
        <is>
          <t>Monday</t>
        </is>
      </c>
      <c r="C777" t="inlineStr">
        <is>
          <t>Week1-Nov-2025</t>
        </is>
      </c>
      <c r="D777" s="78" t="n">
        <v>45962</v>
      </c>
      <c r="E777" t="inlineStr">
        <is>
          <t>Q3FY26</t>
        </is>
      </c>
      <c r="F777" t="inlineStr">
        <is>
          <t>11-Nov-2025</t>
        </is>
      </c>
      <c r="G777" t="inlineStr">
        <is>
          <t>Tuesday</t>
        </is>
      </c>
      <c r="H777" t="inlineStr">
        <is>
          <t>Weekly - Tuesday</t>
        </is>
      </c>
      <c r="I777" t="inlineStr">
        <is>
          <t>Weekly - Tuesday</t>
        </is>
      </c>
      <c r="J777" t="inlineStr">
        <is>
          <t>Same Month Expiry</t>
        </is>
      </c>
      <c r="K777" s="25" t="n">
        <v>4528472</v>
      </c>
      <c r="L777" s="26" t="n">
        <v>8833.3292</v>
      </c>
      <c r="M777" s="26" t="n">
        <v>28.6285</v>
      </c>
    </row>
    <row r="778" ht="16" customHeight="1">
      <c r="A778" t="inlineStr">
        <is>
          <t>03-Nov-2025</t>
        </is>
      </c>
      <c r="B778" t="inlineStr">
        <is>
          <t>Monday</t>
        </is>
      </c>
      <c r="C778" t="inlineStr">
        <is>
          <t>Week1-Nov-2025</t>
        </is>
      </c>
      <c r="D778" s="78" t="n">
        <v>45962</v>
      </c>
      <c r="E778" t="inlineStr">
        <is>
          <t>Q3FY26</t>
        </is>
      </c>
      <c r="F778" t="inlineStr">
        <is>
          <t>18-Nov-2025</t>
        </is>
      </c>
      <c r="G778" t="inlineStr">
        <is>
          <t>Tuesday</t>
        </is>
      </c>
      <c r="H778" t="inlineStr">
        <is>
          <t>Weekly - Tuesday</t>
        </is>
      </c>
      <c r="I778" t="inlineStr">
        <is>
          <t>Weekly - Tuesday</t>
        </is>
      </c>
      <c r="J778" t="inlineStr">
        <is>
          <t>Same Month Expiry</t>
        </is>
      </c>
      <c r="K778" s="25" t="n">
        <v>179949</v>
      </c>
      <c r="L778" s="26" t="n">
        <v>351.9185</v>
      </c>
      <c r="M778" s="26" t="n">
        <v>1.9904</v>
      </c>
    </row>
    <row r="779" ht="16" customHeight="1">
      <c r="A779" t="inlineStr">
        <is>
          <t>03-Nov-2025</t>
        </is>
      </c>
      <c r="B779" t="inlineStr">
        <is>
          <t>Monday</t>
        </is>
      </c>
      <c r="C779" t="inlineStr">
        <is>
          <t>Week1-Nov-2025</t>
        </is>
      </c>
      <c r="D779" s="78" t="n">
        <v>45962</v>
      </c>
      <c r="E779" t="inlineStr">
        <is>
          <t>Q3FY26</t>
        </is>
      </c>
      <c r="F779" t="inlineStr">
        <is>
          <t>25-Nov-2025</t>
        </is>
      </c>
      <c r="G779" t="inlineStr">
        <is>
          <t>Tuesday</t>
        </is>
      </c>
      <c r="H779" t="inlineStr">
        <is>
          <t>Monthly - Tuesday</t>
        </is>
      </c>
      <c r="I779" t="inlineStr">
        <is>
          <t>Monthly - Tuesday</t>
        </is>
      </c>
      <c r="J779" t="inlineStr">
        <is>
          <t>Same Month Expiry</t>
        </is>
      </c>
      <c r="K779" s="25" t="n">
        <v>1015423</v>
      </c>
      <c r="L779" s="26" t="n">
        <v>1981.8978</v>
      </c>
      <c r="M779" s="26" t="n">
        <v>13.7535</v>
      </c>
    </row>
    <row r="780" ht="16" customHeight="1">
      <c r="A780" t="inlineStr">
        <is>
          <t>03-Nov-2025</t>
        </is>
      </c>
      <c r="B780" t="inlineStr">
        <is>
          <t>Monday</t>
        </is>
      </c>
      <c r="C780" t="inlineStr">
        <is>
          <t>Week1-Nov-2025</t>
        </is>
      </c>
      <c r="D780" s="78" t="n">
        <v>45962</v>
      </c>
      <c r="E780" t="inlineStr">
        <is>
          <t>Q3FY26</t>
        </is>
      </c>
      <c r="F780" t="inlineStr">
        <is>
          <t>02-Dec-2025</t>
        </is>
      </c>
      <c r="G780" t="inlineStr">
        <is>
          <t>Tuesday</t>
        </is>
      </c>
      <c r="H780" t="inlineStr">
        <is>
          <t>Weekly - Tuesday</t>
        </is>
      </c>
      <c r="I780" t="inlineStr">
        <is>
          <t>Weekly - Tuesday</t>
        </is>
      </c>
      <c r="J780" t="inlineStr">
        <is>
          <t>Month+1 Expiry</t>
        </is>
      </c>
      <c r="K780" s="25" t="n">
        <v>6510</v>
      </c>
      <c r="L780" s="26" t="n">
        <v>12.8076</v>
      </c>
      <c r="M780" s="26" t="n">
        <v>0.0892</v>
      </c>
    </row>
    <row r="781" ht="16" customHeight="1">
      <c r="A781" t="inlineStr">
        <is>
          <t>03-Nov-2025</t>
        </is>
      </c>
      <c r="B781" t="inlineStr">
        <is>
          <t>Monday</t>
        </is>
      </c>
      <c r="C781" t="inlineStr">
        <is>
          <t>Week1-Nov-2025</t>
        </is>
      </c>
      <c r="D781" s="78" t="n">
        <v>45962</v>
      </c>
      <c r="E781" t="inlineStr">
        <is>
          <t>Q3FY26</t>
        </is>
      </c>
      <c r="F781" t="inlineStr">
        <is>
          <t>30-Dec-2025</t>
        </is>
      </c>
      <c r="G781" t="inlineStr">
        <is>
          <t>Tuesday</t>
        </is>
      </c>
      <c r="H781" t="inlineStr">
        <is>
          <t>Monthly - Tuesday</t>
        </is>
      </c>
      <c r="I781" t="inlineStr">
        <is>
          <t>Monthly - Tuesday</t>
        </is>
      </c>
      <c r="J781" t="inlineStr">
        <is>
          <t>Month+1 Expiry</t>
        </is>
      </c>
      <c r="K781" s="25" t="n">
        <v>150322</v>
      </c>
      <c r="L781" s="26" t="n">
        <v>291.7528</v>
      </c>
      <c r="M781" s="26" t="n">
        <v>2.8001</v>
      </c>
    </row>
    <row r="782" ht="16" customHeight="1">
      <c r="A782" t="inlineStr">
        <is>
          <t>03-Nov-2025</t>
        </is>
      </c>
      <c r="B782" t="inlineStr">
        <is>
          <t>Monday</t>
        </is>
      </c>
      <c r="C782" t="inlineStr">
        <is>
          <t>Week1-Nov-2025</t>
        </is>
      </c>
      <c r="D782" s="78" t="n">
        <v>45962</v>
      </c>
      <c r="E782" t="inlineStr">
        <is>
          <t>Q3FY26</t>
        </is>
      </c>
      <c r="F782" t="inlineStr">
        <is>
          <t>27-Jan-2026</t>
        </is>
      </c>
      <c r="G782" t="inlineStr">
        <is>
          <t>Tuesday</t>
        </is>
      </c>
      <c r="H782" t="inlineStr">
        <is>
          <t>Monthly - Tuesday</t>
        </is>
      </c>
      <c r="I782" t="inlineStr">
        <is>
          <t>Monthly - Tuesday</t>
        </is>
      </c>
      <c r="J782" t="inlineStr">
        <is>
          <t>Month+2 Expiry</t>
        </is>
      </c>
      <c r="K782" s="25" t="n">
        <v>20428</v>
      </c>
      <c r="L782" s="26" t="n">
        <v>34.4421</v>
      </c>
      <c r="M782" s="26" t="n">
        <v>0.3573</v>
      </c>
    </row>
    <row r="783" ht="16" customHeight="1">
      <c r="A783" t="inlineStr">
        <is>
          <t>03-Nov-2025</t>
        </is>
      </c>
      <c r="B783" t="inlineStr">
        <is>
          <t>Monday</t>
        </is>
      </c>
      <c r="C783" t="inlineStr">
        <is>
          <t>Week1-Nov-2025</t>
        </is>
      </c>
      <c r="D783" s="78" t="n">
        <v>45962</v>
      </c>
      <c r="E783" t="inlineStr">
        <is>
          <t>Q3FY26</t>
        </is>
      </c>
      <c r="F783" t="inlineStr">
        <is>
          <t>31-Mar-2026</t>
        </is>
      </c>
      <c r="G783" t="inlineStr">
        <is>
          <t>Tuesday</t>
        </is>
      </c>
      <c r="H783" t="inlineStr">
        <is>
          <t>Monthly - Tuesday</t>
        </is>
      </c>
      <c r="I783" t="inlineStr">
        <is>
          <t>Monthly - Tuesday</t>
        </is>
      </c>
      <c r="J783" t="inlineStr">
        <is>
          <t>Month+4 Expiry</t>
        </is>
      </c>
      <c r="K783" s="25" t="n">
        <v>18142</v>
      </c>
      <c r="L783" s="26" t="n">
        <v>35.394</v>
      </c>
      <c r="M783" s="26" t="n">
        <v>0.5124</v>
      </c>
    </row>
    <row r="784" ht="16" customHeight="1">
      <c r="A784" t="inlineStr">
        <is>
          <t>03-Nov-2025</t>
        </is>
      </c>
      <c r="B784" t="inlineStr">
        <is>
          <t>Monday</t>
        </is>
      </c>
      <c r="C784" t="inlineStr">
        <is>
          <t>Week1-Nov-2025</t>
        </is>
      </c>
      <c r="D784" s="78" t="n">
        <v>45962</v>
      </c>
      <c r="E784" t="inlineStr">
        <is>
          <t>Q3FY26</t>
        </is>
      </c>
      <c r="F784" t="inlineStr">
        <is>
          <t>30-Jun-2026</t>
        </is>
      </c>
      <c r="G784" t="inlineStr">
        <is>
          <t>Tuesday</t>
        </is>
      </c>
      <c r="H784" t="inlineStr">
        <is>
          <t>Monthly - Tuesday</t>
        </is>
      </c>
      <c r="I784" t="inlineStr">
        <is>
          <t>Monthly - Tuesday</t>
        </is>
      </c>
      <c r="J784" t="inlineStr">
        <is>
          <t>Month+7 Expiry</t>
        </is>
      </c>
      <c r="K784" s="25" t="n">
        <v>5771</v>
      </c>
      <c r="L784" s="26" t="n">
        <v>11.7127</v>
      </c>
      <c r="M784" s="26" t="n">
        <v>0.3289</v>
      </c>
    </row>
    <row r="785" ht="16" customHeight="1">
      <c r="A785" t="inlineStr">
        <is>
          <t>03-Nov-2025</t>
        </is>
      </c>
      <c r="B785" t="inlineStr">
        <is>
          <t>Monday</t>
        </is>
      </c>
      <c r="C785" t="inlineStr">
        <is>
          <t>Week1-Nov-2025</t>
        </is>
      </c>
      <c r="D785" s="78" t="n">
        <v>45962</v>
      </c>
      <c r="E785" t="inlineStr">
        <is>
          <t>Q3FY26</t>
        </is>
      </c>
      <c r="F785" t="inlineStr">
        <is>
          <t>29-Sep-2026</t>
        </is>
      </c>
      <c r="G785" t="inlineStr">
        <is>
          <t>Tuesday</t>
        </is>
      </c>
      <c r="H785" t="inlineStr">
        <is>
          <t>Monthly - Tuesday</t>
        </is>
      </c>
      <c r="I785" t="inlineStr">
        <is>
          <t>Monthly - Tuesday</t>
        </is>
      </c>
      <c r="J785" t="inlineStr">
        <is>
          <t>Month+10 Expiry</t>
        </is>
      </c>
      <c r="K785" s="25" t="n">
        <v>4</v>
      </c>
      <c r="L785" s="26" t="n">
        <v>0.0073</v>
      </c>
      <c r="M785" s="26" t="n">
        <v>0.0001</v>
      </c>
    </row>
    <row r="786" ht="16" customHeight="1">
      <c r="A786" t="inlineStr">
        <is>
          <t>03-Nov-2025</t>
        </is>
      </c>
      <c r="B786" t="inlineStr">
        <is>
          <t>Monday</t>
        </is>
      </c>
      <c r="C786" t="inlineStr">
        <is>
          <t>Week1-Nov-2025</t>
        </is>
      </c>
      <c r="D786" s="78" t="n">
        <v>45962</v>
      </c>
      <c r="E786" t="inlineStr">
        <is>
          <t>Q3FY26</t>
        </is>
      </c>
      <c r="F786" t="inlineStr">
        <is>
          <t>29-Dec-2026</t>
        </is>
      </c>
      <c r="G786" t="inlineStr">
        <is>
          <t>Tuesday</t>
        </is>
      </c>
      <c r="H786" t="inlineStr">
        <is>
          <t>Monthly - Tuesday</t>
        </is>
      </c>
      <c r="I786" t="inlineStr">
        <is>
          <t>Monthly - Tuesday</t>
        </is>
      </c>
      <c r="J786" t="inlineStr">
        <is>
          <t>Month+13 Expiry</t>
        </is>
      </c>
      <c r="K786" s="25" t="n">
        <v>1832</v>
      </c>
      <c r="L786" s="26" t="n">
        <v>3.7515</v>
      </c>
      <c r="M786" s="26" t="n">
        <v>0.1444</v>
      </c>
    </row>
    <row r="787" ht="16" customHeight="1">
      <c r="A787" t="inlineStr">
        <is>
          <t>03-Nov-2025</t>
        </is>
      </c>
      <c r="B787" t="inlineStr">
        <is>
          <t>Monday</t>
        </is>
      </c>
      <c r="C787" t="inlineStr">
        <is>
          <t>Week1-Nov-2025</t>
        </is>
      </c>
      <c r="D787" s="78" t="n">
        <v>45962</v>
      </c>
      <c r="E787" t="inlineStr">
        <is>
          <t>Q3FY26</t>
        </is>
      </c>
      <c r="F787" t="inlineStr">
        <is>
          <t>29-Jun-2027</t>
        </is>
      </c>
      <c r="G787" t="inlineStr">
        <is>
          <t>Tuesday</t>
        </is>
      </c>
      <c r="H787" t="inlineStr">
        <is>
          <t>Monthly - Tuesday</t>
        </is>
      </c>
      <c r="I787" t="inlineStr">
        <is>
          <t>Monthly - Tuesday</t>
        </is>
      </c>
      <c r="J787" t="inlineStr">
        <is>
          <t>Month+19 Expiry</t>
        </is>
      </c>
      <c r="K787" s="25" t="n">
        <v>0</v>
      </c>
      <c r="L787" s="26" t="n">
        <v>0</v>
      </c>
      <c r="M787" s="26" t="n">
        <v>0</v>
      </c>
    </row>
    <row r="788" ht="16" customHeight="1">
      <c r="A788" t="inlineStr">
        <is>
          <t>03-Nov-2025</t>
        </is>
      </c>
      <c r="B788" t="inlineStr">
        <is>
          <t>Monday</t>
        </is>
      </c>
      <c r="C788" t="inlineStr">
        <is>
          <t>Week1-Nov-2025</t>
        </is>
      </c>
      <c r="D788" s="78" t="n">
        <v>45962</v>
      </c>
      <c r="E788" t="inlineStr">
        <is>
          <t>Q3FY26</t>
        </is>
      </c>
      <c r="F788" t="inlineStr">
        <is>
          <t>28-Dec-2027</t>
        </is>
      </c>
      <c r="G788" t="inlineStr">
        <is>
          <t>Tuesday</t>
        </is>
      </c>
      <c r="H788" t="inlineStr">
        <is>
          <t>Monthly - Tuesday</t>
        </is>
      </c>
      <c r="I788" t="inlineStr">
        <is>
          <t>Monthly - Tuesday</t>
        </is>
      </c>
      <c r="J788" t="inlineStr">
        <is>
          <t>Month+25 Expiry</t>
        </is>
      </c>
      <c r="K788" s="25" t="n">
        <v>0</v>
      </c>
      <c r="L788" s="26" t="n">
        <v>0</v>
      </c>
      <c r="M788" s="26" t="n">
        <v>0</v>
      </c>
    </row>
    <row r="789" ht="16" customHeight="1">
      <c r="A789" t="inlineStr">
        <is>
          <t>03-Nov-2025</t>
        </is>
      </c>
      <c r="B789" t="inlineStr">
        <is>
          <t>Monday</t>
        </is>
      </c>
      <c r="C789" t="inlineStr">
        <is>
          <t>Week1-Nov-2025</t>
        </is>
      </c>
      <c r="D789" s="78" t="n">
        <v>45962</v>
      </c>
      <c r="E789" t="inlineStr">
        <is>
          <t>Q3FY26</t>
        </is>
      </c>
      <c r="F789" t="inlineStr">
        <is>
          <t>27-Jun-2028</t>
        </is>
      </c>
      <c r="G789" t="inlineStr">
        <is>
          <t>Tuesday</t>
        </is>
      </c>
      <c r="H789" t="inlineStr">
        <is>
          <t>Monthly - Tuesday</t>
        </is>
      </c>
      <c r="I789" t="inlineStr">
        <is>
          <t>Monthly - Tuesday</t>
        </is>
      </c>
      <c r="J789" t="inlineStr">
        <is>
          <t>Month+31 Expiry</t>
        </is>
      </c>
      <c r="K789" s="25" t="n">
        <v>0</v>
      </c>
      <c r="L789" s="26" t="n">
        <v>0</v>
      </c>
      <c r="M789" s="26" t="n">
        <v>0</v>
      </c>
    </row>
    <row r="790" ht="16" customHeight="1">
      <c r="A790" t="inlineStr">
        <is>
          <t>03-Nov-2025</t>
        </is>
      </c>
      <c r="B790" t="inlineStr">
        <is>
          <t>Monday</t>
        </is>
      </c>
      <c r="C790" t="inlineStr">
        <is>
          <t>Week1-Nov-2025</t>
        </is>
      </c>
      <c r="D790" s="78" t="n">
        <v>45962</v>
      </c>
      <c r="E790" t="inlineStr">
        <is>
          <t>Q3FY26</t>
        </is>
      </c>
      <c r="F790" t="inlineStr">
        <is>
          <t>26-Dec-2028</t>
        </is>
      </c>
      <c r="G790" t="inlineStr">
        <is>
          <t>Tuesday</t>
        </is>
      </c>
      <c r="H790" t="inlineStr">
        <is>
          <t>Monthly - Tuesday</t>
        </is>
      </c>
      <c r="I790" t="inlineStr">
        <is>
          <t>Monthly - Tuesday</t>
        </is>
      </c>
      <c r="J790" t="inlineStr">
        <is>
          <t>Month+37 Expiry</t>
        </is>
      </c>
      <c r="K790" s="25" t="n">
        <v>1</v>
      </c>
      <c r="L790" s="26" t="n">
        <v>0.0019</v>
      </c>
      <c r="M790" s="26" t="n">
        <v>0.0001</v>
      </c>
    </row>
    <row r="791" ht="16" customHeight="1">
      <c r="A791" t="inlineStr">
        <is>
          <t>03-Nov-2025</t>
        </is>
      </c>
      <c r="B791" t="inlineStr">
        <is>
          <t>Monday</t>
        </is>
      </c>
      <c r="C791" t="inlineStr">
        <is>
          <t>Week1-Nov-2025</t>
        </is>
      </c>
      <c r="D791" s="78" t="n">
        <v>45962</v>
      </c>
      <c r="E791" t="inlineStr">
        <is>
          <t>Q3FY26</t>
        </is>
      </c>
      <c r="F791" t="inlineStr">
        <is>
          <t>26-Jun-2029</t>
        </is>
      </c>
      <c r="G791" t="inlineStr">
        <is>
          <t>Tuesday</t>
        </is>
      </c>
      <c r="H791" t="inlineStr">
        <is>
          <t>Monthly - Tuesday</t>
        </is>
      </c>
      <c r="I791" t="inlineStr">
        <is>
          <t>Monthly - Tuesday</t>
        </is>
      </c>
      <c r="J791" t="inlineStr">
        <is>
          <t>Month+43 Expiry</t>
        </is>
      </c>
      <c r="K791" s="25" t="n">
        <v>0</v>
      </c>
      <c r="L791" s="26" t="n">
        <v>0</v>
      </c>
      <c r="M791" s="26" t="n">
        <v>0</v>
      </c>
    </row>
    <row r="792" ht="16" customHeight="1">
      <c r="A792" t="inlineStr">
        <is>
          <t>03-Nov-2025</t>
        </is>
      </c>
      <c r="B792" t="inlineStr">
        <is>
          <t>Monday</t>
        </is>
      </c>
      <c r="C792" t="inlineStr">
        <is>
          <t>Week1-Nov-2025</t>
        </is>
      </c>
      <c r="D792" s="78" t="n">
        <v>45962</v>
      </c>
      <c r="E792" t="inlineStr">
        <is>
          <t>Q3FY26</t>
        </is>
      </c>
      <c r="F792" t="inlineStr">
        <is>
          <t>24-Dec-2029</t>
        </is>
      </c>
      <c r="G792" t="inlineStr">
        <is>
          <t>Monday</t>
        </is>
      </c>
      <c r="H792" t="inlineStr">
        <is>
          <t>Weekly - Monday</t>
        </is>
      </c>
      <c r="I792" t="inlineStr">
        <is>
          <t>Weekly - Monday</t>
        </is>
      </c>
      <c r="J792" t="inlineStr">
        <is>
          <t>Month+49 Expiry</t>
        </is>
      </c>
      <c r="K792" s="25" t="n">
        <v>0</v>
      </c>
      <c r="L792" s="26" t="n">
        <v>0</v>
      </c>
      <c r="M792" s="26" t="n">
        <v>0</v>
      </c>
    </row>
    <row r="793" ht="16" customHeight="1">
      <c r="A793" t="inlineStr">
        <is>
          <t>03-Nov-2025</t>
        </is>
      </c>
      <c r="B793" t="inlineStr">
        <is>
          <t>Monday</t>
        </is>
      </c>
      <c r="C793" t="inlineStr">
        <is>
          <t>Week1-Nov-2025</t>
        </is>
      </c>
      <c r="D793" s="78" t="n">
        <v>45962</v>
      </c>
      <c r="E793" t="inlineStr">
        <is>
          <t>Q3FY26</t>
        </is>
      </c>
      <c r="F793" t="inlineStr">
        <is>
          <t>25-Jun-2030</t>
        </is>
      </c>
      <c r="G793" t="inlineStr">
        <is>
          <t>Tuesday</t>
        </is>
      </c>
      <c r="H793" t="inlineStr">
        <is>
          <t>Monthly - Tuesday</t>
        </is>
      </c>
      <c r="I793" t="inlineStr">
        <is>
          <t>Monthly - Tuesday</t>
        </is>
      </c>
      <c r="J793" t="inlineStr">
        <is>
          <t>Month+55 Expiry</t>
        </is>
      </c>
      <c r="K793" s="25" t="n">
        <v>0</v>
      </c>
      <c r="L793" s="26" t="n">
        <v>0</v>
      </c>
      <c r="M793" s="26" t="n">
        <v>0</v>
      </c>
    </row>
    <row r="794" ht="16" customHeight="1">
      <c r="A794" t="inlineStr">
        <is>
          <t>04-Nov-2025</t>
        </is>
      </c>
      <c r="B794" t="inlineStr">
        <is>
          <t>Tuesday</t>
        </is>
      </c>
      <c r="C794" t="inlineStr">
        <is>
          <t>Week1-Nov-2025</t>
        </is>
      </c>
      <c r="D794" s="78" t="n">
        <v>45962</v>
      </c>
      <c r="E794" t="inlineStr">
        <is>
          <t>Q3FY26</t>
        </is>
      </c>
      <c r="F794" t="inlineStr">
        <is>
          <t>04-Nov-2025</t>
        </is>
      </c>
      <c r="G794" t="inlineStr">
        <is>
          <t>Tuesday</t>
        </is>
      </c>
      <c r="H794" t="inlineStr">
        <is>
          <t>Weekly - Tuesday</t>
        </is>
      </c>
      <c r="I794" t="inlineStr">
        <is>
          <t>Weekly - Tuesday</t>
        </is>
      </c>
      <c r="J794" t="inlineStr">
        <is>
          <t>Same Month Expiry</t>
        </is>
      </c>
      <c r="K794" s="25" t="n">
        <v>268817188</v>
      </c>
      <c r="L794" s="26" t="n">
        <v>518747.6943</v>
      </c>
      <c r="M794" s="26" t="n">
        <v>454.2084</v>
      </c>
    </row>
    <row r="795" ht="16" customHeight="1">
      <c r="A795" t="inlineStr">
        <is>
          <t>04-Nov-2025</t>
        </is>
      </c>
      <c r="B795" t="inlineStr">
        <is>
          <t>Tuesday</t>
        </is>
      </c>
      <c r="C795" t="inlineStr">
        <is>
          <t>Week1-Nov-2025</t>
        </is>
      </c>
      <c r="D795" s="78" t="n">
        <v>45962</v>
      </c>
      <c r="E795" t="inlineStr">
        <is>
          <t>Q3FY26</t>
        </is>
      </c>
      <c r="F795" t="inlineStr">
        <is>
          <t>11-Nov-2025</t>
        </is>
      </c>
      <c r="G795" t="inlineStr">
        <is>
          <t>Tuesday</t>
        </is>
      </c>
      <c r="H795" t="inlineStr">
        <is>
          <t>Weekly - Tuesday</t>
        </is>
      </c>
      <c r="I795" t="inlineStr">
        <is>
          <t>Weekly - Tuesday</t>
        </is>
      </c>
      <c r="J795" t="inlineStr">
        <is>
          <t>Same Month Expiry</t>
        </is>
      </c>
      <c r="K795" s="25" t="n">
        <v>10235910</v>
      </c>
      <c r="L795" s="26" t="n">
        <v>19874.0216</v>
      </c>
      <c r="M795" s="26" t="n">
        <v>52.6986</v>
      </c>
    </row>
    <row r="796" ht="16" customHeight="1">
      <c r="A796" t="inlineStr">
        <is>
          <t>04-Nov-2025</t>
        </is>
      </c>
      <c r="B796" t="inlineStr">
        <is>
          <t>Tuesday</t>
        </is>
      </c>
      <c r="C796" t="inlineStr">
        <is>
          <t>Week1-Nov-2025</t>
        </is>
      </c>
      <c r="D796" s="78" t="n">
        <v>45962</v>
      </c>
      <c r="E796" t="inlineStr">
        <is>
          <t>Q3FY26</t>
        </is>
      </c>
      <c r="F796" t="inlineStr">
        <is>
          <t>18-Nov-2025</t>
        </is>
      </c>
      <c r="G796" t="inlineStr">
        <is>
          <t>Tuesday</t>
        </is>
      </c>
      <c r="H796" t="inlineStr">
        <is>
          <t>Weekly - Tuesday</t>
        </is>
      </c>
      <c r="I796" t="inlineStr">
        <is>
          <t>Weekly - Tuesday</t>
        </is>
      </c>
      <c r="J796" t="inlineStr">
        <is>
          <t>Same Month Expiry</t>
        </is>
      </c>
      <c r="K796" s="25" t="n">
        <v>407155</v>
      </c>
      <c r="L796" s="26" t="n">
        <v>795.2109</v>
      </c>
      <c r="M796" s="26" t="n">
        <v>3.2158</v>
      </c>
    </row>
    <row r="797" ht="16" customHeight="1">
      <c r="A797" t="inlineStr">
        <is>
          <t>04-Nov-2025</t>
        </is>
      </c>
      <c r="B797" t="inlineStr">
        <is>
          <t>Tuesday</t>
        </is>
      </c>
      <c r="C797" t="inlineStr">
        <is>
          <t>Week1-Nov-2025</t>
        </is>
      </c>
      <c r="D797" s="78" t="n">
        <v>45962</v>
      </c>
      <c r="E797" t="inlineStr">
        <is>
          <t>Q3FY26</t>
        </is>
      </c>
      <c r="F797" t="inlineStr">
        <is>
          <t>25-Nov-2025</t>
        </is>
      </c>
      <c r="G797" t="inlineStr">
        <is>
          <t>Tuesday</t>
        </is>
      </c>
      <c r="H797" t="inlineStr">
        <is>
          <t>Monthly - Tuesday</t>
        </is>
      </c>
      <c r="I797" t="inlineStr">
        <is>
          <t>Monthly - Tuesday</t>
        </is>
      </c>
      <c r="J797" t="inlineStr">
        <is>
          <t>Same Month Expiry</t>
        </is>
      </c>
      <c r="K797" s="25" t="n">
        <v>1272407</v>
      </c>
      <c r="L797" s="26" t="n">
        <v>2483.2477</v>
      </c>
      <c r="M797" s="26" t="n">
        <v>15.8982</v>
      </c>
    </row>
    <row r="798" ht="16" customHeight="1">
      <c r="A798" t="inlineStr">
        <is>
          <t>04-Nov-2025</t>
        </is>
      </c>
      <c r="B798" t="inlineStr">
        <is>
          <t>Tuesday</t>
        </is>
      </c>
      <c r="C798" t="inlineStr">
        <is>
          <t>Week1-Nov-2025</t>
        </is>
      </c>
      <c r="D798" s="78" t="n">
        <v>45962</v>
      </c>
      <c r="E798" t="inlineStr">
        <is>
          <t>Q3FY26</t>
        </is>
      </c>
      <c r="F798" t="inlineStr">
        <is>
          <t>02-Dec-2025</t>
        </is>
      </c>
      <c r="G798" t="inlineStr">
        <is>
          <t>Tuesday</t>
        </is>
      </c>
      <c r="H798" t="inlineStr">
        <is>
          <t>Weekly - Tuesday</t>
        </is>
      </c>
      <c r="I798" t="inlineStr">
        <is>
          <t>Weekly - Tuesday</t>
        </is>
      </c>
      <c r="J798" t="inlineStr">
        <is>
          <t>Month+1 Expiry</t>
        </is>
      </c>
      <c r="K798" s="25" t="n">
        <v>15013</v>
      </c>
      <c r="L798" s="26" t="n">
        <v>29.5178</v>
      </c>
      <c r="M798" s="26" t="n">
        <v>0.2038</v>
      </c>
    </row>
    <row r="799" ht="16" customHeight="1">
      <c r="A799" t="inlineStr">
        <is>
          <t>04-Nov-2025</t>
        </is>
      </c>
      <c r="B799" t="inlineStr">
        <is>
          <t>Tuesday</t>
        </is>
      </c>
      <c r="C799" t="inlineStr">
        <is>
          <t>Week1-Nov-2025</t>
        </is>
      </c>
      <c r="D799" s="78" t="n">
        <v>45962</v>
      </c>
      <c r="E799" t="inlineStr">
        <is>
          <t>Q3FY26</t>
        </is>
      </c>
      <c r="F799" t="inlineStr">
        <is>
          <t>30-Dec-2025</t>
        </is>
      </c>
      <c r="G799" t="inlineStr">
        <is>
          <t>Tuesday</t>
        </is>
      </c>
      <c r="H799" t="inlineStr">
        <is>
          <t>Monthly - Tuesday</t>
        </is>
      </c>
      <c r="I799" t="inlineStr">
        <is>
          <t>Monthly - Tuesday</t>
        </is>
      </c>
      <c r="J799" t="inlineStr">
        <is>
          <t>Month+1 Expiry</t>
        </is>
      </c>
      <c r="K799" s="25" t="n">
        <v>203788</v>
      </c>
      <c r="L799" s="26" t="n">
        <v>399.7457</v>
      </c>
      <c r="M799" s="26" t="n">
        <v>3.636</v>
      </c>
    </row>
    <row r="800" ht="16" customHeight="1">
      <c r="A800" t="inlineStr">
        <is>
          <t>04-Nov-2025</t>
        </is>
      </c>
      <c r="B800" t="inlineStr">
        <is>
          <t>Tuesday</t>
        </is>
      </c>
      <c r="C800" t="inlineStr">
        <is>
          <t>Week1-Nov-2025</t>
        </is>
      </c>
      <c r="D800" s="78" t="n">
        <v>45962</v>
      </c>
      <c r="E800" t="inlineStr">
        <is>
          <t>Q3FY26</t>
        </is>
      </c>
      <c r="F800" t="inlineStr">
        <is>
          <t>27-Jan-2026</t>
        </is>
      </c>
      <c r="G800" t="inlineStr">
        <is>
          <t>Tuesday</t>
        </is>
      </c>
      <c r="H800" t="inlineStr">
        <is>
          <t>Monthly - Tuesday</t>
        </is>
      </c>
      <c r="I800" t="inlineStr">
        <is>
          <t>Monthly - Tuesday</t>
        </is>
      </c>
      <c r="J800" t="inlineStr">
        <is>
          <t>Month+2 Expiry</t>
        </is>
      </c>
      <c r="K800" s="25" t="n">
        <v>32251</v>
      </c>
      <c r="L800" s="26" t="n">
        <v>55.0675</v>
      </c>
      <c r="M800" s="26" t="n">
        <v>0.7608</v>
      </c>
    </row>
    <row r="801" ht="16" customHeight="1">
      <c r="A801" t="inlineStr">
        <is>
          <t>04-Nov-2025</t>
        </is>
      </c>
      <c r="B801" t="inlineStr">
        <is>
          <t>Tuesday</t>
        </is>
      </c>
      <c r="C801" t="inlineStr">
        <is>
          <t>Week1-Nov-2025</t>
        </is>
      </c>
      <c r="D801" s="78" t="n">
        <v>45962</v>
      </c>
      <c r="E801" t="inlineStr">
        <is>
          <t>Q3FY26</t>
        </is>
      </c>
      <c r="F801" t="inlineStr">
        <is>
          <t>31-Mar-2026</t>
        </is>
      </c>
      <c r="G801" t="inlineStr">
        <is>
          <t>Tuesday</t>
        </is>
      </c>
      <c r="H801" t="inlineStr">
        <is>
          <t>Monthly - Tuesday</t>
        </is>
      </c>
      <c r="I801" t="inlineStr">
        <is>
          <t>Monthly - Tuesday</t>
        </is>
      </c>
      <c r="J801" t="inlineStr">
        <is>
          <t>Month+4 Expiry</t>
        </is>
      </c>
      <c r="K801" s="25" t="n">
        <v>23947</v>
      </c>
      <c r="L801" s="26" t="n">
        <v>48.2792</v>
      </c>
      <c r="M801" s="26" t="n">
        <v>0.6443</v>
      </c>
    </row>
    <row r="802" ht="16" customHeight="1">
      <c r="A802" t="inlineStr">
        <is>
          <t>04-Nov-2025</t>
        </is>
      </c>
      <c r="B802" t="inlineStr">
        <is>
          <t>Tuesday</t>
        </is>
      </c>
      <c r="C802" t="inlineStr">
        <is>
          <t>Week1-Nov-2025</t>
        </is>
      </c>
      <c r="D802" s="78" t="n">
        <v>45962</v>
      </c>
      <c r="E802" t="inlineStr">
        <is>
          <t>Q3FY26</t>
        </is>
      </c>
      <c r="F802" t="inlineStr">
        <is>
          <t>30-Jun-2026</t>
        </is>
      </c>
      <c r="G802" t="inlineStr">
        <is>
          <t>Tuesday</t>
        </is>
      </c>
      <c r="H802" t="inlineStr">
        <is>
          <t>Monthly - Tuesday</t>
        </is>
      </c>
      <c r="I802" t="inlineStr">
        <is>
          <t>Monthly - Tuesday</t>
        </is>
      </c>
      <c r="J802" t="inlineStr">
        <is>
          <t>Month+7 Expiry</t>
        </is>
      </c>
      <c r="K802" s="25" t="n">
        <v>8552</v>
      </c>
      <c r="L802" s="26" t="n">
        <v>17.8763</v>
      </c>
      <c r="M802" s="26" t="n">
        <v>0.3472</v>
      </c>
    </row>
    <row r="803" ht="16" customHeight="1">
      <c r="A803" t="inlineStr">
        <is>
          <t>04-Nov-2025</t>
        </is>
      </c>
      <c r="B803" t="inlineStr">
        <is>
          <t>Tuesday</t>
        </is>
      </c>
      <c r="C803" t="inlineStr">
        <is>
          <t>Week1-Nov-2025</t>
        </is>
      </c>
      <c r="D803" s="78" t="n">
        <v>45962</v>
      </c>
      <c r="E803" t="inlineStr">
        <is>
          <t>Q3FY26</t>
        </is>
      </c>
      <c r="F803" t="inlineStr">
        <is>
          <t>29-Sep-2026</t>
        </is>
      </c>
      <c r="G803" t="inlineStr">
        <is>
          <t>Tuesday</t>
        </is>
      </c>
      <c r="H803" t="inlineStr">
        <is>
          <t>Monthly - Tuesday</t>
        </is>
      </c>
      <c r="I803" t="inlineStr">
        <is>
          <t>Monthly - Tuesday</t>
        </is>
      </c>
      <c r="J803" t="inlineStr">
        <is>
          <t>Month+10 Expiry</t>
        </is>
      </c>
      <c r="K803" s="25" t="n">
        <v>10</v>
      </c>
      <c r="L803" s="26" t="n">
        <v>0.0181</v>
      </c>
      <c r="M803" s="26" t="n">
        <v>0.0002</v>
      </c>
    </row>
    <row r="804" ht="16" customHeight="1">
      <c r="A804" t="inlineStr">
        <is>
          <t>04-Nov-2025</t>
        </is>
      </c>
      <c r="B804" t="inlineStr">
        <is>
          <t>Tuesday</t>
        </is>
      </c>
      <c r="C804" t="inlineStr">
        <is>
          <t>Week1-Nov-2025</t>
        </is>
      </c>
      <c r="D804" s="78" t="n">
        <v>45962</v>
      </c>
      <c r="E804" t="inlineStr">
        <is>
          <t>Q3FY26</t>
        </is>
      </c>
      <c r="F804" t="inlineStr">
        <is>
          <t>29-Dec-2026</t>
        </is>
      </c>
      <c r="G804" t="inlineStr">
        <is>
          <t>Tuesday</t>
        </is>
      </c>
      <c r="H804" t="inlineStr">
        <is>
          <t>Monthly - Tuesday</t>
        </is>
      </c>
      <c r="I804" t="inlineStr">
        <is>
          <t>Monthly - Tuesday</t>
        </is>
      </c>
      <c r="J804" t="inlineStr">
        <is>
          <t>Month+13 Expiry</t>
        </is>
      </c>
      <c r="K804" s="25" t="n">
        <v>1833</v>
      </c>
      <c r="L804" s="26" t="n">
        <v>3.7556</v>
      </c>
      <c r="M804" s="26" t="n">
        <v>0.1336</v>
      </c>
    </row>
    <row r="805" ht="16" customHeight="1">
      <c r="A805" t="inlineStr">
        <is>
          <t>04-Nov-2025</t>
        </is>
      </c>
      <c r="B805" t="inlineStr">
        <is>
          <t>Tuesday</t>
        </is>
      </c>
      <c r="C805" t="inlineStr">
        <is>
          <t>Week1-Nov-2025</t>
        </is>
      </c>
      <c r="D805" s="78" t="n">
        <v>45962</v>
      </c>
      <c r="E805" t="inlineStr">
        <is>
          <t>Q3FY26</t>
        </is>
      </c>
      <c r="F805" t="inlineStr">
        <is>
          <t>29-Jun-2027</t>
        </is>
      </c>
      <c r="G805" t="inlineStr">
        <is>
          <t>Tuesday</t>
        </is>
      </c>
      <c r="H805" t="inlineStr">
        <is>
          <t>Monthly - Tuesday</t>
        </is>
      </c>
      <c r="I805" t="inlineStr">
        <is>
          <t>Monthly - Tuesday</t>
        </is>
      </c>
      <c r="J805" t="inlineStr">
        <is>
          <t>Month+19 Expiry</t>
        </is>
      </c>
      <c r="K805" s="25" t="n">
        <v>0</v>
      </c>
      <c r="L805" s="26" t="n">
        <v>0</v>
      </c>
      <c r="M805" s="26" t="n">
        <v>0</v>
      </c>
    </row>
    <row r="806" ht="16" customHeight="1">
      <c r="A806" t="inlineStr">
        <is>
          <t>04-Nov-2025</t>
        </is>
      </c>
      <c r="B806" t="inlineStr">
        <is>
          <t>Tuesday</t>
        </is>
      </c>
      <c r="C806" t="inlineStr">
        <is>
          <t>Week1-Nov-2025</t>
        </is>
      </c>
      <c r="D806" s="78" t="n">
        <v>45962</v>
      </c>
      <c r="E806" t="inlineStr">
        <is>
          <t>Q3FY26</t>
        </is>
      </c>
      <c r="F806" t="inlineStr">
        <is>
          <t>28-Dec-2027</t>
        </is>
      </c>
      <c r="G806" t="inlineStr">
        <is>
          <t>Tuesday</t>
        </is>
      </c>
      <c r="H806" t="inlineStr">
        <is>
          <t>Monthly - Tuesday</t>
        </is>
      </c>
      <c r="I806" t="inlineStr">
        <is>
          <t>Monthly - Tuesday</t>
        </is>
      </c>
      <c r="J806" t="inlineStr">
        <is>
          <t>Month+25 Expiry</t>
        </is>
      </c>
      <c r="K806" s="25" t="n">
        <v>7</v>
      </c>
      <c r="L806" s="26" t="n">
        <v>0.0134</v>
      </c>
      <c r="M806" s="26" t="n">
        <v>0.0005</v>
      </c>
    </row>
    <row r="807" ht="16" customHeight="1">
      <c r="A807" t="inlineStr">
        <is>
          <t>04-Nov-2025</t>
        </is>
      </c>
      <c r="B807" t="inlineStr">
        <is>
          <t>Tuesday</t>
        </is>
      </c>
      <c r="C807" t="inlineStr">
        <is>
          <t>Week1-Nov-2025</t>
        </is>
      </c>
      <c r="D807" s="78" t="n">
        <v>45962</v>
      </c>
      <c r="E807" t="inlineStr">
        <is>
          <t>Q3FY26</t>
        </is>
      </c>
      <c r="F807" t="inlineStr">
        <is>
          <t>27-Jun-2028</t>
        </is>
      </c>
      <c r="G807" t="inlineStr">
        <is>
          <t>Tuesday</t>
        </is>
      </c>
      <c r="H807" t="inlineStr">
        <is>
          <t>Monthly - Tuesday</t>
        </is>
      </c>
      <c r="I807" t="inlineStr">
        <is>
          <t>Monthly - Tuesday</t>
        </is>
      </c>
      <c r="J807" t="inlineStr">
        <is>
          <t>Month+31 Expiry</t>
        </is>
      </c>
      <c r="K807" s="25" t="n">
        <v>0</v>
      </c>
      <c r="L807" s="26" t="n">
        <v>0</v>
      </c>
      <c r="M807" s="26" t="n">
        <v>0</v>
      </c>
    </row>
    <row r="808" ht="16" customHeight="1">
      <c r="A808" t="inlineStr">
        <is>
          <t>04-Nov-2025</t>
        </is>
      </c>
      <c r="B808" t="inlineStr">
        <is>
          <t>Tuesday</t>
        </is>
      </c>
      <c r="C808" t="inlineStr">
        <is>
          <t>Week1-Nov-2025</t>
        </is>
      </c>
      <c r="D808" s="78" t="n">
        <v>45962</v>
      </c>
      <c r="E808" t="inlineStr">
        <is>
          <t>Q3FY26</t>
        </is>
      </c>
      <c r="F808" t="inlineStr">
        <is>
          <t>26-Dec-2028</t>
        </is>
      </c>
      <c r="G808" t="inlineStr">
        <is>
          <t>Tuesday</t>
        </is>
      </c>
      <c r="H808" t="inlineStr">
        <is>
          <t>Monthly - Tuesday</t>
        </is>
      </c>
      <c r="I808" t="inlineStr">
        <is>
          <t>Monthly - Tuesday</t>
        </is>
      </c>
      <c r="J808" t="inlineStr">
        <is>
          <t>Month+37 Expiry</t>
        </is>
      </c>
      <c r="K808" s="25" t="n">
        <v>4</v>
      </c>
      <c r="L808" s="26" t="n">
        <v>0.0078</v>
      </c>
      <c r="M808" s="26" t="n">
        <v>0.0003</v>
      </c>
    </row>
    <row r="809" ht="16" customHeight="1">
      <c r="A809" t="inlineStr">
        <is>
          <t>04-Nov-2025</t>
        </is>
      </c>
      <c r="B809" t="inlineStr">
        <is>
          <t>Tuesday</t>
        </is>
      </c>
      <c r="C809" t="inlineStr">
        <is>
          <t>Week1-Nov-2025</t>
        </is>
      </c>
      <c r="D809" s="78" t="n">
        <v>45962</v>
      </c>
      <c r="E809" t="inlineStr">
        <is>
          <t>Q3FY26</t>
        </is>
      </c>
      <c r="F809" t="inlineStr">
        <is>
          <t>26-Jun-2029</t>
        </is>
      </c>
      <c r="G809" t="inlineStr">
        <is>
          <t>Tuesday</t>
        </is>
      </c>
      <c r="H809" t="inlineStr">
        <is>
          <t>Monthly - Tuesday</t>
        </is>
      </c>
      <c r="I809" t="inlineStr">
        <is>
          <t>Monthly - Tuesday</t>
        </is>
      </c>
      <c r="J809" t="inlineStr">
        <is>
          <t>Month+43 Expiry</t>
        </is>
      </c>
      <c r="K809" s="25" t="n">
        <v>0</v>
      </c>
      <c r="L809" s="26" t="n">
        <v>0</v>
      </c>
      <c r="M809" s="26" t="n">
        <v>0</v>
      </c>
    </row>
    <row r="810" ht="16" customHeight="1">
      <c r="A810" t="inlineStr">
        <is>
          <t>04-Nov-2025</t>
        </is>
      </c>
      <c r="B810" t="inlineStr">
        <is>
          <t>Tuesday</t>
        </is>
      </c>
      <c r="C810" t="inlineStr">
        <is>
          <t>Week1-Nov-2025</t>
        </is>
      </c>
      <c r="D810" s="78" t="n">
        <v>45962</v>
      </c>
      <c r="E810" t="inlineStr">
        <is>
          <t>Q3FY26</t>
        </is>
      </c>
      <c r="F810" t="inlineStr">
        <is>
          <t>24-Dec-2029</t>
        </is>
      </c>
      <c r="G810" t="inlineStr">
        <is>
          <t>Monday</t>
        </is>
      </c>
      <c r="H810" t="inlineStr">
        <is>
          <t>Weekly - Monday</t>
        </is>
      </c>
      <c r="I810" t="inlineStr">
        <is>
          <t>Weekly - Monday</t>
        </is>
      </c>
      <c r="J810" t="inlineStr">
        <is>
          <t>Month+49 Expiry</t>
        </is>
      </c>
      <c r="K810" s="25" t="n">
        <v>0</v>
      </c>
      <c r="L810" s="26" t="n">
        <v>0</v>
      </c>
      <c r="M810" s="26" t="n">
        <v>0</v>
      </c>
    </row>
    <row r="811" ht="16" customHeight="1">
      <c r="A811" t="inlineStr">
        <is>
          <t>04-Nov-2025</t>
        </is>
      </c>
      <c r="B811" t="inlineStr">
        <is>
          <t>Tuesday</t>
        </is>
      </c>
      <c r="C811" t="inlineStr">
        <is>
          <t>Week1-Nov-2025</t>
        </is>
      </c>
      <c r="D811" s="78" t="n">
        <v>45962</v>
      </c>
      <c r="E811" t="inlineStr">
        <is>
          <t>Q3FY26</t>
        </is>
      </c>
      <c r="F811" t="inlineStr">
        <is>
          <t>25-Jun-2030</t>
        </is>
      </c>
      <c r="G811" t="inlineStr">
        <is>
          <t>Tuesday</t>
        </is>
      </c>
      <c r="H811" t="inlineStr">
        <is>
          <t>Monthly - Tuesday</t>
        </is>
      </c>
      <c r="I811" t="inlineStr">
        <is>
          <t>Monthly - Tuesday</t>
        </is>
      </c>
      <c r="J811" t="inlineStr">
        <is>
          <t>Month+55 Expiry</t>
        </is>
      </c>
      <c r="K811" s="25" t="n">
        <v>0</v>
      </c>
      <c r="L811" s="26" t="n">
        <v>0</v>
      </c>
      <c r="M811" s="26" t="n">
        <v>0</v>
      </c>
    </row>
    <row r="812" ht="16" customHeight="1">
      <c r="A812" t="inlineStr">
        <is>
          <t>06-Nov-2025</t>
        </is>
      </c>
      <c r="B812" t="inlineStr">
        <is>
          <t>Thursday</t>
        </is>
      </c>
      <c r="C812" t="inlineStr">
        <is>
          <t>Week1-Nov-2025</t>
        </is>
      </c>
      <c r="D812" s="78" t="n">
        <v>45962</v>
      </c>
      <c r="E812" t="inlineStr">
        <is>
          <t>Q3FY26</t>
        </is>
      </c>
      <c r="F812" t="inlineStr">
        <is>
          <t>11-Nov-2025</t>
        </is>
      </c>
      <c r="G812" t="inlineStr">
        <is>
          <t>Tuesday</t>
        </is>
      </c>
      <c r="H812" t="inlineStr">
        <is>
          <t>Weekly - Tuesday</t>
        </is>
      </c>
      <c r="I812" t="inlineStr">
        <is>
          <t>Weekly - Tuesday</t>
        </is>
      </c>
      <c r="J812" t="inlineStr">
        <is>
          <t>Same Month Expiry</t>
        </is>
      </c>
      <c r="K812" s="25" t="n">
        <v>54181826</v>
      </c>
      <c r="L812" s="26" t="n">
        <v>104580.6428</v>
      </c>
      <c r="M812" s="26" t="n">
        <v>263.7459</v>
      </c>
    </row>
    <row r="813" ht="16" customHeight="1">
      <c r="A813" t="inlineStr">
        <is>
          <t>06-Nov-2025</t>
        </is>
      </c>
      <c r="B813" t="inlineStr">
        <is>
          <t>Thursday</t>
        </is>
      </c>
      <c r="C813" t="inlineStr">
        <is>
          <t>Week1-Nov-2025</t>
        </is>
      </c>
      <c r="D813" s="78" t="n">
        <v>45962</v>
      </c>
      <c r="E813" t="inlineStr">
        <is>
          <t>Q3FY26</t>
        </is>
      </c>
      <c r="F813" t="inlineStr">
        <is>
          <t>18-Nov-2025</t>
        </is>
      </c>
      <c r="G813" t="inlineStr">
        <is>
          <t>Tuesday</t>
        </is>
      </c>
      <c r="H813" t="inlineStr">
        <is>
          <t>Weekly - Tuesday</t>
        </is>
      </c>
      <c r="I813" t="inlineStr">
        <is>
          <t>Weekly - Tuesday</t>
        </is>
      </c>
      <c r="J813" t="inlineStr">
        <is>
          <t>Same Month Expiry</t>
        </is>
      </c>
      <c r="K813" s="25" t="n">
        <v>1313434</v>
      </c>
      <c r="L813" s="26" t="n">
        <v>2549.5289</v>
      </c>
      <c r="M813" s="26" t="n">
        <v>9.5547</v>
      </c>
    </row>
    <row r="814" ht="16" customHeight="1">
      <c r="A814" t="inlineStr">
        <is>
          <t>06-Nov-2025</t>
        </is>
      </c>
      <c r="B814" t="inlineStr">
        <is>
          <t>Thursday</t>
        </is>
      </c>
      <c r="C814" t="inlineStr">
        <is>
          <t>Week1-Nov-2025</t>
        </is>
      </c>
      <c r="D814" s="78" t="n">
        <v>45962</v>
      </c>
      <c r="E814" t="inlineStr">
        <is>
          <t>Q3FY26</t>
        </is>
      </c>
      <c r="F814" t="inlineStr">
        <is>
          <t>25-Nov-2025</t>
        </is>
      </c>
      <c r="G814" t="inlineStr">
        <is>
          <t>Tuesday</t>
        </is>
      </c>
      <c r="H814" t="inlineStr">
        <is>
          <t>Monthly - Tuesday</t>
        </is>
      </c>
      <c r="I814" t="inlineStr">
        <is>
          <t>Monthly - Tuesday</t>
        </is>
      </c>
      <c r="J814" t="inlineStr">
        <is>
          <t>Same Month Expiry</t>
        </is>
      </c>
      <c r="K814" s="25" t="n">
        <v>1379802</v>
      </c>
      <c r="L814" s="26" t="n">
        <v>2682.6492</v>
      </c>
      <c r="M814" s="26" t="n">
        <v>16.0313</v>
      </c>
    </row>
    <row r="815" ht="16" customHeight="1">
      <c r="A815" t="inlineStr">
        <is>
          <t>06-Nov-2025</t>
        </is>
      </c>
      <c r="B815" t="inlineStr">
        <is>
          <t>Thursday</t>
        </is>
      </c>
      <c r="C815" t="inlineStr">
        <is>
          <t>Week1-Nov-2025</t>
        </is>
      </c>
      <c r="D815" s="78" t="n">
        <v>45962</v>
      </c>
      <c r="E815" t="inlineStr">
        <is>
          <t>Q3FY26</t>
        </is>
      </c>
      <c r="F815" t="inlineStr">
        <is>
          <t>02-Dec-2025</t>
        </is>
      </c>
      <c r="G815" t="inlineStr">
        <is>
          <t>Tuesday</t>
        </is>
      </c>
      <c r="H815" t="inlineStr">
        <is>
          <t>Weekly - Tuesday</t>
        </is>
      </c>
      <c r="I815" t="inlineStr">
        <is>
          <t>Weekly - Tuesday</t>
        </is>
      </c>
      <c r="J815" t="inlineStr">
        <is>
          <t>Month+1 Expiry</t>
        </is>
      </c>
      <c r="K815" s="25" t="n">
        <v>19510</v>
      </c>
      <c r="L815" s="26" t="n">
        <v>38.0424</v>
      </c>
      <c r="M815" s="26" t="n">
        <v>0.2316</v>
      </c>
    </row>
    <row r="816" ht="16" customHeight="1">
      <c r="A816" t="inlineStr">
        <is>
          <t>06-Nov-2025</t>
        </is>
      </c>
      <c r="B816" t="inlineStr">
        <is>
          <t>Thursday</t>
        </is>
      </c>
      <c r="C816" t="inlineStr">
        <is>
          <t>Week1-Nov-2025</t>
        </is>
      </c>
      <c r="D816" s="78" t="n">
        <v>45962</v>
      </c>
      <c r="E816" t="inlineStr">
        <is>
          <t>Q3FY26</t>
        </is>
      </c>
      <c r="F816" t="inlineStr">
        <is>
          <t>09-Dec-2025</t>
        </is>
      </c>
      <c r="G816" t="inlineStr">
        <is>
          <t>Tuesday</t>
        </is>
      </c>
      <c r="H816" t="inlineStr">
        <is>
          <t>Weekly - Tuesday</t>
        </is>
      </c>
      <c r="I816" t="inlineStr">
        <is>
          <t>Weekly - Tuesday</t>
        </is>
      </c>
      <c r="J816" t="inlineStr">
        <is>
          <t>Month+1 Expiry</t>
        </is>
      </c>
      <c r="K816" s="25" t="n">
        <v>893</v>
      </c>
      <c r="L816" s="26" t="n">
        <v>1.7355</v>
      </c>
      <c r="M816" s="26" t="n">
        <v>0.0178</v>
      </c>
    </row>
    <row r="817" ht="16" customHeight="1">
      <c r="A817" t="inlineStr">
        <is>
          <t>06-Nov-2025</t>
        </is>
      </c>
      <c r="B817" t="inlineStr">
        <is>
          <t>Thursday</t>
        </is>
      </c>
      <c r="C817" t="inlineStr">
        <is>
          <t>Week1-Nov-2025</t>
        </is>
      </c>
      <c r="D817" s="78" t="n">
        <v>45962</v>
      </c>
      <c r="E817" t="inlineStr">
        <is>
          <t>Q3FY26</t>
        </is>
      </c>
      <c r="F817" t="inlineStr">
        <is>
          <t>30-Dec-2025</t>
        </is>
      </c>
      <c r="G817" t="inlineStr">
        <is>
          <t>Tuesday</t>
        </is>
      </c>
      <c r="H817" t="inlineStr">
        <is>
          <t>Monthly - Tuesday</t>
        </is>
      </c>
      <c r="I817" t="inlineStr">
        <is>
          <t>Monthly - Tuesday</t>
        </is>
      </c>
      <c r="J817" t="inlineStr">
        <is>
          <t>Month+1 Expiry</t>
        </is>
      </c>
      <c r="K817" s="25" t="n">
        <v>256233</v>
      </c>
      <c r="L817" s="26" t="n">
        <v>500.2202</v>
      </c>
      <c r="M817" s="26" t="n">
        <v>5.0515</v>
      </c>
    </row>
    <row r="818" ht="16" customHeight="1">
      <c r="A818" t="inlineStr">
        <is>
          <t>06-Nov-2025</t>
        </is>
      </c>
      <c r="B818" t="inlineStr">
        <is>
          <t>Thursday</t>
        </is>
      </c>
      <c r="C818" t="inlineStr">
        <is>
          <t>Week1-Nov-2025</t>
        </is>
      </c>
      <c r="D818" s="78" t="n">
        <v>45962</v>
      </c>
      <c r="E818" t="inlineStr">
        <is>
          <t>Q3FY26</t>
        </is>
      </c>
      <c r="F818" t="inlineStr">
        <is>
          <t>27-Jan-2026</t>
        </is>
      </c>
      <c r="G818" t="inlineStr">
        <is>
          <t>Tuesday</t>
        </is>
      </c>
      <c r="H818" t="inlineStr">
        <is>
          <t>Monthly - Tuesday</t>
        </is>
      </c>
      <c r="I818" t="inlineStr">
        <is>
          <t>Monthly - Tuesday</t>
        </is>
      </c>
      <c r="J818" t="inlineStr">
        <is>
          <t>Month+2 Expiry</t>
        </is>
      </c>
      <c r="K818" s="25" t="n">
        <v>24861</v>
      </c>
      <c r="L818" s="26" t="n">
        <v>42.176</v>
      </c>
      <c r="M818" s="26" t="n">
        <v>0.4932</v>
      </c>
    </row>
    <row r="819" ht="16" customHeight="1">
      <c r="A819" t="inlineStr">
        <is>
          <t>06-Nov-2025</t>
        </is>
      </c>
      <c r="B819" t="inlineStr">
        <is>
          <t>Thursday</t>
        </is>
      </c>
      <c r="C819" t="inlineStr">
        <is>
          <t>Week1-Nov-2025</t>
        </is>
      </c>
      <c r="D819" s="78" t="n">
        <v>45962</v>
      </c>
      <c r="E819" t="inlineStr">
        <is>
          <t>Q3FY26</t>
        </is>
      </c>
      <c r="F819" t="inlineStr">
        <is>
          <t>31-Mar-2026</t>
        </is>
      </c>
      <c r="G819" t="inlineStr">
        <is>
          <t>Tuesday</t>
        </is>
      </c>
      <c r="H819" t="inlineStr">
        <is>
          <t>Monthly - Tuesday</t>
        </is>
      </c>
      <c r="I819" t="inlineStr">
        <is>
          <t>Monthly - Tuesday</t>
        </is>
      </c>
      <c r="J819" t="inlineStr">
        <is>
          <t>Month+4 Expiry</t>
        </is>
      </c>
      <c r="K819" s="25" t="n">
        <v>19340</v>
      </c>
      <c r="L819" s="26" t="n">
        <v>38.633</v>
      </c>
      <c r="M819" s="26" t="n">
        <v>0.6025</v>
      </c>
    </row>
    <row r="820" ht="16" customHeight="1">
      <c r="A820" t="inlineStr">
        <is>
          <t>06-Nov-2025</t>
        </is>
      </c>
      <c r="B820" t="inlineStr">
        <is>
          <t>Thursday</t>
        </is>
      </c>
      <c r="C820" t="inlineStr">
        <is>
          <t>Week1-Nov-2025</t>
        </is>
      </c>
      <c r="D820" s="78" t="n">
        <v>45962</v>
      </c>
      <c r="E820" t="inlineStr">
        <is>
          <t>Q3FY26</t>
        </is>
      </c>
      <c r="F820" t="inlineStr">
        <is>
          <t>30-Jun-2026</t>
        </is>
      </c>
      <c r="G820" t="inlineStr">
        <is>
          <t>Tuesday</t>
        </is>
      </c>
      <c r="H820" t="inlineStr">
        <is>
          <t>Monthly - Tuesday</t>
        </is>
      </c>
      <c r="I820" t="inlineStr">
        <is>
          <t>Monthly - Tuesday</t>
        </is>
      </c>
      <c r="J820" t="inlineStr">
        <is>
          <t>Month+7 Expiry</t>
        </is>
      </c>
      <c r="K820" s="25" t="n">
        <v>5578</v>
      </c>
      <c r="L820" s="26" t="n">
        <v>10.8704</v>
      </c>
      <c r="M820" s="26" t="n">
        <v>0.2254</v>
      </c>
    </row>
    <row r="821" ht="16" customHeight="1">
      <c r="A821" t="inlineStr">
        <is>
          <t>06-Nov-2025</t>
        </is>
      </c>
      <c r="B821" t="inlineStr">
        <is>
          <t>Thursday</t>
        </is>
      </c>
      <c r="C821" t="inlineStr">
        <is>
          <t>Week1-Nov-2025</t>
        </is>
      </c>
      <c r="D821" s="78" t="n">
        <v>45962</v>
      </c>
      <c r="E821" t="inlineStr">
        <is>
          <t>Q3FY26</t>
        </is>
      </c>
      <c r="F821" t="inlineStr">
        <is>
          <t>29-Sep-2026</t>
        </is>
      </c>
      <c r="G821" t="inlineStr">
        <is>
          <t>Tuesday</t>
        </is>
      </c>
      <c r="H821" t="inlineStr">
        <is>
          <t>Monthly - Tuesday</t>
        </is>
      </c>
      <c r="I821" t="inlineStr">
        <is>
          <t>Monthly - Tuesday</t>
        </is>
      </c>
      <c r="J821" t="inlineStr">
        <is>
          <t>Month+10 Expiry</t>
        </is>
      </c>
      <c r="K821" s="25" t="n">
        <v>79</v>
      </c>
      <c r="L821" s="26" t="n">
        <v>0.1515</v>
      </c>
      <c r="M821" s="26" t="n">
        <v>0.004</v>
      </c>
    </row>
    <row r="822" ht="16" customHeight="1">
      <c r="A822" t="inlineStr">
        <is>
          <t>06-Nov-2025</t>
        </is>
      </c>
      <c r="B822" t="inlineStr">
        <is>
          <t>Thursday</t>
        </is>
      </c>
      <c r="C822" t="inlineStr">
        <is>
          <t>Week1-Nov-2025</t>
        </is>
      </c>
      <c r="D822" s="78" t="n">
        <v>45962</v>
      </c>
      <c r="E822" t="inlineStr">
        <is>
          <t>Q3FY26</t>
        </is>
      </c>
      <c r="F822" t="inlineStr">
        <is>
          <t>29-Dec-2026</t>
        </is>
      </c>
      <c r="G822" t="inlineStr">
        <is>
          <t>Tuesday</t>
        </is>
      </c>
      <c r="H822" t="inlineStr">
        <is>
          <t>Monthly - Tuesday</t>
        </is>
      </c>
      <c r="I822" t="inlineStr">
        <is>
          <t>Monthly - Tuesday</t>
        </is>
      </c>
      <c r="J822" t="inlineStr">
        <is>
          <t>Month+13 Expiry</t>
        </is>
      </c>
      <c r="K822" s="25" t="n">
        <v>2302</v>
      </c>
      <c r="L822" s="26" t="n">
        <v>4.633</v>
      </c>
      <c r="M822" s="26" t="n">
        <v>0.1552</v>
      </c>
    </row>
    <row r="823" ht="16" customHeight="1">
      <c r="A823" t="inlineStr">
        <is>
          <t>06-Nov-2025</t>
        </is>
      </c>
      <c r="B823" t="inlineStr">
        <is>
          <t>Thursday</t>
        </is>
      </c>
      <c r="C823" t="inlineStr">
        <is>
          <t>Week1-Nov-2025</t>
        </is>
      </c>
      <c r="D823" s="78" t="n">
        <v>45962</v>
      </c>
      <c r="E823" t="inlineStr">
        <is>
          <t>Q3FY26</t>
        </is>
      </c>
      <c r="F823" t="inlineStr">
        <is>
          <t>29-Jun-2027</t>
        </is>
      </c>
      <c r="G823" t="inlineStr">
        <is>
          <t>Tuesday</t>
        </is>
      </c>
      <c r="H823" t="inlineStr">
        <is>
          <t>Monthly - Tuesday</t>
        </is>
      </c>
      <c r="I823" t="inlineStr">
        <is>
          <t>Monthly - Tuesday</t>
        </is>
      </c>
      <c r="J823" t="inlineStr">
        <is>
          <t>Month+19 Expiry</t>
        </is>
      </c>
      <c r="K823" s="25" t="n">
        <v>1</v>
      </c>
      <c r="L823" s="26" t="n">
        <v>0.0016</v>
      </c>
      <c r="M823" s="26" t="n">
        <v>0</v>
      </c>
    </row>
    <row r="824" ht="16" customHeight="1">
      <c r="A824" t="inlineStr">
        <is>
          <t>06-Nov-2025</t>
        </is>
      </c>
      <c r="B824" t="inlineStr">
        <is>
          <t>Thursday</t>
        </is>
      </c>
      <c r="C824" t="inlineStr">
        <is>
          <t>Week1-Nov-2025</t>
        </is>
      </c>
      <c r="D824" s="78" t="n">
        <v>45962</v>
      </c>
      <c r="E824" t="inlineStr">
        <is>
          <t>Q3FY26</t>
        </is>
      </c>
      <c r="F824" t="inlineStr">
        <is>
          <t>28-Dec-2027</t>
        </is>
      </c>
      <c r="G824" t="inlineStr">
        <is>
          <t>Tuesday</t>
        </is>
      </c>
      <c r="H824" t="inlineStr">
        <is>
          <t>Monthly - Tuesday</t>
        </is>
      </c>
      <c r="I824" t="inlineStr">
        <is>
          <t>Monthly - Tuesday</t>
        </is>
      </c>
      <c r="J824" t="inlineStr">
        <is>
          <t>Month+25 Expiry</t>
        </is>
      </c>
      <c r="K824" s="25" t="n">
        <v>20</v>
      </c>
      <c r="L824" s="26" t="n">
        <v>0.0371</v>
      </c>
      <c r="M824" s="26" t="n">
        <v>0.0012</v>
      </c>
    </row>
    <row r="825" ht="16" customHeight="1">
      <c r="A825" t="inlineStr">
        <is>
          <t>06-Nov-2025</t>
        </is>
      </c>
      <c r="B825" t="inlineStr">
        <is>
          <t>Thursday</t>
        </is>
      </c>
      <c r="C825" t="inlineStr">
        <is>
          <t>Week1-Nov-2025</t>
        </is>
      </c>
      <c r="D825" s="78" t="n">
        <v>45962</v>
      </c>
      <c r="E825" t="inlineStr">
        <is>
          <t>Q3FY26</t>
        </is>
      </c>
      <c r="F825" t="inlineStr">
        <is>
          <t>27-Jun-2028</t>
        </is>
      </c>
      <c r="G825" t="inlineStr">
        <is>
          <t>Tuesday</t>
        </is>
      </c>
      <c r="H825" t="inlineStr">
        <is>
          <t>Monthly - Tuesday</t>
        </is>
      </c>
      <c r="I825" t="inlineStr">
        <is>
          <t>Monthly - Tuesday</t>
        </is>
      </c>
      <c r="J825" t="inlineStr">
        <is>
          <t>Month+31 Expiry</t>
        </is>
      </c>
      <c r="K825" s="25" t="n">
        <v>0</v>
      </c>
      <c r="L825" s="26" t="n">
        <v>0</v>
      </c>
      <c r="M825" s="26" t="n">
        <v>0</v>
      </c>
    </row>
    <row r="826" ht="16" customHeight="1">
      <c r="A826" t="inlineStr">
        <is>
          <t>06-Nov-2025</t>
        </is>
      </c>
      <c r="B826" t="inlineStr">
        <is>
          <t>Thursday</t>
        </is>
      </c>
      <c r="C826" t="inlineStr">
        <is>
          <t>Week1-Nov-2025</t>
        </is>
      </c>
      <c r="D826" s="78" t="n">
        <v>45962</v>
      </c>
      <c r="E826" t="inlineStr">
        <is>
          <t>Q3FY26</t>
        </is>
      </c>
      <c r="F826" t="inlineStr">
        <is>
          <t>26-Dec-2028</t>
        </is>
      </c>
      <c r="G826" t="inlineStr">
        <is>
          <t>Tuesday</t>
        </is>
      </c>
      <c r="H826" t="inlineStr">
        <is>
          <t>Monthly - Tuesday</t>
        </is>
      </c>
      <c r="I826" t="inlineStr">
        <is>
          <t>Monthly - Tuesday</t>
        </is>
      </c>
      <c r="J826" t="inlineStr">
        <is>
          <t>Month+37 Expiry</t>
        </is>
      </c>
      <c r="K826" s="25" t="n">
        <v>1</v>
      </c>
      <c r="L826" s="26" t="n">
        <v>0.0021</v>
      </c>
      <c r="M826" s="26" t="n">
        <v>0.0001</v>
      </c>
    </row>
    <row r="827" ht="16" customHeight="1">
      <c r="A827" t="inlineStr">
        <is>
          <t>06-Nov-2025</t>
        </is>
      </c>
      <c r="B827" t="inlineStr">
        <is>
          <t>Thursday</t>
        </is>
      </c>
      <c r="C827" t="inlineStr">
        <is>
          <t>Week1-Nov-2025</t>
        </is>
      </c>
      <c r="D827" s="78" t="n">
        <v>45962</v>
      </c>
      <c r="E827" t="inlineStr">
        <is>
          <t>Q3FY26</t>
        </is>
      </c>
      <c r="F827" t="inlineStr">
        <is>
          <t>26-Jun-2029</t>
        </is>
      </c>
      <c r="G827" t="inlineStr">
        <is>
          <t>Tuesday</t>
        </is>
      </c>
      <c r="H827" t="inlineStr">
        <is>
          <t>Monthly - Tuesday</t>
        </is>
      </c>
      <c r="I827" t="inlineStr">
        <is>
          <t>Monthly - Tuesday</t>
        </is>
      </c>
      <c r="J827" t="inlineStr">
        <is>
          <t>Month+43 Expiry</t>
        </is>
      </c>
      <c r="K827" s="25" t="n">
        <v>0</v>
      </c>
      <c r="L827" s="26" t="n">
        <v>0</v>
      </c>
      <c r="M827" s="26" t="n">
        <v>0</v>
      </c>
    </row>
    <row r="828" ht="16" customHeight="1">
      <c r="A828" t="inlineStr">
        <is>
          <t>06-Nov-2025</t>
        </is>
      </c>
      <c r="B828" t="inlineStr">
        <is>
          <t>Thursday</t>
        </is>
      </c>
      <c r="C828" t="inlineStr">
        <is>
          <t>Week1-Nov-2025</t>
        </is>
      </c>
      <c r="D828" s="78" t="n">
        <v>45962</v>
      </c>
      <c r="E828" t="inlineStr">
        <is>
          <t>Q3FY26</t>
        </is>
      </c>
      <c r="F828" t="inlineStr">
        <is>
          <t>24-Dec-2029</t>
        </is>
      </c>
      <c r="G828" t="inlineStr">
        <is>
          <t>Monday</t>
        </is>
      </c>
      <c r="H828" t="inlineStr">
        <is>
          <t>Weekly - Monday</t>
        </is>
      </c>
      <c r="I828" t="inlineStr">
        <is>
          <t>Weekly - Monday</t>
        </is>
      </c>
      <c r="J828" t="inlineStr">
        <is>
          <t>Month+49 Expiry</t>
        </is>
      </c>
      <c r="K828" s="25" t="n">
        <v>0</v>
      </c>
      <c r="L828" s="26" t="n">
        <v>0</v>
      </c>
      <c r="M828" s="26" t="n">
        <v>0</v>
      </c>
    </row>
    <row r="829" ht="16" customHeight="1">
      <c r="A829" t="inlineStr">
        <is>
          <t>06-Nov-2025</t>
        </is>
      </c>
      <c r="B829" t="inlineStr">
        <is>
          <t>Thursday</t>
        </is>
      </c>
      <c r="C829" t="inlineStr">
        <is>
          <t>Week1-Nov-2025</t>
        </is>
      </c>
      <c r="D829" s="78" t="n">
        <v>45962</v>
      </c>
      <c r="E829" t="inlineStr">
        <is>
          <t>Q3FY26</t>
        </is>
      </c>
      <c r="F829" t="inlineStr">
        <is>
          <t>25-Jun-2030</t>
        </is>
      </c>
      <c r="G829" t="inlineStr">
        <is>
          <t>Tuesday</t>
        </is>
      </c>
      <c r="H829" t="inlineStr">
        <is>
          <t>Monthly - Tuesday</t>
        </is>
      </c>
      <c r="I829" t="inlineStr">
        <is>
          <t>Monthly - Tuesday</t>
        </is>
      </c>
      <c r="J829" t="inlineStr">
        <is>
          <t>Month+55 Expiry</t>
        </is>
      </c>
      <c r="K829" s="25" t="n">
        <v>0</v>
      </c>
      <c r="L829" s="26" t="n">
        <v>0</v>
      </c>
      <c r="M829" s="26" t="n">
        <v>0</v>
      </c>
    </row>
    <row r="830" ht="16" customHeight="1">
      <c r="A830" t="inlineStr">
        <is>
          <t>07-Nov-2025</t>
        </is>
      </c>
      <c r="B830" t="inlineStr">
        <is>
          <t>Friday</t>
        </is>
      </c>
      <c r="C830" t="inlineStr">
        <is>
          <t>Week1-Nov-2025</t>
        </is>
      </c>
      <c r="D830" s="78" t="n">
        <v>45962</v>
      </c>
      <c r="E830" t="inlineStr">
        <is>
          <t>Q3FY26</t>
        </is>
      </c>
      <c r="F830" t="inlineStr">
        <is>
          <t>11-Nov-2025</t>
        </is>
      </c>
      <c r="G830" t="inlineStr">
        <is>
          <t>Tuesday</t>
        </is>
      </c>
      <c r="H830" t="inlineStr">
        <is>
          <t>Weekly - Tuesday</t>
        </is>
      </c>
      <c r="I830" t="inlineStr">
        <is>
          <t>Weekly - Tuesday</t>
        </is>
      </c>
      <c r="J830" t="inlineStr">
        <is>
          <t>Same Month Expiry</t>
        </is>
      </c>
      <c r="K830" s="25" t="n">
        <v>110646410</v>
      </c>
      <c r="L830" s="26" t="n">
        <v>211982.0611</v>
      </c>
      <c r="M830" s="26" t="n">
        <v>453.9075</v>
      </c>
    </row>
    <row r="831" ht="16" customHeight="1">
      <c r="A831" t="inlineStr">
        <is>
          <t>07-Nov-2025</t>
        </is>
      </c>
      <c r="B831" t="inlineStr">
        <is>
          <t>Friday</t>
        </is>
      </c>
      <c r="C831" t="inlineStr">
        <is>
          <t>Week1-Nov-2025</t>
        </is>
      </c>
      <c r="D831" s="78" t="n">
        <v>45962</v>
      </c>
      <c r="E831" t="inlineStr">
        <is>
          <t>Q3FY26</t>
        </is>
      </c>
      <c r="F831" t="inlineStr">
        <is>
          <t>18-Nov-2025</t>
        </is>
      </c>
      <c r="G831" t="inlineStr">
        <is>
          <t>Tuesday</t>
        </is>
      </c>
      <c r="H831" t="inlineStr">
        <is>
          <t>Weekly - Tuesday</t>
        </is>
      </c>
      <c r="I831" t="inlineStr">
        <is>
          <t>Weekly - Tuesday</t>
        </is>
      </c>
      <c r="J831" t="inlineStr">
        <is>
          <t>Same Month Expiry</t>
        </is>
      </c>
      <c r="K831" s="25" t="n">
        <v>2318818</v>
      </c>
      <c r="L831" s="26" t="n">
        <v>4466.0752</v>
      </c>
      <c r="M831" s="26" t="n">
        <v>15.9789</v>
      </c>
    </row>
    <row r="832" ht="16" customHeight="1">
      <c r="A832" t="inlineStr">
        <is>
          <t>07-Nov-2025</t>
        </is>
      </c>
      <c r="B832" t="inlineStr">
        <is>
          <t>Friday</t>
        </is>
      </c>
      <c r="C832" t="inlineStr">
        <is>
          <t>Week1-Nov-2025</t>
        </is>
      </c>
      <c r="D832" s="78" t="n">
        <v>45962</v>
      </c>
      <c r="E832" t="inlineStr">
        <is>
          <t>Q3FY26</t>
        </is>
      </c>
      <c r="F832" t="inlineStr">
        <is>
          <t>25-Nov-2025</t>
        </is>
      </c>
      <c r="G832" t="inlineStr">
        <is>
          <t>Tuesday</t>
        </is>
      </c>
      <c r="H832" t="inlineStr">
        <is>
          <t>Monthly - Tuesday</t>
        </is>
      </c>
      <c r="I832" t="inlineStr">
        <is>
          <t>Monthly - Tuesday</t>
        </is>
      </c>
      <c r="J832" t="inlineStr">
        <is>
          <t>Same Month Expiry</t>
        </is>
      </c>
      <c r="K832" s="25" t="n">
        <v>1940295</v>
      </c>
      <c r="L832" s="26" t="n">
        <v>3750.7327</v>
      </c>
      <c r="M832" s="26" t="n">
        <v>21.8032</v>
      </c>
    </row>
    <row r="833" ht="16" customHeight="1">
      <c r="A833" t="inlineStr">
        <is>
          <t>07-Nov-2025</t>
        </is>
      </c>
      <c r="B833" t="inlineStr">
        <is>
          <t>Friday</t>
        </is>
      </c>
      <c r="C833" t="inlineStr">
        <is>
          <t>Week1-Nov-2025</t>
        </is>
      </c>
      <c r="D833" s="78" t="n">
        <v>45962</v>
      </c>
      <c r="E833" t="inlineStr">
        <is>
          <t>Q3FY26</t>
        </is>
      </c>
      <c r="F833" t="inlineStr">
        <is>
          <t>02-Dec-2025</t>
        </is>
      </c>
      <c r="G833" t="inlineStr">
        <is>
          <t>Tuesday</t>
        </is>
      </c>
      <c r="H833" t="inlineStr">
        <is>
          <t>Weekly - Tuesday</t>
        </is>
      </c>
      <c r="I833" t="inlineStr">
        <is>
          <t>Weekly - Tuesday</t>
        </is>
      </c>
      <c r="J833" t="inlineStr">
        <is>
          <t>Month+1 Expiry</t>
        </is>
      </c>
      <c r="K833" s="25" t="n">
        <v>32635</v>
      </c>
      <c r="L833" s="26" t="n">
        <v>63.4781</v>
      </c>
      <c r="M833" s="26" t="n">
        <v>0.3571</v>
      </c>
    </row>
    <row r="834" ht="16" customHeight="1">
      <c r="A834" t="inlineStr">
        <is>
          <t>07-Nov-2025</t>
        </is>
      </c>
      <c r="B834" t="inlineStr">
        <is>
          <t>Friday</t>
        </is>
      </c>
      <c r="C834" t="inlineStr">
        <is>
          <t>Week1-Nov-2025</t>
        </is>
      </c>
      <c r="D834" s="78" t="n">
        <v>45962</v>
      </c>
      <c r="E834" t="inlineStr">
        <is>
          <t>Q3FY26</t>
        </is>
      </c>
      <c r="F834" t="inlineStr">
        <is>
          <t>09-Dec-2025</t>
        </is>
      </c>
      <c r="G834" t="inlineStr">
        <is>
          <t>Tuesday</t>
        </is>
      </c>
      <c r="H834" t="inlineStr">
        <is>
          <t>Weekly - Tuesday</t>
        </is>
      </c>
      <c r="I834" t="inlineStr">
        <is>
          <t>Weekly - Tuesday</t>
        </is>
      </c>
      <c r="J834" t="inlineStr">
        <is>
          <t>Month+1 Expiry</t>
        </is>
      </c>
      <c r="K834" s="25" t="n">
        <v>3826</v>
      </c>
      <c r="L834" s="26" t="n">
        <v>7.4139</v>
      </c>
      <c r="M834" s="26" t="n">
        <v>0.0606</v>
      </c>
    </row>
    <row r="835" ht="16" customHeight="1">
      <c r="A835" t="inlineStr">
        <is>
          <t>07-Nov-2025</t>
        </is>
      </c>
      <c r="B835" t="inlineStr">
        <is>
          <t>Friday</t>
        </is>
      </c>
      <c r="C835" t="inlineStr">
        <is>
          <t>Week1-Nov-2025</t>
        </is>
      </c>
      <c r="D835" s="78" t="n">
        <v>45962</v>
      </c>
      <c r="E835" t="inlineStr">
        <is>
          <t>Q3FY26</t>
        </is>
      </c>
      <c r="F835" t="inlineStr">
        <is>
          <t>30-Dec-2025</t>
        </is>
      </c>
      <c r="G835" t="inlineStr">
        <is>
          <t>Tuesday</t>
        </is>
      </c>
      <c r="H835" t="inlineStr">
        <is>
          <t>Monthly - Tuesday</t>
        </is>
      </c>
      <c r="I835" t="inlineStr">
        <is>
          <t>Monthly - Tuesday</t>
        </is>
      </c>
      <c r="J835" t="inlineStr">
        <is>
          <t>Month+1 Expiry</t>
        </is>
      </c>
      <c r="K835" s="25" t="n">
        <v>344384</v>
      </c>
      <c r="L835" s="26" t="n">
        <v>670.8588</v>
      </c>
      <c r="M835" s="26" t="n">
        <v>6.2416</v>
      </c>
    </row>
    <row r="836" ht="16" customHeight="1">
      <c r="A836" t="inlineStr">
        <is>
          <t>07-Nov-2025</t>
        </is>
      </c>
      <c r="B836" t="inlineStr">
        <is>
          <t>Friday</t>
        </is>
      </c>
      <c r="C836" t="inlineStr">
        <is>
          <t>Week1-Nov-2025</t>
        </is>
      </c>
      <c r="D836" s="78" t="n">
        <v>45962</v>
      </c>
      <c r="E836" t="inlineStr">
        <is>
          <t>Q3FY26</t>
        </is>
      </c>
      <c r="F836" t="inlineStr">
        <is>
          <t>27-Jan-2026</t>
        </is>
      </c>
      <c r="G836" t="inlineStr">
        <is>
          <t>Tuesday</t>
        </is>
      </c>
      <c r="H836" t="inlineStr">
        <is>
          <t>Monthly - Tuesday</t>
        </is>
      </c>
      <c r="I836" t="inlineStr">
        <is>
          <t>Monthly - Tuesday</t>
        </is>
      </c>
      <c r="J836" t="inlineStr">
        <is>
          <t>Month+2 Expiry</t>
        </is>
      </c>
      <c r="K836" s="25" t="n">
        <v>34430</v>
      </c>
      <c r="L836" s="26" t="n">
        <v>58.4276</v>
      </c>
      <c r="M836" s="26" t="n">
        <v>0.5883</v>
      </c>
    </row>
    <row r="837" ht="16" customHeight="1">
      <c r="A837" t="inlineStr">
        <is>
          <t>07-Nov-2025</t>
        </is>
      </c>
      <c r="B837" t="inlineStr">
        <is>
          <t>Friday</t>
        </is>
      </c>
      <c r="C837" t="inlineStr">
        <is>
          <t>Week1-Nov-2025</t>
        </is>
      </c>
      <c r="D837" s="78" t="n">
        <v>45962</v>
      </c>
      <c r="E837" t="inlineStr">
        <is>
          <t>Q3FY26</t>
        </is>
      </c>
      <c r="F837" t="inlineStr">
        <is>
          <t>31-Mar-2026</t>
        </is>
      </c>
      <c r="G837" t="inlineStr">
        <is>
          <t>Tuesday</t>
        </is>
      </c>
      <c r="H837" t="inlineStr">
        <is>
          <t>Monthly - Tuesday</t>
        </is>
      </c>
      <c r="I837" t="inlineStr">
        <is>
          <t>Monthly - Tuesday</t>
        </is>
      </c>
      <c r="J837" t="inlineStr">
        <is>
          <t>Month+4 Expiry</t>
        </is>
      </c>
      <c r="K837" s="25" t="n">
        <v>27874</v>
      </c>
      <c r="L837" s="26" t="n">
        <v>55.6293</v>
      </c>
      <c r="M837" s="26" t="n">
        <v>0.894</v>
      </c>
    </row>
    <row r="838" ht="16" customHeight="1">
      <c r="A838" t="inlineStr">
        <is>
          <t>07-Nov-2025</t>
        </is>
      </c>
      <c r="B838" t="inlineStr">
        <is>
          <t>Friday</t>
        </is>
      </c>
      <c r="C838" t="inlineStr">
        <is>
          <t>Week1-Nov-2025</t>
        </is>
      </c>
      <c r="D838" s="78" t="n">
        <v>45962</v>
      </c>
      <c r="E838" t="inlineStr">
        <is>
          <t>Q3FY26</t>
        </is>
      </c>
      <c r="F838" t="inlineStr">
        <is>
          <t>30-Jun-2026</t>
        </is>
      </c>
      <c r="G838" t="inlineStr">
        <is>
          <t>Tuesday</t>
        </is>
      </c>
      <c r="H838" t="inlineStr">
        <is>
          <t>Monthly - Tuesday</t>
        </is>
      </c>
      <c r="I838" t="inlineStr">
        <is>
          <t>Monthly - Tuesday</t>
        </is>
      </c>
      <c r="J838" t="inlineStr">
        <is>
          <t>Month+7 Expiry</t>
        </is>
      </c>
      <c r="K838" s="25" t="n">
        <v>5549</v>
      </c>
      <c r="L838" s="26" t="n">
        <v>11.0086</v>
      </c>
      <c r="M838" s="26" t="n">
        <v>0.2569</v>
      </c>
    </row>
    <row r="839" ht="16" customHeight="1">
      <c r="A839" t="inlineStr">
        <is>
          <t>07-Nov-2025</t>
        </is>
      </c>
      <c r="B839" t="inlineStr">
        <is>
          <t>Friday</t>
        </is>
      </c>
      <c r="C839" t="inlineStr">
        <is>
          <t>Week1-Nov-2025</t>
        </is>
      </c>
      <c r="D839" s="78" t="n">
        <v>45962</v>
      </c>
      <c r="E839" t="inlineStr">
        <is>
          <t>Q3FY26</t>
        </is>
      </c>
      <c r="F839" t="inlineStr">
        <is>
          <t>29-Sep-2026</t>
        </is>
      </c>
      <c r="G839" t="inlineStr">
        <is>
          <t>Tuesday</t>
        </is>
      </c>
      <c r="H839" t="inlineStr">
        <is>
          <t>Monthly - Tuesday</t>
        </is>
      </c>
      <c r="I839" t="inlineStr">
        <is>
          <t>Monthly - Tuesday</t>
        </is>
      </c>
      <c r="J839" t="inlineStr">
        <is>
          <t>Month+10 Expiry</t>
        </is>
      </c>
      <c r="K839" s="25" t="n">
        <v>36</v>
      </c>
      <c r="L839" s="26" t="n">
        <v>0.0687</v>
      </c>
      <c r="M839" s="26" t="n">
        <v>0.0013</v>
      </c>
    </row>
    <row r="840" ht="16" customHeight="1">
      <c r="A840" t="inlineStr">
        <is>
          <t>07-Nov-2025</t>
        </is>
      </c>
      <c r="B840" t="inlineStr">
        <is>
          <t>Friday</t>
        </is>
      </c>
      <c r="C840" t="inlineStr">
        <is>
          <t>Week1-Nov-2025</t>
        </is>
      </c>
      <c r="D840" s="78" t="n">
        <v>45962</v>
      </c>
      <c r="E840" t="inlineStr">
        <is>
          <t>Q3FY26</t>
        </is>
      </c>
      <c r="F840" t="inlineStr">
        <is>
          <t>29-Dec-2026</t>
        </is>
      </c>
      <c r="G840" t="inlineStr">
        <is>
          <t>Tuesday</t>
        </is>
      </c>
      <c r="H840" t="inlineStr">
        <is>
          <t>Monthly - Tuesday</t>
        </is>
      </c>
      <c r="I840" t="inlineStr">
        <is>
          <t>Monthly - Tuesday</t>
        </is>
      </c>
      <c r="J840" t="inlineStr">
        <is>
          <t>Month+13 Expiry</t>
        </is>
      </c>
      <c r="K840" s="25" t="n">
        <v>2675</v>
      </c>
      <c r="L840" s="26" t="n">
        <v>5.3774</v>
      </c>
      <c r="M840" s="26" t="n">
        <v>0.1832</v>
      </c>
    </row>
    <row r="841" ht="16" customHeight="1">
      <c r="A841" t="inlineStr">
        <is>
          <t>07-Nov-2025</t>
        </is>
      </c>
      <c r="B841" t="inlineStr">
        <is>
          <t>Friday</t>
        </is>
      </c>
      <c r="C841" t="inlineStr">
        <is>
          <t>Week1-Nov-2025</t>
        </is>
      </c>
      <c r="D841" s="78" t="n">
        <v>45962</v>
      </c>
      <c r="E841" t="inlineStr">
        <is>
          <t>Q3FY26</t>
        </is>
      </c>
      <c r="F841" t="inlineStr">
        <is>
          <t>29-Jun-2027</t>
        </is>
      </c>
      <c r="G841" t="inlineStr">
        <is>
          <t>Tuesday</t>
        </is>
      </c>
      <c r="H841" t="inlineStr">
        <is>
          <t>Monthly - Tuesday</t>
        </is>
      </c>
      <c r="I841" t="inlineStr">
        <is>
          <t>Monthly - Tuesday</t>
        </is>
      </c>
      <c r="J841" t="inlineStr">
        <is>
          <t>Month+19 Expiry</t>
        </is>
      </c>
      <c r="K841" s="25" t="n">
        <v>0</v>
      </c>
      <c r="L841" s="26" t="n">
        <v>0</v>
      </c>
      <c r="M841" s="26" t="n">
        <v>0</v>
      </c>
    </row>
    <row r="842" ht="16" customHeight="1">
      <c r="A842" t="inlineStr">
        <is>
          <t>07-Nov-2025</t>
        </is>
      </c>
      <c r="B842" t="inlineStr">
        <is>
          <t>Friday</t>
        </is>
      </c>
      <c r="C842" t="inlineStr">
        <is>
          <t>Week1-Nov-2025</t>
        </is>
      </c>
      <c r="D842" s="78" t="n">
        <v>45962</v>
      </c>
      <c r="E842" t="inlineStr">
        <is>
          <t>Q3FY26</t>
        </is>
      </c>
      <c r="F842" t="inlineStr">
        <is>
          <t>28-Dec-2027</t>
        </is>
      </c>
      <c r="G842" t="inlineStr">
        <is>
          <t>Tuesday</t>
        </is>
      </c>
      <c r="H842" t="inlineStr">
        <is>
          <t>Monthly - Tuesday</t>
        </is>
      </c>
      <c r="I842" t="inlineStr">
        <is>
          <t>Monthly - Tuesday</t>
        </is>
      </c>
      <c r="J842" t="inlineStr">
        <is>
          <t>Month+25 Expiry</t>
        </is>
      </c>
      <c r="K842" s="25" t="n">
        <v>10</v>
      </c>
      <c r="L842" s="26" t="n">
        <v>0.019</v>
      </c>
      <c r="M842" s="26" t="n">
        <v>0.0008</v>
      </c>
    </row>
    <row r="843" ht="16" customHeight="1">
      <c r="A843" t="inlineStr">
        <is>
          <t>07-Nov-2025</t>
        </is>
      </c>
      <c r="B843" t="inlineStr">
        <is>
          <t>Friday</t>
        </is>
      </c>
      <c r="C843" t="inlineStr">
        <is>
          <t>Week1-Nov-2025</t>
        </is>
      </c>
      <c r="D843" s="78" t="n">
        <v>45962</v>
      </c>
      <c r="E843" t="inlineStr">
        <is>
          <t>Q3FY26</t>
        </is>
      </c>
      <c r="F843" t="inlineStr">
        <is>
          <t>27-Jun-2028</t>
        </is>
      </c>
      <c r="G843" t="inlineStr">
        <is>
          <t>Tuesday</t>
        </is>
      </c>
      <c r="H843" t="inlineStr">
        <is>
          <t>Monthly - Tuesday</t>
        </is>
      </c>
      <c r="I843" t="inlineStr">
        <is>
          <t>Monthly - Tuesday</t>
        </is>
      </c>
      <c r="J843" t="inlineStr">
        <is>
          <t>Month+31 Expiry</t>
        </is>
      </c>
      <c r="K843" s="25" t="n">
        <v>0</v>
      </c>
      <c r="L843" s="26" t="n">
        <v>0</v>
      </c>
      <c r="M843" s="26" t="n">
        <v>0</v>
      </c>
    </row>
    <row r="844" ht="16" customHeight="1">
      <c r="A844" t="inlineStr">
        <is>
          <t>07-Nov-2025</t>
        </is>
      </c>
      <c r="B844" t="inlineStr">
        <is>
          <t>Friday</t>
        </is>
      </c>
      <c r="C844" t="inlineStr">
        <is>
          <t>Week1-Nov-2025</t>
        </is>
      </c>
      <c r="D844" s="78" t="n">
        <v>45962</v>
      </c>
      <c r="E844" t="inlineStr">
        <is>
          <t>Q3FY26</t>
        </is>
      </c>
      <c r="F844" t="inlineStr">
        <is>
          <t>26-Dec-2028</t>
        </is>
      </c>
      <c r="G844" t="inlineStr">
        <is>
          <t>Tuesday</t>
        </is>
      </c>
      <c r="H844" t="inlineStr">
        <is>
          <t>Monthly - Tuesday</t>
        </is>
      </c>
      <c r="I844" t="inlineStr">
        <is>
          <t>Monthly - Tuesday</t>
        </is>
      </c>
      <c r="J844" t="inlineStr">
        <is>
          <t>Month+37 Expiry</t>
        </is>
      </c>
      <c r="K844" s="25" t="n">
        <v>2</v>
      </c>
      <c r="L844" s="26" t="n">
        <v>0.004</v>
      </c>
      <c r="M844" s="26" t="n">
        <v>0.0002</v>
      </c>
    </row>
    <row r="845" ht="16" customHeight="1">
      <c r="A845" t="inlineStr">
        <is>
          <t>07-Nov-2025</t>
        </is>
      </c>
      <c r="B845" t="inlineStr">
        <is>
          <t>Friday</t>
        </is>
      </c>
      <c r="C845" t="inlineStr">
        <is>
          <t>Week1-Nov-2025</t>
        </is>
      </c>
      <c r="D845" s="78" t="n">
        <v>45962</v>
      </c>
      <c r="E845" t="inlineStr">
        <is>
          <t>Q3FY26</t>
        </is>
      </c>
      <c r="F845" t="inlineStr">
        <is>
          <t>26-Jun-2029</t>
        </is>
      </c>
      <c r="G845" t="inlineStr">
        <is>
          <t>Tuesday</t>
        </is>
      </c>
      <c r="H845" t="inlineStr">
        <is>
          <t>Monthly - Tuesday</t>
        </is>
      </c>
      <c r="I845" t="inlineStr">
        <is>
          <t>Monthly - Tuesday</t>
        </is>
      </c>
      <c r="J845" t="inlineStr">
        <is>
          <t>Month+43 Expiry</t>
        </is>
      </c>
      <c r="K845" s="25" t="n">
        <v>0</v>
      </c>
      <c r="L845" s="26" t="n">
        <v>0</v>
      </c>
      <c r="M845" s="26" t="n">
        <v>0</v>
      </c>
    </row>
    <row r="846" ht="16" customHeight="1">
      <c r="A846" t="inlineStr">
        <is>
          <t>07-Nov-2025</t>
        </is>
      </c>
      <c r="B846" t="inlineStr">
        <is>
          <t>Friday</t>
        </is>
      </c>
      <c r="C846" t="inlineStr">
        <is>
          <t>Week1-Nov-2025</t>
        </is>
      </c>
      <c r="D846" s="78" t="n">
        <v>45962</v>
      </c>
      <c r="E846" t="inlineStr">
        <is>
          <t>Q3FY26</t>
        </is>
      </c>
      <c r="F846" t="inlineStr">
        <is>
          <t>24-Dec-2029</t>
        </is>
      </c>
      <c r="G846" t="inlineStr">
        <is>
          <t>Monday</t>
        </is>
      </c>
      <c r="H846" t="inlineStr">
        <is>
          <t>Weekly - Monday</t>
        </is>
      </c>
      <c r="I846" t="inlineStr">
        <is>
          <t>Weekly - Monday</t>
        </is>
      </c>
      <c r="J846" t="inlineStr">
        <is>
          <t>Month+49 Expiry</t>
        </is>
      </c>
      <c r="K846" s="25" t="n">
        <v>0</v>
      </c>
      <c r="L846" s="26" t="n">
        <v>0</v>
      </c>
      <c r="M846" s="26" t="n">
        <v>0</v>
      </c>
    </row>
    <row r="847" ht="16" customHeight="1">
      <c r="A847" t="inlineStr">
        <is>
          <t>07-Nov-2025</t>
        </is>
      </c>
      <c r="B847" t="inlineStr">
        <is>
          <t>Friday</t>
        </is>
      </c>
      <c r="C847" t="inlineStr">
        <is>
          <t>Week1-Nov-2025</t>
        </is>
      </c>
      <c r="D847" s="78" t="n">
        <v>45962</v>
      </c>
      <c r="E847" t="inlineStr">
        <is>
          <t>Q3FY26</t>
        </is>
      </c>
      <c r="F847" t="inlineStr">
        <is>
          <t>25-Jun-2030</t>
        </is>
      </c>
      <c r="G847" t="inlineStr">
        <is>
          <t>Tuesday</t>
        </is>
      </c>
      <c r="H847" t="inlineStr">
        <is>
          <t>Monthly - Tuesday</t>
        </is>
      </c>
      <c r="I847" t="inlineStr">
        <is>
          <t>Monthly - Tuesday</t>
        </is>
      </c>
      <c r="J847" t="inlineStr">
        <is>
          <t>Month+55 Expiry</t>
        </is>
      </c>
      <c r="K847" s="25" t="n">
        <v>0</v>
      </c>
      <c r="L847" s="26" t="n">
        <v>0</v>
      </c>
      <c r="M847" s="26" t="n">
        <v>0</v>
      </c>
    </row>
    <row r="848" ht="16" customHeight="1">
      <c r="A848" t="inlineStr">
        <is>
          <t>10-Nov-2025</t>
        </is>
      </c>
      <c r="B848" t="inlineStr">
        <is>
          <t>Monday</t>
        </is>
      </c>
      <c r="C848" t="inlineStr">
        <is>
          <t>Week2-Nov-2025</t>
        </is>
      </c>
      <c r="D848" s="78" t="n">
        <v>45962</v>
      </c>
      <c r="E848" t="inlineStr">
        <is>
          <t>Q3FY26</t>
        </is>
      </c>
      <c r="F848" t="inlineStr">
        <is>
          <t>11-Nov-2025</t>
        </is>
      </c>
      <c r="G848" t="inlineStr">
        <is>
          <t>Tuesday</t>
        </is>
      </c>
      <c r="H848" t="inlineStr">
        <is>
          <t>Weekly - Tuesday</t>
        </is>
      </c>
      <c r="I848" t="inlineStr">
        <is>
          <t>Weekly - Tuesday</t>
        </is>
      </c>
      <c r="J848" t="inlineStr">
        <is>
          <t>Same Month Expiry</t>
        </is>
      </c>
      <c r="K848" s="25" t="n">
        <v>117487933</v>
      </c>
      <c r="L848" s="26" t="n">
        <v>225660.2359</v>
      </c>
      <c r="M848" s="26" t="n">
        <v>376.1815</v>
      </c>
    </row>
    <row r="849" ht="16" customHeight="1">
      <c r="A849" t="inlineStr">
        <is>
          <t>10-Nov-2025</t>
        </is>
      </c>
      <c r="B849" t="inlineStr">
        <is>
          <t>Monday</t>
        </is>
      </c>
      <c r="C849" t="inlineStr">
        <is>
          <t>Week2-Nov-2025</t>
        </is>
      </c>
      <c r="D849" s="78" t="n">
        <v>45962</v>
      </c>
      <c r="E849" t="inlineStr">
        <is>
          <t>Q3FY26</t>
        </is>
      </c>
      <c r="F849" t="inlineStr">
        <is>
          <t>18-Nov-2025</t>
        </is>
      </c>
      <c r="G849" t="inlineStr">
        <is>
          <t>Tuesday</t>
        </is>
      </c>
      <c r="H849" t="inlineStr">
        <is>
          <t>Weekly - Tuesday</t>
        </is>
      </c>
      <c r="I849" t="inlineStr">
        <is>
          <t>Weekly - Tuesday</t>
        </is>
      </c>
      <c r="J849" t="inlineStr">
        <is>
          <t>Same Month Expiry</t>
        </is>
      </c>
      <c r="K849" s="25" t="n">
        <v>3858805</v>
      </c>
      <c r="L849" s="26" t="n">
        <v>7447.7241</v>
      </c>
      <c r="M849" s="26" t="n">
        <v>22.7658</v>
      </c>
    </row>
    <row r="850" ht="16" customHeight="1">
      <c r="A850" t="inlineStr">
        <is>
          <t>10-Nov-2025</t>
        </is>
      </c>
      <c r="B850" t="inlineStr">
        <is>
          <t>Monday</t>
        </is>
      </c>
      <c r="C850" t="inlineStr">
        <is>
          <t>Week2-Nov-2025</t>
        </is>
      </c>
      <c r="D850" s="78" t="n">
        <v>45962</v>
      </c>
      <c r="E850" t="inlineStr">
        <is>
          <t>Q3FY26</t>
        </is>
      </c>
      <c r="F850" t="inlineStr">
        <is>
          <t>25-Nov-2025</t>
        </is>
      </c>
      <c r="G850" t="inlineStr">
        <is>
          <t>Tuesday</t>
        </is>
      </c>
      <c r="H850" t="inlineStr">
        <is>
          <t>Monthly - Tuesday</t>
        </is>
      </c>
      <c r="I850" t="inlineStr">
        <is>
          <t>Monthly - Tuesday</t>
        </is>
      </c>
      <c r="J850" t="inlineStr">
        <is>
          <t>Same Month Expiry</t>
        </is>
      </c>
      <c r="K850" s="25" t="n">
        <v>1311066</v>
      </c>
      <c r="L850" s="26" t="n">
        <v>2540.8672</v>
      </c>
      <c r="M850" s="26" t="n">
        <v>13.2422</v>
      </c>
    </row>
    <row r="851" ht="16" customHeight="1">
      <c r="A851" t="inlineStr">
        <is>
          <t>10-Nov-2025</t>
        </is>
      </c>
      <c r="B851" t="inlineStr">
        <is>
          <t>Monday</t>
        </is>
      </c>
      <c r="C851" t="inlineStr">
        <is>
          <t>Week2-Nov-2025</t>
        </is>
      </c>
      <c r="D851" s="78" t="n">
        <v>45962</v>
      </c>
      <c r="E851" t="inlineStr">
        <is>
          <t>Q3FY26</t>
        </is>
      </c>
      <c r="F851" t="inlineStr">
        <is>
          <t>02-Dec-2025</t>
        </is>
      </c>
      <c r="G851" t="inlineStr">
        <is>
          <t>Tuesday</t>
        </is>
      </c>
      <c r="H851" t="inlineStr">
        <is>
          <t>Weekly - Tuesday</t>
        </is>
      </c>
      <c r="I851" t="inlineStr">
        <is>
          <t>Weekly - Tuesday</t>
        </is>
      </c>
      <c r="J851" t="inlineStr">
        <is>
          <t>Month+1 Expiry</t>
        </is>
      </c>
      <c r="K851" s="25" t="n">
        <v>31373</v>
      </c>
      <c r="L851" s="26" t="n">
        <v>60.9984</v>
      </c>
      <c r="M851" s="26" t="n">
        <v>0.316</v>
      </c>
    </row>
    <row r="852" ht="16" customHeight="1">
      <c r="A852" t="inlineStr">
        <is>
          <t>10-Nov-2025</t>
        </is>
      </c>
      <c r="B852" t="inlineStr">
        <is>
          <t>Monday</t>
        </is>
      </c>
      <c r="C852" t="inlineStr">
        <is>
          <t>Week2-Nov-2025</t>
        </is>
      </c>
      <c r="D852" s="78" t="n">
        <v>45962</v>
      </c>
      <c r="E852" t="inlineStr">
        <is>
          <t>Q3FY26</t>
        </is>
      </c>
      <c r="F852" t="inlineStr">
        <is>
          <t>09-Dec-2025</t>
        </is>
      </c>
      <c r="G852" t="inlineStr">
        <is>
          <t>Tuesday</t>
        </is>
      </c>
      <c r="H852" t="inlineStr">
        <is>
          <t>Weekly - Tuesday</t>
        </is>
      </c>
      <c r="I852" t="inlineStr">
        <is>
          <t>Weekly - Tuesday</t>
        </is>
      </c>
      <c r="J852" t="inlineStr">
        <is>
          <t>Month+1 Expiry</t>
        </is>
      </c>
      <c r="K852" s="25" t="n">
        <v>4741</v>
      </c>
      <c r="L852" s="26" t="n">
        <v>9.1457</v>
      </c>
      <c r="M852" s="26" t="n">
        <v>0.068</v>
      </c>
    </row>
    <row r="853" ht="16" customHeight="1">
      <c r="A853" t="inlineStr">
        <is>
          <t>10-Nov-2025</t>
        </is>
      </c>
      <c r="B853" t="inlineStr">
        <is>
          <t>Monday</t>
        </is>
      </c>
      <c r="C853" t="inlineStr">
        <is>
          <t>Week2-Nov-2025</t>
        </is>
      </c>
      <c r="D853" s="78" t="n">
        <v>45962</v>
      </c>
      <c r="E853" t="inlineStr">
        <is>
          <t>Q3FY26</t>
        </is>
      </c>
      <c r="F853" t="inlineStr">
        <is>
          <t>30-Dec-2025</t>
        </is>
      </c>
      <c r="G853" t="inlineStr">
        <is>
          <t>Tuesday</t>
        </is>
      </c>
      <c r="H853" t="inlineStr">
        <is>
          <t>Monthly - Tuesday</t>
        </is>
      </c>
      <c r="I853" t="inlineStr">
        <is>
          <t>Monthly - Tuesday</t>
        </is>
      </c>
      <c r="J853" t="inlineStr">
        <is>
          <t>Month+1 Expiry</t>
        </is>
      </c>
      <c r="K853" s="25" t="n">
        <v>211381</v>
      </c>
      <c r="L853" s="26" t="n">
        <v>408.9779</v>
      </c>
      <c r="M853" s="26" t="n">
        <v>3.1964</v>
      </c>
    </row>
    <row r="854" ht="16" customHeight="1">
      <c r="A854" t="inlineStr">
        <is>
          <t>10-Nov-2025</t>
        </is>
      </c>
      <c r="B854" t="inlineStr">
        <is>
          <t>Monday</t>
        </is>
      </c>
      <c r="C854" t="inlineStr">
        <is>
          <t>Week2-Nov-2025</t>
        </is>
      </c>
      <c r="D854" s="78" t="n">
        <v>45962</v>
      </c>
      <c r="E854" t="inlineStr">
        <is>
          <t>Q3FY26</t>
        </is>
      </c>
      <c r="F854" t="inlineStr">
        <is>
          <t>27-Jan-2026</t>
        </is>
      </c>
      <c r="G854" t="inlineStr">
        <is>
          <t>Tuesday</t>
        </is>
      </c>
      <c r="H854" t="inlineStr">
        <is>
          <t>Monthly - Tuesday</t>
        </is>
      </c>
      <c r="I854" t="inlineStr">
        <is>
          <t>Monthly - Tuesday</t>
        </is>
      </c>
      <c r="J854" t="inlineStr">
        <is>
          <t>Month+2 Expiry</t>
        </is>
      </c>
      <c r="K854" s="25" t="n">
        <v>19543</v>
      </c>
      <c r="L854" s="26" t="n">
        <v>33.0605</v>
      </c>
      <c r="M854" s="26" t="n">
        <v>0.2864</v>
      </c>
    </row>
    <row r="855" ht="16" customHeight="1">
      <c r="A855" t="inlineStr">
        <is>
          <t>10-Nov-2025</t>
        </is>
      </c>
      <c r="B855" t="inlineStr">
        <is>
          <t>Monday</t>
        </is>
      </c>
      <c r="C855" t="inlineStr">
        <is>
          <t>Week2-Nov-2025</t>
        </is>
      </c>
      <c r="D855" s="78" t="n">
        <v>45962</v>
      </c>
      <c r="E855" t="inlineStr">
        <is>
          <t>Q3FY26</t>
        </is>
      </c>
      <c r="F855" t="inlineStr">
        <is>
          <t>31-Mar-2026</t>
        </is>
      </c>
      <c r="G855" t="inlineStr">
        <is>
          <t>Tuesday</t>
        </is>
      </c>
      <c r="H855" t="inlineStr">
        <is>
          <t>Monthly - Tuesday</t>
        </is>
      </c>
      <c r="I855" t="inlineStr">
        <is>
          <t>Monthly - Tuesday</t>
        </is>
      </c>
      <c r="J855" t="inlineStr">
        <is>
          <t>Month+4 Expiry</t>
        </is>
      </c>
      <c r="K855" s="25" t="n">
        <v>16598</v>
      </c>
      <c r="L855" s="26" t="n">
        <v>32.4301</v>
      </c>
      <c r="M855" s="26" t="n">
        <v>0.406</v>
      </c>
    </row>
    <row r="856" ht="16" customHeight="1">
      <c r="A856" t="inlineStr">
        <is>
          <t>10-Nov-2025</t>
        </is>
      </c>
      <c r="B856" t="inlineStr">
        <is>
          <t>Monday</t>
        </is>
      </c>
      <c r="C856" t="inlineStr">
        <is>
          <t>Week2-Nov-2025</t>
        </is>
      </c>
      <c r="D856" s="78" t="n">
        <v>45962</v>
      </c>
      <c r="E856" t="inlineStr">
        <is>
          <t>Q3FY26</t>
        </is>
      </c>
      <c r="F856" t="inlineStr">
        <is>
          <t>30-Jun-2026</t>
        </is>
      </c>
      <c r="G856" t="inlineStr">
        <is>
          <t>Tuesday</t>
        </is>
      </c>
      <c r="H856" t="inlineStr">
        <is>
          <t>Monthly - Tuesday</t>
        </is>
      </c>
      <c r="I856" t="inlineStr">
        <is>
          <t>Monthly - Tuesday</t>
        </is>
      </c>
      <c r="J856" t="inlineStr">
        <is>
          <t>Month+7 Expiry</t>
        </is>
      </c>
      <c r="K856" s="25" t="n">
        <v>5196</v>
      </c>
      <c r="L856" s="26" t="n">
        <v>9.9757</v>
      </c>
      <c r="M856" s="26" t="n">
        <v>0.1781</v>
      </c>
    </row>
    <row r="857" ht="16" customHeight="1">
      <c r="A857" t="inlineStr">
        <is>
          <t>10-Nov-2025</t>
        </is>
      </c>
      <c r="B857" t="inlineStr">
        <is>
          <t>Monday</t>
        </is>
      </c>
      <c r="C857" t="inlineStr">
        <is>
          <t>Week2-Nov-2025</t>
        </is>
      </c>
      <c r="D857" s="78" t="n">
        <v>45962</v>
      </c>
      <c r="E857" t="inlineStr">
        <is>
          <t>Q3FY26</t>
        </is>
      </c>
      <c r="F857" t="inlineStr">
        <is>
          <t>29-Sep-2026</t>
        </is>
      </c>
      <c r="G857" t="inlineStr">
        <is>
          <t>Tuesday</t>
        </is>
      </c>
      <c r="H857" t="inlineStr">
        <is>
          <t>Monthly - Tuesday</t>
        </is>
      </c>
      <c r="I857" t="inlineStr">
        <is>
          <t>Monthly - Tuesday</t>
        </is>
      </c>
      <c r="J857" t="inlineStr">
        <is>
          <t>Month+10 Expiry</t>
        </is>
      </c>
      <c r="K857" s="25" t="n">
        <v>111</v>
      </c>
      <c r="L857" s="26" t="n">
        <v>0.2085</v>
      </c>
      <c r="M857" s="26" t="n">
        <v>0.0033</v>
      </c>
    </row>
    <row r="858" ht="16" customHeight="1">
      <c r="A858" t="inlineStr">
        <is>
          <t>10-Nov-2025</t>
        </is>
      </c>
      <c r="B858" t="inlineStr">
        <is>
          <t>Monday</t>
        </is>
      </c>
      <c r="C858" t="inlineStr">
        <is>
          <t>Week2-Nov-2025</t>
        </is>
      </c>
      <c r="D858" s="78" t="n">
        <v>45962</v>
      </c>
      <c r="E858" t="inlineStr">
        <is>
          <t>Q3FY26</t>
        </is>
      </c>
      <c r="F858" t="inlineStr">
        <is>
          <t>29-Dec-2026</t>
        </is>
      </c>
      <c r="G858" t="inlineStr">
        <is>
          <t>Tuesday</t>
        </is>
      </c>
      <c r="H858" t="inlineStr">
        <is>
          <t>Monthly - Tuesday</t>
        </is>
      </c>
      <c r="I858" t="inlineStr">
        <is>
          <t>Monthly - Tuesday</t>
        </is>
      </c>
      <c r="J858" t="inlineStr">
        <is>
          <t>Month+13 Expiry</t>
        </is>
      </c>
      <c r="K858" s="25" t="n">
        <v>6584</v>
      </c>
      <c r="L858" s="26" t="n">
        <v>11.7901</v>
      </c>
      <c r="M858" s="26" t="n">
        <v>0.2061</v>
      </c>
    </row>
    <row r="859" ht="16" customHeight="1">
      <c r="A859" t="inlineStr">
        <is>
          <t>10-Nov-2025</t>
        </is>
      </c>
      <c r="B859" t="inlineStr">
        <is>
          <t>Monday</t>
        </is>
      </c>
      <c r="C859" t="inlineStr">
        <is>
          <t>Week2-Nov-2025</t>
        </is>
      </c>
      <c r="D859" s="78" t="n">
        <v>45962</v>
      </c>
      <c r="E859" t="inlineStr">
        <is>
          <t>Q3FY26</t>
        </is>
      </c>
      <c r="F859" t="inlineStr">
        <is>
          <t>29-Jun-2027</t>
        </is>
      </c>
      <c r="G859" t="inlineStr">
        <is>
          <t>Tuesday</t>
        </is>
      </c>
      <c r="H859" t="inlineStr">
        <is>
          <t>Monthly - Tuesday</t>
        </is>
      </c>
      <c r="I859" t="inlineStr">
        <is>
          <t>Monthly - Tuesday</t>
        </is>
      </c>
      <c r="J859" t="inlineStr">
        <is>
          <t>Month+19 Expiry</t>
        </is>
      </c>
      <c r="K859" s="25" t="n">
        <v>0</v>
      </c>
      <c r="L859" s="26" t="n">
        <v>0</v>
      </c>
      <c r="M859" s="26" t="n">
        <v>0</v>
      </c>
    </row>
    <row r="860" ht="16" customHeight="1">
      <c r="A860" t="inlineStr">
        <is>
          <t>10-Nov-2025</t>
        </is>
      </c>
      <c r="B860" t="inlineStr">
        <is>
          <t>Monday</t>
        </is>
      </c>
      <c r="C860" t="inlineStr">
        <is>
          <t>Week2-Nov-2025</t>
        </is>
      </c>
      <c r="D860" s="78" t="n">
        <v>45962</v>
      </c>
      <c r="E860" t="inlineStr">
        <is>
          <t>Q3FY26</t>
        </is>
      </c>
      <c r="F860" t="inlineStr">
        <is>
          <t>28-Dec-2027</t>
        </is>
      </c>
      <c r="G860" t="inlineStr">
        <is>
          <t>Tuesday</t>
        </is>
      </c>
      <c r="H860" t="inlineStr">
        <is>
          <t>Monthly - Tuesday</t>
        </is>
      </c>
      <c r="I860" t="inlineStr">
        <is>
          <t>Monthly - Tuesday</t>
        </is>
      </c>
      <c r="J860" t="inlineStr">
        <is>
          <t>Month+25 Expiry</t>
        </is>
      </c>
      <c r="K860" s="25" t="n">
        <v>22</v>
      </c>
      <c r="L860" s="26" t="n">
        <v>0.0407</v>
      </c>
      <c r="M860" s="26" t="n">
        <v>0.001</v>
      </c>
    </row>
    <row r="861" ht="16" customHeight="1">
      <c r="A861" t="inlineStr">
        <is>
          <t>10-Nov-2025</t>
        </is>
      </c>
      <c r="B861" t="inlineStr">
        <is>
          <t>Monday</t>
        </is>
      </c>
      <c r="C861" t="inlineStr">
        <is>
          <t>Week2-Nov-2025</t>
        </is>
      </c>
      <c r="D861" s="78" t="n">
        <v>45962</v>
      </c>
      <c r="E861" t="inlineStr">
        <is>
          <t>Q3FY26</t>
        </is>
      </c>
      <c r="F861" t="inlineStr">
        <is>
          <t>27-Jun-2028</t>
        </is>
      </c>
      <c r="G861" t="inlineStr">
        <is>
          <t>Tuesday</t>
        </is>
      </c>
      <c r="H861" t="inlineStr">
        <is>
          <t>Monthly - Tuesday</t>
        </is>
      </c>
      <c r="I861" t="inlineStr">
        <is>
          <t>Monthly - Tuesday</t>
        </is>
      </c>
      <c r="J861" t="inlineStr">
        <is>
          <t>Month+31 Expiry</t>
        </is>
      </c>
      <c r="K861" s="25" t="n">
        <v>0</v>
      </c>
      <c r="L861" s="26" t="n">
        <v>0</v>
      </c>
      <c r="M861" s="26" t="n">
        <v>0</v>
      </c>
    </row>
    <row r="862" ht="16" customHeight="1">
      <c r="A862" t="inlineStr">
        <is>
          <t>10-Nov-2025</t>
        </is>
      </c>
      <c r="B862" t="inlineStr">
        <is>
          <t>Monday</t>
        </is>
      </c>
      <c r="C862" t="inlineStr">
        <is>
          <t>Week2-Nov-2025</t>
        </is>
      </c>
      <c r="D862" s="78" t="n">
        <v>45962</v>
      </c>
      <c r="E862" t="inlineStr">
        <is>
          <t>Q3FY26</t>
        </is>
      </c>
      <c r="F862" t="inlineStr">
        <is>
          <t>26-Dec-2028</t>
        </is>
      </c>
      <c r="G862" t="inlineStr">
        <is>
          <t>Tuesday</t>
        </is>
      </c>
      <c r="H862" t="inlineStr">
        <is>
          <t>Monthly - Tuesday</t>
        </is>
      </c>
      <c r="I862" t="inlineStr">
        <is>
          <t>Monthly - Tuesday</t>
        </is>
      </c>
      <c r="J862" t="inlineStr">
        <is>
          <t>Month+37 Expiry</t>
        </is>
      </c>
      <c r="K862" s="25" t="n">
        <v>2</v>
      </c>
      <c r="L862" s="26" t="n">
        <v>0.0039</v>
      </c>
      <c r="M862" s="26" t="n">
        <v>0.0001</v>
      </c>
    </row>
    <row r="863" ht="16" customHeight="1">
      <c r="A863" t="inlineStr">
        <is>
          <t>10-Nov-2025</t>
        </is>
      </c>
      <c r="B863" t="inlineStr">
        <is>
          <t>Monday</t>
        </is>
      </c>
      <c r="C863" t="inlineStr">
        <is>
          <t>Week2-Nov-2025</t>
        </is>
      </c>
      <c r="D863" s="78" t="n">
        <v>45962</v>
      </c>
      <c r="E863" t="inlineStr">
        <is>
          <t>Q3FY26</t>
        </is>
      </c>
      <c r="F863" t="inlineStr">
        <is>
          <t>26-Jun-2029</t>
        </is>
      </c>
      <c r="G863" t="inlineStr">
        <is>
          <t>Tuesday</t>
        </is>
      </c>
      <c r="H863" t="inlineStr">
        <is>
          <t>Monthly - Tuesday</t>
        </is>
      </c>
      <c r="I863" t="inlineStr">
        <is>
          <t>Monthly - Tuesday</t>
        </is>
      </c>
      <c r="J863" t="inlineStr">
        <is>
          <t>Month+43 Expiry</t>
        </is>
      </c>
      <c r="K863" s="25" t="n">
        <v>0</v>
      </c>
      <c r="L863" s="26" t="n">
        <v>0</v>
      </c>
      <c r="M863" s="26" t="n">
        <v>0</v>
      </c>
    </row>
    <row r="864" ht="16" customHeight="1">
      <c r="A864" t="inlineStr">
        <is>
          <t>10-Nov-2025</t>
        </is>
      </c>
      <c r="B864" t="inlineStr">
        <is>
          <t>Monday</t>
        </is>
      </c>
      <c r="C864" t="inlineStr">
        <is>
          <t>Week2-Nov-2025</t>
        </is>
      </c>
      <c r="D864" s="78" t="n">
        <v>45962</v>
      </c>
      <c r="E864" t="inlineStr">
        <is>
          <t>Q3FY26</t>
        </is>
      </c>
      <c r="F864" t="inlineStr">
        <is>
          <t>24-Dec-2029</t>
        </is>
      </c>
      <c r="G864" t="inlineStr">
        <is>
          <t>Monday</t>
        </is>
      </c>
      <c r="H864" t="inlineStr">
        <is>
          <t>Weekly - Monday</t>
        </is>
      </c>
      <c r="I864" t="inlineStr">
        <is>
          <t>Weekly - Monday</t>
        </is>
      </c>
      <c r="J864" t="inlineStr">
        <is>
          <t>Month+49 Expiry</t>
        </is>
      </c>
      <c r="K864" s="25" t="n">
        <v>0</v>
      </c>
      <c r="L864" s="26" t="n">
        <v>0</v>
      </c>
      <c r="M864" s="26" t="n">
        <v>0</v>
      </c>
    </row>
    <row r="865" ht="16" customHeight="1">
      <c r="A865" t="inlineStr">
        <is>
          <t>10-Nov-2025</t>
        </is>
      </c>
      <c r="B865" t="inlineStr">
        <is>
          <t>Monday</t>
        </is>
      </c>
      <c r="C865" t="inlineStr">
        <is>
          <t>Week2-Nov-2025</t>
        </is>
      </c>
      <c r="D865" s="78" t="n">
        <v>45962</v>
      </c>
      <c r="E865" t="inlineStr">
        <is>
          <t>Q3FY26</t>
        </is>
      </c>
      <c r="F865" t="inlineStr">
        <is>
          <t>25-Jun-2030</t>
        </is>
      </c>
      <c r="G865" t="inlineStr">
        <is>
          <t>Tuesday</t>
        </is>
      </c>
      <c r="H865" t="inlineStr">
        <is>
          <t>Monthly - Tuesday</t>
        </is>
      </c>
      <c r="I865" t="inlineStr">
        <is>
          <t>Monthly - Tuesday</t>
        </is>
      </c>
      <c r="J865" t="inlineStr">
        <is>
          <t>Month+55 Expiry</t>
        </is>
      </c>
      <c r="K865" s="25" t="n">
        <v>0</v>
      </c>
      <c r="L865" s="26" t="n">
        <v>0</v>
      </c>
      <c r="M865" s="26" t="n">
        <v>0</v>
      </c>
    </row>
    <row r="866" ht="16" customHeight="1">
      <c r="A866" t="inlineStr">
        <is>
          <t>11-Nov-2025</t>
        </is>
      </c>
      <c r="B866" t="inlineStr">
        <is>
          <t>Tuesday</t>
        </is>
      </c>
      <c r="C866" t="inlineStr">
        <is>
          <t>Week2-Nov-2025</t>
        </is>
      </c>
      <c r="D866" s="78" t="n">
        <v>45962</v>
      </c>
      <c r="E866" t="inlineStr">
        <is>
          <t>Q3FY26</t>
        </is>
      </c>
      <c r="F866" t="inlineStr">
        <is>
          <t>11-Nov-2025</t>
        </is>
      </c>
      <c r="G866" t="inlineStr">
        <is>
          <t>Tuesday</t>
        </is>
      </c>
      <c r="H866" t="inlineStr">
        <is>
          <t>Weekly - Tuesday</t>
        </is>
      </c>
      <c r="I866" t="inlineStr">
        <is>
          <t>Weekly - Tuesday</t>
        </is>
      </c>
      <c r="J866" t="inlineStr">
        <is>
          <t>Same Month Expiry</t>
        </is>
      </c>
      <c r="K866" s="25" t="n">
        <v>324263669</v>
      </c>
      <c r="L866" s="26" t="n">
        <v>622994.6091</v>
      </c>
      <c r="M866" s="26" t="n">
        <v>563.6385</v>
      </c>
    </row>
    <row r="867" ht="16" customHeight="1">
      <c r="A867" t="inlineStr">
        <is>
          <t>11-Nov-2025</t>
        </is>
      </c>
      <c r="B867" t="inlineStr">
        <is>
          <t>Tuesday</t>
        </is>
      </c>
      <c r="C867" t="inlineStr">
        <is>
          <t>Week2-Nov-2025</t>
        </is>
      </c>
      <c r="D867" s="78" t="n">
        <v>45962</v>
      </c>
      <c r="E867" t="inlineStr">
        <is>
          <t>Q3FY26</t>
        </is>
      </c>
      <c r="F867" t="inlineStr">
        <is>
          <t>18-Nov-2025</t>
        </is>
      </c>
      <c r="G867" t="inlineStr">
        <is>
          <t>Tuesday</t>
        </is>
      </c>
      <c r="H867" t="inlineStr">
        <is>
          <t>Weekly - Tuesday</t>
        </is>
      </c>
      <c r="I867" t="inlineStr">
        <is>
          <t>Weekly - Tuesday</t>
        </is>
      </c>
      <c r="J867" t="inlineStr">
        <is>
          <t>Same Month Expiry</t>
        </is>
      </c>
      <c r="K867" s="25" t="n">
        <v>11300056</v>
      </c>
      <c r="L867" s="26" t="n">
        <v>21806.8348</v>
      </c>
      <c r="M867" s="26" t="n">
        <v>69.75190000000001</v>
      </c>
    </row>
    <row r="868" ht="16" customHeight="1">
      <c r="A868" t="inlineStr">
        <is>
          <t>11-Nov-2025</t>
        </is>
      </c>
      <c r="B868" t="inlineStr">
        <is>
          <t>Tuesday</t>
        </is>
      </c>
      <c r="C868" t="inlineStr">
        <is>
          <t>Week2-Nov-2025</t>
        </is>
      </c>
      <c r="D868" s="78" t="n">
        <v>45962</v>
      </c>
      <c r="E868" t="inlineStr">
        <is>
          <t>Q3FY26</t>
        </is>
      </c>
      <c r="F868" t="inlineStr">
        <is>
          <t>25-Nov-2025</t>
        </is>
      </c>
      <c r="G868" t="inlineStr">
        <is>
          <t>Tuesday</t>
        </is>
      </c>
      <c r="H868" t="inlineStr">
        <is>
          <t>Monthly - Tuesday</t>
        </is>
      </c>
      <c r="I868" t="inlineStr">
        <is>
          <t>Monthly - Tuesday</t>
        </is>
      </c>
      <c r="J868" t="inlineStr">
        <is>
          <t>Same Month Expiry</t>
        </is>
      </c>
      <c r="K868" s="25" t="n">
        <v>2182678</v>
      </c>
      <c r="L868" s="26" t="n">
        <v>4229.6263</v>
      </c>
      <c r="M868" s="26" t="n">
        <v>23.3902</v>
      </c>
    </row>
    <row r="869" ht="16" customHeight="1">
      <c r="A869" t="inlineStr">
        <is>
          <t>11-Nov-2025</t>
        </is>
      </c>
      <c r="B869" t="inlineStr">
        <is>
          <t>Tuesday</t>
        </is>
      </c>
      <c r="C869" t="inlineStr">
        <is>
          <t>Week2-Nov-2025</t>
        </is>
      </c>
      <c r="D869" s="78" t="n">
        <v>45962</v>
      </c>
      <c r="E869" t="inlineStr">
        <is>
          <t>Q3FY26</t>
        </is>
      </c>
      <c r="F869" t="inlineStr">
        <is>
          <t>02-Dec-2025</t>
        </is>
      </c>
      <c r="G869" t="inlineStr">
        <is>
          <t>Tuesday</t>
        </is>
      </c>
      <c r="H869" t="inlineStr">
        <is>
          <t>Weekly - Tuesday</t>
        </is>
      </c>
      <c r="I869" t="inlineStr">
        <is>
          <t>Weekly - Tuesday</t>
        </is>
      </c>
      <c r="J869" t="inlineStr">
        <is>
          <t>Month+1 Expiry</t>
        </is>
      </c>
      <c r="K869" s="25" t="n">
        <v>49899</v>
      </c>
      <c r="L869" s="26" t="n">
        <v>97.2389</v>
      </c>
      <c r="M869" s="26" t="n">
        <v>0.5044</v>
      </c>
    </row>
    <row r="870" ht="16" customHeight="1">
      <c r="A870" t="inlineStr">
        <is>
          <t>11-Nov-2025</t>
        </is>
      </c>
      <c r="B870" t="inlineStr">
        <is>
          <t>Tuesday</t>
        </is>
      </c>
      <c r="C870" t="inlineStr">
        <is>
          <t>Week2-Nov-2025</t>
        </is>
      </c>
      <c r="D870" s="78" t="n">
        <v>45962</v>
      </c>
      <c r="E870" t="inlineStr">
        <is>
          <t>Q3FY26</t>
        </is>
      </c>
      <c r="F870" t="inlineStr">
        <is>
          <t>09-Dec-2025</t>
        </is>
      </c>
      <c r="G870" t="inlineStr">
        <is>
          <t>Tuesday</t>
        </is>
      </c>
      <c r="H870" t="inlineStr">
        <is>
          <t>Weekly - Tuesday</t>
        </is>
      </c>
      <c r="I870" t="inlineStr">
        <is>
          <t>Weekly - Tuesday</t>
        </is>
      </c>
      <c r="J870" t="inlineStr">
        <is>
          <t>Month+1 Expiry</t>
        </is>
      </c>
      <c r="K870" s="25" t="n">
        <v>7701</v>
      </c>
      <c r="L870" s="26" t="n">
        <v>14.8941</v>
      </c>
      <c r="M870" s="26" t="n">
        <v>0.1217</v>
      </c>
    </row>
    <row r="871" ht="16" customHeight="1">
      <c r="A871" t="inlineStr">
        <is>
          <t>11-Nov-2025</t>
        </is>
      </c>
      <c r="B871" t="inlineStr">
        <is>
          <t>Tuesday</t>
        </is>
      </c>
      <c r="C871" t="inlineStr">
        <is>
          <t>Week2-Nov-2025</t>
        </is>
      </c>
      <c r="D871" s="78" t="n">
        <v>45962</v>
      </c>
      <c r="E871" t="inlineStr">
        <is>
          <t>Q3FY26</t>
        </is>
      </c>
      <c r="F871" t="inlineStr">
        <is>
          <t>30-Dec-2025</t>
        </is>
      </c>
      <c r="G871" t="inlineStr">
        <is>
          <t>Tuesday</t>
        </is>
      </c>
      <c r="H871" t="inlineStr">
        <is>
          <t>Monthly - Tuesday</t>
        </is>
      </c>
      <c r="I871" t="inlineStr">
        <is>
          <t>Monthly - Tuesday</t>
        </is>
      </c>
      <c r="J871" t="inlineStr">
        <is>
          <t>Month+1 Expiry</t>
        </is>
      </c>
      <c r="K871" s="25" t="n">
        <v>353681</v>
      </c>
      <c r="L871" s="26" t="n">
        <v>684.3854</v>
      </c>
      <c r="M871" s="26" t="n">
        <v>5.3635</v>
      </c>
    </row>
    <row r="872" ht="16" customHeight="1">
      <c r="A872" t="inlineStr">
        <is>
          <t>11-Nov-2025</t>
        </is>
      </c>
      <c r="B872" t="inlineStr">
        <is>
          <t>Tuesday</t>
        </is>
      </c>
      <c r="C872" t="inlineStr">
        <is>
          <t>Week2-Nov-2025</t>
        </is>
      </c>
      <c r="D872" s="78" t="n">
        <v>45962</v>
      </c>
      <c r="E872" t="inlineStr">
        <is>
          <t>Q3FY26</t>
        </is>
      </c>
      <c r="F872" t="inlineStr">
        <is>
          <t>27-Jan-2026</t>
        </is>
      </c>
      <c r="G872" t="inlineStr">
        <is>
          <t>Tuesday</t>
        </is>
      </c>
      <c r="H872" t="inlineStr">
        <is>
          <t>Monthly - Tuesday</t>
        </is>
      </c>
      <c r="I872" t="inlineStr">
        <is>
          <t>Monthly - Tuesday</t>
        </is>
      </c>
      <c r="J872" t="inlineStr">
        <is>
          <t>Month+2 Expiry</t>
        </is>
      </c>
      <c r="K872" s="25" t="n">
        <v>32541</v>
      </c>
      <c r="L872" s="26" t="n">
        <v>55.1107</v>
      </c>
      <c r="M872" s="26" t="n">
        <v>0.5187</v>
      </c>
    </row>
    <row r="873" ht="16" customHeight="1">
      <c r="A873" t="inlineStr">
        <is>
          <t>11-Nov-2025</t>
        </is>
      </c>
      <c r="B873" t="inlineStr">
        <is>
          <t>Tuesday</t>
        </is>
      </c>
      <c r="C873" t="inlineStr">
        <is>
          <t>Week2-Nov-2025</t>
        </is>
      </c>
      <c r="D873" s="78" t="n">
        <v>45962</v>
      </c>
      <c r="E873" t="inlineStr">
        <is>
          <t>Q3FY26</t>
        </is>
      </c>
      <c r="F873" t="inlineStr">
        <is>
          <t>31-Mar-2026</t>
        </is>
      </c>
      <c r="G873" t="inlineStr">
        <is>
          <t>Tuesday</t>
        </is>
      </c>
      <c r="H873" t="inlineStr">
        <is>
          <t>Monthly - Tuesday</t>
        </is>
      </c>
      <c r="I873" t="inlineStr">
        <is>
          <t>Monthly - Tuesday</t>
        </is>
      </c>
      <c r="J873" t="inlineStr">
        <is>
          <t>Month+4 Expiry</t>
        </is>
      </c>
      <c r="K873" s="25" t="n">
        <v>26575</v>
      </c>
      <c r="L873" s="26" t="n">
        <v>52.5776</v>
      </c>
      <c r="M873" s="26" t="n">
        <v>0.7477</v>
      </c>
    </row>
    <row r="874" ht="16" customHeight="1">
      <c r="A874" t="inlineStr">
        <is>
          <t>11-Nov-2025</t>
        </is>
      </c>
      <c r="B874" t="inlineStr">
        <is>
          <t>Tuesday</t>
        </is>
      </c>
      <c r="C874" t="inlineStr">
        <is>
          <t>Week2-Nov-2025</t>
        </is>
      </c>
      <c r="D874" s="78" t="n">
        <v>45962</v>
      </c>
      <c r="E874" t="inlineStr">
        <is>
          <t>Q3FY26</t>
        </is>
      </c>
      <c r="F874" t="inlineStr">
        <is>
          <t>30-Jun-2026</t>
        </is>
      </c>
      <c r="G874" t="inlineStr">
        <is>
          <t>Tuesday</t>
        </is>
      </c>
      <c r="H874" t="inlineStr">
        <is>
          <t>Monthly - Tuesday</t>
        </is>
      </c>
      <c r="I874" t="inlineStr">
        <is>
          <t>Monthly - Tuesday</t>
        </is>
      </c>
      <c r="J874" t="inlineStr">
        <is>
          <t>Month+7 Expiry</t>
        </is>
      </c>
      <c r="K874" s="25" t="n">
        <v>7936</v>
      </c>
      <c r="L874" s="26" t="n">
        <v>16.5229</v>
      </c>
      <c r="M874" s="26" t="n">
        <v>0.2506</v>
      </c>
    </row>
    <row r="875" ht="16" customHeight="1">
      <c r="A875" t="inlineStr">
        <is>
          <t>11-Nov-2025</t>
        </is>
      </c>
      <c r="B875" t="inlineStr">
        <is>
          <t>Tuesday</t>
        </is>
      </c>
      <c r="C875" t="inlineStr">
        <is>
          <t>Week2-Nov-2025</t>
        </is>
      </c>
      <c r="D875" s="78" t="n">
        <v>45962</v>
      </c>
      <c r="E875" t="inlineStr">
        <is>
          <t>Q3FY26</t>
        </is>
      </c>
      <c r="F875" t="inlineStr">
        <is>
          <t>29-Sep-2026</t>
        </is>
      </c>
      <c r="G875" t="inlineStr">
        <is>
          <t>Tuesday</t>
        </is>
      </c>
      <c r="H875" t="inlineStr">
        <is>
          <t>Monthly - Tuesday</t>
        </is>
      </c>
      <c r="I875" t="inlineStr">
        <is>
          <t>Monthly - Tuesday</t>
        </is>
      </c>
      <c r="J875" t="inlineStr">
        <is>
          <t>Month+10 Expiry</t>
        </is>
      </c>
      <c r="K875" s="25" t="n">
        <v>66</v>
      </c>
      <c r="L875" s="26" t="n">
        <v>0.124</v>
      </c>
      <c r="M875" s="26" t="n">
        <v>0.0019</v>
      </c>
    </row>
    <row r="876" ht="16" customHeight="1">
      <c r="A876" t="inlineStr">
        <is>
          <t>11-Nov-2025</t>
        </is>
      </c>
      <c r="B876" t="inlineStr">
        <is>
          <t>Tuesday</t>
        </is>
      </c>
      <c r="C876" t="inlineStr">
        <is>
          <t>Week2-Nov-2025</t>
        </is>
      </c>
      <c r="D876" s="78" t="n">
        <v>45962</v>
      </c>
      <c r="E876" t="inlineStr">
        <is>
          <t>Q3FY26</t>
        </is>
      </c>
      <c r="F876" t="inlineStr">
        <is>
          <t>29-Dec-2026</t>
        </is>
      </c>
      <c r="G876" t="inlineStr">
        <is>
          <t>Tuesday</t>
        </is>
      </c>
      <c r="H876" t="inlineStr">
        <is>
          <t>Monthly - Tuesday</t>
        </is>
      </c>
      <c r="I876" t="inlineStr">
        <is>
          <t>Monthly - Tuesday</t>
        </is>
      </c>
      <c r="J876" t="inlineStr">
        <is>
          <t>Month+13 Expiry</t>
        </is>
      </c>
      <c r="K876" s="25" t="n">
        <v>6306</v>
      </c>
      <c r="L876" s="26" t="n">
        <v>13.6129</v>
      </c>
      <c r="M876" s="26" t="n">
        <v>0.3712</v>
      </c>
    </row>
    <row r="877" ht="16" customHeight="1">
      <c r="A877" t="inlineStr">
        <is>
          <t>11-Nov-2025</t>
        </is>
      </c>
      <c r="B877" t="inlineStr">
        <is>
          <t>Tuesday</t>
        </is>
      </c>
      <c r="C877" t="inlineStr">
        <is>
          <t>Week2-Nov-2025</t>
        </is>
      </c>
      <c r="D877" s="78" t="n">
        <v>45962</v>
      </c>
      <c r="E877" t="inlineStr">
        <is>
          <t>Q3FY26</t>
        </is>
      </c>
      <c r="F877" t="inlineStr">
        <is>
          <t>29-Jun-2027</t>
        </is>
      </c>
      <c r="G877" t="inlineStr">
        <is>
          <t>Tuesday</t>
        </is>
      </c>
      <c r="H877" t="inlineStr">
        <is>
          <t>Monthly - Tuesday</t>
        </is>
      </c>
      <c r="I877" t="inlineStr">
        <is>
          <t>Monthly - Tuesday</t>
        </is>
      </c>
      <c r="J877" t="inlineStr">
        <is>
          <t>Month+19 Expiry</t>
        </is>
      </c>
      <c r="K877" s="25" t="n">
        <v>0</v>
      </c>
      <c r="L877" s="26" t="n">
        <v>0</v>
      </c>
      <c r="M877" s="26" t="n">
        <v>0</v>
      </c>
    </row>
    <row r="878" ht="16" customHeight="1">
      <c r="A878" t="inlineStr">
        <is>
          <t>11-Nov-2025</t>
        </is>
      </c>
      <c r="B878" t="inlineStr">
        <is>
          <t>Tuesday</t>
        </is>
      </c>
      <c r="C878" t="inlineStr">
        <is>
          <t>Week2-Nov-2025</t>
        </is>
      </c>
      <c r="D878" s="78" t="n">
        <v>45962</v>
      </c>
      <c r="E878" t="inlineStr">
        <is>
          <t>Q3FY26</t>
        </is>
      </c>
      <c r="F878" t="inlineStr">
        <is>
          <t>28-Dec-2027</t>
        </is>
      </c>
      <c r="G878" t="inlineStr">
        <is>
          <t>Tuesday</t>
        </is>
      </c>
      <c r="H878" t="inlineStr">
        <is>
          <t>Monthly - Tuesday</t>
        </is>
      </c>
      <c r="I878" t="inlineStr">
        <is>
          <t>Monthly - Tuesday</t>
        </is>
      </c>
      <c r="J878" t="inlineStr">
        <is>
          <t>Month+25 Expiry</t>
        </is>
      </c>
      <c r="K878" s="25" t="n">
        <v>9</v>
      </c>
      <c r="L878" s="26" t="n">
        <v>0.0165</v>
      </c>
      <c r="M878" s="26" t="n">
        <v>0.0004</v>
      </c>
    </row>
    <row r="879" ht="16" customHeight="1">
      <c r="A879" t="inlineStr">
        <is>
          <t>11-Nov-2025</t>
        </is>
      </c>
      <c r="B879" t="inlineStr">
        <is>
          <t>Tuesday</t>
        </is>
      </c>
      <c r="C879" t="inlineStr">
        <is>
          <t>Week2-Nov-2025</t>
        </is>
      </c>
      <c r="D879" s="78" t="n">
        <v>45962</v>
      </c>
      <c r="E879" t="inlineStr">
        <is>
          <t>Q3FY26</t>
        </is>
      </c>
      <c r="F879" t="inlineStr">
        <is>
          <t>27-Jun-2028</t>
        </is>
      </c>
      <c r="G879" t="inlineStr">
        <is>
          <t>Tuesday</t>
        </is>
      </c>
      <c r="H879" t="inlineStr">
        <is>
          <t>Monthly - Tuesday</t>
        </is>
      </c>
      <c r="I879" t="inlineStr">
        <is>
          <t>Monthly - Tuesday</t>
        </is>
      </c>
      <c r="J879" t="inlineStr">
        <is>
          <t>Month+31 Expiry</t>
        </is>
      </c>
      <c r="K879" s="25" t="n">
        <v>0</v>
      </c>
      <c r="L879" s="26" t="n">
        <v>0</v>
      </c>
      <c r="M879" s="26" t="n">
        <v>0</v>
      </c>
    </row>
    <row r="880" ht="16" customHeight="1">
      <c r="A880" t="inlineStr">
        <is>
          <t>11-Nov-2025</t>
        </is>
      </c>
      <c r="B880" t="inlineStr">
        <is>
          <t>Tuesday</t>
        </is>
      </c>
      <c r="C880" t="inlineStr">
        <is>
          <t>Week2-Nov-2025</t>
        </is>
      </c>
      <c r="D880" s="78" t="n">
        <v>45962</v>
      </c>
      <c r="E880" t="inlineStr">
        <is>
          <t>Q3FY26</t>
        </is>
      </c>
      <c r="F880" t="inlineStr">
        <is>
          <t>26-Dec-2028</t>
        </is>
      </c>
      <c r="G880" t="inlineStr">
        <is>
          <t>Tuesday</t>
        </is>
      </c>
      <c r="H880" t="inlineStr">
        <is>
          <t>Monthly - Tuesday</t>
        </is>
      </c>
      <c r="I880" t="inlineStr">
        <is>
          <t>Monthly - Tuesday</t>
        </is>
      </c>
      <c r="J880" t="inlineStr">
        <is>
          <t>Month+37 Expiry</t>
        </is>
      </c>
      <c r="K880" s="25" t="n">
        <v>3</v>
      </c>
      <c r="L880" s="26" t="n">
        <v>0.0058</v>
      </c>
      <c r="M880" s="26" t="n">
        <v>0.0002</v>
      </c>
    </row>
    <row r="881" ht="16" customHeight="1">
      <c r="A881" t="inlineStr">
        <is>
          <t>11-Nov-2025</t>
        </is>
      </c>
      <c r="B881" t="inlineStr">
        <is>
          <t>Tuesday</t>
        </is>
      </c>
      <c r="C881" t="inlineStr">
        <is>
          <t>Week2-Nov-2025</t>
        </is>
      </c>
      <c r="D881" s="78" t="n">
        <v>45962</v>
      </c>
      <c r="E881" t="inlineStr">
        <is>
          <t>Q3FY26</t>
        </is>
      </c>
      <c r="F881" t="inlineStr">
        <is>
          <t>26-Jun-2029</t>
        </is>
      </c>
      <c r="G881" t="inlineStr">
        <is>
          <t>Tuesday</t>
        </is>
      </c>
      <c r="H881" t="inlineStr">
        <is>
          <t>Monthly - Tuesday</t>
        </is>
      </c>
      <c r="I881" t="inlineStr">
        <is>
          <t>Monthly - Tuesday</t>
        </is>
      </c>
      <c r="J881" t="inlineStr">
        <is>
          <t>Month+43 Expiry</t>
        </is>
      </c>
      <c r="K881" s="25" t="n">
        <v>0</v>
      </c>
      <c r="L881" s="26" t="n">
        <v>0</v>
      </c>
      <c r="M881" s="26" t="n">
        <v>0</v>
      </c>
    </row>
    <row r="882" ht="16" customHeight="1">
      <c r="A882" t="inlineStr">
        <is>
          <t>11-Nov-2025</t>
        </is>
      </c>
      <c r="B882" t="inlineStr">
        <is>
          <t>Tuesday</t>
        </is>
      </c>
      <c r="C882" t="inlineStr">
        <is>
          <t>Week2-Nov-2025</t>
        </is>
      </c>
      <c r="D882" s="78" t="n">
        <v>45962</v>
      </c>
      <c r="E882" t="inlineStr">
        <is>
          <t>Q3FY26</t>
        </is>
      </c>
      <c r="F882" t="inlineStr">
        <is>
          <t>24-Dec-2029</t>
        </is>
      </c>
      <c r="G882" t="inlineStr">
        <is>
          <t>Monday</t>
        </is>
      </c>
      <c r="H882" t="inlineStr">
        <is>
          <t>Weekly - Monday</t>
        </is>
      </c>
      <c r="I882" t="inlineStr">
        <is>
          <t>Weekly - Monday</t>
        </is>
      </c>
      <c r="J882" t="inlineStr">
        <is>
          <t>Month+49 Expiry</t>
        </is>
      </c>
      <c r="K882" s="25" t="n">
        <v>0</v>
      </c>
      <c r="L882" s="26" t="n">
        <v>0</v>
      </c>
      <c r="M882" s="26" t="n">
        <v>0</v>
      </c>
    </row>
    <row r="883" ht="16" customHeight="1">
      <c r="A883" t="inlineStr">
        <is>
          <t>11-Nov-2025</t>
        </is>
      </c>
      <c r="B883" t="inlineStr">
        <is>
          <t>Tuesday</t>
        </is>
      </c>
      <c r="C883" t="inlineStr">
        <is>
          <t>Week2-Nov-2025</t>
        </is>
      </c>
      <c r="D883" s="78" t="n">
        <v>45962</v>
      </c>
      <c r="E883" t="inlineStr">
        <is>
          <t>Q3FY26</t>
        </is>
      </c>
      <c r="F883" t="inlineStr">
        <is>
          <t>25-Jun-2030</t>
        </is>
      </c>
      <c r="G883" t="inlineStr">
        <is>
          <t>Tuesday</t>
        </is>
      </c>
      <c r="H883" t="inlineStr">
        <is>
          <t>Monthly - Tuesday</t>
        </is>
      </c>
      <c r="I883" t="inlineStr">
        <is>
          <t>Monthly - Tuesday</t>
        </is>
      </c>
      <c r="J883" t="inlineStr">
        <is>
          <t>Month+55 Expiry</t>
        </is>
      </c>
      <c r="K883" s="25" t="n">
        <v>0</v>
      </c>
      <c r="L883" s="26" t="n">
        <v>0</v>
      </c>
      <c r="M883" s="26" t="n">
        <v>0</v>
      </c>
    </row>
    <row r="884" ht="16" customHeight="1">
      <c r="A884" t="inlineStr">
        <is>
          <t>12-Nov-2025</t>
        </is>
      </c>
      <c r="B884" t="inlineStr">
        <is>
          <t>Wednesday</t>
        </is>
      </c>
      <c r="C884" t="inlineStr">
        <is>
          <t>Week2-Nov-2025</t>
        </is>
      </c>
      <c r="D884" s="78" t="n">
        <v>45962</v>
      </c>
      <c r="E884" t="inlineStr">
        <is>
          <t>Q3FY26</t>
        </is>
      </c>
      <c r="F884" t="inlineStr">
        <is>
          <t>18-Nov-2025</t>
        </is>
      </c>
      <c r="G884" t="inlineStr">
        <is>
          <t>Tuesday</t>
        </is>
      </c>
      <c r="H884" t="inlineStr">
        <is>
          <t>Weekly - Tuesday</t>
        </is>
      </c>
      <c r="I884" t="inlineStr">
        <is>
          <t>Weekly - Tuesday</t>
        </is>
      </c>
      <c r="J884" t="inlineStr">
        <is>
          <t>Same Month Expiry</t>
        </is>
      </c>
      <c r="K884" s="25" t="n">
        <v>41848047</v>
      </c>
      <c r="L884" s="26" t="n">
        <v>81332.6449</v>
      </c>
      <c r="M884" s="26" t="n">
        <v>250.9091</v>
      </c>
    </row>
    <row r="885" ht="16" customHeight="1">
      <c r="A885" t="inlineStr">
        <is>
          <t>12-Nov-2025</t>
        </is>
      </c>
      <c r="B885" t="inlineStr">
        <is>
          <t>Wednesday</t>
        </is>
      </c>
      <c r="C885" t="inlineStr">
        <is>
          <t>Week2-Nov-2025</t>
        </is>
      </c>
      <c r="D885" s="78" t="n">
        <v>45962</v>
      </c>
      <c r="E885" t="inlineStr">
        <is>
          <t>Q3FY26</t>
        </is>
      </c>
      <c r="F885" t="inlineStr">
        <is>
          <t>25-Nov-2025</t>
        </is>
      </c>
      <c r="G885" t="inlineStr">
        <is>
          <t>Tuesday</t>
        </is>
      </c>
      <c r="H885" t="inlineStr">
        <is>
          <t>Monthly - Tuesday</t>
        </is>
      </c>
      <c r="I885" t="inlineStr">
        <is>
          <t>Monthly - Tuesday</t>
        </is>
      </c>
      <c r="J885" t="inlineStr">
        <is>
          <t>Same Month Expiry</t>
        </is>
      </c>
      <c r="K885" s="25" t="n">
        <v>2420254</v>
      </c>
      <c r="L885" s="26" t="n">
        <v>4704.8594</v>
      </c>
      <c r="M885" s="26" t="n">
        <v>22.462</v>
      </c>
    </row>
    <row r="886" ht="16" customHeight="1">
      <c r="A886" t="inlineStr">
        <is>
          <t>12-Nov-2025</t>
        </is>
      </c>
      <c r="B886" t="inlineStr">
        <is>
          <t>Wednesday</t>
        </is>
      </c>
      <c r="C886" t="inlineStr">
        <is>
          <t>Week2-Nov-2025</t>
        </is>
      </c>
      <c r="D886" s="78" t="n">
        <v>45962</v>
      </c>
      <c r="E886" t="inlineStr">
        <is>
          <t>Q3FY26</t>
        </is>
      </c>
      <c r="F886" t="inlineStr">
        <is>
          <t>02-Dec-2025</t>
        </is>
      </c>
      <c r="G886" t="inlineStr">
        <is>
          <t>Tuesday</t>
        </is>
      </c>
      <c r="H886" t="inlineStr">
        <is>
          <t>Weekly - Tuesday</t>
        </is>
      </c>
      <c r="I886" t="inlineStr">
        <is>
          <t>Weekly - Tuesday</t>
        </is>
      </c>
      <c r="J886" t="inlineStr">
        <is>
          <t>Month+1 Expiry</t>
        </is>
      </c>
      <c r="K886" s="25" t="n">
        <v>92101</v>
      </c>
      <c r="L886" s="26" t="n">
        <v>180.1398</v>
      </c>
      <c r="M886" s="26" t="n">
        <v>0.8613</v>
      </c>
    </row>
    <row r="887" ht="16" customHeight="1">
      <c r="A887" t="inlineStr">
        <is>
          <t>12-Nov-2025</t>
        </is>
      </c>
      <c r="B887" t="inlineStr">
        <is>
          <t>Wednesday</t>
        </is>
      </c>
      <c r="C887" t="inlineStr">
        <is>
          <t>Week2-Nov-2025</t>
        </is>
      </c>
      <c r="D887" s="78" t="n">
        <v>45962</v>
      </c>
      <c r="E887" t="inlineStr">
        <is>
          <t>Q3FY26</t>
        </is>
      </c>
      <c r="F887" t="inlineStr">
        <is>
          <t>09-Dec-2025</t>
        </is>
      </c>
      <c r="G887" t="inlineStr">
        <is>
          <t>Tuesday</t>
        </is>
      </c>
      <c r="H887" t="inlineStr">
        <is>
          <t>Weekly - Tuesday</t>
        </is>
      </c>
      <c r="I887" t="inlineStr">
        <is>
          <t>Weekly - Tuesday</t>
        </is>
      </c>
      <c r="J887" t="inlineStr">
        <is>
          <t>Month+1 Expiry</t>
        </is>
      </c>
      <c r="K887" s="25" t="n">
        <v>14692</v>
      </c>
      <c r="L887" s="26" t="n">
        <v>28.6401</v>
      </c>
      <c r="M887" s="26" t="n">
        <v>0.2002</v>
      </c>
    </row>
    <row r="888" ht="16" customHeight="1">
      <c r="A888" t="inlineStr">
        <is>
          <t>12-Nov-2025</t>
        </is>
      </c>
      <c r="B888" t="inlineStr">
        <is>
          <t>Wednesday</t>
        </is>
      </c>
      <c r="C888" t="inlineStr">
        <is>
          <t>Week2-Nov-2025</t>
        </is>
      </c>
      <c r="D888" s="78" t="n">
        <v>45962</v>
      </c>
      <c r="E888" t="inlineStr">
        <is>
          <t>Q3FY26</t>
        </is>
      </c>
      <c r="F888" t="inlineStr">
        <is>
          <t>16-Dec-2025</t>
        </is>
      </c>
      <c r="G888" t="inlineStr">
        <is>
          <t>Tuesday</t>
        </is>
      </c>
      <c r="H888" t="inlineStr">
        <is>
          <t>Weekly - Tuesday</t>
        </is>
      </c>
      <c r="I888" t="inlineStr">
        <is>
          <t>Weekly - Tuesday</t>
        </is>
      </c>
      <c r="J888" t="inlineStr">
        <is>
          <t>Month+1 Expiry</t>
        </is>
      </c>
      <c r="K888" s="25" t="n">
        <v>1756</v>
      </c>
      <c r="L888" s="26" t="n">
        <v>3.4364</v>
      </c>
      <c r="M888" s="26" t="n">
        <v>0.0318</v>
      </c>
    </row>
    <row r="889" ht="16" customHeight="1">
      <c r="A889" t="inlineStr">
        <is>
          <t>12-Nov-2025</t>
        </is>
      </c>
      <c r="B889" t="inlineStr">
        <is>
          <t>Wednesday</t>
        </is>
      </c>
      <c r="C889" t="inlineStr">
        <is>
          <t>Week2-Nov-2025</t>
        </is>
      </c>
      <c r="D889" s="78" t="n">
        <v>45962</v>
      </c>
      <c r="E889" t="inlineStr">
        <is>
          <t>Q3FY26</t>
        </is>
      </c>
      <c r="F889" t="inlineStr">
        <is>
          <t>30-Dec-2025</t>
        </is>
      </c>
      <c r="G889" t="inlineStr">
        <is>
          <t>Tuesday</t>
        </is>
      </c>
      <c r="H889" t="inlineStr">
        <is>
          <t>Monthly - Tuesday</t>
        </is>
      </c>
      <c r="I889" t="inlineStr">
        <is>
          <t>Monthly - Tuesday</t>
        </is>
      </c>
      <c r="J889" t="inlineStr">
        <is>
          <t>Month+1 Expiry</t>
        </is>
      </c>
      <c r="K889" s="25" t="n">
        <v>464933</v>
      </c>
      <c r="L889" s="26" t="n">
        <v>901.5951</v>
      </c>
      <c r="M889" s="26" t="n">
        <v>6.781</v>
      </c>
    </row>
    <row r="890" ht="16" customHeight="1">
      <c r="A890" t="inlineStr">
        <is>
          <t>12-Nov-2025</t>
        </is>
      </c>
      <c r="B890" t="inlineStr">
        <is>
          <t>Wednesday</t>
        </is>
      </c>
      <c r="C890" t="inlineStr">
        <is>
          <t>Week2-Nov-2025</t>
        </is>
      </c>
      <c r="D890" s="78" t="n">
        <v>45962</v>
      </c>
      <c r="E890" t="inlineStr">
        <is>
          <t>Q3FY26</t>
        </is>
      </c>
      <c r="F890" t="inlineStr">
        <is>
          <t>27-Jan-2026</t>
        </is>
      </c>
      <c r="G890" t="inlineStr">
        <is>
          <t>Tuesday</t>
        </is>
      </c>
      <c r="H890" t="inlineStr">
        <is>
          <t>Monthly - Tuesday</t>
        </is>
      </c>
      <c r="I890" t="inlineStr">
        <is>
          <t>Monthly - Tuesday</t>
        </is>
      </c>
      <c r="J890" t="inlineStr">
        <is>
          <t>Month+2 Expiry</t>
        </is>
      </c>
      <c r="K890" s="25" t="n">
        <v>39669</v>
      </c>
      <c r="L890" s="26" t="n">
        <v>67.012</v>
      </c>
      <c r="M890" s="26" t="n">
        <v>0.7604</v>
      </c>
    </row>
    <row r="891" ht="16" customHeight="1">
      <c r="A891" t="inlineStr">
        <is>
          <t>12-Nov-2025</t>
        </is>
      </c>
      <c r="B891" t="inlineStr">
        <is>
          <t>Wednesday</t>
        </is>
      </c>
      <c r="C891" t="inlineStr">
        <is>
          <t>Week2-Nov-2025</t>
        </is>
      </c>
      <c r="D891" s="78" t="n">
        <v>45962</v>
      </c>
      <c r="E891" t="inlineStr">
        <is>
          <t>Q3FY26</t>
        </is>
      </c>
      <c r="F891" t="inlineStr">
        <is>
          <t>31-Mar-2026</t>
        </is>
      </c>
      <c r="G891" t="inlineStr">
        <is>
          <t>Tuesday</t>
        </is>
      </c>
      <c r="H891" t="inlineStr">
        <is>
          <t>Monthly - Tuesday</t>
        </is>
      </c>
      <c r="I891" t="inlineStr">
        <is>
          <t>Monthly - Tuesday</t>
        </is>
      </c>
      <c r="J891" t="inlineStr">
        <is>
          <t>Month+4 Expiry</t>
        </is>
      </c>
      <c r="K891" s="25" t="n">
        <v>25658</v>
      </c>
      <c r="L891" s="26" t="n">
        <v>50.3264</v>
      </c>
      <c r="M891" s="26" t="n">
        <v>0.7474</v>
      </c>
    </row>
    <row r="892" ht="16" customHeight="1">
      <c r="A892" t="inlineStr">
        <is>
          <t>12-Nov-2025</t>
        </is>
      </c>
      <c r="B892" t="inlineStr">
        <is>
          <t>Wednesday</t>
        </is>
      </c>
      <c r="C892" t="inlineStr">
        <is>
          <t>Week2-Nov-2025</t>
        </is>
      </c>
      <c r="D892" s="78" t="n">
        <v>45962</v>
      </c>
      <c r="E892" t="inlineStr">
        <is>
          <t>Q3FY26</t>
        </is>
      </c>
      <c r="F892" t="inlineStr">
        <is>
          <t>30-Jun-2026</t>
        </is>
      </c>
      <c r="G892" t="inlineStr">
        <is>
          <t>Tuesday</t>
        </is>
      </c>
      <c r="H892" t="inlineStr">
        <is>
          <t>Monthly - Tuesday</t>
        </is>
      </c>
      <c r="I892" t="inlineStr">
        <is>
          <t>Monthly - Tuesday</t>
        </is>
      </c>
      <c r="J892" t="inlineStr">
        <is>
          <t>Month+7 Expiry</t>
        </is>
      </c>
      <c r="K892" s="25" t="n">
        <v>6312</v>
      </c>
      <c r="L892" s="26" t="n">
        <v>12.5493</v>
      </c>
      <c r="M892" s="26" t="n">
        <v>0.2368</v>
      </c>
    </row>
    <row r="893" ht="16" customHeight="1">
      <c r="A893" t="inlineStr">
        <is>
          <t>12-Nov-2025</t>
        </is>
      </c>
      <c r="B893" t="inlineStr">
        <is>
          <t>Wednesday</t>
        </is>
      </c>
      <c r="C893" t="inlineStr">
        <is>
          <t>Week2-Nov-2025</t>
        </is>
      </c>
      <c r="D893" s="78" t="n">
        <v>45962</v>
      </c>
      <c r="E893" t="inlineStr">
        <is>
          <t>Q3FY26</t>
        </is>
      </c>
      <c r="F893" t="inlineStr">
        <is>
          <t>29-Sep-2026</t>
        </is>
      </c>
      <c r="G893" t="inlineStr">
        <is>
          <t>Tuesday</t>
        </is>
      </c>
      <c r="H893" t="inlineStr">
        <is>
          <t>Monthly - Tuesday</t>
        </is>
      </c>
      <c r="I893" t="inlineStr">
        <is>
          <t>Monthly - Tuesday</t>
        </is>
      </c>
      <c r="J893" t="inlineStr">
        <is>
          <t>Month+10 Expiry</t>
        </is>
      </c>
      <c r="K893" s="25" t="n">
        <v>77</v>
      </c>
      <c r="L893" s="26" t="n">
        <v>0.1445</v>
      </c>
      <c r="M893" s="26" t="n">
        <v>0.002</v>
      </c>
    </row>
    <row r="894" ht="16" customHeight="1">
      <c r="A894" t="inlineStr">
        <is>
          <t>12-Nov-2025</t>
        </is>
      </c>
      <c r="B894" t="inlineStr">
        <is>
          <t>Wednesday</t>
        </is>
      </c>
      <c r="C894" t="inlineStr">
        <is>
          <t>Week2-Nov-2025</t>
        </is>
      </c>
      <c r="D894" s="78" t="n">
        <v>45962</v>
      </c>
      <c r="E894" t="inlineStr">
        <is>
          <t>Q3FY26</t>
        </is>
      </c>
      <c r="F894" t="inlineStr">
        <is>
          <t>29-Dec-2026</t>
        </is>
      </c>
      <c r="G894" t="inlineStr">
        <is>
          <t>Tuesday</t>
        </is>
      </c>
      <c r="H894" t="inlineStr">
        <is>
          <t>Monthly - Tuesday</t>
        </is>
      </c>
      <c r="I894" t="inlineStr">
        <is>
          <t>Monthly - Tuesday</t>
        </is>
      </c>
      <c r="J894" t="inlineStr">
        <is>
          <t>Month+13 Expiry</t>
        </is>
      </c>
      <c r="K894" s="25" t="n">
        <v>4249</v>
      </c>
      <c r="L894" s="26" t="n">
        <v>8.4758</v>
      </c>
      <c r="M894" s="26" t="n">
        <v>0.2284</v>
      </c>
    </row>
    <row r="895" ht="16" customHeight="1">
      <c r="A895" t="inlineStr">
        <is>
          <t>12-Nov-2025</t>
        </is>
      </c>
      <c r="B895" t="inlineStr">
        <is>
          <t>Wednesday</t>
        </is>
      </c>
      <c r="C895" t="inlineStr">
        <is>
          <t>Week2-Nov-2025</t>
        </is>
      </c>
      <c r="D895" s="78" t="n">
        <v>45962</v>
      </c>
      <c r="E895" t="inlineStr">
        <is>
          <t>Q3FY26</t>
        </is>
      </c>
      <c r="F895" t="inlineStr">
        <is>
          <t>29-Jun-2027</t>
        </is>
      </c>
      <c r="G895" t="inlineStr">
        <is>
          <t>Tuesday</t>
        </is>
      </c>
      <c r="H895" t="inlineStr">
        <is>
          <t>Monthly - Tuesday</t>
        </is>
      </c>
      <c r="I895" t="inlineStr">
        <is>
          <t>Monthly - Tuesday</t>
        </is>
      </c>
      <c r="J895" t="inlineStr">
        <is>
          <t>Month+19 Expiry</t>
        </is>
      </c>
      <c r="K895" s="25" t="n">
        <v>0</v>
      </c>
      <c r="L895" s="26" t="n">
        <v>0</v>
      </c>
      <c r="M895" s="26" t="n">
        <v>0</v>
      </c>
    </row>
    <row r="896" ht="16" customHeight="1">
      <c r="A896" t="inlineStr">
        <is>
          <t>12-Nov-2025</t>
        </is>
      </c>
      <c r="B896" t="inlineStr">
        <is>
          <t>Wednesday</t>
        </is>
      </c>
      <c r="C896" t="inlineStr">
        <is>
          <t>Week2-Nov-2025</t>
        </is>
      </c>
      <c r="D896" s="78" t="n">
        <v>45962</v>
      </c>
      <c r="E896" t="inlineStr">
        <is>
          <t>Q3FY26</t>
        </is>
      </c>
      <c r="F896" t="inlineStr">
        <is>
          <t>28-Dec-2027</t>
        </is>
      </c>
      <c r="G896" t="inlineStr">
        <is>
          <t>Tuesday</t>
        </is>
      </c>
      <c r="H896" t="inlineStr">
        <is>
          <t>Monthly - Tuesday</t>
        </is>
      </c>
      <c r="I896" t="inlineStr">
        <is>
          <t>Monthly - Tuesday</t>
        </is>
      </c>
      <c r="J896" t="inlineStr">
        <is>
          <t>Month+25 Expiry</t>
        </is>
      </c>
      <c r="K896" s="25" t="n">
        <v>20</v>
      </c>
      <c r="L896" s="26" t="n">
        <v>0.0374</v>
      </c>
      <c r="M896" s="26" t="n">
        <v>0.0009</v>
      </c>
    </row>
    <row r="897" ht="16" customHeight="1">
      <c r="A897" t="inlineStr">
        <is>
          <t>12-Nov-2025</t>
        </is>
      </c>
      <c r="B897" t="inlineStr">
        <is>
          <t>Wednesday</t>
        </is>
      </c>
      <c r="C897" t="inlineStr">
        <is>
          <t>Week2-Nov-2025</t>
        </is>
      </c>
      <c r="D897" s="78" t="n">
        <v>45962</v>
      </c>
      <c r="E897" t="inlineStr">
        <is>
          <t>Q3FY26</t>
        </is>
      </c>
      <c r="F897" t="inlineStr">
        <is>
          <t>27-Jun-2028</t>
        </is>
      </c>
      <c r="G897" t="inlineStr">
        <is>
          <t>Tuesday</t>
        </is>
      </c>
      <c r="H897" t="inlineStr">
        <is>
          <t>Monthly - Tuesday</t>
        </is>
      </c>
      <c r="I897" t="inlineStr">
        <is>
          <t>Monthly - Tuesday</t>
        </is>
      </c>
      <c r="J897" t="inlineStr">
        <is>
          <t>Month+31 Expiry</t>
        </is>
      </c>
      <c r="K897" s="25" t="n">
        <v>0</v>
      </c>
      <c r="L897" s="26" t="n">
        <v>0</v>
      </c>
      <c r="M897" s="26" t="n">
        <v>0</v>
      </c>
    </row>
    <row r="898" ht="16" customHeight="1">
      <c r="A898" t="inlineStr">
        <is>
          <t>12-Nov-2025</t>
        </is>
      </c>
      <c r="B898" t="inlineStr">
        <is>
          <t>Wednesday</t>
        </is>
      </c>
      <c r="C898" t="inlineStr">
        <is>
          <t>Week2-Nov-2025</t>
        </is>
      </c>
      <c r="D898" s="78" t="n">
        <v>45962</v>
      </c>
      <c r="E898" t="inlineStr">
        <is>
          <t>Q3FY26</t>
        </is>
      </c>
      <c r="F898" t="inlineStr">
        <is>
          <t>26-Dec-2028</t>
        </is>
      </c>
      <c r="G898" t="inlineStr">
        <is>
          <t>Tuesday</t>
        </is>
      </c>
      <c r="H898" t="inlineStr">
        <is>
          <t>Monthly - Tuesday</t>
        </is>
      </c>
      <c r="I898" t="inlineStr">
        <is>
          <t>Monthly - Tuesday</t>
        </is>
      </c>
      <c r="J898" t="inlineStr">
        <is>
          <t>Month+37 Expiry</t>
        </is>
      </c>
      <c r="K898" s="25" t="n">
        <v>1</v>
      </c>
      <c r="L898" s="26" t="n">
        <v>0.002</v>
      </c>
      <c r="M898" s="26" t="n">
        <v>0.0001</v>
      </c>
    </row>
    <row r="899" ht="16" customHeight="1">
      <c r="A899" t="inlineStr">
        <is>
          <t>12-Nov-2025</t>
        </is>
      </c>
      <c r="B899" t="inlineStr">
        <is>
          <t>Wednesday</t>
        </is>
      </c>
      <c r="C899" t="inlineStr">
        <is>
          <t>Week2-Nov-2025</t>
        </is>
      </c>
      <c r="D899" s="78" t="n">
        <v>45962</v>
      </c>
      <c r="E899" t="inlineStr">
        <is>
          <t>Q3FY26</t>
        </is>
      </c>
      <c r="F899" t="inlineStr">
        <is>
          <t>26-Jun-2029</t>
        </is>
      </c>
      <c r="G899" t="inlineStr">
        <is>
          <t>Tuesday</t>
        </is>
      </c>
      <c r="H899" t="inlineStr">
        <is>
          <t>Monthly - Tuesday</t>
        </is>
      </c>
      <c r="I899" t="inlineStr">
        <is>
          <t>Monthly - Tuesday</t>
        </is>
      </c>
      <c r="J899" t="inlineStr">
        <is>
          <t>Month+43 Expiry</t>
        </is>
      </c>
      <c r="K899" s="25" t="n">
        <v>0</v>
      </c>
      <c r="L899" s="26" t="n">
        <v>0</v>
      </c>
      <c r="M899" s="26" t="n">
        <v>0</v>
      </c>
    </row>
    <row r="900" ht="16" customHeight="1">
      <c r="A900" t="inlineStr">
        <is>
          <t>12-Nov-2025</t>
        </is>
      </c>
      <c r="B900" t="inlineStr">
        <is>
          <t>Wednesday</t>
        </is>
      </c>
      <c r="C900" t="inlineStr">
        <is>
          <t>Week2-Nov-2025</t>
        </is>
      </c>
      <c r="D900" s="78" t="n">
        <v>45962</v>
      </c>
      <c r="E900" t="inlineStr">
        <is>
          <t>Q3FY26</t>
        </is>
      </c>
      <c r="F900" t="inlineStr">
        <is>
          <t>24-Dec-2029</t>
        </is>
      </c>
      <c r="G900" t="inlineStr">
        <is>
          <t>Monday</t>
        </is>
      </c>
      <c r="H900" t="inlineStr">
        <is>
          <t>Weekly - Monday</t>
        </is>
      </c>
      <c r="I900" t="inlineStr">
        <is>
          <t>Weekly - Monday</t>
        </is>
      </c>
      <c r="J900" t="inlineStr">
        <is>
          <t>Month+49 Expiry</t>
        </is>
      </c>
      <c r="K900" s="25" t="n">
        <v>0</v>
      </c>
      <c r="L900" s="26" t="n">
        <v>0</v>
      </c>
      <c r="M900" s="26" t="n">
        <v>0</v>
      </c>
    </row>
    <row r="901" ht="16" customHeight="1">
      <c r="A901" t="inlineStr">
        <is>
          <t>12-Nov-2025</t>
        </is>
      </c>
      <c r="B901" t="inlineStr">
        <is>
          <t>Wednesday</t>
        </is>
      </c>
      <c r="C901" t="inlineStr">
        <is>
          <t>Week2-Nov-2025</t>
        </is>
      </c>
      <c r="D901" s="78" t="n">
        <v>45962</v>
      </c>
      <c r="E901" t="inlineStr">
        <is>
          <t>Q3FY26</t>
        </is>
      </c>
      <c r="F901" t="inlineStr">
        <is>
          <t>25-Jun-2030</t>
        </is>
      </c>
      <c r="G901" t="inlineStr">
        <is>
          <t>Tuesday</t>
        </is>
      </c>
      <c r="H901" t="inlineStr">
        <is>
          <t>Monthly - Tuesday</t>
        </is>
      </c>
      <c r="I901" t="inlineStr">
        <is>
          <t>Monthly - Tuesday</t>
        </is>
      </c>
      <c r="J901" t="inlineStr">
        <is>
          <t>Month+55 Expiry</t>
        </is>
      </c>
      <c r="K901" s="25" t="n">
        <v>0</v>
      </c>
      <c r="L901" s="26" t="n">
        <v>0</v>
      </c>
      <c r="M901" s="26" t="n">
        <v>0</v>
      </c>
    </row>
    <row r="902" ht="16" customHeight="1">
      <c r="A902" t="inlineStr">
        <is>
          <t>13-Nov-2025</t>
        </is>
      </c>
      <c r="B902" t="inlineStr">
        <is>
          <t>Thursday</t>
        </is>
      </c>
      <c r="C902" t="inlineStr">
        <is>
          <t>Week2-Nov-2025</t>
        </is>
      </c>
      <c r="D902" s="78" t="n">
        <v>45962</v>
      </c>
      <c r="E902" t="inlineStr">
        <is>
          <t>Q3FY26</t>
        </is>
      </c>
      <c r="F902" t="inlineStr">
        <is>
          <t>18-Nov-2025</t>
        </is>
      </c>
      <c r="G902" t="inlineStr">
        <is>
          <t>Tuesday</t>
        </is>
      </c>
      <c r="H902" t="inlineStr">
        <is>
          <t>Weekly - Tuesday</t>
        </is>
      </c>
      <c r="I902" t="inlineStr">
        <is>
          <t>Weekly - Tuesday</t>
        </is>
      </c>
      <c r="J902" t="inlineStr">
        <is>
          <t>Same Month Expiry</t>
        </is>
      </c>
      <c r="K902" s="25" t="n">
        <v>51081339</v>
      </c>
      <c r="L902" s="26" t="n">
        <v>99448.89350000001</v>
      </c>
      <c r="M902" s="26" t="n">
        <v>279.3131</v>
      </c>
    </row>
    <row r="903" ht="16" customHeight="1">
      <c r="A903" t="inlineStr">
        <is>
          <t>13-Nov-2025</t>
        </is>
      </c>
      <c r="B903" t="inlineStr">
        <is>
          <t>Thursday</t>
        </is>
      </c>
      <c r="C903" t="inlineStr">
        <is>
          <t>Week2-Nov-2025</t>
        </is>
      </c>
      <c r="D903" s="78" t="n">
        <v>45962</v>
      </c>
      <c r="E903" t="inlineStr">
        <is>
          <t>Q3FY26</t>
        </is>
      </c>
      <c r="F903" t="inlineStr">
        <is>
          <t>25-Nov-2025</t>
        </is>
      </c>
      <c r="G903" t="inlineStr">
        <is>
          <t>Tuesday</t>
        </is>
      </c>
      <c r="H903" t="inlineStr">
        <is>
          <t>Monthly - Tuesday</t>
        </is>
      </c>
      <c r="I903" t="inlineStr">
        <is>
          <t>Monthly - Tuesday</t>
        </is>
      </c>
      <c r="J903" t="inlineStr">
        <is>
          <t>Same Month Expiry</t>
        </is>
      </c>
      <c r="K903" s="25" t="n">
        <v>3213467</v>
      </c>
      <c r="L903" s="26" t="n">
        <v>6270.0064</v>
      </c>
      <c r="M903" s="26" t="n">
        <v>28.9585</v>
      </c>
    </row>
    <row r="904" ht="16" customHeight="1">
      <c r="A904" t="inlineStr">
        <is>
          <t>13-Nov-2025</t>
        </is>
      </c>
      <c r="B904" t="inlineStr">
        <is>
          <t>Thursday</t>
        </is>
      </c>
      <c r="C904" t="inlineStr">
        <is>
          <t>Week2-Nov-2025</t>
        </is>
      </c>
      <c r="D904" s="78" t="n">
        <v>45962</v>
      </c>
      <c r="E904" t="inlineStr">
        <is>
          <t>Q3FY26</t>
        </is>
      </c>
      <c r="F904" t="inlineStr">
        <is>
          <t>02-Dec-2025</t>
        </is>
      </c>
      <c r="G904" t="inlineStr">
        <is>
          <t>Tuesday</t>
        </is>
      </c>
      <c r="H904" t="inlineStr">
        <is>
          <t>Weekly - Tuesday</t>
        </is>
      </c>
      <c r="I904" t="inlineStr">
        <is>
          <t>Weekly - Tuesday</t>
        </is>
      </c>
      <c r="J904" t="inlineStr">
        <is>
          <t>Month+1 Expiry</t>
        </is>
      </c>
      <c r="K904" s="25" t="n">
        <v>109416</v>
      </c>
      <c r="L904" s="26" t="n">
        <v>214.9541</v>
      </c>
      <c r="M904" s="26" t="n">
        <v>1.1771</v>
      </c>
    </row>
    <row r="905" ht="16" customHeight="1">
      <c r="A905" t="inlineStr">
        <is>
          <t>13-Nov-2025</t>
        </is>
      </c>
      <c r="B905" t="inlineStr">
        <is>
          <t>Thursday</t>
        </is>
      </c>
      <c r="C905" t="inlineStr">
        <is>
          <t>Week2-Nov-2025</t>
        </is>
      </c>
      <c r="D905" s="78" t="n">
        <v>45962</v>
      </c>
      <c r="E905" t="inlineStr">
        <is>
          <t>Q3FY26</t>
        </is>
      </c>
      <c r="F905" t="inlineStr">
        <is>
          <t>09-Dec-2025</t>
        </is>
      </c>
      <c r="G905" t="inlineStr">
        <is>
          <t>Tuesday</t>
        </is>
      </c>
      <c r="H905" t="inlineStr">
        <is>
          <t>Weekly - Tuesday</t>
        </is>
      </c>
      <c r="I905" t="inlineStr">
        <is>
          <t>Weekly - Tuesday</t>
        </is>
      </c>
      <c r="J905" t="inlineStr">
        <is>
          <t>Month+1 Expiry</t>
        </is>
      </c>
      <c r="K905" s="25" t="n">
        <v>14653</v>
      </c>
      <c r="L905" s="26" t="n">
        <v>28.6638</v>
      </c>
      <c r="M905" s="26" t="n">
        <v>0.203</v>
      </c>
    </row>
    <row r="906" ht="16" customHeight="1">
      <c r="A906" t="inlineStr">
        <is>
          <t>13-Nov-2025</t>
        </is>
      </c>
      <c r="B906" t="inlineStr">
        <is>
          <t>Thursday</t>
        </is>
      </c>
      <c r="C906" t="inlineStr">
        <is>
          <t>Week2-Nov-2025</t>
        </is>
      </c>
      <c r="D906" s="78" t="n">
        <v>45962</v>
      </c>
      <c r="E906" t="inlineStr">
        <is>
          <t>Q3FY26</t>
        </is>
      </c>
      <c r="F906" t="inlineStr">
        <is>
          <t>16-Dec-2025</t>
        </is>
      </c>
      <c r="G906" t="inlineStr">
        <is>
          <t>Tuesday</t>
        </is>
      </c>
      <c r="H906" t="inlineStr">
        <is>
          <t>Weekly - Tuesday</t>
        </is>
      </c>
      <c r="I906" t="inlineStr">
        <is>
          <t>Weekly - Tuesday</t>
        </is>
      </c>
      <c r="J906" t="inlineStr">
        <is>
          <t>Month+1 Expiry</t>
        </is>
      </c>
      <c r="K906" s="25" t="n">
        <v>3249</v>
      </c>
      <c r="L906" s="26" t="n">
        <v>6.3834</v>
      </c>
      <c r="M906" s="26" t="n">
        <v>0.0576</v>
      </c>
    </row>
    <row r="907" ht="16" customHeight="1">
      <c r="A907" t="inlineStr">
        <is>
          <t>13-Nov-2025</t>
        </is>
      </c>
      <c r="B907" t="inlineStr">
        <is>
          <t>Thursday</t>
        </is>
      </c>
      <c r="C907" t="inlineStr">
        <is>
          <t>Week2-Nov-2025</t>
        </is>
      </c>
      <c r="D907" s="78" t="n">
        <v>45962</v>
      </c>
      <c r="E907" t="inlineStr">
        <is>
          <t>Q3FY26</t>
        </is>
      </c>
      <c r="F907" t="inlineStr">
        <is>
          <t>30-Dec-2025</t>
        </is>
      </c>
      <c r="G907" t="inlineStr">
        <is>
          <t>Tuesday</t>
        </is>
      </c>
      <c r="H907" t="inlineStr">
        <is>
          <t>Monthly - Tuesday</t>
        </is>
      </c>
      <c r="I907" t="inlineStr">
        <is>
          <t>Monthly - Tuesday</t>
        </is>
      </c>
      <c r="J907" t="inlineStr">
        <is>
          <t>Month+1 Expiry</t>
        </is>
      </c>
      <c r="K907" s="25" t="n">
        <v>361809</v>
      </c>
      <c r="L907" s="26" t="n">
        <v>705.6176</v>
      </c>
      <c r="M907" s="26" t="n">
        <v>5.6757</v>
      </c>
    </row>
    <row r="908" ht="16" customHeight="1">
      <c r="A908" t="inlineStr">
        <is>
          <t>13-Nov-2025</t>
        </is>
      </c>
      <c r="B908" t="inlineStr">
        <is>
          <t>Thursday</t>
        </is>
      </c>
      <c r="C908" t="inlineStr">
        <is>
          <t>Week2-Nov-2025</t>
        </is>
      </c>
      <c r="D908" s="78" t="n">
        <v>45962</v>
      </c>
      <c r="E908" t="inlineStr">
        <is>
          <t>Q3FY26</t>
        </is>
      </c>
      <c r="F908" t="inlineStr">
        <is>
          <t>27-Jan-2026</t>
        </is>
      </c>
      <c r="G908" t="inlineStr">
        <is>
          <t>Tuesday</t>
        </is>
      </c>
      <c r="H908" t="inlineStr">
        <is>
          <t>Monthly - Tuesday</t>
        </is>
      </c>
      <c r="I908" t="inlineStr">
        <is>
          <t>Monthly - Tuesday</t>
        </is>
      </c>
      <c r="J908" t="inlineStr">
        <is>
          <t>Month+2 Expiry</t>
        </is>
      </c>
      <c r="K908" s="25" t="n">
        <v>31296</v>
      </c>
      <c r="L908" s="26" t="n">
        <v>53.1495</v>
      </c>
      <c r="M908" s="26" t="n">
        <v>0.6121</v>
      </c>
    </row>
    <row r="909" ht="16" customHeight="1">
      <c r="A909" t="inlineStr">
        <is>
          <t>13-Nov-2025</t>
        </is>
      </c>
      <c r="B909" t="inlineStr">
        <is>
          <t>Thursday</t>
        </is>
      </c>
      <c r="C909" t="inlineStr">
        <is>
          <t>Week2-Nov-2025</t>
        </is>
      </c>
      <c r="D909" s="78" t="n">
        <v>45962</v>
      </c>
      <c r="E909" t="inlineStr">
        <is>
          <t>Q3FY26</t>
        </is>
      </c>
      <c r="F909" t="inlineStr">
        <is>
          <t>31-Mar-2026</t>
        </is>
      </c>
      <c r="G909" t="inlineStr">
        <is>
          <t>Tuesday</t>
        </is>
      </c>
      <c r="H909" t="inlineStr">
        <is>
          <t>Monthly - Tuesday</t>
        </is>
      </c>
      <c r="I909" t="inlineStr">
        <is>
          <t>Monthly - Tuesday</t>
        </is>
      </c>
      <c r="J909" t="inlineStr">
        <is>
          <t>Month+4 Expiry</t>
        </is>
      </c>
      <c r="K909" s="25" t="n">
        <v>22765</v>
      </c>
      <c r="L909" s="26" t="n">
        <v>45.9532</v>
      </c>
      <c r="M909" s="26" t="n">
        <v>0.781</v>
      </c>
    </row>
    <row r="910" ht="16" customHeight="1">
      <c r="A910" t="inlineStr">
        <is>
          <t>13-Nov-2025</t>
        </is>
      </c>
      <c r="B910" t="inlineStr">
        <is>
          <t>Thursday</t>
        </is>
      </c>
      <c r="C910" t="inlineStr">
        <is>
          <t>Week2-Nov-2025</t>
        </is>
      </c>
      <c r="D910" s="78" t="n">
        <v>45962</v>
      </c>
      <c r="E910" t="inlineStr">
        <is>
          <t>Q3FY26</t>
        </is>
      </c>
      <c r="F910" t="inlineStr">
        <is>
          <t>30-Jun-2026</t>
        </is>
      </c>
      <c r="G910" t="inlineStr">
        <is>
          <t>Tuesday</t>
        </is>
      </c>
      <c r="H910" t="inlineStr">
        <is>
          <t>Monthly - Tuesday</t>
        </is>
      </c>
      <c r="I910" t="inlineStr">
        <is>
          <t>Monthly - Tuesday</t>
        </is>
      </c>
      <c r="J910" t="inlineStr">
        <is>
          <t>Month+7 Expiry</t>
        </is>
      </c>
      <c r="K910" s="25" t="n">
        <v>4855</v>
      </c>
      <c r="L910" s="26" t="n">
        <v>9.9161</v>
      </c>
      <c r="M910" s="26" t="n">
        <v>0.2372</v>
      </c>
    </row>
    <row r="911" ht="16" customHeight="1">
      <c r="A911" t="inlineStr">
        <is>
          <t>13-Nov-2025</t>
        </is>
      </c>
      <c r="B911" t="inlineStr">
        <is>
          <t>Thursday</t>
        </is>
      </c>
      <c r="C911" t="inlineStr">
        <is>
          <t>Week2-Nov-2025</t>
        </is>
      </c>
      <c r="D911" s="78" t="n">
        <v>45962</v>
      </c>
      <c r="E911" t="inlineStr">
        <is>
          <t>Q3FY26</t>
        </is>
      </c>
      <c r="F911" t="inlineStr">
        <is>
          <t>29-Sep-2026</t>
        </is>
      </c>
      <c r="G911" t="inlineStr">
        <is>
          <t>Tuesday</t>
        </is>
      </c>
      <c r="H911" t="inlineStr">
        <is>
          <t>Monthly - Tuesday</t>
        </is>
      </c>
      <c r="I911" t="inlineStr">
        <is>
          <t>Monthly - Tuesday</t>
        </is>
      </c>
      <c r="J911" t="inlineStr">
        <is>
          <t>Month+10 Expiry</t>
        </is>
      </c>
      <c r="K911" s="25" t="n">
        <v>20</v>
      </c>
      <c r="L911" s="26" t="n">
        <v>0.0376</v>
      </c>
      <c r="M911" s="26" t="n">
        <v>0.0005</v>
      </c>
    </row>
    <row r="912" ht="16" customHeight="1">
      <c r="A912" t="inlineStr">
        <is>
          <t>13-Nov-2025</t>
        </is>
      </c>
      <c r="B912" t="inlineStr">
        <is>
          <t>Thursday</t>
        </is>
      </c>
      <c r="C912" t="inlineStr">
        <is>
          <t>Week2-Nov-2025</t>
        </is>
      </c>
      <c r="D912" s="78" t="n">
        <v>45962</v>
      </c>
      <c r="E912" t="inlineStr">
        <is>
          <t>Q3FY26</t>
        </is>
      </c>
      <c r="F912" t="inlineStr">
        <is>
          <t>29-Dec-2026</t>
        </is>
      </c>
      <c r="G912" t="inlineStr">
        <is>
          <t>Tuesday</t>
        </is>
      </c>
      <c r="H912" t="inlineStr">
        <is>
          <t>Monthly - Tuesday</t>
        </is>
      </c>
      <c r="I912" t="inlineStr">
        <is>
          <t>Monthly - Tuesday</t>
        </is>
      </c>
      <c r="J912" t="inlineStr">
        <is>
          <t>Month+13 Expiry</t>
        </is>
      </c>
      <c r="K912" s="25" t="n">
        <v>4193</v>
      </c>
      <c r="L912" s="26" t="n">
        <v>8.751899999999999</v>
      </c>
      <c r="M912" s="26" t="n">
        <v>0.3375</v>
      </c>
    </row>
    <row r="913" ht="16" customHeight="1">
      <c r="A913" t="inlineStr">
        <is>
          <t>13-Nov-2025</t>
        </is>
      </c>
      <c r="B913" t="inlineStr">
        <is>
          <t>Thursday</t>
        </is>
      </c>
      <c r="C913" t="inlineStr">
        <is>
          <t>Week2-Nov-2025</t>
        </is>
      </c>
      <c r="D913" s="78" t="n">
        <v>45962</v>
      </c>
      <c r="E913" t="inlineStr">
        <is>
          <t>Q3FY26</t>
        </is>
      </c>
      <c r="F913" t="inlineStr">
        <is>
          <t>29-Jun-2027</t>
        </is>
      </c>
      <c r="G913" t="inlineStr">
        <is>
          <t>Tuesday</t>
        </is>
      </c>
      <c r="H913" t="inlineStr">
        <is>
          <t>Monthly - Tuesday</t>
        </is>
      </c>
      <c r="I913" t="inlineStr">
        <is>
          <t>Monthly - Tuesday</t>
        </is>
      </c>
      <c r="J913" t="inlineStr">
        <is>
          <t>Month+19 Expiry</t>
        </is>
      </c>
      <c r="K913" s="25" t="n">
        <v>0</v>
      </c>
      <c r="L913" s="26" t="n">
        <v>0</v>
      </c>
      <c r="M913" s="26" t="n">
        <v>0</v>
      </c>
    </row>
    <row r="914" ht="16" customHeight="1">
      <c r="A914" t="inlineStr">
        <is>
          <t>13-Nov-2025</t>
        </is>
      </c>
      <c r="B914" t="inlineStr">
        <is>
          <t>Thursday</t>
        </is>
      </c>
      <c r="C914" t="inlineStr">
        <is>
          <t>Week2-Nov-2025</t>
        </is>
      </c>
      <c r="D914" s="78" t="n">
        <v>45962</v>
      </c>
      <c r="E914" t="inlineStr">
        <is>
          <t>Q3FY26</t>
        </is>
      </c>
      <c r="F914" t="inlineStr">
        <is>
          <t>28-Dec-2027</t>
        </is>
      </c>
      <c r="G914" t="inlineStr">
        <is>
          <t>Tuesday</t>
        </is>
      </c>
      <c r="H914" t="inlineStr">
        <is>
          <t>Monthly - Tuesday</t>
        </is>
      </c>
      <c r="I914" t="inlineStr">
        <is>
          <t>Monthly - Tuesday</t>
        </is>
      </c>
      <c r="J914" t="inlineStr">
        <is>
          <t>Month+25 Expiry</t>
        </is>
      </c>
      <c r="K914" s="25" t="n">
        <v>2</v>
      </c>
      <c r="L914" s="26" t="n">
        <v>0.004</v>
      </c>
      <c r="M914" s="26" t="n">
        <v>0.0001</v>
      </c>
    </row>
    <row r="915" ht="16" customHeight="1">
      <c r="A915" t="inlineStr">
        <is>
          <t>13-Nov-2025</t>
        </is>
      </c>
      <c r="B915" t="inlineStr">
        <is>
          <t>Thursday</t>
        </is>
      </c>
      <c r="C915" t="inlineStr">
        <is>
          <t>Week2-Nov-2025</t>
        </is>
      </c>
      <c r="D915" s="78" t="n">
        <v>45962</v>
      </c>
      <c r="E915" t="inlineStr">
        <is>
          <t>Q3FY26</t>
        </is>
      </c>
      <c r="F915" t="inlineStr">
        <is>
          <t>27-Jun-2028</t>
        </is>
      </c>
      <c r="G915" t="inlineStr">
        <is>
          <t>Tuesday</t>
        </is>
      </c>
      <c r="H915" t="inlineStr">
        <is>
          <t>Monthly - Tuesday</t>
        </is>
      </c>
      <c r="I915" t="inlineStr">
        <is>
          <t>Monthly - Tuesday</t>
        </is>
      </c>
      <c r="J915" t="inlineStr">
        <is>
          <t>Month+31 Expiry</t>
        </is>
      </c>
      <c r="K915" s="25" t="n">
        <v>0</v>
      </c>
      <c r="L915" s="26" t="n">
        <v>0</v>
      </c>
      <c r="M915" s="26" t="n">
        <v>0</v>
      </c>
    </row>
    <row r="916" ht="16" customHeight="1">
      <c r="A916" t="inlineStr">
        <is>
          <t>13-Nov-2025</t>
        </is>
      </c>
      <c r="B916" t="inlineStr">
        <is>
          <t>Thursday</t>
        </is>
      </c>
      <c r="C916" t="inlineStr">
        <is>
          <t>Week2-Nov-2025</t>
        </is>
      </c>
      <c r="D916" s="78" t="n">
        <v>45962</v>
      </c>
      <c r="E916" t="inlineStr">
        <is>
          <t>Q3FY26</t>
        </is>
      </c>
      <c r="F916" t="inlineStr">
        <is>
          <t>26-Dec-2028</t>
        </is>
      </c>
      <c r="G916" t="inlineStr">
        <is>
          <t>Tuesday</t>
        </is>
      </c>
      <c r="H916" t="inlineStr">
        <is>
          <t>Monthly - Tuesday</t>
        </is>
      </c>
      <c r="I916" t="inlineStr">
        <is>
          <t>Monthly - Tuesday</t>
        </is>
      </c>
      <c r="J916" t="inlineStr">
        <is>
          <t>Month+37 Expiry</t>
        </is>
      </c>
      <c r="K916" s="25" t="n">
        <v>0</v>
      </c>
      <c r="L916" s="26" t="n">
        <v>0</v>
      </c>
      <c r="M916" s="26" t="n">
        <v>0</v>
      </c>
    </row>
    <row r="917" ht="16" customHeight="1">
      <c r="A917" t="inlineStr">
        <is>
          <t>13-Nov-2025</t>
        </is>
      </c>
      <c r="B917" t="inlineStr">
        <is>
          <t>Thursday</t>
        </is>
      </c>
      <c r="C917" t="inlineStr">
        <is>
          <t>Week2-Nov-2025</t>
        </is>
      </c>
      <c r="D917" s="78" t="n">
        <v>45962</v>
      </c>
      <c r="E917" t="inlineStr">
        <is>
          <t>Q3FY26</t>
        </is>
      </c>
      <c r="F917" t="inlineStr">
        <is>
          <t>26-Jun-2029</t>
        </is>
      </c>
      <c r="G917" t="inlineStr">
        <is>
          <t>Tuesday</t>
        </is>
      </c>
      <c r="H917" t="inlineStr">
        <is>
          <t>Monthly - Tuesday</t>
        </is>
      </c>
      <c r="I917" t="inlineStr">
        <is>
          <t>Monthly - Tuesday</t>
        </is>
      </c>
      <c r="J917" t="inlineStr">
        <is>
          <t>Month+43 Expiry</t>
        </is>
      </c>
      <c r="K917" s="25" t="n">
        <v>0</v>
      </c>
      <c r="L917" s="26" t="n">
        <v>0</v>
      </c>
      <c r="M917" s="26" t="n">
        <v>0</v>
      </c>
    </row>
    <row r="918" ht="16" customHeight="1">
      <c r="A918" t="inlineStr">
        <is>
          <t>13-Nov-2025</t>
        </is>
      </c>
      <c r="B918" t="inlineStr">
        <is>
          <t>Thursday</t>
        </is>
      </c>
      <c r="C918" t="inlineStr">
        <is>
          <t>Week2-Nov-2025</t>
        </is>
      </c>
      <c r="D918" s="78" t="n">
        <v>45962</v>
      </c>
      <c r="E918" t="inlineStr">
        <is>
          <t>Q3FY26</t>
        </is>
      </c>
      <c r="F918" t="inlineStr">
        <is>
          <t>24-Dec-2029</t>
        </is>
      </c>
      <c r="G918" t="inlineStr">
        <is>
          <t>Monday</t>
        </is>
      </c>
      <c r="H918" t="inlineStr">
        <is>
          <t>Weekly - Monday</t>
        </is>
      </c>
      <c r="I918" t="inlineStr">
        <is>
          <t>Weekly - Monday</t>
        </is>
      </c>
      <c r="J918" t="inlineStr">
        <is>
          <t>Month+49 Expiry</t>
        </is>
      </c>
      <c r="K918" s="25" t="n">
        <v>0</v>
      </c>
      <c r="L918" s="26" t="n">
        <v>0</v>
      </c>
      <c r="M918" s="26" t="n">
        <v>0</v>
      </c>
    </row>
    <row r="919" ht="16" customHeight="1">
      <c r="A919" t="inlineStr">
        <is>
          <t>13-Nov-2025</t>
        </is>
      </c>
      <c r="B919" t="inlineStr">
        <is>
          <t>Thursday</t>
        </is>
      </c>
      <c r="C919" t="inlineStr">
        <is>
          <t>Week2-Nov-2025</t>
        </is>
      </c>
      <c r="D919" s="78" t="n">
        <v>45962</v>
      </c>
      <c r="E919" t="inlineStr">
        <is>
          <t>Q3FY26</t>
        </is>
      </c>
      <c r="F919" t="inlineStr">
        <is>
          <t>25-Jun-2030</t>
        </is>
      </c>
      <c r="G919" t="inlineStr">
        <is>
          <t>Tuesday</t>
        </is>
      </c>
      <c r="H919" t="inlineStr">
        <is>
          <t>Monthly - Tuesday</t>
        </is>
      </c>
      <c r="I919" t="inlineStr">
        <is>
          <t>Monthly - Tuesday</t>
        </is>
      </c>
      <c r="J919" t="inlineStr">
        <is>
          <t>Month+55 Expiry</t>
        </is>
      </c>
      <c r="K919" s="25" t="n">
        <v>0</v>
      </c>
      <c r="L919" s="26" t="n">
        <v>0</v>
      </c>
      <c r="M919" s="26" t="n">
        <v>0</v>
      </c>
    </row>
    <row r="920" ht="16" customHeight="1">
      <c r="A920" t="inlineStr">
        <is>
          <t>14-Nov-2025</t>
        </is>
      </c>
      <c r="B920" t="inlineStr">
        <is>
          <t>Friday</t>
        </is>
      </c>
      <c r="C920" t="inlineStr">
        <is>
          <t>Week2-Nov-2025</t>
        </is>
      </c>
      <c r="D920" s="78" t="n">
        <v>45962</v>
      </c>
      <c r="E920" t="inlineStr">
        <is>
          <t>Q3FY26</t>
        </is>
      </c>
      <c r="F920" t="inlineStr">
        <is>
          <t>18-Nov-2025</t>
        </is>
      </c>
      <c r="G920" t="inlineStr">
        <is>
          <t>Tuesday</t>
        </is>
      </c>
      <c r="H920" t="inlineStr">
        <is>
          <t>Weekly - Tuesday</t>
        </is>
      </c>
      <c r="I920" t="inlineStr">
        <is>
          <t>Weekly - Tuesday</t>
        </is>
      </c>
      <c r="J920" t="inlineStr">
        <is>
          <t>Same Month Expiry</t>
        </is>
      </c>
      <c r="K920" s="25" t="n">
        <v>114475041</v>
      </c>
      <c r="L920" s="26" t="n">
        <v>222606.7053</v>
      </c>
      <c r="M920" s="26" t="n">
        <v>553.7777</v>
      </c>
    </row>
    <row r="921" ht="16" customHeight="1">
      <c r="A921" t="inlineStr">
        <is>
          <t>14-Nov-2025</t>
        </is>
      </c>
      <c r="B921" t="inlineStr">
        <is>
          <t>Friday</t>
        </is>
      </c>
      <c r="C921" t="inlineStr">
        <is>
          <t>Week2-Nov-2025</t>
        </is>
      </c>
      <c r="D921" s="78" t="n">
        <v>45962</v>
      </c>
      <c r="E921" t="inlineStr">
        <is>
          <t>Q3FY26</t>
        </is>
      </c>
      <c r="F921" t="inlineStr">
        <is>
          <t>25-Nov-2025</t>
        </is>
      </c>
      <c r="G921" t="inlineStr">
        <is>
          <t>Tuesday</t>
        </is>
      </c>
      <c r="H921" t="inlineStr">
        <is>
          <t>Monthly - Tuesday</t>
        </is>
      </c>
      <c r="I921" t="inlineStr">
        <is>
          <t>Monthly - Tuesday</t>
        </is>
      </c>
      <c r="J921" t="inlineStr">
        <is>
          <t>Same Month Expiry</t>
        </is>
      </c>
      <c r="K921" s="25" t="n">
        <v>5240099</v>
      </c>
      <c r="L921" s="26" t="n">
        <v>10195.2535</v>
      </c>
      <c r="M921" s="26" t="n">
        <v>46.2978</v>
      </c>
    </row>
    <row r="922" ht="16" customHeight="1">
      <c r="A922" t="inlineStr">
        <is>
          <t>14-Nov-2025</t>
        </is>
      </c>
      <c r="B922" t="inlineStr">
        <is>
          <t>Friday</t>
        </is>
      </c>
      <c r="C922" t="inlineStr">
        <is>
          <t>Week2-Nov-2025</t>
        </is>
      </c>
      <c r="D922" s="78" t="n">
        <v>45962</v>
      </c>
      <c r="E922" t="inlineStr">
        <is>
          <t>Q3FY26</t>
        </is>
      </c>
      <c r="F922" t="inlineStr">
        <is>
          <t>02-Dec-2025</t>
        </is>
      </c>
      <c r="G922" t="inlineStr">
        <is>
          <t>Tuesday</t>
        </is>
      </c>
      <c r="H922" t="inlineStr">
        <is>
          <t>Weekly - Tuesday</t>
        </is>
      </c>
      <c r="I922" t="inlineStr">
        <is>
          <t>Weekly - Tuesday</t>
        </is>
      </c>
      <c r="J922" t="inlineStr">
        <is>
          <t>Month+1 Expiry</t>
        </is>
      </c>
      <c r="K922" s="25" t="n">
        <v>217583</v>
      </c>
      <c r="L922" s="26" t="n">
        <v>426.1947</v>
      </c>
      <c r="M922" s="26" t="n">
        <v>2.3602</v>
      </c>
    </row>
    <row r="923" ht="16" customHeight="1">
      <c r="A923" t="inlineStr">
        <is>
          <t>14-Nov-2025</t>
        </is>
      </c>
      <c r="B923" t="inlineStr">
        <is>
          <t>Friday</t>
        </is>
      </c>
      <c r="C923" t="inlineStr">
        <is>
          <t>Week2-Nov-2025</t>
        </is>
      </c>
      <c r="D923" s="78" t="n">
        <v>45962</v>
      </c>
      <c r="E923" t="inlineStr">
        <is>
          <t>Q3FY26</t>
        </is>
      </c>
      <c r="F923" t="inlineStr">
        <is>
          <t>09-Dec-2025</t>
        </is>
      </c>
      <c r="G923" t="inlineStr">
        <is>
          <t>Tuesday</t>
        </is>
      </c>
      <c r="H923" t="inlineStr">
        <is>
          <t>Weekly - Tuesday</t>
        </is>
      </c>
      <c r="I923" t="inlineStr">
        <is>
          <t>Weekly - Tuesday</t>
        </is>
      </c>
      <c r="J923" t="inlineStr">
        <is>
          <t>Month+1 Expiry</t>
        </is>
      </c>
      <c r="K923" s="25" t="n">
        <v>26311</v>
      </c>
      <c r="L923" s="26" t="n">
        <v>51.5649</v>
      </c>
      <c r="M923" s="26" t="n">
        <v>0.3854</v>
      </c>
    </row>
    <row r="924" ht="16" customHeight="1">
      <c r="A924" t="inlineStr">
        <is>
          <t>14-Nov-2025</t>
        </is>
      </c>
      <c r="B924" t="inlineStr">
        <is>
          <t>Friday</t>
        </is>
      </c>
      <c r="C924" t="inlineStr">
        <is>
          <t>Week2-Nov-2025</t>
        </is>
      </c>
      <c r="D924" s="78" t="n">
        <v>45962</v>
      </c>
      <c r="E924" t="inlineStr">
        <is>
          <t>Q3FY26</t>
        </is>
      </c>
      <c r="F924" t="inlineStr">
        <is>
          <t>16-Dec-2025</t>
        </is>
      </c>
      <c r="G924" t="inlineStr">
        <is>
          <t>Tuesday</t>
        </is>
      </c>
      <c r="H924" t="inlineStr">
        <is>
          <t>Weekly - Tuesday</t>
        </is>
      </c>
      <c r="I924" t="inlineStr">
        <is>
          <t>Weekly - Tuesday</t>
        </is>
      </c>
      <c r="J924" t="inlineStr">
        <is>
          <t>Month+1 Expiry</t>
        </is>
      </c>
      <c r="K924" s="25" t="n">
        <v>4042</v>
      </c>
      <c r="L924" s="26" t="n">
        <v>7.9768</v>
      </c>
      <c r="M924" s="26" t="n">
        <v>0.0716</v>
      </c>
    </row>
    <row r="925" ht="16" customHeight="1">
      <c r="A925" t="inlineStr">
        <is>
          <t>14-Nov-2025</t>
        </is>
      </c>
      <c r="B925" t="inlineStr">
        <is>
          <t>Friday</t>
        </is>
      </c>
      <c r="C925" t="inlineStr">
        <is>
          <t>Week2-Nov-2025</t>
        </is>
      </c>
      <c r="D925" s="78" t="n">
        <v>45962</v>
      </c>
      <c r="E925" t="inlineStr">
        <is>
          <t>Q3FY26</t>
        </is>
      </c>
      <c r="F925" t="inlineStr">
        <is>
          <t>30-Dec-2025</t>
        </is>
      </c>
      <c r="G925" t="inlineStr">
        <is>
          <t>Tuesday</t>
        </is>
      </c>
      <c r="H925" t="inlineStr">
        <is>
          <t>Monthly - Tuesday</t>
        </is>
      </c>
      <c r="I925" t="inlineStr">
        <is>
          <t>Monthly - Tuesday</t>
        </is>
      </c>
      <c r="J925" t="inlineStr">
        <is>
          <t>Month+1 Expiry</t>
        </is>
      </c>
      <c r="K925" s="25" t="n">
        <v>490525</v>
      </c>
      <c r="L925" s="26" t="n">
        <v>955.782</v>
      </c>
      <c r="M925" s="26" t="n">
        <v>7.7258</v>
      </c>
    </row>
    <row r="926" ht="16" customHeight="1">
      <c r="A926" t="inlineStr">
        <is>
          <t>14-Nov-2025</t>
        </is>
      </c>
      <c r="B926" t="inlineStr">
        <is>
          <t>Friday</t>
        </is>
      </c>
      <c r="C926" t="inlineStr">
        <is>
          <t>Week2-Nov-2025</t>
        </is>
      </c>
      <c r="D926" s="78" t="n">
        <v>45962</v>
      </c>
      <c r="E926" t="inlineStr">
        <is>
          <t>Q3FY26</t>
        </is>
      </c>
      <c r="F926" t="inlineStr">
        <is>
          <t>27-Jan-2026</t>
        </is>
      </c>
      <c r="G926" t="inlineStr">
        <is>
          <t>Tuesday</t>
        </is>
      </c>
      <c r="H926" t="inlineStr">
        <is>
          <t>Monthly - Tuesday</t>
        </is>
      </c>
      <c r="I926" t="inlineStr">
        <is>
          <t>Monthly - Tuesday</t>
        </is>
      </c>
      <c r="J926" t="inlineStr">
        <is>
          <t>Month+2 Expiry</t>
        </is>
      </c>
      <c r="K926" s="25" t="n">
        <v>39481</v>
      </c>
      <c r="L926" s="26" t="n">
        <v>67.0003</v>
      </c>
      <c r="M926" s="26" t="n">
        <v>0.7524999999999999</v>
      </c>
    </row>
    <row r="927" ht="16" customHeight="1">
      <c r="A927" t="inlineStr">
        <is>
          <t>14-Nov-2025</t>
        </is>
      </c>
      <c r="B927" t="inlineStr">
        <is>
          <t>Friday</t>
        </is>
      </c>
      <c r="C927" t="inlineStr">
        <is>
          <t>Week2-Nov-2025</t>
        </is>
      </c>
      <c r="D927" s="78" t="n">
        <v>45962</v>
      </c>
      <c r="E927" t="inlineStr">
        <is>
          <t>Q3FY26</t>
        </is>
      </c>
      <c r="F927" t="inlineStr">
        <is>
          <t>31-Mar-2026</t>
        </is>
      </c>
      <c r="G927" t="inlineStr">
        <is>
          <t>Tuesday</t>
        </is>
      </c>
      <c r="H927" t="inlineStr">
        <is>
          <t>Monthly - Tuesday</t>
        </is>
      </c>
      <c r="I927" t="inlineStr">
        <is>
          <t>Monthly - Tuesday</t>
        </is>
      </c>
      <c r="J927" t="inlineStr">
        <is>
          <t>Month+4 Expiry</t>
        </is>
      </c>
      <c r="K927" s="25" t="n">
        <v>21613</v>
      </c>
      <c r="L927" s="26" t="n">
        <v>42.409</v>
      </c>
      <c r="M927" s="26" t="n">
        <v>0.6277</v>
      </c>
    </row>
    <row r="928" ht="16" customHeight="1">
      <c r="A928" t="inlineStr">
        <is>
          <t>14-Nov-2025</t>
        </is>
      </c>
      <c r="B928" t="inlineStr">
        <is>
          <t>Friday</t>
        </is>
      </c>
      <c r="C928" t="inlineStr">
        <is>
          <t>Week2-Nov-2025</t>
        </is>
      </c>
      <c r="D928" s="78" t="n">
        <v>45962</v>
      </c>
      <c r="E928" t="inlineStr">
        <is>
          <t>Q3FY26</t>
        </is>
      </c>
      <c r="F928" t="inlineStr">
        <is>
          <t>30-Jun-2026</t>
        </is>
      </c>
      <c r="G928" t="inlineStr">
        <is>
          <t>Tuesday</t>
        </is>
      </c>
      <c r="H928" t="inlineStr">
        <is>
          <t>Monthly - Tuesday</t>
        </is>
      </c>
      <c r="I928" t="inlineStr">
        <is>
          <t>Monthly - Tuesday</t>
        </is>
      </c>
      <c r="J928" t="inlineStr">
        <is>
          <t>Month+7 Expiry</t>
        </is>
      </c>
      <c r="K928" s="25" t="n">
        <v>4110</v>
      </c>
      <c r="L928" s="26" t="n">
        <v>8.1378</v>
      </c>
      <c r="M928" s="26" t="n">
        <v>0.1837</v>
      </c>
    </row>
    <row r="929" ht="16" customHeight="1">
      <c r="A929" t="inlineStr">
        <is>
          <t>14-Nov-2025</t>
        </is>
      </c>
      <c r="B929" t="inlineStr">
        <is>
          <t>Friday</t>
        </is>
      </c>
      <c r="C929" t="inlineStr">
        <is>
          <t>Week2-Nov-2025</t>
        </is>
      </c>
      <c r="D929" s="78" t="n">
        <v>45962</v>
      </c>
      <c r="E929" t="inlineStr">
        <is>
          <t>Q3FY26</t>
        </is>
      </c>
      <c r="F929" t="inlineStr">
        <is>
          <t>29-Sep-2026</t>
        </is>
      </c>
      <c r="G929" t="inlineStr">
        <is>
          <t>Tuesday</t>
        </is>
      </c>
      <c r="H929" t="inlineStr">
        <is>
          <t>Monthly - Tuesday</t>
        </is>
      </c>
      <c r="I929" t="inlineStr">
        <is>
          <t>Monthly - Tuesday</t>
        </is>
      </c>
      <c r="J929" t="inlineStr">
        <is>
          <t>Month+10 Expiry</t>
        </is>
      </c>
      <c r="K929" s="25" t="n">
        <v>31</v>
      </c>
      <c r="L929" s="26" t="n">
        <v>0.0575</v>
      </c>
      <c r="M929" s="26" t="n">
        <v>0.0007</v>
      </c>
    </row>
    <row r="930" ht="16" customHeight="1">
      <c r="A930" t="inlineStr">
        <is>
          <t>14-Nov-2025</t>
        </is>
      </c>
      <c r="B930" t="inlineStr">
        <is>
          <t>Friday</t>
        </is>
      </c>
      <c r="C930" t="inlineStr">
        <is>
          <t>Week2-Nov-2025</t>
        </is>
      </c>
      <c r="D930" s="78" t="n">
        <v>45962</v>
      </c>
      <c r="E930" t="inlineStr">
        <is>
          <t>Q3FY26</t>
        </is>
      </c>
      <c r="F930" t="inlineStr">
        <is>
          <t>29-Dec-2026</t>
        </is>
      </c>
      <c r="G930" t="inlineStr">
        <is>
          <t>Tuesday</t>
        </is>
      </c>
      <c r="H930" t="inlineStr">
        <is>
          <t>Monthly - Tuesday</t>
        </is>
      </c>
      <c r="I930" t="inlineStr">
        <is>
          <t>Monthly - Tuesday</t>
        </is>
      </c>
      <c r="J930" t="inlineStr">
        <is>
          <t>Month+13 Expiry</t>
        </is>
      </c>
      <c r="K930" s="25" t="n">
        <v>3669</v>
      </c>
      <c r="L930" s="26" t="n">
        <v>7.4648</v>
      </c>
      <c r="M930" s="26" t="n">
        <v>0.2538</v>
      </c>
    </row>
    <row r="931" ht="16" customHeight="1">
      <c r="A931" t="inlineStr">
        <is>
          <t>14-Nov-2025</t>
        </is>
      </c>
      <c r="B931" t="inlineStr">
        <is>
          <t>Friday</t>
        </is>
      </c>
      <c r="C931" t="inlineStr">
        <is>
          <t>Week2-Nov-2025</t>
        </is>
      </c>
      <c r="D931" s="78" t="n">
        <v>45962</v>
      </c>
      <c r="E931" t="inlineStr">
        <is>
          <t>Q3FY26</t>
        </is>
      </c>
      <c r="F931" t="inlineStr">
        <is>
          <t>29-Jun-2027</t>
        </is>
      </c>
      <c r="G931" t="inlineStr">
        <is>
          <t>Tuesday</t>
        </is>
      </c>
      <c r="H931" t="inlineStr">
        <is>
          <t>Monthly - Tuesday</t>
        </is>
      </c>
      <c r="I931" t="inlineStr">
        <is>
          <t>Monthly - Tuesday</t>
        </is>
      </c>
      <c r="J931" t="inlineStr">
        <is>
          <t>Month+19 Expiry</t>
        </is>
      </c>
      <c r="K931" s="25" t="n">
        <v>0</v>
      </c>
      <c r="L931" s="26" t="n">
        <v>0</v>
      </c>
      <c r="M931" s="26" t="n">
        <v>0</v>
      </c>
    </row>
    <row r="932" ht="16" customHeight="1">
      <c r="A932" t="inlineStr">
        <is>
          <t>14-Nov-2025</t>
        </is>
      </c>
      <c r="B932" t="inlineStr">
        <is>
          <t>Friday</t>
        </is>
      </c>
      <c r="C932" t="inlineStr">
        <is>
          <t>Week2-Nov-2025</t>
        </is>
      </c>
      <c r="D932" s="78" t="n">
        <v>45962</v>
      </c>
      <c r="E932" t="inlineStr">
        <is>
          <t>Q3FY26</t>
        </is>
      </c>
      <c r="F932" t="inlineStr">
        <is>
          <t>28-Dec-2027</t>
        </is>
      </c>
      <c r="G932" t="inlineStr">
        <is>
          <t>Tuesday</t>
        </is>
      </c>
      <c r="H932" t="inlineStr">
        <is>
          <t>Monthly - Tuesday</t>
        </is>
      </c>
      <c r="I932" t="inlineStr">
        <is>
          <t>Monthly - Tuesday</t>
        </is>
      </c>
      <c r="J932" t="inlineStr">
        <is>
          <t>Month+25 Expiry</t>
        </is>
      </c>
      <c r="K932" s="25" t="n">
        <v>7</v>
      </c>
      <c r="L932" s="26" t="n">
        <v>0.014</v>
      </c>
      <c r="M932" s="26" t="n">
        <v>0.0007</v>
      </c>
    </row>
    <row r="933" ht="16" customHeight="1">
      <c r="A933" t="inlineStr">
        <is>
          <t>14-Nov-2025</t>
        </is>
      </c>
      <c r="B933" t="inlineStr">
        <is>
          <t>Friday</t>
        </is>
      </c>
      <c r="C933" t="inlineStr">
        <is>
          <t>Week2-Nov-2025</t>
        </is>
      </c>
      <c r="D933" s="78" t="n">
        <v>45962</v>
      </c>
      <c r="E933" t="inlineStr">
        <is>
          <t>Q3FY26</t>
        </is>
      </c>
      <c r="F933" t="inlineStr">
        <is>
          <t>27-Jun-2028</t>
        </is>
      </c>
      <c r="G933" t="inlineStr">
        <is>
          <t>Tuesday</t>
        </is>
      </c>
      <c r="H933" t="inlineStr">
        <is>
          <t>Monthly - Tuesday</t>
        </is>
      </c>
      <c r="I933" t="inlineStr">
        <is>
          <t>Monthly - Tuesday</t>
        </is>
      </c>
      <c r="J933" t="inlineStr">
        <is>
          <t>Month+31 Expiry</t>
        </is>
      </c>
      <c r="K933" s="25" t="n">
        <v>0</v>
      </c>
      <c r="L933" s="26" t="n">
        <v>0</v>
      </c>
      <c r="M933" s="26" t="n">
        <v>0</v>
      </c>
    </row>
    <row r="934" ht="16" customHeight="1">
      <c r="A934" t="inlineStr">
        <is>
          <t>14-Nov-2025</t>
        </is>
      </c>
      <c r="B934" t="inlineStr">
        <is>
          <t>Friday</t>
        </is>
      </c>
      <c r="C934" t="inlineStr">
        <is>
          <t>Week2-Nov-2025</t>
        </is>
      </c>
      <c r="D934" s="78" t="n">
        <v>45962</v>
      </c>
      <c r="E934" t="inlineStr">
        <is>
          <t>Q3FY26</t>
        </is>
      </c>
      <c r="F934" t="inlineStr">
        <is>
          <t>26-Dec-2028</t>
        </is>
      </c>
      <c r="G934" t="inlineStr">
        <is>
          <t>Tuesday</t>
        </is>
      </c>
      <c r="H934" t="inlineStr">
        <is>
          <t>Monthly - Tuesday</t>
        </is>
      </c>
      <c r="I934" t="inlineStr">
        <is>
          <t>Monthly - Tuesday</t>
        </is>
      </c>
      <c r="J934" t="inlineStr">
        <is>
          <t>Month+37 Expiry</t>
        </is>
      </c>
      <c r="K934" s="25" t="n">
        <v>0</v>
      </c>
      <c r="L934" s="26" t="n">
        <v>0</v>
      </c>
      <c r="M934" s="26" t="n">
        <v>0</v>
      </c>
    </row>
    <row r="935" ht="16" customHeight="1">
      <c r="A935" t="inlineStr">
        <is>
          <t>14-Nov-2025</t>
        </is>
      </c>
      <c r="B935" t="inlineStr">
        <is>
          <t>Friday</t>
        </is>
      </c>
      <c r="C935" t="inlineStr">
        <is>
          <t>Week2-Nov-2025</t>
        </is>
      </c>
      <c r="D935" s="78" t="n">
        <v>45962</v>
      </c>
      <c r="E935" t="inlineStr">
        <is>
          <t>Q3FY26</t>
        </is>
      </c>
      <c r="F935" t="inlineStr">
        <is>
          <t>26-Jun-2029</t>
        </is>
      </c>
      <c r="G935" t="inlineStr">
        <is>
          <t>Tuesday</t>
        </is>
      </c>
      <c r="H935" t="inlineStr">
        <is>
          <t>Monthly - Tuesday</t>
        </is>
      </c>
      <c r="I935" t="inlineStr">
        <is>
          <t>Monthly - Tuesday</t>
        </is>
      </c>
      <c r="J935" t="inlineStr">
        <is>
          <t>Month+43 Expiry</t>
        </is>
      </c>
      <c r="K935" s="25" t="n">
        <v>0</v>
      </c>
      <c r="L935" s="26" t="n">
        <v>0</v>
      </c>
      <c r="M935" s="26" t="n">
        <v>0</v>
      </c>
    </row>
    <row r="936" ht="16" customHeight="1">
      <c r="A936" t="inlineStr">
        <is>
          <t>14-Nov-2025</t>
        </is>
      </c>
      <c r="B936" t="inlineStr">
        <is>
          <t>Friday</t>
        </is>
      </c>
      <c r="C936" t="inlineStr">
        <is>
          <t>Week2-Nov-2025</t>
        </is>
      </c>
      <c r="D936" s="78" t="n">
        <v>45962</v>
      </c>
      <c r="E936" t="inlineStr">
        <is>
          <t>Q3FY26</t>
        </is>
      </c>
      <c r="F936" t="inlineStr">
        <is>
          <t>24-Dec-2029</t>
        </is>
      </c>
      <c r="G936" t="inlineStr">
        <is>
          <t>Monday</t>
        </is>
      </c>
      <c r="H936" t="inlineStr">
        <is>
          <t>Weekly - Monday</t>
        </is>
      </c>
      <c r="I936" t="inlineStr">
        <is>
          <t>Weekly - Monday</t>
        </is>
      </c>
      <c r="J936" t="inlineStr">
        <is>
          <t>Month+49 Expiry</t>
        </is>
      </c>
      <c r="K936" s="25" t="n">
        <v>0</v>
      </c>
      <c r="L936" s="26" t="n">
        <v>0</v>
      </c>
      <c r="M936" s="26" t="n">
        <v>0</v>
      </c>
    </row>
    <row r="937" ht="16" customHeight="1">
      <c r="A937" t="inlineStr">
        <is>
          <t>14-Nov-2025</t>
        </is>
      </c>
      <c r="B937" t="inlineStr">
        <is>
          <t>Friday</t>
        </is>
      </c>
      <c r="C937" t="inlineStr">
        <is>
          <t>Week2-Nov-2025</t>
        </is>
      </c>
      <c r="D937" s="78" t="n">
        <v>45962</v>
      </c>
      <c r="E937" t="inlineStr">
        <is>
          <t>Q3FY26</t>
        </is>
      </c>
      <c r="F937" t="inlineStr">
        <is>
          <t>25-Jun-2030</t>
        </is>
      </c>
      <c r="G937" t="inlineStr">
        <is>
          <t>Tuesday</t>
        </is>
      </c>
      <c r="H937" t="inlineStr">
        <is>
          <t>Monthly - Tuesday</t>
        </is>
      </c>
      <c r="I937" t="inlineStr">
        <is>
          <t>Monthly - Tuesday</t>
        </is>
      </c>
      <c r="J937" t="inlineStr">
        <is>
          <t>Month+55 Expiry</t>
        </is>
      </c>
      <c r="K937" s="25" t="n">
        <v>0</v>
      </c>
      <c r="L937" s="26" t="n">
        <v>0</v>
      </c>
      <c r="M937" s="26" t="n">
        <v>0</v>
      </c>
    </row>
    <row r="938" ht="16" customHeight="1">
      <c r="A938" t="inlineStr">
        <is>
          <t>17-Nov-2025</t>
        </is>
      </c>
      <c r="B938" t="inlineStr">
        <is>
          <t>Monday</t>
        </is>
      </c>
      <c r="C938" t="inlineStr">
        <is>
          <t>Week3-Nov-2025</t>
        </is>
      </c>
      <c r="D938" s="78" t="n">
        <v>45962</v>
      </c>
      <c r="E938" t="inlineStr">
        <is>
          <t>Q3FY26</t>
        </is>
      </c>
      <c r="F938" t="inlineStr">
        <is>
          <t>18-Nov-2025</t>
        </is>
      </c>
      <c r="G938" t="inlineStr">
        <is>
          <t>Tuesday</t>
        </is>
      </c>
      <c r="H938" t="inlineStr">
        <is>
          <t>Weekly - Tuesday</t>
        </is>
      </c>
      <c r="I938" t="inlineStr">
        <is>
          <t>Weekly - Tuesday</t>
        </is>
      </c>
      <c r="J938" t="inlineStr">
        <is>
          <t>Same Month Expiry</t>
        </is>
      </c>
      <c r="K938" s="25" t="n">
        <v>107771286</v>
      </c>
      <c r="L938" s="26" t="n">
        <v>209935.5019</v>
      </c>
      <c r="M938" s="26" t="n">
        <v>375.1007</v>
      </c>
    </row>
    <row r="939" ht="16" customHeight="1">
      <c r="A939" t="inlineStr">
        <is>
          <t>17-Nov-2025</t>
        </is>
      </c>
      <c r="B939" t="inlineStr">
        <is>
          <t>Monday</t>
        </is>
      </c>
      <c r="C939" t="inlineStr">
        <is>
          <t>Week3-Nov-2025</t>
        </is>
      </c>
      <c r="D939" s="78" t="n">
        <v>45962</v>
      </c>
      <c r="E939" t="inlineStr">
        <is>
          <t>Q3FY26</t>
        </is>
      </c>
      <c r="F939" t="inlineStr">
        <is>
          <t>25-Nov-2025</t>
        </is>
      </c>
      <c r="G939" t="inlineStr">
        <is>
          <t>Tuesday</t>
        </is>
      </c>
      <c r="H939" t="inlineStr">
        <is>
          <t>Monthly - Tuesday</t>
        </is>
      </c>
      <c r="I939" t="inlineStr">
        <is>
          <t>Monthly - Tuesday</t>
        </is>
      </c>
      <c r="J939" t="inlineStr">
        <is>
          <t>Same Month Expiry</t>
        </is>
      </c>
      <c r="K939" s="25" t="n">
        <v>5331308</v>
      </c>
      <c r="L939" s="26" t="n">
        <v>10387.2303</v>
      </c>
      <c r="M939" s="26" t="n">
        <v>35.0174</v>
      </c>
    </row>
    <row r="940" ht="16" customHeight="1">
      <c r="A940" t="inlineStr">
        <is>
          <t>17-Nov-2025</t>
        </is>
      </c>
      <c r="B940" t="inlineStr">
        <is>
          <t>Monday</t>
        </is>
      </c>
      <c r="C940" t="inlineStr">
        <is>
          <t>Week3-Nov-2025</t>
        </is>
      </c>
      <c r="D940" s="78" t="n">
        <v>45962</v>
      </c>
      <c r="E940" t="inlineStr">
        <is>
          <t>Q3FY26</t>
        </is>
      </c>
      <c r="F940" t="inlineStr">
        <is>
          <t>02-Dec-2025</t>
        </is>
      </c>
      <c r="G940" t="inlineStr">
        <is>
          <t>Tuesday</t>
        </is>
      </c>
      <c r="H940" t="inlineStr">
        <is>
          <t>Weekly - Tuesday</t>
        </is>
      </c>
      <c r="I940" t="inlineStr">
        <is>
          <t>Weekly - Tuesday</t>
        </is>
      </c>
      <c r="J940" t="inlineStr">
        <is>
          <t>Month+1 Expiry</t>
        </is>
      </c>
      <c r="K940" s="25" t="n">
        <v>242786</v>
      </c>
      <c r="L940" s="26" t="n">
        <v>475.5682</v>
      </c>
      <c r="M940" s="26" t="n">
        <v>2.3096</v>
      </c>
    </row>
    <row r="941" ht="16" customHeight="1">
      <c r="A941" t="inlineStr">
        <is>
          <t>17-Nov-2025</t>
        </is>
      </c>
      <c r="B941" t="inlineStr">
        <is>
          <t>Monday</t>
        </is>
      </c>
      <c r="C941" t="inlineStr">
        <is>
          <t>Week3-Nov-2025</t>
        </is>
      </c>
      <c r="D941" s="78" t="n">
        <v>45962</v>
      </c>
      <c r="E941" t="inlineStr">
        <is>
          <t>Q3FY26</t>
        </is>
      </c>
      <c r="F941" t="inlineStr">
        <is>
          <t>09-Dec-2025</t>
        </is>
      </c>
      <c r="G941" t="inlineStr">
        <is>
          <t>Tuesday</t>
        </is>
      </c>
      <c r="H941" t="inlineStr">
        <is>
          <t>Weekly - Tuesday</t>
        </is>
      </c>
      <c r="I941" t="inlineStr">
        <is>
          <t>Weekly - Tuesday</t>
        </is>
      </c>
      <c r="J941" t="inlineStr">
        <is>
          <t>Month+1 Expiry</t>
        </is>
      </c>
      <c r="K941" s="25" t="n">
        <v>35900</v>
      </c>
      <c r="L941" s="26" t="n">
        <v>70.8169</v>
      </c>
      <c r="M941" s="26" t="n">
        <v>0.3706</v>
      </c>
    </row>
    <row r="942" ht="16" customHeight="1">
      <c r="A942" t="inlineStr">
        <is>
          <t>17-Nov-2025</t>
        </is>
      </c>
      <c r="B942" t="inlineStr">
        <is>
          <t>Monday</t>
        </is>
      </c>
      <c r="C942" t="inlineStr">
        <is>
          <t>Week3-Nov-2025</t>
        </is>
      </c>
      <c r="D942" s="78" t="n">
        <v>45962</v>
      </c>
      <c r="E942" t="inlineStr">
        <is>
          <t>Q3FY26</t>
        </is>
      </c>
      <c r="F942" t="inlineStr">
        <is>
          <t>16-Dec-2025</t>
        </is>
      </c>
      <c r="G942" t="inlineStr">
        <is>
          <t>Tuesday</t>
        </is>
      </c>
      <c r="H942" t="inlineStr">
        <is>
          <t>Weekly - Tuesday</t>
        </is>
      </c>
      <c r="I942" t="inlineStr">
        <is>
          <t>Weekly - Tuesday</t>
        </is>
      </c>
      <c r="J942" t="inlineStr">
        <is>
          <t>Month+1 Expiry</t>
        </is>
      </c>
      <c r="K942" s="25" t="n">
        <v>6519</v>
      </c>
      <c r="L942" s="26" t="n">
        <v>12.8649</v>
      </c>
      <c r="M942" s="26" t="n">
        <v>0.1016</v>
      </c>
    </row>
    <row r="943" ht="16" customHeight="1">
      <c r="A943" t="inlineStr">
        <is>
          <t>17-Nov-2025</t>
        </is>
      </c>
      <c r="B943" t="inlineStr">
        <is>
          <t>Monday</t>
        </is>
      </c>
      <c r="C943" t="inlineStr">
        <is>
          <t>Week3-Nov-2025</t>
        </is>
      </c>
      <c r="D943" s="78" t="n">
        <v>45962</v>
      </c>
      <c r="E943" t="inlineStr">
        <is>
          <t>Q3FY26</t>
        </is>
      </c>
      <c r="F943" t="inlineStr">
        <is>
          <t>30-Dec-2025</t>
        </is>
      </c>
      <c r="G943" t="inlineStr">
        <is>
          <t>Tuesday</t>
        </is>
      </c>
      <c r="H943" t="inlineStr">
        <is>
          <t>Monthly - Tuesday</t>
        </is>
      </c>
      <c r="I943" t="inlineStr">
        <is>
          <t>Monthly - Tuesday</t>
        </is>
      </c>
      <c r="J943" t="inlineStr">
        <is>
          <t>Month+1 Expiry</t>
        </is>
      </c>
      <c r="K943" s="25" t="n">
        <v>449443</v>
      </c>
      <c r="L943" s="26" t="n">
        <v>876.1717</v>
      </c>
      <c r="M943" s="26" t="n">
        <v>6.7696</v>
      </c>
    </row>
    <row r="944" ht="16" customHeight="1">
      <c r="A944" t="inlineStr">
        <is>
          <t>17-Nov-2025</t>
        </is>
      </c>
      <c r="B944" t="inlineStr">
        <is>
          <t>Monday</t>
        </is>
      </c>
      <c r="C944" t="inlineStr">
        <is>
          <t>Week3-Nov-2025</t>
        </is>
      </c>
      <c r="D944" s="78" t="n">
        <v>45962</v>
      </c>
      <c r="E944" t="inlineStr">
        <is>
          <t>Q3FY26</t>
        </is>
      </c>
      <c r="F944" t="inlineStr">
        <is>
          <t>27-Jan-2026</t>
        </is>
      </c>
      <c r="G944" t="inlineStr">
        <is>
          <t>Tuesday</t>
        </is>
      </c>
      <c r="H944" t="inlineStr">
        <is>
          <t>Monthly - Tuesday</t>
        </is>
      </c>
      <c r="I944" t="inlineStr">
        <is>
          <t>Monthly - Tuesday</t>
        </is>
      </c>
      <c r="J944" t="inlineStr">
        <is>
          <t>Month+2 Expiry</t>
        </is>
      </c>
      <c r="K944" s="25" t="n">
        <v>34297</v>
      </c>
      <c r="L944" s="26" t="n">
        <v>58.0733</v>
      </c>
      <c r="M944" s="26" t="n">
        <v>0.5469000000000001</v>
      </c>
    </row>
    <row r="945" ht="16" customHeight="1">
      <c r="A945" t="inlineStr">
        <is>
          <t>17-Nov-2025</t>
        </is>
      </c>
      <c r="B945" t="inlineStr">
        <is>
          <t>Monday</t>
        </is>
      </c>
      <c r="C945" t="inlineStr">
        <is>
          <t>Week3-Nov-2025</t>
        </is>
      </c>
      <c r="D945" s="78" t="n">
        <v>45962</v>
      </c>
      <c r="E945" t="inlineStr">
        <is>
          <t>Q3FY26</t>
        </is>
      </c>
      <c r="F945" t="inlineStr">
        <is>
          <t>31-Mar-2026</t>
        </is>
      </c>
      <c r="G945" t="inlineStr">
        <is>
          <t>Tuesday</t>
        </is>
      </c>
      <c r="H945" t="inlineStr">
        <is>
          <t>Monthly - Tuesday</t>
        </is>
      </c>
      <c r="I945" t="inlineStr">
        <is>
          <t>Monthly - Tuesday</t>
        </is>
      </c>
      <c r="J945" t="inlineStr">
        <is>
          <t>Month+4 Expiry</t>
        </is>
      </c>
      <c r="K945" s="25" t="n">
        <v>18206</v>
      </c>
      <c r="L945" s="26" t="n">
        <v>35.4722</v>
      </c>
      <c r="M945" s="26" t="n">
        <v>0.495</v>
      </c>
    </row>
    <row r="946" ht="16" customHeight="1">
      <c r="A946" t="inlineStr">
        <is>
          <t>17-Nov-2025</t>
        </is>
      </c>
      <c r="B946" t="inlineStr">
        <is>
          <t>Monday</t>
        </is>
      </c>
      <c r="C946" t="inlineStr">
        <is>
          <t>Week3-Nov-2025</t>
        </is>
      </c>
      <c r="D946" s="78" t="n">
        <v>45962</v>
      </c>
      <c r="E946" t="inlineStr">
        <is>
          <t>Q3FY26</t>
        </is>
      </c>
      <c r="F946" t="inlineStr">
        <is>
          <t>30-Jun-2026</t>
        </is>
      </c>
      <c r="G946" t="inlineStr">
        <is>
          <t>Tuesday</t>
        </is>
      </c>
      <c r="H946" t="inlineStr">
        <is>
          <t>Monthly - Tuesday</t>
        </is>
      </c>
      <c r="I946" t="inlineStr">
        <is>
          <t>Monthly - Tuesday</t>
        </is>
      </c>
      <c r="J946" t="inlineStr">
        <is>
          <t>Month+7 Expiry</t>
        </is>
      </c>
      <c r="K946" s="25" t="n">
        <v>6583</v>
      </c>
      <c r="L946" s="26" t="n">
        <v>12.579</v>
      </c>
      <c r="M946" s="26" t="n">
        <v>0.2366</v>
      </c>
    </row>
    <row r="947" ht="16" customHeight="1">
      <c r="A947" t="inlineStr">
        <is>
          <t>17-Nov-2025</t>
        </is>
      </c>
      <c r="B947" t="inlineStr">
        <is>
          <t>Monday</t>
        </is>
      </c>
      <c r="C947" t="inlineStr">
        <is>
          <t>Week3-Nov-2025</t>
        </is>
      </c>
      <c r="D947" s="78" t="n">
        <v>45962</v>
      </c>
      <c r="E947" t="inlineStr">
        <is>
          <t>Q3FY26</t>
        </is>
      </c>
      <c r="F947" t="inlineStr">
        <is>
          <t>29-Sep-2026</t>
        </is>
      </c>
      <c r="G947" t="inlineStr">
        <is>
          <t>Tuesday</t>
        </is>
      </c>
      <c r="H947" t="inlineStr">
        <is>
          <t>Monthly - Tuesday</t>
        </is>
      </c>
      <c r="I947" t="inlineStr">
        <is>
          <t>Monthly - Tuesday</t>
        </is>
      </c>
      <c r="J947" t="inlineStr">
        <is>
          <t>Month+10 Expiry</t>
        </is>
      </c>
      <c r="K947" s="25" t="n">
        <v>31</v>
      </c>
      <c r="L947" s="26" t="n">
        <v>0.0557</v>
      </c>
      <c r="M947" s="26" t="n">
        <v>0.0005</v>
      </c>
    </row>
    <row r="948" ht="16" customHeight="1">
      <c r="A948" t="inlineStr">
        <is>
          <t>17-Nov-2025</t>
        </is>
      </c>
      <c r="B948" t="inlineStr">
        <is>
          <t>Monday</t>
        </is>
      </c>
      <c r="C948" t="inlineStr">
        <is>
          <t>Week3-Nov-2025</t>
        </is>
      </c>
      <c r="D948" s="78" t="n">
        <v>45962</v>
      </c>
      <c r="E948" t="inlineStr">
        <is>
          <t>Q3FY26</t>
        </is>
      </c>
      <c r="F948" t="inlineStr">
        <is>
          <t>29-Dec-2026</t>
        </is>
      </c>
      <c r="G948" t="inlineStr">
        <is>
          <t>Tuesday</t>
        </is>
      </c>
      <c r="H948" t="inlineStr">
        <is>
          <t>Monthly - Tuesday</t>
        </is>
      </c>
      <c r="I948" t="inlineStr">
        <is>
          <t>Monthly - Tuesday</t>
        </is>
      </c>
      <c r="J948" t="inlineStr">
        <is>
          <t>Month+13 Expiry</t>
        </is>
      </c>
      <c r="K948" s="25" t="n">
        <v>6631</v>
      </c>
      <c r="L948" s="26" t="n">
        <v>13.6408</v>
      </c>
      <c r="M948" s="26" t="n">
        <v>0.3262</v>
      </c>
    </row>
    <row r="949" ht="16" customHeight="1">
      <c r="A949" t="inlineStr">
        <is>
          <t>17-Nov-2025</t>
        </is>
      </c>
      <c r="B949" t="inlineStr">
        <is>
          <t>Monday</t>
        </is>
      </c>
      <c r="C949" t="inlineStr">
        <is>
          <t>Week3-Nov-2025</t>
        </is>
      </c>
      <c r="D949" s="78" t="n">
        <v>45962</v>
      </c>
      <c r="E949" t="inlineStr">
        <is>
          <t>Q3FY26</t>
        </is>
      </c>
      <c r="F949" t="inlineStr">
        <is>
          <t>29-Jun-2027</t>
        </is>
      </c>
      <c r="G949" t="inlineStr">
        <is>
          <t>Tuesday</t>
        </is>
      </c>
      <c r="H949" t="inlineStr">
        <is>
          <t>Monthly - Tuesday</t>
        </is>
      </c>
      <c r="I949" t="inlineStr">
        <is>
          <t>Monthly - Tuesday</t>
        </is>
      </c>
      <c r="J949" t="inlineStr">
        <is>
          <t>Month+19 Expiry</t>
        </is>
      </c>
      <c r="K949" s="25" t="n">
        <v>0</v>
      </c>
      <c r="L949" s="26" t="n">
        <v>0</v>
      </c>
      <c r="M949" s="26" t="n">
        <v>0</v>
      </c>
    </row>
    <row r="950" ht="16" customHeight="1">
      <c r="A950" t="inlineStr">
        <is>
          <t>17-Nov-2025</t>
        </is>
      </c>
      <c r="B950" t="inlineStr">
        <is>
          <t>Monday</t>
        </is>
      </c>
      <c r="C950" t="inlineStr">
        <is>
          <t>Week3-Nov-2025</t>
        </is>
      </c>
      <c r="D950" s="78" t="n">
        <v>45962</v>
      </c>
      <c r="E950" t="inlineStr">
        <is>
          <t>Q3FY26</t>
        </is>
      </c>
      <c r="F950" t="inlineStr">
        <is>
          <t>28-Dec-2027</t>
        </is>
      </c>
      <c r="G950" t="inlineStr">
        <is>
          <t>Tuesday</t>
        </is>
      </c>
      <c r="H950" t="inlineStr">
        <is>
          <t>Monthly - Tuesday</t>
        </is>
      </c>
      <c r="I950" t="inlineStr">
        <is>
          <t>Monthly - Tuesday</t>
        </is>
      </c>
      <c r="J950" t="inlineStr">
        <is>
          <t>Month+25 Expiry</t>
        </is>
      </c>
      <c r="K950" s="25" t="n">
        <v>10</v>
      </c>
      <c r="L950" s="26" t="n">
        <v>0.0203</v>
      </c>
      <c r="M950" s="26" t="n">
        <v>0.0016</v>
      </c>
    </row>
    <row r="951" ht="16" customHeight="1">
      <c r="A951" t="inlineStr">
        <is>
          <t>17-Nov-2025</t>
        </is>
      </c>
      <c r="B951" t="inlineStr">
        <is>
          <t>Monday</t>
        </is>
      </c>
      <c r="C951" t="inlineStr">
        <is>
          <t>Week3-Nov-2025</t>
        </is>
      </c>
      <c r="D951" s="78" t="n">
        <v>45962</v>
      </c>
      <c r="E951" t="inlineStr">
        <is>
          <t>Q3FY26</t>
        </is>
      </c>
      <c r="F951" t="inlineStr">
        <is>
          <t>27-Jun-2028</t>
        </is>
      </c>
      <c r="G951" t="inlineStr">
        <is>
          <t>Tuesday</t>
        </is>
      </c>
      <c r="H951" t="inlineStr">
        <is>
          <t>Monthly - Tuesday</t>
        </is>
      </c>
      <c r="I951" t="inlineStr">
        <is>
          <t>Monthly - Tuesday</t>
        </is>
      </c>
      <c r="J951" t="inlineStr">
        <is>
          <t>Month+31 Expiry</t>
        </is>
      </c>
      <c r="K951" s="25" t="n">
        <v>0</v>
      </c>
      <c r="L951" s="26" t="n">
        <v>0</v>
      </c>
      <c r="M951" s="26" t="n">
        <v>0</v>
      </c>
    </row>
    <row r="952" ht="16" customHeight="1">
      <c r="A952" t="inlineStr">
        <is>
          <t>17-Nov-2025</t>
        </is>
      </c>
      <c r="B952" t="inlineStr">
        <is>
          <t>Monday</t>
        </is>
      </c>
      <c r="C952" t="inlineStr">
        <is>
          <t>Week3-Nov-2025</t>
        </is>
      </c>
      <c r="D952" s="78" t="n">
        <v>45962</v>
      </c>
      <c r="E952" t="inlineStr">
        <is>
          <t>Q3FY26</t>
        </is>
      </c>
      <c r="F952" t="inlineStr">
        <is>
          <t>26-Dec-2028</t>
        </is>
      </c>
      <c r="G952" t="inlineStr">
        <is>
          <t>Tuesday</t>
        </is>
      </c>
      <c r="H952" t="inlineStr">
        <is>
          <t>Monthly - Tuesday</t>
        </is>
      </c>
      <c r="I952" t="inlineStr">
        <is>
          <t>Monthly - Tuesday</t>
        </is>
      </c>
      <c r="J952" t="inlineStr">
        <is>
          <t>Month+37 Expiry</t>
        </is>
      </c>
      <c r="K952" s="25" t="n">
        <v>0</v>
      </c>
      <c r="L952" s="26" t="n">
        <v>0</v>
      </c>
      <c r="M952" s="26" t="n">
        <v>0</v>
      </c>
    </row>
    <row r="953" ht="16" customHeight="1">
      <c r="A953" t="inlineStr">
        <is>
          <t>17-Nov-2025</t>
        </is>
      </c>
      <c r="B953" t="inlineStr">
        <is>
          <t>Monday</t>
        </is>
      </c>
      <c r="C953" t="inlineStr">
        <is>
          <t>Week3-Nov-2025</t>
        </is>
      </c>
      <c r="D953" s="78" t="n">
        <v>45962</v>
      </c>
      <c r="E953" t="inlineStr">
        <is>
          <t>Q3FY26</t>
        </is>
      </c>
      <c r="F953" t="inlineStr">
        <is>
          <t>26-Jun-2029</t>
        </is>
      </c>
      <c r="G953" t="inlineStr">
        <is>
          <t>Tuesday</t>
        </is>
      </c>
      <c r="H953" t="inlineStr">
        <is>
          <t>Monthly - Tuesday</t>
        </is>
      </c>
      <c r="I953" t="inlineStr">
        <is>
          <t>Monthly - Tuesday</t>
        </is>
      </c>
      <c r="J953" t="inlineStr">
        <is>
          <t>Month+43 Expiry</t>
        </is>
      </c>
      <c r="K953" s="25" t="n">
        <v>0</v>
      </c>
      <c r="L953" s="26" t="n">
        <v>0</v>
      </c>
      <c r="M953" s="26" t="n">
        <v>0</v>
      </c>
    </row>
    <row r="954" ht="16" customHeight="1">
      <c r="A954" t="inlineStr">
        <is>
          <t>17-Nov-2025</t>
        </is>
      </c>
      <c r="B954" t="inlineStr">
        <is>
          <t>Monday</t>
        </is>
      </c>
      <c r="C954" t="inlineStr">
        <is>
          <t>Week3-Nov-2025</t>
        </is>
      </c>
      <c r="D954" s="78" t="n">
        <v>45962</v>
      </c>
      <c r="E954" t="inlineStr">
        <is>
          <t>Q3FY26</t>
        </is>
      </c>
      <c r="F954" t="inlineStr">
        <is>
          <t>24-Dec-2029</t>
        </is>
      </c>
      <c r="G954" t="inlineStr">
        <is>
          <t>Monday</t>
        </is>
      </c>
      <c r="H954" t="inlineStr">
        <is>
          <t>Weekly - Monday</t>
        </is>
      </c>
      <c r="I954" t="inlineStr">
        <is>
          <t>Weekly - Monday</t>
        </is>
      </c>
      <c r="J954" t="inlineStr">
        <is>
          <t>Month+49 Expiry</t>
        </is>
      </c>
      <c r="K954" s="25" t="n">
        <v>0</v>
      </c>
      <c r="L954" s="26" t="n">
        <v>0</v>
      </c>
      <c r="M954" s="26" t="n">
        <v>0</v>
      </c>
    </row>
    <row r="955" ht="16" customHeight="1">
      <c r="A955" t="inlineStr">
        <is>
          <t>17-Nov-2025</t>
        </is>
      </c>
      <c r="B955" t="inlineStr">
        <is>
          <t>Monday</t>
        </is>
      </c>
      <c r="C955" t="inlineStr">
        <is>
          <t>Week3-Nov-2025</t>
        </is>
      </c>
      <c r="D955" s="78" t="n">
        <v>45962</v>
      </c>
      <c r="E955" t="inlineStr">
        <is>
          <t>Q3FY26</t>
        </is>
      </c>
      <c r="F955" t="inlineStr">
        <is>
          <t>25-Jun-2030</t>
        </is>
      </c>
      <c r="G955" t="inlineStr">
        <is>
          <t>Tuesday</t>
        </is>
      </c>
      <c r="H955" t="inlineStr">
        <is>
          <t>Monthly - Tuesday</t>
        </is>
      </c>
      <c r="I955" t="inlineStr">
        <is>
          <t>Monthly - Tuesday</t>
        </is>
      </c>
      <c r="J955" t="inlineStr">
        <is>
          <t>Month+55 Expiry</t>
        </is>
      </c>
      <c r="K955" s="25" t="n">
        <v>0</v>
      </c>
      <c r="L955" s="26" t="n">
        <v>0</v>
      </c>
      <c r="M955" s="26" t="n">
        <v>0</v>
      </c>
    </row>
    <row r="956" ht="16" customHeight="1">
      <c r="A956" t="inlineStr">
        <is>
          <t>18-Nov-2025</t>
        </is>
      </c>
      <c r="B956" t="inlineStr">
        <is>
          <t>Tuesday</t>
        </is>
      </c>
      <c r="C956" t="inlineStr">
        <is>
          <t>Week3-Nov-2025</t>
        </is>
      </c>
      <c r="D956" s="78" t="n">
        <v>45962</v>
      </c>
      <c r="E956" t="inlineStr">
        <is>
          <t>Q3FY26</t>
        </is>
      </c>
      <c r="F956" t="inlineStr">
        <is>
          <t>18-Nov-2025</t>
        </is>
      </c>
      <c r="G956" t="inlineStr">
        <is>
          <t>Tuesday</t>
        </is>
      </c>
      <c r="H956" t="inlineStr">
        <is>
          <t>Weekly - Tuesday</t>
        </is>
      </c>
      <c r="I956" t="inlineStr">
        <is>
          <t>Weekly - Tuesday</t>
        </is>
      </c>
      <c r="J956" t="inlineStr">
        <is>
          <t>Same Month Expiry</t>
        </is>
      </c>
      <c r="K956" s="25" t="n">
        <v>272098953</v>
      </c>
      <c r="L956" s="26" t="n">
        <v>530046.6004</v>
      </c>
      <c r="M956" s="26" t="n">
        <v>489.7865</v>
      </c>
    </row>
    <row r="957" ht="16" customHeight="1">
      <c r="A957" t="inlineStr">
        <is>
          <t>18-Nov-2025</t>
        </is>
      </c>
      <c r="B957" t="inlineStr">
        <is>
          <t>Tuesday</t>
        </is>
      </c>
      <c r="C957" t="inlineStr">
        <is>
          <t>Week3-Nov-2025</t>
        </is>
      </c>
      <c r="D957" s="78" t="n">
        <v>45962</v>
      </c>
      <c r="E957" t="inlineStr">
        <is>
          <t>Q3FY26</t>
        </is>
      </c>
      <c r="F957" t="inlineStr">
        <is>
          <t>25-Nov-2025</t>
        </is>
      </c>
      <c r="G957" t="inlineStr">
        <is>
          <t>Tuesday</t>
        </is>
      </c>
      <c r="H957" t="inlineStr">
        <is>
          <t>Monthly - Tuesday</t>
        </is>
      </c>
      <c r="I957" t="inlineStr">
        <is>
          <t>Monthly - Tuesday</t>
        </is>
      </c>
      <c r="J957" t="inlineStr">
        <is>
          <t>Same Month Expiry</t>
        </is>
      </c>
      <c r="K957" s="25" t="n">
        <v>11016416</v>
      </c>
      <c r="L957" s="26" t="n">
        <v>21501.4114</v>
      </c>
      <c r="M957" s="26" t="n">
        <v>70.97410000000001</v>
      </c>
    </row>
    <row r="958" ht="16" customHeight="1">
      <c r="A958" t="inlineStr">
        <is>
          <t>18-Nov-2025</t>
        </is>
      </c>
      <c r="B958" t="inlineStr">
        <is>
          <t>Tuesday</t>
        </is>
      </c>
      <c r="C958" t="inlineStr">
        <is>
          <t>Week3-Nov-2025</t>
        </is>
      </c>
      <c r="D958" s="78" t="n">
        <v>45962</v>
      </c>
      <c r="E958" t="inlineStr">
        <is>
          <t>Q3FY26</t>
        </is>
      </c>
      <c r="F958" t="inlineStr">
        <is>
          <t>02-Dec-2025</t>
        </is>
      </c>
      <c r="G958" t="inlineStr">
        <is>
          <t>Tuesday</t>
        </is>
      </c>
      <c r="H958" t="inlineStr">
        <is>
          <t>Weekly - Tuesday</t>
        </is>
      </c>
      <c r="I958" t="inlineStr">
        <is>
          <t>Weekly - Tuesday</t>
        </is>
      </c>
      <c r="J958" t="inlineStr">
        <is>
          <t>Month+1 Expiry</t>
        </is>
      </c>
      <c r="K958" s="25" t="n">
        <v>432620</v>
      </c>
      <c r="L958" s="26" t="n">
        <v>847.5204</v>
      </c>
      <c r="M958" s="26" t="n">
        <v>4.4664</v>
      </c>
    </row>
    <row r="959" ht="16" customHeight="1">
      <c r="A959" t="inlineStr">
        <is>
          <t>18-Nov-2025</t>
        </is>
      </c>
      <c r="B959" t="inlineStr">
        <is>
          <t>Tuesday</t>
        </is>
      </c>
      <c r="C959" t="inlineStr">
        <is>
          <t>Week3-Nov-2025</t>
        </is>
      </c>
      <c r="D959" s="78" t="n">
        <v>45962</v>
      </c>
      <c r="E959" t="inlineStr">
        <is>
          <t>Q3FY26</t>
        </is>
      </c>
      <c r="F959" t="inlineStr">
        <is>
          <t>09-Dec-2025</t>
        </is>
      </c>
      <c r="G959" t="inlineStr">
        <is>
          <t>Tuesday</t>
        </is>
      </c>
      <c r="H959" t="inlineStr">
        <is>
          <t>Weekly - Tuesday</t>
        </is>
      </c>
      <c r="I959" t="inlineStr">
        <is>
          <t>Weekly - Tuesday</t>
        </is>
      </c>
      <c r="J959" t="inlineStr">
        <is>
          <t>Month+1 Expiry</t>
        </is>
      </c>
      <c r="K959" s="25" t="n">
        <v>38063</v>
      </c>
      <c r="L959" s="26" t="n">
        <v>74.64530000000001</v>
      </c>
      <c r="M959" s="26" t="n">
        <v>0.4438</v>
      </c>
    </row>
    <row r="960" ht="16" customHeight="1">
      <c r="A960" t="inlineStr">
        <is>
          <t>18-Nov-2025</t>
        </is>
      </c>
      <c r="B960" t="inlineStr">
        <is>
          <t>Tuesday</t>
        </is>
      </c>
      <c r="C960" t="inlineStr">
        <is>
          <t>Week3-Nov-2025</t>
        </is>
      </c>
      <c r="D960" s="78" t="n">
        <v>45962</v>
      </c>
      <c r="E960" t="inlineStr">
        <is>
          <t>Q3FY26</t>
        </is>
      </c>
      <c r="F960" t="inlineStr">
        <is>
          <t>16-Dec-2025</t>
        </is>
      </c>
      <c r="G960" t="inlineStr">
        <is>
          <t>Tuesday</t>
        </is>
      </c>
      <c r="H960" t="inlineStr">
        <is>
          <t>Weekly - Tuesday</t>
        </is>
      </c>
      <c r="I960" t="inlineStr">
        <is>
          <t>Weekly - Tuesday</t>
        </is>
      </c>
      <c r="J960" t="inlineStr">
        <is>
          <t>Month+1 Expiry</t>
        </is>
      </c>
      <c r="K960" s="25" t="n">
        <v>8106</v>
      </c>
      <c r="L960" s="26" t="n">
        <v>15.9543</v>
      </c>
      <c r="M960" s="26" t="n">
        <v>0.1218</v>
      </c>
    </row>
    <row r="961" ht="16" customHeight="1">
      <c r="A961" t="inlineStr">
        <is>
          <t>18-Nov-2025</t>
        </is>
      </c>
      <c r="B961" t="inlineStr">
        <is>
          <t>Tuesday</t>
        </is>
      </c>
      <c r="C961" t="inlineStr">
        <is>
          <t>Week3-Nov-2025</t>
        </is>
      </c>
      <c r="D961" s="78" t="n">
        <v>45962</v>
      </c>
      <c r="E961" t="inlineStr">
        <is>
          <t>Q3FY26</t>
        </is>
      </c>
      <c r="F961" t="inlineStr">
        <is>
          <t>30-Dec-2025</t>
        </is>
      </c>
      <c r="G961" t="inlineStr">
        <is>
          <t>Tuesday</t>
        </is>
      </c>
      <c r="H961" t="inlineStr">
        <is>
          <t>Monthly - Tuesday</t>
        </is>
      </c>
      <c r="I961" t="inlineStr">
        <is>
          <t>Monthly - Tuesday</t>
        </is>
      </c>
      <c r="J961" t="inlineStr">
        <is>
          <t>Month+1 Expiry</t>
        </is>
      </c>
      <c r="K961" s="25" t="n">
        <v>410036</v>
      </c>
      <c r="L961" s="26" t="n">
        <v>801.5105</v>
      </c>
      <c r="M961" s="26" t="n">
        <v>6.6834</v>
      </c>
    </row>
    <row r="962" ht="16" customHeight="1">
      <c r="A962" t="inlineStr">
        <is>
          <t>18-Nov-2025</t>
        </is>
      </c>
      <c r="B962" t="inlineStr">
        <is>
          <t>Tuesday</t>
        </is>
      </c>
      <c r="C962" t="inlineStr">
        <is>
          <t>Week3-Nov-2025</t>
        </is>
      </c>
      <c r="D962" s="78" t="n">
        <v>45962</v>
      </c>
      <c r="E962" t="inlineStr">
        <is>
          <t>Q3FY26</t>
        </is>
      </c>
      <c r="F962" t="inlineStr">
        <is>
          <t>27-Jan-2026</t>
        </is>
      </c>
      <c r="G962" t="inlineStr">
        <is>
          <t>Tuesday</t>
        </is>
      </c>
      <c r="H962" t="inlineStr">
        <is>
          <t>Monthly - Tuesday</t>
        </is>
      </c>
      <c r="I962" t="inlineStr">
        <is>
          <t>Monthly - Tuesday</t>
        </is>
      </c>
      <c r="J962" t="inlineStr">
        <is>
          <t>Month+2 Expiry</t>
        </is>
      </c>
      <c r="K962" s="25" t="n">
        <v>34059</v>
      </c>
      <c r="L962" s="26" t="n">
        <v>57.6607</v>
      </c>
      <c r="M962" s="26" t="n">
        <v>0.6203</v>
      </c>
    </row>
    <row r="963" ht="16" customHeight="1">
      <c r="A963" t="inlineStr">
        <is>
          <t>18-Nov-2025</t>
        </is>
      </c>
      <c r="B963" t="inlineStr">
        <is>
          <t>Tuesday</t>
        </is>
      </c>
      <c r="C963" t="inlineStr">
        <is>
          <t>Week3-Nov-2025</t>
        </is>
      </c>
      <c r="D963" s="78" t="n">
        <v>45962</v>
      </c>
      <c r="E963" t="inlineStr">
        <is>
          <t>Q3FY26</t>
        </is>
      </c>
      <c r="F963" t="inlineStr">
        <is>
          <t>31-Mar-2026</t>
        </is>
      </c>
      <c r="G963" t="inlineStr">
        <is>
          <t>Tuesday</t>
        </is>
      </c>
      <c r="H963" t="inlineStr">
        <is>
          <t>Monthly - Tuesday</t>
        </is>
      </c>
      <c r="I963" t="inlineStr">
        <is>
          <t>Monthly - Tuesday</t>
        </is>
      </c>
      <c r="J963" t="inlineStr">
        <is>
          <t>Month+4 Expiry</t>
        </is>
      </c>
      <c r="K963" s="25" t="n">
        <v>20885</v>
      </c>
      <c r="L963" s="26" t="n">
        <v>41.7627</v>
      </c>
      <c r="M963" s="26" t="n">
        <v>0.5563</v>
      </c>
    </row>
    <row r="964" ht="16" customHeight="1">
      <c r="A964" t="inlineStr">
        <is>
          <t>18-Nov-2025</t>
        </is>
      </c>
      <c r="B964" t="inlineStr">
        <is>
          <t>Tuesday</t>
        </is>
      </c>
      <c r="C964" t="inlineStr">
        <is>
          <t>Week3-Nov-2025</t>
        </is>
      </c>
      <c r="D964" s="78" t="n">
        <v>45962</v>
      </c>
      <c r="E964" t="inlineStr">
        <is>
          <t>Q3FY26</t>
        </is>
      </c>
      <c r="F964" t="inlineStr">
        <is>
          <t>30-Jun-2026</t>
        </is>
      </c>
      <c r="G964" t="inlineStr">
        <is>
          <t>Tuesday</t>
        </is>
      </c>
      <c r="H964" t="inlineStr">
        <is>
          <t>Monthly - Tuesday</t>
        </is>
      </c>
      <c r="I964" t="inlineStr">
        <is>
          <t>Monthly - Tuesday</t>
        </is>
      </c>
      <c r="J964" t="inlineStr">
        <is>
          <t>Month+7 Expiry</t>
        </is>
      </c>
      <c r="K964" s="25" t="n">
        <v>3708</v>
      </c>
      <c r="L964" s="26" t="n">
        <v>7.3026</v>
      </c>
      <c r="M964" s="26" t="n">
        <v>0.1536</v>
      </c>
    </row>
    <row r="965" ht="16" customHeight="1">
      <c r="A965" t="inlineStr">
        <is>
          <t>18-Nov-2025</t>
        </is>
      </c>
      <c r="B965" t="inlineStr">
        <is>
          <t>Tuesday</t>
        </is>
      </c>
      <c r="C965" t="inlineStr">
        <is>
          <t>Week3-Nov-2025</t>
        </is>
      </c>
      <c r="D965" s="78" t="n">
        <v>45962</v>
      </c>
      <c r="E965" t="inlineStr">
        <is>
          <t>Q3FY26</t>
        </is>
      </c>
      <c r="F965" t="inlineStr">
        <is>
          <t>29-Sep-2026</t>
        </is>
      </c>
      <c r="G965" t="inlineStr">
        <is>
          <t>Tuesday</t>
        </is>
      </c>
      <c r="H965" t="inlineStr">
        <is>
          <t>Monthly - Tuesday</t>
        </is>
      </c>
      <c r="I965" t="inlineStr">
        <is>
          <t>Monthly - Tuesday</t>
        </is>
      </c>
      <c r="J965" t="inlineStr">
        <is>
          <t>Month+10 Expiry</t>
        </is>
      </c>
      <c r="K965" s="25" t="n">
        <v>26</v>
      </c>
      <c r="L965" s="26" t="n">
        <v>0.0466</v>
      </c>
      <c r="M965" s="26" t="n">
        <v>0.0005</v>
      </c>
    </row>
    <row r="966" ht="16" customHeight="1">
      <c r="A966" t="inlineStr">
        <is>
          <t>18-Nov-2025</t>
        </is>
      </c>
      <c r="B966" t="inlineStr">
        <is>
          <t>Tuesday</t>
        </is>
      </c>
      <c r="C966" t="inlineStr">
        <is>
          <t>Week3-Nov-2025</t>
        </is>
      </c>
      <c r="D966" s="78" t="n">
        <v>45962</v>
      </c>
      <c r="E966" t="inlineStr">
        <is>
          <t>Q3FY26</t>
        </is>
      </c>
      <c r="F966" t="inlineStr">
        <is>
          <t>29-Dec-2026</t>
        </is>
      </c>
      <c r="G966" t="inlineStr">
        <is>
          <t>Tuesday</t>
        </is>
      </c>
      <c r="H966" t="inlineStr">
        <is>
          <t>Monthly - Tuesday</t>
        </is>
      </c>
      <c r="I966" t="inlineStr">
        <is>
          <t>Monthly - Tuesday</t>
        </is>
      </c>
      <c r="J966" t="inlineStr">
        <is>
          <t>Month+13 Expiry</t>
        </is>
      </c>
      <c r="K966" s="25" t="n">
        <v>3588</v>
      </c>
      <c r="L966" s="26" t="n">
        <v>7.246</v>
      </c>
      <c r="M966" s="26" t="n">
        <v>0.242</v>
      </c>
    </row>
    <row r="967" ht="16" customHeight="1">
      <c r="A967" t="inlineStr">
        <is>
          <t>18-Nov-2025</t>
        </is>
      </c>
      <c r="B967" t="inlineStr">
        <is>
          <t>Tuesday</t>
        </is>
      </c>
      <c r="C967" t="inlineStr">
        <is>
          <t>Week3-Nov-2025</t>
        </is>
      </c>
      <c r="D967" s="78" t="n">
        <v>45962</v>
      </c>
      <c r="E967" t="inlineStr">
        <is>
          <t>Q3FY26</t>
        </is>
      </c>
      <c r="F967" t="inlineStr">
        <is>
          <t>29-Jun-2027</t>
        </is>
      </c>
      <c r="G967" t="inlineStr">
        <is>
          <t>Tuesday</t>
        </is>
      </c>
      <c r="H967" t="inlineStr">
        <is>
          <t>Monthly - Tuesday</t>
        </is>
      </c>
      <c r="I967" t="inlineStr">
        <is>
          <t>Monthly - Tuesday</t>
        </is>
      </c>
      <c r="J967" t="inlineStr">
        <is>
          <t>Month+19 Expiry</t>
        </is>
      </c>
      <c r="K967" s="25" t="n">
        <v>0</v>
      </c>
      <c r="L967" s="26" t="n">
        <v>0</v>
      </c>
      <c r="M967" s="26" t="n">
        <v>0</v>
      </c>
    </row>
    <row r="968" ht="16" customHeight="1">
      <c r="A968" t="inlineStr">
        <is>
          <t>18-Nov-2025</t>
        </is>
      </c>
      <c r="B968" t="inlineStr">
        <is>
          <t>Tuesday</t>
        </is>
      </c>
      <c r="C968" t="inlineStr">
        <is>
          <t>Week3-Nov-2025</t>
        </is>
      </c>
      <c r="D968" s="78" t="n">
        <v>45962</v>
      </c>
      <c r="E968" t="inlineStr">
        <is>
          <t>Q3FY26</t>
        </is>
      </c>
      <c r="F968" t="inlineStr">
        <is>
          <t>28-Dec-2027</t>
        </is>
      </c>
      <c r="G968" t="inlineStr">
        <is>
          <t>Tuesday</t>
        </is>
      </c>
      <c r="H968" t="inlineStr">
        <is>
          <t>Monthly - Tuesday</t>
        </is>
      </c>
      <c r="I968" t="inlineStr">
        <is>
          <t>Monthly - Tuesday</t>
        </is>
      </c>
      <c r="J968" t="inlineStr">
        <is>
          <t>Month+25 Expiry</t>
        </is>
      </c>
      <c r="K968" s="25" t="n">
        <v>2</v>
      </c>
      <c r="L968" s="26" t="n">
        <v>0.0043</v>
      </c>
      <c r="M968" s="26" t="n">
        <v>0.0003</v>
      </c>
    </row>
    <row r="969" ht="16" customHeight="1">
      <c r="A969" t="inlineStr">
        <is>
          <t>18-Nov-2025</t>
        </is>
      </c>
      <c r="B969" t="inlineStr">
        <is>
          <t>Tuesday</t>
        </is>
      </c>
      <c r="C969" t="inlineStr">
        <is>
          <t>Week3-Nov-2025</t>
        </is>
      </c>
      <c r="D969" s="78" t="n">
        <v>45962</v>
      </c>
      <c r="E969" t="inlineStr">
        <is>
          <t>Q3FY26</t>
        </is>
      </c>
      <c r="F969" t="inlineStr">
        <is>
          <t>27-Jun-2028</t>
        </is>
      </c>
      <c r="G969" t="inlineStr">
        <is>
          <t>Tuesday</t>
        </is>
      </c>
      <c r="H969" t="inlineStr">
        <is>
          <t>Monthly - Tuesday</t>
        </is>
      </c>
      <c r="I969" t="inlineStr">
        <is>
          <t>Monthly - Tuesday</t>
        </is>
      </c>
      <c r="J969" t="inlineStr">
        <is>
          <t>Month+31 Expiry</t>
        </is>
      </c>
      <c r="K969" s="25" t="n">
        <v>0</v>
      </c>
      <c r="L969" s="26" t="n">
        <v>0</v>
      </c>
      <c r="M969" s="26" t="n">
        <v>0</v>
      </c>
    </row>
    <row r="970" ht="16" customHeight="1">
      <c r="A970" t="inlineStr">
        <is>
          <t>18-Nov-2025</t>
        </is>
      </c>
      <c r="B970" t="inlineStr">
        <is>
          <t>Tuesday</t>
        </is>
      </c>
      <c r="C970" t="inlineStr">
        <is>
          <t>Week3-Nov-2025</t>
        </is>
      </c>
      <c r="D970" s="78" t="n">
        <v>45962</v>
      </c>
      <c r="E970" t="inlineStr">
        <is>
          <t>Q3FY26</t>
        </is>
      </c>
      <c r="F970" t="inlineStr">
        <is>
          <t>26-Dec-2028</t>
        </is>
      </c>
      <c r="G970" t="inlineStr">
        <is>
          <t>Tuesday</t>
        </is>
      </c>
      <c r="H970" t="inlineStr">
        <is>
          <t>Monthly - Tuesday</t>
        </is>
      </c>
      <c r="I970" t="inlineStr">
        <is>
          <t>Monthly - Tuesday</t>
        </is>
      </c>
      <c r="J970" t="inlineStr">
        <is>
          <t>Month+37 Expiry</t>
        </is>
      </c>
      <c r="K970" s="25" t="n">
        <v>0</v>
      </c>
      <c r="L970" s="26" t="n">
        <v>0</v>
      </c>
      <c r="M970" s="26" t="n">
        <v>0</v>
      </c>
    </row>
    <row r="971" ht="16" customHeight="1">
      <c r="A971" t="inlineStr">
        <is>
          <t>18-Nov-2025</t>
        </is>
      </c>
      <c r="B971" t="inlineStr">
        <is>
          <t>Tuesday</t>
        </is>
      </c>
      <c r="C971" t="inlineStr">
        <is>
          <t>Week3-Nov-2025</t>
        </is>
      </c>
      <c r="D971" s="78" t="n">
        <v>45962</v>
      </c>
      <c r="E971" t="inlineStr">
        <is>
          <t>Q3FY26</t>
        </is>
      </c>
      <c r="F971" t="inlineStr">
        <is>
          <t>26-Jun-2029</t>
        </is>
      </c>
      <c r="G971" t="inlineStr">
        <is>
          <t>Tuesday</t>
        </is>
      </c>
      <c r="H971" t="inlineStr">
        <is>
          <t>Monthly - Tuesday</t>
        </is>
      </c>
      <c r="I971" t="inlineStr">
        <is>
          <t>Monthly - Tuesday</t>
        </is>
      </c>
      <c r="J971" t="inlineStr">
        <is>
          <t>Month+43 Expiry</t>
        </is>
      </c>
      <c r="K971" s="25" t="n">
        <v>0</v>
      </c>
      <c r="L971" s="26" t="n">
        <v>0</v>
      </c>
      <c r="M971" s="26" t="n">
        <v>0</v>
      </c>
    </row>
    <row r="972" ht="16" customHeight="1">
      <c r="A972" t="inlineStr">
        <is>
          <t>18-Nov-2025</t>
        </is>
      </c>
      <c r="B972" t="inlineStr">
        <is>
          <t>Tuesday</t>
        </is>
      </c>
      <c r="C972" t="inlineStr">
        <is>
          <t>Week3-Nov-2025</t>
        </is>
      </c>
      <c r="D972" s="78" t="n">
        <v>45962</v>
      </c>
      <c r="E972" t="inlineStr">
        <is>
          <t>Q3FY26</t>
        </is>
      </c>
      <c r="F972" t="inlineStr">
        <is>
          <t>24-Dec-2029</t>
        </is>
      </c>
      <c r="G972" t="inlineStr">
        <is>
          <t>Monday</t>
        </is>
      </c>
      <c r="H972" t="inlineStr">
        <is>
          <t>Weekly - Monday</t>
        </is>
      </c>
      <c r="I972" t="inlineStr">
        <is>
          <t>Weekly - Monday</t>
        </is>
      </c>
      <c r="J972" t="inlineStr">
        <is>
          <t>Month+49 Expiry</t>
        </is>
      </c>
      <c r="K972" s="25" t="n">
        <v>0</v>
      </c>
      <c r="L972" s="26" t="n">
        <v>0</v>
      </c>
      <c r="M972" s="26" t="n">
        <v>0</v>
      </c>
    </row>
    <row r="973" ht="16" customHeight="1">
      <c r="A973" t="inlineStr">
        <is>
          <t>18-Nov-2025</t>
        </is>
      </c>
      <c r="B973" t="inlineStr">
        <is>
          <t>Tuesday</t>
        </is>
      </c>
      <c r="C973" t="inlineStr">
        <is>
          <t>Week3-Nov-2025</t>
        </is>
      </c>
      <c r="D973" s="78" t="n">
        <v>45962</v>
      </c>
      <c r="E973" t="inlineStr">
        <is>
          <t>Q3FY26</t>
        </is>
      </c>
      <c r="F973" t="inlineStr">
        <is>
          <t>25-Jun-2030</t>
        </is>
      </c>
      <c r="G973" t="inlineStr">
        <is>
          <t>Tuesday</t>
        </is>
      </c>
      <c r="H973" t="inlineStr">
        <is>
          <t>Monthly - Tuesday</t>
        </is>
      </c>
      <c r="I973" t="inlineStr">
        <is>
          <t>Monthly - Tuesday</t>
        </is>
      </c>
      <c r="J973" t="inlineStr">
        <is>
          <t>Month+55 Expiry</t>
        </is>
      </c>
      <c r="K973" s="25" t="n">
        <v>0</v>
      </c>
      <c r="L973" s="26" t="n">
        <v>0</v>
      </c>
      <c r="M973" s="26" t="n">
        <v>0</v>
      </c>
    </row>
    <row r="974" ht="16" customHeight="1">
      <c r="A974" t="inlineStr">
        <is>
          <t>19-Nov-2025</t>
        </is>
      </c>
      <c r="B974" t="inlineStr">
        <is>
          <t>Wednesday</t>
        </is>
      </c>
      <c r="C974" t="inlineStr">
        <is>
          <t>Week3-Nov-2025</t>
        </is>
      </c>
      <c r="D974" s="78" t="n">
        <v>45962</v>
      </c>
      <c r="E974" t="inlineStr">
        <is>
          <t>Q3FY26</t>
        </is>
      </c>
      <c r="F974" t="inlineStr">
        <is>
          <t>25-Nov-2025</t>
        </is>
      </c>
      <c r="G974" t="inlineStr">
        <is>
          <t>Tuesday</t>
        </is>
      </c>
      <c r="H974" t="inlineStr">
        <is>
          <t>Monthly - Tuesday</t>
        </is>
      </c>
      <c r="I974" t="inlineStr">
        <is>
          <t>MDAW - Tuesday</t>
        </is>
      </c>
      <c r="J974" t="inlineStr">
        <is>
          <t>Same Month Expiry</t>
        </is>
      </c>
      <c r="K974" s="25" t="n">
        <v>46914263</v>
      </c>
      <c r="L974" s="26" t="n">
        <v>91564.52800000001</v>
      </c>
      <c r="M974" s="26" t="n">
        <v>294.51</v>
      </c>
    </row>
    <row r="975" ht="16" customHeight="1">
      <c r="A975" t="inlineStr">
        <is>
          <t>19-Nov-2025</t>
        </is>
      </c>
      <c r="B975" t="inlineStr">
        <is>
          <t>Wednesday</t>
        </is>
      </c>
      <c r="C975" t="inlineStr">
        <is>
          <t>Week3-Nov-2025</t>
        </is>
      </c>
      <c r="D975" s="78" t="n">
        <v>45962</v>
      </c>
      <c r="E975" t="inlineStr">
        <is>
          <t>Q3FY26</t>
        </is>
      </c>
      <c r="F975" t="inlineStr">
        <is>
          <t>02-Dec-2025</t>
        </is>
      </c>
      <c r="G975" t="inlineStr">
        <is>
          <t>Tuesday</t>
        </is>
      </c>
      <c r="H975" t="inlineStr">
        <is>
          <t>Weekly - Tuesday</t>
        </is>
      </c>
      <c r="I975" t="inlineStr">
        <is>
          <t>Weekly - Tuesday</t>
        </is>
      </c>
      <c r="J975" t="inlineStr">
        <is>
          <t>Month+1 Expiry</t>
        </is>
      </c>
      <c r="K975" s="25" t="n">
        <v>1223527</v>
      </c>
      <c r="L975" s="26" t="n">
        <v>2400.8384</v>
      </c>
      <c r="M975" s="26" t="n">
        <v>11.0874</v>
      </c>
    </row>
    <row r="976" ht="16" customHeight="1">
      <c r="A976" t="inlineStr">
        <is>
          <t>19-Nov-2025</t>
        </is>
      </c>
      <c r="B976" t="inlineStr">
        <is>
          <t>Wednesday</t>
        </is>
      </c>
      <c r="C976" t="inlineStr">
        <is>
          <t>Week3-Nov-2025</t>
        </is>
      </c>
      <c r="D976" s="78" t="n">
        <v>45962</v>
      </c>
      <c r="E976" t="inlineStr">
        <is>
          <t>Q3FY26</t>
        </is>
      </c>
      <c r="F976" t="inlineStr">
        <is>
          <t>09-Dec-2025</t>
        </is>
      </c>
      <c r="G976" t="inlineStr">
        <is>
          <t>Tuesday</t>
        </is>
      </c>
      <c r="H976" t="inlineStr">
        <is>
          <t>Weekly - Tuesday</t>
        </is>
      </c>
      <c r="I976" t="inlineStr">
        <is>
          <t>Weekly - Tuesday</t>
        </is>
      </c>
      <c r="J976" t="inlineStr">
        <is>
          <t>Month+1 Expiry</t>
        </is>
      </c>
      <c r="K976" s="25" t="n">
        <v>78762</v>
      </c>
      <c r="L976" s="26" t="n">
        <v>154.5775</v>
      </c>
      <c r="M976" s="26" t="n">
        <v>0.9003</v>
      </c>
    </row>
    <row r="977" ht="16" customHeight="1">
      <c r="A977" t="inlineStr">
        <is>
          <t>19-Nov-2025</t>
        </is>
      </c>
      <c r="B977" t="inlineStr">
        <is>
          <t>Wednesday</t>
        </is>
      </c>
      <c r="C977" t="inlineStr">
        <is>
          <t>Week3-Nov-2025</t>
        </is>
      </c>
      <c r="D977" s="78" t="n">
        <v>45962</v>
      </c>
      <c r="E977" t="inlineStr">
        <is>
          <t>Q3FY26</t>
        </is>
      </c>
      <c r="F977" t="inlineStr">
        <is>
          <t>16-Dec-2025</t>
        </is>
      </c>
      <c r="G977" t="inlineStr">
        <is>
          <t>Tuesday</t>
        </is>
      </c>
      <c r="H977" t="inlineStr">
        <is>
          <t>Weekly - Tuesday</t>
        </is>
      </c>
      <c r="I977" t="inlineStr">
        <is>
          <t>Weekly - Tuesday</t>
        </is>
      </c>
      <c r="J977" t="inlineStr">
        <is>
          <t>Month+1 Expiry</t>
        </is>
      </c>
      <c r="K977" s="25" t="n">
        <v>13648</v>
      </c>
      <c r="L977" s="26" t="n">
        <v>26.8511</v>
      </c>
      <c r="M977" s="26" t="n">
        <v>0.1935</v>
      </c>
    </row>
    <row r="978" ht="16" customHeight="1">
      <c r="A978" t="inlineStr">
        <is>
          <t>19-Nov-2025</t>
        </is>
      </c>
      <c r="B978" t="inlineStr">
        <is>
          <t>Wednesday</t>
        </is>
      </c>
      <c r="C978" t="inlineStr">
        <is>
          <t>Week3-Nov-2025</t>
        </is>
      </c>
      <c r="D978" s="78" t="n">
        <v>45962</v>
      </c>
      <c r="E978" t="inlineStr">
        <is>
          <t>Q3FY26</t>
        </is>
      </c>
      <c r="F978" t="inlineStr">
        <is>
          <t>23-Dec-2025</t>
        </is>
      </c>
      <c r="G978" t="inlineStr">
        <is>
          <t>Tuesday</t>
        </is>
      </c>
      <c r="H978" t="inlineStr">
        <is>
          <t>Weekly - Tuesday</t>
        </is>
      </c>
      <c r="I978" t="inlineStr">
        <is>
          <t>Weekly - Tuesday</t>
        </is>
      </c>
      <c r="J978" t="inlineStr">
        <is>
          <t>Month+1 Expiry</t>
        </is>
      </c>
      <c r="K978" s="25" t="n">
        <v>3442</v>
      </c>
      <c r="L978" s="26" t="n">
        <v>6.8061</v>
      </c>
      <c r="M978" s="26" t="n">
        <v>0.0581</v>
      </c>
    </row>
    <row r="979" ht="16" customHeight="1">
      <c r="A979" t="inlineStr">
        <is>
          <t>19-Nov-2025</t>
        </is>
      </c>
      <c r="B979" t="inlineStr">
        <is>
          <t>Wednesday</t>
        </is>
      </c>
      <c r="C979" t="inlineStr">
        <is>
          <t>Week3-Nov-2025</t>
        </is>
      </c>
      <c r="D979" s="78" t="n">
        <v>45962</v>
      </c>
      <c r="E979" t="inlineStr">
        <is>
          <t>Q3FY26</t>
        </is>
      </c>
      <c r="F979" t="inlineStr">
        <is>
          <t>30-Dec-2025</t>
        </is>
      </c>
      <c r="G979" t="inlineStr">
        <is>
          <t>Tuesday</t>
        </is>
      </c>
      <c r="H979" t="inlineStr">
        <is>
          <t>Monthly - Tuesday</t>
        </is>
      </c>
      <c r="I979" t="inlineStr">
        <is>
          <t>Monthly - Tuesday</t>
        </is>
      </c>
      <c r="J979" t="inlineStr">
        <is>
          <t>Month+1 Expiry</t>
        </is>
      </c>
      <c r="K979" s="25" t="n">
        <v>581222</v>
      </c>
      <c r="L979" s="26" t="n">
        <v>1136.3857</v>
      </c>
      <c r="M979" s="26" t="n">
        <v>8.908200000000001</v>
      </c>
    </row>
    <row r="980" ht="16" customHeight="1">
      <c r="A980" t="inlineStr">
        <is>
          <t>19-Nov-2025</t>
        </is>
      </c>
      <c r="B980" t="inlineStr">
        <is>
          <t>Wednesday</t>
        </is>
      </c>
      <c r="C980" t="inlineStr">
        <is>
          <t>Week3-Nov-2025</t>
        </is>
      </c>
      <c r="D980" s="78" t="n">
        <v>45962</v>
      </c>
      <c r="E980" t="inlineStr">
        <is>
          <t>Q3FY26</t>
        </is>
      </c>
      <c r="F980" t="inlineStr">
        <is>
          <t>27-Jan-2026</t>
        </is>
      </c>
      <c r="G980" t="inlineStr">
        <is>
          <t>Tuesday</t>
        </is>
      </c>
      <c r="H980" t="inlineStr">
        <is>
          <t>Monthly - Tuesday</t>
        </is>
      </c>
      <c r="I980" t="inlineStr">
        <is>
          <t>Monthly - Tuesday</t>
        </is>
      </c>
      <c r="J980" t="inlineStr">
        <is>
          <t>Month+2 Expiry</t>
        </is>
      </c>
      <c r="K980" s="25" t="n">
        <v>46895</v>
      </c>
      <c r="L980" s="26" t="n">
        <v>79.8777</v>
      </c>
      <c r="M980" s="26" t="n">
        <v>0.8219</v>
      </c>
    </row>
    <row r="981" ht="16" customHeight="1">
      <c r="A981" t="inlineStr">
        <is>
          <t>19-Nov-2025</t>
        </is>
      </c>
      <c r="B981" t="inlineStr">
        <is>
          <t>Wednesday</t>
        </is>
      </c>
      <c r="C981" t="inlineStr">
        <is>
          <t>Week3-Nov-2025</t>
        </is>
      </c>
      <c r="D981" s="78" t="n">
        <v>45962</v>
      </c>
      <c r="E981" t="inlineStr">
        <is>
          <t>Q3FY26</t>
        </is>
      </c>
      <c r="F981" t="inlineStr">
        <is>
          <t>31-Mar-2026</t>
        </is>
      </c>
      <c r="G981" t="inlineStr">
        <is>
          <t>Tuesday</t>
        </is>
      </c>
      <c r="H981" t="inlineStr">
        <is>
          <t>Monthly - Tuesday</t>
        </is>
      </c>
      <c r="I981" t="inlineStr">
        <is>
          <t>Monthly - Tuesday</t>
        </is>
      </c>
      <c r="J981" t="inlineStr">
        <is>
          <t>Month+4 Expiry</t>
        </is>
      </c>
      <c r="K981" s="25" t="n">
        <v>25872</v>
      </c>
      <c r="L981" s="26" t="n">
        <v>50.6595</v>
      </c>
      <c r="M981" s="26" t="n">
        <v>0.7548</v>
      </c>
    </row>
    <row r="982" ht="16" customHeight="1">
      <c r="A982" t="inlineStr">
        <is>
          <t>19-Nov-2025</t>
        </is>
      </c>
      <c r="B982" t="inlineStr">
        <is>
          <t>Wednesday</t>
        </is>
      </c>
      <c r="C982" t="inlineStr">
        <is>
          <t>Week3-Nov-2025</t>
        </is>
      </c>
      <c r="D982" s="78" t="n">
        <v>45962</v>
      </c>
      <c r="E982" t="inlineStr">
        <is>
          <t>Q3FY26</t>
        </is>
      </c>
      <c r="F982" t="inlineStr">
        <is>
          <t>30-Jun-2026</t>
        </is>
      </c>
      <c r="G982" t="inlineStr">
        <is>
          <t>Tuesday</t>
        </is>
      </c>
      <c r="H982" t="inlineStr">
        <is>
          <t>Monthly - Tuesday</t>
        </is>
      </c>
      <c r="I982" t="inlineStr">
        <is>
          <t>Monthly - Tuesday</t>
        </is>
      </c>
      <c r="J982" t="inlineStr">
        <is>
          <t>Month+7 Expiry</t>
        </is>
      </c>
      <c r="K982" s="25" t="n">
        <v>4389</v>
      </c>
      <c r="L982" s="26" t="n">
        <v>8.607200000000001</v>
      </c>
      <c r="M982" s="26" t="n">
        <v>0.1627</v>
      </c>
    </row>
    <row r="983" ht="16" customHeight="1">
      <c r="A983" t="inlineStr">
        <is>
          <t>19-Nov-2025</t>
        </is>
      </c>
      <c r="B983" t="inlineStr">
        <is>
          <t>Wednesday</t>
        </is>
      </c>
      <c r="C983" t="inlineStr">
        <is>
          <t>Week3-Nov-2025</t>
        </is>
      </c>
      <c r="D983" s="78" t="n">
        <v>45962</v>
      </c>
      <c r="E983" t="inlineStr">
        <is>
          <t>Q3FY26</t>
        </is>
      </c>
      <c r="F983" t="inlineStr">
        <is>
          <t>29-Sep-2026</t>
        </is>
      </c>
      <c r="G983" t="inlineStr">
        <is>
          <t>Tuesday</t>
        </is>
      </c>
      <c r="H983" t="inlineStr">
        <is>
          <t>Monthly - Tuesday</t>
        </is>
      </c>
      <c r="I983" t="inlineStr">
        <is>
          <t>Monthly - Tuesday</t>
        </is>
      </c>
      <c r="J983" t="inlineStr">
        <is>
          <t>Month+10 Expiry</t>
        </is>
      </c>
      <c r="K983" s="25" t="n">
        <v>77</v>
      </c>
      <c r="L983" s="26" t="n">
        <v>0.1423</v>
      </c>
      <c r="M983" s="26" t="n">
        <v>0.0017</v>
      </c>
    </row>
    <row r="984" ht="16" customHeight="1">
      <c r="A984" t="inlineStr">
        <is>
          <t>19-Nov-2025</t>
        </is>
      </c>
      <c r="B984" t="inlineStr">
        <is>
          <t>Wednesday</t>
        </is>
      </c>
      <c r="C984" t="inlineStr">
        <is>
          <t>Week3-Nov-2025</t>
        </is>
      </c>
      <c r="D984" s="78" t="n">
        <v>45962</v>
      </c>
      <c r="E984" t="inlineStr">
        <is>
          <t>Q3FY26</t>
        </is>
      </c>
      <c r="F984" t="inlineStr">
        <is>
          <t>29-Dec-2026</t>
        </is>
      </c>
      <c r="G984" t="inlineStr">
        <is>
          <t>Tuesday</t>
        </is>
      </c>
      <c r="H984" t="inlineStr">
        <is>
          <t>Monthly - Tuesday</t>
        </is>
      </c>
      <c r="I984" t="inlineStr">
        <is>
          <t>Monthly - Tuesday</t>
        </is>
      </c>
      <c r="J984" t="inlineStr">
        <is>
          <t>Month+13 Expiry</t>
        </is>
      </c>
      <c r="K984" s="25" t="n">
        <v>2667</v>
      </c>
      <c r="L984" s="26" t="n">
        <v>5.5106</v>
      </c>
      <c r="M984" s="26" t="n">
        <v>0.1982</v>
      </c>
    </row>
    <row r="985" ht="16" customHeight="1">
      <c r="A985" t="inlineStr">
        <is>
          <t>19-Nov-2025</t>
        </is>
      </c>
      <c r="B985" t="inlineStr">
        <is>
          <t>Wednesday</t>
        </is>
      </c>
      <c r="C985" t="inlineStr">
        <is>
          <t>Week3-Nov-2025</t>
        </is>
      </c>
      <c r="D985" s="78" t="n">
        <v>45962</v>
      </c>
      <c r="E985" t="inlineStr">
        <is>
          <t>Q3FY26</t>
        </is>
      </c>
      <c r="F985" t="inlineStr">
        <is>
          <t>29-Jun-2027</t>
        </is>
      </c>
      <c r="G985" t="inlineStr">
        <is>
          <t>Tuesday</t>
        </is>
      </c>
      <c r="H985" t="inlineStr">
        <is>
          <t>Monthly - Tuesday</t>
        </is>
      </c>
      <c r="I985" t="inlineStr">
        <is>
          <t>Monthly - Tuesday</t>
        </is>
      </c>
      <c r="J985" t="inlineStr">
        <is>
          <t>Month+19 Expiry</t>
        </is>
      </c>
      <c r="K985" s="25" t="n">
        <v>0</v>
      </c>
      <c r="L985" s="26" t="n">
        <v>0</v>
      </c>
      <c r="M985" s="26" t="n">
        <v>0</v>
      </c>
    </row>
    <row r="986" ht="16" customHeight="1">
      <c r="A986" t="inlineStr">
        <is>
          <t>19-Nov-2025</t>
        </is>
      </c>
      <c r="B986" t="inlineStr">
        <is>
          <t>Wednesday</t>
        </is>
      </c>
      <c r="C986" t="inlineStr">
        <is>
          <t>Week3-Nov-2025</t>
        </is>
      </c>
      <c r="D986" s="78" t="n">
        <v>45962</v>
      </c>
      <c r="E986" t="inlineStr">
        <is>
          <t>Q3FY26</t>
        </is>
      </c>
      <c r="F986" t="inlineStr">
        <is>
          <t>28-Dec-2027</t>
        </is>
      </c>
      <c r="G986" t="inlineStr">
        <is>
          <t>Tuesday</t>
        </is>
      </c>
      <c r="H986" t="inlineStr">
        <is>
          <t>Monthly - Tuesday</t>
        </is>
      </c>
      <c r="I986" t="inlineStr">
        <is>
          <t>Monthly - Tuesday</t>
        </is>
      </c>
      <c r="J986" t="inlineStr">
        <is>
          <t>Month+25 Expiry</t>
        </is>
      </c>
      <c r="K986" s="25" t="n">
        <v>3</v>
      </c>
      <c r="L986" s="26" t="n">
        <v>0.0055</v>
      </c>
      <c r="M986" s="26" t="n">
        <v>0.0001</v>
      </c>
    </row>
    <row r="987" ht="16" customHeight="1">
      <c r="A987" t="inlineStr">
        <is>
          <t>19-Nov-2025</t>
        </is>
      </c>
      <c r="B987" t="inlineStr">
        <is>
          <t>Wednesday</t>
        </is>
      </c>
      <c r="C987" t="inlineStr">
        <is>
          <t>Week3-Nov-2025</t>
        </is>
      </c>
      <c r="D987" s="78" t="n">
        <v>45962</v>
      </c>
      <c r="E987" t="inlineStr">
        <is>
          <t>Q3FY26</t>
        </is>
      </c>
      <c r="F987" t="inlineStr">
        <is>
          <t>27-Jun-2028</t>
        </is>
      </c>
      <c r="G987" t="inlineStr">
        <is>
          <t>Tuesday</t>
        </is>
      </c>
      <c r="H987" t="inlineStr">
        <is>
          <t>Monthly - Tuesday</t>
        </is>
      </c>
      <c r="I987" t="inlineStr">
        <is>
          <t>Monthly - Tuesday</t>
        </is>
      </c>
      <c r="J987" t="inlineStr">
        <is>
          <t>Month+31 Expiry</t>
        </is>
      </c>
      <c r="K987" s="25" t="n">
        <v>0</v>
      </c>
      <c r="L987" s="26" t="n">
        <v>0</v>
      </c>
      <c r="M987" s="26" t="n">
        <v>0</v>
      </c>
    </row>
    <row r="988" ht="16" customHeight="1">
      <c r="A988" t="inlineStr">
        <is>
          <t>19-Nov-2025</t>
        </is>
      </c>
      <c r="B988" t="inlineStr">
        <is>
          <t>Wednesday</t>
        </is>
      </c>
      <c r="C988" t="inlineStr">
        <is>
          <t>Week3-Nov-2025</t>
        </is>
      </c>
      <c r="D988" s="78" t="n">
        <v>45962</v>
      </c>
      <c r="E988" t="inlineStr">
        <is>
          <t>Q3FY26</t>
        </is>
      </c>
      <c r="F988" t="inlineStr">
        <is>
          <t>26-Dec-2028</t>
        </is>
      </c>
      <c r="G988" t="inlineStr">
        <is>
          <t>Tuesday</t>
        </is>
      </c>
      <c r="H988" t="inlineStr">
        <is>
          <t>Monthly - Tuesday</t>
        </is>
      </c>
      <c r="I988" t="inlineStr">
        <is>
          <t>Monthly - Tuesday</t>
        </is>
      </c>
      <c r="J988" t="inlineStr">
        <is>
          <t>Month+37 Expiry</t>
        </is>
      </c>
      <c r="K988" s="25" t="n">
        <v>0</v>
      </c>
      <c r="L988" s="26" t="n">
        <v>0</v>
      </c>
      <c r="M988" s="26" t="n">
        <v>0</v>
      </c>
    </row>
    <row r="989" ht="16" customHeight="1">
      <c r="A989" t="inlineStr">
        <is>
          <t>19-Nov-2025</t>
        </is>
      </c>
      <c r="B989" t="inlineStr">
        <is>
          <t>Wednesday</t>
        </is>
      </c>
      <c r="C989" t="inlineStr">
        <is>
          <t>Week3-Nov-2025</t>
        </is>
      </c>
      <c r="D989" s="78" t="n">
        <v>45962</v>
      </c>
      <c r="E989" t="inlineStr">
        <is>
          <t>Q3FY26</t>
        </is>
      </c>
      <c r="F989" t="inlineStr">
        <is>
          <t>26-Jun-2029</t>
        </is>
      </c>
      <c r="G989" t="inlineStr">
        <is>
          <t>Tuesday</t>
        </is>
      </c>
      <c r="H989" t="inlineStr">
        <is>
          <t>Monthly - Tuesday</t>
        </is>
      </c>
      <c r="I989" t="inlineStr">
        <is>
          <t>Monthly - Tuesday</t>
        </is>
      </c>
      <c r="J989" t="inlineStr">
        <is>
          <t>Month+43 Expiry</t>
        </is>
      </c>
      <c r="K989" s="25" t="n">
        <v>0</v>
      </c>
      <c r="L989" s="26" t="n">
        <v>0</v>
      </c>
      <c r="M989" s="26" t="n">
        <v>0</v>
      </c>
    </row>
    <row r="990" ht="16" customHeight="1">
      <c r="A990" t="inlineStr">
        <is>
          <t>19-Nov-2025</t>
        </is>
      </c>
      <c r="B990" t="inlineStr">
        <is>
          <t>Wednesday</t>
        </is>
      </c>
      <c r="C990" t="inlineStr">
        <is>
          <t>Week3-Nov-2025</t>
        </is>
      </c>
      <c r="D990" s="78" t="n">
        <v>45962</v>
      </c>
      <c r="E990" t="inlineStr">
        <is>
          <t>Q3FY26</t>
        </is>
      </c>
      <c r="F990" t="inlineStr">
        <is>
          <t>24-Dec-2029</t>
        </is>
      </c>
      <c r="G990" t="inlineStr">
        <is>
          <t>Monday</t>
        </is>
      </c>
      <c r="H990" t="inlineStr">
        <is>
          <t>Weekly - Monday</t>
        </is>
      </c>
      <c r="I990" t="inlineStr">
        <is>
          <t>Weekly - Monday</t>
        </is>
      </c>
      <c r="J990" t="inlineStr">
        <is>
          <t>Month+49 Expiry</t>
        </is>
      </c>
      <c r="K990" s="25" t="n">
        <v>0</v>
      </c>
      <c r="L990" s="26" t="n">
        <v>0</v>
      </c>
      <c r="M990" s="26" t="n">
        <v>0</v>
      </c>
    </row>
    <row r="991" ht="16" customHeight="1">
      <c r="A991" t="inlineStr">
        <is>
          <t>19-Nov-2025</t>
        </is>
      </c>
      <c r="B991" t="inlineStr">
        <is>
          <t>Wednesday</t>
        </is>
      </c>
      <c r="C991" t="inlineStr">
        <is>
          <t>Week3-Nov-2025</t>
        </is>
      </c>
      <c r="D991" s="78" t="n">
        <v>45962</v>
      </c>
      <c r="E991" t="inlineStr">
        <is>
          <t>Q3FY26</t>
        </is>
      </c>
      <c r="F991" t="inlineStr">
        <is>
          <t>25-Jun-2030</t>
        </is>
      </c>
      <c r="G991" t="inlineStr">
        <is>
          <t>Tuesday</t>
        </is>
      </c>
      <c r="H991" t="inlineStr">
        <is>
          <t>Monthly - Tuesday</t>
        </is>
      </c>
      <c r="I991" t="inlineStr">
        <is>
          <t>Monthly - Tuesday</t>
        </is>
      </c>
      <c r="J991" t="inlineStr">
        <is>
          <t>Month+55 Expiry</t>
        </is>
      </c>
      <c r="K991" s="25" t="n">
        <v>0</v>
      </c>
      <c r="L991" s="26" t="n">
        <v>0</v>
      </c>
      <c r="M991" s="26" t="n">
        <v>0</v>
      </c>
    </row>
    <row r="992" ht="16" customHeight="1">
      <c r="A992" t="inlineStr">
        <is>
          <t>20-Nov-2025</t>
        </is>
      </c>
      <c r="B992" t="inlineStr">
        <is>
          <t>Thursday</t>
        </is>
      </c>
      <c r="C992" t="inlineStr">
        <is>
          <t>Week3-Nov-2025</t>
        </is>
      </c>
      <c r="D992" s="78" t="n">
        <v>45962</v>
      </c>
      <c r="E992" t="inlineStr">
        <is>
          <t>Q3FY26</t>
        </is>
      </c>
      <c r="F992" t="inlineStr">
        <is>
          <t>25-Nov-2025</t>
        </is>
      </c>
      <c r="G992" t="inlineStr">
        <is>
          <t>Tuesday</t>
        </is>
      </c>
      <c r="H992" t="inlineStr">
        <is>
          <t>Monthly - Tuesday</t>
        </is>
      </c>
      <c r="I992" t="inlineStr">
        <is>
          <t>MDAW - Tuesday</t>
        </is>
      </c>
      <c r="J992" t="inlineStr">
        <is>
          <t>Same Month Expiry</t>
        </is>
      </c>
      <c r="K992" s="25" t="n">
        <v>46727999</v>
      </c>
      <c r="L992" s="26" t="n">
        <v>91444.3909</v>
      </c>
      <c r="M992" s="26" t="n">
        <v>236.683</v>
      </c>
    </row>
    <row r="993" ht="16" customHeight="1">
      <c r="A993" t="inlineStr">
        <is>
          <t>20-Nov-2025</t>
        </is>
      </c>
      <c r="B993" t="inlineStr">
        <is>
          <t>Thursday</t>
        </is>
      </c>
      <c r="C993" t="inlineStr">
        <is>
          <t>Week3-Nov-2025</t>
        </is>
      </c>
      <c r="D993" s="78" t="n">
        <v>45962</v>
      </c>
      <c r="E993" t="inlineStr">
        <is>
          <t>Q3FY26</t>
        </is>
      </c>
      <c r="F993" t="inlineStr">
        <is>
          <t>02-Dec-2025</t>
        </is>
      </c>
      <c r="G993" t="inlineStr">
        <is>
          <t>Tuesday</t>
        </is>
      </c>
      <c r="H993" t="inlineStr">
        <is>
          <t>Weekly - Tuesday</t>
        </is>
      </c>
      <c r="I993" t="inlineStr">
        <is>
          <t>Weekly - Tuesday</t>
        </is>
      </c>
      <c r="J993" t="inlineStr">
        <is>
          <t>Month+1 Expiry</t>
        </is>
      </c>
      <c r="K993" s="25" t="n">
        <v>1797677</v>
      </c>
      <c r="L993" s="26" t="n">
        <v>3552.4338</v>
      </c>
      <c r="M993" s="26" t="n">
        <v>15.6947</v>
      </c>
    </row>
    <row r="994" ht="16" customHeight="1">
      <c r="A994" t="inlineStr">
        <is>
          <t>20-Nov-2025</t>
        </is>
      </c>
      <c r="B994" t="inlineStr">
        <is>
          <t>Thursday</t>
        </is>
      </c>
      <c r="C994" t="inlineStr">
        <is>
          <t>Week3-Nov-2025</t>
        </is>
      </c>
      <c r="D994" s="78" t="n">
        <v>45962</v>
      </c>
      <c r="E994" t="inlineStr">
        <is>
          <t>Q3FY26</t>
        </is>
      </c>
      <c r="F994" t="inlineStr">
        <is>
          <t>09-Dec-2025</t>
        </is>
      </c>
      <c r="G994" t="inlineStr">
        <is>
          <t>Tuesday</t>
        </is>
      </c>
      <c r="H994" t="inlineStr">
        <is>
          <t>Weekly - Tuesday</t>
        </is>
      </c>
      <c r="I994" t="inlineStr">
        <is>
          <t>Weekly - Tuesday</t>
        </is>
      </c>
      <c r="J994" t="inlineStr">
        <is>
          <t>Month+1 Expiry</t>
        </is>
      </c>
      <c r="K994" s="25" t="n">
        <v>127811</v>
      </c>
      <c r="L994" s="26" t="n">
        <v>252.1888</v>
      </c>
      <c r="M994" s="26" t="n">
        <v>1.4806</v>
      </c>
    </row>
    <row r="995" ht="16" customHeight="1">
      <c r="A995" t="inlineStr">
        <is>
          <t>20-Nov-2025</t>
        </is>
      </c>
      <c r="B995" t="inlineStr">
        <is>
          <t>Thursday</t>
        </is>
      </c>
      <c r="C995" t="inlineStr">
        <is>
          <t>Week3-Nov-2025</t>
        </is>
      </c>
      <c r="D995" s="78" t="n">
        <v>45962</v>
      </c>
      <c r="E995" t="inlineStr">
        <is>
          <t>Q3FY26</t>
        </is>
      </c>
      <c r="F995" t="inlineStr">
        <is>
          <t>16-Dec-2025</t>
        </is>
      </c>
      <c r="G995" t="inlineStr">
        <is>
          <t>Tuesday</t>
        </is>
      </c>
      <c r="H995" t="inlineStr">
        <is>
          <t>Weekly - Tuesday</t>
        </is>
      </c>
      <c r="I995" t="inlineStr">
        <is>
          <t>Weekly - Tuesday</t>
        </is>
      </c>
      <c r="J995" t="inlineStr">
        <is>
          <t>Month+1 Expiry</t>
        </is>
      </c>
      <c r="K995" s="25" t="n">
        <v>18590</v>
      </c>
      <c r="L995" s="26" t="n">
        <v>36.6488</v>
      </c>
      <c r="M995" s="26" t="n">
        <v>0.2414</v>
      </c>
    </row>
    <row r="996" ht="16" customHeight="1">
      <c r="A996" t="inlineStr">
        <is>
          <t>20-Nov-2025</t>
        </is>
      </c>
      <c r="B996" t="inlineStr">
        <is>
          <t>Thursday</t>
        </is>
      </c>
      <c r="C996" t="inlineStr">
        <is>
          <t>Week3-Nov-2025</t>
        </is>
      </c>
      <c r="D996" s="78" t="n">
        <v>45962</v>
      </c>
      <c r="E996" t="inlineStr">
        <is>
          <t>Q3FY26</t>
        </is>
      </c>
      <c r="F996" t="inlineStr">
        <is>
          <t>23-Dec-2025</t>
        </is>
      </c>
      <c r="G996" t="inlineStr">
        <is>
          <t>Tuesday</t>
        </is>
      </c>
      <c r="H996" t="inlineStr">
        <is>
          <t>Weekly - Tuesday</t>
        </is>
      </c>
      <c r="I996" t="inlineStr">
        <is>
          <t>Weekly - Tuesday</t>
        </is>
      </c>
      <c r="J996" t="inlineStr">
        <is>
          <t>Month+1 Expiry</t>
        </is>
      </c>
      <c r="K996" s="25" t="n">
        <v>4861</v>
      </c>
      <c r="L996" s="26" t="n">
        <v>9.618499999999999</v>
      </c>
      <c r="M996" s="26" t="n">
        <v>0.0764</v>
      </c>
    </row>
    <row r="997" ht="16" customHeight="1">
      <c r="A997" t="inlineStr">
        <is>
          <t>20-Nov-2025</t>
        </is>
      </c>
      <c r="B997" t="inlineStr">
        <is>
          <t>Thursday</t>
        </is>
      </c>
      <c r="C997" t="inlineStr">
        <is>
          <t>Week3-Nov-2025</t>
        </is>
      </c>
      <c r="D997" s="78" t="n">
        <v>45962</v>
      </c>
      <c r="E997" t="inlineStr">
        <is>
          <t>Q3FY26</t>
        </is>
      </c>
      <c r="F997" t="inlineStr">
        <is>
          <t>30-Dec-2025</t>
        </is>
      </c>
      <c r="G997" t="inlineStr">
        <is>
          <t>Tuesday</t>
        </is>
      </c>
      <c r="H997" t="inlineStr">
        <is>
          <t>Monthly - Tuesday</t>
        </is>
      </c>
      <c r="I997" t="inlineStr">
        <is>
          <t>Monthly - Tuesday</t>
        </is>
      </c>
      <c r="J997" t="inlineStr">
        <is>
          <t>Month+1 Expiry</t>
        </is>
      </c>
      <c r="K997" s="25" t="n">
        <v>767805</v>
      </c>
      <c r="L997" s="26" t="n">
        <v>1511.8019</v>
      </c>
      <c r="M997" s="26" t="n">
        <v>12.4799</v>
      </c>
    </row>
    <row r="998" ht="16" customHeight="1">
      <c r="A998" t="inlineStr">
        <is>
          <t>20-Nov-2025</t>
        </is>
      </c>
      <c r="B998" t="inlineStr">
        <is>
          <t>Thursday</t>
        </is>
      </c>
      <c r="C998" t="inlineStr">
        <is>
          <t>Week3-Nov-2025</t>
        </is>
      </c>
      <c r="D998" s="78" t="n">
        <v>45962</v>
      </c>
      <c r="E998" t="inlineStr">
        <is>
          <t>Q3FY26</t>
        </is>
      </c>
      <c r="F998" t="inlineStr">
        <is>
          <t>27-Jan-2026</t>
        </is>
      </c>
      <c r="G998" t="inlineStr">
        <is>
          <t>Tuesday</t>
        </is>
      </c>
      <c r="H998" t="inlineStr">
        <is>
          <t>Monthly - Tuesday</t>
        </is>
      </c>
      <c r="I998" t="inlineStr">
        <is>
          <t>Monthly - Tuesday</t>
        </is>
      </c>
      <c r="J998" t="inlineStr">
        <is>
          <t>Month+2 Expiry</t>
        </is>
      </c>
      <c r="K998" s="25" t="n">
        <v>62334</v>
      </c>
      <c r="L998" s="26" t="n">
        <v>106.8989</v>
      </c>
      <c r="M998" s="26" t="n">
        <v>1.1673</v>
      </c>
    </row>
    <row r="999" ht="16" customHeight="1">
      <c r="A999" t="inlineStr">
        <is>
          <t>20-Nov-2025</t>
        </is>
      </c>
      <c r="B999" t="inlineStr">
        <is>
          <t>Thursday</t>
        </is>
      </c>
      <c r="C999" t="inlineStr">
        <is>
          <t>Week3-Nov-2025</t>
        </is>
      </c>
      <c r="D999" s="78" t="n">
        <v>45962</v>
      </c>
      <c r="E999" t="inlineStr">
        <is>
          <t>Q3FY26</t>
        </is>
      </c>
      <c r="F999" t="inlineStr">
        <is>
          <t>31-Mar-2026</t>
        </is>
      </c>
      <c r="G999" t="inlineStr">
        <is>
          <t>Tuesday</t>
        </is>
      </c>
      <c r="H999" t="inlineStr">
        <is>
          <t>Monthly - Tuesday</t>
        </is>
      </c>
      <c r="I999" t="inlineStr">
        <is>
          <t>Monthly - Tuesday</t>
        </is>
      </c>
      <c r="J999" t="inlineStr">
        <is>
          <t>Month+4 Expiry</t>
        </is>
      </c>
      <c r="K999" s="25" t="n">
        <v>32246</v>
      </c>
      <c r="L999" s="26" t="n">
        <v>63.8422</v>
      </c>
      <c r="M999" s="26" t="n">
        <v>0.9712</v>
      </c>
    </row>
    <row r="1000" ht="16" customHeight="1">
      <c r="A1000" t="inlineStr">
        <is>
          <t>20-Nov-2025</t>
        </is>
      </c>
      <c r="B1000" t="inlineStr">
        <is>
          <t>Thursday</t>
        </is>
      </c>
      <c r="C1000" t="inlineStr">
        <is>
          <t>Week3-Nov-2025</t>
        </is>
      </c>
      <c r="D1000" s="78" t="n">
        <v>45962</v>
      </c>
      <c r="E1000" t="inlineStr">
        <is>
          <t>Q3FY26</t>
        </is>
      </c>
      <c r="F1000" t="inlineStr">
        <is>
          <t>30-Jun-2026</t>
        </is>
      </c>
      <c r="G1000" t="inlineStr">
        <is>
          <t>Tuesday</t>
        </is>
      </c>
      <c r="H1000" t="inlineStr">
        <is>
          <t>Monthly - Tuesday</t>
        </is>
      </c>
      <c r="I1000" t="inlineStr">
        <is>
          <t>Monthly - Tuesday</t>
        </is>
      </c>
      <c r="J1000" t="inlineStr">
        <is>
          <t>Month+7 Expiry</t>
        </is>
      </c>
      <c r="K1000" s="25" t="n">
        <v>17237</v>
      </c>
      <c r="L1000" s="26" t="n">
        <v>33.7806</v>
      </c>
      <c r="M1000" s="26" t="n">
        <v>0.5712</v>
      </c>
    </row>
    <row r="1001" ht="16" customHeight="1">
      <c r="A1001" t="inlineStr">
        <is>
          <t>20-Nov-2025</t>
        </is>
      </c>
      <c r="B1001" t="inlineStr">
        <is>
          <t>Thursday</t>
        </is>
      </c>
      <c r="C1001" t="inlineStr">
        <is>
          <t>Week3-Nov-2025</t>
        </is>
      </c>
      <c r="D1001" s="78" t="n">
        <v>45962</v>
      </c>
      <c r="E1001" t="inlineStr">
        <is>
          <t>Q3FY26</t>
        </is>
      </c>
      <c r="F1001" t="inlineStr">
        <is>
          <t>29-Sep-2026</t>
        </is>
      </c>
      <c r="G1001" t="inlineStr">
        <is>
          <t>Tuesday</t>
        </is>
      </c>
      <c r="H1001" t="inlineStr">
        <is>
          <t>Monthly - Tuesday</t>
        </is>
      </c>
      <c r="I1001" t="inlineStr">
        <is>
          <t>Monthly - Tuesday</t>
        </is>
      </c>
      <c r="J1001" t="inlineStr">
        <is>
          <t>Month+10 Expiry</t>
        </is>
      </c>
      <c r="K1001" s="25" t="n">
        <v>160</v>
      </c>
      <c r="L1001" s="26" t="n">
        <v>0.2995</v>
      </c>
      <c r="M1001" s="26" t="n">
        <v>0.0038</v>
      </c>
    </row>
    <row r="1002" ht="16" customHeight="1">
      <c r="A1002" t="inlineStr">
        <is>
          <t>20-Nov-2025</t>
        </is>
      </c>
      <c r="B1002" t="inlineStr">
        <is>
          <t>Thursday</t>
        </is>
      </c>
      <c r="C1002" t="inlineStr">
        <is>
          <t>Week3-Nov-2025</t>
        </is>
      </c>
      <c r="D1002" s="78" t="n">
        <v>45962</v>
      </c>
      <c r="E1002" t="inlineStr">
        <is>
          <t>Q3FY26</t>
        </is>
      </c>
      <c r="F1002" t="inlineStr">
        <is>
          <t>29-Dec-2026</t>
        </is>
      </c>
      <c r="G1002" t="inlineStr">
        <is>
          <t>Tuesday</t>
        </is>
      </c>
      <c r="H1002" t="inlineStr">
        <is>
          <t>Monthly - Tuesday</t>
        </is>
      </c>
      <c r="I1002" t="inlineStr">
        <is>
          <t>Monthly - Tuesday</t>
        </is>
      </c>
      <c r="J1002" t="inlineStr">
        <is>
          <t>Month+13 Expiry</t>
        </is>
      </c>
      <c r="K1002" s="25" t="n">
        <v>7030</v>
      </c>
      <c r="L1002" s="26" t="n">
        <v>14.2867</v>
      </c>
      <c r="M1002" s="26" t="n">
        <v>0.4452</v>
      </c>
    </row>
    <row r="1003" ht="16" customHeight="1">
      <c r="A1003" t="inlineStr">
        <is>
          <t>20-Nov-2025</t>
        </is>
      </c>
      <c r="B1003" t="inlineStr">
        <is>
          <t>Thursday</t>
        </is>
      </c>
      <c r="C1003" t="inlineStr">
        <is>
          <t>Week3-Nov-2025</t>
        </is>
      </c>
      <c r="D1003" s="78" t="n">
        <v>45962</v>
      </c>
      <c r="E1003" t="inlineStr">
        <is>
          <t>Q3FY26</t>
        </is>
      </c>
      <c r="F1003" t="inlineStr">
        <is>
          <t>29-Jun-2027</t>
        </is>
      </c>
      <c r="G1003" t="inlineStr">
        <is>
          <t>Tuesday</t>
        </is>
      </c>
      <c r="H1003" t="inlineStr">
        <is>
          <t>Monthly - Tuesday</t>
        </is>
      </c>
      <c r="I1003" t="inlineStr">
        <is>
          <t>Monthly - Tuesday</t>
        </is>
      </c>
      <c r="J1003" t="inlineStr">
        <is>
          <t>Month+19 Expiry</t>
        </is>
      </c>
      <c r="K1003" s="25" t="n">
        <v>0</v>
      </c>
      <c r="L1003" s="26" t="n">
        <v>0</v>
      </c>
      <c r="M1003" s="26" t="n">
        <v>0</v>
      </c>
    </row>
    <row r="1004" ht="16" customHeight="1">
      <c r="A1004" t="inlineStr">
        <is>
          <t>20-Nov-2025</t>
        </is>
      </c>
      <c r="B1004" t="inlineStr">
        <is>
          <t>Thursday</t>
        </is>
      </c>
      <c r="C1004" t="inlineStr">
        <is>
          <t>Week3-Nov-2025</t>
        </is>
      </c>
      <c r="D1004" s="78" t="n">
        <v>45962</v>
      </c>
      <c r="E1004" t="inlineStr">
        <is>
          <t>Q3FY26</t>
        </is>
      </c>
      <c r="F1004" t="inlineStr">
        <is>
          <t>28-Dec-2027</t>
        </is>
      </c>
      <c r="G1004" t="inlineStr">
        <is>
          <t>Tuesday</t>
        </is>
      </c>
      <c r="H1004" t="inlineStr">
        <is>
          <t>Monthly - Tuesday</t>
        </is>
      </c>
      <c r="I1004" t="inlineStr">
        <is>
          <t>Monthly - Tuesday</t>
        </is>
      </c>
      <c r="J1004" t="inlineStr">
        <is>
          <t>Month+25 Expiry</t>
        </is>
      </c>
      <c r="K1004" s="25" t="n">
        <v>6</v>
      </c>
      <c r="L1004" s="26" t="n">
        <v>0.0121</v>
      </c>
      <c r="M1004" s="26" t="n">
        <v>0.0007</v>
      </c>
    </row>
    <row r="1005" ht="16" customHeight="1">
      <c r="A1005" t="inlineStr">
        <is>
          <t>20-Nov-2025</t>
        </is>
      </c>
      <c r="B1005" t="inlineStr">
        <is>
          <t>Thursday</t>
        </is>
      </c>
      <c r="C1005" t="inlineStr">
        <is>
          <t>Week3-Nov-2025</t>
        </is>
      </c>
      <c r="D1005" s="78" t="n">
        <v>45962</v>
      </c>
      <c r="E1005" t="inlineStr">
        <is>
          <t>Q3FY26</t>
        </is>
      </c>
      <c r="F1005" t="inlineStr">
        <is>
          <t>27-Jun-2028</t>
        </is>
      </c>
      <c r="G1005" t="inlineStr">
        <is>
          <t>Tuesday</t>
        </is>
      </c>
      <c r="H1005" t="inlineStr">
        <is>
          <t>Monthly - Tuesday</t>
        </is>
      </c>
      <c r="I1005" t="inlineStr">
        <is>
          <t>Monthly - Tuesday</t>
        </is>
      </c>
      <c r="J1005" t="inlineStr">
        <is>
          <t>Month+31 Expiry</t>
        </is>
      </c>
      <c r="K1005" s="25" t="n">
        <v>0</v>
      </c>
      <c r="L1005" s="26" t="n">
        <v>0</v>
      </c>
      <c r="M1005" s="26" t="n">
        <v>0</v>
      </c>
    </row>
    <row r="1006" ht="16" customHeight="1">
      <c r="A1006" t="inlineStr">
        <is>
          <t>20-Nov-2025</t>
        </is>
      </c>
      <c r="B1006" t="inlineStr">
        <is>
          <t>Thursday</t>
        </is>
      </c>
      <c r="C1006" t="inlineStr">
        <is>
          <t>Week3-Nov-2025</t>
        </is>
      </c>
      <c r="D1006" s="78" t="n">
        <v>45962</v>
      </c>
      <c r="E1006" t="inlineStr">
        <is>
          <t>Q3FY26</t>
        </is>
      </c>
      <c r="F1006" t="inlineStr">
        <is>
          <t>26-Dec-2028</t>
        </is>
      </c>
      <c r="G1006" t="inlineStr">
        <is>
          <t>Tuesday</t>
        </is>
      </c>
      <c r="H1006" t="inlineStr">
        <is>
          <t>Monthly - Tuesday</t>
        </is>
      </c>
      <c r="I1006" t="inlineStr">
        <is>
          <t>Monthly - Tuesday</t>
        </is>
      </c>
      <c r="J1006" t="inlineStr">
        <is>
          <t>Month+37 Expiry</t>
        </is>
      </c>
      <c r="K1006" s="25" t="n">
        <v>7</v>
      </c>
      <c r="L1006" s="26" t="n">
        <v>0.0142</v>
      </c>
      <c r="M1006" s="26" t="n">
        <v>0.0005</v>
      </c>
    </row>
    <row r="1007" ht="16" customHeight="1">
      <c r="A1007" t="inlineStr">
        <is>
          <t>20-Nov-2025</t>
        </is>
      </c>
      <c r="B1007" t="inlineStr">
        <is>
          <t>Thursday</t>
        </is>
      </c>
      <c r="C1007" t="inlineStr">
        <is>
          <t>Week3-Nov-2025</t>
        </is>
      </c>
      <c r="D1007" s="78" t="n">
        <v>45962</v>
      </c>
      <c r="E1007" t="inlineStr">
        <is>
          <t>Q3FY26</t>
        </is>
      </c>
      <c r="F1007" t="inlineStr">
        <is>
          <t>26-Jun-2029</t>
        </is>
      </c>
      <c r="G1007" t="inlineStr">
        <is>
          <t>Tuesday</t>
        </is>
      </c>
      <c r="H1007" t="inlineStr">
        <is>
          <t>Monthly - Tuesday</t>
        </is>
      </c>
      <c r="I1007" t="inlineStr">
        <is>
          <t>Monthly - Tuesday</t>
        </is>
      </c>
      <c r="J1007" t="inlineStr">
        <is>
          <t>Month+43 Expiry</t>
        </is>
      </c>
      <c r="K1007" s="25" t="n">
        <v>0</v>
      </c>
      <c r="L1007" s="26" t="n">
        <v>0</v>
      </c>
      <c r="M1007" s="26" t="n">
        <v>0</v>
      </c>
    </row>
    <row r="1008" ht="16" customHeight="1">
      <c r="A1008" t="inlineStr">
        <is>
          <t>20-Nov-2025</t>
        </is>
      </c>
      <c r="B1008" t="inlineStr">
        <is>
          <t>Thursday</t>
        </is>
      </c>
      <c r="C1008" t="inlineStr">
        <is>
          <t>Week3-Nov-2025</t>
        </is>
      </c>
      <c r="D1008" s="78" t="n">
        <v>45962</v>
      </c>
      <c r="E1008" t="inlineStr">
        <is>
          <t>Q3FY26</t>
        </is>
      </c>
      <c r="F1008" t="inlineStr">
        <is>
          <t>24-Dec-2029</t>
        </is>
      </c>
      <c r="G1008" t="inlineStr">
        <is>
          <t>Monday</t>
        </is>
      </c>
      <c r="H1008" t="inlineStr">
        <is>
          <t>Weekly - Monday</t>
        </is>
      </c>
      <c r="I1008" t="inlineStr">
        <is>
          <t>Weekly - Monday</t>
        </is>
      </c>
      <c r="J1008" t="inlineStr">
        <is>
          <t>Month+49 Expiry</t>
        </is>
      </c>
      <c r="K1008" s="25" t="n">
        <v>1</v>
      </c>
      <c r="L1008" s="26" t="n">
        <v>0.002</v>
      </c>
      <c r="M1008" s="26" t="n">
        <v>0.0001</v>
      </c>
    </row>
    <row r="1009" ht="16" customHeight="1">
      <c r="A1009" t="inlineStr">
        <is>
          <t>20-Nov-2025</t>
        </is>
      </c>
      <c r="B1009" t="inlineStr">
        <is>
          <t>Thursday</t>
        </is>
      </c>
      <c r="C1009" t="inlineStr">
        <is>
          <t>Week3-Nov-2025</t>
        </is>
      </c>
      <c r="D1009" s="78" t="n">
        <v>45962</v>
      </c>
      <c r="E1009" t="inlineStr">
        <is>
          <t>Q3FY26</t>
        </is>
      </c>
      <c r="F1009" t="inlineStr">
        <is>
          <t>25-Jun-2030</t>
        </is>
      </c>
      <c r="G1009" t="inlineStr">
        <is>
          <t>Tuesday</t>
        </is>
      </c>
      <c r="H1009" t="inlineStr">
        <is>
          <t>Monthly - Tuesday</t>
        </is>
      </c>
      <c r="I1009" t="inlineStr">
        <is>
          <t>Monthly - Tuesday</t>
        </is>
      </c>
      <c r="J1009" t="inlineStr">
        <is>
          <t>Month+55 Expiry</t>
        </is>
      </c>
      <c r="K1009" s="25" t="n">
        <v>0</v>
      </c>
      <c r="L1009" s="26" t="n">
        <v>0</v>
      </c>
      <c r="M1009" s="26" t="n">
        <v>0</v>
      </c>
    </row>
    <row r="1010" ht="16" customHeight="1">
      <c r="A1010" t="inlineStr">
        <is>
          <t>21-Nov-2025</t>
        </is>
      </c>
      <c r="B1010" t="inlineStr">
        <is>
          <t>Friday</t>
        </is>
      </c>
      <c r="C1010" t="inlineStr">
        <is>
          <t>Week3-Nov-2025</t>
        </is>
      </c>
      <c r="D1010" s="78" t="n">
        <v>45962</v>
      </c>
      <c r="E1010" t="inlineStr">
        <is>
          <t>Q3FY26</t>
        </is>
      </c>
      <c r="F1010" t="inlineStr">
        <is>
          <t>25-Nov-2025</t>
        </is>
      </c>
      <c r="G1010" t="inlineStr">
        <is>
          <t>Tuesday</t>
        </is>
      </c>
      <c r="H1010" t="inlineStr">
        <is>
          <t>Monthly - Tuesday</t>
        </is>
      </c>
      <c r="I1010" t="inlineStr">
        <is>
          <t>MDAW - Tuesday</t>
        </is>
      </c>
      <c r="J1010" t="inlineStr">
        <is>
          <t>Same Month Expiry</t>
        </is>
      </c>
      <c r="K1010" s="25" t="n">
        <v>88544488</v>
      </c>
      <c r="L1010" s="26" t="n">
        <v>173598.4272</v>
      </c>
      <c r="M1010" s="26" t="n">
        <v>431.7954</v>
      </c>
    </row>
    <row r="1011" ht="16" customHeight="1">
      <c r="A1011" t="inlineStr">
        <is>
          <t>21-Nov-2025</t>
        </is>
      </c>
      <c r="B1011" t="inlineStr">
        <is>
          <t>Friday</t>
        </is>
      </c>
      <c r="C1011" t="inlineStr">
        <is>
          <t>Week3-Nov-2025</t>
        </is>
      </c>
      <c r="D1011" s="78" t="n">
        <v>45962</v>
      </c>
      <c r="E1011" t="inlineStr">
        <is>
          <t>Q3FY26</t>
        </is>
      </c>
      <c r="F1011" t="inlineStr">
        <is>
          <t>02-Dec-2025</t>
        </is>
      </c>
      <c r="G1011" t="inlineStr">
        <is>
          <t>Tuesday</t>
        </is>
      </c>
      <c r="H1011" t="inlineStr">
        <is>
          <t>Weekly - Tuesday</t>
        </is>
      </c>
      <c r="I1011" t="inlineStr">
        <is>
          <t>Weekly - Tuesday</t>
        </is>
      </c>
      <c r="J1011" t="inlineStr">
        <is>
          <t>Month+1 Expiry</t>
        </is>
      </c>
      <c r="K1011" s="25" t="n">
        <v>2640719</v>
      </c>
      <c r="L1011" s="26" t="n">
        <v>5206.754</v>
      </c>
      <c r="M1011" s="26" t="n">
        <v>22.396</v>
      </c>
    </row>
    <row r="1012" ht="16" customHeight="1">
      <c r="A1012" t="inlineStr">
        <is>
          <t>21-Nov-2025</t>
        </is>
      </c>
      <c r="B1012" t="inlineStr">
        <is>
          <t>Friday</t>
        </is>
      </c>
      <c r="C1012" t="inlineStr">
        <is>
          <t>Week3-Nov-2025</t>
        </is>
      </c>
      <c r="D1012" s="78" t="n">
        <v>45962</v>
      </c>
      <c r="E1012" t="inlineStr">
        <is>
          <t>Q3FY26</t>
        </is>
      </c>
      <c r="F1012" t="inlineStr">
        <is>
          <t>09-Dec-2025</t>
        </is>
      </c>
      <c r="G1012" t="inlineStr">
        <is>
          <t>Tuesday</t>
        </is>
      </c>
      <c r="H1012" t="inlineStr">
        <is>
          <t>Weekly - Tuesday</t>
        </is>
      </c>
      <c r="I1012" t="inlineStr">
        <is>
          <t>Weekly - Tuesday</t>
        </is>
      </c>
      <c r="J1012" t="inlineStr">
        <is>
          <t>Month+1 Expiry</t>
        </is>
      </c>
      <c r="K1012" s="25" t="n">
        <v>167294</v>
      </c>
      <c r="L1012" s="26" t="n">
        <v>329.8899</v>
      </c>
      <c r="M1012" s="26" t="n">
        <v>1.9989</v>
      </c>
    </row>
    <row r="1013" ht="16" customHeight="1">
      <c r="A1013" t="inlineStr">
        <is>
          <t>21-Nov-2025</t>
        </is>
      </c>
      <c r="B1013" t="inlineStr">
        <is>
          <t>Friday</t>
        </is>
      </c>
      <c r="C1013" t="inlineStr">
        <is>
          <t>Week3-Nov-2025</t>
        </is>
      </c>
      <c r="D1013" s="78" t="n">
        <v>45962</v>
      </c>
      <c r="E1013" t="inlineStr">
        <is>
          <t>Q3FY26</t>
        </is>
      </c>
      <c r="F1013" t="inlineStr">
        <is>
          <t>16-Dec-2025</t>
        </is>
      </c>
      <c r="G1013" t="inlineStr">
        <is>
          <t>Tuesday</t>
        </is>
      </c>
      <c r="H1013" t="inlineStr">
        <is>
          <t>Weekly - Tuesday</t>
        </is>
      </c>
      <c r="I1013" t="inlineStr">
        <is>
          <t>Weekly - Tuesday</t>
        </is>
      </c>
      <c r="J1013" t="inlineStr">
        <is>
          <t>Month+1 Expiry</t>
        </is>
      </c>
      <c r="K1013" s="25" t="n">
        <v>21531</v>
      </c>
      <c r="L1013" s="26" t="n">
        <v>42.4809</v>
      </c>
      <c r="M1013" s="26" t="n">
        <v>0.3039</v>
      </c>
    </row>
    <row r="1014" ht="16" customHeight="1">
      <c r="A1014" t="inlineStr">
        <is>
          <t>21-Nov-2025</t>
        </is>
      </c>
      <c r="B1014" t="inlineStr">
        <is>
          <t>Friday</t>
        </is>
      </c>
      <c r="C1014" t="inlineStr">
        <is>
          <t>Week3-Nov-2025</t>
        </is>
      </c>
      <c r="D1014" s="78" t="n">
        <v>45962</v>
      </c>
      <c r="E1014" t="inlineStr">
        <is>
          <t>Q3FY26</t>
        </is>
      </c>
      <c r="F1014" t="inlineStr">
        <is>
          <t>23-Dec-2025</t>
        </is>
      </c>
      <c r="G1014" t="inlineStr">
        <is>
          <t>Tuesday</t>
        </is>
      </c>
      <c r="H1014" t="inlineStr">
        <is>
          <t>Weekly - Tuesday</t>
        </is>
      </c>
      <c r="I1014" t="inlineStr">
        <is>
          <t>Weekly - Tuesday</t>
        </is>
      </c>
      <c r="J1014" t="inlineStr">
        <is>
          <t>Month+1 Expiry</t>
        </is>
      </c>
      <c r="K1014" s="25" t="n">
        <v>8321</v>
      </c>
      <c r="L1014" s="26" t="n">
        <v>16.4954</v>
      </c>
      <c r="M1014" s="26" t="n">
        <v>0.1383</v>
      </c>
    </row>
    <row r="1015" ht="16" customHeight="1">
      <c r="A1015" t="inlineStr">
        <is>
          <t>21-Nov-2025</t>
        </is>
      </c>
      <c r="B1015" t="inlineStr">
        <is>
          <t>Friday</t>
        </is>
      </c>
      <c r="C1015" t="inlineStr">
        <is>
          <t>Week3-Nov-2025</t>
        </is>
      </c>
      <c r="D1015" s="78" t="n">
        <v>45962</v>
      </c>
      <c r="E1015" t="inlineStr">
        <is>
          <t>Q3FY26</t>
        </is>
      </c>
      <c r="F1015" t="inlineStr">
        <is>
          <t>30-Dec-2025</t>
        </is>
      </c>
      <c r="G1015" t="inlineStr">
        <is>
          <t>Tuesday</t>
        </is>
      </c>
      <c r="H1015" t="inlineStr">
        <is>
          <t>Monthly - Tuesday</t>
        </is>
      </c>
      <c r="I1015" t="inlineStr">
        <is>
          <t>Monthly - Tuesday</t>
        </is>
      </c>
      <c r="J1015" t="inlineStr">
        <is>
          <t>Month+1 Expiry</t>
        </is>
      </c>
      <c r="K1015" s="25" t="n">
        <v>755227</v>
      </c>
      <c r="L1015" s="26" t="n">
        <v>1488.6546</v>
      </c>
      <c r="M1015" s="26" t="n">
        <v>13.3518</v>
      </c>
    </row>
    <row r="1016" ht="16" customHeight="1">
      <c r="A1016" t="inlineStr">
        <is>
          <t>21-Nov-2025</t>
        </is>
      </c>
      <c r="B1016" t="inlineStr">
        <is>
          <t>Friday</t>
        </is>
      </c>
      <c r="C1016" t="inlineStr">
        <is>
          <t>Week3-Nov-2025</t>
        </is>
      </c>
      <c r="D1016" s="78" t="n">
        <v>45962</v>
      </c>
      <c r="E1016" t="inlineStr">
        <is>
          <t>Q3FY26</t>
        </is>
      </c>
      <c r="F1016" t="inlineStr">
        <is>
          <t>27-Jan-2026</t>
        </is>
      </c>
      <c r="G1016" t="inlineStr">
        <is>
          <t>Tuesday</t>
        </is>
      </c>
      <c r="H1016" t="inlineStr">
        <is>
          <t>Monthly - Tuesday</t>
        </is>
      </c>
      <c r="I1016" t="inlineStr">
        <is>
          <t>Monthly - Tuesday</t>
        </is>
      </c>
      <c r="J1016" t="inlineStr">
        <is>
          <t>Month+2 Expiry</t>
        </is>
      </c>
      <c r="K1016" s="25" t="n">
        <v>49802</v>
      </c>
      <c r="L1016" s="26" t="n">
        <v>85.46129999999999</v>
      </c>
      <c r="M1016" s="26" t="n">
        <v>0.9984</v>
      </c>
    </row>
    <row r="1017" ht="16" customHeight="1">
      <c r="A1017" t="inlineStr">
        <is>
          <t>21-Nov-2025</t>
        </is>
      </c>
      <c r="B1017" t="inlineStr">
        <is>
          <t>Friday</t>
        </is>
      </c>
      <c r="C1017" t="inlineStr">
        <is>
          <t>Week3-Nov-2025</t>
        </is>
      </c>
      <c r="D1017" s="78" t="n">
        <v>45962</v>
      </c>
      <c r="E1017" t="inlineStr">
        <is>
          <t>Q3FY26</t>
        </is>
      </c>
      <c r="F1017" t="inlineStr">
        <is>
          <t>31-Mar-2026</t>
        </is>
      </c>
      <c r="G1017" t="inlineStr">
        <is>
          <t>Tuesday</t>
        </is>
      </c>
      <c r="H1017" t="inlineStr">
        <is>
          <t>Monthly - Tuesday</t>
        </is>
      </c>
      <c r="I1017" t="inlineStr">
        <is>
          <t>Monthly - Tuesday</t>
        </is>
      </c>
      <c r="J1017" t="inlineStr">
        <is>
          <t>Month+4 Expiry</t>
        </is>
      </c>
      <c r="K1017" s="25" t="n">
        <v>25376</v>
      </c>
      <c r="L1017" s="26" t="n">
        <v>50.725</v>
      </c>
      <c r="M1017" s="26" t="n">
        <v>0.9137999999999999</v>
      </c>
    </row>
    <row r="1018" ht="16" customHeight="1">
      <c r="A1018" t="inlineStr">
        <is>
          <t>21-Nov-2025</t>
        </is>
      </c>
      <c r="B1018" t="inlineStr">
        <is>
          <t>Friday</t>
        </is>
      </c>
      <c r="C1018" t="inlineStr">
        <is>
          <t>Week3-Nov-2025</t>
        </is>
      </c>
      <c r="D1018" s="78" t="n">
        <v>45962</v>
      </c>
      <c r="E1018" t="inlineStr">
        <is>
          <t>Q3FY26</t>
        </is>
      </c>
      <c r="F1018" t="inlineStr">
        <is>
          <t>30-Jun-2026</t>
        </is>
      </c>
      <c r="G1018" t="inlineStr">
        <is>
          <t>Tuesday</t>
        </is>
      </c>
      <c r="H1018" t="inlineStr">
        <is>
          <t>Monthly - Tuesday</t>
        </is>
      </c>
      <c r="I1018" t="inlineStr">
        <is>
          <t>Monthly - Tuesday</t>
        </is>
      </c>
      <c r="J1018" t="inlineStr">
        <is>
          <t>Month+7 Expiry</t>
        </is>
      </c>
      <c r="K1018" s="25" t="n">
        <v>6637</v>
      </c>
      <c r="L1018" s="26" t="n">
        <v>13.3838</v>
      </c>
      <c r="M1018" s="26" t="n">
        <v>0.3047</v>
      </c>
    </row>
    <row r="1019" ht="16" customHeight="1">
      <c r="A1019" t="inlineStr">
        <is>
          <t>21-Nov-2025</t>
        </is>
      </c>
      <c r="B1019" t="inlineStr">
        <is>
          <t>Friday</t>
        </is>
      </c>
      <c r="C1019" t="inlineStr">
        <is>
          <t>Week3-Nov-2025</t>
        </is>
      </c>
      <c r="D1019" s="78" t="n">
        <v>45962</v>
      </c>
      <c r="E1019" t="inlineStr">
        <is>
          <t>Q3FY26</t>
        </is>
      </c>
      <c r="F1019" t="inlineStr">
        <is>
          <t>29-Sep-2026</t>
        </is>
      </c>
      <c r="G1019" t="inlineStr">
        <is>
          <t>Tuesday</t>
        </is>
      </c>
      <c r="H1019" t="inlineStr">
        <is>
          <t>Monthly - Tuesday</t>
        </is>
      </c>
      <c r="I1019" t="inlineStr">
        <is>
          <t>Monthly - Tuesday</t>
        </is>
      </c>
      <c r="J1019" t="inlineStr">
        <is>
          <t>Month+10 Expiry</t>
        </is>
      </c>
      <c r="K1019" s="25" t="n">
        <v>61</v>
      </c>
      <c r="L1019" s="26" t="n">
        <v>0.1136</v>
      </c>
      <c r="M1019" s="26" t="n">
        <v>0.0012</v>
      </c>
    </row>
    <row r="1020" ht="16" customHeight="1">
      <c r="A1020" t="inlineStr">
        <is>
          <t>21-Nov-2025</t>
        </is>
      </c>
      <c r="B1020" t="inlineStr">
        <is>
          <t>Friday</t>
        </is>
      </c>
      <c r="C1020" t="inlineStr">
        <is>
          <t>Week3-Nov-2025</t>
        </is>
      </c>
      <c r="D1020" s="78" t="n">
        <v>45962</v>
      </c>
      <c r="E1020" t="inlineStr">
        <is>
          <t>Q3FY26</t>
        </is>
      </c>
      <c r="F1020" t="inlineStr">
        <is>
          <t>29-Dec-2026</t>
        </is>
      </c>
      <c r="G1020" t="inlineStr">
        <is>
          <t>Tuesday</t>
        </is>
      </c>
      <c r="H1020" t="inlineStr">
        <is>
          <t>Monthly - Tuesday</t>
        </is>
      </c>
      <c r="I1020" t="inlineStr">
        <is>
          <t>Monthly - Tuesday</t>
        </is>
      </c>
      <c r="J1020" t="inlineStr">
        <is>
          <t>Month+13 Expiry</t>
        </is>
      </c>
      <c r="K1020" s="25" t="n">
        <v>3243</v>
      </c>
      <c r="L1020" s="26" t="n">
        <v>6.6281</v>
      </c>
      <c r="M1020" s="26" t="n">
        <v>0.2149</v>
      </c>
    </row>
    <row r="1021" ht="16" customHeight="1">
      <c r="A1021" t="inlineStr">
        <is>
          <t>21-Nov-2025</t>
        </is>
      </c>
      <c r="B1021" t="inlineStr">
        <is>
          <t>Friday</t>
        </is>
      </c>
      <c r="C1021" t="inlineStr">
        <is>
          <t>Week3-Nov-2025</t>
        </is>
      </c>
      <c r="D1021" s="78" t="n">
        <v>45962</v>
      </c>
      <c r="E1021" t="inlineStr">
        <is>
          <t>Q3FY26</t>
        </is>
      </c>
      <c r="F1021" t="inlineStr">
        <is>
          <t>29-Jun-2027</t>
        </is>
      </c>
      <c r="G1021" t="inlineStr">
        <is>
          <t>Tuesday</t>
        </is>
      </c>
      <c r="H1021" t="inlineStr">
        <is>
          <t>Monthly - Tuesday</t>
        </is>
      </c>
      <c r="I1021" t="inlineStr">
        <is>
          <t>Monthly - Tuesday</t>
        </is>
      </c>
      <c r="J1021" t="inlineStr">
        <is>
          <t>Month+19 Expiry</t>
        </is>
      </c>
      <c r="K1021" s="25" t="n">
        <v>0</v>
      </c>
      <c r="L1021" s="26" t="n">
        <v>0</v>
      </c>
      <c r="M1021" s="26" t="n">
        <v>0</v>
      </c>
    </row>
    <row r="1022" ht="16" customHeight="1">
      <c r="A1022" t="inlineStr">
        <is>
          <t>21-Nov-2025</t>
        </is>
      </c>
      <c r="B1022" t="inlineStr">
        <is>
          <t>Friday</t>
        </is>
      </c>
      <c r="C1022" t="inlineStr">
        <is>
          <t>Week3-Nov-2025</t>
        </is>
      </c>
      <c r="D1022" s="78" t="n">
        <v>45962</v>
      </c>
      <c r="E1022" t="inlineStr">
        <is>
          <t>Q3FY26</t>
        </is>
      </c>
      <c r="F1022" t="inlineStr">
        <is>
          <t>28-Dec-2027</t>
        </is>
      </c>
      <c r="G1022" t="inlineStr">
        <is>
          <t>Tuesday</t>
        </is>
      </c>
      <c r="H1022" t="inlineStr">
        <is>
          <t>Monthly - Tuesday</t>
        </is>
      </c>
      <c r="I1022" t="inlineStr">
        <is>
          <t>Monthly - Tuesday</t>
        </is>
      </c>
      <c r="J1022" t="inlineStr">
        <is>
          <t>Month+25 Expiry</t>
        </is>
      </c>
      <c r="K1022" s="25" t="n">
        <v>3</v>
      </c>
      <c r="L1022" s="26" t="n">
        <v>0.0056</v>
      </c>
      <c r="M1022" s="26" t="n">
        <v>0.0004</v>
      </c>
    </row>
    <row r="1023" ht="16" customHeight="1">
      <c r="A1023" t="inlineStr">
        <is>
          <t>21-Nov-2025</t>
        </is>
      </c>
      <c r="B1023" t="inlineStr">
        <is>
          <t>Friday</t>
        </is>
      </c>
      <c r="C1023" t="inlineStr">
        <is>
          <t>Week3-Nov-2025</t>
        </is>
      </c>
      <c r="D1023" s="78" t="n">
        <v>45962</v>
      </c>
      <c r="E1023" t="inlineStr">
        <is>
          <t>Q3FY26</t>
        </is>
      </c>
      <c r="F1023" t="inlineStr">
        <is>
          <t>27-Jun-2028</t>
        </is>
      </c>
      <c r="G1023" t="inlineStr">
        <is>
          <t>Tuesday</t>
        </is>
      </c>
      <c r="H1023" t="inlineStr">
        <is>
          <t>Monthly - Tuesday</t>
        </is>
      </c>
      <c r="I1023" t="inlineStr">
        <is>
          <t>Monthly - Tuesday</t>
        </is>
      </c>
      <c r="J1023" t="inlineStr">
        <is>
          <t>Month+31 Expiry</t>
        </is>
      </c>
      <c r="K1023" s="25" t="n">
        <v>0</v>
      </c>
      <c r="L1023" s="26" t="n">
        <v>0</v>
      </c>
      <c r="M1023" s="26" t="n">
        <v>0</v>
      </c>
    </row>
    <row r="1024" ht="16" customHeight="1">
      <c r="A1024" t="inlineStr">
        <is>
          <t>21-Nov-2025</t>
        </is>
      </c>
      <c r="B1024" t="inlineStr">
        <is>
          <t>Friday</t>
        </is>
      </c>
      <c r="C1024" t="inlineStr">
        <is>
          <t>Week3-Nov-2025</t>
        </is>
      </c>
      <c r="D1024" s="78" t="n">
        <v>45962</v>
      </c>
      <c r="E1024" t="inlineStr">
        <is>
          <t>Q3FY26</t>
        </is>
      </c>
      <c r="F1024" t="inlineStr">
        <is>
          <t>26-Dec-2028</t>
        </is>
      </c>
      <c r="G1024" t="inlineStr">
        <is>
          <t>Tuesday</t>
        </is>
      </c>
      <c r="H1024" t="inlineStr">
        <is>
          <t>Monthly - Tuesday</t>
        </is>
      </c>
      <c r="I1024" t="inlineStr">
        <is>
          <t>Monthly - Tuesday</t>
        </is>
      </c>
      <c r="J1024" t="inlineStr">
        <is>
          <t>Month+37 Expiry</t>
        </is>
      </c>
      <c r="K1024" s="25" t="n">
        <v>18</v>
      </c>
      <c r="L1024" s="26" t="n">
        <v>0.0363</v>
      </c>
      <c r="M1024" s="26" t="n">
        <v>0.0012</v>
      </c>
    </row>
    <row r="1025" ht="16" customHeight="1">
      <c r="A1025" t="inlineStr">
        <is>
          <t>21-Nov-2025</t>
        </is>
      </c>
      <c r="B1025" t="inlineStr">
        <is>
          <t>Friday</t>
        </is>
      </c>
      <c r="C1025" t="inlineStr">
        <is>
          <t>Week3-Nov-2025</t>
        </is>
      </c>
      <c r="D1025" s="78" t="n">
        <v>45962</v>
      </c>
      <c r="E1025" t="inlineStr">
        <is>
          <t>Q3FY26</t>
        </is>
      </c>
      <c r="F1025" t="inlineStr">
        <is>
          <t>26-Jun-2029</t>
        </is>
      </c>
      <c r="G1025" t="inlineStr">
        <is>
          <t>Tuesday</t>
        </is>
      </c>
      <c r="H1025" t="inlineStr">
        <is>
          <t>Monthly - Tuesday</t>
        </is>
      </c>
      <c r="I1025" t="inlineStr">
        <is>
          <t>Monthly - Tuesday</t>
        </is>
      </c>
      <c r="J1025" t="inlineStr">
        <is>
          <t>Month+43 Expiry</t>
        </is>
      </c>
      <c r="K1025" s="25" t="n">
        <v>0</v>
      </c>
      <c r="L1025" s="26" t="n">
        <v>0</v>
      </c>
      <c r="M1025" s="26" t="n">
        <v>0</v>
      </c>
    </row>
    <row r="1026" ht="16" customHeight="1">
      <c r="A1026" t="inlineStr">
        <is>
          <t>21-Nov-2025</t>
        </is>
      </c>
      <c r="B1026" t="inlineStr">
        <is>
          <t>Friday</t>
        </is>
      </c>
      <c r="C1026" t="inlineStr">
        <is>
          <t>Week3-Nov-2025</t>
        </is>
      </c>
      <c r="D1026" s="78" t="n">
        <v>45962</v>
      </c>
      <c r="E1026" t="inlineStr">
        <is>
          <t>Q3FY26</t>
        </is>
      </c>
      <c r="F1026" t="inlineStr">
        <is>
          <t>24-Dec-2029</t>
        </is>
      </c>
      <c r="G1026" t="inlineStr">
        <is>
          <t>Monday</t>
        </is>
      </c>
      <c r="H1026" t="inlineStr">
        <is>
          <t>Weekly - Monday</t>
        </is>
      </c>
      <c r="I1026" t="inlineStr">
        <is>
          <t>Weekly - Monday</t>
        </is>
      </c>
      <c r="J1026" t="inlineStr">
        <is>
          <t>Month+49 Expiry</t>
        </is>
      </c>
      <c r="K1026" s="25" t="n">
        <v>0</v>
      </c>
      <c r="L1026" s="26" t="n">
        <v>0</v>
      </c>
      <c r="M1026" s="26" t="n">
        <v>0</v>
      </c>
    </row>
    <row r="1027" ht="16" customHeight="1">
      <c r="A1027" t="inlineStr">
        <is>
          <t>21-Nov-2025</t>
        </is>
      </c>
      <c r="B1027" t="inlineStr">
        <is>
          <t>Friday</t>
        </is>
      </c>
      <c r="C1027" t="inlineStr">
        <is>
          <t>Week3-Nov-2025</t>
        </is>
      </c>
      <c r="D1027" s="78" t="n">
        <v>45962</v>
      </c>
      <c r="E1027" t="inlineStr">
        <is>
          <t>Q3FY26</t>
        </is>
      </c>
      <c r="F1027" t="inlineStr">
        <is>
          <t>25-Jun-2030</t>
        </is>
      </c>
      <c r="G1027" t="inlineStr">
        <is>
          <t>Tuesday</t>
        </is>
      </c>
      <c r="H1027" t="inlineStr">
        <is>
          <t>Monthly - Tuesday</t>
        </is>
      </c>
      <c r="I1027" t="inlineStr">
        <is>
          <t>Monthly - Tuesday</t>
        </is>
      </c>
      <c r="J1027" t="inlineStr">
        <is>
          <t>Month+55 Expiry</t>
        </is>
      </c>
      <c r="K1027" s="25" t="n">
        <v>0</v>
      </c>
      <c r="L1027" s="26" t="n">
        <v>0</v>
      </c>
      <c r="M1027" s="26" t="n">
        <v>0</v>
      </c>
    </row>
    <row r="1028" ht="16" customHeight="1">
      <c r="A1028" t="inlineStr">
        <is>
          <t>24-Nov-2025</t>
        </is>
      </c>
      <c r="B1028" t="inlineStr">
        <is>
          <t>Monday</t>
        </is>
      </c>
      <c r="C1028" t="inlineStr">
        <is>
          <t>Week4-Nov-2025</t>
        </is>
      </c>
      <c r="D1028" s="78" t="n">
        <v>45962</v>
      </c>
      <c r="E1028" t="inlineStr">
        <is>
          <t>Q3FY26</t>
        </is>
      </c>
      <c r="F1028" t="inlineStr">
        <is>
          <t>25-Nov-2025</t>
        </is>
      </c>
      <c r="G1028" t="inlineStr">
        <is>
          <t>Tuesday</t>
        </is>
      </c>
      <c r="H1028" t="inlineStr">
        <is>
          <t>Monthly - Tuesday</t>
        </is>
      </c>
      <c r="I1028" t="inlineStr">
        <is>
          <t>MDAW - Tuesday</t>
        </is>
      </c>
      <c r="J1028" t="inlineStr">
        <is>
          <t>Same Month Expiry</t>
        </is>
      </c>
      <c r="K1028" s="25" t="n">
        <v>109636860</v>
      </c>
      <c r="L1028" s="26" t="n">
        <v>214733.0173</v>
      </c>
      <c r="M1028" s="26" t="n">
        <v>394.4304</v>
      </c>
    </row>
    <row r="1029" ht="16" customHeight="1">
      <c r="A1029" t="inlineStr">
        <is>
          <t>24-Nov-2025</t>
        </is>
      </c>
      <c r="B1029" t="inlineStr">
        <is>
          <t>Monday</t>
        </is>
      </c>
      <c r="C1029" t="inlineStr">
        <is>
          <t>Week4-Nov-2025</t>
        </is>
      </c>
      <c r="D1029" s="78" t="n">
        <v>45962</v>
      </c>
      <c r="E1029" t="inlineStr">
        <is>
          <t>Q3FY26</t>
        </is>
      </c>
      <c r="F1029" t="inlineStr">
        <is>
          <t>02-Dec-2025</t>
        </is>
      </c>
      <c r="G1029" t="inlineStr">
        <is>
          <t>Tuesday</t>
        </is>
      </c>
      <c r="H1029" t="inlineStr">
        <is>
          <t>Weekly - Tuesday</t>
        </is>
      </c>
      <c r="I1029" t="inlineStr">
        <is>
          <t>Weekly - Tuesday</t>
        </is>
      </c>
      <c r="J1029" t="inlineStr">
        <is>
          <t>Month+1 Expiry</t>
        </is>
      </c>
      <c r="K1029" s="25" t="n">
        <v>4946387</v>
      </c>
      <c r="L1029" s="26" t="n">
        <v>9734.4411</v>
      </c>
      <c r="M1029" s="26" t="n">
        <v>32.0825</v>
      </c>
    </row>
    <row r="1030" ht="16" customHeight="1">
      <c r="A1030" t="inlineStr">
        <is>
          <t>24-Nov-2025</t>
        </is>
      </c>
      <c r="B1030" t="inlineStr">
        <is>
          <t>Monday</t>
        </is>
      </c>
      <c r="C1030" t="inlineStr">
        <is>
          <t>Week4-Nov-2025</t>
        </is>
      </c>
      <c r="D1030" s="78" t="n">
        <v>45962</v>
      </c>
      <c r="E1030" t="inlineStr">
        <is>
          <t>Q3FY26</t>
        </is>
      </c>
      <c r="F1030" t="inlineStr">
        <is>
          <t>09-Dec-2025</t>
        </is>
      </c>
      <c r="G1030" t="inlineStr">
        <is>
          <t>Tuesday</t>
        </is>
      </c>
      <c r="H1030" t="inlineStr">
        <is>
          <t>Weekly - Tuesday</t>
        </is>
      </c>
      <c r="I1030" t="inlineStr">
        <is>
          <t>Weekly - Tuesday</t>
        </is>
      </c>
      <c r="J1030" t="inlineStr">
        <is>
          <t>Month+1 Expiry</t>
        </is>
      </c>
      <c r="K1030" s="25" t="n">
        <v>286816</v>
      </c>
      <c r="L1030" s="26" t="n">
        <v>565.5561</v>
      </c>
      <c r="M1030" s="26" t="n">
        <v>2.7369</v>
      </c>
    </row>
    <row r="1031" ht="16" customHeight="1">
      <c r="A1031" t="inlineStr">
        <is>
          <t>24-Nov-2025</t>
        </is>
      </c>
      <c r="B1031" t="inlineStr">
        <is>
          <t>Monday</t>
        </is>
      </c>
      <c r="C1031" t="inlineStr">
        <is>
          <t>Week4-Nov-2025</t>
        </is>
      </c>
      <c r="D1031" s="78" t="n">
        <v>45962</v>
      </c>
      <c r="E1031" t="inlineStr">
        <is>
          <t>Q3FY26</t>
        </is>
      </c>
      <c r="F1031" t="inlineStr">
        <is>
          <t>16-Dec-2025</t>
        </is>
      </c>
      <c r="G1031" t="inlineStr">
        <is>
          <t>Tuesday</t>
        </is>
      </c>
      <c r="H1031" t="inlineStr">
        <is>
          <t>Weekly - Tuesday</t>
        </is>
      </c>
      <c r="I1031" t="inlineStr">
        <is>
          <t>Weekly - Tuesday</t>
        </is>
      </c>
      <c r="J1031" t="inlineStr">
        <is>
          <t>Month+1 Expiry</t>
        </is>
      </c>
      <c r="K1031" s="25" t="n">
        <v>27914</v>
      </c>
      <c r="L1031" s="26" t="n">
        <v>55.1774</v>
      </c>
      <c r="M1031" s="26" t="n">
        <v>0.313</v>
      </c>
    </row>
    <row r="1032" ht="16" customHeight="1">
      <c r="A1032" t="inlineStr">
        <is>
          <t>24-Nov-2025</t>
        </is>
      </c>
      <c r="B1032" t="inlineStr">
        <is>
          <t>Monday</t>
        </is>
      </c>
      <c r="C1032" t="inlineStr">
        <is>
          <t>Week4-Nov-2025</t>
        </is>
      </c>
      <c r="D1032" s="78" t="n">
        <v>45962</v>
      </c>
      <c r="E1032" t="inlineStr">
        <is>
          <t>Q3FY26</t>
        </is>
      </c>
      <c r="F1032" t="inlineStr">
        <is>
          <t>23-Dec-2025</t>
        </is>
      </c>
      <c r="G1032" t="inlineStr">
        <is>
          <t>Tuesday</t>
        </is>
      </c>
      <c r="H1032" t="inlineStr">
        <is>
          <t>Weekly - Tuesday</t>
        </is>
      </c>
      <c r="I1032" t="inlineStr">
        <is>
          <t>Weekly - Tuesday</t>
        </is>
      </c>
      <c r="J1032" t="inlineStr">
        <is>
          <t>Month+1 Expiry</t>
        </is>
      </c>
      <c r="K1032" s="25" t="n">
        <v>8441</v>
      </c>
      <c r="L1032" s="26" t="n">
        <v>16.679</v>
      </c>
      <c r="M1032" s="26" t="n">
        <v>0.1201</v>
      </c>
    </row>
    <row r="1033" ht="16" customHeight="1">
      <c r="A1033" t="inlineStr">
        <is>
          <t>24-Nov-2025</t>
        </is>
      </c>
      <c r="B1033" t="inlineStr">
        <is>
          <t>Monday</t>
        </is>
      </c>
      <c r="C1033" t="inlineStr">
        <is>
          <t>Week4-Nov-2025</t>
        </is>
      </c>
      <c r="D1033" s="78" t="n">
        <v>45962</v>
      </c>
      <c r="E1033" t="inlineStr">
        <is>
          <t>Q3FY26</t>
        </is>
      </c>
      <c r="F1033" t="inlineStr">
        <is>
          <t>30-Dec-2025</t>
        </is>
      </c>
      <c r="G1033" t="inlineStr">
        <is>
          <t>Tuesday</t>
        </is>
      </c>
      <c r="H1033" t="inlineStr">
        <is>
          <t>Monthly - Tuesday</t>
        </is>
      </c>
      <c r="I1033" t="inlineStr">
        <is>
          <t>Monthly - Tuesday</t>
        </is>
      </c>
      <c r="J1033" t="inlineStr">
        <is>
          <t>Month+1 Expiry</t>
        </is>
      </c>
      <c r="K1033" s="25" t="n">
        <v>800864</v>
      </c>
      <c r="L1033" s="26" t="n">
        <v>1577.0188</v>
      </c>
      <c r="M1033" s="26" t="n">
        <v>14.5804</v>
      </c>
    </row>
    <row r="1034" ht="16" customHeight="1">
      <c r="A1034" t="inlineStr">
        <is>
          <t>24-Nov-2025</t>
        </is>
      </c>
      <c r="B1034" t="inlineStr">
        <is>
          <t>Monday</t>
        </is>
      </c>
      <c r="C1034" t="inlineStr">
        <is>
          <t>Week4-Nov-2025</t>
        </is>
      </c>
      <c r="D1034" s="78" t="n">
        <v>45962</v>
      </c>
      <c r="E1034" t="inlineStr">
        <is>
          <t>Q3FY26</t>
        </is>
      </c>
      <c r="F1034" t="inlineStr">
        <is>
          <t>27-Jan-2026</t>
        </is>
      </c>
      <c r="G1034" t="inlineStr">
        <is>
          <t>Tuesday</t>
        </is>
      </c>
      <c r="H1034" t="inlineStr">
        <is>
          <t>Monthly - Tuesday</t>
        </is>
      </c>
      <c r="I1034" t="inlineStr">
        <is>
          <t>Monthly - Tuesday</t>
        </is>
      </c>
      <c r="J1034" t="inlineStr">
        <is>
          <t>Month+2 Expiry</t>
        </is>
      </c>
      <c r="K1034" s="25" t="n">
        <v>50116</v>
      </c>
      <c r="L1034" s="26" t="n">
        <v>85.9342</v>
      </c>
      <c r="M1034" s="26" t="n">
        <v>0.9503</v>
      </c>
    </row>
    <row r="1035" ht="16" customHeight="1">
      <c r="A1035" t="inlineStr">
        <is>
          <t>24-Nov-2025</t>
        </is>
      </c>
      <c r="B1035" t="inlineStr">
        <is>
          <t>Monday</t>
        </is>
      </c>
      <c r="C1035" t="inlineStr">
        <is>
          <t>Week4-Nov-2025</t>
        </is>
      </c>
      <c r="D1035" s="78" t="n">
        <v>45962</v>
      </c>
      <c r="E1035" t="inlineStr">
        <is>
          <t>Q3FY26</t>
        </is>
      </c>
      <c r="F1035" t="inlineStr">
        <is>
          <t>31-Mar-2026</t>
        </is>
      </c>
      <c r="G1035" t="inlineStr">
        <is>
          <t>Tuesday</t>
        </is>
      </c>
      <c r="H1035" t="inlineStr">
        <is>
          <t>Monthly - Tuesday</t>
        </is>
      </c>
      <c r="I1035" t="inlineStr">
        <is>
          <t>Monthly - Tuesday</t>
        </is>
      </c>
      <c r="J1035" t="inlineStr">
        <is>
          <t>Month+4 Expiry</t>
        </is>
      </c>
      <c r="K1035" s="25" t="n">
        <v>24274</v>
      </c>
      <c r="L1035" s="26" t="n">
        <v>48.3391</v>
      </c>
      <c r="M1035" s="26" t="n">
        <v>1.0304</v>
      </c>
    </row>
    <row r="1036" ht="16" customHeight="1">
      <c r="A1036" t="inlineStr">
        <is>
          <t>24-Nov-2025</t>
        </is>
      </c>
      <c r="B1036" t="inlineStr">
        <is>
          <t>Monday</t>
        </is>
      </c>
      <c r="C1036" t="inlineStr">
        <is>
          <t>Week4-Nov-2025</t>
        </is>
      </c>
      <c r="D1036" s="78" t="n">
        <v>45962</v>
      </c>
      <c r="E1036" t="inlineStr">
        <is>
          <t>Q3FY26</t>
        </is>
      </c>
      <c r="F1036" t="inlineStr">
        <is>
          <t>30-Jun-2026</t>
        </is>
      </c>
      <c r="G1036" t="inlineStr">
        <is>
          <t>Tuesday</t>
        </is>
      </c>
      <c r="H1036" t="inlineStr">
        <is>
          <t>Monthly - Tuesday</t>
        </is>
      </c>
      <c r="I1036" t="inlineStr">
        <is>
          <t>Monthly - Tuesday</t>
        </is>
      </c>
      <c r="J1036" t="inlineStr">
        <is>
          <t>Month+7 Expiry</t>
        </is>
      </c>
      <c r="K1036" s="25" t="n">
        <v>6662</v>
      </c>
      <c r="L1036" s="26" t="n">
        <v>13.1011</v>
      </c>
      <c r="M1036" s="26" t="n">
        <v>0.2264</v>
      </c>
    </row>
    <row r="1037" ht="16" customHeight="1">
      <c r="A1037" t="inlineStr">
        <is>
          <t>24-Nov-2025</t>
        </is>
      </c>
      <c r="B1037" t="inlineStr">
        <is>
          <t>Monday</t>
        </is>
      </c>
      <c r="C1037" t="inlineStr">
        <is>
          <t>Week4-Nov-2025</t>
        </is>
      </c>
      <c r="D1037" s="78" t="n">
        <v>45962</v>
      </c>
      <c r="E1037" t="inlineStr">
        <is>
          <t>Q3FY26</t>
        </is>
      </c>
      <c r="F1037" t="inlineStr">
        <is>
          <t>29-Sep-2026</t>
        </is>
      </c>
      <c r="G1037" t="inlineStr">
        <is>
          <t>Tuesday</t>
        </is>
      </c>
      <c r="H1037" t="inlineStr">
        <is>
          <t>Monthly - Tuesday</t>
        </is>
      </c>
      <c r="I1037" t="inlineStr">
        <is>
          <t>Monthly - Tuesday</t>
        </is>
      </c>
      <c r="J1037" t="inlineStr">
        <is>
          <t>Month+10 Expiry</t>
        </is>
      </c>
      <c r="K1037" s="25" t="n">
        <v>58</v>
      </c>
      <c r="L1037" s="26" t="n">
        <v>0.1085</v>
      </c>
      <c r="M1037" s="26" t="n">
        <v>0.0014</v>
      </c>
    </row>
    <row r="1038" ht="16" customHeight="1">
      <c r="A1038" t="inlineStr">
        <is>
          <t>24-Nov-2025</t>
        </is>
      </c>
      <c r="B1038" t="inlineStr">
        <is>
          <t>Monday</t>
        </is>
      </c>
      <c r="C1038" t="inlineStr">
        <is>
          <t>Week4-Nov-2025</t>
        </is>
      </c>
      <c r="D1038" s="78" t="n">
        <v>45962</v>
      </c>
      <c r="E1038" t="inlineStr">
        <is>
          <t>Q3FY26</t>
        </is>
      </c>
      <c r="F1038" t="inlineStr">
        <is>
          <t>29-Dec-2026</t>
        </is>
      </c>
      <c r="G1038" t="inlineStr">
        <is>
          <t>Tuesday</t>
        </is>
      </c>
      <c r="H1038" t="inlineStr">
        <is>
          <t>Monthly - Tuesday</t>
        </is>
      </c>
      <c r="I1038" t="inlineStr">
        <is>
          <t>Monthly - Tuesday</t>
        </is>
      </c>
      <c r="J1038" t="inlineStr">
        <is>
          <t>Month+13 Expiry</t>
        </is>
      </c>
      <c r="K1038" s="25" t="n">
        <v>3039</v>
      </c>
      <c r="L1038" s="26" t="n">
        <v>6.2236</v>
      </c>
      <c r="M1038" s="26" t="n">
        <v>0.1923</v>
      </c>
    </row>
    <row r="1039" ht="16" customHeight="1">
      <c r="A1039" t="inlineStr">
        <is>
          <t>24-Nov-2025</t>
        </is>
      </c>
      <c r="B1039" t="inlineStr">
        <is>
          <t>Monday</t>
        </is>
      </c>
      <c r="C1039" t="inlineStr">
        <is>
          <t>Week4-Nov-2025</t>
        </is>
      </c>
      <c r="D1039" s="78" t="n">
        <v>45962</v>
      </c>
      <c r="E1039" t="inlineStr">
        <is>
          <t>Q3FY26</t>
        </is>
      </c>
      <c r="F1039" t="inlineStr">
        <is>
          <t>29-Jun-2027</t>
        </is>
      </c>
      <c r="G1039" t="inlineStr">
        <is>
          <t>Tuesday</t>
        </is>
      </c>
      <c r="H1039" t="inlineStr">
        <is>
          <t>Monthly - Tuesday</t>
        </is>
      </c>
      <c r="I1039" t="inlineStr">
        <is>
          <t>Monthly - Tuesday</t>
        </is>
      </c>
      <c r="J1039" t="inlineStr">
        <is>
          <t>Month+19 Expiry</t>
        </is>
      </c>
      <c r="K1039" s="25" t="n">
        <v>0</v>
      </c>
      <c r="L1039" s="26" t="n">
        <v>0</v>
      </c>
      <c r="M1039" s="26" t="n">
        <v>0</v>
      </c>
    </row>
    <row r="1040" ht="16" customHeight="1">
      <c r="A1040" t="inlineStr">
        <is>
          <t>24-Nov-2025</t>
        </is>
      </c>
      <c r="B1040" t="inlineStr">
        <is>
          <t>Monday</t>
        </is>
      </c>
      <c r="C1040" t="inlineStr">
        <is>
          <t>Week4-Nov-2025</t>
        </is>
      </c>
      <c r="D1040" s="78" t="n">
        <v>45962</v>
      </c>
      <c r="E1040" t="inlineStr">
        <is>
          <t>Q3FY26</t>
        </is>
      </c>
      <c r="F1040" t="inlineStr">
        <is>
          <t>28-Dec-2027</t>
        </is>
      </c>
      <c r="G1040" t="inlineStr">
        <is>
          <t>Tuesday</t>
        </is>
      </c>
      <c r="H1040" t="inlineStr">
        <is>
          <t>Monthly - Tuesday</t>
        </is>
      </c>
      <c r="I1040" t="inlineStr">
        <is>
          <t>Monthly - Tuesday</t>
        </is>
      </c>
      <c r="J1040" t="inlineStr">
        <is>
          <t>Month+25 Expiry</t>
        </is>
      </c>
      <c r="K1040" s="25" t="n">
        <v>3</v>
      </c>
      <c r="L1040" s="26" t="n">
        <v>0.0057</v>
      </c>
      <c r="M1040" s="26" t="n">
        <v>0.0001</v>
      </c>
    </row>
    <row r="1041" ht="16" customHeight="1">
      <c r="A1041" t="inlineStr">
        <is>
          <t>24-Nov-2025</t>
        </is>
      </c>
      <c r="B1041" t="inlineStr">
        <is>
          <t>Monday</t>
        </is>
      </c>
      <c r="C1041" t="inlineStr">
        <is>
          <t>Week4-Nov-2025</t>
        </is>
      </c>
      <c r="D1041" s="78" t="n">
        <v>45962</v>
      </c>
      <c r="E1041" t="inlineStr">
        <is>
          <t>Q3FY26</t>
        </is>
      </c>
      <c r="F1041" t="inlineStr">
        <is>
          <t>27-Jun-2028</t>
        </is>
      </c>
      <c r="G1041" t="inlineStr">
        <is>
          <t>Tuesday</t>
        </is>
      </c>
      <c r="H1041" t="inlineStr">
        <is>
          <t>Monthly - Tuesday</t>
        </is>
      </c>
      <c r="I1041" t="inlineStr">
        <is>
          <t>Monthly - Tuesday</t>
        </is>
      </c>
      <c r="J1041" t="inlineStr">
        <is>
          <t>Month+31 Expiry</t>
        </is>
      </c>
      <c r="K1041" s="25" t="n">
        <v>0</v>
      </c>
      <c r="L1041" s="26" t="n">
        <v>0</v>
      </c>
      <c r="M1041" s="26" t="n">
        <v>0</v>
      </c>
    </row>
    <row r="1042" ht="16" customHeight="1">
      <c r="A1042" t="inlineStr">
        <is>
          <t>24-Nov-2025</t>
        </is>
      </c>
      <c r="B1042" t="inlineStr">
        <is>
          <t>Monday</t>
        </is>
      </c>
      <c r="C1042" t="inlineStr">
        <is>
          <t>Week4-Nov-2025</t>
        </is>
      </c>
      <c r="D1042" s="78" t="n">
        <v>45962</v>
      </c>
      <c r="E1042" t="inlineStr">
        <is>
          <t>Q3FY26</t>
        </is>
      </c>
      <c r="F1042" t="inlineStr">
        <is>
          <t>26-Dec-2028</t>
        </is>
      </c>
      <c r="G1042" t="inlineStr">
        <is>
          <t>Tuesday</t>
        </is>
      </c>
      <c r="H1042" t="inlineStr">
        <is>
          <t>Monthly - Tuesday</t>
        </is>
      </c>
      <c r="I1042" t="inlineStr">
        <is>
          <t>Monthly - Tuesday</t>
        </is>
      </c>
      <c r="J1042" t="inlineStr">
        <is>
          <t>Month+37 Expiry</t>
        </is>
      </c>
      <c r="K1042" s="25" t="n">
        <v>4</v>
      </c>
      <c r="L1042" s="26" t="n">
        <v>0.008200000000000001</v>
      </c>
      <c r="M1042" s="26" t="n">
        <v>0.0003</v>
      </c>
    </row>
    <row r="1043" ht="16" customHeight="1">
      <c r="A1043" t="inlineStr">
        <is>
          <t>24-Nov-2025</t>
        </is>
      </c>
      <c r="B1043" t="inlineStr">
        <is>
          <t>Monday</t>
        </is>
      </c>
      <c r="C1043" t="inlineStr">
        <is>
          <t>Week4-Nov-2025</t>
        </is>
      </c>
      <c r="D1043" s="78" t="n">
        <v>45962</v>
      </c>
      <c r="E1043" t="inlineStr">
        <is>
          <t>Q3FY26</t>
        </is>
      </c>
      <c r="F1043" t="inlineStr">
        <is>
          <t>26-Jun-2029</t>
        </is>
      </c>
      <c r="G1043" t="inlineStr">
        <is>
          <t>Tuesday</t>
        </is>
      </c>
      <c r="H1043" t="inlineStr">
        <is>
          <t>Monthly - Tuesday</t>
        </is>
      </c>
      <c r="I1043" t="inlineStr">
        <is>
          <t>Monthly - Tuesday</t>
        </is>
      </c>
      <c r="J1043" t="inlineStr">
        <is>
          <t>Month+43 Expiry</t>
        </is>
      </c>
      <c r="K1043" s="25" t="n">
        <v>0</v>
      </c>
      <c r="L1043" s="26" t="n">
        <v>0</v>
      </c>
      <c r="M1043" s="26" t="n">
        <v>0</v>
      </c>
    </row>
    <row r="1044" ht="16" customHeight="1">
      <c r="A1044" t="inlineStr">
        <is>
          <t>24-Nov-2025</t>
        </is>
      </c>
      <c r="B1044" t="inlineStr">
        <is>
          <t>Monday</t>
        </is>
      </c>
      <c r="C1044" t="inlineStr">
        <is>
          <t>Week4-Nov-2025</t>
        </is>
      </c>
      <c r="D1044" s="78" t="n">
        <v>45962</v>
      </c>
      <c r="E1044" t="inlineStr">
        <is>
          <t>Q3FY26</t>
        </is>
      </c>
      <c r="F1044" t="inlineStr">
        <is>
          <t>24-Dec-2029</t>
        </is>
      </c>
      <c r="G1044" t="inlineStr">
        <is>
          <t>Monday</t>
        </is>
      </c>
      <c r="H1044" t="inlineStr">
        <is>
          <t>Weekly - Monday</t>
        </is>
      </c>
      <c r="I1044" t="inlineStr">
        <is>
          <t>Weekly - Monday</t>
        </is>
      </c>
      <c r="J1044" t="inlineStr">
        <is>
          <t>Month+49 Expiry</t>
        </is>
      </c>
      <c r="K1044" s="25" t="n">
        <v>0</v>
      </c>
      <c r="L1044" s="26" t="n">
        <v>0</v>
      </c>
      <c r="M1044" s="26" t="n">
        <v>0</v>
      </c>
    </row>
    <row r="1045" ht="16" customHeight="1">
      <c r="A1045" t="inlineStr">
        <is>
          <t>24-Nov-2025</t>
        </is>
      </c>
      <c r="B1045" t="inlineStr">
        <is>
          <t>Monday</t>
        </is>
      </c>
      <c r="C1045" t="inlineStr">
        <is>
          <t>Week4-Nov-2025</t>
        </is>
      </c>
      <c r="D1045" s="78" t="n">
        <v>45962</v>
      </c>
      <c r="E1045" t="inlineStr">
        <is>
          <t>Q3FY26</t>
        </is>
      </c>
      <c r="F1045" t="inlineStr">
        <is>
          <t>25-Jun-2030</t>
        </is>
      </c>
      <c r="G1045" t="inlineStr">
        <is>
          <t>Tuesday</t>
        </is>
      </c>
      <c r="H1045" t="inlineStr">
        <is>
          <t>Monthly - Tuesday</t>
        </is>
      </c>
      <c r="I1045" t="inlineStr">
        <is>
          <t>Monthly - Tuesday</t>
        </is>
      </c>
      <c r="J1045" t="inlineStr">
        <is>
          <t>Month+55 Expiry</t>
        </is>
      </c>
      <c r="K1045" s="25" t="n">
        <v>0</v>
      </c>
      <c r="L1045" s="26" t="n">
        <v>0</v>
      </c>
      <c r="M1045" s="26" t="n">
        <v>0</v>
      </c>
    </row>
    <row r="1046" ht="16" customHeight="1">
      <c r="A1046" t="inlineStr">
        <is>
          <t>25-Nov-2025</t>
        </is>
      </c>
      <c r="B1046" t="inlineStr">
        <is>
          <t>Tuesday</t>
        </is>
      </c>
      <c r="C1046" t="inlineStr">
        <is>
          <t>Week4-Nov-2025</t>
        </is>
      </c>
      <c r="D1046" s="78" t="n">
        <v>45962</v>
      </c>
      <c r="E1046" t="inlineStr">
        <is>
          <t>Q3FY26</t>
        </is>
      </c>
      <c r="F1046" t="inlineStr">
        <is>
          <t>25-Nov-2025</t>
        </is>
      </c>
      <c r="G1046" t="inlineStr">
        <is>
          <t>Tuesday</t>
        </is>
      </c>
      <c r="H1046" t="inlineStr">
        <is>
          <t>Monthly - Tuesday</t>
        </is>
      </c>
      <c r="I1046" t="inlineStr">
        <is>
          <t>MDAW - Tuesday</t>
        </is>
      </c>
      <c r="J1046" t="inlineStr">
        <is>
          <t>Same Month Expiry</t>
        </is>
      </c>
      <c r="K1046" s="25" t="n">
        <v>255047333</v>
      </c>
      <c r="L1046" s="26" t="n">
        <v>497411.7314</v>
      </c>
      <c r="M1046" s="26" t="n">
        <v>450.8204</v>
      </c>
    </row>
    <row r="1047" ht="16" customHeight="1">
      <c r="A1047" t="inlineStr">
        <is>
          <t>25-Nov-2025</t>
        </is>
      </c>
      <c r="B1047" t="inlineStr">
        <is>
          <t>Tuesday</t>
        </is>
      </c>
      <c r="C1047" t="inlineStr">
        <is>
          <t>Week4-Nov-2025</t>
        </is>
      </c>
      <c r="D1047" s="78" t="n">
        <v>45962</v>
      </c>
      <c r="E1047" t="inlineStr">
        <is>
          <t>Q3FY26</t>
        </is>
      </c>
      <c r="F1047" t="inlineStr">
        <is>
          <t>02-Dec-2025</t>
        </is>
      </c>
      <c r="G1047" t="inlineStr">
        <is>
          <t>Tuesday</t>
        </is>
      </c>
      <c r="H1047" t="inlineStr">
        <is>
          <t>Weekly - Tuesday</t>
        </is>
      </c>
      <c r="I1047" t="inlineStr">
        <is>
          <t>Weekly - Tuesday</t>
        </is>
      </c>
      <c r="J1047" t="inlineStr">
        <is>
          <t>Month+1 Expiry</t>
        </is>
      </c>
      <c r="K1047" s="25" t="n">
        <v>10102726</v>
      </c>
      <c r="L1047" s="26" t="n">
        <v>19816.5059</v>
      </c>
      <c r="M1047" s="26" t="n">
        <v>61.219</v>
      </c>
    </row>
    <row r="1048" ht="16" customHeight="1">
      <c r="A1048" t="inlineStr">
        <is>
          <t>25-Nov-2025</t>
        </is>
      </c>
      <c r="B1048" t="inlineStr">
        <is>
          <t>Tuesday</t>
        </is>
      </c>
      <c r="C1048" t="inlineStr">
        <is>
          <t>Week4-Nov-2025</t>
        </is>
      </c>
      <c r="D1048" s="78" t="n">
        <v>45962</v>
      </c>
      <c r="E1048" t="inlineStr">
        <is>
          <t>Q3FY26</t>
        </is>
      </c>
      <c r="F1048" t="inlineStr">
        <is>
          <t>09-Dec-2025</t>
        </is>
      </c>
      <c r="G1048" t="inlineStr">
        <is>
          <t>Tuesday</t>
        </is>
      </c>
      <c r="H1048" t="inlineStr">
        <is>
          <t>Weekly - Tuesday</t>
        </is>
      </c>
      <c r="I1048" t="inlineStr">
        <is>
          <t>Weekly - Tuesday</t>
        </is>
      </c>
      <c r="J1048" t="inlineStr">
        <is>
          <t>Month+1 Expiry</t>
        </is>
      </c>
      <c r="K1048" s="25" t="n">
        <v>547642</v>
      </c>
      <c r="L1048" s="26" t="n">
        <v>1077.2863</v>
      </c>
      <c r="M1048" s="26" t="n">
        <v>4.6024</v>
      </c>
    </row>
    <row r="1049" ht="16" customHeight="1">
      <c r="A1049" t="inlineStr">
        <is>
          <t>25-Nov-2025</t>
        </is>
      </c>
      <c r="B1049" t="inlineStr">
        <is>
          <t>Tuesday</t>
        </is>
      </c>
      <c r="C1049" t="inlineStr">
        <is>
          <t>Week4-Nov-2025</t>
        </is>
      </c>
      <c r="D1049" s="78" t="n">
        <v>45962</v>
      </c>
      <c r="E1049" t="inlineStr">
        <is>
          <t>Q3FY26</t>
        </is>
      </c>
      <c r="F1049" t="inlineStr">
        <is>
          <t>16-Dec-2025</t>
        </is>
      </c>
      <c r="G1049" t="inlineStr">
        <is>
          <t>Tuesday</t>
        </is>
      </c>
      <c r="H1049" t="inlineStr">
        <is>
          <t>Weekly - Tuesday</t>
        </is>
      </c>
      <c r="I1049" t="inlineStr">
        <is>
          <t>Weekly - Tuesday</t>
        </is>
      </c>
      <c r="J1049" t="inlineStr">
        <is>
          <t>Month+1 Expiry</t>
        </is>
      </c>
      <c r="K1049" s="25" t="n">
        <v>36281</v>
      </c>
      <c r="L1049" s="26" t="n">
        <v>71.38939999999999</v>
      </c>
      <c r="M1049" s="26" t="n">
        <v>0.3665</v>
      </c>
    </row>
    <row r="1050" ht="16" customHeight="1">
      <c r="A1050" t="inlineStr">
        <is>
          <t>25-Nov-2025</t>
        </is>
      </c>
      <c r="B1050" t="inlineStr">
        <is>
          <t>Tuesday</t>
        </is>
      </c>
      <c r="C1050" t="inlineStr">
        <is>
          <t>Week4-Nov-2025</t>
        </is>
      </c>
      <c r="D1050" s="78" t="n">
        <v>45962</v>
      </c>
      <c r="E1050" t="inlineStr">
        <is>
          <t>Q3FY26</t>
        </is>
      </c>
      <c r="F1050" t="inlineStr">
        <is>
          <t>23-Dec-2025</t>
        </is>
      </c>
      <c r="G1050" t="inlineStr">
        <is>
          <t>Tuesday</t>
        </is>
      </c>
      <c r="H1050" t="inlineStr">
        <is>
          <t>Weekly - Tuesday</t>
        </is>
      </c>
      <c r="I1050" t="inlineStr">
        <is>
          <t>Weekly - Tuesday</t>
        </is>
      </c>
      <c r="J1050" t="inlineStr">
        <is>
          <t>Month+1 Expiry</t>
        </is>
      </c>
      <c r="K1050" s="25" t="n">
        <v>13356</v>
      </c>
      <c r="L1050" s="26" t="n">
        <v>26.3424</v>
      </c>
      <c r="M1050" s="26" t="n">
        <v>0.2084</v>
      </c>
    </row>
    <row r="1051" ht="16" customHeight="1">
      <c r="A1051" t="inlineStr">
        <is>
          <t>25-Nov-2025</t>
        </is>
      </c>
      <c r="B1051" t="inlineStr">
        <is>
          <t>Tuesday</t>
        </is>
      </c>
      <c r="C1051" t="inlineStr">
        <is>
          <t>Week4-Nov-2025</t>
        </is>
      </c>
      <c r="D1051" s="78" t="n">
        <v>45962</v>
      </c>
      <c r="E1051" t="inlineStr">
        <is>
          <t>Q3FY26</t>
        </is>
      </c>
      <c r="F1051" t="inlineStr">
        <is>
          <t>30-Dec-2025</t>
        </is>
      </c>
      <c r="G1051" t="inlineStr">
        <is>
          <t>Tuesday</t>
        </is>
      </c>
      <c r="H1051" t="inlineStr">
        <is>
          <t>Monthly - Tuesday</t>
        </is>
      </c>
      <c r="I1051" t="inlineStr">
        <is>
          <t>Monthly - Tuesday</t>
        </is>
      </c>
      <c r="J1051" t="inlineStr">
        <is>
          <t>Month+1 Expiry</t>
        </is>
      </c>
      <c r="K1051" s="25" t="n">
        <v>1018659</v>
      </c>
      <c r="L1051" s="26" t="n">
        <v>2012.0334</v>
      </c>
      <c r="M1051" s="26" t="n">
        <v>16.879</v>
      </c>
    </row>
    <row r="1052" ht="16" customHeight="1">
      <c r="A1052" t="inlineStr">
        <is>
          <t>25-Nov-2025</t>
        </is>
      </c>
      <c r="B1052" t="inlineStr">
        <is>
          <t>Tuesday</t>
        </is>
      </c>
      <c r="C1052" t="inlineStr">
        <is>
          <t>Week4-Nov-2025</t>
        </is>
      </c>
      <c r="D1052" s="78" t="n">
        <v>45962</v>
      </c>
      <c r="E1052" t="inlineStr">
        <is>
          <t>Q3FY26</t>
        </is>
      </c>
      <c r="F1052" t="inlineStr">
        <is>
          <t>27-Jan-2026</t>
        </is>
      </c>
      <c r="G1052" t="inlineStr">
        <is>
          <t>Tuesday</t>
        </is>
      </c>
      <c r="H1052" t="inlineStr">
        <is>
          <t>Monthly - Tuesday</t>
        </is>
      </c>
      <c r="I1052" t="inlineStr">
        <is>
          <t>Monthly - Tuesday</t>
        </is>
      </c>
      <c r="J1052" t="inlineStr">
        <is>
          <t>Month+2 Expiry</t>
        </is>
      </c>
      <c r="K1052" s="25" t="n">
        <v>69739</v>
      </c>
      <c r="L1052" s="26" t="n">
        <v>119.3796</v>
      </c>
      <c r="M1052" s="26" t="n">
        <v>1.1146</v>
      </c>
    </row>
    <row r="1053" ht="16" customHeight="1">
      <c r="A1053" t="inlineStr">
        <is>
          <t>25-Nov-2025</t>
        </is>
      </c>
      <c r="B1053" t="inlineStr">
        <is>
          <t>Tuesday</t>
        </is>
      </c>
      <c r="C1053" t="inlineStr">
        <is>
          <t>Week4-Nov-2025</t>
        </is>
      </c>
      <c r="D1053" s="78" t="n">
        <v>45962</v>
      </c>
      <c r="E1053" t="inlineStr">
        <is>
          <t>Q3FY26</t>
        </is>
      </c>
      <c r="F1053" t="inlineStr">
        <is>
          <t>31-Mar-2026</t>
        </is>
      </c>
      <c r="G1053" t="inlineStr">
        <is>
          <t>Tuesday</t>
        </is>
      </c>
      <c r="H1053" t="inlineStr">
        <is>
          <t>Monthly - Tuesday</t>
        </is>
      </c>
      <c r="I1053" t="inlineStr">
        <is>
          <t>Monthly - Tuesday</t>
        </is>
      </c>
      <c r="J1053" t="inlineStr">
        <is>
          <t>Month+4 Expiry</t>
        </is>
      </c>
      <c r="K1053" s="25" t="n">
        <v>20734</v>
      </c>
      <c r="L1053" s="26" t="n">
        <v>41.1762</v>
      </c>
      <c r="M1053" s="26" t="n">
        <v>0.6039</v>
      </c>
    </row>
    <row r="1054" ht="16" customHeight="1">
      <c r="A1054" t="inlineStr">
        <is>
          <t>25-Nov-2025</t>
        </is>
      </c>
      <c r="B1054" t="inlineStr">
        <is>
          <t>Tuesday</t>
        </is>
      </c>
      <c r="C1054" t="inlineStr">
        <is>
          <t>Week4-Nov-2025</t>
        </is>
      </c>
      <c r="D1054" s="78" t="n">
        <v>45962</v>
      </c>
      <c r="E1054" t="inlineStr">
        <is>
          <t>Q3FY26</t>
        </is>
      </c>
      <c r="F1054" t="inlineStr">
        <is>
          <t>30-Jun-2026</t>
        </is>
      </c>
      <c r="G1054" t="inlineStr">
        <is>
          <t>Tuesday</t>
        </is>
      </c>
      <c r="H1054" t="inlineStr">
        <is>
          <t>Monthly - Tuesday</t>
        </is>
      </c>
      <c r="I1054" t="inlineStr">
        <is>
          <t>Monthly - Tuesday</t>
        </is>
      </c>
      <c r="J1054" t="inlineStr">
        <is>
          <t>Month+7 Expiry</t>
        </is>
      </c>
      <c r="K1054" s="25" t="n">
        <v>5437</v>
      </c>
      <c r="L1054" s="26" t="n">
        <v>10.7055</v>
      </c>
      <c r="M1054" s="26" t="n">
        <v>0.2171</v>
      </c>
    </row>
    <row r="1055" ht="16" customHeight="1">
      <c r="A1055" t="inlineStr">
        <is>
          <t>25-Nov-2025</t>
        </is>
      </c>
      <c r="B1055" t="inlineStr">
        <is>
          <t>Tuesday</t>
        </is>
      </c>
      <c r="C1055" t="inlineStr">
        <is>
          <t>Week4-Nov-2025</t>
        </is>
      </c>
      <c r="D1055" s="78" t="n">
        <v>45962</v>
      </c>
      <c r="E1055" t="inlineStr">
        <is>
          <t>Q3FY26</t>
        </is>
      </c>
      <c r="F1055" t="inlineStr">
        <is>
          <t>29-Sep-2026</t>
        </is>
      </c>
      <c r="G1055" t="inlineStr">
        <is>
          <t>Tuesday</t>
        </is>
      </c>
      <c r="H1055" t="inlineStr">
        <is>
          <t>Monthly - Tuesday</t>
        </is>
      </c>
      <c r="I1055" t="inlineStr">
        <is>
          <t>Monthly - Tuesday</t>
        </is>
      </c>
      <c r="J1055" t="inlineStr">
        <is>
          <t>Month+10 Expiry</t>
        </is>
      </c>
      <c r="K1055" s="25" t="n">
        <v>40</v>
      </c>
      <c r="L1055" s="26" t="n">
        <v>0.0736</v>
      </c>
      <c r="M1055" s="26" t="n">
        <v>0.0009</v>
      </c>
    </row>
    <row r="1056" ht="16" customHeight="1">
      <c r="A1056" t="inlineStr">
        <is>
          <t>25-Nov-2025</t>
        </is>
      </c>
      <c r="B1056" t="inlineStr">
        <is>
          <t>Tuesday</t>
        </is>
      </c>
      <c r="C1056" t="inlineStr">
        <is>
          <t>Week4-Nov-2025</t>
        </is>
      </c>
      <c r="D1056" s="78" t="n">
        <v>45962</v>
      </c>
      <c r="E1056" t="inlineStr">
        <is>
          <t>Q3FY26</t>
        </is>
      </c>
      <c r="F1056" t="inlineStr">
        <is>
          <t>29-Dec-2026</t>
        </is>
      </c>
      <c r="G1056" t="inlineStr">
        <is>
          <t>Tuesday</t>
        </is>
      </c>
      <c r="H1056" t="inlineStr">
        <is>
          <t>Monthly - Tuesday</t>
        </is>
      </c>
      <c r="I1056" t="inlineStr">
        <is>
          <t>Monthly - Tuesday</t>
        </is>
      </c>
      <c r="J1056" t="inlineStr">
        <is>
          <t>Month+13 Expiry</t>
        </is>
      </c>
      <c r="K1056" s="25" t="n">
        <v>7435</v>
      </c>
      <c r="L1056" s="26" t="n">
        <v>14.9999</v>
      </c>
      <c r="M1056" s="26" t="n">
        <v>0.5603</v>
      </c>
    </row>
    <row r="1057" ht="16" customHeight="1">
      <c r="A1057" t="inlineStr">
        <is>
          <t>25-Nov-2025</t>
        </is>
      </c>
      <c r="B1057" t="inlineStr">
        <is>
          <t>Tuesday</t>
        </is>
      </c>
      <c r="C1057" t="inlineStr">
        <is>
          <t>Week4-Nov-2025</t>
        </is>
      </c>
      <c r="D1057" s="78" t="n">
        <v>45962</v>
      </c>
      <c r="E1057" t="inlineStr">
        <is>
          <t>Q3FY26</t>
        </is>
      </c>
      <c r="F1057" t="inlineStr">
        <is>
          <t>29-Jun-2027</t>
        </is>
      </c>
      <c r="G1057" t="inlineStr">
        <is>
          <t>Tuesday</t>
        </is>
      </c>
      <c r="H1057" t="inlineStr">
        <is>
          <t>Monthly - Tuesday</t>
        </is>
      </c>
      <c r="I1057" t="inlineStr">
        <is>
          <t>Monthly - Tuesday</t>
        </is>
      </c>
      <c r="J1057" t="inlineStr">
        <is>
          <t>Month+19 Expiry</t>
        </is>
      </c>
      <c r="K1057" s="25" t="n">
        <v>0</v>
      </c>
      <c r="L1057" s="26" t="n">
        <v>0</v>
      </c>
      <c r="M1057" s="26" t="n">
        <v>0</v>
      </c>
    </row>
    <row r="1058" ht="16" customHeight="1">
      <c r="A1058" t="inlineStr">
        <is>
          <t>25-Nov-2025</t>
        </is>
      </c>
      <c r="B1058" t="inlineStr">
        <is>
          <t>Tuesday</t>
        </is>
      </c>
      <c r="C1058" t="inlineStr">
        <is>
          <t>Week4-Nov-2025</t>
        </is>
      </c>
      <c r="D1058" s="78" t="n">
        <v>45962</v>
      </c>
      <c r="E1058" t="inlineStr">
        <is>
          <t>Q3FY26</t>
        </is>
      </c>
      <c r="F1058" t="inlineStr">
        <is>
          <t>28-Dec-2027</t>
        </is>
      </c>
      <c r="G1058" t="inlineStr">
        <is>
          <t>Tuesday</t>
        </is>
      </c>
      <c r="H1058" t="inlineStr">
        <is>
          <t>Monthly - Tuesday</t>
        </is>
      </c>
      <c r="I1058" t="inlineStr">
        <is>
          <t>Monthly - Tuesday</t>
        </is>
      </c>
      <c r="J1058" t="inlineStr">
        <is>
          <t>Month+25 Expiry</t>
        </is>
      </c>
      <c r="K1058" s="25" t="n">
        <v>0</v>
      </c>
      <c r="L1058" s="26" t="n">
        <v>0</v>
      </c>
      <c r="M1058" s="26" t="n">
        <v>0</v>
      </c>
    </row>
    <row r="1059" ht="16" customHeight="1">
      <c r="A1059" t="inlineStr">
        <is>
          <t>25-Nov-2025</t>
        </is>
      </c>
      <c r="B1059" t="inlineStr">
        <is>
          <t>Tuesday</t>
        </is>
      </c>
      <c r="C1059" t="inlineStr">
        <is>
          <t>Week4-Nov-2025</t>
        </is>
      </c>
      <c r="D1059" s="78" t="n">
        <v>45962</v>
      </c>
      <c r="E1059" t="inlineStr">
        <is>
          <t>Q3FY26</t>
        </is>
      </c>
      <c r="F1059" t="inlineStr">
        <is>
          <t>27-Jun-2028</t>
        </is>
      </c>
      <c r="G1059" t="inlineStr">
        <is>
          <t>Tuesday</t>
        </is>
      </c>
      <c r="H1059" t="inlineStr">
        <is>
          <t>Monthly - Tuesday</t>
        </is>
      </c>
      <c r="I1059" t="inlineStr">
        <is>
          <t>Monthly - Tuesday</t>
        </is>
      </c>
      <c r="J1059" t="inlineStr">
        <is>
          <t>Month+31 Expiry</t>
        </is>
      </c>
      <c r="K1059" s="25" t="n">
        <v>0</v>
      </c>
      <c r="L1059" s="26" t="n">
        <v>0</v>
      </c>
      <c r="M1059" s="26" t="n">
        <v>0</v>
      </c>
    </row>
    <row r="1060" ht="16" customHeight="1">
      <c r="A1060" t="inlineStr">
        <is>
          <t>25-Nov-2025</t>
        </is>
      </c>
      <c r="B1060" t="inlineStr">
        <is>
          <t>Tuesday</t>
        </is>
      </c>
      <c r="C1060" t="inlineStr">
        <is>
          <t>Week4-Nov-2025</t>
        </is>
      </c>
      <c r="D1060" s="78" t="n">
        <v>45962</v>
      </c>
      <c r="E1060" t="inlineStr">
        <is>
          <t>Q3FY26</t>
        </is>
      </c>
      <c r="F1060" t="inlineStr">
        <is>
          <t>26-Dec-2028</t>
        </is>
      </c>
      <c r="G1060" t="inlineStr">
        <is>
          <t>Tuesday</t>
        </is>
      </c>
      <c r="H1060" t="inlineStr">
        <is>
          <t>Monthly - Tuesday</t>
        </is>
      </c>
      <c r="I1060" t="inlineStr">
        <is>
          <t>Monthly - Tuesday</t>
        </is>
      </c>
      <c r="J1060" t="inlineStr">
        <is>
          <t>Month+37 Expiry</t>
        </is>
      </c>
      <c r="K1060" s="25" t="n">
        <v>2</v>
      </c>
      <c r="L1060" s="26" t="n">
        <v>0.004</v>
      </c>
      <c r="M1060" s="26" t="n">
        <v>0.0001</v>
      </c>
    </row>
    <row r="1061" ht="16" customHeight="1">
      <c r="A1061" t="inlineStr">
        <is>
          <t>25-Nov-2025</t>
        </is>
      </c>
      <c r="B1061" t="inlineStr">
        <is>
          <t>Tuesday</t>
        </is>
      </c>
      <c r="C1061" t="inlineStr">
        <is>
          <t>Week4-Nov-2025</t>
        </is>
      </c>
      <c r="D1061" s="78" t="n">
        <v>45962</v>
      </c>
      <c r="E1061" t="inlineStr">
        <is>
          <t>Q3FY26</t>
        </is>
      </c>
      <c r="F1061" t="inlineStr">
        <is>
          <t>26-Jun-2029</t>
        </is>
      </c>
      <c r="G1061" t="inlineStr">
        <is>
          <t>Tuesday</t>
        </is>
      </c>
      <c r="H1061" t="inlineStr">
        <is>
          <t>Monthly - Tuesday</t>
        </is>
      </c>
      <c r="I1061" t="inlineStr">
        <is>
          <t>Monthly - Tuesday</t>
        </is>
      </c>
      <c r="J1061" t="inlineStr">
        <is>
          <t>Month+43 Expiry</t>
        </is>
      </c>
      <c r="K1061" s="25" t="n">
        <v>0</v>
      </c>
      <c r="L1061" s="26" t="n">
        <v>0</v>
      </c>
      <c r="M1061" s="26" t="n">
        <v>0</v>
      </c>
    </row>
    <row r="1062" ht="16" customHeight="1">
      <c r="A1062" t="inlineStr">
        <is>
          <t>25-Nov-2025</t>
        </is>
      </c>
      <c r="B1062" t="inlineStr">
        <is>
          <t>Tuesday</t>
        </is>
      </c>
      <c r="C1062" t="inlineStr">
        <is>
          <t>Week4-Nov-2025</t>
        </is>
      </c>
      <c r="D1062" s="78" t="n">
        <v>45962</v>
      </c>
      <c r="E1062" t="inlineStr">
        <is>
          <t>Q3FY26</t>
        </is>
      </c>
      <c r="F1062" t="inlineStr">
        <is>
          <t>24-Dec-2029</t>
        </is>
      </c>
      <c r="G1062" t="inlineStr">
        <is>
          <t>Monday</t>
        </is>
      </c>
      <c r="H1062" t="inlineStr">
        <is>
          <t>Weekly - Monday</t>
        </is>
      </c>
      <c r="I1062" t="inlineStr">
        <is>
          <t>Weekly - Monday</t>
        </is>
      </c>
      <c r="J1062" t="inlineStr">
        <is>
          <t>Month+49 Expiry</t>
        </is>
      </c>
      <c r="K1062" s="25" t="n">
        <v>0</v>
      </c>
      <c r="L1062" s="26" t="n">
        <v>0</v>
      </c>
      <c r="M1062" s="26" t="n">
        <v>0</v>
      </c>
    </row>
    <row r="1063" ht="16" customHeight="1">
      <c r="A1063" t="inlineStr">
        <is>
          <t>25-Nov-2025</t>
        </is>
      </c>
      <c r="B1063" t="inlineStr">
        <is>
          <t>Tuesday</t>
        </is>
      </c>
      <c r="C1063" t="inlineStr">
        <is>
          <t>Week4-Nov-2025</t>
        </is>
      </c>
      <c r="D1063" s="78" t="n">
        <v>45962</v>
      </c>
      <c r="E1063" t="inlineStr">
        <is>
          <t>Q3FY26</t>
        </is>
      </c>
      <c r="F1063" t="inlineStr">
        <is>
          <t>25-Jun-2030</t>
        </is>
      </c>
      <c r="G1063" t="inlineStr">
        <is>
          <t>Tuesday</t>
        </is>
      </c>
      <c r="H1063" t="inlineStr">
        <is>
          <t>Monthly - Tuesday</t>
        </is>
      </c>
      <c r="I1063" t="inlineStr">
        <is>
          <t>Monthly - Tuesday</t>
        </is>
      </c>
      <c r="J1063" t="inlineStr">
        <is>
          <t>Month+55 Expiry</t>
        </is>
      </c>
      <c r="K1063" s="25" t="n">
        <v>0</v>
      </c>
      <c r="L1063" s="26" t="n">
        <v>0</v>
      </c>
      <c r="M1063" s="26" t="n">
        <v>0</v>
      </c>
    </row>
    <row r="1064" ht="16" customHeight="1">
      <c r="A1064" t="inlineStr">
        <is>
          <t>26-Nov-2025</t>
        </is>
      </c>
      <c r="B1064" t="inlineStr">
        <is>
          <t>Wednesday</t>
        </is>
      </c>
      <c r="C1064" t="inlineStr">
        <is>
          <t>Week4-Nov-2025</t>
        </is>
      </c>
      <c r="D1064" s="78" t="n">
        <v>45962</v>
      </c>
      <c r="E1064" t="inlineStr">
        <is>
          <t>Q3FY26</t>
        </is>
      </c>
      <c r="F1064" t="inlineStr">
        <is>
          <t>02-Dec-2025</t>
        </is>
      </c>
      <c r="G1064" t="inlineStr">
        <is>
          <t>Tuesday</t>
        </is>
      </c>
      <c r="H1064" t="inlineStr">
        <is>
          <t>Weekly - Tuesday</t>
        </is>
      </c>
      <c r="I1064" t="inlineStr">
        <is>
          <t>Weekly - Tuesday</t>
        </is>
      </c>
      <c r="J1064" t="inlineStr">
        <is>
          <t>Month+1 Expiry</t>
        </is>
      </c>
      <c r="K1064" s="25" t="n">
        <v>47884736</v>
      </c>
      <c r="L1064" s="26" t="n">
        <v>94017.76760000001</v>
      </c>
      <c r="M1064" s="26" t="n">
        <v>277.3105</v>
      </c>
    </row>
    <row r="1065" ht="16" customHeight="1">
      <c r="A1065" t="inlineStr">
        <is>
          <t>26-Nov-2025</t>
        </is>
      </c>
      <c r="B1065" t="inlineStr">
        <is>
          <t>Wednesday</t>
        </is>
      </c>
      <c r="C1065" t="inlineStr">
        <is>
          <t>Week4-Nov-2025</t>
        </is>
      </c>
      <c r="D1065" s="78" t="n">
        <v>45962</v>
      </c>
      <c r="E1065" t="inlineStr">
        <is>
          <t>Q3FY26</t>
        </is>
      </c>
      <c r="F1065" t="inlineStr">
        <is>
          <t>09-Dec-2025</t>
        </is>
      </c>
      <c r="G1065" t="inlineStr">
        <is>
          <t>Tuesday</t>
        </is>
      </c>
      <c r="H1065" t="inlineStr">
        <is>
          <t>Weekly - Tuesday</t>
        </is>
      </c>
      <c r="I1065" t="inlineStr">
        <is>
          <t>Weekly - Tuesday</t>
        </is>
      </c>
      <c r="J1065" t="inlineStr">
        <is>
          <t>Month+1 Expiry</t>
        </is>
      </c>
      <c r="K1065" s="25" t="n">
        <v>1366420</v>
      </c>
      <c r="L1065" s="26" t="n">
        <v>2684.9181</v>
      </c>
      <c r="M1065" s="26" t="n">
        <v>10.4936</v>
      </c>
    </row>
    <row r="1066" ht="16" customHeight="1">
      <c r="A1066" t="inlineStr">
        <is>
          <t>26-Nov-2025</t>
        </is>
      </c>
      <c r="B1066" t="inlineStr">
        <is>
          <t>Wednesday</t>
        </is>
      </c>
      <c r="C1066" t="inlineStr">
        <is>
          <t>Week4-Nov-2025</t>
        </is>
      </c>
      <c r="D1066" s="78" t="n">
        <v>45962</v>
      </c>
      <c r="E1066" t="inlineStr">
        <is>
          <t>Q3FY26</t>
        </is>
      </c>
      <c r="F1066" t="inlineStr">
        <is>
          <t>16-Dec-2025</t>
        </is>
      </c>
      <c r="G1066" t="inlineStr">
        <is>
          <t>Tuesday</t>
        </is>
      </c>
      <c r="H1066" t="inlineStr">
        <is>
          <t>Weekly - Tuesday</t>
        </is>
      </c>
      <c r="I1066" t="inlineStr">
        <is>
          <t>Weekly - Tuesday</t>
        </is>
      </c>
      <c r="J1066" t="inlineStr">
        <is>
          <t>Month+1 Expiry</t>
        </is>
      </c>
      <c r="K1066" s="25" t="n">
        <v>78250</v>
      </c>
      <c r="L1066" s="26" t="n">
        <v>154.2935</v>
      </c>
      <c r="M1066" s="26" t="n">
        <v>0.8315</v>
      </c>
    </row>
    <row r="1067" ht="16" customHeight="1">
      <c r="A1067" t="inlineStr">
        <is>
          <t>26-Nov-2025</t>
        </is>
      </c>
      <c r="B1067" t="inlineStr">
        <is>
          <t>Wednesday</t>
        </is>
      </c>
      <c r="C1067" t="inlineStr">
        <is>
          <t>Week4-Nov-2025</t>
        </is>
      </c>
      <c r="D1067" s="78" t="n">
        <v>45962</v>
      </c>
      <c r="E1067" t="inlineStr">
        <is>
          <t>Q3FY26</t>
        </is>
      </c>
      <c r="F1067" t="inlineStr">
        <is>
          <t>23-Dec-2025</t>
        </is>
      </c>
      <c r="G1067" t="inlineStr">
        <is>
          <t>Tuesday</t>
        </is>
      </c>
      <c r="H1067" t="inlineStr">
        <is>
          <t>Weekly - Tuesday</t>
        </is>
      </c>
      <c r="I1067" t="inlineStr">
        <is>
          <t>Weekly - Tuesday</t>
        </is>
      </c>
      <c r="J1067" t="inlineStr">
        <is>
          <t>Month+1 Expiry</t>
        </is>
      </c>
      <c r="K1067" s="25" t="n">
        <v>19871</v>
      </c>
      <c r="L1067" s="26" t="n">
        <v>39.2626</v>
      </c>
      <c r="M1067" s="26" t="n">
        <v>0.2781</v>
      </c>
    </row>
    <row r="1068" ht="16" customHeight="1">
      <c r="A1068" t="inlineStr">
        <is>
          <t>26-Nov-2025</t>
        </is>
      </c>
      <c r="B1068" t="inlineStr">
        <is>
          <t>Wednesday</t>
        </is>
      </c>
      <c r="C1068" t="inlineStr">
        <is>
          <t>Week4-Nov-2025</t>
        </is>
      </c>
      <c r="D1068" s="78" t="n">
        <v>45962</v>
      </c>
      <c r="E1068" t="inlineStr">
        <is>
          <t>Q3FY26</t>
        </is>
      </c>
      <c r="F1068" t="inlineStr">
        <is>
          <t>30-Dec-2025</t>
        </is>
      </c>
      <c r="G1068" t="inlineStr">
        <is>
          <t>Tuesday</t>
        </is>
      </c>
      <c r="H1068" t="inlineStr">
        <is>
          <t>Monthly - Tuesday</t>
        </is>
      </c>
      <c r="I1068" t="inlineStr">
        <is>
          <t>Monthly - Tuesday</t>
        </is>
      </c>
      <c r="J1068" t="inlineStr">
        <is>
          <t>Month+1 Expiry</t>
        </is>
      </c>
      <c r="K1068" s="25" t="n">
        <v>1482545</v>
      </c>
      <c r="L1068" s="26" t="n">
        <v>2918.9124</v>
      </c>
      <c r="M1068" s="26" t="n">
        <v>22.7653</v>
      </c>
    </row>
    <row r="1069" ht="16" customHeight="1">
      <c r="A1069" t="inlineStr">
        <is>
          <t>26-Nov-2025</t>
        </is>
      </c>
      <c r="B1069" t="inlineStr">
        <is>
          <t>Wednesday</t>
        </is>
      </c>
      <c r="C1069" t="inlineStr">
        <is>
          <t>Week4-Nov-2025</t>
        </is>
      </c>
      <c r="D1069" s="78" t="n">
        <v>45962</v>
      </c>
      <c r="E1069" t="inlineStr">
        <is>
          <t>Q3FY26</t>
        </is>
      </c>
      <c r="F1069" t="inlineStr">
        <is>
          <t>27-Jan-2026</t>
        </is>
      </c>
      <c r="G1069" t="inlineStr">
        <is>
          <t>Tuesday</t>
        </is>
      </c>
      <c r="H1069" t="inlineStr">
        <is>
          <t>Monthly - Tuesday</t>
        </is>
      </c>
      <c r="I1069" t="inlineStr">
        <is>
          <t>Monthly - Tuesday</t>
        </is>
      </c>
      <c r="J1069" t="inlineStr">
        <is>
          <t>Month+2 Expiry</t>
        </is>
      </c>
      <c r="K1069" s="25" t="n">
        <v>119692</v>
      </c>
      <c r="L1069" s="26" t="n">
        <v>205.043</v>
      </c>
      <c r="M1069" s="26" t="n">
        <v>2.0204</v>
      </c>
    </row>
    <row r="1070" ht="16" customHeight="1">
      <c r="A1070" t="inlineStr">
        <is>
          <t>26-Nov-2025</t>
        </is>
      </c>
      <c r="B1070" t="inlineStr">
        <is>
          <t>Wednesday</t>
        </is>
      </c>
      <c r="C1070" t="inlineStr">
        <is>
          <t>Week4-Nov-2025</t>
        </is>
      </c>
      <c r="D1070" s="78" t="n">
        <v>45962</v>
      </c>
      <c r="E1070" t="inlineStr">
        <is>
          <t>Q3FY26</t>
        </is>
      </c>
      <c r="F1070" t="inlineStr">
        <is>
          <t>24-Feb-2026</t>
        </is>
      </c>
      <c r="G1070" t="inlineStr">
        <is>
          <t>Tuesday</t>
        </is>
      </c>
      <c r="H1070" t="inlineStr">
        <is>
          <t>Monthly - Tuesday</t>
        </is>
      </c>
      <c r="I1070" t="inlineStr">
        <is>
          <t>Monthly - Tuesday</t>
        </is>
      </c>
      <c r="J1070" t="inlineStr">
        <is>
          <t>Month+3 Expiry</t>
        </is>
      </c>
      <c r="K1070" s="25" t="n">
        <v>8015</v>
      </c>
      <c r="L1070" s="26" t="n">
        <v>13.5873</v>
      </c>
      <c r="M1070" s="26" t="n">
        <v>0.1565</v>
      </c>
    </row>
    <row r="1071" ht="16" customHeight="1">
      <c r="A1071" t="inlineStr">
        <is>
          <t>26-Nov-2025</t>
        </is>
      </c>
      <c r="B1071" t="inlineStr">
        <is>
          <t>Wednesday</t>
        </is>
      </c>
      <c r="C1071" t="inlineStr">
        <is>
          <t>Week4-Nov-2025</t>
        </is>
      </c>
      <c r="D1071" s="78" t="n">
        <v>45962</v>
      </c>
      <c r="E1071" t="inlineStr">
        <is>
          <t>Q3FY26</t>
        </is>
      </c>
      <c r="F1071" t="inlineStr">
        <is>
          <t>31-Mar-2026</t>
        </is>
      </c>
      <c r="G1071" t="inlineStr">
        <is>
          <t>Tuesday</t>
        </is>
      </c>
      <c r="H1071" t="inlineStr">
        <is>
          <t>Monthly - Tuesday</t>
        </is>
      </c>
      <c r="I1071" t="inlineStr">
        <is>
          <t>Monthly - Tuesday</t>
        </is>
      </c>
      <c r="J1071" t="inlineStr">
        <is>
          <t>Month+4 Expiry</t>
        </is>
      </c>
      <c r="K1071" s="25" t="n">
        <v>30755</v>
      </c>
      <c r="L1071" s="26" t="n">
        <v>59.8316</v>
      </c>
      <c r="M1071" s="26" t="n">
        <v>0.8404</v>
      </c>
    </row>
    <row r="1072" ht="16" customHeight="1">
      <c r="A1072" t="inlineStr">
        <is>
          <t>26-Nov-2025</t>
        </is>
      </c>
      <c r="B1072" t="inlineStr">
        <is>
          <t>Wednesday</t>
        </is>
      </c>
      <c r="C1072" t="inlineStr">
        <is>
          <t>Week4-Nov-2025</t>
        </is>
      </c>
      <c r="D1072" s="78" t="n">
        <v>45962</v>
      </c>
      <c r="E1072" t="inlineStr">
        <is>
          <t>Q3FY26</t>
        </is>
      </c>
      <c r="F1072" t="inlineStr">
        <is>
          <t>30-Jun-2026</t>
        </is>
      </c>
      <c r="G1072" t="inlineStr">
        <is>
          <t>Tuesday</t>
        </is>
      </c>
      <c r="H1072" t="inlineStr">
        <is>
          <t>Monthly - Tuesday</t>
        </is>
      </c>
      <c r="I1072" t="inlineStr">
        <is>
          <t>Monthly - Tuesday</t>
        </is>
      </c>
      <c r="J1072" t="inlineStr">
        <is>
          <t>Month+7 Expiry</t>
        </is>
      </c>
      <c r="K1072" s="25" t="n">
        <v>8140</v>
      </c>
      <c r="L1072" s="26" t="n">
        <v>15.9911</v>
      </c>
      <c r="M1072" s="26" t="n">
        <v>0.3208</v>
      </c>
    </row>
    <row r="1073" ht="16" customHeight="1">
      <c r="A1073" t="inlineStr">
        <is>
          <t>26-Nov-2025</t>
        </is>
      </c>
      <c r="B1073" t="inlineStr">
        <is>
          <t>Wednesday</t>
        </is>
      </c>
      <c r="C1073" t="inlineStr">
        <is>
          <t>Week4-Nov-2025</t>
        </is>
      </c>
      <c r="D1073" s="78" t="n">
        <v>45962</v>
      </c>
      <c r="E1073" t="inlineStr">
        <is>
          <t>Q3FY26</t>
        </is>
      </c>
      <c r="F1073" t="inlineStr">
        <is>
          <t>29-Sep-2026</t>
        </is>
      </c>
      <c r="G1073" t="inlineStr">
        <is>
          <t>Tuesday</t>
        </is>
      </c>
      <c r="H1073" t="inlineStr">
        <is>
          <t>Monthly - Tuesday</t>
        </is>
      </c>
      <c r="I1073" t="inlineStr">
        <is>
          <t>Monthly - Tuesday</t>
        </is>
      </c>
      <c r="J1073" t="inlineStr">
        <is>
          <t>Month+10 Expiry</t>
        </is>
      </c>
      <c r="K1073" s="25" t="n">
        <v>47</v>
      </c>
      <c r="L1073" s="26" t="n">
        <v>0.0926</v>
      </c>
      <c r="M1073" s="26" t="n">
        <v>0.002</v>
      </c>
    </row>
    <row r="1074" ht="16" customHeight="1">
      <c r="A1074" t="inlineStr">
        <is>
          <t>26-Nov-2025</t>
        </is>
      </c>
      <c r="B1074" t="inlineStr">
        <is>
          <t>Wednesday</t>
        </is>
      </c>
      <c r="C1074" t="inlineStr">
        <is>
          <t>Week4-Nov-2025</t>
        </is>
      </c>
      <c r="D1074" s="78" t="n">
        <v>45962</v>
      </c>
      <c r="E1074" t="inlineStr">
        <is>
          <t>Q3FY26</t>
        </is>
      </c>
      <c r="F1074" t="inlineStr">
        <is>
          <t>29-Dec-2026</t>
        </is>
      </c>
      <c r="G1074" t="inlineStr">
        <is>
          <t>Tuesday</t>
        </is>
      </c>
      <c r="H1074" t="inlineStr">
        <is>
          <t>Monthly - Tuesday</t>
        </is>
      </c>
      <c r="I1074" t="inlineStr">
        <is>
          <t>Monthly - Tuesday</t>
        </is>
      </c>
      <c r="J1074" t="inlineStr">
        <is>
          <t>Month+13 Expiry</t>
        </is>
      </c>
      <c r="K1074" s="25" t="n">
        <v>5293</v>
      </c>
      <c r="L1074" s="26" t="n">
        <v>10.861</v>
      </c>
      <c r="M1074" s="26" t="n">
        <v>0.3861</v>
      </c>
    </row>
    <row r="1075" ht="16" customHeight="1">
      <c r="A1075" t="inlineStr">
        <is>
          <t>26-Nov-2025</t>
        </is>
      </c>
      <c r="B1075" t="inlineStr">
        <is>
          <t>Wednesday</t>
        </is>
      </c>
      <c r="C1075" t="inlineStr">
        <is>
          <t>Week4-Nov-2025</t>
        </is>
      </c>
      <c r="D1075" s="78" t="n">
        <v>45962</v>
      </c>
      <c r="E1075" t="inlineStr">
        <is>
          <t>Q3FY26</t>
        </is>
      </c>
      <c r="F1075" t="inlineStr">
        <is>
          <t>29-Jun-2027</t>
        </is>
      </c>
      <c r="G1075" t="inlineStr">
        <is>
          <t>Tuesday</t>
        </is>
      </c>
      <c r="H1075" t="inlineStr">
        <is>
          <t>Monthly - Tuesday</t>
        </is>
      </c>
      <c r="I1075" t="inlineStr">
        <is>
          <t>Monthly - Tuesday</t>
        </is>
      </c>
      <c r="J1075" t="inlineStr">
        <is>
          <t>Month+19 Expiry</t>
        </is>
      </c>
      <c r="K1075" s="25" t="n">
        <v>1</v>
      </c>
      <c r="L1075" s="26" t="n">
        <v>0.002</v>
      </c>
      <c r="M1075" s="26" t="n">
        <v>0.0002</v>
      </c>
    </row>
    <row r="1076" ht="16" customHeight="1">
      <c r="A1076" t="inlineStr">
        <is>
          <t>26-Nov-2025</t>
        </is>
      </c>
      <c r="B1076" t="inlineStr">
        <is>
          <t>Wednesday</t>
        </is>
      </c>
      <c r="C1076" t="inlineStr">
        <is>
          <t>Week4-Nov-2025</t>
        </is>
      </c>
      <c r="D1076" s="78" t="n">
        <v>45962</v>
      </c>
      <c r="E1076" t="inlineStr">
        <is>
          <t>Q3FY26</t>
        </is>
      </c>
      <c r="F1076" t="inlineStr">
        <is>
          <t>28-Dec-2027</t>
        </is>
      </c>
      <c r="G1076" t="inlineStr">
        <is>
          <t>Tuesday</t>
        </is>
      </c>
      <c r="H1076" t="inlineStr">
        <is>
          <t>Monthly - Tuesday</t>
        </is>
      </c>
      <c r="I1076" t="inlineStr">
        <is>
          <t>Monthly - Tuesday</t>
        </is>
      </c>
      <c r="J1076" t="inlineStr">
        <is>
          <t>Month+25 Expiry</t>
        </is>
      </c>
      <c r="K1076" s="25" t="n">
        <v>12</v>
      </c>
      <c r="L1076" s="26" t="n">
        <v>0.0236</v>
      </c>
      <c r="M1076" s="26" t="n">
        <v>0.0007</v>
      </c>
    </row>
    <row r="1077" ht="16" customHeight="1">
      <c r="A1077" t="inlineStr">
        <is>
          <t>26-Nov-2025</t>
        </is>
      </c>
      <c r="B1077" t="inlineStr">
        <is>
          <t>Wednesday</t>
        </is>
      </c>
      <c r="C1077" t="inlineStr">
        <is>
          <t>Week4-Nov-2025</t>
        </is>
      </c>
      <c r="D1077" s="78" t="n">
        <v>45962</v>
      </c>
      <c r="E1077" t="inlineStr">
        <is>
          <t>Q3FY26</t>
        </is>
      </c>
      <c r="F1077" t="inlineStr">
        <is>
          <t>27-Jun-2028</t>
        </is>
      </c>
      <c r="G1077" t="inlineStr">
        <is>
          <t>Tuesday</t>
        </is>
      </c>
      <c r="H1077" t="inlineStr">
        <is>
          <t>Monthly - Tuesday</t>
        </is>
      </c>
      <c r="I1077" t="inlineStr">
        <is>
          <t>Monthly - Tuesday</t>
        </is>
      </c>
      <c r="J1077" t="inlineStr">
        <is>
          <t>Month+31 Expiry</t>
        </is>
      </c>
      <c r="K1077" s="25" t="n">
        <v>0</v>
      </c>
      <c r="L1077" s="26" t="n">
        <v>0</v>
      </c>
      <c r="M1077" s="26" t="n">
        <v>0</v>
      </c>
    </row>
    <row r="1078" ht="16" customHeight="1">
      <c r="A1078" t="inlineStr">
        <is>
          <t>26-Nov-2025</t>
        </is>
      </c>
      <c r="B1078" t="inlineStr">
        <is>
          <t>Wednesday</t>
        </is>
      </c>
      <c r="C1078" t="inlineStr">
        <is>
          <t>Week4-Nov-2025</t>
        </is>
      </c>
      <c r="D1078" s="78" t="n">
        <v>45962</v>
      </c>
      <c r="E1078" t="inlineStr">
        <is>
          <t>Q3FY26</t>
        </is>
      </c>
      <c r="F1078" t="inlineStr">
        <is>
          <t>26-Dec-2028</t>
        </is>
      </c>
      <c r="G1078" t="inlineStr">
        <is>
          <t>Tuesday</t>
        </is>
      </c>
      <c r="H1078" t="inlineStr">
        <is>
          <t>Monthly - Tuesday</t>
        </is>
      </c>
      <c r="I1078" t="inlineStr">
        <is>
          <t>Monthly - Tuesday</t>
        </is>
      </c>
      <c r="J1078" t="inlineStr">
        <is>
          <t>Month+37 Expiry</t>
        </is>
      </c>
      <c r="K1078" s="25" t="n">
        <v>0</v>
      </c>
      <c r="L1078" s="26" t="n">
        <v>0</v>
      </c>
      <c r="M1078" s="26" t="n">
        <v>0</v>
      </c>
    </row>
    <row r="1079" ht="16" customHeight="1">
      <c r="A1079" t="inlineStr">
        <is>
          <t>26-Nov-2025</t>
        </is>
      </c>
      <c r="B1079" t="inlineStr">
        <is>
          <t>Wednesday</t>
        </is>
      </c>
      <c r="C1079" t="inlineStr">
        <is>
          <t>Week4-Nov-2025</t>
        </is>
      </c>
      <c r="D1079" s="78" t="n">
        <v>45962</v>
      </c>
      <c r="E1079" t="inlineStr">
        <is>
          <t>Q3FY26</t>
        </is>
      </c>
      <c r="F1079" t="inlineStr">
        <is>
          <t>26-Jun-2029</t>
        </is>
      </c>
      <c r="G1079" t="inlineStr">
        <is>
          <t>Tuesday</t>
        </is>
      </c>
      <c r="H1079" t="inlineStr">
        <is>
          <t>Monthly - Tuesday</t>
        </is>
      </c>
      <c r="I1079" t="inlineStr">
        <is>
          <t>Monthly - Tuesday</t>
        </is>
      </c>
      <c r="J1079" t="inlineStr">
        <is>
          <t>Month+43 Expiry</t>
        </is>
      </c>
      <c r="K1079" s="25" t="n">
        <v>0</v>
      </c>
      <c r="L1079" s="26" t="n">
        <v>0</v>
      </c>
      <c r="M1079" s="26" t="n">
        <v>0</v>
      </c>
    </row>
    <row r="1080" ht="16" customHeight="1">
      <c r="A1080" t="inlineStr">
        <is>
          <t>26-Nov-2025</t>
        </is>
      </c>
      <c r="B1080" t="inlineStr">
        <is>
          <t>Wednesday</t>
        </is>
      </c>
      <c r="C1080" t="inlineStr">
        <is>
          <t>Week4-Nov-2025</t>
        </is>
      </c>
      <c r="D1080" s="78" t="n">
        <v>45962</v>
      </c>
      <c r="E1080" t="inlineStr">
        <is>
          <t>Q3FY26</t>
        </is>
      </c>
      <c r="F1080" t="inlineStr">
        <is>
          <t>24-Dec-2029</t>
        </is>
      </c>
      <c r="G1080" t="inlineStr">
        <is>
          <t>Monday</t>
        </is>
      </c>
      <c r="H1080" t="inlineStr">
        <is>
          <t>Weekly - Monday</t>
        </is>
      </c>
      <c r="I1080" t="inlineStr">
        <is>
          <t>Weekly - Monday</t>
        </is>
      </c>
      <c r="J1080" t="inlineStr">
        <is>
          <t>Month+49 Expiry</t>
        </is>
      </c>
      <c r="K1080" s="25" t="n">
        <v>0</v>
      </c>
      <c r="L1080" s="26" t="n">
        <v>0</v>
      </c>
      <c r="M1080" s="26" t="n">
        <v>0</v>
      </c>
    </row>
    <row r="1081" ht="16" customHeight="1">
      <c r="A1081" t="inlineStr">
        <is>
          <t>26-Nov-2025</t>
        </is>
      </c>
      <c r="B1081" t="inlineStr">
        <is>
          <t>Wednesday</t>
        </is>
      </c>
      <c r="C1081" t="inlineStr">
        <is>
          <t>Week4-Nov-2025</t>
        </is>
      </c>
      <c r="D1081" s="78" t="n">
        <v>45962</v>
      </c>
      <c r="E1081" t="inlineStr">
        <is>
          <t>Q3FY26</t>
        </is>
      </c>
      <c r="F1081" t="inlineStr">
        <is>
          <t>25-Jun-2030</t>
        </is>
      </c>
      <c r="G1081" t="inlineStr">
        <is>
          <t>Tuesday</t>
        </is>
      </c>
      <c r="H1081" t="inlineStr">
        <is>
          <t>Monthly - Tuesday</t>
        </is>
      </c>
      <c r="I1081" t="inlineStr">
        <is>
          <t>Monthly - Tuesday</t>
        </is>
      </c>
      <c r="J1081" t="inlineStr">
        <is>
          <t>Month+55 Expiry</t>
        </is>
      </c>
      <c r="K1081" s="25" t="n">
        <v>0</v>
      </c>
      <c r="L1081" s="26" t="n">
        <v>0</v>
      </c>
      <c r="M1081" s="26" t="n">
        <v>0</v>
      </c>
    </row>
    <row r="1082" ht="16" customHeight="1">
      <c r="A1082" t="inlineStr">
        <is>
          <t>27-Nov-2025</t>
        </is>
      </c>
      <c r="B1082" t="inlineStr">
        <is>
          <t>Thursday</t>
        </is>
      </c>
      <c r="C1082" t="inlineStr">
        <is>
          <t>Week4-Nov-2025</t>
        </is>
      </c>
      <c r="D1082" s="78" t="n">
        <v>45962</v>
      </c>
      <c r="E1082" t="inlineStr">
        <is>
          <t>Q3FY26</t>
        </is>
      </c>
      <c r="F1082" t="inlineStr">
        <is>
          <t>02-Dec-2025</t>
        </is>
      </c>
      <c r="G1082" t="inlineStr">
        <is>
          <t>Tuesday</t>
        </is>
      </c>
      <c r="H1082" t="inlineStr">
        <is>
          <t>Weekly - Tuesday</t>
        </is>
      </c>
      <c r="I1082" t="inlineStr">
        <is>
          <t>Weekly - Tuesday</t>
        </is>
      </c>
      <c r="J1082" t="inlineStr">
        <is>
          <t>Month+1 Expiry</t>
        </is>
      </c>
      <c r="K1082" s="25" t="n">
        <v>55918264</v>
      </c>
      <c r="L1082" s="26" t="n">
        <v>110115.9278</v>
      </c>
      <c r="M1082" s="26" t="n">
        <v>283.195</v>
      </c>
    </row>
    <row r="1083" ht="16" customHeight="1">
      <c r="A1083" t="inlineStr">
        <is>
          <t>27-Nov-2025</t>
        </is>
      </c>
      <c r="B1083" t="inlineStr">
        <is>
          <t>Thursday</t>
        </is>
      </c>
      <c r="C1083" t="inlineStr">
        <is>
          <t>Week4-Nov-2025</t>
        </is>
      </c>
      <c r="D1083" s="78" t="n">
        <v>45962</v>
      </c>
      <c r="E1083" t="inlineStr">
        <is>
          <t>Q3FY26</t>
        </is>
      </c>
      <c r="F1083" t="inlineStr">
        <is>
          <t>09-Dec-2025</t>
        </is>
      </c>
      <c r="G1083" t="inlineStr">
        <is>
          <t>Tuesday</t>
        </is>
      </c>
      <c r="H1083" t="inlineStr">
        <is>
          <t>Weekly - Tuesday</t>
        </is>
      </c>
      <c r="I1083" t="inlineStr">
        <is>
          <t>Weekly - Tuesday</t>
        </is>
      </c>
      <c r="J1083" t="inlineStr">
        <is>
          <t>Month+1 Expiry</t>
        </is>
      </c>
      <c r="K1083" s="25" t="n">
        <v>1797566</v>
      </c>
      <c r="L1083" s="26" t="n">
        <v>3554.0224</v>
      </c>
      <c r="M1083" s="26" t="n">
        <v>12.8794</v>
      </c>
    </row>
    <row r="1084" ht="16" customHeight="1">
      <c r="A1084" t="inlineStr">
        <is>
          <t>27-Nov-2025</t>
        </is>
      </c>
      <c r="B1084" t="inlineStr">
        <is>
          <t>Thursday</t>
        </is>
      </c>
      <c r="C1084" t="inlineStr">
        <is>
          <t>Week4-Nov-2025</t>
        </is>
      </c>
      <c r="D1084" s="78" t="n">
        <v>45962</v>
      </c>
      <c r="E1084" t="inlineStr">
        <is>
          <t>Q3FY26</t>
        </is>
      </c>
      <c r="F1084" t="inlineStr">
        <is>
          <t>16-Dec-2025</t>
        </is>
      </c>
      <c r="G1084" t="inlineStr">
        <is>
          <t>Tuesday</t>
        </is>
      </c>
      <c r="H1084" t="inlineStr">
        <is>
          <t>Weekly - Tuesday</t>
        </is>
      </c>
      <c r="I1084" t="inlineStr">
        <is>
          <t>Weekly - Tuesday</t>
        </is>
      </c>
      <c r="J1084" t="inlineStr">
        <is>
          <t>Month+1 Expiry</t>
        </is>
      </c>
      <c r="K1084" s="25" t="n">
        <v>103668</v>
      </c>
      <c r="L1084" s="26" t="n">
        <v>205.6188</v>
      </c>
      <c r="M1084" s="26" t="n">
        <v>1.0666</v>
      </c>
    </row>
    <row r="1085" ht="16" customHeight="1">
      <c r="A1085" t="inlineStr">
        <is>
          <t>27-Nov-2025</t>
        </is>
      </c>
      <c r="B1085" t="inlineStr">
        <is>
          <t>Thursday</t>
        </is>
      </c>
      <c r="C1085" t="inlineStr">
        <is>
          <t>Week4-Nov-2025</t>
        </is>
      </c>
      <c r="D1085" s="78" t="n">
        <v>45962</v>
      </c>
      <c r="E1085" t="inlineStr">
        <is>
          <t>Q3FY26</t>
        </is>
      </c>
      <c r="F1085" t="inlineStr">
        <is>
          <t>23-Dec-2025</t>
        </is>
      </c>
      <c r="G1085" t="inlineStr">
        <is>
          <t>Tuesday</t>
        </is>
      </c>
      <c r="H1085" t="inlineStr">
        <is>
          <t>Weekly - Tuesday</t>
        </is>
      </c>
      <c r="I1085" t="inlineStr">
        <is>
          <t>Weekly - Tuesday</t>
        </is>
      </c>
      <c r="J1085" t="inlineStr">
        <is>
          <t>Month+1 Expiry</t>
        </is>
      </c>
      <c r="K1085" s="25" t="n">
        <v>22212</v>
      </c>
      <c r="L1085" s="26" t="n">
        <v>44.1292</v>
      </c>
      <c r="M1085" s="26" t="n">
        <v>0.2938</v>
      </c>
    </row>
    <row r="1086" ht="16" customHeight="1">
      <c r="A1086" t="inlineStr">
        <is>
          <t>27-Nov-2025</t>
        </is>
      </c>
      <c r="B1086" t="inlineStr">
        <is>
          <t>Thursday</t>
        </is>
      </c>
      <c r="C1086" t="inlineStr">
        <is>
          <t>Week4-Nov-2025</t>
        </is>
      </c>
      <c r="D1086" s="78" t="n">
        <v>45962</v>
      </c>
      <c r="E1086" t="inlineStr">
        <is>
          <t>Q3FY26</t>
        </is>
      </c>
      <c r="F1086" t="inlineStr">
        <is>
          <t>30-Dec-2025</t>
        </is>
      </c>
      <c r="G1086" t="inlineStr">
        <is>
          <t>Tuesday</t>
        </is>
      </c>
      <c r="H1086" t="inlineStr">
        <is>
          <t>Monthly - Tuesday</t>
        </is>
      </c>
      <c r="I1086" t="inlineStr">
        <is>
          <t>Monthly - Tuesday</t>
        </is>
      </c>
      <c r="J1086" t="inlineStr">
        <is>
          <t>Month+1 Expiry</t>
        </is>
      </c>
      <c r="K1086" s="25" t="n">
        <v>1252510</v>
      </c>
      <c r="L1086" s="26" t="n">
        <v>2466.6653</v>
      </c>
      <c r="M1086" s="26" t="n">
        <v>17.5674</v>
      </c>
    </row>
    <row r="1087" ht="16" customHeight="1">
      <c r="A1087" t="inlineStr">
        <is>
          <t>27-Nov-2025</t>
        </is>
      </c>
      <c r="B1087" t="inlineStr">
        <is>
          <t>Thursday</t>
        </is>
      </c>
      <c r="C1087" t="inlineStr">
        <is>
          <t>Week4-Nov-2025</t>
        </is>
      </c>
      <c r="D1087" s="78" t="n">
        <v>45962</v>
      </c>
      <c r="E1087" t="inlineStr">
        <is>
          <t>Q3FY26</t>
        </is>
      </c>
      <c r="F1087" t="inlineStr">
        <is>
          <t>27-Jan-2026</t>
        </is>
      </c>
      <c r="G1087" t="inlineStr">
        <is>
          <t>Tuesday</t>
        </is>
      </c>
      <c r="H1087" t="inlineStr">
        <is>
          <t>Monthly - Tuesday</t>
        </is>
      </c>
      <c r="I1087" t="inlineStr">
        <is>
          <t>Monthly - Tuesday</t>
        </is>
      </c>
      <c r="J1087" t="inlineStr">
        <is>
          <t>Month+2 Expiry</t>
        </is>
      </c>
      <c r="K1087" s="25" t="n">
        <v>107355</v>
      </c>
      <c r="L1087" s="26" t="n">
        <v>183.7707</v>
      </c>
      <c r="M1087" s="26" t="n">
        <v>1.7759</v>
      </c>
    </row>
    <row r="1088" ht="16" customHeight="1">
      <c r="A1088" t="inlineStr">
        <is>
          <t>27-Nov-2025</t>
        </is>
      </c>
      <c r="B1088" t="inlineStr">
        <is>
          <t>Thursday</t>
        </is>
      </c>
      <c r="C1088" t="inlineStr">
        <is>
          <t>Week4-Nov-2025</t>
        </is>
      </c>
      <c r="D1088" s="78" t="n">
        <v>45962</v>
      </c>
      <c r="E1088" t="inlineStr">
        <is>
          <t>Q3FY26</t>
        </is>
      </c>
      <c r="F1088" t="inlineStr">
        <is>
          <t>24-Feb-2026</t>
        </is>
      </c>
      <c r="G1088" t="inlineStr">
        <is>
          <t>Tuesday</t>
        </is>
      </c>
      <c r="H1088" t="inlineStr">
        <is>
          <t>Monthly - Tuesday</t>
        </is>
      </c>
      <c r="I1088" t="inlineStr">
        <is>
          <t>Monthly - Tuesday</t>
        </is>
      </c>
      <c r="J1088" t="inlineStr">
        <is>
          <t>Month+3 Expiry</t>
        </is>
      </c>
      <c r="K1088" s="25" t="n">
        <v>13533</v>
      </c>
      <c r="L1088" s="26" t="n">
        <v>22.8631</v>
      </c>
      <c r="M1088" s="26" t="n">
        <v>0.2108</v>
      </c>
    </row>
    <row r="1089" ht="16" customHeight="1">
      <c r="A1089" t="inlineStr">
        <is>
          <t>27-Nov-2025</t>
        </is>
      </c>
      <c r="B1089" t="inlineStr">
        <is>
          <t>Thursday</t>
        </is>
      </c>
      <c r="C1089" t="inlineStr">
        <is>
          <t>Week4-Nov-2025</t>
        </is>
      </c>
      <c r="D1089" s="78" t="n">
        <v>45962</v>
      </c>
      <c r="E1089" t="inlineStr">
        <is>
          <t>Q3FY26</t>
        </is>
      </c>
      <c r="F1089" t="inlineStr">
        <is>
          <t>31-Mar-2026</t>
        </is>
      </c>
      <c r="G1089" t="inlineStr">
        <is>
          <t>Tuesday</t>
        </is>
      </c>
      <c r="H1089" t="inlineStr">
        <is>
          <t>Monthly - Tuesday</t>
        </is>
      </c>
      <c r="I1089" t="inlineStr">
        <is>
          <t>Monthly - Tuesday</t>
        </is>
      </c>
      <c r="J1089" t="inlineStr">
        <is>
          <t>Month+4 Expiry</t>
        </is>
      </c>
      <c r="K1089" s="25" t="n">
        <v>33193</v>
      </c>
      <c r="L1089" s="26" t="n">
        <v>65.0859</v>
      </c>
      <c r="M1089" s="26" t="n">
        <v>0.9833</v>
      </c>
    </row>
    <row r="1090" ht="16" customHeight="1">
      <c r="A1090" t="inlineStr">
        <is>
          <t>27-Nov-2025</t>
        </is>
      </c>
      <c r="B1090" t="inlineStr">
        <is>
          <t>Thursday</t>
        </is>
      </c>
      <c r="C1090" t="inlineStr">
        <is>
          <t>Week4-Nov-2025</t>
        </is>
      </c>
      <c r="D1090" s="78" t="n">
        <v>45962</v>
      </c>
      <c r="E1090" t="inlineStr">
        <is>
          <t>Q3FY26</t>
        </is>
      </c>
      <c r="F1090" t="inlineStr">
        <is>
          <t>30-Jun-2026</t>
        </is>
      </c>
      <c r="G1090" t="inlineStr">
        <is>
          <t>Tuesday</t>
        </is>
      </c>
      <c r="H1090" t="inlineStr">
        <is>
          <t>Monthly - Tuesday</t>
        </is>
      </c>
      <c r="I1090" t="inlineStr">
        <is>
          <t>Monthly - Tuesday</t>
        </is>
      </c>
      <c r="J1090" t="inlineStr">
        <is>
          <t>Month+7 Expiry</t>
        </is>
      </c>
      <c r="K1090" s="25" t="n">
        <v>9984</v>
      </c>
      <c r="L1090" s="26" t="n">
        <v>19.754</v>
      </c>
      <c r="M1090" s="26" t="n">
        <v>0.4086</v>
      </c>
    </row>
    <row r="1091" ht="16" customHeight="1">
      <c r="A1091" t="inlineStr">
        <is>
          <t>27-Nov-2025</t>
        </is>
      </c>
      <c r="B1091" t="inlineStr">
        <is>
          <t>Thursday</t>
        </is>
      </c>
      <c r="C1091" t="inlineStr">
        <is>
          <t>Week4-Nov-2025</t>
        </is>
      </c>
      <c r="D1091" s="78" t="n">
        <v>45962</v>
      </c>
      <c r="E1091" t="inlineStr">
        <is>
          <t>Q3FY26</t>
        </is>
      </c>
      <c r="F1091" t="inlineStr">
        <is>
          <t>29-Sep-2026</t>
        </is>
      </c>
      <c r="G1091" t="inlineStr">
        <is>
          <t>Tuesday</t>
        </is>
      </c>
      <c r="H1091" t="inlineStr">
        <is>
          <t>Monthly - Tuesday</t>
        </is>
      </c>
      <c r="I1091" t="inlineStr">
        <is>
          <t>Monthly - Tuesday</t>
        </is>
      </c>
      <c r="J1091" t="inlineStr">
        <is>
          <t>Month+10 Expiry</t>
        </is>
      </c>
      <c r="K1091" s="25" t="n">
        <v>64</v>
      </c>
      <c r="L1091" s="26" t="n">
        <v>0.1234</v>
      </c>
      <c r="M1091" s="26" t="n">
        <v>0.0021</v>
      </c>
    </row>
    <row r="1092" ht="16" customHeight="1">
      <c r="A1092" t="inlineStr">
        <is>
          <t>27-Nov-2025</t>
        </is>
      </c>
      <c r="B1092" t="inlineStr">
        <is>
          <t>Thursday</t>
        </is>
      </c>
      <c r="C1092" t="inlineStr">
        <is>
          <t>Week4-Nov-2025</t>
        </is>
      </c>
      <c r="D1092" s="78" t="n">
        <v>45962</v>
      </c>
      <c r="E1092" t="inlineStr">
        <is>
          <t>Q3FY26</t>
        </is>
      </c>
      <c r="F1092" t="inlineStr">
        <is>
          <t>29-Dec-2026</t>
        </is>
      </c>
      <c r="G1092" t="inlineStr">
        <is>
          <t>Tuesday</t>
        </is>
      </c>
      <c r="H1092" t="inlineStr">
        <is>
          <t>Monthly - Tuesday</t>
        </is>
      </c>
      <c r="I1092" t="inlineStr">
        <is>
          <t>Monthly - Tuesday</t>
        </is>
      </c>
      <c r="J1092" t="inlineStr">
        <is>
          <t>Month+13 Expiry</t>
        </is>
      </c>
      <c r="K1092" s="25" t="n">
        <v>4620</v>
      </c>
      <c r="L1092" s="26" t="n">
        <v>9.251899999999999</v>
      </c>
      <c r="M1092" s="26" t="n">
        <v>0.294</v>
      </c>
    </row>
    <row r="1093" ht="16" customHeight="1">
      <c r="A1093" t="inlineStr">
        <is>
          <t>27-Nov-2025</t>
        </is>
      </c>
      <c r="B1093" t="inlineStr">
        <is>
          <t>Thursday</t>
        </is>
      </c>
      <c r="C1093" t="inlineStr">
        <is>
          <t>Week4-Nov-2025</t>
        </is>
      </c>
      <c r="D1093" s="78" t="n">
        <v>45962</v>
      </c>
      <c r="E1093" t="inlineStr">
        <is>
          <t>Q3FY26</t>
        </is>
      </c>
      <c r="F1093" t="inlineStr">
        <is>
          <t>29-Jun-2027</t>
        </is>
      </c>
      <c r="G1093" t="inlineStr">
        <is>
          <t>Tuesday</t>
        </is>
      </c>
      <c r="H1093" t="inlineStr">
        <is>
          <t>Monthly - Tuesday</t>
        </is>
      </c>
      <c r="I1093" t="inlineStr">
        <is>
          <t>Monthly - Tuesday</t>
        </is>
      </c>
      <c r="J1093" t="inlineStr">
        <is>
          <t>Month+19 Expiry</t>
        </is>
      </c>
      <c r="K1093" s="25" t="n">
        <v>0</v>
      </c>
      <c r="L1093" s="26" t="n">
        <v>0</v>
      </c>
      <c r="M1093" s="26" t="n">
        <v>0</v>
      </c>
    </row>
    <row r="1094" ht="16" customHeight="1">
      <c r="A1094" t="inlineStr">
        <is>
          <t>27-Nov-2025</t>
        </is>
      </c>
      <c r="B1094" t="inlineStr">
        <is>
          <t>Thursday</t>
        </is>
      </c>
      <c r="C1094" t="inlineStr">
        <is>
          <t>Week4-Nov-2025</t>
        </is>
      </c>
      <c r="D1094" s="78" t="n">
        <v>45962</v>
      </c>
      <c r="E1094" t="inlineStr">
        <is>
          <t>Q3FY26</t>
        </is>
      </c>
      <c r="F1094" t="inlineStr">
        <is>
          <t>28-Dec-2027</t>
        </is>
      </c>
      <c r="G1094" t="inlineStr">
        <is>
          <t>Tuesday</t>
        </is>
      </c>
      <c r="H1094" t="inlineStr">
        <is>
          <t>Monthly - Tuesday</t>
        </is>
      </c>
      <c r="I1094" t="inlineStr">
        <is>
          <t>Monthly - Tuesday</t>
        </is>
      </c>
      <c r="J1094" t="inlineStr">
        <is>
          <t>Month+25 Expiry</t>
        </is>
      </c>
      <c r="K1094" s="25" t="n">
        <v>9</v>
      </c>
      <c r="L1094" s="26" t="n">
        <v>0.0177</v>
      </c>
      <c r="M1094" s="26" t="n">
        <v>0.0005</v>
      </c>
    </row>
    <row r="1095" ht="16" customHeight="1">
      <c r="A1095" t="inlineStr">
        <is>
          <t>27-Nov-2025</t>
        </is>
      </c>
      <c r="B1095" t="inlineStr">
        <is>
          <t>Thursday</t>
        </is>
      </c>
      <c r="C1095" t="inlineStr">
        <is>
          <t>Week4-Nov-2025</t>
        </is>
      </c>
      <c r="D1095" s="78" t="n">
        <v>45962</v>
      </c>
      <c r="E1095" t="inlineStr">
        <is>
          <t>Q3FY26</t>
        </is>
      </c>
      <c r="F1095" t="inlineStr">
        <is>
          <t>27-Jun-2028</t>
        </is>
      </c>
      <c r="G1095" t="inlineStr">
        <is>
          <t>Tuesday</t>
        </is>
      </c>
      <c r="H1095" t="inlineStr">
        <is>
          <t>Monthly - Tuesday</t>
        </is>
      </c>
      <c r="I1095" t="inlineStr">
        <is>
          <t>Monthly - Tuesday</t>
        </is>
      </c>
      <c r="J1095" t="inlineStr">
        <is>
          <t>Month+31 Expiry</t>
        </is>
      </c>
      <c r="K1095" s="25" t="n">
        <v>0</v>
      </c>
      <c r="L1095" s="26" t="n">
        <v>0</v>
      </c>
      <c r="M1095" s="26" t="n">
        <v>0</v>
      </c>
    </row>
    <row r="1096" ht="16" customHeight="1">
      <c r="A1096" t="inlineStr">
        <is>
          <t>27-Nov-2025</t>
        </is>
      </c>
      <c r="B1096" t="inlineStr">
        <is>
          <t>Thursday</t>
        </is>
      </c>
      <c r="C1096" t="inlineStr">
        <is>
          <t>Week4-Nov-2025</t>
        </is>
      </c>
      <c r="D1096" s="78" t="n">
        <v>45962</v>
      </c>
      <c r="E1096" t="inlineStr">
        <is>
          <t>Q3FY26</t>
        </is>
      </c>
      <c r="F1096" t="inlineStr">
        <is>
          <t>26-Dec-2028</t>
        </is>
      </c>
      <c r="G1096" t="inlineStr">
        <is>
          <t>Tuesday</t>
        </is>
      </c>
      <c r="H1096" t="inlineStr">
        <is>
          <t>Monthly - Tuesday</t>
        </is>
      </c>
      <c r="I1096" t="inlineStr">
        <is>
          <t>Monthly - Tuesday</t>
        </is>
      </c>
      <c r="J1096" t="inlineStr">
        <is>
          <t>Month+37 Expiry</t>
        </is>
      </c>
      <c r="K1096" s="25" t="n">
        <v>5</v>
      </c>
      <c r="L1096" s="26" t="n">
        <v>0.0101</v>
      </c>
      <c r="M1096" s="26" t="n">
        <v>0.0003</v>
      </c>
    </row>
    <row r="1097" ht="16" customHeight="1">
      <c r="A1097" t="inlineStr">
        <is>
          <t>27-Nov-2025</t>
        </is>
      </c>
      <c r="B1097" t="inlineStr">
        <is>
          <t>Thursday</t>
        </is>
      </c>
      <c r="C1097" t="inlineStr">
        <is>
          <t>Week4-Nov-2025</t>
        </is>
      </c>
      <c r="D1097" s="78" t="n">
        <v>45962</v>
      </c>
      <c r="E1097" t="inlineStr">
        <is>
          <t>Q3FY26</t>
        </is>
      </c>
      <c r="F1097" t="inlineStr">
        <is>
          <t>26-Jun-2029</t>
        </is>
      </c>
      <c r="G1097" t="inlineStr">
        <is>
          <t>Tuesday</t>
        </is>
      </c>
      <c r="H1097" t="inlineStr">
        <is>
          <t>Monthly - Tuesday</t>
        </is>
      </c>
      <c r="I1097" t="inlineStr">
        <is>
          <t>Monthly - Tuesday</t>
        </is>
      </c>
      <c r="J1097" t="inlineStr">
        <is>
          <t>Month+43 Expiry</t>
        </is>
      </c>
      <c r="K1097" s="25" t="n">
        <v>0</v>
      </c>
      <c r="L1097" s="26" t="n">
        <v>0</v>
      </c>
      <c r="M1097" s="26" t="n">
        <v>0</v>
      </c>
    </row>
    <row r="1098" ht="16" customHeight="1">
      <c r="A1098" t="inlineStr">
        <is>
          <t>27-Nov-2025</t>
        </is>
      </c>
      <c r="B1098" t="inlineStr">
        <is>
          <t>Thursday</t>
        </is>
      </c>
      <c r="C1098" t="inlineStr">
        <is>
          <t>Week4-Nov-2025</t>
        </is>
      </c>
      <c r="D1098" s="78" t="n">
        <v>45962</v>
      </c>
      <c r="E1098" t="inlineStr">
        <is>
          <t>Q3FY26</t>
        </is>
      </c>
      <c r="F1098" t="inlineStr">
        <is>
          <t>24-Dec-2029</t>
        </is>
      </c>
      <c r="G1098" t="inlineStr">
        <is>
          <t>Monday</t>
        </is>
      </c>
      <c r="H1098" t="inlineStr">
        <is>
          <t>Weekly - Monday</t>
        </is>
      </c>
      <c r="I1098" t="inlineStr">
        <is>
          <t>Weekly - Monday</t>
        </is>
      </c>
      <c r="J1098" t="inlineStr">
        <is>
          <t>Month+49 Expiry</t>
        </is>
      </c>
      <c r="K1098" s="25" t="n">
        <v>0</v>
      </c>
      <c r="L1098" s="26" t="n">
        <v>0</v>
      </c>
      <c r="M1098" s="26" t="n">
        <v>0</v>
      </c>
    </row>
    <row r="1099" ht="16" customHeight="1">
      <c r="A1099" t="inlineStr">
        <is>
          <t>27-Nov-2025</t>
        </is>
      </c>
      <c r="B1099" t="inlineStr">
        <is>
          <t>Thursday</t>
        </is>
      </c>
      <c r="C1099" t="inlineStr">
        <is>
          <t>Week4-Nov-2025</t>
        </is>
      </c>
      <c r="D1099" s="78" t="n">
        <v>45962</v>
      </c>
      <c r="E1099" t="inlineStr">
        <is>
          <t>Q3FY26</t>
        </is>
      </c>
      <c r="F1099" t="inlineStr">
        <is>
          <t>25-Jun-2030</t>
        </is>
      </c>
      <c r="G1099" t="inlineStr">
        <is>
          <t>Tuesday</t>
        </is>
      </c>
      <c r="H1099" t="inlineStr">
        <is>
          <t>Monthly - Tuesday</t>
        </is>
      </c>
      <c r="I1099" t="inlineStr">
        <is>
          <t>Monthly - Tuesday</t>
        </is>
      </c>
      <c r="J1099" t="inlineStr">
        <is>
          <t>Month+55 Expiry</t>
        </is>
      </c>
      <c r="K1099" s="25" t="n">
        <v>0</v>
      </c>
      <c r="L1099" s="26" t="n">
        <v>0</v>
      </c>
      <c r="M1099" s="26" t="n">
        <v>0</v>
      </c>
    </row>
    <row r="1100" ht="16" customHeight="1">
      <c r="A1100" t="inlineStr">
        <is>
          <t>28-Nov-2025</t>
        </is>
      </c>
      <c r="B1100" t="inlineStr">
        <is>
          <t>Friday</t>
        </is>
      </c>
      <c r="C1100" t="inlineStr">
        <is>
          <t>Week4-Nov-2025</t>
        </is>
      </c>
      <c r="D1100" s="78" t="n">
        <v>45962</v>
      </c>
      <c r="E1100" t="inlineStr">
        <is>
          <t>Q3FY26</t>
        </is>
      </c>
      <c r="F1100" t="inlineStr">
        <is>
          <t>02-Dec-2025</t>
        </is>
      </c>
      <c r="G1100" t="inlineStr">
        <is>
          <t>Tuesday</t>
        </is>
      </c>
      <c r="H1100" t="inlineStr">
        <is>
          <t>Weekly - Tuesday</t>
        </is>
      </c>
      <c r="I1100" t="inlineStr">
        <is>
          <t>Weekly - Tuesday</t>
        </is>
      </c>
      <c r="J1100" t="inlineStr">
        <is>
          <t>Month+1 Expiry</t>
        </is>
      </c>
      <c r="K1100" s="25" t="n">
        <v>77102046</v>
      </c>
      <c r="L1100" s="26" t="n">
        <v>151815.4009</v>
      </c>
      <c r="M1100" s="26" t="n">
        <v>350.5293</v>
      </c>
    </row>
    <row r="1101" ht="16" customHeight="1">
      <c r="A1101" t="inlineStr">
        <is>
          <t>28-Nov-2025</t>
        </is>
      </c>
      <c r="B1101" t="inlineStr">
        <is>
          <t>Friday</t>
        </is>
      </c>
      <c r="C1101" t="inlineStr">
        <is>
          <t>Week4-Nov-2025</t>
        </is>
      </c>
      <c r="D1101" s="78" t="n">
        <v>45962</v>
      </c>
      <c r="E1101" t="inlineStr">
        <is>
          <t>Q3FY26</t>
        </is>
      </c>
      <c r="F1101" t="inlineStr">
        <is>
          <t>09-Dec-2025</t>
        </is>
      </c>
      <c r="G1101" t="inlineStr">
        <is>
          <t>Tuesday</t>
        </is>
      </c>
      <c r="H1101" t="inlineStr">
        <is>
          <t>Weekly - Tuesday</t>
        </is>
      </c>
      <c r="I1101" t="inlineStr">
        <is>
          <t>Weekly - Tuesday</t>
        </is>
      </c>
      <c r="J1101" t="inlineStr">
        <is>
          <t>Month+1 Expiry</t>
        </is>
      </c>
      <c r="K1101" s="25" t="n">
        <v>1979306</v>
      </c>
      <c r="L1101" s="26" t="n">
        <v>3909.3102</v>
      </c>
      <c r="M1101" s="26" t="n">
        <v>12.4406</v>
      </c>
    </row>
    <row r="1102" ht="16" customHeight="1">
      <c r="A1102" t="inlineStr">
        <is>
          <t>28-Nov-2025</t>
        </is>
      </c>
      <c r="B1102" t="inlineStr">
        <is>
          <t>Friday</t>
        </is>
      </c>
      <c r="C1102" t="inlineStr">
        <is>
          <t>Week4-Nov-2025</t>
        </is>
      </c>
      <c r="D1102" s="78" t="n">
        <v>45962</v>
      </c>
      <c r="E1102" t="inlineStr">
        <is>
          <t>Q3FY26</t>
        </is>
      </c>
      <c r="F1102" t="inlineStr">
        <is>
          <t>16-Dec-2025</t>
        </is>
      </c>
      <c r="G1102" t="inlineStr">
        <is>
          <t>Tuesday</t>
        </is>
      </c>
      <c r="H1102" t="inlineStr">
        <is>
          <t>Weekly - Tuesday</t>
        </is>
      </c>
      <c r="I1102" t="inlineStr">
        <is>
          <t>Weekly - Tuesday</t>
        </is>
      </c>
      <c r="J1102" t="inlineStr">
        <is>
          <t>Month+1 Expiry</t>
        </is>
      </c>
      <c r="K1102" s="25" t="n">
        <v>116529</v>
      </c>
      <c r="L1102" s="26" t="n">
        <v>230.6631</v>
      </c>
      <c r="M1102" s="26" t="n">
        <v>1.0713</v>
      </c>
    </row>
    <row r="1103" ht="16" customHeight="1">
      <c r="A1103" t="inlineStr">
        <is>
          <t>28-Nov-2025</t>
        </is>
      </c>
      <c r="B1103" t="inlineStr">
        <is>
          <t>Friday</t>
        </is>
      </c>
      <c r="C1103" t="inlineStr">
        <is>
          <t>Week4-Nov-2025</t>
        </is>
      </c>
      <c r="D1103" s="78" t="n">
        <v>45962</v>
      </c>
      <c r="E1103" t="inlineStr">
        <is>
          <t>Q3FY26</t>
        </is>
      </c>
      <c r="F1103" t="inlineStr">
        <is>
          <t>23-Dec-2025</t>
        </is>
      </c>
      <c r="G1103" t="inlineStr">
        <is>
          <t>Tuesday</t>
        </is>
      </c>
      <c r="H1103" t="inlineStr">
        <is>
          <t>Weekly - Tuesday</t>
        </is>
      </c>
      <c r="I1103" t="inlineStr">
        <is>
          <t>Weekly - Tuesday</t>
        </is>
      </c>
      <c r="J1103" t="inlineStr">
        <is>
          <t>Month+1 Expiry</t>
        </is>
      </c>
      <c r="K1103" s="25" t="n">
        <v>17610</v>
      </c>
      <c r="L1103" s="26" t="n">
        <v>34.7892</v>
      </c>
      <c r="M1103" s="26" t="n">
        <v>0.1511</v>
      </c>
    </row>
    <row r="1104" ht="16" customHeight="1">
      <c r="A1104" t="inlineStr">
        <is>
          <t>28-Nov-2025</t>
        </is>
      </c>
      <c r="B1104" t="inlineStr">
        <is>
          <t>Friday</t>
        </is>
      </c>
      <c r="C1104" t="inlineStr">
        <is>
          <t>Week4-Nov-2025</t>
        </is>
      </c>
      <c r="D1104" s="78" t="n">
        <v>45962</v>
      </c>
      <c r="E1104" t="inlineStr">
        <is>
          <t>Q3FY26</t>
        </is>
      </c>
      <c r="F1104" t="inlineStr">
        <is>
          <t>30-Dec-2025</t>
        </is>
      </c>
      <c r="G1104" t="inlineStr">
        <is>
          <t>Tuesday</t>
        </is>
      </c>
      <c r="H1104" t="inlineStr">
        <is>
          <t>Monthly - Tuesday</t>
        </is>
      </c>
      <c r="I1104" t="inlineStr">
        <is>
          <t>Monthly - Tuesday</t>
        </is>
      </c>
      <c r="J1104" t="inlineStr">
        <is>
          <t>Month+1 Expiry</t>
        </is>
      </c>
      <c r="K1104" s="25" t="n">
        <v>835820</v>
      </c>
      <c r="L1104" s="26" t="n">
        <v>1636.1187</v>
      </c>
      <c r="M1104" s="26" t="n">
        <v>10.6827</v>
      </c>
    </row>
    <row r="1105" ht="16" customHeight="1">
      <c r="A1105" t="inlineStr">
        <is>
          <t>28-Nov-2025</t>
        </is>
      </c>
      <c r="B1105" t="inlineStr">
        <is>
          <t>Friday</t>
        </is>
      </c>
      <c r="C1105" t="inlineStr">
        <is>
          <t>Week4-Nov-2025</t>
        </is>
      </c>
      <c r="D1105" s="78" t="n">
        <v>45962</v>
      </c>
      <c r="E1105" t="inlineStr">
        <is>
          <t>Q3FY26</t>
        </is>
      </c>
      <c r="F1105" t="inlineStr">
        <is>
          <t>27-Jan-2026</t>
        </is>
      </c>
      <c r="G1105" t="inlineStr">
        <is>
          <t>Tuesday</t>
        </is>
      </c>
      <c r="H1105" t="inlineStr">
        <is>
          <t>Monthly - Tuesday</t>
        </is>
      </c>
      <c r="I1105" t="inlineStr">
        <is>
          <t>Monthly - Tuesday</t>
        </is>
      </c>
      <c r="J1105" t="inlineStr">
        <is>
          <t>Month+2 Expiry</t>
        </is>
      </c>
      <c r="K1105" s="25" t="n">
        <v>59376</v>
      </c>
      <c r="L1105" s="26" t="n">
        <v>101.6688</v>
      </c>
      <c r="M1105" s="26" t="n">
        <v>0.9739</v>
      </c>
    </row>
    <row r="1106" ht="16" customHeight="1">
      <c r="A1106" t="inlineStr">
        <is>
          <t>28-Nov-2025</t>
        </is>
      </c>
      <c r="B1106" t="inlineStr">
        <is>
          <t>Friday</t>
        </is>
      </c>
      <c r="C1106" t="inlineStr">
        <is>
          <t>Week4-Nov-2025</t>
        </is>
      </c>
      <c r="D1106" s="78" t="n">
        <v>45962</v>
      </c>
      <c r="E1106" t="inlineStr">
        <is>
          <t>Q3FY26</t>
        </is>
      </c>
      <c r="F1106" t="inlineStr">
        <is>
          <t>24-Feb-2026</t>
        </is>
      </c>
      <c r="G1106" t="inlineStr">
        <is>
          <t>Tuesday</t>
        </is>
      </c>
      <c r="H1106" t="inlineStr">
        <is>
          <t>Monthly - Tuesday</t>
        </is>
      </c>
      <c r="I1106" t="inlineStr">
        <is>
          <t>Monthly - Tuesday</t>
        </is>
      </c>
      <c r="J1106" t="inlineStr">
        <is>
          <t>Month+3 Expiry</t>
        </is>
      </c>
      <c r="K1106" s="25" t="n">
        <v>9533</v>
      </c>
      <c r="L1106" s="26" t="n">
        <v>16.1955</v>
      </c>
      <c r="M1106" s="26" t="n">
        <v>0.1547</v>
      </c>
    </row>
    <row r="1107" ht="16" customHeight="1">
      <c r="A1107" t="inlineStr">
        <is>
          <t>28-Nov-2025</t>
        </is>
      </c>
      <c r="B1107" t="inlineStr">
        <is>
          <t>Friday</t>
        </is>
      </c>
      <c r="C1107" t="inlineStr">
        <is>
          <t>Week4-Nov-2025</t>
        </is>
      </c>
      <c r="D1107" s="78" t="n">
        <v>45962</v>
      </c>
      <c r="E1107" t="inlineStr">
        <is>
          <t>Q3FY26</t>
        </is>
      </c>
      <c r="F1107" t="inlineStr">
        <is>
          <t>31-Mar-2026</t>
        </is>
      </c>
      <c r="G1107" t="inlineStr">
        <is>
          <t>Tuesday</t>
        </is>
      </c>
      <c r="H1107" t="inlineStr">
        <is>
          <t>Monthly - Tuesday</t>
        </is>
      </c>
      <c r="I1107" t="inlineStr">
        <is>
          <t>Monthly - Tuesday</t>
        </is>
      </c>
      <c r="J1107" t="inlineStr">
        <is>
          <t>Month+4 Expiry</t>
        </is>
      </c>
      <c r="K1107" s="25" t="n">
        <v>18808</v>
      </c>
      <c r="L1107" s="26" t="n">
        <v>37.4649</v>
      </c>
      <c r="M1107" s="26" t="n">
        <v>0.6112</v>
      </c>
    </row>
    <row r="1108" ht="16" customHeight="1">
      <c r="A1108" t="inlineStr">
        <is>
          <t>28-Nov-2025</t>
        </is>
      </c>
      <c r="B1108" t="inlineStr">
        <is>
          <t>Friday</t>
        </is>
      </c>
      <c r="C1108" t="inlineStr">
        <is>
          <t>Week4-Nov-2025</t>
        </is>
      </c>
      <c r="D1108" s="78" t="n">
        <v>45962</v>
      </c>
      <c r="E1108" t="inlineStr">
        <is>
          <t>Q3FY26</t>
        </is>
      </c>
      <c r="F1108" t="inlineStr">
        <is>
          <t>30-Jun-2026</t>
        </is>
      </c>
      <c r="G1108" t="inlineStr">
        <is>
          <t>Tuesday</t>
        </is>
      </c>
      <c r="H1108" t="inlineStr">
        <is>
          <t>Monthly - Tuesday</t>
        </is>
      </c>
      <c r="I1108" t="inlineStr">
        <is>
          <t>Monthly - Tuesday</t>
        </is>
      </c>
      <c r="J1108" t="inlineStr">
        <is>
          <t>Month+7 Expiry</t>
        </is>
      </c>
      <c r="K1108" s="25" t="n">
        <v>10106</v>
      </c>
      <c r="L1108" s="26" t="n">
        <v>19.6716</v>
      </c>
      <c r="M1108" s="26" t="n">
        <v>0.3098</v>
      </c>
    </row>
    <row r="1109" ht="16" customHeight="1">
      <c r="A1109" t="inlineStr">
        <is>
          <t>28-Nov-2025</t>
        </is>
      </c>
      <c r="B1109" t="inlineStr">
        <is>
          <t>Friday</t>
        </is>
      </c>
      <c r="C1109" t="inlineStr">
        <is>
          <t>Week4-Nov-2025</t>
        </is>
      </c>
      <c r="D1109" s="78" t="n">
        <v>45962</v>
      </c>
      <c r="E1109" t="inlineStr">
        <is>
          <t>Q3FY26</t>
        </is>
      </c>
      <c r="F1109" t="inlineStr">
        <is>
          <t>29-Sep-2026</t>
        </is>
      </c>
      <c r="G1109" t="inlineStr">
        <is>
          <t>Tuesday</t>
        </is>
      </c>
      <c r="H1109" t="inlineStr">
        <is>
          <t>Monthly - Tuesday</t>
        </is>
      </c>
      <c r="I1109" t="inlineStr">
        <is>
          <t>Monthly - Tuesday</t>
        </is>
      </c>
      <c r="J1109" t="inlineStr">
        <is>
          <t>Month+10 Expiry</t>
        </is>
      </c>
      <c r="K1109" s="25" t="n">
        <v>54</v>
      </c>
      <c r="L1109" s="26" t="n">
        <v>0.1029</v>
      </c>
      <c r="M1109" s="26" t="n">
        <v>0.0015</v>
      </c>
    </row>
    <row r="1110" ht="16" customHeight="1">
      <c r="A1110" t="inlineStr">
        <is>
          <t>28-Nov-2025</t>
        </is>
      </c>
      <c r="B1110" t="inlineStr">
        <is>
          <t>Friday</t>
        </is>
      </c>
      <c r="C1110" t="inlineStr">
        <is>
          <t>Week4-Nov-2025</t>
        </is>
      </c>
      <c r="D1110" s="78" t="n">
        <v>45962</v>
      </c>
      <c r="E1110" t="inlineStr">
        <is>
          <t>Q3FY26</t>
        </is>
      </c>
      <c r="F1110" t="inlineStr">
        <is>
          <t>29-Dec-2026</t>
        </is>
      </c>
      <c r="G1110" t="inlineStr">
        <is>
          <t>Tuesday</t>
        </is>
      </c>
      <c r="H1110" t="inlineStr">
        <is>
          <t>Monthly - Tuesday</t>
        </is>
      </c>
      <c r="I1110" t="inlineStr">
        <is>
          <t>Monthly - Tuesday</t>
        </is>
      </c>
      <c r="J1110" t="inlineStr">
        <is>
          <t>Month+13 Expiry</t>
        </is>
      </c>
      <c r="K1110" s="25" t="n">
        <v>4893</v>
      </c>
      <c r="L1110" s="26" t="n">
        <v>9.0989</v>
      </c>
      <c r="M1110" s="26" t="n">
        <v>0.1822</v>
      </c>
    </row>
    <row r="1111" ht="16" customHeight="1">
      <c r="A1111" t="inlineStr">
        <is>
          <t>28-Nov-2025</t>
        </is>
      </c>
      <c r="B1111" t="inlineStr">
        <is>
          <t>Friday</t>
        </is>
      </c>
      <c r="C1111" t="inlineStr">
        <is>
          <t>Week4-Nov-2025</t>
        </is>
      </c>
      <c r="D1111" s="78" t="n">
        <v>45962</v>
      </c>
      <c r="E1111" t="inlineStr">
        <is>
          <t>Q3FY26</t>
        </is>
      </c>
      <c r="F1111" t="inlineStr">
        <is>
          <t>29-Jun-2027</t>
        </is>
      </c>
      <c r="G1111" t="inlineStr">
        <is>
          <t>Tuesday</t>
        </is>
      </c>
      <c r="H1111" t="inlineStr">
        <is>
          <t>Monthly - Tuesday</t>
        </is>
      </c>
      <c r="I1111" t="inlineStr">
        <is>
          <t>Monthly - Tuesday</t>
        </is>
      </c>
      <c r="J1111" t="inlineStr">
        <is>
          <t>Month+19 Expiry</t>
        </is>
      </c>
      <c r="K1111" s="25" t="n">
        <v>1</v>
      </c>
      <c r="L1111" s="26" t="n">
        <v>0.0021</v>
      </c>
      <c r="M1111" s="26" t="n">
        <v>0.0003</v>
      </c>
    </row>
    <row r="1112" ht="16" customHeight="1">
      <c r="A1112" t="inlineStr">
        <is>
          <t>28-Nov-2025</t>
        </is>
      </c>
      <c r="B1112" t="inlineStr">
        <is>
          <t>Friday</t>
        </is>
      </c>
      <c r="C1112" t="inlineStr">
        <is>
          <t>Week4-Nov-2025</t>
        </is>
      </c>
      <c r="D1112" s="78" t="n">
        <v>45962</v>
      </c>
      <c r="E1112" t="inlineStr">
        <is>
          <t>Q3FY26</t>
        </is>
      </c>
      <c r="F1112" t="inlineStr">
        <is>
          <t>28-Dec-2027</t>
        </is>
      </c>
      <c r="G1112" t="inlineStr">
        <is>
          <t>Tuesday</t>
        </is>
      </c>
      <c r="H1112" t="inlineStr">
        <is>
          <t>Monthly - Tuesday</t>
        </is>
      </c>
      <c r="I1112" t="inlineStr">
        <is>
          <t>Monthly - Tuesday</t>
        </is>
      </c>
      <c r="J1112" t="inlineStr">
        <is>
          <t>Month+25 Expiry</t>
        </is>
      </c>
      <c r="K1112" s="25" t="n">
        <v>4</v>
      </c>
      <c r="L1112" s="26" t="n">
        <v>0.008</v>
      </c>
      <c r="M1112" s="26" t="n">
        <v>0.0002</v>
      </c>
    </row>
    <row r="1113" ht="16" customHeight="1">
      <c r="A1113" t="inlineStr">
        <is>
          <t>28-Nov-2025</t>
        </is>
      </c>
      <c r="B1113" t="inlineStr">
        <is>
          <t>Friday</t>
        </is>
      </c>
      <c r="C1113" t="inlineStr">
        <is>
          <t>Week4-Nov-2025</t>
        </is>
      </c>
      <c r="D1113" s="78" t="n">
        <v>45962</v>
      </c>
      <c r="E1113" t="inlineStr">
        <is>
          <t>Q3FY26</t>
        </is>
      </c>
      <c r="F1113" t="inlineStr">
        <is>
          <t>27-Jun-2028</t>
        </is>
      </c>
      <c r="G1113" t="inlineStr">
        <is>
          <t>Tuesday</t>
        </is>
      </c>
      <c r="H1113" t="inlineStr">
        <is>
          <t>Monthly - Tuesday</t>
        </is>
      </c>
      <c r="I1113" t="inlineStr">
        <is>
          <t>Monthly - Tuesday</t>
        </is>
      </c>
      <c r="J1113" t="inlineStr">
        <is>
          <t>Month+31 Expiry</t>
        </is>
      </c>
      <c r="K1113" s="25" t="n">
        <v>0</v>
      </c>
      <c r="L1113" s="26" t="n">
        <v>0</v>
      </c>
      <c r="M1113" s="26" t="n">
        <v>0</v>
      </c>
    </row>
    <row r="1114" ht="16" customHeight="1">
      <c r="A1114" t="inlineStr">
        <is>
          <t>28-Nov-2025</t>
        </is>
      </c>
      <c r="B1114" t="inlineStr">
        <is>
          <t>Friday</t>
        </is>
      </c>
      <c r="C1114" t="inlineStr">
        <is>
          <t>Week4-Nov-2025</t>
        </is>
      </c>
      <c r="D1114" s="78" t="n">
        <v>45962</v>
      </c>
      <c r="E1114" t="inlineStr">
        <is>
          <t>Q3FY26</t>
        </is>
      </c>
      <c r="F1114" t="inlineStr">
        <is>
          <t>26-Dec-2028</t>
        </is>
      </c>
      <c r="G1114" t="inlineStr">
        <is>
          <t>Tuesday</t>
        </is>
      </c>
      <c r="H1114" t="inlineStr">
        <is>
          <t>Monthly - Tuesday</t>
        </is>
      </c>
      <c r="I1114" t="inlineStr">
        <is>
          <t>Monthly - Tuesday</t>
        </is>
      </c>
      <c r="J1114" t="inlineStr">
        <is>
          <t>Month+37 Expiry</t>
        </is>
      </c>
      <c r="K1114" s="25" t="n">
        <v>4</v>
      </c>
      <c r="L1114" s="26" t="n">
        <v>0.0081</v>
      </c>
      <c r="M1114" s="26" t="n">
        <v>0.0003</v>
      </c>
    </row>
    <row r="1115" ht="16" customHeight="1">
      <c r="A1115" t="inlineStr">
        <is>
          <t>28-Nov-2025</t>
        </is>
      </c>
      <c r="B1115" t="inlineStr">
        <is>
          <t>Friday</t>
        </is>
      </c>
      <c r="C1115" t="inlineStr">
        <is>
          <t>Week4-Nov-2025</t>
        </is>
      </c>
      <c r="D1115" s="78" t="n">
        <v>45962</v>
      </c>
      <c r="E1115" t="inlineStr">
        <is>
          <t>Q3FY26</t>
        </is>
      </c>
      <c r="F1115" t="inlineStr">
        <is>
          <t>26-Jun-2029</t>
        </is>
      </c>
      <c r="G1115" t="inlineStr">
        <is>
          <t>Tuesday</t>
        </is>
      </c>
      <c r="H1115" t="inlineStr">
        <is>
          <t>Monthly - Tuesday</t>
        </is>
      </c>
      <c r="I1115" t="inlineStr">
        <is>
          <t>Monthly - Tuesday</t>
        </is>
      </c>
      <c r="J1115" t="inlineStr">
        <is>
          <t>Month+43 Expiry</t>
        </is>
      </c>
      <c r="K1115" s="25" t="n">
        <v>0</v>
      </c>
      <c r="L1115" s="26" t="n">
        <v>0</v>
      </c>
      <c r="M1115" s="26" t="n">
        <v>0</v>
      </c>
    </row>
    <row r="1116" ht="16" customHeight="1">
      <c r="A1116" t="inlineStr">
        <is>
          <t>28-Nov-2025</t>
        </is>
      </c>
      <c r="B1116" t="inlineStr">
        <is>
          <t>Friday</t>
        </is>
      </c>
      <c r="C1116" t="inlineStr">
        <is>
          <t>Week4-Nov-2025</t>
        </is>
      </c>
      <c r="D1116" s="78" t="n">
        <v>45962</v>
      </c>
      <c r="E1116" t="inlineStr">
        <is>
          <t>Q3FY26</t>
        </is>
      </c>
      <c r="F1116" t="inlineStr">
        <is>
          <t>24-Dec-2029</t>
        </is>
      </c>
      <c r="G1116" t="inlineStr">
        <is>
          <t>Monday</t>
        </is>
      </c>
      <c r="H1116" t="inlineStr">
        <is>
          <t>Weekly - Monday</t>
        </is>
      </c>
      <c r="I1116" t="inlineStr">
        <is>
          <t>Weekly - Monday</t>
        </is>
      </c>
      <c r="J1116" t="inlineStr">
        <is>
          <t>Month+49 Expiry</t>
        </is>
      </c>
      <c r="K1116" s="25" t="n">
        <v>0</v>
      </c>
      <c r="L1116" s="26" t="n">
        <v>0</v>
      </c>
      <c r="M1116" s="26" t="n">
        <v>0</v>
      </c>
    </row>
    <row r="1117" ht="16" customHeight="1">
      <c r="A1117" t="inlineStr">
        <is>
          <t>28-Nov-2025</t>
        </is>
      </c>
      <c r="B1117" t="inlineStr">
        <is>
          <t>Friday</t>
        </is>
      </c>
      <c r="C1117" t="inlineStr">
        <is>
          <t>Week4-Nov-2025</t>
        </is>
      </c>
      <c r="D1117" s="78" t="n">
        <v>45962</v>
      </c>
      <c r="E1117" t="inlineStr">
        <is>
          <t>Q3FY26</t>
        </is>
      </c>
      <c r="F1117" t="inlineStr">
        <is>
          <t>25-Jun-2030</t>
        </is>
      </c>
      <c r="G1117" t="inlineStr">
        <is>
          <t>Tuesday</t>
        </is>
      </c>
      <c r="H1117" t="inlineStr">
        <is>
          <t>Monthly - Tuesday</t>
        </is>
      </c>
      <c r="I1117" t="inlineStr">
        <is>
          <t>Monthly - Tuesday</t>
        </is>
      </c>
      <c r="J1117" t="inlineStr">
        <is>
          <t>Month+55 Expiry</t>
        </is>
      </c>
      <c r="K1117" s="25" t="n">
        <v>0</v>
      </c>
      <c r="L1117" s="26" t="n">
        <v>0</v>
      </c>
      <c r="M1117" s="26" t="n">
        <v>0</v>
      </c>
    </row>
    <row r="1118" ht="16" customHeight="1">
      <c r="A1118" t="inlineStr">
        <is>
          <t>01-Dec-2025</t>
        </is>
      </c>
      <c r="B1118" t="inlineStr">
        <is>
          <t>Monday</t>
        </is>
      </c>
      <c r="C1118" t="inlineStr">
        <is>
          <t>Week1-Dec-2025</t>
        </is>
      </c>
      <c r="D1118" s="78" t="n">
        <v>45992</v>
      </c>
      <c r="E1118" t="inlineStr">
        <is>
          <t>Q3FY26</t>
        </is>
      </c>
      <c r="F1118" t="inlineStr">
        <is>
          <t>02-Dec-2025</t>
        </is>
      </c>
      <c r="G1118" t="inlineStr">
        <is>
          <t>Tuesday</t>
        </is>
      </c>
      <c r="H1118" t="inlineStr">
        <is>
          <t>Weekly - Tuesday</t>
        </is>
      </c>
      <c r="I1118" t="inlineStr">
        <is>
          <t>Weekly - Tuesday</t>
        </is>
      </c>
      <c r="J1118" t="inlineStr">
        <is>
          <t>Same Month Expiry</t>
        </is>
      </c>
      <c r="K1118" s="25" t="n">
        <v>129196931</v>
      </c>
      <c r="L1118" s="26" t="n">
        <v>254368.5771</v>
      </c>
      <c r="M1118" s="26" t="n">
        <v>436.1886</v>
      </c>
    </row>
    <row r="1119" ht="16" customHeight="1">
      <c r="A1119" t="inlineStr">
        <is>
          <t>01-Dec-2025</t>
        </is>
      </c>
      <c r="B1119" t="inlineStr">
        <is>
          <t>Monday</t>
        </is>
      </c>
      <c r="C1119" t="inlineStr">
        <is>
          <t>Week1-Dec-2025</t>
        </is>
      </c>
      <c r="D1119" s="78" t="n">
        <v>45992</v>
      </c>
      <c r="E1119" t="inlineStr">
        <is>
          <t>Q3FY26</t>
        </is>
      </c>
      <c r="F1119" t="inlineStr">
        <is>
          <t>09-Dec-2025</t>
        </is>
      </c>
      <c r="G1119" t="inlineStr">
        <is>
          <t>Tuesday</t>
        </is>
      </c>
      <c r="H1119" t="inlineStr">
        <is>
          <t>Weekly - Tuesday</t>
        </is>
      </c>
      <c r="I1119" t="inlineStr">
        <is>
          <t>Weekly - Tuesday</t>
        </is>
      </c>
      <c r="J1119" t="inlineStr">
        <is>
          <t>Same Month Expiry</t>
        </is>
      </c>
      <c r="K1119" s="25" t="n">
        <v>4831528</v>
      </c>
      <c r="L1119" s="26" t="n">
        <v>9535.905199999999</v>
      </c>
      <c r="M1119" s="26" t="n">
        <v>29.3109</v>
      </c>
    </row>
    <row r="1120" ht="16" customHeight="1">
      <c r="A1120" t="inlineStr">
        <is>
          <t>01-Dec-2025</t>
        </is>
      </c>
      <c r="B1120" t="inlineStr">
        <is>
          <t>Monday</t>
        </is>
      </c>
      <c r="C1120" t="inlineStr">
        <is>
          <t>Week1-Dec-2025</t>
        </is>
      </c>
      <c r="D1120" s="78" t="n">
        <v>45992</v>
      </c>
      <c r="E1120" t="inlineStr">
        <is>
          <t>Q3FY26</t>
        </is>
      </c>
      <c r="F1120" t="inlineStr">
        <is>
          <t>16-Dec-2025</t>
        </is>
      </c>
      <c r="G1120" t="inlineStr">
        <is>
          <t>Tuesday</t>
        </is>
      </c>
      <c r="H1120" t="inlineStr">
        <is>
          <t>Weekly - Tuesday</t>
        </is>
      </c>
      <c r="I1120" t="inlineStr">
        <is>
          <t>Weekly - Tuesday</t>
        </is>
      </c>
      <c r="J1120" t="inlineStr">
        <is>
          <t>Same Month Expiry</t>
        </is>
      </c>
      <c r="K1120" s="25" t="n">
        <v>302747</v>
      </c>
      <c r="L1120" s="26" t="n">
        <v>599.5491</v>
      </c>
      <c r="M1120" s="26" t="n">
        <v>2.5493</v>
      </c>
    </row>
    <row r="1121" ht="16" customHeight="1">
      <c r="A1121" t="inlineStr">
        <is>
          <t>01-Dec-2025</t>
        </is>
      </c>
      <c r="B1121" t="inlineStr">
        <is>
          <t>Monday</t>
        </is>
      </c>
      <c r="C1121" t="inlineStr">
        <is>
          <t>Week1-Dec-2025</t>
        </is>
      </c>
      <c r="D1121" s="78" t="n">
        <v>45992</v>
      </c>
      <c r="E1121" t="inlineStr">
        <is>
          <t>Q3FY26</t>
        </is>
      </c>
      <c r="F1121" t="inlineStr">
        <is>
          <t>23-Dec-2025</t>
        </is>
      </c>
      <c r="G1121" t="inlineStr">
        <is>
          <t>Tuesday</t>
        </is>
      </c>
      <c r="H1121" t="inlineStr">
        <is>
          <t>Weekly - Tuesday</t>
        </is>
      </c>
      <c r="I1121" t="inlineStr">
        <is>
          <t>Weekly - Tuesday</t>
        </is>
      </c>
      <c r="J1121" t="inlineStr">
        <is>
          <t>Same Month Expiry</t>
        </is>
      </c>
      <c r="K1121" s="25" t="n">
        <v>30125</v>
      </c>
      <c r="L1121" s="26" t="n">
        <v>59.5818</v>
      </c>
      <c r="M1121" s="26" t="n">
        <v>0.2684</v>
      </c>
    </row>
    <row r="1122" ht="16" customHeight="1">
      <c r="A1122" t="inlineStr">
        <is>
          <t>01-Dec-2025</t>
        </is>
      </c>
      <c r="B1122" t="inlineStr">
        <is>
          <t>Monday</t>
        </is>
      </c>
      <c r="C1122" t="inlineStr">
        <is>
          <t>Week1-Dec-2025</t>
        </is>
      </c>
      <c r="D1122" s="78" t="n">
        <v>45992</v>
      </c>
      <c r="E1122" t="inlineStr">
        <is>
          <t>Q3FY26</t>
        </is>
      </c>
      <c r="F1122" t="inlineStr">
        <is>
          <t>30-Dec-2025</t>
        </is>
      </c>
      <c r="G1122" t="inlineStr">
        <is>
          <t>Tuesday</t>
        </is>
      </c>
      <c r="H1122" t="inlineStr">
        <is>
          <t>Monthly - Tuesday</t>
        </is>
      </c>
      <c r="I1122" t="inlineStr">
        <is>
          <t>Monthly - Tuesday</t>
        </is>
      </c>
      <c r="J1122" t="inlineStr">
        <is>
          <t>Same Month Expiry</t>
        </is>
      </c>
      <c r="K1122" s="25" t="n">
        <v>1096531</v>
      </c>
      <c r="L1122" s="26" t="n">
        <v>2159.0302</v>
      </c>
      <c r="M1122" s="26" t="n">
        <v>14.6269</v>
      </c>
    </row>
    <row r="1123" ht="16" customHeight="1">
      <c r="A1123" t="inlineStr">
        <is>
          <t>01-Dec-2025</t>
        </is>
      </c>
      <c r="B1123" t="inlineStr">
        <is>
          <t>Monday</t>
        </is>
      </c>
      <c r="C1123" t="inlineStr">
        <is>
          <t>Week1-Dec-2025</t>
        </is>
      </c>
      <c r="D1123" s="78" t="n">
        <v>45992</v>
      </c>
      <c r="E1123" t="inlineStr">
        <is>
          <t>Q3FY26</t>
        </is>
      </c>
      <c r="F1123" t="inlineStr">
        <is>
          <t>27-Jan-2026</t>
        </is>
      </c>
      <c r="G1123" t="inlineStr">
        <is>
          <t>Tuesday</t>
        </is>
      </c>
      <c r="H1123" t="inlineStr">
        <is>
          <t>Monthly - Tuesday</t>
        </is>
      </c>
      <c r="I1123" t="inlineStr">
        <is>
          <t>Monthly - Tuesday</t>
        </is>
      </c>
      <c r="J1123" t="inlineStr">
        <is>
          <t>Month+1 Expiry</t>
        </is>
      </c>
      <c r="K1123" s="25" t="n">
        <v>80007</v>
      </c>
      <c r="L1123" s="26" t="n">
        <v>136.7969</v>
      </c>
      <c r="M1123" s="26" t="n">
        <v>1.2694</v>
      </c>
    </row>
    <row r="1124" ht="16" customHeight="1">
      <c r="A1124" t="inlineStr">
        <is>
          <t>01-Dec-2025</t>
        </is>
      </c>
      <c r="B1124" t="inlineStr">
        <is>
          <t>Monday</t>
        </is>
      </c>
      <c r="C1124" t="inlineStr">
        <is>
          <t>Week1-Dec-2025</t>
        </is>
      </c>
      <c r="D1124" s="78" t="n">
        <v>45992</v>
      </c>
      <c r="E1124" t="inlineStr">
        <is>
          <t>Q3FY26</t>
        </is>
      </c>
      <c r="F1124" t="inlineStr">
        <is>
          <t>24-Feb-2026</t>
        </is>
      </c>
      <c r="G1124" t="inlineStr">
        <is>
          <t>Tuesday</t>
        </is>
      </c>
      <c r="H1124" t="inlineStr">
        <is>
          <t>Monthly - Tuesday</t>
        </is>
      </c>
      <c r="I1124" t="inlineStr">
        <is>
          <t>Monthly - Tuesday</t>
        </is>
      </c>
      <c r="J1124" t="inlineStr">
        <is>
          <t>Month+2 Expiry</t>
        </is>
      </c>
      <c r="K1124" s="25" t="n">
        <v>15249</v>
      </c>
      <c r="L1124" s="26" t="n">
        <v>25.7224</v>
      </c>
      <c r="M1124" s="26" t="n">
        <v>0.2459</v>
      </c>
    </row>
    <row r="1125" ht="16" customHeight="1">
      <c r="A1125" t="inlineStr">
        <is>
          <t>01-Dec-2025</t>
        </is>
      </c>
      <c r="B1125" t="inlineStr">
        <is>
          <t>Monday</t>
        </is>
      </c>
      <c r="C1125" t="inlineStr">
        <is>
          <t>Week1-Dec-2025</t>
        </is>
      </c>
      <c r="D1125" s="78" t="n">
        <v>45992</v>
      </c>
      <c r="E1125" t="inlineStr">
        <is>
          <t>Q3FY26</t>
        </is>
      </c>
      <c r="F1125" t="inlineStr">
        <is>
          <t>31-Mar-2026</t>
        </is>
      </c>
      <c r="G1125" t="inlineStr">
        <is>
          <t>Tuesday</t>
        </is>
      </c>
      <c r="H1125" t="inlineStr">
        <is>
          <t>Monthly - Tuesday</t>
        </is>
      </c>
      <c r="I1125" t="inlineStr">
        <is>
          <t>Monthly - Tuesday</t>
        </is>
      </c>
      <c r="J1125" t="inlineStr">
        <is>
          <t>Month+3 Expiry</t>
        </is>
      </c>
      <c r="K1125" s="25" t="n">
        <v>29194</v>
      </c>
      <c r="L1125" s="26" t="n">
        <v>57.3415</v>
      </c>
      <c r="M1125" s="26" t="n">
        <v>0.7514999999999999</v>
      </c>
    </row>
    <row r="1126" ht="16" customHeight="1">
      <c r="A1126" t="inlineStr">
        <is>
          <t>01-Dec-2025</t>
        </is>
      </c>
      <c r="B1126" t="inlineStr">
        <is>
          <t>Monday</t>
        </is>
      </c>
      <c r="C1126" t="inlineStr">
        <is>
          <t>Week1-Dec-2025</t>
        </is>
      </c>
      <c r="D1126" s="78" t="n">
        <v>45992</v>
      </c>
      <c r="E1126" t="inlineStr">
        <is>
          <t>Q3FY26</t>
        </is>
      </c>
      <c r="F1126" t="inlineStr">
        <is>
          <t>30-Jun-2026</t>
        </is>
      </c>
      <c r="G1126" t="inlineStr">
        <is>
          <t>Tuesday</t>
        </is>
      </c>
      <c r="H1126" t="inlineStr">
        <is>
          <t>Monthly - Tuesday</t>
        </is>
      </c>
      <c r="I1126" t="inlineStr">
        <is>
          <t>Monthly - Tuesday</t>
        </is>
      </c>
      <c r="J1126" t="inlineStr">
        <is>
          <t>Month+6 Expiry</t>
        </is>
      </c>
      <c r="K1126" s="25" t="n">
        <v>5278</v>
      </c>
      <c r="L1126" s="26" t="n">
        <v>10.5697</v>
      </c>
      <c r="M1126" s="26" t="n">
        <v>0.207</v>
      </c>
    </row>
    <row r="1127" ht="16" customHeight="1">
      <c r="A1127" t="inlineStr">
        <is>
          <t>01-Dec-2025</t>
        </is>
      </c>
      <c r="B1127" t="inlineStr">
        <is>
          <t>Monday</t>
        </is>
      </c>
      <c r="C1127" t="inlineStr">
        <is>
          <t>Week1-Dec-2025</t>
        </is>
      </c>
      <c r="D1127" s="78" t="n">
        <v>45992</v>
      </c>
      <c r="E1127" t="inlineStr">
        <is>
          <t>Q3FY26</t>
        </is>
      </c>
      <c r="F1127" t="inlineStr">
        <is>
          <t>29-Sep-2026</t>
        </is>
      </c>
      <c r="G1127" t="inlineStr">
        <is>
          <t>Tuesday</t>
        </is>
      </c>
      <c r="H1127" t="inlineStr">
        <is>
          <t>Monthly - Tuesday</t>
        </is>
      </c>
      <c r="I1127" t="inlineStr">
        <is>
          <t>Monthly - Tuesday</t>
        </is>
      </c>
      <c r="J1127" t="inlineStr">
        <is>
          <t>Month+9 Expiry</t>
        </is>
      </c>
      <c r="K1127" s="25" t="n">
        <v>42</v>
      </c>
      <c r="L1127" s="26" t="n">
        <v>0.0793</v>
      </c>
      <c r="M1127" s="26" t="n">
        <v>0.0011</v>
      </c>
    </row>
    <row r="1128" ht="16" customHeight="1">
      <c r="A1128" t="inlineStr">
        <is>
          <t>01-Dec-2025</t>
        </is>
      </c>
      <c r="B1128" t="inlineStr">
        <is>
          <t>Monday</t>
        </is>
      </c>
      <c r="C1128" t="inlineStr">
        <is>
          <t>Week1-Dec-2025</t>
        </is>
      </c>
      <c r="D1128" s="78" t="n">
        <v>45992</v>
      </c>
      <c r="E1128" t="inlineStr">
        <is>
          <t>Q3FY26</t>
        </is>
      </c>
      <c r="F1128" t="inlineStr">
        <is>
          <t>29-Dec-2026</t>
        </is>
      </c>
      <c r="G1128" t="inlineStr">
        <is>
          <t>Tuesday</t>
        </is>
      </c>
      <c r="H1128" t="inlineStr">
        <is>
          <t>Monthly - Tuesday</t>
        </is>
      </c>
      <c r="I1128" t="inlineStr">
        <is>
          <t>Monthly - Tuesday</t>
        </is>
      </c>
      <c r="J1128" t="inlineStr">
        <is>
          <t>Month+12 Expiry</t>
        </is>
      </c>
      <c r="K1128" s="25" t="n">
        <v>2868</v>
      </c>
      <c r="L1128" s="26" t="n">
        <v>5.9513</v>
      </c>
      <c r="M1128" s="26" t="n">
        <v>0.2026</v>
      </c>
    </row>
    <row r="1129" ht="16" customHeight="1">
      <c r="A1129" t="inlineStr">
        <is>
          <t>01-Dec-2025</t>
        </is>
      </c>
      <c r="B1129" t="inlineStr">
        <is>
          <t>Monday</t>
        </is>
      </c>
      <c r="C1129" t="inlineStr">
        <is>
          <t>Week1-Dec-2025</t>
        </is>
      </c>
      <c r="D1129" s="78" t="n">
        <v>45992</v>
      </c>
      <c r="E1129" t="inlineStr">
        <is>
          <t>Q3FY26</t>
        </is>
      </c>
      <c r="F1129" t="inlineStr">
        <is>
          <t>29-Jun-2027</t>
        </is>
      </c>
      <c r="G1129" t="inlineStr">
        <is>
          <t>Tuesday</t>
        </is>
      </c>
      <c r="H1129" t="inlineStr">
        <is>
          <t>Monthly - Tuesday</t>
        </is>
      </c>
      <c r="I1129" t="inlineStr">
        <is>
          <t>Monthly - Tuesday</t>
        </is>
      </c>
      <c r="J1129" t="inlineStr">
        <is>
          <t>Month+18 Expiry</t>
        </is>
      </c>
      <c r="K1129" s="25" t="n">
        <v>1</v>
      </c>
      <c r="L1129" s="26" t="n">
        <v>0.0022</v>
      </c>
      <c r="M1129" s="26" t="n">
        <v>0.0004</v>
      </c>
    </row>
    <row r="1130" ht="16" customHeight="1">
      <c r="A1130" t="inlineStr">
        <is>
          <t>01-Dec-2025</t>
        </is>
      </c>
      <c r="B1130" t="inlineStr">
        <is>
          <t>Monday</t>
        </is>
      </c>
      <c r="C1130" t="inlineStr">
        <is>
          <t>Week1-Dec-2025</t>
        </is>
      </c>
      <c r="D1130" s="78" t="n">
        <v>45992</v>
      </c>
      <c r="E1130" t="inlineStr">
        <is>
          <t>Q3FY26</t>
        </is>
      </c>
      <c r="F1130" t="inlineStr">
        <is>
          <t>28-Dec-2027</t>
        </is>
      </c>
      <c r="G1130" t="inlineStr">
        <is>
          <t>Tuesday</t>
        </is>
      </c>
      <c r="H1130" t="inlineStr">
        <is>
          <t>Monthly - Tuesday</t>
        </is>
      </c>
      <c r="I1130" t="inlineStr">
        <is>
          <t>Monthly - Tuesday</t>
        </is>
      </c>
      <c r="J1130" t="inlineStr">
        <is>
          <t>Month+24 Expiry</t>
        </is>
      </c>
      <c r="K1130" s="25" t="n">
        <v>12</v>
      </c>
      <c r="L1130" s="26" t="n">
        <v>0.0258</v>
      </c>
      <c r="M1130" s="26" t="n">
        <v>0.0024</v>
      </c>
    </row>
    <row r="1131" ht="16" customHeight="1">
      <c r="A1131" t="inlineStr">
        <is>
          <t>01-Dec-2025</t>
        </is>
      </c>
      <c r="B1131" t="inlineStr">
        <is>
          <t>Monday</t>
        </is>
      </c>
      <c r="C1131" t="inlineStr">
        <is>
          <t>Week1-Dec-2025</t>
        </is>
      </c>
      <c r="D1131" s="78" t="n">
        <v>45992</v>
      </c>
      <c r="E1131" t="inlineStr">
        <is>
          <t>Q3FY26</t>
        </is>
      </c>
      <c r="F1131" t="inlineStr">
        <is>
          <t>27-Jun-2028</t>
        </is>
      </c>
      <c r="G1131" t="inlineStr">
        <is>
          <t>Tuesday</t>
        </is>
      </c>
      <c r="H1131" t="inlineStr">
        <is>
          <t>Monthly - Tuesday</t>
        </is>
      </c>
      <c r="I1131" t="inlineStr">
        <is>
          <t>Monthly - Tuesday</t>
        </is>
      </c>
      <c r="J1131" t="inlineStr">
        <is>
          <t>Month+30 Expiry</t>
        </is>
      </c>
      <c r="K1131" s="25" t="n">
        <v>0</v>
      </c>
      <c r="L1131" s="26" t="n">
        <v>0</v>
      </c>
      <c r="M1131" s="26" t="n">
        <v>0</v>
      </c>
    </row>
    <row r="1132" ht="16" customHeight="1">
      <c r="A1132" t="inlineStr">
        <is>
          <t>01-Dec-2025</t>
        </is>
      </c>
      <c r="B1132" t="inlineStr">
        <is>
          <t>Monday</t>
        </is>
      </c>
      <c r="C1132" t="inlineStr">
        <is>
          <t>Week1-Dec-2025</t>
        </is>
      </c>
      <c r="D1132" s="78" t="n">
        <v>45992</v>
      </c>
      <c r="E1132" t="inlineStr">
        <is>
          <t>Q3FY26</t>
        </is>
      </c>
      <c r="F1132" t="inlineStr">
        <is>
          <t>26-Dec-2028</t>
        </is>
      </c>
      <c r="G1132" t="inlineStr">
        <is>
          <t>Tuesday</t>
        </is>
      </c>
      <c r="H1132" t="inlineStr">
        <is>
          <t>Monthly - Tuesday</t>
        </is>
      </c>
      <c r="I1132" t="inlineStr">
        <is>
          <t>Monthly - Tuesday</t>
        </is>
      </c>
      <c r="J1132" t="inlineStr">
        <is>
          <t>Month+36 Expiry</t>
        </is>
      </c>
      <c r="K1132" s="25" t="n">
        <v>3</v>
      </c>
      <c r="L1132" s="26" t="n">
        <v>0.0061</v>
      </c>
      <c r="M1132" s="26" t="n">
        <v>0.0002</v>
      </c>
    </row>
    <row r="1133" ht="16" customHeight="1">
      <c r="A1133" t="inlineStr">
        <is>
          <t>01-Dec-2025</t>
        </is>
      </c>
      <c r="B1133" t="inlineStr">
        <is>
          <t>Monday</t>
        </is>
      </c>
      <c r="C1133" t="inlineStr">
        <is>
          <t>Week1-Dec-2025</t>
        </is>
      </c>
      <c r="D1133" s="78" t="n">
        <v>45992</v>
      </c>
      <c r="E1133" t="inlineStr">
        <is>
          <t>Q3FY26</t>
        </is>
      </c>
      <c r="F1133" t="inlineStr">
        <is>
          <t>26-Jun-2029</t>
        </is>
      </c>
      <c r="G1133" t="inlineStr">
        <is>
          <t>Tuesday</t>
        </is>
      </c>
      <c r="H1133" t="inlineStr">
        <is>
          <t>Monthly - Tuesday</t>
        </is>
      </c>
      <c r="I1133" t="inlineStr">
        <is>
          <t>Monthly - Tuesday</t>
        </is>
      </c>
      <c r="J1133" t="inlineStr">
        <is>
          <t>Month+42 Expiry</t>
        </is>
      </c>
      <c r="K1133" s="25" t="n">
        <v>0</v>
      </c>
      <c r="L1133" s="26" t="n">
        <v>0</v>
      </c>
      <c r="M1133" s="26" t="n">
        <v>0</v>
      </c>
    </row>
    <row r="1134" ht="16" customHeight="1">
      <c r="A1134" t="inlineStr">
        <is>
          <t>01-Dec-2025</t>
        </is>
      </c>
      <c r="B1134" t="inlineStr">
        <is>
          <t>Monday</t>
        </is>
      </c>
      <c r="C1134" t="inlineStr">
        <is>
          <t>Week1-Dec-2025</t>
        </is>
      </c>
      <c r="D1134" s="78" t="n">
        <v>45992</v>
      </c>
      <c r="E1134" t="inlineStr">
        <is>
          <t>Q3FY26</t>
        </is>
      </c>
      <c r="F1134" t="inlineStr">
        <is>
          <t>24-Dec-2029</t>
        </is>
      </c>
      <c r="G1134" t="inlineStr">
        <is>
          <t>Monday</t>
        </is>
      </c>
      <c r="H1134" t="inlineStr">
        <is>
          <t>Weekly - Monday</t>
        </is>
      </c>
      <c r="I1134" t="inlineStr">
        <is>
          <t>Weekly - Monday</t>
        </is>
      </c>
      <c r="J1134" t="inlineStr">
        <is>
          <t>Month+48 Expiry</t>
        </is>
      </c>
      <c r="K1134" s="25" t="n">
        <v>0</v>
      </c>
      <c r="L1134" s="26" t="n">
        <v>0</v>
      </c>
      <c r="M1134" s="26" t="n">
        <v>0</v>
      </c>
    </row>
    <row r="1135" ht="16" customHeight="1">
      <c r="A1135" t="inlineStr">
        <is>
          <t>01-Dec-2025</t>
        </is>
      </c>
      <c r="B1135" t="inlineStr">
        <is>
          <t>Monday</t>
        </is>
      </c>
      <c r="C1135" t="inlineStr">
        <is>
          <t>Week1-Dec-2025</t>
        </is>
      </c>
      <c r="D1135" s="78" t="n">
        <v>45992</v>
      </c>
      <c r="E1135" t="inlineStr">
        <is>
          <t>Q3FY26</t>
        </is>
      </c>
      <c r="F1135" t="inlineStr">
        <is>
          <t>25-Jun-2030</t>
        </is>
      </c>
      <c r="G1135" t="inlineStr">
        <is>
          <t>Tuesday</t>
        </is>
      </c>
      <c r="H1135" t="inlineStr">
        <is>
          <t>Monthly - Tuesday</t>
        </is>
      </c>
      <c r="I1135" t="inlineStr">
        <is>
          <t>Monthly - Tuesday</t>
        </is>
      </c>
      <c r="J1135" t="inlineStr">
        <is>
          <t>Month+54 Expiry</t>
        </is>
      </c>
      <c r="K1135" s="25" t="n">
        <v>0</v>
      </c>
      <c r="L1135" s="26" t="n">
        <v>0</v>
      </c>
      <c r="M1135" s="26" t="n">
        <v>0</v>
      </c>
    </row>
    <row r="1136" ht="16" customHeight="1">
      <c r="A1136" t="inlineStr">
        <is>
          <t>02-Dec-2025</t>
        </is>
      </c>
      <c r="B1136" t="inlineStr">
        <is>
          <t>Tuesday</t>
        </is>
      </c>
      <c r="C1136" t="inlineStr">
        <is>
          <t>Week1-Dec-2025</t>
        </is>
      </c>
      <c r="D1136" s="78" t="n">
        <v>45992</v>
      </c>
      <c r="E1136" t="inlineStr">
        <is>
          <t>Q3FY26</t>
        </is>
      </c>
      <c r="F1136" t="inlineStr">
        <is>
          <t>02-Dec-2025</t>
        </is>
      </c>
      <c r="G1136" t="inlineStr">
        <is>
          <t>Tuesday</t>
        </is>
      </c>
      <c r="H1136" t="inlineStr">
        <is>
          <t>Weekly - Tuesday</t>
        </is>
      </c>
      <c r="I1136" t="inlineStr">
        <is>
          <t>Weekly - Tuesday</t>
        </is>
      </c>
      <c r="J1136" t="inlineStr">
        <is>
          <t>Same Month Expiry</t>
        </is>
      </c>
      <c r="K1136" s="25" t="n">
        <v>275149286</v>
      </c>
      <c r="L1136" s="26" t="n">
        <v>538830.2756000001</v>
      </c>
      <c r="M1136" s="26" t="n">
        <v>483.3394</v>
      </c>
    </row>
    <row r="1137" ht="16" customHeight="1">
      <c r="A1137" t="inlineStr">
        <is>
          <t>02-Dec-2025</t>
        </is>
      </c>
      <c r="B1137" t="inlineStr">
        <is>
          <t>Tuesday</t>
        </is>
      </c>
      <c r="C1137" t="inlineStr">
        <is>
          <t>Week1-Dec-2025</t>
        </is>
      </c>
      <c r="D1137" s="78" t="n">
        <v>45992</v>
      </c>
      <c r="E1137" t="inlineStr">
        <is>
          <t>Q3FY26</t>
        </is>
      </c>
      <c r="F1137" t="inlineStr">
        <is>
          <t>09-Dec-2025</t>
        </is>
      </c>
      <c r="G1137" t="inlineStr">
        <is>
          <t>Tuesday</t>
        </is>
      </c>
      <c r="H1137" t="inlineStr">
        <is>
          <t>Weekly - Tuesday</t>
        </is>
      </c>
      <c r="I1137" t="inlineStr">
        <is>
          <t>Weekly - Tuesday</t>
        </is>
      </c>
      <c r="J1137" t="inlineStr">
        <is>
          <t>Same Month Expiry</t>
        </is>
      </c>
      <c r="K1137" s="25" t="n">
        <v>9411796</v>
      </c>
      <c r="L1137" s="26" t="n">
        <v>18559.4953</v>
      </c>
      <c r="M1137" s="26" t="n">
        <v>52.0117</v>
      </c>
    </row>
    <row r="1138" ht="16" customHeight="1">
      <c r="A1138" t="inlineStr">
        <is>
          <t>02-Dec-2025</t>
        </is>
      </c>
      <c r="B1138" t="inlineStr">
        <is>
          <t>Tuesday</t>
        </is>
      </c>
      <c r="C1138" t="inlineStr">
        <is>
          <t>Week1-Dec-2025</t>
        </is>
      </c>
      <c r="D1138" s="78" t="n">
        <v>45992</v>
      </c>
      <c r="E1138" t="inlineStr">
        <is>
          <t>Q3FY26</t>
        </is>
      </c>
      <c r="F1138" t="inlineStr">
        <is>
          <t>16-Dec-2025</t>
        </is>
      </c>
      <c r="G1138" t="inlineStr">
        <is>
          <t>Tuesday</t>
        </is>
      </c>
      <c r="H1138" t="inlineStr">
        <is>
          <t>Weekly - Tuesday</t>
        </is>
      </c>
      <c r="I1138" t="inlineStr">
        <is>
          <t>Weekly - Tuesday</t>
        </is>
      </c>
      <c r="J1138" t="inlineStr">
        <is>
          <t>Same Month Expiry</t>
        </is>
      </c>
      <c r="K1138" s="25" t="n">
        <v>412929</v>
      </c>
      <c r="L1138" s="26" t="n">
        <v>816.2779</v>
      </c>
      <c r="M1138" s="26" t="n">
        <v>3.2424</v>
      </c>
    </row>
    <row r="1139" ht="16" customHeight="1">
      <c r="A1139" t="inlineStr">
        <is>
          <t>02-Dec-2025</t>
        </is>
      </c>
      <c r="B1139" t="inlineStr">
        <is>
          <t>Tuesday</t>
        </is>
      </c>
      <c r="C1139" t="inlineStr">
        <is>
          <t>Week1-Dec-2025</t>
        </is>
      </c>
      <c r="D1139" s="78" t="n">
        <v>45992</v>
      </c>
      <c r="E1139" t="inlineStr">
        <is>
          <t>Q3FY26</t>
        </is>
      </c>
      <c r="F1139" t="inlineStr">
        <is>
          <t>23-Dec-2025</t>
        </is>
      </c>
      <c r="G1139" t="inlineStr">
        <is>
          <t>Tuesday</t>
        </is>
      </c>
      <c r="H1139" t="inlineStr">
        <is>
          <t>Weekly - Tuesday</t>
        </is>
      </c>
      <c r="I1139" t="inlineStr">
        <is>
          <t>Weekly - Tuesday</t>
        </is>
      </c>
      <c r="J1139" t="inlineStr">
        <is>
          <t>Same Month Expiry</t>
        </is>
      </c>
      <c r="K1139" s="25" t="n">
        <v>35666</v>
      </c>
      <c r="L1139" s="26" t="n">
        <v>70.64109999999999</v>
      </c>
      <c r="M1139" s="26" t="n">
        <v>0.3698</v>
      </c>
    </row>
    <row r="1140" ht="16" customHeight="1">
      <c r="A1140" t="inlineStr">
        <is>
          <t>02-Dec-2025</t>
        </is>
      </c>
      <c r="B1140" t="inlineStr">
        <is>
          <t>Tuesday</t>
        </is>
      </c>
      <c r="C1140" t="inlineStr">
        <is>
          <t>Week1-Dec-2025</t>
        </is>
      </c>
      <c r="D1140" s="78" t="n">
        <v>45992</v>
      </c>
      <c r="E1140" t="inlineStr">
        <is>
          <t>Q3FY26</t>
        </is>
      </c>
      <c r="F1140" t="inlineStr">
        <is>
          <t>30-Dec-2025</t>
        </is>
      </c>
      <c r="G1140" t="inlineStr">
        <is>
          <t>Tuesday</t>
        </is>
      </c>
      <c r="H1140" t="inlineStr">
        <is>
          <t>Monthly - Tuesday</t>
        </is>
      </c>
      <c r="I1140" t="inlineStr">
        <is>
          <t>Monthly - Tuesday</t>
        </is>
      </c>
      <c r="J1140" t="inlineStr">
        <is>
          <t>Same Month Expiry</t>
        </is>
      </c>
      <c r="K1140" s="25" t="n">
        <v>1163052</v>
      </c>
      <c r="L1140" s="26" t="n">
        <v>2296.4662</v>
      </c>
      <c r="M1140" s="26" t="n">
        <v>15.4322</v>
      </c>
    </row>
    <row r="1141" ht="16" customHeight="1">
      <c r="A1141" t="inlineStr">
        <is>
          <t>02-Dec-2025</t>
        </is>
      </c>
      <c r="B1141" t="inlineStr">
        <is>
          <t>Tuesday</t>
        </is>
      </c>
      <c r="C1141" t="inlineStr">
        <is>
          <t>Week1-Dec-2025</t>
        </is>
      </c>
      <c r="D1141" s="78" t="n">
        <v>45992</v>
      </c>
      <c r="E1141" t="inlineStr">
        <is>
          <t>Q3FY26</t>
        </is>
      </c>
      <c r="F1141" t="inlineStr">
        <is>
          <t>27-Jan-2026</t>
        </is>
      </c>
      <c r="G1141" t="inlineStr">
        <is>
          <t>Tuesday</t>
        </is>
      </c>
      <c r="H1141" t="inlineStr">
        <is>
          <t>Monthly - Tuesday</t>
        </is>
      </c>
      <c r="I1141" t="inlineStr">
        <is>
          <t>Monthly - Tuesday</t>
        </is>
      </c>
      <c r="J1141" t="inlineStr">
        <is>
          <t>Month+1 Expiry</t>
        </is>
      </c>
      <c r="K1141" s="25" t="n">
        <v>83168</v>
      </c>
      <c r="L1141" s="26" t="n">
        <v>143.5953</v>
      </c>
      <c r="M1141" s="26" t="n">
        <v>1.2741</v>
      </c>
    </row>
    <row r="1142" ht="16" customHeight="1">
      <c r="A1142" t="inlineStr">
        <is>
          <t>02-Dec-2025</t>
        </is>
      </c>
      <c r="B1142" t="inlineStr">
        <is>
          <t>Tuesday</t>
        </is>
      </c>
      <c r="C1142" t="inlineStr">
        <is>
          <t>Week1-Dec-2025</t>
        </is>
      </c>
      <c r="D1142" s="78" t="n">
        <v>45992</v>
      </c>
      <c r="E1142" t="inlineStr">
        <is>
          <t>Q3FY26</t>
        </is>
      </c>
      <c r="F1142" t="inlineStr">
        <is>
          <t>24-Feb-2026</t>
        </is>
      </c>
      <c r="G1142" t="inlineStr">
        <is>
          <t>Tuesday</t>
        </is>
      </c>
      <c r="H1142" t="inlineStr">
        <is>
          <t>Monthly - Tuesday</t>
        </is>
      </c>
      <c r="I1142" t="inlineStr">
        <is>
          <t>Monthly - Tuesday</t>
        </is>
      </c>
      <c r="J1142" t="inlineStr">
        <is>
          <t>Month+2 Expiry</t>
        </is>
      </c>
      <c r="K1142" s="25" t="n">
        <v>15653</v>
      </c>
      <c r="L1142" s="26" t="n">
        <v>26.7278</v>
      </c>
      <c r="M1142" s="26" t="n">
        <v>0.3013</v>
      </c>
    </row>
    <row r="1143" ht="16" customHeight="1">
      <c r="A1143" t="inlineStr">
        <is>
          <t>02-Dec-2025</t>
        </is>
      </c>
      <c r="B1143" t="inlineStr">
        <is>
          <t>Tuesday</t>
        </is>
      </c>
      <c r="C1143" t="inlineStr">
        <is>
          <t>Week1-Dec-2025</t>
        </is>
      </c>
      <c r="D1143" s="78" t="n">
        <v>45992</v>
      </c>
      <c r="E1143" t="inlineStr">
        <is>
          <t>Q3FY26</t>
        </is>
      </c>
      <c r="F1143" t="inlineStr">
        <is>
          <t>31-Mar-2026</t>
        </is>
      </c>
      <c r="G1143" t="inlineStr">
        <is>
          <t>Tuesday</t>
        </is>
      </c>
      <c r="H1143" t="inlineStr">
        <is>
          <t>Monthly - Tuesday</t>
        </is>
      </c>
      <c r="I1143" t="inlineStr">
        <is>
          <t>Monthly - Tuesday</t>
        </is>
      </c>
      <c r="J1143" t="inlineStr">
        <is>
          <t>Month+3 Expiry</t>
        </is>
      </c>
      <c r="K1143" s="25" t="n">
        <v>21426</v>
      </c>
      <c r="L1143" s="26" t="n">
        <v>42.4902</v>
      </c>
      <c r="M1143" s="26" t="n">
        <v>0.6822</v>
      </c>
    </row>
    <row r="1144" ht="16" customHeight="1">
      <c r="A1144" t="inlineStr">
        <is>
          <t>02-Dec-2025</t>
        </is>
      </c>
      <c r="B1144" t="inlineStr">
        <is>
          <t>Tuesday</t>
        </is>
      </c>
      <c r="C1144" t="inlineStr">
        <is>
          <t>Week1-Dec-2025</t>
        </is>
      </c>
      <c r="D1144" s="78" t="n">
        <v>45992</v>
      </c>
      <c r="E1144" t="inlineStr">
        <is>
          <t>Q3FY26</t>
        </is>
      </c>
      <c r="F1144" t="inlineStr">
        <is>
          <t>30-Jun-2026</t>
        </is>
      </c>
      <c r="G1144" t="inlineStr">
        <is>
          <t>Tuesday</t>
        </is>
      </c>
      <c r="H1144" t="inlineStr">
        <is>
          <t>Monthly - Tuesday</t>
        </is>
      </c>
      <c r="I1144" t="inlineStr">
        <is>
          <t>Monthly - Tuesday</t>
        </is>
      </c>
      <c r="J1144" t="inlineStr">
        <is>
          <t>Month+6 Expiry</t>
        </is>
      </c>
      <c r="K1144" s="25" t="n">
        <v>10393</v>
      </c>
      <c r="L1144" s="26" t="n">
        <v>21.147</v>
      </c>
      <c r="M1144" s="26" t="n">
        <v>0.3331</v>
      </c>
    </row>
    <row r="1145" ht="16" customHeight="1">
      <c r="A1145" t="inlineStr">
        <is>
          <t>02-Dec-2025</t>
        </is>
      </c>
      <c r="B1145" t="inlineStr">
        <is>
          <t>Tuesday</t>
        </is>
      </c>
      <c r="C1145" t="inlineStr">
        <is>
          <t>Week1-Dec-2025</t>
        </is>
      </c>
      <c r="D1145" s="78" t="n">
        <v>45992</v>
      </c>
      <c r="E1145" t="inlineStr">
        <is>
          <t>Q3FY26</t>
        </is>
      </c>
      <c r="F1145" t="inlineStr">
        <is>
          <t>29-Sep-2026</t>
        </is>
      </c>
      <c r="G1145" t="inlineStr">
        <is>
          <t>Tuesday</t>
        </is>
      </c>
      <c r="H1145" t="inlineStr">
        <is>
          <t>Monthly - Tuesday</t>
        </is>
      </c>
      <c r="I1145" t="inlineStr">
        <is>
          <t>Monthly - Tuesday</t>
        </is>
      </c>
      <c r="J1145" t="inlineStr">
        <is>
          <t>Month+9 Expiry</t>
        </is>
      </c>
      <c r="K1145" s="25" t="n">
        <v>3</v>
      </c>
      <c r="L1145" s="26" t="n">
        <v>0.0059</v>
      </c>
      <c r="M1145" s="26" t="n">
        <v>0.0001</v>
      </c>
    </row>
    <row r="1146" ht="16" customHeight="1">
      <c r="A1146" t="inlineStr">
        <is>
          <t>02-Dec-2025</t>
        </is>
      </c>
      <c r="B1146" t="inlineStr">
        <is>
          <t>Tuesday</t>
        </is>
      </c>
      <c r="C1146" t="inlineStr">
        <is>
          <t>Week1-Dec-2025</t>
        </is>
      </c>
      <c r="D1146" s="78" t="n">
        <v>45992</v>
      </c>
      <c r="E1146" t="inlineStr">
        <is>
          <t>Q3FY26</t>
        </is>
      </c>
      <c r="F1146" t="inlineStr">
        <is>
          <t>29-Dec-2026</t>
        </is>
      </c>
      <c r="G1146" t="inlineStr">
        <is>
          <t>Tuesday</t>
        </is>
      </c>
      <c r="H1146" t="inlineStr">
        <is>
          <t>Monthly - Tuesday</t>
        </is>
      </c>
      <c r="I1146" t="inlineStr">
        <is>
          <t>Monthly - Tuesday</t>
        </is>
      </c>
      <c r="J1146" t="inlineStr">
        <is>
          <t>Month+12 Expiry</t>
        </is>
      </c>
      <c r="K1146" s="25" t="n">
        <v>2023</v>
      </c>
      <c r="L1146" s="26" t="n">
        <v>4.1328</v>
      </c>
      <c r="M1146" s="26" t="n">
        <v>0.1395</v>
      </c>
    </row>
    <row r="1147" ht="16" customHeight="1">
      <c r="A1147" t="inlineStr">
        <is>
          <t>02-Dec-2025</t>
        </is>
      </c>
      <c r="B1147" t="inlineStr">
        <is>
          <t>Tuesday</t>
        </is>
      </c>
      <c r="C1147" t="inlineStr">
        <is>
          <t>Week1-Dec-2025</t>
        </is>
      </c>
      <c r="D1147" s="78" t="n">
        <v>45992</v>
      </c>
      <c r="E1147" t="inlineStr">
        <is>
          <t>Q3FY26</t>
        </is>
      </c>
      <c r="F1147" t="inlineStr">
        <is>
          <t>29-Jun-2027</t>
        </is>
      </c>
      <c r="G1147" t="inlineStr">
        <is>
          <t>Tuesday</t>
        </is>
      </c>
      <c r="H1147" t="inlineStr">
        <is>
          <t>Monthly - Tuesday</t>
        </is>
      </c>
      <c r="I1147" t="inlineStr">
        <is>
          <t>Monthly - Tuesday</t>
        </is>
      </c>
      <c r="J1147" t="inlineStr">
        <is>
          <t>Month+18 Expiry</t>
        </is>
      </c>
      <c r="K1147" s="25" t="n">
        <v>9</v>
      </c>
      <c r="L1147" s="26" t="n">
        <v>0.0193</v>
      </c>
      <c r="M1147" s="26" t="n">
        <v>0.0031</v>
      </c>
    </row>
    <row r="1148" ht="16" customHeight="1">
      <c r="A1148" t="inlineStr">
        <is>
          <t>02-Dec-2025</t>
        </is>
      </c>
      <c r="B1148" t="inlineStr">
        <is>
          <t>Tuesday</t>
        </is>
      </c>
      <c r="C1148" t="inlineStr">
        <is>
          <t>Week1-Dec-2025</t>
        </is>
      </c>
      <c r="D1148" s="78" t="n">
        <v>45992</v>
      </c>
      <c r="E1148" t="inlineStr">
        <is>
          <t>Q3FY26</t>
        </is>
      </c>
      <c r="F1148" t="inlineStr">
        <is>
          <t>28-Dec-2027</t>
        </is>
      </c>
      <c r="G1148" t="inlineStr">
        <is>
          <t>Tuesday</t>
        </is>
      </c>
      <c r="H1148" t="inlineStr">
        <is>
          <t>Monthly - Tuesday</t>
        </is>
      </c>
      <c r="I1148" t="inlineStr">
        <is>
          <t>Monthly - Tuesday</t>
        </is>
      </c>
      <c r="J1148" t="inlineStr">
        <is>
          <t>Month+24 Expiry</t>
        </is>
      </c>
      <c r="K1148" s="25" t="n">
        <v>10</v>
      </c>
      <c r="L1148" s="26" t="n">
        <v>0.0199</v>
      </c>
      <c r="M1148" s="26" t="n">
        <v>0.0012</v>
      </c>
    </row>
    <row r="1149" ht="16" customHeight="1">
      <c r="A1149" t="inlineStr">
        <is>
          <t>02-Dec-2025</t>
        </is>
      </c>
      <c r="B1149" t="inlineStr">
        <is>
          <t>Tuesday</t>
        </is>
      </c>
      <c r="C1149" t="inlineStr">
        <is>
          <t>Week1-Dec-2025</t>
        </is>
      </c>
      <c r="D1149" s="78" t="n">
        <v>45992</v>
      </c>
      <c r="E1149" t="inlineStr">
        <is>
          <t>Q3FY26</t>
        </is>
      </c>
      <c r="F1149" t="inlineStr">
        <is>
          <t>27-Jun-2028</t>
        </is>
      </c>
      <c r="G1149" t="inlineStr">
        <is>
          <t>Tuesday</t>
        </is>
      </c>
      <c r="H1149" t="inlineStr">
        <is>
          <t>Monthly - Tuesday</t>
        </is>
      </c>
      <c r="I1149" t="inlineStr">
        <is>
          <t>Monthly - Tuesday</t>
        </is>
      </c>
      <c r="J1149" t="inlineStr">
        <is>
          <t>Month+30 Expiry</t>
        </is>
      </c>
      <c r="K1149" s="25" t="n">
        <v>0</v>
      </c>
      <c r="L1149" s="26" t="n">
        <v>0</v>
      </c>
      <c r="M1149" s="26" t="n">
        <v>0</v>
      </c>
    </row>
    <row r="1150" ht="16" customHeight="1">
      <c r="A1150" t="inlineStr">
        <is>
          <t>02-Dec-2025</t>
        </is>
      </c>
      <c r="B1150" t="inlineStr">
        <is>
          <t>Tuesday</t>
        </is>
      </c>
      <c r="C1150" t="inlineStr">
        <is>
          <t>Week1-Dec-2025</t>
        </is>
      </c>
      <c r="D1150" s="78" t="n">
        <v>45992</v>
      </c>
      <c r="E1150" t="inlineStr">
        <is>
          <t>Q3FY26</t>
        </is>
      </c>
      <c r="F1150" t="inlineStr">
        <is>
          <t>26-Dec-2028</t>
        </is>
      </c>
      <c r="G1150" t="inlineStr">
        <is>
          <t>Tuesday</t>
        </is>
      </c>
      <c r="H1150" t="inlineStr">
        <is>
          <t>Monthly - Tuesday</t>
        </is>
      </c>
      <c r="I1150" t="inlineStr">
        <is>
          <t>Monthly - Tuesday</t>
        </is>
      </c>
      <c r="J1150" t="inlineStr">
        <is>
          <t>Month+36 Expiry</t>
        </is>
      </c>
      <c r="K1150" s="25" t="n">
        <v>15</v>
      </c>
      <c r="L1150" s="26" t="n">
        <v>0.0307</v>
      </c>
      <c r="M1150" s="26" t="n">
        <v>0.0011</v>
      </c>
    </row>
    <row r="1151" ht="16" customHeight="1">
      <c r="A1151" t="inlineStr">
        <is>
          <t>02-Dec-2025</t>
        </is>
      </c>
      <c r="B1151" t="inlineStr">
        <is>
          <t>Tuesday</t>
        </is>
      </c>
      <c r="C1151" t="inlineStr">
        <is>
          <t>Week1-Dec-2025</t>
        </is>
      </c>
      <c r="D1151" s="78" t="n">
        <v>45992</v>
      </c>
      <c r="E1151" t="inlineStr">
        <is>
          <t>Q3FY26</t>
        </is>
      </c>
      <c r="F1151" t="inlineStr">
        <is>
          <t>26-Jun-2029</t>
        </is>
      </c>
      <c r="G1151" t="inlineStr">
        <is>
          <t>Tuesday</t>
        </is>
      </c>
      <c r="H1151" t="inlineStr">
        <is>
          <t>Monthly - Tuesday</t>
        </is>
      </c>
      <c r="I1151" t="inlineStr">
        <is>
          <t>Monthly - Tuesday</t>
        </is>
      </c>
      <c r="J1151" t="inlineStr">
        <is>
          <t>Month+42 Expiry</t>
        </is>
      </c>
      <c r="K1151" s="25" t="n">
        <v>0</v>
      </c>
      <c r="L1151" s="26" t="n">
        <v>0</v>
      </c>
      <c r="M1151" s="26" t="n">
        <v>0</v>
      </c>
    </row>
    <row r="1152" ht="16" customHeight="1">
      <c r="A1152" t="inlineStr">
        <is>
          <t>02-Dec-2025</t>
        </is>
      </c>
      <c r="B1152" t="inlineStr">
        <is>
          <t>Tuesday</t>
        </is>
      </c>
      <c r="C1152" t="inlineStr">
        <is>
          <t>Week1-Dec-2025</t>
        </is>
      </c>
      <c r="D1152" s="78" t="n">
        <v>45992</v>
      </c>
      <c r="E1152" t="inlineStr">
        <is>
          <t>Q3FY26</t>
        </is>
      </c>
      <c r="F1152" t="inlineStr">
        <is>
          <t>24-Dec-2029</t>
        </is>
      </c>
      <c r="G1152" t="inlineStr">
        <is>
          <t>Monday</t>
        </is>
      </c>
      <c r="H1152" t="inlineStr">
        <is>
          <t>Weekly - Monday</t>
        </is>
      </c>
      <c r="I1152" t="inlineStr">
        <is>
          <t>Weekly - Monday</t>
        </is>
      </c>
      <c r="J1152" t="inlineStr">
        <is>
          <t>Month+48 Expiry</t>
        </is>
      </c>
      <c r="K1152" s="25" t="n">
        <v>20</v>
      </c>
      <c r="L1152" s="26" t="n">
        <v>0.0405</v>
      </c>
      <c r="M1152" s="26" t="n">
        <v>0.0015</v>
      </c>
    </row>
    <row r="1153" ht="16" customHeight="1">
      <c r="A1153" t="inlineStr">
        <is>
          <t>02-Dec-2025</t>
        </is>
      </c>
      <c r="B1153" t="inlineStr">
        <is>
          <t>Tuesday</t>
        </is>
      </c>
      <c r="C1153" t="inlineStr">
        <is>
          <t>Week1-Dec-2025</t>
        </is>
      </c>
      <c r="D1153" s="78" t="n">
        <v>45992</v>
      </c>
      <c r="E1153" t="inlineStr">
        <is>
          <t>Q3FY26</t>
        </is>
      </c>
      <c r="F1153" t="inlineStr">
        <is>
          <t>25-Jun-2030</t>
        </is>
      </c>
      <c r="G1153" t="inlineStr">
        <is>
          <t>Tuesday</t>
        </is>
      </c>
      <c r="H1153" t="inlineStr">
        <is>
          <t>Monthly - Tuesday</t>
        </is>
      </c>
      <c r="I1153" t="inlineStr">
        <is>
          <t>Monthly - Tuesday</t>
        </is>
      </c>
      <c r="J1153" t="inlineStr">
        <is>
          <t>Month+54 Expiry</t>
        </is>
      </c>
      <c r="K1153" s="25" t="n">
        <v>0</v>
      </c>
      <c r="L1153" s="26" t="n">
        <v>0</v>
      </c>
      <c r="M1153" s="26" t="n">
        <v>0</v>
      </c>
    </row>
    <row r="1154" ht="16" customHeight="1">
      <c r="A1154" t="inlineStr">
        <is>
          <t>03-Dec-2025</t>
        </is>
      </c>
      <c r="B1154" t="inlineStr">
        <is>
          <t>Wednesday</t>
        </is>
      </c>
      <c r="C1154" t="inlineStr">
        <is>
          <t>Week1-Dec-2025</t>
        </is>
      </c>
      <c r="D1154" s="78" t="n">
        <v>45992</v>
      </c>
      <c r="E1154" t="inlineStr">
        <is>
          <t>Q3FY26</t>
        </is>
      </c>
      <c r="F1154" t="inlineStr">
        <is>
          <t>09-Dec-2025</t>
        </is>
      </c>
      <c r="G1154" t="inlineStr">
        <is>
          <t>Tuesday</t>
        </is>
      </c>
      <c r="H1154" t="inlineStr">
        <is>
          <t>Weekly - Tuesday</t>
        </is>
      </c>
      <c r="I1154" t="inlineStr">
        <is>
          <t>Weekly - Tuesday</t>
        </is>
      </c>
      <c r="J1154" t="inlineStr">
        <is>
          <t>Same Month Expiry</t>
        </is>
      </c>
      <c r="K1154" s="25" t="n">
        <v>47350874</v>
      </c>
      <c r="L1154" s="26" t="n">
        <v>92726.36109999999</v>
      </c>
      <c r="M1154" s="26" t="n">
        <v>266.5244</v>
      </c>
    </row>
    <row r="1155" ht="16" customHeight="1">
      <c r="A1155" t="inlineStr">
        <is>
          <t>03-Dec-2025</t>
        </is>
      </c>
      <c r="B1155" t="inlineStr">
        <is>
          <t>Wednesday</t>
        </is>
      </c>
      <c r="C1155" t="inlineStr">
        <is>
          <t>Week1-Dec-2025</t>
        </is>
      </c>
      <c r="D1155" s="78" t="n">
        <v>45992</v>
      </c>
      <c r="E1155" t="inlineStr">
        <is>
          <t>Q3FY26</t>
        </is>
      </c>
      <c r="F1155" t="inlineStr">
        <is>
          <t>16-Dec-2025</t>
        </is>
      </c>
      <c r="G1155" t="inlineStr">
        <is>
          <t>Tuesday</t>
        </is>
      </c>
      <c r="H1155" t="inlineStr">
        <is>
          <t>Weekly - Tuesday</t>
        </is>
      </c>
      <c r="I1155" t="inlineStr">
        <is>
          <t>Weekly - Tuesday</t>
        </is>
      </c>
      <c r="J1155" t="inlineStr">
        <is>
          <t>Same Month Expiry</t>
        </is>
      </c>
      <c r="K1155" s="25" t="n">
        <v>1020209</v>
      </c>
      <c r="L1155" s="26" t="n">
        <v>2006.1591</v>
      </c>
      <c r="M1155" s="26" t="n">
        <v>7.6381</v>
      </c>
    </row>
    <row r="1156" ht="16" customHeight="1">
      <c r="A1156" t="inlineStr">
        <is>
          <t>03-Dec-2025</t>
        </is>
      </c>
      <c r="B1156" t="inlineStr">
        <is>
          <t>Wednesday</t>
        </is>
      </c>
      <c r="C1156" t="inlineStr">
        <is>
          <t>Week1-Dec-2025</t>
        </is>
      </c>
      <c r="D1156" s="78" t="n">
        <v>45992</v>
      </c>
      <c r="E1156" t="inlineStr">
        <is>
          <t>Q3FY26</t>
        </is>
      </c>
      <c r="F1156" t="inlineStr">
        <is>
          <t>23-Dec-2025</t>
        </is>
      </c>
      <c r="G1156" t="inlineStr">
        <is>
          <t>Tuesday</t>
        </is>
      </c>
      <c r="H1156" t="inlineStr">
        <is>
          <t>Weekly - Tuesday</t>
        </is>
      </c>
      <c r="I1156" t="inlineStr">
        <is>
          <t>Weekly - Tuesday</t>
        </is>
      </c>
      <c r="J1156" t="inlineStr">
        <is>
          <t>Same Month Expiry</t>
        </is>
      </c>
      <c r="K1156" s="25" t="n">
        <v>69841</v>
      </c>
      <c r="L1156" s="26" t="n">
        <v>137.6341</v>
      </c>
      <c r="M1156" s="26" t="n">
        <v>0.7365</v>
      </c>
    </row>
    <row r="1157" ht="16" customHeight="1">
      <c r="A1157" t="inlineStr">
        <is>
          <t>03-Dec-2025</t>
        </is>
      </c>
      <c r="B1157" t="inlineStr">
        <is>
          <t>Wednesday</t>
        </is>
      </c>
      <c r="C1157" t="inlineStr">
        <is>
          <t>Week1-Dec-2025</t>
        </is>
      </c>
      <c r="D1157" s="78" t="n">
        <v>45992</v>
      </c>
      <c r="E1157" t="inlineStr">
        <is>
          <t>Q3FY26</t>
        </is>
      </c>
      <c r="F1157" t="inlineStr">
        <is>
          <t>30-Dec-2025</t>
        </is>
      </c>
      <c r="G1157" t="inlineStr">
        <is>
          <t>Tuesday</t>
        </is>
      </c>
      <c r="H1157" t="inlineStr">
        <is>
          <t>Monthly - Tuesday</t>
        </is>
      </c>
      <c r="I1157" t="inlineStr">
        <is>
          <t>Monthly - Tuesday</t>
        </is>
      </c>
      <c r="J1157" t="inlineStr">
        <is>
          <t>Same Month Expiry</t>
        </is>
      </c>
      <c r="K1157" s="25" t="n">
        <v>1316491</v>
      </c>
      <c r="L1157" s="26" t="n">
        <v>2597.1328</v>
      </c>
      <c r="M1157" s="26" t="n">
        <v>16.5336</v>
      </c>
    </row>
    <row r="1158" ht="16" customHeight="1">
      <c r="A1158" t="inlineStr">
        <is>
          <t>03-Dec-2025</t>
        </is>
      </c>
      <c r="B1158" t="inlineStr">
        <is>
          <t>Wednesday</t>
        </is>
      </c>
      <c r="C1158" t="inlineStr">
        <is>
          <t>Week1-Dec-2025</t>
        </is>
      </c>
      <c r="D1158" s="78" t="n">
        <v>45992</v>
      </c>
      <c r="E1158" t="inlineStr">
        <is>
          <t>Q3FY26</t>
        </is>
      </c>
      <c r="F1158" t="inlineStr">
        <is>
          <t>06-Jan-2026</t>
        </is>
      </c>
      <c r="G1158" t="inlineStr">
        <is>
          <t>Tuesday</t>
        </is>
      </c>
      <c r="H1158" t="inlineStr">
        <is>
          <t>Weekly - Tuesday</t>
        </is>
      </c>
      <c r="I1158" t="inlineStr">
        <is>
          <t>Weekly - Tuesday</t>
        </is>
      </c>
      <c r="J1158" t="inlineStr">
        <is>
          <t>Month+1 Expiry</t>
        </is>
      </c>
      <c r="K1158" s="25" t="n">
        <v>575</v>
      </c>
      <c r="L1158" s="26" t="n">
        <v>0.9868</v>
      </c>
      <c r="M1158" s="26" t="n">
        <v>0.008800000000000001</v>
      </c>
    </row>
    <row r="1159" ht="16" customHeight="1">
      <c r="A1159" t="inlineStr">
        <is>
          <t>03-Dec-2025</t>
        </is>
      </c>
      <c r="B1159" t="inlineStr">
        <is>
          <t>Wednesday</t>
        </is>
      </c>
      <c r="C1159" t="inlineStr">
        <is>
          <t>Week1-Dec-2025</t>
        </is>
      </c>
      <c r="D1159" s="78" t="n">
        <v>45992</v>
      </c>
      <c r="E1159" t="inlineStr">
        <is>
          <t>Q3FY26</t>
        </is>
      </c>
      <c r="F1159" t="inlineStr">
        <is>
          <t>27-Jan-2026</t>
        </is>
      </c>
      <c r="G1159" t="inlineStr">
        <is>
          <t>Tuesday</t>
        </is>
      </c>
      <c r="H1159" t="inlineStr">
        <is>
          <t>Monthly - Tuesday</t>
        </is>
      </c>
      <c r="I1159" t="inlineStr">
        <is>
          <t>Monthly - Tuesday</t>
        </is>
      </c>
      <c r="J1159" t="inlineStr">
        <is>
          <t>Month+1 Expiry</t>
        </is>
      </c>
      <c r="K1159" s="25" t="n">
        <v>102681</v>
      </c>
      <c r="L1159" s="26" t="n">
        <v>176.6771</v>
      </c>
      <c r="M1159" s="26" t="n">
        <v>1.5593</v>
      </c>
    </row>
    <row r="1160" ht="16" customHeight="1">
      <c r="A1160" t="inlineStr">
        <is>
          <t>03-Dec-2025</t>
        </is>
      </c>
      <c r="B1160" t="inlineStr">
        <is>
          <t>Wednesday</t>
        </is>
      </c>
      <c r="C1160" t="inlineStr">
        <is>
          <t>Week1-Dec-2025</t>
        </is>
      </c>
      <c r="D1160" s="78" t="n">
        <v>45992</v>
      </c>
      <c r="E1160" t="inlineStr">
        <is>
          <t>Q3FY26</t>
        </is>
      </c>
      <c r="F1160" t="inlineStr">
        <is>
          <t>24-Feb-2026</t>
        </is>
      </c>
      <c r="G1160" t="inlineStr">
        <is>
          <t>Tuesday</t>
        </is>
      </c>
      <c r="H1160" t="inlineStr">
        <is>
          <t>Monthly - Tuesday</t>
        </is>
      </c>
      <c r="I1160" t="inlineStr">
        <is>
          <t>Monthly - Tuesday</t>
        </is>
      </c>
      <c r="J1160" t="inlineStr">
        <is>
          <t>Month+2 Expiry</t>
        </is>
      </c>
      <c r="K1160" s="25" t="n">
        <v>18888</v>
      </c>
      <c r="L1160" s="26" t="n">
        <v>32.4161</v>
      </c>
      <c r="M1160" s="26" t="n">
        <v>0.3766</v>
      </c>
    </row>
    <row r="1161" ht="16" customHeight="1">
      <c r="A1161" t="inlineStr">
        <is>
          <t>03-Dec-2025</t>
        </is>
      </c>
      <c r="B1161" t="inlineStr">
        <is>
          <t>Wednesday</t>
        </is>
      </c>
      <c r="C1161" t="inlineStr">
        <is>
          <t>Week1-Dec-2025</t>
        </is>
      </c>
      <c r="D1161" s="78" t="n">
        <v>45992</v>
      </c>
      <c r="E1161" t="inlineStr">
        <is>
          <t>Q3FY26</t>
        </is>
      </c>
      <c r="F1161" t="inlineStr">
        <is>
          <t>31-Mar-2026</t>
        </is>
      </c>
      <c r="G1161" t="inlineStr">
        <is>
          <t>Tuesday</t>
        </is>
      </c>
      <c r="H1161" t="inlineStr">
        <is>
          <t>Monthly - Tuesday</t>
        </is>
      </c>
      <c r="I1161" t="inlineStr">
        <is>
          <t>Monthly - Tuesday</t>
        </is>
      </c>
      <c r="J1161" t="inlineStr">
        <is>
          <t>Month+3 Expiry</t>
        </is>
      </c>
      <c r="K1161" s="25" t="n">
        <v>23875</v>
      </c>
      <c r="L1161" s="26" t="n">
        <v>47.5114</v>
      </c>
      <c r="M1161" s="26" t="n">
        <v>0.8925999999999999</v>
      </c>
    </row>
    <row r="1162" ht="16" customHeight="1">
      <c r="A1162" t="inlineStr">
        <is>
          <t>03-Dec-2025</t>
        </is>
      </c>
      <c r="B1162" t="inlineStr">
        <is>
          <t>Wednesday</t>
        </is>
      </c>
      <c r="C1162" t="inlineStr">
        <is>
          <t>Week1-Dec-2025</t>
        </is>
      </c>
      <c r="D1162" s="78" t="n">
        <v>45992</v>
      </c>
      <c r="E1162" t="inlineStr">
        <is>
          <t>Q3FY26</t>
        </is>
      </c>
      <c r="F1162" t="inlineStr">
        <is>
          <t>30-Jun-2026</t>
        </is>
      </c>
      <c r="G1162" t="inlineStr">
        <is>
          <t>Tuesday</t>
        </is>
      </c>
      <c r="H1162" t="inlineStr">
        <is>
          <t>Monthly - Tuesday</t>
        </is>
      </c>
      <c r="I1162" t="inlineStr">
        <is>
          <t>Monthly - Tuesday</t>
        </is>
      </c>
      <c r="J1162" t="inlineStr">
        <is>
          <t>Month+6 Expiry</t>
        </is>
      </c>
      <c r="K1162" s="25" t="n">
        <v>8879</v>
      </c>
      <c r="L1162" s="26" t="n">
        <v>17.847</v>
      </c>
      <c r="M1162" s="26" t="n">
        <v>0.3436</v>
      </c>
    </row>
    <row r="1163" ht="16" customHeight="1">
      <c r="A1163" t="inlineStr">
        <is>
          <t>03-Dec-2025</t>
        </is>
      </c>
      <c r="B1163" t="inlineStr">
        <is>
          <t>Wednesday</t>
        </is>
      </c>
      <c r="C1163" t="inlineStr">
        <is>
          <t>Week1-Dec-2025</t>
        </is>
      </c>
      <c r="D1163" s="78" t="n">
        <v>45992</v>
      </c>
      <c r="E1163" t="inlineStr">
        <is>
          <t>Q3FY26</t>
        </is>
      </c>
      <c r="F1163" t="inlineStr">
        <is>
          <t>29-Sep-2026</t>
        </is>
      </c>
      <c r="G1163" t="inlineStr">
        <is>
          <t>Tuesday</t>
        </is>
      </c>
      <c r="H1163" t="inlineStr">
        <is>
          <t>Monthly - Tuesday</t>
        </is>
      </c>
      <c r="I1163" t="inlineStr">
        <is>
          <t>Monthly - Tuesday</t>
        </is>
      </c>
      <c r="J1163" t="inlineStr">
        <is>
          <t>Month+9 Expiry</t>
        </is>
      </c>
      <c r="K1163" s="25" t="n">
        <v>17</v>
      </c>
      <c r="L1163" s="26" t="n">
        <v>0.0319</v>
      </c>
      <c r="M1163" s="26" t="n">
        <v>0.0005</v>
      </c>
    </row>
    <row r="1164" ht="16" customHeight="1">
      <c r="A1164" t="inlineStr">
        <is>
          <t>03-Dec-2025</t>
        </is>
      </c>
      <c r="B1164" t="inlineStr">
        <is>
          <t>Wednesday</t>
        </is>
      </c>
      <c r="C1164" t="inlineStr">
        <is>
          <t>Week1-Dec-2025</t>
        </is>
      </c>
      <c r="D1164" s="78" t="n">
        <v>45992</v>
      </c>
      <c r="E1164" t="inlineStr">
        <is>
          <t>Q3FY26</t>
        </is>
      </c>
      <c r="F1164" t="inlineStr">
        <is>
          <t>29-Dec-2026</t>
        </is>
      </c>
      <c r="G1164" t="inlineStr">
        <is>
          <t>Tuesday</t>
        </is>
      </c>
      <c r="H1164" t="inlineStr">
        <is>
          <t>Monthly - Tuesday</t>
        </is>
      </c>
      <c r="I1164" t="inlineStr">
        <is>
          <t>Monthly - Tuesday</t>
        </is>
      </c>
      <c r="J1164" t="inlineStr">
        <is>
          <t>Month+12 Expiry</t>
        </is>
      </c>
      <c r="K1164" s="25" t="n">
        <v>3444</v>
      </c>
      <c r="L1164" s="26" t="n">
        <v>6.9806</v>
      </c>
      <c r="M1164" s="26" t="n">
        <v>0.2081</v>
      </c>
    </row>
    <row r="1165" ht="16" customHeight="1">
      <c r="A1165" t="inlineStr">
        <is>
          <t>03-Dec-2025</t>
        </is>
      </c>
      <c r="B1165" t="inlineStr">
        <is>
          <t>Wednesday</t>
        </is>
      </c>
      <c r="C1165" t="inlineStr">
        <is>
          <t>Week1-Dec-2025</t>
        </is>
      </c>
      <c r="D1165" s="78" t="n">
        <v>45992</v>
      </c>
      <c r="E1165" t="inlineStr">
        <is>
          <t>Q3FY26</t>
        </is>
      </c>
      <c r="F1165" t="inlineStr">
        <is>
          <t>29-Jun-2027</t>
        </is>
      </c>
      <c r="G1165" t="inlineStr">
        <is>
          <t>Tuesday</t>
        </is>
      </c>
      <c r="H1165" t="inlineStr">
        <is>
          <t>Monthly - Tuesday</t>
        </is>
      </c>
      <c r="I1165" t="inlineStr">
        <is>
          <t>Monthly - Tuesday</t>
        </is>
      </c>
      <c r="J1165" t="inlineStr">
        <is>
          <t>Month+18 Expiry</t>
        </is>
      </c>
      <c r="K1165" s="25" t="n">
        <v>0</v>
      </c>
      <c r="L1165" s="26" t="n">
        <v>0</v>
      </c>
      <c r="M1165" s="26" t="n">
        <v>0</v>
      </c>
    </row>
    <row r="1166" ht="16" customHeight="1">
      <c r="A1166" t="inlineStr">
        <is>
          <t>03-Dec-2025</t>
        </is>
      </c>
      <c r="B1166" t="inlineStr">
        <is>
          <t>Wednesday</t>
        </is>
      </c>
      <c r="C1166" t="inlineStr">
        <is>
          <t>Week1-Dec-2025</t>
        </is>
      </c>
      <c r="D1166" s="78" t="n">
        <v>45992</v>
      </c>
      <c r="E1166" t="inlineStr">
        <is>
          <t>Q3FY26</t>
        </is>
      </c>
      <c r="F1166" t="inlineStr">
        <is>
          <t>28-Dec-2027</t>
        </is>
      </c>
      <c r="G1166" t="inlineStr">
        <is>
          <t>Tuesday</t>
        </is>
      </c>
      <c r="H1166" t="inlineStr">
        <is>
          <t>Monthly - Tuesday</t>
        </is>
      </c>
      <c r="I1166" t="inlineStr">
        <is>
          <t>Monthly - Tuesday</t>
        </is>
      </c>
      <c r="J1166" t="inlineStr">
        <is>
          <t>Month+24 Expiry</t>
        </is>
      </c>
      <c r="K1166" s="25" t="n">
        <v>14</v>
      </c>
      <c r="L1166" s="26" t="n">
        <v>0.0285</v>
      </c>
      <c r="M1166" s="26" t="n">
        <v>0.0011</v>
      </c>
    </row>
    <row r="1167" ht="16" customHeight="1">
      <c r="A1167" t="inlineStr">
        <is>
          <t>03-Dec-2025</t>
        </is>
      </c>
      <c r="B1167" t="inlineStr">
        <is>
          <t>Wednesday</t>
        </is>
      </c>
      <c r="C1167" t="inlineStr">
        <is>
          <t>Week1-Dec-2025</t>
        </is>
      </c>
      <c r="D1167" s="78" t="n">
        <v>45992</v>
      </c>
      <c r="E1167" t="inlineStr">
        <is>
          <t>Q3FY26</t>
        </is>
      </c>
      <c r="F1167" t="inlineStr">
        <is>
          <t>27-Jun-2028</t>
        </is>
      </c>
      <c r="G1167" t="inlineStr">
        <is>
          <t>Tuesday</t>
        </is>
      </c>
      <c r="H1167" t="inlineStr">
        <is>
          <t>Monthly - Tuesday</t>
        </is>
      </c>
      <c r="I1167" t="inlineStr">
        <is>
          <t>Monthly - Tuesday</t>
        </is>
      </c>
      <c r="J1167" t="inlineStr">
        <is>
          <t>Month+30 Expiry</t>
        </is>
      </c>
      <c r="K1167" s="25" t="n">
        <v>0</v>
      </c>
      <c r="L1167" s="26" t="n">
        <v>0</v>
      </c>
      <c r="M1167" s="26" t="n">
        <v>0</v>
      </c>
    </row>
    <row r="1168" ht="16" customHeight="1">
      <c r="A1168" t="inlineStr">
        <is>
          <t>03-Dec-2025</t>
        </is>
      </c>
      <c r="B1168" t="inlineStr">
        <is>
          <t>Wednesday</t>
        </is>
      </c>
      <c r="C1168" t="inlineStr">
        <is>
          <t>Week1-Dec-2025</t>
        </is>
      </c>
      <c r="D1168" s="78" t="n">
        <v>45992</v>
      </c>
      <c r="E1168" t="inlineStr">
        <is>
          <t>Q3FY26</t>
        </is>
      </c>
      <c r="F1168" t="inlineStr">
        <is>
          <t>26-Dec-2028</t>
        </is>
      </c>
      <c r="G1168" t="inlineStr">
        <is>
          <t>Tuesday</t>
        </is>
      </c>
      <c r="H1168" t="inlineStr">
        <is>
          <t>Monthly - Tuesday</t>
        </is>
      </c>
      <c r="I1168" t="inlineStr">
        <is>
          <t>Monthly - Tuesday</t>
        </is>
      </c>
      <c r="J1168" t="inlineStr">
        <is>
          <t>Month+36 Expiry</t>
        </is>
      </c>
      <c r="K1168" s="25" t="n">
        <v>9</v>
      </c>
      <c r="L1168" s="26" t="n">
        <v>0.0182</v>
      </c>
      <c r="M1168" s="26" t="n">
        <v>0.0005999999999999999</v>
      </c>
    </row>
    <row r="1169" ht="16" customHeight="1">
      <c r="A1169" t="inlineStr">
        <is>
          <t>03-Dec-2025</t>
        </is>
      </c>
      <c r="B1169" t="inlineStr">
        <is>
          <t>Wednesday</t>
        </is>
      </c>
      <c r="C1169" t="inlineStr">
        <is>
          <t>Week1-Dec-2025</t>
        </is>
      </c>
      <c r="D1169" s="78" t="n">
        <v>45992</v>
      </c>
      <c r="E1169" t="inlineStr">
        <is>
          <t>Q3FY26</t>
        </is>
      </c>
      <c r="F1169" t="inlineStr">
        <is>
          <t>26-Jun-2029</t>
        </is>
      </c>
      <c r="G1169" t="inlineStr">
        <is>
          <t>Tuesday</t>
        </is>
      </c>
      <c r="H1169" t="inlineStr">
        <is>
          <t>Monthly - Tuesday</t>
        </is>
      </c>
      <c r="I1169" t="inlineStr">
        <is>
          <t>Monthly - Tuesday</t>
        </is>
      </c>
      <c r="J1169" t="inlineStr">
        <is>
          <t>Month+42 Expiry</t>
        </is>
      </c>
      <c r="K1169" s="25" t="n">
        <v>0</v>
      </c>
      <c r="L1169" s="26" t="n">
        <v>0</v>
      </c>
      <c r="M1169" s="26" t="n">
        <v>0</v>
      </c>
    </row>
    <row r="1170" ht="16" customHeight="1">
      <c r="A1170" t="inlineStr">
        <is>
          <t>03-Dec-2025</t>
        </is>
      </c>
      <c r="B1170" t="inlineStr">
        <is>
          <t>Wednesday</t>
        </is>
      </c>
      <c r="C1170" t="inlineStr">
        <is>
          <t>Week1-Dec-2025</t>
        </is>
      </c>
      <c r="D1170" s="78" t="n">
        <v>45992</v>
      </c>
      <c r="E1170" t="inlineStr">
        <is>
          <t>Q3FY26</t>
        </is>
      </c>
      <c r="F1170" t="inlineStr">
        <is>
          <t>24-Dec-2029</t>
        </is>
      </c>
      <c r="G1170" t="inlineStr">
        <is>
          <t>Monday</t>
        </is>
      </c>
      <c r="H1170" t="inlineStr">
        <is>
          <t>Weekly - Monday</t>
        </is>
      </c>
      <c r="I1170" t="inlineStr">
        <is>
          <t>Weekly - Monday</t>
        </is>
      </c>
      <c r="J1170" t="inlineStr">
        <is>
          <t>Month+48 Expiry</t>
        </is>
      </c>
      <c r="K1170" s="25" t="n">
        <v>0</v>
      </c>
      <c r="L1170" s="26" t="n">
        <v>0</v>
      </c>
      <c r="M1170" s="26" t="n">
        <v>0</v>
      </c>
    </row>
    <row r="1171" ht="16" customHeight="1">
      <c r="A1171" t="inlineStr">
        <is>
          <t>03-Dec-2025</t>
        </is>
      </c>
      <c r="B1171" t="inlineStr">
        <is>
          <t>Wednesday</t>
        </is>
      </c>
      <c r="C1171" t="inlineStr">
        <is>
          <t>Week1-Dec-2025</t>
        </is>
      </c>
      <c r="D1171" s="78" t="n">
        <v>45992</v>
      </c>
      <c r="E1171" t="inlineStr">
        <is>
          <t>Q3FY26</t>
        </is>
      </c>
      <c r="F1171" t="inlineStr">
        <is>
          <t>25-Jun-2030</t>
        </is>
      </c>
      <c r="G1171" t="inlineStr">
        <is>
          <t>Tuesday</t>
        </is>
      </c>
      <c r="H1171" t="inlineStr">
        <is>
          <t>Monthly - Tuesday</t>
        </is>
      </c>
      <c r="I1171" t="inlineStr">
        <is>
          <t>Monthly - Tuesday</t>
        </is>
      </c>
      <c r="J1171" t="inlineStr">
        <is>
          <t>Month+54 Expiry</t>
        </is>
      </c>
      <c r="K1171" s="25" t="n">
        <v>0</v>
      </c>
      <c r="L1171" s="26" t="n">
        <v>0</v>
      </c>
      <c r="M1171" s="26" t="n">
        <v>0</v>
      </c>
    </row>
    <row r="1172" ht="16" customHeight="1">
      <c r="A1172" t="inlineStr">
        <is>
          <t>04-Dec-2025</t>
        </is>
      </c>
      <c r="B1172" t="inlineStr">
        <is>
          <t>Thursday</t>
        </is>
      </c>
      <c r="C1172" t="inlineStr">
        <is>
          <t>Week1-Dec-2025</t>
        </is>
      </c>
      <c r="D1172" s="78" t="n">
        <v>45992</v>
      </c>
      <c r="E1172" t="inlineStr">
        <is>
          <t>Q3FY26</t>
        </is>
      </c>
      <c r="F1172" t="inlineStr">
        <is>
          <t>09-Dec-2025</t>
        </is>
      </c>
      <c r="G1172" t="inlineStr">
        <is>
          <t>Tuesday</t>
        </is>
      </c>
      <c r="H1172" t="inlineStr">
        <is>
          <t>Weekly - Tuesday</t>
        </is>
      </c>
      <c r="I1172" t="inlineStr">
        <is>
          <t>Weekly - Tuesday</t>
        </is>
      </c>
      <c r="J1172" t="inlineStr">
        <is>
          <t>Same Month Expiry</t>
        </is>
      </c>
      <c r="K1172" s="25" t="n">
        <v>50710932</v>
      </c>
      <c r="L1172" s="26" t="n">
        <v>99210.42019999999</v>
      </c>
      <c r="M1172" s="26" t="n">
        <v>249.4272</v>
      </c>
    </row>
    <row r="1173" ht="16" customHeight="1">
      <c r="A1173" t="inlineStr">
        <is>
          <t>04-Dec-2025</t>
        </is>
      </c>
      <c r="B1173" t="inlineStr">
        <is>
          <t>Thursday</t>
        </is>
      </c>
      <c r="C1173" t="inlineStr">
        <is>
          <t>Week1-Dec-2025</t>
        </is>
      </c>
      <c r="D1173" s="78" t="n">
        <v>45992</v>
      </c>
      <c r="E1173" t="inlineStr">
        <is>
          <t>Q3FY26</t>
        </is>
      </c>
      <c r="F1173" t="inlineStr">
        <is>
          <t>16-Dec-2025</t>
        </is>
      </c>
      <c r="G1173" t="inlineStr">
        <is>
          <t>Tuesday</t>
        </is>
      </c>
      <c r="H1173" t="inlineStr">
        <is>
          <t>Weekly - Tuesday</t>
        </is>
      </c>
      <c r="I1173" t="inlineStr">
        <is>
          <t>Weekly - Tuesday</t>
        </is>
      </c>
      <c r="J1173" t="inlineStr">
        <is>
          <t>Same Month Expiry</t>
        </is>
      </c>
      <c r="K1173" s="25" t="n">
        <v>1376176</v>
      </c>
      <c r="L1173" s="26" t="n">
        <v>2703.1754</v>
      </c>
      <c r="M1173" s="26" t="n">
        <v>10.3321</v>
      </c>
    </row>
    <row r="1174" ht="16" customHeight="1">
      <c r="A1174" t="inlineStr">
        <is>
          <t>04-Dec-2025</t>
        </is>
      </c>
      <c r="B1174" t="inlineStr">
        <is>
          <t>Thursday</t>
        </is>
      </c>
      <c r="C1174" t="inlineStr">
        <is>
          <t>Week1-Dec-2025</t>
        </is>
      </c>
      <c r="D1174" s="78" t="n">
        <v>45992</v>
      </c>
      <c r="E1174" t="inlineStr">
        <is>
          <t>Q3FY26</t>
        </is>
      </c>
      <c r="F1174" t="inlineStr">
        <is>
          <t>23-Dec-2025</t>
        </is>
      </c>
      <c r="G1174" t="inlineStr">
        <is>
          <t>Tuesday</t>
        </is>
      </c>
      <c r="H1174" t="inlineStr">
        <is>
          <t>Weekly - Tuesday</t>
        </is>
      </c>
      <c r="I1174" t="inlineStr">
        <is>
          <t>Weekly - Tuesday</t>
        </is>
      </c>
      <c r="J1174" t="inlineStr">
        <is>
          <t>Same Month Expiry</t>
        </is>
      </c>
      <c r="K1174" s="25" t="n">
        <v>77956</v>
      </c>
      <c r="L1174" s="26" t="n">
        <v>153.528</v>
      </c>
      <c r="M1174" s="26" t="n">
        <v>0.8037</v>
      </c>
    </row>
    <row r="1175" ht="16" customHeight="1">
      <c r="A1175" t="inlineStr">
        <is>
          <t>04-Dec-2025</t>
        </is>
      </c>
      <c r="B1175" t="inlineStr">
        <is>
          <t>Thursday</t>
        </is>
      </c>
      <c r="C1175" t="inlineStr">
        <is>
          <t>Week1-Dec-2025</t>
        </is>
      </c>
      <c r="D1175" s="78" t="n">
        <v>45992</v>
      </c>
      <c r="E1175" t="inlineStr">
        <is>
          <t>Q3FY26</t>
        </is>
      </c>
      <c r="F1175" t="inlineStr">
        <is>
          <t>30-Dec-2025</t>
        </is>
      </c>
      <c r="G1175" t="inlineStr">
        <is>
          <t>Tuesday</t>
        </is>
      </c>
      <c r="H1175" t="inlineStr">
        <is>
          <t>Monthly - Tuesday</t>
        </is>
      </c>
      <c r="I1175" t="inlineStr">
        <is>
          <t>Monthly - Tuesday</t>
        </is>
      </c>
      <c r="J1175" t="inlineStr">
        <is>
          <t>Same Month Expiry</t>
        </is>
      </c>
      <c r="K1175" s="25" t="n">
        <v>1070620</v>
      </c>
      <c r="L1175" s="26" t="n">
        <v>2106.1452</v>
      </c>
      <c r="M1175" s="26" t="n">
        <v>13.68</v>
      </c>
    </row>
    <row r="1176" ht="16" customHeight="1">
      <c r="A1176" t="inlineStr">
        <is>
          <t>04-Dec-2025</t>
        </is>
      </c>
      <c r="B1176" t="inlineStr">
        <is>
          <t>Thursday</t>
        </is>
      </c>
      <c r="C1176" t="inlineStr">
        <is>
          <t>Week1-Dec-2025</t>
        </is>
      </c>
      <c r="D1176" s="78" t="n">
        <v>45992</v>
      </c>
      <c r="E1176" t="inlineStr">
        <is>
          <t>Q3FY26</t>
        </is>
      </c>
      <c r="F1176" t="inlineStr">
        <is>
          <t>06-Jan-2026</t>
        </is>
      </c>
      <c r="G1176" t="inlineStr">
        <is>
          <t>Tuesday</t>
        </is>
      </c>
      <c r="H1176" t="inlineStr">
        <is>
          <t>Weekly - Tuesday</t>
        </is>
      </c>
      <c r="I1176" t="inlineStr">
        <is>
          <t>Weekly - Tuesday</t>
        </is>
      </c>
      <c r="J1176" t="inlineStr">
        <is>
          <t>Month+1 Expiry</t>
        </is>
      </c>
      <c r="K1176" s="25" t="n">
        <v>1138</v>
      </c>
      <c r="L1176" s="26" t="n">
        <v>1.9611</v>
      </c>
      <c r="M1176" s="26" t="n">
        <v>0.0136</v>
      </c>
    </row>
    <row r="1177" ht="16" customHeight="1">
      <c r="A1177" t="inlineStr">
        <is>
          <t>04-Dec-2025</t>
        </is>
      </c>
      <c r="B1177" t="inlineStr">
        <is>
          <t>Thursday</t>
        </is>
      </c>
      <c r="C1177" t="inlineStr">
        <is>
          <t>Week1-Dec-2025</t>
        </is>
      </c>
      <c r="D1177" s="78" t="n">
        <v>45992</v>
      </c>
      <c r="E1177" t="inlineStr">
        <is>
          <t>Q3FY26</t>
        </is>
      </c>
      <c r="F1177" t="inlineStr">
        <is>
          <t>27-Jan-2026</t>
        </is>
      </c>
      <c r="G1177" t="inlineStr">
        <is>
          <t>Tuesday</t>
        </is>
      </c>
      <c r="H1177" t="inlineStr">
        <is>
          <t>Monthly - Tuesday</t>
        </is>
      </c>
      <c r="I1177" t="inlineStr">
        <is>
          <t>Monthly - Tuesday</t>
        </is>
      </c>
      <c r="J1177" t="inlineStr">
        <is>
          <t>Month+1 Expiry</t>
        </is>
      </c>
      <c r="K1177" s="25" t="n">
        <v>88251</v>
      </c>
      <c r="L1177" s="26" t="n">
        <v>150.7568</v>
      </c>
      <c r="M1177" s="26" t="n">
        <v>1.2995</v>
      </c>
    </row>
    <row r="1178" ht="16" customHeight="1">
      <c r="A1178" t="inlineStr">
        <is>
          <t>04-Dec-2025</t>
        </is>
      </c>
      <c r="B1178" t="inlineStr">
        <is>
          <t>Thursday</t>
        </is>
      </c>
      <c r="C1178" t="inlineStr">
        <is>
          <t>Week1-Dec-2025</t>
        </is>
      </c>
      <c r="D1178" s="78" t="n">
        <v>45992</v>
      </c>
      <c r="E1178" t="inlineStr">
        <is>
          <t>Q3FY26</t>
        </is>
      </c>
      <c r="F1178" t="inlineStr">
        <is>
          <t>24-Feb-2026</t>
        </is>
      </c>
      <c r="G1178" t="inlineStr">
        <is>
          <t>Tuesday</t>
        </is>
      </c>
      <c r="H1178" t="inlineStr">
        <is>
          <t>Monthly - Tuesday</t>
        </is>
      </c>
      <c r="I1178" t="inlineStr">
        <is>
          <t>Monthly - Tuesday</t>
        </is>
      </c>
      <c r="J1178" t="inlineStr">
        <is>
          <t>Month+2 Expiry</t>
        </is>
      </c>
      <c r="K1178" s="25" t="n">
        <v>18637</v>
      </c>
      <c r="L1178" s="26" t="n">
        <v>31.8511</v>
      </c>
      <c r="M1178" s="26" t="n">
        <v>0.3298</v>
      </c>
    </row>
    <row r="1179" ht="16" customHeight="1">
      <c r="A1179" t="inlineStr">
        <is>
          <t>04-Dec-2025</t>
        </is>
      </c>
      <c r="B1179" t="inlineStr">
        <is>
          <t>Thursday</t>
        </is>
      </c>
      <c r="C1179" t="inlineStr">
        <is>
          <t>Week1-Dec-2025</t>
        </is>
      </c>
      <c r="D1179" s="78" t="n">
        <v>45992</v>
      </c>
      <c r="E1179" t="inlineStr">
        <is>
          <t>Q3FY26</t>
        </is>
      </c>
      <c r="F1179" t="inlineStr">
        <is>
          <t>31-Mar-2026</t>
        </is>
      </c>
      <c r="G1179" t="inlineStr">
        <is>
          <t>Tuesday</t>
        </is>
      </c>
      <c r="H1179" t="inlineStr">
        <is>
          <t>Monthly - Tuesday</t>
        </is>
      </c>
      <c r="I1179" t="inlineStr">
        <is>
          <t>Monthly - Tuesday</t>
        </is>
      </c>
      <c r="J1179" t="inlineStr">
        <is>
          <t>Month+3 Expiry</t>
        </is>
      </c>
      <c r="K1179" s="25" t="n">
        <v>22406</v>
      </c>
      <c r="L1179" s="26" t="n">
        <v>44.739</v>
      </c>
      <c r="M1179" s="26" t="n">
        <v>0.7017</v>
      </c>
    </row>
    <row r="1180" ht="16" customHeight="1">
      <c r="A1180" t="inlineStr">
        <is>
          <t>04-Dec-2025</t>
        </is>
      </c>
      <c r="B1180" t="inlineStr">
        <is>
          <t>Thursday</t>
        </is>
      </c>
      <c r="C1180" t="inlineStr">
        <is>
          <t>Week1-Dec-2025</t>
        </is>
      </c>
      <c r="D1180" s="78" t="n">
        <v>45992</v>
      </c>
      <c r="E1180" t="inlineStr">
        <is>
          <t>Q3FY26</t>
        </is>
      </c>
      <c r="F1180" t="inlineStr">
        <is>
          <t>30-Jun-2026</t>
        </is>
      </c>
      <c r="G1180" t="inlineStr">
        <is>
          <t>Tuesday</t>
        </is>
      </c>
      <c r="H1180" t="inlineStr">
        <is>
          <t>Monthly - Tuesday</t>
        </is>
      </c>
      <c r="I1180" t="inlineStr">
        <is>
          <t>Monthly - Tuesday</t>
        </is>
      </c>
      <c r="J1180" t="inlineStr">
        <is>
          <t>Month+6 Expiry</t>
        </is>
      </c>
      <c r="K1180" s="25" t="n">
        <v>6417</v>
      </c>
      <c r="L1180" s="26" t="n">
        <v>12.8247</v>
      </c>
      <c r="M1180" s="26" t="n">
        <v>0.2139</v>
      </c>
    </row>
    <row r="1181" ht="16" customHeight="1">
      <c r="A1181" t="inlineStr">
        <is>
          <t>04-Dec-2025</t>
        </is>
      </c>
      <c r="B1181" t="inlineStr">
        <is>
          <t>Thursday</t>
        </is>
      </c>
      <c r="C1181" t="inlineStr">
        <is>
          <t>Week1-Dec-2025</t>
        </is>
      </c>
      <c r="D1181" s="78" t="n">
        <v>45992</v>
      </c>
      <c r="E1181" t="inlineStr">
        <is>
          <t>Q3FY26</t>
        </is>
      </c>
      <c r="F1181" t="inlineStr">
        <is>
          <t>29-Sep-2026</t>
        </is>
      </c>
      <c r="G1181" t="inlineStr">
        <is>
          <t>Tuesday</t>
        </is>
      </c>
      <c r="H1181" t="inlineStr">
        <is>
          <t>Monthly - Tuesday</t>
        </is>
      </c>
      <c r="I1181" t="inlineStr">
        <is>
          <t>Monthly - Tuesday</t>
        </is>
      </c>
      <c r="J1181" t="inlineStr">
        <is>
          <t>Month+9 Expiry</t>
        </is>
      </c>
      <c r="K1181" s="25" t="n">
        <v>51</v>
      </c>
      <c r="L1181" s="26" t="n">
        <v>0.0969</v>
      </c>
      <c r="M1181" s="26" t="n">
        <v>0.0015</v>
      </c>
    </row>
    <row r="1182" ht="16" customHeight="1">
      <c r="A1182" t="inlineStr">
        <is>
          <t>04-Dec-2025</t>
        </is>
      </c>
      <c r="B1182" t="inlineStr">
        <is>
          <t>Thursday</t>
        </is>
      </c>
      <c r="C1182" t="inlineStr">
        <is>
          <t>Week1-Dec-2025</t>
        </is>
      </c>
      <c r="D1182" s="78" t="n">
        <v>45992</v>
      </c>
      <c r="E1182" t="inlineStr">
        <is>
          <t>Q3FY26</t>
        </is>
      </c>
      <c r="F1182" t="inlineStr">
        <is>
          <t>29-Dec-2026</t>
        </is>
      </c>
      <c r="G1182" t="inlineStr">
        <is>
          <t>Tuesday</t>
        </is>
      </c>
      <c r="H1182" t="inlineStr">
        <is>
          <t>Monthly - Tuesday</t>
        </is>
      </c>
      <c r="I1182" t="inlineStr">
        <is>
          <t>Monthly - Tuesday</t>
        </is>
      </c>
      <c r="J1182" t="inlineStr">
        <is>
          <t>Month+12 Expiry</t>
        </is>
      </c>
      <c r="K1182" s="25" t="n">
        <v>2192</v>
      </c>
      <c r="L1182" s="26" t="n">
        <v>4.5933</v>
      </c>
      <c r="M1182" s="26" t="n">
        <v>0.1781</v>
      </c>
    </row>
    <row r="1183" ht="16" customHeight="1">
      <c r="A1183" t="inlineStr">
        <is>
          <t>04-Dec-2025</t>
        </is>
      </c>
      <c r="B1183" t="inlineStr">
        <is>
          <t>Thursday</t>
        </is>
      </c>
      <c r="C1183" t="inlineStr">
        <is>
          <t>Week1-Dec-2025</t>
        </is>
      </c>
      <c r="D1183" s="78" t="n">
        <v>45992</v>
      </c>
      <c r="E1183" t="inlineStr">
        <is>
          <t>Q3FY26</t>
        </is>
      </c>
      <c r="F1183" t="inlineStr">
        <is>
          <t>29-Jun-2027</t>
        </is>
      </c>
      <c r="G1183" t="inlineStr">
        <is>
          <t>Tuesday</t>
        </is>
      </c>
      <c r="H1183" t="inlineStr">
        <is>
          <t>Monthly - Tuesday</t>
        </is>
      </c>
      <c r="I1183" t="inlineStr">
        <is>
          <t>Monthly - Tuesday</t>
        </is>
      </c>
      <c r="J1183" t="inlineStr">
        <is>
          <t>Month+18 Expiry</t>
        </is>
      </c>
      <c r="K1183" s="25" t="n">
        <v>1</v>
      </c>
      <c r="L1183" s="26" t="n">
        <v>0.0021</v>
      </c>
      <c r="M1183" s="26" t="n">
        <v>0.0003</v>
      </c>
    </row>
    <row r="1184" ht="16" customHeight="1">
      <c r="A1184" t="inlineStr">
        <is>
          <t>04-Dec-2025</t>
        </is>
      </c>
      <c r="B1184" t="inlineStr">
        <is>
          <t>Thursday</t>
        </is>
      </c>
      <c r="C1184" t="inlineStr">
        <is>
          <t>Week1-Dec-2025</t>
        </is>
      </c>
      <c r="D1184" s="78" t="n">
        <v>45992</v>
      </c>
      <c r="E1184" t="inlineStr">
        <is>
          <t>Q3FY26</t>
        </is>
      </c>
      <c r="F1184" t="inlineStr">
        <is>
          <t>28-Dec-2027</t>
        </is>
      </c>
      <c r="G1184" t="inlineStr">
        <is>
          <t>Tuesday</t>
        </is>
      </c>
      <c r="H1184" t="inlineStr">
        <is>
          <t>Monthly - Tuesday</t>
        </is>
      </c>
      <c r="I1184" t="inlineStr">
        <is>
          <t>Monthly - Tuesday</t>
        </is>
      </c>
      <c r="J1184" t="inlineStr">
        <is>
          <t>Month+24 Expiry</t>
        </is>
      </c>
      <c r="K1184" s="25" t="n">
        <v>8</v>
      </c>
      <c r="L1184" s="26" t="n">
        <v>0.0173</v>
      </c>
      <c r="M1184" s="26" t="n">
        <v>0.0016</v>
      </c>
    </row>
    <row r="1185" ht="16" customHeight="1">
      <c r="A1185" t="inlineStr">
        <is>
          <t>04-Dec-2025</t>
        </is>
      </c>
      <c r="B1185" t="inlineStr">
        <is>
          <t>Thursday</t>
        </is>
      </c>
      <c r="C1185" t="inlineStr">
        <is>
          <t>Week1-Dec-2025</t>
        </is>
      </c>
      <c r="D1185" s="78" t="n">
        <v>45992</v>
      </c>
      <c r="E1185" t="inlineStr">
        <is>
          <t>Q3FY26</t>
        </is>
      </c>
      <c r="F1185" t="inlineStr">
        <is>
          <t>27-Jun-2028</t>
        </is>
      </c>
      <c r="G1185" t="inlineStr">
        <is>
          <t>Tuesday</t>
        </is>
      </c>
      <c r="H1185" t="inlineStr">
        <is>
          <t>Monthly - Tuesday</t>
        </is>
      </c>
      <c r="I1185" t="inlineStr">
        <is>
          <t>Monthly - Tuesday</t>
        </is>
      </c>
      <c r="J1185" t="inlineStr">
        <is>
          <t>Month+30 Expiry</t>
        </is>
      </c>
      <c r="K1185" s="25" t="n">
        <v>0</v>
      </c>
      <c r="L1185" s="26" t="n">
        <v>0</v>
      </c>
      <c r="M1185" s="26" t="n">
        <v>0</v>
      </c>
    </row>
    <row r="1186" ht="16" customHeight="1">
      <c r="A1186" t="inlineStr">
        <is>
          <t>04-Dec-2025</t>
        </is>
      </c>
      <c r="B1186" t="inlineStr">
        <is>
          <t>Thursday</t>
        </is>
      </c>
      <c r="C1186" t="inlineStr">
        <is>
          <t>Week1-Dec-2025</t>
        </is>
      </c>
      <c r="D1186" s="78" t="n">
        <v>45992</v>
      </c>
      <c r="E1186" t="inlineStr">
        <is>
          <t>Q3FY26</t>
        </is>
      </c>
      <c r="F1186" t="inlineStr">
        <is>
          <t>26-Dec-2028</t>
        </is>
      </c>
      <c r="G1186" t="inlineStr">
        <is>
          <t>Tuesday</t>
        </is>
      </c>
      <c r="H1186" t="inlineStr">
        <is>
          <t>Monthly - Tuesday</t>
        </is>
      </c>
      <c r="I1186" t="inlineStr">
        <is>
          <t>Monthly - Tuesday</t>
        </is>
      </c>
      <c r="J1186" t="inlineStr">
        <is>
          <t>Month+36 Expiry</t>
        </is>
      </c>
      <c r="K1186" s="25" t="n">
        <v>2</v>
      </c>
      <c r="L1186" s="26" t="n">
        <v>0.0039</v>
      </c>
      <c r="M1186" s="26" t="n">
        <v>0.0001</v>
      </c>
    </row>
    <row r="1187" ht="16" customHeight="1">
      <c r="A1187" t="inlineStr">
        <is>
          <t>04-Dec-2025</t>
        </is>
      </c>
      <c r="B1187" t="inlineStr">
        <is>
          <t>Thursday</t>
        </is>
      </c>
      <c r="C1187" t="inlineStr">
        <is>
          <t>Week1-Dec-2025</t>
        </is>
      </c>
      <c r="D1187" s="78" t="n">
        <v>45992</v>
      </c>
      <c r="E1187" t="inlineStr">
        <is>
          <t>Q3FY26</t>
        </is>
      </c>
      <c r="F1187" t="inlineStr">
        <is>
          <t>26-Jun-2029</t>
        </is>
      </c>
      <c r="G1187" t="inlineStr">
        <is>
          <t>Tuesday</t>
        </is>
      </c>
      <c r="H1187" t="inlineStr">
        <is>
          <t>Monthly - Tuesday</t>
        </is>
      </c>
      <c r="I1187" t="inlineStr">
        <is>
          <t>Monthly - Tuesday</t>
        </is>
      </c>
      <c r="J1187" t="inlineStr">
        <is>
          <t>Month+42 Expiry</t>
        </is>
      </c>
      <c r="K1187" s="25" t="n">
        <v>0</v>
      </c>
      <c r="L1187" s="26" t="n">
        <v>0</v>
      </c>
      <c r="M1187" s="26" t="n">
        <v>0</v>
      </c>
    </row>
    <row r="1188" ht="16" customHeight="1">
      <c r="A1188" t="inlineStr">
        <is>
          <t>04-Dec-2025</t>
        </is>
      </c>
      <c r="B1188" t="inlineStr">
        <is>
          <t>Thursday</t>
        </is>
      </c>
      <c r="C1188" t="inlineStr">
        <is>
          <t>Week1-Dec-2025</t>
        </is>
      </c>
      <c r="D1188" s="78" t="n">
        <v>45992</v>
      </c>
      <c r="E1188" t="inlineStr">
        <is>
          <t>Q3FY26</t>
        </is>
      </c>
      <c r="F1188" t="inlineStr">
        <is>
          <t>24-Dec-2029</t>
        </is>
      </c>
      <c r="G1188" t="inlineStr">
        <is>
          <t>Monday</t>
        </is>
      </c>
      <c r="H1188" t="inlineStr">
        <is>
          <t>Weekly - Monday</t>
        </is>
      </c>
      <c r="I1188" t="inlineStr">
        <is>
          <t>Weekly - Monday</t>
        </is>
      </c>
      <c r="J1188" t="inlineStr">
        <is>
          <t>Month+48 Expiry</t>
        </is>
      </c>
      <c r="K1188" s="25" t="n">
        <v>0</v>
      </c>
      <c r="L1188" s="26" t="n">
        <v>0</v>
      </c>
      <c r="M1188" s="26" t="n">
        <v>0</v>
      </c>
    </row>
    <row r="1189" ht="16" customHeight="1">
      <c r="A1189" t="inlineStr">
        <is>
          <t>04-Dec-2025</t>
        </is>
      </c>
      <c r="B1189" t="inlineStr">
        <is>
          <t>Thursday</t>
        </is>
      </c>
      <c r="C1189" t="inlineStr">
        <is>
          <t>Week1-Dec-2025</t>
        </is>
      </c>
      <c r="D1189" s="78" t="n">
        <v>45992</v>
      </c>
      <c r="E1189" t="inlineStr">
        <is>
          <t>Q3FY26</t>
        </is>
      </c>
      <c r="F1189" t="inlineStr">
        <is>
          <t>25-Jun-2030</t>
        </is>
      </c>
      <c r="G1189" t="inlineStr">
        <is>
          <t>Tuesday</t>
        </is>
      </c>
      <c r="H1189" t="inlineStr">
        <is>
          <t>Monthly - Tuesday</t>
        </is>
      </c>
      <c r="I1189" t="inlineStr">
        <is>
          <t>Monthly - Tuesday</t>
        </is>
      </c>
      <c r="J1189" t="inlineStr">
        <is>
          <t>Month+54 Expiry</t>
        </is>
      </c>
      <c r="K1189" s="25" t="n">
        <v>0</v>
      </c>
      <c r="L1189" s="26" t="n">
        <v>0</v>
      </c>
      <c r="M1189" s="26" t="n">
        <v>0</v>
      </c>
    </row>
    <row r="1190" ht="16" customHeight="1">
      <c r="A1190" t="inlineStr">
        <is>
          <t>05-Dec-2025</t>
        </is>
      </c>
      <c r="B1190" t="inlineStr">
        <is>
          <t>Friday</t>
        </is>
      </c>
      <c r="C1190" t="inlineStr">
        <is>
          <t>Week1-Dec-2025</t>
        </is>
      </c>
      <c r="D1190" s="78" t="n">
        <v>45992</v>
      </c>
      <c r="E1190" t="inlineStr">
        <is>
          <t>Q3FY26</t>
        </is>
      </c>
      <c r="F1190" t="inlineStr">
        <is>
          <t>09-Dec-2025</t>
        </is>
      </c>
      <c r="G1190" t="inlineStr">
        <is>
          <t>Tuesday</t>
        </is>
      </c>
      <c r="H1190" t="inlineStr">
        <is>
          <t>Weekly - Tuesday</t>
        </is>
      </c>
      <c r="I1190" t="inlineStr">
        <is>
          <t>Weekly - Tuesday</t>
        </is>
      </c>
      <c r="J1190" t="inlineStr">
        <is>
          <t>Same Month Expiry</t>
        </is>
      </c>
      <c r="K1190" s="25" t="n">
        <v>104321653</v>
      </c>
      <c r="L1190" s="26" t="n">
        <v>204552.9326</v>
      </c>
      <c r="M1190" s="26" t="n">
        <v>416.6419</v>
      </c>
    </row>
    <row r="1191" ht="16" customHeight="1">
      <c r="A1191" t="inlineStr">
        <is>
          <t>05-Dec-2025</t>
        </is>
      </c>
      <c r="B1191" t="inlineStr">
        <is>
          <t>Friday</t>
        </is>
      </c>
      <c r="C1191" t="inlineStr">
        <is>
          <t>Week1-Dec-2025</t>
        </is>
      </c>
      <c r="D1191" s="78" t="n">
        <v>45992</v>
      </c>
      <c r="E1191" t="inlineStr">
        <is>
          <t>Q3FY26</t>
        </is>
      </c>
      <c r="F1191" t="inlineStr">
        <is>
          <t>16-Dec-2025</t>
        </is>
      </c>
      <c r="G1191" t="inlineStr">
        <is>
          <t>Tuesday</t>
        </is>
      </c>
      <c r="H1191" t="inlineStr">
        <is>
          <t>Weekly - Tuesday</t>
        </is>
      </c>
      <c r="I1191" t="inlineStr">
        <is>
          <t>Weekly - Tuesday</t>
        </is>
      </c>
      <c r="J1191" t="inlineStr">
        <is>
          <t>Same Month Expiry</t>
        </is>
      </c>
      <c r="K1191" s="25" t="n">
        <v>2802860</v>
      </c>
      <c r="L1191" s="26" t="n">
        <v>5512.7326</v>
      </c>
      <c r="M1191" s="26" t="n">
        <v>18.3927</v>
      </c>
    </row>
    <row r="1192" ht="16" customHeight="1">
      <c r="A1192" t="inlineStr">
        <is>
          <t>05-Dec-2025</t>
        </is>
      </c>
      <c r="B1192" t="inlineStr">
        <is>
          <t>Friday</t>
        </is>
      </c>
      <c r="C1192" t="inlineStr">
        <is>
          <t>Week1-Dec-2025</t>
        </is>
      </c>
      <c r="D1192" s="78" t="n">
        <v>45992</v>
      </c>
      <c r="E1192" t="inlineStr">
        <is>
          <t>Q3FY26</t>
        </is>
      </c>
      <c r="F1192" t="inlineStr">
        <is>
          <t>23-Dec-2025</t>
        </is>
      </c>
      <c r="G1192" t="inlineStr">
        <is>
          <t>Tuesday</t>
        </is>
      </c>
      <c r="H1192" t="inlineStr">
        <is>
          <t>Weekly - Tuesday</t>
        </is>
      </c>
      <c r="I1192" t="inlineStr">
        <is>
          <t>Weekly - Tuesday</t>
        </is>
      </c>
      <c r="J1192" t="inlineStr">
        <is>
          <t>Same Month Expiry</t>
        </is>
      </c>
      <c r="K1192" s="25" t="n">
        <v>192601</v>
      </c>
      <c r="L1192" s="26" t="n">
        <v>380.1566</v>
      </c>
      <c r="M1192" s="26" t="n">
        <v>1.7525</v>
      </c>
    </row>
    <row r="1193" ht="16" customHeight="1">
      <c r="A1193" t="inlineStr">
        <is>
          <t>05-Dec-2025</t>
        </is>
      </c>
      <c r="B1193" t="inlineStr">
        <is>
          <t>Friday</t>
        </is>
      </c>
      <c r="C1193" t="inlineStr">
        <is>
          <t>Week1-Dec-2025</t>
        </is>
      </c>
      <c r="D1193" s="78" t="n">
        <v>45992</v>
      </c>
      <c r="E1193" t="inlineStr">
        <is>
          <t>Q3FY26</t>
        </is>
      </c>
      <c r="F1193" t="inlineStr">
        <is>
          <t>30-Dec-2025</t>
        </is>
      </c>
      <c r="G1193" t="inlineStr">
        <is>
          <t>Tuesday</t>
        </is>
      </c>
      <c r="H1193" t="inlineStr">
        <is>
          <t>Monthly - Tuesday</t>
        </is>
      </c>
      <c r="I1193" t="inlineStr">
        <is>
          <t>Monthly - Tuesday</t>
        </is>
      </c>
      <c r="J1193" t="inlineStr">
        <is>
          <t>Same Month Expiry</t>
        </is>
      </c>
      <c r="K1193" s="25" t="n">
        <v>1577388</v>
      </c>
      <c r="L1193" s="26" t="n">
        <v>3105.6863</v>
      </c>
      <c r="M1193" s="26" t="n">
        <v>18.6961</v>
      </c>
    </row>
    <row r="1194" ht="16" customHeight="1">
      <c r="A1194" t="inlineStr">
        <is>
          <t>05-Dec-2025</t>
        </is>
      </c>
      <c r="B1194" t="inlineStr">
        <is>
          <t>Friday</t>
        </is>
      </c>
      <c r="C1194" t="inlineStr">
        <is>
          <t>Week1-Dec-2025</t>
        </is>
      </c>
      <c r="D1194" s="78" t="n">
        <v>45992</v>
      </c>
      <c r="E1194" t="inlineStr">
        <is>
          <t>Q3FY26</t>
        </is>
      </c>
      <c r="F1194" t="inlineStr">
        <is>
          <t>06-Jan-2026</t>
        </is>
      </c>
      <c r="G1194" t="inlineStr">
        <is>
          <t>Tuesday</t>
        </is>
      </c>
      <c r="H1194" t="inlineStr">
        <is>
          <t>Weekly - Tuesday</t>
        </is>
      </c>
      <c r="I1194" t="inlineStr">
        <is>
          <t>Weekly - Tuesday</t>
        </is>
      </c>
      <c r="J1194" t="inlineStr">
        <is>
          <t>Month+1 Expiry</t>
        </is>
      </c>
      <c r="K1194" s="25" t="n">
        <v>2814</v>
      </c>
      <c r="L1194" s="26" t="n">
        <v>4.8564</v>
      </c>
      <c r="M1194" s="26" t="n">
        <v>0.0383</v>
      </c>
    </row>
    <row r="1195" ht="16" customHeight="1">
      <c r="A1195" t="inlineStr">
        <is>
          <t>05-Dec-2025</t>
        </is>
      </c>
      <c r="B1195" t="inlineStr">
        <is>
          <t>Friday</t>
        </is>
      </c>
      <c r="C1195" t="inlineStr">
        <is>
          <t>Week1-Dec-2025</t>
        </is>
      </c>
      <c r="D1195" s="78" t="n">
        <v>45992</v>
      </c>
      <c r="E1195" t="inlineStr">
        <is>
          <t>Q3FY26</t>
        </is>
      </c>
      <c r="F1195" t="inlineStr">
        <is>
          <t>27-Jan-2026</t>
        </is>
      </c>
      <c r="G1195" t="inlineStr">
        <is>
          <t>Tuesday</t>
        </is>
      </c>
      <c r="H1195" t="inlineStr">
        <is>
          <t>Monthly - Tuesday</t>
        </is>
      </c>
      <c r="I1195" t="inlineStr">
        <is>
          <t>Monthly - Tuesday</t>
        </is>
      </c>
      <c r="J1195" t="inlineStr">
        <is>
          <t>Month+1 Expiry</t>
        </is>
      </c>
      <c r="K1195" s="25" t="n">
        <v>171357</v>
      </c>
      <c r="L1195" s="26" t="n">
        <v>292.1909</v>
      </c>
      <c r="M1195" s="26" t="n">
        <v>2.2279</v>
      </c>
    </row>
    <row r="1196" ht="16" customHeight="1">
      <c r="A1196" t="inlineStr">
        <is>
          <t>05-Dec-2025</t>
        </is>
      </c>
      <c r="B1196" t="inlineStr">
        <is>
          <t>Friday</t>
        </is>
      </c>
      <c r="C1196" t="inlineStr">
        <is>
          <t>Week1-Dec-2025</t>
        </is>
      </c>
      <c r="D1196" s="78" t="n">
        <v>45992</v>
      </c>
      <c r="E1196" t="inlineStr">
        <is>
          <t>Q3FY26</t>
        </is>
      </c>
      <c r="F1196" t="inlineStr">
        <is>
          <t>24-Feb-2026</t>
        </is>
      </c>
      <c r="G1196" t="inlineStr">
        <is>
          <t>Tuesday</t>
        </is>
      </c>
      <c r="H1196" t="inlineStr">
        <is>
          <t>Monthly - Tuesday</t>
        </is>
      </c>
      <c r="I1196" t="inlineStr">
        <is>
          <t>Monthly - Tuesday</t>
        </is>
      </c>
      <c r="J1196" t="inlineStr">
        <is>
          <t>Month+2 Expiry</t>
        </is>
      </c>
      <c r="K1196" s="25" t="n">
        <v>21432</v>
      </c>
      <c r="L1196" s="26" t="n">
        <v>36.673</v>
      </c>
      <c r="M1196" s="26" t="n">
        <v>0.3903</v>
      </c>
    </row>
    <row r="1197" ht="16" customHeight="1">
      <c r="A1197" t="inlineStr">
        <is>
          <t>05-Dec-2025</t>
        </is>
      </c>
      <c r="B1197" t="inlineStr">
        <is>
          <t>Friday</t>
        </is>
      </c>
      <c r="C1197" t="inlineStr">
        <is>
          <t>Week1-Dec-2025</t>
        </is>
      </c>
      <c r="D1197" s="78" t="n">
        <v>45992</v>
      </c>
      <c r="E1197" t="inlineStr">
        <is>
          <t>Q3FY26</t>
        </is>
      </c>
      <c r="F1197" t="inlineStr">
        <is>
          <t>31-Mar-2026</t>
        </is>
      </c>
      <c r="G1197" t="inlineStr">
        <is>
          <t>Tuesday</t>
        </is>
      </c>
      <c r="H1197" t="inlineStr">
        <is>
          <t>Monthly - Tuesday</t>
        </is>
      </c>
      <c r="I1197" t="inlineStr">
        <is>
          <t>Monthly - Tuesday</t>
        </is>
      </c>
      <c r="J1197" t="inlineStr">
        <is>
          <t>Month+3 Expiry</t>
        </is>
      </c>
      <c r="K1197" s="25" t="n">
        <v>27572</v>
      </c>
      <c r="L1197" s="26" t="n">
        <v>54.4215</v>
      </c>
      <c r="M1197" s="26" t="n">
        <v>0.7657</v>
      </c>
    </row>
    <row r="1198" ht="16" customHeight="1">
      <c r="A1198" t="inlineStr">
        <is>
          <t>05-Dec-2025</t>
        </is>
      </c>
      <c r="B1198" t="inlineStr">
        <is>
          <t>Friday</t>
        </is>
      </c>
      <c r="C1198" t="inlineStr">
        <is>
          <t>Week1-Dec-2025</t>
        </is>
      </c>
      <c r="D1198" s="78" t="n">
        <v>45992</v>
      </c>
      <c r="E1198" t="inlineStr">
        <is>
          <t>Q3FY26</t>
        </is>
      </c>
      <c r="F1198" t="inlineStr">
        <is>
          <t>30-Jun-2026</t>
        </is>
      </c>
      <c r="G1198" t="inlineStr">
        <is>
          <t>Tuesday</t>
        </is>
      </c>
      <c r="H1198" t="inlineStr">
        <is>
          <t>Monthly - Tuesday</t>
        </is>
      </c>
      <c r="I1198" t="inlineStr">
        <is>
          <t>Monthly - Tuesday</t>
        </is>
      </c>
      <c r="J1198" t="inlineStr">
        <is>
          <t>Month+6 Expiry</t>
        </is>
      </c>
      <c r="K1198" s="25" t="n">
        <v>12922</v>
      </c>
      <c r="L1198" s="26" t="n">
        <v>25.8255</v>
      </c>
      <c r="M1198" s="26" t="n">
        <v>0.3841</v>
      </c>
    </row>
    <row r="1199" ht="16" customHeight="1">
      <c r="A1199" t="inlineStr">
        <is>
          <t>05-Dec-2025</t>
        </is>
      </c>
      <c r="B1199" t="inlineStr">
        <is>
          <t>Friday</t>
        </is>
      </c>
      <c r="C1199" t="inlineStr">
        <is>
          <t>Week1-Dec-2025</t>
        </is>
      </c>
      <c r="D1199" s="78" t="n">
        <v>45992</v>
      </c>
      <c r="E1199" t="inlineStr">
        <is>
          <t>Q3FY26</t>
        </is>
      </c>
      <c r="F1199" t="inlineStr">
        <is>
          <t>29-Sep-2026</t>
        </is>
      </c>
      <c r="G1199" t="inlineStr">
        <is>
          <t>Tuesday</t>
        </is>
      </c>
      <c r="H1199" t="inlineStr">
        <is>
          <t>Monthly - Tuesday</t>
        </is>
      </c>
      <c r="I1199" t="inlineStr">
        <is>
          <t>Monthly - Tuesday</t>
        </is>
      </c>
      <c r="J1199" t="inlineStr">
        <is>
          <t>Month+9 Expiry</t>
        </is>
      </c>
      <c r="K1199" s="25" t="n">
        <v>82</v>
      </c>
      <c r="L1199" s="26" t="n">
        <v>0.1569</v>
      </c>
      <c r="M1199" s="26" t="n">
        <v>0.0028</v>
      </c>
    </row>
    <row r="1200" ht="16" customHeight="1">
      <c r="A1200" t="inlineStr">
        <is>
          <t>05-Dec-2025</t>
        </is>
      </c>
      <c r="B1200" t="inlineStr">
        <is>
          <t>Friday</t>
        </is>
      </c>
      <c r="C1200" t="inlineStr">
        <is>
          <t>Week1-Dec-2025</t>
        </is>
      </c>
      <c r="D1200" s="78" t="n">
        <v>45992</v>
      </c>
      <c r="E1200" t="inlineStr">
        <is>
          <t>Q3FY26</t>
        </is>
      </c>
      <c r="F1200" t="inlineStr">
        <is>
          <t>29-Dec-2026</t>
        </is>
      </c>
      <c r="G1200" t="inlineStr">
        <is>
          <t>Tuesday</t>
        </is>
      </c>
      <c r="H1200" t="inlineStr">
        <is>
          <t>Monthly - Tuesday</t>
        </is>
      </c>
      <c r="I1200" t="inlineStr">
        <is>
          <t>Monthly - Tuesday</t>
        </is>
      </c>
      <c r="J1200" t="inlineStr">
        <is>
          <t>Month+12 Expiry</t>
        </is>
      </c>
      <c r="K1200" s="25" t="n">
        <v>6298</v>
      </c>
      <c r="L1200" s="26" t="n">
        <v>12.1031</v>
      </c>
      <c r="M1200" s="26" t="n">
        <v>0.2918</v>
      </c>
    </row>
    <row r="1201" ht="16" customHeight="1">
      <c r="A1201" t="inlineStr">
        <is>
          <t>05-Dec-2025</t>
        </is>
      </c>
      <c r="B1201" t="inlineStr">
        <is>
          <t>Friday</t>
        </is>
      </c>
      <c r="C1201" t="inlineStr">
        <is>
          <t>Week1-Dec-2025</t>
        </is>
      </c>
      <c r="D1201" s="78" t="n">
        <v>45992</v>
      </c>
      <c r="E1201" t="inlineStr">
        <is>
          <t>Q3FY26</t>
        </is>
      </c>
      <c r="F1201" t="inlineStr">
        <is>
          <t>29-Jun-2027</t>
        </is>
      </c>
      <c r="G1201" t="inlineStr">
        <is>
          <t>Tuesday</t>
        </is>
      </c>
      <c r="H1201" t="inlineStr">
        <is>
          <t>Monthly - Tuesday</t>
        </is>
      </c>
      <c r="I1201" t="inlineStr">
        <is>
          <t>Monthly - Tuesday</t>
        </is>
      </c>
      <c r="J1201" t="inlineStr">
        <is>
          <t>Month+18 Expiry</t>
        </is>
      </c>
      <c r="K1201" s="25" t="n">
        <v>0</v>
      </c>
      <c r="L1201" s="26" t="n">
        <v>0</v>
      </c>
      <c r="M1201" s="26" t="n">
        <v>0</v>
      </c>
    </row>
    <row r="1202" ht="16" customHeight="1">
      <c r="A1202" t="inlineStr">
        <is>
          <t>05-Dec-2025</t>
        </is>
      </c>
      <c r="B1202" t="inlineStr">
        <is>
          <t>Friday</t>
        </is>
      </c>
      <c r="C1202" t="inlineStr">
        <is>
          <t>Week1-Dec-2025</t>
        </is>
      </c>
      <c r="D1202" s="78" t="n">
        <v>45992</v>
      </c>
      <c r="E1202" t="inlineStr">
        <is>
          <t>Q3FY26</t>
        </is>
      </c>
      <c r="F1202" t="inlineStr">
        <is>
          <t>28-Dec-2027</t>
        </is>
      </c>
      <c r="G1202" t="inlineStr">
        <is>
          <t>Tuesday</t>
        </is>
      </c>
      <c r="H1202" t="inlineStr">
        <is>
          <t>Monthly - Tuesday</t>
        </is>
      </c>
      <c r="I1202" t="inlineStr">
        <is>
          <t>Monthly - Tuesday</t>
        </is>
      </c>
      <c r="J1202" t="inlineStr">
        <is>
          <t>Month+24 Expiry</t>
        </is>
      </c>
      <c r="K1202" s="25" t="n">
        <v>2</v>
      </c>
      <c r="L1202" s="26" t="n">
        <v>0.004</v>
      </c>
      <c r="M1202" s="26" t="n">
        <v>0.0001</v>
      </c>
    </row>
    <row r="1203" ht="16" customHeight="1">
      <c r="A1203" t="inlineStr">
        <is>
          <t>05-Dec-2025</t>
        </is>
      </c>
      <c r="B1203" t="inlineStr">
        <is>
          <t>Friday</t>
        </is>
      </c>
      <c r="C1203" t="inlineStr">
        <is>
          <t>Week1-Dec-2025</t>
        </is>
      </c>
      <c r="D1203" s="78" t="n">
        <v>45992</v>
      </c>
      <c r="E1203" t="inlineStr">
        <is>
          <t>Q3FY26</t>
        </is>
      </c>
      <c r="F1203" t="inlineStr">
        <is>
          <t>27-Jun-2028</t>
        </is>
      </c>
      <c r="G1203" t="inlineStr">
        <is>
          <t>Tuesday</t>
        </is>
      </c>
      <c r="H1203" t="inlineStr">
        <is>
          <t>Monthly - Tuesday</t>
        </is>
      </c>
      <c r="I1203" t="inlineStr">
        <is>
          <t>Monthly - Tuesday</t>
        </is>
      </c>
      <c r="J1203" t="inlineStr">
        <is>
          <t>Month+30 Expiry</t>
        </is>
      </c>
      <c r="K1203" s="25" t="n">
        <v>0</v>
      </c>
      <c r="L1203" s="26" t="n">
        <v>0</v>
      </c>
      <c r="M1203" s="26" t="n">
        <v>0</v>
      </c>
    </row>
    <row r="1204" ht="16" customHeight="1">
      <c r="A1204" t="inlineStr">
        <is>
          <t>05-Dec-2025</t>
        </is>
      </c>
      <c r="B1204" t="inlineStr">
        <is>
          <t>Friday</t>
        </is>
      </c>
      <c r="C1204" t="inlineStr">
        <is>
          <t>Week1-Dec-2025</t>
        </is>
      </c>
      <c r="D1204" s="78" t="n">
        <v>45992</v>
      </c>
      <c r="E1204" t="inlineStr">
        <is>
          <t>Q3FY26</t>
        </is>
      </c>
      <c r="F1204" t="inlineStr">
        <is>
          <t>26-Dec-2028</t>
        </is>
      </c>
      <c r="G1204" t="inlineStr">
        <is>
          <t>Tuesday</t>
        </is>
      </c>
      <c r="H1204" t="inlineStr">
        <is>
          <t>Monthly - Tuesday</t>
        </is>
      </c>
      <c r="I1204" t="inlineStr">
        <is>
          <t>Monthly - Tuesday</t>
        </is>
      </c>
      <c r="J1204" t="inlineStr">
        <is>
          <t>Month+36 Expiry</t>
        </is>
      </c>
      <c r="K1204" s="25" t="n">
        <v>2</v>
      </c>
      <c r="L1204" s="26" t="n">
        <v>0.0041</v>
      </c>
      <c r="M1204" s="26" t="n">
        <v>0.0001</v>
      </c>
    </row>
    <row r="1205" ht="16" customHeight="1">
      <c r="A1205" t="inlineStr">
        <is>
          <t>05-Dec-2025</t>
        </is>
      </c>
      <c r="B1205" t="inlineStr">
        <is>
          <t>Friday</t>
        </is>
      </c>
      <c r="C1205" t="inlineStr">
        <is>
          <t>Week1-Dec-2025</t>
        </is>
      </c>
      <c r="D1205" s="78" t="n">
        <v>45992</v>
      </c>
      <c r="E1205" t="inlineStr">
        <is>
          <t>Q3FY26</t>
        </is>
      </c>
      <c r="F1205" t="inlineStr">
        <is>
          <t>26-Jun-2029</t>
        </is>
      </c>
      <c r="G1205" t="inlineStr">
        <is>
          <t>Tuesday</t>
        </is>
      </c>
      <c r="H1205" t="inlineStr">
        <is>
          <t>Monthly - Tuesday</t>
        </is>
      </c>
      <c r="I1205" t="inlineStr">
        <is>
          <t>Monthly - Tuesday</t>
        </is>
      </c>
      <c r="J1205" t="inlineStr">
        <is>
          <t>Month+42 Expiry</t>
        </is>
      </c>
      <c r="K1205" s="25" t="n">
        <v>0</v>
      </c>
      <c r="L1205" s="26" t="n">
        <v>0</v>
      </c>
      <c r="M1205" s="26" t="n">
        <v>0</v>
      </c>
    </row>
    <row r="1206" ht="16" customHeight="1">
      <c r="A1206" t="inlineStr">
        <is>
          <t>05-Dec-2025</t>
        </is>
      </c>
      <c r="B1206" t="inlineStr">
        <is>
          <t>Friday</t>
        </is>
      </c>
      <c r="C1206" t="inlineStr">
        <is>
          <t>Week1-Dec-2025</t>
        </is>
      </c>
      <c r="D1206" s="78" t="n">
        <v>45992</v>
      </c>
      <c r="E1206" t="inlineStr">
        <is>
          <t>Q3FY26</t>
        </is>
      </c>
      <c r="F1206" t="inlineStr">
        <is>
          <t>24-Dec-2029</t>
        </is>
      </c>
      <c r="G1206" t="inlineStr">
        <is>
          <t>Monday</t>
        </is>
      </c>
      <c r="H1206" t="inlineStr">
        <is>
          <t>Weekly - Monday</t>
        </is>
      </c>
      <c r="I1206" t="inlineStr">
        <is>
          <t>Weekly - Monday</t>
        </is>
      </c>
      <c r="J1206" t="inlineStr">
        <is>
          <t>Month+48 Expiry</t>
        </is>
      </c>
      <c r="K1206" s="25" t="n">
        <v>0</v>
      </c>
      <c r="L1206" s="26" t="n">
        <v>0</v>
      </c>
      <c r="M1206" s="26" t="n">
        <v>0</v>
      </c>
    </row>
    <row r="1207" ht="16" customHeight="1">
      <c r="A1207" t="inlineStr">
        <is>
          <t>05-Dec-2025</t>
        </is>
      </c>
      <c r="B1207" t="inlineStr">
        <is>
          <t>Friday</t>
        </is>
      </c>
      <c r="C1207" t="inlineStr">
        <is>
          <t>Week1-Dec-2025</t>
        </is>
      </c>
      <c r="D1207" s="78" t="n">
        <v>45992</v>
      </c>
      <c r="E1207" t="inlineStr">
        <is>
          <t>Q3FY26</t>
        </is>
      </c>
      <c r="F1207" t="inlineStr">
        <is>
          <t>25-Jun-2030</t>
        </is>
      </c>
      <c r="G1207" t="inlineStr">
        <is>
          <t>Tuesday</t>
        </is>
      </c>
      <c r="H1207" t="inlineStr">
        <is>
          <t>Monthly - Tuesday</t>
        </is>
      </c>
      <c r="I1207" t="inlineStr">
        <is>
          <t>Monthly - Tuesday</t>
        </is>
      </c>
      <c r="J1207" t="inlineStr">
        <is>
          <t>Month+54 Expiry</t>
        </is>
      </c>
      <c r="K1207" s="25" t="n">
        <v>0</v>
      </c>
      <c r="L1207" s="26" t="n">
        <v>0</v>
      </c>
      <c r="M1207" s="26" t="n">
        <v>0</v>
      </c>
    </row>
    <row r="1208" ht="16" customHeight="1">
      <c r="A1208" t="inlineStr">
        <is>
          <t>08-Dec-2025</t>
        </is>
      </c>
      <c r="B1208" t="inlineStr">
        <is>
          <t>Monday</t>
        </is>
      </c>
      <c r="C1208" t="inlineStr">
        <is>
          <t>Week2-Dec-2025</t>
        </is>
      </c>
      <c r="D1208" s="78" t="n">
        <v>45992</v>
      </c>
      <c r="E1208" t="inlineStr">
        <is>
          <t>Q3FY26</t>
        </is>
      </c>
      <c r="F1208" t="inlineStr">
        <is>
          <t>09-Dec-2025</t>
        </is>
      </c>
      <c r="G1208" t="inlineStr">
        <is>
          <t>Tuesday</t>
        </is>
      </c>
      <c r="H1208" t="inlineStr">
        <is>
          <t>Weekly - Tuesday</t>
        </is>
      </c>
      <c r="I1208" t="inlineStr">
        <is>
          <t>Weekly - Tuesday</t>
        </is>
      </c>
      <c r="J1208" t="inlineStr">
        <is>
          <t>Same Month Expiry</t>
        </is>
      </c>
      <c r="K1208" s="25" t="n">
        <v>149462521</v>
      </c>
      <c r="L1208" s="26" t="n">
        <v>292743.1631</v>
      </c>
      <c r="M1208" s="26" t="n">
        <v>456.7026</v>
      </c>
    </row>
    <row r="1209" ht="16" customHeight="1">
      <c r="A1209" t="inlineStr">
        <is>
          <t>08-Dec-2025</t>
        </is>
      </c>
      <c r="B1209" t="inlineStr">
        <is>
          <t>Monday</t>
        </is>
      </c>
      <c r="C1209" t="inlineStr">
        <is>
          <t>Week2-Dec-2025</t>
        </is>
      </c>
      <c r="D1209" s="78" t="n">
        <v>45992</v>
      </c>
      <c r="E1209" t="inlineStr">
        <is>
          <t>Q3FY26</t>
        </is>
      </c>
      <c r="F1209" t="inlineStr">
        <is>
          <t>16-Dec-2025</t>
        </is>
      </c>
      <c r="G1209" t="inlineStr">
        <is>
          <t>Tuesday</t>
        </is>
      </c>
      <c r="H1209" t="inlineStr">
        <is>
          <t>Weekly - Tuesday</t>
        </is>
      </c>
      <c r="I1209" t="inlineStr">
        <is>
          <t>Weekly - Tuesday</t>
        </is>
      </c>
      <c r="J1209" t="inlineStr">
        <is>
          <t>Same Month Expiry</t>
        </is>
      </c>
      <c r="K1209" s="25" t="n">
        <v>5761246</v>
      </c>
      <c r="L1209" s="26" t="n">
        <v>11329.6536</v>
      </c>
      <c r="M1209" s="26" t="n">
        <v>32.717</v>
      </c>
    </row>
    <row r="1210" ht="16" customHeight="1">
      <c r="A1210" t="inlineStr">
        <is>
          <t>08-Dec-2025</t>
        </is>
      </c>
      <c r="B1210" t="inlineStr">
        <is>
          <t>Monday</t>
        </is>
      </c>
      <c r="C1210" t="inlineStr">
        <is>
          <t>Week2-Dec-2025</t>
        </is>
      </c>
      <c r="D1210" s="78" t="n">
        <v>45992</v>
      </c>
      <c r="E1210" t="inlineStr">
        <is>
          <t>Q3FY26</t>
        </is>
      </c>
      <c r="F1210" t="inlineStr">
        <is>
          <t>23-Dec-2025</t>
        </is>
      </c>
      <c r="G1210" t="inlineStr">
        <is>
          <t>Tuesday</t>
        </is>
      </c>
      <c r="H1210" t="inlineStr">
        <is>
          <t>Weekly - Tuesday</t>
        </is>
      </c>
      <c r="I1210" t="inlineStr">
        <is>
          <t>Weekly - Tuesday</t>
        </is>
      </c>
      <c r="J1210" t="inlineStr">
        <is>
          <t>Same Month Expiry</t>
        </is>
      </c>
      <c r="K1210" s="25" t="n">
        <v>334349</v>
      </c>
      <c r="L1210" s="26" t="n">
        <v>659.2536</v>
      </c>
      <c r="M1210" s="26" t="n">
        <v>2.9228</v>
      </c>
    </row>
    <row r="1211" ht="16" customHeight="1">
      <c r="A1211" t="inlineStr">
        <is>
          <t>08-Dec-2025</t>
        </is>
      </c>
      <c r="B1211" t="inlineStr">
        <is>
          <t>Monday</t>
        </is>
      </c>
      <c r="C1211" t="inlineStr">
        <is>
          <t>Week2-Dec-2025</t>
        </is>
      </c>
      <c r="D1211" s="78" t="n">
        <v>45992</v>
      </c>
      <c r="E1211" t="inlineStr">
        <is>
          <t>Q3FY26</t>
        </is>
      </c>
      <c r="F1211" t="inlineStr">
        <is>
          <t>30-Dec-2025</t>
        </is>
      </c>
      <c r="G1211" t="inlineStr">
        <is>
          <t>Tuesday</t>
        </is>
      </c>
      <c r="H1211" t="inlineStr">
        <is>
          <t>Monthly - Tuesday</t>
        </is>
      </c>
      <c r="I1211" t="inlineStr">
        <is>
          <t>Monthly - Tuesday</t>
        </is>
      </c>
      <c r="J1211" t="inlineStr">
        <is>
          <t>Same Month Expiry</t>
        </is>
      </c>
      <c r="K1211" s="25" t="n">
        <v>1751787</v>
      </c>
      <c r="L1211" s="26" t="n">
        <v>3446.3441</v>
      </c>
      <c r="M1211" s="26" t="n">
        <v>19.8551</v>
      </c>
    </row>
    <row r="1212" ht="16" customHeight="1">
      <c r="A1212" t="inlineStr">
        <is>
          <t>08-Dec-2025</t>
        </is>
      </c>
      <c r="B1212" t="inlineStr">
        <is>
          <t>Monday</t>
        </is>
      </c>
      <c r="C1212" t="inlineStr">
        <is>
          <t>Week2-Dec-2025</t>
        </is>
      </c>
      <c r="D1212" s="78" t="n">
        <v>45992</v>
      </c>
      <c r="E1212" t="inlineStr">
        <is>
          <t>Q3FY26</t>
        </is>
      </c>
      <c r="F1212" t="inlineStr">
        <is>
          <t>06-Jan-2026</t>
        </is>
      </c>
      <c r="G1212" t="inlineStr">
        <is>
          <t>Tuesday</t>
        </is>
      </c>
      <c r="H1212" t="inlineStr">
        <is>
          <t>Weekly - Tuesday</t>
        </is>
      </c>
      <c r="I1212" t="inlineStr">
        <is>
          <t>Weekly - Tuesday</t>
        </is>
      </c>
      <c r="J1212" t="inlineStr">
        <is>
          <t>Month+1 Expiry</t>
        </is>
      </c>
      <c r="K1212" s="25" t="n">
        <v>6798</v>
      </c>
      <c r="L1212" s="26" t="n">
        <v>11.667</v>
      </c>
      <c r="M1212" s="26" t="n">
        <v>0.06909999999999999</v>
      </c>
    </row>
    <row r="1213" ht="16" customHeight="1">
      <c r="A1213" t="inlineStr">
        <is>
          <t>08-Dec-2025</t>
        </is>
      </c>
      <c r="B1213" t="inlineStr">
        <is>
          <t>Monday</t>
        </is>
      </c>
      <c r="C1213" t="inlineStr">
        <is>
          <t>Week2-Dec-2025</t>
        </is>
      </c>
      <c r="D1213" s="78" t="n">
        <v>45992</v>
      </c>
      <c r="E1213" t="inlineStr">
        <is>
          <t>Q3FY26</t>
        </is>
      </c>
      <c r="F1213" t="inlineStr">
        <is>
          <t>27-Jan-2026</t>
        </is>
      </c>
      <c r="G1213" t="inlineStr">
        <is>
          <t>Tuesday</t>
        </is>
      </c>
      <c r="H1213" t="inlineStr">
        <is>
          <t>Monthly - Tuesday</t>
        </is>
      </c>
      <c r="I1213" t="inlineStr">
        <is>
          <t>Monthly - Tuesday</t>
        </is>
      </c>
      <c r="J1213" t="inlineStr">
        <is>
          <t>Month+1 Expiry</t>
        </is>
      </c>
      <c r="K1213" s="25" t="n">
        <v>182712</v>
      </c>
      <c r="L1213" s="26" t="n">
        <v>312.76</v>
      </c>
      <c r="M1213" s="26" t="n">
        <v>2.3596</v>
      </c>
    </row>
    <row r="1214" ht="16" customHeight="1">
      <c r="A1214" t="inlineStr">
        <is>
          <t>08-Dec-2025</t>
        </is>
      </c>
      <c r="B1214" t="inlineStr">
        <is>
          <t>Monday</t>
        </is>
      </c>
      <c r="C1214" t="inlineStr">
        <is>
          <t>Week2-Dec-2025</t>
        </is>
      </c>
      <c r="D1214" s="78" t="n">
        <v>45992</v>
      </c>
      <c r="E1214" t="inlineStr">
        <is>
          <t>Q3FY26</t>
        </is>
      </c>
      <c r="F1214" t="inlineStr">
        <is>
          <t>24-Feb-2026</t>
        </is>
      </c>
      <c r="G1214" t="inlineStr">
        <is>
          <t>Tuesday</t>
        </is>
      </c>
      <c r="H1214" t="inlineStr">
        <is>
          <t>Monthly - Tuesday</t>
        </is>
      </c>
      <c r="I1214" t="inlineStr">
        <is>
          <t>Monthly - Tuesday</t>
        </is>
      </c>
      <c r="J1214" t="inlineStr">
        <is>
          <t>Month+2 Expiry</t>
        </is>
      </c>
      <c r="K1214" s="25" t="n">
        <v>30043</v>
      </c>
      <c r="L1214" s="26" t="n">
        <v>51.5702</v>
      </c>
      <c r="M1214" s="26" t="n">
        <v>0.5359</v>
      </c>
    </row>
    <row r="1215" ht="16" customHeight="1">
      <c r="A1215" t="inlineStr">
        <is>
          <t>08-Dec-2025</t>
        </is>
      </c>
      <c r="B1215" t="inlineStr">
        <is>
          <t>Monday</t>
        </is>
      </c>
      <c r="C1215" t="inlineStr">
        <is>
          <t>Week2-Dec-2025</t>
        </is>
      </c>
      <c r="D1215" s="78" t="n">
        <v>45992</v>
      </c>
      <c r="E1215" t="inlineStr">
        <is>
          <t>Q3FY26</t>
        </is>
      </c>
      <c r="F1215" t="inlineStr">
        <is>
          <t>31-Mar-2026</t>
        </is>
      </c>
      <c r="G1215" t="inlineStr">
        <is>
          <t>Tuesday</t>
        </is>
      </c>
      <c r="H1215" t="inlineStr">
        <is>
          <t>Monthly - Tuesday</t>
        </is>
      </c>
      <c r="I1215" t="inlineStr">
        <is>
          <t>Monthly - Tuesday</t>
        </is>
      </c>
      <c r="J1215" t="inlineStr">
        <is>
          <t>Month+3 Expiry</t>
        </is>
      </c>
      <c r="K1215" s="25" t="n">
        <v>31516</v>
      </c>
      <c r="L1215" s="26" t="n">
        <v>62.3866</v>
      </c>
      <c r="M1215" s="26" t="n">
        <v>0.8090000000000001</v>
      </c>
    </row>
    <row r="1216" ht="16" customHeight="1">
      <c r="A1216" t="inlineStr">
        <is>
          <t>08-Dec-2025</t>
        </is>
      </c>
      <c r="B1216" t="inlineStr">
        <is>
          <t>Monday</t>
        </is>
      </c>
      <c r="C1216" t="inlineStr">
        <is>
          <t>Week2-Dec-2025</t>
        </is>
      </c>
      <c r="D1216" s="78" t="n">
        <v>45992</v>
      </c>
      <c r="E1216" t="inlineStr">
        <is>
          <t>Q3FY26</t>
        </is>
      </c>
      <c r="F1216" t="inlineStr">
        <is>
          <t>30-Jun-2026</t>
        </is>
      </c>
      <c r="G1216" t="inlineStr">
        <is>
          <t>Tuesday</t>
        </is>
      </c>
      <c r="H1216" t="inlineStr">
        <is>
          <t>Monthly - Tuesday</t>
        </is>
      </c>
      <c r="I1216" t="inlineStr">
        <is>
          <t>Monthly - Tuesday</t>
        </is>
      </c>
      <c r="J1216" t="inlineStr">
        <is>
          <t>Month+6 Expiry</t>
        </is>
      </c>
      <c r="K1216" s="25" t="n">
        <v>6713</v>
      </c>
      <c r="L1216" s="26" t="n">
        <v>13.3855</v>
      </c>
      <c r="M1216" s="26" t="n">
        <v>0.2457</v>
      </c>
    </row>
    <row r="1217" ht="16" customHeight="1">
      <c r="A1217" t="inlineStr">
        <is>
          <t>08-Dec-2025</t>
        </is>
      </c>
      <c r="B1217" t="inlineStr">
        <is>
          <t>Monday</t>
        </is>
      </c>
      <c r="C1217" t="inlineStr">
        <is>
          <t>Week2-Dec-2025</t>
        </is>
      </c>
      <c r="D1217" s="78" t="n">
        <v>45992</v>
      </c>
      <c r="E1217" t="inlineStr">
        <is>
          <t>Q3FY26</t>
        </is>
      </c>
      <c r="F1217" t="inlineStr">
        <is>
          <t>29-Sep-2026</t>
        </is>
      </c>
      <c r="G1217" t="inlineStr">
        <is>
          <t>Tuesday</t>
        </is>
      </c>
      <c r="H1217" t="inlineStr">
        <is>
          <t>Monthly - Tuesday</t>
        </is>
      </c>
      <c r="I1217" t="inlineStr">
        <is>
          <t>Monthly - Tuesday</t>
        </is>
      </c>
      <c r="J1217" t="inlineStr">
        <is>
          <t>Month+9 Expiry</t>
        </is>
      </c>
      <c r="K1217" s="25" t="n">
        <v>117</v>
      </c>
      <c r="L1217" s="26" t="n">
        <v>0.2248</v>
      </c>
      <c r="M1217" s="26" t="n">
        <v>0.0033</v>
      </c>
    </row>
    <row r="1218" ht="16" customHeight="1">
      <c r="A1218" t="inlineStr">
        <is>
          <t>08-Dec-2025</t>
        </is>
      </c>
      <c r="B1218" t="inlineStr">
        <is>
          <t>Monday</t>
        </is>
      </c>
      <c r="C1218" t="inlineStr">
        <is>
          <t>Week2-Dec-2025</t>
        </is>
      </c>
      <c r="D1218" s="78" t="n">
        <v>45992</v>
      </c>
      <c r="E1218" t="inlineStr">
        <is>
          <t>Q3FY26</t>
        </is>
      </c>
      <c r="F1218" t="inlineStr">
        <is>
          <t>29-Dec-2026</t>
        </is>
      </c>
      <c r="G1218" t="inlineStr">
        <is>
          <t>Tuesday</t>
        </is>
      </c>
      <c r="H1218" t="inlineStr">
        <is>
          <t>Monthly - Tuesday</t>
        </is>
      </c>
      <c r="I1218" t="inlineStr">
        <is>
          <t>Monthly - Tuesday</t>
        </is>
      </c>
      <c r="J1218" t="inlineStr">
        <is>
          <t>Month+12 Expiry</t>
        </is>
      </c>
      <c r="K1218" s="25" t="n">
        <v>3251</v>
      </c>
      <c r="L1218" s="26" t="n">
        <v>6.5864</v>
      </c>
      <c r="M1218" s="26" t="n">
        <v>0.2104</v>
      </c>
    </row>
    <row r="1219" ht="16" customHeight="1">
      <c r="A1219" t="inlineStr">
        <is>
          <t>08-Dec-2025</t>
        </is>
      </c>
      <c r="B1219" t="inlineStr">
        <is>
          <t>Monday</t>
        </is>
      </c>
      <c r="C1219" t="inlineStr">
        <is>
          <t>Week2-Dec-2025</t>
        </is>
      </c>
      <c r="D1219" s="78" t="n">
        <v>45992</v>
      </c>
      <c r="E1219" t="inlineStr">
        <is>
          <t>Q3FY26</t>
        </is>
      </c>
      <c r="F1219" t="inlineStr">
        <is>
          <t>29-Jun-2027</t>
        </is>
      </c>
      <c r="G1219" t="inlineStr">
        <is>
          <t>Tuesday</t>
        </is>
      </c>
      <c r="H1219" t="inlineStr">
        <is>
          <t>Monthly - Tuesday</t>
        </is>
      </c>
      <c r="I1219" t="inlineStr">
        <is>
          <t>Monthly - Tuesday</t>
        </is>
      </c>
      <c r="J1219" t="inlineStr">
        <is>
          <t>Month+18 Expiry</t>
        </is>
      </c>
      <c r="K1219" s="25" t="n">
        <v>0</v>
      </c>
      <c r="L1219" s="26" t="n">
        <v>0</v>
      </c>
      <c r="M1219" s="26" t="n">
        <v>0</v>
      </c>
    </row>
    <row r="1220" ht="16" customHeight="1">
      <c r="A1220" t="inlineStr">
        <is>
          <t>08-Dec-2025</t>
        </is>
      </c>
      <c r="B1220" t="inlineStr">
        <is>
          <t>Monday</t>
        </is>
      </c>
      <c r="C1220" t="inlineStr">
        <is>
          <t>Week2-Dec-2025</t>
        </is>
      </c>
      <c r="D1220" s="78" t="n">
        <v>45992</v>
      </c>
      <c r="E1220" t="inlineStr">
        <is>
          <t>Q3FY26</t>
        </is>
      </c>
      <c r="F1220" t="inlineStr">
        <is>
          <t>28-Dec-2027</t>
        </is>
      </c>
      <c r="G1220" t="inlineStr">
        <is>
          <t>Tuesday</t>
        </is>
      </c>
      <c r="H1220" t="inlineStr">
        <is>
          <t>Monthly - Tuesday</t>
        </is>
      </c>
      <c r="I1220" t="inlineStr">
        <is>
          <t>Monthly - Tuesday</t>
        </is>
      </c>
      <c r="J1220" t="inlineStr">
        <is>
          <t>Month+24 Expiry</t>
        </is>
      </c>
      <c r="K1220" s="25" t="n">
        <v>23</v>
      </c>
      <c r="L1220" s="26" t="n">
        <v>0.0446</v>
      </c>
      <c r="M1220" s="26" t="n">
        <v>0.0015</v>
      </c>
    </row>
    <row r="1221" ht="16" customHeight="1">
      <c r="A1221" t="inlineStr">
        <is>
          <t>08-Dec-2025</t>
        </is>
      </c>
      <c r="B1221" t="inlineStr">
        <is>
          <t>Monday</t>
        </is>
      </c>
      <c r="C1221" t="inlineStr">
        <is>
          <t>Week2-Dec-2025</t>
        </is>
      </c>
      <c r="D1221" s="78" t="n">
        <v>45992</v>
      </c>
      <c r="E1221" t="inlineStr">
        <is>
          <t>Q3FY26</t>
        </is>
      </c>
      <c r="F1221" t="inlineStr">
        <is>
          <t>27-Jun-2028</t>
        </is>
      </c>
      <c r="G1221" t="inlineStr">
        <is>
          <t>Tuesday</t>
        </is>
      </c>
      <c r="H1221" t="inlineStr">
        <is>
          <t>Monthly - Tuesday</t>
        </is>
      </c>
      <c r="I1221" t="inlineStr">
        <is>
          <t>Monthly - Tuesday</t>
        </is>
      </c>
      <c r="J1221" t="inlineStr">
        <is>
          <t>Month+30 Expiry</t>
        </is>
      </c>
      <c r="K1221" s="25" t="n">
        <v>0</v>
      </c>
      <c r="L1221" s="26" t="n">
        <v>0</v>
      </c>
      <c r="M1221" s="26" t="n">
        <v>0</v>
      </c>
    </row>
    <row r="1222" ht="16" customHeight="1">
      <c r="A1222" t="inlineStr">
        <is>
          <t>08-Dec-2025</t>
        </is>
      </c>
      <c r="B1222" t="inlineStr">
        <is>
          <t>Monday</t>
        </is>
      </c>
      <c r="C1222" t="inlineStr">
        <is>
          <t>Week2-Dec-2025</t>
        </is>
      </c>
      <c r="D1222" s="78" t="n">
        <v>45992</v>
      </c>
      <c r="E1222" t="inlineStr">
        <is>
          <t>Q3FY26</t>
        </is>
      </c>
      <c r="F1222" t="inlineStr">
        <is>
          <t>26-Dec-2028</t>
        </is>
      </c>
      <c r="G1222" t="inlineStr">
        <is>
          <t>Tuesday</t>
        </is>
      </c>
      <c r="H1222" t="inlineStr">
        <is>
          <t>Monthly - Tuesday</t>
        </is>
      </c>
      <c r="I1222" t="inlineStr">
        <is>
          <t>Monthly - Tuesday</t>
        </is>
      </c>
      <c r="J1222" t="inlineStr">
        <is>
          <t>Month+36 Expiry</t>
        </is>
      </c>
      <c r="K1222" s="25" t="n">
        <v>1</v>
      </c>
      <c r="L1222" s="26" t="n">
        <v>0.0019</v>
      </c>
      <c r="M1222" s="26" t="n">
        <v>0.0001</v>
      </c>
    </row>
    <row r="1223" ht="16" customHeight="1">
      <c r="A1223" t="inlineStr">
        <is>
          <t>08-Dec-2025</t>
        </is>
      </c>
      <c r="B1223" t="inlineStr">
        <is>
          <t>Monday</t>
        </is>
      </c>
      <c r="C1223" t="inlineStr">
        <is>
          <t>Week2-Dec-2025</t>
        </is>
      </c>
      <c r="D1223" s="78" t="n">
        <v>45992</v>
      </c>
      <c r="E1223" t="inlineStr">
        <is>
          <t>Q3FY26</t>
        </is>
      </c>
      <c r="F1223" t="inlineStr">
        <is>
          <t>26-Jun-2029</t>
        </is>
      </c>
      <c r="G1223" t="inlineStr">
        <is>
          <t>Tuesday</t>
        </is>
      </c>
      <c r="H1223" t="inlineStr">
        <is>
          <t>Monthly - Tuesday</t>
        </is>
      </c>
      <c r="I1223" t="inlineStr">
        <is>
          <t>Monthly - Tuesday</t>
        </is>
      </c>
      <c r="J1223" t="inlineStr">
        <is>
          <t>Month+42 Expiry</t>
        </is>
      </c>
      <c r="K1223" s="25" t="n">
        <v>0</v>
      </c>
      <c r="L1223" s="26" t="n">
        <v>0</v>
      </c>
      <c r="M1223" s="26" t="n">
        <v>0</v>
      </c>
    </row>
    <row r="1224" ht="16" customHeight="1">
      <c r="A1224" t="inlineStr">
        <is>
          <t>08-Dec-2025</t>
        </is>
      </c>
      <c r="B1224" t="inlineStr">
        <is>
          <t>Monday</t>
        </is>
      </c>
      <c r="C1224" t="inlineStr">
        <is>
          <t>Week2-Dec-2025</t>
        </is>
      </c>
      <c r="D1224" s="78" t="n">
        <v>45992</v>
      </c>
      <c r="E1224" t="inlineStr">
        <is>
          <t>Q3FY26</t>
        </is>
      </c>
      <c r="F1224" t="inlineStr">
        <is>
          <t>24-Dec-2029</t>
        </is>
      </c>
      <c r="G1224" t="inlineStr">
        <is>
          <t>Monday</t>
        </is>
      </c>
      <c r="H1224" t="inlineStr">
        <is>
          <t>Weekly - Monday</t>
        </is>
      </c>
      <c r="I1224" t="inlineStr">
        <is>
          <t>Weekly - Monday</t>
        </is>
      </c>
      <c r="J1224" t="inlineStr">
        <is>
          <t>Month+48 Expiry</t>
        </is>
      </c>
      <c r="K1224" s="25" t="n">
        <v>0</v>
      </c>
      <c r="L1224" s="26" t="n">
        <v>0</v>
      </c>
      <c r="M1224" s="26" t="n">
        <v>0</v>
      </c>
    </row>
    <row r="1225" ht="16" customHeight="1">
      <c r="A1225" t="inlineStr">
        <is>
          <t>08-Dec-2025</t>
        </is>
      </c>
      <c r="B1225" t="inlineStr">
        <is>
          <t>Monday</t>
        </is>
      </c>
      <c r="C1225" t="inlineStr">
        <is>
          <t>Week2-Dec-2025</t>
        </is>
      </c>
      <c r="D1225" s="78" t="n">
        <v>45992</v>
      </c>
      <c r="E1225" t="inlineStr">
        <is>
          <t>Q3FY26</t>
        </is>
      </c>
      <c r="F1225" t="inlineStr">
        <is>
          <t>25-Jun-2030</t>
        </is>
      </c>
      <c r="G1225" t="inlineStr">
        <is>
          <t>Tuesday</t>
        </is>
      </c>
      <c r="H1225" t="inlineStr">
        <is>
          <t>Monthly - Tuesday</t>
        </is>
      </c>
      <c r="I1225" t="inlineStr">
        <is>
          <t>Monthly - Tuesday</t>
        </is>
      </c>
      <c r="J1225" t="inlineStr">
        <is>
          <t>Month+54 Expiry</t>
        </is>
      </c>
      <c r="K1225" s="25" t="n">
        <v>0</v>
      </c>
      <c r="L1225" s="26" t="n">
        <v>0</v>
      </c>
      <c r="M1225" s="26" t="n">
        <v>0</v>
      </c>
    </row>
    <row r="1226" ht="16" customHeight="1">
      <c r="A1226" t="inlineStr">
        <is>
          <t>09-Dec-2025</t>
        </is>
      </c>
      <c r="B1226" t="inlineStr">
        <is>
          <t>Tuesday</t>
        </is>
      </c>
      <c r="C1226" t="inlineStr">
        <is>
          <t>Week2-Dec-2025</t>
        </is>
      </c>
      <c r="D1226" s="78" t="n">
        <v>45992</v>
      </c>
      <c r="E1226" t="inlineStr">
        <is>
          <t>Q3FY26</t>
        </is>
      </c>
      <c r="F1226" t="inlineStr">
        <is>
          <t>09-Dec-2025</t>
        </is>
      </c>
      <c r="G1226" t="inlineStr">
        <is>
          <t>Tuesday</t>
        </is>
      </c>
      <c r="H1226" t="inlineStr">
        <is>
          <t>Weekly - Tuesday</t>
        </is>
      </c>
      <c r="I1226" t="inlineStr">
        <is>
          <t>Weekly - Tuesday</t>
        </is>
      </c>
      <c r="J1226" t="inlineStr">
        <is>
          <t>Same Month Expiry</t>
        </is>
      </c>
      <c r="K1226" s="25" t="n">
        <v>351882123</v>
      </c>
      <c r="L1226" s="26" t="n">
        <v>683498.2457</v>
      </c>
      <c r="M1226" s="26" t="n">
        <v>629.8297</v>
      </c>
    </row>
    <row r="1227" ht="16" customHeight="1">
      <c r="A1227" t="inlineStr">
        <is>
          <t>09-Dec-2025</t>
        </is>
      </c>
      <c r="B1227" t="inlineStr">
        <is>
          <t>Tuesday</t>
        </is>
      </c>
      <c r="C1227" t="inlineStr">
        <is>
          <t>Week2-Dec-2025</t>
        </is>
      </c>
      <c r="D1227" s="78" t="n">
        <v>45992</v>
      </c>
      <c r="E1227" t="inlineStr">
        <is>
          <t>Q3FY26</t>
        </is>
      </c>
      <c r="F1227" t="inlineStr">
        <is>
          <t>16-Dec-2025</t>
        </is>
      </c>
      <c r="G1227" t="inlineStr">
        <is>
          <t>Tuesday</t>
        </is>
      </c>
      <c r="H1227" t="inlineStr">
        <is>
          <t>Weekly - Tuesday</t>
        </is>
      </c>
      <c r="I1227" t="inlineStr">
        <is>
          <t>Weekly - Tuesday</t>
        </is>
      </c>
      <c r="J1227" t="inlineStr">
        <is>
          <t>Same Month Expiry</t>
        </is>
      </c>
      <c r="K1227" s="25" t="n">
        <v>12780373</v>
      </c>
      <c r="L1227" s="26" t="n">
        <v>24978.4674</v>
      </c>
      <c r="M1227" s="26" t="n">
        <v>69.49760000000001</v>
      </c>
    </row>
    <row r="1228" ht="16" customHeight="1">
      <c r="A1228" t="inlineStr">
        <is>
          <t>09-Dec-2025</t>
        </is>
      </c>
      <c r="B1228" t="inlineStr">
        <is>
          <t>Tuesday</t>
        </is>
      </c>
      <c r="C1228" t="inlineStr">
        <is>
          <t>Week2-Dec-2025</t>
        </is>
      </c>
      <c r="D1228" s="78" t="n">
        <v>45992</v>
      </c>
      <c r="E1228" t="inlineStr">
        <is>
          <t>Q3FY26</t>
        </is>
      </c>
      <c r="F1228" t="inlineStr">
        <is>
          <t>23-Dec-2025</t>
        </is>
      </c>
      <c r="G1228" t="inlineStr">
        <is>
          <t>Tuesday</t>
        </is>
      </c>
      <c r="H1228" t="inlineStr">
        <is>
          <t>Weekly - Tuesday</t>
        </is>
      </c>
      <c r="I1228" t="inlineStr">
        <is>
          <t>Weekly - Tuesday</t>
        </is>
      </c>
      <c r="J1228" t="inlineStr">
        <is>
          <t>Same Month Expiry</t>
        </is>
      </c>
      <c r="K1228" s="25" t="n">
        <v>459859</v>
      </c>
      <c r="L1228" s="26" t="n">
        <v>901.6697</v>
      </c>
      <c r="M1228" s="26" t="n">
        <v>3.7444</v>
      </c>
    </row>
    <row r="1229" ht="16" customHeight="1">
      <c r="A1229" t="inlineStr">
        <is>
          <t>09-Dec-2025</t>
        </is>
      </c>
      <c r="B1229" t="inlineStr">
        <is>
          <t>Tuesday</t>
        </is>
      </c>
      <c r="C1229" t="inlineStr">
        <is>
          <t>Week2-Dec-2025</t>
        </is>
      </c>
      <c r="D1229" s="78" t="n">
        <v>45992</v>
      </c>
      <c r="E1229" t="inlineStr">
        <is>
          <t>Q3FY26</t>
        </is>
      </c>
      <c r="F1229" t="inlineStr">
        <is>
          <t>30-Dec-2025</t>
        </is>
      </c>
      <c r="G1229" t="inlineStr">
        <is>
          <t>Tuesday</t>
        </is>
      </c>
      <c r="H1229" t="inlineStr">
        <is>
          <t>Monthly - Tuesday</t>
        </is>
      </c>
      <c r="I1229" t="inlineStr">
        <is>
          <t>Monthly - Tuesday</t>
        </is>
      </c>
      <c r="J1229" t="inlineStr">
        <is>
          <t>Same Month Expiry</t>
        </is>
      </c>
      <c r="K1229" s="25" t="n">
        <v>1918113</v>
      </c>
      <c r="L1229" s="26" t="n">
        <v>3753.9931</v>
      </c>
      <c r="M1229" s="26" t="n">
        <v>21.6692</v>
      </c>
    </row>
    <row r="1230" ht="16" customHeight="1">
      <c r="A1230" t="inlineStr">
        <is>
          <t>09-Dec-2025</t>
        </is>
      </c>
      <c r="B1230" t="inlineStr">
        <is>
          <t>Tuesday</t>
        </is>
      </c>
      <c r="C1230" t="inlineStr">
        <is>
          <t>Week2-Dec-2025</t>
        </is>
      </c>
      <c r="D1230" s="78" t="n">
        <v>45992</v>
      </c>
      <c r="E1230" t="inlineStr">
        <is>
          <t>Q3FY26</t>
        </is>
      </c>
      <c r="F1230" t="inlineStr">
        <is>
          <t>06-Jan-2026</t>
        </is>
      </c>
      <c r="G1230" t="inlineStr">
        <is>
          <t>Tuesday</t>
        </is>
      </c>
      <c r="H1230" t="inlineStr">
        <is>
          <t>Weekly - Tuesday</t>
        </is>
      </c>
      <c r="I1230" t="inlineStr">
        <is>
          <t>Weekly - Tuesday</t>
        </is>
      </c>
      <c r="J1230" t="inlineStr">
        <is>
          <t>Month+1 Expiry</t>
        </is>
      </c>
      <c r="K1230" s="25" t="n">
        <v>11914</v>
      </c>
      <c r="L1230" s="26" t="n">
        <v>20.4229</v>
      </c>
      <c r="M1230" s="26" t="n">
        <v>0.1443</v>
      </c>
    </row>
    <row r="1231" ht="16" customHeight="1">
      <c r="A1231" t="inlineStr">
        <is>
          <t>09-Dec-2025</t>
        </is>
      </c>
      <c r="B1231" t="inlineStr">
        <is>
          <t>Tuesday</t>
        </is>
      </c>
      <c r="C1231" t="inlineStr">
        <is>
          <t>Week2-Dec-2025</t>
        </is>
      </c>
      <c r="D1231" s="78" t="n">
        <v>45992</v>
      </c>
      <c r="E1231" t="inlineStr">
        <is>
          <t>Q3FY26</t>
        </is>
      </c>
      <c r="F1231" t="inlineStr">
        <is>
          <t>27-Jan-2026</t>
        </is>
      </c>
      <c r="G1231" t="inlineStr">
        <is>
          <t>Tuesday</t>
        </is>
      </c>
      <c r="H1231" t="inlineStr">
        <is>
          <t>Monthly - Tuesday</t>
        </is>
      </c>
      <c r="I1231" t="inlineStr">
        <is>
          <t>Monthly - Tuesday</t>
        </is>
      </c>
      <c r="J1231" t="inlineStr">
        <is>
          <t>Month+1 Expiry</t>
        </is>
      </c>
      <c r="K1231" s="25" t="n">
        <v>233704</v>
      </c>
      <c r="L1231" s="26" t="n">
        <v>400.2318</v>
      </c>
      <c r="M1231" s="26" t="n">
        <v>3.6432</v>
      </c>
    </row>
    <row r="1232" ht="16" customHeight="1">
      <c r="A1232" t="inlineStr">
        <is>
          <t>09-Dec-2025</t>
        </is>
      </c>
      <c r="B1232" t="inlineStr">
        <is>
          <t>Tuesday</t>
        </is>
      </c>
      <c r="C1232" t="inlineStr">
        <is>
          <t>Week2-Dec-2025</t>
        </is>
      </c>
      <c r="D1232" s="78" t="n">
        <v>45992</v>
      </c>
      <c r="E1232" t="inlineStr">
        <is>
          <t>Q3FY26</t>
        </is>
      </c>
      <c r="F1232" t="inlineStr">
        <is>
          <t>24-Feb-2026</t>
        </is>
      </c>
      <c r="G1232" t="inlineStr">
        <is>
          <t>Tuesday</t>
        </is>
      </c>
      <c r="H1232" t="inlineStr">
        <is>
          <t>Monthly - Tuesday</t>
        </is>
      </c>
      <c r="I1232" t="inlineStr">
        <is>
          <t>Monthly - Tuesday</t>
        </is>
      </c>
      <c r="J1232" t="inlineStr">
        <is>
          <t>Month+2 Expiry</t>
        </is>
      </c>
      <c r="K1232" s="25" t="n">
        <v>36864</v>
      </c>
      <c r="L1232" s="26" t="n">
        <v>63.0763</v>
      </c>
      <c r="M1232" s="26" t="n">
        <v>0.6831</v>
      </c>
    </row>
    <row r="1233" ht="16" customHeight="1">
      <c r="A1233" t="inlineStr">
        <is>
          <t>09-Dec-2025</t>
        </is>
      </c>
      <c r="B1233" t="inlineStr">
        <is>
          <t>Tuesday</t>
        </is>
      </c>
      <c r="C1233" t="inlineStr">
        <is>
          <t>Week2-Dec-2025</t>
        </is>
      </c>
      <c r="D1233" s="78" t="n">
        <v>45992</v>
      </c>
      <c r="E1233" t="inlineStr">
        <is>
          <t>Q3FY26</t>
        </is>
      </c>
      <c r="F1233" t="inlineStr">
        <is>
          <t>31-Mar-2026</t>
        </is>
      </c>
      <c r="G1233" t="inlineStr">
        <is>
          <t>Tuesday</t>
        </is>
      </c>
      <c r="H1233" t="inlineStr">
        <is>
          <t>Monthly - Tuesday</t>
        </is>
      </c>
      <c r="I1233" t="inlineStr">
        <is>
          <t>Monthly - Tuesday</t>
        </is>
      </c>
      <c r="J1233" t="inlineStr">
        <is>
          <t>Month+3 Expiry</t>
        </is>
      </c>
      <c r="K1233" s="25" t="n">
        <v>34555</v>
      </c>
      <c r="L1233" s="26" t="n">
        <v>68.76739999999999</v>
      </c>
      <c r="M1233" s="26" t="n">
        <v>1.0114</v>
      </c>
    </row>
    <row r="1234" ht="16" customHeight="1">
      <c r="A1234" t="inlineStr">
        <is>
          <t>09-Dec-2025</t>
        </is>
      </c>
      <c r="B1234" t="inlineStr">
        <is>
          <t>Tuesday</t>
        </is>
      </c>
      <c r="C1234" t="inlineStr">
        <is>
          <t>Week2-Dec-2025</t>
        </is>
      </c>
      <c r="D1234" s="78" t="n">
        <v>45992</v>
      </c>
      <c r="E1234" t="inlineStr">
        <is>
          <t>Q3FY26</t>
        </is>
      </c>
      <c r="F1234" t="inlineStr">
        <is>
          <t>30-Jun-2026</t>
        </is>
      </c>
      <c r="G1234" t="inlineStr">
        <is>
          <t>Tuesday</t>
        </is>
      </c>
      <c r="H1234" t="inlineStr">
        <is>
          <t>Monthly - Tuesday</t>
        </is>
      </c>
      <c r="I1234" t="inlineStr">
        <is>
          <t>Monthly - Tuesday</t>
        </is>
      </c>
      <c r="J1234" t="inlineStr">
        <is>
          <t>Month+6 Expiry</t>
        </is>
      </c>
      <c r="K1234" s="25" t="n">
        <v>7864</v>
      </c>
      <c r="L1234" s="26" t="n">
        <v>15.7945</v>
      </c>
      <c r="M1234" s="26" t="n">
        <v>0.335</v>
      </c>
    </row>
    <row r="1235" ht="16" customHeight="1">
      <c r="A1235" t="inlineStr">
        <is>
          <t>09-Dec-2025</t>
        </is>
      </c>
      <c r="B1235" t="inlineStr">
        <is>
          <t>Tuesday</t>
        </is>
      </c>
      <c r="C1235" t="inlineStr">
        <is>
          <t>Week2-Dec-2025</t>
        </is>
      </c>
      <c r="D1235" s="78" t="n">
        <v>45992</v>
      </c>
      <c r="E1235" t="inlineStr">
        <is>
          <t>Q3FY26</t>
        </is>
      </c>
      <c r="F1235" t="inlineStr">
        <is>
          <t>29-Sep-2026</t>
        </is>
      </c>
      <c r="G1235" t="inlineStr">
        <is>
          <t>Tuesday</t>
        </is>
      </c>
      <c r="H1235" t="inlineStr">
        <is>
          <t>Monthly - Tuesday</t>
        </is>
      </c>
      <c r="I1235" t="inlineStr">
        <is>
          <t>Monthly - Tuesday</t>
        </is>
      </c>
      <c r="J1235" t="inlineStr">
        <is>
          <t>Month+9 Expiry</t>
        </is>
      </c>
      <c r="K1235" s="25" t="n">
        <v>62</v>
      </c>
      <c r="L1235" s="26" t="n">
        <v>0.1207</v>
      </c>
      <c r="M1235" s="26" t="n">
        <v>0.0021</v>
      </c>
    </row>
    <row r="1236" ht="16" customHeight="1">
      <c r="A1236" t="inlineStr">
        <is>
          <t>09-Dec-2025</t>
        </is>
      </c>
      <c r="B1236" t="inlineStr">
        <is>
          <t>Tuesday</t>
        </is>
      </c>
      <c r="C1236" t="inlineStr">
        <is>
          <t>Week2-Dec-2025</t>
        </is>
      </c>
      <c r="D1236" s="78" t="n">
        <v>45992</v>
      </c>
      <c r="E1236" t="inlineStr">
        <is>
          <t>Q3FY26</t>
        </is>
      </c>
      <c r="F1236" t="inlineStr">
        <is>
          <t>29-Dec-2026</t>
        </is>
      </c>
      <c r="G1236" t="inlineStr">
        <is>
          <t>Tuesday</t>
        </is>
      </c>
      <c r="H1236" t="inlineStr">
        <is>
          <t>Monthly - Tuesday</t>
        </is>
      </c>
      <c r="I1236" t="inlineStr">
        <is>
          <t>Monthly - Tuesday</t>
        </is>
      </c>
      <c r="J1236" t="inlineStr">
        <is>
          <t>Month+12 Expiry</t>
        </is>
      </c>
      <c r="K1236" s="25" t="n">
        <v>6471</v>
      </c>
      <c r="L1236" s="26" t="n">
        <v>12.7302</v>
      </c>
      <c r="M1236" s="26" t="n">
        <v>0.3221</v>
      </c>
    </row>
    <row r="1237" ht="16" customHeight="1">
      <c r="A1237" t="inlineStr">
        <is>
          <t>09-Dec-2025</t>
        </is>
      </c>
      <c r="B1237" t="inlineStr">
        <is>
          <t>Tuesday</t>
        </is>
      </c>
      <c r="C1237" t="inlineStr">
        <is>
          <t>Week2-Dec-2025</t>
        </is>
      </c>
      <c r="D1237" s="78" t="n">
        <v>45992</v>
      </c>
      <c r="E1237" t="inlineStr">
        <is>
          <t>Q3FY26</t>
        </is>
      </c>
      <c r="F1237" t="inlineStr">
        <is>
          <t>29-Jun-2027</t>
        </is>
      </c>
      <c r="G1237" t="inlineStr">
        <is>
          <t>Tuesday</t>
        </is>
      </c>
      <c r="H1237" t="inlineStr">
        <is>
          <t>Monthly - Tuesday</t>
        </is>
      </c>
      <c r="I1237" t="inlineStr">
        <is>
          <t>Monthly - Tuesday</t>
        </is>
      </c>
      <c r="J1237" t="inlineStr">
        <is>
          <t>Month+18 Expiry</t>
        </is>
      </c>
      <c r="K1237" s="25" t="n">
        <v>0</v>
      </c>
      <c r="L1237" s="26" t="n">
        <v>0</v>
      </c>
      <c r="M1237" s="26" t="n">
        <v>0</v>
      </c>
    </row>
    <row r="1238" ht="16" customHeight="1">
      <c r="A1238" t="inlineStr">
        <is>
          <t>09-Dec-2025</t>
        </is>
      </c>
      <c r="B1238" t="inlineStr">
        <is>
          <t>Tuesday</t>
        </is>
      </c>
      <c r="C1238" t="inlineStr">
        <is>
          <t>Week2-Dec-2025</t>
        </is>
      </c>
      <c r="D1238" s="78" t="n">
        <v>45992</v>
      </c>
      <c r="E1238" t="inlineStr">
        <is>
          <t>Q3FY26</t>
        </is>
      </c>
      <c r="F1238" t="inlineStr">
        <is>
          <t>28-Dec-2027</t>
        </is>
      </c>
      <c r="G1238" t="inlineStr">
        <is>
          <t>Tuesday</t>
        </is>
      </c>
      <c r="H1238" t="inlineStr">
        <is>
          <t>Monthly - Tuesday</t>
        </is>
      </c>
      <c r="I1238" t="inlineStr">
        <is>
          <t>Monthly - Tuesday</t>
        </is>
      </c>
      <c r="J1238" t="inlineStr">
        <is>
          <t>Month+24 Expiry</t>
        </is>
      </c>
      <c r="K1238" s="25" t="n">
        <v>8</v>
      </c>
      <c r="L1238" s="26" t="n">
        <v>0.0164</v>
      </c>
      <c r="M1238" s="26" t="n">
        <v>0.0008</v>
      </c>
    </row>
    <row r="1239" ht="16" customHeight="1">
      <c r="A1239" t="inlineStr">
        <is>
          <t>09-Dec-2025</t>
        </is>
      </c>
      <c r="B1239" t="inlineStr">
        <is>
          <t>Tuesday</t>
        </is>
      </c>
      <c r="C1239" t="inlineStr">
        <is>
          <t>Week2-Dec-2025</t>
        </is>
      </c>
      <c r="D1239" s="78" t="n">
        <v>45992</v>
      </c>
      <c r="E1239" t="inlineStr">
        <is>
          <t>Q3FY26</t>
        </is>
      </c>
      <c r="F1239" t="inlineStr">
        <is>
          <t>27-Jun-2028</t>
        </is>
      </c>
      <c r="G1239" t="inlineStr">
        <is>
          <t>Tuesday</t>
        </is>
      </c>
      <c r="H1239" t="inlineStr">
        <is>
          <t>Monthly - Tuesday</t>
        </is>
      </c>
      <c r="I1239" t="inlineStr">
        <is>
          <t>Monthly - Tuesday</t>
        </is>
      </c>
      <c r="J1239" t="inlineStr">
        <is>
          <t>Month+30 Expiry</t>
        </is>
      </c>
      <c r="K1239" s="25" t="n">
        <v>0</v>
      </c>
      <c r="L1239" s="26" t="n">
        <v>0</v>
      </c>
      <c r="M1239" s="26" t="n">
        <v>0</v>
      </c>
    </row>
    <row r="1240" ht="16" customHeight="1">
      <c r="A1240" t="inlineStr">
        <is>
          <t>09-Dec-2025</t>
        </is>
      </c>
      <c r="B1240" t="inlineStr">
        <is>
          <t>Tuesday</t>
        </is>
      </c>
      <c r="C1240" t="inlineStr">
        <is>
          <t>Week2-Dec-2025</t>
        </is>
      </c>
      <c r="D1240" s="78" t="n">
        <v>45992</v>
      </c>
      <c r="E1240" t="inlineStr">
        <is>
          <t>Q3FY26</t>
        </is>
      </c>
      <c r="F1240" t="inlineStr">
        <is>
          <t>26-Dec-2028</t>
        </is>
      </c>
      <c r="G1240" t="inlineStr">
        <is>
          <t>Tuesday</t>
        </is>
      </c>
      <c r="H1240" t="inlineStr">
        <is>
          <t>Monthly - Tuesday</t>
        </is>
      </c>
      <c r="I1240" t="inlineStr">
        <is>
          <t>Monthly - Tuesday</t>
        </is>
      </c>
      <c r="J1240" t="inlineStr">
        <is>
          <t>Month+36 Expiry</t>
        </is>
      </c>
      <c r="K1240" s="25" t="n">
        <v>10</v>
      </c>
      <c r="L1240" s="26" t="n">
        <v>0.0206</v>
      </c>
      <c r="M1240" s="26" t="n">
        <v>0.0007</v>
      </c>
    </row>
    <row r="1241" ht="16" customHeight="1">
      <c r="A1241" t="inlineStr">
        <is>
          <t>09-Dec-2025</t>
        </is>
      </c>
      <c r="B1241" t="inlineStr">
        <is>
          <t>Tuesday</t>
        </is>
      </c>
      <c r="C1241" t="inlineStr">
        <is>
          <t>Week2-Dec-2025</t>
        </is>
      </c>
      <c r="D1241" s="78" t="n">
        <v>45992</v>
      </c>
      <c r="E1241" t="inlineStr">
        <is>
          <t>Q3FY26</t>
        </is>
      </c>
      <c r="F1241" t="inlineStr">
        <is>
          <t>26-Jun-2029</t>
        </is>
      </c>
      <c r="G1241" t="inlineStr">
        <is>
          <t>Tuesday</t>
        </is>
      </c>
      <c r="H1241" t="inlineStr">
        <is>
          <t>Monthly - Tuesday</t>
        </is>
      </c>
      <c r="I1241" t="inlineStr">
        <is>
          <t>Monthly - Tuesday</t>
        </is>
      </c>
      <c r="J1241" t="inlineStr">
        <is>
          <t>Month+42 Expiry</t>
        </is>
      </c>
      <c r="K1241" s="25" t="n">
        <v>0</v>
      </c>
      <c r="L1241" s="26" t="n">
        <v>0</v>
      </c>
      <c r="M1241" s="26" t="n">
        <v>0</v>
      </c>
    </row>
    <row r="1242" ht="16" customHeight="1">
      <c r="A1242" t="inlineStr">
        <is>
          <t>09-Dec-2025</t>
        </is>
      </c>
      <c r="B1242" t="inlineStr">
        <is>
          <t>Tuesday</t>
        </is>
      </c>
      <c r="C1242" t="inlineStr">
        <is>
          <t>Week2-Dec-2025</t>
        </is>
      </c>
      <c r="D1242" s="78" t="n">
        <v>45992</v>
      </c>
      <c r="E1242" t="inlineStr">
        <is>
          <t>Q3FY26</t>
        </is>
      </c>
      <c r="F1242" t="inlineStr">
        <is>
          <t>24-Dec-2029</t>
        </is>
      </c>
      <c r="G1242" t="inlineStr">
        <is>
          <t>Monday</t>
        </is>
      </c>
      <c r="H1242" t="inlineStr">
        <is>
          <t>Weekly - Monday</t>
        </is>
      </c>
      <c r="I1242" t="inlineStr">
        <is>
          <t>Weekly - Monday</t>
        </is>
      </c>
      <c r="J1242" t="inlineStr">
        <is>
          <t>Month+48 Expiry</t>
        </is>
      </c>
      <c r="K1242" s="25" t="n">
        <v>0</v>
      </c>
      <c r="L1242" s="26" t="n">
        <v>0</v>
      </c>
      <c r="M1242" s="26" t="n">
        <v>0</v>
      </c>
    </row>
    <row r="1243" ht="16" customHeight="1">
      <c r="A1243" t="inlineStr">
        <is>
          <t>09-Dec-2025</t>
        </is>
      </c>
      <c r="B1243" t="inlineStr">
        <is>
          <t>Tuesday</t>
        </is>
      </c>
      <c r="C1243" t="inlineStr">
        <is>
          <t>Week2-Dec-2025</t>
        </is>
      </c>
      <c r="D1243" s="78" t="n">
        <v>45992</v>
      </c>
      <c r="E1243" t="inlineStr">
        <is>
          <t>Q3FY26</t>
        </is>
      </c>
      <c r="F1243" t="inlineStr">
        <is>
          <t>25-Jun-2030</t>
        </is>
      </c>
      <c r="G1243" t="inlineStr">
        <is>
          <t>Tuesday</t>
        </is>
      </c>
      <c r="H1243" t="inlineStr">
        <is>
          <t>Monthly - Tuesday</t>
        </is>
      </c>
      <c r="I1243" t="inlineStr">
        <is>
          <t>Monthly - Tuesday</t>
        </is>
      </c>
      <c r="J1243" t="inlineStr">
        <is>
          <t>Month+54 Expiry</t>
        </is>
      </c>
      <c r="K1243" s="25" t="n">
        <v>0</v>
      </c>
      <c r="L1243" s="26" t="n">
        <v>0</v>
      </c>
      <c r="M1243" s="26" t="n">
        <v>0</v>
      </c>
    </row>
    <row r="1244" ht="16" customHeight="1">
      <c r="A1244" t="inlineStr">
        <is>
          <t>10-Dec-2025</t>
        </is>
      </c>
      <c r="B1244" t="inlineStr">
        <is>
          <t>Wednesday</t>
        </is>
      </c>
      <c r="C1244" t="inlineStr">
        <is>
          <t>Week2-Dec-2025</t>
        </is>
      </c>
      <c r="D1244" s="78" t="n">
        <v>45992</v>
      </c>
      <c r="E1244" t="inlineStr">
        <is>
          <t>Q3FY26</t>
        </is>
      </c>
      <c r="F1244" t="inlineStr">
        <is>
          <t>16-Dec-2025</t>
        </is>
      </c>
      <c r="G1244" t="inlineStr">
        <is>
          <t>Tuesday</t>
        </is>
      </c>
      <c r="H1244" t="inlineStr">
        <is>
          <t>Weekly - Tuesday</t>
        </is>
      </c>
      <c r="I1244" t="inlineStr">
        <is>
          <t>Weekly - Tuesday</t>
        </is>
      </c>
      <c r="J1244" t="inlineStr">
        <is>
          <t>Same Month Expiry</t>
        </is>
      </c>
      <c r="K1244" s="25" t="n">
        <v>62017240</v>
      </c>
      <c r="L1244" s="26" t="n">
        <v>120822.5691</v>
      </c>
      <c r="M1244" s="26" t="n">
        <v>348.1681</v>
      </c>
    </row>
    <row r="1245" ht="16" customHeight="1">
      <c r="A1245" t="inlineStr">
        <is>
          <t>10-Dec-2025</t>
        </is>
      </c>
      <c r="B1245" t="inlineStr">
        <is>
          <t>Wednesday</t>
        </is>
      </c>
      <c r="C1245" t="inlineStr">
        <is>
          <t>Week2-Dec-2025</t>
        </is>
      </c>
      <c r="D1245" s="78" t="n">
        <v>45992</v>
      </c>
      <c r="E1245" t="inlineStr">
        <is>
          <t>Q3FY26</t>
        </is>
      </c>
      <c r="F1245" t="inlineStr">
        <is>
          <t>23-Dec-2025</t>
        </is>
      </c>
      <c r="G1245" t="inlineStr">
        <is>
          <t>Tuesday</t>
        </is>
      </c>
      <c r="H1245" t="inlineStr">
        <is>
          <t>Weekly - Tuesday</t>
        </is>
      </c>
      <c r="I1245" t="inlineStr">
        <is>
          <t>Weekly - Tuesday</t>
        </is>
      </c>
      <c r="J1245" t="inlineStr">
        <is>
          <t>Same Month Expiry</t>
        </is>
      </c>
      <c r="K1245" s="25" t="n">
        <v>1088506</v>
      </c>
      <c r="L1245" s="26" t="n">
        <v>2125.1173</v>
      </c>
      <c r="M1245" s="26" t="n">
        <v>7.9011</v>
      </c>
    </row>
    <row r="1246" ht="16" customHeight="1">
      <c r="A1246" t="inlineStr">
        <is>
          <t>10-Dec-2025</t>
        </is>
      </c>
      <c r="B1246" t="inlineStr">
        <is>
          <t>Wednesday</t>
        </is>
      </c>
      <c r="C1246" t="inlineStr">
        <is>
          <t>Week2-Dec-2025</t>
        </is>
      </c>
      <c r="D1246" s="78" t="n">
        <v>45992</v>
      </c>
      <c r="E1246" t="inlineStr">
        <is>
          <t>Q3FY26</t>
        </is>
      </c>
      <c r="F1246" t="inlineStr">
        <is>
          <t>30-Dec-2025</t>
        </is>
      </c>
      <c r="G1246" t="inlineStr">
        <is>
          <t>Tuesday</t>
        </is>
      </c>
      <c r="H1246" t="inlineStr">
        <is>
          <t>Monthly - Tuesday</t>
        </is>
      </c>
      <c r="I1246" t="inlineStr">
        <is>
          <t>Monthly - Tuesday</t>
        </is>
      </c>
      <c r="J1246" t="inlineStr">
        <is>
          <t>Same Month Expiry</t>
        </is>
      </c>
      <c r="K1246" s="25" t="n">
        <v>1628557</v>
      </c>
      <c r="L1246" s="26" t="n">
        <v>3191.1781</v>
      </c>
      <c r="M1246" s="26" t="n">
        <v>17.4129</v>
      </c>
    </row>
    <row r="1247" ht="16" customHeight="1">
      <c r="A1247" t="inlineStr">
        <is>
          <t>10-Dec-2025</t>
        </is>
      </c>
      <c r="B1247" t="inlineStr">
        <is>
          <t>Wednesday</t>
        </is>
      </c>
      <c r="C1247" t="inlineStr">
        <is>
          <t>Week2-Dec-2025</t>
        </is>
      </c>
      <c r="D1247" s="78" t="n">
        <v>45992</v>
      </c>
      <c r="E1247" t="inlineStr">
        <is>
          <t>Q3FY26</t>
        </is>
      </c>
      <c r="F1247" t="inlineStr">
        <is>
          <t>06-Jan-2026</t>
        </is>
      </c>
      <c r="G1247" t="inlineStr">
        <is>
          <t>Tuesday</t>
        </is>
      </c>
      <c r="H1247" t="inlineStr">
        <is>
          <t>Weekly - Tuesday</t>
        </is>
      </c>
      <c r="I1247" t="inlineStr">
        <is>
          <t>Weekly - Tuesday</t>
        </is>
      </c>
      <c r="J1247" t="inlineStr">
        <is>
          <t>Month+1 Expiry</t>
        </is>
      </c>
      <c r="K1247" s="25" t="n">
        <v>27470</v>
      </c>
      <c r="L1247" s="26" t="n">
        <v>46.8664</v>
      </c>
      <c r="M1247" s="26" t="n">
        <v>0.3346</v>
      </c>
    </row>
    <row r="1248" ht="16" customHeight="1">
      <c r="A1248" t="inlineStr">
        <is>
          <t>10-Dec-2025</t>
        </is>
      </c>
      <c r="B1248" t="inlineStr">
        <is>
          <t>Wednesday</t>
        </is>
      </c>
      <c r="C1248" t="inlineStr">
        <is>
          <t>Week2-Dec-2025</t>
        </is>
      </c>
      <c r="D1248" s="78" t="n">
        <v>45992</v>
      </c>
      <c r="E1248" t="inlineStr">
        <is>
          <t>Q3FY26</t>
        </is>
      </c>
      <c r="F1248" t="inlineStr">
        <is>
          <t>13-Jan-2026</t>
        </is>
      </c>
      <c r="G1248" t="inlineStr">
        <is>
          <t>Tuesday</t>
        </is>
      </c>
      <c r="H1248" t="inlineStr">
        <is>
          <t>Weekly - Tuesday</t>
        </is>
      </c>
      <c r="I1248" t="inlineStr">
        <is>
          <t>Weekly - Tuesday</t>
        </is>
      </c>
      <c r="J1248" t="inlineStr">
        <is>
          <t>Month+1 Expiry</t>
        </is>
      </c>
      <c r="K1248" s="25" t="n">
        <v>152</v>
      </c>
      <c r="L1248" s="26" t="n">
        <v>0.262</v>
      </c>
      <c r="M1248" s="26" t="n">
        <v>0.002</v>
      </c>
    </row>
    <row r="1249" ht="16" customHeight="1">
      <c r="A1249" t="inlineStr">
        <is>
          <t>10-Dec-2025</t>
        </is>
      </c>
      <c r="B1249" t="inlineStr">
        <is>
          <t>Wednesday</t>
        </is>
      </c>
      <c r="C1249" t="inlineStr">
        <is>
          <t>Week2-Dec-2025</t>
        </is>
      </c>
      <c r="D1249" s="78" t="n">
        <v>45992</v>
      </c>
      <c r="E1249" t="inlineStr">
        <is>
          <t>Q3FY26</t>
        </is>
      </c>
      <c r="F1249" t="inlineStr">
        <is>
          <t>27-Jan-2026</t>
        </is>
      </c>
      <c r="G1249" t="inlineStr">
        <is>
          <t>Tuesday</t>
        </is>
      </c>
      <c r="H1249" t="inlineStr">
        <is>
          <t>Monthly - Tuesday</t>
        </is>
      </c>
      <c r="I1249" t="inlineStr">
        <is>
          <t>Monthly - Tuesday</t>
        </is>
      </c>
      <c r="J1249" t="inlineStr">
        <is>
          <t>Month+1 Expiry</t>
        </is>
      </c>
      <c r="K1249" s="25" t="n">
        <v>194871</v>
      </c>
      <c r="L1249" s="26" t="n">
        <v>333.2082</v>
      </c>
      <c r="M1249" s="26" t="n">
        <v>2.4988</v>
      </c>
    </row>
    <row r="1250" ht="16" customHeight="1">
      <c r="A1250" t="inlineStr">
        <is>
          <t>10-Dec-2025</t>
        </is>
      </c>
      <c r="B1250" t="inlineStr">
        <is>
          <t>Wednesday</t>
        </is>
      </c>
      <c r="C1250" t="inlineStr">
        <is>
          <t>Week2-Dec-2025</t>
        </is>
      </c>
      <c r="D1250" s="78" t="n">
        <v>45992</v>
      </c>
      <c r="E1250" t="inlineStr">
        <is>
          <t>Q3FY26</t>
        </is>
      </c>
      <c r="F1250" t="inlineStr">
        <is>
          <t>24-Feb-2026</t>
        </is>
      </c>
      <c r="G1250" t="inlineStr">
        <is>
          <t>Tuesday</t>
        </is>
      </c>
      <c r="H1250" t="inlineStr">
        <is>
          <t>Monthly - Tuesday</t>
        </is>
      </c>
      <c r="I1250" t="inlineStr">
        <is>
          <t>Monthly - Tuesday</t>
        </is>
      </c>
      <c r="J1250" t="inlineStr">
        <is>
          <t>Month+2 Expiry</t>
        </is>
      </c>
      <c r="K1250" s="25" t="n">
        <v>40153</v>
      </c>
      <c r="L1250" s="26" t="n">
        <v>68.9264</v>
      </c>
      <c r="M1250" s="26" t="n">
        <v>0.831</v>
      </c>
    </row>
    <row r="1251" ht="16" customHeight="1">
      <c r="A1251" t="inlineStr">
        <is>
          <t>10-Dec-2025</t>
        </is>
      </c>
      <c r="B1251" t="inlineStr">
        <is>
          <t>Wednesday</t>
        </is>
      </c>
      <c r="C1251" t="inlineStr">
        <is>
          <t>Week2-Dec-2025</t>
        </is>
      </c>
      <c r="D1251" s="78" t="n">
        <v>45992</v>
      </c>
      <c r="E1251" t="inlineStr">
        <is>
          <t>Q3FY26</t>
        </is>
      </c>
      <c r="F1251" t="inlineStr">
        <is>
          <t>31-Mar-2026</t>
        </is>
      </c>
      <c r="G1251" t="inlineStr">
        <is>
          <t>Tuesday</t>
        </is>
      </c>
      <c r="H1251" t="inlineStr">
        <is>
          <t>Monthly - Tuesday</t>
        </is>
      </c>
      <c r="I1251" t="inlineStr">
        <is>
          <t>Monthly - Tuesday</t>
        </is>
      </c>
      <c r="J1251" t="inlineStr">
        <is>
          <t>Month+3 Expiry</t>
        </is>
      </c>
      <c r="K1251" s="25" t="n">
        <v>35246</v>
      </c>
      <c r="L1251" s="26" t="n">
        <v>71.85769999999999</v>
      </c>
      <c r="M1251" s="26" t="n">
        <v>0.8539</v>
      </c>
    </row>
    <row r="1252" ht="16" customHeight="1">
      <c r="A1252" t="inlineStr">
        <is>
          <t>10-Dec-2025</t>
        </is>
      </c>
      <c r="B1252" t="inlineStr">
        <is>
          <t>Wednesday</t>
        </is>
      </c>
      <c r="C1252" t="inlineStr">
        <is>
          <t>Week2-Dec-2025</t>
        </is>
      </c>
      <c r="D1252" s="78" t="n">
        <v>45992</v>
      </c>
      <c r="E1252" t="inlineStr">
        <is>
          <t>Q3FY26</t>
        </is>
      </c>
      <c r="F1252" t="inlineStr">
        <is>
          <t>30-Jun-2026</t>
        </is>
      </c>
      <c r="G1252" t="inlineStr">
        <is>
          <t>Tuesday</t>
        </is>
      </c>
      <c r="H1252" t="inlineStr">
        <is>
          <t>Monthly - Tuesday</t>
        </is>
      </c>
      <c r="I1252" t="inlineStr">
        <is>
          <t>Monthly - Tuesday</t>
        </is>
      </c>
      <c r="J1252" t="inlineStr">
        <is>
          <t>Month+6 Expiry</t>
        </is>
      </c>
      <c r="K1252" s="25" t="n">
        <v>7069</v>
      </c>
      <c r="L1252" s="26" t="n">
        <v>14.4669</v>
      </c>
      <c r="M1252" s="26" t="n">
        <v>0.3035</v>
      </c>
    </row>
    <row r="1253" ht="16" customHeight="1">
      <c r="A1253" t="inlineStr">
        <is>
          <t>10-Dec-2025</t>
        </is>
      </c>
      <c r="B1253" t="inlineStr">
        <is>
          <t>Wednesday</t>
        </is>
      </c>
      <c r="C1253" t="inlineStr">
        <is>
          <t>Week2-Dec-2025</t>
        </is>
      </c>
      <c r="D1253" s="78" t="n">
        <v>45992</v>
      </c>
      <c r="E1253" t="inlineStr">
        <is>
          <t>Q3FY26</t>
        </is>
      </c>
      <c r="F1253" t="inlineStr">
        <is>
          <t>29-Sep-2026</t>
        </is>
      </c>
      <c r="G1253" t="inlineStr">
        <is>
          <t>Tuesday</t>
        </is>
      </c>
      <c r="H1253" t="inlineStr">
        <is>
          <t>Monthly - Tuesday</t>
        </is>
      </c>
      <c r="I1253" t="inlineStr">
        <is>
          <t>Monthly - Tuesday</t>
        </is>
      </c>
      <c r="J1253" t="inlineStr">
        <is>
          <t>Month+9 Expiry</t>
        </is>
      </c>
      <c r="K1253" s="25" t="n">
        <v>91</v>
      </c>
      <c r="L1253" s="26" t="n">
        <v>0.1738</v>
      </c>
      <c r="M1253" s="26" t="n">
        <v>0.0024</v>
      </c>
    </row>
    <row r="1254" ht="16" customHeight="1">
      <c r="A1254" t="inlineStr">
        <is>
          <t>10-Dec-2025</t>
        </is>
      </c>
      <c r="B1254" t="inlineStr">
        <is>
          <t>Wednesday</t>
        </is>
      </c>
      <c r="C1254" t="inlineStr">
        <is>
          <t>Week2-Dec-2025</t>
        </is>
      </c>
      <c r="D1254" s="78" t="n">
        <v>45992</v>
      </c>
      <c r="E1254" t="inlineStr">
        <is>
          <t>Q3FY26</t>
        </is>
      </c>
      <c r="F1254" t="inlineStr">
        <is>
          <t>29-Dec-2026</t>
        </is>
      </c>
      <c r="G1254" t="inlineStr">
        <is>
          <t>Tuesday</t>
        </is>
      </c>
      <c r="H1254" t="inlineStr">
        <is>
          <t>Monthly - Tuesday</t>
        </is>
      </c>
      <c r="I1254" t="inlineStr">
        <is>
          <t>Monthly - Tuesday</t>
        </is>
      </c>
      <c r="J1254" t="inlineStr">
        <is>
          <t>Month+12 Expiry</t>
        </is>
      </c>
      <c r="K1254" s="25" t="n">
        <v>2905</v>
      </c>
      <c r="L1254" s="26" t="n">
        <v>5.9512</v>
      </c>
      <c r="M1254" s="26" t="n">
        <v>0.2032</v>
      </c>
    </row>
    <row r="1255" ht="16" customHeight="1">
      <c r="A1255" t="inlineStr">
        <is>
          <t>10-Dec-2025</t>
        </is>
      </c>
      <c r="B1255" t="inlineStr">
        <is>
          <t>Wednesday</t>
        </is>
      </c>
      <c r="C1255" t="inlineStr">
        <is>
          <t>Week2-Dec-2025</t>
        </is>
      </c>
      <c r="D1255" s="78" t="n">
        <v>45992</v>
      </c>
      <c r="E1255" t="inlineStr">
        <is>
          <t>Q3FY26</t>
        </is>
      </c>
      <c r="F1255" t="inlineStr">
        <is>
          <t>29-Jun-2027</t>
        </is>
      </c>
      <c r="G1255" t="inlineStr">
        <is>
          <t>Tuesday</t>
        </is>
      </c>
      <c r="H1255" t="inlineStr">
        <is>
          <t>Monthly - Tuesday</t>
        </is>
      </c>
      <c r="I1255" t="inlineStr">
        <is>
          <t>Monthly - Tuesday</t>
        </is>
      </c>
      <c r="J1255" t="inlineStr">
        <is>
          <t>Month+18 Expiry</t>
        </is>
      </c>
      <c r="K1255" s="25" t="n">
        <v>0</v>
      </c>
      <c r="L1255" s="26" t="n">
        <v>0</v>
      </c>
      <c r="M1255" s="26" t="n">
        <v>0</v>
      </c>
    </row>
    <row r="1256" ht="16" customHeight="1">
      <c r="A1256" t="inlineStr">
        <is>
          <t>10-Dec-2025</t>
        </is>
      </c>
      <c r="B1256" t="inlineStr">
        <is>
          <t>Wednesday</t>
        </is>
      </c>
      <c r="C1256" t="inlineStr">
        <is>
          <t>Week2-Dec-2025</t>
        </is>
      </c>
      <c r="D1256" s="78" t="n">
        <v>45992</v>
      </c>
      <c r="E1256" t="inlineStr">
        <is>
          <t>Q3FY26</t>
        </is>
      </c>
      <c r="F1256" t="inlineStr">
        <is>
          <t>28-Dec-2027</t>
        </is>
      </c>
      <c r="G1256" t="inlineStr">
        <is>
          <t>Tuesday</t>
        </is>
      </c>
      <c r="H1256" t="inlineStr">
        <is>
          <t>Monthly - Tuesday</t>
        </is>
      </c>
      <c r="I1256" t="inlineStr">
        <is>
          <t>Monthly - Tuesday</t>
        </is>
      </c>
      <c r="J1256" t="inlineStr">
        <is>
          <t>Month+24 Expiry</t>
        </is>
      </c>
      <c r="K1256" s="25" t="n">
        <v>4</v>
      </c>
      <c r="L1256" s="26" t="n">
        <v>0.008</v>
      </c>
      <c r="M1256" s="26" t="n">
        <v>0.0002</v>
      </c>
    </row>
    <row r="1257" ht="16" customHeight="1">
      <c r="A1257" t="inlineStr">
        <is>
          <t>10-Dec-2025</t>
        </is>
      </c>
      <c r="B1257" t="inlineStr">
        <is>
          <t>Wednesday</t>
        </is>
      </c>
      <c r="C1257" t="inlineStr">
        <is>
          <t>Week2-Dec-2025</t>
        </is>
      </c>
      <c r="D1257" s="78" t="n">
        <v>45992</v>
      </c>
      <c r="E1257" t="inlineStr">
        <is>
          <t>Q3FY26</t>
        </is>
      </c>
      <c r="F1257" t="inlineStr">
        <is>
          <t>27-Jun-2028</t>
        </is>
      </c>
      <c r="G1257" t="inlineStr">
        <is>
          <t>Tuesday</t>
        </is>
      </c>
      <c r="H1257" t="inlineStr">
        <is>
          <t>Monthly - Tuesday</t>
        </is>
      </c>
      <c r="I1257" t="inlineStr">
        <is>
          <t>Monthly - Tuesday</t>
        </is>
      </c>
      <c r="J1257" t="inlineStr">
        <is>
          <t>Month+30 Expiry</t>
        </is>
      </c>
      <c r="K1257" s="25" t="n">
        <v>0</v>
      </c>
      <c r="L1257" s="26" t="n">
        <v>0</v>
      </c>
      <c r="M1257" s="26" t="n">
        <v>0</v>
      </c>
    </row>
    <row r="1258" ht="16" customHeight="1">
      <c r="A1258" t="inlineStr">
        <is>
          <t>10-Dec-2025</t>
        </is>
      </c>
      <c r="B1258" t="inlineStr">
        <is>
          <t>Wednesday</t>
        </is>
      </c>
      <c r="C1258" t="inlineStr">
        <is>
          <t>Week2-Dec-2025</t>
        </is>
      </c>
      <c r="D1258" s="78" t="n">
        <v>45992</v>
      </c>
      <c r="E1258" t="inlineStr">
        <is>
          <t>Q3FY26</t>
        </is>
      </c>
      <c r="F1258" t="inlineStr">
        <is>
          <t>26-Dec-2028</t>
        </is>
      </c>
      <c r="G1258" t="inlineStr">
        <is>
          <t>Tuesday</t>
        </is>
      </c>
      <c r="H1258" t="inlineStr">
        <is>
          <t>Monthly - Tuesday</t>
        </is>
      </c>
      <c r="I1258" t="inlineStr">
        <is>
          <t>Monthly - Tuesday</t>
        </is>
      </c>
      <c r="J1258" t="inlineStr">
        <is>
          <t>Month+36 Expiry</t>
        </is>
      </c>
      <c r="K1258" s="25" t="n">
        <v>0</v>
      </c>
      <c r="L1258" s="26" t="n">
        <v>0</v>
      </c>
      <c r="M1258" s="26" t="n">
        <v>0</v>
      </c>
    </row>
    <row r="1259" ht="16" customHeight="1">
      <c r="A1259" t="inlineStr">
        <is>
          <t>10-Dec-2025</t>
        </is>
      </c>
      <c r="B1259" t="inlineStr">
        <is>
          <t>Wednesday</t>
        </is>
      </c>
      <c r="C1259" t="inlineStr">
        <is>
          <t>Week2-Dec-2025</t>
        </is>
      </c>
      <c r="D1259" s="78" t="n">
        <v>45992</v>
      </c>
      <c r="E1259" t="inlineStr">
        <is>
          <t>Q3FY26</t>
        </is>
      </c>
      <c r="F1259" t="inlineStr">
        <is>
          <t>26-Jun-2029</t>
        </is>
      </c>
      <c r="G1259" t="inlineStr">
        <is>
          <t>Tuesday</t>
        </is>
      </c>
      <c r="H1259" t="inlineStr">
        <is>
          <t>Monthly - Tuesday</t>
        </is>
      </c>
      <c r="I1259" t="inlineStr">
        <is>
          <t>Monthly - Tuesday</t>
        </is>
      </c>
      <c r="J1259" t="inlineStr">
        <is>
          <t>Month+42 Expiry</t>
        </is>
      </c>
      <c r="K1259" s="25" t="n">
        <v>0</v>
      </c>
      <c r="L1259" s="26" t="n">
        <v>0</v>
      </c>
      <c r="M1259" s="26" t="n">
        <v>0</v>
      </c>
    </row>
    <row r="1260" ht="16" customHeight="1">
      <c r="A1260" t="inlineStr">
        <is>
          <t>10-Dec-2025</t>
        </is>
      </c>
      <c r="B1260" t="inlineStr">
        <is>
          <t>Wednesday</t>
        </is>
      </c>
      <c r="C1260" t="inlineStr">
        <is>
          <t>Week2-Dec-2025</t>
        </is>
      </c>
      <c r="D1260" s="78" t="n">
        <v>45992</v>
      </c>
      <c r="E1260" t="inlineStr">
        <is>
          <t>Q3FY26</t>
        </is>
      </c>
      <c r="F1260" t="inlineStr">
        <is>
          <t>24-Dec-2029</t>
        </is>
      </c>
      <c r="G1260" t="inlineStr">
        <is>
          <t>Monday</t>
        </is>
      </c>
      <c r="H1260" t="inlineStr">
        <is>
          <t>Weekly - Monday</t>
        </is>
      </c>
      <c r="I1260" t="inlineStr">
        <is>
          <t>Weekly - Monday</t>
        </is>
      </c>
      <c r="J1260" t="inlineStr">
        <is>
          <t>Month+48 Expiry</t>
        </is>
      </c>
      <c r="K1260" s="25" t="n">
        <v>0</v>
      </c>
      <c r="L1260" s="26" t="n">
        <v>0</v>
      </c>
      <c r="M1260" s="26" t="n">
        <v>0</v>
      </c>
    </row>
    <row r="1261" ht="16" customHeight="1">
      <c r="A1261" t="inlineStr">
        <is>
          <t>10-Dec-2025</t>
        </is>
      </c>
      <c r="B1261" t="inlineStr">
        <is>
          <t>Wednesday</t>
        </is>
      </c>
      <c r="C1261" t="inlineStr">
        <is>
          <t>Week2-Dec-2025</t>
        </is>
      </c>
      <c r="D1261" s="78" t="n">
        <v>45992</v>
      </c>
      <c r="E1261" t="inlineStr">
        <is>
          <t>Q3FY26</t>
        </is>
      </c>
      <c r="F1261" t="inlineStr">
        <is>
          <t>25-Jun-2030</t>
        </is>
      </c>
      <c r="G1261" t="inlineStr">
        <is>
          <t>Tuesday</t>
        </is>
      </c>
      <c r="H1261" t="inlineStr">
        <is>
          <t>Monthly - Tuesday</t>
        </is>
      </c>
      <c r="I1261" t="inlineStr">
        <is>
          <t>Monthly - Tuesday</t>
        </is>
      </c>
      <c r="J1261" t="inlineStr">
        <is>
          <t>Month+54 Expiry</t>
        </is>
      </c>
      <c r="K1261" s="25" t="n">
        <v>0</v>
      </c>
      <c r="L1261" s="26" t="n">
        <v>0</v>
      </c>
      <c r="M1261" s="26" t="n">
        <v>0</v>
      </c>
    </row>
    <row r="1262" ht="16" customHeight="1">
      <c r="A1262" t="inlineStr">
        <is>
          <t>11-Dec-2025</t>
        </is>
      </c>
      <c r="B1262" t="inlineStr">
        <is>
          <t>Thursday</t>
        </is>
      </c>
      <c r="C1262" t="inlineStr">
        <is>
          <t>Week2-Dec-2025</t>
        </is>
      </c>
      <c r="D1262" s="78" t="n">
        <v>45992</v>
      </c>
      <c r="E1262" t="inlineStr">
        <is>
          <t>Q3FY26</t>
        </is>
      </c>
      <c r="F1262" t="inlineStr">
        <is>
          <t>16-Dec-2025</t>
        </is>
      </c>
      <c r="G1262" t="inlineStr">
        <is>
          <t>Tuesday</t>
        </is>
      </c>
      <c r="H1262" t="inlineStr">
        <is>
          <t>Weekly - Tuesday</t>
        </is>
      </c>
      <c r="I1262" t="inlineStr">
        <is>
          <t>Weekly - Tuesday</t>
        </is>
      </c>
      <c r="J1262" t="inlineStr">
        <is>
          <t>Same Month Expiry</t>
        </is>
      </c>
      <c r="K1262" s="25" t="n">
        <v>64159868</v>
      </c>
      <c r="L1262" s="26" t="n">
        <v>124800.176</v>
      </c>
      <c r="M1262" s="26" t="n">
        <v>314.9042</v>
      </c>
    </row>
    <row r="1263" ht="16" customHeight="1">
      <c r="A1263" t="inlineStr">
        <is>
          <t>11-Dec-2025</t>
        </is>
      </c>
      <c r="B1263" t="inlineStr">
        <is>
          <t>Thursday</t>
        </is>
      </c>
      <c r="C1263" t="inlineStr">
        <is>
          <t>Week2-Dec-2025</t>
        </is>
      </c>
      <c r="D1263" s="78" t="n">
        <v>45992</v>
      </c>
      <c r="E1263" t="inlineStr">
        <is>
          <t>Q3FY26</t>
        </is>
      </c>
      <c r="F1263" t="inlineStr">
        <is>
          <t>23-Dec-2025</t>
        </is>
      </c>
      <c r="G1263" t="inlineStr">
        <is>
          <t>Tuesday</t>
        </is>
      </c>
      <c r="H1263" t="inlineStr">
        <is>
          <t>Weekly - Tuesday</t>
        </is>
      </c>
      <c r="I1263" t="inlineStr">
        <is>
          <t>Weekly - Tuesday</t>
        </is>
      </c>
      <c r="J1263" t="inlineStr">
        <is>
          <t>Same Month Expiry</t>
        </is>
      </c>
      <c r="K1263" s="25" t="n">
        <v>1578651</v>
      </c>
      <c r="L1263" s="26" t="n">
        <v>3080.0306</v>
      </c>
      <c r="M1263" s="26" t="n">
        <v>11.9341</v>
      </c>
    </row>
    <row r="1264" ht="16" customHeight="1">
      <c r="A1264" t="inlineStr">
        <is>
          <t>11-Dec-2025</t>
        </is>
      </c>
      <c r="B1264" t="inlineStr">
        <is>
          <t>Thursday</t>
        </is>
      </c>
      <c r="C1264" t="inlineStr">
        <is>
          <t>Week2-Dec-2025</t>
        </is>
      </c>
      <c r="D1264" s="78" t="n">
        <v>45992</v>
      </c>
      <c r="E1264" t="inlineStr">
        <is>
          <t>Q3FY26</t>
        </is>
      </c>
      <c r="F1264" t="inlineStr">
        <is>
          <t>30-Dec-2025</t>
        </is>
      </c>
      <c r="G1264" t="inlineStr">
        <is>
          <t>Tuesday</t>
        </is>
      </c>
      <c r="H1264" t="inlineStr">
        <is>
          <t>Monthly - Tuesday</t>
        </is>
      </c>
      <c r="I1264" t="inlineStr">
        <is>
          <t>Monthly - Tuesday</t>
        </is>
      </c>
      <c r="J1264" t="inlineStr">
        <is>
          <t>Same Month Expiry</t>
        </is>
      </c>
      <c r="K1264" s="25" t="n">
        <v>1738617</v>
      </c>
      <c r="L1264" s="26" t="n">
        <v>3398.0435</v>
      </c>
      <c r="M1264" s="26" t="n">
        <v>18.7599</v>
      </c>
    </row>
    <row r="1265" ht="16" customHeight="1">
      <c r="A1265" t="inlineStr">
        <is>
          <t>11-Dec-2025</t>
        </is>
      </c>
      <c r="B1265" t="inlineStr">
        <is>
          <t>Thursday</t>
        </is>
      </c>
      <c r="C1265" t="inlineStr">
        <is>
          <t>Week2-Dec-2025</t>
        </is>
      </c>
      <c r="D1265" s="78" t="n">
        <v>45992</v>
      </c>
      <c r="E1265" t="inlineStr">
        <is>
          <t>Q3FY26</t>
        </is>
      </c>
      <c r="F1265" t="inlineStr">
        <is>
          <t>06-Jan-2026</t>
        </is>
      </c>
      <c r="G1265" t="inlineStr">
        <is>
          <t>Tuesday</t>
        </is>
      </c>
      <c r="H1265" t="inlineStr">
        <is>
          <t>Weekly - Tuesday</t>
        </is>
      </c>
      <c r="I1265" t="inlineStr">
        <is>
          <t>Weekly - Tuesday</t>
        </is>
      </c>
      <c r="J1265" t="inlineStr">
        <is>
          <t>Month+1 Expiry</t>
        </is>
      </c>
      <c r="K1265" s="25" t="n">
        <v>18042</v>
      </c>
      <c r="L1265" s="26" t="n">
        <v>30.7917</v>
      </c>
      <c r="M1265" s="26" t="n">
        <v>0.2022</v>
      </c>
    </row>
    <row r="1266" ht="16" customHeight="1">
      <c r="A1266" t="inlineStr">
        <is>
          <t>11-Dec-2025</t>
        </is>
      </c>
      <c r="B1266" t="inlineStr">
        <is>
          <t>Thursday</t>
        </is>
      </c>
      <c r="C1266" t="inlineStr">
        <is>
          <t>Week2-Dec-2025</t>
        </is>
      </c>
      <c r="D1266" s="78" t="n">
        <v>45992</v>
      </c>
      <c r="E1266" t="inlineStr">
        <is>
          <t>Q3FY26</t>
        </is>
      </c>
      <c r="F1266" t="inlineStr">
        <is>
          <t>13-Jan-2026</t>
        </is>
      </c>
      <c r="G1266" t="inlineStr">
        <is>
          <t>Tuesday</t>
        </is>
      </c>
      <c r="H1266" t="inlineStr">
        <is>
          <t>Weekly - Tuesday</t>
        </is>
      </c>
      <c r="I1266" t="inlineStr">
        <is>
          <t>Weekly - Tuesday</t>
        </is>
      </c>
      <c r="J1266" t="inlineStr">
        <is>
          <t>Month+1 Expiry</t>
        </is>
      </c>
      <c r="K1266" s="25" t="n">
        <v>604</v>
      </c>
      <c r="L1266" s="26" t="n">
        <v>1.0362</v>
      </c>
      <c r="M1266" s="26" t="n">
        <v>0.0055</v>
      </c>
    </row>
    <row r="1267" ht="16" customHeight="1">
      <c r="A1267" t="inlineStr">
        <is>
          <t>11-Dec-2025</t>
        </is>
      </c>
      <c r="B1267" t="inlineStr">
        <is>
          <t>Thursday</t>
        </is>
      </c>
      <c r="C1267" t="inlineStr">
        <is>
          <t>Week2-Dec-2025</t>
        </is>
      </c>
      <c r="D1267" s="78" t="n">
        <v>45992</v>
      </c>
      <c r="E1267" t="inlineStr">
        <is>
          <t>Q3FY26</t>
        </is>
      </c>
      <c r="F1267" t="inlineStr">
        <is>
          <t>27-Jan-2026</t>
        </is>
      </c>
      <c r="G1267" t="inlineStr">
        <is>
          <t>Tuesday</t>
        </is>
      </c>
      <c r="H1267" t="inlineStr">
        <is>
          <t>Monthly - Tuesday</t>
        </is>
      </c>
      <c r="I1267" t="inlineStr">
        <is>
          <t>Monthly - Tuesday</t>
        </is>
      </c>
      <c r="J1267" t="inlineStr">
        <is>
          <t>Month+1 Expiry</t>
        </is>
      </c>
      <c r="K1267" s="25" t="n">
        <v>181926</v>
      </c>
      <c r="L1267" s="26" t="n">
        <v>310.2867</v>
      </c>
      <c r="M1267" s="26" t="n">
        <v>2.4584</v>
      </c>
    </row>
    <row r="1268" ht="16" customHeight="1">
      <c r="A1268" t="inlineStr">
        <is>
          <t>11-Dec-2025</t>
        </is>
      </c>
      <c r="B1268" t="inlineStr">
        <is>
          <t>Thursday</t>
        </is>
      </c>
      <c r="C1268" t="inlineStr">
        <is>
          <t>Week2-Dec-2025</t>
        </is>
      </c>
      <c r="D1268" s="78" t="n">
        <v>45992</v>
      </c>
      <c r="E1268" t="inlineStr">
        <is>
          <t>Q3FY26</t>
        </is>
      </c>
      <c r="F1268" t="inlineStr">
        <is>
          <t>24-Feb-2026</t>
        </is>
      </c>
      <c r="G1268" t="inlineStr">
        <is>
          <t>Tuesday</t>
        </is>
      </c>
      <c r="H1268" t="inlineStr">
        <is>
          <t>Monthly - Tuesday</t>
        </is>
      </c>
      <c r="I1268" t="inlineStr">
        <is>
          <t>Monthly - Tuesday</t>
        </is>
      </c>
      <c r="J1268" t="inlineStr">
        <is>
          <t>Month+2 Expiry</t>
        </is>
      </c>
      <c r="K1268" s="25" t="n">
        <v>35641</v>
      </c>
      <c r="L1268" s="26" t="n">
        <v>61.3932</v>
      </c>
      <c r="M1268" s="26" t="n">
        <v>0.7264</v>
      </c>
    </row>
    <row r="1269" ht="16" customHeight="1">
      <c r="A1269" t="inlineStr">
        <is>
          <t>11-Dec-2025</t>
        </is>
      </c>
      <c r="B1269" t="inlineStr">
        <is>
          <t>Thursday</t>
        </is>
      </c>
      <c r="C1269" t="inlineStr">
        <is>
          <t>Week2-Dec-2025</t>
        </is>
      </c>
      <c r="D1269" s="78" t="n">
        <v>45992</v>
      </c>
      <c r="E1269" t="inlineStr">
        <is>
          <t>Q3FY26</t>
        </is>
      </c>
      <c r="F1269" t="inlineStr">
        <is>
          <t>31-Mar-2026</t>
        </is>
      </c>
      <c r="G1269" t="inlineStr">
        <is>
          <t>Tuesday</t>
        </is>
      </c>
      <c r="H1269" t="inlineStr">
        <is>
          <t>Monthly - Tuesday</t>
        </is>
      </c>
      <c r="I1269" t="inlineStr">
        <is>
          <t>Monthly - Tuesday</t>
        </is>
      </c>
      <c r="J1269" t="inlineStr">
        <is>
          <t>Month+3 Expiry</t>
        </is>
      </c>
      <c r="K1269" s="25" t="n">
        <v>22995</v>
      </c>
      <c r="L1269" s="26" t="n">
        <v>45.8264</v>
      </c>
      <c r="M1269" s="26" t="n">
        <v>0.7614</v>
      </c>
    </row>
    <row r="1270" ht="16" customHeight="1">
      <c r="A1270" t="inlineStr">
        <is>
          <t>11-Dec-2025</t>
        </is>
      </c>
      <c r="B1270" t="inlineStr">
        <is>
          <t>Thursday</t>
        </is>
      </c>
      <c r="C1270" t="inlineStr">
        <is>
          <t>Week2-Dec-2025</t>
        </is>
      </c>
      <c r="D1270" s="78" t="n">
        <v>45992</v>
      </c>
      <c r="E1270" t="inlineStr">
        <is>
          <t>Q3FY26</t>
        </is>
      </c>
      <c r="F1270" t="inlineStr">
        <is>
          <t>30-Jun-2026</t>
        </is>
      </c>
      <c r="G1270" t="inlineStr">
        <is>
          <t>Tuesday</t>
        </is>
      </c>
      <c r="H1270" t="inlineStr">
        <is>
          <t>Monthly - Tuesday</t>
        </is>
      </c>
      <c r="I1270" t="inlineStr">
        <is>
          <t>Monthly - Tuesday</t>
        </is>
      </c>
      <c r="J1270" t="inlineStr">
        <is>
          <t>Month+6 Expiry</t>
        </is>
      </c>
      <c r="K1270" s="25" t="n">
        <v>10882</v>
      </c>
      <c r="L1270" s="26" t="n">
        <v>21.8608</v>
      </c>
      <c r="M1270" s="26" t="n">
        <v>0.392</v>
      </c>
    </row>
    <row r="1271" ht="16" customHeight="1">
      <c r="A1271" t="inlineStr">
        <is>
          <t>11-Dec-2025</t>
        </is>
      </c>
      <c r="B1271" t="inlineStr">
        <is>
          <t>Thursday</t>
        </is>
      </c>
      <c r="C1271" t="inlineStr">
        <is>
          <t>Week2-Dec-2025</t>
        </is>
      </c>
      <c r="D1271" s="78" t="n">
        <v>45992</v>
      </c>
      <c r="E1271" t="inlineStr">
        <is>
          <t>Q3FY26</t>
        </is>
      </c>
      <c r="F1271" t="inlineStr">
        <is>
          <t>29-Sep-2026</t>
        </is>
      </c>
      <c r="G1271" t="inlineStr">
        <is>
          <t>Tuesday</t>
        </is>
      </c>
      <c r="H1271" t="inlineStr">
        <is>
          <t>Monthly - Tuesday</t>
        </is>
      </c>
      <c r="I1271" t="inlineStr">
        <is>
          <t>Monthly - Tuesday</t>
        </is>
      </c>
      <c r="J1271" t="inlineStr">
        <is>
          <t>Month+9 Expiry</t>
        </is>
      </c>
      <c r="K1271" s="25" t="n">
        <v>48</v>
      </c>
      <c r="L1271" s="26" t="n">
        <v>0.0956</v>
      </c>
      <c r="M1271" s="26" t="n">
        <v>0.0012</v>
      </c>
    </row>
    <row r="1272" ht="16" customHeight="1">
      <c r="A1272" t="inlineStr">
        <is>
          <t>11-Dec-2025</t>
        </is>
      </c>
      <c r="B1272" t="inlineStr">
        <is>
          <t>Thursday</t>
        </is>
      </c>
      <c r="C1272" t="inlineStr">
        <is>
          <t>Week2-Dec-2025</t>
        </is>
      </c>
      <c r="D1272" s="78" t="n">
        <v>45992</v>
      </c>
      <c r="E1272" t="inlineStr">
        <is>
          <t>Q3FY26</t>
        </is>
      </c>
      <c r="F1272" t="inlineStr">
        <is>
          <t>29-Dec-2026</t>
        </is>
      </c>
      <c r="G1272" t="inlineStr">
        <is>
          <t>Tuesday</t>
        </is>
      </c>
      <c r="H1272" t="inlineStr">
        <is>
          <t>Monthly - Tuesday</t>
        </is>
      </c>
      <c r="I1272" t="inlineStr">
        <is>
          <t>Monthly - Tuesday</t>
        </is>
      </c>
      <c r="J1272" t="inlineStr">
        <is>
          <t>Month+12 Expiry</t>
        </is>
      </c>
      <c r="K1272" s="25" t="n">
        <v>6113</v>
      </c>
      <c r="L1272" s="26" t="n">
        <v>12.5522</v>
      </c>
      <c r="M1272" s="26" t="n">
        <v>0.4032</v>
      </c>
    </row>
    <row r="1273" ht="16" customHeight="1">
      <c r="A1273" t="inlineStr">
        <is>
          <t>11-Dec-2025</t>
        </is>
      </c>
      <c r="B1273" t="inlineStr">
        <is>
          <t>Thursday</t>
        </is>
      </c>
      <c r="C1273" t="inlineStr">
        <is>
          <t>Week2-Dec-2025</t>
        </is>
      </c>
      <c r="D1273" s="78" t="n">
        <v>45992</v>
      </c>
      <c r="E1273" t="inlineStr">
        <is>
          <t>Q3FY26</t>
        </is>
      </c>
      <c r="F1273" t="inlineStr">
        <is>
          <t>29-Jun-2027</t>
        </is>
      </c>
      <c r="G1273" t="inlineStr">
        <is>
          <t>Tuesday</t>
        </is>
      </c>
      <c r="H1273" t="inlineStr">
        <is>
          <t>Monthly - Tuesday</t>
        </is>
      </c>
      <c r="I1273" t="inlineStr">
        <is>
          <t>Monthly - Tuesday</t>
        </is>
      </c>
      <c r="J1273" t="inlineStr">
        <is>
          <t>Month+18 Expiry</t>
        </is>
      </c>
      <c r="K1273" s="25" t="n">
        <v>0</v>
      </c>
      <c r="L1273" s="26" t="n">
        <v>0</v>
      </c>
      <c r="M1273" s="26" t="n">
        <v>0</v>
      </c>
    </row>
    <row r="1274" ht="16" customHeight="1">
      <c r="A1274" t="inlineStr">
        <is>
          <t>11-Dec-2025</t>
        </is>
      </c>
      <c r="B1274" t="inlineStr">
        <is>
          <t>Thursday</t>
        </is>
      </c>
      <c r="C1274" t="inlineStr">
        <is>
          <t>Week2-Dec-2025</t>
        </is>
      </c>
      <c r="D1274" s="78" t="n">
        <v>45992</v>
      </c>
      <c r="E1274" t="inlineStr">
        <is>
          <t>Q3FY26</t>
        </is>
      </c>
      <c r="F1274" t="inlineStr">
        <is>
          <t>28-Dec-2027</t>
        </is>
      </c>
      <c r="G1274" t="inlineStr">
        <is>
          <t>Tuesday</t>
        </is>
      </c>
      <c r="H1274" t="inlineStr">
        <is>
          <t>Monthly - Tuesday</t>
        </is>
      </c>
      <c r="I1274" t="inlineStr">
        <is>
          <t>Monthly - Tuesday</t>
        </is>
      </c>
      <c r="J1274" t="inlineStr">
        <is>
          <t>Month+24 Expiry</t>
        </is>
      </c>
      <c r="K1274" s="25" t="n">
        <v>9</v>
      </c>
      <c r="L1274" s="26" t="n">
        <v>0.0161</v>
      </c>
      <c r="M1274" s="26" t="n">
        <v>0.0003</v>
      </c>
    </row>
    <row r="1275" ht="16" customHeight="1">
      <c r="A1275" t="inlineStr">
        <is>
          <t>11-Dec-2025</t>
        </is>
      </c>
      <c r="B1275" t="inlineStr">
        <is>
          <t>Thursday</t>
        </is>
      </c>
      <c r="C1275" t="inlineStr">
        <is>
          <t>Week2-Dec-2025</t>
        </is>
      </c>
      <c r="D1275" s="78" t="n">
        <v>45992</v>
      </c>
      <c r="E1275" t="inlineStr">
        <is>
          <t>Q3FY26</t>
        </is>
      </c>
      <c r="F1275" t="inlineStr">
        <is>
          <t>27-Jun-2028</t>
        </is>
      </c>
      <c r="G1275" t="inlineStr">
        <is>
          <t>Tuesday</t>
        </is>
      </c>
      <c r="H1275" t="inlineStr">
        <is>
          <t>Monthly - Tuesday</t>
        </is>
      </c>
      <c r="I1275" t="inlineStr">
        <is>
          <t>Monthly - Tuesday</t>
        </is>
      </c>
      <c r="J1275" t="inlineStr">
        <is>
          <t>Month+30 Expiry</t>
        </is>
      </c>
      <c r="K1275" s="25" t="n">
        <v>0</v>
      </c>
      <c r="L1275" s="26" t="n">
        <v>0</v>
      </c>
      <c r="M1275" s="26" t="n">
        <v>0</v>
      </c>
    </row>
    <row r="1276" ht="16" customHeight="1">
      <c r="A1276" t="inlineStr">
        <is>
          <t>11-Dec-2025</t>
        </is>
      </c>
      <c r="B1276" t="inlineStr">
        <is>
          <t>Thursday</t>
        </is>
      </c>
      <c r="C1276" t="inlineStr">
        <is>
          <t>Week2-Dec-2025</t>
        </is>
      </c>
      <c r="D1276" s="78" t="n">
        <v>45992</v>
      </c>
      <c r="E1276" t="inlineStr">
        <is>
          <t>Q3FY26</t>
        </is>
      </c>
      <c r="F1276" t="inlineStr">
        <is>
          <t>26-Dec-2028</t>
        </is>
      </c>
      <c r="G1276" t="inlineStr">
        <is>
          <t>Tuesday</t>
        </is>
      </c>
      <c r="H1276" t="inlineStr">
        <is>
          <t>Monthly - Tuesday</t>
        </is>
      </c>
      <c r="I1276" t="inlineStr">
        <is>
          <t>Monthly - Tuesday</t>
        </is>
      </c>
      <c r="J1276" t="inlineStr">
        <is>
          <t>Month+36 Expiry</t>
        </is>
      </c>
      <c r="K1276" s="25" t="n">
        <v>72</v>
      </c>
      <c r="L1276" s="26" t="n">
        <v>0.126</v>
      </c>
      <c r="M1276" s="26" t="n">
        <v>0.0031</v>
      </c>
    </row>
    <row r="1277" ht="16" customHeight="1">
      <c r="A1277" t="inlineStr">
        <is>
          <t>11-Dec-2025</t>
        </is>
      </c>
      <c r="B1277" t="inlineStr">
        <is>
          <t>Thursday</t>
        </is>
      </c>
      <c r="C1277" t="inlineStr">
        <is>
          <t>Week2-Dec-2025</t>
        </is>
      </c>
      <c r="D1277" s="78" t="n">
        <v>45992</v>
      </c>
      <c r="E1277" t="inlineStr">
        <is>
          <t>Q3FY26</t>
        </is>
      </c>
      <c r="F1277" t="inlineStr">
        <is>
          <t>26-Jun-2029</t>
        </is>
      </c>
      <c r="G1277" t="inlineStr">
        <is>
          <t>Tuesday</t>
        </is>
      </c>
      <c r="H1277" t="inlineStr">
        <is>
          <t>Monthly - Tuesday</t>
        </is>
      </c>
      <c r="I1277" t="inlineStr">
        <is>
          <t>Monthly - Tuesday</t>
        </is>
      </c>
      <c r="J1277" t="inlineStr">
        <is>
          <t>Month+42 Expiry</t>
        </is>
      </c>
      <c r="K1277" s="25" t="n">
        <v>0</v>
      </c>
      <c r="L1277" s="26" t="n">
        <v>0</v>
      </c>
      <c r="M1277" s="26" t="n">
        <v>0</v>
      </c>
    </row>
    <row r="1278" ht="16" customHeight="1">
      <c r="A1278" t="inlineStr">
        <is>
          <t>11-Dec-2025</t>
        </is>
      </c>
      <c r="B1278" t="inlineStr">
        <is>
          <t>Thursday</t>
        </is>
      </c>
      <c r="C1278" t="inlineStr">
        <is>
          <t>Week2-Dec-2025</t>
        </is>
      </c>
      <c r="D1278" s="78" t="n">
        <v>45992</v>
      </c>
      <c r="E1278" t="inlineStr">
        <is>
          <t>Q3FY26</t>
        </is>
      </c>
      <c r="F1278" t="inlineStr">
        <is>
          <t>24-Dec-2029</t>
        </is>
      </c>
      <c r="G1278" t="inlineStr">
        <is>
          <t>Monday</t>
        </is>
      </c>
      <c r="H1278" t="inlineStr">
        <is>
          <t>Weekly - Monday</t>
        </is>
      </c>
      <c r="I1278" t="inlineStr">
        <is>
          <t>Weekly - Monday</t>
        </is>
      </c>
      <c r="J1278" t="inlineStr">
        <is>
          <t>Month+48 Expiry</t>
        </is>
      </c>
      <c r="K1278" s="25" t="n">
        <v>33</v>
      </c>
      <c r="L1278" s="26" t="n">
        <v>0.0585</v>
      </c>
      <c r="M1278" s="26" t="n">
        <v>0.0016</v>
      </c>
    </row>
    <row r="1279" ht="16" customHeight="1">
      <c r="A1279" t="inlineStr">
        <is>
          <t>11-Dec-2025</t>
        </is>
      </c>
      <c r="B1279" t="inlineStr">
        <is>
          <t>Thursday</t>
        </is>
      </c>
      <c r="C1279" t="inlineStr">
        <is>
          <t>Week2-Dec-2025</t>
        </is>
      </c>
      <c r="D1279" s="78" t="n">
        <v>45992</v>
      </c>
      <c r="E1279" t="inlineStr">
        <is>
          <t>Q3FY26</t>
        </is>
      </c>
      <c r="F1279" t="inlineStr">
        <is>
          <t>25-Jun-2030</t>
        </is>
      </c>
      <c r="G1279" t="inlineStr">
        <is>
          <t>Tuesday</t>
        </is>
      </c>
      <c r="H1279" t="inlineStr">
        <is>
          <t>Monthly - Tuesday</t>
        </is>
      </c>
      <c r="I1279" t="inlineStr">
        <is>
          <t>Monthly - Tuesday</t>
        </is>
      </c>
      <c r="J1279" t="inlineStr">
        <is>
          <t>Month+54 Expiry</t>
        </is>
      </c>
      <c r="K1279" s="25" t="n">
        <v>0</v>
      </c>
      <c r="L1279" s="26" t="n">
        <v>0</v>
      </c>
      <c r="M1279" s="26" t="n">
        <v>0</v>
      </c>
    </row>
    <row r="1280" ht="16" customHeight="1">
      <c r="A1280" t="inlineStr">
        <is>
          <t>12-Dec-2025</t>
        </is>
      </c>
      <c r="B1280" t="inlineStr">
        <is>
          <t>Friday</t>
        </is>
      </c>
      <c r="C1280" t="inlineStr">
        <is>
          <t>Week2-Dec-2025</t>
        </is>
      </c>
      <c r="D1280" s="78" t="n">
        <v>45992</v>
      </c>
      <c r="E1280" t="inlineStr">
        <is>
          <t>Q3FY26</t>
        </is>
      </c>
      <c r="F1280" t="inlineStr">
        <is>
          <t>16-Dec-2025</t>
        </is>
      </c>
      <c r="G1280" t="inlineStr">
        <is>
          <t>Tuesday</t>
        </is>
      </c>
      <c r="H1280" t="inlineStr">
        <is>
          <t>Weekly - Tuesday</t>
        </is>
      </c>
      <c r="I1280" t="inlineStr">
        <is>
          <t>Weekly - Tuesday</t>
        </is>
      </c>
      <c r="J1280" t="inlineStr">
        <is>
          <t>Same Month Expiry</t>
        </is>
      </c>
      <c r="K1280" s="25" t="n">
        <v>94717457</v>
      </c>
      <c r="L1280" s="26" t="n">
        <v>184926.2881</v>
      </c>
      <c r="M1280" s="26" t="n">
        <v>404.8434</v>
      </c>
    </row>
    <row r="1281" ht="16" customHeight="1">
      <c r="A1281" t="inlineStr">
        <is>
          <t>12-Dec-2025</t>
        </is>
      </c>
      <c r="B1281" t="inlineStr">
        <is>
          <t>Friday</t>
        </is>
      </c>
      <c r="C1281" t="inlineStr">
        <is>
          <t>Week2-Dec-2025</t>
        </is>
      </c>
      <c r="D1281" s="78" t="n">
        <v>45992</v>
      </c>
      <c r="E1281" t="inlineStr">
        <is>
          <t>Q3FY26</t>
        </is>
      </c>
      <c r="F1281" t="inlineStr">
        <is>
          <t>23-Dec-2025</t>
        </is>
      </c>
      <c r="G1281" t="inlineStr">
        <is>
          <t>Tuesday</t>
        </is>
      </c>
      <c r="H1281" t="inlineStr">
        <is>
          <t>Weekly - Tuesday</t>
        </is>
      </c>
      <c r="I1281" t="inlineStr">
        <is>
          <t>Weekly - Tuesday</t>
        </is>
      </c>
      <c r="J1281" t="inlineStr">
        <is>
          <t>Same Month Expiry</t>
        </is>
      </c>
      <c r="K1281" s="25" t="n">
        <v>2186608</v>
      </c>
      <c r="L1281" s="26" t="n">
        <v>4279.8256</v>
      </c>
      <c r="M1281" s="26" t="n">
        <v>13.9603</v>
      </c>
    </row>
    <row r="1282" ht="16" customHeight="1">
      <c r="A1282" t="inlineStr">
        <is>
          <t>12-Dec-2025</t>
        </is>
      </c>
      <c r="B1282" t="inlineStr">
        <is>
          <t>Friday</t>
        </is>
      </c>
      <c r="C1282" t="inlineStr">
        <is>
          <t>Week2-Dec-2025</t>
        </is>
      </c>
      <c r="D1282" s="78" t="n">
        <v>45992</v>
      </c>
      <c r="E1282" t="inlineStr">
        <is>
          <t>Q3FY26</t>
        </is>
      </c>
      <c r="F1282" t="inlineStr">
        <is>
          <t>30-Dec-2025</t>
        </is>
      </c>
      <c r="G1282" t="inlineStr">
        <is>
          <t>Tuesday</t>
        </is>
      </c>
      <c r="H1282" t="inlineStr">
        <is>
          <t>Monthly - Tuesday</t>
        </is>
      </c>
      <c r="I1282" t="inlineStr">
        <is>
          <t>Monthly - Tuesday</t>
        </is>
      </c>
      <c r="J1282" t="inlineStr">
        <is>
          <t>Same Month Expiry</t>
        </is>
      </c>
      <c r="K1282" s="25" t="n">
        <v>1785413</v>
      </c>
      <c r="L1282" s="26" t="n">
        <v>3498.9772</v>
      </c>
      <c r="M1282" s="26" t="n">
        <v>17.4723</v>
      </c>
    </row>
    <row r="1283" ht="16" customHeight="1">
      <c r="A1283" t="inlineStr">
        <is>
          <t>12-Dec-2025</t>
        </is>
      </c>
      <c r="B1283" t="inlineStr">
        <is>
          <t>Friday</t>
        </is>
      </c>
      <c r="C1283" t="inlineStr">
        <is>
          <t>Week2-Dec-2025</t>
        </is>
      </c>
      <c r="D1283" s="78" t="n">
        <v>45992</v>
      </c>
      <c r="E1283" t="inlineStr">
        <is>
          <t>Q3FY26</t>
        </is>
      </c>
      <c r="F1283" t="inlineStr">
        <is>
          <t>06-Jan-2026</t>
        </is>
      </c>
      <c r="G1283" t="inlineStr">
        <is>
          <t>Tuesday</t>
        </is>
      </c>
      <c r="H1283" t="inlineStr">
        <is>
          <t>Weekly - Tuesday</t>
        </is>
      </c>
      <c r="I1283" t="inlineStr">
        <is>
          <t>Weekly - Tuesday</t>
        </is>
      </c>
      <c r="J1283" t="inlineStr">
        <is>
          <t>Month+1 Expiry</t>
        </is>
      </c>
      <c r="K1283" s="25" t="n">
        <v>28781</v>
      </c>
      <c r="L1283" s="26" t="n">
        <v>49.1407</v>
      </c>
      <c r="M1283" s="26" t="n">
        <v>0.3109</v>
      </c>
    </row>
    <row r="1284" ht="16" customHeight="1">
      <c r="A1284" t="inlineStr">
        <is>
          <t>12-Dec-2025</t>
        </is>
      </c>
      <c r="B1284" t="inlineStr">
        <is>
          <t>Friday</t>
        </is>
      </c>
      <c r="C1284" t="inlineStr">
        <is>
          <t>Week2-Dec-2025</t>
        </is>
      </c>
      <c r="D1284" s="78" t="n">
        <v>45992</v>
      </c>
      <c r="E1284" t="inlineStr">
        <is>
          <t>Q3FY26</t>
        </is>
      </c>
      <c r="F1284" t="inlineStr">
        <is>
          <t>13-Jan-2026</t>
        </is>
      </c>
      <c r="G1284" t="inlineStr">
        <is>
          <t>Tuesday</t>
        </is>
      </c>
      <c r="H1284" t="inlineStr">
        <is>
          <t>Weekly - Tuesday</t>
        </is>
      </c>
      <c r="I1284" t="inlineStr">
        <is>
          <t>Weekly - Tuesday</t>
        </is>
      </c>
      <c r="J1284" t="inlineStr">
        <is>
          <t>Month+1 Expiry</t>
        </is>
      </c>
      <c r="K1284" s="25" t="n">
        <v>1275</v>
      </c>
      <c r="L1284" s="26" t="n">
        <v>2.1783</v>
      </c>
      <c r="M1284" s="26" t="n">
        <v>0.0148</v>
      </c>
    </row>
    <row r="1285" ht="16" customHeight="1">
      <c r="A1285" t="inlineStr">
        <is>
          <t>12-Dec-2025</t>
        </is>
      </c>
      <c r="B1285" t="inlineStr">
        <is>
          <t>Friday</t>
        </is>
      </c>
      <c r="C1285" t="inlineStr">
        <is>
          <t>Week2-Dec-2025</t>
        </is>
      </c>
      <c r="D1285" s="78" t="n">
        <v>45992</v>
      </c>
      <c r="E1285" t="inlineStr">
        <is>
          <t>Q3FY26</t>
        </is>
      </c>
      <c r="F1285" t="inlineStr">
        <is>
          <t>27-Jan-2026</t>
        </is>
      </c>
      <c r="G1285" t="inlineStr">
        <is>
          <t>Tuesday</t>
        </is>
      </c>
      <c r="H1285" t="inlineStr">
        <is>
          <t>Monthly - Tuesday</t>
        </is>
      </c>
      <c r="I1285" t="inlineStr">
        <is>
          <t>Monthly - Tuesday</t>
        </is>
      </c>
      <c r="J1285" t="inlineStr">
        <is>
          <t>Month+1 Expiry</t>
        </is>
      </c>
      <c r="K1285" s="25" t="n">
        <v>204610</v>
      </c>
      <c r="L1285" s="26" t="n">
        <v>348.3126</v>
      </c>
      <c r="M1285" s="26" t="n">
        <v>2.4796</v>
      </c>
    </row>
    <row r="1286" ht="16" customHeight="1">
      <c r="A1286" t="inlineStr">
        <is>
          <t>12-Dec-2025</t>
        </is>
      </c>
      <c r="B1286" t="inlineStr">
        <is>
          <t>Friday</t>
        </is>
      </c>
      <c r="C1286" t="inlineStr">
        <is>
          <t>Week2-Dec-2025</t>
        </is>
      </c>
      <c r="D1286" s="78" t="n">
        <v>45992</v>
      </c>
      <c r="E1286" t="inlineStr">
        <is>
          <t>Q3FY26</t>
        </is>
      </c>
      <c r="F1286" t="inlineStr">
        <is>
          <t>24-Feb-2026</t>
        </is>
      </c>
      <c r="G1286" t="inlineStr">
        <is>
          <t>Tuesday</t>
        </is>
      </c>
      <c r="H1286" t="inlineStr">
        <is>
          <t>Monthly - Tuesday</t>
        </is>
      </c>
      <c r="I1286" t="inlineStr">
        <is>
          <t>Monthly - Tuesday</t>
        </is>
      </c>
      <c r="J1286" t="inlineStr">
        <is>
          <t>Month+2 Expiry</t>
        </is>
      </c>
      <c r="K1286" s="25" t="n">
        <v>35355</v>
      </c>
      <c r="L1286" s="26" t="n">
        <v>60.2917</v>
      </c>
      <c r="M1286" s="26" t="n">
        <v>0.5867</v>
      </c>
    </row>
    <row r="1287" ht="16" customHeight="1">
      <c r="A1287" t="inlineStr">
        <is>
          <t>12-Dec-2025</t>
        </is>
      </c>
      <c r="B1287" t="inlineStr">
        <is>
          <t>Friday</t>
        </is>
      </c>
      <c r="C1287" t="inlineStr">
        <is>
          <t>Week2-Dec-2025</t>
        </is>
      </c>
      <c r="D1287" s="78" t="n">
        <v>45992</v>
      </c>
      <c r="E1287" t="inlineStr">
        <is>
          <t>Q3FY26</t>
        </is>
      </c>
      <c r="F1287" t="inlineStr">
        <is>
          <t>31-Mar-2026</t>
        </is>
      </c>
      <c r="G1287" t="inlineStr">
        <is>
          <t>Tuesday</t>
        </is>
      </c>
      <c r="H1287" t="inlineStr">
        <is>
          <t>Monthly - Tuesday</t>
        </is>
      </c>
      <c r="I1287" t="inlineStr">
        <is>
          <t>Monthly - Tuesday</t>
        </is>
      </c>
      <c r="J1287" t="inlineStr">
        <is>
          <t>Month+3 Expiry</t>
        </is>
      </c>
      <c r="K1287" s="25" t="n">
        <v>27932</v>
      </c>
      <c r="L1287" s="26" t="n">
        <v>53.7842</v>
      </c>
      <c r="M1287" s="26" t="n">
        <v>0.6840000000000001</v>
      </c>
    </row>
    <row r="1288" ht="16" customHeight="1">
      <c r="A1288" t="inlineStr">
        <is>
          <t>12-Dec-2025</t>
        </is>
      </c>
      <c r="B1288" t="inlineStr">
        <is>
          <t>Friday</t>
        </is>
      </c>
      <c r="C1288" t="inlineStr">
        <is>
          <t>Week2-Dec-2025</t>
        </is>
      </c>
      <c r="D1288" s="78" t="n">
        <v>45992</v>
      </c>
      <c r="E1288" t="inlineStr">
        <is>
          <t>Q3FY26</t>
        </is>
      </c>
      <c r="F1288" t="inlineStr">
        <is>
          <t>30-Jun-2026</t>
        </is>
      </c>
      <c r="G1288" t="inlineStr">
        <is>
          <t>Tuesday</t>
        </is>
      </c>
      <c r="H1288" t="inlineStr">
        <is>
          <t>Monthly - Tuesday</t>
        </is>
      </c>
      <c r="I1288" t="inlineStr">
        <is>
          <t>Monthly - Tuesday</t>
        </is>
      </c>
      <c r="J1288" t="inlineStr">
        <is>
          <t>Month+6 Expiry</t>
        </is>
      </c>
      <c r="K1288" s="25" t="n">
        <v>6698</v>
      </c>
      <c r="L1288" s="26" t="n">
        <v>13.2974</v>
      </c>
      <c r="M1288" s="26" t="n">
        <v>0.2119</v>
      </c>
    </row>
    <row r="1289" ht="16" customHeight="1">
      <c r="A1289" t="inlineStr">
        <is>
          <t>12-Dec-2025</t>
        </is>
      </c>
      <c r="B1289" t="inlineStr">
        <is>
          <t>Friday</t>
        </is>
      </c>
      <c r="C1289" t="inlineStr">
        <is>
          <t>Week2-Dec-2025</t>
        </is>
      </c>
      <c r="D1289" s="78" t="n">
        <v>45992</v>
      </c>
      <c r="E1289" t="inlineStr">
        <is>
          <t>Q3FY26</t>
        </is>
      </c>
      <c r="F1289" t="inlineStr">
        <is>
          <t>29-Sep-2026</t>
        </is>
      </c>
      <c r="G1289" t="inlineStr">
        <is>
          <t>Tuesday</t>
        </is>
      </c>
      <c r="H1289" t="inlineStr">
        <is>
          <t>Monthly - Tuesday</t>
        </is>
      </c>
      <c r="I1289" t="inlineStr">
        <is>
          <t>Monthly - Tuesday</t>
        </is>
      </c>
      <c r="J1289" t="inlineStr">
        <is>
          <t>Month+9 Expiry</t>
        </is>
      </c>
      <c r="K1289" s="25" t="n">
        <v>368</v>
      </c>
      <c r="L1289" s="26" t="n">
        <v>0.7468</v>
      </c>
      <c r="M1289" s="26" t="n">
        <v>0.0078</v>
      </c>
    </row>
    <row r="1290" ht="16" customHeight="1">
      <c r="A1290" t="inlineStr">
        <is>
          <t>12-Dec-2025</t>
        </is>
      </c>
      <c r="B1290" t="inlineStr">
        <is>
          <t>Friday</t>
        </is>
      </c>
      <c r="C1290" t="inlineStr">
        <is>
          <t>Week2-Dec-2025</t>
        </is>
      </c>
      <c r="D1290" s="78" t="n">
        <v>45992</v>
      </c>
      <c r="E1290" t="inlineStr">
        <is>
          <t>Q3FY26</t>
        </is>
      </c>
      <c r="F1290" t="inlineStr">
        <is>
          <t>29-Dec-2026</t>
        </is>
      </c>
      <c r="G1290" t="inlineStr">
        <is>
          <t>Tuesday</t>
        </is>
      </c>
      <c r="H1290" t="inlineStr">
        <is>
          <t>Monthly - Tuesday</t>
        </is>
      </c>
      <c r="I1290" t="inlineStr">
        <is>
          <t>Monthly - Tuesday</t>
        </is>
      </c>
      <c r="J1290" t="inlineStr">
        <is>
          <t>Month+12 Expiry</t>
        </is>
      </c>
      <c r="K1290" s="25" t="n">
        <v>3351</v>
      </c>
      <c r="L1290" s="26" t="n">
        <v>6.7388</v>
      </c>
      <c r="M1290" s="26" t="n">
        <v>0.1877</v>
      </c>
    </row>
    <row r="1291" ht="16" customHeight="1">
      <c r="A1291" t="inlineStr">
        <is>
          <t>12-Dec-2025</t>
        </is>
      </c>
      <c r="B1291" t="inlineStr">
        <is>
          <t>Friday</t>
        </is>
      </c>
      <c r="C1291" t="inlineStr">
        <is>
          <t>Week2-Dec-2025</t>
        </is>
      </c>
      <c r="D1291" s="78" t="n">
        <v>45992</v>
      </c>
      <c r="E1291" t="inlineStr">
        <is>
          <t>Q3FY26</t>
        </is>
      </c>
      <c r="F1291" t="inlineStr">
        <is>
          <t>29-Jun-2027</t>
        </is>
      </c>
      <c r="G1291" t="inlineStr">
        <is>
          <t>Tuesday</t>
        </is>
      </c>
      <c r="H1291" t="inlineStr">
        <is>
          <t>Monthly - Tuesday</t>
        </is>
      </c>
      <c r="I1291" t="inlineStr">
        <is>
          <t>Monthly - Tuesday</t>
        </is>
      </c>
      <c r="J1291" t="inlineStr">
        <is>
          <t>Month+18 Expiry</t>
        </is>
      </c>
      <c r="K1291" s="25" t="n">
        <v>0</v>
      </c>
      <c r="L1291" s="26" t="n">
        <v>0</v>
      </c>
      <c r="M1291" s="26" t="n">
        <v>0</v>
      </c>
    </row>
    <row r="1292" ht="16" customHeight="1">
      <c r="A1292" t="inlineStr">
        <is>
          <t>12-Dec-2025</t>
        </is>
      </c>
      <c r="B1292" t="inlineStr">
        <is>
          <t>Friday</t>
        </is>
      </c>
      <c r="C1292" t="inlineStr">
        <is>
          <t>Week2-Dec-2025</t>
        </is>
      </c>
      <c r="D1292" s="78" t="n">
        <v>45992</v>
      </c>
      <c r="E1292" t="inlineStr">
        <is>
          <t>Q3FY26</t>
        </is>
      </c>
      <c r="F1292" t="inlineStr">
        <is>
          <t>28-Dec-2027</t>
        </is>
      </c>
      <c r="G1292" t="inlineStr">
        <is>
          <t>Tuesday</t>
        </is>
      </c>
      <c r="H1292" t="inlineStr">
        <is>
          <t>Monthly - Tuesday</t>
        </is>
      </c>
      <c r="I1292" t="inlineStr">
        <is>
          <t>Monthly - Tuesday</t>
        </is>
      </c>
      <c r="J1292" t="inlineStr">
        <is>
          <t>Month+24 Expiry</t>
        </is>
      </c>
      <c r="K1292" s="25" t="n">
        <v>18</v>
      </c>
      <c r="L1292" s="26" t="n">
        <v>0.0332</v>
      </c>
      <c r="M1292" s="26" t="n">
        <v>0.0011</v>
      </c>
    </row>
    <row r="1293" ht="16" customHeight="1">
      <c r="A1293" t="inlineStr">
        <is>
          <t>12-Dec-2025</t>
        </is>
      </c>
      <c r="B1293" t="inlineStr">
        <is>
          <t>Friday</t>
        </is>
      </c>
      <c r="C1293" t="inlineStr">
        <is>
          <t>Week2-Dec-2025</t>
        </is>
      </c>
      <c r="D1293" s="78" t="n">
        <v>45992</v>
      </c>
      <c r="E1293" t="inlineStr">
        <is>
          <t>Q3FY26</t>
        </is>
      </c>
      <c r="F1293" t="inlineStr">
        <is>
          <t>27-Jun-2028</t>
        </is>
      </c>
      <c r="G1293" t="inlineStr">
        <is>
          <t>Tuesday</t>
        </is>
      </c>
      <c r="H1293" t="inlineStr">
        <is>
          <t>Monthly - Tuesday</t>
        </is>
      </c>
      <c r="I1293" t="inlineStr">
        <is>
          <t>Monthly - Tuesday</t>
        </is>
      </c>
      <c r="J1293" t="inlineStr">
        <is>
          <t>Month+30 Expiry</t>
        </is>
      </c>
      <c r="K1293" s="25" t="n">
        <v>0</v>
      </c>
      <c r="L1293" s="26" t="n">
        <v>0</v>
      </c>
      <c r="M1293" s="26" t="n">
        <v>0</v>
      </c>
    </row>
    <row r="1294" ht="16" customHeight="1">
      <c r="A1294" t="inlineStr">
        <is>
          <t>12-Dec-2025</t>
        </is>
      </c>
      <c r="B1294" t="inlineStr">
        <is>
          <t>Friday</t>
        </is>
      </c>
      <c r="C1294" t="inlineStr">
        <is>
          <t>Week2-Dec-2025</t>
        </is>
      </c>
      <c r="D1294" s="78" t="n">
        <v>45992</v>
      </c>
      <c r="E1294" t="inlineStr">
        <is>
          <t>Q3FY26</t>
        </is>
      </c>
      <c r="F1294" t="inlineStr">
        <is>
          <t>26-Dec-2028</t>
        </is>
      </c>
      <c r="G1294" t="inlineStr">
        <is>
          <t>Tuesday</t>
        </is>
      </c>
      <c r="H1294" t="inlineStr">
        <is>
          <t>Monthly - Tuesday</t>
        </is>
      </c>
      <c r="I1294" t="inlineStr">
        <is>
          <t>Monthly - Tuesday</t>
        </is>
      </c>
      <c r="J1294" t="inlineStr">
        <is>
          <t>Month+36 Expiry</t>
        </is>
      </c>
      <c r="K1294" s="25" t="n">
        <v>4</v>
      </c>
      <c r="L1294" s="26" t="n">
        <v>0.0066</v>
      </c>
      <c r="M1294" s="26" t="n">
        <v>0.0001</v>
      </c>
    </row>
    <row r="1295" ht="16" customHeight="1">
      <c r="A1295" t="inlineStr">
        <is>
          <t>12-Dec-2025</t>
        </is>
      </c>
      <c r="B1295" t="inlineStr">
        <is>
          <t>Friday</t>
        </is>
      </c>
      <c r="C1295" t="inlineStr">
        <is>
          <t>Week2-Dec-2025</t>
        </is>
      </c>
      <c r="D1295" s="78" t="n">
        <v>45992</v>
      </c>
      <c r="E1295" t="inlineStr">
        <is>
          <t>Q3FY26</t>
        </is>
      </c>
      <c r="F1295" t="inlineStr">
        <is>
          <t>26-Jun-2029</t>
        </is>
      </c>
      <c r="G1295" t="inlineStr">
        <is>
          <t>Tuesday</t>
        </is>
      </c>
      <c r="H1295" t="inlineStr">
        <is>
          <t>Monthly - Tuesday</t>
        </is>
      </c>
      <c r="I1295" t="inlineStr">
        <is>
          <t>Monthly - Tuesday</t>
        </is>
      </c>
      <c r="J1295" t="inlineStr">
        <is>
          <t>Month+42 Expiry</t>
        </is>
      </c>
      <c r="K1295" s="25" t="n">
        <v>0</v>
      </c>
      <c r="L1295" s="26" t="n">
        <v>0</v>
      </c>
      <c r="M1295" s="26" t="n">
        <v>0</v>
      </c>
    </row>
    <row r="1296" ht="16" customHeight="1">
      <c r="A1296" t="inlineStr">
        <is>
          <t>12-Dec-2025</t>
        </is>
      </c>
      <c r="B1296" t="inlineStr">
        <is>
          <t>Friday</t>
        </is>
      </c>
      <c r="C1296" t="inlineStr">
        <is>
          <t>Week2-Dec-2025</t>
        </is>
      </c>
      <c r="D1296" s="78" t="n">
        <v>45992</v>
      </c>
      <c r="E1296" t="inlineStr">
        <is>
          <t>Q3FY26</t>
        </is>
      </c>
      <c r="F1296" t="inlineStr">
        <is>
          <t>24-Dec-2029</t>
        </is>
      </c>
      <c r="G1296" t="inlineStr">
        <is>
          <t>Monday</t>
        </is>
      </c>
      <c r="H1296" t="inlineStr">
        <is>
          <t>Weekly - Monday</t>
        </is>
      </c>
      <c r="I1296" t="inlineStr">
        <is>
          <t>Weekly - Monday</t>
        </is>
      </c>
      <c r="J1296" t="inlineStr">
        <is>
          <t>Month+48 Expiry</t>
        </is>
      </c>
      <c r="K1296" s="25" t="n">
        <v>0</v>
      </c>
      <c r="L1296" s="26" t="n">
        <v>0</v>
      </c>
      <c r="M1296" s="26" t="n">
        <v>0</v>
      </c>
    </row>
    <row r="1297" ht="16" customHeight="1">
      <c r="A1297" t="inlineStr">
        <is>
          <t>12-Dec-2025</t>
        </is>
      </c>
      <c r="B1297" t="inlineStr">
        <is>
          <t>Friday</t>
        </is>
      </c>
      <c r="C1297" t="inlineStr">
        <is>
          <t>Week2-Dec-2025</t>
        </is>
      </c>
      <c r="D1297" s="78" t="n">
        <v>45992</v>
      </c>
      <c r="E1297" t="inlineStr">
        <is>
          <t>Q3FY26</t>
        </is>
      </c>
      <c r="F1297" t="inlineStr">
        <is>
          <t>25-Jun-2030</t>
        </is>
      </c>
      <c r="G1297" t="inlineStr">
        <is>
          <t>Tuesday</t>
        </is>
      </c>
      <c r="H1297" t="inlineStr">
        <is>
          <t>Monthly - Tuesday</t>
        </is>
      </c>
      <c r="I1297" t="inlineStr">
        <is>
          <t>Monthly - Tuesday</t>
        </is>
      </c>
      <c r="J1297" t="inlineStr">
        <is>
          <t>Month+54 Expiry</t>
        </is>
      </c>
      <c r="K1297" s="25" t="n">
        <v>0</v>
      </c>
      <c r="L1297" s="26" t="n">
        <v>0</v>
      </c>
      <c r="M1297" s="26" t="n">
        <v>0</v>
      </c>
    </row>
    <row r="1298" ht="16" customHeight="1">
      <c r="A1298" t="inlineStr">
        <is>
          <t>15-Dec-2025</t>
        </is>
      </c>
      <c r="B1298" t="inlineStr">
        <is>
          <t>Monday</t>
        </is>
      </c>
      <c r="C1298" t="inlineStr">
        <is>
          <t>Week3-Dec-2025</t>
        </is>
      </c>
      <c r="D1298" s="78" t="n">
        <v>45992</v>
      </c>
      <c r="E1298" t="inlineStr">
        <is>
          <t>Q3FY26</t>
        </is>
      </c>
      <c r="F1298" t="inlineStr">
        <is>
          <t>16-Dec-2025</t>
        </is>
      </c>
      <c r="G1298" t="inlineStr">
        <is>
          <t>Tuesday</t>
        </is>
      </c>
      <c r="H1298" t="inlineStr">
        <is>
          <t>Weekly - Tuesday</t>
        </is>
      </c>
      <c r="I1298" t="inlineStr">
        <is>
          <t>Weekly - Tuesday</t>
        </is>
      </c>
      <c r="J1298" t="inlineStr">
        <is>
          <t>Same Month Expiry</t>
        </is>
      </c>
      <c r="K1298" s="25" t="n">
        <v>126198933</v>
      </c>
      <c r="L1298" s="26" t="n">
        <v>246128.706</v>
      </c>
      <c r="M1298" s="26" t="n">
        <v>407.3113</v>
      </c>
    </row>
    <row r="1299" ht="16" customHeight="1">
      <c r="A1299" t="inlineStr">
        <is>
          <t>15-Dec-2025</t>
        </is>
      </c>
      <c r="B1299" t="inlineStr">
        <is>
          <t>Monday</t>
        </is>
      </c>
      <c r="C1299" t="inlineStr">
        <is>
          <t>Week3-Dec-2025</t>
        </is>
      </c>
      <c r="D1299" s="78" t="n">
        <v>45992</v>
      </c>
      <c r="E1299" t="inlineStr">
        <is>
          <t>Q3FY26</t>
        </is>
      </c>
      <c r="F1299" t="inlineStr">
        <is>
          <t>23-Dec-2025</t>
        </is>
      </c>
      <c r="G1299" t="inlineStr">
        <is>
          <t>Tuesday</t>
        </is>
      </c>
      <c r="H1299" t="inlineStr">
        <is>
          <t>Weekly - Tuesday</t>
        </is>
      </c>
      <c r="I1299" t="inlineStr">
        <is>
          <t>Weekly - Tuesday</t>
        </is>
      </c>
      <c r="J1299" t="inlineStr">
        <is>
          <t>Same Month Expiry</t>
        </is>
      </c>
      <c r="K1299" s="25" t="n">
        <v>4346404</v>
      </c>
      <c r="L1299" s="26" t="n">
        <v>8507.848</v>
      </c>
      <c r="M1299" s="26" t="n">
        <v>24.2223</v>
      </c>
    </row>
    <row r="1300" ht="16" customHeight="1">
      <c r="A1300" t="inlineStr">
        <is>
          <t>15-Dec-2025</t>
        </is>
      </c>
      <c r="B1300" t="inlineStr">
        <is>
          <t>Monday</t>
        </is>
      </c>
      <c r="C1300" t="inlineStr">
        <is>
          <t>Week3-Dec-2025</t>
        </is>
      </c>
      <c r="D1300" s="78" t="n">
        <v>45992</v>
      </c>
      <c r="E1300" t="inlineStr">
        <is>
          <t>Q3FY26</t>
        </is>
      </c>
      <c r="F1300" t="inlineStr">
        <is>
          <t>30-Dec-2025</t>
        </is>
      </c>
      <c r="G1300" t="inlineStr">
        <is>
          <t>Tuesday</t>
        </is>
      </c>
      <c r="H1300" t="inlineStr">
        <is>
          <t>Monthly - Tuesday</t>
        </is>
      </c>
      <c r="I1300" t="inlineStr">
        <is>
          <t>Monthly - Tuesday</t>
        </is>
      </c>
      <c r="J1300" t="inlineStr">
        <is>
          <t>Same Month Expiry</t>
        </is>
      </c>
      <c r="K1300" s="25" t="n">
        <v>1709878</v>
      </c>
      <c r="L1300" s="26" t="n">
        <v>3348.4608</v>
      </c>
      <c r="M1300" s="26" t="n">
        <v>15.2601</v>
      </c>
    </row>
    <row r="1301" ht="16" customHeight="1">
      <c r="A1301" t="inlineStr">
        <is>
          <t>15-Dec-2025</t>
        </is>
      </c>
      <c r="B1301" t="inlineStr">
        <is>
          <t>Monday</t>
        </is>
      </c>
      <c r="C1301" t="inlineStr">
        <is>
          <t>Week3-Dec-2025</t>
        </is>
      </c>
      <c r="D1301" s="78" t="n">
        <v>45992</v>
      </c>
      <c r="E1301" t="inlineStr">
        <is>
          <t>Q3FY26</t>
        </is>
      </c>
      <c r="F1301" t="inlineStr">
        <is>
          <t>06-Jan-2026</t>
        </is>
      </c>
      <c r="G1301" t="inlineStr">
        <is>
          <t>Tuesday</t>
        </is>
      </c>
      <c r="H1301" t="inlineStr">
        <is>
          <t>Weekly - Tuesday</t>
        </is>
      </c>
      <c r="I1301" t="inlineStr">
        <is>
          <t>Weekly - Tuesday</t>
        </is>
      </c>
      <c r="J1301" t="inlineStr">
        <is>
          <t>Month+1 Expiry</t>
        </is>
      </c>
      <c r="K1301" s="25" t="n">
        <v>34132</v>
      </c>
      <c r="L1301" s="26" t="n">
        <v>58.2818</v>
      </c>
      <c r="M1301" s="26" t="n">
        <v>0.3373</v>
      </c>
    </row>
    <row r="1302" ht="16" customHeight="1">
      <c r="A1302" t="inlineStr">
        <is>
          <t>15-Dec-2025</t>
        </is>
      </c>
      <c r="B1302" t="inlineStr">
        <is>
          <t>Monday</t>
        </is>
      </c>
      <c r="C1302" t="inlineStr">
        <is>
          <t>Week3-Dec-2025</t>
        </is>
      </c>
      <c r="D1302" s="78" t="n">
        <v>45992</v>
      </c>
      <c r="E1302" t="inlineStr">
        <is>
          <t>Q3FY26</t>
        </is>
      </c>
      <c r="F1302" t="inlineStr">
        <is>
          <t>13-Jan-2026</t>
        </is>
      </c>
      <c r="G1302" t="inlineStr">
        <is>
          <t>Tuesday</t>
        </is>
      </c>
      <c r="H1302" t="inlineStr">
        <is>
          <t>Weekly - Tuesday</t>
        </is>
      </c>
      <c r="I1302" t="inlineStr">
        <is>
          <t>Weekly - Tuesday</t>
        </is>
      </c>
      <c r="J1302" t="inlineStr">
        <is>
          <t>Month+1 Expiry</t>
        </is>
      </c>
      <c r="K1302" s="25" t="n">
        <v>3229</v>
      </c>
      <c r="L1302" s="26" t="n">
        <v>5.5275</v>
      </c>
      <c r="M1302" s="26" t="n">
        <v>0.0426</v>
      </c>
    </row>
    <row r="1303" ht="16" customHeight="1">
      <c r="A1303" t="inlineStr">
        <is>
          <t>15-Dec-2025</t>
        </is>
      </c>
      <c r="B1303" t="inlineStr">
        <is>
          <t>Monday</t>
        </is>
      </c>
      <c r="C1303" t="inlineStr">
        <is>
          <t>Week3-Dec-2025</t>
        </is>
      </c>
      <c r="D1303" s="78" t="n">
        <v>45992</v>
      </c>
      <c r="E1303" t="inlineStr">
        <is>
          <t>Q3FY26</t>
        </is>
      </c>
      <c r="F1303" t="inlineStr">
        <is>
          <t>27-Jan-2026</t>
        </is>
      </c>
      <c r="G1303" t="inlineStr">
        <is>
          <t>Tuesday</t>
        </is>
      </c>
      <c r="H1303" t="inlineStr">
        <is>
          <t>Monthly - Tuesday</t>
        </is>
      </c>
      <c r="I1303" t="inlineStr">
        <is>
          <t>Monthly - Tuesday</t>
        </is>
      </c>
      <c r="J1303" t="inlineStr">
        <is>
          <t>Month+1 Expiry</t>
        </is>
      </c>
      <c r="K1303" s="25" t="n">
        <v>219718</v>
      </c>
      <c r="L1303" s="26" t="n">
        <v>374.2981</v>
      </c>
      <c r="M1303" s="26" t="n">
        <v>2.3456</v>
      </c>
    </row>
    <row r="1304" ht="16" customHeight="1">
      <c r="A1304" t="inlineStr">
        <is>
          <t>15-Dec-2025</t>
        </is>
      </c>
      <c r="B1304" t="inlineStr">
        <is>
          <t>Monday</t>
        </is>
      </c>
      <c r="C1304" t="inlineStr">
        <is>
          <t>Week3-Dec-2025</t>
        </is>
      </c>
      <c r="D1304" s="78" t="n">
        <v>45992</v>
      </c>
      <c r="E1304" t="inlineStr">
        <is>
          <t>Q3FY26</t>
        </is>
      </c>
      <c r="F1304" t="inlineStr">
        <is>
          <t>24-Feb-2026</t>
        </is>
      </c>
      <c r="G1304" t="inlineStr">
        <is>
          <t>Tuesday</t>
        </is>
      </c>
      <c r="H1304" t="inlineStr">
        <is>
          <t>Monthly - Tuesday</t>
        </is>
      </c>
      <c r="I1304" t="inlineStr">
        <is>
          <t>Monthly - Tuesday</t>
        </is>
      </c>
      <c r="J1304" t="inlineStr">
        <is>
          <t>Month+2 Expiry</t>
        </is>
      </c>
      <c r="K1304" s="25" t="n">
        <v>32776</v>
      </c>
      <c r="L1304" s="26" t="n">
        <v>56.1244</v>
      </c>
      <c r="M1304" s="26" t="n">
        <v>0.5467</v>
      </c>
    </row>
    <row r="1305" ht="16" customHeight="1">
      <c r="A1305" t="inlineStr">
        <is>
          <t>15-Dec-2025</t>
        </is>
      </c>
      <c r="B1305" t="inlineStr">
        <is>
          <t>Monday</t>
        </is>
      </c>
      <c r="C1305" t="inlineStr">
        <is>
          <t>Week3-Dec-2025</t>
        </is>
      </c>
      <c r="D1305" s="78" t="n">
        <v>45992</v>
      </c>
      <c r="E1305" t="inlineStr">
        <is>
          <t>Q3FY26</t>
        </is>
      </c>
      <c r="F1305" t="inlineStr">
        <is>
          <t>31-Mar-2026</t>
        </is>
      </c>
      <c r="G1305" t="inlineStr">
        <is>
          <t>Tuesday</t>
        </is>
      </c>
      <c r="H1305" t="inlineStr">
        <is>
          <t>Monthly - Tuesday</t>
        </is>
      </c>
      <c r="I1305" t="inlineStr">
        <is>
          <t>Monthly - Tuesday</t>
        </is>
      </c>
      <c r="J1305" t="inlineStr">
        <is>
          <t>Month+3 Expiry</t>
        </is>
      </c>
      <c r="K1305" s="25" t="n">
        <v>18120</v>
      </c>
      <c r="L1305" s="26" t="n">
        <v>35.5607</v>
      </c>
      <c r="M1305" s="26" t="n">
        <v>0.4953</v>
      </c>
    </row>
    <row r="1306" ht="16" customHeight="1">
      <c r="A1306" t="inlineStr">
        <is>
          <t>15-Dec-2025</t>
        </is>
      </c>
      <c r="B1306" t="inlineStr">
        <is>
          <t>Monday</t>
        </is>
      </c>
      <c r="C1306" t="inlineStr">
        <is>
          <t>Week3-Dec-2025</t>
        </is>
      </c>
      <c r="D1306" s="78" t="n">
        <v>45992</v>
      </c>
      <c r="E1306" t="inlineStr">
        <is>
          <t>Q3FY26</t>
        </is>
      </c>
      <c r="F1306" t="inlineStr">
        <is>
          <t>30-Jun-2026</t>
        </is>
      </c>
      <c r="G1306" t="inlineStr">
        <is>
          <t>Tuesday</t>
        </is>
      </c>
      <c r="H1306" t="inlineStr">
        <is>
          <t>Monthly - Tuesday</t>
        </is>
      </c>
      <c r="I1306" t="inlineStr">
        <is>
          <t>Monthly - Tuesday</t>
        </is>
      </c>
      <c r="J1306" t="inlineStr">
        <is>
          <t>Month+6 Expiry</t>
        </is>
      </c>
      <c r="K1306" s="25" t="n">
        <v>4693</v>
      </c>
      <c r="L1306" s="26" t="n">
        <v>9.364699999999999</v>
      </c>
      <c r="M1306" s="26" t="n">
        <v>0.1731</v>
      </c>
    </row>
    <row r="1307" ht="16" customHeight="1">
      <c r="A1307" t="inlineStr">
        <is>
          <t>15-Dec-2025</t>
        </is>
      </c>
      <c r="B1307" t="inlineStr">
        <is>
          <t>Monday</t>
        </is>
      </c>
      <c r="C1307" t="inlineStr">
        <is>
          <t>Week3-Dec-2025</t>
        </is>
      </c>
      <c r="D1307" s="78" t="n">
        <v>45992</v>
      </c>
      <c r="E1307" t="inlineStr">
        <is>
          <t>Q3FY26</t>
        </is>
      </c>
      <c r="F1307" t="inlineStr">
        <is>
          <t>29-Sep-2026</t>
        </is>
      </c>
      <c r="G1307" t="inlineStr">
        <is>
          <t>Tuesday</t>
        </is>
      </c>
      <c r="H1307" t="inlineStr">
        <is>
          <t>Monthly - Tuesday</t>
        </is>
      </c>
      <c r="I1307" t="inlineStr">
        <is>
          <t>Monthly - Tuesday</t>
        </is>
      </c>
      <c r="J1307" t="inlineStr">
        <is>
          <t>Month+9 Expiry</t>
        </is>
      </c>
      <c r="K1307" s="25" t="n">
        <v>102</v>
      </c>
      <c r="L1307" s="26" t="n">
        <v>0.1964</v>
      </c>
      <c r="M1307" s="26" t="n">
        <v>0.0027</v>
      </c>
    </row>
    <row r="1308" ht="16" customHeight="1">
      <c r="A1308" t="inlineStr">
        <is>
          <t>15-Dec-2025</t>
        </is>
      </c>
      <c r="B1308" t="inlineStr">
        <is>
          <t>Monday</t>
        </is>
      </c>
      <c r="C1308" t="inlineStr">
        <is>
          <t>Week3-Dec-2025</t>
        </is>
      </c>
      <c r="D1308" s="78" t="n">
        <v>45992</v>
      </c>
      <c r="E1308" t="inlineStr">
        <is>
          <t>Q3FY26</t>
        </is>
      </c>
      <c r="F1308" t="inlineStr">
        <is>
          <t>29-Dec-2026</t>
        </is>
      </c>
      <c r="G1308" t="inlineStr">
        <is>
          <t>Tuesday</t>
        </is>
      </c>
      <c r="H1308" t="inlineStr">
        <is>
          <t>Monthly - Tuesday</t>
        </is>
      </c>
      <c r="I1308" t="inlineStr">
        <is>
          <t>Monthly - Tuesday</t>
        </is>
      </c>
      <c r="J1308" t="inlineStr">
        <is>
          <t>Month+12 Expiry</t>
        </is>
      </c>
      <c r="K1308" s="25" t="n">
        <v>1855</v>
      </c>
      <c r="L1308" s="26" t="n">
        <v>3.878</v>
      </c>
      <c r="M1308" s="26" t="n">
        <v>0.1322</v>
      </c>
    </row>
    <row r="1309" ht="16" customHeight="1">
      <c r="A1309" t="inlineStr">
        <is>
          <t>15-Dec-2025</t>
        </is>
      </c>
      <c r="B1309" t="inlineStr">
        <is>
          <t>Monday</t>
        </is>
      </c>
      <c r="C1309" t="inlineStr">
        <is>
          <t>Week3-Dec-2025</t>
        </is>
      </c>
      <c r="D1309" s="78" t="n">
        <v>45992</v>
      </c>
      <c r="E1309" t="inlineStr">
        <is>
          <t>Q3FY26</t>
        </is>
      </c>
      <c r="F1309" t="inlineStr">
        <is>
          <t>29-Jun-2027</t>
        </is>
      </c>
      <c r="G1309" t="inlineStr">
        <is>
          <t>Tuesday</t>
        </is>
      </c>
      <c r="H1309" t="inlineStr">
        <is>
          <t>Monthly - Tuesday</t>
        </is>
      </c>
      <c r="I1309" t="inlineStr">
        <is>
          <t>Monthly - Tuesday</t>
        </is>
      </c>
      <c r="J1309" t="inlineStr">
        <is>
          <t>Month+18 Expiry</t>
        </is>
      </c>
      <c r="K1309" s="25" t="n">
        <v>0</v>
      </c>
      <c r="L1309" s="26" t="n">
        <v>0</v>
      </c>
      <c r="M1309" s="26" t="n">
        <v>0</v>
      </c>
    </row>
    <row r="1310" ht="16" customHeight="1">
      <c r="A1310" t="inlineStr">
        <is>
          <t>15-Dec-2025</t>
        </is>
      </c>
      <c r="B1310" t="inlineStr">
        <is>
          <t>Monday</t>
        </is>
      </c>
      <c r="C1310" t="inlineStr">
        <is>
          <t>Week3-Dec-2025</t>
        </is>
      </c>
      <c r="D1310" s="78" t="n">
        <v>45992</v>
      </c>
      <c r="E1310" t="inlineStr">
        <is>
          <t>Q3FY26</t>
        </is>
      </c>
      <c r="F1310" t="inlineStr">
        <is>
          <t>28-Dec-2027</t>
        </is>
      </c>
      <c r="G1310" t="inlineStr">
        <is>
          <t>Tuesday</t>
        </is>
      </c>
      <c r="H1310" t="inlineStr">
        <is>
          <t>Monthly - Tuesday</t>
        </is>
      </c>
      <c r="I1310" t="inlineStr">
        <is>
          <t>Monthly - Tuesday</t>
        </is>
      </c>
      <c r="J1310" t="inlineStr">
        <is>
          <t>Month+24 Expiry</t>
        </is>
      </c>
      <c r="K1310" s="25" t="n">
        <v>2</v>
      </c>
      <c r="L1310" s="26" t="n">
        <v>0.004</v>
      </c>
      <c r="M1310" s="26" t="n">
        <v>0.0001</v>
      </c>
    </row>
    <row r="1311" ht="16" customHeight="1">
      <c r="A1311" t="inlineStr">
        <is>
          <t>15-Dec-2025</t>
        </is>
      </c>
      <c r="B1311" t="inlineStr">
        <is>
          <t>Monday</t>
        </is>
      </c>
      <c r="C1311" t="inlineStr">
        <is>
          <t>Week3-Dec-2025</t>
        </is>
      </c>
      <c r="D1311" s="78" t="n">
        <v>45992</v>
      </c>
      <c r="E1311" t="inlineStr">
        <is>
          <t>Q3FY26</t>
        </is>
      </c>
      <c r="F1311" t="inlineStr">
        <is>
          <t>27-Jun-2028</t>
        </is>
      </c>
      <c r="G1311" t="inlineStr">
        <is>
          <t>Tuesday</t>
        </is>
      </c>
      <c r="H1311" t="inlineStr">
        <is>
          <t>Monthly - Tuesday</t>
        </is>
      </c>
      <c r="I1311" t="inlineStr">
        <is>
          <t>Monthly - Tuesday</t>
        </is>
      </c>
      <c r="J1311" t="inlineStr">
        <is>
          <t>Month+30 Expiry</t>
        </is>
      </c>
      <c r="K1311" s="25" t="n">
        <v>0</v>
      </c>
      <c r="L1311" s="26" t="n">
        <v>0</v>
      </c>
      <c r="M1311" s="26" t="n">
        <v>0</v>
      </c>
    </row>
    <row r="1312" ht="16" customHeight="1">
      <c r="A1312" t="inlineStr">
        <is>
          <t>15-Dec-2025</t>
        </is>
      </c>
      <c r="B1312" t="inlineStr">
        <is>
          <t>Monday</t>
        </is>
      </c>
      <c r="C1312" t="inlineStr">
        <is>
          <t>Week3-Dec-2025</t>
        </is>
      </c>
      <c r="D1312" s="78" t="n">
        <v>45992</v>
      </c>
      <c r="E1312" t="inlineStr">
        <is>
          <t>Q3FY26</t>
        </is>
      </c>
      <c r="F1312" t="inlineStr">
        <is>
          <t>26-Dec-2028</t>
        </is>
      </c>
      <c r="G1312" t="inlineStr">
        <is>
          <t>Tuesday</t>
        </is>
      </c>
      <c r="H1312" t="inlineStr">
        <is>
          <t>Monthly - Tuesday</t>
        </is>
      </c>
      <c r="I1312" t="inlineStr">
        <is>
          <t>Monthly - Tuesday</t>
        </is>
      </c>
      <c r="J1312" t="inlineStr">
        <is>
          <t>Month+36 Expiry</t>
        </is>
      </c>
      <c r="K1312" s="25" t="n">
        <v>2</v>
      </c>
      <c r="L1312" s="26" t="n">
        <v>0.0042</v>
      </c>
      <c r="M1312" s="26" t="n">
        <v>0.0002</v>
      </c>
    </row>
    <row r="1313" ht="16" customHeight="1">
      <c r="A1313" t="inlineStr">
        <is>
          <t>15-Dec-2025</t>
        </is>
      </c>
      <c r="B1313" t="inlineStr">
        <is>
          <t>Monday</t>
        </is>
      </c>
      <c r="C1313" t="inlineStr">
        <is>
          <t>Week3-Dec-2025</t>
        </is>
      </c>
      <c r="D1313" s="78" t="n">
        <v>45992</v>
      </c>
      <c r="E1313" t="inlineStr">
        <is>
          <t>Q3FY26</t>
        </is>
      </c>
      <c r="F1313" t="inlineStr">
        <is>
          <t>26-Jun-2029</t>
        </is>
      </c>
      <c r="G1313" t="inlineStr">
        <is>
          <t>Tuesday</t>
        </is>
      </c>
      <c r="H1313" t="inlineStr">
        <is>
          <t>Monthly - Tuesday</t>
        </is>
      </c>
      <c r="I1313" t="inlineStr">
        <is>
          <t>Monthly - Tuesday</t>
        </is>
      </c>
      <c r="J1313" t="inlineStr">
        <is>
          <t>Month+42 Expiry</t>
        </is>
      </c>
      <c r="K1313" s="25" t="n">
        <v>0</v>
      </c>
      <c r="L1313" s="26" t="n">
        <v>0</v>
      </c>
      <c r="M1313" s="26" t="n">
        <v>0</v>
      </c>
    </row>
    <row r="1314" ht="16" customHeight="1">
      <c r="A1314" t="inlineStr">
        <is>
          <t>15-Dec-2025</t>
        </is>
      </c>
      <c r="B1314" t="inlineStr">
        <is>
          <t>Monday</t>
        </is>
      </c>
      <c r="C1314" t="inlineStr">
        <is>
          <t>Week3-Dec-2025</t>
        </is>
      </c>
      <c r="D1314" s="78" t="n">
        <v>45992</v>
      </c>
      <c r="E1314" t="inlineStr">
        <is>
          <t>Q3FY26</t>
        </is>
      </c>
      <c r="F1314" t="inlineStr">
        <is>
          <t>24-Dec-2029</t>
        </is>
      </c>
      <c r="G1314" t="inlineStr">
        <is>
          <t>Monday</t>
        </is>
      </c>
      <c r="H1314" t="inlineStr">
        <is>
          <t>Weekly - Monday</t>
        </is>
      </c>
      <c r="I1314" t="inlineStr">
        <is>
          <t>Weekly - Monday</t>
        </is>
      </c>
      <c r="J1314" t="inlineStr">
        <is>
          <t>Month+48 Expiry</t>
        </is>
      </c>
      <c r="K1314" s="25" t="n">
        <v>0</v>
      </c>
      <c r="L1314" s="26" t="n">
        <v>0</v>
      </c>
      <c r="M1314" s="26" t="n">
        <v>0</v>
      </c>
    </row>
    <row r="1315" ht="16" customHeight="1">
      <c r="A1315" t="inlineStr">
        <is>
          <t>15-Dec-2025</t>
        </is>
      </c>
      <c r="B1315" t="inlineStr">
        <is>
          <t>Monday</t>
        </is>
      </c>
      <c r="C1315" t="inlineStr">
        <is>
          <t>Week3-Dec-2025</t>
        </is>
      </c>
      <c r="D1315" s="78" t="n">
        <v>45992</v>
      </c>
      <c r="E1315" t="inlineStr">
        <is>
          <t>Q3FY26</t>
        </is>
      </c>
      <c r="F1315" t="inlineStr">
        <is>
          <t>25-Jun-2030</t>
        </is>
      </c>
      <c r="G1315" t="inlineStr">
        <is>
          <t>Tuesday</t>
        </is>
      </c>
      <c r="H1315" t="inlineStr">
        <is>
          <t>Monthly - Tuesday</t>
        </is>
      </c>
      <c r="I1315" t="inlineStr">
        <is>
          <t>Monthly - Tuesday</t>
        </is>
      </c>
      <c r="J1315" t="inlineStr">
        <is>
          <t>Month+54 Expiry</t>
        </is>
      </c>
      <c r="K1315" s="25" t="n">
        <v>0</v>
      </c>
      <c r="L1315" s="26" t="n">
        <v>0</v>
      </c>
      <c r="M1315" s="26" t="n">
        <v>0</v>
      </c>
    </row>
    <row r="1316" ht="16" customHeight="1">
      <c r="A1316" t="inlineStr">
        <is>
          <t>16-Dec-2025</t>
        </is>
      </c>
      <c r="B1316" t="inlineStr">
        <is>
          <t>Tuesday</t>
        </is>
      </c>
      <c r="C1316" t="inlineStr">
        <is>
          <t>Week3-Dec-2025</t>
        </is>
      </c>
      <c r="D1316" s="78" t="n">
        <v>45992</v>
      </c>
      <c r="E1316" t="inlineStr">
        <is>
          <t>Q3FY26</t>
        </is>
      </c>
      <c r="F1316" t="inlineStr">
        <is>
          <t>16-Dec-2025</t>
        </is>
      </c>
      <c r="G1316" t="inlineStr">
        <is>
          <t>Tuesday</t>
        </is>
      </c>
      <c r="H1316" t="inlineStr">
        <is>
          <t>Weekly - Tuesday</t>
        </is>
      </c>
      <c r="I1316" t="inlineStr">
        <is>
          <t>Weekly - Tuesday</t>
        </is>
      </c>
      <c r="J1316" t="inlineStr">
        <is>
          <t>Same Month Expiry</t>
        </is>
      </c>
      <c r="K1316" s="25" t="n">
        <v>253082263</v>
      </c>
      <c r="L1316" s="26" t="n">
        <v>492401.715</v>
      </c>
      <c r="M1316" s="26" t="n">
        <v>432.451</v>
      </c>
    </row>
    <row r="1317" ht="16" customHeight="1">
      <c r="A1317" t="inlineStr">
        <is>
          <t>16-Dec-2025</t>
        </is>
      </c>
      <c r="B1317" t="inlineStr">
        <is>
          <t>Tuesday</t>
        </is>
      </c>
      <c r="C1317" t="inlineStr">
        <is>
          <t>Week3-Dec-2025</t>
        </is>
      </c>
      <c r="D1317" s="78" t="n">
        <v>45992</v>
      </c>
      <c r="E1317" t="inlineStr">
        <is>
          <t>Q3FY26</t>
        </is>
      </c>
      <c r="F1317" t="inlineStr">
        <is>
          <t>23-Dec-2025</t>
        </is>
      </c>
      <c r="G1317" t="inlineStr">
        <is>
          <t>Tuesday</t>
        </is>
      </c>
      <c r="H1317" t="inlineStr">
        <is>
          <t>Weekly - Tuesday</t>
        </is>
      </c>
      <c r="I1317" t="inlineStr">
        <is>
          <t>Weekly - Tuesday</t>
        </is>
      </c>
      <c r="J1317" t="inlineStr">
        <is>
          <t>Same Month Expiry</t>
        </is>
      </c>
      <c r="K1317" s="25" t="n">
        <v>9484122</v>
      </c>
      <c r="L1317" s="26" t="n">
        <v>18571.1421</v>
      </c>
      <c r="M1317" s="26" t="n">
        <v>47.6815</v>
      </c>
    </row>
    <row r="1318" ht="16" customHeight="1">
      <c r="A1318" t="inlineStr">
        <is>
          <t>16-Dec-2025</t>
        </is>
      </c>
      <c r="B1318" t="inlineStr">
        <is>
          <t>Tuesday</t>
        </is>
      </c>
      <c r="C1318" t="inlineStr">
        <is>
          <t>Week3-Dec-2025</t>
        </is>
      </c>
      <c r="D1318" s="78" t="n">
        <v>45992</v>
      </c>
      <c r="E1318" t="inlineStr">
        <is>
          <t>Q3FY26</t>
        </is>
      </c>
      <c r="F1318" t="inlineStr">
        <is>
          <t>30-Dec-2025</t>
        </is>
      </c>
      <c r="G1318" t="inlineStr">
        <is>
          <t>Tuesday</t>
        </is>
      </c>
      <c r="H1318" t="inlineStr">
        <is>
          <t>Monthly - Tuesday</t>
        </is>
      </c>
      <c r="I1318" t="inlineStr">
        <is>
          <t>Monthly - Tuesday</t>
        </is>
      </c>
      <c r="J1318" t="inlineStr">
        <is>
          <t>Same Month Expiry</t>
        </is>
      </c>
      <c r="K1318" s="25" t="n">
        <v>2006012</v>
      </c>
      <c r="L1318" s="26" t="n">
        <v>3925.5932</v>
      </c>
      <c r="M1318" s="26" t="n">
        <v>17.2734</v>
      </c>
    </row>
    <row r="1319" ht="16" customHeight="1">
      <c r="A1319" t="inlineStr">
        <is>
          <t>16-Dec-2025</t>
        </is>
      </c>
      <c r="B1319" t="inlineStr">
        <is>
          <t>Tuesday</t>
        </is>
      </c>
      <c r="C1319" t="inlineStr">
        <is>
          <t>Week3-Dec-2025</t>
        </is>
      </c>
      <c r="D1319" s="78" t="n">
        <v>45992</v>
      </c>
      <c r="E1319" t="inlineStr">
        <is>
          <t>Q3FY26</t>
        </is>
      </c>
      <c r="F1319" t="inlineStr">
        <is>
          <t>06-Jan-2026</t>
        </is>
      </c>
      <c r="G1319" t="inlineStr">
        <is>
          <t>Tuesday</t>
        </is>
      </c>
      <c r="H1319" t="inlineStr">
        <is>
          <t>Weekly - Tuesday</t>
        </is>
      </c>
      <c r="I1319" t="inlineStr">
        <is>
          <t>Weekly - Tuesday</t>
        </is>
      </c>
      <c r="J1319" t="inlineStr">
        <is>
          <t>Month+1 Expiry</t>
        </is>
      </c>
      <c r="K1319" s="25" t="n">
        <v>54419</v>
      </c>
      <c r="L1319" s="26" t="n">
        <v>92.7081</v>
      </c>
      <c r="M1319" s="26" t="n">
        <v>0.4763</v>
      </c>
    </row>
    <row r="1320" ht="16" customHeight="1">
      <c r="A1320" t="inlineStr">
        <is>
          <t>16-Dec-2025</t>
        </is>
      </c>
      <c r="B1320" t="inlineStr">
        <is>
          <t>Tuesday</t>
        </is>
      </c>
      <c r="C1320" t="inlineStr">
        <is>
          <t>Week3-Dec-2025</t>
        </is>
      </c>
      <c r="D1320" s="78" t="n">
        <v>45992</v>
      </c>
      <c r="E1320" t="inlineStr">
        <is>
          <t>Q3FY26</t>
        </is>
      </c>
      <c r="F1320" t="inlineStr">
        <is>
          <t>13-Jan-2026</t>
        </is>
      </c>
      <c r="G1320" t="inlineStr">
        <is>
          <t>Tuesday</t>
        </is>
      </c>
      <c r="H1320" t="inlineStr">
        <is>
          <t>Weekly - Tuesday</t>
        </is>
      </c>
      <c r="I1320" t="inlineStr">
        <is>
          <t>Weekly - Tuesday</t>
        </is>
      </c>
      <c r="J1320" t="inlineStr">
        <is>
          <t>Month+1 Expiry</t>
        </is>
      </c>
      <c r="K1320" s="25" t="n">
        <v>3910</v>
      </c>
      <c r="L1320" s="26" t="n">
        <v>6.6494</v>
      </c>
      <c r="M1320" s="26" t="n">
        <v>0.0456</v>
      </c>
    </row>
    <row r="1321" ht="16" customHeight="1">
      <c r="A1321" t="inlineStr">
        <is>
          <t>16-Dec-2025</t>
        </is>
      </c>
      <c r="B1321" t="inlineStr">
        <is>
          <t>Tuesday</t>
        </is>
      </c>
      <c r="C1321" t="inlineStr">
        <is>
          <t>Week3-Dec-2025</t>
        </is>
      </c>
      <c r="D1321" s="78" t="n">
        <v>45992</v>
      </c>
      <c r="E1321" t="inlineStr">
        <is>
          <t>Q3FY26</t>
        </is>
      </c>
      <c r="F1321" t="inlineStr">
        <is>
          <t>27-Jan-2026</t>
        </is>
      </c>
      <c r="G1321" t="inlineStr">
        <is>
          <t>Tuesday</t>
        </is>
      </c>
      <c r="H1321" t="inlineStr">
        <is>
          <t>Monthly - Tuesday</t>
        </is>
      </c>
      <c r="I1321" t="inlineStr">
        <is>
          <t>Monthly - Tuesday</t>
        </is>
      </c>
      <c r="J1321" t="inlineStr">
        <is>
          <t>Month+1 Expiry</t>
        </is>
      </c>
      <c r="K1321" s="25" t="n">
        <v>247571</v>
      </c>
      <c r="L1321" s="26" t="n">
        <v>422.7065</v>
      </c>
      <c r="M1321" s="26" t="n">
        <v>2.7552</v>
      </c>
    </row>
    <row r="1322" ht="16" customHeight="1">
      <c r="A1322" t="inlineStr">
        <is>
          <t>16-Dec-2025</t>
        </is>
      </c>
      <c r="B1322" t="inlineStr">
        <is>
          <t>Tuesday</t>
        </is>
      </c>
      <c r="C1322" t="inlineStr">
        <is>
          <t>Week3-Dec-2025</t>
        </is>
      </c>
      <c r="D1322" s="78" t="n">
        <v>45992</v>
      </c>
      <c r="E1322" t="inlineStr">
        <is>
          <t>Q3FY26</t>
        </is>
      </c>
      <c r="F1322" t="inlineStr">
        <is>
          <t>24-Feb-2026</t>
        </is>
      </c>
      <c r="G1322" t="inlineStr">
        <is>
          <t>Tuesday</t>
        </is>
      </c>
      <c r="H1322" t="inlineStr">
        <is>
          <t>Monthly - Tuesday</t>
        </is>
      </c>
      <c r="I1322" t="inlineStr">
        <is>
          <t>Monthly - Tuesday</t>
        </is>
      </c>
      <c r="J1322" t="inlineStr">
        <is>
          <t>Month+2 Expiry</t>
        </is>
      </c>
      <c r="K1322" s="25" t="n">
        <v>45086</v>
      </c>
      <c r="L1322" s="26" t="n">
        <v>76.992</v>
      </c>
      <c r="M1322" s="26" t="n">
        <v>0.7116</v>
      </c>
    </row>
    <row r="1323" ht="16" customHeight="1">
      <c r="A1323" t="inlineStr">
        <is>
          <t>16-Dec-2025</t>
        </is>
      </c>
      <c r="B1323" t="inlineStr">
        <is>
          <t>Tuesday</t>
        </is>
      </c>
      <c r="C1323" t="inlineStr">
        <is>
          <t>Week3-Dec-2025</t>
        </is>
      </c>
      <c r="D1323" s="78" t="n">
        <v>45992</v>
      </c>
      <c r="E1323" t="inlineStr">
        <is>
          <t>Q3FY26</t>
        </is>
      </c>
      <c r="F1323" t="inlineStr">
        <is>
          <t>31-Mar-2026</t>
        </is>
      </c>
      <c r="G1323" t="inlineStr">
        <is>
          <t>Tuesday</t>
        </is>
      </c>
      <c r="H1323" t="inlineStr">
        <is>
          <t>Monthly - Tuesday</t>
        </is>
      </c>
      <c r="I1323" t="inlineStr">
        <is>
          <t>Monthly - Tuesday</t>
        </is>
      </c>
      <c r="J1323" t="inlineStr">
        <is>
          <t>Month+3 Expiry</t>
        </is>
      </c>
      <c r="K1323" s="25" t="n">
        <v>23387</v>
      </c>
      <c r="L1323" s="26" t="n">
        <v>46.0217</v>
      </c>
      <c r="M1323" s="26" t="n">
        <v>0.7554</v>
      </c>
    </row>
    <row r="1324" ht="16" customHeight="1">
      <c r="A1324" t="inlineStr">
        <is>
          <t>16-Dec-2025</t>
        </is>
      </c>
      <c r="B1324" t="inlineStr">
        <is>
          <t>Tuesday</t>
        </is>
      </c>
      <c r="C1324" t="inlineStr">
        <is>
          <t>Week3-Dec-2025</t>
        </is>
      </c>
      <c r="D1324" s="78" t="n">
        <v>45992</v>
      </c>
      <c r="E1324" t="inlineStr">
        <is>
          <t>Q3FY26</t>
        </is>
      </c>
      <c r="F1324" t="inlineStr">
        <is>
          <t>30-Jun-2026</t>
        </is>
      </c>
      <c r="G1324" t="inlineStr">
        <is>
          <t>Tuesday</t>
        </is>
      </c>
      <c r="H1324" t="inlineStr">
        <is>
          <t>Monthly - Tuesday</t>
        </is>
      </c>
      <c r="I1324" t="inlineStr">
        <is>
          <t>Monthly - Tuesday</t>
        </is>
      </c>
      <c r="J1324" t="inlineStr">
        <is>
          <t>Month+6 Expiry</t>
        </is>
      </c>
      <c r="K1324" s="25" t="n">
        <v>5884</v>
      </c>
      <c r="L1324" s="26" t="n">
        <v>11.6926</v>
      </c>
      <c r="M1324" s="26" t="n">
        <v>0.1987</v>
      </c>
    </row>
    <row r="1325" ht="16" customHeight="1">
      <c r="A1325" t="inlineStr">
        <is>
          <t>16-Dec-2025</t>
        </is>
      </c>
      <c r="B1325" t="inlineStr">
        <is>
          <t>Tuesday</t>
        </is>
      </c>
      <c r="C1325" t="inlineStr">
        <is>
          <t>Week3-Dec-2025</t>
        </is>
      </c>
      <c r="D1325" s="78" t="n">
        <v>45992</v>
      </c>
      <c r="E1325" t="inlineStr">
        <is>
          <t>Q3FY26</t>
        </is>
      </c>
      <c r="F1325" t="inlineStr">
        <is>
          <t>29-Sep-2026</t>
        </is>
      </c>
      <c r="G1325" t="inlineStr">
        <is>
          <t>Tuesday</t>
        </is>
      </c>
      <c r="H1325" t="inlineStr">
        <is>
          <t>Monthly - Tuesday</t>
        </is>
      </c>
      <c r="I1325" t="inlineStr">
        <is>
          <t>Monthly - Tuesday</t>
        </is>
      </c>
      <c r="J1325" t="inlineStr">
        <is>
          <t>Month+9 Expiry</t>
        </is>
      </c>
      <c r="K1325" s="25" t="n">
        <v>54</v>
      </c>
      <c r="L1325" s="26" t="n">
        <v>0.1038</v>
      </c>
      <c r="M1325" s="26" t="n">
        <v>0.0021</v>
      </c>
    </row>
    <row r="1326" ht="16" customHeight="1">
      <c r="A1326" t="inlineStr">
        <is>
          <t>16-Dec-2025</t>
        </is>
      </c>
      <c r="B1326" t="inlineStr">
        <is>
          <t>Tuesday</t>
        </is>
      </c>
      <c r="C1326" t="inlineStr">
        <is>
          <t>Week3-Dec-2025</t>
        </is>
      </c>
      <c r="D1326" s="78" t="n">
        <v>45992</v>
      </c>
      <c r="E1326" t="inlineStr">
        <is>
          <t>Q3FY26</t>
        </is>
      </c>
      <c r="F1326" t="inlineStr">
        <is>
          <t>29-Dec-2026</t>
        </is>
      </c>
      <c r="G1326" t="inlineStr">
        <is>
          <t>Tuesday</t>
        </is>
      </c>
      <c r="H1326" t="inlineStr">
        <is>
          <t>Monthly - Tuesday</t>
        </is>
      </c>
      <c r="I1326" t="inlineStr">
        <is>
          <t>Monthly - Tuesday</t>
        </is>
      </c>
      <c r="J1326" t="inlineStr">
        <is>
          <t>Month+12 Expiry</t>
        </is>
      </c>
      <c r="K1326" s="25" t="n">
        <v>2252</v>
      </c>
      <c r="L1326" s="26" t="n">
        <v>4.6372</v>
      </c>
      <c r="M1326" s="26" t="n">
        <v>0.1508</v>
      </c>
    </row>
    <row r="1327" ht="16" customHeight="1">
      <c r="A1327" t="inlineStr">
        <is>
          <t>16-Dec-2025</t>
        </is>
      </c>
      <c r="B1327" t="inlineStr">
        <is>
          <t>Tuesday</t>
        </is>
      </c>
      <c r="C1327" t="inlineStr">
        <is>
          <t>Week3-Dec-2025</t>
        </is>
      </c>
      <c r="D1327" s="78" t="n">
        <v>45992</v>
      </c>
      <c r="E1327" t="inlineStr">
        <is>
          <t>Q3FY26</t>
        </is>
      </c>
      <c r="F1327" t="inlineStr">
        <is>
          <t>29-Jun-2027</t>
        </is>
      </c>
      <c r="G1327" t="inlineStr">
        <is>
          <t>Tuesday</t>
        </is>
      </c>
      <c r="H1327" t="inlineStr">
        <is>
          <t>Monthly - Tuesday</t>
        </is>
      </c>
      <c r="I1327" t="inlineStr">
        <is>
          <t>Monthly - Tuesday</t>
        </is>
      </c>
      <c r="J1327" t="inlineStr">
        <is>
          <t>Month+18 Expiry</t>
        </is>
      </c>
      <c r="K1327" s="25" t="n">
        <v>0</v>
      </c>
      <c r="L1327" s="26" t="n">
        <v>0</v>
      </c>
      <c r="M1327" s="26" t="n">
        <v>0</v>
      </c>
    </row>
    <row r="1328" ht="16" customHeight="1">
      <c r="A1328" t="inlineStr">
        <is>
          <t>16-Dec-2025</t>
        </is>
      </c>
      <c r="B1328" t="inlineStr">
        <is>
          <t>Tuesday</t>
        </is>
      </c>
      <c r="C1328" t="inlineStr">
        <is>
          <t>Week3-Dec-2025</t>
        </is>
      </c>
      <c r="D1328" s="78" t="n">
        <v>45992</v>
      </c>
      <c r="E1328" t="inlineStr">
        <is>
          <t>Q3FY26</t>
        </is>
      </c>
      <c r="F1328" t="inlineStr">
        <is>
          <t>28-Dec-2027</t>
        </is>
      </c>
      <c r="G1328" t="inlineStr">
        <is>
          <t>Tuesday</t>
        </is>
      </c>
      <c r="H1328" t="inlineStr">
        <is>
          <t>Monthly - Tuesday</t>
        </is>
      </c>
      <c r="I1328" t="inlineStr">
        <is>
          <t>Monthly - Tuesday</t>
        </is>
      </c>
      <c r="J1328" t="inlineStr">
        <is>
          <t>Month+24 Expiry</t>
        </is>
      </c>
      <c r="K1328" s="25" t="n">
        <v>12</v>
      </c>
      <c r="L1328" s="26" t="n">
        <v>0.0235</v>
      </c>
      <c r="M1328" s="26" t="n">
        <v>0.0007</v>
      </c>
    </row>
    <row r="1329" ht="16" customHeight="1">
      <c r="A1329" t="inlineStr">
        <is>
          <t>16-Dec-2025</t>
        </is>
      </c>
      <c r="B1329" t="inlineStr">
        <is>
          <t>Tuesday</t>
        </is>
      </c>
      <c r="C1329" t="inlineStr">
        <is>
          <t>Week3-Dec-2025</t>
        </is>
      </c>
      <c r="D1329" s="78" t="n">
        <v>45992</v>
      </c>
      <c r="E1329" t="inlineStr">
        <is>
          <t>Q3FY26</t>
        </is>
      </c>
      <c r="F1329" t="inlineStr">
        <is>
          <t>27-Jun-2028</t>
        </is>
      </c>
      <c r="G1329" t="inlineStr">
        <is>
          <t>Tuesday</t>
        </is>
      </c>
      <c r="H1329" t="inlineStr">
        <is>
          <t>Monthly - Tuesday</t>
        </is>
      </c>
      <c r="I1329" t="inlineStr">
        <is>
          <t>Monthly - Tuesday</t>
        </is>
      </c>
      <c r="J1329" t="inlineStr">
        <is>
          <t>Month+30 Expiry</t>
        </is>
      </c>
      <c r="K1329" s="25" t="n">
        <v>0</v>
      </c>
      <c r="L1329" s="26" t="n">
        <v>0</v>
      </c>
      <c r="M1329" s="26" t="n">
        <v>0</v>
      </c>
    </row>
    <row r="1330" ht="16" customHeight="1">
      <c r="A1330" t="inlineStr">
        <is>
          <t>16-Dec-2025</t>
        </is>
      </c>
      <c r="B1330" t="inlineStr">
        <is>
          <t>Tuesday</t>
        </is>
      </c>
      <c r="C1330" t="inlineStr">
        <is>
          <t>Week3-Dec-2025</t>
        </is>
      </c>
      <c r="D1330" s="78" t="n">
        <v>45992</v>
      </c>
      <c r="E1330" t="inlineStr">
        <is>
          <t>Q3FY26</t>
        </is>
      </c>
      <c r="F1330" t="inlineStr">
        <is>
          <t>26-Dec-2028</t>
        </is>
      </c>
      <c r="G1330" t="inlineStr">
        <is>
          <t>Tuesday</t>
        </is>
      </c>
      <c r="H1330" t="inlineStr">
        <is>
          <t>Monthly - Tuesday</t>
        </is>
      </c>
      <c r="I1330" t="inlineStr">
        <is>
          <t>Monthly - Tuesday</t>
        </is>
      </c>
      <c r="J1330" t="inlineStr">
        <is>
          <t>Month+36 Expiry</t>
        </is>
      </c>
      <c r="K1330" s="25" t="n">
        <v>6</v>
      </c>
      <c r="L1330" s="26" t="n">
        <v>0.0122</v>
      </c>
      <c r="M1330" s="26" t="n">
        <v>0.0005</v>
      </c>
    </row>
    <row r="1331" ht="16" customHeight="1">
      <c r="A1331" t="inlineStr">
        <is>
          <t>16-Dec-2025</t>
        </is>
      </c>
      <c r="B1331" t="inlineStr">
        <is>
          <t>Tuesday</t>
        </is>
      </c>
      <c r="C1331" t="inlineStr">
        <is>
          <t>Week3-Dec-2025</t>
        </is>
      </c>
      <c r="D1331" s="78" t="n">
        <v>45992</v>
      </c>
      <c r="E1331" t="inlineStr">
        <is>
          <t>Q3FY26</t>
        </is>
      </c>
      <c r="F1331" t="inlineStr">
        <is>
          <t>26-Jun-2029</t>
        </is>
      </c>
      <c r="G1331" t="inlineStr">
        <is>
          <t>Tuesday</t>
        </is>
      </c>
      <c r="H1331" t="inlineStr">
        <is>
          <t>Monthly - Tuesday</t>
        </is>
      </c>
      <c r="I1331" t="inlineStr">
        <is>
          <t>Monthly - Tuesday</t>
        </is>
      </c>
      <c r="J1331" t="inlineStr">
        <is>
          <t>Month+42 Expiry</t>
        </is>
      </c>
      <c r="K1331" s="25" t="n">
        <v>0</v>
      </c>
      <c r="L1331" s="26" t="n">
        <v>0</v>
      </c>
      <c r="M1331" s="26" t="n">
        <v>0</v>
      </c>
    </row>
    <row r="1332" ht="16" customHeight="1">
      <c r="A1332" t="inlineStr">
        <is>
          <t>16-Dec-2025</t>
        </is>
      </c>
      <c r="B1332" t="inlineStr">
        <is>
          <t>Tuesday</t>
        </is>
      </c>
      <c r="C1332" t="inlineStr">
        <is>
          <t>Week3-Dec-2025</t>
        </is>
      </c>
      <c r="D1332" s="78" t="n">
        <v>45992</v>
      </c>
      <c r="E1332" t="inlineStr">
        <is>
          <t>Q3FY26</t>
        </is>
      </c>
      <c r="F1332" t="inlineStr">
        <is>
          <t>24-Dec-2029</t>
        </is>
      </c>
      <c r="G1332" t="inlineStr">
        <is>
          <t>Monday</t>
        </is>
      </c>
      <c r="H1332" t="inlineStr">
        <is>
          <t>Weekly - Monday</t>
        </is>
      </c>
      <c r="I1332" t="inlineStr">
        <is>
          <t>Weekly - Monday</t>
        </is>
      </c>
      <c r="J1332" t="inlineStr">
        <is>
          <t>Month+48 Expiry</t>
        </is>
      </c>
      <c r="K1332" s="25" t="n">
        <v>0</v>
      </c>
      <c r="L1332" s="26" t="n">
        <v>0</v>
      </c>
      <c r="M1332" s="26" t="n">
        <v>0</v>
      </c>
    </row>
    <row r="1333" ht="16" customHeight="1">
      <c r="A1333" t="inlineStr">
        <is>
          <t>16-Dec-2025</t>
        </is>
      </c>
      <c r="B1333" t="inlineStr">
        <is>
          <t>Tuesday</t>
        </is>
      </c>
      <c r="C1333" t="inlineStr">
        <is>
          <t>Week3-Dec-2025</t>
        </is>
      </c>
      <c r="D1333" s="78" t="n">
        <v>45992</v>
      </c>
      <c r="E1333" t="inlineStr">
        <is>
          <t>Q3FY26</t>
        </is>
      </c>
      <c r="F1333" t="inlineStr">
        <is>
          <t>25-Jun-2030</t>
        </is>
      </c>
      <c r="G1333" t="inlineStr">
        <is>
          <t>Tuesday</t>
        </is>
      </c>
      <c r="H1333" t="inlineStr">
        <is>
          <t>Monthly - Tuesday</t>
        </is>
      </c>
      <c r="I1333" t="inlineStr">
        <is>
          <t>Monthly - Tuesday</t>
        </is>
      </c>
      <c r="J1333" t="inlineStr">
        <is>
          <t>Month+54 Expiry</t>
        </is>
      </c>
      <c r="K1333" s="25" t="n">
        <v>0</v>
      </c>
      <c r="L1333" s="26" t="n">
        <v>0</v>
      </c>
      <c r="M1333" s="26" t="n">
        <v>0</v>
      </c>
    </row>
    <row r="1334" ht="16" customHeight="1">
      <c r="A1334" t="inlineStr">
        <is>
          <t>17-Dec-2025</t>
        </is>
      </c>
      <c r="B1334" t="inlineStr">
        <is>
          <t>Wednesday</t>
        </is>
      </c>
      <c r="C1334" t="inlineStr">
        <is>
          <t>Week3-Dec-2025</t>
        </is>
      </c>
      <c r="D1334" s="78" t="n">
        <v>45992</v>
      </c>
      <c r="E1334" t="inlineStr">
        <is>
          <t>Q3FY26</t>
        </is>
      </c>
      <c r="F1334" t="inlineStr">
        <is>
          <t>23-Dec-2025</t>
        </is>
      </c>
      <c r="G1334" t="inlineStr">
        <is>
          <t>Tuesday</t>
        </is>
      </c>
      <c r="H1334" t="inlineStr">
        <is>
          <t>Weekly - Tuesday</t>
        </is>
      </c>
      <c r="I1334" t="inlineStr">
        <is>
          <t>Weekly - Tuesday</t>
        </is>
      </c>
      <c r="J1334" t="inlineStr">
        <is>
          <t>Same Month Expiry</t>
        </is>
      </c>
      <c r="K1334" s="25" t="n">
        <v>44362053</v>
      </c>
      <c r="L1334" s="26" t="n">
        <v>86474.0042</v>
      </c>
      <c r="M1334" s="26" t="n">
        <v>252.2914</v>
      </c>
    </row>
    <row r="1335" ht="16" customHeight="1">
      <c r="A1335" t="inlineStr">
        <is>
          <t>17-Dec-2025</t>
        </is>
      </c>
      <c r="B1335" t="inlineStr">
        <is>
          <t>Wednesday</t>
        </is>
      </c>
      <c r="C1335" t="inlineStr">
        <is>
          <t>Week3-Dec-2025</t>
        </is>
      </c>
      <c r="D1335" s="78" t="n">
        <v>45992</v>
      </c>
      <c r="E1335" t="inlineStr">
        <is>
          <t>Q3FY26</t>
        </is>
      </c>
      <c r="F1335" t="inlineStr">
        <is>
          <t>30-Dec-2025</t>
        </is>
      </c>
      <c r="G1335" t="inlineStr">
        <is>
          <t>Tuesday</t>
        </is>
      </c>
      <c r="H1335" t="inlineStr">
        <is>
          <t>Monthly - Tuesday</t>
        </is>
      </c>
      <c r="I1335" t="inlineStr">
        <is>
          <t>Monthly - Tuesday</t>
        </is>
      </c>
      <c r="J1335" t="inlineStr">
        <is>
          <t>Same Month Expiry</t>
        </is>
      </c>
      <c r="K1335" s="25" t="n">
        <v>2323562</v>
      </c>
      <c r="L1335" s="26" t="n">
        <v>4537.4195</v>
      </c>
      <c r="M1335" s="26" t="n">
        <v>18.0773</v>
      </c>
    </row>
    <row r="1336" ht="16" customHeight="1">
      <c r="A1336" t="inlineStr">
        <is>
          <t>17-Dec-2025</t>
        </is>
      </c>
      <c r="B1336" t="inlineStr">
        <is>
          <t>Wednesday</t>
        </is>
      </c>
      <c r="C1336" t="inlineStr">
        <is>
          <t>Week3-Dec-2025</t>
        </is>
      </c>
      <c r="D1336" s="78" t="n">
        <v>45992</v>
      </c>
      <c r="E1336" t="inlineStr">
        <is>
          <t>Q3FY26</t>
        </is>
      </c>
      <c r="F1336" t="inlineStr">
        <is>
          <t>06-Jan-2026</t>
        </is>
      </c>
      <c r="G1336" t="inlineStr">
        <is>
          <t>Tuesday</t>
        </is>
      </c>
      <c r="H1336" t="inlineStr">
        <is>
          <t>Weekly - Tuesday</t>
        </is>
      </c>
      <c r="I1336" t="inlineStr">
        <is>
          <t>Weekly - Tuesday</t>
        </is>
      </c>
      <c r="J1336" t="inlineStr">
        <is>
          <t>Month+1 Expiry</t>
        </is>
      </c>
      <c r="K1336" s="25" t="n">
        <v>97994</v>
      </c>
      <c r="L1336" s="26" t="n">
        <v>166.7489</v>
      </c>
      <c r="M1336" s="26" t="n">
        <v>0.7732</v>
      </c>
    </row>
    <row r="1337" ht="16" customHeight="1">
      <c r="A1337" t="inlineStr">
        <is>
          <t>17-Dec-2025</t>
        </is>
      </c>
      <c r="B1337" t="inlineStr">
        <is>
          <t>Wednesday</t>
        </is>
      </c>
      <c r="C1337" t="inlineStr">
        <is>
          <t>Week3-Dec-2025</t>
        </is>
      </c>
      <c r="D1337" s="78" t="n">
        <v>45992</v>
      </c>
      <c r="E1337" t="inlineStr">
        <is>
          <t>Q3FY26</t>
        </is>
      </c>
      <c r="F1337" t="inlineStr">
        <is>
          <t>13-Jan-2026</t>
        </is>
      </c>
      <c r="G1337" t="inlineStr">
        <is>
          <t>Tuesday</t>
        </is>
      </c>
      <c r="H1337" t="inlineStr">
        <is>
          <t>Weekly - Tuesday</t>
        </is>
      </c>
      <c r="I1337" t="inlineStr">
        <is>
          <t>Weekly - Tuesday</t>
        </is>
      </c>
      <c r="J1337" t="inlineStr">
        <is>
          <t>Month+1 Expiry</t>
        </is>
      </c>
      <c r="K1337" s="25" t="n">
        <v>8453</v>
      </c>
      <c r="L1337" s="26" t="n">
        <v>14.3595</v>
      </c>
      <c r="M1337" s="26" t="n">
        <v>0.0907</v>
      </c>
    </row>
    <row r="1338" ht="16" customHeight="1">
      <c r="A1338" t="inlineStr">
        <is>
          <t>17-Dec-2025</t>
        </is>
      </c>
      <c r="B1338" t="inlineStr">
        <is>
          <t>Wednesday</t>
        </is>
      </c>
      <c r="C1338" t="inlineStr">
        <is>
          <t>Week3-Dec-2025</t>
        </is>
      </c>
      <c r="D1338" s="78" t="n">
        <v>45992</v>
      </c>
      <c r="E1338" t="inlineStr">
        <is>
          <t>Q3FY26</t>
        </is>
      </c>
      <c r="F1338" t="inlineStr">
        <is>
          <t>20-Jan-2026</t>
        </is>
      </c>
      <c r="G1338" t="inlineStr">
        <is>
          <t>Tuesday</t>
        </is>
      </c>
      <c r="H1338" t="inlineStr">
        <is>
          <t>Weekly - Tuesday</t>
        </is>
      </c>
      <c r="I1338" t="inlineStr">
        <is>
          <t>Weekly - Tuesday</t>
        </is>
      </c>
      <c r="J1338" t="inlineStr">
        <is>
          <t>Month+1 Expiry</t>
        </is>
      </c>
      <c r="K1338" s="25" t="n">
        <v>48</v>
      </c>
      <c r="L1338" s="26" t="n">
        <v>0.0823</v>
      </c>
      <c r="M1338" s="26" t="n">
        <v>0.0011</v>
      </c>
    </row>
    <row r="1339" ht="16" customHeight="1">
      <c r="A1339" t="inlineStr">
        <is>
          <t>17-Dec-2025</t>
        </is>
      </c>
      <c r="B1339" t="inlineStr">
        <is>
          <t>Wednesday</t>
        </is>
      </c>
      <c r="C1339" t="inlineStr">
        <is>
          <t>Week3-Dec-2025</t>
        </is>
      </c>
      <c r="D1339" s="78" t="n">
        <v>45992</v>
      </c>
      <c r="E1339" t="inlineStr">
        <is>
          <t>Q3FY26</t>
        </is>
      </c>
      <c r="F1339" t="inlineStr">
        <is>
          <t>27-Jan-2026</t>
        </is>
      </c>
      <c r="G1339" t="inlineStr">
        <is>
          <t>Tuesday</t>
        </is>
      </c>
      <c r="H1339" t="inlineStr">
        <is>
          <t>Monthly - Tuesday</t>
        </is>
      </c>
      <c r="I1339" t="inlineStr">
        <is>
          <t>Monthly - Tuesday</t>
        </is>
      </c>
      <c r="J1339" t="inlineStr">
        <is>
          <t>Month+1 Expiry</t>
        </is>
      </c>
      <c r="K1339" s="25" t="n">
        <v>320377</v>
      </c>
      <c r="L1339" s="26" t="n">
        <v>547.8336</v>
      </c>
      <c r="M1339" s="26" t="n">
        <v>3.3269</v>
      </c>
    </row>
    <row r="1340" ht="16" customHeight="1">
      <c r="A1340" t="inlineStr">
        <is>
          <t>17-Dec-2025</t>
        </is>
      </c>
      <c r="B1340" t="inlineStr">
        <is>
          <t>Wednesday</t>
        </is>
      </c>
      <c r="C1340" t="inlineStr">
        <is>
          <t>Week3-Dec-2025</t>
        </is>
      </c>
      <c r="D1340" s="78" t="n">
        <v>45992</v>
      </c>
      <c r="E1340" t="inlineStr">
        <is>
          <t>Q3FY26</t>
        </is>
      </c>
      <c r="F1340" t="inlineStr">
        <is>
          <t>24-Feb-2026</t>
        </is>
      </c>
      <c r="G1340" t="inlineStr">
        <is>
          <t>Tuesday</t>
        </is>
      </c>
      <c r="H1340" t="inlineStr">
        <is>
          <t>Monthly - Tuesday</t>
        </is>
      </c>
      <c r="I1340" t="inlineStr">
        <is>
          <t>Monthly - Tuesday</t>
        </is>
      </c>
      <c r="J1340" t="inlineStr">
        <is>
          <t>Month+2 Expiry</t>
        </is>
      </c>
      <c r="K1340" s="25" t="n">
        <v>46486</v>
      </c>
      <c r="L1340" s="26" t="n">
        <v>80.05840000000001</v>
      </c>
      <c r="M1340" s="26" t="n">
        <v>0.7258</v>
      </c>
    </row>
    <row r="1341" ht="16" customHeight="1">
      <c r="A1341" t="inlineStr">
        <is>
          <t>17-Dec-2025</t>
        </is>
      </c>
      <c r="B1341" t="inlineStr">
        <is>
          <t>Wednesday</t>
        </is>
      </c>
      <c r="C1341" t="inlineStr">
        <is>
          <t>Week3-Dec-2025</t>
        </is>
      </c>
      <c r="D1341" s="78" t="n">
        <v>45992</v>
      </c>
      <c r="E1341" t="inlineStr">
        <is>
          <t>Q3FY26</t>
        </is>
      </c>
      <c r="F1341" t="inlineStr">
        <is>
          <t>31-Mar-2026</t>
        </is>
      </c>
      <c r="G1341" t="inlineStr">
        <is>
          <t>Tuesday</t>
        </is>
      </c>
      <c r="H1341" t="inlineStr">
        <is>
          <t>Monthly - Tuesday</t>
        </is>
      </c>
      <c r="I1341" t="inlineStr">
        <is>
          <t>Monthly - Tuesday</t>
        </is>
      </c>
      <c r="J1341" t="inlineStr">
        <is>
          <t>Month+3 Expiry</t>
        </is>
      </c>
      <c r="K1341" s="25" t="n">
        <v>25940</v>
      </c>
      <c r="L1341" s="26" t="n">
        <v>51.9499</v>
      </c>
      <c r="M1341" s="26" t="n">
        <v>0.8283</v>
      </c>
    </row>
    <row r="1342" ht="16" customHeight="1">
      <c r="A1342" t="inlineStr">
        <is>
          <t>17-Dec-2025</t>
        </is>
      </c>
      <c r="B1342" t="inlineStr">
        <is>
          <t>Wednesday</t>
        </is>
      </c>
      <c r="C1342" t="inlineStr">
        <is>
          <t>Week3-Dec-2025</t>
        </is>
      </c>
      <c r="D1342" s="78" t="n">
        <v>45992</v>
      </c>
      <c r="E1342" t="inlineStr">
        <is>
          <t>Q3FY26</t>
        </is>
      </c>
      <c r="F1342" t="inlineStr">
        <is>
          <t>30-Jun-2026</t>
        </is>
      </c>
      <c r="G1342" t="inlineStr">
        <is>
          <t>Tuesday</t>
        </is>
      </c>
      <c r="H1342" t="inlineStr">
        <is>
          <t>Monthly - Tuesday</t>
        </is>
      </c>
      <c r="I1342" t="inlineStr">
        <is>
          <t>Monthly - Tuesday</t>
        </is>
      </c>
      <c r="J1342" t="inlineStr">
        <is>
          <t>Month+6 Expiry</t>
        </is>
      </c>
      <c r="K1342" s="25" t="n">
        <v>7368</v>
      </c>
      <c r="L1342" s="26" t="n">
        <v>14.843</v>
      </c>
      <c r="M1342" s="26" t="n">
        <v>0.257</v>
      </c>
    </row>
    <row r="1343" ht="16" customHeight="1">
      <c r="A1343" t="inlineStr">
        <is>
          <t>17-Dec-2025</t>
        </is>
      </c>
      <c r="B1343" t="inlineStr">
        <is>
          <t>Wednesday</t>
        </is>
      </c>
      <c r="C1343" t="inlineStr">
        <is>
          <t>Week3-Dec-2025</t>
        </is>
      </c>
      <c r="D1343" s="78" t="n">
        <v>45992</v>
      </c>
      <c r="E1343" t="inlineStr">
        <is>
          <t>Q3FY26</t>
        </is>
      </c>
      <c r="F1343" t="inlineStr">
        <is>
          <t>29-Sep-2026</t>
        </is>
      </c>
      <c r="G1343" t="inlineStr">
        <is>
          <t>Tuesday</t>
        </is>
      </c>
      <c r="H1343" t="inlineStr">
        <is>
          <t>Monthly - Tuesday</t>
        </is>
      </c>
      <c r="I1343" t="inlineStr">
        <is>
          <t>Monthly - Tuesday</t>
        </is>
      </c>
      <c r="J1343" t="inlineStr">
        <is>
          <t>Month+9 Expiry</t>
        </is>
      </c>
      <c r="K1343" s="25" t="n">
        <v>76</v>
      </c>
      <c r="L1343" s="26" t="n">
        <v>0.1453</v>
      </c>
      <c r="M1343" s="26" t="n">
        <v>0.0024</v>
      </c>
    </row>
    <row r="1344" ht="16" customHeight="1">
      <c r="A1344" t="inlineStr">
        <is>
          <t>17-Dec-2025</t>
        </is>
      </c>
      <c r="B1344" t="inlineStr">
        <is>
          <t>Wednesday</t>
        </is>
      </c>
      <c r="C1344" t="inlineStr">
        <is>
          <t>Week3-Dec-2025</t>
        </is>
      </c>
      <c r="D1344" s="78" t="n">
        <v>45992</v>
      </c>
      <c r="E1344" t="inlineStr">
        <is>
          <t>Q3FY26</t>
        </is>
      </c>
      <c r="F1344" t="inlineStr">
        <is>
          <t>29-Dec-2026</t>
        </is>
      </c>
      <c r="G1344" t="inlineStr">
        <is>
          <t>Tuesday</t>
        </is>
      </c>
      <c r="H1344" t="inlineStr">
        <is>
          <t>Monthly - Tuesday</t>
        </is>
      </c>
      <c r="I1344" t="inlineStr">
        <is>
          <t>Monthly - Tuesday</t>
        </is>
      </c>
      <c r="J1344" t="inlineStr">
        <is>
          <t>Month+12 Expiry</t>
        </is>
      </c>
      <c r="K1344" s="25" t="n">
        <v>2412</v>
      </c>
      <c r="L1344" s="26" t="n">
        <v>4.9873</v>
      </c>
      <c r="M1344" s="26" t="n">
        <v>0.1729</v>
      </c>
    </row>
    <row r="1345" ht="16" customHeight="1">
      <c r="A1345" t="inlineStr">
        <is>
          <t>17-Dec-2025</t>
        </is>
      </c>
      <c r="B1345" t="inlineStr">
        <is>
          <t>Wednesday</t>
        </is>
      </c>
      <c r="C1345" t="inlineStr">
        <is>
          <t>Week3-Dec-2025</t>
        </is>
      </c>
      <c r="D1345" s="78" t="n">
        <v>45992</v>
      </c>
      <c r="E1345" t="inlineStr">
        <is>
          <t>Q3FY26</t>
        </is>
      </c>
      <c r="F1345" t="inlineStr">
        <is>
          <t>29-Jun-2027</t>
        </is>
      </c>
      <c r="G1345" t="inlineStr">
        <is>
          <t>Tuesday</t>
        </is>
      </c>
      <c r="H1345" t="inlineStr">
        <is>
          <t>Monthly - Tuesday</t>
        </is>
      </c>
      <c r="I1345" t="inlineStr">
        <is>
          <t>Monthly - Tuesday</t>
        </is>
      </c>
      <c r="J1345" t="inlineStr">
        <is>
          <t>Month+18 Expiry</t>
        </is>
      </c>
      <c r="K1345" s="25" t="n">
        <v>0</v>
      </c>
      <c r="L1345" s="26" t="n">
        <v>0</v>
      </c>
      <c r="M1345" s="26" t="n">
        <v>0</v>
      </c>
    </row>
    <row r="1346" ht="16" customHeight="1">
      <c r="A1346" t="inlineStr">
        <is>
          <t>17-Dec-2025</t>
        </is>
      </c>
      <c r="B1346" t="inlineStr">
        <is>
          <t>Wednesday</t>
        </is>
      </c>
      <c r="C1346" t="inlineStr">
        <is>
          <t>Week3-Dec-2025</t>
        </is>
      </c>
      <c r="D1346" s="78" t="n">
        <v>45992</v>
      </c>
      <c r="E1346" t="inlineStr">
        <is>
          <t>Q3FY26</t>
        </is>
      </c>
      <c r="F1346" t="inlineStr">
        <is>
          <t>28-Dec-2027</t>
        </is>
      </c>
      <c r="G1346" t="inlineStr">
        <is>
          <t>Tuesday</t>
        </is>
      </c>
      <c r="H1346" t="inlineStr">
        <is>
          <t>Monthly - Tuesday</t>
        </is>
      </c>
      <c r="I1346" t="inlineStr">
        <is>
          <t>Monthly - Tuesday</t>
        </is>
      </c>
      <c r="J1346" t="inlineStr">
        <is>
          <t>Month+24 Expiry</t>
        </is>
      </c>
      <c r="K1346" s="25" t="n">
        <v>2</v>
      </c>
      <c r="L1346" s="26" t="n">
        <v>0.0039</v>
      </c>
      <c r="M1346" s="26" t="n">
        <v>0.0003</v>
      </c>
    </row>
    <row r="1347" ht="16" customHeight="1">
      <c r="A1347" t="inlineStr">
        <is>
          <t>17-Dec-2025</t>
        </is>
      </c>
      <c r="B1347" t="inlineStr">
        <is>
          <t>Wednesday</t>
        </is>
      </c>
      <c r="C1347" t="inlineStr">
        <is>
          <t>Week3-Dec-2025</t>
        </is>
      </c>
      <c r="D1347" s="78" t="n">
        <v>45992</v>
      </c>
      <c r="E1347" t="inlineStr">
        <is>
          <t>Q3FY26</t>
        </is>
      </c>
      <c r="F1347" t="inlineStr">
        <is>
          <t>27-Jun-2028</t>
        </is>
      </c>
      <c r="G1347" t="inlineStr">
        <is>
          <t>Tuesday</t>
        </is>
      </c>
      <c r="H1347" t="inlineStr">
        <is>
          <t>Monthly - Tuesday</t>
        </is>
      </c>
      <c r="I1347" t="inlineStr">
        <is>
          <t>Monthly - Tuesday</t>
        </is>
      </c>
      <c r="J1347" t="inlineStr">
        <is>
          <t>Month+30 Expiry</t>
        </is>
      </c>
      <c r="K1347" s="25" t="n">
        <v>0</v>
      </c>
      <c r="L1347" s="26" t="n">
        <v>0</v>
      </c>
      <c r="M1347" s="26" t="n">
        <v>0</v>
      </c>
    </row>
    <row r="1348" ht="16" customHeight="1">
      <c r="A1348" t="inlineStr">
        <is>
          <t>17-Dec-2025</t>
        </is>
      </c>
      <c r="B1348" t="inlineStr">
        <is>
          <t>Wednesday</t>
        </is>
      </c>
      <c r="C1348" t="inlineStr">
        <is>
          <t>Week3-Dec-2025</t>
        </is>
      </c>
      <c r="D1348" s="78" t="n">
        <v>45992</v>
      </c>
      <c r="E1348" t="inlineStr">
        <is>
          <t>Q3FY26</t>
        </is>
      </c>
      <c r="F1348" t="inlineStr">
        <is>
          <t>26-Dec-2028</t>
        </is>
      </c>
      <c r="G1348" t="inlineStr">
        <is>
          <t>Tuesday</t>
        </is>
      </c>
      <c r="H1348" t="inlineStr">
        <is>
          <t>Monthly - Tuesday</t>
        </is>
      </c>
      <c r="I1348" t="inlineStr">
        <is>
          <t>Monthly - Tuesday</t>
        </is>
      </c>
      <c r="J1348" t="inlineStr">
        <is>
          <t>Month+36 Expiry</t>
        </is>
      </c>
      <c r="K1348" s="25" t="n">
        <v>7</v>
      </c>
      <c r="L1348" s="26" t="n">
        <v>0.0143</v>
      </c>
      <c r="M1348" s="26" t="n">
        <v>0.0005999999999999999</v>
      </c>
    </row>
    <row r="1349" ht="16" customHeight="1">
      <c r="A1349" t="inlineStr">
        <is>
          <t>17-Dec-2025</t>
        </is>
      </c>
      <c r="B1349" t="inlineStr">
        <is>
          <t>Wednesday</t>
        </is>
      </c>
      <c r="C1349" t="inlineStr">
        <is>
          <t>Week3-Dec-2025</t>
        </is>
      </c>
      <c r="D1349" s="78" t="n">
        <v>45992</v>
      </c>
      <c r="E1349" t="inlineStr">
        <is>
          <t>Q3FY26</t>
        </is>
      </c>
      <c r="F1349" t="inlineStr">
        <is>
          <t>26-Jun-2029</t>
        </is>
      </c>
      <c r="G1349" t="inlineStr">
        <is>
          <t>Tuesday</t>
        </is>
      </c>
      <c r="H1349" t="inlineStr">
        <is>
          <t>Monthly - Tuesday</t>
        </is>
      </c>
      <c r="I1349" t="inlineStr">
        <is>
          <t>Monthly - Tuesday</t>
        </is>
      </c>
      <c r="J1349" t="inlineStr">
        <is>
          <t>Month+42 Expiry</t>
        </is>
      </c>
      <c r="K1349" s="25" t="n">
        <v>0</v>
      </c>
      <c r="L1349" s="26" t="n">
        <v>0</v>
      </c>
      <c r="M1349" s="26" t="n">
        <v>0</v>
      </c>
    </row>
    <row r="1350" ht="16" customHeight="1">
      <c r="A1350" t="inlineStr">
        <is>
          <t>17-Dec-2025</t>
        </is>
      </c>
      <c r="B1350" t="inlineStr">
        <is>
          <t>Wednesday</t>
        </is>
      </c>
      <c r="C1350" t="inlineStr">
        <is>
          <t>Week3-Dec-2025</t>
        </is>
      </c>
      <c r="D1350" s="78" t="n">
        <v>45992</v>
      </c>
      <c r="E1350" t="inlineStr">
        <is>
          <t>Q3FY26</t>
        </is>
      </c>
      <c r="F1350" t="inlineStr">
        <is>
          <t>24-Dec-2029</t>
        </is>
      </c>
      <c r="G1350" t="inlineStr">
        <is>
          <t>Monday</t>
        </is>
      </c>
      <c r="H1350" t="inlineStr">
        <is>
          <t>Weekly - Monday</t>
        </is>
      </c>
      <c r="I1350" t="inlineStr">
        <is>
          <t>Weekly - Monday</t>
        </is>
      </c>
      <c r="J1350" t="inlineStr">
        <is>
          <t>Month+48 Expiry</t>
        </is>
      </c>
      <c r="K1350" s="25" t="n">
        <v>0</v>
      </c>
      <c r="L1350" s="26" t="n">
        <v>0</v>
      </c>
      <c r="M1350" s="26" t="n">
        <v>0</v>
      </c>
    </row>
    <row r="1351" ht="16" customHeight="1">
      <c r="A1351" t="inlineStr">
        <is>
          <t>17-Dec-2025</t>
        </is>
      </c>
      <c r="B1351" t="inlineStr">
        <is>
          <t>Wednesday</t>
        </is>
      </c>
      <c r="C1351" t="inlineStr">
        <is>
          <t>Week3-Dec-2025</t>
        </is>
      </c>
      <c r="D1351" s="78" t="n">
        <v>45992</v>
      </c>
      <c r="E1351" t="inlineStr">
        <is>
          <t>Q3FY26</t>
        </is>
      </c>
      <c r="F1351" t="inlineStr">
        <is>
          <t>25-Jun-2030</t>
        </is>
      </c>
      <c r="G1351" t="inlineStr">
        <is>
          <t>Tuesday</t>
        </is>
      </c>
      <c r="H1351" t="inlineStr">
        <is>
          <t>Monthly - Tuesday</t>
        </is>
      </c>
      <c r="I1351" t="inlineStr">
        <is>
          <t>Monthly - Tuesday</t>
        </is>
      </c>
      <c r="J1351" t="inlineStr">
        <is>
          <t>Month+54 Expiry</t>
        </is>
      </c>
      <c r="K1351" s="25" t="n">
        <v>0</v>
      </c>
      <c r="L1351" s="26" t="n">
        <v>0</v>
      </c>
      <c r="M1351" s="26" t="n">
        <v>0</v>
      </c>
    </row>
    <row r="1352" ht="16" customHeight="1">
      <c r="A1352" t="inlineStr">
        <is>
          <t>18-Dec-2025</t>
        </is>
      </c>
      <c r="B1352" t="inlineStr">
        <is>
          <t>Thursday</t>
        </is>
      </c>
      <c r="C1352" t="inlineStr">
        <is>
          <t>Week3-Dec-2025</t>
        </is>
      </c>
      <c r="D1352" s="78" t="n">
        <v>45992</v>
      </c>
      <c r="E1352" t="inlineStr">
        <is>
          <t>Q3FY26</t>
        </is>
      </c>
      <c r="F1352" t="inlineStr">
        <is>
          <t>23-Dec-2025</t>
        </is>
      </c>
      <c r="G1352" t="inlineStr">
        <is>
          <t>Tuesday</t>
        </is>
      </c>
      <c r="H1352" t="inlineStr">
        <is>
          <t>Weekly - Tuesday</t>
        </is>
      </c>
      <c r="I1352" t="inlineStr">
        <is>
          <t>Weekly - Tuesday</t>
        </is>
      </c>
      <c r="J1352" t="inlineStr">
        <is>
          <t>Same Month Expiry</t>
        </is>
      </c>
      <c r="K1352" s="25" t="n">
        <v>51955629</v>
      </c>
      <c r="L1352" s="26" t="n">
        <v>101088.8489</v>
      </c>
      <c r="M1352" s="26" t="n">
        <v>247.1613</v>
      </c>
    </row>
    <row r="1353" ht="16" customHeight="1">
      <c r="A1353" t="inlineStr">
        <is>
          <t>18-Dec-2025</t>
        </is>
      </c>
      <c r="B1353" t="inlineStr">
        <is>
          <t>Thursday</t>
        </is>
      </c>
      <c r="C1353" t="inlineStr">
        <is>
          <t>Week3-Dec-2025</t>
        </is>
      </c>
      <c r="D1353" s="78" t="n">
        <v>45992</v>
      </c>
      <c r="E1353" t="inlineStr">
        <is>
          <t>Q3FY26</t>
        </is>
      </c>
      <c r="F1353" t="inlineStr">
        <is>
          <t>30-Dec-2025</t>
        </is>
      </c>
      <c r="G1353" t="inlineStr">
        <is>
          <t>Tuesday</t>
        </is>
      </c>
      <c r="H1353" t="inlineStr">
        <is>
          <t>Monthly - Tuesday</t>
        </is>
      </c>
      <c r="I1353" t="inlineStr">
        <is>
          <t>Monthly - Tuesday</t>
        </is>
      </c>
      <c r="J1353" t="inlineStr">
        <is>
          <t>Same Month Expiry</t>
        </is>
      </c>
      <c r="K1353" s="25" t="n">
        <v>3239924</v>
      </c>
      <c r="L1353" s="26" t="n">
        <v>6323.7898</v>
      </c>
      <c r="M1353" s="26" t="n">
        <v>23.6894</v>
      </c>
    </row>
    <row r="1354" ht="16" customHeight="1">
      <c r="A1354" t="inlineStr">
        <is>
          <t>18-Dec-2025</t>
        </is>
      </c>
      <c r="B1354" t="inlineStr">
        <is>
          <t>Thursday</t>
        </is>
      </c>
      <c r="C1354" t="inlineStr">
        <is>
          <t>Week3-Dec-2025</t>
        </is>
      </c>
      <c r="D1354" s="78" t="n">
        <v>45992</v>
      </c>
      <c r="E1354" t="inlineStr">
        <is>
          <t>Q3FY26</t>
        </is>
      </c>
      <c r="F1354" t="inlineStr">
        <is>
          <t>06-Jan-2026</t>
        </is>
      </c>
      <c r="G1354" t="inlineStr">
        <is>
          <t>Tuesday</t>
        </is>
      </c>
      <c r="H1354" t="inlineStr">
        <is>
          <t>Weekly - Tuesday</t>
        </is>
      </c>
      <c r="I1354" t="inlineStr">
        <is>
          <t>Weekly - Tuesday</t>
        </is>
      </c>
      <c r="J1354" t="inlineStr">
        <is>
          <t>Month+1 Expiry</t>
        </is>
      </c>
      <c r="K1354" s="25" t="n">
        <v>132433</v>
      </c>
      <c r="L1354" s="26" t="n">
        <v>225.0147</v>
      </c>
      <c r="M1354" s="26" t="n">
        <v>1.133</v>
      </c>
    </row>
    <row r="1355" ht="16" customHeight="1">
      <c r="A1355" t="inlineStr">
        <is>
          <t>18-Dec-2025</t>
        </is>
      </c>
      <c r="B1355" t="inlineStr">
        <is>
          <t>Thursday</t>
        </is>
      </c>
      <c r="C1355" t="inlineStr">
        <is>
          <t>Week3-Dec-2025</t>
        </is>
      </c>
      <c r="D1355" s="78" t="n">
        <v>45992</v>
      </c>
      <c r="E1355" t="inlineStr">
        <is>
          <t>Q3FY26</t>
        </is>
      </c>
      <c r="F1355" t="inlineStr">
        <is>
          <t>13-Jan-2026</t>
        </is>
      </c>
      <c r="G1355" t="inlineStr">
        <is>
          <t>Tuesday</t>
        </is>
      </c>
      <c r="H1355" t="inlineStr">
        <is>
          <t>Weekly - Tuesday</t>
        </is>
      </c>
      <c r="I1355" t="inlineStr">
        <is>
          <t>Weekly - Tuesday</t>
        </is>
      </c>
      <c r="J1355" t="inlineStr">
        <is>
          <t>Month+1 Expiry</t>
        </is>
      </c>
      <c r="K1355" s="25" t="n">
        <v>12250</v>
      </c>
      <c r="L1355" s="26" t="n">
        <v>20.8587</v>
      </c>
      <c r="M1355" s="26" t="n">
        <v>0.1168</v>
      </c>
    </row>
    <row r="1356" ht="16" customHeight="1">
      <c r="A1356" t="inlineStr">
        <is>
          <t>18-Dec-2025</t>
        </is>
      </c>
      <c r="B1356" t="inlineStr">
        <is>
          <t>Thursday</t>
        </is>
      </c>
      <c r="C1356" t="inlineStr">
        <is>
          <t>Week3-Dec-2025</t>
        </is>
      </c>
      <c r="D1356" s="78" t="n">
        <v>45992</v>
      </c>
      <c r="E1356" t="inlineStr">
        <is>
          <t>Q3FY26</t>
        </is>
      </c>
      <c r="F1356" t="inlineStr">
        <is>
          <t>20-Jan-2026</t>
        </is>
      </c>
      <c r="G1356" t="inlineStr">
        <is>
          <t>Tuesday</t>
        </is>
      </c>
      <c r="H1356" t="inlineStr">
        <is>
          <t>Weekly - Tuesday</t>
        </is>
      </c>
      <c r="I1356" t="inlineStr">
        <is>
          <t>Weekly - Tuesday</t>
        </is>
      </c>
      <c r="J1356" t="inlineStr">
        <is>
          <t>Month+1 Expiry</t>
        </is>
      </c>
      <c r="K1356" s="25" t="n">
        <v>634</v>
      </c>
      <c r="L1356" s="26" t="n">
        <v>1.0774</v>
      </c>
      <c r="M1356" s="26" t="n">
        <v>0.0118</v>
      </c>
    </row>
    <row r="1357" ht="16" customHeight="1">
      <c r="A1357" t="inlineStr">
        <is>
          <t>18-Dec-2025</t>
        </is>
      </c>
      <c r="B1357" t="inlineStr">
        <is>
          <t>Thursday</t>
        </is>
      </c>
      <c r="C1357" t="inlineStr">
        <is>
          <t>Week3-Dec-2025</t>
        </is>
      </c>
      <c r="D1357" s="78" t="n">
        <v>45992</v>
      </c>
      <c r="E1357" t="inlineStr">
        <is>
          <t>Q3FY26</t>
        </is>
      </c>
      <c r="F1357" t="inlineStr">
        <is>
          <t>27-Jan-2026</t>
        </is>
      </c>
      <c r="G1357" t="inlineStr">
        <is>
          <t>Tuesday</t>
        </is>
      </c>
      <c r="H1357" t="inlineStr">
        <is>
          <t>Monthly - Tuesday</t>
        </is>
      </c>
      <c r="I1357" t="inlineStr">
        <is>
          <t>Monthly - Tuesday</t>
        </is>
      </c>
      <c r="J1357" t="inlineStr">
        <is>
          <t>Month+1 Expiry</t>
        </is>
      </c>
      <c r="K1357" s="25" t="n">
        <v>377937</v>
      </c>
      <c r="L1357" s="26" t="n">
        <v>643.5972</v>
      </c>
      <c r="M1357" s="26" t="n">
        <v>4.1475</v>
      </c>
    </row>
    <row r="1358" ht="16" customHeight="1">
      <c r="A1358" t="inlineStr">
        <is>
          <t>18-Dec-2025</t>
        </is>
      </c>
      <c r="B1358" t="inlineStr">
        <is>
          <t>Thursday</t>
        </is>
      </c>
      <c r="C1358" t="inlineStr">
        <is>
          <t>Week3-Dec-2025</t>
        </is>
      </c>
      <c r="D1358" s="78" t="n">
        <v>45992</v>
      </c>
      <c r="E1358" t="inlineStr">
        <is>
          <t>Q3FY26</t>
        </is>
      </c>
      <c r="F1358" t="inlineStr">
        <is>
          <t>24-Feb-2026</t>
        </is>
      </c>
      <c r="G1358" t="inlineStr">
        <is>
          <t>Tuesday</t>
        </is>
      </c>
      <c r="H1358" t="inlineStr">
        <is>
          <t>Monthly - Tuesday</t>
        </is>
      </c>
      <c r="I1358" t="inlineStr">
        <is>
          <t>Monthly - Tuesday</t>
        </is>
      </c>
      <c r="J1358" t="inlineStr">
        <is>
          <t>Month+2 Expiry</t>
        </is>
      </c>
      <c r="K1358" s="25" t="n">
        <v>54614</v>
      </c>
      <c r="L1358" s="26" t="n">
        <v>93.88979999999999</v>
      </c>
      <c r="M1358" s="26" t="n">
        <v>0.9771</v>
      </c>
    </row>
    <row r="1359" ht="16" customHeight="1">
      <c r="A1359" t="inlineStr">
        <is>
          <t>18-Dec-2025</t>
        </is>
      </c>
      <c r="B1359" t="inlineStr">
        <is>
          <t>Thursday</t>
        </is>
      </c>
      <c r="C1359" t="inlineStr">
        <is>
          <t>Week3-Dec-2025</t>
        </is>
      </c>
      <c r="D1359" s="78" t="n">
        <v>45992</v>
      </c>
      <c r="E1359" t="inlineStr">
        <is>
          <t>Q3FY26</t>
        </is>
      </c>
      <c r="F1359" t="inlineStr">
        <is>
          <t>31-Mar-2026</t>
        </is>
      </c>
      <c r="G1359" t="inlineStr">
        <is>
          <t>Tuesday</t>
        </is>
      </c>
      <c r="H1359" t="inlineStr">
        <is>
          <t>Monthly - Tuesday</t>
        </is>
      </c>
      <c r="I1359" t="inlineStr">
        <is>
          <t>Monthly - Tuesday</t>
        </is>
      </c>
      <c r="J1359" t="inlineStr">
        <is>
          <t>Month+3 Expiry</t>
        </is>
      </c>
      <c r="K1359" s="25" t="n">
        <v>40194</v>
      </c>
      <c r="L1359" s="26" t="n">
        <v>78.795</v>
      </c>
      <c r="M1359" s="26" t="n">
        <v>1.0949</v>
      </c>
    </row>
    <row r="1360" ht="16" customHeight="1">
      <c r="A1360" t="inlineStr">
        <is>
          <t>18-Dec-2025</t>
        </is>
      </c>
      <c r="B1360" t="inlineStr">
        <is>
          <t>Thursday</t>
        </is>
      </c>
      <c r="C1360" t="inlineStr">
        <is>
          <t>Week3-Dec-2025</t>
        </is>
      </c>
      <c r="D1360" s="78" t="n">
        <v>45992</v>
      </c>
      <c r="E1360" t="inlineStr">
        <is>
          <t>Q3FY26</t>
        </is>
      </c>
      <c r="F1360" t="inlineStr">
        <is>
          <t>30-Jun-2026</t>
        </is>
      </c>
      <c r="G1360" t="inlineStr">
        <is>
          <t>Tuesday</t>
        </is>
      </c>
      <c r="H1360" t="inlineStr">
        <is>
          <t>Monthly - Tuesday</t>
        </is>
      </c>
      <c r="I1360" t="inlineStr">
        <is>
          <t>Monthly - Tuesday</t>
        </is>
      </c>
      <c r="J1360" t="inlineStr">
        <is>
          <t>Month+6 Expiry</t>
        </is>
      </c>
      <c r="K1360" s="25" t="n">
        <v>10340</v>
      </c>
      <c r="L1360" s="26" t="n">
        <v>20.7096</v>
      </c>
      <c r="M1360" s="26" t="n">
        <v>0.3323</v>
      </c>
    </row>
    <row r="1361" ht="16" customHeight="1">
      <c r="A1361" t="inlineStr">
        <is>
          <t>18-Dec-2025</t>
        </is>
      </c>
      <c r="B1361" t="inlineStr">
        <is>
          <t>Thursday</t>
        </is>
      </c>
      <c r="C1361" t="inlineStr">
        <is>
          <t>Week3-Dec-2025</t>
        </is>
      </c>
      <c r="D1361" s="78" t="n">
        <v>45992</v>
      </c>
      <c r="E1361" t="inlineStr">
        <is>
          <t>Q3FY26</t>
        </is>
      </c>
      <c r="F1361" t="inlineStr">
        <is>
          <t>29-Sep-2026</t>
        </is>
      </c>
      <c r="G1361" t="inlineStr">
        <is>
          <t>Tuesday</t>
        </is>
      </c>
      <c r="H1361" t="inlineStr">
        <is>
          <t>Monthly - Tuesday</t>
        </is>
      </c>
      <c r="I1361" t="inlineStr">
        <is>
          <t>Monthly - Tuesday</t>
        </is>
      </c>
      <c r="J1361" t="inlineStr">
        <is>
          <t>Month+9 Expiry</t>
        </is>
      </c>
      <c r="K1361" s="25" t="n">
        <v>84</v>
      </c>
      <c r="L1361" s="26" t="n">
        <v>0.1605</v>
      </c>
      <c r="M1361" s="26" t="n">
        <v>0.0023</v>
      </c>
    </row>
    <row r="1362" ht="16" customHeight="1">
      <c r="A1362" t="inlineStr">
        <is>
          <t>18-Dec-2025</t>
        </is>
      </c>
      <c r="B1362" t="inlineStr">
        <is>
          <t>Thursday</t>
        </is>
      </c>
      <c r="C1362" t="inlineStr">
        <is>
          <t>Week3-Dec-2025</t>
        </is>
      </c>
      <c r="D1362" s="78" t="n">
        <v>45992</v>
      </c>
      <c r="E1362" t="inlineStr">
        <is>
          <t>Q3FY26</t>
        </is>
      </c>
      <c r="F1362" t="inlineStr">
        <is>
          <t>29-Dec-2026</t>
        </is>
      </c>
      <c r="G1362" t="inlineStr">
        <is>
          <t>Tuesday</t>
        </is>
      </c>
      <c r="H1362" t="inlineStr">
        <is>
          <t>Monthly - Tuesday</t>
        </is>
      </c>
      <c r="I1362" t="inlineStr">
        <is>
          <t>Monthly - Tuesday</t>
        </is>
      </c>
      <c r="J1362" t="inlineStr">
        <is>
          <t>Month+12 Expiry</t>
        </is>
      </c>
      <c r="K1362" s="25" t="n">
        <v>4261</v>
      </c>
      <c r="L1362" s="26" t="n">
        <v>8.881600000000001</v>
      </c>
      <c r="M1362" s="26" t="n">
        <v>0.2881</v>
      </c>
    </row>
    <row r="1363" ht="16" customHeight="1">
      <c r="A1363" t="inlineStr">
        <is>
          <t>18-Dec-2025</t>
        </is>
      </c>
      <c r="B1363" t="inlineStr">
        <is>
          <t>Thursday</t>
        </is>
      </c>
      <c r="C1363" t="inlineStr">
        <is>
          <t>Week3-Dec-2025</t>
        </is>
      </c>
      <c r="D1363" s="78" t="n">
        <v>45992</v>
      </c>
      <c r="E1363" t="inlineStr">
        <is>
          <t>Q3FY26</t>
        </is>
      </c>
      <c r="F1363" t="inlineStr">
        <is>
          <t>29-Jun-2027</t>
        </is>
      </c>
      <c r="G1363" t="inlineStr">
        <is>
          <t>Tuesday</t>
        </is>
      </c>
      <c r="H1363" t="inlineStr">
        <is>
          <t>Monthly - Tuesday</t>
        </is>
      </c>
      <c r="I1363" t="inlineStr">
        <is>
          <t>Monthly - Tuesday</t>
        </is>
      </c>
      <c r="J1363" t="inlineStr">
        <is>
          <t>Month+18 Expiry</t>
        </is>
      </c>
      <c r="K1363" s="25" t="n">
        <v>0</v>
      </c>
      <c r="L1363" s="26" t="n">
        <v>0</v>
      </c>
      <c r="M1363" s="26" t="n">
        <v>0</v>
      </c>
    </row>
    <row r="1364" ht="16" customHeight="1">
      <c r="A1364" t="inlineStr">
        <is>
          <t>18-Dec-2025</t>
        </is>
      </c>
      <c r="B1364" t="inlineStr">
        <is>
          <t>Thursday</t>
        </is>
      </c>
      <c r="C1364" t="inlineStr">
        <is>
          <t>Week3-Dec-2025</t>
        </is>
      </c>
      <c r="D1364" s="78" t="n">
        <v>45992</v>
      </c>
      <c r="E1364" t="inlineStr">
        <is>
          <t>Q3FY26</t>
        </is>
      </c>
      <c r="F1364" t="inlineStr">
        <is>
          <t>28-Dec-2027</t>
        </is>
      </c>
      <c r="G1364" t="inlineStr">
        <is>
          <t>Tuesday</t>
        </is>
      </c>
      <c r="H1364" t="inlineStr">
        <is>
          <t>Monthly - Tuesday</t>
        </is>
      </c>
      <c r="I1364" t="inlineStr">
        <is>
          <t>Monthly - Tuesday</t>
        </is>
      </c>
      <c r="J1364" t="inlineStr">
        <is>
          <t>Month+24 Expiry</t>
        </is>
      </c>
      <c r="K1364" s="25" t="n">
        <v>29</v>
      </c>
      <c r="L1364" s="26" t="n">
        <v>0.0523</v>
      </c>
      <c r="M1364" s="26" t="n">
        <v>0.0012</v>
      </c>
    </row>
    <row r="1365" ht="16" customHeight="1">
      <c r="A1365" t="inlineStr">
        <is>
          <t>18-Dec-2025</t>
        </is>
      </c>
      <c r="B1365" t="inlineStr">
        <is>
          <t>Thursday</t>
        </is>
      </c>
      <c r="C1365" t="inlineStr">
        <is>
          <t>Week3-Dec-2025</t>
        </is>
      </c>
      <c r="D1365" s="78" t="n">
        <v>45992</v>
      </c>
      <c r="E1365" t="inlineStr">
        <is>
          <t>Q3FY26</t>
        </is>
      </c>
      <c r="F1365" t="inlineStr">
        <is>
          <t>27-Jun-2028</t>
        </is>
      </c>
      <c r="G1365" t="inlineStr">
        <is>
          <t>Tuesday</t>
        </is>
      </c>
      <c r="H1365" t="inlineStr">
        <is>
          <t>Monthly - Tuesday</t>
        </is>
      </c>
      <c r="I1365" t="inlineStr">
        <is>
          <t>Monthly - Tuesday</t>
        </is>
      </c>
      <c r="J1365" t="inlineStr">
        <is>
          <t>Month+30 Expiry</t>
        </is>
      </c>
      <c r="K1365" s="25" t="n">
        <v>0</v>
      </c>
      <c r="L1365" s="26" t="n">
        <v>0</v>
      </c>
      <c r="M1365" s="26" t="n">
        <v>0</v>
      </c>
    </row>
    <row r="1366" ht="16" customHeight="1">
      <c r="A1366" t="inlineStr">
        <is>
          <t>18-Dec-2025</t>
        </is>
      </c>
      <c r="B1366" t="inlineStr">
        <is>
          <t>Thursday</t>
        </is>
      </c>
      <c r="C1366" t="inlineStr">
        <is>
          <t>Week3-Dec-2025</t>
        </is>
      </c>
      <c r="D1366" s="78" t="n">
        <v>45992</v>
      </c>
      <c r="E1366" t="inlineStr">
        <is>
          <t>Q3FY26</t>
        </is>
      </c>
      <c r="F1366" t="inlineStr">
        <is>
          <t>26-Dec-2028</t>
        </is>
      </c>
      <c r="G1366" t="inlineStr">
        <is>
          <t>Tuesday</t>
        </is>
      </c>
      <c r="H1366" t="inlineStr">
        <is>
          <t>Monthly - Tuesday</t>
        </is>
      </c>
      <c r="I1366" t="inlineStr">
        <is>
          <t>Monthly - Tuesday</t>
        </is>
      </c>
      <c r="J1366" t="inlineStr">
        <is>
          <t>Month+36 Expiry</t>
        </is>
      </c>
      <c r="K1366" s="25" t="n">
        <v>0</v>
      </c>
      <c r="L1366" s="26" t="n">
        <v>0</v>
      </c>
      <c r="M1366" s="26" t="n">
        <v>0</v>
      </c>
    </row>
    <row r="1367" ht="16" customHeight="1">
      <c r="A1367" t="inlineStr">
        <is>
          <t>18-Dec-2025</t>
        </is>
      </c>
      <c r="B1367" t="inlineStr">
        <is>
          <t>Thursday</t>
        </is>
      </c>
      <c r="C1367" t="inlineStr">
        <is>
          <t>Week3-Dec-2025</t>
        </is>
      </c>
      <c r="D1367" s="78" t="n">
        <v>45992</v>
      </c>
      <c r="E1367" t="inlineStr">
        <is>
          <t>Q3FY26</t>
        </is>
      </c>
      <c r="F1367" t="inlineStr">
        <is>
          <t>26-Jun-2029</t>
        </is>
      </c>
      <c r="G1367" t="inlineStr">
        <is>
          <t>Tuesday</t>
        </is>
      </c>
      <c r="H1367" t="inlineStr">
        <is>
          <t>Monthly - Tuesday</t>
        </is>
      </c>
      <c r="I1367" t="inlineStr">
        <is>
          <t>Monthly - Tuesday</t>
        </is>
      </c>
      <c r="J1367" t="inlineStr">
        <is>
          <t>Month+42 Expiry</t>
        </is>
      </c>
      <c r="K1367" s="25" t="n">
        <v>0</v>
      </c>
      <c r="L1367" s="26" t="n">
        <v>0</v>
      </c>
      <c r="M1367" s="26" t="n">
        <v>0</v>
      </c>
    </row>
    <row r="1368" ht="16" customHeight="1">
      <c r="A1368" t="inlineStr">
        <is>
          <t>18-Dec-2025</t>
        </is>
      </c>
      <c r="B1368" t="inlineStr">
        <is>
          <t>Thursday</t>
        </is>
      </c>
      <c r="C1368" t="inlineStr">
        <is>
          <t>Week3-Dec-2025</t>
        </is>
      </c>
      <c r="D1368" s="78" t="n">
        <v>45992</v>
      </c>
      <c r="E1368" t="inlineStr">
        <is>
          <t>Q3FY26</t>
        </is>
      </c>
      <c r="F1368" t="inlineStr">
        <is>
          <t>24-Dec-2029</t>
        </is>
      </c>
      <c r="G1368" t="inlineStr">
        <is>
          <t>Monday</t>
        </is>
      </c>
      <c r="H1368" t="inlineStr">
        <is>
          <t>Weekly - Monday</t>
        </is>
      </c>
      <c r="I1368" t="inlineStr">
        <is>
          <t>Weekly - Monday</t>
        </is>
      </c>
      <c r="J1368" t="inlineStr">
        <is>
          <t>Month+48 Expiry</t>
        </is>
      </c>
      <c r="K1368" s="25" t="n">
        <v>0</v>
      </c>
      <c r="L1368" s="26" t="n">
        <v>0</v>
      </c>
      <c r="M1368" s="26" t="n">
        <v>0</v>
      </c>
    </row>
    <row r="1369" ht="16" customHeight="1">
      <c r="A1369" t="inlineStr">
        <is>
          <t>18-Dec-2025</t>
        </is>
      </c>
      <c r="B1369" t="inlineStr">
        <is>
          <t>Thursday</t>
        </is>
      </c>
      <c r="C1369" t="inlineStr">
        <is>
          <t>Week3-Dec-2025</t>
        </is>
      </c>
      <c r="D1369" s="78" t="n">
        <v>45992</v>
      </c>
      <c r="E1369" t="inlineStr">
        <is>
          <t>Q3FY26</t>
        </is>
      </c>
      <c r="F1369" t="inlineStr">
        <is>
          <t>25-Jun-2030</t>
        </is>
      </c>
      <c r="G1369" t="inlineStr">
        <is>
          <t>Tuesday</t>
        </is>
      </c>
      <c r="H1369" t="inlineStr">
        <is>
          <t>Monthly - Tuesday</t>
        </is>
      </c>
      <c r="I1369" t="inlineStr">
        <is>
          <t>Monthly - Tuesday</t>
        </is>
      </c>
      <c r="J1369" t="inlineStr">
        <is>
          <t>Month+54 Expiry</t>
        </is>
      </c>
      <c r="K1369" s="25" t="n">
        <v>0</v>
      </c>
      <c r="L1369" s="26" t="n">
        <v>0</v>
      </c>
      <c r="M1369" s="26" t="n">
        <v>0</v>
      </c>
    </row>
    <row r="1370" ht="16" customHeight="1">
      <c r="A1370" t="inlineStr">
        <is>
          <t>19-Dec-2025</t>
        </is>
      </c>
      <c r="B1370" t="inlineStr">
        <is>
          <t>Friday</t>
        </is>
      </c>
      <c r="C1370" t="inlineStr">
        <is>
          <t>Week3-Dec-2025</t>
        </is>
      </c>
      <c r="D1370" s="78" t="n">
        <v>45992</v>
      </c>
      <c r="E1370" t="inlineStr">
        <is>
          <t>Q3FY26</t>
        </is>
      </c>
      <c r="F1370" t="inlineStr">
        <is>
          <t>23-Dec-2025</t>
        </is>
      </c>
      <c r="G1370" t="inlineStr">
        <is>
          <t>Tuesday</t>
        </is>
      </c>
      <c r="H1370" t="inlineStr">
        <is>
          <t>Weekly - Tuesday</t>
        </is>
      </c>
      <c r="I1370" t="inlineStr">
        <is>
          <t>Weekly - Tuesday</t>
        </is>
      </c>
      <c r="J1370" t="inlineStr">
        <is>
          <t>Same Month Expiry</t>
        </is>
      </c>
      <c r="K1370" s="25" t="n">
        <v>78946464</v>
      </c>
      <c r="L1370" s="26" t="n">
        <v>153718.4883</v>
      </c>
      <c r="M1370" s="26" t="n">
        <v>327.1415</v>
      </c>
    </row>
    <row r="1371" ht="16" customHeight="1">
      <c r="A1371" t="inlineStr">
        <is>
          <t>19-Dec-2025</t>
        </is>
      </c>
      <c r="B1371" t="inlineStr">
        <is>
          <t>Friday</t>
        </is>
      </c>
      <c r="C1371" t="inlineStr">
        <is>
          <t>Week3-Dec-2025</t>
        </is>
      </c>
      <c r="D1371" s="78" t="n">
        <v>45992</v>
      </c>
      <c r="E1371" t="inlineStr">
        <is>
          <t>Q3FY26</t>
        </is>
      </c>
      <c r="F1371" t="inlineStr">
        <is>
          <t>30-Dec-2025</t>
        </is>
      </c>
      <c r="G1371" t="inlineStr">
        <is>
          <t>Tuesday</t>
        </is>
      </c>
      <c r="H1371" t="inlineStr">
        <is>
          <t>Monthly - Tuesday</t>
        </is>
      </c>
      <c r="I1371" t="inlineStr">
        <is>
          <t>Monthly - Tuesday</t>
        </is>
      </c>
      <c r="J1371" t="inlineStr">
        <is>
          <t>Same Month Expiry</t>
        </is>
      </c>
      <c r="K1371" s="25" t="n">
        <v>3708164</v>
      </c>
      <c r="L1371" s="26" t="n">
        <v>7233.1816</v>
      </c>
      <c r="M1371" s="26" t="n">
        <v>24.9816</v>
      </c>
    </row>
    <row r="1372" ht="16" customHeight="1">
      <c r="A1372" t="inlineStr">
        <is>
          <t>19-Dec-2025</t>
        </is>
      </c>
      <c r="B1372" t="inlineStr">
        <is>
          <t>Friday</t>
        </is>
      </c>
      <c r="C1372" t="inlineStr">
        <is>
          <t>Week3-Dec-2025</t>
        </is>
      </c>
      <c r="D1372" s="78" t="n">
        <v>45992</v>
      </c>
      <c r="E1372" t="inlineStr">
        <is>
          <t>Q3FY26</t>
        </is>
      </c>
      <c r="F1372" t="inlineStr">
        <is>
          <t>06-Jan-2026</t>
        </is>
      </c>
      <c r="G1372" t="inlineStr">
        <is>
          <t>Tuesday</t>
        </is>
      </c>
      <c r="H1372" t="inlineStr">
        <is>
          <t>Weekly - Tuesday</t>
        </is>
      </c>
      <c r="I1372" t="inlineStr">
        <is>
          <t>Weekly - Tuesday</t>
        </is>
      </c>
      <c r="J1372" t="inlineStr">
        <is>
          <t>Month+1 Expiry</t>
        </is>
      </c>
      <c r="K1372" s="25" t="n">
        <v>211809</v>
      </c>
      <c r="L1372" s="26" t="n">
        <v>360.3693</v>
      </c>
      <c r="M1372" s="26" t="n">
        <v>1.6069</v>
      </c>
    </row>
    <row r="1373" ht="16" customHeight="1">
      <c r="A1373" t="inlineStr">
        <is>
          <t>19-Dec-2025</t>
        </is>
      </c>
      <c r="B1373" t="inlineStr">
        <is>
          <t>Friday</t>
        </is>
      </c>
      <c r="C1373" t="inlineStr">
        <is>
          <t>Week3-Dec-2025</t>
        </is>
      </c>
      <c r="D1373" s="78" t="n">
        <v>45992</v>
      </c>
      <c r="E1373" t="inlineStr">
        <is>
          <t>Q3FY26</t>
        </is>
      </c>
      <c r="F1373" t="inlineStr">
        <is>
          <t>13-Jan-2026</t>
        </is>
      </c>
      <c r="G1373" t="inlineStr">
        <is>
          <t>Tuesday</t>
        </is>
      </c>
      <c r="H1373" t="inlineStr">
        <is>
          <t>Weekly - Tuesday</t>
        </is>
      </c>
      <c r="I1373" t="inlineStr">
        <is>
          <t>Weekly - Tuesday</t>
        </is>
      </c>
      <c r="J1373" t="inlineStr">
        <is>
          <t>Month+1 Expiry</t>
        </is>
      </c>
      <c r="K1373" s="25" t="n">
        <v>16901</v>
      </c>
      <c r="L1373" s="26" t="n">
        <v>28.7729</v>
      </c>
      <c r="M1373" s="26" t="n">
        <v>0.1722</v>
      </c>
    </row>
    <row r="1374" ht="16" customHeight="1">
      <c r="A1374" t="inlineStr">
        <is>
          <t>19-Dec-2025</t>
        </is>
      </c>
      <c r="B1374" t="inlineStr">
        <is>
          <t>Friday</t>
        </is>
      </c>
      <c r="C1374" t="inlineStr">
        <is>
          <t>Week3-Dec-2025</t>
        </is>
      </c>
      <c r="D1374" s="78" t="n">
        <v>45992</v>
      </c>
      <c r="E1374" t="inlineStr">
        <is>
          <t>Q3FY26</t>
        </is>
      </c>
      <c r="F1374" t="inlineStr">
        <is>
          <t>20-Jan-2026</t>
        </is>
      </c>
      <c r="G1374" t="inlineStr">
        <is>
          <t>Tuesday</t>
        </is>
      </c>
      <c r="H1374" t="inlineStr">
        <is>
          <t>Weekly - Tuesday</t>
        </is>
      </c>
      <c r="I1374" t="inlineStr">
        <is>
          <t>Weekly - Tuesday</t>
        </is>
      </c>
      <c r="J1374" t="inlineStr">
        <is>
          <t>Month+1 Expiry</t>
        </is>
      </c>
      <c r="K1374" s="25" t="n">
        <v>1080</v>
      </c>
      <c r="L1374" s="26" t="n">
        <v>1.8448</v>
      </c>
      <c r="M1374" s="26" t="n">
        <v>0.0182</v>
      </c>
    </row>
    <row r="1375" ht="16" customHeight="1">
      <c r="A1375" t="inlineStr">
        <is>
          <t>19-Dec-2025</t>
        </is>
      </c>
      <c r="B1375" t="inlineStr">
        <is>
          <t>Friday</t>
        </is>
      </c>
      <c r="C1375" t="inlineStr">
        <is>
          <t>Week3-Dec-2025</t>
        </is>
      </c>
      <c r="D1375" s="78" t="n">
        <v>45992</v>
      </c>
      <c r="E1375" t="inlineStr">
        <is>
          <t>Q3FY26</t>
        </is>
      </c>
      <c r="F1375" t="inlineStr">
        <is>
          <t>27-Jan-2026</t>
        </is>
      </c>
      <c r="G1375" t="inlineStr">
        <is>
          <t>Tuesday</t>
        </is>
      </c>
      <c r="H1375" t="inlineStr">
        <is>
          <t>Monthly - Tuesday</t>
        </is>
      </c>
      <c r="I1375" t="inlineStr">
        <is>
          <t>Monthly - Tuesday</t>
        </is>
      </c>
      <c r="J1375" t="inlineStr">
        <is>
          <t>Month+1 Expiry</t>
        </is>
      </c>
      <c r="K1375" s="25" t="n">
        <v>408119</v>
      </c>
      <c r="L1375" s="26" t="n">
        <v>693.1394</v>
      </c>
      <c r="M1375" s="26" t="n">
        <v>4.5079</v>
      </c>
    </row>
    <row r="1376" ht="16" customHeight="1">
      <c r="A1376" t="inlineStr">
        <is>
          <t>19-Dec-2025</t>
        </is>
      </c>
      <c r="B1376" t="inlineStr">
        <is>
          <t>Friday</t>
        </is>
      </c>
      <c r="C1376" t="inlineStr">
        <is>
          <t>Week3-Dec-2025</t>
        </is>
      </c>
      <c r="D1376" s="78" t="n">
        <v>45992</v>
      </c>
      <c r="E1376" t="inlineStr">
        <is>
          <t>Q3FY26</t>
        </is>
      </c>
      <c r="F1376" t="inlineStr">
        <is>
          <t>24-Feb-2026</t>
        </is>
      </c>
      <c r="G1376" t="inlineStr">
        <is>
          <t>Tuesday</t>
        </is>
      </c>
      <c r="H1376" t="inlineStr">
        <is>
          <t>Monthly - Tuesday</t>
        </is>
      </c>
      <c r="I1376" t="inlineStr">
        <is>
          <t>Monthly - Tuesday</t>
        </is>
      </c>
      <c r="J1376" t="inlineStr">
        <is>
          <t>Month+2 Expiry</t>
        </is>
      </c>
      <c r="K1376" s="25" t="n">
        <v>43013</v>
      </c>
      <c r="L1376" s="26" t="n">
        <v>73.2149</v>
      </c>
      <c r="M1376" s="26" t="n">
        <v>0.7161999999999999</v>
      </c>
    </row>
    <row r="1377" ht="16" customHeight="1">
      <c r="A1377" t="inlineStr">
        <is>
          <t>19-Dec-2025</t>
        </is>
      </c>
      <c r="B1377" t="inlineStr">
        <is>
          <t>Friday</t>
        </is>
      </c>
      <c r="C1377" t="inlineStr">
        <is>
          <t>Week3-Dec-2025</t>
        </is>
      </c>
      <c r="D1377" s="78" t="n">
        <v>45992</v>
      </c>
      <c r="E1377" t="inlineStr">
        <is>
          <t>Q3FY26</t>
        </is>
      </c>
      <c r="F1377" t="inlineStr">
        <is>
          <t>31-Mar-2026</t>
        </is>
      </c>
      <c r="G1377" t="inlineStr">
        <is>
          <t>Tuesday</t>
        </is>
      </c>
      <c r="H1377" t="inlineStr">
        <is>
          <t>Monthly - Tuesday</t>
        </is>
      </c>
      <c r="I1377" t="inlineStr">
        <is>
          <t>Monthly - Tuesday</t>
        </is>
      </c>
      <c r="J1377" t="inlineStr">
        <is>
          <t>Month+3 Expiry</t>
        </is>
      </c>
      <c r="K1377" s="25" t="n">
        <v>25179</v>
      </c>
      <c r="L1377" s="26" t="n">
        <v>50.1205</v>
      </c>
      <c r="M1377" s="26" t="n">
        <v>0.9449</v>
      </c>
    </row>
    <row r="1378" ht="16" customHeight="1">
      <c r="A1378" t="inlineStr">
        <is>
          <t>19-Dec-2025</t>
        </is>
      </c>
      <c r="B1378" t="inlineStr">
        <is>
          <t>Friday</t>
        </is>
      </c>
      <c r="C1378" t="inlineStr">
        <is>
          <t>Week3-Dec-2025</t>
        </is>
      </c>
      <c r="D1378" s="78" t="n">
        <v>45992</v>
      </c>
      <c r="E1378" t="inlineStr">
        <is>
          <t>Q3FY26</t>
        </is>
      </c>
      <c r="F1378" t="inlineStr">
        <is>
          <t>30-Jun-2026</t>
        </is>
      </c>
      <c r="G1378" t="inlineStr">
        <is>
          <t>Tuesday</t>
        </is>
      </c>
      <c r="H1378" t="inlineStr">
        <is>
          <t>Monthly - Tuesday</t>
        </is>
      </c>
      <c r="I1378" t="inlineStr">
        <is>
          <t>Monthly - Tuesday</t>
        </is>
      </c>
      <c r="J1378" t="inlineStr">
        <is>
          <t>Month+6 Expiry</t>
        </is>
      </c>
      <c r="K1378" s="25" t="n">
        <v>8385</v>
      </c>
      <c r="L1378" s="26" t="n">
        <v>16.8706</v>
      </c>
      <c r="M1378" s="26" t="n">
        <v>0.2926</v>
      </c>
    </row>
    <row r="1379" ht="16" customHeight="1">
      <c r="A1379" t="inlineStr">
        <is>
          <t>19-Dec-2025</t>
        </is>
      </c>
      <c r="B1379" t="inlineStr">
        <is>
          <t>Friday</t>
        </is>
      </c>
      <c r="C1379" t="inlineStr">
        <is>
          <t>Week3-Dec-2025</t>
        </is>
      </c>
      <c r="D1379" s="78" t="n">
        <v>45992</v>
      </c>
      <c r="E1379" t="inlineStr">
        <is>
          <t>Q3FY26</t>
        </is>
      </c>
      <c r="F1379" t="inlineStr">
        <is>
          <t>29-Sep-2026</t>
        </is>
      </c>
      <c r="G1379" t="inlineStr">
        <is>
          <t>Tuesday</t>
        </is>
      </c>
      <c r="H1379" t="inlineStr">
        <is>
          <t>Monthly - Tuesday</t>
        </is>
      </c>
      <c r="I1379" t="inlineStr">
        <is>
          <t>Monthly - Tuesday</t>
        </is>
      </c>
      <c r="J1379" t="inlineStr">
        <is>
          <t>Month+9 Expiry</t>
        </is>
      </c>
      <c r="K1379" s="25" t="n">
        <v>106</v>
      </c>
      <c r="L1379" s="26" t="n">
        <v>0.2023</v>
      </c>
      <c r="M1379" s="26" t="n">
        <v>0.0028</v>
      </c>
    </row>
    <row r="1380" ht="16" customHeight="1">
      <c r="A1380" t="inlineStr">
        <is>
          <t>19-Dec-2025</t>
        </is>
      </c>
      <c r="B1380" t="inlineStr">
        <is>
          <t>Friday</t>
        </is>
      </c>
      <c r="C1380" t="inlineStr">
        <is>
          <t>Week3-Dec-2025</t>
        </is>
      </c>
      <c r="D1380" s="78" t="n">
        <v>45992</v>
      </c>
      <c r="E1380" t="inlineStr">
        <is>
          <t>Q3FY26</t>
        </is>
      </c>
      <c r="F1380" t="inlineStr">
        <is>
          <t>29-Dec-2026</t>
        </is>
      </c>
      <c r="G1380" t="inlineStr">
        <is>
          <t>Tuesday</t>
        </is>
      </c>
      <c r="H1380" t="inlineStr">
        <is>
          <t>Monthly - Tuesday</t>
        </is>
      </c>
      <c r="I1380" t="inlineStr">
        <is>
          <t>Monthly - Tuesday</t>
        </is>
      </c>
      <c r="J1380" t="inlineStr">
        <is>
          <t>Month+12 Expiry</t>
        </is>
      </c>
      <c r="K1380" s="25" t="n">
        <v>5017</v>
      </c>
      <c r="L1380" s="26" t="n">
        <v>10.3906</v>
      </c>
      <c r="M1380" s="26" t="n">
        <v>0.325</v>
      </c>
    </row>
    <row r="1381" ht="16" customHeight="1">
      <c r="A1381" t="inlineStr">
        <is>
          <t>19-Dec-2025</t>
        </is>
      </c>
      <c r="B1381" t="inlineStr">
        <is>
          <t>Friday</t>
        </is>
      </c>
      <c r="C1381" t="inlineStr">
        <is>
          <t>Week3-Dec-2025</t>
        </is>
      </c>
      <c r="D1381" s="78" t="n">
        <v>45992</v>
      </c>
      <c r="E1381" t="inlineStr">
        <is>
          <t>Q3FY26</t>
        </is>
      </c>
      <c r="F1381" t="inlineStr">
        <is>
          <t>29-Jun-2027</t>
        </is>
      </c>
      <c r="G1381" t="inlineStr">
        <is>
          <t>Tuesday</t>
        </is>
      </c>
      <c r="H1381" t="inlineStr">
        <is>
          <t>Monthly - Tuesday</t>
        </is>
      </c>
      <c r="I1381" t="inlineStr">
        <is>
          <t>Monthly - Tuesday</t>
        </is>
      </c>
      <c r="J1381" t="inlineStr">
        <is>
          <t>Month+18 Expiry</t>
        </is>
      </c>
      <c r="K1381" s="25" t="n">
        <v>0</v>
      </c>
      <c r="L1381" s="26" t="n">
        <v>0</v>
      </c>
      <c r="M1381" s="26" t="n">
        <v>0</v>
      </c>
    </row>
    <row r="1382" ht="16" customHeight="1">
      <c r="A1382" t="inlineStr">
        <is>
          <t>19-Dec-2025</t>
        </is>
      </c>
      <c r="B1382" t="inlineStr">
        <is>
          <t>Friday</t>
        </is>
      </c>
      <c r="C1382" t="inlineStr">
        <is>
          <t>Week3-Dec-2025</t>
        </is>
      </c>
      <c r="D1382" s="78" t="n">
        <v>45992</v>
      </c>
      <c r="E1382" t="inlineStr">
        <is>
          <t>Q3FY26</t>
        </is>
      </c>
      <c r="F1382" t="inlineStr">
        <is>
          <t>28-Dec-2027</t>
        </is>
      </c>
      <c r="G1382" t="inlineStr">
        <is>
          <t>Tuesday</t>
        </is>
      </c>
      <c r="H1382" t="inlineStr">
        <is>
          <t>Monthly - Tuesday</t>
        </is>
      </c>
      <c r="I1382" t="inlineStr">
        <is>
          <t>Monthly - Tuesday</t>
        </is>
      </c>
      <c r="J1382" t="inlineStr">
        <is>
          <t>Month+24 Expiry</t>
        </is>
      </c>
      <c r="K1382" s="25" t="n">
        <v>7</v>
      </c>
      <c r="L1382" s="26" t="n">
        <v>0.0147</v>
      </c>
      <c r="M1382" s="26" t="n">
        <v>0.0012</v>
      </c>
    </row>
    <row r="1383" ht="16" customHeight="1">
      <c r="A1383" t="inlineStr">
        <is>
          <t>19-Dec-2025</t>
        </is>
      </c>
      <c r="B1383" t="inlineStr">
        <is>
          <t>Friday</t>
        </is>
      </c>
      <c r="C1383" t="inlineStr">
        <is>
          <t>Week3-Dec-2025</t>
        </is>
      </c>
      <c r="D1383" s="78" t="n">
        <v>45992</v>
      </c>
      <c r="E1383" t="inlineStr">
        <is>
          <t>Q3FY26</t>
        </is>
      </c>
      <c r="F1383" t="inlineStr">
        <is>
          <t>27-Jun-2028</t>
        </is>
      </c>
      <c r="G1383" t="inlineStr">
        <is>
          <t>Tuesday</t>
        </is>
      </c>
      <c r="H1383" t="inlineStr">
        <is>
          <t>Monthly - Tuesday</t>
        </is>
      </c>
      <c r="I1383" t="inlineStr">
        <is>
          <t>Monthly - Tuesday</t>
        </is>
      </c>
      <c r="J1383" t="inlineStr">
        <is>
          <t>Month+30 Expiry</t>
        </is>
      </c>
      <c r="K1383" s="25" t="n">
        <v>0</v>
      </c>
      <c r="L1383" s="26" t="n">
        <v>0</v>
      </c>
      <c r="M1383" s="26" t="n">
        <v>0</v>
      </c>
    </row>
    <row r="1384" ht="16" customHeight="1">
      <c r="A1384" t="inlineStr">
        <is>
          <t>19-Dec-2025</t>
        </is>
      </c>
      <c r="B1384" t="inlineStr">
        <is>
          <t>Friday</t>
        </is>
      </c>
      <c r="C1384" t="inlineStr">
        <is>
          <t>Week3-Dec-2025</t>
        </is>
      </c>
      <c r="D1384" s="78" t="n">
        <v>45992</v>
      </c>
      <c r="E1384" t="inlineStr">
        <is>
          <t>Q3FY26</t>
        </is>
      </c>
      <c r="F1384" t="inlineStr">
        <is>
          <t>26-Dec-2028</t>
        </is>
      </c>
      <c r="G1384" t="inlineStr">
        <is>
          <t>Tuesday</t>
        </is>
      </c>
      <c r="H1384" t="inlineStr">
        <is>
          <t>Monthly - Tuesday</t>
        </is>
      </c>
      <c r="I1384" t="inlineStr">
        <is>
          <t>Monthly - Tuesday</t>
        </is>
      </c>
      <c r="J1384" t="inlineStr">
        <is>
          <t>Month+36 Expiry</t>
        </is>
      </c>
      <c r="K1384" s="25" t="n">
        <v>6</v>
      </c>
      <c r="L1384" s="26" t="n">
        <v>0.0121</v>
      </c>
      <c r="M1384" s="26" t="n">
        <v>0.0005</v>
      </c>
    </row>
    <row r="1385" ht="16" customHeight="1">
      <c r="A1385" t="inlineStr">
        <is>
          <t>19-Dec-2025</t>
        </is>
      </c>
      <c r="B1385" t="inlineStr">
        <is>
          <t>Friday</t>
        </is>
      </c>
      <c r="C1385" t="inlineStr">
        <is>
          <t>Week3-Dec-2025</t>
        </is>
      </c>
      <c r="D1385" s="78" t="n">
        <v>45992</v>
      </c>
      <c r="E1385" t="inlineStr">
        <is>
          <t>Q3FY26</t>
        </is>
      </c>
      <c r="F1385" t="inlineStr">
        <is>
          <t>26-Jun-2029</t>
        </is>
      </c>
      <c r="G1385" t="inlineStr">
        <is>
          <t>Tuesday</t>
        </is>
      </c>
      <c r="H1385" t="inlineStr">
        <is>
          <t>Monthly - Tuesday</t>
        </is>
      </c>
      <c r="I1385" t="inlineStr">
        <is>
          <t>Monthly - Tuesday</t>
        </is>
      </c>
      <c r="J1385" t="inlineStr">
        <is>
          <t>Month+42 Expiry</t>
        </is>
      </c>
      <c r="K1385" s="25" t="n">
        <v>0</v>
      </c>
      <c r="L1385" s="26" t="n">
        <v>0</v>
      </c>
      <c r="M1385" s="26" t="n">
        <v>0</v>
      </c>
    </row>
    <row r="1386" ht="16" customHeight="1">
      <c r="A1386" t="inlineStr">
        <is>
          <t>19-Dec-2025</t>
        </is>
      </c>
      <c r="B1386" t="inlineStr">
        <is>
          <t>Friday</t>
        </is>
      </c>
      <c r="C1386" t="inlineStr">
        <is>
          <t>Week3-Dec-2025</t>
        </is>
      </c>
      <c r="D1386" s="78" t="n">
        <v>45992</v>
      </c>
      <c r="E1386" t="inlineStr">
        <is>
          <t>Q3FY26</t>
        </is>
      </c>
      <c r="F1386" t="inlineStr">
        <is>
          <t>24-Dec-2029</t>
        </is>
      </c>
      <c r="G1386" t="inlineStr">
        <is>
          <t>Monday</t>
        </is>
      </c>
      <c r="H1386" t="inlineStr">
        <is>
          <t>Weekly - Monday</t>
        </is>
      </c>
      <c r="I1386" t="inlineStr">
        <is>
          <t>Weekly - Monday</t>
        </is>
      </c>
      <c r="J1386" t="inlineStr">
        <is>
          <t>Month+48 Expiry</t>
        </is>
      </c>
      <c r="K1386" s="25" t="n">
        <v>0</v>
      </c>
      <c r="L1386" s="26" t="n">
        <v>0</v>
      </c>
      <c r="M1386" s="26" t="n">
        <v>0</v>
      </c>
    </row>
    <row r="1387" ht="16" customHeight="1">
      <c r="A1387" t="inlineStr">
        <is>
          <t>19-Dec-2025</t>
        </is>
      </c>
      <c r="B1387" t="inlineStr">
        <is>
          <t>Friday</t>
        </is>
      </c>
      <c r="C1387" t="inlineStr">
        <is>
          <t>Week3-Dec-2025</t>
        </is>
      </c>
      <c r="D1387" s="78" t="n">
        <v>45992</v>
      </c>
      <c r="E1387" t="inlineStr">
        <is>
          <t>Q3FY26</t>
        </is>
      </c>
      <c r="F1387" t="inlineStr">
        <is>
          <t>25-Jun-2030</t>
        </is>
      </c>
      <c r="G1387" t="inlineStr">
        <is>
          <t>Tuesday</t>
        </is>
      </c>
      <c r="H1387" t="inlineStr">
        <is>
          <t>Monthly - Tuesday</t>
        </is>
      </c>
      <c r="I1387" t="inlineStr">
        <is>
          <t>Monthly - Tuesday</t>
        </is>
      </c>
      <c r="J1387" t="inlineStr">
        <is>
          <t>Month+54 Expiry</t>
        </is>
      </c>
      <c r="K1387" s="25" t="n">
        <v>0</v>
      </c>
      <c r="L1387" s="26" t="n">
        <v>0</v>
      </c>
      <c r="M1387" s="26" t="n">
        <v>0</v>
      </c>
    </row>
    <row r="1388" ht="16" customHeight="1">
      <c r="A1388" t="inlineStr">
        <is>
          <t>22-Dec-2025</t>
        </is>
      </c>
      <c r="B1388" t="inlineStr">
        <is>
          <t>Monday</t>
        </is>
      </c>
      <c r="C1388" t="inlineStr">
        <is>
          <t>Week4-Dec-2025</t>
        </is>
      </c>
      <c r="D1388" s="78" t="n">
        <v>45992</v>
      </c>
      <c r="E1388" t="inlineStr">
        <is>
          <t>Q3FY26</t>
        </is>
      </c>
      <c r="F1388" t="inlineStr">
        <is>
          <t>23-Dec-2025</t>
        </is>
      </c>
      <c r="G1388" t="inlineStr">
        <is>
          <t>Tuesday</t>
        </is>
      </c>
      <c r="H1388" t="inlineStr">
        <is>
          <t>Weekly - Tuesday</t>
        </is>
      </c>
      <c r="I1388" t="inlineStr">
        <is>
          <t>Weekly - Tuesday</t>
        </is>
      </c>
      <c r="J1388" t="inlineStr">
        <is>
          <t>Same Month Expiry</t>
        </is>
      </c>
      <c r="K1388" s="25" t="n">
        <v>76937483</v>
      </c>
      <c r="L1388" s="26" t="n">
        <v>150442.8758</v>
      </c>
      <c r="M1388" s="26" t="n">
        <v>229.3185</v>
      </c>
    </row>
    <row r="1389" ht="16" customHeight="1">
      <c r="A1389" t="inlineStr">
        <is>
          <t>22-Dec-2025</t>
        </is>
      </c>
      <c r="B1389" t="inlineStr">
        <is>
          <t>Monday</t>
        </is>
      </c>
      <c r="C1389" t="inlineStr">
        <is>
          <t>Week4-Dec-2025</t>
        </is>
      </c>
      <c r="D1389" s="78" t="n">
        <v>45992</v>
      </c>
      <c r="E1389" t="inlineStr">
        <is>
          <t>Q3FY26</t>
        </is>
      </c>
      <c r="F1389" t="inlineStr">
        <is>
          <t>30-Dec-2025</t>
        </is>
      </c>
      <c r="G1389" t="inlineStr">
        <is>
          <t>Tuesday</t>
        </is>
      </c>
      <c r="H1389" t="inlineStr">
        <is>
          <t>Monthly - Tuesday</t>
        </is>
      </c>
      <c r="I1389" t="inlineStr">
        <is>
          <t>Monthly - Tuesday</t>
        </is>
      </c>
      <c r="J1389" t="inlineStr">
        <is>
          <t>Same Month Expiry</t>
        </is>
      </c>
      <c r="K1389" s="25" t="n">
        <v>4819612</v>
      </c>
      <c r="L1389" s="26" t="n">
        <v>9424.1477</v>
      </c>
      <c r="M1389" s="26" t="n">
        <v>27.9677</v>
      </c>
    </row>
    <row r="1390" ht="16" customHeight="1">
      <c r="A1390" t="inlineStr">
        <is>
          <t>22-Dec-2025</t>
        </is>
      </c>
      <c r="B1390" t="inlineStr">
        <is>
          <t>Monday</t>
        </is>
      </c>
      <c r="C1390" t="inlineStr">
        <is>
          <t>Week4-Dec-2025</t>
        </is>
      </c>
      <c r="D1390" s="78" t="n">
        <v>45992</v>
      </c>
      <c r="E1390" t="inlineStr">
        <is>
          <t>Q3FY26</t>
        </is>
      </c>
      <c r="F1390" t="inlineStr">
        <is>
          <t>06-Jan-2026</t>
        </is>
      </c>
      <c r="G1390" t="inlineStr">
        <is>
          <t>Tuesday</t>
        </is>
      </c>
      <c r="H1390" t="inlineStr">
        <is>
          <t>Weekly - Tuesday</t>
        </is>
      </c>
      <c r="I1390" t="inlineStr">
        <is>
          <t>Weekly - Tuesday</t>
        </is>
      </c>
      <c r="J1390" t="inlineStr">
        <is>
          <t>Month+1 Expiry</t>
        </is>
      </c>
      <c r="K1390" s="25" t="n">
        <v>426880</v>
      </c>
      <c r="L1390" s="26" t="n">
        <v>729.2762</v>
      </c>
      <c r="M1390" s="26" t="n">
        <v>3.4772</v>
      </c>
    </row>
    <row r="1391" ht="16" customHeight="1">
      <c r="A1391" t="inlineStr">
        <is>
          <t>22-Dec-2025</t>
        </is>
      </c>
      <c r="B1391" t="inlineStr">
        <is>
          <t>Monday</t>
        </is>
      </c>
      <c r="C1391" t="inlineStr">
        <is>
          <t>Week4-Dec-2025</t>
        </is>
      </c>
      <c r="D1391" s="78" t="n">
        <v>45992</v>
      </c>
      <c r="E1391" t="inlineStr">
        <is>
          <t>Q3FY26</t>
        </is>
      </c>
      <c r="F1391" t="inlineStr">
        <is>
          <t>13-Jan-2026</t>
        </is>
      </c>
      <c r="G1391" t="inlineStr">
        <is>
          <t>Tuesday</t>
        </is>
      </c>
      <c r="H1391" t="inlineStr">
        <is>
          <t>Weekly - Tuesday</t>
        </is>
      </c>
      <c r="I1391" t="inlineStr">
        <is>
          <t>Weekly - Tuesday</t>
        </is>
      </c>
      <c r="J1391" t="inlineStr">
        <is>
          <t>Month+1 Expiry</t>
        </is>
      </c>
      <c r="K1391" s="25" t="n">
        <v>27521</v>
      </c>
      <c r="L1391" s="26" t="n">
        <v>47.0498</v>
      </c>
      <c r="M1391" s="26" t="n">
        <v>0.2519</v>
      </c>
    </row>
    <row r="1392" ht="16" customHeight="1">
      <c r="A1392" t="inlineStr">
        <is>
          <t>22-Dec-2025</t>
        </is>
      </c>
      <c r="B1392" t="inlineStr">
        <is>
          <t>Monday</t>
        </is>
      </c>
      <c r="C1392" t="inlineStr">
        <is>
          <t>Week4-Dec-2025</t>
        </is>
      </c>
      <c r="D1392" s="78" t="n">
        <v>45992</v>
      </c>
      <c r="E1392" t="inlineStr">
        <is>
          <t>Q3FY26</t>
        </is>
      </c>
      <c r="F1392" t="inlineStr">
        <is>
          <t>20-Jan-2026</t>
        </is>
      </c>
      <c r="G1392" t="inlineStr">
        <is>
          <t>Tuesday</t>
        </is>
      </c>
      <c r="H1392" t="inlineStr">
        <is>
          <t>Weekly - Tuesday</t>
        </is>
      </c>
      <c r="I1392" t="inlineStr">
        <is>
          <t>Weekly - Tuesday</t>
        </is>
      </c>
      <c r="J1392" t="inlineStr">
        <is>
          <t>Month+1 Expiry</t>
        </is>
      </c>
      <c r="K1392" s="25" t="n">
        <v>1882</v>
      </c>
      <c r="L1392" s="26" t="n">
        <v>3.2104</v>
      </c>
      <c r="M1392" s="26" t="n">
        <v>0.0279</v>
      </c>
    </row>
    <row r="1393" ht="16" customHeight="1">
      <c r="A1393" t="inlineStr">
        <is>
          <t>22-Dec-2025</t>
        </is>
      </c>
      <c r="B1393" t="inlineStr">
        <is>
          <t>Monday</t>
        </is>
      </c>
      <c r="C1393" t="inlineStr">
        <is>
          <t>Week4-Dec-2025</t>
        </is>
      </c>
      <c r="D1393" s="78" t="n">
        <v>45992</v>
      </c>
      <c r="E1393" t="inlineStr">
        <is>
          <t>Q3FY26</t>
        </is>
      </c>
      <c r="F1393" t="inlineStr">
        <is>
          <t>27-Jan-2026</t>
        </is>
      </c>
      <c r="G1393" t="inlineStr">
        <is>
          <t>Tuesday</t>
        </is>
      </c>
      <c r="H1393" t="inlineStr">
        <is>
          <t>Monthly - Tuesday</t>
        </is>
      </c>
      <c r="I1393" t="inlineStr">
        <is>
          <t>Monthly - Tuesday</t>
        </is>
      </c>
      <c r="J1393" t="inlineStr">
        <is>
          <t>Month+1 Expiry</t>
        </is>
      </c>
      <c r="K1393" s="25" t="n">
        <v>506514</v>
      </c>
      <c r="L1393" s="26" t="n">
        <v>864.3138</v>
      </c>
      <c r="M1393" s="26" t="n">
        <v>5.9324</v>
      </c>
    </row>
    <row r="1394" ht="16" customHeight="1">
      <c r="A1394" t="inlineStr">
        <is>
          <t>22-Dec-2025</t>
        </is>
      </c>
      <c r="B1394" t="inlineStr">
        <is>
          <t>Monday</t>
        </is>
      </c>
      <c r="C1394" t="inlineStr">
        <is>
          <t>Week4-Dec-2025</t>
        </is>
      </c>
      <c r="D1394" s="78" t="n">
        <v>45992</v>
      </c>
      <c r="E1394" t="inlineStr">
        <is>
          <t>Q3FY26</t>
        </is>
      </c>
      <c r="F1394" t="inlineStr">
        <is>
          <t>24-Feb-2026</t>
        </is>
      </c>
      <c r="G1394" t="inlineStr">
        <is>
          <t>Tuesday</t>
        </is>
      </c>
      <c r="H1394" t="inlineStr">
        <is>
          <t>Monthly - Tuesday</t>
        </is>
      </c>
      <c r="I1394" t="inlineStr">
        <is>
          <t>Monthly - Tuesday</t>
        </is>
      </c>
      <c r="J1394" t="inlineStr">
        <is>
          <t>Month+2 Expiry</t>
        </is>
      </c>
      <c r="K1394" s="25" t="n">
        <v>70128</v>
      </c>
      <c r="L1394" s="26" t="n">
        <v>119.9811</v>
      </c>
      <c r="M1394" s="26" t="n">
        <v>1.1073</v>
      </c>
    </row>
    <row r="1395" ht="16" customHeight="1">
      <c r="A1395" t="inlineStr">
        <is>
          <t>22-Dec-2025</t>
        </is>
      </c>
      <c r="B1395" t="inlineStr">
        <is>
          <t>Monday</t>
        </is>
      </c>
      <c r="C1395" t="inlineStr">
        <is>
          <t>Week4-Dec-2025</t>
        </is>
      </c>
      <c r="D1395" s="78" t="n">
        <v>45992</v>
      </c>
      <c r="E1395" t="inlineStr">
        <is>
          <t>Q3FY26</t>
        </is>
      </c>
      <c r="F1395" t="inlineStr">
        <is>
          <t>31-Mar-2026</t>
        </is>
      </c>
      <c r="G1395" t="inlineStr">
        <is>
          <t>Tuesday</t>
        </is>
      </c>
      <c r="H1395" t="inlineStr">
        <is>
          <t>Monthly - Tuesday</t>
        </is>
      </c>
      <c r="I1395" t="inlineStr">
        <is>
          <t>Monthly - Tuesday</t>
        </is>
      </c>
      <c r="J1395" t="inlineStr">
        <is>
          <t>Month+3 Expiry</t>
        </is>
      </c>
      <c r="K1395" s="25" t="n">
        <v>48242</v>
      </c>
      <c r="L1395" s="26" t="n">
        <v>94.88200000000001</v>
      </c>
      <c r="M1395" s="26" t="n">
        <v>1.6303</v>
      </c>
    </row>
    <row r="1396" ht="16" customHeight="1">
      <c r="A1396" t="inlineStr">
        <is>
          <t>22-Dec-2025</t>
        </is>
      </c>
      <c r="B1396" t="inlineStr">
        <is>
          <t>Monday</t>
        </is>
      </c>
      <c r="C1396" t="inlineStr">
        <is>
          <t>Week4-Dec-2025</t>
        </is>
      </c>
      <c r="D1396" s="78" t="n">
        <v>45992</v>
      </c>
      <c r="E1396" t="inlineStr">
        <is>
          <t>Q3FY26</t>
        </is>
      </c>
      <c r="F1396" t="inlineStr">
        <is>
          <t>30-Jun-2026</t>
        </is>
      </c>
      <c r="G1396" t="inlineStr">
        <is>
          <t>Tuesday</t>
        </is>
      </c>
      <c r="H1396" t="inlineStr">
        <is>
          <t>Monthly - Tuesday</t>
        </is>
      </c>
      <c r="I1396" t="inlineStr">
        <is>
          <t>Monthly - Tuesday</t>
        </is>
      </c>
      <c r="J1396" t="inlineStr">
        <is>
          <t>Month+6 Expiry</t>
        </is>
      </c>
      <c r="K1396" s="25" t="n">
        <v>16647</v>
      </c>
      <c r="L1396" s="26" t="n">
        <v>33.2492</v>
      </c>
      <c r="M1396" s="26" t="n">
        <v>0.551</v>
      </c>
    </row>
    <row r="1397" ht="16" customHeight="1">
      <c r="A1397" t="inlineStr">
        <is>
          <t>22-Dec-2025</t>
        </is>
      </c>
      <c r="B1397" t="inlineStr">
        <is>
          <t>Monday</t>
        </is>
      </c>
      <c r="C1397" t="inlineStr">
        <is>
          <t>Week4-Dec-2025</t>
        </is>
      </c>
      <c r="D1397" s="78" t="n">
        <v>45992</v>
      </c>
      <c r="E1397" t="inlineStr">
        <is>
          <t>Q3FY26</t>
        </is>
      </c>
      <c r="F1397" t="inlineStr">
        <is>
          <t>29-Sep-2026</t>
        </is>
      </c>
      <c r="G1397" t="inlineStr">
        <is>
          <t>Tuesday</t>
        </is>
      </c>
      <c r="H1397" t="inlineStr">
        <is>
          <t>Monthly - Tuesday</t>
        </is>
      </c>
      <c r="I1397" t="inlineStr">
        <is>
          <t>Monthly - Tuesday</t>
        </is>
      </c>
      <c r="J1397" t="inlineStr">
        <is>
          <t>Month+9 Expiry</t>
        </is>
      </c>
      <c r="K1397" s="25" t="n">
        <v>280</v>
      </c>
      <c r="L1397" s="26" t="n">
        <v>0.5339</v>
      </c>
      <c r="M1397" s="26" t="n">
        <v>0.007</v>
      </c>
    </row>
    <row r="1398" ht="16" customHeight="1">
      <c r="A1398" t="inlineStr">
        <is>
          <t>22-Dec-2025</t>
        </is>
      </c>
      <c r="B1398" t="inlineStr">
        <is>
          <t>Monday</t>
        </is>
      </c>
      <c r="C1398" t="inlineStr">
        <is>
          <t>Week4-Dec-2025</t>
        </is>
      </c>
      <c r="D1398" s="78" t="n">
        <v>45992</v>
      </c>
      <c r="E1398" t="inlineStr">
        <is>
          <t>Q3FY26</t>
        </is>
      </c>
      <c r="F1398" t="inlineStr">
        <is>
          <t>29-Dec-2026</t>
        </is>
      </c>
      <c r="G1398" t="inlineStr">
        <is>
          <t>Tuesday</t>
        </is>
      </c>
      <c r="H1398" t="inlineStr">
        <is>
          <t>Monthly - Tuesday</t>
        </is>
      </c>
      <c r="I1398" t="inlineStr">
        <is>
          <t>Monthly - Tuesday</t>
        </is>
      </c>
      <c r="J1398" t="inlineStr">
        <is>
          <t>Month+12 Expiry</t>
        </is>
      </c>
      <c r="K1398" s="25" t="n">
        <v>4681</v>
      </c>
      <c r="L1398" s="26" t="n">
        <v>9.6439</v>
      </c>
      <c r="M1398" s="26" t="n">
        <v>0.3038</v>
      </c>
    </row>
    <row r="1399" ht="16" customHeight="1">
      <c r="A1399" t="inlineStr">
        <is>
          <t>22-Dec-2025</t>
        </is>
      </c>
      <c r="B1399" t="inlineStr">
        <is>
          <t>Monday</t>
        </is>
      </c>
      <c r="C1399" t="inlineStr">
        <is>
          <t>Week4-Dec-2025</t>
        </is>
      </c>
      <c r="D1399" s="78" t="n">
        <v>45992</v>
      </c>
      <c r="E1399" t="inlineStr">
        <is>
          <t>Q3FY26</t>
        </is>
      </c>
      <c r="F1399" t="inlineStr">
        <is>
          <t>29-Jun-2027</t>
        </is>
      </c>
      <c r="G1399" t="inlineStr">
        <is>
          <t>Tuesday</t>
        </is>
      </c>
      <c r="H1399" t="inlineStr">
        <is>
          <t>Monthly - Tuesday</t>
        </is>
      </c>
      <c r="I1399" t="inlineStr">
        <is>
          <t>Monthly - Tuesday</t>
        </is>
      </c>
      <c r="J1399" t="inlineStr">
        <is>
          <t>Month+18 Expiry</t>
        </is>
      </c>
      <c r="K1399" s="25" t="n">
        <v>0</v>
      </c>
      <c r="L1399" s="26" t="n">
        <v>0</v>
      </c>
      <c r="M1399" s="26" t="n">
        <v>0</v>
      </c>
    </row>
    <row r="1400" ht="16" customHeight="1">
      <c r="A1400" t="inlineStr">
        <is>
          <t>22-Dec-2025</t>
        </is>
      </c>
      <c r="B1400" t="inlineStr">
        <is>
          <t>Monday</t>
        </is>
      </c>
      <c r="C1400" t="inlineStr">
        <is>
          <t>Week4-Dec-2025</t>
        </is>
      </c>
      <c r="D1400" s="78" t="n">
        <v>45992</v>
      </c>
      <c r="E1400" t="inlineStr">
        <is>
          <t>Q3FY26</t>
        </is>
      </c>
      <c r="F1400" t="inlineStr">
        <is>
          <t>28-Dec-2027</t>
        </is>
      </c>
      <c r="G1400" t="inlineStr">
        <is>
          <t>Tuesday</t>
        </is>
      </c>
      <c r="H1400" t="inlineStr">
        <is>
          <t>Monthly - Tuesday</t>
        </is>
      </c>
      <c r="I1400" t="inlineStr">
        <is>
          <t>Monthly - Tuesday</t>
        </is>
      </c>
      <c r="J1400" t="inlineStr">
        <is>
          <t>Month+24 Expiry</t>
        </is>
      </c>
      <c r="K1400" s="25" t="n">
        <v>17</v>
      </c>
      <c r="L1400" s="26" t="n">
        <v>0.0324</v>
      </c>
      <c r="M1400" s="26" t="n">
        <v>0.0011</v>
      </c>
    </row>
    <row r="1401" ht="16" customHeight="1">
      <c r="A1401" t="inlineStr">
        <is>
          <t>22-Dec-2025</t>
        </is>
      </c>
      <c r="B1401" t="inlineStr">
        <is>
          <t>Monday</t>
        </is>
      </c>
      <c r="C1401" t="inlineStr">
        <is>
          <t>Week4-Dec-2025</t>
        </is>
      </c>
      <c r="D1401" s="78" t="n">
        <v>45992</v>
      </c>
      <c r="E1401" t="inlineStr">
        <is>
          <t>Q3FY26</t>
        </is>
      </c>
      <c r="F1401" t="inlineStr">
        <is>
          <t>27-Jun-2028</t>
        </is>
      </c>
      <c r="G1401" t="inlineStr">
        <is>
          <t>Tuesday</t>
        </is>
      </c>
      <c r="H1401" t="inlineStr">
        <is>
          <t>Monthly - Tuesday</t>
        </is>
      </c>
      <c r="I1401" t="inlineStr">
        <is>
          <t>Monthly - Tuesday</t>
        </is>
      </c>
      <c r="J1401" t="inlineStr">
        <is>
          <t>Month+30 Expiry</t>
        </is>
      </c>
      <c r="K1401" s="25" t="n">
        <v>0</v>
      </c>
      <c r="L1401" s="26" t="n">
        <v>0</v>
      </c>
      <c r="M1401" s="26" t="n">
        <v>0</v>
      </c>
    </row>
    <row r="1402" ht="16" customHeight="1">
      <c r="A1402" t="inlineStr">
        <is>
          <t>22-Dec-2025</t>
        </is>
      </c>
      <c r="B1402" t="inlineStr">
        <is>
          <t>Monday</t>
        </is>
      </c>
      <c r="C1402" t="inlineStr">
        <is>
          <t>Week4-Dec-2025</t>
        </is>
      </c>
      <c r="D1402" s="78" t="n">
        <v>45992</v>
      </c>
      <c r="E1402" t="inlineStr">
        <is>
          <t>Q3FY26</t>
        </is>
      </c>
      <c r="F1402" t="inlineStr">
        <is>
          <t>26-Dec-2028</t>
        </is>
      </c>
      <c r="G1402" t="inlineStr">
        <is>
          <t>Tuesday</t>
        </is>
      </c>
      <c r="H1402" t="inlineStr">
        <is>
          <t>Monthly - Tuesday</t>
        </is>
      </c>
      <c r="I1402" t="inlineStr">
        <is>
          <t>Monthly - Tuesday</t>
        </is>
      </c>
      <c r="J1402" t="inlineStr">
        <is>
          <t>Month+36 Expiry</t>
        </is>
      </c>
      <c r="K1402" s="25" t="n">
        <v>19</v>
      </c>
      <c r="L1402" s="26" t="n">
        <v>0.0394</v>
      </c>
      <c r="M1402" s="26" t="n">
        <v>0.0013</v>
      </c>
    </row>
    <row r="1403" ht="16" customHeight="1">
      <c r="A1403" t="inlineStr">
        <is>
          <t>22-Dec-2025</t>
        </is>
      </c>
      <c r="B1403" t="inlineStr">
        <is>
          <t>Monday</t>
        </is>
      </c>
      <c r="C1403" t="inlineStr">
        <is>
          <t>Week4-Dec-2025</t>
        </is>
      </c>
      <c r="D1403" s="78" t="n">
        <v>45992</v>
      </c>
      <c r="E1403" t="inlineStr">
        <is>
          <t>Q3FY26</t>
        </is>
      </c>
      <c r="F1403" t="inlineStr">
        <is>
          <t>26-Jun-2029</t>
        </is>
      </c>
      <c r="G1403" t="inlineStr">
        <is>
          <t>Tuesday</t>
        </is>
      </c>
      <c r="H1403" t="inlineStr">
        <is>
          <t>Monthly - Tuesday</t>
        </is>
      </c>
      <c r="I1403" t="inlineStr">
        <is>
          <t>Monthly - Tuesday</t>
        </is>
      </c>
      <c r="J1403" t="inlineStr">
        <is>
          <t>Month+42 Expiry</t>
        </is>
      </c>
      <c r="K1403" s="25" t="n">
        <v>0</v>
      </c>
      <c r="L1403" s="26" t="n">
        <v>0</v>
      </c>
      <c r="M1403" s="26" t="n">
        <v>0</v>
      </c>
    </row>
    <row r="1404" ht="16" customHeight="1">
      <c r="A1404" t="inlineStr">
        <is>
          <t>22-Dec-2025</t>
        </is>
      </c>
      <c r="B1404" t="inlineStr">
        <is>
          <t>Monday</t>
        </is>
      </c>
      <c r="C1404" t="inlineStr">
        <is>
          <t>Week4-Dec-2025</t>
        </is>
      </c>
      <c r="D1404" s="78" t="n">
        <v>45992</v>
      </c>
      <c r="E1404" t="inlineStr">
        <is>
          <t>Q3FY26</t>
        </is>
      </c>
      <c r="F1404" t="inlineStr">
        <is>
          <t>24-Dec-2029</t>
        </is>
      </c>
      <c r="G1404" t="inlineStr">
        <is>
          <t>Monday</t>
        </is>
      </c>
      <c r="H1404" t="inlineStr">
        <is>
          <t>Weekly - Monday</t>
        </is>
      </c>
      <c r="I1404" t="inlineStr">
        <is>
          <t>Weekly - Monday</t>
        </is>
      </c>
      <c r="J1404" t="inlineStr">
        <is>
          <t>Month+48 Expiry</t>
        </is>
      </c>
      <c r="K1404" s="25" t="n">
        <v>0</v>
      </c>
      <c r="L1404" s="26" t="n">
        <v>0</v>
      </c>
      <c r="M1404" s="26" t="n">
        <v>0</v>
      </c>
    </row>
    <row r="1405" ht="16" customHeight="1">
      <c r="A1405" t="inlineStr">
        <is>
          <t>22-Dec-2025</t>
        </is>
      </c>
      <c r="B1405" t="inlineStr">
        <is>
          <t>Monday</t>
        </is>
      </c>
      <c r="C1405" t="inlineStr">
        <is>
          <t>Week4-Dec-2025</t>
        </is>
      </c>
      <c r="D1405" s="78" t="n">
        <v>45992</v>
      </c>
      <c r="E1405" t="inlineStr">
        <is>
          <t>Q3FY26</t>
        </is>
      </c>
      <c r="F1405" t="inlineStr">
        <is>
          <t>25-Jun-2030</t>
        </is>
      </c>
      <c r="G1405" t="inlineStr">
        <is>
          <t>Tuesday</t>
        </is>
      </c>
      <c r="H1405" t="inlineStr">
        <is>
          <t>Monthly - Tuesday</t>
        </is>
      </c>
      <c r="I1405" t="inlineStr">
        <is>
          <t>Monthly - Tuesday</t>
        </is>
      </c>
      <c r="J1405" t="inlineStr">
        <is>
          <t>Month+54 Expiry</t>
        </is>
      </c>
      <c r="K1405" s="25" t="n">
        <v>0</v>
      </c>
      <c r="L1405" s="26" t="n">
        <v>0</v>
      </c>
      <c r="M1405" s="26" t="n">
        <v>0</v>
      </c>
    </row>
    <row r="1406" ht="16" customHeight="1">
      <c r="A1406" t="inlineStr">
        <is>
          <t>23-Dec-2025</t>
        </is>
      </c>
      <c r="B1406" t="inlineStr">
        <is>
          <t>Tuesday</t>
        </is>
      </c>
      <c r="C1406" t="inlineStr">
        <is>
          <t>Week4-Dec-2025</t>
        </is>
      </c>
      <c r="D1406" s="78" t="n">
        <v>45992</v>
      </c>
      <c r="E1406" t="inlineStr">
        <is>
          <t>Q3FY26</t>
        </is>
      </c>
      <c r="F1406" t="inlineStr">
        <is>
          <t>23-Dec-2025</t>
        </is>
      </c>
      <c r="G1406" t="inlineStr">
        <is>
          <t>Tuesday</t>
        </is>
      </c>
      <c r="H1406" t="inlineStr">
        <is>
          <t>Weekly - Tuesday</t>
        </is>
      </c>
      <c r="I1406" t="inlineStr">
        <is>
          <t>Weekly - Tuesday</t>
        </is>
      </c>
      <c r="J1406" t="inlineStr">
        <is>
          <t>Same Month Expiry</t>
        </is>
      </c>
      <c r="K1406" s="25" t="n">
        <v>237318907</v>
      </c>
      <c r="L1406" s="26" t="n">
        <v>465842.2674</v>
      </c>
      <c r="M1406" s="26" t="n">
        <v>370.7169</v>
      </c>
    </row>
    <row r="1407" ht="16" customHeight="1">
      <c r="A1407" t="inlineStr">
        <is>
          <t>23-Dec-2025</t>
        </is>
      </c>
      <c r="B1407" t="inlineStr">
        <is>
          <t>Tuesday</t>
        </is>
      </c>
      <c r="C1407" t="inlineStr">
        <is>
          <t>Week4-Dec-2025</t>
        </is>
      </c>
      <c r="D1407" s="78" t="n">
        <v>45992</v>
      </c>
      <c r="E1407" t="inlineStr">
        <is>
          <t>Q3FY26</t>
        </is>
      </c>
      <c r="F1407" t="inlineStr">
        <is>
          <t>30-Dec-2025</t>
        </is>
      </c>
      <c r="G1407" t="inlineStr">
        <is>
          <t>Tuesday</t>
        </is>
      </c>
      <c r="H1407" t="inlineStr">
        <is>
          <t>Monthly - Tuesday</t>
        </is>
      </c>
      <c r="I1407" t="inlineStr">
        <is>
          <t>Monthly - Tuesday</t>
        </is>
      </c>
      <c r="J1407" t="inlineStr">
        <is>
          <t>Same Month Expiry</t>
        </is>
      </c>
      <c r="K1407" s="25" t="n">
        <v>9823880</v>
      </c>
      <c r="L1407" s="26" t="n">
        <v>19278.5455</v>
      </c>
      <c r="M1407" s="26" t="n">
        <v>48.0442</v>
      </c>
    </row>
    <row r="1408" ht="16" customHeight="1">
      <c r="A1408" t="inlineStr">
        <is>
          <t>23-Dec-2025</t>
        </is>
      </c>
      <c r="B1408" t="inlineStr">
        <is>
          <t>Tuesday</t>
        </is>
      </c>
      <c r="C1408" t="inlineStr">
        <is>
          <t>Week4-Dec-2025</t>
        </is>
      </c>
      <c r="D1408" s="78" t="n">
        <v>45992</v>
      </c>
      <c r="E1408" t="inlineStr">
        <is>
          <t>Q3FY26</t>
        </is>
      </c>
      <c r="F1408" t="inlineStr">
        <is>
          <t>06-Jan-2026</t>
        </is>
      </c>
      <c r="G1408" t="inlineStr">
        <is>
          <t>Tuesday</t>
        </is>
      </c>
      <c r="H1408" t="inlineStr">
        <is>
          <t>Weekly - Tuesday</t>
        </is>
      </c>
      <c r="I1408" t="inlineStr">
        <is>
          <t>Weekly - Tuesday</t>
        </is>
      </c>
      <c r="J1408" t="inlineStr">
        <is>
          <t>Month+1 Expiry</t>
        </is>
      </c>
      <c r="K1408" s="25" t="n">
        <v>539904</v>
      </c>
      <c r="L1408" s="26" t="n">
        <v>923.7334</v>
      </c>
      <c r="M1408" s="26" t="n">
        <v>3.9284</v>
      </c>
    </row>
    <row r="1409" ht="16" customHeight="1">
      <c r="A1409" t="inlineStr">
        <is>
          <t>23-Dec-2025</t>
        </is>
      </c>
      <c r="B1409" t="inlineStr">
        <is>
          <t>Tuesday</t>
        </is>
      </c>
      <c r="C1409" t="inlineStr">
        <is>
          <t>Week4-Dec-2025</t>
        </is>
      </c>
      <c r="D1409" s="78" t="n">
        <v>45992</v>
      </c>
      <c r="E1409" t="inlineStr">
        <is>
          <t>Q3FY26</t>
        </is>
      </c>
      <c r="F1409" t="inlineStr">
        <is>
          <t>13-Jan-2026</t>
        </is>
      </c>
      <c r="G1409" t="inlineStr">
        <is>
          <t>Tuesday</t>
        </is>
      </c>
      <c r="H1409" t="inlineStr">
        <is>
          <t>Weekly - Tuesday</t>
        </is>
      </c>
      <c r="I1409" t="inlineStr">
        <is>
          <t>Weekly - Tuesday</t>
        </is>
      </c>
      <c r="J1409" t="inlineStr">
        <is>
          <t>Month+1 Expiry</t>
        </is>
      </c>
      <c r="K1409" s="25" t="n">
        <v>32980</v>
      </c>
      <c r="L1409" s="26" t="n">
        <v>56.4581</v>
      </c>
      <c r="M1409" s="26" t="n">
        <v>0.3043</v>
      </c>
    </row>
    <row r="1410" ht="16" customHeight="1">
      <c r="A1410" t="inlineStr">
        <is>
          <t>23-Dec-2025</t>
        </is>
      </c>
      <c r="B1410" t="inlineStr">
        <is>
          <t>Tuesday</t>
        </is>
      </c>
      <c r="C1410" t="inlineStr">
        <is>
          <t>Week4-Dec-2025</t>
        </is>
      </c>
      <c r="D1410" s="78" t="n">
        <v>45992</v>
      </c>
      <c r="E1410" t="inlineStr">
        <is>
          <t>Q3FY26</t>
        </is>
      </c>
      <c r="F1410" t="inlineStr">
        <is>
          <t>20-Jan-2026</t>
        </is>
      </c>
      <c r="G1410" t="inlineStr">
        <is>
          <t>Tuesday</t>
        </is>
      </c>
      <c r="H1410" t="inlineStr">
        <is>
          <t>Weekly - Tuesday</t>
        </is>
      </c>
      <c r="I1410" t="inlineStr">
        <is>
          <t>Weekly - Tuesday</t>
        </is>
      </c>
      <c r="J1410" t="inlineStr">
        <is>
          <t>Month+1 Expiry</t>
        </is>
      </c>
      <c r="K1410" s="25" t="n">
        <v>2422</v>
      </c>
      <c r="L1410" s="26" t="n">
        <v>4.1378</v>
      </c>
      <c r="M1410" s="26" t="n">
        <v>0.0298</v>
      </c>
    </row>
    <row r="1411" ht="16" customHeight="1">
      <c r="A1411" t="inlineStr">
        <is>
          <t>23-Dec-2025</t>
        </is>
      </c>
      <c r="B1411" t="inlineStr">
        <is>
          <t>Tuesday</t>
        </is>
      </c>
      <c r="C1411" t="inlineStr">
        <is>
          <t>Week4-Dec-2025</t>
        </is>
      </c>
      <c r="D1411" s="78" t="n">
        <v>45992</v>
      </c>
      <c r="E1411" t="inlineStr">
        <is>
          <t>Q3FY26</t>
        </is>
      </c>
      <c r="F1411" t="inlineStr">
        <is>
          <t>27-Jan-2026</t>
        </is>
      </c>
      <c r="G1411" t="inlineStr">
        <is>
          <t>Tuesday</t>
        </is>
      </c>
      <c r="H1411" t="inlineStr">
        <is>
          <t>Monthly - Tuesday</t>
        </is>
      </c>
      <c r="I1411" t="inlineStr">
        <is>
          <t>Monthly - Tuesday</t>
        </is>
      </c>
      <c r="J1411" t="inlineStr">
        <is>
          <t>Month+1 Expiry</t>
        </is>
      </c>
      <c r="K1411" s="25" t="n">
        <v>524719</v>
      </c>
      <c r="L1411" s="26" t="n">
        <v>897.1788</v>
      </c>
      <c r="M1411" s="26" t="n">
        <v>6.1904</v>
      </c>
    </row>
    <row r="1412" ht="16" customHeight="1">
      <c r="A1412" t="inlineStr">
        <is>
          <t>23-Dec-2025</t>
        </is>
      </c>
      <c r="B1412" t="inlineStr">
        <is>
          <t>Tuesday</t>
        </is>
      </c>
      <c r="C1412" t="inlineStr">
        <is>
          <t>Week4-Dec-2025</t>
        </is>
      </c>
      <c r="D1412" s="78" t="n">
        <v>45992</v>
      </c>
      <c r="E1412" t="inlineStr">
        <is>
          <t>Q3FY26</t>
        </is>
      </c>
      <c r="F1412" t="inlineStr">
        <is>
          <t>24-Feb-2026</t>
        </is>
      </c>
      <c r="G1412" t="inlineStr">
        <is>
          <t>Tuesday</t>
        </is>
      </c>
      <c r="H1412" t="inlineStr">
        <is>
          <t>Monthly - Tuesday</t>
        </is>
      </c>
      <c r="I1412" t="inlineStr">
        <is>
          <t>Monthly - Tuesday</t>
        </is>
      </c>
      <c r="J1412" t="inlineStr">
        <is>
          <t>Month+2 Expiry</t>
        </is>
      </c>
      <c r="K1412" s="25" t="n">
        <v>69529</v>
      </c>
      <c r="L1412" s="26" t="n">
        <v>119.0433</v>
      </c>
      <c r="M1412" s="26" t="n">
        <v>1.185</v>
      </c>
    </row>
    <row r="1413" ht="16" customHeight="1">
      <c r="A1413" t="inlineStr">
        <is>
          <t>23-Dec-2025</t>
        </is>
      </c>
      <c r="B1413" t="inlineStr">
        <is>
          <t>Tuesday</t>
        </is>
      </c>
      <c r="C1413" t="inlineStr">
        <is>
          <t>Week4-Dec-2025</t>
        </is>
      </c>
      <c r="D1413" s="78" t="n">
        <v>45992</v>
      </c>
      <c r="E1413" t="inlineStr">
        <is>
          <t>Q3FY26</t>
        </is>
      </c>
      <c r="F1413" t="inlineStr">
        <is>
          <t>31-Mar-2026</t>
        </is>
      </c>
      <c r="G1413" t="inlineStr">
        <is>
          <t>Tuesday</t>
        </is>
      </c>
      <c r="H1413" t="inlineStr">
        <is>
          <t>Monthly - Tuesday</t>
        </is>
      </c>
      <c r="I1413" t="inlineStr">
        <is>
          <t>Monthly - Tuesday</t>
        </is>
      </c>
      <c r="J1413" t="inlineStr">
        <is>
          <t>Month+3 Expiry</t>
        </is>
      </c>
      <c r="K1413" s="25" t="n">
        <v>47999</v>
      </c>
      <c r="L1413" s="26" t="n">
        <v>96.2056</v>
      </c>
      <c r="M1413" s="26" t="n">
        <v>2.6398</v>
      </c>
    </row>
    <row r="1414" ht="16" customHeight="1">
      <c r="A1414" t="inlineStr">
        <is>
          <t>23-Dec-2025</t>
        </is>
      </c>
      <c r="B1414" t="inlineStr">
        <is>
          <t>Tuesday</t>
        </is>
      </c>
      <c r="C1414" t="inlineStr">
        <is>
          <t>Week4-Dec-2025</t>
        </is>
      </c>
      <c r="D1414" s="78" t="n">
        <v>45992</v>
      </c>
      <c r="E1414" t="inlineStr">
        <is>
          <t>Q3FY26</t>
        </is>
      </c>
      <c r="F1414" t="inlineStr">
        <is>
          <t>30-Jun-2026</t>
        </is>
      </c>
      <c r="G1414" t="inlineStr">
        <is>
          <t>Tuesday</t>
        </is>
      </c>
      <c r="H1414" t="inlineStr">
        <is>
          <t>Monthly - Tuesday</t>
        </is>
      </c>
      <c r="I1414" t="inlineStr">
        <is>
          <t>Monthly - Tuesday</t>
        </is>
      </c>
      <c r="J1414" t="inlineStr">
        <is>
          <t>Month+6 Expiry</t>
        </is>
      </c>
      <c r="K1414" s="25" t="n">
        <v>11215</v>
      </c>
      <c r="L1414" s="26" t="n">
        <v>22.6031</v>
      </c>
      <c r="M1414" s="26" t="n">
        <v>0.3999</v>
      </c>
    </row>
    <row r="1415" ht="16" customHeight="1">
      <c r="A1415" t="inlineStr">
        <is>
          <t>23-Dec-2025</t>
        </is>
      </c>
      <c r="B1415" t="inlineStr">
        <is>
          <t>Tuesday</t>
        </is>
      </c>
      <c r="C1415" t="inlineStr">
        <is>
          <t>Week4-Dec-2025</t>
        </is>
      </c>
      <c r="D1415" s="78" t="n">
        <v>45992</v>
      </c>
      <c r="E1415" t="inlineStr">
        <is>
          <t>Q3FY26</t>
        </is>
      </c>
      <c r="F1415" t="inlineStr">
        <is>
          <t>29-Sep-2026</t>
        </is>
      </c>
      <c r="G1415" t="inlineStr">
        <is>
          <t>Tuesday</t>
        </is>
      </c>
      <c r="H1415" t="inlineStr">
        <is>
          <t>Monthly - Tuesday</t>
        </is>
      </c>
      <c r="I1415" t="inlineStr">
        <is>
          <t>Monthly - Tuesday</t>
        </is>
      </c>
      <c r="J1415" t="inlineStr">
        <is>
          <t>Month+9 Expiry</t>
        </is>
      </c>
      <c r="K1415" s="25" t="n">
        <v>134</v>
      </c>
      <c r="L1415" s="26" t="n">
        <v>0.261</v>
      </c>
      <c r="M1415" s="26" t="n">
        <v>0.0031</v>
      </c>
    </row>
    <row r="1416" ht="16" customHeight="1">
      <c r="A1416" t="inlineStr">
        <is>
          <t>23-Dec-2025</t>
        </is>
      </c>
      <c r="B1416" t="inlineStr">
        <is>
          <t>Tuesday</t>
        </is>
      </c>
      <c r="C1416" t="inlineStr">
        <is>
          <t>Week4-Dec-2025</t>
        </is>
      </c>
      <c r="D1416" s="78" t="n">
        <v>45992</v>
      </c>
      <c r="E1416" t="inlineStr">
        <is>
          <t>Q3FY26</t>
        </is>
      </c>
      <c r="F1416" t="inlineStr">
        <is>
          <t>29-Dec-2026</t>
        </is>
      </c>
      <c r="G1416" t="inlineStr">
        <is>
          <t>Tuesday</t>
        </is>
      </c>
      <c r="H1416" t="inlineStr">
        <is>
          <t>Monthly - Tuesday</t>
        </is>
      </c>
      <c r="I1416" t="inlineStr">
        <is>
          <t>Monthly - Tuesday</t>
        </is>
      </c>
      <c r="J1416" t="inlineStr">
        <is>
          <t>Month+12 Expiry</t>
        </is>
      </c>
      <c r="K1416" s="25" t="n">
        <v>3732</v>
      </c>
      <c r="L1416" s="26" t="n">
        <v>7.8141</v>
      </c>
      <c r="M1416" s="26" t="n">
        <v>0.2472</v>
      </c>
    </row>
    <row r="1417" ht="16" customHeight="1">
      <c r="A1417" t="inlineStr">
        <is>
          <t>23-Dec-2025</t>
        </is>
      </c>
      <c r="B1417" t="inlineStr">
        <is>
          <t>Tuesday</t>
        </is>
      </c>
      <c r="C1417" t="inlineStr">
        <is>
          <t>Week4-Dec-2025</t>
        </is>
      </c>
      <c r="D1417" s="78" t="n">
        <v>45992</v>
      </c>
      <c r="E1417" t="inlineStr">
        <is>
          <t>Q3FY26</t>
        </is>
      </c>
      <c r="F1417" t="inlineStr">
        <is>
          <t>29-Jun-2027</t>
        </is>
      </c>
      <c r="G1417" t="inlineStr">
        <is>
          <t>Tuesday</t>
        </is>
      </c>
      <c r="H1417" t="inlineStr">
        <is>
          <t>Monthly - Tuesday</t>
        </is>
      </c>
      <c r="I1417" t="inlineStr">
        <is>
          <t>Monthly - Tuesday</t>
        </is>
      </c>
      <c r="J1417" t="inlineStr">
        <is>
          <t>Month+18 Expiry</t>
        </is>
      </c>
      <c r="K1417" s="25" t="n">
        <v>0</v>
      </c>
      <c r="L1417" s="26" t="n">
        <v>0</v>
      </c>
      <c r="M1417" s="26" t="n">
        <v>0</v>
      </c>
    </row>
    <row r="1418" ht="16" customHeight="1">
      <c r="A1418" t="inlineStr">
        <is>
          <t>23-Dec-2025</t>
        </is>
      </c>
      <c r="B1418" t="inlineStr">
        <is>
          <t>Tuesday</t>
        </is>
      </c>
      <c r="C1418" t="inlineStr">
        <is>
          <t>Week4-Dec-2025</t>
        </is>
      </c>
      <c r="D1418" s="78" t="n">
        <v>45992</v>
      </c>
      <c r="E1418" t="inlineStr">
        <is>
          <t>Q3FY26</t>
        </is>
      </c>
      <c r="F1418" t="inlineStr">
        <is>
          <t>28-Dec-2027</t>
        </is>
      </c>
      <c r="G1418" t="inlineStr">
        <is>
          <t>Tuesday</t>
        </is>
      </c>
      <c r="H1418" t="inlineStr">
        <is>
          <t>Monthly - Tuesday</t>
        </is>
      </c>
      <c r="I1418" t="inlineStr">
        <is>
          <t>Monthly - Tuesday</t>
        </is>
      </c>
      <c r="J1418" t="inlineStr">
        <is>
          <t>Month+24 Expiry</t>
        </is>
      </c>
      <c r="K1418" s="25" t="n">
        <v>11</v>
      </c>
      <c r="L1418" s="26" t="n">
        <v>0.0214</v>
      </c>
      <c r="M1418" s="26" t="n">
        <v>0.0015</v>
      </c>
    </row>
    <row r="1419" ht="16" customHeight="1">
      <c r="A1419" t="inlineStr">
        <is>
          <t>23-Dec-2025</t>
        </is>
      </c>
      <c r="B1419" t="inlineStr">
        <is>
          <t>Tuesday</t>
        </is>
      </c>
      <c r="C1419" t="inlineStr">
        <is>
          <t>Week4-Dec-2025</t>
        </is>
      </c>
      <c r="D1419" s="78" t="n">
        <v>45992</v>
      </c>
      <c r="E1419" t="inlineStr">
        <is>
          <t>Q3FY26</t>
        </is>
      </c>
      <c r="F1419" t="inlineStr">
        <is>
          <t>27-Jun-2028</t>
        </is>
      </c>
      <c r="G1419" t="inlineStr">
        <is>
          <t>Tuesday</t>
        </is>
      </c>
      <c r="H1419" t="inlineStr">
        <is>
          <t>Monthly - Tuesday</t>
        </is>
      </c>
      <c r="I1419" t="inlineStr">
        <is>
          <t>Monthly - Tuesday</t>
        </is>
      </c>
      <c r="J1419" t="inlineStr">
        <is>
          <t>Month+30 Expiry</t>
        </is>
      </c>
      <c r="K1419" s="25" t="n">
        <v>0</v>
      </c>
      <c r="L1419" s="26" t="n">
        <v>0</v>
      </c>
      <c r="M1419" s="26" t="n">
        <v>0</v>
      </c>
    </row>
    <row r="1420" ht="16" customHeight="1">
      <c r="A1420" t="inlineStr">
        <is>
          <t>23-Dec-2025</t>
        </is>
      </c>
      <c r="B1420" t="inlineStr">
        <is>
          <t>Tuesday</t>
        </is>
      </c>
      <c r="C1420" t="inlineStr">
        <is>
          <t>Week4-Dec-2025</t>
        </is>
      </c>
      <c r="D1420" s="78" t="n">
        <v>45992</v>
      </c>
      <c r="E1420" t="inlineStr">
        <is>
          <t>Q3FY26</t>
        </is>
      </c>
      <c r="F1420" t="inlineStr">
        <is>
          <t>26-Dec-2028</t>
        </is>
      </c>
      <c r="G1420" t="inlineStr">
        <is>
          <t>Tuesday</t>
        </is>
      </c>
      <c r="H1420" t="inlineStr">
        <is>
          <t>Monthly - Tuesday</t>
        </is>
      </c>
      <c r="I1420" t="inlineStr">
        <is>
          <t>Monthly - Tuesday</t>
        </is>
      </c>
      <c r="J1420" t="inlineStr">
        <is>
          <t>Month+36 Expiry</t>
        </is>
      </c>
      <c r="K1420" s="25" t="n">
        <v>6</v>
      </c>
      <c r="L1420" s="26" t="n">
        <v>0.0123</v>
      </c>
      <c r="M1420" s="26" t="n">
        <v>0.0005</v>
      </c>
    </row>
    <row r="1421" ht="16" customHeight="1">
      <c r="A1421" t="inlineStr">
        <is>
          <t>23-Dec-2025</t>
        </is>
      </c>
      <c r="B1421" t="inlineStr">
        <is>
          <t>Tuesday</t>
        </is>
      </c>
      <c r="C1421" t="inlineStr">
        <is>
          <t>Week4-Dec-2025</t>
        </is>
      </c>
      <c r="D1421" s="78" t="n">
        <v>45992</v>
      </c>
      <c r="E1421" t="inlineStr">
        <is>
          <t>Q3FY26</t>
        </is>
      </c>
      <c r="F1421" t="inlineStr">
        <is>
          <t>26-Jun-2029</t>
        </is>
      </c>
      <c r="G1421" t="inlineStr">
        <is>
          <t>Tuesday</t>
        </is>
      </c>
      <c r="H1421" t="inlineStr">
        <is>
          <t>Monthly - Tuesday</t>
        </is>
      </c>
      <c r="I1421" t="inlineStr">
        <is>
          <t>Monthly - Tuesday</t>
        </is>
      </c>
      <c r="J1421" t="inlineStr">
        <is>
          <t>Month+42 Expiry</t>
        </is>
      </c>
      <c r="K1421" s="25" t="n">
        <v>0</v>
      </c>
      <c r="L1421" s="26" t="n">
        <v>0</v>
      </c>
      <c r="M1421" s="26" t="n">
        <v>0</v>
      </c>
    </row>
    <row r="1422" ht="16" customHeight="1">
      <c r="A1422" t="inlineStr">
        <is>
          <t>23-Dec-2025</t>
        </is>
      </c>
      <c r="B1422" t="inlineStr">
        <is>
          <t>Tuesday</t>
        </is>
      </c>
      <c r="C1422" t="inlineStr">
        <is>
          <t>Week4-Dec-2025</t>
        </is>
      </c>
      <c r="D1422" s="78" t="n">
        <v>45992</v>
      </c>
      <c r="E1422" t="inlineStr">
        <is>
          <t>Q3FY26</t>
        </is>
      </c>
      <c r="F1422" t="inlineStr">
        <is>
          <t>24-Dec-2029</t>
        </is>
      </c>
      <c r="G1422" t="inlineStr">
        <is>
          <t>Monday</t>
        </is>
      </c>
      <c r="H1422" t="inlineStr">
        <is>
          <t>Weekly - Monday</t>
        </is>
      </c>
      <c r="I1422" t="inlineStr">
        <is>
          <t>Weekly - Monday</t>
        </is>
      </c>
      <c r="J1422" t="inlineStr">
        <is>
          <t>Month+48 Expiry</t>
        </is>
      </c>
      <c r="K1422" s="25" t="n">
        <v>0</v>
      </c>
      <c r="L1422" s="26" t="n">
        <v>0</v>
      </c>
      <c r="M1422" s="26" t="n">
        <v>0</v>
      </c>
    </row>
    <row r="1423" ht="16" customHeight="1">
      <c r="A1423" t="inlineStr">
        <is>
          <t>23-Dec-2025</t>
        </is>
      </c>
      <c r="B1423" t="inlineStr">
        <is>
          <t>Tuesday</t>
        </is>
      </c>
      <c r="C1423" t="inlineStr">
        <is>
          <t>Week4-Dec-2025</t>
        </is>
      </c>
      <c r="D1423" s="78" t="n">
        <v>45992</v>
      </c>
      <c r="E1423" t="inlineStr">
        <is>
          <t>Q3FY26</t>
        </is>
      </c>
      <c r="F1423" t="inlineStr">
        <is>
          <t>25-Jun-2030</t>
        </is>
      </c>
      <c r="G1423" t="inlineStr">
        <is>
          <t>Tuesday</t>
        </is>
      </c>
      <c r="H1423" t="inlineStr">
        <is>
          <t>Monthly - Tuesday</t>
        </is>
      </c>
      <c r="I1423" t="inlineStr">
        <is>
          <t>Monthly - Tuesday</t>
        </is>
      </c>
      <c r="J1423" t="inlineStr">
        <is>
          <t>Month+54 Expiry</t>
        </is>
      </c>
      <c r="K1423" s="25" t="n">
        <v>0</v>
      </c>
      <c r="L1423" s="26" t="n">
        <v>0</v>
      </c>
      <c r="M1423" s="26" t="n">
        <v>0</v>
      </c>
    </row>
    <row r="1424" ht="16" customHeight="1">
      <c r="A1424" t="inlineStr">
        <is>
          <t>24-Dec-2025</t>
        </is>
      </c>
      <c r="B1424" t="inlineStr">
        <is>
          <t>Wednesday</t>
        </is>
      </c>
      <c r="C1424" t="inlineStr">
        <is>
          <t>Week4-Dec-2025</t>
        </is>
      </c>
      <c r="D1424" s="78" t="n">
        <v>45992</v>
      </c>
      <c r="E1424" t="inlineStr">
        <is>
          <t>Q3FY26</t>
        </is>
      </c>
      <c r="F1424" t="inlineStr">
        <is>
          <t>30-Dec-2025</t>
        </is>
      </c>
      <c r="G1424" t="inlineStr">
        <is>
          <t>Tuesday</t>
        </is>
      </c>
      <c r="H1424" t="inlineStr">
        <is>
          <t>Monthly - Tuesday</t>
        </is>
      </c>
      <c r="I1424" t="inlineStr">
        <is>
          <t>MDAW - Tuesday</t>
        </is>
      </c>
      <c r="J1424" t="inlineStr">
        <is>
          <t>Same Month Expiry</t>
        </is>
      </c>
      <c r="K1424" s="25" t="n">
        <v>39281815</v>
      </c>
      <c r="L1424" s="26" t="n">
        <v>77255.1287</v>
      </c>
      <c r="M1424" s="26" t="n">
        <v>176.2883</v>
      </c>
    </row>
    <row r="1425" ht="16" customHeight="1">
      <c r="A1425" t="inlineStr">
        <is>
          <t>24-Dec-2025</t>
        </is>
      </c>
      <c r="B1425" t="inlineStr">
        <is>
          <t>Wednesday</t>
        </is>
      </c>
      <c r="C1425" t="inlineStr">
        <is>
          <t>Week4-Dec-2025</t>
        </is>
      </c>
      <c r="D1425" s="78" t="n">
        <v>45992</v>
      </c>
      <c r="E1425" t="inlineStr">
        <is>
          <t>Q3FY26</t>
        </is>
      </c>
      <c r="F1425" t="inlineStr">
        <is>
          <t>06-Jan-2026</t>
        </is>
      </c>
      <c r="G1425" t="inlineStr">
        <is>
          <t>Tuesday</t>
        </is>
      </c>
      <c r="H1425" t="inlineStr">
        <is>
          <t>Weekly - Tuesday</t>
        </is>
      </c>
      <c r="I1425" t="inlineStr">
        <is>
          <t>Weekly - Tuesday</t>
        </is>
      </c>
      <c r="J1425" t="inlineStr">
        <is>
          <t>Month+1 Expiry</t>
        </is>
      </c>
      <c r="K1425" s="25" t="n">
        <v>1494493</v>
      </c>
      <c r="L1425" s="26" t="n">
        <v>2555.1943</v>
      </c>
      <c r="M1425" s="26" t="n">
        <v>8.6183</v>
      </c>
    </row>
    <row r="1426" ht="16" customHeight="1">
      <c r="A1426" t="inlineStr">
        <is>
          <t>24-Dec-2025</t>
        </is>
      </c>
      <c r="B1426" t="inlineStr">
        <is>
          <t>Wednesday</t>
        </is>
      </c>
      <c r="C1426" t="inlineStr">
        <is>
          <t>Week4-Dec-2025</t>
        </is>
      </c>
      <c r="D1426" s="78" t="n">
        <v>45992</v>
      </c>
      <c r="E1426" t="inlineStr">
        <is>
          <t>Q3FY26</t>
        </is>
      </c>
      <c r="F1426" t="inlineStr">
        <is>
          <t>13-Jan-2026</t>
        </is>
      </c>
      <c r="G1426" t="inlineStr">
        <is>
          <t>Tuesday</t>
        </is>
      </c>
      <c r="H1426" t="inlineStr">
        <is>
          <t>Weekly - Tuesday</t>
        </is>
      </c>
      <c r="I1426" t="inlineStr">
        <is>
          <t>Weekly - Tuesday</t>
        </is>
      </c>
      <c r="J1426" t="inlineStr">
        <is>
          <t>Month+1 Expiry</t>
        </is>
      </c>
      <c r="K1426" s="25" t="n">
        <v>81889</v>
      </c>
      <c r="L1426" s="26" t="n">
        <v>140.0944</v>
      </c>
      <c r="M1426" s="26" t="n">
        <v>0.6495</v>
      </c>
    </row>
    <row r="1427" ht="16" customHeight="1">
      <c r="A1427" t="inlineStr">
        <is>
          <t>24-Dec-2025</t>
        </is>
      </c>
      <c r="B1427" t="inlineStr">
        <is>
          <t>Wednesday</t>
        </is>
      </c>
      <c r="C1427" t="inlineStr">
        <is>
          <t>Week4-Dec-2025</t>
        </is>
      </c>
      <c r="D1427" s="78" t="n">
        <v>45992</v>
      </c>
      <c r="E1427" t="inlineStr">
        <is>
          <t>Q3FY26</t>
        </is>
      </c>
      <c r="F1427" t="inlineStr">
        <is>
          <t>20-Jan-2026</t>
        </is>
      </c>
      <c r="G1427" t="inlineStr">
        <is>
          <t>Tuesday</t>
        </is>
      </c>
      <c r="H1427" t="inlineStr">
        <is>
          <t>Weekly - Tuesday</t>
        </is>
      </c>
      <c r="I1427" t="inlineStr">
        <is>
          <t>Weekly - Tuesday</t>
        </is>
      </c>
      <c r="J1427" t="inlineStr">
        <is>
          <t>Month+1 Expiry</t>
        </is>
      </c>
      <c r="K1427" s="25" t="n">
        <v>7856</v>
      </c>
      <c r="L1427" s="26" t="n">
        <v>13.473</v>
      </c>
      <c r="M1427" s="26" t="n">
        <v>0.0793</v>
      </c>
    </row>
    <row r="1428" ht="16" customHeight="1">
      <c r="A1428" t="inlineStr">
        <is>
          <t>24-Dec-2025</t>
        </is>
      </c>
      <c r="B1428" t="inlineStr">
        <is>
          <t>Wednesday</t>
        </is>
      </c>
      <c r="C1428" t="inlineStr">
        <is>
          <t>Week4-Dec-2025</t>
        </is>
      </c>
      <c r="D1428" s="78" t="n">
        <v>45992</v>
      </c>
      <c r="E1428" t="inlineStr">
        <is>
          <t>Q3FY26</t>
        </is>
      </c>
      <c r="F1428" t="inlineStr">
        <is>
          <t>27-Jan-2026</t>
        </is>
      </c>
      <c r="G1428" t="inlineStr">
        <is>
          <t>Tuesday</t>
        </is>
      </c>
      <c r="H1428" t="inlineStr">
        <is>
          <t>Monthly - Tuesday</t>
        </is>
      </c>
      <c r="I1428" t="inlineStr">
        <is>
          <t>Monthly - Tuesday</t>
        </is>
      </c>
      <c r="J1428" t="inlineStr">
        <is>
          <t>Month+1 Expiry</t>
        </is>
      </c>
      <c r="K1428" s="25" t="n">
        <v>547456</v>
      </c>
      <c r="L1428" s="26" t="n">
        <v>936.0185</v>
      </c>
      <c r="M1428" s="26" t="n">
        <v>6.3164</v>
      </c>
    </row>
    <row r="1429" ht="16" customHeight="1">
      <c r="A1429" t="inlineStr">
        <is>
          <t>24-Dec-2025</t>
        </is>
      </c>
      <c r="B1429" t="inlineStr">
        <is>
          <t>Wednesday</t>
        </is>
      </c>
      <c r="C1429" t="inlineStr">
        <is>
          <t>Week4-Dec-2025</t>
        </is>
      </c>
      <c r="D1429" s="78" t="n">
        <v>45992</v>
      </c>
      <c r="E1429" t="inlineStr">
        <is>
          <t>Q3FY26</t>
        </is>
      </c>
      <c r="F1429" t="inlineStr">
        <is>
          <t>03-Feb-2026</t>
        </is>
      </c>
      <c r="G1429" t="inlineStr">
        <is>
          <t>Tuesday</t>
        </is>
      </c>
      <c r="H1429" t="inlineStr">
        <is>
          <t>Weekly - Tuesday</t>
        </is>
      </c>
      <c r="I1429" t="inlineStr">
        <is>
          <t>Weekly - Tuesday</t>
        </is>
      </c>
      <c r="J1429" t="inlineStr">
        <is>
          <t>Month+2 Expiry</t>
        </is>
      </c>
      <c r="K1429" s="25" t="n">
        <v>180</v>
      </c>
      <c r="L1429" s="26" t="n">
        <v>0.2952</v>
      </c>
      <c r="M1429" s="26" t="n">
        <v>0.0011</v>
      </c>
    </row>
    <row r="1430" ht="16" customHeight="1">
      <c r="A1430" t="inlineStr">
        <is>
          <t>24-Dec-2025</t>
        </is>
      </c>
      <c r="B1430" t="inlineStr">
        <is>
          <t>Wednesday</t>
        </is>
      </c>
      <c r="C1430" t="inlineStr">
        <is>
          <t>Week4-Dec-2025</t>
        </is>
      </c>
      <c r="D1430" s="78" t="n">
        <v>45992</v>
      </c>
      <c r="E1430" t="inlineStr">
        <is>
          <t>Q3FY26</t>
        </is>
      </c>
      <c r="F1430" t="inlineStr">
        <is>
          <t>24-Feb-2026</t>
        </is>
      </c>
      <c r="G1430" t="inlineStr">
        <is>
          <t>Tuesday</t>
        </is>
      </c>
      <c r="H1430" t="inlineStr">
        <is>
          <t>Monthly - Tuesday</t>
        </is>
      </c>
      <c r="I1430" t="inlineStr">
        <is>
          <t>Monthly - Tuesday</t>
        </is>
      </c>
      <c r="J1430" t="inlineStr">
        <is>
          <t>Month+2 Expiry</t>
        </is>
      </c>
      <c r="K1430" s="25" t="n">
        <v>65411</v>
      </c>
      <c r="L1430" s="26" t="n">
        <v>112.3378</v>
      </c>
      <c r="M1430" s="26" t="n">
        <v>1.2349</v>
      </c>
    </row>
    <row r="1431" ht="16" customHeight="1">
      <c r="A1431" t="inlineStr">
        <is>
          <t>24-Dec-2025</t>
        </is>
      </c>
      <c r="B1431" t="inlineStr">
        <is>
          <t>Wednesday</t>
        </is>
      </c>
      <c r="C1431" t="inlineStr">
        <is>
          <t>Week4-Dec-2025</t>
        </is>
      </c>
      <c r="D1431" s="78" t="n">
        <v>45992</v>
      </c>
      <c r="E1431" t="inlineStr">
        <is>
          <t>Q3FY26</t>
        </is>
      </c>
      <c r="F1431" t="inlineStr">
        <is>
          <t>31-Mar-2026</t>
        </is>
      </c>
      <c r="G1431" t="inlineStr">
        <is>
          <t>Tuesday</t>
        </is>
      </c>
      <c r="H1431" t="inlineStr">
        <is>
          <t>Monthly - Tuesday</t>
        </is>
      </c>
      <c r="I1431" t="inlineStr">
        <is>
          <t>Monthly - Tuesday</t>
        </is>
      </c>
      <c r="J1431" t="inlineStr">
        <is>
          <t>Month+3 Expiry</t>
        </is>
      </c>
      <c r="K1431" s="25" t="n">
        <v>50282</v>
      </c>
      <c r="L1431" s="26" t="n">
        <v>101.118</v>
      </c>
      <c r="M1431" s="26" t="n">
        <v>3.3002</v>
      </c>
    </row>
    <row r="1432" ht="16" customHeight="1">
      <c r="A1432" t="inlineStr">
        <is>
          <t>24-Dec-2025</t>
        </is>
      </c>
      <c r="B1432" t="inlineStr">
        <is>
          <t>Wednesday</t>
        </is>
      </c>
      <c r="C1432" t="inlineStr">
        <is>
          <t>Week4-Dec-2025</t>
        </is>
      </c>
      <c r="D1432" s="78" t="n">
        <v>45992</v>
      </c>
      <c r="E1432" t="inlineStr">
        <is>
          <t>Q3FY26</t>
        </is>
      </c>
      <c r="F1432" t="inlineStr">
        <is>
          <t>30-Jun-2026</t>
        </is>
      </c>
      <c r="G1432" t="inlineStr">
        <is>
          <t>Tuesday</t>
        </is>
      </c>
      <c r="H1432" t="inlineStr">
        <is>
          <t>Monthly - Tuesday</t>
        </is>
      </c>
      <c r="I1432" t="inlineStr">
        <is>
          <t>Monthly - Tuesday</t>
        </is>
      </c>
      <c r="J1432" t="inlineStr">
        <is>
          <t>Month+6 Expiry</t>
        </is>
      </c>
      <c r="K1432" s="25" t="n">
        <v>8161</v>
      </c>
      <c r="L1432" s="26" t="n">
        <v>16.0705</v>
      </c>
      <c r="M1432" s="26" t="n">
        <v>0.2884</v>
      </c>
    </row>
    <row r="1433" ht="16" customHeight="1">
      <c r="A1433" t="inlineStr">
        <is>
          <t>24-Dec-2025</t>
        </is>
      </c>
      <c r="B1433" t="inlineStr">
        <is>
          <t>Wednesday</t>
        </is>
      </c>
      <c r="C1433" t="inlineStr">
        <is>
          <t>Week4-Dec-2025</t>
        </is>
      </c>
      <c r="D1433" s="78" t="n">
        <v>45992</v>
      </c>
      <c r="E1433" t="inlineStr">
        <is>
          <t>Q3FY26</t>
        </is>
      </c>
      <c r="F1433" t="inlineStr">
        <is>
          <t>29-Sep-2026</t>
        </is>
      </c>
      <c r="G1433" t="inlineStr">
        <is>
          <t>Tuesday</t>
        </is>
      </c>
      <c r="H1433" t="inlineStr">
        <is>
          <t>Monthly - Tuesday</t>
        </is>
      </c>
      <c r="I1433" t="inlineStr">
        <is>
          <t>Monthly - Tuesday</t>
        </is>
      </c>
      <c r="J1433" t="inlineStr">
        <is>
          <t>Month+9 Expiry</t>
        </is>
      </c>
      <c r="K1433" s="25" t="n">
        <v>187</v>
      </c>
      <c r="L1433" s="26" t="n">
        <v>0.3692</v>
      </c>
      <c r="M1433" s="26" t="n">
        <v>0.0055</v>
      </c>
    </row>
    <row r="1434" ht="16" customHeight="1">
      <c r="A1434" t="inlineStr">
        <is>
          <t>24-Dec-2025</t>
        </is>
      </c>
      <c r="B1434" t="inlineStr">
        <is>
          <t>Wednesday</t>
        </is>
      </c>
      <c r="C1434" t="inlineStr">
        <is>
          <t>Week4-Dec-2025</t>
        </is>
      </c>
      <c r="D1434" s="78" t="n">
        <v>45992</v>
      </c>
      <c r="E1434" t="inlineStr">
        <is>
          <t>Q3FY26</t>
        </is>
      </c>
      <c r="F1434" t="inlineStr">
        <is>
          <t>29-Dec-2026</t>
        </is>
      </c>
      <c r="G1434" t="inlineStr">
        <is>
          <t>Tuesday</t>
        </is>
      </c>
      <c r="H1434" t="inlineStr">
        <is>
          <t>Monthly - Tuesday</t>
        </is>
      </c>
      <c r="I1434" t="inlineStr">
        <is>
          <t>Monthly - Tuesday</t>
        </is>
      </c>
      <c r="J1434" t="inlineStr">
        <is>
          <t>Month+12 Expiry</t>
        </is>
      </c>
      <c r="K1434" s="25" t="n">
        <v>3743</v>
      </c>
      <c r="L1434" s="26" t="n">
        <v>7.8294</v>
      </c>
      <c r="M1434" s="26" t="n">
        <v>0.2526</v>
      </c>
    </row>
    <row r="1435" ht="16" customHeight="1">
      <c r="A1435" t="inlineStr">
        <is>
          <t>24-Dec-2025</t>
        </is>
      </c>
      <c r="B1435" t="inlineStr">
        <is>
          <t>Wednesday</t>
        </is>
      </c>
      <c r="C1435" t="inlineStr">
        <is>
          <t>Week4-Dec-2025</t>
        </is>
      </c>
      <c r="D1435" s="78" t="n">
        <v>45992</v>
      </c>
      <c r="E1435" t="inlineStr">
        <is>
          <t>Q3FY26</t>
        </is>
      </c>
      <c r="F1435" t="inlineStr">
        <is>
          <t>29-Jun-2027</t>
        </is>
      </c>
      <c r="G1435" t="inlineStr">
        <is>
          <t>Tuesday</t>
        </is>
      </c>
      <c r="H1435" t="inlineStr">
        <is>
          <t>Monthly - Tuesday</t>
        </is>
      </c>
      <c r="I1435" t="inlineStr">
        <is>
          <t>Monthly - Tuesday</t>
        </is>
      </c>
      <c r="J1435" t="inlineStr">
        <is>
          <t>Month+18 Expiry</t>
        </is>
      </c>
      <c r="K1435" s="25" t="n">
        <v>0</v>
      </c>
      <c r="L1435" s="26" t="n">
        <v>0</v>
      </c>
      <c r="M1435" s="26" t="n">
        <v>0</v>
      </c>
    </row>
    <row r="1436" ht="16" customHeight="1">
      <c r="A1436" t="inlineStr">
        <is>
          <t>24-Dec-2025</t>
        </is>
      </c>
      <c r="B1436" t="inlineStr">
        <is>
          <t>Wednesday</t>
        </is>
      </c>
      <c r="C1436" t="inlineStr">
        <is>
          <t>Week4-Dec-2025</t>
        </is>
      </c>
      <c r="D1436" s="78" t="n">
        <v>45992</v>
      </c>
      <c r="E1436" t="inlineStr">
        <is>
          <t>Q3FY26</t>
        </is>
      </c>
      <c r="F1436" t="inlineStr">
        <is>
          <t>28-Dec-2027</t>
        </is>
      </c>
      <c r="G1436" t="inlineStr">
        <is>
          <t>Tuesday</t>
        </is>
      </c>
      <c r="H1436" t="inlineStr">
        <is>
          <t>Monthly - Tuesday</t>
        </is>
      </c>
      <c r="I1436" t="inlineStr">
        <is>
          <t>Monthly - Tuesday</t>
        </is>
      </c>
      <c r="J1436" t="inlineStr">
        <is>
          <t>Month+24 Expiry</t>
        </is>
      </c>
      <c r="K1436" s="25" t="n">
        <v>9</v>
      </c>
      <c r="L1436" s="26" t="n">
        <v>0.0167</v>
      </c>
      <c r="M1436" s="26" t="n">
        <v>0.0007</v>
      </c>
    </row>
    <row r="1437" ht="16" customHeight="1">
      <c r="A1437" t="inlineStr">
        <is>
          <t>24-Dec-2025</t>
        </is>
      </c>
      <c r="B1437" t="inlineStr">
        <is>
          <t>Wednesday</t>
        </is>
      </c>
      <c r="C1437" t="inlineStr">
        <is>
          <t>Week4-Dec-2025</t>
        </is>
      </c>
      <c r="D1437" s="78" t="n">
        <v>45992</v>
      </c>
      <c r="E1437" t="inlineStr">
        <is>
          <t>Q3FY26</t>
        </is>
      </c>
      <c r="F1437" t="inlineStr">
        <is>
          <t>27-Jun-2028</t>
        </is>
      </c>
      <c r="G1437" t="inlineStr">
        <is>
          <t>Tuesday</t>
        </is>
      </c>
      <c r="H1437" t="inlineStr">
        <is>
          <t>Monthly - Tuesday</t>
        </is>
      </c>
      <c r="I1437" t="inlineStr">
        <is>
          <t>Monthly - Tuesday</t>
        </is>
      </c>
      <c r="J1437" t="inlineStr">
        <is>
          <t>Month+30 Expiry</t>
        </is>
      </c>
      <c r="K1437" s="25" t="n">
        <v>0</v>
      </c>
      <c r="L1437" s="26" t="n">
        <v>0</v>
      </c>
      <c r="M1437" s="26" t="n">
        <v>0</v>
      </c>
    </row>
    <row r="1438" ht="16" customHeight="1">
      <c r="A1438" t="inlineStr">
        <is>
          <t>24-Dec-2025</t>
        </is>
      </c>
      <c r="B1438" t="inlineStr">
        <is>
          <t>Wednesday</t>
        </is>
      </c>
      <c r="C1438" t="inlineStr">
        <is>
          <t>Week4-Dec-2025</t>
        </is>
      </c>
      <c r="D1438" s="78" t="n">
        <v>45992</v>
      </c>
      <c r="E1438" t="inlineStr">
        <is>
          <t>Q3FY26</t>
        </is>
      </c>
      <c r="F1438" t="inlineStr">
        <is>
          <t>26-Dec-2028</t>
        </is>
      </c>
      <c r="G1438" t="inlineStr">
        <is>
          <t>Tuesday</t>
        </is>
      </c>
      <c r="H1438" t="inlineStr">
        <is>
          <t>Monthly - Tuesday</t>
        </is>
      </c>
      <c r="I1438" t="inlineStr">
        <is>
          <t>Monthly - Tuesday</t>
        </is>
      </c>
      <c r="J1438" t="inlineStr">
        <is>
          <t>Month+36 Expiry</t>
        </is>
      </c>
      <c r="K1438" s="25" t="n">
        <v>5</v>
      </c>
      <c r="L1438" s="26" t="n">
        <v>0.0102</v>
      </c>
      <c r="M1438" s="26" t="n">
        <v>0.0003</v>
      </c>
    </row>
    <row r="1439" ht="16" customHeight="1">
      <c r="A1439" t="inlineStr">
        <is>
          <t>24-Dec-2025</t>
        </is>
      </c>
      <c r="B1439" t="inlineStr">
        <is>
          <t>Wednesday</t>
        </is>
      </c>
      <c r="C1439" t="inlineStr">
        <is>
          <t>Week4-Dec-2025</t>
        </is>
      </c>
      <c r="D1439" s="78" t="n">
        <v>45992</v>
      </c>
      <c r="E1439" t="inlineStr">
        <is>
          <t>Q3FY26</t>
        </is>
      </c>
      <c r="F1439" t="inlineStr">
        <is>
          <t>26-Jun-2029</t>
        </is>
      </c>
      <c r="G1439" t="inlineStr">
        <is>
          <t>Tuesday</t>
        </is>
      </c>
      <c r="H1439" t="inlineStr">
        <is>
          <t>Monthly - Tuesday</t>
        </is>
      </c>
      <c r="I1439" t="inlineStr">
        <is>
          <t>Monthly - Tuesday</t>
        </is>
      </c>
      <c r="J1439" t="inlineStr">
        <is>
          <t>Month+42 Expiry</t>
        </is>
      </c>
      <c r="K1439" s="25" t="n">
        <v>0</v>
      </c>
      <c r="L1439" s="26" t="n">
        <v>0</v>
      </c>
      <c r="M1439" s="26" t="n">
        <v>0</v>
      </c>
    </row>
    <row r="1440" ht="16" customHeight="1">
      <c r="A1440" t="inlineStr">
        <is>
          <t>24-Dec-2025</t>
        </is>
      </c>
      <c r="B1440" t="inlineStr">
        <is>
          <t>Wednesday</t>
        </is>
      </c>
      <c r="C1440" t="inlineStr">
        <is>
          <t>Week4-Dec-2025</t>
        </is>
      </c>
      <c r="D1440" s="78" t="n">
        <v>45992</v>
      </c>
      <c r="E1440" t="inlineStr">
        <is>
          <t>Q3FY26</t>
        </is>
      </c>
      <c r="F1440" t="inlineStr">
        <is>
          <t>24-Dec-2029</t>
        </is>
      </c>
      <c r="G1440" t="inlineStr">
        <is>
          <t>Monday</t>
        </is>
      </c>
      <c r="H1440" t="inlineStr">
        <is>
          <t>Weekly - Monday</t>
        </is>
      </c>
      <c r="I1440" t="inlineStr">
        <is>
          <t>Weekly - Monday</t>
        </is>
      </c>
      <c r="J1440" t="inlineStr">
        <is>
          <t>Month+48 Expiry</t>
        </is>
      </c>
      <c r="K1440" s="25" t="n">
        <v>0</v>
      </c>
      <c r="L1440" s="26" t="n">
        <v>0</v>
      </c>
      <c r="M1440" s="26" t="n">
        <v>0</v>
      </c>
    </row>
    <row r="1441" ht="16" customHeight="1">
      <c r="A1441" t="inlineStr">
        <is>
          <t>24-Dec-2025</t>
        </is>
      </c>
      <c r="B1441" t="inlineStr">
        <is>
          <t>Wednesday</t>
        </is>
      </c>
      <c r="C1441" t="inlineStr">
        <is>
          <t>Week4-Dec-2025</t>
        </is>
      </c>
      <c r="D1441" s="78" t="n">
        <v>45992</v>
      </c>
      <c r="E1441" t="inlineStr">
        <is>
          <t>Q3FY26</t>
        </is>
      </c>
      <c r="F1441" t="inlineStr">
        <is>
          <t>25-Jun-2030</t>
        </is>
      </c>
      <c r="G1441" t="inlineStr">
        <is>
          <t>Tuesday</t>
        </is>
      </c>
      <c r="H1441" t="inlineStr">
        <is>
          <t>Monthly - Tuesday</t>
        </is>
      </c>
      <c r="I1441" t="inlineStr">
        <is>
          <t>Monthly - Tuesday</t>
        </is>
      </c>
      <c r="J1441" t="inlineStr">
        <is>
          <t>Month+54 Expiry</t>
        </is>
      </c>
      <c r="K1441" s="25" t="n">
        <v>0</v>
      </c>
      <c r="L1441" s="26" t="n">
        <v>0</v>
      </c>
      <c r="M1441" s="26" t="n">
        <v>0</v>
      </c>
    </row>
    <row r="1442" ht="16" customHeight="1">
      <c r="A1442" t="inlineStr">
        <is>
          <t>26-Dec-2025</t>
        </is>
      </c>
      <c r="B1442" t="inlineStr">
        <is>
          <t>Friday</t>
        </is>
      </c>
      <c r="C1442" t="inlineStr">
        <is>
          <t>Week4-Dec-2025</t>
        </is>
      </c>
      <c r="D1442" s="78" t="n">
        <v>45992</v>
      </c>
      <c r="E1442" t="inlineStr">
        <is>
          <t>Q3FY26</t>
        </is>
      </c>
      <c r="F1442" t="inlineStr">
        <is>
          <t>30-Dec-2025</t>
        </is>
      </c>
      <c r="G1442" t="inlineStr">
        <is>
          <t>Tuesday</t>
        </is>
      </c>
      <c r="H1442" t="inlineStr">
        <is>
          <t>Monthly - Tuesday</t>
        </is>
      </c>
      <c r="I1442" t="inlineStr">
        <is>
          <t>MDAW - Tuesday</t>
        </is>
      </c>
      <c r="J1442" t="inlineStr">
        <is>
          <t>Same Month Expiry</t>
        </is>
      </c>
      <c r="K1442" s="25" t="n">
        <v>58640372</v>
      </c>
      <c r="L1442" s="26" t="n">
        <v>115064.3945</v>
      </c>
      <c r="M1442" s="26" t="n">
        <v>211.402</v>
      </c>
    </row>
    <row r="1443" ht="16" customHeight="1">
      <c r="A1443" t="inlineStr">
        <is>
          <t>26-Dec-2025</t>
        </is>
      </c>
      <c r="B1443" t="inlineStr">
        <is>
          <t>Friday</t>
        </is>
      </c>
      <c r="C1443" t="inlineStr">
        <is>
          <t>Week4-Dec-2025</t>
        </is>
      </c>
      <c r="D1443" s="78" t="n">
        <v>45992</v>
      </c>
      <c r="E1443" t="inlineStr">
        <is>
          <t>Q3FY26</t>
        </is>
      </c>
      <c r="F1443" t="inlineStr">
        <is>
          <t>06-Jan-2026</t>
        </is>
      </c>
      <c r="G1443" t="inlineStr">
        <is>
          <t>Tuesday</t>
        </is>
      </c>
      <c r="H1443" t="inlineStr">
        <is>
          <t>Weekly - Tuesday</t>
        </is>
      </c>
      <c r="I1443" t="inlineStr">
        <is>
          <t>Weekly - Tuesday</t>
        </is>
      </c>
      <c r="J1443" t="inlineStr">
        <is>
          <t>Month+1 Expiry</t>
        </is>
      </c>
      <c r="K1443" s="25" t="n">
        <v>2489699</v>
      </c>
      <c r="L1443" s="26" t="n">
        <v>4244.7727</v>
      </c>
      <c r="M1443" s="26" t="n">
        <v>11.6184</v>
      </c>
    </row>
    <row r="1444" ht="16" customHeight="1">
      <c r="A1444" t="inlineStr">
        <is>
          <t>26-Dec-2025</t>
        </is>
      </c>
      <c r="B1444" t="inlineStr">
        <is>
          <t>Friday</t>
        </is>
      </c>
      <c r="C1444" t="inlineStr">
        <is>
          <t>Week4-Dec-2025</t>
        </is>
      </c>
      <c r="D1444" s="78" t="n">
        <v>45992</v>
      </c>
      <c r="E1444" t="inlineStr">
        <is>
          <t>Q3FY26</t>
        </is>
      </c>
      <c r="F1444" t="inlineStr">
        <is>
          <t>13-Jan-2026</t>
        </is>
      </c>
      <c r="G1444" t="inlineStr">
        <is>
          <t>Tuesday</t>
        </is>
      </c>
      <c r="H1444" t="inlineStr">
        <is>
          <t>Weekly - Tuesday</t>
        </is>
      </c>
      <c r="I1444" t="inlineStr">
        <is>
          <t>Weekly - Tuesday</t>
        </is>
      </c>
      <c r="J1444" t="inlineStr">
        <is>
          <t>Month+1 Expiry</t>
        </is>
      </c>
      <c r="K1444" s="25" t="n">
        <v>165830</v>
      </c>
      <c r="L1444" s="26" t="n">
        <v>282.8626</v>
      </c>
      <c r="M1444" s="26" t="n">
        <v>1.2904</v>
      </c>
    </row>
    <row r="1445" ht="16" customHeight="1">
      <c r="A1445" t="inlineStr">
        <is>
          <t>26-Dec-2025</t>
        </is>
      </c>
      <c r="B1445" t="inlineStr">
        <is>
          <t>Friday</t>
        </is>
      </c>
      <c r="C1445" t="inlineStr">
        <is>
          <t>Week4-Dec-2025</t>
        </is>
      </c>
      <c r="D1445" s="78" t="n">
        <v>45992</v>
      </c>
      <c r="E1445" t="inlineStr">
        <is>
          <t>Q3FY26</t>
        </is>
      </c>
      <c r="F1445" t="inlineStr">
        <is>
          <t>20-Jan-2026</t>
        </is>
      </c>
      <c r="G1445" t="inlineStr">
        <is>
          <t>Tuesday</t>
        </is>
      </c>
      <c r="H1445" t="inlineStr">
        <is>
          <t>Weekly - Tuesday</t>
        </is>
      </c>
      <c r="I1445" t="inlineStr">
        <is>
          <t>Weekly - Tuesday</t>
        </is>
      </c>
      <c r="J1445" t="inlineStr">
        <is>
          <t>Month+1 Expiry</t>
        </is>
      </c>
      <c r="K1445" s="25" t="n">
        <v>11369</v>
      </c>
      <c r="L1445" s="26" t="n">
        <v>19.4619</v>
      </c>
      <c r="M1445" s="26" t="n">
        <v>0.1054</v>
      </c>
    </row>
    <row r="1446" ht="16" customHeight="1">
      <c r="A1446" t="inlineStr">
        <is>
          <t>26-Dec-2025</t>
        </is>
      </c>
      <c r="B1446" t="inlineStr">
        <is>
          <t>Friday</t>
        </is>
      </c>
      <c r="C1446" t="inlineStr">
        <is>
          <t>Week4-Dec-2025</t>
        </is>
      </c>
      <c r="D1446" s="78" t="n">
        <v>45992</v>
      </c>
      <c r="E1446" t="inlineStr">
        <is>
          <t>Q3FY26</t>
        </is>
      </c>
      <c r="F1446" t="inlineStr">
        <is>
          <t>27-Jan-2026</t>
        </is>
      </c>
      <c r="G1446" t="inlineStr">
        <is>
          <t>Tuesday</t>
        </is>
      </c>
      <c r="H1446" t="inlineStr">
        <is>
          <t>Monthly - Tuesday</t>
        </is>
      </c>
      <c r="I1446" t="inlineStr">
        <is>
          <t>Monthly - Tuesday</t>
        </is>
      </c>
      <c r="J1446" t="inlineStr">
        <is>
          <t>Month+1 Expiry</t>
        </is>
      </c>
      <c r="K1446" s="25" t="n">
        <v>695552</v>
      </c>
      <c r="L1446" s="26" t="n">
        <v>1193.0814</v>
      </c>
      <c r="M1446" s="26" t="n">
        <v>8.0571</v>
      </c>
    </row>
    <row r="1447" ht="16" customHeight="1">
      <c r="A1447" t="inlineStr">
        <is>
          <t>26-Dec-2025</t>
        </is>
      </c>
      <c r="B1447" t="inlineStr">
        <is>
          <t>Friday</t>
        </is>
      </c>
      <c r="C1447" t="inlineStr">
        <is>
          <t>Week4-Dec-2025</t>
        </is>
      </c>
      <c r="D1447" s="78" t="n">
        <v>45992</v>
      </c>
      <c r="E1447" t="inlineStr">
        <is>
          <t>Q3FY26</t>
        </is>
      </c>
      <c r="F1447" t="inlineStr">
        <is>
          <t>03-Feb-2026</t>
        </is>
      </c>
      <c r="G1447" t="inlineStr">
        <is>
          <t>Tuesday</t>
        </is>
      </c>
      <c r="H1447" t="inlineStr">
        <is>
          <t>Weekly - Tuesday</t>
        </is>
      </c>
      <c r="I1447" t="inlineStr">
        <is>
          <t>Weekly - Tuesday</t>
        </is>
      </c>
      <c r="J1447" t="inlineStr">
        <is>
          <t>Month+2 Expiry</t>
        </is>
      </c>
      <c r="K1447" s="25" t="n">
        <v>920</v>
      </c>
      <c r="L1447" s="26" t="n">
        <v>1.5579</v>
      </c>
      <c r="M1447" s="26" t="n">
        <v>0.0101</v>
      </c>
    </row>
    <row r="1448" ht="16" customHeight="1">
      <c r="A1448" t="inlineStr">
        <is>
          <t>26-Dec-2025</t>
        </is>
      </c>
      <c r="B1448" t="inlineStr">
        <is>
          <t>Friday</t>
        </is>
      </c>
      <c r="C1448" t="inlineStr">
        <is>
          <t>Week4-Dec-2025</t>
        </is>
      </c>
      <c r="D1448" s="78" t="n">
        <v>45992</v>
      </c>
      <c r="E1448" t="inlineStr">
        <is>
          <t>Q3FY26</t>
        </is>
      </c>
      <c r="F1448" t="inlineStr">
        <is>
          <t>24-Feb-2026</t>
        </is>
      </c>
      <c r="G1448" t="inlineStr">
        <is>
          <t>Tuesday</t>
        </is>
      </c>
      <c r="H1448" t="inlineStr">
        <is>
          <t>Monthly - Tuesday</t>
        </is>
      </c>
      <c r="I1448" t="inlineStr">
        <is>
          <t>Monthly - Tuesday</t>
        </is>
      </c>
      <c r="J1448" t="inlineStr">
        <is>
          <t>Month+2 Expiry</t>
        </is>
      </c>
      <c r="K1448" s="25" t="n">
        <v>77348</v>
      </c>
      <c r="L1448" s="26" t="n">
        <v>132.8715</v>
      </c>
      <c r="M1448" s="26" t="n">
        <v>1.3518</v>
      </c>
    </row>
    <row r="1449" ht="16" customHeight="1">
      <c r="A1449" t="inlineStr">
        <is>
          <t>26-Dec-2025</t>
        </is>
      </c>
      <c r="B1449" t="inlineStr">
        <is>
          <t>Friday</t>
        </is>
      </c>
      <c r="C1449" t="inlineStr">
        <is>
          <t>Week4-Dec-2025</t>
        </is>
      </c>
      <c r="D1449" s="78" t="n">
        <v>45992</v>
      </c>
      <c r="E1449" t="inlineStr">
        <is>
          <t>Q3FY26</t>
        </is>
      </c>
      <c r="F1449" t="inlineStr">
        <is>
          <t>31-Mar-2026</t>
        </is>
      </c>
      <c r="G1449" t="inlineStr">
        <is>
          <t>Tuesday</t>
        </is>
      </c>
      <c r="H1449" t="inlineStr">
        <is>
          <t>Monthly - Tuesday</t>
        </is>
      </c>
      <c r="I1449" t="inlineStr">
        <is>
          <t>Monthly - Tuesday</t>
        </is>
      </c>
      <c r="J1449" t="inlineStr">
        <is>
          <t>Month+3 Expiry</t>
        </is>
      </c>
      <c r="K1449" s="25" t="n">
        <v>55862</v>
      </c>
      <c r="L1449" s="26" t="n">
        <v>113.814</v>
      </c>
      <c r="M1449" s="26" t="n">
        <v>3.0695</v>
      </c>
    </row>
    <row r="1450" ht="16" customHeight="1">
      <c r="A1450" t="inlineStr">
        <is>
          <t>26-Dec-2025</t>
        </is>
      </c>
      <c r="B1450" t="inlineStr">
        <is>
          <t>Friday</t>
        </is>
      </c>
      <c r="C1450" t="inlineStr">
        <is>
          <t>Week4-Dec-2025</t>
        </is>
      </c>
      <c r="D1450" s="78" t="n">
        <v>45992</v>
      </c>
      <c r="E1450" t="inlineStr">
        <is>
          <t>Q3FY26</t>
        </is>
      </c>
      <c r="F1450" t="inlineStr">
        <is>
          <t>30-Jun-2026</t>
        </is>
      </c>
      <c r="G1450" t="inlineStr">
        <is>
          <t>Tuesday</t>
        </is>
      </c>
      <c r="H1450" t="inlineStr">
        <is>
          <t>Monthly - Tuesday</t>
        </is>
      </c>
      <c r="I1450" t="inlineStr">
        <is>
          <t>Monthly - Tuesday</t>
        </is>
      </c>
      <c r="J1450" t="inlineStr">
        <is>
          <t>Month+6 Expiry</t>
        </is>
      </c>
      <c r="K1450" s="25" t="n">
        <v>11859</v>
      </c>
      <c r="L1450" s="26" t="n">
        <v>23.8559</v>
      </c>
      <c r="M1450" s="26" t="n">
        <v>0.4022</v>
      </c>
    </row>
    <row r="1451" ht="16" customHeight="1">
      <c r="A1451" t="inlineStr">
        <is>
          <t>26-Dec-2025</t>
        </is>
      </c>
      <c r="B1451" t="inlineStr">
        <is>
          <t>Friday</t>
        </is>
      </c>
      <c r="C1451" t="inlineStr">
        <is>
          <t>Week4-Dec-2025</t>
        </is>
      </c>
      <c r="D1451" s="78" t="n">
        <v>45992</v>
      </c>
      <c r="E1451" t="inlineStr">
        <is>
          <t>Q3FY26</t>
        </is>
      </c>
      <c r="F1451" t="inlineStr">
        <is>
          <t>29-Sep-2026</t>
        </is>
      </c>
      <c r="G1451" t="inlineStr">
        <is>
          <t>Tuesday</t>
        </is>
      </c>
      <c r="H1451" t="inlineStr">
        <is>
          <t>Monthly - Tuesday</t>
        </is>
      </c>
      <c r="I1451" t="inlineStr">
        <is>
          <t>Monthly - Tuesday</t>
        </is>
      </c>
      <c r="J1451" t="inlineStr">
        <is>
          <t>Month+9 Expiry</t>
        </is>
      </c>
      <c r="K1451" s="25" t="n">
        <v>768</v>
      </c>
      <c r="L1451" s="26" t="n">
        <v>1.4751</v>
      </c>
      <c r="M1451" s="26" t="n">
        <v>0.0189</v>
      </c>
    </row>
    <row r="1452" ht="16" customHeight="1">
      <c r="A1452" t="inlineStr">
        <is>
          <t>26-Dec-2025</t>
        </is>
      </c>
      <c r="B1452" t="inlineStr">
        <is>
          <t>Friday</t>
        </is>
      </c>
      <c r="C1452" t="inlineStr">
        <is>
          <t>Week4-Dec-2025</t>
        </is>
      </c>
      <c r="D1452" s="78" t="n">
        <v>45992</v>
      </c>
      <c r="E1452" t="inlineStr">
        <is>
          <t>Q3FY26</t>
        </is>
      </c>
      <c r="F1452" t="inlineStr">
        <is>
          <t>29-Dec-2026</t>
        </is>
      </c>
      <c r="G1452" t="inlineStr">
        <is>
          <t>Tuesday</t>
        </is>
      </c>
      <c r="H1452" t="inlineStr">
        <is>
          <t>Monthly - Tuesday</t>
        </is>
      </c>
      <c r="I1452" t="inlineStr">
        <is>
          <t>Monthly - Tuesday</t>
        </is>
      </c>
      <c r="J1452" t="inlineStr">
        <is>
          <t>Month+12 Expiry</t>
        </is>
      </c>
      <c r="K1452" s="25" t="n">
        <v>4577</v>
      </c>
      <c r="L1452" s="26" t="n">
        <v>9.5167</v>
      </c>
      <c r="M1452" s="26" t="n">
        <v>0.3242</v>
      </c>
    </row>
    <row r="1453" ht="16" customHeight="1">
      <c r="A1453" t="inlineStr">
        <is>
          <t>26-Dec-2025</t>
        </is>
      </c>
      <c r="B1453" t="inlineStr">
        <is>
          <t>Friday</t>
        </is>
      </c>
      <c r="C1453" t="inlineStr">
        <is>
          <t>Week4-Dec-2025</t>
        </is>
      </c>
      <c r="D1453" s="78" t="n">
        <v>45992</v>
      </c>
      <c r="E1453" t="inlineStr">
        <is>
          <t>Q3FY26</t>
        </is>
      </c>
      <c r="F1453" t="inlineStr">
        <is>
          <t>29-Jun-2027</t>
        </is>
      </c>
      <c r="G1453" t="inlineStr">
        <is>
          <t>Tuesday</t>
        </is>
      </c>
      <c r="H1453" t="inlineStr">
        <is>
          <t>Monthly - Tuesday</t>
        </is>
      </c>
      <c r="I1453" t="inlineStr">
        <is>
          <t>Monthly - Tuesday</t>
        </is>
      </c>
      <c r="J1453" t="inlineStr">
        <is>
          <t>Month+18 Expiry</t>
        </is>
      </c>
      <c r="K1453" s="25" t="n">
        <v>1</v>
      </c>
      <c r="L1453" s="26" t="n">
        <v>0.0021</v>
      </c>
      <c r="M1453" s="26" t="n">
        <v>0.0003</v>
      </c>
    </row>
    <row r="1454" ht="16" customHeight="1">
      <c r="A1454" t="inlineStr">
        <is>
          <t>26-Dec-2025</t>
        </is>
      </c>
      <c r="B1454" t="inlineStr">
        <is>
          <t>Friday</t>
        </is>
      </c>
      <c r="C1454" t="inlineStr">
        <is>
          <t>Week4-Dec-2025</t>
        </is>
      </c>
      <c r="D1454" s="78" t="n">
        <v>45992</v>
      </c>
      <c r="E1454" t="inlineStr">
        <is>
          <t>Q3FY26</t>
        </is>
      </c>
      <c r="F1454" t="inlineStr">
        <is>
          <t>28-Dec-2027</t>
        </is>
      </c>
      <c r="G1454" t="inlineStr">
        <is>
          <t>Tuesday</t>
        </is>
      </c>
      <c r="H1454" t="inlineStr">
        <is>
          <t>Monthly - Tuesday</t>
        </is>
      </c>
      <c r="I1454" t="inlineStr">
        <is>
          <t>Monthly - Tuesday</t>
        </is>
      </c>
      <c r="J1454" t="inlineStr">
        <is>
          <t>Month+24 Expiry</t>
        </is>
      </c>
      <c r="K1454" s="25" t="n">
        <v>11</v>
      </c>
      <c r="L1454" s="26" t="n">
        <v>0.0209</v>
      </c>
      <c r="M1454" s="26" t="n">
        <v>0.0005</v>
      </c>
    </row>
    <row r="1455" ht="16" customHeight="1">
      <c r="A1455" t="inlineStr">
        <is>
          <t>26-Dec-2025</t>
        </is>
      </c>
      <c r="B1455" t="inlineStr">
        <is>
          <t>Friday</t>
        </is>
      </c>
      <c r="C1455" t="inlineStr">
        <is>
          <t>Week4-Dec-2025</t>
        </is>
      </c>
      <c r="D1455" s="78" t="n">
        <v>45992</v>
      </c>
      <c r="E1455" t="inlineStr">
        <is>
          <t>Q3FY26</t>
        </is>
      </c>
      <c r="F1455" t="inlineStr">
        <is>
          <t>27-Jun-2028</t>
        </is>
      </c>
      <c r="G1455" t="inlineStr">
        <is>
          <t>Tuesday</t>
        </is>
      </c>
      <c r="H1455" t="inlineStr">
        <is>
          <t>Monthly - Tuesday</t>
        </is>
      </c>
      <c r="I1455" t="inlineStr">
        <is>
          <t>Monthly - Tuesday</t>
        </is>
      </c>
      <c r="J1455" t="inlineStr">
        <is>
          <t>Month+30 Expiry</t>
        </is>
      </c>
      <c r="K1455" s="25" t="n">
        <v>0</v>
      </c>
      <c r="L1455" s="26" t="n">
        <v>0</v>
      </c>
      <c r="M1455" s="26" t="n">
        <v>0</v>
      </c>
    </row>
    <row r="1456" ht="16" customHeight="1">
      <c r="A1456" t="inlineStr">
        <is>
          <t>26-Dec-2025</t>
        </is>
      </c>
      <c r="B1456" t="inlineStr">
        <is>
          <t>Friday</t>
        </is>
      </c>
      <c r="C1456" t="inlineStr">
        <is>
          <t>Week4-Dec-2025</t>
        </is>
      </c>
      <c r="D1456" s="78" t="n">
        <v>45992</v>
      </c>
      <c r="E1456" t="inlineStr">
        <is>
          <t>Q3FY26</t>
        </is>
      </c>
      <c r="F1456" t="inlineStr">
        <is>
          <t>26-Dec-2028</t>
        </is>
      </c>
      <c r="G1456" t="inlineStr">
        <is>
          <t>Tuesday</t>
        </is>
      </c>
      <c r="H1456" t="inlineStr">
        <is>
          <t>Monthly - Tuesday</t>
        </is>
      </c>
      <c r="I1456" t="inlineStr">
        <is>
          <t>Monthly - Tuesday</t>
        </is>
      </c>
      <c r="J1456" t="inlineStr">
        <is>
          <t>Month+36 Expiry</t>
        </is>
      </c>
      <c r="K1456" s="25" t="n">
        <v>1</v>
      </c>
      <c r="L1456" s="26" t="n">
        <v>0.0021</v>
      </c>
      <c r="M1456" s="26" t="n">
        <v>0.0001</v>
      </c>
    </row>
    <row r="1457" ht="16" customHeight="1">
      <c r="A1457" t="inlineStr">
        <is>
          <t>26-Dec-2025</t>
        </is>
      </c>
      <c r="B1457" t="inlineStr">
        <is>
          <t>Friday</t>
        </is>
      </c>
      <c r="C1457" t="inlineStr">
        <is>
          <t>Week4-Dec-2025</t>
        </is>
      </c>
      <c r="D1457" s="78" t="n">
        <v>45992</v>
      </c>
      <c r="E1457" t="inlineStr">
        <is>
          <t>Q3FY26</t>
        </is>
      </c>
      <c r="F1457" t="inlineStr">
        <is>
          <t>26-Jun-2029</t>
        </is>
      </c>
      <c r="G1457" t="inlineStr">
        <is>
          <t>Tuesday</t>
        </is>
      </c>
      <c r="H1457" t="inlineStr">
        <is>
          <t>Monthly - Tuesday</t>
        </is>
      </c>
      <c r="I1457" t="inlineStr">
        <is>
          <t>Monthly - Tuesday</t>
        </is>
      </c>
      <c r="J1457" t="inlineStr">
        <is>
          <t>Month+42 Expiry</t>
        </is>
      </c>
      <c r="K1457" s="25" t="n">
        <v>0</v>
      </c>
      <c r="L1457" s="26" t="n">
        <v>0</v>
      </c>
      <c r="M1457" s="26" t="n">
        <v>0</v>
      </c>
    </row>
    <row r="1458" ht="16" customHeight="1">
      <c r="A1458" t="inlineStr">
        <is>
          <t>26-Dec-2025</t>
        </is>
      </c>
      <c r="B1458" t="inlineStr">
        <is>
          <t>Friday</t>
        </is>
      </c>
      <c r="C1458" t="inlineStr">
        <is>
          <t>Week4-Dec-2025</t>
        </is>
      </c>
      <c r="D1458" s="78" t="n">
        <v>45992</v>
      </c>
      <c r="E1458" t="inlineStr">
        <is>
          <t>Q3FY26</t>
        </is>
      </c>
      <c r="F1458" t="inlineStr">
        <is>
          <t>24-Dec-2029</t>
        </is>
      </c>
      <c r="G1458" t="inlineStr">
        <is>
          <t>Monday</t>
        </is>
      </c>
      <c r="H1458" t="inlineStr">
        <is>
          <t>Weekly - Monday</t>
        </is>
      </c>
      <c r="I1458" t="inlineStr">
        <is>
          <t>Weekly - Monday</t>
        </is>
      </c>
      <c r="J1458" t="inlineStr">
        <is>
          <t>Month+48 Expiry</t>
        </is>
      </c>
      <c r="K1458" s="25" t="n">
        <v>0</v>
      </c>
      <c r="L1458" s="26" t="n">
        <v>0</v>
      </c>
      <c r="M1458" s="26" t="n">
        <v>0</v>
      </c>
    </row>
    <row r="1459" ht="16" customHeight="1">
      <c r="A1459" t="inlineStr">
        <is>
          <t>26-Dec-2025</t>
        </is>
      </c>
      <c r="B1459" t="inlineStr">
        <is>
          <t>Friday</t>
        </is>
      </c>
      <c r="C1459" t="inlineStr">
        <is>
          <t>Week4-Dec-2025</t>
        </is>
      </c>
      <c r="D1459" s="78" t="n">
        <v>45992</v>
      </c>
      <c r="E1459" t="inlineStr">
        <is>
          <t>Q3FY26</t>
        </is>
      </c>
      <c r="F1459" t="inlineStr">
        <is>
          <t>25-Jun-2030</t>
        </is>
      </c>
      <c r="G1459" t="inlineStr">
        <is>
          <t>Tuesday</t>
        </is>
      </c>
      <c r="H1459" t="inlineStr">
        <is>
          <t>Monthly - Tuesday</t>
        </is>
      </c>
      <c r="I1459" t="inlineStr">
        <is>
          <t>Monthly - Tuesday</t>
        </is>
      </c>
      <c r="J1459" t="inlineStr">
        <is>
          <t>Month+54 Expiry</t>
        </is>
      </c>
      <c r="K1459" s="25" t="n">
        <v>0</v>
      </c>
      <c r="L1459" s="26" t="n">
        <v>0</v>
      </c>
      <c r="M1459" s="26" t="n">
        <v>0</v>
      </c>
    </row>
    <row r="1460" ht="16" customHeight="1">
      <c r="A1460" t="inlineStr">
        <is>
          <t>29-Dec-2025</t>
        </is>
      </c>
      <c r="B1460" t="inlineStr">
        <is>
          <t>Monday</t>
        </is>
      </c>
      <c r="C1460" t="inlineStr">
        <is>
          <t>Week5-Dec-2025</t>
        </is>
      </c>
      <c r="D1460" s="78" t="n">
        <v>45992</v>
      </c>
      <c r="E1460" t="inlineStr">
        <is>
          <t>Q3FY26</t>
        </is>
      </c>
      <c r="F1460" t="inlineStr">
        <is>
          <t>30-Dec-2025</t>
        </is>
      </c>
      <c r="G1460" t="inlineStr">
        <is>
          <t>Tuesday</t>
        </is>
      </c>
      <c r="H1460" t="inlineStr">
        <is>
          <t>Monthly - Tuesday</t>
        </is>
      </c>
      <c r="I1460" t="inlineStr">
        <is>
          <t>MDAW - Tuesday</t>
        </is>
      </c>
      <c r="J1460" t="inlineStr">
        <is>
          <t>Same Month Expiry</t>
        </is>
      </c>
      <c r="K1460" s="25" t="n">
        <v>95807647</v>
      </c>
      <c r="L1460" s="26" t="n">
        <v>187308.2502</v>
      </c>
      <c r="M1460" s="26" t="n">
        <v>269.0138</v>
      </c>
    </row>
    <row r="1461" ht="16" customHeight="1">
      <c r="A1461" t="inlineStr">
        <is>
          <t>29-Dec-2025</t>
        </is>
      </c>
      <c r="B1461" t="inlineStr">
        <is>
          <t>Monday</t>
        </is>
      </c>
      <c r="C1461" t="inlineStr">
        <is>
          <t>Week5-Dec-2025</t>
        </is>
      </c>
      <c r="D1461" s="78" t="n">
        <v>45992</v>
      </c>
      <c r="E1461" t="inlineStr">
        <is>
          <t>Q3FY26</t>
        </is>
      </c>
      <c r="F1461" t="inlineStr">
        <is>
          <t>06-Jan-2026</t>
        </is>
      </c>
      <c r="G1461" t="inlineStr">
        <is>
          <t>Tuesday</t>
        </is>
      </c>
      <c r="H1461" t="inlineStr">
        <is>
          <t>Weekly - Tuesday</t>
        </is>
      </c>
      <c r="I1461" t="inlineStr">
        <is>
          <t>Weekly - Tuesday</t>
        </is>
      </c>
      <c r="J1461" t="inlineStr">
        <is>
          <t>Month+1 Expiry</t>
        </is>
      </c>
      <c r="K1461" s="25" t="n">
        <v>4991299</v>
      </c>
      <c r="L1461" s="26" t="n">
        <v>8497.2147</v>
      </c>
      <c r="M1461" s="26" t="n">
        <v>21.2984</v>
      </c>
    </row>
    <row r="1462" ht="16" customHeight="1">
      <c r="A1462" t="inlineStr">
        <is>
          <t>29-Dec-2025</t>
        </is>
      </c>
      <c r="B1462" t="inlineStr">
        <is>
          <t>Monday</t>
        </is>
      </c>
      <c r="C1462" t="inlineStr">
        <is>
          <t>Week5-Dec-2025</t>
        </is>
      </c>
      <c r="D1462" s="78" t="n">
        <v>45992</v>
      </c>
      <c r="E1462" t="inlineStr">
        <is>
          <t>Q3FY26</t>
        </is>
      </c>
      <c r="F1462" t="inlineStr">
        <is>
          <t>13-Jan-2026</t>
        </is>
      </c>
      <c r="G1462" t="inlineStr">
        <is>
          <t>Tuesday</t>
        </is>
      </c>
      <c r="H1462" t="inlineStr">
        <is>
          <t>Weekly - Tuesday</t>
        </is>
      </c>
      <c r="I1462" t="inlineStr">
        <is>
          <t>Weekly - Tuesday</t>
        </is>
      </c>
      <c r="J1462" t="inlineStr">
        <is>
          <t>Month+1 Expiry</t>
        </is>
      </c>
      <c r="K1462" s="25" t="n">
        <v>331508</v>
      </c>
      <c r="L1462" s="26" t="n">
        <v>564.0047</v>
      </c>
      <c r="M1462" s="26" t="n">
        <v>2.2502</v>
      </c>
    </row>
    <row r="1463" ht="16" customHeight="1">
      <c r="A1463" t="inlineStr">
        <is>
          <t>29-Dec-2025</t>
        </is>
      </c>
      <c r="B1463" t="inlineStr">
        <is>
          <t>Monday</t>
        </is>
      </c>
      <c r="C1463" t="inlineStr">
        <is>
          <t>Week5-Dec-2025</t>
        </is>
      </c>
      <c r="D1463" s="78" t="n">
        <v>45992</v>
      </c>
      <c r="E1463" t="inlineStr">
        <is>
          <t>Q3FY26</t>
        </is>
      </c>
      <c r="F1463" t="inlineStr">
        <is>
          <t>20-Jan-2026</t>
        </is>
      </c>
      <c r="G1463" t="inlineStr">
        <is>
          <t>Tuesday</t>
        </is>
      </c>
      <c r="H1463" t="inlineStr">
        <is>
          <t>Weekly - Tuesday</t>
        </is>
      </c>
      <c r="I1463" t="inlineStr">
        <is>
          <t>Weekly - Tuesday</t>
        </is>
      </c>
      <c r="J1463" t="inlineStr">
        <is>
          <t>Month+1 Expiry</t>
        </is>
      </c>
      <c r="K1463" s="25" t="n">
        <v>21848</v>
      </c>
      <c r="L1463" s="26" t="n">
        <v>37.2346</v>
      </c>
      <c r="M1463" s="26" t="n">
        <v>0.2034</v>
      </c>
    </row>
    <row r="1464" ht="16" customHeight="1">
      <c r="A1464" t="inlineStr">
        <is>
          <t>29-Dec-2025</t>
        </is>
      </c>
      <c r="B1464" t="inlineStr">
        <is>
          <t>Monday</t>
        </is>
      </c>
      <c r="C1464" t="inlineStr">
        <is>
          <t>Week5-Dec-2025</t>
        </is>
      </c>
      <c r="D1464" s="78" t="n">
        <v>45992</v>
      </c>
      <c r="E1464" t="inlineStr">
        <is>
          <t>Q3FY26</t>
        </is>
      </c>
      <c r="F1464" t="inlineStr">
        <is>
          <t>27-Jan-2026</t>
        </is>
      </c>
      <c r="G1464" t="inlineStr">
        <is>
          <t>Tuesday</t>
        </is>
      </c>
      <c r="H1464" t="inlineStr">
        <is>
          <t>Monthly - Tuesday</t>
        </is>
      </c>
      <c r="I1464" t="inlineStr">
        <is>
          <t>Monthly - Tuesday</t>
        </is>
      </c>
      <c r="J1464" t="inlineStr">
        <is>
          <t>Month+1 Expiry</t>
        </is>
      </c>
      <c r="K1464" s="25" t="n">
        <v>985190</v>
      </c>
      <c r="L1464" s="26" t="n">
        <v>1688.8938</v>
      </c>
      <c r="M1464" s="26" t="n">
        <v>12.6605</v>
      </c>
    </row>
    <row r="1465" ht="16" customHeight="1">
      <c r="A1465" t="inlineStr">
        <is>
          <t>29-Dec-2025</t>
        </is>
      </c>
      <c r="B1465" t="inlineStr">
        <is>
          <t>Monday</t>
        </is>
      </c>
      <c r="C1465" t="inlineStr">
        <is>
          <t>Week5-Dec-2025</t>
        </is>
      </c>
      <c r="D1465" s="78" t="n">
        <v>45992</v>
      </c>
      <c r="E1465" t="inlineStr">
        <is>
          <t>Q3FY26</t>
        </is>
      </c>
      <c r="F1465" t="inlineStr">
        <is>
          <t>03-Feb-2026</t>
        </is>
      </c>
      <c r="G1465" t="inlineStr">
        <is>
          <t>Tuesday</t>
        </is>
      </c>
      <c r="H1465" t="inlineStr">
        <is>
          <t>Weekly - Tuesday</t>
        </is>
      </c>
      <c r="I1465" t="inlineStr">
        <is>
          <t>Weekly - Tuesday</t>
        </is>
      </c>
      <c r="J1465" t="inlineStr">
        <is>
          <t>Month+2 Expiry</t>
        </is>
      </c>
      <c r="K1465" s="25" t="n">
        <v>2259</v>
      </c>
      <c r="L1465" s="26" t="n">
        <v>3.8644</v>
      </c>
      <c r="M1465" s="26" t="n">
        <v>0.0242</v>
      </c>
    </row>
    <row r="1466" ht="16" customHeight="1">
      <c r="A1466" t="inlineStr">
        <is>
          <t>29-Dec-2025</t>
        </is>
      </c>
      <c r="B1466" t="inlineStr">
        <is>
          <t>Monday</t>
        </is>
      </c>
      <c r="C1466" t="inlineStr">
        <is>
          <t>Week5-Dec-2025</t>
        </is>
      </c>
      <c r="D1466" s="78" t="n">
        <v>45992</v>
      </c>
      <c r="E1466" t="inlineStr">
        <is>
          <t>Q3FY26</t>
        </is>
      </c>
      <c r="F1466" t="inlineStr">
        <is>
          <t>24-Feb-2026</t>
        </is>
      </c>
      <c r="G1466" t="inlineStr">
        <is>
          <t>Tuesday</t>
        </is>
      </c>
      <c r="H1466" t="inlineStr">
        <is>
          <t>Monthly - Tuesday</t>
        </is>
      </c>
      <c r="I1466" t="inlineStr">
        <is>
          <t>Monthly - Tuesday</t>
        </is>
      </c>
      <c r="J1466" t="inlineStr">
        <is>
          <t>Month+2 Expiry</t>
        </is>
      </c>
      <c r="K1466" s="25" t="n">
        <v>105935</v>
      </c>
      <c r="L1466" s="26" t="n">
        <v>181.0832</v>
      </c>
      <c r="M1466" s="26" t="n">
        <v>1.7098</v>
      </c>
    </row>
    <row r="1467" ht="16" customHeight="1">
      <c r="A1467" t="inlineStr">
        <is>
          <t>29-Dec-2025</t>
        </is>
      </c>
      <c r="B1467" t="inlineStr">
        <is>
          <t>Monday</t>
        </is>
      </c>
      <c r="C1467" t="inlineStr">
        <is>
          <t>Week5-Dec-2025</t>
        </is>
      </c>
      <c r="D1467" s="78" t="n">
        <v>45992</v>
      </c>
      <c r="E1467" t="inlineStr">
        <is>
          <t>Q3FY26</t>
        </is>
      </c>
      <c r="F1467" t="inlineStr">
        <is>
          <t>30-Mar-2026</t>
        </is>
      </c>
      <c r="G1467" t="inlineStr">
        <is>
          <t>Monday</t>
        </is>
      </c>
      <c r="H1467" t="inlineStr">
        <is>
          <t>Monthly - Monday</t>
        </is>
      </c>
      <c r="I1467" t="inlineStr">
        <is>
          <t>Monthly - Monday</t>
        </is>
      </c>
      <c r="J1467" t="inlineStr">
        <is>
          <t>Month+3 Expiry</t>
        </is>
      </c>
      <c r="K1467" s="25" t="n">
        <v>67799</v>
      </c>
      <c r="L1467" s="26" t="n">
        <v>136.1809</v>
      </c>
      <c r="M1467" s="26" t="n">
        <v>4.9259</v>
      </c>
    </row>
    <row r="1468" ht="16" customHeight="1">
      <c r="A1468" t="inlineStr">
        <is>
          <t>29-Dec-2025</t>
        </is>
      </c>
      <c r="B1468" t="inlineStr">
        <is>
          <t>Monday</t>
        </is>
      </c>
      <c r="C1468" t="inlineStr">
        <is>
          <t>Week5-Dec-2025</t>
        </is>
      </c>
      <c r="D1468" s="78" t="n">
        <v>45992</v>
      </c>
      <c r="E1468" t="inlineStr">
        <is>
          <t>Q3FY26</t>
        </is>
      </c>
      <c r="F1468" t="inlineStr">
        <is>
          <t>30-Jun-2026</t>
        </is>
      </c>
      <c r="G1468" t="inlineStr">
        <is>
          <t>Tuesday</t>
        </is>
      </c>
      <c r="H1468" t="inlineStr">
        <is>
          <t>Monthly - Tuesday</t>
        </is>
      </c>
      <c r="I1468" t="inlineStr">
        <is>
          <t>Monthly - Tuesday</t>
        </is>
      </c>
      <c r="J1468" t="inlineStr">
        <is>
          <t>Month+6 Expiry</t>
        </is>
      </c>
      <c r="K1468" s="25" t="n">
        <v>15873</v>
      </c>
      <c r="L1468" s="26" t="n">
        <v>32.3225</v>
      </c>
      <c r="M1468" s="26" t="n">
        <v>0.9271</v>
      </c>
    </row>
    <row r="1469" ht="16" customHeight="1">
      <c r="A1469" t="inlineStr">
        <is>
          <t>29-Dec-2025</t>
        </is>
      </c>
      <c r="B1469" t="inlineStr">
        <is>
          <t>Monday</t>
        </is>
      </c>
      <c r="C1469" t="inlineStr">
        <is>
          <t>Week5-Dec-2025</t>
        </is>
      </c>
      <c r="D1469" s="78" t="n">
        <v>45992</v>
      </c>
      <c r="E1469" t="inlineStr">
        <is>
          <t>Q3FY26</t>
        </is>
      </c>
      <c r="F1469" t="inlineStr">
        <is>
          <t>29-Sep-2026</t>
        </is>
      </c>
      <c r="G1469" t="inlineStr">
        <is>
          <t>Tuesday</t>
        </is>
      </c>
      <c r="H1469" t="inlineStr">
        <is>
          <t>Monthly - Tuesday</t>
        </is>
      </c>
      <c r="I1469" t="inlineStr">
        <is>
          <t>Monthly - Tuesday</t>
        </is>
      </c>
      <c r="J1469" t="inlineStr">
        <is>
          <t>Month+9 Expiry</t>
        </is>
      </c>
      <c r="K1469" s="25" t="n">
        <v>446</v>
      </c>
      <c r="L1469" s="26" t="n">
        <v>0.8885</v>
      </c>
      <c r="M1469" s="26" t="n">
        <v>0.0105</v>
      </c>
    </row>
    <row r="1470" ht="16" customHeight="1">
      <c r="A1470" t="inlineStr">
        <is>
          <t>29-Dec-2025</t>
        </is>
      </c>
      <c r="B1470" t="inlineStr">
        <is>
          <t>Monday</t>
        </is>
      </c>
      <c r="C1470" t="inlineStr">
        <is>
          <t>Week5-Dec-2025</t>
        </is>
      </c>
      <c r="D1470" s="78" t="n">
        <v>45992</v>
      </c>
      <c r="E1470" t="inlineStr">
        <is>
          <t>Q3FY26</t>
        </is>
      </c>
      <c r="F1470" t="inlineStr">
        <is>
          <t>29-Dec-2026</t>
        </is>
      </c>
      <c r="G1470" t="inlineStr">
        <is>
          <t>Tuesday</t>
        </is>
      </c>
      <c r="H1470" t="inlineStr">
        <is>
          <t>Monthly - Tuesday</t>
        </is>
      </c>
      <c r="I1470" t="inlineStr">
        <is>
          <t>Monthly - Tuesday</t>
        </is>
      </c>
      <c r="J1470" t="inlineStr">
        <is>
          <t>Month+12 Expiry</t>
        </is>
      </c>
      <c r="K1470" s="25" t="n">
        <v>6324</v>
      </c>
      <c r="L1470" s="26" t="n">
        <v>12.7535</v>
      </c>
      <c r="M1470" s="26" t="n">
        <v>0.3888</v>
      </c>
    </row>
    <row r="1471" ht="16" customHeight="1">
      <c r="A1471" t="inlineStr">
        <is>
          <t>29-Dec-2025</t>
        </is>
      </c>
      <c r="B1471" t="inlineStr">
        <is>
          <t>Monday</t>
        </is>
      </c>
      <c r="C1471" t="inlineStr">
        <is>
          <t>Week5-Dec-2025</t>
        </is>
      </c>
      <c r="D1471" s="78" t="n">
        <v>45992</v>
      </c>
      <c r="E1471" t="inlineStr">
        <is>
          <t>Q3FY26</t>
        </is>
      </c>
      <c r="F1471" t="inlineStr">
        <is>
          <t>29-Jun-2027</t>
        </is>
      </c>
      <c r="G1471" t="inlineStr">
        <is>
          <t>Tuesday</t>
        </is>
      </c>
      <c r="H1471" t="inlineStr">
        <is>
          <t>Monthly - Tuesday</t>
        </is>
      </c>
      <c r="I1471" t="inlineStr">
        <is>
          <t>Monthly - Tuesday</t>
        </is>
      </c>
      <c r="J1471" t="inlineStr">
        <is>
          <t>Month+18 Expiry</t>
        </is>
      </c>
      <c r="K1471" s="25" t="n">
        <v>0</v>
      </c>
      <c r="L1471" s="26" t="n">
        <v>0</v>
      </c>
      <c r="M1471" s="26" t="n">
        <v>0</v>
      </c>
    </row>
    <row r="1472" ht="16" customHeight="1">
      <c r="A1472" t="inlineStr">
        <is>
          <t>29-Dec-2025</t>
        </is>
      </c>
      <c r="B1472" t="inlineStr">
        <is>
          <t>Monday</t>
        </is>
      </c>
      <c r="C1472" t="inlineStr">
        <is>
          <t>Week5-Dec-2025</t>
        </is>
      </c>
      <c r="D1472" s="78" t="n">
        <v>45992</v>
      </c>
      <c r="E1472" t="inlineStr">
        <is>
          <t>Q3FY26</t>
        </is>
      </c>
      <c r="F1472" t="inlineStr">
        <is>
          <t>28-Dec-2027</t>
        </is>
      </c>
      <c r="G1472" t="inlineStr">
        <is>
          <t>Tuesday</t>
        </is>
      </c>
      <c r="H1472" t="inlineStr">
        <is>
          <t>Monthly - Tuesday</t>
        </is>
      </c>
      <c r="I1472" t="inlineStr">
        <is>
          <t>Monthly - Tuesday</t>
        </is>
      </c>
      <c r="J1472" t="inlineStr">
        <is>
          <t>Month+24 Expiry</t>
        </is>
      </c>
      <c r="K1472" s="25" t="n">
        <v>9</v>
      </c>
      <c r="L1472" s="26" t="n">
        <v>0.0182</v>
      </c>
      <c r="M1472" s="26" t="n">
        <v>0.0009</v>
      </c>
    </row>
    <row r="1473" ht="16" customHeight="1">
      <c r="A1473" t="inlineStr">
        <is>
          <t>29-Dec-2025</t>
        </is>
      </c>
      <c r="B1473" t="inlineStr">
        <is>
          <t>Monday</t>
        </is>
      </c>
      <c r="C1473" t="inlineStr">
        <is>
          <t>Week5-Dec-2025</t>
        </is>
      </c>
      <c r="D1473" s="78" t="n">
        <v>45992</v>
      </c>
      <c r="E1473" t="inlineStr">
        <is>
          <t>Q3FY26</t>
        </is>
      </c>
      <c r="F1473" t="inlineStr">
        <is>
          <t>27-Jun-2028</t>
        </is>
      </c>
      <c r="G1473" t="inlineStr">
        <is>
          <t>Tuesday</t>
        </is>
      </c>
      <c r="H1473" t="inlineStr">
        <is>
          <t>Monthly - Tuesday</t>
        </is>
      </c>
      <c r="I1473" t="inlineStr">
        <is>
          <t>Monthly - Tuesday</t>
        </is>
      </c>
      <c r="J1473" t="inlineStr">
        <is>
          <t>Month+30 Expiry</t>
        </is>
      </c>
      <c r="K1473" s="25" t="n">
        <v>0</v>
      </c>
      <c r="L1473" s="26" t="n">
        <v>0</v>
      </c>
      <c r="M1473" s="26" t="n">
        <v>0</v>
      </c>
    </row>
    <row r="1474" ht="16" customHeight="1">
      <c r="A1474" t="inlineStr">
        <is>
          <t>29-Dec-2025</t>
        </is>
      </c>
      <c r="B1474" t="inlineStr">
        <is>
          <t>Monday</t>
        </is>
      </c>
      <c r="C1474" t="inlineStr">
        <is>
          <t>Week5-Dec-2025</t>
        </is>
      </c>
      <c r="D1474" s="78" t="n">
        <v>45992</v>
      </c>
      <c r="E1474" t="inlineStr">
        <is>
          <t>Q3FY26</t>
        </is>
      </c>
      <c r="F1474" t="inlineStr">
        <is>
          <t>26-Dec-2028</t>
        </is>
      </c>
      <c r="G1474" t="inlineStr">
        <is>
          <t>Tuesday</t>
        </is>
      </c>
      <c r="H1474" t="inlineStr">
        <is>
          <t>Monthly - Tuesday</t>
        </is>
      </c>
      <c r="I1474" t="inlineStr">
        <is>
          <t>Monthly - Tuesday</t>
        </is>
      </c>
      <c r="J1474" t="inlineStr">
        <is>
          <t>Month+36 Expiry</t>
        </is>
      </c>
      <c r="K1474" s="25" t="n">
        <v>2</v>
      </c>
      <c r="L1474" s="26" t="n">
        <v>0.0039</v>
      </c>
      <c r="M1474" s="26" t="n">
        <v>0.0001</v>
      </c>
    </row>
    <row r="1475" ht="16" customHeight="1">
      <c r="A1475" t="inlineStr">
        <is>
          <t>29-Dec-2025</t>
        </is>
      </c>
      <c r="B1475" t="inlineStr">
        <is>
          <t>Monday</t>
        </is>
      </c>
      <c r="C1475" t="inlineStr">
        <is>
          <t>Week5-Dec-2025</t>
        </is>
      </c>
      <c r="D1475" s="78" t="n">
        <v>45992</v>
      </c>
      <c r="E1475" t="inlineStr">
        <is>
          <t>Q3FY26</t>
        </is>
      </c>
      <c r="F1475" t="inlineStr">
        <is>
          <t>26-Jun-2029</t>
        </is>
      </c>
      <c r="G1475" t="inlineStr">
        <is>
          <t>Tuesday</t>
        </is>
      </c>
      <c r="H1475" t="inlineStr">
        <is>
          <t>Monthly - Tuesday</t>
        </is>
      </c>
      <c r="I1475" t="inlineStr">
        <is>
          <t>Monthly - Tuesday</t>
        </is>
      </c>
      <c r="J1475" t="inlineStr">
        <is>
          <t>Month+42 Expiry</t>
        </is>
      </c>
      <c r="K1475" s="25" t="n">
        <v>0</v>
      </c>
      <c r="L1475" s="26" t="n">
        <v>0</v>
      </c>
      <c r="M1475" s="26" t="n">
        <v>0</v>
      </c>
    </row>
    <row r="1476" ht="16" customHeight="1">
      <c r="A1476" t="inlineStr">
        <is>
          <t>29-Dec-2025</t>
        </is>
      </c>
      <c r="B1476" t="inlineStr">
        <is>
          <t>Monday</t>
        </is>
      </c>
      <c r="C1476" t="inlineStr">
        <is>
          <t>Week5-Dec-2025</t>
        </is>
      </c>
      <c r="D1476" s="78" t="n">
        <v>45992</v>
      </c>
      <c r="E1476" t="inlineStr">
        <is>
          <t>Q3FY26</t>
        </is>
      </c>
      <c r="F1476" t="inlineStr">
        <is>
          <t>24-Dec-2029</t>
        </is>
      </c>
      <c r="G1476" t="inlineStr">
        <is>
          <t>Monday</t>
        </is>
      </c>
      <c r="H1476" t="inlineStr">
        <is>
          <t>Weekly - Monday</t>
        </is>
      </c>
      <c r="I1476" t="inlineStr">
        <is>
          <t>Weekly - Monday</t>
        </is>
      </c>
      <c r="J1476" t="inlineStr">
        <is>
          <t>Month+48 Expiry</t>
        </is>
      </c>
      <c r="K1476" s="25" t="n">
        <v>6</v>
      </c>
      <c r="L1476" s="26" t="n">
        <v>0.0106</v>
      </c>
      <c r="M1476" s="26" t="n">
        <v>0.0002</v>
      </c>
    </row>
    <row r="1477" ht="16" customHeight="1">
      <c r="A1477" t="inlineStr">
        <is>
          <t>29-Dec-2025</t>
        </is>
      </c>
      <c r="B1477" t="inlineStr">
        <is>
          <t>Monday</t>
        </is>
      </c>
      <c r="C1477" t="inlineStr">
        <is>
          <t>Week5-Dec-2025</t>
        </is>
      </c>
      <c r="D1477" s="78" t="n">
        <v>45992</v>
      </c>
      <c r="E1477" t="inlineStr">
        <is>
          <t>Q3FY26</t>
        </is>
      </c>
      <c r="F1477" t="inlineStr">
        <is>
          <t>25-Jun-2030</t>
        </is>
      </c>
      <c r="G1477" t="inlineStr">
        <is>
          <t>Tuesday</t>
        </is>
      </c>
      <c r="H1477" t="inlineStr">
        <is>
          <t>Monthly - Tuesday</t>
        </is>
      </c>
      <c r="I1477" t="inlineStr">
        <is>
          <t>Monthly - Tuesday</t>
        </is>
      </c>
      <c r="J1477" t="inlineStr">
        <is>
          <t>Month+54 Expiry</t>
        </is>
      </c>
      <c r="K1477" s="25" t="n">
        <v>0</v>
      </c>
      <c r="L1477" s="26" t="n">
        <v>0</v>
      </c>
      <c r="M1477" s="26" t="n">
        <v>0</v>
      </c>
    </row>
    <row r="1478" ht="16" customHeight="1">
      <c r="A1478" t="inlineStr">
        <is>
          <t>30-Dec-2025</t>
        </is>
      </c>
      <c r="B1478" t="inlineStr">
        <is>
          <t>Tuesday</t>
        </is>
      </c>
      <c r="C1478" t="inlineStr">
        <is>
          <t>Week5-Dec-2025</t>
        </is>
      </c>
      <c r="D1478" s="78" t="n">
        <v>45992</v>
      </c>
      <c r="E1478" t="inlineStr">
        <is>
          <t>Q3FY26</t>
        </is>
      </c>
      <c r="F1478" t="inlineStr">
        <is>
          <t>30-Dec-2025</t>
        </is>
      </c>
      <c r="G1478" t="inlineStr">
        <is>
          <t>Tuesday</t>
        </is>
      </c>
      <c r="H1478" t="inlineStr">
        <is>
          <t>Monthly - Tuesday</t>
        </is>
      </c>
      <c r="I1478" t="inlineStr">
        <is>
          <t>MDAW - Tuesday</t>
        </is>
      </c>
      <c r="J1478" t="inlineStr">
        <is>
          <t>Same Month Expiry</t>
        </is>
      </c>
      <c r="K1478" s="25" t="n">
        <v>243334731</v>
      </c>
      <c r="L1478" s="26" t="n">
        <v>473891.4208</v>
      </c>
      <c r="M1478" s="26" t="n">
        <v>375.2858</v>
      </c>
    </row>
    <row r="1479" ht="16" customHeight="1">
      <c r="A1479" t="inlineStr">
        <is>
          <t>30-Dec-2025</t>
        </is>
      </c>
      <c r="B1479" t="inlineStr">
        <is>
          <t>Tuesday</t>
        </is>
      </c>
      <c r="C1479" t="inlineStr">
        <is>
          <t>Week5-Dec-2025</t>
        </is>
      </c>
      <c r="D1479" s="78" t="n">
        <v>45992</v>
      </c>
      <c r="E1479" t="inlineStr">
        <is>
          <t>Q3FY26</t>
        </is>
      </c>
      <c r="F1479" t="inlineStr">
        <is>
          <t>06-Jan-2026</t>
        </is>
      </c>
      <c r="G1479" t="inlineStr">
        <is>
          <t>Tuesday</t>
        </is>
      </c>
      <c r="H1479" t="inlineStr">
        <is>
          <t>Weekly - Tuesday</t>
        </is>
      </c>
      <c r="I1479" t="inlineStr">
        <is>
          <t>Weekly - Tuesday</t>
        </is>
      </c>
      <c r="J1479" t="inlineStr">
        <is>
          <t>Month+1 Expiry</t>
        </is>
      </c>
      <c r="K1479" s="25" t="n">
        <v>9718548</v>
      </c>
      <c r="L1479" s="26" t="n">
        <v>16510.799</v>
      </c>
      <c r="M1479" s="26" t="n">
        <v>41.3478</v>
      </c>
    </row>
    <row r="1480" ht="16" customHeight="1">
      <c r="A1480" t="inlineStr">
        <is>
          <t>30-Dec-2025</t>
        </is>
      </c>
      <c r="B1480" t="inlineStr">
        <is>
          <t>Tuesday</t>
        </is>
      </c>
      <c r="C1480" t="inlineStr">
        <is>
          <t>Week5-Dec-2025</t>
        </is>
      </c>
      <c r="D1480" s="78" t="n">
        <v>45992</v>
      </c>
      <c r="E1480" t="inlineStr">
        <is>
          <t>Q3FY26</t>
        </is>
      </c>
      <c r="F1480" t="inlineStr">
        <is>
          <t>13-Jan-2026</t>
        </is>
      </c>
      <c r="G1480" t="inlineStr">
        <is>
          <t>Tuesday</t>
        </is>
      </c>
      <c r="H1480" t="inlineStr">
        <is>
          <t>Weekly - Tuesday</t>
        </is>
      </c>
      <c r="I1480" t="inlineStr">
        <is>
          <t>Weekly - Tuesday</t>
        </is>
      </c>
      <c r="J1480" t="inlineStr">
        <is>
          <t>Month+1 Expiry</t>
        </is>
      </c>
      <c r="K1480" s="25" t="n">
        <v>441624</v>
      </c>
      <c r="L1480" s="26" t="n">
        <v>750.5546000000001</v>
      </c>
      <c r="M1480" s="26" t="n">
        <v>2.962</v>
      </c>
    </row>
    <row r="1481" ht="16" customHeight="1">
      <c r="A1481" t="inlineStr">
        <is>
          <t>30-Dec-2025</t>
        </is>
      </c>
      <c r="B1481" t="inlineStr">
        <is>
          <t>Tuesday</t>
        </is>
      </c>
      <c r="C1481" t="inlineStr">
        <is>
          <t>Week5-Dec-2025</t>
        </is>
      </c>
      <c r="D1481" s="78" t="n">
        <v>45992</v>
      </c>
      <c r="E1481" t="inlineStr">
        <is>
          <t>Q3FY26</t>
        </is>
      </c>
      <c r="F1481" t="inlineStr">
        <is>
          <t>20-Jan-2026</t>
        </is>
      </c>
      <c r="G1481" t="inlineStr">
        <is>
          <t>Tuesday</t>
        </is>
      </c>
      <c r="H1481" t="inlineStr">
        <is>
          <t>Weekly - Tuesday</t>
        </is>
      </c>
      <c r="I1481" t="inlineStr">
        <is>
          <t>Weekly - Tuesday</t>
        </is>
      </c>
      <c r="J1481" t="inlineStr">
        <is>
          <t>Month+1 Expiry</t>
        </is>
      </c>
      <c r="K1481" s="25" t="n">
        <v>30847</v>
      </c>
      <c r="L1481" s="26" t="n">
        <v>52.5371</v>
      </c>
      <c r="M1481" s="26" t="n">
        <v>0.2804</v>
      </c>
    </row>
    <row r="1482" ht="16" customHeight="1">
      <c r="A1482" t="inlineStr">
        <is>
          <t>30-Dec-2025</t>
        </is>
      </c>
      <c r="B1482" t="inlineStr">
        <is>
          <t>Tuesday</t>
        </is>
      </c>
      <c r="C1482" t="inlineStr">
        <is>
          <t>Week5-Dec-2025</t>
        </is>
      </c>
      <c r="D1482" s="78" t="n">
        <v>45992</v>
      </c>
      <c r="E1482" t="inlineStr">
        <is>
          <t>Q3FY26</t>
        </is>
      </c>
      <c r="F1482" t="inlineStr">
        <is>
          <t>27-Jan-2026</t>
        </is>
      </c>
      <c r="G1482" t="inlineStr">
        <is>
          <t>Tuesday</t>
        </is>
      </c>
      <c r="H1482" t="inlineStr">
        <is>
          <t>Monthly - Tuesday</t>
        </is>
      </c>
      <c r="I1482" t="inlineStr">
        <is>
          <t>Monthly - Tuesday</t>
        </is>
      </c>
      <c r="J1482" t="inlineStr">
        <is>
          <t>Month+1 Expiry</t>
        </is>
      </c>
      <c r="K1482" s="25" t="n">
        <v>1123901</v>
      </c>
      <c r="L1482" s="26" t="n">
        <v>1921.7133</v>
      </c>
      <c r="M1482" s="26" t="n">
        <v>14.8654</v>
      </c>
    </row>
    <row r="1483" ht="16" customHeight="1">
      <c r="A1483" t="inlineStr">
        <is>
          <t>30-Dec-2025</t>
        </is>
      </c>
      <c r="B1483" t="inlineStr">
        <is>
          <t>Tuesday</t>
        </is>
      </c>
      <c r="C1483" t="inlineStr">
        <is>
          <t>Week5-Dec-2025</t>
        </is>
      </c>
      <c r="D1483" s="78" t="n">
        <v>45992</v>
      </c>
      <c r="E1483" t="inlineStr">
        <is>
          <t>Q3FY26</t>
        </is>
      </c>
      <c r="F1483" t="inlineStr">
        <is>
          <t>03-Feb-2026</t>
        </is>
      </c>
      <c r="G1483" t="inlineStr">
        <is>
          <t>Tuesday</t>
        </is>
      </c>
      <c r="H1483" t="inlineStr">
        <is>
          <t>Weekly - Tuesday</t>
        </is>
      </c>
      <c r="I1483" t="inlineStr">
        <is>
          <t>Weekly - Tuesday</t>
        </is>
      </c>
      <c r="J1483" t="inlineStr">
        <is>
          <t>Month+2 Expiry</t>
        </is>
      </c>
      <c r="K1483" s="25" t="n">
        <v>3078</v>
      </c>
      <c r="L1483" s="26" t="n">
        <v>5.2821</v>
      </c>
      <c r="M1483" s="26" t="n">
        <v>0.0347</v>
      </c>
    </row>
    <row r="1484" ht="16" customHeight="1">
      <c r="A1484" t="inlineStr">
        <is>
          <t>30-Dec-2025</t>
        </is>
      </c>
      <c r="B1484" t="inlineStr">
        <is>
          <t>Tuesday</t>
        </is>
      </c>
      <c r="C1484" t="inlineStr">
        <is>
          <t>Week5-Dec-2025</t>
        </is>
      </c>
      <c r="D1484" s="78" t="n">
        <v>45992</v>
      </c>
      <c r="E1484" t="inlineStr">
        <is>
          <t>Q3FY26</t>
        </is>
      </c>
      <c r="F1484" t="inlineStr">
        <is>
          <t>24-Feb-2026</t>
        </is>
      </c>
      <c r="G1484" t="inlineStr">
        <is>
          <t>Tuesday</t>
        </is>
      </c>
      <c r="H1484" t="inlineStr">
        <is>
          <t>Monthly - Tuesday</t>
        </is>
      </c>
      <c r="I1484" t="inlineStr">
        <is>
          <t>Monthly - Tuesday</t>
        </is>
      </c>
      <c r="J1484" t="inlineStr">
        <is>
          <t>Month+2 Expiry</t>
        </is>
      </c>
      <c r="K1484" s="25" t="n">
        <v>89977</v>
      </c>
      <c r="L1484" s="26" t="n">
        <v>154.575</v>
      </c>
      <c r="M1484" s="26" t="n">
        <v>1.4858</v>
      </c>
    </row>
    <row r="1485" ht="16" customHeight="1">
      <c r="A1485" t="inlineStr">
        <is>
          <t>30-Dec-2025</t>
        </is>
      </c>
      <c r="B1485" t="inlineStr">
        <is>
          <t>Tuesday</t>
        </is>
      </c>
      <c r="C1485" t="inlineStr">
        <is>
          <t>Week5-Dec-2025</t>
        </is>
      </c>
      <c r="D1485" s="78" t="n">
        <v>45992</v>
      </c>
      <c r="E1485" t="inlineStr">
        <is>
          <t>Q3FY26</t>
        </is>
      </c>
      <c r="F1485" t="inlineStr">
        <is>
          <t>30-Mar-2026</t>
        </is>
      </c>
      <c r="G1485" t="inlineStr">
        <is>
          <t>Monday</t>
        </is>
      </c>
      <c r="H1485" t="inlineStr">
        <is>
          <t>Monthly - Monday</t>
        </is>
      </c>
      <c r="I1485" t="inlineStr">
        <is>
          <t>Monthly - Monday</t>
        </is>
      </c>
      <c r="J1485" t="inlineStr">
        <is>
          <t>Month+3 Expiry</t>
        </is>
      </c>
      <c r="K1485" s="25" t="n">
        <v>66375</v>
      </c>
      <c r="L1485" s="26" t="n">
        <v>131.3108</v>
      </c>
      <c r="M1485" s="26" t="n">
        <v>2.51</v>
      </c>
    </row>
    <row r="1486" ht="16" customHeight="1">
      <c r="A1486" t="inlineStr">
        <is>
          <t>30-Dec-2025</t>
        </is>
      </c>
      <c r="B1486" t="inlineStr">
        <is>
          <t>Tuesday</t>
        </is>
      </c>
      <c r="C1486" t="inlineStr">
        <is>
          <t>Week5-Dec-2025</t>
        </is>
      </c>
      <c r="D1486" s="78" t="n">
        <v>45992</v>
      </c>
      <c r="E1486" t="inlineStr">
        <is>
          <t>Q3FY26</t>
        </is>
      </c>
      <c r="F1486" t="inlineStr">
        <is>
          <t>30-Jun-2026</t>
        </is>
      </c>
      <c r="G1486" t="inlineStr">
        <is>
          <t>Tuesday</t>
        </is>
      </c>
      <c r="H1486" t="inlineStr">
        <is>
          <t>Monthly - Tuesday</t>
        </is>
      </c>
      <c r="I1486" t="inlineStr">
        <is>
          <t>Monthly - Tuesday</t>
        </is>
      </c>
      <c r="J1486" t="inlineStr">
        <is>
          <t>Month+6 Expiry</t>
        </is>
      </c>
      <c r="K1486" s="25" t="n">
        <v>12370</v>
      </c>
      <c r="L1486" s="26" t="n">
        <v>24.757</v>
      </c>
      <c r="M1486" s="26" t="n">
        <v>0.4089</v>
      </c>
    </row>
    <row r="1487" ht="16" customHeight="1">
      <c r="A1487" t="inlineStr">
        <is>
          <t>30-Dec-2025</t>
        </is>
      </c>
      <c r="B1487" t="inlineStr">
        <is>
          <t>Tuesday</t>
        </is>
      </c>
      <c r="C1487" t="inlineStr">
        <is>
          <t>Week5-Dec-2025</t>
        </is>
      </c>
      <c r="D1487" s="78" t="n">
        <v>45992</v>
      </c>
      <c r="E1487" t="inlineStr">
        <is>
          <t>Q3FY26</t>
        </is>
      </c>
      <c r="F1487" t="inlineStr">
        <is>
          <t>29-Sep-2026</t>
        </is>
      </c>
      <c r="G1487" t="inlineStr">
        <is>
          <t>Tuesday</t>
        </is>
      </c>
      <c r="H1487" t="inlineStr">
        <is>
          <t>Monthly - Tuesday</t>
        </is>
      </c>
      <c r="I1487" t="inlineStr">
        <is>
          <t>Monthly - Tuesday</t>
        </is>
      </c>
      <c r="J1487" t="inlineStr">
        <is>
          <t>Month+9 Expiry</t>
        </is>
      </c>
      <c r="K1487" s="25" t="n">
        <v>313</v>
      </c>
      <c r="L1487" s="26" t="n">
        <v>0.6272</v>
      </c>
      <c r="M1487" s="26" t="n">
        <v>0.0116</v>
      </c>
    </row>
    <row r="1488" ht="16" customHeight="1">
      <c r="A1488" t="inlineStr">
        <is>
          <t>30-Dec-2025</t>
        </is>
      </c>
      <c r="B1488" t="inlineStr">
        <is>
          <t>Tuesday</t>
        </is>
      </c>
      <c r="C1488" t="inlineStr">
        <is>
          <t>Week5-Dec-2025</t>
        </is>
      </c>
      <c r="D1488" s="78" t="n">
        <v>45992</v>
      </c>
      <c r="E1488" t="inlineStr">
        <is>
          <t>Q3FY26</t>
        </is>
      </c>
      <c r="F1488" t="inlineStr">
        <is>
          <t>29-Dec-2026</t>
        </is>
      </c>
      <c r="G1488" t="inlineStr">
        <is>
          <t>Tuesday</t>
        </is>
      </c>
      <c r="H1488" t="inlineStr">
        <is>
          <t>Monthly - Tuesday</t>
        </is>
      </c>
      <c r="I1488" t="inlineStr">
        <is>
          <t>Monthly - Tuesday</t>
        </is>
      </c>
      <c r="J1488" t="inlineStr">
        <is>
          <t>Month+12 Expiry</t>
        </is>
      </c>
      <c r="K1488" s="25" t="n">
        <v>6574</v>
      </c>
      <c r="L1488" s="26" t="n">
        <v>13.3526</v>
      </c>
      <c r="M1488" s="26" t="n">
        <v>0.4239</v>
      </c>
    </row>
    <row r="1489" ht="16" customHeight="1">
      <c r="A1489" t="inlineStr">
        <is>
          <t>30-Dec-2025</t>
        </is>
      </c>
      <c r="B1489" t="inlineStr">
        <is>
          <t>Tuesday</t>
        </is>
      </c>
      <c r="C1489" t="inlineStr">
        <is>
          <t>Week5-Dec-2025</t>
        </is>
      </c>
      <c r="D1489" s="78" t="n">
        <v>45992</v>
      </c>
      <c r="E1489" t="inlineStr">
        <is>
          <t>Q3FY26</t>
        </is>
      </c>
      <c r="F1489" t="inlineStr">
        <is>
          <t>29-Jun-2027</t>
        </is>
      </c>
      <c r="G1489" t="inlineStr">
        <is>
          <t>Tuesday</t>
        </is>
      </c>
      <c r="H1489" t="inlineStr">
        <is>
          <t>Monthly - Tuesday</t>
        </is>
      </c>
      <c r="I1489" t="inlineStr">
        <is>
          <t>Monthly - Tuesday</t>
        </is>
      </c>
      <c r="J1489" t="inlineStr">
        <is>
          <t>Month+18 Expiry</t>
        </is>
      </c>
      <c r="K1489" s="25" t="n">
        <v>0</v>
      </c>
      <c r="L1489" s="26" t="n">
        <v>0</v>
      </c>
      <c r="M1489" s="26" t="n">
        <v>0</v>
      </c>
    </row>
    <row r="1490" ht="16" customHeight="1">
      <c r="A1490" t="inlineStr">
        <is>
          <t>30-Dec-2025</t>
        </is>
      </c>
      <c r="B1490" t="inlineStr">
        <is>
          <t>Tuesday</t>
        </is>
      </c>
      <c r="C1490" t="inlineStr">
        <is>
          <t>Week5-Dec-2025</t>
        </is>
      </c>
      <c r="D1490" s="78" t="n">
        <v>45992</v>
      </c>
      <c r="E1490" t="inlineStr">
        <is>
          <t>Q3FY26</t>
        </is>
      </c>
      <c r="F1490" t="inlineStr">
        <is>
          <t>28-Dec-2027</t>
        </is>
      </c>
      <c r="G1490" t="inlineStr">
        <is>
          <t>Tuesday</t>
        </is>
      </c>
      <c r="H1490" t="inlineStr">
        <is>
          <t>Monthly - Tuesday</t>
        </is>
      </c>
      <c r="I1490" t="inlineStr">
        <is>
          <t>Monthly - Tuesday</t>
        </is>
      </c>
      <c r="J1490" t="inlineStr">
        <is>
          <t>Month+24 Expiry</t>
        </is>
      </c>
      <c r="K1490" s="25" t="n">
        <v>22</v>
      </c>
      <c r="L1490" s="26" t="n">
        <v>0.046</v>
      </c>
      <c r="M1490" s="26" t="n">
        <v>0.0034</v>
      </c>
    </row>
    <row r="1491" ht="16" customHeight="1">
      <c r="A1491" t="inlineStr">
        <is>
          <t>30-Dec-2025</t>
        </is>
      </c>
      <c r="B1491" t="inlineStr">
        <is>
          <t>Tuesday</t>
        </is>
      </c>
      <c r="C1491" t="inlineStr">
        <is>
          <t>Week5-Dec-2025</t>
        </is>
      </c>
      <c r="D1491" s="78" t="n">
        <v>45992</v>
      </c>
      <c r="E1491" t="inlineStr">
        <is>
          <t>Q3FY26</t>
        </is>
      </c>
      <c r="F1491" t="inlineStr">
        <is>
          <t>27-Jun-2028</t>
        </is>
      </c>
      <c r="G1491" t="inlineStr">
        <is>
          <t>Tuesday</t>
        </is>
      </c>
      <c r="H1491" t="inlineStr">
        <is>
          <t>Monthly - Tuesday</t>
        </is>
      </c>
      <c r="I1491" t="inlineStr">
        <is>
          <t>Monthly - Tuesday</t>
        </is>
      </c>
      <c r="J1491" t="inlineStr">
        <is>
          <t>Month+30 Expiry</t>
        </is>
      </c>
      <c r="K1491" s="25" t="n">
        <v>0</v>
      </c>
      <c r="L1491" s="26" t="n">
        <v>0</v>
      </c>
      <c r="M1491" s="26" t="n">
        <v>0</v>
      </c>
    </row>
    <row r="1492" ht="16" customHeight="1">
      <c r="A1492" t="inlineStr">
        <is>
          <t>30-Dec-2025</t>
        </is>
      </c>
      <c r="B1492" t="inlineStr">
        <is>
          <t>Tuesday</t>
        </is>
      </c>
      <c r="C1492" t="inlineStr">
        <is>
          <t>Week5-Dec-2025</t>
        </is>
      </c>
      <c r="D1492" s="78" t="n">
        <v>45992</v>
      </c>
      <c r="E1492" t="inlineStr">
        <is>
          <t>Q3FY26</t>
        </is>
      </c>
      <c r="F1492" t="inlineStr">
        <is>
          <t>26-Dec-2028</t>
        </is>
      </c>
      <c r="G1492" t="inlineStr">
        <is>
          <t>Tuesday</t>
        </is>
      </c>
      <c r="H1492" t="inlineStr">
        <is>
          <t>Monthly - Tuesday</t>
        </is>
      </c>
      <c r="I1492" t="inlineStr">
        <is>
          <t>Monthly - Tuesday</t>
        </is>
      </c>
      <c r="J1492" t="inlineStr">
        <is>
          <t>Month+36 Expiry</t>
        </is>
      </c>
      <c r="K1492" s="25" t="n">
        <v>6</v>
      </c>
      <c r="L1492" s="26" t="n">
        <v>0.0122</v>
      </c>
      <c r="M1492" s="26" t="n">
        <v>0.0004</v>
      </c>
    </row>
    <row r="1493" ht="16" customHeight="1">
      <c r="A1493" t="inlineStr">
        <is>
          <t>30-Dec-2025</t>
        </is>
      </c>
      <c r="B1493" t="inlineStr">
        <is>
          <t>Tuesday</t>
        </is>
      </c>
      <c r="C1493" t="inlineStr">
        <is>
          <t>Week5-Dec-2025</t>
        </is>
      </c>
      <c r="D1493" s="78" t="n">
        <v>45992</v>
      </c>
      <c r="E1493" t="inlineStr">
        <is>
          <t>Q3FY26</t>
        </is>
      </c>
      <c r="F1493" t="inlineStr">
        <is>
          <t>26-Jun-2029</t>
        </is>
      </c>
      <c r="G1493" t="inlineStr">
        <is>
          <t>Tuesday</t>
        </is>
      </c>
      <c r="H1493" t="inlineStr">
        <is>
          <t>Monthly - Tuesday</t>
        </is>
      </c>
      <c r="I1493" t="inlineStr">
        <is>
          <t>Monthly - Tuesday</t>
        </is>
      </c>
      <c r="J1493" t="inlineStr">
        <is>
          <t>Month+42 Expiry</t>
        </is>
      </c>
      <c r="K1493" s="25" t="n">
        <v>0</v>
      </c>
      <c r="L1493" s="26" t="n">
        <v>0</v>
      </c>
      <c r="M1493" s="26" t="n">
        <v>0</v>
      </c>
    </row>
    <row r="1494" ht="16" customHeight="1">
      <c r="A1494" t="inlineStr">
        <is>
          <t>30-Dec-2025</t>
        </is>
      </c>
      <c r="B1494" t="inlineStr">
        <is>
          <t>Tuesday</t>
        </is>
      </c>
      <c r="C1494" t="inlineStr">
        <is>
          <t>Week5-Dec-2025</t>
        </is>
      </c>
      <c r="D1494" s="78" t="n">
        <v>45992</v>
      </c>
      <c r="E1494" t="inlineStr">
        <is>
          <t>Q3FY26</t>
        </is>
      </c>
      <c r="F1494" t="inlineStr">
        <is>
          <t>24-Dec-2029</t>
        </is>
      </c>
      <c r="G1494" t="inlineStr">
        <is>
          <t>Monday</t>
        </is>
      </c>
      <c r="H1494" t="inlineStr">
        <is>
          <t>Weekly - Monday</t>
        </is>
      </c>
      <c r="I1494" t="inlineStr">
        <is>
          <t>Weekly - Monday</t>
        </is>
      </c>
      <c r="J1494" t="inlineStr">
        <is>
          <t>Month+48 Expiry</t>
        </is>
      </c>
      <c r="K1494" s="25" t="n">
        <v>0</v>
      </c>
      <c r="L1494" s="26" t="n">
        <v>0</v>
      </c>
      <c r="M1494" s="26" t="n">
        <v>0</v>
      </c>
    </row>
    <row r="1495" ht="16" customHeight="1">
      <c r="A1495" t="inlineStr">
        <is>
          <t>30-Dec-2025</t>
        </is>
      </c>
      <c r="B1495" t="inlineStr">
        <is>
          <t>Tuesday</t>
        </is>
      </c>
      <c r="C1495" t="inlineStr">
        <is>
          <t>Week5-Dec-2025</t>
        </is>
      </c>
      <c r="D1495" s="78" t="n">
        <v>45992</v>
      </c>
      <c r="E1495" t="inlineStr">
        <is>
          <t>Q3FY26</t>
        </is>
      </c>
      <c r="F1495" t="inlineStr">
        <is>
          <t>25-Jun-2030</t>
        </is>
      </c>
      <c r="G1495" t="inlineStr">
        <is>
          <t>Tuesday</t>
        </is>
      </c>
      <c r="H1495" t="inlineStr">
        <is>
          <t>Monthly - Tuesday</t>
        </is>
      </c>
      <c r="I1495" t="inlineStr">
        <is>
          <t>Monthly - Tuesday</t>
        </is>
      </c>
      <c r="J1495" t="inlineStr">
        <is>
          <t>Month+54 Expiry</t>
        </is>
      </c>
      <c r="K1495" s="25" t="n">
        <v>0</v>
      </c>
      <c r="L1495" s="26" t="n">
        <v>0</v>
      </c>
      <c r="M1495" s="26" t="n">
        <v>0</v>
      </c>
    </row>
    <row r="1496" ht="16" customHeight="1">
      <c r="A1496" t="inlineStr">
        <is>
          <t>31-Dec-2025</t>
        </is>
      </c>
      <c r="B1496" t="inlineStr">
        <is>
          <t>Wednesday</t>
        </is>
      </c>
      <c r="C1496" t="inlineStr">
        <is>
          <t>Week5-Dec-2025</t>
        </is>
      </c>
      <c r="D1496" s="78" t="n">
        <v>45992</v>
      </c>
      <c r="E1496" t="inlineStr">
        <is>
          <t>Q3FY26</t>
        </is>
      </c>
      <c r="F1496" t="inlineStr">
        <is>
          <t>06-Jan-2026</t>
        </is>
      </c>
      <c r="G1496" t="inlineStr">
        <is>
          <t>Tuesday</t>
        </is>
      </c>
      <c r="H1496" t="inlineStr">
        <is>
          <t>Weekly - Tuesday</t>
        </is>
      </c>
      <c r="I1496" t="inlineStr">
        <is>
          <t>Weekly - Tuesday</t>
        </is>
      </c>
      <c r="J1496" t="inlineStr">
        <is>
          <t>Month+1 Expiry</t>
        </is>
      </c>
      <c r="K1496" s="25" t="n">
        <v>55665963</v>
      </c>
      <c r="L1496" s="26" t="n">
        <v>94569.99159999999</v>
      </c>
      <c r="M1496" s="26" t="n">
        <v>227.8903</v>
      </c>
    </row>
    <row r="1497" ht="16" customHeight="1">
      <c r="A1497" t="inlineStr">
        <is>
          <t>31-Dec-2025</t>
        </is>
      </c>
      <c r="B1497" t="inlineStr">
        <is>
          <t>Wednesday</t>
        </is>
      </c>
      <c r="C1497" t="inlineStr">
        <is>
          <t>Week5-Dec-2025</t>
        </is>
      </c>
      <c r="D1497" s="78" t="n">
        <v>45992</v>
      </c>
      <c r="E1497" t="inlineStr">
        <is>
          <t>Q3FY26</t>
        </is>
      </c>
      <c r="F1497" t="inlineStr">
        <is>
          <t>13-Jan-2026</t>
        </is>
      </c>
      <c r="G1497" t="inlineStr">
        <is>
          <t>Tuesday</t>
        </is>
      </c>
      <c r="H1497" t="inlineStr">
        <is>
          <t>Weekly - Tuesday</t>
        </is>
      </c>
      <c r="I1497" t="inlineStr">
        <is>
          <t>Weekly - Tuesday</t>
        </is>
      </c>
      <c r="J1497" t="inlineStr">
        <is>
          <t>Month+1 Expiry</t>
        </is>
      </c>
      <c r="K1497" s="25" t="n">
        <v>1469049</v>
      </c>
      <c r="L1497" s="26" t="n">
        <v>2504.2802</v>
      </c>
      <c r="M1497" s="26" t="n">
        <v>8.2828</v>
      </c>
    </row>
    <row r="1498" ht="16" customHeight="1">
      <c r="A1498" t="inlineStr">
        <is>
          <t>31-Dec-2025</t>
        </is>
      </c>
      <c r="B1498" t="inlineStr">
        <is>
          <t>Wednesday</t>
        </is>
      </c>
      <c r="C1498" t="inlineStr">
        <is>
          <t>Week5-Dec-2025</t>
        </is>
      </c>
      <c r="D1498" s="78" t="n">
        <v>45992</v>
      </c>
      <c r="E1498" t="inlineStr">
        <is>
          <t>Q3FY26</t>
        </is>
      </c>
      <c r="F1498" t="inlineStr">
        <is>
          <t>20-Jan-2026</t>
        </is>
      </c>
      <c r="G1498" t="inlineStr">
        <is>
          <t>Tuesday</t>
        </is>
      </c>
      <c r="H1498" t="inlineStr">
        <is>
          <t>Weekly - Tuesday</t>
        </is>
      </c>
      <c r="I1498" t="inlineStr">
        <is>
          <t>Weekly - Tuesday</t>
        </is>
      </c>
      <c r="J1498" t="inlineStr">
        <is>
          <t>Month+1 Expiry</t>
        </is>
      </c>
      <c r="K1498" s="25" t="n">
        <v>65509</v>
      </c>
      <c r="L1498" s="26" t="n">
        <v>111.6184</v>
      </c>
      <c r="M1498" s="26" t="n">
        <v>0.5800999999999999</v>
      </c>
    </row>
    <row r="1499" ht="16" customHeight="1">
      <c r="A1499" t="inlineStr">
        <is>
          <t>31-Dec-2025</t>
        </is>
      </c>
      <c r="B1499" t="inlineStr">
        <is>
          <t>Wednesday</t>
        </is>
      </c>
      <c r="C1499" t="inlineStr">
        <is>
          <t>Week5-Dec-2025</t>
        </is>
      </c>
      <c r="D1499" s="78" t="n">
        <v>45992</v>
      </c>
      <c r="E1499" t="inlineStr">
        <is>
          <t>Q3FY26</t>
        </is>
      </c>
      <c r="F1499" t="inlineStr">
        <is>
          <t>27-Jan-2026</t>
        </is>
      </c>
      <c r="G1499" t="inlineStr">
        <is>
          <t>Tuesday</t>
        </is>
      </c>
      <c r="H1499" t="inlineStr">
        <is>
          <t>Monthly - Tuesday</t>
        </is>
      </c>
      <c r="I1499" t="inlineStr">
        <is>
          <t>Monthly - Tuesday</t>
        </is>
      </c>
      <c r="J1499" t="inlineStr">
        <is>
          <t>Month+1 Expiry</t>
        </is>
      </c>
      <c r="K1499" s="25" t="n">
        <v>1555271</v>
      </c>
      <c r="L1499" s="26" t="n">
        <v>2657.068</v>
      </c>
      <c r="M1499" s="26" t="n">
        <v>16.1508</v>
      </c>
    </row>
    <row r="1500" ht="16" customHeight="1">
      <c r="A1500" t="inlineStr">
        <is>
          <t>31-Dec-2025</t>
        </is>
      </c>
      <c r="B1500" t="inlineStr">
        <is>
          <t>Wednesday</t>
        </is>
      </c>
      <c r="C1500" t="inlineStr">
        <is>
          <t>Week5-Dec-2025</t>
        </is>
      </c>
      <c r="D1500" s="78" t="n">
        <v>45992</v>
      </c>
      <c r="E1500" t="inlineStr">
        <is>
          <t>Q3FY26</t>
        </is>
      </c>
      <c r="F1500" t="inlineStr">
        <is>
          <t>03-Feb-2026</t>
        </is>
      </c>
      <c r="G1500" t="inlineStr">
        <is>
          <t>Tuesday</t>
        </is>
      </c>
      <c r="H1500" t="inlineStr">
        <is>
          <t>Weekly - Tuesday</t>
        </is>
      </c>
      <c r="I1500" t="inlineStr">
        <is>
          <t>Weekly - Tuesday</t>
        </is>
      </c>
      <c r="J1500" t="inlineStr">
        <is>
          <t>Month+2 Expiry</t>
        </is>
      </c>
      <c r="K1500" s="25" t="n">
        <v>7514</v>
      </c>
      <c r="L1500" s="26" t="n">
        <v>12.92</v>
      </c>
      <c r="M1500" s="26" t="n">
        <v>0.0915</v>
      </c>
    </row>
    <row r="1501" ht="16" customHeight="1">
      <c r="A1501" t="inlineStr">
        <is>
          <t>31-Dec-2025</t>
        </is>
      </c>
      <c r="B1501" t="inlineStr">
        <is>
          <t>Wednesday</t>
        </is>
      </c>
      <c r="C1501" t="inlineStr">
        <is>
          <t>Week5-Dec-2025</t>
        </is>
      </c>
      <c r="D1501" s="78" t="n">
        <v>45992</v>
      </c>
      <c r="E1501" t="inlineStr">
        <is>
          <t>Q3FY26</t>
        </is>
      </c>
      <c r="F1501" t="inlineStr">
        <is>
          <t>24-Feb-2026</t>
        </is>
      </c>
      <c r="G1501" t="inlineStr">
        <is>
          <t>Tuesday</t>
        </is>
      </c>
      <c r="H1501" t="inlineStr">
        <is>
          <t>Monthly - Tuesday</t>
        </is>
      </c>
      <c r="I1501" t="inlineStr">
        <is>
          <t>Monthly - Tuesday</t>
        </is>
      </c>
      <c r="J1501" t="inlineStr">
        <is>
          <t>Month+2 Expiry</t>
        </is>
      </c>
      <c r="K1501" s="25" t="n">
        <v>189708</v>
      </c>
      <c r="L1501" s="26" t="n">
        <v>325.262</v>
      </c>
      <c r="M1501" s="26" t="n">
        <v>2.7907</v>
      </c>
    </row>
    <row r="1502" ht="16" customHeight="1">
      <c r="A1502" t="inlineStr">
        <is>
          <t>31-Dec-2025</t>
        </is>
      </c>
      <c r="B1502" t="inlineStr">
        <is>
          <t>Wednesday</t>
        </is>
      </c>
      <c r="C1502" t="inlineStr">
        <is>
          <t>Week5-Dec-2025</t>
        </is>
      </c>
      <c r="D1502" s="78" t="n">
        <v>45992</v>
      </c>
      <c r="E1502" t="inlineStr">
        <is>
          <t>Q3FY26</t>
        </is>
      </c>
      <c r="F1502" t="inlineStr">
        <is>
          <t>30-Mar-2026</t>
        </is>
      </c>
      <c r="G1502" t="inlineStr">
        <is>
          <t>Monday</t>
        </is>
      </c>
      <c r="H1502" t="inlineStr">
        <is>
          <t>Monthly - Monday</t>
        </is>
      </c>
      <c r="I1502" t="inlineStr">
        <is>
          <t>Monthly - Monday</t>
        </is>
      </c>
      <c r="J1502" t="inlineStr">
        <is>
          <t>Month+3 Expiry</t>
        </is>
      </c>
      <c r="K1502" s="25" t="n">
        <v>92372</v>
      </c>
      <c r="L1502" s="26" t="n">
        <v>157.8855</v>
      </c>
      <c r="M1502" s="26" t="n">
        <v>2.3339</v>
      </c>
    </row>
    <row r="1503" ht="16" customHeight="1">
      <c r="A1503" t="inlineStr">
        <is>
          <t>31-Dec-2025</t>
        </is>
      </c>
      <c r="B1503" t="inlineStr">
        <is>
          <t>Wednesday</t>
        </is>
      </c>
      <c r="C1503" t="inlineStr">
        <is>
          <t>Week5-Dec-2025</t>
        </is>
      </c>
      <c r="D1503" s="78" t="n">
        <v>45992</v>
      </c>
      <c r="E1503" t="inlineStr">
        <is>
          <t>Q3FY26</t>
        </is>
      </c>
      <c r="F1503" t="inlineStr">
        <is>
          <t>30-Jun-2026</t>
        </is>
      </c>
      <c r="G1503" t="inlineStr">
        <is>
          <t>Tuesday</t>
        </is>
      </c>
      <c r="H1503" t="inlineStr">
        <is>
          <t>Monthly - Tuesday</t>
        </is>
      </c>
      <c r="I1503" t="inlineStr">
        <is>
          <t>Monthly - Tuesday</t>
        </is>
      </c>
      <c r="J1503" t="inlineStr">
        <is>
          <t>Month+6 Expiry</t>
        </is>
      </c>
      <c r="K1503" s="25" t="n">
        <v>29976</v>
      </c>
      <c r="L1503" s="26" t="n">
        <v>52.6836</v>
      </c>
      <c r="M1503" s="26" t="n">
        <v>0.9651999999999999</v>
      </c>
    </row>
    <row r="1504" ht="16" customHeight="1">
      <c r="A1504" t="inlineStr">
        <is>
          <t>31-Dec-2025</t>
        </is>
      </c>
      <c r="B1504" t="inlineStr">
        <is>
          <t>Wednesday</t>
        </is>
      </c>
      <c r="C1504" t="inlineStr">
        <is>
          <t>Week5-Dec-2025</t>
        </is>
      </c>
      <c r="D1504" s="78" t="n">
        <v>45992</v>
      </c>
      <c r="E1504" t="inlineStr">
        <is>
          <t>Q3FY26</t>
        </is>
      </c>
      <c r="F1504" t="inlineStr">
        <is>
          <t>29-Sep-2026</t>
        </is>
      </c>
      <c r="G1504" t="inlineStr">
        <is>
          <t>Tuesday</t>
        </is>
      </c>
      <c r="H1504" t="inlineStr">
        <is>
          <t>Monthly - Tuesday</t>
        </is>
      </c>
      <c r="I1504" t="inlineStr">
        <is>
          <t>Monthly - Tuesday</t>
        </is>
      </c>
      <c r="J1504" t="inlineStr">
        <is>
          <t>Month+9 Expiry</t>
        </is>
      </c>
      <c r="K1504" s="25" t="n">
        <v>1950</v>
      </c>
      <c r="L1504" s="26" t="n">
        <v>3.3872</v>
      </c>
      <c r="M1504" s="26" t="n">
        <v>0.06279999999999999</v>
      </c>
    </row>
    <row r="1505" ht="16" customHeight="1">
      <c r="A1505" t="inlineStr">
        <is>
          <t>31-Dec-2025</t>
        </is>
      </c>
      <c r="B1505" t="inlineStr">
        <is>
          <t>Wednesday</t>
        </is>
      </c>
      <c r="C1505" t="inlineStr">
        <is>
          <t>Week5-Dec-2025</t>
        </is>
      </c>
      <c r="D1505" s="78" t="n">
        <v>45992</v>
      </c>
      <c r="E1505" t="inlineStr">
        <is>
          <t>Q3FY26</t>
        </is>
      </c>
      <c r="F1505" t="inlineStr">
        <is>
          <t>29-Dec-2026</t>
        </is>
      </c>
      <c r="G1505" t="inlineStr">
        <is>
          <t>Tuesday</t>
        </is>
      </c>
      <c r="H1505" t="inlineStr">
        <is>
          <t>Monthly - Tuesday</t>
        </is>
      </c>
      <c r="I1505" t="inlineStr">
        <is>
          <t>Monthly - Tuesday</t>
        </is>
      </c>
      <c r="J1505" t="inlineStr">
        <is>
          <t>Month+12 Expiry</t>
        </is>
      </c>
      <c r="K1505" s="25" t="n">
        <v>12883</v>
      </c>
      <c r="L1505" s="26" t="n">
        <v>22.8101</v>
      </c>
      <c r="M1505" s="26" t="n">
        <v>0.6551</v>
      </c>
    </row>
    <row r="1506" ht="16" customHeight="1">
      <c r="A1506" t="inlineStr">
        <is>
          <t>31-Dec-2025</t>
        </is>
      </c>
      <c r="B1506" t="inlineStr">
        <is>
          <t>Wednesday</t>
        </is>
      </c>
      <c r="C1506" t="inlineStr">
        <is>
          <t>Week5-Dec-2025</t>
        </is>
      </c>
      <c r="D1506" s="78" t="n">
        <v>45992</v>
      </c>
      <c r="E1506" t="inlineStr">
        <is>
          <t>Q3FY26</t>
        </is>
      </c>
      <c r="F1506" t="inlineStr">
        <is>
          <t>29-Jun-2027</t>
        </is>
      </c>
      <c r="G1506" t="inlineStr">
        <is>
          <t>Tuesday</t>
        </is>
      </c>
      <c r="H1506" t="inlineStr">
        <is>
          <t>Monthly - Tuesday</t>
        </is>
      </c>
      <c r="I1506" t="inlineStr">
        <is>
          <t>Monthly - Tuesday</t>
        </is>
      </c>
      <c r="J1506" t="inlineStr">
        <is>
          <t>Month+18 Expiry</t>
        </is>
      </c>
      <c r="K1506" s="25" t="n">
        <v>0</v>
      </c>
      <c r="L1506" s="26" t="n">
        <v>0</v>
      </c>
      <c r="M1506" s="26" t="n">
        <v>0</v>
      </c>
    </row>
    <row r="1507" ht="16" customHeight="1">
      <c r="A1507" t="inlineStr">
        <is>
          <t>31-Dec-2025</t>
        </is>
      </c>
      <c r="B1507" t="inlineStr">
        <is>
          <t>Wednesday</t>
        </is>
      </c>
      <c r="C1507" t="inlineStr">
        <is>
          <t>Week5-Dec-2025</t>
        </is>
      </c>
      <c r="D1507" s="78" t="n">
        <v>45992</v>
      </c>
      <c r="E1507" t="inlineStr">
        <is>
          <t>Q3FY26</t>
        </is>
      </c>
      <c r="F1507" t="inlineStr">
        <is>
          <t>28-Dec-2027</t>
        </is>
      </c>
      <c r="G1507" t="inlineStr">
        <is>
          <t>Tuesday</t>
        </is>
      </c>
      <c r="H1507" t="inlineStr">
        <is>
          <t>Monthly - Tuesday</t>
        </is>
      </c>
      <c r="I1507" t="inlineStr">
        <is>
          <t>Monthly - Tuesday</t>
        </is>
      </c>
      <c r="J1507" t="inlineStr">
        <is>
          <t>Month+24 Expiry</t>
        </is>
      </c>
      <c r="K1507" s="25" t="n">
        <v>139</v>
      </c>
      <c r="L1507" s="26" t="n">
        <v>0.2223</v>
      </c>
      <c r="M1507" s="26" t="n">
        <v>0.0058</v>
      </c>
    </row>
    <row r="1508" ht="16" customHeight="1">
      <c r="A1508" t="inlineStr">
        <is>
          <t>31-Dec-2025</t>
        </is>
      </c>
      <c r="B1508" t="inlineStr">
        <is>
          <t>Wednesday</t>
        </is>
      </c>
      <c r="C1508" t="inlineStr">
        <is>
          <t>Week5-Dec-2025</t>
        </is>
      </c>
      <c r="D1508" s="78" t="n">
        <v>45992</v>
      </c>
      <c r="E1508" t="inlineStr">
        <is>
          <t>Q3FY26</t>
        </is>
      </c>
      <c r="F1508" t="inlineStr">
        <is>
          <t>27-Jun-2028</t>
        </is>
      </c>
      <c r="G1508" t="inlineStr">
        <is>
          <t>Tuesday</t>
        </is>
      </c>
      <c r="H1508" t="inlineStr">
        <is>
          <t>Monthly - Tuesday</t>
        </is>
      </c>
      <c r="I1508" t="inlineStr">
        <is>
          <t>Monthly - Tuesday</t>
        </is>
      </c>
      <c r="J1508" t="inlineStr">
        <is>
          <t>Month+30 Expiry</t>
        </is>
      </c>
      <c r="K1508" s="25" t="n">
        <v>0</v>
      </c>
      <c r="L1508" s="26" t="n">
        <v>0</v>
      </c>
      <c r="M1508" s="26" t="n">
        <v>0</v>
      </c>
    </row>
    <row r="1509" ht="16" customHeight="1">
      <c r="A1509" t="inlineStr">
        <is>
          <t>31-Dec-2025</t>
        </is>
      </c>
      <c r="B1509" t="inlineStr">
        <is>
          <t>Wednesday</t>
        </is>
      </c>
      <c r="C1509" t="inlineStr">
        <is>
          <t>Week5-Dec-2025</t>
        </is>
      </c>
      <c r="D1509" s="78" t="n">
        <v>45992</v>
      </c>
      <c r="E1509" t="inlineStr">
        <is>
          <t>Q3FY26</t>
        </is>
      </c>
      <c r="F1509" t="inlineStr">
        <is>
          <t>26-Dec-2028</t>
        </is>
      </c>
      <c r="G1509" t="inlineStr">
        <is>
          <t>Tuesday</t>
        </is>
      </c>
      <c r="H1509" t="inlineStr">
        <is>
          <t>Monthly - Tuesday</t>
        </is>
      </c>
      <c r="I1509" t="inlineStr">
        <is>
          <t>Monthly - Tuesday</t>
        </is>
      </c>
      <c r="J1509" t="inlineStr">
        <is>
          <t>Month+36 Expiry</t>
        </is>
      </c>
      <c r="K1509" s="25" t="n">
        <v>8</v>
      </c>
      <c r="L1509" s="26" t="n">
        <v>0.0149</v>
      </c>
      <c r="M1509" s="26" t="n">
        <v>0.0008</v>
      </c>
    </row>
    <row r="1510" ht="16" customHeight="1">
      <c r="A1510" t="inlineStr">
        <is>
          <t>31-Dec-2025</t>
        </is>
      </c>
      <c r="B1510" t="inlineStr">
        <is>
          <t>Wednesday</t>
        </is>
      </c>
      <c r="C1510" t="inlineStr">
        <is>
          <t>Week5-Dec-2025</t>
        </is>
      </c>
      <c r="D1510" s="78" t="n">
        <v>45992</v>
      </c>
      <c r="E1510" t="inlineStr">
        <is>
          <t>Q3FY26</t>
        </is>
      </c>
      <c r="F1510" t="inlineStr">
        <is>
          <t>26-Jun-2029</t>
        </is>
      </c>
      <c r="G1510" t="inlineStr">
        <is>
          <t>Tuesday</t>
        </is>
      </c>
      <c r="H1510" t="inlineStr">
        <is>
          <t>Monthly - Tuesday</t>
        </is>
      </c>
      <c r="I1510" t="inlineStr">
        <is>
          <t>Monthly - Tuesday</t>
        </is>
      </c>
      <c r="J1510" t="inlineStr">
        <is>
          <t>Month+42 Expiry</t>
        </is>
      </c>
      <c r="K1510" s="25" t="n">
        <v>0</v>
      </c>
      <c r="L1510" s="26" t="n">
        <v>0</v>
      </c>
      <c r="M1510" s="26" t="n">
        <v>0</v>
      </c>
    </row>
    <row r="1511" ht="16" customHeight="1">
      <c r="A1511" t="inlineStr">
        <is>
          <t>31-Dec-2025</t>
        </is>
      </c>
      <c r="B1511" t="inlineStr">
        <is>
          <t>Wednesday</t>
        </is>
      </c>
      <c r="C1511" t="inlineStr">
        <is>
          <t>Week5-Dec-2025</t>
        </is>
      </c>
      <c r="D1511" s="78" t="n">
        <v>45992</v>
      </c>
      <c r="E1511" t="inlineStr">
        <is>
          <t>Q3FY26</t>
        </is>
      </c>
      <c r="F1511" t="inlineStr">
        <is>
          <t>24-Dec-2029</t>
        </is>
      </c>
      <c r="G1511" t="inlineStr">
        <is>
          <t>Monday</t>
        </is>
      </c>
      <c r="H1511" t="inlineStr">
        <is>
          <t>Weekly - Monday</t>
        </is>
      </c>
      <c r="I1511" t="inlineStr">
        <is>
          <t>Weekly - Monday</t>
        </is>
      </c>
      <c r="J1511" t="inlineStr">
        <is>
          <t>Month+48 Expiry</t>
        </is>
      </c>
      <c r="K1511" s="25" t="n">
        <v>0</v>
      </c>
      <c r="L1511" s="26" t="n">
        <v>0</v>
      </c>
      <c r="M1511" s="26" t="n">
        <v>0</v>
      </c>
    </row>
    <row r="1512" ht="16" customHeight="1">
      <c r="A1512" t="inlineStr">
        <is>
          <t>31-Dec-2025</t>
        </is>
      </c>
      <c r="B1512" t="inlineStr">
        <is>
          <t>Wednesday</t>
        </is>
      </c>
      <c r="C1512" t="inlineStr">
        <is>
          <t>Week5-Dec-2025</t>
        </is>
      </c>
      <c r="D1512" s="78" t="n">
        <v>45992</v>
      </c>
      <c r="E1512" t="inlineStr">
        <is>
          <t>Q3FY26</t>
        </is>
      </c>
      <c r="F1512" t="inlineStr">
        <is>
          <t>25-Jun-2030</t>
        </is>
      </c>
      <c r="G1512" t="inlineStr">
        <is>
          <t>Tuesday</t>
        </is>
      </c>
      <c r="H1512" t="inlineStr">
        <is>
          <t>Monthly - Tuesday</t>
        </is>
      </c>
      <c r="I1512" t="inlineStr">
        <is>
          <t>Monthly - Tuesday</t>
        </is>
      </c>
      <c r="J1512" t="inlineStr">
        <is>
          <t>Month+54 Expiry</t>
        </is>
      </c>
      <c r="K1512" s="25" t="n">
        <v>0</v>
      </c>
      <c r="L1512" s="26" t="n">
        <v>0</v>
      </c>
      <c r="M1512" s="26" t="n">
        <v>0</v>
      </c>
    </row>
    <row r="1513" ht="16" customHeight="1">
      <c r="A1513" t="inlineStr">
        <is>
          <t>31-Dec-2025</t>
        </is>
      </c>
      <c r="B1513" t="inlineStr">
        <is>
          <t>Wednesday</t>
        </is>
      </c>
      <c r="C1513" t="inlineStr">
        <is>
          <t>Week5-Dec-2025</t>
        </is>
      </c>
      <c r="D1513" s="78" t="n">
        <v>45992</v>
      </c>
      <c r="E1513" t="inlineStr">
        <is>
          <t>Q3FY26</t>
        </is>
      </c>
      <c r="F1513" t="inlineStr">
        <is>
          <t>31-Dec-2030</t>
        </is>
      </c>
      <c r="G1513" t="inlineStr">
        <is>
          <t>Tuesday</t>
        </is>
      </c>
      <c r="H1513" t="inlineStr">
        <is>
          <t>Monthly - Tuesday</t>
        </is>
      </c>
      <c r="I1513" t="inlineStr">
        <is>
          <t>Monthly - Tuesday</t>
        </is>
      </c>
      <c r="J1513" t="inlineStr">
        <is>
          <t>Month+60 Expiry</t>
        </is>
      </c>
      <c r="K1513" s="25" t="n">
        <v>0</v>
      </c>
      <c r="L1513" s="26" t="n">
        <v>0</v>
      </c>
      <c r="M1513" s="26" t="n">
        <v>0</v>
      </c>
    </row>
    <row r="1514" ht="16" customHeight="1">
      <c r="A1514" t="inlineStr">
        <is>
          <t>01-Jan-2026</t>
        </is>
      </c>
      <c r="B1514" t="inlineStr">
        <is>
          <t>Thursday</t>
        </is>
      </c>
      <c r="C1514" t="inlineStr">
        <is>
          <t>Week1-Jan-2026</t>
        </is>
      </c>
      <c r="D1514" s="78" t="n">
        <v>46023</v>
      </c>
      <c r="E1514" t="inlineStr">
        <is>
          <t>Q4FY26</t>
        </is>
      </c>
      <c r="F1514" t="inlineStr">
        <is>
          <t>06-Jan-2026</t>
        </is>
      </c>
      <c r="G1514" t="inlineStr">
        <is>
          <t>Tuesday</t>
        </is>
      </c>
      <c r="H1514" t="inlineStr">
        <is>
          <t>Weekly - Tuesday</t>
        </is>
      </c>
      <c r="I1514" t="inlineStr">
        <is>
          <t>Weekly - Tuesday</t>
        </is>
      </c>
      <c r="J1514" t="inlineStr">
        <is>
          <t>Same Month Expiry</t>
        </is>
      </c>
      <c r="K1514" s="25" t="n">
        <v>46697117</v>
      </c>
      <c r="L1514" s="26" t="n">
        <v>79436.95570000001</v>
      </c>
      <c r="M1514" s="26" t="n">
        <v>163.2706</v>
      </c>
    </row>
    <row r="1515" ht="16" customHeight="1">
      <c r="A1515" t="inlineStr">
        <is>
          <t>01-Jan-2026</t>
        </is>
      </c>
      <c r="B1515" t="inlineStr">
        <is>
          <t>Thursday</t>
        </is>
      </c>
      <c r="C1515" t="inlineStr">
        <is>
          <t>Week1-Jan-2026</t>
        </is>
      </c>
      <c r="D1515" s="78" t="n">
        <v>46023</v>
      </c>
      <c r="E1515" t="inlineStr">
        <is>
          <t>Q4FY26</t>
        </is>
      </c>
      <c r="F1515" t="inlineStr">
        <is>
          <t>13-Jan-2026</t>
        </is>
      </c>
      <c r="G1515" t="inlineStr">
        <is>
          <t>Tuesday</t>
        </is>
      </c>
      <c r="H1515" t="inlineStr">
        <is>
          <t>Weekly - Tuesday</t>
        </is>
      </c>
      <c r="I1515" t="inlineStr">
        <is>
          <t>Weekly - Tuesday</t>
        </is>
      </c>
      <c r="J1515" t="inlineStr">
        <is>
          <t>Same Month Expiry</t>
        </is>
      </c>
      <c r="K1515" s="25" t="n">
        <v>1326700</v>
      </c>
      <c r="L1515" s="26" t="n">
        <v>2264.609</v>
      </c>
      <c r="M1515" s="26" t="n">
        <v>6.5049</v>
      </c>
    </row>
    <row r="1516" ht="16" customHeight="1">
      <c r="A1516" t="inlineStr">
        <is>
          <t>01-Jan-2026</t>
        </is>
      </c>
      <c r="B1516" t="inlineStr">
        <is>
          <t>Thursday</t>
        </is>
      </c>
      <c r="C1516" t="inlineStr">
        <is>
          <t>Week1-Jan-2026</t>
        </is>
      </c>
      <c r="D1516" s="78" t="n">
        <v>46023</v>
      </c>
      <c r="E1516" t="inlineStr">
        <is>
          <t>Q4FY26</t>
        </is>
      </c>
      <c r="F1516" t="inlineStr">
        <is>
          <t>20-Jan-2026</t>
        </is>
      </c>
      <c r="G1516" t="inlineStr">
        <is>
          <t>Tuesday</t>
        </is>
      </c>
      <c r="H1516" t="inlineStr">
        <is>
          <t>Weekly - Tuesday</t>
        </is>
      </c>
      <c r="I1516" t="inlineStr">
        <is>
          <t>Weekly - Tuesday</t>
        </is>
      </c>
      <c r="J1516" t="inlineStr">
        <is>
          <t>Same Month Expiry</t>
        </is>
      </c>
      <c r="K1516" s="25" t="n">
        <v>68305</v>
      </c>
      <c r="L1516" s="26" t="n">
        <v>116.5651</v>
      </c>
      <c r="M1516" s="26" t="n">
        <v>0.5523</v>
      </c>
    </row>
    <row r="1517" ht="16" customHeight="1">
      <c r="A1517" t="inlineStr">
        <is>
          <t>01-Jan-2026</t>
        </is>
      </c>
      <c r="B1517" t="inlineStr">
        <is>
          <t>Thursday</t>
        </is>
      </c>
      <c r="C1517" t="inlineStr">
        <is>
          <t>Week1-Jan-2026</t>
        </is>
      </c>
      <c r="D1517" s="78" t="n">
        <v>46023</v>
      </c>
      <c r="E1517" t="inlineStr">
        <is>
          <t>Q4FY26</t>
        </is>
      </c>
      <c r="F1517" t="inlineStr">
        <is>
          <t>27-Jan-2026</t>
        </is>
      </c>
      <c r="G1517" t="inlineStr">
        <is>
          <t>Tuesday</t>
        </is>
      </c>
      <c r="H1517" t="inlineStr">
        <is>
          <t>Monthly - Tuesday</t>
        </is>
      </c>
      <c r="I1517" t="inlineStr">
        <is>
          <t>Monthly - Tuesday</t>
        </is>
      </c>
      <c r="J1517" t="inlineStr">
        <is>
          <t>Same Month Expiry</t>
        </is>
      </c>
      <c r="K1517" s="25" t="n">
        <v>711849</v>
      </c>
      <c r="L1517" s="26" t="n">
        <v>1216.4608</v>
      </c>
      <c r="M1517" s="26" t="n">
        <v>6.8267</v>
      </c>
    </row>
    <row r="1518" ht="16" customHeight="1">
      <c r="A1518" t="inlineStr">
        <is>
          <t>01-Jan-2026</t>
        </is>
      </c>
      <c r="B1518" t="inlineStr">
        <is>
          <t>Thursday</t>
        </is>
      </c>
      <c r="C1518" t="inlineStr">
        <is>
          <t>Week1-Jan-2026</t>
        </is>
      </c>
      <c r="D1518" s="78" t="n">
        <v>46023</v>
      </c>
      <c r="E1518" t="inlineStr">
        <is>
          <t>Q4FY26</t>
        </is>
      </c>
      <c r="F1518" t="inlineStr">
        <is>
          <t>03-Feb-2026</t>
        </is>
      </c>
      <c r="G1518" t="inlineStr">
        <is>
          <t>Tuesday</t>
        </is>
      </c>
      <c r="H1518" t="inlineStr">
        <is>
          <t>Weekly - Tuesday</t>
        </is>
      </c>
      <c r="I1518" t="inlineStr">
        <is>
          <t>Weekly - Tuesday</t>
        </is>
      </c>
      <c r="J1518" t="inlineStr">
        <is>
          <t>Month+1 Expiry</t>
        </is>
      </c>
      <c r="K1518" s="25" t="n">
        <v>4347</v>
      </c>
      <c r="L1518" s="26" t="n">
        <v>7.4758</v>
      </c>
      <c r="M1518" s="26" t="n">
        <v>0.0465</v>
      </c>
    </row>
    <row r="1519" ht="16" customHeight="1">
      <c r="A1519" t="inlineStr">
        <is>
          <t>01-Jan-2026</t>
        </is>
      </c>
      <c r="B1519" t="inlineStr">
        <is>
          <t>Thursday</t>
        </is>
      </c>
      <c r="C1519" t="inlineStr">
        <is>
          <t>Week1-Jan-2026</t>
        </is>
      </c>
      <c r="D1519" s="78" t="n">
        <v>46023</v>
      </c>
      <c r="E1519" t="inlineStr">
        <is>
          <t>Q4FY26</t>
        </is>
      </c>
      <c r="F1519" t="inlineStr">
        <is>
          <t>24-Feb-2026</t>
        </is>
      </c>
      <c r="G1519" t="inlineStr">
        <is>
          <t>Tuesday</t>
        </is>
      </c>
      <c r="H1519" t="inlineStr">
        <is>
          <t>Monthly - Tuesday</t>
        </is>
      </c>
      <c r="I1519" t="inlineStr">
        <is>
          <t>Monthly - Tuesday</t>
        </is>
      </c>
      <c r="J1519" t="inlineStr">
        <is>
          <t>Month+1 Expiry</t>
        </is>
      </c>
      <c r="K1519" s="25" t="n">
        <v>107575</v>
      </c>
      <c r="L1519" s="26" t="n">
        <v>184.7124</v>
      </c>
      <c r="M1519" s="26" t="n">
        <v>1.8204</v>
      </c>
    </row>
    <row r="1520" ht="16" customHeight="1">
      <c r="A1520" t="inlineStr">
        <is>
          <t>01-Jan-2026</t>
        </is>
      </c>
      <c r="B1520" t="inlineStr">
        <is>
          <t>Thursday</t>
        </is>
      </c>
      <c r="C1520" t="inlineStr">
        <is>
          <t>Week1-Jan-2026</t>
        </is>
      </c>
      <c r="D1520" s="78" t="n">
        <v>46023</v>
      </c>
      <c r="E1520" t="inlineStr">
        <is>
          <t>Q4FY26</t>
        </is>
      </c>
      <c r="F1520" t="inlineStr">
        <is>
          <t>30-Mar-2026</t>
        </is>
      </c>
      <c r="G1520" t="inlineStr">
        <is>
          <t>Monday</t>
        </is>
      </c>
      <c r="H1520" t="inlineStr">
        <is>
          <t>Monthly - Monday</t>
        </is>
      </c>
      <c r="I1520" t="inlineStr">
        <is>
          <t>Monthly - Monday</t>
        </is>
      </c>
      <c r="J1520" t="inlineStr">
        <is>
          <t>Month+2 Expiry</t>
        </is>
      </c>
      <c r="K1520" s="25" t="n">
        <v>62427</v>
      </c>
      <c r="L1520" s="26" t="n">
        <v>107.1469</v>
      </c>
      <c r="M1520" s="26" t="n">
        <v>1.3366</v>
      </c>
    </row>
    <row r="1521" ht="16" customHeight="1">
      <c r="A1521" t="inlineStr">
        <is>
          <t>01-Jan-2026</t>
        </is>
      </c>
      <c r="B1521" t="inlineStr">
        <is>
          <t>Thursday</t>
        </is>
      </c>
      <c r="C1521" t="inlineStr">
        <is>
          <t>Week1-Jan-2026</t>
        </is>
      </c>
      <c r="D1521" s="78" t="n">
        <v>46023</v>
      </c>
      <c r="E1521" t="inlineStr">
        <is>
          <t>Q4FY26</t>
        </is>
      </c>
      <c r="F1521" t="inlineStr">
        <is>
          <t>30-Jun-2026</t>
        </is>
      </c>
      <c r="G1521" t="inlineStr">
        <is>
          <t>Tuesday</t>
        </is>
      </c>
      <c r="H1521" t="inlineStr">
        <is>
          <t>Monthly - Tuesday</t>
        </is>
      </c>
      <c r="I1521" t="inlineStr">
        <is>
          <t>Monthly - Tuesday</t>
        </is>
      </c>
      <c r="J1521" t="inlineStr">
        <is>
          <t>Month+5 Expiry</t>
        </is>
      </c>
      <c r="K1521" s="25" t="n">
        <v>18155</v>
      </c>
      <c r="L1521" s="26" t="n">
        <v>31.7389</v>
      </c>
      <c r="M1521" s="26" t="n">
        <v>0.5768</v>
      </c>
    </row>
    <row r="1522" ht="16" customHeight="1">
      <c r="A1522" t="inlineStr">
        <is>
          <t>01-Jan-2026</t>
        </is>
      </c>
      <c r="B1522" t="inlineStr">
        <is>
          <t>Thursday</t>
        </is>
      </c>
      <c r="C1522" t="inlineStr">
        <is>
          <t>Week1-Jan-2026</t>
        </is>
      </c>
      <c r="D1522" s="78" t="n">
        <v>46023</v>
      </c>
      <c r="E1522" t="inlineStr">
        <is>
          <t>Q4FY26</t>
        </is>
      </c>
      <c r="F1522" t="inlineStr">
        <is>
          <t>29-Sep-2026</t>
        </is>
      </c>
      <c r="G1522" t="inlineStr">
        <is>
          <t>Tuesday</t>
        </is>
      </c>
      <c r="H1522" t="inlineStr">
        <is>
          <t>Monthly - Tuesday</t>
        </is>
      </c>
      <c r="I1522" t="inlineStr">
        <is>
          <t>Monthly - Tuesday</t>
        </is>
      </c>
      <c r="J1522" t="inlineStr">
        <is>
          <t>Month+8 Expiry</t>
        </is>
      </c>
      <c r="K1522" s="25" t="n">
        <v>532</v>
      </c>
      <c r="L1522" s="26" t="n">
        <v>0.9564</v>
      </c>
      <c r="M1522" s="26" t="n">
        <v>0.0168</v>
      </c>
    </row>
    <row r="1523" ht="16" customHeight="1">
      <c r="A1523" t="inlineStr">
        <is>
          <t>01-Jan-2026</t>
        </is>
      </c>
      <c r="B1523" t="inlineStr">
        <is>
          <t>Thursday</t>
        </is>
      </c>
      <c r="C1523" t="inlineStr">
        <is>
          <t>Week1-Jan-2026</t>
        </is>
      </c>
      <c r="D1523" s="78" t="n">
        <v>46023</v>
      </c>
      <c r="E1523" t="inlineStr">
        <is>
          <t>Q4FY26</t>
        </is>
      </c>
      <c r="F1523" t="inlineStr">
        <is>
          <t>29-Dec-2026</t>
        </is>
      </c>
      <c r="G1523" t="inlineStr">
        <is>
          <t>Tuesday</t>
        </is>
      </c>
      <c r="H1523" t="inlineStr">
        <is>
          <t>Monthly - Tuesday</t>
        </is>
      </c>
      <c r="I1523" t="inlineStr">
        <is>
          <t>Monthly - Tuesday</t>
        </is>
      </c>
      <c r="J1523" t="inlineStr">
        <is>
          <t>Month+11 Expiry</t>
        </is>
      </c>
      <c r="K1523" s="25" t="n">
        <v>6440</v>
      </c>
      <c r="L1523" s="26" t="n">
        <v>11.5074</v>
      </c>
      <c r="M1523" s="26" t="n">
        <v>0.3426</v>
      </c>
    </row>
    <row r="1524" ht="16" customHeight="1">
      <c r="A1524" t="inlineStr">
        <is>
          <t>01-Jan-2026</t>
        </is>
      </c>
      <c r="B1524" t="inlineStr">
        <is>
          <t>Thursday</t>
        </is>
      </c>
      <c r="C1524" t="inlineStr">
        <is>
          <t>Week1-Jan-2026</t>
        </is>
      </c>
      <c r="D1524" s="78" t="n">
        <v>46023</v>
      </c>
      <c r="E1524" t="inlineStr">
        <is>
          <t>Q4FY26</t>
        </is>
      </c>
      <c r="F1524" t="inlineStr">
        <is>
          <t>29-Jun-2027</t>
        </is>
      </c>
      <c r="G1524" t="inlineStr">
        <is>
          <t>Tuesday</t>
        </is>
      </c>
      <c r="H1524" t="inlineStr">
        <is>
          <t>Monthly - Tuesday</t>
        </is>
      </c>
      <c r="I1524" t="inlineStr">
        <is>
          <t>Monthly - Tuesday</t>
        </is>
      </c>
      <c r="J1524" t="inlineStr">
        <is>
          <t>Month+17 Expiry</t>
        </is>
      </c>
      <c r="K1524" s="25" t="n">
        <v>0</v>
      </c>
      <c r="L1524" s="26" t="n">
        <v>0</v>
      </c>
      <c r="M1524" s="26" t="n">
        <v>0</v>
      </c>
    </row>
    <row r="1525" ht="16" customHeight="1">
      <c r="A1525" t="inlineStr">
        <is>
          <t>01-Jan-2026</t>
        </is>
      </c>
      <c r="B1525" t="inlineStr">
        <is>
          <t>Thursday</t>
        </is>
      </c>
      <c r="C1525" t="inlineStr">
        <is>
          <t>Week1-Jan-2026</t>
        </is>
      </c>
      <c r="D1525" s="78" t="n">
        <v>46023</v>
      </c>
      <c r="E1525" t="inlineStr">
        <is>
          <t>Q4FY26</t>
        </is>
      </c>
      <c r="F1525" t="inlineStr">
        <is>
          <t>28-Dec-2027</t>
        </is>
      </c>
      <c r="G1525" t="inlineStr">
        <is>
          <t>Tuesday</t>
        </is>
      </c>
      <c r="H1525" t="inlineStr">
        <is>
          <t>Monthly - Tuesday</t>
        </is>
      </c>
      <c r="I1525" t="inlineStr">
        <is>
          <t>Monthly - Tuesday</t>
        </is>
      </c>
      <c r="J1525" t="inlineStr">
        <is>
          <t>Month+23 Expiry</t>
        </is>
      </c>
      <c r="K1525" s="25" t="n">
        <v>35</v>
      </c>
      <c r="L1525" s="26" t="n">
        <v>0.0613</v>
      </c>
      <c r="M1525" s="26" t="n">
        <v>0.002</v>
      </c>
    </row>
    <row r="1526" ht="16" customHeight="1">
      <c r="A1526" t="inlineStr">
        <is>
          <t>01-Jan-2026</t>
        </is>
      </c>
      <c r="B1526" t="inlineStr">
        <is>
          <t>Thursday</t>
        </is>
      </c>
      <c r="C1526" t="inlineStr">
        <is>
          <t>Week1-Jan-2026</t>
        </is>
      </c>
      <c r="D1526" s="78" t="n">
        <v>46023</v>
      </c>
      <c r="E1526" t="inlineStr">
        <is>
          <t>Q4FY26</t>
        </is>
      </c>
      <c r="F1526" t="inlineStr">
        <is>
          <t>27-Jun-2028</t>
        </is>
      </c>
      <c r="G1526" t="inlineStr">
        <is>
          <t>Tuesday</t>
        </is>
      </c>
      <c r="H1526" t="inlineStr">
        <is>
          <t>Monthly - Tuesday</t>
        </is>
      </c>
      <c r="I1526" t="inlineStr">
        <is>
          <t>Monthly - Tuesday</t>
        </is>
      </c>
      <c r="J1526" t="inlineStr">
        <is>
          <t>Month+29 Expiry</t>
        </is>
      </c>
      <c r="K1526" s="25" t="n">
        <v>0</v>
      </c>
      <c r="L1526" s="26" t="n">
        <v>0</v>
      </c>
      <c r="M1526" s="26" t="n">
        <v>0</v>
      </c>
    </row>
    <row r="1527" ht="16" customHeight="1">
      <c r="A1527" t="inlineStr">
        <is>
          <t>01-Jan-2026</t>
        </is>
      </c>
      <c r="B1527" t="inlineStr">
        <is>
          <t>Thursday</t>
        </is>
      </c>
      <c r="C1527" t="inlineStr">
        <is>
          <t>Week1-Jan-2026</t>
        </is>
      </c>
      <c r="D1527" s="78" t="n">
        <v>46023</v>
      </c>
      <c r="E1527" t="inlineStr">
        <is>
          <t>Q4FY26</t>
        </is>
      </c>
      <c r="F1527" t="inlineStr">
        <is>
          <t>26-Dec-2028</t>
        </is>
      </c>
      <c r="G1527" t="inlineStr">
        <is>
          <t>Tuesday</t>
        </is>
      </c>
      <c r="H1527" t="inlineStr">
        <is>
          <t>Monthly - Tuesday</t>
        </is>
      </c>
      <c r="I1527" t="inlineStr">
        <is>
          <t>Monthly - Tuesday</t>
        </is>
      </c>
      <c r="J1527" t="inlineStr">
        <is>
          <t>Month+35 Expiry</t>
        </is>
      </c>
      <c r="K1527" s="25" t="n">
        <v>44</v>
      </c>
      <c r="L1527" s="26" t="n">
        <v>0.0774</v>
      </c>
      <c r="M1527" s="26" t="n">
        <v>0.0029</v>
      </c>
    </row>
    <row r="1528" ht="16" customHeight="1">
      <c r="A1528" t="inlineStr">
        <is>
          <t>01-Jan-2026</t>
        </is>
      </c>
      <c r="B1528" t="inlineStr">
        <is>
          <t>Thursday</t>
        </is>
      </c>
      <c r="C1528" t="inlineStr">
        <is>
          <t>Week1-Jan-2026</t>
        </is>
      </c>
      <c r="D1528" s="78" t="n">
        <v>46023</v>
      </c>
      <c r="E1528" t="inlineStr">
        <is>
          <t>Q4FY26</t>
        </is>
      </c>
      <c r="F1528" t="inlineStr">
        <is>
          <t>26-Jun-2029</t>
        </is>
      </c>
      <c r="G1528" t="inlineStr">
        <is>
          <t>Tuesday</t>
        </is>
      </c>
      <c r="H1528" t="inlineStr">
        <is>
          <t>Monthly - Tuesday</t>
        </is>
      </c>
      <c r="I1528" t="inlineStr">
        <is>
          <t>Monthly - Tuesday</t>
        </is>
      </c>
      <c r="J1528" t="inlineStr">
        <is>
          <t>Month+41 Expiry</t>
        </is>
      </c>
      <c r="K1528" s="25" t="n">
        <v>0</v>
      </c>
      <c r="L1528" s="26" t="n">
        <v>0</v>
      </c>
      <c r="M1528" s="26" t="n">
        <v>0</v>
      </c>
    </row>
    <row r="1529" ht="16" customHeight="1">
      <c r="A1529" t="inlineStr">
        <is>
          <t>01-Jan-2026</t>
        </is>
      </c>
      <c r="B1529" t="inlineStr">
        <is>
          <t>Thursday</t>
        </is>
      </c>
      <c r="C1529" t="inlineStr">
        <is>
          <t>Week1-Jan-2026</t>
        </is>
      </c>
      <c r="D1529" s="78" t="n">
        <v>46023</v>
      </c>
      <c r="E1529" t="inlineStr">
        <is>
          <t>Q4FY26</t>
        </is>
      </c>
      <c r="F1529" t="inlineStr">
        <is>
          <t>24-Dec-2029</t>
        </is>
      </c>
      <c r="G1529" t="inlineStr">
        <is>
          <t>Monday</t>
        </is>
      </c>
      <c r="H1529" t="inlineStr">
        <is>
          <t>Weekly - Monday</t>
        </is>
      </c>
      <c r="I1529" t="inlineStr">
        <is>
          <t>Weekly - Monday</t>
        </is>
      </c>
      <c r="J1529" t="inlineStr">
        <is>
          <t>Month+47 Expiry</t>
        </is>
      </c>
      <c r="K1529" s="25" t="n">
        <v>10</v>
      </c>
      <c r="L1529" s="26" t="n">
        <v>0.0175</v>
      </c>
      <c r="M1529" s="26" t="n">
        <v>0.0005999999999999999</v>
      </c>
    </row>
    <row r="1530" ht="16" customHeight="1">
      <c r="A1530" t="inlineStr">
        <is>
          <t>01-Jan-2026</t>
        </is>
      </c>
      <c r="B1530" t="inlineStr">
        <is>
          <t>Thursday</t>
        </is>
      </c>
      <c r="C1530" t="inlineStr">
        <is>
          <t>Week1-Jan-2026</t>
        </is>
      </c>
      <c r="D1530" s="78" t="n">
        <v>46023</v>
      </c>
      <c r="E1530" t="inlineStr">
        <is>
          <t>Q4FY26</t>
        </is>
      </c>
      <c r="F1530" t="inlineStr">
        <is>
          <t>25-Jun-2030</t>
        </is>
      </c>
      <c r="G1530" t="inlineStr">
        <is>
          <t>Tuesday</t>
        </is>
      </c>
      <c r="H1530" t="inlineStr">
        <is>
          <t>Monthly - Tuesday</t>
        </is>
      </c>
      <c r="I1530" t="inlineStr">
        <is>
          <t>Monthly - Tuesday</t>
        </is>
      </c>
      <c r="J1530" t="inlineStr">
        <is>
          <t>Month+53 Expiry</t>
        </is>
      </c>
      <c r="K1530" s="25" t="n">
        <v>0</v>
      </c>
      <c r="L1530" s="26" t="n">
        <v>0</v>
      </c>
      <c r="M1530" s="26" t="n">
        <v>0</v>
      </c>
    </row>
    <row r="1531" ht="16" customHeight="1">
      <c r="A1531" t="inlineStr">
        <is>
          <t>01-Jan-2026</t>
        </is>
      </c>
      <c r="B1531" t="inlineStr">
        <is>
          <t>Thursday</t>
        </is>
      </c>
      <c r="C1531" t="inlineStr">
        <is>
          <t>Week1-Jan-2026</t>
        </is>
      </c>
      <c r="D1531" s="78" t="n">
        <v>46023</v>
      </c>
      <c r="E1531" t="inlineStr">
        <is>
          <t>Q4FY26</t>
        </is>
      </c>
      <c r="F1531" t="inlineStr">
        <is>
          <t>31-Dec-2030</t>
        </is>
      </c>
      <c r="G1531" t="inlineStr">
        <is>
          <t>Tuesday</t>
        </is>
      </c>
      <c r="H1531" t="inlineStr">
        <is>
          <t>Monthly - Tuesday</t>
        </is>
      </c>
      <c r="I1531" t="inlineStr">
        <is>
          <t>Monthly - Tuesday</t>
        </is>
      </c>
      <c r="J1531" t="inlineStr">
        <is>
          <t>Month+59 Expiry</t>
        </is>
      </c>
      <c r="K1531" s="25" t="n">
        <v>0</v>
      </c>
      <c r="L1531" s="26" t="n">
        <v>0</v>
      </c>
      <c r="M1531" s="26" t="n">
        <v>0</v>
      </c>
    </row>
    <row r="1532" ht="16" customHeight="1">
      <c r="A1532" t="inlineStr">
        <is>
          <t>02-Jan-2026</t>
        </is>
      </c>
      <c r="B1532" t="inlineStr">
        <is>
          <t>Friday</t>
        </is>
      </c>
      <c r="C1532" t="inlineStr">
        <is>
          <t>Week1-Jan-2026</t>
        </is>
      </c>
      <c r="D1532" s="78" t="n">
        <v>46023</v>
      </c>
      <c r="E1532" t="inlineStr">
        <is>
          <t>Q4FY26</t>
        </is>
      </c>
      <c r="F1532" t="inlineStr">
        <is>
          <t>06-Jan-2026</t>
        </is>
      </c>
      <c r="G1532" t="inlineStr">
        <is>
          <t>Tuesday</t>
        </is>
      </c>
      <c r="H1532" t="inlineStr">
        <is>
          <t>Weekly - Tuesday</t>
        </is>
      </c>
      <c r="I1532" t="inlineStr">
        <is>
          <t>Weekly - Tuesday</t>
        </is>
      </c>
      <c r="J1532" t="inlineStr">
        <is>
          <t>Same Month Expiry</t>
        </is>
      </c>
      <c r="K1532" s="25" t="n">
        <v>85360743</v>
      </c>
      <c r="L1532" s="26" t="n">
        <v>145621.3226</v>
      </c>
      <c r="M1532" s="26" t="n">
        <v>255.8319</v>
      </c>
    </row>
    <row r="1533" ht="16" customHeight="1">
      <c r="A1533" t="inlineStr">
        <is>
          <t>02-Jan-2026</t>
        </is>
      </c>
      <c r="B1533" t="inlineStr">
        <is>
          <t>Friday</t>
        </is>
      </c>
      <c r="C1533" t="inlineStr">
        <is>
          <t>Week1-Jan-2026</t>
        </is>
      </c>
      <c r="D1533" s="78" t="n">
        <v>46023</v>
      </c>
      <c r="E1533" t="inlineStr">
        <is>
          <t>Q4FY26</t>
        </is>
      </c>
      <c r="F1533" t="inlineStr">
        <is>
          <t>13-Jan-2026</t>
        </is>
      </c>
      <c r="G1533" t="inlineStr">
        <is>
          <t>Tuesday</t>
        </is>
      </c>
      <c r="H1533" t="inlineStr">
        <is>
          <t>Weekly - Tuesday</t>
        </is>
      </c>
      <c r="I1533" t="inlineStr">
        <is>
          <t>Weekly - Tuesday</t>
        </is>
      </c>
      <c r="J1533" t="inlineStr">
        <is>
          <t>Same Month Expiry</t>
        </is>
      </c>
      <c r="K1533" s="25" t="n">
        <v>2629288</v>
      </c>
      <c r="L1533" s="26" t="n">
        <v>4510.081</v>
      </c>
      <c r="M1533" s="26" t="n">
        <v>11.7135</v>
      </c>
    </row>
    <row r="1534" ht="16" customHeight="1">
      <c r="A1534" t="inlineStr">
        <is>
          <t>02-Jan-2026</t>
        </is>
      </c>
      <c r="B1534" t="inlineStr">
        <is>
          <t>Friday</t>
        </is>
      </c>
      <c r="C1534" t="inlineStr">
        <is>
          <t>Week1-Jan-2026</t>
        </is>
      </c>
      <c r="D1534" s="78" t="n">
        <v>46023</v>
      </c>
      <c r="E1534" t="inlineStr">
        <is>
          <t>Q4FY26</t>
        </is>
      </c>
      <c r="F1534" t="inlineStr">
        <is>
          <t>20-Jan-2026</t>
        </is>
      </c>
      <c r="G1534" t="inlineStr">
        <is>
          <t>Tuesday</t>
        </is>
      </c>
      <c r="H1534" t="inlineStr">
        <is>
          <t>Weekly - Tuesday</t>
        </is>
      </c>
      <c r="I1534" t="inlineStr">
        <is>
          <t>Weekly - Tuesday</t>
        </is>
      </c>
      <c r="J1534" t="inlineStr">
        <is>
          <t>Same Month Expiry</t>
        </is>
      </c>
      <c r="K1534" s="25" t="n">
        <v>157765</v>
      </c>
      <c r="L1534" s="26" t="n">
        <v>270.2717</v>
      </c>
      <c r="M1534" s="26" t="n">
        <v>1.1335</v>
      </c>
    </row>
    <row r="1535" ht="16" customHeight="1">
      <c r="A1535" t="inlineStr">
        <is>
          <t>02-Jan-2026</t>
        </is>
      </c>
      <c r="B1535" t="inlineStr">
        <is>
          <t>Friday</t>
        </is>
      </c>
      <c r="C1535" t="inlineStr">
        <is>
          <t>Week1-Jan-2026</t>
        </is>
      </c>
      <c r="D1535" s="78" t="n">
        <v>46023</v>
      </c>
      <c r="E1535" t="inlineStr">
        <is>
          <t>Q4FY26</t>
        </is>
      </c>
      <c r="F1535" t="inlineStr">
        <is>
          <t>27-Jan-2026</t>
        </is>
      </c>
      <c r="G1535" t="inlineStr">
        <is>
          <t>Tuesday</t>
        </is>
      </c>
      <c r="H1535" t="inlineStr">
        <is>
          <t>Monthly - Tuesday</t>
        </is>
      </c>
      <c r="I1535" t="inlineStr">
        <is>
          <t>Monthly - Tuesday</t>
        </is>
      </c>
      <c r="J1535" t="inlineStr">
        <is>
          <t>Same Month Expiry</t>
        </is>
      </c>
      <c r="K1535" s="25" t="n">
        <v>1433586</v>
      </c>
      <c r="L1535" s="26" t="n">
        <v>2455.9866</v>
      </c>
      <c r="M1535" s="26" t="n">
        <v>13.617</v>
      </c>
    </row>
    <row r="1536" ht="16" customHeight="1">
      <c r="A1536" t="inlineStr">
        <is>
          <t>02-Jan-2026</t>
        </is>
      </c>
      <c r="B1536" t="inlineStr">
        <is>
          <t>Friday</t>
        </is>
      </c>
      <c r="C1536" t="inlineStr">
        <is>
          <t>Week1-Jan-2026</t>
        </is>
      </c>
      <c r="D1536" s="78" t="n">
        <v>46023</v>
      </c>
      <c r="E1536" t="inlineStr">
        <is>
          <t>Q4FY26</t>
        </is>
      </c>
      <c r="F1536" t="inlineStr">
        <is>
          <t>03-Feb-2026</t>
        </is>
      </c>
      <c r="G1536" t="inlineStr">
        <is>
          <t>Tuesday</t>
        </is>
      </c>
      <c r="H1536" t="inlineStr">
        <is>
          <t>Weekly - Tuesday</t>
        </is>
      </c>
      <c r="I1536" t="inlineStr">
        <is>
          <t>Weekly - Tuesday</t>
        </is>
      </c>
      <c r="J1536" t="inlineStr">
        <is>
          <t>Month+1 Expiry</t>
        </is>
      </c>
      <c r="K1536" s="25" t="n">
        <v>10409</v>
      </c>
      <c r="L1536" s="26" t="n">
        <v>17.9428</v>
      </c>
      <c r="M1536" s="26" t="n">
        <v>0.115</v>
      </c>
    </row>
    <row r="1537" ht="16" customHeight="1">
      <c r="A1537" t="inlineStr">
        <is>
          <t>02-Jan-2026</t>
        </is>
      </c>
      <c r="B1537" t="inlineStr">
        <is>
          <t>Friday</t>
        </is>
      </c>
      <c r="C1537" t="inlineStr">
        <is>
          <t>Week1-Jan-2026</t>
        </is>
      </c>
      <c r="D1537" s="78" t="n">
        <v>46023</v>
      </c>
      <c r="E1537" t="inlineStr">
        <is>
          <t>Q4FY26</t>
        </is>
      </c>
      <c r="F1537" t="inlineStr">
        <is>
          <t>24-Feb-2026</t>
        </is>
      </c>
      <c r="G1537" t="inlineStr">
        <is>
          <t>Tuesday</t>
        </is>
      </c>
      <c r="H1537" t="inlineStr">
        <is>
          <t>Monthly - Tuesday</t>
        </is>
      </c>
      <c r="I1537" t="inlineStr">
        <is>
          <t>Monthly - Tuesday</t>
        </is>
      </c>
      <c r="J1537" t="inlineStr">
        <is>
          <t>Month+1 Expiry</t>
        </is>
      </c>
      <c r="K1537" s="25" t="n">
        <v>177264</v>
      </c>
      <c r="L1537" s="26" t="n">
        <v>305.4737</v>
      </c>
      <c r="M1537" s="26" t="n">
        <v>2.9745</v>
      </c>
    </row>
    <row r="1538" ht="16" customHeight="1">
      <c r="A1538" t="inlineStr">
        <is>
          <t>02-Jan-2026</t>
        </is>
      </c>
      <c r="B1538" t="inlineStr">
        <is>
          <t>Friday</t>
        </is>
      </c>
      <c r="C1538" t="inlineStr">
        <is>
          <t>Week1-Jan-2026</t>
        </is>
      </c>
      <c r="D1538" s="78" t="n">
        <v>46023</v>
      </c>
      <c r="E1538" t="inlineStr">
        <is>
          <t>Q4FY26</t>
        </is>
      </c>
      <c r="F1538" t="inlineStr">
        <is>
          <t>30-Mar-2026</t>
        </is>
      </c>
      <c r="G1538" t="inlineStr">
        <is>
          <t>Monday</t>
        </is>
      </c>
      <c r="H1538" t="inlineStr">
        <is>
          <t>Monthly - Monday</t>
        </is>
      </c>
      <c r="I1538" t="inlineStr">
        <is>
          <t>Monthly - Monday</t>
        </is>
      </c>
      <c r="J1538" t="inlineStr">
        <is>
          <t>Month+2 Expiry</t>
        </is>
      </c>
      <c r="K1538" s="25" t="n">
        <v>87709</v>
      </c>
      <c r="L1538" s="26" t="n">
        <v>152.178</v>
      </c>
      <c r="M1538" s="26" t="n">
        <v>2.2492</v>
      </c>
    </row>
    <row r="1539" ht="16" customHeight="1">
      <c r="A1539" t="inlineStr">
        <is>
          <t>02-Jan-2026</t>
        </is>
      </c>
      <c r="B1539" t="inlineStr">
        <is>
          <t>Friday</t>
        </is>
      </c>
      <c r="C1539" t="inlineStr">
        <is>
          <t>Week1-Jan-2026</t>
        </is>
      </c>
      <c r="D1539" s="78" t="n">
        <v>46023</v>
      </c>
      <c r="E1539" t="inlineStr">
        <is>
          <t>Q4FY26</t>
        </is>
      </c>
      <c r="F1539" t="inlineStr">
        <is>
          <t>30-Jun-2026</t>
        </is>
      </c>
      <c r="G1539" t="inlineStr">
        <is>
          <t>Tuesday</t>
        </is>
      </c>
      <c r="H1539" t="inlineStr">
        <is>
          <t>Monthly - Tuesday</t>
        </is>
      </c>
      <c r="I1539" t="inlineStr">
        <is>
          <t>Monthly - Tuesday</t>
        </is>
      </c>
      <c r="J1539" t="inlineStr">
        <is>
          <t>Month+5 Expiry</t>
        </is>
      </c>
      <c r="K1539" s="25" t="n">
        <v>29432</v>
      </c>
      <c r="L1539" s="26" t="n">
        <v>52.4112</v>
      </c>
      <c r="M1539" s="26" t="n">
        <v>1.0287</v>
      </c>
    </row>
    <row r="1540" ht="16" customHeight="1">
      <c r="A1540" t="inlineStr">
        <is>
          <t>02-Jan-2026</t>
        </is>
      </c>
      <c r="B1540" t="inlineStr">
        <is>
          <t>Friday</t>
        </is>
      </c>
      <c r="C1540" t="inlineStr">
        <is>
          <t>Week1-Jan-2026</t>
        </is>
      </c>
      <c r="D1540" s="78" t="n">
        <v>46023</v>
      </c>
      <c r="E1540" t="inlineStr">
        <is>
          <t>Q4FY26</t>
        </is>
      </c>
      <c r="F1540" t="inlineStr">
        <is>
          <t>29-Sep-2026</t>
        </is>
      </c>
      <c r="G1540" t="inlineStr">
        <is>
          <t>Tuesday</t>
        </is>
      </c>
      <c r="H1540" t="inlineStr">
        <is>
          <t>Monthly - Tuesday</t>
        </is>
      </c>
      <c r="I1540" t="inlineStr">
        <is>
          <t>Monthly - Tuesday</t>
        </is>
      </c>
      <c r="J1540" t="inlineStr">
        <is>
          <t>Month+8 Expiry</t>
        </is>
      </c>
      <c r="K1540" s="25" t="n">
        <v>736</v>
      </c>
      <c r="L1540" s="26" t="n">
        <v>1.3057</v>
      </c>
      <c r="M1540" s="26" t="n">
        <v>0.0215</v>
      </c>
    </row>
    <row r="1541" ht="16" customHeight="1">
      <c r="A1541" t="inlineStr">
        <is>
          <t>02-Jan-2026</t>
        </is>
      </c>
      <c r="B1541" t="inlineStr">
        <is>
          <t>Friday</t>
        </is>
      </c>
      <c r="C1541" t="inlineStr">
        <is>
          <t>Week1-Jan-2026</t>
        </is>
      </c>
      <c r="D1541" s="78" t="n">
        <v>46023</v>
      </c>
      <c r="E1541" t="inlineStr">
        <is>
          <t>Q4FY26</t>
        </is>
      </c>
      <c r="F1541" t="inlineStr">
        <is>
          <t>29-Dec-2026</t>
        </is>
      </c>
      <c r="G1541" t="inlineStr">
        <is>
          <t>Tuesday</t>
        </is>
      </c>
      <c r="H1541" t="inlineStr">
        <is>
          <t>Monthly - Tuesday</t>
        </is>
      </c>
      <c r="I1541" t="inlineStr">
        <is>
          <t>Monthly - Tuesday</t>
        </is>
      </c>
      <c r="J1541" t="inlineStr">
        <is>
          <t>Month+11 Expiry</t>
        </is>
      </c>
      <c r="K1541" s="25" t="n">
        <v>8201</v>
      </c>
      <c r="L1541" s="26" t="n">
        <v>14.5703</v>
      </c>
      <c r="M1541" s="26" t="n">
        <v>0.3988</v>
      </c>
    </row>
    <row r="1542" ht="16" customHeight="1">
      <c r="A1542" t="inlineStr">
        <is>
          <t>02-Jan-2026</t>
        </is>
      </c>
      <c r="B1542" t="inlineStr">
        <is>
          <t>Friday</t>
        </is>
      </c>
      <c r="C1542" t="inlineStr">
        <is>
          <t>Week1-Jan-2026</t>
        </is>
      </c>
      <c r="D1542" s="78" t="n">
        <v>46023</v>
      </c>
      <c r="E1542" t="inlineStr">
        <is>
          <t>Q4FY26</t>
        </is>
      </c>
      <c r="F1542" t="inlineStr">
        <is>
          <t>29-Jun-2027</t>
        </is>
      </c>
      <c r="G1542" t="inlineStr">
        <is>
          <t>Tuesday</t>
        </is>
      </c>
      <c r="H1542" t="inlineStr">
        <is>
          <t>Monthly - Tuesday</t>
        </is>
      </c>
      <c r="I1542" t="inlineStr">
        <is>
          <t>Monthly - Tuesday</t>
        </is>
      </c>
      <c r="J1542" t="inlineStr">
        <is>
          <t>Month+17 Expiry</t>
        </is>
      </c>
      <c r="K1542" s="25" t="n">
        <v>0</v>
      </c>
      <c r="L1542" s="26" t="n">
        <v>0</v>
      </c>
      <c r="M1542" s="26" t="n">
        <v>0</v>
      </c>
    </row>
    <row r="1543" ht="16" customHeight="1">
      <c r="A1543" t="inlineStr">
        <is>
          <t>02-Jan-2026</t>
        </is>
      </c>
      <c r="B1543" t="inlineStr">
        <is>
          <t>Friday</t>
        </is>
      </c>
      <c r="C1543" t="inlineStr">
        <is>
          <t>Week1-Jan-2026</t>
        </is>
      </c>
      <c r="D1543" s="78" t="n">
        <v>46023</v>
      </c>
      <c r="E1543" t="inlineStr">
        <is>
          <t>Q4FY26</t>
        </is>
      </c>
      <c r="F1543" t="inlineStr">
        <is>
          <t>28-Dec-2027</t>
        </is>
      </c>
      <c r="G1543" t="inlineStr">
        <is>
          <t>Tuesday</t>
        </is>
      </c>
      <c r="H1543" t="inlineStr">
        <is>
          <t>Monthly - Tuesday</t>
        </is>
      </c>
      <c r="I1543" t="inlineStr">
        <is>
          <t>Monthly - Tuesday</t>
        </is>
      </c>
      <c r="J1543" t="inlineStr">
        <is>
          <t>Month+23 Expiry</t>
        </is>
      </c>
      <c r="K1543" s="25" t="n">
        <v>60</v>
      </c>
      <c r="L1543" s="26" t="n">
        <v>0.1072</v>
      </c>
      <c r="M1543" s="26" t="n">
        <v>0.0055</v>
      </c>
    </row>
    <row r="1544" ht="16" customHeight="1">
      <c r="A1544" t="inlineStr">
        <is>
          <t>02-Jan-2026</t>
        </is>
      </c>
      <c r="B1544" t="inlineStr">
        <is>
          <t>Friday</t>
        </is>
      </c>
      <c r="C1544" t="inlineStr">
        <is>
          <t>Week1-Jan-2026</t>
        </is>
      </c>
      <c r="D1544" s="78" t="n">
        <v>46023</v>
      </c>
      <c r="E1544" t="inlineStr">
        <is>
          <t>Q4FY26</t>
        </is>
      </c>
      <c r="F1544" t="inlineStr">
        <is>
          <t>27-Jun-2028</t>
        </is>
      </c>
      <c r="G1544" t="inlineStr">
        <is>
          <t>Tuesday</t>
        </is>
      </c>
      <c r="H1544" t="inlineStr">
        <is>
          <t>Monthly - Tuesday</t>
        </is>
      </c>
      <c r="I1544" t="inlineStr">
        <is>
          <t>Monthly - Tuesday</t>
        </is>
      </c>
      <c r="J1544" t="inlineStr">
        <is>
          <t>Month+29 Expiry</t>
        </is>
      </c>
      <c r="K1544" s="25" t="n">
        <v>0</v>
      </c>
      <c r="L1544" s="26" t="n">
        <v>0</v>
      </c>
      <c r="M1544" s="26" t="n">
        <v>0</v>
      </c>
    </row>
    <row r="1545" ht="16" customHeight="1">
      <c r="A1545" t="inlineStr">
        <is>
          <t>02-Jan-2026</t>
        </is>
      </c>
      <c r="B1545" t="inlineStr">
        <is>
          <t>Friday</t>
        </is>
      </c>
      <c r="C1545" t="inlineStr">
        <is>
          <t>Week1-Jan-2026</t>
        </is>
      </c>
      <c r="D1545" s="78" t="n">
        <v>46023</v>
      </c>
      <c r="E1545" t="inlineStr">
        <is>
          <t>Q4FY26</t>
        </is>
      </c>
      <c r="F1545" t="inlineStr">
        <is>
          <t>26-Dec-2028</t>
        </is>
      </c>
      <c r="G1545" t="inlineStr">
        <is>
          <t>Tuesday</t>
        </is>
      </c>
      <c r="H1545" t="inlineStr">
        <is>
          <t>Monthly - Tuesday</t>
        </is>
      </c>
      <c r="I1545" t="inlineStr">
        <is>
          <t>Monthly - Tuesday</t>
        </is>
      </c>
      <c r="J1545" t="inlineStr">
        <is>
          <t>Month+35 Expiry</t>
        </is>
      </c>
      <c r="K1545" s="25" t="n">
        <v>2</v>
      </c>
      <c r="L1545" s="26" t="n">
        <v>0.0034</v>
      </c>
      <c r="M1545" s="26" t="n">
        <v>0.0001</v>
      </c>
    </row>
    <row r="1546" ht="16" customHeight="1">
      <c r="A1546" t="inlineStr">
        <is>
          <t>02-Jan-2026</t>
        </is>
      </c>
      <c r="B1546" t="inlineStr">
        <is>
          <t>Friday</t>
        </is>
      </c>
      <c r="C1546" t="inlineStr">
        <is>
          <t>Week1-Jan-2026</t>
        </is>
      </c>
      <c r="D1546" s="78" t="n">
        <v>46023</v>
      </c>
      <c r="E1546" t="inlineStr">
        <is>
          <t>Q4FY26</t>
        </is>
      </c>
      <c r="F1546" t="inlineStr">
        <is>
          <t>26-Jun-2029</t>
        </is>
      </c>
      <c r="G1546" t="inlineStr">
        <is>
          <t>Tuesday</t>
        </is>
      </c>
      <c r="H1546" t="inlineStr">
        <is>
          <t>Monthly - Tuesday</t>
        </is>
      </c>
      <c r="I1546" t="inlineStr">
        <is>
          <t>Monthly - Tuesday</t>
        </is>
      </c>
      <c r="J1546" t="inlineStr">
        <is>
          <t>Month+41 Expiry</t>
        </is>
      </c>
      <c r="K1546" s="25" t="n">
        <v>0</v>
      </c>
      <c r="L1546" s="26" t="n">
        <v>0</v>
      </c>
      <c r="M1546" s="26" t="n">
        <v>0</v>
      </c>
    </row>
    <row r="1547" ht="16" customHeight="1">
      <c r="A1547" t="inlineStr">
        <is>
          <t>02-Jan-2026</t>
        </is>
      </c>
      <c r="B1547" t="inlineStr">
        <is>
          <t>Friday</t>
        </is>
      </c>
      <c r="C1547" t="inlineStr">
        <is>
          <t>Week1-Jan-2026</t>
        </is>
      </c>
      <c r="D1547" s="78" t="n">
        <v>46023</v>
      </c>
      <c r="E1547" t="inlineStr">
        <is>
          <t>Q4FY26</t>
        </is>
      </c>
      <c r="F1547" t="inlineStr">
        <is>
          <t>24-Dec-2029</t>
        </is>
      </c>
      <c r="G1547" t="inlineStr">
        <is>
          <t>Monday</t>
        </is>
      </c>
      <c r="H1547" t="inlineStr">
        <is>
          <t>Weekly - Monday</t>
        </is>
      </c>
      <c r="I1547" t="inlineStr">
        <is>
          <t>Weekly - Monday</t>
        </is>
      </c>
      <c r="J1547" t="inlineStr">
        <is>
          <t>Month+47 Expiry</t>
        </is>
      </c>
      <c r="K1547" s="25" t="n">
        <v>0</v>
      </c>
      <c r="L1547" s="26" t="n">
        <v>0</v>
      </c>
      <c r="M1547" s="26" t="n">
        <v>0</v>
      </c>
    </row>
    <row r="1548" ht="16" customHeight="1">
      <c r="A1548" t="inlineStr">
        <is>
          <t>02-Jan-2026</t>
        </is>
      </c>
      <c r="B1548" t="inlineStr">
        <is>
          <t>Friday</t>
        </is>
      </c>
      <c r="C1548" t="inlineStr">
        <is>
          <t>Week1-Jan-2026</t>
        </is>
      </c>
      <c r="D1548" s="78" t="n">
        <v>46023</v>
      </c>
      <c r="E1548" t="inlineStr">
        <is>
          <t>Q4FY26</t>
        </is>
      </c>
      <c r="F1548" t="inlineStr">
        <is>
          <t>25-Jun-2030</t>
        </is>
      </c>
      <c r="G1548" t="inlineStr">
        <is>
          <t>Tuesday</t>
        </is>
      </c>
      <c r="H1548" t="inlineStr">
        <is>
          <t>Monthly - Tuesday</t>
        </is>
      </c>
      <c r="I1548" t="inlineStr">
        <is>
          <t>Monthly - Tuesday</t>
        </is>
      </c>
      <c r="J1548" t="inlineStr">
        <is>
          <t>Month+53 Expiry</t>
        </is>
      </c>
      <c r="K1548" s="25" t="n">
        <v>0</v>
      </c>
      <c r="L1548" s="26" t="n">
        <v>0</v>
      </c>
      <c r="M1548" s="26" t="n">
        <v>0</v>
      </c>
    </row>
    <row r="1549" ht="16" customHeight="1">
      <c r="A1549" t="inlineStr">
        <is>
          <t>02-Jan-2026</t>
        </is>
      </c>
      <c r="B1549" t="inlineStr">
        <is>
          <t>Friday</t>
        </is>
      </c>
      <c r="C1549" t="inlineStr">
        <is>
          <t>Week1-Jan-2026</t>
        </is>
      </c>
      <c r="D1549" s="78" t="n">
        <v>46023</v>
      </c>
      <c r="E1549" t="inlineStr">
        <is>
          <t>Q4FY26</t>
        </is>
      </c>
      <c r="F1549" t="inlineStr">
        <is>
          <t>31-Dec-2030</t>
        </is>
      </c>
      <c r="G1549" t="inlineStr">
        <is>
          <t>Tuesday</t>
        </is>
      </c>
      <c r="H1549" t="inlineStr">
        <is>
          <t>Monthly - Tuesday</t>
        </is>
      </c>
      <c r="I1549" t="inlineStr">
        <is>
          <t>Monthly - Tuesday</t>
        </is>
      </c>
      <c r="J1549" t="inlineStr">
        <is>
          <t>Month+59 Expiry</t>
        </is>
      </c>
      <c r="K1549" s="25" t="n">
        <v>0</v>
      </c>
      <c r="L1549" s="26" t="n">
        <v>0</v>
      </c>
      <c r="M1549" s="26" t="n">
        <v>0</v>
      </c>
    </row>
    <row r="1550" ht="16" customHeight="1">
      <c r="A1550" t="inlineStr">
        <is>
          <t>05-Jan-2026</t>
        </is>
      </c>
      <c r="B1550" t="inlineStr">
        <is>
          <t>Monday</t>
        </is>
      </c>
      <c r="C1550" t="inlineStr">
        <is>
          <t>Week1-Jan-2026</t>
        </is>
      </c>
      <c r="D1550" s="78" t="n">
        <v>46023</v>
      </c>
      <c r="E1550" t="inlineStr">
        <is>
          <t>Q4FY26</t>
        </is>
      </c>
      <c r="F1550" t="inlineStr">
        <is>
          <t>06-Jan-2026</t>
        </is>
      </c>
      <c r="G1550" t="inlineStr">
        <is>
          <t>Tuesday</t>
        </is>
      </c>
      <c r="H1550" t="inlineStr">
        <is>
          <t>Weekly - Tuesday</t>
        </is>
      </c>
      <c r="I1550" t="inlineStr">
        <is>
          <t>Weekly - Tuesday</t>
        </is>
      </c>
      <c r="J1550" t="inlineStr">
        <is>
          <t>Same Month Expiry</t>
        </is>
      </c>
      <c r="K1550" s="25" t="n">
        <v>163137061</v>
      </c>
      <c r="L1550" s="26" t="n">
        <v>279012.4603</v>
      </c>
      <c r="M1550" s="26" t="n">
        <v>404.6933</v>
      </c>
    </row>
    <row r="1551" ht="16" customHeight="1">
      <c r="A1551" t="inlineStr">
        <is>
          <t>05-Jan-2026</t>
        </is>
      </c>
      <c r="B1551" t="inlineStr">
        <is>
          <t>Monday</t>
        </is>
      </c>
      <c r="C1551" t="inlineStr">
        <is>
          <t>Week1-Jan-2026</t>
        </is>
      </c>
      <c r="D1551" s="78" t="n">
        <v>46023</v>
      </c>
      <c r="E1551" t="inlineStr">
        <is>
          <t>Q4FY26</t>
        </is>
      </c>
      <c r="F1551" t="inlineStr">
        <is>
          <t>13-Jan-2026</t>
        </is>
      </c>
      <c r="G1551" t="inlineStr">
        <is>
          <t>Tuesday</t>
        </is>
      </c>
      <c r="H1551" t="inlineStr">
        <is>
          <t>Weekly - Tuesday</t>
        </is>
      </c>
      <c r="I1551" t="inlineStr">
        <is>
          <t>Weekly - Tuesday</t>
        </is>
      </c>
      <c r="J1551" t="inlineStr">
        <is>
          <t>Same Month Expiry</t>
        </is>
      </c>
      <c r="K1551" s="25" t="n">
        <v>5963166</v>
      </c>
      <c r="L1551" s="26" t="n">
        <v>10229.7144</v>
      </c>
      <c r="M1551" s="26" t="n">
        <v>28.9622</v>
      </c>
    </row>
    <row r="1552" ht="16" customHeight="1">
      <c r="A1552" t="inlineStr">
        <is>
          <t>05-Jan-2026</t>
        </is>
      </c>
      <c r="B1552" t="inlineStr">
        <is>
          <t>Monday</t>
        </is>
      </c>
      <c r="C1552" t="inlineStr">
        <is>
          <t>Week1-Jan-2026</t>
        </is>
      </c>
      <c r="D1552" s="78" t="n">
        <v>46023</v>
      </c>
      <c r="E1552" t="inlineStr">
        <is>
          <t>Q4FY26</t>
        </is>
      </c>
      <c r="F1552" t="inlineStr">
        <is>
          <t>20-Jan-2026</t>
        </is>
      </c>
      <c r="G1552" t="inlineStr">
        <is>
          <t>Tuesday</t>
        </is>
      </c>
      <c r="H1552" t="inlineStr">
        <is>
          <t>Weekly - Tuesday</t>
        </is>
      </c>
      <c r="I1552" t="inlineStr">
        <is>
          <t>Weekly - Tuesday</t>
        </is>
      </c>
      <c r="J1552" t="inlineStr">
        <is>
          <t>Same Month Expiry</t>
        </is>
      </c>
      <c r="K1552" s="25" t="n">
        <v>330846</v>
      </c>
      <c r="L1552" s="26" t="n">
        <v>567.9208</v>
      </c>
      <c r="M1552" s="26" t="n">
        <v>2.4533</v>
      </c>
    </row>
    <row r="1553" ht="16" customHeight="1">
      <c r="A1553" t="inlineStr">
        <is>
          <t>05-Jan-2026</t>
        </is>
      </c>
      <c r="B1553" t="inlineStr">
        <is>
          <t>Monday</t>
        </is>
      </c>
      <c r="C1553" t="inlineStr">
        <is>
          <t>Week1-Jan-2026</t>
        </is>
      </c>
      <c r="D1553" s="78" t="n">
        <v>46023</v>
      </c>
      <c r="E1553" t="inlineStr">
        <is>
          <t>Q4FY26</t>
        </is>
      </c>
      <c r="F1553" t="inlineStr">
        <is>
          <t>27-Jan-2026</t>
        </is>
      </c>
      <c r="G1553" t="inlineStr">
        <is>
          <t>Tuesday</t>
        </is>
      </c>
      <c r="H1553" t="inlineStr">
        <is>
          <t>Monthly - Tuesday</t>
        </is>
      </c>
      <c r="I1553" t="inlineStr">
        <is>
          <t>Monthly - Tuesday</t>
        </is>
      </c>
      <c r="J1553" t="inlineStr">
        <is>
          <t>Same Month Expiry</t>
        </is>
      </c>
      <c r="K1553" s="25" t="n">
        <v>1563958</v>
      </c>
      <c r="L1553" s="26" t="n">
        <v>2690.0767</v>
      </c>
      <c r="M1553" s="26" t="n">
        <v>15.4414</v>
      </c>
    </row>
    <row r="1554" ht="16" customHeight="1">
      <c r="A1554" t="inlineStr">
        <is>
          <t>05-Jan-2026</t>
        </is>
      </c>
      <c r="B1554" t="inlineStr">
        <is>
          <t>Monday</t>
        </is>
      </c>
      <c r="C1554" t="inlineStr">
        <is>
          <t>Week1-Jan-2026</t>
        </is>
      </c>
      <c r="D1554" s="78" t="n">
        <v>46023</v>
      </c>
      <c r="E1554" t="inlineStr">
        <is>
          <t>Q4FY26</t>
        </is>
      </c>
      <c r="F1554" t="inlineStr">
        <is>
          <t>03-Feb-2026</t>
        </is>
      </c>
      <c r="G1554" t="inlineStr">
        <is>
          <t>Tuesday</t>
        </is>
      </c>
      <c r="H1554" t="inlineStr">
        <is>
          <t>Weekly - Tuesday</t>
        </is>
      </c>
      <c r="I1554" t="inlineStr">
        <is>
          <t>Weekly - Tuesday</t>
        </is>
      </c>
      <c r="J1554" t="inlineStr">
        <is>
          <t>Month+1 Expiry</t>
        </is>
      </c>
      <c r="K1554" s="25" t="n">
        <v>13190</v>
      </c>
      <c r="L1554" s="26" t="n">
        <v>22.7881</v>
      </c>
      <c r="M1554" s="26" t="n">
        <v>0.1489</v>
      </c>
    </row>
    <row r="1555" ht="16" customHeight="1">
      <c r="A1555" t="inlineStr">
        <is>
          <t>05-Jan-2026</t>
        </is>
      </c>
      <c r="B1555" t="inlineStr">
        <is>
          <t>Monday</t>
        </is>
      </c>
      <c r="C1555" t="inlineStr">
        <is>
          <t>Week1-Jan-2026</t>
        </is>
      </c>
      <c r="D1555" s="78" t="n">
        <v>46023</v>
      </c>
      <c r="E1555" t="inlineStr">
        <is>
          <t>Q4FY26</t>
        </is>
      </c>
      <c r="F1555" t="inlineStr">
        <is>
          <t>24-Feb-2026</t>
        </is>
      </c>
      <c r="G1555" t="inlineStr">
        <is>
          <t>Tuesday</t>
        </is>
      </c>
      <c r="H1555" t="inlineStr">
        <is>
          <t>Monthly - Tuesday</t>
        </is>
      </c>
      <c r="I1555" t="inlineStr">
        <is>
          <t>Monthly - Tuesday</t>
        </is>
      </c>
      <c r="J1555" t="inlineStr">
        <is>
          <t>Month+1 Expiry</t>
        </is>
      </c>
      <c r="K1555" s="25" t="n">
        <v>174277</v>
      </c>
      <c r="L1555" s="26" t="n">
        <v>299.7558</v>
      </c>
      <c r="M1555" s="26" t="n">
        <v>2.6657</v>
      </c>
    </row>
    <row r="1556" ht="16" customHeight="1">
      <c r="A1556" t="inlineStr">
        <is>
          <t>05-Jan-2026</t>
        </is>
      </c>
      <c r="B1556" t="inlineStr">
        <is>
          <t>Monday</t>
        </is>
      </c>
      <c r="C1556" t="inlineStr">
        <is>
          <t>Week1-Jan-2026</t>
        </is>
      </c>
      <c r="D1556" s="78" t="n">
        <v>46023</v>
      </c>
      <c r="E1556" t="inlineStr">
        <is>
          <t>Q4FY26</t>
        </is>
      </c>
      <c r="F1556" t="inlineStr">
        <is>
          <t>30-Mar-2026</t>
        </is>
      </c>
      <c r="G1556" t="inlineStr">
        <is>
          <t>Monday</t>
        </is>
      </c>
      <c r="H1556" t="inlineStr">
        <is>
          <t>Monthly - Monday</t>
        </is>
      </c>
      <c r="I1556" t="inlineStr">
        <is>
          <t>Monthly - Monday</t>
        </is>
      </c>
      <c r="J1556" t="inlineStr">
        <is>
          <t>Month+2 Expiry</t>
        </is>
      </c>
      <c r="K1556" s="25" t="n">
        <v>76783</v>
      </c>
      <c r="L1556" s="26" t="n">
        <v>134.5291</v>
      </c>
      <c r="M1556" s="26" t="n">
        <v>1.8143</v>
      </c>
    </row>
    <row r="1557" ht="16" customHeight="1">
      <c r="A1557" t="inlineStr">
        <is>
          <t>05-Jan-2026</t>
        </is>
      </c>
      <c r="B1557" t="inlineStr">
        <is>
          <t>Monday</t>
        </is>
      </c>
      <c r="C1557" t="inlineStr">
        <is>
          <t>Week1-Jan-2026</t>
        </is>
      </c>
      <c r="D1557" s="78" t="n">
        <v>46023</v>
      </c>
      <c r="E1557" t="inlineStr">
        <is>
          <t>Q4FY26</t>
        </is>
      </c>
      <c r="F1557" t="inlineStr">
        <is>
          <t>30-Jun-2026</t>
        </is>
      </c>
      <c r="G1557" t="inlineStr">
        <is>
          <t>Tuesday</t>
        </is>
      </c>
      <c r="H1557" t="inlineStr">
        <is>
          <t>Monthly - Tuesday</t>
        </is>
      </c>
      <c r="I1557" t="inlineStr">
        <is>
          <t>Monthly - Tuesday</t>
        </is>
      </c>
      <c r="J1557" t="inlineStr">
        <is>
          <t>Month+5 Expiry</t>
        </is>
      </c>
      <c r="K1557" s="25" t="n">
        <v>19290</v>
      </c>
      <c r="L1557" s="26" t="n">
        <v>34.2087</v>
      </c>
      <c r="M1557" s="26" t="n">
        <v>0.5809</v>
      </c>
    </row>
    <row r="1558" ht="16" customHeight="1">
      <c r="A1558" t="inlineStr">
        <is>
          <t>05-Jan-2026</t>
        </is>
      </c>
      <c r="B1558" t="inlineStr">
        <is>
          <t>Monday</t>
        </is>
      </c>
      <c r="C1558" t="inlineStr">
        <is>
          <t>Week1-Jan-2026</t>
        </is>
      </c>
      <c r="D1558" s="78" t="n">
        <v>46023</v>
      </c>
      <c r="E1558" t="inlineStr">
        <is>
          <t>Q4FY26</t>
        </is>
      </c>
      <c r="F1558" t="inlineStr">
        <is>
          <t>29-Sep-2026</t>
        </is>
      </c>
      <c r="G1558" t="inlineStr">
        <is>
          <t>Tuesday</t>
        </is>
      </c>
      <c r="H1558" t="inlineStr">
        <is>
          <t>Monthly - Tuesday</t>
        </is>
      </c>
      <c r="I1558" t="inlineStr">
        <is>
          <t>Monthly - Tuesday</t>
        </is>
      </c>
      <c r="J1558" t="inlineStr">
        <is>
          <t>Month+8 Expiry</t>
        </is>
      </c>
      <c r="K1558" s="25" t="n">
        <v>784</v>
      </c>
      <c r="L1558" s="26" t="n">
        <v>1.3736</v>
      </c>
      <c r="M1558" s="26" t="n">
        <v>0.018</v>
      </c>
    </row>
    <row r="1559" ht="16" customHeight="1">
      <c r="A1559" t="inlineStr">
        <is>
          <t>05-Jan-2026</t>
        </is>
      </c>
      <c r="B1559" t="inlineStr">
        <is>
          <t>Monday</t>
        </is>
      </c>
      <c r="C1559" t="inlineStr">
        <is>
          <t>Week1-Jan-2026</t>
        </is>
      </c>
      <c r="D1559" s="78" t="n">
        <v>46023</v>
      </c>
      <c r="E1559" t="inlineStr">
        <is>
          <t>Q4FY26</t>
        </is>
      </c>
      <c r="F1559" t="inlineStr">
        <is>
          <t>29-Dec-2026</t>
        </is>
      </c>
      <c r="G1559" t="inlineStr">
        <is>
          <t>Tuesday</t>
        </is>
      </c>
      <c r="H1559" t="inlineStr">
        <is>
          <t>Monthly - Tuesday</t>
        </is>
      </c>
      <c r="I1559" t="inlineStr">
        <is>
          <t>Monthly - Tuesday</t>
        </is>
      </c>
      <c r="J1559" t="inlineStr">
        <is>
          <t>Month+11 Expiry</t>
        </is>
      </c>
      <c r="K1559" s="25" t="n">
        <v>6144</v>
      </c>
      <c r="L1559" s="26" t="n">
        <v>10.9812</v>
      </c>
      <c r="M1559" s="26" t="n">
        <v>0.3071</v>
      </c>
    </row>
    <row r="1560" ht="16" customHeight="1">
      <c r="A1560" t="inlineStr">
        <is>
          <t>05-Jan-2026</t>
        </is>
      </c>
      <c r="B1560" t="inlineStr">
        <is>
          <t>Monday</t>
        </is>
      </c>
      <c r="C1560" t="inlineStr">
        <is>
          <t>Week1-Jan-2026</t>
        </is>
      </c>
      <c r="D1560" s="78" t="n">
        <v>46023</v>
      </c>
      <c r="E1560" t="inlineStr">
        <is>
          <t>Q4FY26</t>
        </is>
      </c>
      <c r="F1560" t="inlineStr">
        <is>
          <t>29-Jun-2027</t>
        </is>
      </c>
      <c r="G1560" t="inlineStr">
        <is>
          <t>Tuesday</t>
        </is>
      </c>
      <c r="H1560" t="inlineStr">
        <is>
          <t>Monthly - Tuesday</t>
        </is>
      </c>
      <c r="I1560" t="inlineStr">
        <is>
          <t>Monthly - Tuesday</t>
        </is>
      </c>
      <c r="J1560" t="inlineStr">
        <is>
          <t>Month+17 Expiry</t>
        </is>
      </c>
      <c r="K1560" s="25" t="n">
        <v>0</v>
      </c>
      <c r="L1560" s="26" t="n">
        <v>0</v>
      </c>
      <c r="M1560" s="26" t="n">
        <v>0</v>
      </c>
    </row>
    <row r="1561" ht="16" customHeight="1">
      <c r="A1561" t="inlineStr">
        <is>
          <t>05-Jan-2026</t>
        </is>
      </c>
      <c r="B1561" t="inlineStr">
        <is>
          <t>Monday</t>
        </is>
      </c>
      <c r="C1561" t="inlineStr">
        <is>
          <t>Week1-Jan-2026</t>
        </is>
      </c>
      <c r="D1561" s="78" t="n">
        <v>46023</v>
      </c>
      <c r="E1561" t="inlineStr">
        <is>
          <t>Q4FY26</t>
        </is>
      </c>
      <c r="F1561" t="inlineStr">
        <is>
          <t>28-Dec-2027</t>
        </is>
      </c>
      <c r="G1561" t="inlineStr">
        <is>
          <t>Tuesday</t>
        </is>
      </c>
      <c r="H1561" t="inlineStr">
        <is>
          <t>Monthly - Tuesday</t>
        </is>
      </c>
      <c r="I1561" t="inlineStr">
        <is>
          <t>Monthly - Tuesday</t>
        </is>
      </c>
      <c r="J1561" t="inlineStr">
        <is>
          <t>Month+23 Expiry</t>
        </is>
      </c>
      <c r="K1561" s="25" t="n">
        <v>90</v>
      </c>
      <c r="L1561" s="26" t="n">
        <v>0.1476</v>
      </c>
      <c r="M1561" s="26" t="n">
        <v>0.0058</v>
      </c>
    </row>
    <row r="1562" ht="16" customHeight="1">
      <c r="A1562" t="inlineStr">
        <is>
          <t>05-Jan-2026</t>
        </is>
      </c>
      <c r="B1562" t="inlineStr">
        <is>
          <t>Monday</t>
        </is>
      </c>
      <c r="C1562" t="inlineStr">
        <is>
          <t>Week1-Jan-2026</t>
        </is>
      </c>
      <c r="D1562" s="78" t="n">
        <v>46023</v>
      </c>
      <c r="E1562" t="inlineStr">
        <is>
          <t>Q4FY26</t>
        </is>
      </c>
      <c r="F1562" t="inlineStr">
        <is>
          <t>27-Jun-2028</t>
        </is>
      </c>
      <c r="G1562" t="inlineStr">
        <is>
          <t>Tuesday</t>
        </is>
      </c>
      <c r="H1562" t="inlineStr">
        <is>
          <t>Monthly - Tuesday</t>
        </is>
      </c>
      <c r="I1562" t="inlineStr">
        <is>
          <t>Monthly - Tuesday</t>
        </is>
      </c>
      <c r="J1562" t="inlineStr">
        <is>
          <t>Month+29 Expiry</t>
        </is>
      </c>
      <c r="K1562" s="25" t="n">
        <v>0</v>
      </c>
      <c r="L1562" s="26" t="n">
        <v>0</v>
      </c>
      <c r="M1562" s="26" t="n">
        <v>0</v>
      </c>
    </row>
    <row r="1563" ht="16" customHeight="1">
      <c r="A1563" t="inlineStr">
        <is>
          <t>05-Jan-2026</t>
        </is>
      </c>
      <c r="B1563" t="inlineStr">
        <is>
          <t>Monday</t>
        </is>
      </c>
      <c r="C1563" t="inlineStr">
        <is>
          <t>Week1-Jan-2026</t>
        </is>
      </c>
      <c r="D1563" s="78" t="n">
        <v>46023</v>
      </c>
      <c r="E1563" t="inlineStr">
        <is>
          <t>Q4FY26</t>
        </is>
      </c>
      <c r="F1563" t="inlineStr">
        <is>
          <t>26-Dec-2028</t>
        </is>
      </c>
      <c r="G1563" t="inlineStr">
        <is>
          <t>Tuesday</t>
        </is>
      </c>
      <c r="H1563" t="inlineStr">
        <is>
          <t>Monthly - Tuesday</t>
        </is>
      </c>
      <c r="I1563" t="inlineStr">
        <is>
          <t>Monthly - Tuesday</t>
        </is>
      </c>
      <c r="J1563" t="inlineStr">
        <is>
          <t>Month+35 Expiry</t>
        </is>
      </c>
      <c r="K1563" s="25" t="n">
        <v>3</v>
      </c>
      <c r="L1563" s="26" t="n">
        <v>0.006</v>
      </c>
      <c r="M1563" s="26" t="n">
        <v>0.0004</v>
      </c>
    </row>
    <row r="1564" ht="16" customHeight="1">
      <c r="A1564" t="inlineStr">
        <is>
          <t>05-Jan-2026</t>
        </is>
      </c>
      <c r="B1564" t="inlineStr">
        <is>
          <t>Monday</t>
        </is>
      </c>
      <c r="C1564" t="inlineStr">
        <is>
          <t>Week1-Jan-2026</t>
        </is>
      </c>
      <c r="D1564" s="78" t="n">
        <v>46023</v>
      </c>
      <c r="E1564" t="inlineStr">
        <is>
          <t>Q4FY26</t>
        </is>
      </c>
      <c r="F1564" t="inlineStr">
        <is>
          <t>26-Jun-2029</t>
        </is>
      </c>
      <c r="G1564" t="inlineStr">
        <is>
          <t>Tuesday</t>
        </is>
      </c>
      <c r="H1564" t="inlineStr">
        <is>
          <t>Monthly - Tuesday</t>
        </is>
      </c>
      <c r="I1564" t="inlineStr">
        <is>
          <t>Monthly - Tuesday</t>
        </is>
      </c>
      <c r="J1564" t="inlineStr">
        <is>
          <t>Month+41 Expiry</t>
        </is>
      </c>
      <c r="K1564" s="25" t="n">
        <v>0</v>
      </c>
      <c r="L1564" s="26" t="n">
        <v>0</v>
      </c>
      <c r="M1564" s="26" t="n">
        <v>0</v>
      </c>
    </row>
    <row r="1565" ht="16" customHeight="1">
      <c r="A1565" t="inlineStr">
        <is>
          <t>05-Jan-2026</t>
        </is>
      </c>
      <c r="B1565" t="inlineStr">
        <is>
          <t>Monday</t>
        </is>
      </c>
      <c r="C1565" t="inlineStr">
        <is>
          <t>Week1-Jan-2026</t>
        </is>
      </c>
      <c r="D1565" s="78" t="n">
        <v>46023</v>
      </c>
      <c r="E1565" t="inlineStr">
        <is>
          <t>Q4FY26</t>
        </is>
      </c>
      <c r="F1565" t="inlineStr">
        <is>
          <t>24-Dec-2029</t>
        </is>
      </c>
      <c r="G1565" t="inlineStr">
        <is>
          <t>Monday</t>
        </is>
      </c>
      <c r="H1565" t="inlineStr">
        <is>
          <t>Weekly - Monday</t>
        </is>
      </c>
      <c r="I1565" t="inlineStr">
        <is>
          <t>Weekly - Monday</t>
        </is>
      </c>
      <c r="J1565" t="inlineStr">
        <is>
          <t>Month+47 Expiry</t>
        </is>
      </c>
      <c r="K1565" s="25" t="n">
        <v>0</v>
      </c>
      <c r="L1565" s="26" t="n">
        <v>0</v>
      </c>
      <c r="M1565" s="26" t="n">
        <v>0</v>
      </c>
    </row>
    <row r="1566" ht="16" customHeight="1">
      <c r="A1566" t="inlineStr">
        <is>
          <t>05-Jan-2026</t>
        </is>
      </c>
      <c r="B1566" t="inlineStr">
        <is>
          <t>Monday</t>
        </is>
      </c>
      <c r="C1566" t="inlineStr">
        <is>
          <t>Week1-Jan-2026</t>
        </is>
      </c>
      <c r="D1566" s="78" t="n">
        <v>46023</v>
      </c>
      <c r="E1566" t="inlineStr">
        <is>
          <t>Q4FY26</t>
        </is>
      </c>
      <c r="F1566" t="inlineStr">
        <is>
          <t>25-Jun-2030</t>
        </is>
      </c>
      <c r="G1566" t="inlineStr">
        <is>
          <t>Tuesday</t>
        </is>
      </c>
      <c r="H1566" t="inlineStr">
        <is>
          <t>Monthly - Tuesday</t>
        </is>
      </c>
      <c r="I1566" t="inlineStr">
        <is>
          <t>Monthly - Tuesday</t>
        </is>
      </c>
      <c r="J1566" t="inlineStr">
        <is>
          <t>Month+53 Expiry</t>
        </is>
      </c>
      <c r="K1566" s="25" t="n">
        <v>0</v>
      </c>
      <c r="L1566" s="26" t="n">
        <v>0</v>
      </c>
      <c r="M1566" s="26" t="n">
        <v>0</v>
      </c>
    </row>
    <row r="1567" ht="16" customHeight="1">
      <c r="A1567" t="inlineStr">
        <is>
          <t>05-Jan-2026</t>
        </is>
      </c>
      <c r="B1567" t="inlineStr">
        <is>
          <t>Monday</t>
        </is>
      </c>
      <c r="C1567" t="inlineStr">
        <is>
          <t>Week1-Jan-2026</t>
        </is>
      </c>
      <c r="D1567" s="78" t="n">
        <v>46023</v>
      </c>
      <c r="E1567" t="inlineStr">
        <is>
          <t>Q4FY26</t>
        </is>
      </c>
      <c r="F1567" t="inlineStr">
        <is>
          <t>31-Dec-2030</t>
        </is>
      </c>
      <c r="G1567" t="inlineStr">
        <is>
          <t>Tuesday</t>
        </is>
      </c>
      <c r="H1567" t="inlineStr">
        <is>
          <t>Monthly - Tuesday</t>
        </is>
      </c>
      <c r="I1567" t="inlineStr">
        <is>
          <t>Monthly - Tuesday</t>
        </is>
      </c>
      <c r="J1567" t="inlineStr">
        <is>
          <t>Month+59 Expiry</t>
        </is>
      </c>
      <c r="K1567" s="25" t="n">
        <v>0</v>
      </c>
      <c r="L1567" s="26" t="n">
        <v>0</v>
      </c>
      <c r="M1567" s="26" t="n">
        <v>0</v>
      </c>
    </row>
    <row r="1568" ht="16" customHeight="1">
      <c r="A1568" t="inlineStr">
        <is>
          <t>06-Jan-2026</t>
        </is>
      </c>
      <c r="B1568" t="inlineStr">
        <is>
          <t>Tuesday</t>
        </is>
      </c>
      <c r="C1568" t="inlineStr">
        <is>
          <t>Week1-Jan-2026</t>
        </is>
      </c>
      <c r="D1568" s="78" t="n">
        <v>46023</v>
      </c>
      <c r="E1568" t="inlineStr">
        <is>
          <t>Q4FY26</t>
        </is>
      </c>
      <c r="F1568" t="inlineStr">
        <is>
          <t>06-Jan-2026</t>
        </is>
      </c>
      <c r="G1568" t="inlineStr">
        <is>
          <t>Tuesday</t>
        </is>
      </c>
      <c r="H1568" t="inlineStr">
        <is>
          <t>Weekly - Tuesday</t>
        </is>
      </c>
      <c r="I1568" t="inlineStr">
        <is>
          <t>Weekly - Tuesday</t>
        </is>
      </c>
      <c r="J1568" t="inlineStr">
        <is>
          <t>Same Month Expiry</t>
        </is>
      </c>
      <c r="K1568" s="25" t="n">
        <v>321920482</v>
      </c>
      <c r="L1568" s="26" t="n">
        <v>548450.2481</v>
      </c>
      <c r="M1568" s="26" t="n">
        <v>454.2068</v>
      </c>
    </row>
    <row r="1569" ht="16" customHeight="1">
      <c r="A1569" t="inlineStr">
        <is>
          <t>06-Jan-2026</t>
        </is>
      </c>
      <c r="B1569" t="inlineStr">
        <is>
          <t>Tuesday</t>
        </is>
      </c>
      <c r="C1569" t="inlineStr">
        <is>
          <t>Week1-Jan-2026</t>
        </is>
      </c>
      <c r="D1569" s="78" t="n">
        <v>46023</v>
      </c>
      <c r="E1569" t="inlineStr">
        <is>
          <t>Q4FY26</t>
        </is>
      </c>
      <c r="F1569" t="inlineStr">
        <is>
          <t>13-Jan-2026</t>
        </is>
      </c>
      <c r="G1569" t="inlineStr">
        <is>
          <t>Tuesday</t>
        </is>
      </c>
      <c r="H1569" t="inlineStr">
        <is>
          <t>Weekly - Tuesday</t>
        </is>
      </c>
      <c r="I1569" t="inlineStr">
        <is>
          <t>Weekly - Tuesday</t>
        </is>
      </c>
      <c r="J1569" t="inlineStr">
        <is>
          <t>Same Month Expiry</t>
        </is>
      </c>
      <c r="K1569" s="25" t="n">
        <v>12248934</v>
      </c>
      <c r="L1569" s="26" t="n">
        <v>20956.7009</v>
      </c>
      <c r="M1569" s="26" t="n">
        <v>49.4494</v>
      </c>
    </row>
    <row r="1570" ht="16" customHeight="1">
      <c r="A1570" t="inlineStr">
        <is>
          <t>06-Jan-2026</t>
        </is>
      </c>
      <c r="B1570" t="inlineStr">
        <is>
          <t>Tuesday</t>
        </is>
      </c>
      <c r="C1570" t="inlineStr">
        <is>
          <t>Week1-Jan-2026</t>
        </is>
      </c>
      <c r="D1570" s="78" t="n">
        <v>46023</v>
      </c>
      <c r="E1570" t="inlineStr">
        <is>
          <t>Q4FY26</t>
        </is>
      </c>
      <c r="F1570" t="inlineStr">
        <is>
          <t>20-Jan-2026</t>
        </is>
      </c>
      <c r="G1570" t="inlineStr">
        <is>
          <t>Tuesday</t>
        </is>
      </c>
      <c r="H1570" t="inlineStr">
        <is>
          <t>Weekly - Tuesday</t>
        </is>
      </c>
      <c r="I1570" t="inlineStr">
        <is>
          <t>Weekly - Tuesday</t>
        </is>
      </c>
      <c r="J1570" t="inlineStr">
        <is>
          <t>Same Month Expiry</t>
        </is>
      </c>
      <c r="K1570" s="25" t="n">
        <v>397266</v>
      </c>
      <c r="L1570" s="26" t="n">
        <v>680.6509</v>
      </c>
      <c r="M1570" s="26" t="n">
        <v>2.6084</v>
      </c>
    </row>
    <row r="1571" ht="16" customHeight="1">
      <c r="A1571" t="inlineStr">
        <is>
          <t>06-Jan-2026</t>
        </is>
      </c>
      <c r="B1571" t="inlineStr">
        <is>
          <t>Tuesday</t>
        </is>
      </c>
      <c r="C1571" t="inlineStr">
        <is>
          <t>Week1-Jan-2026</t>
        </is>
      </c>
      <c r="D1571" s="78" t="n">
        <v>46023</v>
      </c>
      <c r="E1571" t="inlineStr">
        <is>
          <t>Q4FY26</t>
        </is>
      </c>
      <c r="F1571" t="inlineStr">
        <is>
          <t>27-Jan-2026</t>
        </is>
      </c>
      <c r="G1571" t="inlineStr">
        <is>
          <t>Tuesday</t>
        </is>
      </c>
      <c r="H1571" t="inlineStr">
        <is>
          <t>Monthly - Tuesday</t>
        </is>
      </c>
      <c r="I1571" t="inlineStr">
        <is>
          <t>Monthly - Tuesday</t>
        </is>
      </c>
      <c r="J1571" t="inlineStr">
        <is>
          <t>Same Month Expiry</t>
        </is>
      </c>
      <c r="K1571" s="25" t="n">
        <v>1290079</v>
      </c>
      <c r="L1571" s="26" t="n">
        <v>2214.9018</v>
      </c>
      <c r="M1571" s="26" t="n">
        <v>12.0934</v>
      </c>
    </row>
    <row r="1572" ht="16" customHeight="1">
      <c r="A1572" t="inlineStr">
        <is>
          <t>06-Jan-2026</t>
        </is>
      </c>
      <c r="B1572" t="inlineStr">
        <is>
          <t>Tuesday</t>
        </is>
      </c>
      <c r="C1572" t="inlineStr">
        <is>
          <t>Week1-Jan-2026</t>
        </is>
      </c>
      <c r="D1572" s="78" t="n">
        <v>46023</v>
      </c>
      <c r="E1572" t="inlineStr">
        <is>
          <t>Q4FY26</t>
        </is>
      </c>
      <c r="F1572" t="inlineStr">
        <is>
          <t>03-Feb-2026</t>
        </is>
      </c>
      <c r="G1572" t="inlineStr">
        <is>
          <t>Tuesday</t>
        </is>
      </c>
      <c r="H1572" t="inlineStr">
        <is>
          <t>Weekly - Tuesday</t>
        </is>
      </c>
      <c r="I1572" t="inlineStr">
        <is>
          <t>Weekly - Tuesday</t>
        </is>
      </c>
      <c r="J1572" t="inlineStr">
        <is>
          <t>Month+1 Expiry</t>
        </is>
      </c>
      <c r="K1572" s="25" t="n">
        <v>17605</v>
      </c>
      <c r="L1572" s="26" t="n">
        <v>30.4555</v>
      </c>
      <c r="M1572" s="26" t="n">
        <v>0.1814</v>
      </c>
    </row>
    <row r="1573" ht="16" customHeight="1">
      <c r="A1573" t="inlineStr">
        <is>
          <t>06-Jan-2026</t>
        </is>
      </c>
      <c r="B1573" t="inlineStr">
        <is>
          <t>Tuesday</t>
        </is>
      </c>
      <c r="C1573" t="inlineStr">
        <is>
          <t>Week1-Jan-2026</t>
        </is>
      </c>
      <c r="D1573" s="78" t="n">
        <v>46023</v>
      </c>
      <c r="E1573" t="inlineStr">
        <is>
          <t>Q4FY26</t>
        </is>
      </c>
      <c r="F1573" t="inlineStr">
        <is>
          <t>24-Feb-2026</t>
        </is>
      </c>
      <c r="G1573" t="inlineStr">
        <is>
          <t>Tuesday</t>
        </is>
      </c>
      <c r="H1573" t="inlineStr">
        <is>
          <t>Monthly - Tuesday</t>
        </is>
      </c>
      <c r="I1573" t="inlineStr">
        <is>
          <t>Monthly - Tuesday</t>
        </is>
      </c>
      <c r="J1573" t="inlineStr">
        <is>
          <t>Month+1 Expiry</t>
        </is>
      </c>
      <c r="K1573" s="25" t="n">
        <v>143865</v>
      </c>
      <c r="L1573" s="26" t="n">
        <v>247.8538</v>
      </c>
      <c r="M1573" s="26" t="n">
        <v>2.1393</v>
      </c>
    </row>
    <row r="1574" ht="16" customHeight="1">
      <c r="A1574" t="inlineStr">
        <is>
          <t>06-Jan-2026</t>
        </is>
      </c>
      <c r="B1574" t="inlineStr">
        <is>
          <t>Tuesday</t>
        </is>
      </c>
      <c r="C1574" t="inlineStr">
        <is>
          <t>Week1-Jan-2026</t>
        </is>
      </c>
      <c r="D1574" s="78" t="n">
        <v>46023</v>
      </c>
      <c r="E1574" t="inlineStr">
        <is>
          <t>Q4FY26</t>
        </is>
      </c>
      <c r="F1574" t="inlineStr">
        <is>
          <t>30-Mar-2026</t>
        </is>
      </c>
      <c r="G1574" t="inlineStr">
        <is>
          <t>Monday</t>
        </is>
      </c>
      <c r="H1574" t="inlineStr">
        <is>
          <t>Monthly - Monday</t>
        </is>
      </c>
      <c r="I1574" t="inlineStr">
        <is>
          <t>Monthly - Monday</t>
        </is>
      </c>
      <c r="J1574" t="inlineStr">
        <is>
          <t>Month+2 Expiry</t>
        </is>
      </c>
      <c r="K1574" s="25" t="n">
        <v>71060</v>
      </c>
      <c r="L1574" s="26" t="n">
        <v>123.144</v>
      </c>
      <c r="M1574" s="26" t="n">
        <v>1.3734</v>
      </c>
    </row>
    <row r="1575" ht="16" customHeight="1">
      <c r="A1575" t="inlineStr">
        <is>
          <t>06-Jan-2026</t>
        </is>
      </c>
      <c r="B1575" t="inlineStr">
        <is>
          <t>Tuesday</t>
        </is>
      </c>
      <c r="C1575" t="inlineStr">
        <is>
          <t>Week1-Jan-2026</t>
        </is>
      </c>
      <c r="D1575" s="78" t="n">
        <v>46023</v>
      </c>
      <c r="E1575" t="inlineStr">
        <is>
          <t>Q4FY26</t>
        </is>
      </c>
      <c r="F1575" t="inlineStr">
        <is>
          <t>30-Jun-2026</t>
        </is>
      </c>
      <c r="G1575" t="inlineStr">
        <is>
          <t>Tuesday</t>
        </is>
      </c>
      <c r="H1575" t="inlineStr">
        <is>
          <t>Monthly - Tuesday</t>
        </is>
      </c>
      <c r="I1575" t="inlineStr">
        <is>
          <t>Monthly - Tuesday</t>
        </is>
      </c>
      <c r="J1575" t="inlineStr">
        <is>
          <t>Month+5 Expiry</t>
        </is>
      </c>
      <c r="K1575" s="25" t="n">
        <v>16121</v>
      </c>
      <c r="L1575" s="26" t="n">
        <v>28.7089</v>
      </c>
      <c r="M1575" s="26" t="n">
        <v>0.4864</v>
      </c>
    </row>
    <row r="1576" ht="16" customHeight="1">
      <c r="A1576" t="inlineStr">
        <is>
          <t>06-Jan-2026</t>
        </is>
      </c>
      <c r="B1576" t="inlineStr">
        <is>
          <t>Tuesday</t>
        </is>
      </c>
      <c r="C1576" t="inlineStr">
        <is>
          <t>Week1-Jan-2026</t>
        </is>
      </c>
      <c r="D1576" s="78" t="n">
        <v>46023</v>
      </c>
      <c r="E1576" t="inlineStr">
        <is>
          <t>Q4FY26</t>
        </is>
      </c>
      <c r="F1576" t="inlineStr">
        <is>
          <t>29-Sep-2026</t>
        </is>
      </c>
      <c r="G1576" t="inlineStr">
        <is>
          <t>Tuesday</t>
        </is>
      </c>
      <c r="H1576" t="inlineStr">
        <is>
          <t>Monthly - Tuesday</t>
        </is>
      </c>
      <c r="I1576" t="inlineStr">
        <is>
          <t>Monthly - Tuesday</t>
        </is>
      </c>
      <c r="J1576" t="inlineStr">
        <is>
          <t>Month+8 Expiry</t>
        </is>
      </c>
      <c r="K1576" s="25" t="n">
        <v>751</v>
      </c>
      <c r="L1576" s="26" t="n">
        <v>1.3441</v>
      </c>
      <c r="M1576" s="26" t="n">
        <v>0.016</v>
      </c>
    </row>
    <row r="1577" ht="16" customHeight="1">
      <c r="A1577" t="inlineStr">
        <is>
          <t>06-Jan-2026</t>
        </is>
      </c>
      <c r="B1577" t="inlineStr">
        <is>
          <t>Tuesday</t>
        </is>
      </c>
      <c r="C1577" t="inlineStr">
        <is>
          <t>Week1-Jan-2026</t>
        </is>
      </c>
      <c r="D1577" s="78" t="n">
        <v>46023</v>
      </c>
      <c r="E1577" t="inlineStr">
        <is>
          <t>Q4FY26</t>
        </is>
      </c>
      <c r="F1577" t="inlineStr">
        <is>
          <t>29-Dec-2026</t>
        </is>
      </c>
      <c r="G1577" t="inlineStr">
        <is>
          <t>Tuesday</t>
        </is>
      </c>
      <c r="H1577" t="inlineStr">
        <is>
          <t>Monthly - Tuesday</t>
        </is>
      </c>
      <c r="I1577" t="inlineStr">
        <is>
          <t>Monthly - Tuesday</t>
        </is>
      </c>
      <c r="J1577" t="inlineStr">
        <is>
          <t>Month+11 Expiry</t>
        </is>
      </c>
      <c r="K1577" s="25" t="n">
        <v>5845</v>
      </c>
      <c r="L1577" s="26" t="n">
        <v>10.6662</v>
      </c>
      <c r="M1577" s="26" t="n">
        <v>0.2639</v>
      </c>
    </row>
    <row r="1578" ht="16" customHeight="1">
      <c r="A1578" t="inlineStr">
        <is>
          <t>06-Jan-2026</t>
        </is>
      </c>
      <c r="B1578" t="inlineStr">
        <is>
          <t>Tuesday</t>
        </is>
      </c>
      <c r="C1578" t="inlineStr">
        <is>
          <t>Week1-Jan-2026</t>
        </is>
      </c>
      <c r="D1578" s="78" t="n">
        <v>46023</v>
      </c>
      <c r="E1578" t="inlineStr">
        <is>
          <t>Q4FY26</t>
        </is>
      </c>
      <c r="F1578" t="inlineStr">
        <is>
          <t>29-Jun-2027</t>
        </is>
      </c>
      <c r="G1578" t="inlineStr">
        <is>
          <t>Tuesday</t>
        </is>
      </c>
      <c r="H1578" t="inlineStr">
        <is>
          <t>Monthly - Tuesday</t>
        </is>
      </c>
      <c r="I1578" t="inlineStr">
        <is>
          <t>Monthly - Tuesday</t>
        </is>
      </c>
      <c r="J1578" t="inlineStr">
        <is>
          <t>Month+17 Expiry</t>
        </is>
      </c>
      <c r="K1578" s="25" t="n">
        <v>0</v>
      </c>
      <c r="L1578" s="26" t="n">
        <v>0</v>
      </c>
      <c r="M1578" s="26" t="n">
        <v>0</v>
      </c>
    </row>
    <row r="1579" ht="16" customHeight="1">
      <c r="A1579" t="inlineStr">
        <is>
          <t>06-Jan-2026</t>
        </is>
      </c>
      <c r="B1579" t="inlineStr">
        <is>
          <t>Tuesday</t>
        </is>
      </c>
      <c r="C1579" t="inlineStr">
        <is>
          <t>Week1-Jan-2026</t>
        </is>
      </c>
      <c r="D1579" s="78" t="n">
        <v>46023</v>
      </c>
      <c r="E1579" t="inlineStr">
        <is>
          <t>Q4FY26</t>
        </is>
      </c>
      <c r="F1579" t="inlineStr">
        <is>
          <t>28-Dec-2027</t>
        </is>
      </c>
      <c r="G1579" t="inlineStr">
        <is>
          <t>Tuesday</t>
        </is>
      </c>
      <c r="H1579" t="inlineStr">
        <is>
          <t>Monthly - Tuesday</t>
        </is>
      </c>
      <c r="I1579" t="inlineStr">
        <is>
          <t>Monthly - Tuesday</t>
        </is>
      </c>
      <c r="J1579" t="inlineStr">
        <is>
          <t>Month+23 Expiry</t>
        </is>
      </c>
      <c r="K1579" s="25" t="n">
        <v>56</v>
      </c>
      <c r="L1579" s="26" t="n">
        <v>0.0936</v>
      </c>
      <c r="M1579" s="26" t="n">
        <v>0.0042</v>
      </c>
    </row>
    <row r="1580" ht="16" customHeight="1">
      <c r="A1580" t="inlineStr">
        <is>
          <t>06-Jan-2026</t>
        </is>
      </c>
      <c r="B1580" t="inlineStr">
        <is>
          <t>Tuesday</t>
        </is>
      </c>
      <c r="C1580" t="inlineStr">
        <is>
          <t>Week1-Jan-2026</t>
        </is>
      </c>
      <c r="D1580" s="78" t="n">
        <v>46023</v>
      </c>
      <c r="E1580" t="inlineStr">
        <is>
          <t>Q4FY26</t>
        </is>
      </c>
      <c r="F1580" t="inlineStr">
        <is>
          <t>27-Jun-2028</t>
        </is>
      </c>
      <c r="G1580" t="inlineStr">
        <is>
          <t>Tuesday</t>
        </is>
      </c>
      <c r="H1580" t="inlineStr">
        <is>
          <t>Monthly - Tuesday</t>
        </is>
      </c>
      <c r="I1580" t="inlineStr">
        <is>
          <t>Monthly - Tuesday</t>
        </is>
      </c>
      <c r="J1580" t="inlineStr">
        <is>
          <t>Month+29 Expiry</t>
        </is>
      </c>
      <c r="K1580" s="25" t="n">
        <v>0</v>
      </c>
      <c r="L1580" s="26" t="n">
        <v>0</v>
      </c>
      <c r="M1580" s="26" t="n">
        <v>0</v>
      </c>
    </row>
    <row r="1581" ht="16" customHeight="1">
      <c r="A1581" t="inlineStr">
        <is>
          <t>06-Jan-2026</t>
        </is>
      </c>
      <c r="B1581" t="inlineStr">
        <is>
          <t>Tuesday</t>
        </is>
      </c>
      <c r="C1581" t="inlineStr">
        <is>
          <t>Week1-Jan-2026</t>
        </is>
      </c>
      <c r="D1581" s="78" t="n">
        <v>46023</v>
      </c>
      <c r="E1581" t="inlineStr">
        <is>
          <t>Q4FY26</t>
        </is>
      </c>
      <c r="F1581" t="inlineStr">
        <is>
          <t>26-Dec-2028</t>
        </is>
      </c>
      <c r="G1581" t="inlineStr">
        <is>
          <t>Tuesday</t>
        </is>
      </c>
      <c r="H1581" t="inlineStr">
        <is>
          <t>Monthly - Tuesday</t>
        </is>
      </c>
      <c r="I1581" t="inlineStr">
        <is>
          <t>Monthly - Tuesday</t>
        </is>
      </c>
      <c r="J1581" t="inlineStr">
        <is>
          <t>Month+35 Expiry</t>
        </is>
      </c>
      <c r="K1581" s="25" t="n">
        <v>1</v>
      </c>
      <c r="L1581" s="26" t="n">
        <v>0.0018</v>
      </c>
      <c r="M1581" s="26" t="n">
        <v>0.0001</v>
      </c>
    </row>
    <row r="1582" ht="16" customHeight="1">
      <c r="A1582" t="inlineStr">
        <is>
          <t>06-Jan-2026</t>
        </is>
      </c>
      <c r="B1582" t="inlineStr">
        <is>
          <t>Tuesday</t>
        </is>
      </c>
      <c r="C1582" t="inlineStr">
        <is>
          <t>Week1-Jan-2026</t>
        </is>
      </c>
      <c r="D1582" s="78" t="n">
        <v>46023</v>
      </c>
      <c r="E1582" t="inlineStr">
        <is>
          <t>Q4FY26</t>
        </is>
      </c>
      <c r="F1582" t="inlineStr">
        <is>
          <t>26-Jun-2029</t>
        </is>
      </c>
      <c r="G1582" t="inlineStr">
        <is>
          <t>Tuesday</t>
        </is>
      </c>
      <c r="H1582" t="inlineStr">
        <is>
          <t>Monthly - Tuesday</t>
        </is>
      </c>
      <c r="I1582" t="inlineStr">
        <is>
          <t>Monthly - Tuesday</t>
        </is>
      </c>
      <c r="J1582" t="inlineStr">
        <is>
          <t>Month+41 Expiry</t>
        </is>
      </c>
      <c r="K1582" s="25" t="n">
        <v>0</v>
      </c>
      <c r="L1582" s="26" t="n">
        <v>0</v>
      </c>
      <c r="M1582" s="26" t="n">
        <v>0</v>
      </c>
    </row>
    <row r="1583" ht="16" customHeight="1">
      <c r="A1583" t="inlineStr">
        <is>
          <t>06-Jan-2026</t>
        </is>
      </c>
      <c r="B1583" t="inlineStr">
        <is>
          <t>Tuesday</t>
        </is>
      </c>
      <c r="C1583" t="inlineStr">
        <is>
          <t>Week1-Jan-2026</t>
        </is>
      </c>
      <c r="D1583" s="78" t="n">
        <v>46023</v>
      </c>
      <c r="E1583" t="inlineStr">
        <is>
          <t>Q4FY26</t>
        </is>
      </c>
      <c r="F1583" t="inlineStr">
        <is>
          <t>24-Dec-2029</t>
        </is>
      </c>
      <c r="G1583" t="inlineStr">
        <is>
          <t>Monday</t>
        </is>
      </c>
      <c r="H1583" t="inlineStr">
        <is>
          <t>Weekly - Monday</t>
        </is>
      </c>
      <c r="I1583" t="inlineStr">
        <is>
          <t>Weekly - Monday</t>
        </is>
      </c>
      <c r="J1583" t="inlineStr">
        <is>
          <t>Month+47 Expiry</t>
        </is>
      </c>
      <c r="K1583" s="25" t="n">
        <v>0</v>
      </c>
      <c r="L1583" s="26" t="n">
        <v>0</v>
      </c>
      <c r="M1583" s="26" t="n">
        <v>0</v>
      </c>
    </row>
    <row r="1584" ht="16" customHeight="1">
      <c r="A1584" t="inlineStr">
        <is>
          <t>06-Jan-2026</t>
        </is>
      </c>
      <c r="B1584" t="inlineStr">
        <is>
          <t>Tuesday</t>
        </is>
      </c>
      <c r="C1584" t="inlineStr">
        <is>
          <t>Week1-Jan-2026</t>
        </is>
      </c>
      <c r="D1584" s="78" t="n">
        <v>46023</v>
      </c>
      <c r="E1584" t="inlineStr">
        <is>
          <t>Q4FY26</t>
        </is>
      </c>
      <c r="F1584" t="inlineStr">
        <is>
          <t>25-Jun-2030</t>
        </is>
      </c>
      <c r="G1584" t="inlineStr">
        <is>
          <t>Tuesday</t>
        </is>
      </c>
      <c r="H1584" t="inlineStr">
        <is>
          <t>Monthly - Tuesday</t>
        </is>
      </c>
      <c r="I1584" t="inlineStr">
        <is>
          <t>Monthly - Tuesday</t>
        </is>
      </c>
      <c r="J1584" t="inlineStr">
        <is>
          <t>Month+53 Expiry</t>
        </is>
      </c>
      <c r="K1584" s="25" t="n">
        <v>0</v>
      </c>
      <c r="L1584" s="26" t="n">
        <v>0</v>
      </c>
      <c r="M1584" s="26" t="n">
        <v>0</v>
      </c>
    </row>
    <row r="1585" ht="16" customHeight="1">
      <c r="A1585" t="inlineStr">
        <is>
          <t>06-Jan-2026</t>
        </is>
      </c>
      <c r="B1585" t="inlineStr">
        <is>
          <t>Tuesday</t>
        </is>
      </c>
      <c r="C1585" t="inlineStr">
        <is>
          <t>Week1-Jan-2026</t>
        </is>
      </c>
      <c r="D1585" s="78" t="n">
        <v>46023</v>
      </c>
      <c r="E1585" t="inlineStr">
        <is>
          <t>Q4FY26</t>
        </is>
      </c>
      <c r="F1585" t="inlineStr">
        <is>
          <t>31-Dec-2030</t>
        </is>
      </c>
      <c r="G1585" t="inlineStr">
        <is>
          <t>Tuesday</t>
        </is>
      </c>
      <c r="H1585" t="inlineStr">
        <is>
          <t>Monthly - Tuesday</t>
        </is>
      </c>
      <c r="I1585" t="inlineStr">
        <is>
          <t>Monthly - Tuesday</t>
        </is>
      </c>
      <c r="J1585" t="inlineStr">
        <is>
          <t>Month+59 Expiry</t>
        </is>
      </c>
      <c r="K1585" s="25" t="n">
        <v>0</v>
      </c>
      <c r="L1585" s="26" t="n">
        <v>0</v>
      </c>
      <c r="M1585" s="26" t="n">
        <v>0</v>
      </c>
    </row>
    <row r="1586" ht="16" customHeight="1">
      <c r="A1586" t="inlineStr">
        <is>
          <t>07-Jan-2026</t>
        </is>
      </c>
      <c r="B1586" t="inlineStr">
        <is>
          <t>Wednesday</t>
        </is>
      </c>
      <c r="C1586" t="inlineStr">
        <is>
          <t>Week1-Jan-2026</t>
        </is>
      </c>
      <c r="D1586" s="78" t="n">
        <v>46023</v>
      </c>
      <c r="E1586" t="inlineStr">
        <is>
          <t>Q4FY26</t>
        </is>
      </c>
      <c r="F1586" t="inlineStr">
        <is>
          <t>13-Jan-2026</t>
        </is>
      </c>
      <c r="G1586" t="inlineStr">
        <is>
          <t>Tuesday</t>
        </is>
      </c>
      <c r="H1586" t="inlineStr">
        <is>
          <t>Weekly - Tuesday</t>
        </is>
      </c>
      <c r="I1586" t="inlineStr">
        <is>
          <t>Weekly - Tuesday</t>
        </is>
      </c>
      <c r="J1586" t="inlineStr">
        <is>
          <t>Same Month Expiry</t>
        </is>
      </c>
      <c r="K1586" s="25" t="n">
        <v>64224686</v>
      </c>
      <c r="L1586" s="26" t="n">
        <v>109513.0307</v>
      </c>
      <c r="M1586" s="26" t="n">
        <v>269.8136</v>
      </c>
    </row>
    <row r="1587" ht="16" customHeight="1">
      <c r="A1587" t="inlineStr">
        <is>
          <t>07-Jan-2026</t>
        </is>
      </c>
      <c r="B1587" t="inlineStr">
        <is>
          <t>Wednesday</t>
        </is>
      </c>
      <c r="C1587" t="inlineStr">
        <is>
          <t>Week1-Jan-2026</t>
        </is>
      </c>
      <c r="D1587" s="78" t="n">
        <v>46023</v>
      </c>
      <c r="E1587" t="inlineStr">
        <is>
          <t>Q4FY26</t>
        </is>
      </c>
      <c r="F1587" t="inlineStr">
        <is>
          <t>20-Jan-2026</t>
        </is>
      </c>
      <c r="G1587" t="inlineStr">
        <is>
          <t>Tuesday</t>
        </is>
      </c>
      <c r="H1587" t="inlineStr">
        <is>
          <t>Weekly - Tuesday</t>
        </is>
      </c>
      <c r="I1587" t="inlineStr">
        <is>
          <t>Weekly - Tuesday</t>
        </is>
      </c>
      <c r="J1587" t="inlineStr">
        <is>
          <t>Same Month Expiry</t>
        </is>
      </c>
      <c r="K1587" s="25" t="n">
        <v>1199643</v>
      </c>
      <c r="L1587" s="26" t="n">
        <v>2051.087</v>
      </c>
      <c r="M1587" s="26" t="n">
        <v>6.7571</v>
      </c>
    </row>
    <row r="1588" ht="16" customHeight="1">
      <c r="A1588" t="inlineStr">
        <is>
          <t>07-Jan-2026</t>
        </is>
      </c>
      <c r="B1588" t="inlineStr">
        <is>
          <t>Wednesday</t>
        </is>
      </c>
      <c r="C1588" t="inlineStr">
        <is>
          <t>Week1-Jan-2026</t>
        </is>
      </c>
      <c r="D1588" s="78" t="n">
        <v>46023</v>
      </c>
      <c r="E1588" t="inlineStr">
        <is>
          <t>Q4FY26</t>
        </is>
      </c>
      <c r="F1588" t="inlineStr">
        <is>
          <t>27-Jan-2026</t>
        </is>
      </c>
      <c r="G1588" t="inlineStr">
        <is>
          <t>Tuesday</t>
        </is>
      </c>
      <c r="H1588" t="inlineStr">
        <is>
          <t>Monthly - Tuesday</t>
        </is>
      </c>
      <c r="I1588" t="inlineStr">
        <is>
          <t>Monthly - Tuesday</t>
        </is>
      </c>
      <c r="J1588" t="inlineStr">
        <is>
          <t>Same Month Expiry</t>
        </is>
      </c>
      <c r="K1588" s="25" t="n">
        <v>1501010</v>
      </c>
      <c r="L1588" s="26" t="n">
        <v>2574.6142</v>
      </c>
      <c r="M1588" s="26" t="n">
        <v>11.9548</v>
      </c>
    </row>
    <row r="1589" ht="16" customHeight="1">
      <c r="A1589" t="inlineStr">
        <is>
          <t>07-Jan-2026</t>
        </is>
      </c>
      <c r="B1589" t="inlineStr">
        <is>
          <t>Wednesday</t>
        </is>
      </c>
      <c r="C1589" t="inlineStr">
        <is>
          <t>Week1-Jan-2026</t>
        </is>
      </c>
      <c r="D1589" s="78" t="n">
        <v>46023</v>
      </c>
      <c r="E1589" t="inlineStr">
        <is>
          <t>Q4FY26</t>
        </is>
      </c>
      <c r="F1589" t="inlineStr">
        <is>
          <t>03-Feb-2026</t>
        </is>
      </c>
      <c r="G1589" t="inlineStr">
        <is>
          <t>Tuesday</t>
        </is>
      </c>
      <c r="H1589" t="inlineStr">
        <is>
          <t>Weekly - Tuesday</t>
        </is>
      </c>
      <c r="I1589" t="inlineStr">
        <is>
          <t>Weekly - Tuesday</t>
        </is>
      </c>
      <c r="J1589" t="inlineStr">
        <is>
          <t>Month+1 Expiry</t>
        </is>
      </c>
      <c r="K1589" s="25" t="n">
        <v>24274</v>
      </c>
      <c r="L1589" s="26" t="n">
        <v>41.9855</v>
      </c>
      <c r="M1589" s="26" t="n">
        <v>0.2585</v>
      </c>
    </row>
    <row r="1590" ht="16" customHeight="1">
      <c r="A1590" t="inlineStr">
        <is>
          <t>07-Jan-2026</t>
        </is>
      </c>
      <c r="B1590" t="inlineStr">
        <is>
          <t>Wednesday</t>
        </is>
      </c>
      <c r="C1590" t="inlineStr">
        <is>
          <t>Week1-Jan-2026</t>
        </is>
      </c>
      <c r="D1590" s="78" t="n">
        <v>46023</v>
      </c>
      <c r="E1590" t="inlineStr">
        <is>
          <t>Q4FY26</t>
        </is>
      </c>
      <c r="F1590" t="inlineStr">
        <is>
          <t>10-Feb-2026</t>
        </is>
      </c>
      <c r="G1590" t="inlineStr">
        <is>
          <t>Tuesday</t>
        </is>
      </c>
      <c r="H1590" t="inlineStr">
        <is>
          <t>Weekly - Tuesday</t>
        </is>
      </c>
      <c r="I1590" t="inlineStr">
        <is>
          <t>Weekly - Tuesday</t>
        </is>
      </c>
      <c r="J1590" t="inlineStr">
        <is>
          <t>Month+1 Expiry</t>
        </is>
      </c>
      <c r="K1590" s="25" t="n">
        <v>862</v>
      </c>
      <c r="L1590" s="26" t="n">
        <v>1.4822</v>
      </c>
      <c r="M1590" s="26" t="n">
        <v>0.014</v>
      </c>
    </row>
    <row r="1591" ht="16" customHeight="1">
      <c r="A1591" t="inlineStr">
        <is>
          <t>07-Jan-2026</t>
        </is>
      </c>
      <c r="B1591" t="inlineStr">
        <is>
          <t>Wednesday</t>
        </is>
      </c>
      <c r="C1591" t="inlineStr">
        <is>
          <t>Week1-Jan-2026</t>
        </is>
      </c>
      <c r="D1591" s="78" t="n">
        <v>46023</v>
      </c>
      <c r="E1591" t="inlineStr">
        <is>
          <t>Q4FY26</t>
        </is>
      </c>
      <c r="F1591" t="inlineStr">
        <is>
          <t>24-Feb-2026</t>
        </is>
      </c>
      <c r="G1591" t="inlineStr">
        <is>
          <t>Tuesday</t>
        </is>
      </c>
      <c r="H1591" t="inlineStr">
        <is>
          <t>Monthly - Tuesday</t>
        </is>
      </c>
      <c r="I1591" t="inlineStr">
        <is>
          <t>Monthly - Tuesday</t>
        </is>
      </c>
      <c r="J1591" t="inlineStr">
        <is>
          <t>Month+1 Expiry</t>
        </is>
      </c>
      <c r="K1591" s="25" t="n">
        <v>160541</v>
      </c>
      <c r="L1591" s="26" t="n">
        <v>276.7555</v>
      </c>
      <c r="M1591" s="26" t="n">
        <v>2.1565</v>
      </c>
    </row>
    <row r="1592" ht="16" customHeight="1">
      <c r="A1592" t="inlineStr">
        <is>
          <t>07-Jan-2026</t>
        </is>
      </c>
      <c r="B1592" t="inlineStr">
        <is>
          <t>Wednesday</t>
        </is>
      </c>
      <c r="C1592" t="inlineStr">
        <is>
          <t>Week1-Jan-2026</t>
        </is>
      </c>
      <c r="D1592" s="78" t="n">
        <v>46023</v>
      </c>
      <c r="E1592" t="inlineStr">
        <is>
          <t>Q4FY26</t>
        </is>
      </c>
      <c r="F1592" t="inlineStr">
        <is>
          <t>30-Mar-2026</t>
        </is>
      </c>
      <c r="G1592" t="inlineStr">
        <is>
          <t>Monday</t>
        </is>
      </c>
      <c r="H1592" t="inlineStr">
        <is>
          <t>Monthly - Monday</t>
        </is>
      </c>
      <c r="I1592" t="inlineStr">
        <is>
          <t>Monthly - Monday</t>
        </is>
      </c>
      <c r="J1592" t="inlineStr">
        <is>
          <t>Month+2 Expiry</t>
        </is>
      </c>
      <c r="K1592" s="25" t="n">
        <v>72672</v>
      </c>
      <c r="L1592" s="26" t="n">
        <v>125.4659</v>
      </c>
      <c r="M1592" s="26" t="n">
        <v>1.5723</v>
      </c>
    </row>
    <row r="1593" ht="16" customHeight="1">
      <c r="A1593" t="inlineStr">
        <is>
          <t>07-Jan-2026</t>
        </is>
      </c>
      <c r="B1593" t="inlineStr">
        <is>
          <t>Wednesday</t>
        </is>
      </c>
      <c r="C1593" t="inlineStr">
        <is>
          <t>Week1-Jan-2026</t>
        </is>
      </c>
      <c r="D1593" s="78" t="n">
        <v>46023</v>
      </c>
      <c r="E1593" t="inlineStr">
        <is>
          <t>Q4FY26</t>
        </is>
      </c>
      <c r="F1593" t="inlineStr">
        <is>
          <t>30-Jun-2026</t>
        </is>
      </c>
      <c r="G1593" t="inlineStr">
        <is>
          <t>Tuesday</t>
        </is>
      </c>
      <c r="H1593" t="inlineStr">
        <is>
          <t>Monthly - Tuesday</t>
        </is>
      </c>
      <c r="I1593" t="inlineStr">
        <is>
          <t>Monthly - Tuesday</t>
        </is>
      </c>
      <c r="J1593" t="inlineStr">
        <is>
          <t>Month+5 Expiry</t>
        </is>
      </c>
      <c r="K1593" s="25" t="n">
        <v>14755</v>
      </c>
      <c r="L1593" s="26" t="n">
        <v>25.4603</v>
      </c>
      <c r="M1593" s="26" t="n">
        <v>0.4441</v>
      </c>
    </row>
    <row r="1594" ht="16" customHeight="1">
      <c r="A1594" t="inlineStr">
        <is>
          <t>07-Jan-2026</t>
        </is>
      </c>
      <c r="B1594" t="inlineStr">
        <is>
          <t>Wednesday</t>
        </is>
      </c>
      <c r="C1594" t="inlineStr">
        <is>
          <t>Week1-Jan-2026</t>
        </is>
      </c>
      <c r="D1594" s="78" t="n">
        <v>46023</v>
      </c>
      <c r="E1594" t="inlineStr">
        <is>
          <t>Q4FY26</t>
        </is>
      </c>
      <c r="F1594" t="inlineStr">
        <is>
          <t>29-Sep-2026</t>
        </is>
      </c>
      <c r="G1594" t="inlineStr">
        <is>
          <t>Tuesday</t>
        </is>
      </c>
      <c r="H1594" t="inlineStr">
        <is>
          <t>Monthly - Tuesday</t>
        </is>
      </c>
      <c r="I1594" t="inlineStr">
        <is>
          <t>Monthly - Tuesday</t>
        </is>
      </c>
      <c r="J1594" t="inlineStr">
        <is>
          <t>Month+8 Expiry</t>
        </is>
      </c>
      <c r="K1594" s="25" t="n">
        <v>591</v>
      </c>
      <c r="L1594" s="26" t="n">
        <v>1.0454</v>
      </c>
      <c r="M1594" s="26" t="n">
        <v>0.0132</v>
      </c>
    </row>
    <row r="1595" ht="16" customHeight="1">
      <c r="A1595" t="inlineStr">
        <is>
          <t>07-Jan-2026</t>
        </is>
      </c>
      <c r="B1595" t="inlineStr">
        <is>
          <t>Wednesday</t>
        </is>
      </c>
      <c r="C1595" t="inlineStr">
        <is>
          <t>Week1-Jan-2026</t>
        </is>
      </c>
      <c r="D1595" s="78" t="n">
        <v>46023</v>
      </c>
      <c r="E1595" t="inlineStr">
        <is>
          <t>Q4FY26</t>
        </is>
      </c>
      <c r="F1595" t="inlineStr">
        <is>
          <t>29-Dec-2026</t>
        </is>
      </c>
      <c r="G1595" t="inlineStr">
        <is>
          <t>Tuesday</t>
        </is>
      </c>
      <c r="H1595" t="inlineStr">
        <is>
          <t>Monthly - Tuesday</t>
        </is>
      </c>
      <c r="I1595" t="inlineStr">
        <is>
          <t>Monthly - Tuesday</t>
        </is>
      </c>
      <c r="J1595" t="inlineStr">
        <is>
          <t>Month+11 Expiry</t>
        </is>
      </c>
      <c r="K1595" s="25" t="n">
        <v>3954</v>
      </c>
      <c r="L1595" s="26" t="n">
        <v>7.0509</v>
      </c>
      <c r="M1595" s="26" t="n">
        <v>0.2064</v>
      </c>
    </row>
    <row r="1596" ht="16" customHeight="1">
      <c r="A1596" t="inlineStr">
        <is>
          <t>07-Jan-2026</t>
        </is>
      </c>
      <c r="B1596" t="inlineStr">
        <is>
          <t>Wednesday</t>
        </is>
      </c>
      <c r="C1596" t="inlineStr">
        <is>
          <t>Week1-Jan-2026</t>
        </is>
      </c>
      <c r="D1596" s="78" t="n">
        <v>46023</v>
      </c>
      <c r="E1596" t="inlineStr">
        <is>
          <t>Q4FY26</t>
        </is>
      </c>
      <c r="F1596" t="inlineStr">
        <is>
          <t>29-Jun-2027</t>
        </is>
      </c>
      <c r="G1596" t="inlineStr">
        <is>
          <t>Tuesday</t>
        </is>
      </c>
      <c r="H1596" t="inlineStr">
        <is>
          <t>Monthly - Tuesday</t>
        </is>
      </c>
      <c r="I1596" t="inlineStr">
        <is>
          <t>Monthly - Tuesday</t>
        </is>
      </c>
      <c r="J1596" t="inlineStr">
        <is>
          <t>Month+17 Expiry</t>
        </is>
      </c>
      <c r="K1596" s="25" t="n">
        <v>0</v>
      </c>
      <c r="L1596" s="26" t="n">
        <v>0</v>
      </c>
      <c r="M1596" s="26" t="n">
        <v>0</v>
      </c>
    </row>
    <row r="1597" ht="16" customHeight="1">
      <c r="A1597" t="inlineStr">
        <is>
          <t>07-Jan-2026</t>
        </is>
      </c>
      <c r="B1597" t="inlineStr">
        <is>
          <t>Wednesday</t>
        </is>
      </c>
      <c r="C1597" t="inlineStr">
        <is>
          <t>Week1-Jan-2026</t>
        </is>
      </c>
      <c r="D1597" s="78" t="n">
        <v>46023</v>
      </c>
      <c r="E1597" t="inlineStr">
        <is>
          <t>Q4FY26</t>
        </is>
      </c>
      <c r="F1597" t="inlineStr">
        <is>
          <t>28-Dec-2027</t>
        </is>
      </c>
      <c r="G1597" t="inlineStr">
        <is>
          <t>Tuesday</t>
        </is>
      </c>
      <c r="H1597" t="inlineStr">
        <is>
          <t>Monthly - Tuesday</t>
        </is>
      </c>
      <c r="I1597" t="inlineStr">
        <is>
          <t>Monthly - Tuesday</t>
        </is>
      </c>
      <c r="J1597" t="inlineStr">
        <is>
          <t>Month+23 Expiry</t>
        </is>
      </c>
      <c r="K1597" s="25" t="n">
        <v>49</v>
      </c>
      <c r="L1597" s="26" t="n">
        <v>0.0823</v>
      </c>
      <c r="M1597" s="26" t="n">
        <v>0.0024</v>
      </c>
    </row>
    <row r="1598" ht="16" customHeight="1">
      <c r="A1598" t="inlineStr">
        <is>
          <t>07-Jan-2026</t>
        </is>
      </c>
      <c r="B1598" t="inlineStr">
        <is>
          <t>Wednesday</t>
        </is>
      </c>
      <c r="C1598" t="inlineStr">
        <is>
          <t>Week1-Jan-2026</t>
        </is>
      </c>
      <c r="D1598" s="78" t="n">
        <v>46023</v>
      </c>
      <c r="E1598" t="inlineStr">
        <is>
          <t>Q4FY26</t>
        </is>
      </c>
      <c r="F1598" t="inlineStr">
        <is>
          <t>27-Jun-2028</t>
        </is>
      </c>
      <c r="G1598" t="inlineStr">
        <is>
          <t>Tuesday</t>
        </is>
      </c>
      <c r="H1598" t="inlineStr">
        <is>
          <t>Monthly - Tuesday</t>
        </is>
      </c>
      <c r="I1598" t="inlineStr">
        <is>
          <t>Monthly - Tuesday</t>
        </is>
      </c>
      <c r="J1598" t="inlineStr">
        <is>
          <t>Month+29 Expiry</t>
        </is>
      </c>
      <c r="K1598" s="25" t="n">
        <v>0</v>
      </c>
      <c r="L1598" s="26" t="n">
        <v>0</v>
      </c>
      <c r="M1598" s="26" t="n">
        <v>0</v>
      </c>
    </row>
    <row r="1599" ht="16" customHeight="1">
      <c r="A1599" t="inlineStr">
        <is>
          <t>07-Jan-2026</t>
        </is>
      </c>
      <c r="B1599" t="inlineStr">
        <is>
          <t>Wednesday</t>
        </is>
      </c>
      <c r="C1599" t="inlineStr">
        <is>
          <t>Week1-Jan-2026</t>
        </is>
      </c>
      <c r="D1599" s="78" t="n">
        <v>46023</v>
      </c>
      <c r="E1599" t="inlineStr">
        <is>
          <t>Q4FY26</t>
        </is>
      </c>
      <c r="F1599" t="inlineStr">
        <is>
          <t>26-Dec-2028</t>
        </is>
      </c>
      <c r="G1599" t="inlineStr">
        <is>
          <t>Tuesday</t>
        </is>
      </c>
      <c r="H1599" t="inlineStr">
        <is>
          <t>Monthly - Tuesday</t>
        </is>
      </c>
      <c r="I1599" t="inlineStr">
        <is>
          <t>Monthly - Tuesday</t>
        </is>
      </c>
      <c r="J1599" t="inlineStr">
        <is>
          <t>Month+35 Expiry</t>
        </is>
      </c>
      <c r="K1599" s="25" t="n">
        <v>62</v>
      </c>
      <c r="L1599" s="26" t="n">
        <v>0.0902</v>
      </c>
      <c r="M1599" s="26" t="n">
        <v>0.001</v>
      </c>
    </row>
    <row r="1600" ht="16" customHeight="1">
      <c r="A1600" t="inlineStr">
        <is>
          <t>07-Jan-2026</t>
        </is>
      </c>
      <c r="B1600" t="inlineStr">
        <is>
          <t>Wednesday</t>
        </is>
      </c>
      <c r="C1600" t="inlineStr">
        <is>
          <t>Week1-Jan-2026</t>
        </is>
      </c>
      <c r="D1600" s="78" t="n">
        <v>46023</v>
      </c>
      <c r="E1600" t="inlineStr">
        <is>
          <t>Q4FY26</t>
        </is>
      </c>
      <c r="F1600" t="inlineStr">
        <is>
          <t>26-Jun-2029</t>
        </is>
      </c>
      <c r="G1600" t="inlineStr">
        <is>
          <t>Tuesday</t>
        </is>
      </c>
      <c r="H1600" t="inlineStr">
        <is>
          <t>Monthly - Tuesday</t>
        </is>
      </c>
      <c r="I1600" t="inlineStr">
        <is>
          <t>Monthly - Tuesday</t>
        </is>
      </c>
      <c r="J1600" t="inlineStr">
        <is>
          <t>Month+41 Expiry</t>
        </is>
      </c>
      <c r="K1600" s="25" t="n">
        <v>0</v>
      </c>
      <c r="L1600" s="26" t="n">
        <v>0</v>
      </c>
      <c r="M1600" s="26" t="n">
        <v>0</v>
      </c>
    </row>
    <row r="1601" ht="16" customHeight="1">
      <c r="A1601" t="inlineStr">
        <is>
          <t>07-Jan-2026</t>
        </is>
      </c>
      <c r="B1601" t="inlineStr">
        <is>
          <t>Wednesday</t>
        </is>
      </c>
      <c r="C1601" t="inlineStr">
        <is>
          <t>Week1-Jan-2026</t>
        </is>
      </c>
      <c r="D1601" s="78" t="n">
        <v>46023</v>
      </c>
      <c r="E1601" t="inlineStr">
        <is>
          <t>Q4FY26</t>
        </is>
      </c>
      <c r="F1601" t="inlineStr">
        <is>
          <t>24-Dec-2029</t>
        </is>
      </c>
      <c r="G1601" t="inlineStr">
        <is>
          <t>Monday</t>
        </is>
      </c>
      <c r="H1601" t="inlineStr">
        <is>
          <t>Weekly - Monday</t>
        </is>
      </c>
      <c r="I1601" t="inlineStr">
        <is>
          <t>Weekly - Monday</t>
        </is>
      </c>
      <c r="J1601" t="inlineStr">
        <is>
          <t>Month+47 Expiry</t>
        </is>
      </c>
      <c r="K1601" s="25" t="n">
        <v>0</v>
      </c>
      <c r="L1601" s="26" t="n">
        <v>0</v>
      </c>
      <c r="M1601" s="26" t="n">
        <v>0</v>
      </c>
    </row>
    <row r="1602" ht="16" customHeight="1">
      <c r="A1602" t="inlineStr">
        <is>
          <t>07-Jan-2026</t>
        </is>
      </c>
      <c r="B1602" t="inlineStr">
        <is>
          <t>Wednesday</t>
        </is>
      </c>
      <c r="C1602" t="inlineStr">
        <is>
          <t>Week1-Jan-2026</t>
        </is>
      </c>
      <c r="D1602" s="78" t="n">
        <v>46023</v>
      </c>
      <c r="E1602" t="inlineStr">
        <is>
          <t>Q4FY26</t>
        </is>
      </c>
      <c r="F1602" t="inlineStr">
        <is>
          <t>25-Jun-2030</t>
        </is>
      </c>
      <c r="G1602" t="inlineStr">
        <is>
          <t>Tuesday</t>
        </is>
      </c>
      <c r="H1602" t="inlineStr">
        <is>
          <t>Monthly - Tuesday</t>
        </is>
      </c>
      <c r="I1602" t="inlineStr">
        <is>
          <t>Monthly - Tuesday</t>
        </is>
      </c>
      <c r="J1602" t="inlineStr">
        <is>
          <t>Month+53 Expiry</t>
        </is>
      </c>
      <c r="K1602" s="25" t="n">
        <v>0</v>
      </c>
      <c r="L1602" s="26" t="n">
        <v>0</v>
      </c>
      <c r="M1602" s="26" t="n">
        <v>0</v>
      </c>
    </row>
    <row r="1603" ht="16" customHeight="1">
      <c r="A1603" t="inlineStr">
        <is>
          <t>07-Jan-2026</t>
        </is>
      </c>
      <c r="B1603" t="inlineStr">
        <is>
          <t>Wednesday</t>
        </is>
      </c>
      <c r="C1603" t="inlineStr">
        <is>
          <t>Week1-Jan-2026</t>
        </is>
      </c>
      <c r="D1603" s="78" t="n">
        <v>46023</v>
      </c>
      <c r="E1603" t="inlineStr">
        <is>
          <t>Q4FY26</t>
        </is>
      </c>
      <c r="F1603" t="inlineStr">
        <is>
          <t>31-Dec-2030</t>
        </is>
      </c>
      <c r="G1603" t="inlineStr">
        <is>
          <t>Tuesday</t>
        </is>
      </c>
      <c r="H1603" t="inlineStr">
        <is>
          <t>Monthly - Tuesday</t>
        </is>
      </c>
      <c r="I1603" t="inlineStr">
        <is>
          <t>Monthly - Tuesday</t>
        </is>
      </c>
      <c r="J1603" t="inlineStr">
        <is>
          <t>Month+59 Expiry</t>
        </is>
      </c>
      <c r="K1603" s="25" t="n">
        <v>0</v>
      </c>
      <c r="L1603" s="26" t="n">
        <v>0</v>
      </c>
      <c r="M1603" s="26" t="n">
        <v>0</v>
      </c>
    </row>
    <row r="1604" ht="16" customHeight="1">
      <c r="A1604" t="inlineStr">
        <is>
          <t>08-Jan-2026</t>
        </is>
      </c>
      <c r="B1604" t="inlineStr">
        <is>
          <t>Thursday</t>
        </is>
      </c>
      <c r="C1604" t="inlineStr">
        <is>
          <t>Week2-Jan-2026</t>
        </is>
      </c>
      <c r="D1604" s="78" t="n">
        <v>46023</v>
      </c>
      <c r="E1604" t="inlineStr">
        <is>
          <t>Q4FY26</t>
        </is>
      </c>
      <c r="F1604" t="inlineStr">
        <is>
          <t>13-Jan-2026</t>
        </is>
      </c>
      <c r="G1604" t="inlineStr">
        <is>
          <t>Tuesday</t>
        </is>
      </c>
      <c r="H1604" t="inlineStr">
        <is>
          <t>Weekly - Tuesday</t>
        </is>
      </c>
      <c r="I1604" t="inlineStr">
        <is>
          <t>Weekly - Tuesday</t>
        </is>
      </c>
      <c r="J1604" t="inlineStr">
        <is>
          <t>Same Month Expiry</t>
        </is>
      </c>
      <c r="K1604" s="25" t="n">
        <v>74981240</v>
      </c>
      <c r="L1604" s="26" t="n">
        <v>127373.2948</v>
      </c>
      <c r="M1604" s="26" t="n">
        <v>258.691</v>
      </c>
    </row>
    <row r="1605" ht="16" customHeight="1">
      <c r="A1605" t="inlineStr">
        <is>
          <t>08-Jan-2026</t>
        </is>
      </c>
      <c r="B1605" t="inlineStr">
        <is>
          <t>Thursday</t>
        </is>
      </c>
      <c r="C1605" t="inlineStr">
        <is>
          <t>Week2-Jan-2026</t>
        </is>
      </c>
      <c r="D1605" s="78" t="n">
        <v>46023</v>
      </c>
      <c r="E1605" t="inlineStr">
        <is>
          <t>Q4FY26</t>
        </is>
      </c>
      <c r="F1605" t="inlineStr">
        <is>
          <t>20-Jan-2026</t>
        </is>
      </c>
      <c r="G1605" t="inlineStr">
        <is>
          <t>Tuesday</t>
        </is>
      </c>
      <c r="H1605" t="inlineStr">
        <is>
          <t>Weekly - Tuesday</t>
        </is>
      </c>
      <c r="I1605" t="inlineStr">
        <is>
          <t>Weekly - Tuesday</t>
        </is>
      </c>
      <c r="J1605" t="inlineStr">
        <is>
          <t>Same Month Expiry</t>
        </is>
      </c>
      <c r="K1605" s="25" t="n">
        <v>2239650</v>
      </c>
      <c r="L1605" s="26" t="n">
        <v>3810.0375</v>
      </c>
      <c r="M1605" s="26" t="n">
        <v>12.0548</v>
      </c>
    </row>
    <row r="1606" ht="16" customHeight="1">
      <c r="A1606" t="inlineStr">
        <is>
          <t>08-Jan-2026</t>
        </is>
      </c>
      <c r="B1606" t="inlineStr">
        <is>
          <t>Thursday</t>
        </is>
      </c>
      <c r="C1606" t="inlineStr">
        <is>
          <t>Week2-Jan-2026</t>
        </is>
      </c>
      <c r="D1606" s="78" t="n">
        <v>46023</v>
      </c>
      <c r="E1606" t="inlineStr">
        <is>
          <t>Q4FY26</t>
        </is>
      </c>
      <c r="F1606" t="inlineStr">
        <is>
          <t>27-Jan-2026</t>
        </is>
      </c>
      <c r="G1606" t="inlineStr">
        <is>
          <t>Tuesday</t>
        </is>
      </c>
      <c r="H1606" t="inlineStr">
        <is>
          <t>Monthly - Tuesday</t>
        </is>
      </c>
      <c r="I1606" t="inlineStr">
        <is>
          <t>Monthly - Tuesday</t>
        </is>
      </c>
      <c r="J1606" t="inlineStr">
        <is>
          <t>Same Month Expiry</t>
        </is>
      </c>
      <c r="K1606" s="25" t="n">
        <v>2423651</v>
      </c>
      <c r="L1606" s="26" t="n">
        <v>4134.5528</v>
      </c>
      <c r="M1606" s="26" t="n">
        <v>20.049</v>
      </c>
    </row>
    <row r="1607" ht="16" customHeight="1">
      <c r="A1607" t="inlineStr">
        <is>
          <t>08-Jan-2026</t>
        </is>
      </c>
      <c r="B1607" t="inlineStr">
        <is>
          <t>Thursday</t>
        </is>
      </c>
      <c r="C1607" t="inlineStr">
        <is>
          <t>Week2-Jan-2026</t>
        </is>
      </c>
      <c r="D1607" s="78" t="n">
        <v>46023</v>
      </c>
      <c r="E1607" t="inlineStr">
        <is>
          <t>Q4FY26</t>
        </is>
      </c>
      <c r="F1607" t="inlineStr">
        <is>
          <t>03-Feb-2026</t>
        </is>
      </c>
      <c r="G1607" t="inlineStr">
        <is>
          <t>Tuesday</t>
        </is>
      </c>
      <c r="H1607" t="inlineStr">
        <is>
          <t>Weekly - Tuesday</t>
        </is>
      </c>
      <c r="I1607" t="inlineStr">
        <is>
          <t>Weekly - Tuesday</t>
        </is>
      </c>
      <c r="J1607" t="inlineStr">
        <is>
          <t>Month+1 Expiry</t>
        </is>
      </c>
      <c r="K1607" s="25" t="n">
        <v>64629</v>
      </c>
      <c r="L1607" s="26" t="n">
        <v>110.8716</v>
      </c>
      <c r="M1607" s="26" t="n">
        <v>0.8338</v>
      </c>
    </row>
    <row r="1608" ht="16" customHeight="1">
      <c r="A1608" t="inlineStr">
        <is>
          <t>08-Jan-2026</t>
        </is>
      </c>
      <c r="B1608" t="inlineStr">
        <is>
          <t>Thursday</t>
        </is>
      </c>
      <c r="C1608" t="inlineStr">
        <is>
          <t>Week2-Jan-2026</t>
        </is>
      </c>
      <c r="D1608" s="78" t="n">
        <v>46023</v>
      </c>
      <c r="E1608" t="inlineStr">
        <is>
          <t>Q4FY26</t>
        </is>
      </c>
      <c r="F1608" t="inlineStr">
        <is>
          <t>10-Feb-2026</t>
        </is>
      </c>
      <c r="G1608" t="inlineStr">
        <is>
          <t>Tuesday</t>
        </is>
      </c>
      <c r="H1608" t="inlineStr">
        <is>
          <t>Weekly - Tuesday</t>
        </is>
      </c>
      <c r="I1608" t="inlineStr">
        <is>
          <t>Weekly - Tuesday</t>
        </is>
      </c>
      <c r="J1608" t="inlineStr">
        <is>
          <t>Month+1 Expiry</t>
        </is>
      </c>
      <c r="K1608" s="25" t="n">
        <v>3701</v>
      </c>
      <c r="L1608" s="26" t="n">
        <v>6.3475</v>
      </c>
      <c r="M1608" s="26" t="n">
        <v>0.0536</v>
      </c>
    </row>
    <row r="1609" ht="16" customHeight="1">
      <c r="A1609" t="inlineStr">
        <is>
          <t>08-Jan-2026</t>
        </is>
      </c>
      <c r="B1609" t="inlineStr">
        <is>
          <t>Thursday</t>
        </is>
      </c>
      <c r="C1609" t="inlineStr">
        <is>
          <t>Week2-Jan-2026</t>
        </is>
      </c>
      <c r="D1609" s="78" t="n">
        <v>46023</v>
      </c>
      <c r="E1609" t="inlineStr">
        <is>
          <t>Q4FY26</t>
        </is>
      </c>
      <c r="F1609" t="inlineStr">
        <is>
          <t>24-Feb-2026</t>
        </is>
      </c>
      <c r="G1609" t="inlineStr">
        <is>
          <t>Tuesday</t>
        </is>
      </c>
      <c r="H1609" t="inlineStr">
        <is>
          <t>Monthly - Tuesday</t>
        </is>
      </c>
      <c r="I1609" t="inlineStr">
        <is>
          <t>Monthly - Tuesday</t>
        </is>
      </c>
      <c r="J1609" t="inlineStr">
        <is>
          <t>Month+1 Expiry</t>
        </is>
      </c>
      <c r="K1609" s="25" t="n">
        <v>311840</v>
      </c>
      <c r="L1609" s="26" t="n">
        <v>535.8266</v>
      </c>
      <c r="M1609" s="26" t="n">
        <v>4.4745</v>
      </c>
    </row>
    <row r="1610" ht="16" customHeight="1">
      <c r="A1610" t="inlineStr">
        <is>
          <t>08-Jan-2026</t>
        </is>
      </c>
      <c r="B1610" t="inlineStr">
        <is>
          <t>Thursday</t>
        </is>
      </c>
      <c r="C1610" t="inlineStr">
        <is>
          <t>Week2-Jan-2026</t>
        </is>
      </c>
      <c r="D1610" s="78" t="n">
        <v>46023</v>
      </c>
      <c r="E1610" t="inlineStr">
        <is>
          <t>Q4FY26</t>
        </is>
      </c>
      <c r="F1610" t="inlineStr">
        <is>
          <t>30-Mar-2026</t>
        </is>
      </c>
      <c r="G1610" t="inlineStr">
        <is>
          <t>Monday</t>
        </is>
      </c>
      <c r="H1610" t="inlineStr">
        <is>
          <t>Monthly - Monday</t>
        </is>
      </c>
      <c r="I1610" t="inlineStr">
        <is>
          <t>Monthly - Monday</t>
        </is>
      </c>
      <c r="J1610" t="inlineStr">
        <is>
          <t>Month+2 Expiry</t>
        </is>
      </c>
      <c r="K1610" s="25" t="n">
        <v>159853</v>
      </c>
      <c r="L1610" s="26" t="n">
        <v>271.5375</v>
      </c>
      <c r="M1610" s="26" t="n">
        <v>3.318</v>
      </c>
    </row>
    <row r="1611" ht="16" customHeight="1">
      <c r="A1611" t="inlineStr">
        <is>
          <t>08-Jan-2026</t>
        </is>
      </c>
      <c r="B1611" t="inlineStr">
        <is>
          <t>Thursday</t>
        </is>
      </c>
      <c r="C1611" t="inlineStr">
        <is>
          <t>Week2-Jan-2026</t>
        </is>
      </c>
      <c r="D1611" s="78" t="n">
        <v>46023</v>
      </c>
      <c r="E1611" t="inlineStr">
        <is>
          <t>Q4FY26</t>
        </is>
      </c>
      <c r="F1611" t="inlineStr">
        <is>
          <t>30-Jun-2026</t>
        </is>
      </c>
      <c r="G1611" t="inlineStr">
        <is>
          <t>Tuesday</t>
        </is>
      </c>
      <c r="H1611" t="inlineStr">
        <is>
          <t>Monthly - Tuesday</t>
        </is>
      </c>
      <c r="I1611" t="inlineStr">
        <is>
          <t>Monthly - Tuesday</t>
        </is>
      </c>
      <c r="J1611" t="inlineStr">
        <is>
          <t>Month+5 Expiry</t>
        </is>
      </c>
      <c r="K1611" s="25" t="n">
        <v>25554</v>
      </c>
      <c r="L1611" s="26" t="n">
        <v>44.0635</v>
      </c>
      <c r="M1611" s="26" t="n">
        <v>0.802</v>
      </c>
    </row>
    <row r="1612" ht="16" customHeight="1">
      <c r="A1612" t="inlineStr">
        <is>
          <t>08-Jan-2026</t>
        </is>
      </c>
      <c r="B1612" t="inlineStr">
        <is>
          <t>Thursday</t>
        </is>
      </c>
      <c r="C1612" t="inlineStr">
        <is>
          <t>Week2-Jan-2026</t>
        </is>
      </c>
      <c r="D1612" s="78" t="n">
        <v>46023</v>
      </c>
      <c r="E1612" t="inlineStr">
        <is>
          <t>Q4FY26</t>
        </is>
      </c>
      <c r="F1612" t="inlineStr">
        <is>
          <t>29-Sep-2026</t>
        </is>
      </c>
      <c r="G1612" t="inlineStr">
        <is>
          <t>Tuesday</t>
        </is>
      </c>
      <c r="H1612" t="inlineStr">
        <is>
          <t>Monthly - Tuesday</t>
        </is>
      </c>
      <c r="I1612" t="inlineStr">
        <is>
          <t>Monthly - Tuesday</t>
        </is>
      </c>
      <c r="J1612" t="inlineStr">
        <is>
          <t>Month+8 Expiry</t>
        </is>
      </c>
      <c r="K1612" s="25" t="n">
        <v>1251</v>
      </c>
      <c r="L1612" s="26" t="n">
        <v>2.1318</v>
      </c>
      <c r="M1612" s="26" t="n">
        <v>0.0317</v>
      </c>
    </row>
    <row r="1613" ht="16" customHeight="1">
      <c r="A1613" t="inlineStr">
        <is>
          <t>08-Jan-2026</t>
        </is>
      </c>
      <c r="B1613" t="inlineStr">
        <is>
          <t>Thursday</t>
        </is>
      </c>
      <c r="C1613" t="inlineStr">
        <is>
          <t>Week2-Jan-2026</t>
        </is>
      </c>
      <c r="D1613" s="78" t="n">
        <v>46023</v>
      </c>
      <c r="E1613" t="inlineStr">
        <is>
          <t>Q4FY26</t>
        </is>
      </c>
      <c r="F1613" t="inlineStr">
        <is>
          <t>29-Dec-2026</t>
        </is>
      </c>
      <c r="G1613" t="inlineStr">
        <is>
          <t>Tuesday</t>
        </is>
      </c>
      <c r="H1613" t="inlineStr">
        <is>
          <t>Monthly - Tuesday</t>
        </is>
      </c>
      <c r="I1613" t="inlineStr">
        <is>
          <t>Monthly - Tuesday</t>
        </is>
      </c>
      <c r="J1613" t="inlineStr">
        <is>
          <t>Month+11 Expiry</t>
        </is>
      </c>
      <c r="K1613" s="25" t="n">
        <v>7376</v>
      </c>
      <c r="L1613" s="26" t="n">
        <v>12.9825</v>
      </c>
      <c r="M1613" s="26" t="n">
        <v>0.3436</v>
      </c>
    </row>
    <row r="1614" ht="16" customHeight="1">
      <c r="A1614" t="inlineStr">
        <is>
          <t>08-Jan-2026</t>
        </is>
      </c>
      <c r="B1614" t="inlineStr">
        <is>
          <t>Thursday</t>
        </is>
      </c>
      <c r="C1614" t="inlineStr">
        <is>
          <t>Week2-Jan-2026</t>
        </is>
      </c>
      <c r="D1614" s="78" t="n">
        <v>46023</v>
      </c>
      <c r="E1614" t="inlineStr">
        <is>
          <t>Q4FY26</t>
        </is>
      </c>
      <c r="F1614" t="inlineStr">
        <is>
          <t>29-Jun-2027</t>
        </is>
      </c>
      <c r="G1614" t="inlineStr">
        <is>
          <t>Tuesday</t>
        </is>
      </c>
      <c r="H1614" t="inlineStr">
        <is>
          <t>Monthly - Tuesday</t>
        </is>
      </c>
      <c r="I1614" t="inlineStr">
        <is>
          <t>Monthly - Tuesday</t>
        </is>
      </c>
      <c r="J1614" t="inlineStr">
        <is>
          <t>Month+17 Expiry</t>
        </is>
      </c>
      <c r="K1614" s="25" t="n">
        <v>0</v>
      </c>
      <c r="L1614" s="26" t="n">
        <v>0</v>
      </c>
      <c r="M1614" s="26" t="n">
        <v>0</v>
      </c>
    </row>
    <row r="1615" ht="16" customHeight="1">
      <c r="A1615" t="inlineStr">
        <is>
          <t>08-Jan-2026</t>
        </is>
      </c>
      <c r="B1615" t="inlineStr">
        <is>
          <t>Thursday</t>
        </is>
      </c>
      <c r="C1615" t="inlineStr">
        <is>
          <t>Week2-Jan-2026</t>
        </is>
      </c>
      <c r="D1615" s="78" t="n">
        <v>46023</v>
      </c>
      <c r="E1615" t="inlineStr">
        <is>
          <t>Q4FY26</t>
        </is>
      </c>
      <c r="F1615" t="inlineStr">
        <is>
          <t>28-Dec-2027</t>
        </is>
      </c>
      <c r="G1615" t="inlineStr">
        <is>
          <t>Tuesday</t>
        </is>
      </c>
      <c r="H1615" t="inlineStr">
        <is>
          <t>Monthly - Tuesday</t>
        </is>
      </c>
      <c r="I1615" t="inlineStr">
        <is>
          <t>Monthly - Tuesday</t>
        </is>
      </c>
      <c r="J1615" t="inlineStr">
        <is>
          <t>Month+23 Expiry</t>
        </is>
      </c>
      <c r="K1615" s="25" t="n">
        <v>137</v>
      </c>
      <c r="L1615" s="26" t="n">
        <v>0.2184</v>
      </c>
      <c r="M1615" s="26" t="n">
        <v>0.0075</v>
      </c>
    </row>
    <row r="1616" ht="16" customHeight="1">
      <c r="A1616" t="inlineStr">
        <is>
          <t>08-Jan-2026</t>
        </is>
      </c>
      <c r="B1616" t="inlineStr">
        <is>
          <t>Thursday</t>
        </is>
      </c>
      <c r="C1616" t="inlineStr">
        <is>
          <t>Week2-Jan-2026</t>
        </is>
      </c>
      <c r="D1616" s="78" t="n">
        <v>46023</v>
      </c>
      <c r="E1616" t="inlineStr">
        <is>
          <t>Q4FY26</t>
        </is>
      </c>
      <c r="F1616" t="inlineStr">
        <is>
          <t>27-Jun-2028</t>
        </is>
      </c>
      <c r="G1616" t="inlineStr">
        <is>
          <t>Tuesday</t>
        </is>
      </c>
      <c r="H1616" t="inlineStr">
        <is>
          <t>Monthly - Tuesday</t>
        </is>
      </c>
      <c r="I1616" t="inlineStr">
        <is>
          <t>Monthly - Tuesday</t>
        </is>
      </c>
      <c r="J1616" t="inlineStr">
        <is>
          <t>Month+29 Expiry</t>
        </is>
      </c>
      <c r="K1616" s="25" t="n">
        <v>0</v>
      </c>
      <c r="L1616" s="26" t="n">
        <v>0</v>
      </c>
      <c r="M1616" s="26" t="n">
        <v>0</v>
      </c>
    </row>
    <row r="1617" ht="16" customHeight="1">
      <c r="A1617" t="inlineStr">
        <is>
          <t>08-Jan-2026</t>
        </is>
      </c>
      <c r="B1617" t="inlineStr">
        <is>
          <t>Thursday</t>
        </is>
      </c>
      <c r="C1617" t="inlineStr">
        <is>
          <t>Week2-Jan-2026</t>
        </is>
      </c>
      <c r="D1617" s="78" t="n">
        <v>46023</v>
      </c>
      <c r="E1617" t="inlineStr">
        <is>
          <t>Q4FY26</t>
        </is>
      </c>
      <c r="F1617" t="inlineStr">
        <is>
          <t>26-Dec-2028</t>
        </is>
      </c>
      <c r="G1617" t="inlineStr">
        <is>
          <t>Tuesday</t>
        </is>
      </c>
      <c r="H1617" t="inlineStr">
        <is>
          <t>Monthly - Tuesday</t>
        </is>
      </c>
      <c r="I1617" t="inlineStr">
        <is>
          <t>Monthly - Tuesday</t>
        </is>
      </c>
      <c r="J1617" t="inlineStr">
        <is>
          <t>Month+35 Expiry</t>
        </is>
      </c>
      <c r="K1617" s="25" t="n">
        <v>42</v>
      </c>
      <c r="L1617" s="26" t="n">
        <v>0.0625</v>
      </c>
      <c r="M1617" s="26" t="n">
        <v>0.001</v>
      </c>
    </row>
    <row r="1618" ht="16" customHeight="1">
      <c r="A1618" t="inlineStr">
        <is>
          <t>08-Jan-2026</t>
        </is>
      </c>
      <c r="B1618" t="inlineStr">
        <is>
          <t>Thursday</t>
        </is>
      </c>
      <c r="C1618" t="inlineStr">
        <is>
          <t>Week2-Jan-2026</t>
        </is>
      </c>
      <c r="D1618" s="78" t="n">
        <v>46023</v>
      </c>
      <c r="E1618" t="inlineStr">
        <is>
          <t>Q4FY26</t>
        </is>
      </c>
      <c r="F1618" t="inlineStr">
        <is>
          <t>26-Jun-2029</t>
        </is>
      </c>
      <c r="G1618" t="inlineStr">
        <is>
          <t>Tuesday</t>
        </is>
      </c>
      <c r="H1618" t="inlineStr">
        <is>
          <t>Monthly - Tuesday</t>
        </is>
      </c>
      <c r="I1618" t="inlineStr">
        <is>
          <t>Monthly - Tuesday</t>
        </is>
      </c>
      <c r="J1618" t="inlineStr">
        <is>
          <t>Month+41 Expiry</t>
        </is>
      </c>
      <c r="K1618" s="25" t="n">
        <v>0</v>
      </c>
      <c r="L1618" s="26" t="n">
        <v>0</v>
      </c>
      <c r="M1618" s="26" t="n">
        <v>0</v>
      </c>
    </row>
    <row r="1619" ht="16" customHeight="1">
      <c r="A1619" t="inlineStr">
        <is>
          <t>08-Jan-2026</t>
        </is>
      </c>
      <c r="B1619" t="inlineStr">
        <is>
          <t>Thursday</t>
        </is>
      </c>
      <c r="C1619" t="inlineStr">
        <is>
          <t>Week2-Jan-2026</t>
        </is>
      </c>
      <c r="D1619" s="78" t="n">
        <v>46023</v>
      </c>
      <c r="E1619" t="inlineStr">
        <is>
          <t>Q4FY26</t>
        </is>
      </c>
      <c r="F1619" t="inlineStr">
        <is>
          <t>24-Dec-2029</t>
        </is>
      </c>
      <c r="G1619" t="inlineStr">
        <is>
          <t>Monday</t>
        </is>
      </c>
      <c r="H1619" t="inlineStr">
        <is>
          <t>Weekly - Monday</t>
        </is>
      </c>
      <c r="I1619" t="inlineStr">
        <is>
          <t>Weekly - Monday</t>
        </is>
      </c>
      <c r="J1619" t="inlineStr">
        <is>
          <t>Month+47 Expiry</t>
        </is>
      </c>
      <c r="K1619" s="25" t="n">
        <v>0</v>
      </c>
      <c r="L1619" s="26" t="n">
        <v>0</v>
      </c>
      <c r="M1619" s="26" t="n">
        <v>0</v>
      </c>
    </row>
    <row r="1620" ht="16" customHeight="1">
      <c r="A1620" t="inlineStr">
        <is>
          <t>08-Jan-2026</t>
        </is>
      </c>
      <c r="B1620" t="inlineStr">
        <is>
          <t>Thursday</t>
        </is>
      </c>
      <c r="C1620" t="inlineStr">
        <is>
          <t>Week2-Jan-2026</t>
        </is>
      </c>
      <c r="D1620" s="78" t="n">
        <v>46023</v>
      </c>
      <c r="E1620" t="inlineStr">
        <is>
          <t>Q4FY26</t>
        </is>
      </c>
      <c r="F1620" t="inlineStr">
        <is>
          <t>25-Jun-2030</t>
        </is>
      </c>
      <c r="G1620" t="inlineStr">
        <is>
          <t>Tuesday</t>
        </is>
      </c>
      <c r="H1620" t="inlineStr">
        <is>
          <t>Monthly - Tuesday</t>
        </is>
      </c>
      <c r="I1620" t="inlineStr">
        <is>
          <t>Monthly - Tuesday</t>
        </is>
      </c>
      <c r="J1620" t="inlineStr">
        <is>
          <t>Month+53 Expiry</t>
        </is>
      </c>
      <c r="K1620" s="25" t="n">
        <v>0</v>
      </c>
      <c r="L1620" s="26" t="n">
        <v>0</v>
      </c>
      <c r="M1620" s="26" t="n">
        <v>0</v>
      </c>
    </row>
    <row r="1621" ht="16" customHeight="1">
      <c r="A1621" t="inlineStr">
        <is>
          <t>08-Jan-2026</t>
        </is>
      </c>
      <c r="B1621" t="inlineStr">
        <is>
          <t>Thursday</t>
        </is>
      </c>
      <c r="C1621" t="inlineStr">
        <is>
          <t>Week2-Jan-2026</t>
        </is>
      </c>
      <c r="D1621" s="78" t="n">
        <v>46023</v>
      </c>
      <c r="E1621" t="inlineStr">
        <is>
          <t>Q4FY26</t>
        </is>
      </c>
      <c r="F1621" t="inlineStr">
        <is>
          <t>31-Dec-2030</t>
        </is>
      </c>
      <c r="G1621" t="inlineStr">
        <is>
          <t>Tuesday</t>
        </is>
      </c>
      <c r="H1621" t="inlineStr">
        <is>
          <t>Monthly - Tuesday</t>
        </is>
      </c>
      <c r="I1621" t="inlineStr">
        <is>
          <t>Monthly - Tuesday</t>
        </is>
      </c>
      <c r="J1621" t="inlineStr">
        <is>
          <t>Month+59 Expiry</t>
        </is>
      </c>
      <c r="K1621" s="25" t="n">
        <v>0</v>
      </c>
      <c r="L1621" s="26" t="n">
        <v>0</v>
      </c>
      <c r="M1621" s="26" t="n">
        <v>0</v>
      </c>
    </row>
    <row r="1622" ht="16" customHeight="1">
      <c r="A1622" t="inlineStr">
        <is>
          <t>09-Jan-2026</t>
        </is>
      </c>
      <c r="B1622" t="inlineStr">
        <is>
          <t>Friday</t>
        </is>
      </c>
      <c r="C1622" t="inlineStr">
        <is>
          <t>Week2-Jan-2026</t>
        </is>
      </c>
      <c r="D1622" s="78" t="n">
        <v>46023</v>
      </c>
      <c r="E1622" t="inlineStr">
        <is>
          <t>Q4FY26</t>
        </is>
      </c>
      <c r="F1622" t="inlineStr">
        <is>
          <t>13-Jan-2026</t>
        </is>
      </c>
      <c r="G1622" t="inlineStr">
        <is>
          <t>Tuesday</t>
        </is>
      </c>
      <c r="H1622" t="inlineStr">
        <is>
          <t>Weekly - Tuesday</t>
        </is>
      </c>
      <c r="I1622" t="inlineStr">
        <is>
          <t>Weekly - Tuesday</t>
        </is>
      </c>
      <c r="J1622" t="inlineStr">
        <is>
          <t>Same Month Expiry</t>
        </is>
      </c>
      <c r="K1622" s="25" t="n">
        <v>137247651</v>
      </c>
      <c r="L1622" s="26" t="n">
        <v>231071.8862</v>
      </c>
      <c r="M1622" s="26" t="n">
        <v>488.2168</v>
      </c>
    </row>
    <row r="1623" ht="16" customHeight="1">
      <c r="A1623" t="inlineStr">
        <is>
          <t>09-Jan-2026</t>
        </is>
      </c>
      <c r="B1623" t="inlineStr">
        <is>
          <t>Friday</t>
        </is>
      </c>
      <c r="C1623" t="inlineStr">
        <is>
          <t>Week2-Jan-2026</t>
        </is>
      </c>
      <c r="D1623" s="78" t="n">
        <v>46023</v>
      </c>
      <c r="E1623" t="inlineStr">
        <is>
          <t>Q4FY26</t>
        </is>
      </c>
      <c r="F1623" t="inlineStr">
        <is>
          <t>20-Jan-2026</t>
        </is>
      </c>
      <c r="G1623" t="inlineStr">
        <is>
          <t>Tuesday</t>
        </is>
      </c>
      <c r="H1623" t="inlineStr">
        <is>
          <t>Weekly - Tuesday</t>
        </is>
      </c>
      <c r="I1623" t="inlineStr">
        <is>
          <t>Weekly - Tuesday</t>
        </is>
      </c>
      <c r="J1623" t="inlineStr">
        <is>
          <t>Same Month Expiry</t>
        </is>
      </c>
      <c r="K1623" s="25" t="n">
        <v>3900359</v>
      </c>
      <c r="L1623" s="26" t="n">
        <v>6604.2893</v>
      </c>
      <c r="M1623" s="26" t="n">
        <v>20.2744</v>
      </c>
    </row>
    <row r="1624" ht="16" customHeight="1">
      <c r="A1624" t="inlineStr">
        <is>
          <t>09-Jan-2026</t>
        </is>
      </c>
      <c r="B1624" t="inlineStr">
        <is>
          <t>Friday</t>
        </is>
      </c>
      <c r="C1624" t="inlineStr">
        <is>
          <t>Week2-Jan-2026</t>
        </is>
      </c>
      <c r="D1624" s="78" t="n">
        <v>46023</v>
      </c>
      <c r="E1624" t="inlineStr">
        <is>
          <t>Q4FY26</t>
        </is>
      </c>
      <c r="F1624" t="inlineStr">
        <is>
          <t>27-Jan-2026</t>
        </is>
      </c>
      <c r="G1624" t="inlineStr">
        <is>
          <t>Tuesday</t>
        </is>
      </c>
      <c r="H1624" t="inlineStr">
        <is>
          <t>Monthly - Tuesday</t>
        </is>
      </c>
      <c r="I1624" t="inlineStr">
        <is>
          <t>Monthly - Tuesday</t>
        </is>
      </c>
      <c r="J1624" t="inlineStr">
        <is>
          <t>Same Month Expiry</t>
        </is>
      </c>
      <c r="K1624" s="25" t="n">
        <v>2891414</v>
      </c>
      <c r="L1624" s="26" t="n">
        <v>4902.8691</v>
      </c>
      <c r="M1624" s="26" t="n">
        <v>24.447</v>
      </c>
    </row>
    <row r="1625" ht="16" customHeight="1">
      <c r="A1625" t="inlineStr">
        <is>
          <t>09-Jan-2026</t>
        </is>
      </c>
      <c r="B1625" t="inlineStr">
        <is>
          <t>Friday</t>
        </is>
      </c>
      <c r="C1625" t="inlineStr">
        <is>
          <t>Week2-Jan-2026</t>
        </is>
      </c>
      <c r="D1625" s="78" t="n">
        <v>46023</v>
      </c>
      <c r="E1625" t="inlineStr">
        <is>
          <t>Q4FY26</t>
        </is>
      </c>
      <c r="F1625" t="inlineStr">
        <is>
          <t>03-Feb-2026</t>
        </is>
      </c>
      <c r="G1625" t="inlineStr">
        <is>
          <t>Tuesday</t>
        </is>
      </c>
      <c r="H1625" t="inlineStr">
        <is>
          <t>Weekly - Tuesday</t>
        </is>
      </c>
      <c r="I1625" t="inlineStr">
        <is>
          <t>Weekly - Tuesday</t>
        </is>
      </c>
      <c r="J1625" t="inlineStr">
        <is>
          <t>Month+1 Expiry</t>
        </is>
      </c>
      <c r="K1625" s="25" t="n">
        <v>69758</v>
      </c>
      <c r="L1625" s="26" t="n">
        <v>119.099</v>
      </c>
      <c r="M1625" s="26" t="n">
        <v>0.7181</v>
      </c>
    </row>
    <row r="1626" ht="16" customHeight="1">
      <c r="A1626" t="inlineStr">
        <is>
          <t>09-Jan-2026</t>
        </is>
      </c>
      <c r="B1626" t="inlineStr">
        <is>
          <t>Friday</t>
        </is>
      </c>
      <c r="C1626" t="inlineStr">
        <is>
          <t>Week2-Jan-2026</t>
        </is>
      </c>
      <c r="D1626" s="78" t="n">
        <v>46023</v>
      </c>
      <c r="E1626" t="inlineStr">
        <is>
          <t>Q4FY26</t>
        </is>
      </c>
      <c r="F1626" t="inlineStr">
        <is>
          <t>10-Feb-2026</t>
        </is>
      </c>
      <c r="G1626" t="inlineStr">
        <is>
          <t>Tuesday</t>
        </is>
      </c>
      <c r="H1626" t="inlineStr">
        <is>
          <t>Weekly - Tuesday</t>
        </is>
      </c>
      <c r="I1626" t="inlineStr">
        <is>
          <t>Weekly - Tuesday</t>
        </is>
      </c>
      <c r="J1626" t="inlineStr">
        <is>
          <t>Month+1 Expiry</t>
        </is>
      </c>
      <c r="K1626" s="25" t="n">
        <v>6982</v>
      </c>
      <c r="L1626" s="26" t="n">
        <v>11.9362</v>
      </c>
      <c r="M1626" s="26" t="n">
        <v>0.09030000000000001</v>
      </c>
    </row>
    <row r="1627" ht="16" customHeight="1">
      <c r="A1627" t="inlineStr">
        <is>
          <t>09-Jan-2026</t>
        </is>
      </c>
      <c r="B1627" t="inlineStr">
        <is>
          <t>Friday</t>
        </is>
      </c>
      <c r="C1627" t="inlineStr">
        <is>
          <t>Week2-Jan-2026</t>
        </is>
      </c>
      <c r="D1627" s="78" t="n">
        <v>46023</v>
      </c>
      <c r="E1627" t="inlineStr">
        <is>
          <t>Q4FY26</t>
        </is>
      </c>
      <c r="F1627" t="inlineStr">
        <is>
          <t>24-Feb-2026</t>
        </is>
      </c>
      <c r="G1627" t="inlineStr">
        <is>
          <t>Tuesday</t>
        </is>
      </c>
      <c r="H1627" t="inlineStr">
        <is>
          <t>Monthly - Tuesday</t>
        </is>
      </c>
      <c r="I1627" t="inlineStr">
        <is>
          <t>Monthly - Tuesday</t>
        </is>
      </c>
      <c r="J1627" t="inlineStr">
        <is>
          <t>Month+1 Expiry</t>
        </is>
      </c>
      <c r="K1627" s="25" t="n">
        <v>387106</v>
      </c>
      <c r="L1627" s="26" t="n">
        <v>663.1788</v>
      </c>
      <c r="M1627" s="26" t="n">
        <v>5.0247</v>
      </c>
    </row>
    <row r="1628" ht="16" customHeight="1">
      <c r="A1628" t="inlineStr">
        <is>
          <t>09-Jan-2026</t>
        </is>
      </c>
      <c r="B1628" t="inlineStr">
        <is>
          <t>Friday</t>
        </is>
      </c>
      <c r="C1628" t="inlineStr">
        <is>
          <t>Week2-Jan-2026</t>
        </is>
      </c>
      <c r="D1628" s="78" t="n">
        <v>46023</v>
      </c>
      <c r="E1628" t="inlineStr">
        <is>
          <t>Q4FY26</t>
        </is>
      </c>
      <c r="F1628" t="inlineStr">
        <is>
          <t>30-Mar-2026</t>
        </is>
      </c>
      <c r="G1628" t="inlineStr">
        <is>
          <t>Monday</t>
        </is>
      </c>
      <c r="H1628" t="inlineStr">
        <is>
          <t>Monthly - Monday</t>
        </is>
      </c>
      <c r="I1628" t="inlineStr">
        <is>
          <t>Monthly - Monday</t>
        </is>
      </c>
      <c r="J1628" t="inlineStr">
        <is>
          <t>Month+2 Expiry</t>
        </is>
      </c>
      <c r="K1628" s="25" t="n">
        <v>178225</v>
      </c>
      <c r="L1628" s="26" t="n">
        <v>304.4702</v>
      </c>
      <c r="M1628" s="26" t="n">
        <v>3.5221</v>
      </c>
    </row>
    <row r="1629" ht="16" customHeight="1">
      <c r="A1629" t="inlineStr">
        <is>
          <t>09-Jan-2026</t>
        </is>
      </c>
      <c r="B1629" t="inlineStr">
        <is>
          <t>Friday</t>
        </is>
      </c>
      <c r="C1629" t="inlineStr">
        <is>
          <t>Week2-Jan-2026</t>
        </is>
      </c>
      <c r="D1629" s="78" t="n">
        <v>46023</v>
      </c>
      <c r="E1629" t="inlineStr">
        <is>
          <t>Q4FY26</t>
        </is>
      </c>
      <c r="F1629" t="inlineStr">
        <is>
          <t>30-Jun-2026</t>
        </is>
      </c>
      <c r="G1629" t="inlineStr">
        <is>
          <t>Tuesday</t>
        </is>
      </c>
      <c r="H1629" t="inlineStr">
        <is>
          <t>Monthly - Tuesday</t>
        </is>
      </c>
      <c r="I1629" t="inlineStr">
        <is>
          <t>Monthly - Tuesday</t>
        </is>
      </c>
      <c r="J1629" t="inlineStr">
        <is>
          <t>Month+5 Expiry</t>
        </is>
      </c>
      <c r="K1629" s="25" t="n">
        <v>30535</v>
      </c>
      <c r="L1629" s="26" t="n">
        <v>53.3083</v>
      </c>
      <c r="M1629" s="26" t="n">
        <v>0.8762</v>
      </c>
    </row>
    <row r="1630" ht="16" customHeight="1">
      <c r="A1630" t="inlineStr">
        <is>
          <t>09-Jan-2026</t>
        </is>
      </c>
      <c r="B1630" t="inlineStr">
        <is>
          <t>Friday</t>
        </is>
      </c>
      <c r="C1630" t="inlineStr">
        <is>
          <t>Week2-Jan-2026</t>
        </is>
      </c>
      <c r="D1630" s="78" t="n">
        <v>46023</v>
      </c>
      <c r="E1630" t="inlineStr">
        <is>
          <t>Q4FY26</t>
        </is>
      </c>
      <c r="F1630" t="inlineStr">
        <is>
          <t>29-Sep-2026</t>
        </is>
      </c>
      <c r="G1630" t="inlineStr">
        <is>
          <t>Tuesday</t>
        </is>
      </c>
      <c r="H1630" t="inlineStr">
        <is>
          <t>Monthly - Tuesday</t>
        </is>
      </c>
      <c r="I1630" t="inlineStr">
        <is>
          <t>Monthly - Tuesday</t>
        </is>
      </c>
      <c r="J1630" t="inlineStr">
        <is>
          <t>Month+8 Expiry</t>
        </is>
      </c>
      <c r="K1630" s="25" t="n">
        <v>1348</v>
      </c>
      <c r="L1630" s="26" t="n">
        <v>2.3171</v>
      </c>
      <c r="M1630" s="26" t="n">
        <v>0.0465</v>
      </c>
    </row>
    <row r="1631" ht="16" customHeight="1">
      <c r="A1631" t="inlineStr">
        <is>
          <t>09-Jan-2026</t>
        </is>
      </c>
      <c r="B1631" t="inlineStr">
        <is>
          <t>Friday</t>
        </is>
      </c>
      <c r="C1631" t="inlineStr">
        <is>
          <t>Week2-Jan-2026</t>
        </is>
      </c>
      <c r="D1631" s="78" t="n">
        <v>46023</v>
      </c>
      <c r="E1631" t="inlineStr">
        <is>
          <t>Q4FY26</t>
        </is>
      </c>
      <c r="F1631" t="inlineStr">
        <is>
          <t>29-Dec-2026</t>
        </is>
      </c>
      <c r="G1631" t="inlineStr">
        <is>
          <t>Tuesday</t>
        </is>
      </c>
      <c r="H1631" t="inlineStr">
        <is>
          <t>Monthly - Tuesday</t>
        </is>
      </c>
      <c r="I1631" t="inlineStr">
        <is>
          <t>Monthly - Tuesday</t>
        </is>
      </c>
      <c r="J1631" t="inlineStr">
        <is>
          <t>Month+11 Expiry</t>
        </is>
      </c>
      <c r="K1631" s="25" t="n">
        <v>12265</v>
      </c>
      <c r="L1631" s="26" t="n">
        <v>22.3998</v>
      </c>
      <c r="M1631" s="26" t="n">
        <v>0.6713</v>
      </c>
    </row>
    <row r="1632" ht="16" customHeight="1">
      <c r="A1632" t="inlineStr">
        <is>
          <t>09-Jan-2026</t>
        </is>
      </c>
      <c r="B1632" t="inlineStr">
        <is>
          <t>Friday</t>
        </is>
      </c>
      <c r="C1632" t="inlineStr">
        <is>
          <t>Week2-Jan-2026</t>
        </is>
      </c>
      <c r="D1632" s="78" t="n">
        <v>46023</v>
      </c>
      <c r="E1632" t="inlineStr">
        <is>
          <t>Q4FY26</t>
        </is>
      </c>
      <c r="F1632" t="inlineStr">
        <is>
          <t>29-Jun-2027</t>
        </is>
      </c>
      <c r="G1632" t="inlineStr">
        <is>
          <t>Tuesday</t>
        </is>
      </c>
      <c r="H1632" t="inlineStr">
        <is>
          <t>Monthly - Tuesday</t>
        </is>
      </c>
      <c r="I1632" t="inlineStr">
        <is>
          <t>Monthly - Tuesday</t>
        </is>
      </c>
      <c r="J1632" t="inlineStr">
        <is>
          <t>Month+17 Expiry</t>
        </is>
      </c>
      <c r="K1632" s="25" t="n">
        <v>0</v>
      </c>
      <c r="L1632" s="26" t="n">
        <v>0</v>
      </c>
      <c r="M1632" s="26" t="n">
        <v>0</v>
      </c>
    </row>
    <row r="1633" ht="16" customHeight="1">
      <c r="A1633" t="inlineStr">
        <is>
          <t>09-Jan-2026</t>
        </is>
      </c>
      <c r="B1633" t="inlineStr">
        <is>
          <t>Friday</t>
        </is>
      </c>
      <c r="C1633" t="inlineStr">
        <is>
          <t>Week2-Jan-2026</t>
        </is>
      </c>
      <c r="D1633" s="78" t="n">
        <v>46023</v>
      </c>
      <c r="E1633" t="inlineStr">
        <is>
          <t>Q4FY26</t>
        </is>
      </c>
      <c r="F1633" t="inlineStr">
        <is>
          <t>28-Dec-2027</t>
        </is>
      </c>
      <c r="G1633" t="inlineStr">
        <is>
          <t>Tuesday</t>
        </is>
      </c>
      <c r="H1633" t="inlineStr">
        <is>
          <t>Monthly - Tuesday</t>
        </is>
      </c>
      <c r="I1633" t="inlineStr">
        <is>
          <t>Monthly - Tuesday</t>
        </is>
      </c>
      <c r="J1633" t="inlineStr">
        <is>
          <t>Month+23 Expiry</t>
        </is>
      </c>
      <c r="K1633" s="25" t="n">
        <v>70</v>
      </c>
      <c r="L1633" s="26" t="n">
        <v>0.1228</v>
      </c>
      <c r="M1633" s="26" t="n">
        <v>0.0062</v>
      </c>
    </row>
    <row r="1634" ht="16" customHeight="1">
      <c r="A1634" t="inlineStr">
        <is>
          <t>09-Jan-2026</t>
        </is>
      </c>
      <c r="B1634" t="inlineStr">
        <is>
          <t>Friday</t>
        </is>
      </c>
      <c r="C1634" t="inlineStr">
        <is>
          <t>Week2-Jan-2026</t>
        </is>
      </c>
      <c r="D1634" s="78" t="n">
        <v>46023</v>
      </c>
      <c r="E1634" t="inlineStr">
        <is>
          <t>Q4FY26</t>
        </is>
      </c>
      <c r="F1634" t="inlineStr">
        <is>
          <t>27-Jun-2028</t>
        </is>
      </c>
      <c r="G1634" t="inlineStr">
        <is>
          <t>Tuesday</t>
        </is>
      </c>
      <c r="H1634" t="inlineStr">
        <is>
          <t>Monthly - Tuesday</t>
        </is>
      </c>
      <c r="I1634" t="inlineStr">
        <is>
          <t>Monthly - Tuesday</t>
        </is>
      </c>
      <c r="J1634" t="inlineStr">
        <is>
          <t>Month+29 Expiry</t>
        </is>
      </c>
      <c r="K1634" s="25" t="n">
        <v>0</v>
      </c>
      <c r="L1634" s="26" t="n">
        <v>0</v>
      </c>
      <c r="M1634" s="26" t="n">
        <v>0</v>
      </c>
    </row>
    <row r="1635" ht="16" customHeight="1">
      <c r="A1635" t="inlineStr">
        <is>
          <t>09-Jan-2026</t>
        </is>
      </c>
      <c r="B1635" t="inlineStr">
        <is>
          <t>Friday</t>
        </is>
      </c>
      <c r="C1635" t="inlineStr">
        <is>
          <t>Week2-Jan-2026</t>
        </is>
      </c>
      <c r="D1635" s="78" t="n">
        <v>46023</v>
      </c>
      <c r="E1635" t="inlineStr">
        <is>
          <t>Q4FY26</t>
        </is>
      </c>
      <c r="F1635" t="inlineStr">
        <is>
          <t>26-Dec-2028</t>
        </is>
      </c>
      <c r="G1635" t="inlineStr">
        <is>
          <t>Tuesday</t>
        </is>
      </c>
      <c r="H1635" t="inlineStr">
        <is>
          <t>Monthly - Tuesday</t>
        </is>
      </c>
      <c r="I1635" t="inlineStr">
        <is>
          <t>Monthly - Tuesday</t>
        </is>
      </c>
      <c r="J1635" t="inlineStr">
        <is>
          <t>Month+35 Expiry</t>
        </is>
      </c>
      <c r="K1635" s="25" t="n">
        <v>24</v>
      </c>
      <c r="L1635" s="26" t="n">
        <v>0.0392</v>
      </c>
      <c r="M1635" s="26" t="n">
        <v>0.0013</v>
      </c>
    </row>
    <row r="1636" ht="16" customHeight="1">
      <c r="A1636" t="inlineStr">
        <is>
          <t>09-Jan-2026</t>
        </is>
      </c>
      <c r="B1636" t="inlineStr">
        <is>
          <t>Friday</t>
        </is>
      </c>
      <c r="C1636" t="inlineStr">
        <is>
          <t>Week2-Jan-2026</t>
        </is>
      </c>
      <c r="D1636" s="78" t="n">
        <v>46023</v>
      </c>
      <c r="E1636" t="inlineStr">
        <is>
          <t>Q4FY26</t>
        </is>
      </c>
      <c r="F1636" t="inlineStr">
        <is>
          <t>26-Jun-2029</t>
        </is>
      </c>
      <c r="G1636" t="inlineStr">
        <is>
          <t>Tuesday</t>
        </is>
      </c>
      <c r="H1636" t="inlineStr">
        <is>
          <t>Monthly - Tuesday</t>
        </is>
      </c>
      <c r="I1636" t="inlineStr">
        <is>
          <t>Monthly - Tuesday</t>
        </is>
      </c>
      <c r="J1636" t="inlineStr">
        <is>
          <t>Month+41 Expiry</t>
        </is>
      </c>
      <c r="K1636" s="25" t="n">
        <v>0</v>
      </c>
      <c r="L1636" s="26" t="n">
        <v>0</v>
      </c>
      <c r="M1636" s="26" t="n">
        <v>0</v>
      </c>
    </row>
    <row r="1637" ht="16" customHeight="1">
      <c r="A1637" t="inlineStr">
        <is>
          <t>09-Jan-2026</t>
        </is>
      </c>
      <c r="B1637" t="inlineStr">
        <is>
          <t>Friday</t>
        </is>
      </c>
      <c r="C1637" t="inlineStr">
        <is>
          <t>Week2-Jan-2026</t>
        </is>
      </c>
      <c r="D1637" s="78" t="n">
        <v>46023</v>
      </c>
      <c r="E1637" t="inlineStr">
        <is>
          <t>Q4FY26</t>
        </is>
      </c>
      <c r="F1637" t="inlineStr">
        <is>
          <t>24-Dec-2029</t>
        </is>
      </c>
      <c r="G1637" t="inlineStr">
        <is>
          <t>Monday</t>
        </is>
      </c>
      <c r="H1637" t="inlineStr">
        <is>
          <t>Weekly - Monday</t>
        </is>
      </c>
      <c r="I1637" t="inlineStr">
        <is>
          <t>Weekly - Monday</t>
        </is>
      </c>
      <c r="J1637" t="inlineStr">
        <is>
          <t>Month+47 Expiry</t>
        </is>
      </c>
      <c r="K1637" s="25" t="n">
        <v>3</v>
      </c>
      <c r="L1637" s="26" t="n">
        <v>0.0053</v>
      </c>
      <c r="M1637" s="26" t="n">
        <v>0.0002</v>
      </c>
    </row>
    <row r="1638" ht="16" customHeight="1">
      <c r="A1638" t="inlineStr">
        <is>
          <t>09-Jan-2026</t>
        </is>
      </c>
      <c r="B1638" t="inlineStr">
        <is>
          <t>Friday</t>
        </is>
      </c>
      <c r="C1638" t="inlineStr">
        <is>
          <t>Week2-Jan-2026</t>
        </is>
      </c>
      <c r="D1638" s="78" t="n">
        <v>46023</v>
      </c>
      <c r="E1638" t="inlineStr">
        <is>
          <t>Q4FY26</t>
        </is>
      </c>
      <c r="F1638" t="inlineStr">
        <is>
          <t>25-Jun-2030</t>
        </is>
      </c>
      <c r="G1638" t="inlineStr">
        <is>
          <t>Tuesday</t>
        </is>
      </c>
      <c r="H1638" t="inlineStr">
        <is>
          <t>Monthly - Tuesday</t>
        </is>
      </c>
      <c r="I1638" t="inlineStr">
        <is>
          <t>Monthly - Tuesday</t>
        </is>
      </c>
      <c r="J1638" t="inlineStr">
        <is>
          <t>Month+53 Expiry</t>
        </is>
      </c>
      <c r="K1638" s="25" t="n">
        <v>0</v>
      </c>
      <c r="L1638" s="26" t="n">
        <v>0</v>
      </c>
      <c r="M1638" s="26" t="n">
        <v>0</v>
      </c>
    </row>
    <row r="1639" ht="16" customHeight="1">
      <c r="A1639" t="inlineStr">
        <is>
          <t>09-Jan-2026</t>
        </is>
      </c>
      <c r="B1639" t="inlineStr">
        <is>
          <t>Friday</t>
        </is>
      </c>
      <c r="C1639" t="inlineStr">
        <is>
          <t>Week2-Jan-2026</t>
        </is>
      </c>
      <c r="D1639" s="78" t="n">
        <v>46023</v>
      </c>
      <c r="E1639" t="inlineStr">
        <is>
          <t>Q4FY26</t>
        </is>
      </c>
      <c r="F1639" t="inlineStr">
        <is>
          <t>31-Dec-2030</t>
        </is>
      </c>
      <c r="G1639" t="inlineStr">
        <is>
          <t>Tuesday</t>
        </is>
      </c>
      <c r="H1639" t="inlineStr">
        <is>
          <t>Monthly - Tuesday</t>
        </is>
      </c>
      <c r="I1639" t="inlineStr">
        <is>
          <t>Monthly - Tuesday</t>
        </is>
      </c>
      <c r="J1639" t="inlineStr">
        <is>
          <t>Month+59 Expiry</t>
        </is>
      </c>
      <c r="K1639" s="25" t="n">
        <v>0</v>
      </c>
      <c r="L1639" s="26" t="n">
        <v>0</v>
      </c>
      <c r="M1639" s="26" t="n">
        <v>0</v>
      </c>
    </row>
    <row r="1640" ht="16" customHeight="1">
      <c r="A1640" t="inlineStr">
        <is>
          <t>12-Jan-2026</t>
        </is>
      </c>
      <c r="B1640" t="inlineStr">
        <is>
          <t>Monday</t>
        </is>
      </c>
      <c r="C1640" t="inlineStr">
        <is>
          <t>Week2-Jan-2026</t>
        </is>
      </c>
      <c r="D1640" s="78" t="n">
        <v>46023</v>
      </c>
      <c r="E1640" t="inlineStr">
        <is>
          <t>Q4FY26</t>
        </is>
      </c>
      <c r="F1640" t="inlineStr">
        <is>
          <t>13-Jan-2026</t>
        </is>
      </c>
      <c r="G1640" t="inlineStr">
        <is>
          <t>Tuesday</t>
        </is>
      </c>
      <c r="H1640" t="inlineStr">
        <is>
          <t>Weekly - Tuesday</t>
        </is>
      </c>
      <c r="I1640" t="inlineStr">
        <is>
          <t>Weekly - Tuesday</t>
        </is>
      </c>
      <c r="J1640" t="inlineStr">
        <is>
          <t>Same Month Expiry</t>
        </is>
      </c>
      <c r="K1640" s="25" t="n">
        <v>219185433</v>
      </c>
      <c r="L1640" s="26" t="n">
        <v>366753.746</v>
      </c>
      <c r="M1640" s="26" t="n">
        <v>639.1871</v>
      </c>
    </row>
    <row r="1641" ht="16" customHeight="1">
      <c r="A1641" t="inlineStr">
        <is>
          <t>12-Jan-2026</t>
        </is>
      </c>
      <c r="B1641" t="inlineStr">
        <is>
          <t>Monday</t>
        </is>
      </c>
      <c r="C1641" t="inlineStr">
        <is>
          <t>Week2-Jan-2026</t>
        </is>
      </c>
      <c r="D1641" s="78" t="n">
        <v>46023</v>
      </c>
      <c r="E1641" t="inlineStr">
        <is>
          <t>Q4FY26</t>
        </is>
      </c>
      <c r="F1641" t="inlineStr">
        <is>
          <t>20-Jan-2026</t>
        </is>
      </c>
      <c r="G1641" t="inlineStr">
        <is>
          <t>Tuesday</t>
        </is>
      </c>
      <c r="H1641" t="inlineStr">
        <is>
          <t>Weekly - Tuesday</t>
        </is>
      </c>
      <c r="I1641" t="inlineStr">
        <is>
          <t>Weekly - Tuesday</t>
        </is>
      </c>
      <c r="J1641" t="inlineStr">
        <is>
          <t>Same Month Expiry</t>
        </is>
      </c>
      <c r="K1641" s="25" t="n">
        <v>8147709</v>
      </c>
      <c r="L1641" s="26" t="n">
        <v>13734.8557</v>
      </c>
      <c r="M1641" s="26" t="n">
        <v>45.1165</v>
      </c>
    </row>
    <row r="1642" ht="16" customHeight="1">
      <c r="A1642" t="inlineStr">
        <is>
          <t>12-Jan-2026</t>
        </is>
      </c>
      <c r="B1642" t="inlineStr">
        <is>
          <t>Monday</t>
        </is>
      </c>
      <c r="C1642" t="inlineStr">
        <is>
          <t>Week2-Jan-2026</t>
        </is>
      </c>
      <c r="D1642" s="78" t="n">
        <v>46023</v>
      </c>
      <c r="E1642" t="inlineStr">
        <is>
          <t>Q4FY26</t>
        </is>
      </c>
      <c r="F1642" t="inlineStr">
        <is>
          <t>27-Jan-2026</t>
        </is>
      </c>
      <c r="G1642" t="inlineStr">
        <is>
          <t>Tuesday</t>
        </is>
      </c>
      <c r="H1642" t="inlineStr">
        <is>
          <t>Monthly - Tuesday</t>
        </is>
      </c>
      <c r="I1642" t="inlineStr">
        <is>
          <t>Monthly - Tuesday</t>
        </is>
      </c>
      <c r="J1642" t="inlineStr">
        <is>
          <t>Same Month Expiry</t>
        </is>
      </c>
      <c r="K1642" s="25" t="n">
        <v>3635420</v>
      </c>
      <c r="L1642" s="26" t="n">
        <v>6126.1296</v>
      </c>
      <c r="M1642" s="26" t="n">
        <v>31.3388</v>
      </c>
    </row>
    <row r="1643" ht="16" customHeight="1">
      <c r="A1643" t="inlineStr">
        <is>
          <t>12-Jan-2026</t>
        </is>
      </c>
      <c r="B1643" t="inlineStr">
        <is>
          <t>Monday</t>
        </is>
      </c>
      <c r="C1643" t="inlineStr">
        <is>
          <t>Week2-Jan-2026</t>
        </is>
      </c>
      <c r="D1643" s="78" t="n">
        <v>46023</v>
      </c>
      <c r="E1643" t="inlineStr">
        <is>
          <t>Q4FY26</t>
        </is>
      </c>
      <c r="F1643" t="inlineStr">
        <is>
          <t>03-Feb-2026</t>
        </is>
      </c>
      <c r="G1643" t="inlineStr">
        <is>
          <t>Tuesday</t>
        </is>
      </c>
      <c r="H1643" t="inlineStr">
        <is>
          <t>Weekly - Tuesday</t>
        </is>
      </c>
      <c r="I1643" t="inlineStr">
        <is>
          <t>Weekly - Tuesday</t>
        </is>
      </c>
      <c r="J1643" t="inlineStr">
        <is>
          <t>Month+1 Expiry</t>
        </is>
      </c>
      <c r="K1643" s="25" t="n">
        <v>114284</v>
      </c>
      <c r="L1643" s="26" t="n">
        <v>194.2881</v>
      </c>
      <c r="M1643" s="26" t="n">
        <v>1.2206</v>
      </c>
    </row>
    <row r="1644" ht="16" customHeight="1">
      <c r="A1644" t="inlineStr">
        <is>
          <t>12-Jan-2026</t>
        </is>
      </c>
      <c r="B1644" t="inlineStr">
        <is>
          <t>Monday</t>
        </is>
      </c>
      <c r="C1644" t="inlineStr">
        <is>
          <t>Week2-Jan-2026</t>
        </is>
      </c>
      <c r="D1644" s="78" t="n">
        <v>46023</v>
      </c>
      <c r="E1644" t="inlineStr">
        <is>
          <t>Q4FY26</t>
        </is>
      </c>
      <c r="F1644" t="inlineStr">
        <is>
          <t>10-Feb-2026</t>
        </is>
      </c>
      <c r="G1644" t="inlineStr">
        <is>
          <t>Tuesday</t>
        </is>
      </c>
      <c r="H1644" t="inlineStr">
        <is>
          <t>Weekly - Tuesday</t>
        </is>
      </c>
      <c r="I1644" t="inlineStr">
        <is>
          <t>Weekly - Tuesday</t>
        </is>
      </c>
      <c r="J1644" t="inlineStr">
        <is>
          <t>Month+1 Expiry</t>
        </is>
      </c>
      <c r="K1644" s="25" t="n">
        <v>11878</v>
      </c>
      <c r="L1644" s="26" t="n">
        <v>20.2137</v>
      </c>
      <c r="M1644" s="26" t="n">
        <v>0.1435</v>
      </c>
    </row>
    <row r="1645" ht="16" customHeight="1">
      <c r="A1645" t="inlineStr">
        <is>
          <t>12-Jan-2026</t>
        </is>
      </c>
      <c r="B1645" t="inlineStr">
        <is>
          <t>Monday</t>
        </is>
      </c>
      <c r="C1645" t="inlineStr">
        <is>
          <t>Week2-Jan-2026</t>
        </is>
      </c>
      <c r="D1645" s="78" t="n">
        <v>46023</v>
      </c>
      <c r="E1645" t="inlineStr">
        <is>
          <t>Q4FY26</t>
        </is>
      </c>
      <c r="F1645" t="inlineStr">
        <is>
          <t>24-Feb-2026</t>
        </is>
      </c>
      <c r="G1645" t="inlineStr">
        <is>
          <t>Tuesday</t>
        </is>
      </c>
      <c r="H1645" t="inlineStr">
        <is>
          <t>Monthly - Tuesday</t>
        </is>
      </c>
      <c r="I1645" t="inlineStr">
        <is>
          <t>Monthly - Tuesday</t>
        </is>
      </c>
      <c r="J1645" t="inlineStr">
        <is>
          <t>Month+1 Expiry</t>
        </is>
      </c>
      <c r="K1645" s="25" t="n">
        <v>507688</v>
      </c>
      <c r="L1645" s="26" t="n">
        <v>864.6516</v>
      </c>
      <c r="M1645" s="26" t="n">
        <v>6.7761</v>
      </c>
    </row>
    <row r="1646" ht="16" customHeight="1">
      <c r="A1646" t="inlineStr">
        <is>
          <t>12-Jan-2026</t>
        </is>
      </c>
      <c r="B1646" t="inlineStr">
        <is>
          <t>Monday</t>
        </is>
      </c>
      <c r="C1646" t="inlineStr">
        <is>
          <t>Week2-Jan-2026</t>
        </is>
      </c>
      <c r="D1646" s="78" t="n">
        <v>46023</v>
      </c>
      <c r="E1646" t="inlineStr">
        <is>
          <t>Q4FY26</t>
        </is>
      </c>
      <c r="F1646" t="inlineStr">
        <is>
          <t>30-Mar-2026</t>
        </is>
      </c>
      <c r="G1646" t="inlineStr">
        <is>
          <t>Monday</t>
        </is>
      </c>
      <c r="H1646" t="inlineStr">
        <is>
          <t>Monthly - Monday</t>
        </is>
      </c>
      <c r="I1646" t="inlineStr">
        <is>
          <t>Monthly - Monday</t>
        </is>
      </c>
      <c r="J1646" t="inlineStr">
        <is>
          <t>Month+2 Expiry</t>
        </is>
      </c>
      <c r="K1646" s="25" t="n">
        <v>208048</v>
      </c>
      <c r="L1646" s="26" t="n">
        <v>354.505</v>
      </c>
      <c r="M1646" s="26" t="n">
        <v>4.1721</v>
      </c>
    </row>
    <row r="1647" ht="16" customHeight="1">
      <c r="A1647" t="inlineStr">
        <is>
          <t>12-Jan-2026</t>
        </is>
      </c>
      <c r="B1647" t="inlineStr">
        <is>
          <t>Monday</t>
        </is>
      </c>
      <c r="C1647" t="inlineStr">
        <is>
          <t>Week2-Jan-2026</t>
        </is>
      </c>
      <c r="D1647" s="78" t="n">
        <v>46023</v>
      </c>
      <c r="E1647" t="inlineStr">
        <is>
          <t>Q4FY26</t>
        </is>
      </c>
      <c r="F1647" t="inlineStr">
        <is>
          <t>30-Jun-2026</t>
        </is>
      </c>
      <c r="G1647" t="inlineStr">
        <is>
          <t>Tuesday</t>
        </is>
      </c>
      <c r="H1647" t="inlineStr">
        <is>
          <t>Monthly - Tuesday</t>
        </is>
      </c>
      <c r="I1647" t="inlineStr">
        <is>
          <t>Monthly - Tuesday</t>
        </is>
      </c>
      <c r="J1647" t="inlineStr">
        <is>
          <t>Month+5 Expiry</t>
        </is>
      </c>
      <c r="K1647" s="25" t="n">
        <v>32938</v>
      </c>
      <c r="L1647" s="26" t="n">
        <v>57.1009</v>
      </c>
      <c r="M1647" s="26" t="n">
        <v>0.9837</v>
      </c>
    </row>
    <row r="1648" ht="16" customHeight="1">
      <c r="A1648" t="inlineStr">
        <is>
          <t>12-Jan-2026</t>
        </is>
      </c>
      <c r="B1648" t="inlineStr">
        <is>
          <t>Monday</t>
        </is>
      </c>
      <c r="C1648" t="inlineStr">
        <is>
          <t>Week2-Jan-2026</t>
        </is>
      </c>
      <c r="D1648" s="78" t="n">
        <v>46023</v>
      </c>
      <c r="E1648" t="inlineStr">
        <is>
          <t>Q4FY26</t>
        </is>
      </c>
      <c r="F1648" t="inlineStr">
        <is>
          <t>29-Sep-2026</t>
        </is>
      </c>
      <c r="G1648" t="inlineStr">
        <is>
          <t>Tuesday</t>
        </is>
      </c>
      <c r="H1648" t="inlineStr">
        <is>
          <t>Monthly - Tuesday</t>
        </is>
      </c>
      <c r="I1648" t="inlineStr">
        <is>
          <t>Monthly - Tuesday</t>
        </is>
      </c>
      <c r="J1648" t="inlineStr">
        <is>
          <t>Month+8 Expiry</t>
        </is>
      </c>
      <c r="K1648" s="25" t="n">
        <v>1329</v>
      </c>
      <c r="L1648" s="26" t="n">
        <v>2.3314</v>
      </c>
      <c r="M1648" s="26" t="n">
        <v>0.0468</v>
      </c>
    </row>
    <row r="1649" ht="16" customHeight="1">
      <c r="A1649" t="inlineStr">
        <is>
          <t>12-Jan-2026</t>
        </is>
      </c>
      <c r="B1649" t="inlineStr">
        <is>
          <t>Monday</t>
        </is>
      </c>
      <c r="C1649" t="inlineStr">
        <is>
          <t>Week2-Jan-2026</t>
        </is>
      </c>
      <c r="D1649" s="78" t="n">
        <v>46023</v>
      </c>
      <c r="E1649" t="inlineStr">
        <is>
          <t>Q4FY26</t>
        </is>
      </c>
      <c r="F1649" t="inlineStr">
        <is>
          <t>29-Dec-2026</t>
        </is>
      </c>
      <c r="G1649" t="inlineStr">
        <is>
          <t>Tuesday</t>
        </is>
      </c>
      <c r="H1649" t="inlineStr">
        <is>
          <t>Monthly - Tuesday</t>
        </is>
      </c>
      <c r="I1649" t="inlineStr">
        <is>
          <t>Monthly - Tuesday</t>
        </is>
      </c>
      <c r="J1649" t="inlineStr">
        <is>
          <t>Month+11 Expiry</t>
        </is>
      </c>
      <c r="K1649" s="25" t="n">
        <v>11714</v>
      </c>
      <c r="L1649" s="26" t="n">
        <v>20.9725</v>
      </c>
      <c r="M1649" s="26" t="n">
        <v>0.6229</v>
      </c>
    </row>
    <row r="1650" ht="16" customHeight="1">
      <c r="A1650" t="inlineStr">
        <is>
          <t>12-Jan-2026</t>
        </is>
      </c>
      <c r="B1650" t="inlineStr">
        <is>
          <t>Monday</t>
        </is>
      </c>
      <c r="C1650" t="inlineStr">
        <is>
          <t>Week2-Jan-2026</t>
        </is>
      </c>
      <c r="D1650" s="78" t="n">
        <v>46023</v>
      </c>
      <c r="E1650" t="inlineStr">
        <is>
          <t>Q4FY26</t>
        </is>
      </c>
      <c r="F1650" t="inlineStr">
        <is>
          <t>29-Jun-2027</t>
        </is>
      </c>
      <c r="G1650" t="inlineStr">
        <is>
          <t>Tuesday</t>
        </is>
      </c>
      <c r="H1650" t="inlineStr">
        <is>
          <t>Monthly - Tuesday</t>
        </is>
      </c>
      <c r="I1650" t="inlineStr">
        <is>
          <t>Monthly - Tuesday</t>
        </is>
      </c>
      <c r="J1650" t="inlineStr">
        <is>
          <t>Month+17 Expiry</t>
        </is>
      </c>
      <c r="K1650" s="25" t="n">
        <v>0</v>
      </c>
      <c r="L1650" s="26" t="n">
        <v>0</v>
      </c>
      <c r="M1650" s="26" t="n">
        <v>0</v>
      </c>
    </row>
    <row r="1651" ht="16" customHeight="1">
      <c r="A1651" t="inlineStr">
        <is>
          <t>12-Jan-2026</t>
        </is>
      </c>
      <c r="B1651" t="inlineStr">
        <is>
          <t>Monday</t>
        </is>
      </c>
      <c r="C1651" t="inlineStr">
        <is>
          <t>Week2-Jan-2026</t>
        </is>
      </c>
      <c r="D1651" s="78" t="n">
        <v>46023</v>
      </c>
      <c r="E1651" t="inlineStr">
        <is>
          <t>Q4FY26</t>
        </is>
      </c>
      <c r="F1651" t="inlineStr">
        <is>
          <t>28-Dec-2027</t>
        </is>
      </c>
      <c r="G1651" t="inlineStr">
        <is>
          <t>Tuesday</t>
        </is>
      </c>
      <c r="H1651" t="inlineStr">
        <is>
          <t>Monthly - Tuesday</t>
        </is>
      </c>
      <c r="I1651" t="inlineStr">
        <is>
          <t>Monthly - Tuesday</t>
        </is>
      </c>
      <c r="J1651" t="inlineStr">
        <is>
          <t>Month+23 Expiry</t>
        </is>
      </c>
      <c r="K1651" s="25" t="n">
        <v>88</v>
      </c>
      <c r="L1651" s="26" t="n">
        <v>0.1596</v>
      </c>
      <c r="M1651" s="26" t="n">
        <v>0.0131</v>
      </c>
    </row>
    <row r="1652" ht="16" customHeight="1">
      <c r="A1652" t="inlineStr">
        <is>
          <t>12-Jan-2026</t>
        </is>
      </c>
      <c r="B1652" t="inlineStr">
        <is>
          <t>Monday</t>
        </is>
      </c>
      <c r="C1652" t="inlineStr">
        <is>
          <t>Week2-Jan-2026</t>
        </is>
      </c>
      <c r="D1652" s="78" t="n">
        <v>46023</v>
      </c>
      <c r="E1652" t="inlineStr">
        <is>
          <t>Q4FY26</t>
        </is>
      </c>
      <c r="F1652" t="inlineStr">
        <is>
          <t>27-Jun-2028</t>
        </is>
      </c>
      <c r="G1652" t="inlineStr">
        <is>
          <t>Tuesday</t>
        </is>
      </c>
      <c r="H1652" t="inlineStr">
        <is>
          <t>Monthly - Tuesday</t>
        </is>
      </c>
      <c r="I1652" t="inlineStr">
        <is>
          <t>Monthly - Tuesday</t>
        </is>
      </c>
      <c r="J1652" t="inlineStr">
        <is>
          <t>Month+29 Expiry</t>
        </is>
      </c>
      <c r="K1652" s="25" t="n">
        <v>0</v>
      </c>
      <c r="L1652" s="26" t="n">
        <v>0</v>
      </c>
      <c r="M1652" s="26" t="n">
        <v>0</v>
      </c>
    </row>
    <row r="1653" ht="16" customHeight="1">
      <c r="A1653" t="inlineStr">
        <is>
          <t>12-Jan-2026</t>
        </is>
      </c>
      <c r="B1653" t="inlineStr">
        <is>
          <t>Monday</t>
        </is>
      </c>
      <c r="C1653" t="inlineStr">
        <is>
          <t>Week2-Jan-2026</t>
        </is>
      </c>
      <c r="D1653" s="78" t="n">
        <v>46023</v>
      </c>
      <c r="E1653" t="inlineStr">
        <is>
          <t>Q4FY26</t>
        </is>
      </c>
      <c r="F1653" t="inlineStr">
        <is>
          <t>26-Dec-2028</t>
        </is>
      </c>
      <c r="G1653" t="inlineStr">
        <is>
          <t>Tuesday</t>
        </is>
      </c>
      <c r="H1653" t="inlineStr">
        <is>
          <t>Monthly - Tuesday</t>
        </is>
      </c>
      <c r="I1653" t="inlineStr">
        <is>
          <t>Monthly - Tuesday</t>
        </is>
      </c>
      <c r="J1653" t="inlineStr">
        <is>
          <t>Month+35 Expiry</t>
        </is>
      </c>
      <c r="K1653" s="25" t="n">
        <v>108</v>
      </c>
      <c r="L1653" s="26" t="n">
        <v>0.1628</v>
      </c>
      <c r="M1653" s="26" t="n">
        <v>0.0033</v>
      </c>
    </row>
    <row r="1654" ht="16" customHeight="1">
      <c r="A1654" t="inlineStr">
        <is>
          <t>12-Jan-2026</t>
        </is>
      </c>
      <c r="B1654" t="inlineStr">
        <is>
          <t>Monday</t>
        </is>
      </c>
      <c r="C1654" t="inlineStr">
        <is>
          <t>Week2-Jan-2026</t>
        </is>
      </c>
      <c r="D1654" s="78" t="n">
        <v>46023</v>
      </c>
      <c r="E1654" t="inlineStr">
        <is>
          <t>Q4FY26</t>
        </is>
      </c>
      <c r="F1654" t="inlineStr">
        <is>
          <t>26-Jun-2029</t>
        </is>
      </c>
      <c r="G1654" t="inlineStr">
        <is>
          <t>Tuesday</t>
        </is>
      </c>
      <c r="H1654" t="inlineStr">
        <is>
          <t>Monthly - Tuesday</t>
        </is>
      </c>
      <c r="I1654" t="inlineStr">
        <is>
          <t>Monthly - Tuesday</t>
        </is>
      </c>
      <c r="J1654" t="inlineStr">
        <is>
          <t>Month+41 Expiry</t>
        </is>
      </c>
      <c r="K1654" s="25" t="n">
        <v>0</v>
      </c>
      <c r="L1654" s="26" t="n">
        <v>0</v>
      </c>
      <c r="M1654" s="26" t="n">
        <v>0</v>
      </c>
    </row>
    <row r="1655" ht="16" customHeight="1">
      <c r="A1655" t="inlineStr">
        <is>
          <t>12-Jan-2026</t>
        </is>
      </c>
      <c r="B1655" t="inlineStr">
        <is>
          <t>Monday</t>
        </is>
      </c>
      <c r="C1655" t="inlineStr">
        <is>
          <t>Week2-Jan-2026</t>
        </is>
      </c>
      <c r="D1655" s="78" t="n">
        <v>46023</v>
      </c>
      <c r="E1655" t="inlineStr">
        <is>
          <t>Q4FY26</t>
        </is>
      </c>
      <c r="F1655" t="inlineStr">
        <is>
          <t>24-Dec-2029</t>
        </is>
      </c>
      <c r="G1655" t="inlineStr">
        <is>
          <t>Monday</t>
        </is>
      </c>
      <c r="H1655" t="inlineStr">
        <is>
          <t>Weekly - Monday</t>
        </is>
      </c>
      <c r="I1655" t="inlineStr">
        <is>
          <t>Weekly - Monday</t>
        </is>
      </c>
      <c r="J1655" t="inlineStr">
        <is>
          <t>Month+47 Expiry</t>
        </is>
      </c>
      <c r="K1655" s="25" t="n">
        <v>20</v>
      </c>
      <c r="L1655" s="26" t="n">
        <v>0.0351</v>
      </c>
      <c r="M1655" s="26" t="n">
        <v>0.0013</v>
      </c>
    </row>
    <row r="1656" ht="16" customHeight="1">
      <c r="A1656" t="inlineStr">
        <is>
          <t>12-Jan-2026</t>
        </is>
      </c>
      <c r="B1656" t="inlineStr">
        <is>
          <t>Monday</t>
        </is>
      </c>
      <c r="C1656" t="inlineStr">
        <is>
          <t>Week2-Jan-2026</t>
        </is>
      </c>
      <c r="D1656" s="78" t="n">
        <v>46023</v>
      </c>
      <c r="E1656" t="inlineStr">
        <is>
          <t>Q4FY26</t>
        </is>
      </c>
      <c r="F1656" t="inlineStr">
        <is>
          <t>25-Jun-2030</t>
        </is>
      </c>
      <c r="G1656" t="inlineStr">
        <is>
          <t>Tuesday</t>
        </is>
      </c>
      <c r="H1656" t="inlineStr">
        <is>
          <t>Monthly - Tuesday</t>
        </is>
      </c>
      <c r="I1656" t="inlineStr">
        <is>
          <t>Monthly - Tuesday</t>
        </is>
      </c>
      <c r="J1656" t="inlineStr">
        <is>
          <t>Month+53 Expiry</t>
        </is>
      </c>
      <c r="K1656" s="25" t="n">
        <v>0</v>
      </c>
      <c r="L1656" s="26" t="n">
        <v>0</v>
      </c>
      <c r="M1656" s="26" t="n">
        <v>0</v>
      </c>
    </row>
    <row r="1657" ht="16" customHeight="1">
      <c r="A1657" t="inlineStr">
        <is>
          <t>12-Jan-2026</t>
        </is>
      </c>
      <c r="B1657" t="inlineStr">
        <is>
          <t>Monday</t>
        </is>
      </c>
      <c r="C1657" t="inlineStr">
        <is>
          <t>Week2-Jan-2026</t>
        </is>
      </c>
      <c r="D1657" s="78" t="n">
        <v>46023</v>
      </c>
      <c r="E1657" t="inlineStr">
        <is>
          <t>Q4FY26</t>
        </is>
      </c>
      <c r="F1657" t="inlineStr">
        <is>
          <t>31-Dec-2030</t>
        </is>
      </c>
      <c r="G1657" t="inlineStr">
        <is>
          <t>Tuesday</t>
        </is>
      </c>
      <c r="H1657" t="inlineStr">
        <is>
          <t>Monthly - Tuesday</t>
        </is>
      </c>
      <c r="I1657" t="inlineStr">
        <is>
          <t>Monthly - Tuesday</t>
        </is>
      </c>
      <c r="J1657" t="inlineStr">
        <is>
          <t>Month+59 Expiry</t>
        </is>
      </c>
      <c r="K1657" s="25" t="n">
        <v>0</v>
      </c>
      <c r="L1657" s="26" t="n">
        <v>0</v>
      </c>
      <c r="M1657" s="26" t="n">
        <v>0</v>
      </c>
    </row>
    <row r="1658" ht="16" customHeight="1">
      <c r="A1658" t="inlineStr">
        <is>
          <t>13-Jan-2026</t>
        </is>
      </c>
      <c r="B1658" t="inlineStr">
        <is>
          <t>Tuesday</t>
        </is>
      </c>
      <c r="C1658" t="inlineStr">
        <is>
          <t>Week2-Jan-2026</t>
        </is>
      </c>
      <c r="D1658" s="78" t="n">
        <v>46023</v>
      </c>
      <c r="E1658" t="inlineStr">
        <is>
          <t>Q4FY26</t>
        </is>
      </c>
      <c r="F1658" t="inlineStr">
        <is>
          <t>13-Jan-2026</t>
        </is>
      </c>
      <c r="G1658" t="inlineStr">
        <is>
          <t>Tuesday</t>
        </is>
      </c>
      <c r="H1658" t="inlineStr">
        <is>
          <t>Weekly - Tuesday</t>
        </is>
      </c>
      <c r="I1658" t="inlineStr">
        <is>
          <t>Weekly - Tuesday</t>
        </is>
      </c>
      <c r="J1658" t="inlineStr">
        <is>
          <t>Same Month Expiry</t>
        </is>
      </c>
      <c r="K1658" s="25" t="n">
        <v>455624308</v>
      </c>
      <c r="L1658" s="26" t="n">
        <v>763109.4183</v>
      </c>
      <c r="M1658" s="26" t="n">
        <v>712.468</v>
      </c>
    </row>
    <row r="1659" ht="16" customHeight="1">
      <c r="A1659" t="inlineStr">
        <is>
          <t>13-Jan-2026</t>
        </is>
      </c>
      <c r="B1659" t="inlineStr">
        <is>
          <t>Tuesday</t>
        </is>
      </c>
      <c r="C1659" t="inlineStr">
        <is>
          <t>Week2-Jan-2026</t>
        </is>
      </c>
      <c r="D1659" s="78" t="n">
        <v>46023</v>
      </c>
      <c r="E1659" t="inlineStr">
        <is>
          <t>Q4FY26</t>
        </is>
      </c>
      <c r="F1659" t="inlineStr">
        <is>
          <t>20-Jan-2026</t>
        </is>
      </c>
      <c r="G1659" t="inlineStr">
        <is>
          <t>Tuesday</t>
        </is>
      </c>
      <c r="H1659" t="inlineStr">
        <is>
          <t>Weekly - Tuesday</t>
        </is>
      </c>
      <c r="I1659" t="inlineStr">
        <is>
          <t>Weekly - Tuesday</t>
        </is>
      </c>
      <c r="J1659" t="inlineStr">
        <is>
          <t>Same Month Expiry</t>
        </is>
      </c>
      <c r="K1659" s="25" t="n">
        <v>14626395</v>
      </c>
      <c r="L1659" s="26" t="n">
        <v>24655.4016</v>
      </c>
      <c r="M1659" s="26" t="n">
        <v>77.25530000000001</v>
      </c>
    </row>
    <row r="1660" ht="16" customHeight="1">
      <c r="A1660" t="inlineStr">
        <is>
          <t>13-Jan-2026</t>
        </is>
      </c>
      <c r="B1660" t="inlineStr">
        <is>
          <t>Tuesday</t>
        </is>
      </c>
      <c r="C1660" t="inlineStr">
        <is>
          <t>Week2-Jan-2026</t>
        </is>
      </c>
      <c r="D1660" s="78" t="n">
        <v>46023</v>
      </c>
      <c r="E1660" t="inlineStr">
        <is>
          <t>Q4FY26</t>
        </is>
      </c>
      <c r="F1660" t="inlineStr">
        <is>
          <t>27-Jan-2026</t>
        </is>
      </c>
      <c r="G1660" t="inlineStr">
        <is>
          <t>Tuesday</t>
        </is>
      </c>
      <c r="H1660" t="inlineStr">
        <is>
          <t>Monthly - Tuesday</t>
        </is>
      </c>
      <c r="I1660" t="inlineStr">
        <is>
          <t>Monthly - Tuesday</t>
        </is>
      </c>
      <c r="J1660" t="inlineStr">
        <is>
          <t>Same Month Expiry</t>
        </is>
      </c>
      <c r="K1660" s="25" t="n">
        <v>2669250</v>
      </c>
      <c r="L1660" s="26" t="n">
        <v>4505.2006</v>
      </c>
      <c r="M1660" s="26" t="n">
        <v>22.6394</v>
      </c>
    </row>
    <row r="1661" ht="16" customHeight="1">
      <c r="A1661" t="inlineStr">
        <is>
          <t>13-Jan-2026</t>
        </is>
      </c>
      <c r="B1661" t="inlineStr">
        <is>
          <t>Tuesday</t>
        </is>
      </c>
      <c r="C1661" t="inlineStr">
        <is>
          <t>Week2-Jan-2026</t>
        </is>
      </c>
      <c r="D1661" s="78" t="n">
        <v>46023</v>
      </c>
      <c r="E1661" t="inlineStr">
        <is>
          <t>Q4FY26</t>
        </is>
      </c>
      <c r="F1661" t="inlineStr">
        <is>
          <t>03-Feb-2026</t>
        </is>
      </c>
      <c r="G1661" t="inlineStr">
        <is>
          <t>Tuesday</t>
        </is>
      </c>
      <c r="H1661" t="inlineStr">
        <is>
          <t>Weekly - Tuesday</t>
        </is>
      </c>
      <c r="I1661" t="inlineStr">
        <is>
          <t>Weekly - Tuesday</t>
        </is>
      </c>
      <c r="J1661" t="inlineStr">
        <is>
          <t>Month+1 Expiry</t>
        </is>
      </c>
      <c r="K1661" s="25" t="n">
        <v>84811</v>
      </c>
      <c r="L1661" s="26" t="n">
        <v>144.0274</v>
      </c>
      <c r="M1661" s="26" t="n">
        <v>0.9646</v>
      </c>
    </row>
    <row r="1662" ht="16" customHeight="1">
      <c r="A1662" t="inlineStr">
        <is>
          <t>13-Jan-2026</t>
        </is>
      </c>
      <c r="B1662" t="inlineStr">
        <is>
          <t>Tuesday</t>
        </is>
      </c>
      <c r="C1662" t="inlineStr">
        <is>
          <t>Week2-Jan-2026</t>
        </is>
      </c>
      <c r="D1662" s="78" t="n">
        <v>46023</v>
      </c>
      <c r="E1662" t="inlineStr">
        <is>
          <t>Q4FY26</t>
        </is>
      </c>
      <c r="F1662" t="inlineStr">
        <is>
          <t>10-Feb-2026</t>
        </is>
      </c>
      <c r="G1662" t="inlineStr">
        <is>
          <t>Tuesday</t>
        </is>
      </c>
      <c r="H1662" t="inlineStr">
        <is>
          <t>Weekly - Tuesday</t>
        </is>
      </c>
      <c r="I1662" t="inlineStr">
        <is>
          <t>Weekly - Tuesday</t>
        </is>
      </c>
      <c r="J1662" t="inlineStr">
        <is>
          <t>Month+1 Expiry</t>
        </is>
      </c>
      <c r="K1662" s="25" t="n">
        <v>10324</v>
      </c>
      <c r="L1662" s="26" t="n">
        <v>17.6176</v>
      </c>
      <c r="M1662" s="26" t="n">
        <v>0.1066</v>
      </c>
    </row>
    <row r="1663" ht="16" customHeight="1">
      <c r="A1663" t="inlineStr">
        <is>
          <t>13-Jan-2026</t>
        </is>
      </c>
      <c r="B1663" t="inlineStr">
        <is>
          <t>Tuesday</t>
        </is>
      </c>
      <c r="C1663" t="inlineStr">
        <is>
          <t>Week2-Jan-2026</t>
        </is>
      </c>
      <c r="D1663" s="78" t="n">
        <v>46023</v>
      </c>
      <c r="E1663" t="inlineStr">
        <is>
          <t>Q4FY26</t>
        </is>
      </c>
      <c r="F1663" t="inlineStr">
        <is>
          <t>24-Feb-2026</t>
        </is>
      </c>
      <c r="G1663" t="inlineStr">
        <is>
          <t>Tuesday</t>
        </is>
      </c>
      <c r="H1663" t="inlineStr">
        <is>
          <t>Monthly - Tuesday</t>
        </is>
      </c>
      <c r="I1663" t="inlineStr">
        <is>
          <t>Monthly - Tuesday</t>
        </is>
      </c>
      <c r="J1663" t="inlineStr">
        <is>
          <t>Month+1 Expiry</t>
        </is>
      </c>
      <c r="K1663" s="25" t="n">
        <v>275292</v>
      </c>
      <c r="L1663" s="26" t="n">
        <v>469.0366</v>
      </c>
      <c r="M1663" s="26" t="n">
        <v>3.6795</v>
      </c>
    </row>
    <row r="1664" ht="16" customHeight="1">
      <c r="A1664" t="inlineStr">
        <is>
          <t>13-Jan-2026</t>
        </is>
      </c>
      <c r="B1664" t="inlineStr">
        <is>
          <t>Tuesday</t>
        </is>
      </c>
      <c r="C1664" t="inlineStr">
        <is>
          <t>Week2-Jan-2026</t>
        </is>
      </c>
      <c r="D1664" s="78" t="n">
        <v>46023</v>
      </c>
      <c r="E1664" t="inlineStr">
        <is>
          <t>Q4FY26</t>
        </is>
      </c>
      <c r="F1664" t="inlineStr">
        <is>
          <t>30-Mar-2026</t>
        </is>
      </c>
      <c r="G1664" t="inlineStr">
        <is>
          <t>Monday</t>
        </is>
      </c>
      <c r="H1664" t="inlineStr">
        <is>
          <t>Monthly - Monday</t>
        </is>
      </c>
      <c r="I1664" t="inlineStr">
        <is>
          <t>Monthly - Monday</t>
        </is>
      </c>
      <c r="J1664" t="inlineStr">
        <is>
          <t>Month+2 Expiry</t>
        </is>
      </c>
      <c r="K1664" s="25" t="n">
        <v>103890</v>
      </c>
      <c r="L1664" s="26" t="n">
        <v>177.3963</v>
      </c>
      <c r="M1664" s="26" t="n">
        <v>2.2093</v>
      </c>
    </row>
    <row r="1665" ht="16" customHeight="1">
      <c r="A1665" t="inlineStr">
        <is>
          <t>13-Jan-2026</t>
        </is>
      </c>
      <c r="B1665" t="inlineStr">
        <is>
          <t>Tuesday</t>
        </is>
      </c>
      <c r="C1665" t="inlineStr">
        <is>
          <t>Week2-Jan-2026</t>
        </is>
      </c>
      <c r="D1665" s="78" t="n">
        <v>46023</v>
      </c>
      <c r="E1665" t="inlineStr">
        <is>
          <t>Q4FY26</t>
        </is>
      </c>
      <c r="F1665" t="inlineStr">
        <is>
          <t>30-Jun-2026</t>
        </is>
      </c>
      <c r="G1665" t="inlineStr">
        <is>
          <t>Tuesday</t>
        </is>
      </c>
      <c r="H1665" t="inlineStr">
        <is>
          <t>Monthly - Tuesday</t>
        </is>
      </c>
      <c r="I1665" t="inlineStr">
        <is>
          <t>Monthly - Tuesday</t>
        </is>
      </c>
      <c r="J1665" t="inlineStr">
        <is>
          <t>Month+5 Expiry</t>
        </is>
      </c>
      <c r="K1665" s="25" t="n">
        <v>15976</v>
      </c>
      <c r="L1665" s="26" t="n">
        <v>27.4944</v>
      </c>
      <c r="M1665" s="26" t="n">
        <v>0.4912</v>
      </c>
    </row>
    <row r="1666" ht="16" customHeight="1">
      <c r="A1666" t="inlineStr">
        <is>
          <t>13-Jan-2026</t>
        </is>
      </c>
      <c r="B1666" t="inlineStr">
        <is>
          <t>Tuesday</t>
        </is>
      </c>
      <c r="C1666" t="inlineStr">
        <is>
          <t>Week2-Jan-2026</t>
        </is>
      </c>
      <c r="D1666" s="78" t="n">
        <v>46023</v>
      </c>
      <c r="E1666" t="inlineStr">
        <is>
          <t>Q4FY26</t>
        </is>
      </c>
      <c r="F1666" t="inlineStr">
        <is>
          <t>29-Sep-2026</t>
        </is>
      </c>
      <c r="G1666" t="inlineStr">
        <is>
          <t>Tuesday</t>
        </is>
      </c>
      <c r="H1666" t="inlineStr">
        <is>
          <t>Monthly - Tuesday</t>
        </is>
      </c>
      <c r="I1666" t="inlineStr">
        <is>
          <t>Monthly - Tuesday</t>
        </is>
      </c>
      <c r="J1666" t="inlineStr">
        <is>
          <t>Month+8 Expiry</t>
        </is>
      </c>
      <c r="K1666" s="25" t="n">
        <v>713</v>
      </c>
      <c r="L1666" s="26" t="n">
        <v>1.2335</v>
      </c>
      <c r="M1666" s="26" t="n">
        <v>0.0255</v>
      </c>
    </row>
    <row r="1667" ht="16" customHeight="1">
      <c r="A1667" t="inlineStr">
        <is>
          <t>13-Jan-2026</t>
        </is>
      </c>
      <c r="B1667" t="inlineStr">
        <is>
          <t>Tuesday</t>
        </is>
      </c>
      <c r="C1667" t="inlineStr">
        <is>
          <t>Week2-Jan-2026</t>
        </is>
      </c>
      <c r="D1667" s="78" t="n">
        <v>46023</v>
      </c>
      <c r="E1667" t="inlineStr">
        <is>
          <t>Q4FY26</t>
        </is>
      </c>
      <c r="F1667" t="inlineStr">
        <is>
          <t>29-Dec-2026</t>
        </is>
      </c>
      <c r="G1667" t="inlineStr">
        <is>
          <t>Tuesday</t>
        </is>
      </c>
      <c r="H1667" t="inlineStr">
        <is>
          <t>Monthly - Tuesday</t>
        </is>
      </c>
      <c r="I1667" t="inlineStr">
        <is>
          <t>Monthly - Tuesday</t>
        </is>
      </c>
      <c r="J1667" t="inlineStr">
        <is>
          <t>Month+11 Expiry</t>
        </is>
      </c>
      <c r="K1667" s="25" t="n">
        <v>6930</v>
      </c>
      <c r="L1667" s="26" t="n">
        <v>12.3716</v>
      </c>
      <c r="M1667" s="26" t="n">
        <v>0.3896</v>
      </c>
    </row>
    <row r="1668" ht="16" customHeight="1">
      <c r="A1668" t="inlineStr">
        <is>
          <t>13-Jan-2026</t>
        </is>
      </c>
      <c r="B1668" t="inlineStr">
        <is>
          <t>Tuesday</t>
        </is>
      </c>
      <c r="C1668" t="inlineStr">
        <is>
          <t>Week2-Jan-2026</t>
        </is>
      </c>
      <c r="D1668" s="78" t="n">
        <v>46023</v>
      </c>
      <c r="E1668" t="inlineStr">
        <is>
          <t>Q4FY26</t>
        </is>
      </c>
      <c r="F1668" t="inlineStr">
        <is>
          <t>29-Jun-2027</t>
        </is>
      </c>
      <c r="G1668" t="inlineStr">
        <is>
          <t>Tuesday</t>
        </is>
      </c>
      <c r="H1668" t="inlineStr">
        <is>
          <t>Monthly - Tuesday</t>
        </is>
      </c>
      <c r="I1668" t="inlineStr">
        <is>
          <t>Monthly - Tuesday</t>
        </is>
      </c>
      <c r="J1668" t="inlineStr">
        <is>
          <t>Month+17 Expiry</t>
        </is>
      </c>
      <c r="K1668" s="25" t="n">
        <v>0</v>
      </c>
      <c r="L1668" s="26" t="n">
        <v>0</v>
      </c>
      <c r="M1668" s="26" t="n">
        <v>0</v>
      </c>
    </row>
    <row r="1669" ht="16" customHeight="1">
      <c r="A1669" t="inlineStr">
        <is>
          <t>13-Jan-2026</t>
        </is>
      </c>
      <c r="B1669" t="inlineStr">
        <is>
          <t>Tuesday</t>
        </is>
      </c>
      <c r="C1669" t="inlineStr">
        <is>
          <t>Week2-Jan-2026</t>
        </is>
      </c>
      <c r="D1669" s="78" t="n">
        <v>46023</v>
      </c>
      <c r="E1669" t="inlineStr">
        <is>
          <t>Q4FY26</t>
        </is>
      </c>
      <c r="F1669" t="inlineStr">
        <is>
          <t>28-Dec-2027</t>
        </is>
      </c>
      <c r="G1669" t="inlineStr">
        <is>
          <t>Tuesday</t>
        </is>
      </c>
      <c r="H1669" t="inlineStr">
        <is>
          <t>Monthly - Tuesday</t>
        </is>
      </c>
      <c r="I1669" t="inlineStr">
        <is>
          <t>Monthly - Tuesday</t>
        </is>
      </c>
      <c r="J1669" t="inlineStr">
        <is>
          <t>Month+23 Expiry</t>
        </is>
      </c>
      <c r="K1669" s="25" t="n">
        <v>83</v>
      </c>
      <c r="L1669" s="26" t="n">
        <v>0.1328</v>
      </c>
      <c r="M1669" s="26" t="n">
        <v>0.0033</v>
      </c>
    </row>
    <row r="1670" ht="16" customHeight="1">
      <c r="A1670" t="inlineStr">
        <is>
          <t>13-Jan-2026</t>
        </is>
      </c>
      <c r="B1670" t="inlineStr">
        <is>
          <t>Tuesday</t>
        </is>
      </c>
      <c r="C1670" t="inlineStr">
        <is>
          <t>Week2-Jan-2026</t>
        </is>
      </c>
      <c r="D1670" s="78" t="n">
        <v>46023</v>
      </c>
      <c r="E1670" t="inlineStr">
        <is>
          <t>Q4FY26</t>
        </is>
      </c>
      <c r="F1670" t="inlineStr">
        <is>
          <t>27-Jun-2028</t>
        </is>
      </c>
      <c r="G1670" t="inlineStr">
        <is>
          <t>Tuesday</t>
        </is>
      </c>
      <c r="H1670" t="inlineStr">
        <is>
          <t>Monthly - Tuesday</t>
        </is>
      </c>
      <c r="I1670" t="inlineStr">
        <is>
          <t>Monthly - Tuesday</t>
        </is>
      </c>
      <c r="J1670" t="inlineStr">
        <is>
          <t>Month+29 Expiry</t>
        </is>
      </c>
      <c r="K1670" s="25" t="n">
        <v>0</v>
      </c>
      <c r="L1670" s="26" t="n">
        <v>0</v>
      </c>
      <c r="M1670" s="26" t="n">
        <v>0</v>
      </c>
    </row>
    <row r="1671" ht="16" customHeight="1">
      <c r="A1671" t="inlineStr">
        <is>
          <t>13-Jan-2026</t>
        </is>
      </c>
      <c r="B1671" t="inlineStr">
        <is>
          <t>Tuesday</t>
        </is>
      </c>
      <c r="C1671" t="inlineStr">
        <is>
          <t>Week2-Jan-2026</t>
        </is>
      </c>
      <c r="D1671" s="78" t="n">
        <v>46023</v>
      </c>
      <c r="E1671" t="inlineStr">
        <is>
          <t>Q4FY26</t>
        </is>
      </c>
      <c r="F1671" t="inlineStr">
        <is>
          <t>26-Dec-2028</t>
        </is>
      </c>
      <c r="G1671" t="inlineStr">
        <is>
          <t>Tuesday</t>
        </is>
      </c>
      <c r="H1671" t="inlineStr">
        <is>
          <t>Monthly - Tuesday</t>
        </is>
      </c>
      <c r="I1671" t="inlineStr">
        <is>
          <t>Monthly - Tuesday</t>
        </is>
      </c>
      <c r="J1671" t="inlineStr">
        <is>
          <t>Month+35 Expiry</t>
        </is>
      </c>
      <c r="K1671" s="25" t="n">
        <v>122</v>
      </c>
      <c r="L1671" s="26" t="n">
        <v>0.1832</v>
      </c>
      <c r="M1671" s="26" t="n">
        <v>0.0035</v>
      </c>
    </row>
    <row r="1672" ht="16" customHeight="1">
      <c r="A1672" t="inlineStr">
        <is>
          <t>13-Jan-2026</t>
        </is>
      </c>
      <c r="B1672" t="inlineStr">
        <is>
          <t>Tuesday</t>
        </is>
      </c>
      <c r="C1672" t="inlineStr">
        <is>
          <t>Week2-Jan-2026</t>
        </is>
      </c>
      <c r="D1672" s="78" t="n">
        <v>46023</v>
      </c>
      <c r="E1672" t="inlineStr">
        <is>
          <t>Q4FY26</t>
        </is>
      </c>
      <c r="F1672" t="inlineStr">
        <is>
          <t>26-Jun-2029</t>
        </is>
      </c>
      <c r="G1672" t="inlineStr">
        <is>
          <t>Tuesday</t>
        </is>
      </c>
      <c r="H1672" t="inlineStr">
        <is>
          <t>Monthly - Tuesday</t>
        </is>
      </c>
      <c r="I1672" t="inlineStr">
        <is>
          <t>Monthly - Tuesday</t>
        </is>
      </c>
      <c r="J1672" t="inlineStr">
        <is>
          <t>Month+41 Expiry</t>
        </is>
      </c>
      <c r="K1672" s="25" t="n">
        <v>0</v>
      </c>
      <c r="L1672" s="26" t="n">
        <v>0</v>
      </c>
      <c r="M1672" s="26" t="n">
        <v>0</v>
      </c>
    </row>
    <row r="1673" ht="16" customHeight="1">
      <c r="A1673" t="inlineStr">
        <is>
          <t>13-Jan-2026</t>
        </is>
      </c>
      <c r="B1673" t="inlineStr">
        <is>
          <t>Tuesday</t>
        </is>
      </c>
      <c r="C1673" t="inlineStr">
        <is>
          <t>Week2-Jan-2026</t>
        </is>
      </c>
      <c r="D1673" s="78" t="n">
        <v>46023</v>
      </c>
      <c r="E1673" t="inlineStr">
        <is>
          <t>Q4FY26</t>
        </is>
      </c>
      <c r="F1673" t="inlineStr">
        <is>
          <t>24-Dec-2029</t>
        </is>
      </c>
      <c r="G1673" t="inlineStr">
        <is>
          <t>Monday</t>
        </is>
      </c>
      <c r="H1673" t="inlineStr">
        <is>
          <t>Weekly - Monday</t>
        </is>
      </c>
      <c r="I1673" t="inlineStr">
        <is>
          <t>Weekly - Monday</t>
        </is>
      </c>
      <c r="J1673" t="inlineStr">
        <is>
          <t>Month+47 Expiry</t>
        </is>
      </c>
      <c r="K1673" s="25" t="n">
        <v>2</v>
      </c>
      <c r="L1673" s="26" t="n">
        <v>0.0035</v>
      </c>
      <c r="M1673" s="26" t="n">
        <v>0.0001</v>
      </c>
    </row>
    <row r="1674" ht="16" customHeight="1">
      <c r="A1674" t="inlineStr">
        <is>
          <t>13-Jan-2026</t>
        </is>
      </c>
      <c r="B1674" t="inlineStr">
        <is>
          <t>Tuesday</t>
        </is>
      </c>
      <c r="C1674" t="inlineStr">
        <is>
          <t>Week2-Jan-2026</t>
        </is>
      </c>
      <c r="D1674" s="78" t="n">
        <v>46023</v>
      </c>
      <c r="E1674" t="inlineStr">
        <is>
          <t>Q4FY26</t>
        </is>
      </c>
      <c r="F1674" t="inlineStr">
        <is>
          <t>25-Jun-2030</t>
        </is>
      </c>
      <c r="G1674" t="inlineStr">
        <is>
          <t>Tuesday</t>
        </is>
      </c>
      <c r="H1674" t="inlineStr">
        <is>
          <t>Monthly - Tuesday</t>
        </is>
      </c>
      <c r="I1674" t="inlineStr">
        <is>
          <t>Monthly - Tuesday</t>
        </is>
      </c>
      <c r="J1674" t="inlineStr">
        <is>
          <t>Month+53 Expiry</t>
        </is>
      </c>
      <c r="K1674" s="25" t="n">
        <v>0</v>
      </c>
      <c r="L1674" s="26" t="n">
        <v>0</v>
      </c>
      <c r="M1674" s="26" t="n">
        <v>0</v>
      </c>
    </row>
    <row r="1675" ht="16" customHeight="1">
      <c r="A1675" t="inlineStr">
        <is>
          <t>13-Jan-2026</t>
        </is>
      </c>
      <c r="B1675" t="inlineStr">
        <is>
          <t>Tuesday</t>
        </is>
      </c>
      <c r="C1675" t="inlineStr">
        <is>
          <t>Week2-Jan-2026</t>
        </is>
      </c>
      <c r="D1675" s="78" t="n">
        <v>46023</v>
      </c>
      <c r="E1675" t="inlineStr">
        <is>
          <t>Q4FY26</t>
        </is>
      </c>
      <c r="F1675" t="inlineStr">
        <is>
          <t>31-Dec-2030</t>
        </is>
      </c>
      <c r="G1675" t="inlineStr">
        <is>
          <t>Tuesday</t>
        </is>
      </c>
      <c r="H1675" t="inlineStr">
        <is>
          <t>Monthly - Tuesday</t>
        </is>
      </c>
      <c r="I1675" t="inlineStr">
        <is>
          <t>Monthly - Tuesday</t>
        </is>
      </c>
      <c r="J1675" t="inlineStr">
        <is>
          <t>Month+59 Expiry</t>
        </is>
      </c>
      <c r="K1675" s="25" t="n">
        <v>0</v>
      </c>
      <c r="L1675" s="26" t="n">
        <v>0</v>
      </c>
      <c r="M1675" s="26" t="n">
        <v>0</v>
      </c>
    </row>
    <row r="1676" ht="16" customHeight="1">
      <c r="A1676" t="inlineStr">
        <is>
          <t>14-Jan-2026</t>
        </is>
      </c>
      <c r="B1676" t="inlineStr">
        <is>
          <t>Wednesday</t>
        </is>
      </c>
      <c r="C1676" t="inlineStr">
        <is>
          <t>Week2-Jan-2026</t>
        </is>
      </c>
      <c r="D1676" s="78" t="n">
        <v>46023</v>
      </c>
      <c r="E1676" t="inlineStr">
        <is>
          <t>Q4FY26</t>
        </is>
      </c>
      <c r="F1676" t="inlineStr">
        <is>
          <t>20-Jan-2026</t>
        </is>
      </c>
      <c r="G1676" t="inlineStr">
        <is>
          <t>Tuesday</t>
        </is>
      </c>
      <c r="H1676" t="inlineStr">
        <is>
          <t>Weekly - Tuesday</t>
        </is>
      </c>
      <c r="I1676" t="inlineStr">
        <is>
          <t>Weekly - Tuesday</t>
        </is>
      </c>
      <c r="J1676" t="inlineStr">
        <is>
          <t>Same Month Expiry</t>
        </is>
      </c>
      <c r="K1676" s="25" t="n">
        <v>63584049</v>
      </c>
      <c r="L1676" s="26" t="n">
        <v>106781.3633</v>
      </c>
      <c r="M1676" s="26" t="n">
        <v>319.7871</v>
      </c>
    </row>
    <row r="1677" ht="16" customHeight="1">
      <c r="A1677" t="inlineStr">
        <is>
          <t>14-Jan-2026</t>
        </is>
      </c>
      <c r="B1677" t="inlineStr">
        <is>
          <t>Wednesday</t>
        </is>
      </c>
      <c r="C1677" t="inlineStr">
        <is>
          <t>Week2-Jan-2026</t>
        </is>
      </c>
      <c r="D1677" s="78" t="n">
        <v>46023</v>
      </c>
      <c r="E1677" t="inlineStr">
        <is>
          <t>Q4FY26</t>
        </is>
      </c>
      <c r="F1677" t="inlineStr">
        <is>
          <t>27-Jan-2026</t>
        </is>
      </c>
      <c r="G1677" t="inlineStr">
        <is>
          <t>Tuesday</t>
        </is>
      </c>
      <c r="H1677" t="inlineStr">
        <is>
          <t>Monthly - Tuesday</t>
        </is>
      </c>
      <c r="I1677" t="inlineStr">
        <is>
          <t>Monthly - Tuesday</t>
        </is>
      </c>
      <c r="J1677" t="inlineStr">
        <is>
          <t>Same Month Expiry</t>
        </is>
      </c>
      <c r="K1677" s="25" t="n">
        <v>3256351</v>
      </c>
      <c r="L1677" s="26" t="n">
        <v>5492.3066</v>
      </c>
      <c r="M1677" s="26" t="n">
        <v>24.2034</v>
      </c>
    </row>
    <row r="1678" ht="16" customHeight="1">
      <c r="A1678" t="inlineStr">
        <is>
          <t>14-Jan-2026</t>
        </is>
      </c>
      <c r="B1678" t="inlineStr">
        <is>
          <t>Wednesday</t>
        </is>
      </c>
      <c r="C1678" t="inlineStr">
        <is>
          <t>Week2-Jan-2026</t>
        </is>
      </c>
      <c r="D1678" s="78" t="n">
        <v>46023</v>
      </c>
      <c r="E1678" t="inlineStr">
        <is>
          <t>Q4FY26</t>
        </is>
      </c>
      <c r="F1678" t="inlineStr">
        <is>
          <t>03-Feb-2026</t>
        </is>
      </c>
      <c r="G1678" t="inlineStr">
        <is>
          <t>Tuesday</t>
        </is>
      </c>
      <c r="H1678" t="inlineStr">
        <is>
          <t>Weekly - Tuesday</t>
        </is>
      </c>
      <c r="I1678" t="inlineStr">
        <is>
          <t>Weekly - Tuesday</t>
        </is>
      </c>
      <c r="J1678" t="inlineStr">
        <is>
          <t>Month+1 Expiry</t>
        </is>
      </c>
      <c r="K1678" s="25" t="n">
        <v>147036</v>
      </c>
      <c r="L1678" s="26" t="n">
        <v>249.3514</v>
      </c>
      <c r="M1678" s="26" t="n">
        <v>1.5676</v>
      </c>
    </row>
    <row r="1679" ht="16" customHeight="1">
      <c r="A1679" t="inlineStr">
        <is>
          <t>14-Jan-2026</t>
        </is>
      </c>
      <c r="B1679" t="inlineStr">
        <is>
          <t>Wednesday</t>
        </is>
      </c>
      <c r="C1679" t="inlineStr">
        <is>
          <t>Week2-Jan-2026</t>
        </is>
      </c>
      <c r="D1679" s="78" t="n">
        <v>46023</v>
      </c>
      <c r="E1679" t="inlineStr">
        <is>
          <t>Q4FY26</t>
        </is>
      </c>
      <c r="F1679" t="inlineStr">
        <is>
          <t>10-Feb-2026</t>
        </is>
      </c>
      <c r="G1679" t="inlineStr">
        <is>
          <t>Tuesday</t>
        </is>
      </c>
      <c r="H1679" t="inlineStr">
        <is>
          <t>Weekly - Tuesday</t>
        </is>
      </c>
      <c r="I1679" t="inlineStr">
        <is>
          <t>Weekly - Tuesday</t>
        </is>
      </c>
      <c r="J1679" t="inlineStr">
        <is>
          <t>Month+1 Expiry</t>
        </is>
      </c>
      <c r="K1679" s="25" t="n">
        <v>14543</v>
      </c>
      <c r="L1679" s="26" t="n">
        <v>24.6521</v>
      </c>
      <c r="M1679" s="26" t="n">
        <v>0.1848</v>
      </c>
    </row>
    <row r="1680" ht="16" customHeight="1">
      <c r="A1680" t="inlineStr">
        <is>
          <t>14-Jan-2026</t>
        </is>
      </c>
      <c r="B1680" t="inlineStr">
        <is>
          <t>Wednesday</t>
        </is>
      </c>
      <c r="C1680" t="inlineStr">
        <is>
          <t>Week2-Jan-2026</t>
        </is>
      </c>
      <c r="D1680" s="78" t="n">
        <v>46023</v>
      </c>
      <c r="E1680" t="inlineStr">
        <is>
          <t>Q4FY26</t>
        </is>
      </c>
      <c r="F1680" t="inlineStr">
        <is>
          <t>17-Feb-2026</t>
        </is>
      </c>
      <c r="G1680" t="inlineStr">
        <is>
          <t>Tuesday</t>
        </is>
      </c>
      <c r="H1680" t="inlineStr">
        <is>
          <t>Weekly - Tuesday</t>
        </is>
      </c>
      <c r="I1680" t="inlineStr">
        <is>
          <t>Weekly - Tuesday</t>
        </is>
      </c>
      <c r="J1680" t="inlineStr">
        <is>
          <t>Month+1 Expiry</t>
        </is>
      </c>
      <c r="K1680" s="25" t="n">
        <v>247</v>
      </c>
      <c r="L1680" s="26" t="n">
        <v>0.4179</v>
      </c>
      <c r="M1680" s="26" t="n">
        <v>0.0051</v>
      </c>
    </row>
    <row r="1681" ht="16" customHeight="1">
      <c r="A1681" t="inlineStr">
        <is>
          <t>14-Jan-2026</t>
        </is>
      </c>
      <c r="B1681" t="inlineStr">
        <is>
          <t>Wednesday</t>
        </is>
      </c>
      <c r="C1681" t="inlineStr">
        <is>
          <t>Week2-Jan-2026</t>
        </is>
      </c>
      <c r="D1681" s="78" t="n">
        <v>46023</v>
      </c>
      <c r="E1681" t="inlineStr">
        <is>
          <t>Q4FY26</t>
        </is>
      </c>
      <c r="F1681" t="inlineStr">
        <is>
          <t>24-Feb-2026</t>
        </is>
      </c>
      <c r="G1681" t="inlineStr">
        <is>
          <t>Tuesday</t>
        </is>
      </c>
      <c r="H1681" t="inlineStr">
        <is>
          <t>Monthly - Tuesday</t>
        </is>
      </c>
      <c r="I1681" t="inlineStr">
        <is>
          <t>Monthly - Tuesday</t>
        </is>
      </c>
      <c r="J1681" t="inlineStr">
        <is>
          <t>Month+1 Expiry</t>
        </is>
      </c>
      <c r="K1681" s="25" t="n">
        <v>320113</v>
      </c>
      <c r="L1681" s="26" t="n">
        <v>545.3689000000001</v>
      </c>
      <c r="M1681" s="26" t="n">
        <v>4.093</v>
      </c>
    </row>
    <row r="1682" ht="16" customHeight="1">
      <c r="A1682" t="inlineStr">
        <is>
          <t>14-Jan-2026</t>
        </is>
      </c>
      <c r="B1682" t="inlineStr">
        <is>
          <t>Wednesday</t>
        </is>
      </c>
      <c r="C1682" t="inlineStr">
        <is>
          <t>Week2-Jan-2026</t>
        </is>
      </c>
      <c r="D1682" s="78" t="n">
        <v>46023</v>
      </c>
      <c r="E1682" t="inlineStr">
        <is>
          <t>Q4FY26</t>
        </is>
      </c>
      <c r="F1682" t="inlineStr">
        <is>
          <t>30-Mar-2026</t>
        </is>
      </c>
      <c r="G1682" t="inlineStr">
        <is>
          <t>Monday</t>
        </is>
      </c>
      <c r="H1682" t="inlineStr">
        <is>
          <t>Monthly - Monday</t>
        </is>
      </c>
      <c r="I1682" t="inlineStr">
        <is>
          <t>Monthly - Monday</t>
        </is>
      </c>
      <c r="J1682" t="inlineStr">
        <is>
          <t>Month+2 Expiry</t>
        </is>
      </c>
      <c r="K1682" s="25" t="n">
        <v>87801</v>
      </c>
      <c r="L1682" s="26" t="n">
        <v>149.2944</v>
      </c>
      <c r="M1682" s="26" t="n">
        <v>1.786</v>
      </c>
    </row>
    <row r="1683" ht="16" customHeight="1">
      <c r="A1683" t="inlineStr">
        <is>
          <t>14-Jan-2026</t>
        </is>
      </c>
      <c r="B1683" t="inlineStr">
        <is>
          <t>Wednesday</t>
        </is>
      </c>
      <c r="C1683" t="inlineStr">
        <is>
          <t>Week2-Jan-2026</t>
        </is>
      </c>
      <c r="D1683" s="78" t="n">
        <v>46023</v>
      </c>
      <c r="E1683" t="inlineStr">
        <is>
          <t>Q4FY26</t>
        </is>
      </c>
      <c r="F1683" t="inlineStr">
        <is>
          <t>30-Jun-2026</t>
        </is>
      </c>
      <c r="G1683" t="inlineStr">
        <is>
          <t>Tuesday</t>
        </is>
      </c>
      <c r="H1683" t="inlineStr">
        <is>
          <t>Monthly - Tuesday</t>
        </is>
      </c>
      <c r="I1683" t="inlineStr">
        <is>
          <t>Monthly - Tuesday</t>
        </is>
      </c>
      <c r="J1683" t="inlineStr">
        <is>
          <t>Month+5 Expiry</t>
        </is>
      </c>
      <c r="K1683" s="25" t="n">
        <v>14742</v>
      </c>
      <c r="L1683" s="26" t="n">
        <v>25.3123</v>
      </c>
      <c r="M1683" s="26" t="n">
        <v>0.4792</v>
      </c>
    </row>
    <row r="1684" ht="16" customHeight="1">
      <c r="A1684" t="inlineStr">
        <is>
          <t>14-Jan-2026</t>
        </is>
      </c>
      <c r="B1684" t="inlineStr">
        <is>
          <t>Wednesday</t>
        </is>
      </c>
      <c r="C1684" t="inlineStr">
        <is>
          <t>Week2-Jan-2026</t>
        </is>
      </c>
      <c r="D1684" s="78" t="n">
        <v>46023</v>
      </c>
      <c r="E1684" t="inlineStr">
        <is>
          <t>Q4FY26</t>
        </is>
      </c>
      <c r="F1684" t="inlineStr">
        <is>
          <t>29-Sep-2026</t>
        </is>
      </c>
      <c r="G1684" t="inlineStr">
        <is>
          <t>Tuesday</t>
        </is>
      </c>
      <c r="H1684" t="inlineStr">
        <is>
          <t>Monthly - Tuesday</t>
        </is>
      </c>
      <c r="I1684" t="inlineStr">
        <is>
          <t>Monthly - Tuesday</t>
        </is>
      </c>
      <c r="J1684" t="inlineStr">
        <is>
          <t>Month+8 Expiry</t>
        </is>
      </c>
      <c r="K1684" s="25" t="n">
        <v>793</v>
      </c>
      <c r="L1684" s="26" t="n">
        <v>1.3796</v>
      </c>
      <c r="M1684" s="26" t="n">
        <v>0.0321</v>
      </c>
    </row>
    <row r="1685" ht="16" customHeight="1">
      <c r="A1685" t="inlineStr">
        <is>
          <t>14-Jan-2026</t>
        </is>
      </c>
      <c r="B1685" t="inlineStr">
        <is>
          <t>Wednesday</t>
        </is>
      </c>
      <c r="C1685" t="inlineStr">
        <is>
          <t>Week2-Jan-2026</t>
        </is>
      </c>
      <c r="D1685" s="78" t="n">
        <v>46023</v>
      </c>
      <c r="E1685" t="inlineStr">
        <is>
          <t>Q4FY26</t>
        </is>
      </c>
      <c r="F1685" t="inlineStr">
        <is>
          <t>29-Dec-2026</t>
        </is>
      </c>
      <c r="G1685" t="inlineStr">
        <is>
          <t>Tuesday</t>
        </is>
      </c>
      <c r="H1685" t="inlineStr">
        <is>
          <t>Monthly - Tuesday</t>
        </is>
      </c>
      <c r="I1685" t="inlineStr">
        <is>
          <t>Monthly - Tuesday</t>
        </is>
      </c>
      <c r="J1685" t="inlineStr">
        <is>
          <t>Month+11 Expiry</t>
        </is>
      </c>
      <c r="K1685" s="25" t="n">
        <v>6629</v>
      </c>
      <c r="L1685" s="26" t="n">
        <v>11.9182</v>
      </c>
      <c r="M1685" s="26" t="n">
        <v>0.3491</v>
      </c>
    </row>
    <row r="1686" ht="16" customHeight="1">
      <c r="A1686" t="inlineStr">
        <is>
          <t>14-Jan-2026</t>
        </is>
      </c>
      <c r="B1686" t="inlineStr">
        <is>
          <t>Wednesday</t>
        </is>
      </c>
      <c r="C1686" t="inlineStr">
        <is>
          <t>Week2-Jan-2026</t>
        </is>
      </c>
      <c r="D1686" s="78" t="n">
        <v>46023</v>
      </c>
      <c r="E1686" t="inlineStr">
        <is>
          <t>Q4FY26</t>
        </is>
      </c>
      <c r="F1686" t="inlineStr">
        <is>
          <t>29-Jun-2027</t>
        </is>
      </c>
      <c r="G1686" t="inlineStr">
        <is>
          <t>Tuesday</t>
        </is>
      </c>
      <c r="H1686" t="inlineStr">
        <is>
          <t>Monthly - Tuesday</t>
        </is>
      </c>
      <c r="I1686" t="inlineStr">
        <is>
          <t>Monthly - Tuesday</t>
        </is>
      </c>
      <c r="J1686" t="inlineStr">
        <is>
          <t>Month+17 Expiry</t>
        </is>
      </c>
      <c r="K1686" s="25" t="n">
        <v>0</v>
      </c>
      <c r="L1686" s="26" t="n">
        <v>0</v>
      </c>
      <c r="M1686" s="26" t="n">
        <v>0</v>
      </c>
    </row>
    <row r="1687" ht="16" customHeight="1">
      <c r="A1687" t="inlineStr">
        <is>
          <t>14-Jan-2026</t>
        </is>
      </c>
      <c r="B1687" t="inlineStr">
        <is>
          <t>Wednesday</t>
        </is>
      </c>
      <c r="C1687" t="inlineStr">
        <is>
          <t>Week2-Jan-2026</t>
        </is>
      </c>
      <c r="D1687" s="78" t="n">
        <v>46023</v>
      </c>
      <c r="E1687" t="inlineStr">
        <is>
          <t>Q4FY26</t>
        </is>
      </c>
      <c r="F1687" t="inlineStr">
        <is>
          <t>28-Dec-2027</t>
        </is>
      </c>
      <c r="G1687" t="inlineStr">
        <is>
          <t>Tuesday</t>
        </is>
      </c>
      <c r="H1687" t="inlineStr">
        <is>
          <t>Monthly - Tuesday</t>
        </is>
      </c>
      <c r="I1687" t="inlineStr">
        <is>
          <t>Monthly - Tuesday</t>
        </is>
      </c>
      <c r="J1687" t="inlineStr">
        <is>
          <t>Month+23 Expiry</t>
        </is>
      </c>
      <c r="K1687" s="25" t="n">
        <v>36</v>
      </c>
      <c r="L1687" s="26" t="n">
        <v>0.0597</v>
      </c>
      <c r="M1687" s="26" t="n">
        <v>0.0017</v>
      </c>
    </row>
    <row r="1688" ht="16" customHeight="1">
      <c r="A1688" t="inlineStr">
        <is>
          <t>14-Jan-2026</t>
        </is>
      </c>
      <c r="B1688" t="inlineStr">
        <is>
          <t>Wednesday</t>
        </is>
      </c>
      <c r="C1688" t="inlineStr">
        <is>
          <t>Week2-Jan-2026</t>
        </is>
      </c>
      <c r="D1688" s="78" t="n">
        <v>46023</v>
      </c>
      <c r="E1688" t="inlineStr">
        <is>
          <t>Q4FY26</t>
        </is>
      </c>
      <c r="F1688" t="inlineStr">
        <is>
          <t>27-Jun-2028</t>
        </is>
      </c>
      <c r="G1688" t="inlineStr">
        <is>
          <t>Tuesday</t>
        </is>
      </c>
      <c r="H1688" t="inlineStr">
        <is>
          <t>Monthly - Tuesday</t>
        </is>
      </c>
      <c r="I1688" t="inlineStr">
        <is>
          <t>Monthly - Tuesday</t>
        </is>
      </c>
      <c r="J1688" t="inlineStr">
        <is>
          <t>Month+29 Expiry</t>
        </is>
      </c>
      <c r="K1688" s="25" t="n">
        <v>0</v>
      </c>
      <c r="L1688" s="26" t="n">
        <v>0</v>
      </c>
      <c r="M1688" s="26" t="n">
        <v>0</v>
      </c>
    </row>
    <row r="1689" ht="16" customHeight="1">
      <c r="A1689" t="inlineStr">
        <is>
          <t>14-Jan-2026</t>
        </is>
      </c>
      <c r="B1689" t="inlineStr">
        <is>
          <t>Wednesday</t>
        </is>
      </c>
      <c r="C1689" t="inlineStr">
        <is>
          <t>Week2-Jan-2026</t>
        </is>
      </c>
      <c r="D1689" s="78" t="n">
        <v>46023</v>
      </c>
      <c r="E1689" t="inlineStr">
        <is>
          <t>Q4FY26</t>
        </is>
      </c>
      <c r="F1689" t="inlineStr">
        <is>
          <t>26-Dec-2028</t>
        </is>
      </c>
      <c r="G1689" t="inlineStr">
        <is>
          <t>Tuesday</t>
        </is>
      </c>
      <c r="H1689" t="inlineStr">
        <is>
          <t>Monthly - Tuesday</t>
        </is>
      </c>
      <c r="I1689" t="inlineStr">
        <is>
          <t>Monthly - Tuesday</t>
        </is>
      </c>
      <c r="J1689" t="inlineStr">
        <is>
          <t>Month+35 Expiry</t>
        </is>
      </c>
      <c r="K1689" s="25" t="n">
        <v>0</v>
      </c>
      <c r="L1689" s="26" t="n">
        <v>0</v>
      </c>
      <c r="M1689" s="26" t="n">
        <v>0</v>
      </c>
    </row>
    <row r="1690" ht="16" customHeight="1">
      <c r="A1690" t="inlineStr">
        <is>
          <t>14-Jan-2026</t>
        </is>
      </c>
      <c r="B1690" t="inlineStr">
        <is>
          <t>Wednesday</t>
        </is>
      </c>
      <c r="C1690" t="inlineStr">
        <is>
          <t>Week2-Jan-2026</t>
        </is>
      </c>
      <c r="D1690" s="78" t="n">
        <v>46023</v>
      </c>
      <c r="E1690" t="inlineStr">
        <is>
          <t>Q4FY26</t>
        </is>
      </c>
      <c r="F1690" t="inlineStr">
        <is>
          <t>26-Jun-2029</t>
        </is>
      </c>
      <c r="G1690" t="inlineStr">
        <is>
          <t>Tuesday</t>
        </is>
      </c>
      <c r="H1690" t="inlineStr">
        <is>
          <t>Monthly - Tuesday</t>
        </is>
      </c>
      <c r="I1690" t="inlineStr">
        <is>
          <t>Monthly - Tuesday</t>
        </is>
      </c>
      <c r="J1690" t="inlineStr">
        <is>
          <t>Month+41 Expiry</t>
        </is>
      </c>
      <c r="K1690" s="25" t="n">
        <v>0</v>
      </c>
      <c r="L1690" s="26" t="n">
        <v>0</v>
      </c>
      <c r="M1690" s="26" t="n">
        <v>0</v>
      </c>
    </row>
    <row r="1691" ht="16" customHeight="1">
      <c r="A1691" t="inlineStr">
        <is>
          <t>14-Jan-2026</t>
        </is>
      </c>
      <c r="B1691" t="inlineStr">
        <is>
          <t>Wednesday</t>
        </is>
      </c>
      <c r="C1691" t="inlineStr">
        <is>
          <t>Week2-Jan-2026</t>
        </is>
      </c>
      <c r="D1691" s="78" t="n">
        <v>46023</v>
      </c>
      <c r="E1691" t="inlineStr">
        <is>
          <t>Q4FY26</t>
        </is>
      </c>
      <c r="F1691" t="inlineStr">
        <is>
          <t>24-Dec-2029</t>
        </is>
      </c>
      <c r="G1691" t="inlineStr">
        <is>
          <t>Monday</t>
        </is>
      </c>
      <c r="H1691" t="inlineStr">
        <is>
          <t>Weekly - Monday</t>
        </is>
      </c>
      <c r="I1691" t="inlineStr">
        <is>
          <t>Weekly - Monday</t>
        </is>
      </c>
      <c r="J1691" t="inlineStr">
        <is>
          <t>Month+47 Expiry</t>
        </is>
      </c>
      <c r="K1691" s="25" t="n">
        <v>0</v>
      </c>
      <c r="L1691" s="26" t="n">
        <v>0</v>
      </c>
      <c r="M1691" s="26" t="n">
        <v>0</v>
      </c>
    </row>
    <row r="1692" ht="16" customHeight="1">
      <c r="A1692" t="inlineStr">
        <is>
          <t>14-Jan-2026</t>
        </is>
      </c>
      <c r="B1692" t="inlineStr">
        <is>
          <t>Wednesday</t>
        </is>
      </c>
      <c r="C1692" t="inlineStr">
        <is>
          <t>Week2-Jan-2026</t>
        </is>
      </c>
      <c r="D1692" s="78" t="n">
        <v>46023</v>
      </c>
      <c r="E1692" t="inlineStr">
        <is>
          <t>Q4FY26</t>
        </is>
      </c>
      <c r="F1692" t="inlineStr">
        <is>
          <t>25-Jun-2030</t>
        </is>
      </c>
      <c r="G1692" t="inlineStr">
        <is>
          <t>Tuesday</t>
        </is>
      </c>
      <c r="H1692" t="inlineStr">
        <is>
          <t>Monthly - Tuesday</t>
        </is>
      </c>
      <c r="I1692" t="inlineStr">
        <is>
          <t>Monthly - Tuesday</t>
        </is>
      </c>
      <c r="J1692" t="inlineStr">
        <is>
          <t>Month+53 Expiry</t>
        </is>
      </c>
      <c r="K1692" s="25" t="n">
        <v>0</v>
      </c>
      <c r="L1692" s="26" t="n">
        <v>0</v>
      </c>
      <c r="M1692" s="26" t="n">
        <v>0</v>
      </c>
    </row>
    <row r="1693" ht="16" customHeight="1">
      <c r="A1693" t="inlineStr">
        <is>
          <t>14-Jan-2026</t>
        </is>
      </c>
      <c r="B1693" t="inlineStr">
        <is>
          <t>Wednesday</t>
        </is>
      </c>
      <c r="C1693" t="inlineStr">
        <is>
          <t>Week2-Jan-2026</t>
        </is>
      </c>
      <c r="D1693" s="78" t="n">
        <v>46023</v>
      </c>
      <c r="E1693" t="inlineStr">
        <is>
          <t>Q4FY26</t>
        </is>
      </c>
      <c r="F1693" t="inlineStr">
        <is>
          <t>31-Dec-2030</t>
        </is>
      </c>
      <c r="G1693" t="inlineStr">
        <is>
          <t>Tuesday</t>
        </is>
      </c>
      <c r="H1693" t="inlineStr">
        <is>
          <t>Monthly - Tuesday</t>
        </is>
      </c>
      <c r="I1693" t="inlineStr">
        <is>
          <t>Monthly - Tuesday</t>
        </is>
      </c>
      <c r="J1693" t="inlineStr">
        <is>
          <t>Month+59 Expiry</t>
        </is>
      </c>
      <c r="K1693" s="25" t="n">
        <v>0</v>
      </c>
      <c r="L1693" s="26" t="n">
        <v>0</v>
      </c>
      <c r="M1693" s="26" t="n">
        <v>0</v>
      </c>
    </row>
    <row r="1694" ht="16" customHeight="1">
      <c r="A1694" t="inlineStr">
        <is>
          <t>16-Jan-2026</t>
        </is>
      </c>
      <c r="B1694" t="inlineStr">
        <is>
          <t>Friday</t>
        </is>
      </c>
      <c r="C1694" t="inlineStr">
        <is>
          <t>Week3-Jan-2026</t>
        </is>
      </c>
      <c r="D1694" s="78" t="n">
        <v>46023</v>
      </c>
      <c r="E1694" t="inlineStr">
        <is>
          <t>Q4FY26</t>
        </is>
      </c>
      <c r="F1694" t="inlineStr">
        <is>
          <t>20-Jan-2026</t>
        </is>
      </c>
      <c r="G1694" t="inlineStr">
        <is>
          <t>Tuesday</t>
        </is>
      </c>
      <c r="H1694" t="inlineStr">
        <is>
          <t>Weekly - Tuesday</t>
        </is>
      </c>
      <c r="I1694" t="inlineStr">
        <is>
          <t>Weekly - Tuesday</t>
        </is>
      </c>
      <c r="J1694" t="inlineStr">
        <is>
          <t>Same Month Expiry</t>
        </is>
      </c>
      <c r="K1694" s="25" t="n">
        <v>143997483</v>
      </c>
      <c r="L1694" s="26" t="n">
        <v>241777.8145</v>
      </c>
      <c r="M1694" s="26" t="n">
        <v>563.8244999999999</v>
      </c>
    </row>
    <row r="1695" ht="16" customHeight="1">
      <c r="A1695" t="inlineStr">
        <is>
          <t>16-Jan-2026</t>
        </is>
      </c>
      <c r="B1695" t="inlineStr">
        <is>
          <t>Friday</t>
        </is>
      </c>
      <c r="C1695" t="inlineStr">
        <is>
          <t>Week3-Jan-2026</t>
        </is>
      </c>
      <c r="D1695" s="78" t="n">
        <v>46023</v>
      </c>
      <c r="E1695" t="inlineStr">
        <is>
          <t>Q4FY26</t>
        </is>
      </c>
      <c r="F1695" t="inlineStr">
        <is>
          <t>27-Jan-2026</t>
        </is>
      </c>
      <c r="G1695" t="inlineStr">
        <is>
          <t>Tuesday</t>
        </is>
      </c>
      <c r="H1695" t="inlineStr">
        <is>
          <t>Monthly - Tuesday</t>
        </is>
      </c>
      <c r="I1695" t="inlineStr">
        <is>
          <t>Monthly - Tuesday</t>
        </is>
      </c>
      <c r="J1695" t="inlineStr">
        <is>
          <t>Same Month Expiry</t>
        </is>
      </c>
      <c r="K1695" s="25" t="n">
        <v>6185453</v>
      </c>
      <c r="L1695" s="26" t="n">
        <v>10446.9827</v>
      </c>
      <c r="M1695" s="26" t="n">
        <v>37.8042</v>
      </c>
    </row>
    <row r="1696" ht="16" customHeight="1">
      <c r="A1696" t="inlineStr">
        <is>
          <t>16-Jan-2026</t>
        </is>
      </c>
      <c r="B1696" t="inlineStr">
        <is>
          <t>Friday</t>
        </is>
      </c>
      <c r="C1696" t="inlineStr">
        <is>
          <t>Week3-Jan-2026</t>
        </is>
      </c>
      <c r="D1696" s="78" t="n">
        <v>46023</v>
      </c>
      <c r="E1696" t="inlineStr">
        <is>
          <t>Q4FY26</t>
        </is>
      </c>
      <c r="F1696" t="inlineStr">
        <is>
          <t>03-Feb-2026</t>
        </is>
      </c>
      <c r="G1696" t="inlineStr">
        <is>
          <t>Tuesday</t>
        </is>
      </c>
      <c r="H1696" t="inlineStr">
        <is>
          <t>Weekly - Tuesday</t>
        </is>
      </c>
      <c r="I1696" t="inlineStr">
        <is>
          <t>Weekly - Tuesday</t>
        </is>
      </c>
      <c r="J1696" t="inlineStr">
        <is>
          <t>Month+1 Expiry</t>
        </is>
      </c>
      <c r="K1696" s="25" t="n">
        <v>253810</v>
      </c>
      <c r="L1696" s="26" t="n">
        <v>429.9285</v>
      </c>
      <c r="M1696" s="26" t="n">
        <v>2.3794</v>
      </c>
    </row>
    <row r="1697" ht="16" customHeight="1">
      <c r="A1697" t="inlineStr">
        <is>
          <t>16-Jan-2026</t>
        </is>
      </c>
      <c r="B1697" t="inlineStr">
        <is>
          <t>Friday</t>
        </is>
      </c>
      <c r="C1697" t="inlineStr">
        <is>
          <t>Week3-Jan-2026</t>
        </is>
      </c>
      <c r="D1697" s="78" t="n">
        <v>46023</v>
      </c>
      <c r="E1697" t="inlineStr">
        <is>
          <t>Q4FY26</t>
        </is>
      </c>
      <c r="F1697" t="inlineStr">
        <is>
          <t>10-Feb-2026</t>
        </is>
      </c>
      <c r="G1697" t="inlineStr">
        <is>
          <t>Tuesday</t>
        </is>
      </c>
      <c r="H1697" t="inlineStr">
        <is>
          <t>Weekly - Tuesday</t>
        </is>
      </c>
      <c r="I1697" t="inlineStr">
        <is>
          <t>Weekly - Tuesday</t>
        </is>
      </c>
      <c r="J1697" t="inlineStr">
        <is>
          <t>Month+1 Expiry</t>
        </is>
      </c>
      <c r="K1697" s="25" t="n">
        <v>26226</v>
      </c>
      <c r="L1697" s="26" t="n">
        <v>44.5765</v>
      </c>
      <c r="M1697" s="26" t="n">
        <v>0.3285</v>
      </c>
    </row>
    <row r="1698" ht="16" customHeight="1">
      <c r="A1698" t="inlineStr">
        <is>
          <t>16-Jan-2026</t>
        </is>
      </c>
      <c r="B1698" t="inlineStr">
        <is>
          <t>Friday</t>
        </is>
      </c>
      <c r="C1698" t="inlineStr">
        <is>
          <t>Week3-Jan-2026</t>
        </is>
      </c>
      <c r="D1698" s="78" t="n">
        <v>46023</v>
      </c>
      <c r="E1698" t="inlineStr">
        <is>
          <t>Q4FY26</t>
        </is>
      </c>
      <c r="F1698" t="inlineStr">
        <is>
          <t>17-Feb-2026</t>
        </is>
      </c>
      <c r="G1698" t="inlineStr">
        <is>
          <t>Tuesday</t>
        </is>
      </c>
      <c r="H1698" t="inlineStr">
        <is>
          <t>Weekly - Tuesday</t>
        </is>
      </c>
      <c r="I1698" t="inlineStr">
        <is>
          <t>Weekly - Tuesday</t>
        </is>
      </c>
      <c r="J1698" t="inlineStr">
        <is>
          <t>Month+1 Expiry</t>
        </is>
      </c>
      <c r="K1698" s="25" t="n">
        <v>1123</v>
      </c>
      <c r="L1698" s="26" t="n">
        <v>1.9143</v>
      </c>
      <c r="M1698" s="26" t="n">
        <v>0.0123</v>
      </c>
    </row>
    <row r="1699" ht="16" customHeight="1">
      <c r="A1699" t="inlineStr">
        <is>
          <t>16-Jan-2026</t>
        </is>
      </c>
      <c r="B1699" t="inlineStr">
        <is>
          <t>Friday</t>
        </is>
      </c>
      <c r="C1699" t="inlineStr">
        <is>
          <t>Week3-Jan-2026</t>
        </is>
      </c>
      <c r="D1699" s="78" t="n">
        <v>46023</v>
      </c>
      <c r="E1699" t="inlineStr">
        <is>
          <t>Q4FY26</t>
        </is>
      </c>
      <c r="F1699" t="inlineStr">
        <is>
          <t>24-Feb-2026</t>
        </is>
      </c>
      <c r="G1699" t="inlineStr">
        <is>
          <t>Tuesday</t>
        </is>
      </c>
      <c r="H1699" t="inlineStr">
        <is>
          <t>Monthly - Tuesday</t>
        </is>
      </c>
      <c r="I1699" t="inlineStr">
        <is>
          <t>Monthly - Tuesday</t>
        </is>
      </c>
      <c r="J1699" t="inlineStr">
        <is>
          <t>Month+1 Expiry</t>
        </is>
      </c>
      <c r="K1699" s="25" t="n">
        <v>372289</v>
      </c>
      <c r="L1699" s="26" t="n">
        <v>634.1573</v>
      </c>
      <c r="M1699" s="26" t="n">
        <v>4.8087</v>
      </c>
    </row>
    <row r="1700" ht="16" customHeight="1">
      <c r="A1700" t="inlineStr">
        <is>
          <t>16-Jan-2026</t>
        </is>
      </c>
      <c r="B1700" t="inlineStr">
        <is>
          <t>Friday</t>
        </is>
      </c>
      <c r="C1700" t="inlineStr">
        <is>
          <t>Week3-Jan-2026</t>
        </is>
      </c>
      <c r="D1700" s="78" t="n">
        <v>46023</v>
      </c>
      <c r="E1700" t="inlineStr">
        <is>
          <t>Q4FY26</t>
        </is>
      </c>
      <c r="F1700" t="inlineStr">
        <is>
          <t>30-Mar-2026</t>
        </is>
      </c>
      <c r="G1700" t="inlineStr">
        <is>
          <t>Monday</t>
        </is>
      </c>
      <c r="H1700" t="inlineStr">
        <is>
          <t>Monthly - Monday</t>
        </is>
      </c>
      <c r="I1700" t="inlineStr">
        <is>
          <t>Monthly - Monday</t>
        </is>
      </c>
      <c r="J1700" t="inlineStr">
        <is>
          <t>Month+2 Expiry</t>
        </is>
      </c>
      <c r="K1700" s="25" t="n">
        <v>87252</v>
      </c>
      <c r="L1700" s="26" t="n">
        <v>148.4152</v>
      </c>
      <c r="M1700" s="26" t="n">
        <v>1.7082</v>
      </c>
    </row>
    <row r="1701" ht="16" customHeight="1">
      <c r="A1701" t="inlineStr">
        <is>
          <t>16-Jan-2026</t>
        </is>
      </c>
      <c r="B1701" t="inlineStr">
        <is>
          <t>Friday</t>
        </is>
      </c>
      <c r="C1701" t="inlineStr">
        <is>
          <t>Week3-Jan-2026</t>
        </is>
      </c>
      <c r="D1701" s="78" t="n">
        <v>46023</v>
      </c>
      <c r="E1701" t="inlineStr">
        <is>
          <t>Q4FY26</t>
        </is>
      </c>
      <c r="F1701" t="inlineStr">
        <is>
          <t>30-Jun-2026</t>
        </is>
      </c>
      <c r="G1701" t="inlineStr">
        <is>
          <t>Tuesday</t>
        </is>
      </c>
      <c r="H1701" t="inlineStr">
        <is>
          <t>Monthly - Tuesday</t>
        </is>
      </c>
      <c r="I1701" t="inlineStr">
        <is>
          <t>Monthly - Tuesday</t>
        </is>
      </c>
      <c r="J1701" t="inlineStr">
        <is>
          <t>Month+5 Expiry</t>
        </is>
      </c>
      <c r="K1701" s="25" t="n">
        <v>16727</v>
      </c>
      <c r="L1701" s="26" t="n">
        <v>27.8802</v>
      </c>
      <c r="M1701" s="26" t="n">
        <v>0.3908</v>
      </c>
    </row>
    <row r="1702" ht="16" customHeight="1">
      <c r="A1702" t="inlineStr">
        <is>
          <t>16-Jan-2026</t>
        </is>
      </c>
      <c r="B1702" t="inlineStr">
        <is>
          <t>Friday</t>
        </is>
      </c>
      <c r="C1702" t="inlineStr">
        <is>
          <t>Week3-Jan-2026</t>
        </is>
      </c>
      <c r="D1702" s="78" t="n">
        <v>46023</v>
      </c>
      <c r="E1702" t="inlineStr">
        <is>
          <t>Q4FY26</t>
        </is>
      </c>
      <c r="F1702" t="inlineStr">
        <is>
          <t>29-Sep-2026</t>
        </is>
      </c>
      <c r="G1702" t="inlineStr">
        <is>
          <t>Tuesday</t>
        </is>
      </c>
      <c r="H1702" t="inlineStr">
        <is>
          <t>Monthly - Tuesday</t>
        </is>
      </c>
      <c r="I1702" t="inlineStr">
        <is>
          <t>Monthly - Tuesday</t>
        </is>
      </c>
      <c r="J1702" t="inlineStr">
        <is>
          <t>Month+8 Expiry</t>
        </is>
      </c>
      <c r="K1702" s="25" t="n">
        <v>873</v>
      </c>
      <c r="L1702" s="26" t="n">
        <v>1.4962</v>
      </c>
      <c r="M1702" s="26" t="n">
        <v>0.0283</v>
      </c>
    </row>
    <row r="1703" ht="16" customHeight="1">
      <c r="A1703" t="inlineStr">
        <is>
          <t>16-Jan-2026</t>
        </is>
      </c>
      <c r="B1703" t="inlineStr">
        <is>
          <t>Friday</t>
        </is>
      </c>
      <c r="C1703" t="inlineStr">
        <is>
          <t>Week3-Jan-2026</t>
        </is>
      </c>
      <c r="D1703" s="78" t="n">
        <v>46023</v>
      </c>
      <c r="E1703" t="inlineStr">
        <is>
          <t>Q4FY26</t>
        </is>
      </c>
      <c r="F1703" t="inlineStr">
        <is>
          <t>29-Dec-2026</t>
        </is>
      </c>
      <c r="G1703" t="inlineStr">
        <is>
          <t>Tuesday</t>
        </is>
      </c>
      <c r="H1703" t="inlineStr">
        <is>
          <t>Monthly - Tuesday</t>
        </is>
      </c>
      <c r="I1703" t="inlineStr">
        <is>
          <t>Monthly - Tuesday</t>
        </is>
      </c>
      <c r="J1703" t="inlineStr">
        <is>
          <t>Month+11 Expiry</t>
        </is>
      </c>
      <c r="K1703" s="25" t="n">
        <v>6560</v>
      </c>
      <c r="L1703" s="26" t="n">
        <v>11.8462</v>
      </c>
      <c r="M1703" s="26" t="n">
        <v>0.3659</v>
      </c>
    </row>
    <row r="1704" ht="16" customHeight="1">
      <c r="A1704" t="inlineStr">
        <is>
          <t>16-Jan-2026</t>
        </is>
      </c>
      <c r="B1704" t="inlineStr">
        <is>
          <t>Friday</t>
        </is>
      </c>
      <c r="C1704" t="inlineStr">
        <is>
          <t>Week3-Jan-2026</t>
        </is>
      </c>
      <c r="D1704" s="78" t="n">
        <v>46023</v>
      </c>
      <c r="E1704" t="inlineStr">
        <is>
          <t>Q4FY26</t>
        </is>
      </c>
      <c r="F1704" t="inlineStr">
        <is>
          <t>29-Jun-2027</t>
        </is>
      </c>
      <c r="G1704" t="inlineStr">
        <is>
          <t>Tuesday</t>
        </is>
      </c>
      <c r="H1704" t="inlineStr">
        <is>
          <t>Monthly - Tuesday</t>
        </is>
      </c>
      <c r="I1704" t="inlineStr">
        <is>
          <t>Monthly - Tuesday</t>
        </is>
      </c>
      <c r="J1704" t="inlineStr">
        <is>
          <t>Month+17 Expiry</t>
        </is>
      </c>
      <c r="K1704" s="25" t="n">
        <v>0</v>
      </c>
      <c r="L1704" s="26" t="n">
        <v>0</v>
      </c>
      <c r="M1704" s="26" t="n">
        <v>0</v>
      </c>
    </row>
    <row r="1705" ht="16" customHeight="1">
      <c r="A1705" t="inlineStr">
        <is>
          <t>16-Jan-2026</t>
        </is>
      </c>
      <c r="B1705" t="inlineStr">
        <is>
          <t>Friday</t>
        </is>
      </c>
      <c r="C1705" t="inlineStr">
        <is>
          <t>Week3-Jan-2026</t>
        </is>
      </c>
      <c r="D1705" s="78" t="n">
        <v>46023</v>
      </c>
      <c r="E1705" t="inlineStr">
        <is>
          <t>Q4FY26</t>
        </is>
      </c>
      <c r="F1705" t="inlineStr">
        <is>
          <t>28-Dec-2027</t>
        </is>
      </c>
      <c r="G1705" t="inlineStr">
        <is>
          <t>Tuesday</t>
        </is>
      </c>
      <c r="H1705" t="inlineStr">
        <is>
          <t>Monthly - Tuesday</t>
        </is>
      </c>
      <c r="I1705" t="inlineStr">
        <is>
          <t>Monthly - Tuesday</t>
        </is>
      </c>
      <c r="J1705" t="inlineStr">
        <is>
          <t>Month+23 Expiry</t>
        </is>
      </c>
      <c r="K1705" s="25" t="n">
        <v>102</v>
      </c>
      <c r="L1705" s="26" t="n">
        <v>0.1808</v>
      </c>
      <c r="M1705" s="26" t="n">
        <v>0.007</v>
      </c>
    </row>
    <row r="1706" ht="16" customHeight="1">
      <c r="A1706" t="inlineStr">
        <is>
          <t>16-Jan-2026</t>
        </is>
      </c>
      <c r="B1706" t="inlineStr">
        <is>
          <t>Friday</t>
        </is>
      </c>
      <c r="C1706" t="inlineStr">
        <is>
          <t>Week3-Jan-2026</t>
        </is>
      </c>
      <c r="D1706" s="78" t="n">
        <v>46023</v>
      </c>
      <c r="E1706" t="inlineStr">
        <is>
          <t>Q4FY26</t>
        </is>
      </c>
      <c r="F1706" t="inlineStr">
        <is>
          <t>27-Jun-2028</t>
        </is>
      </c>
      <c r="G1706" t="inlineStr">
        <is>
          <t>Tuesday</t>
        </is>
      </c>
      <c r="H1706" t="inlineStr">
        <is>
          <t>Monthly - Tuesday</t>
        </is>
      </c>
      <c r="I1706" t="inlineStr">
        <is>
          <t>Monthly - Tuesday</t>
        </is>
      </c>
      <c r="J1706" t="inlineStr">
        <is>
          <t>Month+29 Expiry</t>
        </is>
      </c>
      <c r="K1706" s="25" t="n">
        <v>0</v>
      </c>
      <c r="L1706" s="26" t="n">
        <v>0</v>
      </c>
      <c r="M1706" s="26" t="n">
        <v>0</v>
      </c>
    </row>
    <row r="1707" ht="16" customHeight="1">
      <c r="A1707" t="inlineStr">
        <is>
          <t>16-Jan-2026</t>
        </is>
      </c>
      <c r="B1707" t="inlineStr">
        <is>
          <t>Friday</t>
        </is>
      </c>
      <c r="C1707" t="inlineStr">
        <is>
          <t>Week3-Jan-2026</t>
        </is>
      </c>
      <c r="D1707" s="78" t="n">
        <v>46023</v>
      </c>
      <c r="E1707" t="inlineStr">
        <is>
          <t>Q4FY26</t>
        </is>
      </c>
      <c r="F1707" t="inlineStr">
        <is>
          <t>26-Dec-2028</t>
        </is>
      </c>
      <c r="G1707" t="inlineStr">
        <is>
          <t>Tuesday</t>
        </is>
      </c>
      <c r="H1707" t="inlineStr">
        <is>
          <t>Monthly - Tuesday</t>
        </is>
      </c>
      <c r="I1707" t="inlineStr">
        <is>
          <t>Monthly - Tuesday</t>
        </is>
      </c>
      <c r="J1707" t="inlineStr">
        <is>
          <t>Month+35 Expiry</t>
        </is>
      </c>
      <c r="K1707" s="25" t="n">
        <v>10</v>
      </c>
      <c r="L1707" s="26" t="n">
        <v>0.0176</v>
      </c>
      <c r="M1707" s="26" t="n">
        <v>0.0005999999999999999</v>
      </c>
    </row>
    <row r="1708" ht="16" customHeight="1">
      <c r="A1708" t="inlineStr">
        <is>
          <t>16-Jan-2026</t>
        </is>
      </c>
      <c r="B1708" t="inlineStr">
        <is>
          <t>Friday</t>
        </is>
      </c>
      <c r="C1708" t="inlineStr">
        <is>
          <t>Week3-Jan-2026</t>
        </is>
      </c>
      <c r="D1708" s="78" t="n">
        <v>46023</v>
      </c>
      <c r="E1708" t="inlineStr">
        <is>
          <t>Q4FY26</t>
        </is>
      </c>
      <c r="F1708" t="inlineStr">
        <is>
          <t>26-Jun-2029</t>
        </is>
      </c>
      <c r="G1708" t="inlineStr">
        <is>
          <t>Tuesday</t>
        </is>
      </c>
      <c r="H1708" t="inlineStr">
        <is>
          <t>Monthly - Tuesday</t>
        </is>
      </c>
      <c r="I1708" t="inlineStr">
        <is>
          <t>Monthly - Tuesday</t>
        </is>
      </c>
      <c r="J1708" t="inlineStr">
        <is>
          <t>Month+41 Expiry</t>
        </is>
      </c>
      <c r="K1708" s="25" t="n">
        <v>0</v>
      </c>
      <c r="L1708" s="26" t="n">
        <v>0</v>
      </c>
      <c r="M1708" s="26" t="n">
        <v>0</v>
      </c>
    </row>
    <row r="1709" ht="16" customHeight="1">
      <c r="A1709" t="inlineStr">
        <is>
          <t>16-Jan-2026</t>
        </is>
      </c>
      <c r="B1709" t="inlineStr">
        <is>
          <t>Friday</t>
        </is>
      </c>
      <c r="C1709" t="inlineStr">
        <is>
          <t>Week3-Jan-2026</t>
        </is>
      </c>
      <c r="D1709" s="78" t="n">
        <v>46023</v>
      </c>
      <c r="E1709" t="inlineStr">
        <is>
          <t>Q4FY26</t>
        </is>
      </c>
      <c r="F1709" t="inlineStr">
        <is>
          <t>24-Dec-2029</t>
        </is>
      </c>
      <c r="G1709" t="inlineStr">
        <is>
          <t>Monday</t>
        </is>
      </c>
      <c r="H1709" t="inlineStr">
        <is>
          <t>Weekly - Monday</t>
        </is>
      </c>
      <c r="I1709" t="inlineStr">
        <is>
          <t>Weekly - Monday</t>
        </is>
      </c>
      <c r="J1709" t="inlineStr">
        <is>
          <t>Month+47 Expiry</t>
        </is>
      </c>
      <c r="K1709" s="25" t="n">
        <v>0</v>
      </c>
      <c r="L1709" s="26" t="n">
        <v>0</v>
      </c>
      <c r="M1709" s="26" t="n">
        <v>0</v>
      </c>
    </row>
    <row r="1710" ht="16" customHeight="1">
      <c r="A1710" t="inlineStr">
        <is>
          <t>16-Jan-2026</t>
        </is>
      </c>
      <c r="B1710" t="inlineStr">
        <is>
          <t>Friday</t>
        </is>
      </c>
      <c r="C1710" t="inlineStr">
        <is>
          <t>Week3-Jan-2026</t>
        </is>
      </c>
      <c r="D1710" s="78" t="n">
        <v>46023</v>
      </c>
      <c r="E1710" t="inlineStr">
        <is>
          <t>Q4FY26</t>
        </is>
      </c>
      <c r="F1710" t="inlineStr">
        <is>
          <t>25-Jun-2030</t>
        </is>
      </c>
      <c r="G1710" t="inlineStr">
        <is>
          <t>Tuesday</t>
        </is>
      </c>
      <c r="H1710" t="inlineStr">
        <is>
          <t>Monthly - Tuesday</t>
        </is>
      </c>
      <c r="I1710" t="inlineStr">
        <is>
          <t>Monthly - Tuesday</t>
        </is>
      </c>
      <c r="J1710" t="inlineStr">
        <is>
          <t>Month+53 Expiry</t>
        </is>
      </c>
      <c r="K1710" s="25" t="n">
        <v>0</v>
      </c>
      <c r="L1710" s="26" t="n">
        <v>0</v>
      </c>
      <c r="M1710" s="26" t="n">
        <v>0</v>
      </c>
    </row>
    <row r="1711" ht="16" customHeight="1">
      <c r="A1711" t="inlineStr">
        <is>
          <t>16-Jan-2026</t>
        </is>
      </c>
      <c r="B1711" t="inlineStr">
        <is>
          <t>Friday</t>
        </is>
      </c>
      <c r="C1711" t="inlineStr">
        <is>
          <t>Week3-Jan-2026</t>
        </is>
      </c>
      <c r="D1711" s="78" t="n">
        <v>46023</v>
      </c>
      <c r="E1711" t="inlineStr">
        <is>
          <t>Q4FY26</t>
        </is>
      </c>
      <c r="F1711" t="inlineStr">
        <is>
          <t>31-Dec-2030</t>
        </is>
      </c>
      <c r="G1711" t="inlineStr">
        <is>
          <t>Tuesday</t>
        </is>
      </c>
      <c r="H1711" t="inlineStr">
        <is>
          <t>Monthly - Tuesday</t>
        </is>
      </c>
      <c r="I1711" t="inlineStr">
        <is>
          <t>Monthly - Tuesday</t>
        </is>
      </c>
      <c r="J1711" t="inlineStr">
        <is>
          <t>Month+59 Expiry</t>
        </is>
      </c>
      <c r="K1711" s="25" t="n">
        <v>0</v>
      </c>
      <c r="L1711" s="26" t="n">
        <v>0</v>
      </c>
      <c r="M1711" s="26" t="n">
        <v>0</v>
      </c>
    </row>
    <row r="1712" ht="16" customHeight="1">
      <c r="A1712" t="inlineStr">
        <is>
          <t>19-Jan-2026</t>
        </is>
      </c>
      <c r="B1712" t="inlineStr">
        <is>
          <t>Monday</t>
        </is>
      </c>
      <c r="C1712" t="inlineStr">
        <is>
          <t>Week3-Jan-2026</t>
        </is>
      </c>
      <c r="D1712" s="78" t="n">
        <v>46023</v>
      </c>
      <c r="E1712" t="inlineStr">
        <is>
          <t>Q4FY26</t>
        </is>
      </c>
      <c r="F1712" t="inlineStr">
        <is>
          <t>20-Jan-2026</t>
        </is>
      </c>
      <c r="G1712" t="inlineStr">
        <is>
          <t>Tuesday</t>
        </is>
      </c>
      <c r="H1712" t="inlineStr">
        <is>
          <t>Weekly - Tuesday</t>
        </is>
      </c>
      <c r="I1712" t="inlineStr">
        <is>
          <t>Weekly - Tuesday</t>
        </is>
      </c>
      <c r="J1712" t="inlineStr">
        <is>
          <t>Same Month Expiry</t>
        </is>
      </c>
      <c r="K1712" s="25" t="n">
        <v>178470411</v>
      </c>
      <c r="L1712" s="26" t="n">
        <v>297576.7015</v>
      </c>
      <c r="M1712" s="26" t="n">
        <v>525.1235</v>
      </c>
    </row>
    <row r="1713" ht="16" customHeight="1">
      <c r="A1713" t="inlineStr">
        <is>
          <t>19-Jan-2026</t>
        </is>
      </c>
      <c r="B1713" t="inlineStr">
        <is>
          <t>Monday</t>
        </is>
      </c>
      <c r="C1713" t="inlineStr">
        <is>
          <t>Week3-Jan-2026</t>
        </is>
      </c>
      <c r="D1713" s="78" t="n">
        <v>46023</v>
      </c>
      <c r="E1713" t="inlineStr">
        <is>
          <t>Q4FY26</t>
        </is>
      </c>
      <c r="F1713" t="inlineStr">
        <is>
          <t>27-Jan-2026</t>
        </is>
      </c>
      <c r="G1713" t="inlineStr">
        <is>
          <t>Tuesday</t>
        </is>
      </c>
      <c r="H1713" t="inlineStr">
        <is>
          <t>Monthly - Tuesday</t>
        </is>
      </c>
      <c r="I1713" t="inlineStr">
        <is>
          <t>Monthly - Tuesday</t>
        </is>
      </c>
      <c r="J1713" t="inlineStr">
        <is>
          <t>Same Month Expiry</t>
        </is>
      </c>
      <c r="K1713" s="25" t="n">
        <v>8545308</v>
      </c>
      <c r="L1713" s="26" t="n">
        <v>14381.0335</v>
      </c>
      <c r="M1713" s="26" t="n">
        <v>45.9617</v>
      </c>
    </row>
    <row r="1714" ht="16" customHeight="1">
      <c r="A1714" t="inlineStr">
        <is>
          <t>19-Jan-2026</t>
        </is>
      </c>
      <c r="B1714" t="inlineStr">
        <is>
          <t>Monday</t>
        </is>
      </c>
      <c r="C1714" t="inlineStr">
        <is>
          <t>Week3-Jan-2026</t>
        </is>
      </c>
      <c r="D1714" s="78" t="n">
        <v>46023</v>
      </c>
      <c r="E1714" t="inlineStr">
        <is>
          <t>Q4FY26</t>
        </is>
      </c>
      <c r="F1714" t="inlineStr">
        <is>
          <t>03-Feb-2026</t>
        </is>
      </c>
      <c r="G1714" t="inlineStr">
        <is>
          <t>Tuesday</t>
        </is>
      </c>
      <c r="H1714" t="inlineStr">
        <is>
          <t>Weekly - Tuesday</t>
        </is>
      </c>
      <c r="I1714" t="inlineStr">
        <is>
          <t>Weekly - Tuesday</t>
        </is>
      </c>
      <c r="J1714" t="inlineStr">
        <is>
          <t>Month+1 Expiry</t>
        </is>
      </c>
      <c r="K1714" s="25" t="n">
        <v>373243</v>
      </c>
      <c r="L1714" s="26" t="n">
        <v>631.0598</v>
      </c>
      <c r="M1714" s="26" t="n">
        <v>3.2103</v>
      </c>
    </row>
    <row r="1715" ht="16" customHeight="1">
      <c r="A1715" t="inlineStr">
        <is>
          <t>19-Jan-2026</t>
        </is>
      </c>
      <c r="B1715" t="inlineStr">
        <is>
          <t>Monday</t>
        </is>
      </c>
      <c r="C1715" t="inlineStr">
        <is>
          <t>Week3-Jan-2026</t>
        </is>
      </c>
      <c r="D1715" s="78" t="n">
        <v>46023</v>
      </c>
      <c r="E1715" t="inlineStr">
        <is>
          <t>Q4FY26</t>
        </is>
      </c>
      <c r="F1715" t="inlineStr">
        <is>
          <t>10-Feb-2026</t>
        </is>
      </c>
      <c r="G1715" t="inlineStr">
        <is>
          <t>Tuesday</t>
        </is>
      </c>
      <c r="H1715" t="inlineStr">
        <is>
          <t>Weekly - Tuesday</t>
        </is>
      </c>
      <c r="I1715" t="inlineStr">
        <is>
          <t>Weekly - Tuesday</t>
        </is>
      </c>
      <c r="J1715" t="inlineStr">
        <is>
          <t>Month+1 Expiry</t>
        </is>
      </c>
      <c r="K1715" s="25" t="n">
        <v>36611</v>
      </c>
      <c r="L1715" s="26" t="n">
        <v>61.856</v>
      </c>
      <c r="M1715" s="26" t="n">
        <v>0.4732</v>
      </c>
    </row>
    <row r="1716" ht="16" customHeight="1">
      <c r="A1716" t="inlineStr">
        <is>
          <t>19-Jan-2026</t>
        </is>
      </c>
      <c r="B1716" t="inlineStr">
        <is>
          <t>Monday</t>
        </is>
      </c>
      <c r="C1716" t="inlineStr">
        <is>
          <t>Week3-Jan-2026</t>
        </is>
      </c>
      <c r="D1716" s="78" t="n">
        <v>46023</v>
      </c>
      <c r="E1716" t="inlineStr">
        <is>
          <t>Q4FY26</t>
        </is>
      </c>
      <c r="F1716" t="inlineStr">
        <is>
          <t>17-Feb-2026</t>
        </is>
      </c>
      <c r="G1716" t="inlineStr">
        <is>
          <t>Tuesday</t>
        </is>
      </c>
      <c r="H1716" t="inlineStr">
        <is>
          <t>Weekly - Tuesday</t>
        </is>
      </c>
      <c r="I1716" t="inlineStr">
        <is>
          <t>Weekly - Tuesday</t>
        </is>
      </c>
      <c r="J1716" t="inlineStr">
        <is>
          <t>Month+1 Expiry</t>
        </is>
      </c>
      <c r="K1716" s="25" t="n">
        <v>2082</v>
      </c>
      <c r="L1716" s="26" t="n">
        <v>3.5155</v>
      </c>
      <c r="M1716" s="26" t="n">
        <v>0.0266</v>
      </c>
    </row>
    <row r="1717" ht="16" customHeight="1">
      <c r="A1717" t="inlineStr">
        <is>
          <t>19-Jan-2026</t>
        </is>
      </c>
      <c r="B1717" t="inlineStr">
        <is>
          <t>Monday</t>
        </is>
      </c>
      <c r="C1717" t="inlineStr">
        <is>
          <t>Week3-Jan-2026</t>
        </is>
      </c>
      <c r="D1717" s="78" t="n">
        <v>46023</v>
      </c>
      <c r="E1717" t="inlineStr">
        <is>
          <t>Q4FY26</t>
        </is>
      </c>
      <c r="F1717" t="inlineStr">
        <is>
          <t>24-Feb-2026</t>
        </is>
      </c>
      <c r="G1717" t="inlineStr">
        <is>
          <t>Tuesday</t>
        </is>
      </c>
      <c r="H1717" t="inlineStr">
        <is>
          <t>Monthly - Tuesday</t>
        </is>
      </c>
      <c r="I1717" t="inlineStr">
        <is>
          <t>Monthly - Tuesday</t>
        </is>
      </c>
      <c r="J1717" t="inlineStr">
        <is>
          <t>Month+1 Expiry</t>
        </is>
      </c>
      <c r="K1717" s="25" t="n">
        <v>463602</v>
      </c>
      <c r="L1717" s="26" t="n">
        <v>787.2075</v>
      </c>
      <c r="M1717" s="26" t="n">
        <v>6.4098</v>
      </c>
    </row>
    <row r="1718" ht="16" customHeight="1">
      <c r="A1718" t="inlineStr">
        <is>
          <t>19-Jan-2026</t>
        </is>
      </c>
      <c r="B1718" t="inlineStr">
        <is>
          <t>Monday</t>
        </is>
      </c>
      <c r="C1718" t="inlineStr">
        <is>
          <t>Week3-Jan-2026</t>
        </is>
      </c>
      <c r="D1718" s="78" t="n">
        <v>46023</v>
      </c>
      <c r="E1718" t="inlineStr">
        <is>
          <t>Q4FY26</t>
        </is>
      </c>
      <c r="F1718" t="inlineStr">
        <is>
          <t>30-Mar-2026</t>
        </is>
      </c>
      <c r="G1718" t="inlineStr">
        <is>
          <t>Monday</t>
        </is>
      </c>
      <c r="H1718" t="inlineStr">
        <is>
          <t>Monthly - Monday</t>
        </is>
      </c>
      <c r="I1718" t="inlineStr">
        <is>
          <t>Monthly - Monday</t>
        </is>
      </c>
      <c r="J1718" t="inlineStr">
        <is>
          <t>Month+2 Expiry</t>
        </is>
      </c>
      <c r="K1718" s="25" t="n">
        <v>139334</v>
      </c>
      <c r="L1718" s="26" t="n">
        <v>235.5695</v>
      </c>
      <c r="M1718" s="26" t="n">
        <v>2.4784</v>
      </c>
    </row>
    <row r="1719" ht="16" customHeight="1">
      <c r="A1719" t="inlineStr">
        <is>
          <t>19-Jan-2026</t>
        </is>
      </c>
      <c r="B1719" t="inlineStr">
        <is>
          <t>Monday</t>
        </is>
      </c>
      <c r="C1719" t="inlineStr">
        <is>
          <t>Week3-Jan-2026</t>
        </is>
      </c>
      <c r="D1719" s="78" t="n">
        <v>46023</v>
      </c>
      <c r="E1719" t="inlineStr">
        <is>
          <t>Q4FY26</t>
        </is>
      </c>
      <c r="F1719" t="inlineStr">
        <is>
          <t>30-Jun-2026</t>
        </is>
      </c>
      <c r="G1719" t="inlineStr">
        <is>
          <t>Tuesday</t>
        </is>
      </c>
      <c r="H1719" t="inlineStr">
        <is>
          <t>Monthly - Tuesday</t>
        </is>
      </c>
      <c r="I1719" t="inlineStr">
        <is>
          <t>Monthly - Tuesday</t>
        </is>
      </c>
      <c r="J1719" t="inlineStr">
        <is>
          <t>Month+5 Expiry</t>
        </is>
      </c>
      <c r="K1719" s="25" t="n">
        <v>25795</v>
      </c>
      <c r="L1719" s="26" t="n">
        <v>43.7503</v>
      </c>
      <c r="M1719" s="26" t="n">
        <v>0.644</v>
      </c>
    </row>
    <row r="1720" ht="16" customHeight="1">
      <c r="A1720" t="inlineStr">
        <is>
          <t>19-Jan-2026</t>
        </is>
      </c>
      <c r="B1720" t="inlineStr">
        <is>
          <t>Monday</t>
        </is>
      </c>
      <c r="C1720" t="inlineStr">
        <is>
          <t>Week3-Jan-2026</t>
        </is>
      </c>
      <c r="D1720" s="78" t="n">
        <v>46023</v>
      </c>
      <c r="E1720" t="inlineStr">
        <is>
          <t>Q4FY26</t>
        </is>
      </c>
      <c r="F1720" t="inlineStr">
        <is>
          <t>29-Sep-2026</t>
        </is>
      </c>
      <c r="G1720" t="inlineStr">
        <is>
          <t>Tuesday</t>
        </is>
      </c>
      <c r="H1720" t="inlineStr">
        <is>
          <t>Monthly - Tuesday</t>
        </is>
      </c>
      <c r="I1720" t="inlineStr">
        <is>
          <t>Monthly - Tuesday</t>
        </is>
      </c>
      <c r="J1720" t="inlineStr">
        <is>
          <t>Month+8 Expiry</t>
        </is>
      </c>
      <c r="K1720" s="25" t="n">
        <v>4865</v>
      </c>
      <c r="L1720" s="26" t="n">
        <v>8.1412</v>
      </c>
      <c r="M1720" s="26" t="n">
        <v>0.09329999999999999</v>
      </c>
    </row>
    <row r="1721" ht="16" customHeight="1">
      <c r="A1721" t="inlineStr">
        <is>
          <t>19-Jan-2026</t>
        </is>
      </c>
      <c r="B1721" t="inlineStr">
        <is>
          <t>Monday</t>
        </is>
      </c>
      <c r="C1721" t="inlineStr">
        <is>
          <t>Week3-Jan-2026</t>
        </is>
      </c>
      <c r="D1721" s="78" t="n">
        <v>46023</v>
      </c>
      <c r="E1721" t="inlineStr">
        <is>
          <t>Q4FY26</t>
        </is>
      </c>
      <c r="F1721" t="inlineStr">
        <is>
          <t>29-Dec-2026</t>
        </is>
      </c>
      <c r="G1721" t="inlineStr">
        <is>
          <t>Tuesday</t>
        </is>
      </c>
      <c r="H1721" t="inlineStr">
        <is>
          <t>Monthly - Tuesday</t>
        </is>
      </c>
      <c r="I1721" t="inlineStr">
        <is>
          <t>Monthly - Tuesday</t>
        </is>
      </c>
      <c r="J1721" t="inlineStr">
        <is>
          <t>Month+11 Expiry</t>
        </is>
      </c>
      <c r="K1721" s="25" t="n">
        <v>7336</v>
      </c>
      <c r="L1721" s="26" t="n">
        <v>13.0155</v>
      </c>
      <c r="M1721" s="26" t="n">
        <v>0.3497</v>
      </c>
    </row>
    <row r="1722" ht="16" customHeight="1">
      <c r="A1722" t="inlineStr">
        <is>
          <t>19-Jan-2026</t>
        </is>
      </c>
      <c r="B1722" t="inlineStr">
        <is>
          <t>Monday</t>
        </is>
      </c>
      <c r="C1722" t="inlineStr">
        <is>
          <t>Week3-Jan-2026</t>
        </is>
      </c>
      <c r="D1722" s="78" t="n">
        <v>46023</v>
      </c>
      <c r="E1722" t="inlineStr">
        <is>
          <t>Q4FY26</t>
        </is>
      </c>
      <c r="F1722" t="inlineStr">
        <is>
          <t>29-Jun-2027</t>
        </is>
      </c>
      <c r="G1722" t="inlineStr">
        <is>
          <t>Tuesday</t>
        </is>
      </c>
      <c r="H1722" t="inlineStr">
        <is>
          <t>Monthly - Tuesday</t>
        </is>
      </c>
      <c r="I1722" t="inlineStr">
        <is>
          <t>Monthly - Tuesday</t>
        </is>
      </c>
      <c r="J1722" t="inlineStr">
        <is>
          <t>Month+17 Expiry</t>
        </is>
      </c>
      <c r="K1722" s="25" t="n">
        <v>0</v>
      </c>
      <c r="L1722" s="26" t="n">
        <v>0</v>
      </c>
      <c r="M1722" s="26" t="n">
        <v>0</v>
      </c>
    </row>
    <row r="1723" ht="16" customHeight="1">
      <c r="A1723" t="inlineStr">
        <is>
          <t>19-Jan-2026</t>
        </is>
      </c>
      <c r="B1723" t="inlineStr">
        <is>
          <t>Monday</t>
        </is>
      </c>
      <c r="C1723" t="inlineStr">
        <is>
          <t>Week3-Jan-2026</t>
        </is>
      </c>
      <c r="D1723" s="78" t="n">
        <v>46023</v>
      </c>
      <c r="E1723" t="inlineStr">
        <is>
          <t>Q4FY26</t>
        </is>
      </c>
      <c r="F1723" t="inlineStr">
        <is>
          <t>28-Dec-2027</t>
        </is>
      </c>
      <c r="G1723" t="inlineStr">
        <is>
          <t>Tuesday</t>
        </is>
      </c>
      <c r="H1723" t="inlineStr">
        <is>
          <t>Monthly - Tuesday</t>
        </is>
      </c>
      <c r="I1723" t="inlineStr">
        <is>
          <t>Monthly - Tuesday</t>
        </is>
      </c>
      <c r="J1723" t="inlineStr">
        <is>
          <t>Month+23 Expiry</t>
        </is>
      </c>
      <c r="K1723" s="25" t="n">
        <v>47</v>
      </c>
      <c r="L1723" s="26" t="n">
        <v>0.0788</v>
      </c>
      <c r="M1723" s="26" t="n">
        <v>0.0034</v>
      </c>
    </row>
    <row r="1724" ht="16" customHeight="1">
      <c r="A1724" t="inlineStr">
        <is>
          <t>19-Jan-2026</t>
        </is>
      </c>
      <c r="B1724" t="inlineStr">
        <is>
          <t>Monday</t>
        </is>
      </c>
      <c r="C1724" t="inlineStr">
        <is>
          <t>Week3-Jan-2026</t>
        </is>
      </c>
      <c r="D1724" s="78" t="n">
        <v>46023</v>
      </c>
      <c r="E1724" t="inlineStr">
        <is>
          <t>Q4FY26</t>
        </is>
      </c>
      <c r="F1724" t="inlineStr">
        <is>
          <t>27-Jun-2028</t>
        </is>
      </c>
      <c r="G1724" t="inlineStr">
        <is>
          <t>Tuesday</t>
        </is>
      </c>
      <c r="H1724" t="inlineStr">
        <is>
          <t>Monthly - Tuesday</t>
        </is>
      </c>
      <c r="I1724" t="inlineStr">
        <is>
          <t>Monthly - Tuesday</t>
        </is>
      </c>
      <c r="J1724" t="inlineStr">
        <is>
          <t>Month+29 Expiry</t>
        </is>
      </c>
      <c r="K1724" s="25" t="n">
        <v>0</v>
      </c>
      <c r="L1724" s="26" t="n">
        <v>0</v>
      </c>
      <c r="M1724" s="26" t="n">
        <v>0</v>
      </c>
    </row>
    <row r="1725" ht="16" customHeight="1">
      <c r="A1725" t="inlineStr">
        <is>
          <t>19-Jan-2026</t>
        </is>
      </c>
      <c r="B1725" t="inlineStr">
        <is>
          <t>Monday</t>
        </is>
      </c>
      <c r="C1725" t="inlineStr">
        <is>
          <t>Week3-Jan-2026</t>
        </is>
      </c>
      <c r="D1725" s="78" t="n">
        <v>46023</v>
      </c>
      <c r="E1725" t="inlineStr">
        <is>
          <t>Q4FY26</t>
        </is>
      </c>
      <c r="F1725" t="inlineStr">
        <is>
          <t>26-Dec-2028</t>
        </is>
      </c>
      <c r="G1725" t="inlineStr">
        <is>
          <t>Tuesday</t>
        </is>
      </c>
      <c r="H1725" t="inlineStr">
        <is>
          <t>Monthly - Tuesday</t>
        </is>
      </c>
      <c r="I1725" t="inlineStr">
        <is>
          <t>Monthly - Tuesday</t>
        </is>
      </c>
      <c r="J1725" t="inlineStr">
        <is>
          <t>Month+35 Expiry</t>
        </is>
      </c>
      <c r="K1725" s="25" t="n">
        <v>37</v>
      </c>
      <c r="L1725" s="26" t="n">
        <v>0.06560000000000001</v>
      </c>
      <c r="M1725" s="26" t="n">
        <v>0.0025</v>
      </c>
    </row>
    <row r="1726" ht="16" customHeight="1">
      <c r="A1726" t="inlineStr">
        <is>
          <t>19-Jan-2026</t>
        </is>
      </c>
      <c r="B1726" t="inlineStr">
        <is>
          <t>Monday</t>
        </is>
      </c>
      <c r="C1726" t="inlineStr">
        <is>
          <t>Week3-Jan-2026</t>
        </is>
      </c>
      <c r="D1726" s="78" t="n">
        <v>46023</v>
      </c>
      <c r="E1726" t="inlineStr">
        <is>
          <t>Q4FY26</t>
        </is>
      </c>
      <c r="F1726" t="inlineStr">
        <is>
          <t>26-Jun-2029</t>
        </is>
      </c>
      <c r="G1726" t="inlineStr">
        <is>
          <t>Tuesday</t>
        </is>
      </c>
      <c r="H1726" t="inlineStr">
        <is>
          <t>Monthly - Tuesday</t>
        </is>
      </c>
      <c r="I1726" t="inlineStr">
        <is>
          <t>Monthly - Tuesday</t>
        </is>
      </c>
      <c r="J1726" t="inlineStr">
        <is>
          <t>Month+41 Expiry</t>
        </is>
      </c>
      <c r="K1726" s="25" t="n">
        <v>0</v>
      </c>
      <c r="L1726" s="26" t="n">
        <v>0</v>
      </c>
      <c r="M1726" s="26" t="n">
        <v>0</v>
      </c>
    </row>
    <row r="1727" ht="16" customHeight="1">
      <c r="A1727" t="inlineStr">
        <is>
          <t>19-Jan-2026</t>
        </is>
      </c>
      <c r="B1727" t="inlineStr">
        <is>
          <t>Monday</t>
        </is>
      </c>
      <c r="C1727" t="inlineStr">
        <is>
          <t>Week3-Jan-2026</t>
        </is>
      </c>
      <c r="D1727" s="78" t="n">
        <v>46023</v>
      </c>
      <c r="E1727" t="inlineStr">
        <is>
          <t>Q4FY26</t>
        </is>
      </c>
      <c r="F1727" t="inlineStr">
        <is>
          <t>24-Dec-2029</t>
        </is>
      </c>
      <c r="G1727" t="inlineStr">
        <is>
          <t>Monday</t>
        </is>
      </c>
      <c r="H1727" t="inlineStr">
        <is>
          <t>Weekly - Monday</t>
        </is>
      </c>
      <c r="I1727" t="inlineStr">
        <is>
          <t>Weekly - Monday</t>
        </is>
      </c>
      <c r="J1727" t="inlineStr">
        <is>
          <t>Month+47 Expiry</t>
        </is>
      </c>
      <c r="K1727" s="25" t="n">
        <v>0</v>
      </c>
      <c r="L1727" s="26" t="n">
        <v>0</v>
      </c>
      <c r="M1727" s="26" t="n">
        <v>0</v>
      </c>
    </row>
    <row r="1728" ht="16" customHeight="1">
      <c r="A1728" t="inlineStr">
        <is>
          <t>19-Jan-2026</t>
        </is>
      </c>
      <c r="B1728" t="inlineStr">
        <is>
          <t>Monday</t>
        </is>
      </c>
      <c r="C1728" t="inlineStr">
        <is>
          <t>Week3-Jan-2026</t>
        </is>
      </c>
      <c r="D1728" s="78" t="n">
        <v>46023</v>
      </c>
      <c r="E1728" t="inlineStr">
        <is>
          <t>Q4FY26</t>
        </is>
      </c>
      <c r="F1728" t="inlineStr">
        <is>
          <t>25-Jun-2030</t>
        </is>
      </c>
      <c r="G1728" t="inlineStr">
        <is>
          <t>Tuesday</t>
        </is>
      </c>
      <c r="H1728" t="inlineStr">
        <is>
          <t>Monthly - Tuesday</t>
        </is>
      </c>
      <c r="I1728" t="inlineStr">
        <is>
          <t>Monthly - Tuesday</t>
        </is>
      </c>
      <c r="J1728" t="inlineStr">
        <is>
          <t>Month+53 Expiry</t>
        </is>
      </c>
      <c r="K1728" s="25" t="n">
        <v>0</v>
      </c>
      <c r="L1728" s="26" t="n">
        <v>0</v>
      </c>
      <c r="M1728" s="26" t="n">
        <v>0</v>
      </c>
    </row>
    <row r="1729" ht="16" customHeight="1">
      <c r="A1729" t="inlineStr">
        <is>
          <t>19-Jan-2026</t>
        </is>
      </c>
      <c r="B1729" t="inlineStr">
        <is>
          <t>Monday</t>
        </is>
      </c>
      <c r="C1729" t="inlineStr">
        <is>
          <t>Week3-Jan-2026</t>
        </is>
      </c>
      <c r="D1729" s="78" t="n">
        <v>46023</v>
      </c>
      <c r="E1729" t="inlineStr">
        <is>
          <t>Q4FY26</t>
        </is>
      </c>
      <c r="F1729" t="inlineStr">
        <is>
          <t>31-Dec-2030</t>
        </is>
      </c>
      <c r="G1729" t="inlineStr">
        <is>
          <t>Tuesday</t>
        </is>
      </c>
      <c r="H1729" t="inlineStr">
        <is>
          <t>Monthly - Tuesday</t>
        </is>
      </c>
      <c r="I1729" t="inlineStr">
        <is>
          <t>Monthly - Tuesday</t>
        </is>
      </c>
      <c r="J1729" t="inlineStr">
        <is>
          <t>Month+59 Expiry</t>
        </is>
      </c>
      <c r="K1729" s="25" t="n">
        <v>0</v>
      </c>
      <c r="L1729" s="26" t="n">
        <v>0</v>
      </c>
      <c r="M1729" s="26" t="n">
        <v>0</v>
      </c>
    </row>
    <row r="1730" ht="16" customHeight="1">
      <c r="A1730" t="inlineStr">
        <is>
          <t>20-Jan-2026</t>
        </is>
      </c>
      <c r="B1730" t="inlineStr">
        <is>
          <t>Tuesday</t>
        </is>
      </c>
      <c r="C1730" t="inlineStr">
        <is>
          <t>Week3-Jan-2026</t>
        </is>
      </c>
      <c r="D1730" s="78" t="n">
        <v>46023</v>
      </c>
      <c r="E1730" t="inlineStr">
        <is>
          <t>Q4FY26</t>
        </is>
      </c>
      <c r="F1730" t="inlineStr">
        <is>
          <t>20-Jan-2026</t>
        </is>
      </c>
      <c r="G1730" t="inlineStr">
        <is>
          <t>Tuesday</t>
        </is>
      </c>
      <c r="H1730" t="inlineStr">
        <is>
          <t>Weekly - Tuesday</t>
        </is>
      </c>
      <c r="I1730" t="inlineStr">
        <is>
          <t>Weekly - Tuesday</t>
        </is>
      </c>
      <c r="J1730" t="inlineStr">
        <is>
          <t>Same Month Expiry</t>
        </is>
      </c>
      <c r="K1730" s="25" t="n">
        <v>383628863</v>
      </c>
      <c r="L1730" s="26" t="n">
        <v>635078.5837</v>
      </c>
      <c r="M1730" s="26" t="n">
        <v>586.205</v>
      </c>
    </row>
    <row r="1731" ht="16" customHeight="1">
      <c r="A1731" t="inlineStr">
        <is>
          <t>20-Jan-2026</t>
        </is>
      </c>
      <c r="B1731" t="inlineStr">
        <is>
          <t>Tuesday</t>
        </is>
      </c>
      <c r="C1731" t="inlineStr">
        <is>
          <t>Week3-Jan-2026</t>
        </is>
      </c>
      <c r="D1731" s="78" t="n">
        <v>46023</v>
      </c>
      <c r="E1731" t="inlineStr">
        <is>
          <t>Q4FY26</t>
        </is>
      </c>
      <c r="F1731" t="inlineStr">
        <is>
          <t>27-Jan-2026</t>
        </is>
      </c>
      <c r="G1731" t="inlineStr">
        <is>
          <t>Tuesday</t>
        </is>
      </c>
      <c r="H1731" t="inlineStr">
        <is>
          <t>Monthly - Tuesday</t>
        </is>
      </c>
      <c r="I1731" t="inlineStr">
        <is>
          <t>Monthly - Tuesday</t>
        </is>
      </c>
      <c r="J1731" t="inlineStr">
        <is>
          <t>Same Month Expiry</t>
        </is>
      </c>
      <c r="K1731" s="25" t="n">
        <v>17382498</v>
      </c>
      <c r="L1731" s="26" t="n">
        <v>29088.6551</v>
      </c>
      <c r="M1731" s="26" t="n">
        <v>90.3017</v>
      </c>
    </row>
    <row r="1732" ht="16" customHeight="1">
      <c r="A1732" t="inlineStr">
        <is>
          <t>20-Jan-2026</t>
        </is>
      </c>
      <c r="B1732" t="inlineStr">
        <is>
          <t>Tuesday</t>
        </is>
      </c>
      <c r="C1732" t="inlineStr">
        <is>
          <t>Week3-Jan-2026</t>
        </is>
      </c>
      <c r="D1732" s="78" t="n">
        <v>46023</v>
      </c>
      <c r="E1732" t="inlineStr">
        <is>
          <t>Q4FY26</t>
        </is>
      </c>
      <c r="F1732" t="inlineStr">
        <is>
          <t>03-Feb-2026</t>
        </is>
      </c>
      <c r="G1732" t="inlineStr">
        <is>
          <t>Tuesday</t>
        </is>
      </c>
      <c r="H1732" t="inlineStr">
        <is>
          <t>Weekly - Tuesday</t>
        </is>
      </c>
      <c r="I1732" t="inlineStr">
        <is>
          <t>Weekly - Tuesday</t>
        </is>
      </c>
      <c r="J1732" t="inlineStr">
        <is>
          <t>Month+1 Expiry</t>
        </is>
      </c>
      <c r="K1732" s="25" t="n">
        <v>654522</v>
      </c>
      <c r="L1732" s="26" t="n">
        <v>1097.7676</v>
      </c>
      <c r="M1732" s="26" t="n">
        <v>6.2747</v>
      </c>
    </row>
    <row r="1733" ht="16" customHeight="1">
      <c r="A1733" t="inlineStr">
        <is>
          <t>20-Jan-2026</t>
        </is>
      </c>
      <c r="B1733" t="inlineStr">
        <is>
          <t>Tuesday</t>
        </is>
      </c>
      <c r="C1733" t="inlineStr">
        <is>
          <t>Week3-Jan-2026</t>
        </is>
      </c>
      <c r="D1733" s="78" t="n">
        <v>46023</v>
      </c>
      <c r="E1733" t="inlineStr">
        <is>
          <t>Q4FY26</t>
        </is>
      </c>
      <c r="F1733" t="inlineStr">
        <is>
          <t>10-Feb-2026</t>
        </is>
      </c>
      <c r="G1733" t="inlineStr">
        <is>
          <t>Tuesday</t>
        </is>
      </c>
      <c r="H1733" t="inlineStr">
        <is>
          <t>Weekly - Tuesday</t>
        </is>
      </c>
      <c r="I1733" t="inlineStr">
        <is>
          <t>Weekly - Tuesday</t>
        </is>
      </c>
      <c r="J1733" t="inlineStr">
        <is>
          <t>Month+1 Expiry</t>
        </is>
      </c>
      <c r="K1733" s="25" t="n">
        <v>71384</v>
      </c>
      <c r="L1733" s="26" t="n">
        <v>119.7986</v>
      </c>
      <c r="M1733" s="26" t="n">
        <v>0.8028999999999999</v>
      </c>
    </row>
    <row r="1734" ht="16" customHeight="1">
      <c r="A1734" t="inlineStr">
        <is>
          <t>20-Jan-2026</t>
        </is>
      </c>
      <c r="B1734" t="inlineStr">
        <is>
          <t>Tuesday</t>
        </is>
      </c>
      <c r="C1734" t="inlineStr">
        <is>
          <t>Week3-Jan-2026</t>
        </is>
      </c>
      <c r="D1734" s="78" t="n">
        <v>46023</v>
      </c>
      <c r="E1734" t="inlineStr">
        <is>
          <t>Q4FY26</t>
        </is>
      </c>
      <c r="F1734" t="inlineStr">
        <is>
          <t>17-Feb-2026</t>
        </is>
      </c>
      <c r="G1734" t="inlineStr">
        <is>
          <t>Tuesday</t>
        </is>
      </c>
      <c r="H1734" t="inlineStr">
        <is>
          <t>Weekly - Tuesday</t>
        </is>
      </c>
      <c r="I1734" t="inlineStr">
        <is>
          <t>Weekly - Tuesday</t>
        </is>
      </c>
      <c r="J1734" t="inlineStr">
        <is>
          <t>Month+1 Expiry</t>
        </is>
      </c>
      <c r="K1734" s="25" t="n">
        <v>5247</v>
      </c>
      <c r="L1734" s="26" t="n">
        <v>8.863099999999999</v>
      </c>
      <c r="M1734" s="26" t="n">
        <v>0.0611</v>
      </c>
    </row>
    <row r="1735" ht="16" customHeight="1">
      <c r="A1735" t="inlineStr">
        <is>
          <t>20-Jan-2026</t>
        </is>
      </c>
      <c r="B1735" t="inlineStr">
        <is>
          <t>Tuesday</t>
        </is>
      </c>
      <c r="C1735" t="inlineStr">
        <is>
          <t>Week3-Jan-2026</t>
        </is>
      </c>
      <c r="D1735" s="78" t="n">
        <v>46023</v>
      </c>
      <c r="E1735" t="inlineStr">
        <is>
          <t>Q4FY26</t>
        </is>
      </c>
      <c r="F1735" t="inlineStr">
        <is>
          <t>24-Feb-2026</t>
        </is>
      </c>
      <c r="G1735" t="inlineStr">
        <is>
          <t>Tuesday</t>
        </is>
      </c>
      <c r="H1735" t="inlineStr">
        <is>
          <t>Monthly - Tuesday</t>
        </is>
      </c>
      <c r="I1735" t="inlineStr">
        <is>
          <t>Monthly - Tuesday</t>
        </is>
      </c>
      <c r="J1735" t="inlineStr">
        <is>
          <t>Month+1 Expiry</t>
        </is>
      </c>
      <c r="K1735" s="25" t="n">
        <v>733753</v>
      </c>
      <c r="L1735" s="26" t="n">
        <v>1236.1041</v>
      </c>
      <c r="M1735" s="26" t="n">
        <v>11.0367</v>
      </c>
    </row>
    <row r="1736" ht="16" customHeight="1">
      <c r="A1736" t="inlineStr">
        <is>
          <t>20-Jan-2026</t>
        </is>
      </c>
      <c r="B1736" t="inlineStr">
        <is>
          <t>Tuesday</t>
        </is>
      </c>
      <c r="C1736" t="inlineStr">
        <is>
          <t>Week3-Jan-2026</t>
        </is>
      </c>
      <c r="D1736" s="78" t="n">
        <v>46023</v>
      </c>
      <c r="E1736" t="inlineStr">
        <is>
          <t>Q4FY26</t>
        </is>
      </c>
      <c r="F1736" t="inlineStr">
        <is>
          <t>30-Mar-2026</t>
        </is>
      </c>
      <c r="G1736" t="inlineStr">
        <is>
          <t>Monday</t>
        </is>
      </c>
      <c r="H1736" t="inlineStr">
        <is>
          <t>Monthly - Monday</t>
        </is>
      </c>
      <c r="I1736" t="inlineStr">
        <is>
          <t>Monthly - Monday</t>
        </is>
      </c>
      <c r="J1736" t="inlineStr">
        <is>
          <t>Month+2 Expiry</t>
        </is>
      </c>
      <c r="K1736" s="25" t="n">
        <v>221755</v>
      </c>
      <c r="L1736" s="26" t="n">
        <v>373.3315</v>
      </c>
      <c r="M1736" s="26" t="n">
        <v>4.3812</v>
      </c>
    </row>
    <row r="1737" ht="16" customHeight="1">
      <c r="A1737" t="inlineStr">
        <is>
          <t>20-Jan-2026</t>
        </is>
      </c>
      <c r="B1737" t="inlineStr">
        <is>
          <t>Tuesday</t>
        </is>
      </c>
      <c r="C1737" t="inlineStr">
        <is>
          <t>Week3-Jan-2026</t>
        </is>
      </c>
      <c r="D1737" s="78" t="n">
        <v>46023</v>
      </c>
      <c r="E1737" t="inlineStr">
        <is>
          <t>Q4FY26</t>
        </is>
      </c>
      <c r="F1737" t="inlineStr">
        <is>
          <t>30-Jun-2026</t>
        </is>
      </c>
      <c r="G1737" t="inlineStr">
        <is>
          <t>Tuesday</t>
        </is>
      </c>
      <c r="H1737" t="inlineStr">
        <is>
          <t>Monthly - Tuesday</t>
        </is>
      </c>
      <c r="I1737" t="inlineStr">
        <is>
          <t>Monthly - Tuesday</t>
        </is>
      </c>
      <c r="J1737" t="inlineStr">
        <is>
          <t>Month+5 Expiry</t>
        </is>
      </c>
      <c r="K1737" s="25" t="n">
        <v>38473</v>
      </c>
      <c r="L1737" s="26" t="n">
        <v>65.7782</v>
      </c>
      <c r="M1737" s="26" t="n">
        <v>1.0054</v>
      </c>
    </row>
    <row r="1738" ht="16" customHeight="1">
      <c r="A1738" t="inlineStr">
        <is>
          <t>20-Jan-2026</t>
        </is>
      </c>
      <c r="B1738" t="inlineStr">
        <is>
          <t>Tuesday</t>
        </is>
      </c>
      <c r="C1738" t="inlineStr">
        <is>
          <t>Week3-Jan-2026</t>
        </is>
      </c>
      <c r="D1738" s="78" t="n">
        <v>46023</v>
      </c>
      <c r="E1738" t="inlineStr">
        <is>
          <t>Q4FY26</t>
        </is>
      </c>
      <c r="F1738" t="inlineStr">
        <is>
          <t>29-Sep-2026</t>
        </is>
      </c>
      <c r="G1738" t="inlineStr">
        <is>
          <t>Tuesday</t>
        </is>
      </c>
      <c r="H1738" t="inlineStr">
        <is>
          <t>Monthly - Tuesday</t>
        </is>
      </c>
      <c r="I1738" t="inlineStr">
        <is>
          <t>Monthly - Tuesday</t>
        </is>
      </c>
      <c r="J1738" t="inlineStr">
        <is>
          <t>Month+8 Expiry</t>
        </is>
      </c>
      <c r="K1738" s="25" t="n">
        <v>4340</v>
      </c>
      <c r="L1738" s="26" t="n">
        <v>7.1909</v>
      </c>
      <c r="M1738" s="26" t="n">
        <v>0.115</v>
      </c>
    </row>
    <row r="1739" ht="16" customHeight="1">
      <c r="A1739" t="inlineStr">
        <is>
          <t>20-Jan-2026</t>
        </is>
      </c>
      <c r="B1739" t="inlineStr">
        <is>
          <t>Tuesday</t>
        </is>
      </c>
      <c r="C1739" t="inlineStr">
        <is>
          <t>Week3-Jan-2026</t>
        </is>
      </c>
      <c r="D1739" s="78" t="n">
        <v>46023</v>
      </c>
      <c r="E1739" t="inlineStr">
        <is>
          <t>Q4FY26</t>
        </is>
      </c>
      <c r="F1739" t="inlineStr">
        <is>
          <t>29-Dec-2026</t>
        </is>
      </c>
      <c r="G1739" t="inlineStr">
        <is>
          <t>Tuesday</t>
        </is>
      </c>
      <c r="H1739" t="inlineStr">
        <is>
          <t>Monthly - Tuesday</t>
        </is>
      </c>
      <c r="I1739" t="inlineStr">
        <is>
          <t>Monthly - Tuesday</t>
        </is>
      </c>
      <c r="J1739" t="inlineStr">
        <is>
          <t>Month+11 Expiry</t>
        </is>
      </c>
      <c r="K1739" s="25" t="n">
        <v>14885</v>
      </c>
      <c r="L1739" s="26" t="n">
        <v>26.2523</v>
      </c>
      <c r="M1739" s="26" t="n">
        <v>0.7105</v>
      </c>
    </row>
    <row r="1740" ht="16" customHeight="1">
      <c r="A1740" t="inlineStr">
        <is>
          <t>20-Jan-2026</t>
        </is>
      </c>
      <c r="B1740" t="inlineStr">
        <is>
          <t>Tuesday</t>
        </is>
      </c>
      <c r="C1740" t="inlineStr">
        <is>
          <t>Week3-Jan-2026</t>
        </is>
      </c>
      <c r="D1740" s="78" t="n">
        <v>46023</v>
      </c>
      <c r="E1740" t="inlineStr">
        <is>
          <t>Q4FY26</t>
        </is>
      </c>
      <c r="F1740" t="inlineStr">
        <is>
          <t>29-Jun-2027</t>
        </is>
      </c>
      <c r="G1740" t="inlineStr">
        <is>
          <t>Tuesday</t>
        </is>
      </c>
      <c r="H1740" t="inlineStr">
        <is>
          <t>Monthly - Tuesday</t>
        </is>
      </c>
      <c r="I1740" t="inlineStr">
        <is>
          <t>Monthly - Tuesday</t>
        </is>
      </c>
      <c r="J1740" t="inlineStr">
        <is>
          <t>Month+17 Expiry</t>
        </is>
      </c>
      <c r="K1740" s="25" t="n">
        <v>0</v>
      </c>
      <c r="L1740" s="26" t="n">
        <v>0</v>
      </c>
      <c r="M1740" s="26" t="n">
        <v>0</v>
      </c>
    </row>
    <row r="1741" ht="16" customHeight="1">
      <c r="A1741" t="inlineStr">
        <is>
          <t>20-Jan-2026</t>
        </is>
      </c>
      <c r="B1741" t="inlineStr">
        <is>
          <t>Tuesday</t>
        </is>
      </c>
      <c r="C1741" t="inlineStr">
        <is>
          <t>Week3-Jan-2026</t>
        </is>
      </c>
      <c r="D1741" s="78" t="n">
        <v>46023</v>
      </c>
      <c r="E1741" t="inlineStr">
        <is>
          <t>Q4FY26</t>
        </is>
      </c>
      <c r="F1741" t="inlineStr">
        <is>
          <t>28-Dec-2027</t>
        </is>
      </c>
      <c r="G1741" t="inlineStr">
        <is>
          <t>Tuesday</t>
        </is>
      </c>
      <c r="H1741" t="inlineStr">
        <is>
          <t>Monthly - Tuesday</t>
        </is>
      </c>
      <c r="I1741" t="inlineStr">
        <is>
          <t>Monthly - Tuesday</t>
        </is>
      </c>
      <c r="J1741" t="inlineStr">
        <is>
          <t>Month+23 Expiry</t>
        </is>
      </c>
      <c r="K1741" s="25" t="n">
        <v>77</v>
      </c>
      <c r="L1741" s="26" t="n">
        <v>0.1349</v>
      </c>
      <c r="M1741" s="26" t="n">
        <v>0.008200000000000001</v>
      </c>
    </row>
    <row r="1742" ht="16" customHeight="1">
      <c r="A1742" t="inlineStr">
        <is>
          <t>20-Jan-2026</t>
        </is>
      </c>
      <c r="B1742" t="inlineStr">
        <is>
          <t>Tuesday</t>
        </is>
      </c>
      <c r="C1742" t="inlineStr">
        <is>
          <t>Week3-Jan-2026</t>
        </is>
      </c>
      <c r="D1742" s="78" t="n">
        <v>46023</v>
      </c>
      <c r="E1742" t="inlineStr">
        <is>
          <t>Q4FY26</t>
        </is>
      </c>
      <c r="F1742" t="inlineStr">
        <is>
          <t>27-Jun-2028</t>
        </is>
      </c>
      <c r="G1742" t="inlineStr">
        <is>
          <t>Tuesday</t>
        </is>
      </c>
      <c r="H1742" t="inlineStr">
        <is>
          <t>Monthly - Tuesday</t>
        </is>
      </c>
      <c r="I1742" t="inlineStr">
        <is>
          <t>Monthly - Tuesday</t>
        </is>
      </c>
      <c r="J1742" t="inlineStr">
        <is>
          <t>Month+29 Expiry</t>
        </is>
      </c>
      <c r="K1742" s="25" t="n">
        <v>0</v>
      </c>
      <c r="L1742" s="26" t="n">
        <v>0</v>
      </c>
      <c r="M1742" s="26" t="n">
        <v>0</v>
      </c>
    </row>
    <row r="1743" ht="16" customHeight="1">
      <c r="A1743" t="inlineStr">
        <is>
          <t>20-Jan-2026</t>
        </is>
      </c>
      <c r="B1743" t="inlineStr">
        <is>
          <t>Tuesday</t>
        </is>
      </c>
      <c r="C1743" t="inlineStr">
        <is>
          <t>Week3-Jan-2026</t>
        </is>
      </c>
      <c r="D1743" s="78" t="n">
        <v>46023</v>
      </c>
      <c r="E1743" t="inlineStr">
        <is>
          <t>Q4FY26</t>
        </is>
      </c>
      <c r="F1743" t="inlineStr">
        <is>
          <t>26-Dec-2028</t>
        </is>
      </c>
      <c r="G1743" t="inlineStr">
        <is>
          <t>Tuesday</t>
        </is>
      </c>
      <c r="H1743" t="inlineStr">
        <is>
          <t>Monthly - Tuesday</t>
        </is>
      </c>
      <c r="I1743" t="inlineStr">
        <is>
          <t>Monthly - Tuesday</t>
        </is>
      </c>
      <c r="J1743" t="inlineStr">
        <is>
          <t>Month+35 Expiry</t>
        </is>
      </c>
      <c r="K1743" s="25" t="n">
        <v>30</v>
      </c>
      <c r="L1743" s="26" t="n">
        <v>0.0535</v>
      </c>
      <c r="M1743" s="26" t="n">
        <v>0.002</v>
      </c>
    </row>
    <row r="1744" ht="16" customHeight="1">
      <c r="A1744" t="inlineStr">
        <is>
          <t>20-Jan-2026</t>
        </is>
      </c>
      <c r="B1744" t="inlineStr">
        <is>
          <t>Tuesday</t>
        </is>
      </c>
      <c r="C1744" t="inlineStr">
        <is>
          <t>Week3-Jan-2026</t>
        </is>
      </c>
      <c r="D1744" s="78" t="n">
        <v>46023</v>
      </c>
      <c r="E1744" t="inlineStr">
        <is>
          <t>Q4FY26</t>
        </is>
      </c>
      <c r="F1744" t="inlineStr">
        <is>
          <t>26-Jun-2029</t>
        </is>
      </c>
      <c r="G1744" t="inlineStr">
        <is>
          <t>Tuesday</t>
        </is>
      </c>
      <c r="H1744" t="inlineStr">
        <is>
          <t>Monthly - Tuesday</t>
        </is>
      </c>
      <c r="I1744" t="inlineStr">
        <is>
          <t>Monthly - Tuesday</t>
        </is>
      </c>
      <c r="J1744" t="inlineStr">
        <is>
          <t>Month+41 Expiry</t>
        </is>
      </c>
      <c r="K1744" s="25" t="n">
        <v>0</v>
      </c>
      <c r="L1744" s="26" t="n">
        <v>0</v>
      </c>
      <c r="M1744" s="26" t="n">
        <v>0</v>
      </c>
    </row>
    <row r="1745" ht="16" customHeight="1">
      <c r="A1745" t="inlineStr">
        <is>
          <t>20-Jan-2026</t>
        </is>
      </c>
      <c r="B1745" t="inlineStr">
        <is>
          <t>Tuesday</t>
        </is>
      </c>
      <c r="C1745" t="inlineStr">
        <is>
          <t>Week3-Jan-2026</t>
        </is>
      </c>
      <c r="D1745" s="78" t="n">
        <v>46023</v>
      </c>
      <c r="E1745" t="inlineStr">
        <is>
          <t>Q4FY26</t>
        </is>
      </c>
      <c r="F1745" t="inlineStr">
        <is>
          <t>24-Dec-2029</t>
        </is>
      </c>
      <c r="G1745" t="inlineStr">
        <is>
          <t>Monday</t>
        </is>
      </c>
      <c r="H1745" t="inlineStr">
        <is>
          <t>Weekly - Monday</t>
        </is>
      </c>
      <c r="I1745" t="inlineStr">
        <is>
          <t>Weekly - Monday</t>
        </is>
      </c>
      <c r="J1745" t="inlineStr">
        <is>
          <t>Month+47 Expiry</t>
        </is>
      </c>
      <c r="K1745" s="25" t="n">
        <v>0</v>
      </c>
      <c r="L1745" s="26" t="n">
        <v>0</v>
      </c>
      <c r="M1745" s="26" t="n">
        <v>0</v>
      </c>
    </row>
    <row r="1746" ht="16" customHeight="1">
      <c r="A1746" t="inlineStr">
        <is>
          <t>20-Jan-2026</t>
        </is>
      </c>
      <c r="B1746" t="inlineStr">
        <is>
          <t>Tuesday</t>
        </is>
      </c>
      <c r="C1746" t="inlineStr">
        <is>
          <t>Week3-Jan-2026</t>
        </is>
      </c>
      <c r="D1746" s="78" t="n">
        <v>46023</v>
      </c>
      <c r="E1746" t="inlineStr">
        <is>
          <t>Q4FY26</t>
        </is>
      </c>
      <c r="F1746" t="inlineStr">
        <is>
          <t>25-Jun-2030</t>
        </is>
      </c>
      <c r="G1746" t="inlineStr">
        <is>
          <t>Tuesday</t>
        </is>
      </c>
      <c r="H1746" t="inlineStr">
        <is>
          <t>Monthly - Tuesday</t>
        </is>
      </c>
      <c r="I1746" t="inlineStr">
        <is>
          <t>Monthly - Tuesday</t>
        </is>
      </c>
      <c r="J1746" t="inlineStr">
        <is>
          <t>Month+53 Expiry</t>
        </is>
      </c>
      <c r="K1746" s="25" t="n">
        <v>0</v>
      </c>
      <c r="L1746" s="26" t="n">
        <v>0</v>
      </c>
      <c r="M1746" s="26" t="n">
        <v>0</v>
      </c>
    </row>
    <row r="1747" ht="16" customHeight="1">
      <c r="A1747" t="inlineStr">
        <is>
          <t>20-Jan-2026</t>
        </is>
      </c>
      <c r="B1747" t="inlineStr">
        <is>
          <t>Tuesday</t>
        </is>
      </c>
      <c r="C1747" t="inlineStr">
        <is>
          <t>Week3-Jan-2026</t>
        </is>
      </c>
      <c r="D1747" s="78" t="n">
        <v>46023</v>
      </c>
      <c r="E1747" t="inlineStr">
        <is>
          <t>Q4FY26</t>
        </is>
      </c>
      <c r="F1747" t="inlineStr">
        <is>
          <t>31-Dec-2030</t>
        </is>
      </c>
      <c r="G1747" t="inlineStr">
        <is>
          <t>Tuesday</t>
        </is>
      </c>
      <c r="H1747" t="inlineStr">
        <is>
          <t>Monthly - Tuesday</t>
        </is>
      </c>
      <c r="I1747" t="inlineStr">
        <is>
          <t>Monthly - Tuesday</t>
        </is>
      </c>
      <c r="J1747" t="inlineStr">
        <is>
          <t>Month+59 Expiry</t>
        </is>
      </c>
      <c r="K1747" s="25" t="n">
        <v>0</v>
      </c>
      <c r="L1747" s="26" t="n">
        <v>0</v>
      </c>
      <c r="M1747" s="26" t="n">
        <v>0</v>
      </c>
    </row>
    <row r="1748" ht="16" customHeight="1">
      <c r="A1748" t="inlineStr">
        <is>
          <t>21-Jan-2026</t>
        </is>
      </c>
      <c r="B1748" t="inlineStr">
        <is>
          <t>Wednesday</t>
        </is>
      </c>
      <c r="C1748" t="inlineStr">
        <is>
          <t>Week3-Jan-2026</t>
        </is>
      </c>
      <c r="D1748" s="78" t="n">
        <v>46023</v>
      </c>
      <c r="E1748" t="inlineStr">
        <is>
          <t>Q4FY26</t>
        </is>
      </c>
      <c r="F1748" t="inlineStr">
        <is>
          <t>27-Jan-2026</t>
        </is>
      </c>
      <c r="G1748" t="inlineStr">
        <is>
          <t>Tuesday</t>
        </is>
      </c>
      <c r="H1748" t="inlineStr">
        <is>
          <t>Monthly - Tuesday</t>
        </is>
      </c>
      <c r="I1748" t="inlineStr">
        <is>
          <t>MDAW - Tuesday</t>
        </is>
      </c>
      <c r="J1748" t="inlineStr">
        <is>
          <t>Same Month Expiry</t>
        </is>
      </c>
      <c r="K1748" s="25" t="n">
        <v>98572048</v>
      </c>
      <c r="L1748" s="26" t="n">
        <v>162343.2342</v>
      </c>
      <c r="M1748" s="26" t="n">
        <v>584.0995</v>
      </c>
    </row>
    <row r="1749" ht="16" customHeight="1">
      <c r="A1749" t="inlineStr">
        <is>
          <t>21-Jan-2026</t>
        </is>
      </c>
      <c r="B1749" t="inlineStr">
        <is>
          <t>Wednesday</t>
        </is>
      </c>
      <c r="C1749" t="inlineStr">
        <is>
          <t>Week3-Jan-2026</t>
        </is>
      </c>
      <c r="D1749" s="78" t="n">
        <v>46023</v>
      </c>
      <c r="E1749" t="inlineStr">
        <is>
          <t>Q4FY26</t>
        </is>
      </c>
      <c r="F1749" t="inlineStr">
        <is>
          <t>03-Feb-2026</t>
        </is>
      </c>
      <c r="G1749" t="inlineStr">
        <is>
          <t>Tuesday</t>
        </is>
      </c>
      <c r="H1749" t="inlineStr">
        <is>
          <t>Weekly - Tuesday</t>
        </is>
      </c>
      <c r="I1749" t="inlineStr">
        <is>
          <t>Weekly - Tuesday</t>
        </is>
      </c>
      <c r="J1749" t="inlineStr">
        <is>
          <t>Month+1 Expiry</t>
        </is>
      </c>
      <c r="K1749" s="25" t="n">
        <v>2214344</v>
      </c>
      <c r="L1749" s="26" t="n">
        <v>3659.1207</v>
      </c>
      <c r="M1749" s="26" t="n">
        <v>21.5356</v>
      </c>
    </row>
    <row r="1750" ht="16" customHeight="1">
      <c r="A1750" t="inlineStr">
        <is>
          <t>21-Jan-2026</t>
        </is>
      </c>
      <c r="B1750" t="inlineStr">
        <is>
          <t>Wednesday</t>
        </is>
      </c>
      <c r="C1750" t="inlineStr">
        <is>
          <t>Week3-Jan-2026</t>
        </is>
      </c>
      <c r="D1750" s="78" t="n">
        <v>46023</v>
      </c>
      <c r="E1750" t="inlineStr">
        <is>
          <t>Q4FY26</t>
        </is>
      </c>
      <c r="F1750" t="inlineStr">
        <is>
          <t>10-Feb-2026</t>
        </is>
      </c>
      <c r="G1750" t="inlineStr">
        <is>
          <t>Tuesday</t>
        </is>
      </c>
      <c r="H1750" t="inlineStr">
        <is>
          <t>Weekly - Tuesday</t>
        </is>
      </c>
      <c r="I1750" t="inlineStr">
        <is>
          <t>Weekly - Tuesday</t>
        </is>
      </c>
      <c r="J1750" t="inlineStr">
        <is>
          <t>Month+1 Expiry</t>
        </is>
      </c>
      <c r="K1750" s="25" t="n">
        <v>214954</v>
      </c>
      <c r="L1750" s="26" t="n">
        <v>356.885</v>
      </c>
      <c r="M1750" s="26" t="n">
        <v>2.3571</v>
      </c>
    </row>
    <row r="1751" ht="16" customHeight="1">
      <c r="A1751" t="inlineStr">
        <is>
          <t>21-Jan-2026</t>
        </is>
      </c>
      <c r="B1751" t="inlineStr">
        <is>
          <t>Wednesday</t>
        </is>
      </c>
      <c r="C1751" t="inlineStr">
        <is>
          <t>Week3-Jan-2026</t>
        </is>
      </c>
      <c r="D1751" s="78" t="n">
        <v>46023</v>
      </c>
      <c r="E1751" t="inlineStr">
        <is>
          <t>Q4FY26</t>
        </is>
      </c>
      <c r="F1751" t="inlineStr">
        <is>
          <t>17-Feb-2026</t>
        </is>
      </c>
      <c r="G1751" t="inlineStr">
        <is>
          <t>Tuesday</t>
        </is>
      </c>
      <c r="H1751" t="inlineStr">
        <is>
          <t>Weekly - Tuesday</t>
        </is>
      </c>
      <c r="I1751" t="inlineStr">
        <is>
          <t>Weekly - Tuesday</t>
        </is>
      </c>
      <c r="J1751" t="inlineStr">
        <is>
          <t>Month+1 Expiry</t>
        </is>
      </c>
      <c r="K1751" s="25" t="n">
        <v>22800</v>
      </c>
      <c r="L1751" s="26" t="n">
        <v>37.9015</v>
      </c>
      <c r="M1751" s="26" t="n">
        <v>0.3656</v>
      </c>
    </row>
    <row r="1752" ht="16" customHeight="1">
      <c r="A1752" t="inlineStr">
        <is>
          <t>21-Jan-2026</t>
        </is>
      </c>
      <c r="B1752" t="inlineStr">
        <is>
          <t>Wednesday</t>
        </is>
      </c>
      <c r="C1752" t="inlineStr">
        <is>
          <t>Week3-Jan-2026</t>
        </is>
      </c>
      <c r="D1752" s="78" t="n">
        <v>46023</v>
      </c>
      <c r="E1752" t="inlineStr">
        <is>
          <t>Q4FY26</t>
        </is>
      </c>
      <c r="F1752" t="inlineStr">
        <is>
          <t>24-Feb-2026</t>
        </is>
      </c>
      <c r="G1752" t="inlineStr">
        <is>
          <t>Tuesday</t>
        </is>
      </c>
      <c r="H1752" t="inlineStr">
        <is>
          <t>Monthly - Tuesday</t>
        </is>
      </c>
      <c r="I1752" t="inlineStr">
        <is>
          <t>Monthly - Tuesday</t>
        </is>
      </c>
      <c r="J1752" t="inlineStr">
        <is>
          <t>Month+1 Expiry</t>
        </is>
      </c>
      <c r="K1752" s="25" t="n">
        <v>1298066</v>
      </c>
      <c r="L1752" s="26" t="n">
        <v>2166.2117</v>
      </c>
      <c r="M1752" s="26" t="n">
        <v>21.606</v>
      </c>
    </row>
    <row r="1753" ht="16" customHeight="1">
      <c r="A1753" t="inlineStr">
        <is>
          <t>21-Jan-2026</t>
        </is>
      </c>
      <c r="B1753" t="inlineStr">
        <is>
          <t>Wednesday</t>
        </is>
      </c>
      <c r="C1753" t="inlineStr">
        <is>
          <t>Week3-Jan-2026</t>
        </is>
      </c>
      <c r="D1753" s="78" t="n">
        <v>46023</v>
      </c>
      <c r="E1753" t="inlineStr">
        <is>
          <t>Q4FY26</t>
        </is>
      </c>
      <c r="F1753" t="inlineStr">
        <is>
          <t>02-Mar-2026</t>
        </is>
      </c>
      <c r="G1753" t="inlineStr">
        <is>
          <t>Monday</t>
        </is>
      </c>
      <c r="H1753" t="inlineStr">
        <is>
          <t>Weekly - Monday</t>
        </is>
      </c>
      <c r="I1753" t="inlineStr">
        <is>
          <t>Weekly - Monday</t>
        </is>
      </c>
      <c r="J1753" t="inlineStr">
        <is>
          <t>Month+2 Expiry</t>
        </is>
      </c>
      <c r="K1753" s="25" t="n">
        <v>255</v>
      </c>
      <c r="L1753" s="26" t="n">
        <v>0.4371</v>
      </c>
      <c r="M1753" s="26" t="n">
        <v>0.0027</v>
      </c>
    </row>
    <row r="1754" ht="16" customHeight="1">
      <c r="A1754" t="inlineStr">
        <is>
          <t>21-Jan-2026</t>
        </is>
      </c>
      <c r="B1754" t="inlineStr">
        <is>
          <t>Wednesday</t>
        </is>
      </c>
      <c r="C1754" t="inlineStr">
        <is>
          <t>Week3-Jan-2026</t>
        </is>
      </c>
      <c r="D1754" s="78" t="n">
        <v>46023</v>
      </c>
      <c r="E1754" t="inlineStr">
        <is>
          <t>Q4FY26</t>
        </is>
      </c>
      <c r="F1754" t="inlineStr">
        <is>
          <t>30-Mar-2026</t>
        </is>
      </c>
      <c r="G1754" t="inlineStr">
        <is>
          <t>Monday</t>
        </is>
      </c>
      <c r="H1754" t="inlineStr">
        <is>
          <t>Monthly - Monday</t>
        </is>
      </c>
      <c r="I1754" t="inlineStr">
        <is>
          <t>Monthly - Monday</t>
        </is>
      </c>
      <c r="J1754" t="inlineStr">
        <is>
          <t>Month+2 Expiry</t>
        </is>
      </c>
      <c r="K1754" s="25" t="n">
        <v>370735</v>
      </c>
      <c r="L1754" s="26" t="n">
        <v>619.5688</v>
      </c>
      <c r="M1754" s="26" t="n">
        <v>8.1607</v>
      </c>
    </row>
    <row r="1755" ht="16" customHeight="1">
      <c r="A1755" t="inlineStr">
        <is>
          <t>21-Jan-2026</t>
        </is>
      </c>
      <c r="B1755" t="inlineStr">
        <is>
          <t>Wednesday</t>
        </is>
      </c>
      <c r="C1755" t="inlineStr">
        <is>
          <t>Week3-Jan-2026</t>
        </is>
      </c>
      <c r="D1755" s="78" t="n">
        <v>46023</v>
      </c>
      <c r="E1755" t="inlineStr">
        <is>
          <t>Q4FY26</t>
        </is>
      </c>
      <c r="F1755" t="inlineStr">
        <is>
          <t>30-Jun-2026</t>
        </is>
      </c>
      <c r="G1755" t="inlineStr">
        <is>
          <t>Tuesday</t>
        </is>
      </c>
      <c r="H1755" t="inlineStr">
        <is>
          <t>Monthly - Tuesday</t>
        </is>
      </c>
      <c r="I1755" t="inlineStr">
        <is>
          <t>Monthly - Tuesday</t>
        </is>
      </c>
      <c r="J1755" t="inlineStr">
        <is>
          <t>Month+5 Expiry</t>
        </is>
      </c>
      <c r="K1755" s="25" t="n">
        <v>69756</v>
      </c>
      <c r="L1755" s="26" t="n">
        <v>119.8308</v>
      </c>
      <c r="M1755" s="26" t="n">
        <v>1.9346</v>
      </c>
    </row>
    <row r="1756" ht="16" customHeight="1">
      <c r="A1756" t="inlineStr">
        <is>
          <t>21-Jan-2026</t>
        </is>
      </c>
      <c r="B1756" t="inlineStr">
        <is>
          <t>Wednesday</t>
        </is>
      </c>
      <c r="C1756" t="inlineStr">
        <is>
          <t>Week3-Jan-2026</t>
        </is>
      </c>
      <c r="D1756" s="78" t="n">
        <v>46023</v>
      </c>
      <c r="E1756" t="inlineStr">
        <is>
          <t>Q4FY26</t>
        </is>
      </c>
      <c r="F1756" t="inlineStr">
        <is>
          <t>29-Sep-2026</t>
        </is>
      </c>
      <c r="G1756" t="inlineStr">
        <is>
          <t>Tuesday</t>
        </is>
      </c>
      <c r="H1756" t="inlineStr">
        <is>
          <t>Monthly - Tuesday</t>
        </is>
      </c>
      <c r="I1756" t="inlineStr">
        <is>
          <t>Monthly - Tuesday</t>
        </is>
      </c>
      <c r="J1756" t="inlineStr">
        <is>
          <t>Month+8 Expiry</t>
        </is>
      </c>
      <c r="K1756" s="25" t="n">
        <v>10584</v>
      </c>
      <c r="L1756" s="26" t="n">
        <v>17.7443</v>
      </c>
      <c r="M1756" s="26" t="n">
        <v>0.2402</v>
      </c>
    </row>
    <row r="1757" ht="16" customHeight="1">
      <c r="A1757" t="inlineStr">
        <is>
          <t>21-Jan-2026</t>
        </is>
      </c>
      <c r="B1757" t="inlineStr">
        <is>
          <t>Wednesday</t>
        </is>
      </c>
      <c r="C1757" t="inlineStr">
        <is>
          <t>Week3-Jan-2026</t>
        </is>
      </c>
      <c r="D1757" s="78" t="n">
        <v>46023</v>
      </c>
      <c r="E1757" t="inlineStr">
        <is>
          <t>Q4FY26</t>
        </is>
      </c>
      <c r="F1757" t="inlineStr">
        <is>
          <t>29-Dec-2026</t>
        </is>
      </c>
      <c r="G1757" t="inlineStr">
        <is>
          <t>Tuesday</t>
        </is>
      </c>
      <c r="H1757" t="inlineStr">
        <is>
          <t>Monthly - Tuesday</t>
        </is>
      </c>
      <c r="I1757" t="inlineStr">
        <is>
          <t>Monthly - Tuesday</t>
        </is>
      </c>
      <c r="J1757" t="inlineStr">
        <is>
          <t>Month+11 Expiry</t>
        </is>
      </c>
      <c r="K1757" s="25" t="n">
        <v>17693</v>
      </c>
      <c r="L1757" s="26" t="n">
        <v>31.3106</v>
      </c>
      <c r="M1757" s="26" t="n">
        <v>0.9806</v>
      </c>
    </row>
    <row r="1758" ht="16" customHeight="1">
      <c r="A1758" t="inlineStr">
        <is>
          <t>21-Jan-2026</t>
        </is>
      </c>
      <c r="B1758" t="inlineStr">
        <is>
          <t>Wednesday</t>
        </is>
      </c>
      <c r="C1758" t="inlineStr">
        <is>
          <t>Week3-Jan-2026</t>
        </is>
      </c>
      <c r="D1758" s="78" t="n">
        <v>46023</v>
      </c>
      <c r="E1758" t="inlineStr">
        <is>
          <t>Q4FY26</t>
        </is>
      </c>
      <c r="F1758" t="inlineStr">
        <is>
          <t>29-Jun-2027</t>
        </is>
      </c>
      <c r="G1758" t="inlineStr">
        <is>
          <t>Tuesday</t>
        </is>
      </c>
      <c r="H1758" t="inlineStr">
        <is>
          <t>Monthly - Tuesday</t>
        </is>
      </c>
      <c r="I1758" t="inlineStr">
        <is>
          <t>Monthly - Tuesday</t>
        </is>
      </c>
      <c r="J1758" t="inlineStr">
        <is>
          <t>Month+17 Expiry</t>
        </is>
      </c>
      <c r="K1758" s="25" t="n">
        <v>0</v>
      </c>
      <c r="L1758" s="26" t="n">
        <v>0</v>
      </c>
      <c r="M1758" s="26" t="n">
        <v>0</v>
      </c>
    </row>
    <row r="1759" ht="16" customHeight="1">
      <c r="A1759" t="inlineStr">
        <is>
          <t>21-Jan-2026</t>
        </is>
      </c>
      <c r="B1759" t="inlineStr">
        <is>
          <t>Wednesday</t>
        </is>
      </c>
      <c r="C1759" t="inlineStr">
        <is>
          <t>Week3-Jan-2026</t>
        </is>
      </c>
      <c r="D1759" s="78" t="n">
        <v>46023</v>
      </c>
      <c r="E1759" t="inlineStr">
        <is>
          <t>Q4FY26</t>
        </is>
      </c>
      <c r="F1759" t="inlineStr">
        <is>
          <t>28-Dec-2027</t>
        </is>
      </c>
      <c r="G1759" t="inlineStr">
        <is>
          <t>Tuesday</t>
        </is>
      </c>
      <c r="H1759" t="inlineStr">
        <is>
          <t>Monthly - Tuesday</t>
        </is>
      </c>
      <c r="I1759" t="inlineStr">
        <is>
          <t>Monthly - Tuesday</t>
        </is>
      </c>
      <c r="J1759" t="inlineStr">
        <is>
          <t>Month+23 Expiry</t>
        </is>
      </c>
      <c r="K1759" s="25" t="n">
        <v>94</v>
      </c>
      <c r="L1759" s="26" t="n">
        <v>0.1644</v>
      </c>
      <c r="M1759" s="26" t="n">
        <v>0.0094</v>
      </c>
    </row>
    <row r="1760" ht="16" customHeight="1">
      <c r="A1760" t="inlineStr">
        <is>
          <t>21-Jan-2026</t>
        </is>
      </c>
      <c r="B1760" t="inlineStr">
        <is>
          <t>Wednesday</t>
        </is>
      </c>
      <c r="C1760" t="inlineStr">
        <is>
          <t>Week3-Jan-2026</t>
        </is>
      </c>
      <c r="D1760" s="78" t="n">
        <v>46023</v>
      </c>
      <c r="E1760" t="inlineStr">
        <is>
          <t>Q4FY26</t>
        </is>
      </c>
      <c r="F1760" t="inlineStr">
        <is>
          <t>27-Jun-2028</t>
        </is>
      </c>
      <c r="G1760" t="inlineStr">
        <is>
          <t>Tuesday</t>
        </is>
      </c>
      <c r="H1760" t="inlineStr">
        <is>
          <t>Monthly - Tuesday</t>
        </is>
      </c>
      <c r="I1760" t="inlineStr">
        <is>
          <t>Monthly - Tuesday</t>
        </is>
      </c>
      <c r="J1760" t="inlineStr">
        <is>
          <t>Month+29 Expiry</t>
        </is>
      </c>
      <c r="K1760" s="25" t="n">
        <v>0</v>
      </c>
      <c r="L1760" s="26" t="n">
        <v>0</v>
      </c>
      <c r="M1760" s="26" t="n">
        <v>0</v>
      </c>
    </row>
    <row r="1761" ht="16" customHeight="1">
      <c r="A1761" t="inlineStr">
        <is>
          <t>21-Jan-2026</t>
        </is>
      </c>
      <c r="B1761" t="inlineStr">
        <is>
          <t>Wednesday</t>
        </is>
      </c>
      <c r="C1761" t="inlineStr">
        <is>
          <t>Week3-Jan-2026</t>
        </is>
      </c>
      <c r="D1761" s="78" t="n">
        <v>46023</v>
      </c>
      <c r="E1761" t="inlineStr">
        <is>
          <t>Q4FY26</t>
        </is>
      </c>
      <c r="F1761" t="inlineStr">
        <is>
          <t>26-Dec-2028</t>
        </is>
      </c>
      <c r="G1761" t="inlineStr">
        <is>
          <t>Tuesday</t>
        </is>
      </c>
      <c r="H1761" t="inlineStr">
        <is>
          <t>Monthly - Tuesday</t>
        </is>
      </c>
      <c r="I1761" t="inlineStr">
        <is>
          <t>Monthly - Tuesday</t>
        </is>
      </c>
      <c r="J1761" t="inlineStr">
        <is>
          <t>Month+35 Expiry</t>
        </is>
      </c>
      <c r="K1761" s="25" t="n">
        <v>12</v>
      </c>
      <c r="L1761" s="26" t="n">
        <v>0.0192</v>
      </c>
      <c r="M1761" s="26" t="n">
        <v>0.0005</v>
      </c>
    </row>
    <row r="1762" ht="16" customHeight="1">
      <c r="A1762" t="inlineStr">
        <is>
          <t>21-Jan-2026</t>
        </is>
      </c>
      <c r="B1762" t="inlineStr">
        <is>
          <t>Wednesday</t>
        </is>
      </c>
      <c r="C1762" t="inlineStr">
        <is>
          <t>Week3-Jan-2026</t>
        </is>
      </c>
      <c r="D1762" s="78" t="n">
        <v>46023</v>
      </c>
      <c r="E1762" t="inlineStr">
        <is>
          <t>Q4FY26</t>
        </is>
      </c>
      <c r="F1762" t="inlineStr">
        <is>
          <t>26-Jun-2029</t>
        </is>
      </c>
      <c r="G1762" t="inlineStr">
        <is>
          <t>Tuesday</t>
        </is>
      </c>
      <c r="H1762" t="inlineStr">
        <is>
          <t>Monthly - Tuesday</t>
        </is>
      </c>
      <c r="I1762" t="inlineStr">
        <is>
          <t>Monthly - Tuesday</t>
        </is>
      </c>
      <c r="J1762" t="inlineStr">
        <is>
          <t>Month+41 Expiry</t>
        </is>
      </c>
      <c r="K1762" s="25" t="n">
        <v>0</v>
      </c>
      <c r="L1762" s="26" t="n">
        <v>0</v>
      </c>
      <c r="M1762" s="26" t="n">
        <v>0</v>
      </c>
    </row>
    <row r="1763" ht="16" customHeight="1">
      <c r="A1763" t="inlineStr">
        <is>
          <t>21-Jan-2026</t>
        </is>
      </c>
      <c r="B1763" t="inlineStr">
        <is>
          <t>Wednesday</t>
        </is>
      </c>
      <c r="C1763" t="inlineStr">
        <is>
          <t>Week3-Jan-2026</t>
        </is>
      </c>
      <c r="D1763" s="78" t="n">
        <v>46023</v>
      </c>
      <c r="E1763" t="inlineStr">
        <is>
          <t>Q4FY26</t>
        </is>
      </c>
      <c r="F1763" t="inlineStr">
        <is>
          <t>24-Dec-2029</t>
        </is>
      </c>
      <c r="G1763" t="inlineStr">
        <is>
          <t>Monday</t>
        </is>
      </c>
      <c r="H1763" t="inlineStr">
        <is>
          <t>Weekly - Monday</t>
        </is>
      </c>
      <c r="I1763" t="inlineStr">
        <is>
          <t>Weekly - Monday</t>
        </is>
      </c>
      <c r="J1763" t="inlineStr">
        <is>
          <t>Month+47 Expiry</t>
        </is>
      </c>
      <c r="K1763" s="25" t="n">
        <v>0</v>
      </c>
      <c r="L1763" s="26" t="n">
        <v>0</v>
      </c>
      <c r="M1763" s="26" t="n">
        <v>0</v>
      </c>
    </row>
    <row r="1764" ht="16" customHeight="1">
      <c r="A1764" t="inlineStr">
        <is>
          <t>21-Jan-2026</t>
        </is>
      </c>
      <c r="B1764" t="inlineStr">
        <is>
          <t>Wednesday</t>
        </is>
      </c>
      <c r="C1764" t="inlineStr">
        <is>
          <t>Week3-Jan-2026</t>
        </is>
      </c>
      <c r="D1764" s="78" t="n">
        <v>46023</v>
      </c>
      <c r="E1764" t="inlineStr">
        <is>
          <t>Q4FY26</t>
        </is>
      </c>
      <c r="F1764" t="inlineStr">
        <is>
          <t>25-Jun-2030</t>
        </is>
      </c>
      <c r="G1764" t="inlineStr">
        <is>
          <t>Tuesday</t>
        </is>
      </c>
      <c r="H1764" t="inlineStr">
        <is>
          <t>Monthly - Tuesday</t>
        </is>
      </c>
      <c r="I1764" t="inlineStr">
        <is>
          <t>Monthly - Tuesday</t>
        </is>
      </c>
      <c r="J1764" t="inlineStr">
        <is>
          <t>Month+53 Expiry</t>
        </is>
      </c>
      <c r="K1764" s="25" t="n">
        <v>0</v>
      </c>
      <c r="L1764" s="26" t="n">
        <v>0</v>
      </c>
      <c r="M1764" s="26" t="n">
        <v>0</v>
      </c>
    </row>
    <row r="1765" ht="16" customHeight="1">
      <c r="A1765" t="inlineStr">
        <is>
          <t>21-Jan-2026</t>
        </is>
      </c>
      <c r="B1765" t="inlineStr">
        <is>
          <t>Wednesday</t>
        </is>
      </c>
      <c r="C1765" t="inlineStr">
        <is>
          <t>Week3-Jan-2026</t>
        </is>
      </c>
      <c r="D1765" s="78" t="n">
        <v>46023</v>
      </c>
      <c r="E1765" t="inlineStr">
        <is>
          <t>Q4FY26</t>
        </is>
      </c>
      <c r="F1765" t="inlineStr">
        <is>
          <t>31-Dec-2030</t>
        </is>
      </c>
      <c r="G1765" t="inlineStr">
        <is>
          <t>Tuesday</t>
        </is>
      </c>
      <c r="H1765" t="inlineStr">
        <is>
          <t>Monthly - Tuesday</t>
        </is>
      </c>
      <c r="I1765" t="inlineStr">
        <is>
          <t>Monthly - Tuesday</t>
        </is>
      </c>
      <c r="J1765" t="inlineStr">
        <is>
          <t>Month+59 Expiry</t>
        </is>
      </c>
      <c r="K1765" s="25" t="n">
        <v>0</v>
      </c>
      <c r="L1765" s="26" t="n">
        <v>0</v>
      </c>
      <c r="M1765" s="26" t="n">
        <v>0</v>
      </c>
    </row>
    <row r="1766" ht="16" customHeight="1">
      <c r="A1766" t="inlineStr">
        <is>
          <t>22-Jan-2026</t>
        </is>
      </c>
      <c r="B1766" t="inlineStr">
        <is>
          <t>Thursday</t>
        </is>
      </c>
      <c r="C1766" t="inlineStr">
        <is>
          <t>Week4-Jan-2026</t>
        </is>
      </c>
      <c r="D1766" s="78" t="n">
        <v>46023</v>
      </c>
      <c r="E1766" t="inlineStr">
        <is>
          <t>Q4FY26</t>
        </is>
      </c>
      <c r="F1766" t="inlineStr">
        <is>
          <t>27-Jan-2026</t>
        </is>
      </c>
      <c r="G1766" t="inlineStr">
        <is>
          <t>Tuesday</t>
        </is>
      </c>
      <c r="H1766" t="inlineStr">
        <is>
          <t>Monthly - Tuesday</t>
        </is>
      </c>
      <c r="I1766" t="inlineStr">
        <is>
          <t>MDAW - Tuesday</t>
        </is>
      </c>
      <c r="J1766" t="inlineStr">
        <is>
          <t>Same Month Expiry</t>
        </is>
      </c>
      <c r="K1766" s="25" t="n">
        <v>89227070</v>
      </c>
      <c r="L1766" s="26" t="n">
        <v>147040.2382</v>
      </c>
      <c r="M1766" s="26" t="n">
        <v>438.0888</v>
      </c>
    </row>
    <row r="1767" ht="16" customHeight="1">
      <c r="A1767" t="inlineStr">
        <is>
          <t>22-Jan-2026</t>
        </is>
      </c>
      <c r="B1767" t="inlineStr">
        <is>
          <t>Thursday</t>
        </is>
      </c>
      <c r="C1767" t="inlineStr">
        <is>
          <t>Week4-Jan-2026</t>
        </is>
      </c>
      <c r="D1767" s="78" t="n">
        <v>46023</v>
      </c>
      <c r="E1767" t="inlineStr">
        <is>
          <t>Q4FY26</t>
        </is>
      </c>
      <c r="F1767" t="inlineStr">
        <is>
          <t>03-Feb-2026</t>
        </is>
      </c>
      <c r="G1767" t="inlineStr">
        <is>
          <t>Tuesday</t>
        </is>
      </c>
      <c r="H1767" t="inlineStr">
        <is>
          <t>Weekly - Tuesday</t>
        </is>
      </c>
      <c r="I1767" t="inlineStr">
        <is>
          <t>Weekly - Tuesday</t>
        </is>
      </c>
      <c r="J1767" t="inlineStr">
        <is>
          <t>Month+1 Expiry</t>
        </is>
      </c>
      <c r="K1767" s="25" t="n">
        <v>2167294</v>
      </c>
      <c r="L1767" s="26" t="n">
        <v>3586.578</v>
      </c>
      <c r="M1767" s="26" t="n">
        <v>20.4109</v>
      </c>
    </row>
    <row r="1768" ht="16" customHeight="1">
      <c r="A1768" t="inlineStr">
        <is>
          <t>22-Jan-2026</t>
        </is>
      </c>
      <c r="B1768" t="inlineStr">
        <is>
          <t>Thursday</t>
        </is>
      </c>
      <c r="C1768" t="inlineStr">
        <is>
          <t>Week4-Jan-2026</t>
        </is>
      </c>
      <c r="D1768" s="78" t="n">
        <v>46023</v>
      </c>
      <c r="E1768" t="inlineStr">
        <is>
          <t>Q4FY26</t>
        </is>
      </c>
      <c r="F1768" t="inlineStr">
        <is>
          <t>10-Feb-2026</t>
        </is>
      </c>
      <c r="G1768" t="inlineStr">
        <is>
          <t>Tuesday</t>
        </is>
      </c>
      <c r="H1768" t="inlineStr">
        <is>
          <t>Weekly - Tuesday</t>
        </is>
      </c>
      <c r="I1768" t="inlineStr">
        <is>
          <t>Weekly - Tuesday</t>
        </is>
      </c>
      <c r="J1768" t="inlineStr">
        <is>
          <t>Month+1 Expiry</t>
        </is>
      </c>
      <c r="K1768" s="25" t="n">
        <v>186101</v>
      </c>
      <c r="L1768" s="26" t="n">
        <v>309.0262</v>
      </c>
      <c r="M1768" s="26" t="n">
        <v>2.146</v>
      </c>
    </row>
    <row r="1769" ht="16" customHeight="1">
      <c r="A1769" t="inlineStr">
        <is>
          <t>22-Jan-2026</t>
        </is>
      </c>
      <c r="B1769" t="inlineStr">
        <is>
          <t>Thursday</t>
        </is>
      </c>
      <c r="C1769" t="inlineStr">
        <is>
          <t>Week4-Jan-2026</t>
        </is>
      </c>
      <c r="D1769" s="78" t="n">
        <v>46023</v>
      </c>
      <c r="E1769" t="inlineStr">
        <is>
          <t>Q4FY26</t>
        </is>
      </c>
      <c r="F1769" t="inlineStr">
        <is>
          <t>17-Feb-2026</t>
        </is>
      </c>
      <c r="G1769" t="inlineStr">
        <is>
          <t>Tuesday</t>
        </is>
      </c>
      <c r="H1769" t="inlineStr">
        <is>
          <t>Weekly - Tuesday</t>
        </is>
      </c>
      <c r="I1769" t="inlineStr">
        <is>
          <t>Weekly - Tuesday</t>
        </is>
      </c>
      <c r="J1769" t="inlineStr">
        <is>
          <t>Month+1 Expiry</t>
        </is>
      </c>
      <c r="K1769" s="25" t="n">
        <v>20271</v>
      </c>
      <c r="L1769" s="26" t="n">
        <v>33.686</v>
      </c>
      <c r="M1769" s="26" t="n">
        <v>0.3169</v>
      </c>
    </row>
    <row r="1770" ht="16" customHeight="1">
      <c r="A1770" t="inlineStr">
        <is>
          <t>22-Jan-2026</t>
        </is>
      </c>
      <c r="B1770" t="inlineStr">
        <is>
          <t>Thursday</t>
        </is>
      </c>
      <c r="C1770" t="inlineStr">
        <is>
          <t>Week4-Jan-2026</t>
        </is>
      </c>
      <c r="D1770" s="78" t="n">
        <v>46023</v>
      </c>
      <c r="E1770" t="inlineStr">
        <is>
          <t>Q4FY26</t>
        </is>
      </c>
      <c r="F1770" t="inlineStr">
        <is>
          <t>24-Feb-2026</t>
        </is>
      </c>
      <c r="G1770" t="inlineStr">
        <is>
          <t>Tuesday</t>
        </is>
      </c>
      <c r="H1770" t="inlineStr">
        <is>
          <t>Monthly - Tuesday</t>
        </is>
      </c>
      <c r="I1770" t="inlineStr">
        <is>
          <t>Monthly - Tuesday</t>
        </is>
      </c>
      <c r="J1770" t="inlineStr">
        <is>
          <t>Month+1 Expiry</t>
        </is>
      </c>
      <c r="K1770" s="25" t="n">
        <v>864709</v>
      </c>
      <c r="L1770" s="26" t="n">
        <v>1446.9324</v>
      </c>
      <c r="M1770" s="26" t="n">
        <v>14.3441</v>
      </c>
    </row>
    <row r="1771" ht="16" customHeight="1">
      <c r="A1771" t="inlineStr">
        <is>
          <t>22-Jan-2026</t>
        </is>
      </c>
      <c r="B1771" t="inlineStr">
        <is>
          <t>Thursday</t>
        </is>
      </c>
      <c r="C1771" t="inlineStr">
        <is>
          <t>Week4-Jan-2026</t>
        </is>
      </c>
      <c r="D1771" s="78" t="n">
        <v>46023</v>
      </c>
      <c r="E1771" t="inlineStr">
        <is>
          <t>Q4FY26</t>
        </is>
      </c>
      <c r="F1771" t="inlineStr">
        <is>
          <t>02-Mar-2026</t>
        </is>
      </c>
      <c r="G1771" t="inlineStr">
        <is>
          <t>Monday</t>
        </is>
      </c>
      <c r="H1771" t="inlineStr">
        <is>
          <t>Weekly - Monday</t>
        </is>
      </c>
      <c r="I1771" t="inlineStr">
        <is>
          <t>Weekly - Monday</t>
        </is>
      </c>
      <c r="J1771" t="inlineStr">
        <is>
          <t>Month+2 Expiry</t>
        </is>
      </c>
      <c r="K1771" s="25" t="n">
        <v>323</v>
      </c>
      <c r="L1771" s="26" t="n">
        <v>0.5478</v>
      </c>
      <c r="M1771" s="26" t="n">
        <v>0.0027</v>
      </c>
    </row>
    <row r="1772" ht="16" customHeight="1">
      <c r="A1772" t="inlineStr">
        <is>
          <t>22-Jan-2026</t>
        </is>
      </c>
      <c r="B1772" t="inlineStr">
        <is>
          <t>Thursday</t>
        </is>
      </c>
      <c r="C1772" t="inlineStr">
        <is>
          <t>Week4-Jan-2026</t>
        </is>
      </c>
      <c r="D1772" s="78" t="n">
        <v>46023</v>
      </c>
      <c r="E1772" t="inlineStr">
        <is>
          <t>Q4FY26</t>
        </is>
      </c>
      <c r="F1772" t="inlineStr">
        <is>
          <t>30-Mar-2026</t>
        </is>
      </c>
      <c r="G1772" t="inlineStr">
        <is>
          <t>Monday</t>
        </is>
      </c>
      <c r="H1772" t="inlineStr">
        <is>
          <t>Monthly - Monday</t>
        </is>
      </c>
      <c r="I1772" t="inlineStr">
        <is>
          <t>Monthly - Monday</t>
        </is>
      </c>
      <c r="J1772" t="inlineStr">
        <is>
          <t>Month+2 Expiry</t>
        </is>
      </c>
      <c r="K1772" s="25" t="n">
        <v>225978</v>
      </c>
      <c r="L1772" s="26" t="n">
        <v>378.6056</v>
      </c>
      <c r="M1772" s="26" t="n">
        <v>4.7517</v>
      </c>
    </row>
    <row r="1773" ht="16" customHeight="1">
      <c r="A1773" t="inlineStr">
        <is>
          <t>22-Jan-2026</t>
        </is>
      </c>
      <c r="B1773" t="inlineStr">
        <is>
          <t>Thursday</t>
        </is>
      </c>
      <c r="C1773" t="inlineStr">
        <is>
          <t>Week4-Jan-2026</t>
        </is>
      </c>
      <c r="D1773" s="78" t="n">
        <v>46023</v>
      </c>
      <c r="E1773" t="inlineStr">
        <is>
          <t>Q4FY26</t>
        </is>
      </c>
      <c r="F1773" t="inlineStr">
        <is>
          <t>30-Jun-2026</t>
        </is>
      </c>
      <c r="G1773" t="inlineStr">
        <is>
          <t>Tuesday</t>
        </is>
      </c>
      <c r="H1773" t="inlineStr">
        <is>
          <t>Monthly - Tuesday</t>
        </is>
      </c>
      <c r="I1773" t="inlineStr">
        <is>
          <t>Monthly - Tuesday</t>
        </is>
      </c>
      <c r="J1773" t="inlineStr">
        <is>
          <t>Month+5 Expiry</t>
        </is>
      </c>
      <c r="K1773" s="25" t="n">
        <v>30285</v>
      </c>
      <c r="L1773" s="26" t="n">
        <v>50.1574</v>
      </c>
      <c r="M1773" s="26" t="n">
        <v>0.8303</v>
      </c>
    </row>
    <row r="1774" ht="16" customHeight="1">
      <c r="A1774" t="inlineStr">
        <is>
          <t>22-Jan-2026</t>
        </is>
      </c>
      <c r="B1774" t="inlineStr">
        <is>
          <t>Thursday</t>
        </is>
      </c>
      <c r="C1774" t="inlineStr">
        <is>
          <t>Week4-Jan-2026</t>
        </is>
      </c>
      <c r="D1774" s="78" t="n">
        <v>46023</v>
      </c>
      <c r="E1774" t="inlineStr">
        <is>
          <t>Q4FY26</t>
        </is>
      </c>
      <c r="F1774" t="inlineStr">
        <is>
          <t>29-Sep-2026</t>
        </is>
      </c>
      <c r="G1774" t="inlineStr">
        <is>
          <t>Tuesday</t>
        </is>
      </c>
      <c r="H1774" t="inlineStr">
        <is>
          <t>Monthly - Tuesday</t>
        </is>
      </c>
      <c r="I1774" t="inlineStr">
        <is>
          <t>Monthly - Tuesday</t>
        </is>
      </c>
      <c r="J1774" t="inlineStr">
        <is>
          <t>Month+8 Expiry</t>
        </is>
      </c>
      <c r="K1774" s="25" t="n">
        <v>4255</v>
      </c>
      <c r="L1774" s="26" t="n">
        <v>7.0849</v>
      </c>
      <c r="M1774" s="26" t="n">
        <v>0.1301</v>
      </c>
    </row>
    <row r="1775" ht="16" customHeight="1">
      <c r="A1775" t="inlineStr">
        <is>
          <t>22-Jan-2026</t>
        </is>
      </c>
      <c r="B1775" t="inlineStr">
        <is>
          <t>Thursday</t>
        </is>
      </c>
      <c r="C1775" t="inlineStr">
        <is>
          <t>Week4-Jan-2026</t>
        </is>
      </c>
      <c r="D1775" s="78" t="n">
        <v>46023</v>
      </c>
      <c r="E1775" t="inlineStr">
        <is>
          <t>Q4FY26</t>
        </is>
      </c>
      <c r="F1775" t="inlineStr">
        <is>
          <t>29-Dec-2026</t>
        </is>
      </c>
      <c r="G1775" t="inlineStr">
        <is>
          <t>Tuesday</t>
        </is>
      </c>
      <c r="H1775" t="inlineStr">
        <is>
          <t>Monthly - Tuesday</t>
        </is>
      </c>
      <c r="I1775" t="inlineStr">
        <is>
          <t>Monthly - Tuesday</t>
        </is>
      </c>
      <c r="J1775" t="inlineStr">
        <is>
          <t>Month+11 Expiry</t>
        </is>
      </c>
      <c r="K1775" s="25" t="n">
        <v>9632</v>
      </c>
      <c r="L1775" s="26" t="n">
        <v>16.8337</v>
      </c>
      <c r="M1775" s="26" t="n">
        <v>0.5672</v>
      </c>
    </row>
    <row r="1776" ht="16" customHeight="1">
      <c r="A1776" t="inlineStr">
        <is>
          <t>22-Jan-2026</t>
        </is>
      </c>
      <c r="B1776" t="inlineStr">
        <is>
          <t>Thursday</t>
        </is>
      </c>
      <c r="C1776" t="inlineStr">
        <is>
          <t>Week4-Jan-2026</t>
        </is>
      </c>
      <c r="D1776" s="78" t="n">
        <v>46023</v>
      </c>
      <c r="E1776" t="inlineStr">
        <is>
          <t>Q4FY26</t>
        </is>
      </c>
      <c r="F1776" t="inlineStr">
        <is>
          <t>29-Jun-2027</t>
        </is>
      </c>
      <c r="G1776" t="inlineStr">
        <is>
          <t>Tuesday</t>
        </is>
      </c>
      <c r="H1776" t="inlineStr">
        <is>
          <t>Monthly - Tuesday</t>
        </is>
      </c>
      <c r="I1776" t="inlineStr">
        <is>
          <t>Monthly - Tuesday</t>
        </is>
      </c>
      <c r="J1776" t="inlineStr">
        <is>
          <t>Month+17 Expiry</t>
        </is>
      </c>
      <c r="K1776" s="25" t="n">
        <v>0</v>
      </c>
      <c r="L1776" s="26" t="n">
        <v>0</v>
      </c>
      <c r="M1776" s="26" t="n">
        <v>0</v>
      </c>
    </row>
    <row r="1777" ht="16" customHeight="1">
      <c r="A1777" t="inlineStr">
        <is>
          <t>22-Jan-2026</t>
        </is>
      </c>
      <c r="B1777" t="inlineStr">
        <is>
          <t>Thursday</t>
        </is>
      </c>
      <c r="C1777" t="inlineStr">
        <is>
          <t>Week4-Jan-2026</t>
        </is>
      </c>
      <c r="D1777" s="78" t="n">
        <v>46023</v>
      </c>
      <c r="E1777" t="inlineStr">
        <is>
          <t>Q4FY26</t>
        </is>
      </c>
      <c r="F1777" t="inlineStr">
        <is>
          <t>28-Dec-2027</t>
        </is>
      </c>
      <c r="G1777" t="inlineStr">
        <is>
          <t>Tuesday</t>
        </is>
      </c>
      <c r="H1777" t="inlineStr">
        <is>
          <t>Monthly - Tuesday</t>
        </is>
      </c>
      <c r="I1777" t="inlineStr">
        <is>
          <t>Monthly - Tuesday</t>
        </is>
      </c>
      <c r="J1777" t="inlineStr">
        <is>
          <t>Month+23 Expiry</t>
        </is>
      </c>
      <c r="K1777" s="25" t="n">
        <v>74</v>
      </c>
      <c r="L1777" s="26" t="n">
        <v>0.1248</v>
      </c>
      <c r="M1777" s="26" t="n">
        <v>0.0041</v>
      </c>
    </row>
    <row r="1778" ht="16" customHeight="1">
      <c r="A1778" t="inlineStr">
        <is>
          <t>22-Jan-2026</t>
        </is>
      </c>
      <c r="B1778" t="inlineStr">
        <is>
          <t>Thursday</t>
        </is>
      </c>
      <c r="C1778" t="inlineStr">
        <is>
          <t>Week4-Jan-2026</t>
        </is>
      </c>
      <c r="D1778" s="78" t="n">
        <v>46023</v>
      </c>
      <c r="E1778" t="inlineStr">
        <is>
          <t>Q4FY26</t>
        </is>
      </c>
      <c r="F1778" t="inlineStr">
        <is>
          <t>27-Jun-2028</t>
        </is>
      </c>
      <c r="G1778" t="inlineStr">
        <is>
          <t>Tuesday</t>
        </is>
      </c>
      <c r="H1778" t="inlineStr">
        <is>
          <t>Monthly - Tuesday</t>
        </is>
      </c>
      <c r="I1778" t="inlineStr">
        <is>
          <t>Monthly - Tuesday</t>
        </is>
      </c>
      <c r="J1778" t="inlineStr">
        <is>
          <t>Month+29 Expiry</t>
        </is>
      </c>
      <c r="K1778" s="25" t="n">
        <v>0</v>
      </c>
      <c r="L1778" s="26" t="n">
        <v>0</v>
      </c>
      <c r="M1778" s="26" t="n">
        <v>0</v>
      </c>
    </row>
    <row r="1779" ht="16" customHeight="1">
      <c r="A1779" t="inlineStr">
        <is>
          <t>22-Jan-2026</t>
        </is>
      </c>
      <c r="B1779" t="inlineStr">
        <is>
          <t>Thursday</t>
        </is>
      </c>
      <c r="C1779" t="inlineStr">
        <is>
          <t>Week4-Jan-2026</t>
        </is>
      </c>
      <c r="D1779" s="78" t="n">
        <v>46023</v>
      </c>
      <c r="E1779" t="inlineStr">
        <is>
          <t>Q4FY26</t>
        </is>
      </c>
      <c r="F1779" t="inlineStr">
        <is>
          <t>26-Dec-2028</t>
        </is>
      </c>
      <c r="G1779" t="inlineStr">
        <is>
          <t>Tuesday</t>
        </is>
      </c>
      <c r="H1779" t="inlineStr">
        <is>
          <t>Monthly - Tuesday</t>
        </is>
      </c>
      <c r="I1779" t="inlineStr">
        <is>
          <t>Monthly - Tuesday</t>
        </is>
      </c>
      <c r="J1779" t="inlineStr">
        <is>
          <t>Month+35 Expiry</t>
        </is>
      </c>
      <c r="K1779" s="25" t="n">
        <v>1</v>
      </c>
      <c r="L1779" s="26" t="n">
        <v>0.0018</v>
      </c>
      <c r="M1779" s="26" t="n">
        <v>0.0001</v>
      </c>
    </row>
    <row r="1780" ht="16" customHeight="1">
      <c r="A1780" t="inlineStr">
        <is>
          <t>22-Jan-2026</t>
        </is>
      </c>
      <c r="B1780" t="inlineStr">
        <is>
          <t>Thursday</t>
        </is>
      </c>
      <c r="C1780" t="inlineStr">
        <is>
          <t>Week4-Jan-2026</t>
        </is>
      </c>
      <c r="D1780" s="78" t="n">
        <v>46023</v>
      </c>
      <c r="E1780" t="inlineStr">
        <is>
          <t>Q4FY26</t>
        </is>
      </c>
      <c r="F1780" t="inlineStr">
        <is>
          <t>26-Jun-2029</t>
        </is>
      </c>
      <c r="G1780" t="inlineStr">
        <is>
          <t>Tuesday</t>
        </is>
      </c>
      <c r="H1780" t="inlineStr">
        <is>
          <t>Monthly - Tuesday</t>
        </is>
      </c>
      <c r="I1780" t="inlineStr">
        <is>
          <t>Monthly - Tuesday</t>
        </is>
      </c>
      <c r="J1780" t="inlineStr">
        <is>
          <t>Month+41 Expiry</t>
        </is>
      </c>
      <c r="K1780" s="25" t="n">
        <v>0</v>
      </c>
      <c r="L1780" s="26" t="n">
        <v>0</v>
      </c>
      <c r="M1780" s="26" t="n">
        <v>0</v>
      </c>
    </row>
    <row r="1781" ht="16" customHeight="1">
      <c r="A1781" t="inlineStr">
        <is>
          <t>22-Jan-2026</t>
        </is>
      </c>
      <c r="B1781" t="inlineStr">
        <is>
          <t>Thursday</t>
        </is>
      </c>
      <c r="C1781" t="inlineStr">
        <is>
          <t>Week4-Jan-2026</t>
        </is>
      </c>
      <c r="D1781" s="78" t="n">
        <v>46023</v>
      </c>
      <c r="E1781" t="inlineStr">
        <is>
          <t>Q4FY26</t>
        </is>
      </c>
      <c r="F1781" t="inlineStr">
        <is>
          <t>24-Dec-2029</t>
        </is>
      </c>
      <c r="G1781" t="inlineStr">
        <is>
          <t>Monday</t>
        </is>
      </c>
      <c r="H1781" t="inlineStr">
        <is>
          <t>Weekly - Monday</t>
        </is>
      </c>
      <c r="I1781" t="inlineStr">
        <is>
          <t>Weekly - Monday</t>
        </is>
      </c>
      <c r="J1781" t="inlineStr">
        <is>
          <t>Month+47 Expiry</t>
        </is>
      </c>
      <c r="K1781" s="25" t="n">
        <v>0</v>
      </c>
      <c r="L1781" s="26" t="n">
        <v>0</v>
      </c>
      <c r="M1781" s="26" t="n">
        <v>0</v>
      </c>
    </row>
    <row r="1782" ht="16" customHeight="1">
      <c r="A1782" t="inlineStr">
        <is>
          <t>22-Jan-2026</t>
        </is>
      </c>
      <c r="B1782" t="inlineStr">
        <is>
          <t>Thursday</t>
        </is>
      </c>
      <c r="C1782" t="inlineStr">
        <is>
          <t>Week4-Jan-2026</t>
        </is>
      </c>
      <c r="D1782" s="78" t="n">
        <v>46023</v>
      </c>
      <c r="E1782" t="inlineStr">
        <is>
          <t>Q4FY26</t>
        </is>
      </c>
      <c r="F1782" t="inlineStr">
        <is>
          <t>25-Jun-2030</t>
        </is>
      </c>
      <c r="G1782" t="inlineStr">
        <is>
          <t>Tuesday</t>
        </is>
      </c>
      <c r="H1782" t="inlineStr">
        <is>
          <t>Monthly - Tuesday</t>
        </is>
      </c>
      <c r="I1782" t="inlineStr">
        <is>
          <t>Monthly - Tuesday</t>
        </is>
      </c>
      <c r="J1782" t="inlineStr">
        <is>
          <t>Month+53 Expiry</t>
        </is>
      </c>
      <c r="K1782" s="25" t="n">
        <v>0</v>
      </c>
      <c r="L1782" s="26" t="n">
        <v>0</v>
      </c>
      <c r="M1782" s="26" t="n">
        <v>0</v>
      </c>
    </row>
    <row r="1783" ht="16" customHeight="1">
      <c r="A1783" t="inlineStr">
        <is>
          <t>22-Jan-2026</t>
        </is>
      </c>
      <c r="B1783" t="inlineStr">
        <is>
          <t>Thursday</t>
        </is>
      </c>
      <c r="C1783" t="inlineStr">
        <is>
          <t>Week4-Jan-2026</t>
        </is>
      </c>
      <c r="D1783" s="78" t="n">
        <v>46023</v>
      </c>
      <c r="E1783" t="inlineStr">
        <is>
          <t>Q4FY26</t>
        </is>
      </c>
      <c r="F1783" t="inlineStr">
        <is>
          <t>31-Dec-2030</t>
        </is>
      </c>
      <c r="G1783" t="inlineStr">
        <is>
          <t>Tuesday</t>
        </is>
      </c>
      <c r="H1783" t="inlineStr">
        <is>
          <t>Monthly - Tuesday</t>
        </is>
      </c>
      <c r="I1783" t="inlineStr">
        <is>
          <t>Monthly - Tuesday</t>
        </is>
      </c>
      <c r="J1783" t="inlineStr">
        <is>
          <t>Month+59 Expiry</t>
        </is>
      </c>
      <c r="K1783" s="25" t="n">
        <v>0</v>
      </c>
      <c r="L1783" s="26" t="n">
        <v>0</v>
      </c>
      <c r="M1783" s="26" t="n">
        <v>0</v>
      </c>
    </row>
    <row r="1784" ht="16" customHeight="1">
      <c r="A1784" t="inlineStr">
        <is>
          <t>23-Jan-2026</t>
        </is>
      </c>
      <c r="B1784" t="inlineStr">
        <is>
          <t>Friday</t>
        </is>
      </c>
      <c r="C1784" t="inlineStr">
        <is>
          <t>Week4-Jan-2026</t>
        </is>
      </c>
      <c r="D1784" s="78" t="n">
        <v>46023</v>
      </c>
      <c r="E1784" t="inlineStr">
        <is>
          <t>Q4FY26</t>
        </is>
      </c>
      <c r="F1784" t="inlineStr">
        <is>
          <t>27-Jan-2026</t>
        </is>
      </c>
      <c r="G1784" t="inlineStr">
        <is>
          <t>Tuesday</t>
        </is>
      </c>
      <c r="H1784" t="inlineStr">
        <is>
          <t>Monthly - Tuesday</t>
        </is>
      </c>
      <c r="I1784" t="inlineStr">
        <is>
          <t>MDAW - Tuesday</t>
        </is>
      </c>
      <c r="J1784" t="inlineStr">
        <is>
          <t>Same Month Expiry</t>
        </is>
      </c>
      <c r="K1784" s="25" t="n">
        <v>149220916</v>
      </c>
      <c r="L1784" s="26" t="n">
        <v>245364.4177</v>
      </c>
      <c r="M1784" s="26" t="n">
        <v>621.8991</v>
      </c>
    </row>
    <row r="1785" ht="16" customHeight="1">
      <c r="A1785" t="inlineStr">
        <is>
          <t>23-Jan-2026</t>
        </is>
      </c>
      <c r="B1785" t="inlineStr">
        <is>
          <t>Friday</t>
        </is>
      </c>
      <c r="C1785" t="inlineStr">
        <is>
          <t>Week4-Jan-2026</t>
        </is>
      </c>
      <c r="D1785" s="78" t="n">
        <v>46023</v>
      </c>
      <c r="E1785" t="inlineStr">
        <is>
          <t>Q4FY26</t>
        </is>
      </c>
      <c r="F1785" t="inlineStr">
        <is>
          <t>03-Feb-2026</t>
        </is>
      </c>
      <c r="G1785" t="inlineStr">
        <is>
          <t>Tuesday</t>
        </is>
      </c>
      <c r="H1785" t="inlineStr">
        <is>
          <t>Weekly - Tuesday</t>
        </is>
      </c>
      <c r="I1785" t="inlineStr">
        <is>
          <t>Weekly - Tuesday</t>
        </is>
      </c>
      <c r="J1785" t="inlineStr">
        <is>
          <t>Month+1 Expiry</t>
        </is>
      </c>
      <c r="K1785" s="25" t="n">
        <v>3142569</v>
      </c>
      <c r="L1785" s="26" t="n">
        <v>5221.4871</v>
      </c>
      <c r="M1785" s="26" t="n">
        <v>27.7359</v>
      </c>
    </row>
    <row r="1786" ht="16" customHeight="1">
      <c r="A1786" t="inlineStr">
        <is>
          <t>23-Jan-2026</t>
        </is>
      </c>
      <c r="B1786" t="inlineStr">
        <is>
          <t>Friday</t>
        </is>
      </c>
      <c r="C1786" t="inlineStr">
        <is>
          <t>Week4-Jan-2026</t>
        </is>
      </c>
      <c r="D1786" s="78" t="n">
        <v>46023</v>
      </c>
      <c r="E1786" t="inlineStr">
        <is>
          <t>Q4FY26</t>
        </is>
      </c>
      <c r="F1786" t="inlineStr">
        <is>
          <t>10-Feb-2026</t>
        </is>
      </c>
      <c r="G1786" t="inlineStr">
        <is>
          <t>Tuesday</t>
        </is>
      </c>
      <c r="H1786" t="inlineStr">
        <is>
          <t>Weekly - Tuesday</t>
        </is>
      </c>
      <c r="I1786" t="inlineStr">
        <is>
          <t>Weekly - Tuesday</t>
        </is>
      </c>
      <c r="J1786" t="inlineStr">
        <is>
          <t>Month+1 Expiry</t>
        </is>
      </c>
      <c r="K1786" s="25" t="n">
        <v>205979</v>
      </c>
      <c r="L1786" s="26" t="n">
        <v>342.3786</v>
      </c>
      <c r="M1786" s="26" t="n">
        <v>2.4122</v>
      </c>
    </row>
    <row r="1787" ht="16" customHeight="1">
      <c r="A1787" t="inlineStr">
        <is>
          <t>23-Jan-2026</t>
        </is>
      </c>
      <c r="B1787" t="inlineStr">
        <is>
          <t>Friday</t>
        </is>
      </c>
      <c r="C1787" t="inlineStr">
        <is>
          <t>Week4-Jan-2026</t>
        </is>
      </c>
      <c r="D1787" s="78" t="n">
        <v>46023</v>
      </c>
      <c r="E1787" t="inlineStr">
        <is>
          <t>Q4FY26</t>
        </is>
      </c>
      <c r="F1787" t="inlineStr">
        <is>
          <t>17-Feb-2026</t>
        </is>
      </c>
      <c r="G1787" t="inlineStr">
        <is>
          <t>Tuesday</t>
        </is>
      </c>
      <c r="H1787" t="inlineStr">
        <is>
          <t>Weekly - Tuesday</t>
        </is>
      </c>
      <c r="I1787" t="inlineStr">
        <is>
          <t>Weekly - Tuesday</t>
        </is>
      </c>
      <c r="J1787" t="inlineStr">
        <is>
          <t>Month+1 Expiry</t>
        </is>
      </c>
      <c r="K1787" s="25" t="n">
        <v>19732</v>
      </c>
      <c r="L1787" s="26" t="n">
        <v>32.8659</v>
      </c>
      <c r="M1787" s="26" t="n">
        <v>0.2968</v>
      </c>
    </row>
    <row r="1788" ht="16" customHeight="1">
      <c r="A1788" t="inlineStr">
        <is>
          <t>23-Jan-2026</t>
        </is>
      </c>
      <c r="B1788" t="inlineStr">
        <is>
          <t>Friday</t>
        </is>
      </c>
      <c r="C1788" t="inlineStr">
        <is>
          <t>Week4-Jan-2026</t>
        </is>
      </c>
      <c r="D1788" s="78" t="n">
        <v>46023</v>
      </c>
      <c r="E1788" t="inlineStr">
        <is>
          <t>Q4FY26</t>
        </is>
      </c>
      <c r="F1788" t="inlineStr">
        <is>
          <t>24-Feb-2026</t>
        </is>
      </c>
      <c r="G1788" t="inlineStr">
        <is>
          <t>Tuesday</t>
        </is>
      </c>
      <c r="H1788" t="inlineStr">
        <is>
          <t>Monthly - Tuesday</t>
        </is>
      </c>
      <c r="I1788" t="inlineStr">
        <is>
          <t>Monthly - Tuesday</t>
        </is>
      </c>
      <c r="J1788" t="inlineStr">
        <is>
          <t>Month+1 Expiry</t>
        </is>
      </c>
      <c r="K1788" s="25" t="n">
        <v>970459</v>
      </c>
      <c r="L1788" s="26" t="n">
        <v>1626.7006</v>
      </c>
      <c r="M1788" s="26" t="n">
        <v>17.601</v>
      </c>
    </row>
    <row r="1789" ht="16" customHeight="1">
      <c r="A1789" t="inlineStr">
        <is>
          <t>23-Jan-2026</t>
        </is>
      </c>
      <c r="B1789" t="inlineStr">
        <is>
          <t>Friday</t>
        </is>
      </c>
      <c r="C1789" t="inlineStr">
        <is>
          <t>Week4-Jan-2026</t>
        </is>
      </c>
      <c r="D1789" s="78" t="n">
        <v>46023</v>
      </c>
      <c r="E1789" t="inlineStr">
        <is>
          <t>Q4FY26</t>
        </is>
      </c>
      <c r="F1789" t="inlineStr">
        <is>
          <t>02-Mar-2026</t>
        </is>
      </c>
      <c r="G1789" t="inlineStr">
        <is>
          <t>Monday</t>
        </is>
      </c>
      <c r="H1789" t="inlineStr">
        <is>
          <t>Weekly - Monday</t>
        </is>
      </c>
      <c r="I1789" t="inlineStr">
        <is>
          <t>Weekly - Monday</t>
        </is>
      </c>
      <c r="J1789" t="inlineStr">
        <is>
          <t>Month+2 Expiry</t>
        </is>
      </c>
      <c r="K1789" s="25" t="n">
        <v>641</v>
      </c>
      <c r="L1789" s="26" t="n">
        <v>1.0877</v>
      </c>
      <c r="M1789" s="26" t="n">
        <v>0.0069</v>
      </c>
    </row>
    <row r="1790" ht="16" customHeight="1">
      <c r="A1790" t="inlineStr">
        <is>
          <t>23-Jan-2026</t>
        </is>
      </c>
      <c r="B1790" t="inlineStr">
        <is>
          <t>Friday</t>
        </is>
      </c>
      <c r="C1790" t="inlineStr">
        <is>
          <t>Week4-Jan-2026</t>
        </is>
      </c>
      <c r="D1790" s="78" t="n">
        <v>46023</v>
      </c>
      <c r="E1790" t="inlineStr">
        <is>
          <t>Q4FY26</t>
        </is>
      </c>
      <c r="F1790" t="inlineStr">
        <is>
          <t>30-Mar-2026</t>
        </is>
      </c>
      <c r="G1790" t="inlineStr">
        <is>
          <t>Monday</t>
        </is>
      </c>
      <c r="H1790" t="inlineStr">
        <is>
          <t>Monthly - Monday</t>
        </is>
      </c>
      <c r="I1790" t="inlineStr">
        <is>
          <t>Monthly - Monday</t>
        </is>
      </c>
      <c r="J1790" t="inlineStr">
        <is>
          <t>Month+2 Expiry</t>
        </is>
      </c>
      <c r="K1790" s="25" t="n">
        <v>176508</v>
      </c>
      <c r="L1790" s="26" t="n">
        <v>295.9427</v>
      </c>
      <c r="M1790" s="26" t="n">
        <v>3.7919</v>
      </c>
    </row>
    <row r="1791" ht="16" customHeight="1">
      <c r="A1791" t="inlineStr">
        <is>
          <t>23-Jan-2026</t>
        </is>
      </c>
      <c r="B1791" t="inlineStr">
        <is>
          <t>Friday</t>
        </is>
      </c>
      <c r="C1791" t="inlineStr">
        <is>
          <t>Week4-Jan-2026</t>
        </is>
      </c>
      <c r="D1791" s="78" t="n">
        <v>46023</v>
      </c>
      <c r="E1791" t="inlineStr">
        <is>
          <t>Q4FY26</t>
        </is>
      </c>
      <c r="F1791" t="inlineStr">
        <is>
          <t>30-Jun-2026</t>
        </is>
      </c>
      <c r="G1791" t="inlineStr">
        <is>
          <t>Tuesday</t>
        </is>
      </c>
      <c r="H1791" t="inlineStr">
        <is>
          <t>Monthly - Tuesday</t>
        </is>
      </c>
      <c r="I1791" t="inlineStr">
        <is>
          <t>Monthly - Tuesday</t>
        </is>
      </c>
      <c r="J1791" t="inlineStr">
        <is>
          <t>Month+5 Expiry</t>
        </is>
      </c>
      <c r="K1791" s="25" t="n">
        <v>26136</v>
      </c>
      <c r="L1791" s="26" t="n">
        <v>44.3277</v>
      </c>
      <c r="M1791" s="26" t="n">
        <v>0.7498</v>
      </c>
    </row>
    <row r="1792" ht="16" customHeight="1">
      <c r="A1792" t="inlineStr">
        <is>
          <t>23-Jan-2026</t>
        </is>
      </c>
      <c r="B1792" t="inlineStr">
        <is>
          <t>Friday</t>
        </is>
      </c>
      <c r="C1792" t="inlineStr">
        <is>
          <t>Week4-Jan-2026</t>
        </is>
      </c>
      <c r="D1792" s="78" t="n">
        <v>46023</v>
      </c>
      <c r="E1792" t="inlineStr">
        <is>
          <t>Q4FY26</t>
        </is>
      </c>
      <c r="F1792" t="inlineStr">
        <is>
          <t>29-Sep-2026</t>
        </is>
      </c>
      <c r="G1792" t="inlineStr">
        <is>
          <t>Tuesday</t>
        </is>
      </c>
      <c r="H1792" t="inlineStr">
        <is>
          <t>Monthly - Tuesday</t>
        </is>
      </c>
      <c r="I1792" t="inlineStr">
        <is>
          <t>Monthly - Tuesday</t>
        </is>
      </c>
      <c r="J1792" t="inlineStr">
        <is>
          <t>Month+8 Expiry</t>
        </is>
      </c>
      <c r="K1792" s="25" t="n">
        <v>3447</v>
      </c>
      <c r="L1792" s="26" t="n">
        <v>5.9397</v>
      </c>
      <c r="M1792" s="26" t="n">
        <v>0.1363</v>
      </c>
    </row>
    <row r="1793" ht="16" customHeight="1">
      <c r="A1793" t="inlineStr">
        <is>
          <t>23-Jan-2026</t>
        </is>
      </c>
      <c r="B1793" t="inlineStr">
        <is>
          <t>Friday</t>
        </is>
      </c>
      <c r="C1793" t="inlineStr">
        <is>
          <t>Week4-Jan-2026</t>
        </is>
      </c>
      <c r="D1793" s="78" t="n">
        <v>46023</v>
      </c>
      <c r="E1793" t="inlineStr">
        <is>
          <t>Q4FY26</t>
        </is>
      </c>
      <c r="F1793" t="inlineStr">
        <is>
          <t>29-Dec-2026</t>
        </is>
      </c>
      <c r="G1793" t="inlineStr">
        <is>
          <t>Tuesday</t>
        </is>
      </c>
      <c r="H1793" t="inlineStr">
        <is>
          <t>Monthly - Tuesday</t>
        </is>
      </c>
      <c r="I1793" t="inlineStr">
        <is>
          <t>Monthly - Tuesday</t>
        </is>
      </c>
      <c r="J1793" t="inlineStr">
        <is>
          <t>Month+11 Expiry</t>
        </is>
      </c>
      <c r="K1793" s="25" t="n">
        <v>11935</v>
      </c>
      <c r="L1793" s="26" t="n">
        <v>20.7416</v>
      </c>
      <c r="M1793" s="26" t="n">
        <v>0.5547</v>
      </c>
    </row>
    <row r="1794" ht="16" customHeight="1">
      <c r="A1794" t="inlineStr">
        <is>
          <t>23-Jan-2026</t>
        </is>
      </c>
      <c r="B1794" t="inlineStr">
        <is>
          <t>Friday</t>
        </is>
      </c>
      <c r="C1794" t="inlineStr">
        <is>
          <t>Week4-Jan-2026</t>
        </is>
      </c>
      <c r="D1794" s="78" t="n">
        <v>46023</v>
      </c>
      <c r="E1794" t="inlineStr">
        <is>
          <t>Q4FY26</t>
        </is>
      </c>
      <c r="F1794" t="inlineStr">
        <is>
          <t>29-Jun-2027</t>
        </is>
      </c>
      <c r="G1794" t="inlineStr">
        <is>
          <t>Tuesday</t>
        </is>
      </c>
      <c r="H1794" t="inlineStr">
        <is>
          <t>Monthly - Tuesday</t>
        </is>
      </c>
      <c r="I1794" t="inlineStr">
        <is>
          <t>Monthly - Tuesday</t>
        </is>
      </c>
      <c r="J1794" t="inlineStr">
        <is>
          <t>Month+17 Expiry</t>
        </is>
      </c>
      <c r="K1794" s="25" t="n">
        <v>0</v>
      </c>
      <c r="L1794" s="26" t="n">
        <v>0</v>
      </c>
      <c r="M1794" s="26" t="n">
        <v>0</v>
      </c>
    </row>
    <row r="1795" ht="16" customHeight="1">
      <c r="A1795" t="inlineStr">
        <is>
          <t>23-Jan-2026</t>
        </is>
      </c>
      <c r="B1795" t="inlineStr">
        <is>
          <t>Friday</t>
        </is>
      </c>
      <c r="C1795" t="inlineStr">
        <is>
          <t>Week4-Jan-2026</t>
        </is>
      </c>
      <c r="D1795" s="78" t="n">
        <v>46023</v>
      </c>
      <c r="E1795" t="inlineStr">
        <is>
          <t>Q4FY26</t>
        </is>
      </c>
      <c r="F1795" t="inlineStr">
        <is>
          <t>28-Dec-2027</t>
        </is>
      </c>
      <c r="G1795" t="inlineStr">
        <is>
          <t>Tuesday</t>
        </is>
      </c>
      <c r="H1795" t="inlineStr">
        <is>
          <t>Monthly - Tuesday</t>
        </is>
      </c>
      <c r="I1795" t="inlineStr">
        <is>
          <t>Monthly - Tuesday</t>
        </is>
      </c>
      <c r="J1795" t="inlineStr">
        <is>
          <t>Month+23 Expiry</t>
        </is>
      </c>
      <c r="K1795" s="25" t="n">
        <v>90</v>
      </c>
      <c r="L1795" s="26" t="n">
        <v>0.1545</v>
      </c>
      <c r="M1795" s="26" t="n">
        <v>0.0072</v>
      </c>
    </row>
    <row r="1796" ht="16" customHeight="1">
      <c r="A1796" t="inlineStr">
        <is>
          <t>23-Jan-2026</t>
        </is>
      </c>
      <c r="B1796" t="inlineStr">
        <is>
          <t>Friday</t>
        </is>
      </c>
      <c r="C1796" t="inlineStr">
        <is>
          <t>Week4-Jan-2026</t>
        </is>
      </c>
      <c r="D1796" s="78" t="n">
        <v>46023</v>
      </c>
      <c r="E1796" t="inlineStr">
        <is>
          <t>Q4FY26</t>
        </is>
      </c>
      <c r="F1796" t="inlineStr">
        <is>
          <t>27-Jun-2028</t>
        </is>
      </c>
      <c r="G1796" t="inlineStr">
        <is>
          <t>Tuesday</t>
        </is>
      </c>
      <c r="H1796" t="inlineStr">
        <is>
          <t>Monthly - Tuesday</t>
        </is>
      </c>
      <c r="I1796" t="inlineStr">
        <is>
          <t>Monthly - Tuesday</t>
        </is>
      </c>
      <c r="J1796" t="inlineStr">
        <is>
          <t>Month+29 Expiry</t>
        </is>
      </c>
      <c r="K1796" s="25" t="n">
        <v>0</v>
      </c>
      <c r="L1796" s="26" t="n">
        <v>0</v>
      </c>
      <c r="M1796" s="26" t="n">
        <v>0</v>
      </c>
    </row>
    <row r="1797" ht="16" customHeight="1">
      <c r="A1797" t="inlineStr">
        <is>
          <t>23-Jan-2026</t>
        </is>
      </c>
      <c r="B1797" t="inlineStr">
        <is>
          <t>Friday</t>
        </is>
      </c>
      <c r="C1797" t="inlineStr">
        <is>
          <t>Week4-Jan-2026</t>
        </is>
      </c>
      <c r="D1797" s="78" t="n">
        <v>46023</v>
      </c>
      <c r="E1797" t="inlineStr">
        <is>
          <t>Q4FY26</t>
        </is>
      </c>
      <c r="F1797" t="inlineStr">
        <is>
          <t>26-Dec-2028</t>
        </is>
      </c>
      <c r="G1797" t="inlineStr">
        <is>
          <t>Tuesday</t>
        </is>
      </c>
      <c r="H1797" t="inlineStr">
        <is>
          <t>Monthly - Tuesday</t>
        </is>
      </c>
      <c r="I1797" t="inlineStr">
        <is>
          <t>Monthly - Tuesday</t>
        </is>
      </c>
      <c r="J1797" t="inlineStr">
        <is>
          <t>Month+35 Expiry</t>
        </is>
      </c>
      <c r="K1797" s="25" t="n">
        <v>4</v>
      </c>
      <c r="L1797" s="26" t="n">
        <v>0.0071</v>
      </c>
      <c r="M1797" s="26" t="n">
        <v>0.0003</v>
      </c>
    </row>
    <row r="1798" ht="16" customHeight="1">
      <c r="A1798" t="inlineStr">
        <is>
          <t>23-Jan-2026</t>
        </is>
      </c>
      <c r="B1798" t="inlineStr">
        <is>
          <t>Friday</t>
        </is>
      </c>
      <c r="C1798" t="inlineStr">
        <is>
          <t>Week4-Jan-2026</t>
        </is>
      </c>
      <c r="D1798" s="78" t="n">
        <v>46023</v>
      </c>
      <c r="E1798" t="inlineStr">
        <is>
          <t>Q4FY26</t>
        </is>
      </c>
      <c r="F1798" t="inlineStr">
        <is>
          <t>26-Jun-2029</t>
        </is>
      </c>
      <c r="G1798" t="inlineStr">
        <is>
          <t>Tuesday</t>
        </is>
      </c>
      <c r="H1798" t="inlineStr">
        <is>
          <t>Monthly - Tuesday</t>
        </is>
      </c>
      <c r="I1798" t="inlineStr">
        <is>
          <t>Monthly - Tuesday</t>
        </is>
      </c>
      <c r="J1798" t="inlineStr">
        <is>
          <t>Month+41 Expiry</t>
        </is>
      </c>
      <c r="K1798" s="25" t="n">
        <v>0</v>
      </c>
      <c r="L1798" s="26" t="n">
        <v>0</v>
      </c>
      <c r="M1798" s="26" t="n">
        <v>0</v>
      </c>
    </row>
    <row r="1799" ht="16" customHeight="1">
      <c r="A1799" t="inlineStr">
        <is>
          <t>23-Jan-2026</t>
        </is>
      </c>
      <c r="B1799" t="inlineStr">
        <is>
          <t>Friday</t>
        </is>
      </c>
      <c r="C1799" t="inlineStr">
        <is>
          <t>Week4-Jan-2026</t>
        </is>
      </c>
      <c r="D1799" s="78" t="n">
        <v>46023</v>
      </c>
      <c r="E1799" t="inlineStr">
        <is>
          <t>Q4FY26</t>
        </is>
      </c>
      <c r="F1799" t="inlineStr">
        <is>
          <t>24-Dec-2029</t>
        </is>
      </c>
      <c r="G1799" t="inlineStr">
        <is>
          <t>Monday</t>
        </is>
      </c>
      <c r="H1799" t="inlineStr">
        <is>
          <t>Weekly - Monday</t>
        </is>
      </c>
      <c r="I1799" t="inlineStr">
        <is>
          <t>Weekly - Monday</t>
        </is>
      </c>
      <c r="J1799" t="inlineStr">
        <is>
          <t>Month+47 Expiry</t>
        </is>
      </c>
      <c r="K1799" s="25" t="n">
        <v>0</v>
      </c>
      <c r="L1799" s="26" t="n">
        <v>0</v>
      </c>
      <c r="M1799" s="26" t="n">
        <v>0</v>
      </c>
    </row>
    <row r="1800" ht="16" customHeight="1">
      <c r="A1800" t="inlineStr">
        <is>
          <t>23-Jan-2026</t>
        </is>
      </c>
      <c r="B1800" t="inlineStr">
        <is>
          <t>Friday</t>
        </is>
      </c>
      <c r="C1800" t="inlineStr">
        <is>
          <t>Week4-Jan-2026</t>
        </is>
      </c>
      <c r="D1800" s="78" t="n">
        <v>46023</v>
      </c>
      <c r="E1800" t="inlineStr">
        <is>
          <t>Q4FY26</t>
        </is>
      </c>
      <c r="F1800" t="inlineStr">
        <is>
          <t>25-Jun-2030</t>
        </is>
      </c>
      <c r="G1800" t="inlineStr">
        <is>
          <t>Tuesday</t>
        </is>
      </c>
      <c r="H1800" t="inlineStr">
        <is>
          <t>Monthly - Tuesday</t>
        </is>
      </c>
      <c r="I1800" t="inlineStr">
        <is>
          <t>Monthly - Tuesday</t>
        </is>
      </c>
      <c r="J1800" t="inlineStr">
        <is>
          <t>Month+53 Expiry</t>
        </is>
      </c>
      <c r="K1800" s="25" t="n">
        <v>0</v>
      </c>
      <c r="L1800" s="26" t="n">
        <v>0</v>
      </c>
      <c r="M1800" s="26" t="n">
        <v>0</v>
      </c>
    </row>
    <row r="1801" ht="16" customHeight="1">
      <c r="A1801" t="inlineStr">
        <is>
          <t>23-Jan-2026</t>
        </is>
      </c>
      <c r="B1801" t="inlineStr">
        <is>
          <t>Friday</t>
        </is>
      </c>
      <c r="C1801" t="inlineStr">
        <is>
          <t>Week4-Jan-2026</t>
        </is>
      </c>
      <c r="D1801" s="78" t="n">
        <v>46023</v>
      </c>
      <c r="E1801" t="inlineStr">
        <is>
          <t>Q4FY26</t>
        </is>
      </c>
      <c r="F1801" t="inlineStr">
        <is>
          <t>31-Dec-2030</t>
        </is>
      </c>
      <c r="G1801" t="inlineStr">
        <is>
          <t>Tuesday</t>
        </is>
      </c>
      <c r="H1801" t="inlineStr">
        <is>
          <t>Monthly - Tuesday</t>
        </is>
      </c>
      <c r="I1801" t="inlineStr">
        <is>
          <t>Monthly - Tuesday</t>
        </is>
      </c>
      <c r="J1801" t="inlineStr">
        <is>
          <t>Month+59 Expiry</t>
        </is>
      </c>
      <c r="K1801" s="25" t="n">
        <v>0</v>
      </c>
      <c r="L1801" s="26" t="n">
        <v>0</v>
      </c>
      <c r="M1801" s="26" t="n">
        <v>0</v>
      </c>
    </row>
    <row r="1802" ht="16" customHeight="1">
      <c r="A1802" t="inlineStr">
        <is>
          <t>27-Jan-2026</t>
        </is>
      </c>
      <c r="B1802" t="inlineStr">
        <is>
          <t>Tuesday</t>
        </is>
      </c>
      <c r="C1802" t="inlineStr">
        <is>
          <t>Week4-Jan-2026</t>
        </is>
      </c>
      <c r="D1802" s="78" t="n">
        <v>46023</v>
      </c>
      <c r="E1802" t="inlineStr">
        <is>
          <t>Q4FY26</t>
        </is>
      </c>
      <c r="F1802" t="inlineStr">
        <is>
          <t>27-Jan-2026</t>
        </is>
      </c>
      <c r="G1802" t="inlineStr">
        <is>
          <t>Tuesday</t>
        </is>
      </c>
      <c r="H1802" t="inlineStr">
        <is>
          <t>Monthly - Tuesday</t>
        </is>
      </c>
      <c r="I1802" t="inlineStr">
        <is>
          <t>MDAW - Tuesday</t>
        </is>
      </c>
      <c r="J1802" t="inlineStr">
        <is>
          <t>Same Month Expiry</t>
        </is>
      </c>
      <c r="K1802" s="25" t="n">
        <v>392546316</v>
      </c>
      <c r="L1802" s="26" t="n">
        <v>641487.2232</v>
      </c>
      <c r="M1802" s="26" t="n">
        <v>777.2906</v>
      </c>
    </row>
    <row r="1803" ht="16" customHeight="1">
      <c r="A1803" t="inlineStr">
        <is>
          <t>27-Jan-2026</t>
        </is>
      </c>
      <c r="B1803" t="inlineStr">
        <is>
          <t>Tuesday</t>
        </is>
      </c>
      <c r="C1803" t="inlineStr">
        <is>
          <t>Week4-Jan-2026</t>
        </is>
      </c>
      <c r="D1803" s="78" t="n">
        <v>46023</v>
      </c>
      <c r="E1803" t="inlineStr">
        <is>
          <t>Q4FY26</t>
        </is>
      </c>
      <c r="F1803" t="inlineStr">
        <is>
          <t>03-Feb-2026</t>
        </is>
      </c>
      <c r="G1803" t="inlineStr">
        <is>
          <t>Tuesday</t>
        </is>
      </c>
      <c r="H1803" t="inlineStr">
        <is>
          <t>Weekly - Tuesday</t>
        </is>
      </c>
      <c r="I1803" t="inlineStr">
        <is>
          <t>Weekly - Tuesday</t>
        </is>
      </c>
      <c r="J1803" t="inlineStr">
        <is>
          <t>Month+1 Expiry</t>
        </is>
      </c>
      <c r="K1803" s="25" t="n">
        <v>8950086</v>
      </c>
      <c r="L1803" s="26" t="n">
        <v>14778.9323</v>
      </c>
      <c r="M1803" s="26" t="n">
        <v>87.23260000000001</v>
      </c>
    </row>
    <row r="1804" ht="16" customHeight="1">
      <c r="A1804" t="inlineStr">
        <is>
          <t>27-Jan-2026</t>
        </is>
      </c>
      <c r="B1804" t="inlineStr">
        <is>
          <t>Tuesday</t>
        </is>
      </c>
      <c r="C1804" t="inlineStr">
        <is>
          <t>Week4-Jan-2026</t>
        </is>
      </c>
      <c r="D1804" s="78" t="n">
        <v>46023</v>
      </c>
      <c r="E1804" t="inlineStr">
        <is>
          <t>Q4FY26</t>
        </is>
      </c>
      <c r="F1804" t="inlineStr">
        <is>
          <t>10-Feb-2026</t>
        </is>
      </c>
      <c r="G1804" t="inlineStr">
        <is>
          <t>Tuesday</t>
        </is>
      </c>
      <c r="H1804" t="inlineStr">
        <is>
          <t>Weekly - Tuesday</t>
        </is>
      </c>
      <c r="I1804" t="inlineStr">
        <is>
          <t>Weekly - Tuesday</t>
        </is>
      </c>
      <c r="J1804" t="inlineStr">
        <is>
          <t>Month+1 Expiry</t>
        </is>
      </c>
      <c r="K1804" s="25" t="n">
        <v>409364</v>
      </c>
      <c r="L1804" s="26" t="n">
        <v>677.7273</v>
      </c>
      <c r="M1804" s="26" t="n">
        <v>5.1219</v>
      </c>
    </row>
    <row r="1805" ht="16" customHeight="1">
      <c r="A1805" t="inlineStr">
        <is>
          <t>27-Jan-2026</t>
        </is>
      </c>
      <c r="B1805" t="inlineStr">
        <is>
          <t>Tuesday</t>
        </is>
      </c>
      <c r="C1805" t="inlineStr">
        <is>
          <t>Week4-Jan-2026</t>
        </is>
      </c>
      <c r="D1805" s="78" t="n">
        <v>46023</v>
      </c>
      <c r="E1805" t="inlineStr">
        <is>
          <t>Q4FY26</t>
        </is>
      </c>
      <c r="F1805" t="inlineStr">
        <is>
          <t>17-Feb-2026</t>
        </is>
      </c>
      <c r="G1805" t="inlineStr">
        <is>
          <t>Tuesday</t>
        </is>
      </c>
      <c r="H1805" t="inlineStr">
        <is>
          <t>Weekly - Tuesday</t>
        </is>
      </c>
      <c r="I1805" t="inlineStr">
        <is>
          <t>Weekly - Tuesday</t>
        </is>
      </c>
      <c r="J1805" t="inlineStr">
        <is>
          <t>Month+1 Expiry</t>
        </is>
      </c>
      <c r="K1805" s="25" t="n">
        <v>34035</v>
      </c>
      <c r="L1805" s="26" t="n">
        <v>56.3275</v>
      </c>
      <c r="M1805" s="26" t="n">
        <v>0.5557</v>
      </c>
    </row>
    <row r="1806" ht="16" customHeight="1">
      <c r="A1806" t="inlineStr">
        <is>
          <t>27-Jan-2026</t>
        </is>
      </c>
      <c r="B1806" t="inlineStr">
        <is>
          <t>Tuesday</t>
        </is>
      </c>
      <c r="C1806" t="inlineStr">
        <is>
          <t>Week4-Jan-2026</t>
        </is>
      </c>
      <c r="D1806" s="78" t="n">
        <v>46023</v>
      </c>
      <c r="E1806" t="inlineStr">
        <is>
          <t>Q4FY26</t>
        </is>
      </c>
      <c r="F1806" t="inlineStr">
        <is>
          <t>24-Feb-2026</t>
        </is>
      </c>
      <c r="G1806" t="inlineStr">
        <is>
          <t>Tuesday</t>
        </is>
      </c>
      <c r="H1806" t="inlineStr">
        <is>
          <t>Monthly - Tuesday</t>
        </is>
      </c>
      <c r="I1806" t="inlineStr">
        <is>
          <t>Monthly - Tuesday</t>
        </is>
      </c>
      <c r="J1806" t="inlineStr">
        <is>
          <t>Month+1 Expiry</t>
        </is>
      </c>
      <c r="K1806" s="25" t="n">
        <v>1439003</v>
      </c>
      <c r="L1806" s="26" t="n">
        <v>2401.3189</v>
      </c>
      <c r="M1806" s="26" t="n">
        <v>28.7966</v>
      </c>
    </row>
    <row r="1807" ht="16" customHeight="1">
      <c r="A1807" t="inlineStr">
        <is>
          <t>27-Jan-2026</t>
        </is>
      </c>
      <c r="B1807" t="inlineStr">
        <is>
          <t>Tuesday</t>
        </is>
      </c>
      <c r="C1807" t="inlineStr">
        <is>
          <t>Week4-Jan-2026</t>
        </is>
      </c>
      <c r="D1807" s="78" t="n">
        <v>46023</v>
      </c>
      <c r="E1807" t="inlineStr">
        <is>
          <t>Q4FY26</t>
        </is>
      </c>
      <c r="F1807" t="inlineStr">
        <is>
          <t>02-Mar-2026</t>
        </is>
      </c>
      <c r="G1807" t="inlineStr">
        <is>
          <t>Monday</t>
        </is>
      </c>
      <c r="H1807" t="inlineStr">
        <is>
          <t>Weekly - Monday</t>
        </is>
      </c>
      <c r="I1807" t="inlineStr">
        <is>
          <t>Weekly - Monday</t>
        </is>
      </c>
      <c r="J1807" t="inlineStr">
        <is>
          <t>Month+2 Expiry</t>
        </is>
      </c>
      <c r="K1807" s="25" t="n">
        <v>1151</v>
      </c>
      <c r="L1807" s="26" t="n">
        <v>1.9235</v>
      </c>
      <c r="M1807" s="26" t="n">
        <v>0.0149</v>
      </c>
    </row>
    <row r="1808" ht="16" customHeight="1">
      <c r="A1808" t="inlineStr">
        <is>
          <t>27-Jan-2026</t>
        </is>
      </c>
      <c r="B1808" t="inlineStr">
        <is>
          <t>Tuesday</t>
        </is>
      </c>
      <c r="C1808" t="inlineStr">
        <is>
          <t>Week4-Jan-2026</t>
        </is>
      </c>
      <c r="D1808" s="78" t="n">
        <v>46023</v>
      </c>
      <c r="E1808" t="inlineStr">
        <is>
          <t>Q4FY26</t>
        </is>
      </c>
      <c r="F1808" t="inlineStr">
        <is>
          <t>30-Mar-2026</t>
        </is>
      </c>
      <c r="G1808" t="inlineStr">
        <is>
          <t>Monday</t>
        </is>
      </c>
      <c r="H1808" t="inlineStr">
        <is>
          <t>Monthly - Monday</t>
        </is>
      </c>
      <c r="I1808" t="inlineStr">
        <is>
          <t>Monthly - Monday</t>
        </is>
      </c>
      <c r="J1808" t="inlineStr">
        <is>
          <t>Month+2 Expiry</t>
        </is>
      </c>
      <c r="K1808" s="25" t="n">
        <v>283915</v>
      </c>
      <c r="L1808" s="26" t="n">
        <v>476.0948</v>
      </c>
      <c r="M1808" s="26" t="n">
        <v>6.9182</v>
      </c>
    </row>
    <row r="1809" ht="16" customHeight="1">
      <c r="A1809" t="inlineStr">
        <is>
          <t>27-Jan-2026</t>
        </is>
      </c>
      <c r="B1809" t="inlineStr">
        <is>
          <t>Tuesday</t>
        </is>
      </c>
      <c r="C1809" t="inlineStr">
        <is>
          <t>Week4-Jan-2026</t>
        </is>
      </c>
      <c r="D1809" s="78" t="n">
        <v>46023</v>
      </c>
      <c r="E1809" t="inlineStr">
        <is>
          <t>Q4FY26</t>
        </is>
      </c>
      <c r="F1809" t="inlineStr">
        <is>
          <t>30-Jun-2026</t>
        </is>
      </c>
      <c r="G1809" t="inlineStr">
        <is>
          <t>Tuesday</t>
        </is>
      </c>
      <c r="H1809" t="inlineStr">
        <is>
          <t>Monthly - Tuesday</t>
        </is>
      </c>
      <c r="I1809" t="inlineStr">
        <is>
          <t>Monthly - Tuesday</t>
        </is>
      </c>
      <c r="J1809" t="inlineStr">
        <is>
          <t>Month+5 Expiry</t>
        </is>
      </c>
      <c r="K1809" s="25" t="n">
        <v>38190</v>
      </c>
      <c r="L1809" s="26" t="n">
        <v>64.3335</v>
      </c>
      <c r="M1809" s="26" t="n">
        <v>1.0034</v>
      </c>
    </row>
    <row r="1810" ht="16" customHeight="1">
      <c r="A1810" t="inlineStr">
        <is>
          <t>27-Jan-2026</t>
        </is>
      </c>
      <c r="B1810" t="inlineStr">
        <is>
          <t>Tuesday</t>
        </is>
      </c>
      <c r="C1810" t="inlineStr">
        <is>
          <t>Week4-Jan-2026</t>
        </is>
      </c>
      <c r="D1810" s="78" t="n">
        <v>46023</v>
      </c>
      <c r="E1810" t="inlineStr">
        <is>
          <t>Q4FY26</t>
        </is>
      </c>
      <c r="F1810" t="inlineStr">
        <is>
          <t>29-Sep-2026</t>
        </is>
      </c>
      <c r="G1810" t="inlineStr">
        <is>
          <t>Tuesday</t>
        </is>
      </c>
      <c r="H1810" t="inlineStr">
        <is>
          <t>Monthly - Tuesday</t>
        </is>
      </c>
      <c r="I1810" t="inlineStr">
        <is>
          <t>Monthly - Tuesday</t>
        </is>
      </c>
      <c r="J1810" t="inlineStr">
        <is>
          <t>Month+8 Expiry</t>
        </is>
      </c>
      <c r="K1810" s="25" t="n">
        <v>4175</v>
      </c>
      <c r="L1810" s="26" t="n">
        <v>7.143</v>
      </c>
      <c r="M1810" s="26" t="n">
        <v>0.1266</v>
      </c>
    </row>
    <row r="1811" ht="16" customHeight="1">
      <c r="A1811" t="inlineStr">
        <is>
          <t>27-Jan-2026</t>
        </is>
      </c>
      <c r="B1811" t="inlineStr">
        <is>
          <t>Tuesday</t>
        </is>
      </c>
      <c r="C1811" t="inlineStr">
        <is>
          <t>Week4-Jan-2026</t>
        </is>
      </c>
      <c r="D1811" s="78" t="n">
        <v>46023</v>
      </c>
      <c r="E1811" t="inlineStr">
        <is>
          <t>Q4FY26</t>
        </is>
      </c>
      <c r="F1811" t="inlineStr">
        <is>
          <t>29-Dec-2026</t>
        </is>
      </c>
      <c r="G1811" t="inlineStr">
        <is>
          <t>Tuesday</t>
        </is>
      </c>
      <c r="H1811" t="inlineStr">
        <is>
          <t>Monthly - Tuesday</t>
        </is>
      </c>
      <c r="I1811" t="inlineStr">
        <is>
          <t>Monthly - Tuesday</t>
        </is>
      </c>
      <c r="J1811" t="inlineStr">
        <is>
          <t>Month+11 Expiry</t>
        </is>
      </c>
      <c r="K1811" s="25" t="n">
        <v>15540</v>
      </c>
      <c r="L1811" s="26" t="n">
        <v>26.7528</v>
      </c>
      <c r="M1811" s="26" t="n">
        <v>0.7791</v>
      </c>
    </row>
    <row r="1812" ht="16" customHeight="1">
      <c r="A1812" t="inlineStr">
        <is>
          <t>27-Jan-2026</t>
        </is>
      </c>
      <c r="B1812" t="inlineStr">
        <is>
          <t>Tuesday</t>
        </is>
      </c>
      <c r="C1812" t="inlineStr">
        <is>
          <t>Week4-Jan-2026</t>
        </is>
      </c>
      <c r="D1812" s="78" t="n">
        <v>46023</v>
      </c>
      <c r="E1812" t="inlineStr">
        <is>
          <t>Q4FY26</t>
        </is>
      </c>
      <c r="F1812" t="inlineStr">
        <is>
          <t>29-Jun-2027</t>
        </is>
      </c>
      <c r="G1812" t="inlineStr">
        <is>
          <t>Tuesday</t>
        </is>
      </c>
      <c r="H1812" t="inlineStr">
        <is>
          <t>Monthly - Tuesday</t>
        </is>
      </c>
      <c r="I1812" t="inlineStr">
        <is>
          <t>Monthly - Tuesday</t>
        </is>
      </c>
      <c r="J1812" t="inlineStr">
        <is>
          <t>Month+17 Expiry</t>
        </is>
      </c>
      <c r="K1812" s="25" t="n">
        <v>0</v>
      </c>
      <c r="L1812" s="26" t="n">
        <v>0</v>
      </c>
      <c r="M1812" s="26" t="n">
        <v>0</v>
      </c>
    </row>
    <row r="1813" ht="16" customHeight="1">
      <c r="A1813" t="inlineStr">
        <is>
          <t>27-Jan-2026</t>
        </is>
      </c>
      <c r="B1813" t="inlineStr">
        <is>
          <t>Tuesday</t>
        </is>
      </c>
      <c r="C1813" t="inlineStr">
        <is>
          <t>Week4-Jan-2026</t>
        </is>
      </c>
      <c r="D1813" s="78" t="n">
        <v>46023</v>
      </c>
      <c r="E1813" t="inlineStr">
        <is>
          <t>Q4FY26</t>
        </is>
      </c>
      <c r="F1813" t="inlineStr">
        <is>
          <t>28-Dec-2027</t>
        </is>
      </c>
      <c r="G1813" t="inlineStr">
        <is>
          <t>Tuesday</t>
        </is>
      </c>
      <c r="H1813" t="inlineStr">
        <is>
          <t>Monthly - Tuesday</t>
        </is>
      </c>
      <c r="I1813" t="inlineStr">
        <is>
          <t>Monthly - Tuesday</t>
        </is>
      </c>
      <c r="J1813" t="inlineStr">
        <is>
          <t>Month+23 Expiry</t>
        </is>
      </c>
      <c r="K1813" s="25" t="n">
        <v>43</v>
      </c>
      <c r="L1813" s="26" t="n">
        <v>0.0757</v>
      </c>
      <c r="M1813" s="26" t="n">
        <v>0.0054</v>
      </c>
    </row>
    <row r="1814" ht="16" customHeight="1">
      <c r="A1814" t="inlineStr">
        <is>
          <t>27-Jan-2026</t>
        </is>
      </c>
      <c r="B1814" t="inlineStr">
        <is>
          <t>Tuesday</t>
        </is>
      </c>
      <c r="C1814" t="inlineStr">
        <is>
          <t>Week4-Jan-2026</t>
        </is>
      </c>
      <c r="D1814" s="78" t="n">
        <v>46023</v>
      </c>
      <c r="E1814" t="inlineStr">
        <is>
          <t>Q4FY26</t>
        </is>
      </c>
      <c r="F1814" t="inlineStr">
        <is>
          <t>27-Jun-2028</t>
        </is>
      </c>
      <c r="G1814" t="inlineStr">
        <is>
          <t>Tuesday</t>
        </is>
      </c>
      <c r="H1814" t="inlineStr">
        <is>
          <t>Monthly - Tuesday</t>
        </is>
      </c>
      <c r="I1814" t="inlineStr">
        <is>
          <t>Monthly - Tuesday</t>
        </is>
      </c>
      <c r="J1814" t="inlineStr">
        <is>
          <t>Month+29 Expiry</t>
        </is>
      </c>
      <c r="K1814" s="25" t="n">
        <v>0</v>
      </c>
      <c r="L1814" s="26" t="n">
        <v>0</v>
      </c>
      <c r="M1814" s="26" t="n">
        <v>0</v>
      </c>
    </row>
    <row r="1815" ht="16" customHeight="1">
      <c r="A1815" t="inlineStr">
        <is>
          <t>27-Jan-2026</t>
        </is>
      </c>
      <c r="B1815" t="inlineStr">
        <is>
          <t>Tuesday</t>
        </is>
      </c>
      <c r="C1815" t="inlineStr">
        <is>
          <t>Week4-Jan-2026</t>
        </is>
      </c>
      <c r="D1815" s="78" t="n">
        <v>46023</v>
      </c>
      <c r="E1815" t="inlineStr">
        <is>
          <t>Q4FY26</t>
        </is>
      </c>
      <c r="F1815" t="inlineStr">
        <is>
          <t>26-Dec-2028</t>
        </is>
      </c>
      <c r="G1815" t="inlineStr">
        <is>
          <t>Tuesday</t>
        </is>
      </c>
      <c r="H1815" t="inlineStr">
        <is>
          <t>Monthly - Tuesday</t>
        </is>
      </c>
      <c r="I1815" t="inlineStr">
        <is>
          <t>Monthly - Tuesday</t>
        </is>
      </c>
      <c r="J1815" t="inlineStr">
        <is>
          <t>Month+35 Expiry</t>
        </is>
      </c>
      <c r="K1815" s="25" t="n">
        <v>0</v>
      </c>
      <c r="L1815" s="26" t="n">
        <v>0</v>
      </c>
      <c r="M1815" s="26" t="n">
        <v>0</v>
      </c>
    </row>
    <row r="1816" ht="16" customHeight="1">
      <c r="A1816" t="inlineStr">
        <is>
          <t>27-Jan-2026</t>
        </is>
      </c>
      <c r="B1816" t="inlineStr">
        <is>
          <t>Tuesday</t>
        </is>
      </c>
      <c r="C1816" t="inlineStr">
        <is>
          <t>Week4-Jan-2026</t>
        </is>
      </c>
      <c r="D1816" s="78" t="n">
        <v>46023</v>
      </c>
      <c r="E1816" t="inlineStr">
        <is>
          <t>Q4FY26</t>
        </is>
      </c>
      <c r="F1816" t="inlineStr">
        <is>
          <t>26-Jun-2029</t>
        </is>
      </c>
      <c r="G1816" t="inlineStr">
        <is>
          <t>Tuesday</t>
        </is>
      </c>
      <c r="H1816" t="inlineStr">
        <is>
          <t>Monthly - Tuesday</t>
        </is>
      </c>
      <c r="I1816" t="inlineStr">
        <is>
          <t>Monthly - Tuesday</t>
        </is>
      </c>
      <c r="J1816" t="inlineStr">
        <is>
          <t>Month+41 Expiry</t>
        </is>
      </c>
      <c r="K1816" s="25" t="n">
        <v>0</v>
      </c>
      <c r="L1816" s="26" t="n">
        <v>0</v>
      </c>
      <c r="M1816" s="26" t="n">
        <v>0</v>
      </c>
    </row>
    <row r="1817" ht="16" customHeight="1">
      <c r="A1817" t="inlineStr">
        <is>
          <t>27-Jan-2026</t>
        </is>
      </c>
      <c r="B1817" t="inlineStr">
        <is>
          <t>Tuesday</t>
        </is>
      </c>
      <c r="C1817" t="inlineStr">
        <is>
          <t>Week4-Jan-2026</t>
        </is>
      </c>
      <c r="D1817" s="78" t="n">
        <v>46023</v>
      </c>
      <c r="E1817" t="inlineStr">
        <is>
          <t>Q4FY26</t>
        </is>
      </c>
      <c r="F1817" t="inlineStr">
        <is>
          <t>24-Dec-2029</t>
        </is>
      </c>
      <c r="G1817" t="inlineStr">
        <is>
          <t>Monday</t>
        </is>
      </c>
      <c r="H1817" t="inlineStr">
        <is>
          <t>Weekly - Monday</t>
        </is>
      </c>
      <c r="I1817" t="inlineStr">
        <is>
          <t>Weekly - Monday</t>
        </is>
      </c>
      <c r="J1817" t="inlineStr">
        <is>
          <t>Month+47 Expiry</t>
        </is>
      </c>
      <c r="K1817" s="25" t="n">
        <v>2</v>
      </c>
      <c r="L1817" s="26" t="n">
        <v>0.0043</v>
      </c>
      <c r="M1817" s="26" t="n">
        <v>0.0004</v>
      </c>
    </row>
    <row r="1818" ht="16" customHeight="1">
      <c r="A1818" t="inlineStr">
        <is>
          <t>27-Jan-2026</t>
        </is>
      </c>
      <c r="B1818" t="inlineStr">
        <is>
          <t>Tuesday</t>
        </is>
      </c>
      <c r="C1818" t="inlineStr">
        <is>
          <t>Week4-Jan-2026</t>
        </is>
      </c>
      <c r="D1818" s="78" t="n">
        <v>46023</v>
      </c>
      <c r="E1818" t="inlineStr">
        <is>
          <t>Q4FY26</t>
        </is>
      </c>
      <c r="F1818" t="inlineStr">
        <is>
          <t>25-Jun-2030</t>
        </is>
      </c>
      <c r="G1818" t="inlineStr">
        <is>
          <t>Tuesday</t>
        </is>
      </c>
      <c r="H1818" t="inlineStr">
        <is>
          <t>Monthly - Tuesday</t>
        </is>
      </c>
      <c r="I1818" t="inlineStr">
        <is>
          <t>Monthly - Tuesday</t>
        </is>
      </c>
      <c r="J1818" t="inlineStr">
        <is>
          <t>Month+53 Expiry</t>
        </is>
      </c>
      <c r="K1818" s="25" t="n">
        <v>0</v>
      </c>
      <c r="L1818" s="26" t="n">
        <v>0</v>
      </c>
      <c r="M1818" s="26" t="n">
        <v>0</v>
      </c>
    </row>
    <row r="1819" ht="16" customHeight="1">
      <c r="A1819" t="inlineStr">
        <is>
          <t>27-Jan-2026</t>
        </is>
      </c>
      <c r="B1819" t="inlineStr">
        <is>
          <t>Tuesday</t>
        </is>
      </c>
      <c r="C1819" t="inlineStr">
        <is>
          <t>Week4-Jan-2026</t>
        </is>
      </c>
      <c r="D1819" s="78" t="n">
        <v>46023</v>
      </c>
      <c r="E1819" t="inlineStr">
        <is>
          <t>Q4FY26</t>
        </is>
      </c>
      <c r="F1819" t="inlineStr">
        <is>
          <t>31-Dec-2030</t>
        </is>
      </c>
      <c r="G1819" t="inlineStr">
        <is>
          <t>Tuesday</t>
        </is>
      </c>
      <c r="H1819" t="inlineStr">
        <is>
          <t>Monthly - Tuesday</t>
        </is>
      </c>
      <c r="I1819" t="inlineStr">
        <is>
          <t>Monthly - Tuesday</t>
        </is>
      </c>
      <c r="J1819" t="inlineStr">
        <is>
          <t>Month+59 Expiry</t>
        </is>
      </c>
      <c r="K1819" s="25" t="n">
        <v>0</v>
      </c>
      <c r="L1819" s="26" t="n">
        <v>0</v>
      </c>
      <c r="M1819" s="26" t="n">
        <v>0</v>
      </c>
    </row>
    <row r="1820" ht="16" customHeight="1">
      <c r="A1820" t="inlineStr">
        <is>
          <t>28-Jan-2026</t>
        </is>
      </c>
      <c r="B1820" t="inlineStr">
        <is>
          <t>Wednesday</t>
        </is>
      </c>
      <c r="C1820" t="inlineStr">
        <is>
          <t>Week4-Jan-2026</t>
        </is>
      </c>
      <c r="D1820" s="78" t="n">
        <v>46023</v>
      </c>
      <c r="E1820" t="inlineStr">
        <is>
          <t>Q4FY26</t>
        </is>
      </c>
      <c r="F1820" t="inlineStr">
        <is>
          <t>03-Feb-2026</t>
        </is>
      </c>
      <c r="G1820" t="inlineStr">
        <is>
          <t>Tuesday</t>
        </is>
      </c>
      <c r="H1820" t="inlineStr">
        <is>
          <t>Weekly - Tuesday</t>
        </is>
      </c>
      <c r="I1820" t="inlineStr">
        <is>
          <t>Weekly - Tuesday</t>
        </is>
      </c>
      <c r="J1820" t="inlineStr">
        <is>
          <t>Month+1 Expiry</t>
        </is>
      </c>
      <c r="K1820" s="25" t="n">
        <v>45617780</v>
      </c>
      <c r="L1820" s="26" t="n">
        <v>75553.7798</v>
      </c>
      <c r="M1820" s="26" t="n">
        <v>391.819</v>
      </c>
    </row>
    <row r="1821" ht="16" customHeight="1">
      <c r="A1821" t="inlineStr">
        <is>
          <t>28-Jan-2026</t>
        </is>
      </c>
      <c r="B1821" t="inlineStr">
        <is>
          <t>Wednesday</t>
        </is>
      </c>
      <c r="C1821" t="inlineStr">
        <is>
          <t>Week4-Jan-2026</t>
        </is>
      </c>
      <c r="D1821" s="78" t="n">
        <v>46023</v>
      </c>
      <c r="E1821" t="inlineStr">
        <is>
          <t>Q4FY26</t>
        </is>
      </c>
      <c r="F1821" t="inlineStr">
        <is>
          <t>10-Feb-2026</t>
        </is>
      </c>
      <c r="G1821" t="inlineStr">
        <is>
          <t>Tuesday</t>
        </is>
      </c>
      <c r="H1821" t="inlineStr">
        <is>
          <t>Weekly - Tuesday</t>
        </is>
      </c>
      <c r="I1821" t="inlineStr">
        <is>
          <t>Weekly - Tuesday</t>
        </is>
      </c>
      <c r="J1821" t="inlineStr">
        <is>
          <t>Month+1 Expiry</t>
        </is>
      </c>
      <c r="K1821" s="25" t="n">
        <v>926122</v>
      </c>
      <c r="L1821" s="26" t="n">
        <v>1534.8602</v>
      </c>
      <c r="M1821" s="26" t="n">
        <v>9.325100000000001</v>
      </c>
    </row>
    <row r="1822" ht="16" customHeight="1">
      <c r="A1822" t="inlineStr">
        <is>
          <t>28-Jan-2026</t>
        </is>
      </c>
      <c r="B1822" t="inlineStr">
        <is>
          <t>Wednesday</t>
        </is>
      </c>
      <c r="C1822" t="inlineStr">
        <is>
          <t>Week4-Jan-2026</t>
        </is>
      </c>
      <c r="D1822" s="78" t="n">
        <v>46023</v>
      </c>
      <c r="E1822" t="inlineStr">
        <is>
          <t>Q4FY26</t>
        </is>
      </c>
      <c r="F1822" t="inlineStr">
        <is>
          <t>17-Feb-2026</t>
        </is>
      </c>
      <c r="G1822" t="inlineStr">
        <is>
          <t>Tuesday</t>
        </is>
      </c>
      <c r="H1822" t="inlineStr">
        <is>
          <t>Weekly - Tuesday</t>
        </is>
      </c>
      <c r="I1822" t="inlineStr">
        <is>
          <t>Weekly - Tuesday</t>
        </is>
      </c>
      <c r="J1822" t="inlineStr">
        <is>
          <t>Month+1 Expiry</t>
        </is>
      </c>
      <c r="K1822" s="25" t="n">
        <v>57294</v>
      </c>
      <c r="L1822" s="26" t="n">
        <v>95.38030000000001</v>
      </c>
      <c r="M1822" s="26" t="n">
        <v>0.8265</v>
      </c>
    </row>
    <row r="1823" ht="16" customHeight="1">
      <c r="A1823" t="inlineStr">
        <is>
          <t>28-Jan-2026</t>
        </is>
      </c>
      <c r="B1823" t="inlineStr">
        <is>
          <t>Wednesday</t>
        </is>
      </c>
      <c r="C1823" t="inlineStr">
        <is>
          <t>Week4-Jan-2026</t>
        </is>
      </c>
      <c r="D1823" s="78" t="n">
        <v>46023</v>
      </c>
      <c r="E1823" t="inlineStr">
        <is>
          <t>Q4FY26</t>
        </is>
      </c>
      <c r="F1823" t="inlineStr">
        <is>
          <t>24-Feb-2026</t>
        </is>
      </c>
      <c r="G1823" t="inlineStr">
        <is>
          <t>Tuesday</t>
        </is>
      </c>
      <c r="H1823" t="inlineStr">
        <is>
          <t>Monthly - Tuesday</t>
        </is>
      </c>
      <c r="I1823" t="inlineStr">
        <is>
          <t>Monthly - Tuesday</t>
        </is>
      </c>
      <c r="J1823" t="inlineStr">
        <is>
          <t>Month+1 Expiry</t>
        </is>
      </c>
      <c r="K1823" s="25" t="n">
        <v>1333120</v>
      </c>
      <c r="L1823" s="26" t="n">
        <v>2220.3465</v>
      </c>
      <c r="M1823" s="26" t="n">
        <v>20.1334</v>
      </c>
    </row>
    <row r="1824" ht="16" customHeight="1">
      <c r="A1824" t="inlineStr">
        <is>
          <t>28-Jan-2026</t>
        </is>
      </c>
      <c r="B1824" t="inlineStr">
        <is>
          <t>Wednesday</t>
        </is>
      </c>
      <c r="C1824" t="inlineStr">
        <is>
          <t>Week4-Jan-2026</t>
        </is>
      </c>
      <c r="D1824" s="78" t="n">
        <v>46023</v>
      </c>
      <c r="E1824" t="inlineStr">
        <is>
          <t>Q4FY26</t>
        </is>
      </c>
      <c r="F1824" t="inlineStr">
        <is>
          <t>02-Mar-2026</t>
        </is>
      </c>
      <c r="G1824" t="inlineStr">
        <is>
          <t>Monday</t>
        </is>
      </c>
      <c r="H1824" t="inlineStr">
        <is>
          <t>Weekly - Monday</t>
        </is>
      </c>
      <c r="I1824" t="inlineStr">
        <is>
          <t>Weekly - Monday</t>
        </is>
      </c>
      <c r="J1824" t="inlineStr">
        <is>
          <t>Month+2 Expiry</t>
        </is>
      </c>
      <c r="K1824" s="25" t="n">
        <v>3895</v>
      </c>
      <c r="L1824" s="26" t="n">
        <v>6.5001</v>
      </c>
      <c r="M1824" s="26" t="n">
        <v>0.0629</v>
      </c>
    </row>
    <row r="1825" ht="16" customHeight="1">
      <c r="A1825" t="inlineStr">
        <is>
          <t>28-Jan-2026</t>
        </is>
      </c>
      <c r="B1825" t="inlineStr">
        <is>
          <t>Wednesday</t>
        </is>
      </c>
      <c r="C1825" t="inlineStr">
        <is>
          <t>Week4-Jan-2026</t>
        </is>
      </c>
      <c r="D1825" s="78" t="n">
        <v>46023</v>
      </c>
      <c r="E1825" t="inlineStr">
        <is>
          <t>Q4FY26</t>
        </is>
      </c>
      <c r="F1825" t="inlineStr">
        <is>
          <t>30-Mar-2026</t>
        </is>
      </c>
      <c r="G1825" t="inlineStr">
        <is>
          <t>Monday</t>
        </is>
      </c>
      <c r="H1825" t="inlineStr">
        <is>
          <t>Monthly - Monday</t>
        </is>
      </c>
      <c r="I1825" t="inlineStr">
        <is>
          <t>Monthly - Monday</t>
        </is>
      </c>
      <c r="J1825" t="inlineStr">
        <is>
          <t>Month+2 Expiry</t>
        </is>
      </c>
      <c r="K1825" s="25" t="n">
        <v>190979</v>
      </c>
      <c r="L1825" s="26" t="n">
        <v>320.7546</v>
      </c>
      <c r="M1825" s="26" t="n">
        <v>3.4218</v>
      </c>
    </row>
    <row r="1826" ht="16" customHeight="1">
      <c r="A1826" t="inlineStr">
        <is>
          <t>28-Jan-2026</t>
        </is>
      </c>
      <c r="B1826" t="inlineStr">
        <is>
          <t>Wednesday</t>
        </is>
      </c>
      <c r="C1826" t="inlineStr">
        <is>
          <t>Week4-Jan-2026</t>
        </is>
      </c>
      <c r="D1826" s="78" t="n">
        <v>46023</v>
      </c>
      <c r="E1826" t="inlineStr">
        <is>
          <t>Q4FY26</t>
        </is>
      </c>
      <c r="F1826" t="inlineStr">
        <is>
          <t>28-Apr-2026</t>
        </is>
      </c>
      <c r="G1826" t="inlineStr">
        <is>
          <t>Tuesday</t>
        </is>
      </c>
      <c r="H1826" t="inlineStr">
        <is>
          <t>Monthly - Tuesday</t>
        </is>
      </c>
      <c r="I1826" t="inlineStr">
        <is>
          <t>Monthly - Tuesday</t>
        </is>
      </c>
      <c r="J1826" t="inlineStr">
        <is>
          <t>Month+3 Expiry</t>
        </is>
      </c>
      <c r="K1826" s="25" t="n">
        <v>6558</v>
      </c>
      <c r="L1826" s="26" t="n">
        <v>11.0449</v>
      </c>
      <c r="M1826" s="26" t="n">
        <v>0.1634</v>
      </c>
    </row>
    <row r="1827" ht="16" customHeight="1">
      <c r="A1827" t="inlineStr">
        <is>
          <t>28-Jan-2026</t>
        </is>
      </c>
      <c r="B1827" t="inlineStr">
        <is>
          <t>Wednesday</t>
        </is>
      </c>
      <c r="C1827" t="inlineStr">
        <is>
          <t>Week4-Jan-2026</t>
        </is>
      </c>
      <c r="D1827" s="78" t="n">
        <v>46023</v>
      </c>
      <c r="E1827" t="inlineStr">
        <is>
          <t>Q4FY26</t>
        </is>
      </c>
      <c r="F1827" t="inlineStr">
        <is>
          <t>30-Jun-2026</t>
        </is>
      </c>
      <c r="G1827" t="inlineStr">
        <is>
          <t>Tuesday</t>
        </is>
      </c>
      <c r="H1827" t="inlineStr">
        <is>
          <t>Monthly - Tuesday</t>
        </is>
      </c>
      <c r="I1827" t="inlineStr">
        <is>
          <t>Monthly - Tuesday</t>
        </is>
      </c>
      <c r="J1827" t="inlineStr">
        <is>
          <t>Month+5 Expiry</t>
        </is>
      </c>
      <c r="K1827" s="25" t="n">
        <v>29748</v>
      </c>
      <c r="L1827" s="26" t="n">
        <v>51.6724</v>
      </c>
      <c r="M1827" s="26" t="n">
        <v>0.7184</v>
      </c>
    </row>
    <row r="1828" ht="16" customHeight="1">
      <c r="A1828" t="inlineStr">
        <is>
          <t>28-Jan-2026</t>
        </is>
      </c>
      <c r="B1828" t="inlineStr">
        <is>
          <t>Wednesday</t>
        </is>
      </c>
      <c r="C1828" t="inlineStr">
        <is>
          <t>Week4-Jan-2026</t>
        </is>
      </c>
      <c r="D1828" s="78" t="n">
        <v>46023</v>
      </c>
      <c r="E1828" t="inlineStr">
        <is>
          <t>Q4FY26</t>
        </is>
      </c>
      <c r="F1828" t="inlineStr">
        <is>
          <t>29-Sep-2026</t>
        </is>
      </c>
      <c r="G1828" t="inlineStr">
        <is>
          <t>Tuesday</t>
        </is>
      </c>
      <c r="H1828" t="inlineStr">
        <is>
          <t>Monthly - Tuesday</t>
        </is>
      </c>
      <c r="I1828" t="inlineStr">
        <is>
          <t>Monthly - Tuesday</t>
        </is>
      </c>
      <c r="J1828" t="inlineStr">
        <is>
          <t>Month+8 Expiry</t>
        </is>
      </c>
      <c r="K1828" s="25" t="n">
        <v>1897</v>
      </c>
      <c r="L1828" s="26" t="n">
        <v>3.2848</v>
      </c>
      <c r="M1828" s="26" t="n">
        <v>0.0613</v>
      </c>
    </row>
    <row r="1829" ht="16" customHeight="1">
      <c r="A1829" t="inlineStr">
        <is>
          <t>28-Jan-2026</t>
        </is>
      </c>
      <c r="B1829" t="inlineStr">
        <is>
          <t>Wednesday</t>
        </is>
      </c>
      <c r="C1829" t="inlineStr">
        <is>
          <t>Week4-Jan-2026</t>
        </is>
      </c>
      <c r="D1829" s="78" t="n">
        <v>46023</v>
      </c>
      <c r="E1829" t="inlineStr">
        <is>
          <t>Q4FY26</t>
        </is>
      </c>
      <c r="F1829" t="inlineStr">
        <is>
          <t>29-Dec-2026</t>
        </is>
      </c>
      <c r="G1829" t="inlineStr">
        <is>
          <t>Tuesday</t>
        </is>
      </c>
      <c r="H1829" t="inlineStr">
        <is>
          <t>Monthly - Tuesday</t>
        </is>
      </c>
      <c r="I1829" t="inlineStr">
        <is>
          <t>Monthly - Tuesday</t>
        </is>
      </c>
      <c r="J1829" t="inlineStr">
        <is>
          <t>Month+11 Expiry</t>
        </is>
      </c>
      <c r="K1829" s="25" t="n">
        <v>12494</v>
      </c>
      <c r="L1829" s="26" t="n">
        <v>21.3259</v>
      </c>
      <c r="M1829" s="26" t="n">
        <v>0.5703</v>
      </c>
    </row>
    <row r="1830" ht="16" customHeight="1">
      <c r="A1830" t="inlineStr">
        <is>
          <t>28-Jan-2026</t>
        </is>
      </c>
      <c r="B1830" t="inlineStr">
        <is>
          <t>Wednesday</t>
        </is>
      </c>
      <c r="C1830" t="inlineStr">
        <is>
          <t>Week4-Jan-2026</t>
        </is>
      </c>
      <c r="D1830" s="78" t="n">
        <v>46023</v>
      </c>
      <c r="E1830" t="inlineStr">
        <is>
          <t>Q4FY26</t>
        </is>
      </c>
      <c r="F1830" t="inlineStr">
        <is>
          <t>29-Jun-2027</t>
        </is>
      </c>
      <c r="G1830" t="inlineStr">
        <is>
          <t>Tuesday</t>
        </is>
      </c>
      <c r="H1830" t="inlineStr">
        <is>
          <t>Monthly - Tuesday</t>
        </is>
      </c>
      <c r="I1830" t="inlineStr">
        <is>
          <t>Monthly - Tuesday</t>
        </is>
      </c>
      <c r="J1830" t="inlineStr">
        <is>
          <t>Month+17 Expiry</t>
        </is>
      </c>
      <c r="K1830" s="25" t="n">
        <v>0</v>
      </c>
      <c r="L1830" s="26" t="n">
        <v>0</v>
      </c>
      <c r="M1830" s="26" t="n">
        <v>0</v>
      </c>
    </row>
    <row r="1831" ht="16" customHeight="1">
      <c r="A1831" t="inlineStr">
        <is>
          <t>28-Jan-2026</t>
        </is>
      </c>
      <c r="B1831" t="inlineStr">
        <is>
          <t>Wednesday</t>
        </is>
      </c>
      <c r="C1831" t="inlineStr">
        <is>
          <t>Week4-Jan-2026</t>
        </is>
      </c>
      <c r="D1831" s="78" t="n">
        <v>46023</v>
      </c>
      <c r="E1831" t="inlineStr">
        <is>
          <t>Q4FY26</t>
        </is>
      </c>
      <c r="F1831" t="inlineStr">
        <is>
          <t>28-Dec-2027</t>
        </is>
      </c>
      <c r="G1831" t="inlineStr">
        <is>
          <t>Tuesday</t>
        </is>
      </c>
      <c r="H1831" t="inlineStr">
        <is>
          <t>Monthly - Tuesday</t>
        </is>
      </c>
      <c r="I1831" t="inlineStr">
        <is>
          <t>Monthly - Tuesday</t>
        </is>
      </c>
      <c r="J1831" t="inlineStr">
        <is>
          <t>Month+23 Expiry</t>
        </is>
      </c>
      <c r="K1831" s="25" t="n">
        <v>23</v>
      </c>
      <c r="L1831" s="26" t="n">
        <v>0.0395</v>
      </c>
      <c r="M1831" s="26" t="n">
        <v>0.002</v>
      </c>
    </row>
    <row r="1832" ht="16" customHeight="1">
      <c r="A1832" t="inlineStr">
        <is>
          <t>28-Jan-2026</t>
        </is>
      </c>
      <c r="B1832" t="inlineStr">
        <is>
          <t>Wednesday</t>
        </is>
      </c>
      <c r="C1832" t="inlineStr">
        <is>
          <t>Week4-Jan-2026</t>
        </is>
      </c>
      <c r="D1832" s="78" t="n">
        <v>46023</v>
      </c>
      <c r="E1832" t="inlineStr">
        <is>
          <t>Q4FY26</t>
        </is>
      </c>
      <c r="F1832" t="inlineStr">
        <is>
          <t>27-Jun-2028</t>
        </is>
      </c>
      <c r="G1832" t="inlineStr">
        <is>
          <t>Tuesday</t>
        </is>
      </c>
      <c r="H1832" t="inlineStr">
        <is>
          <t>Monthly - Tuesday</t>
        </is>
      </c>
      <c r="I1832" t="inlineStr">
        <is>
          <t>Monthly - Tuesday</t>
        </is>
      </c>
      <c r="J1832" t="inlineStr">
        <is>
          <t>Month+29 Expiry</t>
        </is>
      </c>
      <c r="K1832" s="25" t="n">
        <v>0</v>
      </c>
      <c r="L1832" s="26" t="n">
        <v>0</v>
      </c>
      <c r="M1832" s="26" t="n">
        <v>0</v>
      </c>
    </row>
    <row r="1833" ht="16" customHeight="1">
      <c r="A1833" t="inlineStr">
        <is>
          <t>28-Jan-2026</t>
        </is>
      </c>
      <c r="B1833" t="inlineStr">
        <is>
          <t>Wednesday</t>
        </is>
      </c>
      <c r="C1833" t="inlineStr">
        <is>
          <t>Week4-Jan-2026</t>
        </is>
      </c>
      <c r="D1833" s="78" t="n">
        <v>46023</v>
      </c>
      <c r="E1833" t="inlineStr">
        <is>
          <t>Q4FY26</t>
        </is>
      </c>
      <c r="F1833" t="inlineStr">
        <is>
          <t>26-Dec-2028</t>
        </is>
      </c>
      <c r="G1833" t="inlineStr">
        <is>
          <t>Tuesday</t>
        </is>
      </c>
      <c r="H1833" t="inlineStr">
        <is>
          <t>Monthly - Tuesday</t>
        </is>
      </c>
      <c r="I1833" t="inlineStr">
        <is>
          <t>Monthly - Tuesday</t>
        </is>
      </c>
      <c r="J1833" t="inlineStr">
        <is>
          <t>Month+35 Expiry</t>
        </is>
      </c>
      <c r="K1833" s="25" t="n">
        <v>3</v>
      </c>
      <c r="L1833" s="26" t="n">
        <v>0.0058</v>
      </c>
      <c r="M1833" s="26" t="n">
        <v>0.0005</v>
      </c>
    </row>
    <row r="1834" ht="16" customHeight="1">
      <c r="A1834" t="inlineStr">
        <is>
          <t>28-Jan-2026</t>
        </is>
      </c>
      <c r="B1834" t="inlineStr">
        <is>
          <t>Wednesday</t>
        </is>
      </c>
      <c r="C1834" t="inlineStr">
        <is>
          <t>Week4-Jan-2026</t>
        </is>
      </c>
      <c r="D1834" s="78" t="n">
        <v>46023</v>
      </c>
      <c r="E1834" t="inlineStr">
        <is>
          <t>Q4FY26</t>
        </is>
      </c>
      <c r="F1834" t="inlineStr">
        <is>
          <t>26-Jun-2029</t>
        </is>
      </c>
      <c r="G1834" t="inlineStr">
        <is>
          <t>Tuesday</t>
        </is>
      </c>
      <c r="H1834" t="inlineStr">
        <is>
          <t>Monthly - Tuesday</t>
        </is>
      </c>
      <c r="I1834" t="inlineStr">
        <is>
          <t>Monthly - Tuesday</t>
        </is>
      </c>
      <c r="J1834" t="inlineStr">
        <is>
          <t>Month+41 Expiry</t>
        </is>
      </c>
      <c r="K1834" s="25" t="n">
        <v>0</v>
      </c>
      <c r="L1834" s="26" t="n">
        <v>0</v>
      </c>
      <c r="M1834" s="26" t="n">
        <v>0</v>
      </c>
    </row>
    <row r="1835" ht="16" customHeight="1">
      <c r="A1835" t="inlineStr">
        <is>
          <t>28-Jan-2026</t>
        </is>
      </c>
      <c r="B1835" t="inlineStr">
        <is>
          <t>Wednesday</t>
        </is>
      </c>
      <c r="C1835" t="inlineStr">
        <is>
          <t>Week4-Jan-2026</t>
        </is>
      </c>
      <c r="D1835" s="78" t="n">
        <v>46023</v>
      </c>
      <c r="E1835" t="inlineStr">
        <is>
          <t>Q4FY26</t>
        </is>
      </c>
      <c r="F1835" t="inlineStr">
        <is>
          <t>24-Dec-2029</t>
        </is>
      </c>
      <c r="G1835" t="inlineStr">
        <is>
          <t>Monday</t>
        </is>
      </c>
      <c r="H1835" t="inlineStr">
        <is>
          <t>Weekly - Monday</t>
        </is>
      </c>
      <c r="I1835" t="inlineStr">
        <is>
          <t>Weekly - Monday</t>
        </is>
      </c>
      <c r="J1835" t="inlineStr">
        <is>
          <t>Month+47 Expiry</t>
        </is>
      </c>
      <c r="K1835" s="25" t="n">
        <v>5</v>
      </c>
      <c r="L1835" s="26" t="n">
        <v>0.0102</v>
      </c>
      <c r="M1835" s="26" t="n">
        <v>0.0009</v>
      </c>
    </row>
    <row r="1836" ht="16" customHeight="1">
      <c r="A1836" t="inlineStr">
        <is>
          <t>28-Jan-2026</t>
        </is>
      </c>
      <c r="B1836" t="inlineStr">
        <is>
          <t>Wednesday</t>
        </is>
      </c>
      <c r="C1836" t="inlineStr">
        <is>
          <t>Week4-Jan-2026</t>
        </is>
      </c>
      <c r="D1836" s="78" t="n">
        <v>46023</v>
      </c>
      <c r="E1836" t="inlineStr">
        <is>
          <t>Q4FY26</t>
        </is>
      </c>
      <c r="F1836" t="inlineStr">
        <is>
          <t>25-Jun-2030</t>
        </is>
      </c>
      <c r="G1836" t="inlineStr">
        <is>
          <t>Tuesday</t>
        </is>
      </c>
      <c r="H1836" t="inlineStr">
        <is>
          <t>Monthly - Tuesday</t>
        </is>
      </c>
      <c r="I1836" t="inlineStr">
        <is>
          <t>Monthly - Tuesday</t>
        </is>
      </c>
      <c r="J1836" t="inlineStr">
        <is>
          <t>Month+53 Expiry</t>
        </is>
      </c>
      <c r="K1836" s="25" t="n">
        <v>0</v>
      </c>
      <c r="L1836" s="26" t="n">
        <v>0</v>
      </c>
      <c r="M1836" s="26" t="n">
        <v>0</v>
      </c>
    </row>
    <row r="1837" ht="16" customHeight="1">
      <c r="A1837" t="inlineStr">
        <is>
          <t>28-Jan-2026</t>
        </is>
      </c>
      <c r="B1837" t="inlineStr">
        <is>
          <t>Wednesday</t>
        </is>
      </c>
      <c r="C1837" t="inlineStr">
        <is>
          <t>Week4-Jan-2026</t>
        </is>
      </c>
      <c r="D1837" s="78" t="n">
        <v>46023</v>
      </c>
      <c r="E1837" t="inlineStr">
        <is>
          <t>Q4FY26</t>
        </is>
      </c>
      <c r="F1837" t="inlineStr">
        <is>
          <t>31-Dec-2030</t>
        </is>
      </c>
      <c r="G1837" t="inlineStr">
        <is>
          <t>Tuesday</t>
        </is>
      </c>
      <c r="H1837" t="inlineStr">
        <is>
          <t>Monthly - Tuesday</t>
        </is>
      </c>
      <c r="I1837" t="inlineStr">
        <is>
          <t>Monthly - Tuesday</t>
        </is>
      </c>
      <c r="J1837" t="inlineStr">
        <is>
          <t>Month+59 Expiry</t>
        </is>
      </c>
      <c r="K1837" s="25" t="n">
        <v>0</v>
      </c>
      <c r="L1837" s="26" t="n">
        <v>0</v>
      </c>
      <c r="M1837" s="26" t="n">
        <v>0</v>
      </c>
    </row>
    <row r="1838" ht="16" customHeight="1">
      <c r="A1838" t="inlineStr">
        <is>
          <t>29-Jan-2026</t>
        </is>
      </c>
      <c r="B1838" t="inlineStr">
        <is>
          <t>Thursday</t>
        </is>
      </c>
      <c r="C1838" t="inlineStr">
        <is>
          <t>Week5-Jan-2026</t>
        </is>
      </c>
      <c r="D1838" s="78" t="n">
        <v>46023</v>
      </c>
      <c r="E1838" t="inlineStr">
        <is>
          <t>Q4FY26</t>
        </is>
      </c>
      <c r="F1838" t="inlineStr">
        <is>
          <t>03-Feb-2026</t>
        </is>
      </c>
      <c r="G1838" t="inlineStr">
        <is>
          <t>Tuesday</t>
        </is>
      </c>
      <c r="H1838" t="inlineStr">
        <is>
          <t>Weekly - Tuesday</t>
        </is>
      </c>
      <c r="I1838" t="inlineStr">
        <is>
          <t>Weekly - Tuesday</t>
        </is>
      </c>
      <c r="J1838" t="inlineStr">
        <is>
          <t>Month+1 Expiry</t>
        </is>
      </c>
      <c r="K1838" s="25" t="n">
        <v>43486226</v>
      </c>
      <c r="L1838" s="26" t="n">
        <v>72020.8832</v>
      </c>
      <c r="M1838" s="26" t="n">
        <v>327.2148</v>
      </c>
    </row>
    <row r="1839" ht="16" customHeight="1">
      <c r="A1839" t="inlineStr">
        <is>
          <t>29-Jan-2026</t>
        </is>
      </c>
      <c r="B1839" t="inlineStr">
        <is>
          <t>Thursday</t>
        </is>
      </c>
      <c r="C1839" t="inlineStr">
        <is>
          <t>Week5-Jan-2026</t>
        </is>
      </c>
      <c r="D1839" s="78" t="n">
        <v>46023</v>
      </c>
      <c r="E1839" t="inlineStr">
        <is>
          <t>Q4FY26</t>
        </is>
      </c>
      <c r="F1839" t="inlineStr">
        <is>
          <t>10-Feb-2026</t>
        </is>
      </c>
      <c r="G1839" t="inlineStr">
        <is>
          <t>Tuesday</t>
        </is>
      </c>
      <c r="H1839" t="inlineStr">
        <is>
          <t>Weekly - Tuesday</t>
        </is>
      </c>
      <c r="I1839" t="inlineStr">
        <is>
          <t>Weekly - Tuesday</t>
        </is>
      </c>
      <c r="J1839" t="inlineStr">
        <is>
          <t>Month+1 Expiry</t>
        </is>
      </c>
      <c r="K1839" s="25" t="n">
        <v>1120920</v>
      </c>
      <c r="L1839" s="26" t="n">
        <v>1857.7678</v>
      </c>
      <c r="M1839" s="26" t="n">
        <v>11.1935</v>
      </c>
    </row>
    <row r="1840" ht="16" customHeight="1">
      <c r="A1840" t="inlineStr">
        <is>
          <t>29-Jan-2026</t>
        </is>
      </c>
      <c r="B1840" t="inlineStr">
        <is>
          <t>Thursday</t>
        </is>
      </c>
      <c r="C1840" t="inlineStr">
        <is>
          <t>Week5-Jan-2026</t>
        </is>
      </c>
      <c r="D1840" s="78" t="n">
        <v>46023</v>
      </c>
      <c r="E1840" t="inlineStr">
        <is>
          <t>Q4FY26</t>
        </is>
      </c>
      <c r="F1840" t="inlineStr">
        <is>
          <t>17-Feb-2026</t>
        </is>
      </c>
      <c r="G1840" t="inlineStr">
        <is>
          <t>Tuesday</t>
        </is>
      </c>
      <c r="H1840" t="inlineStr">
        <is>
          <t>Weekly - Tuesday</t>
        </is>
      </c>
      <c r="I1840" t="inlineStr">
        <is>
          <t>Weekly - Tuesday</t>
        </is>
      </c>
      <c r="J1840" t="inlineStr">
        <is>
          <t>Month+1 Expiry</t>
        </is>
      </c>
      <c r="K1840" s="25" t="n">
        <v>62054</v>
      </c>
      <c r="L1840" s="26" t="n">
        <v>103.2537</v>
      </c>
      <c r="M1840" s="26" t="n">
        <v>0.8463000000000001</v>
      </c>
    </row>
    <row r="1841" ht="16" customHeight="1">
      <c r="A1841" t="inlineStr">
        <is>
          <t>29-Jan-2026</t>
        </is>
      </c>
      <c r="B1841" t="inlineStr">
        <is>
          <t>Thursday</t>
        </is>
      </c>
      <c r="C1841" t="inlineStr">
        <is>
          <t>Week5-Jan-2026</t>
        </is>
      </c>
      <c r="D1841" s="78" t="n">
        <v>46023</v>
      </c>
      <c r="E1841" t="inlineStr">
        <is>
          <t>Q4FY26</t>
        </is>
      </c>
      <c r="F1841" t="inlineStr">
        <is>
          <t>24-Feb-2026</t>
        </is>
      </c>
      <c r="G1841" t="inlineStr">
        <is>
          <t>Tuesday</t>
        </is>
      </c>
      <c r="H1841" t="inlineStr">
        <is>
          <t>Monthly - Tuesday</t>
        </is>
      </c>
      <c r="I1841" t="inlineStr">
        <is>
          <t>Monthly - Tuesday</t>
        </is>
      </c>
      <c r="J1841" t="inlineStr">
        <is>
          <t>Month+1 Expiry</t>
        </is>
      </c>
      <c r="K1841" s="25" t="n">
        <v>1345064</v>
      </c>
      <c r="L1841" s="26" t="n">
        <v>2241.5981</v>
      </c>
      <c r="M1841" s="26" t="n">
        <v>19.9534</v>
      </c>
    </row>
    <row r="1842" ht="16" customHeight="1">
      <c r="A1842" t="inlineStr">
        <is>
          <t>29-Jan-2026</t>
        </is>
      </c>
      <c r="B1842" t="inlineStr">
        <is>
          <t>Thursday</t>
        </is>
      </c>
      <c r="C1842" t="inlineStr">
        <is>
          <t>Week5-Jan-2026</t>
        </is>
      </c>
      <c r="D1842" s="78" t="n">
        <v>46023</v>
      </c>
      <c r="E1842" t="inlineStr">
        <is>
          <t>Q4FY26</t>
        </is>
      </c>
      <c r="F1842" t="inlineStr">
        <is>
          <t>02-Mar-2026</t>
        </is>
      </c>
      <c r="G1842" t="inlineStr">
        <is>
          <t>Monday</t>
        </is>
      </c>
      <c r="H1842" t="inlineStr">
        <is>
          <t>Weekly - Monday</t>
        </is>
      </c>
      <c r="I1842" t="inlineStr">
        <is>
          <t>Weekly - Monday</t>
        </is>
      </c>
      <c r="J1842" t="inlineStr">
        <is>
          <t>Month+2 Expiry</t>
        </is>
      </c>
      <c r="K1842" s="25" t="n">
        <v>3968</v>
      </c>
      <c r="L1842" s="26" t="n">
        <v>6.6134</v>
      </c>
      <c r="M1842" s="26" t="n">
        <v>0.0648</v>
      </c>
    </row>
    <row r="1843" ht="16" customHeight="1">
      <c r="A1843" t="inlineStr">
        <is>
          <t>29-Jan-2026</t>
        </is>
      </c>
      <c r="B1843" t="inlineStr">
        <is>
          <t>Thursday</t>
        </is>
      </c>
      <c r="C1843" t="inlineStr">
        <is>
          <t>Week5-Jan-2026</t>
        </is>
      </c>
      <c r="D1843" s="78" t="n">
        <v>46023</v>
      </c>
      <c r="E1843" t="inlineStr">
        <is>
          <t>Q4FY26</t>
        </is>
      </c>
      <c r="F1843" t="inlineStr">
        <is>
          <t>30-Mar-2026</t>
        </is>
      </c>
      <c r="G1843" t="inlineStr">
        <is>
          <t>Monday</t>
        </is>
      </c>
      <c r="H1843" t="inlineStr">
        <is>
          <t>Monthly - Monday</t>
        </is>
      </c>
      <c r="I1843" t="inlineStr">
        <is>
          <t>Monthly - Monday</t>
        </is>
      </c>
      <c r="J1843" t="inlineStr">
        <is>
          <t>Month+2 Expiry</t>
        </is>
      </c>
      <c r="K1843" s="25" t="n">
        <v>212586</v>
      </c>
      <c r="L1843" s="26" t="n">
        <v>358.932</v>
      </c>
      <c r="M1843" s="26" t="n">
        <v>3.3126</v>
      </c>
    </row>
    <row r="1844" ht="16" customHeight="1">
      <c r="A1844" t="inlineStr">
        <is>
          <t>29-Jan-2026</t>
        </is>
      </c>
      <c r="B1844" t="inlineStr">
        <is>
          <t>Thursday</t>
        </is>
      </c>
      <c r="C1844" t="inlineStr">
        <is>
          <t>Week5-Jan-2026</t>
        </is>
      </c>
      <c r="D1844" s="78" t="n">
        <v>46023</v>
      </c>
      <c r="E1844" t="inlineStr">
        <is>
          <t>Q4FY26</t>
        </is>
      </c>
      <c r="F1844" t="inlineStr">
        <is>
          <t>28-Apr-2026</t>
        </is>
      </c>
      <c r="G1844" t="inlineStr">
        <is>
          <t>Tuesday</t>
        </is>
      </c>
      <c r="H1844" t="inlineStr">
        <is>
          <t>Monthly - Tuesday</t>
        </is>
      </c>
      <c r="I1844" t="inlineStr">
        <is>
          <t>Monthly - Tuesday</t>
        </is>
      </c>
      <c r="J1844" t="inlineStr">
        <is>
          <t>Month+3 Expiry</t>
        </is>
      </c>
      <c r="K1844" s="25" t="n">
        <v>12159</v>
      </c>
      <c r="L1844" s="26" t="n">
        <v>20.6716</v>
      </c>
      <c r="M1844" s="26" t="n">
        <v>0.3088</v>
      </c>
    </row>
    <row r="1845" ht="16" customHeight="1">
      <c r="A1845" t="inlineStr">
        <is>
          <t>29-Jan-2026</t>
        </is>
      </c>
      <c r="B1845" t="inlineStr">
        <is>
          <t>Thursday</t>
        </is>
      </c>
      <c r="C1845" t="inlineStr">
        <is>
          <t>Week5-Jan-2026</t>
        </is>
      </c>
      <c r="D1845" s="78" t="n">
        <v>46023</v>
      </c>
      <c r="E1845" t="inlineStr">
        <is>
          <t>Q4FY26</t>
        </is>
      </c>
      <c r="F1845" t="inlineStr">
        <is>
          <t>30-Jun-2026</t>
        </is>
      </c>
      <c r="G1845" t="inlineStr">
        <is>
          <t>Tuesday</t>
        </is>
      </c>
      <c r="H1845" t="inlineStr">
        <is>
          <t>Monthly - Tuesday</t>
        </is>
      </c>
      <c r="I1845" t="inlineStr">
        <is>
          <t>Monthly - Tuesday</t>
        </is>
      </c>
      <c r="J1845" t="inlineStr">
        <is>
          <t>Month+5 Expiry</t>
        </is>
      </c>
      <c r="K1845" s="25" t="n">
        <v>32546</v>
      </c>
      <c r="L1845" s="26" t="n">
        <v>56.1571</v>
      </c>
      <c r="M1845" s="26" t="n">
        <v>0.8846000000000001</v>
      </c>
    </row>
    <row r="1846" ht="16" customHeight="1">
      <c r="A1846" t="inlineStr">
        <is>
          <t>29-Jan-2026</t>
        </is>
      </c>
      <c r="B1846" t="inlineStr">
        <is>
          <t>Thursday</t>
        </is>
      </c>
      <c r="C1846" t="inlineStr">
        <is>
          <t>Week5-Jan-2026</t>
        </is>
      </c>
      <c r="D1846" s="78" t="n">
        <v>46023</v>
      </c>
      <c r="E1846" t="inlineStr">
        <is>
          <t>Q4FY26</t>
        </is>
      </c>
      <c r="F1846" t="inlineStr">
        <is>
          <t>29-Sep-2026</t>
        </is>
      </c>
      <c r="G1846" t="inlineStr">
        <is>
          <t>Tuesday</t>
        </is>
      </c>
      <c r="H1846" t="inlineStr">
        <is>
          <t>Monthly - Tuesday</t>
        </is>
      </c>
      <c r="I1846" t="inlineStr">
        <is>
          <t>Monthly - Tuesday</t>
        </is>
      </c>
      <c r="J1846" t="inlineStr">
        <is>
          <t>Month+8 Expiry</t>
        </is>
      </c>
      <c r="K1846" s="25" t="n">
        <v>3248</v>
      </c>
      <c r="L1846" s="26" t="n">
        <v>5.7067</v>
      </c>
      <c r="M1846" s="26" t="n">
        <v>0.1002</v>
      </c>
    </row>
    <row r="1847" ht="16" customHeight="1">
      <c r="A1847" t="inlineStr">
        <is>
          <t>29-Jan-2026</t>
        </is>
      </c>
      <c r="B1847" t="inlineStr">
        <is>
          <t>Thursday</t>
        </is>
      </c>
      <c r="C1847" t="inlineStr">
        <is>
          <t>Week5-Jan-2026</t>
        </is>
      </c>
      <c r="D1847" s="78" t="n">
        <v>46023</v>
      </c>
      <c r="E1847" t="inlineStr">
        <is>
          <t>Q4FY26</t>
        </is>
      </c>
      <c r="F1847" t="inlineStr">
        <is>
          <t>29-Dec-2026</t>
        </is>
      </c>
      <c r="G1847" t="inlineStr">
        <is>
          <t>Tuesday</t>
        </is>
      </c>
      <c r="H1847" t="inlineStr">
        <is>
          <t>Monthly - Tuesday</t>
        </is>
      </c>
      <c r="I1847" t="inlineStr">
        <is>
          <t>Monthly - Tuesday</t>
        </is>
      </c>
      <c r="J1847" t="inlineStr">
        <is>
          <t>Month+11 Expiry</t>
        </is>
      </c>
      <c r="K1847" s="25" t="n">
        <v>14356</v>
      </c>
      <c r="L1847" s="26" t="n">
        <v>25.1701</v>
      </c>
      <c r="M1847" s="26" t="n">
        <v>0.7909</v>
      </c>
    </row>
    <row r="1848" ht="16" customHeight="1">
      <c r="A1848" t="inlineStr">
        <is>
          <t>29-Jan-2026</t>
        </is>
      </c>
      <c r="B1848" t="inlineStr">
        <is>
          <t>Thursday</t>
        </is>
      </c>
      <c r="C1848" t="inlineStr">
        <is>
          <t>Week5-Jan-2026</t>
        </is>
      </c>
      <c r="D1848" s="78" t="n">
        <v>46023</v>
      </c>
      <c r="E1848" t="inlineStr">
        <is>
          <t>Q4FY26</t>
        </is>
      </c>
      <c r="F1848" t="inlineStr">
        <is>
          <t>29-Jun-2027</t>
        </is>
      </c>
      <c r="G1848" t="inlineStr">
        <is>
          <t>Tuesday</t>
        </is>
      </c>
      <c r="H1848" t="inlineStr">
        <is>
          <t>Monthly - Tuesday</t>
        </is>
      </c>
      <c r="I1848" t="inlineStr">
        <is>
          <t>Monthly - Tuesday</t>
        </is>
      </c>
      <c r="J1848" t="inlineStr">
        <is>
          <t>Month+17 Expiry</t>
        </is>
      </c>
      <c r="K1848" s="25" t="n">
        <v>0</v>
      </c>
      <c r="L1848" s="26" t="n">
        <v>0</v>
      </c>
      <c r="M1848" s="26" t="n">
        <v>0</v>
      </c>
    </row>
    <row r="1849" ht="16" customHeight="1">
      <c r="A1849" t="inlineStr">
        <is>
          <t>29-Jan-2026</t>
        </is>
      </c>
      <c r="B1849" t="inlineStr">
        <is>
          <t>Thursday</t>
        </is>
      </c>
      <c r="C1849" t="inlineStr">
        <is>
          <t>Week5-Jan-2026</t>
        </is>
      </c>
      <c r="D1849" s="78" t="n">
        <v>46023</v>
      </c>
      <c r="E1849" t="inlineStr">
        <is>
          <t>Q4FY26</t>
        </is>
      </c>
      <c r="F1849" t="inlineStr">
        <is>
          <t>28-Dec-2027</t>
        </is>
      </c>
      <c r="G1849" t="inlineStr">
        <is>
          <t>Tuesday</t>
        </is>
      </c>
      <c r="H1849" t="inlineStr">
        <is>
          <t>Monthly - Tuesday</t>
        </is>
      </c>
      <c r="I1849" t="inlineStr">
        <is>
          <t>Monthly - Tuesday</t>
        </is>
      </c>
      <c r="J1849" t="inlineStr">
        <is>
          <t>Month+23 Expiry</t>
        </is>
      </c>
      <c r="K1849" s="25" t="n">
        <v>34</v>
      </c>
      <c r="L1849" s="26" t="n">
        <v>0.0573</v>
      </c>
      <c r="M1849" s="26" t="n">
        <v>0.0026</v>
      </c>
    </row>
    <row r="1850" ht="16" customHeight="1">
      <c r="A1850" t="inlineStr">
        <is>
          <t>29-Jan-2026</t>
        </is>
      </c>
      <c r="B1850" t="inlineStr">
        <is>
          <t>Thursday</t>
        </is>
      </c>
      <c r="C1850" t="inlineStr">
        <is>
          <t>Week5-Jan-2026</t>
        </is>
      </c>
      <c r="D1850" s="78" t="n">
        <v>46023</v>
      </c>
      <c r="E1850" t="inlineStr">
        <is>
          <t>Q4FY26</t>
        </is>
      </c>
      <c r="F1850" t="inlineStr">
        <is>
          <t>27-Jun-2028</t>
        </is>
      </c>
      <c r="G1850" t="inlineStr">
        <is>
          <t>Tuesday</t>
        </is>
      </c>
      <c r="H1850" t="inlineStr">
        <is>
          <t>Monthly - Tuesday</t>
        </is>
      </c>
      <c r="I1850" t="inlineStr">
        <is>
          <t>Monthly - Tuesday</t>
        </is>
      </c>
      <c r="J1850" t="inlineStr">
        <is>
          <t>Month+29 Expiry</t>
        </is>
      </c>
      <c r="K1850" s="25" t="n">
        <v>0</v>
      </c>
      <c r="L1850" s="26" t="n">
        <v>0</v>
      </c>
      <c r="M1850" s="26" t="n">
        <v>0</v>
      </c>
    </row>
    <row r="1851" ht="16" customHeight="1">
      <c r="A1851" t="inlineStr">
        <is>
          <t>29-Jan-2026</t>
        </is>
      </c>
      <c r="B1851" t="inlineStr">
        <is>
          <t>Thursday</t>
        </is>
      </c>
      <c r="C1851" t="inlineStr">
        <is>
          <t>Week5-Jan-2026</t>
        </is>
      </c>
      <c r="D1851" s="78" t="n">
        <v>46023</v>
      </c>
      <c r="E1851" t="inlineStr">
        <is>
          <t>Q4FY26</t>
        </is>
      </c>
      <c r="F1851" t="inlineStr">
        <is>
          <t>26-Dec-2028</t>
        </is>
      </c>
      <c r="G1851" t="inlineStr">
        <is>
          <t>Tuesday</t>
        </is>
      </c>
      <c r="H1851" t="inlineStr">
        <is>
          <t>Monthly - Tuesday</t>
        </is>
      </c>
      <c r="I1851" t="inlineStr">
        <is>
          <t>Monthly - Tuesday</t>
        </is>
      </c>
      <c r="J1851" t="inlineStr">
        <is>
          <t>Month+35 Expiry</t>
        </is>
      </c>
      <c r="K1851" s="25" t="n">
        <v>20</v>
      </c>
      <c r="L1851" s="26" t="n">
        <v>0.0375</v>
      </c>
      <c r="M1851" s="26" t="n">
        <v>0.0019</v>
      </c>
    </row>
    <row r="1852" ht="16" customHeight="1">
      <c r="A1852" t="inlineStr">
        <is>
          <t>29-Jan-2026</t>
        </is>
      </c>
      <c r="B1852" t="inlineStr">
        <is>
          <t>Thursday</t>
        </is>
      </c>
      <c r="C1852" t="inlineStr">
        <is>
          <t>Week5-Jan-2026</t>
        </is>
      </c>
      <c r="D1852" s="78" t="n">
        <v>46023</v>
      </c>
      <c r="E1852" t="inlineStr">
        <is>
          <t>Q4FY26</t>
        </is>
      </c>
      <c r="F1852" t="inlineStr">
        <is>
          <t>26-Jun-2029</t>
        </is>
      </c>
      <c r="G1852" t="inlineStr">
        <is>
          <t>Tuesday</t>
        </is>
      </c>
      <c r="H1852" t="inlineStr">
        <is>
          <t>Monthly - Tuesday</t>
        </is>
      </c>
      <c r="I1852" t="inlineStr">
        <is>
          <t>Monthly - Tuesday</t>
        </is>
      </c>
      <c r="J1852" t="inlineStr">
        <is>
          <t>Month+41 Expiry</t>
        </is>
      </c>
      <c r="K1852" s="25" t="n">
        <v>0</v>
      </c>
      <c r="L1852" s="26" t="n">
        <v>0</v>
      </c>
      <c r="M1852" s="26" t="n">
        <v>0</v>
      </c>
    </row>
    <row r="1853" ht="16" customHeight="1">
      <c r="A1853" t="inlineStr">
        <is>
          <t>29-Jan-2026</t>
        </is>
      </c>
      <c r="B1853" t="inlineStr">
        <is>
          <t>Thursday</t>
        </is>
      </c>
      <c r="C1853" t="inlineStr">
        <is>
          <t>Week5-Jan-2026</t>
        </is>
      </c>
      <c r="D1853" s="78" t="n">
        <v>46023</v>
      </c>
      <c r="E1853" t="inlineStr">
        <is>
          <t>Q4FY26</t>
        </is>
      </c>
      <c r="F1853" t="inlineStr">
        <is>
          <t>24-Dec-2029</t>
        </is>
      </c>
      <c r="G1853" t="inlineStr">
        <is>
          <t>Monday</t>
        </is>
      </c>
      <c r="H1853" t="inlineStr">
        <is>
          <t>Weekly - Monday</t>
        </is>
      </c>
      <c r="I1853" t="inlineStr">
        <is>
          <t>Weekly - Monday</t>
        </is>
      </c>
      <c r="J1853" t="inlineStr">
        <is>
          <t>Month+47 Expiry</t>
        </is>
      </c>
      <c r="K1853" s="25" t="n">
        <v>0</v>
      </c>
      <c r="L1853" s="26" t="n">
        <v>0</v>
      </c>
      <c r="M1853" s="26" t="n">
        <v>0</v>
      </c>
    </row>
    <row r="1854" ht="16" customHeight="1">
      <c r="A1854" t="inlineStr">
        <is>
          <t>29-Jan-2026</t>
        </is>
      </c>
      <c r="B1854" t="inlineStr">
        <is>
          <t>Thursday</t>
        </is>
      </c>
      <c r="C1854" t="inlineStr">
        <is>
          <t>Week5-Jan-2026</t>
        </is>
      </c>
      <c r="D1854" s="78" t="n">
        <v>46023</v>
      </c>
      <c r="E1854" t="inlineStr">
        <is>
          <t>Q4FY26</t>
        </is>
      </c>
      <c r="F1854" t="inlineStr">
        <is>
          <t>25-Jun-2030</t>
        </is>
      </c>
      <c r="G1854" t="inlineStr">
        <is>
          <t>Tuesday</t>
        </is>
      </c>
      <c r="H1854" t="inlineStr">
        <is>
          <t>Monthly - Tuesday</t>
        </is>
      </c>
      <c r="I1854" t="inlineStr">
        <is>
          <t>Monthly - Tuesday</t>
        </is>
      </c>
      <c r="J1854" t="inlineStr">
        <is>
          <t>Month+53 Expiry</t>
        </is>
      </c>
      <c r="K1854" s="25" t="n">
        <v>0</v>
      </c>
      <c r="L1854" s="26" t="n">
        <v>0</v>
      </c>
      <c r="M1854" s="26" t="n">
        <v>0</v>
      </c>
    </row>
    <row r="1855" ht="16" customHeight="1">
      <c r="A1855" t="inlineStr">
        <is>
          <t>29-Jan-2026</t>
        </is>
      </c>
      <c r="B1855" t="inlineStr">
        <is>
          <t>Thursday</t>
        </is>
      </c>
      <c r="C1855" t="inlineStr">
        <is>
          <t>Week5-Jan-2026</t>
        </is>
      </c>
      <c r="D1855" s="78" t="n">
        <v>46023</v>
      </c>
      <c r="E1855" t="inlineStr">
        <is>
          <t>Q4FY26</t>
        </is>
      </c>
      <c r="F1855" t="inlineStr">
        <is>
          <t>31-Dec-2030</t>
        </is>
      </c>
      <c r="G1855" t="inlineStr">
        <is>
          <t>Tuesday</t>
        </is>
      </c>
      <c r="H1855" t="inlineStr">
        <is>
          <t>Monthly - Tuesday</t>
        </is>
      </c>
      <c r="I1855" t="inlineStr">
        <is>
          <t>Monthly - Tuesday</t>
        </is>
      </c>
      <c r="J1855" t="inlineStr">
        <is>
          <t>Month+59 Expiry</t>
        </is>
      </c>
      <c r="K1855" s="25" t="n">
        <v>0</v>
      </c>
      <c r="L1855" s="26" t="n">
        <v>0</v>
      </c>
      <c r="M1855" s="26" t="n">
        <v>0</v>
      </c>
    </row>
    <row r="1856" ht="16" customHeight="1">
      <c r="A1856" t="inlineStr">
        <is>
          <t>30-Jan-2026</t>
        </is>
      </c>
      <c r="B1856" t="inlineStr">
        <is>
          <t>Friday</t>
        </is>
      </c>
      <c r="C1856" t="inlineStr">
        <is>
          <t>Week5-Jan-2026</t>
        </is>
      </c>
      <c r="D1856" s="78" t="n">
        <v>46023</v>
      </c>
      <c r="E1856" t="inlineStr">
        <is>
          <t>Q4FY26</t>
        </is>
      </c>
      <c r="F1856" t="inlineStr">
        <is>
          <t>03-Feb-2026</t>
        </is>
      </c>
      <c r="G1856" t="inlineStr">
        <is>
          <t>Tuesday</t>
        </is>
      </c>
      <c r="H1856" t="inlineStr">
        <is>
          <t>Weekly - Tuesday</t>
        </is>
      </c>
      <c r="I1856" t="inlineStr">
        <is>
          <t>Weekly - Tuesday</t>
        </is>
      </c>
      <c r="J1856" t="inlineStr">
        <is>
          <t>Month+1 Expiry</t>
        </is>
      </c>
      <c r="K1856" s="25" t="n">
        <v>73735691</v>
      </c>
      <c r="L1856" s="26" t="n">
        <v>121979.306</v>
      </c>
      <c r="M1856" s="26" t="n">
        <v>564.2794</v>
      </c>
    </row>
    <row r="1857" ht="16" customHeight="1">
      <c r="A1857" t="inlineStr">
        <is>
          <t>30-Jan-2026</t>
        </is>
      </c>
      <c r="B1857" t="inlineStr">
        <is>
          <t>Friday</t>
        </is>
      </c>
      <c r="C1857" t="inlineStr">
        <is>
          <t>Week5-Jan-2026</t>
        </is>
      </c>
      <c r="D1857" s="78" t="n">
        <v>46023</v>
      </c>
      <c r="E1857" t="inlineStr">
        <is>
          <t>Q4FY26</t>
        </is>
      </c>
      <c r="F1857" t="inlineStr">
        <is>
          <t>10-Feb-2026</t>
        </is>
      </c>
      <c r="G1857" t="inlineStr">
        <is>
          <t>Tuesday</t>
        </is>
      </c>
      <c r="H1857" t="inlineStr">
        <is>
          <t>Weekly - Tuesday</t>
        </is>
      </c>
      <c r="I1857" t="inlineStr">
        <is>
          <t>Weekly - Tuesday</t>
        </is>
      </c>
      <c r="J1857" t="inlineStr">
        <is>
          <t>Month+1 Expiry</t>
        </is>
      </c>
      <c r="K1857" s="25" t="n">
        <v>1518328</v>
      </c>
      <c r="L1857" s="26" t="n">
        <v>2517.5142</v>
      </c>
      <c r="M1857" s="26" t="n">
        <v>15.5789</v>
      </c>
    </row>
    <row r="1858" ht="16" customHeight="1">
      <c r="A1858" t="inlineStr">
        <is>
          <t>30-Jan-2026</t>
        </is>
      </c>
      <c r="B1858" t="inlineStr">
        <is>
          <t>Friday</t>
        </is>
      </c>
      <c r="C1858" t="inlineStr">
        <is>
          <t>Week5-Jan-2026</t>
        </is>
      </c>
      <c r="D1858" s="78" t="n">
        <v>46023</v>
      </c>
      <c r="E1858" t="inlineStr">
        <is>
          <t>Q4FY26</t>
        </is>
      </c>
      <c r="F1858" t="inlineStr">
        <is>
          <t>17-Feb-2026</t>
        </is>
      </c>
      <c r="G1858" t="inlineStr">
        <is>
          <t>Tuesday</t>
        </is>
      </c>
      <c r="H1858" t="inlineStr">
        <is>
          <t>Weekly - Tuesday</t>
        </is>
      </c>
      <c r="I1858" t="inlineStr">
        <is>
          <t>Weekly - Tuesday</t>
        </is>
      </c>
      <c r="J1858" t="inlineStr">
        <is>
          <t>Month+1 Expiry</t>
        </is>
      </c>
      <c r="K1858" s="25" t="n">
        <v>79780</v>
      </c>
      <c r="L1858" s="26" t="n">
        <v>132.8665</v>
      </c>
      <c r="M1858" s="26" t="n">
        <v>1.1215</v>
      </c>
    </row>
    <row r="1859" ht="16" customHeight="1">
      <c r="A1859" t="inlineStr">
        <is>
          <t>30-Jan-2026</t>
        </is>
      </c>
      <c r="B1859" t="inlineStr">
        <is>
          <t>Friday</t>
        </is>
      </c>
      <c r="C1859" t="inlineStr">
        <is>
          <t>Week5-Jan-2026</t>
        </is>
      </c>
      <c r="D1859" s="78" t="n">
        <v>46023</v>
      </c>
      <c r="E1859" t="inlineStr">
        <is>
          <t>Q4FY26</t>
        </is>
      </c>
      <c r="F1859" t="inlineStr">
        <is>
          <t>24-Feb-2026</t>
        </is>
      </c>
      <c r="G1859" t="inlineStr">
        <is>
          <t>Tuesday</t>
        </is>
      </c>
      <c r="H1859" t="inlineStr">
        <is>
          <t>Monthly - Tuesday</t>
        </is>
      </c>
      <c r="I1859" t="inlineStr">
        <is>
          <t>Monthly - Tuesday</t>
        </is>
      </c>
      <c r="J1859" t="inlineStr">
        <is>
          <t>Month+1 Expiry</t>
        </is>
      </c>
      <c r="K1859" s="25" t="n">
        <v>1559753</v>
      </c>
      <c r="L1859" s="26" t="n">
        <v>2592.7527</v>
      </c>
      <c r="M1859" s="26" t="n">
        <v>23.2363</v>
      </c>
    </row>
    <row r="1860" ht="16" customHeight="1">
      <c r="A1860" t="inlineStr">
        <is>
          <t>30-Jan-2026</t>
        </is>
      </c>
      <c r="B1860" t="inlineStr">
        <is>
          <t>Friday</t>
        </is>
      </c>
      <c r="C1860" t="inlineStr">
        <is>
          <t>Week5-Jan-2026</t>
        </is>
      </c>
      <c r="D1860" s="78" t="n">
        <v>46023</v>
      </c>
      <c r="E1860" t="inlineStr">
        <is>
          <t>Q4FY26</t>
        </is>
      </c>
      <c r="F1860" t="inlineStr">
        <is>
          <t>02-Mar-2026</t>
        </is>
      </c>
      <c r="G1860" t="inlineStr">
        <is>
          <t>Monday</t>
        </is>
      </c>
      <c r="H1860" t="inlineStr">
        <is>
          <t>Weekly - Monday</t>
        </is>
      </c>
      <c r="I1860" t="inlineStr">
        <is>
          <t>Weekly - Monday</t>
        </is>
      </c>
      <c r="J1860" t="inlineStr">
        <is>
          <t>Month+2 Expiry</t>
        </is>
      </c>
      <c r="K1860" s="25" t="n">
        <v>8515</v>
      </c>
      <c r="L1860" s="26" t="n">
        <v>14.1955</v>
      </c>
      <c r="M1860" s="26" t="n">
        <v>0.1219</v>
      </c>
    </row>
    <row r="1861" ht="16" customHeight="1">
      <c r="A1861" t="inlineStr">
        <is>
          <t>30-Jan-2026</t>
        </is>
      </c>
      <c r="B1861" t="inlineStr">
        <is>
          <t>Friday</t>
        </is>
      </c>
      <c r="C1861" t="inlineStr">
        <is>
          <t>Week5-Jan-2026</t>
        </is>
      </c>
      <c r="D1861" s="78" t="n">
        <v>46023</v>
      </c>
      <c r="E1861" t="inlineStr">
        <is>
          <t>Q4FY26</t>
        </is>
      </c>
      <c r="F1861" t="inlineStr">
        <is>
          <t>30-Mar-2026</t>
        </is>
      </c>
      <c r="G1861" t="inlineStr">
        <is>
          <t>Monday</t>
        </is>
      </c>
      <c r="H1861" t="inlineStr">
        <is>
          <t>Monthly - Monday</t>
        </is>
      </c>
      <c r="I1861" t="inlineStr">
        <is>
          <t>Monthly - Monday</t>
        </is>
      </c>
      <c r="J1861" t="inlineStr">
        <is>
          <t>Month+2 Expiry</t>
        </is>
      </c>
      <c r="K1861" s="25" t="n">
        <v>213561</v>
      </c>
      <c r="L1861" s="26" t="n">
        <v>354.9945</v>
      </c>
      <c r="M1861" s="26" t="n">
        <v>3.3877</v>
      </c>
    </row>
    <row r="1862" ht="16" customHeight="1">
      <c r="A1862" t="inlineStr">
        <is>
          <t>30-Jan-2026</t>
        </is>
      </c>
      <c r="B1862" t="inlineStr">
        <is>
          <t>Friday</t>
        </is>
      </c>
      <c r="C1862" t="inlineStr">
        <is>
          <t>Week5-Jan-2026</t>
        </is>
      </c>
      <c r="D1862" s="78" t="n">
        <v>46023</v>
      </c>
      <c r="E1862" t="inlineStr">
        <is>
          <t>Q4FY26</t>
        </is>
      </c>
      <c r="F1862" t="inlineStr">
        <is>
          <t>28-Apr-2026</t>
        </is>
      </c>
      <c r="G1862" t="inlineStr">
        <is>
          <t>Tuesday</t>
        </is>
      </c>
      <c r="H1862" t="inlineStr">
        <is>
          <t>Monthly - Tuesday</t>
        </is>
      </c>
      <c r="I1862" t="inlineStr">
        <is>
          <t>Monthly - Tuesday</t>
        </is>
      </c>
      <c r="J1862" t="inlineStr">
        <is>
          <t>Month+3 Expiry</t>
        </is>
      </c>
      <c r="K1862" s="25" t="n">
        <v>14125</v>
      </c>
      <c r="L1862" s="26" t="n">
        <v>23.8141</v>
      </c>
      <c r="M1862" s="26" t="n">
        <v>0.3844</v>
      </c>
    </row>
    <row r="1863" ht="16" customHeight="1">
      <c r="A1863" t="inlineStr">
        <is>
          <t>30-Jan-2026</t>
        </is>
      </c>
      <c r="B1863" t="inlineStr">
        <is>
          <t>Friday</t>
        </is>
      </c>
      <c r="C1863" t="inlineStr">
        <is>
          <t>Week5-Jan-2026</t>
        </is>
      </c>
      <c r="D1863" s="78" t="n">
        <v>46023</v>
      </c>
      <c r="E1863" t="inlineStr">
        <is>
          <t>Q4FY26</t>
        </is>
      </c>
      <c r="F1863" t="inlineStr">
        <is>
          <t>30-Jun-2026</t>
        </is>
      </c>
      <c r="G1863" t="inlineStr">
        <is>
          <t>Tuesday</t>
        </is>
      </c>
      <c r="H1863" t="inlineStr">
        <is>
          <t>Monthly - Tuesday</t>
        </is>
      </c>
      <c r="I1863" t="inlineStr">
        <is>
          <t>Monthly - Tuesday</t>
        </is>
      </c>
      <c r="J1863" t="inlineStr">
        <is>
          <t>Month+5 Expiry</t>
        </is>
      </c>
      <c r="K1863" s="25" t="n">
        <v>28634</v>
      </c>
      <c r="L1863" s="26" t="n">
        <v>48.8326</v>
      </c>
      <c r="M1863" s="26" t="n">
        <v>0.8682</v>
      </c>
    </row>
    <row r="1864" ht="16" customHeight="1">
      <c r="A1864" t="inlineStr">
        <is>
          <t>30-Jan-2026</t>
        </is>
      </c>
      <c r="B1864" t="inlineStr">
        <is>
          <t>Friday</t>
        </is>
      </c>
      <c r="C1864" t="inlineStr">
        <is>
          <t>Week5-Jan-2026</t>
        </is>
      </c>
      <c r="D1864" s="78" t="n">
        <v>46023</v>
      </c>
      <c r="E1864" t="inlineStr">
        <is>
          <t>Q4FY26</t>
        </is>
      </c>
      <c r="F1864" t="inlineStr">
        <is>
          <t>29-Sep-2026</t>
        </is>
      </c>
      <c r="G1864" t="inlineStr">
        <is>
          <t>Tuesday</t>
        </is>
      </c>
      <c r="H1864" t="inlineStr">
        <is>
          <t>Monthly - Tuesday</t>
        </is>
      </c>
      <c r="I1864" t="inlineStr">
        <is>
          <t>Monthly - Tuesday</t>
        </is>
      </c>
      <c r="J1864" t="inlineStr">
        <is>
          <t>Month+8 Expiry</t>
        </is>
      </c>
      <c r="K1864" s="25" t="n">
        <v>2776</v>
      </c>
      <c r="L1864" s="26" t="n">
        <v>4.674</v>
      </c>
      <c r="M1864" s="26" t="n">
        <v>0.0809</v>
      </c>
    </row>
    <row r="1865" ht="16" customHeight="1">
      <c r="A1865" t="inlineStr">
        <is>
          <t>30-Jan-2026</t>
        </is>
      </c>
      <c r="B1865" t="inlineStr">
        <is>
          <t>Friday</t>
        </is>
      </c>
      <c r="C1865" t="inlineStr">
        <is>
          <t>Week5-Jan-2026</t>
        </is>
      </c>
      <c r="D1865" s="78" t="n">
        <v>46023</v>
      </c>
      <c r="E1865" t="inlineStr">
        <is>
          <t>Q4FY26</t>
        </is>
      </c>
      <c r="F1865" t="inlineStr">
        <is>
          <t>29-Dec-2026</t>
        </is>
      </c>
      <c r="G1865" t="inlineStr">
        <is>
          <t>Tuesday</t>
        </is>
      </c>
      <c r="H1865" t="inlineStr">
        <is>
          <t>Monthly - Tuesday</t>
        </is>
      </c>
      <c r="I1865" t="inlineStr">
        <is>
          <t>Monthly - Tuesday</t>
        </is>
      </c>
      <c r="J1865" t="inlineStr">
        <is>
          <t>Month+11 Expiry</t>
        </is>
      </c>
      <c r="K1865" s="25" t="n">
        <v>14198</v>
      </c>
      <c r="L1865" s="26" t="n">
        <v>24.7022</v>
      </c>
      <c r="M1865" s="26" t="n">
        <v>0.7295</v>
      </c>
    </row>
    <row r="1866" ht="16" customHeight="1">
      <c r="A1866" t="inlineStr">
        <is>
          <t>30-Jan-2026</t>
        </is>
      </c>
      <c r="B1866" t="inlineStr">
        <is>
          <t>Friday</t>
        </is>
      </c>
      <c r="C1866" t="inlineStr">
        <is>
          <t>Week5-Jan-2026</t>
        </is>
      </c>
      <c r="D1866" s="78" t="n">
        <v>46023</v>
      </c>
      <c r="E1866" t="inlineStr">
        <is>
          <t>Q4FY26</t>
        </is>
      </c>
      <c r="F1866" t="inlineStr">
        <is>
          <t>29-Jun-2027</t>
        </is>
      </c>
      <c r="G1866" t="inlineStr">
        <is>
          <t>Tuesday</t>
        </is>
      </c>
      <c r="H1866" t="inlineStr">
        <is>
          <t>Monthly - Tuesday</t>
        </is>
      </c>
      <c r="I1866" t="inlineStr">
        <is>
          <t>Monthly - Tuesday</t>
        </is>
      </c>
      <c r="J1866" t="inlineStr">
        <is>
          <t>Month+17 Expiry</t>
        </is>
      </c>
      <c r="K1866" s="25" t="n">
        <v>0</v>
      </c>
      <c r="L1866" s="26" t="n">
        <v>0</v>
      </c>
      <c r="M1866" s="26" t="n">
        <v>0</v>
      </c>
    </row>
    <row r="1867" ht="16" customHeight="1">
      <c r="A1867" t="inlineStr">
        <is>
          <t>30-Jan-2026</t>
        </is>
      </c>
      <c r="B1867" t="inlineStr">
        <is>
          <t>Friday</t>
        </is>
      </c>
      <c r="C1867" t="inlineStr">
        <is>
          <t>Week5-Jan-2026</t>
        </is>
      </c>
      <c r="D1867" s="78" t="n">
        <v>46023</v>
      </c>
      <c r="E1867" t="inlineStr">
        <is>
          <t>Q4FY26</t>
        </is>
      </c>
      <c r="F1867" t="inlineStr">
        <is>
          <t>28-Dec-2027</t>
        </is>
      </c>
      <c r="G1867" t="inlineStr">
        <is>
          <t>Tuesday</t>
        </is>
      </c>
      <c r="H1867" t="inlineStr">
        <is>
          <t>Monthly - Tuesday</t>
        </is>
      </c>
      <c r="I1867" t="inlineStr">
        <is>
          <t>Monthly - Tuesday</t>
        </is>
      </c>
      <c r="J1867" t="inlineStr">
        <is>
          <t>Month+23 Expiry</t>
        </is>
      </c>
      <c r="K1867" s="25" t="n">
        <v>59</v>
      </c>
      <c r="L1867" s="26" t="n">
        <v>0.1046</v>
      </c>
      <c r="M1867" s="26" t="n">
        <v>0.007</v>
      </c>
    </row>
    <row r="1868" ht="16" customHeight="1">
      <c r="A1868" t="inlineStr">
        <is>
          <t>30-Jan-2026</t>
        </is>
      </c>
      <c r="B1868" t="inlineStr">
        <is>
          <t>Friday</t>
        </is>
      </c>
      <c r="C1868" t="inlineStr">
        <is>
          <t>Week5-Jan-2026</t>
        </is>
      </c>
      <c r="D1868" s="78" t="n">
        <v>46023</v>
      </c>
      <c r="E1868" t="inlineStr">
        <is>
          <t>Q4FY26</t>
        </is>
      </c>
      <c r="F1868" t="inlineStr">
        <is>
          <t>27-Jun-2028</t>
        </is>
      </c>
      <c r="G1868" t="inlineStr">
        <is>
          <t>Tuesday</t>
        </is>
      </c>
      <c r="H1868" t="inlineStr">
        <is>
          <t>Monthly - Tuesday</t>
        </is>
      </c>
      <c r="I1868" t="inlineStr">
        <is>
          <t>Monthly - Tuesday</t>
        </is>
      </c>
      <c r="J1868" t="inlineStr">
        <is>
          <t>Month+29 Expiry</t>
        </is>
      </c>
      <c r="K1868" s="25" t="n">
        <v>0</v>
      </c>
      <c r="L1868" s="26" t="n">
        <v>0</v>
      </c>
      <c r="M1868" s="26" t="n">
        <v>0</v>
      </c>
    </row>
    <row r="1869" ht="16" customHeight="1">
      <c r="A1869" t="inlineStr">
        <is>
          <t>30-Jan-2026</t>
        </is>
      </c>
      <c r="B1869" t="inlineStr">
        <is>
          <t>Friday</t>
        </is>
      </c>
      <c r="C1869" t="inlineStr">
        <is>
          <t>Week5-Jan-2026</t>
        </is>
      </c>
      <c r="D1869" s="78" t="n">
        <v>46023</v>
      </c>
      <c r="E1869" t="inlineStr">
        <is>
          <t>Q4FY26</t>
        </is>
      </c>
      <c r="F1869" t="inlineStr">
        <is>
          <t>26-Dec-2028</t>
        </is>
      </c>
      <c r="G1869" t="inlineStr">
        <is>
          <t>Tuesday</t>
        </is>
      </c>
      <c r="H1869" t="inlineStr">
        <is>
          <t>Monthly - Tuesday</t>
        </is>
      </c>
      <c r="I1869" t="inlineStr">
        <is>
          <t>Monthly - Tuesday</t>
        </is>
      </c>
      <c r="J1869" t="inlineStr">
        <is>
          <t>Month+35 Expiry</t>
        </is>
      </c>
      <c r="K1869" s="25" t="n">
        <v>4</v>
      </c>
      <c r="L1869" s="26" t="n">
        <v>0.0071</v>
      </c>
      <c r="M1869" s="26" t="n">
        <v>0.0003</v>
      </c>
    </row>
    <row r="1870" ht="16" customHeight="1">
      <c r="A1870" t="inlineStr">
        <is>
          <t>30-Jan-2026</t>
        </is>
      </c>
      <c r="B1870" t="inlineStr">
        <is>
          <t>Friday</t>
        </is>
      </c>
      <c r="C1870" t="inlineStr">
        <is>
          <t>Week5-Jan-2026</t>
        </is>
      </c>
      <c r="D1870" s="78" t="n">
        <v>46023</v>
      </c>
      <c r="E1870" t="inlineStr">
        <is>
          <t>Q4FY26</t>
        </is>
      </c>
      <c r="F1870" t="inlineStr">
        <is>
          <t>26-Jun-2029</t>
        </is>
      </c>
      <c r="G1870" t="inlineStr">
        <is>
          <t>Tuesday</t>
        </is>
      </c>
      <c r="H1870" t="inlineStr">
        <is>
          <t>Monthly - Tuesday</t>
        </is>
      </c>
      <c r="I1870" t="inlineStr">
        <is>
          <t>Monthly - Tuesday</t>
        </is>
      </c>
      <c r="J1870" t="inlineStr">
        <is>
          <t>Month+41 Expiry</t>
        </is>
      </c>
      <c r="K1870" s="25" t="n">
        <v>0</v>
      </c>
      <c r="L1870" s="26" t="n">
        <v>0</v>
      </c>
      <c r="M1870" s="26" t="n">
        <v>0</v>
      </c>
    </row>
    <row r="1871" ht="16" customHeight="1">
      <c r="A1871" t="inlineStr">
        <is>
          <t>30-Jan-2026</t>
        </is>
      </c>
      <c r="B1871" t="inlineStr">
        <is>
          <t>Friday</t>
        </is>
      </c>
      <c r="C1871" t="inlineStr">
        <is>
          <t>Week5-Jan-2026</t>
        </is>
      </c>
      <c r="D1871" s="78" t="n">
        <v>46023</v>
      </c>
      <c r="E1871" t="inlineStr">
        <is>
          <t>Q4FY26</t>
        </is>
      </c>
      <c r="F1871" t="inlineStr">
        <is>
          <t>24-Dec-2029</t>
        </is>
      </c>
      <c r="G1871" t="inlineStr">
        <is>
          <t>Monday</t>
        </is>
      </c>
      <c r="H1871" t="inlineStr">
        <is>
          <t>Weekly - Monday</t>
        </is>
      </c>
      <c r="I1871" t="inlineStr">
        <is>
          <t>Weekly - Monday</t>
        </is>
      </c>
      <c r="J1871" t="inlineStr">
        <is>
          <t>Month+47 Expiry</t>
        </is>
      </c>
      <c r="K1871" s="25" t="n">
        <v>0</v>
      </c>
      <c r="L1871" s="26" t="n">
        <v>0</v>
      </c>
      <c r="M1871" s="26" t="n">
        <v>0</v>
      </c>
    </row>
    <row r="1872" ht="16" customHeight="1">
      <c r="A1872" t="inlineStr">
        <is>
          <t>30-Jan-2026</t>
        </is>
      </c>
      <c r="B1872" t="inlineStr">
        <is>
          <t>Friday</t>
        </is>
      </c>
      <c r="C1872" t="inlineStr">
        <is>
          <t>Week5-Jan-2026</t>
        </is>
      </c>
      <c r="D1872" s="78" t="n">
        <v>46023</v>
      </c>
      <c r="E1872" t="inlineStr">
        <is>
          <t>Q4FY26</t>
        </is>
      </c>
      <c r="F1872" t="inlineStr">
        <is>
          <t>25-Jun-2030</t>
        </is>
      </c>
      <c r="G1872" t="inlineStr">
        <is>
          <t>Tuesday</t>
        </is>
      </c>
      <c r="H1872" t="inlineStr">
        <is>
          <t>Monthly - Tuesday</t>
        </is>
      </c>
      <c r="I1872" t="inlineStr">
        <is>
          <t>Monthly - Tuesday</t>
        </is>
      </c>
      <c r="J1872" t="inlineStr">
        <is>
          <t>Month+53 Expiry</t>
        </is>
      </c>
      <c r="K1872" s="25" t="n">
        <v>0</v>
      </c>
      <c r="L1872" s="26" t="n">
        <v>0</v>
      </c>
      <c r="M1872" s="26" t="n">
        <v>0</v>
      </c>
    </row>
    <row r="1873" ht="16" customHeight="1">
      <c r="A1873" t="inlineStr">
        <is>
          <t>30-Jan-2026</t>
        </is>
      </c>
      <c r="B1873" t="inlineStr">
        <is>
          <t>Friday</t>
        </is>
      </c>
      <c r="C1873" t="inlineStr">
        <is>
          <t>Week5-Jan-2026</t>
        </is>
      </c>
      <c r="D1873" s="78" t="n">
        <v>46023</v>
      </c>
      <c r="E1873" t="inlineStr">
        <is>
          <t>Q4FY26</t>
        </is>
      </c>
      <c r="F1873" t="inlineStr">
        <is>
          <t>31-Dec-2030</t>
        </is>
      </c>
      <c r="G1873" t="inlineStr">
        <is>
          <t>Tuesday</t>
        </is>
      </c>
      <c r="H1873" t="inlineStr">
        <is>
          <t>Monthly - Tuesday</t>
        </is>
      </c>
      <c r="I1873" t="inlineStr">
        <is>
          <t>Monthly - Tuesday</t>
        </is>
      </c>
      <c r="J1873" t="inlineStr">
        <is>
          <t>Month+59 Expiry</t>
        </is>
      </c>
      <c r="K1873" s="25" t="n">
        <v>0</v>
      </c>
      <c r="L1873" s="26" t="n">
        <v>0</v>
      </c>
      <c r="M1873" s="26" t="n">
        <v>0</v>
      </c>
    </row>
    <row r="1874" ht="16" customHeight="1">
      <c r="A1874" t="inlineStr">
        <is>
          <t>01-Feb-2026</t>
        </is>
      </c>
      <c r="B1874" t="inlineStr">
        <is>
          <t>Sunday</t>
        </is>
      </c>
      <c r="C1874" t="inlineStr">
        <is>
          <t>Week1-Feb-2026</t>
        </is>
      </c>
      <c r="D1874" s="78" t="n">
        <v>46054</v>
      </c>
      <c r="E1874" t="inlineStr">
        <is>
          <t>Q4FY26</t>
        </is>
      </c>
      <c r="F1874" t="inlineStr">
        <is>
          <t>03-Feb-2026</t>
        </is>
      </c>
      <c r="G1874" t="inlineStr">
        <is>
          <t>Tuesday</t>
        </is>
      </c>
      <c r="H1874" t="inlineStr">
        <is>
          <t>Weekly - Tuesday</t>
        </is>
      </c>
      <c r="I1874" t="inlineStr">
        <is>
          <t>Weekly - Tuesday</t>
        </is>
      </c>
      <c r="J1874" t="inlineStr">
        <is>
          <t>Same Month Expiry</t>
        </is>
      </c>
      <c r="K1874" s="25" t="n">
        <v>182800803</v>
      </c>
      <c r="L1874" s="26" t="n">
        <v>300382.953</v>
      </c>
      <c r="M1874" s="26" t="n">
        <v>942.423</v>
      </c>
    </row>
    <row r="1875" ht="16" customHeight="1">
      <c r="A1875" t="inlineStr">
        <is>
          <t>01-Feb-2026</t>
        </is>
      </c>
      <c r="B1875" t="inlineStr">
        <is>
          <t>Sunday</t>
        </is>
      </c>
      <c r="C1875" t="inlineStr">
        <is>
          <t>Week1-Feb-2026</t>
        </is>
      </c>
      <c r="D1875" s="78" t="n">
        <v>46054</v>
      </c>
      <c r="E1875" t="inlineStr">
        <is>
          <t>Q4FY26</t>
        </is>
      </c>
      <c r="F1875" t="inlineStr">
        <is>
          <t>10-Feb-2026</t>
        </is>
      </c>
      <c r="G1875" t="inlineStr">
        <is>
          <t>Tuesday</t>
        </is>
      </c>
      <c r="H1875" t="inlineStr">
        <is>
          <t>Weekly - Tuesday</t>
        </is>
      </c>
      <c r="I1875" t="inlineStr">
        <is>
          <t>Weekly - Tuesday</t>
        </is>
      </c>
      <c r="J1875" t="inlineStr">
        <is>
          <t>Same Month Expiry</t>
        </is>
      </c>
      <c r="K1875" s="25" t="n">
        <v>5078013</v>
      </c>
      <c r="L1875" s="26" t="n">
        <v>8379.352800000001</v>
      </c>
      <c r="M1875" s="26" t="n">
        <v>44.3246</v>
      </c>
    </row>
    <row r="1876" ht="16" customHeight="1">
      <c r="A1876" t="inlineStr">
        <is>
          <t>01-Feb-2026</t>
        </is>
      </c>
      <c r="B1876" t="inlineStr">
        <is>
          <t>Sunday</t>
        </is>
      </c>
      <c r="C1876" t="inlineStr">
        <is>
          <t>Week1-Feb-2026</t>
        </is>
      </c>
      <c r="D1876" s="78" t="n">
        <v>46054</v>
      </c>
      <c r="E1876" t="inlineStr">
        <is>
          <t>Q4FY26</t>
        </is>
      </c>
      <c r="F1876" t="inlineStr">
        <is>
          <t>17-Feb-2026</t>
        </is>
      </c>
      <c r="G1876" t="inlineStr">
        <is>
          <t>Tuesday</t>
        </is>
      </c>
      <c r="H1876" t="inlineStr">
        <is>
          <t>Weekly - Tuesday</t>
        </is>
      </c>
      <c r="I1876" t="inlineStr">
        <is>
          <t>Weekly - Tuesday</t>
        </is>
      </c>
      <c r="J1876" t="inlineStr">
        <is>
          <t>Same Month Expiry</t>
        </is>
      </c>
      <c r="K1876" s="25" t="n">
        <v>238124</v>
      </c>
      <c r="L1876" s="26" t="n">
        <v>393.4529</v>
      </c>
      <c r="M1876" s="26" t="n">
        <v>2.8707</v>
      </c>
    </row>
    <row r="1877" ht="16" customHeight="1">
      <c r="A1877" t="inlineStr">
        <is>
          <t>01-Feb-2026</t>
        </is>
      </c>
      <c r="B1877" t="inlineStr">
        <is>
          <t>Sunday</t>
        </is>
      </c>
      <c r="C1877" t="inlineStr">
        <is>
          <t>Week1-Feb-2026</t>
        </is>
      </c>
      <c r="D1877" s="78" t="n">
        <v>46054</v>
      </c>
      <c r="E1877" t="inlineStr">
        <is>
          <t>Q4FY26</t>
        </is>
      </c>
      <c r="F1877" t="inlineStr">
        <is>
          <t>24-Feb-2026</t>
        </is>
      </c>
      <c r="G1877" t="inlineStr">
        <is>
          <t>Tuesday</t>
        </is>
      </c>
      <c r="H1877" t="inlineStr">
        <is>
          <t>Monthly - Tuesday</t>
        </is>
      </c>
      <c r="I1877" t="inlineStr">
        <is>
          <t>Monthly - Tuesday</t>
        </is>
      </c>
      <c r="J1877" t="inlineStr">
        <is>
          <t>Same Month Expiry</t>
        </is>
      </c>
      <c r="K1877" s="25" t="n">
        <v>3644583</v>
      </c>
      <c r="L1877" s="26" t="n">
        <v>6039.9909</v>
      </c>
      <c r="M1877" s="26" t="n">
        <v>50.897</v>
      </c>
    </row>
    <row r="1878" ht="16" customHeight="1">
      <c r="A1878" t="inlineStr">
        <is>
          <t>01-Feb-2026</t>
        </is>
      </c>
      <c r="B1878" t="inlineStr">
        <is>
          <t>Sunday</t>
        </is>
      </c>
      <c r="C1878" t="inlineStr">
        <is>
          <t>Week1-Feb-2026</t>
        </is>
      </c>
      <c r="D1878" s="78" t="n">
        <v>46054</v>
      </c>
      <c r="E1878" t="inlineStr">
        <is>
          <t>Q4FY26</t>
        </is>
      </c>
      <c r="F1878" t="inlineStr">
        <is>
          <t>02-Mar-2026</t>
        </is>
      </c>
      <c r="G1878" t="inlineStr">
        <is>
          <t>Monday</t>
        </is>
      </c>
      <c r="H1878" t="inlineStr">
        <is>
          <t>Weekly - Monday</t>
        </is>
      </c>
      <c r="I1878" t="inlineStr">
        <is>
          <t>Weekly - Monday</t>
        </is>
      </c>
      <c r="J1878" t="inlineStr">
        <is>
          <t>Month+1 Expiry</t>
        </is>
      </c>
      <c r="K1878" s="25" t="n">
        <v>24996</v>
      </c>
      <c r="L1878" s="26" t="n">
        <v>41.7068</v>
      </c>
      <c r="M1878" s="26" t="n">
        <v>0.3515</v>
      </c>
    </row>
    <row r="1879" ht="16" customHeight="1">
      <c r="A1879" t="inlineStr">
        <is>
          <t>01-Feb-2026</t>
        </is>
      </c>
      <c r="B1879" t="inlineStr">
        <is>
          <t>Sunday</t>
        </is>
      </c>
      <c r="C1879" t="inlineStr">
        <is>
          <t>Week1-Feb-2026</t>
        </is>
      </c>
      <c r="D1879" s="78" t="n">
        <v>46054</v>
      </c>
      <c r="E1879" t="inlineStr">
        <is>
          <t>Q4FY26</t>
        </is>
      </c>
      <c r="F1879" t="inlineStr">
        <is>
          <t>30-Mar-2026</t>
        </is>
      </c>
      <c r="G1879" t="inlineStr">
        <is>
          <t>Monday</t>
        </is>
      </c>
      <c r="H1879" t="inlineStr">
        <is>
          <t>Monthly - Monday</t>
        </is>
      </c>
      <c r="I1879" t="inlineStr">
        <is>
          <t>Monthly - Monday</t>
        </is>
      </c>
      <c r="J1879" t="inlineStr">
        <is>
          <t>Month+1 Expiry</t>
        </is>
      </c>
      <c r="K1879" s="25" t="n">
        <v>535877</v>
      </c>
      <c r="L1879" s="26" t="n">
        <v>893.2705</v>
      </c>
      <c r="M1879" s="26" t="n">
        <v>8.555</v>
      </c>
    </row>
    <row r="1880" ht="16" customHeight="1">
      <c r="A1880" t="inlineStr">
        <is>
          <t>01-Feb-2026</t>
        </is>
      </c>
      <c r="B1880" t="inlineStr">
        <is>
          <t>Sunday</t>
        </is>
      </c>
      <c r="C1880" t="inlineStr">
        <is>
          <t>Week1-Feb-2026</t>
        </is>
      </c>
      <c r="D1880" s="78" t="n">
        <v>46054</v>
      </c>
      <c r="E1880" t="inlineStr">
        <is>
          <t>Q4FY26</t>
        </is>
      </c>
      <c r="F1880" t="inlineStr">
        <is>
          <t>28-Apr-2026</t>
        </is>
      </c>
      <c r="G1880" t="inlineStr">
        <is>
          <t>Tuesday</t>
        </is>
      </c>
      <c r="H1880" t="inlineStr">
        <is>
          <t>Monthly - Tuesday</t>
        </is>
      </c>
      <c r="I1880" t="inlineStr">
        <is>
          <t>Monthly - Tuesday</t>
        </is>
      </c>
      <c r="J1880" t="inlineStr">
        <is>
          <t>Month+2 Expiry</t>
        </is>
      </c>
      <c r="K1880" s="25" t="n">
        <v>41955</v>
      </c>
      <c r="L1880" s="26" t="n">
        <v>70.54949999999999</v>
      </c>
      <c r="M1880" s="26" t="n">
        <v>1.092</v>
      </c>
    </row>
    <row r="1881" ht="16" customHeight="1">
      <c r="A1881" t="inlineStr">
        <is>
          <t>01-Feb-2026</t>
        </is>
      </c>
      <c r="B1881" t="inlineStr">
        <is>
          <t>Sunday</t>
        </is>
      </c>
      <c r="C1881" t="inlineStr">
        <is>
          <t>Week1-Feb-2026</t>
        </is>
      </c>
      <c r="D1881" s="78" t="n">
        <v>46054</v>
      </c>
      <c r="E1881" t="inlineStr">
        <is>
          <t>Q4FY26</t>
        </is>
      </c>
      <c r="F1881" t="inlineStr">
        <is>
          <t>30-Jun-2026</t>
        </is>
      </c>
      <c r="G1881" t="inlineStr">
        <is>
          <t>Tuesday</t>
        </is>
      </c>
      <c r="H1881" t="inlineStr">
        <is>
          <t>Monthly - Tuesday</t>
        </is>
      </c>
      <c r="I1881" t="inlineStr">
        <is>
          <t>Monthly - Tuesday</t>
        </is>
      </c>
      <c r="J1881" t="inlineStr">
        <is>
          <t>Month+4 Expiry</t>
        </is>
      </c>
      <c r="K1881" s="25" t="n">
        <v>69565</v>
      </c>
      <c r="L1881" s="26" t="n">
        <v>117.9828</v>
      </c>
      <c r="M1881" s="26" t="n">
        <v>2.0918</v>
      </c>
    </row>
    <row r="1882" ht="16" customHeight="1">
      <c r="A1882" t="inlineStr">
        <is>
          <t>01-Feb-2026</t>
        </is>
      </c>
      <c r="B1882" t="inlineStr">
        <is>
          <t>Sunday</t>
        </is>
      </c>
      <c r="C1882" t="inlineStr">
        <is>
          <t>Week1-Feb-2026</t>
        </is>
      </c>
      <c r="D1882" s="78" t="n">
        <v>46054</v>
      </c>
      <c r="E1882" t="inlineStr">
        <is>
          <t>Q4FY26</t>
        </is>
      </c>
      <c r="F1882" t="inlineStr">
        <is>
          <t>29-Sep-2026</t>
        </is>
      </c>
      <c r="G1882" t="inlineStr">
        <is>
          <t>Tuesday</t>
        </is>
      </c>
      <c r="H1882" t="inlineStr">
        <is>
          <t>Monthly - Tuesday</t>
        </is>
      </c>
      <c r="I1882" t="inlineStr">
        <is>
          <t>Monthly - Tuesday</t>
        </is>
      </c>
      <c r="J1882" t="inlineStr">
        <is>
          <t>Month+7 Expiry</t>
        </is>
      </c>
      <c r="K1882" s="25" t="n">
        <v>4202</v>
      </c>
      <c r="L1882" s="26" t="n">
        <v>7.1573</v>
      </c>
      <c r="M1882" s="26" t="n">
        <v>0.1448</v>
      </c>
    </row>
    <row r="1883" ht="16" customHeight="1">
      <c r="A1883" t="inlineStr">
        <is>
          <t>01-Feb-2026</t>
        </is>
      </c>
      <c r="B1883" t="inlineStr">
        <is>
          <t>Sunday</t>
        </is>
      </c>
      <c r="C1883" t="inlineStr">
        <is>
          <t>Week1-Feb-2026</t>
        </is>
      </c>
      <c r="D1883" s="78" t="n">
        <v>46054</v>
      </c>
      <c r="E1883" t="inlineStr">
        <is>
          <t>Q4FY26</t>
        </is>
      </c>
      <c r="F1883" t="inlineStr">
        <is>
          <t>29-Dec-2026</t>
        </is>
      </c>
      <c r="G1883" t="inlineStr">
        <is>
          <t>Tuesday</t>
        </is>
      </c>
      <c r="H1883" t="inlineStr">
        <is>
          <t>Monthly - Tuesday</t>
        </is>
      </c>
      <c r="I1883" t="inlineStr">
        <is>
          <t>Monthly - Tuesday</t>
        </is>
      </c>
      <c r="J1883" t="inlineStr">
        <is>
          <t>Month+10 Expiry</t>
        </is>
      </c>
      <c r="K1883" s="25" t="n">
        <v>30971</v>
      </c>
      <c r="L1883" s="26" t="n">
        <v>54.2776</v>
      </c>
      <c r="M1883" s="26" t="n">
        <v>1.6671</v>
      </c>
    </row>
    <row r="1884" ht="16" customHeight="1">
      <c r="A1884" t="inlineStr">
        <is>
          <t>01-Feb-2026</t>
        </is>
      </c>
      <c r="B1884" t="inlineStr">
        <is>
          <t>Sunday</t>
        </is>
      </c>
      <c r="C1884" t="inlineStr">
        <is>
          <t>Week1-Feb-2026</t>
        </is>
      </c>
      <c r="D1884" s="78" t="n">
        <v>46054</v>
      </c>
      <c r="E1884" t="inlineStr">
        <is>
          <t>Q4FY26</t>
        </is>
      </c>
      <c r="F1884" t="inlineStr">
        <is>
          <t>29-Jun-2027</t>
        </is>
      </c>
      <c r="G1884" t="inlineStr">
        <is>
          <t>Tuesday</t>
        </is>
      </c>
      <c r="H1884" t="inlineStr">
        <is>
          <t>Monthly - Tuesday</t>
        </is>
      </c>
      <c r="I1884" t="inlineStr">
        <is>
          <t>Monthly - Tuesday</t>
        </is>
      </c>
      <c r="J1884" t="inlineStr">
        <is>
          <t>Month+16 Expiry</t>
        </is>
      </c>
      <c r="K1884" s="25" t="n">
        <v>0</v>
      </c>
      <c r="L1884" s="26" t="n">
        <v>0</v>
      </c>
      <c r="M1884" s="26" t="n">
        <v>0</v>
      </c>
    </row>
    <row r="1885" ht="16" customHeight="1">
      <c r="A1885" t="inlineStr">
        <is>
          <t>01-Feb-2026</t>
        </is>
      </c>
      <c r="B1885" t="inlineStr">
        <is>
          <t>Sunday</t>
        </is>
      </c>
      <c r="C1885" t="inlineStr">
        <is>
          <t>Week1-Feb-2026</t>
        </is>
      </c>
      <c r="D1885" s="78" t="n">
        <v>46054</v>
      </c>
      <c r="E1885" t="inlineStr">
        <is>
          <t>Q4FY26</t>
        </is>
      </c>
      <c r="F1885" t="inlineStr">
        <is>
          <t>28-Dec-2027</t>
        </is>
      </c>
      <c r="G1885" t="inlineStr">
        <is>
          <t>Tuesday</t>
        </is>
      </c>
      <c r="H1885" t="inlineStr">
        <is>
          <t>Monthly - Tuesday</t>
        </is>
      </c>
      <c r="I1885" t="inlineStr">
        <is>
          <t>Monthly - Tuesday</t>
        </is>
      </c>
      <c r="J1885" t="inlineStr">
        <is>
          <t>Month+22 Expiry</t>
        </is>
      </c>
      <c r="K1885" s="25" t="n">
        <v>119</v>
      </c>
      <c r="L1885" s="26" t="n">
        <v>0.2013</v>
      </c>
      <c r="M1885" s="26" t="n">
        <v>0.0105</v>
      </c>
    </row>
    <row r="1886" ht="16" customHeight="1">
      <c r="A1886" t="inlineStr">
        <is>
          <t>01-Feb-2026</t>
        </is>
      </c>
      <c r="B1886" t="inlineStr">
        <is>
          <t>Sunday</t>
        </is>
      </c>
      <c r="C1886" t="inlineStr">
        <is>
          <t>Week1-Feb-2026</t>
        </is>
      </c>
      <c r="D1886" s="78" t="n">
        <v>46054</v>
      </c>
      <c r="E1886" t="inlineStr">
        <is>
          <t>Q4FY26</t>
        </is>
      </c>
      <c r="F1886" t="inlineStr">
        <is>
          <t>27-Jun-2028</t>
        </is>
      </c>
      <c r="G1886" t="inlineStr">
        <is>
          <t>Tuesday</t>
        </is>
      </c>
      <c r="H1886" t="inlineStr">
        <is>
          <t>Monthly - Tuesday</t>
        </is>
      </c>
      <c r="I1886" t="inlineStr">
        <is>
          <t>Monthly - Tuesday</t>
        </is>
      </c>
      <c r="J1886" t="inlineStr">
        <is>
          <t>Month+28 Expiry</t>
        </is>
      </c>
      <c r="K1886" s="25" t="n">
        <v>0</v>
      </c>
      <c r="L1886" s="26" t="n">
        <v>0</v>
      </c>
      <c r="M1886" s="26" t="n">
        <v>0</v>
      </c>
    </row>
    <row r="1887" ht="16" customHeight="1">
      <c r="A1887" t="inlineStr">
        <is>
          <t>01-Feb-2026</t>
        </is>
      </c>
      <c r="B1887" t="inlineStr">
        <is>
          <t>Sunday</t>
        </is>
      </c>
      <c r="C1887" t="inlineStr">
        <is>
          <t>Week1-Feb-2026</t>
        </is>
      </c>
      <c r="D1887" s="78" t="n">
        <v>46054</v>
      </c>
      <c r="E1887" t="inlineStr">
        <is>
          <t>Q4FY26</t>
        </is>
      </c>
      <c r="F1887" t="inlineStr">
        <is>
          <t>26-Dec-2028</t>
        </is>
      </c>
      <c r="G1887" t="inlineStr">
        <is>
          <t>Tuesday</t>
        </is>
      </c>
      <c r="H1887" t="inlineStr">
        <is>
          <t>Monthly - Tuesday</t>
        </is>
      </c>
      <c r="I1887" t="inlineStr">
        <is>
          <t>Monthly - Tuesday</t>
        </is>
      </c>
      <c r="J1887" t="inlineStr">
        <is>
          <t>Month+34 Expiry</t>
        </is>
      </c>
      <c r="K1887" s="25" t="n">
        <v>9</v>
      </c>
      <c r="L1887" s="26" t="n">
        <v>0.017</v>
      </c>
      <c r="M1887" s="26" t="n">
        <v>0.0009</v>
      </c>
    </row>
    <row r="1888" ht="16" customHeight="1">
      <c r="A1888" t="inlineStr">
        <is>
          <t>01-Feb-2026</t>
        </is>
      </c>
      <c r="B1888" t="inlineStr">
        <is>
          <t>Sunday</t>
        </is>
      </c>
      <c r="C1888" t="inlineStr">
        <is>
          <t>Week1-Feb-2026</t>
        </is>
      </c>
      <c r="D1888" s="78" t="n">
        <v>46054</v>
      </c>
      <c r="E1888" t="inlineStr">
        <is>
          <t>Q4FY26</t>
        </is>
      </c>
      <c r="F1888" t="inlineStr">
        <is>
          <t>26-Jun-2029</t>
        </is>
      </c>
      <c r="G1888" t="inlineStr">
        <is>
          <t>Tuesday</t>
        </is>
      </c>
      <c r="H1888" t="inlineStr">
        <is>
          <t>Monthly - Tuesday</t>
        </is>
      </c>
      <c r="I1888" t="inlineStr">
        <is>
          <t>Monthly - Tuesday</t>
        </is>
      </c>
      <c r="J1888" t="inlineStr">
        <is>
          <t>Month+40 Expiry</t>
        </is>
      </c>
      <c r="K1888" s="25" t="n">
        <v>0</v>
      </c>
      <c r="L1888" s="26" t="n">
        <v>0</v>
      </c>
      <c r="M1888" s="26" t="n">
        <v>0</v>
      </c>
    </row>
    <row r="1889" ht="16" customHeight="1">
      <c r="A1889" t="inlineStr">
        <is>
          <t>01-Feb-2026</t>
        </is>
      </c>
      <c r="B1889" t="inlineStr">
        <is>
          <t>Sunday</t>
        </is>
      </c>
      <c r="C1889" t="inlineStr">
        <is>
          <t>Week1-Feb-2026</t>
        </is>
      </c>
      <c r="D1889" s="78" t="n">
        <v>46054</v>
      </c>
      <c r="E1889" t="inlineStr">
        <is>
          <t>Q4FY26</t>
        </is>
      </c>
      <c r="F1889" t="inlineStr">
        <is>
          <t>24-Dec-2029</t>
        </is>
      </c>
      <c r="G1889" t="inlineStr">
        <is>
          <t>Monday</t>
        </is>
      </c>
      <c r="H1889" t="inlineStr">
        <is>
          <t>Weekly - Monday</t>
        </is>
      </c>
      <c r="I1889" t="inlineStr">
        <is>
          <t>Weekly - Monday</t>
        </is>
      </c>
      <c r="J1889" t="inlineStr">
        <is>
          <t>Month+46 Expiry</t>
        </is>
      </c>
      <c r="K1889" s="25" t="n">
        <v>1</v>
      </c>
      <c r="L1889" s="26" t="n">
        <v>0.0018</v>
      </c>
      <c r="M1889" s="26" t="n">
        <v>0.0001</v>
      </c>
    </row>
    <row r="1890" ht="16" customHeight="1">
      <c r="A1890" t="inlineStr">
        <is>
          <t>01-Feb-2026</t>
        </is>
      </c>
      <c r="B1890" t="inlineStr">
        <is>
          <t>Sunday</t>
        </is>
      </c>
      <c r="C1890" t="inlineStr">
        <is>
          <t>Week1-Feb-2026</t>
        </is>
      </c>
      <c r="D1890" s="78" t="n">
        <v>46054</v>
      </c>
      <c r="E1890" t="inlineStr">
        <is>
          <t>Q4FY26</t>
        </is>
      </c>
      <c r="F1890" t="inlineStr">
        <is>
          <t>25-Jun-2030</t>
        </is>
      </c>
      <c r="G1890" t="inlineStr">
        <is>
          <t>Tuesday</t>
        </is>
      </c>
      <c r="H1890" t="inlineStr">
        <is>
          <t>Monthly - Tuesday</t>
        </is>
      </c>
      <c r="I1890" t="inlineStr">
        <is>
          <t>Monthly - Tuesday</t>
        </is>
      </c>
      <c r="J1890" t="inlineStr">
        <is>
          <t>Month+52 Expiry</t>
        </is>
      </c>
      <c r="K1890" s="25" t="n">
        <v>0</v>
      </c>
      <c r="L1890" s="26" t="n">
        <v>0</v>
      </c>
      <c r="M1890" s="26" t="n">
        <v>0</v>
      </c>
    </row>
    <row r="1891" ht="16" customHeight="1">
      <c r="A1891" t="inlineStr">
        <is>
          <t>01-Feb-2026</t>
        </is>
      </c>
      <c r="B1891" t="inlineStr">
        <is>
          <t>Sunday</t>
        </is>
      </c>
      <c r="C1891" t="inlineStr">
        <is>
          <t>Week1-Feb-2026</t>
        </is>
      </c>
      <c r="D1891" s="78" t="n">
        <v>46054</v>
      </c>
      <c r="E1891" t="inlineStr">
        <is>
          <t>Q4FY26</t>
        </is>
      </c>
      <c r="F1891" t="inlineStr">
        <is>
          <t>31-Dec-2030</t>
        </is>
      </c>
      <c r="G1891" t="inlineStr">
        <is>
          <t>Tuesday</t>
        </is>
      </c>
      <c r="H1891" t="inlineStr">
        <is>
          <t>Monthly - Tuesday</t>
        </is>
      </c>
      <c r="I1891" t="inlineStr">
        <is>
          <t>Monthly - Tuesday</t>
        </is>
      </c>
      <c r="J1891" t="inlineStr">
        <is>
          <t>Month+58 Expiry</t>
        </is>
      </c>
      <c r="K1891" s="25" t="n">
        <v>0</v>
      </c>
      <c r="L1891" s="26" t="n">
        <v>0</v>
      </c>
      <c r="M1891" s="26" t="n">
        <v>0</v>
      </c>
    </row>
    <row r="1892" ht="16" customHeight="1">
      <c r="A1892" t="inlineStr">
        <is>
          <t>02-Feb-2026</t>
        </is>
      </c>
      <c r="B1892" t="inlineStr">
        <is>
          <t>Monday</t>
        </is>
      </c>
      <c r="C1892" t="inlineStr">
        <is>
          <t>Week1-Feb-2026</t>
        </is>
      </c>
      <c r="D1892" s="78" t="n">
        <v>46054</v>
      </c>
      <c r="E1892" t="inlineStr">
        <is>
          <t>Q4FY26</t>
        </is>
      </c>
      <c r="F1892" t="inlineStr">
        <is>
          <t>03-Feb-2026</t>
        </is>
      </c>
      <c r="G1892" t="inlineStr">
        <is>
          <t>Tuesday</t>
        </is>
      </c>
      <c r="H1892" t="inlineStr">
        <is>
          <t>Weekly - Tuesday</t>
        </is>
      </c>
      <c r="I1892" t="inlineStr">
        <is>
          <t>Weekly - Tuesday</t>
        </is>
      </c>
      <c r="J1892" t="inlineStr">
        <is>
          <t>Same Month Expiry</t>
        </is>
      </c>
      <c r="K1892" s="25" t="n">
        <v>209173208</v>
      </c>
      <c r="L1892" s="26" t="n">
        <v>339678.3755</v>
      </c>
      <c r="M1892" s="26" t="n">
        <v>787.1881</v>
      </c>
    </row>
    <row r="1893" ht="16" customHeight="1">
      <c r="A1893" t="inlineStr">
        <is>
          <t>02-Feb-2026</t>
        </is>
      </c>
      <c r="B1893" t="inlineStr">
        <is>
          <t>Monday</t>
        </is>
      </c>
      <c r="C1893" t="inlineStr">
        <is>
          <t>Week1-Feb-2026</t>
        </is>
      </c>
      <c r="D1893" s="78" t="n">
        <v>46054</v>
      </c>
      <c r="E1893" t="inlineStr">
        <is>
          <t>Q4FY26</t>
        </is>
      </c>
      <c r="F1893" t="inlineStr">
        <is>
          <t>10-Feb-2026</t>
        </is>
      </c>
      <c r="G1893" t="inlineStr">
        <is>
          <t>Tuesday</t>
        </is>
      </c>
      <c r="H1893" t="inlineStr">
        <is>
          <t>Weekly - Tuesday</t>
        </is>
      </c>
      <c r="I1893" t="inlineStr">
        <is>
          <t>Weekly - Tuesday</t>
        </is>
      </c>
      <c r="J1893" t="inlineStr">
        <is>
          <t>Same Month Expiry</t>
        </is>
      </c>
      <c r="K1893" s="25" t="n">
        <v>6823475</v>
      </c>
      <c r="L1893" s="26" t="n">
        <v>11141.3892</v>
      </c>
      <c r="M1893" s="26" t="n">
        <v>52.5604</v>
      </c>
    </row>
    <row r="1894" ht="16" customHeight="1">
      <c r="A1894" t="inlineStr">
        <is>
          <t>02-Feb-2026</t>
        </is>
      </c>
      <c r="B1894" t="inlineStr">
        <is>
          <t>Monday</t>
        </is>
      </c>
      <c r="C1894" t="inlineStr">
        <is>
          <t>Week1-Feb-2026</t>
        </is>
      </c>
      <c r="D1894" s="78" t="n">
        <v>46054</v>
      </c>
      <c r="E1894" t="inlineStr">
        <is>
          <t>Q4FY26</t>
        </is>
      </c>
      <c r="F1894" t="inlineStr">
        <is>
          <t>17-Feb-2026</t>
        </is>
      </c>
      <c r="G1894" t="inlineStr">
        <is>
          <t>Tuesday</t>
        </is>
      </c>
      <c r="H1894" t="inlineStr">
        <is>
          <t>Weekly - Tuesday</t>
        </is>
      </c>
      <c r="I1894" t="inlineStr">
        <is>
          <t>Weekly - Tuesday</t>
        </is>
      </c>
      <c r="J1894" t="inlineStr">
        <is>
          <t>Same Month Expiry</t>
        </is>
      </c>
      <c r="K1894" s="25" t="n">
        <v>327293</v>
      </c>
      <c r="L1894" s="26" t="n">
        <v>537.3699</v>
      </c>
      <c r="M1894" s="26" t="n">
        <v>3.2234</v>
      </c>
    </row>
    <row r="1895" ht="16" customHeight="1">
      <c r="A1895" t="inlineStr">
        <is>
          <t>02-Feb-2026</t>
        </is>
      </c>
      <c r="B1895" t="inlineStr">
        <is>
          <t>Monday</t>
        </is>
      </c>
      <c r="C1895" t="inlineStr">
        <is>
          <t>Week1-Feb-2026</t>
        </is>
      </c>
      <c r="D1895" s="78" t="n">
        <v>46054</v>
      </c>
      <c r="E1895" t="inlineStr">
        <is>
          <t>Q4FY26</t>
        </is>
      </c>
      <c r="F1895" t="inlineStr">
        <is>
          <t>24-Feb-2026</t>
        </is>
      </c>
      <c r="G1895" t="inlineStr">
        <is>
          <t>Tuesday</t>
        </is>
      </c>
      <c r="H1895" t="inlineStr">
        <is>
          <t>Monthly - Tuesday</t>
        </is>
      </c>
      <c r="I1895" t="inlineStr">
        <is>
          <t>Monthly - Tuesday</t>
        </is>
      </c>
      <c r="J1895" t="inlineStr">
        <is>
          <t>Same Month Expiry</t>
        </is>
      </c>
      <c r="K1895" s="25" t="n">
        <v>2335694</v>
      </c>
      <c r="L1895" s="26" t="n">
        <v>3846.9745</v>
      </c>
      <c r="M1895" s="26" t="n">
        <v>33.9328</v>
      </c>
    </row>
    <row r="1896" ht="16" customHeight="1">
      <c r="A1896" t="inlineStr">
        <is>
          <t>02-Feb-2026</t>
        </is>
      </c>
      <c r="B1896" t="inlineStr">
        <is>
          <t>Monday</t>
        </is>
      </c>
      <c r="C1896" t="inlineStr">
        <is>
          <t>Week1-Feb-2026</t>
        </is>
      </c>
      <c r="D1896" s="78" t="n">
        <v>46054</v>
      </c>
      <c r="E1896" t="inlineStr">
        <is>
          <t>Q4FY26</t>
        </is>
      </c>
      <c r="F1896" t="inlineStr">
        <is>
          <t>02-Mar-2026</t>
        </is>
      </c>
      <c r="G1896" t="inlineStr">
        <is>
          <t>Monday</t>
        </is>
      </c>
      <c r="H1896" t="inlineStr">
        <is>
          <t>Weekly - Monday</t>
        </is>
      </c>
      <c r="I1896" t="inlineStr">
        <is>
          <t>Weekly - Monday</t>
        </is>
      </c>
      <c r="J1896" t="inlineStr">
        <is>
          <t>Month+1 Expiry</t>
        </is>
      </c>
      <c r="K1896" s="25" t="n">
        <v>26926</v>
      </c>
      <c r="L1896" s="26" t="n">
        <v>44.586</v>
      </c>
      <c r="M1896" s="26" t="n">
        <v>0.3608</v>
      </c>
    </row>
    <row r="1897" ht="16" customHeight="1">
      <c r="A1897" t="inlineStr">
        <is>
          <t>02-Feb-2026</t>
        </is>
      </c>
      <c r="B1897" t="inlineStr">
        <is>
          <t>Monday</t>
        </is>
      </c>
      <c r="C1897" t="inlineStr">
        <is>
          <t>Week1-Feb-2026</t>
        </is>
      </c>
      <c r="D1897" s="78" t="n">
        <v>46054</v>
      </c>
      <c r="E1897" t="inlineStr">
        <is>
          <t>Q4FY26</t>
        </is>
      </c>
      <c r="F1897" t="inlineStr">
        <is>
          <t>30-Mar-2026</t>
        </is>
      </c>
      <c r="G1897" t="inlineStr">
        <is>
          <t>Monday</t>
        </is>
      </c>
      <c r="H1897" t="inlineStr">
        <is>
          <t>Monthly - Monday</t>
        </is>
      </c>
      <c r="I1897" t="inlineStr">
        <is>
          <t>Monthly - Monday</t>
        </is>
      </c>
      <c r="J1897" t="inlineStr">
        <is>
          <t>Month+1 Expiry</t>
        </is>
      </c>
      <c r="K1897" s="25" t="n">
        <v>437559</v>
      </c>
      <c r="L1897" s="26" t="n">
        <v>723.2411</v>
      </c>
      <c r="M1897" s="26" t="n">
        <v>8.0718</v>
      </c>
    </row>
    <row r="1898" ht="16" customHeight="1">
      <c r="A1898" t="inlineStr">
        <is>
          <t>02-Feb-2026</t>
        </is>
      </c>
      <c r="B1898" t="inlineStr">
        <is>
          <t>Monday</t>
        </is>
      </c>
      <c r="C1898" t="inlineStr">
        <is>
          <t>Week1-Feb-2026</t>
        </is>
      </c>
      <c r="D1898" s="78" t="n">
        <v>46054</v>
      </c>
      <c r="E1898" t="inlineStr">
        <is>
          <t>Q4FY26</t>
        </is>
      </c>
      <c r="F1898" t="inlineStr">
        <is>
          <t>28-Apr-2026</t>
        </is>
      </c>
      <c r="G1898" t="inlineStr">
        <is>
          <t>Tuesday</t>
        </is>
      </c>
      <c r="H1898" t="inlineStr">
        <is>
          <t>Monthly - Tuesday</t>
        </is>
      </c>
      <c r="I1898" t="inlineStr">
        <is>
          <t>Monthly - Tuesday</t>
        </is>
      </c>
      <c r="J1898" t="inlineStr">
        <is>
          <t>Month+2 Expiry</t>
        </is>
      </c>
      <c r="K1898" s="25" t="n">
        <v>41084</v>
      </c>
      <c r="L1898" s="26" t="n">
        <v>68.6474</v>
      </c>
      <c r="M1898" s="26" t="n">
        <v>1.0442</v>
      </c>
    </row>
    <row r="1899" ht="16" customHeight="1">
      <c r="A1899" t="inlineStr">
        <is>
          <t>02-Feb-2026</t>
        </is>
      </c>
      <c r="B1899" t="inlineStr">
        <is>
          <t>Monday</t>
        </is>
      </c>
      <c r="C1899" t="inlineStr">
        <is>
          <t>Week1-Feb-2026</t>
        </is>
      </c>
      <c r="D1899" s="78" t="n">
        <v>46054</v>
      </c>
      <c r="E1899" t="inlineStr">
        <is>
          <t>Q4FY26</t>
        </is>
      </c>
      <c r="F1899" t="inlineStr">
        <is>
          <t>30-Jun-2026</t>
        </is>
      </c>
      <c r="G1899" t="inlineStr">
        <is>
          <t>Tuesday</t>
        </is>
      </c>
      <c r="H1899" t="inlineStr">
        <is>
          <t>Monthly - Tuesday</t>
        </is>
      </c>
      <c r="I1899" t="inlineStr">
        <is>
          <t>Monthly - Tuesday</t>
        </is>
      </c>
      <c r="J1899" t="inlineStr">
        <is>
          <t>Month+4 Expiry</t>
        </is>
      </c>
      <c r="K1899" s="25" t="n">
        <v>52842</v>
      </c>
      <c r="L1899" s="26" t="n">
        <v>89.5279</v>
      </c>
      <c r="M1899" s="26" t="n">
        <v>1.5061</v>
      </c>
    </row>
    <row r="1900" ht="16" customHeight="1">
      <c r="A1900" t="inlineStr">
        <is>
          <t>02-Feb-2026</t>
        </is>
      </c>
      <c r="B1900" t="inlineStr">
        <is>
          <t>Monday</t>
        </is>
      </c>
      <c r="C1900" t="inlineStr">
        <is>
          <t>Week1-Feb-2026</t>
        </is>
      </c>
      <c r="D1900" s="78" t="n">
        <v>46054</v>
      </c>
      <c r="E1900" t="inlineStr">
        <is>
          <t>Q4FY26</t>
        </is>
      </c>
      <c r="F1900" t="inlineStr">
        <is>
          <t>29-Sep-2026</t>
        </is>
      </c>
      <c r="G1900" t="inlineStr">
        <is>
          <t>Tuesday</t>
        </is>
      </c>
      <c r="H1900" t="inlineStr">
        <is>
          <t>Monthly - Tuesday</t>
        </is>
      </c>
      <c r="I1900" t="inlineStr">
        <is>
          <t>Monthly - Tuesday</t>
        </is>
      </c>
      <c r="J1900" t="inlineStr">
        <is>
          <t>Month+7 Expiry</t>
        </is>
      </c>
      <c r="K1900" s="25" t="n">
        <v>6069</v>
      </c>
      <c r="L1900" s="26" t="n">
        <v>10.3972</v>
      </c>
      <c r="M1900" s="26" t="n">
        <v>0.2553</v>
      </c>
    </row>
    <row r="1901" ht="16" customHeight="1">
      <c r="A1901" t="inlineStr">
        <is>
          <t>02-Feb-2026</t>
        </is>
      </c>
      <c r="B1901" t="inlineStr">
        <is>
          <t>Monday</t>
        </is>
      </c>
      <c r="C1901" t="inlineStr">
        <is>
          <t>Week1-Feb-2026</t>
        </is>
      </c>
      <c r="D1901" s="78" t="n">
        <v>46054</v>
      </c>
      <c r="E1901" t="inlineStr">
        <is>
          <t>Q4FY26</t>
        </is>
      </c>
      <c r="F1901" t="inlineStr">
        <is>
          <t>29-Dec-2026</t>
        </is>
      </c>
      <c r="G1901" t="inlineStr">
        <is>
          <t>Tuesday</t>
        </is>
      </c>
      <c r="H1901" t="inlineStr">
        <is>
          <t>Monthly - Tuesday</t>
        </is>
      </c>
      <c r="I1901" t="inlineStr">
        <is>
          <t>Monthly - Tuesday</t>
        </is>
      </c>
      <c r="J1901" t="inlineStr">
        <is>
          <t>Month+10 Expiry</t>
        </is>
      </c>
      <c r="K1901" s="25" t="n">
        <v>23042</v>
      </c>
      <c r="L1901" s="26" t="n">
        <v>40.0687</v>
      </c>
      <c r="M1901" s="26" t="n">
        <v>1.201</v>
      </c>
    </row>
    <row r="1902" ht="16" customHeight="1">
      <c r="A1902" t="inlineStr">
        <is>
          <t>02-Feb-2026</t>
        </is>
      </c>
      <c r="B1902" t="inlineStr">
        <is>
          <t>Monday</t>
        </is>
      </c>
      <c r="C1902" t="inlineStr">
        <is>
          <t>Week1-Feb-2026</t>
        </is>
      </c>
      <c r="D1902" s="78" t="n">
        <v>46054</v>
      </c>
      <c r="E1902" t="inlineStr">
        <is>
          <t>Q4FY26</t>
        </is>
      </c>
      <c r="F1902" t="inlineStr">
        <is>
          <t>29-Jun-2027</t>
        </is>
      </c>
      <c r="G1902" t="inlineStr">
        <is>
          <t>Tuesday</t>
        </is>
      </c>
      <c r="H1902" t="inlineStr">
        <is>
          <t>Monthly - Tuesday</t>
        </is>
      </c>
      <c r="I1902" t="inlineStr">
        <is>
          <t>Monthly - Tuesday</t>
        </is>
      </c>
      <c r="J1902" t="inlineStr">
        <is>
          <t>Month+16 Expiry</t>
        </is>
      </c>
      <c r="K1902" s="25" t="n">
        <v>0</v>
      </c>
      <c r="L1902" s="26" t="n">
        <v>0</v>
      </c>
      <c r="M1902" s="26" t="n">
        <v>0</v>
      </c>
    </row>
    <row r="1903" ht="16" customHeight="1">
      <c r="A1903" t="inlineStr">
        <is>
          <t>02-Feb-2026</t>
        </is>
      </c>
      <c r="B1903" t="inlineStr">
        <is>
          <t>Monday</t>
        </is>
      </c>
      <c r="C1903" t="inlineStr">
        <is>
          <t>Week1-Feb-2026</t>
        </is>
      </c>
      <c r="D1903" s="78" t="n">
        <v>46054</v>
      </c>
      <c r="E1903" t="inlineStr">
        <is>
          <t>Q4FY26</t>
        </is>
      </c>
      <c r="F1903" t="inlineStr">
        <is>
          <t>28-Dec-2027</t>
        </is>
      </c>
      <c r="G1903" t="inlineStr">
        <is>
          <t>Tuesday</t>
        </is>
      </c>
      <c r="H1903" t="inlineStr">
        <is>
          <t>Monthly - Tuesday</t>
        </is>
      </c>
      <c r="I1903" t="inlineStr">
        <is>
          <t>Monthly - Tuesday</t>
        </is>
      </c>
      <c r="J1903" t="inlineStr">
        <is>
          <t>Month+22 Expiry</t>
        </is>
      </c>
      <c r="K1903" s="25" t="n">
        <v>168</v>
      </c>
      <c r="L1903" s="26" t="n">
        <v>0.2782</v>
      </c>
      <c r="M1903" s="26" t="n">
        <v>0.0159</v>
      </c>
    </row>
    <row r="1904" ht="16" customHeight="1">
      <c r="A1904" t="inlineStr">
        <is>
          <t>02-Feb-2026</t>
        </is>
      </c>
      <c r="B1904" t="inlineStr">
        <is>
          <t>Monday</t>
        </is>
      </c>
      <c r="C1904" t="inlineStr">
        <is>
          <t>Week1-Feb-2026</t>
        </is>
      </c>
      <c r="D1904" s="78" t="n">
        <v>46054</v>
      </c>
      <c r="E1904" t="inlineStr">
        <is>
          <t>Q4FY26</t>
        </is>
      </c>
      <c r="F1904" t="inlineStr">
        <is>
          <t>27-Jun-2028</t>
        </is>
      </c>
      <c r="G1904" t="inlineStr">
        <is>
          <t>Tuesday</t>
        </is>
      </c>
      <c r="H1904" t="inlineStr">
        <is>
          <t>Monthly - Tuesday</t>
        </is>
      </c>
      <c r="I1904" t="inlineStr">
        <is>
          <t>Monthly - Tuesday</t>
        </is>
      </c>
      <c r="J1904" t="inlineStr">
        <is>
          <t>Month+28 Expiry</t>
        </is>
      </c>
      <c r="K1904" s="25" t="n">
        <v>0</v>
      </c>
      <c r="L1904" s="26" t="n">
        <v>0</v>
      </c>
      <c r="M1904" s="26" t="n">
        <v>0</v>
      </c>
    </row>
    <row r="1905" ht="16" customHeight="1">
      <c r="A1905" t="inlineStr">
        <is>
          <t>02-Feb-2026</t>
        </is>
      </c>
      <c r="B1905" t="inlineStr">
        <is>
          <t>Monday</t>
        </is>
      </c>
      <c r="C1905" t="inlineStr">
        <is>
          <t>Week1-Feb-2026</t>
        </is>
      </c>
      <c r="D1905" s="78" t="n">
        <v>46054</v>
      </c>
      <c r="E1905" t="inlineStr">
        <is>
          <t>Q4FY26</t>
        </is>
      </c>
      <c r="F1905" t="inlineStr">
        <is>
          <t>26-Dec-2028</t>
        </is>
      </c>
      <c r="G1905" t="inlineStr">
        <is>
          <t>Tuesday</t>
        </is>
      </c>
      <c r="H1905" t="inlineStr">
        <is>
          <t>Monthly - Tuesday</t>
        </is>
      </c>
      <c r="I1905" t="inlineStr">
        <is>
          <t>Monthly - Tuesday</t>
        </is>
      </c>
      <c r="J1905" t="inlineStr">
        <is>
          <t>Month+34 Expiry</t>
        </is>
      </c>
      <c r="K1905" s="25" t="n">
        <v>6</v>
      </c>
      <c r="L1905" s="26" t="n">
        <v>0.0117</v>
      </c>
      <c r="M1905" s="26" t="n">
        <v>0.0007</v>
      </c>
    </row>
    <row r="1906" ht="16" customHeight="1">
      <c r="A1906" t="inlineStr">
        <is>
          <t>02-Feb-2026</t>
        </is>
      </c>
      <c r="B1906" t="inlineStr">
        <is>
          <t>Monday</t>
        </is>
      </c>
      <c r="C1906" t="inlineStr">
        <is>
          <t>Week1-Feb-2026</t>
        </is>
      </c>
      <c r="D1906" s="78" t="n">
        <v>46054</v>
      </c>
      <c r="E1906" t="inlineStr">
        <is>
          <t>Q4FY26</t>
        </is>
      </c>
      <c r="F1906" t="inlineStr">
        <is>
          <t>26-Jun-2029</t>
        </is>
      </c>
      <c r="G1906" t="inlineStr">
        <is>
          <t>Tuesday</t>
        </is>
      </c>
      <c r="H1906" t="inlineStr">
        <is>
          <t>Monthly - Tuesday</t>
        </is>
      </c>
      <c r="I1906" t="inlineStr">
        <is>
          <t>Monthly - Tuesday</t>
        </is>
      </c>
      <c r="J1906" t="inlineStr">
        <is>
          <t>Month+40 Expiry</t>
        </is>
      </c>
      <c r="K1906" s="25" t="n">
        <v>0</v>
      </c>
      <c r="L1906" s="26" t="n">
        <v>0</v>
      </c>
      <c r="M1906" s="26" t="n">
        <v>0</v>
      </c>
    </row>
    <row r="1907" ht="16" customHeight="1">
      <c r="A1907" t="inlineStr">
        <is>
          <t>02-Feb-2026</t>
        </is>
      </c>
      <c r="B1907" t="inlineStr">
        <is>
          <t>Monday</t>
        </is>
      </c>
      <c r="C1907" t="inlineStr">
        <is>
          <t>Week1-Feb-2026</t>
        </is>
      </c>
      <c r="D1907" s="78" t="n">
        <v>46054</v>
      </c>
      <c r="E1907" t="inlineStr">
        <is>
          <t>Q4FY26</t>
        </is>
      </c>
      <c r="F1907" t="inlineStr">
        <is>
          <t>24-Dec-2029</t>
        </is>
      </c>
      <c r="G1907" t="inlineStr">
        <is>
          <t>Monday</t>
        </is>
      </c>
      <c r="H1907" t="inlineStr">
        <is>
          <t>Weekly - Monday</t>
        </is>
      </c>
      <c r="I1907" t="inlineStr">
        <is>
          <t>Weekly - Monday</t>
        </is>
      </c>
      <c r="J1907" t="inlineStr">
        <is>
          <t>Month+46 Expiry</t>
        </is>
      </c>
      <c r="K1907" s="25" t="n">
        <v>4</v>
      </c>
      <c r="L1907" s="26" t="n">
        <v>0.0071</v>
      </c>
      <c r="M1907" s="26" t="n">
        <v>0.0003</v>
      </c>
    </row>
    <row r="1908" ht="16" customHeight="1">
      <c r="A1908" t="inlineStr">
        <is>
          <t>02-Feb-2026</t>
        </is>
      </c>
      <c r="B1908" t="inlineStr">
        <is>
          <t>Monday</t>
        </is>
      </c>
      <c r="C1908" t="inlineStr">
        <is>
          <t>Week1-Feb-2026</t>
        </is>
      </c>
      <c r="D1908" s="78" t="n">
        <v>46054</v>
      </c>
      <c r="E1908" t="inlineStr">
        <is>
          <t>Q4FY26</t>
        </is>
      </c>
      <c r="F1908" t="inlineStr">
        <is>
          <t>25-Jun-2030</t>
        </is>
      </c>
      <c r="G1908" t="inlineStr">
        <is>
          <t>Tuesday</t>
        </is>
      </c>
      <c r="H1908" t="inlineStr">
        <is>
          <t>Monthly - Tuesday</t>
        </is>
      </c>
      <c r="I1908" t="inlineStr">
        <is>
          <t>Monthly - Tuesday</t>
        </is>
      </c>
      <c r="J1908" t="inlineStr">
        <is>
          <t>Month+52 Expiry</t>
        </is>
      </c>
      <c r="K1908" s="25" t="n">
        <v>0</v>
      </c>
      <c r="L1908" s="26" t="n">
        <v>0</v>
      </c>
      <c r="M1908" s="26" t="n">
        <v>0</v>
      </c>
    </row>
    <row r="1909" ht="16" customHeight="1">
      <c r="A1909" t="inlineStr">
        <is>
          <t>02-Feb-2026</t>
        </is>
      </c>
      <c r="B1909" t="inlineStr">
        <is>
          <t>Monday</t>
        </is>
      </c>
      <c r="C1909" t="inlineStr">
        <is>
          <t>Week1-Feb-2026</t>
        </is>
      </c>
      <c r="D1909" s="78" t="n">
        <v>46054</v>
      </c>
      <c r="E1909" t="inlineStr">
        <is>
          <t>Q4FY26</t>
        </is>
      </c>
      <c r="F1909" t="inlineStr">
        <is>
          <t>31-Dec-2030</t>
        </is>
      </c>
      <c r="G1909" t="inlineStr">
        <is>
          <t>Tuesday</t>
        </is>
      </c>
      <c r="H1909" t="inlineStr">
        <is>
          <t>Monthly - Tuesday</t>
        </is>
      </c>
      <c r="I1909" t="inlineStr">
        <is>
          <t>Monthly - Tuesday</t>
        </is>
      </c>
      <c r="J1909" t="inlineStr">
        <is>
          <t>Month+58 Expiry</t>
        </is>
      </c>
      <c r="K1909" s="25" t="n">
        <v>0</v>
      </c>
      <c r="L1909" s="26" t="n">
        <v>0</v>
      </c>
      <c r="M1909" s="26" t="n">
        <v>0</v>
      </c>
    </row>
    <row r="1910" ht="16" customHeight="1">
      <c r="A1910" t="inlineStr">
        <is>
          <t>03-Feb-2026</t>
        </is>
      </c>
      <c r="B1910" t="inlineStr">
        <is>
          <t>Tuesday</t>
        </is>
      </c>
      <c r="C1910" t="inlineStr">
        <is>
          <t>Week1-Feb-2026</t>
        </is>
      </c>
      <c r="D1910" s="78" t="n">
        <v>46054</v>
      </c>
      <c r="E1910" t="inlineStr">
        <is>
          <t>Q4FY26</t>
        </is>
      </c>
      <c r="F1910" t="inlineStr">
        <is>
          <t>03-Feb-2026</t>
        </is>
      </c>
      <c r="G1910" t="inlineStr">
        <is>
          <t>Tuesday</t>
        </is>
      </c>
      <c r="H1910" t="inlineStr">
        <is>
          <t>Weekly - Tuesday</t>
        </is>
      </c>
      <c r="I1910" t="inlineStr">
        <is>
          <t>Weekly - Tuesday</t>
        </is>
      </c>
      <c r="J1910" t="inlineStr">
        <is>
          <t>Same Month Expiry</t>
        </is>
      </c>
      <c r="K1910" s="25" t="n">
        <v>393553357</v>
      </c>
      <c r="L1910" s="26" t="n">
        <v>659240.4872</v>
      </c>
      <c r="M1910" s="26" t="n">
        <v>933.325</v>
      </c>
    </row>
    <row r="1911" ht="16" customHeight="1">
      <c r="A1911" t="inlineStr">
        <is>
          <t>03-Feb-2026</t>
        </is>
      </c>
      <c r="B1911" t="inlineStr">
        <is>
          <t>Tuesday</t>
        </is>
      </c>
      <c r="C1911" t="inlineStr">
        <is>
          <t>Week1-Feb-2026</t>
        </is>
      </c>
      <c r="D1911" s="78" t="n">
        <v>46054</v>
      </c>
      <c r="E1911" t="inlineStr">
        <is>
          <t>Q4FY26</t>
        </is>
      </c>
      <c r="F1911" t="inlineStr">
        <is>
          <t>10-Feb-2026</t>
        </is>
      </c>
      <c r="G1911" t="inlineStr">
        <is>
          <t>Tuesday</t>
        </is>
      </c>
      <c r="H1911" t="inlineStr">
        <is>
          <t>Weekly - Tuesday</t>
        </is>
      </c>
      <c r="I1911" t="inlineStr">
        <is>
          <t>Weekly - Tuesday</t>
        </is>
      </c>
      <c r="J1911" t="inlineStr">
        <is>
          <t>Same Month Expiry</t>
        </is>
      </c>
      <c r="K1911" s="25" t="n">
        <v>15276175</v>
      </c>
      <c r="L1911" s="26" t="n">
        <v>25610.074</v>
      </c>
      <c r="M1911" s="26" t="n">
        <v>116.3993</v>
      </c>
    </row>
    <row r="1912" ht="16" customHeight="1">
      <c r="A1912" t="inlineStr">
        <is>
          <t>03-Feb-2026</t>
        </is>
      </c>
      <c r="B1912" t="inlineStr">
        <is>
          <t>Tuesday</t>
        </is>
      </c>
      <c r="C1912" t="inlineStr">
        <is>
          <t>Week1-Feb-2026</t>
        </is>
      </c>
      <c r="D1912" s="78" t="n">
        <v>46054</v>
      </c>
      <c r="E1912" t="inlineStr">
        <is>
          <t>Q4FY26</t>
        </is>
      </c>
      <c r="F1912" t="inlineStr">
        <is>
          <t>17-Feb-2026</t>
        </is>
      </c>
      <c r="G1912" t="inlineStr">
        <is>
          <t>Tuesday</t>
        </is>
      </c>
      <c r="H1912" t="inlineStr">
        <is>
          <t>Weekly - Tuesday</t>
        </is>
      </c>
      <c r="I1912" t="inlineStr">
        <is>
          <t>Weekly - Tuesday</t>
        </is>
      </c>
      <c r="J1912" t="inlineStr">
        <is>
          <t>Same Month Expiry</t>
        </is>
      </c>
      <c r="K1912" s="25" t="n">
        <v>673371</v>
      </c>
      <c r="L1912" s="26" t="n">
        <v>1132.5363</v>
      </c>
      <c r="M1912" s="26" t="n">
        <v>7.3528</v>
      </c>
    </row>
    <row r="1913" ht="16" customHeight="1">
      <c r="A1913" t="inlineStr">
        <is>
          <t>03-Feb-2026</t>
        </is>
      </c>
      <c r="B1913" t="inlineStr">
        <is>
          <t>Tuesday</t>
        </is>
      </c>
      <c r="C1913" t="inlineStr">
        <is>
          <t>Week1-Feb-2026</t>
        </is>
      </c>
      <c r="D1913" s="78" t="n">
        <v>46054</v>
      </c>
      <c r="E1913" t="inlineStr">
        <is>
          <t>Q4FY26</t>
        </is>
      </c>
      <c r="F1913" t="inlineStr">
        <is>
          <t>24-Feb-2026</t>
        </is>
      </c>
      <c r="G1913" t="inlineStr">
        <is>
          <t>Tuesday</t>
        </is>
      </c>
      <c r="H1913" t="inlineStr">
        <is>
          <t>Monthly - Tuesday</t>
        </is>
      </c>
      <c r="I1913" t="inlineStr">
        <is>
          <t>Monthly - Tuesday</t>
        </is>
      </c>
      <c r="J1913" t="inlineStr">
        <is>
          <t>Same Month Expiry</t>
        </is>
      </c>
      <c r="K1913" s="25" t="n">
        <v>4012104</v>
      </c>
      <c r="L1913" s="26" t="n">
        <v>6757.9295</v>
      </c>
      <c r="M1913" s="26" t="n">
        <v>59.647</v>
      </c>
    </row>
    <row r="1914" ht="16" customHeight="1">
      <c r="A1914" t="inlineStr">
        <is>
          <t>03-Feb-2026</t>
        </is>
      </c>
      <c r="B1914" t="inlineStr">
        <is>
          <t>Tuesday</t>
        </is>
      </c>
      <c r="C1914" t="inlineStr">
        <is>
          <t>Week1-Feb-2026</t>
        </is>
      </c>
      <c r="D1914" s="78" t="n">
        <v>46054</v>
      </c>
      <c r="E1914" t="inlineStr">
        <is>
          <t>Q4FY26</t>
        </is>
      </c>
      <c r="F1914" t="inlineStr">
        <is>
          <t>02-Mar-2026</t>
        </is>
      </c>
      <c r="G1914" t="inlineStr">
        <is>
          <t>Monday</t>
        </is>
      </c>
      <c r="H1914" t="inlineStr">
        <is>
          <t>Weekly - Monday</t>
        </is>
      </c>
      <c r="I1914" t="inlineStr">
        <is>
          <t>Weekly - Monday</t>
        </is>
      </c>
      <c r="J1914" t="inlineStr">
        <is>
          <t>Month+1 Expiry</t>
        </is>
      </c>
      <c r="K1914" s="25" t="n">
        <v>32819</v>
      </c>
      <c r="L1914" s="26" t="n">
        <v>54.9666</v>
      </c>
      <c r="M1914" s="26" t="n">
        <v>0.4454</v>
      </c>
    </row>
    <row r="1915" ht="16" customHeight="1">
      <c r="A1915" t="inlineStr">
        <is>
          <t>03-Feb-2026</t>
        </is>
      </c>
      <c r="B1915" t="inlineStr">
        <is>
          <t>Tuesday</t>
        </is>
      </c>
      <c r="C1915" t="inlineStr">
        <is>
          <t>Week1-Feb-2026</t>
        </is>
      </c>
      <c r="D1915" s="78" t="n">
        <v>46054</v>
      </c>
      <c r="E1915" t="inlineStr">
        <is>
          <t>Q4FY26</t>
        </is>
      </c>
      <c r="F1915" t="inlineStr">
        <is>
          <t>30-Mar-2026</t>
        </is>
      </c>
      <c r="G1915" t="inlineStr">
        <is>
          <t>Monday</t>
        </is>
      </c>
      <c r="H1915" t="inlineStr">
        <is>
          <t>Monthly - Monday</t>
        </is>
      </c>
      <c r="I1915" t="inlineStr">
        <is>
          <t>Monthly - Monday</t>
        </is>
      </c>
      <c r="J1915" t="inlineStr">
        <is>
          <t>Month+1 Expiry</t>
        </is>
      </c>
      <c r="K1915" s="25" t="n">
        <v>716428</v>
      </c>
      <c r="L1915" s="26" t="n">
        <v>1204.1705</v>
      </c>
      <c r="M1915" s="26" t="n">
        <v>12.3628</v>
      </c>
    </row>
    <row r="1916" ht="16" customHeight="1">
      <c r="A1916" t="inlineStr">
        <is>
          <t>03-Feb-2026</t>
        </is>
      </c>
      <c r="B1916" t="inlineStr">
        <is>
          <t>Tuesday</t>
        </is>
      </c>
      <c r="C1916" t="inlineStr">
        <is>
          <t>Week1-Feb-2026</t>
        </is>
      </c>
      <c r="D1916" s="78" t="n">
        <v>46054</v>
      </c>
      <c r="E1916" t="inlineStr">
        <is>
          <t>Q4FY26</t>
        </is>
      </c>
      <c r="F1916" t="inlineStr">
        <is>
          <t>28-Apr-2026</t>
        </is>
      </c>
      <c r="G1916" t="inlineStr">
        <is>
          <t>Tuesday</t>
        </is>
      </c>
      <c r="H1916" t="inlineStr">
        <is>
          <t>Monthly - Tuesday</t>
        </is>
      </c>
      <c r="I1916" t="inlineStr">
        <is>
          <t>Monthly - Tuesday</t>
        </is>
      </c>
      <c r="J1916" t="inlineStr">
        <is>
          <t>Month+2 Expiry</t>
        </is>
      </c>
      <c r="K1916" s="25" t="n">
        <v>71822</v>
      </c>
      <c r="L1916" s="26" t="n">
        <v>122.1997</v>
      </c>
      <c r="M1916" s="26" t="n">
        <v>1.745</v>
      </c>
    </row>
    <row r="1917" ht="16" customHeight="1">
      <c r="A1917" t="inlineStr">
        <is>
          <t>03-Feb-2026</t>
        </is>
      </c>
      <c r="B1917" t="inlineStr">
        <is>
          <t>Tuesday</t>
        </is>
      </c>
      <c r="C1917" t="inlineStr">
        <is>
          <t>Week1-Feb-2026</t>
        </is>
      </c>
      <c r="D1917" s="78" t="n">
        <v>46054</v>
      </c>
      <c r="E1917" t="inlineStr">
        <is>
          <t>Q4FY26</t>
        </is>
      </c>
      <c r="F1917" t="inlineStr">
        <is>
          <t>30-Jun-2026</t>
        </is>
      </c>
      <c r="G1917" t="inlineStr">
        <is>
          <t>Tuesday</t>
        </is>
      </c>
      <c r="H1917" t="inlineStr">
        <is>
          <t>Monthly - Tuesday</t>
        </is>
      </c>
      <c r="I1917" t="inlineStr">
        <is>
          <t>Monthly - Tuesday</t>
        </is>
      </c>
      <c r="J1917" t="inlineStr">
        <is>
          <t>Month+4 Expiry</t>
        </is>
      </c>
      <c r="K1917" s="25" t="n">
        <v>78866</v>
      </c>
      <c r="L1917" s="26" t="n">
        <v>135.3453</v>
      </c>
      <c r="M1917" s="26" t="n">
        <v>2.1412</v>
      </c>
    </row>
    <row r="1918" ht="16" customHeight="1">
      <c r="A1918" t="inlineStr">
        <is>
          <t>03-Feb-2026</t>
        </is>
      </c>
      <c r="B1918" t="inlineStr">
        <is>
          <t>Tuesday</t>
        </is>
      </c>
      <c r="C1918" t="inlineStr">
        <is>
          <t>Week1-Feb-2026</t>
        </is>
      </c>
      <c r="D1918" s="78" t="n">
        <v>46054</v>
      </c>
      <c r="E1918" t="inlineStr">
        <is>
          <t>Q4FY26</t>
        </is>
      </c>
      <c r="F1918" t="inlineStr">
        <is>
          <t>29-Sep-2026</t>
        </is>
      </c>
      <c r="G1918" t="inlineStr">
        <is>
          <t>Tuesday</t>
        </is>
      </c>
      <c r="H1918" t="inlineStr">
        <is>
          <t>Monthly - Tuesday</t>
        </is>
      </c>
      <c r="I1918" t="inlineStr">
        <is>
          <t>Monthly - Tuesday</t>
        </is>
      </c>
      <c r="J1918" t="inlineStr">
        <is>
          <t>Month+7 Expiry</t>
        </is>
      </c>
      <c r="K1918" s="25" t="n">
        <v>7308</v>
      </c>
      <c r="L1918" s="26" t="n">
        <v>12.6076</v>
      </c>
      <c r="M1918" s="26" t="n">
        <v>0.2609</v>
      </c>
    </row>
    <row r="1919" ht="16" customHeight="1">
      <c r="A1919" t="inlineStr">
        <is>
          <t>03-Feb-2026</t>
        </is>
      </c>
      <c r="B1919" t="inlineStr">
        <is>
          <t>Tuesday</t>
        </is>
      </c>
      <c r="C1919" t="inlineStr">
        <is>
          <t>Week1-Feb-2026</t>
        </is>
      </c>
      <c r="D1919" s="78" t="n">
        <v>46054</v>
      </c>
      <c r="E1919" t="inlineStr">
        <is>
          <t>Q4FY26</t>
        </is>
      </c>
      <c r="F1919" t="inlineStr">
        <is>
          <t>29-Dec-2026</t>
        </is>
      </c>
      <c r="G1919" t="inlineStr">
        <is>
          <t>Tuesday</t>
        </is>
      </c>
      <c r="H1919" t="inlineStr">
        <is>
          <t>Monthly - Tuesday</t>
        </is>
      </c>
      <c r="I1919" t="inlineStr">
        <is>
          <t>Monthly - Tuesday</t>
        </is>
      </c>
      <c r="J1919" t="inlineStr">
        <is>
          <t>Month+10 Expiry</t>
        </is>
      </c>
      <c r="K1919" s="25" t="n">
        <v>30230</v>
      </c>
      <c r="L1919" s="26" t="n">
        <v>53.1399</v>
      </c>
      <c r="M1919" s="26" t="n">
        <v>1.3929</v>
      </c>
    </row>
    <row r="1920" ht="16" customHeight="1">
      <c r="A1920" t="inlineStr">
        <is>
          <t>03-Feb-2026</t>
        </is>
      </c>
      <c r="B1920" t="inlineStr">
        <is>
          <t>Tuesday</t>
        </is>
      </c>
      <c r="C1920" t="inlineStr">
        <is>
          <t>Week1-Feb-2026</t>
        </is>
      </c>
      <c r="D1920" s="78" t="n">
        <v>46054</v>
      </c>
      <c r="E1920" t="inlineStr">
        <is>
          <t>Q4FY26</t>
        </is>
      </c>
      <c r="F1920" t="inlineStr">
        <is>
          <t>29-Jun-2027</t>
        </is>
      </c>
      <c r="G1920" t="inlineStr">
        <is>
          <t>Tuesday</t>
        </is>
      </c>
      <c r="H1920" t="inlineStr">
        <is>
          <t>Monthly - Tuesday</t>
        </is>
      </c>
      <c r="I1920" t="inlineStr">
        <is>
          <t>Monthly - Tuesday</t>
        </is>
      </c>
      <c r="J1920" t="inlineStr">
        <is>
          <t>Month+16 Expiry</t>
        </is>
      </c>
      <c r="K1920" s="25" t="n">
        <v>0</v>
      </c>
      <c r="L1920" s="26" t="n">
        <v>0</v>
      </c>
      <c r="M1920" s="26" t="n">
        <v>0</v>
      </c>
    </row>
    <row r="1921" ht="16" customHeight="1">
      <c r="A1921" t="inlineStr">
        <is>
          <t>03-Feb-2026</t>
        </is>
      </c>
      <c r="B1921" t="inlineStr">
        <is>
          <t>Tuesday</t>
        </is>
      </c>
      <c r="C1921" t="inlineStr">
        <is>
          <t>Week1-Feb-2026</t>
        </is>
      </c>
      <c r="D1921" s="78" t="n">
        <v>46054</v>
      </c>
      <c r="E1921" t="inlineStr">
        <is>
          <t>Q4FY26</t>
        </is>
      </c>
      <c r="F1921" t="inlineStr">
        <is>
          <t>28-Dec-2027</t>
        </is>
      </c>
      <c r="G1921" t="inlineStr">
        <is>
          <t>Tuesday</t>
        </is>
      </c>
      <c r="H1921" t="inlineStr">
        <is>
          <t>Monthly - Tuesday</t>
        </is>
      </c>
      <c r="I1921" t="inlineStr">
        <is>
          <t>Monthly - Tuesday</t>
        </is>
      </c>
      <c r="J1921" t="inlineStr">
        <is>
          <t>Month+22 Expiry</t>
        </is>
      </c>
      <c r="K1921" s="25" t="n">
        <v>73</v>
      </c>
      <c r="L1921" s="26" t="n">
        <v>0.1234</v>
      </c>
      <c r="M1921" s="26" t="n">
        <v>0.0057</v>
      </c>
    </row>
    <row r="1922" ht="16" customHeight="1">
      <c r="A1922" t="inlineStr">
        <is>
          <t>03-Feb-2026</t>
        </is>
      </c>
      <c r="B1922" t="inlineStr">
        <is>
          <t>Tuesday</t>
        </is>
      </c>
      <c r="C1922" t="inlineStr">
        <is>
          <t>Week1-Feb-2026</t>
        </is>
      </c>
      <c r="D1922" s="78" t="n">
        <v>46054</v>
      </c>
      <c r="E1922" t="inlineStr">
        <is>
          <t>Q4FY26</t>
        </is>
      </c>
      <c r="F1922" t="inlineStr">
        <is>
          <t>27-Jun-2028</t>
        </is>
      </c>
      <c r="G1922" t="inlineStr">
        <is>
          <t>Tuesday</t>
        </is>
      </c>
      <c r="H1922" t="inlineStr">
        <is>
          <t>Monthly - Tuesday</t>
        </is>
      </c>
      <c r="I1922" t="inlineStr">
        <is>
          <t>Monthly - Tuesday</t>
        </is>
      </c>
      <c r="J1922" t="inlineStr">
        <is>
          <t>Month+28 Expiry</t>
        </is>
      </c>
      <c r="K1922" s="25" t="n">
        <v>0</v>
      </c>
      <c r="L1922" s="26" t="n">
        <v>0</v>
      </c>
      <c r="M1922" s="26" t="n">
        <v>0</v>
      </c>
    </row>
    <row r="1923" ht="16" customHeight="1">
      <c r="A1923" t="inlineStr">
        <is>
          <t>03-Feb-2026</t>
        </is>
      </c>
      <c r="B1923" t="inlineStr">
        <is>
          <t>Tuesday</t>
        </is>
      </c>
      <c r="C1923" t="inlineStr">
        <is>
          <t>Week1-Feb-2026</t>
        </is>
      </c>
      <c r="D1923" s="78" t="n">
        <v>46054</v>
      </c>
      <c r="E1923" t="inlineStr">
        <is>
          <t>Q4FY26</t>
        </is>
      </c>
      <c r="F1923" t="inlineStr">
        <is>
          <t>26-Dec-2028</t>
        </is>
      </c>
      <c r="G1923" t="inlineStr">
        <is>
          <t>Tuesday</t>
        </is>
      </c>
      <c r="H1923" t="inlineStr">
        <is>
          <t>Monthly - Tuesday</t>
        </is>
      </c>
      <c r="I1923" t="inlineStr">
        <is>
          <t>Monthly - Tuesday</t>
        </is>
      </c>
      <c r="J1923" t="inlineStr">
        <is>
          <t>Month+34 Expiry</t>
        </is>
      </c>
      <c r="K1923" s="25" t="n">
        <v>0</v>
      </c>
      <c r="L1923" s="26" t="n">
        <v>0</v>
      </c>
      <c r="M1923" s="26" t="n">
        <v>0</v>
      </c>
    </row>
    <row r="1924" ht="16" customHeight="1">
      <c r="A1924" t="inlineStr">
        <is>
          <t>03-Feb-2026</t>
        </is>
      </c>
      <c r="B1924" t="inlineStr">
        <is>
          <t>Tuesday</t>
        </is>
      </c>
      <c r="C1924" t="inlineStr">
        <is>
          <t>Week1-Feb-2026</t>
        </is>
      </c>
      <c r="D1924" s="78" t="n">
        <v>46054</v>
      </c>
      <c r="E1924" t="inlineStr">
        <is>
          <t>Q4FY26</t>
        </is>
      </c>
      <c r="F1924" t="inlineStr">
        <is>
          <t>26-Jun-2029</t>
        </is>
      </c>
      <c r="G1924" t="inlineStr">
        <is>
          <t>Tuesday</t>
        </is>
      </c>
      <c r="H1924" t="inlineStr">
        <is>
          <t>Monthly - Tuesday</t>
        </is>
      </c>
      <c r="I1924" t="inlineStr">
        <is>
          <t>Monthly - Tuesday</t>
        </is>
      </c>
      <c r="J1924" t="inlineStr">
        <is>
          <t>Month+40 Expiry</t>
        </is>
      </c>
      <c r="K1924" s="25" t="n">
        <v>0</v>
      </c>
      <c r="L1924" s="26" t="n">
        <v>0</v>
      </c>
      <c r="M1924" s="26" t="n">
        <v>0</v>
      </c>
    </row>
    <row r="1925" ht="16" customHeight="1">
      <c r="A1925" t="inlineStr">
        <is>
          <t>03-Feb-2026</t>
        </is>
      </c>
      <c r="B1925" t="inlineStr">
        <is>
          <t>Tuesday</t>
        </is>
      </c>
      <c r="C1925" t="inlineStr">
        <is>
          <t>Week1-Feb-2026</t>
        </is>
      </c>
      <c r="D1925" s="78" t="n">
        <v>46054</v>
      </c>
      <c r="E1925" t="inlineStr">
        <is>
          <t>Q4FY26</t>
        </is>
      </c>
      <c r="F1925" t="inlineStr">
        <is>
          <t>24-Dec-2029</t>
        </is>
      </c>
      <c r="G1925" t="inlineStr">
        <is>
          <t>Monday</t>
        </is>
      </c>
      <c r="H1925" t="inlineStr">
        <is>
          <t>Weekly - Monday</t>
        </is>
      </c>
      <c r="I1925" t="inlineStr">
        <is>
          <t>Weekly - Monday</t>
        </is>
      </c>
      <c r="J1925" t="inlineStr">
        <is>
          <t>Month+46 Expiry</t>
        </is>
      </c>
      <c r="K1925" s="25" t="n">
        <v>0</v>
      </c>
      <c r="L1925" s="26" t="n">
        <v>0</v>
      </c>
      <c r="M1925" s="26" t="n">
        <v>0</v>
      </c>
    </row>
    <row r="1926" ht="16" customHeight="1">
      <c r="A1926" t="inlineStr">
        <is>
          <t>03-Feb-2026</t>
        </is>
      </c>
      <c r="B1926" t="inlineStr">
        <is>
          <t>Tuesday</t>
        </is>
      </c>
      <c r="C1926" t="inlineStr">
        <is>
          <t>Week1-Feb-2026</t>
        </is>
      </c>
      <c r="D1926" s="78" t="n">
        <v>46054</v>
      </c>
      <c r="E1926" t="inlineStr">
        <is>
          <t>Q4FY26</t>
        </is>
      </c>
      <c r="F1926" t="inlineStr">
        <is>
          <t>25-Jun-2030</t>
        </is>
      </c>
      <c r="G1926" t="inlineStr">
        <is>
          <t>Tuesday</t>
        </is>
      </c>
      <c r="H1926" t="inlineStr">
        <is>
          <t>Monthly - Tuesday</t>
        </is>
      </c>
      <c r="I1926" t="inlineStr">
        <is>
          <t>Monthly - Tuesday</t>
        </is>
      </c>
      <c r="J1926" t="inlineStr">
        <is>
          <t>Month+52 Expiry</t>
        </is>
      </c>
      <c r="K1926" s="25" t="n">
        <v>0</v>
      </c>
      <c r="L1926" s="26" t="n">
        <v>0</v>
      </c>
      <c r="M1926" s="26" t="n">
        <v>0</v>
      </c>
    </row>
    <row r="1927" ht="16" customHeight="1">
      <c r="A1927" t="inlineStr">
        <is>
          <t>03-Feb-2026</t>
        </is>
      </c>
      <c r="B1927" t="inlineStr">
        <is>
          <t>Tuesday</t>
        </is>
      </c>
      <c r="C1927" t="inlineStr">
        <is>
          <t>Week1-Feb-2026</t>
        </is>
      </c>
      <c r="D1927" s="78" t="n">
        <v>46054</v>
      </c>
      <c r="E1927" t="inlineStr">
        <is>
          <t>Q4FY26</t>
        </is>
      </c>
      <c r="F1927" t="inlineStr">
        <is>
          <t>31-Dec-2030</t>
        </is>
      </c>
      <c r="G1927" t="inlineStr">
        <is>
          <t>Tuesday</t>
        </is>
      </c>
      <c r="H1927" t="inlineStr">
        <is>
          <t>Monthly - Tuesday</t>
        </is>
      </c>
      <c r="I1927" t="inlineStr">
        <is>
          <t>Monthly - Tuesday</t>
        </is>
      </c>
      <c r="J1927" t="inlineStr">
        <is>
          <t>Month+58 Expiry</t>
        </is>
      </c>
      <c r="K1927" s="25" t="n">
        <v>0</v>
      </c>
      <c r="L1927" s="26" t="n">
        <v>0</v>
      </c>
      <c r="M1927" s="26" t="n">
        <v>0</v>
      </c>
    </row>
    <row r="1928" ht="16" customHeight="1">
      <c r="A1928" t="inlineStr">
        <is>
          <t>04-Feb-2026</t>
        </is>
      </c>
      <c r="B1928" t="inlineStr">
        <is>
          <t>Wednesday</t>
        </is>
      </c>
      <c r="C1928" t="inlineStr">
        <is>
          <t>Week1-Feb-2026</t>
        </is>
      </c>
      <c r="D1928" s="78" t="n">
        <v>46054</v>
      </c>
      <c r="E1928" t="inlineStr">
        <is>
          <t>Q4FY26</t>
        </is>
      </c>
      <c r="F1928" t="inlineStr">
        <is>
          <t>10-Feb-2026</t>
        </is>
      </c>
      <c r="G1928" t="inlineStr">
        <is>
          <t>Tuesday</t>
        </is>
      </c>
      <c r="H1928" t="inlineStr">
        <is>
          <t>Weekly - Tuesday</t>
        </is>
      </c>
      <c r="I1928" t="inlineStr">
        <is>
          <t>Weekly - Tuesday</t>
        </is>
      </c>
      <c r="J1928" t="inlineStr">
        <is>
          <t>Same Month Expiry</t>
        </is>
      </c>
      <c r="K1928" s="25" t="n">
        <v>52436416</v>
      </c>
      <c r="L1928" s="26" t="n">
        <v>88137.7637</v>
      </c>
      <c r="M1928" s="26" t="n">
        <v>335.5634</v>
      </c>
    </row>
    <row r="1929" ht="16" customHeight="1">
      <c r="A1929" t="inlineStr">
        <is>
          <t>04-Feb-2026</t>
        </is>
      </c>
      <c r="B1929" t="inlineStr">
        <is>
          <t>Wednesday</t>
        </is>
      </c>
      <c r="C1929" t="inlineStr">
        <is>
          <t>Week1-Feb-2026</t>
        </is>
      </c>
      <c r="D1929" s="78" t="n">
        <v>46054</v>
      </c>
      <c r="E1929" t="inlineStr">
        <is>
          <t>Q4FY26</t>
        </is>
      </c>
      <c r="F1929" t="inlineStr">
        <is>
          <t>17-Feb-2026</t>
        </is>
      </c>
      <c r="G1929" t="inlineStr">
        <is>
          <t>Tuesday</t>
        </is>
      </c>
      <c r="H1929" t="inlineStr">
        <is>
          <t>Weekly - Tuesday</t>
        </is>
      </c>
      <c r="I1929" t="inlineStr">
        <is>
          <t>Weekly - Tuesday</t>
        </is>
      </c>
      <c r="J1929" t="inlineStr">
        <is>
          <t>Same Month Expiry</t>
        </is>
      </c>
      <c r="K1929" s="25" t="n">
        <v>863143</v>
      </c>
      <c r="L1929" s="26" t="n">
        <v>1450.8784</v>
      </c>
      <c r="M1929" s="26" t="n">
        <v>7.0414</v>
      </c>
    </row>
    <row r="1930" ht="16" customHeight="1">
      <c r="A1930" t="inlineStr">
        <is>
          <t>04-Feb-2026</t>
        </is>
      </c>
      <c r="B1930" t="inlineStr">
        <is>
          <t>Wednesday</t>
        </is>
      </c>
      <c r="C1930" t="inlineStr">
        <is>
          <t>Week1-Feb-2026</t>
        </is>
      </c>
      <c r="D1930" s="78" t="n">
        <v>46054</v>
      </c>
      <c r="E1930" t="inlineStr">
        <is>
          <t>Q4FY26</t>
        </is>
      </c>
      <c r="F1930" t="inlineStr">
        <is>
          <t>24-Feb-2026</t>
        </is>
      </c>
      <c r="G1930" t="inlineStr">
        <is>
          <t>Tuesday</t>
        </is>
      </c>
      <c r="H1930" t="inlineStr">
        <is>
          <t>Monthly - Tuesday</t>
        </is>
      </c>
      <c r="I1930" t="inlineStr">
        <is>
          <t>Monthly - Tuesday</t>
        </is>
      </c>
      <c r="J1930" t="inlineStr">
        <is>
          <t>Same Month Expiry</t>
        </is>
      </c>
      <c r="K1930" s="25" t="n">
        <v>1738212</v>
      </c>
      <c r="L1930" s="26" t="n">
        <v>2919.7584</v>
      </c>
      <c r="M1930" s="26" t="n">
        <v>18.3083</v>
      </c>
    </row>
    <row r="1931" ht="16" customHeight="1">
      <c r="A1931" t="inlineStr">
        <is>
          <t>04-Feb-2026</t>
        </is>
      </c>
      <c r="B1931" t="inlineStr">
        <is>
          <t>Wednesday</t>
        </is>
      </c>
      <c r="C1931" t="inlineStr">
        <is>
          <t>Week1-Feb-2026</t>
        </is>
      </c>
      <c r="D1931" s="78" t="n">
        <v>46054</v>
      </c>
      <c r="E1931" t="inlineStr">
        <is>
          <t>Q4FY26</t>
        </is>
      </c>
      <c r="F1931" t="inlineStr">
        <is>
          <t>02-Mar-2026</t>
        </is>
      </c>
      <c r="G1931" t="inlineStr">
        <is>
          <t>Monday</t>
        </is>
      </c>
      <c r="H1931" t="inlineStr">
        <is>
          <t>Weekly - Monday</t>
        </is>
      </c>
      <c r="I1931" t="inlineStr">
        <is>
          <t>Weekly - Monday</t>
        </is>
      </c>
      <c r="J1931" t="inlineStr">
        <is>
          <t>Month+1 Expiry</t>
        </is>
      </c>
      <c r="K1931" s="25" t="n">
        <v>26415</v>
      </c>
      <c r="L1931" s="26" t="n">
        <v>44.419</v>
      </c>
      <c r="M1931" s="26" t="n">
        <v>0.2871</v>
      </c>
    </row>
    <row r="1932" ht="16" customHeight="1">
      <c r="A1932" t="inlineStr">
        <is>
          <t>04-Feb-2026</t>
        </is>
      </c>
      <c r="B1932" t="inlineStr">
        <is>
          <t>Wednesday</t>
        </is>
      </c>
      <c r="C1932" t="inlineStr">
        <is>
          <t>Week1-Feb-2026</t>
        </is>
      </c>
      <c r="D1932" s="78" t="n">
        <v>46054</v>
      </c>
      <c r="E1932" t="inlineStr">
        <is>
          <t>Q4FY26</t>
        </is>
      </c>
      <c r="F1932" t="inlineStr">
        <is>
          <t>10-Mar-2026</t>
        </is>
      </c>
      <c r="G1932" t="inlineStr">
        <is>
          <t>Tuesday</t>
        </is>
      </c>
      <c r="H1932" t="inlineStr">
        <is>
          <t>Weekly - Tuesday</t>
        </is>
      </c>
      <c r="I1932" t="inlineStr">
        <is>
          <t>Weekly - Tuesday</t>
        </is>
      </c>
      <c r="J1932" t="inlineStr">
        <is>
          <t>Month+1 Expiry</t>
        </is>
      </c>
      <c r="K1932" s="25" t="n">
        <v>388</v>
      </c>
      <c r="L1932" s="26" t="n">
        <v>0.6493</v>
      </c>
      <c r="M1932" s="26" t="n">
        <v>0.0056</v>
      </c>
    </row>
    <row r="1933" ht="16" customHeight="1">
      <c r="A1933" t="inlineStr">
        <is>
          <t>04-Feb-2026</t>
        </is>
      </c>
      <c r="B1933" t="inlineStr">
        <is>
          <t>Wednesday</t>
        </is>
      </c>
      <c r="C1933" t="inlineStr">
        <is>
          <t>Week1-Feb-2026</t>
        </is>
      </c>
      <c r="D1933" s="78" t="n">
        <v>46054</v>
      </c>
      <c r="E1933" t="inlineStr">
        <is>
          <t>Q4FY26</t>
        </is>
      </c>
      <c r="F1933" t="inlineStr">
        <is>
          <t>30-Mar-2026</t>
        </is>
      </c>
      <c r="G1933" t="inlineStr">
        <is>
          <t>Monday</t>
        </is>
      </c>
      <c r="H1933" t="inlineStr">
        <is>
          <t>Monthly - Monday</t>
        </is>
      </c>
      <c r="I1933" t="inlineStr">
        <is>
          <t>Monthly - Monday</t>
        </is>
      </c>
      <c r="J1933" t="inlineStr">
        <is>
          <t>Month+1 Expiry</t>
        </is>
      </c>
      <c r="K1933" s="25" t="n">
        <v>352785</v>
      </c>
      <c r="L1933" s="26" t="n">
        <v>590.5242</v>
      </c>
      <c r="M1933" s="26" t="n">
        <v>4.6309</v>
      </c>
    </row>
    <row r="1934" ht="16" customHeight="1">
      <c r="A1934" t="inlineStr">
        <is>
          <t>04-Feb-2026</t>
        </is>
      </c>
      <c r="B1934" t="inlineStr">
        <is>
          <t>Wednesday</t>
        </is>
      </c>
      <c r="C1934" t="inlineStr">
        <is>
          <t>Week1-Feb-2026</t>
        </is>
      </c>
      <c r="D1934" s="78" t="n">
        <v>46054</v>
      </c>
      <c r="E1934" t="inlineStr">
        <is>
          <t>Q4FY26</t>
        </is>
      </c>
      <c r="F1934" t="inlineStr">
        <is>
          <t>28-Apr-2026</t>
        </is>
      </c>
      <c r="G1934" t="inlineStr">
        <is>
          <t>Tuesday</t>
        </is>
      </c>
      <c r="H1934" t="inlineStr">
        <is>
          <t>Monthly - Tuesday</t>
        </is>
      </c>
      <c r="I1934" t="inlineStr">
        <is>
          <t>Monthly - Tuesday</t>
        </is>
      </c>
      <c r="J1934" t="inlineStr">
        <is>
          <t>Month+2 Expiry</t>
        </is>
      </c>
      <c r="K1934" s="25" t="n">
        <v>29099</v>
      </c>
      <c r="L1934" s="26" t="n">
        <v>49.0929</v>
      </c>
      <c r="M1934" s="26" t="n">
        <v>0.6782</v>
      </c>
    </row>
    <row r="1935" ht="16" customHeight="1">
      <c r="A1935" t="inlineStr">
        <is>
          <t>04-Feb-2026</t>
        </is>
      </c>
      <c r="B1935" t="inlineStr">
        <is>
          <t>Wednesday</t>
        </is>
      </c>
      <c r="C1935" t="inlineStr">
        <is>
          <t>Week1-Feb-2026</t>
        </is>
      </c>
      <c r="D1935" s="78" t="n">
        <v>46054</v>
      </c>
      <c r="E1935" t="inlineStr">
        <is>
          <t>Q4FY26</t>
        </is>
      </c>
      <c r="F1935" t="inlineStr">
        <is>
          <t>30-Jun-2026</t>
        </is>
      </c>
      <c r="G1935" t="inlineStr">
        <is>
          <t>Tuesday</t>
        </is>
      </c>
      <c r="H1935" t="inlineStr">
        <is>
          <t>Monthly - Tuesday</t>
        </is>
      </c>
      <c r="I1935" t="inlineStr">
        <is>
          <t>Monthly - Tuesday</t>
        </is>
      </c>
      <c r="J1935" t="inlineStr">
        <is>
          <t>Month+4 Expiry</t>
        </is>
      </c>
      <c r="K1935" s="25" t="n">
        <v>46154</v>
      </c>
      <c r="L1935" s="26" t="n">
        <v>78.93640000000001</v>
      </c>
      <c r="M1935" s="26" t="n">
        <v>1.0097</v>
      </c>
    </row>
    <row r="1936" ht="16" customHeight="1">
      <c r="A1936" t="inlineStr">
        <is>
          <t>04-Feb-2026</t>
        </is>
      </c>
      <c r="B1936" t="inlineStr">
        <is>
          <t>Wednesday</t>
        </is>
      </c>
      <c r="C1936" t="inlineStr">
        <is>
          <t>Week1-Feb-2026</t>
        </is>
      </c>
      <c r="D1936" s="78" t="n">
        <v>46054</v>
      </c>
      <c r="E1936" t="inlineStr">
        <is>
          <t>Q4FY26</t>
        </is>
      </c>
      <c r="F1936" t="inlineStr">
        <is>
          <t>29-Sep-2026</t>
        </is>
      </c>
      <c r="G1936" t="inlineStr">
        <is>
          <t>Tuesday</t>
        </is>
      </c>
      <c r="H1936" t="inlineStr">
        <is>
          <t>Monthly - Tuesday</t>
        </is>
      </c>
      <c r="I1936" t="inlineStr">
        <is>
          <t>Monthly - Tuesday</t>
        </is>
      </c>
      <c r="J1936" t="inlineStr">
        <is>
          <t>Month+7 Expiry</t>
        </is>
      </c>
      <c r="K1936" s="25" t="n">
        <v>3871</v>
      </c>
      <c r="L1936" s="26" t="n">
        <v>6.6126</v>
      </c>
      <c r="M1936" s="26" t="n">
        <v>0.1287</v>
      </c>
    </row>
    <row r="1937" ht="16" customHeight="1">
      <c r="A1937" t="inlineStr">
        <is>
          <t>04-Feb-2026</t>
        </is>
      </c>
      <c r="B1937" t="inlineStr">
        <is>
          <t>Wednesday</t>
        </is>
      </c>
      <c r="C1937" t="inlineStr">
        <is>
          <t>Week1-Feb-2026</t>
        </is>
      </c>
      <c r="D1937" s="78" t="n">
        <v>46054</v>
      </c>
      <c r="E1937" t="inlineStr">
        <is>
          <t>Q4FY26</t>
        </is>
      </c>
      <c r="F1937" t="inlineStr">
        <is>
          <t>29-Dec-2026</t>
        </is>
      </c>
      <c r="G1937" t="inlineStr">
        <is>
          <t>Tuesday</t>
        </is>
      </c>
      <c r="H1937" t="inlineStr">
        <is>
          <t>Monthly - Tuesday</t>
        </is>
      </c>
      <c r="I1937" t="inlineStr">
        <is>
          <t>Monthly - Tuesday</t>
        </is>
      </c>
      <c r="J1937" t="inlineStr">
        <is>
          <t>Month+10 Expiry</t>
        </is>
      </c>
      <c r="K1937" s="25" t="n">
        <v>13003</v>
      </c>
      <c r="L1937" s="26" t="n">
        <v>22.8356</v>
      </c>
      <c r="M1937" s="26" t="n">
        <v>0.5619</v>
      </c>
    </row>
    <row r="1938" ht="16" customHeight="1">
      <c r="A1938" t="inlineStr">
        <is>
          <t>04-Feb-2026</t>
        </is>
      </c>
      <c r="B1938" t="inlineStr">
        <is>
          <t>Wednesday</t>
        </is>
      </c>
      <c r="C1938" t="inlineStr">
        <is>
          <t>Week1-Feb-2026</t>
        </is>
      </c>
      <c r="D1938" s="78" t="n">
        <v>46054</v>
      </c>
      <c r="E1938" t="inlineStr">
        <is>
          <t>Q4FY26</t>
        </is>
      </c>
      <c r="F1938" t="inlineStr">
        <is>
          <t>29-Jun-2027</t>
        </is>
      </c>
      <c r="G1938" t="inlineStr">
        <is>
          <t>Tuesday</t>
        </is>
      </c>
      <c r="H1938" t="inlineStr">
        <is>
          <t>Monthly - Tuesday</t>
        </is>
      </c>
      <c r="I1938" t="inlineStr">
        <is>
          <t>Monthly - Tuesday</t>
        </is>
      </c>
      <c r="J1938" t="inlineStr">
        <is>
          <t>Month+16 Expiry</t>
        </is>
      </c>
      <c r="K1938" s="25" t="n">
        <v>0</v>
      </c>
      <c r="L1938" s="26" t="n">
        <v>0</v>
      </c>
      <c r="M1938" s="26" t="n">
        <v>0</v>
      </c>
    </row>
    <row r="1939" ht="16" customHeight="1">
      <c r="A1939" t="inlineStr">
        <is>
          <t>04-Feb-2026</t>
        </is>
      </c>
      <c r="B1939" t="inlineStr">
        <is>
          <t>Wednesday</t>
        </is>
      </c>
      <c r="C1939" t="inlineStr">
        <is>
          <t>Week1-Feb-2026</t>
        </is>
      </c>
      <c r="D1939" s="78" t="n">
        <v>46054</v>
      </c>
      <c r="E1939" t="inlineStr">
        <is>
          <t>Q4FY26</t>
        </is>
      </c>
      <c r="F1939" t="inlineStr">
        <is>
          <t>28-Dec-2027</t>
        </is>
      </c>
      <c r="G1939" t="inlineStr">
        <is>
          <t>Tuesday</t>
        </is>
      </c>
      <c r="H1939" t="inlineStr">
        <is>
          <t>Monthly - Tuesday</t>
        </is>
      </c>
      <c r="I1939" t="inlineStr">
        <is>
          <t>Monthly - Tuesday</t>
        </is>
      </c>
      <c r="J1939" t="inlineStr">
        <is>
          <t>Month+22 Expiry</t>
        </is>
      </c>
      <c r="K1939" s="25" t="n">
        <v>60</v>
      </c>
      <c r="L1939" s="26" t="n">
        <v>0.1054</v>
      </c>
      <c r="M1939" s="26" t="n">
        <v>0.0048</v>
      </c>
    </row>
    <row r="1940" ht="16" customHeight="1">
      <c r="A1940" t="inlineStr">
        <is>
          <t>04-Feb-2026</t>
        </is>
      </c>
      <c r="B1940" t="inlineStr">
        <is>
          <t>Wednesday</t>
        </is>
      </c>
      <c r="C1940" t="inlineStr">
        <is>
          <t>Week1-Feb-2026</t>
        </is>
      </c>
      <c r="D1940" s="78" t="n">
        <v>46054</v>
      </c>
      <c r="E1940" t="inlineStr">
        <is>
          <t>Q4FY26</t>
        </is>
      </c>
      <c r="F1940" t="inlineStr">
        <is>
          <t>27-Jun-2028</t>
        </is>
      </c>
      <c r="G1940" t="inlineStr">
        <is>
          <t>Tuesday</t>
        </is>
      </c>
      <c r="H1940" t="inlineStr">
        <is>
          <t>Monthly - Tuesday</t>
        </is>
      </c>
      <c r="I1940" t="inlineStr">
        <is>
          <t>Monthly - Tuesday</t>
        </is>
      </c>
      <c r="J1940" t="inlineStr">
        <is>
          <t>Month+28 Expiry</t>
        </is>
      </c>
      <c r="K1940" s="25" t="n">
        <v>0</v>
      </c>
      <c r="L1940" s="26" t="n">
        <v>0</v>
      </c>
      <c r="M1940" s="26" t="n">
        <v>0</v>
      </c>
    </row>
    <row r="1941" ht="16" customHeight="1">
      <c r="A1941" t="inlineStr">
        <is>
          <t>04-Feb-2026</t>
        </is>
      </c>
      <c r="B1941" t="inlineStr">
        <is>
          <t>Wednesday</t>
        </is>
      </c>
      <c r="C1941" t="inlineStr">
        <is>
          <t>Week1-Feb-2026</t>
        </is>
      </c>
      <c r="D1941" s="78" t="n">
        <v>46054</v>
      </c>
      <c r="E1941" t="inlineStr">
        <is>
          <t>Q4FY26</t>
        </is>
      </c>
      <c r="F1941" t="inlineStr">
        <is>
          <t>26-Dec-2028</t>
        </is>
      </c>
      <c r="G1941" t="inlineStr">
        <is>
          <t>Tuesday</t>
        </is>
      </c>
      <c r="H1941" t="inlineStr">
        <is>
          <t>Monthly - Tuesday</t>
        </is>
      </c>
      <c r="I1941" t="inlineStr">
        <is>
          <t>Monthly - Tuesday</t>
        </is>
      </c>
      <c r="J1941" t="inlineStr">
        <is>
          <t>Month+34 Expiry</t>
        </is>
      </c>
      <c r="K1941" s="25" t="n">
        <v>13</v>
      </c>
      <c r="L1941" s="26" t="n">
        <v>0.0234</v>
      </c>
      <c r="M1941" s="26" t="n">
        <v>0.0009</v>
      </c>
    </row>
    <row r="1942" ht="16" customHeight="1">
      <c r="A1942" t="inlineStr">
        <is>
          <t>04-Feb-2026</t>
        </is>
      </c>
      <c r="B1942" t="inlineStr">
        <is>
          <t>Wednesday</t>
        </is>
      </c>
      <c r="C1942" t="inlineStr">
        <is>
          <t>Week1-Feb-2026</t>
        </is>
      </c>
      <c r="D1942" s="78" t="n">
        <v>46054</v>
      </c>
      <c r="E1942" t="inlineStr">
        <is>
          <t>Q4FY26</t>
        </is>
      </c>
      <c r="F1942" t="inlineStr">
        <is>
          <t>26-Jun-2029</t>
        </is>
      </c>
      <c r="G1942" t="inlineStr">
        <is>
          <t>Tuesday</t>
        </is>
      </c>
      <c r="H1942" t="inlineStr">
        <is>
          <t>Monthly - Tuesday</t>
        </is>
      </c>
      <c r="I1942" t="inlineStr">
        <is>
          <t>Monthly - Tuesday</t>
        </is>
      </c>
      <c r="J1942" t="inlineStr">
        <is>
          <t>Month+40 Expiry</t>
        </is>
      </c>
      <c r="K1942" s="25" t="n">
        <v>0</v>
      </c>
      <c r="L1942" s="26" t="n">
        <v>0</v>
      </c>
      <c r="M1942" s="26" t="n">
        <v>0</v>
      </c>
    </row>
    <row r="1943" ht="16" customHeight="1">
      <c r="A1943" t="inlineStr">
        <is>
          <t>04-Feb-2026</t>
        </is>
      </c>
      <c r="B1943" t="inlineStr">
        <is>
          <t>Wednesday</t>
        </is>
      </c>
      <c r="C1943" t="inlineStr">
        <is>
          <t>Week1-Feb-2026</t>
        </is>
      </c>
      <c r="D1943" s="78" t="n">
        <v>46054</v>
      </c>
      <c r="E1943" t="inlineStr">
        <is>
          <t>Q4FY26</t>
        </is>
      </c>
      <c r="F1943" t="inlineStr">
        <is>
          <t>24-Dec-2029</t>
        </is>
      </c>
      <c r="G1943" t="inlineStr">
        <is>
          <t>Monday</t>
        </is>
      </c>
      <c r="H1943" t="inlineStr">
        <is>
          <t>Weekly - Monday</t>
        </is>
      </c>
      <c r="I1943" t="inlineStr">
        <is>
          <t>Weekly - Monday</t>
        </is>
      </c>
      <c r="J1943" t="inlineStr">
        <is>
          <t>Month+46 Expiry</t>
        </is>
      </c>
      <c r="K1943" s="25" t="n">
        <v>0</v>
      </c>
      <c r="L1943" s="26" t="n">
        <v>0</v>
      </c>
      <c r="M1943" s="26" t="n">
        <v>0</v>
      </c>
    </row>
    <row r="1944" ht="16" customHeight="1">
      <c r="A1944" t="inlineStr">
        <is>
          <t>04-Feb-2026</t>
        </is>
      </c>
      <c r="B1944" t="inlineStr">
        <is>
          <t>Wednesday</t>
        </is>
      </c>
      <c r="C1944" t="inlineStr">
        <is>
          <t>Week1-Feb-2026</t>
        </is>
      </c>
      <c r="D1944" s="78" t="n">
        <v>46054</v>
      </c>
      <c r="E1944" t="inlineStr">
        <is>
          <t>Q4FY26</t>
        </is>
      </c>
      <c r="F1944" t="inlineStr">
        <is>
          <t>25-Jun-2030</t>
        </is>
      </c>
      <c r="G1944" t="inlineStr">
        <is>
          <t>Tuesday</t>
        </is>
      </c>
      <c r="H1944" t="inlineStr">
        <is>
          <t>Monthly - Tuesday</t>
        </is>
      </c>
      <c r="I1944" t="inlineStr">
        <is>
          <t>Monthly - Tuesday</t>
        </is>
      </c>
      <c r="J1944" t="inlineStr">
        <is>
          <t>Month+52 Expiry</t>
        </is>
      </c>
      <c r="K1944" s="25" t="n">
        <v>0</v>
      </c>
      <c r="L1944" s="26" t="n">
        <v>0</v>
      </c>
      <c r="M1944" s="26" t="n">
        <v>0</v>
      </c>
    </row>
    <row r="1945" ht="16" customHeight="1">
      <c r="A1945" t="inlineStr">
        <is>
          <t>04-Feb-2026</t>
        </is>
      </c>
      <c r="B1945" t="inlineStr">
        <is>
          <t>Wednesday</t>
        </is>
      </c>
      <c r="C1945" t="inlineStr">
        <is>
          <t>Week1-Feb-2026</t>
        </is>
      </c>
      <c r="D1945" s="78" t="n">
        <v>46054</v>
      </c>
      <c r="E1945" t="inlineStr">
        <is>
          <t>Q4FY26</t>
        </is>
      </c>
      <c r="F1945" t="inlineStr">
        <is>
          <t>31-Dec-2030</t>
        </is>
      </c>
      <c r="G1945" t="inlineStr">
        <is>
          <t>Tuesday</t>
        </is>
      </c>
      <c r="H1945" t="inlineStr">
        <is>
          <t>Monthly - Tuesday</t>
        </is>
      </c>
      <c r="I1945" t="inlineStr">
        <is>
          <t>Monthly - Tuesday</t>
        </is>
      </c>
      <c r="J1945" t="inlineStr">
        <is>
          <t>Month+58 Expiry</t>
        </is>
      </c>
      <c r="K1945" s="25" t="n">
        <v>0</v>
      </c>
      <c r="L1945" s="26" t="n">
        <v>0</v>
      </c>
      <c r="M1945" s="26" t="n">
        <v>0</v>
      </c>
    </row>
    <row r="1946" ht="16" customHeight="1">
      <c r="A1946" t="inlineStr">
        <is>
          <t>05-Feb-2026</t>
        </is>
      </c>
      <c r="B1946" t="inlineStr">
        <is>
          <t>Thursday</t>
        </is>
      </c>
      <c r="C1946" t="inlineStr">
        <is>
          <t>Week1-Feb-2026</t>
        </is>
      </c>
      <c r="D1946" s="78" t="n">
        <v>46054</v>
      </c>
      <c r="E1946" t="inlineStr">
        <is>
          <t>Q4FY26</t>
        </is>
      </c>
      <c r="F1946" t="inlineStr">
        <is>
          <t>10-Feb-2026</t>
        </is>
      </c>
      <c r="G1946" t="inlineStr">
        <is>
          <t>Tuesday</t>
        </is>
      </c>
      <c r="H1946" t="inlineStr">
        <is>
          <t>Weekly - Tuesday</t>
        </is>
      </c>
      <c r="I1946" t="inlineStr">
        <is>
          <t>Weekly - Tuesday</t>
        </is>
      </c>
      <c r="J1946" t="inlineStr">
        <is>
          <t>Same Month Expiry</t>
        </is>
      </c>
      <c r="K1946" s="25" t="n">
        <v>48324220</v>
      </c>
      <c r="L1946" s="26" t="n">
        <v>80996.5071</v>
      </c>
      <c r="M1946" s="26" t="n">
        <v>263.5824</v>
      </c>
    </row>
    <row r="1947" ht="16" customHeight="1">
      <c r="A1947" t="inlineStr">
        <is>
          <t>05-Feb-2026</t>
        </is>
      </c>
      <c r="B1947" t="inlineStr">
        <is>
          <t>Thursday</t>
        </is>
      </c>
      <c r="C1947" t="inlineStr">
        <is>
          <t>Week1-Feb-2026</t>
        </is>
      </c>
      <c r="D1947" s="78" t="n">
        <v>46054</v>
      </c>
      <c r="E1947" t="inlineStr">
        <is>
          <t>Q4FY26</t>
        </is>
      </c>
      <c r="F1947" t="inlineStr">
        <is>
          <t>17-Feb-2026</t>
        </is>
      </c>
      <c r="G1947" t="inlineStr">
        <is>
          <t>Tuesday</t>
        </is>
      </c>
      <c r="H1947" t="inlineStr">
        <is>
          <t>Weekly - Tuesday</t>
        </is>
      </c>
      <c r="I1947" t="inlineStr">
        <is>
          <t>Weekly - Tuesday</t>
        </is>
      </c>
      <c r="J1947" t="inlineStr">
        <is>
          <t>Same Month Expiry</t>
        </is>
      </c>
      <c r="K1947" s="25" t="n">
        <v>1149868</v>
      </c>
      <c r="L1947" s="26" t="n">
        <v>1926.2001</v>
      </c>
      <c r="M1947" s="26" t="n">
        <v>8.777799999999999</v>
      </c>
    </row>
    <row r="1948" ht="16" customHeight="1">
      <c r="A1948" t="inlineStr">
        <is>
          <t>05-Feb-2026</t>
        </is>
      </c>
      <c r="B1948" t="inlineStr">
        <is>
          <t>Thursday</t>
        </is>
      </c>
      <c r="C1948" t="inlineStr">
        <is>
          <t>Week1-Feb-2026</t>
        </is>
      </c>
      <c r="D1948" s="78" t="n">
        <v>46054</v>
      </c>
      <c r="E1948" t="inlineStr">
        <is>
          <t>Q4FY26</t>
        </is>
      </c>
      <c r="F1948" t="inlineStr">
        <is>
          <t>24-Feb-2026</t>
        </is>
      </c>
      <c r="G1948" t="inlineStr">
        <is>
          <t>Tuesday</t>
        </is>
      </c>
      <c r="H1948" t="inlineStr">
        <is>
          <t>Monthly - Tuesday</t>
        </is>
      </c>
      <c r="I1948" t="inlineStr">
        <is>
          <t>Monthly - Tuesday</t>
        </is>
      </c>
      <c r="J1948" t="inlineStr">
        <is>
          <t>Same Month Expiry</t>
        </is>
      </c>
      <c r="K1948" s="25" t="n">
        <v>1444265</v>
      </c>
      <c r="L1948" s="26" t="n">
        <v>2429.359</v>
      </c>
      <c r="M1948" s="26" t="n">
        <v>15.9862</v>
      </c>
    </row>
    <row r="1949" ht="16" customHeight="1">
      <c r="A1949" t="inlineStr">
        <is>
          <t>05-Feb-2026</t>
        </is>
      </c>
      <c r="B1949" t="inlineStr">
        <is>
          <t>Thursday</t>
        </is>
      </c>
      <c r="C1949" t="inlineStr">
        <is>
          <t>Week1-Feb-2026</t>
        </is>
      </c>
      <c r="D1949" s="78" t="n">
        <v>46054</v>
      </c>
      <c r="E1949" t="inlineStr">
        <is>
          <t>Q4FY26</t>
        </is>
      </c>
      <c r="F1949" t="inlineStr">
        <is>
          <t>02-Mar-2026</t>
        </is>
      </c>
      <c r="G1949" t="inlineStr">
        <is>
          <t>Monday</t>
        </is>
      </c>
      <c r="H1949" t="inlineStr">
        <is>
          <t>Weekly - Monday</t>
        </is>
      </c>
      <c r="I1949" t="inlineStr">
        <is>
          <t>Weekly - Monday</t>
        </is>
      </c>
      <c r="J1949" t="inlineStr">
        <is>
          <t>Month+1 Expiry</t>
        </is>
      </c>
      <c r="K1949" s="25" t="n">
        <v>22818</v>
      </c>
      <c r="L1949" s="26" t="n">
        <v>38.2186</v>
      </c>
      <c r="M1949" s="26" t="n">
        <v>0.2511</v>
      </c>
    </row>
    <row r="1950" ht="16" customHeight="1">
      <c r="A1950" t="inlineStr">
        <is>
          <t>05-Feb-2026</t>
        </is>
      </c>
      <c r="B1950" t="inlineStr">
        <is>
          <t>Thursday</t>
        </is>
      </c>
      <c r="C1950" t="inlineStr">
        <is>
          <t>Week1-Feb-2026</t>
        </is>
      </c>
      <c r="D1950" s="78" t="n">
        <v>46054</v>
      </c>
      <c r="E1950" t="inlineStr">
        <is>
          <t>Q4FY26</t>
        </is>
      </c>
      <c r="F1950" t="inlineStr">
        <is>
          <t>10-Mar-2026</t>
        </is>
      </c>
      <c r="G1950" t="inlineStr">
        <is>
          <t>Tuesday</t>
        </is>
      </c>
      <c r="H1950" t="inlineStr">
        <is>
          <t>Weekly - Tuesday</t>
        </is>
      </c>
      <c r="I1950" t="inlineStr">
        <is>
          <t>Weekly - Tuesday</t>
        </is>
      </c>
      <c r="J1950" t="inlineStr">
        <is>
          <t>Month+1 Expiry</t>
        </is>
      </c>
      <c r="K1950" s="25" t="n">
        <v>698</v>
      </c>
      <c r="L1950" s="26" t="n">
        <v>1.1696</v>
      </c>
      <c r="M1950" s="26" t="n">
        <v>0.0097</v>
      </c>
    </row>
    <row r="1951" ht="16" customHeight="1">
      <c r="A1951" t="inlineStr">
        <is>
          <t>05-Feb-2026</t>
        </is>
      </c>
      <c r="B1951" t="inlineStr">
        <is>
          <t>Thursday</t>
        </is>
      </c>
      <c r="C1951" t="inlineStr">
        <is>
          <t>Week1-Feb-2026</t>
        </is>
      </c>
      <c r="D1951" s="78" t="n">
        <v>46054</v>
      </c>
      <c r="E1951" t="inlineStr">
        <is>
          <t>Q4FY26</t>
        </is>
      </c>
      <c r="F1951" t="inlineStr">
        <is>
          <t>30-Mar-2026</t>
        </is>
      </c>
      <c r="G1951" t="inlineStr">
        <is>
          <t>Monday</t>
        </is>
      </c>
      <c r="H1951" t="inlineStr">
        <is>
          <t>Monthly - Monday</t>
        </is>
      </c>
      <c r="I1951" t="inlineStr">
        <is>
          <t>Monthly - Monday</t>
        </is>
      </c>
      <c r="J1951" t="inlineStr">
        <is>
          <t>Month+1 Expiry</t>
        </is>
      </c>
      <c r="K1951" s="25" t="n">
        <v>255718</v>
      </c>
      <c r="L1951" s="26" t="n">
        <v>430.0058</v>
      </c>
      <c r="M1951" s="26" t="n">
        <v>3.6622</v>
      </c>
    </row>
    <row r="1952" ht="16" customHeight="1">
      <c r="A1952" t="inlineStr">
        <is>
          <t>05-Feb-2026</t>
        </is>
      </c>
      <c r="B1952" t="inlineStr">
        <is>
          <t>Thursday</t>
        </is>
      </c>
      <c r="C1952" t="inlineStr">
        <is>
          <t>Week1-Feb-2026</t>
        </is>
      </c>
      <c r="D1952" s="78" t="n">
        <v>46054</v>
      </c>
      <c r="E1952" t="inlineStr">
        <is>
          <t>Q4FY26</t>
        </is>
      </c>
      <c r="F1952" t="inlineStr">
        <is>
          <t>28-Apr-2026</t>
        </is>
      </c>
      <c r="G1952" t="inlineStr">
        <is>
          <t>Tuesday</t>
        </is>
      </c>
      <c r="H1952" t="inlineStr">
        <is>
          <t>Monthly - Tuesday</t>
        </is>
      </c>
      <c r="I1952" t="inlineStr">
        <is>
          <t>Monthly - Tuesday</t>
        </is>
      </c>
      <c r="J1952" t="inlineStr">
        <is>
          <t>Month+2 Expiry</t>
        </is>
      </c>
      <c r="K1952" s="25" t="n">
        <v>32094</v>
      </c>
      <c r="L1952" s="26" t="n">
        <v>54.2103</v>
      </c>
      <c r="M1952" s="26" t="n">
        <v>0.6969</v>
      </c>
    </row>
    <row r="1953" ht="16" customHeight="1">
      <c r="A1953" t="inlineStr">
        <is>
          <t>05-Feb-2026</t>
        </is>
      </c>
      <c r="B1953" t="inlineStr">
        <is>
          <t>Thursday</t>
        </is>
      </c>
      <c r="C1953" t="inlineStr">
        <is>
          <t>Week1-Feb-2026</t>
        </is>
      </c>
      <c r="D1953" s="78" t="n">
        <v>46054</v>
      </c>
      <c r="E1953" t="inlineStr">
        <is>
          <t>Q4FY26</t>
        </is>
      </c>
      <c r="F1953" t="inlineStr">
        <is>
          <t>30-Jun-2026</t>
        </is>
      </c>
      <c r="G1953" t="inlineStr">
        <is>
          <t>Tuesday</t>
        </is>
      </c>
      <c r="H1953" t="inlineStr">
        <is>
          <t>Monthly - Tuesday</t>
        </is>
      </c>
      <c r="I1953" t="inlineStr">
        <is>
          <t>Monthly - Tuesday</t>
        </is>
      </c>
      <c r="J1953" t="inlineStr">
        <is>
          <t>Month+4 Expiry</t>
        </is>
      </c>
      <c r="K1953" s="25" t="n">
        <v>37106</v>
      </c>
      <c r="L1953" s="26" t="n">
        <v>64.78870000000001</v>
      </c>
      <c r="M1953" s="26" t="n">
        <v>1.0622</v>
      </c>
    </row>
    <row r="1954" ht="16" customHeight="1">
      <c r="A1954" t="inlineStr">
        <is>
          <t>05-Feb-2026</t>
        </is>
      </c>
      <c r="B1954" t="inlineStr">
        <is>
          <t>Thursday</t>
        </is>
      </c>
      <c r="C1954" t="inlineStr">
        <is>
          <t>Week1-Feb-2026</t>
        </is>
      </c>
      <c r="D1954" s="78" t="n">
        <v>46054</v>
      </c>
      <c r="E1954" t="inlineStr">
        <is>
          <t>Q4FY26</t>
        </is>
      </c>
      <c r="F1954" t="inlineStr">
        <is>
          <t>29-Sep-2026</t>
        </is>
      </c>
      <c r="G1954" t="inlineStr">
        <is>
          <t>Tuesday</t>
        </is>
      </c>
      <c r="H1954" t="inlineStr">
        <is>
          <t>Monthly - Tuesday</t>
        </is>
      </c>
      <c r="I1954" t="inlineStr">
        <is>
          <t>Monthly - Tuesday</t>
        </is>
      </c>
      <c r="J1954" t="inlineStr">
        <is>
          <t>Month+7 Expiry</t>
        </is>
      </c>
      <c r="K1954" s="25" t="n">
        <v>4349</v>
      </c>
      <c r="L1954" s="26" t="n">
        <v>8.1517</v>
      </c>
      <c r="M1954" s="26" t="n">
        <v>0.089</v>
      </c>
    </row>
    <row r="1955" ht="16" customHeight="1">
      <c r="A1955" t="inlineStr">
        <is>
          <t>05-Feb-2026</t>
        </is>
      </c>
      <c r="B1955" t="inlineStr">
        <is>
          <t>Thursday</t>
        </is>
      </c>
      <c r="C1955" t="inlineStr">
        <is>
          <t>Week1-Feb-2026</t>
        </is>
      </c>
      <c r="D1955" s="78" t="n">
        <v>46054</v>
      </c>
      <c r="E1955" t="inlineStr">
        <is>
          <t>Q4FY26</t>
        </is>
      </c>
      <c r="F1955" t="inlineStr">
        <is>
          <t>29-Dec-2026</t>
        </is>
      </c>
      <c r="G1955" t="inlineStr">
        <is>
          <t>Tuesday</t>
        </is>
      </c>
      <c r="H1955" t="inlineStr">
        <is>
          <t>Monthly - Tuesday</t>
        </is>
      </c>
      <c r="I1955" t="inlineStr">
        <is>
          <t>Monthly - Tuesday</t>
        </is>
      </c>
      <c r="J1955" t="inlineStr">
        <is>
          <t>Month+10 Expiry</t>
        </is>
      </c>
      <c r="K1955" s="25" t="n">
        <v>7819</v>
      </c>
      <c r="L1955" s="26" t="n">
        <v>14.0484</v>
      </c>
      <c r="M1955" s="26" t="n">
        <v>0.355</v>
      </c>
    </row>
    <row r="1956" ht="16" customHeight="1">
      <c r="A1956" t="inlineStr">
        <is>
          <t>05-Feb-2026</t>
        </is>
      </c>
      <c r="B1956" t="inlineStr">
        <is>
          <t>Thursday</t>
        </is>
      </c>
      <c r="C1956" t="inlineStr">
        <is>
          <t>Week1-Feb-2026</t>
        </is>
      </c>
      <c r="D1956" s="78" t="n">
        <v>46054</v>
      </c>
      <c r="E1956" t="inlineStr">
        <is>
          <t>Q4FY26</t>
        </is>
      </c>
      <c r="F1956" t="inlineStr">
        <is>
          <t>29-Jun-2027</t>
        </is>
      </c>
      <c r="G1956" t="inlineStr">
        <is>
          <t>Tuesday</t>
        </is>
      </c>
      <c r="H1956" t="inlineStr">
        <is>
          <t>Monthly - Tuesday</t>
        </is>
      </c>
      <c r="I1956" t="inlineStr">
        <is>
          <t>Monthly - Tuesday</t>
        </is>
      </c>
      <c r="J1956" t="inlineStr">
        <is>
          <t>Month+16 Expiry</t>
        </is>
      </c>
      <c r="K1956" s="25" t="n">
        <v>0</v>
      </c>
      <c r="L1956" s="26" t="n">
        <v>0</v>
      </c>
      <c r="M1956" s="26" t="n">
        <v>0</v>
      </c>
    </row>
    <row r="1957" ht="16" customHeight="1">
      <c r="A1957" t="inlineStr">
        <is>
          <t>05-Feb-2026</t>
        </is>
      </c>
      <c r="B1957" t="inlineStr">
        <is>
          <t>Thursday</t>
        </is>
      </c>
      <c r="C1957" t="inlineStr">
        <is>
          <t>Week1-Feb-2026</t>
        </is>
      </c>
      <c r="D1957" s="78" t="n">
        <v>46054</v>
      </c>
      <c r="E1957" t="inlineStr">
        <is>
          <t>Q4FY26</t>
        </is>
      </c>
      <c r="F1957" t="inlineStr">
        <is>
          <t>28-Dec-2027</t>
        </is>
      </c>
      <c r="G1957" t="inlineStr">
        <is>
          <t>Tuesday</t>
        </is>
      </c>
      <c r="H1957" t="inlineStr">
        <is>
          <t>Monthly - Tuesday</t>
        </is>
      </c>
      <c r="I1957" t="inlineStr">
        <is>
          <t>Monthly - Tuesday</t>
        </is>
      </c>
      <c r="J1957" t="inlineStr">
        <is>
          <t>Month+22 Expiry</t>
        </is>
      </c>
      <c r="K1957" s="25" t="n">
        <v>24</v>
      </c>
      <c r="L1957" s="26" t="n">
        <v>0.0415</v>
      </c>
      <c r="M1957" s="26" t="n">
        <v>0.0019</v>
      </c>
    </row>
    <row r="1958" ht="16" customHeight="1">
      <c r="A1958" t="inlineStr">
        <is>
          <t>05-Feb-2026</t>
        </is>
      </c>
      <c r="B1958" t="inlineStr">
        <is>
          <t>Thursday</t>
        </is>
      </c>
      <c r="C1958" t="inlineStr">
        <is>
          <t>Week1-Feb-2026</t>
        </is>
      </c>
      <c r="D1958" s="78" t="n">
        <v>46054</v>
      </c>
      <c r="E1958" t="inlineStr">
        <is>
          <t>Q4FY26</t>
        </is>
      </c>
      <c r="F1958" t="inlineStr">
        <is>
          <t>27-Jun-2028</t>
        </is>
      </c>
      <c r="G1958" t="inlineStr">
        <is>
          <t>Tuesday</t>
        </is>
      </c>
      <c r="H1958" t="inlineStr">
        <is>
          <t>Monthly - Tuesday</t>
        </is>
      </c>
      <c r="I1958" t="inlineStr">
        <is>
          <t>Monthly - Tuesday</t>
        </is>
      </c>
      <c r="J1958" t="inlineStr">
        <is>
          <t>Month+28 Expiry</t>
        </is>
      </c>
      <c r="K1958" s="25" t="n">
        <v>0</v>
      </c>
      <c r="L1958" s="26" t="n">
        <v>0</v>
      </c>
      <c r="M1958" s="26" t="n">
        <v>0</v>
      </c>
    </row>
    <row r="1959" ht="16" customHeight="1">
      <c r="A1959" t="inlineStr">
        <is>
          <t>05-Feb-2026</t>
        </is>
      </c>
      <c r="B1959" t="inlineStr">
        <is>
          <t>Thursday</t>
        </is>
      </c>
      <c r="C1959" t="inlineStr">
        <is>
          <t>Week1-Feb-2026</t>
        </is>
      </c>
      <c r="D1959" s="78" t="n">
        <v>46054</v>
      </c>
      <c r="E1959" t="inlineStr">
        <is>
          <t>Q4FY26</t>
        </is>
      </c>
      <c r="F1959" t="inlineStr">
        <is>
          <t>26-Dec-2028</t>
        </is>
      </c>
      <c r="G1959" t="inlineStr">
        <is>
          <t>Tuesday</t>
        </is>
      </c>
      <c r="H1959" t="inlineStr">
        <is>
          <t>Monthly - Tuesday</t>
        </is>
      </c>
      <c r="I1959" t="inlineStr">
        <is>
          <t>Monthly - Tuesday</t>
        </is>
      </c>
      <c r="J1959" t="inlineStr">
        <is>
          <t>Month+34 Expiry</t>
        </is>
      </c>
      <c r="K1959" s="25" t="n">
        <v>0</v>
      </c>
      <c r="L1959" s="26" t="n">
        <v>0</v>
      </c>
      <c r="M1959" s="26" t="n">
        <v>0</v>
      </c>
    </row>
    <row r="1960" ht="16" customHeight="1">
      <c r="A1960" t="inlineStr">
        <is>
          <t>05-Feb-2026</t>
        </is>
      </c>
      <c r="B1960" t="inlineStr">
        <is>
          <t>Thursday</t>
        </is>
      </c>
      <c r="C1960" t="inlineStr">
        <is>
          <t>Week1-Feb-2026</t>
        </is>
      </c>
      <c r="D1960" s="78" t="n">
        <v>46054</v>
      </c>
      <c r="E1960" t="inlineStr">
        <is>
          <t>Q4FY26</t>
        </is>
      </c>
      <c r="F1960" t="inlineStr">
        <is>
          <t>26-Jun-2029</t>
        </is>
      </c>
      <c r="G1960" t="inlineStr">
        <is>
          <t>Tuesday</t>
        </is>
      </c>
      <c r="H1960" t="inlineStr">
        <is>
          <t>Monthly - Tuesday</t>
        </is>
      </c>
      <c r="I1960" t="inlineStr">
        <is>
          <t>Monthly - Tuesday</t>
        </is>
      </c>
      <c r="J1960" t="inlineStr">
        <is>
          <t>Month+40 Expiry</t>
        </is>
      </c>
      <c r="K1960" s="25" t="n">
        <v>0</v>
      </c>
      <c r="L1960" s="26" t="n">
        <v>0</v>
      </c>
      <c r="M1960" s="26" t="n">
        <v>0</v>
      </c>
    </row>
    <row r="1961" ht="16" customHeight="1">
      <c r="A1961" t="inlineStr">
        <is>
          <t>05-Feb-2026</t>
        </is>
      </c>
      <c r="B1961" t="inlineStr">
        <is>
          <t>Thursday</t>
        </is>
      </c>
      <c r="C1961" t="inlineStr">
        <is>
          <t>Week1-Feb-2026</t>
        </is>
      </c>
      <c r="D1961" s="78" t="n">
        <v>46054</v>
      </c>
      <c r="E1961" t="inlineStr">
        <is>
          <t>Q4FY26</t>
        </is>
      </c>
      <c r="F1961" t="inlineStr">
        <is>
          <t>24-Dec-2029</t>
        </is>
      </c>
      <c r="G1961" t="inlineStr">
        <is>
          <t>Monday</t>
        </is>
      </c>
      <c r="H1961" t="inlineStr">
        <is>
          <t>Weekly - Monday</t>
        </is>
      </c>
      <c r="I1961" t="inlineStr">
        <is>
          <t>Weekly - Monday</t>
        </is>
      </c>
      <c r="J1961" t="inlineStr">
        <is>
          <t>Month+46 Expiry</t>
        </is>
      </c>
      <c r="K1961" s="25" t="n">
        <v>0</v>
      </c>
      <c r="L1961" s="26" t="n">
        <v>0</v>
      </c>
      <c r="M1961" s="26" t="n">
        <v>0</v>
      </c>
    </row>
    <row r="1962" ht="16" customHeight="1">
      <c r="A1962" t="inlineStr">
        <is>
          <t>05-Feb-2026</t>
        </is>
      </c>
      <c r="B1962" t="inlineStr">
        <is>
          <t>Thursday</t>
        </is>
      </c>
      <c r="C1962" t="inlineStr">
        <is>
          <t>Week1-Feb-2026</t>
        </is>
      </c>
      <c r="D1962" s="78" t="n">
        <v>46054</v>
      </c>
      <c r="E1962" t="inlineStr">
        <is>
          <t>Q4FY26</t>
        </is>
      </c>
      <c r="F1962" t="inlineStr">
        <is>
          <t>25-Jun-2030</t>
        </is>
      </c>
      <c r="G1962" t="inlineStr">
        <is>
          <t>Tuesday</t>
        </is>
      </c>
      <c r="H1962" t="inlineStr">
        <is>
          <t>Monthly - Tuesday</t>
        </is>
      </c>
      <c r="I1962" t="inlineStr">
        <is>
          <t>Monthly - Tuesday</t>
        </is>
      </c>
      <c r="J1962" t="inlineStr">
        <is>
          <t>Month+52 Expiry</t>
        </is>
      </c>
      <c r="K1962" s="25" t="n">
        <v>0</v>
      </c>
      <c r="L1962" s="26" t="n">
        <v>0</v>
      </c>
      <c r="M1962" s="26" t="n">
        <v>0</v>
      </c>
    </row>
    <row r="1963" ht="16" customHeight="1">
      <c r="A1963" t="inlineStr">
        <is>
          <t>05-Feb-2026</t>
        </is>
      </c>
      <c r="B1963" t="inlineStr">
        <is>
          <t>Thursday</t>
        </is>
      </c>
      <c r="C1963" t="inlineStr">
        <is>
          <t>Week1-Feb-2026</t>
        </is>
      </c>
      <c r="D1963" s="78" t="n">
        <v>46054</v>
      </c>
      <c r="E1963" t="inlineStr">
        <is>
          <t>Q4FY26</t>
        </is>
      </c>
      <c r="F1963" t="inlineStr">
        <is>
          <t>31-Dec-2030</t>
        </is>
      </c>
      <c r="G1963" t="inlineStr">
        <is>
          <t>Tuesday</t>
        </is>
      </c>
      <c r="H1963" t="inlineStr">
        <is>
          <t>Monthly - Tuesday</t>
        </is>
      </c>
      <c r="I1963" t="inlineStr">
        <is>
          <t>Monthly - Tuesday</t>
        </is>
      </c>
      <c r="J1963" t="inlineStr">
        <is>
          <t>Month+58 Expiry</t>
        </is>
      </c>
      <c r="K1963" s="25" t="n">
        <v>0</v>
      </c>
      <c r="L1963" s="26" t="n">
        <v>0</v>
      </c>
      <c r="M1963" s="26" t="n">
        <v>0</v>
      </c>
    </row>
    <row r="1964" ht="16" customHeight="1">
      <c r="A1964" t="inlineStr">
        <is>
          <t>06-Feb-2026</t>
        </is>
      </c>
      <c r="B1964" t="inlineStr">
        <is>
          <t>Friday</t>
        </is>
      </c>
      <c r="C1964" t="inlineStr">
        <is>
          <t>Week1-Feb-2026</t>
        </is>
      </c>
      <c r="D1964" s="78" t="n">
        <v>46054</v>
      </c>
      <c r="E1964" t="inlineStr">
        <is>
          <t>Q4FY26</t>
        </is>
      </c>
      <c r="F1964" t="inlineStr">
        <is>
          <t>10-Feb-2026</t>
        </is>
      </c>
      <c r="G1964" t="inlineStr">
        <is>
          <t>Tuesday</t>
        </is>
      </c>
      <c r="H1964" t="inlineStr">
        <is>
          <t>Weekly - Tuesday</t>
        </is>
      </c>
      <c r="I1964" t="inlineStr">
        <is>
          <t>Weekly - Tuesday</t>
        </is>
      </c>
      <c r="J1964" t="inlineStr">
        <is>
          <t>Same Month Expiry</t>
        </is>
      </c>
      <c r="K1964" s="25" t="n">
        <v>117866850</v>
      </c>
      <c r="L1964" s="26" t="n">
        <v>196748.2971</v>
      </c>
      <c r="M1964" s="26" t="n">
        <v>525.3377</v>
      </c>
    </row>
    <row r="1965" ht="16" customHeight="1">
      <c r="A1965" t="inlineStr">
        <is>
          <t>06-Feb-2026</t>
        </is>
      </c>
      <c r="B1965" t="inlineStr">
        <is>
          <t>Friday</t>
        </is>
      </c>
      <c r="C1965" t="inlineStr">
        <is>
          <t>Week1-Feb-2026</t>
        </is>
      </c>
      <c r="D1965" s="78" t="n">
        <v>46054</v>
      </c>
      <c r="E1965" t="inlineStr">
        <is>
          <t>Q4FY26</t>
        </is>
      </c>
      <c r="F1965" t="inlineStr">
        <is>
          <t>17-Feb-2026</t>
        </is>
      </c>
      <c r="G1965" t="inlineStr">
        <is>
          <t>Tuesday</t>
        </is>
      </c>
      <c r="H1965" t="inlineStr">
        <is>
          <t>Weekly - Tuesday</t>
        </is>
      </c>
      <c r="I1965" t="inlineStr">
        <is>
          <t>Weekly - Tuesday</t>
        </is>
      </c>
      <c r="J1965" t="inlineStr">
        <is>
          <t>Same Month Expiry</t>
        </is>
      </c>
      <c r="K1965" s="25" t="n">
        <v>2309564</v>
      </c>
      <c r="L1965" s="26" t="n">
        <v>3862.225</v>
      </c>
      <c r="M1965" s="26" t="n">
        <v>15.2664</v>
      </c>
    </row>
    <row r="1966" ht="16" customHeight="1">
      <c r="A1966" t="inlineStr">
        <is>
          <t>06-Feb-2026</t>
        </is>
      </c>
      <c r="B1966" t="inlineStr">
        <is>
          <t>Friday</t>
        </is>
      </c>
      <c r="C1966" t="inlineStr">
        <is>
          <t>Week1-Feb-2026</t>
        </is>
      </c>
      <c r="D1966" s="78" t="n">
        <v>46054</v>
      </c>
      <c r="E1966" t="inlineStr">
        <is>
          <t>Q4FY26</t>
        </is>
      </c>
      <c r="F1966" t="inlineStr">
        <is>
          <t>24-Feb-2026</t>
        </is>
      </c>
      <c r="G1966" t="inlineStr">
        <is>
          <t>Tuesday</t>
        </is>
      </c>
      <c r="H1966" t="inlineStr">
        <is>
          <t>Monthly - Tuesday</t>
        </is>
      </c>
      <c r="I1966" t="inlineStr">
        <is>
          <t>Monthly - Tuesday</t>
        </is>
      </c>
      <c r="J1966" t="inlineStr">
        <is>
          <t>Same Month Expiry</t>
        </is>
      </c>
      <c r="K1966" s="25" t="n">
        <v>1924260</v>
      </c>
      <c r="L1966" s="26" t="n">
        <v>3226.0414</v>
      </c>
      <c r="M1966" s="26" t="n">
        <v>19.538</v>
      </c>
    </row>
    <row r="1967" ht="16" customHeight="1">
      <c r="A1967" t="inlineStr">
        <is>
          <t>06-Feb-2026</t>
        </is>
      </c>
      <c r="B1967" t="inlineStr">
        <is>
          <t>Friday</t>
        </is>
      </c>
      <c r="C1967" t="inlineStr">
        <is>
          <t>Week1-Feb-2026</t>
        </is>
      </c>
      <c r="D1967" s="78" t="n">
        <v>46054</v>
      </c>
      <c r="E1967" t="inlineStr">
        <is>
          <t>Q4FY26</t>
        </is>
      </c>
      <c r="F1967" t="inlineStr">
        <is>
          <t>02-Mar-2026</t>
        </is>
      </c>
      <c r="G1967" t="inlineStr">
        <is>
          <t>Monday</t>
        </is>
      </c>
      <c r="H1967" t="inlineStr">
        <is>
          <t>Weekly - Monday</t>
        </is>
      </c>
      <c r="I1967" t="inlineStr">
        <is>
          <t>Weekly - Monday</t>
        </is>
      </c>
      <c r="J1967" t="inlineStr">
        <is>
          <t>Month+1 Expiry</t>
        </is>
      </c>
      <c r="K1967" s="25" t="n">
        <v>36252</v>
      </c>
      <c r="L1967" s="26" t="n">
        <v>60.72</v>
      </c>
      <c r="M1967" s="26" t="n">
        <v>0.4107</v>
      </c>
    </row>
    <row r="1968" ht="16" customHeight="1">
      <c r="A1968" t="inlineStr">
        <is>
          <t>06-Feb-2026</t>
        </is>
      </c>
      <c r="B1968" t="inlineStr">
        <is>
          <t>Friday</t>
        </is>
      </c>
      <c r="C1968" t="inlineStr">
        <is>
          <t>Week1-Feb-2026</t>
        </is>
      </c>
      <c r="D1968" s="78" t="n">
        <v>46054</v>
      </c>
      <c r="E1968" t="inlineStr">
        <is>
          <t>Q4FY26</t>
        </is>
      </c>
      <c r="F1968" t="inlineStr">
        <is>
          <t>10-Mar-2026</t>
        </is>
      </c>
      <c r="G1968" t="inlineStr">
        <is>
          <t>Tuesday</t>
        </is>
      </c>
      <c r="H1968" t="inlineStr">
        <is>
          <t>Weekly - Tuesday</t>
        </is>
      </c>
      <c r="I1968" t="inlineStr">
        <is>
          <t>Weekly - Tuesday</t>
        </is>
      </c>
      <c r="J1968" t="inlineStr">
        <is>
          <t>Month+1 Expiry</t>
        </is>
      </c>
      <c r="K1968" s="25" t="n">
        <v>2486</v>
      </c>
      <c r="L1968" s="26" t="n">
        <v>4.1873</v>
      </c>
      <c r="M1968" s="26" t="n">
        <v>0.0323</v>
      </c>
    </row>
    <row r="1969" ht="16" customHeight="1">
      <c r="A1969" t="inlineStr">
        <is>
          <t>06-Feb-2026</t>
        </is>
      </c>
      <c r="B1969" t="inlineStr">
        <is>
          <t>Friday</t>
        </is>
      </c>
      <c r="C1969" t="inlineStr">
        <is>
          <t>Week1-Feb-2026</t>
        </is>
      </c>
      <c r="D1969" s="78" t="n">
        <v>46054</v>
      </c>
      <c r="E1969" t="inlineStr">
        <is>
          <t>Q4FY26</t>
        </is>
      </c>
      <c r="F1969" t="inlineStr">
        <is>
          <t>30-Mar-2026</t>
        </is>
      </c>
      <c r="G1969" t="inlineStr">
        <is>
          <t>Monday</t>
        </is>
      </c>
      <c r="H1969" t="inlineStr">
        <is>
          <t>Monthly - Monday</t>
        </is>
      </c>
      <c r="I1969" t="inlineStr">
        <is>
          <t>Monthly - Monday</t>
        </is>
      </c>
      <c r="J1969" t="inlineStr">
        <is>
          <t>Month+1 Expiry</t>
        </is>
      </c>
      <c r="K1969" s="25" t="n">
        <v>285989</v>
      </c>
      <c r="L1969" s="26" t="n">
        <v>481.6716</v>
      </c>
      <c r="M1969" s="26" t="n">
        <v>4.1155</v>
      </c>
    </row>
    <row r="1970" ht="16" customHeight="1">
      <c r="A1970" t="inlineStr">
        <is>
          <t>06-Feb-2026</t>
        </is>
      </c>
      <c r="B1970" t="inlineStr">
        <is>
          <t>Friday</t>
        </is>
      </c>
      <c r="C1970" t="inlineStr">
        <is>
          <t>Week1-Feb-2026</t>
        </is>
      </c>
      <c r="D1970" s="78" t="n">
        <v>46054</v>
      </c>
      <c r="E1970" t="inlineStr">
        <is>
          <t>Q4FY26</t>
        </is>
      </c>
      <c r="F1970" t="inlineStr">
        <is>
          <t>28-Apr-2026</t>
        </is>
      </c>
      <c r="G1970" t="inlineStr">
        <is>
          <t>Tuesday</t>
        </is>
      </c>
      <c r="H1970" t="inlineStr">
        <is>
          <t>Monthly - Tuesday</t>
        </is>
      </c>
      <c r="I1970" t="inlineStr">
        <is>
          <t>Monthly - Tuesday</t>
        </is>
      </c>
      <c r="J1970" t="inlineStr">
        <is>
          <t>Month+2 Expiry</t>
        </is>
      </c>
      <c r="K1970" s="25" t="n">
        <v>29492</v>
      </c>
      <c r="L1970" s="26" t="n">
        <v>49.8232</v>
      </c>
      <c r="M1970" s="26" t="n">
        <v>0.5833</v>
      </c>
    </row>
    <row r="1971" ht="16" customHeight="1">
      <c r="A1971" t="inlineStr">
        <is>
          <t>06-Feb-2026</t>
        </is>
      </c>
      <c r="B1971" t="inlineStr">
        <is>
          <t>Friday</t>
        </is>
      </c>
      <c r="C1971" t="inlineStr">
        <is>
          <t>Week1-Feb-2026</t>
        </is>
      </c>
      <c r="D1971" s="78" t="n">
        <v>46054</v>
      </c>
      <c r="E1971" t="inlineStr">
        <is>
          <t>Q4FY26</t>
        </is>
      </c>
      <c r="F1971" t="inlineStr">
        <is>
          <t>30-Jun-2026</t>
        </is>
      </c>
      <c r="G1971" t="inlineStr">
        <is>
          <t>Tuesday</t>
        </is>
      </c>
      <c r="H1971" t="inlineStr">
        <is>
          <t>Monthly - Tuesday</t>
        </is>
      </c>
      <c r="I1971" t="inlineStr">
        <is>
          <t>Monthly - Tuesday</t>
        </is>
      </c>
      <c r="J1971" t="inlineStr">
        <is>
          <t>Month+4 Expiry</t>
        </is>
      </c>
      <c r="K1971" s="25" t="n">
        <v>30503</v>
      </c>
      <c r="L1971" s="26" t="n">
        <v>52.3952</v>
      </c>
      <c r="M1971" s="26" t="n">
        <v>0.876</v>
      </c>
    </row>
    <row r="1972" ht="16" customHeight="1">
      <c r="A1972" t="inlineStr">
        <is>
          <t>06-Feb-2026</t>
        </is>
      </c>
      <c r="B1972" t="inlineStr">
        <is>
          <t>Friday</t>
        </is>
      </c>
      <c r="C1972" t="inlineStr">
        <is>
          <t>Week1-Feb-2026</t>
        </is>
      </c>
      <c r="D1972" s="78" t="n">
        <v>46054</v>
      </c>
      <c r="E1972" t="inlineStr">
        <is>
          <t>Q4FY26</t>
        </is>
      </c>
      <c r="F1972" t="inlineStr">
        <is>
          <t>29-Sep-2026</t>
        </is>
      </c>
      <c r="G1972" t="inlineStr">
        <is>
          <t>Tuesday</t>
        </is>
      </c>
      <c r="H1972" t="inlineStr">
        <is>
          <t>Monthly - Tuesday</t>
        </is>
      </c>
      <c r="I1972" t="inlineStr">
        <is>
          <t>Monthly - Tuesday</t>
        </is>
      </c>
      <c r="J1972" t="inlineStr">
        <is>
          <t>Month+7 Expiry</t>
        </is>
      </c>
      <c r="K1972" s="25" t="n">
        <v>2417</v>
      </c>
      <c r="L1972" s="26" t="n">
        <v>4.2486</v>
      </c>
      <c r="M1972" s="26" t="n">
        <v>0.0968</v>
      </c>
    </row>
    <row r="1973" ht="16" customHeight="1">
      <c r="A1973" t="inlineStr">
        <is>
          <t>06-Feb-2026</t>
        </is>
      </c>
      <c r="B1973" t="inlineStr">
        <is>
          <t>Friday</t>
        </is>
      </c>
      <c r="C1973" t="inlineStr">
        <is>
          <t>Week1-Feb-2026</t>
        </is>
      </c>
      <c r="D1973" s="78" t="n">
        <v>46054</v>
      </c>
      <c r="E1973" t="inlineStr">
        <is>
          <t>Q4FY26</t>
        </is>
      </c>
      <c r="F1973" t="inlineStr">
        <is>
          <t>29-Dec-2026</t>
        </is>
      </c>
      <c r="G1973" t="inlineStr">
        <is>
          <t>Tuesday</t>
        </is>
      </c>
      <c r="H1973" t="inlineStr">
        <is>
          <t>Monthly - Tuesday</t>
        </is>
      </c>
      <c r="I1973" t="inlineStr">
        <is>
          <t>Monthly - Tuesday</t>
        </is>
      </c>
      <c r="J1973" t="inlineStr">
        <is>
          <t>Month+10 Expiry</t>
        </is>
      </c>
      <c r="K1973" s="25" t="n">
        <v>12654</v>
      </c>
      <c r="L1973" s="26" t="n">
        <v>22.5939</v>
      </c>
      <c r="M1973" s="26" t="n">
        <v>0.5209</v>
      </c>
    </row>
    <row r="1974" ht="16" customHeight="1">
      <c r="A1974" t="inlineStr">
        <is>
          <t>06-Feb-2026</t>
        </is>
      </c>
      <c r="B1974" t="inlineStr">
        <is>
          <t>Friday</t>
        </is>
      </c>
      <c r="C1974" t="inlineStr">
        <is>
          <t>Week1-Feb-2026</t>
        </is>
      </c>
      <c r="D1974" s="78" t="n">
        <v>46054</v>
      </c>
      <c r="E1974" t="inlineStr">
        <is>
          <t>Q4FY26</t>
        </is>
      </c>
      <c r="F1974" t="inlineStr">
        <is>
          <t>29-Jun-2027</t>
        </is>
      </c>
      <c r="G1974" t="inlineStr">
        <is>
          <t>Tuesday</t>
        </is>
      </c>
      <c r="H1974" t="inlineStr">
        <is>
          <t>Monthly - Tuesday</t>
        </is>
      </c>
      <c r="I1974" t="inlineStr">
        <is>
          <t>Monthly - Tuesday</t>
        </is>
      </c>
      <c r="J1974" t="inlineStr">
        <is>
          <t>Month+16 Expiry</t>
        </is>
      </c>
      <c r="K1974" s="25" t="n">
        <v>0</v>
      </c>
      <c r="L1974" s="26" t="n">
        <v>0</v>
      </c>
      <c r="M1974" s="26" t="n">
        <v>0</v>
      </c>
    </row>
    <row r="1975" ht="16" customHeight="1">
      <c r="A1975" t="inlineStr">
        <is>
          <t>06-Feb-2026</t>
        </is>
      </c>
      <c r="B1975" t="inlineStr">
        <is>
          <t>Friday</t>
        </is>
      </c>
      <c r="C1975" t="inlineStr">
        <is>
          <t>Week1-Feb-2026</t>
        </is>
      </c>
      <c r="D1975" s="78" t="n">
        <v>46054</v>
      </c>
      <c r="E1975" t="inlineStr">
        <is>
          <t>Q4FY26</t>
        </is>
      </c>
      <c r="F1975" t="inlineStr">
        <is>
          <t>28-Dec-2027</t>
        </is>
      </c>
      <c r="G1975" t="inlineStr">
        <is>
          <t>Tuesday</t>
        </is>
      </c>
      <c r="H1975" t="inlineStr">
        <is>
          <t>Monthly - Tuesday</t>
        </is>
      </c>
      <c r="I1975" t="inlineStr">
        <is>
          <t>Monthly - Tuesday</t>
        </is>
      </c>
      <c r="J1975" t="inlineStr">
        <is>
          <t>Month+22 Expiry</t>
        </is>
      </c>
      <c r="K1975" s="25" t="n">
        <v>48</v>
      </c>
      <c r="L1975" s="26" t="n">
        <v>0.08069999999999999</v>
      </c>
      <c r="M1975" s="26" t="n">
        <v>0.003</v>
      </c>
    </row>
    <row r="1976" ht="16" customHeight="1">
      <c r="A1976" t="inlineStr">
        <is>
          <t>06-Feb-2026</t>
        </is>
      </c>
      <c r="B1976" t="inlineStr">
        <is>
          <t>Friday</t>
        </is>
      </c>
      <c r="C1976" t="inlineStr">
        <is>
          <t>Week1-Feb-2026</t>
        </is>
      </c>
      <c r="D1976" s="78" t="n">
        <v>46054</v>
      </c>
      <c r="E1976" t="inlineStr">
        <is>
          <t>Q4FY26</t>
        </is>
      </c>
      <c r="F1976" t="inlineStr">
        <is>
          <t>27-Jun-2028</t>
        </is>
      </c>
      <c r="G1976" t="inlineStr">
        <is>
          <t>Tuesday</t>
        </is>
      </c>
      <c r="H1976" t="inlineStr">
        <is>
          <t>Monthly - Tuesday</t>
        </is>
      </c>
      <c r="I1976" t="inlineStr">
        <is>
          <t>Monthly - Tuesday</t>
        </is>
      </c>
      <c r="J1976" t="inlineStr">
        <is>
          <t>Month+28 Expiry</t>
        </is>
      </c>
      <c r="K1976" s="25" t="n">
        <v>0</v>
      </c>
      <c r="L1976" s="26" t="n">
        <v>0</v>
      </c>
      <c r="M1976" s="26" t="n">
        <v>0</v>
      </c>
    </row>
    <row r="1977" ht="16" customHeight="1">
      <c r="A1977" t="inlineStr">
        <is>
          <t>06-Feb-2026</t>
        </is>
      </c>
      <c r="B1977" t="inlineStr">
        <is>
          <t>Friday</t>
        </is>
      </c>
      <c r="C1977" t="inlineStr">
        <is>
          <t>Week1-Feb-2026</t>
        </is>
      </c>
      <c r="D1977" s="78" t="n">
        <v>46054</v>
      </c>
      <c r="E1977" t="inlineStr">
        <is>
          <t>Q4FY26</t>
        </is>
      </c>
      <c r="F1977" t="inlineStr">
        <is>
          <t>26-Dec-2028</t>
        </is>
      </c>
      <c r="G1977" t="inlineStr">
        <is>
          <t>Tuesday</t>
        </is>
      </c>
      <c r="H1977" t="inlineStr">
        <is>
          <t>Monthly - Tuesday</t>
        </is>
      </c>
      <c r="I1977" t="inlineStr">
        <is>
          <t>Monthly - Tuesday</t>
        </is>
      </c>
      <c r="J1977" t="inlineStr">
        <is>
          <t>Month+34 Expiry</t>
        </is>
      </c>
      <c r="K1977" s="25" t="n">
        <v>2</v>
      </c>
      <c r="L1977" s="26" t="n">
        <v>0.0037</v>
      </c>
      <c r="M1977" s="26" t="n">
        <v>0.0002</v>
      </c>
    </row>
    <row r="1978" ht="16" customHeight="1">
      <c r="A1978" t="inlineStr">
        <is>
          <t>06-Feb-2026</t>
        </is>
      </c>
      <c r="B1978" t="inlineStr">
        <is>
          <t>Friday</t>
        </is>
      </c>
      <c r="C1978" t="inlineStr">
        <is>
          <t>Week1-Feb-2026</t>
        </is>
      </c>
      <c r="D1978" s="78" t="n">
        <v>46054</v>
      </c>
      <c r="E1978" t="inlineStr">
        <is>
          <t>Q4FY26</t>
        </is>
      </c>
      <c r="F1978" t="inlineStr">
        <is>
          <t>26-Jun-2029</t>
        </is>
      </c>
      <c r="G1978" t="inlineStr">
        <is>
          <t>Tuesday</t>
        </is>
      </c>
      <c r="H1978" t="inlineStr">
        <is>
          <t>Monthly - Tuesday</t>
        </is>
      </c>
      <c r="I1978" t="inlineStr">
        <is>
          <t>Monthly - Tuesday</t>
        </is>
      </c>
      <c r="J1978" t="inlineStr">
        <is>
          <t>Month+40 Expiry</t>
        </is>
      </c>
      <c r="K1978" s="25" t="n">
        <v>0</v>
      </c>
      <c r="L1978" s="26" t="n">
        <v>0</v>
      </c>
      <c r="M1978" s="26" t="n">
        <v>0</v>
      </c>
    </row>
    <row r="1979" ht="16" customHeight="1">
      <c r="A1979" t="inlineStr">
        <is>
          <t>06-Feb-2026</t>
        </is>
      </c>
      <c r="B1979" t="inlineStr">
        <is>
          <t>Friday</t>
        </is>
      </c>
      <c r="C1979" t="inlineStr">
        <is>
          <t>Week1-Feb-2026</t>
        </is>
      </c>
      <c r="D1979" s="78" t="n">
        <v>46054</v>
      </c>
      <c r="E1979" t="inlineStr">
        <is>
          <t>Q4FY26</t>
        </is>
      </c>
      <c r="F1979" t="inlineStr">
        <is>
          <t>24-Dec-2029</t>
        </is>
      </c>
      <c r="G1979" t="inlineStr">
        <is>
          <t>Monday</t>
        </is>
      </c>
      <c r="H1979" t="inlineStr">
        <is>
          <t>Weekly - Monday</t>
        </is>
      </c>
      <c r="I1979" t="inlineStr">
        <is>
          <t>Weekly - Monday</t>
        </is>
      </c>
      <c r="J1979" t="inlineStr">
        <is>
          <t>Month+46 Expiry</t>
        </is>
      </c>
      <c r="K1979" s="25" t="n">
        <v>0</v>
      </c>
      <c r="L1979" s="26" t="n">
        <v>0</v>
      </c>
      <c r="M1979" s="26" t="n">
        <v>0</v>
      </c>
    </row>
    <row r="1980" ht="16" customHeight="1">
      <c r="A1980" t="inlineStr">
        <is>
          <t>06-Feb-2026</t>
        </is>
      </c>
      <c r="B1980" t="inlineStr">
        <is>
          <t>Friday</t>
        </is>
      </c>
      <c r="C1980" t="inlineStr">
        <is>
          <t>Week1-Feb-2026</t>
        </is>
      </c>
      <c r="D1980" s="78" t="n">
        <v>46054</v>
      </c>
      <c r="E1980" t="inlineStr">
        <is>
          <t>Q4FY26</t>
        </is>
      </c>
      <c r="F1980" t="inlineStr">
        <is>
          <t>25-Jun-2030</t>
        </is>
      </c>
      <c r="G1980" t="inlineStr">
        <is>
          <t>Tuesday</t>
        </is>
      </c>
      <c r="H1980" t="inlineStr">
        <is>
          <t>Monthly - Tuesday</t>
        </is>
      </c>
      <c r="I1980" t="inlineStr">
        <is>
          <t>Monthly - Tuesday</t>
        </is>
      </c>
      <c r="J1980" t="inlineStr">
        <is>
          <t>Month+52 Expiry</t>
        </is>
      </c>
      <c r="K1980" s="25" t="n">
        <v>0</v>
      </c>
      <c r="L1980" s="26" t="n">
        <v>0</v>
      </c>
      <c r="M1980" s="26" t="n">
        <v>0</v>
      </c>
    </row>
    <row r="1981" ht="16" customHeight="1">
      <c r="A1981" t="inlineStr">
        <is>
          <t>06-Feb-2026</t>
        </is>
      </c>
      <c r="B1981" t="inlineStr">
        <is>
          <t>Friday</t>
        </is>
      </c>
      <c r="C1981" t="inlineStr">
        <is>
          <t>Week1-Feb-2026</t>
        </is>
      </c>
      <c r="D1981" s="78" t="n">
        <v>46054</v>
      </c>
      <c r="E1981" t="inlineStr">
        <is>
          <t>Q4FY26</t>
        </is>
      </c>
      <c r="F1981" t="inlineStr">
        <is>
          <t>31-Dec-2030</t>
        </is>
      </c>
      <c r="G1981" t="inlineStr">
        <is>
          <t>Tuesday</t>
        </is>
      </c>
      <c r="H1981" t="inlineStr">
        <is>
          <t>Monthly - Tuesday</t>
        </is>
      </c>
      <c r="I1981" t="inlineStr">
        <is>
          <t>Monthly - Tuesday</t>
        </is>
      </c>
      <c r="J1981" t="inlineStr">
        <is>
          <t>Month+58 Expiry</t>
        </is>
      </c>
      <c r="K1981" s="25" t="n">
        <v>0</v>
      </c>
      <c r="L1981" s="26" t="n">
        <v>0</v>
      </c>
      <c r="M1981" s="26" t="n">
        <v>0</v>
      </c>
    </row>
    <row r="1982" ht="16" customHeight="1">
      <c r="A1982" t="inlineStr">
        <is>
          <t>09-Feb-2026</t>
        </is>
      </c>
      <c r="B1982" t="inlineStr">
        <is>
          <t>Monday</t>
        </is>
      </c>
      <c r="C1982" t="inlineStr">
        <is>
          <t>Week2-Feb-2026</t>
        </is>
      </c>
      <c r="D1982" s="78" t="n">
        <v>46054</v>
      </c>
      <c r="E1982" t="inlineStr">
        <is>
          <t>Q4FY26</t>
        </is>
      </c>
      <c r="F1982" t="inlineStr">
        <is>
          <t>10-Feb-2026</t>
        </is>
      </c>
      <c r="G1982" t="inlineStr">
        <is>
          <t>Tuesday</t>
        </is>
      </c>
      <c r="H1982" t="inlineStr">
        <is>
          <t>Weekly - Tuesday</t>
        </is>
      </c>
      <c r="I1982" t="inlineStr">
        <is>
          <t>Weekly - Tuesday</t>
        </is>
      </c>
      <c r="J1982" t="inlineStr">
        <is>
          <t>Same Month Expiry</t>
        </is>
      </c>
      <c r="K1982" s="25" t="n">
        <v>120229086</v>
      </c>
      <c r="L1982" s="26" t="n">
        <v>201866.889</v>
      </c>
      <c r="M1982" s="26" t="n">
        <v>380.7327</v>
      </c>
    </row>
    <row r="1983" ht="16" customHeight="1">
      <c r="A1983" t="inlineStr">
        <is>
          <t>09-Feb-2026</t>
        </is>
      </c>
      <c r="B1983" t="inlineStr">
        <is>
          <t>Monday</t>
        </is>
      </c>
      <c r="C1983" t="inlineStr">
        <is>
          <t>Week2-Feb-2026</t>
        </is>
      </c>
      <c r="D1983" s="78" t="n">
        <v>46054</v>
      </c>
      <c r="E1983" t="inlineStr">
        <is>
          <t>Q4FY26</t>
        </is>
      </c>
      <c r="F1983" t="inlineStr">
        <is>
          <t>17-Feb-2026</t>
        </is>
      </c>
      <c r="G1983" t="inlineStr">
        <is>
          <t>Tuesday</t>
        </is>
      </c>
      <c r="H1983" t="inlineStr">
        <is>
          <t>Weekly - Tuesday</t>
        </is>
      </c>
      <c r="I1983" t="inlineStr">
        <is>
          <t>Weekly - Tuesday</t>
        </is>
      </c>
      <c r="J1983" t="inlineStr">
        <is>
          <t>Same Month Expiry</t>
        </is>
      </c>
      <c r="K1983" s="25" t="n">
        <v>3946871</v>
      </c>
      <c r="L1983" s="26" t="n">
        <v>6631.079</v>
      </c>
      <c r="M1983" s="26" t="n">
        <v>22.7288</v>
      </c>
    </row>
    <row r="1984" ht="16" customHeight="1">
      <c r="A1984" t="inlineStr">
        <is>
          <t>09-Feb-2026</t>
        </is>
      </c>
      <c r="B1984" t="inlineStr">
        <is>
          <t>Monday</t>
        </is>
      </c>
      <c r="C1984" t="inlineStr">
        <is>
          <t>Week2-Feb-2026</t>
        </is>
      </c>
      <c r="D1984" s="78" t="n">
        <v>46054</v>
      </c>
      <c r="E1984" t="inlineStr">
        <is>
          <t>Q4FY26</t>
        </is>
      </c>
      <c r="F1984" t="inlineStr">
        <is>
          <t>24-Feb-2026</t>
        </is>
      </c>
      <c r="G1984" t="inlineStr">
        <is>
          <t>Tuesday</t>
        </is>
      </c>
      <c r="H1984" t="inlineStr">
        <is>
          <t>Monthly - Tuesday</t>
        </is>
      </c>
      <c r="I1984" t="inlineStr">
        <is>
          <t>Monthly - Tuesday</t>
        </is>
      </c>
      <c r="J1984" t="inlineStr">
        <is>
          <t>Same Month Expiry</t>
        </is>
      </c>
      <c r="K1984" s="25" t="n">
        <v>1754137</v>
      </c>
      <c r="L1984" s="26" t="n">
        <v>2947.2884</v>
      </c>
      <c r="M1984" s="26" t="n">
        <v>16.2753</v>
      </c>
    </row>
    <row r="1985" ht="16" customHeight="1">
      <c r="A1985" t="inlineStr">
        <is>
          <t>09-Feb-2026</t>
        </is>
      </c>
      <c r="B1985" t="inlineStr">
        <is>
          <t>Monday</t>
        </is>
      </c>
      <c r="C1985" t="inlineStr">
        <is>
          <t>Week2-Feb-2026</t>
        </is>
      </c>
      <c r="D1985" s="78" t="n">
        <v>46054</v>
      </c>
      <c r="E1985" t="inlineStr">
        <is>
          <t>Q4FY26</t>
        </is>
      </c>
      <c r="F1985" t="inlineStr">
        <is>
          <t>02-Mar-2026</t>
        </is>
      </c>
      <c r="G1985" t="inlineStr">
        <is>
          <t>Monday</t>
        </is>
      </c>
      <c r="H1985" t="inlineStr">
        <is>
          <t>Weekly - Monday</t>
        </is>
      </c>
      <c r="I1985" t="inlineStr">
        <is>
          <t>Weekly - Monday</t>
        </is>
      </c>
      <c r="J1985" t="inlineStr">
        <is>
          <t>Month+1 Expiry</t>
        </is>
      </c>
      <c r="K1985" s="25" t="n">
        <v>45170</v>
      </c>
      <c r="L1985" s="26" t="n">
        <v>76.0766</v>
      </c>
      <c r="M1985" s="26" t="n">
        <v>0.4417</v>
      </c>
    </row>
    <row r="1986" ht="16" customHeight="1">
      <c r="A1986" t="inlineStr">
        <is>
          <t>09-Feb-2026</t>
        </is>
      </c>
      <c r="B1986" t="inlineStr">
        <is>
          <t>Monday</t>
        </is>
      </c>
      <c r="C1986" t="inlineStr">
        <is>
          <t>Week2-Feb-2026</t>
        </is>
      </c>
      <c r="D1986" s="78" t="n">
        <v>46054</v>
      </c>
      <c r="E1986" t="inlineStr">
        <is>
          <t>Q4FY26</t>
        </is>
      </c>
      <c r="F1986" t="inlineStr">
        <is>
          <t>10-Mar-2026</t>
        </is>
      </c>
      <c r="G1986" t="inlineStr">
        <is>
          <t>Tuesday</t>
        </is>
      </c>
      <c r="H1986" t="inlineStr">
        <is>
          <t>Weekly - Tuesday</t>
        </is>
      </c>
      <c r="I1986" t="inlineStr">
        <is>
          <t>Weekly - Tuesday</t>
        </is>
      </c>
      <c r="J1986" t="inlineStr">
        <is>
          <t>Month+1 Expiry</t>
        </is>
      </c>
      <c r="K1986" s="25" t="n">
        <v>3202</v>
      </c>
      <c r="L1986" s="26" t="n">
        <v>5.4091</v>
      </c>
      <c r="M1986" s="26" t="n">
        <v>0.0413</v>
      </c>
    </row>
    <row r="1987" ht="16" customHeight="1">
      <c r="A1987" t="inlineStr">
        <is>
          <t>09-Feb-2026</t>
        </is>
      </c>
      <c r="B1987" t="inlineStr">
        <is>
          <t>Monday</t>
        </is>
      </c>
      <c r="C1987" t="inlineStr">
        <is>
          <t>Week2-Feb-2026</t>
        </is>
      </c>
      <c r="D1987" s="78" t="n">
        <v>46054</v>
      </c>
      <c r="E1987" t="inlineStr">
        <is>
          <t>Q4FY26</t>
        </is>
      </c>
      <c r="F1987" t="inlineStr">
        <is>
          <t>30-Mar-2026</t>
        </is>
      </c>
      <c r="G1987" t="inlineStr">
        <is>
          <t>Monday</t>
        </is>
      </c>
      <c r="H1987" t="inlineStr">
        <is>
          <t>Monthly - Monday</t>
        </is>
      </c>
      <c r="I1987" t="inlineStr">
        <is>
          <t>Monthly - Monday</t>
        </is>
      </c>
      <c r="J1987" t="inlineStr">
        <is>
          <t>Month+1 Expiry</t>
        </is>
      </c>
      <c r="K1987" s="25" t="n">
        <v>289276</v>
      </c>
      <c r="L1987" s="26" t="n">
        <v>484.0351</v>
      </c>
      <c r="M1987" s="26" t="n">
        <v>4.1033</v>
      </c>
    </row>
    <row r="1988" ht="16" customHeight="1">
      <c r="A1988" t="inlineStr">
        <is>
          <t>09-Feb-2026</t>
        </is>
      </c>
      <c r="B1988" t="inlineStr">
        <is>
          <t>Monday</t>
        </is>
      </c>
      <c r="C1988" t="inlineStr">
        <is>
          <t>Week2-Feb-2026</t>
        </is>
      </c>
      <c r="D1988" s="78" t="n">
        <v>46054</v>
      </c>
      <c r="E1988" t="inlineStr">
        <is>
          <t>Q4FY26</t>
        </is>
      </c>
      <c r="F1988" t="inlineStr">
        <is>
          <t>28-Apr-2026</t>
        </is>
      </c>
      <c r="G1988" t="inlineStr">
        <is>
          <t>Tuesday</t>
        </is>
      </c>
      <c r="H1988" t="inlineStr">
        <is>
          <t>Monthly - Tuesday</t>
        </is>
      </c>
      <c r="I1988" t="inlineStr">
        <is>
          <t>Monthly - Tuesday</t>
        </is>
      </c>
      <c r="J1988" t="inlineStr">
        <is>
          <t>Month+2 Expiry</t>
        </is>
      </c>
      <c r="K1988" s="25" t="n">
        <v>40079</v>
      </c>
      <c r="L1988" s="26" t="n">
        <v>67.4427</v>
      </c>
      <c r="M1988" s="26" t="n">
        <v>0.8334</v>
      </c>
    </row>
    <row r="1989" ht="16" customHeight="1">
      <c r="A1989" t="inlineStr">
        <is>
          <t>09-Feb-2026</t>
        </is>
      </c>
      <c r="B1989" t="inlineStr">
        <is>
          <t>Monday</t>
        </is>
      </c>
      <c r="C1989" t="inlineStr">
        <is>
          <t>Week2-Feb-2026</t>
        </is>
      </c>
      <c r="D1989" s="78" t="n">
        <v>46054</v>
      </c>
      <c r="E1989" t="inlineStr">
        <is>
          <t>Q4FY26</t>
        </is>
      </c>
      <c r="F1989" t="inlineStr">
        <is>
          <t>30-Jun-2026</t>
        </is>
      </c>
      <c r="G1989" t="inlineStr">
        <is>
          <t>Tuesday</t>
        </is>
      </c>
      <c r="H1989" t="inlineStr">
        <is>
          <t>Monthly - Tuesday</t>
        </is>
      </c>
      <c r="I1989" t="inlineStr">
        <is>
          <t>Monthly - Tuesday</t>
        </is>
      </c>
      <c r="J1989" t="inlineStr">
        <is>
          <t>Month+4 Expiry</t>
        </is>
      </c>
      <c r="K1989" s="25" t="n">
        <v>32252</v>
      </c>
      <c r="L1989" s="26" t="n">
        <v>55.7367</v>
      </c>
      <c r="M1989" s="26" t="n">
        <v>0.8446</v>
      </c>
    </row>
    <row r="1990" ht="16" customHeight="1">
      <c r="A1990" t="inlineStr">
        <is>
          <t>09-Feb-2026</t>
        </is>
      </c>
      <c r="B1990" t="inlineStr">
        <is>
          <t>Monday</t>
        </is>
      </c>
      <c r="C1990" t="inlineStr">
        <is>
          <t>Week2-Feb-2026</t>
        </is>
      </c>
      <c r="D1990" s="78" t="n">
        <v>46054</v>
      </c>
      <c r="E1990" t="inlineStr">
        <is>
          <t>Q4FY26</t>
        </is>
      </c>
      <c r="F1990" t="inlineStr">
        <is>
          <t>29-Sep-2026</t>
        </is>
      </c>
      <c r="G1990" t="inlineStr">
        <is>
          <t>Tuesday</t>
        </is>
      </c>
      <c r="H1990" t="inlineStr">
        <is>
          <t>Monthly - Tuesday</t>
        </is>
      </c>
      <c r="I1990" t="inlineStr">
        <is>
          <t>Monthly - Tuesday</t>
        </is>
      </c>
      <c r="J1990" t="inlineStr">
        <is>
          <t>Month+7 Expiry</t>
        </is>
      </c>
      <c r="K1990" s="25" t="n">
        <v>2606</v>
      </c>
      <c r="L1990" s="26" t="n">
        <v>4.5827</v>
      </c>
      <c r="M1990" s="26" t="n">
        <v>0.1089</v>
      </c>
    </row>
    <row r="1991" ht="16" customHeight="1">
      <c r="A1991" t="inlineStr">
        <is>
          <t>09-Feb-2026</t>
        </is>
      </c>
      <c r="B1991" t="inlineStr">
        <is>
          <t>Monday</t>
        </is>
      </c>
      <c r="C1991" t="inlineStr">
        <is>
          <t>Week2-Feb-2026</t>
        </is>
      </c>
      <c r="D1991" s="78" t="n">
        <v>46054</v>
      </c>
      <c r="E1991" t="inlineStr">
        <is>
          <t>Q4FY26</t>
        </is>
      </c>
      <c r="F1991" t="inlineStr">
        <is>
          <t>29-Dec-2026</t>
        </is>
      </c>
      <c r="G1991" t="inlineStr">
        <is>
          <t>Tuesday</t>
        </is>
      </c>
      <c r="H1991" t="inlineStr">
        <is>
          <t>Monthly - Tuesday</t>
        </is>
      </c>
      <c r="I1991" t="inlineStr">
        <is>
          <t>Monthly - Tuesday</t>
        </is>
      </c>
      <c r="J1991" t="inlineStr">
        <is>
          <t>Month+10 Expiry</t>
        </is>
      </c>
      <c r="K1991" s="25" t="n">
        <v>7992</v>
      </c>
      <c r="L1991" s="26" t="n">
        <v>14.0064</v>
      </c>
      <c r="M1991" s="26" t="n">
        <v>0.3624</v>
      </c>
    </row>
    <row r="1992" ht="16" customHeight="1">
      <c r="A1992" t="inlineStr">
        <is>
          <t>09-Feb-2026</t>
        </is>
      </c>
      <c r="B1992" t="inlineStr">
        <is>
          <t>Monday</t>
        </is>
      </c>
      <c r="C1992" t="inlineStr">
        <is>
          <t>Week2-Feb-2026</t>
        </is>
      </c>
      <c r="D1992" s="78" t="n">
        <v>46054</v>
      </c>
      <c r="E1992" t="inlineStr">
        <is>
          <t>Q4FY26</t>
        </is>
      </c>
      <c r="F1992" t="inlineStr">
        <is>
          <t>29-Jun-2027</t>
        </is>
      </c>
      <c r="G1992" t="inlineStr">
        <is>
          <t>Tuesday</t>
        </is>
      </c>
      <c r="H1992" t="inlineStr">
        <is>
          <t>Monthly - Tuesday</t>
        </is>
      </c>
      <c r="I1992" t="inlineStr">
        <is>
          <t>Monthly - Tuesday</t>
        </is>
      </c>
      <c r="J1992" t="inlineStr">
        <is>
          <t>Month+16 Expiry</t>
        </is>
      </c>
      <c r="K1992" s="25" t="n">
        <v>0</v>
      </c>
      <c r="L1992" s="26" t="n">
        <v>0</v>
      </c>
      <c r="M1992" s="26" t="n">
        <v>0</v>
      </c>
    </row>
    <row r="1993" ht="16" customHeight="1">
      <c r="A1993" t="inlineStr">
        <is>
          <t>09-Feb-2026</t>
        </is>
      </c>
      <c r="B1993" t="inlineStr">
        <is>
          <t>Monday</t>
        </is>
      </c>
      <c r="C1993" t="inlineStr">
        <is>
          <t>Week2-Feb-2026</t>
        </is>
      </c>
      <c r="D1993" s="78" t="n">
        <v>46054</v>
      </c>
      <c r="E1993" t="inlineStr">
        <is>
          <t>Q4FY26</t>
        </is>
      </c>
      <c r="F1993" t="inlineStr">
        <is>
          <t>28-Dec-2027</t>
        </is>
      </c>
      <c r="G1993" t="inlineStr">
        <is>
          <t>Tuesday</t>
        </is>
      </c>
      <c r="H1993" t="inlineStr">
        <is>
          <t>Monthly - Tuesday</t>
        </is>
      </c>
      <c r="I1993" t="inlineStr">
        <is>
          <t>Monthly - Tuesday</t>
        </is>
      </c>
      <c r="J1993" t="inlineStr">
        <is>
          <t>Month+22 Expiry</t>
        </is>
      </c>
      <c r="K1993" s="25" t="n">
        <v>11</v>
      </c>
      <c r="L1993" s="26" t="n">
        <v>0.0185</v>
      </c>
      <c r="M1993" s="26" t="n">
        <v>0.0005</v>
      </c>
    </row>
    <row r="1994" ht="16" customHeight="1">
      <c r="A1994" t="inlineStr">
        <is>
          <t>09-Feb-2026</t>
        </is>
      </c>
      <c r="B1994" t="inlineStr">
        <is>
          <t>Monday</t>
        </is>
      </c>
      <c r="C1994" t="inlineStr">
        <is>
          <t>Week2-Feb-2026</t>
        </is>
      </c>
      <c r="D1994" s="78" t="n">
        <v>46054</v>
      </c>
      <c r="E1994" t="inlineStr">
        <is>
          <t>Q4FY26</t>
        </is>
      </c>
      <c r="F1994" t="inlineStr">
        <is>
          <t>27-Jun-2028</t>
        </is>
      </c>
      <c r="G1994" t="inlineStr">
        <is>
          <t>Tuesday</t>
        </is>
      </c>
      <c r="H1994" t="inlineStr">
        <is>
          <t>Monthly - Tuesday</t>
        </is>
      </c>
      <c r="I1994" t="inlineStr">
        <is>
          <t>Monthly - Tuesday</t>
        </is>
      </c>
      <c r="J1994" t="inlineStr">
        <is>
          <t>Month+28 Expiry</t>
        </is>
      </c>
      <c r="K1994" s="25" t="n">
        <v>0</v>
      </c>
      <c r="L1994" s="26" t="n">
        <v>0</v>
      </c>
      <c r="M1994" s="26" t="n">
        <v>0</v>
      </c>
    </row>
    <row r="1995" ht="16" customHeight="1">
      <c r="A1995" t="inlineStr">
        <is>
          <t>09-Feb-2026</t>
        </is>
      </c>
      <c r="B1995" t="inlineStr">
        <is>
          <t>Monday</t>
        </is>
      </c>
      <c r="C1995" t="inlineStr">
        <is>
          <t>Week2-Feb-2026</t>
        </is>
      </c>
      <c r="D1995" s="78" t="n">
        <v>46054</v>
      </c>
      <c r="E1995" t="inlineStr">
        <is>
          <t>Q4FY26</t>
        </is>
      </c>
      <c r="F1995" t="inlineStr">
        <is>
          <t>26-Dec-2028</t>
        </is>
      </c>
      <c r="G1995" t="inlineStr">
        <is>
          <t>Tuesday</t>
        </is>
      </c>
      <c r="H1995" t="inlineStr">
        <is>
          <t>Monthly - Tuesday</t>
        </is>
      </c>
      <c r="I1995" t="inlineStr">
        <is>
          <t>Monthly - Tuesday</t>
        </is>
      </c>
      <c r="J1995" t="inlineStr">
        <is>
          <t>Month+34 Expiry</t>
        </is>
      </c>
      <c r="K1995" s="25" t="n">
        <v>1</v>
      </c>
      <c r="L1995" s="26" t="n">
        <v>0.0018</v>
      </c>
      <c r="M1995" s="26" t="n">
        <v>0.0001</v>
      </c>
    </row>
    <row r="1996" ht="16" customHeight="1">
      <c r="A1996" t="inlineStr">
        <is>
          <t>09-Feb-2026</t>
        </is>
      </c>
      <c r="B1996" t="inlineStr">
        <is>
          <t>Monday</t>
        </is>
      </c>
      <c r="C1996" t="inlineStr">
        <is>
          <t>Week2-Feb-2026</t>
        </is>
      </c>
      <c r="D1996" s="78" t="n">
        <v>46054</v>
      </c>
      <c r="E1996" t="inlineStr">
        <is>
          <t>Q4FY26</t>
        </is>
      </c>
      <c r="F1996" t="inlineStr">
        <is>
          <t>26-Jun-2029</t>
        </is>
      </c>
      <c r="G1996" t="inlineStr">
        <is>
          <t>Tuesday</t>
        </is>
      </c>
      <c r="H1996" t="inlineStr">
        <is>
          <t>Monthly - Tuesday</t>
        </is>
      </c>
      <c r="I1996" t="inlineStr">
        <is>
          <t>Monthly - Tuesday</t>
        </is>
      </c>
      <c r="J1996" t="inlineStr">
        <is>
          <t>Month+40 Expiry</t>
        </is>
      </c>
      <c r="K1996" s="25" t="n">
        <v>0</v>
      </c>
      <c r="L1996" s="26" t="n">
        <v>0</v>
      </c>
      <c r="M1996" s="26" t="n">
        <v>0</v>
      </c>
    </row>
    <row r="1997" ht="16" customHeight="1">
      <c r="A1997" t="inlineStr">
        <is>
          <t>09-Feb-2026</t>
        </is>
      </c>
      <c r="B1997" t="inlineStr">
        <is>
          <t>Monday</t>
        </is>
      </c>
      <c r="C1997" t="inlineStr">
        <is>
          <t>Week2-Feb-2026</t>
        </is>
      </c>
      <c r="D1997" s="78" t="n">
        <v>46054</v>
      </c>
      <c r="E1997" t="inlineStr">
        <is>
          <t>Q4FY26</t>
        </is>
      </c>
      <c r="F1997" t="inlineStr">
        <is>
          <t>24-Dec-2029</t>
        </is>
      </c>
      <c r="G1997" t="inlineStr">
        <is>
          <t>Monday</t>
        </is>
      </c>
      <c r="H1997" t="inlineStr">
        <is>
          <t>Weekly - Monday</t>
        </is>
      </c>
      <c r="I1997" t="inlineStr">
        <is>
          <t>Weekly - Monday</t>
        </is>
      </c>
      <c r="J1997" t="inlineStr">
        <is>
          <t>Month+46 Expiry</t>
        </is>
      </c>
      <c r="K1997" s="25" t="n">
        <v>0</v>
      </c>
      <c r="L1997" s="26" t="n">
        <v>0</v>
      </c>
      <c r="M1997" s="26" t="n">
        <v>0</v>
      </c>
    </row>
    <row r="1998" ht="16" customHeight="1">
      <c r="A1998" t="inlineStr">
        <is>
          <t>09-Feb-2026</t>
        </is>
      </c>
      <c r="B1998" t="inlineStr">
        <is>
          <t>Monday</t>
        </is>
      </c>
      <c r="C1998" t="inlineStr">
        <is>
          <t>Week2-Feb-2026</t>
        </is>
      </c>
      <c r="D1998" s="78" t="n">
        <v>46054</v>
      </c>
      <c r="E1998" t="inlineStr">
        <is>
          <t>Q4FY26</t>
        </is>
      </c>
      <c r="F1998" t="inlineStr">
        <is>
          <t>25-Jun-2030</t>
        </is>
      </c>
      <c r="G1998" t="inlineStr">
        <is>
          <t>Tuesday</t>
        </is>
      </c>
      <c r="H1998" t="inlineStr">
        <is>
          <t>Monthly - Tuesday</t>
        </is>
      </c>
      <c r="I1998" t="inlineStr">
        <is>
          <t>Monthly - Tuesday</t>
        </is>
      </c>
      <c r="J1998" t="inlineStr">
        <is>
          <t>Month+52 Expiry</t>
        </is>
      </c>
      <c r="K1998" s="25" t="n">
        <v>0</v>
      </c>
      <c r="L1998" s="26" t="n">
        <v>0</v>
      </c>
      <c r="M1998" s="26" t="n">
        <v>0</v>
      </c>
    </row>
    <row r="1999" ht="16" customHeight="1">
      <c r="A1999" t="inlineStr">
        <is>
          <t>09-Feb-2026</t>
        </is>
      </c>
      <c r="B1999" t="inlineStr">
        <is>
          <t>Monday</t>
        </is>
      </c>
      <c r="C1999" t="inlineStr">
        <is>
          <t>Week2-Feb-2026</t>
        </is>
      </c>
      <c r="D1999" s="78" t="n">
        <v>46054</v>
      </c>
      <c r="E1999" t="inlineStr">
        <is>
          <t>Q4FY26</t>
        </is>
      </c>
      <c r="F1999" t="inlineStr">
        <is>
          <t>31-Dec-2030</t>
        </is>
      </c>
      <c r="G1999" t="inlineStr">
        <is>
          <t>Tuesday</t>
        </is>
      </c>
      <c r="H1999" t="inlineStr">
        <is>
          <t>Monthly - Tuesday</t>
        </is>
      </c>
      <c r="I1999" t="inlineStr">
        <is>
          <t>Monthly - Tuesday</t>
        </is>
      </c>
      <c r="J1999" t="inlineStr">
        <is>
          <t>Month+58 Expiry</t>
        </is>
      </c>
      <c r="K1999" s="25" t="n">
        <v>0</v>
      </c>
      <c r="L1999" s="26" t="n">
        <v>0</v>
      </c>
      <c r="M1999" s="26" t="n">
        <v>0</v>
      </c>
    </row>
    <row r="2000" ht="16" customHeight="1">
      <c r="A2000" t="inlineStr">
        <is>
          <t>10-Feb-2026</t>
        </is>
      </c>
      <c r="B2000" t="inlineStr">
        <is>
          <t>Tuesday</t>
        </is>
      </c>
      <c r="C2000" t="inlineStr">
        <is>
          <t>Week2-Feb-2026</t>
        </is>
      </c>
      <c r="D2000" s="78" t="n">
        <v>46054</v>
      </c>
      <c r="E2000" t="inlineStr">
        <is>
          <t>Q4FY26</t>
        </is>
      </c>
      <c r="F2000" t="inlineStr">
        <is>
          <t>10-Feb-2026</t>
        </is>
      </c>
      <c r="G2000" t="inlineStr">
        <is>
          <t>Tuesday</t>
        </is>
      </c>
      <c r="H2000" t="inlineStr">
        <is>
          <t>Weekly - Tuesday</t>
        </is>
      </c>
      <c r="I2000" t="inlineStr">
        <is>
          <t>Weekly - Tuesday</t>
        </is>
      </c>
      <c r="J2000" t="inlineStr">
        <is>
          <t>Same Month Expiry</t>
        </is>
      </c>
      <c r="K2000" s="25" t="n">
        <v>338004292</v>
      </c>
      <c r="L2000" s="26" t="n">
        <v>569546.8078</v>
      </c>
      <c r="M2000" s="26" t="n">
        <v>471.7954</v>
      </c>
    </row>
    <row r="2001" ht="16" customHeight="1">
      <c r="A2001" t="inlineStr">
        <is>
          <t>10-Feb-2026</t>
        </is>
      </c>
      <c r="B2001" t="inlineStr">
        <is>
          <t>Tuesday</t>
        </is>
      </c>
      <c r="C2001" t="inlineStr">
        <is>
          <t>Week2-Feb-2026</t>
        </is>
      </c>
      <c r="D2001" s="78" t="n">
        <v>46054</v>
      </c>
      <c r="E2001" t="inlineStr">
        <is>
          <t>Q4FY26</t>
        </is>
      </c>
      <c r="F2001" t="inlineStr">
        <is>
          <t>17-Feb-2026</t>
        </is>
      </c>
      <c r="G2001" t="inlineStr">
        <is>
          <t>Tuesday</t>
        </is>
      </c>
      <c r="H2001" t="inlineStr">
        <is>
          <t>Weekly - Tuesday</t>
        </is>
      </c>
      <c r="I2001" t="inlineStr">
        <is>
          <t>Weekly - Tuesday</t>
        </is>
      </c>
      <c r="J2001" t="inlineStr">
        <is>
          <t>Same Month Expiry</t>
        </is>
      </c>
      <c r="K2001" s="25" t="n">
        <v>9131741</v>
      </c>
      <c r="L2001" s="26" t="n">
        <v>15397.8466</v>
      </c>
      <c r="M2001" s="26" t="n">
        <v>48.0631</v>
      </c>
    </row>
    <row r="2002" ht="16" customHeight="1">
      <c r="A2002" t="inlineStr">
        <is>
          <t>10-Feb-2026</t>
        </is>
      </c>
      <c r="B2002" t="inlineStr">
        <is>
          <t>Tuesday</t>
        </is>
      </c>
      <c r="C2002" t="inlineStr">
        <is>
          <t>Week2-Feb-2026</t>
        </is>
      </c>
      <c r="D2002" s="78" t="n">
        <v>46054</v>
      </c>
      <c r="E2002" t="inlineStr">
        <is>
          <t>Q4FY26</t>
        </is>
      </c>
      <c r="F2002" t="inlineStr">
        <is>
          <t>24-Feb-2026</t>
        </is>
      </c>
      <c r="G2002" t="inlineStr">
        <is>
          <t>Tuesday</t>
        </is>
      </c>
      <c r="H2002" t="inlineStr">
        <is>
          <t>Monthly - Tuesday</t>
        </is>
      </c>
      <c r="I2002" t="inlineStr">
        <is>
          <t>Monthly - Tuesday</t>
        </is>
      </c>
      <c r="J2002" t="inlineStr">
        <is>
          <t>Same Month Expiry</t>
        </is>
      </c>
      <c r="K2002" s="25" t="n">
        <v>1850050</v>
      </c>
      <c r="L2002" s="26" t="n">
        <v>3120.9404</v>
      </c>
      <c r="M2002" s="26" t="n">
        <v>16.5306</v>
      </c>
    </row>
    <row r="2003" ht="16" customHeight="1">
      <c r="A2003" t="inlineStr">
        <is>
          <t>10-Feb-2026</t>
        </is>
      </c>
      <c r="B2003" t="inlineStr">
        <is>
          <t>Tuesday</t>
        </is>
      </c>
      <c r="C2003" t="inlineStr">
        <is>
          <t>Week2-Feb-2026</t>
        </is>
      </c>
      <c r="D2003" s="78" t="n">
        <v>46054</v>
      </c>
      <c r="E2003" t="inlineStr">
        <is>
          <t>Q4FY26</t>
        </is>
      </c>
      <c r="F2003" t="inlineStr">
        <is>
          <t>02-Mar-2026</t>
        </is>
      </c>
      <c r="G2003" t="inlineStr">
        <is>
          <t>Monday</t>
        </is>
      </c>
      <c r="H2003" t="inlineStr">
        <is>
          <t>Weekly - Monday</t>
        </is>
      </c>
      <c r="I2003" t="inlineStr">
        <is>
          <t>Weekly - Monday</t>
        </is>
      </c>
      <c r="J2003" t="inlineStr">
        <is>
          <t>Month+1 Expiry</t>
        </is>
      </c>
      <c r="K2003" s="25" t="n">
        <v>52934</v>
      </c>
      <c r="L2003" s="26" t="n">
        <v>89.24769999999999</v>
      </c>
      <c r="M2003" s="26" t="n">
        <v>0.5103</v>
      </c>
    </row>
    <row r="2004" ht="16" customHeight="1">
      <c r="A2004" t="inlineStr">
        <is>
          <t>10-Feb-2026</t>
        </is>
      </c>
      <c r="B2004" t="inlineStr">
        <is>
          <t>Tuesday</t>
        </is>
      </c>
      <c r="C2004" t="inlineStr">
        <is>
          <t>Week2-Feb-2026</t>
        </is>
      </c>
      <c r="D2004" s="78" t="n">
        <v>46054</v>
      </c>
      <c r="E2004" t="inlineStr">
        <is>
          <t>Q4FY26</t>
        </is>
      </c>
      <c r="F2004" t="inlineStr">
        <is>
          <t>10-Mar-2026</t>
        </is>
      </c>
      <c r="G2004" t="inlineStr">
        <is>
          <t>Tuesday</t>
        </is>
      </c>
      <c r="H2004" t="inlineStr">
        <is>
          <t>Weekly - Tuesday</t>
        </is>
      </c>
      <c r="I2004" t="inlineStr">
        <is>
          <t>Weekly - Tuesday</t>
        </is>
      </c>
      <c r="J2004" t="inlineStr">
        <is>
          <t>Month+1 Expiry</t>
        </is>
      </c>
      <c r="K2004" s="25" t="n">
        <v>5200</v>
      </c>
      <c r="L2004" s="26" t="n">
        <v>8.8028</v>
      </c>
      <c r="M2004" s="26" t="n">
        <v>0.0591</v>
      </c>
    </row>
    <row r="2005" ht="16" customHeight="1">
      <c r="A2005" t="inlineStr">
        <is>
          <t>10-Feb-2026</t>
        </is>
      </c>
      <c r="B2005" t="inlineStr">
        <is>
          <t>Tuesday</t>
        </is>
      </c>
      <c r="C2005" t="inlineStr">
        <is>
          <t>Week2-Feb-2026</t>
        </is>
      </c>
      <c r="D2005" s="78" t="n">
        <v>46054</v>
      </c>
      <c r="E2005" t="inlineStr">
        <is>
          <t>Q4FY26</t>
        </is>
      </c>
      <c r="F2005" t="inlineStr">
        <is>
          <t>30-Mar-2026</t>
        </is>
      </c>
      <c r="G2005" t="inlineStr">
        <is>
          <t>Monday</t>
        </is>
      </c>
      <c r="H2005" t="inlineStr">
        <is>
          <t>Monthly - Monday</t>
        </is>
      </c>
      <c r="I2005" t="inlineStr">
        <is>
          <t>Monthly - Monday</t>
        </is>
      </c>
      <c r="J2005" t="inlineStr">
        <is>
          <t>Month+1 Expiry</t>
        </is>
      </c>
      <c r="K2005" s="25" t="n">
        <v>280728</v>
      </c>
      <c r="L2005" s="26" t="n">
        <v>471.7306</v>
      </c>
      <c r="M2005" s="26" t="n">
        <v>3.8407</v>
      </c>
    </row>
    <row r="2006" ht="16" customHeight="1">
      <c r="A2006" t="inlineStr">
        <is>
          <t>10-Feb-2026</t>
        </is>
      </c>
      <c r="B2006" t="inlineStr">
        <is>
          <t>Tuesday</t>
        </is>
      </c>
      <c r="C2006" t="inlineStr">
        <is>
          <t>Week2-Feb-2026</t>
        </is>
      </c>
      <c r="D2006" s="78" t="n">
        <v>46054</v>
      </c>
      <c r="E2006" t="inlineStr">
        <is>
          <t>Q4FY26</t>
        </is>
      </c>
      <c r="F2006" t="inlineStr">
        <is>
          <t>28-Apr-2026</t>
        </is>
      </c>
      <c r="G2006" t="inlineStr">
        <is>
          <t>Tuesday</t>
        </is>
      </c>
      <c r="H2006" t="inlineStr">
        <is>
          <t>Monthly - Tuesday</t>
        </is>
      </c>
      <c r="I2006" t="inlineStr">
        <is>
          <t>Monthly - Tuesday</t>
        </is>
      </c>
      <c r="J2006" t="inlineStr">
        <is>
          <t>Month+2 Expiry</t>
        </is>
      </c>
      <c r="K2006" s="25" t="n">
        <v>44077</v>
      </c>
      <c r="L2006" s="26" t="n">
        <v>73.90430000000001</v>
      </c>
      <c r="M2006" s="26" t="n">
        <v>0.7652</v>
      </c>
    </row>
    <row r="2007" ht="16" customHeight="1">
      <c r="A2007" t="inlineStr">
        <is>
          <t>10-Feb-2026</t>
        </is>
      </c>
      <c r="B2007" t="inlineStr">
        <is>
          <t>Tuesday</t>
        </is>
      </c>
      <c r="C2007" t="inlineStr">
        <is>
          <t>Week2-Feb-2026</t>
        </is>
      </c>
      <c r="D2007" s="78" t="n">
        <v>46054</v>
      </c>
      <c r="E2007" t="inlineStr">
        <is>
          <t>Q4FY26</t>
        </is>
      </c>
      <c r="F2007" t="inlineStr">
        <is>
          <t>30-Jun-2026</t>
        </is>
      </c>
      <c r="G2007" t="inlineStr">
        <is>
          <t>Tuesday</t>
        </is>
      </c>
      <c r="H2007" t="inlineStr">
        <is>
          <t>Monthly - Tuesday</t>
        </is>
      </c>
      <c r="I2007" t="inlineStr">
        <is>
          <t>Monthly - Tuesday</t>
        </is>
      </c>
      <c r="J2007" t="inlineStr">
        <is>
          <t>Month+4 Expiry</t>
        </is>
      </c>
      <c r="K2007" s="25" t="n">
        <v>42908</v>
      </c>
      <c r="L2007" s="26" t="n">
        <v>73.9922</v>
      </c>
      <c r="M2007" s="26" t="n">
        <v>1.0889</v>
      </c>
    </row>
    <row r="2008" ht="16" customHeight="1">
      <c r="A2008" t="inlineStr">
        <is>
          <t>10-Feb-2026</t>
        </is>
      </c>
      <c r="B2008" t="inlineStr">
        <is>
          <t>Tuesday</t>
        </is>
      </c>
      <c r="C2008" t="inlineStr">
        <is>
          <t>Week2-Feb-2026</t>
        </is>
      </c>
      <c r="D2008" s="78" t="n">
        <v>46054</v>
      </c>
      <c r="E2008" t="inlineStr">
        <is>
          <t>Q4FY26</t>
        </is>
      </c>
      <c r="F2008" t="inlineStr">
        <is>
          <t>29-Sep-2026</t>
        </is>
      </c>
      <c r="G2008" t="inlineStr">
        <is>
          <t>Tuesday</t>
        </is>
      </c>
      <c r="H2008" t="inlineStr">
        <is>
          <t>Monthly - Tuesday</t>
        </is>
      </c>
      <c r="I2008" t="inlineStr">
        <is>
          <t>Monthly - Tuesday</t>
        </is>
      </c>
      <c r="J2008" t="inlineStr">
        <is>
          <t>Month+7 Expiry</t>
        </is>
      </c>
      <c r="K2008" s="25" t="n">
        <v>8007</v>
      </c>
      <c r="L2008" s="26" t="n">
        <v>13.1716</v>
      </c>
      <c r="M2008" s="26" t="n">
        <v>0.1867</v>
      </c>
    </row>
    <row r="2009" ht="16" customHeight="1">
      <c r="A2009" t="inlineStr">
        <is>
          <t>10-Feb-2026</t>
        </is>
      </c>
      <c r="B2009" t="inlineStr">
        <is>
          <t>Tuesday</t>
        </is>
      </c>
      <c r="C2009" t="inlineStr">
        <is>
          <t>Week2-Feb-2026</t>
        </is>
      </c>
      <c r="D2009" s="78" t="n">
        <v>46054</v>
      </c>
      <c r="E2009" t="inlineStr">
        <is>
          <t>Q4FY26</t>
        </is>
      </c>
      <c r="F2009" t="inlineStr">
        <is>
          <t>29-Dec-2026</t>
        </is>
      </c>
      <c r="G2009" t="inlineStr">
        <is>
          <t>Tuesday</t>
        </is>
      </c>
      <c r="H2009" t="inlineStr">
        <is>
          <t>Monthly - Tuesday</t>
        </is>
      </c>
      <c r="I2009" t="inlineStr">
        <is>
          <t>Monthly - Tuesday</t>
        </is>
      </c>
      <c r="J2009" t="inlineStr">
        <is>
          <t>Month+10 Expiry</t>
        </is>
      </c>
      <c r="K2009" s="25" t="n">
        <v>14372</v>
      </c>
      <c r="L2009" s="26" t="n">
        <v>23.4933</v>
      </c>
      <c r="M2009" s="26" t="n">
        <v>0.4172</v>
      </c>
    </row>
    <row r="2010" ht="16" customHeight="1">
      <c r="A2010" t="inlineStr">
        <is>
          <t>10-Feb-2026</t>
        </is>
      </c>
      <c r="B2010" t="inlineStr">
        <is>
          <t>Tuesday</t>
        </is>
      </c>
      <c r="C2010" t="inlineStr">
        <is>
          <t>Week2-Feb-2026</t>
        </is>
      </c>
      <c r="D2010" s="78" t="n">
        <v>46054</v>
      </c>
      <c r="E2010" t="inlineStr">
        <is>
          <t>Q4FY26</t>
        </is>
      </c>
      <c r="F2010" t="inlineStr">
        <is>
          <t>29-Jun-2027</t>
        </is>
      </c>
      <c r="G2010" t="inlineStr">
        <is>
          <t>Tuesday</t>
        </is>
      </c>
      <c r="H2010" t="inlineStr">
        <is>
          <t>Monthly - Tuesday</t>
        </is>
      </c>
      <c r="I2010" t="inlineStr">
        <is>
          <t>Monthly - Tuesday</t>
        </is>
      </c>
      <c r="J2010" t="inlineStr">
        <is>
          <t>Month+16 Expiry</t>
        </is>
      </c>
      <c r="K2010" s="25" t="n">
        <v>0</v>
      </c>
      <c r="L2010" s="26" t="n">
        <v>0</v>
      </c>
      <c r="M2010" s="26" t="n">
        <v>0</v>
      </c>
    </row>
    <row r="2011" ht="16" customHeight="1">
      <c r="A2011" t="inlineStr">
        <is>
          <t>10-Feb-2026</t>
        </is>
      </c>
      <c r="B2011" t="inlineStr">
        <is>
          <t>Tuesday</t>
        </is>
      </c>
      <c r="C2011" t="inlineStr">
        <is>
          <t>Week2-Feb-2026</t>
        </is>
      </c>
      <c r="D2011" s="78" t="n">
        <v>46054</v>
      </c>
      <c r="E2011" t="inlineStr">
        <is>
          <t>Q4FY26</t>
        </is>
      </c>
      <c r="F2011" t="inlineStr">
        <is>
          <t>28-Dec-2027</t>
        </is>
      </c>
      <c r="G2011" t="inlineStr">
        <is>
          <t>Tuesday</t>
        </is>
      </c>
      <c r="H2011" t="inlineStr">
        <is>
          <t>Monthly - Tuesday</t>
        </is>
      </c>
      <c r="I2011" t="inlineStr">
        <is>
          <t>Monthly - Tuesday</t>
        </is>
      </c>
      <c r="J2011" t="inlineStr">
        <is>
          <t>Month+22 Expiry</t>
        </is>
      </c>
      <c r="K2011" s="25" t="n">
        <v>112</v>
      </c>
      <c r="L2011" s="26" t="n">
        <v>0.1993</v>
      </c>
      <c r="M2011" s="26" t="n">
        <v>0.0083</v>
      </c>
    </row>
    <row r="2012" ht="16" customHeight="1">
      <c r="A2012" t="inlineStr">
        <is>
          <t>10-Feb-2026</t>
        </is>
      </c>
      <c r="B2012" t="inlineStr">
        <is>
          <t>Tuesday</t>
        </is>
      </c>
      <c r="C2012" t="inlineStr">
        <is>
          <t>Week2-Feb-2026</t>
        </is>
      </c>
      <c r="D2012" s="78" t="n">
        <v>46054</v>
      </c>
      <c r="E2012" t="inlineStr">
        <is>
          <t>Q4FY26</t>
        </is>
      </c>
      <c r="F2012" t="inlineStr">
        <is>
          <t>27-Jun-2028</t>
        </is>
      </c>
      <c r="G2012" t="inlineStr">
        <is>
          <t>Tuesday</t>
        </is>
      </c>
      <c r="H2012" t="inlineStr">
        <is>
          <t>Monthly - Tuesday</t>
        </is>
      </c>
      <c r="I2012" t="inlineStr">
        <is>
          <t>Monthly - Tuesday</t>
        </is>
      </c>
      <c r="J2012" t="inlineStr">
        <is>
          <t>Month+28 Expiry</t>
        </is>
      </c>
      <c r="K2012" s="25" t="n">
        <v>0</v>
      </c>
      <c r="L2012" s="26" t="n">
        <v>0</v>
      </c>
      <c r="M2012" s="26" t="n">
        <v>0</v>
      </c>
    </row>
    <row r="2013" ht="16" customHeight="1">
      <c r="A2013" t="inlineStr">
        <is>
          <t>10-Feb-2026</t>
        </is>
      </c>
      <c r="B2013" t="inlineStr">
        <is>
          <t>Tuesday</t>
        </is>
      </c>
      <c r="C2013" t="inlineStr">
        <is>
          <t>Week2-Feb-2026</t>
        </is>
      </c>
      <c r="D2013" s="78" t="n">
        <v>46054</v>
      </c>
      <c r="E2013" t="inlineStr">
        <is>
          <t>Q4FY26</t>
        </is>
      </c>
      <c r="F2013" t="inlineStr">
        <is>
          <t>26-Dec-2028</t>
        </is>
      </c>
      <c r="G2013" t="inlineStr">
        <is>
          <t>Tuesday</t>
        </is>
      </c>
      <c r="H2013" t="inlineStr">
        <is>
          <t>Monthly - Tuesday</t>
        </is>
      </c>
      <c r="I2013" t="inlineStr">
        <is>
          <t>Monthly - Tuesday</t>
        </is>
      </c>
      <c r="J2013" t="inlineStr">
        <is>
          <t>Month+34 Expiry</t>
        </is>
      </c>
      <c r="K2013" s="25" t="n">
        <v>9</v>
      </c>
      <c r="L2013" s="26" t="n">
        <v>0.0159</v>
      </c>
      <c r="M2013" s="26" t="n">
        <v>0.0005999999999999999</v>
      </c>
    </row>
    <row r="2014" ht="16" customHeight="1">
      <c r="A2014" t="inlineStr">
        <is>
          <t>10-Feb-2026</t>
        </is>
      </c>
      <c r="B2014" t="inlineStr">
        <is>
          <t>Tuesday</t>
        </is>
      </c>
      <c r="C2014" t="inlineStr">
        <is>
          <t>Week2-Feb-2026</t>
        </is>
      </c>
      <c r="D2014" s="78" t="n">
        <v>46054</v>
      </c>
      <c r="E2014" t="inlineStr">
        <is>
          <t>Q4FY26</t>
        </is>
      </c>
      <c r="F2014" t="inlineStr">
        <is>
          <t>26-Jun-2029</t>
        </is>
      </c>
      <c r="G2014" t="inlineStr">
        <is>
          <t>Tuesday</t>
        </is>
      </c>
      <c r="H2014" t="inlineStr">
        <is>
          <t>Monthly - Tuesday</t>
        </is>
      </c>
      <c r="I2014" t="inlineStr">
        <is>
          <t>Monthly - Tuesday</t>
        </is>
      </c>
      <c r="J2014" t="inlineStr">
        <is>
          <t>Month+40 Expiry</t>
        </is>
      </c>
      <c r="K2014" s="25" t="n">
        <v>0</v>
      </c>
      <c r="L2014" s="26" t="n">
        <v>0</v>
      </c>
      <c r="M2014" s="26" t="n">
        <v>0</v>
      </c>
    </row>
    <row r="2015" ht="16" customHeight="1">
      <c r="A2015" t="inlineStr">
        <is>
          <t>10-Feb-2026</t>
        </is>
      </c>
      <c r="B2015" t="inlineStr">
        <is>
          <t>Tuesday</t>
        </is>
      </c>
      <c r="C2015" t="inlineStr">
        <is>
          <t>Week2-Feb-2026</t>
        </is>
      </c>
      <c r="D2015" s="78" t="n">
        <v>46054</v>
      </c>
      <c r="E2015" t="inlineStr">
        <is>
          <t>Q4FY26</t>
        </is>
      </c>
      <c r="F2015" t="inlineStr">
        <is>
          <t>24-Dec-2029</t>
        </is>
      </c>
      <c r="G2015" t="inlineStr">
        <is>
          <t>Monday</t>
        </is>
      </c>
      <c r="H2015" t="inlineStr">
        <is>
          <t>Weekly - Monday</t>
        </is>
      </c>
      <c r="I2015" t="inlineStr">
        <is>
          <t>Weekly - Monday</t>
        </is>
      </c>
      <c r="J2015" t="inlineStr">
        <is>
          <t>Month+46 Expiry</t>
        </is>
      </c>
      <c r="K2015" s="25" t="n">
        <v>0</v>
      </c>
      <c r="L2015" s="26" t="n">
        <v>0</v>
      </c>
      <c r="M2015" s="26" t="n">
        <v>0</v>
      </c>
    </row>
    <row r="2016" ht="16" customHeight="1">
      <c r="A2016" t="inlineStr">
        <is>
          <t>10-Feb-2026</t>
        </is>
      </c>
      <c r="B2016" t="inlineStr">
        <is>
          <t>Tuesday</t>
        </is>
      </c>
      <c r="C2016" t="inlineStr">
        <is>
          <t>Week2-Feb-2026</t>
        </is>
      </c>
      <c r="D2016" s="78" t="n">
        <v>46054</v>
      </c>
      <c r="E2016" t="inlineStr">
        <is>
          <t>Q4FY26</t>
        </is>
      </c>
      <c r="F2016" t="inlineStr">
        <is>
          <t>25-Jun-2030</t>
        </is>
      </c>
      <c r="G2016" t="inlineStr">
        <is>
          <t>Tuesday</t>
        </is>
      </c>
      <c r="H2016" t="inlineStr">
        <is>
          <t>Monthly - Tuesday</t>
        </is>
      </c>
      <c r="I2016" t="inlineStr">
        <is>
          <t>Monthly - Tuesday</t>
        </is>
      </c>
      <c r="J2016" t="inlineStr">
        <is>
          <t>Month+52 Expiry</t>
        </is>
      </c>
      <c r="K2016" s="25" t="n">
        <v>0</v>
      </c>
      <c r="L2016" s="26" t="n">
        <v>0</v>
      </c>
      <c r="M2016" s="26" t="n">
        <v>0</v>
      </c>
    </row>
    <row r="2017" ht="16" customHeight="1">
      <c r="A2017" t="inlineStr">
        <is>
          <t>10-Feb-2026</t>
        </is>
      </c>
      <c r="B2017" t="inlineStr">
        <is>
          <t>Tuesday</t>
        </is>
      </c>
      <c r="C2017" t="inlineStr">
        <is>
          <t>Week2-Feb-2026</t>
        </is>
      </c>
      <c r="D2017" s="78" t="n">
        <v>46054</v>
      </c>
      <c r="E2017" t="inlineStr">
        <is>
          <t>Q4FY26</t>
        </is>
      </c>
      <c r="F2017" t="inlineStr">
        <is>
          <t>31-Dec-2030</t>
        </is>
      </c>
      <c r="G2017" t="inlineStr">
        <is>
          <t>Tuesday</t>
        </is>
      </c>
      <c r="H2017" t="inlineStr">
        <is>
          <t>Monthly - Tuesday</t>
        </is>
      </c>
      <c r="I2017" t="inlineStr">
        <is>
          <t>Monthly - Tuesday</t>
        </is>
      </c>
      <c r="J2017" t="inlineStr">
        <is>
          <t>Month+58 Expiry</t>
        </is>
      </c>
      <c r="K2017" s="25" t="n">
        <v>0</v>
      </c>
      <c r="L2017" s="26" t="n">
        <v>0</v>
      </c>
      <c r="M2017" s="26" t="n">
        <v>0</v>
      </c>
    </row>
    <row r="2018" ht="16" customHeight="1">
      <c r="A2018" t="inlineStr">
        <is>
          <t>11-Feb-2026</t>
        </is>
      </c>
      <c r="B2018" t="inlineStr">
        <is>
          <t>Wednesday</t>
        </is>
      </c>
      <c r="C2018" t="inlineStr">
        <is>
          <t>Week2-Feb-2026</t>
        </is>
      </c>
      <c r="D2018" s="78" t="n">
        <v>46054</v>
      </c>
      <c r="E2018" t="inlineStr">
        <is>
          <t>Q4FY26</t>
        </is>
      </c>
      <c r="F2018" t="inlineStr">
        <is>
          <t>17-Feb-2026</t>
        </is>
      </c>
      <c r="G2018" t="inlineStr">
        <is>
          <t>Tuesday</t>
        </is>
      </c>
      <c r="H2018" t="inlineStr">
        <is>
          <t>Weekly - Tuesday</t>
        </is>
      </c>
      <c r="I2018" t="inlineStr">
        <is>
          <t>Weekly - Tuesday</t>
        </is>
      </c>
      <c r="J2018" t="inlineStr">
        <is>
          <t>Same Month Expiry</t>
        </is>
      </c>
      <c r="K2018" s="25" t="n">
        <v>48454588</v>
      </c>
      <c r="L2018" s="26" t="n">
        <v>81928.3857</v>
      </c>
      <c r="M2018" s="26" t="n">
        <v>251.5102</v>
      </c>
    </row>
    <row r="2019" ht="16" customHeight="1">
      <c r="A2019" t="inlineStr">
        <is>
          <t>11-Feb-2026</t>
        </is>
      </c>
      <c r="B2019" t="inlineStr">
        <is>
          <t>Wednesday</t>
        </is>
      </c>
      <c r="C2019" t="inlineStr">
        <is>
          <t>Week2-Feb-2026</t>
        </is>
      </c>
      <c r="D2019" s="78" t="n">
        <v>46054</v>
      </c>
      <c r="E2019" t="inlineStr">
        <is>
          <t>Q4FY26</t>
        </is>
      </c>
      <c r="F2019" t="inlineStr">
        <is>
          <t>24-Feb-2026</t>
        </is>
      </c>
      <c r="G2019" t="inlineStr">
        <is>
          <t>Tuesday</t>
        </is>
      </c>
      <c r="H2019" t="inlineStr">
        <is>
          <t>Monthly - Tuesday</t>
        </is>
      </c>
      <c r="I2019" t="inlineStr">
        <is>
          <t>Monthly - Tuesday</t>
        </is>
      </c>
      <c r="J2019" t="inlineStr">
        <is>
          <t>Same Month Expiry</t>
        </is>
      </c>
      <c r="K2019" s="25" t="n">
        <v>2062573</v>
      </c>
      <c r="L2019" s="26" t="n">
        <v>3484.683</v>
      </c>
      <c r="M2019" s="26" t="n">
        <v>15.3802</v>
      </c>
    </row>
    <row r="2020" ht="16" customHeight="1">
      <c r="A2020" t="inlineStr">
        <is>
          <t>11-Feb-2026</t>
        </is>
      </c>
      <c r="B2020" t="inlineStr">
        <is>
          <t>Wednesday</t>
        </is>
      </c>
      <c r="C2020" t="inlineStr">
        <is>
          <t>Week2-Feb-2026</t>
        </is>
      </c>
      <c r="D2020" s="78" t="n">
        <v>46054</v>
      </c>
      <c r="E2020" t="inlineStr">
        <is>
          <t>Q4FY26</t>
        </is>
      </c>
      <c r="F2020" t="inlineStr">
        <is>
          <t>02-Mar-2026</t>
        </is>
      </c>
      <c r="G2020" t="inlineStr">
        <is>
          <t>Monday</t>
        </is>
      </c>
      <c r="H2020" t="inlineStr">
        <is>
          <t>Weekly - Monday</t>
        </is>
      </c>
      <c r="I2020" t="inlineStr">
        <is>
          <t>Weekly - Monday</t>
        </is>
      </c>
      <c r="J2020" t="inlineStr">
        <is>
          <t>Month+1 Expiry</t>
        </is>
      </c>
      <c r="K2020" s="25" t="n">
        <v>90525</v>
      </c>
      <c r="L2020" s="26" t="n">
        <v>153.4249</v>
      </c>
      <c r="M2020" s="26" t="n">
        <v>0.8228</v>
      </c>
    </row>
    <row r="2021" ht="16" customHeight="1">
      <c r="A2021" t="inlineStr">
        <is>
          <t>11-Feb-2026</t>
        </is>
      </c>
      <c r="B2021" t="inlineStr">
        <is>
          <t>Wednesday</t>
        </is>
      </c>
      <c r="C2021" t="inlineStr">
        <is>
          <t>Week2-Feb-2026</t>
        </is>
      </c>
      <c r="D2021" s="78" t="n">
        <v>46054</v>
      </c>
      <c r="E2021" t="inlineStr">
        <is>
          <t>Q4FY26</t>
        </is>
      </c>
      <c r="F2021" t="inlineStr">
        <is>
          <t>10-Mar-2026</t>
        </is>
      </c>
      <c r="G2021" t="inlineStr">
        <is>
          <t>Tuesday</t>
        </is>
      </c>
      <c r="H2021" t="inlineStr">
        <is>
          <t>Weekly - Tuesday</t>
        </is>
      </c>
      <c r="I2021" t="inlineStr">
        <is>
          <t>Weekly - Tuesday</t>
        </is>
      </c>
      <c r="J2021" t="inlineStr">
        <is>
          <t>Month+1 Expiry</t>
        </is>
      </c>
      <c r="K2021" s="25" t="n">
        <v>8102</v>
      </c>
      <c r="L2021" s="26" t="n">
        <v>13.7658</v>
      </c>
      <c r="M2021" s="26" t="n">
        <v>0.0827</v>
      </c>
    </row>
    <row r="2022" ht="16" customHeight="1">
      <c r="A2022" t="inlineStr">
        <is>
          <t>11-Feb-2026</t>
        </is>
      </c>
      <c r="B2022" t="inlineStr">
        <is>
          <t>Wednesday</t>
        </is>
      </c>
      <c r="C2022" t="inlineStr">
        <is>
          <t>Week2-Feb-2026</t>
        </is>
      </c>
      <c r="D2022" s="78" t="n">
        <v>46054</v>
      </c>
      <c r="E2022" t="inlineStr">
        <is>
          <t>Q4FY26</t>
        </is>
      </c>
      <c r="F2022" t="inlineStr">
        <is>
          <t>17-Mar-2026</t>
        </is>
      </c>
      <c r="G2022" t="inlineStr">
        <is>
          <t>Tuesday</t>
        </is>
      </c>
      <c r="H2022" t="inlineStr">
        <is>
          <t>Weekly - Tuesday</t>
        </is>
      </c>
      <c r="I2022" t="inlineStr">
        <is>
          <t>Weekly - Tuesday</t>
        </is>
      </c>
      <c r="J2022" t="inlineStr">
        <is>
          <t>Month+1 Expiry</t>
        </is>
      </c>
      <c r="K2022" s="25" t="n">
        <v>317</v>
      </c>
      <c r="L2022" s="26" t="n">
        <v>0.534</v>
      </c>
      <c r="M2022" s="26" t="n">
        <v>0.0029</v>
      </c>
    </row>
    <row r="2023" ht="16" customHeight="1">
      <c r="A2023" t="inlineStr">
        <is>
          <t>11-Feb-2026</t>
        </is>
      </c>
      <c r="B2023" t="inlineStr">
        <is>
          <t>Wednesday</t>
        </is>
      </c>
      <c r="C2023" t="inlineStr">
        <is>
          <t>Week2-Feb-2026</t>
        </is>
      </c>
      <c r="D2023" s="78" t="n">
        <v>46054</v>
      </c>
      <c r="E2023" t="inlineStr">
        <is>
          <t>Q4FY26</t>
        </is>
      </c>
      <c r="F2023" t="inlineStr">
        <is>
          <t>30-Mar-2026</t>
        </is>
      </c>
      <c r="G2023" t="inlineStr">
        <is>
          <t>Monday</t>
        </is>
      </c>
      <c r="H2023" t="inlineStr">
        <is>
          <t>Monthly - Monday</t>
        </is>
      </c>
      <c r="I2023" t="inlineStr">
        <is>
          <t>Monthly - Monday</t>
        </is>
      </c>
      <c r="J2023" t="inlineStr">
        <is>
          <t>Month+1 Expiry</t>
        </is>
      </c>
      <c r="K2023" s="25" t="n">
        <v>296792</v>
      </c>
      <c r="L2023" s="26" t="n">
        <v>499.925</v>
      </c>
      <c r="M2023" s="26" t="n">
        <v>3.4376</v>
      </c>
    </row>
    <row r="2024" ht="16" customHeight="1">
      <c r="A2024" t="inlineStr">
        <is>
          <t>11-Feb-2026</t>
        </is>
      </c>
      <c r="B2024" t="inlineStr">
        <is>
          <t>Wednesday</t>
        </is>
      </c>
      <c r="C2024" t="inlineStr">
        <is>
          <t>Week2-Feb-2026</t>
        </is>
      </c>
      <c r="D2024" s="78" t="n">
        <v>46054</v>
      </c>
      <c r="E2024" t="inlineStr">
        <is>
          <t>Q4FY26</t>
        </is>
      </c>
      <c r="F2024" t="inlineStr">
        <is>
          <t>28-Apr-2026</t>
        </is>
      </c>
      <c r="G2024" t="inlineStr">
        <is>
          <t>Tuesday</t>
        </is>
      </c>
      <c r="H2024" t="inlineStr">
        <is>
          <t>Monthly - Tuesday</t>
        </is>
      </c>
      <c r="I2024" t="inlineStr">
        <is>
          <t>Monthly - Tuesday</t>
        </is>
      </c>
      <c r="J2024" t="inlineStr">
        <is>
          <t>Month+2 Expiry</t>
        </is>
      </c>
      <c r="K2024" s="25" t="n">
        <v>41162</v>
      </c>
      <c r="L2024" s="26" t="n">
        <v>70.3892</v>
      </c>
      <c r="M2024" s="26" t="n">
        <v>0.7144</v>
      </c>
    </row>
    <row r="2025" ht="16" customHeight="1">
      <c r="A2025" t="inlineStr">
        <is>
          <t>11-Feb-2026</t>
        </is>
      </c>
      <c r="B2025" t="inlineStr">
        <is>
          <t>Wednesday</t>
        </is>
      </c>
      <c r="C2025" t="inlineStr">
        <is>
          <t>Week2-Feb-2026</t>
        </is>
      </c>
      <c r="D2025" s="78" t="n">
        <v>46054</v>
      </c>
      <c r="E2025" t="inlineStr">
        <is>
          <t>Q4FY26</t>
        </is>
      </c>
      <c r="F2025" t="inlineStr">
        <is>
          <t>30-Jun-2026</t>
        </is>
      </c>
      <c r="G2025" t="inlineStr">
        <is>
          <t>Tuesday</t>
        </is>
      </c>
      <c r="H2025" t="inlineStr">
        <is>
          <t>Monthly - Tuesday</t>
        </is>
      </c>
      <c r="I2025" t="inlineStr">
        <is>
          <t>Monthly - Tuesday</t>
        </is>
      </c>
      <c r="J2025" t="inlineStr">
        <is>
          <t>Month+4 Expiry</t>
        </is>
      </c>
      <c r="K2025" s="25" t="n">
        <v>25857</v>
      </c>
      <c r="L2025" s="26" t="n">
        <v>44.5409</v>
      </c>
      <c r="M2025" s="26" t="n">
        <v>0.6874</v>
      </c>
    </row>
    <row r="2026" ht="16" customHeight="1">
      <c r="A2026" t="inlineStr">
        <is>
          <t>11-Feb-2026</t>
        </is>
      </c>
      <c r="B2026" t="inlineStr">
        <is>
          <t>Wednesday</t>
        </is>
      </c>
      <c r="C2026" t="inlineStr">
        <is>
          <t>Week2-Feb-2026</t>
        </is>
      </c>
      <c r="D2026" s="78" t="n">
        <v>46054</v>
      </c>
      <c r="E2026" t="inlineStr">
        <is>
          <t>Q4FY26</t>
        </is>
      </c>
      <c r="F2026" t="inlineStr">
        <is>
          <t>29-Sep-2026</t>
        </is>
      </c>
      <c r="G2026" t="inlineStr">
        <is>
          <t>Tuesday</t>
        </is>
      </c>
      <c r="H2026" t="inlineStr">
        <is>
          <t>Monthly - Tuesday</t>
        </is>
      </c>
      <c r="I2026" t="inlineStr">
        <is>
          <t>Monthly - Tuesday</t>
        </is>
      </c>
      <c r="J2026" t="inlineStr">
        <is>
          <t>Month+7 Expiry</t>
        </is>
      </c>
      <c r="K2026" s="25" t="n">
        <v>2729</v>
      </c>
      <c r="L2026" s="26" t="n">
        <v>4.7053</v>
      </c>
      <c r="M2026" s="26" t="n">
        <v>0.0929</v>
      </c>
    </row>
    <row r="2027" ht="16" customHeight="1">
      <c r="A2027" t="inlineStr">
        <is>
          <t>11-Feb-2026</t>
        </is>
      </c>
      <c r="B2027" t="inlineStr">
        <is>
          <t>Wednesday</t>
        </is>
      </c>
      <c r="C2027" t="inlineStr">
        <is>
          <t>Week2-Feb-2026</t>
        </is>
      </c>
      <c r="D2027" s="78" t="n">
        <v>46054</v>
      </c>
      <c r="E2027" t="inlineStr">
        <is>
          <t>Q4FY26</t>
        </is>
      </c>
      <c r="F2027" t="inlineStr">
        <is>
          <t>29-Dec-2026</t>
        </is>
      </c>
      <c r="G2027" t="inlineStr">
        <is>
          <t>Tuesday</t>
        </is>
      </c>
      <c r="H2027" t="inlineStr">
        <is>
          <t>Monthly - Tuesday</t>
        </is>
      </c>
      <c r="I2027" t="inlineStr">
        <is>
          <t>Monthly - Tuesday</t>
        </is>
      </c>
      <c r="J2027" t="inlineStr">
        <is>
          <t>Month+10 Expiry</t>
        </is>
      </c>
      <c r="K2027" s="25" t="n">
        <v>5851</v>
      </c>
      <c r="L2027" s="26" t="n">
        <v>10.1381</v>
      </c>
      <c r="M2027" s="26" t="n">
        <v>0.2241</v>
      </c>
    </row>
    <row r="2028" ht="16" customHeight="1">
      <c r="A2028" t="inlineStr">
        <is>
          <t>11-Feb-2026</t>
        </is>
      </c>
      <c r="B2028" t="inlineStr">
        <is>
          <t>Wednesday</t>
        </is>
      </c>
      <c r="C2028" t="inlineStr">
        <is>
          <t>Week2-Feb-2026</t>
        </is>
      </c>
      <c r="D2028" s="78" t="n">
        <v>46054</v>
      </c>
      <c r="E2028" t="inlineStr">
        <is>
          <t>Q4FY26</t>
        </is>
      </c>
      <c r="F2028" t="inlineStr">
        <is>
          <t>29-Jun-2027</t>
        </is>
      </c>
      <c r="G2028" t="inlineStr">
        <is>
          <t>Tuesday</t>
        </is>
      </c>
      <c r="H2028" t="inlineStr">
        <is>
          <t>Monthly - Tuesday</t>
        </is>
      </c>
      <c r="I2028" t="inlineStr">
        <is>
          <t>Monthly - Tuesday</t>
        </is>
      </c>
      <c r="J2028" t="inlineStr">
        <is>
          <t>Month+16 Expiry</t>
        </is>
      </c>
      <c r="K2028" s="25" t="n">
        <v>0</v>
      </c>
      <c r="L2028" s="26" t="n">
        <v>0</v>
      </c>
      <c r="M2028" s="26" t="n">
        <v>0</v>
      </c>
    </row>
    <row r="2029" ht="16" customHeight="1">
      <c r="A2029" t="inlineStr">
        <is>
          <t>11-Feb-2026</t>
        </is>
      </c>
      <c r="B2029" t="inlineStr">
        <is>
          <t>Wednesday</t>
        </is>
      </c>
      <c r="C2029" t="inlineStr">
        <is>
          <t>Week2-Feb-2026</t>
        </is>
      </c>
      <c r="D2029" s="78" t="n">
        <v>46054</v>
      </c>
      <c r="E2029" t="inlineStr">
        <is>
          <t>Q4FY26</t>
        </is>
      </c>
      <c r="F2029" t="inlineStr">
        <is>
          <t>28-Dec-2027</t>
        </is>
      </c>
      <c r="G2029" t="inlineStr">
        <is>
          <t>Tuesday</t>
        </is>
      </c>
      <c r="H2029" t="inlineStr">
        <is>
          <t>Monthly - Tuesday</t>
        </is>
      </c>
      <c r="I2029" t="inlineStr">
        <is>
          <t>Monthly - Tuesday</t>
        </is>
      </c>
      <c r="J2029" t="inlineStr">
        <is>
          <t>Month+22 Expiry</t>
        </is>
      </c>
      <c r="K2029" s="25" t="n">
        <v>26</v>
      </c>
      <c r="L2029" s="26" t="n">
        <v>0.0468</v>
      </c>
      <c r="M2029" s="26" t="n">
        <v>0.0024</v>
      </c>
    </row>
    <row r="2030" ht="16" customHeight="1">
      <c r="A2030" t="inlineStr">
        <is>
          <t>11-Feb-2026</t>
        </is>
      </c>
      <c r="B2030" t="inlineStr">
        <is>
          <t>Wednesday</t>
        </is>
      </c>
      <c r="C2030" t="inlineStr">
        <is>
          <t>Week2-Feb-2026</t>
        </is>
      </c>
      <c r="D2030" s="78" t="n">
        <v>46054</v>
      </c>
      <c r="E2030" t="inlineStr">
        <is>
          <t>Q4FY26</t>
        </is>
      </c>
      <c r="F2030" t="inlineStr">
        <is>
          <t>27-Jun-2028</t>
        </is>
      </c>
      <c r="G2030" t="inlineStr">
        <is>
          <t>Tuesday</t>
        </is>
      </c>
      <c r="H2030" t="inlineStr">
        <is>
          <t>Monthly - Tuesday</t>
        </is>
      </c>
      <c r="I2030" t="inlineStr">
        <is>
          <t>Monthly - Tuesday</t>
        </is>
      </c>
      <c r="J2030" t="inlineStr">
        <is>
          <t>Month+28 Expiry</t>
        </is>
      </c>
      <c r="K2030" s="25" t="n">
        <v>0</v>
      </c>
      <c r="L2030" s="26" t="n">
        <v>0</v>
      </c>
      <c r="M2030" s="26" t="n">
        <v>0</v>
      </c>
    </row>
    <row r="2031" ht="16" customHeight="1">
      <c r="A2031" t="inlineStr">
        <is>
          <t>11-Feb-2026</t>
        </is>
      </c>
      <c r="B2031" t="inlineStr">
        <is>
          <t>Wednesday</t>
        </is>
      </c>
      <c r="C2031" t="inlineStr">
        <is>
          <t>Week2-Feb-2026</t>
        </is>
      </c>
      <c r="D2031" s="78" t="n">
        <v>46054</v>
      </c>
      <c r="E2031" t="inlineStr">
        <is>
          <t>Q4FY26</t>
        </is>
      </c>
      <c r="F2031" t="inlineStr">
        <is>
          <t>26-Dec-2028</t>
        </is>
      </c>
      <c r="G2031" t="inlineStr">
        <is>
          <t>Tuesday</t>
        </is>
      </c>
      <c r="H2031" t="inlineStr">
        <is>
          <t>Monthly - Tuesday</t>
        </is>
      </c>
      <c r="I2031" t="inlineStr">
        <is>
          <t>Monthly - Tuesday</t>
        </is>
      </c>
      <c r="J2031" t="inlineStr">
        <is>
          <t>Month+34 Expiry</t>
        </is>
      </c>
      <c r="K2031" s="25" t="n">
        <v>2</v>
      </c>
      <c r="L2031" s="26" t="n">
        <v>0.0036</v>
      </c>
      <c r="M2031" s="26" t="n">
        <v>0.0001</v>
      </c>
    </row>
    <row r="2032" ht="16" customHeight="1">
      <c r="A2032" t="inlineStr">
        <is>
          <t>11-Feb-2026</t>
        </is>
      </c>
      <c r="B2032" t="inlineStr">
        <is>
          <t>Wednesday</t>
        </is>
      </c>
      <c r="C2032" t="inlineStr">
        <is>
          <t>Week2-Feb-2026</t>
        </is>
      </c>
      <c r="D2032" s="78" t="n">
        <v>46054</v>
      </c>
      <c r="E2032" t="inlineStr">
        <is>
          <t>Q4FY26</t>
        </is>
      </c>
      <c r="F2032" t="inlineStr">
        <is>
          <t>26-Jun-2029</t>
        </is>
      </c>
      <c r="G2032" t="inlineStr">
        <is>
          <t>Tuesday</t>
        </is>
      </c>
      <c r="H2032" t="inlineStr">
        <is>
          <t>Monthly - Tuesday</t>
        </is>
      </c>
      <c r="I2032" t="inlineStr">
        <is>
          <t>Monthly - Tuesday</t>
        </is>
      </c>
      <c r="J2032" t="inlineStr">
        <is>
          <t>Month+40 Expiry</t>
        </is>
      </c>
      <c r="K2032" s="25" t="n">
        <v>0</v>
      </c>
      <c r="L2032" s="26" t="n">
        <v>0</v>
      </c>
      <c r="M2032" s="26" t="n">
        <v>0</v>
      </c>
    </row>
    <row r="2033" ht="16" customHeight="1">
      <c r="A2033" t="inlineStr">
        <is>
          <t>11-Feb-2026</t>
        </is>
      </c>
      <c r="B2033" t="inlineStr">
        <is>
          <t>Wednesday</t>
        </is>
      </c>
      <c r="C2033" t="inlineStr">
        <is>
          <t>Week2-Feb-2026</t>
        </is>
      </c>
      <c r="D2033" s="78" t="n">
        <v>46054</v>
      </c>
      <c r="E2033" t="inlineStr">
        <is>
          <t>Q4FY26</t>
        </is>
      </c>
      <c r="F2033" t="inlineStr">
        <is>
          <t>24-Dec-2029</t>
        </is>
      </c>
      <c r="G2033" t="inlineStr">
        <is>
          <t>Monday</t>
        </is>
      </c>
      <c r="H2033" t="inlineStr">
        <is>
          <t>Weekly - Monday</t>
        </is>
      </c>
      <c r="I2033" t="inlineStr">
        <is>
          <t>Weekly - Monday</t>
        </is>
      </c>
      <c r="J2033" t="inlineStr">
        <is>
          <t>Month+46 Expiry</t>
        </is>
      </c>
      <c r="K2033" s="25" t="n">
        <v>0</v>
      </c>
      <c r="L2033" s="26" t="n">
        <v>0</v>
      </c>
      <c r="M2033" s="26" t="n">
        <v>0</v>
      </c>
    </row>
    <row r="2034" ht="16" customHeight="1">
      <c r="A2034" t="inlineStr">
        <is>
          <t>11-Feb-2026</t>
        </is>
      </c>
      <c r="B2034" t="inlineStr">
        <is>
          <t>Wednesday</t>
        </is>
      </c>
      <c r="C2034" t="inlineStr">
        <is>
          <t>Week2-Feb-2026</t>
        </is>
      </c>
      <c r="D2034" s="78" t="n">
        <v>46054</v>
      </c>
      <c r="E2034" t="inlineStr">
        <is>
          <t>Q4FY26</t>
        </is>
      </c>
      <c r="F2034" t="inlineStr">
        <is>
          <t>25-Jun-2030</t>
        </is>
      </c>
      <c r="G2034" t="inlineStr">
        <is>
          <t>Tuesday</t>
        </is>
      </c>
      <c r="H2034" t="inlineStr">
        <is>
          <t>Monthly - Tuesday</t>
        </is>
      </c>
      <c r="I2034" t="inlineStr">
        <is>
          <t>Monthly - Tuesday</t>
        </is>
      </c>
      <c r="J2034" t="inlineStr">
        <is>
          <t>Month+52 Expiry</t>
        </is>
      </c>
      <c r="K2034" s="25" t="n">
        <v>0</v>
      </c>
      <c r="L2034" s="26" t="n">
        <v>0</v>
      </c>
      <c r="M2034" s="26" t="n">
        <v>0</v>
      </c>
    </row>
    <row r="2035" ht="16" customHeight="1">
      <c r="A2035" t="inlineStr">
        <is>
          <t>11-Feb-2026</t>
        </is>
      </c>
      <c r="B2035" t="inlineStr">
        <is>
          <t>Wednesday</t>
        </is>
      </c>
      <c r="C2035" t="inlineStr">
        <is>
          <t>Week2-Feb-2026</t>
        </is>
      </c>
      <c r="D2035" s="78" t="n">
        <v>46054</v>
      </c>
      <c r="E2035" t="inlineStr">
        <is>
          <t>Q4FY26</t>
        </is>
      </c>
      <c r="F2035" t="inlineStr">
        <is>
          <t>31-Dec-2030</t>
        </is>
      </c>
      <c r="G2035" t="inlineStr">
        <is>
          <t>Tuesday</t>
        </is>
      </c>
      <c r="H2035" t="inlineStr">
        <is>
          <t>Monthly - Tuesday</t>
        </is>
      </c>
      <c r="I2035" t="inlineStr">
        <is>
          <t>Monthly - Tuesday</t>
        </is>
      </c>
      <c r="J2035" t="inlineStr">
        <is>
          <t>Month+58 Expiry</t>
        </is>
      </c>
      <c r="K2035" s="25" t="n">
        <v>0</v>
      </c>
      <c r="L2035" s="26" t="n">
        <v>0</v>
      </c>
      <c r="M2035" s="26" t="n">
        <v>0</v>
      </c>
    </row>
    <row r="2036" ht="16" customHeight="1">
      <c r="A2036" t="inlineStr">
        <is>
          <t>12-Feb-2026</t>
        </is>
      </c>
      <c r="B2036" t="inlineStr">
        <is>
          <t>Thursday</t>
        </is>
      </c>
      <c r="C2036" t="inlineStr">
        <is>
          <t>Week2-Feb-2026</t>
        </is>
      </c>
      <c r="D2036" s="78" t="n">
        <v>46054</v>
      </c>
      <c r="E2036" t="inlineStr">
        <is>
          <t>Q4FY26</t>
        </is>
      </c>
      <c r="F2036" t="inlineStr">
        <is>
          <t>17-Feb-2026</t>
        </is>
      </c>
      <c r="G2036" t="inlineStr">
        <is>
          <t>Tuesday</t>
        </is>
      </c>
      <c r="H2036" t="inlineStr">
        <is>
          <t>Weekly - Tuesday</t>
        </is>
      </c>
      <c r="I2036" t="inlineStr">
        <is>
          <t>Weekly - Tuesday</t>
        </is>
      </c>
      <c r="J2036" t="inlineStr">
        <is>
          <t>Same Month Expiry</t>
        </is>
      </c>
      <c r="K2036" s="25" t="n">
        <v>47923897</v>
      </c>
      <c r="L2036" s="26" t="n">
        <v>80807.2934</v>
      </c>
      <c r="M2036" s="26" t="n">
        <v>217.7932</v>
      </c>
    </row>
    <row r="2037" ht="16" customHeight="1">
      <c r="A2037" t="inlineStr">
        <is>
          <t>12-Feb-2026</t>
        </is>
      </c>
      <c r="B2037" t="inlineStr">
        <is>
          <t>Thursday</t>
        </is>
      </c>
      <c r="C2037" t="inlineStr">
        <is>
          <t>Week2-Feb-2026</t>
        </is>
      </c>
      <c r="D2037" s="78" t="n">
        <v>46054</v>
      </c>
      <c r="E2037" t="inlineStr">
        <is>
          <t>Q4FY26</t>
        </is>
      </c>
      <c r="F2037" t="inlineStr">
        <is>
          <t>24-Feb-2026</t>
        </is>
      </c>
      <c r="G2037" t="inlineStr">
        <is>
          <t>Tuesday</t>
        </is>
      </c>
      <c r="H2037" t="inlineStr">
        <is>
          <t>Monthly - Tuesday</t>
        </is>
      </c>
      <c r="I2037" t="inlineStr">
        <is>
          <t>Monthly - Tuesday</t>
        </is>
      </c>
      <c r="J2037" t="inlineStr">
        <is>
          <t>Same Month Expiry</t>
        </is>
      </c>
      <c r="K2037" s="25" t="n">
        <v>2420400</v>
      </c>
      <c r="L2037" s="26" t="n">
        <v>4083.1093</v>
      </c>
      <c r="M2037" s="26" t="n">
        <v>18.38</v>
      </c>
    </row>
    <row r="2038" ht="16" customHeight="1">
      <c r="A2038" t="inlineStr">
        <is>
          <t>12-Feb-2026</t>
        </is>
      </c>
      <c r="B2038" t="inlineStr">
        <is>
          <t>Thursday</t>
        </is>
      </c>
      <c r="C2038" t="inlineStr">
        <is>
          <t>Week2-Feb-2026</t>
        </is>
      </c>
      <c r="D2038" s="78" t="n">
        <v>46054</v>
      </c>
      <c r="E2038" t="inlineStr">
        <is>
          <t>Q4FY26</t>
        </is>
      </c>
      <c r="F2038" t="inlineStr">
        <is>
          <t>02-Mar-2026</t>
        </is>
      </c>
      <c r="G2038" t="inlineStr">
        <is>
          <t>Monday</t>
        </is>
      </c>
      <c r="H2038" t="inlineStr">
        <is>
          <t>Weekly - Monday</t>
        </is>
      </c>
      <c r="I2038" t="inlineStr">
        <is>
          <t>Weekly - Monday</t>
        </is>
      </c>
      <c r="J2038" t="inlineStr">
        <is>
          <t>Month+1 Expiry</t>
        </is>
      </c>
      <c r="K2038" s="25" t="n">
        <v>134504</v>
      </c>
      <c r="L2038" s="26" t="n">
        <v>227.6103</v>
      </c>
      <c r="M2038" s="26" t="n">
        <v>1.2356</v>
      </c>
    </row>
    <row r="2039" ht="16" customHeight="1">
      <c r="A2039" t="inlineStr">
        <is>
          <t>12-Feb-2026</t>
        </is>
      </c>
      <c r="B2039" t="inlineStr">
        <is>
          <t>Thursday</t>
        </is>
      </c>
      <c r="C2039" t="inlineStr">
        <is>
          <t>Week2-Feb-2026</t>
        </is>
      </c>
      <c r="D2039" s="78" t="n">
        <v>46054</v>
      </c>
      <c r="E2039" t="inlineStr">
        <is>
          <t>Q4FY26</t>
        </is>
      </c>
      <c r="F2039" t="inlineStr">
        <is>
          <t>10-Mar-2026</t>
        </is>
      </c>
      <c r="G2039" t="inlineStr">
        <is>
          <t>Tuesday</t>
        </is>
      </c>
      <c r="H2039" t="inlineStr">
        <is>
          <t>Weekly - Tuesday</t>
        </is>
      </c>
      <c r="I2039" t="inlineStr">
        <is>
          <t>Weekly - Tuesday</t>
        </is>
      </c>
      <c r="J2039" t="inlineStr">
        <is>
          <t>Month+1 Expiry</t>
        </is>
      </c>
      <c r="K2039" s="25" t="n">
        <v>12458</v>
      </c>
      <c r="L2039" s="26" t="n">
        <v>21.1255</v>
      </c>
      <c r="M2039" s="26" t="n">
        <v>0.1374</v>
      </c>
    </row>
    <row r="2040" ht="16" customHeight="1">
      <c r="A2040" t="inlineStr">
        <is>
          <t>12-Feb-2026</t>
        </is>
      </c>
      <c r="B2040" t="inlineStr">
        <is>
          <t>Thursday</t>
        </is>
      </c>
      <c r="C2040" t="inlineStr">
        <is>
          <t>Week2-Feb-2026</t>
        </is>
      </c>
      <c r="D2040" s="78" t="n">
        <v>46054</v>
      </c>
      <c r="E2040" t="inlineStr">
        <is>
          <t>Q4FY26</t>
        </is>
      </c>
      <c r="F2040" t="inlineStr">
        <is>
          <t>17-Mar-2026</t>
        </is>
      </c>
      <c r="G2040" t="inlineStr">
        <is>
          <t>Tuesday</t>
        </is>
      </c>
      <c r="H2040" t="inlineStr">
        <is>
          <t>Weekly - Tuesday</t>
        </is>
      </c>
      <c r="I2040" t="inlineStr">
        <is>
          <t>Weekly - Tuesday</t>
        </is>
      </c>
      <c r="J2040" t="inlineStr">
        <is>
          <t>Month+1 Expiry</t>
        </is>
      </c>
      <c r="K2040" s="25" t="n">
        <v>638</v>
      </c>
      <c r="L2040" s="26" t="n">
        <v>1.0733</v>
      </c>
      <c r="M2040" s="26" t="n">
        <v>0.0075</v>
      </c>
    </row>
    <row r="2041" ht="16" customHeight="1">
      <c r="A2041" t="inlineStr">
        <is>
          <t>12-Feb-2026</t>
        </is>
      </c>
      <c r="B2041" t="inlineStr">
        <is>
          <t>Thursday</t>
        </is>
      </c>
      <c r="C2041" t="inlineStr">
        <is>
          <t>Week2-Feb-2026</t>
        </is>
      </c>
      <c r="D2041" s="78" t="n">
        <v>46054</v>
      </c>
      <c r="E2041" t="inlineStr">
        <is>
          <t>Q4FY26</t>
        </is>
      </c>
      <c r="F2041" t="inlineStr">
        <is>
          <t>30-Mar-2026</t>
        </is>
      </c>
      <c r="G2041" t="inlineStr">
        <is>
          <t>Monday</t>
        </is>
      </c>
      <c r="H2041" t="inlineStr">
        <is>
          <t>Monthly - Monday</t>
        </is>
      </c>
      <c r="I2041" t="inlineStr">
        <is>
          <t>Monthly - Monday</t>
        </is>
      </c>
      <c r="J2041" t="inlineStr">
        <is>
          <t>Month+1 Expiry</t>
        </is>
      </c>
      <c r="K2041" s="25" t="n">
        <v>326803</v>
      </c>
      <c r="L2041" s="26" t="n">
        <v>550.9161</v>
      </c>
      <c r="M2041" s="26" t="n">
        <v>4.1783</v>
      </c>
    </row>
    <row r="2042" ht="16" customHeight="1">
      <c r="A2042" t="inlineStr">
        <is>
          <t>12-Feb-2026</t>
        </is>
      </c>
      <c r="B2042" t="inlineStr">
        <is>
          <t>Thursday</t>
        </is>
      </c>
      <c r="C2042" t="inlineStr">
        <is>
          <t>Week2-Feb-2026</t>
        </is>
      </c>
      <c r="D2042" s="78" t="n">
        <v>46054</v>
      </c>
      <c r="E2042" t="inlineStr">
        <is>
          <t>Q4FY26</t>
        </is>
      </c>
      <c r="F2042" t="inlineStr">
        <is>
          <t>28-Apr-2026</t>
        </is>
      </c>
      <c r="G2042" t="inlineStr">
        <is>
          <t>Tuesday</t>
        </is>
      </c>
      <c r="H2042" t="inlineStr">
        <is>
          <t>Monthly - Tuesday</t>
        </is>
      </c>
      <c r="I2042" t="inlineStr">
        <is>
          <t>Monthly - Tuesday</t>
        </is>
      </c>
      <c r="J2042" t="inlineStr">
        <is>
          <t>Month+2 Expiry</t>
        </is>
      </c>
      <c r="K2042" s="25" t="n">
        <v>40803</v>
      </c>
      <c r="L2042" s="26" t="n">
        <v>68.6294</v>
      </c>
      <c r="M2042" s="26" t="n">
        <v>0.6637</v>
      </c>
    </row>
    <row r="2043" ht="16" customHeight="1">
      <c r="A2043" t="inlineStr">
        <is>
          <t>12-Feb-2026</t>
        </is>
      </c>
      <c r="B2043" t="inlineStr">
        <is>
          <t>Thursday</t>
        </is>
      </c>
      <c r="C2043" t="inlineStr">
        <is>
          <t>Week2-Feb-2026</t>
        </is>
      </c>
      <c r="D2043" s="78" t="n">
        <v>46054</v>
      </c>
      <c r="E2043" t="inlineStr">
        <is>
          <t>Q4FY26</t>
        </is>
      </c>
      <c r="F2043" t="inlineStr">
        <is>
          <t>30-Jun-2026</t>
        </is>
      </c>
      <c r="G2043" t="inlineStr">
        <is>
          <t>Tuesday</t>
        </is>
      </c>
      <c r="H2043" t="inlineStr">
        <is>
          <t>Monthly - Tuesday</t>
        </is>
      </c>
      <c r="I2043" t="inlineStr">
        <is>
          <t>Monthly - Tuesday</t>
        </is>
      </c>
      <c r="J2043" t="inlineStr">
        <is>
          <t>Month+4 Expiry</t>
        </is>
      </c>
      <c r="K2043" s="25" t="n">
        <v>24649</v>
      </c>
      <c r="L2043" s="26" t="n">
        <v>41.7451</v>
      </c>
      <c r="M2043" s="26" t="n">
        <v>0.7058</v>
      </c>
    </row>
    <row r="2044" ht="16" customHeight="1">
      <c r="A2044" t="inlineStr">
        <is>
          <t>12-Feb-2026</t>
        </is>
      </c>
      <c r="B2044" t="inlineStr">
        <is>
          <t>Thursday</t>
        </is>
      </c>
      <c r="C2044" t="inlineStr">
        <is>
          <t>Week2-Feb-2026</t>
        </is>
      </c>
      <c r="D2044" s="78" t="n">
        <v>46054</v>
      </c>
      <c r="E2044" t="inlineStr">
        <is>
          <t>Q4FY26</t>
        </is>
      </c>
      <c r="F2044" t="inlineStr">
        <is>
          <t>29-Sep-2026</t>
        </is>
      </c>
      <c r="G2044" t="inlineStr">
        <is>
          <t>Tuesday</t>
        </is>
      </c>
      <c r="H2044" t="inlineStr">
        <is>
          <t>Monthly - Tuesday</t>
        </is>
      </c>
      <c r="I2044" t="inlineStr">
        <is>
          <t>Monthly - Tuesday</t>
        </is>
      </c>
      <c r="J2044" t="inlineStr">
        <is>
          <t>Month+7 Expiry</t>
        </is>
      </c>
      <c r="K2044" s="25" t="n">
        <v>3358</v>
      </c>
      <c r="L2044" s="26" t="n">
        <v>5.6807</v>
      </c>
      <c r="M2044" s="26" t="n">
        <v>0.1058</v>
      </c>
    </row>
    <row r="2045" ht="16" customHeight="1">
      <c r="A2045" t="inlineStr">
        <is>
          <t>12-Feb-2026</t>
        </is>
      </c>
      <c r="B2045" t="inlineStr">
        <is>
          <t>Thursday</t>
        </is>
      </c>
      <c r="C2045" t="inlineStr">
        <is>
          <t>Week2-Feb-2026</t>
        </is>
      </c>
      <c r="D2045" s="78" t="n">
        <v>46054</v>
      </c>
      <c r="E2045" t="inlineStr">
        <is>
          <t>Q4FY26</t>
        </is>
      </c>
      <c r="F2045" t="inlineStr">
        <is>
          <t>29-Dec-2026</t>
        </is>
      </c>
      <c r="G2045" t="inlineStr">
        <is>
          <t>Tuesday</t>
        </is>
      </c>
      <c r="H2045" t="inlineStr">
        <is>
          <t>Monthly - Tuesday</t>
        </is>
      </c>
      <c r="I2045" t="inlineStr">
        <is>
          <t>Monthly - Tuesday</t>
        </is>
      </c>
      <c r="J2045" t="inlineStr">
        <is>
          <t>Month+10 Expiry</t>
        </is>
      </c>
      <c r="K2045" s="25" t="n">
        <v>7613</v>
      </c>
      <c r="L2045" s="26" t="n">
        <v>13.0773</v>
      </c>
      <c r="M2045" s="26" t="n">
        <v>0.2854</v>
      </c>
    </row>
    <row r="2046" ht="16" customHeight="1">
      <c r="A2046" t="inlineStr">
        <is>
          <t>12-Feb-2026</t>
        </is>
      </c>
      <c r="B2046" t="inlineStr">
        <is>
          <t>Thursday</t>
        </is>
      </c>
      <c r="C2046" t="inlineStr">
        <is>
          <t>Week2-Feb-2026</t>
        </is>
      </c>
      <c r="D2046" s="78" t="n">
        <v>46054</v>
      </c>
      <c r="E2046" t="inlineStr">
        <is>
          <t>Q4FY26</t>
        </is>
      </c>
      <c r="F2046" t="inlineStr">
        <is>
          <t>29-Jun-2027</t>
        </is>
      </c>
      <c r="G2046" t="inlineStr">
        <is>
          <t>Tuesday</t>
        </is>
      </c>
      <c r="H2046" t="inlineStr">
        <is>
          <t>Monthly - Tuesday</t>
        </is>
      </c>
      <c r="I2046" t="inlineStr">
        <is>
          <t>Monthly - Tuesday</t>
        </is>
      </c>
      <c r="J2046" t="inlineStr">
        <is>
          <t>Month+16 Expiry</t>
        </is>
      </c>
      <c r="K2046" s="25" t="n">
        <v>0</v>
      </c>
      <c r="L2046" s="26" t="n">
        <v>0</v>
      </c>
      <c r="M2046" s="26" t="n">
        <v>0</v>
      </c>
    </row>
    <row r="2047" ht="16" customHeight="1">
      <c r="A2047" t="inlineStr">
        <is>
          <t>12-Feb-2026</t>
        </is>
      </c>
      <c r="B2047" t="inlineStr">
        <is>
          <t>Thursday</t>
        </is>
      </c>
      <c r="C2047" t="inlineStr">
        <is>
          <t>Week2-Feb-2026</t>
        </is>
      </c>
      <c r="D2047" s="78" t="n">
        <v>46054</v>
      </c>
      <c r="E2047" t="inlineStr">
        <is>
          <t>Q4FY26</t>
        </is>
      </c>
      <c r="F2047" t="inlineStr">
        <is>
          <t>28-Dec-2027</t>
        </is>
      </c>
      <c r="G2047" t="inlineStr">
        <is>
          <t>Tuesday</t>
        </is>
      </c>
      <c r="H2047" t="inlineStr">
        <is>
          <t>Monthly - Tuesday</t>
        </is>
      </c>
      <c r="I2047" t="inlineStr">
        <is>
          <t>Monthly - Tuesday</t>
        </is>
      </c>
      <c r="J2047" t="inlineStr">
        <is>
          <t>Month+22 Expiry</t>
        </is>
      </c>
      <c r="K2047" s="25" t="n">
        <v>29</v>
      </c>
      <c r="L2047" s="26" t="n">
        <v>0.052</v>
      </c>
      <c r="M2047" s="26" t="n">
        <v>0.0034</v>
      </c>
    </row>
    <row r="2048" ht="16" customHeight="1">
      <c r="A2048" t="inlineStr">
        <is>
          <t>12-Feb-2026</t>
        </is>
      </c>
      <c r="B2048" t="inlineStr">
        <is>
          <t>Thursday</t>
        </is>
      </c>
      <c r="C2048" t="inlineStr">
        <is>
          <t>Week2-Feb-2026</t>
        </is>
      </c>
      <c r="D2048" s="78" t="n">
        <v>46054</v>
      </c>
      <c r="E2048" t="inlineStr">
        <is>
          <t>Q4FY26</t>
        </is>
      </c>
      <c r="F2048" t="inlineStr">
        <is>
          <t>27-Jun-2028</t>
        </is>
      </c>
      <c r="G2048" t="inlineStr">
        <is>
          <t>Tuesday</t>
        </is>
      </c>
      <c r="H2048" t="inlineStr">
        <is>
          <t>Monthly - Tuesday</t>
        </is>
      </c>
      <c r="I2048" t="inlineStr">
        <is>
          <t>Monthly - Tuesday</t>
        </is>
      </c>
      <c r="J2048" t="inlineStr">
        <is>
          <t>Month+28 Expiry</t>
        </is>
      </c>
      <c r="K2048" s="25" t="n">
        <v>1</v>
      </c>
      <c r="L2048" s="26" t="n">
        <v>0.0014</v>
      </c>
      <c r="M2048" s="26" t="n">
        <v>0</v>
      </c>
    </row>
    <row r="2049" ht="16" customHeight="1">
      <c r="A2049" t="inlineStr">
        <is>
          <t>12-Feb-2026</t>
        </is>
      </c>
      <c r="B2049" t="inlineStr">
        <is>
          <t>Thursday</t>
        </is>
      </c>
      <c r="C2049" t="inlineStr">
        <is>
          <t>Week2-Feb-2026</t>
        </is>
      </c>
      <c r="D2049" s="78" t="n">
        <v>46054</v>
      </c>
      <c r="E2049" t="inlineStr">
        <is>
          <t>Q4FY26</t>
        </is>
      </c>
      <c r="F2049" t="inlineStr">
        <is>
          <t>26-Dec-2028</t>
        </is>
      </c>
      <c r="G2049" t="inlineStr">
        <is>
          <t>Tuesday</t>
        </is>
      </c>
      <c r="H2049" t="inlineStr">
        <is>
          <t>Monthly - Tuesday</t>
        </is>
      </c>
      <c r="I2049" t="inlineStr">
        <is>
          <t>Monthly - Tuesday</t>
        </is>
      </c>
      <c r="J2049" t="inlineStr">
        <is>
          <t>Month+34 Expiry</t>
        </is>
      </c>
      <c r="K2049" s="25" t="n">
        <v>1</v>
      </c>
      <c r="L2049" s="26" t="n">
        <v>0.0018</v>
      </c>
      <c r="M2049" s="26" t="n">
        <v>0.0001</v>
      </c>
    </row>
    <row r="2050" ht="16" customHeight="1">
      <c r="A2050" t="inlineStr">
        <is>
          <t>12-Feb-2026</t>
        </is>
      </c>
      <c r="B2050" t="inlineStr">
        <is>
          <t>Thursday</t>
        </is>
      </c>
      <c r="C2050" t="inlineStr">
        <is>
          <t>Week2-Feb-2026</t>
        </is>
      </c>
      <c r="D2050" s="78" t="n">
        <v>46054</v>
      </c>
      <c r="E2050" t="inlineStr">
        <is>
          <t>Q4FY26</t>
        </is>
      </c>
      <c r="F2050" t="inlineStr">
        <is>
          <t>26-Jun-2029</t>
        </is>
      </c>
      <c r="G2050" t="inlineStr">
        <is>
          <t>Tuesday</t>
        </is>
      </c>
      <c r="H2050" t="inlineStr">
        <is>
          <t>Monthly - Tuesday</t>
        </is>
      </c>
      <c r="I2050" t="inlineStr">
        <is>
          <t>Monthly - Tuesday</t>
        </is>
      </c>
      <c r="J2050" t="inlineStr">
        <is>
          <t>Month+40 Expiry</t>
        </is>
      </c>
      <c r="K2050" s="25" t="n">
        <v>0</v>
      </c>
      <c r="L2050" s="26" t="n">
        <v>0</v>
      </c>
      <c r="M2050" s="26" t="n">
        <v>0</v>
      </c>
    </row>
    <row r="2051" ht="16" customHeight="1">
      <c r="A2051" t="inlineStr">
        <is>
          <t>12-Feb-2026</t>
        </is>
      </c>
      <c r="B2051" t="inlineStr">
        <is>
          <t>Thursday</t>
        </is>
      </c>
      <c r="C2051" t="inlineStr">
        <is>
          <t>Week2-Feb-2026</t>
        </is>
      </c>
      <c r="D2051" s="78" t="n">
        <v>46054</v>
      </c>
      <c r="E2051" t="inlineStr">
        <is>
          <t>Q4FY26</t>
        </is>
      </c>
      <c r="F2051" t="inlineStr">
        <is>
          <t>24-Dec-2029</t>
        </is>
      </c>
      <c r="G2051" t="inlineStr">
        <is>
          <t>Monday</t>
        </is>
      </c>
      <c r="H2051" t="inlineStr">
        <is>
          <t>Weekly - Monday</t>
        </is>
      </c>
      <c r="I2051" t="inlineStr">
        <is>
          <t>Weekly - Monday</t>
        </is>
      </c>
      <c r="J2051" t="inlineStr">
        <is>
          <t>Month+46 Expiry</t>
        </is>
      </c>
      <c r="K2051" s="25" t="n">
        <v>0</v>
      </c>
      <c r="L2051" s="26" t="n">
        <v>0</v>
      </c>
      <c r="M2051" s="26" t="n">
        <v>0</v>
      </c>
    </row>
    <row r="2052" ht="16" customHeight="1">
      <c r="A2052" t="inlineStr">
        <is>
          <t>12-Feb-2026</t>
        </is>
      </c>
      <c r="B2052" t="inlineStr">
        <is>
          <t>Thursday</t>
        </is>
      </c>
      <c r="C2052" t="inlineStr">
        <is>
          <t>Week2-Feb-2026</t>
        </is>
      </c>
      <c r="D2052" s="78" t="n">
        <v>46054</v>
      </c>
      <c r="E2052" t="inlineStr">
        <is>
          <t>Q4FY26</t>
        </is>
      </c>
      <c r="F2052" t="inlineStr">
        <is>
          <t>25-Jun-2030</t>
        </is>
      </c>
      <c r="G2052" t="inlineStr">
        <is>
          <t>Tuesday</t>
        </is>
      </c>
      <c r="H2052" t="inlineStr">
        <is>
          <t>Monthly - Tuesday</t>
        </is>
      </c>
      <c r="I2052" t="inlineStr">
        <is>
          <t>Monthly - Tuesday</t>
        </is>
      </c>
      <c r="J2052" t="inlineStr">
        <is>
          <t>Month+52 Expiry</t>
        </is>
      </c>
      <c r="K2052" s="25" t="n">
        <v>0</v>
      </c>
      <c r="L2052" s="26" t="n">
        <v>0</v>
      </c>
      <c r="M2052" s="26" t="n">
        <v>0</v>
      </c>
    </row>
    <row r="2053" ht="16" customHeight="1">
      <c r="A2053" t="inlineStr">
        <is>
          <t>12-Feb-2026</t>
        </is>
      </c>
      <c r="B2053" t="inlineStr">
        <is>
          <t>Thursday</t>
        </is>
      </c>
      <c r="C2053" t="inlineStr">
        <is>
          <t>Week2-Feb-2026</t>
        </is>
      </c>
      <c r="D2053" s="78" t="n">
        <v>46054</v>
      </c>
      <c r="E2053" t="inlineStr">
        <is>
          <t>Q4FY26</t>
        </is>
      </c>
      <c r="F2053" t="inlineStr">
        <is>
          <t>31-Dec-2030</t>
        </is>
      </c>
      <c r="G2053" t="inlineStr">
        <is>
          <t>Tuesday</t>
        </is>
      </c>
      <c r="H2053" t="inlineStr">
        <is>
          <t>Monthly - Tuesday</t>
        </is>
      </c>
      <c r="I2053" t="inlineStr">
        <is>
          <t>Monthly - Tuesday</t>
        </is>
      </c>
      <c r="J2053" t="inlineStr">
        <is>
          <t>Month+58 Expiry</t>
        </is>
      </c>
      <c r="K2053" s="25" t="n">
        <v>0</v>
      </c>
      <c r="L2053" s="26" t="n">
        <v>0</v>
      </c>
      <c r="M2053" s="26" t="n">
        <v>0</v>
      </c>
    </row>
    <row r="2054" ht="16" customHeight="1">
      <c r="A2054" t="inlineStr">
        <is>
          <t>13-Feb-2026</t>
        </is>
      </c>
      <c r="B2054" t="inlineStr">
        <is>
          <t>Friday</t>
        </is>
      </c>
      <c r="C2054" t="inlineStr">
        <is>
          <t>Week2-Feb-2026</t>
        </is>
      </c>
      <c r="D2054" s="78" t="n">
        <v>46054</v>
      </c>
      <c r="E2054" t="inlineStr">
        <is>
          <t>Q4FY26</t>
        </is>
      </c>
      <c r="F2054" t="inlineStr">
        <is>
          <t>17-Feb-2026</t>
        </is>
      </c>
      <c r="G2054" t="inlineStr">
        <is>
          <t>Tuesday</t>
        </is>
      </c>
      <c r="H2054" t="inlineStr">
        <is>
          <t>Weekly - Tuesday</t>
        </is>
      </c>
      <c r="I2054" t="inlineStr">
        <is>
          <t>Weekly - Tuesday</t>
        </is>
      </c>
      <c r="J2054" t="inlineStr">
        <is>
          <t>Same Month Expiry</t>
        </is>
      </c>
      <c r="K2054" s="25" t="n">
        <v>97511668</v>
      </c>
      <c r="L2054" s="26" t="n">
        <v>162930.0003</v>
      </c>
      <c r="M2054" s="26" t="n">
        <v>411.8341</v>
      </c>
    </row>
    <row r="2055" ht="16" customHeight="1">
      <c r="A2055" t="inlineStr">
        <is>
          <t>13-Feb-2026</t>
        </is>
      </c>
      <c r="B2055" t="inlineStr">
        <is>
          <t>Friday</t>
        </is>
      </c>
      <c r="C2055" t="inlineStr">
        <is>
          <t>Week2-Feb-2026</t>
        </is>
      </c>
      <c r="D2055" s="78" t="n">
        <v>46054</v>
      </c>
      <c r="E2055" t="inlineStr">
        <is>
          <t>Q4FY26</t>
        </is>
      </c>
      <c r="F2055" t="inlineStr">
        <is>
          <t>24-Feb-2026</t>
        </is>
      </c>
      <c r="G2055" t="inlineStr">
        <is>
          <t>Tuesday</t>
        </is>
      </c>
      <c r="H2055" t="inlineStr">
        <is>
          <t>Monthly - Tuesday</t>
        </is>
      </c>
      <c r="I2055" t="inlineStr">
        <is>
          <t>Monthly - Tuesday</t>
        </is>
      </c>
      <c r="J2055" t="inlineStr">
        <is>
          <t>Same Month Expiry</t>
        </is>
      </c>
      <c r="K2055" s="25" t="n">
        <v>4609030</v>
      </c>
      <c r="L2055" s="26" t="n">
        <v>7719.6321</v>
      </c>
      <c r="M2055" s="26" t="n">
        <v>33.2103</v>
      </c>
    </row>
    <row r="2056" ht="16" customHeight="1">
      <c r="A2056" t="inlineStr">
        <is>
          <t>13-Feb-2026</t>
        </is>
      </c>
      <c r="B2056" t="inlineStr">
        <is>
          <t>Friday</t>
        </is>
      </c>
      <c r="C2056" t="inlineStr">
        <is>
          <t>Week2-Feb-2026</t>
        </is>
      </c>
      <c r="D2056" s="78" t="n">
        <v>46054</v>
      </c>
      <c r="E2056" t="inlineStr">
        <is>
          <t>Q4FY26</t>
        </is>
      </c>
      <c r="F2056" t="inlineStr">
        <is>
          <t>02-Mar-2026</t>
        </is>
      </c>
      <c r="G2056" t="inlineStr">
        <is>
          <t>Monday</t>
        </is>
      </c>
      <c r="H2056" t="inlineStr">
        <is>
          <t>Weekly - Monday</t>
        </is>
      </c>
      <c r="I2056" t="inlineStr">
        <is>
          <t>Weekly - Monday</t>
        </is>
      </c>
      <c r="J2056" t="inlineStr">
        <is>
          <t>Month+1 Expiry</t>
        </is>
      </c>
      <c r="K2056" s="25" t="n">
        <v>298498</v>
      </c>
      <c r="L2056" s="26" t="n">
        <v>500.5458</v>
      </c>
      <c r="M2056" s="26" t="n">
        <v>2.6753</v>
      </c>
    </row>
    <row r="2057" ht="16" customHeight="1">
      <c r="A2057" t="inlineStr">
        <is>
          <t>13-Feb-2026</t>
        </is>
      </c>
      <c r="B2057" t="inlineStr">
        <is>
          <t>Friday</t>
        </is>
      </c>
      <c r="C2057" t="inlineStr">
        <is>
          <t>Week2-Feb-2026</t>
        </is>
      </c>
      <c r="D2057" s="78" t="n">
        <v>46054</v>
      </c>
      <c r="E2057" t="inlineStr">
        <is>
          <t>Q4FY26</t>
        </is>
      </c>
      <c r="F2057" t="inlineStr">
        <is>
          <t>10-Mar-2026</t>
        </is>
      </c>
      <c r="G2057" t="inlineStr">
        <is>
          <t>Tuesday</t>
        </is>
      </c>
      <c r="H2057" t="inlineStr">
        <is>
          <t>Weekly - Tuesday</t>
        </is>
      </c>
      <c r="I2057" t="inlineStr">
        <is>
          <t>Weekly - Tuesday</t>
        </is>
      </c>
      <c r="J2057" t="inlineStr">
        <is>
          <t>Month+1 Expiry</t>
        </is>
      </c>
      <c r="K2057" s="25" t="n">
        <v>30338</v>
      </c>
      <c r="L2057" s="26" t="n">
        <v>50.9965</v>
      </c>
      <c r="M2057" s="26" t="n">
        <v>0.3496</v>
      </c>
    </row>
    <row r="2058" ht="16" customHeight="1">
      <c r="A2058" t="inlineStr">
        <is>
          <t>13-Feb-2026</t>
        </is>
      </c>
      <c r="B2058" t="inlineStr">
        <is>
          <t>Friday</t>
        </is>
      </c>
      <c r="C2058" t="inlineStr">
        <is>
          <t>Week2-Feb-2026</t>
        </is>
      </c>
      <c r="D2058" s="78" t="n">
        <v>46054</v>
      </c>
      <c r="E2058" t="inlineStr">
        <is>
          <t>Q4FY26</t>
        </is>
      </c>
      <c r="F2058" t="inlineStr">
        <is>
          <t>17-Mar-2026</t>
        </is>
      </c>
      <c r="G2058" t="inlineStr">
        <is>
          <t>Tuesday</t>
        </is>
      </c>
      <c r="H2058" t="inlineStr">
        <is>
          <t>Weekly - Tuesday</t>
        </is>
      </c>
      <c r="I2058" t="inlineStr">
        <is>
          <t>Weekly - Tuesday</t>
        </is>
      </c>
      <c r="J2058" t="inlineStr">
        <is>
          <t>Month+1 Expiry</t>
        </is>
      </c>
      <c r="K2058" s="25" t="n">
        <v>2769</v>
      </c>
      <c r="L2058" s="26" t="n">
        <v>4.6214</v>
      </c>
      <c r="M2058" s="26" t="n">
        <v>0.0323</v>
      </c>
    </row>
    <row r="2059" ht="16" customHeight="1">
      <c r="A2059" t="inlineStr">
        <is>
          <t>13-Feb-2026</t>
        </is>
      </c>
      <c r="B2059" t="inlineStr">
        <is>
          <t>Friday</t>
        </is>
      </c>
      <c r="C2059" t="inlineStr">
        <is>
          <t>Week2-Feb-2026</t>
        </is>
      </c>
      <c r="D2059" s="78" t="n">
        <v>46054</v>
      </c>
      <c r="E2059" t="inlineStr">
        <is>
          <t>Q4FY26</t>
        </is>
      </c>
      <c r="F2059" t="inlineStr">
        <is>
          <t>30-Mar-2026</t>
        </is>
      </c>
      <c r="G2059" t="inlineStr">
        <is>
          <t>Monday</t>
        </is>
      </c>
      <c r="H2059" t="inlineStr">
        <is>
          <t>Monthly - Monday</t>
        </is>
      </c>
      <c r="I2059" t="inlineStr">
        <is>
          <t>Monthly - Monday</t>
        </is>
      </c>
      <c r="J2059" t="inlineStr">
        <is>
          <t>Month+1 Expiry</t>
        </is>
      </c>
      <c r="K2059" s="25" t="n">
        <v>694238</v>
      </c>
      <c r="L2059" s="26" t="n">
        <v>1154.9695</v>
      </c>
      <c r="M2059" s="26" t="n">
        <v>8.3529</v>
      </c>
    </row>
    <row r="2060" ht="16" customHeight="1">
      <c r="A2060" t="inlineStr">
        <is>
          <t>13-Feb-2026</t>
        </is>
      </c>
      <c r="B2060" t="inlineStr">
        <is>
          <t>Friday</t>
        </is>
      </c>
      <c r="C2060" t="inlineStr">
        <is>
          <t>Week2-Feb-2026</t>
        </is>
      </c>
      <c r="D2060" s="78" t="n">
        <v>46054</v>
      </c>
      <c r="E2060" t="inlineStr">
        <is>
          <t>Q4FY26</t>
        </is>
      </c>
      <c r="F2060" t="inlineStr">
        <is>
          <t>28-Apr-2026</t>
        </is>
      </c>
      <c r="G2060" t="inlineStr">
        <is>
          <t>Tuesday</t>
        </is>
      </c>
      <c r="H2060" t="inlineStr">
        <is>
          <t>Monthly - Tuesday</t>
        </is>
      </c>
      <c r="I2060" t="inlineStr">
        <is>
          <t>Monthly - Tuesday</t>
        </is>
      </c>
      <c r="J2060" t="inlineStr">
        <is>
          <t>Month+2 Expiry</t>
        </is>
      </c>
      <c r="K2060" s="25" t="n">
        <v>79830</v>
      </c>
      <c r="L2060" s="26" t="n">
        <v>134.0125</v>
      </c>
      <c r="M2060" s="26" t="n">
        <v>1.3905</v>
      </c>
    </row>
    <row r="2061" ht="16" customHeight="1">
      <c r="A2061" t="inlineStr">
        <is>
          <t>13-Feb-2026</t>
        </is>
      </c>
      <c r="B2061" t="inlineStr">
        <is>
          <t>Friday</t>
        </is>
      </c>
      <c r="C2061" t="inlineStr">
        <is>
          <t>Week2-Feb-2026</t>
        </is>
      </c>
      <c r="D2061" s="78" t="n">
        <v>46054</v>
      </c>
      <c r="E2061" t="inlineStr">
        <is>
          <t>Q4FY26</t>
        </is>
      </c>
      <c r="F2061" t="inlineStr">
        <is>
          <t>30-Jun-2026</t>
        </is>
      </c>
      <c r="G2061" t="inlineStr">
        <is>
          <t>Tuesday</t>
        </is>
      </c>
      <c r="H2061" t="inlineStr">
        <is>
          <t>Monthly - Tuesday</t>
        </is>
      </c>
      <c r="I2061" t="inlineStr">
        <is>
          <t>Monthly - Tuesday</t>
        </is>
      </c>
      <c r="J2061" t="inlineStr">
        <is>
          <t>Month+4 Expiry</t>
        </is>
      </c>
      <c r="K2061" s="25" t="n">
        <v>40492</v>
      </c>
      <c r="L2061" s="26" t="n">
        <v>68.9528</v>
      </c>
      <c r="M2061" s="26" t="n">
        <v>0.9258</v>
      </c>
    </row>
    <row r="2062" ht="16" customHeight="1">
      <c r="A2062" t="inlineStr">
        <is>
          <t>13-Feb-2026</t>
        </is>
      </c>
      <c r="B2062" t="inlineStr">
        <is>
          <t>Friday</t>
        </is>
      </c>
      <c r="C2062" t="inlineStr">
        <is>
          <t>Week2-Feb-2026</t>
        </is>
      </c>
      <c r="D2062" s="78" t="n">
        <v>46054</v>
      </c>
      <c r="E2062" t="inlineStr">
        <is>
          <t>Q4FY26</t>
        </is>
      </c>
      <c r="F2062" t="inlineStr">
        <is>
          <t>29-Sep-2026</t>
        </is>
      </c>
      <c r="G2062" t="inlineStr">
        <is>
          <t>Tuesday</t>
        </is>
      </c>
      <c r="H2062" t="inlineStr">
        <is>
          <t>Monthly - Tuesday</t>
        </is>
      </c>
      <c r="I2062" t="inlineStr">
        <is>
          <t>Monthly - Tuesday</t>
        </is>
      </c>
      <c r="J2062" t="inlineStr">
        <is>
          <t>Month+7 Expiry</t>
        </is>
      </c>
      <c r="K2062" s="25" t="n">
        <v>5250</v>
      </c>
      <c r="L2062" s="26" t="n">
        <v>8.796799999999999</v>
      </c>
      <c r="M2062" s="26" t="n">
        <v>0.17</v>
      </c>
    </row>
    <row r="2063" ht="16" customHeight="1">
      <c r="A2063" t="inlineStr">
        <is>
          <t>13-Feb-2026</t>
        </is>
      </c>
      <c r="B2063" t="inlineStr">
        <is>
          <t>Friday</t>
        </is>
      </c>
      <c r="C2063" t="inlineStr">
        <is>
          <t>Week2-Feb-2026</t>
        </is>
      </c>
      <c r="D2063" s="78" t="n">
        <v>46054</v>
      </c>
      <c r="E2063" t="inlineStr">
        <is>
          <t>Q4FY26</t>
        </is>
      </c>
      <c r="F2063" t="inlineStr">
        <is>
          <t>29-Dec-2026</t>
        </is>
      </c>
      <c r="G2063" t="inlineStr">
        <is>
          <t>Tuesday</t>
        </is>
      </c>
      <c r="H2063" t="inlineStr">
        <is>
          <t>Monthly - Tuesday</t>
        </is>
      </c>
      <c r="I2063" t="inlineStr">
        <is>
          <t>Monthly - Tuesday</t>
        </is>
      </c>
      <c r="J2063" t="inlineStr">
        <is>
          <t>Month+10 Expiry</t>
        </is>
      </c>
      <c r="K2063" s="25" t="n">
        <v>14535</v>
      </c>
      <c r="L2063" s="26" t="n">
        <v>25.5793</v>
      </c>
      <c r="M2063" s="26" t="n">
        <v>0.6508</v>
      </c>
    </row>
    <row r="2064" ht="16" customHeight="1">
      <c r="A2064" t="inlineStr">
        <is>
          <t>13-Feb-2026</t>
        </is>
      </c>
      <c r="B2064" t="inlineStr">
        <is>
          <t>Friday</t>
        </is>
      </c>
      <c r="C2064" t="inlineStr">
        <is>
          <t>Week2-Feb-2026</t>
        </is>
      </c>
      <c r="D2064" s="78" t="n">
        <v>46054</v>
      </c>
      <c r="E2064" t="inlineStr">
        <is>
          <t>Q4FY26</t>
        </is>
      </c>
      <c r="F2064" t="inlineStr">
        <is>
          <t>29-Jun-2027</t>
        </is>
      </c>
      <c r="G2064" t="inlineStr">
        <is>
          <t>Tuesday</t>
        </is>
      </c>
      <c r="H2064" t="inlineStr">
        <is>
          <t>Monthly - Tuesday</t>
        </is>
      </c>
      <c r="I2064" t="inlineStr">
        <is>
          <t>Monthly - Tuesday</t>
        </is>
      </c>
      <c r="J2064" t="inlineStr">
        <is>
          <t>Month+16 Expiry</t>
        </is>
      </c>
      <c r="K2064" s="25" t="n">
        <v>0</v>
      </c>
      <c r="L2064" s="26" t="n">
        <v>0</v>
      </c>
      <c r="M2064" s="26" t="n">
        <v>0</v>
      </c>
    </row>
    <row r="2065" ht="16" customHeight="1">
      <c r="A2065" t="inlineStr">
        <is>
          <t>13-Feb-2026</t>
        </is>
      </c>
      <c r="B2065" t="inlineStr">
        <is>
          <t>Friday</t>
        </is>
      </c>
      <c r="C2065" t="inlineStr">
        <is>
          <t>Week2-Feb-2026</t>
        </is>
      </c>
      <c r="D2065" s="78" t="n">
        <v>46054</v>
      </c>
      <c r="E2065" t="inlineStr">
        <is>
          <t>Q4FY26</t>
        </is>
      </c>
      <c r="F2065" t="inlineStr">
        <is>
          <t>28-Dec-2027</t>
        </is>
      </c>
      <c r="G2065" t="inlineStr">
        <is>
          <t>Tuesday</t>
        </is>
      </c>
      <c r="H2065" t="inlineStr">
        <is>
          <t>Monthly - Tuesday</t>
        </is>
      </c>
      <c r="I2065" t="inlineStr">
        <is>
          <t>Monthly - Tuesday</t>
        </is>
      </c>
      <c r="J2065" t="inlineStr">
        <is>
          <t>Month+22 Expiry</t>
        </is>
      </c>
      <c r="K2065" s="25" t="n">
        <v>32</v>
      </c>
      <c r="L2065" s="26" t="n">
        <v>0.0552</v>
      </c>
      <c r="M2065" s="26" t="n">
        <v>0.0025</v>
      </c>
    </row>
    <row r="2066" ht="16" customHeight="1">
      <c r="A2066" t="inlineStr">
        <is>
          <t>13-Feb-2026</t>
        </is>
      </c>
      <c r="B2066" t="inlineStr">
        <is>
          <t>Friday</t>
        </is>
      </c>
      <c r="C2066" t="inlineStr">
        <is>
          <t>Week2-Feb-2026</t>
        </is>
      </c>
      <c r="D2066" s="78" t="n">
        <v>46054</v>
      </c>
      <c r="E2066" t="inlineStr">
        <is>
          <t>Q4FY26</t>
        </is>
      </c>
      <c r="F2066" t="inlineStr">
        <is>
          <t>27-Jun-2028</t>
        </is>
      </c>
      <c r="G2066" t="inlineStr">
        <is>
          <t>Tuesday</t>
        </is>
      </c>
      <c r="H2066" t="inlineStr">
        <is>
          <t>Monthly - Tuesday</t>
        </is>
      </c>
      <c r="I2066" t="inlineStr">
        <is>
          <t>Monthly - Tuesday</t>
        </is>
      </c>
      <c r="J2066" t="inlineStr">
        <is>
          <t>Month+28 Expiry</t>
        </is>
      </c>
      <c r="K2066" s="25" t="n">
        <v>0</v>
      </c>
      <c r="L2066" s="26" t="n">
        <v>0</v>
      </c>
      <c r="M2066" s="26" t="n">
        <v>0</v>
      </c>
    </row>
    <row r="2067" ht="16" customHeight="1">
      <c r="A2067" t="inlineStr">
        <is>
          <t>13-Feb-2026</t>
        </is>
      </c>
      <c r="B2067" t="inlineStr">
        <is>
          <t>Friday</t>
        </is>
      </c>
      <c r="C2067" t="inlineStr">
        <is>
          <t>Week2-Feb-2026</t>
        </is>
      </c>
      <c r="D2067" s="78" t="n">
        <v>46054</v>
      </c>
      <c r="E2067" t="inlineStr">
        <is>
          <t>Q4FY26</t>
        </is>
      </c>
      <c r="F2067" t="inlineStr">
        <is>
          <t>26-Dec-2028</t>
        </is>
      </c>
      <c r="G2067" t="inlineStr">
        <is>
          <t>Tuesday</t>
        </is>
      </c>
      <c r="H2067" t="inlineStr">
        <is>
          <t>Monthly - Tuesday</t>
        </is>
      </c>
      <c r="I2067" t="inlineStr">
        <is>
          <t>Monthly - Tuesday</t>
        </is>
      </c>
      <c r="J2067" t="inlineStr">
        <is>
          <t>Month+34 Expiry</t>
        </is>
      </c>
      <c r="K2067" s="25" t="n">
        <v>4</v>
      </c>
      <c r="L2067" s="26" t="n">
        <v>0.0076</v>
      </c>
      <c r="M2067" s="26" t="n">
        <v>0.0005999999999999999</v>
      </c>
    </row>
    <row r="2068" ht="16" customHeight="1">
      <c r="A2068" t="inlineStr">
        <is>
          <t>13-Feb-2026</t>
        </is>
      </c>
      <c r="B2068" t="inlineStr">
        <is>
          <t>Friday</t>
        </is>
      </c>
      <c r="C2068" t="inlineStr">
        <is>
          <t>Week2-Feb-2026</t>
        </is>
      </c>
      <c r="D2068" s="78" t="n">
        <v>46054</v>
      </c>
      <c r="E2068" t="inlineStr">
        <is>
          <t>Q4FY26</t>
        </is>
      </c>
      <c r="F2068" t="inlineStr">
        <is>
          <t>26-Jun-2029</t>
        </is>
      </c>
      <c r="G2068" t="inlineStr">
        <is>
          <t>Tuesday</t>
        </is>
      </c>
      <c r="H2068" t="inlineStr">
        <is>
          <t>Monthly - Tuesday</t>
        </is>
      </c>
      <c r="I2068" t="inlineStr">
        <is>
          <t>Monthly - Tuesday</t>
        </is>
      </c>
      <c r="J2068" t="inlineStr">
        <is>
          <t>Month+40 Expiry</t>
        </is>
      </c>
      <c r="K2068" s="25" t="n">
        <v>0</v>
      </c>
      <c r="L2068" s="26" t="n">
        <v>0</v>
      </c>
      <c r="M2068" s="26" t="n">
        <v>0</v>
      </c>
    </row>
    <row r="2069" ht="16" customHeight="1">
      <c r="A2069" t="inlineStr">
        <is>
          <t>13-Feb-2026</t>
        </is>
      </c>
      <c r="B2069" t="inlineStr">
        <is>
          <t>Friday</t>
        </is>
      </c>
      <c r="C2069" t="inlineStr">
        <is>
          <t>Week2-Feb-2026</t>
        </is>
      </c>
      <c r="D2069" s="78" t="n">
        <v>46054</v>
      </c>
      <c r="E2069" t="inlineStr">
        <is>
          <t>Q4FY26</t>
        </is>
      </c>
      <c r="F2069" t="inlineStr">
        <is>
          <t>24-Dec-2029</t>
        </is>
      </c>
      <c r="G2069" t="inlineStr">
        <is>
          <t>Monday</t>
        </is>
      </c>
      <c r="H2069" t="inlineStr">
        <is>
          <t>Weekly - Monday</t>
        </is>
      </c>
      <c r="I2069" t="inlineStr">
        <is>
          <t>Weekly - Monday</t>
        </is>
      </c>
      <c r="J2069" t="inlineStr">
        <is>
          <t>Month+46 Expiry</t>
        </is>
      </c>
      <c r="K2069" s="25" t="n">
        <v>0</v>
      </c>
      <c r="L2069" s="26" t="n">
        <v>0</v>
      </c>
      <c r="M2069" s="26" t="n">
        <v>0</v>
      </c>
    </row>
    <row r="2070" ht="16" customHeight="1">
      <c r="A2070" t="inlineStr">
        <is>
          <t>13-Feb-2026</t>
        </is>
      </c>
      <c r="B2070" t="inlineStr">
        <is>
          <t>Friday</t>
        </is>
      </c>
      <c r="C2070" t="inlineStr">
        <is>
          <t>Week2-Feb-2026</t>
        </is>
      </c>
      <c r="D2070" s="78" t="n">
        <v>46054</v>
      </c>
      <c r="E2070" t="inlineStr">
        <is>
          <t>Q4FY26</t>
        </is>
      </c>
      <c r="F2070" t="inlineStr">
        <is>
          <t>25-Jun-2030</t>
        </is>
      </c>
      <c r="G2070" t="inlineStr">
        <is>
          <t>Tuesday</t>
        </is>
      </c>
      <c r="H2070" t="inlineStr">
        <is>
          <t>Monthly - Tuesday</t>
        </is>
      </c>
      <c r="I2070" t="inlineStr">
        <is>
          <t>Monthly - Tuesday</t>
        </is>
      </c>
      <c r="J2070" t="inlineStr">
        <is>
          <t>Month+52 Expiry</t>
        </is>
      </c>
      <c r="K2070" s="25" t="n">
        <v>0</v>
      </c>
      <c r="L2070" s="26" t="n">
        <v>0</v>
      </c>
      <c r="M2070" s="26" t="n">
        <v>0</v>
      </c>
    </row>
    <row r="2071" ht="16" customHeight="1">
      <c r="A2071" t="inlineStr">
        <is>
          <t>13-Feb-2026</t>
        </is>
      </c>
      <c r="B2071" t="inlineStr">
        <is>
          <t>Friday</t>
        </is>
      </c>
      <c r="C2071" t="inlineStr">
        <is>
          <t>Week2-Feb-2026</t>
        </is>
      </c>
      <c r="D2071" s="78" t="n">
        <v>46054</v>
      </c>
      <c r="E2071" t="inlineStr">
        <is>
          <t>Q4FY26</t>
        </is>
      </c>
      <c r="F2071" t="inlineStr">
        <is>
          <t>31-Dec-2030</t>
        </is>
      </c>
      <c r="G2071" t="inlineStr">
        <is>
          <t>Tuesday</t>
        </is>
      </c>
      <c r="H2071" t="inlineStr">
        <is>
          <t>Monthly - Tuesday</t>
        </is>
      </c>
      <c r="I2071" t="inlineStr">
        <is>
          <t>Monthly - Tuesday</t>
        </is>
      </c>
      <c r="J2071" t="inlineStr">
        <is>
          <t>Month+58 Expiry</t>
        </is>
      </c>
      <c r="K2071" s="25" t="n">
        <v>0</v>
      </c>
      <c r="L2071" s="26" t="n">
        <v>0</v>
      </c>
      <c r="M2071" s="26" t="n">
        <v>0</v>
      </c>
    </row>
    <row r="2072" ht="16" customHeight="1">
      <c r="A2072" t="inlineStr">
        <is>
          <t>16-Feb-2026</t>
        </is>
      </c>
      <c r="B2072" t="inlineStr">
        <is>
          <t>Monday</t>
        </is>
      </c>
      <c r="C2072" t="inlineStr">
        <is>
          <t>Week3-Feb-2026</t>
        </is>
      </c>
      <c r="D2072" s="78" t="n">
        <v>46054</v>
      </c>
      <c r="E2072" t="inlineStr">
        <is>
          <t>Q4FY26</t>
        </is>
      </c>
      <c r="F2072" t="inlineStr">
        <is>
          <t>17-Feb-2026</t>
        </is>
      </c>
      <c r="G2072" t="inlineStr">
        <is>
          <t>Tuesday</t>
        </is>
      </c>
      <c r="H2072" t="inlineStr">
        <is>
          <t>Weekly - Tuesday</t>
        </is>
      </c>
      <c r="I2072" t="inlineStr">
        <is>
          <t>Weekly - Tuesday</t>
        </is>
      </c>
      <c r="J2072" t="inlineStr">
        <is>
          <t>Same Month Expiry</t>
        </is>
      </c>
      <c r="K2072" s="25" t="n">
        <v>147274200</v>
      </c>
      <c r="L2072" s="26" t="n">
        <v>245135.1595</v>
      </c>
      <c r="M2072" s="26" t="n">
        <v>490.2395</v>
      </c>
    </row>
    <row r="2073" ht="16" customHeight="1">
      <c r="A2073" t="inlineStr">
        <is>
          <t>16-Feb-2026</t>
        </is>
      </c>
      <c r="B2073" t="inlineStr">
        <is>
          <t>Monday</t>
        </is>
      </c>
      <c r="C2073" t="inlineStr">
        <is>
          <t>Week3-Feb-2026</t>
        </is>
      </c>
      <c r="D2073" s="78" t="n">
        <v>46054</v>
      </c>
      <c r="E2073" t="inlineStr">
        <is>
          <t>Q4FY26</t>
        </is>
      </c>
      <c r="F2073" t="inlineStr">
        <is>
          <t>24-Feb-2026</t>
        </is>
      </c>
      <c r="G2073" t="inlineStr">
        <is>
          <t>Tuesday</t>
        </is>
      </c>
      <c r="H2073" t="inlineStr">
        <is>
          <t>Monthly - Tuesday</t>
        </is>
      </c>
      <c r="I2073" t="inlineStr">
        <is>
          <t>Monthly - Tuesday</t>
        </is>
      </c>
      <c r="J2073" t="inlineStr">
        <is>
          <t>Same Month Expiry</t>
        </is>
      </c>
      <c r="K2073" s="25" t="n">
        <v>6124050</v>
      </c>
      <c r="L2073" s="26" t="n">
        <v>10257.1627</v>
      </c>
      <c r="M2073" s="26" t="n">
        <v>40.529</v>
      </c>
    </row>
    <row r="2074" ht="16" customHeight="1">
      <c r="A2074" t="inlineStr">
        <is>
          <t>16-Feb-2026</t>
        </is>
      </c>
      <c r="B2074" t="inlineStr">
        <is>
          <t>Monday</t>
        </is>
      </c>
      <c r="C2074" t="inlineStr">
        <is>
          <t>Week3-Feb-2026</t>
        </is>
      </c>
      <c r="D2074" s="78" t="n">
        <v>46054</v>
      </c>
      <c r="E2074" t="inlineStr">
        <is>
          <t>Q4FY26</t>
        </is>
      </c>
      <c r="F2074" t="inlineStr">
        <is>
          <t>02-Mar-2026</t>
        </is>
      </c>
      <c r="G2074" t="inlineStr">
        <is>
          <t>Monday</t>
        </is>
      </c>
      <c r="H2074" t="inlineStr">
        <is>
          <t>Weekly - Monday</t>
        </is>
      </c>
      <c r="I2074" t="inlineStr">
        <is>
          <t>Weekly - Monday</t>
        </is>
      </c>
      <c r="J2074" t="inlineStr">
        <is>
          <t>Month+1 Expiry</t>
        </is>
      </c>
      <c r="K2074" s="25" t="n">
        <v>341861</v>
      </c>
      <c r="L2074" s="26" t="n">
        <v>572.3939</v>
      </c>
      <c r="M2074" s="26" t="n">
        <v>2.9977</v>
      </c>
    </row>
    <row r="2075" ht="16" customHeight="1">
      <c r="A2075" t="inlineStr">
        <is>
          <t>16-Feb-2026</t>
        </is>
      </c>
      <c r="B2075" t="inlineStr">
        <is>
          <t>Monday</t>
        </is>
      </c>
      <c r="C2075" t="inlineStr">
        <is>
          <t>Week3-Feb-2026</t>
        </is>
      </c>
      <c r="D2075" s="78" t="n">
        <v>46054</v>
      </c>
      <c r="E2075" t="inlineStr">
        <is>
          <t>Q4FY26</t>
        </is>
      </c>
      <c r="F2075" t="inlineStr">
        <is>
          <t>10-Mar-2026</t>
        </is>
      </c>
      <c r="G2075" t="inlineStr">
        <is>
          <t>Tuesday</t>
        </is>
      </c>
      <c r="H2075" t="inlineStr">
        <is>
          <t>Weekly - Tuesday</t>
        </is>
      </c>
      <c r="I2075" t="inlineStr">
        <is>
          <t>Weekly - Tuesday</t>
        </is>
      </c>
      <c r="J2075" t="inlineStr">
        <is>
          <t>Month+1 Expiry</t>
        </is>
      </c>
      <c r="K2075" s="25" t="n">
        <v>38403</v>
      </c>
      <c r="L2075" s="26" t="n">
        <v>64.3856</v>
      </c>
      <c r="M2075" s="26" t="n">
        <v>0.4437</v>
      </c>
    </row>
    <row r="2076" ht="16" customHeight="1">
      <c r="A2076" t="inlineStr">
        <is>
          <t>16-Feb-2026</t>
        </is>
      </c>
      <c r="B2076" t="inlineStr">
        <is>
          <t>Monday</t>
        </is>
      </c>
      <c r="C2076" t="inlineStr">
        <is>
          <t>Week3-Feb-2026</t>
        </is>
      </c>
      <c r="D2076" s="78" t="n">
        <v>46054</v>
      </c>
      <c r="E2076" t="inlineStr">
        <is>
          <t>Q4FY26</t>
        </is>
      </c>
      <c r="F2076" t="inlineStr">
        <is>
          <t>17-Mar-2026</t>
        </is>
      </c>
      <c r="G2076" t="inlineStr">
        <is>
          <t>Tuesday</t>
        </is>
      </c>
      <c r="H2076" t="inlineStr">
        <is>
          <t>Weekly - Tuesday</t>
        </is>
      </c>
      <c r="I2076" t="inlineStr">
        <is>
          <t>Weekly - Tuesday</t>
        </is>
      </c>
      <c r="J2076" t="inlineStr">
        <is>
          <t>Month+1 Expiry</t>
        </is>
      </c>
      <c r="K2076" s="25" t="n">
        <v>4959</v>
      </c>
      <c r="L2076" s="26" t="n">
        <v>8.316000000000001</v>
      </c>
      <c r="M2076" s="26" t="n">
        <v>0.0601</v>
      </c>
    </row>
    <row r="2077" ht="16" customHeight="1">
      <c r="A2077" t="inlineStr">
        <is>
          <t>16-Feb-2026</t>
        </is>
      </c>
      <c r="B2077" t="inlineStr">
        <is>
          <t>Monday</t>
        </is>
      </c>
      <c r="C2077" t="inlineStr">
        <is>
          <t>Week3-Feb-2026</t>
        </is>
      </c>
      <c r="D2077" s="78" t="n">
        <v>46054</v>
      </c>
      <c r="E2077" t="inlineStr">
        <is>
          <t>Q4FY26</t>
        </is>
      </c>
      <c r="F2077" t="inlineStr">
        <is>
          <t>30-Mar-2026</t>
        </is>
      </c>
      <c r="G2077" t="inlineStr">
        <is>
          <t>Monday</t>
        </is>
      </c>
      <c r="H2077" t="inlineStr">
        <is>
          <t>Monthly - Monday</t>
        </is>
      </c>
      <c r="I2077" t="inlineStr">
        <is>
          <t>Monthly - Monday</t>
        </is>
      </c>
      <c r="J2077" t="inlineStr">
        <is>
          <t>Month+1 Expiry</t>
        </is>
      </c>
      <c r="K2077" s="25" t="n">
        <v>476827</v>
      </c>
      <c r="L2077" s="26" t="n">
        <v>797.7412</v>
      </c>
      <c r="M2077" s="26" t="n">
        <v>6.5079</v>
      </c>
    </row>
    <row r="2078" ht="16" customHeight="1">
      <c r="A2078" t="inlineStr">
        <is>
          <t>16-Feb-2026</t>
        </is>
      </c>
      <c r="B2078" t="inlineStr">
        <is>
          <t>Monday</t>
        </is>
      </c>
      <c r="C2078" t="inlineStr">
        <is>
          <t>Week3-Feb-2026</t>
        </is>
      </c>
      <c r="D2078" s="78" t="n">
        <v>46054</v>
      </c>
      <c r="E2078" t="inlineStr">
        <is>
          <t>Q4FY26</t>
        </is>
      </c>
      <c r="F2078" t="inlineStr">
        <is>
          <t>28-Apr-2026</t>
        </is>
      </c>
      <c r="G2078" t="inlineStr">
        <is>
          <t>Tuesday</t>
        </is>
      </c>
      <c r="H2078" t="inlineStr">
        <is>
          <t>Monthly - Tuesday</t>
        </is>
      </c>
      <c r="I2078" t="inlineStr">
        <is>
          <t>Monthly - Tuesday</t>
        </is>
      </c>
      <c r="J2078" t="inlineStr">
        <is>
          <t>Month+2 Expiry</t>
        </is>
      </c>
      <c r="K2078" s="25" t="n">
        <v>54819</v>
      </c>
      <c r="L2078" s="26" t="n">
        <v>91.9248</v>
      </c>
      <c r="M2078" s="26" t="n">
        <v>0.9601</v>
      </c>
    </row>
    <row r="2079" ht="16" customHeight="1">
      <c r="A2079" t="inlineStr">
        <is>
          <t>16-Feb-2026</t>
        </is>
      </c>
      <c r="B2079" t="inlineStr">
        <is>
          <t>Monday</t>
        </is>
      </c>
      <c r="C2079" t="inlineStr">
        <is>
          <t>Week3-Feb-2026</t>
        </is>
      </c>
      <c r="D2079" s="78" t="n">
        <v>46054</v>
      </c>
      <c r="E2079" t="inlineStr">
        <is>
          <t>Q4FY26</t>
        </is>
      </c>
      <c r="F2079" t="inlineStr">
        <is>
          <t>30-Jun-2026</t>
        </is>
      </c>
      <c r="G2079" t="inlineStr">
        <is>
          <t>Tuesday</t>
        </is>
      </c>
      <c r="H2079" t="inlineStr">
        <is>
          <t>Monthly - Tuesday</t>
        </is>
      </c>
      <c r="I2079" t="inlineStr">
        <is>
          <t>Monthly - Tuesday</t>
        </is>
      </c>
      <c r="J2079" t="inlineStr">
        <is>
          <t>Month+4 Expiry</t>
        </is>
      </c>
      <c r="K2079" s="25" t="n">
        <v>39950</v>
      </c>
      <c r="L2079" s="26" t="n">
        <v>68.4539</v>
      </c>
      <c r="M2079" s="26" t="n">
        <v>0.8895999999999999</v>
      </c>
    </row>
    <row r="2080" ht="16" customHeight="1">
      <c r="A2080" t="inlineStr">
        <is>
          <t>16-Feb-2026</t>
        </is>
      </c>
      <c r="B2080" t="inlineStr">
        <is>
          <t>Monday</t>
        </is>
      </c>
      <c r="C2080" t="inlineStr">
        <is>
          <t>Week3-Feb-2026</t>
        </is>
      </c>
      <c r="D2080" s="78" t="n">
        <v>46054</v>
      </c>
      <c r="E2080" t="inlineStr">
        <is>
          <t>Q4FY26</t>
        </is>
      </c>
      <c r="F2080" t="inlineStr">
        <is>
          <t>29-Sep-2026</t>
        </is>
      </c>
      <c r="G2080" t="inlineStr">
        <is>
          <t>Tuesday</t>
        </is>
      </c>
      <c r="H2080" t="inlineStr">
        <is>
          <t>Monthly - Tuesday</t>
        </is>
      </c>
      <c r="I2080" t="inlineStr">
        <is>
          <t>Monthly - Tuesday</t>
        </is>
      </c>
      <c r="J2080" t="inlineStr">
        <is>
          <t>Month+7 Expiry</t>
        </is>
      </c>
      <c r="K2080" s="25" t="n">
        <v>7308</v>
      </c>
      <c r="L2080" s="26" t="n">
        <v>12.4139</v>
      </c>
      <c r="M2080" s="26" t="n">
        <v>0.2436</v>
      </c>
    </row>
    <row r="2081" ht="16" customHeight="1">
      <c r="A2081" t="inlineStr">
        <is>
          <t>16-Feb-2026</t>
        </is>
      </c>
      <c r="B2081" t="inlineStr">
        <is>
          <t>Monday</t>
        </is>
      </c>
      <c r="C2081" t="inlineStr">
        <is>
          <t>Week3-Feb-2026</t>
        </is>
      </c>
      <c r="D2081" s="78" t="n">
        <v>46054</v>
      </c>
      <c r="E2081" t="inlineStr">
        <is>
          <t>Q4FY26</t>
        </is>
      </c>
      <c r="F2081" t="inlineStr">
        <is>
          <t>29-Dec-2026</t>
        </is>
      </c>
      <c r="G2081" t="inlineStr">
        <is>
          <t>Tuesday</t>
        </is>
      </c>
      <c r="H2081" t="inlineStr">
        <is>
          <t>Monthly - Tuesday</t>
        </is>
      </c>
      <c r="I2081" t="inlineStr">
        <is>
          <t>Monthly - Tuesday</t>
        </is>
      </c>
      <c r="J2081" t="inlineStr">
        <is>
          <t>Month+10 Expiry</t>
        </is>
      </c>
      <c r="K2081" s="25" t="n">
        <v>12671</v>
      </c>
      <c r="L2081" s="26" t="n">
        <v>21.7769</v>
      </c>
      <c r="M2081" s="26" t="n">
        <v>0.5039</v>
      </c>
    </row>
    <row r="2082" ht="16" customHeight="1">
      <c r="A2082" t="inlineStr">
        <is>
          <t>16-Feb-2026</t>
        </is>
      </c>
      <c r="B2082" t="inlineStr">
        <is>
          <t>Monday</t>
        </is>
      </c>
      <c r="C2082" t="inlineStr">
        <is>
          <t>Week3-Feb-2026</t>
        </is>
      </c>
      <c r="D2082" s="78" t="n">
        <v>46054</v>
      </c>
      <c r="E2082" t="inlineStr">
        <is>
          <t>Q4FY26</t>
        </is>
      </c>
      <c r="F2082" t="inlineStr">
        <is>
          <t>29-Jun-2027</t>
        </is>
      </c>
      <c r="G2082" t="inlineStr">
        <is>
          <t>Tuesday</t>
        </is>
      </c>
      <c r="H2082" t="inlineStr">
        <is>
          <t>Monthly - Tuesday</t>
        </is>
      </c>
      <c r="I2082" t="inlineStr">
        <is>
          <t>Monthly - Tuesday</t>
        </is>
      </c>
      <c r="J2082" t="inlineStr">
        <is>
          <t>Month+16 Expiry</t>
        </is>
      </c>
      <c r="K2082" s="25" t="n">
        <v>0</v>
      </c>
      <c r="L2082" s="26" t="n">
        <v>0</v>
      </c>
      <c r="M2082" s="26" t="n">
        <v>0</v>
      </c>
    </row>
    <row r="2083" ht="16" customHeight="1">
      <c r="A2083" t="inlineStr">
        <is>
          <t>16-Feb-2026</t>
        </is>
      </c>
      <c r="B2083" t="inlineStr">
        <is>
          <t>Monday</t>
        </is>
      </c>
      <c r="C2083" t="inlineStr">
        <is>
          <t>Week3-Feb-2026</t>
        </is>
      </c>
      <c r="D2083" s="78" t="n">
        <v>46054</v>
      </c>
      <c r="E2083" t="inlineStr">
        <is>
          <t>Q4FY26</t>
        </is>
      </c>
      <c r="F2083" t="inlineStr">
        <is>
          <t>28-Dec-2027</t>
        </is>
      </c>
      <c r="G2083" t="inlineStr">
        <is>
          <t>Tuesday</t>
        </is>
      </c>
      <c r="H2083" t="inlineStr">
        <is>
          <t>Monthly - Tuesday</t>
        </is>
      </c>
      <c r="I2083" t="inlineStr">
        <is>
          <t>Monthly - Tuesday</t>
        </is>
      </c>
      <c r="J2083" t="inlineStr">
        <is>
          <t>Month+22 Expiry</t>
        </is>
      </c>
      <c r="K2083" s="25" t="n">
        <v>20</v>
      </c>
      <c r="L2083" s="26" t="n">
        <v>0.0345</v>
      </c>
      <c r="M2083" s="26" t="n">
        <v>0.0015</v>
      </c>
    </row>
    <row r="2084" ht="16" customHeight="1">
      <c r="A2084" t="inlineStr">
        <is>
          <t>16-Feb-2026</t>
        </is>
      </c>
      <c r="B2084" t="inlineStr">
        <is>
          <t>Monday</t>
        </is>
      </c>
      <c r="C2084" t="inlineStr">
        <is>
          <t>Week3-Feb-2026</t>
        </is>
      </c>
      <c r="D2084" s="78" t="n">
        <v>46054</v>
      </c>
      <c r="E2084" t="inlineStr">
        <is>
          <t>Q4FY26</t>
        </is>
      </c>
      <c r="F2084" t="inlineStr">
        <is>
          <t>27-Jun-2028</t>
        </is>
      </c>
      <c r="G2084" t="inlineStr">
        <is>
          <t>Tuesday</t>
        </is>
      </c>
      <c r="H2084" t="inlineStr">
        <is>
          <t>Monthly - Tuesday</t>
        </is>
      </c>
      <c r="I2084" t="inlineStr">
        <is>
          <t>Monthly - Tuesday</t>
        </is>
      </c>
      <c r="J2084" t="inlineStr">
        <is>
          <t>Month+28 Expiry</t>
        </is>
      </c>
      <c r="K2084" s="25" t="n">
        <v>0</v>
      </c>
      <c r="L2084" s="26" t="n">
        <v>0</v>
      </c>
      <c r="M2084" s="26" t="n">
        <v>0</v>
      </c>
    </row>
    <row r="2085" ht="16" customHeight="1">
      <c r="A2085" t="inlineStr">
        <is>
          <t>16-Feb-2026</t>
        </is>
      </c>
      <c r="B2085" t="inlineStr">
        <is>
          <t>Monday</t>
        </is>
      </c>
      <c r="C2085" t="inlineStr">
        <is>
          <t>Week3-Feb-2026</t>
        </is>
      </c>
      <c r="D2085" s="78" t="n">
        <v>46054</v>
      </c>
      <c r="E2085" t="inlineStr">
        <is>
          <t>Q4FY26</t>
        </is>
      </c>
      <c r="F2085" t="inlineStr">
        <is>
          <t>26-Dec-2028</t>
        </is>
      </c>
      <c r="G2085" t="inlineStr">
        <is>
          <t>Tuesday</t>
        </is>
      </c>
      <c r="H2085" t="inlineStr">
        <is>
          <t>Monthly - Tuesday</t>
        </is>
      </c>
      <c r="I2085" t="inlineStr">
        <is>
          <t>Monthly - Tuesday</t>
        </is>
      </c>
      <c r="J2085" t="inlineStr">
        <is>
          <t>Month+34 Expiry</t>
        </is>
      </c>
      <c r="K2085" s="25" t="n">
        <v>1</v>
      </c>
      <c r="L2085" s="26" t="n">
        <v>0.002</v>
      </c>
      <c r="M2085" s="26" t="n">
        <v>0.0002</v>
      </c>
    </row>
    <row r="2086" ht="16" customHeight="1">
      <c r="A2086" t="inlineStr">
        <is>
          <t>16-Feb-2026</t>
        </is>
      </c>
      <c r="B2086" t="inlineStr">
        <is>
          <t>Monday</t>
        </is>
      </c>
      <c r="C2086" t="inlineStr">
        <is>
          <t>Week3-Feb-2026</t>
        </is>
      </c>
      <c r="D2086" s="78" t="n">
        <v>46054</v>
      </c>
      <c r="E2086" t="inlineStr">
        <is>
          <t>Q4FY26</t>
        </is>
      </c>
      <c r="F2086" t="inlineStr">
        <is>
          <t>26-Jun-2029</t>
        </is>
      </c>
      <c r="G2086" t="inlineStr">
        <is>
          <t>Tuesday</t>
        </is>
      </c>
      <c r="H2086" t="inlineStr">
        <is>
          <t>Monthly - Tuesday</t>
        </is>
      </c>
      <c r="I2086" t="inlineStr">
        <is>
          <t>Monthly - Tuesday</t>
        </is>
      </c>
      <c r="J2086" t="inlineStr">
        <is>
          <t>Month+40 Expiry</t>
        </is>
      </c>
      <c r="K2086" s="25" t="n">
        <v>0</v>
      </c>
      <c r="L2086" s="26" t="n">
        <v>0</v>
      </c>
      <c r="M2086" s="26" t="n">
        <v>0</v>
      </c>
    </row>
    <row r="2087" ht="16" customHeight="1">
      <c r="A2087" t="inlineStr">
        <is>
          <t>16-Feb-2026</t>
        </is>
      </c>
      <c r="B2087" t="inlineStr">
        <is>
          <t>Monday</t>
        </is>
      </c>
      <c r="C2087" t="inlineStr">
        <is>
          <t>Week3-Feb-2026</t>
        </is>
      </c>
      <c r="D2087" s="78" t="n">
        <v>46054</v>
      </c>
      <c r="E2087" t="inlineStr">
        <is>
          <t>Q4FY26</t>
        </is>
      </c>
      <c r="F2087" t="inlineStr">
        <is>
          <t>24-Dec-2029</t>
        </is>
      </c>
      <c r="G2087" t="inlineStr">
        <is>
          <t>Monday</t>
        </is>
      </c>
      <c r="H2087" t="inlineStr">
        <is>
          <t>Weekly - Monday</t>
        </is>
      </c>
      <c r="I2087" t="inlineStr">
        <is>
          <t>Weekly - Monday</t>
        </is>
      </c>
      <c r="J2087" t="inlineStr">
        <is>
          <t>Month+46 Expiry</t>
        </is>
      </c>
      <c r="K2087" s="25" t="n">
        <v>0</v>
      </c>
      <c r="L2087" s="26" t="n">
        <v>0</v>
      </c>
      <c r="M2087" s="26" t="n">
        <v>0</v>
      </c>
    </row>
    <row r="2088" ht="16" customHeight="1">
      <c r="A2088" t="inlineStr">
        <is>
          <t>16-Feb-2026</t>
        </is>
      </c>
      <c r="B2088" t="inlineStr">
        <is>
          <t>Monday</t>
        </is>
      </c>
      <c r="C2088" t="inlineStr">
        <is>
          <t>Week3-Feb-2026</t>
        </is>
      </c>
      <c r="D2088" s="78" t="n">
        <v>46054</v>
      </c>
      <c r="E2088" t="inlineStr">
        <is>
          <t>Q4FY26</t>
        </is>
      </c>
      <c r="F2088" t="inlineStr">
        <is>
          <t>25-Jun-2030</t>
        </is>
      </c>
      <c r="G2088" t="inlineStr">
        <is>
          <t>Tuesday</t>
        </is>
      </c>
      <c r="H2088" t="inlineStr">
        <is>
          <t>Monthly - Tuesday</t>
        </is>
      </c>
      <c r="I2088" t="inlineStr">
        <is>
          <t>Monthly - Tuesday</t>
        </is>
      </c>
      <c r="J2088" t="inlineStr">
        <is>
          <t>Month+52 Expiry</t>
        </is>
      </c>
      <c r="K2088" s="25" t="n">
        <v>0</v>
      </c>
      <c r="L2088" s="26" t="n">
        <v>0</v>
      </c>
      <c r="M2088" s="26" t="n">
        <v>0</v>
      </c>
    </row>
    <row r="2089" ht="16" customHeight="1">
      <c r="A2089" t="inlineStr">
        <is>
          <t>16-Feb-2026</t>
        </is>
      </c>
      <c r="B2089" t="inlineStr">
        <is>
          <t>Monday</t>
        </is>
      </c>
      <c r="C2089" t="inlineStr">
        <is>
          <t>Week3-Feb-2026</t>
        </is>
      </c>
      <c r="D2089" s="78" t="n">
        <v>46054</v>
      </c>
      <c r="E2089" t="inlineStr">
        <is>
          <t>Q4FY26</t>
        </is>
      </c>
      <c r="F2089" t="inlineStr">
        <is>
          <t>31-Dec-2030</t>
        </is>
      </c>
      <c r="G2089" t="inlineStr">
        <is>
          <t>Tuesday</t>
        </is>
      </c>
      <c r="H2089" t="inlineStr">
        <is>
          <t>Monthly - Tuesday</t>
        </is>
      </c>
      <c r="I2089" t="inlineStr">
        <is>
          <t>Monthly - Tuesday</t>
        </is>
      </c>
      <c r="J2089" t="inlineStr">
        <is>
          <t>Month+58 Expiry</t>
        </is>
      </c>
      <c r="K2089" s="25" t="n">
        <v>0</v>
      </c>
      <c r="L2089" s="26" t="n">
        <v>0</v>
      </c>
      <c r="M2089" s="26" t="n">
        <v>0</v>
      </c>
    </row>
    <row r="2090" ht="16" customHeight="1">
      <c r="A2090" t="inlineStr">
        <is>
          <t>17-Feb-2026</t>
        </is>
      </c>
      <c r="B2090" t="inlineStr">
        <is>
          <t>Tuesday</t>
        </is>
      </c>
      <c r="C2090" t="inlineStr">
        <is>
          <t>Week3-Feb-2026</t>
        </is>
      </c>
      <c r="D2090" s="78" t="n">
        <v>46054</v>
      </c>
      <c r="E2090" t="inlineStr">
        <is>
          <t>Q4FY26</t>
        </is>
      </c>
      <c r="F2090" t="inlineStr">
        <is>
          <t>17-Feb-2026</t>
        </is>
      </c>
      <c r="G2090" t="inlineStr">
        <is>
          <t>Tuesday</t>
        </is>
      </c>
      <c r="H2090" t="inlineStr">
        <is>
          <t>Weekly - Tuesday</t>
        </is>
      </c>
      <c r="I2090" t="inlineStr">
        <is>
          <t>Weekly - Tuesday</t>
        </is>
      </c>
      <c r="J2090" t="inlineStr">
        <is>
          <t>Same Month Expiry</t>
        </is>
      </c>
      <c r="K2090" s="25" t="n">
        <v>404008818</v>
      </c>
      <c r="L2090" s="26" t="n">
        <v>675021.7607</v>
      </c>
      <c r="M2090" s="26" t="n">
        <v>618.1866</v>
      </c>
    </row>
    <row r="2091" ht="16" customHeight="1">
      <c r="A2091" t="inlineStr">
        <is>
          <t>17-Feb-2026</t>
        </is>
      </c>
      <c r="B2091" t="inlineStr">
        <is>
          <t>Tuesday</t>
        </is>
      </c>
      <c r="C2091" t="inlineStr">
        <is>
          <t>Week3-Feb-2026</t>
        </is>
      </c>
      <c r="D2091" s="78" t="n">
        <v>46054</v>
      </c>
      <c r="E2091" t="inlineStr">
        <is>
          <t>Q4FY26</t>
        </is>
      </c>
      <c r="F2091" t="inlineStr">
        <is>
          <t>24-Feb-2026</t>
        </is>
      </c>
      <c r="G2091" t="inlineStr">
        <is>
          <t>Tuesday</t>
        </is>
      </c>
      <c r="H2091" t="inlineStr">
        <is>
          <t>Monthly - Tuesday</t>
        </is>
      </c>
      <c r="I2091" t="inlineStr">
        <is>
          <t>Monthly - Tuesday</t>
        </is>
      </c>
      <c r="J2091" t="inlineStr">
        <is>
          <t>Same Month Expiry</t>
        </is>
      </c>
      <c r="K2091" s="25" t="n">
        <v>12141492</v>
      </c>
      <c r="L2091" s="26" t="n">
        <v>20323.3921</v>
      </c>
      <c r="M2091" s="26" t="n">
        <v>71.29089999999999</v>
      </c>
    </row>
    <row r="2092" ht="16" customHeight="1">
      <c r="A2092" t="inlineStr">
        <is>
          <t>17-Feb-2026</t>
        </is>
      </c>
      <c r="B2092" t="inlineStr">
        <is>
          <t>Tuesday</t>
        </is>
      </c>
      <c r="C2092" t="inlineStr">
        <is>
          <t>Week3-Feb-2026</t>
        </is>
      </c>
      <c r="D2092" s="78" t="n">
        <v>46054</v>
      </c>
      <c r="E2092" t="inlineStr">
        <is>
          <t>Q4FY26</t>
        </is>
      </c>
      <c r="F2092" t="inlineStr">
        <is>
          <t>02-Mar-2026</t>
        </is>
      </c>
      <c r="G2092" t="inlineStr">
        <is>
          <t>Monday</t>
        </is>
      </c>
      <c r="H2092" t="inlineStr">
        <is>
          <t>Weekly - Monday</t>
        </is>
      </c>
      <c r="I2092" t="inlineStr">
        <is>
          <t>Weekly - Monday</t>
        </is>
      </c>
      <c r="J2092" t="inlineStr">
        <is>
          <t>Month+1 Expiry</t>
        </is>
      </c>
      <c r="K2092" s="25" t="n">
        <v>540284</v>
      </c>
      <c r="L2092" s="26" t="n">
        <v>908.2651</v>
      </c>
      <c r="M2092" s="26" t="n">
        <v>4.5471</v>
      </c>
    </row>
    <row r="2093" ht="16" customHeight="1">
      <c r="A2093" t="inlineStr">
        <is>
          <t>17-Feb-2026</t>
        </is>
      </c>
      <c r="B2093" t="inlineStr">
        <is>
          <t>Tuesday</t>
        </is>
      </c>
      <c r="C2093" t="inlineStr">
        <is>
          <t>Week3-Feb-2026</t>
        </is>
      </c>
      <c r="D2093" s="78" t="n">
        <v>46054</v>
      </c>
      <c r="E2093" t="inlineStr">
        <is>
          <t>Q4FY26</t>
        </is>
      </c>
      <c r="F2093" t="inlineStr">
        <is>
          <t>10-Mar-2026</t>
        </is>
      </c>
      <c r="G2093" t="inlineStr">
        <is>
          <t>Tuesday</t>
        </is>
      </c>
      <c r="H2093" t="inlineStr">
        <is>
          <t>Weekly - Tuesday</t>
        </is>
      </c>
      <c r="I2093" t="inlineStr">
        <is>
          <t>Weekly - Tuesday</t>
        </is>
      </c>
      <c r="J2093" t="inlineStr">
        <is>
          <t>Month+1 Expiry</t>
        </is>
      </c>
      <c r="K2093" s="25" t="n">
        <v>53518</v>
      </c>
      <c r="L2093" s="26" t="n">
        <v>90.17870000000001</v>
      </c>
      <c r="M2093" s="26" t="n">
        <v>0.5703</v>
      </c>
    </row>
    <row r="2094" ht="16" customHeight="1">
      <c r="A2094" t="inlineStr">
        <is>
          <t>17-Feb-2026</t>
        </is>
      </c>
      <c r="B2094" t="inlineStr">
        <is>
          <t>Tuesday</t>
        </is>
      </c>
      <c r="C2094" t="inlineStr">
        <is>
          <t>Week3-Feb-2026</t>
        </is>
      </c>
      <c r="D2094" s="78" t="n">
        <v>46054</v>
      </c>
      <c r="E2094" t="inlineStr">
        <is>
          <t>Q4FY26</t>
        </is>
      </c>
      <c r="F2094" t="inlineStr">
        <is>
          <t>17-Mar-2026</t>
        </is>
      </c>
      <c r="G2094" t="inlineStr">
        <is>
          <t>Tuesday</t>
        </is>
      </c>
      <c r="H2094" t="inlineStr">
        <is>
          <t>Weekly - Tuesday</t>
        </is>
      </c>
      <c r="I2094" t="inlineStr">
        <is>
          <t>Weekly - Tuesday</t>
        </is>
      </c>
      <c r="J2094" t="inlineStr">
        <is>
          <t>Month+1 Expiry</t>
        </is>
      </c>
      <c r="K2094" s="25" t="n">
        <v>7413</v>
      </c>
      <c r="L2094" s="26" t="n">
        <v>12.4553</v>
      </c>
      <c r="M2094" s="26" t="n">
        <v>0.0888</v>
      </c>
    </row>
    <row r="2095" ht="16" customHeight="1">
      <c r="A2095" t="inlineStr">
        <is>
          <t>17-Feb-2026</t>
        </is>
      </c>
      <c r="B2095" t="inlineStr">
        <is>
          <t>Tuesday</t>
        </is>
      </c>
      <c r="C2095" t="inlineStr">
        <is>
          <t>Week3-Feb-2026</t>
        </is>
      </c>
      <c r="D2095" s="78" t="n">
        <v>46054</v>
      </c>
      <c r="E2095" t="inlineStr">
        <is>
          <t>Q4FY26</t>
        </is>
      </c>
      <c r="F2095" t="inlineStr">
        <is>
          <t>30-Mar-2026</t>
        </is>
      </c>
      <c r="G2095" t="inlineStr">
        <is>
          <t>Monday</t>
        </is>
      </c>
      <c r="H2095" t="inlineStr">
        <is>
          <t>Monthly - Monday</t>
        </is>
      </c>
      <c r="I2095" t="inlineStr">
        <is>
          <t>Monthly - Monday</t>
        </is>
      </c>
      <c r="J2095" t="inlineStr">
        <is>
          <t>Month+1 Expiry</t>
        </is>
      </c>
      <c r="K2095" s="25" t="n">
        <v>501615</v>
      </c>
      <c r="L2095" s="26" t="n">
        <v>838.1442</v>
      </c>
      <c r="M2095" s="26" t="n">
        <v>6.6539</v>
      </c>
    </row>
    <row r="2096" ht="16" customHeight="1">
      <c r="A2096" t="inlineStr">
        <is>
          <t>17-Feb-2026</t>
        </is>
      </c>
      <c r="B2096" t="inlineStr">
        <is>
          <t>Tuesday</t>
        </is>
      </c>
      <c r="C2096" t="inlineStr">
        <is>
          <t>Week3-Feb-2026</t>
        </is>
      </c>
      <c r="D2096" s="78" t="n">
        <v>46054</v>
      </c>
      <c r="E2096" t="inlineStr">
        <is>
          <t>Q4FY26</t>
        </is>
      </c>
      <c r="F2096" t="inlineStr">
        <is>
          <t>28-Apr-2026</t>
        </is>
      </c>
      <c r="G2096" t="inlineStr">
        <is>
          <t>Tuesday</t>
        </is>
      </c>
      <c r="H2096" t="inlineStr">
        <is>
          <t>Monthly - Tuesday</t>
        </is>
      </c>
      <c r="I2096" t="inlineStr">
        <is>
          <t>Monthly - Tuesday</t>
        </is>
      </c>
      <c r="J2096" t="inlineStr">
        <is>
          <t>Month+2 Expiry</t>
        </is>
      </c>
      <c r="K2096" s="25" t="n">
        <v>40553</v>
      </c>
      <c r="L2096" s="26" t="n">
        <v>68.3597</v>
      </c>
      <c r="M2096" s="26" t="n">
        <v>0.7806999999999999</v>
      </c>
    </row>
    <row r="2097" ht="16" customHeight="1">
      <c r="A2097" t="inlineStr">
        <is>
          <t>17-Feb-2026</t>
        </is>
      </c>
      <c r="B2097" t="inlineStr">
        <is>
          <t>Tuesday</t>
        </is>
      </c>
      <c r="C2097" t="inlineStr">
        <is>
          <t>Week3-Feb-2026</t>
        </is>
      </c>
      <c r="D2097" s="78" t="n">
        <v>46054</v>
      </c>
      <c r="E2097" t="inlineStr">
        <is>
          <t>Q4FY26</t>
        </is>
      </c>
      <c r="F2097" t="inlineStr">
        <is>
          <t>30-Jun-2026</t>
        </is>
      </c>
      <c r="G2097" t="inlineStr">
        <is>
          <t>Tuesday</t>
        </is>
      </c>
      <c r="H2097" t="inlineStr">
        <is>
          <t>Monthly - Tuesday</t>
        </is>
      </c>
      <c r="I2097" t="inlineStr">
        <is>
          <t>Monthly - Tuesday</t>
        </is>
      </c>
      <c r="J2097" t="inlineStr">
        <is>
          <t>Month+4 Expiry</t>
        </is>
      </c>
      <c r="K2097" s="25" t="n">
        <v>28040</v>
      </c>
      <c r="L2097" s="26" t="n">
        <v>47.7823</v>
      </c>
      <c r="M2097" s="26" t="n">
        <v>0.649</v>
      </c>
    </row>
    <row r="2098" ht="16" customHeight="1">
      <c r="A2098" t="inlineStr">
        <is>
          <t>17-Feb-2026</t>
        </is>
      </c>
      <c r="B2098" t="inlineStr">
        <is>
          <t>Tuesday</t>
        </is>
      </c>
      <c r="C2098" t="inlineStr">
        <is>
          <t>Week3-Feb-2026</t>
        </is>
      </c>
      <c r="D2098" s="78" t="n">
        <v>46054</v>
      </c>
      <c r="E2098" t="inlineStr">
        <is>
          <t>Q4FY26</t>
        </is>
      </c>
      <c r="F2098" t="inlineStr">
        <is>
          <t>29-Sep-2026</t>
        </is>
      </c>
      <c r="G2098" t="inlineStr">
        <is>
          <t>Tuesday</t>
        </is>
      </c>
      <c r="H2098" t="inlineStr">
        <is>
          <t>Monthly - Tuesday</t>
        </is>
      </c>
      <c r="I2098" t="inlineStr">
        <is>
          <t>Monthly - Tuesday</t>
        </is>
      </c>
      <c r="J2098" t="inlineStr">
        <is>
          <t>Month+7 Expiry</t>
        </is>
      </c>
      <c r="K2098" s="25" t="n">
        <v>2933</v>
      </c>
      <c r="L2098" s="26" t="n">
        <v>5.0148</v>
      </c>
      <c r="M2098" s="26" t="n">
        <v>0.0974</v>
      </c>
    </row>
    <row r="2099" ht="16" customHeight="1">
      <c r="A2099" t="inlineStr">
        <is>
          <t>17-Feb-2026</t>
        </is>
      </c>
      <c r="B2099" t="inlineStr">
        <is>
          <t>Tuesday</t>
        </is>
      </c>
      <c r="C2099" t="inlineStr">
        <is>
          <t>Week3-Feb-2026</t>
        </is>
      </c>
      <c r="D2099" s="78" t="n">
        <v>46054</v>
      </c>
      <c r="E2099" t="inlineStr">
        <is>
          <t>Q4FY26</t>
        </is>
      </c>
      <c r="F2099" t="inlineStr">
        <is>
          <t>29-Dec-2026</t>
        </is>
      </c>
      <c r="G2099" t="inlineStr">
        <is>
          <t>Tuesday</t>
        </is>
      </c>
      <c r="H2099" t="inlineStr">
        <is>
          <t>Monthly - Tuesday</t>
        </is>
      </c>
      <c r="I2099" t="inlineStr">
        <is>
          <t>Monthly - Tuesday</t>
        </is>
      </c>
      <c r="J2099" t="inlineStr">
        <is>
          <t>Month+10 Expiry</t>
        </is>
      </c>
      <c r="K2099" s="25" t="n">
        <v>8248</v>
      </c>
      <c r="L2099" s="26" t="n">
        <v>14.2949</v>
      </c>
      <c r="M2099" s="26" t="n">
        <v>0.3554</v>
      </c>
    </row>
    <row r="2100" ht="16" customHeight="1">
      <c r="A2100" t="inlineStr">
        <is>
          <t>17-Feb-2026</t>
        </is>
      </c>
      <c r="B2100" t="inlineStr">
        <is>
          <t>Tuesday</t>
        </is>
      </c>
      <c r="C2100" t="inlineStr">
        <is>
          <t>Week3-Feb-2026</t>
        </is>
      </c>
      <c r="D2100" s="78" t="n">
        <v>46054</v>
      </c>
      <c r="E2100" t="inlineStr">
        <is>
          <t>Q4FY26</t>
        </is>
      </c>
      <c r="F2100" t="inlineStr">
        <is>
          <t>29-Jun-2027</t>
        </is>
      </c>
      <c r="G2100" t="inlineStr">
        <is>
          <t>Tuesday</t>
        </is>
      </c>
      <c r="H2100" t="inlineStr">
        <is>
          <t>Monthly - Tuesday</t>
        </is>
      </c>
      <c r="I2100" t="inlineStr">
        <is>
          <t>Monthly - Tuesday</t>
        </is>
      </c>
      <c r="J2100" t="inlineStr">
        <is>
          <t>Month+16 Expiry</t>
        </is>
      </c>
      <c r="K2100" s="25" t="n">
        <v>0</v>
      </c>
      <c r="L2100" s="26" t="n">
        <v>0</v>
      </c>
      <c r="M2100" s="26" t="n">
        <v>0</v>
      </c>
    </row>
    <row r="2101" ht="16" customHeight="1">
      <c r="A2101" t="inlineStr">
        <is>
          <t>17-Feb-2026</t>
        </is>
      </c>
      <c r="B2101" t="inlineStr">
        <is>
          <t>Tuesday</t>
        </is>
      </c>
      <c r="C2101" t="inlineStr">
        <is>
          <t>Week3-Feb-2026</t>
        </is>
      </c>
      <c r="D2101" s="78" t="n">
        <v>46054</v>
      </c>
      <c r="E2101" t="inlineStr">
        <is>
          <t>Q4FY26</t>
        </is>
      </c>
      <c r="F2101" t="inlineStr">
        <is>
          <t>28-Dec-2027</t>
        </is>
      </c>
      <c r="G2101" t="inlineStr">
        <is>
          <t>Tuesday</t>
        </is>
      </c>
      <c r="H2101" t="inlineStr">
        <is>
          <t>Monthly - Tuesday</t>
        </is>
      </c>
      <c r="I2101" t="inlineStr">
        <is>
          <t>Monthly - Tuesday</t>
        </is>
      </c>
      <c r="J2101" t="inlineStr">
        <is>
          <t>Month+22 Expiry</t>
        </is>
      </c>
      <c r="K2101" s="25" t="n">
        <v>21</v>
      </c>
      <c r="L2101" s="26" t="n">
        <v>0.0387</v>
      </c>
      <c r="M2101" s="26" t="n">
        <v>0.0024</v>
      </c>
    </row>
    <row r="2102" ht="16" customHeight="1">
      <c r="A2102" t="inlineStr">
        <is>
          <t>17-Feb-2026</t>
        </is>
      </c>
      <c r="B2102" t="inlineStr">
        <is>
          <t>Tuesday</t>
        </is>
      </c>
      <c r="C2102" t="inlineStr">
        <is>
          <t>Week3-Feb-2026</t>
        </is>
      </c>
      <c r="D2102" s="78" t="n">
        <v>46054</v>
      </c>
      <c r="E2102" t="inlineStr">
        <is>
          <t>Q4FY26</t>
        </is>
      </c>
      <c r="F2102" t="inlineStr">
        <is>
          <t>27-Jun-2028</t>
        </is>
      </c>
      <c r="G2102" t="inlineStr">
        <is>
          <t>Tuesday</t>
        </is>
      </c>
      <c r="H2102" t="inlineStr">
        <is>
          <t>Monthly - Tuesday</t>
        </is>
      </c>
      <c r="I2102" t="inlineStr">
        <is>
          <t>Monthly - Tuesday</t>
        </is>
      </c>
      <c r="J2102" t="inlineStr">
        <is>
          <t>Month+28 Expiry</t>
        </is>
      </c>
      <c r="K2102" s="25" t="n">
        <v>0</v>
      </c>
      <c r="L2102" s="26" t="n">
        <v>0</v>
      </c>
      <c r="M2102" s="26" t="n">
        <v>0</v>
      </c>
    </row>
    <row r="2103" ht="16" customHeight="1">
      <c r="A2103" t="inlineStr">
        <is>
          <t>17-Feb-2026</t>
        </is>
      </c>
      <c r="B2103" t="inlineStr">
        <is>
          <t>Tuesday</t>
        </is>
      </c>
      <c r="C2103" t="inlineStr">
        <is>
          <t>Week3-Feb-2026</t>
        </is>
      </c>
      <c r="D2103" s="78" t="n">
        <v>46054</v>
      </c>
      <c r="E2103" t="inlineStr">
        <is>
          <t>Q4FY26</t>
        </is>
      </c>
      <c r="F2103" t="inlineStr">
        <is>
          <t>26-Dec-2028</t>
        </is>
      </c>
      <c r="G2103" t="inlineStr">
        <is>
          <t>Tuesday</t>
        </is>
      </c>
      <c r="H2103" t="inlineStr">
        <is>
          <t>Monthly - Tuesday</t>
        </is>
      </c>
      <c r="I2103" t="inlineStr">
        <is>
          <t>Monthly - Tuesday</t>
        </is>
      </c>
      <c r="J2103" t="inlineStr">
        <is>
          <t>Month+34 Expiry</t>
        </is>
      </c>
      <c r="K2103" s="25" t="n">
        <v>0</v>
      </c>
      <c r="L2103" s="26" t="n">
        <v>0</v>
      </c>
      <c r="M2103" s="26" t="n">
        <v>0</v>
      </c>
    </row>
    <row r="2104" ht="16" customHeight="1">
      <c r="A2104" t="inlineStr">
        <is>
          <t>17-Feb-2026</t>
        </is>
      </c>
      <c r="B2104" t="inlineStr">
        <is>
          <t>Tuesday</t>
        </is>
      </c>
      <c r="C2104" t="inlineStr">
        <is>
          <t>Week3-Feb-2026</t>
        </is>
      </c>
      <c r="D2104" s="78" t="n">
        <v>46054</v>
      </c>
      <c r="E2104" t="inlineStr">
        <is>
          <t>Q4FY26</t>
        </is>
      </c>
      <c r="F2104" t="inlineStr">
        <is>
          <t>26-Jun-2029</t>
        </is>
      </c>
      <c r="G2104" t="inlineStr">
        <is>
          <t>Tuesday</t>
        </is>
      </c>
      <c r="H2104" t="inlineStr">
        <is>
          <t>Monthly - Tuesday</t>
        </is>
      </c>
      <c r="I2104" t="inlineStr">
        <is>
          <t>Monthly - Tuesday</t>
        </is>
      </c>
      <c r="J2104" t="inlineStr">
        <is>
          <t>Month+40 Expiry</t>
        </is>
      </c>
      <c r="K2104" s="25" t="n">
        <v>0</v>
      </c>
      <c r="L2104" s="26" t="n">
        <v>0</v>
      </c>
      <c r="M2104" s="26" t="n">
        <v>0</v>
      </c>
    </row>
    <row r="2105" ht="16" customHeight="1">
      <c r="A2105" t="inlineStr">
        <is>
          <t>17-Feb-2026</t>
        </is>
      </c>
      <c r="B2105" t="inlineStr">
        <is>
          <t>Tuesday</t>
        </is>
      </c>
      <c r="C2105" t="inlineStr">
        <is>
          <t>Week3-Feb-2026</t>
        </is>
      </c>
      <c r="D2105" s="78" t="n">
        <v>46054</v>
      </c>
      <c r="E2105" t="inlineStr">
        <is>
          <t>Q4FY26</t>
        </is>
      </c>
      <c r="F2105" t="inlineStr">
        <is>
          <t>24-Dec-2029</t>
        </is>
      </c>
      <c r="G2105" t="inlineStr">
        <is>
          <t>Monday</t>
        </is>
      </c>
      <c r="H2105" t="inlineStr">
        <is>
          <t>Weekly - Monday</t>
        </is>
      </c>
      <c r="I2105" t="inlineStr">
        <is>
          <t>Weekly - Monday</t>
        </is>
      </c>
      <c r="J2105" t="inlineStr">
        <is>
          <t>Month+46 Expiry</t>
        </is>
      </c>
      <c r="K2105" s="25" t="n">
        <v>1</v>
      </c>
      <c r="L2105" s="26" t="n">
        <v>0.0017</v>
      </c>
      <c r="M2105" s="26" t="n">
        <v>0</v>
      </c>
    </row>
    <row r="2106" ht="16" customHeight="1">
      <c r="A2106" t="inlineStr">
        <is>
          <t>17-Feb-2026</t>
        </is>
      </c>
      <c r="B2106" t="inlineStr">
        <is>
          <t>Tuesday</t>
        </is>
      </c>
      <c r="C2106" t="inlineStr">
        <is>
          <t>Week3-Feb-2026</t>
        </is>
      </c>
      <c r="D2106" s="78" t="n">
        <v>46054</v>
      </c>
      <c r="E2106" t="inlineStr">
        <is>
          <t>Q4FY26</t>
        </is>
      </c>
      <c r="F2106" t="inlineStr">
        <is>
          <t>25-Jun-2030</t>
        </is>
      </c>
      <c r="G2106" t="inlineStr">
        <is>
          <t>Tuesday</t>
        </is>
      </c>
      <c r="H2106" t="inlineStr">
        <is>
          <t>Monthly - Tuesday</t>
        </is>
      </c>
      <c r="I2106" t="inlineStr">
        <is>
          <t>Monthly - Tuesday</t>
        </is>
      </c>
      <c r="J2106" t="inlineStr">
        <is>
          <t>Month+52 Expiry</t>
        </is>
      </c>
      <c r="K2106" s="25" t="n">
        <v>0</v>
      </c>
      <c r="L2106" s="26" t="n">
        <v>0</v>
      </c>
      <c r="M2106" s="26" t="n">
        <v>0</v>
      </c>
    </row>
    <row r="2107" ht="16" customHeight="1">
      <c r="A2107" t="inlineStr">
        <is>
          <t>17-Feb-2026</t>
        </is>
      </c>
      <c r="B2107" t="inlineStr">
        <is>
          <t>Tuesday</t>
        </is>
      </c>
      <c r="C2107" t="inlineStr">
        <is>
          <t>Week3-Feb-2026</t>
        </is>
      </c>
      <c r="D2107" s="78" t="n">
        <v>46054</v>
      </c>
      <c r="E2107" t="inlineStr">
        <is>
          <t>Q4FY26</t>
        </is>
      </c>
      <c r="F2107" t="inlineStr">
        <is>
          <t>31-Dec-2030</t>
        </is>
      </c>
      <c r="G2107" t="inlineStr">
        <is>
          <t>Tuesday</t>
        </is>
      </c>
      <c r="H2107" t="inlineStr">
        <is>
          <t>Monthly - Tuesday</t>
        </is>
      </c>
      <c r="I2107" t="inlineStr">
        <is>
          <t>Monthly - Tuesday</t>
        </is>
      </c>
      <c r="J2107" t="inlineStr">
        <is>
          <t>Month+58 Expiry</t>
        </is>
      </c>
      <c r="K2107" s="25" t="n">
        <v>0</v>
      </c>
      <c r="L2107" s="26" t="n">
        <v>0</v>
      </c>
      <c r="M2107" s="26" t="n">
        <v>0</v>
      </c>
    </row>
    <row r="2108" ht="16" customHeight="1">
      <c r="A2108" t="inlineStr">
        <is>
          <t>18-Feb-2026</t>
        </is>
      </c>
      <c r="B2108" t="inlineStr">
        <is>
          <t>Wednesday</t>
        </is>
      </c>
      <c r="C2108" t="inlineStr">
        <is>
          <t>Week3-Feb-2026</t>
        </is>
      </c>
      <c r="D2108" s="78" t="n">
        <v>46054</v>
      </c>
      <c r="E2108" t="inlineStr">
        <is>
          <t>Q4FY26</t>
        </is>
      </c>
      <c r="F2108" t="inlineStr">
        <is>
          <t>24-Feb-2026</t>
        </is>
      </c>
      <c r="G2108" t="inlineStr">
        <is>
          <t>Tuesday</t>
        </is>
      </c>
      <c r="H2108" t="inlineStr">
        <is>
          <t>Monthly - Tuesday</t>
        </is>
      </c>
      <c r="I2108" t="inlineStr">
        <is>
          <t>MDAW - Tuesday</t>
        </is>
      </c>
      <c r="J2108" t="inlineStr">
        <is>
          <t>Same Month Expiry</t>
        </is>
      </c>
      <c r="K2108" s="25" t="n">
        <v>56224135</v>
      </c>
      <c r="L2108" s="26" t="n">
        <v>94316.6627</v>
      </c>
      <c r="M2108" s="26" t="n">
        <v>310.3726</v>
      </c>
    </row>
    <row r="2109" ht="16" customHeight="1">
      <c r="A2109" t="inlineStr">
        <is>
          <t>18-Feb-2026</t>
        </is>
      </c>
      <c r="B2109" t="inlineStr">
        <is>
          <t>Wednesday</t>
        </is>
      </c>
      <c r="C2109" t="inlineStr">
        <is>
          <t>Week3-Feb-2026</t>
        </is>
      </c>
      <c r="D2109" s="78" t="n">
        <v>46054</v>
      </c>
      <c r="E2109" t="inlineStr">
        <is>
          <t>Q4FY26</t>
        </is>
      </c>
      <c r="F2109" t="inlineStr">
        <is>
          <t>02-Mar-2026</t>
        </is>
      </c>
      <c r="G2109" t="inlineStr">
        <is>
          <t>Monday</t>
        </is>
      </c>
      <c r="H2109" t="inlineStr">
        <is>
          <t>Weekly - Monday</t>
        </is>
      </c>
      <c r="I2109" t="inlineStr">
        <is>
          <t>Weekly - Monday</t>
        </is>
      </c>
      <c r="J2109" t="inlineStr">
        <is>
          <t>Month+1 Expiry</t>
        </is>
      </c>
      <c r="K2109" s="25" t="n">
        <v>1359952</v>
      </c>
      <c r="L2109" s="26" t="n">
        <v>2284.9984</v>
      </c>
      <c r="M2109" s="26" t="n">
        <v>10.9927</v>
      </c>
    </row>
    <row r="2110" ht="16" customHeight="1">
      <c r="A2110" t="inlineStr">
        <is>
          <t>18-Feb-2026</t>
        </is>
      </c>
      <c r="B2110" t="inlineStr">
        <is>
          <t>Wednesday</t>
        </is>
      </c>
      <c r="C2110" t="inlineStr">
        <is>
          <t>Week3-Feb-2026</t>
        </is>
      </c>
      <c r="D2110" s="78" t="n">
        <v>46054</v>
      </c>
      <c r="E2110" t="inlineStr">
        <is>
          <t>Q4FY26</t>
        </is>
      </c>
      <c r="F2110" t="inlineStr">
        <is>
          <t>10-Mar-2026</t>
        </is>
      </c>
      <c r="G2110" t="inlineStr">
        <is>
          <t>Tuesday</t>
        </is>
      </c>
      <c r="H2110" t="inlineStr">
        <is>
          <t>Weekly - Tuesday</t>
        </is>
      </c>
      <c r="I2110" t="inlineStr">
        <is>
          <t>Weekly - Tuesday</t>
        </is>
      </c>
      <c r="J2110" t="inlineStr">
        <is>
          <t>Month+1 Expiry</t>
        </is>
      </c>
      <c r="K2110" s="25" t="n">
        <v>88430</v>
      </c>
      <c r="L2110" s="26" t="n">
        <v>148.7756</v>
      </c>
      <c r="M2110" s="26" t="n">
        <v>0.8867</v>
      </c>
    </row>
    <row r="2111" ht="16" customHeight="1">
      <c r="A2111" t="inlineStr">
        <is>
          <t>18-Feb-2026</t>
        </is>
      </c>
      <c r="B2111" t="inlineStr">
        <is>
          <t>Wednesday</t>
        </is>
      </c>
      <c r="C2111" t="inlineStr">
        <is>
          <t>Week3-Feb-2026</t>
        </is>
      </c>
      <c r="D2111" s="78" t="n">
        <v>46054</v>
      </c>
      <c r="E2111" t="inlineStr">
        <is>
          <t>Q4FY26</t>
        </is>
      </c>
      <c r="F2111" t="inlineStr">
        <is>
          <t>17-Mar-2026</t>
        </is>
      </c>
      <c r="G2111" t="inlineStr">
        <is>
          <t>Tuesday</t>
        </is>
      </c>
      <c r="H2111" t="inlineStr">
        <is>
          <t>Weekly - Tuesday</t>
        </is>
      </c>
      <c r="I2111" t="inlineStr">
        <is>
          <t>Weekly - Tuesday</t>
        </is>
      </c>
      <c r="J2111" t="inlineStr">
        <is>
          <t>Month+1 Expiry</t>
        </is>
      </c>
      <c r="K2111" s="25" t="n">
        <v>11834</v>
      </c>
      <c r="L2111" s="26" t="n">
        <v>19.8716</v>
      </c>
      <c r="M2111" s="26" t="n">
        <v>0.1263</v>
      </c>
    </row>
    <row r="2112" ht="16" customHeight="1">
      <c r="A2112" t="inlineStr">
        <is>
          <t>18-Feb-2026</t>
        </is>
      </c>
      <c r="B2112" t="inlineStr">
        <is>
          <t>Wednesday</t>
        </is>
      </c>
      <c r="C2112" t="inlineStr">
        <is>
          <t>Week3-Feb-2026</t>
        </is>
      </c>
      <c r="D2112" s="78" t="n">
        <v>46054</v>
      </c>
      <c r="E2112" t="inlineStr">
        <is>
          <t>Q4FY26</t>
        </is>
      </c>
      <c r="F2112" t="inlineStr">
        <is>
          <t>24-Mar-2026</t>
        </is>
      </c>
      <c r="G2112" t="inlineStr">
        <is>
          <t>Tuesday</t>
        </is>
      </c>
      <c r="H2112" t="inlineStr">
        <is>
          <t>Weekly - Tuesday</t>
        </is>
      </c>
      <c r="I2112" t="inlineStr">
        <is>
          <t>Weekly - Tuesday</t>
        </is>
      </c>
      <c r="J2112" t="inlineStr">
        <is>
          <t>Month+1 Expiry</t>
        </is>
      </c>
      <c r="K2112" s="25" t="n">
        <v>2885</v>
      </c>
      <c r="L2112" s="26" t="n">
        <v>4.8545</v>
      </c>
      <c r="M2112" s="26" t="n">
        <v>0.0463</v>
      </c>
    </row>
    <row r="2113" ht="16" customHeight="1">
      <c r="A2113" t="inlineStr">
        <is>
          <t>18-Feb-2026</t>
        </is>
      </c>
      <c r="B2113" t="inlineStr">
        <is>
          <t>Wednesday</t>
        </is>
      </c>
      <c r="C2113" t="inlineStr">
        <is>
          <t>Week3-Feb-2026</t>
        </is>
      </c>
      <c r="D2113" s="78" t="n">
        <v>46054</v>
      </c>
      <c r="E2113" t="inlineStr">
        <is>
          <t>Q4FY26</t>
        </is>
      </c>
      <c r="F2113" t="inlineStr">
        <is>
          <t>30-Mar-2026</t>
        </is>
      </c>
      <c r="G2113" t="inlineStr">
        <is>
          <t>Monday</t>
        </is>
      </c>
      <c r="H2113" t="inlineStr">
        <is>
          <t>Monthly - Monday</t>
        </is>
      </c>
      <c r="I2113" t="inlineStr">
        <is>
          <t>Monthly - Monday</t>
        </is>
      </c>
      <c r="J2113" t="inlineStr">
        <is>
          <t>Month+1 Expiry</t>
        </is>
      </c>
      <c r="K2113" s="25" t="n">
        <v>490459</v>
      </c>
      <c r="L2113" s="26" t="n">
        <v>824.4325</v>
      </c>
      <c r="M2113" s="26" t="n">
        <v>6.9515</v>
      </c>
    </row>
    <row r="2114" ht="16" customHeight="1">
      <c r="A2114" t="inlineStr">
        <is>
          <t>18-Feb-2026</t>
        </is>
      </c>
      <c r="B2114" t="inlineStr">
        <is>
          <t>Wednesday</t>
        </is>
      </c>
      <c r="C2114" t="inlineStr">
        <is>
          <t>Week3-Feb-2026</t>
        </is>
      </c>
      <c r="D2114" s="78" t="n">
        <v>46054</v>
      </c>
      <c r="E2114" t="inlineStr">
        <is>
          <t>Q4FY26</t>
        </is>
      </c>
      <c r="F2114" t="inlineStr">
        <is>
          <t>28-Apr-2026</t>
        </is>
      </c>
      <c r="G2114" t="inlineStr">
        <is>
          <t>Tuesday</t>
        </is>
      </c>
      <c r="H2114" t="inlineStr">
        <is>
          <t>Monthly - Tuesday</t>
        </is>
      </c>
      <c r="I2114" t="inlineStr">
        <is>
          <t>Monthly - Tuesday</t>
        </is>
      </c>
      <c r="J2114" t="inlineStr">
        <is>
          <t>Month+2 Expiry</t>
        </is>
      </c>
      <c r="K2114" s="25" t="n">
        <v>44976</v>
      </c>
      <c r="L2114" s="26" t="n">
        <v>75.9687</v>
      </c>
      <c r="M2114" s="26" t="n">
        <v>0.789</v>
      </c>
    </row>
    <row r="2115" ht="16" customHeight="1">
      <c r="A2115" t="inlineStr">
        <is>
          <t>18-Feb-2026</t>
        </is>
      </c>
      <c r="B2115" t="inlineStr">
        <is>
          <t>Wednesday</t>
        </is>
      </c>
      <c r="C2115" t="inlineStr">
        <is>
          <t>Week3-Feb-2026</t>
        </is>
      </c>
      <c r="D2115" s="78" t="n">
        <v>46054</v>
      </c>
      <c r="E2115" t="inlineStr">
        <is>
          <t>Q4FY26</t>
        </is>
      </c>
      <c r="F2115" t="inlineStr">
        <is>
          <t>30-Jun-2026</t>
        </is>
      </c>
      <c r="G2115" t="inlineStr">
        <is>
          <t>Tuesday</t>
        </is>
      </c>
      <c r="H2115" t="inlineStr">
        <is>
          <t>Monthly - Tuesday</t>
        </is>
      </c>
      <c r="I2115" t="inlineStr">
        <is>
          <t>Monthly - Tuesday</t>
        </is>
      </c>
      <c r="J2115" t="inlineStr">
        <is>
          <t>Month+4 Expiry</t>
        </is>
      </c>
      <c r="K2115" s="25" t="n">
        <v>41257</v>
      </c>
      <c r="L2115" s="26" t="n">
        <v>70.1194</v>
      </c>
      <c r="M2115" s="26" t="n">
        <v>1.1836</v>
      </c>
    </row>
    <row r="2116" ht="16" customHeight="1">
      <c r="A2116" t="inlineStr">
        <is>
          <t>18-Feb-2026</t>
        </is>
      </c>
      <c r="B2116" t="inlineStr">
        <is>
          <t>Wednesday</t>
        </is>
      </c>
      <c r="C2116" t="inlineStr">
        <is>
          <t>Week3-Feb-2026</t>
        </is>
      </c>
      <c r="D2116" s="78" t="n">
        <v>46054</v>
      </c>
      <c r="E2116" t="inlineStr">
        <is>
          <t>Q4FY26</t>
        </is>
      </c>
      <c r="F2116" t="inlineStr">
        <is>
          <t>29-Sep-2026</t>
        </is>
      </c>
      <c r="G2116" t="inlineStr">
        <is>
          <t>Tuesday</t>
        </is>
      </c>
      <c r="H2116" t="inlineStr">
        <is>
          <t>Monthly - Tuesday</t>
        </is>
      </c>
      <c r="I2116" t="inlineStr">
        <is>
          <t>Monthly - Tuesday</t>
        </is>
      </c>
      <c r="J2116" t="inlineStr">
        <is>
          <t>Month+7 Expiry</t>
        </is>
      </c>
      <c r="K2116" s="25" t="n">
        <v>6494</v>
      </c>
      <c r="L2116" s="26" t="n">
        <v>11.4464</v>
      </c>
      <c r="M2116" s="26" t="n">
        <v>0.2748</v>
      </c>
    </row>
    <row r="2117" ht="16" customHeight="1">
      <c r="A2117" t="inlineStr">
        <is>
          <t>18-Feb-2026</t>
        </is>
      </c>
      <c r="B2117" t="inlineStr">
        <is>
          <t>Wednesday</t>
        </is>
      </c>
      <c r="C2117" t="inlineStr">
        <is>
          <t>Week3-Feb-2026</t>
        </is>
      </c>
      <c r="D2117" s="78" t="n">
        <v>46054</v>
      </c>
      <c r="E2117" t="inlineStr">
        <is>
          <t>Q4FY26</t>
        </is>
      </c>
      <c r="F2117" t="inlineStr">
        <is>
          <t>29-Dec-2026</t>
        </is>
      </c>
      <c r="G2117" t="inlineStr">
        <is>
          <t>Tuesday</t>
        </is>
      </c>
      <c r="H2117" t="inlineStr">
        <is>
          <t>Monthly - Tuesday</t>
        </is>
      </c>
      <c r="I2117" t="inlineStr">
        <is>
          <t>Monthly - Tuesday</t>
        </is>
      </c>
      <c r="J2117" t="inlineStr">
        <is>
          <t>Month+10 Expiry</t>
        </is>
      </c>
      <c r="K2117" s="25" t="n">
        <v>14560</v>
      </c>
      <c r="L2117" s="26" t="n">
        <v>26.4385</v>
      </c>
      <c r="M2117" s="26" t="n">
        <v>0.5252</v>
      </c>
    </row>
    <row r="2118" ht="16" customHeight="1">
      <c r="A2118" t="inlineStr">
        <is>
          <t>18-Feb-2026</t>
        </is>
      </c>
      <c r="B2118" t="inlineStr">
        <is>
          <t>Wednesday</t>
        </is>
      </c>
      <c r="C2118" t="inlineStr">
        <is>
          <t>Week3-Feb-2026</t>
        </is>
      </c>
      <c r="D2118" s="78" t="n">
        <v>46054</v>
      </c>
      <c r="E2118" t="inlineStr">
        <is>
          <t>Q4FY26</t>
        </is>
      </c>
      <c r="F2118" t="inlineStr">
        <is>
          <t>29-Jun-2027</t>
        </is>
      </c>
      <c r="G2118" t="inlineStr">
        <is>
          <t>Tuesday</t>
        </is>
      </c>
      <c r="H2118" t="inlineStr">
        <is>
          <t>Monthly - Tuesday</t>
        </is>
      </c>
      <c r="I2118" t="inlineStr">
        <is>
          <t>Monthly - Tuesday</t>
        </is>
      </c>
      <c r="J2118" t="inlineStr">
        <is>
          <t>Month+16 Expiry</t>
        </is>
      </c>
      <c r="K2118" s="25" t="n">
        <v>0</v>
      </c>
      <c r="L2118" s="26" t="n">
        <v>0</v>
      </c>
      <c r="M2118" s="26" t="n">
        <v>0</v>
      </c>
    </row>
    <row r="2119" ht="16" customHeight="1">
      <c r="A2119" t="inlineStr">
        <is>
          <t>18-Feb-2026</t>
        </is>
      </c>
      <c r="B2119" t="inlineStr">
        <is>
          <t>Wednesday</t>
        </is>
      </c>
      <c r="C2119" t="inlineStr">
        <is>
          <t>Week3-Feb-2026</t>
        </is>
      </c>
      <c r="D2119" s="78" t="n">
        <v>46054</v>
      </c>
      <c r="E2119" t="inlineStr">
        <is>
          <t>Q4FY26</t>
        </is>
      </c>
      <c r="F2119" t="inlineStr">
        <is>
          <t>28-Dec-2027</t>
        </is>
      </c>
      <c r="G2119" t="inlineStr">
        <is>
          <t>Tuesday</t>
        </is>
      </c>
      <c r="H2119" t="inlineStr">
        <is>
          <t>Monthly - Tuesday</t>
        </is>
      </c>
      <c r="I2119" t="inlineStr">
        <is>
          <t>Monthly - Tuesday</t>
        </is>
      </c>
      <c r="J2119" t="inlineStr">
        <is>
          <t>Month+22 Expiry</t>
        </is>
      </c>
      <c r="K2119" s="25" t="n">
        <v>35</v>
      </c>
      <c r="L2119" s="26" t="n">
        <v>0.0596</v>
      </c>
      <c r="M2119" s="26" t="n">
        <v>0.0029</v>
      </c>
    </row>
    <row r="2120" ht="16" customHeight="1">
      <c r="A2120" t="inlineStr">
        <is>
          <t>18-Feb-2026</t>
        </is>
      </c>
      <c r="B2120" t="inlineStr">
        <is>
          <t>Wednesday</t>
        </is>
      </c>
      <c r="C2120" t="inlineStr">
        <is>
          <t>Week3-Feb-2026</t>
        </is>
      </c>
      <c r="D2120" s="78" t="n">
        <v>46054</v>
      </c>
      <c r="E2120" t="inlineStr">
        <is>
          <t>Q4FY26</t>
        </is>
      </c>
      <c r="F2120" t="inlineStr">
        <is>
          <t>27-Jun-2028</t>
        </is>
      </c>
      <c r="G2120" t="inlineStr">
        <is>
          <t>Tuesday</t>
        </is>
      </c>
      <c r="H2120" t="inlineStr">
        <is>
          <t>Monthly - Tuesday</t>
        </is>
      </c>
      <c r="I2120" t="inlineStr">
        <is>
          <t>Monthly - Tuesday</t>
        </is>
      </c>
      <c r="J2120" t="inlineStr">
        <is>
          <t>Month+28 Expiry</t>
        </is>
      </c>
      <c r="K2120" s="25" t="n">
        <v>0</v>
      </c>
      <c r="L2120" s="26" t="n">
        <v>0</v>
      </c>
      <c r="M2120" s="26" t="n">
        <v>0</v>
      </c>
    </row>
    <row r="2121" ht="16" customHeight="1">
      <c r="A2121" t="inlineStr">
        <is>
          <t>18-Feb-2026</t>
        </is>
      </c>
      <c r="B2121" t="inlineStr">
        <is>
          <t>Wednesday</t>
        </is>
      </c>
      <c r="C2121" t="inlineStr">
        <is>
          <t>Week3-Feb-2026</t>
        </is>
      </c>
      <c r="D2121" s="78" t="n">
        <v>46054</v>
      </c>
      <c r="E2121" t="inlineStr">
        <is>
          <t>Q4FY26</t>
        </is>
      </c>
      <c r="F2121" t="inlineStr">
        <is>
          <t>26-Dec-2028</t>
        </is>
      </c>
      <c r="G2121" t="inlineStr">
        <is>
          <t>Tuesday</t>
        </is>
      </c>
      <c r="H2121" t="inlineStr">
        <is>
          <t>Monthly - Tuesday</t>
        </is>
      </c>
      <c r="I2121" t="inlineStr">
        <is>
          <t>Monthly - Tuesday</t>
        </is>
      </c>
      <c r="J2121" t="inlineStr">
        <is>
          <t>Month+34 Expiry</t>
        </is>
      </c>
      <c r="K2121" s="25" t="n">
        <v>0</v>
      </c>
      <c r="L2121" s="26" t="n">
        <v>0</v>
      </c>
      <c r="M2121" s="26" t="n">
        <v>0</v>
      </c>
    </row>
    <row r="2122" ht="16" customHeight="1">
      <c r="A2122" t="inlineStr">
        <is>
          <t>18-Feb-2026</t>
        </is>
      </c>
      <c r="B2122" t="inlineStr">
        <is>
          <t>Wednesday</t>
        </is>
      </c>
      <c r="C2122" t="inlineStr">
        <is>
          <t>Week3-Feb-2026</t>
        </is>
      </c>
      <c r="D2122" s="78" t="n">
        <v>46054</v>
      </c>
      <c r="E2122" t="inlineStr">
        <is>
          <t>Q4FY26</t>
        </is>
      </c>
      <c r="F2122" t="inlineStr">
        <is>
          <t>26-Jun-2029</t>
        </is>
      </c>
      <c r="G2122" t="inlineStr">
        <is>
          <t>Tuesday</t>
        </is>
      </c>
      <c r="H2122" t="inlineStr">
        <is>
          <t>Monthly - Tuesday</t>
        </is>
      </c>
      <c r="I2122" t="inlineStr">
        <is>
          <t>Monthly - Tuesday</t>
        </is>
      </c>
      <c r="J2122" t="inlineStr">
        <is>
          <t>Month+40 Expiry</t>
        </is>
      </c>
      <c r="K2122" s="25" t="n">
        <v>0</v>
      </c>
      <c r="L2122" s="26" t="n">
        <v>0</v>
      </c>
      <c r="M2122" s="26" t="n">
        <v>0</v>
      </c>
    </row>
    <row r="2123" ht="16" customHeight="1">
      <c r="A2123" t="inlineStr">
        <is>
          <t>18-Feb-2026</t>
        </is>
      </c>
      <c r="B2123" t="inlineStr">
        <is>
          <t>Wednesday</t>
        </is>
      </c>
      <c r="C2123" t="inlineStr">
        <is>
          <t>Week3-Feb-2026</t>
        </is>
      </c>
      <c r="D2123" s="78" t="n">
        <v>46054</v>
      </c>
      <c r="E2123" t="inlineStr">
        <is>
          <t>Q4FY26</t>
        </is>
      </c>
      <c r="F2123" t="inlineStr">
        <is>
          <t>24-Dec-2029</t>
        </is>
      </c>
      <c r="G2123" t="inlineStr">
        <is>
          <t>Monday</t>
        </is>
      </c>
      <c r="H2123" t="inlineStr">
        <is>
          <t>Weekly - Monday</t>
        </is>
      </c>
      <c r="I2123" t="inlineStr">
        <is>
          <t>Weekly - Monday</t>
        </is>
      </c>
      <c r="J2123" t="inlineStr">
        <is>
          <t>Month+46 Expiry</t>
        </is>
      </c>
      <c r="K2123" s="25" t="n">
        <v>0</v>
      </c>
      <c r="L2123" s="26" t="n">
        <v>0</v>
      </c>
      <c r="M2123" s="26" t="n">
        <v>0</v>
      </c>
    </row>
    <row r="2124" ht="16" customHeight="1">
      <c r="A2124" t="inlineStr">
        <is>
          <t>18-Feb-2026</t>
        </is>
      </c>
      <c r="B2124" t="inlineStr">
        <is>
          <t>Wednesday</t>
        </is>
      </c>
      <c r="C2124" t="inlineStr">
        <is>
          <t>Week3-Feb-2026</t>
        </is>
      </c>
      <c r="D2124" s="78" t="n">
        <v>46054</v>
      </c>
      <c r="E2124" t="inlineStr">
        <is>
          <t>Q4FY26</t>
        </is>
      </c>
      <c r="F2124" t="inlineStr">
        <is>
          <t>25-Jun-2030</t>
        </is>
      </c>
      <c r="G2124" t="inlineStr">
        <is>
          <t>Tuesday</t>
        </is>
      </c>
      <c r="H2124" t="inlineStr">
        <is>
          <t>Monthly - Tuesday</t>
        </is>
      </c>
      <c r="I2124" t="inlineStr">
        <is>
          <t>Monthly - Tuesday</t>
        </is>
      </c>
      <c r="J2124" t="inlineStr">
        <is>
          <t>Month+52 Expiry</t>
        </is>
      </c>
      <c r="K2124" s="25" t="n">
        <v>0</v>
      </c>
      <c r="L2124" s="26" t="n">
        <v>0</v>
      </c>
      <c r="M2124" s="26" t="n">
        <v>0</v>
      </c>
    </row>
    <row r="2125" ht="16" customHeight="1">
      <c r="A2125" t="inlineStr">
        <is>
          <t>18-Feb-2026</t>
        </is>
      </c>
      <c r="B2125" t="inlineStr">
        <is>
          <t>Wednesday</t>
        </is>
      </c>
      <c r="C2125" t="inlineStr">
        <is>
          <t>Week3-Feb-2026</t>
        </is>
      </c>
      <c r="D2125" s="78" t="n">
        <v>46054</v>
      </c>
      <c r="E2125" t="inlineStr">
        <is>
          <t>Q4FY26</t>
        </is>
      </c>
      <c r="F2125" t="inlineStr">
        <is>
          <t>31-Dec-2030</t>
        </is>
      </c>
      <c r="G2125" t="inlineStr">
        <is>
          <t>Tuesday</t>
        </is>
      </c>
      <c r="H2125" t="inlineStr">
        <is>
          <t>Monthly - Tuesday</t>
        </is>
      </c>
      <c r="I2125" t="inlineStr">
        <is>
          <t>Monthly - Tuesday</t>
        </is>
      </c>
      <c r="J2125" t="inlineStr">
        <is>
          <t>Month+58 Expiry</t>
        </is>
      </c>
      <c r="K2125" s="25" t="n">
        <v>0</v>
      </c>
      <c r="L2125" s="26" t="n">
        <v>0</v>
      </c>
      <c r="M2125" s="26" t="n">
        <v>0</v>
      </c>
    </row>
    <row r="2126" ht="16" customHeight="1">
      <c r="A2126" t="inlineStr">
        <is>
          <t>19-Feb-2026</t>
        </is>
      </c>
      <c r="B2126" t="inlineStr">
        <is>
          <t>Thursday</t>
        </is>
      </c>
      <c r="C2126" t="inlineStr">
        <is>
          <t>Week3-Feb-2026</t>
        </is>
      </c>
      <c r="D2126" s="78" t="n">
        <v>46054</v>
      </c>
      <c r="E2126" t="inlineStr">
        <is>
          <t>Q4FY26</t>
        </is>
      </c>
      <c r="F2126" t="inlineStr">
        <is>
          <t>24-Feb-2026</t>
        </is>
      </c>
      <c r="G2126" t="inlineStr">
        <is>
          <t>Tuesday</t>
        </is>
      </c>
      <c r="H2126" t="inlineStr">
        <is>
          <t>Monthly - Tuesday</t>
        </is>
      </c>
      <c r="I2126" t="inlineStr">
        <is>
          <t>MDAW - Tuesday</t>
        </is>
      </c>
      <c r="J2126" t="inlineStr">
        <is>
          <t>Same Month Expiry</t>
        </is>
      </c>
      <c r="K2126" s="25" t="n">
        <v>67332820</v>
      </c>
      <c r="L2126" s="26" t="n">
        <v>112759.6924</v>
      </c>
      <c r="M2126" s="26" t="n">
        <v>341.7806</v>
      </c>
    </row>
    <row r="2127" ht="16" customHeight="1">
      <c r="A2127" t="inlineStr">
        <is>
          <t>19-Feb-2026</t>
        </is>
      </c>
      <c r="B2127" t="inlineStr">
        <is>
          <t>Thursday</t>
        </is>
      </c>
      <c r="C2127" t="inlineStr">
        <is>
          <t>Week3-Feb-2026</t>
        </is>
      </c>
      <c r="D2127" s="78" t="n">
        <v>46054</v>
      </c>
      <c r="E2127" t="inlineStr">
        <is>
          <t>Q4FY26</t>
        </is>
      </c>
      <c r="F2127" t="inlineStr">
        <is>
          <t>02-Mar-2026</t>
        </is>
      </c>
      <c r="G2127" t="inlineStr">
        <is>
          <t>Monday</t>
        </is>
      </c>
      <c r="H2127" t="inlineStr">
        <is>
          <t>Weekly - Monday</t>
        </is>
      </c>
      <c r="I2127" t="inlineStr">
        <is>
          <t>Weekly - Monday</t>
        </is>
      </c>
      <c r="J2127" t="inlineStr">
        <is>
          <t>Month+1 Expiry</t>
        </is>
      </c>
      <c r="K2127" s="25" t="n">
        <v>2484734</v>
      </c>
      <c r="L2127" s="26" t="n">
        <v>4164.7891</v>
      </c>
      <c r="M2127" s="26" t="n">
        <v>19.4154</v>
      </c>
    </row>
    <row r="2128" ht="16" customHeight="1">
      <c r="A2128" t="inlineStr">
        <is>
          <t>19-Feb-2026</t>
        </is>
      </c>
      <c r="B2128" t="inlineStr">
        <is>
          <t>Thursday</t>
        </is>
      </c>
      <c r="C2128" t="inlineStr">
        <is>
          <t>Week3-Feb-2026</t>
        </is>
      </c>
      <c r="D2128" s="78" t="n">
        <v>46054</v>
      </c>
      <c r="E2128" t="inlineStr">
        <is>
          <t>Q4FY26</t>
        </is>
      </c>
      <c r="F2128" t="inlineStr">
        <is>
          <t>10-Mar-2026</t>
        </is>
      </c>
      <c r="G2128" t="inlineStr">
        <is>
          <t>Tuesday</t>
        </is>
      </c>
      <c r="H2128" t="inlineStr">
        <is>
          <t>Weekly - Tuesday</t>
        </is>
      </c>
      <c r="I2128" t="inlineStr">
        <is>
          <t>Weekly - Tuesday</t>
        </is>
      </c>
      <c r="J2128" t="inlineStr">
        <is>
          <t>Month+1 Expiry</t>
        </is>
      </c>
      <c r="K2128" s="25" t="n">
        <v>200350</v>
      </c>
      <c r="L2128" s="26" t="n">
        <v>336.215</v>
      </c>
      <c r="M2128" s="26" t="n">
        <v>2.1319</v>
      </c>
    </row>
    <row r="2129" ht="16" customHeight="1">
      <c r="A2129" t="inlineStr">
        <is>
          <t>19-Feb-2026</t>
        </is>
      </c>
      <c r="B2129" t="inlineStr">
        <is>
          <t>Thursday</t>
        </is>
      </c>
      <c r="C2129" t="inlineStr">
        <is>
          <t>Week3-Feb-2026</t>
        </is>
      </c>
      <c r="D2129" s="78" t="n">
        <v>46054</v>
      </c>
      <c r="E2129" t="inlineStr">
        <is>
          <t>Q4FY26</t>
        </is>
      </c>
      <c r="F2129" t="inlineStr">
        <is>
          <t>17-Mar-2026</t>
        </is>
      </c>
      <c r="G2129" t="inlineStr">
        <is>
          <t>Tuesday</t>
        </is>
      </c>
      <c r="H2129" t="inlineStr">
        <is>
          <t>Weekly - Tuesday</t>
        </is>
      </c>
      <c r="I2129" t="inlineStr">
        <is>
          <t>Weekly - Tuesday</t>
        </is>
      </c>
      <c r="J2129" t="inlineStr">
        <is>
          <t>Month+1 Expiry</t>
        </is>
      </c>
      <c r="K2129" s="25" t="n">
        <v>24727</v>
      </c>
      <c r="L2129" s="26" t="n">
        <v>41.6847</v>
      </c>
      <c r="M2129" s="26" t="n">
        <v>0.2864</v>
      </c>
    </row>
    <row r="2130" ht="16" customHeight="1">
      <c r="A2130" t="inlineStr">
        <is>
          <t>19-Feb-2026</t>
        </is>
      </c>
      <c r="B2130" t="inlineStr">
        <is>
          <t>Thursday</t>
        </is>
      </c>
      <c r="C2130" t="inlineStr">
        <is>
          <t>Week3-Feb-2026</t>
        </is>
      </c>
      <c r="D2130" s="78" t="n">
        <v>46054</v>
      </c>
      <c r="E2130" t="inlineStr">
        <is>
          <t>Q4FY26</t>
        </is>
      </c>
      <c r="F2130" t="inlineStr">
        <is>
          <t>24-Mar-2026</t>
        </is>
      </c>
      <c r="G2130" t="inlineStr">
        <is>
          <t>Tuesday</t>
        </is>
      </c>
      <c r="H2130" t="inlineStr">
        <is>
          <t>Weekly - Tuesday</t>
        </is>
      </c>
      <c r="I2130" t="inlineStr">
        <is>
          <t>Weekly - Tuesday</t>
        </is>
      </c>
      <c r="J2130" t="inlineStr">
        <is>
          <t>Month+1 Expiry</t>
        </is>
      </c>
      <c r="K2130" s="25" t="n">
        <v>11556</v>
      </c>
      <c r="L2130" s="26" t="n">
        <v>19.3519</v>
      </c>
      <c r="M2130" s="26" t="n">
        <v>0.1653</v>
      </c>
    </row>
    <row r="2131" ht="16" customHeight="1">
      <c r="A2131" t="inlineStr">
        <is>
          <t>19-Feb-2026</t>
        </is>
      </c>
      <c r="B2131" t="inlineStr">
        <is>
          <t>Thursday</t>
        </is>
      </c>
      <c r="C2131" t="inlineStr">
        <is>
          <t>Week3-Feb-2026</t>
        </is>
      </c>
      <c r="D2131" s="78" t="n">
        <v>46054</v>
      </c>
      <c r="E2131" t="inlineStr">
        <is>
          <t>Q4FY26</t>
        </is>
      </c>
      <c r="F2131" t="inlineStr">
        <is>
          <t>30-Mar-2026</t>
        </is>
      </c>
      <c r="G2131" t="inlineStr">
        <is>
          <t>Monday</t>
        </is>
      </c>
      <c r="H2131" t="inlineStr">
        <is>
          <t>Monthly - Monday</t>
        </is>
      </c>
      <c r="I2131" t="inlineStr">
        <is>
          <t>Monthly - Monday</t>
        </is>
      </c>
      <c r="J2131" t="inlineStr">
        <is>
          <t>Month+1 Expiry</t>
        </is>
      </c>
      <c r="K2131" s="25" t="n">
        <v>986317</v>
      </c>
      <c r="L2131" s="26" t="n">
        <v>1658.0602</v>
      </c>
      <c r="M2131" s="26" t="n">
        <v>14.8623</v>
      </c>
    </row>
    <row r="2132" ht="16" customHeight="1">
      <c r="A2132" t="inlineStr">
        <is>
          <t>19-Feb-2026</t>
        </is>
      </c>
      <c r="B2132" t="inlineStr">
        <is>
          <t>Thursday</t>
        </is>
      </c>
      <c r="C2132" t="inlineStr">
        <is>
          <t>Week3-Feb-2026</t>
        </is>
      </c>
      <c r="D2132" s="78" t="n">
        <v>46054</v>
      </c>
      <c r="E2132" t="inlineStr">
        <is>
          <t>Q4FY26</t>
        </is>
      </c>
      <c r="F2132" t="inlineStr">
        <is>
          <t>28-Apr-2026</t>
        </is>
      </c>
      <c r="G2132" t="inlineStr">
        <is>
          <t>Tuesday</t>
        </is>
      </c>
      <c r="H2132" t="inlineStr">
        <is>
          <t>Monthly - Tuesday</t>
        </is>
      </c>
      <c r="I2132" t="inlineStr">
        <is>
          <t>Monthly - Tuesday</t>
        </is>
      </c>
      <c r="J2132" t="inlineStr">
        <is>
          <t>Month+2 Expiry</t>
        </is>
      </c>
      <c r="K2132" s="25" t="n">
        <v>84827</v>
      </c>
      <c r="L2132" s="26" t="n">
        <v>142.9137</v>
      </c>
      <c r="M2132" s="26" t="n">
        <v>1.5071</v>
      </c>
    </row>
    <row r="2133" ht="16" customHeight="1">
      <c r="A2133" t="inlineStr">
        <is>
          <t>19-Feb-2026</t>
        </is>
      </c>
      <c r="B2133" t="inlineStr">
        <is>
          <t>Thursday</t>
        </is>
      </c>
      <c r="C2133" t="inlineStr">
        <is>
          <t>Week3-Feb-2026</t>
        </is>
      </c>
      <c r="D2133" s="78" t="n">
        <v>46054</v>
      </c>
      <c r="E2133" t="inlineStr">
        <is>
          <t>Q4FY26</t>
        </is>
      </c>
      <c r="F2133" t="inlineStr">
        <is>
          <t>30-Jun-2026</t>
        </is>
      </c>
      <c r="G2133" t="inlineStr">
        <is>
          <t>Tuesday</t>
        </is>
      </c>
      <c r="H2133" t="inlineStr">
        <is>
          <t>Monthly - Tuesday</t>
        </is>
      </c>
      <c r="I2133" t="inlineStr">
        <is>
          <t>Monthly - Tuesday</t>
        </is>
      </c>
      <c r="J2133" t="inlineStr">
        <is>
          <t>Month+4 Expiry</t>
        </is>
      </c>
      <c r="K2133" s="25" t="n">
        <v>53434</v>
      </c>
      <c r="L2133" s="26" t="n">
        <v>91.6443</v>
      </c>
      <c r="M2133" s="26" t="n">
        <v>1.5165</v>
      </c>
    </row>
    <row r="2134" ht="16" customHeight="1">
      <c r="A2134" t="inlineStr">
        <is>
          <t>19-Feb-2026</t>
        </is>
      </c>
      <c r="B2134" t="inlineStr">
        <is>
          <t>Thursday</t>
        </is>
      </c>
      <c r="C2134" t="inlineStr">
        <is>
          <t>Week3-Feb-2026</t>
        </is>
      </c>
      <c r="D2134" s="78" t="n">
        <v>46054</v>
      </c>
      <c r="E2134" t="inlineStr">
        <is>
          <t>Q4FY26</t>
        </is>
      </c>
      <c r="F2134" t="inlineStr">
        <is>
          <t>29-Sep-2026</t>
        </is>
      </c>
      <c r="G2134" t="inlineStr">
        <is>
          <t>Tuesday</t>
        </is>
      </c>
      <c r="H2134" t="inlineStr">
        <is>
          <t>Monthly - Tuesday</t>
        </is>
      </c>
      <c r="I2134" t="inlineStr">
        <is>
          <t>Monthly - Tuesday</t>
        </is>
      </c>
      <c r="J2134" t="inlineStr">
        <is>
          <t>Month+7 Expiry</t>
        </is>
      </c>
      <c r="K2134" s="25" t="n">
        <v>7837</v>
      </c>
      <c r="L2134" s="26" t="n">
        <v>13.15</v>
      </c>
      <c r="M2134" s="26" t="n">
        <v>0.2377</v>
      </c>
    </row>
    <row r="2135" ht="16" customHeight="1">
      <c r="A2135" t="inlineStr">
        <is>
          <t>19-Feb-2026</t>
        </is>
      </c>
      <c r="B2135" t="inlineStr">
        <is>
          <t>Thursday</t>
        </is>
      </c>
      <c r="C2135" t="inlineStr">
        <is>
          <t>Week3-Feb-2026</t>
        </is>
      </c>
      <c r="D2135" s="78" t="n">
        <v>46054</v>
      </c>
      <c r="E2135" t="inlineStr">
        <is>
          <t>Q4FY26</t>
        </is>
      </c>
      <c r="F2135" t="inlineStr">
        <is>
          <t>29-Dec-2026</t>
        </is>
      </c>
      <c r="G2135" t="inlineStr">
        <is>
          <t>Tuesday</t>
        </is>
      </c>
      <c r="H2135" t="inlineStr">
        <is>
          <t>Monthly - Tuesday</t>
        </is>
      </c>
      <c r="I2135" t="inlineStr">
        <is>
          <t>Monthly - Tuesday</t>
        </is>
      </c>
      <c r="J2135" t="inlineStr">
        <is>
          <t>Month+10 Expiry</t>
        </is>
      </c>
      <c r="K2135" s="25" t="n">
        <v>22930</v>
      </c>
      <c r="L2135" s="26" t="n">
        <v>39.2284</v>
      </c>
      <c r="M2135" s="26" t="n">
        <v>0.9505</v>
      </c>
    </row>
    <row r="2136" ht="16" customHeight="1">
      <c r="A2136" t="inlineStr">
        <is>
          <t>19-Feb-2026</t>
        </is>
      </c>
      <c r="B2136" t="inlineStr">
        <is>
          <t>Thursday</t>
        </is>
      </c>
      <c r="C2136" t="inlineStr">
        <is>
          <t>Week3-Feb-2026</t>
        </is>
      </c>
      <c r="D2136" s="78" t="n">
        <v>46054</v>
      </c>
      <c r="E2136" t="inlineStr">
        <is>
          <t>Q4FY26</t>
        </is>
      </c>
      <c r="F2136" t="inlineStr">
        <is>
          <t>29-Jun-2027</t>
        </is>
      </c>
      <c r="G2136" t="inlineStr">
        <is>
          <t>Tuesday</t>
        </is>
      </c>
      <c r="H2136" t="inlineStr">
        <is>
          <t>Monthly - Tuesday</t>
        </is>
      </c>
      <c r="I2136" t="inlineStr">
        <is>
          <t>Monthly - Tuesday</t>
        </is>
      </c>
      <c r="J2136" t="inlineStr">
        <is>
          <t>Month+16 Expiry</t>
        </is>
      </c>
      <c r="K2136" s="25" t="n">
        <v>0</v>
      </c>
      <c r="L2136" s="26" t="n">
        <v>0</v>
      </c>
      <c r="M2136" s="26" t="n">
        <v>0</v>
      </c>
    </row>
    <row r="2137" ht="16" customHeight="1">
      <c r="A2137" t="inlineStr">
        <is>
          <t>19-Feb-2026</t>
        </is>
      </c>
      <c r="B2137" t="inlineStr">
        <is>
          <t>Thursday</t>
        </is>
      </c>
      <c r="C2137" t="inlineStr">
        <is>
          <t>Week3-Feb-2026</t>
        </is>
      </c>
      <c r="D2137" s="78" t="n">
        <v>46054</v>
      </c>
      <c r="E2137" t="inlineStr">
        <is>
          <t>Q4FY26</t>
        </is>
      </c>
      <c r="F2137" t="inlineStr">
        <is>
          <t>28-Dec-2027</t>
        </is>
      </c>
      <c r="G2137" t="inlineStr">
        <is>
          <t>Tuesday</t>
        </is>
      </c>
      <c r="H2137" t="inlineStr">
        <is>
          <t>Monthly - Tuesday</t>
        </is>
      </c>
      <c r="I2137" t="inlineStr">
        <is>
          <t>Monthly - Tuesday</t>
        </is>
      </c>
      <c r="J2137" t="inlineStr">
        <is>
          <t>Month+22 Expiry</t>
        </is>
      </c>
      <c r="K2137" s="25" t="n">
        <v>52</v>
      </c>
      <c r="L2137" s="26" t="n">
        <v>0.091</v>
      </c>
      <c r="M2137" s="26" t="n">
        <v>0.0038</v>
      </c>
    </row>
    <row r="2138" ht="16" customHeight="1">
      <c r="A2138" t="inlineStr">
        <is>
          <t>19-Feb-2026</t>
        </is>
      </c>
      <c r="B2138" t="inlineStr">
        <is>
          <t>Thursday</t>
        </is>
      </c>
      <c r="C2138" t="inlineStr">
        <is>
          <t>Week3-Feb-2026</t>
        </is>
      </c>
      <c r="D2138" s="78" t="n">
        <v>46054</v>
      </c>
      <c r="E2138" t="inlineStr">
        <is>
          <t>Q4FY26</t>
        </is>
      </c>
      <c r="F2138" t="inlineStr">
        <is>
          <t>27-Jun-2028</t>
        </is>
      </c>
      <c r="G2138" t="inlineStr">
        <is>
          <t>Tuesday</t>
        </is>
      </c>
      <c r="H2138" t="inlineStr">
        <is>
          <t>Monthly - Tuesday</t>
        </is>
      </c>
      <c r="I2138" t="inlineStr">
        <is>
          <t>Monthly - Tuesday</t>
        </is>
      </c>
      <c r="J2138" t="inlineStr">
        <is>
          <t>Month+28 Expiry</t>
        </is>
      </c>
      <c r="K2138" s="25" t="n">
        <v>0</v>
      </c>
      <c r="L2138" s="26" t="n">
        <v>0</v>
      </c>
      <c r="M2138" s="26" t="n">
        <v>0</v>
      </c>
    </row>
    <row r="2139" ht="16" customHeight="1">
      <c r="A2139" t="inlineStr">
        <is>
          <t>19-Feb-2026</t>
        </is>
      </c>
      <c r="B2139" t="inlineStr">
        <is>
          <t>Thursday</t>
        </is>
      </c>
      <c r="C2139" t="inlineStr">
        <is>
          <t>Week3-Feb-2026</t>
        </is>
      </c>
      <c r="D2139" s="78" t="n">
        <v>46054</v>
      </c>
      <c r="E2139" t="inlineStr">
        <is>
          <t>Q4FY26</t>
        </is>
      </c>
      <c r="F2139" t="inlineStr">
        <is>
          <t>26-Dec-2028</t>
        </is>
      </c>
      <c r="G2139" t="inlineStr">
        <is>
          <t>Tuesday</t>
        </is>
      </c>
      <c r="H2139" t="inlineStr">
        <is>
          <t>Monthly - Tuesday</t>
        </is>
      </c>
      <c r="I2139" t="inlineStr">
        <is>
          <t>Monthly - Tuesday</t>
        </is>
      </c>
      <c r="J2139" t="inlineStr">
        <is>
          <t>Month+34 Expiry</t>
        </is>
      </c>
      <c r="K2139" s="25" t="n">
        <v>0</v>
      </c>
      <c r="L2139" s="26" t="n">
        <v>0</v>
      </c>
      <c r="M2139" s="26" t="n">
        <v>0</v>
      </c>
    </row>
    <row r="2140" ht="16" customHeight="1">
      <c r="A2140" t="inlineStr">
        <is>
          <t>19-Feb-2026</t>
        </is>
      </c>
      <c r="B2140" t="inlineStr">
        <is>
          <t>Thursday</t>
        </is>
      </c>
      <c r="C2140" t="inlineStr">
        <is>
          <t>Week3-Feb-2026</t>
        </is>
      </c>
      <c r="D2140" s="78" t="n">
        <v>46054</v>
      </c>
      <c r="E2140" t="inlineStr">
        <is>
          <t>Q4FY26</t>
        </is>
      </c>
      <c r="F2140" t="inlineStr">
        <is>
          <t>26-Jun-2029</t>
        </is>
      </c>
      <c r="G2140" t="inlineStr">
        <is>
          <t>Tuesday</t>
        </is>
      </c>
      <c r="H2140" t="inlineStr">
        <is>
          <t>Monthly - Tuesday</t>
        </is>
      </c>
      <c r="I2140" t="inlineStr">
        <is>
          <t>Monthly - Tuesday</t>
        </is>
      </c>
      <c r="J2140" t="inlineStr">
        <is>
          <t>Month+40 Expiry</t>
        </is>
      </c>
      <c r="K2140" s="25" t="n">
        <v>0</v>
      </c>
      <c r="L2140" s="26" t="n">
        <v>0</v>
      </c>
      <c r="M2140" s="26" t="n">
        <v>0</v>
      </c>
    </row>
    <row r="2141" ht="16" customHeight="1">
      <c r="A2141" t="inlineStr">
        <is>
          <t>19-Feb-2026</t>
        </is>
      </c>
      <c r="B2141" t="inlineStr">
        <is>
          <t>Thursday</t>
        </is>
      </c>
      <c r="C2141" t="inlineStr">
        <is>
          <t>Week3-Feb-2026</t>
        </is>
      </c>
      <c r="D2141" s="78" t="n">
        <v>46054</v>
      </c>
      <c r="E2141" t="inlineStr">
        <is>
          <t>Q4FY26</t>
        </is>
      </c>
      <c r="F2141" t="inlineStr">
        <is>
          <t>24-Dec-2029</t>
        </is>
      </c>
      <c r="G2141" t="inlineStr">
        <is>
          <t>Monday</t>
        </is>
      </c>
      <c r="H2141" t="inlineStr">
        <is>
          <t>Weekly - Monday</t>
        </is>
      </c>
      <c r="I2141" t="inlineStr">
        <is>
          <t>Weekly - Monday</t>
        </is>
      </c>
      <c r="J2141" t="inlineStr">
        <is>
          <t>Month+46 Expiry</t>
        </is>
      </c>
      <c r="K2141" s="25" t="n">
        <v>0</v>
      </c>
      <c r="L2141" s="26" t="n">
        <v>0</v>
      </c>
      <c r="M2141" s="26" t="n">
        <v>0</v>
      </c>
    </row>
    <row r="2142" ht="16" customHeight="1">
      <c r="A2142" t="inlineStr">
        <is>
          <t>19-Feb-2026</t>
        </is>
      </c>
      <c r="B2142" t="inlineStr">
        <is>
          <t>Thursday</t>
        </is>
      </c>
      <c r="C2142" t="inlineStr">
        <is>
          <t>Week3-Feb-2026</t>
        </is>
      </c>
      <c r="D2142" s="78" t="n">
        <v>46054</v>
      </c>
      <c r="E2142" t="inlineStr">
        <is>
          <t>Q4FY26</t>
        </is>
      </c>
      <c r="F2142" t="inlineStr">
        <is>
          <t>25-Jun-2030</t>
        </is>
      </c>
      <c r="G2142" t="inlineStr">
        <is>
          <t>Tuesday</t>
        </is>
      </c>
      <c r="H2142" t="inlineStr">
        <is>
          <t>Monthly - Tuesday</t>
        </is>
      </c>
      <c r="I2142" t="inlineStr">
        <is>
          <t>Monthly - Tuesday</t>
        </is>
      </c>
      <c r="J2142" t="inlineStr">
        <is>
          <t>Month+52 Expiry</t>
        </is>
      </c>
      <c r="K2142" s="25" t="n">
        <v>0</v>
      </c>
      <c r="L2142" s="26" t="n">
        <v>0</v>
      </c>
      <c r="M2142" s="26" t="n">
        <v>0</v>
      </c>
    </row>
    <row r="2143" ht="16" customHeight="1">
      <c r="A2143" t="inlineStr">
        <is>
          <t>19-Feb-2026</t>
        </is>
      </c>
      <c r="B2143" t="inlineStr">
        <is>
          <t>Thursday</t>
        </is>
      </c>
      <c r="C2143" t="inlineStr">
        <is>
          <t>Week3-Feb-2026</t>
        </is>
      </c>
      <c r="D2143" s="78" t="n">
        <v>46054</v>
      </c>
      <c r="E2143" t="inlineStr">
        <is>
          <t>Q4FY26</t>
        </is>
      </c>
      <c r="F2143" t="inlineStr">
        <is>
          <t>31-Dec-2030</t>
        </is>
      </c>
      <c r="G2143" t="inlineStr">
        <is>
          <t>Tuesday</t>
        </is>
      </c>
      <c r="H2143" t="inlineStr">
        <is>
          <t>Monthly - Tuesday</t>
        </is>
      </c>
      <c r="I2143" t="inlineStr">
        <is>
          <t>Monthly - Tuesday</t>
        </is>
      </c>
      <c r="J2143" t="inlineStr">
        <is>
          <t>Month+58 Expiry</t>
        </is>
      </c>
      <c r="K2143" s="25" t="n">
        <v>0</v>
      </c>
      <c r="L2143" s="26" t="n">
        <v>0</v>
      </c>
      <c r="M2143" s="26" t="n">
        <v>0</v>
      </c>
    </row>
    <row r="2144" ht="16" customHeight="1">
      <c r="A2144" t="inlineStr">
        <is>
          <t>20-Feb-2026</t>
        </is>
      </c>
      <c r="B2144" t="inlineStr">
        <is>
          <t>Friday</t>
        </is>
      </c>
      <c r="C2144" t="inlineStr">
        <is>
          <t>Week3-Feb-2026</t>
        </is>
      </c>
      <c r="D2144" s="78" t="n">
        <v>46054</v>
      </c>
      <c r="E2144" t="inlineStr">
        <is>
          <t>Q4FY26</t>
        </is>
      </c>
      <c r="F2144" t="inlineStr">
        <is>
          <t>24-Feb-2026</t>
        </is>
      </c>
      <c r="G2144" t="inlineStr">
        <is>
          <t>Tuesday</t>
        </is>
      </c>
      <c r="H2144" t="inlineStr">
        <is>
          <t>Monthly - Tuesday</t>
        </is>
      </c>
      <c r="I2144" t="inlineStr">
        <is>
          <t>MDAW - Tuesday</t>
        </is>
      </c>
      <c r="J2144" t="inlineStr">
        <is>
          <t>Same Month Expiry</t>
        </is>
      </c>
      <c r="K2144" s="25" t="n">
        <v>120809966</v>
      </c>
      <c r="L2144" s="26" t="n">
        <v>201376.5666</v>
      </c>
      <c r="M2144" s="26" t="n">
        <v>636.4825</v>
      </c>
    </row>
    <row r="2145" ht="16" customHeight="1">
      <c r="A2145" t="inlineStr">
        <is>
          <t>20-Feb-2026</t>
        </is>
      </c>
      <c r="B2145" t="inlineStr">
        <is>
          <t>Friday</t>
        </is>
      </c>
      <c r="C2145" t="inlineStr">
        <is>
          <t>Week3-Feb-2026</t>
        </is>
      </c>
      <c r="D2145" s="78" t="n">
        <v>46054</v>
      </c>
      <c r="E2145" t="inlineStr">
        <is>
          <t>Q4FY26</t>
        </is>
      </c>
      <c r="F2145" t="inlineStr">
        <is>
          <t>02-Mar-2026</t>
        </is>
      </c>
      <c r="G2145" t="inlineStr">
        <is>
          <t>Monday</t>
        </is>
      </c>
      <c r="H2145" t="inlineStr">
        <is>
          <t>Weekly - Monday</t>
        </is>
      </c>
      <c r="I2145" t="inlineStr">
        <is>
          <t>Weekly - Monday</t>
        </is>
      </c>
      <c r="J2145" t="inlineStr">
        <is>
          <t>Month+1 Expiry</t>
        </is>
      </c>
      <c r="K2145" s="25" t="n">
        <v>3557007</v>
      </c>
      <c r="L2145" s="26" t="n">
        <v>5946.1024</v>
      </c>
      <c r="M2145" s="26" t="n">
        <v>29.0572</v>
      </c>
    </row>
    <row r="2146" ht="16" customHeight="1">
      <c r="A2146" t="inlineStr">
        <is>
          <t>20-Feb-2026</t>
        </is>
      </c>
      <c r="B2146" t="inlineStr">
        <is>
          <t>Friday</t>
        </is>
      </c>
      <c r="C2146" t="inlineStr">
        <is>
          <t>Week3-Feb-2026</t>
        </is>
      </c>
      <c r="D2146" s="78" t="n">
        <v>46054</v>
      </c>
      <c r="E2146" t="inlineStr">
        <is>
          <t>Q4FY26</t>
        </is>
      </c>
      <c r="F2146" t="inlineStr">
        <is>
          <t>10-Mar-2026</t>
        </is>
      </c>
      <c r="G2146" t="inlineStr">
        <is>
          <t>Tuesday</t>
        </is>
      </c>
      <c r="H2146" t="inlineStr">
        <is>
          <t>Weekly - Tuesday</t>
        </is>
      </c>
      <c r="I2146" t="inlineStr">
        <is>
          <t>Weekly - Tuesday</t>
        </is>
      </c>
      <c r="J2146" t="inlineStr">
        <is>
          <t>Month+1 Expiry</t>
        </is>
      </c>
      <c r="K2146" s="25" t="n">
        <v>304227</v>
      </c>
      <c r="L2146" s="26" t="n">
        <v>509.7984</v>
      </c>
      <c r="M2146" s="26" t="n">
        <v>3.3985</v>
      </c>
    </row>
    <row r="2147" ht="16" customHeight="1">
      <c r="A2147" t="inlineStr">
        <is>
          <t>20-Feb-2026</t>
        </is>
      </c>
      <c r="B2147" t="inlineStr">
        <is>
          <t>Friday</t>
        </is>
      </c>
      <c r="C2147" t="inlineStr">
        <is>
          <t>Week3-Feb-2026</t>
        </is>
      </c>
      <c r="D2147" s="78" t="n">
        <v>46054</v>
      </c>
      <c r="E2147" t="inlineStr">
        <is>
          <t>Q4FY26</t>
        </is>
      </c>
      <c r="F2147" t="inlineStr">
        <is>
          <t>17-Mar-2026</t>
        </is>
      </c>
      <c r="G2147" t="inlineStr">
        <is>
          <t>Tuesday</t>
        </is>
      </c>
      <c r="H2147" t="inlineStr">
        <is>
          <t>Weekly - Tuesday</t>
        </is>
      </c>
      <c r="I2147" t="inlineStr">
        <is>
          <t>Weekly - Tuesday</t>
        </is>
      </c>
      <c r="J2147" t="inlineStr">
        <is>
          <t>Month+1 Expiry</t>
        </is>
      </c>
      <c r="K2147" s="25" t="n">
        <v>25704</v>
      </c>
      <c r="L2147" s="26" t="n">
        <v>43.0637</v>
      </c>
      <c r="M2147" s="26" t="n">
        <v>0.3315</v>
      </c>
    </row>
    <row r="2148" ht="16" customHeight="1">
      <c r="A2148" t="inlineStr">
        <is>
          <t>20-Feb-2026</t>
        </is>
      </c>
      <c r="B2148" t="inlineStr">
        <is>
          <t>Friday</t>
        </is>
      </c>
      <c r="C2148" t="inlineStr">
        <is>
          <t>Week3-Feb-2026</t>
        </is>
      </c>
      <c r="D2148" s="78" t="n">
        <v>46054</v>
      </c>
      <c r="E2148" t="inlineStr">
        <is>
          <t>Q4FY26</t>
        </is>
      </c>
      <c r="F2148" t="inlineStr">
        <is>
          <t>24-Mar-2026</t>
        </is>
      </c>
      <c r="G2148" t="inlineStr">
        <is>
          <t>Tuesday</t>
        </is>
      </c>
      <c r="H2148" t="inlineStr">
        <is>
          <t>Weekly - Tuesday</t>
        </is>
      </c>
      <c r="I2148" t="inlineStr">
        <is>
          <t>Weekly - Tuesday</t>
        </is>
      </c>
      <c r="J2148" t="inlineStr">
        <is>
          <t>Month+1 Expiry</t>
        </is>
      </c>
      <c r="K2148" s="25" t="n">
        <v>17965</v>
      </c>
      <c r="L2148" s="26" t="n">
        <v>30.1048</v>
      </c>
      <c r="M2148" s="26" t="n">
        <v>0.2777</v>
      </c>
    </row>
    <row r="2149" ht="16" customHeight="1">
      <c r="A2149" t="inlineStr">
        <is>
          <t>20-Feb-2026</t>
        </is>
      </c>
      <c r="B2149" t="inlineStr">
        <is>
          <t>Friday</t>
        </is>
      </c>
      <c r="C2149" t="inlineStr">
        <is>
          <t>Week3-Feb-2026</t>
        </is>
      </c>
      <c r="D2149" s="78" t="n">
        <v>46054</v>
      </c>
      <c r="E2149" t="inlineStr">
        <is>
          <t>Q4FY26</t>
        </is>
      </c>
      <c r="F2149" t="inlineStr">
        <is>
          <t>30-Mar-2026</t>
        </is>
      </c>
      <c r="G2149" t="inlineStr">
        <is>
          <t>Monday</t>
        </is>
      </c>
      <c r="H2149" t="inlineStr">
        <is>
          <t>Monthly - Monday</t>
        </is>
      </c>
      <c r="I2149" t="inlineStr">
        <is>
          <t>Monthly - Monday</t>
        </is>
      </c>
      <c r="J2149" t="inlineStr">
        <is>
          <t>Month+1 Expiry</t>
        </is>
      </c>
      <c r="K2149" s="25" t="n">
        <v>995528</v>
      </c>
      <c r="L2149" s="26" t="n">
        <v>1666.1063</v>
      </c>
      <c r="M2149" s="26" t="n">
        <v>15.1569</v>
      </c>
    </row>
    <row r="2150" ht="16" customHeight="1">
      <c r="A2150" t="inlineStr">
        <is>
          <t>20-Feb-2026</t>
        </is>
      </c>
      <c r="B2150" t="inlineStr">
        <is>
          <t>Friday</t>
        </is>
      </c>
      <c r="C2150" t="inlineStr">
        <is>
          <t>Week3-Feb-2026</t>
        </is>
      </c>
      <c r="D2150" s="78" t="n">
        <v>46054</v>
      </c>
      <c r="E2150" t="inlineStr">
        <is>
          <t>Q4FY26</t>
        </is>
      </c>
      <c r="F2150" t="inlineStr">
        <is>
          <t>28-Apr-2026</t>
        </is>
      </c>
      <c r="G2150" t="inlineStr">
        <is>
          <t>Tuesday</t>
        </is>
      </c>
      <c r="H2150" t="inlineStr">
        <is>
          <t>Monthly - Tuesday</t>
        </is>
      </c>
      <c r="I2150" t="inlineStr">
        <is>
          <t>Monthly - Tuesday</t>
        </is>
      </c>
      <c r="J2150" t="inlineStr">
        <is>
          <t>Month+2 Expiry</t>
        </is>
      </c>
      <c r="K2150" s="25" t="n">
        <v>84787</v>
      </c>
      <c r="L2150" s="26" t="n">
        <v>143.232</v>
      </c>
      <c r="M2150" s="26" t="n">
        <v>1.4971</v>
      </c>
    </row>
    <row r="2151" ht="16" customHeight="1">
      <c r="A2151" t="inlineStr">
        <is>
          <t>20-Feb-2026</t>
        </is>
      </c>
      <c r="B2151" t="inlineStr">
        <is>
          <t>Friday</t>
        </is>
      </c>
      <c r="C2151" t="inlineStr">
        <is>
          <t>Week3-Feb-2026</t>
        </is>
      </c>
      <c r="D2151" s="78" t="n">
        <v>46054</v>
      </c>
      <c r="E2151" t="inlineStr">
        <is>
          <t>Q4FY26</t>
        </is>
      </c>
      <c r="F2151" t="inlineStr">
        <is>
          <t>30-Jun-2026</t>
        </is>
      </c>
      <c r="G2151" t="inlineStr">
        <is>
          <t>Tuesday</t>
        </is>
      </c>
      <c r="H2151" t="inlineStr">
        <is>
          <t>Monthly - Tuesday</t>
        </is>
      </c>
      <c r="I2151" t="inlineStr">
        <is>
          <t>Monthly - Tuesday</t>
        </is>
      </c>
      <c r="J2151" t="inlineStr">
        <is>
          <t>Month+4 Expiry</t>
        </is>
      </c>
      <c r="K2151" s="25" t="n">
        <v>44930</v>
      </c>
      <c r="L2151" s="26" t="n">
        <v>77.0802</v>
      </c>
      <c r="M2151" s="26" t="n">
        <v>1.2766</v>
      </c>
    </row>
    <row r="2152" ht="16" customHeight="1">
      <c r="A2152" t="inlineStr">
        <is>
          <t>20-Feb-2026</t>
        </is>
      </c>
      <c r="B2152" t="inlineStr">
        <is>
          <t>Friday</t>
        </is>
      </c>
      <c r="C2152" t="inlineStr">
        <is>
          <t>Week3-Feb-2026</t>
        </is>
      </c>
      <c r="D2152" s="78" t="n">
        <v>46054</v>
      </c>
      <c r="E2152" t="inlineStr">
        <is>
          <t>Q4FY26</t>
        </is>
      </c>
      <c r="F2152" t="inlineStr">
        <is>
          <t>29-Sep-2026</t>
        </is>
      </c>
      <c r="G2152" t="inlineStr">
        <is>
          <t>Tuesday</t>
        </is>
      </c>
      <c r="H2152" t="inlineStr">
        <is>
          <t>Monthly - Tuesday</t>
        </is>
      </c>
      <c r="I2152" t="inlineStr">
        <is>
          <t>Monthly - Tuesday</t>
        </is>
      </c>
      <c r="J2152" t="inlineStr">
        <is>
          <t>Month+7 Expiry</t>
        </is>
      </c>
      <c r="K2152" s="25" t="n">
        <v>4022</v>
      </c>
      <c r="L2152" s="26" t="n">
        <v>6.8613</v>
      </c>
      <c r="M2152" s="26" t="n">
        <v>0.1523</v>
      </c>
    </row>
    <row r="2153" ht="16" customHeight="1">
      <c r="A2153" t="inlineStr">
        <is>
          <t>20-Feb-2026</t>
        </is>
      </c>
      <c r="B2153" t="inlineStr">
        <is>
          <t>Friday</t>
        </is>
      </c>
      <c r="C2153" t="inlineStr">
        <is>
          <t>Week3-Feb-2026</t>
        </is>
      </c>
      <c r="D2153" s="78" t="n">
        <v>46054</v>
      </c>
      <c r="E2153" t="inlineStr">
        <is>
          <t>Q4FY26</t>
        </is>
      </c>
      <c r="F2153" t="inlineStr">
        <is>
          <t>29-Dec-2026</t>
        </is>
      </c>
      <c r="G2153" t="inlineStr">
        <is>
          <t>Tuesday</t>
        </is>
      </c>
      <c r="H2153" t="inlineStr">
        <is>
          <t>Monthly - Tuesday</t>
        </is>
      </c>
      <c r="I2153" t="inlineStr">
        <is>
          <t>Monthly - Tuesday</t>
        </is>
      </c>
      <c r="J2153" t="inlineStr">
        <is>
          <t>Month+10 Expiry</t>
        </is>
      </c>
      <c r="K2153" s="25" t="n">
        <v>14989</v>
      </c>
      <c r="L2153" s="26" t="n">
        <v>26.0426</v>
      </c>
      <c r="M2153" s="26" t="n">
        <v>0.6258</v>
      </c>
    </row>
    <row r="2154" ht="16" customHeight="1">
      <c r="A2154" t="inlineStr">
        <is>
          <t>20-Feb-2026</t>
        </is>
      </c>
      <c r="B2154" t="inlineStr">
        <is>
          <t>Friday</t>
        </is>
      </c>
      <c r="C2154" t="inlineStr">
        <is>
          <t>Week3-Feb-2026</t>
        </is>
      </c>
      <c r="D2154" s="78" t="n">
        <v>46054</v>
      </c>
      <c r="E2154" t="inlineStr">
        <is>
          <t>Q4FY26</t>
        </is>
      </c>
      <c r="F2154" t="inlineStr">
        <is>
          <t>29-Jun-2027</t>
        </is>
      </c>
      <c r="G2154" t="inlineStr">
        <is>
          <t>Tuesday</t>
        </is>
      </c>
      <c r="H2154" t="inlineStr">
        <is>
          <t>Monthly - Tuesday</t>
        </is>
      </c>
      <c r="I2154" t="inlineStr">
        <is>
          <t>Monthly - Tuesday</t>
        </is>
      </c>
      <c r="J2154" t="inlineStr">
        <is>
          <t>Month+16 Expiry</t>
        </is>
      </c>
      <c r="K2154" s="25" t="n">
        <v>0</v>
      </c>
      <c r="L2154" s="26" t="n">
        <v>0</v>
      </c>
      <c r="M2154" s="26" t="n">
        <v>0</v>
      </c>
    </row>
    <row r="2155" ht="16" customHeight="1">
      <c r="A2155" t="inlineStr">
        <is>
          <t>20-Feb-2026</t>
        </is>
      </c>
      <c r="B2155" t="inlineStr">
        <is>
          <t>Friday</t>
        </is>
      </c>
      <c r="C2155" t="inlineStr">
        <is>
          <t>Week3-Feb-2026</t>
        </is>
      </c>
      <c r="D2155" s="78" t="n">
        <v>46054</v>
      </c>
      <c r="E2155" t="inlineStr">
        <is>
          <t>Q4FY26</t>
        </is>
      </c>
      <c r="F2155" t="inlineStr">
        <is>
          <t>28-Dec-2027</t>
        </is>
      </c>
      <c r="G2155" t="inlineStr">
        <is>
          <t>Tuesday</t>
        </is>
      </c>
      <c r="H2155" t="inlineStr">
        <is>
          <t>Monthly - Tuesday</t>
        </is>
      </c>
      <c r="I2155" t="inlineStr">
        <is>
          <t>Monthly - Tuesday</t>
        </is>
      </c>
      <c r="J2155" t="inlineStr">
        <is>
          <t>Month+22 Expiry</t>
        </is>
      </c>
      <c r="K2155" s="25" t="n">
        <v>27</v>
      </c>
      <c r="L2155" s="26" t="n">
        <v>0.0488</v>
      </c>
      <c r="M2155" s="26" t="n">
        <v>0.0027</v>
      </c>
    </row>
    <row r="2156" ht="16" customHeight="1">
      <c r="A2156" t="inlineStr">
        <is>
          <t>20-Feb-2026</t>
        </is>
      </c>
      <c r="B2156" t="inlineStr">
        <is>
          <t>Friday</t>
        </is>
      </c>
      <c r="C2156" t="inlineStr">
        <is>
          <t>Week3-Feb-2026</t>
        </is>
      </c>
      <c r="D2156" s="78" t="n">
        <v>46054</v>
      </c>
      <c r="E2156" t="inlineStr">
        <is>
          <t>Q4FY26</t>
        </is>
      </c>
      <c r="F2156" t="inlineStr">
        <is>
          <t>27-Jun-2028</t>
        </is>
      </c>
      <c r="G2156" t="inlineStr">
        <is>
          <t>Tuesday</t>
        </is>
      </c>
      <c r="H2156" t="inlineStr">
        <is>
          <t>Monthly - Tuesday</t>
        </is>
      </c>
      <c r="I2156" t="inlineStr">
        <is>
          <t>Monthly - Tuesday</t>
        </is>
      </c>
      <c r="J2156" t="inlineStr">
        <is>
          <t>Month+28 Expiry</t>
        </is>
      </c>
      <c r="K2156" s="25" t="n">
        <v>0</v>
      </c>
      <c r="L2156" s="26" t="n">
        <v>0</v>
      </c>
      <c r="M2156" s="26" t="n">
        <v>0</v>
      </c>
    </row>
    <row r="2157" ht="16" customHeight="1">
      <c r="A2157" t="inlineStr">
        <is>
          <t>20-Feb-2026</t>
        </is>
      </c>
      <c r="B2157" t="inlineStr">
        <is>
          <t>Friday</t>
        </is>
      </c>
      <c r="C2157" t="inlineStr">
        <is>
          <t>Week3-Feb-2026</t>
        </is>
      </c>
      <c r="D2157" s="78" t="n">
        <v>46054</v>
      </c>
      <c r="E2157" t="inlineStr">
        <is>
          <t>Q4FY26</t>
        </is>
      </c>
      <c r="F2157" t="inlineStr">
        <is>
          <t>26-Dec-2028</t>
        </is>
      </c>
      <c r="G2157" t="inlineStr">
        <is>
          <t>Tuesday</t>
        </is>
      </c>
      <c r="H2157" t="inlineStr">
        <is>
          <t>Monthly - Tuesday</t>
        </is>
      </c>
      <c r="I2157" t="inlineStr">
        <is>
          <t>Monthly - Tuesday</t>
        </is>
      </c>
      <c r="J2157" t="inlineStr">
        <is>
          <t>Month+34 Expiry</t>
        </is>
      </c>
      <c r="K2157" s="25" t="n">
        <v>0</v>
      </c>
      <c r="L2157" s="26" t="n">
        <v>0</v>
      </c>
      <c r="M2157" s="26" t="n">
        <v>0</v>
      </c>
    </row>
    <row r="2158" ht="16" customHeight="1">
      <c r="A2158" t="inlineStr">
        <is>
          <t>20-Feb-2026</t>
        </is>
      </c>
      <c r="B2158" t="inlineStr">
        <is>
          <t>Friday</t>
        </is>
      </c>
      <c r="C2158" t="inlineStr">
        <is>
          <t>Week3-Feb-2026</t>
        </is>
      </c>
      <c r="D2158" s="78" t="n">
        <v>46054</v>
      </c>
      <c r="E2158" t="inlineStr">
        <is>
          <t>Q4FY26</t>
        </is>
      </c>
      <c r="F2158" t="inlineStr">
        <is>
          <t>26-Jun-2029</t>
        </is>
      </c>
      <c r="G2158" t="inlineStr">
        <is>
          <t>Tuesday</t>
        </is>
      </c>
      <c r="H2158" t="inlineStr">
        <is>
          <t>Monthly - Tuesday</t>
        </is>
      </c>
      <c r="I2158" t="inlineStr">
        <is>
          <t>Monthly - Tuesday</t>
        </is>
      </c>
      <c r="J2158" t="inlineStr">
        <is>
          <t>Month+40 Expiry</t>
        </is>
      </c>
      <c r="K2158" s="25" t="n">
        <v>0</v>
      </c>
      <c r="L2158" s="26" t="n">
        <v>0</v>
      </c>
      <c r="M2158" s="26" t="n">
        <v>0</v>
      </c>
    </row>
    <row r="2159" ht="16" customHeight="1">
      <c r="A2159" t="inlineStr">
        <is>
          <t>20-Feb-2026</t>
        </is>
      </c>
      <c r="B2159" t="inlineStr">
        <is>
          <t>Friday</t>
        </is>
      </c>
      <c r="C2159" t="inlineStr">
        <is>
          <t>Week3-Feb-2026</t>
        </is>
      </c>
      <c r="D2159" s="78" t="n">
        <v>46054</v>
      </c>
      <c r="E2159" t="inlineStr">
        <is>
          <t>Q4FY26</t>
        </is>
      </c>
      <c r="F2159" t="inlineStr">
        <is>
          <t>24-Dec-2029</t>
        </is>
      </c>
      <c r="G2159" t="inlineStr">
        <is>
          <t>Monday</t>
        </is>
      </c>
      <c r="H2159" t="inlineStr">
        <is>
          <t>Weekly - Monday</t>
        </is>
      </c>
      <c r="I2159" t="inlineStr">
        <is>
          <t>Weekly - Monday</t>
        </is>
      </c>
      <c r="J2159" t="inlineStr">
        <is>
          <t>Month+46 Expiry</t>
        </is>
      </c>
      <c r="K2159" s="25" t="n">
        <v>0</v>
      </c>
      <c r="L2159" s="26" t="n">
        <v>0</v>
      </c>
      <c r="M2159" s="26" t="n">
        <v>0</v>
      </c>
    </row>
    <row r="2160" ht="16" customHeight="1">
      <c r="A2160" t="inlineStr">
        <is>
          <t>20-Feb-2026</t>
        </is>
      </c>
      <c r="B2160" t="inlineStr">
        <is>
          <t>Friday</t>
        </is>
      </c>
      <c r="C2160" t="inlineStr">
        <is>
          <t>Week3-Feb-2026</t>
        </is>
      </c>
      <c r="D2160" s="78" t="n">
        <v>46054</v>
      </c>
      <c r="E2160" t="inlineStr">
        <is>
          <t>Q4FY26</t>
        </is>
      </c>
      <c r="F2160" t="inlineStr">
        <is>
          <t>25-Jun-2030</t>
        </is>
      </c>
      <c r="G2160" t="inlineStr">
        <is>
          <t>Tuesday</t>
        </is>
      </c>
      <c r="H2160" t="inlineStr">
        <is>
          <t>Monthly - Tuesday</t>
        </is>
      </c>
      <c r="I2160" t="inlineStr">
        <is>
          <t>Monthly - Tuesday</t>
        </is>
      </c>
      <c r="J2160" t="inlineStr">
        <is>
          <t>Month+52 Expiry</t>
        </is>
      </c>
      <c r="K2160" s="25" t="n">
        <v>0</v>
      </c>
      <c r="L2160" s="26" t="n">
        <v>0</v>
      </c>
      <c r="M2160" s="26" t="n">
        <v>0</v>
      </c>
    </row>
    <row r="2161" ht="16" customHeight="1">
      <c r="A2161" t="inlineStr">
        <is>
          <t>20-Feb-2026</t>
        </is>
      </c>
      <c r="B2161" t="inlineStr">
        <is>
          <t>Friday</t>
        </is>
      </c>
      <c r="C2161" t="inlineStr">
        <is>
          <t>Week3-Feb-2026</t>
        </is>
      </c>
      <c r="D2161" s="78" t="n">
        <v>46054</v>
      </c>
      <c r="E2161" t="inlineStr">
        <is>
          <t>Q4FY26</t>
        </is>
      </c>
      <c r="F2161" t="inlineStr">
        <is>
          <t>31-Dec-2030</t>
        </is>
      </c>
      <c r="G2161" t="inlineStr">
        <is>
          <t>Tuesday</t>
        </is>
      </c>
      <c r="H2161" t="inlineStr">
        <is>
          <t>Monthly - Tuesday</t>
        </is>
      </c>
      <c r="I2161" t="inlineStr">
        <is>
          <t>Monthly - Tuesday</t>
        </is>
      </c>
      <c r="J2161" t="inlineStr">
        <is>
          <t>Month+58 Expiry</t>
        </is>
      </c>
      <c r="K2161" s="25" t="n">
        <v>0</v>
      </c>
      <c r="L2161" s="26" t="n">
        <v>0</v>
      </c>
      <c r="M2161" s="26" t="n">
        <v>0</v>
      </c>
    </row>
    <row r="2162" ht="16" customHeight="1">
      <c r="A2162" t="inlineStr">
        <is>
          <t>23-Feb-2026</t>
        </is>
      </c>
      <c r="B2162" t="inlineStr">
        <is>
          <t>Monday</t>
        </is>
      </c>
      <c r="C2162" t="inlineStr">
        <is>
          <t>Week4-Feb-2026</t>
        </is>
      </c>
      <c r="D2162" s="78" t="n">
        <v>46054</v>
      </c>
      <c r="E2162" t="inlineStr">
        <is>
          <t>Q4FY26</t>
        </is>
      </c>
      <c r="F2162" t="inlineStr">
        <is>
          <t>24-Feb-2026</t>
        </is>
      </c>
      <c r="G2162" t="inlineStr">
        <is>
          <t>Tuesday</t>
        </is>
      </c>
      <c r="H2162" t="inlineStr">
        <is>
          <t>Monthly - Tuesday</t>
        </is>
      </c>
      <c r="I2162" t="inlineStr">
        <is>
          <t>MDAW - Tuesday</t>
        </is>
      </c>
      <c r="J2162" t="inlineStr">
        <is>
          <t>Same Month Expiry</t>
        </is>
      </c>
      <c r="K2162" s="25" t="n">
        <v>152344874</v>
      </c>
      <c r="L2162" s="26" t="n">
        <v>254549.1166</v>
      </c>
      <c r="M2162" s="26" t="n">
        <v>585.271</v>
      </c>
    </row>
    <row r="2163" ht="16" customHeight="1">
      <c r="A2163" t="inlineStr">
        <is>
          <t>23-Feb-2026</t>
        </is>
      </c>
      <c r="B2163" t="inlineStr">
        <is>
          <t>Monday</t>
        </is>
      </c>
      <c r="C2163" t="inlineStr">
        <is>
          <t>Week4-Feb-2026</t>
        </is>
      </c>
      <c r="D2163" s="78" t="n">
        <v>46054</v>
      </c>
      <c r="E2163" t="inlineStr">
        <is>
          <t>Q4FY26</t>
        </is>
      </c>
      <c r="F2163" t="inlineStr">
        <is>
          <t>02-Mar-2026</t>
        </is>
      </c>
      <c r="G2163" t="inlineStr">
        <is>
          <t>Monday</t>
        </is>
      </c>
      <c r="H2163" t="inlineStr">
        <is>
          <t>Weekly - Monday</t>
        </is>
      </c>
      <c r="I2163" t="inlineStr">
        <is>
          <t>Weekly - Monday</t>
        </is>
      </c>
      <c r="J2163" t="inlineStr">
        <is>
          <t>Month+1 Expiry</t>
        </is>
      </c>
      <c r="K2163" s="25" t="n">
        <v>5187850</v>
      </c>
      <c r="L2163" s="26" t="n">
        <v>8694.773300000001</v>
      </c>
      <c r="M2163" s="26" t="n">
        <v>37.9682</v>
      </c>
    </row>
    <row r="2164" ht="16" customHeight="1">
      <c r="A2164" t="inlineStr">
        <is>
          <t>23-Feb-2026</t>
        </is>
      </c>
      <c r="B2164" t="inlineStr">
        <is>
          <t>Monday</t>
        </is>
      </c>
      <c r="C2164" t="inlineStr">
        <is>
          <t>Week4-Feb-2026</t>
        </is>
      </c>
      <c r="D2164" s="78" t="n">
        <v>46054</v>
      </c>
      <c r="E2164" t="inlineStr">
        <is>
          <t>Q4FY26</t>
        </is>
      </c>
      <c r="F2164" t="inlineStr">
        <is>
          <t>10-Mar-2026</t>
        </is>
      </c>
      <c r="G2164" t="inlineStr">
        <is>
          <t>Tuesday</t>
        </is>
      </c>
      <c r="H2164" t="inlineStr">
        <is>
          <t>Weekly - Tuesday</t>
        </is>
      </c>
      <c r="I2164" t="inlineStr">
        <is>
          <t>Weekly - Tuesday</t>
        </is>
      </c>
      <c r="J2164" t="inlineStr">
        <is>
          <t>Month+1 Expiry</t>
        </is>
      </c>
      <c r="K2164" s="25" t="n">
        <v>392617</v>
      </c>
      <c r="L2164" s="26" t="n">
        <v>659.4826</v>
      </c>
      <c r="M2164" s="26" t="n">
        <v>4.1871</v>
      </c>
    </row>
    <row r="2165" ht="16" customHeight="1">
      <c r="A2165" t="inlineStr">
        <is>
          <t>23-Feb-2026</t>
        </is>
      </c>
      <c r="B2165" t="inlineStr">
        <is>
          <t>Monday</t>
        </is>
      </c>
      <c r="C2165" t="inlineStr">
        <is>
          <t>Week4-Feb-2026</t>
        </is>
      </c>
      <c r="D2165" s="78" t="n">
        <v>46054</v>
      </c>
      <c r="E2165" t="inlineStr">
        <is>
          <t>Q4FY26</t>
        </is>
      </c>
      <c r="F2165" t="inlineStr">
        <is>
          <t>17-Mar-2026</t>
        </is>
      </c>
      <c r="G2165" t="inlineStr">
        <is>
          <t>Tuesday</t>
        </is>
      </c>
      <c r="H2165" t="inlineStr">
        <is>
          <t>Weekly - Tuesday</t>
        </is>
      </c>
      <c r="I2165" t="inlineStr">
        <is>
          <t>Weekly - Tuesday</t>
        </is>
      </c>
      <c r="J2165" t="inlineStr">
        <is>
          <t>Month+1 Expiry</t>
        </is>
      </c>
      <c r="K2165" s="25" t="n">
        <v>25345</v>
      </c>
      <c r="L2165" s="26" t="n">
        <v>42.6212</v>
      </c>
      <c r="M2165" s="26" t="n">
        <v>0.3393</v>
      </c>
    </row>
    <row r="2166" ht="16" customHeight="1">
      <c r="A2166" t="inlineStr">
        <is>
          <t>23-Feb-2026</t>
        </is>
      </c>
      <c r="B2166" t="inlineStr">
        <is>
          <t>Monday</t>
        </is>
      </c>
      <c r="C2166" t="inlineStr">
        <is>
          <t>Week4-Feb-2026</t>
        </is>
      </c>
      <c r="D2166" s="78" t="n">
        <v>46054</v>
      </c>
      <c r="E2166" t="inlineStr">
        <is>
          <t>Q4FY26</t>
        </is>
      </c>
      <c r="F2166" t="inlineStr">
        <is>
          <t>24-Mar-2026</t>
        </is>
      </c>
      <c r="G2166" t="inlineStr">
        <is>
          <t>Tuesday</t>
        </is>
      </c>
      <c r="H2166" t="inlineStr">
        <is>
          <t>Weekly - Tuesday</t>
        </is>
      </c>
      <c r="I2166" t="inlineStr">
        <is>
          <t>Weekly - Tuesday</t>
        </is>
      </c>
      <c r="J2166" t="inlineStr">
        <is>
          <t>Month+1 Expiry</t>
        </is>
      </c>
      <c r="K2166" s="25" t="n">
        <v>17895</v>
      </c>
      <c r="L2166" s="26" t="n">
        <v>30.1866</v>
      </c>
      <c r="M2166" s="26" t="n">
        <v>0.2975</v>
      </c>
    </row>
    <row r="2167" ht="16" customHeight="1">
      <c r="A2167" t="inlineStr">
        <is>
          <t>23-Feb-2026</t>
        </is>
      </c>
      <c r="B2167" t="inlineStr">
        <is>
          <t>Monday</t>
        </is>
      </c>
      <c r="C2167" t="inlineStr">
        <is>
          <t>Week4-Feb-2026</t>
        </is>
      </c>
      <c r="D2167" s="78" t="n">
        <v>46054</v>
      </c>
      <c r="E2167" t="inlineStr">
        <is>
          <t>Q4FY26</t>
        </is>
      </c>
      <c r="F2167" t="inlineStr">
        <is>
          <t>30-Mar-2026</t>
        </is>
      </c>
      <c r="G2167" t="inlineStr">
        <is>
          <t>Monday</t>
        </is>
      </c>
      <c r="H2167" t="inlineStr">
        <is>
          <t>Monthly - Monday</t>
        </is>
      </c>
      <c r="I2167" t="inlineStr">
        <is>
          <t>Monthly - Monday</t>
        </is>
      </c>
      <c r="J2167" t="inlineStr">
        <is>
          <t>Month+1 Expiry</t>
        </is>
      </c>
      <c r="K2167" s="25" t="n">
        <v>919569</v>
      </c>
      <c r="L2167" s="26" t="n">
        <v>1551.5849</v>
      </c>
      <c r="M2167" s="26" t="n">
        <v>16.6369</v>
      </c>
    </row>
    <row r="2168" ht="16" customHeight="1">
      <c r="A2168" t="inlineStr">
        <is>
          <t>23-Feb-2026</t>
        </is>
      </c>
      <c r="B2168" t="inlineStr">
        <is>
          <t>Monday</t>
        </is>
      </c>
      <c r="C2168" t="inlineStr">
        <is>
          <t>Week4-Feb-2026</t>
        </is>
      </c>
      <c r="D2168" s="78" t="n">
        <v>46054</v>
      </c>
      <c r="E2168" t="inlineStr">
        <is>
          <t>Q4FY26</t>
        </is>
      </c>
      <c r="F2168" t="inlineStr">
        <is>
          <t>28-Apr-2026</t>
        </is>
      </c>
      <c r="G2168" t="inlineStr">
        <is>
          <t>Tuesday</t>
        </is>
      </c>
      <c r="H2168" t="inlineStr">
        <is>
          <t>Monthly - Tuesday</t>
        </is>
      </c>
      <c r="I2168" t="inlineStr">
        <is>
          <t>Monthly - Tuesday</t>
        </is>
      </c>
      <c r="J2168" t="inlineStr">
        <is>
          <t>Month+2 Expiry</t>
        </is>
      </c>
      <c r="K2168" s="25" t="n">
        <v>81081</v>
      </c>
      <c r="L2168" s="26" t="n">
        <v>136.5604</v>
      </c>
      <c r="M2168" s="26" t="n">
        <v>1.7224</v>
      </c>
    </row>
    <row r="2169" ht="16" customHeight="1">
      <c r="A2169" t="inlineStr">
        <is>
          <t>23-Feb-2026</t>
        </is>
      </c>
      <c r="B2169" t="inlineStr">
        <is>
          <t>Monday</t>
        </is>
      </c>
      <c r="C2169" t="inlineStr">
        <is>
          <t>Week4-Feb-2026</t>
        </is>
      </c>
      <c r="D2169" s="78" t="n">
        <v>46054</v>
      </c>
      <c r="E2169" t="inlineStr">
        <is>
          <t>Q4FY26</t>
        </is>
      </c>
      <c r="F2169" t="inlineStr">
        <is>
          <t>30-Jun-2026</t>
        </is>
      </c>
      <c r="G2169" t="inlineStr">
        <is>
          <t>Tuesday</t>
        </is>
      </c>
      <c r="H2169" t="inlineStr">
        <is>
          <t>Monthly - Tuesday</t>
        </is>
      </c>
      <c r="I2169" t="inlineStr">
        <is>
          <t>Monthly - Tuesday</t>
        </is>
      </c>
      <c r="J2169" t="inlineStr">
        <is>
          <t>Month+4 Expiry</t>
        </is>
      </c>
      <c r="K2169" s="25" t="n">
        <v>60344</v>
      </c>
      <c r="L2169" s="26" t="n">
        <v>102.982</v>
      </c>
      <c r="M2169" s="26" t="n">
        <v>1.9094</v>
      </c>
    </row>
    <row r="2170" ht="16" customHeight="1">
      <c r="A2170" t="inlineStr">
        <is>
          <t>23-Feb-2026</t>
        </is>
      </c>
      <c r="B2170" t="inlineStr">
        <is>
          <t>Monday</t>
        </is>
      </c>
      <c r="C2170" t="inlineStr">
        <is>
          <t>Week4-Feb-2026</t>
        </is>
      </c>
      <c r="D2170" s="78" t="n">
        <v>46054</v>
      </c>
      <c r="E2170" t="inlineStr">
        <is>
          <t>Q4FY26</t>
        </is>
      </c>
      <c r="F2170" t="inlineStr">
        <is>
          <t>29-Sep-2026</t>
        </is>
      </c>
      <c r="G2170" t="inlineStr">
        <is>
          <t>Tuesday</t>
        </is>
      </c>
      <c r="H2170" t="inlineStr">
        <is>
          <t>Monthly - Tuesday</t>
        </is>
      </c>
      <c r="I2170" t="inlineStr">
        <is>
          <t>Monthly - Tuesday</t>
        </is>
      </c>
      <c r="J2170" t="inlineStr">
        <is>
          <t>Month+7 Expiry</t>
        </is>
      </c>
      <c r="K2170" s="25" t="n">
        <v>3121</v>
      </c>
      <c r="L2170" s="26" t="n">
        <v>5.3872</v>
      </c>
      <c r="M2170" s="26" t="n">
        <v>0.1233</v>
      </c>
    </row>
    <row r="2171" ht="16" customHeight="1">
      <c r="A2171" t="inlineStr">
        <is>
          <t>23-Feb-2026</t>
        </is>
      </c>
      <c r="B2171" t="inlineStr">
        <is>
          <t>Monday</t>
        </is>
      </c>
      <c r="C2171" t="inlineStr">
        <is>
          <t>Week4-Feb-2026</t>
        </is>
      </c>
      <c r="D2171" s="78" t="n">
        <v>46054</v>
      </c>
      <c r="E2171" t="inlineStr">
        <is>
          <t>Q4FY26</t>
        </is>
      </c>
      <c r="F2171" t="inlineStr">
        <is>
          <t>29-Dec-2026</t>
        </is>
      </c>
      <c r="G2171" t="inlineStr">
        <is>
          <t>Tuesday</t>
        </is>
      </c>
      <c r="H2171" t="inlineStr">
        <is>
          <t>Monthly - Tuesday</t>
        </is>
      </c>
      <c r="I2171" t="inlineStr">
        <is>
          <t>Monthly - Tuesday</t>
        </is>
      </c>
      <c r="J2171" t="inlineStr">
        <is>
          <t>Month+10 Expiry</t>
        </is>
      </c>
      <c r="K2171" s="25" t="n">
        <v>10644</v>
      </c>
      <c r="L2171" s="26" t="n">
        <v>18.4339</v>
      </c>
      <c r="M2171" s="26" t="n">
        <v>0.4252</v>
      </c>
    </row>
    <row r="2172" ht="16" customHeight="1">
      <c r="A2172" t="inlineStr">
        <is>
          <t>23-Feb-2026</t>
        </is>
      </c>
      <c r="B2172" t="inlineStr">
        <is>
          <t>Monday</t>
        </is>
      </c>
      <c r="C2172" t="inlineStr">
        <is>
          <t>Week4-Feb-2026</t>
        </is>
      </c>
      <c r="D2172" s="78" t="n">
        <v>46054</v>
      </c>
      <c r="E2172" t="inlineStr">
        <is>
          <t>Q4FY26</t>
        </is>
      </c>
      <c r="F2172" t="inlineStr">
        <is>
          <t>29-Jun-2027</t>
        </is>
      </c>
      <c r="G2172" t="inlineStr">
        <is>
          <t>Tuesday</t>
        </is>
      </c>
      <c r="H2172" t="inlineStr">
        <is>
          <t>Monthly - Tuesday</t>
        </is>
      </c>
      <c r="I2172" t="inlineStr">
        <is>
          <t>Monthly - Tuesday</t>
        </is>
      </c>
      <c r="J2172" t="inlineStr">
        <is>
          <t>Month+16 Expiry</t>
        </is>
      </c>
      <c r="K2172" s="25" t="n">
        <v>0</v>
      </c>
      <c r="L2172" s="26" t="n">
        <v>0</v>
      </c>
      <c r="M2172" s="26" t="n">
        <v>0</v>
      </c>
    </row>
    <row r="2173" ht="16" customHeight="1">
      <c r="A2173" t="inlineStr">
        <is>
          <t>23-Feb-2026</t>
        </is>
      </c>
      <c r="B2173" t="inlineStr">
        <is>
          <t>Monday</t>
        </is>
      </c>
      <c r="C2173" t="inlineStr">
        <is>
          <t>Week4-Feb-2026</t>
        </is>
      </c>
      <c r="D2173" s="78" t="n">
        <v>46054</v>
      </c>
      <c r="E2173" t="inlineStr">
        <is>
          <t>Q4FY26</t>
        </is>
      </c>
      <c r="F2173" t="inlineStr">
        <is>
          <t>28-Dec-2027</t>
        </is>
      </c>
      <c r="G2173" t="inlineStr">
        <is>
          <t>Tuesday</t>
        </is>
      </c>
      <c r="H2173" t="inlineStr">
        <is>
          <t>Monthly - Tuesday</t>
        </is>
      </c>
      <c r="I2173" t="inlineStr">
        <is>
          <t>Monthly - Tuesday</t>
        </is>
      </c>
      <c r="J2173" t="inlineStr">
        <is>
          <t>Month+22 Expiry</t>
        </is>
      </c>
      <c r="K2173" s="25" t="n">
        <v>38</v>
      </c>
      <c r="L2173" s="26" t="n">
        <v>0.06859999999999999</v>
      </c>
      <c r="M2173" s="26" t="n">
        <v>0.0035</v>
      </c>
    </row>
    <row r="2174" ht="16" customHeight="1">
      <c r="A2174" t="inlineStr">
        <is>
          <t>23-Feb-2026</t>
        </is>
      </c>
      <c r="B2174" t="inlineStr">
        <is>
          <t>Monday</t>
        </is>
      </c>
      <c r="C2174" t="inlineStr">
        <is>
          <t>Week4-Feb-2026</t>
        </is>
      </c>
      <c r="D2174" s="78" t="n">
        <v>46054</v>
      </c>
      <c r="E2174" t="inlineStr">
        <is>
          <t>Q4FY26</t>
        </is>
      </c>
      <c r="F2174" t="inlineStr">
        <is>
          <t>27-Jun-2028</t>
        </is>
      </c>
      <c r="G2174" t="inlineStr">
        <is>
          <t>Tuesday</t>
        </is>
      </c>
      <c r="H2174" t="inlineStr">
        <is>
          <t>Monthly - Tuesday</t>
        </is>
      </c>
      <c r="I2174" t="inlineStr">
        <is>
          <t>Monthly - Tuesday</t>
        </is>
      </c>
      <c r="J2174" t="inlineStr">
        <is>
          <t>Month+28 Expiry</t>
        </is>
      </c>
      <c r="K2174" s="25" t="n">
        <v>0</v>
      </c>
      <c r="L2174" s="26" t="n">
        <v>0</v>
      </c>
      <c r="M2174" s="26" t="n">
        <v>0</v>
      </c>
    </row>
    <row r="2175" ht="16" customHeight="1">
      <c r="A2175" t="inlineStr">
        <is>
          <t>23-Feb-2026</t>
        </is>
      </c>
      <c r="B2175" t="inlineStr">
        <is>
          <t>Monday</t>
        </is>
      </c>
      <c r="C2175" t="inlineStr">
        <is>
          <t>Week4-Feb-2026</t>
        </is>
      </c>
      <c r="D2175" s="78" t="n">
        <v>46054</v>
      </c>
      <c r="E2175" t="inlineStr">
        <is>
          <t>Q4FY26</t>
        </is>
      </c>
      <c r="F2175" t="inlineStr">
        <is>
          <t>26-Dec-2028</t>
        </is>
      </c>
      <c r="G2175" t="inlineStr">
        <is>
          <t>Tuesday</t>
        </is>
      </c>
      <c r="H2175" t="inlineStr">
        <is>
          <t>Monthly - Tuesday</t>
        </is>
      </c>
      <c r="I2175" t="inlineStr">
        <is>
          <t>Monthly - Tuesday</t>
        </is>
      </c>
      <c r="J2175" t="inlineStr">
        <is>
          <t>Month+34 Expiry</t>
        </is>
      </c>
      <c r="K2175" s="25" t="n">
        <v>1</v>
      </c>
      <c r="L2175" s="26" t="n">
        <v>0.0018</v>
      </c>
      <c r="M2175" s="26" t="n">
        <v>0.0001</v>
      </c>
    </row>
    <row r="2176" ht="16" customHeight="1">
      <c r="A2176" t="inlineStr">
        <is>
          <t>23-Feb-2026</t>
        </is>
      </c>
      <c r="B2176" t="inlineStr">
        <is>
          <t>Monday</t>
        </is>
      </c>
      <c r="C2176" t="inlineStr">
        <is>
          <t>Week4-Feb-2026</t>
        </is>
      </c>
      <c r="D2176" s="78" t="n">
        <v>46054</v>
      </c>
      <c r="E2176" t="inlineStr">
        <is>
          <t>Q4FY26</t>
        </is>
      </c>
      <c r="F2176" t="inlineStr">
        <is>
          <t>26-Jun-2029</t>
        </is>
      </c>
      <c r="G2176" t="inlineStr">
        <is>
          <t>Tuesday</t>
        </is>
      </c>
      <c r="H2176" t="inlineStr">
        <is>
          <t>Monthly - Tuesday</t>
        </is>
      </c>
      <c r="I2176" t="inlineStr">
        <is>
          <t>Monthly - Tuesday</t>
        </is>
      </c>
      <c r="J2176" t="inlineStr">
        <is>
          <t>Month+40 Expiry</t>
        </is>
      </c>
      <c r="K2176" s="25" t="n">
        <v>0</v>
      </c>
      <c r="L2176" s="26" t="n">
        <v>0</v>
      </c>
      <c r="M2176" s="26" t="n">
        <v>0</v>
      </c>
    </row>
    <row r="2177" ht="16" customHeight="1">
      <c r="A2177" t="inlineStr">
        <is>
          <t>23-Feb-2026</t>
        </is>
      </c>
      <c r="B2177" t="inlineStr">
        <is>
          <t>Monday</t>
        </is>
      </c>
      <c r="C2177" t="inlineStr">
        <is>
          <t>Week4-Feb-2026</t>
        </is>
      </c>
      <c r="D2177" s="78" t="n">
        <v>46054</v>
      </c>
      <c r="E2177" t="inlineStr">
        <is>
          <t>Q4FY26</t>
        </is>
      </c>
      <c r="F2177" t="inlineStr">
        <is>
          <t>24-Dec-2029</t>
        </is>
      </c>
      <c r="G2177" t="inlineStr">
        <is>
          <t>Monday</t>
        </is>
      </c>
      <c r="H2177" t="inlineStr">
        <is>
          <t>Weekly - Monday</t>
        </is>
      </c>
      <c r="I2177" t="inlineStr">
        <is>
          <t>Weekly - Monday</t>
        </is>
      </c>
      <c r="J2177" t="inlineStr">
        <is>
          <t>Month+46 Expiry</t>
        </is>
      </c>
      <c r="K2177" s="25" t="n">
        <v>0</v>
      </c>
      <c r="L2177" s="26" t="n">
        <v>0</v>
      </c>
      <c r="M2177" s="26" t="n">
        <v>0</v>
      </c>
    </row>
    <row r="2178" ht="16" customHeight="1">
      <c r="A2178" t="inlineStr">
        <is>
          <t>23-Feb-2026</t>
        </is>
      </c>
      <c r="B2178" t="inlineStr">
        <is>
          <t>Monday</t>
        </is>
      </c>
      <c r="C2178" t="inlineStr">
        <is>
          <t>Week4-Feb-2026</t>
        </is>
      </c>
      <c r="D2178" s="78" t="n">
        <v>46054</v>
      </c>
      <c r="E2178" t="inlineStr">
        <is>
          <t>Q4FY26</t>
        </is>
      </c>
      <c r="F2178" t="inlineStr">
        <is>
          <t>25-Jun-2030</t>
        </is>
      </c>
      <c r="G2178" t="inlineStr">
        <is>
          <t>Tuesday</t>
        </is>
      </c>
      <c r="H2178" t="inlineStr">
        <is>
          <t>Monthly - Tuesday</t>
        </is>
      </c>
      <c r="I2178" t="inlineStr">
        <is>
          <t>Monthly - Tuesday</t>
        </is>
      </c>
      <c r="J2178" t="inlineStr">
        <is>
          <t>Month+52 Expiry</t>
        </is>
      </c>
      <c r="K2178" s="25" t="n">
        <v>0</v>
      </c>
      <c r="L2178" s="26" t="n">
        <v>0</v>
      </c>
      <c r="M2178" s="26" t="n">
        <v>0</v>
      </c>
    </row>
    <row r="2179" ht="16" customHeight="1">
      <c r="A2179" t="inlineStr">
        <is>
          <t>23-Feb-2026</t>
        </is>
      </c>
      <c r="B2179" t="inlineStr">
        <is>
          <t>Monday</t>
        </is>
      </c>
      <c r="C2179" t="inlineStr">
        <is>
          <t>Week4-Feb-2026</t>
        </is>
      </c>
      <c r="D2179" s="78" t="n">
        <v>46054</v>
      </c>
      <c r="E2179" t="inlineStr">
        <is>
          <t>Q4FY26</t>
        </is>
      </c>
      <c r="F2179" t="inlineStr">
        <is>
          <t>31-Dec-2030</t>
        </is>
      </c>
      <c r="G2179" t="inlineStr">
        <is>
          <t>Tuesday</t>
        </is>
      </c>
      <c r="H2179" t="inlineStr">
        <is>
          <t>Monthly - Tuesday</t>
        </is>
      </c>
      <c r="I2179" t="inlineStr">
        <is>
          <t>Monthly - Tuesday</t>
        </is>
      </c>
      <c r="J2179" t="inlineStr">
        <is>
          <t>Month+58 Expiry</t>
        </is>
      </c>
      <c r="K2179" s="25" t="n">
        <v>0</v>
      </c>
      <c r="L2179" s="26" t="n">
        <v>0</v>
      </c>
      <c r="M2179" s="26" t="n">
        <v>0</v>
      </c>
    </row>
    <row r="2180" ht="16" customHeight="1">
      <c r="A2180" t="inlineStr">
        <is>
          <t>24-Feb-2026</t>
        </is>
      </c>
      <c r="B2180" t="inlineStr">
        <is>
          <t>Tuesday</t>
        </is>
      </c>
      <c r="C2180" t="inlineStr">
        <is>
          <t>Week4-Feb-2026</t>
        </is>
      </c>
      <c r="D2180" s="78" t="n">
        <v>46054</v>
      </c>
      <c r="E2180" t="inlineStr">
        <is>
          <t>Q4FY26</t>
        </is>
      </c>
      <c r="F2180" t="inlineStr">
        <is>
          <t>24-Feb-2026</t>
        </is>
      </c>
      <c r="G2180" t="inlineStr">
        <is>
          <t>Tuesday</t>
        </is>
      </c>
      <c r="H2180" t="inlineStr">
        <is>
          <t>Monthly - Tuesday</t>
        </is>
      </c>
      <c r="I2180" t="inlineStr">
        <is>
          <t>MDAW - Tuesday</t>
        </is>
      </c>
      <c r="J2180" t="inlineStr">
        <is>
          <t>Same Month Expiry</t>
        </is>
      </c>
      <c r="K2180" s="25" t="n">
        <v>356787027</v>
      </c>
      <c r="L2180" s="26" t="n">
        <v>591314.3361</v>
      </c>
      <c r="M2180" s="26" t="n">
        <v>642.3851</v>
      </c>
    </row>
    <row r="2181" ht="16" customHeight="1">
      <c r="A2181" t="inlineStr">
        <is>
          <t>24-Feb-2026</t>
        </is>
      </c>
      <c r="B2181" t="inlineStr">
        <is>
          <t>Tuesday</t>
        </is>
      </c>
      <c r="C2181" t="inlineStr">
        <is>
          <t>Week4-Feb-2026</t>
        </is>
      </c>
      <c r="D2181" s="78" t="n">
        <v>46054</v>
      </c>
      <c r="E2181" t="inlineStr">
        <is>
          <t>Q4FY26</t>
        </is>
      </c>
      <c r="F2181" t="inlineStr">
        <is>
          <t>02-Mar-2026</t>
        </is>
      </c>
      <c r="G2181" t="inlineStr">
        <is>
          <t>Monday</t>
        </is>
      </c>
      <c r="H2181" t="inlineStr">
        <is>
          <t>Weekly - Monday</t>
        </is>
      </c>
      <c r="I2181" t="inlineStr">
        <is>
          <t>Weekly - Monday</t>
        </is>
      </c>
      <c r="J2181" t="inlineStr">
        <is>
          <t>Month+1 Expiry</t>
        </is>
      </c>
      <c r="K2181" s="25" t="n">
        <v>11817686</v>
      </c>
      <c r="L2181" s="26" t="n">
        <v>19728.5904</v>
      </c>
      <c r="M2181" s="26" t="n">
        <v>77.48520000000001</v>
      </c>
    </row>
    <row r="2182" ht="16" customHeight="1">
      <c r="A2182" t="inlineStr">
        <is>
          <t>24-Feb-2026</t>
        </is>
      </c>
      <c r="B2182" t="inlineStr">
        <is>
          <t>Tuesday</t>
        </is>
      </c>
      <c r="C2182" t="inlineStr">
        <is>
          <t>Week4-Feb-2026</t>
        </is>
      </c>
      <c r="D2182" s="78" t="n">
        <v>46054</v>
      </c>
      <c r="E2182" t="inlineStr">
        <is>
          <t>Q4FY26</t>
        </is>
      </c>
      <c r="F2182" t="inlineStr">
        <is>
          <t>10-Mar-2026</t>
        </is>
      </c>
      <c r="G2182" t="inlineStr">
        <is>
          <t>Tuesday</t>
        </is>
      </c>
      <c r="H2182" t="inlineStr">
        <is>
          <t>Weekly - Tuesday</t>
        </is>
      </c>
      <c r="I2182" t="inlineStr">
        <is>
          <t>Weekly - Tuesday</t>
        </is>
      </c>
      <c r="J2182" t="inlineStr">
        <is>
          <t>Month+1 Expiry</t>
        </is>
      </c>
      <c r="K2182" s="25" t="n">
        <v>756161</v>
      </c>
      <c r="L2182" s="26" t="n">
        <v>1262.9492</v>
      </c>
      <c r="M2182" s="26" t="n">
        <v>7.4301</v>
      </c>
    </row>
    <row r="2183" ht="16" customHeight="1">
      <c r="A2183" t="inlineStr">
        <is>
          <t>24-Feb-2026</t>
        </is>
      </c>
      <c r="B2183" t="inlineStr">
        <is>
          <t>Tuesday</t>
        </is>
      </c>
      <c r="C2183" t="inlineStr">
        <is>
          <t>Week4-Feb-2026</t>
        </is>
      </c>
      <c r="D2183" s="78" t="n">
        <v>46054</v>
      </c>
      <c r="E2183" t="inlineStr">
        <is>
          <t>Q4FY26</t>
        </is>
      </c>
      <c r="F2183" t="inlineStr">
        <is>
          <t>17-Mar-2026</t>
        </is>
      </c>
      <c r="G2183" t="inlineStr">
        <is>
          <t>Tuesday</t>
        </is>
      </c>
      <c r="H2183" t="inlineStr">
        <is>
          <t>Weekly - Tuesday</t>
        </is>
      </c>
      <c r="I2183" t="inlineStr">
        <is>
          <t>Weekly - Tuesday</t>
        </is>
      </c>
      <c r="J2183" t="inlineStr">
        <is>
          <t>Month+1 Expiry</t>
        </is>
      </c>
      <c r="K2183" s="25" t="n">
        <v>56010</v>
      </c>
      <c r="L2183" s="26" t="n">
        <v>93.6926</v>
      </c>
      <c r="M2183" s="26" t="n">
        <v>0.6895</v>
      </c>
    </row>
    <row r="2184" ht="16" customHeight="1">
      <c r="A2184" t="inlineStr">
        <is>
          <t>24-Feb-2026</t>
        </is>
      </c>
      <c r="B2184" t="inlineStr">
        <is>
          <t>Tuesday</t>
        </is>
      </c>
      <c r="C2184" t="inlineStr">
        <is>
          <t>Week4-Feb-2026</t>
        </is>
      </c>
      <c r="D2184" s="78" t="n">
        <v>46054</v>
      </c>
      <c r="E2184" t="inlineStr">
        <is>
          <t>Q4FY26</t>
        </is>
      </c>
      <c r="F2184" t="inlineStr">
        <is>
          <t>24-Mar-2026</t>
        </is>
      </c>
      <c r="G2184" t="inlineStr">
        <is>
          <t>Tuesday</t>
        </is>
      </c>
      <c r="H2184" t="inlineStr">
        <is>
          <t>Weekly - Tuesday</t>
        </is>
      </c>
      <c r="I2184" t="inlineStr">
        <is>
          <t>Weekly - Tuesday</t>
        </is>
      </c>
      <c r="J2184" t="inlineStr">
        <is>
          <t>Month+1 Expiry</t>
        </is>
      </c>
      <c r="K2184" s="25" t="n">
        <v>30873</v>
      </c>
      <c r="L2184" s="26" t="n">
        <v>51.7279</v>
      </c>
      <c r="M2184" s="26" t="n">
        <v>0.4507</v>
      </c>
    </row>
    <row r="2185" ht="16" customHeight="1">
      <c r="A2185" t="inlineStr">
        <is>
          <t>24-Feb-2026</t>
        </is>
      </c>
      <c r="B2185" t="inlineStr">
        <is>
          <t>Tuesday</t>
        </is>
      </c>
      <c r="C2185" t="inlineStr">
        <is>
          <t>Week4-Feb-2026</t>
        </is>
      </c>
      <c r="D2185" s="78" t="n">
        <v>46054</v>
      </c>
      <c r="E2185" t="inlineStr">
        <is>
          <t>Q4FY26</t>
        </is>
      </c>
      <c r="F2185" t="inlineStr">
        <is>
          <t>30-Mar-2026</t>
        </is>
      </c>
      <c r="G2185" t="inlineStr">
        <is>
          <t>Monday</t>
        </is>
      </c>
      <c r="H2185" t="inlineStr">
        <is>
          <t>Monthly - Monday</t>
        </is>
      </c>
      <c r="I2185" t="inlineStr">
        <is>
          <t>Monthly - Monday</t>
        </is>
      </c>
      <c r="J2185" t="inlineStr">
        <is>
          <t>Month+1 Expiry</t>
        </is>
      </c>
      <c r="K2185" s="25" t="n">
        <v>1372941</v>
      </c>
      <c r="L2185" s="26" t="n">
        <v>2301.1635</v>
      </c>
      <c r="M2185" s="26" t="n">
        <v>23.4181</v>
      </c>
    </row>
    <row r="2186" ht="16" customHeight="1">
      <c r="A2186" t="inlineStr">
        <is>
          <t>24-Feb-2026</t>
        </is>
      </c>
      <c r="B2186" t="inlineStr">
        <is>
          <t>Tuesday</t>
        </is>
      </c>
      <c r="C2186" t="inlineStr">
        <is>
          <t>Week4-Feb-2026</t>
        </is>
      </c>
      <c r="D2186" s="78" t="n">
        <v>46054</v>
      </c>
      <c r="E2186" t="inlineStr">
        <is>
          <t>Q4FY26</t>
        </is>
      </c>
      <c r="F2186" t="inlineStr">
        <is>
          <t>28-Apr-2026</t>
        </is>
      </c>
      <c r="G2186" t="inlineStr">
        <is>
          <t>Tuesday</t>
        </is>
      </c>
      <c r="H2186" t="inlineStr">
        <is>
          <t>Monthly - Tuesday</t>
        </is>
      </c>
      <c r="I2186" t="inlineStr">
        <is>
          <t>Monthly - Tuesday</t>
        </is>
      </c>
      <c r="J2186" t="inlineStr">
        <is>
          <t>Month+2 Expiry</t>
        </is>
      </c>
      <c r="K2186" s="25" t="n">
        <v>122337</v>
      </c>
      <c r="L2186" s="26" t="n">
        <v>206.0692</v>
      </c>
      <c r="M2186" s="26" t="n">
        <v>2.5427</v>
      </c>
    </row>
    <row r="2187" ht="16" customHeight="1">
      <c r="A2187" t="inlineStr">
        <is>
          <t>24-Feb-2026</t>
        </is>
      </c>
      <c r="B2187" t="inlineStr">
        <is>
          <t>Tuesday</t>
        </is>
      </c>
      <c r="C2187" t="inlineStr">
        <is>
          <t>Week4-Feb-2026</t>
        </is>
      </c>
      <c r="D2187" s="78" t="n">
        <v>46054</v>
      </c>
      <c r="E2187" t="inlineStr">
        <is>
          <t>Q4FY26</t>
        </is>
      </c>
      <c r="F2187" t="inlineStr">
        <is>
          <t>30-Jun-2026</t>
        </is>
      </c>
      <c r="G2187" t="inlineStr">
        <is>
          <t>Tuesday</t>
        </is>
      </c>
      <c r="H2187" t="inlineStr">
        <is>
          <t>Monthly - Tuesday</t>
        </is>
      </c>
      <c r="I2187" t="inlineStr">
        <is>
          <t>Monthly - Tuesday</t>
        </is>
      </c>
      <c r="J2187" t="inlineStr">
        <is>
          <t>Month+4 Expiry</t>
        </is>
      </c>
      <c r="K2187" s="25" t="n">
        <v>61722</v>
      </c>
      <c r="L2187" s="26" t="n">
        <v>104.4666</v>
      </c>
      <c r="M2187" s="26" t="n">
        <v>1.7281</v>
      </c>
    </row>
    <row r="2188" ht="16" customHeight="1">
      <c r="A2188" t="inlineStr">
        <is>
          <t>24-Feb-2026</t>
        </is>
      </c>
      <c r="B2188" t="inlineStr">
        <is>
          <t>Tuesday</t>
        </is>
      </c>
      <c r="C2188" t="inlineStr">
        <is>
          <t>Week4-Feb-2026</t>
        </is>
      </c>
      <c r="D2188" s="78" t="n">
        <v>46054</v>
      </c>
      <c r="E2188" t="inlineStr">
        <is>
          <t>Q4FY26</t>
        </is>
      </c>
      <c r="F2188" t="inlineStr">
        <is>
          <t>29-Sep-2026</t>
        </is>
      </c>
      <c r="G2188" t="inlineStr">
        <is>
          <t>Tuesday</t>
        </is>
      </c>
      <c r="H2188" t="inlineStr">
        <is>
          <t>Monthly - Tuesday</t>
        </is>
      </c>
      <c r="I2188" t="inlineStr">
        <is>
          <t>Monthly - Tuesday</t>
        </is>
      </c>
      <c r="J2188" t="inlineStr">
        <is>
          <t>Month+7 Expiry</t>
        </is>
      </c>
      <c r="K2188" s="25" t="n">
        <v>5209</v>
      </c>
      <c r="L2188" s="26" t="n">
        <v>8.8439</v>
      </c>
      <c r="M2188" s="26" t="n">
        <v>0.1976</v>
      </c>
    </row>
    <row r="2189" ht="16" customHeight="1">
      <c r="A2189" t="inlineStr">
        <is>
          <t>24-Feb-2026</t>
        </is>
      </c>
      <c r="B2189" t="inlineStr">
        <is>
          <t>Tuesday</t>
        </is>
      </c>
      <c r="C2189" t="inlineStr">
        <is>
          <t>Week4-Feb-2026</t>
        </is>
      </c>
      <c r="D2189" s="78" t="n">
        <v>46054</v>
      </c>
      <c r="E2189" t="inlineStr">
        <is>
          <t>Q4FY26</t>
        </is>
      </c>
      <c r="F2189" t="inlineStr">
        <is>
          <t>29-Dec-2026</t>
        </is>
      </c>
      <c r="G2189" t="inlineStr">
        <is>
          <t>Tuesday</t>
        </is>
      </c>
      <c r="H2189" t="inlineStr">
        <is>
          <t>Monthly - Tuesday</t>
        </is>
      </c>
      <c r="I2189" t="inlineStr">
        <is>
          <t>Monthly - Tuesday</t>
        </is>
      </c>
      <c r="J2189" t="inlineStr">
        <is>
          <t>Month+10 Expiry</t>
        </is>
      </c>
      <c r="K2189" s="25" t="n">
        <v>17310</v>
      </c>
      <c r="L2189" s="26" t="n">
        <v>29.9405</v>
      </c>
      <c r="M2189" s="26" t="n">
        <v>0.789</v>
      </c>
    </row>
    <row r="2190" ht="16" customHeight="1">
      <c r="A2190" t="inlineStr">
        <is>
          <t>24-Feb-2026</t>
        </is>
      </c>
      <c r="B2190" t="inlineStr">
        <is>
          <t>Tuesday</t>
        </is>
      </c>
      <c r="C2190" t="inlineStr">
        <is>
          <t>Week4-Feb-2026</t>
        </is>
      </c>
      <c r="D2190" s="78" t="n">
        <v>46054</v>
      </c>
      <c r="E2190" t="inlineStr">
        <is>
          <t>Q4FY26</t>
        </is>
      </c>
      <c r="F2190" t="inlineStr">
        <is>
          <t>29-Jun-2027</t>
        </is>
      </c>
      <c r="G2190" t="inlineStr">
        <is>
          <t>Tuesday</t>
        </is>
      </c>
      <c r="H2190" t="inlineStr">
        <is>
          <t>Monthly - Tuesday</t>
        </is>
      </c>
      <c r="I2190" t="inlineStr">
        <is>
          <t>Monthly - Tuesday</t>
        </is>
      </c>
      <c r="J2190" t="inlineStr">
        <is>
          <t>Month+16 Expiry</t>
        </is>
      </c>
      <c r="K2190" s="25" t="n">
        <v>2</v>
      </c>
      <c r="L2190" s="26" t="n">
        <v>0.0036</v>
      </c>
      <c r="M2190" s="26" t="n">
        <v>0.0005</v>
      </c>
    </row>
    <row r="2191" ht="16" customHeight="1">
      <c r="A2191" t="inlineStr">
        <is>
          <t>24-Feb-2026</t>
        </is>
      </c>
      <c r="B2191" t="inlineStr">
        <is>
          <t>Tuesday</t>
        </is>
      </c>
      <c r="C2191" t="inlineStr">
        <is>
          <t>Week4-Feb-2026</t>
        </is>
      </c>
      <c r="D2191" s="78" t="n">
        <v>46054</v>
      </c>
      <c r="E2191" t="inlineStr">
        <is>
          <t>Q4FY26</t>
        </is>
      </c>
      <c r="F2191" t="inlineStr">
        <is>
          <t>28-Dec-2027</t>
        </is>
      </c>
      <c r="G2191" t="inlineStr">
        <is>
          <t>Tuesday</t>
        </is>
      </c>
      <c r="H2191" t="inlineStr">
        <is>
          <t>Monthly - Tuesday</t>
        </is>
      </c>
      <c r="I2191" t="inlineStr">
        <is>
          <t>Monthly - Tuesday</t>
        </is>
      </c>
      <c r="J2191" t="inlineStr">
        <is>
          <t>Month+22 Expiry</t>
        </is>
      </c>
      <c r="K2191" s="25" t="n">
        <v>26</v>
      </c>
      <c r="L2191" s="26" t="n">
        <v>0.0482</v>
      </c>
      <c r="M2191" s="26" t="n">
        <v>0.0024</v>
      </c>
    </row>
    <row r="2192" ht="16" customHeight="1">
      <c r="A2192" t="inlineStr">
        <is>
          <t>24-Feb-2026</t>
        </is>
      </c>
      <c r="B2192" t="inlineStr">
        <is>
          <t>Tuesday</t>
        </is>
      </c>
      <c r="C2192" t="inlineStr">
        <is>
          <t>Week4-Feb-2026</t>
        </is>
      </c>
      <c r="D2192" s="78" t="n">
        <v>46054</v>
      </c>
      <c r="E2192" t="inlineStr">
        <is>
          <t>Q4FY26</t>
        </is>
      </c>
      <c r="F2192" t="inlineStr">
        <is>
          <t>27-Jun-2028</t>
        </is>
      </c>
      <c r="G2192" t="inlineStr">
        <is>
          <t>Tuesday</t>
        </is>
      </c>
      <c r="H2192" t="inlineStr">
        <is>
          <t>Monthly - Tuesday</t>
        </is>
      </c>
      <c r="I2192" t="inlineStr">
        <is>
          <t>Monthly - Tuesday</t>
        </is>
      </c>
      <c r="J2192" t="inlineStr">
        <is>
          <t>Month+28 Expiry</t>
        </is>
      </c>
      <c r="K2192" s="25" t="n">
        <v>0</v>
      </c>
      <c r="L2192" s="26" t="n">
        <v>0</v>
      </c>
      <c r="M2192" s="26" t="n">
        <v>0</v>
      </c>
    </row>
    <row r="2193" ht="16" customHeight="1">
      <c r="A2193" t="inlineStr">
        <is>
          <t>24-Feb-2026</t>
        </is>
      </c>
      <c r="B2193" t="inlineStr">
        <is>
          <t>Tuesday</t>
        </is>
      </c>
      <c r="C2193" t="inlineStr">
        <is>
          <t>Week4-Feb-2026</t>
        </is>
      </c>
      <c r="D2193" s="78" t="n">
        <v>46054</v>
      </c>
      <c r="E2193" t="inlineStr">
        <is>
          <t>Q4FY26</t>
        </is>
      </c>
      <c r="F2193" t="inlineStr">
        <is>
          <t>26-Dec-2028</t>
        </is>
      </c>
      <c r="G2193" t="inlineStr">
        <is>
          <t>Tuesday</t>
        </is>
      </c>
      <c r="H2193" t="inlineStr">
        <is>
          <t>Monthly - Tuesday</t>
        </is>
      </c>
      <c r="I2193" t="inlineStr">
        <is>
          <t>Monthly - Tuesday</t>
        </is>
      </c>
      <c r="J2193" t="inlineStr">
        <is>
          <t>Month+34 Expiry</t>
        </is>
      </c>
      <c r="K2193" s="25" t="n">
        <v>0</v>
      </c>
      <c r="L2193" s="26" t="n">
        <v>0</v>
      </c>
      <c r="M2193" s="26" t="n">
        <v>0</v>
      </c>
    </row>
    <row r="2194" ht="16" customHeight="1">
      <c r="A2194" t="inlineStr">
        <is>
          <t>24-Feb-2026</t>
        </is>
      </c>
      <c r="B2194" t="inlineStr">
        <is>
          <t>Tuesday</t>
        </is>
      </c>
      <c r="C2194" t="inlineStr">
        <is>
          <t>Week4-Feb-2026</t>
        </is>
      </c>
      <c r="D2194" s="78" t="n">
        <v>46054</v>
      </c>
      <c r="E2194" t="inlineStr">
        <is>
          <t>Q4FY26</t>
        </is>
      </c>
      <c r="F2194" t="inlineStr">
        <is>
          <t>26-Jun-2029</t>
        </is>
      </c>
      <c r="G2194" t="inlineStr">
        <is>
          <t>Tuesday</t>
        </is>
      </c>
      <c r="H2194" t="inlineStr">
        <is>
          <t>Monthly - Tuesday</t>
        </is>
      </c>
      <c r="I2194" t="inlineStr">
        <is>
          <t>Monthly - Tuesday</t>
        </is>
      </c>
      <c r="J2194" t="inlineStr">
        <is>
          <t>Month+40 Expiry</t>
        </is>
      </c>
      <c r="K2194" s="25" t="n">
        <v>0</v>
      </c>
      <c r="L2194" s="26" t="n">
        <v>0</v>
      </c>
      <c r="M2194" s="26" t="n">
        <v>0</v>
      </c>
    </row>
    <row r="2195" ht="16" customHeight="1">
      <c r="A2195" t="inlineStr">
        <is>
          <t>24-Feb-2026</t>
        </is>
      </c>
      <c r="B2195" t="inlineStr">
        <is>
          <t>Tuesday</t>
        </is>
      </c>
      <c r="C2195" t="inlineStr">
        <is>
          <t>Week4-Feb-2026</t>
        </is>
      </c>
      <c r="D2195" s="78" t="n">
        <v>46054</v>
      </c>
      <c r="E2195" t="inlineStr">
        <is>
          <t>Q4FY26</t>
        </is>
      </c>
      <c r="F2195" t="inlineStr">
        <is>
          <t>24-Dec-2029</t>
        </is>
      </c>
      <c r="G2195" t="inlineStr">
        <is>
          <t>Monday</t>
        </is>
      </c>
      <c r="H2195" t="inlineStr">
        <is>
          <t>Weekly - Monday</t>
        </is>
      </c>
      <c r="I2195" t="inlineStr">
        <is>
          <t>Weekly - Monday</t>
        </is>
      </c>
      <c r="J2195" t="inlineStr">
        <is>
          <t>Month+46 Expiry</t>
        </is>
      </c>
      <c r="K2195" s="25" t="n">
        <v>0</v>
      </c>
      <c r="L2195" s="26" t="n">
        <v>0</v>
      </c>
      <c r="M2195" s="26" t="n">
        <v>0</v>
      </c>
    </row>
    <row r="2196" ht="16" customHeight="1">
      <c r="A2196" t="inlineStr">
        <is>
          <t>24-Feb-2026</t>
        </is>
      </c>
      <c r="B2196" t="inlineStr">
        <is>
          <t>Tuesday</t>
        </is>
      </c>
      <c r="C2196" t="inlineStr">
        <is>
          <t>Week4-Feb-2026</t>
        </is>
      </c>
      <c r="D2196" s="78" t="n">
        <v>46054</v>
      </c>
      <c r="E2196" t="inlineStr">
        <is>
          <t>Q4FY26</t>
        </is>
      </c>
      <c r="F2196" t="inlineStr">
        <is>
          <t>25-Jun-2030</t>
        </is>
      </c>
      <c r="G2196" t="inlineStr">
        <is>
          <t>Tuesday</t>
        </is>
      </c>
      <c r="H2196" t="inlineStr">
        <is>
          <t>Monthly - Tuesday</t>
        </is>
      </c>
      <c r="I2196" t="inlineStr">
        <is>
          <t>Monthly - Tuesday</t>
        </is>
      </c>
      <c r="J2196" t="inlineStr">
        <is>
          <t>Month+52 Expiry</t>
        </is>
      </c>
      <c r="K2196" s="25" t="n">
        <v>0</v>
      </c>
      <c r="L2196" s="26" t="n">
        <v>0</v>
      </c>
      <c r="M2196" s="26" t="n">
        <v>0</v>
      </c>
    </row>
    <row r="2197" ht="16" customHeight="1">
      <c r="A2197" t="inlineStr">
        <is>
          <t>24-Feb-2026</t>
        </is>
      </c>
      <c r="B2197" t="inlineStr">
        <is>
          <t>Tuesday</t>
        </is>
      </c>
      <c r="C2197" t="inlineStr">
        <is>
          <t>Week4-Feb-2026</t>
        </is>
      </c>
      <c r="D2197" s="78" t="n">
        <v>46054</v>
      </c>
      <c r="E2197" t="inlineStr">
        <is>
          <t>Q4FY26</t>
        </is>
      </c>
      <c r="F2197" t="inlineStr">
        <is>
          <t>31-Dec-2030</t>
        </is>
      </c>
      <c r="G2197" t="inlineStr">
        <is>
          <t>Tuesday</t>
        </is>
      </c>
      <c r="H2197" t="inlineStr">
        <is>
          <t>Monthly - Tuesday</t>
        </is>
      </c>
      <c r="I2197" t="inlineStr">
        <is>
          <t>Monthly - Tuesday</t>
        </is>
      </c>
      <c r="J2197" t="inlineStr">
        <is>
          <t>Month+58 Expiry</t>
        </is>
      </c>
      <c r="K2197" s="25" t="n">
        <v>0</v>
      </c>
      <c r="L2197" s="26" t="n">
        <v>0</v>
      </c>
      <c r="M2197" s="26" t="n">
        <v>0</v>
      </c>
    </row>
    <row r="2198" ht="16" customHeight="1">
      <c r="A2198" t="inlineStr">
        <is>
          <t>25-Feb-2026</t>
        </is>
      </c>
      <c r="B2198" t="inlineStr">
        <is>
          <t>Wednesday</t>
        </is>
      </c>
      <c r="C2198" t="inlineStr">
        <is>
          <t>Week4-Feb-2026</t>
        </is>
      </c>
      <c r="D2198" s="78" t="n">
        <v>46054</v>
      </c>
      <c r="E2198" t="inlineStr">
        <is>
          <t>Q4FY26</t>
        </is>
      </c>
      <c r="F2198" t="inlineStr">
        <is>
          <t>02-Mar-2026</t>
        </is>
      </c>
      <c r="G2198" t="inlineStr">
        <is>
          <t>Monday</t>
        </is>
      </c>
      <c r="H2198" t="inlineStr">
        <is>
          <t>Weekly - Monday</t>
        </is>
      </c>
      <c r="I2198" t="inlineStr">
        <is>
          <t>Weekly - Monday</t>
        </is>
      </c>
      <c r="J2198" t="inlineStr">
        <is>
          <t>Month+1 Expiry</t>
        </is>
      </c>
      <c r="K2198" s="25" t="n">
        <v>64985867</v>
      </c>
      <c r="L2198" s="26" t="n">
        <v>108340.1234</v>
      </c>
      <c r="M2198" s="26" t="n">
        <v>392.2734</v>
      </c>
    </row>
    <row r="2199" ht="16" customHeight="1">
      <c r="A2199" t="inlineStr">
        <is>
          <t>25-Feb-2026</t>
        </is>
      </c>
      <c r="B2199" t="inlineStr">
        <is>
          <t>Wednesday</t>
        </is>
      </c>
      <c r="C2199" t="inlineStr">
        <is>
          <t>Week4-Feb-2026</t>
        </is>
      </c>
      <c r="D2199" s="78" t="n">
        <v>46054</v>
      </c>
      <c r="E2199" t="inlineStr">
        <is>
          <t>Q4FY26</t>
        </is>
      </c>
      <c r="F2199" t="inlineStr">
        <is>
          <t>10-Mar-2026</t>
        </is>
      </c>
      <c r="G2199" t="inlineStr">
        <is>
          <t>Tuesday</t>
        </is>
      </c>
      <c r="H2199" t="inlineStr">
        <is>
          <t>Weekly - Tuesday</t>
        </is>
      </c>
      <c r="I2199" t="inlineStr">
        <is>
          <t>Weekly - Tuesday</t>
        </is>
      </c>
      <c r="J2199" t="inlineStr">
        <is>
          <t>Month+1 Expiry</t>
        </is>
      </c>
      <c r="K2199" s="25" t="n">
        <v>1423266</v>
      </c>
      <c r="L2199" s="26" t="n">
        <v>2377.6726</v>
      </c>
      <c r="M2199" s="26" t="n">
        <v>12.4066</v>
      </c>
    </row>
    <row r="2200" ht="16" customHeight="1">
      <c r="A2200" t="inlineStr">
        <is>
          <t>25-Feb-2026</t>
        </is>
      </c>
      <c r="B2200" t="inlineStr">
        <is>
          <t>Wednesday</t>
        </is>
      </c>
      <c r="C2200" t="inlineStr">
        <is>
          <t>Week4-Feb-2026</t>
        </is>
      </c>
      <c r="D2200" s="78" t="n">
        <v>46054</v>
      </c>
      <c r="E2200" t="inlineStr">
        <is>
          <t>Q4FY26</t>
        </is>
      </c>
      <c r="F2200" t="inlineStr">
        <is>
          <t>17-Mar-2026</t>
        </is>
      </c>
      <c r="G2200" t="inlineStr">
        <is>
          <t>Tuesday</t>
        </is>
      </c>
      <c r="H2200" t="inlineStr">
        <is>
          <t>Weekly - Tuesday</t>
        </is>
      </c>
      <c r="I2200" t="inlineStr">
        <is>
          <t>Weekly - Tuesday</t>
        </is>
      </c>
      <c r="J2200" t="inlineStr">
        <is>
          <t>Month+1 Expiry</t>
        </is>
      </c>
      <c r="K2200" s="25" t="n">
        <v>99623</v>
      </c>
      <c r="L2200" s="26" t="n">
        <v>166.8732</v>
      </c>
      <c r="M2200" s="26" t="n">
        <v>1.1041</v>
      </c>
    </row>
    <row r="2201" ht="16" customHeight="1">
      <c r="A2201" t="inlineStr">
        <is>
          <t>25-Feb-2026</t>
        </is>
      </c>
      <c r="B2201" t="inlineStr">
        <is>
          <t>Wednesday</t>
        </is>
      </c>
      <c r="C2201" t="inlineStr">
        <is>
          <t>Week4-Feb-2026</t>
        </is>
      </c>
      <c r="D2201" s="78" t="n">
        <v>46054</v>
      </c>
      <c r="E2201" t="inlineStr">
        <is>
          <t>Q4FY26</t>
        </is>
      </c>
      <c r="F2201" t="inlineStr">
        <is>
          <t>24-Mar-2026</t>
        </is>
      </c>
      <c r="G2201" t="inlineStr">
        <is>
          <t>Tuesday</t>
        </is>
      </c>
      <c r="H2201" t="inlineStr">
        <is>
          <t>Weekly - Tuesday</t>
        </is>
      </c>
      <c r="I2201" t="inlineStr">
        <is>
          <t>Weekly - Tuesday</t>
        </is>
      </c>
      <c r="J2201" t="inlineStr">
        <is>
          <t>Month+1 Expiry</t>
        </is>
      </c>
      <c r="K2201" s="25" t="n">
        <v>42829</v>
      </c>
      <c r="L2201" s="26" t="n">
        <v>71.8956</v>
      </c>
      <c r="M2201" s="26" t="n">
        <v>0.5659</v>
      </c>
    </row>
    <row r="2202" ht="16" customHeight="1">
      <c r="A2202" t="inlineStr">
        <is>
          <t>25-Feb-2026</t>
        </is>
      </c>
      <c r="B2202" t="inlineStr">
        <is>
          <t>Wednesday</t>
        </is>
      </c>
      <c r="C2202" t="inlineStr">
        <is>
          <t>Week4-Feb-2026</t>
        </is>
      </c>
      <c r="D2202" s="78" t="n">
        <v>46054</v>
      </c>
      <c r="E2202" t="inlineStr">
        <is>
          <t>Q4FY26</t>
        </is>
      </c>
      <c r="F2202" t="inlineStr">
        <is>
          <t>30-Mar-2026</t>
        </is>
      </c>
      <c r="G2202" t="inlineStr">
        <is>
          <t>Monday</t>
        </is>
      </c>
      <c r="H2202" t="inlineStr">
        <is>
          <t>Monthly - Monday</t>
        </is>
      </c>
      <c r="I2202" t="inlineStr">
        <is>
          <t>Monthly - Monday</t>
        </is>
      </c>
      <c r="J2202" t="inlineStr">
        <is>
          <t>Month+1 Expiry</t>
        </is>
      </c>
      <c r="K2202" s="25" t="n">
        <v>1388202</v>
      </c>
      <c r="L2202" s="26" t="n">
        <v>2329.5804</v>
      </c>
      <c r="M2202" s="26" t="n">
        <v>19.8843</v>
      </c>
    </row>
    <row r="2203" ht="16" customHeight="1">
      <c r="A2203" t="inlineStr">
        <is>
          <t>25-Feb-2026</t>
        </is>
      </c>
      <c r="B2203" t="inlineStr">
        <is>
          <t>Wednesday</t>
        </is>
      </c>
      <c r="C2203" t="inlineStr">
        <is>
          <t>Week4-Feb-2026</t>
        </is>
      </c>
      <c r="D2203" s="78" t="n">
        <v>46054</v>
      </c>
      <c r="E2203" t="inlineStr">
        <is>
          <t>Q4FY26</t>
        </is>
      </c>
      <c r="F2203" t="inlineStr">
        <is>
          <t>28-Apr-2026</t>
        </is>
      </c>
      <c r="G2203" t="inlineStr">
        <is>
          <t>Tuesday</t>
        </is>
      </c>
      <c r="H2203" t="inlineStr">
        <is>
          <t>Monthly - Tuesday</t>
        </is>
      </c>
      <c r="I2203" t="inlineStr">
        <is>
          <t>Monthly - Tuesday</t>
        </is>
      </c>
      <c r="J2203" t="inlineStr">
        <is>
          <t>Month+2 Expiry</t>
        </is>
      </c>
      <c r="K2203" s="25" t="n">
        <v>128489</v>
      </c>
      <c r="L2203" s="26" t="n">
        <v>215.9032</v>
      </c>
      <c r="M2203" s="26" t="n">
        <v>1.9286</v>
      </c>
    </row>
    <row r="2204" ht="16" customHeight="1">
      <c r="A2204" t="inlineStr">
        <is>
          <t>25-Feb-2026</t>
        </is>
      </c>
      <c r="B2204" t="inlineStr">
        <is>
          <t>Wednesday</t>
        </is>
      </c>
      <c r="C2204" t="inlineStr">
        <is>
          <t>Week4-Feb-2026</t>
        </is>
      </c>
      <c r="D2204" s="78" t="n">
        <v>46054</v>
      </c>
      <c r="E2204" t="inlineStr">
        <is>
          <t>Q4FY26</t>
        </is>
      </c>
      <c r="F2204" t="inlineStr">
        <is>
          <t>26-May-2026</t>
        </is>
      </c>
      <c r="G2204" t="inlineStr">
        <is>
          <t>Tuesday</t>
        </is>
      </c>
      <c r="H2204" t="inlineStr">
        <is>
          <t>Monthly - Tuesday</t>
        </is>
      </c>
      <c r="I2204" t="inlineStr">
        <is>
          <t>Monthly - Tuesday</t>
        </is>
      </c>
      <c r="J2204" t="inlineStr">
        <is>
          <t>Month+3 Expiry</t>
        </is>
      </c>
      <c r="K2204" s="25" t="n">
        <v>9435</v>
      </c>
      <c r="L2204" s="26" t="n">
        <v>15.8675</v>
      </c>
      <c r="M2204" s="26" t="n">
        <v>0.2141</v>
      </c>
    </row>
    <row r="2205" ht="16" customHeight="1">
      <c r="A2205" t="inlineStr">
        <is>
          <t>25-Feb-2026</t>
        </is>
      </c>
      <c r="B2205" t="inlineStr">
        <is>
          <t>Wednesday</t>
        </is>
      </c>
      <c r="C2205" t="inlineStr">
        <is>
          <t>Week4-Feb-2026</t>
        </is>
      </c>
      <c r="D2205" s="78" t="n">
        <v>46054</v>
      </c>
      <c r="E2205" t="inlineStr">
        <is>
          <t>Q4FY26</t>
        </is>
      </c>
      <c r="F2205" t="inlineStr">
        <is>
          <t>30-Jun-2026</t>
        </is>
      </c>
      <c r="G2205" t="inlineStr">
        <is>
          <t>Tuesday</t>
        </is>
      </c>
      <c r="H2205" t="inlineStr">
        <is>
          <t>Monthly - Tuesday</t>
        </is>
      </c>
      <c r="I2205" t="inlineStr">
        <is>
          <t>Monthly - Tuesday</t>
        </is>
      </c>
      <c r="J2205" t="inlineStr">
        <is>
          <t>Month+4 Expiry</t>
        </is>
      </c>
      <c r="K2205" s="25" t="n">
        <v>41720</v>
      </c>
      <c r="L2205" s="26" t="n">
        <v>71.081</v>
      </c>
      <c r="M2205" s="26" t="n">
        <v>1.145</v>
      </c>
    </row>
    <row r="2206" ht="16" customHeight="1">
      <c r="A2206" t="inlineStr">
        <is>
          <t>25-Feb-2026</t>
        </is>
      </c>
      <c r="B2206" t="inlineStr">
        <is>
          <t>Wednesday</t>
        </is>
      </c>
      <c r="C2206" t="inlineStr">
        <is>
          <t>Week4-Feb-2026</t>
        </is>
      </c>
      <c r="D2206" s="78" t="n">
        <v>46054</v>
      </c>
      <c r="E2206" t="inlineStr">
        <is>
          <t>Q4FY26</t>
        </is>
      </c>
      <c r="F2206" t="inlineStr">
        <is>
          <t>29-Sep-2026</t>
        </is>
      </c>
      <c r="G2206" t="inlineStr">
        <is>
          <t>Tuesday</t>
        </is>
      </c>
      <c r="H2206" t="inlineStr">
        <is>
          <t>Monthly - Tuesday</t>
        </is>
      </c>
      <c r="I2206" t="inlineStr">
        <is>
          <t>Monthly - Tuesday</t>
        </is>
      </c>
      <c r="J2206" t="inlineStr">
        <is>
          <t>Month+7 Expiry</t>
        </is>
      </c>
      <c r="K2206" s="25" t="n">
        <v>4621</v>
      </c>
      <c r="L2206" s="26" t="n">
        <v>7.9294</v>
      </c>
      <c r="M2206" s="26" t="n">
        <v>0.1716</v>
      </c>
    </row>
    <row r="2207" ht="16" customHeight="1">
      <c r="A2207" t="inlineStr">
        <is>
          <t>25-Feb-2026</t>
        </is>
      </c>
      <c r="B2207" t="inlineStr">
        <is>
          <t>Wednesday</t>
        </is>
      </c>
      <c r="C2207" t="inlineStr">
        <is>
          <t>Week4-Feb-2026</t>
        </is>
      </c>
      <c r="D2207" s="78" t="n">
        <v>46054</v>
      </c>
      <c r="E2207" t="inlineStr">
        <is>
          <t>Q4FY26</t>
        </is>
      </c>
      <c r="F2207" t="inlineStr">
        <is>
          <t>29-Dec-2026</t>
        </is>
      </c>
      <c r="G2207" t="inlineStr">
        <is>
          <t>Tuesday</t>
        </is>
      </c>
      <c r="H2207" t="inlineStr">
        <is>
          <t>Monthly - Tuesday</t>
        </is>
      </c>
      <c r="I2207" t="inlineStr">
        <is>
          <t>Monthly - Tuesday</t>
        </is>
      </c>
      <c r="J2207" t="inlineStr">
        <is>
          <t>Month+10 Expiry</t>
        </is>
      </c>
      <c r="K2207" s="25" t="n">
        <v>11160</v>
      </c>
      <c r="L2207" s="26" t="n">
        <v>19.36</v>
      </c>
      <c r="M2207" s="26" t="n">
        <v>0.4658</v>
      </c>
    </row>
    <row r="2208" ht="16" customHeight="1">
      <c r="A2208" t="inlineStr">
        <is>
          <t>25-Feb-2026</t>
        </is>
      </c>
      <c r="B2208" t="inlineStr">
        <is>
          <t>Wednesday</t>
        </is>
      </c>
      <c r="C2208" t="inlineStr">
        <is>
          <t>Week4-Feb-2026</t>
        </is>
      </c>
      <c r="D2208" s="78" t="n">
        <v>46054</v>
      </c>
      <c r="E2208" t="inlineStr">
        <is>
          <t>Q4FY26</t>
        </is>
      </c>
      <c r="F2208" t="inlineStr">
        <is>
          <t>29-Jun-2027</t>
        </is>
      </c>
      <c r="G2208" t="inlineStr">
        <is>
          <t>Tuesday</t>
        </is>
      </c>
      <c r="H2208" t="inlineStr">
        <is>
          <t>Monthly - Tuesday</t>
        </is>
      </c>
      <c r="I2208" t="inlineStr">
        <is>
          <t>Monthly - Tuesday</t>
        </is>
      </c>
      <c r="J2208" t="inlineStr">
        <is>
          <t>Month+16 Expiry</t>
        </is>
      </c>
      <c r="K2208" s="25" t="n">
        <v>0</v>
      </c>
      <c r="L2208" s="26" t="n">
        <v>0</v>
      </c>
      <c r="M2208" s="26" t="n">
        <v>0</v>
      </c>
    </row>
    <row r="2209" ht="16" customHeight="1">
      <c r="A2209" t="inlineStr">
        <is>
          <t>25-Feb-2026</t>
        </is>
      </c>
      <c r="B2209" t="inlineStr">
        <is>
          <t>Wednesday</t>
        </is>
      </c>
      <c r="C2209" t="inlineStr">
        <is>
          <t>Week4-Feb-2026</t>
        </is>
      </c>
      <c r="D2209" s="78" t="n">
        <v>46054</v>
      </c>
      <c r="E2209" t="inlineStr">
        <is>
          <t>Q4FY26</t>
        </is>
      </c>
      <c r="F2209" t="inlineStr">
        <is>
          <t>28-Dec-2027</t>
        </is>
      </c>
      <c r="G2209" t="inlineStr">
        <is>
          <t>Tuesday</t>
        </is>
      </c>
      <c r="H2209" t="inlineStr">
        <is>
          <t>Monthly - Tuesday</t>
        </is>
      </c>
      <c r="I2209" t="inlineStr">
        <is>
          <t>Monthly - Tuesday</t>
        </is>
      </c>
      <c r="J2209" t="inlineStr">
        <is>
          <t>Month+22 Expiry</t>
        </is>
      </c>
      <c r="K2209" s="25" t="n">
        <v>29</v>
      </c>
      <c r="L2209" s="26" t="n">
        <v>0.054</v>
      </c>
      <c r="M2209" s="26" t="n">
        <v>0.004</v>
      </c>
    </row>
    <row r="2210" ht="16" customHeight="1">
      <c r="A2210" t="inlineStr">
        <is>
          <t>25-Feb-2026</t>
        </is>
      </c>
      <c r="B2210" t="inlineStr">
        <is>
          <t>Wednesday</t>
        </is>
      </c>
      <c r="C2210" t="inlineStr">
        <is>
          <t>Week4-Feb-2026</t>
        </is>
      </c>
      <c r="D2210" s="78" t="n">
        <v>46054</v>
      </c>
      <c r="E2210" t="inlineStr">
        <is>
          <t>Q4FY26</t>
        </is>
      </c>
      <c r="F2210" t="inlineStr">
        <is>
          <t>27-Jun-2028</t>
        </is>
      </c>
      <c r="G2210" t="inlineStr">
        <is>
          <t>Tuesday</t>
        </is>
      </c>
      <c r="H2210" t="inlineStr">
        <is>
          <t>Monthly - Tuesday</t>
        </is>
      </c>
      <c r="I2210" t="inlineStr">
        <is>
          <t>Monthly - Tuesday</t>
        </is>
      </c>
      <c r="J2210" t="inlineStr">
        <is>
          <t>Month+28 Expiry</t>
        </is>
      </c>
      <c r="K2210" s="25" t="n">
        <v>0</v>
      </c>
      <c r="L2210" s="26" t="n">
        <v>0</v>
      </c>
      <c r="M2210" s="26" t="n">
        <v>0</v>
      </c>
    </row>
    <row r="2211" ht="16" customHeight="1">
      <c r="A2211" t="inlineStr">
        <is>
          <t>25-Feb-2026</t>
        </is>
      </c>
      <c r="B2211" t="inlineStr">
        <is>
          <t>Wednesday</t>
        </is>
      </c>
      <c r="C2211" t="inlineStr">
        <is>
          <t>Week4-Feb-2026</t>
        </is>
      </c>
      <c r="D2211" s="78" t="n">
        <v>46054</v>
      </c>
      <c r="E2211" t="inlineStr">
        <is>
          <t>Q4FY26</t>
        </is>
      </c>
      <c r="F2211" t="inlineStr">
        <is>
          <t>26-Dec-2028</t>
        </is>
      </c>
      <c r="G2211" t="inlineStr">
        <is>
          <t>Tuesday</t>
        </is>
      </c>
      <c r="H2211" t="inlineStr">
        <is>
          <t>Monthly - Tuesday</t>
        </is>
      </c>
      <c r="I2211" t="inlineStr">
        <is>
          <t>Monthly - Tuesday</t>
        </is>
      </c>
      <c r="J2211" t="inlineStr">
        <is>
          <t>Month+34 Expiry</t>
        </is>
      </c>
      <c r="K2211" s="25" t="n">
        <v>0</v>
      </c>
      <c r="L2211" s="26" t="n">
        <v>0</v>
      </c>
      <c r="M2211" s="26" t="n">
        <v>0</v>
      </c>
    </row>
    <row r="2212" ht="16" customHeight="1">
      <c r="A2212" t="inlineStr">
        <is>
          <t>25-Feb-2026</t>
        </is>
      </c>
      <c r="B2212" t="inlineStr">
        <is>
          <t>Wednesday</t>
        </is>
      </c>
      <c r="C2212" t="inlineStr">
        <is>
          <t>Week4-Feb-2026</t>
        </is>
      </c>
      <c r="D2212" s="78" t="n">
        <v>46054</v>
      </c>
      <c r="E2212" t="inlineStr">
        <is>
          <t>Q4FY26</t>
        </is>
      </c>
      <c r="F2212" t="inlineStr">
        <is>
          <t>26-Jun-2029</t>
        </is>
      </c>
      <c r="G2212" t="inlineStr">
        <is>
          <t>Tuesday</t>
        </is>
      </c>
      <c r="H2212" t="inlineStr">
        <is>
          <t>Monthly - Tuesday</t>
        </is>
      </c>
      <c r="I2212" t="inlineStr">
        <is>
          <t>Monthly - Tuesday</t>
        </is>
      </c>
      <c r="J2212" t="inlineStr">
        <is>
          <t>Month+40 Expiry</t>
        </is>
      </c>
      <c r="K2212" s="25" t="n">
        <v>0</v>
      </c>
      <c r="L2212" s="26" t="n">
        <v>0</v>
      </c>
      <c r="M2212" s="26" t="n">
        <v>0</v>
      </c>
    </row>
    <row r="2213" ht="16" customHeight="1">
      <c r="A2213" t="inlineStr">
        <is>
          <t>25-Feb-2026</t>
        </is>
      </c>
      <c r="B2213" t="inlineStr">
        <is>
          <t>Wednesday</t>
        </is>
      </c>
      <c r="C2213" t="inlineStr">
        <is>
          <t>Week4-Feb-2026</t>
        </is>
      </c>
      <c r="D2213" s="78" t="n">
        <v>46054</v>
      </c>
      <c r="E2213" t="inlineStr">
        <is>
          <t>Q4FY26</t>
        </is>
      </c>
      <c r="F2213" t="inlineStr">
        <is>
          <t>24-Dec-2029</t>
        </is>
      </c>
      <c r="G2213" t="inlineStr">
        <is>
          <t>Monday</t>
        </is>
      </c>
      <c r="H2213" t="inlineStr">
        <is>
          <t>Weekly - Monday</t>
        </is>
      </c>
      <c r="I2213" t="inlineStr">
        <is>
          <t>Weekly - Monday</t>
        </is>
      </c>
      <c r="J2213" t="inlineStr">
        <is>
          <t>Month+46 Expiry</t>
        </is>
      </c>
      <c r="K2213" s="25" t="n">
        <v>0</v>
      </c>
      <c r="L2213" s="26" t="n">
        <v>0</v>
      </c>
      <c r="M2213" s="26" t="n">
        <v>0</v>
      </c>
    </row>
    <row r="2214" ht="16" customHeight="1">
      <c r="A2214" t="inlineStr">
        <is>
          <t>25-Feb-2026</t>
        </is>
      </c>
      <c r="B2214" t="inlineStr">
        <is>
          <t>Wednesday</t>
        </is>
      </c>
      <c r="C2214" t="inlineStr">
        <is>
          <t>Week4-Feb-2026</t>
        </is>
      </c>
      <c r="D2214" s="78" t="n">
        <v>46054</v>
      </c>
      <c r="E2214" t="inlineStr">
        <is>
          <t>Q4FY26</t>
        </is>
      </c>
      <c r="F2214" t="inlineStr">
        <is>
          <t>25-Jun-2030</t>
        </is>
      </c>
      <c r="G2214" t="inlineStr">
        <is>
          <t>Tuesday</t>
        </is>
      </c>
      <c r="H2214" t="inlineStr">
        <is>
          <t>Monthly - Tuesday</t>
        </is>
      </c>
      <c r="I2214" t="inlineStr">
        <is>
          <t>Monthly - Tuesday</t>
        </is>
      </c>
      <c r="J2214" t="inlineStr">
        <is>
          <t>Month+52 Expiry</t>
        </is>
      </c>
      <c r="K2214" s="25" t="n">
        <v>0</v>
      </c>
      <c r="L2214" s="26" t="n">
        <v>0</v>
      </c>
      <c r="M2214" s="26" t="n">
        <v>0</v>
      </c>
    </row>
    <row r="2215" ht="16" customHeight="1">
      <c r="A2215" t="inlineStr">
        <is>
          <t>25-Feb-2026</t>
        </is>
      </c>
      <c r="B2215" t="inlineStr">
        <is>
          <t>Wednesday</t>
        </is>
      </c>
      <c r="C2215" t="inlineStr">
        <is>
          <t>Week4-Feb-2026</t>
        </is>
      </c>
      <c r="D2215" s="78" t="n">
        <v>46054</v>
      </c>
      <c r="E2215" t="inlineStr">
        <is>
          <t>Q4FY26</t>
        </is>
      </c>
      <c r="F2215" t="inlineStr">
        <is>
          <t>31-Dec-2030</t>
        </is>
      </c>
      <c r="G2215" t="inlineStr">
        <is>
          <t>Tuesday</t>
        </is>
      </c>
      <c r="H2215" t="inlineStr">
        <is>
          <t>Monthly - Tuesday</t>
        </is>
      </c>
      <c r="I2215" t="inlineStr">
        <is>
          <t>Monthly - Tuesday</t>
        </is>
      </c>
      <c r="J2215" t="inlineStr">
        <is>
          <t>Month+58 Expiry</t>
        </is>
      </c>
      <c r="K2215" s="25" t="n">
        <v>0</v>
      </c>
      <c r="L2215" s="26" t="n">
        <v>0</v>
      </c>
      <c r="M2215" s="26" t="n">
        <v>0</v>
      </c>
    </row>
    <row r="2216" ht="16" customHeight="1">
      <c r="A2216" t="inlineStr">
        <is>
          <t>26-Feb-2026</t>
        </is>
      </c>
      <c r="B2216" t="inlineStr">
        <is>
          <t>Thursday</t>
        </is>
      </c>
      <c r="C2216" t="inlineStr">
        <is>
          <t>Week4-Feb-2026</t>
        </is>
      </c>
      <c r="D2216" s="78" t="n">
        <v>46054</v>
      </c>
      <c r="E2216" t="inlineStr">
        <is>
          <t>Q4FY26</t>
        </is>
      </c>
      <c r="F2216" t="inlineStr">
        <is>
          <t>02-Mar-2026</t>
        </is>
      </c>
      <c r="G2216" t="inlineStr">
        <is>
          <t>Monday</t>
        </is>
      </c>
      <c r="H2216" t="inlineStr">
        <is>
          <t>Weekly - Monday</t>
        </is>
      </c>
      <c r="I2216" t="inlineStr">
        <is>
          <t>Weekly - Monday</t>
        </is>
      </c>
      <c r="J2216" t="inlineStr">
        <is>
          <t>Month+1 Expiry</t>
        </is>
      </c>
      <c r="K2216" s="25" t="n">
        <v>66594422</v>
      </c>
      <c r="L2216" s="26" t="n">
        <v>110770.3778</v>
      </c>
      <c r="M2216" s="26" t="n">
        <v>340.0732</v>
      </c>
    </row>
    <row r="2217" ht="16" customHeight="1">
      <c r="A2217" t="inlineStr">
        <is>
          <t>26-Feb-2026</t>
        </is>
      </c>
      <c r="B2217" t="inlineStr">
        <is>
          <t>Thursday</t>
        </is>
      </c>
      <c r="C2217" t="inlineStr">
        <is>
          <t>Week4-Feb-2026</t>
        </is>
      </c>
      <c r="D2217" s="78" t="n">
        <v>46054</v>
      </c>
      <c r="E2217" t="inlineStr">
        <is>
          <t>Q4FY26</t>
        </is>
      </c>
      <c r="F2217" t="inlineStr">
        <is>
          <t>10-Mar-2026</t>
        </is>
      </c>
      <c r="G2217" t="inlineStr">
        <is>
          <t>Tuesday</t>
        </is>
      </c>
      <c r="H2217" t="inlineStr">
        <is>
          <t>Weekly - Tuesday</t>
        </is>
      </c>
      <c r="I2217" t="inlineStr">
        <is>
          <t>Weekly - Tuesday</t>
        </is>
      </c>
      <c r="J2217" t="inlineStr">
        <is>
          <t>Month+1 Expiry</t>
        </is>
      </c>
      <c r="K2217" s="25" t="n">
        <v>1884086</v>
      </c>
      <c r="L2217" s="26" t="n">
        <v>3142.585</v>
      </c>
      <c r="M2217" s="26" t="n">
        <v>15.3721</v>
      </c>
    </row>
    <row r="2218" ht="16" customHeight="1">
      <c r="A2218" t="inlineStr">
        <is>
          <t>26-Feb-2026</t>
        </is>
      </c>
      <c r="B2218" t="inlineStr">
        <is>
          <t>Thursday</t>
        </is>
      </c>
      <c r="C2218" t="inlineStr">
        <is>
          <t>Week4-Feb-2026</t>
        </is>
      </c>
      <c r="D2218" s="78" t="n">
        <v>46054</v>
      </c>
      <c r="E2218" t="inlineStr">
        <is>
          <t>Q4FY26</t>
        </is>
      </c>
      <c r="F2218" t="inlineStr">
        <is>
          <t>17-Mar-2026</t>
        </is>
      </c>
      <c r="G2218" t="inlineStr">
        <is>
          <t>Tuesday</t>
        </is>
      </c>
      <c r="H2218" t="inlineStr">
        <is>
          <t>Weekly - Tuesday</t>
        </is>
      </c>
      <c r="I2218" t="inlineStr">
        <is>
          <t>Weekly - Tuesday</t>
        </is>
      </c>
      <c r="J2218" t="inlineStr">
        <is>
          <t>Month+1 Expiry</t>
        </is>
      </c>
      <c r="K2218" s="25" t="n">
        <v>139715</v>
      </c>
      <c r="L2218" s="26" t="n">
        <v>233.7252</v>
      </c>
      <c r="M2218" s="26" t="n">
        <v>1.4176</v>
      </c>
    </row>
    <row r="2219" ht="16" customHeight="1">
      <c r="A2219" t="inlineStr">
        <is>
          <t>26-Feb-2026</t>
        </is>
      </c>
      <c r="B2219" t="inlineStr">
        <is>
          <t>Thursday</t>
        </is>
      </c>
      <c r="C2219" t="inlineStr">
        <is>
          <t>Week4-Feb-2026</t>
        </is>
      </c>
      <c r="D2219" s="78" t="n">
        <v>46054</v>
      </c>
      <c r="E2219" t="inlineStr">
        <is>
          <t>Q4FY26</t>
        </is>
      </c>
      <c r="F2219" t="inlineStr">
        <is>
          <t>24-Mar-2026</t>
        </is>
      </c>
      <c r="G2219" t="inlineStr">
        <is>
          <t>Tuesday</t>
        </is>
      </c>
      <c r="H2219" t="inlineStr">
        <is>
          <t>Weekly - Tuesday</t>
        </is>
      </c>
      <c r="I2219" t="inlineStr">
        <is>
          <t>Weekly - Tuesday</t>
        </is>
      </c>
      <c r="J2219" t="inlineStr">
        <is>
          <t>Month+1 Expiry</t>
        </is>
      </c>
      <c r="K2219" s="25" t="n">
        <v>32816</v>
      </c>
      <c r="L2219" s="26" t="n">
        <v>54.9858</v>
      </c>
      <c r="M2219" s="26" t="n">
        <v>0.4387</v>
      </c>
    </row>
    <row r="2220" ht="16" customHeight="1">
      <c r="A2220" t="inlineStr">
        <is>
          <t>26-Feb-2026</t>
        </is>
      </c>
      <c r="B2220" t="inlineStr">
        <is>
          <t>Thursday</t>
        </is>
      </c>
      <c r="C2220" t="inlineStr">
        <is>
          <t>Week4-Feb-2026</t>
        </is>
      </c>
      <c r="D2220" s="78" t="n">
        <v>46054</v>
      </c>
      <c r="E2220" t="inlineStr">
        <is>
          <t>Q4FY26</t>
        </is>
      </c>
      <c r="F2220" t="inlineStr">
        <is>
          <t>30-Mar-2026</t>
        </is>
      </c>
      <c r="G2220" t="inlineStr">
        <is>
          <t>Monday</t>
        </is>
      </c>
      <c r="H2220" t="inlineStr">
        <is>
          <t>Monthly - Monday</t>
        </is>
      </c>
      <c r="I2220" t="inlineStr">
        <is>
          <t>Monthly - Monday</t>
        </is>
      </c>
      <c r="J2220" t="inlineStr">
        <is>
          <t>Month+1 Expiry</t>
        </is>
      </c>
      <c r="K2220" s="25" t="n">
        <v>1085945</v>
      </c>
      <c r="L2220" s="26" t="n">
        <v>1822.8309</v>
      </c>
      <c r="M2220" s="26" t="n">
        <v>14.911</v>
      </c>
    </row>
    <row r="2221" ht="16" customHeight="1">
      <c r="A2221" t="inlineStr">
        <is>
          <t>26-Feb-2026</t>
        </is>
      </c>
      <c r="B2221" t="inlineStr">
        <is>
          <t>Thursday</t>
        </is>
      </c>
      <c r="C2221" t="inlineStr">
        <is>
          <t>Week4-Feb-2026</t>
        </is>
      </c>
      <c r="D2221" s="78" t="n">
        <v>46054</v>
      </c>
      <c r="E2221" t="inlineStr">
        <is>
          <t>Q4FY26</t>
        </is>
      </c>
      <c r="F2221" t="inlineStr">
        <is>
          <t>28-Apr-2026</t>
        </is>
      </c>
      <c r="G2221" t="inlineStr">
        <is>
          <t>Tuesday</t>
        </is>
      </c>
      <c r="H2221" t="inlineStr">
        <is>
          <t>Monthly - Tuesday</t>
        </is>
      </c>
      <c r="I2221" t="inlineStr">
        <is>
          <t>Monthly - Tuesday</t>
        </is>
      </c>
      <c r="J2221" t="inlineStr">
        <is>
          <t>Month+2 Expiry</t>
        </is>
      </c>
      <c r="K2221" s="25" t="n">
        <v>88608</v>
      </c>
      <c r="L2221" s="26" t="n">
        <v>149.3632</v>
      </c>
      <c r="M2221" s="26" t="n">
        <v>1.423</v>
      </c>
    </row>
    <row r="2222" ht="16" customHeight="1">
      <c r="A2222" t="inlineStr">
        <is>
          <t>26-Feb-2026</t>
        </is>
      </c>
      <c r="B2222" t="inlineStr">
        <is>
          <t>Thursday</t>
        </is>
      </c>
      <c r="C2222" t="inlineStr">
        <is>
          <t>Week4-Feb-2026</t>
        </is>
      </c>
      <c r="D2222" s="78" t="n">
        <v>46054</v>
      </c>
      <c r="E2222" t="inlineStr">
        <is>
          <t>Q4FY26</t>
        </is>
      </c>
      <c r="F2222" t="inlineStr">
        <is>
          <t>26-May-2026</t>
        </is>
      </c>
      <c r="G2222" t="inlineStr">
        <is>
          <t>Tuesday</t>
        </is>
      </c>
      <c r="H2222" t="inlineStr">
        <is>
          <t>Monthly - Tuesday</t>
        </is>
      </c>
      <c r="I2222" t="inlineStr">
        <is>
          <t>Monthly - Tuesday</t>
        </is>
      </c>
      <c r="J2222" t="inlineStr">
        <is>
          <t>Month+3 Expiry</t>
        </is>
      </c>
      <c r="K2222" s="25" t="n">
        <v>7317</v>
      </c>
      <c r="L2222" s="26" t="n">
        <v>12.412</v>
      </c>
      <c r="M2222" s="26" t="n">
        <v>0.1691</v>
      </c>
    </row>
    <row r="2223" ht="16" customHeight="1">
      <c r="A2223" t="inlineStr">
        <is>
          <t>26-Feb-2026</t>
        </is>
      </c>
      <c r="B2223" t="inlineStr">
        <is>
          <t>Thursday</t>
        </is>
      </c>
      <c r="C2223" t="inlineStr">
        <is>
          <t>Week4-Feb-2026</t>
        </is>
      </c>
      <c r="D2223" s="78" t="n">
        <v>46054</v>
      </c>
      <c r="E2223" t="inlineStr">
        <is>
          <t>Q4FY26</t>
        </is>
      </c>
      <c r="F2223" t="inlineStr">
        <is>
          <t>30-Jun-2026</t>
        </is>
      </c>
      <c r="G2223" t="inlineStr">
        <is>
          <t>Tuesday</t>
        </is>
      </c>
      <c r="H2223" t="inlineStr">
        <is>
          <t>Monthly - Tuesday</t>
        </is>
      </c>
      <c r="I2223" t="inlineStr">
        <is>
          <t>Monthly - Tuesday</t>
        </is>
      </c>
      <c r="J2223" t="inlineStr">
        <is>
          <t>Month+4 Expiry</t>
        </is>
      </c>
      <c r="K2223" s="25" t="n">
        <v>35556</v>
      </c>
      <c r="L2223" s="26" t="n">
        <v>60.0891</v>
      </c>
      <c r="M2223" s="26" t="n">
        <v>0.9408</v>
      </c>
    </row>
    <row r="2224" ht="16" customHeight="1">
      <c r="A2224" t="inlineStr">
        <is>
          <t>26-Feb-2026</t>
        </is>
      </c>
      <c r="B2224" t="inlineStr">
        <is>
          <t>Thursday</t>
        </is>
      </c>
      <c r="C2224" t="inlineStr">
        <is>
          <t>Week4-Feb-2026</t>
        </is>
      </c>
      <c r="D2224" s="78" t="n">
        <v>46054</v>
      </c>
      <c r="E2224" t="inlineStr">
        <is>
          <t>Q4FY26</t>
        </is>
      </c>
      <c r="F2224" t="inlineStr">
        <is>
          <t>29-Sep-2026</t>
        </is>
      </c>
      <c r="G2224" t="inlineStr">
        <is>
          <t>Tuesday</t>
        </is>
      </c>
      <c r="H2224" t="inlineStr">
        <is>
          <t>Monthly - Tuesday</t>
        </is>
      </c>
      <c r="I2224" t="inlineStr">
        <is>
          <t>Monthly - Tuesday</t>
        </is>
      </c>
      <c r="J2224" t="inlineStr">
        <is>
          <t>Month+7 Expiry</t>
        </is>
      </c>
      <c r="K2224" s="25" t="n">
        <v>2862</v>
      </c>
      <c r="L2224" s="26" t="n">
        <v>4.8384</v>
      </c>
      <c r="M2224" s="26" t="n">
        <v>0.096</v>
      </c>
    </row>
    <row r="2225" ht="16" customHeight="1">
      <c r="A2225" t="inlineStr">
        <is>
          <t>26-Feb-2026</t>
        </is>
      </c>
      <c r="B2225" t="inlineStr">
        <is>
          <t>Thursday</t>
        </is>
      </c>
      <c r="C2225" t="inlineStr">
        <is>
          <t>Week4-Feb-2026</t>
        </is>
      </c>
      <c r="D2225" s="78" t="n">
        <v>46054</v>
      </c>
      <c r="E2225" t="inlineStr">
        <is>
          <t>Q4FY26</t>
        </is>
      </c>
      <c r="F2225" t="inlineStr">
        <is>
          <t>29-Dec-2026</t>
        </is>
      </c>
      <c r="G2225" t="inlineStr">
        <is>
          <t>Tuesday</t>
        </is>
      </c>
      <c r="H2225" t="inlineStr">
        <is>
          <t>Monthly - Tuesday</t>
        </is>
      </c>
      <c r="I2225" t="inlineStr">
        <is>
          <t>Monthly - Tuesday</t>
        </is>
      </c>
      <c r="J2225" t="inlineStr">
        <is>
          <t>Month+10 Expiry</t>
        </is>
      </c>
      <c r="K2225" s="25" t="n">
        <v>8429</v>
      </c>
      <c r="L2225" s="26" t="n">
        <v>14.5993</v>
      </c>
      <c r="M2225" s="26" t="n">
        <v>0.3464</v>
      </c>
    </row>
    <row r="2226" ht="16" customHeight="1">
      <c r="A2226" t="inlineStr">
        <is>
          <t>26-Feb-2026</t>
        </is>
      </c>
      <c r="B2226" t="inlineStr">
        <is>
          <t>Thursday</t>
        </is>
      </c>
      <c r="C2226" t="inlineStr">
        <is>
          <t>Week4-Feb-2026</t>
        </is>
      </c>
      <c r="D2226" s="78" t="n">
        <v>46054</v>
      </c>
      <c r="E2226" t="inlineStr">
        <is>
          <t>Q4FY26</t>
        </is>
      </c>
      <c r="F2226" t="inlineStr">
        <is>
          <t>29-Jun-2027</t>
        </is>
      </c>
      <c r="G2226" t="inlineStr">
        <is>
          <t>Tuesday</t>
        </is>
      </c>
      <c r="H2226" t="inlineStr">
        <is>
          <t>Monthly - Tuesday</t>
        </is>
      </c>
      <c r="I2226" t="inlineStr">
        <is>
          <t>Monthly - Tuesday</t>
        </is>
      </c>
      <c r="J2226" t="inlineStr">
        <is>
          <t>Month+16 Expiry</t>
        </is>
      </c>
      <c r="K2226" s="25" t="n">
        <v>0</v>
      </c>
      <c r="L2226" s="26" t="n">
        <v>0</v>
      </c>
      <c r="M2226" s="26" t="n">
        <v>0</v>
      </c>
    </row>
    <row r="2227" ht="16" customHeight="1">
      <c r="A2227" t="inlineStr">
        <is>
          <t>26-Feb-2026</t>
        </is>
      </c>
      <c r="B2227" t="inlineStr">
        <is>
          <t>Thursday</t>
        </is>
      </c>
      <c r="C2227" t="inlineStr">
        <is>
          <t>Week4-Feb-2026</t>
        </is>
      </c>
      <c r="D2227" s="78" t="n">
        <v>46054</v>
      </c>
      <c r="E2227" t="inlineStr">
        <is>
          <t>Q4FY26</t>
        </is>
      </c>
      <c r="F2227" t="inlineStr">
        <is>
          <t>28-Dec-2027</t>
        </is>
      </c>
      <c r="G2227" t="inlineStr">
        <is>
          <t>Tuesday</t>
        </is>
      </c>
      <c r="H2227" t="inlineStr">
        <is>
          <t>Monthly - Tuesday</t>
        </is>
      </c>
      <c r="I2227" t="inlineStr">
        <is>
          <t>Monthly - Tuesday</t>
        </is>
      </c>
      <c r="J2227" t="inlineStr">
        <is>
          <t>Month+22 Expiry</t>
        </is>
      </c>
      <c r="K2227" s="25" t="n">
        <v>53</v>
      </c>
      <c r="L2227" s="26" t="n">
        <v>0.0984</v>
      </c>
      <c r="M2227" s="26" t="n">
        <v>0.0066</v>
      </c>
    </row>
    <row r="2228" ht="16" customHeight="1">
      <c r="A2228" t="inlineStr">
        <is>
          <t>26-Feb-2026</t>
        </is>
      </c>
      <c r="B2228" t="inlineStr">
        <is>
          <t>Thursday</t>
        </is>
      </c>
      <c r="C2228" t="inlineStr">
        <is>
          <t>Week4-Feb-2026</t>
        </is>
      </c>
      <c r="D2228" s="78" t="n">
        <v>46054</v>
      </c>
      <c r="E2228" t="inlineStr">
        <is>
          <t>Q4FY26</t>
        </is>
      </c>
      <c r="F2228" t="inlineStr">
        <is>
          <t>27-Jun-2028</t>
        </is>
      </c>
      <c r="G2228" t="inlineStr">
        <is>
          <t>Tuesday</t>
        </is>
      </c>
      <c r="H2228" t="inlineStr">
        <is>
          <t>Monthly - Tuesday</t>
        </is>
      </c>
      <c r="I2228" t="inlineStr">
        <is>
          <t>Monthly - Tuesday</t>
        </is>
      </c>
      <c r="J2228" t="inlineStr">
        <is>
          <t>Month+28 Expiry</t>
        </is>
      </c>
      <c r="K2228" s="25" t="n">
        <v>0</v>
      </c>
      <c r="L2228" s="26" t="n">
        <v>0</v>
      </c>
      <c r="M2228" s="26" t="n">
        <v>0</v>
      </c>
    </row>
    <row r="2229" ht="16" customHeight="1">
      <c r="A2229" t="inlineStr">
        <is>
          <t>26-Feb-2026</t>
        </is>
      </c>
      <c r="B2229" t="inlineStr">
        <is>
          <t>Thursday</t>
        </is>
      </c>
      <c r="C2229" t="inlineStr">
        <is>
          <t>Week4-Feb-2026</t>
        </is>
      </c>
      <c r="D2229" s="78" t="n">
        <v>46054</v>
      </c>
      <c r="E2229" t="inlineStr">
        <is>
          <t>Q4FY26</t>
        </is>
      </c>
      <c r="F2229" t="inlineStr">
        <is>
          <t>26-Dec-2028</t>
        </is>
      </c>
      <c r="G2229" t="inlineStr">
        <is>
          <t>Tuesday</t>
        </is>
      </c>
      <c r="H2229" t="inlineStr">
        <is>
          <t>Monthly - Tuesday</t>
        </is>
      </c>
      <c r="I2229" t="inlineStr">
        <is>
          <t>Monthly - Tuesday</t>
        </is>
      </c>
      <c r="J2229" t="inlineStr">
        <is>
          <t>Month+34 Expiry</t>
        </is>
      </c>
      <c r="K2229" s="25" t="n">
        <v>1</v>
      </c>
      <c r="L2229" s="26" t="n">
        <v>0.0018</v>
      </c>
      <c r="M2229" s="26" t="n">
        <v>0.0001</v>
      </c>
    </row>
    <row r="2230" ht="16" customHeight="1">
      <c r="A2230" t="inlineStr">
        <is>
          <t>26-Feb-2026</t>
        </is>
      </c>
      <c r="B2230" t="inlineStr">
        <is>
          <t>Thursday</t>
        </is>
      </c>
      <c r="C2230" t="inlineStr">
        <is>
          <t>Week4-Feb-2026</t>
        </is>
      </c>
      <c r="D2230" s="78" t="n">
        <v>46054</v>
      </c>
      <c r="E2230" t="inlineStr">
        <is>
          <t>Q4FY26</t>
        </is>
      </c>
      <c r="F2230" t="inlineStr">
        <is>
          <t>26-Jun-2029</t>
        </is>
      </c>
      <c r="G2230" t="inlineStr">
        <is>
          <t>Tuesday</t>
        </is>
      </c>
      <c r="H2230" t="inlineStr">
        <is>
          <t>Monthly - Tuesday</t>
        </is>
      </c>
      <c r="I2230" t="inlineStr">
        <is>
          <t>Monthly - Tuesday</t>
        </is>
      </c>
      <c r="J2230" t="inlineStr">
        <is>
          <t>Month+40 Expiry</t>
        </is>
      </c>
      <c r="K2230" s="25" t="n">
        <v>0</v>
      </c>
      <c r="L2230" s="26" t="n">
        <v>0</v>
      </c>
      <c r="M2230" s="26" t="n">
        <v>0</v>
      </c>
    </row>
    <row r="2231" ht="16" customHeight="1">
      <c r="A2231" t="inlineStr">
        <is>
          <t>26-Feb-2026</t>
        </is>
      </c>
      <c r="B2231" t="inlineStr">
        <is>
          <t>Thursday</t>
        </is>
      </c>
      <c r="C2231" t="inlineStr">
        <is>
          <t>Week4-Feb-2026</t>
        </is>
      </c>
      <c r="D2231" s="78" t="n">
        <v>46054</v>
      </c>
      <c r="E2231" t="inlineStr">
        <is>
          <t>Q4FY26</t>
        </is>
      </c>
      <c r="F2231" t="inlineStr">
        <is>
          <t>24-Dec-2029</t>
        </is>
      </c>
      <c r="G2231" t="inlineStr">
        <is>
          <t>Monday</t>
        </is>
      </c>
      <c r="H2231" t="inlineStr">
        <is>
          <t>Weekly - Monday</t>
        </is>
      </c>
      <c r="I2231" t="inlineStr">
        <is>
          <t>Weekly - Monday</t>
        </is>
      </c>
      <c r="J2231" t="inlineStr">
        <is>
          <t>Month+46 Expiry</t>
        </is>
      </c>
      <c r="K2231" s="25" t="n">
        <v>0</v>
      </c>
      <c r="L2231" s="26" t="n">
        <v>0</v>
      </c>
      <c r="M2231" s="26" t="n">
        <v>0</v>
      </c>
    </row>
    <row r="2232" ht="16" customHeight="1">
      <c r="A2232" t="inlineStr">
        <is>
          <t>26-Feb-2026</t>
        </is>
      </c>
      <c r="B2232" t="inlineStr">
        <is>
          <t>Thursday</t>
        </is>
      </c>
      <c r="C2232" t="inlineStr">
        <is>
          <t>Week4-Feb-2026</t>
        </is>
      </c>
      <c r="D2232" s="78" t="n">
        <v>46054</v>
      </c>
      <c r="E2232" t="inlineStr">
        <is>
          <t>Q4FY26</t>
        </is>
      </c>
      <c r="F2232" t="inlineStr">
        <is>
          <t>25-Jun-2030</t>
        </is>
      </c>
      <c r="G2232" t="inlineStr">
        <is>
          <t>Tuesday</t>
        </is>
      </c>
      <c r="H2232" t="inlineStr">
        <is>
          <t>Monthly - Tuesday</t>
        </is>
      </c>
      <c r="I2232" t="inlineStr">
        <is>
          <t>Monthly - Tuesday</t>
        </is>
      </c>
      <c r="J2232" t="inlineStr">
        <is>
          <t>Month+52 Expiry</t>
        </is>
      </c>
      <c r="K2232" s="25" t="n">
        <v>0</v>
      </c>
      <c r="L2232" s="26" t="n">
        <v>0</v>
      </c>
      <c r="M2232" s="26" t="n">
        <v>0</v>
      </c>
    </row>
    <row r="2233" ht="16" customHeight="1">
      <c r="A2233" t="inlineStr">
        <is>
          <t>26-Feb-2026</t>
        </is>
      </c>
      <c r="B2233" t="inlineStr">
        <is>
          <t>Thursday</t>
        </is>
      </c>
      <c r="C2233" t="inlineStr">
        <is>
          <t>Week4-Feb-2026</t>
        </is>
      </c>
      <c r="D2233" s="78" t="n">
        <v>46054</v>
      </c>
      <c r="E2233" t="inlineStr">
        <is>
          <t>Q4FY26</t>
        </is>
      </c>
      <c r="F2233" t="inlineStr">
        <is>
          <t>31-Dec-2030</t>
        </is>
      </c>
      <c r="G2233" t="inlineStr">
        <is>
          <t>Tuesday</t>
        </is>
      </c>
      <c r="H2233" t="inlineStr">
        <is>
          <t>Monthly - Tuesday</t>
        </is>
      </c>
      <c r="I2233" t="inlineStr">
        <is>
          <t>Monthly - Tuesday</t>
        </is>
      </c>
      <c r="J2233" t="inlineStr">
        <is>
          <t>Month+58 Expiry</t>
        </is>
      </c>
      <c r="K2233" s="25" t="n">
        <v>0</v>
      </c>
      <c r="L2233" s="26" t="n">
        <v>0</v>
      </c>
      <c r="M2233" s="26" t="n">
        <v>0</v>
      </c>
    </row>
    <row r="2234" ht="16" customHeight="1">
      <c r="A2234" t="inlineStr">
        <is>
          <t>27-Feb-2026</t>
        </is>
      </c>
      <c r="B2234" t="inlineStr">
        <is>
          <t>Friday</t>
        </is>
      </c>
      <c r="C2234" t="inlineStr">
        <is>
          <t>Week4-Feb-2026</t>
        </is>
      </c>
      <c r="D2234" s="78" t="n">
        <v>46054</v>
      </c>
      <c r="E2234" t="inlineStr">
        <is>
          <t>Q4FY26</t>
        </is>
      </c>
      <c r="F2234" t="inlineStr">
        <is>
          <t>02-Mar-2026</t>
        </is>
      </c>
      <c r="G2234" t="inlineStr">
        <is>
          <t>Monday</t>
        </is>
      </c>
      <c r="H2234" t="inlineStr">
        <is>
          <t>Weekly - Monday</t>
        </is>
      </c>
      <c r="I2234" t="inlineStr">
        <is>
          <t>Weekly - Monday</t>
        </is>
      </c>
      <c r="J2234" t="inlineStr">
        <is>
          <t>Month+1 Expiry</t>
        </is>
      </c>
      <c r="K2234" s="25" t="n">
        <v>130736288</v>
      </c>
      <c r="L2234" s="26" t="n">
        <v>216122.415</v>
      </c>
      <c r="M2234" s="26" t="n">
        <v>570.5076</v>
      </c>
    </row>
    <row r="2235" ht="16" customHeight="1">
      <c r="A2235" t="inlineStr">
        <is>
          <t>27-Feb-2026</t>
        </is>
      </c>
      <c r="B2235" t="inlineStr">
        <is>
          <t>Friday</t>
        </is>
      </c>
      <c r="C2235" t="inlineStr">
        <is>
          <t>Week4-Feb-2026</t>
        </is>
      </c>
      <c r="D2235" s="78" t="n">
        <v>46054</v>
      </c>
      <c r="E2235" t="inlineStr">
        <is>
          <t>Q4FY26</t>
        </is>
      </c>
      <c r="F2235" t="inlineStr">
        <is>
          <t>10-Mar-2026</t>
        </is>
      </c>
      <c r="G2235" t="inlineStr">
        <is>
          <t>Tuesday</t>
        </is>
      </c>
      <c r="H2235" t="inlineStr">
        <is>
          <t>Weekly - Tuesday</t>
        </is>
      </c>
      <c r="I2235" t="inlineStr">
        <is>
          <t>Weekly - Tuesday</t>
        </is>
      </c>
      <c r="J2235" t="inlineStr">
        <is>
          <t>Month+1 Expiry</t>
        </is>
      </c>
      <c r="K2235" s="25" t="n">
        <v>3838738</v>
      </c>
      <c r="L2235" s="26" t="n">
        <v>6399.7661</v>
      </c>
      <c r="M2235" s="26" t="n">
        <v>26.96</v>
      </c>
    </row>
    <row r="2236" ht="16" customHeight="1">
      <c r="A2236" t="inlineStr">
        <is>
          <t>27-Feb-2026</t>
        </is>
      </c>
      <c r="B2236" t="inlineStr">
        <is>
          <t>Friday</t>
        </is>
      </c>
      <c r="C2236" t="inlineStr">
        <is>
          <t>Week4-Feb-2026</t>
        </is>
      </c>
      <c r="D2236" s="78" t="n">
        <v>46054</v>
      </c>
      <c r="E2236" t="inlineStr">
        <is>
          <t>Q4FY26</t>
        </is>
      </c>
      <c r="F2236" t="inlineStr">
        <is>
          <t>17-Mar-2026</t>
        </is>
      </c>
      <c r="G2236" t="inlineStr">
        <is>
          <t>Tuesday</t>
        </is>
      </c>
      <c r="H2236" t="inlineStr">
        <is>
          <t>Weekly - Tuesday</t>
        </is>
      </c>
      <c r="I2236" t="inlineStr">
        <is>
          <t>Weekly - Tuesday</t>
        </is>
      </c>
      <c r="J2236" t="inlineStr">
        <is>
          <t>Month+1 Expiry</t>
        </is>
      </c>
      <c r="K2236" s="25" t="n">
        <v>236296</v>
      </c>
      <c r="L2236" s="26" t="n">
        <v>393.6976</v>
      </c>
      <c r="M2236" s="26" t="n">
        <v>2.5189</v>
      </c>
    </row>
    <row r="2237" ht="16" customHeight="1">
      <c r="A2237" t="inlineStr">
        <is>
          <t>27-Feb-2026</t>
        </is>
      </c>
      <c r="B2237" t="inlineStr">
        <is>
          <t>Friday</t>
        </is>
      </c>
      <c r="C2237" t="inlineStr">
        <is>
          <t>Week4-Feb-2026</t>
        </is>
      </c>
      <c r="D2237" s="78" t="n">
        <v>46054</v>
      </c>
      <c r="E2237" t="inlineStr">
        <is>
          <t>Q4FY26</t>
        </is>
      </c>
      <c r="F2237" t="inlineStr">
        <is>
          <t>24-Mar-2026</t>
        </is>
      </c>
      <c r="G2237" t="inlineStr">
        <is>
          <t>Tuesday</t>
        </is>
      </c>
      <c r="H2237" t="inlineStr">
        <is>
          <t>Weekly - Tuesday</t>
        </is>
      </c>
      <c r="I2237" t="inlineStr">
        <is>
          <t>Weekly - Tuesday</t>
        </is>
      </c>
      <c r="J2237" t="inlineStr">
        <is>
          <t>Month+1 Expiry</t>
        </is>
      </c>
      <c r="K2237" s="25" t="n">
        <v>57012</v>
      </c>
      <c r="L2237" s="26" t="n">
        <v>95.16800000000001</v>
      </c>
      <c r="M2237" s="26" t="n">
        <v>0.7811</v>
      </c>
    </row>
    <row r="2238" ht="16" customHeight="1">
      <c r="A2238" t="inlineStr">
        <is>
          <t>27-Feb-2026</t>
        </is>
      </c>
      <c r="B2238" t="inlineStr">
        <is>
          <t>Friday</t>
        </is>
      </c>
      <c r="C2238" t="inlineStr">
        <is>
          <t>Week4-Feb-2026</t>
        </is>
      </c>
      <c r="D2238" s="78" t="n">
        <v>46054</v>
      </c>
      <c r="E2238" t="inlineStr">
        <is>
          <t>Q4FY26</t>
        </is>
      </c>
      <c r="F2238" t="inlineStr">
        <is>
          <t>30-Mar-2026</t>
        </is>
      </c>
      <c r="G2238" t="inlineStr">
        <is>
          <t>Monday</t>
        </is>
      </c>
      <c r="H2238" t="inlineStr">
        <is>
          <t>Monthly - Monday</t>
        </is>
      </c>
      <c r="I2238" t="inlineStr">
        <is>
          <t>Monthly - Monday</t>
        </is>
      </c>
      <c r="J2238" t="inlineStr">
        <is>
          <t>Month+1 Expiry</t>
        </is>
      </c>
      <c r="K2238" s="25" t="n">
        <v>1523031</v>
      </c>
      <c r="L2238" s="26" t="n">
        <v>2542.4331</v>
      </c>
      <c r="M2238" s="26" t="n">
        <v>21.7993</v>
      </c>
    </row>
    <row r="2239" ht="16" customHeight="1">
      <c r="A2239" t="inlineStr">
        <is>
          <t>27-Feb-2026</t>
        </is>
      </c>
      <c r="B2239" t="inlineStr">
        <is>
          <t>Friday</t>
        </is>
      </c>
      <c r="C2239" t="inlineStr">
        <is>
          <t>Week4-Feb-2026</t>
        </is>
      </c>
      <c r="D2239" s="78" t="n">
        <v>46054</v>
      </c>
      <c r="E2239" t="inlineStr">
        <is>
          <t>Q4FY26</t>
        </is>
      </c>
      <c r="F2239" t="inlineStr">
        <is>
          <t>28-Apr-2026</t>
        </is>
      </c>
      <c r="G2239" t="inlineStr">
        <is>
          <t>Tuesday</t>
        </is>
      </c>
      <c r="H2239" t="inlineStr">
        <is>
          <t>Monthly - Tuesday</t>
        </is>
      </c>
      <c r="I2239" t="inlineStr">
        <is>
          <t>Monthly - Tuesday</t>
        </is>
      </c>
      <c r="J2239" t="inlineStr">
        <is>
          <t>Month+2 Expiry</t>
        </is>
      </c>
      <c r="K2239" s="25" t="n">
        <v>174252</v>
      </c>
      <c r="L2239" s="26" t="n">
        <v>292.9682</v>
      </c>
      <c r="M2239" s="26" t="n">
        <v>3.0482</v>
      </c>
    </row>
    <row r="2240" ht="16" customHeight="1">
      <c r="A2240" t="inlineStr">
        <is>
          <t>27-Feb-2026</t>
        </is>
      </c>
      <c r="B2240" t="inlineStr">
        <is>
          <t>Friday</t>
        </is>
      </c>
      <c r="C2240" t="inlineStr">
        <is>
          <t>Week4-Feb-2026</t>
        </is>
      </c>
      <c r="D2240" s="78" t="n">
        <v>46054</v>
      </c>
      <c r="E2240" t="inlineStr">
        <is>
          <t>Q4FY26</t>
        </is>
      </c>
      <c r="F2240" t="inlineStr">
        <is>
          <t>26-May-2026</t>
        </is>
      </c>
      <c r="G2240" t="inlineStr">
        <is>
          <t>Tuesday</t>
        </is>
      </c>
      <c r="H2240" t="inlineStr">
        <is>
          <t>Monthly - Tuesday</t>
        </is>
      </c>
      <c r="I2240" t="inlineStr">
        <is>
          <t>Monthly - Tuesday</t>
        </is>
      </c>
      <c r="J2240" t="inlineStr">
        <is>
          <t>Month+3 Expiry</t>
        </is>
      </c>
      <c r="K2240" s="25" t="n">
        <v>17475</v>
      </c>
      <c r="L2240" s="26" t="n">
        <v>29.263</v>
      </c>
      <c r="M2240" s="26" t="n">
        <v>0.4075</v>
      </c>
    </row>
    <row r="2241" ht="16" customHeight="1">
      <c r="A2241" t="inlineStr">
        <is>
          <t>27-Feb-2026</t>
        </is>
      </c>
      <c r="B2241" t="inlineStr">
        <is>
          <t>Friday</t>
        </is>
      </c>
      <c r="C2241" t="inlineStr">
        <is>
          <t>Week4-Feb-2026</t>
        </is>
      </c>
      <c r="D2241" s="78" t="n">
        <v>46054</v>
      </c>
      <c r="E2241" t="inlineStr">
        <is>
          <t>Q4FY26</t>
        </is>
      </c>
      <c r="F2241" t="inlineStr">
        <is>
          <t>30-Jun-2026</t>
        </is>
      </c>
      <c r="G2241" t="inlineStr">
        <is>
          <t>Tuesday</t>
        </is>
      </c>
      <c r="H2241" t="inlineStr">
        <is>
          <t>Monthly - Tuesday</t>
        </is>
      </c>
      <c r="I2241" t="inlineStr">
        <is>
          <t>Monthly - Tuesday</t>
        </is>
      </c>
      <c r="J2241" t="inlineStr">
        <is>
          <t>Month+4 Expiry</t>
        </is>
      </c>
      <c r="K2241" s="25" t="n">
        <v>60808</v>
      </c>
      <c r="L2241" s="26" t="n">
        <v>101.363</v>
      </c>
      <c r="M2241" s="26" t="n">
        <v>1.5324</v>
      </c>
    </row>
    <row r="2242" ht="16" customHeight="1">
      <c r="A2242" t="inlineStr">
        <is>
          <t>27-Feb-2026</t>
        </is>
      </c>
      <c r="B2242" t="inlineStr">
        <is>
          <t>Friday</t>
        </is>
      </c>
      <c r="C2242" t="inlineStr">
        <is>
          <t>Week4-Feb-2026</t>
        </is>
      </c>
      <c r="D2242" s="78" t="n">
        <v>46054</v>
      </c>
      <c r="E2242" t="inlineStr">
        <is>
          <t>Q4FY26</t>
        </is>
      </c>
      <c r="F2242" t="inlineStr">
        <is>
          <t>29-Sep-2026</t>
        </is>
      </c>
      <c r="G2242" t="inlineStr">
        <is>
          <t>Tuesday</t>
        </is>
      </c>
      <c r="H2242" t="inlineStr">
        <is>
          <t>Monthly - Tuesday</t>
        </is>
      </c>
      <c r="I2242" t="inlineStr">
        <is>
          <t>Monthly - Tuesday</t>
        </is>
      </c>
      <c r="J2242" t="inlineStr">
        <is>
          <t>Month+7 Expiry</t>
        </is>
      </c>
      <c r="K2242" s="25" t="n">
        <v>9654</v>
      </c>
      <c r="L2242" s="26" t="n">
        <v>16.2217</v>
      </c>
      <c r="M2242" s="26" t="n">
        <v>0.3353</v>
      </c>
    </row>
    <row r="2243" ht="16" customHeight="1">
      <c r="A2243" t="inlineStr">
        <is>
          <t>27-Feb-2026</t>
        </is>
      </c>
      <c r="B2243" t="inlineStr">
        <is>
          <t>Friday</t>
        </is>
      </c>
      <c r="C2243" t="inlineStr">
        <is>
          <t>Week4-Feb-2026</t>
        </is>
      </c>
      <c r="D2243" s="78" t="n">
        <v>46054</v>
      </c>
      <c r="E2243" t="inlineStr">
        <is>
          <t>Q4FY26</t>
        </is>
      </c>
      <c r="F2243" t="inlineStr">
        <is>
          <t>29-Dec-2026</t>
        </is>
      </c>
      <c r="G2243" t="inlineStr">
        <is>
          <t>Tuesday</t>
        </is>
      </c>
      <c r="H2243" t="inlineStr">
        <is>
          <t>Monthly - Tuesday</t>
        </is>
      </c>
      <c r="I2243" t="inlineStr">
        <is>
          <t>Monthly - Tuesday</t>
        </is>
      </c>
      <c r="J2243" t="inlineStr">
        <is>
          <t>Month+10 Expiry</t>
        </is>
      </c>
      <c r="K2243" s="25" t="n">
        <v>23522</v>
      </c>
      <c r="L2243" s="26" t="n">
        <v>40.1202</v>
      </c>
      <c r="M2243" s="26" t="n">
        <v>0.9241</v>
      </c>
    </row>
    <row r="2244" ht="16" customHeight="1">
      <c r="A2244" t="inlineStr">
        <is>
          <t>27-Feb-2026</t>
        </is>
      </c>
      <c r="B2244" t="inlineStr">
        <is>
          <t>Friday</t>
        </is>
      </c>
      <c r="C2244" t="inlineStr">
        <is>
          <t>Week4-Feb-2026</t>
        </is>
      </c>
      <c r="D2244" s="78" t="n">
        <v>46054</v>
      </c>
      <c r="E2244" t="inlineStr">
        <is>
          <t>Q4FY26</t>
        </is>
      </c>
      <c r="F2244" t="inlineStr">
        <is>
          <t>29-Jun-2027</t>
        </is>
      </c>
      <c r="G2244" t="inlineStr">
        <is>
          <t>Tuesday</t>
        </is>
      </c>
      <c r="H2244" t="inlineStr">
        <is>
          <t>Monthly - Tuesday</t>
        </is>
      </c>
      <c r="I2244" t="inlineStr">
        <is>
          <t>Monthly - Tuesday</t>
        </is>
      </c>
      <c r="J2244" t="inlineStr">
        <is>
          <t>Month+16 Expiry</t>
        </is>
      </c>
      <c r="K2244" s="25" t="n">
        <v>0</v>
      </c>
      <c r="L2244" s="26" t="n">
        <v>0</v>
      </c>
      <c r="M2244" s="26" t="n">
        <v>0</v>
      </c>
    </row>
    <row r="2245" ht="16" customHeight="1">
      <c r="A2245" t="inlineStr">
        <is>
          <t>27-Feb-2026</t>
        </is>
      </c>
      <c r="B2245" t="inlineStr">
        <is>
          <t>Friday</t>
        </is>
      </c>
      <c r="C2245" t="inlineStr">
        <is>
          <t>Week4-Feb-2026</t>
        </is>
      </c>
      <c r="D2245" s="78" t="n">
        <v>46054</v>
      </c>
      <c r="E2245" t="inlineStr">
        <is>
          <t>Q4FY26</t>
        </is>
      </c>
      <c r="F2245" t="inlineStr">
        <is>
          <t>28-Dec-2027</t>
        </is>
      </c>
      <c r="G2245" t="inlineStr">
        <is>
          <t>Tuesday</t>
        </is>
      </c>
      <c r="H2245" t="inlineStr">
        <is>
          <t>Monthly - Tuesday</t>
        </is>
      </c>
      <c r="I2245" t="inlineStr">
        <is>
          <t>Monthly - Tuesday</t>
        </is>
      </c>
      <c r="J2245" t="inlineStr">
        <is>
          <t>Month+22 Expiry</t>
        </is>
      </c>
      <c r="K2245" s="25" t="n">
        <v>86</v>
      </c>
      <c r="L2245" s="26" t="n">
        <v>0.156</v>
      </c>
      <c r="M2245" s="26" t="n">
        <v>0.0076</v>
      </c>
    </row>
    <row r="2246" ht="16" customHeight="1">
      <c r="A2246" t="inlineStr">
        <is>
          <t>27-Feb-2026</t>
        </is>
      </c>
      <c r="B2246" t="inlineStr">
        <is>
          <t>Friday</t>
        </is>
      </c>
      <c r="C2246" t="inlineStr">
        <is>
          <t>Week4-Feb-2026</t>
        </is>
      </c>
      <c r="D2246" s="78" t="n">
        <v>46054</v>
      </c>
      <c r="E2246" t="inlineStr">
        <is>
          <t>Q4FY26</t>
        </is>
      </c>
      <c r="F2246" t="inlineStr">
        <is>
          <t>27-Jun-2028</t>
        </is>
      </c>
      <c r="G2246" t="inlineStr">
        <is>
          <t>Tuesday</t>
        </is>
      </c>
      <c r="H2246" t="inlineStr">
        <is>
          <t>Monthly - Tuesday</t>
        </is>
      </c>
      <c r="I2246" t="inlineStr">
        <is>
          <t>Monthly - Tuesday</t>
        </is>
      </c>
      <c r="J2246" t="inlineStr">
        <is>
          <t>Month+28 Expiry</t>
        </is>
      </c>
      <c r="K2246" s="25" t="n">
        <v>0</v>
      </c>
      <c r="L2246" s="26" t="n">
        <v>0</v>
      </c>
      <c r="M2246" s="26" t="n">
        <v>0</v>
      </c>
    </row>
    <row r="2247" ht="16" customHeight="1">
      <c r="A2247" t="inlineStr">
        <is>
          <t>27-Feb-2026</t>
        </is>
      </c>
      <c r="B2247" t="inlineStr">
        <is>
          <t>Friday</t>
        </is>
      </c>
      <c r="C2247" t="inlineStr">
        <is>
          <t>Week4-Feb-2026</t>
        </is>
      </c>
      <c r="D2247" s="78" t="n">
        <v>46054</v>
      </c>
      <c r="E2247" t="inlineStr">
        <is>
          <t>Q4FY26</t>
        </is>
      </c>
      <c r="F2247" t="inlineStr">
        <is>
          <t>26-Dec-2028</t>
        </is>
      </c>
      <c r="G2247" t="inlineStr">
        <is>
          <t>Tuesday</t>
        </is>
      </c>
      <c r="H2247" t="inlineStr">
        <is>
          <t>Monthly - Tuesday</t>
        </is>
      </c>
      <c r="I2247" t="inlineStr">
        <is>
          <t>Monthly - Tuesday</t>
        </is>
      </c>
      <c r="J2247" t="inlineStr">
        <is>
          <t>Month+34 Expiry</t>
        </is>
      </c>
      <c r="K2247" s="25" t="n">
        <v>1</v>
      </c>
      <c r="L2247" s="26" t="n">
        <v>0.0018</v>
      </c>
      <c r="M2247" s="26" t="n">
        <v>0.0001</v>
      </c>
    </row>
    <row r="2248" ht="16" customHeight="1">
      <c r="A2248" t="inlineStr">
        <is>
          <t>27-Feb-2026</t>
        </is>
      </c>
      <c r="B2248" t="inlineStr">
        <is>
          <t>Friday</t>
        </is>
      </c>
      <c r="C2248" t="inlineStr">
        <is>
          <t>Week4-Feb-2026</t>
        </is>
      </c>
      <c r="D2248" s="78" t="n">
        <v>46054</v>
      </c>
      <c r="E2248" t="inlineStr">
        <is>
          <t>Q4FY26</t>
        </is>
      </c>
      <c r="F2248" t="inlineStr">
        <is>
          <t>26-Jun-2029</t>
        </is>
      </c>
      <c r="G2248" t="inlineStr">
        <is>
          <t>Tuesday</t>
        </is>
      </c>
      <c r="H2248" t="inlineStr">
        <is>
          <t>Monthly - Tuesday</t>
        </is>
      </c>
      <c r="I2248" t="inlineStr">
        <is>
          <t>Monthly - Tuesday</t>
        </is>
      </c>
      <c r="J2248" t="inlineStr">
        <is>
          <t>Month+40 Expiry</t>
        </is>
      </c>
      <c r="K2248" s="25" t="n">
        <v>0</v>
      </c>
      <c r="L2248" s="26" t="n">
        <v>0</v>
      </c>
      <c r="M2248" s="26" t="n">
        <v>0</v>
      </c>
    </row>
    <row r="2249" ht="16" customHeight="1">
      <c r="A2249" t="inlineStr">
        <is>
          <t>27-Feb-2026</t>
        </is>
      </c>
      <c r="B2249" t="inlineStr">
        <is>
          <t>Friday</t>
        </is>
      </c>
      <c r="C2249" t="inlineStr">
        <is>
          <t>Week4-Feb-2026</t>
        </is>
      </c>
      <c r="D2249" s="78" t="n">
        <v>46054</v>
      </c>
      <c r="E2249" t="inlineStr">
        <is>
          <t>Q4FY26</t>
        </is>
      </c>
      <c r="F2249" t="inlineStr">
        <is>
          <t>24-Dec-2029</t>
        </is>
      </c>
      <c r="G2249" t="inlineStr">
        <is>
          <t>Monday</t>
        </is>
      </c>
      <c r="H2249" t="inlineStr">
        <is>
          <t>Weekly - Monday</t>
        </is>
      </c>
      <c r="I2249" t="inlineStr">
        <is>
          <t>Weekly - Monday</t>
        </is>
      </c>
      <c r="J2249" t="inlineStr">
        <is>
          <t>Month+46 Expiry</t>
        </is>
      </c>
      <c r="K2249" s="25" t="n">
        <v>0</v>
      </c>
      <c r="L2249" s="26" t="n">
        <v>0</v>
      </c>
      <c r="M2249" s="26" t="n">
        <v>0</v>
      </c>
    </row>
    <row r="2250" ht="16" customHeight="1">
      <c r="A2250" t="inlineStr">
        <is>
          <t>27-Feb-2026</t>
        </is>
      </c>
      <c r="B2250" t="inlineStr">
        <is>
          <t>Friday</t>
        </is>
      </c>
      <c r="C2250" t="inlineStr">
        <is>
          <t>Week4-Feb-2026</t>
        </is>
      </c>
      <c r="D2250" s="78" t="n">
        <v>46054</v>
      </c>
      <c r="E2250" t="inlineStr">
        <is>
          <t>Q4FY26</t>
        </is>
      </c>
      <c r="F2250" t="inlineStr">
        <is>
          <t>25-Jun-2030</t>
        </is>
      </c>
      <c r="G2250" t="inlineStr">
        <is>
          <t>Tuesday</t>
        </is>
      </c>
      <c r="H2250" t="inlineStr">
        <is>
          <t>Monthly - Tuesday</t>
        </is>
      </c>
      <c r="I2250" t="inlineStr">
        <is>
          <t>Monthly - Tuesday</t>
        </is>
      </c>
      <c r="J2250" t="inlineStr">
        <is>
          <t>Month+52 Expiry</t>
        </is>
      </c>
      <c r="K2250" s="25" t="n">
        <v>0</v>
      </c>
      <c r="L2250" s="26" t="n">
        <v>0</v>
      </c>
      <c r="M2250" s="26" t="n">
        <v>0</v>
      </c>
    </row>
    <row r="2251" ht="16" customHeight="1">
      <c r="A2251" t="inlineStr">
        <is>
          <t>27-Feb-2026</t>
        </is>
      </c>
      <c r="B2251" t="inlineStr">
        <is>
          <t>Friday</t>
        </is>
      </c>
      <c r="C2251" t="inlineStr">
        <is>
          <t>Week4-Feb-2026</t>
        </is>
      </c>
      <c r="D2251" s="78" t="n">
        <v>46054</v>
      </c>
      <c r="E2251" t="inlineStr">
        <is>
          <t>Q4FY26</t>
        </is>
      </c>
      <c r="F2251" t="inlineStr">
        <is>
          <t>31-Dec-2030</t>
        </is>
      </c>
      <c r="G2251" t="inlineStr">
        <is>
          <t>Tuesday</t>
        </is>
      </c>
      <c r="H2251" t="inlineStr">
        <is>
          <t>Monthly - Tuesday</t>
        </is>
      </c>
      <c r="I2251" t="inlineStr">
        <is>
          <t>Monthly - Tuesday</t>
        </is>
      </c>
      <c r="J2251" t="inlineStr">
        <is>
          <t>Month+58 Expiry</t>
        </is>
      </c>
      <c r="K2251" s="25" t="n">
        <v>0</v>
      </c>
      <c r="L2251" s="26" t="n">
        <v>0</v>
      </c>
      <c r="M2251" s="26" t="n">
        <v>0</v>
      </c>
    </row>
    <row r="2252" ht="16" customHeight="1">
      <c r="A2252" t="inlineStr">
        <is>
          <t>02-Mar-2026</t>
        </is>
      </c>
      <c r="B2252" t="inlineStr">
        <is>
          <t>Monday</t>
        </is>
      </c>
      <c r="C2252" t="inlineStr">
        <is>
          <t>Week1-Mar-2026</t>
        </is>
      </c>
      <c r="D2252" s="78" t="n">
        <v>46082</v>
      </c>
      <c r="E2252" t="inlineStr">
        <is>
          <t>Q4FY26</t>
        </is>
      </c>
      <c r="F2252" t="inlineStr">
        <is>
          <t>02-Mar-2026</t>
        </is>
      </c>
      <c r="G2252" t="inlineStr">
        <is>
          <t>Monday</t>
        </is>
      </c>
      <c r="H2252" t="inlineStr">
        <is>
          <t>Weekly - Monday</t>
        </is>
      </c>
      <c r="I2252" t="inlineStr">
        <is>
          <t>Weekly - Monday</t>
        </is>
      </c>
      <c r="J2252" t="inlineStr">
        <is>
          <t>Same Month Expiry</t>
        </is>
      </c>
      <c r="K2252" s="25" t="n">
        <v>452059382</v>
      </c>
      <c r="L2252" s="26" t="n">
        <v>730015.0544</v>
      </c>
      <c r="M2252" s="26" t="n">
        <v>912.9666</v>
      </c>
    </row>
    <row r="2253" ht="16" customHeight="1">
      <c r="A2253" t="inlineStr">
        <is>
          <t>02-Mar-2026</t>
        </is>
      </c>
      <c r="B2253" t="inlineStr">
        <is>
          <t>Monday</t>
        </is>
      </c>
      <c r="C2253" t="inlineStr">
        <is>
          <t>Week1-Mar-2026</t>
        </is>
      </c>
      <c r="D2253" s="78" t="n">
        <v>46082</v>
      </c>
      <c r="E2253" t="inlineStr">
        <is>
          <t>Q4FY26</t>
        </is>
      </c>
      <c r="F2253" t="inlineStr">
        <is>
          <t>10-Mar-2026</t>
        </is>
      </c>
      <c r="G2253" t="inlineStr">
        <is>
          <t>Tuesday</t>
        </is>
      </c>
      <c r="H2253" t="inlineStr">
        <is>
          <t>Weekly - Tuesday</t>
        </is>
      </c>
      <c r="I2253" t="inlineStr">
        <is>
          <t>Weekly - Tuesday</t>
        </is>
      </c>
      <c r="J2253" t="inlineStr">
        <is>
          <t>Same Month Expiry</t>
        </is>
      </c>
      <c r="K2253" s="25" t="n">
        <v>13362896</v>
      </c>
      <c r="L2253" s="26" t="n">
        <v>21910.6582</v>
      </c>
      <c r="M2253" s="26" t="n">
        <v>119.2516</v>
      </c>
    </row>
    <row r="2254" ht="16" customHeight="1">
      <c r="A2254" t="inlineStr">
        <is>
          <t>02-Mar-2026</t>
        </is>
      </c>
      <c r="B2254" t="inlineStr">
        <is>
          <t>Monday</t>
        </is>
      </c>
      <c r="C2254" t="inlineStr">
        <is>
          <t>Week1-Mar-2026</t>
        </is>
      </c>
      <c r="D2254" s="78" t="n">
        <v>46082</v>
      </c>
      <c r="E2254" t="inlineStr">
        <is>
          <t>Q4FY26</t>
        </is>
      </c>
      <c r="F2254" t="inlineStr">
        <is>
          <t>17-Mar-2026</t>
        </is>
      </c>
      <c r="G2254" t="inlineStr">
        <is>
          <t>Tuesday</t>
        </is>
      </c>
      <c r="H2254" t="inlineStr">
        <is>
          <t>Weekly - Tuesday</t>
        </is>
      </c>
      <c r="I2254" t="inlineStr">
        <is>
          <t>Weekly - Tuesday</t>
        </is>
      </c>
      <c r="J2254" t="inlineStr">
        <is>
          <t>Same Month Expiry</t>
        </is>
      </c>
      <c r="K2254" s="25" t="n">
        <v>597272</v>
      </c>
      <c r="L2254" s="26" t="n">
        <v>980.3917</v>
      </c>
      <c r="M2254" s="26" t="n">
        <v>7.2515</v>
      </c>
    </row>
    <row r="2255" ht="16" customHeight="1">
      <c r="A2255" t="inlineStr">
        <is>
          <t>02-Mar-2026</t>
        </is>
      </c>
      <c r="B2255" t="inlineStr">
        <is>
          <t>Monday</t>
        </is>
      </c>
      <c r="C2255" t="inlineStr">
        <is>
          <t>Week1-Mar-2026</t>
        </is>
      </c>
      <c r="D2255" s="78" t="n">
        <v>46082</v>
      </c>
      <c r="E2255" t="inlineStr">
        <is>
          <t>Q4FY26</t>
        </is>
      </c>
      <c r="F2255" t="inlineStr">
        <is>
          <t>24-Mar-2026</t>
        </is>
      </c>
      <c r="G2255" t="inlineStr">
        <is>
          <t>Tuesday</t>
        </is>
      </c>
      <c r="H2255" t="inlineStr">
        <is>
          <t>Weekly - Tuesday</t>
        </is>
      </c>
      <c r="I2255" t="inlineStr">
        <is>
          <t>Weekly - Tuesday</t>
        </is>
      </c>
      <c r="J2255" t="inlineStr">
        <is>
          <t>Same Month Expiry</t>
        </is>
      </c>
      <c r="K2255" s="25" t="n">
        <v>130448</v>
      </c>
      <c r="L2255" s="26" t="n">
        <v>215.524</v>
      </c>
      <c r="M2255" s="26" t="n">
        <v>1.8817</v>
      </c>
    </row>
    <row r="2256" ht="16" customHeight="1">
      <c r="A2256" t="inlineStr">
        <is>
          <t>02-Mar-2026</t>
        </is>
      </c>
      <c r="B2256" t="inlineStr">
        <is>
          <t>Monday</t>
        </is>
      </c>
      <c r="C2256" t="inlineStr">
        <is>
          <t>Week1-Mar-2026</t>
        </is>
      </c>
      <c r="D2256" s="78" t="n">
        <v>46082</v>
      </c>
      <c r="E2256" t="inlineStr">
        <is>
          <t>Q4FY26</t>
        </is>
      </c>
      <c r="F2256" t="inlineStr">
        <is>
          <t>30-Mar-2026</t>
        </is>
      </c>
      <c r="G2256" t="inlineStr">
        <is>
          <t>Monday</t>
        </is>
      </c>
      <c r="H2256" t="inlineStr">
        <is>
          <t>Monthly - Monday</t>
        </is>
      </c>
      <c r="I2256" t="inlineStr">
        <is>
          <t>Monthly - Monday</t>
        </is>
      </c>
      <c r="J2256" t="inlineStr">
        <is>
          <t>Same Month Expiry</t>
        </is>
      </c>
      <c r="K2256" s="25" t="n">
        <v>3003231</v>
      </c>
      <c r="L2256" s="26" t="n">
        <v>4933.4928</v>
      </c>
      <c r="M2256" s="26" t="n">
        <v>49.637</v>
      </c>
    </row>
    <row r="2257" ht="16" customHeight="1">
      <c r="A2257" t="inlineStr">
        <is>
          <t>02-Mar-2026</t>
        </is>
      </c>
      <c r="B2257" t="inlineStr">
        <is>
          <t>Monday</t>
        </is>
      </c>
      <c r="C2257" t="inlineStr">
        <is>
          <t>Week1-Mar-2026</t>
        </is>
      </c>
      <c r="D2257" s="78" t="n">
        <v>46082</v>
      </c>
      <c r="E2257" t="inlineStr">
        <is>
          <t>Q4FY26</t>
        </is>
      </c>
      <c r="F2257" t="inlineStr">
        <is>
          <t>28-Apr-2026</t>
        </is>
      </c>
      <c r="G2257" t="inlineStr">
        <is>
          <t>Tuesday</t>
        </is>
      </c>
      <c r="H2257" t="inlineStr">
        <is>
          <t>Monthly - Tuesday</t>
        </is>
      </c>
      <c r="I2257" t="inlineStr">
        <is>
          <t>Monthly - Tuesday</t>
        </is>
      </c>
      <c r="J2257" t="inlineStr">
        <is>
          <t>Month+1 Expiry</t>
        </is>
      </c>
      <c r="K2257" s="25" t="n">
        <v>403798</v>
      </c>
      <c r="L2257" s="26" t="n">
        <v>671.7641</v>
      </c>
      <c r="M2257" s="26" t="n">
        <v>8.292400000000001</v>
      </c>
    </row>
    <row r="2258" ht="16" customHeight="1">
      <c r="A2258" t="inlineStr">
        <is>
          <t>02-Mar-2026</t>
        </is>
      </c>
      <c r="B2258" t="inlineStr">
        <is>
          <t>Monday</t>
        </is>
      </c>
      <c r="C2258" t="inlineStr">
        <is>
          <t>Week1-Mar-2026</t>
        </is>
      </c>
      <c r="D2258" s="78" t="n">
        <v>46082</v>
      </c>
      <c r="E2258" t="inlineStr">
        <is>
          <t>Q4FY26</t>
        </is>
      </c>
      <c r="F2258" t="inlineStr">
        <is>
          <t>26-May-2026</t>
        </is>
      </c>
      <c r="G2258" t="inlineStr">
        <is>
          <t>Tuesday</t>
        </is>
      </c>
      <c r="H2258" t="inlineStr">
        <is>
          <t>Monthly - Tuesday</t>
        </is>
      </c>
      <c r="I2258" t="inlineStr">
        <is>
          <t>Monthly - Tuesday</t>
        </is>
      </c>
      <c r="J2258" t="inlineStr">
        <is>
          <t>Month+2 Expiry</t>
        </is>
      </c>
      <c r="K2258" s="25" t="n">
        <v>60710</v>
      </c>
      <c r="L2258" s="26" t="n">
        <v>99.9636</v>
      </c>
      <c r="M2258" s="26" t="n">
        <v>1.5563</v>
      </c>
    </row>
    <row r="2259" ht="16" customHeight="1">
      <c r="A2259" t="inlineStr">
        <is>
          <t>02-Mar-2026</t>
        </is>
      </c>
      <c r="B2259" t="inlineStr">
        <is>
          <t>Monday</t>
        </is>
      </c>
      <c r="C2259" t="inlineStr">
        <is>
          <t>Week1-Mar-2026</t>
        </is>
      </c>
      <c r="D2259" s="78" t="n">
        <v>46082</v>
      </c>
      <c r="E2259" t="inlineStr">
        <is>
          <t>Q4FY26</t>
        </is>
      </c>
      <c r="F2259" t="inlineStr">
        <is>
          <t>30-Jun-2026</t>
        </is>
      </c>
      <c r="G2259" t="inlineStr">
        <is>
          <t>Tuesday</t>
        </is>
      </c>
      <c r="H2259" t="inlineStr">
        <is>
          <t>Monthly - Tuesday</t>
        </is>
      </c>
      <c r="I2259" t="inlineStr">
        <is>
          <t>Monthly - Tuesday</t>
        </is>
      </c>
      <c r="J2259" t="inlineStr">
        <is>
          <t>Month+3 Expiry</t>
        </is>
      </c>
      <c r="K2259" s="25" t="n">
        <v>161620</v>
      </c>
      <c r="L2259" s="26" t="n">
        <v>265.1969</v>
      </c>
      <c r="M2259" s="26" t="n">
        <v>4.1413</v>
      </c>
    </row>
    <row r="2260" ht="16" customHeight="1">
      <c r="A2260" t="inlineStr">
        <is>
          <t>02-Mar-2026</t>
        </is>
      </c>
      <c r="B2260" t="inlineStr">
        <is>
          <t>Monday</t>
        </is>
      </c>
      <c r="C2260" t="inlineStr">
        <is>
          <t>Week1-Mar-2026</t>
        </is>
      </c>
      <c r="D2260" s="78" t="n">
        <v>46082</v>
      </c>
      <c r="E2260" t="inlineStr">
        <is>
          <t>Q4FY26</t>
        </is>
      </c>
      <c r="F2260" t="inlineStr">
        <is>
          <t>29-Sep-2026</t>
        </is>
      </c>
      <c r="G2260" t="inlineStr">
        <is>
          <t>Tuesday</t>
        </is>
      </c>
      <c r="H2260" t="inlineStr">
        <is>
          <t>Monthly - Tuesday</t>
        </is>
      </c>
      <c r="I2260" t="inlineStr">
        <is>
          <t>Monthly - Tuesday</t>
        </is>
      </c>
      <c r="J2260" t="inlineStr">
        <is>
          <t>Month+6 Expiry</t>
        </is>
      </c>
      <c r="K2260" s="25" t="n">
        <v>26117</v>
      </c>
      <c r="L2260" s="26" t="n">
        <v>44.0172</v>
      </c>
      <c r="M2260" s="26" t="n">
        <v>0.9182</v>
      </c>
    </row>
    <row r="2261" ht="16" customHeight="1">
      <c r="A2261" t="inlineStr">
        <is>
          <t>02-Mar-2026</t>
        </is>
      </c>
      <c r="B2261" t="inlineStr">
        <is>
          <t>Monday</t>
        </is>
      </c>
      <c r="C2261" t="inlineStr">
        <is>
          <t>Week1-Mar-2026</t>
        </is>
      </c>
      <c r="D2261" s="78" t="n">
        <v>46082</v>
      </c>
      <c r="E2261" t="inlineStr">
        <is>
          <t>Q4FY26</t>
        </is>
      </c>
      <c r="F2261" t="inlineStr">
        <is>
          <t>29-Dec-2026</t>
        </is>
      </c>
      <c r="G2261" t="inlineStr">
        <is>
          <t>Tuesday</t>
        </is>
      </c>
      <c r="H2261" t="inlineStr">
        <is>
          <t>Monthly - Tuesday</t>
        </is>
      </c>
      <c r="I2261" t="inlineStr">
        <is>
          <t>Monthly - Tuesday</t>
        </is>
      </c>
      <c r="J2261" t="inlineStr">
        <is>
          <t>Month+9 Expiry</t>
        </is>
      </c>
      <c r="K2261" s="25" t="n">
        <v>54216</v>
      </c>
      <c r="L2261" s="26" t="n">
        <v>91.8835</v>
      </c>
      <c r="M2261" s="26" t="n">
        <v>2.6392</v>
      </c>
    </row>
    <row r="2262" ht="16" customHeight="1">
      <c r="A2262" t="inlineStr">
        <is>
          <t>02-Mar-2026</t>
        </is>
      </c>
      <c r="B2262" t="inlineStr">
        <is>
          <t>Monday</t>
        </is>
      </c>
      <c r="C2262" t="inlineStr">
        <is>
          <t>Week1-Mar-2026</t>
        </is>
      </c>
      <c r="D2262" s="78" t="n">
        <v>46082</v>
      </c>
      <c r="E2262" t="inlineStr">
        <is>
          <t>Q4FY26</t>
        </is>
      </c>
      <c r="F2262" t="inlineStr">
        <is>
          <t>29-Jun-2027</t>
        </is>
      </c>
      <c r="G2262" t="inlineStr">
        <is>
          <t>Tuesday</t>
        </is>
      </c>
      <c r="H2262" t="inlineStr">
        <is>
          <t>Monthly - Tuesday</t>
        </is>
      </c>
      <c r="I2262" t="inlineStr">
        <is>
          <t>Monthly - Tuesday</t>
        </is>
      </c>
      <c r="J2262" t="inlineStr">
        <is>
          <t>Month+15 Expiry</t>
        </is>
      </c>
      <c r="K2262" s="25" t="n">
        <v>0</v>
      </c>
      <c r="L2262" s="26" t="n">
        <v>0</v>
      </c>
      <c r="M2262" s="26" t="n">
        <v>0</v>
      </c>
    </row>
    <row r="2263" ht="16" customHeight="1">
      <c r="A2263" t="inlineStr">
        <is>
          <t>02-Mar-2026</t>
        </is>
      </c>
      <c r="B2263" t="inlineStr">
        <is>
          <t>Monday</t>
        </is>
      </c>
      <c r="C2263" t="inlineStr">
        <is>
          <t>Week1-Mar-2026</t>
        </is>
      </c>
      <c r="D2263" s="78" t="n">
        <v>46082</v>
      </c>
      <c r="E2263" t="inlineStr">
        <is>
          <t>Q4FY26</t>
        </is>
      </c>
      <c r="F2263" t="inlineStr">
        <is>
          <t>28-Dec-2027</t>
        </is>
      </c>
      <c r="G2263" t="inlineStr">
        <is>
          <t>Tuesday</t>
        </is>
      </c>
      <c r="H2263" t="inlineStr">
        <is>
          <t>Monthly - Tuesday</t>
        </is>
      </c>
      <c r="I2263" t="inlineStr">
        <is>
          <t>Monthly - Tuesday</t>
        </is>
      </c>
      <c r="J2263" t="inlineStr">
        <is>
          <t>Month+21 Expiry</t>
        </is>
      </c>
      <c r="K2263" s="25" t="n">
        <v>290</v>
      </c>
      <c r="L2263" s="26" t="n">
        <v>0.4993</v>
      </c>
      <c r="M2263" s="26" t="n">
        <v>0.027</v>
      </c>
    </row>
    <row r="2264" ht="16" customHeight="1">
      <c r="A2264" t="inlineStr">
        <is>
          <t>02-Mar-2026</t>
        </is>
      </c>
      <c r="B2264" t="inlineStr">
        <is>
          <t>Monday</t>
        </is>
      </c>
      <c r="C2264" t="inlineStr">
        <is>
          <t>Week1-Mar-2026</t>
        </is>
      </c>
      <c r="D2264" s="78" t="n">
        <v>46082</v>
      </c>
      <c r="E2264" t="inlineStr">
        <is>
          <t>Q4FY26</t>
        </is>
      </c>
      <c r="F2264" t="inlineStr">
        <is>
          <t>27-Jun-2028</t>
        </is>
      </c>
      <c r="G2264" t="inlineStr">
        <is>
          <t>Tuesday</t>
        </is>
      </c>
      <c r="H2264" t="inlineStr">
        <is>
          <t>Monthly - Tuesday</t>
        </is>
      </c>
      <c r="I2264" t="inlineStr">
        <is>
          <t>Monthly - Tuesday</t>
        </is>
      </c>
      <c r="J2264" t="inlineStr">
        <is>
          <t>Month+27 Expiry</t>
        </is>
      </c>
      <c r="K2264" s="25" t="n">
        <v>0</v>
      </c>
      <c r="L2264" s="26" t="n">
        <v>0</v>
      </c>
      <c r="M2264" s="26" t="n">
        <v>0</v>
      </c>
    </row>
    <row r="2265" ht="16" customHeight="1">
      <c r="A2265" t="inlineStr">
        <is>
          <t>02-Mar-2026</t>
        </is>
      </c>
      <c r="B2265" t="inlineStr">
        <is>
          <t>Monday</t>
        </is>
      </c>
      <c r="C2265" t="inlineStr">
        <is>
          <t>Week1-Mar-2026</t>
        </is>
      </c>
      <c r="D2265" s="78" t="n">
        <v>46082</v>
      </c>
      <c r="E2265" t="inlineStr">
        <is>
          <t>Q4FY26</t>
        </is>
      </c>
      <c r="F2265" t="inlineStr">
        <is>
          <t>26-Dec-2028</t>
        </is>
      </c>
      <c r="G2265" t="inlineStr">
        <is>
          <t>Tuesday</t>
        </is>
      </c>
      <c r="H2265" t="inlineStr">
        <is>
          <t>Monthly - Tuesday</t>
        </is>
      </c>
      <c r="I2265" t="inlineStr">
        <is>
          <t>Monthly - Tuesday</t>
        </is>
      </c>
      <c r="J2265" t="inlineStr">
        <is>
          <t>Month+33 Expiry</t>
        </is>
      </c>
      <c r="K2265" s="25" t="n">
        <v>4</v>
      </c>
      <c r="L2265" s="26" t="n">
        <v>0.0071</v>
      </c>
      <c r="M2265" s="26" t="n">
        <v>0.0004</v>
      </c>
    </row>
    <row r="2266" ht="16" customHeight="1">
      <c r="A2266" t="inlineStr">
        <is>
          <t>02-Mar-2026</t>
        </is>
      </c>
      <c r="B2266" t="inlineStr">
        <is>
          <t>Monday</t>
        </is>
      </c>
      <c r="C2266" t="inlineStr">
        <is>
          <t>Week1-Mar-2026</t>
        </is>
      </c>
      <c r="D2266" s="78" t="n">
        <v>46082</v>
      </c>
      <c r="E2266" t="inlineStr">
        <is>
          <t>Q4FY26</t>
        </is>
      </c>
      <c r="F2266" t="inlineStr">
        <is>
          <t>26-Jun-2029</t>
        </is>
      </c>
      <c r="G2266" t="inlineStr">
        <is>
          <t>Tuesday</t>
        </is>
      </c>
      <c r="H2266" t="inlineStr">
        <is>
          <t>Monthly - Tuesday</t>
        </is>
      </c>
      <c r="I2266" t="inlineStr">
        <is>
          <t>Monthly - Tuesday</t>
        </is>
      </c>
      <c r="J2266" t="inlineStr">
        <is>
          <t>Month+39 Expiry</t>
        </is>
      </c>
      <c r="K2266" s="25" t="n">
        <v>0</v>
      </c>
      <c r="L2266" s="26" t="n">
        <v>0</v>
      </c>
      <c r="M2266" s="26" t="n">
        <v>0</v>
      </c>
    </row>
    <row r="2267" ht="16" customHeight="1">
      <c r="A2267" t="inlineStr">
        <is>
          <t>02-Mar-2026</t>
        </is>
      </c>
      <c r="B2267" t="inlineStr">
        <is>
          <t>Monday</t>
        </is>
      </c>
      <c r="C2267" t="inlineStr">
        <is>
          <t>Week1-Mar-2026</t>
        </is>
      </c>
      <c r="D2267" s="78" t="n">
        <v>46082</v>
      </c>
      <c r="E2267" t="inlineStr">
        <is>
          <t>Q4FY26</t>
        </is>
      </c>
      <c r="F2267" t="inlineStr">
        <is>
          <t>24-Dec-2029</t>
        </is>
      </c>
      <c r="G2267" t="inlineStr">
        <is>
          <t>Monday</t>
        </is>
      </c>
      <c r="H2267" t="inlineStr">
        <is>
          <t>Weekly - Monday</t>
        </is>
      </c>
      <c r="I2267" t="inlineStr">
        <is>
          <t>Weekly - Monday</t>
        </is>
      </c>
      <c r="J2267" t="inlineStr">
        <is>
          <t>Month+45 Expiry</t>
        </is>
      </c>
      <c r="K2267" s="25" t="n">
        <v>0</v>
      </c>
      <c r="L2267" s="26" t="n">
        <v>0</v>
      </c>
      <c r="M2267" s="26" t="n">
        <v>0</v>
      </c>
    </row>
    <row r="2268" ht="16" customHeight="1">
      <c r="A2268" t="inlineStr">
        <is>
          <t>02-Mar-2026</t>
        </is>
      </c>
      <c r="B2268" t="inlineStr">
        <is>
          <t>Monday</t>
        </is>
      </c>
      <c r="C2268" t="inlineStr">
        <is>
          <t>Week1-Mar-2026</t>
        </is>
      </c>
      <c r="D2268" s="78" t="n">
        <v>46082</v>
      </c>
      <c r="E2268" t="inlineStr">
        <is>
          <t>Q4FY26</t>
        </is>
      </c>
      <c r="F2268" t="inlineStr">
        <is>
          <t>25-Jun-2030</t>
        </is>
      </c>
      <c r="G2268" t="inlineStr">
        <is>
          <t>Tuesday</t>
        </is>
      </c>
      <c r="H2268" t="inlineStr">
        <is>
          <t>Monthly - Tuesday</t>
        </is>
      </c>
      <c r="I2268" t="inlineStr">
        <is>
          <t>Monthly - Tuesday</t>
        </is>
      </c>
      <c r="J2268" t="inlineStr">
        <is>
          <t>Month+51 Expiry</t>
        </is>
      </c>
      <c r="K2268" s="25" t="n">
        <v>0</v>
      </c>
      <c r="L2268" s="26" t="n">
        <v>0</v>
      </c>
      <c r="M2268" s="26" t="n">
        <v>0</v>
      </c>
    </row>
    <row r="2269" ht="16" customHeight="1">
      <c r="A2269" t="inlineStr">
        <is>
          <t>02-Mar-2026</t>
        </is>
      </c>
      <c r="B2269" t="inlineStr">
        <is>
          <t>Monday</t>
        </is>
      </c>
      <c r="C2269" t="inlineStr">
        <is>
          <t>Week1-Mar-2026</t>
        </is>
      </c>
      <c r="D2269" s="78" t="n">
        <v>46082</v>
      </c>
      <c r="E2269" t="inlineStr">
        <is>
          <t>Q4FY26</t>
        </is>
      </c>
      <c r="F2269" t="inlineStr">
        <is>
          <t>31-Dec-2030</t>
        </is>
      </c>
      <c r="G2269" t="inlineStr">
        <is>
          <t>Tuesday</t>
        </is>
      </c>
      <c r="H2269" t="inlineStr">
        <is>
          <t>Monthly - Tuesday</t>
        </is>
      </c>
      <c r="I2269" t="inlineStr">
        <is>
          <t>Monthly - Tuesday</t>
        </is>
      </c>
      <c r="J2269" t="inlineStr">
        <is>
          <t>Month+57 Expiry</t>
        </is>
      </c>
      <c r="K2269" s="25" t="n">
        <v>0</v>
      </c>
      <c r="L2269" s="26" t="n">
        <v>0</v>
      </c>
      <c r="M2269" s="26" t="n">
        <v>0</v>
      </c>
    </row>
    <row r="2270" ht="16" customHeight="1">
      <c r="A2270" t="inlineStr">
        <is>
          <t>04-Mar-2026</t>
        </is>
      </c>
      <c r="B2270" t="inlineStr">
        <is>
          <t>Wednesday</t>
        </is>
      </c>
      <c r="C2270" t="inlineStr">
        <is>
          <t>Week1-Mar-2026</t>
        </is>
      </c>
      <c r="D2270" s="78" t="n">
        <v>46082</v>
      </c>
      <c r="E2270" t="inlineStr">
        <is>
          <t>Q4FY26</t>
        </is>
      </c>
      <c r="F2270" t="inlineStr">
        <is>
          <t>10-Mar-2026</t>
        </is>
      </c>
      <c r="G2270" t="inlineStr">
        <is>
          <t>Tuesday</t>
        </is>
      </c>
      <c r="H2270" t="inlineStr">
        <is>
          <t>Weekly - Tuesday</t>
        </is>
      </c>
      <c r="I2270" t="inlineStr">
        <is>
          <t>Weekly - Tuesday</t>
        </is>
      </c>
      <c r="J2270" t="inlineStr">
        <is>
          <t>Same Month Expiry</t>
        </is>
      </c>
      <c r="K2270" s="25" t="n">
        <v>47826038</v>
      </c>
      <c r="L2270" s="26" t="n">
        <v>77306.7227</v>
      </c>
      <c r="M2270" s="26" t="n">
        <v>551.1888</v>
      </c>
    </row>
    <row r="2271" ht="16" customHeight="1">
      <c r="A2271" t="inlineStr">
        <is>
          <t>04-Mar-2026</t>
        </is>
      </c>
      <c r="B2271" t="inlineStr">
        <is>
          <t>Wednesday</t>
        </is>
      </c>
      <c r="C2271" t="inlineStr">
        <is>
          <t>Week1-Mar-2026</t>
        </is>
      </c>
      <c r="D2271" s="78" t="n">
        <v>46082</v>
      </c>
      <c r="E2271" t="inlineStr">
        <is>
          <t>Q4FY26</t>
        </is>
      </c>
      <c r="F2271" t="inlineStr">
        <is>
          <t>17-Mar-2026</t>
        </is>
      </c>
      <c r="G2271" t="inlineStr">
        <is>
          <t>Tuesday</t>
        </is>
      </c>
      <c r="H2271" t="inlineStr">
        <is>
          <t>Weekly - Tuesday</t>
        </is>
      </c>
      <c r="I2271" t="inlineStr">
        <is>
          <t>Weekly - Tuesday</t>
        </is>
      </c>
      <c r="J2271" t="inlineStr">
        <is>
          <t>Same Month Expiry</t>
        </is>
      </c>
      <c r="K2271" s="25" t="n">
        <v>1149100</v>
      </c>
      <c r="L2271" s="26" t="n">
        <v>1874.6719</v>
      </c>
      <c r="M2271" s="26" t="n">
        <v>16.8811</v>
      </c>
    </row>
    <row r="2272" ht="16" customHeight="1">
      <c r="A2272" t="inlineStr">
        <is>
          <t>04-Mar-2026</t>
        </is>
      </c>
      <c r="B2272" t="inlineStr">
        <is>
          <t>Wednesday</t>
        </is>
      </c>
      <c r="C2272" t="inlineStr">
        <is>
          <t>Week1-Mar-2026</t>
        </is>
      </c>
      <c r="D2272" s="78" t="n">
        <v>46082</v>
      </c>
      <c r="E2272" t="inlineStr">
        <is>
          <t>Q4FY26</t>
        </is>
      </c>
      <c r="F2272" t="inlineStr">
        <is>
          <t>24-Mar-2026</t>
        </is>
      </c>
      <c r="G2272" t="inlineStr">
        <is>
          <t>Tuesday</t>
        </is>
      </c>
      <c r="H2272" t="inlineStr">
        <is>
          <t>Weekly - Tuesday</t>
        </is>
      </c>
      <c r="I2272" t="inlineStr">
        <is>
          <t>Weekly - Tuesday</t>
        </is>
      </c>
      <c r="J2272" t="inlineStr">
        <is>
          <t>Same Month Expiry</t>
        </is>
      </c>
      <c r="K2272" s="25" t="n">
        <v>139749</v>
      </c>
      <c r="L2272" s="26" t="n">
        <v>228.7244</v>
      </c>
      <c r="M2272" s="26" t="n">
        <v>2.3696</v>
      </c>
    </row>
    <row r="2273" ht="16" customHeight="1">
      <c r="A2273" t="inlineStr">
        <is>
          <t>04-Mar-2026</t>
        </is>
      </c>
      <c r="B2273" t="inlineStr">
        <is>
          <t>Wednesday</t>
        </is>
      </c>
      <c r="C2273" t="inlineStr">
        <is>
          <t>Week1-Mar-2026</t>
        </is>
      </c>
      <c r="D2273" s="78" t="n">
        <v>46082</v>
      </c>
      <c r="E2273" t="inlineStr">
        <is>
          <t>Q4FY26</t>
        </is>
      </c>
      <c r="F2273" t="inlineStr">
        <is>
          <t>30-Mar-2026</t>
        </is>
      </c>
      <c r="G2273" t="inlineStr">
        <is>
          <t>Monday</t>
        </is>
      </c>
      <c r="H2273" t="inlineStr">
        <is>
          <t>Monthly - Monday</t>
        </is>
      </c>
      <c r="I2273" t="inlineStr">
        <is>
          <t>Monthly - Monday</t>
        </is>
      </c>
      <c r="J2273" t="inlineStr">
        <is>
          <t>Same Month Expiry</t>
        </is>
      </c>
      <c r="K2273" s="25" t="n">
        <v>2645590</v>
      </c>
      <c r="L2273" s="26" t="n">
        <v>4276.5128</v>
      </c>
      <c r="M2273" s="26" t="n">
        <v>49.9507</v>
      </c>
    </row>
    <row r="2274" ht="16" customHeight="1">
      <c r="A2274" t="inlineStr">
        <is>
          <t>04-Mar-2026</t>
        </is>
      </c>
      <c r="B2274" t="inlineStr">
        <is>
          <t>Wednesday</t>
        </is>
      </c>
      <c r="C2274" t="inlineStr">
        <is>
          <t>Week1-Mar-2026</t>
        </is>
      </c>
      <c r="D2274" s="78" t="n">
        <v>46082</v>
      </c>
      <c r="E2274" t="inlineStr">
        <is>
          <t>Q4FY26</t>
        </is>
      </c>
      <c r="F2274" t="inlineStr">
        <is>
          <t>07-Apr-2026</t>
        </is>
      </c>
      <c r="G2274" t="inlineStr">
        <is>
          <t>Tuesday</t>
        </is>
      </c>
      <c r="H2274" t="inlineStr">
        <is>
          <t>Weekly - Tuesday</t>
        </is>
      </c>
      <c r="I2274" t="inlineStr">
        <is>
          <t>Weekly - Tuesday</t>
        </is>
      </c>
      <c r="J2274" t="inlineStr">
        <is>
          <t>Month+1 Expiry</t>
        </is>
      </c>
      <c r="K2274" s="25" t="n">
        <v>68118</v>
      </c>
      <c r="L2274" s="26" t="n">
        <v>111.1123</v>
      </c>
      <c r="M2274" s="26" t="n">
        <v>2.3452</v>
      </c>
    </row>
    <row r="2275" ht="16" customHeight="1">
      <c r="A2275" t="inlineStr">
        <is>
          <t>04-Mar-2026</t>
        </is>
      </c>
      <c r="B2275" t="inlineStr">
        <is>
          <t>Wednesday</t>
        </is>
      </c>
      <c r="C2275" t="inlineStr">
        <is>
          <t>Week1-Mar-2026</t>
        </is>
      </c>
      <c r="D2275" s="78" t="n">
        <v>46082</v>
      </c>
      <c r="E2275" t="inlineStr">
        <is>
          <t>Q4FY26</t>
        </is>
      </c>
      <c r="F2275" t="inlineStr">
        <is>
          <t>28-Apr-2026</t>
        </is>
      </c>
      <c r="G2275" t="inlineStr">
        <is>
          <t>Tuesday</t>
        </is>
      </c>
      <c r="H2275" t="inlineStr">
        <is>
          <t>Monthly - Tuesday</t>
        </is>
      </c>
      <c r="I2275" t="inlineStr">
        <is>
          <t>Monthly - Tuesday</t>
        </is>
      </c>
      <c r="J2275" t="inlineStr">
        <is>
          <t>Month+1 Expiry</t>
        </is>
      </c>
      <c r="K2275" s="25" t="n">
        <v>320088</v>
      </c>
      <c r="L2275" s="26" t="n">
        <v>530.2896</v>
      </c>
      <c r="M2275" s="26" t="n">
        <v>7.997</v>
      </c>
    </row>
    <row r="2276" ht="16" customHeight="1">
      <c r="A2276" t="inlineStr">
        <is>
          <t>04-Mar-2026</t>
        </is>
      </c>
      <c r="B2276" t="inlineStr">
        <is>
          <t>Wednesday</t>
        </is>
      </c>
      <c r="C2276" t="inlineStr">
        <is>
          <t>Week1-Mar-2026</t>
        </is>
      </c>
      <c r="D2276" s="78" t="n">
        <v>46082</v>
      </c>
      <c r="E2276" t="inlineStr">
        <is>
          <t>Q4FY26</t>
        </is>
      </c>
      <c r="F2276" t="inlineStr">
        <is>
          <t>26-May-2026</t>
        </is>
      </c>
      <c r="G2276" t="inlineStr">
        <is>
          <t>Tuesday</t>
        </is>
      </c>
      <c r="H2276" t="inlineStr">
        <is>
          <t>Monthly - Tuesday</t>
        </is>
      </c>
      <c r="I2276" t="inlineStr">
        <is>
          <t>Monthly - Tuesday</t>
        </is>
      </c>
      <c r="J2276" t="inlineStr">
        <is>
          <t>Month+2 Expiry</t>
        </is>
      </c>
      <c r="K2276" s="25" t="n">
        <v>59647</v>
      </c>
      <c r="L2276" s="26" t="n">
        <v>99.5159</v>
      </c>
      <c r="M2276" s="26" t="n">
        <v>1.7435</v>
      </c>
    </row>
    <row r="2277" ht="16" customHeight="1">
      <c r="A2277" t="inlineStr">
        <is>
          <t>04-Mar-2026</t>
        </is>
      </c>
      <c r="B2277" t="inlineStr">
        <is>
          <t>Wednesday</t>
        </is>
      </c>
      <c r="C2277" t="inlineStr">
        <is>
          <t>Week1-Mar-2026</t>
        </is>
      </c>
      <c r="D2277" s="78" t="n">
        <v>46082</v>
      </c>
      <c r="E2277" t="inlineStr">
        <is>
          <t>Q4FY26</t>
        </is>
      </c>
      <c r="F2277" t="inlineStr">
        <is>
          <t>30-Jun-2026</t>
        </is>
      </c>
      <c r="G2277" t="inlineStr">
        <is>
          <t>Tuesday</t>
        </is>
      </c>
      <c r="H2277" t="inlineStr">
        <is>
          <t>Monthly - Tuesday</t>
        </is>
      </c>
      <c r="I2277" t="inlineStr">
        <is>
          <t>Monthly - Tuesday</t>
        </is>
      </c>
      <c r="J2277" t="inlineStr">
        <is>
          <t>Month+3 Expiry</t>
        </is>
      </c>
      <c r="K2277" s="25" t="n">
        <v>158548</v>
      </c>
      <c r="L2277" s="26" t="n">
        <v>256.9344</v>
      </c>
      <c r="M2277" s="26" t="n">
        <v>4.3264</v>
      </c>
    </row>
    <row r="2278" ht="16" customHeight="1">
      <c r="A2278" t="inlineStr">
        <is>
          <t>04-Mar-2026</t>
        </is>
      </c>
      <c r="B2278" t="inlineStr">
        <is>
          <t>Wednesday</t>
        </is>
      </c>
      <c r="C2278" t="inlineStr">
        <is>
          <t>Week1-Mar-2026</t>
        </is>
      </c>
      <c r="D2278" s="78" t="n">
        <v>46082</v>
      </c>
      <c r="E2278" t="inlineStr">
        <is>
          <t>Q4FY26</t>
        </is>
      </c>
      <c r="F2278" t="inlineStr">
        <is>
          <t>29-Sep-2026</t>
        </is>
      </c>
      <c r="G2278" t="inlineStr">
        <is>
          <t>Tuesday</t>
        </is>
      </c>
      <c r="H2278" t="inlineStr">
        <is>
          <t>Monthly - Tuesday</t>
        </is>
      </c>
      <c r="I2278" t="inlineStr">
        <is>
          <t>Monthly - Tuesday</t>
        </is>
      </c>
      <c r="J2278" t="inlineStr">
        <is>
          <t>Month+6 Expiry</t>
        </is>
      </c>
      <c r="K2278" s="25" t="n">
        <v>23122</v>
      </c>
      <c r="L2278" s="26" t="n">
        <v>38.1753</v>
      </c>
      <c r="M2278" s="26" t="n">
        <v>0.9629</v>
      </c>
    </row>
    <row r="2279" ht="16" customHeight="1">
      <c r="A2279" t="inlineStr">
        <is>
          <t>04-Mar-2026</t>
        </is>
      </c>
      <c r="B2279" t="inlineStr">
        <is>
          <t>Wednesday</t>
        </is>
      </c>
      <c r="C2279" t="inlineStr">
        <is>
          <t>Week1-Mar-2026</t>
        </is>
      </c>
      <c r="D2279" s="78" t="n">
        <v>46082</v>
      </c>
      <c r="E2279" t="inlineStr">
        <is>
          <t>Q4FY26</t>
        </is>
      </c>
      <c r="F2279" t="inlineStr">
        <is>
          <t>29-Dec-2026</t>
        </is>
      </c>
      <c r="G2279" t="inlineStr">
        <is>
          <t>Tuesday</t>
        </is>
      </c>
      <c r="H2279" t="inlineStr">
        <is>
          <t>Monthly - Tuesday</t>
        </is>
      </c>
      <c r="I2279" t="inlineStr">
        <is>
          <t>Monthly - Tuesday</t>
        </is>
      </c>
      <c r="J2279" t="inlineStr">
        <is>
          <t>Month+9 Expiry</t>
        </is>
      </c>
      <c r="K2279" s="25" t="n">
        <v>53158</v>
      </c>
      <c r="L2279" s="26" t="n">
        <v>89.4712</v>
      </c>
      <c r="M2279" s="26" t="n">
        <v>2.5443</v>
      </c>
    </row>
    <row r="2280" ht="16" customHeight="1">
      <c r="A2280" t="inlineStr">
        <is>
          <t>04-Mar-2026</t>
        </is>
      </c>
      <c r="B2280" t="inlineStr">
        <is>
          <t>Wednesday</t>
        </is>
      </c>
      <c r="C2280" t="inlineStr">
        <is>
          <t>Week1-Mar-2026</t>
        </is>
      </c>
      <c r="D2280" s="78" t="n">
        <v>46082</v>
      </c>
      <c r="E2280" t="inlineStr">
        <is>
          <t>Q4FY26</t>
        </is>
      </c>
      <c r="F2280" t="inlineStr">
        <is>
          <t>29-Jun-2027</t>
        </is>
      </c>
      <c r="G2280" t="inlineStr">
        <is>
          <t>Tuesday</t>
        </is>
      </c>
      <c r="H2280" t="inlineStr">
        <is>
          <t>Monthly - Tuesday</t>
        </is>
      </c>
      <c r="I2280" t="inlineStr">
        <is>
          <t>Monthly - Tuesday</t>
        </is>
      </c>
      <c r="J2280" t="inlineStr">
        <is>
          <t>Month+15 Expiry</t>
        </is>
      </c>
      <c r="K2280" s="25" t="n">
        <v>8</v>
      </c>
      <c r="L2280" s="26" t="n">
        <v>0.011</v>
      </c>
      <c r="M2280" s="26" t="n">
        <v>0.0001</v>
      </c>
    </row>
    <row r="2281" ht="16" customHeight="1">
      <c r="A2281" t="inlineStr">
        <is>
          <t>04-Mar-2026</t>
        </is>
      </c>
      <c r="B2281" t="inlineStr">
        <is>
          <t>Wednesday</t>
        </is>
      </c>
      <c r="C2281" t="inlineStr">
        <is>
          <t>Week1-Mar-2026</t>
        </is>
      </c>
      <c r="D2281" s="78" t="n">
        <v>46082</v>
      </c>
      <c r="E2281" t="inlineStr">
        <is>
          <t>Q4FY26</t>
        </is>
      </c>
      <c r="F2281" t="inlineStr">
        <is>
          <t>28-Dec-2027</t>
        </is>
      </c>
      <c r="G2281" t="inlineStr">
        <is>
          <t>Tuesday</t>
        </is>
      </c>
      <c r="H2281" t="inlineStr">
        <is>
          <t>Monthly - Tuesday</t>
        </is>
      </c>
      <c r="I2281" t="inlineStr">
        <is>
          <t>Monthly - Tuesday</t>
        </is>
      </c>
      <c r="J2281" t="inlineStr">
        <is>
          <t>Month+21 Expiry</t>
        </is>
      </c>
      <c r="K2281" s="25" t="n">
        <v>549</v>
      </c>
      <c r="L2281" s="26" t="n">
        <v>0.9357</v>
      </c>
      <c r="M2281" s="26" t="n">
        <v>0.0488</v>
      </c>
    </row>
    <row r="2282" ht="16" customHeight="1">
      <c r="A2282" t="inlineStr">
        <is>
          <t>04-Mar-2026</t>
        </is>
      </c>
      <c r="B2282" t="inlineStr">
        <is>
          <t>Wednesday</t>
        </is>
      </c>
      <c r="C2282" t="inlineStr">
        <is>
          <t>Week1-Mar-2026</t>
        </is>
      </c>
      <c r="D2282" s="78" t="n">
        <v>46082</v>
      </c>
      <c r="E2282" t="inlineStr">
        <is>
          <t>Q4FY26</t>
        </is>
      </c>
      <c r="F2282" t="inlineStr">
        <is>
          <t>27-Jun-2028</t>
        </is>
      </c>
      <c r="G2282" t="inlineStr">
        <is>
          <t>Tuesday</t>
        </is>
      </c>
      <c r="H2282" t="inlineStr">
        <is>
          <t>Monthly - Tuesday</t>
        </is>
      </c>
      <c r="I2282" t="inlineStr">
        <is>
          <t>Monthly - Tuesday</t>
        </is>
      </c>
      <c r="J2282" t="inlineStr">
        <is>
          <t>Month+27 Expiry</t>
        </is>
      </c>
      <c r="K2282" s="25" t="n">
        <v>1</v>
      </c>
      <c r="L2282" s="26" t="n">
        <v>0.0015</v>
      </c>
      <c r="M2282" s="26" t="n">
        <v>0</v>
      </c>
    </row>
    <row r="2283" ht="16" customHeight="1">
      <c r="A2283" t="inlineStr">
        <is>
          <t>04-Mar-2026</t>
        </is>
      </c>
      <c r="B2283" t="inlineStr">
        <is>
          <t>Wednesday</t>
        </is>
      </c>
      <c r="C2283" t="inlineStr">
        <is>
          <t>Week1-Mar-2026</t>
        </is>
      </c>
      <c r="D2283" s="78" t="n">
        <v>46082</v>
      </c>
      <c r="E2283" t="inlineStr">
        <is>
          <t>Q4FY26</t>
        </is>
      </c>
      <c r="F2283" t="inlineStr">
        <is>
          <t>26-Dec-2028</t>
        </is>
      </c>
      <c r="G2283" t="inlineStr">
        <is>
          <t>Tuesday</t>
        </is>
      </c>
      <c r="H2283" t="inlineStr">
        <is>
          <t>Monthly - Tuesday</t>
        </is>
      </c>
      <c r="I2283" t="inlineStr">
        <is>
          <t>Monthly - Tuesday</t>
        </is>
      </c>
      <c r="J2283" t="inlineStr">
        <is>
          <t>Month+33 Expiry</t>
        </is>
      </c>
      <c r="K2283" s="25" t="n">
        <v>16</v>
      </c>
      <c r="L2283" s="26" t="n">
        <v>0.0244</v>
      </c>
      <c r="M2283" s="26" t="n">
        <v>0.0007</v>
      </c>
    </row>
    <row r="2284" ht="16" customHeight="1">
      <c r="A2284" t="inlineStr">
        <is>
          <t>04-Mar-2026</t>
        </is>
      </c>
      <c r="B2284" t="inlineStr">
        <is>
          <t>Wednesday</t>
        </is>
      </c>
      <c r="C2284" t="inlineStr">
        <is>
          <t>Week1-Mar-2026</t>
        </is>
      </c>
      <c r="D2284" s="78" t="n">
        <v>46082</v>
      </c>
      <c r="E2284" t="inlineStr">
        <is>
          <t>Q4FY26</t>
        </is>
      </c>
      <c r="F2284" t="inlineStr">
        <is>
          <t>26-Jun-2029</t>
        </is>
      </c>
      <c r="G2284" t="inlineStr">
        <is>
          <t>Tuesday</t>
        </is>
      </c>
      <c r="H2284" t="inlineStr">
        <is>
          <t>Monthly - Tuesday</t>
        </is>
      </c>
      <c r="I2284" t="inlineStr">
        <is>
          <t>Monthly - Tuesday</t>
        </is>
      </c>
      <c r="J2284" t="inlineStr">
        <is>
          <t>Month+39 Expiry</t>
        </is>
      </c>
      <c r="K2284" s="25" t="n">
        <v>0</v>
      </c>
      <c r="L2284" s="26" t="n">
        <v>0</v>
      </c>
      <c r="M2284" s="26" t="n">
        <v>0</v>
      </c>
    </row>
    <row r="2285" ht="16" customHeight="1">
      <c r="A2285" t="inlineStr">
        <is>
          <t>04-Mar-2026</t>
        </is>
      </c>
      <c r="B2285" t="inlineStr">
        <is>
          <t>Wednesday</t>
        </is>
      </c>
      <c r="C2285" t="inlineStr">
        <is>
          <t>Week1-Mar-2026</t>
        </is>
      </c>
      <c r="D2285" s="78" t="n">
        <v>46082</v>
      </c>
      <c r="E2285" t="inlineStr">
        <is>
          <t>Q4FY26</t>
        </is>
      </c>
      <c r="F2285" t="inlineStr">
        <is>
          <t>24-Dec-2029</t>
        </is>
      </c>
      <c r="G2285" t="inlineStr">
        <is>
          <t>Monday</t>
        </is>
      </c>
      <c r="H2285" t="inlineStr">
        <is>
          <t>Weekly - Monday</t>
        </is>
      </c>
      <c r="I2285" t="inlineStr">
        <is>
          <t>Weekly - Monday</t>
        </is>
      </c>
      <c r="J2285" t="inlineStr">
        <is>
          <t>Month+45 Expiry</t>
        </is>
      </c>
      <c r="K2285" s="25" t="n">
        <v>0</v>
      </c>
      <c r="L2285" s="26" t="n">
        <v>0</v>
      </c>
      <c r="M2285" s="26" t="n">
        <v>0</v>
      </c>
    </row>
    <row r="2286" ht="16" customHeight="1">
      <c r="A2286" t="inlineStr">
        <is>
          <t>04-Mar-2026</t>
        </is>
      </c>
      <c r="B2286" t="inlineStr">
        <is>
          <t>Wednesday</t>
        </is>
      </c>
      <c r="C2286" t="inlineStr">
        <is>
          <t>Week1-Mar-2026</t>
        </is>
      </c>
      <c r="D2286" s="78" t="n">
        <v>46082</v>
      </c>
      <c r="E2286" t="inlineStr">
        <is>
          <t>Q4FY26</t>
        </is>
      </c>
      <c r="F2286" t="inlineStr">
        <is>
          <t>25-Jun-2030</t>
        </is>
      </c>
      <c r="G2286" t="inlineStr">
        <is>
          <t>Tuesday</t>
        </is>
      </c>
      <c r="H2286" t="inlineStr">
        <is>
          <t>Monthly - Tuesday</t>
        </is>
      </c>
      <c r="I2286" t="inlineStr">
        <is>
          <t>Monthly - Tuesday</t>
        </is>
      </c>
      <c r="J2286" t="inlineStr">
        <is>
          <t>Month+51 Expiry</t>
        </is>
      </c>
      <c r="K2286" s="25" t="n">
        <v>0</v>
      </c>
      <c r="L2286" s="26" t="n">
        <v>0</v>
      </c>
      <c r="M2286" s="26" t="n">
        <v>0</v>
      </c>
    </row>
    <row r="2287" ht="16" customHeight="1">
      <c r="A2287" t="inlineStr">
        <is>
          <t>04-Mar-2026</t>
        </is>
      </c>
      <c r="B2287" t="inlineStr">
        <is>
          <t>Wednesday</t>
        </is>
      </c>
      <c r="C2287" t="inlineStr">
        <is>
          <t>Week1-Mar-2026</t>
        </is>
      </c>
      <c r="D2287" s="78" t="n">
        <v>46082</v>
      </c>
      <c r="E2287" t="inlineStr">
        <is>
          <t>Q4FY26</t>
        </is>
      </c>
      <c r="F2287" t="inlineStr">
        <is>
          <t>31-Dec-2030</t>
        </is>
      </c>
      <c r="G2287" t="inlineStr">
        <is>
          <t>Tuesday</t>
        </is>
      </c>
      <c r="H2287" t="inlineStr">
        <is>
          <t>Monthly - Tuesday</t>
        </is>
      </c>
      <c r="I2287" t="inlineStr">
        <is>
          <t>Monthly - Tuesday</t>
        </is>
      </c>
      <c r="J2287" t="inlineStr">
        <is>
          <t>Month+57 Expiry</t>
        </is>
      </c>
      <c r="K2287" s="25" t="n">
        <v>0</v>
      </c>
      <c r="L2287" s="26" t="n">
        <v>0</v>
      </c>
      <c r="M2287" s="26" t="n">
        <v>0</v>
      </c>
    </row>
    <row r="2288" ht="16" customHeight="1">
      <c r="A2288" t="inlineStr">
        <is>
          <t>05-Mar-2026</t>
        </is>
      </c>
      <c r="B2288" t="inlineStr">
        <is>
          <t>Thursday</t>
        </is>
      </c>
      <c r="C2288" t="inlineStr">
        <is>
          <t>Week1-Mar-2026</t>
        </is>
      </c>
      <c r="D2288" s="78" t="n">
        <v>46082</v>
      </c>
      <c r="E2288" t="inlineStr">
        <is>
          <t>Q4FY26</t>
        </is>
      </c>
      <c r="F2288" t="inlineStr">
        <is>
          <t>10-Mar-2026</t>
        </is>
      </c>
      <c r="G2288" t="inlineStr">
        <is>
          <t>Tuesday</t>
        </is>
      </c>
      <c r="H2288" t="inlineStr">
        <is>
          <t>Weekly - Tuesday</t>
        </is>
      </c>
      <c r="I2288" t="inlineStr">
        <is>
          <t>Weekly - Tuesday</t>
        </is>
      </c>
      <c r="J2288" t="inlineStr">
        <is>
          <t>Same Month Expiry</t>
        </is>
      </c>
      <c r="K2288" s="25" t="n">
        <v>57172048</v>
      </c>
      <c r="L2288" s="26" t="n">
        <v>92257.8674</v>
      </c>
      <c r="M2288" s="26" t="n">
        <v>472.3694</v>
      </c>
    </row>
    <row r="2289" ht="16" customHeight="1">
      <c r="A2289" t="inlineStr">
        <is>
          <t>05-Mar-2026</t>
        </is>
      </c>
      <c r="B2289" t="inlineStr">
        <is>
          <t>Thursday</t>
        </is>
      </c>
      <c r="C2289" t="inlineStr">
        <is>
          <t>Week1-Mar-2026</t>
        </is>
      </c>
      <c r="D2289" s="78" t="n">
        <v>46082</v>
      </c>
      <c r="E2289" t="inlineStr">
        <is>
          <t>Q4FY26</t>
        </is>
      </c>
      <c r="F2289" t="inlineStr">
        <is>
          <t>17-Mar-2026</t>
        </is>
      </c>
      <c r="G2289" t="inlineStr">
        <is>
          <t>Tuesday</t>
        </is>
      </c>
      <c r="H2289" t="inlineStr">
        <is>
          <t>Weekly - Tuesday</t>
        </is>
      </c>
      <c r="I2289" t="inlineStr">
        <is>
          <t>Weekly - Tuesday</t>
        </is>
      </c>
      <c r="J2289" t="inlineStr">
        <is>
          <t>Same Month Expiry</t>
        </is>
      </c>
      <c r="K2289" s="25" t="n">
        <v>1491509</v>
      </c>
      <c r="L2289" s="26" t="n">
        <v>2430.8875</v>
      </c>
      <c r="M2289" s="26" t="n">
        <v>17.9568</v>
      </c>
    </row>
    <row r="2290" ht="16" customHeight="1">
      <c r="A2290" t="inlineStr">
        <is>
          <t>05-Mar-2026</t>
        </is>
      </c>
      <c r="B2290" t="inlineStr">
        <is>
          <t>Thursday</t>
        </is>
      </c>
      <c r="C2290" t="inlineStr">
        <is>
          <t>Week1-Mar-2026</t>
        </is>
      </c>
      <c r="D2290" s="78" t="n">
        <v>46082</v>
      </c>
      <c r="E2290" t="inlineStr">
        <is>
          <t>Q4FY26</t>
        </is>
      </c>
      <c r="F2290" t="inlineStr">
        <is>
          <t>24-Mar-2026</t>
        </is>
      </c>
      <c r="G2290" t="inlineStr">
        <is>
          <t>Tuesday</t>
        </is>
      </c>
      <c r="H2290" t="inlineStr">
        <is>
          <t>Weekly - Tuesday</t>
        </is>
      </c>
      <c r="I2290" t="inlineStr">
        <is>
          <t>Weekly - Tuesday</t>
        </is>
      </c>
      <c r="J2290" t="inlineStr">
        <is>
          <t>Same Month Expiry</t>
        </is>
      </c>
      <c r="K2290" s="25" t="n">
        <v>143804</v>
      </c>
      <c r="L2290" s="26" t="n">
        <v>235.4392</v>
      </c>
      <c r="M2290" s="26" t="n">
        <v>1.9333</v>
      </c>
    </row>
    <row r="2291" ht="16" customHeight="1">
      <c r="A2291" t="inlineStr">
        <is>
          <t>05-Mar-2026</t>
        </is>
      </c>
      <c r="B2291" t="inlineStr">
        <is>
          <t>Thursday</t>
        </is>
      </c>
      <c r="C2291" t="inlineStr">
        <is>
          <t>Week1-Mar-2026</t>
        </is>
      </c>
      <c r="D2291" s="78" t="n">
        <v>46082</v>
      </c>
      <c r="E2291" t="inlineStr">
        <is>
          <t>Q4FY26</t>
        </is>
      </c>
      <c r="F2291" t="inlineStr">
        <is>
          <t>30-Mar-2026</t>
        </is>
      </c>
      <c r="G2291" t="inlineStr">
        <is>
          <t>Monday</t>
        </is>
      </c>
      <c r="H2291" t="inlineStr">
        <is>
          <t>Monthly - Monday</t>
        </is>
      </c>
      <c r="I2291" t="inlineStr">
        <is>
          <t>Monthly - Monday</t>
        </is>
      </c>
      <c r="J2291" t="inlineStr">
        <is>
          <t>Same Month Expiry</t>
        </is>
      </c>
      <c r="K2291" s="25" t="n">
        <v>1899189</v>
      </c>
      <c r="L2291" s="26" t="n">
        <v>3076.0883</v>
      </c>
      <c r="M2291" s="26" t="n">
        <v>31.5243</v>
      </c>
    </row>
    <row r="2292" ht="16" customHeight="1">
      <c r="A2292" t="inlineStr">
        <is>
          <t>05-Mar-2026</t>
        </is>
      </c>
      <c r="B2292" t="inlineStr">
        <is>
          <t>Thursday</t>
        </is>
      </c>
      <c r="C2292" t="inlineStr">
        <is>
          <t>Week1-Mar-2026</t>
        </is>
      </c>
      <c r="D2292" s="78" t="n">
        <v>46082</v>
      </c>
      <c r="E2292" t="inlineStr">
        <is>
          <t>Q4FY26</t>
        </is>
      </c>
      <c r="F2292" t="inlineStr">
        <is>
          <t>07-Apr-2026</t>
        </is>
      </c>
      <c r="G2292" t="inlineStr">
        <is>
          <t>Tuesday</t>
        </is>
      </c>
      <c r="H2292" t="inlineStr">
        <is>
          <t>Weekly - Tuesday</t>
        </is>
      </c>
      <c r="I2292" t="inlineStr">
        <is>
          <t>Weekly - Tuesday</t>
        </is>
      </c>
      <c r="J2292" t="inlineStr">
        <is>
          <t>Month+1 Expiry</t>
        </is>
      </c>
      <c r="K2292" s="25" t="n">
        <v>15209</v>
      </c>
      <c r="L2292" s="26" t="n">
        <v>24.8507</v>
      </c>
      <c r="M2292" s="26" t="n">
        <v>0.4178</v>
      </c>
    </row>
    <row r="2293" ht="16" customHeight="1">
      <c r="A2293" t="inlineStr">
        <is>
          <t>05-Mar-2026</t>
        </is>
      </c>
      <c r="B2293" t="inlineStr">
        <is>
          <t>Thursday</t>
        </is>
      </c>
      <c r="C2293" t="inlineStr">
        <is>
          <t>Week1-Mar-2026</t>
        </is>
      </c>
      <c r="D2293" s="78" t="n">
        <v>46082</v>
      </c>
      <c r="E2293" t="inlineStr">
        <is>
          <t>Q4FY26</t>
        </is>
      </c>
      <c r="F2293" t="inlineStr">
        <is>
          <t>28-Apr-2026</t>
        </is>
      </c>
      <c r="G2293" t="inlineStr">
        <is>
          <t>Tuesday</t>
        </is>
      </c>
      <c r="H2293" t="inlineStr">
        <is>
          <t>Monthly - Tuesday</t>
        </is>
      </c>
      <c r="I2293" t="inlineStr">
        <is>
          <t>Monthly - Tuesday</t>
        </is>
      </c>
      <c r="J2293" t="inlineStr">
        <is>
          <t>Month+1 Expiry</t>
        </is>
      </c>
      <c r="K2293" s="25" t="n">
        <v>189545</v>
      </c>
      <c r="L2293" s="26" t="n">
        <v>314.7961</v>
      </c>
      <c r="M2293" s="26" t="n">
        <v>4.1592</v>
      </c>
    </row>
    <row r="2294" ht="16" customHeight="1">
      <c r="A2294" t="inlineStr">
        <is>
          <t>05-Mar-2026</t>
        </is>
      </c>
      <c r="B2294" t="inlineStr">
        <is>
          <t>Thursday</t>
        </is>
      </c>
      <c r="C2294" t="inlineStr">
        <is>
          <t>Week1-Mar-2026</t>
        </is>
      </c>
      <c r="D2294" s="78" t="n">
        <v>46082</v>
      </c>
      <c r="E2294" t="inlineStr">
        <is>
          <t>Q4FY26</t>
        </is>
      </c>
      <c r="F2294" t="inlineStr">
        <is>
          <t>26-May-2026</t>
        </is>
      </c>
      <c r="G2294" t="inlineStr">
        <is>
          <t>Tuesday</t>
        </is>
      </c>
      <c r="H2294" t="inlineStr">
        <is>
          <t>Monthly - Tuesday</t>
        </is>
      </c>
      <c r="I2294" t="inlineStr">
        <is>
          <t>Monthly - Tuesday</t>
        </is>
      </c>
      <c r="J2294" t="inlineStr">
        <is>
          <t>Month+2 Expiry</t>
        </is>
      </c>
      <c r="K2294" s="25" t="n">
        <v>29547</v>
      </c>
      <c r="L2294" s="26" t="n">
        <v>49.5006</v>
      </c>
      <c r="M2294" s="26" t="n">
        <v>0.8656</v>
      </c>
    </row>
    <row r="2295" ht="16" customHeight="1">
      <c r="A2295" t="inlineStr">
        <is>
          <t>05-Mar-2026</t>
        </is>
      </c>
      <c r="B2295" t="inlineStr">
        <is>
          <t>Thursday</t>
        </is>
      </c>
      <c r="C2295" t="inlineStr">
        <is>
          <t>Week1-Mar-2026</t>
        </is>
      </c>
      <c r="D2295" s="78" t="n">
        <v>46082</v>
      </c>
      <c r="E2295" t="inlineStr">
        <is>
          <t>Q4FY26</t>
        </is>
      </c>
      <c r="F2295" t="inlineStr">
        <is>
          <t>30-Jun-2026</t>
        </is>
      </c>
      <c r="G2295" t="inlineStr">
        <is>
          <t>Tuesday</t>
        </is>
      </c>
      <c r="H2295" t="inlineStr">
        <is>
          <t>Monthly - Tuesday</t>
        </is>
      </c>
      <c r="I2295" t="inlineStr">
        <is>
          <t>Monthly - Tuesday</t>
        </is>
      </c>
      <c r="J2295" t="inlineStr">
        <is>
          <t>Month+3 Expiry</t>
        </is>
      </c>
      <c r="K2295" s="25" t="n">
        <v>77953</v>
      </c>
      <c r="L2295" s="26" t="n">
        <v>128.1267</v>
      </c>
      <c r="M2295" s="26" t="n">
        <v>2.5023</v>
      </c>
    </row>
    <row r="2296" ht="16" customHeight="1">
      <c r="A2296" t="inlineStr">
        <is>
          <t>05-Mar-2026</t>
        </is>
      </c>
      <c r="B2296" t="inlineStr">
        <is>
          <t>Thursday</t>
        </is>
      </c>
      <c r="C2296" t="inlineStr">
        <is>
          <t>Week1-Mar-2026</t>
        </is>
      </c>
      <c r="D2296" s="78" t="n">
        <v>46082</v>
      </c>
      <c r="E2296" t="inlineStr">
        <is>
          <t>Q4FY26</t>
        </is>
      </c>
      <c r="F2296" t="inlineStr">
        <is>
          <t>29-Sep-2026</t>
        </is>
      </c>
      <c r="G2296" t="inlineStr">
        <is>
          <t>Tuesday</t>
        </is>
      </c>
      <c r="H2296" t="inlineStr">
        <is>
          <t>Monthly - Tuesday</t>
        </is>
      </c>
      <c r="I2296" t="inlineStr">
        <is>
          <t>Monthly - Tuesday</t>
        </is>
      </c>
      <c r="J2296" t="inlineStr">
        <is>
          <t>Month+6 Expiry</t>
        </is>
      </c>
      <c r="K2296" s="25" t="n">
        <v>6802</v>
      </c>
      <c r="L2296" s="26" t="n">
        <v>11.6806</v>
      </c>
      <c r="M2296" s="26" t="n">
        <v>0.2669</v>
      </c>
    </row>
    <row r="2297" ht="16" customHeight="1">
      <c r="A2297" t="inlineStr">
        <is>
          <t>05-Mar-2026</t>
        </is>
      </c>
      <c r="B2297" t="inlineStr">
        <is>
          <t>Thursday</t>
        </is>
      </c>
      <c r="C2297" t="inlineStr">
        <is>
          <t>Week1-Mar-2026</t>
        </is>
      </c>
      <c r="D2297" s="78" t="n">
        <v>46082</v>
      </c>
      <c r="E2297" t="inlineStr">
        <is>
          <t>Q4FY26</t>
        </is>
      </c>
      <c r="F2297" t="inlineStr">
        <is>
          <t>29-Dec-2026</t>
        </is>
      </c>
      <c r="G2297" t="inlineStr">
        <is>
          <t>Tuesday</t>
        </is>
      </c>
      <c r="H2297" t="inlineStr">
        <is>
          <t>Monthly - Tuesday</t>
        </is>
      </c>
      <c r="I2297" t="inlineStr">
        <is>
          <t>Monthly - Tuesday</t>
        </is>
      </c>
      <c r="J2297" t="inlineStr">
        <is>
          <t>Month+9 Expiry</t>
        </is>
      </c>
      <c r="K2297" s="25" t="n">
        <v>30754</v>
      </c>
      <c r="L2297" s="26" t="n">
        <v>51.0654</v>
      </c>
      <c r="M2297" s="26" t="n">
        <v>1.455</v>
      </c>
    </row>
    <row r="2298" ht="16" customHeight="1">
      <c r="A2298" t="inlineStr">
        <is>
          <t>05-Mar-2026</t>
        </is>
      </c>
      <c r="B2298" t="inlineStr">
        <is>
          <t>Thursday</t>
        </is>
      </c>
      <c r="C2298" t="inlineStr">
        <is>
          <t>Week1-Mar-2026</t>
        </is>
      </c>
      <c r="D2298" s="78" t="n">
        <v>46082</v>
      </c>
      <c r="E2298" t="inlineStr">
        <is>
          <t>Q4FY26</t>
        </is>
      </c>
      <c r="F2298" t="inlineStr">
        <is>
          <t>29-Jun-2027</t>
        </is>
      </c>
      <c r="G2298" t="inlineStr">
        <is>
          <t>Tuesday</t>
        </is>
      </c>
      <c r="H2298" t="inlineStr">
        <is>
          <t>Monthly - Tuesday</t>
        </is>
      </c>
      <c r="I2298" t="inlineStr">
        <is>
          <t>Monthly - Tuesday</t>
        </is>
      </c>
      <c r="J2298" t="inlineStr">
        <is>
          <t>Month+15 Expiry</t>
        </is>
      </c>
      <c r="K2298" s="25" t="n">
        <v>4</v>
      </c>
      <c r="L2298" s="26" t="n">
        <v>0.0071</v>
      </c>
      <c r="M2298" s="26" t="n">
        <v>0.0008</v>
      </c>
    </row>
    <row r="2299" ht="16" customHeight="1">
      <c r="A2299" t="inlineStr">
        <is>
          <t>05-Mar-2026</t>
        </is>
      </c>
      <c r="B2299" t="inlineStr">
        <is>
          <t>Thursday</t>
        </is>
      </c>
      <c r="C2299" t="inlineStr">
        <is>
          <t>Week1-Mar-2026</t>
        </is>
      </c>
      <c r="D2299" s="78" t="n">
        <v>46082</v>
      </c>
      <c r="E2299" t="inlineStr">
        <is>
          <t>Q4FY26</t>
        </is>
      </c>
      <c r="F2299" t="inlineStr">
        <is>
          <t>28-Dec-2027</t>
        </is>
      </c>
      <c r="G2299" t="inlineStr">
        <is>
          <t>Tuesday</t>
        </is>
      </c>
      <c r="H2299" t="inlineStr">
        <is>
          <t>Monthly - Tuesday</t>
        </is>
      </c>
      <c r="I2299" t="inlineStr">
        <is>
          <t>Monthly - Tuesday</t>
        </is>
      </c>
      <c r="J2299" t="inlineStr">
        <is>
          <t>Month+21 Expiry</t>
        </is>
      </c>
      <c r="K2299" s="25" t="n">
        <v>164</v>
      </c>
      <c r="L2299" s="26" t="n">
        <v>0.2727</v>
      </c>
      <c r="M2299" s="26" t="n">
        <v>0.0125</v>
      </c>
    </row>
    <row r="2300" ht="16" customHeight="1">
      <c r="A2300" t="inlineStr">
        <is>
          <t>05-Mar-2026</t>
        </is>
      </c>
      <c r="B2300" t="inlineStr">
        <is>
          <t>Thursday</t>
        </is>
      </c>
      <c r="C2300" t="inlineStr">
        <is>
          <t>Week1-Mar-2026</t>
        </is>
      </c>
      <c r="D2300" s="78" t="n">
        <v>46082</v>
      </c>
      <c r="E2300" t="inlineStr">
        <is>
          <t>Q4FY26</t>
        </is>
      </c>
      <c r="F2300" t="inlineStr">
        <is>
          <t>27-Jun-2028</t>
        </is>
      </c>
      <c r="G2300" t="inlineStr">
        <is>
          <t>Tuesday</t>
        </is>
      </c>
      <c r="H2300" t="inlineStr">
        <is>
          <t>Monthly - Tuesday</t>
        </is>
      </c>
      <c r="I2300" t="inlineStr">
        <is>
          <t>Monthly - Tuesday</t>
        </is>
      </c>
      <c r="J2300" t="inlineStr">
        <is>
          <t>Month+27 Expiry</t>
        </is>
      </c>
      <c r="K2300" s="25" t="n">
        <v>0</v>
      </c>
      <c r="L2300" s="26" t="n">
        <v>0</v>
      </c>
      <c r="M2300" s="26" t="n">
        <v>0</v>
      </c>
    </row>
    <row r="2301" ht="16" customHeight="1">
      <c r="A2301" t="inlineStr">
        <is>
          <t>05-Mar-2026</t>
        </is>
      </c>
      <c r="B2301" t="inlineStr">
        <is>
          <t>Thursday</t>
        </is>
      </c>
      <c r="C2301" t="inlineStr">
        <is>
          <t>Week1-Mar-2026</t>
        </is>
      </c>
      <c r="D2301" s="78" t="n">
        <v>46082</v>
      </c>
      <c r="E2301" t="inlineStr">
        <is>
          <t>Q4FY26</t>
        </is>
      </c>
      <c r="F2301" t="inlineStr">
        <is>
          <t>26-Dec-2028</t>
        </is>
      </c>
      <c r="G2301" t="inlineStr">
        <is>
          <t>Tuesday</t>
        </is>
      </c>
      <c r="H2301" t="inlineStr">
        <is>
          <t>Monthly - Tuesday</t>
        </is>
      </c>
      <c r="I2301" t="inlineStr">
        <is>
          <t>Monthly - Tuesday</t>
        </is>
      </c>
      <c r="J2301" t="inlineStr">
        <is>
          <t>Month+33 Expiry</t>
        </is>
      </c>
      <c r="K2301" s="25" t="n">
        <v>3</v>
      </c>
      <c r="L2301" s="26" t="n">
        <v>0.005</v>
      </c>
      <c r="M2301" s="26" t="n">
        <v>0.0002</v>
      </c>
    </row>
    <row r="2302" ht="16" customHeight="1">
      <c r="A2302" t="inlineStr">
        <is>
          <t>05-Mar-2026</t>
        </is>
      </c>
      <c r="B2302" t="inlineStr">
        <is>
          <t>Thursday</t>
        </is>
      </c>
      <c r="C2302" t="inlineStr">
        <is>
          <t>Week1-Mar-2026</t>
        </is>
      </c>
      <c r="D2302" s="78" t="n">
        <v>46082</v>
      </c>
      <c r="E2302" t="inlineStr">
        <is>
          <t>Q4FY26</t>
        </is>
      </c>
      <c r="F2302" t="inlineStr">
        <is>
          <t>26-Jun-2029</t>
        </is>
      </c>
      <c r="G2302" t="inlineStr">
        <is>
          <t>Tuesday</t>
        </is>
      </c>
      <c r="H2302" t="inlineStr">
        <is>
          <t>Monthly - Tuesday</t>
        </is>
      </c>
      <c r="I2302" t="inlineStr">
        <is>
          <t>Monthly - Tuesday</t>
        </is>
      </c>
      <c r="J2302" t="inlineStr">
        <is>
          <t>Month+39 Expiry</t>
        </is>
      </c>
      <c r="K2302" s="25" t="n">
        <v>0</v>
      </c>
      <c r="L2302" s="26" t="n">
        <v>0</v>
      </c>
      <c r="M2302" s="26" t="n">
        <v>0</v>
      </c>
    </row>
    <row r="2303" ht="16" customHeight="1">
      <c r="A2303" t="inlineStr">
        <is>
          <t>05-Mar-2026</t>
        </is>
      </c>
      <c r="B2303" t="inlineStr">
        <is>
          <t>Thursday</t>
        </is>
      </c>
      <c r="C2303" t="inlineStr">
        <is>
          <t>Week1-Mar-2026</t>
        </is>
      </c>
      <c r="D2303" s="78" t="n">
        <v>46082</v>
      </c>
      <c r="E2303" t="inlineStr">
        <is>
          <t>Q4FY26</t>
        </is>
      </c>
      <c r="F2303" t="inlineStr">
        <is>
          <t>24-Dec-2029</t>
        </is>
      </c>
      <c r="G2303" t="inlineStr">
        <is>
          <t>Monday</t>
        </is>
      </c>
      <c r="H2303" t="inlineStr">
        <is>
          <t>Weekly - Monday</t>
        </is>
      </c>
      <c r="I2303" t="inlineStr">
        <is>
          <t>Weekly - Monday</t>
        </is>
      </c>
      <c r="J2303" t="inlineStr">
        <is>
          <t>Month+45 Expiry</t>
        </is>
      </c>
      <c r="K2303" s="25" t="n">
        <v>0</v>
      </c>
      <c r="L2303" s="26" t="n">
        <v>0</v>
      </c>
      <c r="M2303" s="26" t="n">
        <v>0</v>
      </c>
    </row>
    <row r="2304" ht="16" customHeight="1">
      <c r="A2304" t="inlineStr">
        <is>
          <t>05-Mar-2026</t>
        </is>
      </c>
      <c r="B2304" t="inlineStr">
        <is>
          <t>Thursday</t>
        </is>
      </c>
      <c r="C2304" t="inlineStr">
        <is>
          <t>Week1-Mar-2026</t>
        </is>
      </c>
      <c r="D2304" s="78" t="n">
        <v>46082</v>
      </c>
      <c r="E2304" t="inlineStr">
        <is>
          <t>Q4FY26</t>
        </is>
      </c>
      <c r="F2304" t="inlineStr">
        <is>
          <t>25-Jun-2030</t>
        </is>
      </c>
      <c r="G2304" t="inlineStr">
        <is>
          <t>Tuesday</t>
        </is>
      </c>
      <c r="H2304" t="inlineStr">
        <is>
          <t>Monthly - Tuesday</t>
        </is>
      </c>
      <c r="I2304" t="inlineStr">
        <is>
          <t>Monthly - Tuesday</t>
        </is>
      </c>
      <c r="J2304" t="inlineStr">
        <is>
          <t>Month+51 Expiry</t>
        </is>
      </c>
      <c r="K2304" s="25" t="n">
        <v>0</v>
      </c>
      <c r="L2304" s="26" t="n">
        <v>0</v>
      </c>
      <c r="M2304" s="26" t="n">
        <v>0</v>
      </c>
    </row>
    <row r="2305" ht="16" customHeight="1">
      <c r="A2305" t="inlineStr">
        <is>
          <t>05-Mar-2026</t>
        </is>
      </c>
      <c r="B2305" t="inlineStr">
        <is>
          <t>Thursday</t>
        </is>
      </c>
      <c r="C2305" t="inlineStr">
        <is>
          <t>Week1-Mar-2026</t>
        </is>
      </c>
      <c r="D2305" s="78" t="n">
        <v>46082</v>
      </c>
      <c r="E2305" t="inlineStr">
        <is>
          <t>Q4FY26</t>
        </is>
      </c>
      <c r="F2305" t="inlineStr">
        <is>
          <t>31-Dec-2030</t>
        </is>
      </c>
      <c r="G2305" t="inlineStr">
        <is>
          <t>Tuesday</t>
        </is>
      </c>
      <c r="H2305" t="inlineStr">
        <is>
          <t>Monthly - Tuesday</t>
        </is>
      </c>
      <c r="I2305" t="inlineStr">
        <is>
          <t>Monthly - Tuesday</t>
        </is>
      </c>
      <c r="J2305" t="inlineStr">
        <is>
          <t>Month+57 Expiry</t>
        </is>
      </c>
      <c r="K2305" s="25" t="n">
        <v>0</v>
      </c>
      <c r="L2305" s="26" t="n">
        <v>0</v>
      </c>
      <c r="M2305" s="26" t="n">
        <v>0</v>
      </c>
    </row>
    <row r="2306" ht="16" customHeight="1">
      <c r="A2306" t="inlineStr">
        <is>
          <t>06-Mar-2026</t>
        </is>
      </c>
      <c r="B2306" t="inlineStr">
        <is>
          <t>Friday</t>
        </is>
      </c>
      <c r="C2306" t="inlineStr">
        <is>
          <t>Week1-Mar-2026</t>
        </is>
      </c>
      <c r="D2306" s="78" t="n">
        <v>46082</v>
      </c>
      <c r="E2306" t="inlineStr">
        <is>
          <t>Q4FY26</t>
        </is>
      </c>
      <c r="F2306" t="inlineStr">
        <is>
          <t>10-Mar-2026</t>
        </is>
      </c>
      <c r="G2306" t="inlineStr">
        <is>
          <t>Tuesday</t>
        </is>
      </c>
      <c r="H2306" t="inlineStr">
        <is>
          <t>Weekly - Tuesday</t>
        </is>
      </c>
      <c r="I2306" t="inlineStr">
        <is>
          <t>Weekly - Tuesday</t>
        </is>
      </c>
      <c r="J2306" t="inlineStr">
        <is>
          <t>Same Month Expiry</t>
        </is>
      </c>
      <c r="K2306" s="25" t="n">
        <v>84939570</v>
      </c>
      <c r="L2306" s="26" t="n">
        <v>136620.6405</v>
      </c>
      <c r="M2306" s="26" t="n">
        <v>651.647</v>
      </c>
    </row>
    <row r="2307" ht="16" customHeight="1">
      <c r="A2307" t="inlineStr">
        <is>
          <t>06-Mar-2026</t>
        </is>
      </c>
      <c r="B2307" t="inlineStr">
        <is>
          <t>Friday</t>
        </is>
      </c>
      <c r="C2307" t="inlineStr">
        <is>
          <t>Week1-Mar-2026</t>
        </is>
      </c>
      <c r="D2307" s="78" t="n">
        <v>46082</v>
      </c>
      <c r="E2307" t="inlineStr">
        <is>
          <t>Q4FY26</t>
        </is>
      </c>
      <c r="F2307" t="inlineStr">
        <is>
          <t>17-Mar-2026</t>
        </is>
      </c>
      <c r="G2307" t="inlineStr">
        <is>
          <t>Tuesday</t>
        </is>
      </c>
      <c r="H2307" t="inlineStr">
        <is>
          <t>Weekly - Tuesday</t>
        </is>
      </c>
      <c r="I2307" t="inlineStr">
        <is>
          <t>Weekly - Tuesday</t>
        </is>
      </c>
      <c r="J2307" t="inlineStr">
        <is>
          <t>Same Month Expiry</t>
        </is>
      </c>
      <c r="K2307" s="25" t="n">
        <v>1873835</v>
      </c>
      <c r="L2307" s="26" t="n">
        <v>3041.5762</v>
      </c>
      <c r="M2307" s="26" t="n">
        <v>21.2968</v>
      </c>
    </row>
    <row r="2308" ht="16" customHeight="1">
      <c r="A2308" t="inlineStr">
        <is>
          <t>06-Mar-2026</t>
        </is>
      </c>
      <c r="B2308" t="inlineStr">
        <is>
          <t>Friday</t>
        </is>
      </c>
      <c r="C2308" t="inlineStr">
        <is>
          <t>Week1-Mar-2026</t>
        </is>
      </c>
      <c r="D2308" s="78" t="n">
        <v>46082</v>
      </c>
      <c r="E2308" t="inlineStr">
        <is>
          <t>Q4FY26</t>
        </is>
      </c>
      <c r="F2308" t="inlineStr">
        <is>
          <t>24-Mar-2026</t>
        </is>
      </c>
      <c r="G2308" t="inlineStr">
        <is>
          <t>Tuesday</t>
        </is>
      </c>
      <c r="H2308" t="inlineStr">
        <is>
          <t>Weekly - Tuesday</t>
        </is>
      </c>
      <c r="I2308" t="inlineStr">
        <is>
          <t>Weekly - Tuesday</t>
        </is>
      </c>
      <c r="J2308" t="inlineStr">
        <is>
          <t>Same Month Expiry</t>
        </is>
      </c>
      <c r="K2308" s="25" t="n">
        <v>170147</v>
      </c>
      <c r="L2308" s="26" t="n">
        <v>276.206</v>
      </c>
      <c r="M2308" s="26" t="n">
        <v>2.0345</v>
      </c>
    </row>
    <row r="2309" ht="16" customHeight="1">
      <c r="A2309" t="inlineStr">
        <is>
          <t>06-Mar-2026</t>
        </is>
      </c>
      <c r="B2309" t="inlineStr">
        <is>
          <t>Friday</t>
        </is>
      </c>
      <c r="C2309" t="inlineStr">
        <is>
          <t>Week1-Mar-2026</t>
        </is>
      </c>
      <c r="D2309" s="78" t="n">
        <v>46082</v>
      </c>
      <c r="E2309" t="inlineStr">
        <is>
          <t>Q4FY26</t>
        </is>
      </c>
      <c r="F2309" t="inlineStr">
        <is>
          <t>30-Mar-2026</t>
        </is>
      </c>
      <c r="G2309" t="inlineStr">
        <is>
          <t>Monday</t>
        </is>
      </c>
      <c r="H2309" t="inlineStr">
        <is>
          <t>Monthly - Monday</t>
        </is>
      </c>
      <c r="I2309" t="inlineStr">
        <is>
          <t>Monthly - Monday</t>
        </is>
      </c>
      <c r="J2309" t="inlineStr">
        <is>
          <t>Same Month Expiry</t>
        </is>
      </c>
      <c r="K2309" s="25" t="n">
        <v>1451079</v>
      </c>
      <c r="L2309" s="26" t="n">
        <v>2350.4362</v>
      </c>
      <c r="M2309" s="26" t="n">
        <v>24.3523</v>
      </c>
    </row>
    <row r="2310" ht="16" customHeight="1">
      <c r="A2310" t="inlineStr">
        <is>
          <t>06-Mar-2026</t>
        </is>
      </c>
      <c r="B2310" t="inlineStr">
        <is>
          <t>Friday</t>
        </is>
      </c>
      <c r="C2310" t="inlineStr">
        <is>
          <t>Week1-Mar-2026</t>
        </is>
      </c>
      <c r="D2310" s="78" t="n">
        <v>46082</v>
      </c>
      <c r="E2310" t="inlineStr">
        <is>
          <t>Q4FY26</t>
        </is>
      </c>
      <c r="F2310" t="inlineStr">
        <is>
          <t>07-Apr-2026</t>
        </is>
      </c>
      <c r="G2310" t="inlineStr">
        <is>
          <t>Tuesday</t>
        </is>
      </c>
      <c r="H2310" t="inlineStr">
        <is>
          <t>Weekly - Tuesday</t>
        </is>
      </c>
      <c r="I2310" t="inlineStr">
        <is>
          <t>Weekly - Tuesday</t>
        </is>
      </c>
      <c r="J2310" t="inlineStr">
        <is>
          <t>Month+1 Expiry</t>
        </is>
      </c>
      <c r="K2310" s="25" t="n">
        <v>50472</v>
      </c>
      <c r="L2310" s="26" t="n">
        <v>82.71339999999999</v>
      </c>
      <c r="M2310" s="26" t="n">
        <v>1.5296</v>
      </c>
    </row>
    <row r="2311" ht="16" customHeight="1">
      <c r="A2311" t="inlineStr">
        <is>
          <t>06-Mar-2026</t>
        </is>
      </c>
      <c r="B2311" t="inlineStr">
        <is>
          <t>Friday</t>
        </is>
      </c>
      <c r="C2311" t="inlineStr">
        <is>
          <t>Week1-Mar-2026</t>
        </is>
      </c>
      <c r="D2311" s="78" t="n">
        <v>46082</v>
      </c>
      <c r="E2311" t="inlineStr">
        <is>
          <t>Q4FY26</t>
        </is>
      </c>
      <c r="F2311" t="inlineStr">
        <is>
          <t>28-Apr-2026</t>
        </is>
      </c>
      <c r="G2311" t="inlineStr">
        <is>
          <t>Tuesday</t>
        </is>
      </c>
      <c r="H2311" t="inlineStr">
        <is>
          <t>Monthly - Tuesday</t>
        </is>
      </c>
      <c r="I2311" t="inlineStr">
        <is>
          <t>Monthly - Tuesday</t>
        </is>
      </c>
      <c r="J2311" t="inlineStr">
        <is>
          <t>Month+1 Expiry</t>
        </is>
      </c>
      <c r="K2311" s="25" t="n">
        <v>159674</v>
      </c>
      <c r="L2311" s="26" t="n">
        <v>262.8992</v>
      </c>
      <c r="M2311" s="26" t="n">
        <v>3.7751</v>
      </c>
    </row>
    <row r="2312" ht="16" customHeight="1">
      <c r="A2312" t="inlineStr">
        <is>
          <t>06-Mar-2026</t>
        </is>
      </c>
      <c r="B2312" t="inlineStr">
        <is>
          <t>Friday</t>
        </is>
      </c>
      <c r="C2312" t="inlineStr">
        <is>
          <t>Week1-Mar-2026</t>
        </is>
      </c>
      <c r="D2312" s="78" t="n">
        <v>46082</v>
      </c>
      <c r="E2312" t="inlineStr">
        <is>
          <t>Q4FY26</t>
        </is>
      </c>
      <c r="F2312" t="inlineStr">
        <is>
          <t>26-May-2026</t>
        </is>
      </c>
      <c r="G2312" t="inlineStr">
        <is>
          <t>Tuesday</t>
        </is>
      </c>
      <c r="H2312" t="inlineStr">
        <is>
          <t>Monthly - Tuesday</t>
        </is>
      </c>
      <c r="I2312" t="inlineStr">
        <is>
          <t>Monthly - Tuesday</t>
        </is>
      </c>
      <c r="J2312" t="inlineStr">
        <is>
          <t>Month+2 Expiry</t>
        </is>
      </c>
      <c r="K2312" s="25" t="n">
        <v>23381</v>
      </c>
      <c r="L2312" s="26" t="n">
        <v>39.2238</v>
      </c>
      <c r="M2312" s="26" t="n">
        <v>0.6585</v>
      </c>
    </row>
    <row r="2313" ht="16" customHeight="1">
      <c r="A2313" t="inlineStr">
        <is>
          <t>06-Mar-2026</t>
        </is>
      </c>
      <c r="B2313" t="inlineStr">
        <is>
          <t>Friday</t>
        </is>
      </c>
      <c r="C2313" t="inlineStr">
        <is>
          <t>Week1-Mar-2026</t>
        </is>
      </c>
      <c r="D2313" s="78" t="n">
        <v>46082</v>
      </c>
      <c r="E2313" t="inlineStr">
        <is>
          <t>Q4FY26</t>
        </is>
      </c>
      <c r="F2313" t="inlineStr">
        <is>
          <t>30-Jun-2026</t>
        </is>
      </c>
      <c r="G2313" t="inlineStr">
        <is>
          <t>Tuesday</t>
        </is>
      </c>
      <c r="H2313" t="inlineStr">
        <is>
          <t>Monthly - Tuesday</t>
        </is>
      </c>
      <c r="I2313" t="inlineStr">
        <is>
          <t>Monthly - Tuesday</t>
        </is>
      </c>
      <c r="J2313" t="inlineStr">
        <is>
          <t>Month+3 Expiry</t>
        </is>
      </c>
      <c r="K2313" s="25" t="n">
        <v>61417</v>
      </c>
      <c r="L2313" s="26" t="n">
        <v>98.1932</v>
      </c>
      <c r="M2313" s="26" t="n">
        <v>1.6569</v>
      </c>
    </row>
    <row r="2314" ht="16" customHeight="1">
      <c r="A2314" t="inlineStr">
        <is>
          <t>06-Mar-2026</t>
        </is>
      </c>
      <c r="B2314" t="inlineStr">
        <is>
          <t>Friday</t>
        </is>
      </c>
      <c r="C2314" t="inlineStr">
        <is>
          <t>Week1-Mar-2026</t>
        </is>
      </c>
      <c r="D2314" s="78" t="n">
        <v>46082</v>
      </c>
      <c r="E2314" t="inlineStr">
        <is>
          <t>Q4FY26</t>
        </is>
      </c>
      <c r="F2314" t="inlineStr">
        <is>
          <t>29-Sep-2026</t>
        </is>
      </c>
      <c r="G2314" t="inlineStr">
        <is>
          <t>Tuesday</t>
        </is>
      </c>
      <c r="H2314" t="inlineStr">
        <is>
          <t>Monthly - Tuesday</t>
        </is>
      </c>
      <c r="I2314" t="inlineStr">
        <is>
          <t>Monthly - Tuesday</t>
        </is>
      </c>
      <c r="J2314" t="inlineStr">
        <is>
          <t>Month+6 Expiry</t>
        </is>
      </c>
      <c r="K2314" s="25" t="n">
        <v>9689</v>
      </c>
      <c r="L2314" s="26" t="n">
        <v>16.8068</v>
      </c>
      <c r="M2314" s="26" t="n">
        <v>0.4044</v>
      </c>
    </row>
    <row r="2315" ht="16" customHeight="1">
      <c r="A2315" t="inlineStr">
        <is>
          <t>06-Mar-2026</t>
        </is>
      </c>
      <c r="B2315" t="inlineStr">
        <is>
          <t>Friday</t>
        </is>
      </c>
      <c r="C2315" t="inlineStr">
        <is>
          <t>Week1-Mar-2026</t>
        </is>
      </c>
      <c r="D2315" s="78" t="n">
        <v>46082</v>
      </c>
      <c r="E2315" t="inlineStr">
        <is>
          <t>Q4FY26</t>
        </is>
      </c>
      <c r="F2315" t="inlineStr">
        <is>
          <t>29-Dec-2026</t>
        </is>
      </c>
      <c r="G2315" t="inlineStr">
        <is>
          <t>Tuesday</t>
        </is>
      </c>
      <c r="H2315" t="inlineStr">
        <is>
          <t>Monthly - Tuesday</t>
        </is>
      </c>
      <c r="I2315" t="inlineStr">
        <is>
          <t>Monthly - Tuesday</t>
        </is>
      </c>
      <c r="J2315" t="inlineStr">
        <is>
          <t>Month+9 Expiry</t>
        </is>
      </c>
      <c r="K2315" s="25" t="n">
        <v>22233</v>
      </c>
      <c r="L2315" s="26" t="n">
        <v>36.9449</v>
      </c>
      <c r="M2315" s="26" t="n">
        <v>1.0977</v>
      </c>
    </row>
    <row r="2316" ht="16" customHeight="1">
      <c r="A2316" t="inlineStr">
        <is>
          <t>06-Mar-2026</t>
        </is>
      </c>
      <c r="B2316" t="inlineStr">
        <is>
          <t>Friday</t>
        </is>
      </c>
      <c r="C2316" t="inlineStr">
        <is>
          <t>Week1-Mar-2026</t>
        </is>
      </c>
      <c r="D2316" s="78" t="n">
        <v>46082</v>
      </c>
      <c r="E2316" t="inlineStr">
        <is>
          <t>Q4FY26</t>
        </is>
      </c>
      <c r="F2316" t="inlineStr">
        <is>
          <t>29-Jun-2027</t>
        </is>
      </c>
      <c r="G2316" t="inlineStr">
        <is>
          <t>Tuesday</t>
        </is>
      </c>
      <c r="H2316" t="inlineStr">
        <is>
          <t>Monthly - Tuesday</t>
        </is>
      </c>
      <c r="I2316" t="inlineStr">
        <is>
          <t>Monthly - Tuesday</t>
        </is>
      </c>
      <c r="J2316" t="inlineStr">
        <is>
          <t>Month+15 Expiry</t>
        </is>
      </c>
      <c r="K2316" s="25" t="n">
        <v>0</v>
      </c>
      <c r="L2316" s="26" t="n">
        <v>0</v>
      </c>
      <c r="M2316" s="26" t="n">
        <v>0</v>
      </c>
    </row>
    <row r="2317" ht="16" customHeight="1">
      <c r="A2317" t="inlineStr">
        <is>
          <t>06-Mar-2026</t>
        </is>
      </c>
      <c r="B2317" t="inlineStr">
        <is>
          <t>Friday</t>
        </is>
      </c>
      <c r="C2317" t="inlineStr">
        <is>
          <t>Week1-Mar-2026</t>
        </is>
      </c>
      <c r="D2317" s="78" t="n">
        <v>46082</v>
      </c>
      <c r="E2317" t="inlineStr">
        <is>
          <t>Q4FY26</t>
        </is>
      </c>
      <c r="F2317" t="inlineStr">
        <is>
          <t>28-Dec-2027</t>
        </is>
      </c>
      <c r="G2317" t="inlineStr">
        <is>
          <t>Tuesday</t>
        </is>
      </c>
      <c r="H2317" t="inlineStr">
        <is>
          <t>Monthly - Tuesday</t>
        </is>
      </c>
      <c r="I2317" t="inlineStr">
        <is>
          <t>Monthly - Tuesday</t>
        </is>
      </c>
      <c r="J2317" t="inlineStr">
        <is>
          <t>Month+21 Expiry</t>
        </is>
      </c>
      <c r="K2317" s="25" t="n">
        <v>79</v>
      </c>
      <c r="L2317" s="26" t="n">
        <v>0.1431</v>
      </c>
      <c r="M2317" s="26" t="n">
        <v>0.008399999999999999</v>
      </c>
    </row>
    <row r="2318" ht="16" customHeight="1">
      <c r="A2318" t="inlineStr">
        <is>
          <t>06-Mar-2026</t>
        </is>
      </c>
      <c r="B2318" t="inlineStr">
        <is>
          <t>Friday</t>
        </is>
      </c>
      <c r="C2318" t="inlineStr">
        <is>
          <t>Week1-Mar-2026</t>
        </is>
      </c>
      <c r="D2318" s="78" t="n">
        <v>46082</v>
      </c>
      <c r="E2318" t="inlineStr">
        <is>
          <t>Q4FY26</t>
        </is>
      </c>
      <c r="F2318" t="inlineStr">
        <is>
          <t>27-Jun-2028</t>
        </is>
      </c>
      <c r="G2318" t="inlineStr">
        <is>
          <t>Tuesday</t>
        </is>
      </c>
      <c r="H2318" t="inlineStr">
        <is>
          <t>Monthly - Tuesday</t>
        </is>
      </c>
      <c r="I2318" t="inlineStr">
        <is>
          <t>Monthly - Tuesday</t>
        </is>
      </c>
      <c r="J2318" t="inlineStr">
        <is>
          <t>Month+27 Expiry</t>
        </is>
      </c>
      <c r="K2318" s="25" t="n">
        <v>0</v>
      </c>
      <c r="L2318" s="26" t="n">
        <v>0</v>
      </c>
      <c r="M2318" s="26" t="n">
        <v>0</v>
      </c>
    </row>
    <row r="2319" ht="16" customHeight="1">
      <c r="A2319" t="inlineStr">
        <is>
          <t>06-Mar-2026</t>
        </is>
      </c>
      <c r="B2319" t="inlineStr">
        <is>
          <t>Friday</t>
        </is>
      </c>
      <c r="C2319" t="inlineStr">
        <is>
          <t>Week1-Mar-2026</t>
        </is>
      </c>
      <c r="D2319" s="78" t="n">
        <v>46082</v>
      </c>
      <c r="E2319" t="inlineStr">
        <is>
          <t>Q4FY26</t>
        </is>
      </c>
      <c r="F2319" t="inlineStr">
        <is>
          <t>26-Dec-2028</t>
        </is>
      </c>
      <c r="G2319" t="inlineStr">
        <is>
          <t>Tuesday</t>
        </is>
      </c>
      <c r="H2319" t="inlineStr">
        <is>
          <t>Monthly - Tuesday</t>
        </is>
      </c>
      <c r="I2319" t="inlineStr">
        <is>
          <t>Monthly - Tuesday</t>
        </is>
      </c>
      <c r="J2319" t="inlineStr">
        <is>
          <t>Month+33 Expiry</t>
        </is>
      </c>
      <c r="K2319" s="25" t="n">
        <v>3</v>
      </c>
      <c r="L2319" s="26" t="n">
        <v>0.0056</v>
      </c>
      <c r="M2319" s="26" t="n">
        <v>0.0004</v>
      </c>
    </row>
    <row r="2320" ht="16" customHeight="1">
      <c r="A2320" t="inlineStr">
        <is>
          <t>06-Mar-2026</t>
        </is>
      </c>
      <c r="B2320" t="inlineStr">
        <is>
          <t>Friday</t>
        </is>
      </c>
      <c r="C2320" t="inlineStr">
        <is>
          <t>Week1-Mar-2026</t>
        </is>
      </c>
      <c r="D2320" s="78" t="n">
        <v>46082</v>
      </c>
      <c r="E2320" t="inlineStr">
        <is>
          <t>Q4FY26</t>
        </is>
      </c>
      <c r="F2320" t="inlineStr">
        <is>
          <t>26-Jun-2029</t>
        </is>
      </c>
      <c r="G2320" t="inlineStr">
        <is>
          <t>Tuesday</t>
        </is>
      </c>
      <c r="H2320" t="inlineStr">
        <is>
          <t>Monthly - Tuesday</t>
        </is>
      </c>
      <c r="I2320" t="inlineStr">
        <is>
          <t>Monthly - Tuesday</t>
        </is>
      </c>
      <c r="J2320" t="inlineStr">
        <is>
          <t>Month+39 Expiry</t>
        </is>
      </c>
      <c r="K2320" s="25" t="n">
        <v>0</v>
      </c>
      <c r="L2320" s="26" t="n">
        <v>0</v>
      </c>
      <c r="M2320" s="26" t="n">
        <v>0</v>
      </c>
    </row>
    <row r="2321" ht="16" customHeight="1">
      <c r="A2321" t="inlineStr">
        <is>
          <t>06-Mar-2026</t>
        </is>
      </c>
      <c r="B2321" t="inlineStr">
        <is>
          <t>Friday</t>
        </is>
      </c>
      <c r="C2321" t="inlineStr">
        <is>
          <t>Week1-Mar-2026</t>
        </is>
      </c>
      <c r="D2321" s="78" t="n">
        <v>46082</v>
      </c>
      <c r="E2321" t="inlineStr">
        <is>
          <t>Q4FY26</t>
        </is>
      </c>
      <c r="F2321" t="inlineStr">
        <is>
          <t>24-Dec-2029</t>
        </is>
      </c>
      <c r="G2321" t="inlineStr">
        <is>
          <t>Monday</t>
        </is>
      </c>
      <c r="H2321" t="inlineStr">
        <is>
          <t>Weekly - Monday</t>
        </is>
      </c>
      <c r="I2321" t="inlineStr">
        <is>
          <t>Weekly - Monday</t>
        </is>
      </c>
      <c r="J2321" t="inlineStr">
        <is>
          <t>Month+45 Expiry</t>
        </is>
      </c>
      <c r="K2321" s="25" t="n">
        <v>0</v>
      </c>
      <c r="L2321" s="26" t="n">
        <v>0</v>
      </c>
      <c r="M2321" s="26" t="n">
        <v>0</v>
      </c>
    </row>
    <row r="2322" ht="16" customHeight="1">
      <c r="A2322" t="inlineStr">
        <is>
          <t>06-Mar-2026</t>
        </is>
      </c>
      <c r="B2322" t="inlineStr">
        <is>
          <t>Friday</t>
        </is>
      </c>
      <c r="C2322" t="inlineStr">
        <is>
          <t>Week1-Mar-2026</t>
        </is>
      </c>
      <c r="D2322" s="78" t="n">
        <v>46082</v>
      </c>
      <c r="E2322" t="inlineStr">
        <is>
          <t>Q4FY26</t>
        </is>
      </c>
      <c r="F2322" t="inlineStr">
        <is>
          <t>25-Jun-2030</t>
        </is>
      </c>
      <c r="G2322" t="inlineStr">
        <is>
          <t>Tuesday</t>
        </is>
      </c>
      <c r="H2322" t="inlineStr">
        <is>
          <t>Monthly - Tuesday</t>
        </is>
      </c>
      <c r="I2322" t="inlineStr">
        <is>
          <t>Monthly - Tuesday</t>
        </is>
      </c>
      <c r="J2322" t="inlineStr">
        <is>
          <t>Month+51 Expiry</t>
        </is>
      </c>
      <c r="K2322" s="25" t="n">
        <v>0</v>
      </c>
      <c r="L2322" s="26" t="n">
        <v>0</v>
      </c>
      <c r="M2322" s="26" t="n">
        <v>0</v>
      </c>
    </row>
    <row r="2323" ht="16" customHeight="1">
      <c r="A2323" t="inlineStr">
        <is>
          <t>06-Mar-2026</t>
        </is>
      </c>
      <c r="B2323" t="inlineStr">
        <is>
          <t>Friday</t>
        </is>
      </c>
      <c r="C2323" t="inlineStr">
        <is>
          <t>Week1-Mar-2026</t>
        </is>
      </c>
      <c r="D2323" s="78" t="n">
        <v>46082</v>
      </c>
      <c r="E2323" t="inlineStr">
        <is>
          <t>Q4FY26</t>
        </is>
      </c>
      <c r="F2323" t="inlineStr">
        <is>
          <t>31-Dec-2030</t>
        </is>
      </c>
      <c r="G2323" t="inlineStr">
        <is>
          <t>Tuesday</t>
        </is>
      </c>
      <c r="H2323" t="inlineStr">
        <is>
          <t>Monthly - Tuesday</t>
        </is>
      </c>
      <c r="I2323" t="inlineStr">
        <is>
          <t>Monthly - Tuesday</t>
        </is>
      </c>
      <c r="J2323" t="inlineStr">
        <is>
          <t>Month+57 Expiry</t>
        </is>
      </c>
      <c r="K2323" s="25" t="n">
        <v>0</v>
      </c>
      <c r="L2323" s="26" t="n">
        <v>0</v>
      </c>
      <c r="M2323" s="26" t="n">
        <v>0</v>
      </c>
    </row>
    <row r="2324" ht="16" customHeight="1">
      <c r="A2324" t="inlineStr">
        <is>
          <t>09-Mar-2026</t>
        </is>
      </c>
      <c r="B2324" t="inlineStr">
        <is>
          <t>Monday</t>
        </is>
      </c>
      <c r="C2324" t="inlineStr">
        <is>
          <t>Week2-Mar-2026</t>
        </is>
      </c>
      <c r="D2324" s="78" t="n">
        <v>46082</v>
      </c>
      <c r="E2324" t="inlineStr">
        <is>
          <t>Q4FY26</t>
        </is>
      </c>
      <c r="F2324" t="inlineStr">
        <is>
          <t>10-Mar-2026</t>
        </is>
      </c>
      <c r="G2324" t="inlineStr">
        <is>
          <t>Tuesday</t>
        </is>
      </c>
      <c r="H2324" t="inlineStr">
        <is>
          <t>Weekly - Tuesday</t>
        </is>
      </c>
      <c r="I2324" t="inlineStr">
        <is>
          <t>Weekly - Tuesday</t>
        </is>
      </c>
      <c r="J2324" t="inlineStr">
        <is>
          <t>Same Month Expiry</t>
        </is>
      </c>
      <c r="K2324" s="25" t="n">
        <v>116014917</v>
      </c>
      <c r="L2324" s="26" t="n">
        <v>182085.2454</v>
      </c>
      <c r="M2324" s="26" t="n">
        <v>811.3696</v>
      </c>
    </row>
    <row r="2325" ht="16" customHeight="1">
      <c r="A2325" t="inlineStr">
        <is>
          <t>09-Mar-2026</t>
        </is>
      </c>
      <c r="B2325" t="inlineStr">
        <is>
          <t>Monday</t>
        </is>
      </c>
      <c r="C2325" t="inlineStr">
        <is>
          <t>Week2-Mar-2026</t>
        </is>
      </c>
      <c r="D2325" s="78" t="n">
        <v>46082</v>
      </c>
      <c r="E2325" t="inlineStr">
        <is>
          <t>Q4FY26</t>
        </is>
      </c>
      <c r="F2325" t="inlineStr">
        <is>
          <t>17-Mar-2026</t>
        </is>
      </c>
      <c r="G2325" t="inlineStr">
        <is>
          <t>Tuesday</t>
        </is>
      </c>
      <c r="H2325" t="inlineStr">
        <is>
          <t>Weekly - Tuesday</t>
        </is>
      </c>
      <c r="I2325" t="inlineStr">
        <is>
          <t>Weekly - Tuesday</t>
        </is>
      </c>
      <c r="J2325" t="inlineStr">
        <is>
          <t>Same Month Expiry</t>
        </is>
      </c>
      <c r="K2325" s="25" t="n">
        <v>3753034</v>
      </c>
      <c r="L2325" s="26" t="n">
        <v>6047.3748</v>
      </c>
      <c r="M2325" s="26" t="n">
        <v>55.1233</v>
      </c>
    </row>
    <row r="2326" ht="16" customHeight="1">
      <c r="A2326" t="inlineStr">
        <is>
          <t>09-Mar-2026</t>
        </is>
      </c>
      <c r="B2326" t="inlineStr">
        <is>
          <t>Monday</t>
        </is>
      </c>
      <c r="C2326" t="inlineStr">
        <is>
          <t>Week2-Mar-2026</t>
        </is>
      </c>
      <c r="D2326" s="78" t="n">
        <v>46082</v>
      </c>
      <c r="E2326" t="inlineStr">
        <is>
          <t>Q4FY26</t>
        </is>
      </c>
      <c r="F2326" t="inlineStr">
        <is>
          <t>24-Mar-2026</t>
        </is>
      </c>
      <c r="G2326" t="inlineStr">
        <is>
          <t>Tuesday</t>
        </is>
      </c>
      <c r="H2326" t="inlineStr">
        <is>
          <t>Weekly - Tuesday</t>
        </is>
      </c>
      <c r="I2326" t="inlineStr">
        <is>
          <t>Weekly - Tuesday</t>
        </is>
      </c>
      <c r="J2326" t="inlineStr">
        <is>
          <t>Same Month Expiry</t>
        </is>
      </c>
      <c r="K2326" s="25" t="n">
        <v>276625</v>
      </c>
      <c r="L2326" s="26" t="n">
        <v>449.658</v>
      </c>
      <c r="M2326" s="26" t="n">
        <v>4.6985</v>
      </c>
    </row>
    <row r="2327" ht="16" customHeight="1">
      <c r="A2327" t="inlineStr">
        <is>
          <t>09-Mar-2026</t>
        </is>
      </c>
      <c r="B2327" t="inlineStr">
        <is>
          <t>Monday</t>
        </is>
      </c>
      <c r="C2327" t="inlineStr">
        <is>
          <t>Week2-Mar-2026</t>
        </is>
      </c>
      <c r="D2327" s="78" t="n">
        <v>46082</v>
      </c>
      <c r="E2327" t="inlineStr">
        <is>
          <t>Q4FY26</t>
        </is>
      </c>
      <c r="F2327" t="inlineStr">
        <is>
          <t>30-Mar-2026</t>
        </is>
      </c>
      <c r="G2327" t="inlineStr">
        <is>
          <t>Monday</t>
        </is>
      </c>
      <c r="H2327" t="inlineStr">
        <is>
          <t>Monthly - Monday</t>
        </is>
      </c>
      <c r="I2327" t="inlineStr">
        <is>
          <t>Monthly - Monday</t>
        </is>
      </c>
      <c r="J2327" t="inlineStr">
        <is>
          <t>Same Month Expiry</t>
        </is>
      </c>
      <c r="K2327" s="25" t="n">
        <v>2637447</v>
      </c>
      <c r="L2327" s="26" t="n">
        <v>4216.7644</v>
      </c>
      <c r="M2327" s="26" t="n">
        <v>60.95</v>
      </c>
    </row>
    <row r="2328" ht="16" customHeight="1">
      <c r="A2328" t="inlineStr">
        <is>
          <t>09-Mar-2026</t>
        </is>
      </c>
      <c r="B2328" t="inlineStr">
        <is>
          <t>Monday</t>
        </is>
      </c>
      <c r="C2328" t="inlineStr">
        <is>
          <t>Week2-Mar-2026</t>
        </is>
      </c>
      <c r="D2328" s="78" t="n">
        <v>46082</v>
      </c>
      <c r="E2328" t="inlineStr">
        <is>
          <t>Q4FY26</t>
        </is>
      </c>
      <c r="F2328" t="inlineStr">
        <is>
          <t>07-Apr-2026</t>
        </is>
      </c>
      <c r="G2328" t="inlineStr">
        <is>
          <t>Tuesday</t>
        </is>
      </c>
      <c r="H2328" t="inlineStr">
        <is>
          <t>Weekly - Tuesday</t>
        </is>
      </c>
      <c r="I2328" t="inlineStr">
        <is>
          <t>Weekly - Tuesday</t>
        </is>
      </c>
      <c r="J2328" t="inlineStr">
        <is>
          <t>Month+1 Expiry</t>
        </is>
      </c>
      <c r="K2328" s="25" t="n">
        <v>14756</v>
      </c>
      <c r="L2328" s="26" t="n">
        <v>24.2245</v>
      </c>
      <c r="M2328" s="26" t="n">
        <v>0.4153</v>
      </c>
    </row>
    <row r="2329" ht="16" customHeight="1">
      <c r="A2329" t="inlineStr">
        <is>
          <t>09-Mar-2026</t>
        </is>
      </c>
      <c r="B2329" t="inlineStr">
        <is>
          <t>Monday</t>
        </is>
      </c>
      <c r="C2329" t="inlineStr">
        <is>
          <t>Week2-Mar-2026</t>
        </is>
      </c>
      <c r="D2329" s="78" t="n">
        <v>46082</v>
      </c>
      <c r="E2329" t="inlineStr">
        <is>
          <t>Q4FY26</t>
        </is>
      </c>
      <c r="F2329" t="inlineStr">
        <is>
          <t>28-Apr-2026</t>
        </is>
      </c>
      <c r="G2329" t="inlineStr">
        <is>
          <t>Tuesday</t>
        </is>
      </c>
      <c r="H2329" t="inlineStr">
        <is>
          <t>Monthly - Tuesday</t>
        </is>
      </c>
      <c r="I2329" t="inlineStr">
        <is>
          <t>Monthly - Tuesday</t>
        </is>
      </c>
      <c r="J2329" t="inlineStr">
        <is>
          <t>Month+1 Expiry</t>
        </is>
      </c>
      <c r="K2329" s="25" t="n">
        <v>320185</v>
      </c>
      <c r="L2329" s="26" t="n">
        <v>524.3757000000001</v>
      </c>
      <c r="M2329" s="26" t="n">
        <v>10.3271</v>
      </c>
    </row>
    <row r="2330" ht="16" customHeight="1">
      <c r="A2330" t="inlineStr">
        <is>
          <t>09-Mar-2026</t>
        </is>
      </c>
      <c r="B2330" t="inlineStr">
        <is>
          <t>Monday</t>
        </is>
      </c>
      <c r="C2330" t="inlineStr">
        <is>
          <t>Week2-Mar-2026</t>
        </is>
      </c>
      <c r="D2330" s="78" t="n">
        <v>46082</v>
      </c>
      <c r="E2330" t="inlineStr">
        <is>
          <t>Q4FY26</t>
        </is>
      </c>
      <c r="F2330" t="inlineStr">
        <is>
          <t>26-May-2026</t>
        </is>
      </c>
      <c r="G2330" t="inlineStr">
        <is>
          <t>Tuesday</t>
        </is>
      </c>
      <c r="H2330" t="inlineStr">
        <is>
          <t>Monthly - Tuesday</t>
        </is>
      </c>
      <c r="I2330" t="inlineStr">
        <is>
          <t>Monthly - Tuesday</t>
        </is>
      </c>
      <c r="J2330" t="inlineStr">
        <is>
          <t>Month+2 Expiry</t>
        </is>
      </c>
      <c r="K2330" s="25" t="n">
        <v>60203</v>
      </c>
      <c r="L2330" s="26" t="n">
        <v>100.2402</v>
      </c>
      <c r="M2330" s="26" t="n">
        <v>2.0275</v>
      </c>
    </row>
    <row r="2331" ht="16" customHeight="1">
      <c r="A2331" t="inlineStr">
        <is>
          <t>09-Mar-2026</t>
        </is>
      </c>
      <c r="B2331" t="inlineStr">
        <is>
          <t>Monday</t>
        </is>
      </c>
      <c r="C2331" t="inlineStr">
        <is>
          <t>Week2-Mar-2026</t>
        </is>
      </c>
      <c r="D2331" s="78" t="n">
        <v>46082</v>
      </c>
      <c r="E2331" t="inlineStr">
        <is>
          <t>Q4FY26</t>
        </is>
      </c>
      <c r="F2331" t="inlineStr">
        <is>
          <t>30-Jun-2026</t>
        </is>
      </c>
      <c r="G2331" t="inlineStr">
        <is>
          <t>Tuesday</t>
        </is>
      </c>
      <c r="H2331" t="inlineStr">
        <is>
          <t>Monthly - Tuesday</t>
        </is>
      </c>
      <c r="I2331" t="inlineStr">
        <is>
          <t>Monthly - Tuesday</t>
        </is>
      </c>
      <c r="J2331" t="inlineStr">
        <is>
          <t>Month+3 Expiry</t>
        </is>
      </c>
      <c r="K2331" s="25" t="n">
        <v>156468</v>
      </c>
      <c r="L2331" s="26" t="n">
        <v>249.0554</v>
      </c>
      <c r="M2331" s="26" t="n">
        <v>5.4413</v>
      </c>
    </row>
    <row r="2332" ht="16" customHeight="1">
      <c r="A2332" t="inlineStr">
        <is>
          <t>09-Mar-2026</t>
        </is>
      </c>
      <c r="B2332" t="inlineStr">
        <is>
          <t>Monday</t>
        </is>
      </c>
      <c r="C2332" t="inlineStr">
        <is>
          <t>Week2-Mar-2026</t>
        </is>
      </c>
      <c r="D2332" s="78" t="n">
        <v>46082</v>
      </c>
      <c r="E2332" t="inlineStr">
        <is>
          <t>Q4FY26</t>
        </is>
      </c>
      <c r="F2332" t="inlineStr">
        <is>
          <t>29-Sep-2026</t>
        </is>
      </c>
      <c r="G2332" t="inlineStr">
        <is>
          <t>Tuesday</t>
        </is>
      </c>
      <c r="H2332" t="inlineStr">
        <is>
          <t>Monthly - Tuesday</t>
        </is>
      </c>
      <c r="I2332" t="inlineStr">
        <is>
          <t>Monthly - Tuesday</t>
        </is>
      </c>
      <c r="J2332" t="inlineStr">
        <is>
          <t>Month+6 Expiry</t>
        </is>
      </c>
      <c r="K2332" s="25" t="n">
        <v>26174</v>
      </c>
      <c r="L2332" s="26" t="n">
        <v>44.6207</v>
      </c>
      <c r="M2332" s="26" t="n">
        <v>1.1824</v>
      </c>
    </row>
    <row r="2333" ht="16" customHeight="1">
      <c r="A2333" t="inlineStr">
        <is>
          <t>09-Mar-2026</t>
        </is>
      </c>
      <c r="B2333" t="inlineStr">
        <is>
          <t>Monday</t>
        </is>
      </c>
      <c r="C2333" t="inlineStr">
        <is>
          <t>Week2-Mar-2026</t>
        </is>
      </c>
      <c r="D2333" s="78" t="n">
        <v>46082</v>
      </c>
      <c r="E2333" t="inlineStr">
        <is>
          <t>Q4FY26</t>
        </is>
      </c>
      <c r="F2333" t="inlineStr">
        <is>
          <t>29-Dec-2026</t>
        </is>
      </c>
      <c r="G2333" t="inlineStr">
        <is>
          <t>Tuesday</t>
        </is>
      </c>
      <c r="H2333" t="inlineStr">
        <is>
          <t>Monthly - Tuesday</t>
        </is>
      </c>
      <c r="I2333" t="inlineStr">
        <is>
          <t>Monthly - Tuesday</t>
        </is>
      </c>
      <c r="J2333" t="inlineStr">
        <is>
          <t>Month+9 Expiry</t>
        </is>
      </c>
      <c r="K2333" s="25" t="n">
        <v>54592</v>
      </c>
      <c r="L2333" s="26" t="n">
        <v>92.5275</v>
      </c>
      <c r="M2333" s="26" t="n">
        <v>2.9118</v>
      </c>
    </row>
    <row r="2334" ht="16" customHeight="1">
      <c r="A2334" t="inlineStr">
        <is>
          <t>09-Mar-2026</t>
        </is>
      </c>
      <c r="B2334" t="inlineStr">
        <is>
          <t>Monday</t>
        </is>
      </c>
      <c r="C2334" t="inlineStr">
        <is>
          <t>Week2-Mar-2026</t>
        </is>
      </c>
      <c r="D2334" s="78" t="n">
        <v>46082</v>
      </c>
      <c r="E2334" t="inlineStr">
        <is>
          <t>Q4FY26</t>
        </is>
      </c>
      <c r="F2334" t="inlineStr">
        <is>
          <t>29-Jun-2027</t>
        </is>
      </c>
      <c r="G2334" t="inlineStr">
        <is>
          <t>Tuesday</t>
        </is>
      </c>
      <c r="H2334" t="inlineStr">
        <is>
          <t>Monthly - Tuesday</t>
        </is>
      </c>
      <c r="I2334" t="inlineStr">
        <is>
          <t>Monthly - Tuesday</t>
        </is>
      </c>
      <c r="J2334" t="inlineStr">
        <is>
          <t>Month+15 Expiry</t>
        </is>
      </c>
      <c r="K2334" s="25" t="n">
        <v>2</v>
      </c>
      <c r="L2334" s="26" t="n">
        <v>0.0034</v>
      </c>
      <c r="M2334" s="26" t="n">
        <v>0.0003</v>
      </c>
    </row>
    <row r="2335" ht="16" customHeight="1">
      <c r="A2335" t="inlineStr">
        <is>
          <t>09-Mar-2026</t>
        </is>
      </c>
      <c r="B2335" t="inlineStr">
        <is>
          <t>Monday</t>
        </is>
      </c>
      <c r="C2335" t="inlineStr">
        <is>
          <t>Week2-Mar-2026</t>
        </is>
      </c>
      <c r="D2335" s="78" t="n">
        <v>46082</v>
      </c>
      <c r="E2335" t="inlineStr">
        <is>
          <t>Q4FY26</t>
        </is>
      </c>
      <c r="F2335" t="inlineStr">
        <is>
          <t>28-Dec-2027</t>
        </is>
      </c>
      <c r="G2335" t="inlineStr">
        <is>
          <t>Tuesday</t>
        </is>
      </c>
      <c r="H2335" t="inlineStr">
        <is>
          <t>Monthly - Tuesday</t>
        </is>
      </c>
      <c r="I2335" t="inlineStr">
        <is>
          <t>Monthly - Tuesday</t>
        </is>
      </c>
      <c r="J2335" t="inlineStr">
        <is>
          <t>Month+21 Expiry</t>
        </is>
      </c>
      <c r="K2335" s="25" t="n">
        <v>333</v>
      </c>
      <c r="L2335" s="26" t="n">
        <v>0.5752</v>
      </c>
      <c r="M2335" s="26" t="n">
        <v>0.0346</v>
      </c>
    </row>
    <row r="2336" ht="16" customHeight="1">
      <c r="A2336" t="inlineStr">
        <is>
          <t>09-Mar-2026</t>
        </is>
      </c>
      <c r="B2336" t="inlineStr">
        <is>
          <t>Monday</t>
        </is>
      </c>
      <c r="C2336" t="inlineStr">
        <is>
          <t>Week2-Mar-2026</t>
        </is>
      </c>
      <c r="D2336" s="78" t="n">
        <v>46082</v>
      </c>
      <c r="E2336" t="inlineStr">
        <is>
          <t>Q4FY26</t>
        </is>
      </c>
      <c r="F2336" t="inlineStr">
        <is>
          <t>27-Jun-2028</t>
        </is>
      </c>
      <c r="G2336" t="inlineStr">
        <is>
          <t>Tuesday</t>
        </is>
      </c>
      <c r="H2336" t="inlineStr">
        <is>
          <t>Monthly - Tuesday</t>
        </is>
      </c>
      <c r="I2336" t="inlineStr">
        <is>
          <t>Monthly - Tuesday</t>
        </is>
      </c>
      <c r="J2336" t="inlineStr">
        <is>
          <t>Month+27 Expiry</t>
        </is>
      </c>
      <c r="K2336" s="25" t="n">
        <v>0</v>
      </c>
      <c r="L2336" s="26" t="n">
        <v>0</v>
      </c>
      <c r="M2336" s="26" t="n">
        <v>0</v>
      </c>
    </row>
    <row r="2337" ht="16" customHeight="1">
      <c r="A2337" t="inlineStr">
        <is>
          <t>09-Mar-2026</t>
        </is>
      </c>
      <c r="B2337" t="inlineStr">
        <is>
          <t>Monday</t>
        </is>
      </c>
      <c r="C2337" t="inlineStr">
        <is>
          <t>Week2-Mar-2026</t>
        </is>
      </c>
      <c r="D2337" s="78" t="n">
        <v>46082</v>
      </c>
      <c r="E2337" t="inlineStr">
        <is>
          <t>Q4FY26</t>
        </is>
      </c>
      <c r="F2337" t="inlineStr">
        <is>
          <t>26-Dec-2028</t>
        </is>
      </c>
      <c r="G2337" t="inlineStr">
        <is>
          <t>Tuesday</t>
        </is>
      </c>
      <c r="H2337" t="inlineStr">
        <is>
          <t>Monthly - Tuesday</t>
        </is>
      </c>
      <c r="I2337" t="inlineStr">
        <is>
          <t>Monthly - Tuesday</t>
        </is>
      </c>
      <c r="J2337" t="inlineStr">
        <is>
          <t>Month+33 Expiry</t>
        </is>
      </c>
      <c r="K2337" s="25" t="n">
        <v>18</v>
      </c>
      <c r="L2337" s="26" t="n">
        <v>0.0306</v>
      </c>
      <c r="M2337" s="26" t="n">
        <v>0.0017</v>
      </c>
    </row>
    <row r="2338" ht="16" customHeight="1">
      <c r="A2338" t="inlineStr">
        <is>
          <t>09-Mar-2026</t>
        </is>
      </c>
      <c r="B2338" t="inlineStr">
        <is>
          <t>Monday</t>
        </is>
      </c>
      <c r="C2338" t="inlineStr">
        <is>
          <t>Week2-Mar-2026</t>
        </is>
      </c>
      <c r="D2338" s="78" t="n">
        <v>46082</v>
      </c>
      <c r="E2338" t="inlineStr">
        <is>
          <t>Q4FY26</t>
        </is>
      </c>
      <c r="F2338" t="inlineStr">
        <is>
          <t>26-Jun-2029</t>
        </is>
      </c>
      <c r="G2338" t="inlineStr">
        <is>
          <t>Tuesday</t>
        </is>
      </c>
      <c r="H2338" t="inlineStr">
        <is>
          <t>Monthly - Tuesday</t>
        </is>
      </c>
      <c r="I2338" t="inlineStr">
        <is>
          <t>Monthly - Tuesday</t>
        </is>
      </c>
      <c r="J2338" t="inlineStr">
        <is>
          <t>Month+39 Expiry</t>
        </is>
      </c>
      <c r="K2338" s="25" t="n">
        <v>0</v>
      </c>
      <c r="L2338" s="26" t="n">
        <v>0</v>
      </c>
      <c r="M2338" s="26" t="n">
        <v>0</v>
      </c>
    </row>
    <row r="2339" ht="16" customHeight="1">
      <c r="A2339" t="inlineStr">
        <is>
          <t>09-Mar-2026</t>
        </is>
      </c>
      <c r="B2339" t="inlineStr">
        <is>
          <t>Monday</t>
        </is>
      </c>
      <c r="C2339" t="inlineStr">
        <is>
          <t>Week2-Mar-2026</t>
        </is>
      </c>
      <c r="D2339" s="78" t="n">
        <v>46082</v>
      </c>
      <c r="E2339" t="inlineStr">
        <is>
          <t>Q4FY26</t>
        </is>
      </c>
      <c r="F2339" t="inlineStr">
        <is>
          <t>24-Dec-2029</t>
        </is>
      </c>
      <c r="G2339" t="inlineStr">
        <is>
          <t>Monday</t>
        </is>
      </c>
      <c r="H2339" t="inlineStr">
        <is>
          <t>Weekly - Monday</t>
        </is>
      </c>
      <c r="I2339" t="inlineStr">
        <is>
          <t>Weekly - Monday</t>
        </is>
      </c>
      <c r="J2339" t="inlineStr">
        <is>
          <t>Month+45 Expiry</t>
        </is>
      </c>
      <c r="K2339" s="25" t="n">
        <v>0</v>
      </c>
      <c r="L2339" s="26" t="n">
        <v>0</v>
      </c>
      <c r="M2339" s="26" t="n">
        <v>0</v>
      </c>
    </row>
    <row r="2340" ht="16" customHeight="1">
      <c r="A2340" t="inlineStr">
        <is>
          <t>09-Mar-2026</t>
        </is>
      </c>
      <c r="B2340" t="inlineStr">
        <is>
          <t>Monday</t>
        </is>
      </c>
      <c r="C2340" t="inlineStr">
        <is>
          <t>Week2-Mar-2026</t>
        </is>
      </c>
      <c r="D2340" s="78" t="n">
        <v>46082</v>
      </c>
      <c r="E2340" t="inlineStr">
        <is>
          <t>Q4FY26</t>
        </is>
      </c>
      <c r="F2340" t="inlineStr">
        <is>
          <t>25-Jun-2030</t>
        </is>
      </c>
      <c r="G2340" t="inlineStr">
        <is>
          <t>Tuesday</t>
        </is>
      </c>
      <c r="H2340" t="inlineStr">
        <is>
          <t>Monthly - Tuesday</t>
        </is>
      </c>
      <c r="I2340" t="inlineStr">
        <is>
          <t>Monthly - Tuesday</t>
        </is>
      </c>
      <c r="J2340" t="inlineStr">
        <is>
          <t>Month+51 Expiry</t>
        </is>
      </c>
      <c r="K2340" s="25" t="n">
        <v>0</v>
      </c>
      <c r="L2340" s="26" t="n">
        <v>0</v>
      </c>
      <c r="M2340" s="26" t="n">
        <v>0</v>
      </c>
    </row>
    <row r="2341" ht="16" customHeight="1">
      <c r="A2341" t="inlineStr">
        <is>
          <t>09-Mar-2026</t>
        </is>
      </c>
      <c r="B2341" t="inlineStr">
        <is>
          <t>Monday</t>
        </is>
      </c>
      <c r="C2341" t="inlineStr">
        <is>
          <t>Week2-Mar-2026</t>
        </is>
      </c>
      <c r="D2341" s="78" t="n">
        <v>46082</v>
      </c>
      <c r="E2341" t="inlineStr">
        <is>
          <t>Q4FY26</t>
        </is>
      </c>
      <c r="F2341" t="inlineStr">
        <is>
          <t>31-Dec-2030</t>
        </is>
      </c>
      <c r="G2341" t="inlineStr">
        <is>
          <t>Tuesday</t>
        </is>
      </c>
      <c r="H2341" t="inlineStr">
        <is>
          <t>Monthly - Tuesday</t>
        </is>
      </c>
      <c r="I2341" t="inlineStr">
        <is>
          <t>Monthly - Tuesday</t>
        </is>
      </c>
      <c r="J2341" t="inlineStr">
        <is>
          <t>Month+57 Expiry</t>
        </is>
      </c>
      <c r="K2341" s="25" t="n">
        <v>0</v>
      </c>
      <c r="L2341" s="26" t="n">
        <v>0</v>
      </c>
      <c r="M2341" s="26" t="n">
        <v>0</v>
      </c>
    </row>
    <row r="2342" ht="16" customHeight="1">
      <c r="A2342" t="inlineStr">
        <is>
          <t>10-Mar-2026</t>
        </is>
      </c>
      <c r="B2342" t="inlineStr">
        <is>
          <t>Tuesday</t>
        </is>
      </c>
      <c r="C2342" t="inlineStr">
        <is>
          <t>Week2-Mar-2026</t>
        </is>
      </c>
      <c r="D2342" s="78" t="n">
        <v>46082</v>
      </c>
      <c r="E2342" t="inlineStr">
        <is>
          <t>Q4FY26</t>
        </is>
      </c>
      <c r="F2342" t="inlineStr">
        <is>
          <t>10-Mar-2026</t>
        </is>
      </c>
      <c r="G2342" t="inlineStr">
        <is>
          <t>Tuesday</t>
        </is>
      </c>
      <c r="H2342" t="inlineStr">
        <is>
          <t>Weekly - Tuesday</t>
        </is>
      </c>
      <c r="I2342" t="inlineStr">
        <is>
          <t>Weekly - Tuesday</t>
        </is>
      </c>
      <c r="J2342" t="inlineStr">
        <is>
          <t>Same Month Expiry</t>
        </is>
      </c>
      <c r="K2342" s="25" t="n">
        <v>425163211</v>
      </c>
      <c r="L2342" s="26" t="n">
        <v>669524.392</v>
      </c>
      <c r="M2342" s="26" t="n">
        <v>789.4694</v>
      </c>
    </row>
    <row r="2343" ht="16" customHeight="1">
      <c r="A2343" t="inlineStr">
        <is>
          <t>10-Mar-2026</t>
        </is>
      </c>
      <c r="B2343" t="inlineStr">
        <is>
          <t>Tuesday</t>
        </is>
      </c>
      <c r="C2343" t="inlineStr">
        <is>
          <t>Week2-Mar-2026</t>
        </is>
      </c>
      <c r="D2343" s="78" t="n">
        <v>46082</v>
      </c>
      <c r="E2343" t="inlineStr">
        <is>
          <t>Q4FY26</t>
        </is>
      </c>
      <c r="F2343" t="inlineStr">
        <is>
          <t>17-Mar-2026</t>
        </is>
      </c>
      <c r="G2343" t="inlineStr">
        <is>
          <t>Tuesday</t>
        </is>
      </c>
      <c r="H2343" t="inlineStr">
        <is>
          <t>Weekly - Tuesday</t>
        </is>
      </c>
      <c r="I2343" t="inlineStr">
        <is>
          <t>Weekly - Tuesday</t>
        </is>
      </c>
      <c r="J2343" t="inlineStr">
        <is>
          <t>Same Month Expiry</t>
        </is>
      </c>
      <c r="K2343" s="25" t="n">
        <v>8549848</v>
      </c>
      <c r="L2343" s="26" t="n">
        <v>13595.8476</v>
      </c>
      <c r="M2343" s="26" t="n">
        <v>78.0385</v>
      </c>
    </row>
    <row r="2344" ht="16" customHeight="1">
      <c r="A2344" t="inlineStr">
        <is>
          <t>10-Mar-2026</t>
        </is>
      </c>
      <c r="B2344" t="inlineStr">
        <is>
          <t>Tuesday</t>
        </is>
      </c>
      <c r="C2344" t="inlineStr">
        <is>
          <t>Week2-Mar-2026</t>
        </is>
      </c>
      <c r="D2344" s="78" t="n">
        <v>46082</v>
      </c>
      <c r="E2344" t="inlineStr">
        <is>
          <t>Q4FY26</t>
        </is>
      </c>
      <c r="F2344" t="inlineStr">
        <is>
          <t>24-Mar-2026</t>
        </is>
      </c>
      <c r="G2344" t="inlineStr">
        <is>
          <t>Tuesday</t>
        </is>
      </c>
      <c r="H2344" t="inlineStr">
        <is>
          <t>Weekly - Tuesday</t>
        </is>
      </c>
      <c r="I2344" t="inlineStr">
        <is>
          <t>Weekly - Tuesday</t>
        </is>
      </c>
      <c r="J2344" t="inlineStr">
        <is>
          <t>Same Month Expiry</t>
        </is>
      </c>
      <c r="K2344" s="25" t="n">
        <v>367959</v>
      </c>
      <c r="L2344" s="26" t="n">
        <v>593.3285</v>
      </c>
      <c r="M2344" s="26" t="n">
        <v>4.2061</v>
      </c>
    </row>
    <row r="2345" ht="16" customHeight="1">
      <c r="A2345" t="inlineStr">
        <is>
          <t>10-Mar-2026</t>
        </is>
      </c>
      <c r="B2345" t="inlineStr">
        <is>
          <t>Tuesday</t>
        </is>
      </c>
      <c r="C2345" t="inlineStr">
        <is>
          <t>Week2-Mar-2026</t>
        </is>
      </c>
      <c r="D2345" s="78" t="n">
        <v>46082</v>
      </c>
      <c r="E2345" t="inlineStr">
        <is>
          <t>Q4FY26</t>
        </is>
      </c>
      <c r="F2345" t="inlineStr">
        <is>
          <t>30-Mar-2026</t>
        </is>
      </c>
      <c r="G2345" t="inlineStr">
        <is>
          <t>Monday</t>
        </is>
      </c>
      <c r="H2345" t="inlineStr">
        <is>
          <t>Monthly - Monday</t>
        </is>
      </c>
      <c r="I2345" t="inlineStr">
        <is>
          <t>Monthly - Monday</t>
        </is>
      </c>
      <c r="J2345" t="inlineStr">
        <is>
          <t>Same Month Expiry</t>
        </is>
      </c>
      <c r="K2345" s="25" t="n">
        <v>1895498</v>
      </c>
      <c r="L2345" s="26" t="n">
        <v>3023.8697</v>
      </c>
      <c r="M2345" s="26" t="n">
        <v>30.8329</v>
      </c>
    </row>
    <row r="2346" ht="16" customHeight="1">
      <c r="A2346" t="inlineStr">
        <is>
          <t>10-Mar-2026</t>
        </is>
      </c>
      <c r="B2346" t="inlineStr">
        <is>
          <t>Tuesday</t>
        </is>
      </c>
      <c r="C2346" t="inlineStr">
        <is>
          <t>Week2-Mar-2026</t>
        </is>
      </c>
      <c r="D2346" s="78" t="n">
        <v>46082</v>
      </c>
      <c r="E2346" t="inlineStr">
        <is>
          <t>Q4FY26</t>
        </is>
      </c>
      <c r="F2346" t="inlineStr">
        <is>
          <t>07-Apr-2026</t>
        </is>
      </c>
      <c r="G2346" t="inlineStr">
        <is>
          <t>Tuesday</t>
        </is>
      </c>
      <c r="H2346" t="inlineStr">
        <is>
          <t>Weekly - Tuesday</t>
        </is>
      </c>
      <c r="I2346" t="inlineStr">
        <is>
          <t>Weekly - Tuesday</t>
        </is>
      </c>
      <c r="J2346" t="inlineStr">
        <is>
          <t>Month+1 Expiry</t>
        </is>
      </c>
      <c r="K2346" s="25" t="n">
        <v>37371</v>
      </c>
      <c r="L2346" s="26" t="n">
        <v>60.2897</v>
      </c>
      <c r="M2346" s="26" t="n">
        <v>1.0666</v>
      </c>
    </row>
    <row r="2347" ht="16" customHeight="1">
      <c r="A2347" t="inlineStr">
        <is>
          <t>10-Mar-2026</t>
        </is>
      </c>
      <c r="B2347" t="inlineStr">
        <is>
          <t>Tuesday</t>
        </is>
      </c>
      <c r="C2347" t="inlineStr">
        <is>
          <t>Week2-Mar-2026</t>
        </is>
      </c>
      <c r="D2347" s="78" t="n">
        <v>46082</v>
      </c>
      <c r="E2347" t="inlineStr">
        <is>
          <t>Q4FY26</t>
        </is>
      </c>
      <c r="F2347" t="inlineStr">
        <is>
          <t>28-Apr-2026</t>
        </is>
      </c>
      <c r="G2347" t="inlineStr">
        <is>
          <t>Tuesday</t>
        </is>
      </c>
      <c r="H2347" t="inlineStr">
        <is>
          <t>Monthly - Tuesday</t>
        </is>
      </c>
      <c r="I2347" t="inlineStr">
        <is>
          <t>Monthly - Tuesday</t>
        </is>
      </c>
      <c r="J2347" t="inlineStr">
        <is>
          <t>Month+1 Expiry</t>
        </is>
      </c>
      <c r="K2347" s="25" t="n">
        <v>229431</v>
      </c>
      <c r="L2347" s="26" t="n">
        <v>373.3252</v>
      </c>
      <c r="M2347" s="26" t="n">
        <v>5.5772</v>
      </c>
    </row>
    <row r="2348" ht="16" customHeight="1">
      <c r="A2348" t="inlineStr">
        <is>
          <t>10-Mar-2026</t>
        </is>
      </c>
      <c r="B2348" t="inlineStr">
        <is>
          <t>Tuesday</t>
        </is>
      </c>
      <c r="C2348" t="inlineStr">
        <is>
          <t>Week2-Mar-2026</t>
        </is>
      </c>
      <c r="D2348" s="78" t="n">
        <v>46082</v>
      </c>
      <c r="E2348" t="inlineStr">
        <is>
          <t>Q4FY26</t>
        </is>
      </c>
      <c r="F2348" t="inlineStr">
        <is>
          <t>26-May-2026</t>
        </is>
      </c>
      <c r="G2348" t="inlineStr">
        <is>
          <t>Tuesday</t>
        </is>
      </c>
      <c r="H2348" t="inlineStr">
        <is>
          <t>Monthly - Tuesday</t>
        </is>
      </c>
      <c r="I2348" t="inlineStr">
        <is>
          <t>Monthly - Tuesday</t>
        </is>
      </c>
      <c r="J2348" t="inlineStr">
        <is>
          <t>Month+2 Expiry</t>
        </is>
      </c>
      <c r="K2348" s="25" t="n">
        <v>39323</v>
      </c>
      <c r="L2348" s="26" t="n">
        <v>64.62690000000001</v>
      </c>
      <c r="M2348" s="26" t="n">
        <v>1.1346</v>
      </c>
    </row>
    <row r="2349" ht="16" customHeight="1">
      <c r="A2349" t="inlineStr">
        <is>
          <t>10-Mar-2026</t>
        </is>
      </c>
      <c r="B2349" t="inlineStr">
        <is>
          <t>Tuesday</t>
        </is>
      </c>
      <c r="C2349" t="inlineStr">
        <is>
          <t>Week2-Mar-2026</t>
        </is>
      </c>
      <c r="D2349" s="78" t="n">
        <v>46082</v>
      </c>
      <c r="E2349" t="inlineStr">
        <is>
          <t>Q4FY26</t>
        </is>
      </c>
      <c r="F2349" t="inlineStr">
        <is>
          <t>30-Jun-2026</t>
        </is>
      </c>
      <c r="G2349" t="inlineStr">
        <is>
          <t>Tuesday</t>
        </is>
      </c>
      <c r="H2349" t="inlineStr">
        <is>
          <t>Monthly - Tuesday</t>
        </is>
      </c>
      <c r="I2349" t="inlineStr">
        <is>
          <t>Monthly - Tuesday</t>
        </is>
      </c>
      <c r="J2349" t="inlineStr">
        <is>
          <t>Month+3 Expiry</t>
        </is>
      </c>
      <c r="K2349" s="25" t="n">
        <v>89429</v>
      </c>
      <c r="L2349" s="26" t="n">
        <v>142.0156</v>
      </c>
      <c r="M2349" s="26" t="n">
        <v>2.5094</v>
      </c>
    </row>
    <row r="2350" ht="16" customHeight="1">
      <c r="A2350" t="inlineStr">
        <is>
          <t>10-Mar-2026</t>
        </is>
      </c>
      <c r="B2350" t="inlineStr">
        <is>
          <t>Tuesday</t>
        </is>
      </c>
      <c r="C2350" t="inlineStr">
        <is>
          <t>Week2-Mar-2026</t>
        </is>
      </c>
      <c r="D2350" s="78" t="n">
        <v>46082</v>
      </c>
      <c r="E2350" t="inlineStr">
        <is>
          <t>Q4FY26</t>
        </is>
      </c>
      <c r="F2350" t="inlineStr">
        <is>
          <t>29-Sep-2026</t>
        </is>
      </c>
      <c r="G2350" t="inlineStr">
        <is>
          <t>Tuesday</t>
        </is>
      </c>
      <c r="H2350" t="inlineStr">
        <is>
          <t>Monthly - Tuesday</t>
        </is>
      </c>
      <c r="I2350" t="inlineStr">
        <is>
          <t>Monthly - Tuesday</t>
        </is>
      </c>
      <c r="J2350" t="inlineStr">
        <is>
          <t>Month+6 Expiry</t>
        </is>
      </c>
      <c r="K2350" s="25" t="n">
        <v>21544</v>
      </c>
      <c r="L2350" s="26" t="n">
        <v>35.7249</v>
      </c>
      <c r="M2350" s="26" t="n">
        <v>0.9</v>
      </c>
    </row>
    <row r="2351" ht="16" customHeight="1">
      <c r="A2351" t="inlineStr">
        <is>
          <t>10-Mar-2026</t>
        </is>
      </c>
      <c r="B2351" t="inlineStr">
        <is>
          <t>Tuesday</t>
        </is>
      </c>
      <c r="C2351" t="inlineStr">
        <is>
          <t>Week2-Mar-2026</t>
        </is>
      </c>
      <c r="D2351" s="78" t="n">
        <v>46082</v>
      </c>
      <c r="E2351" t="inlineStr">
        <is>
          <t>Q4FY26</t>
        </is>
      </c>
      <c r="F2351" t="inlineStr">
        <is>
          <t>29-Dec-2026</t>
        </is>
      </c>
      <c r="G2351" t="inlineStr">
        <is>
          <t>Tuesday</t>
        </is>
      </c>
      <c r="H2351" t="inlineStr">
        <is>
          <t>Monthly - Tuesday</t>
        </is>
      </c>
      <c r="I2351" t="inlineStr">
        <is>
          <t>Monthly - Tuesday</t>
        </is>
      </c>
      <c r="J2351" t="inlineStr">
        <is>
          <t>Month+9 Expiry</t>
        </is>
      </c>
      <c r="K2351" s="25" t="n">
        <v>38255</v>
      </c>
      <c r="L2351" s="26" t="n">
        <v>63.6518</v>
      </c>
      <c r="M2351" s="26" t="n">
        <v>1.9214</v>
      </c>
    </row>
    <row r="2352" ht="16" customHeight="1">
      <c r="A2352" t="inlineStr">
        <is>
          <t>10-Mar-2026</t>
        </is>
      </c>
      <c r="B2352" t="inlineStr">
        <is>
          <t>Tuesday</t>
        </is>
      </c>
      <c r="C2352" t="inlineStr">
        <is>
          <t>Week2-Mar-2026</t>
        </is>
      </c>
      <c r="D2352" s="78" t="n">
        <v>46082</v>
      </c>
      <c r="E2352" t="inlineStr">
        <is>
          <t>Q4FY26</t>
        </is>
      </c>
      <c r="F2352" t="inlineStr">
        <is>
          <t>29-Jun-2027</t>
        </is>
      </c>
      <c r="G2352" t="inlineStr">
        <is>
          <t>Tuesday</t>
        </is>
      </c>
      <c r="H2352" t="inlineStr">
        <is>
          <t>Monthly - Tuesday</t>
        </is>
      </c>
      <c r="I2352" t="inlineStr">
        <is>
          <t>Monthly - Tuesday</t>
        </is>
      </c>
      <c r="J2352" t="inlineStr">
        <is>
          <t>Month+15 Expiry</t>
        </is>
      </c>
      <c r="K2352" s="25" t="n">
        <v>0</v>
      </c>
      <c r="L2352" s="26" t="n">
        <v>0</v>
      </c>
      <c r="M2352" s="26" t="n">
        <v>0</v>
      </c>
    </row>
    <row r="2353" ht="16" customHeight="1">
      <c r="A2353" t="inlineStr">
        <is>
          <t>10-Mar-2026</t>
        </is>
      </c>
      <c r="B2353" t="inlineStr">
        <is>
          <t>Tuesday</t>
        </is>
      </c>
      <c r="C2353" t="inlineStr">
        <is>
          <t>Week2-Mar-2026</t>
        </is>
      </c>
      <c r="D2353" s="78" t="n">
        <v>46082</v>
      </c>
      <c r="E2353" t="inlineStr">
        <is>
          <t>Q4FY26</t>
        </is>
      </c>
      <c r="F2353" t="inlineStr">
        <is>
          <t>28-Dec-2027</t>
        </is>
      </c>
      <c r="G2353" t="inlineStr">
        <is>
          <t>Tuesday</t>
        </is>
      </c>
      <c r="H2353" t="inlineStr">
        <is>
          <t>Monthly - Tuesday</t>
        </is>
      </c>
      <c r="I2353" t="inlineStr">
        <is>
          <t>Monthly - Tuesday</t>
        </is>
      </c>
      <c r="J2353" t="inlineStr">
        <is>
          <t>Month+21 Expiry</t>
        </is>
      </c>
      <c r="K2353" s="25" t="n">
        <v>113</v>
      </c>
      <c r="L2353" s="26" t="n">
        <v>0.1905</v>
      </c>
      <c r="M2353" s="26" t="n">
        <v>0.01</v>
      </c>
    </row>
    <row r="2354" ht="16" customHeight="1">
      <c r="A2354" t="inlineStr">
        <is>
          <t>10-Mar-2026</t>
        </is>
      </c>
      <c r="B2354" t="inlineStr">
        <is>
          <t>Tuesday</t>
        </is>
      </c>
      <c r="C2354" t="inlineStr">
        <is>
          <t>Week2-Mar-2026</t>
        </is>
      </c>
      <c r="D2354" s="78" t="n">
        <v>46082</v>
      </c>
      <c r="E2354" t="inlineStr">
        <is>
          <t>Q4FY26</t>
        </is>
      </c>
      <c r="F2354" t="inlineStr">
        <is>
          <t>27-Jun-2028</t>
        </is>
      </c>
      <c r="G2354" t="inlineStr">
        <is>
          <t>Tuesday</t>
        </is>
      </c>
      <c r="H2354" t="inlineStr">
        <is>
          <t>Monthly - Tuesday</t>
        </is>
      </c>
      <c r="I2354" t="inlineStr">
        <is>
          <t>Monthly - Tuesday</t>
        </is>
      </c>
      <c r="J2354" t="inlineStr">
        <is>
          <t>Month+27 Expiry</t>
        </is>
      </c>
      <c r="K2354" s="25" t="n">
        <v>2</v>
      </c>
      <c r="L2354" s="26" t="n">
        <v>0.0029</v>
      </c>
      <c r="M2354" s="26" t="n">
        <v>0.0001</v>
      </c>
    </row>
    <row r="2355" ht="16" customHeight="1">
      <c r="A2355" t="inlineStr">
        <is>
          <t>10-Mar-2026</t>
        </is>
      </c>
      <c r="B2355" t="inlineStr">
        <is>
          <t>Tuesday</t>
        </is>
      </c>
      <c r="C2355" t="inlineStr">
        <is>
          <t>Week2-Mar-2026</t>
        </is>
      </c>
      <c r="D2355" s="78" t="n">
        <v>46082</v>
      </c>
      <c r="E2355" t="inlineStr">
        <is>
          <t>Q4FY26</t>
        </is>
      </c>
      <c r="F2355" t="inlineStr">
        <is>
          <t>26-Dec-2028</t>
        </is>
      </c>
      <c r="G2355" t="inlineStr">
        <is>
          <t>Tuesday</t>
        </is>
      </c>
      <c r="H2355" t="inlineStr">
        <is>
          <t>Monthly - Tuesday</t>
        </is>
      </c>
      <c r="I2355" t="inlineStr">
        <is>
          <t>Monthly - Tuesday</t>
        </is>
      </c>
      <c r="J2355" t="inlineStr">
        <is>
          <t>Month+33 Expiry</t>
        </is>
      </c>
      <c r="K2355" s="25" t="n">
        <v>5</v>
      </c>
      <c r="L2355" s="26" t="n">
        <v>0.008800000000000001</v>
      </c>
      <c r="M2355" s="26" t="n">
        <v>0.0005</v>
      </c>
    </row>
    <row r="2356" ht="16" customHeight="1">
      <c r="A2356" t="inlineStr">
        <is>
          <t>10-Mar-2026</t>
        </is>
      </c>
      <c r="B2356" t="inlineStr">
        <is>
          <t>Tuesday</t>
        </is>
      </c>
      <c r="C2356" t="inlineStr">
        <is>
          <t>Week2-Mar-2026</t>
        </is>
      </c>
      <c r="D2356" s="78" t="n">
        <v>46082</v>
      </c>
      <c r="E2356" t="inlineStr">
        <is>
          <t>Q4FY26</t>
        </is>
      </c>
      <c r="F2356" t="inlineStr">
        <is>
          <t>26-Jun-2029</t>
        </is>
      </c>
      <c r="G2356" t="inlineStr">
        <is>
          <t>Tuesday</t>
        </is>
      </c>
      <c r="H2356" t="inlineStr">
        <is>
          <t>Monthly - Tuesday</t>
        </is>
      </c>
      <c r="I2356" t="inlineStr">
        <is>
          <t>Monthly - Tuesday</t>
        </is>
      </c>
      <c r="J2356" t="inlineStr">
        <is>
          <t>Month+39 Expiry</t>
        </is>
      </c>
      <c r="K2356" s="25" t="n">
        <v>0</v>
      </c>
      <c r="L2356" s="26" t="n">
        <v>0</v>
      </c>
      <c r="M2356" s="26" t="n">
        <v>0</v>
      </c>
    </row>
    <row r="2357" ht="16" customHeight="1">
      <c r="A2357" t="inlineStr">
        <is>
          <t>10-Mar-2026</t>
        </is>
      </c>
      <c r="B2357" t="inlineStr">
        <is>
          <t>Tuesday</t>
        </is>
      </c>
      <c r="C2357" t="inlineStr">
        <is>
          <t>Week2-Mar-2026</t>
        </is>
      </c>
      <c r="D2357" s="78" t="n">
        <v>46082</v>
      </c>
      <c r="E2357" t="inlineStr">
        <is>
          <t>Q4FY26</t>
        </is>
      </c>
      <c r="F2357" t="inlineStr">
        <is>
          <t>24-Dec-2029</t>
        </is>
      </c>
      <c r="G2357" t="inlineStr">
        <is>
          <t>Monday</t>
        </is>
      </c>
      <c r="H2357" t="inlineStr">
        <is>
          <t>Weekly - Monday</t>
        </is>
      </c>
      <c r="I2357" t="inlineStr">
        <is>
          <t>Weekly - Monday</t>
        </is>
      </c>
      <c r="J2357" t="inlineStr">
        <is>
          <t>Month+45 Expiry</t>
        </is>
      </c>
      <c r="K2357" s="25" t="n">
        <v>0</v>
      </c>
      <c r="L2357" s="26" t="n">
        <v>0</v>
      </c>
      <c r="M2357" s="26" t="n">
        <v>0</v>
      </c>
    </row>
    <row r="2358" ht="16" customHeight="1">
      <c r="A2358" t="inlineStr">
        <is>
          <t>10-Mar-2026</t>
        </is>
      </c>
      <c r="B2358" t="inlineStr">
        <is>
          <t>Tuesday</t>
        </is>
      </c>
      <c r="C2358" t="inlineStr">
        <is>
          <t>Week2-Mar-2026</t>
        </is>
      </c>
      <c r="D2358" s="78" t="n">
        <v>46082</v>
      </c>
      <c r="E2358" t="inlineStr">
        <is>
          <t>Q4FY26</t>
        </is>
      </c>
      <c r="F2358" t="inlineStr">
        <is>
          <t>25-Jun-2030</t>
        </is>
      </c>
      <c r="G2358" t="inlineStr">
        <is>
          <t>Tuesday</t>
        </is>
      </c>
      <c r="H2358" t="inlineStr">
        <is>
          <t>Monthly - Tuesday</t>
        </is>
      </c>
      <c r="I2358" t="inlineStr">
        <is>
          <t>Monthly - Tuesday</t>
        </is>
      </c>
      <c r="J2358" t="inlineStr">
        <is>
          <t>Month+51 Expiry</t>
        </is>
      </c>
      <c r="K2358" s="25" t="n">
        <v>0</v>
      </c>
      <c r="L2358" s="26" t="n">
        <v>0</v>
      </c>
      <c r="M2358" s="26" t="n">
        <v>0</v>
      </c>
    </row>
    <row r="2359" ht="16" customHeight="1">
      <c r="A2359" t="inlineStr">
        <is>
          <t>10-Mar-2026</t>
        </is>
      </c>
      <c r="B2359" t="inlineStr">
        <is>
          <t>Tuesday</t>
        </is>
      </c>
      <c r="C2359" t="inlineStr">
        <is>
          <t>Week2-Mar-2026</t>
        </is>
      </c>
      <c r="D2359" s="78" t="n">
        <v>46082</v>
      </c>
      <c r="E2359" t="inlineStr">
        <is>
          <t>Q4FY26</t>
        </is>
      </c>
      <c r="F2359" t="inlineStr">
        <is>
          <t>31-Dec-2030</t>
        </is>
      </c>
      <c r="G2359" t="inlineStr">
        <is>
          <t>Tuesday</t>
        </is>
      </c>
      <c r="H2359" t="inlineStr">
        <is>
          <t>Monthly - Tuesday</t>
        </is>
      </c>
      <c r="I2359" t="inlineStr">
        <is>
          <t>Monthly - Tuesday</t>
        </is>
      </c>
      <c r="J2359" t="inlineStr">
        <is>
          <t>Month+57 Expiry</t>
        </is>
      </c>
      <c r="K2359" s="25" t="n">
        <v>0</v>
      </c>
      <c r="L2359" s="26" t="n">
        <v>0</v>
      </c>
      <c r="M2359" s="26" t="n">
        <v>0</v>
      </c>
    </row>
    <row r="2360" ht="16" customHeight="1">
      <c r="A2360" t="inlineStr">
        <is>
          <t>11-Mar-2026</t>
        </is>
      </c>
      <c r="B2360" t="inlineStr">
        <is>
          <t>Wednesday</t>
        </is>
      </c>
      <c r="C2360" t="inlineStr">
        <is>
          <t>Week2-Mar-2026</t>
        </is>
      </c>
      <c r="D2360" s="78" t="n">
        <v>46082</v>
      </c>
      <c r="E2360" t="inlineStr">
        <is>
          <t>Q4FY26</t>
        </is>
      </c>
      <c r="F2360" t="inlineStr">
        <is>
          <t>17-Mar-2026</t>
        </is>
      </c>
      <c r="G2360" t="inlineStr">
        <is>
          <t>Tuesday</t>
        </is>
      </c>
      <c r="H2360" t="inlineStr">
        <is>
          <t>Weekly - Tuesday</t>
        </is>
      </c>
      <c r="I2360" t="inlineStr">
        <is>
          <t>Weekly - Tuesday</t>
        </is>
      </c>
      <c r="J2360" t="inlineStr">
        <is>
          <t>Same Month Expiry</t>
        </is>
      </c>
      <c r="K2360" s="25" t="n">
        <v>45503497</v>
      </c>
      <c r="L2360" s="26" t="n">
        <v>71673.24770000001</v>
      </c>
      <c r="M2360" s="26" t="n">
        <v>448.3868</v>
      </c>
    </row>
    <row r="2361" ht="16" customHeight="1">
      <c r="A2361" t="inlineStr">
        <is>
          <t>11-Mar-2026</t>
        </is>
      </c>
      <c r="B2361" t="inlineStr">
        <is>
          <t>Wednesday</t>
        </is>
      </c>
      <c r="C2361" t="inlineStr">
        <is>
          <t>Week2-Mar-2026</t>
        </is>
      </c>
      <c r="D2361" s="78" t="n">
        <v>46082</v>
      </c>
      <c r="E2361" t="inlineStr">
        <is>
          <t>Q4FY26</t>
        </is>
      </c>
      <c r="F2361" t="inlineStr">
        <is>
          <t>24-Mar-2026</t>
        </is>
      </c>
      <c r="G2361" t="inlineStr">
        <is>
          <t>Tuesday</t>
        </is>
      </c>
      <c r="H2361" t="inlineStr">
        <is>
          <t>Weekly - Tuesday</t>
        </is>
      </c>
      <c r="I2361" t="inlineStr">
        <is>
          <t>Weekly - Tuesday</t>
        </is>
      </c>
      <c r="J2361" t="inlineStr">
        <is>
          <t>Same Month Expiry</t>
        </is>
      </c>
      <c r="K2361" s="25" t="n">
        <v>973670</v>
      </c>
      <c r="L2361" s="26" t="n">
        <v>1558.0289</v>
      </c>
      <c r="M2361" s="26" t="n">
        <v>12.0228</v>
      </c>
    </row>
    <row r="2362" ht="16" customHeight="1">
      <c r="A2362" t="inlineStr">
        <is>
          <t>11-Mar-2026</t>
        </is>
      </c>
      <c r="B2362" t="inlineStr">
        <is>
          <t>Wednesday</t>
        </is>
      </c>
      <c r="C2362" t="inlineStr">
        <is>
          <t>Week2-Mar-2026</t>
        </is>
      </c>
      <c r="D2362" s="78" t="n">
        <v>46082</v>
      </c>
      <c r="E2362" t="inlineStr">
        <is>
          <t>Q4FY26</t>
        </is>
      </c>
      <c r="F2362" t="inlineStr">
        <is>
          <t>30-Mar-2026</t>
        </is>
      </c>
      <c r="G2362" t="inlineStr">
        <is>
          <t>Monday</t>
        </is>
      </c>
      <c r="H2362" t="inlineStr">
        <is>
          <t>Monthly - Monday</t>
        </is>
      </c>
      <c r="I2362" t="inlineStr">
        <is>
          <t>Monthly - Monday</t>
        </is>
      </c>
      <c r="J2362" t="inlineStr">
        <is>
          <t>Same Month Expiry</t>
        </is>
      </c>
      <c r="K2362" s="25" t="n">
        <v>2172235</v>
      </c>
      <c r="L2362" s="26" t="n">
        <v>3446.4992</v>
      </c>
      <c r="M2362" s="26" t="n">
        <v>35.0869</v>
      </c>
    </row>
    <row r="2363" ht="16" customHeight="1">
      <c r="A2363" t="inlineStr">
        <is>
          <t>11-Mar-2026</t>
        </is>
      </c>
      <c r="B2363" t="inlineStr">
        <is>
          <t>Wednesday</t>
        </is>
      </c>
      <c r="C2363" t="inlineStr">
        <is>
          <t>Week2-Mar-2026</t>
        </is>
      </c>
      <c r="D2363" s="78" t="n">
        <v>46082</v>
      </c>
      <c r="E2363" t="inlineStr">
        <is>
          <t>Q4FY26</t>
        </is>
      </c>
      <c r="F2363" t="inlineStr">
        <is>
          <t>07-Apr-2026</t>
        </is>
      </c>
      <c r="G2363" t="inlineStr">
        <is>
          <t>Tuesday</t>
        </is>
      </c>
      <c r="H2363" t="inlineStr">
        <is>
          <t>Weekly - Tuesday</t>
        </is>
      </c>
      <c r="I2363" t="inlineStr">
        <is>
          <t>Weekly - Tuesday</t>
        </is>
      </c>
      <c r="J2363" t="inlineStr">
        <is>
          <t>Month+1 Expiry</t>
        </is>
      </c>
      <c r="K2363" s="25" t="n">
        <v>55182</v>
      </c>
      <c r="L2363" s="26" t="n">
        <v>88.7713</v>
      </c>
      <c r="M2363" s="26" t="n">
        <v>1.5409</v>
      </c>
    </row>
    <row r="2364" ht="16" customHeight="1">
      <c r="A2364" t="inlineStr">
        <is>
          <t>11-Mar-2026</t>
        </is>
      </c>
      <c r="B2364" t="inlineStr">
        <is>
          <t>Wednesday</t>
        </is>
      </c>
      <c r="C2364" t="inlineStr">
        <is>
          <t>Week2-Mar-2026</t>
        </is>
      </c>
      <c r="D2364" s="78" t="n">
        <v>46082</v>
      </c>
      <c r="E2364" t="inlineStr">
        <is>
          <t>Q4FY26</t>
        </is>
      </c>
      <c r="F2364" t="inlineStr">
        <is>
          <t>13-Apr-2026</t>
        </is>
      </c>
      <c r="G2364" t="inlineStr">
        <is>
          <t>Monday</t>
        </is>
      </c>
      <c r="H2364" t="inlineStr">
        <is>
          <t>Weekly - Monday</t>
        </is>
      </c>
      <c r="I2364" t="inlineStr">
        <is>
          <t>Weekly - Monday</t>
        </is>
      </c>
      <c r="J2364" t="inlineStr">
        <is>
          <t>Month+1 Expiry</t>
        </is>
      </c>
      <c r="K2364" s="25" t="n">
        <v>576</v>
      </c>
      <c r="L2364" s="26" t="n">
        <v>0.9491000000000001</v>
      </c>
      <c r="M2364" s="26" t="n">
        <v>0.0098</v>
      </c>
    </row>
    <row r="2365" ht="16" customHeight="1">
      <c r="A2365" t="inlineStr">
        <is>
          <t>11-Mar-2026</t>
        </is>
      </c>
      <c r="B2365" t="inlineStr">
        <is>
          <t>Wednesday</t>
        </is>
      </c>
      <c r="C2365" t="inlineStr">
        <is>
          <t>Week2-Mar-2026</t>
        </is>
      </c>
      <c r="D2365" s="78" t="n">
        <v>46082</v>
      </c>
      <c r="E2365" t="inlineStr">
        <is>
          <t>Q4FY26</t>
        </is>
      </c>
      <c r="F2365" t="inlineStr">
        <is>
          <t>28-Apr-2026</t>
        </is>
      </c>
      <c r="G2365" t="inlineStr">
        <is>
          <t>Tuesday</t>
        </is>
      </c>
      <c r="H2365" t="inlineStr">
        <is>
          <t>Monthly - Tuesday</t>
        </is>
      </c>
      <c r="I2365" t="inlineStr">
        <is>
          <t>Monthly - Tuesday</t>
        </is>
      </c>
      <c r="J2365" t="inlineStr">
        <is>
          <t>Month+1 Expiry</t>
        </is>
      </c>
      <c r="K2365" s="25" t="n">
        <v>245105</v>
      </c>
      <c r="L2365" s="26" t="n">
        <v>398.1331</v>
      </c>
      <c r="M2365" s="26" t="n">
        <v>5.6815</v>
      </c>
    </row>
    <row r="2366" ht="16" customHeight="1">
      <c r="A2366" t="inlineStr">
        <is>
          <t>11-Mar-2026</t>
        </is>
      </c>
      <c r="B2366" t="inlineStr">
        <is>
          <t>Wednesday</t>
        </is>
      </c>
      <c r="C2366" t="inlineStr">
        <is>
          <t>Week2-Mar-2026</t>
        </is>
      </c>
      <c r="D2366" s="78" t="n">
        <v>46082</v>
      </c>
      <c r="E2366" t="inlineStr">
        <is>
          <t>Q4FY26</t>
        </is>
      </c>
      <c r="F2366" t="inlineStr">
        <is>
          <t>26-May-2026</t>
        </is>
      </c>
      <c r="G2366" t="inlineStr">
        <is>
          <t>Tuesday</t>
        </is>
      </c>
      <c r="H2366" t="inlineStr">
        <is>
          <t>Monthly - Tuesday</t>
        </is>
      </c>
      <c r="I2366" t="inlineStr">
        <is>
          <t>Monthly - Tuesday</t>
        </is>
      </c>
      <c r="J2366" t="inlineStr">
        <is>
          <t>Month+2 Expiry</t>
        </is>
      </c>
      <c r="K2366" s="25" t="n">
        <v>38810</v>
      </c>
      <c r="L2366" s="26" t="n">
        <v>63.3649</v>
      </c>
      <c r="M2366" s="26" t="n">
        <v>1.125</v>
      </c>
    </row>
    <row r="2367" ht="16" customHeight="1">
      <c r="A2367" t="inlineStr">
        <is>
          <t>11-Mar-2026</t>
        </is>
      </c>
      <c r="B2367" t="inlineStr">
        <is>
          <t>Wednesday</t>
        </is>
      </c>
      <c r="C2367" t="inlineStr">
        <is>
          <t>Week2-Mar-2026</t>
        </is>
      </c>
      <c r="D2367" s="78" t="n">
        <v>46082</v>
      </c>
      <c r="E2367" t="inlineStr">
        <is>
          <t>Q4FY26</t>
        </is>
      </c>
      <c r="F2367" t="inlineStr">
        <is>
          <t>30-Jun-2026</t>
        </is>
      </c>
      <c r="G2367" t="inlineStr">
        <is>
          <t>Tuesday</t>
        </is>
      </c>
      <c r="H2367" t="inlineStr">
        <is>
          <t>Monthly - Tuesday</t>
        </is>
      </c>
      <c r="I2367" t="inlineStr">
        <is>
          <t>Monthly - Tuesday</t>
        </is>
      </c>
      <c r="J2367" t="inlineStr">
        <is>
          <t>Month+3 Expiry</t>
        </is>
      </c>
      <c r="K2367" s="25" t="n">
        <v>89769</v>
      </c>
      <c r="L2367" s="26" t="n">
        <v>141.3789</v>
      </c>
      <c r="M2367" s="26" t="n">
        <v>2.5114</v>
      </c>
    </row>
    <row r="2368" ht="16" customHeight="1">
      <c r="A2368" t="inlineStr">
        <is>
          <t>11-Mar-2026</t>
        </is>
      </c>
      <c r="B2368" t="inlineStr">
        <is>
          <t>Wednesday</t>
        </is>
      </c>
      <c r="C2368" t="inlineStr">
        <is>
          <t>Week2-Mar-2026</t>
        </is>
      </c>
      <c r="D2368" s="78" t="n">
        <v>46082</v>
      </c>
      <c r="E2368" t="inlineStr">
        <is>
          <t>Q4FY26</t>
        </is>
      </c>
      <c r="F2368" t="inlineStr">
        <is>
          <t>29-Sep-2026</t>
        </is>
      </c>
      <c r="G2368" t="inlineStr">
        <is>
          <t>Tuesday</t>
        </is>
      </c>
      <c r="H2368" t="inlineStr">
        <is>
          <t>Monthly - Tuesday</t>
        </is>
      </c>
      <c r="I2368" t="inlineStr">
        <is>
          <t>Monthly - Tuesday</t>
        </is>
      </c>
      <c r="J2368" t="inlineStr">
        <is>
          <t>Month+6 Expiry</t>
        </is>
      </c>
      <c r="K2368" s="25" t="n">
        <v>13907</v>
      </c>
      <c r="L2368" s="26" t="n">
        <v>24.0722</v>
      </c>
      <c r="M2368" s="26" t="n">
        <v>0.4341</v>
      </c>
    </row>
    <row r="2369" ht="16" customHeight="1">
      <c r="A2369" t="inlineStr">
        <is>
          <t>11-Mar-2026</t>
        </is>
      </c>
      <c r="B2369" t="inlineStr">
        <is>
          <t>Wednesday</t>
        </is>
      </c>
      <c r="C2369" t="inlineStr">
        <is>
          <t>Week2-Mar-2026</t>
        </is>
      </c>
      <c r="D2369" s="78" t="n">
        <v>46082</v>
      </c>
      <c r="E2369" t="inlineStr">
        <is>
          <t>Q4FY26</t>
        </is>
      </c>
      <c r="F2369" t="inlineStr">
        <is>
          <t>29-Dec-2026</t>
        </is>
      </c>
      <c r="G2369" t="inlineStr">
        <is>
          <t>Tuesday</t>
        </is>
      </c>
      <c r="H2369" t="inlineStr">
        <is>
          <t>Monthly - Tuesday</t>
        </is>
      </c>
      <c r="I2369" t="inlineStr">
        <is>
          <t>Monthly - Tuesday</t>
        </is>
      </c>
      <c r="J2369" t="inlineStr">
        <is>
          <t>Month+9 Expiry</t>
        </is>
      </c>
      <c r="K2369" s="25" t="n">
        <v>44128</v>
      </c>
      <c r="L2369" s="26" t="n">
        <v>72.7786</v>
      </c>
      <c r="M2369" s="26" t="n">
        <v>2.1401</v>
      </c>
    </row>
    <row r="2370" ht="16" customHeight="1">
      <c r="A2370" t="inlineStr">
        <is>
          <t>11-Mar-2026</t>
        </is>
      </c>
      <c r="B2370" t="inlineStr">
        <is>
          <t>Wednesday</t>
        </is>
      </c>
      <c r="C2370" t="inlineStr">
        <is>
          <t>Week2-Mar-2026</t>
        </is>
      </c>
      <c r="D2370" s="78" t="n">
        <v>46082</v>
      </c>
      <c r="E2370" t="inlineStr">
        <is>
          <t>Q4FY26</t>
        </is>
      </c>
      <c r="F2370" t="inlineStr">
        <is>
          <t>29-Jun-2027</t>
        </is>
      </c>
      <c r="G2370" t="inlineStr">
        <is>
          <t>Tuesday</t>
        </is>
      </c>
      <c r="H2370" t="inlineStr">
        <is>
          <t>Monthly - Tuesday</t>
        </is>
      </c>
      <c r="I2370" t="inlineStr">
        <is>
          <t>Monthly - Tuesday</t>
        </is>
      </c>
      <c r="J2370" t="inlineStr">
        <is>
          <t>Month+15 Expiry</t>
        </is>
      </c>
      <c r="K2370" s="25" t="n">
        <v>2</v>
      </c>
      <c r="L2370" s="26" t="n">
        <v>0.0028</v>
      </c>
      <c r="M2370" s="26" t="n">
        <v>0</v>
      </c>
    </row>
    <row r="2371" ht="16" customHeight="1">
      <c r="A2371" t="inlineStr">
        <is>
          <t>11-Mar-2026</t>
        </is>
      </c>
      <c r="B2371" t="inlineStr">
        <is>
          <t>Wednesday</t>
        </is>
      </c>
      <c r="C2371" t="inlineStr">
        <is>
          <t>Week2-Mar-2026</t>
        </is>
      </c>
      <c r="D2371" s="78" t="n">
        <v>46082</v>
      </c>
      <c r="E2371" t="inlineStr">
        <is>
          <t>Q4FY26</t>
        </is>
      </c>
      <c r="F2371" t="inlineStr">
        <is>
          <t>28-Dec-2027</t>
        </is>
      </c>
      <c r="G2371" t="inlineStr">
        <is>
          <t>Tuesday</t>
        </is>
      </c>
      <c r="H2371" t="inlineStr">
        <is>
          <t>Monthly - Tuesday</t>
        </is>
      </c>
      <c r="I2371" t="inlineStr">
        <is>
          <t>Monthly - Tuesday</t>
        </is>
      </c>
      <c r="J2371" t="inlineStr">
        <is>
          <t>Month+21 Expiry</t>
        </is>
      </c>
      <c r="K2371" s="25" t="n">
        <v>199</v>
      </c>
      <c r="L2371" s="26" t="n">
        <v>0.3487</v>
      </c>
      <c r="M2371" s="26" t="n">
        <v>0.0236</v>
      </c>
    </row>
    <row r="2372" ht="16" customHeight="1">
      <c r="A2372" t="inlineStr">
        <is>
          <t>11-Mar-2026</t>
        </is>
      </c>
      <c r="B2372" t="inlineStr">
        <is>
          <t>Wednesday</t>
        </is>
      </c>
      <c r="C2372" t="inlineStr">
        <is>
          <t>Week2-Mar-2026</t>
        </is>
      </c>
      <c r="D2372" s="78" t="n">
        <v>46082</v>
      </c>
      <c r="E2372" t="inlineStr">
        <is>
          <t>Q4FY26</t>
        </is>
      </c>
      <c r="F2372" t="inlineStr">
        <is>
          <t>27-Jun-2028</t>
        </is>
      </c>
      <c r="G2372" t="inlineStr">
        <is>
          <t>Tuesday</t>
        </is>
      </c>
      <c r="H2372" t="inlineStr">
        <is>
          <t>Monthly - Tuesday</t>
        </is>
      </c>
      <c r="I2372" t="inlineStr">
        <is>
          <t>Monthly - Tuesday</t>
        </is>
      </c>
      <c r="J2372" t="inlineStr">
        <is>
          <t>Month+27 Expiry</t>
        </is>
      </c>
      <c r="K2372" s="25" t="n">
        <v>2</v>
      </c>
      <c r="L2372" s="26" t="n">
        <v>0.0029</v>
      </c>
      <c r="M2372" s="26" t="n">
        <v>0.0001</v>
      </c>
    </row>
    <row r="2373" ht="16" customHeight="1">
      <c r="A2373" t="inlineStr">
        <is>
          <t>11-Mar-2026</t>
        </is>
      </c>
      <c r="B2373" t="inlineStr">
        <is>
          <t>Wednesday</t>
        </is>
      </c>
      <c r="C2373" t="inlineStr">
        <is>
          <t>Week2-Mar-2026</t>
        </is>
      </c>
      <c r="D2373" s="78" t="n">
        <v>46082</v>
      </c>
      <c r="E2373" t="inlineStr">
        <is>
          <t>Q4FY26</t>
        </is>
      </c>
      <c r="F2373" t="inlineStr">
        <is>
          <t>26-Dec-2028</t>
        </is>
      </c>
      <c r="G2373" t="inlineStr">
        <is>
          <t>Tuesday</t>
        </is>
      </c>
      <c r="H2373" t="inlineStr">
        <is>
          <t>Monthly - Tuesday</t>
        </is>
      </c>
      <c r="I2373" t="inlineStr">
        <is>
          <t>Monthly - Tuesday</t>
        </is>
      </c>
      <c r="J2373" t="inlineStr">
        <is>
          <t>Month+33 Expiry</t>
        </is>
      </c>
      <c r="K2373" s="25" t="n">
        <v>6</v>
      </c>
      <c r="L2373" s="26" t="n">
        <v>0.0112</v>
      </c>
      <c r="M2373" s="26" t="n">
        <v>0.0008</v>
      </c>
    </row>
    <row r="2374" ht="16" customHeight="1">
      <c r="A2374" t="inlineStr">
        <is>
          <t>11-Mar-2026</t>
        </is>
      </c>
      <c r="B2374" t="inlineStr">
        <is>
          <t>Wednesday</t>
        </is>
      </c>
      <c r="C2374" t="inlineStr">
        <is>
          <t>Week2-Mar-2026</t>
        </is>
      </c>
      <c r="D2374" s="78" t="n">
        <v>46082</v>
      </c>
      <c r="E2374" t="inlineStr">
        <is>
          <t>Q4FY26</t>
        </is>
      </c>
      <c r="F2374" t="inlineStr">
        <is>
          <t>26-Jun-2029</t>
        </is>
      </c>
      <c r="G2374" t="inlineStr">
        <is>
          <t>Tuesday</t>
        </is>
      </c>
      <c r="H2374" t="inlineStr">
        <is>
          <t>Monthly - Tuesday</t>
        </is>
      </c>
      <c r="I2374" t="inlineStr">
        <is>
          <t>Monthly - Tuesday</t>
        </is>
      </c>
      <c r="J2374" t="inlineStr">
        <is>
          <t>Month+39 Expiry</t>
        </is>
      </c>
      <c r="K2374" s="25" t="n">
        <v>0</v>
      </c>
      <c r="L2374" s="26" t="n">
        <v>0</v>
      </c>
      <c r="M2374" s="26" t="n">
        <v>0</v>
      </c>
    </row>
    <row r="2375" ht="16" customHeight="1">
      <c r="A2375" t="inlineStr">
        <is>
          <t>11-Mar-2026</t>
        </is>
      </c>
      <c r="B2375" t="inlineStr">
        <is>
          <t>Wednesday</t>
        </is>
      </c>
      <c r="C2375" t="inlineStr">
        <is>
          <t>Week2-Mar-2026</t>
        </is>
      </c>
      <c r="D2375" s="78" t="n">
        <v>46082</v>
      </c>
      <c r="E2375" t="inlineStr">
        <is>
          <t>Q4FY26</t>
        </is>
      </c>
      <c r="F2375" t="inlineStr">
        <is>
          <t>24-Dec-2029</t>
        </is>
      </c>
      <c r="G2375" t="inlineStr">
        <is>
          <t>Monday</t>
        </is>
      </c>
      <c r="H2375" t="inlineStr">
        <is>
          <t>Weekly - Monday</t>
        </is>
      </c>
      <c r="I2375" t="inlineStr">
        <is>
          <t>Weekly - Monday</t>
        </is>
      </c>
      <c r="J2375" t="inlineStr">
        <is>
          <t>Month+45 Expiry</t>
        </is>
      </c>
      <c r="K2375" s="25" t="n">
        <v>0</v>
      </c>
      <c r="L2375" s="26" t="n">
        <v>0</v>
      </c>
      <c r="M2375" s="26" t="n">
        <v>0</v>
      </c>
    </row>
    <row r="2376" ht="16" customHeight="1">
      <c r="A2376" t="inlineStr">
        <is>
          <t>11-Mar-2026</t>
        </is>
      </c>
      <c r="B2376" t="inlineStr">
        <is>
          <t>Wednesday</t>
        </is>
      </c>
      <c r="C2376" t="inlineStr">
        <is>
          <t>Week2-Mar-2026</t>
        </is>
      </c>
      <c r="D2376" s="78" t="n">
        <v>46082</v>
      </c>
      <c r="E2376" t="inlineStr">
        <is>
          <t>Q4FY26</t>
        </is>
      </c>
      <c r="F2376" t="inlineStr">
        <is>
          <t>25-Jun-2030</t>
        </is>
      </c>
      <c r="G2376" t="inlineStr">
        <is>
          <t>Tuesday</t>
        </is>
      </c>
      <c r="H2376" t="inlineStr">
        <is>
          <t>Monthly - Tuesday</t>
        </is>
      </c>
      <c r="I2376" t="inlineStr">
        <is>
          <t>Monthly - Tuesday</t>
        </is>
      </c>
      <c r="J2376" t="inlineStr">
        <is>
          <t>Month+51 Expiry</t>
        </is>
      </c>
      <c r="K2376" s="25" t="n">
        <v>0</v>
      </c>
      <c r="L2376" s="26" t="n">
        <v>0</v>
      </c>
      <c r="M2376" s="26" t="n">
        <v>0</v>
      </c>
    </row>
    <row r="2377" ht="16" customHeight="1">
      <c r="A2377" t="inlineStr">
        <is>
          <t>11-Mar-2026</t>
        </is>
      </c>
      <c r="B2377" t="inlineStr">
        <is>
          <t>Wednesday</t>
        </is>
      </c>
      <c r="C2377" t="inlineStr">
        <is>
          <t>Week2-Mar-2026</t>
        </is>
      </c>
      <c r="D2377" s="78" t="n">
        <v>46082</v>
      </c>
      <c r="E2377" t="inlineStr">
        <is>
          <t>Q4FY26</t>
        </is>
      </c>
      <c r="F2377" t="inlineStr">
        <is>
          <t>31-Dec-2030</t>
        </is>
      </c>
      <c r="G2377" t="inlineStr">
        <is>
          <t>Tuesday</t>
        </is>
      </c>
      <c r="H2377" t="inlineStr">
        <is>
          <t>Monthly - Tuesday</t>
        </is>
      </c>
      <c r="I2377" t="inlineStr">
        <is>
          <t>Monthly - Tuesday</t>
        </is>
      </c>
      <c r="J2377" t="inlineStr">
        <is>
          <t>Month+57 Expiry</t>
        </is>
      </c>
      <c r="K2377" s="25" t="n">
        <v>0</v>
      </c>
      <c r="L2377" s="26" t="n">
        <v>0</v>
      </c>
      <c r="M2377" s="26" t="n">
        <v>0</v>
      </c>
    </row>
    <row r="2378" ht="16" customHeight="1">
      <c r="A2378" t="inlineStr">
        <is>
          <t>12-Mar-2026</t>
        </is>
      </c>
      <c r="B2378" t="inlineStr">
        <is>
          <t>Thursday</t>
        </is>
      </c>
      <c r="C2378" t="inlineStr">
        <is>
          <t>Week2-Mar-2026</t>
        </is>
      </c>
      <c r="D2378" s="78" t="n">
        <v>46082</v>
      </c>
      <c r="E2378" t="inlineStr">
        <is>
          <t>Q4FY26</t>
        </is>
      </c>
      <c r="F2378" t="inlineStr">
        <is>
          <t>17-Mar-2026</t>
        </is>
      </c>
      <c r="G2378" t="inlineStr">
        <is>
          <t>Tuesday</t>
        </is>
      </c>
      <c r="H2378" t="inlineStr">
        <is>
          <t>Weekly - Tuesday</t>
        </is>
      </c>
      <c r="I2378" t="inlineStr">
        <is>
          <t>Weekly - Tuesday</t>
        </is>
      </c>
      <c r="J2378" t="inlineStr">
        <is>
          <t>Same Month Expiry</t>
        </is>
      </c>
      <c r="K2378" s="25" t="n">
        <v>45091715</v>
      </c>
      <c r="L2378" s="26" t="n">
        <v>70357.5616</v>
      </c>
      <c r="M2378" s="26" t="n">
        <v>391.2304</v>
      </c>
    </row>
    <row r="2379" ht="16" customHeight="1">
      <c r="A2379" t="inlineStr">
        <is>
          <t>12-Mar-2026</t>
        </is>
      </c>
      <c r="B2379" t="inlineStr">
        <is>
          <t>Thursday</t>
        </is>
      </c>
      <c r="C2379" t="inlineStr">
        <is>
          <t>Week2-Mar-2026</t>
        </is>
      </c>
      <c r="D2379" s="78" t="n">
        <v>46082</v>
      </c>
      <c r="E2379" t="inlineStr">
        <is>
          <t>Q4FY26</t>
        </is>
      </c>
      <c r="F2379" t="inlineStr">
        <is>
          <t>24-Mar-2026</t>
        </is>
      </c>
      <c r="G2379" t="inlineStr">
        <is>
          <t>Tuesday</t>
        </is>
      </c>
      <c r="H2379" t="inlineStr">
        <is>
          <t>Weekly - Tuesday</t>
        </is>
      </c>
      <c r="I2379" t="inlineStr">
        <is>
          <t>Weekly - Tuesday</t>
        </is>
      </c>
      <c r="J2379" t="inlineStr">
        <is>
          <t>Same Month Expiry</t>
        </is>
      </c>
      <c r="K2379" s="25" t="n">
        <v>1166287</v>
      </c>
      <c r="L2379" s="26" t="n">
        <v>1847.0291</v>
      </c>
      <c r="M2379" s="26" t="n">
        <v>14.5939</v>
      </c>
    </row>
    <row r="2380" ht="16" customHeight="1">
      <c r="A2380" t="inlineStr">
        <is>
          <t>12-Mar-2026</t>
        </is>
      </c>
      <c r="B2380" t="inlineStr">
        <is>
          <t>Thursday</t>
        </is>
      </c>
      <c r="C2380" t="inlineStr">
        <is>
          <t>Week2-Mar-2026</t>
        </is>
      </c>
      <c r="D2380" s="78" t="n">
        <v>46082</v>
      </c>
      <c r="E2380" t="inlineStr">
        <is>
          <t>Q4FY26</t>
        </is>
      </c>
      <c r="F2380" t="inlineStr">
        <is>
          <t>30-Mar-2026</t>
        </is>
      </c>
      <c r="G2380" t="inlineStr">
        <is>
          <t>Monday</t>
        </is>
      </c>
      <c r="H2380" t="inlineStr">
        <is>
          <t>Monthly - Monday</t>
        </is>
      </c>
      <c r="I2380" t="inlineStr">
        <is>
          <t>Monthly - Monday</t>
        </is>
      </c>
      <c r="J2380" t="inlineStr">
        <is>
          <t>Same Month Expiry</t>
        </is>
      </c>
      <c r="K2380" s="25" t="n">
        <v>2231977</v>
      </c>
      <c r="L2380" s="26" t="n">
        <v>3518.6</v>
      </c>
      <c r="M2380" s="26" t="n">
        <v>40.8587</v>
      </c>
    </row>
    <row r="2381" ht="16" customHeight="1">
      <c r="A2381" t="inlineStr">
        <is>
          <t>12-Mar-2026</t>
        </is>
      </c>
      <c r="B2381" t="inlineStr">
        <is>
          <t>Thursday</t>
        </is>
      </c>
      <c r="C2381" t="inlineStr">
        <is>
          <t>Week2-Mar-2026</t>
        </is>
      </c>
      <c r="D2381" s="78" t="n">
        <v>46082</v>
      </c>
      <c r="E2381" t="inlineStr">
        <is>
          <t>Q4FY26</t>
        </is>
      </c>
      <c r="F2381" t="inlineStr">
        <is>
          <t>07-Apr-2026</t>
        </is>
      </c>
      <c r="G2381" t="inlineStr">
        <is>
          <t>Tuesday</t>
        </is>
      </c>
      <c r="H2381" t="inlineStr">
        <is>
          <t>Weekly - Tuesday</t>
        </is>
      </c>
      <c r="I2381" t="inlineStr">
        <is>
          <t>Weekly - Tuesday</t>
        </is>
      </c>
      <c r="J2381" t="inlineStr">
        <is>
          <t>Month+1 Expiry</t>
        </is>
      </c>
      <c r="K2381" s="25" t="n">
        <v>90675</v>
      </c>
      <c r="L2381" s="26" t="n">
        <v>146.6371</v>
      </c>
      <c r="M2381" s="26" t="n">
        <v>2.274</v>
      </c>
    </row>
    <row r="2382" ht="16" customHeight="1">
      <c r="A2382" t="inlineStr">
        <is>
          <t>12-Mar-2026</t>
        </is>
      </c>
      <c r="B2382" t="inlineStr">
        <is>
          <t>Thursday</t>
        </is>
      </c>
      <c r="C2382" t="inlineStr">
        <is>
          <t>Week2-Mar-2026</t>
        </is>
      </c>
      <c r="D2382" s="78" t="n">
        <v>46082</v>
      </c>
      <c r="E2382" t="inlineStr">
        <is>
          <t>Q4FY26</t>
        </is>
      </c>
      <c r="F2382" t="inlineStr">
        <is>
          <t>13-Apr-2026</t>
        </is>
      </c>
      <c r="G2382" t="inlineStr">
        <is>
          <t>Monday</t>
        </is>
      </c>
      <c r="H2382" t="inlineStr">
        <is>
          <t>Weekly - Monday</t>
        </is>
      </c>
      <c r="I2382" t="inlineStr">
        <is>
          <t>Weekly - Monday</t>
        </is>
      </c>
      <c r="J2382" t="inlineStr">
        <is>
          <t>Month+1 Expiry</t>
        </is>
      </c>
      <c r="K2382" s="25" t="n">
        <v>1158</v>
      </c>
      <c r="L2382" s="26" t="n">
        <v>1.9101</v>
      </c>
      <c r="M2382" s="26" t="n">
        <v>0.0156</v>
      </c>
    </row>
    <row r="2383" ht="16" customHeight="1">
      <c r="A2383" t="inlineStr">
        <is>
          <t>12-Mar-2026</t>
        </is>
      </c>
      <c r="B2383" t="inlineStr">
        <is>
          <t>Thursday</t>
        </is>
      </c>
      <c r="C2383" t="inlineStr">
        <is>
          <t>Week2-Mar-2026</t>
        </is>
      </c>
      <c r="D2383" s="78" t="n">
        <v>46082</v>
      </c>
      <c r="E2383" t="inlineStr">
        <is>
          <t>Q4FY26</t>
        </is>
      </c>
      <c r="F2383" t="inlineStr">
        <is>
          <t>28-Apr-2026</t>
        </is>
      </c>
      <c r="G2383" t="inlineStr">
        <is>
          <t>Tuesday</t>
        </is>
      </c>
      <c r="H2383" t="inlineStr">
        <is>
          <t>Monthly - Tuesday</t>
        </is>
      </c>
      <c r="I2383" t="inlineStr">
        <is>
          <t>Monthly - Tuesday</t>
        </is>
      </c>
      <c r="J2383" t="inlineStr">
        <is>
          <t>Month+1 Expiry</t>
        </is>
      </c>
      <c r="K2383" s="25" t="n">
        <v>289555</v>
      </c>
      <c r="L2383" s="26" t="n">
        <v>468.8964</v>
      </c>
      <c r="M2383" s="26" t="n">
        <v>7.5197</v>
      </c>
    </row>
    <row r="2384" ht="16" customHeight="1">
      <c r="A2384" t="inlineStr">
        <is>
          <t>12-Mar-2026</t>
        </is>
      </c>
      <c r="B2384" t="inlineStr">
        <is>
          <t>Thursday</t>
        </is>
      </c>
      <c r="C2384" t="inlineStr">
        <is>
          <t>Week2-Mar-2026</t>
        </is>
      </c>
      <c r="D2384" s="78" t="n">
        <v>46082</v>
      </c>
      <c r="E2384" t="inlineStr">
        <is>
          <t>Q4FY26</t>
        </is>
      </c>
      <c r="F2384" t="inlineStr">
        <is>
          <t>26-May-2026</t>
        </is>
      </c>
      <c r="G2384" t="inlineStr">
        <is>
          <t>Tuesday</t>
        </is>
      </c>
      <c r="H2384" t="inlineStr">
        <is>
          <t>Monthly - Tuesday</t>
        </is>
      </c>
      <c r="I2384" t="inlineStr">
        <is>
          <t>Monthly - Tuesday</t>
        </is>
      </c>
      <c r="J2384" t="inlineStr">
        <is>
          <t>Month+2 Expiry</t>
        </is>
      </c>
      <c r="K2384" s="25" t="n">
        <v>47360</v>
      </c>
      <c r="L2384" s="26" t="n">
        <v>76.8681</v>
      </c>
      <c r="M2384" s="26" t="n">
        <v>1.3544</v>
      </c>
    </row>
    <row r="2385" ht="16" customHeight="1">
      <c r="A2385" t="inlineStr">
        <is>
          <t>12-Mar-2026</t>
        </is>
      </c>
      <c r="B2385" t="inlineStr">
        <is>
          <t>Thursday</t>
        </is>
      </c>
      <c r="C2385" t="inlineStr">
        <is>
          <t>Week2-Mar-2026</t>
        </is>
      </c>
      <c r="D2385" s="78" t="n">
        <v>46082</v>
      </c>
      <c r="E2385" t="inlineStr">
        <is>
          <t>Q4FY26</t>
        </is>
      </c>
      <c r="F2385" t="inlineStr">
        <is>
          <t>30-Jun-2026</t>
        </is>
      </c>
      <c r="G2385" t="inlineStr">
        <is>
          <t>Tuesday</t>
        </is>
      </c>
      <c r="H2385" t="inlineStr">
        <is>
          <t>Monthly - Tuesday</t>
        </is>
      </c>
      <c r="I2385" t="inlineStr">
        <is>
          <t>Monthly - Tuesday</t>
        </is>
      </c>
      <c r="J2385" t="inlineStr">
        <is>
          <t>Month+3 Expiry</t>
        </is>
      </c>
      <c r="K2385" s="25" t="n">
        <v>128240</v>
      </c>
      <c r="L2385" s="26" t="n">
        <v>201.0725</v>
      </c>
      <c r="M2385" s="26" t="n">
        <v>3.812</v>
      </c>
    </row>
    <row r="2386" ht="16" customHeight="1">
      <c r="A2386" t="inlineStr">
        <is>
          <t>12-Mar-2026</t>
        </is>
      </c>
      <c r="B2386" t="inlineStr">
        <is>
          <t>Thursday</t>
        </is>
      </c>
      <c r="C2386" t="inlineStr">
        <is>
          <t>Week2-Mar-2026</t>
        </is>
      </c>
      <c r="D2386" s="78" t="n">
        <v>46082</v>
      </c>
      <c r="E2386" t="inlineStr">
        <is>
          <t>Q4FY26</t>
        </is>
      </c>
      <c r="F2386" t="inlineStr">
        <is>
          <t>29-Sep-2026</t>
        </is>
      </c>
      <c r="G2386" t="inlineStr">
        <is>
          <t>Tuesday</t>
        </is>
      </c>
      <c r="H2386" t="inlineStr">
        <is>
          <t>Monthly - Tuesday</t>
        </is>
      </c>
      <c r="I2386" t="inlineStr">
        <is>
          <t>Monthly - Tuesday</t>
        </is>
      </c>
      <c r="J2386" t="inlineStr">
        <is>
          <t>Month+6 Expiry</t>
        </is>
      </c>
      <c r="K2386" s="25" t="n">
        <v>15869</v>
      </c>
      <c r="L2386" s="26" t="n">
        <v>27.0107</v>
      </c>
      <c r="M2386" s="26" t="n">
        <v>0.5841</v>
      </c>
    </row>
    <row r="2387" ht="16" customHeight="1">
      <c r="A2387" t="inlineStr">
        <is>
          <t>12-Mar-2026</t>
        </is>
      </c>
      <c r="B2387" t="inlineStr">
        <is>
          <t>Thursday</t>
        </is>
      </c>
      <c r="C2387" t="inlineStr">
        <is>
          <t>Week2-Mar-2026</t>
        </is>
      </c>
      <c r="D2387" s="78" t="n">
        <v>46082</v>
      </c>
      <c r="E2387" t="inlineStr">
        <is>
          <t>Q4FY26</t>
        </is>
      </c>
      <c r="F2387" t="inlineStr">
        <is>
          <t>29-Dec-2026</t>
        </is>
      </c>
      <c r="G2387" t="inlineStr">
        <is>
          <t>Tuesday</t>
        </is>
      </c>
      <c r="H2387" t="inlineStr">
        <is>
          <t>Monthly - Tuesday</t>
        </is>
      </c>
      <c r="I2387" t="inlineStr">
        <is>
          <t>Monthly - Tuesday</t>
        </is>
      </c>
      <c r="J2387" t="inlineStr">
        <is>
          <t>Month+9 Expiry</t>
        </is>
      </c>
      <c r="K2387" s="25" t="n">
        <v>39796</v>
      </c>
      <c r="L2387" s="26" t="n">
        <v>65.7576</v>
      </c>
      <c r="M2387" s="26" t="n">
        <v>1.9831</v>
      </c>
    </row>
    <row r="2388" ht="16" customHeight="1">
      <c r="A2388" t="inlineStr">
        <is>
          <t>12-Mar-2026</t>
        </is>
      </c>
      <c r="B2388" t="inlineStr">
        <is>
          <t>Thursday</t>
        </is>
      </c>
      <c r="C2388" t="inlineStr">
        <is>
          <t>Week2-Mar-2026</t>
        </is>
      </c>
      <c r="D2388" s="78" t="n">
        <v>46082</v>
      </c>
      <c r="E2388" t="inlineStr">
        <is>
          <t>Q4FY26</t>
        </is>
      </c>
      <c r="F2388" t="inlineStr">
        <is>
          <t>29-Jun-2027</t>
        </is>
      </c>
      <c r="G2388" t="inlineStr">
        <is>
          <t>Tuesday</t>
        </is>
      </c>
      <c r="H2388" t="inlineStr">
        <is>
          <t>Monthly - Tuesday</t>
        </is>
      </c>
      <c r="I2388" t="inlineStr">
        <is>
          <t>Monthly - Tuesday</t>
        </is>
      </c>
      <c r="J2388" t="inlineStr">
        <is>
          <t>Month+15 Expiry</t>
        </is>
      </c>
      <c r="K2388" s="25" t="n">
        <v>14</v>
      </c>
      <c r="L2388" s="26" t="n">
        <v>0.0197</v>
      </c>
      <c r="M2388" s="26" t="n">
        <v>0.0004</v>
      </c>
    </row>
    <row r="2389" ht="16" customHeight="1">
      <c r="A2389" t="inlineStr">
        <is>
          <t>12-Mar-2026</t>
        </is>
      </c>
      <c r="B2389" t="inlineStr">
        <is>
          <t>Thursday</t>
        </is>
      </c>
      <c r="C2389" t="inlineStr">
        <is>
          <t>Week2-Mar-2026</t>
        </is>
      </c>
      <c r="D2389" s="78" t="n">
        <v>46082</v>
      </c>
      <c r="E2389" t="inlineStr">
        <is>
          <t>Q4FY26</t>
        </is>
      </c>
      <c r="F2389" t="inlineStr">
        <is>
          <t>28-Dec-2027</t>
        </is>
      </c>
      <c r="G2389" t="inlineStr">
        <is>
          <t>Tuesday</t>
        </is>
      </c>
      <c r="H2389" t="inlineStr">
        <is>
          <t>Monthly - Tuesday</t>
        </is>
      </c>
      <c r="I2389" t="inlineStr">
        <is>
          <t>Monthly - Tuesday</t>
        </is>
      </c>
      <c r="J2389" t="inlineStr">
        <is>
          <t>Month+21 Expiry</t>
        </is>
      </c>
      <c r="K2389" s="25" t="n">
        <v>154</v>
      </c>
      <c r="L2389" s="26" t="n">
        <v>0.2667</v>
      </c>
      <c r="M2389" s="26" t="n">
        <v>0.016</v>
      </c>
    </row>
    <row r="2390" ht="16" customHeight="1">
      <c r="A2390" t="inlineStr">
        <is>
          <t>12-Mar-2026</t>
        </is>
      </c>
      <c r="B2390" t="inlineStr">
        <is>
          <t>Thursday</t>
        </is>
      </c>
      <c r="C2390" t="inlineStr">
        <is>
          <t>Week2-Mar-2026</t>
        </is>
      </c>
      <c r="D2390" s="78" t="n">
        <v>46082</v>
      </c>
      <c r="E2390" t="inlineStr">
        <is>
          <t>Q4FY26</t>
        </is>
      </c>
      <c r="F2390" t="inlineStr">
        <is>
          <t>27-Jun-2028</t>
        </is>
      </c>
      <c r="G2390" t="inlineStr">
        <is>
          <t>Tuesday</t>
        </is>
      </c>
      <c r="H2390" t="inlineStr">
        <is>
          <t>Monthly - Tuesday</t>
        </is>
      </c>
      <c r="I2390" t="inlineStr">
        <is>
          <t>Monthly - Tuesday</t>
        </is>
      </c>
      <c r="J2390" t="inlineStr">
        <is>
          <t>Month+27 Expiry</t>
        </is>
      </c>
      <c r="K2390" s="25" t="n">
        <v>0</v>
      </c>
      <c r="L2390" s="26" t="n">
        <v>0</v>
      </c>
      <c r="M2390" s="26" t="n">
        <v>0</v>
      </c>
    </row>
    <row r="2391" ht="16" customHeight="1">
      <c r="A2391" t="inlineStr">
        <is>
          <t>12-Mar-2026</t>
        </is>
      </c>
      <c r="B2391" t="inlineStr">
        <is>
          <t>Thursday</t>
        </is>
      </c>
      <c r="C2391" t="inlineStr">
        <is>
          <t>Week2-Mar-2026</t>
        </is>
      </c>
      <c r="D2391" s="78" t="n">
        <v>46082</v>
      </c>
      <c r="E2391" t="inlineStr">
        <is>
          <t>Q4FY26</t>
        </is>
      </c>
      <c r="F2391" t="inlineStr">
        <is>
          <t>26-Dec-2028</t>
        </is>
      </c>
      <c r="G2391" t="inlineStr">
        <is>
          <t>Tuesday</t>
        </is>
      </c>
      <c r="H2391" t="inlineStr">
        <is>
          <t>Monthly - Tuesday</t>
        </is>
      </c>
      <c r="I2391" t="inlineStr">
        <is>
          <t>Monthly - Tuesday</t>
        </is>
      </c>
      <c r="J2391" t="inlineStr">
        <is>
          <t>Month+33 Expiry</t>
        </is>
      </c>
      <c r="K2391" s="25" t="n">
        <v>32</v>
      </c>
      <c r="L2391" s="26" t="n">
        <v>0.0563</v>
      </c>
      <c r="M2391" s="26" t="n">
        <v>0.0035</v>
      </c>
    </row>
    <row r="2392" ht="16" customHeight="1">
      <c r="A2392" t="inlineStr">
        <is>
          <t>12-Mar-2026</t>
        </is>
      </c>
      <c r="B2392" t="inlineStr">
        <is>
          <t>Thursday</t>
        </is>
      </c>
      <c r="C2392" t="inlineStr">
        <is>
          <t>Week2-Mar-2026</t>
        </is>
      </c>
      <c r="D2392" s="78" t="n">
        <v>46082</v>
      </c>
      <c r="E2392" t="inlineStr">
        <is>
          <t>Q4FY26</t>
        </is>
      </c>
      <c r="F2392" t="inlineStr">
        <is>
          <t>26-Jun-2029</t>
        </is>
      </c>
      <c r="G2392" t="inlineStr">
        <is>
          <t>Tuesday</t>
        </is>
      </c>
      <c r="H2392" t="inlineStr">
        <is>
          <t>Monthly - Tuesday</t>
        </is>
      </c>
      <c r="I2392" t="inlineStr">
        <is>
          <t>Monthly - Tuesday</t>
        </is>
      </c>
      <c r="J2392" t="inlineStr">
        <is>
          <t>Month+39 Expiry</t>
        </is>
      </c>
      <c r="K2392" s="25" t="n">
        <v>0</v>
      </c>
      <c r="L2392" s="26" t="n">
        <v>0</v>
      </c>
      <c r="M2392" s="26" t="n">
        <v>0</v>
      </c>
    </row>
    <row r="2393" ht="16" customHeight="1">
      <c r="A2393" t="inlineStr">
        <is>
          <t>12-Mar-2026</t>
        </is>
      </c>
      <c r="B2393" t="inlineStr">
        <is>
          <t>Thursday</t>
        </is>
      </c>
      <c r="C2393" t="inlineStr">
        <is>
          <t>Week2-Mar-2026</t>
        </is>
      </c>
      <c r="D2393" s="78" t="n">
        <v>46082</v>
      </c>
      <c r="E2393" t="inlineStr">
        <is>
          <t>Q4FY26</t>
        </is>
      </c>
      <c r="F2393" t="inlineStr">
        <is>
          <t>24-Dec-2029</t>
        </is>
      </c>
      <c r="G2393" t="inlineStr">
        <is>
          <t>Monday</t>
        </is>
      </c>
      <c r="H2393" t="inlineStr">
        <is>
          <t>Weekly - Monday</t>
        </is>
      </c>
      <c r="I2393" t="inlineStr">
        <is>
          <t>Weekly - Monday</t>
        </is>
      </c>
      <c r="J2393" t="inlineStr">
        <is>
          <t>Month+45 Expiry</t>
        </is>
      </c>
      <c r="K2393" s="25" t="n">
        <v>0</v>
      </c>
      <c r="L2393" s="26" t="n">
        <v>0</v>
      </c>
      <c r="M2393" s="26" t="n">
        <v>0</v>
      </c>
    </row>
    <row r="2394" ht="16" customHeight="1">
      <c r="A2394" t="inlineStr">
        <is>
          <t>12-Mar-2026</t>
        </is>
      </c>
      <c r="B2394" t="inlineStr">
        <is>
          <t>Thursday</t>
        </is>
      </c>
      <c r="C2394" t="inlineStr">
        <is>
          <t>Week2-Mar-2026</t>
        </is>
      </c>
      <c r="D2394" s="78" t="n">
        <v>46082</v>
      </c>
      <c r="E2394" t="inlineStr">
        <is>
          <t>Q4FY26</t>
        </is>
      </c>
      <c r="F2394" t="inlineStr">
        <is>
          <t>25-Jun-2030</t>
        </is>
      </c>
      <c r="G2394" t="inlineStr">
        <is>
          <t>Tuesday</t>
        </is>
      </c>
      <c r="H2394" t="inlineStr">
        <is>
          <t>Monthly - Tuesday</t>
        </is>
      </c>
      <c r="I2394" t="inlineStr">
        <is>
          <t>Monthly - Tuesday</t>
        </is>
      </c>
      <c r="J2394" t="inlineStr">
        <is>
          <t>Month+51 Expiry</t>
        </is>
      </c>
      <c r="K2394" s="25" t="n">
        <v>0</v>
      </c>
      <c r="L2394" s="26" t="n">
        <v>0</v>
      </c>
      <c r="M2394" s="26" t="n">
        <v>0</v>
      </c>
    </row>
    <row r="2395" ht="16" customHeight="1">
      <c r="A2395" t="inlineStr">
        <is>
          <t>12-Mar-2026</t>
        </is>
      </c>
      <c r="B2395" t="inlineStr">
        <is>
          <t>Thursday</t>
        </is>
      </c>
      <c r="C2395" t="inlineStr">
        <is>
          <t>Week2-Mar-2026</t>
        </is>
      </c>
      <c r="D2395" s="78" t="n">
        <v>46082</v>
      </c>
      <c r="E2395" t="inlineStr">
        <is>
          <t>Q4FY26</t>
        </is>
      </c>
      <c r="F2395" t="inlineStr">
        <is>
          <t>31-Dec-2030</t>
        </is>
      </c>
      <c r="G2395" t="inlineStr">
        <is>
          <t>Tuesday</t>
        </is>
      </c>
      <c r="H2395" t="inlineStr">
        <is>
          <t>Monthly - Tuesday</t>
        </is>
      </c>
      <c r="I2395" t="inlineStr">
        <is>
          <t>Monthly - Tuesday</t>
        </is>
      </c>
      <c r="J2395" t="inlineStr">
        <is>
          <t>Month+57 Expiry</t>
        </is>
      </c>
      <c r="K2395" s="25" t="n">
        <v>0</v>
      </c>
      <c r="L2395" s="26" t="n">
        <v>0</v>
      </c>
      <c r="M2395" s="26" t="n">
        <v>0</v>
      </c>
    </row>
    <row r="2396" ht="16" customHeight="1">
      <c r="A2396" t="inlineStr">
        <is>
          <t>13-Mar-2026</t>
        </is>
      </c>
      <c r="B2396" t="inlineStr">
        <is>
          <t>Friday</t>
        </is>
      </c>
      <c r="C2396" t="inlineStr">
        <is>
          <t>Week2-Mar-2026</t>
        </is>
      </c>
      <c r="D2396" s="78" t="n">
        <v>46082</v>
      </c>
      <c r="E2396" t="inlineStr">
        <is>
          <t>Q4FY26</t>
        </is>
      </c>
      <c r="F2396" t="inlineStr">
        <is>
          <t>17-Mar-2026</t>
        </is>
      </c>
      <c r="G2396" t="inlineStr">
        <is>
          <t>Tuesday</t>
        </is>
      </c>
      <c r="H2396" t="inlineStr">
        <is>
          <t>Weekly - Tuesday</t>
        </is>
      </c>
      <c r="I2396" t="inlineStr">
        <is>
          <t>Weekly - Tuesday</t>
        </is>
      </c>
      <c r="J2396" t="inlineStr">
        <is>
          <t>Same Month Expiry</t>
        </is>
      </c>
      <c r="K2396" s="25" t="n">
        <v>86415855</v>
      </c>
      <c r="L2396" s="26" t="n">
        <v>132405.6024</v>
      </c>
      <c r="M2396" s="26" t="n">
        <v>732.997</v>
      </c>
    </row>
    <row r="2397" ht="16" customHeight="1">
      <c r="A2397" t="inlineStr">
        <is>
          <t>13-Mar-2026</t>
        </is>
      </c>
      <c r="B2397" t="inlineStr">
        <is>
          <t>Friday</t>
        </is>
      </c>
      <c r="C2397" t="inlineStr">
        <is>
          <t>Week2-Mar-2026</t>
        </is>
      </c>
      <c r="D2397" s="78" t="n">
        <v>46082</v>
      </c>
      <c r="E2397" t="inlineStr">
        <is>
          <t>Q4FY26</t>
        </is>
      </c>
      <c r="F2397" t="inlineStr">
        <is>
          <t>24-Mar-2026</t>
        </is>
      </c>
      <c r="G2397" t="inlineStr">
        <is>
          <t>Tuesday</t>
        </is>
      </c>
      <c r="H2397" t="inlineStr">
        <is>
          <t>Weekly - Tuesday</t>
        </is>
      </c>
      <c r="I2397" t="inlineStr">
        <is>
          <t>Weekly - Tuesday</t>
        </is>
      </c>
      <c r="J2397" t="inlineStr">
        <is>
          <t>Same Month Expiry</t>
        </is>
      </c>
      <c r="K2397" s="25" t="n">
        <v>1929317</v>
      </c>
      <c r="L2397" s="26" t="n">
        <v>3007.8379</v>
      </c>
      <c r="M2397" s="26" t="n">
        <v>26.0943</v>
      </c>
    </row>
    <row r="2398" ht="16" customHeight="1">
      <c r="A2398" t="inlineStr">
        <is>
          <t>13-Mar-2026</t>
        </is>
      </c>
      <c r="B2398" t="inlineStr">
        <is>
          <t>Friday</t>
        </is>
      </c>
      <c r="C2398" t="inlineStr">
        <is>
          <t>Week2-Mar-2026</t>
        </is>
      </c>
      <c r="D2398" s="78" t="n">
        <v>46082</v>
      </c>
      <c r="E2398" t="inlineStr">
        <is>
          <t>Q4FY26</t>
        </is>
      </c>
      <c r="F2398" t="inlineStr">
        <is>
          <t>30-Mar-2026</t>
        </is>
      </c>
      <c r="G2398" t="inlineStr">
        <is>
          <t>Monday</t>
        </is>
      </c>
      <c r="H2398" t="inlineStr">
        <is>
          <t>Monthly - Monday</t>
        </is>
      </c>
      <c r="I2398" t="inlineStr">
        <is>
          <t>Monthly - Monday</t>
        </is>
      </c>
      <c r="J2398" t="inlineStr">
        <is>
          <t>Same Month Expiry</t>
        </is>
      </c>
      <c r="K2398" s="25" t="n">
        <v>3039475</v>
      </c>
      <c r="L2398" s="26" t="n">
        <v>4710.0036</v>
      </c>
      <c r="M2398" s="26" t="n">
        <v>58.4779</v>
      </c>
    </row>
    <row r="2399" ht="16" customHeight="1">
      <c r="A2399" t="inlineStr">
        <is>
          <t>13-Mar-2026</t>
        </is>
      </c>
      <c r="B2399" t="inlineStr">
        <is>
          <t>Friday</t>
        </is>
      </c>
      <c r="C2399" t="inlineStr">
        <is>
          <t>Week2-Mar-2026</t>
        </is>
      </c>
      <c r="D2399" s="78" t="n">
        <v>46082</v>
      </c>
      <c r="E2399" t="inlineStr">
        <is>
          <t>Q4FY26</t>
        </is>
      </c>
      <c r="F2399" t="inlineStr">
        <is>
          <t>07-Apr-2026</t>
        </is>
      </c>
      <c r="G2399" t="inlineStr">
        <is>
          <t>Tuesday</t>
        </is>
      </c>
      <c r="H2399" t="inlineStr">
        <is>
          <t>Weekly - Tuesday</t>
        </is>
      </c>
      <c r="I2399" t="inlineStr">
        <is>
          <t>Weekly - Tuesday</t>
        </is>
      </c>
      <c r="J2399" t="inlineStr">
        <is>
          <t>Month+1 Expiry</t>
        </is>
      </c>
      <c r="K2399" s="25" t="n">
        <v>163559</v>
      </c>
      <c r="L2399" s="26" t="n">
        <v>262.7026</v>
      </c>
      <c r="M2399" s="26" t="n">
        <v>2.9169</v>
      </c>
    </row>
    <row r="2400" ht="16" customHeight="1">
      <c r="A2400" t="inlineStr">
        <is>
          <t>13-Mar-2026</t>
        </is>
      </c>
      <c r="B2400" t="inlineStr">
        <is>
          <t>Friday</t>
        </is>
      </c>
      <c r="C2400" t="inlineStr">
        <is>
          <t>Week2-Mar-2026</t>
        </is>
      </c>
      <c r="D2400" s="78" t="n">
        <v>46082</v>
      </c>
      <c r="E2400" t="inlineStr">
        <is>
          <t>Q4FY26</t>
        </is>
      </c>
      <c r="F2400" t="inlineStr">
        <is>
          <t>13-Apr-2026</t>
        </is>
      </c>
      <c r="G2400" t="inlineStr">
        <is>
          <t>Monday</t>
        </is>
      </c>
      <c r="H2400" t="inlineStr">
        <is>
          <t>Weekly - Monday</t>
        </is>
      </c>
      <c r="I2400" t="inlineStr">
        <is>
          <t>Weekly - Monday</t>
        </is>
      </c>
      <c r="J2400" t="inlineStr">
        <is>
          <t>Month+1 Expiry</t>
        </is>
      </c>
      <c r="K2400" s="25" t="n">
        <v>2515</v>
      </c>
      <c r="L2400" s="26" t="n">
        <v>4.1173</v>
      </c>
      <c r="M2400" s="26" t="n">
        <v>0.0262</v>
      </c>
    </row>
    <row r="2401" ht="16" customHeight="1">
      <c r="A2401" t="inlineStr">
        <is>
          <t>13-Mar-2026</t>
        </is>
      </c>
      <c r="B2401" t="inlineStr">
        <is>
          <t>Friday</t>
        </is>
      </c>
      <c r="C2401" t="inlineStr">
        <is>
          <t>Week2-Mar-2026</t>
        </is>
      </c>
      <c r="D2401" s="78" t="n">
        <v>46082</v>
      </c>
      <c r="E2401" t="inlineStr">
        <is>
          <t>Q4FY26</t>
        </is>
      </c>
      <c r="F2401" t="inlineStr">
        <is>
          <t>28-Apr-2026</t>
        </is>
      </c>
      <c r="G2401" t="inlineStr">
        <is>
          <t>Tuesday</t>
        </is>
      </c>
      <c r="H2401" t="inlineStr">
        <is>
          <t>Monthly - Tuesday</t>
        </is>
      </c>
      <c r="I2401" t="inlineStr">
        <is>
          <t>Monthly - Tuesday</t>
        </is>
      </c>
      <c r="J2401" t="inlineStr">
        <is>
          <t>Month+1 Expiry</t>
        </is>
      </c>
      <c r="K2401" s="25" t="n">
        <v>504299</v>
      </c>
      <c r="L2401" s="26" t="n">
        <v>808.2634</v>
      </c>
      <c r="M2401" s="26" t="n">
        <v>15.7731</v>
      </c>
    </row>
    <row r="2402" ht="16" customHeight="1">
      <c r="A2402" t="inlineStr">
        <is>
          <t>13-Mar-2026</t>
        </is>
      </c>
      <c r="B2402" t="inlineStr">
        <is>
          <t>Friday</t>
        </is>
      </c>
      <c r="C2402" t="inlineStr">
        <is>
          <t>Week2-Mar-2026</t>
        </is>
      </c>
      <c r="D2402" s="78" t="n">
        <v>46082</v>
      </c>
      <c r="E2402" t="inlineStr">
        <is>
          <t>Q4FY26</t>
        </is>
      </c>
      <c r="F2402" t="inlineStr">
        <is>
          <t>26-May-2026</t>
        </is>
      </c>
      <c r="G2402" t="inlineStr">
        <is>
          <t>Tuesday</t>
        </is>
      </c>
      <c r="H2402" t="inlineStr">
        <is>
          <t>Monthly - Tuesday</t>
        </is>
      </c>
      <c r="I2402" t="inlineStr">
        <is>
          <t>Monthly - Tuesday</t>
        </is>
      </c>
      <c r="J2402" t="inlineStr">
        <is>
          <t>Month+2 Expiry</t>
        </is>
      </c>
      <c r="K2402" s="25" t="n">
        <v>88206</v>
      </c>
      <c r="L2402" s="26" t="n">
        <v>142.3952</v>
      </c>
      <c r="M2402" s="26" t="n">
        <v>3.0238</v>
      </c>
    </row>
    <row r="2403" ht="16" customHeight="1">
      <c r="A2403" t="inlineStr">
        <is>
          <t>13-Mar-2026</t>
        </is>
      </c>
      <c r="B2403" t="inlineStr">
        <is>
          <t>Friday</t>
        </is>
      </c>
      <c r="C2403" t="inlineStr">
        <is>
          <t>Week2-Mar-2026</t>
        </is>
      </c>
      <c r="D2403" s="78" t="n">
        <v>46082</v>
      </c>
      <c r="E2403" t="inlineStr">
        <is>
          <t>Q4FY26</t>
        </is>
      </c>
      <c r="F2403" t="inlineStr">
        <is>
          <t>30-Jun-2026</t>
        </is>
      </c>
      <c r="G2403" t="inlineStr">
        <is>
          <t>Tuesday</t>
        </is>
      </c>
      <c r="H2403" t="inlineStr">
        <is>
          <t>Monthly - Tuesday</t>
        </is>
      </c>
      <c r="I2403" t="inlineStr">
        <is>
          <t>Monthly - Tuesday</t>
        </is>
      </c>
      <c r="J2403" t="inlineStr">
        <is>
          <t>Month+3 Expiry</t>
        </is>
      </c>
      <c r="K2403" s="25" t="n">
        <v>148500</v>
      </c>
      <c r="L2403" s="26" t="n">
        <v>232.9279</v>
      </c>
      <c r="M2403" s="26" t="n">
        <v>5.028</v>
      </c>
    </row>
    <row r="2404" ht="16" customHeight="1">
      <c r="A2404" t="inlineStr">
        <is>
          <t>13-Mar-2026</t>
        </is>
      </c>
      <c r="B2404" t="inlineStr">
        <is>
          <t>Friday</t>
        </is>
      </c>
      <c r="C2404" t="inlineStr">
        <is>
          <t>Week2-Mar-2026</t>
        </is>
      </c>
      <c r="D2404" s="78" t="n">
        <v>46082</v>
      </c>
      <c r="E2404" t="inlineStr">
        <is>
          <t>Q4FY26</t>
        </is>
      </c>
      <c r="F2404" t="inlineStr">
        <is>
          <t>29-Sep-2026</t>
        </is>
      </c>
      <c r="G2404" t="inlineStr">
        <is>
          <t>Tuesday</t>
        </is>
      </c>
      <c r="H2404" t="inlineStr">
        <is>
          <t>Monthly - Tuesday</t>
        </is>
      </c>
      <c r="I2404" t="inlineStr">
        <is>
          <t>Monthly - Tuesday</t>
        </is>
      </c>
      <c r="J2404" t="inlineStr">
        <is>
          <t>Month+6 Expiry</t>
        </is>
      </c>
      <c r="K2404" s="25" t="n">
        <v>27862</v>
      </c>
      <c r="L2404" s="26" t="n">
        <v>46.1713</v>
      </c>
      <c r="M2404" s="26" t="n">
        <v>1.2306</v>
      </c>
    </row>
    <row r="2405" ht="16" customHeight="1">
      <c r="A2405" t="inlineStr">
        <is>
          <t>13-Mar-2026</t>
        </is>
      </c>
      <c r="B2405" t="inlineStr">
        <is>
          <t>Friday</t>
        </is>
      </c>
      <c r="C2405" t="inlineStr">
        <is>
          <t>Week2-Mar-2026</t>
        </is>
      </c>
      <c r="D2405" s="78" t="n">
        <v>46082</v>
      </c>
      <c r="E2405" t="inlineStr">
        <is>
          <t>Q4FY26</t>
        </is>
      </c>
      <c r="F2405" t="inlineStr">
        <is>
          <t>29-Dec-2026</t>
        </is>
      </c>
      <c r="G2405" t="inlineStr">
        <is>
          <t>Tuesday</t>
        </is>
      </c>
      <c r="H2405" t="inlineStr">
        <is>
          <t>Monthly - Tuesday</t>
        </is>
      </c>
      <c r="I2405" t="inlineStr">
        <is>
          <t>Monthly - Tuesday</t>
        </is>
      </c>
      <c r="J2405" t="inlineStr">
        <is>
          <t>Month+9 Expiry</t>
        </is>
      </c>
      <c r="K2405" s="25" t="n">
        <v>64860</v>
      </c>
      <c r="L2405" s="26" t="n">
        <v>106.2732</v>
      </c>
      <c r="M2405" s="26" t="n">
        <v>3.4147</v>
      </c>
    </row>
    <row r="2406" ht="16" customHeight="1">
      <c r="A2406" t="inlineStr">
        <is>
          <t>13-Mar-2026</t>
        </is>
      </c>
      <c r="B2406" t="inlineStr">
        <is>
          <t>Friday</t>
        </is>
      </c>
      <c r="C2406" t="inlineStr">
        <is>
          <t>Week2-Mar-2026</t>
        </is>
      </c>
      <c r="D2406" s="78" t="n">
        <v>46082</v>
      </c>
      <c r="E2406" t="inlineStr">
        <is>
          <t>Q4FY26</t>
        </is>
      </c>
      <c r="F2406" t="inlineStr">
        <is>
          <t>29-Jun-2027</t>
        </is>
      </c>
      <c r="G2406" t="inlineStr">
        <is>
          <t>Tuesday</t>
        </is>
      </c>
      <c r="H2406" t="inlineStr">
        <is>
          <t>Monthly - Tuesday</t>
        </is>
      </c>
      <c r="I2406" t="inlineStr">
        <is>
          <t>Monthly - Tuesday</t>
        </is>
      </c>
      <c r="J2406" t="inlineStr">
        <is>
          <t>Month+15 Expiry</t>
        </is>
      </c>
      <c r="K2406" s="25" t="n">
        <v>3</v>
      </c>
      <c r="L2406" s="26" t="n">
        <v>0.0045</v>
      </c>
      <c r="M2406" s="26" t="n">
        <v>0.0002</v>
      </c>
    </row>
    <row r="2407" ht="16" customHeight="1">
      <c r="A2407" t="inlineStr">
        <is>
          <t>13-Mar-2026</t>
        </is>
      </c>
      <c r="B2407" t="inlineStr">
        <is>
          <t>Friday</t>
        </is>
      </c>
      <c r="C2407" t="inlineStr">
        <is>
          <t>Week2-Mar-2026</t>
        </is>
      </c>
      <c r="D2407" s="78" t="n">
        <v>46082</v>
      </c>
      <c r="E2407" t="inlineStr">
        <is>
          <t>Q4FY26</t>
        </is>
      </c>
      <c r="F2407" t="inlineStr">
        <is>
          <t>28-Dec-2027</t>
        </is>
      </c>
      <c r="G2407" t="inlineStr">
        <is>
          <t>Tuesday</t>
        </is>
      </c>
      <c r="H2407" t="inlineStr">
        <is>
          <t>Monthly - Tuesday</t>
        </is>
      </c>
      <c r="I2407" t="inlineStr">
        <is>
          <t>Monthly - Tuesday</t>
        </is>
      </c>
      <c r="J2407" t="inlineStr">
        <is>
          <t>Month+21 Expiry</t>
        </is>
      </c>
      <c r="K2407" s="25" t="n">
        <v>376</v>
      </c>
      <c r="L2407" s="26" t="n">
        <v>0.6442</v>
      </c>
      <c r="M2407" s="26" t="n">
        <v>0.0366</v>
      </c>
    </row>
    <row r="2408" ht="16" customHeight="1">
      <c r="A2408" t="inlineStr">
        <is>
          <t>13-Mar-2026</t>
        </is>
      </c>
      <c r="B2408" t="inlineStr">
        <is>
          <t>Friday</t>
        </is>
      </c>
      <c r="C2408" t="inlineStr">
        <is>
          <t>Week2-Mar-2026</t>
        </is>
      </c>
      <c r="D2408" s="78" t="n">
        <v>46082</v>
      </c>
      <c r="E2408" t="inlineStr">
        <is>
          <t>Q4FY26</t>
        </is>
      </c>
      <c r="F2408" t="inlineStr">
        <is>
          <t>27-Jun-2028</t>
        </is>
      </c>
      <c r="G2408" t="inlineStr">
        <is>
          <t>Tuesday</t>
        </is>
      </c>
      <c r="H2408" t="inlineStr">
        <is>
          <t>Monthly - Tuesday</t>
        </is>
      </c>
      <c r="I2408" t="inlineStr">
        <is>
          <t>Monthly - Tuesday</t>
        </is>
      </c>
      <c r="J2408" t="inlineStr">
        <is>
          <t>Month+27 Expiry</t>
        </is>
      </c>
      <c r="K2408" s="25" t="n">
        <v>3</v>
      </c>
      <c r="L2408" s="26" t="n">
        <v>0.0044</v>
      </c>
      <c r="M2408" s="26" t="n">
        <v>0.0001</v>
      </c>
    </row>
    <row r="2409" ht="16" customHeight="1">
      <c r="A2409" t="inlineStr">
        <is>
          <t>13-Mar-2026</t>
        </is>
      </c>
      <c r="B2409" t="inlineStr">
        <is>
          <t>Friday</t>
        </is>
      </c>
      <c r="C2409" t="inlineStr">
        <is>
          <t>Week2-Mar-2026</t>
        </is>
      </c>
      <c r="D2409" s="78" t="n">
        <v>46082</v>
      </c>
      <c r="E2409" t="inlineStr">
        <is>
          <t>Q4FY26</t>
        </is>
      </c>
      <c r="F2409" t="inlineStr">
        <is>
          <t>26-Dec-2028</t>
        </is>
      </c>
      <c r="G2409" t="inlineStr">
        <is>
          <t>Tuesday</t>
        </is>
      </c>
      <c r="H2409" t="inlineStr">
        <is>
          <t>Monthly - Tuesday</t>
        </is>
      </c>
      <c r="I2409" t="inlineStr">
        <is>
          <t>Monthly - Tuesday</t>
        </is>
      </c>
      <c r="J2409" t="inlineStr">
        <is>
          <t>Month+33 Expiry</t>
        </is>
      </c>
      <c r="K2409" s="25" t="n">
        <v>43</v>
      </c>
      <c r="L2409" s="26" t="n">
        <v>0.0772</v>
      </c>
      <c r="M2409" s="26" t="n">
        <v>0.0048</v>
      </c>
    </row>
    <row r="2410" ht="16" customHeight="1">
      <c r="A2410" t="inlineStr">
        <is>
          <t>13-Mar-2026</t>
        </is>
      </c>
      <c r="B2410" t="inlineStr">
        <is>
          <t>Friday</t>
        </is>
      </c>
      <c r="C2410" t="inlineStr">
        <is>
          <t>Week2-Mar-2026</t>
        </is>
      </c>
      <c r="D2410" s="78" t="n">
        <v>46082</v>
      </c>
      <c r="E2410" t="inlineStr">
        <is>
          <t>Q4FY26</t>
        </is>
      </c>
      <c r="F2410" t="inlineStr">
        <is>
          <t>26-Jun-2029</t>
        </is>
      </c>
      <c r="G2410" t="inlineStr">
        <is>
          <t>Tuesday</t>
        </is>
      </c>
      <c r="H2410" t="inlineStr">
        <is>
          <t>Monthly - Tuesday</t>
        </is>
      </c>
      <c r="I2410" t="inlineStr">
        <is>
          <t>Monthly - Tuesday</t>
        </is>
      </c>
      <c r="J2410" t="inlineStr">
        <is>
          <t>Month+39 Expiry</t>
        </is>
      </c>
      <c r="K2410" s="25" t="n">
        <v>2</v>
      </c>
      <c r="L2410" s="26" t="n">
        <v>0.0032</v>
      </c>
      <c r="M2410" s="26" t="n">
        <v>0.0001</v>
      </c>
    </row>
    <row r="2411" ht="16" customHeight="1">
      <c r="A2411" t="inlineStr">
        <is>
          <t>13-Mar-2026</t>
        </is>
      </c>
      <c r="B2411" t="inlineStr">
        <is>
          <t>Friday</t>
        </is>
      </c>
      <c r="C2411" t="inlineStr">
        <is>
          <t>Week2-Mar-2026</t>
        </is>
      </c>
      <c r="D2411" s="78" t="n">
        <v>46082</v>
      </c>
      <c r="E2411" t="inlineStr">
        <is>
          <t>Q4FY26</t>
        </is>
      </c>
      <c r="F2411" t="inlineStr">
        <is>
          <t>24-Dec-2029</t>
        </is>
      </c>
      <c r="G2411" t="inlineStr">
        <is>
          <t>Monday</t>
        </is>
      </c>
      <c r="H2411" t="inlineStr">
        <is>
          <t>Weekly - Monday</t>
        </is>
      </c>
      <c r="I2411" t="inlineStr">
        <is>
          <t>Weekly - Monday</t>
        </is>
      </c>
      <c r="J2411" t="inlineStr">
        <is>
          <t>Month+45 Expiry</t>
        </is>
      </c>
      <c r="K2411" s="25" t="n">
        <v>0</v>
      </c>
      <c r="L2411" s="26" t="n">
        <v>0</v>
      </c>
      <c r="M2411" s="26" t="n">
        <v>0</v>
      </c>
    </row>
    <row r="2412" ht="16" customHeight="1">
      <c r="A2412" t="inlineStr">
        <is>
          <t>13-Mar-2026</t>
        </is>
      </c>
      <c r="B2412" t="inlineStr">
        <is>
          <t>Friday</t>
        </is>
      </c>
      <c r="C2412" t="inlineStr">
        <is>
          <t>Week2-Mar-2026</t>
        </is>
      </c>
      <c r="D2412" s="78" t="n">
        <v>46082</v>
      </c>
      <c r="E2412" t="inlineStr">
        <is>
          <t>Q4FY26</t>
        </is>
      </c>
      <c r="F2412" t="inlineStr">
        <is>
          <t>25-Jun-2030</t>
        </is>
      </c>
      <c r="G2412" t="inlineStr">
        <is>
          <t>Tuesday</t>
        </is>
      </c>
      <c r="H2412" t="inlineStr">
        <is>
          <t>Monthly - Tuesday</t>
        </is>
      </c>
      <c r="I2412" t="inlineStr">
        <is>
          <t>Monthly - Tuesday</t>
        </is>
      </c>
      <c r="J2412" t="inlineStr">
        <is>
          <t>Month+51 Expiry</t>
        </is>
      </c>
      <c r="K2412" s="25" t="n">
        <v>0</v>
      </c>
      <c r="L2412" s="26" t="n">
        <v>0</v>
      </c>
      <c r="M2412" s="26" t="n">
        <v>0</v>
      </c>
    </row>
    <row r="2413" ht="16" customHeight="1">
      <c r="A2413" t="inlineStr">
        <is>
          <t>13-Mar-2026</t>
        </is>
      </c>
      <c r="B2413" t="inlineStr">
        <is>
          <t>Friday</t>
        </is>
      </c>
      <c r="C2413" t="inlineStr">
        <is>
          <t>Week2-Mar-2026</t>
        </is>
      </c>
      <c r="D2413" s="78" t="n">
        <v>46082</v>
      </c>
      <c r="E2413" t="inlineStr">
        <is>
          <t>Q4FY26</t>
        </is>
      </c>
      <c r="F2413" t="inlineStr">
        <is>
          <t>31-Dec-2030</t>
        </is>
      </c>
      <c r="G2413" t="inlineStr">
        <is>
          <t>Tuesday</t>
        </is>
      </c>
      <c r="H2413" t="inlineStr">
        <is>
          <t>Monthly - Tuesday</t>
        </is>
      </c>
      <c r="I2413" t="inlineStr">
        <is>
          <t>Monthly - Tuesday</t>
        </is>
      </c>
      <c r="J2413" t="inlineStr">
        <is>
          <t>Month+57 Expiry</t>
        </is>
      </c>
      <c r="K2413" s="25" t="n">
        <v>0</v>
      </c>
      <c r="L2413" s="26" t="n">
        <v>0</v>
      </c>
      <c r="M2413" s="26" t="n">
        <v>0</v>
      </c>
    </row>
    <row r="2414" ht="16" customHeight="1">
      <c r="A2414" t="inlineStr">
        <is>
          <t>16-Mar-2026</t>
        </is>
      </c>
      <c r="B2414" t="inlineStr">
        <is>
          <t>Monday</t>
        </is>
      </c>
      <c r="C2414" t="inlineStr">
        <is>
          <t>Week3-Mar-2026</t>
        </is>
      </c>
      <c r="D2414" s="78" t="n">
        <v>46082</v>
      </c>
      <c r="E2414" t="inlineStr">
        <is>
          <t>Q4FY26</t>
        </is>
      </c>
      <c r="F2414" t="inlineStr">
        <is>
          <t>17-Mar-2026</t>
        </is>
      </c>
      <c r="G2414" t="inlineStr">
        <is>
          <t>Tuesday</t>
        </is>
      </c>
      <c r="H2414" t="inlineStr">
        <is>
          <t>Weekly - Tuesday</t>
        </is>
      </c>
      <c r="I2414" t="inlineStr">
        <is>
          <t>Weekly - Tuesday</t>
        </is>
      </c>
      <c r="J2414" t="inlineStr">
        <is>
          <t>Same Month Expiry</t>
        </is>
      </c>
      <c r="K2414" s="25" t="n">
        <v>165495412</v>
      </c>
      <c r="L2414" s="26" t="n">
        <v>251268.7612</v>
      </c>
      <c r="M2414" s="26" t="n">
        <v>902.0531</v>
      </c>
    </row>
    <row r="2415" ht="16" customHeight="1">
      <c r="A2415" t="inlineStr">
        <is>
          <t>16-Mar-2026</t>
        </is>
      </c>
      <c r="B2415" t="inlineStr">
        <is>
          <t>Monday</t>
        </is>
      </c>
      <c r="C2415" t="inlineStr">
        <is>
          <t>Week3-Mar-2026</t>
        </is>
      </c>
      <c r="D2415" s="78" t="n">
        <v>46082</v>
      </c>
      <c r="E2415" t="inlineStr">
        <is>
          <t>Q4FY26</t>
        </is>
      </c>
      <c r="F2415" t="inlineStr">
        <is>
          <t>24-Mar-2026</t>
        </is>
      </c>
      <c r="G2415" t="inlineStr">
        <is>
          <t>Tuesday</t>
        </is>
      </c>
      <c r="H2415" t="inlineStr">
        <is>
          <t>Weekly - Tuesday</t>
        </is>
      </c>
      <c r="I2415" t="inlineStr">
        <is>
          <t>Weekly - Tuesday</t>
        </is>
      </c>
      <c r="J2415" t="inlineStr">
        <is>
          <t>Same Month Expiry</t>
        </is>
      </c>
      <c r="K2415" s="25" t="n">
        <v>4368452</v>
      </c>
      <c r="L2415" s="26" t="n">
        <v>6736.7509</v>
      </c>
      <c r="M2415" s="26" t="n">
        <v>50.7105</v>
      </c>
    </row>
    <row r="2416" ht="16" customHeight="1">
      <c r="A2416" t="inlineStr">
        <is>
          <t>16-Mar-2026</t>
        </is>
      </c>
      <c r="B2416" t="inlineStr">
        <is>
          <t>Monday</t>
        </is>
      </c>
      <c r="C2416" t="inlineStr">
        <is>
          <t>Week3-Mar-2026</t>
        </is>
      </c>
      <c r="D2416" s="78" t="n">
        <v>46082</v>
      </c>
      <c r="E2416" t="inlineStr">
        <is>
          <t>Q4FY26</t>
        </is>
      </c>
      <c r="F2416" t="inlineStr">
        <is>
          <t>30-Mar-2026</t>
        </is>
      </c>
      <c r="G2416" t="inlineStr">
        <is>
          <t>Monday</t>
        </is>
      </c>
      <c r="H2416" t="inlineStr">
        <is>
          <t>Monthly - Monday</t>
        </is>
      </c>
      <c r="I2416" t="inlineStr">
        <is>
          <t>Monthly - Monday</t>
        </is>
      </c>
      <c r="J2416" t="inlineStr">
        <is>
          <t>Same Month Expiry</t>
        </is>
      </c>
      <c r="K2416" s="25" t="n">
        <v>2792637</v>
      </c>
      <c r="L2416" s="26" t="n">
        <v>4297.289</v>
      </c>
      <c r="M2416" s="26" t="n">
        <v>48.4072</v>
      </c>
    </row>
    <row r="2417" ht="16" customHeight="1">
      <c r="A2417" t="inlineStr">
        <is>
          <t>16-Mar-2026</t>
        </is>
      </c>
      <c r="B2417" t="inlineStr">
        <is>
          <t>Monday</t>
        </is>
      </c>
      <c r="C2417" t="inlineStr">
        <is>
          <t>Week3-Mar-2026</t>
        </is>
      </c>
      <c r="D2417" s="78" t="n">
        <v>46082</v>
      </c>
      <c r="E2417" t="inlineStr">
        <is>
          <t>Q4FY26</t>
        </is>
      </c>
      <c r="F2417" t="inlineStr">
        <is>
          <t>07-Apr-2026</t>
        </is>
      </c>
      <c r="G2417" t="inlineStr">
        <is>
          <t>Tuesday</t>
        </is>
      </c>
      <c r="H2417" t="inlineStr">
        <is>
          <t>Weekly - Tuesday</t>
        </is>
      </c>
      <c r="I2417" t="inlineStr">
        <is>
          <t>Weekly - Tuesday</t>
        </is>
      </c>
      <c r="J2417" t="inlineStr">
        <is>
          <t>Month+1 Expiry</t>
        </is>
      </c>
      <c r="K2417" s="25" t="n">
        <v>166792</v>
      </c>
      <c r="L2417" s="26" t="n">
        <v>268.814</v>
      </c>
      <c r="M2417" s="26" t="n">
        <v>6.3317</v>
      </c>
    </row>
    <row r="2418" ht="16" customHeight="1">
      <c r="A2418" t="inlineStr">
        <is>
          <t>16-Mar-2026</t>
        </is>
      </c>
      <c r="B2418" t="inlineStr">
        <is>
          <t>Monday</t>
        </is>
      </c>
      <c r="C2418" t="inlineStr">
        <is>
          <t>Week3-Mar-2026</t>
        </is>
      </c>
      <c r="D2418" s="78" t="n">
        <v>46082</v>
      </c>
      <c r="E2418" t="inlineStr">
        <is>
          <t>Q4FY26</t>
        </is>
      </c>
      <c r="F2418" t="inlineStr">
        <is>
          <t>13-Apr-2026</t>
        </is>
      </c>
      <c r="G2418" t="inlineStr">
        <is>
          <t>Monday</t>
        </is>
      </c>
      <c r="H2418" t="inlineStr">
        <is>
          <t>Weekly - Monday</t>
        </is>
      </c>
      <c r="I2418" t="inlineStr">
        <is>
          <t>Weekly - Monday</t>
        </is>
      </c>
      <c r="J2418" t="inlineStr">
        <is>
          <t>Month+1 Expiry</t>
        </is>
      </c>
      <c r="K2418" s="25" t="n">
        <v>3050</v>
      </c>
      <c r="L2418" s="26" t="n">
        <v>4.9806</v>
      </c>
      <c r="M2418" s="26" t="n">
        <v>0.0315</v>
      </c>
    </row>
    <row r="2419" ht="16" customHeight="1">
      <c r="A2419" t="inlineStr">
        <is>
          <t>16-Mar-2026</t>
        </is>
      </c>
      <c r="B2419" t="inlineStr">
        <is>
          <t>Monday</t>
        </is>
      </c>
      <c r="C2419" t="inlineStr">
        <is>
          <t>Week3-Mar-2026</t>
        </is>
      </c>
      <c r="D2419" s="78" t="n">
        <v>46082</v>
      </c>
      <c r="E2419" t="inlineStr">
        <is>
          <t>Q4FY26</t>
        </is>
      </c>
      <c r="F2419" t="inlineStr">
        <is>
          <t>28-Apr-2026</t>
        </is>
      </c>
      <c r="G2419" t="inlineStr">
        <is>
          <t>Tuesday</t>
        </is>
      </c>
      <c r="H2419" t="inlineStr">
        <is>
          <t>Monthly - Tuesday</t>
        </is>
      </c>
      <c r="I2419" t="inlineStr">
        <is>
          <t>Monthly - Tuesday</t>
        </is>
      </c>
      <c r="J2419" t="inlineStr">
        <is>
          <t>Month+1 Expiry</t>
        </is>
      </c>
      <c r="K2419" s="25" t="n">
        <v>344880</v>
      </c>
      <c r="L2419" s="26" t="n">
        <v>552.4046</v>
      </c>
      <c r="M2419" s="26" t="n">
        <v>10.299</v>
      </c>
    </row>
    <row r="2420" ht="16" customHeight="1">
      <c r="A2420" t="inlineStr">
        <is>
          <t>16-Mar-2026</t>
        </is>
      </c>
      <c r="B2420" t="inlineStr">
        <is>
          <t>Monday</t>
        </is>
      </c>
      <c r="C2420" t="inlineStr">
        <is>
          <t>Week3-Mar-2026</t>
        </is>
      </c>
      <c r="D2420" s="78" t="n">
        <v>46082</v>
      </c>
      <c r="E2420" t="inlineStr">
        <is>
          <t>Q4FY26</t>
        </is>
      </c>
      <c r="F2420" t="inlineStr">
        <is>
          <t>26-May-2026</t>
        </is>
      </c>
      <c r="G2420" t="inlineStr">
        <is>
          <t>Tuesday</t>
        </is>
      </c>
      <c r="H2420" t="inlineStr">
        <is>
          <t>Monthly - Tuesday</t>
        </is>
      </c>
      <c r="I2420" t="inlineStr">
        <is>
          <t>Monthly - Tuesday</t>
        </is>
      </c>
      <c r="J2420" t="inlineStr">
        <is>
          <t>Month+2 Expiry</t>
        </is>
      </c>
      <c r="K2420" s="25" t="n">
        <v>69546</v>
      </c>
      <c r="L2420" s="26" t="n">
        <v>111.9013</v>
      </c>
      <c r="M2420" s="26" t="n">
        <v>2.5041</v>
      </c>
    </row>
    <row r="2421" ht="16" customHeight="1">
      <c r="A2421" t="inlineStr">
        <is>
          <t>16-Mar-2026</t>
        </is>
      </c>
      <c r="B2421" t="inlineStr">
        <is>
          <t>Monday</t>
        </is>
      </c>
      <c r="C2421" t="inlineStr">
        <is>
          <t>Week3-Mar-2026</t>
        </is>
      </c>
      <c r="D2421" s="78" t="n">
        <v>46082</v>
      </c>
      <c r="E2421" t="inlineStr">
        <is>
          <t>Q4FY26</t>
        </is>
      </c>
      <c r="F2421" t="inlineStr">
        <is>
          <t>30-Jun-2026</t>
        </is>
      </c>
      <c r="G2421" t="inlineStr">
        <is>
          <t>Tuesday</t>
        </is>
      </c>
      <c r="H2421" t="inlineStr">
        <is>
          <t>Monthly - Tuesday</t>
        </is>
      </c>
      <c r="I2421" t="inlineStr">
        <is>
          <t>Monthly - Tuesday</t>
        </is>
      </c>
      <c r="J2421" t="inlineStr">
        <is>
          <t>Month+3 Expiry</t>
        </is>
      </c>
      <c r="K2421" s="25" t="n">
        <v>154428</v>
      </c>
      <c r="L2421" s="26" t="n">
        <v>242.044</v>
      </c>
      <c r="M2421" s="26" t="n">
        <v>5.4159</v>
      </c>
    </row>
    <row r="2422" ht="16" customHeight="1">
      <c r="A2422" t="inlineStr">
        <is>
          <t>16-Mar-2026</t>
        </is>
      </c>
      <c r="B2422" t="inlineStr">
        <is>
          <t>Monday</t>
        </is>
      </c>
      <c r="C2422" t="inlineStr">
        <is>
          <t>Week3-Mar-2026</t>
        </is>
      </c>
      <c r="D2422" s="78" t="n">
        <v>46082</v>
      </c>
      <c r="E2422" t="inlineStr">
        <is>
          <t>Q4FY26</t>
        </is>
      </c>
      <c r="F2422" t="inlineStr">
        <is>
          <t>29-Sep-2026</t>
        </is>
      </c>
      <c r="G2422" t="inlineStr">
        <is>
          <t>Tuesday</t>
        </is>
      </c>
      <c r="H2422" t="inlineStr">
        <is>
          <t>Monthly - Tuesday</t>
        </is>
      </c>
      <c r="I2422" t="inlineStr">
        <is>
          <t>Monthly - Tuesday</t>
        </is>
      </c>
      <c r="J2422" t="inlineStr">
        <is>
          <t>Month+6 Expiry</t>
        </is>
      </c>
      <c r="K2422" s="25" t="n">
        <v>21750</v>
      </c>
      <c r="L2422" s="26" t="n">
        <v>36.0693</v>
      </c>
      <c r="M2422" s="26" t="n">
        <v>0.8883</v>
      </c>
    </row>
    <row r="2423" ht="16" customHeight="1">
      <c r="A2423" t="inlineStr">
        <is>
          <t>16-Mar-2026</t>
        </is>
      </c>
      <c r="B2423" t="inlineStr">
        <is>
          <t>Monday</t>
        </is>
      </c>
      <c r="C2423" t="inlineStr">
        <is>
          <t>Week3-Mar-2026</t>
        </is>
      </c>
      <c r="D2423" s="78" t="n">
        <v>46082</v>
      </c>
      <c r="E2423" t="inlineStr">
        <is>
          <t>Q4FY26</t>
        </is>
      </c>
      <c r="F2423" t="inlineStr">
        <is>
          <t>29-Dec-2026</t>
        </is>
      </c>
      <c r="G2423" t="inlineStr">
        <is>
          <t>Tuesday</t>
        </is>
      </c>
      <c r="H2423" t="inlineStr">
        <is>
          <t>Monthly - Tuesday</t>
        </is>
      </c>
      <c r="I2423" t="inlineStr">
        <is>
          <t>Monthly - Tuesday</t>
        </is>
      </c>
      <c r="J2423" t="inlineStr">
        <is>
          <t>Month+9 Expiry</t>
        </is>
      </c>
      <c r="K2423" s="25" t="n">
        <v>57564</v>
      </c>
      <c r="L2423" s="26" t="n">
        <v>93.688</v>
      </c>
      <c r="M2423" s="26" t="n">
        <v>3.241</v>
      </c>
    </row>
    <row r="2424" ht="16" customHeight="1">
      <c r="A2424" t="inlineStr">
        <is>
          <t>16-Mar-2026</t>
        </is>
      </c>
      <c r="B2424" t="inlineStr">
        <is>
          <t>Monday</t>
        </is>
      </c>
      <c r="C2424" t="inlineStr">
        <is>
          <t>Week3-Mar-2026</t>
        </is>
      </c>
      <c r="D2424" s="78" t="n">
        <v>46082</v>
      </c>
      <c r="E2424" t="inlineStr">
        <is>
          <t>Q4FY26</t>
        </is>
      </c>
      <c r="F2424" t="inlineStr">
        <is>
          <t>29-Jun-2027</t>
        </is>
      </c>
      <c r="G2424" t="inlineStr">
        <is>
          <t>Tuesday</t>
        </is>
      </c>
      <c r="H2424" t="inlineStr">
        <is>
          <t>Monthly - Tuesday</t>
        </is>
      </c>
      <c r="I2424" t="inlineStr">
        <is>
          <t>Monthly - Tuesday</t>
        </is>
      </c>
      <c r="J2424" t="inlineStr">
        <is>
          <t>Month+15 Expiry</t>
        </is>
      </c>
      <c r="K2424" s="25" t="n">
        <v>1</v>
      </c>
      <c r="L2424" s="26" t="n">
        <v>0.0014</v>
      </c>
      <c r="M2424" s="26" t="n">
        <v>0</v>
      </c>
    </row>
    <row r="2425" ht="16" customHeight="1">
      <c r="A2425" t="inlineStr">
        <is>
          <t>16-Mar-2026</t>
        </is>
      </c>
      <c r="B2425" t="inlineStr">
        <is>
          <t>Monday</t>
        </is>
      </c>
      <c r="C2425" t="inlineStr">
        <is>
          <t>Week3-Mar-2026</t>
        </is>
      </c>
      <c r="D2425" s="78" t="n">
        <v>46082</v>
      </c>
      <c r="E2425" t="inlineStr">
        <is>
          <t>Q4FY26</t>
        </is>
      </c>
      <c r="F2425" t="inlineStr">
        <is>
          <t>28-Dec-2027</t>
        </is>
      </c>
      <c r="G2425" t="inlineStr">
        <is>
          <t>Tuesday</t>
        </is>
      </c>
      <c r="H2425" t="inlineStr">
        <is>
          <t>Monthly - Tuesday</t>
        </is>
      </c>
      <c r="I2425" t="inlineStr">
        <is>
          <t>Monthly - Tuesday</t>
        </is>
      </c>
      <c r="J2425" t="inlineStr">
        <is>
          <t>Month+21 Expiry</t>
        </is>
      </c>
      <c r="K2425" s="25" t="n">
        <v>316</v>
      </c>
      <c r="L2425" s="26" t="n">
        <v>0.5433</v>
      </c>
      <c r="M2425" s="26" t="n">
        <v>0.0316</v>
      </c>
    </row>
    <row r="2426" ht="16" customHeight="1">
      <c r="A2426" t="inlineStr">
        <is>
          <t>16-Mar-2026</t>
        </is>
      </c>
      <c r="B2426" t="inlineStr">
        <is>
          <t>Monday</t>
        </is>
      </c>
      <c r="C2426" t="inlineStr">
        <is>
          <t>Week3-Mar-2026</t>
        </is>
      </c>
      <c r="D2426" s="78" t="n">
        <v>46082</v>
      </c>
      <c r="E2426" t="inlineStr">
        <is>
          <t>Q4FY26</t>
        </is>
      </c>
      <c r="F2426" t="inlineStr">
        <is>
          <t>27-Jun-2028</t>
        </is>
      </c>
      <c r="G2426" t="inlineStr">
        <is>
          <t>Tuesday</t>
        </is>
      </c>
      <c r="H2426" t="inlineStr">
        <is>
          <t>Monthly - Tuesday</t>
        </is>
      </c>
      <c r="I2426" t="inlineStr">
        <is>
          <t>Monthly - Tuesday</t>
        </is>
      </c>
      <c r="J2426" t="inlineStr">
        <is>
          <t>Month+27 Expiry</t>
        </is>
      </c>
      <c r="K2426" s="25" t="n">
        <v>0</v>
      </c>
      <c r="L2426" s="26" t="n">
        <v>0</v>
      </c>
      <c r="M2426" s="26" t="n">
        <v>0</v>
      </c>
    </row>
    <row r="2427" ht="16" customHeight="1">
      <c r="A2427" t="inlineStr">
        <is>
          <t>16-Mar-2026</t>
        </is>
      </c>
      <c r="B2427" t="inlineStr">
        <is>
          <t>Monday</t>
        </is>
      </c>
      <c r="C2427" t="inlineStr">
        <is>
          <t>Week3-Mar-2026</t>
        </is>
      </c>
      <c r="D2427" s="78" t="n">
        <v>46082</v>
      </c>
      <c r="E2427" t="inlineStr">
        <is>
          <t>Q4FY26</t>
        </is>
      </c>
      <c r="F2427" t="inlineStr">
        <is>
          <t>26-Dec-2028</t>
        </is>
      </c>
      <c r="G2427" t="inlineStr">
        <is>
          <t>Tuesday</t>
        </is>
      </c>
      <c r="H2427" t="inlineStr">
        <is>
          <t>Monthly - Tuesday</t>
        </is>
      </c>
      <c r="I2427" t="inlineStr">
        <is>
          <t>Monthly - Tuesday</t>
        </is>
      </c>
      <c r="J2427" t="inlineStr">
        <is>
          <t>Month+33 Expiry</t>
        </is>
      </c>
      <c r="K2427" s="25" t="n">
        <v>35</v>
      </c>
      <c r="L2427" s="26" t="n">
        <v>0.061</v>
      </c>
      <c r="M2427" s="26" t="n">
        <v>0.0036</v>
      </c>
    </row>
    <row r="2428" ht="16" customHeight="1">
      <c r="A2428" t="inlineStr">
        <is>
          <t>16-Mar-2026</t>
        </is>
      </c>
      <c r="B2428" t="inlineStr">
        <is>
          <t>Monday</t>
        </is>
      </c>
      <c r="C2428" t="inlineStr">
        <is>
          <t>Week3-Mar-2026</t>
        </is>
      </c>
      <c r="D2428" s="78" t="n">
        <v>46082</v>
      </c>
      <c r="E2428" t="inlineStr">
        <is>
          <t>Q4FY26</t>
        </is>
      </c>
      <c r="F2428" t="inlineStr">
        <is>
          <t>26-Jun-2029</t>
        </is>
      </c>
      <c r="G2428" t="inlineStr">
        <is>
          <t>Tuesday</t>
        </is>
      </c>
      <c r="H2428" t="inlineStr">
        <is>
          <t>Monthly - Tuesday</t>
        </is>
      </c>
      <c r="I2428" t="inlineStr">
        <is>
          <t>Monthly - Tuesday</t>
        </is>
      </c>
      <c r="J2428" t="inlineStr">
        <is>
          <t>Month+39 Expiry</t>
        </is>
      </c>
      <c r="K2428" s="25" t="n">
        <v>0</v>
      </c>
      <c r="L2428" s="26" t="n">
        <v>0</v>
      </c>
      <c r="M2428" s="26" t="n">
        <v>0</v>
      </c>
    </row>
    <row r="2429" ht="16" customHeight="1">
      <c r="A2429" t="inlineStr">
        <is>
          <t>16-Mar-2026</t>
        </is>
      </c>
      <c r="B2429" t="inlineStr">
        <is>
          <t>Monday</t>
        </is>
      </c>
      <c r="C2429" t="inlineStr">
        <is>
          <t>Week3-Mar-2026</t>
        </is>
      </c>
      <c r="D2429" s="78" t="n">
        <v>46082</v>
      </c>
      <c r="E2429" t="inlineStr">
        <is>
          <t>Q4FY26</t>
        </is>
      </c>
      <c r="F2429" t="inlineStr">
        <is>
          <t>24-Dec-2029</t>
        </is>
      </c>
      <c r="G2429" t="inlineStr">
        <is>
          <t>Monday</t>
        </is>
      </c>
      <c r="H2429" t="inlineStr">
        <is>
          <t>Weekly - Monday</t>
        </is>
      </c>
      <c r="I2429" t="inlineStr">
        <is>
          <t>Weekly - Monday</t>
        </is>
      </c>
      <c r="J2429" t="inlineStr">
        <is>
          <t>Month+45 Expiry</t>
        </is>
      </c>
      <c r="K2429" s="25" t="n">
        <v>4</v>
      </c>
      <c r="L2429" s="26" t="n">
        <v>0.0062</v>
      </c>
      <c r="M2429" s="26" t="n">
        <v>0.0002</v>
      </c>
    </row>
    <row r="2430" ht="16" customHeight="1">
      <c r="A2430" t="inlineStr">
        <is>
          <t>16-Mar-2026</t>
        </is>
      </c>
      <c r="B2430" t="inlineStr">
        <is>
          <t>Monday</t>
        </is>
      </c>
      <c r="C2430" t="inlineStr">
        <is>
          <t>Week3-Mar-2026</t>
        </is>
      </c>
      <c r="D2430" s="78" t="n">
        <v>46082</v>
      </c>
      <c r="E2430" t="inlineStr">
        <is>
          <t>Q4FY26</t>
        </is>
      </c>
      <c r="F2430" t="inlineStr">
        <is>
          <t>25-Jun-2030</t>
        </is>
      </c>
      <c r="G2430" t="inlineStr">
        <is>
          <t>Tuesday</t>
        </is>
      </c>
      <c r="H2430" t="inlineStr">
        <is>
          <t>Monthly - Tuesday</t>
        </is>
      </c>
      <c r="I2430" t="inlineStr">
        <is>
          <t>Monthly - Tuesday</t>
        </is>
      </c>
      <c r="J2430" t="inlineStr">
        <is>
          <t>Month+51 Expiry</t>
        </is>
      </c>
      <c r="K2430" s="25" t="n">
        <v>1</v>
      </c>
      <c r="L2430" s="26" t="n">
        <v>0.0014</v>
      </c>
      <c r="M2430" s="26" t="n">
        <v>0</v>
      </c>
    </row>
    <row r="2431" ht="16" customHeight="1">
      <c r="A2431" t="inlineStr">
        <is>
          <t>16-Mar-2026</t>
        </is>
      </c>
      <c r="B2431" t="inlineStr">
        <is>
          <t>Monday</t>
        </is>
      </c>
      <c r="C2431" t="inlineStr">
        <is>
          <t>Week3-Mar-2026</t>
        </is>
      </c>
      <c r="D2431" s="78" t="n">
        <v>46082</v>
      </c>
      <c r="E2431" t="inlineStr">
        <is>
          <t>Q4FY26</t>
        </is>
      </c>
      <c r="F2431" t="inlineStr">
        <is>
          <t>31-Dec-2030</t>
        </is>
      </c>
      <c r="G2431" t="inlineStr">
        <is>
          <t>Tuesday</t>
        </is>
      </c>
      <c r="H2431" t="inlineStr">
        <is>
          <t>Monthly - Tuesday</t>
        </is>
      </c>
      <c r="I2431" t="inlineStr">
        <is>
          <t>Monthly - Tuesday</t>
        </is>
      </c>
      <c r="J2431" t="inlineStr">
        <is>
          <t>Month+57 Expiry</t>
        </is>
      </c>
      <c r="K2431" s="25" t="n">
        <v>0</v>
      </c>
      <c r="L2431" s="26" t="n">
        <v>0</v>
      </c>
      <c r="M2431" s="26" t="n">
        <v>0</v>
      </c>
    </row>
    <row r="2432" ht="16" customHeight="1">
      <c r="A2432" t="inlineStr">
        <is>
          <t>17-Mar-2026</t>
        </is>
      </c>
      <c r="B2432" t="inlineStr">
        <is>
          <t>Tuesday</t>
        </is>
      </c>
      <c r="C2432" t="inlineStr">
        <is>
          <t>Week3-Mar-2026</t>
        </is>
      </c>
      <c r="D2432" s="78" t="n">
        <v>46082</v>
      </c>
      <c r="E2432" t="inlineStr">
        <is>
          <t>Q4FY26</t>
        </is>
      </c>
      <c r="F2432" t="inlineStr">
        <is>
          <t>17-Mar-2026</t>
        </is>
      </c>
      <c r="G2432" t="inlineStr">
        <is>
          <t>Tuesday</t>
        </is>
      </c>
      <c r="H2432" t="inlineStr">
        <is>
          <t>Weekly - Tuesday</t>
        </is>
      </c>
      <c r="I2432" t="inlineStr">
        <is>
          <t>Weekly - Tuesday</t>
        </is>
      </c>
      <c r="J2432" t="inlineStr">
        <is>
          <t>Same Month Expiry</t>
        </is>
      </c>
      <c r="K2432" s="25" t="n">
        <v>487189787</v>
      </c>
      <c r="L2432" s="26" t="n">
        <v>744461.892</v>
      </c>
      <c r="M2432" s="26" t="n">
        <v>905.7829</v>
      </c>
    </row>
    <row r="2433" ht="16" customHeight="1">
      <c r="A2433" t="inlineStr">
        <is>
          <t>17-Mar-2026</t>
        </is>
      </c>
      <c r="B2433" t="inlineStr">
        <is>
          <t>Tuesday</t>
        </is>
      </c>
      <c r="C2433" t="inlineStr">
        <is>
          <t>Week3-Mar-2026</t>
        </is>
      </c>
      <c r="D2433" s="78" t="n">
        <v>46082</v>
      </c>
      <c r="E2433" t="inlineStr">
        <is>
          <t>Q4FY26</t>
        </is>
      </c>
      <c r="F2433" t="inlineStr">
        <is>
          <t>24-Mar-2026</t>
        </is>
      </c>
      <c r="G2433" t="inlineStr">
        <is>
          <t>Tuesday</t>
        </is>
      </c>
      <c r="H2433" t="inlineStr">
        <is>
          <t>Weekly - Tuesday</t>
        </is>
      </c>
      <c r="I2433" t="inlineStr">
        <is>
          <t>Weekly - Tuesday</t>
        </is>
      </c>
      <c r="J2433" t="inlineStr">
        <is>
          <t>Same Month Expiry</t>
        </is>
      </c>
      <c r="K2433" s="25" t="n">
        <v>9877766</v>
      </c>
      <c r="L2433" s="26" t="n">
        <v>15184.6509</v>
      </c>
      <c r="M2433" s="26" t="n">
        <v>86.1296</v>
      </c>
    </row>
    <row r="2434" ht="16" customHeight="1">
      <c r="A2434" t="inlineStr">
        <is>
          <t>17-Mar-2026</t>
        </is>
      </c>
      <c r="B2434" t="inlineStr">
        <is>
          <t>Tuesday</t>
        </is>
      </c>
      <c r="C2434" t="inlineStr">
        <is>
          <t>Week3-Mar-2026</t>
        </is>
      </c>
      <c r="D2434" s="78" t="n">
        <v>46082</v>
      </c>
      <c r="E2434" t="inlineStr">
        <is>
          <t>Q4FY26</t>
        </is>
      </c>
      <c r="F2434" t="inlineStr">
        <is>
          <t>30-Mar-2026</t>
        </is>
      </c>
      <c r="G2434" t="inlineStr">
        <is>
          <t>Monday</t>
        </is>
      </c>
      <c r="H2434" t="inlineStr">
        <is>
          <t>Monthly - Monday</t>
        </is>
      </c>
      <c r="I2434" t="inlineStr">
        <is>
          <t>Monthly - Monday</t>
        </is>
      </c>
      <c r="J2434" t="inlineStr">
        <is>
          <t>Same Month Expiry</t>
        </is>
      </c>
      <c r="K2434" s="25" t="n">
        <v>2536605</v>
      </c>
      <c r="L2434" s="26" t="n">
        <v>3934.5851</v>
      </c>
      <c r="M2434" s="26" t="n">
        <v>41.3681</v>
      </c>
    </row>
    <row r="2435" ht="16" customHeight="1">
      <c r="A2435" t="inlineStr">
        <is>
          <t>17-Mar-2026</t>
        </is>
      </c>
      <c r="B2435" t="inlineStr">
        <is>
          <t>Tuesday</t>
        </is>
      </c>
      <c r="C2435" t="inlineStr">
        <is>
          <t>Week3-Mar-2026</t>
        </is>
      </c>
      <c r="D2435" s="78" t="n">
        <v>46082</v>
      </c>
      <c r="E2435" t="inlineStr">
        <is>
          <t>Q4FY26</t>
        </is>
      </c>
      <c r="F2435" t="inlineStr">
        <is>
          <t>07-Apr-2026</t>
        </is>
      </c>
      <c r="G2435" t="inlineStr">
        <is>
          <t>Tuesday</t>
        </is>
      </c>
      <c r="H2435" t="inlineStr">
        <is>
          <t>Weekly - Tuesday</t>
        </is>
      </c>
      <c r="I2435" t="inlineStr">
        <is>
          <t>Weekly - Tuesday</t>
        </is>
      </c>
      <c r="J2435" t="inlineStr">
        <is>
          <t>Month+1 Expiry</t>
        </is>
      </c>
      <c r="K2435" s="25" t="n">
        <v>122963</v>
      </c>
      <c r="L2435" s="26" t="n">
        <v>194.6846</v>
      </c>
      <c r="M2435" s="26" t="n">
        <v>3.4879</v>
      </c>
    </row>
    <row r="2436" ht="16" customHeight="1">
      <c r="A2436" t="inlineStr">
        <is>
          <t>17-Mar-2026</t>
        </is>
      </c>
      <c r="B2436" t="inlineStr">
        <is>
          <t>Tuesday</t>
        </is>
      </c>
      <c r="C2436" t="inlineStr">
        <is>
          <t>Week3-Mar-2026</t>
        </is>
      </c>
      <c r="D2436" s="78" t="n">
        <v>46082</v>
      </c>
      <c r="E2436" t="inlineStr">
        <is>
          <t>Q4FY26</t>
        </is>
      </c>
      <c r="F2436" t="inlineStr">
        <is>
          <t>13-Apr-2026</t>
        </is>
      </c>
      <c r="G2436" t="inlineStr">
        <is>
          <t>Monday</t>
        </is>
      </c>
      <c r="H2436" t="inlineStr">
        <is>
          <t>Weekly - Monday</t>
        </is>
      </c>
      <c r="I2436" t="inlineStr">
        <is>
          <t>Weekly - Monday</t>
        </is>
      </c>
      <c r="J2436" t="inlineStr">
        <is>
          <t>Month+1 Expiry</t>
        </is>
      </c>
      <c r="K2436" s="25" t="n">
        <v>3273</v>
      </c>
      <c r="L2436" s="26" t="n">
        <v>5.2495</v>
      </c>
      <c r="M2436" s="26" t="n">
        <v>0.0589</v>
      </c>
    </row>
    <row r="2437" ht="16" customHeight="1">
      <c r="A2437" t="inlineStr">
        <is>
          <t>17-Mar-2026</t>
        </is>
      </c>
      <c r="B2437" t="inlineStr">
        <is>
          <t>Tuesday</t>
        </is>
      </c>
      <c r="C2437" t="inlineStr">
        <is>
          <t>Week3-Mar-2026</t>
        </is>
      </c>
      <c r="D2437" s="78" t="n">
        <v>46082</v>
      </c>
      <c r="E2437" t="inlineStr">
        <is>
          <t>Q4FY26</t>
        </is>
      </c>
      <c r="F2437" t="inlineStr">
        <is>
          <t>28-Apr-2026</t>
        </is>
      </c>
      <c r="G2437" t="inlineStr">
        <is>
          <t>Tuesday</t>
        </is>
      </c>
      <c r="H2437" t="inlineStr">
        <is>
          <t>Monthly - Tuesday</t>
        </is>
      </c>
      <c r="I2437" t="inlineStr">
        <is>
          <t>Monthly - Tuesday</t>
        </is>
      </c>
      <c r="J2437" t="inlineStr">
        <is>
          <t>Month+1 Expiry</t>
        </is>
      </c>
      <c r="K2437" s="25" t="n">
        <v>316124</v>
      </c>
      <c r="L2437" s="26" t="n">
        <v>504.0489</v>
      </c>
      <c r="M2437" s="26" t="n">
        <v>8.5747</v>
      </c>
    </row>
    <row r="2438" ht="16" customHeight="1">
      <c r="A2438" t="inlineStr">
        <is>
          <t>17-Mar-2026</t>
        </is>
      </c>
      <c r="B2438" t="inlineStr">
        <is>
          <t>Tuesday</t>
        </is>
      </c>
      <c r="C2438" t="inlineStr">
        <is>
          <t>Week3-Mar-2026</t>
        </is>
      </c>
      <c r="D2438" s="78" t="n">
        <v>46082</v>
      </c>
      <c r="E2438" t="inlineStr">
        <is>
          <t>Q4FY26</t>
        </is>
      </c>
      <c r="F2438" t="inlineStr">
        <is>
          <t>26-May-2026</t>
        </is>
      </c>
      <c r="G2438" t="inlineStr">
        <is>
          <t>Tuesday</t>
        </is>
      </c>
      <c r="H2438" t="inlineStr">
        <is>
          <t>Monthly - Tuesday</t>
        </is>
      </c>
      <c r="I2438" t="inlineStr">
        <is>
          <t>Monthly - Tuesday</t>
        </is>
      </c>
      <c r="J2438" t="inlineStr">
        <is>
          <t>Month+2 Expiry</t>
        </is>
      </c>
      <c r="K2438" s="25" t="n">
        <v>60962</v>
      </c>
      <c r="L2438" s="26" t="n">
        <v>97.78570000000001</v>
      </c>
      <c r="M2438" s="26" t="n">
        <v>1.9316</v>
      </c>
    </row>
    <row r="2439" ht="16" customHeight="1">
      <c r="A2439" t="inlineStr">
        <is>
          <t>17-Mar-2026</t>
        </is>
      </c>
      <c r="B2439" t="inlineStr">
        <is>
          <t>Tuesday</t>
        </is>
      </c>
      <c r="C2439" t="inlineStr">
        <is>
          <t>Week3-Mar-2026</t>
        </is>
      </c>
      <c r="D2439" s="78" t="n">
        <v>46082</v>
      </c>
      <c r="E2439" t="inlineStr">
        <is>
          <t>Q4FY26</t>
        </is>
      </c>
      <c r="F2439" t="inlineStr">
        <is>
          <t>30-Jun-2026</t>
        </is>
      </c>
      <c r="G2439" t="inlineStr">
        <is>
          <t>Tuesday</t>
        </is>
      </c>
      <c r="H2439" t="inlineStr">
        <is>
          <t>Monthly - Tuesday</t>
        </is>
      </c>
      <c r="I2439" t="inlineStr">
        <is>
          <t>Monthly - Tuesday</t>
        </is>
      </c>
      <c r="J2439" t="inlineStr">
        <is>
          <t>Month+3 Expiry</t>
        </is>
      </c>
      <c r="K2439" s="25" t="n">
        <v>96568</v>
      </c>
      <c r="L2439" s="26" t="n">
        <v>152.0642</v>
      </c>
      <c r="M2439" s="26" t="n">
        <v>2.8621</v>
      </c>
    </row>
    <row r="2440" ht="16" customHeight="1">
      <c r="A2440" t="inlineStr">
        <is>
          <t>17-Mar-2026</t>
        </is>
      </c>
      <c r="B2440" t="inlineStr">
        <is>
          <t>Tuesday</t>
        </is>
      </c>
      <c r="C2440" t="inlineStr">
        <is>
          <t>Week3-Mar-2026</t>
        </is>
      </c>
      <c r="D2440" s="78" t="n">
        <v>46082</v>
      </c>
      <c r="E2440" t="inlineStr">
        <is>
          <t>Q4FY26</t>
        </is>
      </c>
      <c r="F2440" t="inlineStr">
        <is>
          <t>29-Sep-2026</t>
        </is>
      </c>
      <c r="G2440" t="inlineStr">
        <is>
          <t>Tuesday</t>
        </is>
      </c>
      <c r="H2440" t="inlineStr">
        <is>
          <t>Monthly - Tuesday</t>
        </is>
      </c>
      <c r="I2440" t="inlineStr">
        <is>
          <t>Monthly - Tuesday</t>
        </is>
      </c>
      <c r="J2440" t="inlineStr">
        <is>
          <t>Month+6 Expiry</t>
        </is>
      </c>
      <c r="K2440" s="25" t="n">
        <v>17881</v>
      </c>
      <c r="L2440" s="26" t="n">
        <v>29.4331</v>
      </c>
      <c r="M2440" s="26" t="n">
        <v>0.6765</v>
      </c>
    </row>
    <row r="2441" ht="16" customHeight="1">
      <c r="A2441" t="inlineStr">
        <is>
          <t>17-Mar-2026</t>
        </is>
      </c>
      <c r="B2441" t="inlineStr">
        <is>
          <t>Tuesday</t>
        </is>
      </c>
      <c r="C2441" t="inlineStr">
        <is>
          <t>Week3-Mar-2026</t>
        </is>
      </c>
      <c r="D2441" s="78" t="n">
        <v>46082</v>
      </c>
      <c r="E2441" t="inlineStr">
        <is>
          <t>Q4FY26</t>
        </is>
      </c>
      <c r="F2441" t="inlineStr">
        <is>
          <t>29-Dec-2026</t>
        </is>
      </c>
      <c r="G2441" t="inlineStr">
        <is>
          <t>Tuesday</t>
        </is>
      </c>
      <c r="H2441" t="inlineStr">
        <is>
          <t>Monthly - Tuesday</t>
        </is>
      </c>
      <c r="I2441" t="inlineStr">
        <is>
          <t>Monthly - Tuesday</t>
        </is>
      </c>
      <c r="J2441" t="inlineStr">
        <is>
          <t>Month+9 Expiry</t>
        </is>
      </c>
      <c r="K2441" s="25" t="n">
        <v>25027</v>
      </c>
      <c r="L2441" s="26" t="n">
        <v>40.6891</v>
      </c>
      <c r="M2441" s="26" t="n">
        <v>1.2876</v>
      </c>
    </row>
    <row r="2442" ht="16" customHeight="1">
      <c r="A2442" t="inlineStr">
        <is>
          <t>17-Mar-2026</t>
        </is>
      </c>
      <c r="B2442" t="inlineStr">
        <is>
          <t>Tuesday</t>
        </is>
      </c>
      <c r="C2442" t="inlineStr">
        <is>
          <t>Week3-Mar-2026</t>
        </is>
      </c>
      <c r="D2442" s="78" t="n">
        <v>46082</v>
      </c>
      <c r="E2442" t="inlineStr">
        <is>
          <t>Q4FY26</t>
        </is>
      </c>
      <c r="F2442" t="inlineStr">
        <is>
          <t>29-Jun-2027</t>
        </is>
      </c>
      <c r="G2442" t="inlineStr">
        <is>
          <t>Tuesday</t>
        </is>
      </c>
      <c r="H2442" t="inlineStr">
        <is>
          <t>Monthly - Tuesday</t>
        </is>
      </c>
      <c r="I2442" t="inlineStr">
        <is>
          <t>Monthly - Tuesday</t>
        </is>
      </c>
      <c r="J2442" t="inlineStr">
        <is>
          <t>Month+15 Expiry</t>
        </is>
      </c>
      <c r="K2442" s="25" t="n">
        <v>0</v>
      </c>
      <c r="L2442" s="26" t="n">
        <v>0</v>
      </c>
      <c r="M2442" s="26" t="n">
        <v>0</v>
      </c>
    </row>
    <row r="2443" ht="16" customHeight="1">
      <c r="A2443" t="inlineStr">
        <is>
          <t>17-Mar-2026</t>
        </is>
      </c>
      <c r="B2443" t="inlineStr">
        <is>
          <t>Tuesday</t>
        </is>
      </c>
      <c r="C2443" t="inlineStr">
        <is>
          <t>Week3-Mar-2026</t>
        </is>
      </c>
      <c r="D2443" s="78" t="n">
        <v>46082</v>
      </c>
      <c r="E2443" t="inlineStr">
        <is>
          <t>Q4FY26</t>
        </is>
      </c>
      <c r="F2443" t="inlineStr">
        <is>
          <t>28-Dec-2027</t>
        </is>
      </c>
      <c r="G2443" t="inlineStr">
        <is>
          <t>Tuesday</t>
        </is>
      </c>
      <c r="H2443" t="inlineStr">
        <is>
          <t>Monthly - Tuesday</t>
        </is>
      </c>
      <c r="I2443" t="inlineStr">
        <is>
          <t>Monthly - Tuesday</t>
        </is>
      </c>
      <c r="J2443" t="inlineStr">
        <is>
          <t>Month+21 Expiry</t>
        </is>
      </c>
      <c r="K2443" s="25" t="n">
        <v>236</v>
      </c>
      <c r="L2443" s="26" t="n">
        <v>0.4074</v>
      </c>
      <c r="M2443" s="26" t="n">
        <v>0.0248</v>
      </c>
    </row>
    <row r="2444" ht="16" customHeight="1">
      <c r="A2444" t="inlineStr">
        <is>
          <t>17-Mar-2026</t>
        </is>
      </c>
      <c r="B2444" t="inlineStr">
        <is>
          <t>Tuesday</t>
        </is>
      </c>
      <c r="C2444" t="inlineStr">
        <is>
          <t>Week3-Mar-2026</t>
        </is>
      </c>
      <c r="D2444" s="78" t="n">
        <v>46082</v>
      </c>
      <c r="E2444" t="inlineStr">
        <is>
          <t>Q4FY26</t>
        </is>
      </c>
      <c r="F2444" t="inlineStr">
        <is>
          <t>27-Jun-2028</t>
        </is>
      </c>
      <c r="G2444" t="inlineStr">
        <is>
          <t>Tuesday</t>
        </is>
      </c>
      <c r="H2444" t="inlineStr">
        <is>
          <t>Monthly - Tuesday</t>
        </is>
      </c>
      <c r="I2444" t="inlineStr">
        <is>
          <t>Monthly - Tuesday</t>
        </is>
      </c>
      <c r="J2444" t="inlineStr">
        <is>
          <t>Month+27 Expiry</t>
        </is>
      </c>
      <c r="K2444" s="25" t="n">
        <v>0</v>
      </c>
      <c r="L2444" s="26" t="n">
        <v>0</v>
      </c>
      <c r="M2444" s="26" t="n">
        <v>0</v>
      </c>
    </row>
    <row r="2445" ht="16" customHeight="1">
      <c r="A2445" t="inlineStr">
        <is>
          <t>17-Mar-2026</t>
        </is>
      </c>
      <c r="B2445" t="inlineStr">
        <is>
          <t>Tuesday</t>
        </is>
      </c>
      <c r="C2445" t="inlineStr">
        <is>
          <t>Week3-Mar-2026</t>
        </is>
      </c>
      <c r="D2445" s="78" t="n">
        <v>46082</v>
      </c>
      <c r="E2445" t="inlineStr">
        <is>
          <t>Q4FY26</t>
        </is>
      </c>
      <c r="F2445" t="inlineStr">
        <is>
          <t>26-Dec-2028</t>
        </is>
      </c>
      <c r="G2445" t="inlineStr">
        <is>
          <t>Tuesday</t>
        </is>
      </c>
      <c r="H2445" t="inlineStr">
        <is>
          <t>Monthly - Tuesday</t>
        </is>
      </c>
      <c r="I2445" t="inlineStr">
        <is>
          <t>Monthly - Tuesday</t>
        </is>
      </c>
      <c r="J2445" t="inlineStr">
        <is>
          <t>Month+33 Expiry</t>
        </is>
      </c>
      <c r="K2445" s="25" t="n">
        <v>7</v>
      </c>
      <c r="L2445" s="26" t="n">
        <v>0.0122</v>
      </c>
      <c r="M2445" s="26" t="n">
        <v>0.0007</v>
      </c>
    </row>
    <row r="2446" ht="16" customHeight="1">
      <c r="A2446" t="inlineStr">
        <is>
          <t>17-Mar-2026</t>
        </is>
      </c>
      <c r="B2446" t="inlineStr">
        <is>
          <t>Tuesday</t>
        </is>
      </c>
      <c r="C2446" t="inlineStr">
        <is>
          <t>Week3-Mar-2026</t>
        </is>
      </c>
      <c r="D2446" s="78" t="n">
        <v>46082</v>
      </c>
      <c r="E2446" t="inlineStr">
        <is>
          <t>Q4FY26</t>
        </is>
      </c>
      <c r="F2446" t="inlineStr">
        <is>
          <t>26-Jun-2029</t>
        </is>
      </c>
      <c r="G2446" t="inlineStr">
        <is>
          <t>Tuesday</t>
        </is>
      </c>
      <c r="H2446" t="inlineStr">
        <is>
          <t>Monthly - Tuesday</t>
        </is>
      </c>
      <c r="I2446" t="inlineStr">
        <is>
          <t>Monthly - Tuesday</t>
        </is>
      </c>
      <c r="J2446" t="inlineStr">
        <is>
          <t>Month+39 Expiry</t>
        </is>
      </c>
      <c r="K2446" s="25" t="n">
        <v>0</v>
      </c>
      <c r="L2446" s="26" t="n">
        <v>0</v>
      </c>
      <c r="M2446" s="26" t="n">
        <v>0</v>
      </c>
    </row>
    <row r="2447" ht="16" customHeight="1">
      <c r="A2447" t="inlineStr">
        <is>
          <t>17-Mar-2026</t>
        </is>
      </c>
      <c r="B2447" t="inlineStr">
        <is>
          <t>Tuesday</t>
        </is>
      </c>
      <c r="C2447" t="inlineStr">
        <is>
          <t>Week3-Mar-2026</t>
        </is>
      </c>
      <c r="D2447" s="78" t="n">
        <v>46082</v>
      </c>
      <c r="E2447" t="inlineStr">
        <is>
          <t>Q4FY26</t>
        </is>
      </c>
      <c r="F2447" t="inlineStr">
        <is>
          <t>24-Dec-2029</t>
        </is>
      </c>
      <c r="G2447" t="inlineStr">
        <is>
          <t>Monday</t>
        </is>
      </c>
      <c r="H2447" t="inlineStr">
        <is>
          <t>Weekly - Monday</t>
        </is>
      </c>
      <c r="I2447" t="inlineStr">
        <is>
          <t>Weekly - Monday</t>
        </is>
      </c>
      <c r="J2447" t="inlineStr">
        <is>
          <t>Month+45 Expiry</t>
        </is>
      </c>
      <c r="K2447" s="25" t="n">
        <v>2</v>
      </c>
      <c r="L2447" s="26" t="n">
        <v>0.0031</v>
      </c>
      <c r="M2447" s="26" t="n">
        <v>0.0001</v>
      </c>
    </row>
    <row r="2448" ht="16" customHeight="1">
      <c r="A2448" t="inlineStr">
        <is>
          <t>17-Mar-2026</t>
        </is>
      </c>
      <c r="B2448" t="inlineStr">
        <is>
          <t>Tuesday</t>
        </is>
      </c>
      <c r="C2448" t="inlineStr">
        <is>
          <t>Week3-Mar-2026</t>
        </is>
      </c>
      <c r="D2448" s="78" t="n">
        <v>46082</v>
      </c>
      <c r="E2448" t="inlineStr">
        <is>
          <t>Q4FY26</t>
        </is>
      </c>
      <c r="F2448" t="inlineStr">
        <is>
          <t>25-Jun-2030</t>
        </is>
      </c>
      <c r="G2448" t="inlineStr">
        <is>
          <t>Tuesday</t>
        </is>
      </c>
      <c r="H2448" t="inlineStr">
        <is>
          <t>Monthly - Tuesday</t>
        </is>
      </c>
      <c r="I2448" t="inlineStr">
        <is>
          <t>Monthly - Tuesday</t>
        </is>
      </c>
      <c r="J2448" t="inlineStr">
        <is>
          <t>Month+51 Expiry</t>
        </is>
      </c>
      <c r="K2448" s="25" t="n">
        <v>0</v>
      </c>
      <c r="L2448" s="26" t="n">
        <v>0</v>
      </c>
      <c r="M2448" s="26" t="n">
        <v>0</v>
      </c>
    </row>
    <row r="2449" ht="16" customHeight="1">
      <c r="A2449" t="inlineStr">
        <is>
          <t>17-Mar-2026</t>
        </is>
      </c>
      <c r="B2449" t="inlineStr">
        <is>
          <t>Tuesday</t>
        </is>
      </c>
      <c r="C2449" t="inlineStr">
        <is>
          <t>Week3-Mar-2026</t>
        </is>
      </c>
      <c r="D2449" s="78" t="n">
        <v>46082</v>
      </c>
      <c r="E2449" t="inlineStr">
        <is>
          <t>Q4FY26</t>
        </is>
      </c>
      <c r="F2449" t="inlineStr">
        <is>
          <t>31-Dec-2030</t>
        </is>
      </c>
      <c r="G2449" t="inlineStr">
        <is>
          <t>Tuesday</t>
        </is>
      </c>
      <c r="H2449" t="inlineStr">
        <is>
          <t>Monthly - Tuesday</t>
        </is>
      </c>
      <c r="I2449" t="inlineStr">
        <is>
          <t>Monthly - Tuesday</t>
        </is>
      </c>
      <c r="J2449" t="inlineStr">
        <is>
          <t>Month+57 Expiry</t>
        </is>
      </c>
      <c r="K2449" s="25" t="n">
        <v>0</v>
      </c>
      <c r="L2449" s="26" t="n">
        <v>0</v>
      </c>
      <c r="M2449" s="26" t="n">
        <v>0</v>
      </c>
    </row>
    <row r="2450" ht="16" customHeight="1">
      <c r="A2450" t="inlineStr">
        <is>
          <t>18-Mar-2026</t>
        </is>
      </c>
      <c r="B2450" t="inlineStr">
        <is>
          <t>Wednesday</t>
        </is>
      </c>
      <c r="C2450" t="inlineStr">
        <is>
          <t>Week3-Mar-2026</t>
        </is>
      </c>
      <c r="D2450" s="78" t="n">
        <v>46082</v>
      </c>
      <c r="E2450" t="inlineStr">
        <is>
          <t>Q4FY26</t>
        </is>
      </c>
      <c r="F2450" t="inlineStr">
        <is>
          <t>24-Mar-2026</t>
        </is>
      </c>
      <c r="G2450" t="inlineStr">
        <is>
          <t>Tuesday</t>
        </is>
      </c>
      <c r="H2450" t="inlineStr">
        <is>
          <t>Weekly - Tuesday</t>
        </is>
      </c>
      <c r="I2450" t="inlineStr">
        <is>
          <t>Weekly - Tuesday</t>
        </is>
      </c>
      <c r="J2450" t="inlineStr">
        <is>
          <t>Same Month Expiry</t>
        </is>
      </c>
      <c r="K2450" s="25" t="n">
        <v>48720056</v>
      </c>
      <c r="L2450" s="26" t="n">
        <v>75655.22930000001</v>
      </c>
      <c r="M2450" s="26" t="n">
        <v>406.3055</v>
      </c>
    </row>
    <row r="2451" ht="16" customHeight="1">
      <c r="A2451" t="inlineStr">
        <is>
          <t>18-Mar-2026</t>
        </is>
      </c>
      <c r="B2451" t="inlineStr">
        <is>
          <t>Wednesday</t>
        </is>
      </c>
      <c r="C2451" t="inlineStr">
        <is>
          <t>Week3-Mar-2026</t>
        </is>
      </c>
      <c r="D2451" s="78" t="n">
        <v>46082</v>
      </c>
      <c r="E2451" t="inlineStr">
        <is>
          <t>Q4FY26</t>
        </is>
      </c>
      <c r="F2451" t="inlineStr">
        <is>
          <t>30-Mar-2026</t>
        </is>
      </c>
      <c r="G2451" t="inlineStr">
        <is>
          <t>Monday</t>
        </is>
      </c>
      <c r="H2451" t="inlineStr">
        <is>
          <t>Monthly - Monday</t>
        </is>
      </c>
      <c r="I2451" t="inlineStr">
        <is>
          <t>Monthly - Monday</t>
        </is>
      </c>
      <c r="J2451" t="inlineStr">
        <is>
          <t>Same Month Expiry</t>
        </is>
      </c>
      <c r="K2451" s="25" t="n">
        <v>2908480</v>
      </c>
      <c r="L2451" s="26" t="n">
        <v>4505.5652</v>
      </c>
      <c r="M2451" s="26" t="n">
        <v>33.7702</v>
      </c>
    </row>
    <row r="2452" ht="16" customHeight="1">
      <c r="A2452" t="inlineStr">
        <is>
          <t>18-Mar-2026</t>
        </is>
      </c>
      <c r="B2452" t="inlineStr">
        <is>
          <t>Wednesday</t>
        </is>
      </c>
      <c r="C2452" t="inlineStr">
        <is>
          <t>Week3-Mar-2026</t>
        </is>
      </c>
      <c r="D2452" s="78" t="n">
        <v>46082</v>
      </c>
      <c r="E2452" t="inlineStr">
        <is>
          <t>Q4FY26</t>
        </is>
      </c>
      <c r="F2452" t="inlineStr">
        <is>
          <t>07-Apr-2026</t>
        </is>
      </c>
      <c r="G2452" t="inlineStr">
        <is>
          <t>Tuesday</t>
        </is>
      </c>
      <c r="H2452" t="inlineStr">
        <is>
          <t>Weekly - Tuesday</t>
        </is>
      </c>
      <c r="I2452" t="inlineStr">
        <is>
          <t>Weekly - Tuesday</t>
        </is>
      </c>
      <c r="J2452" t="inlineStr">
        <is>
          <t>Month+1 Expiry</t>
        </is>
      </c>
      <c r="K2452" s="25" t="n">
        <v>197305</v>
      </c>
      <c r="L2452" s="26" t="n">
        <v>310.9459</v>
      </c>
      <c r="M2452" s="26" t="n">
        <v>3.3448</v>
      </c>
    </row>
    <row r="2453" ht="16" customHeight="1">
      <c r="A2453" t="inlineStr">
        <is>
          <t>18-Mar-2026</t>
        </is>
      </c>
      <c r="B2453" t="inlineStr">
        <is>
          <t>Wednesday</t>
        </is>
      </c>
      <c r="C2453" t="inlineStr">
        <is>
          <t>Week3-Mar-2026</t>
        </is>
      </c>
      <c r="D2453" s="78" t="n">
        <v>46082</v>
      </c>
      <c r="E2453" t="inlineStr">
        <is>
          <t>Q4FY26</t>
        </is>
      </c>
      <c r="F2453" t="inlineStr">
        <is>
          <t>13-Apr-2026</t>
        </is>
      </c>
      <c r="G2453" t="inlineStr">
        <is>
          <t>Monday</t>
        </is>
      </c>
      <c r="H2453" t="inlineStr">
        <is>
          <t>Weekly - Monday</t>
        </is>
      </c>
      <c r="I2453" t="inlineStr">
        <is>
          <t>Weekly - Monday</t>
        </is>
      </c>
      <c r="J2453" t="inlineStr">
        <is>
          <t>Month+1 Expiry</t>
        </is>
      </c>
      <c r="K2453" s="25" t="n">
        <v>9089</v>
      </c>
      <c r="L2453" s="26" t="n">
        <v>14.5383</v>
      </c>
      <c r="M2453" s="26" t="n">
        <v>0.1382</v>
      </c>
    </row>
    <row r="2454" ht="16" customHeight="1">
      <c r="A2454" t="inlineStr">
        <is>
          <t>18-Mar-2026</t>
        </is>
      </c>
      <c r="B2454" t="inlineStr">
        <is>
          <t>Wednesday</t>
        </is>
      </c>
      <c r="C2454" t="inlineStr">
        <is>
          <t>Week3-Mar-2026</t>
        </is>
      </c>
      <c r="D2454" s="78" t="n">
        <v>46082</v>
      </c>
      <c r="E2454" t="inlineStr">
        <is>
          <t>Q4FY26</t>
        </is>
      </c>
      <c r="F2454" t="inlineStr">
        <is>
          <t>21-Apr-2026</t>
        </is>
      </c>
      <c r="G2454" t="inlineStr">
        <is>
          <t>Tuesday</t>
        </is>
      </c>
      <c r="H2454" t="inlineStr">
        <is>
          <t>Weekly - Tuesday</t>
        </is>
      </c>
      <c r="I2454" t="inlineStr">
        <is>
          <t>Weekly - Tuesday</t>
        </is>
      </c>
      <c r="J2454" t="inlineStr">
        <is>
          <t>Month+1 Expiry</t>
        </is>
      </c>
      <c r="K2454" s="25" t="n">
        <v>632</v>
      </c>
      <c r="L2454" s="26" t="n">
        <v>0.9972</v>
      </c>
      <c r="M2454" s="26" t="n">
        <v>0.0201</v>
      </c>
    </row>
    <row r="2455" ht="16" customHeight="1">
      <c r="A2455" t="inlineStr">
        <is>
          <t>18-Mar-2026</t>
        </is>
      </c>
      <c r="B2455" t="inlineStr">
        <is>
          <t>Wednesday</t>
        </is>
      </c>
      <c r="C2455" t="inlineStr">
        <is>
          <t>Week3-Mar-2026</t>
        </is>
      </c>
      <c r="D2455" s="78" t="n">
        <v>46082</v>
      </c>
      <c r="E2455" t="inlineStr">
        <is>
          <t>Q4FY26</t>
        </is>
      </c>
      <c r="F2455" t="inlineStr">
        <is>
          <t>28-Apr-2026</t>
        </is>
      </c>
      <c r="G2455" t="inlineStr">
        <is>
          <t>Tuesday</t>
        </is>
      </c>
      <c r="H2455" t="inlineStr">
        <is>
          <t>Monthly - Tuesday</t>
        </is>
      </c>
      <c r="I2455" t="inlineStr">
        <is>
          <t>Monthly - Tuesday</t>
        </is>
      </c>
      <c r="J2455" t="inlineStr">
        <is>
          <t>Month+1 Expiry</t>
        </is>
      </c>
      <c r="K2455" s="25" t="n">
        <v>341211</v>
      </c>
      <c r="L2455" s="26" t="n">
        <v>542.7246</v>
      </c>
      <c r="M2455" s="26" t="n">
        <v>8.598699999999999</v>
      </c>
    </row>
    <row r="2456" ht="16" customHeight="1">
      <c r="A2456" t="inlineStr">
        <is>
          <t>18-Mar-2026</t>
        </is>
      </c>
      <c r="B2456" t="inlineStr">
        <is>
          <t>Wednesday</t>
        </is>
      </c>
      <c r="C2456" t="inlineStr">
        <is>
          <t>Week3-Mar-2026</t>
        </is>
      </c>
      <c r="D2456" s="78" t="n">
        <v>46082</v>
      </c>
      <c r="E2456" t="inlineStr">
        <is>
          <t>Q4FY26</t>
        </is>
      </c>
      <c r="F2456" t="inlineStr">
        <is>
          <t>26-May-2026</t>
        </is>
      </c>
      <c r="G2456" t="inlineStr">
        <is>
          <t>Tuesday</t>
        </is>
      </c>
      <c r="H2456" t="inlineStr">
        <is>
          <t>Monthly - Tuesday</t>
        </is>
      </c>
      <c r="I2456" t="inlineStr">
        <is>
          <t>Monthly - Tuesday</t>
        </is>
      </c>
      <c r="J2456" t="inlineStr">
        <is>
          <t>Month+2 Expiry</t>
        </is>
      </c>
      <c r="K2456" s="25" t="n">
        <v>59695</v>
      </c>
      <c r="L2456" s="26" t="n">
        <v>96.1546</v>
      </c>
      <c r="M2456" s="26" t="n">
        <v>1.7368</v>
      </c>
    </row>
    <row r="2457" ht="16" customHeight="1">
      <c r="A2457" t="inlineStr">
        <is>
          <t>18-Mar-2026</t>
        </is>
      </c>
      <c r="B2457" t="inlineStr">
        <is>
          <t>Wednesday</t>
        </is>
      </c>
      <c r="C2457" t="inlineStr">
        <is>
          <t>Week3-Mar-2026</t>
        </is>
      </c>
      <c r="D2457" s="78" t="n">
        <v>46082</v>
      </c>
      <c r="E2457" t="inlineStr">
        <is>
          <t>Q4FY26</t>
        </is>
      </c>
      <c r="F2457" t="inlineStr">
        <is>
          <t>30-Jun-2026</t>
        </is>
      </c>
      <c r="G2457" t="inlineStr">
        <is>
          <t>Tuesday</t>
        </is>
      </c>
      <c r="H2457" t="inlineStr">
        <is>
          <t>Monthly - Tuesday</t>
        </is>
      </c>
      <c r="I2457" t="inlineStr">
        <is>
          <t>Monthly - Tuesday</t>
        </is>
      </c>
      <c r="J2457" t="inlineStr">
        <is>
          <t>Month+3 Expiry</t>
        </is>
      </c>
      <c r="K2457" s="25" t="n">
        <v>102176</v>
      </c>
      <c r="L2457" s="26" t="n">
        <v>162.3656</v>
      </c>
      <c r="M2457" s="26" t="n">
        <v>3.7282</v>
      </c>
    </row>
    <row r="2458" ht="16" customHeight="1">
      <c r="A2458" t="inlineStr">
        <is>
          <t>18-Mar-2026</t>
        </is>
      </c>
      <c r="B2458" t="inlineStr">
        <is>
          <t>Wednesday</t>
        </is>
      </c>
      <c r="C2458" t="inlineStr">
        <is>
          <t>Week3-Mar-2026</t>
        </is>
      </c>
      <c r="D2458" s="78" t="n">
        <v>46082</v>
      </c>
      <c r="E2458" t="inlineStr">
        <is>
          <t>Q4FY26</t>
        </is>
      </c>
      <c r="F2458" t="inlineStr">
        <is>
          <t>29-Sep-2026</t>
        </is>
      </c>
      <c r="G2458" t="inlineStr">
        <is>
          <t>Tuesday</t>
        </is>
      </c>
      <c r="H2458" t="inlineStr">
        <is>
          <t>Monthly - Tuesday</t>
        </is>
      </c>
      <c r="I2458" t="inlineStr">
        <is>
          <t>Monthly - Tuesday</t>
        </is>
      </c>
      <c r="J2458" t="inlineStr">
        <is>
          <t>Month+6 Expiry</t>
        </is>
      </c>
      <c r="K2458" s="25" t="n">
        <v>25458</v>
      </c>
      <c r="L2458" s="26" t="n">
        <v>40.2673</v>
      </c>
      <c r="M2458" s="26" t="n">
        <v>0.9192</v>
      </c>
    </row>
    <row r="2459" ht="16" customHeight="1">
      <c r="A2459" t="inlineStr">
        <is>
          <t>18-Mar-2026</t>
        </is>
      </c>
      <c r="B2459" t="inlineStr">
        <is>
          <t>Wednesday</t>
        </is>
      </c>
      <c r="C2459" t="inlineStr">
        <is>
          <t>Week3-Mar-2026</t>
        </is>
      </c>
      <c r="D2459" s="78" t="n">
        <v>46082</v>
      </c>
      <c r="E2459" t="inlineStr">
        <is>
          <t>Q4FY26</t>
        </is>
      </c>
      <c r="F2459" t="inlineStr">
        <is>
          <t>29-Dec-2026</t>
        </is>
      </c>
      <c r="G2459" t="inlineStr">
        <is>
          <t>Tuesday</t>
        </is>
      </c>
      <c r="H2459" t="inlineStr">
        <is>
          <t>Monthly - Tuesday</t>
        </is>
      </c>
      <c r="I2459" t="inlineStr">
        <is>
          <t>Monthly - Tuesday</t>
        </is>
      </c>
      <c r="J2459" t="inlineStr">
        <is>
          <t>Month+9 Expiry</t>
        </is>
      </c>
      <c r="K2459" s="25" t="n">
        <v>34332</v>
      </c>
      <c r="L2459" s="26" t="n">
        <v>54.7209</v>
      </c>
      <c r="M2459" s="26" t="n">
        <v>1.5718</v>
      </c>
    </row>
    <row r="2460" ht="16" customHeight="1">
      <c r="A2460" t="inlineStr">
        <is>
          <t>18-Mar-2026</t>
        </is>
      </c>
      <c r="B2460" t="inlineStr">
        <is>
          <t>Wednesday</t>
        </is>
      </c>
      <c r="C2460" t="inlineStr">
        <is>
          <t>Week3-Mar-2026</t>
        </is>
      </c>
      <c r="D2460" s="78" t="n">
        <v>46082</v>
      </c>
      <c r="E2460" t="inlineStr">
        <is>
          <t>Q4FY26</t>
        </is>
      </c>
      <c r="F2460" t="inlineStr">
        <is>
          <t>29-Jun-2027</t>
        </is>
      </c>
      <c r="G2460" t="inlineStr">
        <is>
          <t>Tuesday</t>
        </is>
      </c>
      <c r="H2460" t="inlineStr">
        <is>
          <t>Monthly - Tuesday</t>
        </is>
      </c>
      <c r="I2460" t="inlineStr">
        <is>
          <t>Monthly - Tuesday</t>
        </is>
      </c>
      <c r="J2460" t="inlineStr">
        <is>
          <t>Month+15 Expiry</t>
        </is>
      </c>
      <c r="K2460" s="25" t="n">
        <v>0</v>
      </c>
      <c r="L2460" s="26" t="n">
        <v>0</v>
      </c>
      <c r="M2460" s="26" t="n">
        <v>0</v>
      </c>
    </row>
    <row r="2461" ht="16" customHeight="1">
      <c r="A2461" t="inlineStr">
        <is>
          <t>18-Mar-2026</t>
        </is>
      </c>
      <c r="B2461" t="inlineStr">
        <is>
          <t>Wednesday</t>
        </is>
      </c>
      <c r="C2461" t="inlineStr">
        <is>
          <t>Week3-Mar-2026</t>
        </is>
      </c>
      <c r="D2461" s="78" t="n">
        <v>46082</v>
      </c>
      <c r="E2461" t="inlineStr">
        <is>
          <t>Q4FY26</t>
        </is>
      </c>
      <c r="F2461" t="inlineStr">
        <is>
          <t>28-Dec-2027</t>
        </is>
      </c>
      <c r="G2461" t="inlineStr">
        <is>
          <t>Tuesday</t>
        </is>
      </c>
      <c r="H2461" t="inlineStr">
        <is>
          <t>Monthly - Tuesday</t>
        </is>
      </c>
      <c r="I2461" t="inlineStr">
        <is>
          <t>Monthly - Tuesday</t>
        </is>
      </c>
      <c r="J2461" t="inlineStr">
        <is>
          <t>Month+21 Expiry</t>
        </is>
      </c>
      <c r="K2461" s="25" t="n">
        <v>199</v>
      </c>
      <c r="L2461" s="26" t="n">
        <v>0.3556</v>
      </c>
      <c r="M2461" s="26" t="n">
        <v>0.0215</v>
      </c>
    </row>
    <row r="2462" ht="16" customHeight="1">
      <c r="A2462" t="inlineStr">
        <is>
          <t>18-Mar-2026</t>
        </is>
      </c>
      <c r="B2462" t="inlineStr">
        <is>
          <t>Wednesday</t>
        </is>
      </c>
      <c r="C2462" t="inlineStr">
        <is>
          <t>Week3-Mar-2026</t>
        </is>
      </c>
      <c r="D2462" s="78" t="n">
        <v>46082</v>
      </c>
      <c r="E2462" t="inlineStr">
        <is>
          <t>Q4FY26</t>
        </is>
      </c>
      <c r="F2462" t="inlineStr">
        <is>
          <t>27-Jun-2028</t>
        </is>
      </c>
      <c r="G2462" t="inlineStr">
        <is>
          <t>Tuesday</t>
        </is>
      </c>
      <c r="H2462" t="inlineStr">
        <is>
          <t>Monthly - Tuesday</t>
        </is>
      </c>
      <c r="I2462" t="inlineStr">
        <is>
          <t>Monthly - Tuesday</t>
        </is>
      </c>
      <c r="J2462" t="inlineStr">
        <is>
          <t>Month+27 Expiry</t>
        </is>
      </c>
      <c r="K2462" s="25" t="n">
        <v>0</v>
      </c>
      <c r="L2462" s="26" t="n">
        <v>0</v>
      </c>
      <c r="M2462" s="26" t="n">
        <v>0</v>
      </c>
    </row>
    <row r="2463" ht="16" customHeight="1">
      <c r="A2463" t="inlineStr">
        <is>
          <t>18-Mar-2026</t>
        </is>
      </c>
      <c r="B2463" t="inlineStr">
        <is>
          <t>Wednesday</t>
        </is>
      </c>
      <c r="C2463" t="inlineStr">
        <is>
          <t>Week3-Mar-2026</t>
        </is>
      </c>
      <c r="D2463" s="78" t="n">
        <v>46082</v>
      </c>
      <c r="E2463" t="inlineStr">
        <is>
          <t>Q4FY26</t>
        </is>
      </c>
      <c r="F2463" t="inlineStr">
        <is>
          <t>26-Dec-2028</t>
        </is>
      </c>
      <c r="G2463" t="inlineStr">
        <is>
          <t>Tuesday</t>
        </is>
      </c>
      <c r="H2463" t="inlineStr">
        <is>
          <t>Monthly - Tuesday</t>
        </is>
      </c>
      <c r="I2463" t="inlineStr">
        <is>
          <t>Monthly - Tuesday</t>
        </is>
      </c>
      <c r="J2463" t="inlineStr">
        <is>
          <t>Month+33 Expiry</t>
        </is>
      </c>
      <c r="K2463" s="25" t="n">
        <v>19</v>
      </c>
      <c r="L2463" s="26" t="n">
        <v>0.0347</v>
      </c>
      <c r="M2463" s="26" t="n">
        <v>0.0022</v>
      </c>
    </row>
    <row r="2464" ht="16" customHeight="1">
      <c r="A2464" t="inlineStr">
        <is>
          <t>18-Mar-2026</t>
        </is>
      </c>
      <c r="B2464" t="inlineStr">
        <is>
          <t>Wednesday</t>
        </is>
      </c>
      <c r="C2464" t="inlineStr">
        <is>
          <t>Week3-Mar-2026</t>
        </is>
      </c>
      <c r="D2464" s="78" t="n">
        <v>46082</v>
      </c>
      <c r="E2464" t="inlineStr">
        <is>
          <t>Q4FY26</t>
        </is>
      </c>
      <c r="F2464" t="inlineStr">
        <is>
          <t>26-Jun-2029</t>
        </is>
      </c>
      <c r="G2464" t="inlineStr">
        <is>
          <t>Tuesday</t>
        </is>
      </c>
      <c r="H2464" t="inlineStr">
        <is>
          <t>Monthly - Tuesday</t>
        </is>
      </c>
      <c r="I2464" t="inlineStr">
        <is>
          <t>Monthly - Tuesday</t>
        </is>
      </c>
      <c r="J2464" t="inlineStr">
        <is>
          <t>Month+39 Expiry</t>
        </is>
      </c>
      <c r="K2464" s="25" t="n">
        <v>0</v>
      </c>
      <c r="L2464" s="26" t="n">
        <v>0</v>
      </c>
      <c r="M2464" s="26" t="n">
        <v>0</v>
      </c>
    </row>
    <row r="2465" ht="16" customHeight="1">
      <c r="A2465" t="inlineStr">
        <is>
          <t>18-Mar-2026</t>
        </is>
      </c>
      <c r="B2465" t="inlineStr">
        <is>
          <t>Wednesday</t>
        </is>
      </c>
      <c r="C2465" t="inlineStr">
        <is>
          <t>Week3-Mar-2026</t>
        </is>
      </c>
      <c r="D2465" s="78" t="n">
        <v>46082</v>
      </c>
      <c r="E2465" t="inlineStr">
        <is>
          <t>Q4FY26</t>
        </is>
      </c>
      <c r="F2465" t="inlineStr">
        <is>
          <t>24-Dec-2029</t>
        </is>
      </c>
      <c r="G2465" t="inlineStr">
        <is>
          <t>Monday</t>
        </is>
      </c>
      <c r="H2465" t="inlineStr">
        <is>
          <t>Weekly - Monday</t>
        </is>
      </c>
      <c r="I2465" t="inlineStr">
        <is>
          <t>Weekly - Monday</t>
        </is>
      </c>
      <c r="J2465" t="inlineStr">
        <is>
          <t>Month+45 Expiry</t>
        </is>
      </c>
      <c r="K2465" s="25" t="n">
        <v>1</v>
      </c>
      <c r="L2465" s="26" t="n">
        <v>0.0017</v>
      </c>
      <c r="M2465" s="26" t="n">
        <v>0</v>
      </c>
    </row>
    <row r="2466" ht="16" customHeight="1">
      <c r="A2466" t="inlineStr">
        <is>
          <t>18-Mar-2026</t>
        </is>
      </c>
      <c r="B2466" t="inlineStr">
        <is>
          <t>Wednesday</t>
        </is>
      </c>
      <c r="C2466" t="inlineStr">
        <is>
          <t>Week3-Mar-2026</t>
        </is>
      </c>
      <c r="D2466" s="78" t="n">
        <v>46082</v>
      </c>
      <c r="E2466" t="inlineStr">
        <is>
          <t>Q4FY26</t>
        </is>
      </c>
      <c r="F2466" t="inlineStr">
        <is>
          <t>25-Jun-2030</t>
        </is>
      </c>
      <c r="G2466" t="inlineStr">
        <is>
          <t>Tuesday</t>
        </is>
      </c>
      <c r="H2466" t="inlineStr">
        <is>
          <t>Monthly - Tuesday</t>
        </is>
      </c>
      <c r="I2466" t="inlineStr">
        <is>
          <t>Monthly - Tuesday</t>
        </is>
      </c>
      <c r="J2466" t="inlineStr">
        <is>
          <t>Month+51 Expiry</t>
        </is>
      </c>
      <c r="K2466" s="25" t="n">
        <v>0</v>
      </c>
      <c r="L2466" s="26" t="n">
        <v>0</v>
      </c>
      <c r="M2466" s="26" t="n">
        <v>0</v>
      </c>
    </row>
    <row r="2467" ht="16" customHeight="1">
      <c r="A2467" t="inlineStr">
        <is>
          <t>18-Mar-2026</t>
        </is>
      </c>
      <c r="B2467" t="inlineStr">
        <is>
          <t>Wednesday</t>
        </is>
      </c>
      <c r="C2467" t="inlineStr">
        <is>
          <t>Week3-Mar-2026</t>
        </is>
      </c>
      <c r="D2467" s="78" t="n">
        <v>46082</v>
      </c>
      <c r="E2467" t="inlineStr">
        <is>
          <t>Q4FY26</t>
        </is>
      </c>
      <c r="F2467" t="inlineStr">
        <is>
          <t>31-Dec-2030</t>
        </is>
      </c>
      <c r="G2467" t="inlineStr">
        <is>
          <t>Tuesday</t>
        </is>
      </c>
      <c r="H2467" t="inlineStr">
        <is>
          <t>Monthly - Tuesday</t>
        </is>
      </c>
      <c r="I2467" t="inlineStr">
        <is>
          <t>Monthly - Tuesday</t>
        </is>
      </c>
      <c r="J2467" t="inlineStr">
        <is>
          <t>Month+57 Expiry</t>
        </is>
      </c>
      <c r="K2467" s="25" t="n">
        <v>0</v>
      </c>
      <c r="L2467" s="26" t="n">
        <v>0</v>
      </c>
      <c r="M2467" s="26" t="n">
        <v>0</v>
      </c>
    </row>
    <row r="2468" ht="16" customHeight="1">
      <c r="A2468" t="inlineStr">
        <is>
          <t>19-Mar-2026</t>
        </is>
      </c>
      <c r="B2468" t="inlineStr">
        <is>
          <t>Thursday</t>
        </is>
      </c>
      <c r="C2468" t="inlineStr">
        <is>
          <t>Week3-Mar-2026</t>
        </is>
      </c>
      <c r="D2468" s="78" t="n">
        <v>46082</v>
      </c>
      <c r="E2468" t="inlineStr">
        <is>
          <t>Q4FY26</t>
        </is>
      </c>
      <c r="F2468" t="inlineStr">
        <is>
          <t>24-Mar-2026</t>
        </is>
      </c>
      <c r="G2468" t="inlineStr">
        <is>
          <t>Tuesday</t>
        </is>
      </c>
      <c r="H2468" t="inlineStr">
        <is>
          <t>Weekly - Tuesday</t>
        </is>
      </c>
      <c r="I2468" t="inlineStr">
        <is>
          <t>Weekly - Tuesday</t>
        </is>
      </c>
      <c r="J2468" t="inlineStr">
        <is>
          <t>Same Month Expiry</t>
        </is>
      </c>
      <c r="K2468" s="25" t="n">
        <v>48066366</v>
      </c>
      <c r="L2468" s="26" t="n">
        <v>73475.7855</v>
      </c>
      <c r="M2468" s="26" t="n">
        <v>388.1135</v>
      </c>
    </row>
    <row r="2469" ht="16" customHeight="1">
      <c r="A2469" t="inlineStr">
        <is>
          <t>19-Mar-2026</t>
        </is>
      </c>
      <c r="B2469" t="inlineStr">
        <is>
          <t>Thursday</t>
        </is>
      </c>
      <c r="C2469" t="inlineStr">
        <is>
          <t>Week3-Mar-2026</t>
        </is>
      </c>
      <c r="D2469" s="78" t="n">
        <v>46082</v>
      </c>
      <c r="E2469" t="inlineStr">
        <is>
          <t>Q4FY26</t>
        </is>
      </c>
      <c r="F2469" t="inlineStr">
        <is>
          <t>30-Mar-2026</t>
        </is>
      </c>
      <c r="G2469" t="inlineStr">
        <is>
          <t>Monday</t>
        </is>
      </c>
      <c r="H2469" t="inlineStr">
        <is>
          <t>Monthly - Monday</t>
        </is>
      </c>
      <c r="I2469" t="inlineStr">
        <is>
          <t>Monthly - Monday</t>
        </is>
      </c>
      <c r="J2469" t="inlineStr">
        <is>
          <t>Same Month Expiry</t>
        </is>
      </c>
      <c r="K2469" s="25" t="n">
        <v>4328422</v>
      </c>
      <c r="L2469" s="26" t="n">
        <v>6623.3154</v>
      </c>
      <c r="M2469" s="26" t="n">
        <v>58.2384</v>
      </c>
    </row>
    <row r="2470" ht="16" customHeight="1">
      <c r="A2470" t="inlineStr">
        <is>
          <t>19-Mar-2026</t>
        </is>
      </c>
      <c r="B2470" t="inlineStr">
        <is>
          <t>Thursday</t>
        </is>
      </c>
      <c r="C2470" t="inlineStr">
        <is>
          <t>Week3-Mar-2026</t>
        </is>
      </c>
      <c r="D2470" s="78" t="n">
        <v>46082</v>
      </c>
      <c r="E2470" t="inlineStr">
        <is>
          <t>Q4FY26</t>
        </is>
      </c>
      <c r="F2470" t="inlineStr">
        <is>
          <t>07-Apr-2026</t>
        </is>
      </c>
      <c r="G2470" t="inlineStr">
        <is>
          <t>Tuesday</t>
        </is>
      </c>
      <c r="H2470" t="inlineStr">
        <is>
          <t>Weekly - Tuesday</t>
        </is>
      </c>
      <c r="I2470" t="inlineStr">
        <is>
          <t>Weekly - Tuesday</t>
        </is>
      </c>
      <c r="J2470" t="inlineStr">
        <is>
          <t>Month+1 Expiry</t>
        </is>
      </c>
      <c r="K2470" s="25" t="n">
        <v>286098</v>
      </c>
      <c r="L2470" s="26" t="n">
        <v>444.812</v>
      </c>
      <c r="M2470" s="26" t="n">
        <v>5.2953</v>
      </c>
    </row>
    <row r="2471" ht="16" customHeight="1">
      <c r="A2471" t="inlineStr">
        <is>
          <t>19-Mar-2026</t>
        </is>
      </c>
      <c r="B2471" t="inlineStr">
        <is>
          <t>Thursday</t>
        </is>
      </c>
      <c r="C2471" t="inlineStr">
        <is>
          <t>Week3-Mar-2026</t>
        </is>
      </c>
      <c r="D2471" s="78" t="n">
        <v>46082</v>
      </c>
      <c r="E2471" t="inlineStr">
        <is>
          <t>Q4FY26</t>
        </is>
      </c>
      <c r="F2471" t="inlineStr">
        <is>
          <t>13-Apr-2026</t>
        </is>
      </c>
      <c r="G2471" t="inlineStr">
        <is>
          <t>Monday</t>
        </is>
      </c>
      <c r="H2471" t="inlineStr">
        <is>
          <t>Weekly - Monday</t>
        </is>
      </c>
      <c r="I2471" t="inlineStr">
        <is>
          <t>Weekly - Monday</t>
        </is>
      </c>
      <c r="J2471" t="inlineStr">
        <is>
          <t>Month+1 Expiry</t>
        </is>
      </c>
      <c r="K2471" s="25" t="n">
        <v>19021</v>
      </c>
      <c r="L2471" s="26" t="n">
        <v>30.055</v>
      </c>
      <c r="M2471" s="26" t="n">
        <v>0.3547</v>
      </c>
    </row>
    <row r="2472" ht="16" customHeight="1">
      <c r="A2472" t="inlineStr">
        <is>
          <t>19-Mar-2026</t>
        </is>
      </c>
      <c r="B2472" t="inlineStr">
        <is>
          <t>Thursday</t>
        </is>
      </c>
      <c r="C2472" t="inlineStr">
        <is>
          <t>Week3-Mar-2026</t>
        </is>
      </c>
      <c r="D2472" s="78" t="n">
        <v>46082</v>
      </c>
      <c r="E2472" t="inlineStr">
        <is>
          <t>Q4FY26</t>
        </is>
      </c>
      <c r="F2472" t="inlineStr">
        <is>
          <t>21-Apr-2026</t>
        </is>
      </c>
      <c r="G2472" t="inlineStr">
        <is>
          <t>Tuesday</t>
        </is>
      </c>
      <c r="H2472" t="inlineStr">
        <is>
          <t>Weekly - Tuesday</t>
        </is>
      </c>
      <c r="I2472" t="inlineStr">
        <is>
          <t>Weekly - Tuesday</t>
        </is>
      </c>
      <c r="J2472" t="inlineStr">
        <is>
          <t>Month+1 Expiry</t>
        </is>
      </c>
      <c r="K2472" s="25" t="n">
        <v>2661</v>
      </c>
      <c r="L2472" s="26" t="n">
        <v>4.1782</v>
      </c>
      <c r="M2472" s="26" t="n">
        <v>0.0798</v>
      </c>
    </row>
    <row r="2473" ht="16" customHeight="1">
      <c r="A2473" t="inlineStr">
        <is>
          <t>19-Mar-2026</t>
        </is>
      </c>
      <c r="B2473" t="inlineStr">
        <is>
          <t>Thursday</t>
        </is>
      </c>
      <c r="C2473" t="inlineStr">
        <is>
          <t>Week3-Mar-2026</t>
        </is>
      </c>
      <c r="D2473" s="78" t="n">
        <v>46082</v>
      </c>
      <c r="E2473" t="inlineStr">
        <is>
          <t>Q4FY26</t>
        </is>
      </c>
      <c r="F2473" t="inlineStr">
        <is>
          <t>28-Apr-2026</t>
        </is>
      </c>
      <c r="G2473" t="inlineStr">
        <is>
          <t>Tuesday</t>
        </is>
      </c>
      <c r="H2473" t="inlineStr">
        <is>
          <t>Monthly - Tuesday</t>
        </is>
      </c>
      <c r="I2473" t="inlineStr">
        <is>
          <t>Monthly - Tuesday</t>
        </is>
      </c>
      <c r="J2473" t="inlineStr">
        <is>
          <t>Month+1 Expiry</t>
        </is>
      </c>
      <c r="K2473" s="25" t="n">
        <v>571952</v>
      </c>
      <c r="L2473" s="26" t="n">
        <v>900.1091</v>
      </c>
      <c r="M2473" s="26" t="n">
        <v>15.2982</v>
      </c>
    </row>
    <row r="2474" ht="16" customHeight="1">
      <c r="A2474" t="inlineStr">
        <is>
          <t>19-Mar-2026</t>
        </is>
      </c>
      <c r="B2474" t="inlineStr">
        <is>
          <t>Thursday</t>
        </is>
      </c>
      <c r="C2474" t="inlineStr">
        <is>
          <t>Week3-Mar-2026</t>
        </is>
      </c>
      <c r="D2474" s="78" t="n">
        <v>46082</v>
      </c>
      <c r="E2474" t="inlineStr">
        <is>
          <t>Q4FY26</t>
        </is>
      </c>
      <c r="F2474" t="inlineStr">
        <is>
          <t>26-May-2026</t>
        </is>
      </c>
      <c r="G2474" t="inlineStr">
        <is>
          <t>Tuesday</t>
        </is>
      </c>
      <c r="H2474" t="inlineStr">
        <is>
          <t>Monthly - Tuesday</t>
        </is>
      </c>
      <c r="I2474" t="inlineStr">
        <is>
          <t>Monthly - Tuesday</t>
        </is>
      </c>
      <c r="J2474" t="inlineStr">
        <is>
          <t>Month+2 Expiry</t>
        </is>
      </c>
      <c r="K2474" s="25" t="n">
        <v>90000</v>
      </c>
      <c r="L2474" s="26" t="n">
        <v>143.3464</v>
      </c>
      <c r="M2474" s="26" t="n">
        <v>2.7311</v>
      </c>
    </row>
    <row r="2475" ht="16" customHeight="1">
      <c r="A2475" t="inlineStr">
        <is>
          <t>19-Mar-2026</t>
        </is>
      </c>
      <c r="B2475" t="inlineStr">
        <is>
          <t>Thursday</t>
        </is>
      </c>
      <c r="C2475" t="inlineStr">
        <is>
          <t>Week3-Mar-2026</t>
        </is>
      </c>
      <c r="D2475" s="78" t="n">
        <v>46082</v>
      </c>
      <c r="E2475" t="inlineStr">
        <is>
          <t>Q4FY26</t>
        </is>
      </c>
      <c r="F2475" t="inlineStr">
        <is>
          <t>30-Jun-2026</t>
        </is>
      </c>
      <c r="G2475" t="inlineStr">
        <is>
          <t>Tuesday</t>
        </is>
      </c>
      <c r="H2475" t="inlineStr">
        <is>
          <t>Monthly - Tuesday</t>
        </is>
      </c>
      <c r="I2475" t="inlineStr">
        <is>
          <t>Monthly - Tuesday</t>
        </is>
      </c>
      <c r="J2475" t="inlineStr">
        <is>
          <t>Month+3 Expiry</t>
        </is>
      </c>
      <c r="K2475" s="25" t="n">
        <v>131124</v>
      </c>
      <c r="L2475" s="26" t="n">
        <v>205.7178</v>
      </c>
      <c r="M2475" s="26" t="n">
        <v>4.5542</v>
      </c>
    </row>
    <row r="2476" ht="16" customHeight="1">
      <c r="A2476" t="inlineStr">
        <is>
          <t>19-Mar-2026</t>
        </is>
      </c>
      <c r="B2476" t="inlineStr">
        <is>
          <t>Thursday</t>
        </is>
      </c>
      <c r="C2476" t="inlineStr">
        <is>
          <t>Week3-Mar-2026</t>
        </is>
      </c>
      <c r="D2476" s="78" t="n">
        <v>46082</v>
      </c>
      <c r="E2476" t="inlineStr">
        <is>
          <t>Q4FY26</t>
        </is>
      </c>
      <c r="F2476" t="inlineStr">
        <is>
          <t>29-Sep-2026</t>
        </is>
      </c>
      <c r="G2476" t="inlineStr">
        <is>
          <t>Tuesday</t>
        </is>
      </c>
      <c r="H2476" t="inlineStr">
        <is>
          <t>Monthly - Tuesday</t>
        </is>
      </c>
      <c r="I2476" t="inlineStr">
        <is>
          <t>Monthly - Tuesday</t>
        </is>
      </c>
      <c r="J2476" t="inlineStr">
        <is>
          <t>Month+6 Expiry</t>
        </is>
      </c>
      <c r="K2476" s="25" t="n">
        <v>20456</v>
      </c>
      <c r="L2476" s="26" t="n">
        <v>33.4513</v>
      </c>
      <c r="M2476" s="26" t="n">
        <v>0.8426</v>
      </c>
    </row>
    <row r="2477" ht="16" customHeight="1">
      <c r="A2477" t="inlineStr">
        <is>
          <t>19-Mar-2026</t>
        </is>
      </c>
      <c r="B2477" t="inlineStr">
        <is>
          <t>Thursday</t>
        </is>
      </c>
      <c r="C2477" t="inlineStr">
        <is>
          <t>Week3-Mar-2026</t>
        </is>
      </c>
      <c r="D2477" s="78" t="n">
        <v>46082</v>
      </c>
      <c r="E2477" t="inlineStr">
        <is>
          <t>Q4FY26</t>
        </is>
      </c>
      <c r="F2477" t="inlineStr">
        <is>
          <t>29-Dec-2026</t>
        </is>
      </c>
      <c r="G2477" t="inlineStr">
        <is>
          <t>Tuesday</t>
        </is>
      </c>
      <c r="H2477" t="inlineStr">
        <is>
          <t>Monthly - Tuesday</t>
        </is>
      </c>
      <c r="I2477" t="inlineStr">
        <is>
          <t>Monthly - Tuesday</t>
        </is>
      </c>
      <c r="J2477" t="inlineStr">
        <is>
          <t>Month+9 Expiry</t>
        </is>
      </c>
      <c r="K2477" s="25" t="n">
        <v>38609</v>
      </c>
      <c r="L2477" s="26" t="n">
        <v>63.0258</v>
      </c>
      <c r="M2477" s="26" t="n">
        <v>2.2807</v>
      </c>
    </row>
    <row r="2478" ht="16" customHeight="1">
      <c r="A2478" t="inlineStr">
        <is>
          <t>19-Mar-2026</t>
        </is>
      </c>
      <c r="B2478" t="inlineStr">
        <is>
          <t>Thursday</t>
        </is>
      </c>
      <c r="C2478" t="inlineStr">
        <is>
          <t>Week3-Mar-2026</t>
        </is>
      </c>
      <c r="D2478" s="78" t="n">
        <v>46082</v>
      </c>
      <c r="E2478" t="inlineStr">
        <is>
          <t>Q4FY26</t>
        </is>
      </c>
      <c r="F2478" t="inlineStr">
        <is>
          <t>29-Jun-2027</t>
        </is>
      </c>
      <c r="G2478" t="inlineStr">
        <is>
          <t>Tuesday</t>
        </is>
      </c>
      <c r="H2478" t="inlineStr">
        <is>
          <t>Monthly - Tuesday</t>
        </is>
      </c>
      <c r="I2478" t="inlineStr">
        <is>
          <t>Monthly - Tuesday</t>
        </is>
      </c>
      <c r="J2478" t="inlineStr">
        <is>
          <t>Month+15 Expiry</t>
        </is>
      </c>
      <c r="K2478" s="25" t="n">
        <v>0</v>
      </c>
      <c r="L2478" s="26" t="n">
        <v>0</v>
      </c>
      <c r="M2478" s="26" t="n">
        <v>0</v>
      </c>
    </row>
    <row r="2479" ht="16" customHeight="1">
      <c r="A2479" t="inlineStr">
        <is>
          <t>19-Mar-2026</t>
        </is>
      </c>
      <c r="B2479" t="inlineStr">
        <is>
          <t>Thursday</t>
        </is>
      </c>
      <c r="C2479" t="inlineStr">
        <is>
          <t>Week3-Mar-2026</t>
        </is>
      </c>
      <c r="D2479" s="78" t="n">
        <v>46082</v>
      </c>
      <c r="E2479" t="inlineStr">
        <is>
          <t>Q4FY26</t>
        </is>
      </c>
      <c r="F2479" t="inlineStr">
        <is>
          <t>28-Dec-2027</t>
        </is>
      </c>
      <c r="G2479" t="inlineStr">
        <is>
          <t>Tuesday</t>
        </is>
      </c>
      <c r="H2479" t="inlineStr">
        <is>
          <t>Monthly - Tuesday</t>
        </is>
      </c>
      <c r="I2479" t="inlineStr">
        <is>
          <t>Monthly - Tuesday</t>
        </is>
      </c>
      <c r="J2479" t="inlineStr">
        <is>
          <t>Month+21 Expiry</t>
        </is>
      </c>
      <c r="K2479" s="25" t="n">
        <v>286</v>
      </c>
      <c r="L2479" s="26" t="n">
        <v>0.4914</v>
      </c>
      <c r="M2479" s="26" t="n">
        <v>0.0306</v>
      </c>
    </row>
    <row r="2480" ht="16" customHeight="1">
      <c r="A2480" t="inlineStr">
        <is>
          <t>19-Mar-2026</t>
        </is>
      </c>
      <c r="B2480" t="inlineStr">
        <is>
          <t>Thursday</t>
        </is>
      </c>
      <c r="C2480" t="inlineStr">
        <is>
          <t>Week3-Mar-2026</t>
        </is>
      </c>
      <c r="D2480" s="78" t="n">
        <v>46082</v>
      </c>
      <c r="E2480" t="inlineStr">
        <is>
          <t>Q4FY26</t>
        </is>
      </c>
      <c r="F2480" t="inlineStr">
        <is>
          <t>27-Jun-2028</t>
        </is>
      </c>
      <c r="G2480" t="inlineStr">
        <is>
          <t>Tuesday</t>
        </is>
      </c>
      <c r="H2480" t="inlineStr">
        <is>
          <t>Monthly - Tuesday</t>
        </is>
      </c>
      <c r="I2480" t="inlineStr">
        <is>
          <t>Monthly - Tuesday</t>
        </is>
      </c>
      <c r="J2480" t="inlineStr">
        <is>
          <t>Month+27 Expiry</t>
        </is>
      </c>
      <c r="K2480" s="25" t="n">
        <v>0</v>
      </c>
      <c r="L2480" s="26" t="n">
        <v>0</v>
      </c>
      <c r="M2480" s="26" t="n">
        <v>0</v>
      </c>
    </row>
    <row r="2481" ht="16" customHeight="1">
      <c r="A2481" t="inlineStr">
        <is>
          <t>19-Mar-2026</t>
        </is>
      </c>
      <c r="B2481" t="inlineStr">
        <is>
          <t>Thursday</t>
        </is>
      </c>
      <c r="C2481" t="inlineStr">
        <is>
          <t>Week3-Mar-2026</t>
        </is>
      </c>
      <c r="D2481" s="78" t="n">
        <v>46082</v>
      </c>
      <c r="E2481" t="inlineStr">
        <is>
          <t>Q4FY26</t>
        </is>
      </c>
      <c r="F2481" t="inlineStr">
        <is>
          <t>26-Dec-2028</t>
        </is>
      </c>
      <c r="G2481" t="inlineStr">
        <is>
          <t>Tuesday</t>
        </is>
      </c>
      <c r="H2481" t="inlineStr">
        <is>
          <t>Monthly - Tuesday</t>
        </is>
      </c>
      <c r="I2481" t="inlineStr">
        <is>
          <t>Monthly - Tuesday</t>
        </is>
      </c>
      <c r="J2481" t="inlineStr">
        <is>
          <t>Month+33 Expiry</t>
        </is>
      </c>
      <c r="K2481" s="25" t="n">
        <v>24</v>
      </c>
      <c r="L2481" s="26" t="n">
        <v>0.0418</v>
      </c>
      <c r="M2481" s="26" t="n">
        <v>0.0025</v>
      </c>
    </row>
    <row r="2482" ht="16" customHeight="1">
      <c r="A2482" t="inlineStr">
        <is>
          <t>19-Mar-2026</t>
        </is>
      </c>
      <c r="B2482" t="inlineStr">
        <is>
          <t>Thursday</t>
        </is>
      </c>
      <c r="C2482" t="inlineStr">
        <is>
          <t>Week3-Mar-2026</t>
        </is>
      </c>
      <c r="D2482" s="78" t="n">
        <v>46082</v>
      </c>
      <c r="E2482" t="inlineStr">
        <is>
          <t>Q4FY26</t>
        </is>
      </c>
      <c r="F2482" t="inlineStr">
        <is>
          <t>26-Jun-2029</t>
        </is>
      </c>
      <c r="G2482" t="inlineStr">
        <is>
          <t>Tuesday</t>
        </is>
      </c>
      <c r="H2482" t="inlineStr">
        <is>
          <t>Monthly - Tuesday</t>
        </is>
      </c>
      <c r="I2482" t="inlineStr">
        <is>
          <t>Monthly - Tuesday</t>
        </is>
      </c>
      <c r="J2482" t="inlineStr">
        <is>
          <t>Month+39 Expiry</t>
        </is>
      </c>
      <c r="K2482" s="25" t="n">
        <v>0</v>
      </c>
      <c r="L2482" s="26" t="n">
        <v>0</v>
      </c>
      <c r="M2482" s="26" t="n">
        <v>0</v>
      </c>
    </row>
    <row r="2483" ht="16" customHeight="1">
      <c r="A2483" t="inlineStr">
        <is>
          <t>19-Mar-2026</t>
        </is>
      </c>
      <c r="B2483" t="inlineStr">
        <is>
          <t>Thursday</t>
        </is>
      </c>
      <c r="C2483" t="inlineStr">
        <is>
          <t>Week3-Mar-2026</t>
        </is>
      </c>
      <c r="D2483" s="78" t="n">
        <v>46082</v>
      </c>
      <c r="E2483" t="inlineStr">
        <is>
          <t>Q4FY26</t>
        </is>
      </c>
      <c r="F2483" t="inlineStr">
        <is>
          <t>24-Dec-2029</t>
        </is>
      </c>
      <c r="G2483" t="inlineStr">
        <is>
          <t>Monday</t>
        </is>
      </c>
      <c r="H2483" t="inlineStr">
        <is>
          <t>Weekly - Monday</t>
        </is>
      </c>
      <c r="I2483" t="inlineStr">
        <is>
          <t>Weekly - Monday</t>
        </is>
      </c>
      <c r="J2483" t="inlineStr">
        <is>
          <t>Month+45 Expiry</t>
        </is>
      </c>
      <c r="K2483" s="25" t="n">
        <v>8</v>
      </c>
      <c r="L2483" s="26" t="n">
        <v>0.0124</v>
      </c>
      <c r="M2483" s="26" t="n">
        <v>0.0005</v>
      </c>
    </row>
    <row r="2484" ht="16" customHeight="1">
      <c r="A2484" t="inlineStr">
        <is>
          <t>19-Mar-2026</t>
        </is>
      </c>
      <c r="B2484" t="inlineStr">
        <is>
          <t>Thursday</t>
        </is>
      </c>
      <c r="C2484" t="inlineStr">
        <is>
          <t>Week3-Mar-2026</t>
        </is>
      </c>
      <c r="D2484" s="78" t="n">
        <v>46082</v>
      </c>
      <c r="E2484" t="inlineStr">
        <is>
          <t>Q4FY26</t>
        </is>
      </c>
      <c r="F2484" t="inlineStr">
        <is>
          <t>25-Jun-2030</t>
        </is>
      </c>
      <c r="G2484" t="inlineStr">
        <is>
          <t>Tuesday</t>
        </is>
      </c>
      <c r="H2484" t="inlineStr">
        <is>
          <t>Monthly - Tuesday</t>
        </is>
      </c>
      <c r="I2484" t="inlineStr">
        <is>
          <t>Monthly - Tuesday</t>
        </is>
      </c>
      <c r="J2484" t="inlineStr">
        <is>
          <t>Month+51 Expiry</t>
        </is>
      </c>
      <c r="K2484" s="25" t="n">
        <v>0</v>
      </c>
      <c r="L2484" s="26" t="n">
        <v>0</v>
      </c>
      <c r="M2484" s="26" t="n">
        <v>0</v>
      </c>
    </row>
    <row r="2485" ht="16" customHeight="1">
      <c r="A2485" t="inlineStr">
        <is>
          <t>19-Mar-2026</t>
        </is>
      </c>
      <c r="B2485" t="inlineStr">
        <is>
          <t>Thursday</t>
        </is>
      </c>
      <c r="C2485" t="inlineStr">
        <is>
          <t>Week3-Mar-2026</t>
        </is>
      </c>
      <c r="D2485" s="78" t="n">
        <v>46082</v>
      </c>
      <c r="E2485" t="inlineStr">
        <is>
          <t>Q4FY26</t>
        </is>
      </c>
      <c r="F2485" t="inlineStr">
        <is>
          <t>31-Dec-2030</t>
        </is>
      </c>
      <c r="G2485" t="inlineStr">
        <is>
          <t>Tuesday</t>
        </is>
      </c>
      <c r="H2485" t="inlineStr">
        <is>
          <t>Monthly - Tuesday</t>
        </is>
      </c>
      <c r="I2485" t="inlineStr">
        <is>
          <t>Monthly - Tuesday</t>
        </is>
      </c>
      <c r="J2485" t="inlineStr">
        <is>
          <t>Month+57 Expiry</t>
        </is>
      </c>
      <c r="K2485" s="25" t="n">
        <v>0</v>
      </c>
      <c r="L2485" s="26" t="n">
        <v>0</v>
      </c>
      <c r="M2485" s="26" t="n">
        <v>0</v>
      </c>
    </row>
    <row r="2486" ht="16" customHeight="1">
      <c r="A2486" t="inlineStr">
        <is>
          <t>20-Mar-2026</t>
        </is>
      </c>
      <c r="B2486" t="inlineStr">
        <is>
          <t>Friday</t>
        </is>
      </c>
      <c r="C2486" t="inlineStr">
        <is>
          <t>Week3-Mar-2026</t>
        </is>
      </c>
      <c r="D2486" s="78" t="n">
        <v>46082</v>
      </c>
      <c r="E2486" t="inlineStr">
        <is>
          <t>Q4FY26</t>
        </is>
      </c>
      <c r="F2486" t="inlineStr">
        <is>
          <t>24-Mar-2026</t>
        </is>
      </c>
      <c r="G2486" t="inlineStr">
        <is>
          <t>Tuesday</t>
        </is>
      </c>
      <c r="H2486" t="inlineStr">
        <is>
          <t>Weekly - Tuesday</t>
        </is>
      </c>
      <c r="I2486" t="inlineStr">
        <is>
          <t>Weekly - Tuesday</t>
        </is>
      </c>
      <c r="J2486" t="inlineStr">
        <is>
          <t>Same Month Expiry</t>
        </is>
      </c>
      <c r="K2486" s="25" t="n">
        <v>87455313</v>
      </c>
      <c r="L2486" s="26" t="n">
        <v>132694.2943</v>
      </c>
      <c r="M2486" s="26" t="n">
        <v>760.4077</v>
      </c>
    </row>
    <row r="2487" ht="16" customHeight="1">
      <c r="A2487" t="inlineStr">
        <is>
          <t>20-Mar-2026</t>
        </is>
      </c>
      <c r="B2487" t="inlineStr">
        <is>
          <t>Friday</t>
        </is>
      </c>
      <c r="C2487" t="inlineStr">
        <is>
          <t>Week3-Mar-2026</t>
        </is>
      </c>
      <c r="D2487" s="78" t="n">
        <v>46082</v>
      </c>
      <c r="E2487" t="inlineStr">
        <is>
          <t>Q4FY26</t>
        </is>
      </c>
      <c r="F2487" t="inlineStr">
        <is>
          <t>30-Mar-2026</t>
        </is>
      </c>
      <c r="G2487" t="inlineStr">
        <is>
          <t>Monday</t>
        </is>
      </c>
      <c r="H2487" t="inlineStr">
        <is>
          <t>Monthly - Monday</t>
        </is>
      </c>
      <c r="I2487" t="inlineStr">
        <is>
          <t>Monthly - Monday</t>
        </is>
      </c>
      <c r="J2487" t="inlineStr">
        <is>
          <t>Same Month Expiry</t>
        </is>
      </c>
      <c r="K2487" s="25" t="n">
        <v>3849017</v>
      </c>
      <c r="L2487" s="26" t="n">
        <v>5891.8827</v>
      </c>
      <c r="M2487" s="26" t="n">
        <v>50.6687</v>
      </c>
    </row>
    <row r="2488" ht="16" customHeight="1">
      <c r="A2488" t="inlineStr">
        <is>
          <t>20-Mar-2026</t>
        </is>
      </c>
      <c r="B2488" t="inlineStr">
        <is>
          <t>Friday</t>
        </is>
      </c>
      <c r="C2488" t="inlineStr">
        <is>
          <t>Week3-Mar-2026</t>
        </is>
      </c>
      <c r="D2488" s="78" t="n">
        <v>46082</v>
      </c>
      <c r="E2488" t="inlineStr">
        <is>
          <t>Q4FY26</t>
        </is>
      </c>
      <c r="F2488" t="inlineStr">
        <is>
          <t>07-Apr-2026</t>
        </is>
      </c>
      <c r="G2488" t="inlineStr">
        <is>
          <t>Tuesday</t>
        </is>
      </c>
      <c r="H2488" t="inlineStr">
        <is>
          <t>Weekly - Tuesday</t>
        </is>
      </c>
      <c r="I2488" t="inlineStr">
        <is>
          <t>Weekly - Tuesday</t>
        </is>
      </c>
      <c r="J2488" t="inlineStr">
        <is>
          <t>Month+1 Expiry</t>
        </is>
      </c>
      <c r="K2488" s="25" t="n">
        <v>284971</v>
      </c>
      <c r="L2488" s="26" t="n">
        <v>443.335</v>
      </c>
      <c r="M2488" s="26" t="n">
        <v>6.1831</v>
      </c>
    </row>
    <row r="2489" ht="16" customHeight="1">
      <c r="A2489" t="inlineStr">
        <is>
          <t>20-Mar-2026</t>
        </is>
      </c>
      <c r="B2489" t="inlineStr">
        <is>
          <t>Friday</t>
        </is>
      </c>
      <c r="C2489" t="inlineStr">
        <is>
          <t>Week3-Mar-2026</t>
        </is>
      </c>
      <c r="D2489" s="78" t="n">
        <v>46082</v>
      </c>
      <c r="E2489" t="inlineStr">
        <is>
          <t>Q4FY26</t>
        </is>
      </c>
      <c r="F2489" t="inlineStr">
        <is>
          <t>13-Apr-2026</t>
        </is>
      </c>
      <c r="G2489" t="inlineStr">
        <is>
          <t>Monday</t>
        </is>
      </c>
      <c r="H2489" t="inlineStr">
        <is>
          <t>Weekly - Monday</t>
        </is>
      </c>
      <c r="I2489" t="inlineStr">
        <is>
          <t>Weekly - Monday</t>
        </is>
      </c>
      <c r="J2489" t="inlineStr">
        <is>
          <t>Month+1 Expiry</t>
        </is>
      </c>
      <c r="K2489" s="25" t="n">
        <v>18476</v>
      </c>
      <c r="L2489" s="26" t="n">
        <v>29.2026</v>
      </c>
      <c r="M2489" s="26" t="n">
        <v>0.3303</v>
      </c>
    </row>
    <row r="2490" ht="16" customHeight="1">
      <c r="A2490" t="inlineStr">
        <is>
          <t>20-Mar-2026</t>
        </is>
      </c>
      <c r="B2490" t="inlineStr">
        <is>
          <t>Friday</t>
        </is>
      </c>
      <c r="C2490" t="inlineStr">
        <is>
          <t>Week3-Mar-2026</t>
        </is>
      </c>
      <c r="D2490" s="78" t="n">
        <v>46082</v>
      </c>
      <c r="E2490" t="inlineStr">
        <is>
          <t>Q4FY26</t>
        </is>
      </c>
      <c r="F2490" t="inlineStr">
        <is>
          <t>21-Apr-2026</t>
        </is>
      </c>
      <c r="G2490" t="inlineStr">
        <is>
          <t>Tuesday</t>
        </is>
      </c>
      <c r="H2490" t="inlineStr">
        <is>
          <t>Weekly - Tuesday</t>
        </is>
      </c>
      <c r="I2490" t="inlineStr">
        <is>
          <t>Weekly - Tuesday</t>
        </is>
      </c>
      <c r="J2490" t="inlineStr">
        <is>
          <t>Month+1 Expiry</t>
        </is>
      </c>
      <c r="K2490" s="25" t="n">
        <v>2415</v>
      </c>
      <c r="L2490" s="26" t="n">
        <v>3.7952</v>
      </c>
      <c r="M2490" s="26" t="n">
        <v>0.0668</v>
      </c>
    </row>
    <row r="2491" ht="16" customHeight="1">
      <c r="A2491" t="inlineStr">
        <is>
          <t>20-Mar-2026</t>
        </is>
      </c>
      <c r="B2491" t="inlineStr">
        <is>
          <t>Friday</t>
        </is>
      </c>
      <c r="C2491" t="inlineStr">
        <is>
          <t>Week3-Mar-2026</t>
        </is>
      </c>
      <c r="D2491" s="78" t="n">
        <v>46082</v>
      </c>
      <c r="E2491" t="inlineStr">
        <is>
          <t>Q4FY26</t>
        </is>
      </c>
      <c r="F2491" t="inlineStr">
        <is>
          <t>28-Apr-2026</t>
        </is>
      </c>
      <c r="G2491" t="inlineStr">
        <is>
          <t>Tuesday</t>
        </is>
      </c>
      <c r="H2491" t="inlineStr">
        <is>
          <t>Monthly - Tuesday</t>
        </is>
      </c>
      <c r="I2491" t="inlineStr">
        <is>
          <t>Monthly - Tuesday</t>
        </is>
      </c>
      <c r="J2491" t="inlineStr">
        <is>
          <t>Month+1 Expiry</t>
        </is>
      </c>
      <c r="K2491" s="25" t="n">
        <v>443621</v>
      </c>
      <c r="L2491" s="26" t="n">
        <v>697.8543</v>
      </c>
      <c r="M2491" s="26" t="n">
        <v>11.7185</v>
      </c>
    </row>
    <row r="2492" ht="16" customHeight="1">
      <c r="A2492" t="inlineStr">
        <is>
          <t>20-Mar-2026</t>
        </is>
      </c>
      <c r="B2492" t="inlineStr">
        <is>
          <t>Friday</t>
        </is>
      </c>
      <c r="C2492" t="inlineStr">
        <is>
          <t>Week3-Mar-2026</t>
        </is>
      </c>
      <c r="D2492" s="78" t="n">
        <v>46082</v>
      </c>
      <c r="E2492" t="inlineStr">
        <is>
          <t>Q4FY26</t>
        </is>
      </c>
      <c r="F2492" t="inlineStr">
        <is>
          <t>26-May-2026</t>
        </is>
      </c>
      <c r="G2492" t="inlineStr">
        <is>
          <t>Tuesday</t>
        </is>
      </c>
      <c r="H2492" t="inlineStr">
        <is>
          <t>Monthly - Tuesday</t>
        </is>
      </c>
      <c r="I2492" t="inlineStr">
        <is>
          <t>Monthly - Tuesday</t>
        </is>
      </c>
      <c r="J2492" t="inlineStr">
        <is>
          <t>Month+2 Expiry</t>
        </is>
      </c>
      <c r="K2492" s="25" t="n">
        <v>58373</v>
      </c>
      <c r="L2492" s="26" t="n">
        <v>93.6387</v>
      </c>
      <c r="M2492" s="26" t="n">
        <v>1.8243</v>
      </c>
    </row>
    <row r="2493" ht="16" customHeight="1">
      <c r="A2493" t="inlineStr">
        <is>
          <t>20-Mar-2026</t>
        </is>
      </c>
      <c r="B2493" t="inlineStr">
        <is>
          <t>Friday</t>
        </is>
      </c>
      <c r="C2493" t="inlineStr">
        <is>
          <t>Week3-Mar-2026</t>
        </is>
      </c>
      <c r="D2493" s="78" t="n">
        <v>46082</v>
      </c>
      <c r="E2493" t="inlineStr">
        <is>
          <t>Q4FY26</t>
        </is>
      </c>
      <c r="F2493" t="inlineStr">
        <is>
          <t>30-Jun-2026</t>
        </is>
      </c>
      <c r="G2493" t="inlineStr">
        <is>
          <t>Tuesday</t>
        </is>
      </c>
      <c r="H2493" t="inlineStr">
        <is>
          <t>Monthly - Tuesday</t>
        </is>
      </c>
      <c r="I2493" t="inlineStr">
        <is>
          <t>Monthly - Tuesday</t>
        </is>
      </c>
      <c r="J2493" t="inlineStr">
        <is>
          <t>Month+3 Expiry</t>
        </is>
      </c>
      <c r="K2493" s="25" t="n">
        <v>89800</v>
      </c>
      <c r="L2493" s="26" t="n">
        <v>139.1335</v>
      </c>
      <c r="M2493" s="26" t="n">
        <v>3.1476</v>
      </c>
    </row>
    <row r="2494" ht="16" customHeight="1">
      <c r="A2494" t="inlineStr">
        <is>
          <t>20-Mar-2026</t>
        </is>
      </c>
      <c r="B2494" t="inlineStr">
        <is>
          <t>Friday</t>
        </is>
      </c>
      <c r="C2494" t="inlineStr">
        <is>
          <t>Week3-Mar-2026</t>
        </is>
      </c>
      <c r="D2494" s="78" t="n">
        <v>46082</v>
      </c>
      <c r="E2494" t="inlineStr">
        <is>
          <t>Q4FY26</t>
        </is>
      </c>
      <c r="F2494" t="inlineStr">
        <is>
          <t>29-Sep-2026</t>
        </is>
      </c>
      <c r="G2494" t="inlineStr">
        <is>
          <t>Tuesday</t>
        </is>
      </c>
      <c r="H2494" t="inlineStr">
        <is>
          <t>Monthly - Tuesday</t>
        </is>
      </c>
      <c r="I2494" t="inlineStr">
        <is>
          <t>Monthly - Tuesday</t>
        </is>
      </c>
      <c r="J2494" t="inlineStr">
        <is>
          <t>Month+6 Expiry</t>
        </is>
      </c>
      <c r="K2494" s="25" t="n">
        <v>10712</v>
      </c>
      <c r="L2494" s="26" t="n">
        <v>17.8237</v>
      </c>
      <c r="M2494" s="26" t="n">
        <v>0.4304</v>
      </c>
    </row>
    <row r="2495" ht="16" customHeight="1">
      <c r="A2495" t="inlineStr">
        <is>
          <t>20-Mar-2026</t>
        </is>
      </c>
      <c r="B2495" t="inlineStr">
        <is>
          <t>Friday</t>
        </is>
      </c>
      <c r="C2495" t="inlineStr">
        <is>
          <t>Week3-Mar-2026</t>
        </is>
      </c>
      <c r="D2495" s="78" t="n">
        <v>46082</v>
      </c>
      <c r="E2495" t="inlineStr">
        <is>
          <t>Q4FY26</t>
        </is>
      </c>
      <c r="F2495" t="inlineStr">
        <is>
          <t>29-Dec-2026</t>
        </is>
      </c>
      <c r="G2495" t="inlineStr">
        <is>
          <t>Tuesday</t>
        </is>
      </c>
      <c r="H2495" t="inlineStr">
        <is>
          <t>Monthly - Tuesday</t>
        </is>
      </c>
      <c r="I2495" t="inlineStr">
        <is>
          <t>Monthly - Tuesday</t>
        </is>
      </c>
      <c r="J2495" t="inlineStr">
        <is>
          <t>Month+9 Expiry</t>
        </is>
      </c>
      <c r="K2495" s="25" t="n">
        <v>31714</v>
      </c>
      <c r="L2495" s="26" t="n">
        <v>51.9808</v>
      </c>
      <c r="M2495" s="26" t="n">
        <v>1.7977</v>
      </c>
    </row>
    <row r="2496" ht="16" customHeight="1">
      <c r="A2496" t="inlineStr">
        <is>
          <t>20-Mar-2026</t>
        </is>
      </c>
      <c r="B2496" t="inlineStr">
        <is>
          <t>Friday</t>
        </is>
      </c>
      <c r="C2496" t="inlineStr">
        <is>
          <t>Week3-Mar-2026</t>
        </is>
      </c>
      <c r="D2496" s="78" t="n">
        <v>46082</v>
      </c>
      <c r="E2496" t="inlineStr">
        <is>
          <t>Q4FY26</t>
        </is>
      </c>
      <c r="F2496" t="inlineStr">
        <is>
          <t>29-Jun-2027</t>
        </is>
      </c>
      <c r="G2496" t="inlineStr">
        <is>
          <t>Tuesday</t>
        </is>
      </c>
      <c r="H2496" t="inlineStr">
        <is>
          <t>Monthly - Tuesday</t>
        </is>
      </c>
      <c r="I2496" t="inlineStr">
        <is>
          <t>Monthly - Tuesday</t>
        </is>
      </c>
      <c r="J2496" t="inlineStr">
        <is>
          <t>Month+15 Expiry</t>
        </is>
      </c>
      <c r="K2496" s="25" t="n">
        <v>0</v>
      </c>
      <c r="L2496" s="26" t="n">
        <v>0</v>
      </c>
      <c r="M2496" s="26" t="n">
        <v>0</v>
      </c>
    </row>
    <row r="2497" ht="16" customHeight="1">
      <c r="A2497" t="inlineStr">
        <is>
          <t>20-Mar-2026</t>
        </is>
      </c>
      <c r="B2497" t="inlineStr">
        <is>
          <t>Friday</t>
        </is>
      </c>
      <c r="C2497" t="inlineStr">
        <is>
          <t>Week3-Mar-2026</t>
        </is>
      </c>
      <c r="D2497" s="78" t="n">
        <v>46082</v>
      </c>
      <c r="E2497" t="inlineStr">
        <is>
          <t>Q4FY26</t>
        </is>
      </c>
      <c r="F2497" t="inlineStr">
        <is>
          <t>28-Dec-2027</t>
        </is>
      </c>
      <c r="G2497" t="inlineStr">
        <is>
          <t>Tuesday</t>
        </is>
      </c>
      <c r="H2497" t="inlineStr">
        <is>
          <t>Monthly - Tuesday</t>
        </is>
      </c>
      <c r="I2497" t="inlineStr">
        <is>
          <t>Monthly - Tuesday</t>
        </is>
      </c>
      <c r="J2497" t="inlineStr">
        <is>
          <t>Month+21 Expiry</t>
        </is>
      </c>
      <c r="K2497" s="25" t="n">
        <v>183</v>
      </c>
      <c r="L2497" s="26" t="n">
        <v>0.3141</v>
      </c>
      <c r="M2497" s="26" t="n">
        <v>0.0199</v>
      </c>
    </row>
    <row r="2498" ht="16" customHeight="1">
      <c r="A2498" t="inlineStr">
        <is>
          <t>20-Mar-2026</t>
        </is>
      </c>
      <c r="B2498" t="inlineStr">
        <is>
          <t>Friday</t>
        </is>
      </c>
      <c r="C2498" t="inlineStr">
        <is>
          <t>Week3-Mar-2026</t>
        </is>
      </c>
      <c r="D2498" s="78" t="n">
        <v>46082</v>
      </c>
      <c r="E2498" t="inlineStr">
        <is>
          <t>Q4FY26</t>
        </is>
      </c>
      <c r="F2498" t="inlineStr">
        <is>
          <t>27-Jun-2028</t>
        </is>
      </c>
      <c r="G2498" t="inlineStr">
        <is>
          <t>Tuesday</t>
        </is>
      </c>
      <c r="H2498" t="inlineStr">
        <is>
          <t>Monthly - Tuesday</t>
        </is>
      </c>
      <c r="I2498" t="inlineStr">
        <is>
          <t>Monthly - Tuesday</t>
        </is>
      </c>
      <c r="J2498" t="inlineStr">
        <is>
          <t>Month+27 Expiry</t>
        </is>
      </c>
      <c r="K2498" s="25" t="n">
        <v>0</v>
      </c>
      <c r="L2498" s="26" t="n">
        <v>0</v>
      </c>
      <c r="M2498" s="26" t="n">
        <v>0</v>
      </c>
    </row>
    <row r="2499" ht="16" customHeight="1">
      <c r="A2499" t="inlineStr">
        <is>
          <t>20-Mar-2026</t>
        </is>
      </c>
      <c r="B2499" t="inlineStr">
        <is>
          <t>Friday</t>
        </is>
      </c>
      <c r="C2499" t="inlineStr">
        <is>
          <t>Week3-Mar-2026</t>
        </is>
      </c>
      <c r="D2499" s="78" t="n">
        <v>46082</v>
      </c>
      <c r="E2499" t="inlineStr">
        <is>
          <t>Q4FY26</t>
        </is>
      </c>
      <c r="F2499" t="inlineStr">
        <is>
          <t>26-Dec-2028</t>
        </is>
      </c>
      <c r="G2499" t="inlineStr">
        <is>
          <t>Tuesday</t>
        </is>
      </c>
      <c r="H2499" t="inlineStr">
        <is>
          <t>Monthly - Tuesday</t>
        </is>
      </c>
      <c r="I2499" t="inlineStr">
        <is>
          <t>Monthly - Tuesday</t>
        </is>
      </c>
      <c r="J2499" t="inlineStr">
        <is>
          <t>Month+33 Expiry</t>
        </is>
      </c>
      <c r="K2499" s="25" t="n">
        <v>6</v>
      </c>
      <c r="L2499" s="26" t="n">
        <v>0.0098</v>
      </c>
      <c r="M2499" s="26" t="n">
        <v>0.0005</v>
      </c>
    </row>
    <row r="2500" ht="16" customHeight="1">
      <c r="A2500" t="inlineStr">
        <is>
          <t>20-Mar-2026</t>
        </is>
      </c>
      <c r="B2500" t="inlineStr">
        <is>
          <t>Friday</t>
        </is>
      </c>
      <c r="C2500" t="inlineStr">
        <is>
          <t>Week3-Mar-2026</t>
        </is>
      </c>
      <c r="D2500" s="78" t="n">
        <v>46082</v>
      </c>
      <c r="E2500" t="inlineStr">
        <is>
          <t>Q4FY26</t>
        </is>
      </c>
      <c r="F2500" t="inlineStr">
        <is>
          <t>26-Jun-2029</t>
        </is>
      </c>
      <c r="G2500" t="inlineStr">
        <is>
          <t>Tuesday</t>
        </is>
      </c>
      <c r="H2500" t="inlineStr">
        <is>
          <t>Monthly - Tuesday</t>
        </is>
      </c>
      <c r="I2500" t="inlineStr">
        <is>
          <t>Monthly - Tuesday</t>
        </is>
      </c>
      <c r="J2500" t="inlineStr">
        <is>
          <t>Month+39 Expiry</t>
        </is>
      </c>
      <c r="K2500" s="25" t="n">
        <v>0</v>
      </c>
      <c r="L2500" s="26" t="n">
        <v>0</v>
      </c>
      <c r="M2500" s="26" t="n">
        <v>0</v>
      </c>
    </row>
    <row r="2501" ht="16" customHeight="1">
      <c r="A2501" t="inlineStr">
        <is>
          <t>20-Mar-2026</t>
        </is>
      </c>
      <c r="B2501" t="inlineStr">
        <is>
          <t>Friday</t>
        </is>
      </c>
      <c r="C2501" t="inlineStr">
        <is>
          <t>Week3-Mar-2026</t>
        </is>
      </c>
      <c r="D2501" s="78" t="n">
        <v>46082</v>
      </c>
      <c r="E2501" t="inlineStr">
        <is>
          <t>Q4FY26</t>
        </is>
      </c>
      <c r="F2501" t="inlineStr">
        <is>
          <t>24-Dec-2029</t>
        </is>
      </c>
      <c r="G2501" t="inlineStr">
        <is>
          <t>Monday</t>
        </is>
      </c>
      <c r="H2501" t="inlineStr">
        <is>
          <t>Weekly - Monday</t>
        </is>
      </c>
      <c r="I2501" t="inlineStr">
        <is>
          <t>Weekly - Monday</t>
        </is>
      </c>
      <c r="J2501" t="inlineStr">
        <is>
          <t>Month+45 Expiry</t>
        </is>
      </c>
      <c r="K2501" s="25" t="n">
        <v>1</v>
      </c>
      <c r="L2501" s="26" t="n">
        <v>0.0016</v>
      </c>
      <c r="M2501" s="26" t="n">
        <v>0.0001</v>
      </c>
    </row>
    <row r="2502" ht="16" customHeight="1">
      <c r="A2502" t="inlineStr">
        <is>
          <t>20-Mar-2026</t>
        </is>
      </c>
      <c r="B2502" t="inlineStr">
        <is>
          <t>Friday</t>
        </is>
      </c>
      <c r="C2502" t="inlineStr">
        <is>
          <t>Week3-Mar-2026</t>
        </is>
      </c>
      <c r="D2502" s="78" t="n">
        <v>46082</v>
      </c>
      <c r="E2502" t="inlineStr">
        <is>
          <t>Q4FY26</t>
        </is>
      </c>
      <c r="F2502" t="inlineStr">
        <is>
          <t>25-Jun-2030</t>
        </is>
      </c>
      <c r="G2502" t="inlineStr">
        <is>
          <t>Tuesday</t>
        </is>
      </c>
      <c r="H2502" t="inlineStr">
        <is>
          <t>Monthly - Tuesday</t>
        </is>
      </c>
      <c r="I2502" t="inlineStr">
        <is>
          <t>Monthly - Tuesday</t>
        </is>
      </c>
      <c r="J2502" t="inlineStr">
        <is>
          <t>Month+51 Expiry</t>
        </is>
      </c>
      <c r="K2502" s="25" t="n">
        <v>0</v>
      </c>
      <c r="L2502" s="26" t="n">
        <v>0</v>
      </c>
      <c r="M2502" s="26" t="n">
        <v>0</v>
      </c>
    </row>
    <row r="2503" ht="16" customHeight="1">
      <c r="A2503" t="inlineStr">
        <is>
          <t>20-Mar-2026</t>
        </is>
      </c>
      <c r="B2503" t="inlineStr">
        <is>
          <t>Friday</t>
        </is>
      </c>
      <c r="C2503" t="inlineStr">
        <is>
          <t>Week3-Mar-2026</t>
        </is>
      </c>
      <c r="D2503" s="78" t="n">
        <v>46082</v>
      </c>
      <c r="E2503" t="inlineStr">
        <is>
          <t>Q4FY26</t>
        </is>
      </c>
      <c r="F2503" t="inlineStr">
        <is>
          <t>31-Dec-2030</t>
        </is>
      </c>
      <c r="G2503" t="inlineStr">
        <is>
          <t>Tuesday</t>
        </is>
      </c>
      <c r="H2503" t="inlineStr">
        <is>
          <t>Monthly - Tuesday</t>
        </is>
      </c>
      <c r="I2503" t="inlineStr">
        <is>
          <t>Monthly - Tuesday</t>
        </is>
      </c>
      <c r="J2503" t="inlineStr">
        <is>
          <t>Month+57 Expiry</t>
        </is>
      </c>
      <c r="K2503" s="25" t="n">
        <v>0</v>
      </c>
      <c r="L2503" s="26" t="n">
        <v>0</v>
      </c>
      <c r="M2503" s="26" t="n">
        <v>0</v>
      </c>
    </row>
    <row r="2504" ht="16" customHeight="1">
      <c r="A2504" t="inlineStr">
        <is>
          <t>23-Mar-2026</t>
        </is>
      </c>
      <c r="B2504" t="inlineStr">
        <is>
          <t>Monday</t>
        </is>
      </c>
      <c r="C2504" t="inlineStr">
        <is>
          <t>Week4-Mar-2026</t>
        </is>
      </c>
      <c r="D2504" s="78" t="n">
        <v>46082</v>
      </c>
      <c r="E2504" t="inlineStr">
        <is>
          <t>Q4FY26</t>
        </is>
      </c>
      <c r="F2504" t="inlineStr">
        <is>
          <t>24-Mar-2026</t>
        </is>
      </c>
      <c r="G2504" t="inlineStr">
        <is>
          <t>Tuesday</t>
        </is>
      </c>
      <c r="H2504" t="inlineStr">
        <is>
          <t>Weekly - Tuesday</t>
        </is>
      </c>
      <c r="I2504" t="inlineStr">
        <is>
          <t>Weekly - Tuesday</t>
        </is>
      </c>
      <c r="J2504" t="inlineStr">
        <is>
          <t>Same Month Expiry</t>
        </is>
      </c>
      <c r="K2504" s="25" t="n">
        <v>108697023</v>
      </c>
      <c r="L2504" s="26" t="n">
        <v>161169.2003</v>
      </c>
      <c r="M2504" s="26" t="n">
        <v>790.2377</v>
      </c>
    </row>
    <row r="2505" ht="16" customHeight="1">
      <c r="A2505" t="inlineStr">
        <is>
          <t>23-Mar-2026</t>
        </is>
      </c>
      <c r="B2505" t="inlineStr">
        <is>
          <t>Monday</t>
        </is>
      </c>
      <c r="C2505" t="inlineStr">
        <is>
          <t>Week4-Mar-2026</t>
        </is>
      </c>
      <c r="D2505" s="78" t="n">
        <v>46082</v>
      </c>
      <c r="E2505" t="inlineStr">
        <is>
          <t>Q4FY26</t>
        </is>
      </c>
      <c r="F2505" t="inlineStr">
        <is>
          <t>30-Mar-2026</t>
        </is>
      </c>
      <c r="G2505" t="inlineStr">
        <is>
          <t>Monday</t>
        </is>
      </c>
      <c r="H2505" t="inlineStr">
        <is>
          <t>Monthly - Monday</t>
        </is>
      </c>
      <c r="I2505" t="inlineStr">
        <is>
          <t>Monthly - Monday</t>
        </is>
      </c>
      <c r="J2505" t="inlineStr">
        <is>
          <t>Same Month Expiry</t>
        </is>
      </c>
      <c r="K2505" s="25" t="n">
        <v>5896514</v>
      </c>
      <c r="L2505" s="26" t="n">
        <v>8829.642900000001</v>
      </c>
      <c r="M2505" s="26" t="n">
        <v>88.4913</v>
      </c>
    </row>
    <row r="2506" ht="16" customHeight="1">
      <c r="A2506" t="inlineStr">
        <is>
          <t>23-Mar-2026</t>
        </is>
      </c>
      <c r="B2506" t="inlineStr">
        <is>
          <t>Monday</t>
        </is>
      </c>
      <c r="C2506" t="inlineStr">
        <is>
          <t>Week4-Mar-2026</t>
        </is>
      </c>
      <c r="D2506" s="78" t="n">
        <v>46082</v>
      </c>
      <c r="E2506" t="inlineStr">
        <is>
          <t>Q4FY26</t>
        </is>
      </c>
      <c r="F2506" t="inlineStr">
        <is>
          <t>07-Apr-2026</t>
        </is>
      </c>
      <c r="G2506" t="inlineStr">
        <is>
          <t>Tuesday</t>
        </is>
      </c>
      <c r="H2506" t="inlineStr">
        <is>
          <t>Weekly - Tuesday</t>
        </is>
      </c>
      <c r="I2506" t="inlineStr">
        <is>
          <t>Weekly - Tuesday</t>
        </is>
      </c>
      <c r="J2506" t="inlineStr">
        <is>
          <t>Month+1 Expiry</t>
        </is>
      </c>
      <c r="K2506" s="25" t="n">
        <v>529770</v>
      </c>
      <c r="L2506" s="26" t="n">
        <v>820.4274</v>
      </c>
      <c r="M2506" s="26" t="n">
        <v>15.396</v>
      </c>
    </row>
    <row r="2507" ht="16" customHeight="1">
      <c r="A2507" t="inlineStr">
        <is>
          <t>23-Mar-2026</t>
        </is>
      </c>
      <c r="B2507" t="inlineStr">
        <is>
          <t>Monday</t>
        </is>
      </c>
      <c r="C2507" t="inlineStr">
        <is>
          <t>Week4-Mar-2026</t>
        </is>
      </c>
      <c r="D2507" s="78" t="n">
        <v>46082</v>
      </c>
      <c r="E2507" t="inlineStr">
        <is>
          <t>Q4FY26</t>
        </is>
      </c>
      <c r="F2507" t="inlineStr">
        <is>
          <t>13-Apr-2026</t>
        </is>
      </c>
      <c r="G2507" t="inlineStr">
        <is>
          <t>Monday</t>
        </is>
      </c>
      <c r="H2507" t="inlineStr">
        <is>
          <t>Weekly - Monday</t>
        </is>
      </c>
      <c r="I2507" t="inlineStr">
        <is>
          <t>Weekly - Monday</t>
        </is>
      </c>
      <c r="J2507" t="inlineStr">
        <is>
          <t>Month+1 Expiry</t>
        </is>
      </c>
      <c r="K2507" s="25" t="n">
        <v>35027</v>
      </c>
      <c r="L2507" s="26" t="n">
        <v>55.2565</v>
      </c>
      <c r="M2507" s="26" t="n">
        <v>0.5911999999999999</v>
      </c>
    </row>
    <row r="2508" ht="16" customHeight="1">
      <c r="A2508" t="inlineStr">
        <is>
          <t>23-Mar-2026</t>
        </is>
      </c>
      <c r="B2508" t="inlineStr">
        <is>
          <t>Monday</t>
        </is>
      </c>
      <c r="C2508" t="inlineStr">
        <is>
          <t>Week4-Mar-2026</t>
        </is>
      </c>
      <c r="D2508" s="78" t="n">
        <v>46082</v>
      </c>
      <c r="E2508" t="inlineStr">
        <is>
          <t>Q4FY26</t>
        </is>
      </c>
      <c r="F2508" t="inlineStr">
        <is>
          <t>21-Apr-2026</t>
        </is>
      </c>
      <c r="G2508" t="inlineStr">
        <is>
          <t>Tuesday</t>
        </is>
      </c>
      <c r="H2508" t="inlineStr">
        <is>
          <t>Weekly - Tuesday</t>
        </is>
      </c>
      <c r="I2508" t="inlineStr">
        <is>
          <t>Weekly - Tuesday</t>
        </is>
      </c>
      <c r="J2508" t="inlineStr">
        <is>
          <t>Month+1 Expiry</t>
        </is>
      </c>
      <c r="K2508" s="25" t="n">
        <v>2944</v>
      </c>
      <c r="L2508" s="26" t="n">
        <v>4.6251</v>
      </c>
      <c r="M2508" s="26" t="n">
        <v>0.0597</v>
      </c>
    </row>
    <row r="2509" ht="16" customHeight="1">
      <c r="A2509" t="inlineStr">
        <is>
          <t>23-Mar-2026</t>
        </is>
      </c>
      <c r="B2509" t="inlineStr">
        <is>
          <t>Monday</t>
        </is>
      </c>
      <c r="C2509" t="inlineStr">
        <is>
          <t>Week4-Mar-2026</t>
        </is>
      </c>
      <c r="D2509" s="78" t="n">
        <v>46082</v>
      </c>
      <c r="E2509" t="inlineStr">
        <is>
          <t>Q4FY26</t>
        </is>
      </c>
      <c r="F2509" t="inlineStr">
        <is>
          <t>28-Apr-2026</t>
        </is>
      </c>
      <c r="G2509" t="inlineStr">
        <is>
          <t>Tuesday</t>
        </is>
      </c>
      <c r="H2509" t="inlineStr">
        <is>
          <t>Monthly - Tuesday</t>
        </is>
      </c>
      <c r="I2509" t="inlineStr">
        <is>
          <t>Monthly - Tuesday</t>
        </is>
      </c>
      <c r="J2509" t="inlineStr">
        <is>
          <t>Month+1 Expiry</t>
        </is>
      </c>
      <c r="K2509" s="25" t="n">
        <v>797322</v>
      </c>
      <c r="L2509" s="26" t="n">
        <v>1242.2974</v>
      </c>
      <c r="M2509" s="26" t="n">
        <v>26.3017</v>
      </c>
    </row>
    <row r="2510" ht="16" customHeight="1">
      <c r="A2510" t="inlineStr">
        <is>
          <t>23-Mar-2026</t>
        </is>
      </c>
      <c r="B2510" t="inlineStr">
        <is>
          <t>Monday</t>
        </is>
      </c>
      <c r="C2510" t="inlineStr">
        <is>
          <t>Week4-Mar-2026</t>
        </is>
      </c>
      <c r="D2510" s="78" t="n">
        <v>46082</v>
      </c>
      <c r="E2510" t="inlineStr">
        <is>
          <t>Q4FY26</t>
        </is>
      </c>
      <c r="F2510" t="inlineStr">
        <is>
          <t>26-May-2026</t>
        </is>
      </c>
      <c r="G2510" t="inlineStr">
        <is>
          <t>Tuesday</t>
        </is>
      </c>
      <c r="H2510" t="inlineStr">
        <is>
          <t>Monthly - Tuesday</t>
        </is>
      </c>
      <c r="I2510" t="inlineStr">
        <is>
          <t>Monthly - Tuesday</t>
        </is>
      </c>
      <c r="J2510" t="inlineStr">
        <is>
          <t>Month+2 Expiry</t>
        </is>
      </c>
      <c r="K2510" s="25" t="n">
        <v>118646</v>
      </c>
      <c r="L2510" s="26" t="n">
        <v>185.9902</v>
      </c>
      <c r="M2510" s="26" t="n">
        <v>4.4478</v>
      </c>
    </row>
    <row r="2511" ht="16" customHeight="1">
      <c r="A2511" t="inlineStr">
        <is>
          <t>23-Mar-2026</t>
        </is>
      </c>
      <c r="B2511" t="inlineStr">
        <is>
          <t>Monday</t>
        </is>
      </c>
      <c r="C2511" t="inlineStr">
        <is>
          <t>Week4-Mar-2026</t>
        </is>
      </c>
      <c r="D2511" s="78" t="n">
        <v>46082</v>
      </c>
      <c r="E2511" t="inlineStr">
        <is>
          <t>Q4FY26</t>
        </is>
      </c>
      <c r="F2511" t="inlineStr">
        <is>
          <t>30-Jun-2026</t>
        </is>
      </c>
      <c r="G2511" t="inlineStr">
        <is>
          <t>Tuesday</t>
        </is>
      </c>
      <c r="H2511" t="inlineStr">
        <is>
          <t>Monthly - Tuesday</t>
        </is>
      </c>
      <c r="I2511" t="inlineStr">
        <is>
          <t>Monthly - Tuesday</t>
        </is>
      </c>
      <c r="J2511" t="inlineStr">
        <is>
          <t>Month+3 Expiry</t>
        </is>
      </c>
      <c r="K2511" s="25" t="n">
        <v>180629</v>
      </c>
      <c r="L2511" s="26" t="n">
        <v>279.0663</v>
      </c>
      <c r="M2511" s="26" t="n">
        <v>8.073499999999999</v>
      </c>
    </row>
    <row r="2512" ht="16" customHeight="1">
      <c r="A2512" t="inlineStr">
        <is>
          <t>23-Mar-2026</t>
        </is>
      </c>
      <c r="B2512" t="inlineStr">
        <is>
          <t>Monday</t>
        </is>
      </c>
      <c r="C2512" t="inlineStr">
        <is>
          <t>Week4-Mar-2026</t>
        </is>
      </c>
      <c r="D2512" s="78" t="n">
        <v>46082</v>
      </c>
      <c r="E2512" t="inlineStr">
        <is>
          <t>Q4FY26</t>
        </is>
      </c>
      <c r="F2512" t="inlineStr">
        <is>
          <t>29-Sep-2026</t>
        </is>
      </c>
      <c r="G2512" t="inlineStr">
        <is>
          <t>Tuesday</t>
        </is>
      </c>
      <c r="H2512" t="inlineStr">
        <is>
          <t>Monthly - Tuesday</t>
        </is>
      </c>
      <c r="I2512" t="inlineStr">
        <is>
          <t>Monthly - Tuesday</t>
        </is>
      </c>
      <c r="J2512" t="inlineStr">
        <is>
          <t>Month+6 Expiry</t>
        </is>
      </c>
      <c r="K2512" s="25" t="n">
        <v>28159</v>
      </c>
      <c r="L2512" s="26" t="n">
        <v>46.0432</v>
      </c>
      <c r="M2512" s="26" t="n">
        <v>1.3275</v>
      </c>
    </row>
    <row r="2513" ht="16" customHeight="1">
      <c r="A2513" t="inlineStr">
        <is>
          <t>23-Mar-2026</t>
        </is>
      </c>
      <c r="B2513" t="inlineStr">
        <is>
          <t>Monday</t>
        </is>
      </c>
      <c r="C2513" t="inlineStr">
        <is>
          <t>Week4-Mar-2026</t>
        </is>
      </c>
      <c r="D2513" s="78" t="n">
        <v>46082</v>
      </c>
      <c r="E2513" t="inlineStr">
        <is>
          <t>Q4FY26</t>
        </is>
      </c>
      <c r="F2513" t="inlineStr">
        <is>
          <t>29-Dec-2026</t>
        </is>
      </c>
      <c r="G2513" t="inlineStr">
        <is>
          <t>Tuesday</t>
        </is>
      </c>
      <c r="H2513" t="inlineStr">
        <is>
          <t>Monthly - Tuesday</t>
        </is>
      </c>
      <c r="I2513" t="inlineStr">
        <is>
          <t>Monthly - Tuesday</t>
        </is>
      </c>
      <c r="J2513" t="inlineStr">
        <is>
          <t>Month+9 Expiry</t>
        </is>
      </c>
      <c r="K2513" s="25" t="n">
        <v>69595</v>
      </c>
      <c r="L2513" s="26" t="n">
        <v>112.2367</v>
      </c>
      <c r="M2513" s="26" t="n">
        <v>4.2103</v>
      </c>
    </row>
    <row r="2514" ht="16" customHeight="1">
      <c r="A2514" t="inlineStr">
        <is>
          <t>23-Mar-2026</t>
        </is>
      </c>
      <c r="B2514" t="inlineStr">
        <is>
          <t>Monday</t>
        </is>
      </c>
      <c r="C2514" t="inlineStr">
        <is>
          <t>Week4-Mar-2026</t>
        </is>
      </c>
      <c r="D2514" s="78" t="n">
        <v>46082</v>
      </c>
      <c r="E2514" t="inlineStr">
        <is>
          <t>Q4FY26</t>
        </is>
      </c>
      <c r="F2514" t="inlineStr">
        <is>
          <t>29-Jun-2027</t>
        </is>
      </c>
      <c r="G2514" t="inlineStr">
        <is>
          <t>Tuesday</t>
        </is>
      </c>
      <c r="H2514" t="inlineStr">
        <is>
          <t>Monthly - Tuesday</t>
        </is>
      </c>
      <c r="I2514" t="inlineStr">
        <is>
          <t>Monthly - Tuesday</t>
        </is>
      </c>
      <c r="J2514" t="inlineStr">
        <is>
          <t>Month+15 Expiry</t>
        </is>
      </c>
      <c r="K2514" s="25" t="n">
        <v>0</v>
      </c>
      <c r="L2514" s="26" t="n">
        <v>0</v>
      </c>
      <c r="M2514" s="26" t="n">
        <v>0</v>
      </c>
    </row>
    <row r="2515" ht="16" customHeight="1">
      <c r="A2515" t="inlineStr">
        <is>
          <t>23-Mar-2026</t>
        </is>
      </c>
      <c r="B2515" t="inlineStr">
        <is>
          <t>Monday</t>
        </is>
      </c>
      <c r="C2515" t="inlineStr">
        <is>
          <t>Week4-Mar-2026</t>
        </is>
      </c>
      <c r="D2515" s="78" t="n">
        <v>46082</v>
      </c>
      <c r="E2515" t="inlineStr">
        <is>
          <t>Q4FY26</t>
        </is>
      </c>
      <c r="F2515" t="inlineStr">
        <is>
          <t>28-Dec-2027</t>
        </is>
      </c>
      <c r="G2515" t="inlineStr">
        <is>
          <t>Tuesday</t>
        </is>
      </c>
      <c r="H2515" t="inlineStr">
        <is>
          <t>Monthly - Tuesday</t>
        </is>
      </c>
      <c r="I2515" t="inlineStr">
        <is>
          <t>Monthly - Tuesday</t>
        </is>
      </c>
      <c r="J2515" t="inlineStr">
        <is>
          <t>Month+21 Expiry</t>
        </is>
      </c>
      <c r="K2515" s="25" t="n">
        <v>505</v>
      </c>
      <c r="L2515" s="26" t="n">
        <v>0.8527</v>
      </c>
      <c r="M2515" s="26" t="n">
        <v>0.0532</v>
      </c>
    </row>
    <row r="2516" ht="16" customHeight="1">
      <c r="A2516" t="inlineStr">
        <is>
          <t>23-Mar-2026</t>
        </is>
      </c>
      <c r="B2516" t="inlineStr">
        <is>
          <t>Monday</t>
        </is>
      </c>
      <c r="C2516" t="inlineStr">
        <is>
          <t>Week4-Mar-2026</t>
        </is>
      </c>
      <c r="D2516" s="78" t="n">
        <v>46082</v>
      </c>
      <c r="E2516" t="inlineStr">
        <is>
          <t>Q4FY26</t>
        </is>
      </c>
      <c r="F2516" t="inlineStr">
        <is>
          <t>27-Jun-2028</t>
        </is>
      </c>
      <c r="G2516" t="inlineStr">
        <is>
          <t>Tuesday</t>
        </is>
      </c>
      <c r="H2516" t="inlineStr">
        <is>
          <t>Monthly - Tuesday</t>
        </is>
      </c>
      <c r="I2516" t="inlineStr">
        <is>
          <t>Monthly - Tuesday</t>
        </is>
      </c>
      <c r="J2516" t="inlineStr">
        <is>
          <t>Month+27 Expiry</t>
        </is>
      </c>
      <c r="K2516" s="25" t="n">
        <v>7</v>
      </c>
      <c r="L2516" s="26" t="n">
        <v>0.0104</v>
      </c>
      <c r="M2516" s="26" t="n">
        <v>0.0004</v>
      </c>
    </row>
    <row r="2517" ht="16" customHeight="1">
      <c r="A2517" t="inlineStr">
        <is>
          <t>23-Mar-2026</t>
        </is>
      </c>
      <c r="B2517" t="inlineStr">
        <is>
          <t>Monday</t>
        </is>
      </c>
      <c r="C2517" t="inlineStr">
        <is>
          <t>Week4-Mar-2026</t>
        </is>
      </c>
      <c r="D2517" s="78" t="n">
        <v>46082</v>
      </c>
      <c r="E2517" t="inlineStr">
        <is>
          <t>Q4FY26</t>
        </is>
      </c>
      <c r="F2517" t="inlineStr">
        <is>
          <t>26-Dec-2028</t>
        </is>
      </c>
      <c r="G2517" t="inlineStr">
        <is>
          <t>Tuesday</t>
        </is>
      </c>
      <c r="H2517" t="inlineStr">
        <is>
          <t>Monthly - Tuesday</t>
        </is>
      </c>
      <c r="I2517" t="inlineStr">
        <is>
          <t>Monthly - Tuesday</t>
        </is>
      </c>
      <c r="J2517" t="inlineStr">
        <is>
          <t>Month+33 Expiry</t>
        </is>
      </c>
      <c r="K2517" s="25" t="n">
        <v>37</v>
      </c>
      <c r="L2517" s="26" t="n">
        <v>0.0578</v>
      </c>
      <c r="M2517" s="26" t="n">
        <v>0.0025</v>
      </c>
    </row>
    <row r="2518" ht="16" customHeight="1">
      <c r="A2518" t="inlineStr">
        <is>
          <t>23-Mar-2026</t>
        </is>
      </c>
      <c r="B2518" t="inlineStr">
        <is>
          <t>Monday</t>
        </is>
      </c>
      <c r="C2518" t="inlineStr">
        <is>
          <t>Week4-Mar-2026</t>
        </is>
      </c>
      <c r="D2518" s="78" t="n">
        <v>46082</v>
      </c>
      <c r="E2518" t="inlineStr">
        <is>
          <t>Q4FY26</t>
        </is>
      </c>
      <c r="F2518" t="inlineStr">
        <is>
          <t>26-Jun-2029</t>
        </is>
      </c>
      <c r="G2518" t="inlineStr">
        <is>
          <t>Tuesday</t>
        </is>
      </c>
      <c r="H2518" t="inlineStr">
        <is>
          <t>Monthly - Tuesday</t>
        </is>
      </c>
      <c r="I2518" t="inlineStr">
        <is>
          <t>Monthly - Tuesday</t>
        </is>
      </c>
      <c r="J2518" t="inlineStr">
        <is>
          <t>Month+39 Expiry</t>
        </is>
      </c>
      <c r="K2518" s="25" t="n">
        <v>0</v>
      </c>
      <c r="L2518" s="26" t="n">
        <v>0</v>
      </c>
      <c r="M2518" s="26" t="n">
        <v>0</v>
      </c>
    </row>
    <row r="2519" ht="16" customHeight="1">
      <c r="A2519" t="inlineStr">
        <is>
          <t>23-Mar-2026</t>
        </is>
      </c>
      <c r="B2519" t="inlineStr">
        <is>
          <t>Monday</t>
        </is>
      </c>
      <c r="C2519" t="inlineStr">
        <is>
          <t>Week4-Mar-2026</t>
        </is>
      </c>
      <c r="D2519" s="78" t="n">
        <v>46082</v>
      </c>
      <c r="E2519" t="inlineStr">
        <is>
          <t>Q4FY26</t>
        </is>
      </c>
      <c r="F2519" t="inlineStr">
        <is>
          <t>24-Dec-2029</t>
        </is>
      </c>
      <c r="G2519" t="inlineStr">
        <is>
          <t>Monday</t>
        </is>
      </c>
      <c r="H2519" t="inlineStr">
        <is>
          <t>Weekly - Monday</t>
        </is>
      </c>
      <c r="I2519" t="inlineStr">
        <is>
          <t>Weekly - Monday</t>
        </is>
      </c>
      <c r="J2519" t="inlineStr">
        <is>
          <t>Month+45 Expiry</t>
        </is>
      </c>
      <c r="K2519" s="25" t="n">
        <v>0</v>
      </c>
      <c r="L2519" s="26" t="n">
        <v>0</v>
      </c>
      <c r="M2519" s="26" t="n">
        <v>0</v>
      </c>
    </row>
    <row r="2520" ht="16" customHeight="1">
      <c r="A2520" t="inlineStr">
        <is>
          <t>23-Mar-2026</t>
        </is>
      </c>
      <c r="B2520" t="inlineStr">
        <is>
          <t>Monday</t>
        </is>
      </c>
      <c r="C2520" t="inlineStr">
        <is>
          <t>Week4-Mar-2026</t>
        </is>
      </c>
      <c r="D2520" s="78" t="n">
        <v>46082</v>
      </c>
      <c r="E2520" t="inlineStr">
        <is>
          <t>Q4FY26</t>
        </is>
      </c>
      <c r="F2520" t="inlineStr">
        <is>
          <t>25-Jun-2030</t>
        </is>
      </c>
      <c r="G2520" t="inlineStr">
        <is>
          <t>Tuesday</t>
        </is>
      </c>
      <c r="H2520" t="inlineStr">
        <is>
          <t>Monthly - Tuesday</t>
        </is>
      </c>
      <c r="I2520" t="inlineStr">
        <is>
          <t>Monthly - Tuesday</t>
        </is>
      </c>
      <c r="J2520" t="inlineStr">
        <is>
          <t>Month+51 Expiry</t>
        </is>
      </c>
      <c r="K2520" s="25" t="n">
        <v>0</v>
      </c>
      <c r="L2520" s="26" t="n">
        <v>0</v>
      </c>
      <c r="M2520" s="26" t="n">
        <v>0</v>
      </c>
    </row>
    <row r="2521" ht="16" customHeight="1">
      <c r="A2521" t="inlineStr">
        <is>
          <t>23-Mar-2026</t>
        </is>
      </c>
      <c r="B2521" t="inlineStr">
        <is>
          <t>Monday</t>
        </is>
      </c>
      <c r="C2521" t="inlineStr">
        <is>
          <t>Week4-Mar-2026</t>
        </is>
      </c>
      <c r="D2521" s="78" t="n">
        <v>46082</v>
      </c>
      <c r="E2521" t="inlineStr">
        <is>
          <t>Q4FY26</t>
        </is>
      </c>
      <c r="F2521" t="inlineStr">
        <is>
          <t>31-Dec-2030</t>
        </is>
      </c>
      <c r="G2521" t="inlineStr">
        <is>
          <t>Tuesday</t>
        </is>
      </c>
      <c r="H2521" t="inlineStr">
        <is>
          <t>Monthly - Tuesday</t>
        </is>
      </c>
      <c r="I2521" t="inlineStr">
        <is>
          <t>Monthly - Tuesday</t>
        </is>
      </c>
      <c r="J2521" t="inlineStr">
        <is>
          <t>Month+57 Expiry</t>
        </is>
      </c>
      <c r="K2521" s="25" t="n">
        <v>0</v>
      </c>
      <c r="L2521" s="26" t="n">
        <v>0</v>
      </c>
      <c r="M2521" s="26" t="n">
        <v>0</v>
      </c>
    </row>
    <row r="2522" ht="16" customHeight="1">
      <c r="A2522" t="inlineStr">
        <is>
          <t>24-Mar-2026</t>
        </is>
      </c>
      <c r="B2522" t="inlineStr">
        <is>
          <t>Tuesday</t>
        </is>
      </c>
      <c r="C2522" t="inlineStr">
        <is>
          <t>Week4-Mar-2026</t>
        </is>
      </c>
      <c r="D2522" s="78" t="n">
        <v>46082</v>
      </c>
      <c r="E2522" t="inlineStr">
        <is>
          <t>Q4FY26</t>
        </is>
      </c>
      <c r="F2522" t="inlineStr">
        <is>
          <t>24-Mar-2026</t>
        </is>
      </c>
      <c r="G2522" t="inlineStr">
        <is>
          <t>Tuesday</t>
        </is>
      </c>
      <c r="H2522" t="inlineStr">
        <is>
          <t>Weekly - Tuesday</t>
        </is>
      </c>
      <c r="I2522" t="inlineStr">
        <is>
          <t>Weekly - Tuesday</t>
        </is>
      </c>
      <c r="J2522" t="inlineStr">
        <is>
          <t>Same Month Expiry</t>
        </is>
      </c>
      <c r="K2522" s="25" t="n">
        <v>449887440</v>
      </c>
      <c r="L2522" s="26" t="n">
        <v>669701.3804</v>
      </c>
      <c r="M2522" s="26" t="n">
        <v>978.7119</v>
      </c>
    </row>
    <row r="2523" ht="16" customHeight="1">
      <c r="A2523" t="inlineStr">
        <is>
          <t>24-Mar-2026</t>
        </is>
      </c>
      <c r="B2523" t="inlineStr">
        <is>
          <t>Tuesday</t>
        </is>
      </c>
      <c r="C2523" t="inlineStr">
        <is>
          <t>Week4-Mar-2026</t>
        </is>
      </c>
      <c r="D2523" s="78" t="n">
        <v>46082</v>
      </c>
      <c r="E2523" t="inlineStr">
        <is>
          <t>Q4FY26</t>
        </is>
      </c>
      <c r="F2523" t="inlineStr">
        <is>
          <t>30-Mar-2026</t>
        </is>
      </c>
      <c r="G2523" t="inlineStr">
        <is>
          <t>Monday</t>
        </is>
      </c>
      <c r="H2523" t="inlineStr">
        <is>
          <t>Monthly - Monday</t>
        </is>
      </c>
      <c r="I2523" t="inlineStr">
        <is>
          <t>MDAW - Monday</t>
        </is>
      </c>
      <c r="J2523" t="inlineStr">
        <is>
          <t>Same Month Expiry</t>
        </is>
      </c>
      <c r="K2523" s="25" t="n">
        <v>12321123</v>
      </c>
      <c r="L2523" s="26" t="n">
        <v>18514.6035</v>
      </c>
      <c r="M2523" s="26" t="n">
        <v>138.9742</v>
      </c>
    </row>
    <row r="2524" ht="16" customHeight="1">
      <c r="A2524" t="inlineStr">
        <is>
          <t>24-Mar-2026</t>
        </is>
      </c>
      <c r="B2524" t="inlineStr">
        <is>
          <t>Tuesday</t>
        </is>
      </c>
      <c r="C2524" t="inlineStr">
        <is>
          <t>Week4-Mar-2026</t>
        </is>
      </c>
      <c r="D2524" s="78" t="n">
        <v>46082</v>
      </c>
      <c r="E2524" t="inlineStr">
        <is>
          <t>Q4FY26</t>
        </is>
      </c>
      <c r="F2524" t="inlineStr">
        <is>
          <t>07-Apr-2026</t>
        </is>
      </c>
      <c r="G2524" t="inlineStr">
        <is>
          <t>Tuesday</t>
        </is>
      </c>
      <c r="H2524" t="inlineStr">
        <is>
          <t>Weekly - Tuesday</t>
        </is>
      </c>
      <c r="I2524" t="inlineStr">
        <is>
          <t>Weekly - Tuesday</t>
        </is>
      </c>
      <c r="J2524" t="inlineStr">
        <is>
          <t>Month+1 Expiry</t>
        </is>
      </c>
      <c r="K2524" s="25" t="n">
        <v>693099</v>
      </c>
      <c r="L2524" s="26" t="n">
        <v>1062.9586</v>
      </c>
      <c r="M2524" s="26" t="n">
        <v>12.3116</v>
      </c>
    </row>
    <row r="2525" ht="16" customHeight="1">
      <c r="A2525" t="inlineStr">
        <is>
          <t>24-Mar-2026</t>
        </is>
      </c>
      <c r="B2525" t="inlineStr">
        <is>
          <t>Tuesday</t>
        </is>
      </c>
      <c r="C2525" t="inlineStr">
        <is>
          <t>Week4-Mar-2026</t>
        </is>
      </c>
      <c r="D2525" s="78" t="n">
        <v>46082</v>
      </c>
      <c r="E2525" t="inlineStr">
        <is>
          <t>Q4FY26</t>
        </is>
      </c>
      <c r="F2525" t="inlineStr">
        <is>
          <t>13-Apr-2026</t>
        </is>
      </c>
      <c r="G2525" t="inlineStr">
        <is>
          <t>Monday</t>
        </is>
      </c>
      <c r="H2525" t="inlineStr">
        <is>
          <t>Weekly - Monday</t>
        </is>
      </c>
      <c r="I2525" t="inlineStr">
        <is>
          <t>Weekly - Monday</t>
        </is>
      </c>
      <c r="J2525" t="inlineStr">
        <is>
          <t>Month+1 Expiry</t>
        </is>
      </c>
      <c r="K2525" s="25" t="n">
        <v>45009</v>
      </c>
      <c r="L2525" s="26" t="n">
        <v>70.9196</v>
      </c>
      <c r="M2525" s="26" t="n">
        <v>0.8546</v>
      </c>
    </row>
    <row r="2526" ht="16" customHeight="1">
      <c r="A2526" t="inlineStr">
        <is>
          <t>24-Mar-2026</t>
        </is>
      </c>
      <c r="B2526" t="inlineStr">
        <is>
          <t>Tuesday</t>
        </is>
      </c>
      <c r="C2526" t="inlineStr">
        <is>
          <t>Week4-Mar-2026</t>
        </is>
      </c>
      <c r="D2526" s="78" t="n">
        <v>46082</v>
      </c>
      <c r="E2526" t="inlineStr">
        <is>
          <t>Q4FY26</t>
        </is>
      </c>
      <c r="F2526" t="inlineStr">
        <is>
          <t>21-Apr-2026</t>
        </is>
      </c>
      <c r="G2526" t="inlineStr">
        <is>
          <t>Tuesday</t>
        </is>
      </c>
      <c r="H2526" t="inlineStr">
        <is>
          <t>Weekly - Tuesday</t>
        </is>
      </c>
      <c r="I2526" t="inlineStr">
        <is>
          <t>Weekly - Tuesday</t>
        </is>
      </c>
      <c r="J2526" t="inlineStr">
        <is>
          <t>Month+1 Expiry</t>
        </is>
      </c>
      <c r="K2526" s="25" t="n">
        <v>2939</v>
      </c>
      <c r="L2526" s="26" t="n">
        <v>4.6132</v>
      </c>
      <c r="M2526" s="26" t="n">
        <v>0.0665</v>
      </c>
    </row>
    <row r="2527" ht="16" customHeight="1">
      <c r="A2527" t="inlineStr">
        <is>
          <t>24-Mar-2026</t>
        </is>
      </c>
      <c r="B2527" t="inlineStr">
        <is>
          <t>Tuesday</t>
        </is>
      </c>
      <c r="C2527" t="inlineStr">
        <is>
          <t>Week4-Mar-2026</t>
        </is>
      </c>
      <c r="D2527" s="78" t="n">
        <v>46082</v>
      </c>
      <c r="E2527" t="inlineStr">
        <is>
          <t>Q4FY26</t>
        </is>
      </c>
      <c r="F2527" t="inlineStr">
        <is>
          <t>28-Apr-2026</t>
        </is>
      </c>
      <c r="G2527" t="inlineStr">
        <is>
          <t>Tuesday</t>
        </is>
      </c>
      <c r="H2527" t="inlineStr">
        <is>
          <t>Monthly - Tuesday</t>
        </is>
      </c>
      <c r="I2527" t="inlineStr">
        <is>
          <t>Monthly - Tuesday</t>
        </is>
      </c>
      <c r="J2527" t="inlineStr">
        <is>
          <t>Month+1 Expiry</t>
        </is>
      </c>
      <c r="K2527" s="25" t="n">
        <v>893752</v>
      </c>
      <c r="L2527" s="26" t="n">
        <v>1398.8983</v>
      </c>
      <c r="M2527" s="26" t="n">
        <v>26.4483</v>
      </c>
    </row>
    <row r="2528" ht="16" customHeight="1">
      <c r="A2528" t="inlineStr">
        <is>
          <t>24-Mar-2026</t>
        </is>
      </c>
      <c r="B2528" t="inlineStr">
        <is>
          <t>Tuesday</t>
        </is>
      </c>
      <c r="C2528" t="inlineStr">
        <is>
          <t>Week4-Mar-2026</t>
        </is>
      </c>
      <c r="D2528" s="78" t="n">
        <v>46082</v>
      </c>
      <c r="E2528" t="inlineStr">
        <is>
          <t>Q4FY26</t>
        </is>
      </c>
      <c r="F2528" t="inlineStr">
        <is>
          <t>26-May-2026</t>
        </is>
      </c>
      <c r="G2528" t="inlineStr">
        <is>
          <t>Tuesday</t>
        </is>
      </c>
      <c r="H2528" t="inlineStr">
        <is>
          <t>Monthly - Tuesday</t>
        </is>
      </c>
      <c r="I2528" t="inlineStr">
        <is>
          <t>Monthly - Tuesday</t>
        </is>
      </c>
      <c r="J2528" t="inlineStr">
        <is>
          <t>Month+2 Expiry</t>
        </is>
      </c>
      <c r="K2528" s="25" t="n">
        <v>85835</v>
      </c>
      <c r="L2528" s="26" t="n">
        <v>135.5548</v>
      </c>
      <c r="M2528" s="26" t="n">
        <v>2.6998</v>
      </c>
    </row>
    <row r="2529" ht="16" customHeight="1">
      <c r="A2529" t="inlineStr">
        <is>
          <t>24-Mar-2026</t>
        </is>
      </c>
      <c r="B2529" t="inlineStr">
        <is>
          <t>Tuesday</t>
        </is>
      </c>
      <c r="C2529" t="inlineStr">
        <is>
          <t>Week4-Mar-2026</t>
        </is>
      </c>
      <c r="D2529" s="78" t="n">
        <v>46082</v>
      </c>
      <c r="E2529" t="inlineStr">
        <is>
          <t>Q4FY26</t>
        </is>
      </c>
      <c r="F2529" t="inlineStr">
        <is>
          <t>30-Jun-2026</t>
        </is>
      </c>
      <c r="G2529" t="inlineStr">
        <is>
          <t>Tuesday</t>
        </is>
      </c>
      <c r="H2529" t="inlineStr">
        <is>
          <t>Monthly - Tuesday</t>
        </is>
      </c>
      <c r="I2529" t="inlineStr">
        <is>
          <t>Monthly - Tuesday</t>
        </is>
      </c>
      <c r="J2529" t="inlineStr">
        <is>
          <t>Month+3 Expiry</t>
        </is>
      </c>
      <c r="K2529" s="25" t="n">
        <v>147734</v>
      </c>
      <c r="L2529" s="26" t="n">
        <v>230.1079</v>
      </c>
      <c r="M2529" s="26" t="n">
        <v>7.1537</v>
      </c>
    </row>
    <row r="2530" ht="16" customHeight="1">
      <c r="A2530" t="inlineStr">
        <is>
          <t>24-Mar-2026</t>
        </is>
      </c>
      <c r="B2530" t="inlineStr">
        <is>
          <t>Tuesday</t>
        </is>
      </c>
      <c r="C2530" t="inlineStr">
        <is>
          <t>Week4-Mar-2026</t>
        </is>
      </c>
      <c r="D2530" s="78" t="n">
        <v>46082</v>
      </c>
      <c r="E2530" t="inlineStr">
        <is>
          <t>Q4FY26</t>
        </is>
      </c>
      <c r="F2530" t="inlineStr">
        <is>
          <t>29-Sep-2026</t>
        </is>
      </c>
      <c r="G2530" t="inlineStr">
        <is>
          <t>Tuesday</t>
        </is>
      </c>
      <c r="H2530" t="inlineStr">
        <is>
          <t>Monthly - Tuesday</t>
        </is>
      </c>
      <c r="I2530" t="inlineStr">
        <is>
          <t>Monthly - Tuesday</t>
        </is>
      </c>
      <c r="J2530" t="inlineStr">
        <is>
          <t>Month+6 Expiry</t>
        </is>
      </c>
      <c r="K2530" s="25" t="n">
        <v>14165</v>
      </c>
      <c r="L2530" s="26" t="n">
        <v>23.1485</v>
      </c>
      <c r="M2530" s="26" t="n">
        <v>0.6344</v>
      </c>
    </row>
    <row r="2531" ht="16" customHeight="1">
      <c r="A2531" t="inlineStr">
        <is>
          <t>24-Mar-2026</t>
        </is>
      </c>
      <c r="B2531" t="inlineStr">
        <is>
          <t>Tuesday</t>
        </is>
      </c>
      <c r="C2531" t="inlineStr">
        <is>
          <t>Week4-Mar-2026</t>
        </is>
      </c>
      <c r="D2531" s="78" t="n">
        <v>46082</v>
      </c>
      <c r="E2531" t="inlineStr">
        <is>
          <t>Q4FY26</t>
        </is>
      </c>
      <c r="F2531" t="inlineStr">
        <is>
          <t>29-Dec-2026</t>
        </is>
      </c>
      <c r="G2531" t="inlineStr">
        <is>
          <t>Tuesday</t>
        </is>
      </c>
      <c r="H2531" t="inlineStr">
        <is>
          <t>Monthly - Tuesday</t>
        </is>
      </c>
      <c r="I2531" t="inlineStr">
        <is>
          <t>Monthly - Tuesday</t>
        </is>
      </c>
      <c r="J2531" t="inlineStr">
        <is>
          <t>Month+9 Expiry</t>
        </is>
      </c>
      <c r="K2531" s="25" t="n">
        <v>42691</v>
      </c>
      <c r="L2531" s="26" t="n">
        <v>67.4402</v>
      </c>
      <c r="M2531" s="26" t="n">
        <v>2.4086</v>
      </c>
    </row>
    <row r="2532" ht="16" customHeight="1">
      <c r="A2532" t="inlineStr">
        <is>
          <t>24-Mar-2026</t>
        </is>
      </c>
      <c r="B2532" t="inlineStr">
        <is>
          <t>Tuesday</t>
        </is>
      </c>
      <c r="C2532" t="inlineStr">
        <is>
          <t>Week4-Mar-2026</t>
        </is>
      </c>
      <c r="D2532" s="78" t="n">
        <v>46082</v>
      </c>
      <c r="E2532" t="inlineStr">
        <is>
          <t>Q4FY26</t>
        </is>
      </c>
      <c r="F2532" t="inlineStr">
        <is>
          <t>29-Jun-2027</t>
        </is>
      </c>
      <c r="G2532" t="inlineStr">
        <is>
          <t>Tuesday</t>
        </is>
      </c>
      <c r="H2532" t="inlineStr">
        <is>
          <t>Monthly - Tuesday</t>
        </is>
      </c>
      <c r="I2532" t="inlineStr">
        <is>
          <t>Monthly - Tuesday</t>
        </is>
      </c>
      <c r="J2532" t="inlineStr">
        <is>
          <t>Month+15 Expiry</t>
        </is>
      </c>
      <c r="K2532" s="25" t="n">
        <v>0</v>
      </c>
      <c r="L2532" s="26" t="n">
        <v>0</v>
      </c>
      <c r="M2532" s="26" t="n">
        <v>0</v>
      </c>
    </row>
    <row r="2533" ht="16" customHeight="1">
      <c r="A2533" t="inlineStr">
        <is>
          <t>24-Mar-2026</t>
        </is>
      </c>
      <c r="B2533" t="inlineStr">
        <is>
          <t>Tuesday</t>
        </is>
      </c>
      <c r="C2533" t="inlineStr">
        <is>
          <t>Week4-Mar-2026</t>
        </is>
      </c>
      <c r="D2533" s="78" t="n">
        <v>46082</v>
      </c>
      <c r="E2533" t="inlineStr">
        <is>
          <t>Q4FY26</t>
        </is>
      </c>
      <c r="F2533" t="inlineStr">
        <is>
          <t>28-Dec-2027</t>
        </is>
      </c>
      <c r="G2533" t="inlineStr">
        <is>
          <t>Tuesday</t>
        </is>
      </c>
      <c r="H2533" t="inlineStr">
        <is>
          <t>Monthly - Tuesday</t>
        </is>
      </c>
      <c r="I2533" t="inlineStr">
        <is>
          <t>Monthly - Tuesday</t>
        </is>
      </c>
      <c r="J2533" t="inlineStr">
        <is>
          <t>Month+21 Expiry</t>
        </is>
      </c>
      <c r="K2533" s="25" t="n">
        <v>370</v>
      </c>
      <c r="L2533" s="26" t="n">
        <v>0.607</v>
      </c>
      <c r="M2533" s="26" t="n">
        <v>0.0328</v>
      </c>
    </row>
    <row r="2534" ht="16" customHeight="1">
      <c r="A2534" t="inlineStr">
        <is>
          <t>24-Mar-2026</t>
        </is>
      </c>
      <c r="B2534" t="inlineStr">
        <is>
          <t>Tuesday</t>
        </is>
      </c>
      <c r="C2534" t="inlineStr">
        <is>
          <t>Week4-Mar-2026</t>
        </is>
      </c>
      <c r="D2534" s="78" t="n">
        <v>46082</v>
      </c>
      <c r="E2534" t="inlineStr">
        <is>
          <t>Q4FY26</t>
        </is>
      </c>
      <c r="F2534" t="inlineStr">
        <is>
          <t>27-Jun-2028</t>
        </is>
      </c>
      <c r="G2534" t="inlineStr">
        <is>
          <t>Tuesday</t>
        </is>
      </c>
      <c r="H2534" t="inlineStr">
        <is>
          <t>Monthly - Tuesday</t>
        </is>
      </c>
      <c r="I2534" t="inlineStr">
        <is>
          <t>Monthly - Tuesday</t>
        </is>
      </c>
      <c r="J2534" t="inlineStr">
        <is>
          <t>Month+27 Expiry</t>
        </is>
      </c>
      <c r="K2534" s="25" t="n">
        <v>1</v>
      </c>
      <c r="L2534" s="26" t="n">
        <v>0.0015</v>
      </c>
      <c r="M2534" s="26" t="n">
        <v>0.0001</v>
      </c>
    </row>
    <row r="2535" ht="16" customHeight="1">
      <c r="A2535" t="inlineStr">
        <is>
          <t>24-Mar-2026</t>
        </is>
      </c>
      <c r="B2535" t="inlineStr">
        <is>
          <t>Tuesday</t>
        </is>
      </c>
      <c r="C2535" t="inlineStr">
        <is>
          <t>Week4-Mar-2026</t>
        </is>
      </c>
      <c r="D2535" s="78" t="n">
        <v>46082</v>
      </c>
      <c r="E2535" t="inlineStr">
        <is>
          <t>Q4FY26</t>
        </is>
      </c>
      <c r="F2535" t="inlineStr">
        <is>
          <t>26-Dec-2028</t>
        </is>
      </c>
      <c r="G2535" t="inlineStr">
        <is>
          <t>Tuesday</t>
        </is>
      </c>
      <c r="H2535" t="inlineStr">
        <is>
          <t>Monthly - Tuesday</t>
        </is>
      </c>
      <c r="I2535" t="inlineStr">
        <is>
          <t>Monthly - Tuesday</t>
        </is>
      </c>
      <c r="J2535" t="inlineStr">
        <is>
          <t>Month+33 Expiry</t>
        </is>
      </c>
      <c r="K2535" s="25" t="n">
        <v>9</v>
      </c>
      <c r="L2535" s="26" t="n">
        <v>0.0158</v>
      </c>
      <c r="M2535" s="26" t="n">
        <v>0.0009</v>
      </c>
    </row>
    <row r="2536" ht="16" customHeight="1">
      <c r="A2536" t="inlineStr">
        <is>
          <t>24-Mar-2026</t>
        </is>
      </c>
      <c r="B2536" t="inlineStr">
        <is>
          <t>Tuesday</t>
        </is>
      </c>
      <c r="C2536" t="inlineStr">
        <is>
          <t>Week4-Mar-2026</t>
        </is>
      </c>
      <c r="D2536" s="78" t="n">
        <v>46082</v>
      </c>
      <c r="E2536" t="inlineStr">
        <is>
          <t>Q4FY26</t>
        </is>
      </c>
      <c r="F2536" t="inlineStr">
        <is>
          <t>26-Jun-2029</t>
        </is>
      </c>
      <c r="G2536" t="inlineStr">
        <is>
          <t>Tuesday</t>
        </is>
      </c>
      <c r="H2536" t="inlineStr">
        <is>
          <t>Monthly - Tuesday</t>
        </is>
      </c>
      <c r="I2536" t="inlineStr">
        <is>
          <t>Monthly - Tuesday</t>
        </is>
      </c>
      <c r="J2536" t="inlineStr">
        <is>
          <t>Month+39 Expiry</t>
        </is>
      </c>
      <c r="K2536" s="25" t="n">
        <v>0</v>
      </c>
      <c r="L2536" s="26" t="n">
        <v>0</v>
      </c>
      <c r="M2536" s="26" t="n">
        <v>0</v>
      </c>
    </row>
    <row r="2537" ht="16" customHeight="1">
      <c r="A2537" t="inlineStr">
        <is>
          <t>24-Mar-2026</t>
        </is>
      </c>
      <c r="B2537" t="inlineStr">
        <is>
          <t>Tuesday</t>
        </is>
      </c>
      <c r="C2537" t="inlineStr">
        <is>
          <t>Week4-Mar-2026</t>
        </is>
      </c>
      <c r="D2537" s="78" t="n">
        <v>46082</v>
      </c>
      <c r="E2537" t="inlineStr">
        <is>
          <t>Q4FY26</t>
        </is>
      </c>
      <c r="F2537" t="inlineStr">
        <is>
          <t>24-Dec-2029</t>
        </is>
      </c>
      <c r="G2537" t="inlineStr">
        <is>
          <t>Monday</t>
        </is>
      </c>
      <c r="H2537" t="inlineStr">
        <is>
          <t>Weekly - Monday</t>
        </is>
      </c>
      <c r="I2537" t="inlineStr">
        <is>
          <t>Weekly - Monday</t>
        </is>
      </c>
      <c r="J2537" t="inlineStr">
        <is>
          <t>Month+45 Expiry</t>
        </is>
      </c>
      <c r="K2537" s="25" t="n">
        <v>0</v>
      </c>
      <c r="L2537" s="26" t="n">
        <v>0</v>
      </c>
      <c r="M2537" s="26" t="n">
        <v>0</v>
      </c>
    </row>
    <row r="2538" ht="16" customHeight="1">
      <c r="A2538" t="inlineStr">
        <is>
          <t>24-Mar-2026</t>
        </is>
      </c>
      <c r="B2538" t="inlineStr">
        <is>
          <t>Tuesday</t>
        </is>
      </c>
      <c r="C2538" t="inlineStr">
        <is>
          <t>Week4-Mar-2026</t>
        </is>
      </c>
      <c r="D2538" s="78" t="n">
        <v>46082</v>
      </c>
      <c r="E2538" t="inlineStr">
        <is>
          <t>Q4FY26</t>
        </is>
      </c>
      <c r="F2538" t="inlineStr">
        <is>
          <t>25-Jun-2030</t>
        </is>
      </c>
      <c r="G2538" t="inlineStr">
        <is>
          <t>Tuesday</t>
        </is>
      </c>
      <c r="H2538" t="inlineStr">
        <is>
          <t>Monthly - Tuesday</t>
        </is>
      </c>
      <c r="I2538" t="inlineStr">
        <is>
          <t>Monthly - Tuesday</t>
        </is>
      </c>
      <c r="J2538" t="inlineStr">
        <is>
          <t>Month+51 Expiry</t>
        </is>
      </c>
      <c r="K2538" s="25" t="n">
        <v>0</v>
      </c>
      <c r="L2538" s="26" t="n">
        <v>0</v>
      </c>
      <c r="M2538" s="26" t="n">
        <v>0</v>
      </c>
    </row>
    <row r="2539" ht="16" customHeight="1">
      <c r="A2539" t="inlineStr">
        <is>
          <t>24-Mar-2026</t>
        </is>
      </c>
      <c r="B2539" t="inlineStr">
        <is>
          <t>Tuesday</t>
        </is>
      </c>
      <c r="C2539" t="inlineStr">
        <is>
          <t>Week4-Mar-2026</t>
        </is>
      </c>
      <c r="D2539" s="78" t="n">
        <v>46082</v>
      </c>
      <c r="E2539" t="inlineStr">
        <is>
          <t>Q4FY26</t>
        </is>
      </c>
      <c r="F2539" t="inlineStr">
        <is>
          <t>31-Dec-2030</t>
        </is>
      </c>
      <c r="G2539" t="inlineStr">
        <is>
          <t>Tuesday</t>
        </is>
      </c>
      <c r="H2539" t="inlineStr">
        <is>
          <t>Monthly - Tuesday</t>
        </is>
      </c>
      <c r="I2539" t="inlineStr">
        <is>
          <t>Monthly - Tuesday</t>
        </is>
      </c>
      <c r="J2539" t="inlineStr">
        <is>
          <t>Month+57 Expiry</t>
        </is>
      </c>
      <c r="K2539" s="25" t="n">
        <v>0</v>
      </c>
      <c r="L2539" s="26" t="n">
        <v>0</v>
      </c>
      <c r="M2539" s="26" t="n">
        <v>0</v>
      </c>
    </row>
    <row r="2540" ht="16" customHeight="1">
      <c r="A2540" t="inlineStr">
        <is>
          <t>25-Mar-2026</t>
        </is>
      </c>
      <c r="B2540" t="inlineStr">
        <is>
          <t>Wednesday</t>
        </is>
      </c>
      <c r="C2540" t="inlineStr">
        <is>
          <t>Week4-Mar-2026</t>
        </is>
      </c>
      <c r="D2540" s="78" t="n">
        <v>46082</v>
      </c>
      <c r="E2540" t="inlineStr">
        <is>
          <t>Q4FY26</t>
        </is>
      </c>
      <c r="F2540" t="inlineStr">
        <is>
          <t>30-Mar-2026</t>
        </is>
      </c>
      <c r="G2540" t="inlineStr">
        <is>
          <t>Monday</t>
        </is>
      </c>
      <c r="H2540" t="inlineStr">
        <is>
          <t>Monthly - Monday</t>
        </is>
      </c>
      <c r="I2540" t="inlineStr">
        <is>
          <t>MDAW - Monday</t>
        </is>
      </c>
      <c r="J2540" t="inlineStr">
        <is>
          <t>Same Month Expiry</t>
        </is>
      </c>
      <c r="K2540" s="25" t="n">
        <v>38576219</v>
      </c>
      <c r="L2540" s="26" t="n">
        <v>58820.7377</v>
      </c>
      <c r="M2540" s="26" t="n">
        <v>389.4964</v>
      </c>
    </row>
    <row r="2541" ht="16" customHeight="1">
      <c r="A2541" t="inlineStr">
        <is>
          <t>25-Mar-2026</t>
        </is>
      </c>
      <c r="B2541" t="inlineStr">
        <is>
          <t>Wednesday</t>
        </is>
      </c>
      <c r="C2541" t="inlineStr">
        <is>
          <t>Week4-Mar-2026</t>
        </is>
      </c>
      <c r="D2541" s="78" t="n">
        <v>46082</v>
      </c>
      <c r="E2541" t="inlineStr">
        <is>
          <t>Q4FY26</t>
        </is>
      </c>
      <c r="F2541" t="inlineStr">
        <is>
          <t>07-Apr-2026</t>
        </is>
      </c>
      <c r="G2541" t="inlineStr">
        <is>
          <t>Tuesday</t>
        </is>
      </c>
      <c r="H2541" t="inlineStr">
        <is>
          <t>Weekly - Tuesday</t>
        </is>
      </c>
      <c r="I2541" t="inlineStr">
        <is>
          <t>Weekly - Tuesday</t>
        </is>
      </c>
      <c r="J2541" t="inlineStr">
        <is>
          <t>Month+1 Expiry</t>
        </is>
      </c>
      <c r="K2541" s="25" t="n">
        <v>1416084</v>
      </c>
      <c r="L2541" s="26" t="n">
        <v>2183.6055</v>
      </c>
      <c r="M2541" s="26" t="n">
        <v>22.9247</v>
      </c>
    </row>
    <row r="2542" ht="16" customHeight="1">
      <c r="A2542" t="inlineStr">
        <is>
          <t>25-Mar-2026</t>
        </is>
      </c>
      <c r="B2542" t="inlineStr">
        <is>
          <t>Wednesday</t>
        </is>
      </c>
      <c r="C2542" t="inlineStr">
        <is>
          <t>Week4-Mar-2026</t>
        </is>
      </c>
      <c r="D2542" s="78" t="n">
        <v>46082</v>
      </c>
      <c r="E2542" t="inlineStr">
        <is>
          <t>Q4FY26</t>
        </is>
      </c>
      <c r="F2542" t="inlineStr">
        <is>
          <t>13-Apr-2026</t>
        </is>
      </c>
      <c r="G2542" t="inlineStr">
        <is>
          <t>Monday</t>
        </is>
      </c>
      <c r="H2542" t="inlineStr">
        <is>
          <t>Weekly - Monday</t>
        </is>
      </c>
      <c r="I2542" t="inlineStr">
        <is>
          <t>Weekly - Monday</t>
        </is>
      </c>
      <c r="J2542" t="inlineStr">
        <is>
          <t>Month+1 Expiry</t>
        </is>
      </c>
      <c r="K2542" s="25" t="n">
        <v>80591</v>
      </c>
      <c r="L2542" s="26" t="n">
        <v>126.4413</v>
      </c>
      <c r="M2542" s="26" t="n">
        <v>1.6157</v>
      </c>
    </row>
    <row r="2543" ht="16" customHeight="1">
      <c r="A2543" t="inlineStr">
        <is>
          <t>25-Mar-2026</t>
        </is>
      </c>
      <c r="B2543" t="inlineStr">
        <is>
          <t>Wednesday</t>
        </is>
      </c>
      <c r="C2543" t="inlineStr">
        <is>
          <t>Week4-Mar-2026</t>
        </is>
      </c>
      <c r="D2543" s="78" t="n">
        <v>46082</v>
      </c>
      <c r="E2543" t="inlineStr">
        <is>
          <t>Q4FY26</t>
        </is>
      </c>
      <c r="F2543" t="inlineStr">
        <is>
          <t>21-Apr-2026</t>
        </is>
      </c>
      <c r="G2543" t="inlineStr">
        <is>
          <t>Tuesday</t>
        </is>
      </c>
      <c r="H2543" t="inlineStr">
        <is>
          <t>Weekly - Tuesday</t>
        </is>
      </c>
      <c r="I2543" t="inlineStr">
        <is>
          <t>Weekly - Tuesday</t>
        </is>
      </c>
      <c r="J2543" t="inlineStr">
        <is>
          <t>Month+1 Expiry</t>
        </is>
      </c>
      <c r="K2543" s="25" t="n">
        <v>10545</v>
      </c>
      <c r="L2543" s="26" t="n">
        <v>16.4531</v>
      </c>
      <c r="M2543" s="26" t="n">
        <v>0.3181</v>
      </c>
    </row>
    <row r="2544" ht="16" customHeight="1">
      <c r="A2544" t="inlineStr">
        <is>
          <t>25-Mar-2026</t>
        </is>
      </c>
      <c r="B2544" t="inlineStr">
        <is>
          <t>Wednesday</t>
        </is>
      </c>
      <c r="C2544" t="inlineStr">
        <is>
          <t>Week4-Mar-2026</t>
        </is>
      </c>
      <c r="D2544" s="78" t="n">
        <v>46082</v>
      </c>
      <c r="E2544" t="inlineStr">
        <is>
          <t>Q4FY26</t>
        </is>
      </c>
      <c r="F2544" t="inlineStr">
        <is>
          <t>28-Apr-2026</t>
        </is>
      </c>
      <c r="G2544" t="inlineStr">
        <is>
          <t>Tuesday</t>
        </is>
      </c>
      <c r="H2544" t="inlineStr">
        <is>
          <t>Monthly - Tuesday</t>
        </is>
      </c>
      <c r="I2544" t="inlineStr">
        <is>
          <t>Monthly - Tuesday</t>
        </is>
      </c>
      <c r="J2544" t="inlineStr">
        <is>
          <t>Month+1 Expiry</t>
        </is>
      </c>
      <c r="K2544" s="25" t="n">
        <v>954300</v>
      </c>
      <c r="L2544" s="26" t="n">
        <v>1502.2874</v>
      </c>
      <c r="M2544" s="26" t="n">
        <v>26.1904</v>
      </c>
    </row>
    <row r="2545" ht="16" customHeight="1">
      <c r="A2545" t="inlineStr">
        <is>
          <t>25-Mar-2026</t>
        </is>
      </c>
      <c r="B2545" t="inlineStr">
        <is>
          <t>Wednesday</t>
        </is>
      </c>
      <c r="C2545" t="inlineStr">
        <is>
          <t>Week4-Mar-2026</t>
        </is>
      </c>
      <c r="D2545" s="78" t="n">
        <v>46082</v>
      </c>
      <c r="E2545" t="inlineStr">
        <is>
          <t>Q4FY26</t>
        </is>
      </c>
      <c r="F2545" t="inlineStr">
        <is>
          <t>05-May-2026</t>
        </is>
      </c>
      <c r="G2545" t="inlineStr">
        <is>
          <t>Tuesday</t>
        </is>
      </c>
      <c r="H2545" t="inlineStr">
        <is>
          <t>Weekly - Tuesday</t>
        </is>
      </c>
      <c r="I2545" t="inlineStr">
        <is>
          <t>Weekly - Tuesday</t>
        </is>
      </c>
      <c r="J2545" t="inlineStr">
        <is>
          <t>Month+2 Expiry</t>
        </is>
      </c>
      <c r="K2545" s="25" t="n">
        <v>20</v>
      </c>
      <c r="L2545" s="26" t="n">
        <v>0.0316</v>
      </c>
      <c r="M2545" s="26" t="n">
        <v>0.0009</v>
      </c>
    </row>
    <row r="2546" ht="16" customHeight="1">
      <c r="A2546" t="inlineStr">
        <is>
          <t>25-Mar-2026</t>
        </is>
      </c>
      <c r="B2546" t="inlineStr">
        <is>
          <t>Wednesday</t>
        </is>
      </c>
      <c r="C2546" t="inlineStr">
        <is>
          <t>Week4-Mar-2026</t>
        </is>
      </c>
      <c r="D2546" s="78" t="n">
        <v>46082</v>
      </c>
      <c r="E2546" t="inlineStr">
        <is>
          <t>Q4FY26</t>
        </is>
      </c>
      <c r="F2546" t="inlineStr">
        <is>
          <t>26-May-2026</t>
        </is>
      </c>
      <c r="G2546" t="inlineStr">
        <is>
          <t>Tuesday</t>
        </is>
      </c>
      <c r="H2546" t="inlineStr">
        <is>
          <t>Monthly - Tuesday</t>
        </is>
      </c>
      <c r="I2546" t="inlineStr">
        <is>
          <t>Monthly - Tuesday</t>
        </is>
      </c>
      <c r="J2546" t="inlineStr">
        <is>
          <t>Month+2 Expiry</t>
        </is>
      </c>
      <c r="K2546" s="25" t="n">
        <v>108189</v>
      </c>
      <c r="L2546" s="26" t="n">
        <v>172.8264</v>
      </c>
      <c r="M2546" s="26" t="n">
        <v>3.6379</v>
      </c>
    </row>
    <row r="2547" ht="16" customHeight="1">
      <c r="A2547" t="inlineStr">
        <is>
          <t>25-Mar-2026</t>
        </is>
      </c>
      <c r="B2547" t="inlineStr">
        <is>
          <t>Wednesday</t>
        </is>
      </c>
      <c r="C2547" t="inlineStr">
        <is>
          <t>Week4-Mar-2026</t>
        </is>
      </c>
      <c r="D2547" s="78" t="n">
        <v>46082</v>
      </c>
      <c r="E2547" t="inlineStr">
        <is>
          <t>Q4FY26</t>
        </is>
      </c>
      <c r="F2547" t="inlineStr">
        <is>
          <t>30-Jun-2026</t>
        </is>
      </c>
      <c r="G2547" t="inlineStr">
        <is>
          <t>Tuesday</t>
        </is>
      </c>
      <c r="H2547" t="inlineStr">
        <is>
          <t>Monthly - Tuesday</t>
        </is>
      </c>
      <c r="I2547" t="inlineStr">
        <is>
          <t>Monthly - Tuesday</t>
        </is>
      </c>
      <c r="J2547" t="inlineStr">
        <is>
          <t>Month+3 Expiry</t>
        </is>
      </c>
      <c r="K2547" s="25" t="n">
        <v>145380</v>
      </c>
      <c r="L2547" s="26" t="n">
        <v>230.285</v>
      </c>
      <c r="M2547" s="26" t="n">
        <v>6.5607</v>
      </c>
    </row>
    <row r="2548" ht="16" customHeight="1">
      <c r="A2548" t="inlineStr">
        <is>
          <t>25-Mar-2026</t>
        </is>
      </c>
      <c r="B2548" t="inlineStr">
        <is>
          <t>Wednesday</t>
        </is>
      </c>
      <c r="C2548" t="inlineStr">
        <is>
          <t>Week4-Mar-2026</t>
        </is>
      </c>
      <c r="D2548" s="78" t="n">
        <v>46082</v>
      </c>
      <c r="E2548" t="inlineStr">
        <is>
          <t>Q4FY26</t>
        </is>
      </c>
      <c r="F2548" t="inlineStr">
        <is>
          <t>29-Sep-2026</t>
        </is>
      </c>
      <c r="G2548" t="inlineStr">
        <is>
          <t>Tuesday</t>
        </is>
      </c>
      <c r="H2548" t="inlineStr">
        <is>
          <t>Monthly - Tuesday</t>
        </is>
      </c>
      <c r="I2548" t="inlineStr">
        <is>
          <t>Monthly - Tuesday</t>
        </is>
      </c>
      <c r="J2548" t="inlineStr">
        <is>
          <t>Month+6 Expiry</t>
        </is>
      </c>
      <c r="K2548" s="25" t="n">
        <v>13909</v>
      </c>
      <c r="L2548" s="26" t="n">
        <v>23.1282</v>
      </c>
      <c r="M2548" s="26" t="n">
        <v>0.616</v>
      </c>
    </row>
    <row r="2549" ht="16" customHeight="1">
      <c r="A2549" t="inlineStr">
        <is>
          <t>25-Mar-2026</t>
        </is>
      </c>
      <c r="B2549" t="inlineStr">
        <is>
          <t>Wednesday</t>
        </is>
      </c>
      <c r="C2549" t="inlineStr">
        <is>
          <t>Week4-Mar-2026</t>
        </is>
      </c>
      <c r="D2549" s="78" t="n">
        <v>46082</v>
      </c>
      <c r="E2549" t="inlineStr">
        <is>
          <t>Q4FY26</t>
        </is>
      </c>
      <c r="F2549" t="inlineStr">
        <is>
          <t>29-Dec-2026</t>
        </is>
      </c>
      <c r="G2549" t="inlineStr">
        <is>
          <t>Tuesday</t>
        </is>
      </c>
      <c r="H2549" t="inlineStr">
        <is>
          <t>Monthly - Tuesday</t>
        </is>
      </c>
      <c r="I2549" t="inlineStr">
        <is>
          <t>Monthly - Tuesday</t>
        </is>
      </c>
      <c r="J2549" t="inlineStr">
        <is>
          <t>Month+9 Expiry</t>
        </is>
      </c>
      <c r="K2549" s="25" t="n">
        <v>45436</v>
      </c>
      <c r="L2549" s="26" t="n">
        <v>73.2197</v>
      </c>
      <c r="M2549" s="26" t="n">
        <v>2.1542</v>
      </c>
    </row>
    <row r="2550" ht="16" customHeight="1">
      <c r="A2550" t="inlineStr">
        <is>
          <t>25-Mar-2026</t>
        </is>
      </c>
      <c r="B2550" t="inlineStr">
        <is>
          <t>Wednesday</t>
        </is>
      </c>
      <c r="C2550" t="inlineStr">
        <is>
          <t>Week4-Mar-2026</t>
        </is>
      </c>
      <c r="D2550" s="78" t="n">
        <v>46082</v>
      </c>
      <c r="E2550" t="inlineStr">
        <is>
          <t>Q4FY26</t>
        </is>
      </c>
      <c r="F2550" t="inlineStr">
        <is>
          <t>29-Jun-2027</t>
        </is>
      </c>
      <c r="G2550" t="inlineStr">
        <is>
          <t>Tuesday</t>
        </is>
      </c>
      <c r="H2550" t="inlineStr">
        <is>
          <t>Monthly - Tuesday</t>
        </is>
      </c>
      <c r="I2550" t="inlineStr">
        <is>
          <t>Monthly - Tuesday</t>
        </is>
      </c>
      <c r="J2550" t="inlineStr">
        <is>
          <t>Month+15 Expiry</t>
        </is>
      </c>
      <c r="K2550" s="25" t="n">
        <v>0</v>
      </c>
      <c r="L2550" s="26" t="n">
        <v>0</v>
      </c>
      <c r="M2550" s="26" t="n">
        <v>0</v>
      </c>
    </row>
    <row r="2551" ht="16" customHeight="1">
      <c r="A2551" t="inlineStr">
        <is>
          <t>25-Mar-2026</t>
        </is>
      </c>
      <c r="B2551" t="inlineStr">
        <is>
          <t>Wednesday</t>
        </is>
      </c>
      <c r="C2551" t="inlineStr">
        <is>
          <t>Week4-Mar-2026</t>
        </is>
      </c>
      <c r="D2551" s="78" t="n">
        <v>46082</v>
      </c>
      <c r="E2551" t="inlineStr">
        <is>
          <t>Q4FY26</t>
        </is>
      </c>
      <c r="F2551" t="inlineStr">
        <is>
          <t>28-Dec-2027</t>
        </is>
      </c>
      <c r="G2551" t="inlineStr">
        <is>
          <t>Tuesday</t>
        </is>
      </c>
      <c r="H2551" t="inlineStr">
        <is>
          <t>Monthly - Tuesday</t>
        </is>
      </c>
      <c r="I2551" t="inlineStr">
        <is>
          <t>Monthly - Tuesday</t>
        </is>
      </c>
      <c r="J2551" t="inlineStr">
        <is>
          <t>Month+21 Expiry</t>
        </is>
      </c>
      <c r="K2551" s="25" t="n">
        <v>364</v>
      </c>
      <c r="L2551" s="26" t="n">
        <v>0.5845</v>
      </c>
      <c r="M2551" s="26" t="n">
        <v>0.0299</v>
      </c>
    </row>
    <row r="2552" ht="16" customHeight="1">
      <c r="A2552" t="inlineStr">
        <is>
          <t>25-Mar-2026</t>
        </is>
      </c>
      <c r="B2552" t="inlineStr">
        <is>
          <t>Wednesday</t>
        </is>
      </c>
      <c r="C2552" t="inlineStr">
        <is>
          <t>Week4-Mar-2026</t>
        </is>
      </c>
      <c r="D2552" s="78" t="n">
        <v>46082</v>
      </c>
      <c r="E2552" t="inlineStr">
        <is>
          <t>Q4FY26</t>
        </is>
      </c>
      <c r="F2552" t="inlineStr">
        <is>
          <t>27-Jun-2028</t>
        </is>
      </c>
      <c r="G2552" t="inlineStr">
        <is>
          <t>Tuesday</t>
        </is>
      </c>
      <c r="H2552" t="inlineStr">
        <is>
          <t>Monthly - Tuesday</t>
        </is>
      </c>
      <c r="I2552" t="inlineStr">
        <is>
          <t>Monthly - Tuesday</t>
        </is>
      </c>
      <c r="J2552" t="inlineStr">
        <is>
          <t>Month+27 Expiry</t>
        </is>
      </c>
      <c r="K2552" s="25" t="n">
        <v>3</v>
      </c>
      <c r="L2552" s="26" t="n">
        <v>0.0044</v>
      </c>
      <c r="M2552" s="26" t="n">
        <v>0.0001</v>
      </c>
    </row>
    <row r="2553" ht="16" customHeight="1">
      <c r="A2553" t="inlineStr">
        <is>
          <t>25-Mar-2026</t>
        </is>
      </c>
      <c r="B2553" t="inlineStr">
        <is>
          <t>Wednesday</t>
        </is>
      </c>
      <c r="C2553" t="inlineStr">
        <is>
          <t>Week4-Mar-2026</t>
        </is>
      </c>
      <c r="D2553" s="78" t="n">
        <v>46082</v>
      </c>
      <c r="E2553" t="inlineStr">
        <is>
          <t>Q4FY26</t>
        </is>
      </c>
      <c r="F2553" t="inlineStr">
        <is>
          <t>26-Dec-2028</t>
        </is>
      </c>
      <c r="G2553" t="inlineStr">
        <is>
          <t>Tuesday</t>
        </is>
      </c>
      <c r="H2553" t="inlineStr">
        <is>
          <t>Monthly - Tuesday</t>
        </is>
      </c>
      <c r="I2553" t="inlineStr">
        <is>
          <t>Monthly - Tuesday</t>
        </is>
      </c>
      <c r="J2553" t="inlineStr">
        <is>
          <t>Month+33 Expiry</t>
        </is>
      </c>
      <c r="K2553" s="25" t="n">
        <v>4</v>
      </c>
      <c r="L2553" s="26" t="n">
        <v>0.0067</v>
      </c>
      <c r="M2553" s="26" t="n">
        <v>0.0003</v>
      </c>
    </row>
    <row r="2554" ht="16" customHeight="1">
      <c r="A2554" t="inlineStr">
        <is>
          <t>25-Mar-2026</t>
        </is>
      </c>
      <c r="B2554" t="inlineStr">
        <is>
          <t>Wednesday</t>
        </is>
      </c>
      <c r="C2554" t="inlineStr">
        <is>
          <t>Week4-Mar-2026</t>
        </is>
      </c>
      <c r="D2554" s="78" t="n">
        <v>46082</v>
      </c>
      <c r="E2554" t="inlineStr">
        <is>
          <t>Q4FY26</t>
        </is>
      </c>
      <c r="F2554" t="inlineStr">
        <is>
          <t>26-Jun-2029</t>
        </is>
      </c>
      <c r="G2554" t="inlineStr">
        <is>
          <t>Tuesday</t>
        </is>
      </c>
      <c r="H2554" t="inlineStr">
        <is>
          <t>Monthly - Tuesday</t>
        </is>
      </c>
      <c r="I2554" t="inlineStr">
        <is>
          <t>Monthly - Tuesday</t>
        </is>
      </c>
      <c r="J2554" t="inlineStr">
        <is>
          <t>Month+39 Expiry</t>
        </is>
      </c>
      <c r="K2554" s="25" t="n">
        <v>0</v>
      </c>
      <c r="L2554" s="26" t="n">
        <v>0</v>
      </c>
      <c r="M2554" s="26" t="n">
        <v>0</v>
      </c>
    </row>
    <row r="2555" ht="16" customHeight="1">
      <c r="A2555" t="inlineStr">
        <is>
          <t>25-Mar-2026</t>
        </is>
      </c>
      <c r="B2555" t="inlineStr">
        <is>
          <t>Wednesday</t>
        </is>
      </c>
      <c r="C2555" t="inlineStr">
        <is>
          <t>Week4-Mar-2026</t>
        </is>
      </c>
      <c r="D2555" s="78" t="n">
        <v>46082</v>
      </c>
      <c r="E2555" t="inlineStr">
        <is>
          <t>Q4FY26</t>
        </is>
      </c>
      <c r="F2555" t="inlineStr">
        <is>
          <t>24-Dec-2029</t>
        </is>
      </c>
      <c r="G2555" t="inlineStr">
        <is>
          <t>Monday</t>
        </is>
      </c>
      <c r="H2555" t="inlineStr">
        <is>
          <t>Weekly - Monday</t>
        </is>
      </c>
      <c r="I2555" t="inlineStr">
        <is>
          <t>Weekly - Monday</t>
        </is>
      </c>
      <c r="J2555" t="inlineStr">
        <is>
          <t>Month+45 Expiry</t>
        </is>
      </c>
      <c r="K2555" s="25" t="n">
        <v>0</v>
      </c>
      <c r="L2555" s="26" t="n">
        <v>0</v>
      </c>
      <c r="M2555" s="26" t="n">
        <v>0</v>
      </c>
    </row>
    <row r="2556" ht="16" customHeight="1">
      <c r="A2556" t="inlineStr">
        <is>
          <t>25-Mar-2026</t>
        </is>
      </c>
      <c r="B2556" t="inlineStr">
        <is>
          <t>Wednesday</t>
        </is>
      </c>
      <c r="C2556" t="inlineStr">
        <is>
          <t>Week4-Mar-2026</t>
        </is>
      </c>
      <c r="D2556" s="78" t="n">
        <v>46082</v>
      </c>
      <c r="E2556" t="inlineStr">
        <is>
          <t>Q4FY26</t>
        </is>
      </c>
      <c r="F2556" t="inlineStr">
        <is>
          <t>25-Jun-2030</t>
        </is>
      </c>
      <c r="G2556" t="inlineStr">
        <is>
          <t>Tuesday</t>
        </is>
      </c>
      <c r="H2556" t="inlineStr">
        <is>
          <t>Monthly - Tuesday</t>
        </is>
      </c>
      <c r="I2556" t="inlineStr">
        <is>
          <t>Monthly - Tuesday</t>
        </is>
      </c>
      <c r="J2556" t="inlineStr">
        <is>
          <t>Month+51 Expiry</t>
        </is>
      </c>
      <c r="K2556" s="25" t="n">
        <v>0</v>
      </c>
      <c r="L2556" s="26" t="n">
        <v>0</v>
      </c>
      <c r="M2556" s="26" t="n">
        <v>0</v>
      </c>
    </row>
    <row r="2557" ht="16" customHeight="1">
      <c r="A2557" t="inlineStr">
        <is>
          <t>25-Mar-2026</t>
        </is>
      </c>
      <c r="B2557" t="inlineStr">
        <is>
          <t>Wednesday</t>
        </is>
      </c>
      <c r="C2557" t="inlineStr">
        <is>
          <t>Week4-Mar-2026</t>
        </is>
      </c>
      <c r="D2557" s="78" t="n">
        <v>46082</v>
      </c>
      <c r="E2557" t="inlineStr">
        <is>
          <t>Q4FY26</t>
        </is>
      </c>
      <c r="F2557" t="inlineStr">
        <is>
          <t>31-Dec-2030</t>
        </is>
      </c>
      <c r="G2557" t="inlineStr">
        <is>
          <t>Tuesday</t>
        </is>
      </c>
      <c r="H2557" t="inlineStr">
        <is>
          <t>Monthly - Tuesday</t>
        </is>
      </c>
      <c r="I2557" t="inlineStr">
        <is>
          <t>Monthly - Tuesday</t>
        </is>
      </c>
      <c r="J2557" t="inlineStr">
        <is>
          <t>Month+57 Expiry</t>
        </is>
      </c>
      <c r="K2557" s="25" t="n">
        <v>0</v>
      </c>
      <c r="L2557" s="26" t="n">
        <v>0</v>
      </c>
      <c r="M2557" s="26" t="n">
        <v>0</v>
      </c>
    </row>
    <row r="2558" ht="16" customHeight="1">
      <c r="A2558" t="inlineStr">
        <is>
          <t>27-Mar-2026</t>
        </is>
      </c>
      <c r="B2558" t="inlineStr">
        <is>
          <t>Friday</t>
        </is>
      </c>
      <c r="C2558" t="inlineStr">
        <is>
          <t>Week4-Mar-2026</t>
        </is>
      </c>
      <c r="D2558" s="78" t="n">
        <v>46082</v>
      </c>
      <c r="E2558" t="inlineStr">
        <is>
          <t>Q4FY26</t>
        </is>
      </c>
      <c r="F2558" t="inlineStr">
        <is>
          <t>30-Mar-2026</t>
        </is>
      </c>
      <c r="G2558" t="inlineStr">
        <is>
          <t>Monday</t>
        </is>
      </c>
      <c r="H2558" t="inlineStr">
        <is>
          <t>Monthly - Monday</t>
        </is>
      </c>
      <c r="I2558" t="inlineStr">
        <is>
          <t>MDAW - Monday</t>
        </is>
      </c>
      <c r="J2558" t="inlineStr">
        <is>
          <t>Same Month Expiry</t>
        </is>
      </c>
      <c r="K2558" s="25" t="n">
        <v>78247656</v>
      </c>
      <c r="L2558" s="26" t="n">
        <v>117342.6335</v>
      </c>
      <c r="M2558" s="26" t="n">
        <v>623.9261</v>
      </c>
    </row>
    <row r="2559" ht="16" customHeight="1">
      <c r="A2559" t="inlineStr">
        <is>
          <t>27-Mar-2026</t>
        </is>
      </c>
      <c r="B2559" t="inlineStr">
        <is>
          <t>Friday</t>
        </is>
      </c>
      <c r="C2559" t="inlineStr">
        <is>
          <t>Week4-Mar-2026</t>
        </is>
      </c>
      <c r="D2559" s="78" t="n">
        <v>46082</v>
      </c>
      <c r="E2559" t="inlineStr">
        <is>
          <t>Q4FY26</t>
        </is>
      </c>
      <c r="F2559" t="inlineStr">
        <is>
          <t>07-Apr-2026</t>
        </is>
      </c>
      <c r="G2559" t="inlineStr">
        <is>
          <t>Tuesday</t>
        </is>
      </c>
      <c r="H2559" t="inlineStr">
        <is>
          <t>Weekly - Tuesday</t>
        </is>
      </c>
      <c r="I2559" t="inlineStr">
        <is>
          <t>Weekly - Tuesday</t>
        </is>
      </c>
      <c r="J2559" t="inlineStr">
        <is>
          <t>Month+1 Expiry</t>
        </is>
      </c>
      <c r="K2559" s="25" t="n">
        <v>2511092</v>
      </c>
      <c r="L2559" s="26" t="n">
        <v>3843.8182</v>
      </c>
      <c r="M2559" s="26" t="n">
        <v>42.3738</v>
      </c>
    </row>
    <row r="2560" ht="16" customHeight="1">
      <c r="A2560" t="inlineStr">
        <is>
          <t>27-Mar-2026</t>
        </is>
      </c>
      <c r="B2560" t="inlineStr">
        <is>
          <t>Friday</t>
        </is>
      </c>
      <c r="C2560" t="inlineStr">
        <is>
          <t>Week4-Mar-2026</t>
        </is>
      </c>
      <c r="D2560" s="78" t="n">
        <v>46082</v>
      </c>
      <c r="E2560" t="inlineStr">
        <is>
          <t>Q4FY26</t>
        </is>
      </c>
      <c r="F2560" t="inlineStr">
        <is>
          <t>13-Apr-2026</t>
        </is>
      </c>
      <c r="G2560" t="inlineStr">
        <is>
          <t>Monday</t>
        </is>
      </c>
      <c r="H2560" t="inlineStr">
        <is>
          <t>Weekly - Monday</t>
        </is>
      </c>
      <c r="I2560" t="inlineStr">
        <is>
          <t>Weekly - Monday</t>
        </is>
      </c>
      <c r="J2560" t="inlineStr">
        <is>
          <t>Month+1 Expiry</t>
        </is>
      </c>
      <c r="K2560" s="25" t="n">
        <v>115937</v>
      </c>
      <c r="L2560" s="26" t="n">
        <v>180.8707</v>
      </c>
      <c r="M2560" s="26" t="n">
        <v>2.7046</v>
      </c>
    </row>
    <row r="2561" ht="16" customHeight="1">
      <c r="A2561" t="inlineStr">
        <is>
          <t>27-Mar-2026</t>
        </is>
      </c>
      <c r="B2561" t="inlineStr">
        <is>
          <t>Friday</t>
        </is>
      </c>
      <c r="C2561" t="inlineStr">
        <is>
          <t>Week4-Mar-2026</t>
        </is>
      </c>
      <c r="D2561" s="78" t="n">
        <v>46082</v>
      </c>
      <c r="E2561" t="inlineStr">
        <is>
          <t>Q4FY26</t>
        </is>
      </c>
      <c r="F2561" t="inlineStr">
        <is>
          <t>21-Apr-2026</t>
        </is>
      </c>
      <c r="G2561" t="inlineStr">
        <is>
          <t>Tuesday</t>
        </is>
      </c>
      <c r="H2561" t="inlineStr">
        <is>
          <t>Weekly - Tuesday</t>
        </is>
      </c>
      <c r="I2561" t="inlineStr">
        <is>
          <t>Weekly - Tuesday</t>
        </is>
      </c>
      <c r="J2561" t="inlineStr">
        <is>
          <t>Month+1 Expiry</t>
        </is>
      </c>
      <c r="K2561" s="25" t="n">
        <v>20765</v>
      </c>
      <c r="L2561" s="26" t="n">
        <v>32.0685</v>
      </c>
      <c r="M2561" s="26" t="n">
        <v>0.7524</v>
      </c>
    </row>
    <row r="2562" ht="16" customHeight="1">
      <c r="A2562" t="inlineStr">
        <is>
          <t>27-Mar-2026</t>
        </is>
      </c>
      <c r="B2562" t="inlineStr">
        <is>
          <t>Friday</t>
        </is>
      </c>
      <c r="C2562" t="inlineStr">
        <is>
          <t>Week4-Mar-2026</t>
        </is>
      </c>
      <c r="D2562" s="78" t="n">
        <v>46082</v>
      </c>
      <c r="E2562" t="inlineStr">
        <is>
          <t>Q4FY26</t>
        </is>
      </c>
      <c r="F2562" t="inlineStr">
        <is>
          <t>28-Apr-2026</t>
        </is>
      </c>
      <c r="G2562" t="inlineStr">
        <is>
          <t>Tuesday</t>
        </is>
      </c>
      <c r="H2562" t="inlineStr">
        <is>
          <t>Monthly - Tuesday</t>
        </is>
      </c>
      <c r="I2562" t="inlineStr">
        <is>
          <t>Monthly - Tuesday</t>
        </is>
      </c>
      <c r="J2562" t="inlineStr">
        <is>
          <t>Month+1 Expiry</t>
        </is>
      </c>
      <c r="K2562" s="25" t="n">
        <v>1006775</v>
      </c>
      <c r="L2562" s="26" t="n">
        <v>1582.9158</v>
      </c>
      <c r="M2562" s="26" t="n">
        <v>39.1502</v>
      </c>
    </row>
    <row r="2563" ht="16" customHeight="1">
      <c r="A2563" t="inlineStr">
        <is>
          <t>27-Mar-2026</t>
        </is>
      </c>
      <c r="B2563" t="inlineStr">
        <is>
          <t>Friday</t>
        </is>
      </c>
      <c r="C2563" t="inlineStr">
        <is>
          <t>Week4-Mar-2026</t>
        </is>
      </c>
      <c r="D2563" s="78" t="n">
        <v>46082</v>
      </c>
      <c r="E2563" t="inlineStr">
        <is>
          <t>Q4FY26</t>
        </is>
      </c>
      <c r="F2563" t="inlineStr">
        <is>
          <t>05-May-2026</t>
        </is>
      </c>
      <c r="G2563" t="inlineStr">
        <is>
          <t>Tuesday</t>
        </is>
      </c>
      <c r="H2563" t="inlineStr">
        <is>
          <t>Weekly - Tuesday</t>
        </is>
      </c>
      <c r="I2563" t="inlineStr">
        <is>
          <t>Weekly - Tuesday</t>
        </is>
      </c>
      <c r="J2563" t="inlineStr">
        <is>
          <t>Month+2 Expiry</t>
        </is>
      </c>
      <c r="K2563" s="25" t="n">
        <v>26</v>
      </c>
      <c r="L2563" s="26" t="n">
        <v>0.041</v>
      </c>
      <c r="M2563" s="26" t="n">
        <v>0.0012</v>
      </c>
    </row>
    <row r="2564" ht="16" customHeight="1">
      <c r="A2564" t="inlineStr">
        <is>
          <t>27-Mar-2026</t>
        </is>
      </c>
      <c r="B2564" t="inlineStr">
        <is>
          <t>Friday</t>
        </is>
      </c>
      <c r="C2564" t="inlineStr">
        <is>
          <t>Week4-Mar-2026</t>
        </is>
      </c>
      <c r="D2564" s="78" t="n">
        <v>46082</v>
      </c>
      <c r="E2564" t="inlineStr">
        <is>
          <t>Q4FY26</t>
        </is>
      </c>
      <c r="F2564" t="inlineStr">
        <is>
          <t>26-May-2026</t>
        </is>
      </c>
      <c r="G2564" t="inlineStr">
        <is>
          <t>Tuesday</t>
        </is>
      </c>
      <c r="H2564" t="inlineStr">
        <is>
          <t>Monthly - Tuesday</t>
        </is>
      </c>
      <c r="I2564" t="inlineStr">
        <is>
          <t>Monthly - Tuesday</t>
        </is>
      </c>
      <c r="J2564" t="inlineStr">
        <is>
          <t>Month+2 Expiry</t>
        </is>
      </c>
      <c r="K2564" s="25" t="n">
        <v>90091</v>
      </c>
      <c r="L2564" s="26" t="n">
        <v>142.9437</v>
      </c>
      <c r="M2564" s="26" t="n">
        <v>2.8102</v>
      </c>
    </row>
    <row r="2565" ht="16" customHeight="1">
      <c r="A2565" t="inlineStr">
        <is>
          <t>27-Mar-2026</t>
        </is>
      </c>
      <c r="B2565" t="inlineStr">
        <is>
          <t>Friday</t>
        </is>
      </c>
      <c r="C2565" t="inlineStr">
        <is>
          <t>Week4-Mar-2026</t>
        </is>
      </c>
      <c r="D2565" s="78" t="n">
        <v>46082</v>
      </c>
      <c r="E2565" t="inlineStr">
        <is>
          <t>Q4FY26</t>
        </is>
      </c>
      <c r="F2565" t="inlineStr">
        <is>
          <t>30-Jun-2026</t>
        </is>
      </c>
      <c r="G2565" t="inlineStr">
        <is>
          <t>Tuesday</t>
        </is>
      </c>
      <c r="H2565" t="inlineStr">
        <is>
          <t>Monthly - Tuesday</t>
        </is>
      </c>
      <c r="I2565" t="inlineStr">
        <is>
          <t>Monthly - Tuesday</t>
        </is>
      </c>
      <c r="J2565" t="inlineStr">
        <is>
          <t>Month+3 Expiry</t>
        </is>
      </c>
      <c r="K2565" s="25" t="n">
        <v>154867</v>
      </c>
      <c r="L2565" s="26" t="n">
        <v>244.3553</v>
      </c>
      <c r="M2565" s="26" t="n">
        <v>9.1143</v>
      </c>
    </row>
    <row r="2566" ht="16" customHeight="1">
      <c r="A2566" t="inlineStr">
        <is>
          <t>27-Mar-2026</t>
        </is>
      </c>
      <c r="B2566" t="inlineStr">
        <is>
          <t>Friday</t>
        </is>
      </c>
      <c r="C2566" t="inlineStr">
        <is>
          <t>Week4-Mar-2026</t>
        </is>
      </c>
      <c r="D2566" s="78" t="n">
        <v>46082</v>
      </c>
      <c r="E2566" t="inlineStr">
        <is>
          <t>Q4FY26</t>
        </is>
      </c>
      <c r="F2566" t="inlineStr">
        <is>
          <t>29-Sep-2026</t>
        </is>
      </c>
      <c r="G2566" t="inlineStr">
        <is>
          <t>Tuesday</t>
        </is>
      </c>
      <c r="H2566" t="inlineStr">
        <is>
          <t>Monthly - Tuesday</t>
        </is>
      </c>
      <c r="I2566" t="inlineStr">
        <is>
          <t>Monthly - Tuesday</t>
        </is>
      </c>
      <c r="J2566" t="inlineStr">
        <is>
          <t>Month+6 Expiry</t>
        </is>
      </c>
      <c r="K2566" s="25" t="n">
        <v>17714</v>
      </c>
      <c r="L2566" s="26" t="n">
        <v>29.1407</v>
      </c>
      <c r="M2566" s="26" t="n">
        <v>0.6626</v>
      </c>
    </row>
    <row r="2567" ht="16" customHeight="1">
      <c r="A2567" t="inlineStr">
        <is>
          <t>27-Mar-2026</t>
        </is>
      </c>
      <c r="B2567" t="inlineStr">
        <is>
          <t>Friday</t>
        </is>
      </c>
      <c r="C2567" t="inlineStr">
        <is>
          <t>Week4-Mar-2026</t>
        </is>
      </c>
      <c r="D2567" s="78" t="n">
        <v>46082</v>
      </c>
      <c r="E2567" t="inlineStr">
        <is>
          <t>Q4FY26</t>
        </is>
      </c>
      <c r="F2567" t="inlineStr">
        <is>
          <t>29-Dec-2026</t>
        </is>
      </c>
      <c r="G2567" t="inlineStr">
        <is>
          <t>Tuesday</t>
        </is>
      </c>
      <c r="H2567" t="inlineStr">
        <is>
          <t>Monthly - Tuesday</t>
        </is>
      </c>
      <c r="I2567" t="inlineStr">
        <is>
          <t>Monthly - Tuesday</t>
        </is>
      </c>
      <c r="J2567" t="inlineStr">
        <is>
          <t>Month+9 Expiry</t>
        </is>
      </c>
      <c r="K2567" s="25" t="n">
        <v>41602</v>
      </c>
      <c r="L2567" s="26" t="n">
        <v>67.12479999999999</v>
      </c>
      <c r="M2567" s="26" t="n">
        <v>2.1868</v>
      </c>
    </row>
    <row r="2568" ht="16" customHeight="1">
      <c r="A2568" t="inlineStr">
        <is>
          <t>27-Mar-2026</t>
        </is>
      </c>
      <c r="B2568" t="inlineStr">
        <is>
          <t>Friday</t>
        </is>
      </c>
      <c r="C2568" t="inlineStr">
        <is>
          <t>Week4-Mar-2026</t>
        </is>
      </c>
      <c r="D2568" s="78" t="n">
        <v>46082</v>
      </c>
      <c r="E2568" t="inlineStr">
        <is>
          <t>Q4FY26</t>
        </is>
      </c>
      <c r="F2568" t="inlineStr">
        <is>
          <t>29-Jun-2027</t>
        </is>
      </c>
      <c r="G2568" t="inlineStr">
        <is>
          <t>Tuesday</t>
        </is>
      </c>
      <c r="H2568" t="inlineStr">
        <is>
          <t>Monthly - Tuesday</t>
        </is>
      </c>
      <c r="I2568" t="inlineStr">
        <is>
          <t>Monthly - Tuesday</t>
        </is>
      </c>
      <c r="J2568" t="inlineStr">
        <is>
          <t>Month+15 Expiry</t>
        </is>
      </c>
      <c r="K2568" s="25" t="n">
        <v>2</v>
      </c>
      <c r="L2568" s="26" t="n">
        <v>0.0028</v>
      </c>
      <c r="M2568" s="26" t="n">
        <v>0.0001</v>
      </c>
    </row>
    <row r="2569" ht="16" customHeight="1">
      <c r="A2569" t="inlineStr">
        <is>
          <t>27-Mar-2026</t>
        </is>
      </c>
      <c r="B2569" t="inlineStr">
        <is>
          <t>Friday</t>
        </is>
      </c>
      <c r="C2569" t="inlineStr">
        <is>
          <t>Week4-Mar-2026</t>
        </is>
      </c>
      <c r="D2569" s="78" t="n">
        <v>46082</v>
      </c>
      <c r="E2569" t="inlineStr">
        <is>
          <t>Q4FY26</t>
        </is>
      </c>
      <c r="F2569" t="inlineStr">
        <is>
          <t>28-Dec-2027</t>
        </is>
      </c>
      <c r="G2569" t="inlineStr">
        <is>
          <t>Tuesday</t>
        </is>
      </c>
      <c r="H2569" t="inlineStr">
        <is>
          <t>Monthly - Tuesday</t>
        </is>
      </c>
      <c r="I2569" t="inlineStr">
        <is>
          <t>Monthly - Tuesday</t>
        </is>
      </c>
      <c r="J2569" t="inlineStr">
        <is>
          <t>Month+21 Expiry</t>
        </is>
      </c>
      <c r="K2569" s="25" t="n">
        <v>319</v>
      </c>
      <c r="L2569" s="26" t="n">
        <v>0.5155999999999999</v>
      </c>
      <c r="M2569" s="26" t="n">
        <v>0.0289</v>
      </c>
    </row>
    <row r="2570" ht="16" customHeight="1">
      <c r="A2570" t="inlineStr">
        <is>
          <t>27-Mar-2026</t>
        </is>
      </c>
      <c r="B2570" t="inlineStr">
        <is>
          <t>Friday</t>
        </is>
      </c>
      <c r="C2570" t="inlineStr">
        <is>
          <t>Week4-Mar-2026</t>
        </is>
      </c>
      <c r="D2570" s="78" t="n">
        <v>46082</v>
      </c>
      <c r="E2570" t="inlineStr">
        <is>
          <t>Q4FY26</t>
        </is>
      </c>
      <c r="F2570" t="inlineStr">
        <is>
          <t>27-Jun-2028</t>
        </is>
      </c>
      <c r="G2570" t="inlineStr">
        <is>
          <t>Tuesday</t>
        </is>
      </c>
      <c r="H2570" t="inlineStr">
        <is>
          <t>Monthly - Tuesday</t>
        </is>
      </c>
      <c r="I2570" t="inlineStr">
        <is>
          <t>Monthly - Tuesday</t>
        </is>
      </c>
      <c r="J2570" t="inlineStr">
        <is>
          <t>Month+27 Expiry</t>
        </is>
      </c>
      <c r="K2570" s="25" t="n">
        <v>0</v>
      </c>
      <c r="L2570" s="26" t="n">
        <v>0</v>
      </c>
      <c r="M2570" s="26" t="n">
        <v>0</v>
      </c>
    </row>
    <row r="2571" ht="16" customHeight="1">
      <c r="A2571" t="inlineStr">
        <is>
          <t>27-Mar-2026</t>
        </is>
      </c>
      <c r="B2571" t="inlineStr">
        <is>
          <t>Friday</t>
        </is>
      </c>
      <c r="C2571" t="inlineStr">
        <is>
          <t>Week4-Mar-2026</t>
        </is>
      </c>
      <c r="D2571" s="78" t="n">
        <v>46082</v>
      </c>
      <c r="E2571" t="inlineStr">
        <is>
          <t>Q4FY26</t>
        </is>
      </c>
      <c r="F2571" t="inlineStr">
        <is>
          <t>26-Dec-2028</t>
        </is>
      </c>
      <c r="G2571" t="inlineStr">
        <is>
          <t>Tuesday</t>
        </is>
      </c>
      <c r="H2571" t="inlineStr">
        <is>
          <t>Monthly - Tuesday</t>
        </is>
      </c>
      <c r="I2571" t="inlineStr">
        <is>
          <t>Monthly - Tuesday</t>
        </is>
      </c>
      <c r="J2571" t="inlineStr">
        <is>
          <t>Month+33 Expiry</t>
        </is>
      </c>
      <c r="K2571" s="25" t="n">
        <v>13</v>
      </c>
      <c r="L2571" s="26" t="n">
        <v>0.0208</v>
      </c>
      <c r="M2571" s="26" t="n">
        <v>0.0011</v>
      </c>
    </row>
    <row r="2572" ht="16" customHeight="1">
      <c r="A2572" t="inlineStr">
        <is>
          <t>27-Mar-2026</t>
        </is>
      </c>
      <c r="B2572" t="inlineStr">
        <is>
          <t>Friday</t>
        </is>
      </c>
      <c r="C2572" t="inlineStr">
        <is>
          <t>Week4-Mar-2026</t>
        </is>
      </c>
      <c r="D2572" s="78" t="n">
        <v>46082</v>
      </c>
      <c r="E2572" t="inlineStr">
        <is>
          <t>Q4FY26</t>
        </is>
      </c>
      <c r="F2572" t="inlineStr">
        <is>
          <t>26-Jun-2029</t>
        </is>
      </c>
      <c r="G2572" t="inlineStr">
        <is>
          <t>Tuesday</t>
        </is>
      </c>
      <c r="H2572" t="inlineStr">
        <is>
          <t>Monthly - Tuesday</t>
        </is>
      </c>
      <c r="I2572" t="inlineStr">
        <is>
          <t>Monthly - Tuesday</t>
        </is>
      </c>
      <c r="J2572" t="inlineStr">
        <is>
          <t>Month+39 Expiry</t>
        </is>
      </c>
      <c r="K2572" s="25" t="n">
        <v>0</v>
      </c>
      <c r="L2572" s="26" t="n">
        <v>0</v>
      </c>
      <c r="M2572" s="26" t="n">
        <v>0</v>
      </c>
    </row>
    <row r="2573" ht="16" customHeight="1">
      <c r="A2573" t="inlineStr">
        <is>
          <t>27-Mar-2026</t>
        </is>
      </c>
      <c r="B2573" t="inlineStr">
        <is>
          <t>Friday</t>
        </is>
      </c>
      <c r="C2573" t="inlineStr">
        <is>
          <t>Week4-Mar-2026</t>
        </is>
      </c>
      <c r="D2573" s="78" t="n">
        <v>46082</v>
      </c>
      <c r="E2573" t="inlineStr">
        <is>
          <t>Q4FY26</t>
        </is>
      </c>
      <c r="F2573" t="inlineStr">
        <is>
          <t>24-Dec-2029</t>
        </is>
      </c>
      <c r="G2573" t="inlineStr">
        <is>
          <t>Monday</t>
        </is>
      </c>
      <c r="H2573" t="inlineStr">
        <is>
          <t>Weekly - Monday</t>
        </is>
      </c>
      <c r="I2573" t="inlineStr">
        <is>
          <t>Weekly - Monday</t>
        </is>
      </c>
      <c r="J2573" t="inlineStr">
        <is>
          <t>Month+45 Expiry</t>
        </is>
      </c>
      <c r="K2573" s="25" t="n">
        <v>0</v>
      </c>
      <c r="L2573" s="26" t="n">
        <v>0</v>
      </c>
      <c r="M2573" s="26" t="n">
        <v>0</v>
      </c>
    </row>
    <row r="2574" ht="16" customHeight="1">
      <c r="A2574" t="inlineStr">
        <is>
          <t>27-Mar-2026</t>
        </is>
      </c>
      <c r="B2574" t="inlineStr">
        <is>
          <t>Friday</t>
        </is>
      </c>
      <c r="C2574" t="inlineStr">
        <is>
          <t>Week4-Mar-2026</t>
        </is>
      </c>
      <c r="D2574" s="78" t="n">
        <v>46082</v>
      </c>
      <c r="E2574" t="inlineStr">
        <is>
          <t>Q4FY26</t>
        </is>
      </c>
      <c r="F2574" t="inlineStr">
        <is>
          <t>25-Jun-2030</t>
        </is>
      </c>
      <c r="G2574" t="inlineStr">
        <is>
          <t>Tuesday</t>
        </is>
      </c>
      <c r="H2574" t="inlineStr">
        <is>
          <t>Monthly - Tuesday</t>
        </is>
      </c>
      <c r="I2574" t="inlineStr">
        <is>
          <t>Monthly - Tuesday</t>
        </is>
      </c>
      <c r="J2574" t="inlineStr">
        <is>
          <t>Month+51 Expiry</t>
        </is>
      </c>
      <c r="K2574" s="25" t="n">
        <v>0</v>
      </c>
      <c r="L2574" s="26" t="n">
        <v>0</v>
      </c>
      <c r="M2574" s="26" t="n">
        <v>0</v>
      </c>
    </row>
    <row r="2575" ht="16" customHeight="1">
      <c r="A2575" t="inlineStr">
        <is>
          <t>27-Mar-2026</t>
        </is>
      </c>
      <c r="B2575" t="inlineStr">
        <is>
          <t>Friday</t>
        </is>
      </c>
      <c r="C2575" t="inlineStr">
        <is>
          <t>Week4-Mar-2026</t>
        </is>
      </c>
      <c r="D2575" s="78" t="n">
        <v>46082</v>
      </c>
      <c r="E2575" t="inlineStr">
        <is>
          <t>Q4FY26</t>
        </is>
      </c>
      <c r="F2575" t="inlineStr">
        <is>
          <t>31-Dec-2030</t>
        </is>
      </c>
      <c r="G2575" t="inlineStr">
        <is>
          <t>Tuesday</t>
        </is>
      </c>
      <c r="H2575" t="inlineStr">
        <is>
          <t>Monthly - Tuesday</t>
        </is>
      </c>
      <c r="I2575" t="inlineStr">
        <is>
          <t>Monthly - Tuesday</t>
        </is>
      </c>
      <c r="J2575" t="inlineStr">
        <is>
          <t>Month+57 Expiry</t>
        </is>
      </c>
      <c r="K2575" s="25" t="n">
        <v>0</v>
      </c>
      <c r="L2575" s="26" t="n">
        <v>0</v>
      </c>
      <c r="M2575" s="26" t="n">
        <v>0</v>
      </c>
    </row>
    <row r="2576" ht="16" customHeight="1">
      <c r="A2576" t="inlineStr">
        <is>
          <t>30-Mar-2026</t>
        </is>
      </c>
      <c r="B2576" t="inlineStr">
        <is>
          <t>Monday</t>
        </is>
      </c>
      <c r="C2576" t="inlineStr">
        <is>
          <t>Week5-Mar-2026</t>
        </is>
      </c>
      <c r="D2576" s="78" t="n">
        <v>46082</v>
      </c>
      <c r="E2576" t="inlineStr">
        <is>
          <t>Q4FY26</t>
        </is>
      </c>
      <c r="F2576" t="inlineStr">
        <is>
          <t>30-Mar-2026</t>
        </is>
      </c>
      <c r="G2576" t="inlineStr">
        <is>
          <t>Monday</t>
        </is>
      </c>
      <c r="H2576" t="inlineStr">
        <is>
          <t>Monthly - Monday</t>
        </is>
      </c>
      <c r="I2576" t="inlineStr">
        <is>
          <t>MDAW - Monday</t>
        </is>
      </c>
      <c r="J2576" t="inlineStr">
        <is>
          <t>Same Month Expiry</t>
        </is>
      </c>
      <c r="K2576" s="25" t="n">
        <v>354045992</v>
      </c>
      <c r="L2576" s="26" t="n">
        <v>519147.2391</v>
      </c>
      <c r="M2576" s="26" t="n">
        <v>797.6016</v>
      </c>
    </row>
    <row r="2577" ht="16" customHeight="1">
      <c r="A2577" t="inlineStr">
        <is>
          <t>30-Mar-2026</t>
        </is>
      </c>
      <c r="B2577" t="inlineStr">
        <is>
          <t>Monday</t>
        </is>
      </c>
      <c r="C2577" t="inlineStr">
        <is>
          <t>Week5-Mar-2026</t>
        </is>
      </c>
      <c r="D2577" s="78" t="n">
        <v>46082</v>
      </c>
      <c r="E2577" t="inlineStr">
        <is>
          <t>Q4FY26</t>
        </is>
      </c>
      <c r="F2577" t="inlineStr">
        <is>
          <t>07-Apr-2026</t>
        </is>
      </c>
      <c r="G2577" t="inlineStr">
        <is>
          <t>Tuesday</t>
        </is>
      </c>
      <c r="H2577" t="inlineStr">
        <is>
          <t>Weekly - Tuesday</t>
        </is>
      </c>
      <c r="I2577" t="inlineStr">
        <is>
          <t>Weekly - Tuesday</t>
        </is>
      </c>
      <c r="J2577" t="inlineStr">
        <is>
          <t>Month+1 Expiry</t>
        </is>
      </c>
      <c r="K2577" s="25" t="n">
        <v>7484360</v>
      </c>
      <c r="L2577" s="26" t="n">
        <v>11274.5853</v>
      </c>
      <c r="M2577" s="26" t="n">
        <v>92.63720000000001</v>
      </c>
    </row>
    <row r="2578" ht="16" customHeight="1">
      <c r="A2578" t="inlineStr">
        <is>
          <t>30-Mar-2026</t>
        </is>
      </c>
      <c r="B2578" t="inlineStr">
        <is>
          <t>Monday</t>
        </is>
      </c>
      <c r="C2578" t="inlineStr">
        <is>
          <t>Week5-Mar-2026</t>
        </is>
      </c>
      <c r="D2578" s="78" t="n">
        <v>46082</v>
      </c>
      <c r="E2578" t="inlineStr">
        <is>
          <t>Q4FY26</t>
        </is>
      </c>
      <c r="F2578" t="inlineStr">
        <is>
          <t>13-Apr-2026</t>
        </is>
      </c>
      <c r="G2578" t="inlineStr">
        <is>
          <t>Monday</t>
        </is>
      </c>
      <c r="H2578" t="inlineStr">
        <is>
          <t>Weekly - Monday</t>
        </is>
      </c>
      <c r="I2578" t="inlineStr">
        <is>
          <t>Weekly - Monday</t>
        </is>
      </c>
      <c r="J2578" t="inlineStr">
        <is>
          <t>Month+1 Expiry</t>
        </is>
      </c>
      <c r="K2578" s="25" t="n">
        <v>260141</v>
      </c>
      <c r="L2578" s="26" t="n">
        <v>401.3965</v>
      </c>
      <c r="M2578" s="26" t="n">
        <v>4.8463</v>
      </c>
    </row>
    <row r="2579" ht="16" customHeight="1">
      <c r="A2579" t="inlineStr">
        <is>
          <t>30-Mar-2026</t>
        </is>
      </c>
      <c r="B2579" t="inlineStr">
        <is>
          <t>Monday</t>
        </is>
      </c>
      <c r="C2579" t="inlineStr">
        <is>
          <t>Week5-Mar-2026</t>
        </is>
      </c>
      <c r="D2579" s="78" t="n">
        <v>46082</v>
      </c>
      <c r="E2579" t="inlineStr">
        <is>
          <t>Q4FY26</t>
        </is>
      </c>
      <c r="F2579" t="inlineStr">
        <is>
          <t>21-Apr-2026</t>
        </is>
      </c>
      <c r="G2579" t="inlineStr">
        <is>
          <t>Tuesday</t>
        </is>
      </c>
      <c r="H2579" t="inlineStr">
        <is>
          <t>Weekly - Tuesday</t>
        </is>
      </c>
      <c r="I2579" t="inlineStr">
        <is>
          <t>Weekly - Tuesday</t>
        </is>
      </c>
      <c r="J2579" t="inlineStr">
        <is>
          <t>Month+1 Expiry</t>
        </is>
      </c>
      <c r="K2579" s="25" t="n">
        <v>16846</v>
      </c>
      <c r="L2579" s="26" t="n">
        <v>25.9098</v>
      </c>
      <c r="M2579" s="26" t="n">
        <v>0.4842</v>
      </c>
    </row>
    <row r="2580" ht="16" customHeight="1">
      <c r="A2580" t="inlineStr">
        <is>
          <t>30-Mar-2026</t>
        </is>
      </c>
      <c r="B2580" t="inlineStr">
        <is>
          <t>Monday</t>
        </is>
      </c>
      <c r="C2580" t="inlineStr">
        <is>
          <t>Week5-Mar-2026</t>
        </is>
      </c>
      <c r="D2580" s="78" t="n">
        <v>46082</v>
      </c>
      <c r="E2580" t="inlineStr">
        <is>
          <t>Q4FY26</t>
        </is>
      </c>
      <c r="F2580" t="inlineStr">
        <is>
          <t>28-Apr-2026</t>
        </is>
      </c>
      <c r="G2580" t="inlineStr">
        <is>
          <t>Tuesday</t>
        </is>
      </c>
      <c r="H2580" t="inlineStr">
        <is>
          <t>Monthly - Tuesday</t>
        </is>
      </c>
      <c r="I2580" t="inlineStr">
        <is>
          <t>Monthly - Tuesday</t>
        </is>
      </c>
      <c r="J2580" t="inlineStr">
        <is>
          <t>Month+1 Expiry</t>
        </is>
      </c>
      <c r="K2580" s="25" t="n">
        <v>1390187</v>
      </c>
      <c r="L2580" s="26" t="n">
        <v>2169.7035</v>
      </c>
      <c r="M2580" s="26" t="n">
        <v>56.443</v>
      </c>
    </row>
    <row r="2581" ht="16" customHeight="1">
      <c r="A2581" t="inlineStr">
        <is>
          <t>30-Mar-2026</t>
        </is>
      </c>
      <c r="B2581" t="inlineStr">
        <is>
          <t>Monday</t>
        </is>
      </c>
      <c r="C2581" t="inlineStr">
        <is>
          <t>Week5-Mar-2026</t>
        </is>
      </c>
      <c r="D2581" s="78" t="n">
        <v>46082</v>
      </c>
      <c r="E2581" t="inlineStr">
        <is>
          <t>Q4FY26</t>
        </is>
      </c>
      <c r="F2581" t="inlineStr">
        <is>
          <t>05-May-2026</t>
        </is>
      </c>
      <c r="G2581" t="inlineStr">
        <is>
          <t>Tuesday</t>
        </is>
      </c>
      <c r="H2581" t="inlineStr">
        <is>
          <t>Weekly - Tuesday</t>
        </is>
      </c>
      <c r="I2581" t="inlineStr">
        <is>
          <t>Weekly - Tuesday</t>
        </is>
      </c>
      <c r="J2581" t="inlineStr">
        <is>
          <t>Month+2 Expiry</t>
        </is>
      </c>
      <c r="K2581" s="25" t="n">
        <v>202</v>
      </c>
      <c r="L2581" s="26" t="n">
        <v>0.3239</v>
      </c>
      <c r="M2581" s="26" t="n">
        <v>0.002</v>
      </c>
    </row>
    <row r="2582" ht="16" customHeight="1">
      <c r="A2582" t="inlineStr">
        <is>
          <t>30-Mar-2026</t>
        </is>
      </c>
      <c r="B2582" t="inlineStr">
        <is>
          <t>Monday</t>
        </is>
      </c>
      <c r="C2582" t="inlineStr">
        <is>
          <t>Week5-Mar-2026</t>
        </is>
      </c>
      <c r="D2582" s="78" t="n">
        <v>46082</v>
      </c>
      <c r="E2582" t="inlineStr">
        <is>
          <t>Q4FY26</t>
        </is>
      </c>
      <c r="F2582" t="inlineStr">
        <is>
          <t>26-May-2026</t>
        </is>
      </c>
      <c r="G2582" t="inlineStr">
        <is>
          <t>Tuesday</t>
        </is>
      </c>
      <c r="H2582" t="inlineStr">
        <is>
          <t>Monthly - Tuesday</t>
        </is>
      </c>
      <c r="I2582" t="inlineStr">
        <is>
          <t>Monthly - Tuesday</t>
        </is>
      </c>
      <c r="J2582" t="inlineStr">
        <is>
          <t>Month+2 Expiry</t>
        </is>
      </c>
      <c r="K2582" s="25" t="n">
        <v>120238</v>
      </c>
      <c r="L2582" s="26" t="n">
        <v>188.2686</v>
      </c>
      <c r="M2582" s="26" t="n">
        <v>3.9436</v>
      </c>
    </row>
    <row r="2583" ht="16" customHeight="1">
      <c r="A2583" t="inlineStr">
        <is>
          <t>30-Mar-2026</t>
        </is>
      </c>
      <c r="B2583" t="inlineStr">
        <is>
          <t>Monday</t>
        </is>
      </c>
      <c r="C2583" t="inlineStr">
        <is>
          <t>Week5-Mar-2026</t>
        </is>
      </c>
      <c r="D2583" s="78" t="n">
        <v>46082</v>
      </c>
      <c r="E2583" t="inlineStr">
        <is>
          <t>Q4FY26</t>
        </is>
      </c>
      <c r="F2583" t="inlineStr">
        <is>
          <t>30-Jun-2026</t>
        </is>
      </c>
      <c r="G2583" t="inlineStr">
        <is>
          <t>Tuesday</t>
        </is>
      </c>
      <c r="H2583" t="inlineStr">
        <is>
          <t>Monthly - Tuesday</t>
        </is>
      </c>
      <c r="I2583" t="inlineStr">
        <is>
          <t>Monthly - Tuesday</t>
        </is>
      </c>
      <c r="J2583" t="inlineStr">
        <is>
          <t>Month+3 Expiry</t>
        </is>
      </c>
      <c r="K2583" s="25" t="n">
        <v>174806</v>
      </c>
      <c r="L2583" s="26" t="n">
        <v>268.1352</v>
      </c>
      <c r="M2583" s="26" t="n">
        <v>8.4091</v>
      </c>
    </row>
    <row r="2584" ht="16" customHeight="1">
      <c r="A2584" t="inlineStr">
        <is>
          <t>30-Mar-2026</t>
        </is>
      </c>
      <c r="B2584" t="inlineStr">
        <is>
          <t>Monday</t>
        </is>
      </c>
      <c r="C2584" t="inlineStr">
        <is>
          <t>Week5-Mar-2026</t>
        </is>
      </c>
      <c r="D2584" s="78" t="n">
        <v>46082</v>
      </c>
      <c r="E2584" t="inlineStr">
        <is>
          <t>Q4FY26</t>
        </is>
      </c>
      <c r="F2584" t="inlineStr">
        <is>
          <t>29-Sep-2026</t>
        </is>
      </c>
      <c r="G2584" t="inlineStr">
        <is>
          <t>Tuesday</t>
        </is>
      </c>
      <c r="H2584" t="inlineStr">
        <is>
          <t>Monthly - Tuesday</t>
        </is>
      </c>
      <c r="I2584" t="inlineStr">
        <is>
          <t>Monthly - Tuesday</t>
        </is>
      </c>
      <c r="J2584" t="inlineStr">
        <is>
          <t>Month+6 Expiry</t>
        </is>
      </c>
      <c r="K2584" s="25" t="n">
        <v>32547</v>
      </c>
      <c r="L2584" s="26" t="n">
        <v>53.3144</v>
      </c>
      <c r="M2584" s="26" t="n">
        <v>1.3021</v>
      </c>
    </row>
    <row r="2585" ht="16" customHeight="1">
      <c r="A2585" t="inlineStr">
        <is>
          <t>30-Mar-2026</t>
        </is>
      </c>
      <c r="B2585" t="inlineStr">
        <is>
          <t>Monday</t>
        </is>
      </c>
      <c r="C2585" t="inlineStr">
        <is>
          <t>Week5-Mar-2026</t>
        </is>
      </c>
      <c r="D2585" s="78" t="n">
        <v>46082</v>
      </c>
      <c r="E2585" t="inlineStr">
        <is>
          <t>Q4FY26</t>
        </is>
      </c>
      <c r="F2585" t="inlineStr">
        <is>
          <t>29-Dec-2026</t>
        </is>
      </c>
      <c r="G2585" t="inlineStr">
        <is>
          <t>Tuesday</t>
        </is>
      </c>
      <c r="H2585" t="inlineStr">
        <is>
          <t>Monthly - Tuesday</t>
        </is>
      </c>
      <c r="I2585" t="inlineStr">
        <is>
          <t>Monthly - Tuesday</t>
        </is>
      </c>
      <c r="J2585" t="inlineStr">
        <is>
          <t>Month+9 Expiry</t>
        </is>
      </c>
      <c r="K2585" s="25" t="n">
        <v>81829</v>
      </c>
      <c r="L2585" s="26" t="n">
        <v>134.3449</v>
      </c>
      <c r="M2585" s="26" t="n">
        <v>5.4486</v>
      </c>
    </row>
    <row r="2586" ht="16" customHeight="1">
      <c r="A2586" t="inlineStr">
        <is>
          <t>30-Mar-2026</t>
        </is>
      </c>
      <c r="B2586" t="inlineStr">
        <is>
          <t>Monday</t>
        </is>
      </c>
      <c r="C2586" t="inlineStr">
        <is>
          <t>Week5-Mar-2026</t>
        </is>
      </c>
      <c r="D2586" s="78" t="n">
        <v>46082</v>
      </c>
      <c r="E2586" t="inlineStr">
        <is>
          <t>Q4FY26</t>
        </is>
      </c>
      <c r="F2586" t="inlineStr">
        <is>
          <t>29-Jun-2027</t>
        </is>
      </c>
      <c r="G2586" t="inlineStr">
        <is>
          <t>Tuesday</t>
        </is>
      </c>
      <c r="H2586" t="inlineStr">
        <is>
          <t>Monthly - Tuesday</t>
        </is>
      </c>
      <c r="I2586" t="inlineStr">
        <is>
          <t>Monthly - Tuesday</t>
        </is>
      </c>
      <c r="J2586" t="inlineStr">
        <is>
          <t>Month+15 Expiry</t>
        </is>
      </c>
      <c r="K2586" s="25" t="n">
        <v>0</v>
      </c>
      <c r="L2586" s="26" t="n">
        <v>0</v>
      </c>
      <c r="M2586" s="26" t="n">
        <v>0</v>
      </c>
    </row>
    <row r="2587" ht="16" customHeight="1">
      <c r="A2587" t="inlineStr">
        <is>
          <t>30-Mar-2026</t>
        </is>
      </c>
      <c r="B2587" t="inlineStr">
        <is>
          <t>Monday</t>
        </is>
      </c>
      <c r="C2587" t="inlineStr">
        <is>
          <t>Week5-Mar-2026</t>
        </is>
      </c>
      <c r="D2587" s="78" t="n">
        <v>46082</v>
      </c>
      <c r="E2587" t="inlineStr">
        <is>
          <t>Q4FY26</t>
        </is>
      </c>
      <c r="F2587" t="inlineStr">
        <is>
          <t>28-Dec-2027</t>
        </is>
      </c>
      <c r="G2587" t="inlineStr">
        <is>
          <t>Tuesday</t>
        </is>
      </c>
      <c r="H2587" t="inlineStr">
        <is>
          <t>Monthly - Tuesday</t>
        </is>
      </c>
      <c r="I2587" t="inlineStr">
        <is>
          <t>Monthly - Tuesday</t>
        </is>
      </c>
      <c r="J2587" t="inlineStr">
        <is>
          <t>Month+21 Expiry</t>
        </is>
      </c>
      <c r="K2587" s="25" t="n">
        <v>445</v>
      </c>
      <c r="L2587" s="26" t="n">
        <v>0.7147</v>
      </c>
      <c r="M2587" s="26" t="n">
        <v>0.0415</v>
      </c>
    </row>
    <row r="2588" ht="16" customHeight="1">
      <c r="A2588" t="inlineStr">
        <is>
          <t>30-Mar-2026</t>
        </is>
      </c>
      <c r="B2588" t="inlineStr">
        <is>
          <t>Monday</t>
        </is>
      </c>
      <c r="C2588" t="inlineStr">
        <is>
          <t>Week5-Mar-2026</t>
        </is>
      </c>
      <c r="D2588" s="78" t="n">
        <v>46082</v>
      </c>
      <c r="E2588" t="inlineStr">
        <is>
          <t>Q4FY26</t>
        </is>
      </c>
      <c r="F2588" t="inlineStr">
        <is>
          <t>27-Jun-2028</t>
        </is>
      </c>
      <c r="G2588" t="inlineStr">
        <is>
          <t>Tuesday</t>
        </is>
      </c>
      <c r="H2588" t="inlineStr">
        <is>
          <t>Monthly - Tuesday</t>
        </is>
      </c>
      <c r="I2588" t="inlineStr">
        <is>
          <t>Monthly - Tuesday</t>
        </is>
      </c>
      <c r="J2588" t="inlineStr">
        <is>
          <t>Month+27 Expiry</t>
        </is>
      </c>
      <c r="K2588" s="25" t="n">
        <v>2</v>
      </c>
      <c r="L2588" s="26" t="n">
        <v>0.003</v>
      </c>
      <c r="M2588" s="26" t="n">
        <v>0.0001</v>
      </c>
    </row>
    <row r="2589" ht="16" customHeight="1">
      <c r="A2589" t="inlineStr">
        <is>
          <t>30-Mar-2026</t>
        </is>
      </c>
      <c r="B2589" t="inlineStr">
        <is>
          <t>Monday</t>
        </is>
      </c>
      <c r="C2589" t="inlineStr">
        <is>
          <t>Week5-Mar-2026</t>
        </is>
      </c>
      <c r="D2589" s="78" t="n">
        <v>46082</v>
      </c>
      <c r="E2589" t="inlineStr">
        <is>
          <t>Q4FY26</t>
        </is>
      </c>
      <c r="F2589" t="inlineStr">
        <is>
          <t>26-Dec-2028</t>
        </is>
      </c>
      <c r="G2589" t="inlineStr">
        <is>
          <t>Tuesday</t>
        </is>
      </c>
      <c r="H2589" t="inlineStr">
        <is>
          <t>Monthly - Tuesday</t>
        </is>
      </c>
      <c r="I2589" t="inlineStr">
        <is>
          <t>Monthly - Tuesday</t>
        </is>
      </c>
      <c r="J2589" t="inlineStr">
        <is>
          <t>Month+33 Expiry</t>
        </is>
      </c>
      <c r="K2589" s="25" t="n">
        <v>38</v>
      </c>
      <c r="L2589" s="26" t="n">
        <v>0.0672</v>
      </c>
      <c r="M2589" s="26" t="n">
        <v>0.0043</v>
      </c>
    </row>
    <row r="2590" ht="16" customHeight="1">
      <c r="A2590" t="inlineStr">
        <is>
          <t>30-Mar-2026</t>
        </is>
      </c>
      <c r="B2590" t="inlineStr">
        <is>
          <t>Monday</t>
        </is>
      </c>
      <c r="C2590" t="inlineStr">
        <is>
          <t>Week5-Mar-2026</t>
        </is>
      </c>
      <c r="D2590" s="78" t="n">
        <v>46082</v>
      </c>
      <c r="E2590" t="inlineStr">
        <is>
          <t>Q4FY26</t>
        </is>
      </c>
      <c r="F2590" t="inlineStr">
        <is>
          <t>26-Jun-2029</t>
        </is>
      </c>
      <c r="G2590" t="inlineStr">
        <is>
          <t>Tuesday</t>
        </is>
      </c>
      <c r="H2590" t="inlineStr">
        <is>
          <t>Monthly - Tuesday</t>
        </is>
      </c>
      <c r="I2590" t="inlineStr">
        <is>
          <t>Monthly - Tuesday</t>
        </is>
      </c>
      <c r="J2590" t="inlineStr">
        <is>
          <t>Month+39 Expiry</t>
        </is>
      </c>
      <c r="K2590" s="25" t="n">
        <v>0</v>
      </c>
      <c r="L2590" s="26" t="n">
        <v>0</v>
      </c>
      <c r="M2590" s="26" t="n">
        <v>0</v>
      </c>
    </row>
    <row r="2591" ht="16" customHeight="1">
      <c r="A2591" t="inlineStr">
        <is>
          <t>30-Mar-2026</t>
        </is>
      </c>
      <c r="B2591" t="inlineStr">
        <is>
          <t>Monday</t>
        </is>
      </c>
      <c r="C2591" t="inlineStr">
        <is>
          <t>Week5-Mar-2026</t>
        </is>
      </c>
      <c r="D2591" s="78" t="n">
        <v>46082</v>
      </c>
      <c r="E2591" t="inlineStr">
        <is>
          <t>Q4FY26</t>
        </is>
      </c>
      <c r="F2591" t="inlineStr">
        <is>
          <t>24-Dec-2029</t>
        </is>
      </c>
      <c r="G2591" t="inlineStr">
        <is>
          <t>Monday</t>
        </is>
      </c>
      <c r="H2591" t="inlineStr">
        <is>
          <t>Weekly - Monday</t>
        </is>
      </c>
      <c r="I2591" t="inlineStr">
        <is>
          <t>Weekly - Monday</t>
        </is>
      </c>
      <c r="J2591" t="inlineStr">
        <is>
          <t>Month+45 Expiry</t>
        </is>
      </c>
      <c r="K2591" s="25" t="n">
        <v>0</v>
      </c>
      <c r="L2591" s="26" t="n">
        <v>0</v>
      </c>
      <c r="M2591" s="26" t="n">
        <v>0</v>
      </c>
    </row>
    <row r="2592" ht="16" customHeight="1">
      <c r="A2592" t="inlineStr">
        <is>
          <t>30-Mar-2026</t>
        </is>
      </c>
      <c r="B2592" t="inlineStr">
        <is>
          <t>Monday</t>
        </is>
      </c>
      <c r="C2592" t="inlineStr">
        <is>
          <t>Week5-Mar-2026</t>
        </is>
      </c>
      <c r="D2592" s="78" t="n">
        <v>46082</v>
      </c>
      <c r="E2592" t="inlineStr">
        <is>
          <t>Q4FY26</t>
        </is>
      </c>
      <c r="F2592" t="inlineStr">
        <is>
          <t>25-Jun-2030</t>
        </is>
      </c>
      <c r="G2592" t="inlineStr">
        <is>
          <t>Tuesday</t>
        </is>
      </c>
      <c r="H2592" t="inlineStr">
        <is>
          <t>Monthly - Tuesday</t>
        </is>
      </c>
      <c r="I2592" t="inlineStr">
        <is>
          <t>Monthly - Tuesday</t>
        </is>
      </c>
      <c r="J2592" t="inlineStr">
        <is>
          <t>Month+51 Expiry</t>
        </is>
      </c>
      <c r="K2592" s="25" t="n">
        <v>0</v>
      </c>
      <c r="L2592" s="26" t="n">
        <v>0</v>
      </c>
      <c r="M2592" s="26" t="n">
        <v>0</v>
      </c>
    </row>
    <row r="2593" ht="16" customHeight="1">
      <c r="A2593" t="inlineStr">
        <is>
          <t>30-Mar-2026</t>
        </is>
      </c>
      <c r="B2593" t="inlineStr">
        <is>
          <t>Monday</t>
        </is>
      </c>
      <c r="C2593" t="inlineStr">
        <is>
          <t>Week5-Mar-2026</t>
        </is>
      </c>
      <c r="D2593" s="78" t="n">
        <v>46082</v>
      </c>
      <c r="E2593" t="inlineStr">
        <is>
          <t>Q4FY26</t>
        </is>
      </c>
      <c r="F2593" t="inlineStr">
        <is>
          <t>31-Dec-2030</t>
        </is>
      </c>
      <c r="G2593" t="inlineStr">
        <is>
          <t>Tuesday</t>
        </is>
      </c>
      <c r="H2593" t="inlineStr">
        <is>
          <t>Monthly - Tuesday</t>
        </is>
      </c>
      <c r="I2593" t="inlineStr">
        <is>
          <t>Monthly - Tuesday</t>
        </is>
      </c>
      <c r="J2593" t="inlineStr">
        <is>
          <t>Month+57 Expiry</t>
        </is>
      </c>
      <c r="K2593" s="25" t="n">
        <v>0</v>
      </c>
      <c r="L2593" s="26" t="n">
        <v>0</v>
      </c>
      <c r="M2593" s="26" t="n">
        <v>0</v>
      </c>
    </row>
    <row r="2594" ht="16" customHeight="1">
      <c r="A2594" t="inlineStr">
        <is>
          <t>01-Apr-2026</t>
        </is>
      </c>
      <c r="B2594" t="inlineStr">
        <is>
          <t>Wednesday</t>
        </is>
      </c>
      <c r="C2594" t="inlineStr">
        <is>
          <t>Week1-Apr-2026</t>
        </is>
      </c>
      <c r="D2594" s="78" t="n">
        <v>46113</v>
      </c>
      <c r="E2594" t="inlineStr">
        <is>
          <t>Q1FY27</t>
        </is>
      </c>
      <c r="F2594" t="inlineStr">
        <is>
          <t>07-Apr-2026</t>
        </is>
      </c>
      <c r="G2594" t="inlineStr">
        <is>
          <t>Tuesday</t>
        </is>
      </c>
      <c r="H2594" t="inlineStr">
        <is>
          <t>Weekly - Tuesday</t>
        </is>
      </c>
      <c r="I2594" t="inlineStr">
        <is>
          <t>Weekly - Tuesday</t>
        </is>
      </c>
      <c r="J2594" t="inlineStr">
        <is>
          <t>Same Month Expiry</t>
        </is>
      </c>
      <c r="K2594" s="25" t="n">
        <v>40596226</v>
      </c>
      <c r="L2594" s="26" t="n">
        <v>60767.5326</v>
      </c>
      <c r="M2594" s="26" t="n">
        <v>421.0672</v>
      </c>
    </row>
    <row r="2595" ht="16" customHeight="1">
      <c r="A2595" t="inlineStr">
        <is>
          <t>01-Apr-2026</t>
        </is>
      </c>
      <c r="B2595" t="inlineStr">
        <is>
          <t>Wednesday</t>
        </is>
      </c>
      <c r="C2595" t="inlineStr">
        <is>
          <t>Week1-Apr-2026</t>
        </is>
      </c>
      <c r="D2595" s="78" t="n">
        <v>46113</v>
      </c>
      <c r="E2595" t="inlineStr">
        <is>
          <t>Q1FY27</t>
        </is>
      </c>
      <c r="F2595" t="inlineStr">
        <is>
          <t>13-Apr-2026</t>
        </is>
      </c>
      <c r="G2595" t="inlineStr">
        <is>
          <t>Monday</t>
        </is>
      </c>
      <c r="H2595" t="inlineStr">
        <is>
          <t>Weekly - Monday</t>
        </is>
      </c>
      <c r="I2595" t="inlineStr">
        <is>
          <t>Weekly - Monday</t>
        </is>
      </c>
      <c r="J2595" t="inlineStr">
        <is>
          <t>Same Month Expiry</t>
        </is>
      </c>
      <c r="K2595" s="25" t="n">
        <v>797639</v>
      </c>
      <c r="L2595" s="26" t="n">
        <v>1205.9263</v>
      </c>
      <c r="M2595" s="26" t="n">
        <v>10.972</v>
      </c>
    </row>
    <row r="2596" ht="16" customHeight="1">
      <c r="A2596" t="inlineStr">
        <is>
          <t>01-Apr-2026</t>
        </is>
      </c>
      <c r="B2596" t="inlineStr">
        <is>
          <t>Wednesday</t>
        </is>
      </c>
      <c r="C2596" t="inlineStr">
        <is>
          <t>Week1-Apr-2026</t>
        </is>
      </c>
      <c r="D2596" s="78" t="n">
        <v>46113</v>
      </c>
      <c r="E2596" t="inlineStr">
        <is>
          <t>Q1FY27</t>
        </is>
      </c>
      <c r="F2596" t="inlineStr">
        <is>
          <t>21-Apr-2026</t>
        </is>
      </c>
      <c r="G2596" t="inlineStr">
        <is>
          <t>Tuesday</t>
        </is>
      </c>
      <c r="H2596" t="inlineStr">
        <is>
          <t>Weekly - Tuesday</t>
        </is>
      </c>
      <c r="I2596" t="inlineStr">
        <is>
          <t>Weekly - Tuesday</t>
        </is>
      </c>
      <c r="J2596" t="inlineStr">
        <is>
          <t>Same Month Expiry</t>
        </is>
      </c>
      <c r="K2596" s="25" t="n">
        <v>28109</v>
      </c>
      <c r="L2596" s="26" t="n">
        <v>43.3719</v>
      </c>
      <c r="M2596" s="26" t="n">
        <v>0.5387999999999999</v>
      </c>
    </row>
    <row r="2597" ht="16" customHeight="1">
      <c r="A2597" t="inlineStr">
        <is>
          <t>01-Apr-2026</t>
        </is>
      </c>
      <c r="B2597" t="inlineStr">
        <is>
          <t>Wednesday</t>
        </is>
      </c>
      <c r="C2597" t="inlineStr">
        <is>
          <t>Week1-Apr-2026</t>
        </is>
      </c>
      <c r="D2597" s="78" t="n">
        <v>46113</v>
      </c>
      <c r="E2597" t="inlineStr">
        <is>
          <t>Q1FY27</t>
        </is>
      </c>
      <c r="F2597" t="inlineStr">
        <is>
          <t>28-Apr-2026</t>
        </is>
      </c>
      <c r="G2597" t="inlineStr">
        <is>
          <t>Tuesday</t>
        </is>
      </c>
      <c r="H2597" t="inlineStr">
        <is>
          <t>Monthly - Tuesday</t>
        </is>
      </c>
      <c r="I2597" t="inlineStr">
        <is>
          <t>Monthly - Tuesday</t>
        </is>
      </c>
      <c r="J2597" t="inlineStr">
        <is>
          <t>Same Month Expiry</t>
        </is>
      </c>
      <c r="K2597" s="25" t="n">
        <v>1248168</v>
      </c>
      <c r="L2597" s="26" t="n">
        <v>1927.6862</v>
      </c>
      <c r="M2597" s="26" t="n">
        <v>33.6632</v>
      </c>
    </row>
    <row r="2598" ht="16" customHeight="1">
      <c r="A2598" t="inlineStr">
        <is>
          <t>01-Apr-2026</t>
        </is>
      </c>
      <c r="B2598" t="inlineStr">
        <is>
          <t>Wednesday</t>
        </is>
      </c>
      <c r="C2598" t="inlineStr">
        <is>
          <t>Week1-Apr-2026</t>
        </is>
      </c>
      <c r="D2598" s="78" t="n">
        <v>46113</v>
      </c>
      <c r="E2598" t="inlineStr">
        <is>
          <t>Q1FY27</t>
        </is>
      </c>
      <c r="F2598" t="inlineStr">
        <is>
          <t>05-May-2026</t>
        </is>
      </c>
      <c r="G2598" t="inlineStr">
        <is>
          <t>Tuesday</t>
        </is>
      </c>
      <c r="H2598" t="inlineStr">
        <is>
          <t>Weekly - Tuesday</t>
        </is>
      </c>
      <c r="I2598" t="inlineStr">
        <is>
          <t>Weekly - Tuesday</t>
        </is>
      </c>
      <c r="J2598" t="inlineStr">
        <is>
          <t>Month+1 Expiry</t>
        </is>
      </c>
      <c r="K2598" s="25" t="n">
        <v>628</v>
      </c>
      <c r="L2598" s="26" t="n">
        <v>1.0064</v>
      </c>
      <c r="M2598" s="26" t="n">
        <v>0.008</v>
      </c>
    </row>
    <row r="2599" ht="16" customHeight="1">
      <c r="A2599" t="inlineStr">
        <is>
          <t>01-Apr-2026</t>
        </is>
      </c>
      <c r="B2599" t="inlineStr">
        <is>
          <t>Wednesday</t>
        </is>
      </c>
      <c r="C2599" t="inlineStr">
        <is>
          <t>Week1-Apr-2026</t>
        </is>
      </c>
      <c r="D2599" s="78" t="n">
        <v>46113</v>
      </c>
      <c r="E2599" t="inlineStr">
        <is>
          <t>Q1FY27</t>
        </is>
      </c>
      <c r="F2599" t="inlineStr">
        <is>
          <t>26-May-2026</t>
        </is>
      </c>
      <c r="G2599" t="inlineStr">
        <is>
          <t>Tuesday</t>
        </is>
      </c>
      <c r="H2599" t="inlineStr">
        <is>
          <t>Monthly - Tuesday</t>
        </is>
      </c>
      <c r="I2599" t="inlineStr">
        <is>
          <t>Monthly - Tuesday</t>
        </is>
      </c>
      <c r="J2599" t="inlineStr">
        <is>
          <t>Month+1 Expiry</t>
        </is>
      </c>
      <c r="K2599" s="25" t="n">
        <v>118114</v>
      </c>
      <c r="L2599" s="26" t="n">
        <v>185.8656</v>
      </c>
      <c r="M2599" s="26" t="n">
        <v>3.1254</v>
      </c>
    </row>
    <row r="2600" ht="16" customHeight="1">
      <c r="A2600" t="inlineStr">
        <is>
          <t>01-Apr-2026</t>
        </is>
      </c>
      <c r="B2600" t="inlineStr">
        <is>
          <t>Wednesday</t>
        </is>
      </c>
      <c r="C2600" t="inlineStr">
        <is>
          <t>Week1-Apr-2026</t>
        </is>
      </c>
      <c r="D2600" s="78" t="n">
        <v>46113</v>
      </c>
      <c r="E2600" t="inlineStr">
        <is>
          <t>Q1FY27</t>
        </is>
      </c>
      <c r="F2600" t="inlineStr">
        <is>
          <t>30-Jun-2026</t>
        </is>
      </c>
      <c r="G2600" t="inlineStr">
        <is>
          <t>Tuesday</t>
        </is>
      </c>
      <c r="H2600" t="inlineStr">
        <is>
          <t>Monthly - Tuesday</t>
        </is>
      </c>
      <c r="I2600" t="inlineStr">
        <is>
          <t>Monthly - Tuesday</t>
        </is>
      </c>
      <c r="J2600" t="inlineStr">
        <is>
          <t>Month+2 Expiry</t>
        </is>
      </c>
      <c r="K2600" s="25" t="n">
        <v>145283</v>
      </c>
      <c r="L2600" s="26" t="n">
        <v>223.5752</v>
      </c>
      <c r="M2600" s="26" t="n">
        <v>5.3317</v>
      </c>
    </row>
    <row r="2601" ht="16" customHeight="1">
      <c r="A2601" t="inlineStr">
        <is>
          <t>01-Apr-2026</t>
        </is>
      </c>
      <c r="B2601" t="inlineStr">
        <is>
          <t>Wednesday</t>
        </is>
      </c>
      <c r="C2601" t="inlineStr">
        <is>
          <t>Week1-Apr-2026</t>
        </is>
      </c>
      <c r="D2601" s="78" t="n">
        <v>46113</v>
      </c>
      <c r="E2601" t="inlineStr">
        <is>
          <t>Q1FY27</t>
        </is>
      </c>
      <c r="F2601" t="inlineStr">
        <is>
          <t>29-Sep-2026</t>
        </is>
      </c>
      <c r="G2601" t="inlineStr">
        <is>
          <t>Tuesday</t>
        </is>
      </c>
      <c r="H2601" t="inlineStr">
        <is>
          <t>Monthly - Tuesday</t>
        </is>
      </c>
      <c r="I2601" t="inlineStr">
        <is>
          <t>Monthly - Tuesday</t>
        </is>
      </c>
      <c r="J2601" t="inlineStr">
        <is>
          <t>Month+5 Expiry</t>
        </is>
      </c>
      <c r="K2601" s="25" t="n">
        <v>25733</v>
      </c>
      <c r="L2601" s="26" t="n">
        <v>43.1146</v>
      </c>
      <c r="M2601" s="26" t="n">
        <v>0.7098</v>
      </c>
    </row>
    <row r="2602" ht="16" customHeight="1">
      <c r="A2602" t="inlineStr">
        <is>
          <t>01-Apr-2026</t>
        </is>
      </c>
      <c r="B2602" t="inlineStr">
        <is>
          <t>Wednesday</t>
        </is>
      </c>
      <c r="C2602" t="inlineStr">
        <is>
          <t>Week1-Apr-2026</t>
        </is>
      </c>
      <c r="D2602" s="78" t="n">
        <v>46113</v>
      </c>
      <c r="E2602" t="inlineStr">
        <is>
          <t>Q1FY27</t>
        </is>
      </c>
      <c r="F2602" t="inlineStr">
        <is>
          <t>29-Dec-2026</t>
        </is>
      </c>
      <c r="G2602" t="inlineStr">
        <is>
          <t>Tuesday</t>
        </is>
      </c>
      <c r="H2602" t="inlineStr">
        <is>
          <t>Monthly - Tuesday</t>
        </is>
      </c>
      <c r="I2602" t="inlineStr">
        <is>
          <t>Monthly - Tuesday</t>
        </is>
      </c>
      <c r="J2602" t="inlineStr">
        <is>
          <t>Month+8 Expiry</t>
        </is>
      </c>
      <c r="K2602" s="25" t="n">
        <v>57205</v>
      </c>
      <c r="L2602" s="26" t="n">
        <v>92.0175</v>
      </c>
      <c r="M2602" s="26" t="n">
        <v>3.0476</v>
      </c>
    </row>
    <row r="2603" ht="16" customHeight="1">
      <c r="A2603" t="inlineStr">
        <is>
          <t>01-Apr-2026</t>
        </is>
      </c>
      <c r="B2603" t="inlineStr">
        <is>
          <t>Wednesday</t>
        </is>
      </c>
      <c r="C2603" t="inlineStr">
        <is>
          <t>Week1-Apr-2026</t>
        </is>
      </c>
      <c r="D2603" s="78" t="n">
        <v>46113</v>
      </c>
      <c r="E2603" t="inlineStr">
        <is>
          <t>Q1FY27</t>
        </is>
      </c>
      <c r="F2603" t="inlineStr">
        <is>
          <t>30-Mar-2027</t>
        </is>
      </c>
      <c r="G2603" t="inlineStr">
        <is>
          <t>Tuesday</t>
        </is>
      </c>
      <c r="H2603" t="inlineStr">
        <is>
          <t>Monthly - Tuesday</t>
        </is>
      </c>
      <c r="I2603" t="inlineStr">
        <is>
          <t>Monthly - Tuesday</t>
        </is>
      </c>
      <c r="J2603" t="inlineStr">
        <is>
          <t>Month+11 Expiry</t>
        </is>
      </c>
      <c r="K2603" s="25" t="n">
        <v>0</v>
      </c>
      <c r="L2603" s="26" t="n">
        <v>0</v>
      </c>
      <c r="M2603" s="26" t="n">
        <v>0</v>
      </c>
    </row>
    <row r="2604" ht="16" customHeight="1">
      <c r="A2604" t="inlineStr">
        <is>
          <t>01-Apr-2026</t>
        </is>
      </c>
      <c r="B2604" t="inlineStr">
        <is>
          <t>Wednesday</t>
        </is>
      </c>
      <c r="C2604" t="inlineStr">
        <is>
          <t>Week1-Apr-2026</t>
        </is>
      </c>
      <c r="D2604" s="78" t="n">
        <v>46113</v>
      </c>
      <c r="E2604" t="inlineStr">
        <is>
          <t>Q1FY27</t>
        </is>
      </c>
      <c r="F2604" t="inlineStr">
        <is>
          <t>29-Jun-2027</t>
        </is>
      </c>
      <c r="G2604" t="inlineStr">
        <is>
          <t>Tuesday</t>
        </is>
      </c>
      <c r="H2604" t="inlineStr">
        <is>
          <t>Monthly - Tuesday</t>
        </is>
      </c>
      <c r="I2604" t="inlineStr">
        <is>
          <t>Monthly - Tuesday</t>
        </is>
      </c>
      <c r="J2604" t="inlineStr">
        <is>
          <t>Month+14 Expiry</t>
        </is>
      </c>
      <c r="K2604" s="25" t="n">
        <v>1</v>
      </c>
      <c r="L2604" s="26" t="n">
        <v>0.0014</v>
      </c>
      <c r="M2604" s="26" t="n">
        <v>0</v>
      </c>
    </row>
    <row r="2605" ht="16" customHeight="1">
      <c r="A2605" t="inlineStr">
        <is>
          <t>01-Apr-2026</t>
        </is>
      </c>
      <c r="B2605" t="inlineStr">
        <is>
          <t>Wednesday</t>
        </is>
      </c>
      <c r="C2605" t="inlineStr">
        <is>
          <t>Week1-Apr-2026</t>
        </is>
      </c>
      <c r="D2605" s="78" t="n">
        <v>46113</v>
      </c>
      <c r="E2605" t="inlineStr">
        <is>
          <t>Q1FY27</t>
        </is>
      </c>
      <c r="F2605" t="inlineStr">
        <is>
          <t>28-Dec-2027</t>
        </is>
      </c>
      <c r="G2605" t="inlineStr">
        <is>
          <t>Tuesday</t>
        </is>
      </c>
      <c r="H2605" t="inlineStr">
        <is>
          <t>Monthly - Tuesday</t>
        </is>
      </c>
      <c r="I2605" t="inlineStr">
        <is>
          <t>Monthly - Tuesday</t>
        </is>
      </c>
      <c r="J2605" t="inlineStr">
        <is>
          <t>Month+20 Expiry</t>
        </is>
      </c>
      <c r="K2605" s="25" t="n">
        <v>669</v>
      </c>
      <c r="L2605" s="26" t="n">
        <v>0.9772</v>
      </c>
      <c r="M2605" s="26" t="n">
        <v>0.041</v>
      </c>
    </row>
    <row r="2606" ht="16" customHeight="1">
      <c r="A2606" t="inlineStr">
        <is>
          <t>01-Apr-2026</t>
        </is>
      </c>
      <c r="B2606" t="inlineStr">
        <is>
          <t>Wednesday</t>
        </is>
      </c>
      <c r="C2606" t="inlineStr">
        <is>
          <t>Week1-Apr-2026</t>
        </is>
      </c>
      <c r="D2606" s="78" t="n">
        <v>46113</v>
      </c>
      <c r="E2606" t="inlineStr">
        <is>
          <t>Q1FY27</t>
        </is>
      </c>
      <c r="F2606" t="inlineStr">
        <is>
          <t>27-Jun-2028</t>
        </is>
      </c>
      <c r="G2606" t="inlineStr">
        <is>
          <t>Tuesday</t>
        </is>
      </c>
      <c r="H2606" t="inlineStr">
        <is>
          <t>Monthly - Tuesday</t>
        </is>
      </c>
      <c r="I2606" t="inlineStr">
        <is>
          <t>Monthly - Tuesday</t>
        </is>
      </c>
      <c r="J2606" t="inlineStr">
        <is>
          <t>Month+26 Expiry</t>
        </is>
      </c>
      <c r="K2606" s="25" t="n">
        <v>1</v>
      </c>
      <c r="L2606" s="26" t="n">
        <v>0.0015</v>
      </c>
      <c r="M2606" s="26" t="n">
        <v>0.0001</v>
      </c>
    </row>
    <row r="2607" ht="16" customHeight="1">
      <c r="A2607" t="inlineStr">
        <is>
          <t>01-Apr-2026</t>
        </is>
      </c>
      <c r="B2607" t="inlineStr">
        <is>
          <t>Wednesday</t>
        </is>
      </c>
      <c r="C2607" t="inlineStr">
        <is>
          <t>Week1-Apr-2026</t>
        </is>
      </c>
      <c r="D2607" s="78" t="n">
        <v>46113</v>
      </c>
      <c r="E2607" t="inlineStr">
        <is>
          <t>Q1FY27</t>
        </is>
      </c>
      <c r="F2607" t="inlineStr">
        <is>
          <t>26-Dec-2028</t>
        </is>
      </c>
      <c r="G2607" t="inlineStr">
        <is>
          <t>Tuesday</t>
        </is>
      </c>
      <c r="H2607" t="inlineStr">
        <is>
          <t>Monthly - Tuesday</t>
        </is>
      </c>
      <c r="I2607" t="inlineStr">
        <is>
          <t>Monthly - Tuesday</t>
        </is>
      </c>
      <c r="J2607" t="inlineStr">
        <is>
          <t>Month+32 Expiry</t>
        </is>
      </c>
      <c r="K2607" s="25" t="n">
        <v>22</v>
      </c>
      <c r="L2607" s="26" t="n">
        <v>0.0404</v>
      </c>
      <c r="M2607" s="26" t="n">
        <v>0.0026</v>
      </c>
    </row>
    <row r="2608" ht="16" customHeight="1">
      <c r="A2608" t="inlineStr">
        <is>
          <t>01-Apr-2026</t>
        </is>
      </c>
      <c r="B2608" t="inlineStr">
        <is>
          <t>Wednesday</t>
        </is>
      </c>
      <c r="C2608" t="inlineStr">
        <is>
          <t>Week1-Apr-2026</t>
        </is>
      </c>
      <c r="D2608" s="78" t="n">
        <v>46113</v>
      </c>
      <c r="E2608" t="inlineStr">
        <is>
          <t>Q1FY27</t>
        </is>
      </c>
      <c r="F2608" t="inlineStr">
        <is>
          <t>26-Jun-2029</t>
        </is>
      </c>
      <c r="G2608" t="inlineStr">
        <is>
          <t>Tuesday</t>
        </is>
      </c>
      <c r="H2608" t="inlineStr">
        <is>
          <t>Monthly - Tuesday</t>
        </is>
      </c>
      <c r="I2608" t="inlineStr">
        <is>
          <t>Monthly - Tuesday</t>
        </is>
      </c>
      <c r="J2608" t="inlineStr">
        <is>
          <t>Month+38 Expiry</t>
        </is>
      </c>
      <c r="K2608" s="25" t="n">
        <v>0</v>
      </c>
      <c r="L2608" s="26" t="n">
        <v>0</v>
      </c>
      <c r="M2608" s="26" t="n">
        <v>0</v>
      </c>
    </row>
    <row r="2609" ht="16" customHeight="1">
      <c r="A2609" t="inlineStr">
        <is>
          <t>01-Apr-2026</t>
        </is>
      </c>
      <c r="B2609" t="inlineStr">
        <is>
          <t>Wednesday</t>
        </is>
      </c>
      <c r="C2609" t="inlineStr">
        <is>
          <t>Week1-Apr-2026</t>
        </is>
      </c>
      <c r="D2609" s="78" t="n">
        <v>46113</v>
      </c>
      <c r="E2609" t="inlineStr">
        <is>
          <t>Q1FY27</t>
        </is>
      </c>
      <c r="F2609" t="inlineStr">
        <is>
          <t>24-Dec-2029</t>
        </is>
      </c>
      <c r="G2609" t="inlineStr">
        <is>
          <t>Monday</t>
        </is>
      </c>
      <c r="H2609" t="inlineStr">
        <is>
          <t>Weekly - Monday</t>
        </is>
      </c>
      <c r="I2609" t="inlineStr">
        <is>
          <t>Weekly - Monday</t>
        </is>
      </c>
      <c r="J2609" t="inlineStr">
        <is>
          <t>Month+44 Expiry</t>
        </is>
      </c>
      <c r="K2609" s="25" t="n">
        <v>11</v>
      </c>
      <c r="L2609" s="26" t="n">
        <v>0.0172</v>
      </c>
      <c r="M2609" s="26" t="n">
        <v>0.0008</v>
      </c>
    </row>
    <row r="2610" ht="16" customHeight="1">
      <c r="A2610" t="inlineStr">
        <is>
          <t>01-Apr-2026</t>
        </is>
      </c>
      <c r="B2610" t="inlineStr">
        <is>
          <t>Wednesday</t>
        </is>
      </c>
      <c r="C2610" t="inlineStr">
        <is>
          <t>Week1-Apr-2026</t>
        </is>
      </c>
      <c r="D2610" s="78" t="n">
        <v>46113</v>
      </c>
      <c r="E2610" t="inlineStr">
        <is>
          <t>Q1FY27</t>
        </is>
      </c>
      <c r="F2610" t="inlineStr">
        <is>
          <t>25-Jun-2030</t>
        </is>
      </c>
      <c r="G2610" t="inlineStr">
        <is>
          <t>Tuesday</t>
        </is>
      </c>
      <c r="H2610" t="inlineStr">
        <is>
          <t>Monthly - Tuesday</t>
        </is>
      </c>
      <c r="I2610" t="inlineStr">
        <is>
          <t>Monthly - Tuesday</t>
        </is>
      </c>
      <c r="J2610" t="inlineStr">
        <is>
          <t>Month+50 Expiry</t>
        </is>
      </c>
      <c r="K2610" s="25" t="n">
        <v>0</v>
      </c>
      <c r="L2610" s="26" t="n">
        <v>0</v>
      </c>
      <c r="M2610" s="26" t="n">
        <v>0</v>
      </c>
    </row>
    <row r="2611" ht="16" customHeight="1">
      <c r="A2611" t="inlineStr">
        <is>
          <t>01-Apr-2026</t>
        </is>
      </c>
      <c r="B2611" t="inlineStr">
        <is>
          <t>Wednesday</t>
        </is>
      </c>
      <c r="C2611" t="inlineStr">
        <is>
          <t>Week1-Apr-2026</t>
        </is>
      </c>
      <c r="D2611" s="78" t="n">
        <v>46113</v>
      </c>
      <c r="E2611" t="inlineStr">
        <is>
          <t>Q1FY27</t>
        </is>
      </c>
      <c r="F2611" t="inlineStr">
        <is>
          <t>31-Dec-2030</t>
        </is>
      </c>
      <c r="G2611" t="inlineStr">
        <is>
          <t>Tuesday</t>
        </is>
      </c>
      <c r="H2611" t="inlineStr">
        <is>
          <t>Monthly - Tuesday</t>
        </is>
      </c>
      <c r="I2611" t="inlineStr">
        <is>
          <t>Monthly - Tuesday</t>
        </is>
      </c>
      <c r="J2611" t="inlineStr">
        <is>
          <t>Month+56 Expiry</t>
        </is>
      </c>
      <c r="K2611" s="25" t="n">
        <v>0</v>
      </c>
      <c r="L2611" s="26" t="n">
        <v>0</v>
      </c>
      <c r="M2611" s="26" t="n">
        <v>0</v>
      </c>
    </row>
    <row r="2612" ht="16" customHeight="1">
      <c r="A2612" t="inlineStr">
        <is>
          <t>02-Apr-2026</t>
        </is>
      </c>
      <c r="B2612" t="inlineStr">
        <is>
          <t>Thursday</t>
        </is>
      </c>
      <c r="C2612" t="inlineStr">
        <is>
          <t>Week1-Apr-2026</t>
        </is>
      </c>
      <c r="D2612" s="78" t="n">
        <v>46113</v>
      </c>
      <c r="E2612" t="inlineStr">
        <is>
          <t>Q1FY27</t>
        </is>
      </c>
      <c r="F2612" t="inlineStr">
        <is>
          <t>07-Apr-2026</t>
        </is>
      </c>
      <c r="G2612" t="inlineStr">
        <is>
          <t>Tuesday</t>
        </is>
      </c>
      <c r="H2612" t="inlineStr">
        <is>
          <t>Weekly - Tuesday</t>
        </is>
      </c>
      <c r="I2612" t="inlineStr">
        <is>
          <t>Weekly - Tuesday</t>
        </is>
      </c>
      <c r="J2612" t="inlineStr">
        <is>
          <t>Same Month Expiry</t>
        </is>
      </c>
      <c r="K2612" s="25" t="n">
        <v>43307408</v>
      </c>
      <c r="L2612" s="26" t="n">
        <v>63887.8725</v>
      </c>
      <c r="M2612" s="26" t="n">
        <v>406.2145</v>
      </c>
    </row>
    <row r="2613" ht="16" customHeight="1">
      <c r="A2613" t="inlineStr">
        <is>
          <t>02-Apr-2026</t>
        </is>
      </c>
      <c r="B2613" t="inlineStr">
        <is>
          <t>Thursday</t>
        </is>
      </c>
      <c r="C2613" t="inlineStr">
        <is>
          <t>Week1-Apr-2026</t>
        </is>
      </c>
      <c r="D2613" s="78" t="n">
        <v>46113</v>
      </c>
      <c r="E2613" t="inlineStr">
        <is>
          <t>Q1FY27</t>
        </is>
      </c>
      <c r="F2613" t="inlineStr">
        <is>
          <t>13-Apr-2026</t>
        </is>
      </c>
      <c r="G2613" t="inlineStr">
        <is>
          <t>Monday</t>
        </is>
      </c>
      <c r="H2613" t="inlineStr">
        <is>
          <t>Weekly - Monday</t>
        </is>
      </c>
      <c r="I2613" t="inlineStr">
        <is>
          <t>Weekly - Monday</t>
        </is>
      </c>
      <c r="J2613" t="inlineStr">
        <is>
          <t>Same Month Expiry</t>
        </is>
      </c>
      <c r="K2613" s="25" t="n">
        <v>1511189</v>
      </c>
      <c r="L2613" s="26" t="n">
        <v>2260.5618</v>
      </c>
      <c r="M2613" s="26" t="n">
        <v>21.1064</v>
      </c>
    </row>
    <row r="2614" ht="16" customHeight="1">
      <c r="A2614" t="inlineStr">
        <is>
          <t>02-Apr-2026</t>
        </is>
      </c>
      <c r="B2614" t="inlineStr">
        <is>
          <t>Thursday</t>
        </is>
      </c>
      <c r="C2614" t="inlineStr">
        <is>
          <t>Week1-Apr-2026</t>
        </is>
      </c>
      <c r="D2614" s="78" t="n">
        <v>46113</v>
      </c>
      <c r="E2614" t="inlineStr">
        <is>
          <t>Q1FY27</t>
        </is>
      </c>
      <c r="F2614" t="inlineStr">
        <is>
          <t>21-Apr-2026</t>
        </is>
      </c>
      <c r="G2614" t="inlineStr">
        <is>
          <t>Tuesday</t>
        </is>
      </c>
      <c r="H2614" t="inlineStr">
        <is>
          <t>Weekly - Tuesday</t>
        </is>
      </c>
      <c r="I2614" t="inlineStr">
        <is>
          <t>Weekly - Tuesday</t>
        </is>
      </c>
      <c r="J2614" t="inlineStr">
        <is>
          <t>Same Month Expiry</t>
        </is>
      </c>
      <c r="K2614" s="25" t="n">
        <v>43942</v>
      </c>
      <c r="L2614" s="26" t="n">
        <v>67.1534</v>
      </c>
      <c r="M2614" s="26" t="n">
        <v>0.8280999999999999</v>
      </c>
    </row>
    <row r="2615" ht="16" customHeight="1">
      <c r="A2615" t="inlineStr">
        <is>
          <t>02-Apr-2026</t>
        </is>
      </c>
      <c r="B2615" t="inlineStr">
        <is>
          <t>Thursday</t>
        </is>
      </c>
      <c r="C2615" t="inlineStr">
        <is>
          <t>Week1-Apr-2026</t>
        </is>
      </c>
      <c r="D2615" s="78" t="n">
        <v>46113</v>
      </c>
      <c r="E2615" t="inlineStr">
        <is>
          <t>Q1FY27</t>
        </is>
      </c>
      <c r="F2615" t="inlineStr">
        <is>
          <t>28-Apr-2026</t>
        </is>
      </c>
      <c r="G2615" t="inlineStr">
        <is>
          <t>Tuesday</t>
        </is>
      </c>
      <c r="H2615" t="inlineStr">
        <is>
          <t>Monthly - Tuesday</t>
        </is>
      </c>
      <c r="I2615" t="inlineStr">
        <is>
          <t>Monthly - Tuesday</t>
        </is>
      </c>
      <c r="J2615" t="inlineStr">
        <is>
          <t>Same Month Expiry</t>
        </is>
      </c>
      <c r="K2615" s="25" t="n">
        <v>1390796</v>
      </c>
      <c r="L2615" s="26" t="n">
        <v>2130.8627</v>
      </c>
      <c r="M2615" s="26" t="n">
        <v>34.5135</v>
      </c>
    </row>
    <row r="2616" ht="16" customHeight="1">
      <c r="A2616" t="inlineStr">
        <is>
          <t>02-Apr-2026</t>
        </is>
      </c>
      <c r="B2616" t="inlineStr">
        <is>
          <t>Thursday</t>
        </is>
      </c>
      <c r="C2616" t="inlineStr">
        <is>
          <t>Week1-Apr-2026</t>
        </is>
      </c>
      <c r="D2616" s="78" t="n">
        <v>46113</v>
      </c>
      <c r="E2616" t="inlineStr">
        <is>
          <t>Q1FY27</t>
        </is>
      </c>
      <c r="F2616" t="inlineStr">
        <is>
          <t>05-May-2026</t>
        </is>
      </c>
      <c r="G2616" t="inlineStr">
        <is>
          <t>Tuesday</t>
        </is>
      </c>
      <c r="H2616" t="inlineStr">
        <is>
          <t>Weekly - Tuesday</t>
        </is>
      </c>
      <c r="I2616" t="inlineStr">
        <is>
          <t>Weekly - Tuesday</t>
        </is>
      </c>
      <c r="J2616" t="inlineStr">
        <is>
          <t>Month+1 Expiry</t>
        </is>
      </c>
      <c r="K2616" s="25" t="n">
        <v>2235</v>
      </c>
      <c r="L2616" s="26" t="n">
        <v>3.5716</v>
      </c>
      <c r="M2616" s="26" t="n">
        <v>0.022</v>
      </c>
    </row>
    <row r="2617" ht="16" customHeight="1">
      <c r="A2617" t="inlineStr">
        <is>
          <t>02-Apr-2026</t>
        </is>
      </c>
      <c r="B2617" t="inlineStr">
        <is>
          <t>Thursday</t>
        </is>
      </c>
      <c r="C2617" t="inlineStr">
        <is>
          <t>Week1-Apr-2026</t>
        </is>
      </c>
      <c r="D2617" s="78" t="n">
        <v>46113</v>
      </c>
      <c r="E2617" t="inlineStr">
        <is>
          <t>Q1FY27</t>
        </is>
      </c>
      <c r="F2617" t="inlineStr">
        <is>
          <t>26-May-2026</t>
        </is>
      </c>
      <c r="G2617" t="inlineStr">
        <is>
          <t>Tuesday</t>
        </is>
      </c>
      <c r="H2617" t="inlineStr">
        <is>
          <t>Monthly - Tuesday</t>
        </is>
      </c>
      <c r="I2617" t="inlineStr">
        <is>
          <t>Monthly - Tuesday</t>
        </is>
      </c>
      <c r="J2617" t="inlineStr">
        <is>
          <t>Month+1 Expiry</t>
        </is>
      </c>
      <c r="K2617" s="25" t="n">
        <v>157837</v>
      </c>
      <c r="L2617" s="26" t="n">
        <v>247.863</v>
      </c>
      <c r="M2617" s="26" t="n">
        <v>3.7973</v>
      </c>
    </row>
    <row r="2618" ht="16" customHeight="1">
      <c r="A2618" t="inlineStr">
        <is>
          <t>02-Apr-2026</t>
        </is>
      </c>
      <c r="B2618" t="inlineStr">
        <is>
          <t>Thursday</t>
        </is>
      </c>
      <c r="C2618" t="inlineStr">
        <is>
          <t>Week1-Apr-2026</t>
        </is>
      </c>
      <c r="D2618" s="78" t="n">
        <v>46113</v>
      </c>
      <c r="E2618" t="inlineStr">
        <is>
          <t>Q1FY27</t>
        </is>
      </c>
      <c r="F2618" t="inlineStr">
        <is>
          <t>30-Jun-2026</t>
        </is>
      </c>
      <c r="G2618" t="inlineStr">
        <is>
          <t>Tuesday</t>
        </is>
      </c>
      <c r="H2618" t="inlineStr">
        <is>
          <t>Monthly - Tuesday</t>
        </is>
      </c>
      <c r="I2618" t="inlineStr">
        <is>
          <t>Monthly - Tuesday</t>
        </is>
      </c>
      <c r="J2618" t="inlineStr">
        <is>
          <t>Month+2 Expiry</t>
        </is>
      </c>
      <c r="K2618" s="25" t="n">
        <v>149218</v>
      </c>
      <c r="L2618" s="26" t="n">
        <v>226.0678</v>
      </c>
      <c r="M2618" s="26" t="n">
        <v>5.3108</v>
      </c>
    </row>
    <row r="2619" ht="16" customHeight="1">
      <c r="A2619" t="inlineStr">
        <is>
          <t>02-Apr-2026</t>
        </is>
      </c>
      <c r="B2619" t="inlineStr">
        <is>
          <t>Thursday</t>
        </is>
      </c>
      <c r="C2619" t="inlineStr">
        <is>
          <t>Week1-Apr-2026</t>
        </is>
      </c>
      <c r="D2619" s="78" t="n">
        <v>46113</v>
      </c>
      <c r="E2619" t="inlineStr">
        <is>
          <t>Q1FY27</t>
        </is>
      </c>
      <c r="F2619" t="inlineStr">
        <is>
          <t>29-Sep-2026</t>
        </is>
      </c>
      <c r="G2619" t="inlineStr">
        <is>
          <t>Tuesday</t>
        </is>
      </c>
      <c r="H2619" t="inlineStr">
        <is>
          <t>Monthly - Tuesday</t>
        </is>
      </c>
      <c r="I2619" t="inlineStr">
        <is>
          <t>Monthly - Tuesday</t>
        </is>
      </c>
      <c r="J2619" t="inlineStr">
        <is>
          <t>Month+5 Expiry</t>
        </is>
      </c>
      <c r="K2619" s="25" t="n">
        <v>18855</v>
      </c>
      <c r="L2619" s="26" t="n">
        <v>30.4115</v>
      </c>
      <c r="M2619" s="26" t="n">
        <v>0.8661</v>
      </c>
    </row>
    <row r="2620" ht="16" customHeight="1">
      <c r="A2620" t="inlineStr">
        <is>
          <t>02-Apr-2026</t>
        </is>
      </c>
      <c r="B2620" t="inlineStr">
        <is>
          <t>Thursday</t>
        </is>
      </c>
      <c r="C2620" t="inlineStr">
        <is>
          <t>Week1-Apr-2026</t>
        </is>
      </c>
      <c r="D2620" s="78" t="n">
        <v>46113</v>
      </c>
      <c r="E2620" t="inlineStr">
        <is>
          <t>Q1FY27</t>
        </is>
      </c>
      <c r="F2620" t="inlineStr">
        <is>
          <t>29-Dec-2026</t>
        </is>
      </c>
      <c r="G2620" t="inlineStr">
        <is>
          <t>Tuesday</t>
        </is>
      </c>
      <c r="H2620" t="inlineStr">
        <is>
          <t>Monthly - Tuesday</t>
        </is>
      </c>
      <c r="I2620" t="inlineStr">
        <is>
          <t>Monthly - Tuesday</t>
        </is>
      </c>
      <c r="J2620" t="inlineStr">
        <is>
          <t>Month+8 Expiry</t>
        </is>
      </c>
      <c r="K2620" s="25" t="n">
        <v>69231</v>
      </c>
      <c r="L2620" s="26" t="n">
        <v>112.5308</v>
      </c>
      <c r="M2620" s="26" t="n">
        <v>3.1025</v>
      </c>
    </row>
    <row r="2621" ht="16" customHeight="1">
      <c r="A2621" t="inlineStr">
        <is>
          <t>02-Apr-2026</t>
        </is>
      </c>
      <c r="B2621" t="inlineStr">
        <is>
          <t>Thursday</t>
        </is>
      </c>
      <c r="C2621" t="inlineStr">
        <is>
          <t>Week1-Apr-2026</t>
        </is>
      </c>
      <c r="D2621" s="78" t="n">
        <v>46113</v>
      </c>
      <c r="E2621" t="inlineStr">
        <is>
          <t>Q1FY27</t>
        </is>
      </c>
      <c r="F2621" t="inlineStr">
        <is>
          <t>30-Mar-2027</t>
        </is>
      </c>
      <c r="G2621" t="inlineStr">
        <is>
          <t>Tuesday</t>
        </is>
      </c>
      <c r="H2621" t="inlineStr">
        <is>
          <t>Monthly - Tuesday</t>
        </is>
      </c>
      <c r="I2621" t="inlineStr">
        <is>
          <t>Monthly - Tuesday</t>
        </is>
      </c>
      <c r="J2621" t="inlineStr">
        <is>
          <t>Month+11 Expiry</t>
        </is>
      </c>
      <c r="K2621" s="25" t="n">
        <v>0</v>
      </c>
      <c r="L2621" s="26" t="n">
        <v>0</v>
      </c>
      <c r="M2621" s="26" t="n">
        <v>0</v>
      </c>
    </row>
    <row r="2622" ht="16" customHeight="1">
      <c r="A2622" t="inlineStr">
        <is>
          <t>02-Apr-2026</t>
        </is>
      </c>
      <c r="B2622" t="inlineStr">
        <is>
          <t>Thursday</t>
        </is>
      </c>
      <c r="C2622" t="inlineStr">
        <is>
          <t>Week1-Apr-2026</t>
        </is>
      </c>
      <c r="D2622" s="78" t="n">
        <v>46113</v>
      </c>
      <c r="E2622" t="inlineStr">
        <is>
          <t>Q1FY27</t>
        </is>
      </c>
      <c r="F2622" t="inlineStr">
        <is>
          <t>29-Jun-2027</t>
        </is>
      </c>
      <c r="G2622" t="inlineStr">
        <is>
          <t>Tuesday</t>
        </is>
      </c>
      <c r="H2622" t="inlineStr">
        <is>
          <t>Monthly - Tuesday</t>
        </is>
      </c>
      <c r="I2622" t="inlineStr">
        <is>
          <t>Monthly - Tuesday</t>
        </is>
      </c>
      <c r="J2622" t="inlineStr">
        <is>
          <t>Month+14 Expiry</t>
        </is>
      </c>
      <c r="K2622" s="25" t="n">
        <v>13</v>
      </c>
      <c r="L2622" s="26" t="n">
        <v>0.0162</v>
      </c>
      <c r="M2622" s="26" t="n">
        <v>0.0002</v>
      </c>
    </row>
    <row r="2623" ht="16" customHeight="1">
      <c r="A2623" t="inlineStr">
        <is>
          <t>02-Apr-2026</t>
        </is>
      </c>
      <c r="B2623" t="inlineStr">
        <is>
          <t>Thursday</t>
        </is>
      </c>
      <c r="C2623" t="inlineStr">
        <is>
          <t>Week1-Apr-2026</t>
        </is>
      </c>
      <c r="D2623" s="78" t="n">
        <v>46113</v>
      </c>
      <c r="E2623" t="inlineStr">
        <is>
          <t>Q1FY27</t>
        </is>
      </c>
      <c r="F2623" t="inlineStr">
        <is>
          <t>28-Dec-2027</t>
        </is>
      </c>
      <c r="G2623" t="inlineStr">
        <is>
          <t>Tuesday</t>
        </is>
      </c>
      <c r="H2623" t="inlineStr">
        <is>
          <t>Monthly - Tuesday</t>
        </is>
      </c>
      <c r="I2623" t="inlineStr">
        <is>
          <t>Monthly - Tuesday</t>
        </is>
      </c>
      <c r="J2623" t="inlineStr">
        <is>
          <t>Month+20 Expiry</t>
        </is>
      </c>
      <c r="K2623" s="25" t="n">
        <v>514</v>
      </c>
      <c r="L2623" s="26" t="n">
        <v>0.8626</v>
      </c>
      <c r="M2623" s="26" t="n">
        <v>0.0486</v>
      </c>
    </row>
    <row r="2624" ht="16" customHeight="1">
      <c r="A2624" t="inlineStr">
        <is>
          <t>02-Apr-2026</t>
        </is>
      </c>
      <c r="B2624" t="inlineStr">
        <is>
          <t>Thursday</t>
        </is>
      </c>
      <c r="C2624" t="inlineStr">
        <is>
          <t>Week1-Apr-2026</t>
        </is>
      </c>
      <c r="D2624" s="78" t="n">
        <v>46113</v>
      </c>
      <c r="E2624" t="inlineStr">
        <is>
          <t>Q1FY27</t>
        </is>
      </c>
      <c r="F2624" t="inlineStr">
        <is>
          <t>27-Jun-2028</t>
        </is>
      </c>
      <c r="G2624" t="inlineStr">
        <is>
          <t>Tuesday</t>
        </is>
      </c>
      <c r="H2624" t="inlineStr">
        <is>
          <t>Monthly - Tuesday</t>
        </is>
      </c>
      <c r="I2624" t="inlineStr">
        <is>
          <t>Monthly - Tuesday</t>
        </is>
      </c>
      <c r="J2624" t="inlineStr">
        <is>
          <t>Month+26 Expiry</t>
        </is>
      </c>
      <c r="K2624" s="25" t="n">
        <v>0</v>
      </c>
      <c r="L2624" s="26" t="n">
        <v>0</v>
      </c>
      <c r="M2624" s="26" t="n">
        <v>0</v>
      </c>
    </row>
    <row r="2625" ht="16" customHeight="1">
      <c r="A2625" t="inlineStr">
        <is>
          <t>02-Apr-2026</t>
        </is>
      </c>
      <c r="B2625" t="inlineStr">
        <is>
          <t>Thursday</t>
        </is>
      </c>
      <c r="C2625" t="inlineStr">
        <is>
          <t>Week1-Apr-2026</t>
        </is>
      </c>
      <c r="D2625" s="78" t="n">
        <v>46113</v>
      </c>
      <c r="E2625" t="inlineStr">
        <is>
          <t>Q1FY27</t>
        </is>
      </c>
      <c r="F2625" t="inlineStr">
        <is>
          <t>26-Dec-2028</t>
        </is>
      </c>
      <c r="G2625" t="inlineStr">
        <is>
          <t>Tuesday</t>
        </is>
      </c>
      <c r="H2625" t="inlineStr">
        <is>
          <t>Monthly - Tuesday</t>
        </is>
      </c>
      <c r="I2625" t="inlineStr">
        <is>
          <t>Monthly - Tuesday</t>
        </is>
      </c>
      <c r="J2625" t="inlineStr">
        <is>
          <t>Month+32 Expiry</t>
        </is>
      </c>
      <c r="K2625" s="25" t="n">
        <v>49</v>
      </c>
      <c r="L2625" s="26" t="n">
        <v>0.0944</v>
      </c>
      <c r="M2625" s="26" t="n">
        <v>0.006</v>
      </c>
    </row>
    <row r="2626" ht="16" customHeight="1">
      <c r="A2626" t="inlineStr">
        <is>
          <t>02-Apr-2026</t>
        </is>
      </c>
      <c r="B2626" t="inlineStr">
        <is>
          <t>Thursday</t>
        </is>
      </c>
      <c r="C2626" t="inlineStr">
        <is>
          <t>Week1-Apr-2026</t>
        </is>
      </c>
      <c r="D2626" s="78" t="n">
        <v>46113</v>
      </c>
      <c r="E2626" t="inlineStr">
        <is>
          <t>Q1FY27</t>
        </is>
      </c>
      <c r="F2626" t="inlineStr">
        <is>
          <t>26-Jun-2029</t>
        </is>
      </c>
      <c r="G2626" t="inlineStr">
        <is>
          <t>Tuesday</t>
        </is>
      </c>
      <c r="H2626" t="inlineStr">
        <is>
          <t>Monthly - Tuesday</t>
        </is>
      </c>
      <c r="I2626" t="inlineStr">
        <is>
          <t>Monthly - Tuesday</t>
        </is>
      </c>
      <c r="J2626" t="inlineStr">
        <is>
          <t>Month+38 Expiry</t>
        </is>
      </c>
      <c r="K2626" s="25" t="n">
        <v>0</v>
      </c>
      <c r="L2626" s="26" t="n">
        <v>0</v>
      </c>
      <c r="M2626" s="26" t="n">
        <v>0</v>
      </c>
    </row>
    <row r="2627" ht="16" customHeight="1">
      <c r="A2627" t="inlineStr">
        <is>
          <t>02-Apr-2026</t>
        </is>
      </c>
      <c r="B2627" t="inlineStr">
        <is>
          <t>Thursday</t>
        </is>
      </c>
      <c r="C2627" t="inlineStr">
        <is>
          <t>Week1-Apr-2026</t>
        </is>
      </c>
      <c r="D2627" s="78" t="n">
        <v>46113</v>
      </c>
      <c r="E2627" t="inlineStr">
        <is>
          <t>Q1FY27</t>
        </is>
      </c>
      <c r="F2627" t="inlineStr">
        <is>
          <t>24-Dec-2029</t>
        </is>
      </c>
      <c r="G2627" t="inlineStr">
        <is>
          <t>Monday</t>
        </is>
      </c>
      <c r="H2627" t="inlineStr">
        <is>
          <t>Weekly - Monday</t>
        </is>
      </c>
      <c r="I2627" t="inlineStr">
        <is>
          <t>Weekly - Monday</t>
        </is>
      </c>
      <c r="J2627" t="inlineStr">
        <is>
          <t>Month+44 Expiry</t>
        </is>
      </c>
      <c r="K2627" s="25" t="n">
        <v>5</v>
      </c>
      <c r="L2627" s="26" t="n">
        <v>0.007900000000000001</v>
      </c>
      <c r="M2627" s="26" t="n">
        <v>0.0005</v>
      </c>
    </row>
    <row r="2628" ht="16" customHeight="1">
      <c r="A2628" t="inlineStr">
        <is>
          <t>02-Apr-2026</t>
        </is>
      </c>
      <c r="B2628" t="inlineStr">
        <is>
          <t>Thursday</t>
        </is>
      </c>
      <c r="C2628" t="inlineStr">
        <is>
          <t>Week1-Apr-2026</t>
        </is>
      </c>
      <c r="D2628" s="78" t="n">
        <v>46113</v>
      </c>
      <c r="E2628" t="inlineStr">
        <is>
          <t>Q1FY27</t>
        </is>
      </c>
      <c r="F2628" t="inlineStr">
        <is>
          <t>25-Jun-2030</t>
        </is>
      </c>
      <c r="G2628" t="inlineStr">
        <is>
          <t>Tuesday</t>
        </is>
      </c>
      <c r="H2628" t="inlineStr">
        <is>
          <t>Monthly - Tuesday</t>
        </is>
      </c>
      <c r="I2628" t="inlineStr">
        <is>
          <t>Monthly - Tuesday</t>
        </is>
      </c>
      <c r="J2628" t="inlineStr">
        <is>
          <t>Month+50 Expiry</t>
        </is>
      </c>
      <c r="K2628" s="25" t="n">
        <v>0</v>
      </c>
      <c r="L2628" s="26" t="n">
        <v>0</v>
      </c>
      <c r="M2628" s="26" t="n">
        <v>0</v>
      </c>
    </row>
    <row r="2629" ht="16" customHeight="1">
      <c r="A2629" t="inlineStr">
        <is>
          <t>02-Apr-2026</t>
        </is>
      </c>
      <c r="B2629" t="inlineStr">
        <is>
          <t>Thursday</t>
        </is>
      </c>
      <c r="C2629" t="inlineStr">
        <is>
          <t>Week1-Apr-2026</t>
        </is>
      </c>
      <c r="D2629" s="78" t="n">
        <v>46113</v>
      </c>
      <c r="E2629" t="inlineStr">
        <is>
          <t>Q1FY27</t>
        </is>
      </c>
      <c r="F2629" t="inlineStr">
        <is>
          <t>31-Dec-2030</t>
        </is>
      </c>
      <c r="G2629" t="inlineStr">
        <is>
          <t>Tuesday</t>
        </is>
      </c>
      <c r="H2629" t="inlineStr">
        <is>
          <t>Monthly - Tuesday</t>
        </is>
      </c>
      <c r="I2629" t="inlineStr">
        <is>
          <t>Monthly - Tuesday</t>
        </is>
      </c>
      <c r="J2629" t="inlineStr">
        <is>
          <t>Month+56 Expiry</t>
        </is>
      </c>
      <c r="K2629" s="25" t="n">
        <v>0</v>
      </c>
      <c r="L2629" s="26" t="n">
        <v>0</v>
      </c>
      <c r="M2629" s="26" t="n">
        <v>0</v>
      </c>
    </row>
    <row r="2630" ht="16" customHeight="1">
      <c r="A2630" t="inlineStr">
        <is>
          <t>06-Apr-2026</t>
        </is>
      </c>
      <c r="B2630" t="inlineStr">
        <is>
          <t>Monday</t>
        </is>
      </c>
      <c r="C2630" t="inlineStr">
        <is>
          <t>Week1-Apr-2026</t>
        </is>
      </c>
      <c r="D2630" s="78" t="n">
        <v>46113</v>
      </c>
      <c r="E2630" t="inlineStr">
        <is>
          <t>Q1FY27</t>
        </is>
      </c>
      <c r="F2630" t="inlineStr">
        <is>
          <t>07-Apr-2026</t>
        </is>
      </c>
      <c r="G2630" t="inlineStr">
        <is>
          <t>Tuesday</t>
        </is>
      </c>
      <c r="H2630" t="inlineStr">
        <is>
          <t>Weekly - Tuesday</t>
        </is>
      </c>
      <c r="I2630" t="inlineStr">
        <is>
          <t>Weekly - Tuesday</t>
        </is>
      </c>
      <c r="J2630" t="inlineStr">
        <is>
          <t>Same Month Expiry</t>
        </is>
      </c>
      <c r="K2630" s="25" t="n">
        <v>122440819</v>
      </c>
      <c r="L2630" s="26" t="n">
        <v>181794.1273</v>
      </c>
      <c r="M2630" s="26" t="n">
        <v>807.782</v>
      </c>
    </row>
    <row r="2631" ht="16" customHeight="1">
      <c r="A2631" t="inlineStr">
        <is>
          <t>06-Apr-2026</t>
        </is>
      </c>
      <c r="B2631" t="inlineStr">
        <is>
          <t>Monday</t>
        </is>
      </c>
      <c r="C2631" t="inlineStr">
        <is>
          <t>Week1-Apr-2026</t>
        </is>
      </c>
      <c r="D2631" s="78" t="n">
        <v>46113</v>
      </c>
      <c r="E2631" t="inlineStr">
        <is>
          <t>Q1FY27</t>
        </is>
      </c>
      <c r="F2631" t="inlineStr">
        <is>
          <t>13-Apr-2026</t>
        </is>
      </c>
      <c r="G2631" t="inlineStr">
        <is>
          <t>Monday</t>
        </is>
      </c>
      <c r="H2631" t="inlineStr">
        <is>
          <t>Weekly - Monday</t>
        </is>
      </c>
      <c r="I2631" t="inlineStr">
        <is>
          <t>Weekly - Monday</t>
        </is>
      </c>
      <c r="J2631" t="inlineStr">
        <is>
          <t>Same Month Expiry</t>
        </is>
      </c>
      <c r="K2631" s="25" t="n">
        <v>4018798</v>
      </c>
      <c r="L2631" s="26" t="n">
        <v>6012.3608</v>
      </c>
      <c r="M2631" s="26" t="n">
        <v>42.0481</v>
      </c>
    </row>
    <row r="2632" ht="16" customHeight="1">
      <c r="A2632" t="inlineStr">
        <is>
          <t>06-Apr-2026</t>
        </is>
      </c>
      <c r="B2632" t="inlineStr">
        <is>
          <t>Monday</t>
        </is>
      </c>
      <c r="C2632" t="inlineStr">
        <is>
          <t>Week1-Apr-2026</t>
        </is>
      </c>
      <c r="D2632" s="78" t="n">
        <v>46113</v>
      </c>
      <c r="E2632" t="inlineStr">
        <is>
          <t>Q1FY27</t>
        </is>
      </c>
      <c r="F2632" t="inlineStr">
        <is>
          <t>21-Apr-2026</t>
        </is>
      </c>
      <c r="G2632" t="inlineStr">
        <is>
          <t>Tuesday</t>
        </is>
      </c>
      <c r="H2632" t="inlineStr">
        <is>
          <t>Weekly - Tuesday</t>
        </is>
      </c>
      <c r="I2632" t="inlineStr">
        <is>
          <t>Weekly - Tuesday</t>
        </is>
      </c>
      <c r="J2632" t="inlineStr">
        <is>
          <t>Same Month Expiry</t>
        </is>
      </c>
      <c r="K2632" s="25" t="n">
        <v>106465</v>
      </c>
      <c r="L2632" s="26" t="n">
        <v>161.508</v>
      </c>
      <c r="M2632" s="26" t="n">
        <v>1.8286</v>
      </c>
    </row>
    <row r="2633" ht="16" customHeight="1">
      <c r="A2633" t="inlineStr">
        <is>
          <t>06-Apr-2026</t>
        </is>
      </c>
      <c r="B2633" t="inlineStr">
        <is>
          <t>Monday</t>
        </is>
      </c>
      <c r="C2633" t="inlineStr">
        <is>
          <t>Week1-Apr-2026</t>
        </is>
      </c>
      <c r="D2633" s="78" t="n">
        <v>46113</v>
      </c>
      <c r="E2633" t="inlineStr">
        <is>
          <t>Q1FY27</t>
        </is>
      </c>
      <c r="F2633" t="inlineStr">
        <is>
          <t>28-Apr-2026</t>
        </is>
      </c>
      <c r="G2633" t="inlineStr">
        <is>
          <t>Tuesday</t>
        </is>
      </c>
      <c r="H2633" t="inlineStr">
        <is>
          <t>Monthly - Tuesday</t>
        </is>
      </c>
      <c r="I2633" t="inlineStr">
        <is>
          <t>Monthly - Tuesday</t>
        </is>
      </c>
      <c r="J2633" t="inlineStr">
        <is>
          <t>Same Month Expiry</t>
        </is>
      </c>
      <c r="K2633" s="25" t="n">
        <v>1276429</v>
      </c>
      <c r="L2633" s="26" t="n">
        <v>1949.2843</v>
      </c>
      <c r="M2633" s="26" t="n">
        <v>28.5651</v>
      </c>
    </row>
    <row r="2634" ht="16" customHeight="1">
      <c r="A2634" t="inlineStr">
        <is>
          <t>06-Apr-2026</t>
        </is>
      </c>
      <c r="B2634" t="inlineStr">
        <is>
          <t>Monday</t>
        </is>
      </c>
      <c r="C2634" t="inlineStr">
        <is>
          <t>Week1-Apr-2026</t>
        </is>
      </c>
      <c r="D2634" s="78" t="n">
        <v>46113</v>
      </c>
      <c r="E2634" t="inlineStr">
        <is>
          <t>Q1FY27</t>
        </is>
      </c>
      <c r="F2634" t="inlineStr">
        <is>
          <t>05-May-2026</t>
        </is>
      </c>
      <c r="G2634" t="inlineStr">
        <is>
          <t>Tuesday</t>
        </is>
      </c>
      <c r="H2634" t="inlineStr">
        <is>
          <t>Weekly - Tuesday</t>
        </is>
      </c>
      <c r="I2634" t="inlineStr">
        <is>
          <t>Weekly - Tuesday</t>
        </is>
      </c>
      <c r="J2634" t="inlineStr">
        <is>
          <t>Month+1 Expiry</t>
        </is>
      </c>
      <c r="K2634" s="25" t="n">
        <v>3590</v>
      </c>
      <c r="L2634" s="26" t="n">
        <v>5.6979</v>
      </c>
      <c r="M2634" s="26" t="n">
        <v>0.0558</v>
      </c>
    </row>
    <row r="2635" ht="16" customHeight="1">
      <c r="A2635" t="inlineStr">
        <is>
          <t>06-Apr-2026</t>
        </is>
      </c>
      <c r="B2635" t="inlineStr">
        <is>
          <t>Monday</t>
        </is>
      </c>
      <c r="C2635" t="inlineStr">
        <is>
          <t>Week1-Apr-2026</t>
        </is>
      </c>
      <c r="D2635" s="78" t="n">
        <v>46113</v>
      </c>
      <c r="E2635" t="inlineStr">
        <is>
          <t>Q1FY27</t>
        </is>
      </c>
      <c r="F2635" t="inlineStr">
        <is>
          <t>26-May-2026</t>
        </is>
      </c>
      <c r="G2635" t="inlineStr">
        <is>
          <t>Tuesday</t>
        </is>
      </c>
      <c r="H2635" t="inlineStr">
        <is>
          <t>Monthly - Tuesday</t>
        </is>
      </c>
      <c r="I2635" t="inlineStr">
        <is>
          <t>Monthly - Tuesday</t>
        </is>
      </c>
      <c r="J2635" t="inlineStr">
        <is>
          <t>Month+1 Expiry</t>
        </is>
      </c>
      <c r="K2635" s="25" t="n">
        <v>126601</v>
      </c>
      <c r="L2635" s="26" t="n">
        <v>200.3779</v>
      </c>
      <c r="M2635" s="26" t="n">
        <v>3.074</v>
      </c>
    </row>
    <row r="2636" ht="16" customHeight="1">
      <c r="A2636" t="inlineStr">
        <is>
          <t>06-Apr-2026</t>
        </is>
      </c>
      <c r="B2636" t="inlineStr">
        <is>
          <t>Monday</t>
        </is>
      </c>
      <c r="C2636" t="inlineStr">
        <is>
          <t>Week1-Apr-2026</t>
        </is>
      </c>
      <c r="D2636" s="78" t="n">
        <v>46113</v>
      </c>
      <c r="E2636" t="inlineStr">
        <is>
          <t>Q1FY27</t>
        </is>
      </c>
      <c r="F2636" t="inlineStr">
        <is>
          <t>30-Jun-2026</t>
        </is>
      </c>
      <c r="G2636" t="inlineStr">
        <is>
          <t>Tuesday</t>
        </is>
      </c>
      <c r="H2636" t="inlineStr">
        <is>
          <t>Monthly - Tuesday</t>
        </is>
      </c>
      <c r="I2636" t="inlineStr">
        <is>
          <t>Monthly - Tuesday</t>
        </is>
      </c>
      <c r="J2636" t="inlineStr">
        <is>
          <t>Month+2 Expiry</t>
        </is>
      </c>
      <c r="K2636" s="25" t="n">
        <v>112765</v>
      </c>
      <c r="L2636" s="26" t="n">
        <v>172.8431</v>
      </c>
      <c r="M2636" s="26" t="n">
        <v>3.8658</v>
      </c>
    </row>
    <row r="2637" ht="16" customHeight="1">
      <c r="A2637" t="inlineStr">
        <is>
          <t>06-Apr-2026</t>
        </is>
      </c>
      <c r="B2637" t="inlineStr">
        <is>
          <t>Monday</t>
        </is>
      </c>
      <c r="C2637" t="inlineStr">
        <is>
          <t>Week1-Apr-2026</t>
        </is>
      </c>
      <c r="D2637" s="78" t="n">
        <v>46113</v>
      </c>
      <c r="E2637" t="inlineStr">
        <is>
          <t>Q1FY27</t>
        </is>
      </c>
      <c r="F2637" t="inlineStr">
        <is>
          <t>29-Sep-2026</t>
        </is>
      </c>
      <c r="G2637" t="inlineStr">
        <is>
          <t>Tuesday</t>
        </is>
      </c>
      <c r="H2637" t="inlineStr">
        <is>
          <t>Monthly - Tuesday</t>
        </is>
      </c>
      <c r="I2637" t="inlineStr">
        <is>
          <t>Monthly - Tuesday</t>
        </is>
      </c>
      <c r="J2637" t="inlineStr">
        <is>
          <t>Month+5 Expiry</t>
        </is>
      </c>
      <c r="K2637" s="25" t="n">
        <v>19133</v>
      </c>
      <c r="L2637" s="26" t="n">
        <v>31.3797</v>
      </c>
      <c r="M2637" s="26" t="n">
        <v>0.7103</v>
      </c>
    </row>
    <row r="2638" ht="16" customHeight="1">
      <c r="A2638" t="inlineStr">
        <is>
          <t>06-Apr-2026</t>
        </is>
      </c>
      <c r="B2638" t="inlineStr">
        <is>
          <t>Monday</t>
        </is>
      </c>
      <c r="C2638" t="inlineStr">
        <is>
          <t>Week1-Apr-2026</t>
        </is>
      </c>
      <c r="D2638" s="78" t="n">
        <v>46113</v>
      </c>
      <c r="E2638" t="inlineStr">
        <is>
          <t>Q1FY27</t>
        </is>
      </c>
      <c r="F2638" t="inlineStr">
        <is>
          <t>29-Dec-2026</t>
        </is>
      </c>
      <c r="G2638" t="inlineStr">
        <is>
          <t>Tuesday</t>
        </is>
      </c>
      <c r="H2638" t="inlineStr">
        <is>
          <t>Monthly - Tuesday</t>
        </is>
      </c>
      <c r="I2638" t="inlineStr">
        <is>
          <t>Monthly - Tuesday</t>
        </is>
      </c>
      <c r="J2638" t="inlineStr">
        <is>
          <t>Month+8 Expiry</t>
        </is>
      </c>
      <c r="K2638" s="25" t="n">
        <v>45699</v>
      </c>
      <c r="L2638" s="26" t="n">
        <v>72.5378</v>
      </c>
      <c r="M2638" s="26" t="n">
        <v>1.961</v>
      </c>
    </row>
    <row r="2639" ht="16" customHeight="1">
      <c r="A2639" t="inlineStr">
        <is>
          <t>06-Apr-2026</t>
        </is>
      </c>
      <c r="B2639" t="inlineStr">
        <is>
          <t>Monday</t>
        </is>
      </c>
      <c r="C2639" t="inlineStr">
        <is>
          <t>Week1-Apr-2026</t>
        </is>
      </c>
      <c r="D2639" s="78" t="n">
        <v>46113</v>
      </c>
      <c r="E2639" t="inlineStr">
        <is>
          <t>Q1FY27</t>
        </is>
      </c>
      <c r="F2639" t="inlineStr">
        <is>
          <t>30-Mar-2027</t>
        </is>
      </c>
      <c r="G2639" t="inlineStr">
        <is>
          <t>Tuesday</t>
        </is>
      </c>
      <c r="H2639" t="inlineStr">
        <is>
          <t>Monthly - Tuesday</t>
        </is>
      </c>
      <c r="I2639" t="inlineStr">
        <is>
          <t>Monthly - Tuesday</t>
        </is>
      </c>
      <c r="J2639" t="inlineStr">
        <is>
          <t>Month+11 Expiry</t>
        </is>
      </c>
      <c r="K2639" s="25" t="n">
        <v>0</v>
      </c>
      <c r="L2639" s="26" t="n">
        <v>0</v>
      </c>
      <c r="M2639" s="26" t="n">
        <v>0</v>
      </c>
    </row>
    <row r="2640" ht="16" customHeight="1">
      <c r="A2640" t="inlineStr">
        <is>
          <t>06-Apr-2026</t>
        </is>
      </c>
      <c r="B2640" t="inlineStr">
        <is>
          <t>Monday</t>
        </is>
      </c>
      <c r="C2640" t="inlineStr">
        <is>
          <t>Week1-Apr-2026</t>
        </is>
      </c>
      <c r="D2640" s="78" t="n">
        <v>46113</v>
      </c>
      <c r="E2640" t="inlineStr">
        <is>
          <t>Q1FY27</t>
        </is>
      </c>
      <c r="F2640" t="inlineStr">
        <is>
          <t>29-Jun-2027</t>
        </is>
      </c>
      <c r="G2640" t="inlineStr">
        <is>
          <t>Tuesday</t>
        </is>
      </c>
      <c r="H2640" t="inlineStr">
        <is>
          <t>Monthly - Tuesday</t>
        </is>
      </c>
      <c r="I2640" t="inlineStr">
        <is>
          <t>Monthly - Tuesday</t>
        </is>
      </c>
      <c r="J2640" t="inlineStr">
        <is>
          <t>Month+14 Expiry</t>
        </is>
      </c>
      <c r="K2640" s="25" t="n">
        <v>3</v>
      </c>
      <c r="L2640" s="26" t="n">
        <v>0.0037</v>
      </c>
      <c r="M2640" s="26" t="n">
        <v>0.0001</v>
      </c>
    </row>
    <row r="2641" ht="16" customHeight="1">
      <c r="A2641" t="inlineStr">
        <is>
          <t>06-Apr-2026</t>
        </is>
      </c>
      <c r="B2641" t="inlineStr">
        <is>
          <t>Monday</t>
        </is>
      </c>
      <c r="C2641" t="inlineStr">
        <is>
          <t>Week1-Apr-2026</t>
        </is>
      </c>
      <c r="D2641" s="78" t="n">
        <v>46113</v>
      </c>
      <c r="E2641" t="inlineStr">
        <is>
          <t>Q1FY27</t>
        </is>
      </c>
      <c r="F2641" t="inlineStr">
        <is>
          <t>28-Dec-2027</t>
        </is>
      </c>
      <c r="G2641" t="inlineStr">
        <is>
          <t>Tuesday</t>
        </is>
      </c>
      <c r="H2641" t="inlineStr">
        <is>
          <t>Monthly - Tuesday</t>
        </is>
      </c>
      <c r="I2641" t="inlineStr">
        <is>
          <t>Monthly - Tuesday</t>
        </is>
      </c>
      <c r="J2641" t="inlineStr">
        <is>
          <t>Month+20 Expiry</t>
        </is>
      </c>
      <c r="K2641" s="25" t="n">
        <v>344</v>
      </c>
      <c r="L2641" s="26" t="n">
        <v>0.5725</v>
      </c>
      <c r="M2641" s="26" t="n">
        <v>0.0384</v>
      </c>
    </row>
    <row r="2642" ht="16" customHeight="1">
      <c r="A2642" t="inlineStr">
        <is>
          <t>06-Apr-2026</t>
        </is>
      </c>
      <c r="B2642" t="inlineStr">
        <is>
          <t>Monday</t>
        </is>
      </c>
      <c r="C2642" t="inlineStr">
        <is>
          <t>Week1-Apr-2026</t>
        </is>
      </c>
      <c r="D2642" s="78" t="n">
        <v>46113</v>
      </c>
      <c r="E2642" t="inlineStr">
        <is>
          <t>Q1FY27</t>
        </is>
      </c>
      <c r="F2642" t="inlineStr">
        <is>
          <t>27-Jun-2028</t>
        </is>
      </c>
      <c r="G2642" t="inlineStr">
        <is>
          <t>Tuesday</t>
        </is>
      </c>
      <c r="H2642" t="inlineStr">
        <is>
          <t>Monthly - Tuesday</t>
        </is>
      </c>
      <c r="I2642" t="inlineStr">
        <is>
          <t>Monthly - Tuesday</t>
        </is>
      </c>
      <c r="J2642" t="inlineStr">
        <is>
          <t>Month+26 Expiry</t>
        </is>
      </c>
      <c r="K2642" s="25" t="n">
        <v>0</v>
      </c>
      <c r="L2642" s="26" t="n">
        <v>0</v>
      </c>
      <c r="M2642" s="26" t="n">
        <v>0</v>
      </c>
    </row>
    <row r="2643" ht="16" customHeight="1">
      <c r="A2643" t="inlineStr">
        <is>
          <t>06-Apr-2026</t>
        </is>
      </c>
      <c r="B2643" t="inlineStr">
        <is>
          <t>Monday</t>
        </is>
      </c>
      <c r="C2643" t="inlineStr">
        <is>
          <t>Week1-Apr-2026</t>
        </is>
      </c>
      <c r="D2643" s="78" t="n">
        <v>46113</v>
      </c>
      <c r="E2643" t="inlineStr">
        <is>
          <t>Q1FY27</t>
        </is>
      </c>
      <c r="F2643" t="inlineStr">
        <is>
          <t>26-Dec-2028</t>
        </is>
      </c>
      <c r="G2643" t="inlineStr">
        <is>
          <t>Tuesday</t>
        </is>
      </c>
      <c r="H2643" t="inlineStr">
        <is>
          <t>Monthly - Tuesday</t>
        </is>
      </c>
      <c r="I2643" t="inlineStr">
        <is>
          <t>Monthly - Tuesday</t>
        </is>
      </c>
      <c r="J2643" t="inlineStr">
        <is>
          <t>Month+32 Expiry</t>
        </is>
      </c>
      <c r="K2643" s="25" t="n">
        <v>5</v>
      </c>
      <c r="L2643" s="26" t="n">
        <v>0.0083</v>
      </c>
      <c r="M2643" s="26" t="n">
        <v>0.0005</v>
      </c>
    </row>
    <row r="2644" ht="16" customHeight="1">
      <c r="A2644" t="inlineStr">
        <is>
          <t>06-Apr-2026</t>
        </is>
      </c>
      <c r="B2644" t="inlineStr">
        <is>
          <t>Monday</t>
        </is>
      </c>
      <c r="C2644" t="inlineStr">
        <is>
          <t>Week1-Apr-2026</t>
        </is>
      </c>
      <c r="D2644" s="78" t="n">
        <v>46113</v>
      </c>
      <c r="E2644" t="inlineStr">
        <is>
          <t>Q1FY27</t>
        </is>
      </c>
      <c r="F2644" t="inlineStr">
        <is>
          <t>26-Jun-2029</t>
        </is>
      </c>
      <c r="G2644" t="inlineStr">
        <is>
          <t>Tuesday</t>
        </is>
      </c>
      <c r="H2644" t="inlineStr">
        <is>
          <t>Monthly - Tuesday</t>
        </is>
      </c>
      <c r="I2644" t="inlineStr">
        <is>
          <t>Monthly - Tuesday</t>
        </is>
      </c>
      <c r="J2644" t="inlineStr">
        <is>
          <t>Month+38 Expiry</t>
        </is>
      </c>
      <c r="K2644" s="25" t="n">
        <v>0</v>
      </c>
      <c r="L2644" s="26" t="n">
        <v>0</v>
      </c>
      <c r="M2644" s="26" t="n">
        <v>0</v>
      </c>
    </row>
    <row r="2645" ht="16" customHeight="1">
      <c r="A2645" t="inlineStr">
        <is>
          <t>06-Apr-2026</t>
        </is>
      </c>
      <c r="B2645" t="inlineStr">
        <is>
          <t>Monday</t>
        </is>
      </c>
      <c r="C2645" t="inlineStr">
        <is>
          <t>Week1-Apr-2026</t>
        </is>
      </c>
      <c r="D2645" s="78" t="n">
        <v>46113</v>
      </c>
      <c r="E2645" t="inlineStr">
        <is>
          <t>Q1FY27</t>
        </is>
      </c>
      <c r="F2645" t="inlineStr">
        <is>
          <t>24-Dec-2029</t>
        </is>
      </c>
      <c r="G2645" t="inlineStr">
        <is>
          <t>Monday</t>
        </is>
      </c>
      <c r="H2645" t="inlineStr">
        <is>
          <t>Weekly - Monday</t>
        </is>
      </c>
      <c r="I2645" t="inlineStr">
        <is>
          <t>Weekly - Monday</t>
        </is>
      </c>
      <c r="J2645" t="inlineStr">
        <is>
          <t>Month+44 Expiry</t>
        </is>
      </c>
      <c r="K2645" s="25" t="n">
        <v>3</v>
      </c>
      <c r="L2645" s="26" t="n">
        <v>0.005</v>
      </c>
      <c r="M2645" s="26" t="n">
        <v>0.0003</v>
      </c>
    </row>
    <row r="2646" ht="16" customHeight="1">
      <c r="A2646" t="inlineStr">
        <is>
          <t>06-Apr-2026</t>
        </is>
      </c>
      <c r="B2646" t="inlineStr">
        <is>
          <t>Monday</t>
        </is>
      </c>
      <c r="C2646" t="inlineStr">
        <is>
          <t>Week1-Apr-2026</t>
        </is>
      </c>
      <c r="D2646" s="78" t="n">
        <v>46113</v>
      </c>
      <c r="E2646" t="inlineStr">
        <is>
          <t>Q1FY27</t>
        </is>
      </c>
      <c r="F2646" t="inlineStr">
        <is>
          <t>25-Jun-2030</t>
        </is>
      </c>
      <c r="G2646" t="inlineStr">
        <is>
          <t>Tuesday</t>
        </is>
      </c>
      <c r="H2646" t="inlineStr">
        <is>
          <t>Monthly - Tuesday</t>
        </is>
      </c>
      <c r="I2646" t="inlineStr">
        <is>
          <t>Monthly - Tuesday</t>
        </is>
      </c>
      <c r="J2646" t="inlineStr">
        <is>
          <t>Month+50 Expiry</t>
        </is>
      </c>
      <c r="K2646" s="25" t="n">
        <v>0</v>
      </c>
      <c r="L2646" s="26" t="n">
        <v>0</v>
      </c>
      <c r="M2646" s="26" t="n">
        <v>0</v>
      </c>
    </row>
    <row r="2647" ht="16" customHeight="1">
      <c r="A2647" t="inlineStr">
        <is>
          <t>06-Apr-2026</t>
        </is>
      </c>
      <c r="B2647" t="inlineStr">
        <is>
          <t>Monday</t>
        </is>
      </c>
      <c r="C2647" t="inlineStr">
        <is>
          <t>Week1-Apr-2026</t>
        </is>
      </c>
      <c r="D2647" s="78" t="n">
        <v>46113</v>
      </c>
      <c r="E2647" t="inlineStr">
        <is>
          <t>Q1FY27</t>
        </is>
      </c>
      <c r="F2647" t="inlineStr">
        <is>
          <t>31-Dec-2030</t>
        </is>
      </c>
      <c r="G2647" t="inlineStr">
        <is>
          <t>Tuesday</t>
        </is>
      </c>
      <c r="H2647" t="inlineStr">
        <is>
          <t>Monthly - Tuesday</t>
        </is>
      </c>
      <c r="I2647" t="inlineStr">
        <is>
          <t>Monthly - Tuesday</t>
        </is>
      </c>
      <c r="J2647" t="inlineStr">
        <is>
          <t>Month+56 Expiry</t>
        </is>
      </c>
      <c r="K2647" s="25" t="n">
        <v>0</v>
      </c>
      <c r="L2647" s="26" t="n">
        <v>0</v>
      </c>
      <c r="M2647" s="26" t="n">
        <v>0</v>
      </c>
    </row>
    <row r="2648" ht="16" customHeight="1">
      <c r="A2648" t="inlineStr">
        <is>
          <t>07-Apr-2026</t>
        </is>
      </c>
      <c r="B2648" t="inlineStr">
        <is>
          <t>Tuesday</t>
        </is>
      </c>
      <c r="C2648" t="inlineStr">
        <is>
          <t>Week1-Apr-2026</t>
        </is>
      </c>
      <c r="D2648" s="78" t="n">
        <v>46113</v>
      </c>
      <c r="E2648" t="inlineStr">
        <is>
          <t>Q1FY27</t>
        </is>
      </c>
      <c r="F2648" t="inlineStr">
        <is>
          <t>07-Apr-2026</t>
        </is>
      </c>
      <c r="G2648" t="inlineStr">
        <is>
          <t>Tuesday</t>
        </is>
      </c>
      <c r="H2648" t="inlineStr">
        <is>
          <t>Weekly - Tuesday</t>
        </is>
      </c>
      <c r="I2648" t="inlineStr">
        <is>
          <t>Weekly - Tuesday</t>
        </is>
      </c>
      <c r="J2648" t="inlineStr">
        <is>
          <t>Same Month Expiry</t>
        </is>
      </c>
      <c r="K2648" s="25" t="n">
        <v>419392746</v>
      </c>
      <c r="L2648" s="26" t="n">
        <v>626433.3808</v>
      </c>
      <c r="M2648" s="26" t="n">
        <v>850.9589999999999</v>
      </c>
    </row>
    <row r="2649" ht="16" customHeight="1">
      <c r="A2649" t="inlineStr">
        <is>
          <t>07-Apr-2026</t>
        </is>
      </c>
      <c r="B2649" t="inlineStr">
        <is>
          <t>Tuesday</t>
        </is>
      </c>
      <c r="C2649" t="inlineStr">
        <is>
          <t>Week1-Apr-2026</t>
        </is>
      </c>
      <c r="D2649" s="78" t="n">
        <v>46113</v>
      </c>
      <c r="E2649" t="inlineStr">
        <is>
          <t>Q1FY27</t>
        </is>
      </c>
      <c r="F2649" t="inlineStr">
        <is>
          <t>13-Apr-2026</t>
        </is>
      </c>
      <c r="G2649" t="inlineStr">
        <is>
          <t>Monday</t>
        </is>
      </c>
      <c r="H2649" t="inlineStr">
        <is>
          <t>Weekly - Monday</t>
        </is>
      </c>
      <c r="I2649" t="inlineStr">
        <is>
          <t>Weekly - Monday</t>
        </is>
      </c>
      <c r="J2649" t="inlineStr">
        <is>
          <t>Same Month Expiry</t>
        </is>
      </c>
      <c r="K2649" s="25" t="n">
        <v>8399372</v>
      </c>
      <c r="L2649" s="26" t="n">
        <v>12510.0383</v>
      </c>
      <c r="M2649" s="26" t="n">
        <v>81.3152</v>
      </c>
    </row>
    <row r="2650" ht="16" customHeight="1">
      <c r="A2650" t="inlineStr">
        <is>
          <t>07-Apr-2026</t>
        </is>
      </c>
      <c r="B2650" t="inlineStr">
        <is>
          <t>Tuesday</t>
        </is>
      </c>
      <c r="C2650" t="inlineStr">
        <is>
          <t>Week1-Apr-2026</t>
        </is>
      </c>
      <c r="D2650" s="78" t="n">
        <v>46113</v>
      </c>
      <c r="E2650" t="inlineStr">
        <is>
          <t>Q1FY27</t>
        </is>
      </c>
      <c r="F2650" t="inlineStr">
        <is>
          <t>21-Apr-2026</t>
        </is>
      </c>
      <c r="G2650" t="inlineStr">
        <is>
          <t>Tuesday</t>
        </is>
      </c>
      <c r="H2650" t="inlineStr">
        <is>
          <t>Weekly - Tuesday</t>
        </is>
      </c>
      <c r="I2650" t="inlineStr">
        <is>
          <t>Weekly - Tuesday</t>
        </is>
      </c>
      <c r="J2650" t="inlineStr">
        <is>
          <t>Same Month Expiry</t>
        </is>
      </c>
      <c r="K2650" s="25" t="n">
        <v>206645</v>
      </c>
      <c r="L2650" s="26" t="n">
        <v>307.8615</v>
      </c>
      <c r="M2650" s="26" t="n">
        <v>2.7742</v>
      </c>
    </row>
    <row r="2651" ht="16" customHeight="1">
      <c r="A2651" t="inlineStr">
        <is>
          <t>07-Apr-2026</t>
        </is>
      </c>
      <c r="B2651" t="inlineStr">
        <is>
          <t>Tuesday</t>
        </is>
      </c>
      <c r="C2651" t="inlineStr">
        <is>
          <t>Week1-Apr-2026</t>
        </is>
      </c>
      <c r="D2651" s="78" t="n">
        <v>46113</v>
      </c>
      <c r="E2651" t="inlineStr">
        <is>
          <t>Q1FY27</t>
        </is>
      </c>
      <c r="F2651" t="inlineStr">
        <is>
          <t>28-Apr-2026</t>
        </is>
      </c>
      <c r="G2651" t="inlineStr">
        <is>
          <t>Tuesday</t>
        </is>
      </c>
      <c r="H2651" t="inlineStr">
        <is>
          <t>Monthly - Tuesday</t>
        </is>
      </c>
      <c r="I2651" t="inlineStr">
        <is>
          <t>Monthly - Tuesday</t>
        </is>
      </c>
      <c r="J2651" t="inlineStr">
        <is>
          <t>Same Month Expiry</t>
        </is>
      </c>
      <c r="K2651" s="25" t="n">
        <v>1204589</v>
      </c>
      <c r="L2651" s="26" t="n">
        <v>1845.6896</v>
      </c>
      <c r="M2651" s="26" t="n">
        <v>27.2532</v>
      </c>
    </row>
    <row r="2652" ht="16" customHeight="1">
      <c r="A2652" t="inlineStr">
        <is>
          <t>07-Apr-2026</t>
        </is>
      </c>
      <c r="B2652" t="inlineStr">
        <is>
          <t>Tuesday</t>
        </is>
      </c>
      <c r="C2652" t="inlineStr">
        <is>
          <t>Week1-Apr-2026</t>
        </is>
      </c>
      <c r="D2652" s="78" t="n">
        <v>46113</v>
      </c>
      <c r="E2652" t="inlineStr">
        <is>
          <t>Q1FY27</t>
        </is>
      </c>
      <c r="F2652" t="inlineStr">
        <is>
          <t>05-May-2026</t>
        </is>
      </c>
      <c r="G2652" t="inlineStr">
        <is>
          <t>Tuesday</t>
        </is>
      </c>
      <c r="H2652" t="inlineStr">
        <is>
          <t>Weekly - Tuesday</t>
        </is>
      </c>
      <c r="I2652" t="inlineStr">
        <is>
          <t>Weekly - Tuesday</t>
        </is>
      </c>
      <c r="J2652" t="inlineStr">
        <is>
          <t>Month+1 Expiry</t>
        </is>
      </c>
      <c r="K2652" s="25" t="n">
        <v>3181</v>
      </c>
      <c r="L2652" s="26" t="n">
        <v>4.9967</v>
      </c>
      <c r="M2652" s="26" t="n">
        <v>0.0523</v>
      </c>
    </row>
    <row r="2653" ht="16" customHeight="1">
      <c r="A2653" t="inlineStr">
        <is>
          <t>07-Apr-2026</t>
        </is>
      </c>
      <c r="B2653" t="inlineStr">
        <is>
          <t>Tuesday</t>
        </is>
      </c>
      <c r="C2653" t="inlineStr">
        <is>
          <t>Week1-Apr-2026</t>
        </is>
      </c>
      <c r="D2653" s="78" t="n">
        <v>46113</v>
      </c>
      <c r="E2653" t="inlineStr">
        <is>
          <t>Q1FY27</t>
        </is>
      </c>
      <c r="F2653" t="inlineStr">
        <is>
          <t>26-May-2026</t>
        </is>
      </c>
      <c r="G2653" t="inlineStr">
        <is>
          <t>Tuesday</t>
        </is>
      </c>
      <c r="H2653" t="inlineStr">
        <is>
          <t>Monthly - Tuesday</t>
        </is>
      </c>
      <c r="I2653" t="inlineStr">
        <is>
          <t>Monthly - Tuesday</t>
        </is>
      </c>
      <c r="J2653" t="inlineStr">
        <is>
          <t>Month+1 Expiry</t>
        </is>
      </c>
      <c r="K2653" s="25" t="n">
        <v>110781</v>
      </c>
      <c r="L2653" s="26" t="n">
        <v>173.9876</v>
      </c>
      <c r="M2653" s="26" t="n">
        <v>2.5172</v>
      </c>
    </row>
    <row r="2654" ht="16" customHeight="1">
      <c r="A2654" t="inlineStr">
        <is>
          <t>07-Apr-2026</t>
        </is>
      </c>
      <c r="B2654" t="inlineStr">
        <is>
          <t>Tuesday</t>
        </is>
      </c>
      <c r="C2654" t="inlineStr">
        <is>
          <t>Week1-Apr-2026</t>
        </is>
      </c>
      <c r="D2654" s="78" t="n">
        <v>46113</v>
      </c>
      <c r="E2654" t="inlineStr">
        <is>
          <t>Q1FY27</t>
        </is>
      </c>
      <c r="F2654" t="inlineStr">
        <is>
          <t>30-Jun-2026</t>
        </is>
      </c>
      <c r="G2654" t="inlineStr">
        <is>
          <t>Tuesday</t>
        </is>
      </c>
      <c r="H2654" t="inlineStr">
        <is>
          <t>Monthly - Tuesday</t>
        </is>
      </c>
      <c r="I2654" t="inlineStr">
        <is>
          <t>Monthly - Tuesday</t>
        </is>
      </c>
      <c r="J2654" t="inlineStr">
        <is>
          <t>Month+2 Expiry</t>
        </is>
      </c>
      <c r="K2654" s="25" t="n">
        <v>87000</v>
      </c>
      <c r="L2654" s="26" t="n">
        <v>132.8257</v>
      </c>
      <c r="M2654" s="26" t="n">
        <v>2.8587</v>
      </c>
    </row>
    <row r="2655" ht="16" customHeight="1">
      <c r="A2655" t="inlineStr">
        <is>
          <t>07-Apr-2026</t>
        </is>
      </c>
      <c r="B2655" t="inlineStr">
        <is>
          <t>Tuesday</t>
        </is>
      </c>
      <c r="C2655" t="inlineStr">
        <is>
          <t>Week1-Apr-2026</t>
        </is>
      </c>
      <c r="D2655" s="78" t="n">
        <v>46113</v>
      </c>
      <c r="E2655" t="inlineStr">
        <is>
          <t>Q1FY27</t>
        </is>
      </c>
      <c r="F2655" t="inlineStr">
        <is>
          <t>29-Sep-2026</t>
        </is>
      </c>
      <c r="G2655" t="inlineStr">
        <is>
          <t>Tuesday</t>
        </is>
      </c>
      <c r="H2655" t="inlineStr">
        <is>
          <t>Monthly - Tuesday</t>
        </is>
      </c>
      <c r="I2655" t="inlineStr">
        <is>
          <t>Monthly - Tuesday</t>
        </is>
      </c>
      <c r="J2655" t="inlineStr">
        <is>
          <t>Month+5 Expiry</t>
        </is>
      </c>
      <c r="K2655" s="25" t="n">
        <v>7642</v>
      </c>
      <c r="L2655" s="26" t="n">
        <v>12.2316</v>
      </c>
      <c r="M2655" s="26" t="n">
        <v>0.254</v>
      </c>
    </row>
    <row r="2656" ht="16" customHeight="1">
      <c r="A2656" t="inlineStr">
        <is>
          <t>07-Apr-2026</t>
        </is>
      </c>
      <c r="B2656" t="inlineStr">
        <is>
          <t>Tuesday</t>
        </is>
      </c>
      <c r="C2656" t="inlineStr">
        <is>
          <t>Week1-Apr-2026</t>
        </is>
      </c>
      <c r="D2656" s="78" t="n">
        <v>46113</v>
      </c>
      <c r="E2656" t="inlineStr">
        <is>
          <t>Q1FY27</t>
        </is>
      </c>
      <c r="F2656" t="inlineStr">
        <is>
          <t>29-Dec-2026</t>
        </is>
      </c>
      <c r="G2656" t="inlineStr">
        <is>
          <t>Tuesday</t>
        </is>
      </c>
      <c r="H2656" t="inlineStr">
        <is>
          <t>Monthly - Tuesday</t>
        </is>
      </c>
      <c r="I2656" t="inlineStr">
        <is>
          <t>Monthly - Tuesday</t>
        </is>
      </c>
      <c r="J2656" t="inlineStr">
        <is>
          <t>Month+8 Expiry</t>
        </is>
      </c>
      <c r="K2656" s="25" t="n">
        <v>33954</v>
      </c>
      <c r="L2656" s="26" t="n">
        <v>53.0795</v>
      </c>
      <c r="M2656" s="26" t="n">
        <v>1.5747</v>
      </c>
    </row>
    <row r="2657" ht="16" customHeight="1">
      <c r="A2657" t="inlineStr">
        <is>
          <t>07-Apr-2026</t>
        </is>
      </c>
      <c r="B2657" t="inlineStr">
        <is>
          <t>Tuesday</t>
        </is>
      </c>
      <c r="C2657" t="inlineStr">
        <is>
          <t>Week1-Apr-2026</t>
        </is>
      </c>
      <c r="D2657" s="78" t="n">
        <v>46113</v>
      </c>
      <c r="E2657" t="inlineStr">
        <is>
          <t>Q1FY27</t>
        </is>
      </c>
      <c r="F2657" t="inlineStr">
        <is>
          <t>30-Mar-2027</t>
        </is>
      </c>
      <c r="G2657" t="inlineStr">
        <is>
          <t>Tuesday</t>
        </is>
      </c>
      <c r="H2657" t="inlineStr">
        <is>
          <t>Monthly - Tuesday</t>
        </is>
      </c>
      <c r="I2657" t="inlineStr">
        <is>
          <t>Monthly - Tuesday</t>
        </is>
      </c>
      <c r="J2657" t="inlineStr">
        <is>
          <t>Month+11 Expiry</t>
        </is>
      </c>
      <c r="K2657" s="25" t="n">
        <v>0</v>
      </c>
      <c r="L2657" s="26" t="n">
        <v>0</v>
      </c>
      <c r="M2657" s="26" t="n">
        <v>0</v>
      </c>
    </row>
    <row r="2658" ht="16" customHeight="1">
      <c r="A2658" t="inlineStr">
        <is>
          <t>07-Apr-2026</t>
        </is>
      </c>
      <c r="B2658" t="inlineStr">
        <is>
          <t>Tuesday</t>
        </is>
      </c>
      <c r="C2658" t="inlineStr">
        <is>
          <t>Week1-Apr-2026</t>
        </is>
      </c>
      <c r="D2658" s="78" t="n">
        <v>46113</v>
      </c>
      <c r="E2658" t="inlineStr">
        <is>
          <t>Q1FY27</t>
        </is>
      </c>
      <c r="F2658" t="inlineStr">
        <is>
          <t>29-Jun-2027</t>
        </is>
      </c>
      <c r="G2658" t="inlineStr">
        <is>
          <t>Tuesday</t>
        </is>
      </c>
      <c r="H2658" t="inlineStr">
        <is>
          <t>Monthly - Tuesday</t>
        </is>
      </c>
      <c r="I2658" t="inlineStr">
        <is>
          <t>Monthly - Tuesday</t>
        </is>
      </c>
      <c r="J2658" t="inlineStr">
        <is>
          <t>Month+14 Expiry</t>
        </is>
      </c>
      <c r="K2658" s="25" t="n">
        <v>0</v>
      </c>
      <c r="L2658" s="26" t="n">
        <v>0</v>
      </c>
      <c r="M2658" s="26" t="n">
        <v>0</v>
      </c>
    </row>
    <row r="2659" ht="16" customHeight="1">
      <c r="A2659" t="inlineStr">
        <is>
          <t>07-Apr-2026</t>
        </is>
      </c>
      <c r="B2659" t="inlineStr">
        <is>
          <t>Tuesday</t>
        </is>
      </c>
      <c r="C2659" t="inlineStr">
        <is>
          <t>Week1-Apr-2026</t>
        </is>
      </c>
      <c r="D2659" s="78" t="n">
        <v>46113</v>
      </c>
      <c r="E2659" t="inlineStr">
        <is>
          <t>Q1FY27</t>
        </is>
      </c>
      <c r="F2659" t="inlineStr">
        <is>
          <t>28-Dec-2027</t>
        </is>
      </c>
      <c r="G2659" t="inlineStr">
        <is>
          <t>Tuesday</t>
        </is>
      </c>
      <c r="H2659" t="inlineStr">
        <is>
          <t>Monthly - Tuesday</t>
        </is>
      </c>
      <c r="I2659" t="inlineStr">
        <is>
          <t>Monthly - Tuesday</t>
        </is>
      </c>
      <c r="J2659" t="inlineStr">
        <is>
          <t>Month+20 Expiry</t>
        </is>
      </c>
      <c r="K2659" s="25" t="n">
        <v>179</v>
      </c>
      <c r="L2659" s="26" t="n">
        <v>0.3147</v>
      </c>
      <c r="M2659" s="26" t="n">
        <v>0.0193</v>
      </c>
    </row>
    <row r="2660" ht="16" customHeight="1">
      <c r="A2660" t="inlineStr">
        <is>
          <t>07-Apr-2026</t>
        </is>
      </c>
      <c r="B2660" t="inlineStr">
        <is>
          <t>Tuesday</t>
        </is>
      </c>
      <c r="C2660" t="inlineStr">
        <is>
          <t>Week1-Apr-2026</t>
        </is>
      </c>
      <c r="D2660" s="78" t="n">
        <v>46113</v>
      </c>
      <c r="E2660" t="inlineStr">
        <is>
          <t>Q1FY27</t>
        </is>
      </c>
      <c r="F2660" t="inlineStr">
        <is>
          <t>27-Jun-2028</t>
        </is>
      </c>
      <c r="G2660" t="inlineStr">
        <is>
          <t>Tuesday</t>
        </is>
      </c>
      <c r="H2660" t="inlineStr">
        <is>
          <t>Monthly - Tuesday</t>
        </is>
      </c>
      <c r="I2660" t="inlineStr">
        <is>
          <t>Monthly - Tuesday</t>
        </is>
      </c>
      <c r="J2660" t="inlineStr">
        <is>
          <t>Month+26 Expiry</t>
        </is>
      </c>
      <c r="K2660" s="25" t="n">
        <v>1</v>
      </c>
      <c r="L2660" s="26" t="n">
        <v>0.0015</v>
      </c>
      <c r="M2660" s="26" t="n">
        <v>0.0001</v>
      </c>
    </row>
    <row r="2661" ht="16" customHeight="1">
      <c r="A2661" t="inlineStr">
        <is>
          <t>07-Apr-2026</t>
        </is>
      </c>
      <c r="B2661" t="inlineStr">
        <is>
          <t>Tuesday</t>
        </is>
      </c>
      <c r="C2661" t="inlineStr">
        <is>
          <t>Week1-Apr-2026</t>
        </is>
      </c>
      <c r="D2661" s="78" t="n">
        <v>46113</v>
      </c>
      <c r="E2661" t="inlineStr">
        <is>
          <t>Q1FY27</t>
        </is>
      </c>
      <c r="F2661" t="inlineStr">
        <is>
          <t>26-Dec-2028</t>
        </is>
      </c>
      <c r="G2661" t="inlineStr">
        <is>
          <t>Tuesday</t>
        </is>
      </c>
      <c r="H2661" t="inlineStr">
        <is>
          <t>Monthly - Tuesday</t>
        </is>
      </c>
      <c r="I2661" t="inlineStr">
        <is>
          <t>Monthly - Tuesday</t>
        </is>
      </c>
      <c r="J2661" t="inlineStr">
        <is>
          <t>Month+32 Expiry</t>
        </is>
      </c>
      <c r="K2661" s="25" t="n">
        <v>14</v>
      </c>
      <c r="L2661" s="26" t="n">
        <v>0.0227</v>
      </c>
      <c r="M2661" s="26" t="n">
        <v>0.0012</v>
      </c>
    </row>
    <row r="2662" ht="16" customHeight="1">
      <c r="A2662" t="inlineStr">
        <is>
          <t>07-Apr-2026</t>
        </is>
      </c>
      <c r="B2662" t="inlineStr">
        <is>
          <t>Tuesday</t>
        </is>
      </c>
      <c r="C2662" t="inlineStr">
        <is>
          <t>Week1-Apr-2026</t>
        </is>
      </c>
      <c r="D2662" s="78" t="n">
        <v>46113</v>
      </c>
      <c r="E2662" t="inlineStr">
        <is>
          <t>Q1FY27</t>
        </is>
      </c>
      <c r="F2662" t="inlineStr">
        <is>
          <t>26-Jun-2029</t>
        </is>
      </c>
      <c r="G2662" t="inlineStr">
        <is>
          <t>Tuesday</t>
        </is>
      </c>
      <c r="H2662" t="inlineStr">
        <is>
          <t>Monthly - Tuesday</t>
        </is>
      </c>
      <c r="I2662" t="inlineStr">
        <is>
          <t>Monthly - Tuesday</t>
        </is>
      </c>
      <c r="J2662" t="inlineStr">
        <is>
          <t>Month+38 Expiry</t>
        </is>
      </c>
      <c r="K2662" s="25" t="n">
        <v>0</v>
      </c>
      <c r="L2662" s="26" t="n">
        <v>0</v>
      </c>
      <c r="M2662" s="26" t="n">
        <v>0</v>
      </c>
    </row>
    <row r="2663" ht="16" customHeight="1">
      <c r="A2663" t="inlineStr">
        <is>
          <t>07-Apr-2026</t>
        </is>
      </c>
      <c r="B2663" t="inlineStr">
        <is>
          <t>Tuesday</t>
        </is>
      </c>
      <c r="C2663" t="inlineStr">
        <is>
          <t>Week1-Apr-2026</t>
        </is>
      </c>
      <c r="D2663" s="78" t="n">
        <v>46113</v>
      </c>
      <c r="E2663" t="inlineStr">
        <is>
          <t>Q1FY27</t>
        </is>
      </c>
      <c r="F2663" t="inlineStr">
        <is>
          <t>24-Dec-2029</t>
        </is>
      </c>
      <c r="G2663" t="inlineStr">
        <is>
          <t>Monday</t>
        </is>
      </c>
      <c r="H2663" t="inlineStr">
        <is>
          <t>Weekly - Monday</t>
        </is>
      </c>
      <c r="I2663" t="inlineStr">
        <is>
          <t>Weekly - Monday</t>
        </is>
      </c>
      <c r="J2663" t="inlineStr">
        <is>
          <t>Month+44 Expiry</t>
        </is>
      </c>
      <c r="K2663" s="25" t="n">
        <v>2</v>
      </c>
      <c r="L2663" s="26" t="n">
        <v>0.0037</v>
      </c>
      <c r="M2663" s="26" t="n">
        <v>0.0003</v>
      </c>
    </row>
    <row r="2664" ht="16" customHeight="1">
      <c r="A2664" t="inlineStr">
        <is>
          <t>07-Apr-2026</t>
        </is>
      </c>
      <c r="B2664" t="inlineStr">
        <is>
          <t>Tuesday</t>
        </is>
      </c>
      <c r="C2664" t="inlineStr">
        <is>
          <t>Week1-Apr-2026</t>
        </is>
      </c>
      <c r="D2664" s="78" t="n">
        <v>46113</v>
      </c>
      <c r="E2664" t="inlineStr">
        <is>
          <t>Q1FY27</t>
        </is>
      </c>
      <c r="F2664" t="inlineStr">
        <is>
          <t>25-Jun-2030</t>
        </is>
      </c>
      <c r="G2664" t="inlineStr">
        <is>
          <t>Tuesday</t>
        </is>
      </c>
      <c r="H2664" t="inlineStr">
        <is>
          <t>Monthly - Tuesday</t>
        </is>
      </c>
      <c r="I2664" t="inlineStr">
        <is>
          <t>Monthly - Tuesday</t>
        </is>
      </c>
      <c r="J2664" t="inlineStr">
        <is>
          <t>Month+50 Expiry</t>
        </is>
      </c>
      <c r="K2664" s="25" t="n">
        <v>0</v>
      </c>
      <c r="L2664" s="26" t="n">
        <v>0</v>
      </c>
      <c r="M2664" s="26" t="n">
        <v>0</v>
      </c>
    </row>
    <row r="2665" ht="16" customHeight="1">
      <c r="A2665" t="inlineStr">
        <is>
          <t>07-Apr-2026</t>
        </is>
      </c>
      <c r="B2665" t="inlineStr">
        <is>
          <t>Tuesday</t>
        </is>
      </c>
      <c r="C2665" t="inlineStr">
        <is>
          <t>Week1-Apr-2026</t>
        </is>
      </c>
      <c r="D2665" s="78" t="n">
        <v>46113</v>
      </c>
      <c r="E2665" t="inlineStr">
        <is>
          <t>Q1FY27</t>
        </is>
      </c>
      <c r="F2665" t="inlineStr">
        <is>
          <t>31-Dec-2030</t>
        </is>
      </c>
      <c r="G2665" t="inlineStr">
        <is>
          <t>Tuesday</t>
        </is>
      </c>
      <c r="H2665" t="inlineStr">
        <is>
          <t>Monthly - Tuesday</t>
        </is>
      </c>
      <c r="I2665" t="inlineStr">
        <is>
          <t>Monthly - Tuesday</t>
        </is>
      </c>
      <c r="J2665" t="inlineStr">
        <is>
          <t>Month+56 Expiry</t>
        </is>
      </c>
      <c r="K2665" s="25" t="n">
        <v>0</v>
      </c>
      <c r="L2665" s="26" t="n">
        <v>0</v>
      </c>
      <c r="M2665" s="26" t="n">
        <v>0</v>
      </c>
    </row>
    <row r="2666" ht="16" customHeight="1">
      <c r="A2666" t="inlineStr">
        <is>
          <t>08-Apr-2026</t>
        </is>
      </c>
      <c r="B2666" t="inlineStr">
        <is>
          <t>Wednesday</t>
        </is>
      </c>
      <c r="C2666" t="inlineStr">
        <is>
          <t>Week2-Apr-2026</t>
        </is>
      </c>
      <c r="D2666" s="78" t="n">
        <v>46113</v>
      </c>
      <c r="E2666" t="inlineStr">
        <is>
          <t>Q1FY27</t>
        </is>
      </c>
      <c r="F2666" t="inlineStr">
        <is>
          <t>13-Apr-2026</t>
        </is>
      </c>
      <c r="G2666" t="inlineStr">
        <is>
          <t>Monday</t>
        </is>
      </c>
      <c r="H2666" t="inlineStr">
        <is>
          <t>Weekly - Monday</t>
        </is>
      </c>
      <c r="I2666" t="inlineStr">
        <is>
          <t>Weekly - Monday</t>
        </is>
      </c>
      <c r="J2666" t="inlineStr">
        <is>
          <t>Same Month Expiry</t>
        </is>
      </c>
      <c r="K2666" s="25" t="n">
        <v>43555413</v>
      </c>
      <c r="L2666" s="26" t="n">
        <v>67485.42879999999</v>
      </c>
      <c r="M2666" s="26" t="n">
        <v>347.4659</v>
      </c>
    </row>
    <row r="2667" ht="16" customHeight="1">
      <c r="A2667" t="inlineStr">
        <is>
          <t>08-Apr-2026</t>
        </is>
      </c>
      <c r="B2667" t="inlineStr">
        <is>
          <t>Wednesday</t>
        </is>
      </c>
      <c r="C2667" t="inlineStr">
        <is>
          <t>Week2-Apr-2026</t>
        </is>
      </c>
      <c r="D2667" s="78" t="n">
        <v>46113</v>
      </c>
      <c r="E2667" t="inlineStr">
        <is>
          <t>Q1FY27</t>
        </is>
      </c>
      <c r="F2667" t="inlineStr">
        <is>
          <t>21-Apr-2026</t>
        </is>
      </c>
      <c r="G2667" t="inlineStr">
        <is>
          <t>Tuesday</t>
        </is>
      </c>
      <c r="H2667" t="inlineStr">
        <is>
          <t>Weekly - Tuesday</t>
        </is>
      </c>
      <c r="I2667" t="inlineStr">
        <is>
          <t>Weekly - Tuesday</t>
        </is>
      </c>
      <c r="J2667" t="inlineStr">
        <is>
          <t>Same Month Expiry</t>
        </is>
      </c>
      <c r="K2667" s="25" t="n">
        <v>916245</v>
      </c>
      <c r="L2667" s="26" t="n">
        <v>1418.3899</v>
      </c>
      <c r="M2667" s="26" t="n">
        <v>9.511799999999999</v>
      </c>
    </row>
    <row r="2668" ht="16" customHeight="1">
      <c r="A2668" t="inlineStr">
        <is>
          <t>08-Apr-2026</t>
        </is>
      </c>
      <c r="B2668" t="inlineStr">
        <is>
          <t>Wednesday</t>
        </is>
      </c>
      <c r="C2668" t="inlineStr">
        <is>
          <t>Week2-Apr-2026</t>
        </is>
      </c>
      <c r="D2668" s="78" t="n">
        <v>46113</v>
      </c>
      <c r="E2668" t="inlineStr">
        <is>
          <t>Q1FY27</t>
        </is>
      </c>
      <c r="F2668" t="inlineStr">
        <is>
          <t>28-Apr-2026</t>
        </is>
      </c>
      <c r="G2668" t="inlineStr">
        <is>
          <t>Tuesday</t>
        </is>
      </c>
      <c r="H2668" t="inlineStr">
        <is>
          <t>Monthly - Tuesday</t>
        </is>
      </c>
      <c r="I2668" t="inlineStr">
        <is>
          <t>Monthly - Tuesday</t>
        </is>
      </c>
      <c r="J2668" t="inlineStr">
        <is>
          <t>Same Month Expiry</t>
        </is>
      </c>
      <c r="K2668" s="25" t="n">
        <v>2506003</v>
      </c>
      <c r="L2668" s="26" t="n">
        <v>3885.536</v>
      </c>
      <c r="M2668" s="26" t="n">
        <v>40.2375</v>
      </c>
    </row>
    <row r="2669" ht="16" customHeight="1">
      <c r="A2669" t="inlineStr">
        <is>
          <t>08-Apr-2026</t>
        </is>
      </c>
      <c r="B2669" t="inlineStr">
        <is>
          <t>Wednesday</t>
        </is>
      </c>
      <c r="C2669" t="inlineStr">
        <is>
          <t>Week2-Apr-2026</t>
        </is>
      </c>
      <c r="D2669" s="78" t="n">
        <v>46113</v>
      </c>
      <c r="E2669" t="inlineStr">
        <is>
          <t>Q1FY27</t>
        </is>
      </c>
      <c r="F2669" t="inlineStr">
        <is>
          <t>05-May-2026</t>
        </is>
      </c>
      <c r="G2669" t="inlineStr">
        <is>
          <t>Tuesday</t>
        </is>
      </c>
      <c r="H2669" t="inlineStr">
        <is>
          <t>Weekly - Tuesday</t>
        </is>
      </c>
      <c r="I2669" t="inlineStr">
        <is>
          <t>Weekly - Tuesday</t>
        </is>
      </c>
      <c r="J2669" t="inlineStr">
        <is>
          <t>Month+1 Expiry</t>
        </is>
      </c>
      <c r="K2669" s="25" t="n">
        <v>21084</v>
      </c>
      <c r="L2669" s="26" t="n">
        <v>33.1101</v>
      </c>
      <c r="M2669" s="26" t="n">
        <v>0.4475</v>
      </c>
    </row>
    <row r="2670" ht="16" customHeight="1">
      <c r="A2670" t="inlineStr">
        <is>
          <t>08-Apr-2026</t>
        </is>
      </c>
      <c r="B2670" t="inlineStr">
        <is>
          <t>Wednesday</t>
        </is>
      </c>
      <c r="C2670" t="inlineStr">
        <is>
          <t>Week2-Apr-2026</t>
        </is>
      </c>
      <c r="D2670" s="78" t="n">
        <v>46113</v>
      </c>
      <c r="E2670" t="inlineStr">
        <is>
          <t>Q1FY27</t>
        </is>
      </c>
      <c r="F2670" t="inlineStr">
        <is>
          <t>12-May-2026</t>
        </is>
      </c>
      <c r="G2670" t="inlineStr">
        <is>
          <t>Tuesday</t>
        </is>
      </c>
      <c r="H2670" t="inlineStr">
        <is>
          <t>Weekly - Tuesday</t>
        </is>
      </c>
      <c r="I2670" t="inlineStr">
        <is>
          <t>Weekly - Tuesday</t>
        </is>
      </c>
      <c r="J2670" t="inlineStr">
        <is>
          <t>Month+1 Expiry</t>
        </is>
      </c>
      <c r="K2670" s="25" t="n">
        <v>125</v>
      </c>
      <c r="L2670" s="26" t="n">
        <v>0.1966</v>
      </c>
      <c r="M2670" s="26" t="n">
        <v>0.0023</v>
      </c>
    </row>
    <row r="2671" ht="16" customHeight="1">
      <c r="A2671" t="inlineStr">
        <is>
          <t>08-Apr-2026</t>
        </is>
      </c>
      <c r="B2671" t="inlineStr">
        <is>
          <t>Wednesday</t>
        </is>
      </c>
      <c r="C2671" t="inlineStr">
        <is>
          <t>Week2-Apr-2026</t>
        </is>
      </c>
      <c r="D2671" s="78" t="n">
        <v>46113</v>
      </c>
      <c r="E2671" t="inlineStr">
        <is>
          <t>Q1FY27</t>
        </is>
      </c>
      <c r="F2671" t="inlineStr">
        <is>
          <t>26-May-2026</t>
        </is>
      </c>
      <c r="G2671" t="inlineStr">
        <is>
          <t>Tuesday</t>
        </is>
      </c>
      <c r="H2671" t="inlineStr">
        <is>
          <t>Monthly - Tuesday</t>
        </is>
      </c>
      <c r="I2671" t="inlineStr">
        <is>
          <t>Monthly - Tuesday</t>
        </is>
      </c>
      <c r="J2671" t="inlineStr">
        <is>
          <t>Month+1 Expiry</t>
        </is>
      </c>
      <c r="K2671" s="25" t="n">
        <v>308642</v>
      </c>
      <c r="L2671" s="26" t="n">
        <v>483.8887</v>
      </c>
      <c r="M2671" s="26" t="n">
        <v>6.6488</v>
      </c>
    </row>
    <row r="2672" ht="16" customHeight="1">
      <c r="A2672" t="inlineStr">
        <is>
          <t>08-Apr-2026</t>
        </is>
      </c>
      <c r="B2672" t="inlineStr">
        <is>
          <t>Wednesday</t>
        </is>
      </c>
      <c r="C2672" t="inlineStr">
        <is>
          <t>Week2-Apr-2026</t>
        </is>
      </c>
      <c r="D2672" s="78" t="n">
        <v>46113</v>
      </c>
      <c r="E2672" t="inlineStr">
        <is>
          <t>Q1FY27</t>
        </is>
      </c>
      <c r="F2672" t="inlineStr">
        <is>
          <t>30-Jun-2026</t>
        </is>
      </c>
      <c r="G2672" t="inlineStr">
        <is>
          <t>Tuesday</t>
        </is>
      </c>
      <c r="H2672" t="inlineStr">
        <is>
          <t>Monthly - Tuesday</t>
        </is>
      </c>
      <c r="I2672" t="inlineStr">
        <is>
          <t>Monthly - Tuesday</t>
        </is>
      </c>
      <c r="J2672" t="inlineStr">
        <is>
          <t>Month+2 Expiry</t>
        </is>
      </c>
      <c r="K2672" s="25" t="n">
        <v>278690</v>
      </c>
      <c r="L2672" s="26" t="n">
        <v>426.7684</v>
      </c>
      <c r="M2672" s="26" t="n">
        <v>7.0602</v>
      </c>
    </row>
    <row r="2673" ht="16" customHeight="1">
      <c r="A2673" t="inlineStr">
        <is>
          <t>08-Apr-2026</t>
        </is>
      </c>
      <c r="B2673" t="inlineStr">
        <is>
          <t>Wednesday</t>
        </is>
      </c>
      <c r="C2673" t="inlineStr">
        <is>
          <t>Week2-Apr-2026</t>
        </is>
      </c>
      <c r="D2673" s="78" t="n">
        <v>46113</v>
      </c>
      <c r="E2673" t="inlineStr">
        <is>
          <t>Q1FY27</t>
        </is>
      </c>
      <c r="F2673" t="inlineStr">
        <is>
          <t>29-Sep-2026</t>
        </is>
      </c>
      <c r="G2673" t="inlineStr">
        <is>
          <t>Tuesday</t>
        </is>
      </c>
      <c r="H2673" t="inlineStr">
        <is>
          <t>Monthly - Tuesday</t>
        </is>
      </c>
      <c r="I2673" t="inlineStr">
        <is>
          <t>Monthly - Tuesday</t>
        </is>
      </c>
      <c r="J2673" t="inlineStr">
        <is>
          <t>Month+5 Expiry</t>
        </is>
      </c>
      <c r="K2673" s="25" t="n">
        <v>38394</v>
      </c>
      <c r="L2673" s="26" t="n">
        <v>60.8535</v>
      </c>
      <c r="M2673" s="26" t="n">
        <v>1.1462</v>
      </c>
    </row>
    <row r="2674" ht="16" customHeight="1">
      <c r="A2674" t="inlineStr">
        <is>
          <t>08-Apr-2026</t>
        </is>
      </c>
      <c r="B2674" t="inlineStr">
        <is>
          <t>Wednesday</t>
        </is>
      </c>
      <c r="C2674" t="inlineStr">
        <is>
          <t>Week2-Apr-2026</t>
        </is>
      </c>
      <c r="D2674" s="78" t="n">
        <v>46113</v>
      </c>
      <c r="E2674" t="inlineStr">
        <is>
          <t>Q1FY27</t>
        </is>
      </c>
      <c r="F2674" t="inlineStr">
        <is>
          <t>29-Dec-2026</t>
        </is>
      </c>
      <c r="G2674" t="inlineStr">
        <is>
          <t>Tuesday</t>
        </is>
      </c>
      <c r="H2674" t="inlineStr">
        <is>
          <t>Monthly - Tuesday</t>
        </is>
      </c>
      <c r="I2674" t="inlineStr">
        <is>
          <t>Monthly - Tuesday</t>
        </is>
      </c>
      <c r="J2674" t="inlineStr">
        <is>
          <t>Month+8 Expiry</t>
        </is>
      </c>
      <c r="K2674" s="25" t="n">
        <v>79381</v>
      </c>
      <c r="L2674" s="26" t="n">
        <v>122.5772</v>
      </c>
      <c r="M2674" s="26" t="n">
        <v>3.1165</v>
      </c>
    </row>
    <row r="2675" ht="16" customHeight="1">
      <c r="A2675" t="inlineStr">
        <is>
          <t>08-Apr-2026</t>
        </is>
      </c>
      <c r="B2675" t="inlineStr">
        <is>
          <t>Wednesday</t>
        </is>
      </c>
      <c r="C2675" t="inlineStr">
        <is>
          <t>Week2-Apr-2026</t>
        </is>
      </c>
      <c r="D2675" s="78" t="n">
        <v>46113</v>
      </c>
      <c r="E2675" t="inlineStr">
        <is>
          <t>Q1FY27</t>
        </is>
      </c>
      <c r="F2675" t="inlineStr">
        <is>
          <t>30-Mar-2027</t>
        </is>
      </c>
      <c r="G2675" t="inlineStr">
        <is>
          <t>Tuesday</t>
        </is>
      </c>
      <c r="H2675" t="inlineStr">
        <is>
          <t>Monthly - Tuesday</t>
        </is>
      </c>
      <c r="I2675" t="inlineStr">
        <is>
          <t>Monthly - Tuesday</t>
        </is>
      </c>
      <c r="J2675" t="inlineStr">
        <is>
          <t>Month+11 Expiry</t>
        </is>
      </c>
      <c r="K2675" s="25" t="n">
        <v>0</v>
      </c>
      <c r="L2675" s="26" t="n">
        <v>0</v>
      </c>
      <c r="M2675" s="26" t="n">
        <v>0</v>
      </c>
    </row>
    <row r="2676" ht="16" customHeight="1">
      <c r="A2676" t="inlineStr">
        <is>
          <t>08-Apr-2026</t>
        </is>
      </c>
      <c r="B2676" t="inlineStr">
        <is>
          <t>Wednesday</t>
        </is>
      </c>
      <c r="C2676" t="inlineStr">
        <is>
          <t>Week2-Apr-2026</t>
        </is>
      </c>
      <c r="D2676" s="78" t="n">
        <v>46113</v>
      </c>
      <c r="E2676" t="inlineStr">
        <is>
          <t>Q1FY27</t>
        </is>
      </c>
      <c r="F2676" t="inlineStr">
        <is>
          <t>29-Jun-2027</t>
        </is>
      </c>
      <c r="G2676" t="inlineStr">
        <is>
          <t>Tuesday</t>
        </is>
      </c>
      <c r="H2676" t="inlineStr">
        <is>
          <t>Monthly - Tuesday</t>
        </is>
      </c>
      <c r="I2676" t="inlineStr">
        <is>
          <t>Monthly - Tuesday</t>
        </is>
      </c>
      <c r="J2676" t="inlineStr">
        <is>
          <t>Month+14 Expiry</t>
        </is>
      </c>
      <c r="K2676" s="25" t="n">
        <v>19</v>
      </c>
      <c r="L2676" s="26" t="n">
        <v>0.0264</v>
      </c>
      <c r="M2676" s="26" t="n">
        <v>0.0004</v>
      </c>
    </row>
    <row r="2677" ht="16" customHeight="1">
      <c r="A2677" t="inlineStr">
        <is>
          <t>08-Apr-2026</t>
        </is>
      </c>
      <c r="B2677" t="inlineStr">
        <is>
          <t>Wednesday</t>
        </is>
      </c>
      <c r="C2677" t="inlineStr">
        <is>
          <t>Week2-Apr-2026</t>
        </is>
      </c>
      <c r="D2677" s="78" t="n">
        <v>46113</v>
      </c>
      <c r="E2677" t="inlineStr">
        <is>
          <t>Q1FY27</t>
        </is>
      </c>
      <c r="F2677" t="inlineStr">
        <is>
          <t>28-Dec-2027</t>
        </is>
      </c>
      <c r="G2677" t="inlineStr">
        <is>
          <t>Tuesday</t>
        </is>
      </c>
      <c r="H2677" t="inlineStr">
        <is>
          <t>Monthly - Tuesday</t>
        </is>
      </c>
      <c r="I2677" t="inlineStr">
        <is>
          <t>Monthly - Tuesday</t>
        </is>
      </c>
      <c r="J2677" t="inlineStr">
        <is>
          <t>Month+20 Expiry</t>
        </is>
      </c>
      <c r="K2677" s="25" t="n">
        <v>483</v>
      </c>
      <c r="L2677" s="26" t="n">
        <v>0.8421</v>
      </c>
      <c r="M2677" s="26" t="n">
        <v>0.0539</v>
      </c>
    </row>
    <row r="2678" ht="16" customHeight="1">
      <c r="A2678" t="inlineStr">
        <is>
          <t>08-Apr-2026</t>
        </is>
      </c>
      <c r="B2678" t="inlineStr">
        <is>
          <t>Wednesday</t>
        </is>
      </c>
      <c r="C2678" t="inlineStr">
        <is>
          <t>Week2-Apr-2026</t>
        </is>
      </c>
      <c r="D2678" s="78" t="n">
        <v>46113</v>
      </c>
      <c r="E2678" t="inlineStr">
        <is>
          <t>Q1FY27</t>
        </is>
      </c>
      <c r="F2678" t="inlineStr">
        <is>
          <t>27-Jun-2028</t>
        </is>
      </c>
      <c r="G2678" t="inlineStr">
        <is>
          <t>Tuesday</t>
        </is>
      </c>
      <c r="H2678" t="inlineStr">
        <is>
          <t>Monthly - Tuesday</t>
        </is>
      </c>
      <c r="I2678" t="inlineStr">
        <is>
          <t>Monthly - Tuesday</t>
        </is>
      </c>
      <c r="J2678" t="inlineStr">
        <is>
          <t>Month+26 Expiry</t>
        </is>
      </c>
      <c r="K2678" s="25" t="n">
        <v>0</v>
      </c>
      <c r="L2678" s="26" t="n">
        <v>0</v>
      </c>
      <c r="M2678" s="26" t="n">
        <v>0</v>
      </c>
    </row>
    <row r="2679" ht="16" customHeight="1">
      <c r="A2679" t="inlineStr">
        <is>
          <t>08-Apr-2026</t>
        </is>
      </c>
      <c r="B2679" t="inlineStr">
        <is>
          <t>Wednesday</t>
        </is>
      </c>
      <c r="C2679" t="inlineStr">
        <is>
          <t>Week2-Apr-2026</t>
        </is>
      </c>
      <c r="D2679" s="78" t="n">
        <v>46113</v>
      </c>
      <c r="E2679" t="inlineStr">
        <is>
          <t>Q1FY27</t>
        </is>
      </c>
      <c r="F2679" t="inlineStr">
        <is>
          <t>26-Dec-2028</t>
        </is>
      </c>
      <c r="G2679" t="inlineStr">
        <is>
          <t>Tuesday</t>
        </is>
      </c>
      <c r="H2679" t="inlineStr">
        <is>
          <t>Monthly - Tuesday</t>
        </is>
      </c>
      <c r="I2679" t="inlineStr">
        <is>
          <t>Monthly - Tuesday</t>
        </is>
      </c>
      <c r="J2679" t="inlineStr">
        <is>
          <t>Month+32 Expiry</t>
        </is>
      </c>
      <c r="K2679" s="25" t="n">
        <v>20</v>
      </c>
      <c r="L2679" s="26" t="n">
        <v>0.0336</v>
      </c>
      <c r="M2679" s="26" t="n">
        <v>0.0015</v>
      </c>
    </row>
    <row r="2680" ht="16" customHeight="1">
      <c r="A2680" t="inlineStr">
        <is>
          <t>08-Apr-2026</t>
        </is>
      </c>
      <c r="B2680" t="inlineStr">
        <is>
          <t>Wednesday</t>
        </is>
      </c>
      <c r="C2680" t="inlineStr">
        <is>
          <t>Week2-Apr-2026</t>
        </is>
      </c>
      <c r="D2680" s="78" t="n">
        <v>46113</v>
      </c>
      <c r="E2680" t="inlineStr">
        <is>
          <t>Q1FY27</t>
        </is>
      </c>
      <c r="F2680" t="inlineStr">
        <is>
          <t>26-Jun-2029</t>
        </is>
      </c>
      <c r="G2680" t="inlineStr">
        <is>
          <t>Tuesday</t>
        </is>
      </c>
      <c r="H2680" t="inlineStr">
        <is>
          <t>Monthly - Tuesday</t>
        </is>
      </c>
      <c r="I2680" t="inlineStr">
        <is>
          <t>Monthly - Tuesday</t>
        </is>
      </c>
      <c r="J2680" t="inlineStr">
        <is>
          <t>Month+38 Expiry</t>
        </is>
      </c>
      <c r="K2680" s="25" t="n">
        <v>0</v>
      </c>
      <c r="L2680" s="26" t="n">
        <v>0</v>
      </c>
      <c r="M2680" s="26" t="n">
        <v>0</v>
      </c>
    </row>
    <row r="2681" ht="16" customHeight="1">
      <c r="A2681" t="inlineStr">
        <is>
          <t>08-Apr-2026</t>
        </is>
      </c>
      <c r="B2681" t="inlineStr">
        <is>
          <t>Wednesday</t>
        </is>
      </c>
      <c r="C2681" t="inlineStr">
        <is>
          <t>Week2-Apr-2026</t>
        </is>
      </c>
      <c r="D2681" s="78" t="n">
        <v>46113</v>
      </c>
      <c r="E2681" t="inlineStr">
        <is>
          <t>Q1FY27</t>
        </is>
      </c>
      <c r="F2681" t="inlineStr">
        <is>
          <t>24-Dec-2029</t>
        </is>
      </c>
      <c r="G2681" t="inlineStr">
        <is>
          <t>Monday</t>
        </is>
      </c>
      <c r="H2681" t="inlineStr">
        <is>
          <t>Weekly - Monday</t>
        </is>
      </c>
      <c r="I2681" t="inlineStr">
        <is>
          <t>Weekly - Monday</t>
        </is>
      </c>
      <c r="J2681" t="inlineStr">
        <is>
          <t>Month+44 Expiry</t>
        </is>
      </c>
      <c r="K2681" s="25" t="n">
        <v>15</v>
      </c>
      <c r="L2681" s="26" t="n">
        <v>0.0288</v>
      </c>
      <c r="M2681" s="26" t="n">
        <v>0.0019</v>
      </c>
    </row>
    <row r="2682" ht="16" customHeight="1">
      <c r="A2682" t="inlineStr">
        <is>
          <t>08-Apr-2026</t>
        </is>
      </c>
      <c r="B2682" t="inlineStr">
        <is>
          <t>Wednesday</t>
        </is>
      </c>
      <c r="C2682" t="inlineStr">
        <is>
          <t>Week2-Apr-2026</t>
        </is>
      </c>
      <c r="D2682" s="78" t="n">
        <v>46113</v>
      </c>
      <c r="E2682" t="inlineStr">
        <is>
          <t>Q1FY27</t>
        </is>
      </c>
      <c r="F2682" t="inlineStr">
        <is>
          <t>25-Jun-2030</t>
        </is>
      </c>
      <c r="G2682" t="inlineStr">
        <is>
          <t>Tuesday</t>
        </is>
      </c>
      <c r="H2682" t="inlineStr">
        <is>
          <t>Monthly - Tuesday</t>
        </is>
      </c>
      <c r="I2682" t="inlineStr">
        <is>
          <t>Monthly - Tuesday</t>
        </is>
      </c>
      <c r="J2682" t="inlineStr">
        <is>
          <t>Month+50 Expiry</t>
        </is>
      </c>
      <c r="K2682" s="25" t="n">
        <v>0</v>
      </c>
      <c r="L2682" s="26" t="n">
        <v>0</v>
      </c>
      <c r="M2682" s="26" t="n">
        <v>0</v>
      </c>
    </row>
    <row r="2683" ht="16" customHeight="1">
      <c r="A2683" t="inlineStr">
        <is>
          <t>08-Apr-2026</t>
        </is>
      </c>
      <c r="B2683" t="inlineStr">
        <is>
          <t>Wednesday</t>
        </is>
      </c>
      <c r="C2683" t="inlineStr">
        <is>
          <t>Week2-Apr-2026</t>
        </is>
      </c>
      <c r="D2683" s="78" t="n">
        <v>46113</v>
      </c>
      <c r="E2683" t="inlineStr">
        <is>
          <t>Q1FY27</t>
        </is>
      </c>
      <c r="F2683" t="inlineStr">
        <is>
          <t>31-Dec-2030</t>
        </is>
      </c>
      <c r="G2683" t="inlineStr">
        <is>
          <t>Tuesday</t>
        </is>
      </c>
      <c r="H2683" t="inlineStr">
        <is>
          <t>Monthly - Tuesday</t>
        </is>
      </c>
      <c r="I2683" t="inlineStr">
        <is>
          <t>Monthly - Tuesday</t>
        </is>
      </c>
      <c r="J2683" t="inlineStr">
        <is>
          <t>Month+56 Expiry</t>
        </is>
      </c>
      <c r="K2683" s="25" t="n">
        <v>0</v>
      </c>
      <c r="L2683" s="26" t="n">
        <v>0</v>
      </c>
      <c r="M2683" s="26" t="n">
        <v>0</v>
      </c>
    </row>
    <row r="2684" ht="16" customHeight="1">
      <c r="A2684" t="inlineStr">
        <is>
          <t>09-Apr-2026</t>
        </is>
      </c>
      <c r="B2684" t="inlineStr">
        <is>
          <t>Thursday</t>
        </is>
      </c>
      <c r="C2684" t="inlineStr">
        <is>
          <t>Week2-Apr-2026</t>
        </is>
      </c>
      <c r="D2684" s="78" t="n">
        <v>46113</v>
      </c>
      <c r="E2684" t="inlineStr">
        <is>
          <t>Q1FY27</t>
        </is>
      </c>
      <c r="F2684" t="inlineStr">
        <is>
          <t>13-Apr-2026</t>
        </is>
      </c>
      <c r="G2684" t="inlineStr">
        <is>
          <t>Monday</t>
        </is>
      </c>
      <c r="H2684" t="inlineStr">
        <is>
          <t>Weekly - Monday</t>
        </is>
      </c>
      <c r="I2684" t="inlineStr">
        <is>
          <t>Weekly - Monday</t>
        </is>
      </c>
      <c r="J2684" t="inlineStr">
        <is>
          <t>Same Month Expiry</t>
        </is>
      </c>
      <c r="K2684" s="25" t="n">
        <v>45342603</v>
      </c>
      <c r="L2684" s="26" t="n">
        <v>70430.60830000001</v>
      </c>
      <c r="M2684" s="26" t="n">
        <v>326.3339</v>
      </c>
    </row>
    <row r="2685" ht="16" customHeight="1">
      <c r="A2685" t="inlineStr">
        <is>
          <t>09-Apr-2026</t>
        </is>
      </c>
      <c r="B2685" t="inlineStr">
        <is>
          <t>Thursday</t>
        </is>
      </c>
      <c r="C2685" t="inlineStr">
        <is>
          <t>Week2-Apr-2026</t>
        </is>
      </c>
      <c r="D2685" s="78" t="n">
        <v>46113</v>
      </c>
      <c r="E2685" t="inlineStr">
        <is>
          <t>Q1FY27</t>
        </is>
      </c>
      <c r="F2685" t="inlineStr">
        <is>
          <t>21-Apr-2026</t>
        </is>
      </c>
      <c r="G2685" t="inlineStr">
        <is>
          <t>Tuesday</t>
        </is>
      </c>
      <c r="H2685" t="inlineStr">
        <is>
          <t>Weekly - Tuesday</t>
        </is>
      </c>
      <c r="I2685" t="inlineStr">
        <is>
          <t>Weekly - Tuesday</t>
        </is>
      </c>
      <c r="J2685" t="inlineStr">
        <is>
          <t>Same Month Expiry</t>
        </is>
      </c>
      <c r="K2685" s="25" t="n">
        <v>1253304</v>
      </c>
      <c r="L2685" s="26" t="n">
        <v>1959.2921</v>
      </c>
      <c r="M2685" s="26" t="n">
        <v>12.7034</v>
      </c>
    </row>
    <row r="2686" ht="16" customHeight="1">
      <c r="A2686" t="inlineStr">
        <is>
          <t>09-Apr-2026</t>
        </is>
      </c>
      <c r="B2686" t="inlineStr">
        <is>
          <t>Thursday</t>
        </is>
      </c>
      <c r="C2686" t="inlineStr">
        <is>
          <t>Week2-Apr-2026</t>
        </is>
      </c>
      <c r="D2686" s="78" t="n">
        <v>46113</v>
      </c>
      <c r="E2686" t="inlineStr">
        <is>
          <t>Q1FY27</t>
        </is>
      </c>
      <c r="F2686" t="inlineStr">
        <is>
          <t>28-Apr-2026</t>
        </is>
      </c>
      <c r="G2686" t="inlineStr">
        <is>
          <t>Tuesday</t>
        </is>
      </c>
      <c r="H2686" t="inlineStr">
        <is>
          <t>Monthly - Tuesday</t>
        </is>
      </c>
      <c r="I2686" t="inlineStr">
        <is>
          <t>Monthly - Tuesday</t>
        </is>
      </c>
      <c r="J2686" t="inlineStr">
        <is>
          <t>Same Month Expiry</t>
        </is>
      </c>
      <c r="K2686" s="25" t="n">
        <v>1545901</v>
      </c>
      <c r="L2686" s="26" t="n">
        <v>2422.2887</v>
      </c>
      <c r="M2686" s="26" t="n">
        <v>26.0923</v>
      </c>
    </row>
    <row r="2687" ht="16" customHeight="1">
      <c r="A2687" t="inlineStr">
        <is>
          <t>09-Apr-2026</t>
        </is>
      </c>
      <c r="B2687" t="inlineStr">
        <is>
          <t>Thursday</t>
        </is>
      </c>
      <c r="C2687" t="inlineStr">
        <is>
          <t>Week2-Apr-2026</t>
        </is>
      </c>
      <c r="D2687" s="78" t="n">
        <v>46113</v>
      </c>
      <c r="E2687" t="inlineStr">
        <is>
          <t>Q1FY27</t>
        </is>
      </c>
      <c r="F2687" t="inlineStr">
        <is>
          <t>05-May-2026</t>
        </is>
      </c>
      <c r="G2687" t="inlineStr">
        <is>
          <t>Tuesday</t>
        </is>
      </c>
      <c r="H2687" t="inlineStr">
        <is>
          <t>Weekly - Tuesday</t>
        </is>
      </c>
      <c r="I2687" t="inlineStr">
        <is>
          <t>Weekly - Tuesday</t>
        </is>
      </c>
      <c r="J2687" t="inlineStr">
        <is>
          <t>Month+1 Expiry</t>
        </is>
      </c>
      <c r="K2687" s="25" t="n">
        <v>19426</v>
      </c>
      <c r="L2687" s="26" t="n">
        <v>30.4266</v>
      </c>
      <c r="M2687" s="26" t="n">
        <v>0.3673</v>
      </c>
    </row>
    <row r="2688" ht="16" customHeight="1">
      <c r="A2688" t="inlineStr">
        <is>
          <t>09-Apr-2026</t>
        </is>
      </c>
      <c r="B2688" t="inlineStr">
        <is>
          <t>Thursday</t>
        </is>
      </c>
      <c r="C2688" t="inlineStr">
        <is>
          <t>Week2-Apr-2026</t>
        </is>
      </c>
      <c r="D2688" s="78" t="n">
        <v>46113</v>
      </c>
      <c r="E2688" t="inlineStr">
        <is>
          <t>Q1FY27</t>
        </is>
      </c>
      <c r="F2688" t="inlineStr">
        <is>
          <t>12-May-2026</t>
        </is>
      </c>
      <c r="G2688" t="inlineStr">
        <is>
          <t>Tuesday</t>
        </is>
      </c>
      <c r="H2688" t="inlineStr">
        <is>
          <t>Weekly - Tuesday</t>
        </is>
      </c>
      <c r="I2688" t="inlineStr">
        <is>
          <t>Weekly - Tuesday</t>
        </is>
      </c>
      <c r="J2688" t="inlineStr">
        <is>
          <t>Month+1 Expiry</t>
        </is>
      </c>
      <c r="K2688" s="25" t="n">
        <v>400</v>
      </c>
      <c r="L2688" s="26" t="n">
        <v>0.6469</v>
      </c>
      <c r="M2688" s="26" t="n">
        <v>0.0058</v>
      </c>
    </row>
    <row r="2689" ht="16" customHeight="1">
      <c r="A2689" t="inlineStr">
        <is>
          <t>09-Apr-2026</t>
        </is>
      </c>
      <c r="B2689" t="inlineStr">
        <is>
          <t>Thursday</t>
        </is>
      </c>
      <c r="C2689" t="inlineStr">
        <is>
          <t>Week2-Apr-2026</t>
        </is>
      </c>
      <c r="D2689" s="78" t="n">
        <v>46113</v>
      </c>
      <c r="E2689" t="inlineStr">
        <is>
          <t>Q1FY27</t>
        </is>
      </c>
      <c r="F2689" t="inlineStr">
        <is>
          <t>26-May-2026</t>
        </is>
      </c>
      <c r="G2689" t="inlineStr">
        <is>
          <t>Tuesday</t>
        </is>
      </c>
      <c r="H2689" t="inlineStr">
        <is>
          <t>Monthly - Tuesday</t>
        </is>
      </c>
      <c r="I2689" t="inlineStr">
        <is>
          <t>Monthly - Tuesday</t>
        </is>
      </c>
      <c r="J2689" t="inlineStr">
        <is>
          <t>Month+1 Expiry</t>
        </is>
      </c>
      <c r="K2689" s="25" t="n">
        <v>154079</v>
      </c>
      <c r="L2689" s="26" t="n">
        <v>245.7885</v>
      </c>
      <c r="M2689" s="26" t="n">
        <v>3.35</v>
      </c>
    </row>
    <row r="2690" ht="16" customHeight="1">
      <c r="A2690" t="inlineStr">
        <is>
          <t>09-Apr-2026</t>
        </is>
      </c>
      <c r="B2690" t="inlineStr">
        <is>
          <t>Thursday</t>
        </is>
      </c>
      <c r="C2690" t="inlineStr">
        <is>
          <t>Week2-Apr-2026</t>
        </is>
      </c>
      <c r="D2690" s="78" t="n">
        <v>46113</v>
      </c>
      <c r="E2690" t="inlineStr">
        <is>
          <t>Q1FY27</t>
        </is>
      </c>
      <c r="F2690" t="inlineStr">
        <is>
          <t>30-Jun-2026</t>
        </is>
      </c>
      <c r="G2690" t="inlineStr">
        <is>
          <t>Tuesday</t>
        </is>
      </c>
      <c r="H2690" t="inlineStr">
        <is>
          <t>Monthly - Tuesday</t>
        </is>
      </c>
      <c r="I2690" t="inlineStr">
        <is>
          <t>Monthly - Tuesday</t>
        </is>
      </c>
      <c r="J2690" t="inlineStr">
        <is>
          <t>Month+2 Expiry</t>
        </is>
      </c>
      <c r="K2690" s="25" t="n">
        <v>125314</v>
      </c>
      <c r="L2690" s="26" t="n">
        <v>195.6209</v>
      </c>
      <c r="M2690" s="26" t="n">
        <v>3.3502</v>
      </c>
    </row>
    <row r="2691" ht="16" customHeight="1">
      <c r="A2691" t="inlineStr">
        <is>
          <t>09-Apr-2026</t>
        </is>
      </c>
      <c r="B2691" t="inlineStr">
        <is>
          <t>Thursday</t>
        </is>
      </c>
      <c r="C2691" t="inlineStr">
        <is>
          <t>Week2-Apr-2026</t>
        </is>
      </c>
      <c r="D2691" s="78" t="n">
        <v>46113</v>
      </c>
      <c r="E2691" t="inlineStr">
        <is>
          <t>Q1FY27</t>
        </is>
      </c>
      <c r="F2691" t="inlineStr">
        <is>
          <t>29-Sep-2026</t>
        </is>
      </c>
      <c r="G2691" t="inlineStr">
        <is>
          <t>Tuesday</t>
        </is>
      </c>
      <c r="H2691" t="inlineStr">
        <is>
          <t>Monthly - Tuesday</t>
        </is>
      </c>
      <c r="I2691" t="inlineStr">
        <is>
          <t>Monthly - Tuesday</t>
        </is>
      </c>
      <c r="J2691" t="inlineStr">
        <is>
          <t>Month+5 Expiry</t>
        </is>
      </c>
      <c r="K2691" s="25" t="n">
        <v>28472</v>
      </c>
      <c r="L2691" s="26" t="n">
        <v>46.9179</v>
      </c>
      <c r="M2691" s="26" t="n">
        <v>0.8851</v>
      </c>
    </row>
    <row r="2692" ht="16" customHeight="1">
      <c r="A2692" t="inlineStr">
        <is>
          <t>09-Apr-2026</t>
        </is>
      </c>
      <c r="B2692" t="inlineStr">
        <is>
          <t>Thursday</t>
        </is>
      </c>
      <c r="C2692" t="inlineStr">
        <is>
          <t>Week2-Apr-2026</t>
        </is>
      </c>
      <c r="D2692" s="78" t="n">
        <v>46113</v>
      </c>
      <c r="E2692" t="inlineStr">
        <is>
          <t>Q1FY27</t>
        </is>
      </c>
      <c r="F2692" t="inlineStr">
        <is>
          <t>29-Dec-2026</t>
        </is>
      </c>
      <c r="G2692" t="inlineStr">
        <is>
          <t>Tuesday</t>
        </is>
      </c>
      <c r="H2692" t="inlineStr">
        <is>
          <t>Monthly - Tuesday</t>
        </is>
      </c>
      <c r="I2692" t="inlineStr">
        <is>
          <t>Monthly - Tuesday</t>
        </is>
      </c>
      <c r="J2692" t="inlineStr">
        <is>
          <t>Month+8 Expiry</t>
        </is>
      </c>
      <c r="K2692" s="25" t="n">
        <v>52595</v>
      </c>
      <c r="L2692" s="26" t="n">
        <v>84.155</v>
      </c>
      <c r="M2692" s="26" t="n">
        <v>2.09</v>
      </c>
    </row>
    <row r="2693" ht="16" customHeight="1">
      <c r="A2693" t="inlineStr">
        <is>
          <t>09-Apr-2026</t>
        </is>
      </c>
      <c r="B2693" t="inlineStr">
        <is>
          <t>Thursday</t>
        </is>
      </c>
      <c r="C2693" t="inlineStr">
        <is>
          <t>Week2-Apr-2026</t>
        </is>
      </c>
      <c r="D2693" s="78" t="n">
        <v>46113</v>
      </c>
      <c r="E2693" t="inlineStr">
        <is>
          <t>Q1FY27</t>
        </is>
      </c>
      <c r="F2693" t="inlineStr">
        <is>
          <t>30-Mar-2027</t>
        </is>
      </c>
      <c r="G2693" t="inlineStr">
        <is>
          <t>Tuesday</t>
        </is>
      </c>
      <c r="H2693" t="inlineStr">
        <is>
          <t>Monthly - Tuesday</t>
        </is>
      </c>
      <c r="I2693" t="inlineStr">
        <is>
          <t>Monthly - Tuesday</t>
        </is>
      </c>
      <c r="J2693" t="inlineStr">
        <is>
          <t>Month+11 Expiry</t>
        </is>
      </c>
      <c r="K2693" s="25" t="n">
        <v>0</v>
      </c>
      <c r="L2693" s="26" t="n">
        <v>0</v>
      </c>
      <c r="M2693" s="26" t="n">
        <v>0</v>
      </c>
    </row>
    <row r="2694" ht="16" customHeight="1">
      <c r="A2694" t="inlineStr">
        <is>
          <t>09-Apr-2026</t>
        </is>
      </c>
      <c r="B2694" t="inlineStr">
        <is>
          <t>Thursday</t>
        </is>
      </c>
      <c r="C2694" t="inlineStr">
        <is>
          <t>Week2-Apr-2026</t>
        </is>
      </c>
      <c r="D2694" s="78" t="n">
        <v>46113</v>
      </c>
      <c r="E2694" t="inlineStr">
        <is>
          <t>Q1FY27</t>
        </is>
      </c>
      <c r="F2694" t="inlineStr">
        <is>
          <t>29-Jun-2027</t>
        </is>
      </c>
      <c r="G2694" t="inlineStr">
        <is>
          <t>Tuesday</t>
        </is>
      </c>
      <c r="H2694" t="inlineStr">
        <is>
          <t>Monthly - Tuesday</t>
        </is>
      </c>
      <c r="I2694" t="inlineStr">
        <is>
          <t>Monthly - Tuesday</t>
        </is>
      </c>
      <c r="J2694" t="inlineStr">
        <is>
          <t>Month+14 Expiry</t>
        </is>
      </c>
      <c r="K2694" s="25" t="n">
        <v>3</v>
      </c>
      <c r="L2694" s="26" t="n">
        <v>0.0042</v>
      </c>
      <c r="M2694" s="26" t="n">
        <v>0.0001</v>
      </c>
    </row>
    <row r="2695" ht="16" customHeight="1">
      <c r="A2695" t="inlineStr">
        <is>
          <t>09-Apr-2026</t>
        </is>
      </c>
      <c r="B2695" t="inlineStr">
        <is>
          <t>Thursday</t>
        </is>
      </c>
      <c r="C2695" t="inlineStr">
        <is>
          <t>Week2-Apr-2026</t>
        </is>
      </c>
      <c r="D2695" s="78" t="n">
        <v>46113</v>
      </c>
      <c r="E2695" t="inlineStr">
        <is>
          <t>Q1FY27</t>
        </is>
      </c>
      <c r="F2695" t="inlineStr">
        <is>
          <t>28-Dec-2027</t>
        </is>
      </c>
      <c r="G2695" t="inlineStr">
        <is>
          <t>Tuesday</t>
        </is>
      </c>
      <c r="H2695" t="inlineStr">
        <is>
          <t>Monthly - Tuesday</t>
        </is>
      </c>
      <c r="I2695" t="inlineStr">
        <is>
          <t>Monthly - Tuesday</t>
        </is>
      </c>
      <c r="J2695" t="inlineStr">
        <is>
          <t>Month+20 Expiry</t>
        </is>
      </c>
      <c r="K2695" s="25" t="n">
        <v>213</v>
      </c>
      <c r="L2695" s="26" t="n">
        <v>0.3533</v>
      </c>
      <c r="M2695" s="26" t="n">
        <v>0.0176</v>
      </c>
    </row>
    <row r="2696" ht="16" customHeight="1">
      <c r="A2696" t="inlineStr">
        <is>
          <t>09-Apr-2026</t>
        </is>
      </c>
      <c r="B2696" t="inlineStr">
        <is>
          <t>Thursday</t>
        </is>
      </c>
      <c r="C2696" t="inlineStr">
        <is>
          <t>Week2-Apr-2026</t>
        </is>
      </c>
      <c r="D2696" s="78" t="n">
        <v>46113</v>
      </c>
      <c r="E2696" t="inlineStr">
        <is>
          <t>Q1FY27</t>
        </is>
      </c>
      <c r="F2696" t="inlineStr">
        <is>
          <t>27-Jun-2028</t>
        </is>
      </c>
      <c r="G2696" t="inlineStr">
        <is>
          <t>Tuesday</t>
        </is>
      </c>
      <c r="H2696" t="inlineStr">
        <is>
          <t>Monthly - Tuesday</t>
        </is>
      </c>
      <c r="I2696" t="inlineStr">
        <is>
          <t>Monthly - Tuesday</t>
        </is>
      </c>
      <c r="J2696" t="inlineStr">
        <is>
          <t>Month+26 Expiry</t>
        </is>
      </c>
      <c r="K2696" s="25" t="n">
        <v>0</v>
      </c>
      <c r="L2696" s="26" t="n">
        <v>0</v>
      </c>
      <c r="M2696" s="26" t="n">
        <v>0</v>
      </c>
    </row>
    <row r="2697" ht="16" customHeight="1">
      <c r="A2697" t="inlineStr">
        <is>
          <t>09-Apr-2026</t>
        </is>
      </c>
      <c r="B2697" t="inlineStr">
        <is>
          <t>Thursday</t>
        </is>
      </c>
      <c r="C2697" t="inlineStr">
        <is>
          <t>Week2-Apr-2026</t>
        </is>
      </c>
      <c r="D2697" s="78" t="n">
        <v>46113</v>
      </c>
      <c r="E2697" t="inlineStr">
        <is>
          <t>Q1FY27</t>
        </is>
      </c>
      <c r="F2697" t="inlineStr">
        <is>
          <t>26-Dec-2028</t>
        </is>
      </c>
      <c r="G2697" t="inlineStr">
        <is>
          <t>Tuesday</t>
        </is>
      </c>
      <c r="H2697" t="inlineStr">
        <is>
          <t>Monthly - Tuesday</t>
        </is>
      </c>
      <c r="I2697" t="inlineStr">
        <is>
          <t>Monthly - Tuesday</t>
        </is>
      </c>
      <c r="J2697" t="inlineStr">
        <is>
          <t>Month+32 Expiry</t>
        </is>
      </c>
      <c r="K2697" s="25" t="n">
        <v>3</v>
      </c>
      <c r="L2697" s="26" t="n">
        <v>0.0047</v>
      </c>
      <c r="M2697" s="26" t="n">
        <v>0.0002</v>
      </c>
    </row>
    <row r="2698" ht="16" customHeight="1">
      <c r="A2698" t="inlineStr">
        <is>
          <t>09-Apr-2026</t>
        </is>
      </c>
      <c r="B2698" t="inlineStr">
        <is>
          <t>Thursday</t>
        </is>
      </c>
      <c r="C2698" t="inlineStr">
        <is>
          <t>Week2-Apr-2026</t>
        </is>
      </c>
      <c r="D2698" s="78" t="n">
        <v>46113</v>
      </c>
      <c r="E2698" t="inlineStr">
        <is>
          <t>Q1FY27</t>
        </is>
      </c>
      <c r="F2698" t="inlineStr">
        <is>
          <t>26-Jun-2029</t>
        </is>
      </c>
      <c r="G2698" t="inlineStr">
        <is>
          <t>Tuesday</t>
        </is>
      </c>
      <c r="H2698" t="inlineStr">
        <is>
          <t>Monthly - Tuesday</t>
        </is>
      </c>
      <c r="I2698" t="inlineStr">
        <is>
          <t>Monthly - Tuesday</t>
        </is>
      </c>
      <c r="J2698" t="inlineStr">
        <is>
          <t>Month+38 Expiry</t>
        </is>
      </c>
      <c r="K2698" s="25" t="n">
        <v>0</v>
      </c>
      <c r="L2698" s="26" t="n">
        <v>0</v>
      </c>
      <c r="M2698" s="26" t="n">
        <v>0</v>
      </c>
    </row>
    <row r="2699" ht="16" customHeight="1">
      <c r="A2699" t="inlineStr">
        <is>
          <t>09-Apr-2026</t>
        </is>
      </c>
      <c r="B2699" t="inlineStr">
        <is>
          <t>Thursday</t>
        </is>
      </c>
      <c r="C2699" t="inlineStr">
        <is>
          <t>Week2-Apr-2026</t>
        </is>
      </c>
      <c r="D2699" s="78" t="n">
        <v>46113</v>
      </c>
      <c r="E2699" t="inlineStr">
        <is>
          <t>Q1FY27</t>
        </is>
      </c>
      <c r="F2699" t="inlineStr">
        <is>
          <t>24-Dec-2029</t>
        </is>
      </c>
      <c r="G2699" t="inlineStr">
        <is>
          <t>Monday</t>
        </is>
      </c>
      <c r="H2699" t="inlineStr">
        <is>
          <t>Weekly - Monday</t>
        </is>
      </c>
      <c r="I2699" t="inlineStr">
        <is>
          <t>Weekly - Monday</t>
        </is>
      </c>
      <c r="J2699" t="inlineStr">
        <is>
          <t>Month+44 Expiry</t>
        </is>
      </c>
      <c r="K2699" s="25" t="n">
        <v>13</v>
      </c>
      <c r="L2699" s="26" t="n">
        <v>0.0275</v>
      </c>
      <c r="M2699" s="26" t="n">
        <v>0.0026</v>
      </c>
    </row>
    <row r="2700" ht="16" customHeight="1">
      <c r="A2700" t="inlineStr">
        <is>
          <t>09-Apr-2026</t>
        </is>
      </c>
      <c r="B2700" t="inlineStr">
        <is>
          <t>Thursday</t>
        </is>
      </c>
      <c r="C2700" t="inlineStr">
        <is>
          <t>Week2-Apr-2026</t>
        </is>
      </c>
      <c r="D2700" s="78" t="n">
        <v>46113</v>
      </c>
      <c r="E2700" t="inlineStr">
        <is>
          <t>Q1FY27</t>
        </is>
      </c>
      <c r="F2700" t="inlineStr">
        <is>
          <t>25-Jun-2030</t>
        </is>
      </c>
      <c r="G2700" t="inlineStr">
        <is>
          <t>Tuesday</t>
        </is>
      </c>
      <c r="H2700" t="inlineStr">
        <is>
          <t>Monthly - Tuesday</t>
        </is>
      </c>
      <c r="I2700" t="inlineStr">
        <is>
          <t>Monthly - Tuesday</t>
        </is>
      </c>
      <c r="J2700" t="inlineStr">
        <is>
          <t>Month+50 Expiry</t>
        </is>
      </c>
      <c r="K2700" s="25" t="n">
        <v>0</v>
      </c>
      <c r="L2700" s="26" t="n">
        <v>0</v>
      </c>
      <c r="M2700" s="26" t="n">
        <v>0</v>
      </c>
    </row>
    <row r="2701" ht="16" customHeight="1">
      <c r="A2701" t="inlineStr">
        <is>
          <t>09-Apr-2026</t>
        </is>
      </c>
      <c r="B2701" t="inlineStr">
        <is>
          <t>Thursday</t>
        </is>
      </c>
      <c r="C2701" t="inlineStr">
        <is>
          <t>Week2-Apr-2026</t>
        </is>
      </c>
      <c r="D2701" s="78" t="n">
        <v>46113</v>
      </c>
      <c r="E2701" t="inlineStr">
        <is>
          <t>Q1FY27</t>
        </is>
      </c>
      <c r="F2701" t="inlineStr">
        <is>
          <t>31-Dec-2030</t>
        </is>
      </c>
      <c r="G2701" t="inlineStr">
        <is>
          <t>Tuesday</t>
        </is>
      </c>
      <c r="H2701" t="inlineStr">
        <is>
          <t>Monthly - Tuesday</t>
        </is>
      </c>
      <c r="I2701" t="inlineStr">
        <is>
          <t>Monthly - Tuesday</t>
        </is>
      </c>
      <c r="J2701" t="inlineStr">
        <is>
          <t>Month+56 Expiry</t>
        </is>
      </c>
      <c r="K2701" s="25" t="n">
        <v>0</v>
      </c>
      <c r="L2701" s="26" t="n">
        <v>0</v>
      </c>
      <c r="M2701" s="26" t="n">
        <v>0</v>
      </c>
    </row>
    <row r="2702" ht="16" customHeight="1">
      <c r="A2702" t="inlineStr">
        <is>
          <t>10-Apr-2026</t>
        </is>
      </c>
      <c r="B2702" t="inlineStr">
        <is>
          <t>Friday</t>
        </is>
      </c>
      <c r="C2702" t="inlineStr">
        <is>
          <t>Week2-Apr-2026</t>
        </is>
      </c>
      <c r="D2702" s="78" t="n">
        <v>46113</v>
      </c>
      <c r="E2702" t="inlineStr">
        <is>
          <t>Q1FY27</t>
        </is>
      </c>
      <c r="F2702" t="inlineStr">
        <is>
          <t>13-Apr-2026</t>
        </is>
      </c>
      <c r="G2702" t="inlineStr">
        <is>
          <t>Monday</t>
        </is>
      </c>
      <c r="H2702" t="inlineStr">
        <is>
          <t>Weekly - Monday</t>
        </is>
      </c>
      <c r="I2702" t="inlineStr">
        <is>
          <t>Weekly - Monday</t>
        </is>
      </c>
      <c r="J2702" t="inlineStr">
        <is>
          <t>Same Month Expiry</t>
        </is>
      </c>
      <c r="K2702" s="25" t="n">
        <v>88418566</v>
      </c>
      <c r="L2702" s="26" t="n">
        <v>137931.5013</v>
      </c>
      <c r="M2702" s="26" t="n">
        <v>500.0512</v>
      </c>
    </row>
    <row r="2703" ht="16" customHeight="1">
      <c r="A2703" t="inlineStr">
        <is>
          <t>10-Apr-2026</t>
        </is>
      </c>
      <c r="B2703" t="inlineStr">
        <is>
          <t>Friday</t>
        </is>
      </c>
      <c r="C2703" t="inlineStr">
        <is>
          <t>Week2-Apr-2026</t>
        </is>
      </c>
      <c r="D2703" s="78" t="n">
        <v>46113</v>
      </c>
      <c r="E2703" t="inlineStr">
        <is>
          <t>Q1FY27</t>
        </is>
      </c>
      <c r="F2703" t="inlineStr">
        <is>
          <t>21-Apr-2026</t>
        </is>
      </c>
      <c r="G2703" t="inlineStr">
        <is>
          <t>Tuesday</t>
        </is>
      </c>
      <c r="H2703" t="inlineStr">
        <is>
          <t>Weekly - Tuesday</t>
        </is>
      </c>
      <c r="I2703" t="inlineStr">
        <is>
          <t>Weekly - Tuesday</t>
        </is>
      </c>
      <c r="J2703" t="inlineStr">
        <is>
          <t>Same Month Expiry</t>
        </is>
      </c>
      <c r="K2703" s="25" t="n">
        <v>2691037</v>
      </c>
      <c r="L2703" s="26" t="n">
        <v>4195.1311</v>
      </c>
      <c r="M2703" s="26" t="n">
        <v>20.8027</v>
      </c>
    </row>
    <row r="2704" ht="16" customHeight="1">
      <c r="A2704" t="inlineStr">
        <is>
          <t>10-Apr-2026</t>
        </is>
      </c>
      <c r="B2704" t="inlineStr">
        <is>
          <t>Friday</t>
        </is>
      </c>
      <c r="C2704" t="inlineStr">
        <is>
          <t>Week2-Apr-2026</t>
        </is>
      </c>
      <c r="D2704" s="78" t="n">
        <v>46113</v>
      </c>
      <c r="E2704" t="inlineStr">
        <is>
          <t>Q1FY27</t>
        </is>
      </c>
      <c r="F2704" t="inlineStr">
        <is>
          <t>28-Apr-2026</t>
        </is>
      </c>
      <c r="G2704" t="inlineStr">
        <is>
          <t>Tuesday</t>
        </is>
      </c>
      <c r="H2704" t="inlineStr">
        <is>
          <t>Monthly - Tuesday</t>
        </is>
      </c>
      <c r="I2704" t="inlineStr">
        <is>
          <t>Monthly - Tuesday</t>
        </is>
      </c>
      <c r="J2704" t="inlineStr">
        <is>
          <t>Same Month Expiry</t>
        </is>
      </c>
      <c r="K2704" s="25" t="n">
        <v>1609710</v>
      </c>
      <c r="L2704" s="26" t="n">
        <v>2510.1155</v>
      </c>
      <c r="M2704" s="26" t="n">
        <v>23.7719</v>
      </c>
    </row>
    <row r="2705" ht="16" customHeight="1">
      <c r="A2705" t="inlineStr">
        <is>
          <t>10-Apr-2026</t>
        </is>
      </c>
      <c r="B2705" t="inlineStr">
        <is>
          <t>Friday</t>
        </is>
      </c>
      <c r="C2705" t="inlineStr">
        <is>
          <t>Week2-Apr-2026</t>
        </is>
      </c>
      <c r="D2705" s="78" t="n">
        <v>46113</v>
      </c>
      <c r="E2705" t="inlineStr">
        <is>
          <t>Q1FY27</t>
        </is>
      </c>
      <c r="F2705" t="inlineStr">
        <is>
          <t>05-May-2026</t>
        </is>
      </c>
      <c r="G2705" t="inlineStr">
        <is>
          <t>Tuesday</t>
        </is>
      </c>
      <c r="H2705" t="inlineStr">
        <is>
          <t>Weekly - Tuesday</t>
        </is>
      </c>
      <c r="I2705" t="inlineStr">
        <is>
          <t>Weekly - Tuesday</t>
        </is>
      </c>
      <c r="J2705" t="inlineStr">
        <is>
          <t>Month+1 Expiry</t>
        </is>
      </c>
      <c r="K2705" s="25" t="n">
        <v>23779</v>
      </c>
      <c r="L2705" s="26" t="n">
        <v>37.2482</v>
      </c>
      <c r="M2705" s="26" t="n">
        <v>0.3772</v>
      </c>
    </row>
    <row r="2706" ht="16" customHeight="1">
      <c r="A2706" t="inlineStr">
        <is>
          <t>10-Apr-2026</t>
        </is>
      </c>
      <c r="B2706" t="inlineStr">
        <is>
          <t>Friday</t>
        </is>
      </c>
      <c r="C2706" t="inlineStr">
        <is>
          <t>Week2-Apr-2026</t>
        </is>
      </c>
      <c r="D2706" s="78" t="n">
        <v>46113</v>
      </c>
      <c r="E2706" t="inlineStr">
        <is>
          <t>Q1FY27</t>
        </is>
      </c>
      <c r="F2706" t="inlineStr">
        <is>
          <t>12-May-2026</t>
        </is>
      </c>
      <c r="G2706" t="inlineStr">
        <is>
          <t>Tuesday</t>
        </is>
      </c>
      <c r="H2706" t="inlineStr">
        <is>
          <t>Weekly - Tuesday</t>
        </is>
      </c>
      <c r="I2706" t="inlineStr">
        <is>
          <t>Weekly - Tuesday</t>
        </is>
      </c>
      <c r="J2706" t="inlineStr">
        <is>
          <t>Month+1 Expiry</t>
        </is>
      </c>
      <c r="K2706" s="25" t="n">
        <v>611</v>
      </c>
      <c r="L2706" s="26" t="n">
        <v>0.983</v>
      </c>
      <c r="M2706" s="26" t="n">
        <v>0.0098</v>
      </c>
    </row>
    <row r="2707" ht="16" customHeight="1">
      <c r="A2707" t="inlineStr">
        <is>
          <t>10-Apr-2026</t>
        </is>
      </c>
      <c r="B2707" t="inlineStr">
        <is>
          <t>Friday</t>
        </is>
      </c>
      <c r="C2707" t="inlineStr">
        <is>
          <t>Week2-Apr-2026</t>
        </is>
      </c>
      <c r="D2707" s="78" t="n">
        <v>46113</v>
      </c>
      <c r="E2707" t="inlineStr">
        <is>
          <t>Q1FY27</t>
        </is>
      </c>
      <c r="F2707" t="inlineStr">
        <is>
          <t>26-May-2026</t>
        </is>
      </c>
      <c r="G2707" t="inlineStr">
        <is>
          <t>Tuesday</t>
        </is>
      </c>
      <c r="H2707" t="inlineStr">
        <is>
          <t>Monthly - Tuesday</t>
        </is>
      </c>
      <c r="I2707" t="inlineStr">
        <is>
          <t>Monthly - Tuesday</t>
        </is>
      </c>
      <c r="J2707" t="inlineStr">
        <is>
          <t>Month+1 Expiry</t>
        </is>
      </c>
      <c r="K2707" s="25" t="n">
        <v>162303</v>
      </c>
      <c r="L2707" s="26" t="n">
        <v>256.5863</v>
      </c>
      <c r="M2707" s="26" t="n">
        <v>3.1304</v>
      </c>
    </row>
    <row r="2708" ht="16" customHeight="1">
      <c r="A2708" t="inlineStr">
        <is>
          <t>10-Apr-2026</t>
        </is>
      </c>
      <c r="B2708" t="inlineStr">
        <is>
          <t>Friday</t>
        </is>
      </c>
      <c r="C2708" t="inlineStr">
        <is>
          <t>Week2-Apr-2026</t>
        </is>
      </c>
      <c r="D2708" s="78" t="n">
        <v>46113</v>
      </c>
      <c r="E2708" t="inlineStr">
        <is>
          <t>Q1FY27</t>
        </is>
      </c>
      <c r="F2708" t="inlineStr">
        <is>
          <t>30-Jun-2026</t>
        </is>
      </c>
      <c r="G2708" t="inlineStr">
        <is>
          <t>Tuesday</t>
        </is>
      </c>
      <c r="H2708" t="inlineStr">
        <is>
          <t>Monthly - Tuesday</t>
        </is>
      </c>
      <c r="I2708" t="inlineStr">
        <is>
          <t>Monthly - Tuesday</t>
        </is>
      </c>
      <c r="J2708" t="inlineStr">
        <is>
          <t>Month+2 Expiry</t>
        </is>
      </c>
      <c r="K2708" s="25" t="n">
        <v>105283</v>
      </c>
      <c r="L2708" s="26" t="n">
        <v>165.1914</v>
      </c>
      <c r="M2708" s="26" t="n">
        <v>2.8454</v>
      </c>
    </row>
    <row r="2709" ht="16" customHeight="1">
      <c r="A2709" t="inlineStr">
        <is>
          <t>10-Apr-2026</t>
        </is>
      </c>
      <c r="B2709" t="inlineStr">
        <is>
          <t>Friday</t>
        </is>
      </c>
      <c r="C2709" t="inlineStr">
        <is>
          <t>Week2-Apr-2026</t>
        </is>
      </c>
      <c r="D2709" s="78" t="n">
        <v>46113</v>
      </c>
      <c r="E2709" t="inlineStr">
        <is>
          <t>Q1FY27</t>
        </is>
      </c>
      <c r="F2709" t="inlineStr">
        <is>
          <t>29-Sep-2026</t>
        </is>
      </c>
      <c r="G2709" t="inlineStr">
        <is>
          <t>Tuesday</t>
        </is>
      </c>
      <c r="H2709" t="inlineStr">
        <is>
          <t>Monthly - Tuesday</t>
        </is>
      </c>
      <c r="I2709" t="inlineStr">
        <is>
          <t>Monthly - Tuesday</t>
        </is>
      </c>
      <c r="J2709" t="inlineStr">
        <is>
          <t>Month+5 Expiry</t>
        </is>
      </c>
      <c r="K2709" s="25" t="n">
        <v>39661</v>
      </c>
      <c r="L2709" s="26" t="n">
        <v>64.27760000000001</v>
      </c>
      <c r="M2709" s="26" t="n">
        <v>1.2497</v>
      </c>
    </row>
    <row r="2710" ht="16" customHeight="1">
      <c r="A2710" t="inlineStr">
        <is>
          <t>10-Apr-2026</t>
        </is>
      </c>
      <c r="B2710" t="inlineStr">
        <is>
          <t>Friday</t>
        </is>
      </c>
      <c r="C2710" t="inlineStr">
        <is>
          <t>Week2-Apr-2026</t>
        </is>
      </c>
      <c r="D2710" s="78" t="n">
        <v>46113</v>
      </c>
      <c r="E2710" t="inlineStr">
        <is>
          <t>Q1FY27</t>
        </is>
      </c>
      <c r="F2710" t="inlineStr">
        <is>
          <t>29-Dec-2026</t>
        </is>
      </c>
      <c r="G2710" t="inlineStr">
        <is>
          <t>Tuesday</t>
        </is>
      </c>
      <c r="H2710" t="inlineStr">
        <is>
          <t>Monthly - Tuesday</t>
        </is>
      </c>
      <c r="I2710" t="inlineStr">
        <is>
          <t>Monthly - Tuesday</t>
        </is>
      </c>
      <c r="J2710" t="inlineStr">
        <is>
          <t>Month+8 Expiry</t>
        </is>
      </c>
      <c r="K2710" s="25" t="n">
        <v>53518</v>
      </c>
      <c r="L2710" s="26" t="n">
        <v>87.3138</v>
      </c>
      <c r="M2710" s="26" t="n">
        <v>2.697</v>
      </c>
    </row>
    <row r="2711" ht="16" customHeight="1">
      <c r="A2711" t="inlineStr">
        <is>
          <t>10-Apr-2026</t>
        </is>
      </c>
      <c r="B2711" t="inlineStr">
        <is>
          <t>Friday</t>
        </is>
      </c>
      <c r="C2711" t="inlineStr">
        <is>
          <t>Week2-Apr-2026</t>
        </is>
      </c>
      <c r="D2711" s="78" t="n">
        <v>46113</v>
      </c>
      <c r="E2711" t="inlineStr">
        <is>
          <t>Q1FY27</t>
        </is>
      </c>
      <c r="F2711" t="inlineStr">
        <is>
          <t>30-Mar-2027</t>
        </is>
      </c>
      <c r="G2711" t="inlineStr">
        <is>
          <t>Tuesday</t>
        </is>
      </c>
      <c r="H2711" t="inlineStr">
        <is>
          <t>Monthly - Tuesday</t>
        </is>
      </c>
      <c r="I2711" t="inlineStr">
        <is>
          <t>Monthly - Tuesday</t>
        </is>
      </c>
      <c r="J2711" t="inlineStr">
        <is>
          <t>Month+11 Expiry</t>
        </is>
      </c>
      <c r="K2711" s="25" t="n">
        <v>0</v>
      </c>
      <c r="L2711" s="26" t="n">
        <v>0</v>
      </c>
      <c r="M2711" s="26" t="n">
        <v>0</v>
      </c>
    </row>
    <row r="2712" ht="16" customHeight="1">
      <c r="A2712" t="inlineStr">
        <is>
          <t>10-Apr-2026</t>
        </is>
      </c>
      <c r="B2712" t="inlineStr">
        <is>
          <t>Friday</t>
        </is>
      </c>
      <c r="C2712" t="inlineStr">
        <is>
          <t>Week2-Apr-2026</t>
        </is>
      </c>
      <c r="D2712" s="78" t="n">
        <v>46113</v>
      </c>
      <c r="E2712" t="inlineStr">
        <is>
          <t>Q1FY27</t>
        </is>
      </c>
      <c r="F2712" t="inlineStr">
        <is>
          <t>29-Jun-2027</t>
        </is>
      </c>
      <c r="G2712" t="inlineStr">
        <is>
          <t>Tuesday</t>
        </is>
      </c>
      <c r="H2712" t="inlineStr">
        <is>
          <t>Monthly - Tuesday</t>
        </is>
      </c>
      <c r="I2712" t="inlineStr">
        <is>
          <t>Monthly - Tuesday</t>
        </is>
      </c>
      <c r="J2712" t="inlineStr">
        <is>
          <t>Month+14 Expiry</t>
        </is>
      </c>
      <c r="K2712" s="25" t="n">
        <v>5</v>
      </c>
      <c r="L2712" s="26" t="n">
        <v>0.0069</v>
      </c>
      <c r="M2712" s="26" t="n">
        <v>0.0001</v>
      </c>
    </row>
    <row r="2713" ht="16" customHeight="1">
      <c r="A2713" t="inlineStr">
        <is>
          <t>10-Apr-2026</t>
        </is>
      </c>
      <c r="B2713" t="inlineStr">
        <is>
          <t>Friday</t>
        </is>
      </c>
      <c r="C2713" t="inlineStr">
        <is>
          <t>Week2-Apr-2026</t>
        </is>
      </c>
      <c r="D2713" s="78" t="n">
        <v>46113</v>
      </c>
      <c r="E2713" t="inlineStr">
        <is>
          <t>Q1FY27</t>
        </is>
      </c>
      <c r="F2713" t="inlineStr">
        <is>
          <t>28-Dec-2027</t>
        </is>
      </c>
      <c r="G2713" t="inlineStr">
        <is>
          <t>Tuesday</t>
        </is>
      </c>
      <c r="H2713" t="inlineStr">
        <is>
          <t>Monthly - Tuesday</t>
        </is>
      </c>
      <c r="I2713" t="inlineStr">
        <is>
          <t>Monthly - Tuesday</t>
        </is>
      </c>
      <c r="J2713" t="inlineStr">
        <is>
          <t>Month+20 Expiry</t>
        </is>
      </c>
      <c r="K2713" s="25" t="n">
        <v>250</v>
      </c>
      <c r="L2713" s="26" t="n">
        <v>0.4277</v>
      </c>
      <c r="M2713" s="26" t="n">
        <v>0.0258</v>
      </c>
    </row>
    <row r="2714" ht="16" customHeight="1">
      <c r="A2714" t="inlineStr">
        <is>
          <t>10-Apr-2026</t>
        </is>
      </c>
      <c r="B2714" t="inlineStr">
        <is>
          <t>Friday</t>
        </is>
      </c>
      <c r="C2714" t="inlineStr">
        <is>
          <t>Week2-Apr-2026</t>
        </is>
      </c>
      <c r="D2714" s="78" t="n">
        <v>46113</v>
      </c>
      <c r="E2714" t="inlineStr">
        <is>
          <t>Q1FY27</t>
        </is>
      </c>
      <c r="F2714" t="inlineStr">
        <is>
          <t>27-Jun-2028</t>
        </is>
      </c>
      <c r="G2714" t="inlineStr">
        <is>
          <t>Tuesday</t>
        </is>
      </c>
      <c r="H2714" t="inlineStr">
        <is>
          <t>Monthly - Tuesday</t>
        </is>
      </c>
      <c r="I2714" t="inlineStr">
        <is>
          <t>Monthly - Tuesday</t>
        </is>
      </c>
      <c r="J2714" t="inlineStr">
        <is>
          <t>Month+26 Expiry</t>
        </is>
      </c>
      <c r="K2714" s="25" t="n">
        <v>1</v>
      </c>
      <c r="L2714" s="26" t="n">
        <v>0.0015</v>
      </c>
      <c r="M2714" s="26" t="n">
        <v>0</v>
      </c>
    </row>
    <row r="2715" ht="16" customHeight="1">
      <c r="A2715" t="inlineStr">
        <is>
          <t>10-Apr-2026</t>
        </is>
      </c>
      <c r="B2715" t="inlineStr">
        <is>
          <t>Friday</t>
        </is>
      </c>
      <c r="C2715" t="inlineStr">
        <is>
          <t>Week2-Apr-2026</t>
        </is>
      </c>
      <c r="D2715" s="78" t="n">
        <v>46113</v>
      </c>
      <c r="E2715" t="inlineStr">
        <is>
          <t>Q1FY27</t>
        </is>
      </c>
      <c r="F2715" t="inlineStr">
        <is>
          <t>26-Dec-2028</t>
        </is>
      </c>
      <c r="G2715" t="inlineStr">
        <is>
          <t>Tuesday</t>
        </is>
      </c>
      <c r="H2715" t="inlineStr">
        <is>
          <t>Monthly - Tuesday</t>
        </is>
      </c>
      <c r="I2715" t="inlineStr">
        <is>
          <t>Monthly - Tuesday</t>
        </is>
      </c>
      <c r="J2715" t="inlineStr">
        <is>
          <t>Month+32 Expiry</t>
        </is>
      </c>
      <c r="K2715" s="25" t="n">
        <v>16</v>
      </c>
      <c r="L2715" s="26" t="n">
        <v>0.0259</v>
      </c>
      <c r="M2715" s="26" t="n">
        <v>0.0011</v>
      </c>
    </row>
    <row r="2716" ht="16" customHeight="1">
      <c r="A2716" t="inlineStr">
        <is>
          <t>10-Apr-2026</t>
        </is>
      </c>
      <c r="B2716" t="inlineStr">
        <is>
          <t>Friday</t>
        </is>
      </c>
      <c r="C2716" t="inlineStr">
        <is>
          <t>Week2-Apr-2026</t>
        </is>
      </c>
      <c r="D2716" s="78" t="n">
        <v>46113</v>
      </c>
      <c r="E2716" t="inlineStr">
        <is>
          <t>Q1FY27</t>
        </is>
      </c>
      <c r="F2716" t="inlineStr">
        <is>
          <t>26-Jun-2029</t>
        </is>
      </c>
      <c r="G2716" t="inlineStr">
        <is>
          <t>Tuesday</t>
        </is>
      </c>
      <c r="H2716" t="inlineStr">
        <is>
          <t>Monthly - Tuesday</t>
        </is>
      </c>
      <c r="I2716" t="inlineStr">
        <is>
          <t>Monthly - Tuesday</t>
        </is>
      </c>
      <c r="J2716" t="inlineStr">
        <is>
          <t>Month+38 Expiry</t>
        </is>
      </c>
      <c r="K2716" s="25" t="n">
        <v>0</v>
      </c>
      <c r="L2716" s="26" t="n">
        <v>0</v>
      </c>
      <c r="M2716" s="26" t="n">
        <v>0</v>
      </c>
    </row>
    <row r="2717" ht="16" customHeight="1">
      <c r="A2717" t="inlineStr">
        <is>
          <t>10-Apr-2026</t>
        </is>
      </c>
      <c r="B2717" t="inlineStr">
        <is>
          <t>Friday</t>
        </is>
      </c>
      <c r="C2717" t="inlineStr">
        <is>
          <t>Week2-Apr-2026</t>
        </is>
      </c>
      <c r="D2717" s="78" t="n">
        <v>46113</v>
      </c>
      <c r="E2717" t="inlineStr">
        <is>
          <t>Q1FY27</t>
        </is>
      </c>
      <c r="F2717" t="inlineStr">
        <is>
          <t>24-Dec-2029</t>
        </is>
      </c>
      <c r="G2717" t="inlineStr">
        <is>
          <t>Monday</t>
        </is>
      </c>
      <c r="H2717" t="inlineStr">
        <is>
          <t>Weekly - Monday</t>
        </is>
      </c>
      <c r="I2717" t="inlineStr">
        <is>
          <t>Weekly - Monday</t>
        </is>
      </c>
      <c r="J2717" t="inlineStr">
        <is>
          <t>Month+44 Expiry</t>
        </is>
      </c>
      <c r="K2717" s="25" t="n">
        <v>0</v>
      </c>
      <c r="L2717" s="26" t="n">
        <v>0</v>
      </c>
      <c r="M2717" s="26" t="n">
        <v>0</v>
      </c>
    </row>
    <row r="2718" ht="16" customHeight="1">
      <c r="A2718" t="inlineStr">
        <is>
          <t>10-Apr-2026</t>
        </is>
      </c>
      <c r="B2718" t="inlineStr">
        <is>
          <t>Friday</t>
        </is>
      </c>
      <c r="C2718" t="inlineStr">
        <is>
          <t>Week2-Apr-2026</t>
        </is>
      </c>
      <c r="D2718" s="78" t="n">
        <v>46113</v>
      </c>
      <c r="E2718" t="inlineStr">
        <is>
          <t>Q1FY27</t>
        </is>
      </c>
      <c r="F2718" t="inlineStr">
        <is>
          <t>25-Jun-2030</t>
        </is>
      </c>
      <c r="G2718" t="inlineStr">
        <is>
          <t>Tuesday</t>
        </is>
      </c>
      <c r="H2718" t="inlineStr">
        <is>
          <t>Monthly - Tuesday</t>
        </is>
      </c>
      <c r="I2718" t="inlineStr">
        <is>
          <t>Monthly - Tuesday</t>
        </is>
      </c>
      <c r="J2718" t="inlineStr">
        <is>
          <t>Month+50 Expiry</t>
        </is>
      </c>
      <c r="K2718" s="25" t="n">
        <v>0</v>
      </c>
      <c r="L2718" s="26" t="n">
        <v>0</v>
      </c>
      <c r="M2718" s="26" t="n">
        <v>0</v>
      </c>
    </row>
    <row r="2719" ht="16" customHeight="1">
      <c r="A2719" t="inlineStr">
        <is>
          <t>10-Apr-2026</t>
        </is>
      </c>
      <c r="B2719" t="inlineStr">
        <is>
          <t>Friday</t>
        </is>
      </c>
      <c r="C2719" t="inlineStr">
        <is>
          <t>Week2-Apr-2026</t>
        </is>
      </c>
      <c r="D2719" s="78" t="n">
        <v>46113</v>
      </c>
      <c r="E2719" t="inlineStr">
        <is>
          <t>Q1FY27</t>
        </is>
      </c>
      <c r="F2719" t="inlineStr">
        <is>
          <t>31-Dec-2030</t>
        </is>
      </c>
      <c r="G2719" t="inlineStr">
        <is>
          <t>Tuesday</t>
        </is>
      </c>
      <c r="H2719" t="inlineStr">
        <is>
          <t>Monthly - Tuesday</t>
        </is>
      </c>
      <c r="I2719" t="inlineStr">
        <is>
          <t>Monthly - Tuesday</t>
        </is>
      </c>
      <c r="J2719" t="inlineStr">
        <is>
          <t>Month+56 Expiry</t>
        </is>
      </c>
      <c r="K2719" s="25" t="n">
        <v>0</v>
      </c>
      <c r="L2719" s="26" t="n">
        <v>0</v>
      </c>
      <c r="M2719" s="26" t="n">
        <v>0</v>
      </c>
    </row>
    <row r="2720" ht="16" customHeight="1">
      <c r="A2720" t="inlineStr">
        <is>
          <t>13-Apr-2026</t>
        </is>
      </c>
      <c r="B2720" t="inlineStr">
        <is>
          <t>Monday</t>
        </is>
      </c>
      <c r="C2720" t="inlineStr">
        <is>
          <t>Week2-Apr-2026</t>
        </is>
      </c>
      <c r="D2720" s="78" t="n">
        <v>46113</v>
      </c>
      <c r="E2720" t="inlineStr">
        <is>
          <t>Q1FY27</t>
        </is>
      </c>
      <c r="F2720" t="inlineStr">
        <is>
          <t>13-Apr-2026</t>
        </is>
      </c>
      <c r="G2720" t="inlineStr">
        <is>
          <t>Monday</t>
        </is>
      </c>
      <c r="H2720" t="inlineStr">
        <is>
          <t>Weekly - Monday</t>
        </is>
      </c>
      <c r="I2720" t="inlineStr">
        <is>
          <t>Weekly - Monday</t>
        </is>
      </c>
      <c r="J2720" t="inlineStr">
        <is>
          <t>Same Month Expiry</t>
        </is>
      </c>
      <c r="K2720" s="25" t="n">
        <v>365854898</v>
      </c>
      <c r="L2720" s="26" t="n">
        <v>565777.7692</v>
      </c>
      <c r="M2720" s="26" t="n">
        <v>679.182</v>
      </c>
    </row>
    <row r="2721" ht="16" customHeight="1">
      <c r="A2721" t="inlineStr">
        <is>
          <t>13-Apr-2026</t>
        </is>
      </c>
      <c r="B2721" t="inlineStr">
        <is>
          <t>Monday</t>
        </is>
      </c>
      <c r="C2721" t="inlineStr">
        <is>
          <t>Week2-Apr-2026</t>
        </is>
      </c>
      <c r="D2721" s="78" t="n">
        <v>46113</v>
      </c>
      <c r="E2721" t="inlineStr">
        <is>
          <t>Q1FY27</t>
        </is>
      </c>
      <c r="F2721" t="inlineStr">
        <is>
          <t>21-Apr-2026</t>
        </is>
      </c>
      <c r="G2721" t="inlineStr">
        <is>
          <t>Tuesday</t>
        </is>
      </c>
      <c r="H2721" t="inlineStr">
        <is>
          <t>Weekly - Tuesday</t>
        </is>
      </c>
      <c r="I2721" t="inlineStr">
        <is>
          <t>Weekly - Tuesday</t>
        </is>
      </c>
      <c r="J2721" t="inlineStr">
        <is>
          <t>Same Month Expiry</t>
        </is>
      </c>
      <c r="K2721" s="25" t="n">
        <v>7456540</v>
      </c>
      <c r="L2721" s="26" t="n">
        <v>11548.0769</v>
      </c>
      <c r="M2721" s="26" t="n">
        <v>63.4085</v>
      </c>
    </row>
    <row r="2722" ht="16" customHeight="1">
      <c r="A2722" t="inlineStr">
        <is>
          <t>13-Apr-2026</t>
        </is>
      </c>
      <c r="B2722" t="inlineStr">
        <is>
          <t>Monday</t>
        </is>
      </c>
      <c r="C2722" t="inlineStr">
        <is>
          <t>Week2-Apr-2026</t>
        </is>
      </c>
      <c r="D2722" s="78" t="n">
        <v>46113</v>
      </c>
      <c r="E2722" t="inlineStr">
        <is>
          <t>Q1FY27</t>
        </is>
      </c>
      <c r="F2722" t="inlineStr">
        <is>
          <t>28-Apr-2026</t>
        </is>
      </c>
      <c r="G2722" t="inlineStr">
        <is>
          <t>Tuesday</t>
        </is>
      </c>
      <c r="H2722" t="inlineStr">
        <is>
          <t>Monthly - Tuesday</t>
        </is>
      </c>
      <c r="I2722" t="inlineStr">
        <is>
          <t>Monthly - Tuesday</t>
        </is>
      </c>
      <c r="J2722" t="inlineStr">
        <is>
          <t>Same Month Expiry</t>
        </is>
      </c>
      <c r="K2722" s="25" t="n">
        <v>1898481</v>
      </c>
      <c r="L2722" s="26" t="n">
        <v>2947.4193</v>
      </c>
      <c r="M2722" s="26" t="n">
        <v>26.2457</v>
      </c>
    </row>
    <row r="2723" ht="16" customHeight="1">
      <c r="A2723" t="inlineStr">
        <is>
          <t>13-Apr-2026</t>
        </is>
      </c>
      <c r="B2723" t="inlineStr">
        <is>
          <t>Monday</t>
        </is>
      </c>
      <c r="C2723" t="inlineStr">
        <is>
          <t>Week2-Apr-2026</t>
        </is>
      </c>
      <c r="D2723" s="78" t="n">
        <v>46113</v>
      </c>
      <c r="E2723" t="inlineStr">
        <is>
          <t>Q1FY27</t>
        </is>
      </c>
      <c r="F2723" t="inlineStr">
        <is>
          <t>05-May-2026</t>
        </is>
      </c>
      <c r="G2723" t="inlineStr">
        <is>
          <t>Tuesday</t>
        </is>
      </c>
      <c r="H2723" t="inlineStr">
        <is>
          <t>Weekly - Tuesday</t>
        </is>
      </c>
      <c r="I2723" t="inlineStr">
        <is>
          <t>Weekly - Tuesday</t>
        </is>
      </c>
      <c r="J2723" t="inlineStr">
        <is>
          <t>Month+1 Expiry</t>
        </is>
      </c>
      <c r="K2723" s="25" t="n">
        <v>38821</v>
      </c>
      <c r="L2723" s="26" t="n">
        <v>60.9611</v>
      </c>
      <c r="M2723" s="26" t="n">
        <v>0.6177</v>
      </c>
    </row>
    <row r="2724" ht="16" customHeight="1">
      <c r="A2724" t="inlineStr">
        <is>
          <t>13-Apr-2026</t>
        </is>
      </c>
      <c r="B2724" t="inlineStr">
        <is>
          <t>Monday</t>
        </is>
      </c>
      <c r="C2724" t="inlineStr">
        <is>
          <t>Week2-Apr-2026</t>
        </is>
      </c>
      <c r="D2724" s="78" t="n">
        <v>46113</v>
      </c>
      <c r="E2724" t="inlineStr">
        <is>
          <t>Q1FY27</t>
        </is>
      </c>
      <c r="F2724" t="inlineStr">
        <is>
          <t>12-May-2026</t>
        </is>
      </c>
      <c r="G2724" t="inlineStr">
        <is>
          <t>Tuesday</t>
        </is>
      </c>
      <c r="H2724" t="inlineStr">
        <is>
          <t>Weekly - Tuesday</t>
        </is>
      </c>
      <c r="I2724" t="inlineStr">
        <is>
          <t>Weekly - Tuesday</t>
        </is>
      </c>
      <c r="J2724" t="inlineStr">
        <is>
          <t>Month+1 Expiry</t>
        </is>
      </c>
      <c r="K2724" s="25" t="n">
        <v>2074</v>
      </c>
      <c r="L2724" s="26" t="n">
        <v>3.358</v>
      </c>
      <c r="M2724" s="26" t="n">
        <v>0.0301</v>
      </c>
    </row>
    <row r="2725" ht="16" customHeight="1">
      <c r="A2725" t="inlineStr">
        <is>
          <t>13-Apr-2026</t>
        </is>
      </c>
      <c r="B2725" t="inlineStr">
        <is>
          <t>Monday</t>
        </is>
      </c>
      <c r="C2725" t="inlineStr">
        <is>
          <t>Week2-Apr-2026</t>
        </is>
      </c>
      <c r="D2725" s="78" t="n">
        <v>46113</v>
      </c>
      <c r="E2725" t="inlineStr">
        <is>
          <t>Q1FY27</t>
        </is>
      </c>
      <c r="F2725" t="inlineStr">
        <is>
          <t>26-May-2026</t>
        </is>
      </c>
      <c r="G2725" t="inlineStr">
        <is>
          <t>Tuesday</t>
        </is>
      </c>
      <c r="H2725" t="inlineStr">
        <is>
          <t>Monthly - Tuesday</t>
        </is>
      </c>
      <c r="I2725" t="inlineStr">
        <is>
          <t>Monthly - Tuesday</t>
        </is>
      </c>
      <c r="J2725" t="inlineStr">
        <is>
          <t>Month+1 Expiry</t>
        </is>
      </c>
      <c r="K2725" s="25" t="n">
        <v>193478</v>
      </c>
      <c r="L2725" s="26" t="n">
        <v>305.8971</v>
      </c>
      <c r="M2725" s="26" t="n">
        <v>3.9804</v>
      </c>
    </row>
    <row r="2726" ht="16" customHeight="1">
      <c r="A2726" t="inlineStr">
        <is>
          <t>13-Apr-2026</t>
        </is>
      </c>
      <c r="B2726" t="inlineStr">
        <is>
          <t>Monday</t>
        </is>
      </c>
      <c r="C2726" t="inlineStr">
        <is>
          <t>Week2-Apr-2026</t>
        </is>
      </c>
      <c r="D2726" s="78" t="n">
        <v>46113</v>
      </c>
      <c r="E2726" t="inlineStr">
        <is>
          <t>Q1FY27</t>
        </is>
      </c>
      <c r="F2726" t="inlineStr">
        <is>
          <t>30-Jun-2026</t>
        </is>
      </c>
      <c r="G2726" t="inlineStr">
        <is>
          <t>Tuesday</t>
        </is>
      </c>
      <c r="H2726" t="inlineStr">
        <is>
          <t>Monthly - Tuesday</t>
        </is>
      </c>
      <c r="I2726" t="inlineStr">
        <is>
          <t>Monthly - Tuesday</t>
        </is>
      </c>
      <c r="J2726" t="inlineStr">
        <is>
          <t>Month+2 Expiry</t>
        </is>
      </c>
      <c r="K2726" s="25" t="n">
        <v>124892</v>
      </c>
      <c r="L2726" s="26" t="n">
        <v>196.7096</v>
      </c>
      <c r="M2726" s="26" t="n">
        <v>3.7325</v>
      </c>
    </row>
    <row r="2727" ht="16" customHeight="1">
      <c r="A2727" t="inlineStr">
        <is>
          <t>13-Apr-2026</t>
        </is>
      </c>
      <c r="B2727" t="inlineStr">
        <is>
          <t>Monday</t>
        </is>
      </c>
      <c r="C2727" t="inlineStr">
        <is>
          <t>Week2-Apr-2026</t>
        </is>
      </c>
      <c r="D2727" s="78" t="n">
        <v>46113</v>
      </c>
      <c r="E2727" t="inlineStr">
        <is>
          <t>Q1FY27</t>
        </is>
      </c>
      <c r="F2727" t="inlineStr">
        <is>
          <t>29-Sep-2026</t>
        </is>
      </c>
      <c r="G2727" t="inlineStr">
        <is>
          <t>Tuesday</t>
        </is>
      </c>
      <c r="H2727" t="inlineStr">
        <is>
          <t>Monthly - Tuesday</t>
        </is>
      </c>
      <c r="I2727" t="inlineStr">
        <is>
          <t>Monthly - Tuesday</t>
        </is>
      </c>
      <c r="J2727" t="inlineStr">
        <is>
          <t>Month+5 Expiry</t>
        </is>
      </c>
      <c r="K2727" s="25" t="n">
        <v>29921</v>
      </c>
      <c r="L2727" s="26" t="n">
        <v>47.9335</v>
      </c>
      <c r="M2727" s="26" t="n">
        <v>0.9226</v>
      </c>
    </row>
    <row r="2728" ht="16" customHeight="1">
      <c r="A2728" t="inlineStr">
        <is>
          <t>13-Apr-2026</t>
        </is>
      </c>
      <c r="B2728" t="inlineStr">
        <is>
          <t>Monday</t>
        </is>
      </c>
      <c r="C2728" t="inlineStr">
        <is>
          <t>Week2-Apr-2026</t>
        </is>
      </c>
      <c r="D2728" s="78" t="n">
        <v>46113</v>
      </c>
      <c r="E2728" t="inlineStr">
        <is>
          <t>Q1FY27</t>
        </is>
      </c>
      <c r="F2728" t="inlineStr">
        <is>
          <t>29-Dec-2026</t>
        </is>
      </c>
      <c r="G2728" t="inlineStr">
        <is>
          <t>Tuesday</t>
        </is>
      </c>
      <c r="H2728" t="inlineStr">
        <is>
          <t>Monthly - Tuesday</t>
        </is>
      </c>
      <c r="I2728" t="inlineStr">
        <is>
          <t>Monthly - Tuesday</t>
        </is>
      </c>
      <c r="J2728" t="inlineStr">
        <is>
          <t>Month+8 Expiry</t>
        </is>
      </c>
      <c r="K2728" s="25" t="n">
        <v>44497</v>
      </c>
      <c r="L2728" s="26" t="n">
        <v>71.3591</v>
      </c>
      <c r="M2728" s="26" t="n">
        <v>1.889</v>
      </c>
    </row>
    <row r="2729" ht="16" customHeight="1">
      <c r="A2729" t="inlineStr">
        <is>
          <t>13-Apr-2026</t>
        </is>
      </c>
      <c r="B2729" t="inlineStr">
        <is>
          <t>Monday</t>
        </is>
      </c>
      <c r="C2729" t="inlineStr">
        <is>
          <t>Week2-Apr-2026</t>
        </is>
      </c>
      <c r="D2729" s="78" t="n">
        <v>46113</v>
      </c>
      <c r="E2729" t="inlineStr">
        <is>
          <t>Q1FY27</t>
        </is>
      </c>
      <c r="F2729" t="inlineStr">
        <is>
          <t>30-Mar-2027</t>
        </is>
      </c>
      <c r="G2729" t="inlineStr">
        <is>
          <t>Tuesday</t>
        </is>
      </c>
      <c r="H2729" t="inlineStr">
        <is>
          <t>Monthly - Tuesday</t>
        </is>
      </c>
      <c r="I2729" t="inlineStr">
        <is>
          <t>Monthly - Tuesday</t>
        </is>
      </c>
      <c r="J2729" t="inlineStr">
        <is>
          <t>Month+11 Expiry</t>
        </is>
      </c>
      <c r="K2729" s="25" t="n">
        <v>0</v>
      </c>
      <c r="L2729" s="26" t="n">
        <v>0</v>
      </c>
      <c r="M2729" s="26" t="n">
        <v>0</v>
      </c>
    </row>
    <row r="2730" ht="16" customHeight="1">
      <c r="A2730" t="inlineStr">
        <is>
          <t>13-Apr-2026</t>
        </is>
      </c>
      <c r="B2730" t="inlineStr">
        <is>
          <t>Monday</t>
        </is>
      </c>
      <c r="C2730" t="inlineStr">
        <is>
          <t>Week2-Apr-2026</t>
        </is>
      </c>
      <c r="D2730" s="78" t="n">
        <v>46113</v>
      </c>
      <c r="E2730" t="inlineStr">
        <is>
          <t>Q1FY27</t>
        </is>
      </c>
      <c r="F2730" t="inlineStr">
        <is>
          <t>29-Jun-2027</t>
        </is>
      </c>
      <c r="G2730" t="inlineStr">
        <is>
          <t>Tuesday</t>
        </is>
      </c>
      <c r="H2730" t="inlineStr">
        <is>
          <t>Monthly - Tuesday</t>
        </is>
      </c>
      <c r="I2730" t="inlineStr">
        <is>
          <t>Monthly - Tuesday</t>
        </is>
      </c>
      <c r="J2730" t="inlineStr">
        <is>
          <t>Month+14 Expiry</t>
        </is>
      </c>
      <c r="K2730" s="25" t="n">
        <v>9</v>
      </c>
      <c r="L2730" s="26" t="n">
        <v>0.0125</v>
      </c>
      <c r="M2730" s="26" t="n">
        <v>0.0003</v>
      </c>
    </row>
    <row r="2731" ht="16" customHeight="1">
      <c r="A2731" t="inlineStr">
        <is>
          <t>13-Apr-2026</t>
        </is>
      </c>
      <c r="B2731" t="inlineStr">
        <is>
          <t>Monday</t>
        </is>
      </c>
      <c r="C2731" t="inlineStr">
        <is>
          <t>Week2-Apr-2026</t>
        </is>
      </c>
      <c r="D2731" s="78" t="n">
        <v>46113</v>
      </c>
      <c r="E2731" t="inlineStr">
        <is>
          <t>Q1FY27</t>
        </is>
      </c>
      <c r="F2731" t="inlineStr">
        <is>
          <t>28-Dec-2027</t>
        </is>
      </c>
      <c r="G2731" t="inlineStr">
        <is>
          <t>Tuesday</t>
        </is>
      </c>
      <c r="H2731" t="inlineStr">
        <is>
          <t>Monthly - Tuesday</t>
        </is>
      </c>
      <c r="I2731" t="inlineStr">
        <is>
          <t>Monthly - Tuesday</t>
        </is>
      </c>
      <c r="J2731" t="inlineStr">
        <is>
          <t>Month+20 Expiry</t>
        </is>
      </c>
      <c r="K2731" s="25" t="n">
        <v>358</v>
      </c>
      <c r="L2731" s="26" t="n">
        <v>0.6294999999999999</v>
      </c>
      <c r="M2731" s="26" t="n">
        <v>0.0268</v>
      </c>
    </row>
    <row r="2732" ht="16" customHeight="1">
      <c r="A2732" t="inlineStr">
        <is>
          <t>13-Apr-2026</t>
        </is>
      </c>
      <c r="B2732" t="inlineStr">
        <is>
          <t>Monday</t>
        </is>
      </c>
      <c r="C2732" t="inlineStr">
        <is>
          <t>Week2-Apr-2026</t>
        </is>
      </c>
      <c r="D2732" s="78" t="n">
        <v>46113</v>
      </c>
      <c r="E2732" t="inlineStr">
        <is>
          <t>Q1FY27</t>
        </is>
      </c>
      <c r="F2732" t="inlineStr">
        <is>
          <t>27-Jun-2028</t>
        </is>
      </c>
      <c r="G2732" t="inlineStr">
        <is>
          <t>Tuesday</t>
        </is>
      </c>
      <c r="H2732" t="inlineStr">
        <is>
          <t>Monthly - Tuesday</t>
        </is>
      </c>
      <c r="I2732" t="inlineStr">
        <is>
          <t>Monthly - Tuesday</t>
        </is>
      </c>
      <c r="J2732" t="inlineStr">
        <is>
          <t>Month+26 Expiry</t>
        </is>
      </c>
      <c r="K2732" s="25" t="n">
        <v>0</v>
      </c>
      <c r="L2732" s="26" t="n">
        <v>0</v>
      </c>
      <c r="M2732" s="26" t="n">
        <v>0</v>
      </c>
    </row>
    <row r="2733" ht="16" customHeight="1">
      <c r="A2733" t="inlineStr">
        <is>
          <t>13-Apr-2026</t>
        </is>
      </c>
      <c r="B2733" t="inlineStr">
        <is>
          <t>Monday</t>
        </is>
      </c>
      <c r="C2733" t="inlineStr">
        <is>
          <t>Week2-Apr-2026</t>
        </is>
      </c>
      <c r="D2733" s="78" t="n">
        <v>46113</v>
      </c>
      <c r="E2733" t="inlineStr">
        <is>
          <t>Q1FY27</t>
        </is>
      </c>
      <c r="F2733" t="inlineStr">
        <is>
          <t>26-Dec-2028</t>
        </is>
      </c>
      <c r="G2733" t="inlineStr">
        <is>
          <t>Tuesday</t>
        </is>
      </c>
      <c r="H2733" t="inlineStr">
        <is>
          <t>Monthly - Tuesday</t>
        </is>
      </c>
      <c r="I2733" t="inlineStr">
        <is>
          <t>Monthly - Tuesday</t>
        </is>
      </c>
      <c r="J2733" t="inlineStr">
        <is>
          <t>Month+32 Expiry</t>
        </is>
      </c>
      <c r="K2733" s="25" t="n">
        <v>5</v>
      </c>
      <c r="L2733" s="26" t="n">
        <v>0.008399999999999999</v>
      </c>
      <c r="M2733" s="26" t="n">
        <v>0.0004</v>
      </c>
    </row>
    <row r="2734" ht="16" customHeight="1">
      <c r="A2734" t="inlineStr">
        <is>
          <t>13-Apr-2026</t>
        </is>
      </c>
      <c r="B2734" t="inlineStr">
        <is>
          <t>Monday</t>
        </is>
      </c>
      <c r="C2734" t="inlineStr">
        <is>
          <t>Week2-Apr-2026</t>
        </is>
      </c>
      <c r="D2734" s="78" t="n">
        <v>46113</v>
      </c>
      <c r="E2734" t="inlineStr">
        <is>
          <t>Q1FY27</t>
        </is>
      </c>
      <c r="F2734" t="inlineStr">
        <is>
          <t>26-Jun-2029</t>
        </is>
      </c>
      <c r="G2734" t="inlineStr">
        <is>
          <t>Tuesday</t>
        </is>
      </c>
      <c r="H2734" t="inlineStr">
        <is>
          <t>Monthly - Tuesday</t>
        </is>
      </c>
      <c r="I2734" t="inlineStr">
        <is>
          <t>Monthly - Tuesday</t>
        </is>
      </c>
      <c r="J2734" t="inlineStr">
        <is>
          <t>Month+38 Expiry</t>
        </is>
      </c>
      <c r="K2734" s="25" t="n">
        <v>0</v>
      </c>
      <c r="L2734" s="26" t="n">
        <v>0</v>
      </c>
      <c r="M2734" s="26" t="n">
        <v>0</v>
      </c>
    </row>
    <row r="2735" ht="16" customHeight="1">
      <c r="A2735" t="inlineStr">
        <is>
          <t>13-Apr-2026</t>
        </is>
      </c>
      <c r="B2735" t="inlineStr">
        <is>
          <t>Monday</t>
        </is>
      </c>
      <c r="C2735" t="inlineStr">
        <is>
          <t>Week2-Apr-2026</t>
        </is>
      </c>
      <c r="D2735" s="78" t="n">
        <v>46113</v>
      </c>
      <c r="E2735" t="inlineStr">
        <is>
          <t>Q1FY27</t>
        </is>
      </c>
      <c r="F2735" t="inlineStr">
        <is>
          <t>24-Dec-2029</t>
        </is>
      </c>
      <c r="G2735" t="inlineStr">
        <is>
          <t>Monday</t>
        </is>
      </c>
      <c r="H2735" t="inlineStr">
        <is>
          <t>Weekly - Monday</t>
        </is>
      </c>
      <c r="I2735" t="inlineStr">
        <is>
          <t>Weekly - Monday</t>
        </is>
      </c>
      <c r="J2735" t="inlineStr">
        <is>
          <t>Month+44 Expiry</t>
        </is>
      </c>
      <c r="K2735" s="25" t="n">
        <v>5</v>
      </c>
      <c r="L2735" s="26" t="n">
        <v>0.0106</v>
      </c>
      <c r="M2735" s="26" t="n">
        <v>0.0009</v>
      </c>
    </row>
    <row r="2736" ht="16" customHeight="1">
      <c r="A2736" t="inlineStr">
        <is>
          <t>13-Apr-2026</t>
        </is>
      </c>
      <c r="B2736" t="inlineStr">
        <is>
          <t>Monday</t>
        </is>
      </c>
      <c r="C2736" t="inlineStr">
        <is>
          <t>Week2-Apr-2026</t>
        </is>
      </c>
      <c r="D2736" s="78" t="n">
        <v>46113</v>
      </c>
      <c r="E2736" t="inlineStr">
        <is>
          <t>Q1FY27</t>
        </is>
      </c>
      <c r="F2736" t="inlineStr">
        <is>
          <t>25-Jun-2030</t>
        </is>
      </c>
      <c r="G2736" t="inlineStr">
        <is>
          <t>Tuesday</t>
        </is>
      </c>
      <c r="H2736" t="inlineStr">
        <is>
          <t>Monthly - Tuesday</t>
        </is>
      </c>
      <c r="I2736" t="inlineStr">
        <is>
          <t>Monthly - Tuesday</t>
        </is>
      </c>
      <c r="J2736" t="inlineStr">
        <is>
          <t>Month+50 Expiry</t>
        </is>
      </c>
      <c r="K2736" s="25" t="n">
        <v>0</v>
      </c>
      <c r="L2736" s="26" t="n">
        <v>0</v>
      </c>
      <c r="M2736" s="26" t="n">
        <v>0</v>
      </c>
    </row>
    <row r="2737" ht="16" customHeight="1">
      <c r="A2737" t="inlineStr">
        <is>
          <t>13-Apr-2026</t>
        </is>
      </c>
      <c r="B2737" t="inlineStr">
        <is>
          <t>Monday</t>
        </is>
      </c>
      <c r="C2737" t="inlineStr">
        <is>
          <t>Week2-Apr-2026</t>
        </is>
      </c>
      <c r="D2737" s="78" t="n">
        <v>46113</v>
      </c>
      <c r="E2737" t="inlineStr">
        <is>
          <t>Q1FY27</t>
        </is>
      </c>
      <c r="F2737" t="inlineStr">
        <is>
          <t>31-Dec-2030</t>
        </is>
      </c>
      <c r="G2737" t="inlineStr">
        <is>
          <t>Tuesday</t>
        </is>
      </c>
      <c r="H2737" t="inlineStr">
        <is>
          <t>Monthly - Tuesday</t>
        </is>
      </c>
      <c r="I2737" t="inlineStr">
        <is>
          <t>Monthly - Tuesday</t>
        </is>
      </c>
      <c r="J2737" t="inlineStr">
        <is>
          <t>Month+56 Expiry</t>
        </is>
      </c>
      <c r="K2737" s="25" t="n">
        <v>0</v>
      </c>
      <c r="L2737" s="26" t="n">
        <v>0</v>
      </c>
      <c r="M2737" s="26" t="n">
        <v>0</v>
      </c>
    </row>
    <row r="2738" ht="16" customHeight="1">
      <c r="A2738" t="inlineStr">
        <is>
          <t>15-Apr-2026</t>
        </is>
      </c>
      <c r="B2738" t="inlineStr">
        <is>
          <t>Wednesday</t>
        </is>
      </c>
      <c r="C2738" t="inlineStr">
        <is>
          <t>Week3-Apr-2026</t>
        </is>
      </c>
      <c r="D2738" s="78" t="n">
        <v>46113</v>
      </c>
      <c r="E2738" t="inlineStr">
        <is>
          <t>Q1FY27</t>
        </is>
      </c>
      <c r="F2738" t="inlineStr">
        <is>
          <t>21-Apr-2026</t>
        </is>
      </c>
      <c r="G2738" t="inlineStr">
        <is>
          <t>Tuesday</t>
        </is>
      </c>
      <c r="H2738" t="inlineStr">
        <is>
          <t>Weekly - Tuesday</t>
        </is>
      </c>
      <c r="I2738" t="inlineStr">
        <is>
          <t>Weekly - Tuesday</t>
        </is>
      </c>
      <c r="J2738" t="inlineStr">
        <is>
          <t>Same Month Expiry</t>
        </is>
      </c>
      <c r="K2738" s="25" t="n">
        <v>34514412</v>
      </c>
      <c r="L2738" s="26" t="n">
        <v>54229.0592</v>
      </c>
      <c r="M2738" s="26" t="n">
        <v>281.9861</v>
      </c>
    </row>
    <row r="2739" ht="16" customHeight="1">
      <c r="A2739" t="inlineStr">
        <is>
          <t>15-Apr-2026</t>
        </is>
      </c>
      <c r="B2739" t="inlineStr">
        <is>
          <t>Wednesday</t>
        </is>
      </c>
      <c r="C2739" t="inlineStr">
        <is>
          <t>Week3-Apr-2026</t>
        </is>
      </c>
      <c r="D2739" s="78" t="n">
        <v>46113</v>
      </c>
      <c r="E2739" t="inlineStr">
        <is>
          <t>Q1FY27</t>
        </is>
      </c>
      <c r="F2739" t="inlineStr">
        <is>
          <t>28-Apr-2026</t>
        </is>
      </c>
      <c r="G2739" t="inlineStr">
        <is>
          <t>Tuesday</t>
        </is>
      </c>
      <c r="H2739" t="inlineStr">
        <is>
          <t>Monthly - Tuesday</t>
        </is>
      </c>
      <c r="I2739" t="inlineStr">
        <is>
          <t>Monthly - Tuesday</t>
        </is>
      </c>
      <c r="J2739" t="inlineStr">
        <is>
          <t>Same Month Expiry</t>
        </is>
      </c>
      <c r="K2739" s="25" t="n">
        <v>2327283</v>
      </c>
      <c r="L2739" s="26" t="n">
        <v>3641.7145</v>
      </c>
      <c r="M2739" s="26" t="n">
        <v>25.2602</v>
      </c>
    </row>
    <row r="2740" ht="16" customHeight="1">
      <c r="A2740" t="inlineStr">
        <is>
          <t>15-Apr-2026</t>
        </is>
      </c>
      <c r="B2740" t="inlineStr">
        <is>
          <t>Wednesday</t>
        </is>
      </c>
      <c r="C2740" t="inlineStr">
        <is>
          <t>Week3-Apr-2026</t>
        </is>
      </c>
      <c r="D2740" s="78" t="n">
        <v>46113</v>
      </c>
      <c r="E2740" t="inlineStr">
        <is>
          <t>Q1FY27</t>
        </is>
      </c>
      <c r="F2740" t="inlineStr">
        <is>
          <t>05-May-2026</t>
        </is>
      </c>
      <c r="G2740" t="inlineStr">
        <is>
          <t>Tuesday</t>
        </is>
      </c>
      <c r="H2740" t="inlineStr">
        <is>
          <t>Weekly - Tuesday</t>
        </is>
      </c>
      <c r="I2740" t="inlineStr">
        <is>
          <t>Weekly - Tuesday</t>
        </is>
      </c>
      <c r="J2740" t="inlineStr">
        <is>
          <t>Month+1 Expiry</t>
        </is>
      </c>
      <c r="K2740" s="25" t="n">
        <v>81272</v>
      </c>
      <c r="L2740" s="26" t="n">
        <v>128.2422</v>
      </c>
      <c r="M2740" s="26" t="n">
        <v>1.0741</v>
      </c>
    </row>
    <row r="2741" ht="16" customHeight="1">
      <c r="A2741" t="inlineStr">
        <is>
          <t>15-Apr-2026</t>
        </is>
      </c>
      <c r="B2741" t="inlineStr">
        <is>
          <t>Wednesday</t>
        </is>
      </c>
      <c r="C2741" t="inlineStr">
        <is>
          <t>Week3-Apr-2026</t>
        </is>
      </c>
      <c r="D2741" s="78" t="n">
        <v>46113</v>
      </c>
      <c r="E2741" t="inlineStr">
        <is>
          <t>Q1FY27</t>
        </is>
      </c>
      <c r="F2741" t="inlineStr">
        <is>
          <t>12-May-2026</t>
        </is>
      </c>
      <c r="G2741" t="inlineStr">
        <is>
          <t>Tuesday</t>
        </is>
      </c>
      <c r="H2741" t="inlineStr">
        <is>
          <t>Weekly - Tuesday</t>
        </is>
      </c>
      <c r="I2741" t="inlineStr">
        <is>
          <t>Weekly - Tuesday</t>
        </is>
      </c>
      <c r="J2741" t="inlineStr">
        <is>
          <t>Month+1 Expiry</t>
        </is>
      </c>
      <c r="K2741" s="25" t="n">
        <v>6004</v>
      </c>
      <c r="L2741" s="26" t="n">
        <v>9.703099999999999</v>
      </c>
      <c r="M2741" s="26" t="n">
        <v>0.0902</v>
      </c>
    </row>
    <row r="2742" ht="16" customHeight="1">
      <c r="A2742" t="inlineStr">
        <is>
          <t>15-Apr-2026</t>
        </is>
      </c>
      <c r="B2742" t="inlineStr">
        <is>
          <t>Wednesday</t>
        </is>
      </c>
      <c r="C2742" t="inlineStr">
        <is>
          <t>Week3-Apr-2026</t>
        </is>
      </c>
      <c r="D2742" s="78" t="n">
        <v>46113</v>
      </c>
      <c r="E2742" t="inlineStr">
        <is>
          <t>Q1FY27</t>
        </is>
      </c>
      <c r="F2742" t="inlineStr">
        <is>
          <t>19-May-2026</t>
        </is>
      </c>
      <c r="G2742" t="inlineStr">
        <is>
          <t>Tuesday</t>
        </is>
      </c>
      <c r="H2742" t="inlineStr">
        <is>
          <t>Weekly - Tuesday</t>
        </is>
      </c>
      <c r="I2742" t="inlineStr">
        <is>
          <t>Weekly - Tuesday</t>
        </is>
      </c>
      <c r="J2742" t="inlineStr">
        <is>
          <t>Month+1 Expiry</t>
        </is>
      </c>
      <c r="K2742" s="25" t="n">
        <v>16</v>
      </c>
      <c r="L2742" s="26" t="n">
        <v>0.0257</v>
      </c>
      <c r="M2742" s="26" t="n">
        <v>0.0005</v>
      </c>
    </row>
    <row r="2743" ht="16" customHeight="1">
      <c r="A2743" t="inlineStr">
        <is>
          <t>15-Apr-2026</t>
        </is>
      </c>
      <c r="B2743" t="inlineStr">
        <is>
          <t>Wednesday</t>
        </is>
      </c>
      <c r="C2743" t="inlineStr">
        <is>
          <t>Week3-Apr-2026</t>
        </is>
      </c>
      <c r="D2743" s="78" t="n">
        <v>46113</v>
      </c>
      <c r="E2743" t="inlineStr">
        <is>
          <t>Q1FY27</t>
        </is>
      </c>
      <c r="F2743" t="inlineStr">
        <is>
          <t>26-May-2026</t>
        </is>
      </c>
      <c r="G2743" t="inlineStr">
        <is>
          <t>Tuesday</t>
        </is>
      </c>
      <c r="H2743" t="inlineStr">
        <is>
          <t>Monthly - Tuesday</t>
        </is>
      </c>
      <c r="I2743" t="inlineStr">
        <is>
          <t>Monthly - Tuesday</t>
        </is>
      </c>
      <c r="J2743" t="inlineStr">
        <is>
          <t>Month+1 Expiry</t>
        </is>
      </c>
      <c r="K2743" s="25" t="n">
        <v>251116</v>
      </c>
      <c r="L2743" s="26" t="n">
        <v>397.2467</v>
      </c>
      <c r="M2743" s="26" t="n">
        <v>4.7115</v>
      </c>
    </row>
    <row r="2744" ht="16" customHeight="1">
      <c r="A2744" t="inlineStr">
        <is>
          <t>15-Apr-2026</t>
        </is>
      </c>
      <c r="B2744" t="inlineStr">
        <is>
          <t>Wednesday</t>
        </is>
      </c>
      <c r="C2744" t="inlineStr">
        <is>
          <t>Week3-Apr-2026</t>
        </is>
      </c>
      <c r="D2744" s="78" t="n">
        <v>46113</v>
      </c>
      <c r="E2744" t="inlineStr">
        <is>
          <t>Q1FY27</t>
        </is>
      </c>
      <c r="F2744" t="inlineStr">
        <is>
          <t>30-Jun-2026</t>
        </is>
      </c>
      <c r="G2744" t="inlineStr">
        <is>
          <t>Tuesday</t>
        </is>
      </c>
      <c r="H2744" t="inlineStr">
        <is>
          <t>Monthly - Tuesday</t>
        </is>
      </c>
      <c r="I2744" t="inlineStr">
        <is>
          <t>Monthly - Tuesday</t>
        </is>
      </c>
      <c r="J2744" t="inlineStr">
        <is>
          <t>Month+2 Expiry</t>
        </is>
      </c>
      <c r="K2744" s="25" t="n">
        <v>150626</v>
      </c>
      <c r="L2744" s="26" t="n">
        <v>234.3313</v>
      </c>
      <c r="M2744" s="26" t="n">
        <v>3.9225</v>
      </c>
    </row>
    <row r="2745" ht="16" customHeight="1">
      <c r="A2745" t="inlineStr">
        <is>
          <t>15-Apr-2026</t>
        </is>
      </c>
      <c r="B2745" t="inlineStr">
        <is>
          <t>Wednesday</t>
        </is>
      </c>
      <c r="C2745" t="inlineStr">
        <is>
          <t>Week3-Apr-2026</t>
        </is>
      </c>
      <c r="D2745" s="78" t="n">
        <v>46113</v>
      </c>
      <c r="E2745" t="inlineStr">
        <is>
          <t>Q1FY27</t>
        </is>
      </c>
      <c r="F2745" t="inlineStr">
        <is>
          <t>29-Sep-2026</t>
        </is>
      </c>
      <c r="G2745" t="inlineStr">
        <is>
          <t>Tuesday</t>
        </is>
      </c>
      <c r="H2745" t="inlineStr">
        <is>
          <t>Monthly - Tuesday</t>
        </is>
      </c>
      <c r="I2745" t="inlineStr">
        <is>
          <t>Monthly - Tuesday</t>
        </is>
      </c>
      <c r="J2745" t="inlineStr">
        <is>
          <t>Month+5 Expiry</t>
        </is>
      </c>
      <c r="K2745" s="25" t="n">
        <v>31757</v>
      </c>
      <c r="L2745" s="26" t="n">
        <v>51.5946</v>
      </c>
      <c r="M2745" s="26" t="n">
        <v>0.9745</v>
      </c>
    </row>
    <row r="2746" ht="16" customHeight="1">
      <c r="A2746" t="inlineStr">
        <is>
          <t>15-Apr-2026</t>
        </is>
      </c>
      <c r="B2746" t="inlineStr">
        <is>
          <t>Wednesday</t>
        </is>
      </c>
      <c r="C2746" t="inlineStr">
        <is>
          <t>Week3-Apr-2026</t>
        </is>
      </c>
      <c r="D2746" s="78" t="n">
        <v>46113</v>
      </c>
      <c r="E2746" t="inlineStr">
        <is>
          <t>Q1FY27</t>
        </is>
      </c>
      <c r="F2746" t="inlineStr">
        <is>
          <t>29-Dec-2026</t>
        </is>
      </c>
      <c r="G2746" t="inlineStr">
        <is>
          <t>Tuesday</t>
        </is>
      </c>
      <c r="H2746" t="inlineStr">
        <is>
          <t>Monthly - Tuesday</t>
        </is>
      </c>
      <c r="I2746" t="inlineStr">
        <is>
          <t>Monthly - Tuesday</t>
        </is>
      </c>
      <c r="J2746" t="inlineStr">
        <is>
          <t>Month+8 Expiry</t>
        </is>
      </c>
      <c r="K2746" s="25" t="n">
        <v>60419</v>
      </c>
      <c r="L2746" s="26" t="n">
        <v>97.6388</v>
      </c>
      <c r="M2746" s="26" t="n">
        <v>2.7796</v>
      </c>
    </row>
    <row r="2747" ht="16" customHeight="1">
      <c r="A2747" t="inlineStr">
        <is>
          <t>15-Apr-2026</t>
        </is>
      </c>
      <c r="B2747" t="inlineStr">
        <is>
          <t>Wednesday</t>
        </is>
      </c>
      <c r="C2747" t="inlineStr">
        <is>
          <t>Week3-Apr-2026</t>
        </is>
      </c>
      <c r="D2747" s="78" t="n">
        <v>46113</v>
      </c>
      <c r="E2747" t="inlineStr">
        <is>
          <t>Q1FY27</t>
        </is>
      </c>
      <c r="F2747" t="inlineStr">
        <is>
          <t>30-Mar-2027</t>
        </is>
      </c>
      <c r="G2747" t="inlineStr">
        <is>
          <t>Tuesday</t>
        </is>
      </c>
      <c r="H2747" t="inlineStr">
        <is>
          <t>Monthly - Tuesday</t>
        </is>
      </c>
      <c r="I2747" t="inlineStr">
        <is>
          <t>Monthly - Tuesday</t>
        </is>
      </c>
      <c r="J2747" t="inlineStr">
        <is>
          <t>Month+11 Expiry</t>
        </is>
      </c>
      <c r="K2747" s="25" t="n">
        <v>0</v>
      </c>
      <c r="L2747" s="26" t="n">
        <v>0</v>
      </c>
      <c r="M2747" s="26" t="n">
        <v>0</v>
      </c>
    </row>
    <row r="2748" ht="16" customHeight="1">
      <c r="A2748" t="inlineStr">
        <is>
          <t>15-Apr-2026</t>
        </is>
      </c>
      <c r="B2748" t="inlineStr">
        <is>
          <t>Wednesday</t>
        </is>
      </c>
      <c r="C2748" t="inlineStr">
        <is>
          <t>Week3-Apr-2026</t>
        </is>
      </c>
      <c r="D2748" s="78" t="n">
        <v>46113</v>
      </c>
      <c r="E2748" t="inlineStr">
        <is>
          <t>Q1FY27</t>
        </is>
      </c>
      <c r="F2748" t="inlineStr">
        <is>
          <t>29-Jun-2027</t>
        </is>
      </c>
      <c r="G2748" t="inlineStr">
        <is>
          <t>Tuesday</t>
        </is>
      </c>
      <c r="H2748" t="inlineStr">
        <is>
          <t>Monthly - Tuesday</t>
        </is>
      </c>
      <c r="I2748" t="inlineStr">
        <is>
          <t>Monthly - Tuesday</t>
        </is>
      </c>
      <c r="J2748" t="inlineStr">
        <is>
          <t>Month+14 Expiry</t>
        </is>
      </c>
      <c r="K2748" s="25" t="n">
        <v>5</v>
      </c>
      <c r="L2748" s="26" t="n">
        <v>0.007</v>
      </c>
      <c r="M2748" s="26" t="n">
        <v>0.0001</v>
      </c>
    </row>
    <row r="2749" ht="16" customHeight="1">
      <c r="A2749" t="inlineStr">
        <is>
          <t>15-Apr-2026</t>
        </is>
      </c>
      <c r="B2749" t="inlineStr">
        <is>
          <t>Wednesday</t>
        </is>
      </c>
      <c r="C2749" t="inlineStr">
        <is>
          <t>Week3-Apr-2026</t>
        </is>
      </c>
      <c r="D2749" s="78" t="n">
        <v>46113</v>
      </c>
      <c r="E2749" t="inlineStr">
        <is>
          <t>Q1FY27</t>
        </is>
      </c>
      <c r="F2749" t="inlineStr">
        <is>
          <t>28-Dec-2027</t>
        </is>
      </c>
      <c r="G2749" t="inlineStr">
        <is>
          <t>Tuesday</t>
        </is>
      </c>
      <c r="H2749" t="inlineStr">
        <is>
          <t>Monthly - Tuesday</t>
        </is>
      </c>
      <c r="I2749" t="inlineStr">
        <is>
          <t>Monthly - Tuesday</t>
        </is>
      </c>
      <c r="J2749" t="inlineStr">
        <is>
          <t>Month+20 Expiry</t>
        </is>
      </c>
      <c r="K2749" s="25" t="n">
        <v>202</v>
      </c>
      <c r="L2749" s="26" t="n">
        <v>0.3529</v>
      </c>
      <c r="M2749" s="26" t="n">
        <v>0.0181</v>
      </c>
    </row>
    <row r="2750" ht="16" customHeight="1">
      <c r="A2750" t="inlineStr">
        <is>
          <t>15-Apr-2026</t>
        </is>
      </c>
      <c r="B2750" t="inlineStr">
        <is>
          <t>Wednesday</t>
        </is>
      </c>
      <c r="C2750" t="inlineStr">
        <is>
          <t>Week3-Apr-2026</t>
        </is>
      </c>
      <c r="D2750" s="78" t="n">
        <v>46113</v>
      </c>
      <c r="E2750" t="inlineStr">
        <is>
          <t>Q1FY27</t>
        </is>
      </c>
      <c r="F2750" t="inlineStr">
        <is>
          <t>27-Jun-2028</t>
        </is>
      </c>
      <c r="G2750" t="inlineStr">
        <is>
          <t>Tuesday</t>
        </is>
      </c>
      <c r="H2750" t="inlineStr">
        <is>
          <t>Monthly - Tuesday</t>
        </is>
      </c>
      <c r="I2750" t="inlineStr">
        <is>
          <t>Monthly - Tuesday</t>
        </is>
      </c>
      <c r="J2750" t="inlineStr">
        <is>
          <t>Month+26 Expiry</t>
        </is>
      </c>
      <c r="K2750" s="25" t="n">
        <v>0</v>
      </c>
      <c r="L2750" s="26" t="n">
        <v>0</v>
      </c>
      <c r="M2750" s="26" t="n">
        <v>0</v>
      </c>
    </row>
    <row r="2751" ht="16" customHeight="1">
      <c r="A2751" t="inlineStr">
        <is>
          <t>15-Apr-2026</t>
        </is>
      </c>
      <c r="B2751" t="inlineStr">
        <is>
          <t>Wednesday</t>
        </is>
      </c>
      <c r="C2751" t="inlineStr">
        <is>
          <t>Week3-Apr-2026</t>
        </is>
      </c>
      <c r="D2751" s="78" t="n">
        <v>46113</v>
      </c>
      <c r="E2751" t="inlineStr">
        <is>
          <t>Q1FY27</t>
        </is>
      </c>
      <c r="F2751" t="inlineStr">
        <is>
          <t>26-Dec-2028</t>
        </is>
      </c>
      <c r="G2751" t="inlineStr">
        <is>
          <t>Tuesday</t>
        </is>
      </c>
      <c r="H2751" t="inlineStr">
        <is>
          <t>Monthly - Tuesday</t>
        </is>
      </c>
      <c r="I2751" t="inlineStr">
        <is>
          <t>Monthly - Tuesday</t>
        </is>
      </c>
      <c r="J2751" t="inlineStr">
        <is>
          <t>Month+32 Expiry</t>
        </is>
      </c>
      <c r="K2751" s="25" t="n">
        <v>12</v>
      </c>
      <c r="L2751" s="26" t="n">
        <v>0.0218</v>
      </c>
      <c r="M2751" s="26" t="n">
        <v>0.0013</v>
      </c>
    </row>
    <row r="2752" ht="16" customHeight="1">
      <c r="A2752" t="inlineStr">
        <is>
          <t>15-Apr-2026</t>
        </is>
      </c>
      <c r="B2752" t="inlineStr">
        <is>
          <t>Wednesday</t>
        </is>
      </c>
      <c r="C2752" t="inlineStr">
        <is>
          <t>Week3-Apr-2026</t>
        </is>
      </c>
      <c r="D2752" s="78" t="n">
        <v>46113</v>
      </c>
      <c r="E2752" t="inlineStr">
        <is>
          <t>Q1FY27</t>
        </is>
      </c>
      <c r="F2752" t="inlineStr">
        <is>
          <t>26-Jun-2029</t>
        </is>
      </c>
      <c r="G2752" t="inlineStr">
        <is>
          <t>Tuesday</t>
        </is>
      </c>
      <c r="H2752" t="inlineStr">
        <is>
          <t>Monthly - Tuesday</t>
        </is>
      </c>
      <c r="I2752" t="inlineStr">
        <is>
          <t>Monthly - Tuesday</t>
        </is>
      </c>
      <c r="J2752" t="inlineStr">
        <is>
          <t>Month+38 Expiry</t>
        </is>
      </c>
      <c r="K2752" s="25" t="n">
        <v>0</v>
      </c>
      <c r="L2752" s="26" t="n">
        <v>0</v>
      </c>
      <c r="M2752" s="26" t="n">
        <v>0</v>
      </c>
    </row>
    <row r="2753" ht="16" customHeight="1">
      <c r="A2753" t="inlineStr">
        <is>
          <t>15-Apr-2026</t>
        </is>
      </c>
      <c r="B2753" t="inlineStr">
        <is>
          <t>Wednesday</t>
        </is>
      </c>
      <c r="C2753" t="inlineStr">
        <is>
          <t>Week3-Apr-2026</t>
        </is>
      </c>
      <c r="D2753" s="78" t="n">
        <v>46113</v>
      </c>
      <c r="E2753" t="inlineStr">
        <is>
          <t>Q1FY27</t>
        </is>
      </c>
      <c r="F2753" t="inlineStr">
        <is>
          <t>24-Dec-2029</t>
        </is>
      </c>
      <c r="G2753" t="inlineStr">
        <is>
          <t>Monday</t>
        </is>
      </c>
      <c r="H2753" t="inlineStr">
        <is>
          <t>Weekly - Monday</t>
        </is>
      </c>
      <c r="I2753" t="inlineStr">
        <is>
          <t>Weekly - Monday</t>
        </is>
      </c>
      <c r="J2753" t="inlineStr">
        <is>
          <t>Month+44 Expiry</t>
        </is>
      </c>
      <c r="K2753" s="25" t="n">
        <v>10</v>
      </c>
      <c r="L2753" s="26" t="n">
        <v>0.0219</v>
      </c>
      <c r="M2753" s="26" t="n">
        <v>0.0024</v>
      </c>
    </row>
    <row r="2754" ht="16" customHeight="1">
      <c r="A2754" t="inlineStr">
        <is>
          <t>15-Apr-2026</t>
        </is>
      </c>
      <c r="B2754" t="inlineStr">
        <is>
          <t>Wednesday</t>
        </is>
      </c>
      <c r="C2754" t="inlineStr">
        <is>
          <t>Week3-Apr-2026</t>
        </is>
      </c>
      <c r="D2754" s="78" t="n">
        <v>46113</v>
      </c>
      <c r="E2754" t="inlineStr">
        <is>
          <t>Q1FY27</t>
        </is>
      </c>
      <c r="F2754" t="inlineStr">
        <is>
          <t>25-Jun-2030</t>
        </is>
      </c>
      <c r="G2754" t="inlineStr">
        <is>
          <t>Tuesday</t>
        </is>
      </c>
      <c r="H2754" t="inlineStr">
        <is>
          <t>Monthly - Tuesday</t>
        </is>
      </c>
      <c r="I2754" t="inlineStr">
        <is>
          <t>Monthly - Tuesday</t>
        </is>
      </c>
      <c r="J2754" t="inlineStr">
        <is>
          <t>Month+50 Expiry</t>
        </is>
      </c>
      <c r="K2754" s="25" t="n">
        <v>0</v>
      </c>
      <c r="L2754" s="26" t="n">
        <v>0</v>
      </c>
      <c r="M2754" s="26" t="n">
        <v>0</v>
      </c>
    </row>
    <row r="2755" ht="16" customHeight="1">
      <c r="A2755" t="inlineStr">
        <is>
          <t>15-Apr-2026</t>
        </is>
      </c>
      <c r="B2755" t="inlineStr">
        <is>
          <t>Wednesday</t>
        </is>
      </c>
      <c r="C2755" t="inlineStr">
        <is>
          <t>Week3-Apr-2026</t>
        </is>
      </c>
      <c r="D2755" s="78" t="n">
        <v>46113</v>
      </c>
      <c r="E2755" t="inlineStr">
        <is>
          <t>Q1FY27</t>
        </is>
      </c>
      <c r="F2755" t="inlineStr">
        <is>
          <t>31-Dec-2030</t>
        </is>
      </c>
      <c r="G2755" t="inlineStr">
        <is>
          <t>Tuesday</t>
        </is>
      </c>
      <c r="H2755" t="inlineStr">
        <is>
          <t>Monthly - Tuesday</t>
        </is>
      </c>
      <c r="I2755" t="inlineStr">
        <is>
          <t>Monthly - Tuesday</t>
        </is>
      </c>
      <c r="J2755" t="inlineStr">
        <is>
          <t>Month+56 Expiry</t>
        </is>
      </c>
      <c r="K2755" s="25" t="n">
        <v>0</v>
      </c>
      <c r="L2755" s="26" t="n">
        <v>0</v>
      </c>
      <c r="M2755" s="26" t="n">
        <v>0</v>
      </c>
    </row>
    <row r="2756" ht="16" customHeight="1">
      <c r="A2756" t="inlineStr">
        <is>
          <t>16-Apr-2026</t>
        </is>
      </c>
      <c r="B2756" t="inlineStr">
        <is>
          <t>Thursday</t>
        </is>
      </c>
      <c r="C2756" t="inlineStr">
        <is>
          <t>Week3-Apr-2026</t>
        </is>
      </c>
      <c r="D2756" s="78" t="n">
        <v>46113</v>
      </c>
      <c r="E2756" t="inlineStr">
        <is>
          <t>Q1FY27</t>
        </is>
      </c>
      <c r="F2756" t="inlineStr">
        <is>
          <t>21-Apr-2026</t>
        </is>
      </c>
      <c r="G2756" t="inlineStr">
        <is>
          <t>Tuesday</t>
        </is>
      </c>
      <c r="H2756" t="inlineStr">
        <is>
          <t>Weekly - Tuesday</t>
        </is>
      </c>
      <c r="I2756" t="inlineStr">
        <is>
          <t>Weekly - Tuesday</t>
        </is>
      </c>
      <c r="J2756" t="inlineStr">
        <is>
          <t>Same Month Expiry</t>
        </is>
      </c>
      <c r="K2756" s="25" t="n">
        <v>41376905</v>
      </c>
      <c r="L2756" s="26" t="n">
        <v>65265.2433</v>
      </c>
      <c r="M2756" s="26" t="n">
        <v>281.8433</v>
      </c>
    </row>
    <row r="2757" ht="16" customHeight="1">
      <c r="A2757" t="inlineStr">
        <is>
          <t>16-Apr-2026</t>
        </is>
      </c>
      <c r="B2757" t="inlineStr">
        <is>
          <t>Thursday</t>
        </is>
      </c>
      <c r="C2757" t="inlineStr">
        <is>
          <t>Week3-Apr-2026</t>
        </is>
      </c>
      <c r="D2757" s="78" t="n">
        <v>46113</v>
      </c>
      <c r="E2757" t="inlineStr">
        <is>
          <t>Q1FY27</t>
        </is>
      </c>
      <c r="F2757" t="inlineStr">
        <is>
          <t>28-Apr-2026</t>
        </is>
      </c>
      <c r="G2757" t="inlineStr">
        <is>
          <t>Tuesday</t>
        </is>
      </c>
      <c r="H2757" t="inlineStr">
        <is>
          <t>Monthly - Tuesday</t>
        </is>
      </c>
      <c r="I2757" t="inlineStr">
        <is>
          <t>Monthly - Tuesday</t>
        </is>
      </c>
      <c r="J2757" t="inlineStr">
        <is>
          <t>Same Month Expiry</t>
        </is>
      </c>
      <c r="K2757" s="25" t="n">
        <v>2659141</v>
      </c>
      <c r="L2757" s="26" t="n">
        <v>4160.43</v>
      </c>
      <c r="M2757" s="26" t="n">
        <v>26.6935</v>
      </c>
    </row>
    <row r="2758" ht="16" customHeight="1">
      <c r="A2758" t="inlineStr">
        <is>
          <t>16-Apr-2026</t>
        </is>
      </c>
      <c r="B2758" t="inlineStr">
        <is>
          <t>Thursday</t>
        </is>
      </c>
      <c r="C2758" t="inlineStr">
        <is>
          <t>Week3-Apr-2026</t>
        </is>
      </c>
      <c r="D2758" s="78" t="n">
        <v>46113</v>
      </c>
      <c r="E2758" t="inlineStr">
        <is>
          <t>Q1FY27</t>
        </is>
      </c>
      <c r="F2758" t="inlineStr">
        <is>
          <t>05-May-2026</t>
        </is>
      </c>
      <c r="G2758" t="inlineStr">
        <is>
          <t>Tuesday</t>
        </is>
      </c>
      <c r="H2758" t="inlineStr">
        <is>
          <t>Weekly - Tuesday</t>
        </is>
      </c>
      <c r="I2758" t="inlineStr">
        <is>
          <t>Weekly - Tuesday</t>
        </is>
      </c>
      <c r="J2758" t="inlineStr">
        <is>
          <t>Month+1 Expiry</t>
        </is>
      </c>
      <c r="K2758" s="25" t="n">
        <v>119084</v>
      </c>
      <c r="L2758" s="26" t="n">
        <v>187.3297</v>
      </c>
      <c r="M2758" s="26" t="n">
        <v>1.4698</v>
      </c>
    </row>
    <row r="2759" ht="16" customHeight="1">
      <c r="A2759" t="inlineStr">
        <is>
          <t>16-Apr-2026</t>
        </is>
      </c>
      <c r="B2759" t="inlineStr">
        <is>
          <t>Thursday</t>
        </is>
      </c>
      <c r="C2759" t="inlineStr">
        <is>
          <t>Week3-Apr-2026</t>
        </is>
      </c>
      <c r="D2759" s="78" t="n">
        <v>46113</v>
      </c>
      <c r="E2759" t="inlineStr">
        <is>
          <t>Q1FY27</t>
        </is>
      </c>
      <c r="F2759" t="inlineStr">
        <is>
          <t>12-May-2026</t>
        </is>
      </c>
      <c r="G2759" t="inlineStr">
        <is>
          <t>Tuesday</t>
        </is>
      </c>
      <c r="H2759" t="inlineStr">
        <is>
          <t>Weekly - Tuesday</t>
        </is>
      </c>
      <c r="I2759" t="inlineStr">
        <is>
          <t>Weekly - Tuesday</t>
        </is>
      </c>
      <c r="J2759" t="inlineStr">
        <is>
          <t>Month+1 Expiry</t>
        </is>
      </c>
      <c r="K2759" s="25" t="n">
        <v>12214</v>
      </c>
      <c r="L2759" s="26" t="n">
        <v>19.744</v>
      </c>
      <c r="M2759" s="26" t="n">
        <v>0.2202</v>
      </c>
    </row>
    <row r="2760" ht="16" customHeight="1">
      <c r="A2760" t="inlineStr">
        <is>
          <t>16-Apr-2026</t>
        </is>
      </c>
      <c r="B2760" t="inlineStr">
        <is>
          <t>Thursday</t>
        </is>
      </c>
      <c r="C2760" t="inlineStr">
        <is>
          <t>Week3-Apr-2026</t>
        </is>
      </c>
      <c r="D2760" s="78" t="n">
        <v>46113</v>
      </c>
      <c r="E2760" t="inlineStr">
        <is>
          <t>Q1FY27</t>
        </is>
      </c>
      <c r="F2760" t="inlineStr">
        <is>
          <t>19-May-2026</t>
        </is>
      </c>
      <c r="G2760" t="inlineStr">
        <is>
          <t>Tuesday</t>
        </is>
      </c>
      <c r="H2760" t="inlineStr">
        <is>
          <t>Weekly - Tuesday</t>
        </is>
      </c>
      <c r="I2760" t="inlineStr">
        <is>
          <t>Weekly - Tuesday</t>
        </is>
      </c>
      <c r="J2760" t="inlineStr">
        <is>
          <t>Month+1 Expiry</t>
        </is>
      </c>
      <c r="K2760" s="25" t="n">
        <v>1314</v>
      </c>
      <c r="L2760" s="26" t="n">
        <v>2.1275</v>
      </c>
      <c r="M2760" s="26" t="n">
        <v>0.0352</v>
      </c>
    </row>
    <row r="2761" ht="16" customHeight="1">
      <c r="A2761" t="inlineStr">
        <is>
          <t>16-Apr-2026</t>
        </is>
      </c>
      <c r="B2761" t="inlineStr">
        <is>
          <t>Thursday</t>
        </is>
      </c>
      <c r="C2761" t="inlineStr">
        <is>
          <t>Week3-Apr-2026</t>
        </is>
      </c>
      <c r="D2761" s="78" t="n">
        <v>46113</v>
      </c>
      <c r="E2761" t="inlineStr">
        <is>
          <t>Q1FY27</t>
        </is>
      </c>
      <c r="F2761" t="inlineStr">
        <is>
          <t>26-May-2026</t>
        </is>
      </c>
      <c r="G2761" t="inlineStr">
        <is>
          <t>Tuesday</t>
        </is>
      </c>
      <c r="H2761" t="inlineStr">
        <is>
          <t>Monthly - Tuesday</t>
        </is>
      </c>
      <c r="I2761" t="inlineStr">
        <is>
          <t>Monthly - Tuesday</t>
        </is>
      </c>
      <c r="J2761" t="inlineStr">
        <is>
          <t>Month+1 Expiry</t>
        </is>
      </c>
      <c r="K2761" s="25" t="n">
        <v>261184</v>
      </c>
      <c r="L2761" s="26" t="n">
        <v>415.0539</v>
      </c>
      <c r="M2761" s="26" t="n">
        <v>5.328</v>
      </c>
    </row>
    <row r="2762" ht="16" customHeight="1">
      <c r="A2762" t="inlineStr">
        <is>
          <t>16-Apr-2026</t>
        </is>
      </c>
      <c r="B2762" t="inlineStr">
        <is>
          <t>Thursday</t>
        </is>
      </c>
      <c r="C2762" t="inlineStr">
        <is>
          <t>Week3-Apr-2026</t>
        </is>
      </c>
      <c r="D2762" s="78" t="n">
        <v>46113</v>
      </c>
      <c r="E2762" t="inlineStr">
        <is>
          <t>Q1FY27</t>
        </is>
      </c>
      <c r="F2762" t="inlineStr">
        <is>
          <t>30-Jun-2026</t>
        </is>
      </c>
      <c r="G2762" t="inlineStr">
        <is>
          <t>Tuesday</t>
        </is>
      </c>
      <c r="H2762" t="inlineStr">
        <is>
          <t>Monthly - Tuesday</t>
        </is>
      </c>
      <c r="I2762" t="inlineStr">
        <is>
          <t>Monthly - Tuesday</t>
        </is>
      </c>
      <c r="J2762" t="inlineStr">
        <is>
          <t>Month+2 Expiry</t>
        </is>
      </c>
      <c r="K2762" s="25" t="n">
        <v>132679</v>
      </c>
      <c r="L2762" s="26" t="n">
        <v>209.0229</v>
      </c>
      <c r="M2762" s="26" t="n">
        <v>3.0059</v>
      </c>
    </row>
    <row r="2763" ht="16" customHeight="1">
      <c r="A2763" t="inlineStr">
        <is>
          <t>16-Apr-2026</t>
        </is>
      </c>
      <c r="B2763" t="inlineStr">
        <is>
          <t>Thursday</t>
        </is>
      </c>
      <c r="C2763" t="inlineStr">
        <is>
          <t>Week3-Apr-2026</t>
        </is>
      </c>
      <c r="D2763" s="78" t="n">
        <v>46113</v>
      </c>
      <c r="E2763" t="inlineStr">
        <is>
          <t>Q1FY27</t>
        </is>
      </c>
      <c r="F2763" t="inlineStr">
        <is>
          <t>29-Sep-2026</t>
        </is>
      </c>
      <c r="G2763" t="inlineStr">
        <is>
          <t>Tuesday</t>
        </is>
      </c>
      <c r="H2763" t="inlineStr">
        <is>
          <t>Monthly - Tuesday</t>
        </is>
      </c>
      <c r="I2763" t="inlineStr">
        <is>
          <t>Monthly - Tuesday</t>
        </is>
      </c>
      <c r="J2763" t="inlineStr">
        <is>
          <t>Month+5 Expiry</t>
        </is>
      </c>
      <c r="K2763" s="25" t="n">
        <v>19998</v>
      </c>
      <c r="L2763" s="26" t="n">
        <v>31.9804</v>
      </c>
      <c r="M2763" s="26" t="n">
        <v>0.5351</v>
      </c>
    </row>
    <row r="2764" ht="16" customHeight="1">
      <c r="A2764" t="inlineStr">
        <is>
          <t>16-Apr-2026</t>
        </is>
      </c>
      <c r="B2764" t="inlineStr">
        <is>
          <t>Thursday</t>
        </is>
      </c>
      <c r="C2764" t="inlineStr">
        <is>
          <t>Week3-Apr-2026</t>
        </is>
      </c>
      <c r="D2764" s="78" t="n">
        <v>46113</v>
      </c>
      <c r="E2764" t="inlineStr">
        <is>
          <t>Q1FY27</t>
        </is>
      </c>
      <c r="F2764" t="inlineStr">
        <is>
          <t>29-Dec-2026</t>
        </is>
      </c>
      <c r="G2764" t="inlineStr">
        <is>
          <t>Tuesday</t>
        </is>
      </c>
      <c r="H2764" t="inlineStr">
        <is>
          <t>Monthly - Tuesday</t>
        </is>
      </c>
      <c r="I2764" t="inlineStr">
        <is>
          <t>Monthly - Tuesday</t>
        </is>
      </c>
      <c r="J2764" t="inlineStr">
        <is>
          <t>Month+8 Expiry</t>
        </is>
      </c>
      <c r="K2764" s="25" t="n">
        <v>45463</v>
      </c>
      <c r="L2764" s="26" t="n">
        <v>73.98560000000001</v>
      </c>
      <c r="M2764" s="26" t="n">
        <v>2.2189</v>
      </c>
    </row>
    <row r="2765" ht="16" customHeight="1">
      <c r="A2765" t="inlineStr">
        <is>
          <t>16-Apr-2026</t>
        </is>
      </c>
      <c r="B2765" t="inlineStr">
        <is>
          <t>Thursday</t>
        </is>
      </c>
      <c r="C2765" t="inlineStr">
        <is>
          <t>Week3-Apr-2026</t>
        </is>
      </c>
      <c r="D2765" s="78" t="n">
        <v>46113</v>
      </c>
      <c r="E2765" t="inlineStr">
        <is>
          <t>Q1FY27</t>
        </is>
      </c>
      <c r="F2765" t="inlineStr">
        <is>
          <t>30-Mar-2027</t>
        </is>
      </c>
      <c r="G2765" t="inlineStr">
        <is>
          <t>Tuesday</t>
        </is>
      </c>
      <c r="H2765" t="inlineStr">
        <is>
          <t>Monthly - Tuesday</t>
        </is>
      </c>
      <c r="I2765" t="inlineStr">
        <is>
          <t>Monthly - Tuesday</t>
        </is>
      </c>
      <c r="J2765" t="inlineStr">
        <is>
          <t>Month+11 Expiry</t>
        </is>
      </c>
      <c r="K2765" s="25" t="n">
        <v>0</v>
      </c>
      <c r="L2765" s="26" t="n">
        <v>0</v>
      </c>
      <c r="M2765" s="26" t="n">
        <v>0</v>
      </c>
    </row>
    <row r="2766" ht="16" customHeight="1">
      <c r="A2766" t="inlineStr">
        <is>
          <t>16-Apr-2026</t>
        </is>
      </c>
      <c r="B2766" t="inlineStr">
        <is>
          <t>Thursday</t>
        </is>
      </c>
      <c r="C2766" t="inlineStr">
        <is>
          <t>Week3-Apr-2026</t>
        </is>
      </c>
      <c r="D2766" s="78" t="n">
        <v>46113</v>
      </c>
      <c r="E2766" t="inlineStr">
        <is>
          <t>Q1FY27</t>
        </is>
      </c>
      <c r="F2766" t="inlineStr">
        <is>
          <t>29-Jun-2027</t>
        </is>
      </c>
      <c r="G2766" t="inlineStr">
        <is>
          <t>Tuesday</t>
        </is>
      </c>
      <c r="H2766" t="inlineStr">
        <is>
          <t>Monthly - Tuesday</t>
        </is>
      </c>
      <c r="I2766" t="inlineStr">
        <is>
          <t>Monthly - Tuesday</t>
        </is>
      </c>
      <c r="J2766" t="inlineStr">
        <is>
          <t>Month+14 Expiry</t>
        </is>
      </c>
      <c r="K2766" s="25" t="n">
        <v>8</v>
      </c>
      <c r="L2766" s="26" t="n">
        <v>0.0111</v>
      </c>
      <c r="M2766" s="26" t="n">
        <v>0.0002</v>
      </c>
    </row>
    <row r="2767" ht="16" customHeight="1">
      <c r="A2767" t="inlineStr">
        <is>
          <t>16-Apr-2026</t>
        </is>
      </c>
      <c r="B2767" t="inlineStr">
        <is>
          <t>Thursday</t>
        </is>
      </c>
      <c r="C2767" t="inlineStr">
        <is>
          <t>Week3-Apr-2026</t>
        </is>
      </c>
      <c r="D2767" s="78" t="n">
        <v>46113</v>
      </c>
      <c r="E2767" t="inlineStr">
        <is>
          <t>Q1FY27</t>
        </is>
      </c>
      <c r="F2767" t="inlineStr">
        <is>
          <t>28-Dec-2027</t>
        </is>
      </c>
      <c r="G2767" t="inlineStr">
        <is>
          <t>Tuesday</t>
        </is>
      </c>
      <c r="H2767" t="inlineStr">
        <is>
          <t>Monthly - Tuesday</t>
        </is>
      </c>
      <c r="I2767" t="inlineStr">
        <is>
          <t>Monthly - Tuesday</t>
        </is>
      </c>
      <c r="J2767" t="inlineStr">
        <is>
          <t>Month+20 Expiry</t>
        </is>
      </c>
      <c r="K2767" s="25" t="n">
        <v>257</v>
      </c>
      <c r="L2767" s="26" t="n">
        <v>0.4434</v>
      </c>
      <c r="M2767" s="26" t="n">
        <v>0.0207</v>
      </c>
    </row>
    <row r="2768" ht="16" customHeight="1">
      <c r="A2768" t="inlineStr">
        <is>
          <t>16-Apr-2026</t>
        </is>
      </c>
      <c r="B2768" t="inlineStr">
        <is>
          <t>Thursday</t>
        </is>
      </c>
      <c r="C2768" t="inlineStr">
        <is>
          <t>Week3-Apr-2026</t>
        </is>
      </c>
      <c r="D2768" s="78" t="n">
        <v>46113</v>
      </c>
      <c r="E2768" t="inlineStr">
        <is>
          <t>Q1FY27</t>
        </is>
      </c>
      <c r="F2768" t="inlineStr">
        <is>
          <t>27-Jun-2028</t>
        </is>
      </c>
      <c r="G2768" t="inlineStr">
        <is>
          <t>Tuesday</t>
        </is>
      </c>
      <c r="H2768" t="inlineStr">
        <is>
          <t>Monthly - Tuesday</t>
        </is>
      </c>
      <c r="I2768" t="inlineStr">
        <is>
          <t>Monthly - Tuesday</t>
        </is>
      </c>
      <c r="J2768" t="inlineStr">
        <is>
          <t>Month+26 Expiry</t>
        </is>
      </c>
      <c r="K2768" s="25" t="n">
        <v>0</v>
      </c>
      <c r="L2768" s="26" t="n">
        <v>0</v>
      </c>
      <c r="M2768" s="26" t="n">
        <v>0</v>
      </c>
    </row>
    <row r="2769" ht="16" customHeight="1">
      <c r="A2769" t="inlineStr">
        <is>
          <t>16-Apr-2026</t>
        </is>
      </c>
      <c r="B2769" t="inlineStr">
        <is>
          <t>Thursday</t>
        </is>
      </c>
      <c r="C2769" t="inlineStr">
        <is>
          <t>Week3-Apr-2026</t>
        </is>
      </c>
      <c r="D2769" s="78" t="n">
        <v>46113</v>
      </c>
      <c r="E2769" t="inlineStr">
        <is>
          <t>Q1FY27</t>
        </is>
      </c>
      <c r="F2769" t="inlineStr">
        <is>
          <t>26-Dec-2028</t>
        </is>
      </c>
      <c r="G2769" t="inlineStr">
        <is>
          <t>Tuesday</t>
        </is>
      </c>
      <c r="H2769" t="inlineStr">
        <is>
          <t>Monthly - Tuesday</t>
        </is>
      </c>
      <c r="I2769" t="inlineStr">
        <is>
          <t>Monthly - Tuesday</t>
        </is>
      </c>
      <c r="J2769" t="inlineStr">
        <is>
          <t>Month+32 Expiry</t>
        </is>
      </c>
      <c r="K2769" s="25" t="n">
        <v>23</v>
      </c>
      <c r="L2769" s="26" t="n">
        <v>0.0417</v>
      </c>
      <c r="M2769" s="26" t="n">
        <v>0.0029</v>
      </c>
    </row>
    <row r="2770" ht="16" customHeight="1">
      <c r="A2770" t="inlineStr">
        <is>
          <t>16-Apr-2026</t>
        </is>
      </c>
      <c r="B2770" t="inlineStr">
        <is>
          <t>Thursday</t>
        </is>
      </c>
      <c r="C2770" t="inlineStr">
        <is>
          <t>Week3-Apr-2026</t>
        </is>
      </c>
      <c r="D2770" s="78" t="n">
        <v>46113</v>
      </c>
      <c r="E2770" t="inlineStr">
        <is>
          <t>Q1FY27</t>
        </is>
      </c>
      <c r="F2770" t="inlineStr">
        <is>
          <t>26-Jun-2029</t>
        </is>
      </c>
      <c r="G2770" t="inlineStr">
        <is>
          <t>Tuesday</t>
        </is>
      </c>
      <c r="H2770" t="inlineStr">
        <is>
          <t>Monthly - Tuesday</t>
        </is>
      </c>
      <c r="I2770" t="inlineStr">
        <is>
          <t>Monthly - Tuesday</t>
        </is>
      </c>
      <c r="J2770" t="inlineStr">
        <is>
          <t>Month+38 Expiry</t>
        </is>
      </c>
      <c r="K2770" s="25" t="n">
        <v>0</v>
      </c>
      <c r="L2770" s="26" t="n">
        <v>0</v>
      </c>
      <c r="M2770" s="26" t="n">
        <v>0</v>
      </c>
    </row>
    <row r="2771" ht="16" customHeight="1">
      <c r="A2771" t="inlineStr">
        <is>
          <t>16-Apr-2026</t>
        </is>
      </c>
      <c r="B2771" t="inlineStr">
        <is>
          <t>Thursday</t>
        </is>
      </c>
      <c r="C2771" t="inlineStr">
        <is>
          <t>Week3-Apr-2026</t>
        </is>
      </c>
      <c r="D2771" s="78" t="n">
        <v>46113</v>
      </c>
      <c r="E2771" t="inlineStr">
        <is>
          <t>Q1FY27</t>
        </is>
      </c>
      <c r="F2771" t="inlineStr">
        <is>
          <t>24-Dec-2029</t>
        </is>
      </c>
      <c r="G2771" t="inlineStr">
        <is>
          <t>Monday</t>
        </is>
      </c>
      <c r="H2771" t="inlineStr">
        <is>
          <t>Weekly - Monday</t>
        </is>
      </c>
      <c r="I2771" t="inlineStr">
        <is>
          <t>Weekly - Monday</t>
        </is>
      </c>
      <c r="J2771" t="inlineStr">
        <is>
          <t>Month+44 Expiry</t>
        </is>
      </c>
      <c r="K2771" s="25" t="n">
        <v>0</v>
      </c>
      <c r="L2771" s="26" t="n">
        <v>0</v>
      </c>
      <c r="M2771" s="26" t="n">
        <v>0</v>
      </c>
    </row>
    <row r="2772" ht="16" customHeight="1">
      <c r="A2772" t="inlineStr">
        <is>
          <t>16-Apr-2026</t>
        </is>
      </c>
      <c r="B2772" t="inlineStr">
        <is>
          <t>Thursday</t>
        </is>
      </c>
      <c r="C2772" t="inlineStr">
        <is>
          <t>Week3-Apr-2026</t>
        </is>
      </c>
      <c r="D2772" s="78" t="n">
        <v>46113</v>
      </c>
      <c r="E2772" t="inlineStr">
        <is>
          <t>Q1FY27</t>
        </is>
      </c>
      <c r="F2772" t="inlineStr">
        <is>
          <t>25-Jun-2030</t>
        </is>
      </c>
      <c r="G2772" t="inlineStr">
        <is>
          <t>Tuesday</t>
        </is>
      </c>
      <c r="H2772" t="inlineStr">
        <is>
          <t>Monthly - Tuesday</t>
        </is>
      </c>
      <c r="I2772" t="inlineStr">
        <is>
          <t>Monthly - Tuesday</t>
        </is>
      </c>
      <c r="J2772" t="inlineStr">
        <is>
          <t>Month+50 Expiry</t>
        </is>
      </c>
      <c r="K2772" s="25" t="n">
        <v>0</v>
      </c>
      <c r="L2772" s="26" t="n">
        <v>0</v>
      </c>
      <c r="M2772" s="26" t="n">
        <v>0</v>
      </c>
    </row>
    <row r="2773" ht="16" customHeight="1">
      <c r="A2773" t="inlineStr">
        <is>
          <t>16-Apr-2026</t>
        </is>
      </c>
      <c r="B2773" t="inlineStr">
        <is>
          <t>Thursday</t>
        </is>
      </c>
      <c r="C2773" t="inlineStr">
        <is>
          <t>Week3-Apr-2026</t>
        </is>
      </c>
      <c r="D2773" s="78" t="n">
        <v>46113</v>
      </c>
      <c r="E2773" t="inlineStr">
        <is>
          <t>Q1FY27</t>
        </is>
      </c>
      <c r="F2773" t="inlineStr">
        <is>
          <t>31-Dec-2030</t>
        </is>
      </c>
      <c r="G2773" t="inlineStr">
        <is>
          <t>Tuesday</t>
        </is>
      </c>
      <c r="H2773" t="inlineStr">
        <is>
          <t>Monthly - Tuesday</t>
        </is>
      </c>
      <c r="I2773" t="inlineStr">
        <is>
          <t>Monthly - Tuesday</t>
        </is>
      </c>
      <c r="J2773" t="inlineStr">
        <is>
          <t>Month+56 Expiry</t>
        </is>
      </c>
      <c r="K2773" s="25" t="n">
        <v>0</v>
      </c>
      <c r="L2773" s="26" t="n">
        <v>0</v>
      </c>
      <c r="M2773" s="26" t="n">
        <v>0</v>
      </c>
    </row>
    <row r="2774" ht="16" customHeight="1">
      <c r="A2774" t="inlineStr">
        <is>
          <t>17-Apr-2026</t>
        </is>
      </c>
      <c r="B2774" t="inlineStr">
        <is>
          <t>Friday</t>
        </is>
      </c>
      <c r="C2774" t="inlineStr">
        <is>
          <t>Week3-Apr-2026</t>
        </is>
      </c>
      <c r="D2774" s="78" t="n">
        <v>46113</v>
      </c>
      <c r="E2774" t="inlineStr">
        <is>
          <t>Q1FY27</t>
        </is>
      </c>
      <c r="F2774" t="inlineStr">
        <is>
          <t>21-Apr-2026</t>
        </is>
      </c>
      <c r="G2774" t="inlineStr">
        <is>
          <t>Tuesday</t>
        </is>
      </c>
      <c r="H2774" t="inlineStr">
        <is>
          <t>Weekly - Tuesday</t>
        </is>
      </c>
      <c r="I2774" t="inlineStr">
        <is>
          <t>Weekly - Tuesday</t>
        </is>
      </c>
      <c r="J2774" t="inlineStr">
        <is>
          <t>Same Month Expiry</t>
        </is>
      </c>
      <c r="K2774" s="25" t="n">
        <v>65822475</v>
      </c>
      <c r="L2774" s="26" t="n">
        <v>104051.8883</v>
      </c>
      <c r="M2774" s="26" t="n">
        <v>405.92</v>
      </c>
    </row>
    <row r="2775" ht="16" customHeight="1">
      <c r="A2775" t="inlineStr">
        <is>
          <t>17-Apr-2026</t>
        </is>
      </c>
      <c r="B2775" t="inlineStr">
        <is>
          <t>Friday</t>
        </is>
      </c>
      <c r="C2775" t="inlineStr">
        <is>
          <t>Week3-Apr-2026</t>
        </is>
      </c>
      <c r="D2775" s="78" t="n">
        <v>46113</v>
      </c>
      <c r="E2775" t="inlineStr">
        <is>
          <t>Q1FY27</t>
        </is>
      </c>
      <c r="F2775" t="inlineStr">
        <is>
          <t>28-Apr-2026</t>
        </is>
      </c>
      <c r="G2775" t="inlineStr">
        <is>
          <t>Tuesday</t>
        </is>
      </c>
      <c r="H2775" t="inlineStr">
        <is>
          <t>Monthly - Tuesday</t>
        </is>
      </c>
      <c r="I2775" t="inlineStr">
        <is>
          <t>Monthly - Tuesday</t>
        </is>
      </c>
      <c r="J2775" t="inlineStr">
        <is>
          <t>Same Month Expiry</t>
        </is>
      </c>
      <c r="K2775" s="25" t="n">
        <v>3207883</v>
      </c>
      <c r="L2775" s="26" t="n">
        <v>5028.1948</v>
      </c>
      <c r="M2775" s="26" t="n">
        <v>26.3071</v>
      </c>
    </row>
    <row r="2776" ht="16" customHeight="1">
      <c r="A2776" t="inlineStr">
        <is>
          <t>17-Apr-2026</t>
        </is>
      </c>
      <c r="B2776" t="inlineStr">
        <is>
          <t>Friday</t>
        </is>
      </c>
      <c r="C2776" t="inlineStr">
        <is>
          <t>Week3-Apr-2026</t>
        </is>
      </c>
      <c r="D2776" s="78" t="n">
        <v>46113</v>
      </c>
      <c r="E2776" t="inlineStr">
        <is>
          <t>Q1FY27</t>
        </is>
      </c>
      <c r="F2776" t="inlineStr">
        <is>
          <t>05-May-2026</t>
        </is>
      </c>
      <c r="G2776" t="inlineStr">
        <is>
          <t>Tuesday</t>
        </is>
      </c>
      <c r="H2776" t="inlineStr">
        <is>
          <t>Weekly - Tuesday</t>
        </is>
      </c>
      <c r="I2776" t="inlineStr">
        <is>
          <t>Weekly - Tuesday</t>
        </is>
      </c>
      <c r="J2776" t="inlineStr">
        <is>
          <t>Month+1 Expiry</t>
        </is>
      </c>
      <c r="K2776" s="25" t="n">
        <v>132454</v>
      </c>
      <c r="L2776" s="26" t="n">
        <v>209.5769</v>
      </c>
      <c r="M2776" s="26" t="n">
        <v>1.2939</v>
      </c>
    </row>
    <row r="2777" ht="16" customHeight="1">
      <c r="A2777" t="inlineStr">
        <is>
          <t>17-Apr-2026</t>
        </is>
      </c>
      <c r="B2777" t="inlineStr">
        <is>
          <t>Friday</t>
        </is>
      </c>
      <c r="C2777" t="inlineStr">
        <is>
          <t>Week3-Apr-2026</t>
        </is>
      </c>
      <c r="D2777" s="78" t="n">
        <v>46113</v>
      </c>
      <c r="E2777" t="inlineStr">
        <is>
          <t>Q1FY27</t>
        </is>
      </c>
      <c r="F2777" t="inlineStr">
        <is>
          <t>12-May-2026</t>
        </is>
      </c>
      <c r="G2777" t="inlineStr">
        <is>
          <t>Tuesday</t>
        </is>
      </c>
      <c r="H2777" t="inlineStr">
        <is>
          <t>Weekly - Tuesday</t>
        </is>
      </c>
      <c r="I2777" t="inlineStr">
        <is>
          <t>Weekly - Tuesday</t>
        </is>
      </c>
      <c r="J2777" t="inlineStr">
        <is>
          <t>Month+1 Expiry</t>
        </is>
      </c>
      <c r="K2777" s="25" t="n">
        <v>12985</v>
      </c>
      <c r="L2777" s="26" t="n">
        <v>20.7112</v>
      </c>
      <c r="M2777" s="26" t="n">
        <v>0.1561</v>
      </c>
    </row>
    <row r="2778" ht="16" customHeight="1">
      <c r="A2778" t="inlineStr">
        <is>
          <t>17-Apr-2026</t>
        </is>
      </c>
      <c r="B2778" t="inlineStr">
        <is>
          <t>Friday</t>
        </is>
      </c>
      <c r="C2778" t="inlineStr">
        <is>
          <t>Week3-Apr-2026</t>
        </is>
      </c>
      <c r="D2778" s="78" t="n">
        <v>46113</v>
      </c>
      <c r="E2778" t="inlineStr">
        <is>
          <t>Q1FY27</t>
        </is>
      </c>
      <c r="F2778" t="inlineStr">
        <is>
          <t>19-May-2026</t>
        </is>
      </c>
      <c r="G2778" t="inlineStr">
        <is>
          <t>Tuesday</t>
        </is>
      </c>
      <c r="H2778" t="inlineStr">
        <is>
          <t>Weekly - Tuesday</t>
        </is>
      </c>
      <c r="I2778" t="inlineStr">
        <is>
          <t>Weekly - Tuesday</t>
        </is>
      </c>
      <c r="J2778" t="inlineStr">
        <is>
          <t>Month+1 Expiry</t>
        </is>
      </c>
      <c r="K2778" s="25" t="n">
        <v>1763</v>
      </c>
      <c r="L2778" s="26" t="n">
        <v>2.8694</v>
      </c>
      <c r="M2778" s="26" t="n">
        <v>0.0383</v>
      </c>
    </row>
    <row r="2779" ht="16" customHeight="1">
      <c r="A2779" t="inlineStr">
        <is>
          <t>17-Apr-2026</t>
        </is>
      </c>
      <c r="B2779" t="inlineStr">
        <is>
          <t>Friday</t>
        </is>
      </c>
      <c r="C2779" t="inlineStr">
        <is>
          <t>Week3-Apr-2026</t>
        </is>
      </c>
      <c r="D2779" s="78" t="n">
        <v>46113</v>
      </c>
      <c r="E2779" t="inlineStr">
        <is>
          <t>Q1FY27</t>
        </is>
      </c>
      <c r="F2779" t="inlineStr">
        <is>
          <t>26-May-2026</t>
        </is>
      </c>
      <c r="G2779" t="inlineStr">
        <is>
          <t>Tuesday</t>
        </is>
      </c>
      <c r="H2779" t="inlineStr">
        <is>
          <t>Monthly - Tuesday</t>
        </is>
      </c>
      <c r="I2779" t="inlineStr">
        <is>
          <t>Monthly - Tuesday</t>
        </is>
      </c>
      <c r="J2779" t="inlineStr">
        <is>
          <t>Month+1 Expiry</t>
        </is>
      </c>
      <c r="K2779" s="25" t="n">
        <v>308942</v>
      </c>
      <c r="L2779" s="26" t="n">
        <v>488.6482</v>
      </c>
      <c r="M2779" s="26" t="n">
        <v>6.0097</v>
      </c>
    </row>
    <row r="2780" ht="16" customHeight="1">
      <c r="A2780" t="inlineStr">
        <is>
          <t>17-Apr-2026</t>
        </is>
      </c>
      <c r="B2780" t="inlineStr">
        <is>
          <t>Friday</t>
        </is>
      </c>
      <c r="C2780" t="inlineStr">
        <is>
          <t>Week3-Apr-2026</t>
        </is>
      </c>
      <c r="D2780" s="78" t="n">
        <v>46113</v>
      </c>
      <c r="E2780" t="inlineStr">
        <is>
          <t>Q1FY27</t>
        </is>
      </c>
      <c r="F2780" t="inlineStr">
        <is>
          <t>30-Jun-2026</t>
        </is>
      </c>
      <c r="G2780" t="inlineStr">
        <is>
          <t>Tuesday</t>
        </is>
      </c>
      <c r="H2780" t="inlineStr">
        <is>
          <t>Monthly - Tuesday</t>
        </is>
      </c>
      <c r="I2780" t="inlineStr">
        <is>
          <t>Monthly - Tuesday</t>
        </is>
      </c>
      <c r="J2780" t="inlineStr">
        <is>
          <t>Month+2 Expiry</t>
        </is>
      </c>
      <c r="K2780" s="25" t="n">
        <v>117144</v>
      </c>
      <c r="L2780" s="26" t="n">
        <v>182.4339</v>
      </c>
      <c r="M2780" s="26" t="n">
        <v>2.3853</v>
      </c>
    </row>
    <row r="2781" ht="16" customHeight="1">
      <c r="A2781" t="inlineStr">
        <is>
          <t>17-Apr-2026</t>
        </is>
      </c>
      <c r="B2781" t="inlineStr">
        <is>
          <t>Friday</t>
        </is>
      </c>
      <c r="C2781" t="inlineStr">
        <is>
          <t>Week3-Apr-2026</t>
        </is>
      </c>
      <c r="D2781" s="78" t="n">
        <v>46113</v>
      </c>
      <c r="E2781" t="inlineStr">
        <is>
          <t>Q1FY27</t>
        </is>
      </c>
      <c r="F2781" t="inlineStr">
        <is>
          <t>29-Sep-2026</t>
        </is>
      </c>
      <c r="G2781" t="inlineStr">
        <is>
          <t>Tuesday</t>
        </is>
      </c>
      <c r="H2781" t="inlineStr">
        <is>
          <t>Monthly - Tuesday</t>
        </is>
      </c>
      <c r="I2781" t="inlineStr">
        <is>
          <t>Monthly - Tuesday</t>
        </is>
      </c>
      <c r="J2781" t="inlineStr">
        <is>
          <t>Month+5 Expiry</t>
        </is>
      </c>
      <c r="K2781" s="25" t="n">
        <v>11234</v>
      </c>
      <c r="L2781" s="26" t="n">
        <v>18.4156</v>
      </c>
      <c r="M2781" s="26" t="n">
        <v>0.29</v>
      </c>
    </row>
    <row r="2782" ht="16" customHeight="1">
      <c r="A2782" t="inlineStr">
        <is>
          <t>17-Apr-2026</t>
        </is>
      </c>
      <c r="B2782" t="inlineStr">
        <is>
          <t>Friday</t>
        </is>
      </c>
      <c r="C2782" t="inlineStr">
        <is>
          <t>Week3-Apr-2026</t>
        </is>
      </c>
      <c r="D2782" s="78" t="n">
        <v>46113</v>
      </c>
      <c r="E2782" t="inlineStr">
        <is>
          <t>Q1FY27</t>
        </is>
      </c>
      <c r="F2782" t="inlineStr">
        <is>
          <t>29-Dec-2026</t>
        </is>
      </c>
      <c r="G2782" t="inlineStr">
        <is>
          <t>Tuesday</t>
        </is>
      </c>
      <c r="H2782" t="inlineStr">
        <is>
          <t>Monthly - Tuesday</t>
        </is>
      </c>
      <c r="I2782" t="inlineStr">
        <is>
          <t>Monthly - Tuesday</t>
        </is>
      </c>
      <c r="J2782" t="inlineStr">
        <is>
          <t>Month+8 Expiry</t>
        </is>
      </c>
      <c r="K2782" s="25" t="n">
        <v>31659</v>
      </c>
      <c r="L2782" s="26" t="n">
        <v>51.1237</v>
      </c>
      <c r="M2782" s="26" t="n">
        <v>1.19</v>
      </c>
    </row>
    <row r="2783" ht="16" customHeight="1">
      <c r="A2783" t="inlineStr">
        <is>
          <t>17-Apr-2026</t>
        </is>
      </c>
      <c r="B2783" t="inlineStr">
        <is>
          <t>Friday</t>
        </is>
      </c>
      <c r="C2783" t="inlineStr">
        <is>
          <t>Week3-Apr-2026</t>
        </is>
      </c>
      <c r="D2783" s="78" t="n">
        <v>46113</v>
      </c>
      <c r="E2783" t="inlineStr">
        <is>
          <t>Q1FY27</t>
        </is>
      </c>
      <c r="F2783" t="inlineStr">
        <is>
          <t>30-Mar-2027</t>
        </is>
      </c>
      <c r="G2783" t="inlineStr">
        <is>
          <t>Tuesday</t>
        </is>
      </c>
      <c r="H2783" t="inlineStr">
        <is>
          <t>Monthly - Tuesday</t>
        </is>
      </c>
      <c r="I2783" t="inlineStr">
        <is>
          <t>Monthly - Tuesday</t>
        </is>
      </c>
      <c r="J2783" t="inlineStr">
        <is>
          <t>Month+11 Expiry</t>
        </is>
      </c>
      <c r="K2783" s="25" t="n">
        <v>0</v>
      </c>
      <c r="L2783" s="26" t="n">
        <v>0</v>
      </c>
      <c r="M2783" s="26" t="n">
        <v>0</v>
      </c>
    </row>
    <row r="2784" ht="16" customHeight="1">
      <c r="A2784" t="inlineStr">
        <is>
          <t>17-Apr-2026</t>
        </is>
      </c>
      <c r="B2784" t="inlineStr">
        <is>
          <t>Friday</t>
        </is>
      </c>
      <c r="C2784" t="inlineStr">
        <is>
          <t>Week3-Apr-2026</t>
        </is>
      </c>
      <c r="D2784" s="78" t="n">
        <v>46113</v>
      </c>
      <c r="E2784" t="inlineStr">
        <is>
          <t>Q1FY27</t>
        </is>
      </c>
      <c r="F2784" t="inlineStr">
        <is>
          <t>29-Jun-2027</t>
        </is>
      </c>
      <c r="G2784" t="inlineStr">
        <is>
          <t>Tuesday</t>
        </is>
      </c>
      <c r="H2784" t="inlineStr">
        <is>
          <t>Monthly - Tuesday</t>
        </is>
      </c>
      <c r="I2784" t="inlineStr">
        <is>
          <t>Monthly - Tuesday</t>
        </is>
      </c>
      <c r="J2784" t="inlineStr">
        <is>
          <t>Month+14 Expiry</t>
        </is>
      </c>
      <c r="K2784" s="25" t="n">
        <v>1</v>
      </c>
      <c r="L2784" s="26" t="n">
        <v>0.0014</v>
      </c>
      <c r="M2784" s="26" t="n">
        <v>0</v>
      </c>
    </row>
    <row r="2785" ht="16" customHeight="1">
      <c r="A2785" t="inlineStr">
        <is>
          <t>17-Apr-2026</t>
        </is>
      </c>
      <c r="B2785" t="inlineStr">
        <is>
          <t>Friday</t>
        </is>
      </c>
      <c r="C2785" t="inlineStr">
        <is>
          <t>Week3-Apr-2026</t>
        </is>
      </c>
      <c r="D2785" s="78" t="n">
        <v>46113</v>
      </c>
      <c r="E2785" t="inlineStr">
        <is>
          <t>Q1FY27</t>
        </is>
      </c>
      <c r="F2785" t="inlineStr">
        <is>
          <t>28-Dec-2027</t>
        </is>
      </c>
      <c r="G2785" t="inlineStr">
        <is>
          <t>Tuesday</t>
        </is>
      </c>
      <c r="H2785" t="inlineStr">
        <is>
          <t>Monthly - Tuesday</t>
        </is>
      </c>
      <c r="I2785" t="inlineStr">
        <is>
          <t>Monthly - Tuesday</t>
        </is>
      </c>
      <c r="J2785" t="inlineStr">
        <is>
          <t>Month+20 Expiry</t>
        </is>
      </c>
      <c r="K2785" s="25" t="n">
        <v>223</v>
      </c>
      <c r="L2785" s="26" t="n">
        <v>0.4</v>
      </c>
      <c r="M2785" s="26" t="n">
        <v>0.0176</v>
      </c>
    </row>
    <row r="2786" ht="16" customHeight="1">
      <c r="A2786" t="inlineStr">
        <is>
          <t>17-Apr-2026</t>
        </is>
      </c>
      <c r="B2786" t="inlineStr">
        <is>
          <t>Friday</t>
        </is>
      </c>
      <c r="C2786" t="inlineStr">
        <is>
          <t>Week3-Apr-2026</t>
        </is>
      </c>
      <c r="D2786" s="78" t="n">
        <v>46113</v>
      </c>
      <c r="E2786" t="inlineStr">
        <is>
          <t>Q1FY27</t>
        </is>
      </c>
      <c r="F2786" t="inlineStr">
        <is>
          <t>27-Jun-2028</t>
        </is>
      </c>
      <c r="G2786" t="inlineStr">
        <is>
          <t>Tuesday</t>
        </is>
      </c>
      <c r="H2786" t="inlineStr">
        <is>
          <t>Monthly - Tuesday</t>
        </is>
      </c>
      <c r="I2786" t="inlineStr">
        <is>
          <t>Monthly - Tuesday</t>
        </is>
      </c>
      <c r="J2786" t="inlineStr">
        <is>
          <t>Month+26 Expiry</t>
        </is>
      </c>
      <c r="K2786" s="25" t="n">
        <v>0</v>
      </c>
      <c r="L2786" s="26" t="n">
        <v>0</v>
      </c>
      <c r="M2786" s="26" t="n">
        <v>0</v>
      </c>
    </row>
    <row r="2787" ht="16" customHeight="1">
      <c r="A2787" t="inlineStr">
        <is>
          <t>17-Apr-2026</t>
        </is>
      </c>
      <c r="B2787" t="inlineStr">
        <is>
          <t>Friday</t>
        </is>
      </c>
      <c r="C2787" t="inlineStr">
        <is>
          <t>Week3-Apr-2026</t>
        </is>
      </c>
      <c r="D2787" s="78" t="n">
        <v>46113</v>
      </c>
      <c r="E2787" t="inlineStr">
        <is>
          <t>Q1FY27</t>
        </is>
      </c>
      <c r="F2787" t="inlineStr">
        <is>
          <t>26-Dec-2028</t>
        </is>
      </c>
      <c r="G2787" t="inlineStr">
        <is>
          <t>Tuesday</t>
        </is>
      </c>
      <c r="H2787" t="inlineStr">
        <is>
          <t>Monthly - Tuesday</t>
        </is>
      </c>
      <c r="I2787" t="inlineStr">
        <is>
          <t>Monthly - Tuesday</t>
        </is>
      </c>
      <c r="J2787" t="inlineStr">
        <is>
          <t>Month+32 Expiry</t>
        </is>
      </c>
      <c r="K2787" s="25" t="n">
        <v>12</v>
      </c>
      <c r="L2787" s="26" t="n">
        <v>0.0208</v>
      </c>
      <c r="M2787" s="26" t="n">
        <v>0.0012</v>
      </c>
    </row>
    <row r="2788" ht="16" customHeight="1">
      <c r="A2788" t="inlineStr">
        <is>
          <t>17-Apr-2026</t>
        </is>
      </c>
      <c r="B2788" t="inlineStr">
        <is>
          <t>Friday</t>
        </is>
      </c>
      <c r="C2788" t="inlineStr">
        <is>
          <t>Week3-Apr-2026</t>
        </is>
      </c>
      <c r="D2788" s="78" t="n">
        <v>46113</v>
      </c>
      <c r="E2788" t="inlineStr">
        <is>
          <t>Q1FY27</t>
        </is>
      </c>
      <c r="F2788" t="inlineStr">
        <is>
          <t>26-Jun-2029</t>
        </is>
      </c>
      <c r="G2788" t="inlineStr">
        <is>
          <t>Tuesday</t>
        </is>
      </c>
      <c r="H2788" t="inlineStr">
        <is>
          <t>Monthly - Tuesday</t>
        </is>
      </c>
      <c r="I2788" t="inlineStr">
        <is>
          <t>Monthly - Tuesday</t>
        </is>
      </c>
      <c r="J2788" t="inlineStr">
        <is>
          <t>Month+38 Expiry</t>
        </is>
      </c>
      <c r="K2788" s="25" t="n">
        <v>0</v>
      </c>
      <c r="L2788" s="26" t="n">
        <v>0</v>
      </c>
      <c r="M2788" s="26" t="n">
        <v>0</v>
      </c>
    </row>
    <row r="2789" ht="16" customHeight="1">
      <c r="A2789" t="inlineStr">
        <is>
          <t>17-Apr-2026</t>
        </is>
      </c>
      <c r="B2789" t="inlineStr">
        <is>
          <t>Friday</t>
        </is>
      </c>
      <c r="C2789" t="inlineStr">
        <is>
          <t>Week3-Apr-2026</t>
        </is>
      </c>
      <c r="D2789" s="78" t="n">
        <v>46113</v>
      </c>
      <c r="E2789" t="inlineStr">
        <is>
          <t>Q1FY27</t>
        </is>
      </c>
      <c r="F2789" t="inlineStr">
        <is>
          <t>24-Dec-2029</t>
        </is>
      </c>
      <c r="G2789" t="inlineStr">
        <is>
          <t>Monday</t>
        </is>
      </c>
      <c r="H2789" t="inlineStr">
        <is>
          <t>Weekly - Monday</t>
        </is>
      </c>
      <c r="I2789" t="inlineStr">
        <is>
          <t>Weekly - Monday</t>
        </is>
      </c>
      <c r="J2789" t="inlineStr">
        <is>
          <t>Month+44 Expiry</t>
        </is>
      </c>
      <c r="K2789" s="25" t="n">
        <v>0</v>
      </c>
      <c r="L2789" s="26" t="n">
        <v>0</v>
      </c>
      <c r="M2789" s="26" t="n">
        <v>0</v>
      </c>
    </row>
    <row r="2790" ht="16" customHeight="1">
      <c r="A2790" t="inlineStr">
        <is>
          <t>17-Apr-2026</t>
        </is>
      </c>
      <c r="B2790" t="inlineStr">
        <is>
          <t>Friday</t>
        </is>
      </c>
      <c r="C2790" t="inlineStr">
        <is>
          <t>Week3-Apr-2026</t>
        </is>
      </c>
      <c r="D2790" s="78" t="n">
        <v>46113</v>
      </c>
      <c r="E2790" t="inlineStr">
        <is>
          <t>Q1FY27</t>
        </is>
      </c>
      <c r="F2790" t="inlineStr">
        <is>
          <t>25-Jun-2030</t>
        </is>
      </c>
      <c r="G2790" t="inlineStr">
        <is>
          <t>Tuesday</t>
        </is>
      </c>
      <c r="H2790" t="inlineStr">
        <is>
          <t>Monthly - Tuesday</t>
        </is>
      </c>
      <c r="I2790" t="inlineStr">
        <is>
          <t>Monthly - Tuesday</t>
        </is>
      </c>
      <c r="J2790" t="inlineStr">
        <is>
          <t>Month+50 Expiry</t>
        </is>
      </c>
      <c r="K2790" s="25" t="n">
        <v>0</v>
      </c>
      <c r="L2790" s="26" t="n">
        <v>0</v>
      </c>
      <c r="M2790" s="26" t="n">
        <v>0</v>
      </c>
    </row>
    <row r="2791" ht="16" customHeight="1">
      <c r="A2791" t="inlineStr">
        <is>
          <t>17-Apr-2026</t>
        </is>
      </c>
      <c r="B2791" t="inlineStr">
        <is>
          <t>Friday</t>
        </is>
      </c>
      <c r="C2791" t="inlineStr">
        <is>
          <t>Week3-Apr-2026</t>
        </is>
      </c>
      <c r="D2791" s="78" t="n">
        <v>46113</v>
      </c>
      <c r="E2791" t="inlineStr">
        <is>
          <t>Q1FY27</t>
        </is>
      </c>
      <c r="F2791" t="inlineStr">
        <is>
          <t>31-Dec-2030</t>
        </is>
      </c>
      <c r="G2791" t="inlineStr">
        <is>
          <t>Tuesday</t>
        </is>
      </c>
      <c r="H2791" t="inlineStr">
        <is>
          <t>Monthly - Tuesday</t>
        </is>
      </c>
      <c r="I2791" t="inlineStr">
        <is>
          <t>Monthly - Tuesday</t>
        </is>
      </c>
      <c r="J2791" t="inlineStr">
        <is>
          <t>Month+56 Expiry</t>
        </is>
      </c>
      <c r="K2791" s="25" t="n">
        <v>0</v>
      </c>
      <c r="L2791" s="26" t="n">
        <v>0</v>
      </c>
      <c r="M2791" s="26" t="n">
        <v>0</v>
      </c>
    </row>
    <row r="2792" ht="16" customHeight="1">
      <c r="A2792" t="inlineStr">
        <is>
          <t>20-Apr-2026</t>
        </is>
      </c>
      <c r="B2792" t="inlineStr">
        <is>
          <t>Monday</t>
        </is>
      </c>
      <c r="C2792" t="inlineStr">
        <is>
          <t>Week3-Apr-2026</t>
        </is>
      </c>
      <c r="D2792" s="78" t="n">
        <v>46113</v>
      </c>
      <c r="E2792" t="inlineStr">
        <is>
          <t>Q1FY27</t>
        </is>
      </c>
      <c r="F2792" t="inlineStr">
        <is>
          <t>21-Apr-2026</t>
        </is>
      </c>
      <c r="G2792" t="inlineStr">
        <is>
          <t>Tuesday</t>
        </is>
      </c>
      <c r="H2792" t="inlineStr">
        <is>
          <t>Weekly - Tuesday</t>
        </is>
      </c>
      <c r="I2792" t="inlineStr">
        <is>
          <t>Weekly - Tuesday</t>
        </is>
      </c>
      <c r="J2792" t="inlineStr">
        <is>
          <t>Same Month Expiry</t>
        </is>
      </c>
      <c r="K2792" s="25" t="n">
        <v>112383504</v>
      </c>
      <c r="L2792" s="26" t="n">
        <v>178546.455</v>
      </c>
      <c r="M2792" s="26" t="n">
        <v>520.7461</v>
      </c>
    </row>
    <row r="2793" ht="16" customHeight="1">
      <c r="A2793" t="inlineStr">
        <is>
          <t>20-Apr-2026</t>
        </is>
      </c>
      <c r="B2793" t="inlineStr">
        <is>
          <t>Monday</t>
        </is>
      </c>
      <c r="C2793" t="inlineStr">
        <is>
          <t>Week3-Apr-2026</t>
        </is>
      </c>
      <c r="D2793" s="78" t="n">
        <v>46113</v>
      </c>
      <c r="E2793" t="inlineStr">
        <is>
          <t>Q1FY27</t>
        </is>
      </c>
      <c r="F2793" t="inlineStr">
        <is>
          <t>28-Apr-2026</t>
        </is>
      </c>
      <c r="G2793" t="inlineStr">
        <is>
          <t>Tuesday</t>
        </is>
      </c>
      <c r="H2793" t="inlineStr">
        <is>
          <t>Monthly - Tuesday</t>
        </is>
      </c>
      <c r="I2793" t="inlineStr">
        <is>
          <t>Monthly - Tuesday</t>
        </is>
      </c>
      <c r="J2793" t="inlineStr">
        <is>
          <t>Same Month Expiry</t>
        </is>
      </c>
      <c r="K2793" s="25" t="n">
        <v>5077769</v>
      </c>
      <c r="L2793" s="26" t="n">
        <v>8052.286</v>
      </c>
      <c r="M2793" s="26" t="n">
        <v>43.986</v>
      </c>
    </row>
    <row r="2794" ht="16" customHeight="1">
      <c r="A2794" t="inlineStr">
        <is>
          <t>20-Apr-2026</t>
        </is>
      </c>
      <c r="B2794" t="inlineStr">
        <is>
          <t>Monday</t>
        </is>
      </c>
      <c r="C2794" t="inlineStr">
        <is>
          <t>Week3-Apr-2026</t>
        </is>
      </c>
      <c r="D2794" s="78" t="n">
        <v>46113</v>
      </c>
      <c r="E2794" t="inlineStr">
        <is>
          <t>Q1FY27</t>
        </is>
      </c>
      <c r="F2794" t="inlineStr">
        <is>
          <t>05-May-2026</t>
        </is>
      </c>
      <c r="G2794" t="inlineStr">
        <is>
          <t>Tuesday</t>
        </is>
      </c>
      <c r="H2794" t="inlineStr">
        <is>
          <t>Weekly - Tuesday</t>
        </is>
      </c>
      <c r="I2794" t="inlineStr">
        <is>
          <t>Weekly - Tuesday</t>
        </is>
      </c>
      <c r="J2794" t="inlineStr">
        <is>
          <t>Month+1 Expiry</t>
        </is>
      </c>
      <c r="K2794" s="25" t="n">
        <v>342956</v>
      </c>
      <c r="L2794" s="26" t="n">
        <v>551.9008</v>
      </c>
      <c r="M2794" s="26" t="n">
        <v>3.1547</v>
      </c>
    </row>
    <row r="2795" ht="16" customHeight="1">
      <c r="A2795" t="inlineStr">
        <is>
          <t>20-Apr-2026</t>
        </is>
      </c>
      <c r="B2795" t="inlineStr">
        <is>
          <t>Monday</t>
        </is>
      </c>
      <c r="C2795" t="inlineStr">
        <is>
          <t>Week3-Apr-2026</t>
        </is>
      </c>
      <c r="D2795" s="78" t="n">
        <v>46113</v>
      </c>
      <c r="E2795" t="inlineStr">
        <is>
          <t>Q1FY27</t>
        </is>
      </c>
      <c r="F2795" t="inlineStr">
        <is>
          <t>12-May-2026</t>
        </is>
      </c>
      <c r="G2795" t="inlineStr">
        <is>
          <t>Tuesday</t>
        </is>
      </c>
      <c r="H2795" t="inlineStr">
        <is>
          <t>Weekly - Tuesday</t>
        </is>
      </c>
      <c r="I2795" t="inlineStr">
        <is>
          <t>Weekly - Tuesday</t>
        </is>
      </c>
      <c r="J2795" t="inlineStr">
        <is>
          <t>Month+1 Expiry</t>
        </is>
      </c>
      <c r="K2795" s="25" t="n">
        <v>37734</v>
      </c>
      <c r="L2795" s="26" t="n">
        <v>60.9736</v>
      </c>
      <c r="M2795" s="26" t="n">
        <v>0.592</v>
      </c>
    </row>
    <row r="2796" ht="16" customHeight="1">
      <c r="A2796" t="inlineStr">
        <is>
          <t>20-Apr-2026</t>
        </is>
      </c>
      <c r="B2796" t="inlineStr">
        <is>
          <t>Monday</t>
        </is>
      </c>
      <c r="C2796" t="inlineStr">
        <is>
          <t>Week3-Apr-2026</t>
        </is>
      </c>
      <c r="D2796" s="78" t="n">
        <v>46113</v>
      </c>
      <c r="E2796" t="inlineStr">
        <is>
          <t>Q1FY27</t>
        </is>
      </c>
      <c r="F2796" t="inlineStr">
        <is>
          <t>19-May-2026</t>
        </is>
      </c>
      <c r="G2796" t="inlineStr">
        <is>
          <t>Tuesday</t>
        </is>
      </c>
      <c r="H2796" t="inlineStr">
        <is>
          <t>Weekly - Tuesday</t>
        </is>
      </c>
      <c r="I2796" t="inlineStr">
        <is>
          <t>Weekly - Tuesday</t>
        </is>
      </c>
      <c r="J2796" t="inlineStr">
        <is>
          <t>Month+1 Expiry</t>
        </is>
      </c>
      <c r="K2796" s="25" t="n">
        <v>5648</v>
      </c>
      <c r="L2796" s="26" t="n">
        <v>9.1435</v>
      </c>
      <c r="M2796" s="26" t="n">
        <v>0.1069</v>
      </c>
    </row>
    <row r="2797" ht="16" customHeight="1">
      <c r="A2797" t="inlineStr">
        <is>
          <t>20-Apr-2026</t>
        </is>
      </c>
      <c r="B2797" t="inlineStr">
        <is>
          <t>Monday</t>
        </is>
      </c>
      <c r="C2797" t="inlineStr">
        <is>
          <t>Week3-Apr-2026</t>
        </is>
      </c>
      <c r="D2797" s="78" t="n">
        <v>46113</v>
      </c>
      <c r="E2797" t="inlineStr">
        <is>
          <t>Q1FY27</t>
        </is>
      </c>
      <c r="F2797" t="inlineStr">
        <is>
          <t>26-May-2026</t>
        </is>
      </c>
      <c r="G2797" t="inlineStr">
        <is>
          <t>Tuesday</t>
        </is>
      </c>
      <c r="H2797" t="inlineStr">
        <is>
          <t>Monthly - Tuesday</t>
        </is>
      </c>
      <c r="I2797" t="inlineStr">
        <is>
          <t>Monthly - Tuesday</t>
        </is>
      </c>
      <c r="J2797" t="inlineStr">
        <is>
          <t>Month+1 Expiry</t>
        </is>
      </c>
      <c r="K2797" s="25" t="n">
        <v>441610</v>
      </c>
      <c r="L2797" s="26" t="n">
        <v>702.4204</v>
      </c>
      <c r="M2797" s="26" t="n">
        <v>7.7035</v>
      </c>
    </row>
    <row r="2798" ht="16" customHeight="1">
      <c r="A2798" t="inlineStr">
        <is>
          <t>20-Apr-2026</t>
        </is>
      </c>
      <c r="B2798" t="inlineStr">
        <is>
          <t>Monday</t>
        </is>
      </c>
      <c r="C2798" t="inlineStr">
        <is>
          <t>Week3-Apr-2026</t>
        </is>
      </c>
      <c r="D2798" s="78" t="n">
        <v>46113</v>
      </c>
      <c r="E2798" t="inlineStr">
        <is>
          <t>Q1FY27</t>
        </is>
      </c>
      <c r="F2798" t="inlineStr">
        <is>
          <t>30-Jun-2026</t>
        </is>
      </c>
      <c r="G2798" t="inlineStr">
        <is>
          <t>Tuesday</t>
        </is>
      </c>
      <c r="H2798" t="inlineStr">
        <is>
          <t>Monthly - Tuesday</t>
        </is>
      </c>
      <c r="I2798" t="inlineStr">
        <is>
          <t>Monthly - Tuesday</t>
        </is>
      </c>
      <c r="J2798" t="inlineStr">
        <is>
          <t>Month+2 Expiry</t>
        </is>
      </c>
      <c r="K2798" s="25" t="n">
        <v>149894</v>
      </c>
      <c r="L2798" s="26" t="n">
        <v>233.8025</v>
      </c>
      <c r="M2798" s="26" t="n">
        <v>3.2446</v>
      </c>
    </row>
    <row r="2799" ht="16" customHeight="1">
      <c r="A2799" t="inlineStr">
        <is>
          <t>20-Apr-2026</t>
        </is>
      </c>
      <c r="B2799" t="inlineStr">
        <is>
          <t>Monday</t>
        </is>
      </c>
      <c r="C2799" t="inlineStr">
        <is>
          <t>Week3-Apr-2026</t>
        </is>
      </c>
      <c r="D2799" s="78" t="n">
        <v>46113</v>
      </c>
      <c r="E2799" t="inlineStr">
        <is>
          <t>Q1FY27</t>
        </is>
      </c>
      <c r="F2799" t="inlineStr">
        <is>
          <t>29-Sep-2026</t>
        </is>
      </c>
      <c r="G2799" t="inlineStr">
        <is>
          <t>Tuesday</t>
        </is>
      </c>
      <c r="H2799" t="inlineStr">
        <is>
          <t>Monthly - Tuesday</t>
        </is>
      </c>
      <c r="I2799" t="inlineStr">
        <is>
          <t>Monthly - Tuesday</t>
        </is>
      </c>
      <c r="J2799" t="inlineStr">
        <is>
          <t>Month+5 Expiry</t>
        </is>
      </c>
      <c r="K2799" s="25" t="n">
        <v>23377</v>
      </c>
      <c r="L2799" s="26" t="n">
        <v>37.7845</v>
      </c>
      <c r="M2799" s="26" t="n">
        <v>0.6139</v>
      </c>
    </row>
    <row r="2800" ht="16" customHeight="1">
      <c r="A2800" t="inlineStr">
        <is>
          <t>20-Apr-2026</t>
        </is>
      </c>
      <c r="B2800" t="inlineStr">
        <is>
          <t>Monday</t>
        </is>
      </c>
      <c r="C2800" t="inlineStr">
        <is>
          <t>Week3-Apr-2026</t>
        </is>
      </c>
      <c r="D2800" s="78" t="n">
        <v>46113</v>
      </c>
      <c r="E2800" t="inlineStr">
        <is>
          <t>Q1FY27</t>
        </is>
      </c>
      <c r="F2800" t="inlineStr">
        <is>
          <t>29-Dec-2026</t>
        </is>
      </c>
      <c r="G2800" t="inlineStr">
        <is>
          <t>Tuesday</t>
        </is>
      </c>
      <c r="H2800" t="inlineStr">
        <is>
          <t>Monthly - Tuesday</t>
        </is>
      </c>
      <c r="I2800" t="inlineStr">
        <is>
          <t>Monthly - Tuesday</t>
        </is>
      </c>
      <c r="J2800" t="inlineStr">
        <is>
          <t>Month+8 Expiry</t>
        </is>
      </c>
      <c r="K2800" s="25" t="n">
        <v>45023</v>
      </c>
      <c r="L2800" s="26" t="n">
        <v>75.2603</v>
      </c>
      <c r="M2800" s="26" t="n">
        <v>2.0192</v>
      </c>
    </row>
    <row r="2801" ht="16" customHeight="1">
      <c r="A2801" t="inlineStr">
        <is>
          <t>20-Apr-2026</t>
        </is>
      </c>
      <c r="B2801" t="inlineStr">
        <is>
          <t>Monday</t>
        </is>
      </c>
      <c r="C2801" t="inlineStr">
        <is>
          <t>Week3-Apr-2026</t>
        </is>
      </c>
      <c r="D2801" s="78" t="n">
        <v>46113</v>
      </c>
      <c r="E2801" t="inlineStr">
        <is>
          <t>Q1FY27</t>
        </is>
      </c>
      <c r="F2801" t="inlineStr">
        <is>
          <t>30-Mar-2027</t>
        </is>
      </c>
      <c r="G2801" t="inlineStr">
        <is>
          <t>Tuesday</t>
        </is>
      </c>
      <c r="H2801" t="inlineStr">
        <is>
          <t>Monthly - Tuesday</t>
        </is>
      </c>
      <c r="I2801" t="inlineStr">
        <is>
          <t>Monthly - Tuesday</t>
        </is>
      </c>
      <c r="J2801" t="inlineStr">
        <is>
          <t>Month+11 Expiry</t>
        </is>
      </c>
      <c r="K2801" s="25" t="n">
        <v>0</v>
      </c>
      <c r="L2801" s="26" t="n">
        <v>0</v>
      </c>
      <c r="M2801" s="26" t="n">
        <v>0</v>
      </c>
    </row>
    <row r="2802" ht="16" customHeight="1">
      <c r="A2802" t="inlineStr">
        <is>
          <t>20-Apr-2026</t>
        </is>
      </c>
      <c r="B2802" t="inlineStr">
        <is>
          <t>Monday</t>
        </is>
      </c>
      <c r="C2802" t="inlineStr">
        <is>
          <t>Week3-Apr-2026</t>
        </is>
      </c>
      <c r="D2802" s="78" t="n">
        <v>46113</v>
      </c>
      <c r="E2802" t="inlineStr">
        <is>
          <t>Q1FY27</t>
        </is>
      </c>
      <c r="F2802" t="inlineStr">
        <is>
          <t>29-Jun-2027</t>
        </is>
      </c>
      <c r="G2802" t="inlineStr">
        <is>
          <t>Tuesday</t>
        </is>
      </c>
      <c r="H2802" t="inlineStr">
        <is>
          <t>Monthly - Tuesday</t>
        </is>
      </c>
      <c r="I2802" t="inlineStr">
        <is>
          <t>Monthly - Tuesday</t>
        </is>
      </c>
      <c r="J2802" t="inlineStr">
        <is>
          <t>Month+14 Expiry</t>
        </is>
      </c>
      <c r="K2802" s="25" t="n">
        <v>0</v>
      </c>
      <c r="L2802" s="26" t="n">
        <v>0</v>
      </c>
      <c r="M2802" s="26" t="n">
        <v>0</v>
      </c>
    </row>
    <row r="2803" ht="16" customHeight="1">
      <c r="A2803" t="inlineStr">
        <is>
          <t>20-Apr-2026</t>
        </is>
      </c>
      <c r="B2803" t="inlineStr">
        <is>
          <t>Monday</t>
        </is>
      </c>
      <c r="C2803" t="inlineStr">
        <is>
          <t>Week3-Apr-2026</t>
        </is>
      </c>
      <c r="D2803" s="78" t="n">
        <v>46113</v>
      </c>
      <c r="E2803" t="inlineStr">
        <is>
          <t>Q1FY27</t>
        </is>
      </c>
      <c r="F2803" t="inlineStr">
        <is>
          <t>28-Dec-2027</t>
        </is>
      </c>
      <c r="G2803" t="inlineStr">
        <is>
          <t>Tuesday</t>
        </is>
      </c>
      <c r="H2803" t="inlineStr">
        <is>
          <t>Monthly - Tuesday</t>
        </is>
      </c>
      <c r="I2803" t="inlineStr">
        <is>
          <t>Monthly - Tuesday</t>
        </is>
      </c>
      <c r="J2803" t="inlineStr">
        <is>
          <t>Month+20 Expiry</t>
        </is>
      </c>
      <c r="K2803" s="25" t="n">
        <v>195</v>
      </c>
      <c r="L2803" s="26" t="n">
        <v>0.3483</v>
      </c>
      <c r="M2803" s="26" t="n">
        <v>0.0255</v>
      </c>
    </row>
    <row r="2804" ht="16" customHeight="1">
      <c r="A2804" t="inlineStr">
        <is>
          <t>20-Apr-2026</t>
        </is>
      </c>
      <c r="B2804" t="inlineStr">
        <is>
          <t>Monday</t>
        </is>
      </c>
      <c r="C2804" t="inlineStr">
        <is>
          <t>Week3-Apr-2026</t>
        </is>
      </c>
      <c r="D2804" s="78" t="n">
        <v>46113</v>
      </c>
      <c r="E2804" t="inlineStr">
        <is>
          <t>Q1FY27</t>
        </is>
      </c>
      <c r="F2804" t="inlineStr">
        <is>
          <t>27-Jun-2028</t>
        </is>
      </c>
      <c r="G2804" t="inlineStr">
        <is>
          <t>Tuesday</t>
        </is>
      </c>
      <c r="H2804" t="inlineStr">
        <is>
          <t>Monthly - Tuesday</t>
        </is>
      </c>
      <c r="I2804" t="inlineStr">
        <is>
          <t>Monthly - Tuesday</t>
        </is>
      </c>
      <c r="J2804" t="inlineStr">
        <is>
          <t>Month+26 Expiry</t>
        </is>
      </c>
      <c r="K2804" s="25" t="n">
        <v>1</v>
      </c>
      <c r="L2804" s="26" t="n">
        <v>0.0015</v>
      </c>
      <c r="M2804" s="26" t="n">
        <v>0.0001</v>
      </c>
    </row>
    <row r="2805" ht="16" customHeight="1">
      <c r="A2805" t="inlineStr">
        <is>
          <t>20-Apr-2026</t>
        </is>
      </c>
      <c r="B2805" t="inlineStr">
        <is>
          <t>Monday</t>
        </is>
      </c>
      <c r="C2805" t="inlineStr">
        <is>
          <t>Week3-Apr-2026</t>
        </is>
      </c>
      <c r="D2805" s="78" t="n">
        <v>46113</v>
      </c>
      <c r="E2805" t="inlineStr">
        <is>
          <t>Q1FY27</t>
        </is>
      </c>
      <c r="F2805" t="inlineStr">
        <is>
          <t>26-Dec-2028</t>
        </is>
      </c>
      <c r="G2805" t="inlineStr">
        <is>
          <t>Tuesday</t>
        </is>
      </c>
      <c r="H2805" t="inlineStr">
        <is>
          <t>Monthly - Tuesday</t>
        </is>
      </c>
      <c r="I2805" t="inlineStr">
        <is>
          <t>Monthly - Tuesday</t>
        </is>
      </c>
      <c r="J2805" t="inlineStr">
        <is>
          <t>Month+32 Expiry</t>
        </is>
      </c>
      <c r="K2805" s="25" t="n">
        <v>34</v>
      </c>
      <c r="L2805" s="26" t="n">
        <v>0.061</v>
      </c>
      <c r="M2805" s="26" t="n">
        <v>0.0038</v>
      </c>
    </row>
    <row r="2806" ht="16" customHeight="1">
      <c r="A2806" t="inlineStr">
        <is>
          <t>20-Apr-2026</t>
        </is>
      </c>
      <c r="B2806" t="inlineStr">
        <is>
          <t>Monday</t>
        </is>
      </c>
      <c r="C2806" t="inlineStr">
        <is>
          <t>Week3-Apr-2026</t>
        </is>
      </c>
      <c r="D2806" s="78" t="n">
        <v>46113</v>
      </c>
      <c r="E2806" t="inlineStr">
        <is>
          <t>Q1FY27</t>
        </is>
      </c>
      <c r="F2806" t="inlineStr">
        <is>
          <t>26-Jun-2029</t>
        </is>
      </c>
      <c r="G2806" t="inlineStr">
        <is>
          <t>Tuesday</t>
        </is>
      </c>
      <c r="H2806" t="inlineStr">
        <is>
          <t>Monthly - Tuesday</t>
        </is>
      </c>
      <c r="I2806" t="inlineStr">
        <is>
          <t>Monthly - Tuesday</t>
        </is>
      </c>
      <c r="J2806" t="inlineStr">
        <is>
          <t>Month+38 Expiry</t>
        </is>
      </c>
      <c r="K2806" s="25" t="n">
        <v>0</v>
      </c>
      <c r="L2806" s="26" t="n">
        <v>0</v>
      </c>
      <c r="M2806" s="26" t="n">
        <v>0</v>
      </c>
    </row>
    <row r="2807" ht="16" customHeight="1">
      <c r="A2807" t="inlineStr">
        <is>
          <t>20-Apr-2026</t>
        </is>
      </c>
      <c r="B2807" t="inlineStr">
        <is>
          <t>Monday</t>
        </is>
      </c>
      <c r="C2807" t="inlineStr">
        <is>
          <t>Week3-Apr-2026</t>
        </is>
      </c>
      <c r="D2807" s="78" t="n">
        <v>46113</v>
      </c>
      <c r="E2807" t="inlineStr">
        <is>
          <t>Q1FY27</t>
        </is>
      </c>
      <c r="F2807" t="inlineStr">
        <is>
          <t>24-Dec-2029</t>
        </is>
      </c>
      <c r="G2807" t="inlineStr">
        <is>
          <t>Monday</t>
        </is>
      </c>
      <c r="H2807" t="inlineStr">
        <is>
          <t>Weekly - Monday</t>
        </is>
      </c>
      <c r="I2807" t="inlineStr">
        <is>
          <t>Weekly - Monday</t>
        </is>
      </c>
      <c r="J2807" t="inlineStr">
        <is>
          <t>Month+44 Expiry</t>
        </is>
      </c>
      <c r="K2807" s="25" t="n">
        <v>1</v>
      </c>
      <c r="L2807" s="26" t="n">
        <v>0.0022</v>
      </c>
      <c r="M2807" s="26" t="n">
        <v>0.0002</v>
      </c>
    </row>
    <row r="2808" ht="16" customHeight="1">
      <c r="A2808" t="inlineStr">
        <is>
          <t>20-Apr-2026</t>
        </is>
      </c>
      <c r="B2808" t="inlineStr">
        <is>
          <t>Monday</t>
        </is>
      </c>
      <c r="C2808" t="inlineStr">
        <is>
          <t>Week3-Apr-2026</t>
        </is>
      </c>
      <c r="D2808" s="78" t="n">
        <v>46113</v>
      </c>
      <c r="E2808" t="inlineStr">
        <is>
          <t>Q1FY27</t>
        </is>
      </c>
      <c r="F2808" t="inlineStr">
        <is>
          <t>25-Jun-2030</t>
        </is>
      </c>
      <c r="G2808" t="inlineStr">
        <is>
          <t>Tuesday</t>
        </is>
      </c>
      <c r="H2808" t="inlineStr">
        <is>
          <t>Monthly - Tuesday</t>
        </is>
      </c>
      <c r="I2808" t="inlineStr">
        <is>
          <t>Monthly - Tuesday</t>
        </is>
      </c>
      <c r="J2808" t="inlineStr">
        <is>
          <t>Month+50 Expiry</t>
        </is>
      </c>
      <c r="K2808" s="25" t="n">
        <v>0</v>
      </c>
      <c r="L2808" s="26" t="n">
        <v>0</v>
      </c>
      <c r="M2808" s="26" t="n">
        <v>0</v>
      </c>
    </row>
    <row r="2809" ht="16" customHeight="1">
      <c r="A2809" t="inlineStr">
        <is>
          <t>20-Apr-2026</t>
        </is>
      </c>
      <c r="B2809" t="inlineStr">
        <is>
          <t>Monday</t>
        </is>
      </c>
      <c r="C2809" t="inlineStr">
        <is>
          <t>Week3-Apr-2026</t>
        </is>
      </c>
      <c r="D2809" s="78" t="n">
        <v>46113</v>
      </c>
      <c r="E2809" t="inlineStr">
        <is>
          <t>Q1FY27</t>
        </is>
      </c>
      <c r="F2809" t="inlineStr">
        <is>
          <t>31-Dec-2030</t>
        </is>
      </c>
      <c r="G2809" t="inlineStr">
        <is>
          <t>Tuesday</t>
        </is>
      </c>
      <c r="H2809" t="inlineStr">
        <is>
          <t>Monthly - Tuesday</t>
        </is>
      </c>
      <c r="I2809" t="inlineStr">
        <is>
          <t>Monthly - Tuesday</t>
        </is>
      </c>
      <c r="J2809" t="inlineStr">
        <is>
          <t>Month+56 Expiry</t>
        </is>
      </c>
      <c r="K2809" s="25" t="n">
        <v>0</v>
      </c>
      <c r="L2809" s="26" t="n">
        <v>0</v>
      </c>
      <c r="M2809" s="26" t="n">
        <v>0</v>
      </c>
    </row>
    <row r="2810" ht="16" customHeight="1">
      <c r="A2810" t="inlineStr">
        <is>
          <t>21-Apr-2026</t>
        </is>
      </c>
      <c r="B2810" t="inlineStr">
        <is>
          <t>Tuesday</t>
        </is>
      </c>
      <c r="C2810" t="inlineStr">
        <is>
          <t>Week3-Apr-2026</t>
        </is>
      </c>
      <c r="D2810" s="78" t="n">
        <v>46113</v>
      </c>
      <c r="E2810" t="inlineStr">
        <is>
          <t>Q1FY27</t>
        </is>
      </c>
      <c r="F2810" t="inlineStr">
        <is>
          <t>21-Apr-2026</t>
        </is>
      </c>
      <c r="G2810" t="inlineStr">
        <is>
          <t>Tuesday</t>
        </is>
      </c>
      <c r="H2810" t="inlineStr">
        <is>
          <t>Weekly - Tuesday</t>
        </is>
      </c>
      <c r="I2810" t="inlineStr">
        <is>
          <t>Weekly - Tuesday</t>
        </is>
      </c>
      <c r="J2810" t="inlineStr">
        <is>
          <t>Same Month Expiry</t>
        </is>
      </c>
      <c r="K2810" s="25" t="n">
        <v>334050087</v>
      </c>
      <c r="L2810" s="26" t="n">
        <v>532346.4924</v>
      </c>
      <c r="M2810" s="26" t="n">
        <v>537.2401</v>
      </c>
    </row>
    <row r="2811" ht="16" customHeight="1">
      <c r="A2811" t="inlineStr">
        <is>
          <t>21-Apr-2026</t>
        </is>
      </c>
      <c r="B2811" t="inlineStr">
        <is>
          <t>Tuesday</t>
        </is>
      </c>
      <c r="C2811" t="inlineStr">
        <is>
          <t>Week3-Apr-2026</t>
        </is>
      </c>
      <c r="D2811" s="78" t="n">
        <v>46113</v>
      </c>
      <c r="E2811" t="inlineStr">
        <is>
          <t>Q1FY27</t>
        </is>
      </c>
      <c r="F2811" t="inlineStr">
        <is>
          <t>28-Apr-2026</t>
        </is>
      </c>
      <c r="G2811" t="inlineStr">
        <is>
          <t>Tuesday</t>
        </is>
      </c>
      <c r="H2811" t="inlineStr">
        <is>
          <t>Monthly - Tuesday</t>
        </is>
      </c>
      <c r="I2811" t="inlineStr">
        <is>
          <t>Monthly - Tuesday</t>
        </is>
      </c>
      <c r="J2811" t="inlineStr">
        <is>
          <t>Same Month Expiry</t>
        </is>
      </c>
      <c r="K2811" s="25" t="n">
        <v>8044065</v>
      </c>
      <c r="L2811" s="26" t="n">
        <v>12769.0083</v>
      </c>
      <c r="M2811" s="26" t="n">
        <v>60.8224</v>
      </c>
    </row>
    <row r="2812" ht="16" customHeight="1">
      <c r="A2812" t="inlineStr">
        <is>
          <t>21-Apr-2026</t>
        </is>
      </c>
      <c r="B2812" t="inlineStr">
        <is>
          <t>Tuesday</t>
        </is>
      </c>
      <c r="C2812" t="inlineStr">
        <is>
          <t>Week3-Apr-2026</t>
        </is>
      </c>
      <c r="D2812" s="78" t="n">
        <v>46113</v>
      </c>
      <c r="E2812" t="inlineStr">
        <is>
          <t>Q1FY27</t>
        </is>
      </c>
      <c r="F2812" t="inlineStr">
        <is>
          <t>05-May-2026</t>
        </is>
      </c>
      <c r="G2812" t="inlineStr">
        <is>
          <t>Tuesday</t>
        </is>
      </c>
      <c r="H2812" t="inlineStr">
        <is>
          <t>Weekly - Tuesday</t>
        </is>
      </c>
      <c r="I2812" t="inlineStr">
        <is>
          <t>Weekly - Tuesday</t>
        </is>
      </c>
      <c r="J2812" t="inlineStr">
        <is>
          <t>Month+1 Expiry</t>
        </is>
      </c>
      <c r="K2812" s="25" t="n">
        <v>477278</v>
      </c>
      <c r="L2812" s="26" t="n">
        <v>763.6321</v>
      </c>
      <c r="M2812" s="26" t="n">
        <v>4.0421</v>
      </c>
    </row>
    <row r="2813" ht="16" customHeight="1">
      <c r="A2813" t="inlineStr">
        <is>
          <t>21-Apr-2026</t>
        </is>
      </c>
      <c r="B2813" t="inlineStr">
        <is>
          <t>Tuesday</t>
        </is>
      </c>
      <c r="C2813" t="inlineStr">
        <is>
          <t>Week3-Apr-2026</t>
        </is>
      </c>
      <c r="D2813" s="78" t="n">
        <v>46113</v>
      </c>
      <c r="E2813" t="inlineStr">
        <is>
          <t>Q1FY27</t>
        </is>
      </c>
      <c r="F2813" t="inlineStr">
        <is>
          <t>12-May-2026</t>
        </is>
      </c>
      <c r="G2813" t="inlineStr">
        <is>
          <t>Tuesday</t>
        </is>
      </c>
      <c r="H2813" t="inlineStr">
        <is>
          <t>Weekly - Tuesday</t>
        </is>
      </c>
      <c r="I2813" t="inlineStr">
        <is>
          <t>Weekly - Tuesday</t>
        </is>
      </c>
      <c r="J2813" t="inlineStr">
        <is>
          <t>Month+1 Expiry</t>
        </is>
      </c>
      <c r="K2813" s="25" t="n">
        <v>52870</v>
      </c>
      <c r="L2813" s="26" t="n">
        <v>85.1902</v>
      </c>
      <c r="M2813" s="26" t="n">
        <v>0.6717</v>
      </c>
    </row>
    <row r="2814" ht="16" customHeight="1">
      <c r="A2814" t="inlineStr">
        <is>
          <t>21-Apr-2026</t>
        </is>
      </c>
      <c r="B2814" t="inlineStr">
        <is>
          <t>Tuesday</t>
        </is>
      </c>
      <c r="C2814" t="inlineStr">
        <is>
          <t>Week3-Apr-2026</t>
        </is>
      </c>
      <c r="D2814" s="78" t="n">
        <v>46113</v>
      </c>
      <c r="E2814" t="inlineStr">
        <is>
          <t>Q1FY27</t>
        </is>
      </c>
      <c r="F2814" t="inlineStr">
        <is>
          <t>19-May-2026</t>
        </is>
      </c>
      <c r="G2814" t="inlineStr">
        <is>
          <t>Tuesday</t>
        </is>
      </c>
      <c r="H2814" t="inlineStr">
        <is>
          <t>Weekly - Tuesday</t>
        </is>
      </c>
      <c r="I2814" t="inlineStr">
        <is>
          <t>Weekly - Tuesday</t>
        </is>
      </c>
      <c r="J2814" t="inlineStr">
        <is>
          <t>Month+1 Expiry</t>
        </is>
      </c>
      <c r="K2814" s="25" t="n">
        <v>5435</v>
      </c>
      <c r="L2814" s="26" t="n">
        <v>8.8703</v>
      </c>
      <c r="M2814" s="26" t="n">
        <v>0.0911</v>
      </c>
    </row>
    <row r="2815" ht="16" customHeight="1">
      <c r="A2815" t="inlineStr">
        <is>
          <t>21-Apr-2026</t>
        </is>
      </c>
      <c r="B2815" t="inlineStr">
        <is>
          <t>Tuesday</t>
        </is>
      </c>
      <c r="C2815" t="inlineStr">
        <is>
          <t>Week3-Apr-2026</t>
        </is>
      </c>
      <c r="D2815" s="78" t="n">
        <v>46113</v>
      </c>
      <c r="E2815" t="inlineStr">
        <is>
          <t>Q1FY27</t>
        </is>
      </c>
      <c r="F2815" t="inlineStr">
        <is>
          <t>26-May-2026</t>
        </is>
      </c>
      <c r="G2815" t="inlineStr">
        <is>
          <t>Tuesday</t>
        </is>
      </c>
      <c r="H2815" t="inlineStr">
        <is>
          <t>Monthly - Tuesday</t>
        </is>
      </c>
      <c r="I2815" t="inlineStr">
        <is>
          <t>Monthly - Tuesday</t>
        </is>
      </c>
      <c r="J2815" t="inlineStr">
        <is>
          <t>Month+1 Expiry</t>
        </is>
      </c>
      <c r="K2815" s="25" t="n">
        <v>362363</v>
      </c>
      <c r="L2815" s="26" t="n">
        <v>579.1683</v>
      </c>
      <c r="M2815" s="26" t="n">
        <v>7.0829</v>
      </c>
    </row>
    <row r="2816" ht="16" customHeight="1">
      <c r="A2816" t="inlineStr">
        <is>
          <t>21-Apr-2026</t>
        </is>
      </c>
      <c r="B2816" t="inlineStr">
        <is>
          <t>Tuesday</t>
        </is>
      </c>
      <c r="C2816" t="inlineStr">
        <is>
          <t>Week3-Apr-2026</t>
        </is>
      </c>
      <c r="D2816" s="78" t="n">
        <v>46113</v>
      </c>
      <c r="E2816" t="inlineStr">
        <is>
          <t>Q1FY27</t>
        </is>
      </c>
      <c r="F2816" t="inlineStr">
        <is>
          <t>30-Jun-2026</t>
        </is>
      </c>
      <c r="G2816" t="inlineStr">
        <is>
          <t>Tuesday</t>
        </is>
      </c>
      <c r="H2816" t="inlineStr">
        <is>
          <t>Monthly - Tuesday</t>
        </is>
      </c>
      <c r="I2816" t="inlineStr">
        <is>
          <t>Monthly - Tuesday</t>
        </is>
      </c>
      <c r="J2816" t="inlineStr">
        <is>
          <t>Month+2 Expiry</t>
        </is>
      </c>
      <c r="K2816" s="25" t="n">
        <v>148718</v>
      </c>
      <c r="L2816" s="26" t="n">
        <v>230.7874</v>
      </c>
      <c r="M2816" s="26" t="n">
        <v>3.0537</v>
      </c>
    </row>
    <row r="2817" ht="16" customHeight="1">
      <c r="A2817" t="inlineStr">
        <is>
          <t>21-Apr-2026</t>
        </is>
      </c>
      <c r="B2817" t="inlineStr">
        <is>
          <t>Tuesday</t>
        </is>
      </c>
      <c r="C2817" t="inlineStr">
        <is>
          <t>Week3-Apr-2026</t>
        </is>
      </c>
      <c r="D2817" s="78" t="n">
        <v>46113</v>
      </c>
      <c r="E2817" t="inlineStr">
        <is>
          <t>Q1FY27</t>
        </is>
      </c>
      <c r="F2817" t="inlineStr">
        <is>
          <t>29-Sep-2026</t>
        </is>
      </c>
      <c r="G2817" t="inlineStr">
        <is>
          <t>Tuesday</t>
        </is>
      </c>
      <c r="H2817" t="inlineStr">
        <is>
          <t>Monthly - Tuesday</t>
        </is>
      </c>
      <c r="I2817" t="inlineStr">
        <is>
          <t>Monthly - Tuesday</t>
        </is>
      </c>
      <c r="J2817" t="inlineStr">
        <is>
          <t>Month+5 Expiry</t>
        </is>
      </c>
      <c r="K2817" s="25" t="n">
        <v>24672</v>
      </c>
      <c r="L2817" s="26" t="n">
        <v>39.9793</v>
      </c>
      <c r="M2817" s="26" t="n">
        <v>0.7432</v>
      </c>
    </row>
    <row r="2818" ht="16" customHeight="1">
      <c r="A2818" t="inlineStr">
        <is>
          <t>21-Apr-2026</t>
        </is>
      </c>
      <c r="B2818" t="inlineStr">
        <is>
          <t>Tuesday</t>
        </is>
      </c>
      <c r="C2818" t="inlineStr">
        <is>
          <t>Week3-Apr-2026</t>
        </is>
      </c>
      <c r="D2818" s="78" t="n">
        <v>46113</v>
      </c>
      <c r="E2818" t="inlineStr">
        <is>
          <t>Q1FY27</t>
        </is>
      </c>
      <c r="F2818" t="inlineStr">
        <is>
          <t>29-Dec-2026</t>
        </is>
      </c>
      <c r="G2818" t="inlineStr">
        <is>
          <t>Tuesday</t>
        </is>
      </c>
      <c r="H2818" t="inlineStr">
        <is>
          <t>Monthly - Tuesday</t>
        </is>
      </c>
      <c r="I2818" t="inlineStr">
        <is>
          <t>Monthly - Tuesday</t>
        </is>
      </c>
      <c r="J2818" t="inlineStr">
        <is>
          <t>Month+8 Expiry</t>
        </is>
      </c>
      <c r="K2818" s="25" t="n">
        <v>38590</v>
      </c>
      <c r="L2818" s="26" t="n">
        <v>62.6331</v>
      </c>
      <c r="M2818" s="26" t="n">
        <v>1.7115</v>
      </c>
    </row>
    <row r="2819" ht="16" customHeight="1">
      <c r="A2819" t="inlineStr">
        <is>
          <t>21-Apr-2026</t>
        </is>
      </c>
      <c r="B2819" t="inlineStr">
        <is>
          <t>Tuesday</t>
        </is>
      </c>
      <c r="C2819" t="inlineStr">
        <is>
          <t>Week3-Apr-2026</t>
        </is>
      </c>
      <c r="D2819" s="78" t="n">
        <v>46113</v>
      </c>
      <c r="E2819" t="inlineStr">
        <is>
          <t>Q1FY27</t>
        </is>
      </c>
      <c r="F2819" t="inlineStr">
        <is>
          <t>30-Mar-2027</t>
        </is>
      </c>
      <c r="G2819" t="inlineStr">
        <is>
          <t>Tuesday</t>
        </is>
      </c>
      <c r="H2819" t="inlineStr">
        <is>
          <t>Monthly - Tuesday</t>
        </is>
      </c>
      <c r="I2819" t="inlineStr">
        <is>
          <t>Monthly - Tuesday</t>
        </is>
      </c>
      <c r="J2819" t="inlineStr">
        <is>
          <t>Month+11 Expiry</t>
        </is>
      </c>
      <c r="K2819" s="25" t="n">
        <v>0</v>
      </c>
      <c r="L2819" s="26" t="n">
        <v>0</v>
      </c>
      <c r="M2819" s="26" t="n">
        <v>0</v>
      </c>
    </row>
    <row r="2820" ht="16" customHeight="1">
      <c r="A2820" t="inlineStr">
        <is>
          <t>21-Apr-2026</t>
        </is>
      </c>
      <c r="B2820" t="inlineStr">
        <is>
          <t>Tuesday</t>
        </is>
      </c>
      <c r="C2820" t="inlineStr">
        <is>
          <t>Week3-Apr-2026</t>
        </is>
      </c>
      <c r="D2820" s="78" t="n">
        <v>46113</v>
      </c>
      <c r="E2820" t="inlineStr">
        <is>
          <t>Q1FY27</t>
        </is>
      </c>
      <c r="F2820" t="inlineStr">
        <is>
          <t>29-Jun-2027</t>
        </is>
      </c>
      <c r="G2820" t="inlineStr">
        <is>
          <t>Tuesday</t>
        </is>
      </c>
      <c r="H2820" t="inlineStr">
        <is>
          <t>Monthly - Tuesday</t>
        </is>
      </c>
      <c r="I2820" t="inlineStr">
        <is>
          <t>Monthly - Tuesday</t>
        </is>
      </c>
      <c r="J2820" t="inlineStr">
        <is>
          <t>Month+14 Expiry</t>
        </is>
      </c>
      <c r="K2820" s="25" t="n">
        <v>0</v>
      </c>
      <c r="L2820" s="26" t="n">
        <v>0</v>
      </c>
      <c r="M2820" s="26" t="n">
        <v>0</v>
      </c>
    </row>
    <row r="2821" ht="16" customHeight="1">
      <c r="A2821" t="inlineStr">
        <is>
          <t>21-Apr-2026</t>
        </is>
      </c>
      <c r="B2821" t="inlineStr">
        <is>
          <t>Tuesday</t>
        </is>
      </c>
      <c r="C2821" t="inlineStr">
        <is>
          <t>Week3-Apr-2026</t>
        </is>
      </c>
      <c r="D2821" s="78" t="n">
        <v>46113</v>
      </c>
      <c r="E2821" t="inlineStr">
        <is>
          <t>Q1FY27</t>
        </is>
      </c>
      <c r="F2821" t="inlineStr">
        <is>
          <t>28-Dec-2027</t>
        </is>
      </c>
      <c r="G2821" t="inlineStr">
        <is>
          <t>Tuesday</t>
        </is>
      </c>
      <c r="H2821" t="inlineStr">
        <is>
          <t>Monthly - Tuesday</t>
        </is>
      </c>
      <c r="I2821" t="inlineStr">
        <is>
          <t>Monthly - Tuesday</t>
        </is>
      </c>
      <c r="J2821" t="inlineStr">
        <is>
          <t>Month+20 Expiry</t>
        </is>
      </c>
      <c r="K2821" s="25" t="n">
        <v>322</v>
      </c>
      <c r="L2821" s="26" t="n">
        <v>0.5493</v>
      </c>
      <c r="M2821" s="26" t="n">
        <v>0.0242</v>
      </c>
    </row>
    <row r="2822" ht="16" customHeight="1">
      <c r="A2822" t="inlineStr">
        <is>
          <t>21-Apr-2026</t>
        </is>
      </c>
      <c r="B2822" t="inlineStr">
        <is>
          <t>Tuesday</t>
        </is>
      </c>
      <c r="C2822" t="inlineStr">
        <is>
          <t>Week3-Apr-2026</t>
        </is>
      </c>
      <c r="D2822" s="78" t="n">
        <v>46113</v>
      </c>
      <c r="E2822" t="inlineStr">
        <is>
          <t>Q1FY27</t>
        </is>
      </c>
      <c r="F2822" t="inlineStr">
        <is>
          <t>27-Jun-2028</t>
        </is>
      </c>
      <c r="G2822" t="inlineStr">
        <is>
          <t>Tuesday</t>
        </is>
      </c>
      <c r="H2822" t="inlineStr">
        <is>
          <t>Monthly - Tuesday</t>
        </is>
      </c>
      <c r="I2822" t="inlineStr">
        <is>
          <t>Monthly - Tuesday</t>
        </is>
      </c>
      <c r="J2822" t="inlineStr">
        <is>
          <t>Month+26 Expiry</t>
        </is>
      </c>
      <c r="K2822" s="25" t="n">
        <v>0</v>
      </c>
      <c r="L2822" s="26" t="n">
        <v>0</v>
      </c>
      <c r="M2822" s="26" t="n">
        <v>0</v>
      </c>
    </row>
    <row r="2823" ht="16" customHeight="1">
      <c r="A2823" t="inlineStr">
        <is>
          <t>21-Apr-2026</t>
        </is>
      </c>
      <c r="B2823" t="inlineStr">
        <is>
          <t>Tuesday</t>
        </is>
      </c>
      <c r="C2823" t="inlineStr">
        <is>
          <t>Week3-Apr-2026</t>
        </is>
      </c>
      <c r="D2823" s="78" t="n">
        <v>46113</v>
      </c>
      <c r="E2823" t="inlineStr">
        <is>
          <t>Q1FY27</t>
        </is>
      </c>
      <c r="F2823" t="inlineStr">
        <is>
          <t>26-Dec-2028</t>
        </is>
      </c>
      <c r="G2823" t="inlineStr">
        <is>
          <t>Tuesday</t>
        </is>
      </c>
      <c r="H2823" t="inlineStr">
        <is>
          <t>Monthly - Tuesday</t>
        </is>
      </c>
      <c r="I2823" t="inlineStr">
        <is>
          <t>Monthly - Tuesday</t>
        </is>
      </c>
      <c r="J2823" t="inlineStr">
        <is>
          <t>Month+32 Expiry</t>
        </is>
      </c>
      <c r="K2823" s="25" t="n">
        <v>4</v>
      </c>
      <c r="L2823" s="26" t="n">
        <v>0.0072</v>
      </c>
      <c r="M2823" s="26" t="n">
        <v>0.0003</v>
      </c>
    </row>
    <row r="2824" ht="16" customHeight="1">
      <c r="A2824" t="inlineStr">
        <is>
          <t>21-Apr-2026</t>
        </is>
      </c>
      <c r="B2824" t="inlineStr">
        <is>
          <t>Tuesday</t>
        </is>
      </c>
      <c r="C2824" t="inlineStr">
        <is>
          <t>Week3-Apr-2026</t>
        </is>
      </c>
      <c r="D2824" s="78" t="n">
        <v>46113</v>
      </c>
      <c r="E2824" t="inlineStr">
        <is>
          <t>Q1FY27</t>
        </is>
      </c>
      <c r="F2824" t="inlineStr">
        <is>
          <t>26-Jun-2029</t>
        </is>
      </c>
      <c r="G2824" t="inlineStr">
        <is>
          <t>Tuesday</t>
        </is>
      </c>
      <c r="H2824" t="inlineStr">
        <is>
          <t>Monthly - Tuesday</t>
        </is>
      </c>
      <c r="I2824" t="inlineStr">
        <is>
          <t>Monthly - Tuesday</t>
        </is>
      </c>
      <c r="J2824" t="inlineStr">
        <is>
          <t>Month+38 Expiry</t>
        </is>
      </c>
      <c r="K2824" s="25" t="n">
        <v>0</v>
      </c>
      <c r="L2824" s="26" t="n">
        <v>0</v>
      </c>
      <c r="M2824" s="26" t="n">
        <v>0</v>
      </c>
    </row>
    <row r="2825" ht="16" customHeight="1">
      <c r="A2825" t="inlineStr">
        <is>
          <t>21-Apr-2026</t>
        </is>
      </c>
      <c r="B2825" t="inlineStr">
        <is>
          <t>Tuesday</t>
        </is>
      </c>
      <c r="C2825" t="inlineStr">
        <is>
          <t>Week3-Apr-2026</t>
        </is>
      </c>
      <c r="D2825" s="78" t="n">
        <v>46113</v>
      </c>
      <c r="E2825" t="inlineStr">
        <is>
          <t>Q1FY27</t>
        </is>
      </c>
      <c r="F2825" t="inlineStr">
        <is>
          <t>24-Dec-2029</t>
        </is>
      </c>
      <c r="G2825" t="inlineStr">
        <is>
          <t>Monday</t>
        </is>
      </c>
      <c r="H2825" t="inlineStr">
        <is>
          <t>Weekly - Monday</t>
        </is>
      </c>
      <c r="I2825" t="inlineStr">
        <is>
          <t>Weekly - Monday</t>
        </is>
      </c>
      <c r="J2825" t="inlineStr">
        <is>
          <t>Month+44 Expiry</t>
        </is>
      </c>
      <c r="K2825" s="25" t="n">
        <v>0</v>
      </c>
      <c r="L2825" s="26" t="n">
        <v>0</v>
      </c>
      <c r="M2825" s="26" t="n">
        <v>0</v>
      </c>
    </row>
    <row r="2826" ht="16" customHeight="1">
      <c r="A2826" t="inlineStr">
        <is>
          <t>21-Apr-2026</t>
        </is>
      </c>
      <c r="B2826" t="inlineStr">
        <is>
          <t>Tuesday</t>
        </is>
      </c>
      <c r="C2826" t="inlineStr">
        <is>
          <t>Week3-Apr-2026</t>
        </is>
      </c>
      <c r="D2826" s="78" t="n">
        <v>46113</v>
      </c>
      <c r="E2826" t="inlineStr">
        <is>
          <t>Q1FY27</t>
        </is>
      </c>
      <c r="F2826" t="inlineStr">
        <is>
          <t>25-Jun-2030</t>
        </is>
      </c>
      <c r="G2826" t="inlineStr">
        <is>
          <t>Tuesday</t>
        </is>
      </c>
      <c r="H2826" t="inlineStr">
        <is>
          <t>Monthly - Tuesday</t>
        </is>
      </c>
      <c r="I2826" t="inlineStr">
        <is>
          <t>Monthly - Tuesday</t>
        </is>
      </c>
      <c r="J2826" t="inlineStr">
        <is>
          <t>Month+50 Expiry</t>
        </is>
      </c>
      <c r="K2826" s="25" t="n">
        <v>0</v>
      </c>
      <c r="L2826" s="26" t="n">
        <v>0</v>
      </c>
      <c r="M2826" s="26" t="n">
        <v>0</v>
      </c>
    </row>
    <row r="2827" ht="16" customHeight="1">
      <c r="A2827" t="inlineStr">
        <is>
          <t>21-Apr-2026</t>
        </is>
      </c>
      <c r="B2827" t="inlineStr">
        <is>
          <t>Tuesday</t>
        </is>
      </c>
      <c r="C2827" t="inlineStr">
        <is>
          <t>Week3-Apr-2026</t>
        </is>
      </c>
      <c r="D2827" s="78" t="n">
        <v>46113</v>
      </c>
      <c r="E2827" t="inlineStr">
        <is>
          <t>Q1FY27</t>
        </is>
      </c>
      <c r="F2827" t="inlineStr">
        <is>
          <t>31-Dec-2030</t>
        </is>
      </c>
      <c r="G2827" t="inlineStr">
        <is>
          <t>Tuesday</t>
        </is>
      </c>
      <c r="H2827" t="inlineStr">
        <is>
          <t>Monthly - Tuesday</t>
        </is>
      </c>
      <c r="I2827" t="inlineStr">
        <is>
          <t>Monthly - Tuesday</t>
        </is>
      </c>
      <c r="J2827" t="inlineStr">
        <is>
          <t>Month+56 Expiry</t>
        </is>
      </c>
      <c r="K2827" s="25" t="n">
        <v>0</v>
      </c>
      <c r="L2827" s="26" t="n">
        <v>0</v>
      </c>
      <c r="M2827" s="26" t="n">
        <v>0</v>
      </c>
    </row>
    <row r="2828" ht="16" customHeight="1">
      <c r="A2828" t="inlineStr">
        <is>
          <t>22-Apr-2026</t>
        </is>
      </c>
      <c r="B2828" t="inlineStr">
        <is>
          <t>Wednesday</t>
        </is>
      </c>
      <c r="C2828" t="inlineStr">
        <is>
          <t>Week4-Apr-2026</t>
        </is>
      </c>
      <c r="D2828" s="78" t="n">
        <v>46113</v>
      </c>
      <c r="E2828" t="inlineStr">
        <is>
          <t>Q1FY27</t>
        </is>
      </c>
      <c r="F2828" t="inlineStr">
        <is>
          <t>28-Apr-2026</t>
        </is>
      </c>
      <c r="G2828" t="inlineStr">
        <is>
          <t>Tuesday</t>
        </is>
      </c>
      <c r="H2828" t="inlineStr">
        <is>
          <t>Monthly - Tuesday</t>
        </is>
      </c>
      <c r="I2828" t="inlineStr">
        <is>
          <t>MDAW - Tuesday</t>
        </is>
      </c>
      <c r="J2828" t="inlineStr">
        <is>
          <t>Same Month Expiry</t>
        </is>
      </c>
      <c r="K2828" s="25" t="n">
        <v>32913411</v>
      </c>
      <c r="L2828" s="26" t="n">
        <v>52415.0027</v>
      </c>
      <c r="M2828" s="26" t="n">
        <v>278.3868</v>
      </c>
    </row>
    <row r="2829" ht="16" customHeight="1">
      <c r="A2829" t="inlineStr">
        <is>
          <t>22-Apr-2026</t>
        </is>
      </c>
      <c r="B2829" t="inlineStr">
        <is>
          <t>Wednesday</t>
        </is>
      </c>
      <c r="C2829" t="inlineStr">
        <is>
          <t>Week4-Apr-2026</t>
        </is>
      </c>
      <c r="D2829" s="78" t="n">
        <v>46113</v>
      </c>
      <c r="E2829" t="inlineStr">
        <is>
          <t>Q1FY27</t>
        </is>
      </c>
      <c r="F2829" t="inlineStr">
        <is>
          <t>05-May-2026</t>
        </is>
      </c>
      <c r="G2829" t="inlineStr">
        <is>
          <t>Tuesday</t>
        </is>
      </c>
      <c r="H2829" t="inlineStr">
        <is>
          <t>Weekly - Tuesday</t>
        </is>
      </c>
      <c r="I2829" t="inlineStr">
        <is>
          <t>Weekly - Tuesday</t>
        </is>
      </c>
      <c r="J2829" t="inlineStr">
        <is>
          <t>Month+1 Expiry</t>
        </is>
      </c>
      <c r="K2829" s="25" t="n">
        <v>975717</v>
      </c>
      <c r="L2829" s="26" t="n">
        <v>1559.8366</v>
      </c>
      <c r="M2829" s="26" t="n">
        <v>10.2758</v>
      </c>
    </row>
    <row r="2830" ht="16" customHeight="1">
      <c r="A2830" t="inlineStr">
        <is>
          <t>22-Apr-2026</t>
        </is>
      </c>
      <c r="B2830" t="inlineStr">
        <is>
          <t>Wednesday</t>
        </is>
      </c>
      <c r="C2830" t="inlineStr">
        <is>
          <t>Week4-Apr-2026</t>
        </is>
      </c>
      <c r="D2830" s="78" t="n">
        <v>46113</v>
      </c>
      <c r="E2830" t="inlineStr">
        <is>
          <t>Q1FY27</t>
        </is>
      </c>
      <c r="F2830" t="inlineStr">
        <is>
          <t>12-May-2026</t>
        </is>
      </c>
      <c r="G2830" t="inlineStr">
        <is>
          <t>Tuesday</t>
        </is>
      </c>
      <c r="H2830" t="inlineStr">
        <is>
          <t>Weekly - Tuesday</t>
        </is>
      </c>
      <c r="I2830" t="inlineStr">
        <is>
          <t>Weekly - Tuesday</t>
        </is>
      </c>
      <c r="J2830" t="inlineStr">
        <is>
          <t>Month+1 Expiry</t>
        </is>
      </c>
      <c r="K2830" s="25" t="n">
        <v>88849</v>
      </c>
      <c r="L2830" s="26" t="n">
        <v>142.9865</v>
      </c>
      <c r="M2830" s="26" t="n">
        <v>1.3846</v>
      </c>
    </row>
    <row r="2831" ht="16" customHeight="1">
      <c r="A2831" t="inlineStr">
        <is>
          <t>22-Apr-2026</t>
        </is>
      </c>
      <c r="B2831" t="inlineStr">
        <is>
          <t>Wednesday</t>
        </is>
      </c>
      <c r="C2831" t="inlineStr">
        <is>
          <t>Week4-Apr-2026</t>
        </is>
      </c>
      <c r="D2831" s="78" t="n">
        <v>46113</v>
      </c>
      <c r="E2831" t="inlineStr">
        <is>
          <t>Q1FY27</t>
        </is>
      </c>
      <c r="F2831" t="inlineStr">
        <is>
          <t>19-May-2026</t>
        </is>
      </c>
      <c r="G2831" t="inlineStr">
        <is>
          <t>Tuesday</t>
        </is>
      </c>
      <c r="H2831" t="inlineStr">
        <is>
          <t>Weekly - Tuesday</t>
        </is>
      </c>
      <c r="I2831" t="inlineStr">
        <is>
          <t>Weekly - Tuesday</t>
        </is>
      </c>
      <c r="J2831" t="inlineStr">
        <is>
          <t>Month+1 Expiry</t>
        </is>
      </c>
      <c r="K2831" s="25" t="n">
        <v>12666</v>
      </c>
      <c r="L2831" s="26" t="n">
        <v>20.5899</v>
      </c>
      <c r="M2831" s="26" t="n">
        <v>0.2671</v>
      </c>
    </row>
    <row r="2832" ht="16" customHeight="1">
      <c r="A2832" t="inlineStr">
        <is>
          <t>22-Apr-2026</t>
        </is>
      </c>
      <c r="B2832" t="inlineStr">
        <is>
          <t>Wednesday</t>
        </is>
      </c>
      <c r="C2832" t="inlineStr">
        <is>
          <t>Week4-Apr-2026</t>
        </is>
      </c>
      <c r="D2832" s="78" t="n">
        <v>46113</v>
      </c>
      <c r="E2832" t="inlineStr">
        <is>
          <t>Q1FY27</t>
        </is>
      </c>
      <c r="F2832" t="inlineStr">
        <is>
          <t>26-May-2026</t>
        </is>
      </c>
      <c r="G2832" t="inlineStr">
        <is>
          <t>Tuesday</t>
        </is>
      </c>
      <c r="H2832" t="inlineStr">
        <is>
          <t>Monthly - Tuesday</t>
        </is>
      </c>
      <c r="I2832" t="inlineStr">
        <is>
          <t>Monthly - Tuesday</t>
        </is>
      </c>
      <c r="J2832" t="inlineStr">
        <is>
          <t>Month+1 Expiry</t>
        </is>
      </c>
      <c r="K2832" s="25" t="n">
        <v>479169</v>
      </c>
      <c r="L2832" s="26" t="n">
        <v>768.4876</v>
      </c>
      <c r="M2832" s="26" t="n">
        <v>9.5717</v>
      </c>
    </row>
    <row r="2833" ht="16" customHeight="1">
      <c r="A2833" t="inlineStr">
        <is>
          <t>22-Apr-2026</t>
        </is>
      </c>
      <c r="B2833" t="inlineStr">
        <is>
          <t>Wednesday</t>
        </is>
      </c>
      <c r="C2833" t="inlineStr">
        <is>
          <t>Week4-Apr-2026</t>
        </is>
      </c>
      <c r="D2833" s="78" t="n">
        <v>46113</v>
      </c>
      <c r="E2833" t="inlineStr">
        <is>
          <t>Q1FY27</t>
        </is>
      </c>
      <c r="F2833" t="inlineStr">
        <is>
          <t>02-Jun-2026</t>
        </is>
      </c>
      <c r="G2833" t="inlineStr">
        <is>
          <t>Tuesday</t>
        </is>
      </c>
      <c r="H2833" t="inlineStr">
        <is>
          <t>Weekly - Tuesday</t>
        </is>
      </c>
      <c r="I2833" t="inlineStr">
        <is>
          <t>Weekly - Tuesday</t>
        </is>
      </c>
      <c r="J2833" t="inlineStr">
        <is>
          <t>Month+2 Expiry</t>
        </is>
      </c>
      <c r="K2833" s="25" t="n">
        <v>99</v>
      </c>
      <c r="L2833" s="26" t="n">
        <v>0.1661</v>
      </c>
      <c r="M2833" s="26" t="n">
        <v>0.0008</v>
      </c>
    </row>
    <row r="2834" ht="16" customHeight="1">
      <c r="A2834" t="inlineStr">
        <is>
          <t>22-Apr-2026</t>
        </is>
      </c>
      <c r="B2834" t="inlineStr">
        <is>
          <t>Wednesday</t>
        </is>
      </c>
      <c r="C2834" t="inlineStr">
        <is>
          <t>Week4-Apr-2026</t>
        </is>
      </c>
      <c r="D2834" s="78" t="n">
        <v>46113</v>
      </c>
      <c r="E2834" t="inlineStr">
        <is>
          <t>Q1FY27</t>
        </is>
      </c>
      <c r="F2834" t="inlineStr">
        <is>
          <t>30-Jun-2026</t>
        </is>
      </c>
      <c r="G2834" t="inlineStr">
        <is>
          <t>Tuesday</t>
        </is>
      </c>
      <c r="H2834" t="inlineStr">
        <is>
          <t>Monthly - Tuesday</t>
        </is>
      </c>
      <c r="I2834" t="inlineStr">
        <is>
          <t>Monthly - Tuesday</t>
        </is>
      </c>
      <c r="J2834" t="inlineStr">
        <is>
          <t>Month+2 Expiry</t>
        </is>
      </c>
      <c r="K2834" s="25" t="n">
        <v>147056</v>
      </c>
      <c r="L2834" s="26" t="n">
        <v>228.3852</v>
      </c>
      <c r="M2834" s="26" t="n">
        <v>3.0971</v>
      </c>
    </row>
    <row r="2835" ht="16" customHeight="1">
      <c r="A2835" t="inlineStr">
        <is>
          <t>22-Apr-2026</t>
        </is>
      </c>
      <c r="B2835" t="inlineStr">
        <is>
          <t>Wednesday</t>
        </is>
      </c>
      <c r="C2835" t="inlineStr">
        <is>
          <t>Week4-Apr-2026</t>
        </is>
      </c>
      <c r="D2835" s="78" t="n">
        <v>46113</v>
      </c>
      <c r="E2835" t="inlineStr">
        <is>
          <t>Q1FY27</t>
        </is>
      </c>
      <c r="F2835" t="inlineStr">
        <is>
          <t>29-Sep-2026</t>
        </is>
      </c>
      <c r="G2835" t="inlineStr">
        <is>
          <t>Tuesday</t>
        </is>
      </c>
      <c r="H2835" t="inlineStr">
        <is>
          <t>Monthly - Tuesday</t>
        </is>
      </c>
      <c r="I2835" t="inlineStr">
        <is>
          <t>Monthly - Tuesday</t>
        </is>
      </c>
      <c r="J2835" t="inlineStr">
        <is>
          <t>Month+5 Expiry</t>
        </is>
      </c>
      <c r="K2835" s="25" t="n">
        <v>10744</v>
      </c>
      <c r="L2835" s="26" t="n">
        <v>17.6908</v>
      </c>
      <c r="M2835" s="26" t="n">
        <v>0.2562</v>
      </c>
    </row>
    <row r="2836" ht="16" customHeight="1">
      <c r="A2836" t="inlineStr">
        <is>
          <t>22-Apr-2026</t>
        </is>
      </c>
      <c r="B2836" t="inlineStr">
        <is>
          <t>Wednesday</t>
        </is>
      </c>
      <c r="C2836" t="inlineStr">
        <is>
          <t>Week4-Apr-2026</t>
        </is>
      </c>
      <c r="D2836" s="78" t="n">
        <v>46113</v>
      </c>
      <c r="E2836" t="inlineStr">
        <is>
          <t>Q1FY27</t>
        </is>
      </c>
      <c r="F2836" t="inlineStr">
        <is>
          <t>29-Dec-2026</t>
        </is>
      </c>
      <c r="G2836" t="inlineStr">
        <is>
          <t>Tuesday</t>
        </is>
      </c>
      <c r="H2836" t="inlineStr">
        <is>
          <t>Monthly - Tuesday</t>
        </is>
      </c>
      <c r="I2836" t="inlineStr">
        <is>
          <t>Monthly - Tuesday</t>
        </is>
      </c>
      <c r="J2836" t="inlineStr">
        <is>
          <t>Month+8 Expiry</t>
        </is>
      </c>
      <c r="K2836" s="25" t="n">
        <v>20235</v>
      </c>
      <c r="L2836" s="26" t="n">
        <v>33.5679</v>
      </c>
      <c r="M2836" s="26" t="n">
        <v>0.9982</v>
      </c>
    </row>
    <row r="2837" ht="16" customHeight="1">
      <c r="A2837" t="inlineStr">
        <is>
          <t>22-Apr-2026</t>
        </is>
      </c>
      <c r="B2837" t="inlineStr">
        <is>
          <t>Wednesday</t>
        </is>
      </c>
      <c r="C2837" t="inlineStr">
        <is>
          <t>Week4-Apr-2026</t>
        </is>
      </c>
      <c r="D2837" s="78" t="n">
        <v>46113</v>
      </c>
      <c r="E2837" t="inlineStr">
        <is>
          <t>Q1FY27</t>
        </is>
      </c>
      <c r="F2837" t="inlineStr">
        <is>
          <t>30-Mar-2027</t>
        </is>
      </c>
      <c r="G2837" t="inlineStr">
        <is>
          <t>Tuesday</t>
        </is>
      </c>
      <c r="H2837" t="inlineStr">
        <is>
          <t>Monthly - Tuesday</t>
        </is>
      </c>
      <c r="I2837" t="inlineStr">
        <is>
          <t>Monthly - Tuesday</t>
        </is>
      </c>
      <c r="J2837" t="inlineStr">
        <is>
          <t>Month+11 Expiry</t>
        </is>
      </c>
      <c r="K2837" s="25" t="n">
        <v>0</v>
      </c>
      <c r="L2837" s="26" t="n">
        <v>0</v>
      </c>
      <c r="M2837" s="26" t="n">
        <v>0</v>
      </c>
    </row>
    <row r="2838" ht="16" customHeight="1">
      <c r="A2838" t="inlineStr">
        <is>
          <t>22-Apr-2026</t>
        </is>
      </c>
      <c r="B2838" t="inlineStr">
        <is>
          <t>Wednesday</t>
        </is>
      </c>
      <c r="C2838" t="inlineStr">
        <is>
          <t>Week4-Apr-2026</t>
        </is>
      </c>
      <c r="D2838" s="78" t="n">
        <v>46113</v>
      </c>
      <c r="E2838" t="inlineStr">
        <is>
          <t>Q1FY27</t>
        </is>
      </c>
      <c r="F2838" t="inlineStr">
        <is>
          <t>29-Jun-2027</t>
        </is>
      </c>
      <c r="G2838" t="inlineStr">
        <is>
          <t>Tuesday</t>
        </is>
      </c>
      <c r="H2838" t="inlineStr">
        <is>
          <t>Monthly - Tuesday</t>
        </is>
      </c>
      <c r="I2838" t="inlineStr">
        <is>
          <t>Monthly - Tuesday</t>
        </is>
      </c>
      <c r="J2838" t="inlineStr">
        <is>
          <t>Month+14 Expiry</t>
        </is>
      </c>
      <c r="K2838" s="25" t="n">
        <v>2</v>
      </c>
      <c r="L2838" s="26" t="n">
        <v>0.0028</v>
      </c>
      <c r="M2838" s="26" t="n">
        <v>0</v>
      </c>
    </row>
    <row r="2839" ht="16" customHeight="1">
      <c r="A2839" t="inlineStr">
        <is>
          <t>22-Apr-2026</t>
        </is>
      </c>
      <c r="B2839" t="inlineStr">
        <is>
          <t>Wednesday</t>
        </is>
      </c>
      <c r="C2839" t="inlineStr">
        <is>
          <t>Week4-Apr-2026</t>
        </is>
      </c>
      <c r="D2839" s="78" t="n">
        <v>46113</v>
      </c>
      <c r="E2839" t="inlineStr">
        <is>
          <t>Q1FY27</t>
        </is>
      </c>
      <c r="F2839" t="inlineStr">
        <is>
          <t>28-Dec-2027</t>
        </is>
      </c>
      <c r="G2839" t="inlineStr">
        <is>
          <t>Tuesday</t>
        </is>
      </c>
      <c r="H2839" t="inlineStr">
        <is>
          <t>Monthly - Tuesday</t>
        </is>
      </c>
      <c r="I2839" t="inlineStr">
        <is>
          <t>Monthly - Tuesday</t>
        </is>
      </c>
      <c r="J2839" t="inlineStr">
        <is>
          <t>Month+20 Expiry</t>
        </is>
      </c>
      <c r="K2839" s="25" t="n">
        <v>221</v>
      </c>
      <c r="L2839" s="26" t="n">
        <v>0.3874</v>
      </c>
      <c r="M2839" s="26" t="n">
        <v>0.0201</v>
      </c>
    </row>
    <row r="2840" ht="16" customHeight="1">
      <c r="A2840" t="inlineStr">
        <is>
          <t>22-Apr-2026</t>
        </is>
      </c>
      <c r="B2840" t="inlineStr">
        <is>
          <t>Wednesday</t>
        </is>
      </c>
      <c r="C2840" t="inlineStr">
        <is>
          <t>Week4-Apr-2026</t>
        </is>
      </c>
      <c r="D2840" s="78" t="n">
        <v>46113</v>
      </c>
      <c r="E2840" t="inlineStr">
        <is>
          <t>Q1FY27</t>
        </is>
      </c>
      <c r="F2840" t="inlineStr">
        <is>
          <t>27-Jun-2028</t>
        </is>
      </c>
      <c r="G2840" t="inlineStr">
        <is>
          <t>Tuesday</t>
        </is>
      </c>
      <c r="H2840" t="inlineStr">
        <is>
          <t>Monthly - Tuesday</t>
        </is>
      </c>
      <c r="I2840" t="inlineStr">
        <is>
          <t>Monthly - Tuesday</t>
        </is>
      </c>
      <c r="J2840" t="inlineStr">
        <is>
          <t>Month+26 Expiry</t>
        </is>
      </c>
      <c r="K2840" s="25" t="n">
        <v>0</v>
      </c>
      <c r="L2840" s="26" t="n">
        <v>0</v>
      </c>
      <c r="M2840" s="26" t="n">
        <v>0</v>
      </c>
    </row>
    <row r="2841" ht="16" customHeight="1">
      <c r="A2841" t="inlineStr">
        <is>
          <t>22-Apr-2026</t>
        </is>
      </c>
      <c r="B2841" t="inlineStr">
        <is>
          <t>Wednesday</t>
        </is>
      </c>
      <c r="C2841" t="inlineStr">
        <is>
          <t>Week4-Apr-2026</t>
        </is>
      </c>
      <c r="D2841" s="78" t="n">
        <v>46113</v>
      </c>
      <c r="E2841" t="inlineStr">
        <is>
          <t>Q1FY27</t>
        </is>
      </c>
      <c r="F2841" t="inlineStr">
        <is>
          <t>26-Dec-2028</t>
        </is>
      </c>
      <c r="G2841" t="inlineStr">
        <is>
          <t>Tuesday</t>
        </is>
      </c>
      <c r="H2841" t="inlineStr">
        <is>
          <t>Monthly - Tuesday</t>
        </is>
      </c>
      <c r="I2841" t="inlineStr">
        <is>
          <t>Monthly - Tuesday</t>
        </is>
      </c>
      <c r="J2841" t="inlineStr">
        <is>
          <t>Month+32 Expiry</t>
        </is>
      </c>
      <c r="K2841" s="25" t="n">
        <v>24</v>
      </c>
      <c r="L2841" s="26" t="n">
        <v>0.0467</v>
      </c>
      <c r="M2841" s="26" t="n">
        <v>0.0027</v>
      </c>
    </row>
    <row r="2842" ht="16" customHeight="1">
      <c r="A2842" t="inlineStr">
        <is>
          <t>22-Apr-2026</t>
        </is>
      </c>
      <c r="B2842" t="inlineStr">
        <is>
          <t>Wednesday</t>
        </is>
      </c>
      <c r="C2842" t="inlineStr">
        <is>
          <t>Week4-Apr-2026</t>
        </is>
      </c>
      <c r="D2842" s="78" t="n">
        <v>46113</v>
      </c>
      <c r="E2842" t="inlineStr">
        <is>
          <t>Q1FY27</t>
        </is>
      </c>
      <c r="F2842" t="inlineStr">
        <is>
          <t>26-Jun-2029</t>
        </is>
      </c>
      <c r="G2842" t="inlineStr">
        <is>
          <t>Tuesday</t>
        </is>
      </c>
      <c r="H2842" t="inlineStr">
        <is>
          <t>Monthly - Tuesday</t>
        </is>
      </c>
      <c r="I2842" t="inlineStr">
        <is>
          <t>Monthly - Tuesday</t>
        </is>
      </c>
      <c r="J2842" t="inlineStr">
        <is>
          <t>Month+38 Expiry</t>
        </is>
      </c>
      <c r="K2842" s="25" t="n">
        <v>0</v>
      </c>
      <c r="L2842" s="26" t="n">
        <v>0</v>
      </c>
      <c r="M2842" s="26" t="n">
        <v>0</v>
      </c>
    </row>
    <row r="2843" ht="16" customHeight="1">
      <c r="A2843" t="inlineStr">
        <is>
          <t>22-Apr-2026</t>
        </is>
      </c>
      <c r="B2843" t="inlineStr">
        <is>
          <t>Wednesday</t>
        </is>
      </c>
      <c r="C2843" t="inlineStr">
        <is>
          <t>Week4-Apr-2026</t>
        </is>
      </c>
      <c r="D2843" s="78" t="n">
        <v>46113</v>
      </c>
      <c r="E2843" t="inlineStr">
        <is>
          <t>Q1FY27</t>
        </is>
      </c>
      <c r="F2843" t="inlineStr">
        <is>
          <t>24-Dec-2029</t>
        </is>
      </c>
      <c r="G2843" t="inlineStr">
        <is>
          <t>Monday</t>
        </is>
      </c>
      <c r="H2843" t="inlineStr">
        <is>
          <t>Weekly - Monday</t>
        </is>
      </c>
      <c r="I2843" t="inlineStr">
        <is>
          <t>Weekly - Monday</t>
        </is>
      </c>
      <c r="J2843" t="inlineStr">
        <is>
          <t>Month+44 Expiry</t>
        </is>
      </c>
      <c r="K2843" s="25" t="n">
        <v>1</v>
      </c>
      <c r="L2843" s="26" t="n">
        <v>0.0022</v>
      </c>
      <c r="M2843" s="26" t="n">
        <v>0.0002</v>
      </c>
    </row>
    <row r="2844" ht="16" customHeight="1">
      <c r="A2844" t="inlineStr">
        <is>
          <t>22-Apr-2026</t>
        </is>
      </c>
      <c r="B2844" t="inlineStr">
        <is>
          <t>Wednesday</t>
        </is>
      </c>
      <c r="C2844" t="inlineStr">
        <is>
          <t>Week4-Apr-2026</t>
        </is>
      </c>
      <c r="D2844" s="78" t="n">
        <v>46113</v>
      </c>
      <c r="E2844" t="inlineStr">
        <is>
          <t>Q1FY27</t>
        </is>
      </c>
      <c r="F2844" t="inlineStr">
        <is>
          <t>25-Jun-2030</t>
        </is>
      </c>
      <c r="G2844" t="inlineStr">
        <is>
          <t>Tuesday</t>
        </is>
      </c>
      <c r="H2844" t="inlineStr">
        <is>
          <t>Monthly - Tuesday</t>
        </is>
      </c>
      <c r="I2844" t="inlineStr">
        <is>
          <t>Monthly - Tuesday</t>
        </is>
      </c>
      <c r="J2844" t="inlineStr">
        <is>
          <t>Month+50 Expiry</t>
        </is>
      </c>
      <c r="K2844" s="25" t="n">
        <v>0</v>
      </c>
      <c r="L2844" s="26" t="n">
        <v>0</v>
      </c>
      <c r="M2844" s="26" t="n">
        <v>0</v>
      </c>
    </row>
    <row r="2845" ht="16" customHeight="1">
      <c r="A2845" t="inlineStr">
        <is>
          <t>22-Apr-2026</t>
        </is>
      </c>
      <c r="B2845" t="inlineStr">
        <is>
          <t>Wednesday</t>
        </is>
      </c>
      <c r="C2845" t="inlineStr">
        <is>
          <t>Week4-Apr-2026</t>
        </is>
      </c>
      <c r="D2845" s="78" t="n">
        <v>46113</v>
      </c>
      <c r="E2845" t="inlineStr">
        <is>
          <t>Q1FY27</t>
        </is>
      </c>
      <c r="F2845" t="inlineStr">
        <is>
          <t>31-Dec-2030</t>
        </is>
      </c>
      <c r="G2845" t="inlineStr">
        <is>
          <t>Tuesday</t>
        </is>
      </c>
      <c r="H2845" t="inlineStr">
        <is>
          <t>Monthly - Tuesday</t>
        </is>
      </c>
      <c r="I2845" t="inlineStr">
        <is>
          <t>Monthly - Tuesday</t>
        </is>
      </c>
      <c r="J2845" t="inlineStr">
        <is>
          <t>Month+56 Expiry</t>
        </is>
      </c>
      <c r="K2845" s="25" t="n">
        <v>0</v>
      </c>
      <c r="L2845" s="26" t="n">
        <v>0</v>
      </c>
      <c r="M2845" s="26" t="n">
        <v>0</v>
      </c>
    </row>
    <row r="2846" ht="16" customHeight="1">
      <c r="A2846" t="inlineStr">
        <is>
          <t>23-Apr-2026</t>
        </is>
      </c>
      <c r="B2846" t="inlineStr">
        <is>
          <t>Thursday</t>
        </is>
      </c>
      <c r="C2846" t="inlineStr">
        <is>
          <t>Week4-Apr-2026</t>
        </is>
      </c>
      <c r="D2846" s="78" t="n">
        <v>46113</v>
      </c>
      <c r="E2846" t="inlineStr">
        <is>
          <t>Q1FY27</t>
        </is>
      </c>
      <c r="F2846" t="inlineStr">
        <is>
          <t>28-Apr-2026</t>
        </is>
      </c>
      <c r="G2846" t="inlineStr">
        <is>
          <t>Tuesday</t>
        </is>
      </c>
      <c r="H2846" t="inlineStr">
        <is>
          <t>Monthly - Tuesday</t>
        </is>
      </c>
      <c r="I2846" t="inlineStr">
        <is>
          <t>MDAW - Tuesday</t>
        </is>
      </c>
      <c r="J2846" t="inlineStr">
        <is>
          <t>Same Month Expiry</t>
        </is>
      </c>
      <c r="K2846" s="25" t="n">
        <v>36016654</v>
      </c>
      <c r="L2846" s="26" t="n">
        <v>57037.1797</v>
      </c>
      <c r="M2846" s="26" t="n">
        <v>244.5296</v>
      </c>
    </row>
    <row r="2847" ht="16" customHeight="1">
      <c r="A2847" t="inlineStr">
        <is>
          <t>23-Apr-2026</t>
        </is>
      </c>
      <c r="B2847" t="inlineStr">
        <is>
          <t>Thursday</t>
        </is>
      </c>
      <c r="C2847" t="inlineStr">
        <is>
          <t>Week4-Apr-2026</t>
        </is>
      </c>
      <c r="D2847" s="78" t="n">
        <v>46113</v>
      </c>
      <c r="E2847" t="inlineStr">
        <is>
          <t>Q1FY27</t>
        </is>
      </c>
      <c r="F2847" t="inlineStr">
        <is>
          <t>05-May-2026</t>
        </is>
      </c>
      <c r="G2847" t="inlineStr">
        <is>
          <t>Tuesday</t>
        </is>
      </c>
      <c r="H2847" t="inlineStr">
        <is>
          <t>Weekly - Tuesday</t>
        </is>
      </c>
      <c r="I2847" t="inlineStr">
        <is>
          <t>Weekly - Tuesday</t>
        </is>
      </c>
      <c r="J2847" t="inlineStr">
        <is>
          <t>Month+1 Expiry</t>
        </is>
      </c>
      <c r="K2847" s="25" t="n">
        <v>1180618</v>
      </c>
      <c r="L2847" s="26" t="n">
        <v>1875.8536</v>
      </c>
      <c r="M2847" s="26" t="n">
        <v>11.1822</v>
      </c>
    </row>
    <row r="2848" ht="16" customHeight="1">
      <c r="A2848" t="inlineStr">
        <is>
          <t>23-Apr-2026</t>
        </is>
      </c>
      <c r="B2848" t="inlineStr">
        <is>
          <t>Thursday</t>
        </is>
      </c>
      <c r="C2848" t="inlineStr">
        <is>
          <t>Week4-Apr-2026</t>
        </is>
      </c>
      <c r="D2848" s="78" t="n">
        <v>46113</v>
      </c>
      <c r="E2848" t="inlineStr">
        <is>
          <t>Q1FY27</t>
        </is>
      </c>
      <c r="F2848" t="inlineStr">
        <is>
          <t>12-May-2026</t>
        </is>
      </c>
      <c r="G2848" t="inlineStr">
        <is>
          <t>Tuesday</t>
        </is>
      </c>
      <c r="H2848" t="inlineStr">
        <is>
          <t>Weekly - Tuesday</t>
        </is>
      </c>
      <c r="I2848" t="inlineStr">
        <is>
          <t>Weekly - Tuesday</t>
        </is>
      </c>
      <c r="J2848" t="inlineStr">
        <is>
          <t>Month+1 Expiry</t>
        </is>
      </c>
      <c r="K2848" s="25" t="n">
        <v>105487</v>
      </c>
      <c r="L2848" s="26" t="n">
        <v>169.4314</v>
      </c>
      <c r="M2848" s="26" t="n">
        <v>1.428</v>
      </c>
    </row>
    <row r="2849" ht="16" customHeight="1">
      <c r="A2849" t="inlineStr">
        <is>
          <t>23-Apr-2026</t>
        </is>
      </c>
      <c r="B2849" t="inlineStr">
        <is>
          <t>Thursday</t>
        </is>
      </c>
      <c r="C2849" t="inlineStr">
        <is>
          <t>Week4-Apr-2026</t>
        </is>
      </c>
      <c r="D2849" s="78" t="n">
        <v>46113</v>
      </c>
      <c r="E2849" t="inlineStr">
        <is>
          <t>Q1FY27</t>
        </is>
      </c>
      <c r="F2849" t="inlineStr">
        <is>
          <t>19-May-2026</t>
        </is>
      </c>
      <c r="G2849" t="inlineStr">
        <is>
          <t>Tuesday</t>
        </is>
      </c>
      <c r="H2849" t="inlineStr">
        <is>
          <t>Weekly - Tuesday</t>
        </is>
      </c>
      <c r="I2849" t="inlineStr">
        <is>
          <t>Weekly - Tuesday</t>
        </is>
      </c>
      <c r="J2849" t="inlineStr">
        <is>
          <t>Month+1 Expiry</t>
        </is>
      </c>
      <c r="K2849" s="25" t="n">
        <v>17997</v>
      </c>
      <c r="L2849" s="26" t="n">
        <v>29.073</v>
      </c>
      <c r="M2849" s="26" t="n">
        <v>0.2961</v>
      </c>
    </row>
    <row r="2850" ht="16" customHeight="1">
      <c r="A2850" t="inlineStr">
        <is>
          <t>23-Apr-2026</t>
        </is>
      </c>
      <c r="B2850" t="inlineStr">
        <is>
          <t>Thursday</t>
        </is>
      </c>
      <c r="C2850" t="inlineStr">
        <is>
          <t>Week4-Apr-2026</t>
        </is>
      </c>
      <c r="D2850" s="78" t="n">
        <v>46113</v>
      </c>
      <c r="E2850" t="inlineStr">
        <is>
          <t>Q1FY27</t>
        </is>
      </c>
      <c r="F2850" t="inlineStr">
        <is>
          <t>26-May-2026</t>
        </is>
      </c>
      <c r="G2850" t="inlineStr">
        <is>
          <t>Tuesday</t>
        </is>
      </c>
      <c r="H2850" t="inlineStr">
        <is>
          <t>Monthly - Tuesday</t>
        </is>
      </c>
      <c r="I2850" t="inlineStr">
        <is>
          <t>Monthly - Tuesday</t>
        </is>
      </c>
      <c r="J2850" t="inlineStr">
        <is>
          <t>Month+1 Expiry</t>
        </is>
      </c>
      <c r="K2850" s="25" t="n">
        <v>545546</v>
      </c>
      <c r="L2850" s="26" t="n">
        <v>873.449</v>
      </c>
      <c r="M2850" s="26" t="n">
        <v>10.9052</v>
      </c>
    </row>
    <row r="2851" ht="16" customHeight="1">
      <c r="A2851" t="inlineStr">
        <is>
          <t>23-Apr-2026</t>
        </is>
      </c>
      <c r="B2851" t="inlineStr">
        <is>
          <t>Thursday</t>
        </is>
      </c>
      <c r="C2851" t="inlineStr">
        <is>
          <t>Week4-Apr-2026</t>
        </is>
      </c>
      <c r="D2851" s="78" t="n">
        <v>46113</v>
      </c>
      <c r="E2851" t="inlineStr">
        <is>
          <t>Q1FY27</t>
        </is>
      </c>
      <c r="F2851" t="inlineStr">
        <is>
          <t>02-Jun-2026</t>
        </is>
      </c>
      <c r="G2851" t="inlineStr">
        <is>
          <t>Tuesday</t>
        </is>
      </c>
      <c r="H2851" t="inlineStr">
        <is>
          <t>Weekly - Tuesday</t>
        </is>
      </c>
      <c r="I2851" t="inlineStr">
        <is>
          <t>Weekly - Tuesday</t>
        </is>
      </c>
      <c r="J2851" t="inlineStr">
        <is>
          <t>Month+2 Expiry</t>
        </is>
      </c>
      <c r="K2851" s="25" t="n">
        <v>296</v>
      </c>
      <c r="L2851" s="26" t="n">
        <v>0.4965</v>
      </c>
      <c r="M2851" s="26" t="n">
        <v>0.0023</v>
      </c>
    </row>
    <row r="2852" ht="16" customHeight="1">
      <c r="A2852" t="inlineStr">
        <is>
          <t>23-Apr-2026</t>
        </is>
      </c>
      <c r="B2852" t="inlineStr">
        <is>
          <t>Thursday</t>
        </is>
      </c>
      <c r="C2852" t="inlineStr">
        <is>
          <t>Week4-Apr-2026</t>
        </is>
      </c>
      <c r="D2852" s="78" t="n">
        <v>46113</v>
      </c>
      <c r="E2852" t="inlineStr">
        <is>
          <t>Q1FY27</t>
        </is>
      </c>
      <c r="F2852" t="inlineStr">
        <is>
          <t>30-Jun-2026</t>
        </is>
      </c>
      <c r="G2852" t="inlineStr">
        <is>
          <t>Tuesday</t>
        </is>
      </c>
      <c r="H2852" t="inlineStr">
        <is>
          <t>Monthly - Tuesday</t>
        </is>
      </c>
      <c r="I2852" t="inlineStr">
        <is>
          <t>Monthly - Tuesday</t>
        </is>
      </c>
      <c r="J2852" t="inlineStr">
        <is>
          <t>Month+2 Expiry</t>
        </is>
      </c>
      <c r="K2852" s="25" t="n">
        <v>155804</v>
      </c>
      <c r="L2852" s="26" t="n">
        <v>245.809</v>
      </c>
      <c r="M2852" s="26" t="n">
        <v>3.9865</v>
      </c>
    </row>
    <row r="2853" ht="16" customHeight="1">
      <c r="A2853" t="inlineStr">
        <is>
          <t>23-Apr-2026</t>
        </is>
      </c>
      <c r="B2853" t="inlineStr">
        <is>
          <t>Thursday</t>
        </is>
      </c>
      <c r="C2853" t="inlineStr">
        <is>
          <t>Week4-Apr-2026</t>
        </is>
      </c>
      <c r="D2853" s="78" t="n">
        <v>46113</v>
      </c>
      <c r="E2853" t="inlineStr">
        <is>
          <t>Q1FY27</t>
        </is>
      </c>
      <c r="F2853" t="inlineStr">
        <is>
          <t>29-Sep-2026</t>
        </is>
      </c>
      <c r="G2853" t="inlineStr">
        <is>
          <t>Tuesday</t>
        </is>
      </c>
      <c r="H2853" t="inlineStr">
        <is>
          <t>Monthly - Tuesday</t>
        </is>
      </c>
      <c r="I2853" t="inlineStr">
        <is>
          <t>Monthly - Tuesday</t>
        </is>
      </c>
      <c r="J2853" t="inlineStr">
        <is>
          <t>Month+5 Expiry</t>
        </is>
      </c>
      <c r="K2853" s="25" t="n">
        <v>12324</v>
      </c>
      <c r="L2853" s="26" t="n">
        <v>20.3868</v>
      </c>
      <c r="M2853" s="26" t="n">
        <v>0.3457</v>
      </c>
    </row>
    <row r="2854" ht="16" customHeight="1">
      <c r="A2854" t="inlineStr">
        <is>
          <t>23-Apr-2026</t>
        </is>
      </c>
      <c r="B2854" t="inlineStr">
        <is>
          <t>Thursday</t>
        </is>
      </c>
      <c r="C2854" t="inlineStr">
        <is>
          <t>Week4-Apr-2026</t>
        </is>
      </c>
      <c r="D2854" s="78" t="n">
        <v>46113</v>
      </c>
      <c r="E2854" t="inlineStr">
        <is>
          <t>Q1FY27</t>
        </is>
      </c>
      <c r="F2854" t="inlineStr">
        <is>
          <t>29-Dec-2026</t>
        </is>
      </c>
      <c r="G2854" t="inlineStr">
        <is>
          <t>Tuesday</t>
        </is>
      </c>
      <c r="H2854" t="inlineStr">
        <is>
          <t>Monthly - Tuesday</t>
        </is>
      </c>
      <c r="I2854" t="inlineStr">
        <is>
          <t>Monthly - Tuesday</t>
        </is>
      </c>
      <c r="J2854" t="inlineStr">
        <is>
          <t>Month+8 Expiry</t>
        </is>
      </c>
      <c r="K2854" s="25" t="n">
        <v>30215</v>
      </c>
      <c r="L2854" s="26" t="n">
        <v>49.7501</v>
      </c>
      <c r="M2854" s="26" t="n">
        <v>1.2717</v>
      </c>
    </row>
    <row r="2855" ht="16" customHeight="1">
      <c r="A2855" t="inlineStr">
        <is>
          <t>23-Apr-2026</t>
        </is>
      </c>
      <c r="B2855" t="inlineStr">
        <is>
          <t>Thursday</t>
        </is>
      </c>
      <c r="C2855" t="inlineStr">
        <is>
          <t>Week4-Apr-2026</t>
        </is>
      </c>
      <c r="D2855" s="78" t="n">
        <v>46113</v>
      </c>
      <c r="E2855" t="inlineStr">
        <is>
          <t>Q1FY27</t>
        </is>
      </c>
      <c r="F2855" t="inlineStr">
        <is>
          <t>30-Mar-2027</t>
        </is>
      </c>
      <c r="G2855" t="inlineStr">
        <is>
          <t>Tuesday</t>
        </is>
      </c>
      <c r="H2855" t="inlineStr">
        <is>
          <t>Monthly - Tuesday</t>
        </is>
      </c>
      <c r="I2855" t="inlineStr">
        <is>
          <t>Monthly - Tuesday</t>
        </is>
      </c>
      <c r="J2855" t="inlineStr">
        <is>
          <t>Month+11 Expiry</t>
        </is>
      </c>
      <c r="K2855" s="25" t="n">
        <v>0</v>
      </c>
      <c r="L2855" s="26" t="n">
        <v>0</v>
      </c>
      <c r="M2855" s="26" t="n">
        <v>0</v>
      </c>
    </row>
    <row r="2856" ht="16" customHeight="1">
      <c r="A2856" t="inlineStr">
        <is>
          <t>23-Apr-2026</t>
        </is>
      </c>
      <c r="B2856" t="inlineStr">
        <is>
          <t>Thursday</t>
        </is>
      </c>
      <c r="C2856" t="inlineStr">
        <is>
          <t>Week4-Apr-2026</t>
        </is>
      </c>
      <c r="D2856" s="78" t="n">
        <v>46113</v>
      </c>
      <c r="E2856" t="inlineStr">
        <is>
          <t>Q1FY27</t>
        </is>
      </c>
      <c r="F2856" t="inlineStr">
        <is>
          <t>29-Jun-2027</t>
        </is>
      </c>
      <c r="G2856" t="inlineStr">
        <is>
          <t>Tuesday</t>
        </is>
      </c>
      <c r="H2856" t="inlineStr">
        <is>
          <t>Monthly - Tuesday</t>
        </is>
      </c>
      <c r="I2856" t="inlineStr">
        <is>
          <t>Monthly - Tuesday</t>
        </is>
      </c>
      <c r="J2856" t="inlineStr">
        <is>
          <t>Month+14 Expiry</t>
        </is>
      </c>
      <c r="K2856" s="25" t="n">
        <v>0</v>
      </c>
      <c r="L2856" s="26" t="n">
        <v>0</v>
      </c>
      <c r="M2856" s="26" t="n">
        <v>0</v>
      </c>
    </row>
    <row r="2857" ht="16" customHeight="1">
      <c r="A2857" t="inlineStr">
        <is>
          <t>23-Apr-2026</t>
        </is>
      </c>
      <c r="B2857" t="inlineStr">
        <is>
          <t>Thursday</t>
        </is>
      </c>
      <c r="C2857" t="inlineStr">
        <is>
          <t>Week4-Apr-2026</t>
        </is>
      </c>
      <c r="D2857" s="78" t="n">
        <v>46113</v>
      </c>
      <c r="E2857" t="inlineStr">
        <is>
          <t>Q1FY27</t>
        </is>
      </c>
      <c r="F2857" t="inlineStr">
        <is>
          <t>28-Dec-2027</t>
        </is>
      </c>
      <c r="G2857" t="inlineStr">
        <is>
          <t>Tuesday</t>
        </is>
      </c>
      <c r="H2857" t="inlineStr">
        <is>
          <t>Monthly - Tuesday</t>
        </is>
      </c>
      <c r="I2857" t="inlineStr">
        <is>
          <t>Monthly - Tuesday</t>
        </is>
      </c>
      <c r="J2857" t="inlineStr">
        <is>
          <t>Month+20 Expiry</t>
        </is>
      </c>
      <c r="K2857" s="25" t="n">
        <v>292</v>
      </c>
      <c r="L2857" s="26" t="n">
        <v>0.5079</v>
      </c>
      <c r="M2857" s="26" t="n">
        <v>0.0282</v>
      </c>
    </row>
    <row r="2858" ht="16" customHeight="1">
      <c r="A2858" t="inlineStr">
        <is>
          <t>23-Apr-2026</t>
        </is>
      </c>
      <c r="B2858" t="inlineStr">
        <is>
          <t>Thursday</t>
        </is>
      </c>
      <c r="C2858" t="inlineStr">
        <is>
          <t>Week4-Apr-2026</t>
        </is>
      </c>
      <c r="D2858" s="78" t="n">
        <v>46113</v>
      </c>
      <c r="E2858" t="inlineStr">
        <is>
          <t>Q1FY27</t>
        </is>
      </c>
      <c r="F2858" t="inlineStr">
        <is>
          <t>27-Jun-2028</t>
        </is>
      </c>
      <c r="G2858" t="inlineStr">
        <is>
          <t>Tuesday</t>
        </is>
      </c>
      <c r="H2858" t="inlineStr">
        <is>
          <t>Monthly - Tuesday</t>
        </is>
      </c>
      <c r="I2858" t="inlineStr">
        <is>
          <t>Monthly - Tuesday</t>
        </is>
      </c>
      <c r="J2858" t="inlineStr">
        <is>
          <t>Month+26 Expiry</t>
        </is>
      </c>
      <c r="K2858" s="25" t="n">
        <v>0</v>
      </c>
      <c r="L2858" s="26" t="n">
        <v>0</v>
      </c>
      <c r="M2858" s="26" t="n">
        <v>0</v>
      </c>
    </row>
    <row r="2859" ht="16" customHeight="1">
      <c r="A2859" t="inlineStr">
        <is>
          <t>23-Apr-2026</t>
        </is>
      </c>
      <c r="B2859" t="inlineStr">
        <is>
          <t>Thursday</t>
        </is>
      </c>
      <c r="C2859" t="inlineStr">
        <is>
          <t>Week4-Apr-2026</t>
        </is>
      </c>
      <c r="D2859" s="78" t="n">
        <v>46113</v>
      </c>
      <c r="E2859" t="inlineStr">
        <is>
          <t>Q1FY27</t>
        </is>
      </c>
      <c r="F2859" t="inlineStr">
        <is>
          <t>26-Dec-2028</t>
        </is>
      </c>
      <c r="G2859" t="inlineStr">
        <is>
          <t>Tuesday</t>
        </is>
      </c>
      <c r="H2859" t="inlineStr">
        <is>
          <t>Monthly - Tuesday</t>
        </is>
      </c>
      <c r="I2859" t="inlineStr">
        <is>
          <t>Monthly - Tuesday</t>
        </is>
      </c>
      <c r="J2859" t="inlineStr">
        <is>
          <t>Month+32 Expiry</t>
        </is>
      </c>
      <c r="K2859" s="25" t="n">
        <v>3</v>
      </c>
      <c r="L2859" s="26" t="n">
        <v>0.0055</v>
      </c>
      <c r="M2859" s="26" t="n">
        <v>0.0003</v>
      </c>
    </row>
    <row r="2860" ht="16" customHeight="1">
      <c r="A2860" t="inlineStr">
        <is>
          <t>23-Apr-2026</t>
        </is>
      </c>
      <c r="B2860" t="inlineStr">
        <is>
          <t>Thursday</t>
        </is>
      </c>
      <c r="C2860" t="inlineStr">
        <is>
          <t>Week4-Apr-2026</t>
        </is>
      </c>
      <c r="D2860" s="78" t="n">
        <v>46113</v>
      </c>
      <c r="E2860" t="inlineStr">
        <is>
          <t>Q1FY27</t>
        </is>
      </c>
      <c r="F2860" t="inlineStr">
        <is>
          <t>26-Jun-2029</t>
        </is>
      </c>
      <c r="G2860" t="inlineStr">
        <is>
          <t>Tuesday</t>
        </is>
      </c>
      <c r="H2860" t="inlineStr">
        <is>
          <t>Monthly - Tuesday</t>
        </is>
      </c>
      <c r="I2860" t="inlineStr">
        <is>
          <t>Monthly - Tuesday</t>
        </is>
      </c>
      <c r="J2860" t="inlineStr">
        <is>
          <t>Month+38 Expiry</t>
        </is>
      </c>
      <c r="K2860" s="25" t="n">
        <v>0</v>
      </c>
      <c r="L2860" s="26" t="n">
        <v>0</v>
      </c>
      <c r="M2860" s="26" t="n">
        <v>0</v>
      </c>
    </row>
    <row r="2861" ht="16" customHeight="1">
      <c r="A2861" t="inlineStr">
        <is>
          <t>23-Apr-2026</t>
        </is>
      </c>
      <c r="B2861" t="inlineStr">
        <is>
          <t>Thursday</t>
        </is>
      </c>
      <c r="C2861" t="inlineStr">
        <is>
          <t>Week4-Apr-2026</t>
        </is>
      </c>
      <c r="D2861" s="78" t="n">
        <v>46113</v>
      </c>
      <c r="E2861" t="inlineStr">
        <is>
          <t>Q1FY27</t>
        </is>
      </c>
      <c r="F2861" t="inlineStr">
        <is>
          <t>24-Dec-2029</t>
        </is>
      </c>
      <c r="G2861" t="inlineStr">
        <is>
          <t>Monday</t>
        </is>
      </c>
      <c r="H2861" t="inlineStr">
        <is>
          <t>Weekly - Monday</t>
        </is>
      </c>
      <c r="I2861" t="inlineStr">
        <is>
          <t>Weekly - Monday</t>
        </is>
      </c>
      <c r="J2861" t="inlineStr">
        <is>
          <t>Month+44 Expiry</t>
        </is>
      </c>
      <c r="K2861" s="25" t="n">
        <v>0</v>
      </c>
      <c r="L2861" s="26" t="n">
        <v>0</v>
      </c>
      <c r="M2861" s="26" t="n">
        <v>0</v>
      </c>
    </row>
    <row r="2862" ht="16" customHeight="1">
      <c r="A2862" t="inlineStr">
        <is>
          <t>23-Apr-2026</t>
        </is>
      </c>
      <c r="B2862" t="inlineStr">
        <is>
          <t>Thursday</t>
        </is>
      </c>
      <c r="C2862" t="inlineStr">
        <is>
          <t>Week4-Apr-2026</t>
        </is>
      </c>
      <c r="D2862" s="78" t="n">
        <v>46113</v>
      </c>
      <c r="E2862" t="inlineStr">
        <is>
          <t>Q1FY27</t>
        </is>
      </c>
      <c r="F2862" t="inlineStr">
        <is>
          <t>25-Jun-2030</t>
        </is>
      </c>
      <c r="G2862" t="inlineStr">
        <is>
          <t>Tuesday</t>
        </is>
      </c>
      <c r="H2862" t="inlineStr">
        <is>
          <t>Monthly - Tuesday</t>
        </is>
      </c>
      <c r="I2862" t="inlineStr">
        <is>
          <t>Monthly - Tuesday</t>
        </is>
      </c>
      <c r="J2862" t="inlineStr">
        <is>
          <t>Month+50 Expiry</t>
        </is>
      </c>
      <c r="K2862" s="25" t="n">
        <v>0</v>
      </c>
      <c r="L2862" s="26" t="n">
        <v>0</v>
      </c>
      <c r="M2862" s="26" t="n">
        <v>0</v>
      </c>
    </row>
    <row r="2863" ht="16" customHeight="1">
      <c r="A2863" t="inlineStr">
        <is>
          <t>23-Apr-2026</t>
        </is>
      </c>
      <c r="B2863" t="inlineStr">
        <is>
          <t>Thursday</t>
        </is>
      </c>
      <c r="C2863" t="inlineStr">
        <is>
          <t>Week4-Apr-2026</t>
        </is>
      </c>
      <c r="D2863" s="78" t="n">
        <v>46113</v>
      </c>
      <c r="E2863" t="inlineStr">
        <is>
          <t>Q1FY27</t>
        </is>
      </c>
      <c r="F2863" t="inlineStr">
        <is>
          <t>31-Dec-2030</t>
        </is>
      </c>
      <c r="G2863" t="inlineStr">
        <is>
          <t>Tuesday</t>
        </is>
      </c>
      <c r="H2863" t="inlineStr">
        <is>
          <t>Monthly - Tuesday</t>
        </is>
      </c>
      <c r="I2863" t="inlineStr">
        <is>
          <t>Monthly - Tuesday</t>
        </is>
      </c>
      <c r="J2863" t="inlineStr">
        <is>
          <t>Month+56 Expiry</t>
        </is>
      </c>
      <c r="K2863" s="25" t="n">
        <v>0</v>
      </c>
      <c r="L2863" s="26" t="n">
        <v>0</v>
      </c>
      <c r="M2863" s="26" t="n">
        <v>0</v>
      </c>
    </row>
    <row r="2864" ht="16" customHeight="1">
      <c r="A2864" t="inlineStr">
        <is>
          <t>24-Apr-2026</t>
        </is>
      </c>
      <c r="B2864" t="inlineStr">
        <is>
          <t>Friday</t>
        </is>
      </c>
      <c r="C2864" t="inlineStr">
        <is>
          <t>Week4-Apr-2026</t>
        </is>
      </c>
      <c r="D2864" s="78" t="n">
        <v>46113</v>
      </c>
      <c r="E2864" t="inlineStr">
        <is>
          <t>Q1FY27</t>
        </is>
      </c>
      <c r="F2864" t="inlineStr">
        <is>
          <t>28-Apr-2026</t>
        </is>
      </c>
      <c r="G2864" t="inlineStr">
        <is>
          <t>Tuesday</t>
        </is>
      </c>
      <c r="H2864" t="inlineStr">
        <is>
          <t>Monthly - Tuesday</t>
        </is>
      </c>
      <c r="I2864" t="inlineStr">
        <is>
          <t>MDAW - Tuesday</t>
        </is>
      </c>
      <c r="J2864" t="inlineStr">
        <is>
          <t>Same Month Expiry</t>
        </is>
      </c>
      <c r="K2864" s="25" t="n">
        <v>71881816</v>
      </c>
      <c r="L2864" s="26" t="n">
        <v>112716.5207</v>
      </c>
      <c r="M2864" s="26" t="n">
        <v>449.1076</v>
      </c>
    </row>
    <row r="2865" ht="16" customHeight="1">
      <c r="A2865" t="inlineStr">
        <is>
          <t>24-Apr-2026</t>
        </is>
      </c>
      <c r="B2865" t="inlineStr">
        <is>
          <t>Friday</t>
        </is>
      </c>
      <c r="C2865" t="inlineStr">
        <is>
          <t>Week4-Apr-2026</t>
        </is>
      </c>
      <c r="D2865" s="78" t="n">
        <v>46113</v>
      </c>
      <c r="E2865" t="inlineStr">
        <is>
          <t>Q1FY27</t>
        </is>
      </c>
      <c r="F2865" t="inlineStr">
        <is>
          <t>05-May-2026</t>
        </is>
      </c>
      <c r="G2865" t="inlineStr">
        <is>
          <t>Tuesday</t>
        </is>
      </c>
      <c r="H2865" t="inlineStr">
        <is>
          <t>Weekly - Tuesday</t>
        </is>
      </c>
      <c r="I2865" t="inlineStr">
        <is>
          <t>Weekly - Tuesday</t>
        </is>
      </c>
      <c r="J2865" t="inlineStr">
        <is>
          <t>Month+1 Expiry</t>
        </is>
      </c>
      <c r="K2865" s="25" t="n">
        <v>2167379</v>
      </c>
      <c r="L2865" s="26" t="n">
        <v>3425.858</v>
      </c>
      <c r="M2865" s="26" t="n">
        <v>19.2934</v>
      </c>
    </row>
    <row r="2866" ht="16" customHeight="1">
      <c r="A2866" t="inlineStr">
        <is>
          <t>24-Apr-2026</t>
        </is>
      </c>
      <c r="B2866" t="inlineStr">
        <is>
          <t>Friday</t>
        </is>
      </c>
      <c r="C2866" t="inlineStr">
        <is>
          <t>Week4-Apr-2026</t>
        </is>
      </c>
      <c r="D2866" s="78" t="n">
        <v>46113</v>
      </c>
      <c r="E2866" t="inlineStr">
        <is>
          <t>Q1FY27</t>
        </is>
      </c>
      <c r="F2866" t="inlineStr">
        <is>
          <t>12-May-2026</t>
        </is>
      </c>
      <c r="G2866" t="inlineStr">
        <is>
          <t>Tuesday</t>
        </is>
      </c>
      <c r="H2866" t="inlineStr">
        <is>
          <t>Weekly - Tuesday</t>
        </is>
      </c>
      <c r="I2866" t="inlineStr">
        <is>
          <t>Weekly - Tuesday</t>
        </is>
      </c>
      <c r="J2866" t="inlineStr">
        <is>
          <t>Month+1 Expiry</t>
        </is>
      </c>
      <c r="K2866" s="25" t="n">
        <v>158508</v>
      </c>
      <c r="L2866" s="26" t="n">
        <v>252.5871</v>
      </c>
      <c r="M2866" s="26" t="n">
        <v>1.9835</v>
      </c>
    </row>
    <row r="2867" ht="16" customHeight="1">
      <c r="A2867" t="inlineStr">
        <is>
          <t>24-Apr-2026</t>
        </is>
      </c>
      <c r="B2867" t="inlineStr">
        <is>
          <t>Friday</t>
        </is>
      </c>
      <c r="C2867" t="inlineStr">
        <is>
          <t>Week4-Apr-2026</t>
        </is>
      </c>
      <c r="D2867" s="78" t="n">
        <v>46113</v>
      </c>
      <c r="E2867" t="inlineStr">
        <is>
          <t>Q1FY27</t>
        </is>
      </c>
      <c r="F2867" t="inlineStr">
        <is>
          <t>19-May-2026</t>
        </is>
      </c>
      <c r="G2867" t="inlineStr">
        <is>
          <t>Tuesday</t>
        </is>
      </c>
      <c r="H2867" t="inlineStr">
        <is>
          <t>Weekly - Tuesday</t>
        </is>
      </c>
      <c r="I2867" t="inlineStr">
        <is>
          <t>Weekly - Tuesday</t>
        </is>
      </c>
      <c r="J2867" t="inlineStr">
        <is>
          <t>Month+1 Expiry</t>
        </is>
      </c>
      <c r="K2867" s="25" t="n">
        <v>20667</v>
      </c>
      <c r="L2867" s="26" t="n">
        <v>33.2545</v>
      </c>
      <c r="M2867" s="26" t="n">
        <v>0.3186</v>
      </c>
    </row>
    <row r="2868" ht="16" customHeight="1">
      <c r="A2868" t="inlineStr">
        <is>
          <t>24-Apr-2026</t>
        </is>
      </c>
      <c r="B2868" t="inlineStr">
        <is>
          <t>Friday</t>
        </is>
      </c>
      <c r="C2868" t="inlineStr">
        <is>
          <t>Week4-Apr-2026</t>
        </is>
      </c>
      <c r="D2868" s="78" t="n">
        <v>46113</v>
      </c>
      <c r="E2868" t="inlineStr">
        <is>
          <t>Q1FY27</t>
        </is>
      </c>
      <c r="F2868" t="inlineStr">
        <is>
          <t>26-May-2026</t>
        </is>
      </c>
      <c r="G2868" t="inlineStr">
        <is>
          <t>Tuesday</t>
        </is>
      </c>
      <c r="H2868" t="inlineStr">
        <is>
          <t>Monthly - Tuesday</t>
        </is>
      </c>
      <c r="I2868" t="inlineStr">
        <is>
          <t>Monthly - Tuesday</t>
        </is>
      </c>
      <c r="J2868" t="inlineStr">
        <is>
          <t>Month+1 Expiry</t>
        </is>
      </c>
      <c r="K2868" s="25" t="n">
        <v>712188</v>
      </c>
      <c r="L2868" s="26" t="n">
        <v>1136.1037</v>
      </c>
      <c r="M2868" s="26" t="n">
        <v>15.0143</v>
      </c>
    </row>
    <row r="2869" ht="16" customHeight="1">
      <c r="A2869" t="inlineStr">
        <is>
          <t>24-Apr-2026</t>
        </is>
      </c>
      <c r="B2869" t="inlineStr">
        <is>
          <t>Friday</t>
        </is>
      </c>
      <c r="C2869" t="inlineStr">
        <is>
          <t>Week4-Apr-2026</t>
        </is>
      </c>
      <c r="D2869" s="78" t="n">
        <v>46113</v>
      </c>
      <c r="E2869" t="inlineStr">
        <is>
          <t>Q1FY27</t>
        </is>
      </c>
      <c r="F2869" t="inlineStr">
        <is>
          <t>02-Jun-2026</t>
        </is>
      </c>
      <c r="G2869" t="inlineStr">
        <is>
          <t>Tuesday</t>
        </is>
      </c>
      <c r="H2869" t="inlineStr">
        <is>
          <t>Weekly - Tuesday</t>
        </is>
      </c>
      <c r="I2869" t="inlineStr">
        <is>
          <t>Weekly - Tuesday</t>
        </is>
      </c>
      <c r="J2869" t="inlineStr">
        <is>
          <t>Month+2 Expiry</t>
        </is>
      </c>
      <c r="K2869" s="25" t="n">
        <v>1250</v>
      </c>
      <c r="L2869" s="26" t="n">
        <v>2.0881</v>
      </c>
      <c r="M2869" s="26" t="n">
        <v>0.0114</v>
      </c>
    </row>
    <row r="2870" ht="16" customHeight="1">
      <c r="A2870" t="inlineStr">
        <is>
          <t>24-Apr-2026</t>
        </is>
      </c>
      <c r="B2870" t="inlineStr">
        <is>
          <t>Friday</t>
        </is>
      </c>
      <c r="C2870" t="inlineStr">
        <is>
          <t>Week4-Apr-2026</t>
        </is>
      </c>
      <c r="D2870" s="78" t="n">
        <v>46113</v>
      </c>
      <c r="E2870" t="inlineStr">
        <is>
          <t>Q1FY27</t>
        </is>
      </c>
      <c r="F2870" t="inlineStr">
        <is>
          <t>30-Jun-2026</t>
        </is>
      </c>
      <c r="G2870" t="inlineStr">
        <is>
          <t>Tuesday</t>
        </is>
      </c>
      <c r="H2870" t="inlineStr">
        <is>
          <t>Monthly - Tuesday</t>
        </is>
      </c>
      <c r="I2870" t="inlineStr">
        <is>
          <t>Monthly - Tuesday</t>
        </is>
      </c>
      <c r="J2870" t="inlineStr">
        <is>
          <t>Month+2 Expiry</t>
        </is>
      </c>
      <c r="K2870" s="25" t="n">
        <v>179781</v>
      </c>
      <c r="L2870" s="26" t="n">
        <v>284.7626</v>
      </c>
      <c r="M2870" s="26" t="n">
        <v>4.266</v>
      </c>
    </row>
    <row r="2871" ht="16" customHeight="1">
      <c r="A2871" t="inlineStr">
        <is>
          <t>24-Apr-2026</t>
        </is>
      </c>
      <c r="B2871" t="inlineStr">
        <is>
          <t>Friday</t>
        </is>
      </c>
      <c r="C2871" t="inlineStr">
        <is>
          <t>Week4-Apr-2026</t>
        </is>
      </c>
      <c r="D2871" s="78" t="n">
        <v>46113</v>
      </c>
      <c r="E2871" t="inlineStr">
        <is>
          <t>Q1FY27</t>
        </is>
      </c>
      <c r="F2871" t="inlineStr">
        <is>
          <t>29-Sep-2026</t>
        </is>
      </c>
      <c r="G2871" t="inlineStr">
        <is>
          <t>Tuesday</t>
        </is>
      </c>
      <c r="H2871" t="inlineStr">
        <is>
          <t>Monthly - Tuesday</t>
        </is>
      </c>
      <c r="I2871" t="inlineStr">
        <is>
          <t>Monthly - Tuesday</t>
        </is>
      </c>
      <c r="J2871" t="inlineStr">
        <is>
          <t>Month+5 Expiry</t>
        </is>
      </c>
      <c r="K2871" s="25" t="n">
        <v>30147</v>
      </c>
      <c r="L2871" s="26" t="n">
        <v>48.5484</v>
      </c>
      <c r="M2871" s="26" t="n">
        <v>0.9452</v>
      </c>
    </row>
    <row r="2872" ht="16" customHeight="1">
      <c r="A2872" t="inlineStr">
        <is>
          <t>24-Apr-2026</t>
        </is>
      </c>
      <c r="B2872" t="inlineStr">
        <is>
          <t>Friday</t>
        </is>
      </c>
      <c r="C2872" t="inlineStr">
        <is>
          <t>Week4-Apr-2026</t>
        </is>
      </c>
      <c r="D2872" s="78" t="n">
        <v>46113</v>
      </c>
      <c r="E2872" t="inlineStr">
        <is>
          <t>Q1FY27</t>
        </is>
      </c>
      <c r="F2872" t="inlineStr">
        <is>
          <t>29-Dec-2026</t>
        </is>
      </c>
      <c r="G2872" t="inlineStr">
        <is>
          <t>Tuesday</t>
        </is>
      </c>
      <c r="H2872" t="inlineStr">
        <is>
          <t>Monthly - Tuesday</t>
        </is>
      </c>
      <c r="I2872" t="inlineStr">
        <is>
          <t>Monthly - Tuesday</t>
        </is>
      </c>
      <c r="J2872" t="inlineStr">
        <is>
          <t>Month+8 Expiry</t>
        </is>
      </c>
      <c r="K2872" s="25" t="n">
        <v>42203</v>
      </c>
      <c r="L2872" s="26" t="n">
        <v>68.55459999999999</v>
      </c>
      <c r="M2872" s="26" t="n">
        <v>1.9435</v>
      </c>
    </row>
    <row r="2873" ht="16" customHeight="1">
      <c r="A2873" t="inlineStr">
        <is>
          <t>24-Apr-2026</t>
        </is>
      </c>
      <c r="B2873" t="inlineStr">
        <is>
          <t>Friday</t>
        </is>
      </c>
      <c r="C2873" t="inlineStr">
        <is>
          <t>Week4-Apr-2026</t>
        </is>
      </c>
      <c r="D2873" s="78" t="n">
        <v>46113</v>
      </c>
      <c r="E2873" t="inlineStr">
        <is>
          <t>Q1FY27</t>
        </is>
      </c>
      <c r="F2873" t="inlineStr">
        <is>
          <t>30-Mar-2027</t>
        </is>
      </c>
      <c r="G2873" t="inlineStr">
        <is>
          <t>Tuesday</t>
        </is>
      </c>
      <c r="H2873" t="inlineStr">
        <is>
          <t>Monthly - Tuesday</t>
        </is>
      </c>
      <c r="I2873" t="inlineStr">
        <is>
          <t>Monthly - Tuesday</t>
        </is>
      </c>
      <c r="J2873" t="inlineStr">
        <is>
          <t>Month+11 Expiry</t>
        </is>
      </c>
      <c r="K2873" s="25" t="n">
        <v>0</v>
      </c>
      <c r="L2873" s="26" t="n">
        <v>0</v>
      </c>
      <c r="M2873" s="26" t="n">
        <v>0</v>
      </c>
    </row>
    <row r="2874" ht="16" customHeight="1">
      <c r="A2874" t="inlineStr">
        <is>
          <t>24-Apr-2026</t>
        </is>
      </c>
      <c r="B2874" t="inlineStr">
        <is>
          <t>Friday</t>
        </is>
      </c>
      <c r="C2874" t="inlineStr">
        <is>
          <t>Week4-Apr-2026</t>
        </is>
      </c>
      <c r="D2874" s="78" t="n">
        <v>46113</v>
      </c>
      <c r="E2874" t="inlineStr">
        <is>
          <t>Q1FY27</t>
        </is>
      </c>
      <c r="F2874" t="inlineStr">
        <is>
          <t>29-Jun-2027</t>
        </is>
      </c>
      <c r="G2874" t="inlineStr">
        <is>
          <t>Tuesday</t>
        </is>
      </c>
      <c r="H2874" t="inlineStr">
        <is>
          <t>Monthly - Tuesday</t>
        </is>
      </c>
      <c r="I2874" t="inlineStr">
        <is>
          <t>Monthly - Tuesday</t>
        </is>
      </c>
      <c r="J2874" t="inlineStr">
        <is>
          <t>Month+14 Expiry</t>
        </is>
      </c>
      <c r="K2874" s="25" t="n">
        <v>3</v>
      </c>
      <c r="L2874" s="26" t="n">
        <v>0.0042</v>
      </c>
      <c r="M2874" s="26" t="n">
        <v>0.0001</v>
      </c>
    </row>
    <row r="2875" ht="16" customHeight="1">
      <c r="A2875" t="inlineStr">
        <is>
          <t>24-Apr-2026</t>
        </is>
      </c>
      <c r="B2875" t="inlineStr">
        <is>
          <t>Friday</t>
        </is>
      </c>
      <c r="C2875" t="inlineStr">
        <is>
          <t>Week4-Apr-2026</t>
        </is>
      </c>
      <c r="D2875" s="78" t="n">
        <v>46113</v>
      </c>
      <c r="E2875" t="inlineStr">
        <is>
          <t>Q1FY27</t>
        </is>
      </c>
      <c r="F2875" t="inlineStr">
        <is>
          <t>28-Dec-2027</t>
        </is>
      </c>
      <c r="G2875" t="inlineStr">
        <is>
          <t>Tuesday</t>
        </is>
      </c>
      <c r="H2875" t="inlineStr">
        <is>
          <t>Monthly - Tuesday</t>
        </is>
      </c>
      <c r="I2875" t="inlineStr">
        <is>
          <t>Monthly - Tuesday</t>
        </is>
      </c>
      <c r="J2875" t="inlineStr">
        <is>
          <t>Month+20 Expiry</t>
        </is>
      </c>
      <c r="K2875" s="25" t="n">
        <v>335</v>
      </c>
      <c r="L2875" s="26" t="n">
        <v>0.5881999999999999</v>
      </c>
      <c r="M2875" s="26" t="n">
        <v>0.0313</v>
      </c>
    </row>
    <row r="2876" ht="16" customHeight="1">
      <c r="A2876" t="inlineStr">
        <is>
          <t>24-Apr-2026</t>
        </is>
      </c>
      <c r="B2876" t="inlineStr">
        <is>
          <t>Friday</t>
        </is>
      </c>
      <c r="C2876" t="inlineStr">
        <is>
          <t>Week4-Apr-2026</t>
        </is>
      </c>
      <c r="D2876" s="78" t="n">
        <v>46113</v>
      </c>
      <c r="E2876" t="inlineStr">
        <is>
          <t>Q1FY27</t>
        </is>
      </c>
      <c r="F2876" t="inlineStr">
        <is>
          <t>27-Jun-2028</t>
        </is>
      </c>
      <c r="G2876" t="inlineStr">
        <is>
          <t>Tuesday</t>
        </is>
      </c>
      <c r="H2876" t="inlineStr">
        <is>
          <t>Monthly - Tuesday</t>
        </is>
      </c>
      <c r="I2876" t="inlineStr">
        <is>
          <t>Monthly - Tuesday</t>
        </is>
      </c>
      <c r="J2876" t="inlineStr">
        <is>
          <t>Month+26 Expiry</t>
        </is>
      </c>
      <c r="K2876" s="25" t="n">
        <v>0</v>
      </c>
      <c r="L2876" s="26" t="n">
        <v>0</v>
      </c>
      <c r="M2876" s="26" t="n">
        <v>0</v>
      </c>
    </row>
    <row r="2877" ht="16" customHeight="1">
      <c r="A2877" t="inlineStr">
        <is>
          <t>24-Apr-2026</t>
        </is>
      </c>
      <c r="B2877" t="inlineStr">
        <is>
          <t>Friday</t>
        </is>
      </c>
      <c r="C2877" t="inlineStr">
        <is>
          <t>Week4-Apr-2026</t>
        </is>
      </c>
      <c r="D2877" s="78" t="n">
        <v>46113</v>
      </c>
      <c r="E2877" t="inlineStr">
        <is>
          <t>Q1FY27</t>
        </is>
      </c>
      <c r="F2877" t="inlineStr">
        <is>
          <t>26-Dec-2028</t>
        </is>
      </c>
      <c r="G2877" t="inlineStr">
        <is>
          <t>Tuesday</t>
        </is>
      </c>
      <c r="H2877" t="inlineStr">
        <is>
          <t>Monthly - Tuesday</t>
        </is>
      </c>
      <c r="I2877" t="inlineStr">
        <is>
          <t>Monthly - Tuesday</t>
        </is>
      </c>
      <c r="J2877" t="inlineStr">
        <is>
          <t>Month+32 Expiry</t>
        </is>
      </c>
      <c r="K2877" s="25" t="n">
        <v>5</v>
      </c>
      <c r="L2877" s="26" t="n">
        <v>0.008999999999999999</v>
      </c>
      <c r="M2877" s="26" t="n">
        <v>0.0004</v>
      </c>
    </row>
    <row r="2878" ht="16" customHeight="1">
      <c r="A2878" t="inlineStr">
        <is>
          <t>24-Apr-2026</t>
        </is>
      </c>
      <c r="B2878" t="inlineStr">
        <is>
          <t>Friday</t>
        </is>
      </c>
      <c r="C2878" t="inlineStr">
        <is>
          <t>Week4-Apr-2026</t>
        </is>
      </c>
      <c r="D2878" s="78" t="n">
        <v>46113</v>
      </c>
      <c r="E2878" t="inlineStr">
        <is>
          <t>Q1FY27</t>
        </is>
      </c>
      <c r="F2878" t="inlineStr">
        <is>
          <t>26-Jun-2029</t>
        </is>
      </c>
      <c r="G2878" t="inlineStr">
        <is>
          <t>Tuesday</t>
        </is>
      </c>
      <c r="H2878" t="inlineStr">
        <is>
          <t>Monthly - Tuesday</t>
        </is>
      </c>
      <c r="I2878" t="inlineStr">
        <is>
          <t>Monthly - Tuesday</t>
        </is>
      </c>
      <c r="J2878" t="inlineStr">
        <is>
          <t>Month+38 Expiry</t>
        </is>
      </c>
      <c r="K2878" s="25" t="n">
        <v>0</v>
      </c>
      <c r="L2878" s="26" t="n">
        <v>0</v>
      </c>
      <c r="M2878" s="26" t="n">
        <v>0</v>
      </c>
    </row>
    <row r="2879" ht="16" customHeight="1">
      <c r="A2879" t="inlineStr">
        <is>
          <t>24-Apr-2026</t>
        </is>
      </c>
      <c r="B2879" t="inlineStr">
        <is>
          <t>Friday</t>
        </is>
      </c>
      <c r="C2879" t="inlineStr">
        <is>
          <t>Week4-Apr-2026</t>
        </is>
      </c>
      <c r="D2879" s="78" t="n">
        <v>46113</v>
      </c>
      <c r="E2879" t="inlineStr">
        <is>
          <t>Q1FY27</t>
        </is>
      </c>
      <c r="F2879" t="inlineStr">
        <is>
          <t>24-Dec-2029</t>
        </is>
      </c>
      <c r="G2879" t="inlineStr">
        <is>
          <t>Monday</t>
        </is>
      </c>
      <c r="H2879" t="inlineStr">
        <is>
          <t>Weekly - Monday</t>
        </is>
      </c>
      <c r="I2879" t="inlineStr">
        <is>
          <t>Weekly - Monday</t>
        </is>
      </c>
      <c r="J2879" t="inlineStr">
        <is>
          <t>Month+44 Expiry</t>
        </is>
      </c>
      <c r="K2879" s="25" t="n">
        <v>0</v>
      </c>
      <c r="L2879" s="26" t="n">
        <v>0</v>
      </c>
      <c r="M2879" s="26" t="n">
        <v>0</v>
      </c>
    </row>
    <row r="2880" ht="16" customHeight="1">
      <c r="A2880" t="inlineStr">
        <is>
          <t>24-Apr-2026</t>
        </is>
      </c>
      <c r="B2880" t="inlineStr">
        <is>
          <t>Friday</t>
        </is>
      </c>
      <c r="C2880" t="inlineStr">
        <is>
          <t>Week4-Apr-2026</t>
        </is>
      </c>
      <c r="D2880" s="78" t="n">
        <v>46113</v>
      </c>
      <c r="E2880" t="inlineStr">
        <is>
          <t>Q1FY27</t>
        </is>
      </c>
      <c r="F2880" t="inlineStr">
        <is>
          <t>25-Jun-2030</t>
        </is>
      </c>
      <c r="G2880" t="inlineStr">
        <is>
          <t>Tuesday</t>
        </is>
      </c>
      <c r="H2880" t="inlineStr">
        <is>
          <t>Monthly - Tuesday</t>
        </is>
      </c>
      <c r="I2880" t="inlineStr">
        <is>
          <t>Monthly - Tuesday</t>
        </is>
      </c>
      <c r="J2880" t="inlineStr">
        <is>
          <t>Month+50 Expiry</t>
        </is>
      </c>
      <c r="K2880" s="25" t="n">
        <v>0</v>
      </c>
      <c r="L2880" s="26" t="n">
        <v>0</v>
      </c>
      <c r="M2880" s="26" t="n">
        <v>0</v>
      </c>
    </row>
    <row r="2881" ht="16" customHeight="1">
      <c r="A2881" t="inlineStr">
        <is>
          <t>24-Apr-2026</t>
        </is>
      </c>
      <c r="B2881" t="inlineStr">
        <is>
          <t>Friday</t>
        </is>
      </c>
      <c r="C2881" t="inlineStr">
        <is>
          <t>Week4-Apr-2026</t>
        </is>
      </c>
      <c r="D2881" s="78" t="n">
        <v>46113</v>
      </c>
      <c r="E2881" t="inlineStr">
        <is>
          <t>Q1FY27</t>
        </is>
      </c>
      <c r="F2881" t="inlineStr">
        <is>
          <t>31-Dec-2030</t>
        </is>
      </c>
      <c r="G2881" t="inlineStr">
        <is>
          <t>Tuesday</t>
        </is>
      </c>
      <c r="H2881" t="inlineStr">
        <is>
          <t>Monthly - Tuesday</t>
        </is>
      </c>
      <c r="I2881" t="inlineStr">
        <is>
          <t>Monthly - Tuesday</t>
        </is>
      </c>
      <c r="J2881" t="inlineStr">
        <is>
          <t>Month+56 Expiry</t>
        </is>
      </c>
      <c r="K2881" s="25" t="n">
        <v>0</v>
      </c>
      <c r="L2881" s="26" t="n">
        <v>0</v>
      </c>
      <c r="M2881" s="26" t="n">
        <v>0</v>
      </c>
    </row>
    <row r="2882" ht="16" customHeight="1">
      <c r="A2882" t="inlineStr">
        <is>
          <t>27-Apr-2026</t>
        </is>
      </c>
      <c r="B2882" t="inlineStr">
        <is>
          <t>Monday</t>
        </is>
      </c>
      <c r="C2882" t="inlineStr">
        <is>
          <t>Week4-Apr-2026</t>
        </is>
      </c>
      <c r="D2882" s="78" t="n">
        <v>46113</v>
      </c>
      <c r="E2882" t="inlineStr">
        <is>
          <t>Q1FY27</t>
        </is>
      </c>
      <c r="F2882" t="inlineStr">
        <is>
          <t>28-Apr-2026</t>
        </is>
      </c>
      <c r="G2882" t="inlineStr">
        <is>
          <t>Tuesday</t>
        </is>
      </c>
      <c r="H2882" t="inlineStr">
        <is>
          <t>Monthly - Tuesday</t>
        </is>
      </c>
      <c r="I2882" t="inlineStr">
        <is>
          <t>MDAW - Tuesday</t>
        </is>
      </c>
      <c r="J2882" t="inlineStr">
        <is>
          <t>Same Month Expiry</t>
        </is>
      </c>
      <c r="K2882" s="25" t="n">
        <v>117175427</v>
      </c>
      <c r="L2882" s="26" t="n">
        <v>183796.7254</v>
      </c>
      <c r="M2882" s="26" t="n">
        <v>461.2923</v>
      </c>
    </row>
    <row r="2883" ht="16" customHeight="1">
      <c r="A2883" t="inlineStr">
        <is>
          <t>27-Apr-2026</t>
        </is>
      </c>
      <c r="B2883" t="inlineStr">
        <is>
          <t>Monday</t>
        </is>
      </c>
      <c r="C2883" t="inlineStr">
        <is>
          <t>Week4-Apr-2026</t>
        </is>
      </c>
      <c r="D2883" s="78" t="n">
        <v>46113</v>
      </c>
      <c r="E2883" t="inlineStr">
        <is>
          <t>Q1FY27</t>
        </is>
      </c>
      <c r="F2883" t="inlineStr">
        <is>
          <t>05-May-2026</t>
        </is>
      </c>
      <c r="G2883" t="inlineStr">
        <is>
          <t>Tuesday</t>
        </is>
      </c>
      <c r="H2883" t="inlineStr">
        <is>
          <t>Weekly - Tuesday</t>
        </is>
      </c>
      <c r="I2883" t="inlineStr">
        <is>
          <t>Weekly - Tuesday</t>
        </is>
      </c>
      <c r="J2883" t="inlineStr">
        <is>
          <t>Month+1 Expiry</t>
        </is>
      </c>
      <c r="K2883" s="25" t="n">
        <v>3827238</v>
      </c>
      <c r="L2883" s="26" t="n">
        <v>6040.3881</v>
      </c>
      <c r="M2883" s="26" t="n">
        <v>27.0335</v>
      </c>
    </row>
    <row r="2884" ht="16" customHeight="1">
      <c r="A2884" t="inlineStr">
        <is>
          <t>27-Apr-2026</t>
        </is>
      </c>
      <c r="B2884" t="inlineStr">
        <is>
          <t>Monday</t>
        </is>
      </c>
      <c r="C2884" t="inlineStr">
        <is>
          <t>Week4-Apr-2026</t>
        </is>
      </c>
      <c r="D2884" s="78" t="n">
        <v>46113</v>
      </c>
      <c r="E2884" t="inlineStr">
        <is>
          <t>Q1FY27</t>
        </is>
      </c>
      <c r="F2884" t="inlineStr">
        <is>
          <t>12-May-2026</t>
        </is>
      </c>
      <c r="G2884" t="inlineStr">
        <is>
          <t>Tuesday</t>
        </is>
      </c>
      <c r="H2884" t="inlineStr">
        <is>
          <t>Weekly - Tuesday</t>
        </is>
      </c>
      <c r="I2884" t="inlineStr">
        <is>
          <t>Weekly - Tuesday</t>
        </is>
      </c>
      <c r="J2884" t="inlineStr">
        <is>
          <t>Month+1 Expiry</t>
        </is>
      </c>
      <c r="K2884" s="25" t="n">
        <v>255460</v>
      </c>
      <c r="L2884" s="26" t="n">
        <v>404.4546</v>
      </c>
      <c r="M2884" s="26" t="n">
        <v>2.7006</v>
      </c>
    </row>
    <row r="2885" ht="16" customHeight="1">
      <c r="A2885" t="inlineStr">
        <is>
          <t>27-Apr-2026</t>
        </is>
      </c>
      <c r="B2885" t="inlineStr">
        <is>
          <t>Monday</t>
        </is>
      </c>
      <c r="C2885" t="inlineStr">
        <is>
          <t>Week4-Apr-2026</t>
        </is>
      </c>
      <c r="D2885" s="78" t="n">
        <v>46113</v>
      </c>
      <c r="E2885" t="inlineStr">
        <is>
          <t>Q1FY27</t>
        </is>
      </c>
      <c r="F2885" t="inlineStr">
        <is>
          <t>19-May-2026</t>
        </is>
      </c>
      <c r="G2885" t="inlineStr">
        <is>
          <t>Tuesday</t>
        </is>
      </c>
      <c r="H2885" t="inlineStr">
        <is>
          <t>Weekly - Tuesday</t>
        </is>
      </c>
      <c r="I2885" t="inlineStr">
        <is>
          <t>Weekly - Tuesday</t>
        </is>
      </c>
      <c r="J2885" t="inlineStr">
        <is>
          <t>Month+1 Expiry</t>
        </is>
      </c>
      <c r="K2885" s="25" t="n">
        <v>29441</v>
      </c>
      <c r="L2885" s="26" t="n">
        <v>47.193</v>
      </c>
      <c r="M2885" s="26" t="n">
        <v>0.4503</v>
      </c>
    </row>
    <row r="2886" ht="16" customHeight="1">
      <c r="A2886" t="inlineStr">
        <is>
          <t>27-Apr-2026</t>
        </is>
      </c>
      <c r="B2886" t="inlineStr">
        <is>
          <t>Monday</t>
        </is>
      </c>
      <c r="C2886" t="inlineStr">
        <is>
          <t>Week4-Apr-2026</t>
        </is>
      </c>
      <c r="D2886" s="78" t="n">
        <v>46113</v>
      </c>
      <c r="E2886" t="inlineStr">
        <is>
          <t>Q1FY27</t>
        </is>
      </c>
      <c r="F2886" t="inlineStr">
        <is>
          <t>26-May-2026</t>
        </is>
      </c>
      <c r="G2886" t="inlineStr">
        <is>
          <t>Tuesday</t>
        </is>
      </c>
      <c r="H2886" t="inlineStr">
        <is>
          <t>Monthly - Tuesday</t>
        </is>
      </c>
      <c r="I2886" t="inlineStr">
        <is>
          <t>Monthly - Tuesday</t>
        </is>
      </c>
      <c r="J2886" t="inlineStr">
        <is>
          <t>Month+1 Expiry</t>
        </is>
      </c>
      <c r="K2886" s="25" t="n">
        <v>803941</v>
      </c>
      <c r="L2886" s="26" t="n">
        <v>1285.106</v>
      </c>
      <c r="M2886" s="26" t="n">
        <v>19.2538</v>
      </c>
    </row>
    <row r="2887" ht="16" customHeight="1">
      <c r="A2887" t="inlineStr">
        <is>
          <t>27-Apr-2026</t>
        </is>
      </c>
      <c r="B2887" t="inlineStr">
        <is>
          <t>Monday</t>
        </is>
      </c>
      <c r="C2887" t="inlineStr">
        <is>
          <t>Week4-Apr-2026</t>
        </is>
      </c>
      <c r="D2887" s="78" t="n">
        <v>46113</v>
      </c>
      <c r="E2887" t="inlineStr">
        <is>
          <t>Q1FY27</t>
        </is>
      </c>
      <c r="F2887" t="inlineStr">
        <is>
          <t>02-Jun-2026</t>
        </is>
      </c>
      <c r="G2887" t="inlineStr">
        <is>
          <t>Tuesday</t>
        </is>
      </c>
      <c r="H2887" t="inlineStr">
        <is>
          <t>Weekly - Tuesday</t>
        </is>
      </c>
      <c r="I2887" t="inlineStr">
        <is>
          <t>Weekly - Tuesday</t>
        </is>
      </c>
      <c r="J2887" t="inlineStr">
        <is>
          <t>Month+2 Expiry</t>
        </is>
      </c>
      <c r="K2887" s="25" t="n">
        <v>1478</v>
      </c>
      <c r="L2887" s="26" t="n">
        <v>2.4394</v>
      </c>
      <c r="M2887" s="26" t="n">
        <v>0.0207</v>
      </c>
    </row>
    <row r="2888" ht="16" customHeight="1">
      <c r="A2888" t="inlineStr">
        <is>
          <t>27-Apr-2026</t>
        </is>
      </c>
      <c r="B2888" t="inlineStr">
        <is>
          <t>Monday</t>
        </is>
      </c>
      <c r="C2888" t="inlineStr">
        <is>
          <t>Week4-Apr-2026</t>
        </is>
      </c>
      <c r="D2888" s="78" t="n">
        <v>46113</v>
      </c>
      <c r="E2888" t="inlineStr">
        <is>
          <t>Q1FY27</t>
        </is>
      </c>
      <c r="F2888" t="inlineStr">
        <is>
          <t>30-Jun-2026</t>
        </is>
      </c>
      <c r="G2888" t="inlineStr">
        <is>
          <t>Tuesday</t>
        </is>
      </c>
      <c r="H2888" t="inlineStr">
        <is>
          <t>Monthly - Tuesday</t>
        </is>
      </c>
      <c r="I2888" t="inlineStr">
        <is>
          <t>Monthly - Tuesday</t>
        </is>
      </c>
      <c r="J2888" t="inlineStr">
        <is>
          <t>Month+2 Expiry</t>
        </is>
      </c>
      <c r="K2888" s="25" t="n">
        <v>200640</v>
      </c>
      <c r="L2888" s="26" t="n">
        <v>314.3861</v>
      </c>
      <c r="M2888" s="26" t="n">
        <v>4.3193</v>
      </c>
    </row>
    <row r="2889" ht="16" customHeight="1">
      <c r="A2889" t="inlineStr">
        <is>
          <t>27-Apr-2026</t>
        </is>
      </c>
      <c r="B2889" t="inlineStr">
        <is>
          <t>Monday</t>
        </is>
      </c>
      <c r="C2889" t="inlineStr">
        <is>
          <t>Week4-Apr-2026</t>
        </is>
      </c>
      <c r="D2889" s="78" t="n">
        <v>46113</v>
      </c>
      <c r="E2889" t="inlineStr">
        <is>
          <t>Q1FY27</t>
        </is>
      </c>
      <c r="F2889" t="inlineStr">
        <is>
          <t>29-Sep-2026</t>
        </is>
      </c>
      <c r="G2889" t="inlineStr">
        <is>
          <t>Tuesday</t>
        </is>
      </c>
      <c r="H2889" t="inlineStr">
        <is>
          <t>Monthly - Tuesday</t>
        </is>
      </c>
      <c r="I2889" t="inlineStr">
        <is>
          <t>Monthly - Tuesday</t>
        </is>
      </c>
      <c r="J2889" t="inlineStr">
        <is>
          <t>Month+5 Expiry</t>
        </is>
      </c>
      <c r="K2889" s="25" t="n">
        <v>28255</v>
      </c>
      <c r="L2889" s="26" t="n">
        <v>47.1177</v>
      </c>
      <c r="M2889" s="26" t="n">
        <v>0.9284</v>
      </c>
    </row>
    <row r="2890" ht="16" customHeight="1">
      <c r="A2890" t="inlineStr">
        <is>
          <t>27-Apr-2026</t>
        </is>
      </c>
      <c r="B2890" t="inlineStr">
        <is>
          <t>Monday</t>
        </is>
      </c>
      <c r="C2890" t="inlineStr">
        <is>
          <t>Week4-Apr-2026</t>
        </is>
      </c>
      <c r="D2890" s="78" t="n">
        <v>46113</v>
      </c>
      <c r="E2890" t="inlineStr">
        <is>
          <t>Q1FY27</t>
        </is>
      </c>
      <c r="F2890" t="inlineStr">
        <is>
          <t>29-Dec-2026</t>
        </is>
      </c>
      <c r="G2890" t="inlineStr">
        <is>
          <t>Tuesday</t>
        </is>
      </c>
      <c r="H2890" t="inlineStr">
        <is>
          <t>Monthly - Tuesday</t>
        </is>
      </c>
      <c r="I2890" t="inlineStr">
        <is>
          <t>Monthly - Tuesday</t>
        </is>
      </c>
      <c r="J2890" t="inlineStr">
        <is>
          <t>Month+8 Expiry</t>
        </is>
      </c>
      <c r="K2890" s="25" t="n">
        <v>28653</v>
      </c>
      <c r="L2890" s="26" t="n">
        <v>47.6534</v>
      </c>
      <c r="M2890" s="26" t="n">
        <v>1.4078</v>
      </c>
    </row>
    <row r="2891" ht="16" customHeight="1">
      <c r="A2891" t="inlineStr">
        <is>
          <t>27-Apr-2026</t>
        </is>
      </c>
      <c r="B2891" t="inlineStr">
        <is>
          <t>Monday</t>
        </is>
      </c>
      <c r="C2891" t="inlineStr">
        <is>
          <t>Week4-Apr-2026</t>
        </is>
      </c>
      <c r="D2891" s="78" t="n">
        <v>46113</v>
      </c>
      <c r="E2891" t="inlineStr">
        <is>
          <t>Q1FY27</t>
        </is>
      </c>
      <c r="F2891" t="inlineStr">
        <is>
          <t>30-Mar-2027</t>
        </is>
      </c>
      <c r="G2891" t="inlineStr">
        <is>
          <t>Tuesday</t>
        </is>
      </c>
      <c r="H2891" t="inlineStr">
        <is>
          <t>Monthly - Tuesday</t>
        </is>
      </c>
      <c r="I2891" t="inlineStr">
        <is>
          <t>Monthly - Tuesday</t>
        </is>
      </c>
      <c r="J2891" t="inlineStr">
        <is>
          <t>Month+11 Expiry</t>
        </is>
      </c>
      <c r="K2891" s="25" t="n">
        <v>0</v>
      </c>
      <c r="L2891" s="26" t="n">
        <v>0</v>
      </c>
      <c r="M2891" s="26" t="n">
        <v>0</v>
      </c>
    </row>
    <row r="2892" ht="16" customHeight="1">
      <c r="A2892" t="inlineStr">
        <is>
          <t>27-Apr-2026</t>
        </is>
      </c>
      <c r="B2892" t="inlineStr">
        <is>
          <t>Monday</t>
        </is>
      </c>
      <c r="C2892" t="inlineStr">
        <is>
          <t>Week4-Apr-2026</t>
        </is>
      </c>
      <c r="D2892" s="78" t="n">
        <v>46113</v>
      </c>
      <c r="E2892" t="inlineStr">
        <is>
          <t>Q1FY27</t>
        </is>
      </c>
      <c r="F2892" t="inlineStr">
        <is>
          <t>29-Jun-2027</t>
        </is>
      </c>
      <c r="G2892" t="inlineStr">
        <is>
          <t>Tuesday</t>
        </is>
      </c>
      <c r="H2892" t="inlineStr">
        <is>
          <t>Monthly - Tuesday</t>
        </is>
      </c>
      <c r="I2892" t="inlineStr">
        <is>
          <t>Monthly - Tuesday</t>
        </is>
      </c>
      <c r="J2892" t="inlineStr">
        <is>
          <t>Month+14 Expiry</t>
        </is>
      </c>
      <c r="K2892" s="25" t="n">
        <v>0</v>
      </c>
      <c r="L2892" s="26" t="n">
        <v>0</v>
      </c>
      <c r="M2892" s="26" t="n">
        <v>0</v>
      </c>
    </row>
    <row r="2893" ht="16" customHeight="1">
      <c r="A2893" t="inlineStr">
        <is>
          <t>27-Apr-2026</t>
        </is>
      </c>
      <c r="B2893" t="inlineStr">
        <is>
          <t>Monday</t>
        </is>
      </c>
      <c r="C2893" t="inlineStr">
        <is>
          <t>Week4-Apr-2026</t>
        </is>
      </c>
      <c r="D2893" s="78" t="n">
        <v>46113</v>
      </c>
      <c r="E2893" t="inlineStr">
        <is>
          <t>Q1FY27</t>
        </is>
      </c>
      <c r="F2893" t="inlineStr">
        <is>
          <t>28-Dec-2027</t>
        </is>
      </c>
      <c r="G2893" t="inlineStr">
        <is>
          <t>Tuesday</t>
        </is>
      </c>
      <c r="H2893" t="inlineStr">
        <is>
          <t>Monthly - Tuesday</t>
        </is>
      </c>
      <c r="I2893" t="inlineStr">
        <is>
          <t>Monthly - Tuesday</t>
        </is>
      </c>
      <c r="J2893" t="inlineStr">
        <is>
          <t>Month+20 Expiry</t>
        </is>
      </c>
      <c r="K2893" s="25" t="n">
        <v>216</v>
      </c>
      <c r="L2893" s="26" t="n">
        <v>0.3716</v>
      </c>
      <c r="M2893" s="26" t="n">
        <v>0.0161</v>
      </c>
    </row>
    <row r="2894" ht="16" customHeight="1">
      <c r="A2894" t="inlineStr">
        <is>
          <t>27-Apr-2026</t>
        </is>
      </c>
      <c r="B2894" t="inlineStr">
        <is>
          <t>Monday</t>
        </is>
      </c>
      <c r="C2894" t="inlineStr">
        <is>
          <t>Week4-Apr-2026</t>
        </is>
      </c>
      <c r="D2894" s="78" t="n">
        <v>46113</v>
      </c>
      <c r="E2894" t="inlineStr">
        <is>
          <t>Q1FY27</t>
        </is>
      </c>
      <c r="F2894" t="inlineStr">
        <is>
          <t>27-Jun-2028</t>
        </is>
      </c>
      <c r="G2894" t="inlineStr">
        <is>
          <t>Tuesday</t>
        </is>
      </c>
      <c r="H2894" t="inlineStr">
        <is>
          <t>Monthly - Tuesday</t>
        </is>
      </c>
      <c r="I2894" t="inlineStr">
        <is>
          <t>Monthly - Tuesday</t>
        </is>
      </c>
      <c r="J2894" t="inlineStr">
        <is>
          <t>Month+26 Expiry</t>
        </is>
      </c>
      <c r="K2894" s="25" t="n">
        <v>0</v>
      </c>
      <c r="L2894" s="26" t="n">
        <v>0</v>
      </c>
      <c r="M2894" s="26" t="n">
        <v>0</v>
      </c>
    </row>
    <row r="2895" ht="16" customHeight="1">
      <c r="A2895" t="inlineStr">
        <is>
          <t>27-Apr-2026</t>
        </is>
      </c>
      <c r="B2895" t="inlineStr">
        <is>
          <t>Monday</t>
        </is>
      </c>
      <c r="C2895" t="inlineStr">
        <is>
          <t>Week4-Apr-2026</t>
        </is>
      </c>
      <c r="D2895" s="78" t="n">
        <v>46113</v>
      </c>
      <c r="E2895" t="inlineStr">
        <is>
          <t>Q1FY27</t>
        </is>
      </c>
      <c r="F2895" t="inlineStr">
        <is>
          <t>26-Dec-2028</t>
        </is>
      </c>
      <c r="G2895" t="inlineStr">
        <is>
          <t>Tuesday</t>
        </is>
      </c>
      <c r="H2895" t="inlineStr">
        <is>
          <t>Monthly - Tuesday</t>
        </is>
      </c>
      <c r="I2895" t="inlineStr">
        <is>
          <t>Monthly - Tuesday</t>
        </is>
      </c>
      <c r="J2895" t="inlineStr">
        <is>
          <t>Month+32 Expiry</t>
        </is>
      </c>
      <c r="K2895" s="25" t="n">
        <v>5</v>
      </c>
      <c r="L2895" s="26" t="n">
        <v>0.008699999999999999</v>
      </c>
      <c r="M2895" s="26" t="n">
        <v>0.0005999999999999999</v>
      </c>
    </row>
    <row r="2896" ht="16" customHeight="1">
      <c r="A2896" t="inlineStr">
        <is>
          <t>27-Apr-2026</t>
        </is>
      </c>
      <c r="B2896" t="inlineStr">
        <is>
          <t>Monday</t>
        </is>
      </c>
      <c r="C2896" t="inlineStr">
        <is>
          <t>Week4-Apr-2026</t>
        </is>
      </c>
      <c r="D2896" s="78" t="n">
        <v>46113</v>
      </c>
      <c r="E2896" t="inlineStr">
        <is>
          <t>Q1FY27</t>
        </is>
      </c>
      <c r="F2896" t="inlineStr">
        <is>
          <t>26-Jun-2029</t>
        </is>
      </c>
      <c r="G2896" t="inlineStr">
        <is>
          <t>Tuesday</t>
        </is>
      </c>
      <c r="H2896" t="inlineStr">
        <is>
          <t>Monthly - Tuesday</t>
        </is>
      </c>
      <c r="I2896" t="inlineStr">
        <is>
          <t>Monthly - Tuesday</t>
        </is>
      </c>
      <c r="J2896" t="inlineStr">
        <is>
          <t>Month+38 Expiry</t>
        </is>
      </c>
      <c r="K2896" s="25" t="n">
        <v>0</v>
      </c>
      <c r="L2896" s="26" t="n">
        <v>0</v>
      </c>
      <c r="M2896" s="26" t="n">
        <v>0</v>
      </c>
    </row>
    <row r="2897" ht="16" customHeight="1">
      <c r="A2897" t="inlineStr">
        <is>
          <t>27-Apr-2026</t>
        </is>
      </c>
      <c r="B2897" t="inlineStr">
        <is>
          <t>Monday</t>
        </is>
      </c>
      <c r="C2897" t="inlineStr">
        <is>
          <t>Week4-Apr-2026</t>
        </is>
      </c>
      <c r="D2897" s="78" t="n">
        <v>46113</v>
      </c>
      <c r="E2897" t="inlineStr">
        <is>
          <t>Q1FY27</t>
        </is>
      </c>
      <c r="F2897" t="inlineStr">
        <is>
          <t>24-Dec-2029</t>
        </is>
      </c>
      <c r="G2897" t="inlineStr">
        <is>
          <t>Monday</t>
        </is>
      </c>
      <c r="H2897" t="inlineStr">
        <is>
          <t>Weekly - Monday</t>
        </is>
      </c>
      <c r="I2897" t="inlineStr">
        <is>
          <t>Weekly - Monday</t>
        </is>
      </c>
      <c r="J2897" t="inlineStr">
        <is>
          <t>Month+44 Expiry</t>
        </is>
      </c>
      <c r="K2897" s="25" t="n">
        <v>0</v>
      </c>
      <c r="L2897" s="26" t="n">
        <v>0</v>
      </c>
      <c r="M2897" s="26" t="n">
        <v>0</v>
      </c>
    </row>
    <row r="2898" ht="16" customHeight="1">
      <c r="A2898" t="inlineStr">
        <is>
          <t>27-Apr-2026</t>
        </is>
      </c>
      <c r="B2898" t="inlineStr">
        <is>
          <t>Monday</t>
        </is>
      </c>
      <c r="C2898" t="inlineStr">
        <is>
          <t>Week4-Apr-2026</t>
        </is>
      </c>
      <c r="D2898" s="78" t="n">
        <v>46113</v>
      </c>
      <c r="E2898" t="inlineStr">
        <is>
          <t>Q1FY27</t>
        </is>
      </c>
      <c r="F2898" t="inlineStr">
        <is>
          <t>25-Jun-2030</t>
        </is>
      </c>
      <c r="G2898" t="inlineStr">
        <is>
          <t>Tuesday</t>
        </is>
      </c>
      <c r="H2898" t="inlineStr">
        <is>
          <t>Monthly - Tuesday</t>
        </is>
      </c>
      <c r="I2898" t="inlineStr">
        <is>
          <t>Monthly - Tuesday</t>
        </is>
      </c>
      <c r="J2898" t="inlineStr">
        <is>
          <t>Month+50 Expiry</t>
        </is>
      </c>
      <c r="K2898" s="25" t="n">
        <v>0</v>
      </c>
      <c r="L2898" s="26" t="n">
        <v>0</v>
      </c>
      <c r="M2898" s="26" t="n">
        <v>0</v>
      </c>
    </row>
    <row r="2899" ht="16" customHeight="1">
      <c r="A2899" t="inlineStr">
        <is>
          <t>27-Apr-2026</t>
        </is>
      </c>
      <c r="B2899" t="inlineStr">
        <is>
          <t>Monday</t>
        </is>
      </c>
      <c r="C2899" t="inlineStr">
        <is>
          <t>Week4-Apr-2026</t>
        </is>
      </c>
      <c r="D2899" s="78" t="n">
        <v>46113</v>
      </c>
      <c r="E2899" t="inlineStr">
        <is>
          <t>Q1FY27</t>
        </is>
      </c>
      <c r="F2899" t="inlineStr">
        <is>
          <t>31-Dec-2030</t>
        </is>
      </c>
      <c r="G2899" t="inlineStr">
        <is>
          <t>Tuesday</t>
        </is>
      </c>
      <c r="H2899" t="inlineStr">
        <is>
          <t>Monthly - Tuesday</t>
        </is>
      </c>
      <c r="I2899" t="inlineStr">
        <is>
          <t>Monthly - Tuesday</t>
        </is>
      </c>
      <c r="J2899" t="inlineStr">
        <is>
          <t>Month+56 Expiry</t>
        </is>
      </c>
      <c r="K2899" s="25" t="n">
        <v>0</v>
      </c>
      <c r="L2899" s="26" t="n">
        <v>0</v>
      </c>
      <c r="M2899" s="26" t="n">
        <v>0</v>
      </c>
    </row>
    <row r="2900" ht="16" customHeight="1">
      <c r="A2900" t="inlineStr">
        <is>
          <t>28-Apr-2026</t>
        </is>
      </c>
      <c r="B2900" t="inlineStr">
        <is>
          <t>Tuesday</t>
        </is>
      </c>
      <c r="C2900" t="inlineStr">
        <is>
          <t>Week4-Apr-2026</t>
        </is>
      </c>
      <c r="D2900" s="78" t="n">
        <v>46113</v>
      </c>
      <c r="E2900" t="inlineStr">
        <is>
          <t>Q1FY27</t>
        </is>
      </c>
      <c r="F2900" t="inlineStr">
        <is>
          <t>28-Apr-2026</t>
        </is>
      </c>
      <c r="G2900" t="inlineStr">
        <is>
          <t>Tuesday</t>
        </is>
      </c>
      <c r="H2900" t="inlineStr">
        <is>
          <t>Monthly - Tuesday</t>
        </is>
      </c>
      <c r="I2900" t="inlineStr">
        <is>
          <t>MDAW - Tuesday</t>
        </is>
      </c>
      <c r="J2900" t="inlineStr">
        <is>
          <t>Same Month Expiry</t>
        </is>
      </c>
      <c r="K2900" s="25" t="n">
        <v>339366050</v>
      </c>
      <c r="L2900" s="26" t="n">
        <v>530928.3621</v>
      </c>
      <c r="M2900" s="26" t="n">
        <v>546.0971</v>
      </c>
    </row>
    <row r="2901" ht="16" customHeight="1">
      <c r="A2901" t="inlineStr">
        <is>
          <t>28-Apr-2026</t>
        </is>
      </c>
      <c r="B2901" t="inlineStr">
        <is>
          <t>Tuesday</t>
        </is>
      </c>
      <c r="C2901" t="inlineStr">
        <is>
          <t>Week4-Apr-2026</t>
        </is>
      </c>
      <c r="D2901" s="78" t="n">
        <v>46113</v>
      </c>
      <c r="E2901" t="inlineStr">
        <is>
          <t>Q1FY27</t>
        </is>
      </c>
      <c r="F2901" t="inlineStr">
        <is>
          <t>05-May-2026</t>
        </is>
      </c>
      <c r="G2901" t="inlineStr">
        <is>
          <t>Tuesday</t>
        </is>
      </c>
      <c r="H2901" t="inlineStr">
        <is>
          <t>Weekly - Tuesday</t>
        </is>
      </c>
      <c r="I2901" t="inlineStr">
        <is>
          <t>Weekly - Tuesday</t>
        </is>
      </c>
      <c r="J2901" t="inlineStr">
        <is>
          <t>Month+1 Expiry</t>
        </is>
      </c>
      <c r="K2901" s="25" t="n">
        <v>8296714</v>
      </c>
      <c r="L2901" s="26" t="n">
        <v>13079.1044</v>
      </c>
      <c r="M2901" s="26" t="n">
        <v>54.3452</v>
      </c>
    </row>
    <row r="2902" ht="16" customHeight="1">
      <c r="A2902" t="inlineStr">
        <is>
          <t>28-Apr-2026</t>
        </is>
      </c>
      <c r="B2902" t="inlineStr">
        <is>
          <t>Tuesday</t>
        </is>
      </c>
      <c r="C2902" t="inlineStr">
        <is>
          <t>Week4-Apr-2026</t>
        </is>
      </c>
      <c r="D2902" s="78" t="n">
        <v>46113</v>
      </c>
      <c r="E2902" t="inlineStr">
        <is>
          <t>Q1FY27</t>
        </is>
      </c>
      <c r="F2902" t="inlineStr">
        <is>
          <t>12-May-2026</t>
        </is>
      </c>
      <c r="G2902" t="inlineStr">
        <is>
          <t>Tuesday</t>
        </is>
      </c>
      <c r="H2902" t="inlineStr">
        <is>
          <t>Weekly - Tuesday</t>
        </is>
      </c>
      <c r="I2902" t="inlineStr">
        <is>
          <t>Weekly - Tuesday</t>
        </is>
      </c>
      <c r="J2902" t="inlineStr">
        <is>
          <t>Month+1 Expiry</t>
        </is>
      </c>
      <c r="K2902" s="25" t="n">
        <v>388990</v>
      </c>
      <c r="L2902" s="26" t="n">
        <v>614.4473</v>
      </c>
      <c r="M2902" s="26" t="n">
        <v>3.3252</v>
      </c>
    </row>
    <row r="2903" ht="16" customHeight="1">
      <c r="A2903" t="inlineStr">
        <is>
          <t>28-Apr-2026</t>
        </is>
      </c>
      <c r="B2903" t="inlineStr">
        <is>
          <t>Tuesday</t>
        </is>
      </c>
      <c r="C2903" t="inlineStr">
        <is>
          <t>Week4-Apr-2026</t>
        </is>
      </c>
      <c r="D2903" s="78" t="n">
        <v>46113</v>
      </c>
      <c r="E2903" t="inlineStr">
        <is>
          <t>Q1FY27</t>
        </is>
      </c>
      <c r="F2903" t="inlineStr">
        <is>
          <t>19-May-2026</t>
        </is>
      </c>
      <c r="G2903" t="inlineStr">
        <is>
          <t>Tuesday</t>
        </is>
      </c>
      <c r="H2903" t="inlineStr">
        <is>
          <t>Weekly - Tuesday</t>
        </is>
      </c>
      <c r="I2903" t="inlineStr">
        <is>
          <t>Weekly - Tuesday</t>
        </is>
      </c>
      <c r="J2903" t="inlineStr">
        <is>
          <t>Month+1 Expiry</t>
        </is>
      </c>
      <c r="K2903" s="25" t="n">
        <v>34583</v>
      </c>
      <c r="L2903" s="26" t="n">
        <v>55.1804</v>
      </c>
      <c r="M2903" s="26" t="n">
        <v>0.4393</v>
      </c>
    </row>
    <row r="2904" ht="16" customHeight="1">
      <c r="A2904" t="inlineStr">
        <is>
          <t>28-Apr-2026</t>
        </is>
      </c>
      <c r="B2904" t="inlineStr">
        <is>
          <t>Tuesday</t>
        </is>
      </c>
      <c r="C2904" t="inlineStr">
        <is>
          <t>Week4-Apr-2026</t>
        </is>
      </c>
      <c r="D2904" s="78" t="n">
        <v>46113</v>
      </c>
      <c r="E2904" t="inlineStr">
        <is>
          <t>Q1FY27</t>
        </is>
      </c>
      <c r="F2904" t="inlineStr">
        <is>
          <t>26-May-2026</t>
        </is>
      </c>
      <c r="G2904" t="inlineStr">
        <is>
          <t>Tuesday</t>
        </is>
      </c>
      <c r="H2904" t="inlineStr">
        <is>
          <t>Monthly - Tuesday</t>
        </is>
      </c>
      <c r="I2904" t="inlineStr">
        <is>
          <t>Monthly - Tuesday</t>
        </is>
      </c>
      <c r="J2904" t="inlineStr">
        <is>
          <t>Month+1 Expiry</t>
        </is>
      </c>
      <c r="K2904" s="25" t="n">
        <v>1046701</v>
      </c>
      <c r="L2904" s="26" t="n">
        <v>1666.3145</v>
      </c>
      <c r="M2904" s="26" t="n">
        <v>20.3276</v>
      </c>
    </row>
    <row r="2905" ht="16" customHeight="1">
      <c r="A2905" t="inlineStr">
        <is>
          <t>28-Apr-2026</t>
        </is>
      </c>
      <c r="B2905" t="inlineStr">
        <is>
          <t>Tuesday</t>
        </is>
      </c>
      <c r="C2905" t="inlineStr">
        <is>
          <t>Week4-Apr-2026</t>
        </is>
      </c>
      <c r="D2905" s="78" t="n">
        <v>46113</v>
      </c>
      <c r="E2905" t="inlineStr">
        <is>
          <t>Q1FY27</t>
        </is>
      </c>
      <c r="F2905" t="inlineStr">
        <is>
          <t>02-Jun-2026</t>
        </is>
      </c>
      <c r="G2905" t="inlineStr">
        <is>
          <t>Tuesday</t>
        </is>
      </c>
      <c r="H2905" t="inlineStr">
        <is>
          <t>Weekly - Tuesday</t>
        </is>
      </c>
      <c r="I2905" t="inlineStr">
        <is>
          <t>Weekly - Tuesday</t>
        </is>
      </c>
      <c r="J2905" t="inlineStr">
        <is>
          <t>Month+2 Expiry</t>
        </is>
      </c>
      <c r="K2905" s="25" t="n">
        <v>2451</v>
      </c>
      <c r="L2905" s="26" t="n">
        <v>4.0561</v>
      </c>
      <c r="M2905" s="26" t="n">
        <v>0.0217</v>
      </c>
    </row>
    <row r="2906" ht="16" customHeight="1">
      <c r="A2906" t="inlineStr">
        <is>
          <t>28-Apr-2026</t>
        </is>
      </c>
      <c r="B2906" t="inlineStr">
        <is>
          <t>Tuesday</t>
        </is>
      </c>
      <c r="C2906" t="inlineStr">
        <is>
          <t>Week4-Apr-2026</t>
        </is>
      </c>
      <c r="D2906" s="78" t="n">
        <v>46113</v>
      </c>
      <c r="E2906" t="inlineStr">
        <is>
          <t>Q1FY27</t>
        </is>
      </c>
      <c r="F2906" t="inlineStr">
        <is>
          <t>30-Jun-2026</t>
        </is>
      </c>
      <c r="G2906" t="inlineStr">
        <is>
          <t>Tuesday</t>
        </is>
      </c>
      <c r="H2906" t="inlineStr">
        <is>
          <t>Monthly - Tuesday</t>
        </is>
      </c>
      <c r="I2906" t="inlineStr">
        <is>
          <t>Monthly - Tuesday</t>
        </is>
      </c>
      <c r="J2906" t="inlineStr">
        <is>
          <t>Month+2 Expiry</t>
        </is>
      </c>
      <c r="K2906" s="25" t="n">
        <v>167604</v>
      </c>
      <c r="L2906" s="26" t="n">
        <v>266.1204</v>
      </c>
      <c r="M2906" s="26" t="n">
        <v>3.5874</v>
      </c>
    </row>
    <row r="2907" ht="16" customHeight="1">
      <c r="A2907" t="inlineStr">
        <is>
          <t>28-Apr-2026</t>
        </is>
      </c>
      <c r="B2907" t="inlineStr">
        <is>
          <t>Tuesday</t>
        </is>
      </c>
      <c r="C2907" t="inlineStr">
        <is>
          <t>Week4-Apr-2026</t>
        </is>
      </c>
      <c r="D2907" s="78" t="n">
        <v>46113</v>
      </c>
      <c r="E2907" t="inlineStr">
        <is>
          <t>Q1FY27</t>
        </is>
      </c>
      <c r="F2907" t="inlineStr">
        <is>
          <t>29-Sep-2026</t>
        </is>
      </c>
      <c r="G2907" t="inlineStr">
        <is>
          <t>Tuesday</t>
        </is>
      </c>
      <c r="H2907" t="inlineStr">
        <is>
          <t>Monthly - Tuesday</t>
        </is>
      </c>
      <c r="I2907" t="inlineStr">
        <is>
          <t>Monthly - Tuesday</t>
        </is>
      </c>
      <c r="J2907" t="inlineStr">
        <is>
          <t>Month+5 Expiry</t>
        </is>
      </c>
      <c r="K2907" s="25" t="n">
        <v>19253</v>
      </c>
      <c r="L2907" s="26" t="n">
        <v>31.5353</v>
      </c>
      <c r="M2907" s="26" t="n">
        <v>0.6498</v>
      </c>
    </row>
    <row r="2908" ht="16" customHeight="1">
      <c r="A2908" t="inlineStr">
        <is>
          <t>28-Apr-2026</t>
        </is>
      </c>
      <c r="B2908" t="inlineStr">
        <is>
          <t>Tuesday</t>
        </is>
      </c>
      <c r="C2908" t="inlineStr">
        <is>
          <t>Week4-Apr-2026</t>
        </is>
      </c>
      <c r="D2908" s="78" t="n">
        <v>46113</v>
      </c>
      <c r="E2908" t="inlineStr">
        <is>
          <t>Q1FY27</t>
        </is>
      </c>
      <c r="F2908" t="inlineStr">
        <is>
          <t>29-Dec-2026</t>
        </is>
      </c>
      <c r="G2908" t="inlineStr">
        <is>
          <t>Tuesday</t>
        </is>
      </c>
      <c r="H2908" t="inlineStr">
        <is>
          <t>Monthly - Tuesday</t>
        </is>
      </c>
      <c r="I2908" t="inlineStr">
        <is>
          <t>Monthly - Tuesday</t>
        </is>
      </c>
      <c r="J2908" t="inlineStr">
        <is>
          <t>Month+8 Expiry</t>
        </is>
      </c>
      <c r="K2908" s="25" t="n">
        <v>22838</v>
      </c>
      <c r="L2908" s="26" t="n">
        <v>37.9284</v>
      </c>
      <c r="M2908" s="26" t="n">
        <v>0.9978</v>
      </c>
    </row>
    <row r="2909" ht="16" customHeight="1">
      <c r="A2909" t="inlineStr">
        <is>
          <t>28-Apr-2026</t>
        </is>
      </c>
      <c r="B2909" t="inlineStr">
        <is>
          <t>Tuesday</t>
        </is>
      </c>
      <c r="C2909" t="inlineStr">
        <is>
          <t>Week4-Apr-2026</t>
        </is>
      </c>
      <c r="D2909" s="78" t="n">
        <v>46113</v>
      </c>
      <c r="E2909" t="inlineStr">
        <is>
          <t>Q1FY27</t>
        </is>
      </c>
      <c r="F2909" t="inlineStr">
        <is>
          <t>30-Mar-2027</t>
        </is>
      </c>
      <c r="G2909" t="inlineStr">
        <is>
          <t>Tuesday</t>
        </is>
      </c>
      <c r="H2909" t="inlineStr">
        <is>
          <t>Monthly - Tuesday</t>
        </is>
      </c>
      <c r="I2909" t="inlineStr">
        <is>
          <t>Monthly - Tuesday</t>
        </is>
      </c>
      <c r="J2909" t="inlineStr">
        <is>
          <t>Month+11 Expiry</t>
        </is>
      </c>
      <c r="K2909" s="25" t="n">
        <v>0</v>
      </c>
      <c r="L2909" s="26" t="n">
        <v>0</v>
      </c>
      <c r="M2909" s="26" t="n">
        <v>0</v>
      </c>
    </row>
    <row r="2910" ht="16" customHeight="1">
      <c r="A2910" t="inlineStr">
        <is>
          <t>28-Apr-2026</t>
        </is>
      </c>
      <c r="B2910" t="inlineStr">
        <is>
          <t>Tuesday</t>
        </is>
      </c>
      <c r="C2910" t="inlineStr">
        <is>
          <t>Week4-Apr-2026</t>
        </is>
      </c>
      <c r="D2910" s="78" t="n">
        <v>46113</v>
      </c>
      <c r="E2910" t="inlineStr">
        <is>
          <t>Q1FY27</t>
        </is>
      </c>
      <c r="F2910" t="inlineStr">
        <is>
          <t>29-Jun-2027</t>
        </is>
      </c>
      <c r="G2910" t="inlineStr">
        <is>
          <t>Tuesday</t>
        </is>
      </c>
      <c r="H2910" t="inlineStr">
        <is>
          <t>Monthly - Tuesday</t>
        </is>
      </c>
      <c r="I2910" t="inlineStr">
        <is>
          <t>Monthly - Tuesday</t>
        </is>
      </c>
      <c r="J2910" t="inlineStr">
        <is>
          <t>Month+14 Expiry</t>
        </is>
      </c>
      <c r="K2910" s="25" t="n">
        <v>0</v>
      </c>
      <c r="L2910" s="26" t="n">
        <v>0</v>
      </c>
      <c r="M2910" s="26" t="n">
        <v>0</v>
      </c>
    </row>
    <row r="2911" ht="16" customHeight="1">
      <c r="A2911" t="inlineStr">
        <is>
          <t>28-Apr-2026</t>
        </is>
      </c>
      <c r="B2911" t="inlineStr">
        <is>
          <t>Tuesday</t>
        </is>
      </c>
      <c r="C2911" t="inlineStr">
        <is>
          <t>Week4-Apr-2026</t>
        </is>
      </c>
      <c r="D2911" s="78" t="n">
        <v>46113</v>
      </c>
      <c r="E2911" t="inlineStr">
        <is>
          <t>Q1FY27</t>
        </is>
      </c>
      <c r="F2911" t="inlineStr">
        <is>
          <t>28-Dec-2027</t>
        </is>
      </c>
      <c r="G2911" t="inlineStr">
        <is>
          <t>Tuesday</t>
        </is>
      </c>
      <c r="H2911" t="inlineStr">
        <is>
          <t>Monthly - Tuesday</t>
        </is>
      </c>
      <c r="I2911" t="inlineStr">
        <is>
          <t>Monthly - Tuesday</t>
        </is>
      </c>
      <c r="J2911" t="inlineStr">
        <is>
          <t>Month+20 Expiry</t>
        </is>
      </c>
      <c r="K2911" s="25" t="n">
        <v>501</v>
      </c>
      <c r="L2911" s="26" t="n">
        <v>0.9137</v>
      </c>
      <c r="M2911" s="26" t="n">
        <v>0.0361</v>
      </c>
    </row>
    <row r="2912" ht="16" customHeight="1">
      <c r="A2912" t="inlineStr">
        <is>
          <t>28-Apr-2026</t>
        </is>
      </c>
      <c r="B2912" t="inlineStr">
        <is>
          <t>Tuesday</t>
        </is>
      </c>
      <c r="C2912" t="inlineStr">
        <is>
          <t>Week4-Apr-2026</t>
        </is>
      </c>
      <c r="D2912" s="78" t="n">
        <v>46113</v>
      </c>
      <c r="E2912" t="inlineStr">
        <is>
          <t>Q1FY27</t>
        </is>
      </c>
      <c r="F2912" t="inlineStr">
        <is>
          <t>27-Jun-2028</t>
        </is>
      </c>
      <c r="G2912" t="inlineStr">
        <is>
          <t>Tuesday</t>
        </is>
      </c>
      <c r="H2912" t="inlineStr">
        <is>
          <t>Monthly - Tuesday</t>
        </is>
      </c>
      <c r="I2912" t="inlineStr">
        <is>
          <t>Monthly - Tuesday</t>
        </is>
      </c>
      <c r="J2912" t="inlineStr">
        <is>
          <t>Month+26 Expiry</t>
        </is>
      </c>
      <c r="K2912" s="25" t="n">
        <v>0</v>
      </c>
      <c r="L2912" s="26" t="n">
        <v>0</v>
      </c>
      <c r="M2912" s="26" t="n">
        <v>0</v>
      </c>
    </row>
    <row r="2913" ht="16" customHeight="1">
      <c r="A2913" t="inlineStr">
        <is>
          <t>28-Apr-2026</t>
        </is>
      </c>
      <c r="B2913" t="inlineStr">
        <is>
          <t>Tuesday</t>
        </is>
      </c>
      <c r="C2913" t="inlineStr">
        <is>
          <t>Week4-Apr-2026</t>
        </is>
      </c>
      <c r="D2913" s="78" t="n">
        <v>46113</v>
      </c>
      <c r="E2913" t="inlineStr">
        <is>
          <t>Q1FY27</t>
        </is>
      </c>
      <c r="F2913" t="inlineStr">
        <is>
          <t>26-Dec-2028</t>
        </is>
      </c>
      <c r="G2913" t="inlineStr">
        <is>
          <t>Tuesday</t>
        </is>
      </c>
      <c r="H2913" t="inlineStr">
        <is>
          <t>Monthly - Tuesday</t>
        </is>
      </c>
      <c r="I2913" t="inlineStr">
        <is>
          <t>Monthly - Tuesday</t>
        </is>
      </c>
      <c r="J2913" t="inlineStr">
        <is>
          <t>Month+32 Expiry</t>
        </is>
      </c>
      <c r="K2913" s="25" t="n">
        <v>1</v>
      </c>
      <c r="L2913" s="26" t="n">
        <v>0.002</v>
      </c>
      <c r="M2913" s="26" t="n">
        <v>0.0002</v>
      </c>
    </row>
    <row r="2914" ht="16" customHeight="1">
      <c r="A2914" t="inlineStr">
        <is>
          <t>28-Apr-2026</t>
        </is>
      </c>
      <c r="B2914" t="inlineStr">
        <is>
          <t>Tuesday</t>
        </is>
      </c>
      <c r="C2914" t="inlineStr">
        <is>
          <t>Week4-Apr-2026</t>
        </is>
      </c>
      <c r="D2914" s="78" t="n">
        <v>46113</v>
      </c>
      <c r="E2914" t="inlineStr">
        <is>
          <t>Q1FY27</t>
        </is>
      </c>
      <c r="F2914" t="inlineStr">
        <is>
          <t>26-Jun-2029</t>
        </is>
      </c>
      <c r="G2914" t="inlineStr">
        <is>
          <t>Tuesday</t>
        </is>
      </c>
      <c r="H2914" t="inlineStr">
        <is>
          <t>Monthly - Tuesday</t>
        </is>
      </c>
      <c r="I2914" t="inlineStr">
        <is>
          <t>Monthly - Tuesday</t>
        </is>
      </c>
      <c r="J2914" t="inlineStr">
        <is>
          <t>Month+38 Expiry</t>
        </is>
      </c>
      <c r="K2914" s="25" t="n">
        <v>0</v>
      </c>
      <c r="L2914" s="26" t="n">
        <v>0</v>
      </c>
      <c r="M2914" s="26" t="n">
        <v>0</v>
      </c>
    </row>
    <row r="2915" ht="16" customHeight="1">
      <c r="A2915" t="inlineStr">
        <is>
          <t>28-Apr-2026</t>
        </is>
      </c>
      <c r="B2915" t="inlineStr">
        <is>
          <t>Tuesday</t>
        </is>
      </c>
      <c r="C2915" t="inlineStr">
        <is>
          <t>Week4-Apr-2026</t>
        </is>
      </c>
      <c r="D2915" s="78" t="n">
        <v>46113</v>
      </c>
      <c r="E2915" t="inlineStr">
        <is>
          <t>Q1FY27</t>
        </is>
      </c>
      <c r="F2915" t="inlineStr">
        <is>
          <t>24-Dec-2029</t>
        </is>
      </c>
      <c r="G2915" t="inlineStr">
        <is>
          <t>Monday</t>
        </is>
      </c>
      <c r="H2915" t="inlineStr">
        <is>
          <t>Weekly - Monday</t>
        </is>
      </c>
      <c r="I2915" t="inlineStr">
        <is>
          <t>Weekly - Monday</t>
        </is>
      </c>
      <c r="J2915" t="inlineStr">
        <is>
          <t>Month+44 Expiry</t>
        </is>
      </c>
      <c r="K2915" s="25" t="n">
        <v>0</v>
      </c>
      <c r="L2915" s="26" t="n">
        <v>0</v>
      </c>
      <c r="M2915" s="26" t="n">
        <v>0</v>
      </c>
    </row>
    <row r="2916" ht="16" customHeight="1">
      <c r="A2916" t="inlineStr">
        <is>
          <t>28-Apr-2026</t>
        </is>
      </c>
      <c r="B2916" t="inlineStr">
        <is>
          <t>Tuesday</t>
        </is>
      </c>
      <c r="C2916" t="inlineStr">
        <is>
          <t>Week4-Apr-2026</t>
        </is>
      </c>
      <c r="D2916" s="78" t="n">
        <v>46113</v>
      </c>
      <c r="E2916" t="inlineStr">
        <is>
          <t>Q1FY27</t>
        </is>
      </c>
      <c r="F2916" t="inlineStr">
        <is>
          <t>25-Jun-2030</t>
        </is>
      </c>
      <c r="G2916" t="inlineStr">
        <is>
          <t>Tuesday</t>
        </is>
      </c>
      <c r="H2916" t="inlineStr">
        <is>
          <t>Monthly - Tuesday</t>
        </is>
      </c>
      <c r="I2916" t="inlineStr">
        <is>
          <t>Monthly - Tuesday</t>
        </is>
      </c>
      <c r="J2916" t="inlineStr">
        <is>
          <t>Month+50 Expiry</t>
        </is>
      </c>
      <c r="K2916" s="25" t="n">
        <v>0</v>
      </c>
      <c r="L2916" s="26" t="n">
        <v>0</v>
      </c>
      <c r="M2916" s="26" t="n">
        <v>0</v>
      </c>
    </row>
    <row r="2917" ht="16" customHeight="1">
      <c r="A2917" t="inlineStr">
        <is>
          <t>28-Apr-2026</t>
        </is>
      </c>
      <c r="B2917" t="inlineStr">
        <is>
          <t>Tuesday</t>
        </is>
      </c>
      <c r="C2917" t="inlineStr">
        <is>
          <t>Week4-Apr-2026</t>
        </is>
      </c>
      <c r="D2917" s="78" t="n">
        <v>46113</v>
      </c>
      <c r="E2917" t="inlineStr">
        <is>
          <t>Q1FY27</t>
        </is>
      </c>
      <c r="F2917" t="inlineStr">
        <is>
          <t>31-Dec-2030</t>
        </is>
      </c>
      <c r="G2917" t="inlineStr">
        <is>
          <t>Tuesday</t>
        </is>
      </c>
      <c r="H2917" t="inlineStr">
        <is>
          <t>Monthly - Tuesday</t>
        </is>
      </c>
      <c r="I2917" t="inlineStr">
        <is>
          <t>Monthly - Tuesday</t>
        </is>
      </c>
      <c r="J2917" t="inlineStr">
        <is>
          <t>Month+56 Expiry</t>
        </is>
      </c>
      <c r="K2917" s="25" t="n">
        <v>0</v>
      </c>
      <c r="L2917" s="26" t="n">
        <v>0</v>
      </c>
      <c r="M2917" s="26" t="n">
        <v>0</v>
      </c>
    </row>
    <row r="2918" ht="16" customHeight="1">
      <c r="A2918" t="inlineStr">
        <is>
          <t>29-Apr-2026</t>
        </is>
      </c>
      <c r="B2918" t="inlineStr">
        <is>
          <t>Wednesday</t>
        </is>
      </c>
      <c r="C2918" t="inlineStr">
        <is>
          <t>Week5-Apr-2026</t>
        </is>
      </c>
      <c r="D2918" s="78" t="n">
        <v>46113</v>
      </c>
      <c r="E2918" t="inlineStr">
        <is>
          <t>Q1FY27</t>
        </is>
      </c>
      <c r="F2918" t="inlineStr">
        <is>
          <t>05-May-2026</t>
        </is>
      </c>
      <c r="G2918" t="inlineStr">
        <is>
          <t>Tuesday</t>
        </is>
      </c>
      <c r="H2918" t="inlineStr">
        <is>
          <t>Weekly - Tuesday</t>
        </is>
      </c>
      <c r="I2918" t="inlineStr">
        <is>
          <t>Weekly - Tuesday</t>
        </is>
      </c>
      <c r="J2918" t="inlineStr">
        <is>
          <t>Month+1 Expiry</t>
        </is>
      </c>
      <c r="K2918" s="25" t="n">
        <v>43077932</v>
      </c>
      <c r="L2918" s="26" t="n">
        <v>68146.5194</v>
      </c>
      <c r="M2918" s="26" t="n">
        <v>312.964</v>
      </c>
    </row>
    <row r="2919" ht="16" customHeight="1">
      <c r="A2919" t="inlineStr">
        <is>
          <t>29-Apr-2026</t>
        </is>
      </c>
      <c r="B2919" t="inlineStr">
        <is>
          <t>Wednesday</t>
        </is>
      </c>
      <c r="C2919" t="inlineStr">
        <is>
          <t>Week5-Apr-2026</t>
        </is>
      </c>
      <c r="D2919" s="78" t="n">
        <v>46113</v>
      </c>
      <c r="E2919" t="inlineStr">
        <is>
          <t>Q1FY27</t>
        </is>
      </c>
      <c r="F2919" t="inlineStr">
        <is>
          <t>12-May-2026</t>
        </is>
      </c>
      <c r="G2919" t="inlineStr">
        <is>
          <t>Tuesday</t>
        </is>
      </c>
      <c r="H2919" t="inlineStr">
        <is>
          <t>Weekly - Tuesday</t>
        </is>
      </c>
      <c r="I2919" t="inlineStr">
        <is>
          <t>Weekly - Tuesday</t>
        </is>
      </c>
      <c r="J2919" t="inlineStr">
        <is>
          <t>Month+1 Expiry</t>
        </is>
      </c>
      <c r="K2919" s="25" t="n">
        <v>1038977</v>
      </c>
      <c r="L2919" s="26" t="n">
        <v>1642.257</v>
      </c>
      <c r="M2919" s="26" t="n">
        <v>9.104699999999999</v>
      </c>
    </row>
    <row r="2920" ht="16" customHeight="1">
      <c r="A2920" t="inlineStr">
        <is>
          <t>29-Apr-2026</t>
        </is>
      </c>
      <c r="B2920" t="inlineStr">
        <is>
          <t>Wednesday</t>
        </is>
      </c>
      <c r="C2920" t="inlineStr">
        <is>
          <t>Week5-Apr-2026</t>
        </is>
      </c>
      <c r="D2920" s="78" t="n">
        <v>46113</v>
      </c>
      <c r="E2920" t="inlineStr">
        <is>
          <t>Q1FY27</t>
        </is>
      </c>
      <c r="F2920" t="inlineStr">
        <is>
          <t>19-May-2026</t>
        </is>
      </c>
      <c r="G2920" t="inlineStr">
        <is>
          <t>Tuesday</t>
        </is>
      </c>
      <c r="H2920" t="inlineStr">
        <is>
          <t>Weekly - Tuesday</t>
        </is>
      </c>
      <c r="I2920" t="inlineStr">
        <is>
          <t>Weekly - Tuesday</t>
        </is>
      </c>
      <c r="J2920" t="inlineStr">
        <is>
          <t>Month+1 Expiry</t>
        </is>
      </c>
      <c r="K2920" s="25" t="n">
        <v>64952</v>
      </c>
      <c r="L2920" s="26" t="n">
        <v>103.9599</v>
      </c>
      <c r="M2920" s="26" t="n">
        <v>0.7125</v>
      </c>
    </row>
    <row r="2921" ht="16" customHeight="1">
      <c r="A2921" t="inlineStr">
        <is>
          <t>29-Apr-2026</t>
        </is>
      </c>
      <c r="B2921" t="inlineStr">
        <is>
          <t>Wednesday</t>
        </is>
      </c>
      <c r="C2921" t="inlineStr">
        <is>
          <t>Week5-Apr-2026</t>
        </is>
      </c>
      <c r="D2921" s="78" t="n">
        <v>46113</v>
      </c>
      <c r="E2921" t="inlineStr">
        <is>
          <t>Q1FY27</t>
        </is>
      </c>
      <c r="F2921" t="inlineStr">
        <is>
          <t>26-May-2026</t>
        </is>
      </c>
      <c r="G2921" t="inlineStr">
        <is>
          <t>Tuesday</t>
        </is>
      </c>
      <c r="H2921" t="inlineStr">
        <is>
          <t>Monthly - Tuesday</t>
        </is>
      </c>
      <c r="I2921" t="inlineStr">
        <is>
          <t>Monthly - Tuesday</t>
        </is>
      </c>
      <c r="J2921" t="inlineStr">
        <is>
          <t>Month+1 Expiry</t>
        </is>
      </c>
      <c r="K2921" s="25" t="n">
        <v>1288420</v>
      </c>
      <c r="L2921" s="26" t="n">
        <v>2048.2688</v>
      </c>
      <c r="M2921" s="26" t="n">
        <v>20.696</v>
      </c>
    </row>
    <row r="2922" ht="16" customHeight="1">
      <c r="A2922" t="inlineStr">
        <is>
          <t>29-Apr-2026</t>
        </is>
      </c>
      <c r="B2922" t="inlineStr">
        <is>
          <t>Wednesday</t>
        </is>
      </c>
      <c r="C2922" t="inlineStr">
        <is>
          <t>Week5-Apr-2026</t>
        </is>
      </c>
      <c r="D2922" s="78" t="n">
        <v>46113</v>
      </c>
      <c r="E2922" t="inlineStr">
        <is>
          <t>Q1FY27</t>
        </is>
      </c>
      <c r="F2922" t="inlineStr">
        <is>
          <t>02-Jun-2026</t>
        </is>
      </c>
      <c r="G2922" t="inlineStr">
        <is>
          <t>Tuesday</t>
        </is>
      </c>
      <c r="H2922" t="inlineStr">
        <is>
          <t>Weekly - Tuesday</t>
        </is>
      </c>
      <c r="I2922" t="inlineStr">
        <is>
          <t>Weekly - Tuesday</t>
        </is>
      </c>
      <c r="J2922" t="inlineStr">
        <is>
          <t>Month+2 Expiry</t>
        </is>
      </c>
      <c r="K2922" s="25" t="n">
        <v>4042</v>
      </c>
      <c r="L2922" s="26" t="n">
        <v>6.5439</v>
      </c>
      <c r="M2922" s="26" t="n">
        <v>0.0562</v>
      </c>
    </row>
    <row r="2923" ht="16" customHeight="1">
      <c r="A2923" t="inlineStr">
        <is>
          <t>29-Apr-2026</t>
        </is>
      </c>
      <c r="B2923" t="inlineStr">
        <is>
          <t>Wednesday</t>
        </is>
      </c>
      <c r="C2923" t="inlineStr">
        <is>
          <t>Week5-Apr-2026</t>
        </is>
      </c>
      <c r="D2923" s="78" t="n">
        <v>46113</v>
      </c>
      <c r="E2923" t="inlineStr">
        <is>
          <t>Q1FY27</t>
        </is>
      </c>
      <c r="F2923" t="inlineStr">
        <is>
          <t>30-Jun-2026</t>
        </is>
      </c>
      <c r="G2923" t="inlineStr">
        <is>
          <t>Tuesday</t>
        </is>
      </c>
      <c r="H2923" t="inlineStr">
        <is>
          <t>Monthly - Tuesday</t>
        </is>
      </c>
      <c r="I2923" t="inlineStr">
        <is>
          <t>Monthly - Tuesday</t>
        </is>
      </c>
      <c r="J2923" t="inlineStr">
        <is>
          <t>Month+2 Expiry</t>
        </is>
      </c>
      <c r="K2923" s="25" t="n">
        <v>233283</v>
      </c>
      <c r="L2923" s="26" t="n">
        <v>371.0725</v>
      </c>
      <c r="M2923" s="26" t="n">
        <v>4.1916</v>
      </c>
    </row>
    <row r="2924" ht="16" customHeight="1">
      <c r="A2924" t="inlineStr">
        <is>
          <t>29-Apr-2026</t>
        </is>
      </c>
      <c r="B2924" t="inlineStr">
        <is>
          <t>Wednesday</t>
        </is>
      </c>
      <c r="C2924" t="inlineStr">
        <is>
          <t>Week5-Apr-2026</t>
        </is>
      </c>
      <c r="D2924" s="78" t="n">
        <v>46113</v>
      </c>
      <c r="E2924" t="inlineStr">
        <is>
          <t>Q1FY27</t>
        </is>
      </c>
      <c r="F2924" t="inlineStr">
        <is>
          <t>28-Jul-2026</t>
        </is>
      </c>
      <c r="G2924" t="inlineStr">
        <is>
          <t>Tuesday</t>
        </is>
      </c>
      <c r="H2924" t="inlineStr">
        <is>
          <t>Monthly - Tuesday</t>
        </is>
      </c>
      <c r="I2924" t="inlineStr">
        <is>
          <t>Monthly - Tuesday</t>
        </is>
      </c>
      <c r="J2924" t="inlineStr">
        <is>
          <t>Month+3 Expiry</t>
        </is>
      </c>
      <c r="K2924" s="25" t="n">
        <v>17268</v>
      </c>
      <c r="L2924" s="26" t="n">
        <v>26.7221</v>
      </c>
      <c r="M2924" s="26" t="n">
        <v>0.4057</v>
      </c>
    </row>
    <row r="2925" ht="16" customHeight="1">
      <c r="A2925" t="inlineStr">
        <is>
          <t>29-Apr-2026</t>
        </is>
      </c>
      <c r="B2925" t="inlineStr">
        <is>
          <t>Wednesday</t>
        </is>
      </c>
      <c r="C2925" t="inlineStr">
        <is>
          <t>Week5-Apr-2026</t>
        </is>
      </c>
      <c r="D2925" s="78" t="n">
        <v>46113</v>
      </c>
      <c r="E2925" t="inlineStr">
        <is>
          <t>Q1FY27</t>
        </is>
      </c>
      <c r="F2925" t="inlineStr">
        <is>
          <t>29-Sep-2026</t>
        </is>
      </c>
      <c r="G2925" t="inlineStr">
        <is>
          <t>Tuesday</t>
        </is>
      </c>
      <c r="H2925" t="inlineStr">
        <is>
          <t>Monthly - Tuesday</t>
        </is>
      </c>
      <c r="I2925" t="inlineStr">
        <is>
          <t>Monthly - Tuesday</t>
        </is>
      </c>
      <c r="J2925" t="inlineStr">
        <is>
          <t>Month+5 Expiry</t>
        </is>
      </c>
      <c r="K2925" s="25" t="n">
        <v>22037</v>
      </c>
      <c r="L2925" s="26" t="n">
        <v>35.4259</v>
      </c>
      <c r="M2925" s="26" t="n">
        <v>0.5279</v>
      </c>
    </row>
    <row r="2926" ht="16" customHeight="1">
      <c r="A2926" t="inlineStr">
        <is>
          <t>29-Apr-2026</t>
        </is>
      </c>
      <c r="B2926" t="inlineStr">
        <is>
          <t>Wednesday</t>
        </is>
      </c>
      <c r="C2926" t="inlineStr">
        <is>
          <t>Week5-Apr-2026</t>
        </is>
      </c>
      <c r="D2926" s="78" t="n">
        <v>46113</v>
      </c>
      <c r="E2926" t="inlineStr">
        <is>
          <t>Q1FY27</t>
        </is>
      </c>
      <c r="F2926" t="inlineStr">
        <is>
          <t>29-Dec-2026</t>
        </is>
      </c>
      <c r="G2926" t="inlineStr">
        <is>
          <t>Tuesday</t>
        </is>
      </c>
      <c r="H2926" t="inlineStr">
        <is>
          <t>Monthly - Tuesday</t>
        </is>
      </c>
      <c r="I2926" t="inlineStr">
        <is>
          <t>Monthly - Tuesday</t>
        </is>
      </c>
      <c r="J2926" t="inlineStr">
        <is>
          <t>Month+8 Expiry</t>
        </is>
      </c>
      <c r="K2926" s="25" t="n">
        <v>34251</v>
      </c>
      <c r="L2926" s="26" t="n">
        <v>55.8859</v>
      </c>
      <c r="M2926" s="26" t="n">
        <v>1.4414</v>
      </c>
    </row>
    <row r="2927" ht="16" customHeight="1">
      <c r="A2927" t="inlineStr">
        <is>
          <t>29-Apr-2026</t>
        </is>
      </c>
      <c r="B2927" t="inlineStr">
        <is>
          <t>Wednesday</t>
        </is>
      </c>
      <c r="C2927" t="inlineStr">
        <is>
          <t>Week5-Apr-2026</t>
        </is>
      </c>
      <c r="D2927" s="78" t="n">
        <v>46113</v>
      </c>
      <c r="E2927" t="inlineStr">
        <is>
          <t>Q1FY27</t>
        </is>
      </c>
      <c r="F2927" t="inlineStr">
        <is>
          <t>30-Mar-2027</t>
        </is>
      </c>
      <c r="G2927" t="inlineStr">
        <is>
          <t>Tuesday</t>
        </is>
      </c>
      <c r="H2927" t="inlineStr">
        <is>
          <t>Monthly - Tuesday</t>
        </is>
      </c>
      <c r="I2927" t="inlineStr">
        <is>
          <t>Monthly - Tuesday</t>
        </is>
      </c>
      <c r="J2927" t="inlineStr">
        <is>
          <t>Month+11 Expiry</t>
        </is>
      </c>
      <c r="K2927" s="25" t="n">
        <v>0</v>
      </c>
      <c r="L2927" s="26" t="n">
        <v>0</v>
      </c>
      <c r="M2927" s="26" t="n">
        <v>0</v>
      </c>
    </row>
    <row r="2928" ht="16" customHeight="1">
      <c r="A2928" t="inlineStr">
        <is>
          <t>29-Apr-2026</t>
        </is>
      </c>
      <c r="B2928" t="inlineStr">
        <is>
          <t>Wednesday</t>
        </is>
      </c>
      <c r="C2928" t="inlineStr">
        <is>
          <t>Week5-Apr-2026</t>
        </is>
      </c>
      <c r="D2928" s="78" t="n">
        <v>46113</v>
      </c>
      <c r="E2928" t="inlineStr">
        <is>
          <t>Q1FY27</t>
        </is>
      </c>
      <c r="F2928" t="inlineStr">
        <is>
          <t>29-Jun-2027</t>
        </is>
      </c>
      <c r="G2928" t="inlineStr">
        <is>
          <t>Tuesday</t>
        </is>
      </c>
      <c r="H2928" t="inlineStr">
        <is>
          <t>Monthly - Tuesday</t>
        </is>
      </c>
      <c r="I2928" t="inlineStr">
        <is>
          <t>Monthly - Tuesday</t>
        </is>
      </c>
      <c r="J2928" t="inlineStr">
        <is>
          <t>Month+14 Expiry</t>
        </is>
      </c>
      <c r="K2928" s="25" t="n">
        <v>1</v>
      </c>
      <c r="L2928" s="26" t="n">
        <v>0.0014</v>
      </c>
      <c r="M2928" s="26" t="n">
        <v>0</v>
      </c>
    </row>
    <row r="2929" ht="16" customHeight="1">
      <c r="A2929" t="inlineStr">
        <is>
          <t>29-Apr-2026</t>
        </is>
      </c>
      <c r="B2929" t="inlineStr">
        <is>
          <t>Wednesday</t>
        </is>
      </c>
      <c r="C2929" t="inlineStr">
        <is>
          <t>Week5-Apr-2026</t>
        </is>
      </c>
      <c r="D2929" s="78" t="n">
        <v>46113</v>
      </c>
      <c r="E2929" t="inlineStr">
        <is>
          <t>Q1FY27</t>
        </is>
      </c>
      <c r="F2929" t="inlineStr">
        <is>
          <t>28-Dec-2027</t>
        </is>
      </c>
      <c r="G2929" t="inlineStr">
        <is>
          <t>Tuesday</t>
        </is>
      </c>
      <c r="H2929" t="inlineStr">
        <is>
          <t>Monthly - Tuesday</t>
        </is>
      </c>
      <c r="I2929" t="inlineStr">
        <is>
          <t>Monthly - Tuesday</t>
        </is>
      </c>
      <c r="J2929" t="inlineStr">
        <is>
          <t>Month+20 Expiry</t>
        </is>
      </c>
      <c r="K2929" s="25" t="n">
        <v>290</v>
      </c>
      <c r="L2929" s="26" t="n">
        <v>0.5054</v>
      </c>
      <c r="M2929" s="26" t="n">
        <v>0.0223</v>
      </c>
    </row>
    <row r="2930" ht="16" customHeight="1">
      <c r="A2930" t="inlineStr">
        <is>
          <t>29-Apr-2026</t>
        </is>
      </c>
      <c r="B2930" t="inlineStr">
        <is>
          <t>Wednesday</t>
        </is>
      </c>
      <c r="C2930" t="inlineStr">
        <is>
          <t>Week5-Apr-2026</t>
        </is>
      </c>
      <c r="D2930" s="78" t="n">
        <v>46113</v>
      </c>
      <c r="E2930" t="inlineStr">
        <is>
          <t>Q1FY27</t>
        </is>
      </c>
      <c r="F2930" t="inlineStr">
        <is>
          <t>27-Jun-2028</t>
        </is>
      </c>
      <c r="G2930" t="inlineStr">
        <is>
          <t>Tuesday</t>
        </is>
      </c>
      <c r="H2930" t="inlineStr">
        <is>
          <t>Monthly - Tuesday</t>
        </is>
      </c>
      <c r="I2930" t="inlineStr">
        <is>
          <t>Monthly - Tuesday</t>
        </is>
      </c>
      <c r="J2930" t="inlineStr">
        <is>
          <t>Month+26 Expiry</t>
        </is>
      </c>
      <c r="K2930" s="25" t="n">
        <v>0</v>
      </c>
      <c r="L2930" s="26" t="n">
        <v>0</v>
      </c>
      <c r="M2930" s="26" t="n">
        <v>0</v>
      </c>
    </row>
    <row r="2931" ht="16" customHeight="1">
      <c r="A2931" t="inlineStr">
        <is>
          <t>29-Apr-2026</t>
        </is>
      </c>
      <c r="B2931" t="inlineStr">
        <is>
          <t>Wednesday</t>
        </is>
      </c>
      <c r="C2931" t="inlineStr">
        <is>
          <t>Week5-Apr-2026</t>
        </is>
      </c>
      <c r="D2931" s="78" t="n">
        <v>46113</v>
      </c>
      <c r="E2931" t="inlineStr">
        <is>
          <t>Q1FY27</t>
        </is>
      </c>
      <c r="F2931" t="inlineStr">
        <is>
          <t>26-Dec-2028</t>
        </is>
      </c>
      <c r="G2931" t="inlineStr">
        <is>
          <t>Tuesday</t>
        </is>
      </c>
      <c r="H2931" t="inlineStr">
        <is>
          <t>Monthly - Tuesday</t>
        </is>
      </c>
      <c r="I2931" t="inlineStr">
        <is>
          <t>Monthly - Tuesday</t>
        </is>
      </c>
      <c r="J2931" t="inlineStr">
        <is>
          <t>Month+32 Expiry</t>
        </is>
      </c>
      <c r="K2931" s="25" t="n">
        <v>10</v>
      </c>
      <c r="L2931" s="26" t="n">
        <v>0.0192</v>
      </c>
      <c r="M2931" s="26" t="n">
        <v>0.0013</v>
      </c>
    </row>
    <row r="2932" ht="16" customHeight="1">
      <c r="A2932" t="inlineStr">
        <is>
          <t>29-Apr-2026</t>
        </is>
      </c>
      <c r="B2932" t="inlineStr">
        <is>
          <t>Wednesday</t>
        </is>
      </c>
      <c r="C2932" t="inlineStr">
        <is>
          <t>Week5-Apr-2026</t>
        </is>
      </c>
      <c r="D2932" s="78" t="n">
        <v>46113</v>
      </c>
      <c r="E2932" t="inlineStr">
        <is>
          <t>Q1FY27</t>
        </is>
      </c>
      <c r="F2932" t="inlineStr">
        <is>
          <t>26-Jun-2029</t>
        </is>
      </c>
      <c r="G2932" t="inlineStr">
        <is>
          <t>Tuesday</t>
        </is>
      </c>
      <c r="H2932" t="inlineStr">
        <is>
          <t>Monthly - Tuesday</t>
        </is>
      </c>
      <c r="I2932" t="inlineStr">
        <is>
          <t>Monthly - Tuesday</t>
        </is>
      </c>
      <c r="J2932" t="inlineStr">
        <is>
          <t>Month+38 Expiry</t>
        </is>
      </c>
      <c r="K2932" s="25" t="n">
        <v>0</v>
      </c>
      <c r="L2932" s="26" t="n">
        <v>0</v>
      </c>
      <c r="M2932" s="26" t="n">
        <v>0</v>
      </c>
    </row>
    <row r="2933" ht="16" customHeight="1">
      <c r="A2933" t="inlineStr">
        <is>
          <t>29-Apr-2026</t>
        </is>
      </c>
      <c r="B2933" t="inlineStr">
        <is>
          <t>Wednesday</t>
        </is>
      </c>
      <c r="C2933" t="inlineStr">
        <is>
          <t>Week5-Apr-2026</t>
        </is>
      </c>
      <c r="D2933" s="78" t="n">
        <v>46113</v>
      </c>
      <c r="E2933" t="inlineStr">
        <is>
          <t>Q1FY27</t>
        </is>
      </c>
      <c r="F2933" t="inlineStr">
        <is>
          <t>24-Dec-2029</t>
        </is>
      </c>
      <c r="G2933" t="inlineStr">
        <is>
          <t>Monday</t>
        </is>
      </c>
      <c r="H2933" t="inlineStr">
        <is>
          <t>Weekly - Monday</t>
        </is>
      </c>
      <c r="I2933" t="inlineStr">
        <is>
          <t>Weekly - Monday</t>
        </is>
      </c>
      <c r="J2933" t="inlineStr">
        <is>
          <t>Month+44 Expiry</t>
        </is>
      </c>
      <c r="K2933" s="25" t="n">
        <v>0</v>
      </c>
      <c r="L2933" s="26" t="n">
        <v>0</v>
      </c>
      <c r="M2933" s="26" t="n">
        <v>0</v>
      </c>
    </row>
    <row r="2934" ht="16" customHeight="1">
      <c r="A2934" t="inlineStr">
        <is>
          <t>29-Apr-2026</t>
        </is>
      </c>
      <c r="B2934" t="inlineStr">
        <is>
          <t>Wednesday</t>
        </is>
      </c>
      <c r="C2934" t="inlineStr">
        <is>
          <t>Week5-Apr-2026</t>
        </is>
      </c>
      <c r="D2934" s="78" t="n">
        <v>46113</v>
      </c>
      <c r="E2934" t="inlineStr">
        <is>
          <t>Q1FY27</t>
        </is>
      </c>
      <c r="F2934" t="inlineStr">
        <is>
          <t>25-Jun-2030</t>
        </is>
      </c>
      <c r="G2934" t="inlineStr">
        <is>
          <t>Tuesday</t>
        </is>
      </c>
      <c r="H2934" t="inlineStr">
        <is>
          <t>Monthly - Tuesday</t>
        </is>
      </c>
      <c r="I2934" t="inlineStr">
        <is>
          <t>Monthly - Tuesday</t>
        </is>
      </c>
      <c r="J2934" t="inlineStr">
        <is>
          <t>Month+50 Expiry</t>
        </is>
      </c>
      <c r="K2934" s="25" t="n">
        <v>0</v>
      </c>
      <c r="L2934" s="26" t="n">
        <v>0</v>
      </c>
      <c r="M2934" s="26" t="n">
        <v>0</v>
      </c>
    </row>
    <row r="2935" ht="16" customHeight="1">
      <c r="A2935" t="inlineStr">
        <is>
          <t>29-Apr-2026</t>
        </is>
      </c>
      <c r="B2935" t="inlineStr">
        <is>
          <t>Wednesday</t>
        </is>
      </c>
      <c r="C2935" t="inlineStr">
        <is>
          <t>Week5-Apr-2026</t>
        </is>
      </c>
      <c r="D2935" s="78" t="n">
        <v>46113</v>
      </c>
      <c r="E2935" t="inlineStr">
        <is>
          <t>Q1FY27</t>
        </is>
      </c>
      <c r="F2935" t="inlineStr">
        <is>
          <t>31-Dec-2030</t>
        </is>
      </c>
      <c r="G2935" t="inlineStr">
        <is>
          <t>Tuesday</t>
        </is>
      </c>
      <c r="H2935" t="inlineStr">
        <is>
          <t>Monthly - Tuesday</t>
        </is>
      </c>
      <c r="I2935" t="inlineStr">
        <is>
          <t>Monthly - Tuesday</t>
        </is>
      </c>
      <c r="J2935" t="inlineStr">
        <is>
          <t>Month+56 Expiry</t>
        </is>
      </c>
      <c r="K2935" s="25" t="n">
        <v>0</v>
      </c>
      <c r="L2935" s="26" t="n">
        <v>0</v>
      </c>
      <c r="M2935" s="26" t="n">
        <v>0</v>
      </c>
    </row>
    <row r="2936" ht="16" customHeight="1">
      <c r="A2936" t="inlineStr">
        <is>
          <t>30-Apr-2026</t>
        </is>
      </c>
      <c r="B2936" t="inlineStr">
        <is>
          <t>Thursday</t>
        </is>
      </c>
      <c r="C2936" t="inlineStr">
        <is>
          <t>Week5-Apr-2026</t>
        </is>
      </c>
      <c r="D2936" s="78" t="n">
        <v>46113</v>
      </c>
      <c r="E2936" t="inlineStr">
        <is>
          <t>Q1FY27</t>
        </is>
      </c>
      <c r="F2936" t="inlineStr">
        <is>
          <t>05-May-2026</t>
        </is>
      </c>
      <c r="G2936" t="inlineStr">
        <is>
          <t>Tuesday</t>
        </is>
      </c>
      <c r="H2936" t="inlineStr">
        <is>
          <t>Weekly - Tuesday</t>
        </is>
      </c>
      <c r="I2936" t="inlineStr">
        <is>
          <t>Weekly - Tuesday</t>
        </is>
      </c>
      <c r="J2936" t="inlineStr">
        <is>
          <t>Month+1 Expiry</t>
        </is>
      </c>
      <c r="K2936" s="25" t="n">
        <v>46682133</v>
      </c>
      <c r="L2936" s="26" t="n">
        <v>73064.1015</v>
      </c>
      <c r="M2936" s="26" t="n">
        <v>297.8105</v>
      </c>
    </row>
    <row r="2937" ht="16" customHeight="1">
      <c r="A2937" t="inlineStr">
        <is>
          <t>30-Apr-2026</t>
        </is>
      </c>
      <c r="B2937" t="inlineStr">
        <is>
          <t>Thursday</t>
        </is>
      </c>
      <c r="C2937" t="inlineStr">
        <is>
          <t>Week5-Apr-2026</t>
        </is>
      </c>
      <c r="D2937" s="78" t="n">
        <v>46113</v>
      </c>
      <c r="E2937" t="inlineStr">
        <is>
          <t>Q1FY27</t>
        </is>
      </c>
      <c r="F2937" t="inlineStr">
        <is>
          <t>12-May-2026</t>
        </is>
      </c>
      <c r="G2937" t="inlineStr">
        <is>
          <t>Tuesday</t>
        </is>
      </c>
      <c r="H2937" t="inlineStr">
        <is>
          <t>Weekly - Tuesday</t>
        </is>
      </c>
      <c r="I2937" t="inlineStr">
        <is>
          <t>Weekly - Tuesday</t>
        </is>
      </c>
      <c r="J2937" t="inlineStr">
        <is>
          <t>Month+1 Expiry</t>
        </is>
      </c>
      <c r="K2937" s="25" t="n">
        <v>1695933</v>
      </c>
      <c r="L2937" s="26" t="n">
        <v>2664.438</v>
      </c>
      <c r="M2937" s="26" t="n">
        <v>15.6324</v>
      </c>
    </row>
    <row r="2938" ht="16" customHeight="1">
      <c r="A2938" t="inlineStr">
        <is>
          <t>30-Apr-2026</t>
        </is>
      </c>
      <c r="B2938" t="inlineStr">
        <is>
          <t>Thursday</t>
        </is>
      </c>
      <c r="C2938" t="inlineStr">
        <is>
          <t>Week5-Apr-2026</t>
        </is>
      </c>
      <c r="D2938" s="78" t="n">
        <v>46113</v>
      </c>
      <c r="E2938" t="inlineStr">
        <is>
          <t>Q1FY27</t>
        </is>
      </c>
      <c r="F2938" t="inlineStr">
        <is>
          <t>19-May-2026</t>
        </is>
      </c>
      <c r="G2938" t="inlineStr">
        <is>
          <t>Tuesday</t>
        </is>
      </c>
      <c r="H2938" t="inlineStr">
        <is>
          <t>Weekly - Tuesday</t>
        </is>
      </c>
      <c r="I2938" t="inlineStr">
        <is>
          <t>Weekly - Tuesday</t>
        </is>
      </c>
      <c r="J2938" t="inlineStr">
        <is>
          <t>Month+1 Expiry</t>
        </is>
      </c>
      <c r="K2938" s="25" t="n">
        <v>97814</v>
      </c>
      <c r="L2938" s="26" t="n">
        <v>155.588</v>
      </c>
      <c r="M2938" s="26" t="n">
        <v>1.1993</v>
      </c>
    </row>
    <row r="2939" ht="16" customHeight="1">
      <c r="A2939" t="inlineStr">
        <is>
          <t>30-Apr-2026</t>
        </is>
      </c>
      <c r="B2939" t="inlineStr">
        <is>
          <t>Thursday</t>
        </is>
      </c>
      <c r="C2939" t="inlineStr">
        <is>
          <t>Week5-Apr-2026</t>
        </is>
      </c>
      <c r="D2939" s="78" t="n">
        <v>46113</v>
      </c>
      <c r="E2939" t="inlineStr">
        <is>
          <t>Q1FY27</t>
        </is>
      </c>
      <c r="F2939" t="inlineStr">
        <is>
          <t>26-May-2026</t>
        </is>
      </c>
      <c r="G2939" t="inlineStr">
        <is>
          <t>Tuesday</t>
        </is>
      </c>
      <c r="H2939" t="inlineStr">
        <is>
          <t>Monthly - Tuesday</t>
        </is>
      </c>
      <c r="I2939" t="inlineStr">
        <is>
          <t>Monthly - Tuesday</t>
        </is>
      </c>
      <c r="J2939" t="inlineStr">
        <is>
          <t>Month+1 Expiry</t>
        </is>
      </c>
      <c r="K2939" s="25" t="n">
        <v>1427113</v>
      </c>
      <c r="L2939" s="26" t="n">
        <v>2253.1018</v>
      </c>
      <c r="M2939" s="26" t="n">
        <v>23.3257</v>
      </c>
    </row>
    <row r="2940" ht="16" customHeight="1">
      <c r="A2940" t="inlineStr">
        <is>
          <t>30-Apr-2026</t>
        </is>
      </c>
      <c r="B2940" t="inlineStr">
        <is>
          <t>Thursday</t>
        </is>
      </c>
      <c r="C2940" t="inlineStr">
        <is>
          <t>Week5-Apr-2026</t>
        </is>
      </c>
      <c r="D2940" s="78" t="n">
        <v>46113</v>
      </c>
      <c r="E2940" t="inlineStr">
        <is>
          <t>Q1FY27</t>
        </is>
      </c>
      <c r="F2940" t="inlineStr">
        <is>
          <t>02-Jun-2026</t>
        </is>
      </c>
      <c r="G2940" t="inlineStr">
        <is>
          <t>Tuesday</t>
        </is>
      </c>
      <c r="H2940" t="inlineStr">
        <is>
          <t>Weekly - Tuesday</t>
        </is>
      </c>
      <c r="I2940" t="inlineStr">
        <is>
          <t>Weekly - Tuesday</t>
        </is>
      </c>
      <c r="J2940" t="inlineStr">
        <is>
          <t>Month+2 Expiry</t>
        </is>
      </c>
      <c r="K2940" s="25" t="n">
        <v>7632</v>
      </c>
      <c r="L2940" s="26" t="n">
        <v>12.2292</v>
      </c>
      <c r="M2940" s="26" t="n">
        <v>0.1226</v>
      </c>
    </row>
    <row r="2941" ht="16" customHeight="1">
      <c r="A2941" t="inlineStr">
        <is>
          <t>30-Apr-2026</t>
        </is>
      </c>
      <c r="B2941" t="inlineStr">
        <is>
          <t>Thursday</t>
        </is>
      </c>
      <c r="C2941" t="inlineStr">
        <is>
          <t>Week5-Apr-2026</t>
        </is>
      </c>
      <c r="D2941" s="78" t="n">
        <v>46113</v>
      </c>
      <c r="E2941" t="inlineStr">
        <is>
          <t>Q1FY27</t>
        </is>
      </c>
      <c r="F2941" t="inlineStr">
        <is>
          <t>30-Jun-2026</t>
        </is>
      </c>
      <c r="G2941" t="inlineStr">
        <is>
          <t>Tuesday</t>
        </is>
      </c>
      <c r="H2941" t="inlineStr">
        <is>
          <t>Monthly - Tuesday</t>
        </is>
      </c>
      <c r="I2941" t="inlineStr">
        <is>
          <t>Monthly - Tuesday</t>
        </is>
      </c>
      <c r="J2941" t="inlineStr">
        <is>
          <t>Month+2 Expiry</t>
        </is>
      </c>
      <c r="K2941" s="25" t="n">
        <v>239130</v>
      </c>
      <c r="L2941" s="26" t="n">
        <v>375.8657</v>
      </c>
      <c r="M2941" s="26" t="n">
        <v>4.6533</v>
      </c>
    </row>
    <row r="2942" ht="16" customHeight="1">
      <c r="A2942" t="inlineStr">
        <is>
          <t>30-Apr-2026</t>
        </is>
      </c>
      <c r="B2942" t="inlineStr">
        <is>
          <t>Thursday</t>
        </is>
      </c>
      <c r="C2942" t="inlineStr">
        <is>
          <t>Week5-Apr-2026</t>
        </is>
      </c>
      <c r="D2942" s="78" t="n">
        <v>46113</v>
      </c>
      <c r="E2942" t="inlineStr">
        <is>
          <t>Q1FY27</t>
        </is>
      </c>
      <c r="F2942" t="inlineStr">
        <is>
          <t>28-Jul-2026</t>
        </is>
      </c>
      <c r="G2942" t="inlineStr">
        <is>
          <t>Tuesday</t>
        </is>
      </c>
      <c r="H2942" t="inlineStr">
        <is>
          <t>Monthly - Tuesday</t>
        </is>
      </c>
      <c r="I2942" t="inlineStr">
        <is>
          <t>Monthly - Tuesday</t>
        </is>
      </c>
      <c r="J2942" t="inlineStr">
        <is>
          <t>Month+3 Expiry</t>
        </is>
      </c>
      <c r="K2942" s="25" t="n">
        <v>17596</v>
      </c>
      <c r="L2942" s="26" t="n">
        <v>27.8367</v>
      </c>
      <c r="M2942" s="26" t="n">
        <v>0.5462</v>
      </c>
    </row>
    <row r="2943" ht="16" customHeight="1">
      <c r="A2943" t="inlineStr">
        <is>
          <t>30-Apr-2026</t>
        </is>
      </c>
      <c r="B2943" t="inlineStr">
        <is>
          <t>Thursday</t>
        </is>
      </c>
      <c r="C2943" t="inlineStr">
        <is>
          <t>Week5-Apr-2026</t>
        </is>
      </c>
      <c r="D2943" s="78" t="n">
        <v>46113</v>
      </c>
      <c r="E2943" t="inlineStr">
        <is>
          <t>Q1FY27</t>
        </is>
      </c>
      <c r="F2943" t="inlineStr">
        <is>
          <t>29-Sep-2026</t>
        </is>
      </c>
      <c r="G2943" t="inlineStr">
        <is>
          <t>Tuesday</t>
        </is>
      </c>
      <c r="H2943" t="inlineStr">
        <is>
          <t>Monthly - Tuesday</t>
        </is>
      </c>
      <c r="I2943" t="inlineStr">
        <is>
          <t>Monthly - Tuesday</t>
        </is>
      </c>
      <c r="J2943" t="inlineStr">
        <is>
          <t>Month+5 Expiry</t>
        </is>
      </c>
      <c r="K2943" s="25" t="n">
        <v>37821</v>
      </c>
      <c r="L2943" s="26" t="n">
        <v>62.9384</v>
      </c>
      <c r="M2943" s="26" t="n">
        <v>0.9272</v>
      </c>
    </row>
    <row r="2944" ht="16" customHeight="1">
      <c r="A2944" t="inlineStr">
        <is>
          <t>30-Apr-2026</t>
        </is>
      </c>
      <c r="B2944" t="inlineStr">
        <is>
          <t>Thursday</t>
        </is>
      </c>
      <c r="C2944" t="inlineStr">
        <is>
          <t>Week5-Apr-2026</t>
        </is>
      </c>
      <c r="D2944" s="78" t="n">
        <v>46113</v>
      </c>
      <c r="E2944" t="inlineStr">
        <is>
          <t>Q1FY27</t>
        </is>
      </c>
      <c r="F2944" t="inlineStr">
        <is>
          <t>29-Dec-2026</t>
        </is>
      </c>
      <c r="G2944" t="inlineStr">
        <is>
          <t>Tuesday</t>
        </is>
      </c>
      <c r="H2944" t="inlineStr">
        <is>
          <t>Monthly - Tuesday</t>
        </is>
      </c>
      <c r="I2944" t="inlineStr">
        <is>
          <t>Monthly - Tuesday</t>
        </is>
      </c>
      <c r="J2944" t="inlineStr">
        <is>
          <t>Month+8 Expiry</t>
        </is>
      </c>
      <c r="K2944" s="25" t="n">
        <v>48381</v>
      </c>
      <c r="L2944" s="26" t="n">
        <v>79.42010000000001</v>
      </c>
      <c r="M2944" s="26" t="n">
        <v>1.9973</v>
      </c>
    </row>
    <row r="2945" ht="16" customHeight="1">
      <c r="A2945" t="inlineStr">
        <is>
          <t>30-Apr-2026</t>
        </is>
      </c>
      <c r="B2945" t="inlineStr">
        <is>
          <t>Thursday</t>
        </is>
      </c>
      <c r="C2945" t="inlineStr">
        <is>
          <t>Week5-Apr-2026</t>
        </is>
      </c>
      <c r="D2945" s="78" t="n">
        <v>46113</v>
      </c>
      <c r="E2945" t="inlineStr">
        <is>
          <t>Q1FY27</t>
        </is>
      </c>
      <c r="F2945" t="inlineStr">
        <is>
          <t>30-Mar-2027</t>
        </is>
      </c>
      <c r="G2945" t="inlineStr">
        <is>
          <t>Tuesday</t>
        </is>
      </c>
      <c r="H2945" t="inlineStr">
        <is>
          <t>Monthly - Tuesday</t>
        </is>
      </c>
      <c r="I2945" t="inlineStr">
        <is>
          <t>Monthly - Tuesday</t>
        </is>
      </c>
      <c r="J2945" t="inlineStr">
        <is>
          <t>Month+11 Expiry</t>
        </is>
      </c>
      <c r="K2945" s="25" t="n">
        <v>0</v>
      </c>
      <c r="L2945" s="26" t="n">
        <v>0</v>
      </c>
      <c r="M2945" s="26" t="n">
        <v>0</v>
      </c>
    </row>
    <row r="2946" ht="16" customHeight="1">
      <c r="A2946" t="inlineStr">
        <is>
          <t>30-Apr-2026</t>
        </is>
      </c>
      <c r="B2946" t="inlineStr">
        <is>
          <t>Thursday</t>
        </is>
      </c>
      <c r="C2946" t="inlineStr">
        <is>
          <t>Week5-Apr-2026</t>
        </is>
      </c>
      <c r="D2946" s="78" t="n">
        <v>46113</v>
      </c>
      <c r="E2946" t="inlineStr">
        <is>
          <t>Q1FY27</t>
        </is>
      </c>
      <c r="F2946" t="inlineStr">
        <is>
          <t>29-Jun-2027</t>
        </is>
      </c>
      <c r="G2946" t="inlineStr">
        <is>
          <t>Tuesday</t>
        </is>
      </c>
      <c r="H2946" t="inlineStr">
        <is>
          <t>Monthly - Tuesday</t>
        </is>
      </c>
      <c r="I2946" t="inlineStr">
        <is>
          <t>Monthly - Tuesday</t>
        </is>
      </c>
      <c r="J2946" t="inlineStr">
        <is>
          <t>Month+14 Expiry</t>
        </is>
      </c>
      <c r="K2946" s="25" t="n">
        <v>1</v>
      </c>
      <c r="L2946" s="26" t="n">
        <v>0.0014</v>
      </c>
      <c r="M2946" s="26" t="n">
        <v>0</v>
      </c>
    </row>
    <row r="2947" ht="16" customHeight="1">
      <c r="A2947" t="inlineStr">
        <is>
          <t>30-Apr-2026</t>
        </is>
      </c>
      <c r="B2947" t="inlineStr">
        <is>
          <t>Thursday</t>
        </is>
      </c>
      <c r="C2947" t="inlineStr">
        <is>
          <t>Week5-Apr-2026</t>
        </is>
      </c>
      <c r="D2947" s="78" t="n">
        <v>46113</v>
      </c>
      <c r="E2947" t="inlineStr">
        <is>
          <t>Q1FY27</t>
        </is>
      </c>
      <c r="F2947" t="inlineStr">
        <is>
          <t>28-Dec-2027</t>
        </is>
      </c>
      <c r="G2947" t="inlineStr">
        <is>
          <t>Tuesday</t>
        </is>
      </c>
      <c r="H2947" t="inlineStr">
        <is>
          <t>Monthly - Tuesday</t>
        </is>
      </c>
      <c r="I2947" t="inlineStr">
        <is>
          <t>Monthly - Tuesday</t>
        </is>
      </c>
      <c r="J2947" t="inlineStr">
        <is>
          <t>Month+20 Expiry</t>
        </is>
      </c>
      <c r="K2947" s="25" t="n">
        <v>1166</v>
      </c>
      <c r="L2947" s="26" t="n">
        <v>2.0013</v>
      </c>
      <c r="M2947" s="26" t="n">
        <v>0.1088</v>
      </c>
    </row>
    <row r="2948" ht="16" customHeight="1">
      <c r="A2948" t="inlineStr">
        <is>
          <t>30-Apr-2026</t>
        </is>
      </c>
      <c r="B2948" t="inlineStr">
        <is>
          <t>Thursday</t>
        </is>
      </c>
      <c r="C2948" t="inlineStr">
        <is>
          <t>Week5-Apr-2026</t>
        </is>
      </c>
      <c r="D2948" s="78" t="n">
        <v>46113</v>
      </c>
      <c r="E2948" t="inlineStr">
        <is>
          <t>Q1FY27</t>
        </is>
      </c>
      <c r="F2948" t="inlineStr">
        <is>
          <t>27-Jun-2028</t>
        </is>
      </c>
      <c r="G2948" t="inlineStr">
        <is>
          <t>Tuesday</t>
        </is>
      </c>
      <c r="H2948" t="inlineStr">
        <is>
          <t>Monthly - Tuesday</t>
        </is>
      </c>
      <c r="I2948" t="inlineStr">
        <is>
          <t>Monthly - Tuesday</t>
        </is>
      </c>
      <c r="J2948" t="inlineStr">
        <is>
          <t>Month+26 Expiry</t>
        </is>
      </c>
      <c r="K2948" s="25" t="n">
        <v>3</v>
      </c>
      <c r="L2948" s="26" t="n">
        <v>0.0044</v>
      </c>
      <c r="M2948" s="26" t="n">
        <v>0.0002</v>
      </c>
    </row>
    <row r="2949" ht="16" customHeight="1">
      <c r="A2949" t="inlineStr">
        <is>
          <t>30-Apr-2026</t>
        </is>
      </c>
      <c r="B2949" t="inlineStr">
        <is>
          <t>Thursday</t>
        </is>
      </c>
      <c r="C2949" t="inlineStr">
        <is>
          <t>Week5-Apr-2026</t>
        </is>
      </c>
      <c r="D2949" s="78" t="n">
        <v>46113</v>
      </c>
      <c r="E2949" t="inlineStr">
        <is>
          <t>Q1FY27</t>
        </is>
      </c>
      <c r="F2949" t="inlineStr">
        <is>
          <t>26-Dec-2028</t>
        </is>
      </c>
      <c r="G2949" t="inlineStr">
        <is>
          <t>Tuesday</t>
        </is>
      </c>
      <c r="H2949" t="inlineStr">
        <is>
          <t>Monthly - Tuesday</t>
        </is>
      </c>
      <c r="I2949" t="inlineStr">
        <is>
          <t>Monthly - Tuesday</t>
        </is>
      </c>
      <c r="J2949" t="inlineStr">
        <is>
          <t>Month+32 Expiry</t>
        </is>
      </c>
      <c r="K2949" s="25" t="n">
        <v>12</v>
      </c>
      <c r="L2949" s="26" t="n">
        <v>0.0225</v>
      </c>
      <c r="M2949" s="26" t="n">
        <v>0.0013</v>
      </c>
    </row>
    <row r="2950" ht="16" customHeight="1">
      <c r="A2950" t="inlineStr">
        <is>
          <t>30-Apr-2026</t>
        </is>
      </c>
      <c r="B2950" t="inlineStr">
        <is>
          <t>Thursday</t>
        </is>
      </c>
      <c r="C2950" t="inlineStr">
        <is>
          <t>Week5-Apr-2026</t>
        </is>
      </c>
      <c r="D2950" s="78" t="n">
        <v>46113</v>
      </c>
      <c r="E2950" t="inlineStr">
        <is>
          <t>Q1FY27</t>
        </is>
      </c>
      <c r="F2950" t="inlineStr">
        <is>
          <t>26-Jun-2029</t>
        </is>
      </c>
      <c r="G2950" t="inlineStr">
        <is>
          <t>Tuesday</t>
        </is>
      </c>
      <c r="H2950" t="inlineStr">
        <is>
          <t>Monthly - Tuesday</t>
        </is>
      </c>
      <c r="I2950" t="inlineStr">
        <is>
          <t>Monthly - Tuesday</t>
        </is>
      </c>
      <c r="J2950" t="inlineStr">
        <is>
          <t>Month+38 Expiry</t>
        </is>
      </c>
      <c r="K2950" s="25" t="n">
        <v>0</v>
      </c>
      <c r="L2950" s="26" t="n">
        <v>0</v>
      </c>
      <c r="M2950" s="26" t="n">
        <v>0</v>
      </c>
    </row>
    <row r="2951" ht="16" customHeight="1">
      <c r="A2951" t="inlineStr">
        <is>
          <t>30-Apr-2026</t>
        </is>
      </c>
      <c r="B2951" t="inlineStr">
        <is>
          <t>Thursday</t>
        </is>
      </c>
      <c r="C2951" t="inlineStr">
        <is>
          <t>Week5-Apr-2026</t>
        </is>
      </c>
      <c r="D2951" s="78" t="n">
        <v>46113</v>
      </c>
      <c r="E2951" t="inlineStr">
        <is>
          <t>Q1FY27</t>
        </is>
      </c>
      <c r="F2951" t="inlineStr">
        <is>
          <t>24-Dec-2029</t>
        </is>
      </c>
      <c r="G2951" t="inlineStr">
        <is>
          <t>Monday</t>
        </is>
      </c>
      <c r="H2951" t="inlineStr">
        <is>
          <t>Weekly - Monday</t>
        </is>
      </c>
      <c r="I2951" t="inlineStr">
        <is>
          <t>Weekly - Monday</t>
        </is>
      </c>
      <c r="J2951" t="inlineStr">
        <is>
          <t>Month+44 Expiry</t>
        </is>
      </c>
      <c r="K2951" s="25" t="n">
        <v>0</v>
      </c>
      <c r="L2951" s="26" t="n">
        <v>0</v>
      </c>
      <c r="M2951" s="26" t="n">
        <v>0</v>
      </c>
    </row>
    <row r="2952" ht="16" customHeight="1">
      <c r="A2952" t="inlineStr">
        <is>
          <t>30-Apr-2026</t>
        </is>
      </c>
      <c r="B2952" t="inlineStr">
        <is>
          <t>Thursday</t>
        </is>
      </c>
      <c r="C2952" t="inlineStr">
        <is>
          <t>Week5-Apr-2026</t>
        </is>
      </c>
      <c r="D2952" s="78" t="n">
        <v>46113</v>
      </c>
      <c r="E2952" t="inlineStr">
        <is>
          <t>Q1FY27</t>
        </is>
      </c>
      <c r="F2952" t="inlineStr">
        <is>
          <t>25-Jun-2030</t>
        </is>
      </c>
      <c r="G2952" t="inlineStr">
        <is>
          <t>Tuesday</t>
        </is>
      </c>
      <c r="H2952" t="inlineStr">
        <is>
          <t>Monthly - Tuesday</t>
        </is>
      </c>
      <c r="I2952" t="inlineStr">
        <is>
          <t>Monthly - Tuesday</t>
        </is>
      </c>
      <c r="J2952" t="inlineStr">
        <is>
          <t>Month+50 Expiry</t>
        </is>
      </c>
      <c r="K2952" s="25" t="n">
        <v>0</v>
      </c>
      <c r="L2952" s="26" t="n">
        <v>0</v>
      </c>
      <c r="M2952" s="26" t="n">
        <v>0</v>
      </c>
    </row>
    <row r="2953" ht="16" customHeight="1">
      <c r="A2953" t="inlineStr">
        <is>
          <t>30-Apr-2026</t>
        </is>
      </c>
      <c r="B2953" t="inlineStr">
        <is>
          <t>Thursday</t>
        </is>
      </c>
      <c r="C2953" t="inlineStr">
        <is>
          <t>Week5-Apr-2026</t>
        </is>
      </c>
      <c r="D2953" s="78" t="n">
        <v>46113</v>
      </c>
      <c r="E2953" t="inlineStr">
        <is>
          <t>Q1FY27</t>
        </is>
      </c>
      <c r="F2953" t="inlineStr">
        <is>
          <t>31-Dec-2030</t>
        </is>
      </c>
      <c r="G2953" t="inlineStr">
        <is>
          <t>Tuesday</t>
        </is>
      </c>
      <c r="H2953" t="inlineStr">
        <is>
          <t>Monthly - Tuesday</t>
        </is>
      </c>
      <c r="I2953" t="inlineStr">
        <is>
          <t>Monthly - Tuesday</t>
        </is>
      </c>
      <c r="J2953" t="inlineStr">
        <is>
          <t>Month+56 Expiry</t>
        </is>
      </c>
      <c r="K2953" s="25" t="n">
        <v>0</v>
      </c>
      <c r="L2953" s="26" t="n">
        <v>0</v>
      </c>
      <c r="M2953" s="26" t="n">
        <v>0</v>
      </c>
    </row>
    <row r="2954" ht="16" customHeight="1">
      <c r="A2954" t="inlineStr">
        <is>
          <t>04-May-2026</t>
        </is>
      </c>
      <c r="B2954" t="inlineStr">
        <is>
          <t>Monday</t>
        </is>
      </c>
      <c r="C2954" t="inlineStr">
        <is>
          <t>Week1-May-2026</t>
        </is>
      </c>
      <c r="D2954" s="78" t="n">
        <v>46143</v>
      </c>
      <c r="E2954" t="inlineStr">
        <is>
          <t>Q1FY27</t>
        </is>
      </c>
      <c r="F2954" t="inlineStr">
        <is>
          <t>05-May-2026</t>
        </is>
      </c>
      <c r="G2954" t="inlineStr">
        <is>
          <t>Tuesday</t>
        </is>
      </c>
      <c r="H2954" t="inlineStr">
        <is>
          <t>Weekly - Tuesday</t>
        </is>
      </c>
      <c r="I2954" t="inlineStr">
        <is>
          <t>Weekly - Tuesday</t>
        </is>
      </c>
      <c r="J2954" t="inlineStr">
        <is>
          <t>Same Month Expiry</t>
        </is>
      </c>
      <c r="K2954" s="25" t="n">
        <v>167478961</v>
      </c>
      <c r="L2954" s="26" t="n">
        <v>263403.1781</v>
      </c>
      <c r="M2954" s="26" t="n">
        <v>698.8489</v>
      </c>
    </row>
    <row r="2955" ht="16" customHeight="1">
      <c r="A2955" t="inlineStr">
        <is>
          <t>04-May-2026</t>
        </is>
      </c>
      <c r="B2955" t="inlineStr">
        <is>
          <t>Monday</t>
        </is>
      </c>
      <c r="C2955" t="inlineStr">
        <is>
          <t>Week1-May-2026</t>
        </is>
      </c>
      <c r="D2955" s="78" t="n">
        <v>46143</v>
      </c>
      <c r="E2955" t="inlineStr">
        <is>
          <t>Q1FY27</t>
        </is>
      </c>
      <c r="F2955" t="inlineStr">
        <is>
          <t>12-May-2026</t>
        </is>
      </c>
      <c r="G2955" t="inlineStr">
        <is>
          <t>Tuesday</t>
        </is>
      </c>
      <c r="H2955" t="inlineStr">
        <is>
          <t>Weekly - Tuesday</t>
        </is>
      </c>
      <c r="I2955" t="inlineStr">
        <is>
          <t>Weekly - Tuesday</t>
        </is>
      </c>
      <c r="J2955" t="inlineStr">
        <is>
          <t>Same Month Expiry</t>
        </is>
      </c>
      <c r="K2955" s="25" t="n">
        <v>4575653</v>
      </c>
      <c r="L2955" s="26" t="n">
        <v>7223.7703</v>
      </c>
      <c r="M2955" s="26" t="n">
        <v>32.9161</v>
      </c>
    </row>
    <row r="2956" ht="16" customHeight="1">
      <c r="A2956" t="inlineStr">
        <is>
          <t>04-May-2026</t>
        </is>
      </c>
      <c r="B2956" t="inlineStr">
        <is>
          <t>Monday</t>
        </is>
      </c>
      <c r="C2956" t="inlineStr">
        <is>
          <t>Week1-May-2026</t>
        </is>
      </c>
      <c r="D2956" s="78" t="n">
        <v>46143</v>
      </c>
      <c r="E2956" t="inlineStr">
        <is>
          <t>Q1FY27</t>
        </is>
      </c>
      <c r="F2956" t="inlineStr">
        <is>
          <t>19-May-2026</t>
        </is>
      </c>
      <c r="G2956" t="inlineStr">
        <is>
          <t>Tuesday</t>
        </is>
      </c>
      <c r="H2956" t="inlineStr">
        <is>
          <t>Weekly - Tuesday</t>
        </is>
      </c>
      <c r="I2956" t="inlineStr">
        <is>
          <t>Weekly - Tuesday</t>
        </is>
      </c>
      <c r="J2956" t="inlineStr">
        <is>
          <t>Same Month Expiry</t>
        </is>
      </c>
      <c r="K2956" s="25" t="n">
        <v>174465</v>
      </c>
      <c r="L2956" s="26" t="n">
        <v>276.6567</v>
      </c>
      <c r="M2956" s="26" t="n">
        <v>1.8352</v>
      </c>
    </row>
    <row r="2957" ht="16" customHeight="1">
      <c r="A2957" t="inlineStr">
        <is>
          <t>04-May-2026</t>
        </is>
      </c>
      <c r="B2957" t="inlineStr">
        <is>
          <t>Monday</t>
        </is>
      </c>
      <c r="C2957" t="inlineStr">
        <is>
          <t>Week1-May-2026</t>
        </is>
      </c>
      <c r="D2957" s="78" t="n">
        <v>46143</v>
      </c>
      <c r="E2957" t="inlineStr">
        <is>
          <t>Q1FY27</t>
        </is>
      </c>
      <c r="F2957" t="inlineStr">
        <is>
          <t>26-May-2026</t>
        </is>
      </c>
      <c r="G2957" t="inlineStr">
        <is>
          <t>Tuesday</t>
        </is>
      </c>
      <c r="H2957" t="inlineStr">
        <is>
          <t>Monthly - Tuesday</t>
        </is>
      </c>
      <c r="I2957" t="inlineStr">
        <is>
          <t>Monthly - Tuesday</t>
        </is>
      </c>
      <c r="J2957" t="inlineStr">
        <is>
          <t>Same Month Expiry</t>
        </is>
      </c>
      <c r="K2957" s="25" t="n">
        <v>1339478</v>
      </c>
      <c r="L2957" s="26" t="n">
        <v>2120.2178</v>
      </c>
      <c r="M2957" s="26" t="n">
        <v>19.9364</v>
      </c>
    </row>
    <row r="2958" ht="16" customHeight="1">
      <c r="A2958" t="inlineStr">
        <is>
          <t>04-May-2026</t>
        </is>
      </c>
      <c r="B2958" t="inlineStr">
        <is>
          <t>Monday</t>
        </is>
      </c>
      <c r="C2958" t="inlineStr">
        <is>
          <t>Week1-May-2026</t>
        </is>
      </c>
      <c r="D2958" s="78" t="n">
        <v>46143</v>
      </c>
      <c r="E2958" t="inlineStr">
        <is>
          <t>Q1FY27</t>
        </is>
      </c>
      <c r="F2958" t="inlineStr">
        <is>
          <t>02-Jun-2026</t>
        </is>
      </c>
      <c r="G2958" t="inlineStr">
        <is>
          <t>Tuesday</t>
        </is>
      </c>
      <c r="H2958" t="inlineStr">
        <is>
          <t>Weekly - Tuesday</t>
        </is>
      </c>
      <c r="I2958" t="inlineStr">
        <is>
          <t>Weekly - Tuesday</t>
        </is>
      </c>
      <c r="J2958" t="inlineStr">
        <is>
          <t>Month+1 Expiry</t>
        </is>
      </c>
      <c r="K2958" s="25" t="n">
        <v>9139</v>
      </c>
      <c r="L2958" s="26" t="n">
        <v>14.5453</v>
      </c>
      <c r="M2958" s="26" t="n">
        <v>0.1304</v>
      </c>
    </row>
    <row r="2959" ht="16" customHeight="1">
      <c r="A2959" t="inlineStr">
        <is>
          <t>04-May-2026</t>
        </is>
      </c>
      <c r="B2959" t="inlineStr">
        <is>
          <t>Monday</t>
        </is>
      </c>
      <c r="C2959" t="inlineStr">
        <is>
          <t>Week1-May-2026</t>
        </is>
      </c>
      <c r="D2959" s="78" t="n">
        <v>46143</v>
      </c>
      <c r="E2959" t="inlineStr">
        <is>
          <t>Q1FY27</t>
        </is>
      </c>
      <c r="F2959" t="inlineStr">
        <is>
          <t>30-Jun-2026</t>
        </is>
      </c>
      <c r="G2959" t="inlineStr">
        <is>
          <t>Tuesday</t>
        </is>
      </c>
      <c r="H2959" t="inlineStr">
        <is>
          <t>Monthly - Tuesday</t>
        </is>
      </c>
      <c r="I2959" t="inlineStr">
        <is>
          <t>Monthly - Tuesday</t>
        </is>
      </c>
      <c r="J2959" t="inlineStr">
        <is>
          <t>Month+1 Expiry</t>
        </is>
      </c>
      <c r="K2959" s="25" t="n">
        <v>186394</v>
      </c>
      <c r="L2959" s="26" t="n">
        <v>292.1196</v>
      </c>
      <c r="M2959" s="26" t="n">
        <v>3.1402</v>
      </c>
    </row>
    <row r="2960" ht="16" customHeight="1">
      <c r="A2960" t="inlineStr">
        <is>
          <t>04-May-2026</t>
        </is>
      </c>
      <c r="B2960" t="inlineStr">
        <is>
          <t>Monday</t>
        </is>
      </c>
      <c r="C2960" t="inlineStr">
        <is>
          <t>Week1-May-2026</t>
        </is>
      </c>
      <c r="D2960" s="78" t="n">
        <v>46143</v>
      </c>
      <c r="E2960" t="inlineStr">
        <is>
          <t>Q1FY27</t>
        </is>
      </c>
      <c r="F2960" t="inlineStr">
        <is>
          <t>28-Jul-2026</t>
        </is>
      </c>
      <c r="G2960" t="inlineStr">
        <is>
          <t>Tuesday</t>
        </is>
      </c>
      <c r="H2960" t="inlineStr">
        <is>
          <t>Monthly - Tuesday</t>
        </is>
      </c>
      <c r="I2960" t="inlineStr">
        <is>
          <t>Monthly - Tuesday</t>
        </is>
      </c>
      <c r="J2960" t="inlineStr">
        <is>
          <t>Month+2 Expiry</t>
        </is>
      </c>
      <c r="K2960" s="25" t="n">
        <v>16168</v>
      </c>
      <c r="L2960" s="26" t="n">
        <v>25.2463</v>
      </c>
      <c r="M2960" s="26" t="n">
        <v>0.4213</v>
      </c>
    </row>
    <row r="2961" ht="16" customHeight="1">
      <c r="A2961" t="inlineStr">
        <is>
          <t>04-May-2026</t>
        </is>
      </c>
      <c r="B2961" t="inlineStr">
        <is>
          <t>Monday</t>
        </is>
      </c>
      <c r="C2961" t="inlineStr">
        <is>
          <t>Week1-May-2026</t>
        </is>
      </c>
      <c r="D2961" s="78" t="n">
        <v>46143</v>
      </c>
      <c r="E2961" t="inlineStr">
        <is>
          <t>Q1FY27</t>
        </is>
      </c>
      <c r="F2961" t="inlineStr">
        <is>
          <t>29-Sep-2026</t>
        </is>
      </c>
      <c r="G2961" t="inlineStr">
        <is>
          <t>Tuesday</t>
        </is>
      </c>
      <c r="H2961" t="inlineStr">
        <is>
          <t>Monthly - Tuesday</t>
        </is>
      </c>
      <c r="I2961" t="inlineStr">
        <is>
          <t>Monthly - Tuesday</t>
        </is>
      </c>
      <c r="J2961" t="inlineStr">
        <is>
          <t>Month+4 Expiry</t>
        </is>
      </c>
      <c r="K2961" s="25" t="n">
        <v>13619</v>
      </c>
      <c r="L2961" s="26" t="n">
        <v>21.485</v>
      </c>
      <c r="M2961" s="26" t="n">
        <v>0.2863</v>
      </c>
    </row>
    <row r="2962" ht="16" customHeight="1">
      <c r="A2962" t="inlineStr">
        <is>
          <t>04-May-2026</t>
        </is>
      </c>
      <c r="B2962" t="inlineStr">
        <is>
          <t>Monday</t>
        </is>
      </c>
      <c r="C2962" t="inlineStr">
        <is>
          <t>Week1-May-2026</t>
        </is>
      </c>
      <c r="D2962" s="78" t="n">
        <v>46143</v>
      </c>
      <c r="E2962" t="inlineStr">
        <is>
          <t>Q1FY27</t>
        </is>
      </c>
      <c r="F2962" t="inlineStr">
        <is>
          <t>29-Dec-2026</t>
        </is>
      </c>
      <c r="G2962" t="inlineStr">
        <is>
          <t>Tuesday</t>
        </is>
      </c>
      <c r="H2962" t="inlineStr">
        <is>
          <t>Monthly - Tuesday</t>
        </is>
      </c>
      <c r="I2962" t="inlineStr">
        <is>
          <t>Monthly - Tuesday</t>
        </is>
      </c>
      <c r="J2962" t="inlineStr">
        <is>
          <t>Month+7 Expiry</t>
        </is>
      </c>
      <c r="K2962" s="25" t="n">
        <v>24424</v>
      </c>
      <c r="L2962" s="26" t="n">
        <v>39.6179</v>
      </c>
      <c r="M2962" s="26" t="n">
        <v>0.9945000000000001</v>
      </c>
    </row>
    <row r="2963" ht="16" customHeight="1">
      <c r="A2963" t="inlineStr">
        <is>
          <t>04-May-2026</t>
        </is>
      </c>
      <c r="B2963" t="inlineStr">
        <is>
          <t>Monday</t>
        </is>
      </c>
      <c r="C2963" t="inlineStr">
        <is>
          <t>Week1-May-2026</t>
        </is>
      </c>
      <c r="D2963" s="78" t="n">
        <v>46143</v>
      </c>
      <c r="E2963" t="inlineStr">
        <is>
          <t>Q1FY27</t>
        </is>
      </c>
      <c r="F2963" t="inlineStr">
        <is>
          <t>30-Mar-2027</t>
        </is>
      </c>
      <c r="G2963" t="inlineStr">
        <is>
          <t>Tuesday</t>
        </is>
      </c>
      <c r="H2963" t="inlineStr">
        <is>
          <t>Monthly - Tuesday</t>
        </is>
      </c>
      <c r="I2963" t="inlineStr">
        <is>
          <t>Monthly - Tuesday</t>
        </is>
      </c>
      <c r="J2963" t="inlineStr">
        <is>
          <t>Month+10 Expiry</t>
        </is>
      </c>
      <c r="K2963" s="25" t="n">
        <v>2</v>
      </c>
      <c r="L2963" s="26" t="n">
        <v>0.002</v>
      </c>
      <c r="M2963" s="26" t="n">
        <v>0</v>
      </c>
    </row>
    <row r="2964" ht="16" customHeight="1">
      <c r="A2964" t="inlineStr">
        <is>
          <t>04-May-2026</t>
        </is>
      </c>
      <c r="B2964" t="inlineStr">
        <is>
          <t>Monday</t>
        </is>
      </c>
      <c r="C2964" t="inlineStr">
        <is>
          <t>Week1-May-2026</t>
        </is>
      </c>
      <c r="D2964" s="78" t="n">
        <v>46143</v>
      </c>
      <c r="E2964" t="inlineStr">
        <is>
          <t>Q1FY27</t>
        </is>
      </c>
      <c r="F2964" t="inlineStr">
        <is>
          <t>29-Jun-2027</t>
        </is>
      </c>
      <c r="G2964" t="inlineStr">
        <is>
          <t>Tuesday</t>
        </is>
      </c>
      <c r="H2964" t="inlineStr">
        <is>
          <t>Monthly - Tuesday</t>
        </is>
      </c>
      <c r="I2964" t="inlineStr">
        <is>
          <t>Monthly - Tuesday</t>
        </is>
      </c>
      <c r="J2964" t="inlineStr">
        <is>
          <t>Month+13 Expiry</t>
        </is>
      </c>
      <c r="K2964" s="25" t="n">
        <v>2</v>
      </c>
      <c r="L2964" s="26" t="n">
        <v>0.0028</v>
      </c>
      <c r="M2964" s="26" t="n">
        <v>0</v>
      </c>
    </row>
    <row r="2965" ht="16" customHeight="1">
      <c r="A2965" t="inlineStr">
        <is>
          <t>04-May-2026</t>
        </is>
      </c>
      <c r="B2965" t="inlineStr">
        <is>
          <t>Monday</t>
        </is>
      </c>
      <c r="C2965" t="inlineStr">
        <is>
          <t>Week1-May-2026</t>
        </is>
      </c>
      <c r="D2965" s="78" t="n">
        <v>46143</v>
      </c>
      <c r="E2965" t="inlineStr">
        <is>
          <t>Q1FY27</t>
        </is>
      </c>
      <c r="F2965" t="inlineStr">
        <is>
          <t>28-Dec-2027</t>
        </is>
      </c>
      <c r="G2965" t="inlineStr">
        <is>
          <t>Tuesday</t>
        </is>
      </c>
      <c r="H2965" t="inlineStr">
        <is>
          <t>Monthly - Tuesday</t>
        </is>
      </c>
      <c r="I2965" t="inlineStr">
        <is>
          <t>Monthly - Tuesday</t>
        </is>
      </c>
      <c r="J2965" t="inlineStr">
        <is>
          <t>Month+19 Expiry</t>
        </is>
      </c>
      <c r="K2965" s="25" t="n">
        <v>382</v>
      </c>
      <c r="L2965" s="26" t="n">
        <v>0.6792</v>
      </c>
      <c r="M2965" s="26" t="n">
        <v>0.0342</v>
      </c>
    </row>
    <row r="2966" ht="16" customHeight="1">
      <c r="A2966" t="inlineStr">
        <is>
          <t>04-May-2026</t>
        </is>
      </c>
      <c r="B2966" t="inlineStr">
        <is>
          <t>Monday</t>
        </is>
      </c>
      <c r="C2966" t="inlineStr">
        <is>
          <t>Week1-May-2026</t>
        </is>
      </c>
      <c r="D2966" s="78" t="n">
        <v>46143</v>
      </c>
      <c r="E2966" t="inlineStr">
        <is>
          <t>Q1FY27</t>
        </is>
      </c>
      <c r="F2966" t="inlineStr">
        <is>
          <t>27-Jun-2028</t>
        </is>
      </c>
      <c r="G2966" t="inlineStr">
        <is>
          <t>Tuesday</t>
        </is>
      </c>
      <c r="H2966" t="inlineStr">
        <is>
          <t>Monthly - Tuesday</t>
        </is>
      </c>
      <c r="I2966" t="inlineStr">
        <is>
          <t>Monthly - Tuesday</t>
        </is>
      </c>
      <c r="J2966" t="inlineStr">
        <is>
          <t>Month+25 Expiry</t>
        </is>
      </c>
      <c r="K2966" s="25" t="n">
        <v>0</v>
      </c>
      <c r="L2966" s="26" t="n">
        <v>0</v>
      </c>
      <c r="M2966" s="26" t="n">
        <v>0</v>
      </c>
    </row>
    <row r="2967" ht="16" customHeight="1">
      <c r="A2967" t="inlineStr">
        <is>
          <t>04-May-2026</t>
        </is>
      </c>
      <c r="B2967" t="inlineStr">
        <is>
          <t>Monday</t>
        </is>
      </c>
      <c r="C2967" t="inlineStr">
        <is>
          <t>Week1-May-2026</t>
        </is>
      </c>
      <c r="D2967" s="78" t="n">
        <v>46143</v>
      </c>
      <c r="E2967" t="inlineStr">
        <is>
          <t>Q1FY27</t>
        </is>
      </c>
      <c r="F2967" t="inlineStr">
        <is>
          <t>26-Dec-2028</t>
        </is>
      </c>
      <c r="G2967" t="inlineStr">
        <is>
          <t>Tuesday</t>
        </is>
      </c>
      <c r="H2967" t="inlineStr">
        <is>
          <t>Monthly - Tuesday</t>
        </is>
      </c>
      <c r="I2967" t="inlineStr">
        <is>
          <t>Monthly - Tuesday</t>
        </is>
      </c>
      <c r="J2967" t="inlineStr">
        <is>
          <t>Month+31 Expiry</t>
        </is>
      </c>
      <c r="K2967" s="25" t="n">
        <v>9</v>
      </c>
      <c r="L2967" s="26" t="n">
        <v>0.0163</v>
      </c>
      <c r="M2967" s="26" t="n">
        <v>0.001</v>
      </c>
    </row>
    <row r="2968" ht="16" customHeight="1">
      <c r="A2968" t="inlineStr">
        <is>
          <t>04-May-2026</t>
        </is>
      </c>
      <c r="B2968" t="inlineStr">
        <is>
          <t>Monday</t>
        </is>
      </c>
      <c r="C2968" t="inlineStr">
        <is>
          <t>Week1-May-2026</t>
        </is>
      </c>
      <c r="D2968" s="78" t="n">
        <v>46143</v>
      </c>
      <c r="E2968" t="inlineStr">
        <is>
          <t>Q1FY27</t>
        </is>
      </c>
      <c r="F2968" t="inlineStr">
        <is>
          <t>26-Jun-2029</t>
        </is>
      </c>
      <c r="G2968" t="inlineStr">
        <is>
          <t>Tuesday</t>
        </is>
      </c>
      <c r="H2968" t="inlineStr">
        <is>
          <t>Monthly - Tuesday</t>
        </is>
      </c>
      <c r="I2968" t="inlineStr">
        <is>
          <t>Monthly - Tuesday</t>
        </is>
      </c>
      <c r="J2968" t="inlineStr">
        <is>
          <t>Month+37 Expiry</t>
        </is>
      </c>
      <c r="K2968" s="25" t="n">
        <v>0</v>
      </c>
      <c r="L2968" s="26" t="n">
        <v>0</v>
      </c>
      <c r="M2968" s="26" t="n">
        <v>0</v>
      </c>
    </row>
    <row r="2969" ht="16" customHeight="1">
      <c r="A2969" t="inlineStr">
        <is>
          <t>04-May-2026</t>
        </is>
      </c>
      <c r="B2969" t="inlineStr">
        <is>
          <t>Monday</t>
        </is>
      </c>
      <c r="C2969" t="inlineStr">
        <is>
          <t>Week1-May-2026</t>
        </is>
      </c>
      <c r="D2969" s="78" t="n">
        <v>46143</v>
      </c>
      <c r="E2969" t="inlineStr">
        <is>
          <t>Q1FY27</t>
        </is>
      </c>
      <c r="F2969" t="inlineStr">
        <is>
          <t>24-Dec-2029</t>
        </is>
      </c>
      <c r="G2969" t="inlineStr">
        <is>
          <t>Monday</t>
        </is>
      </c>
      <c r="H2969" t="inlineStr">
        <is>
          <t>Weekly - Monday</t>
        </is>
      </c>
      <c r="I2969" t="inlineStr">
        <is>
          <t>Weekly - Monday</t>
        </is>
      </c>
      <c r="J2969" t="inlineStr">
        <is>
          <t>Month+43 Expiry</t>
        </is>
      </c>
      <c r="K2969" s="25" t="n">
        <v>0</v>
      </c>
      <c r="L2969" s="26" t="n">
        <v>0</v>
      </c>
      <c r="M2969" s="26" t="n">
        <v>0</v>
      </c>
    </row>
    <row r="2970" ht="16" customHeight="1">
      <c r="A2970" t="inlineStr">
        <is>
          <t>04-May-2026</t>
        </is>
      </c>
      <c r="B2970" t="inlineStr">
        <is>
          <t>Monday</t>
        </is>
      </c>
      <c r="C2970" t="inlineStr">
        <is>
          <t>Week1-May-2026</t>
        </is>
      </c>
      <c r="D2970" s="78" t="n">
        <v>46143</v>
      </c>
      <c r="E2970" t="inlineStr">
        <is>
          <t>Q1FY27</t>
        </is>
      </c>
      <c r="F2970" t="inlineStr">
        <is>
          <t>25-Jun-2030</t>
        </is>
      </c>
      <c r="G2970" t="inlineStr">
        <is>
          <t>Tuesday</t>
        </is>
      </c>
      <c r="H2970" t="inlineStr">
        <is>
          <t>Monthly - Tuesday</t>
        </is>
      </c>
      <c r="I2970" t="inlineStr">
        <is>
          <t>Monthly - Tuesday</t>
        </is>
      </c>
      <c r="J2970" t="inlineStr">
        <is>
          <t>Month+49 Expiry</t>
        </is>
      </c>
      <c r="K2970" s="25" t="n">
        <v>0</v>
      </c>
      <c r="L2970" s="26" t="n">
        <v>0</v>
      </c>
      <c r="M2970" s="26" t="n">
        <v>0</v>
      </c>
    </row>
    <row r="2971" ht="16" customHeight="1">
      <c r="A2971" t="inlineStr">
        <is>
          <t>04-May-2026</t>
        </is>
      </c>
      <c r="B2971" t="inlineStr">
        <is>
          <t>Monday</t>
        </is>
      </c>
      <c r="C2971" t="inlineStr">
        <is>
          <t>Week1-May-2026</t>
        </is>
      </c>
      <c r="D2971" s="78" t="n">
        <v>46143</v>
      </c>
      <c r="E2971" t="inlineStr">
        <is>
          <t>Q1FY27</t>
        </is>
      </c>
      <c r="F2971" t="inlineStr">
        <is>
          <t>31-Dec-2030</t>
        </is>
      </c>
      <c r="G2971" t="inlineStr">
        <is>
          <t>Tuesday</t>
        </is>
      </c>
      <c r="H2971" t="inlineStr">
        <is>
          <t>Monthly - Tuesday</t>
        </is>
      </c>
      <c r="I2971" t="inlineStr">
        <is>
          <t>Monthly - Tuesday</t>
        </is>
      </c>
      <c r="J2971" t="inlineStr">
        <is>
          <t>Month+55 Expiry</t>
        </is>
      </c>
      <c r="K2971" s="25" t="n">
        <v>0</v>
      </c>
      <c r="L2971" s="26" t="n">
        <v>0</v>
      </c>
      <c r="M2971" s="26" t="n">
        <v>0</v>
      </c>
    </row>
    <row r="2972" ht="16" customHeight="1">
      <c r="A2972" t="inlineStr">
        <is>
          <t>05-May-2026</t>
        </is>
      </c>
      <c r="B2972" t="inlineStr">
        <is>
          <t>Tuesday</t>
        </is>
      </c>
      <c r="C2972" t="inlineStr">
        <is>
          <t>Week1-May-2026</t>
        </is>
      </c>
      <c r="D2972" s="78" t="n">
        <v>46143</v>
      </c>
      <c r="E2972" t="inlineStr">
        <is>
          <t>Q1FY27</t>
        </is>
      </c>
      <c r="F2972" t="inlineStr">
        <is>
          <t>05-May-2026</t>
        </is>
      </c>
      <c r="G2972" t="inlineStr">
        <is>
          <t>Tuesday</t>
        </is>
      </c>
      <c r="H2972" t="inlineStr">
        <is>
          <t>Weekly - Tuesday</t>
        </is>
      </c>
      <c r="I2972" t="inlineStr">
        <is>
          <t>Weekly - Tuesday</t>
        </is>
      </c>
      <c r="J2972" t="inlineStr">
        <is>
          <t>Same Month Expiry</t>
        </is>
      </c>
      <c r="K2972" s="25" t="n">
        <v>431643349</v>
      </c>
      <c r="L2972" s="26" t="n">
        <v>675044.7573000001</v>
      </c>
      <c r="M2972" s="26" t="n">
        <v>729.5649</v>
      </c>
    </row>
    <row r="2973" ht="16" customHeight="1">
      <c r="A2973" t="inlineStr">
        <is>
          <t>05-May-2026</t>
        </is>
      </c>
      <c r="B2973" t="inlineStr">
        <is>
          <t>Tuesday</t>
        </is>
      </c>
      <c r="C2973" t="inlineStr">
        <is>
          <t>Week1-May-2026</t>
        </is>
      </c>
      <c r="D2973" s="78" t="n">
        <v>46143</v>
      </c>
      <c r="E2973" t="inlineStr">
        <is>
          <t>Q1FY27</t>
        </is>
      </c>
      <c r="F2973" t="inlineStr">
        <is>
          <t>12-May-2026</t>
        </is>
      </c>
      <c r="G2973" t="inlineStr">
        <is>
          <t>Tuesday</t>
        </is>
      </c>
      <c r="H2973" t="inlineStr">
        <is>
          <t>Weekly - Tuesday</t>
        </is>
      </c>
      <c r="I2973" t="inlineStr">
        <is>
          <t>Weekly - Tuesday</t>
        </is>
      </c>
      <c r="J2973" t="inlineStr">
        <is>
          <t>Same Month Expiry</t>
        </is>
      </c>
      <c r="K2973" s="25" t="n">
        <v>9579753</v>
      </c>
      <c r="L2973" s="26" t="n">
        <v>15061.6563</v>
      </c>
      <c r="M2973" s="26" t="n">
        <v>61.8018</v>
      </c>
    </row>
    <row r="2974" ht="16" customHeight="1">
      <c r="A2974" t="inlineStr">
        <is>
          <t>05-May-2026</t>
        </is>
      </c>
      <c r="B2974" t="inlineStr">
        <is>
          <t>Tuesday</t>
        </is>
      </c>
      <c r="C2974" t="inlineStr">
        <is>
          <t>Week1-May-2026</t>
        </is>
      </c>
      <c r="D2974" s="78" t="n">
        <v>46143</v>
      </c>
      <c r="E2974" t="inlineStr">
        <is>
          <t>Q1FY27</t>
        </is>
      </c>
      <c r="F2974" t="inlineStr">
        <is>
          <t>19-May-2026</t>
        </is>
      </c>
      <c r="G2974" t="inlineStr">
        <is>
          <t>Tuesday</t>
        </is>
      </c>
      <c r="H2974" t="inlineStr">
        <is>
          <t>Weekly - Tuesday</t>
        </is>
      </c>
      <c r="I2974" t="inlineStr">
        <is>
          <t>Weekly - Tuesday</t>
        </is>
      </c>
      <c r="J2974" t="inlineStr">
        <is>
          <t>Same Month Expiry</t>
        </is>
      </c>
      <c r="K2974" s="25" t="n">
        <v>319797</v>
      </c>
      <c r="L2974" s="26" t="n">
        <v>504.7885</v>
      </c>
      <c r="M2974" s="26" t="n">
        <v>2.6843</v>
      </c>
    </row>
    <row r="2975" ht="16" customHeight="1">
      <c r="A2975" t="inlineStr">
        <is>
          <t>05-May-2026</t>
        </is>
      </c>
      <c r="B2975" t="inlineStr">
        <is>
          <t>Tuesday</t>
        </is>
      </c>
      <c r="C2975" t="inlineStr">
        <is>
          <t>Week1-May-2026</t>
        </is>
      </c>
      <c r="D2975" s="78" t="n">
        <v>46143</v>
      </c>
      <c r="E2975" t="inlineStr">
        <is>
          <t>Q1FY27</t>
        </is>
      </c>
      <c r="F2975" t="inlineStr">
        <is>
          <t>26-May-2026</t>
        </is>
      </c>
      <c r="G2975" t="inlineStr">
        <is>
          <t>Tuesday</t>
        </is>
      </c>
      <c r="H2975" t="inlineStr">
        <is>
          <t>Monthly - Tuesday</t>
        </is>
      </c>
      <c r="I2975" t="inlineStr">
        <is>
          <t>Monthly - Tuesday</t>
        </is>
      </c>
      <c r="J2975" t="inlineStr">
        <is>
          <t>Same Month Expiry</t>
        </is>
      </c>
      <c r="K2975" s="25" t="n">
        <v>1144400</v>
      </c>
      <c r="L2975" s="26" t="n">
        <v>1810.2488</v>
      </c>
      <c r="M2975" s="26" t="n">
        <v>16.6017</v>
      </c>
    </row>
    <row r="2976" ht="16" customHeight="1">
      <c r="A2976" t="inlineStr">
        <is>
          <t>05-May-2026</t>
        </is>
      </c>
      <c r="B2976" t="inlineStr">
        <is>
          <t>Tuesday</t>
        </is>
      </c>
      <c r="C2976" t="inlineStr">
        <is>
          <t>Week1-May-2026</t>
        </is>
      </c>
      <c r="D2976" s="78" t="n">
        <v>46143</v>
      </c>
      <c r="E2976" t="inlineStr">
        <is>
          <t>Q1FY27</t>
        </is>
      </c>
      <c r="F2976" t="inlineStr">
        <is>
          <t>02-Jun-2026</t>
        </is>
      </c>
      <c r="G2976" t="inlineStr">
        <is>
          <t>Tuesday</t>
        </is>
      </c>
      <c r="H2976" t="inlineStr">
        <is>
          <t>Weekly - Tuesday</t>
        </is>
      </c>
      <c r="I2976" t="inlineStr">
        <is>
          <t>Weekly - Tuesday</t>
        </is>
      </c>
      <c r="J2976" t="inlineStr">
        <is>
          <t>Month+1 Expiry</t>
        </is>
      </c>
      <c r="K2976" s="25" t="n">
        <v>11254</v>
      </c>
      <c r="L2976" s="26" t="n">
        <v>17.7925</v>
      </c>
      <c r="M2976" s="26" t="n">
        <v>0.1361</v>
      </c>
    </row>
    <row r="2977" ht="16" customHeight="1">
      <c r="A2977" t="inlineStr">
        <is>
          <t>05-May-2026</t>
        </is>
      </c>
      <c r="B2977" t="inlineStr">
        <is>
          <t>Tuesday</t>
        </is>
      </c>
      <c r="C2977" t="inlineStr">
        <is>
          <t>Week1-May-2026</t>
        </is>
      </c>
      <c r="D2977" s="78" t="n">
        <v>46143</v>
      </c>
      <c r="E2977" t="inlineStr">
        <is>
          <t>Q1FY27</t>
        </is>
      </c>
      <c r="F2977" t="inlineStr">
        <is>
          <t>30-Jun-2026</t>
        </is>
      </c>
      <c r="G2977" t="inlineStr">
        <is>
          <t>Tuesday</t>
        </is>
      </c>
      <c r="H2977" t="inlineStr">
        <is>
          <t>Monthly - Tuesday</t>
        </is>
      </c>
      <c r="I2977" t="inlineStr">
        <is>
          <t>Monthly - Tuesday</t>
        </is>
      </c>
      <c r="J2977" t="inlineStr">
        <is>
          <t>Month+1 Expiry</t>
        </is>
      </c>
      <c r="K2977" s="25" t="n">
        <v>171921</v>
      </c>
      <c r="L2977" s="26" t="n">
        <v>275.842</v>
      </c>
      <c r="M2977" s="26" t="n">
        <v>3.2394</v>
      </c>
    </row>
    <row r="2978" ht="16" customHeight="1">
      <c r="A2978" t="inlineStr">
        <is>
          <t>05-May-2026</t>
        </is>
      </c>
      <c r="B2978" t="inlineStr">
        <is>
          <t>Tuesday</t>
        </is>
      </c>
      <c r="C2978" t="inlineStr">
        <is>
          <t>Week1-May-2026</t>
        </is>
      </c>
      <c r="D2978" s="78" t="n">
        <v>46143</v>
      </c>
      <c r="E2978" t="inlineStr">
        <is>
          <t>Q1FY27</t>
        </is>
      </c>
      <c r="F2978" t="inlineStr">
        <is>
          <t>28-Jul-2026</t>
        </is>
      </c>
      <c r="G2978" t="inlineStr">
        <is>
          <t>Tuesday</t>
        </is>
      </c>
      <c r="H2978" t="inlineStr">
        <is>
          <t>Monthly - Tuesday</t>
        </is>
      </c>
      <c r="I2978" t="inlineStr">
        <is>
          <t>Monthly - Tuesday</t>
        </is>
      </c>
      <c r="J2978" t="inlineStr">
        <is>
          <t>Month+2 Expiry</t>
        </is>
      </c>
      <c r="K2978" s="25" t="n">
        <v>13769</v>
      </c>
      <c r="L2978" s="26" t="n">
        <v>22.1328</v>
      </c>
      <c r="M2978" s="26" t="n">
        <v>0.4194</v>
      </c>
    </row>
    <row r="2979" ht="16" customHeight="1">
      <c r="A2979" t="inlineStr">
        <is>
          <t>05-May-2026</t>
        </is>
      </c>
      <c r="B2979" t="inlineStr">
        <is>
          <t>Tuesday</t>
        </is>
      </c>
      <c r="C2979" t="inlineStr">
        <is>
          <t>Week1-May-2026</t>
        </is>
      </c>
      <c r="D2979" s="78" t="n">
        <v>46143</v>
      </c>
      <c r="E2979" t="inlineStr">
        <is>
          <t>Q1FY27</t>
        </is>
      </c>
      <c r="F2979" t="inlineStr">
        <is>
          <t>29-Sep-2026</t>
        </is>
      </c>
      <c r="G2979" t="inlineStr">
        <is>
          <t>Tuesday</t>
        </is>
      </c>
      <c r="H2979" t="inlineStr">
        <is>
          <t>Monthly - Tuesday</t>
        </is>
      </c>
      <c r="I2979" t="inlineStr">
        <is>
          <t>Monthly - Tuesday</t>
        </is>
      </c>
      <c r="J2979" t="inlineStr">
        <is>
          <t>Month+4 Expiry</t>
        </is>
      </c>
      <c r="K2979" s="25" t="n">
        <v>10113</v>
      </c>
      <c r="L2979" s="26" t="n">
        <v>16.6847</v>
      </c>
      <c r="M2979" s="26" t="n">
        <v>0.2825</v>
      </c>
    </row>
    <row r="2980" ht="16" customHeight="1">
      <c r="A2980" t="inlineStr">
        <is>
          <t>05-May-2026</t>
        </is>
      </c>
      <c r="B2980" t="inlineStr">
        <is>
          <t>Tuesday</t>
        </is>
      </c>
      <c r="C2980" t="inlineStr">
        <is>
          <t>Week1-May-2026</t>
        </is>
      </c>
      <c r="D2980" s="78" t="n">
        <v>46143</v>
      </c>
      <c r="E2980" t="inlineStr">
        <is>
          <t>Q1FY27</t>
        </is>
      </c>
      <c r="F2980" t="inlineStr">
        <is>
          <t>29-Dec-2026</t>
        </is>
      </c>
      <c r="G2980" t="inlineStr">
        <is>
          <t>Tuesday</t>
        </is>
      </c>
      <c r="H2980" t="inlineStr">
        <is>
          <t>Monthly - Tuesday</t>
        </is>
      </c>
      <c r="I2980" t="inlineStr">
        <is>
          <t>Monthly - Tuesday</t>
        </is>
      </c>
      <c r="J2980" t="inlineStr">
        <is>
          <t>Month+7 Expiry</t>
        </is>
      </c>
      <c r="K2980" s="25" t="n">
        <v>20552</v>
      </c>
      <c r="L2980" s="26" t="n">
        <v>34.271</v>
      </c>
      <c r="M2980" s="26" t="n">
        <v>0.9933</v>
      </c>
    </row>
    <row r="2981" ht="16" customHeight="1">
      <c r="A2981" t="inlineStr">
        <is>
          <t>05-May-2026</t>
        </is>
      </c>
      <c r="B2981" t="inlineStr">
        <is>
          <t>Tuesday</t>
        </is>
      </c>
      <c r="C2981" t="inlineStr">
        <is>
          <t>Week1-May-2026</t>
        </is>
      </c>
      <c r="D2981" s="78" t="n">
        <v>46143</v>
      </c>
      <c r="E2981" t="inlineStr">
        <is>
          <t>Q1FY27</t>
        </is>
      </c>
      <c r="F2981" t="inlineStr">
        <is>
          <t>30-Mar-2027</t>
        </is>
      </c>
      <c r="G2981" t="inlineStr">
        <is>
          <t>Tuesday</t>
        </is>
      </c>
      <c r="H2981" t="inlineStr">
        <is>
          <t>Monthly - Tuesday</t>
        </is>
      </c>
      <c r="I2981" t="inlineStr">
        <is>
          <t>Monthly - Tuesday</t>
        </is>
      </c>
      <c r="J2981" t="inlineStr">
        <is>
          <t>Month+10 Expiry</t>
        </is>
      </c>
      <c r="K2981" s="25" t="n">
        <v>0</v>
      </c>
      <c r="L2981" s="26" t="n">
        <v>0</v>
      </c>
      <c r="M2981" s="26" t="n">
        <v>0</v>
      </c>
    </row>
    <row r="2982" ht="16" customHeight="1">
      <c r="A2982" t="inlineStr">
        <is>
          <t>05-May-2026</t>
        </is>
      </c>
      <c r="B2982" t="inlineStr">
        <is>
          <t>Tuesday</t>
        </is>
      </c>
      <c r="C2982" t="inlineStr">
        <is>
          <t>Week1-May-2026</t>
        </is>
      </c>
      <c r="D2982" s="78" t="n">
        <v>46143</v>
      </c>
      <c r="E2982" t="inlineStr">
        <is>
          <t>Q1FY27</t>
        </is>
      </c>
      <c r="F2982" t="inlineStr">
        <is>
          <t>29-Jun-2027</t>
        </is>
      </c>
      <c r="G2982" t="inlineStr">
        <is>
          <t>Tuesday</t>
        </is>
      </c>
      <c r="H2982" t="inlineStr">
        <is>
          <t>Monthly - Tuesday</t>
        </is>
      </c>
      <c r="I2982" t="inlineStr">
        <is>
          <t>Monthly - Tuesday</t>
        </is>
      </c>
      <c r="J2982" t="inlineStr">
        <is>
          <t>Month+13 Expiry</t>
        </is>
      </c>
      <c r="K2982" s="25" t="n">
        <v>4</v>
      </c>
      <c r="L2982" s="26" t="n">
        <v>0.0056</v>
      </c>
      <c r="M2982" s="26" t="n">
        <v>0.0001</v>
      </c>
    </row>
    <row r="2983" ht="16" customHeight="1">
      <c r="A2983" t="inlineStr">
        <is>
          <t>05-May-2026</t>
        </is>
      </c>
      <c r="B2983" t="inlineStr">
        <is>
          <t>Tuesday</t>
        </is>
      </c>
      <c r="C2983" t="inlineStr">
        <is>
          <t>Week1-May-2026</t>
        </is>
      </c>
      <c r="D2983" s="78" t="n">
        <v>46143</v>
      </c>
      <c r="E2983" t="inlineStr">
        <is>
          <t>Q1FY27</t>
        </is>
      </c>
      <c r="F2983" t="inlineStr">
        <is>
          <t>28-Dec-2027</t>
        </is>
      </c>
      <c r="G2983" t="inlineStr">
        <is>
          <t>Tuesday</t>
        </is>
      </c>
      <c r="H2983" t="inlineStr">
        <is>
          <t>Monthly - Tuesday</t>
        </is>
      </c>
      <c r="I2983" t="inlineStr">
        <is>
          <t>Monthly - Tuesday</t>
        </is>
      </c>
      <c r="J2983" t="inlineStr">
        <is>
          <t>Month+19 Expiry</t>
        </is>
      </c>
      <c r="K2983" s="25" t="n">
        <v>346</v>
      </c>
      <c r="L2983" s="26" t="n">
        <v>0.5853</v>
      </c>
      <c r="M2983" s="26" t="n">
        <v>0.0305</v>
      </c>
    </row>
    <row r="2984" ht="16" customHeight="1">
      <c r="A2984" t="inlineStr">
        <is>
          <t>05-May-2026</t>
        </is>
      </c>
      <c r="B2984" t="inlineStr">
        <is>
          <t>Tuesday</t>
        </is>
      </c>
      <c r="C2984" t="inlineStr">
        <is>
          <t>Week1-May-2026</t>
        </is>
      </c>
      <c r="D2984" s="78" t="n">
        <v>46143</v>
      </c>
      <c r="E2984" t="inlineStr">
        <is>
          <t>Q1FY27</t>
        </is>
      </c>
      <c r="F2984" t="inlineStr">
        <is>
          <t>27-Jun-2028</t>
        </is>
      </c>
      <c r="G2984" t="inlineStr">
        <is>
          <t>Tuesday</t>
        </is>
      </c>
      <c r="H2984" t="inlineStr">
        <is>
          <t>Monthly - Tuesday</t>
        </is>
      </c>
      <c r="I2984" t="inlineStr">
        <is>
          <t>Monthly - Tuesday</t>
        </is>
      </c>
      <c r="J2984" t="inlineStr">
        <is>
          <t>Month+25 Expiry</t>
        </is>
      </c>
      <c r="K2984" s="25" t="n">
        <v>1</v>
      </c>
      <c r="L2984" s="26" t="n">
        <v>0.0015</v>
      </c>
      <c r="M2984" s="26" t="n">
        <v>0</v>
      </c>
    </row>
    <row r="2985" ht="16" customHeight="1">
      <c r="A2985" t="inlineStr">
        <is>
          <t>05-May-2026</t>
        </is>
      </c>
      <c r="B2985" t="inlineStr">
        <is>
          <t>Tuesday</t>
        </is>
      </c>
      <c r="C2985" t="inlineStr">
        <is>
          <t>Week1-May-2026</t>
        </is>
      </c>
      <c r="D2985" s="78" t="n">
        <v>46143</v>
      </c>
      <c r="E2985" t="inlineStr">
        <is>
          <t>Q1FY27</t>
        </is>
      </c>
      <c r="F2985" t="inlineStr">
        <is>
          <t>26-Dec-2028</t>
        </is>
      </c>
      <c r="G2985" t="inlineStr">
        <is>
          <t>Tuesday</t>
        </is>
      </c>
      <c r="H2985" t="inlineStr">
        <is>
          <t>Monthly - Tuesday</t>
        </is>
      </c>
      <c r="I2985" t="inlineStr">
        <is>
          <t>Monthly - Tuesday</t>
        </is>
      </c>
      <c r="J2985" t="inlineStr">
        <is>
          <t>Month+31 Expiry</t>
        </is>
      </c>
      <c r="K2985" s="25" t="n">
        <v>7</v>
      </c>
      <c r="L2985" s="26" t="n">
        <v>0.0132</v>
      </c>
      <c r="M2985" s="26" t="n">
        <v>0.0009</v>
      </c>
    </row>
    <row r="2986" ht="16" customHeight="1">
      <c r="A2986" t="inlineStr">
        <is>
          <t>05-May-2026</t>
        </is>
      </c>
      <c r="B2986" t="inlineStr">
        <is>
          <t>Tuesday</t>
        </is>
      </c>
      <c r="C2986" t="inlineStr">
        <is>
          <t>Week1-May-2026</t>
        </is>
      </c>
      <c r="D2986" s="78" t="n">
        <v>46143</v>
      </c>
      <c r="E2986" t="inlineStr">
        <is>
          <t>Q1FY27</t>
        </is>
      </c>
      <c r="F2986" t="inlineStr">
        <is>
          <t>26-Jun-2029</t>
        </is>
      </c>
      <c r="G2986" t="inlineStr">
        <is>
          <t>Tuesday</t>
        </is>
      </c>
      <c r="H2986" t="inlineStr">
        <is>
          <t>Monthly - Tuesday</t>
        </is>
      </c>
      <c r="I2986" t="inlineStr">
        <is>
          <t>Monthly - Tuesday</t>
        </is>
      </c>
      <c r="J2986" t="inlineStr">
        <is>
          <t>Month+37 Expiry</t>
        </is>
      </c>
      <c r="K2986" s="25" t="n">
        <v>0</v>
      </c>
      <c r="L2986" s="26" t="n">
        <v>0</v>
      </c>
      <c r="M2986" s="26" t="n">
        <v>0</v>
      </c>
    </row>
    <row r="2987" ht="16" customHeight="1">
      <c r="A2987" t="inlineStr">
        <is>
          <t>05-May-2026</t>
        </is>
      </c>
      <c r="B2987" t="inlineStr">
        <is>
          <t>Tuesday</t>
        </is>
      </c>
      <c r="C2987" t="inlineStr">
        <is>
          <t>Week1-May-2026</t>
        </is>
      </c>
      <c r="D2987" s="78" t="n">
        <v>46143</v>
      </c>
      <c r="E2987" t="inlineStr">
        <is>
          <t>Q1FY27</t>
        </is>
      </c>
      <c r="F2987" t="inlineStr">
        <is>
          <t>24-Dec-2029</t>
        </is>
      </c>
      <c r="G2987" t="inlineStr">
        <is>
          <t>Monday</t>
        </is>
      </c>
      <c r="H2987" t="inlineStr">
        <is>
          <t>Weekly - Monday</t>
        </is>
      </c>
      <c r="I2987" t="inlineStr">
        <is>
          <t>Weekly - Monday</t>
        </is>
      </c>
      <c r="J2987" t="inlineStr">
        <is>
          <t>Month+43 Expiry</t>
        </is>
      </c>
      <c r="K2987" s="25" t="n">
        <v>0</v>
      </c>
      <c r="L2987" s="26" t="n">
        <v>0</v>
      </c>
      <c r="M2987" s="26" t="n">
        <v>0</v>
      </c>
    </row>
    <row r="2988" ht="16" customHeight="1">
      <c r="A2988" t="inlineStr">
        <is>
          <t>05-May-2026</t>
        </is>
      </c>
      <c r="B2988" t="inlineStr">
        <is>
          <t>Tuesday</t>
        </is>
      </c>
      <c r="C2988" t="inlineStr">
        <is>
          <t>Week1-May-2026</t>
        </is>
      </c>
      <c r="D2988" s="78" t="n">
        <v>46143</v>
      </c>
      <c r="E2988" t="inlineStr">
        <is>
          <t>Q1FY27</t>
        </is>
      </c>
      <c r="F2988" t="inlineStr">
        <is>
          <t>25-Jun-2030</t>
        </is>
      </c>
      <c r="G2988" t="inlineStr">
        <is>
          <t>Tuesday</t>
        </is>
      </c>
      <c r="H2988" t="inlineStr">
        <is>
          <t>Monthly - Tuesday</t>
        </is>
      </c>
      <c r="I2988" t="inlineStr">
        <is>
          <t>Monthly - Tuesday</t>
        </is>
      </c>
      <c r="J2988" t="inlineStr">
        <is>
          <t>Month+49 Expiry</t>
        </is>
      </c>
      <c r="K2988" s="25" t="n">
        <v>0</v>
      </c>
      <c r="L2988" s="26" t="n">
        <v>0</v>
      </c>
      <c r="M2988" s="26" t="n">
        <v>0</v>
      </c>
    </row>
    <row r="2989" ht="16" customHeight="1">
      <c r="A2989" t="inlineStr">
        <is>
          <t>05-May-2026</t>
        </is>
      </c>
      <c r="B2989" t="inlineStr">
        <is>
          <t>Tuesday</t>
        </is>
      </c>
      <c r="C2989" t="inlineStr">
        <is>
          <t>Week1-May-2026</t>
        </is>
      </c>
      <c r="D2989" s="78" t="n">
        <v>46143</v>
      </c>
      <c r="E2989" t="inlineStr">
        <is>
          <t>Q1FY27</t>
        </is>
      </c>
      <c r="F2989" t="inlineStr">
        <is>
          <t>31-Dec-2030</t>
        </is>
      </c>
      <c r="G2989" t="inlineStr">
        <is>
          <t>Tuesday</t>
        </is>
      </c>
      <c r="H2989" t="inlineStr">
        <is>
          <t>Monthly - Tuesday</t>
        </is>
      </c>
      <c r="I2989" t="inlineStr">
        <is>
          <t>Monthly - Tuesday</t>
        </is>
      </c>
      <c r="J2989" t="inlineStr">
        <is>
          <t>Month+55 Expiry</t>
        </is>
      </c>
      <c r="K2989" s="25" t="n">
        <v>0</v>
      </c>
      <c r="L2989" s="26" t="n">
        <v>0</v>
      </c>
      <c r="M2989" s="26" t="n">
        <v>0</v>
      </c>
    </row>
    <row r="2990" ht="16" customHeight="1">
      <c r="A2990" t="inlineStr">
        <is>
          <t>06-May-2026</t>
        </is>
      </c>
      <c r="B2990" t="inlineStr">
        <is>
          <t>Wednesday</t>
        </is>
      </c>
      <c r="C2990" t="inlineStr">
        <is>
          <t>Week1-May-2026</t>
        </is>
      </c>
      <c r="D2990" s="78" t="n">
        <v>46143</v>
      </c>
      <c r="E2990" t="inlineStr">
        <is>
          <t>Q1FY27</t>
        </is>
      </c>
      <c r="F2990" t="inlineStr">
        <is>
          <t>12-May-2026</t>
        </is>
      </c>
      <c r="G2990" t="inlineStr">
        <is>
          <t>Tuesday</t>
        </is>
      </c>
      <c r="H2990" t="inlineStr">
        <is>
          <t>Weekly - Tuesday</t>
        </is>
      </c>
      <c r="I2990" t="inlineStr">
        <is>
          <t>Weekly - Tuesday</t>
        </is>
      </c>
      <c r="J2990" t="inlineStr">
        <is>
          <t>Same Month Expiry</t>
        </is>
      </c>
      <c r="K2990" s="25" t="n">
        <v>57009929</v>
      </c>
      <c r="L2990" s="26" t="n">
        <v>89867.9706</v>
      </c>
      <c r="M2990" s="26" t="n">
        <v>397.1668</v>
      </c>
    </row>
    <row r="2991" ht="16" customHeight="1">
      <c r="A2991" t="inlineStr">
        <is>
          <t>06-May-2026</t>
        </is>
      </c>
      <c r="B2991" t="inlineStr">
        <is>
          <t>Wednesday</t>
        </is>
      </c>
      <c r="C2991" t="inlineStr">
        <is>
          <t>Week1-May-2026</t>
        </is>
      </c>
      <c r="D2991" s="78" t="n">
        <v>46143</v>
      </c>
      <c r="E2991" t="inlineStr">
        <is>
          <t>Q1FY27</t>
        </is>
      </c>
      <c r="F2991" t="inlineStr">
        <is>
          <t>19-May-2026</t>
        </is>
      </c>
      <c r="G2991" t="inlineStr">
        <is>
          <t>Tuesday</t>
        </is>
      </c>
      <c r="H2991" t="inlineStr">
        <is>
          <t>Weekly - Tuesday</t>
        </is>
      </c>
      <c r="I2991" t="inlineStr">
        <is>
          <t>Weekly - Tuesday</t>
        </is>
      </c>
      <c r="J2991" t="inlineStr">
        <is>
          <t>Same Month Expiry</t>
        </is>
      </c>
      <c r="K2991" s="25" t="n">
        <v>1279622</v>
      </c>
      <c r="L2991" s="26" t="n">
        <v>2020.5353</v>
      </c>
      <c r="M2991" s="26" t="n">
        <v>9.5366</v>
      </c>
    </row>
    <row r="2992" ht="16" customHeight="1">
      <c r="A2992" t="inlineStr">
        <is>
          <t>06-May-2026</t>
        </is>
      </c>
      <c r="B2992" t="inlineStr">
        <is>
          <t>Wednesday</t>
        </is>
      </c>
      <c r="C2992" t="inlineStr">
        <is>
          <t>Week1-May-2026</t>
        </is>
      </c>
      <c r="D2992" s="78" t="n">
        <v>46143</v>
      </c>
      <c r="E2992" t="inlineStr">
        <is>
          <t>Q1FY27</t>
        </is>
      </c>
      <c r="F2992" t="inlineStr">
        <is>
          <t>26-May-2026</t>
        </is>
      </c>
      <c r="G2992" t="inlineStr">
        <is>
          <t>Tuesday</t>
        </is>
      </c>
      <c r="H2992" t="inlineStr">
        <is>
          <t>Monthly - Tuesday</t>
        </is>
      </c>
      <c r="I2992" t="inlineStr">
        <is>
          <t>Monthly - Tuesday</t>
        </is>
      </c>
      <c r="J2992" t="inlineStr">
        <is>
          <t>Same Month Expiry</t>
        </is>
      </c>
      <c r="K2992" s="25" t="n">
        <v>1825071</v>
      </c>
      <c r="L2992" s="26" t="n">
        <v>2874.9913</v>
      </c>
      <c r="M2992" s="26" t="n">
        <v>23.1087</v>
      </c>
    </row>
    <row r="2993" ht="16" customHeight="1">
      <c r="A2993" t="inlineStr">
        <is>
          <t>06-May-2026</t>
        </is>
      </c>
      <c r="B2993" t="inlineStr">
        <is>
          <t>Wednesday</t>
        </is>
      </c>
      <c r="C2993" t="inlineStr">
        <is>
          <t>Week1-May-2026</t>
        </is>
      </c>
      <c r="D2993" s="78" t="n">
        <v>46143</v>
      </c>
      <c r="E2993" t="inlineStr">
        <is>
          <t>Q1FY27</t>
        </is>
      </c>
      <c r="F2993" t="inlineStr">
        <is>
          <t>02-Jun-2026</t>
        </is>
      </c>
      <c r="G2993" t="inlineStr">
        <is>
          <t>Tuesday</t>
        </is>
      </c>
      <c r="H2993" t="inlineStr">
        <is>
          <t>Weekly - Tuesday</t>
        </is>
      </c>
      <c r="I2993" t="inlineStr">
        <is>
          <t>Weekly - Tuesday</t>
        </is>
      </c>
      <c r="J2993" t="inlineStr">
        <is>
          <t>Month+1 Expiry</t>
        </is>
      </c>
      <c r="K2993" s="25" t="n">
        <v>23689</v>
      </c>
      <c r="L2993" s="26" t="n">
        <v>37.2901</v>
      </c>
      <c r="M2993" s="26" t="n">
        <v>0.2997</v>
      </c>
    </row>
    <row r="2994" ht="16" customHeight="1">
      <c r="A2994" t="inlineStr">
        <is>
          <t>06-May-2026</t>
        </is>
      </c>
      <c r="B2994" t="inlineStr">
        <is>
          <t>Wednesday</t>
        </is>
      </c>
      <c r="C2994" t="inlineStr">
        <is>
          <t>Week1-May-2026</t>
        </is>
      </c>
      <c r="D2994" s="78" t="n">
        <v>46143</v>
      </c>
      <c r="E2994" t="inlineStr">
        <is>
          <t>Q1FY27</t>
        </is>
      </c>
      <c r="F2994" t="inlineStr">
        <is>
          <t>09-Jun-2026</t>
        </is>
      </c>
      <c r="G2994" t="inlineStr">
        <is>
          <t>Tuesday</t>
        </is>
      </c>
      <c r="H2994" t="inlineStr">
        <is>
          <t>Weekly - Tuesday</t>
        </is>
      </c>
      <c r="I2994" t="inlineStr">
        <is>
          <t>Weekly - Tuesday</t>
        </is>
      </c>
      <c r="J2994" t="inlineStr">
        <is>
          <t>Month+1 Expiry</t>
        </is>
      </c>
      <c r="K2994" s="25" t="n">
        <v>306</v>
      </c>
      <c r="L2994" s="26" t="n">
        <v>0.4853</v>
      </c>
      <c r="M2994" s="26" t="n">
        <v>0.0065</v>
      </c>
    </row>
    <row r="2995" ht="16" customHeight="1">
      <c r="A2995" t="inlineStr">
        <is>
          <t>06-May-2026</t>
        </is>
      </c>
      <c r="B2995" t="inlineStr">
        <is>
          <t>Wednesday</t>
        </is>
      </c>
      <c r="C2995" t="inlineStr">
        <is>
          <t>Week1-May-2026</t>
        </is>
      </c>
      <c r="D2995" s="78" t="n">
        <v>46143</v>
      </c>
      <c r="E2995" t="inlineStr">
        <is>
          <t>Q1FY27</t>
        </is>
      </c>
      <c r="F2995" t="inlineStr">
        <is>
          <t>30-Jun-2026</t>
        </is>
      </c>
      <c r="G2995" t="inlineStr">
        <is>
          <t>Tuesday</t>
        </is>
      </c>
      <c r="H2995" t="inlineStr">
        <is>
          <t>Monthly - Tuesday</t>
        </is>
      </c>
      <c r="I2995" t="inlineStr">
        <is>
          <t>Monthly - Tuesday</t>
        </is>
      </c>
      <c r="J2995" t="inlineStr">
        <is>
          <t>Month+1 Expiry</t>
        </is>
      </c>
      <c r="K2995" s="25" t="n">
        <v>288972</v>
      </c>
      <c r="L2995" s="26" t="n">
        <v>453.5291</v>
      </c>
      <c r="M2995" s="26" t="n">
        <v>4.4217</v>
      </c>
    </row>
    <row r="2996" ht="16" customHeight="1">
      <c r="A2996" t="inlineStr">
        <is>
          <t>06-May-2026</t>
        </is>
      </c>
      <c r="B2996" t="inlineStr">
        <is>
          <t>Wednesday</t>
        </is>
      </c>
      <c r="C2996" t="inlineStr">
        <is>
          <t>Week1-May-2026</t>
        </is>
      </c>
      <c r="D2996" s="78" t="n">
        <v>46143</v>
      </c>
      <c r="E2996" t="inlineStr">
        <is>
          <t>Q1FY27</t>
        </is>
      </c>
      <c r="F2996" t="inlineStr">
        <is>
          <t>28-Jul-2026</t>
        </is>
      </c>
      <c r="G2996" t="inlineStr">
        <is>
          <t>Tuesday</t>
        </is>
      </c>
      <c r="H2996" t="inlineStr">
        <is>
          <t>Monthly - Tuesday</t>
        </is>
      </c>
      <c r="I2996" t="inlineStr">
        <is>
          <t>Monthly - Tuesday</t>
        </is>
      </c>
      <c r="J2996" t="inlineStr">
        <is>
          <t>Month+2 Expiry</t>
        </is>
      </c>
      <c r="K2996" s="25" t="n">
        <v>20936</v>
      </c>
      <c r="L2996" s="26" t="n">
        <v>33.1883</v>
      </c>
      <c r="M2996" s="26" t="n">
        <v>0.5834</v>
      </c>
    </row>
    <row r="2997" ht="16" customHeight="1">
      <c r="A2997" t="inlineStr">
        <is>
          <t>06-May-2026</t>
        </is>
      </c>
      <c r="B2997" t="inlineStr">
        <is>
          <t>Wednesday</t>
        </is>
      </c>
      <c r="C2997" t="inlineStr">
        <is>
          <t>Week1-May-2026</t>
        </is>
      </c>
      <c r="D2997" s="78" t="n">
        <v>46143</v>
      </c>
      <c r="E2997" t="inlineStr">
        <is>
          <t>Q1FY27</t>
        </is>
      </c>
      <c r="F2997" t="inlineStr">
        <is>
          <t>29-Sep-2026</t>
        </is>
      </c>
      <c r="G2997" t="inlineStr">
        <is>
          <t>Tuesday</t>
        </is>
      </c>
      <c r="H2997" t="inlineStr">
        <is>
          <t>Monthly - Tuesday</t>
        </is>
      </c>
      <c r="I2997" t="inlineStr">
        <is>
          <t>Monthly - Tuesday</t>
        </is>
      </c>
      <c r="J2997" t="inlineStr">
        <is>
          <t>Month+4 Expiry</t>
        </is>
      </c>
      <c r="K2997" s="25" t="n">
        <v>25373</v>
      </c>
      <c r="L2997" s="26" t="n">
        <v>41.6276</v>
      </c>
      <c r="M2997" s="26" t="n">
        <v>0.5942</v>
      </c>
    </row>
    <row r="2998" ht="16" customHeight="1">
      <c r="A2998" t="inlineStr">
        <is>
          <t>06-May-2026</t>
        </is>
      </c>
      <c r="B2998" t="inlineStr">
        <is>
          <t>Wednesday</t>
        </is>
      </c>
      <c r="C2998" t="inlineStr">
        <is>
          <t>Week1-May-2026</t>
        </is>
      </c>
      <c r="D2998" s="78" t="n">
        <v>46143</v>
      </c>
      <c r="E2998" t="inlineStr">
        <is>
          <t>Q1FY27</t>
        </is>
      </c>
      <c r="F2998" t="inlineStr">
        <is>
          <t>29-Dec-2026</t>
        </is>
      </c>
      <c r="G2998" t="inlineStr">
        <is>
          <t>Tuesday</t>
        </is>
      </c>
      <c r="H2998" t="inlineStr">
        <is>
          <t>Monthly - Tuesday</t>
        </is>
      </c>
      <c r="I2998" t="inlineStr">
        <is>
          <t>Monthly - Tuesday</t>
        </is>
      </c>
      <c r="J2998" t="inlineStr">
        <is>
          <t>Month+7 Expiry</t>
        </is>
      </c>
      <c r="K2998" s="25" t="n">
        <v>34802</v>
      </c>
      <c r="L2998" s="26" t="n">
        <v>56.0182</v>
      </c>
      <c r="M2998" s="26" t="n">
        <v>1.4034</v>
      </c>
    </row>
    <row r="2999" ht="16" customHeight="1">
      <c r="A2999" t="inlineStr">
        <is>
          <t>06-May-2026</t>
        </is>
      </c>
      <c r="B2999" t="inlineStr">
        <is>
          <t>Wednesday</t>
        </is>
      </c>
      <c r="C2999" t="inlineStr">
        <is>
          <t>Week1-May-2026</t>
        </is>
      </c>
      <c r="D2999" s="78" t="n">
        <v>46143</v>
      </c>
      <c r="E2999" t="inlineStr">
        <is>
          <t>Q1FY27</t>
        </is>
      </c>
      <c r="F2999" t="inlineStr">
        <is>
          <t>30-Mar-2027</t>
        </is>
      </c>
      <c r="G2999" t="inlineStr">
        <is>
          <t>Tuesday</t>
        </is>
      </c>
      <c r="H2999" t="inlineStr">
        <is>
          <t>Monthly - Tuesday</t>
        </is>
      </c>
      <c r="I2999" t="inlineStr">
        <is>
          <t>Monthly - Tuesday</t>
        </is>
      </c>
      <c r="J2999" t="inlineStr">
        <is>
          <t>Month+10 Expiry</t>
        </is>
      </c>
      <c r="K2999" s="25" t="n">
        <v>0</v>
      </c>
      <c r="L2999" s="26" t="n">
        <v>0</v>
      </c>
      <c r="M2999" s="26" t="n">
        <v>0</v>
      </c>
    </row>
    <row r="3000" ht="16" customHeight="1">
      <c r="A3000" t="inlineStr">
        <is>
          <t>06-May-2026</t>
        </is>
      </c>
      <c r="B3000" t="inlineStr">
        <is>
          <t>Wednesday</t>
        </is>
      </c>
      <c r="C3000" t="inlineStr">
        <is>
          <t>Week1-May-2026</t>
        </is>
      </c>
      <c r="D3000" s="78" t="n">
        <v>46143</v>
      </c>
      <c r="E3000" t="inlineStr">
        <is>
          <t>Q1FY27</t>
        </is>
      </c>
      <c r="F3000" t="inlineStr">
        <is>
          <t>29-Jun-2027</t>
        </is>
      </c>
      <c r="G3000" t="inlineStr">
        <is>
          <t>Tuesday</t>
        </is>
      </c>
      <c r="H3000" t="inlineStr">
        <is>
          <t>Monthly - Tuesday</t>
        </is>
      </c>
      <c r="I3000" t="inlineStr">
        <is>
          <t>Monthly - Tuesday</t>
        </is>
      </c>
      <c r="J3000" t="inlineStr">
        <is>
          <t>Month+13 Expiry</t>
        </is>
      </c>
      <c r="K3000" s="25" t="n">
        <v>1</v>
      </c>
      <c r="L3000" s="26" t="n">
        <v>0.0014</v>
      </c>
      <c r="M3000" s="26" t="n">
        <v>0</v>
      </c>
    </row>
    <row r="3001" ht="16" customHeight="1">
      <c r="A3001" t="inlineStr">
        <is>
          <t>06-May-2026</t>
        </is>
      </c>
      <c r="B3001" t="inlineStr">
        <is>
          <t>Wednesday</t>
        </is>
      </c>
      <c r="C3001" t="inlineStr">
        <is>
          <t>Week1-May-2026</t>
        </is>
      </c>
      <c r="D3001" s="78" t="n">
        <v>46143</v>
      </c>
      <c r="E3001" t="inlineStr">
        <is>
          <t>Q1FY27</t>
        </is>
      </c>
      <c r="F3001" t="inlineStr">
        <is>
          <t>28-Dec-2027</t>
        </is>
      </c>
      <c r="G3001" t="inlineStr">
        <is>
          <t>Tuesday</t>
        </is>
      </c>
      <c r="H3001" t="inlineStr">
        <is>
          <t>Monthly - Tuesday</t>
        </is>
      </c>
      <c r="I3001" t="inlineStr">
        <is>
          <t>Monthly - Tuesday</t>
        </is>
      </c>
      <c r="J3001" t="inlineStr">
        <is>
          <t>Month+19 Expiry</t>
        </is>
      </c>
      <c r="K3001" s="25" t="n">
        <v>314</v>
      </c>
      <c r="L3001" s="26" t="n">
        <v>0.5442</v>
      </c>
      <c r="M3001" s="26" t="n">
        <v>0.0309</v>
      </c>
    </row>
    <row r="3002" ht="16" customHeight="1">
      <c r="A3002" t="inlineStr">
        <is>
          <t>06-May-2026</t>
        </is>
      </c>
      <c r="B3002" t="inlineStr">
        <is>
          <t>Wednesday</t>
        </is>
      </c>
      <c r="C3002" t="inlineStr">
        <is>
          <t>Week1-May-2026</t>
        </is>
      </c>
      <c r="D3002" s="78" t="n">
        <v>46143</v>
      </c>
      <c r="E3002" t="inlineStr">
        <is>
          <t>Q1FY27</t>
        </is>
      </c>
      <c r="F3002" t="inlineStr">
        <is>
          <t>27-Jun-2028</t>
        </is>
      </c>
      <c r="G3002" t="inlineStr">
        <is>
          <t>Tuesday</t>
        </is>
      </c>
      <c r="H3002" t="inlineStr">
        <is>
          <t>Monthly - Tuesday</t>
        </is>
      </c>
      <c r="I3002" t="inlineStr">
        <is>
          <t>Monthly - Tuesday</t>
        </is>
      </c>
      <c r="J3002" t="inlineStr">
        <is>
          <t>Month+25 Expiry</t>
        </is>
      </c>
      <c r="K3002" s="25" t="n">
        <v>1</v>
      </c>
      <c r="L3002" s="26" t="n">
        <v>0.0015</v>
      </c>
      <c r="M3002" s="26" t="n">
        <v>0</v>
      </c>
    </row>
    <row r="3003" ht="16" customHeight="1">
      <c r="A3003" t="inlineStr">
        <is>
          <t>06-May-2026</t>
        </is>
      </c>
      <c r="B3003" t="inlineStr">
        <is>
          <t>Wednesday</t>
        </is>
      </c>
      <c r="C3003" t="inlineStr">
        <is>
          <t>Week1-May-2026</t>
        </is>
      </c>
      <c r="D3003" s="78" t="n">
        <v>46143</v>
      </c>
      <c r="E3003" t="inlineStr">
        <is>
          <t>Q1FY27</t>
        </is>
      </c>
      <c r="F3003" t="inlineStr">
        <is>
          <t>26-Dec-2028</t>
        </is>
      </c>
      <c r="G3003" t="inlineStr">
        <is>
          <t>Tuesday</t>
        </is>
      </c>
      <c r="H3003" t="inlineStr">
        <is>
          <t>Monthly - Tuesday</t>
        </is>
      </c>
      <c r="I3003" t="inlineStr">
        <is>
          <t>Monthly - Tuesday</t>
        </is>
      </c>
      <c r="J3003" t="inlineStr">
        <is>
          <t>Month+31 Expiry</t>
        </is>
      </c>
      <c r="K3003" s="25" t="n">
        <v>25</v>
      </c>
      <c r="L3003" s="26" t="n">
        <v>0.046</v>
      </c>
      <c r="M3003" s="26" t="n">
        <v>0.0028</v>
      </c>
    </row>
    <row r="3004" ht="16" customHeight="1">
      <c r="A3004" t="inlineStr">
        <is>
          <t>06-May-2026</t>
        </is>
      </c>
      <c r="B3004" t="inlineStr">
        <is>
          <t>Wednesday</t>
        </is>
      </c>
      <c r="C3004" t="inlineStr">
        <is>
          <t>Week1-May-2026</t>
        </is>
      </c>
      <c r="D3004" s="78" t="n">
        <v>46143</v>
      </c>
      <c r="E3004" t="inlineStr">
        <is>
          <t>Q1FY27</t>
        </is>
      </c>
      <c r="F3004" t="inlineStr">
        <is>
          <t>26-Jun-2029</t>
        </is>
      </c>
      <c r="G3004" t="inlineStr">
        <is>
          <t>Tuesday</t>
        </is>
      </c>
      <c r="H3004" t="inlineStr">
        <is>
          <t>Monthly - Tuesday</t>
        </is>
      </c>
      <c r="I3004" t="inlineStr">
        <is>
          <t>Monthly - Tuesday</t>
        </is>
      </c>
      <c r="J3004" t="inlineStr">
        <is>
          <t>Month+37 Expiry</t>
        </is>
      </c>
      <c r="K3004" s="25" t="n">
        <v>0</v>
      </c>
      <c r="L3004" s="26" t="n">
        <v>0</v>
      </c>
      <c r="M3004" s="26" t="n">
        <v>0</v>
      </c>
    </row>
    <row r="3005" ht="16" customHeight="1">
      <c r="A3005" t="inlineStr">
        <is>
          <t>06-May-2026</t>
        </is>
      </c>
      <c r="B3005" t="inlineStr">
        <is>
          <t>Wednesday</t>
        </is>
      </c>
      <c r="C3005" t="inlineStr">
        <is>
          <t>Week1-May-2026</t>
        </is>
      </c>
      <c r="D3005" s="78" t="n">
        <v>46143</v>
      </c>
      <c r="E3005" t="inlineStr">
        <is>
          <t>Q1FY27</t>
        </is>
      </c>
      <c r="F3005" t="inlineStr">
        <is>
          <t>24-Dec-2029</t>
        </is>
      </c>
      <c r="G3005" t="inlineStr">
        <is>
          <t>Monday</t>
        </is>
      </c>
      <c r="H3005" t="inlineStr">
        <is>
          <t>Weekly - Monday</t>
        </is>
      </c>
      <c r="I3005" t="inlineStr">
        <is>
          <t>Weekly - Monday</t>
        </is>
      </c>
      <c r="J3005" t="inlineStr">
        <is>
          <t>Month+43 Expiry</t>
        </is>
      </c>
      <c r="K3005" s="25" t="n">
        <v>0</v>
      </c>
      <c r="L3005" s="26" t="n">
        <v>0</v>
      </c>
      <c r="M3005" s="26" t="n">
        <v>0</v>
      </c>
    </row>
    <row r="3006" ht="16" customHeight="1">
      <c r="A3006" t="inlineStr">
        <is>
          <t>06-May-2026</t>
        </is>
      </c>
      <c r="B3006" t="inlineStr">
        <is>
          <t>Wednesday</t>
        </is>
      </c>
      <c r="C3006" t="inlineStr">
        <is>
          <t>Week1-May-2026</t>
        </is>
      </c>
      <c r="D3006" s="78" t="n">
        <v>46143</v>
      </c>
      <c r="E3006" t="inlineStr">
        <is>
          <t>Q1FY27</t>
        </is>
      </c>
      <c r="F3006" t="inlineStr">
        <is>
          <t>25-Jun-2030</t>
        </is>
      </c>
      <c r="G3006" t="inlineStr">
        <is>
          <t>Tuesday</t>
        </is>
      </c>
      <c r="H3006" t="inlineStr">
        <is>
          <t>Monthly - Tuesday</t>
        </is>
      </c>
      <c r="I3006" t="inlineStr">
        <is>
          <t>Monthly - Tuesday</t>
        </is>
      </c>
      <c r="J3006" t="inlineStr">
        <is>
          <t>Month+49 Expiry</t>
        </is>
      </c>
      <c r="K3006" s="25" t="n">
        <v>0</v>
      </c>
      <c r="L3006" s="26" t="n">
        <v>0</v>
      </c>
      <c r="M3006" s="26" t="n">
        <v>0</v>
      </c>
    </row>
    <row r="3007" ht="16" customHeight="1">
      <c r="A3007" t="inlineStr">
        <is>
          <t>06-May-2026</t>
        </is>
      </c>
      <c r="B3007" t="inlineStr">
        <is>
          <t>Wednesday</t>
        </is>
      </c>
      <c r="C3007" t="inlineStr">
        <is>
          <t>Week1-May-2026</t>
        </is>
      </c>
      <c r="D3007" s="78" t="n">
        <v>46143</v>
      </c>
      <c r="E3007" t="inlineStr">
        <is>
          <t>Q1FY27</t>
        </is>
      </c>
      <c r="F3007" t="inlineStr">
        <is>
          <t>31-Dec-2030</t>
        </is>
      </c>
      <c r="G3007" t="inlineStr">
        <is>
          <t>Tuesday</t>
        </is>
      </c>
      <c r="H3007" t="inlineStr">
        <is>
          <t>Monthly - Tuesday</t>
        </is>
      </c>
      <c r="I3007" t="inlineStr">
        <is>
          <t>Monthly - Tuesday</t>
        </is>
      </c>
      <c r="J3007" t="inlineStr">
        <is>
          <t>Month+55 Expiry</t>
        </is>
      </c>
      <c r="K3007" s="25" t="n">
        <v>0</v>
      </c>
      <c r="L3007" s="26" t="n">
        <v>0</v>
      </c>
      <c r="M3007" s="26" t="n">
        <v>0</v>
      </c>
    </row>
    <row r="3008" ht="16" customHeight="1">
      <c r="A3008" t="inlineStr">
        <is>
          <t>07-May-2026</t>
        </is>
      </c>
      <c r="B3008" t="inlineStr">
        <is>
          <t>Thursday</t>
        </is>
      </c>
      <c r="C3008" t="inlineStr">
        <is>
          <t>Week1-May-2026</t>
        </is>
      </c>
      <c r="D3008" s="78" t="n">
        <v>46143</v>
      </c>
      <c r="E3008" t="inlineStr">
        <is>
          <t>Q1FY27</t>
        </is>
      </c>
      <c r="F3008" t="inlineStr">
        <is>
          <t>12-May-2026</t>
        </is>
      </c>
      <c r="G3008" t="inlineStr">
        <is>
          <t>Tuesday</t>
        </is>
      </c>
      <c r="H3008" t="inlineStr">
        <is>
          <t>Weekly - Tuesday</t>
        </is>
      </c>
      <c r="I3008" t="inlineStr">
        <is>
          <t>Weekly - Tuesday</t>
        </is>
      </c>
      <c r="J3008" t="inlineStr">
        <is>
          <t>Same Month Expiry</t>
        </is>
      </c>
      <c r="K3008" s="25" t="n">
        <v>47633545</v>
      </c>
      <c r="L3008" s="26" t="n">
        <v>75701.07859999999</v>
      </c>
      <c r="M3008" s="26" t="n">
        <v>311.6464</v>
      </c>
    </row>
    <row r="3009" ht="16" customHeight="1">
      <c r="A3009" t="inlineStr">
        <is>
          <t>07-May-2026</t>
        </is>
      </c>
      <c r="B3009" t="inlineStr">
        <is>
          <t>Thursday</t>
        </is>
      </c>
      <c r="C3009" t="inlineStr">
        <is>
          <t>Week1-May-2026</t>
        </is>
      </c>
      <c r="D3009" s="78" t="n">
        <v>46143</v>
      </c>
      <c r="E3009" t="inlineStr">
        <is>
          <t>Q1FY27</t>
        </is>
      </c>
      <c r="F3009" t="inlineStr">
        <is>
          <t>19-May-2026</t>
        </is>
      </c>
      <c r="G3009" t="inlineStr">
        <is>
          <t>Tuesday</t>
        </is>
      </c>
      <c r="H3009" t="inlineStr">
        <is>
          <t>Weekly - Tuesday</t>
        </is>
      </c>
      <c r="I3009" t="inlineStr">
        <is>
          <t>Weekly - Tuesday</t>
        </is>
      </c>
      <c r="J3009" t="inlineStr">
        <is>
          <t>Same Month Expiry</t>
        </is>
      </c>
      <c r="K3009" s="25" t="n">
        <v>1359417</v>
      </c>
      <c r="L3009" s="26" t="n">
        <v>2158.4889</v>
      </c>
      <c r="M3009" s="26" t="n">
        <v>10.3088</v>
      </c>
    </row>
    <row r="3010" ht="16" customHeight="1">
      <c r="A3010" t="inlineStr">
        <is>
          <t>07-May-2026</t>
        </is>
      </c>
      <c r="B3010" t="inlineStr">
        <is>
          <t>Thursday</t>
        </is>
      </c>
      <c r="C3010" t="inlineStr">
        <is>
          <t>Week1-May-2026</t>
        </is>
      </c>
      <c r="D3010" s="78" t="n">
        <v>46143</v>
      </c>
      <c r="E3010" t="inlineStr">
        <is>
          <t>Q1FY27</t>
        </is>
      </c>
      <c r="F3010" t="inlineStr">
        <is>
          <t>26-May-2026</t>
        </is>
      </c>
      <c r="G3010" t="inlineStr">
        <is>
          <t>Tuesday</t>
        </is>
      </c>
      <c r="H3010" t="inlineStr">
        <is>
          <t>Monthly - Tuesday</t>
        </is>
      </c>
      <c r="I3010" t="inlineStr">
        <is>
          <t>Monthly - Tuesday</t>
        </is>
      </c>
      <c r="J3010" t="inlineStr">
        <is>
          <t>Same Month Expiry</t>
        </is>
      </c>
      <c r="K3010" s="25" t="n">
        <v>1363804</v>
      </c>
      <c r="L3010" s="26" t="n">
        <v>2166.5326</v>
      </c>
      <c r="M3010" s="26" t="n">
        <v>16.3695</v>
      </c>
    </row>
    <row r="3011" ht="16" customHeight="1">
      <c r="A3011" t="inlineStr">
        <is>
          <t>07-May-2026</t>
        </is>
      </c>
      <c r="B3011" t="inlineStr">
        <is>
          <t>Thursday</t>
        </is>
      </c>
      <c r="C3011" t="inlineStr">
        <is>
          <t>Week1-May-2026</t>
        </is>
      </c>
      <c r="D3011" s="78" t="n">
        <v>46143</v>
      </c>
      <c r="E3011" t="inlineStr">
        <is>
          <t>Q1FY27</t>
        </is>
      </c>
      <c r="F3011" t="inlineStr">
        <is>
          <t>02-Jun-2026</t>
        </is>
      </c>
      <c r="G3011" t="inlineStr">
        <is>
          <t>Tuesday</t>
        </is>
      </c>
      <c r="H3011" t="inlineStr">
        <is>
          <t>Weekly - Tuesday</t>
        </is>
      </c>
      <c r="I3011" t="inlineStr">
        <is>
          <t>Weekly - Tuesday</t>
        </is>
      </c>
      <c r="J3011" t="inlineStr">
        <is>
          <t>Month+1 Expiry</t>
        </is>
      </c>
      <c r="K3011" s="25" t="n">
        <v>21201</v>
      </c>
      <c r="L3011" s="26" t="n">
        <v>33.6844</v>
      </c>
      <c r="M3011" s="26" t="n">
        <v>0.2781</v>
      </c>
    </row>
    <row r="3012" ht="16" customHeight="1">
      <c r="A3012" t="inlineStr">
        <is>
          <t>07-May-2026</t>
        </is>
      </c>
      <c r="B3012" t="inlineStr">
        <is>
          <t>Thursday</t>
        </is>
      </c>
      <c r="C3012" t="inlineStr">
        <is>
          <t>Week1-May-2026</t>
        </is>
      </c>
      <c r="D3012" s="78" t="n">
        <v>46143</v>
      </c>
      <c r="E3012" t="inlineStr">
        <is>
          <t>Q1FY27</t>
        </is>
      </c>
      <c r="F3012" t="inlineStr">
        <is>
          <t>09-Jun-2026</t>
        </is>
      </c>
      <c r="G3012" t="inlineStr">
        <is>
          <t>Tuesday</t>
        </is>
      </c>
      <c r="H3012" t="inlineStr">
        <is>
          <t>Weekly - Tuesday</t>
        </is>
      </c>
      <c r="I3012" t="inlineStr">
        <is>
          <t>Weekly - Tuesday</t>
        </is>
      </c>
      <c r="J3012" t="inlineStr">
        <is>
          <t>Month+1 Expiry</t>
        </is>
      </c>
      <c r="K3012" s="25" t="n">
        <v>2304</v>
      </c>
      <c r="L3012" s="26" t="n">
        <v>3.6658</v>
      </c>
      <c r="M3012" s="26" t="n">
        <v>0.0298</v>
      </c>
    </row>
    <row r="3013" ht="16" customHeight="1">
      <c r="A3013" t="inlineStr">
        <is>
          <t>07-May-2026</t>
        </is>
      </c>
      <c r="B3013" t="inlineStr">
        <is>
          <t>Thursday</t>
        </is>
      </c>
      <c r="C3013" t="inlineStr">
        <is>
          <t>Week1-May-2026</t>
        </is>
      </c>
      <c r="D3013" s="78" t="n">
        <v>46143</v>
      </c>
      <c r="E3013" t="inlineStr">
        <is>
          <t>Q1FY27</t>
        </is>
      </c>
      <c r="F3013" t="inlineStr">
        <is>
          <t>30-Jun-2026</t>
        </is>
      </c>
      <c r="G3013" t="inlineStr">
        <is>
          <t>Tuesday</t>
        </is>
      </c>
      <c r="H3013" t="inlineStr">
        <is>
          <t>Monthly - Tuesday</t>
        </is>
      </c>
      <c r="I3013" t="inlineStr">
        <is>
          <t>Monthly - Tuesday</t>
        </is>
      </c>
      <c r="J3013" t="inlineStr">
        <is>
          <t>Month+1 Expiry</t>
        </is>
      </c>
      <c r="K3013" s="25" t="n">
        <v>219323</v>
      </c>
      <c r="L3013" s="26" t="n">
        <v>344.2756</v>
      </c>
      <c r="M3013" s="26" t="n">
        <v>3.396</v>
      </c>
    </row>
    <row r="3014" ht="16" customHeight="1">
      <c r="A3014" t="inlineStr">
        <is>
          <t>07-May-2026</t>
        </is>
      </c>
      <c r="B3014" t="inlineStr">
        <is>
          <t>Thursday</t>
        </is>
      </c>
      <c r="C3014" t="inlineStr">
        <is>
          <t>Week1-May-2026</t>
        </is>
      </c>
      <c r="D3014" s="78" t="n">
        <v>46143</v>
      </c>
      <c r="E3014" t="inlineStr">
        <is>
          <t>Q1FY27</t>
        </is>
      </c>
      <c r="F3014" t="inlineStr">
        <is>
          <t>28-Jul-2026</t>
        </is>
      </c>
      <c r="G3014" t="inlineStr">
        <is>
          <t>Tuesday</t>
        </is>
      </c>
      <c r="H3014" t="inlineStr">
        <is>
          <t>Monthly - Tuesday</t>
        </is>
      </c>
      <c r="I3014" t="inlineStr">
        <is>
          <t>Monthly - Tuesday</t>
        </is>
      </c>
      <c r="J3014" t="inlineStr">
        <is>
          <t>Month+2 Expiry</t>
        </is>
      </c>
      <c r="K3014" s="25" t="n">
        <v>34225</v>
      </c>
      <c r="L3014" s="26" t="n">
        <v>53.147</v>
      </c>
      <c r="M3014" s="26" t="n">
        <v>0.6908</v>
      </c>
    </row>
    <row r="3015" ht="16" customHeight="1">
      <c r="A3015" t="inlineStr">
        <is>
          <t>07-May-2026</t>
        </is>
      </c>
      <c r="B3015" t="inlineStr">
        <is>
          <t>Thursday</t>
        </is>
      </c>
      <c r="C3015" t="inlineStr">
        <is>
          <t>Week1-May-2026</t>
        </is>
      </c>
      <c r="D3015" s="78" t="n">
        <v>46143</v>
      </c>
      <c r="E3015" t="inlineStr">
        <is>
          <t>Q1FY27</t>
        </is>
      </c>
      <c r="F3015" t="inlineStr">
        <is>
          <t>29-Sep-2026</t>
        </is>
      </c>
      <c r="G3015" t="inlineStr">
        <is>
          <t>Tuesday</t>
        </is>
      </c>
      <c r="H3015" t="inlineStr">
        <is>
          <t>Monthly - Tuesday</t>
        </is>
      </c>
      <c r="I3015" t="inlineStr">
        <is>
          <t>Monthly - Tuesday</t>
        </is>
      </c>
      <c r="J3015" t="inlineStr">
        <is>
          <t>Month+4 Expiry</t>
        </is>
      </c>
      <c r="K3015" s="25" t="n">
        <v>24777</v>
      </c>
      <c r="L3015" s="26" t="n">
        <v>40.8414</v>
      </c>
      <c r="M3015" s="26" t="n">
        <v>0.589</v>
      </c>
    </row>
    <row r="3016" ht="16" customHeight="1">
      <c r="A3016" t="inlineStr">
        <is>
          <t>07-May-2026</t>
        </is>
      </c>
      <c r="B3016" t="inlineStr">
        <is>
          <t>Thursday</t>
        </is>
      </c>
      <c r="C3016" t="inlineStr">
        <is>
          <t>Week1-May-2026</t>
        </is>
      </c>
      <c r="D3016" s="78" t="n">
        <v>46143</v>
      </c>
      <c r="E3016" t="inlineStr">
        <is>
          <t>Q1FY27</t>
        </is>
      </c>
      <c r="F3016" t="inlineStr">
        <is>
          <t>29-Dec-2026</t>
        </is>
      </c>
      <c r="G3016" t="inlineStr">
        <is>
          <t>Tuesday</t>
        </is>
      </c>
      <c r="H3016" t="inlineStr">
        <is>
          <t>Monthly - Tuesday</t>
        </is>
      </c>
      <c r="I3016" t="inlineStr">
        <is>
          <t>Monthly - Tuesday</t>
        </is>
      </c>
      <c r="J3016" t="inlineStr">
        <is>
          <t>Month+7 Expiry</t>
        </is>
      </c>
      <c r="K3016" s="25" t="n">
        <v>26995</v>
      </c>
      <c r="L3016" s="26" t="n">
        <v>43.9077</v>
      </c>
      <c r="M3016" s="26" t="n">
        <v>1.1306</v>
      </c>
    </row>
    <row r="3017" ht="16" customHeight="1">
      <c r="A3017" t="inlineStr">
        <is>
          <t>07-May-2026</t>
        </is>
      </c>
      <c r="B3017" t="inlineStr">
        <is>
          <t>Thursday</t>
        </is>
      </c>
      <c r="C3017" t="inlineStr">
        <is>
          <t>Week1-May-2026</t>
        </is>
      </c>
      <c r="D3017" s="78" t="n">
        <v>46143</v>
      </c>
      <c r="E3017" t="inlineStr">
        <is>
          <t>Q1FY27</t>
        </is>
      </c>
      <c r="F3017" t="inlineStr">
        <is>
          <t>30-Mar-2027</t>
        </is>
      </c>
      <c r="G3017" t="inlineStr">
        <is>
          <t>Tuesday</t>
        </is>
      </c>
      <c r="H3017" t="inlineStr">
        <is>
          <t>Monthly - Tuesday</t>
        </is>
      </c>
      <c r="I3017" t="inlineStr">
        <is>
          <t>Monthly - Tuesday</t>
        </is>
      </c>
      <c r="J3017" t="inlineStr">
        <is>
          <t>Month+10 Expiry</t>
        </is>
      </c>
      <c r="K3017" s="25" t="n">
        <v>0</v>
      </c>
      <c r="L3017" s="26" t="n">
        <v>0</v>
      </c>
      <c r="M3017" s="26" t="n">
        <v>0</v>
      </c>
    </row>
    <row r="3018" ht="16" customHeight="1">
      <c r="A3018" t="inlineStr">
        <is>
          <t>07-May-2026</t>
        </is>
      </c>
      <c r="B3018" t="inlineStr">
        <is>
          <t>Thursday</t>
        </is>
      </c>
      <c r="C3018" t="inlineStr">
        <is>
          <t>Week1-May-2026</t>
        </is>
      </c>
      <c r="D3018" s="78" t="n">
        <v>46143</v>
      </c>
      <c r="E3018" t="inlineStr">
        <is>
          <t>Q1FY27</t>
        </is>
      </c>
      <c r="F3018" t="inlineStr">
        <is>
          <t>29-Jun-2027</t>
        </is>
      </c>
      <c r="G3018" t="inlineStr">
        <is>
          <t>Tuesday</t>
        </is>
      </c>
      <c r="H3018" t="inlineStr">
        <is>
          <t>Monthly - Tuesday</t>
        </is>
      </c>
      <c r="I3018" t="inlineStr">
        <is>
          <t>Monthly - Tuesday</t>
        </is>
      </c>
      <c r="J3018" t="inlineStr">
        <is>
          <t>Month+13 Expiry</t>
        </is>
      </c>
      <c r="K3018" s="25" t="n">
        <v>4</v>
      </c>
      <c r="L3018" s="26" t="n">
        <v>0.0055</v>
      </c>
      <c r="M3018" s="26" t="n">
        <v>0.0001</v>
      </c>
    </row>
    <row r="3019" ht="16" customHeight="1">
      <c r="A3019" t="inlineStr">
        <is>
          <t>07-May-2026</t>
        </is>
      </c>
      <c r="B3019" t="inlineStr">
        <is>
          <t>Thursday</t>
        </is>
      </c>
      <c r="C3019" t="inlineStr">
        <is>
          <t>Week1-May-2026</t>
        </is>
      </c>
      <c r="D3019" s="78" t="n">
        <v>46143</v>
      </c>
      <c r="E3019" t="inlineStr">
        <is>
          <t>Q1FY27</t>
        </is>
      </c>
      <c r="F3019" t="inlineStr">
        <is>
          <t>28-Dec-2027</t>
        </is>
      </c>
      <c r="G3019" t="inlineStr">
        <is>
          <t>Tuesday</t>
        </is>
      </c>
      <c r="H3019" t="inlineStr">
        <is>
          <t>Monthly - Tuesday</t>
        </is>
      </c>
      <c r="I3019" t="inlineStr">
        <is>
          <t>Monthly - Tuesday</t>
        </is>
      </c>
      <c r="J3019" t="inlineStr">
        <is>
          <t>Month+19 Expiry</t>
        </is>
      </c>
      <c r="K3019" s="25" t="n">
        <v>175</v>
      </c>
      <c r="L3019" s="26" t="n">
        <v>0.306</v>
      </c>
      <c r="M3019" s="26" t="n">
        <v>0.0164</v>
      </c>
    </row>
    <row r="3020" ht="16" customHeight="1">
      <c r="A3020" t="inlineStr">
        <is>
          <t>07-May-2026</t>
        </is>
      </c>
      <c r="B3020" t="inlineStr">
        <is>
          <t>Thursday</t>
        </is>
      </c>
      <c r="C3020" t="inlineStr">
        <is>
          <t>Week1-May-2026</t>
        </is>
      </c>
      <c r="D3020" s="78" t="n">
        <v>46143</v>
      </c>
      <c r="E3020" t="inlineStr">
        <is>
          <t>Q1FY27</t>
        </is>
      </c>
      <c r="F3020" t="inlineStr">
        <is>
          <t>27-Jun-2028</t>
        </is>
      </c>
      <c r="G3020" t="inlineStr">
        <is>
          <t>Tuesday</t>
        </is>
      </c>
      <c r="H3020" t="inlineStr">
        <is>
          <t>Monthly - Tuesday</t>
        </is>
      </c>
      <c r="I3020" t="inlineStr">
        <is>
          <t>Monthly - Tuesday</t>
        </is>
      </c>
      <c r="J3020" t="inlineStr">
        <is>
          <t>Month+25 Expiry</t>
        </is>
      </c>
      <c r="K3020" s="25" t="n">
        <v>0</v>
      </c>
      <c r="L3020" s="26" t="n">
        <v>0</v>
      </c>
      <c r="M3020" s="26" t="n">
        <v>0</v>
      </c>
    </row>
    <row r="3021" ht="16" customHeight="1">
      <c r="A3021" t="inlineStr">
        <is>
          <t>07-May-2026</t>
        </is>
      </c>
      <c r="B3021" t="inlineStr">
        <is>
          <t>Thursday</t>
        </is>
      </c>
      <c r="C3021" t="inlineStr">
        <is>
          <t>Week1-May-2026</t>
        </is>
      </c>
      <c r="D3021" s="78" t="n">
        <v>46143</v>
      </c>
      <c r="E3021" t="inlineStr">
        <is>
          <t>Q1FY27</t>
        </is>
      </c>
      <c r="F3021" t="inlineStr">
        <is>
          <t>26-Dec-2028</t>
        </is>
      </c>
      <c r="G3021" t="inlineStr">
        <is>
          <t>Tuesday</t>
        </is>
      </c>
      <c r="H3021" t="inlineStr">
        <is>
          <t>Monthly - Tuesday</t>
        </is>
      </c>
      <c r="I3021" t="inlineStr">
        <is>
          <t>Monthly - Tuesday</t>
        </is>
      </c>
      <c r="J3021" t="inlineStr">
        <is>
          <t>Month+31 Expiry</t>
        </is>
      </c>
      <c r="K3021" s="25" t="n">
        <v>35</v>
      </c>
      <c r="L3021" s="26" t="n">
        <v>0.0659</v>
      </c>
      <c r="M3021" s="26" t="n">
        <v>0.0045</v>
      </c>
    </row>
    <row r="3022" ht="16" customHeight="1">
      <c r="A3022" t="inlineStr">
        <is>
          <t>07-May-2026</t>
        </is>
      </c>
      <c r="B3022" t="inlineStr">
        <is>
          <t>Thursday</t>
        </is>
      </c>
      <c r="C3022" t="inlineStr">
        <is>
          <t>Week1-May-2026</t>
        </is>
      </c>
      <c r="D3022" s="78" t="n">
        <v>46143</v>
      </c>
      <c r="E3022" t="inlineStr">
        <is>
          <t>Q1FY27</t>
        </is>
      </c>
      <c r="F3022" t="inlineStr">
        <is>
          <t>26-Jun-2029</t>
        </is>
      </c>
      <c r="G3022" t="inlineStr">
        <is>
          <t>Tuesday</t>
        </is>
      </c>
      <c r="H3022" t="inlineStr">
        <is>
          <t>Monthly - Tuesday</t>
        </is>
      </c>
      <c r="I3022" t="inlineStr">
        <is>
          <t>Monthly - Tuesday</t>
        </is>
      </c>
      <c r="J3022" t="inlineStr">
        <is>
          <t>Month+37 Expiry</t>
        </is>
      </c>
      <c r="K3022" s="25" t="n">
        <v>0</v>
      </c>
      <c r="L3022" s="26" t="n">
        <v>0</v>
      </c>
      <c r="M3022" s="26" t="n">
        <v>0</v>
      </c>
    </row>
    <row r="3023" ht="16" customHeight="1">
      <c r="A3023" t="inlineStr">
        <is>
          <t>07-May-2026</t>
        </is>
      </c>
      <c r="B3023" t="inlineStr">
        <is>
          <t>Thursday</t>
        </is>
      </c>
      <c r="C3023" t="inlineStr">
        <is>
          <t>Week1-May-2026</t>
        </is>
      </c>
      <c r="D3023" s="78" t="n">
        <v>46143</v>
      </c>
      <c r="E3023" t="inlineStr">
        <is>
          <t>Q1FY27</t>
        </is>
      </c>
      <c r="F3023" t="inlineStr">
        <is>
          <t>24-Dec-2029</t>
        </is>
      </c>
      <c r="G3023" t="inlineStr">
        <is>
          <t>Monday</t>
        </is>
      </c>
      <c r="H3023" t="inlineStr">
        <is>
          <t>Weekly - Monday</t>
        </is>
      </c>
      <c r="I3023" t="inlineStr">
        <is>
          <t>Weekly - Monday</t>
        </is>
      </c>
      <c r="J3023" t="inlineStr">
        <is>
          <t>Month+43 Expiry</t>
        </is>
      </c>
      <c r="K3023" s="25" t="n">
        <v>0</v>
      </c>
      <c r="L3023" s="26" t="n">
        <v>0</v>
      </c>
      <c r="M3023" s="26" t="n">
        <v>0</v>
      </c>
    </row>
    <row r="3024" ht="16" customHeight="1">
      <c r="A3024" t="inlineStr">
        <is>
          <t>07-May-2026</t>
        </is>
      </c>
      <c r="B3024" t="inlineStr">
        <is>
          <t>Thursday</t>
        </is>
      </c>
      <c r="C3024" t="inlineStr">
        <is>
          <t>Week1-May-2026</t>
        </is>
      </c>
      <c r="D3024" s="78" t="n">
        <v>46143</v>
      </c>
      <c r="E3024" t="inlineStr">
        <is>
          <t>Q1FY27</t>
        </is>
      </c>
      <c r="F3024" t="inlineStr">
        <is>
          <t>25-Jun-2030</t>
        </is>
      </c>
      <c r="G3024" t="inlineStr">
        <is>
          <t>Tuesday</t>
        </is>
      </c>
      <c r="H3024" t="inlineStr">
        <is>
          <t>Monthly - Tuesday</t>
        </is>
      </c>
      <c r="I3024" t="inlineStr">
        <is>
          <t>Monthly - Tuesday</t>
        </is>
      </c>
      <c r="J3024" t="inlineStr">
        <is>
          <t>Month+49 Expiry</t>
        </is>
      </c>
      <c r="K3024" s="25" t="n">
        <v>0</v>
      </c>
      <c r="L3024" s="26" t="n">
        <v>0</v>
      </c>
      <c r="M3024" s="26" t="n">
        <v>0</v>
      </c>
    </row>
    <row r="3025" ht="16" customHeight="1">
      <c r="A3025" t="inlineStr">
        <is>
          <t>07-May-2026</t>
        </is>
      </c>
      <c r="B3025" t="inlineStr">
        <is>
          <t>Thursday</t>
        </is>
      </c>
      <c r="C3025" t="inlineStr">
        <is>
          <t>Week1-May-2026</t>
        </is>
      </c>
      <c r="D3025" s="78" t="n">
        <v>46143</v>
      </c>
      <c r="E3025" t="inlineStr">
        <is>
          <t>Q1FY27</t>
        </is>
      </c>
      <c r="F3025" t="inlineStr">
        <is>
          <t>31-Dec-2030</t>
        </is>
      </c>
      <c r="G3025" t="inlineStr">
        <is>
          <t>Tuesday</t>
        </is>
      </c>
      <c r="H3025" t="inlineStr">
        <is>
          <t>Monthly - Tuesday</t>
        </is>
      </c>
      <c r="I3025" t="inlineStr">
        <is>
          <t>Monthly - Tuesday</t>
        </is>
      </c>
      <c r="J3025" t="inlineStr">
        <is>
          <t>Month+55 Expiry</t>
        </is>
      </c>
      <c r="K3025" s="25" t="n">
        <v>1</v>
      </c>
      <c r="L3025" s="26" t="n">
        <v>0.0016</v>
      </c>
      <c r="M3025" s="26" t="n">
        <v>0.0001</v>
      </c>
    </row>
    <row r="3026" ht="16" customHeight="1">
      <c r="A3026" t="inlineStr">
        <is>
          <t>08-May-2026</t>
        </is>
      </c>
      <c r="B3026" t="inlineStr">
        <is>
          <t>Friday</t>
        </is>
      </c>
      <c r="C3026" t="inlineStr">
        <is>
          <t>Week2-May-2026</t>
        </is>
      </c>
      <c r="D3026" s="78" t="n">
        <v>46143</v>
      </c>
      <c r="E3026" t="inlineStr">
        <is>
          <t>Q1FY27</t>
        </is>
      </c>
      <c r="F3026" t="inlineStr">
        <is>
          <t>12-May-2026</t>
        </is>
      </c>
      <c r="G3026" t="inlineStr">
        <is>
          <t>Tuesday</t>
        </is>
      </c>
      <c r="H3026" t="inlineStr">
        <is>
          <t>Weekly - Tuesday</t>
        </is>
      </c>
      <c r="I3026" t="inlineStr">
        <is>
          <t>Weekly - Tuesday</t>
        </is>
      </c>
      <c r="J3026" t="inlineStr">
        <is>
          <t>Same Month Expiry</t>
        </is>
      </c>
      <c r="K3026" s="25" t="n">
        <v>78667623</v>
      </c>
      <c r="L3026" s="26" t="n">
        <v>124371.2985</v>
      </c>
      <c r="M3026" s="26" t="n">
        <v>478.5394</v>
      </c>
    </row>
    <row r="3027" ht="16" customHeight="1">
      <c r="A3027" t="inlineStr">
        <is>
          <t>08-May-2026</t>
        </is>
      </c>
      <c r="B3027" t="inlineStr">
        <is>
          <t>Friday</t>
        </is>
      </c>
      <c r="C3027" t="inlineStr">
        <is>
          <t>Week2-May-2026</t>
        </is>
      </c>
      <c r="D3027" s="78" t="n">
        <v>46143</v>
      </c>
      <c r="E3027" t="inlineStr">
        <is>
          <t>Q1FY27</t>
        </is>
      </c>
      <c r="F3027" t="inlineStr">
        <is>
          <t>19-May-2026</t>
        </is>
      </c>
      <c r="G3027" t="inlineStr">
        <is>
          <t>Tuesday</t>
        </is>
      </c>
      <c r="H3027" t="inlineStr">
        <is>
          <t>Weekly - Tuesday</t>
        </is>
      </c>
      <c r="I3027" t="inlineStr">
        <is>
          <t>Weekly - Tuesday</t>
        </is>
      </c>
      <c r="J3027" t="inlineStr">
        <is>
          <t>Same Month Expiry</t>
        </is>
      </c>
      <c r="K3027" s="25" t="n">
        <v>1659789</v>
      </c>
      <c r="L3027" s="26" t="n">
        <v>2628.5762</v>
      </c>
      <c r="M3027" s="26" t="n">
        <v>12.2345</v>
      </c>
    </row>
    <row r="3028" ht="16" customHeight="1">
      <c r="A3028" t="inlineStr">
        <is>
          <t>08-May-2026</t>
        </is>
      </c>
      <c r="B3028" t="inlineStr">
        <is>
          <t>Friday</t>
        </is>
      </c>
      <c r="C3028" t="inlineStr">
        <is>
          <t>Week2-May-2026</t>
        </is>
      </c>
      <c r="D3028" s="78" t="n">
        <v>46143</v>
      </c>
      <c r="E3028" t="inlineStr">
        <is>
          <t>Q1FY27</t>
        </is>
      </c>
      <c r="F3028" t="inlineStr">
        <is>
          <t>26-May-2026</t>
        </is>
      </c>
      <c r="G3028" t="inlineStr">
        <is>
          <t>Tuesday</t>
        </is>
      </c>
      <c r="H3028" t="inlineStr">
        <is>
          <t>Monthly - Tuesday</t>
        </is>
      </c>
      <c r="I3028" t="inlineStr">
        <is>
          <t>Monthly - Tuesday</t>
        </is>
      </c>
      <c r="J3028" t="inlineStr">
        <is>
          <t>Same Month Expiry</t>
        </is>
      </c>
      <c r="K3028" s="25" t="n">
        <v>1207433</v>
      </c>
      <c r="L3028" s="26" t="n">
        <v>1915.8712</v>
      </c>
      <c r="M3028" s="26" t="n">
        <v>13.9708</v>
      </c>
    </row>
    <row r="3029" ht="16" customHeight="1">
      <c r="A3029" t="inlineStr">
        <is>
          <t>08-May-2026</t>
        </is>
      </c>
      <c r="B3029" t="inlineStr">
        <is>
          <t>Friday</t>
        </is>
      </c>
      <c r="C3029" t="inlineStr">
        <is>
          <t>Week2-May-2026</t>
        </is>
      </c>
      <c r="D3029" s="78" t="n">
        <v>46143</v>
      </c>
      <c r="E3029" t="inlineStr">
        <is>
          <t>Q1FY27</t>
        </is>
      </c>
      <c r="F3029" t="inlineStr">
        <is>
          <t>02-Jun-2026</t>
        </is>
      </c>
      <c r="G3029" t="inlineStr">
        <is>
          <t>Tuesday</t>
        </is>
      </c>
      <c r="H3029" t="inlineStr">
        <is>
          <t>Weekly - Tuesday</t>
        </is>
      </c>
      <c r="I3029" t="inlineStr">
        <is>
          <t>Weekly - Tuesday</t>
        </is>
      </c>
      <c r="J3029" t="inlineStr">
        <is>
          <t>Month+1 Expiry</t>
        </is>
      </c>
      <c r="K3029" s="25" t="n">
        <v>25008</v>
      </c>
      <c r="L3029" s="26" t="n">
        <v>39.8221</v>
      </c>
      <c r="M3029" s="26" t="n">
        <v>0.2764</v>
      </c>
    </row>
    <row r="3030" ht="16" customHeight="1">
      <c r="A3030" t="inlineStr">
        <is>
          <t>08-May-2026</t>
        </is>
      </c>
      <c r="B3030" t="inlineStr">
        <is>
          <t>Friday</t>
        </is>
      </c>
      <c r="C3030" t="inlineStr">
        <is>
          <t>Week2-May-2026</t>
        </is>
      </c>
      <c r="D3030" s="78" t="n">
        <v>46143</v>
      </c>
      <c r="E3030" t="inlineStr">
        <is>
          <t>Q1FY27</t>
        </is>
      </c>
      <c r="F3030" t="inlineStr">
        <is>
          <t>09-Jun-2026</t>
        </is>
      </c>
      <c r="G3030" t="inlineStr">
        <is>
          <t>Tuesday</t>
        </is>
      </c>
      <c r="H3030" t="inlineStr">
        <is>
          <t>Weekly - Tuesday</t>
        </is>
      </c>
      <c r="I3030" t="inlineStr">
        <is>
          <t>Weekly - Tuesday</t>
        </is>
      </c>
      <c r="J3030" t="inlineStr">
        <is>
          <t>Month+1 Expiry</t>
        </is>
      </c>
      <c r="K3030" s="25" t="n">
        <v>4071</v>
      </c>
      <c r="L3030" s="26" t="n">
        <v>6.4605</v>
      </c>
      <c r="M3030" s="26" t="n">
        <v>0.0497</v>
      </c>
    </row>
    <row r="3031" ht="16" customHeight="1">
      <c r="A3031" t="inlineStr">
        <is>
          <t>08-May-2026</t>
        </is>
      </c>
      <c r="B3031" t="inlineStr">
        <is>
          <t>Friday</t>
        </is>
      </c>
      <c r="C3031" t="inlineStr">
        <is>
          <t>Week2-May-2026</t>
        </is>
      </c>
      <c r="D3031" s="78" t="n">
        <v>46143</v>
      </c>
      <c r="E3031" t="inlineStr">
        <is>
          <t>Q1FY27</t>
        </is>
      </c>
      <c r="F3031" t="inlineStr">
        <is>
          <t>30-Jun-2026</t>
        </is>
      </c>
      <c r="G3031" t="inlineStr">
        <is>
          <t>Tuesday</t>
        </is>
      </c>
      <c r="H3031" t="inlineStr">
        <is>
          <t>Monthly - Tuesday</t>
        </is>
      </c>
      <c r="I3031" t="inlineStr">
        <is>
          <t>Monthly - Tuesday</t>
        </is>
      </c>
      <c r="J3031" t="inlineStr">
        <is>
          <t>Month+1 Expiry</t>
        </is>
      </c>
      <c r="K3031" s="25" t="n">
        <v>177324</v>
      </c>
      <c r="L3031" s="26" t="n">
        <v>280.0895</v>
      </c>
      <c r="M3031" s="26" t="n">
        <v>2.8862</v>
      </c>
    </row>
    <row r="3032" ht="16" customHeight="1">
      <c r="A3032" t="inlineStr">
        <is>
          <t>08-May-2026</t>
        </is>
      </c>
      <c r="B3032" t="inlineStr">
        <is>
          <t>Friday</t>
        </is>
      </c>
      <c r="C3032" t="inlineStr">
        <is>
          <t>Week2-May-2026</t>
        </is>
      </c>
      <c r="D3032" s="78" t="n">
        <v>46143</v>
      </c>
      <c r="E3032" t="inlineStr">
        <is>
          <t>Q1FY27</t>
        </is>
      </c>
      <c r="F3032" t="inlineStr">
        <is>
          <t>28-Jul-2026</t>
        </is>
      </c>
      <c r="G3032" t="inlineStr">
        <is>
          <t>Tuesday</t>
        </is>
      </c>
      <c r="H3032" t="inlineStr">
        <is>
          <t>Monthly - Tuesday</t>
        </is>
      </c>
      <c r="I3032" t="inlineStr">
        <is>
          <t>Monthly - Tuesday</t>
        </is>
      </c>
      <c r="J3032" t="inlineStr">
        <is>
          <t>Month+2 Expiry</t>
        </is>
      </c>
      <c r="K3032" s="25" t="n">
        <v>20870</v>
      </c>
      <c r="L3032" s="26" t="n">
        <v>32.9644</v>
      </c>
      <c r="M3032" s="26" t="n">
        <v>0.5484</v>
      </c>
    </row>
    <row r="3033" ht="16" customHeight="1">
      <c r="A3033" t="inlineStr">
        <is>
          <t>08-May-2026</t>
        </is>
      </c>
      <c r="B3033" t="inlineStr">
        <is>
          <t>Friday</t>
        </is>
      </c>
      <c r="C3033" t="inlineStr">
        <is>
          <t>Week2-May-2026</t>
        </is>
      </c>
      <c r="D3033" s="78" t="n">
        <v>46143</v>
      </c>
      <c r="E3033" t="inlineStr">
        <is>
          <t>Q1FY27</t>
        </is>
      </c>
      <c r="F3033" t="inlineStr">
        <is>
          <t>29-Sep-2026</t>
        </is>
      </c>
      <c r="G3033" t="inlineStr">
        <is>
          <t>Tuesday</t>
        </is>
      </c>
      <c r="H3033" t="inlineStr">
        <is>
          <t>Monthly - Tuesday</t>
        </is>
      </c>
      <c r="I3033" t="inlineStr">
        <is>
          <t>Monthly - Tuesday</t>
        </is>
      </c>
      <c r="J3033" t="inlineStr">
        <is>
          <t>Month+4 Expiry</t>
        </is>
      </c>
      <c r="K3033" s="25" t="n">
        <v>16961</v>
      </c>
      <c r="L3033" s="26" t="n">
        <v>27.6307</v>
      </c>
      <c r="M3033" s="26" t="n">
        <v>0.383</v>
      </c>
    </row>
    <row r="3034" ht="16" customHeight="1">
      <c r="A3034" t="inlineStr">
        <is>
          <t>08-May-2026</t>
        </is>
      </c>
      <c r="B3034" t="inlineStr">
        <is>
          <t>Friday</t>
        </is>
      </c>
      <c r="C3034" t="inlineStr">
        <is>
          <t>Week2-May-2026</t>
        </is>
      </c>
      <c r="D3034" s="78" t="n">
        <v>46143</v>
      </c>
      <c r="E3034" t="inlineStr">
        <is>
          <t>Q1FY27</t>
        </is>
      </c>
      <c r="F3034" t="inlineStr">
        <is>
          <t>29-Dec-2026</t>
        </is>
      </c>
      <c r="G3034" t="inlineStr">
        <is>
          <t>Tuesday</t>
        </is>
      </c>
      <c r="H3034" t="inlineStr">
        <is>
          <t>Monthly - Tuesday</t>
        </is>
      </c>
      <c r="I3034" t="inlineStr">
        <is>
          <t>Monthly - Tuesday</t>
        </is>
      </c>
      <c r="J3034" t="inlineStr">
        <is>
          <t>Month+7 Expiry</t>
        </is>
      </c>
      <c r="K3034" s="25" t="n">
        <v>29574</v>
      </c>
      <c r="L3034" s="26" t="n">
        <v>47.8683</v>
      </c>
      <c r="M3034" s="26" t="n">
        <v>1.2485</v>
      </c>
    </row>
    <row r="3035" ht="16" customHeight="1">
      <c r="A3035" t="inlineStr">
        <is>
          <t>08-May-2026</t>
        </is>
      </c>
      <c r="B3035" t="inlineStr">
        <is>
          <t>Friday</t>
        </is>
      </c>
      <c r="C3035" t="inlineStr">
        <is>
          <t>Week2-May-2026</t>
        </is>
      </c>
      <c r="D3035" s="78" t="n">
        <v>46143</v>
      </c>
      <c r="E3035" t="inlineStr">
        <is>
          <t>Q1FY27</t>
        </is>
      </c>
      <c r="F3035" t="inlineStr">
        <is>
          <t>30-Mar-2027</t>
        </is>
      </c>
      <c r="G3035" t="inlineStr">
        <is>
          <t>Tuesday</t>
        </is>
      </c>
      <c r="H3035" t="inlineStr">
        <is>
          <t>Monthly - Tuesday</t>
        </is>
      </c>
      <c r="I3035" t="inlineStr">
        <is>
          <t>Monthly - Tuesday</t>
        </is>
      </c>
      <c r="J3035" t="inlineStr">
        <is>
          <t>Month+10 Expiry</t>
        </is>
      </c>
      <c r="K3035" s="25" t="n">
        <v>0</v>
      </c>
      <c r="L3035" s="26" t="n">
        <v>0</v>
      </c>
      <c r="M3035" s="26" t="n">
        <v>0</v>
      </c>
    </row>
    <row r="3036" ht="16" customHeight="1">
      <c r="A3036" t="inlineStr">
        <is>
          <t>08-May-2026</t>
        </is>
      </c>
      <c r="B3036" t="inlineStr">
        <is>
          <t>Friday</t>
        </is>
      </c>
      <c r="C3036" t="inlineStr">
        <is>
          <t>Week2-May-2026</t>
        </is>
      </c>
      <c r="D3036" s="78" t="n">
        <v>46143</v>
      </c>
      <c r="E3036" t="inlineStr">
        <is>
          <t>Q1FY27</t>
        </is>
      </c>
      <c r="F3036" t="inlineStr">
        <is>
          <t>29-Jun-2027</t>
        </is>
      </c>
      <c r="G3036" t="inlineStr">
        <is>
          <t>Tuesday</t>
        </is>
      </c>
      <c r="H3036" t="inlineStr">
        <is>
          <t>Monthly - Tuesday</t>
        </is>
      </c>
      <c r="I3036" t="inlineStr">
        <is>
          <t>Monthly - Tuesday</t>
        </is>
      </c>
      <c r="J3036" t="inlineStr">
        <is>
          <t>Month+13 Expiry</t>
        </is>
      </c>
      <c r="K3036" s="25" t="n">
        <v>3</v>
      </c>
      <c r="L3036" s="26" t="n">
        <v>0.0042</v>
      </c>
      <c r="M3036" s="26" t="n">
        <v>0.0001</v>
      </c>
    </row>
    <row r="3037" ht="16" customHeight="1">
      <c r="A3037" t="inlineStr">
        <is>
          <t>08-May-2026</t>
        </is>
      </c>
      <c r="B3037" t="inlineStr">
        <is>
          <t>Friday</t>
        </is>
      </c>
      <c r="C3037" t="inlineStr">
        <is>
          <t>Week2-May-2026</t>
        </is>
      </c>
      <c r="D3037" s="78" t="n">
        <v>46143</v>
      </c>
      <c r="E3037" t="inlineStr">
        <is>
          <t>Q1FY27</t>
        </is>
      </c>
      <c r="F3037" t="inlineStr">
        <is>
          <t>28-Dec-2027</t>
        </is>
      </c>
      <c r="G3037" t="inlineStr">
        <is>
          <t>Tuesday</t>
        </is>
      </c>
      <c r="H3037" t="inlineStr">
        <is>
          <t>Monthly - Tuesday</t>
        </is>
      </c>
      <c r="I3037" t="inlineStr">
        <is>
          <t>Monthly - Tuesday</t>
        </is>
      </c>
      <c r="J3037" t="inlineStr">
        <is>
          <t>Month+19 Expiry</t>
        </is>
      </c>
      <c r="K3037" s="25" t="n">
        <v>141</v>
      </c>
      <c r="L3037" s="26" t="n">
        <v>0.2401</v>
      </c>
      <c r="M3037" s="26" t="n">
        <v>0.0155</v>
      </c>
    </row>
    <row r="3038" ht="16" customHeight="1">
      <c r="A3038" t="inlineStr">
        <is>
          <t>08-May-2026</t>
        </is>
      </c>
      <c r="B3038" t="inlineStr">
        <is>
          <t>Friday</t>
        </is>
      </c>
      <c r="C3038" t="inlineStr">
        <is>
          <t>Week2-May-2026</t>
        </is>
      </c>
      <c r="D3038" s="78" t="n">
        <v>46143</v>
      </c>
      <c r="E3038" t="inlineStr">
        <is>
          <t>Q1FY27</t>
        </is>
      </c>
      <c r="F3038" t="inlineStr">
        <is>
          <t>27-Jun-2028</t>
        </is>
      </c>
      <c r="G3038" t="inlineStr">
        <is>
          <t>Tuesday</t>
        </is>
      </c>
      <c r="H3038" t="inlineStr">
        <is>
          <t>Monthly - Tuesday</t>
        </is>
      </c>
      <c r="I3038" t="inlineStr">
        <is>
          <t>Monthly - Tuesday</t>
        </is>
      </c>
      <c r="J3038" t="inlineStr">
        <is>
          <t>Month+25 Expiry</t>
        </is>
      </c>
      <c r="K3038" s="25" t="n">
        <v>0</v>
      </c>
      <c r="L3038" s="26" t="n">
        <v>0</v>
      </c>
      <c r="M3038" s="26" t="n">
        <v>0</v>
      </c>
    </row>
    <row r="3039" ht="16" customHeight="1">
      <c r="A3039" t="inlineStr">
        <is>
          <t>08-May-2026</t>
        </is>
      </c>
      <c r="B3039" t="inlineStr">
        <is>
          <t>Friday</t>
        </is>
      </c>
      <c r="C3039" t="inlineStr">
        <is>
          <t>Week2-May-2026</t>
        </is>
      </c>
      <c r="D3039" s="78" t="n">
        <v>46143</v>
      </c>
      <c r="E3039" t="inlineStr">
        <is>
          <t>Q1FY27</t>
        </is>
      </c>
      <c r="F3039" t="inlineStr">
        <is>
          <t>26-Dec-2028</t>
        </is>
      </c>
      <c r="G3039" t="inlineStr">
        <is>
          <t>Tuesday</t>
        </is>
      </c>
      <c r="H3039" t="inlineStr">
        <is>
          <t>Monthly - Tuesday</t>
        </is>
      </c>
      <c r="I3039" t="inlineStr">
        <is>
          <t>Monthly - Tuesday</t>
        </is>
      </c>
      <c r="J3039" t="inlineStr">
        <is>
          <t>Month+31 Expiry</t>
        </is>
      </c>
      <c r="K3039" s="25" t="n">
        <v>11</v>
      </c>
      <c r="L3039" s="26" t="n">
        <v>0.0203</v>
      </c>
      <c r="M3039" s="26" t="n">
        <v>0.0012</v>
      </c>
    </row>
    <row r="3040" ht="16" customHeight="1">
      <c r="A3040" t="inlineStr">
        <is>
          <t>08-May-2026</t>
        </is>
      </c>
      <c r="B3040" t="inlineStr">
        <is>
          <t>Friday</t>
        </is>
      </c>
      <c r="C3040" t="inlineStr">
        <is>
          <t>Week2-May-2026</t>
        </is>
      </c>
      <c r="D3040" s="78" t="n">
        <v>46143</v>
      </c>
      <c r="E3040" t="inlineStr">
        <is>
          <t>Q1FY27</t>
        </is>
      </c>
      <c r="F3040" t="inlineStr">
        <is>
          <t>26-Jun-2029</t>
        </is>
      </c>
      <c r="G3040" t="inlineStr">
        <is>
          <t>Tuesday</t>
        </is>
      </c>
      <c r="H3040" t="inlineStr">
        <is>
          <t>Monthly - Tuesday</t>
        </is>
      </c>
      <c r="I3040" t="inlineStr">
        <is>
          <t>Monthly - Tuesday</t>
        </is>
      </c>
      <c r="J3040" t="inlineStr">
        <is>
          <t>Month+37 Expiry</t>
        </is>
      </c>
      <c r="K3040" s="25" t="n">
        <v>0</v>
      </c>
      <c r="L3040" s="26" t="n">
        <v>0</v>
      </c>
      <c r="M3040" s="26" t="n">
        <v>0</v>
      </c>
    </row>
    <row r="3041" ht="16" customHeight="1">
      <c r="A3041" t="inlineStr">
        <is>
          <t>08-May-2026</t>
        </is>
      </c>
      <c r="B3041" t="inlineStr">
        <is>
          <t>Friday</t>
        </is>
      </c>
      <c r="C3041" t="inlineStr">
        <is>
          <t>Week2-May-2026</t>
        </is>
      </c>
      <c r="D3041" s="78" t="n">
        <v>46143</v>
      </c>
      <c r="E3041" t="inlineStr">
        <is>
          <t>Q1FY27</t>
        </is>
      </c>
      <c r="F3041" t="inlineStr">
        <is>
          <t>24-Dec-2029</t>
        </is>
      </c>
      <c r="G3041" t="inlineStr">
        <is>
          <t>Monday</t>
        </is>
      </c>
      <c r="H3041" t="inlineStr">
        <is>
          <t>Weekly - Monday</t>
        </is>
      </c>
      <c r="I3041" t="inlineStr">
        <is>
          <t>Weekly - Monday</t>
        </is>
      </c>
      <c r="J3041" t="inlineStr">
        <is>
          <t>Month+43 Expiry</t>
        </is>
      </c>
      <c r="K3041" s="25" t="n">
        <v>10</v>
      </c>
      <c r="L3041" s="26" t="n">
        <v>0.0139</v>
      </c>
      <c r="M3041" s="26" t="n">
        <v>0.0003</v>
      </c>
    </row>
    <row r="3042" ht="16" customHeight="1">
      <c r="A3042" t="inlineStr">
        <is>
          <t>08-May-2026</t>
        </is>
      </c>
      <c r="B3042" t="inlineStr">
        <is>
          <t>Friday</t>
        </is>
      </c>
      <c r="C3042" t="inlineStr">
        <is>
          <t>Week2-May-2026</t>
        </is>
      </c>
      <c r="D3042" s="78" t="n">
        <v>46143</v>
      </c>
      <c r="E3042" t="inlineStr">
        <is>
          <t>Q1FY27</t>
        </is>
      </c>
      <c r="F3042" t="inlineStr">
        <is>
          <t>25-Jun-2030</t>
        </is>
      </c>
      <c r="G3042" t="inlineStr">
        <is>
          <t>Tuesday</t>
        </is>
      </c>
      <c r="H3042" t="inlineStr">
        <is>
          <t>Monthly - Tuesday</t>
        </is>
      </c>
      <c r="I3042" t="inlineStr">
        <is>
          <t>Monthly - Tuesday</t>
        </is>
      </c>
      <c r="J3042" t="inlineStr">
        <is>
          <t>Month+49 Expiry</t>
        </is>
      </c>
      <c r="K3042" s="25" t="n">
        <v>0</v>
      </c>
      <c r="L3042" s="26" t="n">
        <v>0</v>
      </c>
      <c r="M3042" s="26" t="n">
        <v>0</v>
      </c>
    </row>
    <row r="3043" ht="16" customHeight="1">
      <c r="A3043" t="inlineStr">
        <is>
          <t>08-May-2026</t>
        </is>
      </c>
      <c r="B3043" t="inlineStr">
        <is>
          <t>Friday</t>
        </is>
      </c>
      <c r="C3043" t="inlineStr">
        <is>
          <t>Week2-May-2026</t>
        </is>
      </c>
      <c r="D3043" s="78" t="n">
        <v>46143</v>
      </c>
      <c r="E3043" t="inlineStr">
        <is>
          <t>Q1FY27</t>
        </is>
      </c>
      <c r="F3043" t="inlineStr">
        <is>
          <t>31-Dec-2030</t>
        </is>
      </c>
      <c r="G3043" t="inlineStr">
        <is>
          <t>Tuesday</t>
        </is>
      </c>
      <c r="H3043" t="inlineStr">
        <is>
          <t>Monthly - Tuesday</t>
        </is>
      </c>
      <c r="I3043" t="inlineStr">
        <is>
          <t>Monthly - Tuesday</t>
        </is>
      </c>
      <c r="J3043" t="inlineStr">
        <is>
          <t>Month+55 Expiry</t>
        </is>
      </c>
      <c r="K3043" s="25" t="n">
        <v>10</v>
      </c>
      <c r="L3043" s="26" t="n">
        <v>0.0139</v>
      </c>
      <c r="M3043" s="26" t="n">
        <v>0.0003</v>
      </c>
    </row>
    <row r="3044" ht="16" customHeight="1">
      <c r="A3044" t="inlineStr">
        <is>
          <t>11-May-2026</t>
        </is>
      </c>
      <c r="B3044" t="inlineStr">
        <is>
          <t>Monday</t>
        </is>
      </c>
      <c r="C3044" t="inlineStr">
        <is>
          <t>Week2-May-2026</t>
        </is>
      </c>
      <c r="D3044" s="78" t="n">
        <v>46143</v>
      </c>
      <c r="E3044" t="inlineStr">
        <is>
          <t>Q1FY27</t>
        </is>
      </c>
      <c r="F3044" t="inlineStr">
        <is>
          <t>12-May-2026</t>
        </is>
      </c>
      <c r="G3044" t="inlineStr">
        <is>
          <t>Tuesday</t>
        </is>
      </c>
      <c r="H3044" t="inlineStr">
        <is>
          <t>Weekly - Tuesday</t>
        </is>
      </c>
      <c r="I3044" t="inlineStr">
        <is>
          <t>Weekly - Tuesday</t>
        </is>
      </c>
      <c r="J3044" t="inlineStr">
        <is>
          <t>Same Month Expiry</t>
        </is>
      </c>
      <c r="K3044" s="25" t="n">
        <v>131702699</v>
      </c>
      <c r="L3044" s="26" t="n">
        <v>205874.4029</v>
      </c>
      <c r="M3044" s="26" t="n">
        <v>536.1180000000001</v>
      </c>
    </row>
    <row r="3045" ht="16" customHeight="1">
      <c r="A3045" t="inlineStr">
        <is>
          <t>11-May-2026</t>
        </is>
      </c>
      <c r="B3045" t="inlineStr">
        <is>
          <t>Monday</t>
        </is>
      </c>
      <c r="C3045" t="inlineStr">
        <is>
          <t>Week2-May-2026</t>
        </is>
      </c>
      <c r="D3045" s="78" t="n">
        <v>46143</v>
      </c>
      <c r="E3045" t="inlineStr">
        <is>
          <t>Q1FY27</t>
        </is>
      </c>
      <c r="F3045" t="inlineStr">
        <is>
          <t>19-May-2026</t>
        </is>
      </c>
      <c r="G3045" t="inlineStr">
        <is>
          <t>Tuesday</t>
        </is>
      </c>
      <c r="H3045" t="inlineStr">
        <is>
          <t>Weekly - Tuesday</t>
        </is>
      </c>
      <c r="I3045" t="inlineStr">
        <is>
          <t>Weekly - Tuesday</t>
        </is>
      </c>
      <c r="J3045" t="inlineStr">
        <is>
          <t>Same Month Expiry</t>
        </is>
      </c>
      <c r="K3045" s="25" t="n">
        <v>3877783</v>
      </c>
      <c r="L3045" s="26" t="n">
        <v>6095.4559</v>
      </c>
      <c r="M3045" s="26" t="n">
        <v>28.1697</v>
      </c>
    </row>
    <row r="3046" ht="16" customHeight="1">
      <c r="A3046" t="inlineStr">
        <is>
          <t>11-May-2026</t>
        </is>
      </c>
      <c r="B3046" t="inlineStr">
        <is>
          <t>Monday</t>
        </is>
      </c>
      <c r="C3046" t="inlineStr">
        <is>
          <t>Week2-May-2026</t>
        </is>
      </c>
      <c r="D3046" s="78" t="n">
        <v>46143</v>
      </c>
      <c r="E3046" t="inlineStr">
        <is>
          <t>Q1FY27</t>
        </is>
      </c>
      <c r="F3046" t="inlineStr">
        <is>
          <t>26-May-2026</t>
        </is>
      </c>
      <c r="G3046" t="inlineStr">
        <is>
          <t>Tuesday</t>
        </is>
      </c>
      <c r="H3046" t="inlineStr">
        <is>
          <t>Monthly - Tuesday</t>
        </is>
      </c>
      <c r="I3046" t="inlineStr">
        <is>
          <t>Monthly - Tuesday</t>
        </is>
      </c>
      <c r="J3046" t="inlineStr">
        <is>
          <t>Same Month Expiry</t>
        </is>
      </c>
      <c r="K3046" s="25" t="n">
        <v>1777310</v>
      </c>
      <c r="L3046" s="26" t="n">
        <v>2801.2037</v>
      </c>
      <c r="M3046" s="26" t="n">
        <v>21.692</v>
      </c>
    </row>
    <row r="3047" ht="16" customHeight="1">
      <c r="A3047" t="inlineStr">
        <is>
          <t>11-May-2026</t>
        </is>
      </c>
      <c r="B3047" t="inlineStr">
        <is>
          <t>Monday</t>
        </is>
      </c>
      <c r="C3047" t="inlineStr">
        <is>
          <t>Week2-May-2026</t>
        </is>
      </c>
      <c r="D3047" s="78" t="n">
        <v>46143</v>
      </c>
      <c r="E3047" t="inlineStr">
        <is>
          <t>Q1FY27</t>
        </is>
      </c>
      <c r="F3047" t="inlineStr">
        <is>
          <t>02-Jun-2026</t>
        </is>
      </c>
      <c r="G3047" t="inlineStr">
        <is>
          <t>Tuesday</t>
        </is>
      </c>
      <c r="H3047" t="inlineStr">
        <is>
          <t>Weekly - Tuesday</t>
        </is>
      </c>
      <c r="I3047" t="inlineStr">
        <is>
          <t>Weekly - Tuesday</t>
        </is>
      </c>
      <c r="J3047" t="inlineStr">
        <is>
          <t>Month+1 Expiry</t>
        </is>
      </c>
      <c r="K3047" s="25" t="n">
        <v>41939</v>
      </c>
      <c r="L3047" s="26" t="n">
        <v>66.48139999999999</v>
      </c>
      <c r="M3047" s="26" t="n">
        <v>0.5779</v>
      </c>
    </row>
    <row r="3048" ht="16" customHeight="1">
      <c r="A3048" t="inlineStr">
        <is>
          <t>11-May-2026</t>
        </is>
      </c>
      <c r="B3048" t="inlineStr">
        <is>
          <t>Monday</t>
        </is>
      </c>
      <c r="C3048" t="inlineStr">
        <is>
          <t>Week2-May-2026</t>
        </is>
      </c>
      <c r="D3048" s="78" t="n">
        <v>46143</v>
      </c>
      <c r="E3048" t="inlineStr">
        <is>
          <t>Q1FY27</t>
        </is>
      </c>
      <c r="F3048" t="inlineStr">
        <is>
          <t>09-Jun-2026</t>
        </is>
      </c>
      <c r="G3048" t="inlineStr">
        <is>
          <t>Tuesday</t>
        </is>
      </c>
      <c r="H3048" t="inlineStr">
        <is>
          <t>Weekly - Tuesday</t>
        </is>
      </c>
      <c r="I3048" t="inlineStr">
        <is>
          <t>Weekly - Tuesday</t>
        </is>
      </c>
      <c r="J3048" t="inlineStr">
        <is>
          <t>Month+1 Expiry</t>
        </is>
      </c>
      <c r="K3048" s="25" t="n">
        <v>7228</v>
      </c>
      <c r="L3048" s="26" t="n">
        <v>11.5049</v>
      </c>
      <c r="M3048" s="26" t="n">
        <v>0.1033</v>
      </c>
    </row>
    <row r="3049" ht="16" customHeight="1">
      <c r="A3049" t="inlineStr">
        <is>
          <t>11-May-2026</t>
        </is>
      </c>
      <c r="B3049" t="inlineStr">
        <is>
          <t>Monday</t>
        </is>
      </c>
      <c r="C3049" t="inlineStr">
        <is>
          <t>Week2-May-2026</t>
        </is>
      </c>
      <c r="D3049" s="78" t="n">
        <v>46143</v>
      </c>
      <c r="E3049" t="inlineStr">
        <is>
          <t>Q1FY27</t>
        </is>
      </c>
      <c r="F3049" t="inlineStr">
        <is>
          <t>30-Jun-2026</t>
        </is>
      </c>
      <c r="G3049" t="inlineStr">
        <is>
          <t>Tuesday</t>
        </is>
      </c>
      <c r="H3049" t="inlineStr">
        <is>
          <t>Monthly - Tuesday</t>
        </is>
      </c>
      <c r="I3049" t="inlineStr">
        <is>
          <t>Monthly - Tuesday</t>
        </is>
      </c>
      <c r="J3049" t="inlineStr">
        <is>
          <t>Month+1 Expiry</t>
        </is>
      </c>
      <c r="K3049" s="25" t="n">
        <v>369754</v>
      </c>
      <c r="L3049" s="26" t="n">
        <v>592.6357</v>
      </c>
      <c r="M3049" s="26" t="n">
        <v>6.4489</v>
      </c>
    </row>
    <row r="3050" ht="16" customHeight="1">
      <c r="A3050" t="inlineStr">
        <is>
          <t>11-May-2026</t>
        </is>
      </c>
      <c r="B3050" t="inlineStr">
        <is>
          <t>Monday</t>
        </is>
      </c>
      <c r="C3050" t="inlineStr">
        <is>
          <t>Week2-May-2026</t>
        </is>
      </c>
      <c r="D3050" s="78" t="n">
        <v>46143</v>
      </c>
      <c r="E3050" t="inlineStr">
        <is>
          <t>Q1FY27</t>
        </is>
      </c>
      <c r="F3050" t="inlineStr">
        <is>
          <t>28-Jul-2026</t>
        </is>
      </c>
      <c r="G3050" t="inlineStr">
        <is>
          <t>Tuesday</t>
        </is>
      </c>
      <c r="H3050" t="inlineStr">
        <is>
          <t>Monthly - Tuesday</t>
        </is>
      </c>
      <c r="I3050" t="inlineStr">
        <is>
          <t>Monthly - Tuesday</t>
        </is>
      </c>
      <c r="J3050" t="inlineStr">
        <is>
          <t>Month+2 Expiry</t>
        </is>
      </c>
      <c r="K3050" s="25" t="n">
        <v>36507</v>
      </c>
      <c r="L3050" s="26" t="n">
        <v>57.7011</v>
      </c>
      <c r="M3050" s="26" t="n">
        <v>0.9833</v>
      </c>
    </row>
    <row r="3051" ht="16" customHeight="1">
      <c r="A3051" t="inlineStr">
        <is>
          <t>11-May-2026</t>
        </is>
      </c>
      <c r="B3051" t="inlineStr">
        <is>
          <t>Monday</t>
        </is>
      </c>
      <c r="C3051" t="inlineStr">
        <is>
          <t>Week2-May-2026</t>
        </is>
      </c>
      <c r="D3051" s="78" t="n">
        <v>46143</v>
      </c>
      <c r="E3051" t="inlineStr">
        <is>
          <t>Q1FY27</t>
        </is>
      </c>
      <c r="F3051" t="inlineStr">
        <is>
          <t>29-Sep-2026</t>
        </is>
      </c>
      <c r="G3051" t="inlineStr">
        <is>
          <t>Tuesday</t>
        </is>
      </c>
      <c r="H3051" t="inlineStr">
        <is>
          <t>Monthly - Tuesday</t>
        </is>
      </c>
      <c r="I3051" t="inlineStr">
        <is>
          <t>Monthly - Tuesday</t>
        </is>
      </c>
      <c r="J3051" t="inlineStr">
        <is>
          <t>Month+4 Expiry</t>
        </is>
      </c>
      <c r="K3051" s="25" t="n">
        <v>20449</v>
      </c>
      <c r="L3051" s="26" t="n">
        <v>33.5793</v>
      </c>
      <c r="M3051" s="26" t="n">
        <v>0.5289</v>
      </c>
    </row>
    <row r="3052" ht="16" customHeight="1">
      <c r="A3052" t="inlineStr">
        <is>
          <t>11-May-2026</t>
        </is>
      </c>
      <c r="B3052" t="inlineStr">
        <is>
          <t>Monday</t>
        </is>
      </c>
      <c r="C3052" t="inlineStr">
        <is>
          <t>Week2-May-2026</t>
        </is>
      </c>
      <c r="D3052" s="78" t="n">
        <v>46143</v>
      </c>
      <c r="E3052" t="inlineStr">
        <is>
          <t>Q1FY27</t>
        </is>
      </c>
      <c r="F3052" t="inlineStr">
        <is>
          <t>29-Dec-2026</t>
        </is>
      </c>
      <c r="G3052" t="inlineStr">
        <is>
          <t>Tuesday</t>
        </is>
      </c>
      <c r="H3052" t="inlineStr">
        <is>
          <t>Monthly - Tuesday</t>
        </is>
      </c>
      <c r="I3052" t="inlineStr">
        <is>
          <t>Monthly - Tuesday</t>
        </is>
      </c>
      <c r="J3052" t="inlineStr">
        <is>
          <t>Month+7 Expiry</t>
        </is>
      </c>
      <c r="K3052" s="25" t="n">
        <v>29806</v>
      </c>
      <c r="L3052" s="26" t="n">
        <v>49.5767</v>
      </c>
      <c r="M3052" s="26" t="n">
        <v>1.2953</v>
      </c>
    </row>
    <row r="3053" ht="16" customHeight="1">
      <c r="A3053" t="inlineStr">
        <is>
          <t>11-May-2026</t>
        </is>
      </c>
      <c r="B3053" t="inlineStr">
        <is>
          <t>Monday</t>
        </is>
      </c>
      <c r="C3053" t="inlineStr">
        <is>
          <t>Week2-May-2026</t>
        </is>
      </c>
      <c r="D3053" s="78" t="n">
        <v>46143</v>
      </c>
      <c r="E3053" t="inlineStr">
        <is>
          <t>Q1FY27</t>
        </is>
      </c>
      <c r="F3053" t="inlineStr">
        <is>
          <t>30-Mar-2027</t>
        </is>
      </c>
      <c r="G3053" t="inlineStr">
        <is>
          <t>Tuesday</t>
        </is>
      </c>
      <c r="H3053" t="inlineStr">
        <is>
          <t>Monthly - Tuesday</t>
        </is>
      </c>
      <c r="I3053" t="inlineStr">
        <is>
          <t>Monthly - Tuesday</t>
        </is>
      </c>
      <c r="J3053" t="inlineStr">
        <is>
          <t>Month+10 Expiry</t>
        </is>
      </c>
      <c r="K3053" s="25" t="n">
        <v>0</v>
      </c>
      <c r="L3053" s="26" t="n">
        <v>0</v>
      </c>
      <c r="M3053" s="26" t="n">
        <v>0</v>
      </c>
    </row>
    <row r="3054" ht="16" customHeight="1">
      <c r="A3054" t="inlineStr">
        <is>
          <t>11-May-2026</t>
        </is>
      </c>
      <c r="B3054" t="inlineStr">
        <is>
          <t>Monday</t>
        </is>
      </c>
      <c r="C3054" t="inlineStr">
        <is>
          <t>Week2-May-2026</t>
        </is>
      </c>
      <c r="D3054" s="78" t="n">
        <v>46143</v>
      </c>
      <c r="E3054" t="inlineStr">
        <is>
          <t>Q1FY27</t>
        </is>
      </c>
      <c r="F3054" t="inlineStr">
        <is>
          <t>29-Jun-2027</t>
        </is>
      </c>
      <c r="G3054" t="inlineStr">
        <is>
          <t>Tuesday</t>
        </is>
      </c>
      <c r="H3054" t="inlineStr">
        <is>
          <t>Monthly - Tuesday</t>
        </is>
      </c>
      <c r="I3054" t="inlineStr">
        <is>
          <t>Monthly - Tuesday</t>
        </is>
      </c>
      <c r="J3054" t="inlineStr">
        <is>
          <t>Month+13 Expiry</t>
        </is>
      </c>
      <c r="K3054" s="25" t="n">
        <v>1</v>
      </c>
      <c r="L3054" s="26" t="n">
        <v>0.0012</v>
      </c>
      <c r="M3054" s="26" t="n">
        <v>0</v>
      </c>
    </row>
    <row r="3055" ht="16" customHeight="1">
      <c r="A3055" t="inlineStr">
        <is>
          <t>11-May-2026</t>
        </is>
      </c>
      <c r="B3055" t="inlineStr">
        <is>
          <t>Monday</t>
        </is>
      </c>
      <c r="C3055" t="inlineStr">
        <is>
          <t>Week2-May-2026</t>
        </is>
      </c>
      <c r="D3055" s="78" t="n">
        <v>46143</v>
      </c>
      <c r="E3055" t="inlineStr">
        <is>
          <t>Q1FY27</t>
        </is>
      </c>
      <c r="F3055" t="inlineStr">
        <is>
          <t>28-Dec-2027</t>
        </is>
      </c>
      <c r="G3055" t="inlineStr">
        <is>
          <t>Tuesday</t>
        </is>
      </c>
      <c r="H3055" t="inlineStr">
        <is>
          <t>Monthly - Tuesday</t>
        </is>
      </c>
      <c r="I3055" t="inlineStr">
        <is>
          <t>Monthly - Tuesday</t>
        </is>
      </c>
      <c r="J3055" t="inlineStr">
        <is>
          <t>Month+19 Expiry</t>
        </is>
      </c>
      <c r="K3055" s="25" t="n">
        <v>286</v>
      </c>
      <c r="L3055" s="26" t="n">
        <v>0.4955</v>
      </c>
      <c r="M3055" s="26" t="n">
        <v>0.0287</v>
      </c>
    </row>
    <row r="3056" ht="16" customHeight="1">
      <c r="A3056" t="inlineStr">
        <is>
          <t>11-May-2026</t>
        </is>
      </c>
      <c r="B3056" t="inlineStr">
        <is>
          <t>Monday</t>
        </is>
      </c>
      <c r="C3056" t="inlineStr">
        <is>
          <t>Week2-May-2026</t>
        </is>
      </c>
      <c r="D3056" s="78" t="n">
        <v>46143</v>
      </c>
      <c r="E3056" t="inlineStr">
        <is>
          <t>Q1FY27</t>
        </is>
      </c>
      <c r="F3056" t="inlineStr">
        <is>
          <t>27-Jun-2028</t>
        </is>
      </c>
      <c r="G3056" t="inlineStr">
        <is>
          <t>Tuesday</t>
        </is>
      </c>
      <c r="H3056" t="inlineStr">
        <is>
          <t>Monthly - Tuesday</t>
        </is>
      </c>
      <c r="I3056" t="inlineStr">
        <is>
          <t>Monthly - Tuesday</t>
        </is>
      </c>
      <c r="J3056" t="inlineStr">
        <is>
          <t>Month+25 Expiry</t>
        </is>
      </c>
      <c r="K3056" s="25" t="n">
        <v>1</v>
      </c>
      <c r="L3056" s="26" t="n">
        <v>0.0015</v>
      </c>
      <c r="M3056" s="26" t="n">
        <v>0</v>
      </c>
    </row>
    <row r="3057" ht="16" customHeight="1">
      <c r="A3057" t="inlineStr">
        <is>
          <t>11-May-2026</t>
        </is>
      </c>
      <c r="B3057" t="inlineStr">
        <is>
          <t>Monday</t>
        </is>
      </c>
      <c r="C3057" t="inlineStr">
        <is>
          <t>Week2-May-2026</t>
        </is>
      </c>
      <c r="D3057" s="78" t="n">
        <v>46143</v>
      </c>
      <c r="E3057" t="inlineStr">
        <is>
          <t>Q1FY27</t>
        </is>
      </c>
      <c r="F3057" t="inlineStr">
        <is>
          <t>26-Dec-2028</t>
        </is>
      </c>
      <c r="G3057" t="inlineStr">
        <is>
          <t>Tuesday</t>
        </is>
      </c>
      <c r="H3057" t="inlineStr">
        <is>
          <t>Monthly - Tuesday</t>
        </is>
      </c>
      <c r="I3057" t="inlineStr">
        <is>
          <t>Monthly - Tuesday</t>
        </is>
      </c>
      <c r="J3057" t="inlineStr">
        <is>
          <t>Month+31 Expiry</t>
        </is>
      </c>
      <c r="K3057" s="25" t="n">
        <v>4</v>
      </c>
      <c r="L3057" s="26" t="n">
        <v>0.007</v>
      </c>
      <c r="M3057" s="26" t="n">
        <v>0.0004</v>
      </c>
    </row>
    <row r="3058" ht="16" customHeight="1">
      <c r="A3058" t="inlineStr">
        <is>
          <t>11-May-2026</t>
        </is>
      </c>
      <c r="B3058" t="inlineStr">
        <is>
          <t>Monday</t>
        </is>
      </c>
      <c r="C3058" t="inlineStr">
        <is>
          <t>Week2-May-2026</t>
        </is>
      </c>
      <c r="D3058" s="78" t="n">
        <v>46143</v>
      </c>
      <c r="E3058" t="inlineStr">
        <is>
          <t>Q1FY27</t>
        </is>
      </c>
      <c r="F3058" t="inlineStr">
        <is>
          <t>26-Jun-2029</t>
        </is>
      </c>
      <c r="G3058" t="inlineStr">
        <is>
          <t>Tuesday</t>
        </is>
      </c>
      <c r="H3058" t="inlineStr">
        <is>
          <t>Monthly - Tuesday</t>
        </is>
      </c>
      <c r="I3058" t="inlineStr">
        <is>
          <t>Monthly - Tuesday</t>
        </is>
      </c>
      <c r="J3058" t="inlineStr">
        <is>
          <t>Month+37 Expiry</t>
        </is>
      </c>
      <c r="K3058" s="25" t="n">
        <v>4</v>
      </c>
      <c r="L3058" s="26" t="n">
        <v>0.007</v>
      </c>
      <c r="M3058" s="26" t="n">
        <v>0.0005</v>
      </c>
    </row>
    <row r="3059" ht="16" customHeight="1">
      <c r="A3059" t="inlineStr">
        <is>
          <t>11-May-2026</t>
        </is>
      </c>
      <c r="B3059" t="inlineStr">
        <is>
          <t>Monday</t>
        </is>
      </c>
      <c r="C3059" t="inlineStr">
        <is>
          <t>Week2-May-2026</t>
        </is>
      </c>
      <c r="D3059" s="78" t="n">
        <v>46143</v>
      </c>
      <c r="E3059" t="inlineStr">
        <is>
          <t>Q1FY27</t>
        </is>
      </c>
      <c r="F3059" t="inlineStr">
        <is>
          <t>24-Dec-2029</t>
        </is>
      </c>
      <c r="G3059" t="inlineStr">
        <is>
          <t>Monday</t>
        </is>
      </c>
      <c r="H3059" t="inlineStr">
        <is>
          <t>Weekly - Monday</t>
        </is>
      </c>
      <c r="I3059" t="inlineStr">
        <is>
          <t>Weekly - Monday</t>
        </is>
      </c>
      <c r="J3059" t="inlineStr">
        <is>
          <t>Month+43 Expiry</t>
        </is>
      </c>
      <c r="K3059" s="25" t="n">
        <v>0</v>
      </c>
      <c r="L3059" s="26" t="n">
        <v>0</v>
      </c>
      <c r="M3059" s="26" t="n">
        <v>0</v>
      </c>
    </row>
    <row r="3060" ht="16" customHeight="1">
      <c r="A3060" t="inlineStr">
        <is>
          <t>11-May-2026</t>
        </is>
      </c>
      <c r="B3060" t="inlineStr">
        <is>
          <t>Monday</t>
        </is>
      </c>
      <c r="C3060" t="inlineStr">
        <is>
          <t>Week2-May-2026</t>
        </is>
      </c>
      <c r="D3060" s="78" t="n">
        <v>46143</v>
      </c>
      <c r="E3060" t="inlineStr">
        <is>
          <t>Q1FY27</t>
        </is>
      </c>
      <c r="F3060" t="inlineStr">
        <is>
          <t>25-Jun-2030</t>
        </is>
      </c>
      <c r="G3060" t="inlineStr">
        <is>
          <t>Tuesday</t>
        </is>
      </c>
      <c r="H3060" t="inlineStr">
        <is>
          <t>Monthly - Tuesday</t>
        </is>
      </c>
      <c r="I3060" t="inlineStr">
        <is>
          <t>Monthly - Tuesday</t>
        </is>
      </c>
      <c r="J3060" t="inlineStr">
        <is>
          <t>Month+49 Expiry</t>
        </is>
      </c>
      <c r="K3060" s="25" t="n">
        <v>0</v>
      </c>
      <c r="L3060" s="26" t="n">
        <v>0</v>
      </c>
      <c r="M3060" s="26" t="n">
        <v>0</v>
      </c>
    </row>
    <row r="3061" ht="16" customHeight="1">
      <c r="A3061" t="inlineStr">
        <is>
          <t>11-May-2026</t>
        </is>
      </c>
      <c r="B3061" t="inlineStr">
        <is>
          <t>Monday</t>
        </is>
      </c>
      <c r="C3061" t="inlineStr">
        <is>
          <t>Week2-May-2026</t>
        </is>
      </c>
      <c r="D3061" s="78" t="n">
        <v>46143</v>
      </c>
      <c r="E3061" t="inlineStr">
        <is>
          <t>Q1FY27</t>
        </is>
      </c>
      <c r="F3061" t="inlineStr">
        <is>
          <t>31-Dec-2030</t>
        </is>
      </c>
      <c r="G3061" t="inlineStr">
        <is>
          <t>Tuesday</t>
        </is>
      </c>
      <c r="H3061" t="inlineStr">
        <is>
          <t>Monthly - Tuesday</t>
        </is>
      </c>
      <c r="I3061" t="inlineStr">
        <is>
          <t>Monthly - Tuesday</t>
        </is>
      </c>
      <c r="J3061" t="inlineStr">
        <is>
          <t>Month+55 Expiry</t>
        </is>
      </c>
      <c r="K3061" s="25" t="n">
        <v>0</v>
      </c>
      <c r="L3061" s="26" t="n">
        <v>0</v>
      </c>
      <c r="M3061" s="26" t="n">
        <v>0</v>
      </c>
    </row>
    <row r="3062" ht="16" customHeight="1">
      <c r="A3062" t="inlineStr">
        <is>
          <t>12-May-2026</t>
        </is>
      </c>
      <c r="B3062" t="inlineStr">
        <is>
          <t>Tuesday</t>
        </is>
      </c>
      <c r="C3062" t="inlineStr">
        <is>
          <t>Week2-May-2026</t>
        </is>
      </c>
      <c r="D3062" s="78" t="n">
        <v>46143</v>
      </c>
      <c r="E3062" t="inlineStr">
        <is>
          <t>Q1FY27</t>
        </is>
      </c>
      <c r="F3062" t="inlineStr">
        <is>
          <t>12-May-2026</t>
        </is>
      </c>
      <c r="G3062" t="inlineStr">
        <is>
          <t>Tuesday</t>
        </is>
      </c>
      <c r="H3062" t="inlineStr">
        <is>
          <t>Weekly - Tuesday</t>
        </is>
      </c>
      <c r="I3062" t="inlineStr">
        <is>
          <t>Weekly - Tuesday</t>
        </is>
      </c>
      <c r="J3062" t="inlineStr">
        <is>
          <t>Same Month Expiry</t>
        </is>
      </c>
      <c r="K3062" s="25" t="n">
        <v>396066995</v>
      </c>
      <c r="L3062" s="26" t="n">
        <v>608565.8488</v>
      </c>
      <c r="M3062" s="26" t="n">
        <v>659.8926</v>
      </c>
    </row>
    <row r="3063" ht="16" customHeight="1">
      <c r="A3063" t="inlineStr">
        <is>
          <t>12-May-2026</t>
        </is>
      </c>
      <c r="B3063" t="inlineStr">
        <is>
          <t>Tuesday</t>
        </is>
      </c>
      <c r="C3063" t="inlineStr">
        <is>
          <t>Week2-May-2026</t>
        </is>
      </c>
      <c r="D3063" s="78" t="n">
        <v>46143</v>
      </c>
      <c r="E3063" t="inlineStr">
        <is>
          <t>Q1FY27</t>
        </is>
      </c>
      <c r="F3063" t="inlineStr">
        <is>
          <t>19-May-2026</t>
        </is>
      </c>
      <c r="G3063" t="inlineStr">
        <is>
          <t>Tuesday</t>
        </is>
      </c>
      <c r="H3063" t="inlineStr">
        <is>
          <t>Weekly - Tuesday</t>
        </is>
      </c>
      <c r="I3063" t="inlineStr">
        <is>
          <t>Weekly - Tuesday</t>
        </is>
      </c>
      <c r="J3063" t="inlineStr">
        <is>
          <t>Same Month Expiry</t>
        </is>
      </c>
      <c r="K3063" s="25" t="n">
        <v>9159825</v>
      </c>
      <c r="L3063" s="26" t="n">
        <v>14241.7128</v>
      </c>
      <c r="M3063" s="26" t="n">
        <v>65.5624</v>
      </c>
    </row>
    <row r="3064" ht="16" customHeight="1">
      <c r="A3064" t="inlineStr">
        <is>
          <t>12-May-2026</t>
        </is>
      </c>
      <c r="B3064" t="inlineStr">
        <is>
          <t>Tuesday</t>
        </is>
      </c>
      <c r="C3064" t="inlineStr">
        <is>
          <t>Week2-May-2026</t>
        </is>
      </c>
      <c r="D3064" s="78" t="n">
        <v>46143</v>
      </c>
      <c r="E3064" t="inlineStr">
        <is>
          <t>Q1FY27</t>
        </is>
      </c>
      <c r="F3064" t="inlineStr">
        <is>
          <t>26-May-2026</t>
        </is>
      </c>
      <c r="G3064" t="inlineStr">
        <is>
          <t>Tuesday</t>
        </is>
      </c>
      <c r="H3064" t="inlineStr">
        <is>
          <t>Monthly - Tuesday</t>
        </is>
      </c>
      <c r="I3064" t="inlineStr">
        <is>
          <t>Monthly - Tuesday</t>
        </is>
      </c>
      <c r="J3064" t="inlineStr">
        <is>
          <t>Same Month Expiry</t>
        </is>
      </c>
      <c r="K3064" s="25" t="n">
        <v>2320271</v>
      </c>
      <c r="L3064" s="26" t="n">
        <v>3626.5074</v>
      </c>
      <c r="M3064" s="26" t="n">
        <v>27.4552</v>
      </c>
    </row>
    <row r="3065" ht="16" customHeight="1">
      <c r="A3065" t="inlineStr">
        <is>
          <t>12-May-2026</t>
        </is>
      </c>
      <c r="B3065" t="inlineStr">
        <is>
          <t>Tuesday</t>
        </is>
      </c>
      <c r="C3065" t="inlineStr">
        <is>
          <t>Week2-May-2026</t>
        </is>
      </c>
      <c r="D3065" s="78" t="n">
        <v>46143</v>
      </c>
      <c r="E3065" t="inlineStr">
        <is>
          <t>Q1FY27</t>
        </is>
      </c>
      <c r="F3065" t="inlineStr">
        <is>
          <t>02-Jun-2026</t>
        </is>
      </c>
      <c r="G3065" t="inlineStr">
        <is>
          <t>Tuesday</t>
        </is>
      </c>
      <c r="H3065" t="inlineStr">
        <is>
          <t>Weekly - Tuesday</t>
        </is>
      </c>
      <c r="I3065" t="inlineStr">
        <is>
          <t>Weekly - Tuesday</t>
        </is>
      </c>
      <c r="J3065" t="inlineStr">
        <is>
          <t>Month+1 Expiry</t>
        </is>
      </c>
      <c r="K3065" s="25" t="n">
        <v>72470</v>
      </c>
      <c r="L3065" s="26" t="n">
        <v>113.7891</v>
      </c>
      <c r="M3065" s="26" t="n">
        <v>0.8789</v>
      </c>
    </row>
    <row r="3066" ht="16" customHeight="1">
      <c r="A3066" t="inlineStr">
        <is>
          <t>12-May-2026</t>
        </is>
      </c>
      <c r="B3066" t="inlineStr">
        <is>
          <t>Tuesday</t>
        </is>
      </c>
      <c r="C3066" t="inlineStr">
        <is>
          <t>Week2-May-2026</t>
        </is>
      </c>
      <c r="D3066" s="78" t="n">
        <v>46143</v>
      </c>
      <c r="E3066" t="inlineStr">
        <is>
          <t>Q1FY27</t>
        </is>
      </c>
      <c r="F3066" t="inlineStr">
        <is>
          <t>09-Jun-2026</t>
        </is>
      </c>
      <c r="G3066" t="inlineStr">
        <is>
          <t>Tuesday</t>
        </is>
      </c>
      <c r="H3066" t="inlineStr">
        <is>
          <t>Weekly - Tuesday</t>
        </is>
      </c>
      <c r="I3066" t="inlineStr">
        <is>
          <t>Weekly - Tuesday</t>
        </is>
      </c>
      <c r="J3066" t="inlineStr">
        <is>
          <t>Month+1 Expiry</t>
        </is>
      </c>
      <c r="K3066" s="25" t="n">
        <v>10935</v>
      </c>
      <c r="L3066" s="26" t="n">
        <v>17.3149</v>
      </c>
      <c r="M3066" s="26" t="n">
        <v>0.1309</v>
      </c>
    </row>
    <row r="3067" ht="16" customHeight="1">
      <c r="A3067" t="inlineStr">
        <is>
          <t>12-May-2026</t>
        </is>
      </c>
      <c r="B3067" t="inlineStr">
        <is>
          <t>Tuesday</t>
        </is>
      </c>
      <c r="C3067" t="inlineStr">
        <is>
          <t>Week2-May-2026</t>
        </is>
      </c>
      <c r="D3067" s="78" t="n">
        <v>46143</v>
      </c>
      <c r="E3067" t="inlineStr">
        <is>
          <t>Q1FY27</t>
        </is>
      </c>
      <c r="F3067" t="inlineStr">
        <is>
          <t>30-Jun-2026</t>
        </is>
      </c>
      <c r="G3067" t="inlineStr">
        <is>
          <t>Tuesday</t>
        </is>
      </c>
      <c r="H3067" t="inlineStr">
        <is>
          <t>Monthly - Tuesday</t>
        </is>
      </c>
      <c r="I3067" t="inlineStr">
        <is>
          <t>Monthly - Tuesday</t>
        </is>
      </c>
      <c r="J3067" t="inlineStr">
        <is>
          <t>Month+1 Expiry</t>
        </is>
      </c>
      <c r="K3067" s="25" t="n">
        <v>455554</v>
      </c>
      <c r="L3067" s="26" t="n">
        <v>716.782</v>
      </c>
      <c r="M3067" s="26" t="n">
        <v>8.006399999999999</v>
      </c>
    </row>
    <row r="3068" ht="16" customHeight="1">
      <c r="A3068" t="inlineStr">
        <is>
          <t>12-May-2026</t>
        </is>
      </c>
      <c r="B3068" t="inlineStr">
        <is>
          <t>Tuesday</t>
        </is>
      </c>
      <c r="C3068" t="inlineStr">
        <is>
          <t>Week2-May-2026</t>
        </is>
      </c>
      <c r="D3068" s="78" t="n">
        <v>46143</v>
      </c>
      <c r="E3068" t="inlineStr">
        <is>
          <t>Q1FY27</t>
        </is>
      </c>
      <c r="F3068" t="inlineStr">
        <is>
          <t>28-Jul-2026</t>
        </is>
      </c>
      <c r="G3068" t="inlineStr">
        <is>
          <t>Tuesday</t>
        </is>
      </c>
      <c r="H3068" t="inlineStr">
        <is>
          <t>Monthly - Tuesday</t>
        </is>
      </c>
      <c r="I3068" t="inlineStr">
        <is>
          <t>Monthly - Tuesday</t>
        </is>
      </c>
      <c r="J3068" t="inlineStr">
        <is>
          <t>Month+2 Expiry</t>
        </is>
      </c>
      <c r="K3068" s="25" t="n">
        <v>53474</v>
      </c>
      <c r="L3068" s="26" t="n">
        <v>84.5082</v>
      </c>
      <c r="M3068" s="26" t="n">
        <v>1.4934</v>
      </c>
    </row>
    <row r="3069" ht="16" customHeight="1">
      <c r="A3069" t="inlineStr">
        <is>
          <t>12-May-2026</t>
        </is>
      </c>
      <c r="B3069" t="inlineStr">
        <is>
          <t>Tuesday</t>
        </is>
      </c>
      <c r="C3069" t="inlineStr">
        <is>
          <t>Week2-May-2026</t>
        </is>
      </c>
      <c r="D3069" s="78" t="n">
        <v>46143</v>
      </c>
      <c r="E3069" t="inlineStr">
        <is>
          <t>Q1FY27</t>
        </is>
      </c>
      <c r="F3069" t="inlineStr">
        <is>
          <t>29-Sep-2026</t>
        </is>
      </c>
      <c r="G3069" t="inlineStr">
        <is>
          <t>Tuesday</t>
        </is>
      </c>
      <c r="H3069" t="inlineStr">
        <is>
          <t>Monthly - Tuesday</t>
        </is>
      </c>
      <c r="I3069" t="inlineStr">
        <is>
          <t>Monthly - Tuesday</t>
        </is>
      </c>
      <c r="J3069" t="inlineStr">
        <is>
          <t>Month+4 Expiry</t>
        </is>
      </c>
      <c r="K3069" s="25" t="n">
        <v>40313</v>
      </c>
      <c r="L3069" s="26" t="n">
        <v>65.2868</v>
      </c>
      <c r="M3069" s="26" t="n">
        <v>1.1254</v>
      </c>
    </row>
    <row r="3070" ht="16" customHeight="1">
      <c r="A3070" t="inlineStr">
        <is>
          <t>12-May-2026</t>
        </is>
      </c>
      <c r="B3070" t="inlineStr">
        <is>
          <t>Tuesday</t>
        </is>
      </c>
      <c r="C3070" t="inlineStr">
        <is>
          <t>Week2-May-2026</t>
        </is>
      </c>
      <c r="D3070" s="78" t="n">
        <v>46143</v>
      </c>
      <c r="E3070" t="inlineStr">
        <is>
          <t>Q1FY27</t>
        </is>
      </c>
      <c r="F3070" t="inlineStr">
        <is>
          <t>29-Dec-2026</t>
        </is>
      </c>
      <c r="G3070" t="inlineStr">
        <is>
          <t>Tuesday</t>
        </is>
      </c>
      <c r="H3070" t="inlineStr">
        <is>
          <t>Monthly - Tuesday</t>
        </is>
      </c>
      <c r="I3070" t="inlineStr">
        <is>
          <t>Monthly - Tuesday</t>
        </is>
      </c>
      <c r="J3070" t="inlineStr">
        <is>
          <t>Month+7 Expiry</t>
        </is>
      </c>
      <c r="K3070" s="25" t="n">
        <v>55253</v>
      </c>
      <c r="L3070" s="26" t="n">
        <v>90.151</v>
      </c>
      <c r="M3070" s="26" t="n">
        <v>2.369</v>
      </c>
    </row>
    <row r="3071" ht="16" customHeight="1">
      <c r="A3071" t="inlineStr">
        <is>
          <t>12-May-2026</t>
        </is>
      </c>
      <c r="B3071" t="inlineStr">
        <is>
          <t>Tuesday</t>
        </is>
      </c>
      <c r="C3071" t="inlineStr">
        <is>
          <t>Week2-May-2026</t>
        </is>
      </c>
      <c r="D3071" s="78" t="n">
        <v>46143</v>
      </c>
      <c r="E3071" t="inlineStr">
        <is>
          <t>Q1FY27</t>
        </is>
      </c>
      <c r="F3071" t="inlineStr">
        <is>
          <t>30-Mar-2027</t>
        </is>
      </c>
      <c r="G3071" t="inlineStr">
        <is>
          <t>Tuesday</t>
        </is>
      </c>
      <c r="H3071" t="inlineStr">
        <is>
          <t>Monthly - Tuesday</t>
        </is>
      </c>
      <c r="I3071" t="inlineStr">
        <is>
          <t>Monthly - Tuesday</t>
        </is>
      </c>
      <c r="J3071" t="inlineStr">
        <is>
          <t>Month+10 Expiry</t>
        </is>
      </c>
      <c r="K3071" s="25" t="n">
        <v>0</v>
      </c>
      <c r="L3071" s="26" t="n">
        <v>0</v>
      </c>
      <c r="M3071" s="26" t="n">
        <v>0</v>
      </c>
    </row>
    <row r="3072" ht="16" customHeight="1">
      <c r="A3072" t="inlineStr">
        <is>
          <t>12-May-2026</t>
        </is>
      </c>
      <c r="B3072" t="inlineStr">
        <is>
          <t>Tuesday</t>
        </is>
      </c>
      <c r="C3072" t="inlineStr">
        <is>
          <t>Week2-May-2026</t>
        </is>
      </c>
      <c r="D3072" s="78" t="n">
        <v>46143</v>
      </c>
      <c r="E3072" t="inlineStr">
        <is>
          <t>Q1FY27</t>
        </is>
      </c>
      <c r="F3072" t="inlineStr">
        <is>
          <t>29-Jun-2027</t>
        </is>
      </c>
      <c r="G3072" t="inlineStr">
        <is>
          <t>Tuesday</t>
        </is>
      </c>
      <c r="H3072" t="inlineStr">
        <is>
          <t>Monthly - Tuesday</t>
        </is>
      </c>
      <c r="I3072" t="inlineStr">
        <is>
          <t>Monthly - Tuesday</t>
        </is>
      </c>
      <c r="J3072" t="inlineStr">
        <is>
          <t>Month+13 Expiry</t>
        </is>
      </c>
      <c r="K3072" s="25" t="n">
        <v>10</v>
      </c>
      <c r="L3072" s="26" t="n">
        <v>0.0138</v>
      </c>
      <c r="M3072" s="26" t="n">
        <v>0.0003</v>
      </c>
    </row>
    <row r="3073" ht="16" customHeight="1">
      <c r="A3073" t="inlineStr">
        <is>
          <t>12-May-2026</t>
        </is>
      </c>
      <c r="B3073" t="inlineStr">
        <is>
          <t>Tuesday</t>
        </is>
      </c>
      <c r="C3073" t="inlineStr">
        <is>
          <t>Week2-May-2026</t>
        </is>
      </c>
      <c r="D3073" s="78" t="n">
        <v>46143</v>
      </c>
      <c r="E3073" t="inlineStr">
        <is>
          <t>Q1FY27</t>
        </is>
      </c>
      <c r="F3073" t="inlineStr">
        <is>
          <t>28-Dec-2027</t>
        </is>
      </c>
      <c r="G3073" t="inlineStr">
        <is>
          <t>Tuesday</t>
        </is>
      </c>
      <c r="H3073" t="inlineStr">
        <is>
          <t>Monthly - Tuesday</t>
        </is>
      </c>
      <c r="I3073" t="inlineStr">
        <is>
          <t>Monthly - Tuesday</t>
        </is>
      </c>
      <c r="J3073" t="inlineStr">
        <is>
          <t>Month+19 Expiry</t>
        </is>
      </c>
      <c r="K3073" s="25" t="n">
        <v>595</v>
      </c>
      <c r="L3073" s="26" t="n">
        <v>1.0657</v>
      </c>
      <c r="M3073" s="26" t="n">
        <v>0.0474</v>
      </c>
    </row>
    <row r="3074" ht="16" customHeight="1">
      <c r="A3074" t="inlineStr">
        <is>
          <t>12-May-2026</t>
        </is>
      </c>
      <c r="B3074" t="inlineStr">
        <is>
          <t>Tuesday</t>
        </is>
      </c>
      <c r="C3074" t="inlineStr">
        <is>
          <t>Week2-May-2026</t>
        </is>
      </c>
      <c r="D3074" s="78" t="n">
        <v>46143</v>
      </c>
      <c r="E3074" t="inlineStr">
        <is>
          <t>Q1FY27</t>
        </is>
      </c>
      <c r="F3074" t="inlineStr">
        <is>
          <t>27-Jun-2028</t>
        </is>
      </c>
      <c r="G3074" t="inlineStr">
        <is>
          <t>Tuesday</t>
        </is>
      </c>
      <c r="H3074" t="inlineStr">
        <is>
          <t>Monthly - Tuesday</t>
        </is>
      </c>
      <c r="I3074" t="inlineStr">
        <is>
          <t>Monthly - Tuesday</t>
        </is>
      </c>
      <c r="J3074" t="inlineStr">
        <is>
          <t>Month+25 Expiry</t>
        </is>
      </c>
      <c r="K3074" s="25" t="n">
        <v>0</v>
      </c>
      <c r="L3074" s="26" t="n">
        <v>0</v>
      </c>
      <c r="M3074" s="26" t="n">
        <v>0</v>
      </c>
    </row>
    <row r="3075" ht="16" customHeight="1">
      <c r="A3075" t="inlineStr">
        <is>
          <t>12-May-2026</t>
        </is>
      </c>
      <c r="B3075" t="inlineStr">
        <is>
          <t>Tuesday</t>
        </is>
      </c>
      <c r="C3075" t="inlineStr">
        <is>
          <t>Week2-May-2026</t>
        </is>
      </c>
      <c r="D3075" s="78" t="n">
        <v>46143</v>
      </c>
      <c r="E3075" t="inlineStr">
        <is>
          <t>Q1FY27</t>
        </is>
      </c>
      <c r="F3075" t="inlineStr">
        <is>
          <t>26-Dec-2028</t>
        </is>
      </c>
      <c r="G3075" t="inlineStr">
        <is>
          <t>Tuesday</t>
        </is>
      </c>
      <c r="H3075" t="inlineStr">
        <is>
          <t>Monthly - Tuesday</t>
        </is>
      </c>
      <c r="I3075" t="inlineStr">
        <is>
          <t>Monthly - Tuesday</t>
        </is>
      </c>
      <c r="J3075" t="inlineStr">
        <is>
          <t>Month+31 Expiry</t>
        </is>
      </c>
      <c r="K3075" s="25" t="n">
        <v>34</v>
      </c>
      <c r="L3075" s="26" t="n">
        <v>0.0659</v>
      </c>
      <c r="M3075" s="26" t="n">
        <v>0.0046</v>
      </c>
    </row>
    <row r="3076" ht="16" customHeight="1">
      <c r="A3076" t="inlineStr">
        <is>
          <t>12-May-2026</t>
        </is>
      </c>
      <c r="B3076" t="inlineStr">
        <is>
          <t>Tuesday</t>
        </is>
      </c>
      <c r="C3076" t="inlineStr">
        <is>
          <t>Week2-May-2026</t>
        </is>
      </c>
      <c r="D3076" s="78" t="n">
        <v>46143</v>
      </c>
      <c r="E3076" t="inlineStr">
        <is>
          <t>Q1FY27</t>
        </is>
      </c>
      <c r="F3076" t="inlineStr">
        <is>
          <t>26-Jun-2029</t>
        </is>
      </c>
      <c r="G3076" t="inlineStr">
        <is>
          <t>Tuesday</t>
        </is>
      </c>
      <c r="H3076" t="inlineStr">
        <is>
          <t>Monthly - Tuesday</t>
        </is>
      </c>
      <c r="I3076" t="inlineStr">
        <is>
          <t>Monthly - Tuesday</t>
        </is>
      </c>
      <c r="J3076" t="inlineStr">
        <is>
          <t>Month+37 Expiry</t>
        </is>
      </c>
      <c r="K3076" s="25" t="n">
        <v>0</v>
      </c>
      <c r="L3076" s="26" t="n">
        <v>0</v>
      </c>
      <c r="M3076" s="26" t="n">
        <v>0</v>
      </c>
    </row>
    <row r="3077" ht="16" customHeight="1">
      <c r="A3077" t="inlineStr">
        <is>
          <t>12-May-2026</t>
        </is>
      </c>
      <c r="B3077" t="inlineStr">
        <is>
          <t>Tuesday</t>
        </is>
      </c>
      <c r="C3077" t="inlineStr">
        <is>
          <t>Week2-May-2026</t>
        </is>
      </c>
      <c r="D3077" s="78" t="n">
        <v>46143</v>
      </c>
      <c r="E3077" t="inlineStr">
        <is>
          <t>Q1FY27</t>
        </is>
      </c>
      <c r="F3077" t="inlineStr">
        <is>
          <t>24-Dec-2029</t>
        </is>
      </c>
      <c r="G3077" t="inlineStr">
        <is>
          <t>Monday</t>
        </is>
      </c>
      <c r="H3077" t="inlineStr">
        <is>
          <t>Weekly - Monday</t>
        </is>
      </c>
      <c r="I3077" t="inlineStr">
        <is>
          <t>Weekly - Monday</t>
        </is>
      </c>
      <c r="J3077" t="inlineStr">
        <is>
          <t>Month+43 Expiry</t>
        </is>
      </c>
      <c r="K3077" s="25" t="n">
        <v>3</v>
      </c>
      <c r="L3077" s="26" t="n">
        <v>0.0053</v>
      </c>
      <c r="M3077" s="26" t="n">
        <v>0.0003</v>
      </c>
    </row>
    <row r="3078" ht="16" customHeight="1">
      <c r="A3078" t="inlineStr">
        <is>
          <t>12-May-2026</t>
        </is>
      </c>
      <c r="B3078" t="inlineStr">
        <is>
          <t>Tuesday</t>
        </is>
      </c>
      <c r="C3078" t="inlineStr">
        <is>
          <t>Week2-May-2026</t>
        </is>
      </c>
      <c r="D3078" s="78" t="n">
        <v>46143</v>
      </c>
      <c r="E3078" t="inlineStr">
        <is>
          <t>Q1FY27</t>
        </is>
      </c>
      <c r="F3078" t="inlineStr">
        <is>
          <t>25-Jun-2030</t>
        </is>
      </c>
      <c r="G3078" t="inlineStr">
        <is>
          <t>Tuesday</t>
        </is>
      </c>
      <c r="H3078" t="inlineStr">
        <is>
          <t>Monthly - Tuesday</t>
        </is>
      </c>
      <c r="I3078" t="inlineStr">
        <is>
          <t>Monthly - Tuesday</t>
        </is>
      </c>
      <c r="J3078" t="inlineStr">
        <is>
          <t>Month+49 Expiry</t>
        </is>
      </c>
      <c r="K3078" s="25" t="n">
        <v>0</v>
      </c>
      <c r="L3078" s="26" t="n">
        <v>0</v>
      </c>
      <c r="M3078" s="26" t="n">
        <v>0</v>
      </c>
    </row>
    <row r="3079" ht="16" customHeight="1">
      <c r="A3079" t="inlineStr">
        <is>
          <t>12-May-2026</t>
        </is>
      </c>
      <c r="B3079" t="inlineStr">
        <is>
          <t>Tuesday</t>
        </is>
      </c>
      <c r="C3079" t="inlineStr">
        <is>
          <t>Week2-May-2026</t>
        </is>
      </c>
      <c r="D3079" s="78" t="n">
        <v>46143</v>
      </c>
      <c r="E3079" t="inlineStr">
        <is>
          <t>Q1FY27</t>
        </is>
      </c>
      <c r="F3079" t="inlineStr">
        <is>
          <t>31-Dec-2030</t>
        </is>
      </c>
      <c r="G3079" t="inlineStr">
        <is>
          <t>Tuesday</t>
        </is>
      </c>
      <c r="H3079" t="inlineStr">
        <is>
          <t>Monthly - Tuesday</t>
        </is>
      </c>
      <c r="I3079" t="inlineStr">
        <is>
          <t>Monthly - Tuesday</t>
        </is>
      </c>
      <c r="J3079" t="inlineStr">
        <is>
          <t>Month+55 Expiry</t>
        </is>
      </c>
      <c r="K3079" s="25" t="n">
        <v>0</v>
      </c>
      <c r="L3079" s="26" t="n">
        <v>0</v>
      </c>
      <c r="M3079" s="26" t="n">
        <v>0</v>
      </c>
    </row>
    <row r="3080" ht="16" customHeight="1">
      <c r="A3080" t="inlineStr">
        <is>
          <t>13-May-2026</t>
        </is>
      </c>
      <c r="B3080" t="inlineStr">
        <is>
          <t>Wednesday</t>
        </is>
      </c>
      <c r="C3080" t="inlineStr">
        <is>
          <t>Week2-May-2026</t>
        </is>
      </c>
      <c r="D3080" s="78" t="n">
        <v>46143</v>
      </c>
      <c r="E3080" t="inlineStr">
        <is>
          <t>Q1FY27</t>
        </is>
      </c>
      <c r="F3080" t="inlineStr">
        <is>
          <t>19-May-2026</t>
        </is>
      </c>
      <c r="G3080" t="inlineStr">
        <is>
          <t>Tuesday</t>
        </is>
      </c>
      <c r="H3080" t="inlineStr">
        <is>
          <t>Weekly - Tuesday</t>
        </is>
      </c>
      <c r="I3080" t="inlineStr">
        <is>
          <t>Weekly - Tuesday</t>
        </is>
      </c>
      <c r="J3080" t="inlineStr">
        <is>
          <t>Same Month Expiry</t>
        </is>
      </c>
      <c r="K3080" s="25" t="n">
        <v>47897930</v>
      </c>
      <c r="L3080" s="26" t="n">
        <v>73496.9883</v>
      </c>
      <c r="M3080" s="26" t="n">
        <v>400.6923</v>
      </c>
    </row>
    <row r="3081" ht="16" customHeight="1">
      <c r="A3081" t="inlineStr">
        <is>
          <t>13-May-2026</t>
        </is>
      </c>
      <c r="B3081" t="inlineStr">
        <is>
          <t>Wednesday</t>
        </is>
      </c>
      <c r="C3081" t="inlineStr">
        <is>
          <t>Week2-May-2026</t>
        </is>
      </c>
      <c r="D3081" s="78" t="n">
        <v>46143</v>
      </c>
      <c r="E3081" t="inlineStr">
        <is>
          <t>Q1FY27</t>
        </is>
      </c>
      <c r="F3081" t="inlineStr">
        <is>
          <t>26-May-2026</t>
        </is>
      </c>
      <c r="G3081" t="inlineStr">
        <is>
          <t>Tuesday</t>
        </is>
      </c>
      <c r="H3081" t="inlineStr">
        <is>
          <t>Monthly - Tuesday</t>
        </is>
      </c>
      <c r="I3081" t="inlineStr">
        <is>
          <t>Monthly - Tuesday</t>
        </is>
      </c>
      <c r="J3081" t="inlineStr">
        <is>
          <t>Same Month Expiry</t>
        </is>
      </c>
      <c r="K3081" s="25" t="n">
        <v>2390815</v>
      </c>
      <c r="L3081" s="26" t="n">
        <v>3703.9573</v>
      </c>
      <c r="M3081" s="26" t="n">
        <v>26.7159</v>
      </c>
    </row>
    <row r="3082" ht="16" customHeight="1">
      <c r="A3082" t="inlineStr">
        <is>
          <t>13-May-2026</t>
        </is>
      </c>
      <c r="B3082" t="inlineStr">
        <is>
          <t>Wednesday</t>
        </is>
      </c>
      <c r="C3082" t="inlineStr">
        <is>
          <t>Week2-May-2026</t>
        </is>
      </c>
      <c r="D3082" s="78" t="n">
        <v>46143</v>
      </c>
      <c r="E3082" t="inlineStr">
        <is>
          <t>Q1FY27</t>
        </is>
      </c>
      <c r="F3082" t="inlineStr">
        <is>
          <t>02-Jun-2026</t>
        </is>
      </c>
      <c r="G3082" t="inlineStr">
        <is>
          <t>Tuesday</t>
        </is>
      </c>
      <c r="H3082" t="inlineStr">
        <is>
          <t>Weekly - Tuesday</t>
        </is>
      </c>
      <c r="I3082" t="inlineStr">
        <is>
          <t>Weekly - Tuesday</t>
        </is>
      </c>
      <c r="J3082" t="inlineStr">
        <is>
          <t>Month+1 Expiry</t>
        </is>
      </c>
      <c r="K3082" s="25" t="n">
        <v>73652</v>
      </c>
      <c r="L3082" s="26" t="n">
        <v>114.4336</v>
      </c>
      <c r="M3082" s="26" t="n">
        <v>0.9339</v>
      </c>
    </row>
    <row r="3083" ht="16" customHeight="1">
      <c r="A3083" t="inlineStr">
        <is>
          <t>13-May-2026</t>
        </is>
      </c>
      <c r="B3083" t="inlineStr">
        <is>
          <t>Wednesday</t>
        </is>
      </c>
      <c r="C3083" t="inlineStr">
        <is>
          <t>Week2-May-2026</t>
        </is>
      </c>
      <c r="D3083" s="78" t="n">
        <v>46143</v>
      </c>
      <c r="E3083" t="inlineStr">
        <is>
          <t>Q1FY27</t>
        </is>
      </c>
      <c r="F3083" t="inlineStr">
        <is>
          <t>09-Jun-2026</t>
        </is>
      </c>
      <c r="G3083" t="inlineStr">
        <is>
          <t>Tuesday</t>
        </is>
      </c>
      <c r="H3083" t="inlineStr">
        <is>
          <t>Weekly - Tuesday</t>
        </is>
      </c>
      <c r="I3083" t="inlineStr">
        <is>
          <t>Weekly - Tuesday</t>
        </is>
      </c>
      <c r="J3083" t="inlineStr">
        <is>
          <t>Month+1 Expiry</t>
        </is>
      </c>
      <c r="K3083" s="25" t="n">
        <v>15441</v>
      </c>
      <c r="L3083" s="26" t="n">
        <v>24.3605</v>
      </c>
      <c r="M3083" s="26" t="n">
        <v>0.2221</v>
      </c>
    </row>
    <row r="3084" ht="16" customHeight="1">
      <c r="A3084" t="inlineStr">
        <is>
          <t>13-May-2026</t>
        </is>
      </c>
      <c r="B3084" t="inlineStr">
        <is>
          <t>Wednesday</t>
        </is>
      </c>
      <c r="C3084" t="inlineStr">
        <is>
          <t>Week2-May-2026</t>
        </is>
      </c>
      <c r="D3084" s="78" t="n">
        <v>46143</v>
      </c>
      <c r="E3084" t="inlineStr">
        <is>
          <t>Q1FY27</t>
        </is>
      </c>
      <c r="F3084" t="inlineStr">
        <is>
          <t>16-Jun-2026</t>
        </is>
      </c>
      <c r="G3084" t="inlineStr">
        <is>
          <t>Tuesday</t>
        </is>
      </c>
      <c r="H3084" t="inlineStr">
        <is>
          <t>Weekly - Tuesday</t>
        </is>
      </c>
      <c r="I3084" t="inlineStr">
        <is>
          <t>Weekly - Tuesday</t>
        </is>
      </c>
      <c r="J3084" t="inlineStr">
        <is>
          <t>Month+1 Expiry</t>
        </is>
      </c>
      <c r="K3084" s="25" t="n">
        <v>251</v>
      </c>
      <c r="L3084" s="26" t="n">
        <v>0.3992</v>
      </c>
      <c r="M3084" s="26" t="n">
        <v>0.003</v>
      </c>
    </row>
    <row r="3085" ht="16" customHeight="1">
      <c r="A3085" t="inlineStr">
        <is>
          <t>13-May-2026</t>
        </is>
      </c>
      <c r="B3085" t="inlineStr">
        <is>
          <t>Wednesday</t>
        </is>
      </c>
      <c r="C3085" t="inlineStr">
        <is>
          <t>Week2-May-2026</t>
        </is>
      </c>
      <c r="D3085" s="78" t="n">
        <v>46143</v>
      </c>
      <c r="E3085" t="inlineStr">
        <is>
          <t>Q1FY27</t>
        </is>
      </c>
      <c r="F3085" t="inlineStr">
        <is>
          <t>30-Jun-2026</t>
        </is>
      </c>
      <c r="G3085" t="inlineStr">
        <is>
          <t>Tuesday</t>
        </is>
      </c>
      <c r="H3085" t="inlineStr">
        <is>
          <t>Monthly - Tuesday</t>
        </is>
      </c>
      <c r="I3085" t="inlineStr">
        <is>
          <t>Monthly - Tuesday</t>
        </is>
      </c>
      <c r="J3085" t="inlineStr">
        <is>
          <t>Month+1 Expiry</t>
        </is>
      </c>
      <c r="K3085" s="25" t="n">
        <v>320321</v>
      </c>
      <c r="L3085" s="26" t="n">
        <v>499.9003</v>
      </c>
      <c r="M3085" s="26" t="n">
        <v>6.083</v>
      </c>
    </row>
    <row r="3086" ht="16" customHeight="1">
      <c r="A3086" t="inlineStr">
        <is>
          <t>13-May-2026</t>
        </is>
      </c>
      <c r="B3086" t="inlineStr">
        <is>
          <t>Wednesday</t>
        </is>
      </c>
      <c r="C3086" t="inlineStr">
        <is>
          <t>Week2-May-2026</t>
        </is>
      </c>
      <c r="D3086" s="78" t="n">
        <v>46143</v>
      </c>
      <c r="E3086" t="inlineStr">
        <is>
          <t>Q1FY27</t>
        </is>
      </c>
      <c r="F3086" t="inlineStr">
        <is>
          <t>28-Jul-2026</t>
        </is>
      </c>
      <c r="G3086" t="inlineStr">
        <is>
          <t>Tuesday</t>
        </is>
      </c>
      <c r="H3086" t="inlineStr">
        <is>
          <t>Monthly - Tuesday</t>
        </is>
      </c>
      <c r="I3086" t="inlineStr">
        <is>
          <t>Monthly - Tuesday</t>
        </is>
      </c>
      <c r="J3086" t="inlineStr">
        <is>
          <t>Month+2 Expiry</t>
        </is>
      </c>
      <c r="K3086" s="25" t="n">
        <v>36034</v>
      </c>
      <c r="L3086" s="26" t="n">
        <v>57.2937</v>
      </c>
      <c r="M3086" s="26" t="n">
        <v>0.9905</v>
      </c>
    </row>
    <row r="3087" ht="16" customHeight="1">
      <c r="A3087" t="inlineStr">
        <is>
          <t>13-May-2026</t>
        </is>
      </c>
      <c r="B3087" t="inlineStr">
        <is>
          <t>Wednesday</t>
        </is>
      </c>
      <c r="C3087" t="inlineStr">
        <is>
          <t>Week2-May-2026</t>
        </is>
      </c>
      <c r="D3087" s="78" t="n">
        <v>46143</v>
      </c>
      <c r="E3087" t="inlineStr">
        <is>
          <t>Q1FY27</t>
        </is>
      </c>
      <c r="F3087" t="inlineStr">
        <is>
          <t>29-Sep-2026</t>
        </is>
      </c>
      <c r="G3087" t="inlineStr">
        <is>
          <t>Tuesday</t>
        </is>
      </c>
      <c r="H3087" t="inlineStr">
        <is>
          <t>Monthly - Tuesday</t>
        </is>
      </c>
      <c r="I3087" t="inlineStr">
        <is>
          <t>Monthly - Tuesday</t>
        </is>
      </c>
      <c r="J3087" t="inlineStr">
        <is>
          <t>Month+4 Expiry</t>
        </is>
      </c>
      <c r="K3087" s="25" t="n">
        <v>23250</v>
      </c>
      <c r="L3087" s="26" t="n">
        <v>38.5171</v>
      </c>
      <c r="M3087" s="26" t="n">
        <v>0.5444</v>
      </c>
    </row>
    <row r="3088" ht="16" customHeight="1">
      <c r="A3088" t="inlineStr">
        <is>
          <t>13-May-2026</t>
        </is>
      </c>
      <c r="B3088" t="inlineStr">
        <is>
          <t>Wednesday</t>
        </is>
      </c>
      <c r="C3088" t="inlineStr">
        <is>
          <t>Week2-May-2026</t>
        </is>
      </c>
      <c r="D3088" s="78" t="n">
        <v>46143</v>
      </c>
      <c r="E3088" t="inlineStr">
        <is>
          <t>Q1FY27</t>
        </is>
      </c>
      <c r="F3088" t="inlineStr">
        <is>
          <t>29-Dec-2026</t>
        </is>
      </c>
      <c r="G3088" t="inlineStr">
        <is>
          <t>Tuesday</t>
        </is>
      </c>
      <c r="H3088" t="inlineStr">
        <is>
          <t>Monthly - Tuesday</t>
        </is>
      </c>
      <c r="I3088" t="inlineStr">
        <is>
          <t>Monthly - Tuesday</t>
        </is>
      </c>
      <c r="J3088" t="inlineStr">
        <is>
          <t>Month+7 Expiry</t>
        </is>
      </c>
      <c r="K3088" s="25" t="n">
        <v>62334</v>
      </c>
      <c r="L3088" s="26" t="n">
        <v>102.341</v>
      </c>
      <c r="M3088" s="26" t="n">
        <v>2.546</v>
      </c>
    </row>
    <row r="3089" ht="16" customHeight="1">
      <c r="A3089" t="inlineStr">
        <is>
          <t>13-May-2026</t>
        </is>
      </c>
      <c r="B3089" t="inlineStr">
        <is>
          <t>Wednesday</t>
        </is>
      </c>
      <c r="C3089" t="inlineStr">
        <is>
          <t>Week2-May-2026</t>
        </is>
      </c>
      <c r="D3089" s="78" t="n">
        <v>46143</v>
      </c>
      <c r="E3089" t="inlineStr">
        <is>
          <t>Q1FY27</t>
        </is>
      </c>
      <c r="F3089" t="inlineStr">
        <is>
          <t>30-Mar-2027</t>
        </is>
      </c>
      <c r="G3089" t="inlineStr">
        <is>
          <t>Tuesday</t>
        </is>
      </c>
      <c r="H3089" t="inlineStr">
        <is>
          <t>Monthly - Tuesday</t>
        </is>
      </c>
      <c r="I3089" t="inlineStr">
        <is>
          <t>Monthly - Tuesday</t>
        </is>
      </c>
      <c r="J3089" t="inlineStr">
        <is>
          <t>Month+10 Expiry</t>
        </is>
      </c>
      <c r="K3089" s="25" t="n">
        <v>0</v>
      </c>
      <c r="L3089" s="26" t="n">
        <v>0</v>
      </c>
      <c r="M3089" s="26" t="n">
        <v>0</v>
      </c>
    </row>
    <row r="3090" ht="16" customHeight="1">
      <c r="A3090" t="inlineStr">
        <is>
          <t>13-May-2026</t>
        </is>
      </c>
      <c r="B3090" t="inlineStr">
        <is>
          <t>Wednesday</t>
        </is>
      </c>
      <c r="C3090" t="inlineStr">
        <is>
          <t>Week2-May-2026</t>
        </is>
      </c>
      <c r="D3090" s="78" t="n">
        <v>46143</v>
      </c>
      <c r="E3090" t="inlineStr">
        <is>
          <t>Q1FY27</t>
        </is>
      </c>
      <c r="F3090" t="inlineStr">
        <is>
          <t>29-Jun-2027</t>
        </is>
      </c>
      <c r="G3090" t="inlineStr">
        <is>
          <t>Tuesday</t>
        </is>
      </c>
      <c r="H3090" t="inlineStr">
        <is>
          <t>Monthly - Tuesday</t>
        </is>
      </c>
      <c r="I3090" t="inlineStr">
        <is>
          <t>Monthly - Tuesday</t>
        </is>
      </c>
      <c r="J3090" t="inlineStr">
        <is>
          <t>Month+13 Expiry</t>
        </is>
      </c>
      <c r="K3090" s="25" t="n">
        <v>2</v>
      </c>
      <c r="L3090" s="26" t="n">
        <v>0.0028</v>
      </c>
      <c r="M3090" s="26" t="n">
        <v>0.0001</v>
      </c>
    </row>
    <row r="3091" ht="16" customHeight="1">
      <c r="A3091" t="inlineStr">
        <is>
          <t>13-May-2026</t>
        </is>
      </c>
      <c r="B3091" t="inlineStr">
        <is>
          <t>Wednesday</t>
        </is>
      </c>
      <c r="C3091" t="inlineStr">
        <is>
          <t>Week2-May-2026</t>
        </is>
      </c>
      <c r="D3091" s="78" t="n">
        <v>46143</v>
      </c>
      <c r="E3091" t="inlineStr">
        <is>
          <t>Q1FY27</t>
        </is>
      </c>
      <c r="F3091" t="inlineStr">
        <is>
          <t>28-Dec-2027</t>
        </is>
      </c>
      <c r="G3091" t="inlineStr">
        <is>
          <t>Tuesday</t>
        </is>
      </c>
      <c r="H3091" t="inlineStr">
        <is>
          <t>Monthly - Tuesday</t>
        </is>
      </c>
      <c r="I3091" t="inlineStr">
        <is>
          <t>Monthly - Tuesday</t>
        </is>
      </c>
      <c r="J3091" t="inlineStr">
        <is>
          <t>Month+19 Expiry</t>
        </is>
      </c>
      <c r="K3091" s="25" t="n">
        <v>413</v>
      </c>
      <c r="L3091" s="26" t="n">
        <v>0.7614</v>
      </c>
      <c r="M3091" s="26" t="n">
        <v>0.0316</v>
      </c>
    </row>
    <row r="3092" ht="16" customHeight="1">
      <c r="A3092" t="inlineStr">
        <is>
          <t>13-May-2026</t>
        </is>
      </c>
      <c r="B3092" t="inlineStr">
        <is>
          <t>Wednesday</t>
        </is>
      </c>
      <c r="C3092" t="inlineStr">
        <is>
          <t>Week2-May-2026</t>
        </is>
      </c>
      <c r="D3092" s="78" t="n">
        <v>46143</v>
      </c>
      <c r="E3092" t="inlineStr">
        <is>
          <t>Q1FY27</t>
        </is>
      </c>
      <c r="F3092" t="inlineStr">
        <is>
          <t>27-Jun-2028</t>
        </is>
      </c>
      <c r="G3092" t="inlineStr">
        <is>
          <t>Tuesday</t>
        </is>
      </c>
      <c r="H3092" t="inlineStr">
        <is>
          <t>Monthly - Tuesday</t>
        </is>
      </c>
      <c r="I3092" t="inlineStr">
        <is>
          <t>Monthly - Tuesday</t>
        </is>
      </c>
      <c r="J3092" t="inlineStr">
        <is>
          <t>Month+25 Expiry</t>
        </is>
      </c>
      <c r="K3092" s="25" t="n">
        <v>0</v>
      </c>
      <c r="L3092" s="26" t="n">
        <v>0</v>
      </c>
      <c r="M3092" s="26" t="n">
        <v>0</v>
      </c>
    </row>
    <row r="3093" ht="16" customHeight="1">
      <c r="A3093" t="inlineStr">
        <is>
          <t>13-May-2026</t>
        </is>
      </c>
      <c r="B3093" t="inlineStr">
        <is>
          <t>Wednesday</t>
        </is>
      </c>
      <c r="C3093" t="inlineStr">
        <is>
          <t>Week2-May-2026</t>
        </is>
      </c>
      <c r="D3093" s="78" t="n">
        <v>46143</v>
      </c>
      <c r="E3093" t="inlineStr">
        <is>
          <t>Q1FY27</t>
        </is>
      </c>
      <c r="F3093" t="inlineStr">
        <is>
          <t>26-Dec-2028</t>
        </is>
      </c>
      <c r="G3093" t="inlineStr">
        <is>
          <t>Tuesday</t>
        </is>
      </c>
      <c r="H3093" t="inlineStr">
        <is>
          <t>Monthly - Tuesday</t>
        </is>
      </c>
      <c r="I3093" t="inlineStr">
        <is>
          <t>Monthly - Tuesday</t>
        </is>
      </c>
      <c r="J3093" t="inlineStr">
        <is>
          <t>Month+31 Expiry</t>
        </is>
      </c>
      <c r="K3093" s="25" t="n">
        <v>3</v>
      </c>
      <c r="L3093" s="26" t="n">
        <v>0.0062</v>
      </c>
      <c r="M3093" s="26" t="n">
        <v>0.0003</v>
      </c>
    </row>
    <row r="3094" ht="16" customHeight="1">
      <c r="A3094" t="inlineStr">
        <is>
          <t>13-May-2026</t>
        </is>
      </c>
      <c r="B3094" t="inlineStr">
        <is>
          <t>Wednesday</t>
        </is>
      </c>
      <c r="C3094" t="inlineStr">
        <is>
          <t>Week2-May-2026</t>
        </is>
      </c>
      <c r="D3094" s="78" t="n">
        <v>46143</v>
      </c>
      <c r="E3094" t="inlineStr">
        <is>
          <t>Q1FY27</t>
        </is>
      </c>
      <c r="F3094" t="inlineStr">
        <is>
          <t>26-Jun-2029</t>
        </is>
      </c>
      <c r="G3094" t="inlineStr">
        <is>
          <t>Tuesday</t>
        </is>
      </c>
      <c r="H3094" t="inlineStr">
        <is>
          <t>Monthly - Tuesday</t>
        </is>
      </c>
      <c r="I3094" t="inlineStr">
        <is>
          <t>Monthly - Tuesday</t>
        </is>
      </c>
      <c r="J3094" t="inlineStr">
        <is>
          <t>Month+37 Expiry</t>
        </is>
      </c>
      <c r="K3094" s="25" t="n">
        <v>2</v>
      </c>
      <c r="L3094" s="26" t="n">
        <v>0.0035</v>
      </c>
      <c r="M3094" s="26" t="n">
        <v>0.0002</v>
      </c>
    </row>
    <row r="3095" ht="16" customHeight="1">
      <c r="A3095" t="inlineStr">
        <is>
          <t>13-May-2026</t>
        </is>
      </c>
      <c r="B3095" t="inlineStr">
        <is>
          <t>Wednesday</t>
        </is>
      </c>
      <c r="C3095" t="inlineStr">
        <is>
          <t>Week2-May-2026</t>
        </is>
      </c>
      <c r="D3095" s="78" t="n">
        <v>46143</v>
      </c>
      <c r="E3095" t="inlineStr">
        <is>
          <t>Q1FY27</t>
        </is>
      </c>
      <c r="F3095" t="inlineStr">
        <is>
          <t>24-Dec-2029</t>
        </is>
      </c>
      <c r="G3095" t="inlineStr">
        <is>
          <t>Monday</t>
        </is>
      </c>
      <c r="H3095" t="inlineStr">
        <is>
          <t>Weekly - Monday</t>
        </is>
      </c>
      <c r="I3095" t="inlineStr">
        <is>
          <t>Weekly - Monday</t>
        </is>
      </c>
      <c r="J3095" t="inlineStr">
        <is>
          <t>Month+43 Expiry</t>
        </is>
      </c>
      <c r="K3095" s="25" t="n">
        <v>0</v>
      </c>
      <c r="L3095" s="26" t="n">
        <v>0</v>
      </c>
      <c r="M3095" s="26" t="n">
        <v>0</v>
      </c>
    </row>
    <row r="3096" ht="16" customHeight="1">
      <c r="A3096" t="inlineStr">
        <is>
          <t>13-May-2026</t>
        </is>
      </c>
      <c r="B3096" t="inlineStr">
        <is>
          <t>Wednesday</t>
        </is>
      </c>
      <c r="C3096" t="inlineStr">
        <is>
          <t>Week2-May-2026</t>
        </is>
      </c>
      <c r="D3096" s="78" t="n">
        <v>46143</v>
      </c>
      <c r="E3096" t="inlineStr">
        <is>
          <t>Q1FY27</t>
        </is>
      </c>
      <c r="F3096" t="inlineStr">
        <is>
          <t>25-Jun-2030</t>
        </is>
      </c>
      <c r="G3096" t="inlineStr">
        <is>
          <t>Tuesday</t>
        </is>
      </c>
      <c r="H3096" t="inlineStr">
        <is>
          <t>Monthly - Tuesday</t>
        </is>
      </c>
      <c r="I3096" t="inlineStr">
        <is>
          <t>Monthly - Tuesday</t>
        </is>
      </c>
      <c r="J3096" t="inlineStr">
        <is>
          <t>Month+49 Expiry</t>
        </is>
      </c>
      <c r="K3096" s="25" t="n">
        <v>0</v>
      </c>
      <c r="L3096" s="26" t="n">
        <v>0</v>
      </c>
      <c r="M3096" s="26" t="n">
        <v>0</v>
      </c>
    </row>
    <row r="3097" ht="16" customHeight="1">
      <c r="A3097" t="inlineStr">
        <is>
          <t>13-May-2026</t>
        </is>
      </c>
      <c r="B3097" t="inlineStr">
        <is>
          <t>Wednesday</t>
        </is>
      </c>
      <c r="C3097" t="inlineStr">
        <is>
          <t>Week2-May-2026</t>
        </is>
      </c>
      <c r="D3097" s="78" t="n">
        <v>46143</v>
      </c>
      <c r="E3097" t="inlineStr">
        <is>
          <t>Q1FY27</t>
        </is>
      </c>
      <c r="F3097" t="inlineStr">
        <is>
          <t>31-Dec-2030</t>
        </is>
      </c>
      <c r="G3097" t="inlineStr">
        <is>
          <t>Tuesday</t>
        </is>
      </c>
      <c r="H3097" t="inlineStr">
        <is>
          <t>Monthly - Tuesday</t>
        </is>
      </c>
      <c r="I3097" t="inlineStr">
        <is>
          <t>Monthly - Tuesday</t>
        </is>
      </c>
      <c r="J3097" t="inlineStr">
        <is>
          <t>Month+55 Expiry</t>
        </is>
      </c>
      <c r="K3097" s="25" t="n">
        <v>0</v>
      </c>
      <c r="L3097" s="26" t="n">
        <v>0</v>
      </c>
      <c r="M3097" s="26" t="n">
        <v>0</v>
      </c>
    </row>
    <row r="3098" ht="16" customHeight="1">
      <c r="A3098" t="inlineStr">
        <is>
          <t>14-May-2026</t>
        </is>
      </c>
      <c r="B3098" t="inlineStr">
        <is>
          <t>Thursday</t>
        </is>
      </c>
      <c r="C3098" t="inlineStr">
        <is>
          <t>Week2-May-2026</t>
        </is>
      </c>
      <c r="D3098" s="78" t="n">
        <v>46143</v>
      </c>
      <c r="E3098" t="inlineStr">
        <is>
          <t>Q1FY27</t>
        </is>
      </c>
      <c r="F3098" t="inlineStr">
        <is>
          <t>19-May-2026</t>
        </is>
      </c>
      <c r="G3098" t="inlineStr">
        <is>
          <t>Tuesday</t>
        </is>
      </c>
      <c r="H3098" t="inlineStr">
        <is>
          <t>Weekly - Tuesday</t>
        </is>
      </c>
      <c r="I3098" t="inlineStr">
        <is>
          <t>Weekly - Tuesday</t>
        </is>
      </c>
      <c r="J3098" t="inlineStr">
        <is>
          <t>Same Month Expiry</t>
        </is>
      </c>
      <c r="K3098" s="25" t="n">
        <v>47174754</v>
      </c>
      <c r="L3098" s="26" t="n">
        <v>72680.3921</v>
      </c>
      <c r="M3098" s="26" t="n">
        <v>314.2709</v>
      </c>
    </row>
    <row r="3099" ht="16" customHeight="1">
      <c r="A3099" t="inlineStr">
        <is>
          <t>14-May-2026</t>
        </is>
      </c>
      <c r="B3099" t="inlineStr">
        <is>
          <t>Thursday</t>
        </is>
      </c>
      <c r="C3099" t="inlineStr">
        <is>
          <t>Week2-May-2026</t>
        </is>
      </c>
      <c r="D3099" s="78" t="n">
        <v>46143</v>
      </c>
      <c r="E3099" t="inlineStr">
        <is>
          <t>Q1FY27</t>
        </is>
      </c>
      <c r="F3099" t="inlineStr">
        <is>
          <t>26-May-2026</t>
        </is>
      </c>
      <c r="G3099" t="inlineStr">
        <is>
          <t>Tuesday</t>
        </is>
      </c>
      <c r="H3099" t="inlineStr">
        <is>
          <t>Monthly - Tuesday</t>
        </is>
      </c>
      <c r="I3099" t="inlineStr">
        <is>
          <t>Monthly - Tuesday</t>
        </is>
      </c>
      <c r="J3099" t="inlineStr">
        <is>
          <t>Same Month Expiry</t>
        </is>
      </c>
      <c r="K3099" s="25" t="n">
        <v>2820453</v>
      </c>
      <c r="L3099" s="26" t="n">
        <v>4390.0303</v>
      </c>
      <c r="M3099" s="26" t="n">
        <v>30.2648</v>
      </c>
    </row>
    <row r="3100" ht="16" customHeight="1">
      <c r="A3100" t="inlineStr">
        <is>
          <t>14-May-2026</t>
        </is>
      </c>
      <c r="B3100" t="inlineStr">
        <is>
          <t>Thursday</t>
        </is>
      </c>
      <c r="C3100" t="inlineStr">
        <is>
          <t>Week2-May-2026</t>
        </is>
      </c>
      <c r="D3100" s="78" t="n">
        <v>46143</v>
      </c>
      <c r="E3100" t="inlineStr">
        <is>
          <t>Q1FY27</t>
        </is>
      </c>
      <c r="F3100" t="inlineStr">
        <is>
          <t>02-Jun-2026</t>
        </is>
      </c>
      <c r="G3100" t="inlineStr">
        <is>
          <t>Tuesday</t>
        </is>
      </c>
      <c r="H3100" t="inlineStr">
        <is>
          <t>Weekly - Tuesday</t>
        </is>
      </c>
      <c r="I3100" t="inlineStr">
        <is>
          <t>Weekly - Tuesday</t>
        </is>
      </c>
      <c r="J3100" t="inlineStr">
        <is>
          <t>Month+1 Expiry</t>
        </is>
      </c>
      <c r="K3100" s="25" t="n">
        <v>106272</v>
      </c>
      <c r="L3100" s="26" t="n">
        <v>165.9238</v>
      </c>
      <c r="M3100" s="26" t="n">
        <v>1.272</v>
      </c>
    </row>
    <row r="3101" ht="16" customHeight="1">
      <c r="A3101" t="inlineStr">
        <is>
          <t>14-May-2026</t>
        </is>
      </c>
      <c r="B3101" t="inlineStr">
        <is>
          <t>Thursday</t>
        </is>
      </c>
      <c r="C3101" t="inlineStr">
        <is>
          <t>Week2-May-2026</t>
        </is>
      </c>
      <c r="D3101" s="78" t="n">
        <v>46143</v>
      </c>
      <c r="E3101" t="inlineStr">
        <is>
          <t>Q1FY27</t>
        </is>
      </c>
      <c r="F3101" t="inlineStr">
        <is>
          <t>09-Jun-2026</t>
        </is>
      </c>
      <c r="G3101" t="inlineStr">
        <is>
          <t>Tuesday</t>
        </is>
      </c>
      <c r="H3101" t="inlineStr">
        <is>
          <t>Weekly - Tuesday</t>
        </is>
      </c>
      <c r="I3101" t="inlineStr">
        <is>
          <t>Weekly - Tuesday</t>
        </is>
      </c>
      <c r="J3101" t="inlineStr">
        <is>
          <t>Month+1 Expiry</t>
        </is>
      </c>
      <c r="K3101" s="25" t="n">
        <v>20672</v>
      </c>
      <c r="L3101" s="26" t="n">
        <v>32.5748</v>
      </c>
      <c r="M3101" s="26" t="n">
        <v>0.2801</v>
      </c>
    </row>
    <row r="3102" ht="16" customHeight="1">
      <c r="A3102" t="inlineStr">
        <is>
          <t>14-May-2026</t>
        </is>
      </c>
      <c r="B3102" t="inlineStr">
        <is>
          <t>Thursday</t>
        </is>
      </c>
      <c r="C3102" t="inlineStr">
        <is>
          <t>Week2-May-2026</t>
        </is>
      </c>
      <c r="D3102" s="78" t="n">
        <v>46143</v>
      </c>
      <c r="E3102" t="inlineStr">
        <is>
          <t>Q1FY27</t>
        </is>
      </c>
      <c r="F3102" t="inlineStr">
        <is>
          <t>16-Jun-2026</t>
        </is>
      </c>
      <c r="G3102" t="inlineStr">
        <is>
          <t>Tuesday</t>
        </is>
      </c>
      <c r="H3102" t="inlineStr">
        <is>
          <t>Weekly - Tuesday</t>
        </is>
      </c>
      <c r="I3102" t="inlineStr">
        <is>
          <t>Weekly - Tuesday</t>
        </is>
      </c>
      <c r="J3102" t="inlineStr">
        <is>
          <t>Month+1 Expiry</t>
        </is>
      </c>
      <c r="K3102" s="25" t="n">
        <v>1946</v>
      </c>
      <c r="L3102" s="26" t="n">
        <v>3.0642</v>
      </c>
      <c r="M3102" s="26" t="n">
        <v>0.0327</v>
      </c>
    </row>
    <row r="3103" ht="16" customHeight="1">
      <c r="A3103" t="inlineStr">
        <is>
          <t>14-May-2026</t>
        </is>
      </c>
      <c r="B3103" t="inlineStr">
        <is>
          <t>Thursday</t>
        </is>
      </c>
      <c r="C3103" t="inlineStr">
        <is>
          <t>Week2-May-2026</t>
        </is>
      </c>
      <c r="D3103" s="78" t="n">
        <v>46143</v>
      </c>
      <c r="E3103" t="inlineStr">
        <is>
          <t>Q1FY27</t>
        </is>
      </c>
      <c r="F3103" t="inlineStr">
        <is>
          <t>30-Jun-2026</t>
        </is>
      </c>
      <c r="G3103" t="inlineStr">
        <is>
          <t>Tuesday</t>
        </is>
      </c>
      <c r="H3103" t="inlineStr">
        <is>
          <t>Monthly - Tuesday</t>
        </is>
      </c>
      <c r="I3103" t="inlineStr">
        <is>
          <t>Monthly - Tuesday</t>
        </is>
      </c>
      <c r="J3103" t="inlineStr">
        <is>
          <t>Month+1 Expiry</t>
        </is>
      </c>
      <c r="K3103" s="25" t="n">
        <v>351204</v>
      </c>
      <c r="L3103" s="26" t="n">
        <v>547.2688000000001</v>
      </c>
      <c r="M3103" s="26" t="n">
        <v>6.8529</v>
      </c>
    </row>
    <row r="3104" ht="16" customHeight="1">
      <c r="A3104" t="inlineStr">
        <is>
          <t>14-May-2026</t>
        </is>
      </c>
      <c r="B3104" t="inlineStr">
        <is>
          <t>Thursday</t>
        </is>
      </c>
      <c r="C3104" t="inlineStr">
        <is>
          <t>Week2-May-2026</t>
        </is>
      </c>
      <c r="D3104" s="78" t="n">
        <v>46143</v>
      </c>
      <c r="E3104" t="inlineStr">
        <is>
          <t>Q1FY27</t>
        </is>
      </c>
      <c r="F3104" t="inlineStr">
        <is>
          <t>28-Jul-2026</t>
        </is>
      </c>
      <c r="G3104" t="inlineStr">
        <is>
          <t>Tuesday</t>
        </is>
      </c>
      <c r="H3104" t="inlineStr">
        <is>
          <t>Monthly - Tuesday</t>
        </is>
      </c>
      <c r="I3104" t="inlineStr">
        <is>
          <t>Monthly - Tuesday</t>
        </is>
      </c>
      <c r="J3104" t="inlineStr">
        <is>
          <t>Month+2 Expiry</t>
        </is>
      </c>
      <c r="K3104" s="25" t="n">
        <v>33139</v>
      </c>
      <c r="L3104" s="26" t="n">
        <v>52.5922</v>
      </c>
      <c r="M3104" s="26" t="n">
        <v>0.9268999999999999</v>
      </c>
    </row>
    <row r="3105" ht="16" customHeight="1">
      <c r="A3105" t="inlineStr">
        <is>
          <t>14-May-2026</t>
        </is>
      </c>
      <c r="B3105" t="inlineStr">
        <is>
          <t>Thursday</t>
        </is>
      </c>
      <c r="C3105" t="inlineStr">
        <is>
          <t>Week2-May-2026</t>
        </is>
      </c>
      <c r="D3105" s="78" t="n">
        <v>46143</v>
      </c>
      <c r="E3105" t="inlineStr">
        <is>
          <t>Q1FY27</t>
        </is>
      </c>
      <c r="F3105" t="inlineStr">
        <is>
          <t>29-Sep-2026</t>
        </is>
      </c>
      <c r="G3105" t="inlineStr">
        <is>
          <t>Tuesday</t>
        </is>
      </c>
      <c r="H3105" t="inlineStr">
        <is>
          <t>Monthly - Tuesday</t>
        </is>
      </c>
      <c r="I3105" t="inlineStr">
        <is>
          <t>Monthly - Tuesday</t>
        </is>
      </c>
      <c r="J3105" t="inlineStr">
        <is>
          <t>Month+4 Expiry</t>
        </is>
      </c>
      <c r="K3105" s="25" t="n">
        <v>21713</v>
      </c>
      <c r="L3105" s="26" t="n">
        <v>35.0333</v>
      </c>
      <c r="M3105" s="26" t="n">
        <v>0.5541</v>
      </c>
    </row>
    <row r="3106" ht="16" customHeight="1">
      <c r="A3106" t="inlineStr">
        <is>
          <t>14-May-2026</t>
        </is>
      </c>
      <c r="B3106" t="inlineStr">
        <is>
          <t>Thursday</t>
        </is>
      </c>
      <c r="C3106" t="inlineStr">
        <is>
          <t>Week2-May-2026</t>
        </is>
      </c>
      <c r="D3106" s="78" t="n">
        <v>46143</v>
      </c>
      <c r="E3106" t="inlineStr">
        <is>
          <t>Q1FY27</t>
        </is>
      </c>
      <c r="F3106" t="inlineStr">
        <is>
          <t>29-Dec-2026</t>
        </is>
      </c>
      <c r="G3106" t="inlineStr">
        <is>
          <t>Tuesday</t>
        </is>
      </c>
      <c r="H3106" t="inlineStr">
        <is>
          <t>Monthly - Tuesday</t>
        </is>
      </c>
      <c r="I3106" t="inlineStr">
        <is>
          <t>Monthly - Tuesday</t>
        </is>
      </c>
      <c r="J3106" t="inlineStr">
        <is>
          <t>Month+7 Expiry</t>
        </is>
      </c>
      <c r="K3106" s="25" t="n">
        <v>33021</v>
      </c>
      <c r="L3106" s="26" t="n">
        <v>53.4827</v>
      </c>
      <c r="M3106" s="26" t="n">
        <v>1.3156</v>
      </c>
    </row>
    <row r="3107" ht="16" customHeight="1">
      <c r="A3107" t="inlineStr">
        <is>
          <t>14-May-2026</t>
        </is>
      </c>
      <c r="B3107" t="inlineStr">
        <is>
          <t>Thursday</t>
        </is>
      </c>
      <c r="C3107" t="inlineStr">
        <is>
          <t>Week2-May-2026</t>
        </is>
      </c>
      <c r="D3107" s="78" t="n">
        <v>46143</v>
      </c>
      <c r="E3107" t="inlineStr">
        <is>
          <t>Q1FY27</t>
        </is>
      </c>
      <c r="F3107" t="inlineStr">
        <is>
          <t>30-Mar-2027</t>
        </is>
      </c>
      <c r="G3107" t="inlineStr">
        <is>
          <t>Tuesday</t>
        </is>
      </c>
      <c r="H3107" t="inlineStr">
        <is>
          <t>Monthly - Tuesday</t>
        </is>
      </c>
      <c r="I3107" t="inlineStr">
        <is>
          <t>Monthly - Tuesday</t>
        </is>
      </c>
      <c r="J3107" t="inlineStr">
        <is>
          <t>Month+10 Expiry</t>
        </is>
      </c>
      <c r="K3107" s="25" t="n">
        <v>0</v>
      </c>
      <c r="L3107" s="26" t="n">
        <v>0</v>
      </c>
      <c r="M3107" s="26" t="n">
        <v>0</v>
      </c>
    </row>
    <row r="3108" ht="16" customHeight="1">
      <c r="A3108" t="inlineStr">
        <is>
          <t>14-May-2026</t>
        </is>
      </c>
      <c r="B3108" t="inlineStr">
        <is>
          <t>Thursday</t>
        </is>
      </c>
      <c r="C3108" t="inlineStr">
        <is>
          <t>Week2-May-2026</t>
        </is>
      </c>
      <c r="D3108" s="78" t="n">
        <v>46143</v>
      </c>
      <c r="E3108" t="inlineStr">
        <is>
          <t>Q1FY27</t>
        </is>
      </c>
      <c r="F3108" t="inlineStr">
        <is>
          <t>29-Jun-2027</t>
        </is>
      </c>
      <c r="G3108" t="inlineStr">
        <is>
          <t>Tuesday</t>
        </is>
      </c>
      <c r="H3108" t="inlineStr">
        <is>
          <t>Monthly - Tuesday</t>
        </is>
      </c>
      <c r="I3108" t="inlineStr">
        <is>
          <t>Monthly - Tuesday</t>
        </is>
      </c>
      <c r="J3108" t="inlineStr">
        <is>
          <t>Month+13 Expiry</t>
        </is>
      </c>
      <c r="K3108" s="25" t="n">
        <v>8</v>
      </c>
      <c r="L3108" s="26" t="n">
        <v>0.0134</v>
      </c>
      <c r="M3108" s="26" t="n">
        <v>0.0011</v>
      </c>
    </row>
    <row r="3109" ht="16" customHeight="1">
      <c r="A3109" t="inlineStr">
        <is>
          <t>14-May-2026</t>
        </is>
      </c>
      <c r="B3109" t="inlineStr">
        <is>
          <t>Thursday</t>
        </is>
      </c>
      <c r="C3109" t="inlineStr">
        <is>
          <t>Week2-May-2026</t>
        </is>
      </c>
      <c r="D3109" s="78" t="n">
        <v>46143</v>
      </c>
      <c r="E3109" t="inlineStr">
        <is>
          <t>Q1FY27</t>
        </is>
      </c>
      <c r="F3109" t="inlineStr">
        <is>
          <t>28-Dec-2027</t>
        </is>
      </c>
      <c r="G3109" t="inlineStr">
        <is>
          <t>Tuesday</t>
        </is>
      </c>
      <c r="H3109" t="inlineStr">
        <is>
          <t>Monthly - Tuesday</t>
        </is>
      </c>
      <c r="I3109" t="inlineStr">
        <is>
          <t>Monthly - Tuesday</t>
        </is>
      </c>
      <c r="J3109" t="inlineStr">
        <is>
          <t>Month+19 Expiry</t>
        </is>
      </c>
      <c r="K3109" s="25" t="n">
        <v>251</v>
      </c>
      <c r="L3109" s="26" t="n">
        <v>0.4422</v>
      </c>
      <c r="M3109" s="26" t="n">
        <v>0.0228</v>
      </c>
    </row>
    <row r="3110" ht="16" customHeight="1">
      <c r="A3110" t="inlineStr">
        <is>
          <t>14-May-2026</t>
        </is>
      </c>
      <c r="B3110" t="inlineStr">
        <is>
          <t>Thursday</t>
        </is>
      </c>
      <c r="C3110" t="inlineStr">
        <is>
          <t>Week2-May-2026</t>
        </is>
      </c>
      <c r="D3110" s="78" t="n">
        <v>46143</v>
      </c>
      <c r="E3110" t="inlineStr">
        <is>
          <t>Q1FY27</t>
        </is>
      </c>
      <c r="F3110" t="inlineStr">
        <is>
          <t>27-Jun-2028</t>
        </is>
      </c>
      <c r="G3110" t="inlineStr">
        <is>
          <t>Tuesday</t>
        </is>
      </c>
      <c r="H3110" t="inlineStr">
        <is>
          <t>Monthly - Tuesday</t>
        </is>
      </c>
      <c r="I3110" t="inlineStr">
        <is>
          <t>Monthly - Tuesday</t>
        </is>
      </c>
      <c r="J3110" t="inlineStr">
        <is>
          <t>Month+25 Expiry</t>
        </is>
      </c>
      <c r="K3110" s="25" t="n">
        <v>0</v>
      </c>
      <c r="L3110" s="26" t="n">
        <v>0</v>
      </c>
      <c r="M3110" s="26" t="n">
        <v>0</v>
      </c>
    </row>
    <row r="3111" ht="16" customHeight="1">
      <c r="A3111" t="inlineStr">
        <is>
          <t>14-May-2026</t>
        </is>
      </c>
      <c r="B3111" t="inlineStr">
        <is>
          <t>Thursday</t>
        </is>
      </c>
      <c r="C3111" t="inlineStr">
        <is>
          <t>Week2-May-2026</t>
        </is>
      </c>
      <c r="D3111" s="78" t="n">
        <v>46143</v>
      </c>
      <c r="E3111" t="inlineStr">
        <is>
          <t>Q1FY27</t>
        </is>
      </c>
      <c r="F3111" t="inlineStr">
        <is>
          <t>26-Dec-2028</t>
        </is>
      </c>
      <c r="G3111" t="inlineStr">
        <is>
          <t>Tuesday</t>
        </is>
      </c>
      <c r="H3111" t="inlineStr">
        <is>
          <t>Monthly - Tuesday</t>
        </is>
      </c>
      <c r="I3111" t="inlineStr">
        <is>
          <t>Monthly - Tuesday</t>
        </is>
      </c>
      <c r="J3111" t="inlineStr">
        <is>
          <t>Month+31 Expiry</t>
        </is>
      </c>
      <c r="K3111" s="25" t="n">
        <v>15</v>
      </c>
      <c r="L3111" s="26" t="n">
        <v>0.03</v>
      </c>
      <c r="M3111" s="26" t="n">
        <v>0.0015</v>
      </c>
    </row>
    <row r="3112" ht="16" customHeight="1">
      <c r="A3112" t="inlineStr">
        <is>
          <t>14-May-2026</t>
        </is>
      </c>
      <c r="B3112" t="inlineStr">
        <is>
          <t>Thursday</t>
        </is>
      </c>
      <c r="C3112" t="inlineStr">
        <is>
          <t>Week2-May-2026</t>
        </is>
      </c>
      <c r="D3112" s="78" t="n">
        <v>46143</v>
      </c>
      <c r="E3112" t="inlineStr">
        <is>
          <t>Q1FY27</t>
        </is>
      </c>
      <c r="F3112" t="inlineStr">
        <is>
          <t>26-Jun-2029</t>
        </is>
      </c>
      <c r="G3112" t="inlineStr">
        <is>
          <t>Tuesday</t>
        </is>
      </c>
      <c r="H3112" t="inlineStr">
        <is>
          <t>Monthly - Tuesday</t>
        </is>
      </c>
      <c r="I3112" t="inlineStr">
        <is>
          <t>Monthly - Tuesday</t>
        </is>
      </c>
      <c r="J3112" t="inlineStr">
        <is>
          <t>Month+37 Expiry</t>
        </is>
      </c>
      <c r="K3112" s="25" t="n">
        <v>4</v>
      </c>
      <c r="L3112" s="26" t="n">
        <v>0.0068</v>
      </c>
      <c r="M3112" s="26" t="n">
        <v>0.0003</v>
      </c>
    </row>
    <row r="3113" ht="16" customHeight="1">
      <c r="A3113" t="inlineStr">
        <is>
          <t>14-May-2026</t>
        </is>
      </c>
      <c r="B3113" t="inlineStr">
        <is>
          <t>Thursday</t>
        </is>
      </c>
      <c r="C3113" t="inlineStr">
        <is>
          <t>Week2-May-2026</t>
        </is>
      </c>
      <c r="D3113" s="78" t="n">
        <v>46143</v>
      </c>
      <c r="E3113" t="inlineStr">
        <is>
          <t>Q1FY27</t>
        </is>
      </c>
      <c r="F3113" t="inlineStr">
        <is>
          <t>24-Dec-2029</t>
        </is>
      </c>
      <c r="G3113" t="inlineStr">
        <is>
          <t>Monday</t>
        </is>
      </c>
      <c r="H3113" t="inlineStr">
        <is>
          <t>Weekly - Monday</t>
        </is>
      </c>
      <c r="I3113" t="inlineStr">
        <is>
          <t>Weekly - Monday</t>
        </is>
      </c>
      <c r="J3113" t="inlineStr">
        <is>
          <t>Month+43 Expiry</t>
        </is>
      </c>
      <c r="K3113" s="25" t="n">
        <v>2</v>
      </c>
      <c r="L3113" s="26" t="n">
        <v>0.0043</v>
      </c>
      <c r="M3113" s="26" t="n">
        <v>0.0004</v>
      </c>
    </row>
    <row r="3114" ht="16" customHeight="1">
      <c r="A3114" t="inlineStr">
        <is>
          <t>14-May-2026</t>
        </is>
      </c>
      <c r="B3114" t="inlineStr">
        <is>
          <t>Thursday</t>
        </is>
      </c>
      <c r="C3114" t="inlineStr">
        <is>
          <t>Week2-May-2026</t>
        </is>
      </c>
      <c r="D3114" s="78" t="n">
        <v>46143</v>
      </c>
      <c r="E3114" t="inlineStr">
        <is>
          <t>Q1FY27</t>
        </is>
      </c>
      <c r="F3114" t="inlineStr">
        <is>
          <t>25-Jun-2030</t>
        </is>
      </c>
      <c r="G3114" t="inlineStr">
        <is>
          <t>Tuesday</t>
        </is>
      </c>
      <c r="H3114" t="inlineStr">
        <is>
          <t>Monthly - Tuesday</t>
        </is>
      </c>
      <c r="I3114" t="inlineStr">
        <is>
          <t>Monthly - Tuesday</t>
        </is>
      </c>
      <c r="J3114" t="inlineStr">
        <is>
          <t>Month+49 Expiry</t>
        </is>
      </c>
      <c r="K3114" s="25" t="n">
        <v>0</v>
      </c>
      <c r="L3114" s="26" t="n">
        <v>0</v>
      </c>
      <c r="M3114" s="26" t="n">
        <v>0</v>
      </c>
    </row>
    <row r="3115" ht="16" customHeight="1">
      <c r="A3115" t="inlineStr">
        <is>
          <t>14-May-2026</t>
        </is>
      </c>
      <c r="B3115" t="inlineStr">
        <is>
          <t>Thursday</t>
        </is>
      </c>
      <c r="C3115" t="inlineStr">
        <is>
          <t>Week2-May-2026</t>
        </is>
      </c>
      <c r="D3115" s="78" t="n">
        <v>46143</v>
      </c>
      <c r="E3115" t="inlineStr">
        <is>
          <t>Q1FY27</t>
        </is>
      </c>
      <c r="F3115" t="inlineStr">
        <is>
          <t>31-Dec-2030</t>
        </is>
      </c>
      <c r="G3115" t="inlineStr">
        <is>
          <t>Tuesday</t>
        </is>
      </c>
      <c r="H3115" t="inlineStr">
        <is>
          <t>Monthly - Tuesday</t>
        </is>
      </c>
      <c r="I3115" t="inlineStr">
        <is>
          <t>Monthly - Tuesday</t>
        </is>
      </c>
      <c r="J3115" t="inlineStr">
        <is>
          <t>Month+55 Expiry</t>
        </is>
      </c>
      <c r="K3115" s="25" t="n">
        <v>0</v>
      </c>
      <c r="L3115" s="26" t="n">
        <v>0</v>
      </c>
      <c r="M3115" s="26" t="n">
        <v>0</v>
      </c>
    </row>
    <row r="3116" ht="16" customHeight="1">
      <c r="A3116" t="inlineStr">
        <is>
          <t>15-May-2026</t>
        </is>
      </c>
      <c r="B3116" t="inlineStr">
        <is>
          <t>Friday</t>
        </is>
      </c>
      <c r="C3116" t="inlineStr">
        <is>
          <t>Week3-May-2026</t>
        </is>
      </c>
      <c r="D3116" s="78" t="n">
        <v>46143</v>
      </c>
      <c r="E3116" t="inlineStr">
        <is>
          <t>Q1FY27</t>
        </is>
      </c>
      <c r="F3116" t="inlineStr">
        <is>
          <t>19-May-2026</t>
        </is>
      </c>
      <c r="G3116" t="inlineStr">
        <is>
          <t>Tuesday</t>
        </is>
      </c>
      <c r="H3116" t="inlineStr">
        <is>
          <t>Weekly - Tuesday</t>
        </is>
      </c>
      <c r="I3116" t="inlineStr">
        <is>
          <t>Weekly - Tuesday</t>
        </is>
      </c>
      <c r="J3116" t="inlineStr">
        <is>
          <t>Same Month Expiry</t>
        </is>
      </c>
      <c r="K3116" s="25" t="n">
        <v>93307723</v>
      </c>
      <c r="L3116" s="26" t="n">
        <v>144253.3856</v>
      </c>
      <c r="M3116" s="26" t="n">
        <v>569.7636</v>
      </c>
    </row>
    <row r="3117" ht="16" customHeight="1">
      <c r="A3117" t="inlineStr">
        <is>
          <t>15-May-2026</t>
        </is>
      </c>
      <c r="B3117" t="inlineStr">
        <is>
          <t>Friday</t>
        </is>
      </c>
      <c r="C3117" t="inlineStr">
        <is>
          <t>Week3-May-2026</t>
        </is>
      </c>
      <c r="D3117" s="78" t="n">
        <v>46143</v>
      </c>
      <c r="E3117" t="inlineStr">
        <is>
          <t>Q1FY27</t>
        </is>
      </c>
      <c r="F3117" t="inlineStr">
        <is>
          <t>26-May-2026</t>
        </is>
      </c>
      <c r="G3117" t="inlineStr">
        <is>
          <t>Tuesday</t>
        </is>
      </c>
      <c r="H3117" t="inlineStr">
        <is>
          <t>Monthly - Tuesday</t>
        </is>
      </c>
      <c r="I3117" t="inlineStr">
        <is>
          <t>Monthly - Tuesday</t>
        </is>
      </c>
      <c r="J3117" t="inlineStr">
        <is>
          <t>Same Month Expiry</t>
        </is>
      </c>
      <c r="K3117" s="25" t="n">
        <v>3238043</v>
      </c>
      <c r="L3117" s="26" t="n">
        <v>5022.5091</v>
      </c>
      <c r="M3117" s="26" t="n">
        <v>29.6235</v>
      </c>
    </row>
    <row r="3118" ht="16" customHeight="1">
      <c r="A3118" t="inlineStr">
        <is>
          <t>15-May-2026</t>
        </is>
      </c>
      <c r="B3118" t="inlineStr">
        <is>
          <t>Friday</t>
        </is>
      </c>
      <c r="C3118" t="inlineStr">
        <is>
          <t>Week3-May-2026</t>
        </is>
      </c>
      <c r="D3118" s="78" t="n">
        <v>46143</v>
      </c>
      <c r="E3118" t="inlineStr">
        <is>
          <t>Q1FY27</t>
        </is>
      </c>
      <c r="F3118" t="inlineStr">
        <is>
          <t>02-Jun-2026</t>
        </is>
      </c>
      <c r="G3118" t="inlineStr">
        <is>
          <t>Tuesday</t>
        </is>
      </c>
      <c r="H3118" t="inlineStr">
        <is>
          <t>Weekly - Tuesday</t>
        </is>
      </c>
      <c r="I3118" t="inlineStr">
        <is>
          <t>Weekly - Tuesday</t>
        </is>
      </c>
      <c r="J3118" t="inlineStr">
        <is>
          <t>Month+1 Expiry</t>
        </is>
      </c>
      <c r="K3118" s="25" t="n">
        <v>133934</v>
      </c>
      <c r="L3118" s="26" t="n">
        <v>208.3491</v>
      </c>
      <c r="M3118" s="26" t="n">
        <v>1.351</v>
      </c>
    </row>
    <row r="3119" ht="16" customHeight="1">
      <c r="A3119" t="inlineStr">
        <is>
          <t>15-May-2026</t>
        </is>
      </c>
      <c r="B3119" t="inlineStr">
        <is>
          <t>Friday</t>
        </is>
      </c>
      <c r="C3119" t="inlineStr">
        <is>
          <t>Week3-May-2026</t>
        </is>
      </c>
      <c r="D3119" s="78" t="n">
        <v>46143</v>
      </c>
      <c r="E3119" t="inlineStr">
        <is>
          <t>Q1FY27</t>
        </is>
      </c>
      <c r="F3119" t="inlineStr">
        <is>
          <t>09-Jun-2026</t>
        </is>
      </c>
      <c r="G3119" t="inlineStr">
        <is>
          <t>Tuesday</t>
        </is>
      </c>
      <c r="H3119" t="inlineStr">
        <is>
          <t>Weekly - Tuesday</t>
        </is>
      </c>
      <c r="I3119" t="inlineStr">
        <is>
          <t>Weekly - Tuesday</t>
        </is>
      </c>
      <c r="J3119" t="inlineStr">
        <is>
          <t>Month+1 Expiry</t>
        </is>
      </c>
      <c r="K3119" s="25" t="n">
        <v>22801</v>
      </c>
      <c r="L3119" s="26" t="n">
        <v>35.791</v>
      </c>
      <c r="M3119" s="26" t="n">
        <v>0.3619</v>
      </c>
    </row>
    <row r="3120" ht="16" customHeight="1">
      <c r="A3120" t="inlineStr">
        <is>
          <t>15-May-2026</t>
        </is>
      </c>
      <c r="B3120" t="inlineStr">
        <is>
          <t>Friday</t>
        </is>
      </c>
      <c r="C3120" t="inlineStr">
        <is>
          <t>Week3-May-2026</t>
        </is>
      </c>
      <c r="D3120" s="78" t="n">
        <v>46143</v>
      </c>
      <c r="E3120" t="inlineStr">
        <is>
          <t>Q1FY27</t>
        </is>
      </c>
      <c r="F3120" t="inlineStr">
        <is>
          <t>16-Jun-2026</t>
        </is>
      </c>
      <c r="G3120" t="inlineStr">
        <is>
          <t>Tuesday</t>
        </is>
      </c>
      <c r="H3120" t="inlineStr">
        <is>
          <t>Weekly - Tuesday</t>
        </is>
      </c>
      <c r="I3120" t="inlineStr">
        <is>
          <t>Weekly - Tuesday</t>
        </is>
      </c>
      <c r="J3120" t="inlineStr">
        <is>
          <t>Month+1 Expiry</t>
        </is>
      </c>
      <c r="K3120" s="25" t="n">
        <v>3963</v>
      </c>
      <c r="L3120" s="26" t="n">
        <v>6.1696</v>
      </c>
      <c r="M3120" s="26" t="n">
        <v>0.0602</v>
      </c>
    </row>
    <row r="3121" ht="16" customHeight="1">
      <c r="A3121" t="inlineStr">
        <is>
          <t>15-May-2026</t>
        </is>
      </c>
      <c r="B3121" t="inlineStr">
        <is>
          <t>Friday</t>
        </is>
      </c>
      <c r="C3121" t="inlineStr">
        <is>
          <t>Week3-May-2026</t>
        </is>
      </c>
      <c r="D3121" s="78" t="n">
        <v>46143</v>
      </c>
      <c r="E3121" t="inlineStr">
        <is>
          <t>Q1FY27</t>
        </is>
      </c>
      <c r="F3121" t="inlineStr">
        <is>
          <t>30-Jun-2026</t>
        </is>
      </c>
      <c r="G3121" t="inlineStr">
        <is>
          <t>Tuesday</t>
        </is>
      </c>
      <c r="H3121" t="inlineStr">
        <is>
          <t>Monthly - Tuesday</t>
        </is>
      </c>
      <c r="I3121" t="inlineStr">
        <is>
          <t>Monthly - Tuesday</t>
        </is>
      </c>
      <c r="J3121" t="inlineStr">
        <is>
          <t>Month+1 Expiry</t>
        </is>
      </c>
      <c r="K3121" s="25" t="n">
        <v>323782</v>
      </c>
      <c r="L3121" s="26" t="n">
        <v>506.2924</v>
      </c>
      <c r="M3121" s="26" t="n">
        <v>5.6487</v>
      </c>
    </row>
    <row r="3122" ht="16" customHeight="1">
      <c r="A3122" t="inlineStr">
        <is>
          <t>15-May-2026</t>
        </is>
      </c>
      <c r="B3122" t="inlineStr">
        <is>
          <t>Friday</t>
        </is>
      </c>
      <c r="C3122" t="inlineStr">
        <is>
          <t>Week3-May-2026</t>
        </is>
      </c>
      <c r="D3122" s="78" t="n">
        <v>46143</v>
      </c>
      <c r="E3122" t="inlineStr">
        <is>
          <t>Q1FY27</t>
        </is>
      </c>
      <c r="F3122" t="inlineStr">
        <is>
          <t>28-Jul-2026</t>
        </is>
      </c>
      <c r="G3122" t="inlineStr">
        <is>
          <t>Tuesday</t>
        </is>
      </c>
      <c r="H3122" t="inlineStr">
        <is>
          <t>Monthly - Tuesday</t>
        </is>
      </c>
      <c r="I3122" t="inlineStr">
        <is>
          <t>Monthly - Tuesday</t>
        </is>
      </c>
      <c r="J3122" t="inlineStr">
        <is>
          <t>Month+2 Expiry</t>
        </is>
      </c>
      <c r="K3122" s="25" t="n">
        <v>34707</v>
      </c>
      <c r="L3122" s="26" t="n">
        <v>53.9427</v>
      </c>
      <c r="M3122" s="26" t="n">
        <v>0.9061</v>
      </c>
    </row>
    <row r="3123" ht="16" customHeight="1">
      <c r="A3123" t="inlineStr">
        <is>
          <t>15-May-2026</t>
        </is>
      </c>
      <c r="B3123" t="inlineStr">
        <is>
          <t>Friday</t>
        </is>
      </c>
      <c r="C3123" t="inlineStr">
        <is>
          <t>Week3-May-2026</t>
        </is>
      </c>
      <c r="D3123" s="78" t="n">
        <v>46143</v>
      </c>
      <c r="E3123" t="inlineStr">
        <is>
          <t>Q1FY27</t>
        </is>
      </c>
      <c r="F3123" t="inlineStr">
        <is>
          <t>29-Sep-2026</t>
        </is>
      </c>
      <c r="G3123" t="inlineStr">
        <is>
          <t>Tuesday</t>
        </is>
      </c>
      <c r="H3123" t="inlineStr">
        <is>
          <t>Monthly - Tuesday</t>
        </is>
      </c>
      <c r="I3123" t="inlineStr">
        <is>
          <t>Monthly - Tuesday</t>
        </is>
      </c>
      <c r="J3123" t="inlineStr">
        <is>
          <t>Month+4 Expiry</t>
        </is>
      </c>
      <c r="K3123" s="25" t="n">
        <v>15380</v>
      </c>
      <c r="L3123" s="26" t="n">
        <v>24.8553</v>
      </c>
      <c r="M3123" s="26" t="n">
        <v>0.4104</v>
      </c>
    </row>
    <row r="3124" ht="16" customHeight="1">
      <c r="A3124" t="inlineStr">
        <is>
          <t>15-May-2026</t>
        </is>
      </c>
      <c r="B3124" t="inlineStr">
        <is>
          <t>Friday</t>
        </is>
      </c>
      <c r="C3124" t="inlineStr">
        <is>
          <t>Week3-May-2026</t>
        </is>
      </c>
      <c r="D3124" s="78" t="n">
        <v>46143</v>
      </c>
      <c r="E3124" t="inlineStr">
        <is>
          <t>Q1FY27</t>
        </is>
      </c>
      <c r="F3124" t="inlineStr">
        <is>
          <t>29-Dec-2026</t>
        </is>
      </c>
      <c r="G3124" t="inlineStr">
        <is>
          <t>Tuesday</t>
        </is>
      </c>
      <c r="H3124" t="inlineStr">
        <is>
          <t>Monthly - Tuesday</t>
        </is>
      </c>
      <c r="I3124" t="inlineStr">
        <is>
          <t>Monthly - Tuesday</t>
        </is>
      </c>
      <c r="J3124" t="inlineStr">
        <is>
          <t>Month+7 Expiry</t>
        </is>
      </c>
      <c r="K3124" s="25" t="n">
        <v>27183</v>
      </c>
      <c r="L3124" s="26" t="n">
        <v>43.8307</v>
      </c>
      <c r="M3124" s="26" t="n">
        <v>1.3425</v>
      </c>
    </row>
    <row r="3125" ht="16" customHeight="1">
      <c r="A3125" t="inlineStr">
        <is>
          <t>15-May-2026</t>
        </is>
      </c>
      <c r="B3125" t="inlineStr">
        <is>
          <t>Friday</t>
        </is>
      </c>
      <c r="C3125" t="inlineStr">
        <is>
          <t>Week3-May-2026</t>
        </is>
      </c>
      <c r="D3125" s="78" t="n">
        <v>46143</v>
      </c>
      <c r="E3125" t="inlineStr">
        <is>
          <t>Q1FY27</t>
        </is>
      </c>
      <c r="F3125" t="inlineStr">
        <is>
          <t>30-Mar-2027</t>
        </is>
      </c>
      <c r="G3125" t="inlineStr">
        <is>
          <t>Tuesday</t>
        </is>
      </c>
      <c r="H3125" t="inlineStr">
        <is>
          <t>Monthly - Tuesday</t>
        </is>
      </c>
      <c r="I3125" t="inlineStr">
        <is>
          <t>Monthly - Tuesday</t>
        </is>
      </c>
      <c r="J3125" t="inlineStr">
        <is>
          <t>Month+10 Expiry</t>
        </is>
      </c>
      <c r="K3125" s="25" t="n">
        <v>0</v>
      </c>
      <c r="L3125" s="26" t="n">
        <v>0</v>
      </c>
      <c r="M3125" s="26" t="n">
        <v>0</v>
      </c>
    </row>
    <row r="3126" ht="16" customHeight="1">
      <c r="A3126" t="inlineStr">
        <is>
          <t>15-May-2026</t>
        </is>
      </c>
      <c r="B3126" t="inlineStr">
        <is>
          <t>Friday</t>
        </is>
      </c>
      <c r="C3126" t="inlineStr">
        <is>
          <t>Week3-May-2026</t>
        </is>
      </c>
      <c r="D3126" s="78" t="n">
        <v>46143</v>
      </c>
      <c r="E3126" t="inlineStr">
        <is>
          <t>Q1FY27</t>
        </is>
      </c>
      <c r="F3126" t="inlineStr">
        <is>
          <t>29-Jun-2027</t>
        </is>
      </c>
      <c r="G3126" t="inlineStr">
        <is>
          <t>Tuesday</t>
        </is>
      </c>
      <c r="H3126" t="inlineStr">
        <is>
          <t>Monthly - Tuesday</t>
        </is>
      </c>
      <c r="I3126" t="inlineStr">
        <is>
          <t>Monthly - Tuesday</t>
        </is>
      </c>
      <c r="J3126" t="inlineStr">
        <is>
          <t>Month+13 Expiry</t>
        </is>
      </c>
      <c r="K3126" s="25" t="n">
        <v>0</v>
      </c>
      <c r="L3126" s="26" t="n">
        <v>0</v>
      </c>
      <c r="M3126" s="26" t="n">
        <v>0</v>
      </c>
    </row>
    <row r="3127" ht="16" customHeight="1">
      <c r="A3127" t="inlineStr">
        <is>
          <t>15-May-2026</t>
        </is>
      </c>
      <c r="B3127" t="inlineStr">
        <is>
          <t>Friday</t>
        </is>
      </c>
      <c r="C3127" t="inlineStr">
        <is>
          <t>Week3-May-2026</t>
        </is>
      </c>
      <c r="D3127" s="78" t="n">
        <v>46143</v>
      </c>
      <c r="E3127" t="inlineStr">
        <is>
          <t>Q1FY27</t>
        </is>
      </c>
      <c r="F3127" t="inlineStr">
        <is>
          <t>28-Dec-2027</t>
        </is>
      </c>
      <c r="G3127" t="inlineStr">
        <is>
          <t>Tuesday</t>
        </is>
      </c>
      <c r="H3127" t="inlineStr">
        <is>
          <t>Monthly - Tuesday</t>
        </is>
      </c>
      <c r="I3127" t="inlineStr">
        <is>
          <t>Monthly - Tuesday</t>
        </is>
      </c>
      <c r="J3127" t="inlineStr">
        <is>
          <t>Month+19 Expiry</t>
        </is>
      </c>
      <c r="K3127" s="25" t="n">
        <v>100</v>
      </c>
      <c r="L3127" s="26" t="n">
        <v>0.1649</v>
      </c>
      <c r="M3127" s="26" t="n">
        <v>0.0072</v>
      </c>
    </row>
    <row r="3128" ht="16" customHeight="1">
      <c r="A3128" t="inlineStr">
        <is>
          <t>15-May-2026</t>
        </is>
      </c>
      <c r="B3128" t="inlineStr">
        <is>
          <t>Friday</t>
        </is>
      </c>
      <c r="C3128" t="inlineStr">
        <is>
          <t>Week3-May-2026</t>
        </is>
      </c>
      <c r="D3128" s="78" t="n">
        <v>46143</v>
      </c>
      <c r="E3128" t="inlineStr">
        <is>
          <t>Q1FY27</t>
        </is>
      </c>
      <c r="F3128" t="inlineStr">
        <is>
          <t>27-Jun-2028</t>
        </is>
      </c>
      <c r="G3128" t="inlineStr">
        <is>
          <t>Tuesday</t>
        </is>
      </c>
      <c r="H3128" t="inlineStr">
        <is>
          <t>Monthly - Tuesday</t>
        </is>
      </c>
      <c r="I3128" t="inlineStr">
        <is>
          <t>Monthly - Tuesday</t>
        </is>
      </c>
      <c r="J3128" t="inlineStr">
        <is>
          <t>Month+25 Expiry</t>
        </is>
      </c>
      <c r="K3128" s="25" t="n">
        <v>0</v>
      </c>
      <c r="L3128" s="26" t="n">
        <v>0</v>
      </c>
      <c r="M3128" s="26" t="n">
        <v>0</v>
      </c>
    </row>
    <row r="3129" ht="16" customHeight="1">
      <c r="A3129" t="inlineStr">
        <is>
          <t>15-May-2026</t>
        </is>
      </c>
      <c r="B3129" t="inlineStr">
        <is>
          <t>Friday</t>
        </is>
      </c>
      <c r="C3129" t="inlineStr">
        <is>
          <t>Week3-May-2026</t>
        </is>
      </c>
      <c r="D3129" s="78" t="n">
        <v>46143</v>
      </c>
      <c r="E3129" t="inlineStr">
        <is>
          <t>Q1FY27</t>
        </is>
      </c>
      <c r="F3129" t="inlineStr">
        <is>
          <t>26-Dec-2028</t>
        </is>
      </c>
      <c r="G3129" t="inlineStr">
        <is>
          <t>Tuesday</t>
        </is>
      </c>
      <c r="H3129" t="inlineStr">
        <is>
          <t>Monthly - Tuesday</t>
        </is>
      </c>
      <c r="I3129" t="inlineStr">
        <is>
          <t>Monthly - Tuesday</t>
        </is>
      </c>
      <c r="J3129" t="inlineStr">
        <is>
          <t>Month+31 Expiry</t>
        </is>
      </c>
      <c r="K3129" s="25" t="n">
        <v>1</v>
      </c>
      <c r="L3129" s="26" t="n">
        <v>0.0018</v>
      </c>
      <c r="M3129" s="26" t="n">
        <v>0.0002</v>
      </c>
    </row>
    <row r="3130" ht="16" customHeight="1">
      <c r="A3130" t="inlineStr">
        <is>
          <t>15-May-2026</t>
        </is>
      </c>
      <c r="B3130" t="inlineStr">
        <is>
          <t>Friday</t>
        </is>
      </c>
      <c r="C3130" t="inlineStr">
        <is>
          <t>Week3-May-2026</t>
        </is>
      </c>
      <c r="D3130" s="78" t="n">
        <v>46143</v>
      </c>
      <c r="E3130" t="inlineStr">
        <is>
          <t>Q1FY27</t>
        </is>
      </c>
      <c r="F3130" t="inlineStr">
        <is>
          <t>26-Jun-2029</t>
        </is>
      </c>
      <c r="G3130" t="inlineStr">
        <is>
          <t>Tuesday</t>
        </is>
      </c>
      <c r="H3130" t="inlineStr">
        <is>
          <t>Monthly - Tuesday</t>
        </is>
      </c>
      <c r="I3130" t="inlineStr">
        <is>
          <t>Monthly - Tuesday</t>
        </is>
      </c>
      <c r="J3130" t="inlineStr">
        <is>
          <t>Month+37 Expiry</t>
        </is>
      </c>
      <c r="K3130" s="25" t="n">
        <v>2</v>
      </c>
      <c r="L3130" s="26" t="n">
        <v>0.0032</v>
      </c>
      <c r="M3130" s="26" t="n">
        <v>0.0001</v>
      </c>
    </row>
    <row r="3131" ht="16" customHeight="1">
      <c r="A3131" t="inlineStr">
        <is>
          <t>15-May-2026</t>
        </is>
      </c>
      <c r="B3131" t="inlineStr">
        <is>
          <t>Friday</t>
        </is>
      </c>
      <c r="C3131" t="inlineStr">
        <is>
          <t>Week3-May-2026</t>
        </is>
      </c>
      <c r="D3131" s="78" t="n">
        <v>46143</v>
      </c>
      <c r="E3131" t="inlineStr">
        <is>
          <t>Q1FY27</t>
        </is>
      </c>
      <c r="F3131" t="inlineStr">
        <is>
          <t>24-Dec-2029</t>
        </is>
      </c>
      <c r="G3131" t="inlineStr">
        <is>
          <t>Monday</t>
        </is>
      </c>
      <c r="H3131" t="inlineStr">
        <is>
          <t>Weekly - Monday</t>
        </is>
      </c>
      <c r="I3131" t="inlineStr">
        <is>
          <t>Weekly - Monday</t>
        </is>
      </c>
      <c r="J3131" t="inlineStr">
        <is>
          <t>Month+43 Expiry</t>
        </is>
      </c>
      <c r="K3131" s="25" t="n">
        <v>0</v>
      </c>
      <c r="L3131" s="26" t="n">
        <v>0</v>
      </c>
      <c r="M3131" s="26" t="n">
        <v>0</v>
      </c>
    </row>
    <row r="3132" ht="16" customHeight="1">
      <c r="A3132" t="inlineStr">
        <is>
          <t>15-May-2026</t>
        </is>
      </c>
      <c r="B3132" t="inlineStr">
        <is>
          <t>Friday</t>
        </is>
      </c>
      <c r="C3132" t="inlineStr">
        <is>
          <t>Week3-May-2026</t>
        </is>
      </c>
      <c r="D3132" s="78" t="n">
        <v>46143</v>
      </c>
      <c r="E3132" t="inlineStr">
        <is>
          <t>Q1FY27</t>
        </is>
      </c>
      <c r="F3132" t="inlineStr">
        <is>
          <t>25-Jun-2030</t>
        </is>
      </c>
      <c r="G3132" t="inlineStr">
        <is>
          <t>Tuesday</t>
        </is>
      </c>
      <c r="H3132" t="inlineStr">
        <is>
          <t>Monthly - Tuesday</t>
        </is>
      </c>
      <c r="I3132" t="inlineStr">
        <is>
          <t>Monthly - Tuesday</t>
        </is>
      </c>
      <c r="J3132" t="inlineStr">
        <is>
          <t>Month+49 Expiry</t>
        </is>
      </c>
      <c r="K3132" s="25" t="n">
        <v>0</v>
      </c>
      <c r="L3132" s="26" t="n">
        <v>0</v>
      </c>
      <c r="M3132" s="26" t="n">
        <v>0</v>
      </c>
    </row>
    <row r="3133" ht="16" customHeight="1">
      <c r="A3133" t="inlineStr">
        <is>
          <t>15-May-2026</t>
        </is>
      </c>
      <c r="B3133" t="inlineStr">
        <is>
          <t>Friday</t>
        </is>
      </c>
      <c r="C3133" t="inlineStr">
        <is>
          <t>Week3-May-2026</t>
        </is>
      </c>
      <c r="D3133" s="78" t="n">
        <v>46143</v>
      </c>
      <c r="E3133" t="inlineStr">
        <is>
          <t>Q1FY27</t>
        </is>
      </c>
      <c r="F3133" t="inlineStr">
        <is>
          <t>31-Dec-2030</t>
        </is>
      </c>
      <c r="G3133" t="inlineStr">
        <is>
          <t>Tuesday</t>
        </is>
      </c>
      <c r="H3133" t="inlineStr">
        <is>
          <t>Monthly - Tuesday</t>
        </is>
      </c>
      <c r="I3133" t="inlineStr">
        <is>
          <t>Monthly - Tuesday</t>
        </is>
      </c>
      <c r="J3133" t="inlineStr">
        <is>
          <t>Month+55 Expiry</t>
        </is>
      </c>
      <c r="K3133" s="25" t="n">
        <v>0</v>
      </c>
      <c r="L3133" s="26" t="n">
        <v>0</v>
      </c>
      <c r="M3133" s="26" t="n">
        <v>0</v>
      </c>
    </row>
    <row r="3134" ht="16" customHeight="1">
      <c r="A3134" t="inlineStr">
        <is>
          <t>18-May-2026</t>
        </is>
      </c>
      <c r="B3134" t="inlineStr">
        <is>
          <t>Monday</t>
        </is>
      </c>
      <c r="C3134" t="inlineStr">
        <is>
          <t>Week3-May-2026</t>
        </is>
      </c>
      <c r="D3134" s="78" t="n">
        <v>46143</v>
      </c>
      <c r="E3134" t="inlineStr">
        <is>
          <t>Q1FY27</t>
        </is>
      </c>
      <c r="F3134" t="inlineStr">
        <is>
          <t>19-May-2026</t>
        </is>
      </c>
      <c r="G3134" t="inlineStr">
        <is>
          <t>Tuesday</t>
        </is>
      </c>
      <c r="H3134" t="inlineStr">
        <is>
          <t>Weekly - Tuesday</t>
        </is>
      </c>
      <c r="I3134" t="inlineStr">
        <is>
          <t>Weekly - Tuesday</t>
        </is>
      </c>
      <c r="J3134" t="inlineStr">
        <is>
          <t>Same Month Expiry</t>
        </is>
      </c>
      <c r="K3134" s="25" t="n">
        <v>157173362</v>
      </c>
      <c r="L3134" s="26" t="n">
        <v>241236.9906</v>
      </c>
      <c r="M3134" s="26" t="n">
        <v>681.3973999999999</v>
      </c>
    </row>
    <row r="3135" ht="16" customHeight="1">
      <c r="A3135" t="inlineStr">
        <is>
          <t>18-May-2026</t>
        </is>
      </c>
      <c r="B3135" t="inlineStr">
        <is>
          <t>Monday</t>
        </is>
      </c>
      <c r="C3135" t="inlineStr">
        <is>
          <t>Week3-May-2026</t>
        </is>
      </c>
      <c r="D3135" s="78" t="n">
        <v>46143</v>
      </c>
      <c r="E3135" t="inlineStr">
        <is>
          <t>Q1FY27</t>
        </is>
      </c>
      <c r="F3135" t="inlineStr">
        <is>
          <t>26-May-2026</t>
        </is>
      </c>
      <c r="G3135" t="inlineStr">
        <is>
          <t>Tuesday</t>
        </is>
      </c>
      <c r="H3135" t="inlineStr">
        <is>
          <t>Monthly - Tuesday</t>
        </is>
      </c>
      <c r="I3135" t="inlineStr">
        <is>
          <t>Monthly - Tuesday</t>
        </is>
      </c>
      <c r="J3135" t="inlineStr">
        <is>
          <t>Same Month Expiry</t>
        </is>
      </c>
      <c r="K3135" s="25" t="n">
        <v>5888580</v>
      </c>
      <c r="L3135" s="26" t="n">
        <v>9101.8397</v>
      </c>
      <c r="M3135" s="26" t="n">
        <v>52.4611</v>
      </c>
    </row>
    <row r="3136" ht="16" customHeight="1">
      <c r="A3136" t="inlineStr">
        <is>
          <t>18-May-2026</t>
        </is>
      </c>
      <c r="B3136" t="inlineStr">
        <is>
          <t>Monday</t>
        </is>
      </c>
      <c r="C3136" t="inlineStr">
        <is>
          <t>Week3-May-2026</t>
        </is>
      </c>
      <c r="D3136" s="78" t="n">
        <v>46143</v>
      </c>
      <c r="E3136" t="inlineStr">
        <is>
          <t>Q1FY27</t>
        </is>
      </c>
      <c r="F3136" t="inlineStr">
        <is>
          <t>02-Jun-2026</t>
        </is>
      </c>
      <c r="G3136" t="inlineStr">
        <is>
          <t>Tuesday</t>
        </is>
      </c>
      <c r="H3136" t="inlineStr">
        <is>
          <t>Weekly - Tuesday</t>
        </is>
      </c>
      <c r="I3136" t="inlineStr">
        <is>
          <t>Weekly - Tuesday</t>
        </is>
      </c>
      <c r="J3136" t="inlineStr">
        <is>
          <t>Month+1 Expiry</t>
        </is>
      </c>
      <c r="K3136" s="25" t="n">
        <v>317602</v>
      </c>
      <c r="L3136" s="26" t="n">
        <v>495.6807</v>
      </c>
      <c r="M3136" s="26" t="n">
        <v>3.0895</v>
      </c>
    </row>
    <row r="3137" ht="16" customHeight="1">
      <c r="A3137" t="inlineStr">
        <is>
          <t>18-May-2026</t>
        </is>
      </c>
      <c r="B3137" t="inlineStr">
        <is>
          <t>Monday</t>
        </is>
      </c>
      <c r="C3137" t="inlineStr">
        <is>
          <t>Week3-May-2026</t>
        </is>
      </c>
      <c r="D3137" s="78" t="n">
        <v>46143</v>
      </c>
      <c r="E3137" t="inlineStr">
        <is>
          <t>Q1FY27</t>
        </is>
      </c>
      <c r="F3137" t="inlineStr">
        <is>
          <t>09-Jun-2026</t>
        </is>
      </c>
      <c r="G3137" t="inlineStr">
        <is>
          <t>Tuesday</t>
        </is>
      </c>
      <c r="H3137" t="inlineStr">
        <is>
          <t>Weekly - Tuesday</t>
        </is>
      </c>
      <c r="I3137" t="inlineStr">
        <is>
          <t>Weekly - Tuesday</t>
        </is>
      </c>
      <c r="J3137" t="inlineStr">
        <is>
          <t>Month+1 Expiry</t>
        </is>
      </c>
      <c r="K3137" s="25" t="n">
        <v>37348</v>
      </c>
      <c r="L3137" s="26" t="n">
        <v>58.3699</v>
      </c>
      <c r="M3137" s="26" t="n">
        <v>0.5209</v>
      </c>
    </row>
    <row r="3138" ht="16" customHeight="1">
      <c r="A3138" t="inlineStr">
        <is>
          <t>18-May-2026</t>
        </is>
      </c>
      <c r="B3138" t="inlineStr">
        <is>
          <t>Monday</t>
        </is>
      </c>
      <c r="C3138" t="inlineStr">
        <is>
          <t>Week3-May-2026</t>
        </is>
      </c>
      <c r="D3138" s="78" t="n">
        <v>46143</v>
      </c>
      <c r="E3138" t="inlineStr">
        <is>
          <t>Q1FY27</t>
        </is>
      </c>
      <c r="F3138" t="inlineStr">
        <is>
          <t>16-Jun-2026</t>
        </is>
      </c>
      <c r="G3138" t="inlineStr">
        <is>
          <t>Tuesday</t>
        </is>
      </c>
      <c r="H3138" t="inlineStr">
        <is>
          <t>Weekly - Tuesday</t>
        </is>
      </c>
      <c r="I3138" t="inlineStr">
        <is>
          <t>Weekly - Tuesday</t>
        </is>
      </c>
      <c r="J3138" t="inlineStr">
        <is>
          <t>Month+1 Expiry</t>
        </is>
      </c>
      <c r="K3138" s="25" t="n">
        <v>4896</v>
      </c>
      <c r="L3138" s="26" t="n">
        <v>7.7336</v>
      </c>
      <c r="M3138" s="26" t="n">
        <v>0.0707</v>
      </c>
    </row>
    <row r="3139" ht="16" customHeight="1">
      <c r="A3139" t="inlineStr">
        <is>
          <t>18-May-2026</t>
        </is>
      </c>
      <c r="B3139" t="inlineStr">
        <is>
          <t>Monday</t>
        </is>
      </c>
      <c r="C3139" t="inlineStr">
        <is>
          <t>Week3-May-2026</t>
        </is>
      </c>
      <c r="D3139" s="78" t="n">
        <v>46143</v>
      </c>
      <c r="E3139" t="inlineStr">
        <is>
          <t>Q1FY27</t>
        </is>
      </c>
      <c r="F3139" t="inlineStr">
        <is>
          <t>30-Jun-2026</t>
        </is>
      </c>
      <c r="G3139" t="inlineStr">
        <is>
          <t>Tuesday</t>
        </is>
      </c>
      <c r="H3139" t="inlineStr">
        <is>
          <t>Monthly - Tuesday</t>
        </is>
      </c>
      <c r="I3139" t="inlineStr">
        <is>
          <t>Monthly - Tuesday</t>
        </is>
      </c>
      <c r="J3139" t="inlineStr">
        <is>
          <t>Month+1 Expiry</t>
        </is>
      </c>
      <c r="K3139" s="25" t="n">
        <v>543078</v>
      </c>
      <c r="L3139" s="26" t="n">
        <v>849.3454</v>
      </c>
      <c r="M3139" s="26" t="n">
        <v>9.401400000000001</v>
      </c>
    </row>
    <row r="3140" ht="16" customHeight="1">
      <c r="A3140" t="inlineStr">
        <is>
          <t>18-May-2026</t>
        </is>
      </c>
      <c r="B3140" t="inlineStr">
        <is>
          <t>Monday</t>
        </is>
      </c>
      <c r="C3140" t="inlineStr">
        <is>
          <t>Week3-May-2026</t>
        </is>
      </c>
      <c r="D3140" s="78" t="n">
        <v>46143</v>
      </c>
      <c r="E3140" t="inlineStr">
        <is>
          <t>Q1FY27</t>
        </is>
      </c>
      <c r="F3140" t="inlineStr">
        <is>
          <t>28-Jul-2026</t>
        </is>
      </c>
      <c r="G3140" t="inlineStr">
        <is>
          <t>Tuesday</t>
        </is>
      </c>
      <c r="H3140" t="inlineStr">
        <is>
          <t>Monthly - Tuesday</t>
        </is>
      </c>
      <c r="I3140" t="inlineStr">
        <is>
          <t>Monthly - Tuesday</t>
        </is>
      </c>
      <c r="J3140" t="inlineStr">
        <is>
          <t>Month+2 Expiry</t>
        </is>
      </c>
      <c r="K3140" s="25" t="n">
        <v>52249</v>
      </c>
      <c r="L3140" s="26" t="n">
        <v>83.30549999999999</v>
      </c>
      <c r="M3140" s="26" t="n">
        <v>1.3517</v>
      </c>
    </row>
    <row r="3141" ht="16" customHeight="1">
      <c r="A3141" t="inlineStr">
        <is>
          <t>18-May-2026</t>
        </is>
      </c>
      <c r="B3141" t="inlineStr">
        <is>
          <t>Monday</t>
        </is>
      </c>
      <c r="C3141" t="inlineStr">
        <is>
          <t>Week3-May-2026</t>
        </is>
      </c>
      <c r="D3141" s="78" t="n">
        <v>46143</v>
      </c>
      <c r="E3141" t="inlineStr">
        <is>
          <t>Q1FY27</t>
        </is>
      </c>
      <c r="F3141" t="inlineStr">
        <is>
          <t>29-Sep-2026</t>
        </is>
      </c>
      <c r="G3141" t="inlineStr">
        <is>
          <t>Tuesday</t>
        </is>
      </c>
      <c r="H3141" t="inlineStr">
        <is>
          <t>Monthly - Tuesday</t>
        </is>
      </c>
      <c r="I3141" t="inlineStr">
        <is>
          <t>Monthly - Tuesday</t>
        </is>
      </c>
      <c r="J3141" t="inlineStr">
        <is>
          <t>Month+4 Expiry</t>
        </is>
      </c>
      <c r="K3141" s="25" t="n">
        <v>17205</v>
      </c>
      <c r="L3141" s="26" t="n">
        <v>27.6834</v>
      </c>
      <c r="M3141" s="26" t="n">
        <v>0.5495</v>
      </c>
    </row>
    <row r="3142" ht="16" customHeight="1">
      <c r="A3142" t="inlineStr">
        <is>
          <t>18-May-2026</t>
        </is>
      </c>
      <c r="B3142" t="inlineStr">
        <is>
          <t>Monday</t>
        </is>
      </c>
      <c r="C3142" t="inlineStr">
        <is>
          <t>Week3-May-2026</t>
        </is>
      </c>
      <c r="D3142" s="78" t="n">
        <v>46143</v>
      </c>
      <c r="E3142" t="inlineStr">
        <is>
          <t>Q1FY27</t>
        </is>
      </c>
      <c r="F3142" t="inlineStr">
        <is>
          <t>29-Dec-2026</t>
        </is>
      </c>
      <c r="G3142" t="inlineStr">
        <is>
          <t>Tuesday</t>
        </is>
      </c>
      <c r="H3142" t="inlineStr">
        <is>
          <t>Monthly - Tuesday</t>
        </is>
      </c>
      <c r="I3142" t="inlineStr">
        <is>
          <t>Monthly - Tuesday</t>
        </is>
      </c>
      <c r="J3142" t="inlineStr">
        <is>
          <t>Month+7 Expiry</t>
        </is>
      </c>
      <c r="K3142" s="25" t="n">
        <v>44266</v>
      </c>
      <c r="L3142" s="26" t="n">
        <v>71.5087</v>
      </c>
      <c r="M3142" s="26" t="n">
        <v>2.1471</v>
      </c>
    </row>
    <row r="3143" ht="16" customHeight="1">
      <c r="A3143" t="inlineStr">
        <is>
          <t>18-May-2026</t>
        </is>
      </c>
      <c r="B3143" t="inlineStr">
        <is>
          <t>Monday</t>
        </is>
      </c>
      <c r="C3143" t="inlineStr">
        <is>
          <t>Week3-May-2026</t>
        </is>
      </c>
      <c r="D3143" s="78" t="n">
        <v>46143</v>
      </c>
      <c r="E3143" t="inlineStr">
        <is>
          <t>Q1FY27</t>
        </is>
      </c>
      <c r="F3143" t="inlineStr">
        <is>
          <t>30-Mar-2027</t>
        </is>
      </c>
      <c r="G3143" t="inlineStr">
        <is>
          <t>Tuesday</t>
        </is>
      </c>
      <c r="H3143" t="inlineStr">
        <is>
          <t>Monthly - Tuesday</t>
        </is>
      </c>
      <c r="I3143" t="inlineStr">
        <is>
          <t>Monthly - Tuesday</t>
        </is>
      </c>
      <c r="J3143" t="inlineStr">
        <is>
          <t>Month+10 Expiry</t>
        </is>
      </c>
      <c r="K3143" s="25" t="n">
        <v>4</v>
      </c>
      <c r="L3143" s="26" t="n">
        <v>0.0055</v>
      </c>
      <c r="M3143" s="26" t="n">
        <v>0.0001</v>
      </c>
    </row>
    <row r="3144" ht="16" customHeight="1">
      <c r="A3144" t="inlineStr">
        <is>
          <t>18-May-2026</t>
        </is>
      </c>
      <c r="B3144" t="inlineStr">
        <is>
          <t>Monday</t>
        </is>
      </c>
      <c r="C3144" t="inlineStr">
        <is>
          <t>Week3-May-2026</t>
        </is>
      </c>
      <c r="D3144" s="78" t="n">
        <v>46143</v>
      </c>
      <c r="E3144" t="inlineStr">
        <is>
          <t>Q1FY27</t>
        </is>
      </c>
      <c r="F3144" t="inlineStr">
        <is>
          <t>29-Jun-2027</t>
        </is>
      </c>
      <c r="G3144" t="inlineStr">
        <is>
          <t>Tuesday</t>
        </is>
      </c>
      <c r="H3144" t="inlineStr">
        <is>
          <t>Monthly - Tuesday</t>
        </is>
      </c>
      <c r="I3144" t="inlineStr">
        <is>
          <t>Monthly - Tuesday</t>
        </is>
      </c>
      <c r="J3144" t="inlineStr">
        <is>
          <t>Month+13 Expiry</t>
        </is>
      </c>
      <c r="K3144" s="25" t="n">
        <v>6</v>
      </c>
      <c r="L3144" s="26" t="n">
        <v>0.0083</v>
      </c>
      <c r="M3144" s="26" t="n">
        <v>0.0002</v>
      </c>
    </row>
    <row r="3145" ht="16" customHeight="1">
      <c r="A3145" t="inlineStr">
        <is>
          <t>18-May-2026</t>
        </is>
      </c>
      <c r="B3145" t="inlineStr">
        <is>
          <t>Monday</t>
        </is>
      </c>
      <c r="C3145" t="inlineStr">
        <is>
          <t>Week3-May-2026</t>
        </is>
      </c>
      <c r="D3145" s="78" t="n">
        <v>46143</v>
      </c>
      <c r="E3145" t="inlineStr">
        <is>
          <t>Q1FY27</t>
        </is>
      </c>
      <c r="F3145" t="inlineStr">
        <is>
          <t>28-Dec-2027</t>
        </is>
      </c>
      <c r="G3145" t="inlineStr">
        <is>
          <t>Tuesday</t>
        </is>
      </c>
      <c r="H3145" t="inlineStr">
        <is>
          <t>Monthly - Tuesday</t>
        </is>
      </c>
      <c r="I3145" t="inlineStr">
        <is>
          <t>Monthly - Tuesday</t>
        </is>
      </c>
      <c r="J3145" t="inlineStr">
        <is>
          <t>Month+19 Expiry</t>
        </is>
      </c>
      <c r="K3145" s="25" t="n">
        <v>555</v>
      </c>
      <c r="L3145" s="26" t="n">
        <v>0.9435</v>
      </c>
      <c r="M3145" s="26" t="n">
        <v>0.0353</v>
      </c>
    </row>
    <row r="3146" ht="16" customHeight="1">
      <c r="A3146" t="inlineStr">
        <is>
          <t>18-May-2026</t>
        </is>
      </c>
      <c r="B3146" t="inlineStr">
        <is>
          <t>Monday</t>
        </is>
      </c>
      <c r="C3146" t="inlineStr">
        <is>
          <t>Week3-May-2026</t>
        </is>
      </c>
      <c r="D3146" s="78" t="n">
        <v>46143</v>
      </c>
      <c r="E3146" t="inlineStr">
        <is>
          <t>Q1FY27</t>
        </is>
      </c>
      <c r="F3146" t="inlineStr">
        <is>
          <t>27-Jun-2028</t>
        </is>
      </c>
      <c r="G3146" t="inlineStr">
        <is>
          <t>Tuesday</t>
        </is>
      </c>
      <c r="H3146" t="inlineStr">
        <is>
          <t>Monthly - Tuesday</t>
        </is>
      </c>
      <c r="I3146" t="inlineStr">
        <is>
          <t>Monthly - Tuesday</t>
        </is>
      </c>
      <c r="J3146" t="inlineStr">
        <is>
          <t>Month+25 Expiry</t>
        </is>
      </c>
      <c r="K3146" s="25" t="n">
        <v>0</v>
      </c>
      <c r="L3146" s="26" t="n">
        <v>0</v>
      </c>
      <c r="M3146" s="26" t="n">
        <v>0</v>
      </c>
    </row>
    <row r="3147" ht="16" customHeight="1">
      <c r="A3147" t="inlineStr">
        <is>
          <t>18-May-2026</t>
        </is>
      </c>
      <c r="B3147" t="inlineStr">
        <is>
          <t>Monday</t>
        </is>
      </c>
      <c r="C3147" t="inlineStr">
        <is>
          <t>Week3-May-2026</t>
        </is>
      </c>
      <c r="D3147" s="78" t="n">
        <v>46143</v>
      </c>
      <c r="E3147" t="inlineStr">
        <is>
          <t>Q1FY27</t>
        </is>
      </c>
      <c r="F3147" t="inlineStr">
        <is>
          <t>26-Dec-2028</t>
        </is>
      </c>
      <c r="G3147" t="inlineStr">
        <is>
          <t>Tuesday</t>
        </is>
      </c>
      <c r="H3147" t="inlineStr">
        <is>
          <t>Monthly - Tuesday</t>
        </is>
      </c>
      <c r="I3147" t="inlineStr">
        <is>
          <t>Monthly - Tuesday</t>
        </is>
      </c>
      <c r="J3147" t="inlineStr">
        <is>
          <t>Month+31 Expiry</t>
        </is>
      </c>
      <c r="K3147" s="25" t="n">
        <v>9</v>
      </c>
      <c r="L3147" s="26" t="n">
        <v>0.0163</v>
      </c>
      <c r="M3147" s="26" t="n">
        <v>0.0011</v>
      </c>
    </row>
    <row r="3148" ht="16" customHeight="1">
      <c r="A3148" t="inlineStr">
        <is>
          <t>18-May-2026</t>
        </is>
      </c>
      <c r="B3148" t="inlineStr">
        <is>
          <t>Monday</t>
        </is>
      </c>
      <c r="C3148" t="inlineStr">
        <is>
          <t>Week3-May-2026</t>
        </is>
      </c>
      <c r="D3148" s="78" t="n">
        <v>46143</v>
      </c>
      <c r="E3148" t="inlineStr">
        <is>
          <t>Q1FY27</t>
        </is>
      </c>
      <c r="F3148" t="inlineStr">
        <is>
          <t>26-Jun-2029</t>
        </is>
      </c>
      <c r="G3148" t="inlineStr">
        <is>
          <t>Tuesday</t>
        </is>
      </c>
      <c r="H3148" t="inlineStr">
        <is>
          <t>Monthly - Tuesday</t>
        </is>
      </c>
      <c r="I3148" t="inlineStr">
        <is>
          <t>Monthly - Tuesday</t>
        </is>
      </c>
      <c r="J3148" t="inlineStr">
        <is>
          <t>Month+37 Expiry</t>
        </is>
      </c>
      <c r="K3148" s="25" t="n">
        <v>0</v>
      </c>
      <c r="L3148" s="26" t="n">
        <v>0</v>
      </c>
      <c r="M3148" s="26" t="n">
        <v>0</v>
      </c>
    </row>
    <row r="3149" ht="16" customHeight="1">
      <c r="A3149" t="inlineStr">
        <is>
          <t>18-May-2026</t>
        </is>
      </c>
      <c r="B3149" t="inlineStr">
        <is>
          <t>Monday</t>
        </is>
      </c>
      <c r="C3149" t="inlineStr">
        <is>
          <t>Week3-May-2026</t>
        </is>
      </c>
      <c r="D3149" s="78" t="n">
        <v>46143</v>
      </c>
      <c r="E3149" t="inlineStr">
        <is>
          <t>Q1FY27</t>
        </is>
      </c>
      <c r="F3149" t="inlineStr">
        <is>
          <t>24-Dec-2029</t>
        </is>
      </c>
      <c r="G3149" t="inlineStr">
        <is>
          <t>Monday</t>
        </is>
      </c>
      <c r="H3149" t="inlineStr">
        <is>
          <t>Weekly - Monday</t>
        </is>
      </c>
      <c r="I3149" t="inlineStr">
        <is>
          <t>Weekly - Monday</t>
        </is>
      </c>
      <c r="J3149" t="inlineStr">
        <is>
          <t>Month+43 Expiry</t>
        </is>
      </c>
      <c r="K3149" s="25" t="n">
        <v>0</v>
      </c>
      <c r="L3149" s="26" t="n">
        <v>0</v>
      </c>
      <c r="M3149" s="26" t="n">
        <v>0</v>
      </c>
    </row>
    <row r="3150" ht="16" customHeight="1">
      <c r="A3150" t="inlineStr">
        <is>
          <t>18-May-2026</t>
        </is>
      </c>
      <c r="B3150" t="inlineStr">
        <is>
          <t>Monday</t>
        </is>
      </c>
      <c r="C3150" t="inlineStr">
        <is>
          <t>Week3-May-2026</t>
        </is>
      </c>
      <c r="D3150" s="78" t="n">
        <v>46143</v>
      </c>
      <c r="E3150" t="inlineStr">
        <is>
          <t>Q1FY27</t>
        </is>
      </c>
      <c r="F3150" t="inlineStr">
        <is>
          <t>25-Jun-2030</t>
        </is>
      </c>
      <c r="G3150" t="inlineStr">
        <is>
          <t>Tuesday</t>
        </is>
      </c>
      <c r="H3150" t="inlineStr">
        <is>
          <t>Monthly - Tuesday</t>
        </is>
      </c>
      <c r="I3150" t="inlineStr">
        <is>
          <t>Monthly - Tuesday</t>
        </is>
      </c>
      <c r="J3150" t="inlineStr">
        <is>
          <t>Month+49 Expiry</t>
        </is>
      </c>
      <c r="K3150" s="25" t="n">
        <v>0</v>
      </c>
      <c r="L3150" s="26" t="n">
        <v>0</v>
      </c>
      <c r="M3150" s="26" t="n">
        <v>0</v>
      </c>
    </row>
    <row r="3151" ht="16" customHeight="1">
      <c r="A3151" t="inlineStr">
        <is>
          <t>18-May-2026</t>
        </is>
      </c>
      <c r="B3151" t="inlineStr">
        <is>
          <t>Monday</t>
        </is>
      </c>
      <c r="C3151" t="inlineStr">
        <is>
          <t>Week3-May-2026</t>
        </is>
      </c>
      <c r="D3151" s="78" t="n">
        <v>46143</v>
      </c>
      <c r="E3151" t="inlineStr">
        <is>
          <t>Q1FY27</t>
        </is>
      </c>
      <c r="F3151" t="inlineStr">
        <is>
          <t>31-Dec-2030</t>
        </is>
      </c>
      <c r="G3151" t="inlineStr">
        <is>
          <t>Tuesday</t>
        </is>
      </c>
      <c r="H3151" t="inlineStr">
        <is>
          <t>Monthly - Tuesday</t>
        </is>
      </c>
      <c r="I3151" t="inlineStr">
        <is>
          <t>Monthly - Tuesday</t>
        </is>
      </c>
      <c r="J3151" t="inlineStr">
        <is>
          <t>Month+55 Expiry</t>
        </is>
      </c>
      <c r="K3151" s="25" t="n">
        <v>0</v>
      </c>
      <c r="L3151" s="26" t="n">
        <v>0</v>
      </c>
      <c r="M3151" s="26" t="n">
        <v>0</v>
      </c>
    </row>
    <row r="3152" ht="16" customHeight="1">
      <c r="A3152" t="inlineStr">
        <is>
          <t>19-May-2026</t>
        </is>
      </c>
      <c r="B3152" t="inlineStr">
        <is>
          <t>Tuesday</t>
        </is>
      </c>
      <c r="C3152" t="inlineStr">
        <is>
          <t>Week3-May-2026</t>
        </is>
      </c>
      <c r="D3152" s="78" t="n">
        <v>46143</v>
      </c>
      <c r="E3152" t="inlineStr">
        <is>
          <t>Q1FY27</t>
        </is>
      </c>
      <c r="F3152" t="inlineStr">
        <is>
          <t>19-May-2026</t>
        </is>
      </c>
      <c r="G3152" t="inlineStr">
        <is>
          <t>Tuesday</t>
        </is>
      </c>
      <c r="H3152" t="inlineStr">
        <is>
          <t>Weekly - Tuesday</t>
        </is>
      </c>
      <c r="I3152" t="inlineStr">
        <is>
          <t>Weekly - Tuesday</t>
        </is>
      </c>
      <c r="J3152" t="inlineStr">
        <is>
          <t>Same Month Expiry</t>
        </is>
      </c>
      <c r="K3152" s="25" t="n">
        <v>405798611</v>
      </c>
      <c r="L3152" s="26" t="n">
        <v>625077.9094</v>
      </c>
      <c r="M3152" s="26" t="n">
        <v>654.0119</v>
      </c>
    </row>
    <row r="3153" ht="16" customHeight="1">
      <c r="A3153" t="inlineStr">
        <is>
          <t>19-May-2026</t>
        </is>
      </c>
      <c r="B3153" t="inlineStr">
        <is>
          <t>Tuesday</t>
        </is>
      </c>
      <c r="C3153" t="inlineStr">
        <is>
          <t>Week3-May-2026</t>
        </is>
      </c>
      <c r="D3153" s="78" t="n">
        <v>46143</v>
      </c>
      <c r="E3153" t="inlineStr">
        <is>
          <t>Q1FY27</t>
        </is>
      </c>
      <c r="F3153" t="inlineStr">
        <is>
          <t>26-May-2026</t>
        </is>
      </c>
      <c r="G3153" t="inlineStr">
        <is>
          <t>Tuesday</t>
        </is>
      </c>
      <c r="H3153" t="inlineStr">
        <is>
          <t>Monthly - Tuesday</t>
        </is>
      </c>
      <c r="I3153" t="inlineStr">
        <is>
          <t>Monthly - Tuesday</t>
        </is>
      </c>
      <c r="J3153" t="inlineStr">
        <is>
          <t>Same Month Expiry</t>
        </is>
      </c>
      <c r="K3153" s="25" t="n">
        <v>10359223</v>
      </c>
      <c r="L3153" s="26" t="n">
        <v>15990.4284</v>
      </c>
      <c r="M3153" s="26" t="n">
        <v>67.869</v>
      </c>
    </row>
    <row r="3154" ht="16" customHeight="1">
      <c r="A3154" t="inlineStr">
        <is>
          <t>19-May-2026</t>
        </is>
      </c>
      <c r="B3154" t="inlineStr">
        <is>
          <t>Tuesday</t>
        </is>
      </c>
      <c r="C3154" t="inlineStr">
        <is>
          <t>Week3-May-2026</t>
        </is>
      </c>
      <c r="D3154" s="78" t="n">
        <v>46143</v>
      </c>
      <c r="E3154" t="inlineStr">
        <is>
          <t>Q1FY27</t>
        </is>
      </c>
      <c r="F3154" t="inlineStr">
        <is>
          <t>02-Jun-2026</t>
        </is>
      </c>
      <c r="G3154" t="inlineStr">
        <is>
          <t>Tuesday</t>
        </is>
      </c>
      <c r="H3154" t="inlineStr">
        <is>
          <t>Weekly - Tuesday</t>
        </is>
      </c>
      <c r="I3154" t="inlineStr">
        <is>
          <t>Weekly - Tuesday</t>
        </is>
      </c>
      <c r="J3154" t="inlineStr">
        <is>
          <t>Month+1 Expiry</t>
        </is>
      </c>
      <c r="K3154" s="25" t="n">
        <v>377922</v>
      </c>
      <c r="L3154" s="26" t="n">
        <v>586.2906</v>
      </c>
      <c r="M3154" s="26" t="n">
        <v>3.4176</v>
      </c>
    </row>
    <row r="3155" ht="16" customHeight="1">
      <c r="A3155" t="inlineStr">
        <is>
          <t>19-May-2026</t>
        </is>
      </c>
      <c r="B3155" t="inlineStr">
        <is>
          <t>Tuesday</t>
        </is>
      </c>
      <c r="C3155" t="inlineStr">
        <is>
          <t>Week3-May-2026</t>
        </is>
      </c>
      <c r="D3155" s="78" t="n">
        <v>46143</v>
      </c>
      <c r="E3155" t="inlineStr">
        <is>
          <t>Q1FY27</t>
        </is>
      </c>
      <c r="F3155" t="inlineStr">
        <is>
          <t>09-Jun-2026</t>
        </is>
      </c>
      <c r="G3155" t="inlineStr">
        <is>
          <t>Tuesday</t>
        </is>
      </c>
      <c r="H3155" t="inlineStr">
        <is>
          <t>Weekly - Tuesday</t>
        </is>
      </c>
      <c r="I3155" t="inlineStr">
        <is>
          <t>Weekly - Tuesday</t>
        </is>
      </c>
      <c r="J3155" t="inlineStr">
        <is>
          <t>Month+1 Expiry</t>
        </is>
      </c>
      <c r="K3155" s="25" t="n">
        <v>47256</v>
      </c>
      <c r="L3155" s="26" t="n">
        <v>73.1532</v>
      </c>
      <c r="M3155" s="26" t="n">
        <v>0.5998</v>
      </c>
    </row>
    <row r="3156" ht="16" customHeight="1">
      <c r="A3156" t="inlineStr">
        <is>
          <t>19-May-2026</t>
        </is>
      </c>
      <c r="B3156" t="inlineStr">
        <is>
          <t>Tuesday</t>
        </is>
      </c>
      <c r="C3156" t="inlineStr">
        <is>
          <t>Week3-May-2026</t>
        </is>
      </c>
      <c r="D3156" s="78" t="n">
        <v>46143</v>
      </c>
      <c r="E3156" t="inlineStr">
        <is>
          <t>Q1FY27</t>
        </is>
      </c>
      <c r="F3156" t="inlineStr">
        <is>
          <t>16-Jun-2026</t>
        </is>
      </c>
      <c r="G3156" t="inlineStr">
        <is>
          <t>Tuesday</t>
        </is>
      </c>
      <c r="H3156" t="inlineStr">
        <is>
          <t>Weekly - Tuesday</t>
        </is>
      </c>
      <c r="I3156" t="inlineStr">
        <is>
          <t>Weekly - Tuesday</t>
        </is>
      </c>
      <c r="J3156" t="inlineStr">
        <is>
          <t>Month+1 Expiry</t>
        </is>
      </c>
      <c r="K3156" s="25" t="n">
        <v>6743</v>
      </c>
      <c r="L3156" s="26" t="n">
        <v>10.5639</v>
      </c>
      <c r="M3156" s="26" t="n">
        <v>0.0804</v>
      </c>
    </row>
    <row r="3157" ht="16" customHeight="1">
      <c r="A3157" t="inlineStr">
        <is>
          <t>19-May-2026</t>
        </is>
      </c>
      <c r="B3157" t="inlineStr">
        <is>
          <t>Tuesday</t>
        </is>
      </c>
      <c r="C3157" t="inlineStr">
        <is>
          <t>Week3-May-2026</t>
        </is>
      </c>
      <c r="D3157" s="78" t="n">
        <v>46143</v>
      </c>
      <c r="E3157" t="inlineStr">
        <is>
          <t>Q1FY27</t>
        </is>
      </c>
      <c r="F3157" t="inlineStr">
        <is>
          <t>30-Jun-2026</t>
        </is>
      </c>
      <c r="G3157" t="inlineStr">
        <is>
          <t>Tuesday</t>
        </is>
      </c>
      <c r="H3157" t="inlineStr">
        <is>
          <t>Monthly - Tuesday</t>
        </is>
      </c>
      <c r="I3157" t="inlineStr">
        <is>
          <t>Monthly - Tuesday</t>
        </is>
      </c>
      <c r="J3157" t="inlineStr">
        <is>
          <t>Month+1 Expiry</t>
        </is>
      </c>
      <c r="K3157" s="25" t="n">
        <v>366093</v>
      </c>
      <c r="L3157" s="26" t="n">
        <v>573.0038</v>
      </c>
      <c r="M3157" s="26" t="n">
        <v>6.8684</v>
      </c>
    </row>
    <row r="3158" ht="16" customHeight="1">
      <c r="A3158" t="inlineStr">
        <is>
          <t>19-May-2026</t>
        </is>
      </c>
      <c r="B3158" t="inlineStr">
        <is>
          <t>Tuesday</t>
        </is>
      </c>
      <c r="C3158" t="inlineStr">
        <is>
          <t>Week3-May-2026</t>
        </is>
      </c>
      <c r="D3158" s="78" t="n">
        <v>46143</v>
      </c>
      <c r="E3158" t="inlineStr">
        <is>
          <t>Q1FY27</t>
        </is>
      </c>
      <c r="F3158" t="inlineStr">
        <is>
          <t>28-Jul-2026</t>
        </is>
      </c>
      <c r="G3158" t="inlineStr">
        <is>
          <t>Tuesday</t>
        </is>
      </c>
      <c r="H3158" t="inlineStr">
        <is>
          <t>Monthly - Tuesday</t>
        </is>
      </c>
      <c r="I3158" t="inlineStr">
        <is>
          <t>Monthly - Tuesday</t>
        </is>
      </c>
      <c r="J3158" t="inlineStr">
        <is>
          <t>Month+2 Expiry</t>
        </is>
      </c>
      <c r="K3158" s="25" t="n">
        <v>27688</v>
      </c>
      <c r="L3158" s="26" t="n">
        <v>43.9084</v>
      </c>
      <c r="M3158" s="26" t="n">
        <v>0.8027</v>
      </c>
    </row>
    <row r="3159" ht="16" customHeight="1">
      <c r="A3159" t="inlineStr">
        <is>
          <t>19-May-2026</t>
        </is>
      </c>
      <c r="B3159" t="inlineStr">
        <is>
          <t>Tuesday</t>
        </is>
      </c>
      <c r="C3159" t="inlineStr">
        <is>
          <t>Week3-May-2026</t>
        </is>
      </c>
      <c r="D3159" s="78" t="n">
        <v>46143</v>
      </c>
      <c r="E3159" t="inlineStr">
        <is>
          <t>Q1FY27</t>
        </is>
      </c>
      <c r="F3159" t="inlineStr">
        <is>
          <t>29-Sep-2026</t>
        </is>
      </c>
      <c r="G3159" t="inlineStr">
        <is>
          <t>Tuesday</t>
        </is>
      </c>
      <c r="H3159" t="inlineStr">
        <is>
          <t>Monthly - Tuesday</t>
        </is>
      </c>
      <c r="I3159" t="inlineStr">
        <is>
          <t>Monthly - Tuesday</t>
        </is>
      </c>
      <c r="J3159" t="inlineStr">
        <is>
          <t>Month+4 Expiry</t>
        </is>
      </c>
      <c r="K3159" s="25" t="n">
        <v>13657</v>
      </c>
      <c r="L3159" s="26" t="n">
        <v>22.445</v>
      </c>
      <c r="M3159" s="26" t="n">
        <v>0.4757</v>
      </c>
    </row>
    <row r="3160" ht="16" customHeight="1">
      <c r="A3160" t="inlineStr">
        <is>
          <t>19-May-2026</t>
        </is>
      </c>
      <c r="B3160" t="inlineStr">
        <is>
          <t>Tuesday</t>
        </is>
      </c>
      <c r="C3160" t="inlineStr">
        <is>
          <t>Week3-May-2026</t>
        </is>
      </c>
      <c r="D3160" s="78" t="n">
        <v>46143</v>
      </c>
      <c r="E3160" t="inlineStr">
        <is>
          <t>Q1FY27</t>
        </is>
      </c>
      <c r="F3160" t="inlineStr">
        <is>
          <t>29-Dec-2026</t>
        </is>
      </c>
      <c r="G3160" t="inlineStr">
        <is>
          <t>Tuesday</t>
        </is>
      </c>
      <c r="H3160" t="inlineStr">
        <is>
          <t>Monthly - Tuesday</t>
        </is>
      </c>
      <c r="I3160" t="inlineStr">
        <is>
          <t>Monthly - Tuesday</t>
        </is>
      </c>
      <c r="J3160" t="inlineStr">
        <is>
          <t>Month+7 Expiry</t>
        </is>
      </c>
      <c r="K3160" s="25" t="n">
        <v>23880</v>
      </c>
      <c r="L3160" s="26" t="n">
        <v>38.3384</v>
      </c>
      <c r="M3160" s="26" t="n">
        <v>1.1199</v>
      </c>
    </row>
    <row r="3161" ht="16" customHeight="1">
      <c r="A3161" t="inlineStr">
        <is>
          <t>19-May-2026</t>
        </is>
      </c>
      <c r="B3161" t="inlineStr">
        <is>
          <t>Tuesday</t>
        </is>
      </c>
      <c r="C3161" t="inlineStr">
        <is>
          <t>Week3-May-2026</t>
        </is>
      </c>
      <c r="D3161" s="78" t="n">
        <v>46143</v>
      </c>
      <c r="E3161" t="inlineStr">
        <is>
          <t>Q1FY27</t>
        </is>
      </c>
      <c r="F3161" t="inlineStr">
        <is>
          <t>30-Mar-2027</t>
        </is>
      </c>
      <c r="G3161" t="inlineStr">
        <is>
          <t>Tuesday</t>
        </is>
      </c>
      <c r="H3161" t="inlineStr">
        <is>
          <t>Monthly - Tuesday</t>
        </is>
      </c>
      <c r="I3161" t="inlineStr">
        <is>
          <t>Monthly - Tuesday</t>
        </is>
      </c>
      <c r="J3161" t="inlineStr">
        <is>
          <t>Month+10 Expiry</t>
        </is>
      </c>
      <c r="K3161" s="25" t="n">
        <v>0</v>
      </c>
      <c r="L3161" s="26" t="n">
        <v>0</v>
      </c>
      <c r="M3161" s="26" t="n">
        <v>0</v>
      </c>
    </row>
    <row r="3162" ht="16" customHeight="1">
      <c r="A3162" t="inlineStr">
        <is>
          <t>19-May-2026</t>
        </is>
      </c>
      <c r="B3162" t="inlineStr">
        <is>
          <t>Tuesday</t>
        </is>
      </c>
      <c r="C3162" t="inlineStr">
        <is>
          <t>Week3-May-2026</t>
        </is>
      </c>
      <c r="D3162" s="78" t="n">
        <v>46143</v>
      </c>
      <c r="E3162" t="inlineStr">
        <is>
          <t>Q1FY27</t>
        </is>
      </c>
      <c r="F3162" t="inlineStr">
        <is>
          <t>29-Jun-2027</t>
        </is>
      </c>
      <c r="G3162" t="inlineStr">
        <is>
          <t>Tuesday</t>
        </is>
      </c>
      <c r="H3162" t="inlineStr">
        <is>
          <t>Monthly - Tuesday</t>
        </is>
      </c>
      <c r="I3162" t="inlineStr">
        <is>
          <t>Monthly - Tuesday</t>
        </is>
      </c>
      <c r="J3162" t="inlineStr">
        <is>
          <t>Month+13 Expiry</t>
        </is>
      </c>
      <c r="K3162" s="25" t="n">
        <v>1</v>
      </c>
      <c r="L3162" s="26" t="n">
        <v>0.0017</v>
      </c>
      <c r="M3162" s="26" t="n">
        <v>0.0002</v>
      </c>
    </row>
    <row r="3163" ht="16" customHeight="1">
      <c r="A3163" t="inlineStr">
        <is>
          <t>19-May-2026</t>
        </is>
      </c>
      <c r="B3163" t="inlineStr">
        <is>
          <t>Tuesday</t>
        </is>
      </c>
      <c r="C3163" t="inlineStr">
        <is>
          <t>Week3-May-2026</t>
        </is>
      </c>
      <c r="D3163" s="78" t="n">
        <v>46143</v>
      </c>
      <c r="E3163" t="inlineStr">
        <is>
          <t>Q1FY27</t>
        </is>
      </c>
      <c r="F3163" t="inlineStr">
        <is>
          <t>28-Dec-2027</t>
        </is>
      </c>
      <c r="G3163" t="inlineStr">
        <is>
          <t>Tuesday</t>
        </is>
      </c>
      <c r="H3163" t="inlineStr">
        <is>
          <t>Monthly - Tuesday</t>
        </is>
      </c>
      <c r="I3163" t="inlineStr">
        <is>
          <t>Monthly - Tuesday</t>
        </is>
      </c>
      <c r="J3163" t="inlineStr">
        <is>
          <t>Month+19 Expiry</t>
        </is>
      </c>
      <c r="K3163" s="25" t="n">
        <v>250</v>
      </c>
      <c r="L3163" s="26" t="n">
        <v>0.4666</v>
      </c>
      <c r="M3163" s="26" t="n">
        <v>0.0143</v>
      </c>
    </row>
    <row r="3164" ht="16" customHeight="1">
      <c r="A3164" t="inlineStr">
        <is>
          <t>19-May-2026</t>
        </is>
      </c>
      <c r="B3164" t="inlineStr">
        <is>
          <t>Tuesday</t>
        </is>
      </c>
      <c r="C3164" t="inlineStr">
        <is>
          <t>Week3-May-2026</t>
        </is>
      </c>
      <c r="D3164" s="78" t="n">
        <v>46143</v>
      </c>
      <c r="E3164" t="inlineStr">
        <is>
          <t>Q1FY27</t>
        </is>
      </c>
      <c r="F3164" t="inlineStr">
        <is>
          <t>27-Jun-2028</t>
        </is>
      </c>
      <c r="G3164" t="inlineStr">
        <is>
          <t>Tuesday</t>
        </is>
      </c>
      <c r="H3164" t="inlineStr">
        <is>
          <t>Monthly - Tuesday</t>
        </is>
      </c>
      <c r="I3164" t="inlineStr">
        <is>
          <t>Monthly - Tuesday</t>
        </is>
      </c>
      <c r="J3164" t="inlineStr">
        <is>
          <t>Month+25 Expiry</t>
        </is>
      </c>
      <c r="K3164" s="25" t="n">
        <v>0</v>
      </c>
      <c r="L3164" s="26" t="n">
        <v>0</v>
      </c>
      <c r="M3164" s="26" t="n">
        <v>0</v>
      </c>
    </row>
    <row r="3165" ht="16" customHeight="1">
      <c r="A3165" t="inlineStr">
        <is>
          <t>19-May-2026</t>
        </is>
      </c>
      <c r="B3165" t="inlineStr">
        <is>
          <t>Tuesday</t>
        </is>
      </c>
      <c r="C3165" t="inlineStr">
        <is>
          <t>Week3-May-2026</t>
        </is>
      </c>
      <c r="D3165" s="78" t="n">
        <v>46143</v>
      </c>
      <c r="E3165" t="inlineStr">
        <is>
          <t>Q1FY27</t>
        </is>
      </c>
      <c r="F3165" t="inlineStr">
        <is>
          <t>26-Dec-2028</t>
        </is>
      </c>
      <c r="G3165" t="inlineStr">
        <is>
          <t>Tuesday</t>
        </is>
      </c>
      <c r="H3165" t="inlineStr">
        <is>
          <t>Monthly - Tuesday</t>
        </is>
      </c>
      <c r="I3165" t="inlineStr">
        <is>
          <t>Monthly - Tuesday</t>
        </is>
      </c>
      <c r="J3165" t="inlineStr">
        <is>
          <t>Month+31 Expiry</t>
        </is>
      </c>
      <c r="K3165" s="25" t="n">
        <v>2</v>
      </c>
      <c r="L3165" s="26" t="n">
        <v>0.0034</v>
      </c>
      <c r="M3165" s="26" t="n">
        <v>0.0001</v>
      </c>
    </row>
    <row r="3166" ht="16" customHeight="1">
      <c r="A3166" t="inlineStr">
        <is>
          <t>19-May-2026</t>
        </is>
      </c>
      <c r="B3166" t="inlineStr">
        <is>
          <t>Tuesday</t>
        </is>
      </c>
      <c r="C3166" t="inlineStr">
        <is>
          <t>Week3-May-2026</t>
        </is>
      </c>
      <c r="D3166" s="78" t="n">
        <v>46143</v>
      </c>
      <c r="E3166" t="inlineStr">
        <is>
          <t>Q1FY27</t>
        </is>
      </c>
      <c r="F3166" t="inlineStr">
        <is>
          <t>26-Jun-2029</t>
        </is>
      </c>
      <c r="G3166" t="inlineStr">
        <is>
          <t>Tuesday</t>
        </is>
      </c>
      <c r="H3166" t="inlineStr">
        <is>
          <t>Monthly - Tuesday</t>
        </is>
      </c>
      <c r="I3166" t="inlineStr">
        <is>
          <t>Monthly - Tuesday</t>
        </is>
      </c>
      <c r="J3166" t="inlineStr">
        <is>
          <t>Month+37 Expiry</t>
        </is>
      </c>
      <c r="K3166" s="25" t="n">
        <v>0</v>
      </c>
      <c r="L3166" s="26" t="n">
        <v>0</v>
      </c>
      <c r="M3166" s="26" t="n">
        <v>0</v>
      </c>
    </row>
    <row r="3167" ht="16" customHeight="1">
      <c r="A3167" t="inlineStr">
        <is>
          <t>19-May-2026</t>
        </is>
      </c>
      <c r="B3167" t="inlineStr">
        <is>
          <t>Tuesday</t>
        </is>
      </c>
      <c r="C3167" t="inlineStr">
        <is>
          <t>Week3-May-2026</t>
        </is>
      </c>
      <c r="D3167" s="78" t="n">
        <v>46143</v>
      </c>
      <c r="E3167" t="inlineStr">
        <is>
          <t>Q1FY27</t>
        </is>
      </c>
      <c r="F3167" t="inlineStr">
        <is>
          <t>24-Dec-2029</t>
        </is>
      </c>
      <c r="G3167" t="inlineStr">
        <is>
          <t>Monday</t>
        </is>
      </c>
      <c r="H3167" t="inlineStr">
        <is>
          <t>Weekly - Monday</t>
        </is>
      </c>
      <c r="I3167" t="inlineStr">
        <is>
          <t>Weekly - Monday</t>
        </is>
      </c>
      <c r="J3167" t="inlineStr">
        <is>
          <t>Month+43 Expiry</t>
        </is>
      </c>
      <c r="K3167" s="25" t="n">
        <v>1</v>
      </c>
      <c r="L3167" s="26" t="n">
        <v>0.0018</v>
      </c>
      <c r="M3167" s="26" t="n">
        <v>0.0001</v>
      </c>
    </row>
    <row r="3168" ht="16" customHeight="1">
      <c r="A3168" t="inlineStr">
        <is>
          <t>19-May-2026</t>
        </is>
      </c>
      <c r="B3168" t="inlineStr">
        <is>
          <t>Tuesday</t>
        </is>
      </c>
      <c r="C3168" t="inlineStr">
        <is>
          <t>Week3-May-2026</t>
        </is>
      </c>
      <c r="D3168" s="78" t="n">
        <v>46143</v>
      </c>
      <c r="E3168" t="inlineStr">
        <is>
          <t>Q1FY27</t>
        </is>
      </c>
      <c r="F3168" t="inlineStr">
        <is>
          <t>25-Jun-2030</t>
        </is>
      </c>
      <c r="G3168" t="inlineStr">
        <is>
          <t>Tuesday</t>
        </is>
      </c>
      <c r="H3168" t="inlineStr">
        <is>
          <t>Monthly - Tuesday</t>
        </is>
      </c>
      <c r="I3168" t="inlineStr">
        <is>
          <t>Monthly - Tuesday</t>
        </is>
      </c>
      <c r="J3168" t="inlineStr">
        <is>
          <t>Month+49 Expiry</t>
        </is>
      </c>
      <c r="K3168" s="25" t="n">
        <v>0</v>
      </c>
      <c r="L3168" s="26" t="n">
        <v>0</v>
      </c>
      <c r="M3168" s="26" t="n">
        <v>0</v>
      </c>
    </row>
    <row r="3169" ht="16" customHeight="1">
      <c r="A3169" t="inlineStr">
        <is>
          <t>19-May-2026</t>
        </is>
      </c>
      <c r="B3169" t="inlineStr">
        <is>
          <t>Tuesday</t>
        </is>
      </c>
      <c r="C3169" t="inlineStr">
        <is>
          <t>Week3-May-2026</t>
        </is>
      </c>
      <c r="D3169" s="78" t="n">
        <v>46143</v>
      </c>
      <c r="E3169" t="inlineStr">
        <is>
          <t>Q1FY27</t>
        </is>
      </c>
      <c r="F3169" t="inlineStr">
        <is>
          <t>31-Dec-2030</t>
        </is>
      </c>
      <c r="G3169" t="inlineStr">
        <is>
          <t>Tuesday</t>
        </is>
      </c>
      <c r="H3169" t="inlineStr">
        <is>
          <t>Monthly - Tuesday</t>
        </is>
      </c>
      <c r="I3169" t="inlineStr">
        <is>
          <t>Monthly - Tuesday</t>
        </is>
      </c>
      <c r="J3169" t="inlineStr">
        <is>
          <t>Month+55 Expiry</t>
        </is>
      </c>
      <c r="K3169" s="25" t="n">
        <v>0</v>
      </c>
      <c r="L3169" s="26" t="n">
        <v>0</v>
      </c>
      <c r="M3169" s="26" t="n">
        <v>0</v>
      </c>
    </row>
    <row r="3170" ht="16" customHeight="1">
      <c r="A3170" t="inlineStr">
        <is>
          <t>20-May-2026</t>
        </is>
      </c>
      <c r="B3170" t="inlineStr">
        <is>
          <t>Wednesday</t>
        </is>
      </c>
      <c r="C3170" t="inlineStr">
        <is>
          <t>Week3-May-2026</t>
        </is>
      </c>
      <c r="D3170" s="78" t="n">
        <v>46143</v>
      </c>
      <c r="E3170" t="inlineStr">
        <is>
          <t>Q1FY27</t>
        </is>
      </c>
      <c r="F3170" t="inlineStr">
        <is>
          <t>26-May-2026</t>
        </is>
      </c>
      <c r="G3170" t="inlineStr">
        <is>
          <t>Tuesday</t>
        </is>
      </c>
      <c r="H3170" t="inlineStr">
        <is>
          <t>Monthly - Tuesday</t>
        </is>
      </c>
      <c r="I3170" t="inlineStr">
        <is>
          <t>MDAW - Tuesday</t>
        </is>
      </c>
      <c r="J3170" t="inlineStr">
        <is>
          <t>Same Month Expiry</t>
        </is>
      </c>
      <c r="K3170" s="25" t="n">
        <v>42783477</v>
      </c>
      <c r="L3170" s="26" t="n">
        <v>65897.1379</v>
      </c>
      <c r="M3170" s="26" t="n">
        <v>342.0296</v>
      </c>
    </row>
    <row r="3171" ht="16" customHeight="1">
      <c r="A3171" t="inlineStr">
        <is>
          <t>20-May-2026</t>
        </is>
      </c>
      <c r="B3171" t="inlineStr">
        <is>
          <t>Wednesday</t>
        </is>
      </c>
      <c r="C3171" t="inlineStr">
        <is>
          <t>Week3-May-2026</t>
        </is>
      </c>
      <c r="D3171" s="78" t="n">
        <v>46143</v>
      </c>
      <c r="E3171" t="inlineStr">
        <is>
          <t>Q1FY27</t>
        </is>
      </c>
      <c r="F3171" t="inlineStr">
        <is>
          <t>02-Jun-2026</t>
        </is>
      </c>
      <c r="G3171" t="inlineStr">
        <is>
          <t>Tuesday</t>
        </is>
      </c>
      <c r="H3171" t="inlineStr">
        <is>
          <t>Weekly - Tuesday</t>
        </is>
      </c>
      <c r="I3171" t="inlineStr">
        <is>
          <t>Weekly - Tuesday</t>
        </is>
      </c>
      <c r="J3171" t="inlineStr">
        <is>
          <t>Month+1 Expiry</t>
        </is>
      </c>
      <c r="K3171" s="25" t="n">
        <v>994982</v>
      </c>
      <c r="L3171" s="26" t="n">
        <v>1541.6281</v>
      </c>
      <c r="M3171" s="26" t="n">
        <v>9.5619</v>
      </c>
    </row>
    <row r="3172" ht="16" customHeight="1">
      <c r="A3172" t="inlineStr">
        <is>
          <t>20-May-2026</t>
        </is>
      </c>
      <c r="B3172" t="inlineStr">
        <is>
          <t>Wednesday</t>
        </is>
      </c>
      <c r="C3172" t="inlineStr">
        <is>
          <t>Week3-May-2026</t>
        </is>
      </c>
      <c r="D3172" s="78" t="n">
        <v>46143</v>
      </c>
      <c r="E3172" t="inlineStr">
        <is>
          <t>Q1FY27</t>
        </is>
      </c>
      <c r="F3172" t="inlineStr">
        <is>
          <t>09-Jun-2026</t>
        </is>
      </c>
      <c r="G3172" t="inlineStr">
        <is>
          <t>Tuesday</t>
        </is>
      </c>
      <c r="H3172" t="inlineStr">
        <is>
          <t>Weekly - Tuesday</t>
        </is>
      </c>
      <c r="I3172" t="inlineStr">
        <is>
          <t>Weekly - Tuesday</t>
        </is>
      </c>
      <c r="J3172" t="inlineStr">
        <is>
          <t>Month+1 Expiry</t>
        </is>
      </c>
      <c r="K3172" s="25" t="n">
        <v>76313</v>
      </c>
      <c r="L3172" s="26" t="n">
        <v>118.1732</v>
      </c>
      <c r="M3172" s="26" t="n">
        <v>0.906</v>
      </c>
    </row>
    <row r="3173" ht="16" customHeight="1">
      <c r="A3173" t="inlineStr">
        <is>
          <t>20-May-2026</t>
        </is>
      </c>
      <c r="B3173" t="inlineStr">
        <is>
          <t>Wednesday</t>
        </is>
      </c>
      <c r="C3173" t="inlineStr">
        <is>
          <t>Week3-May-2026</t>
        </is>
      </c>
      <c r="D3173" s="78" t="n">
        <v>46143</v>
      </c>
      <c r="E3173" t="inlineStr">
        <is>
          <t>Q1FY27</t>
        </is>
      </c>
      <c r="F3173" t="inlineStr">
        <is>
          <t>16-Jun-2026</t>
        </is>
      </c>
      <c r="G3173" t="inlineStr">
        <is>
          <t>Tuesday</t>
        </is>
      </c>
      <c r="H3173" t="inlineStr">
        <is>
          <t>Weekly - Tuesday</t>
        </is>
      </c>
      <c r="I3173" t="inlineStr">
        <is>
          <t>Weekly - Tuesday</t>
        </is>
      </c>
      <c r="J3173" t="inlineStr">
        <is>
          <t>Month+1 Expiry</t>
        </is>
      </c>
      <c r="K3173" s="25" t="n">
        <v>14259</v>
      </c>
      <c r="L3173" s="26" t="n">
        <v>22.2298</v>
      </c>
      <c r="M3173" s="26" t="n">
        <v>0.3105</v>
      </c>
    </row>
    <row r="3174" ht="16" customHeight="1">
      <c r="A3174" t="inlineStr">
        <is>
          <t>20-May-2026</t>
        </is>
      </c>
      <c r="B3174" t="inlineStr">
        <is>
          <t>Wednesday</t>
        </is>
      </c>
      <c r="C3174" t="inlineStr">
        <is>
          <t>Week3-May-2026</t>
        </is>
      </c>
      <c r="D3174" s="78" t="n">
        <v>46143</v>
      </c>
      <c r="E3174" t="inlineStr">
        <is>
          <t>Q1FY27</t>
        </is>
      </c>
      <c r="F3174" t="inlineStr">
        <is>
          <t>23-Jun-2026</t>
        </is>
      </c>
      <c r="G3174" t="inlineStr">
        <is>
          <t>Tuesday</t>
        </is>
      </c>
      <c r="H3174" t="inlineStr">
        <is>
          <t>Weekly - Tuesday</t>
        </is>
      </c>
      <c r="I3174" t="inlineStr">
        <is>
          <t>Weekly - Tuesday</t>
        </is>
      </c>
      <c r="J3174" t="inlineStr">
        <is>
          <t>Month+1 Expiry</t>
        </is>
      </c>
      <c r="K3174" s="25" t="n">
        <v>5595</v>
      </c>
      <c r="L3174" s="26" t="n">
        <v>8.768599999999999</v>
      </c>
      <c r="M3174" s="26" t="n">
        <v>0.1672</v>
      </c>
    </row>
    <row r="3175" ht="16" customHeight="1">
      <c r="A3175" t="inlineStr">
        <is>
          <t>20-May-2026</t>
        </is>
      </c>
      <c r="B3175" t="inlineStr">
        <is>
          <t>Wednesday</t>
        </is>
      </c>
      <c r="C3175" t="inlineStr">
        <is>
          <t>Week3-May-2026</t>
        </is>
      </c>
      <c r="D3175" s="78" t="n">
        <v>46143</v>
      </c>
      <c r="E3175" t="inlineStr">
        <is>
          <t>Q1FY27</t>
        </is>
      </c>
      <c r="F3175" t="inlineStr">
        <is>
          <t>30-Jun-2026</t>
        </is>
      </c>
      <c r="G3175" t="inlineStr">
        <is>
          <t>Tuesday</t>
        </is>
      </c>
      <c r="H3175" t="inlineStr">
        <is>
          <t>Monthly - Tuesday</t>
        </is>
      </c>
      <c r="I3175" t="inlineStr">
        <is>
          <t>Monthly - Tuesday</t>
        </is>
      </c>
      <c r="J3175" t="inlineStr">
        <is>
          <t>Month+1 Expiry</t>
        </is>
      </c>
      <c r="K3175" s="25" t="n">
        <v>522738</v>
      </c>
      <c r="L3175" s="26" t="n">
        <v>821.0111000000001</v>
      </c>
      <c r="M3175" s="26" t="n">
        <v>10.8087</v>
      </c>
    </row>
    <row r="3176" ht="16" customHeight="1">
      <c r="A3176" t="inlineStr">
        <is>
          <t>20-May-2026</t>
        </is>
      </c>
      <c r="B3176" t="inlineStr">
        <is>
          <t>Wednesday</t>
        </is>
      </c>
      <c r="C3176" t="inlineStr">
        <is>
          <t>Week3-May-2026</t>
        </is>
      </c>
      <c r="D3176" s="78" t="n">
        <v>46143</v>
      </c>
      <c r="E3176" t="inlineStr">
        <is>
          <t>Q1FY27</t>
        </is>
      </c>
      <c r="F3176" t="inlineStr">
        <is>
          <t>28-Jul-2026</t>
        </is>
      </c>
      <c r="G3176" t="inlineStr">
        <is>
          <t>Tuesday</t>
        </is>
      </c>
      <c r="H3176" t="inlineStr">
        <is>
          <t>Monthly - Tuesday</t>
        </is>
      </c>
      <c r="I3176" t="inlineStr">
        <is>
          <t>Monthly - Tuesday</t>
        </is>
      </c>
      <c r="J3176" t="inlineStr">
        <is>
          <t>Month+2 Expiry</t>
        </is>
      </c>
      <c r="K3176" s="25" t="n">
        <v>34396</v>
      </c>
      <c r="L3176" s="26" t="n">
        <v>54.2927</v>
      </c>
      <c r="M3176" s="26" t="n">
        <v>0.8075</v>
      </c>
    </row>
    <row r="3177" ht="16" customHeight="1">
      <c r="A3177" t="inlineStr">
        <is>
          <t>20-May-2026</t>
        </is>
      </c>
      <c r="B3177" t="inlineStr">
        <is>
          <t>Wednesday</t>
        </is>
      </c>
      <c r="C3177" t="inlineStr">
        <is>
          <t>Week3-May-2026</t>
        </is>
      </c>
      <c r="D3177" s="78" t="n">
        <v>46143</v>
      </c>
      <c r="E3177" t="inlineStr">
        <is>
          <t>Q1FY27</t>
        </is>
      </c>
      <c r="F3177" t="inlineStr">
        <is>
          <t>29-Sep-2026</t>
        </is>
      </c>
      <c r="G3177" t="inlineStr">
        <is>
          <t>Tuesday</t>
        </is>
      </c>
      <c r="H3177" t="inlineStr">
        <is>
          <t>Monthly - Tuesday</t>
        </is>
      </c>
      <c r="I3177" t="inlineStr">
        <is>
          <t>Monthly - Tuesday</t>
        </is>
      </c>
      <c r="J3177" t="inlineStr">
        <is>
          <t>Month+4 Expiry</t>
        </is>
      </c>
      <c r="K3177" s="25" t="n">
        <v>17433</v>
      </c>
      <c r="L3177" s="26" t="n">
        <v>29.2501</v>
      </c>
      <c r="M3177" s="26" t="n">
        <v>0.4797</v>
      </c>
    </row>
    <row r="3178" ht="16" customHeight="1">
      <c r="A3178" t="inlineStr">
        <is>
          <t>20-May-2026</t>
        </is>
      </c>
      <c r="B3178" t="inlineStr">
        <is>
          <t>Wednesday</t>
        </is>
      </c>
      <c r="C3178" t="inlineStr">
        <is>
          <t>Week3-May-2026</t>
        </is>
      </c>
      <c r="D3178" s="78" t="n">
        <v>46143</v>
      </c>
      <c r="E3178" t="inlineStr">
        <is>
          <t>Q1FY27</t>
        </is>
      </c>
      <c r="F3178" t="inlineStr">
        <is>
          <t>29-Dec-2026</t>
        </is>
      </c>
      <c r="G3178" t="inlineStr">
        <is>
          <t>Tuesday</t>
        </is>
      </c>
      <c r="H3178" t="inlineStr">
        <is>
          <t>Monthly - Tuesday</t>
        </is>
      </c>
      <c r="I3178" t="inlineStr">
        <is>
          <t>Monthly - Tuesday</t>
        </is>
      </c>
      <c r="J3178" t="inlineStr">
        <is>
          <t>Month+7 Expiry</t>
        </is>
      </c>
      <c r="K3178" s="25" t="n">
        <v>25923</v>
      </c>
      <c r="L3178" s="26" t="n">
        <v>42.8328</v>
      </c>
      <c r="M3178" s="26" t="n">
        <v>1.0612</v>
      </c>
    </row>
    <row r="3179" ht="16" customHeight="1">
      <c r="A3179" t="inlineStr">
        <is>
          <t>20-May-2026</t>
        </is>
      </c>
      <c r="B3179" t="inlineStr">
        <is>
          <t>Wednesday</t>
        </is>
      </c>
      <c r="C3179" t="inlineStr">
        <is>
          <t>Week3-May-2026</t>
        </is>
      </c>
      <c r="D3179" s="78" t="n">
        <v>46143</v>
      </c>
      <c r="E3179" t="inlineStr">
        <is>
          <t>Q1FY27</t>
        </is>
      </c>
      <c r="F3179" t="inlineStr">
        <is>
          <t>30-Mar-2027</t>
        </is>
      </c>
      <c r="G3179" t="inlineStr">
        <is>
          <t>Tuesday</t>
        </is>
      </c>
      <c r="H3179" t="inlineStr">
        <is>
          <t>Monthly - Tuesday</t>
        </is>
      </c>
      <c r="I3179" t="inlineStr">
        <is>
          <t>Monthly - Tuesday</t>
        </is>
      </c>
      <c r="J3179" t="inlineStr">
        <is>
          <t>Month+10 Expiry</t>
        </is>
      </c>
      <c r="K3179" s="25" t="n">
        <v>3</v>
      </c>
      <c r="L3179" s="26" t="n">
        <v>0.0042</v>
      </c>
      <c r="M3179" s="26" t="n">
        <v>0.0001</v>
      </c>
    </row>
    <row r="3180" ht="16" customHeight="1">
      <c r="A3180" t="inlineStr">
        <is>
          <t>20-May-2026</t>
        </is>
      </c>
      <c r="B3180" t="inlineStr">
        <is>
          <t>Wednesday</t>
        </is>
      </c>
      <c r="C3180" t="inlineStr">
        <is>
          <t>Week3-May-2026</t>
        </is>
      </c>
      <c r="D3180" s="78" t="n">
        <v>46143</v>
      </c>
      <c r="E3180" t="inlineStr">
        <is>
          <t>Q1FY27</t>
        </is>
      </c>
      <c r="F3180" t="inlineStr">
        <is>
          <t>29-Jun-2027</t>
        </is>
      </c>
      <c r="G3180" t="inlineStr">
        <is>
          <t>Tuesday</t>
        </is>
      </c>
      <c r="H3180" t="inlineStr">
        <is>
          <t>Monthly - Tuesday</t>
        </is>
      </c>
      <c r="I3180" t="inlineStr">
        <is>
          <t>Monthly - Tuesday</t>
        </is>
      </c>
      <c r="J3180" t="inlineStr">
        <is>
          <t>Month+13 Expiry</t>
        </is>
      </c>
      <c r="K3180" s="25" t="n">
        <v>0</v>
      </c>
      <c r="L3180" s="26" t="n">
        <v>0</v>
      </c>
      <c r="M3180" s="26" t="n">
        <v>0</v>
      </c>
    </row>
    <row r="3181" ht="16" customHeight="1">
      <c r="A3181" t="inlineStr">
        <is>
          <t>20-May-2026</t>
        </is>
      </c>
      <c r="B3181" t="inlineStr">
        <is>
          <t>Wednesday</t>
        </is>
      </c>
      <c r="C3181" t="inlineStr">
        <is>
          <t>Week3-May-2026</t>
        </is>
      </c>
      <c r="D3181" s="78" t="n">
        <v>46143</v>
      </c>
      <c r="E3181" t="inlineStr">
        <is>
          <t>Q1FY27</t>
        </is>
      </c>
      <c r="F3181" t="inlineStr">
        <is>
          <t>28-Dec-2027</t>
        </is>
      </c>
      <c r="G3181" t="inlineStr">
        <is>
          <t>Tuesday</t>
        </is>
      </c>
      <c r="H3181" t="inlineStr">
        <is>
          <t>Monthly - Tuesday</t>
        </is>
      </c>
      <c r="I3181" t="inlineStr">
        <is>
          <t>Monthly - Tuesday</t>
        </is>
      </c>
      <c r="J3181" t="inlineStr">
        <is>
          <t>Month+19 Expiry</t>
        </is>
      </c>
      <c r="K3181" s="25" t="n">
        <v>238</v>
      </c>
      <c r="L3181" s="26" t="n">
        <v>0.3999</v>
      </c>
      <c r="M3181" s="26" t="n">
        <v>0.019</v>
      </c>
    </row>
    <row r="3182" ht="16" customHeight="1">
      <c r="A3182" t="inlineStr">
        <is>
          <t>20-May-2026</t>
        </is>
      </c>
      <c r="B3182" t="inlineStr">
        <is>
          <t>Wednesday</t>
        </is>
      </c>
      <c r="C3182" t="inlineStr">
        <is>
          <t>Week3-May-2026</t>
        </is>
      </c>
      <c r="D3182" s="78" t="n">
        <v>46143</v>
      </c>
      <c r="E3182" t="inlineStr">
        <is>
          <t>Q1FY27</t>
        </is>
      </c>
      <c r="F3182" t="inlineStr">
        <is>
          <t>27-Jun-2028</t>
        </is>
      </c>
      <c r="G3182" t="inlineStr">
        <is>
          <t>Tuesday</t>
        </is>
      </c>
      <c r="H3182" t="inlineStr">
        <is>
          <t>Monthly - Tuesday</t>
        </is>
      </c>
      <c r="I3182" t="inlineStr">
        <is>
          <t>Monthly - Tuesday</t>
        </is>
      </c>
      <c r="J3182" t="inlineStr">
        <is>
          <t>Month+25 Expiry</t>
        </is>
      </c>
      <c r="K3182" s="25" t="n">
        <v>0</v>
      </c>
      <c r="L3182" s="26" t="n">
        <v>0</v>
      </c>
      <c r="M3182" s="26" t="n">
        <v>0</v>
      </c>
    </row>
    <row r="3183" ht="16" customHeight="1">
      <c r="A3183" t="inlineStr">
        <is>
          <t>20-May-2026</t>
        </is>
      </c>
      <c r="B3183" t="inlineStr">
        <is>
          <t>Wednesday</t>
        </is>
      </c>
      <c r="C3183" t="inlineStr">
        <is>
          <t>Week3-May-2026</t>
        </is>
      </c>
      <c r="D3183" s="78" t="n">
        <v>46143</v>
      </c>
      <c r="E3183" t="inlineStr">
        <is>
          <t>Q1FY27</t>
        </is>
      </c>
      <c r="F3183" t="inlineStr">
        <is>
          <t>26-Dec-2028</t>
        </is>
      </c>
      <c r="G3183" t="inlineStr">
        <is>
          <t>Tuesday</t>
        </is>
      </c>
      <c r="H3183" t="inlineStr">
        <is>
          <t>Monthly - Tuesday</t>
        </is>
      </c>
      <c r="I3183" t="inlineStr">
        <is>
          <t>Monthly - Tuesday</t>
        </is>
      </c>
      <c r="J3183" t="inlineStr">
        <is>
          <t>Month+31 Expiry</t>
        </is>
      </c>
      <c r="K3183" s="25" t="n">
        <v>25</v>
      </c>
      <c r="L3183" s="26" t="n">
        <v>0.0489</v>
      </c>
      <c r="M3183" s="26" t="n">
        <v>0.0034</v>
      </c>
    </row>
    <row r="3184" ht="16" customHeight="1">
      <c r="A3184" t="inlineStr">
        <is>
          <t>20-May-2026</t>
        </is>
      </c>
      <c r="B3184" t="inlineStr">
        <is>
          <t>Wednesday</t>
        </is>
      </c>
      <c r="C3184" t="inlineStr">
        <is>
          <t>Week3-May-2026</t>
        </is>
      </c>
      <c r="D3184" s="78" t="n">
        <v>46143</v>
      </c>
      <c r="E3184" t="inlineStr">
        <is>
          <t>Q1FY27</t>
        </is>
      </c>
      <c r="F3184" t="inlineStr">
        <is>
          <t>26-Jun-2029</t>
        </is>
      </c>
      <c r="G3184" t="inlineStr">
        <is>
          <t>Tuesday</t>
        </is>
      </c>
      <c r="H3184" t="inlineStr">
        <is>
          <t>Monthly - Tuesday</t>
        </is>
      </c>
      <c r="I3184" t="inlineStr">
        <is>
          <t>Monthly - Tuesday</t>
        </is>
      </c>
      <c r="J3184" t="inlineStr">
        <is>
          <t>Month+37 Expiry</t>
        </is>
      </c>
      <c r="K3184" s="25" t="n">
        <v>0</v>
      </c>
      <c r="L3184" s="26" t="n">
        <v>0</v>
      </c>
      <c r="M3184" s="26" t="n">
        <v>0</v>
      </c>
    </row>
    <row r="3185" ht="16" customHeight="1">
      <c r="A3185" t="inlineStr">
        <is>
          <t>20-May-2026</t>
        </is>
      </c>
      <c r="B3185" t="inlineStr">
        <is>
          <t>Wednesday</t>
        </is>
      </c>
      <c r="C3185" t="inlineStr">
        <is>
          <t>Week3-May-2026</t>
        </is>
      </c>
      <c r="D3185" s="78" t="n">
        <v>46143</v>
      </c>
      <c r="E3185" t="inlineStr">
        <is>
          <t>Q1FY27</t>
        </is>
      </c>
      <c r="F3185" t="inlineStr">
        <is>
          <t>24-Dec-2029</t>
        </is>
      </c>
      <c r="G3185" t="inlineStr">
        <is>
          <t>Monday</t>
        </is>
      </c>
      <c r="H3185" t="inlineStr">
        <is>
          <t>Weekly - Monday</t>
        </is>
      </c>
      <c r="I3185" t="inlineStr">
        <is>
          <t>Weekly - Monday</t>
        </is>
      </c>
      <c r="J3185" t="inlineStr">
        <is>
          <t>Month+43 Expiry</t>
        </is>
      </c>
      <c r="K3185" s="25" t="n">
        <v>0</v>
      </c>
      <c r="L3185" s="26" t="n">
        <v>0</v>
      </c>
      <c r="M3185" s="26" t="n">
        <v>0</v>
      </c>
    </row>
    <row r="3186" ht="16" customHeight="1">
      <c r="A3186" t="inlineStr">
        <is>
          <t>20-May-2026</t>
        </is>
      </c>
      <c r="B3186" t="inlineStr">
        <is>
          <t>Wednesday</t>
        </is>
      </c>
      <c r="C3186" t="inlineStr">
        <is>
          <t>Week3-May-2026</t>
        </is>
      </c>
      <c r="D3186" s="78" t="n">
        <v>46143</v>
      </c>
      <c r="E3186" t="inlineStr">
        <is>
          <t>Q1FY27</t>
        </is>
      </c>
      <c r="F3186" t="inlineStr">
        <is>
          <t>25-Jun-2030</t>
        </is>
      </c>
      <c r="G3186" t="inlineStr">
        <is>
          <t>Tuesday</t>
        </is>
      </c>
      <c r="H3186" t="inlineStr">
        <is>
          <t>Monthly - Tuesday</t>
        </is>
      </c>
      <c r="I3186" t="inlineStr">
        <is>
          <t>Monthly - Tuesday</t>
        </is>
      </c>
      <c r="J3186" t="inlineStr">
        <is>
          <t>Month+49 Expiry</t>
        </is>
      </c>
      <c r="K3186" s="25" t="n">
        <v>0</v>
      </c>
      <c r="L3186" s="26" t="n">
        <v>0</v>
      </c>
      <c r="M3186" s="26" t="n">
        <v>0</v>
      </c>
    </row>
    <row r="3187" ht="16" customHeight="1">
      <c r="A3187" t="inlineStr">
        <is>
          <t>20-May-2026</t>
        </is>
      </c>
      <c r="B3187" t="inlineStr">
        <is>
          <t>Wednesday</t>
        </is>
      </c>
      <c r="C3187" t="inlineStr">
        <is>
          <t>Week3-May-2026</t>
        </is>
      </c>
      <c r="D3187" s="78" t="n">
        <v>46143</v>
      </c>
      <c r="E3187" t="inlineStr">
        <is>
          <t>Q1FY27</t>
        </is>
      </c>
      <c r="F3187" t="inlineStr">
        <is>
          <t>31-Dec-2030</t>
        </is>
      </c>
      <c r="G3187" t="inlineStr">
        <is>
          <t>Tuesday</t>
        </is>
      </c>
      <c r="H3187" t="inlineStr">
        <is>
          <t>Monthly - Tuesday</t>
        </is>
      </c>
      <c r="I3187" t="inlineStr">
        <is>
          <t>Monthly - Tuesday</t>
        </is>
      </c>
      <c r="J3187" t="inlineStr">
        <is>
          <t>Month+55 Expiry</t>
        </is>
      </c>
      <c r="K3187" s="25" t="n">
        <v>0</v>
      </c>
      <c r="L3187" s="26" t="n">
        <v>0</v>
      </c>
      <c r="M3187" s="26" t="n">
        <v>0</v>
      </c>
    </row>
    <row r="3188" ht="16" customHeight="1">
      <c r="A3188" t="inlineStr">
        <is>
          <t>21-May-2026</t>
        </is>
      </c>
      <c r="B3188" t="inlineStr">
        <is>
          <t>Thursday</t>
        </is>
      </c>
      <c r="C3188" t="inlineStr">
        <is>
          <t>Week3-May-2026</t>
        </is>
      </c>
      <c r="D3188" s="78" t="n">
        <v>46143</v>
      </c>
      <c r="E3188" t="inlineStr">
        <is>
          <t>Q1FY27</t>
        </is>
      </c>
      <c r="F3188" t="inlineStr">
        <is>
          <t>26-May-2026</t>
        </is>
      </c>
      <c r="G3188" t="inlineStr">
        <is>
          <t>Tuesday</t>
        </is>
      </c>
      <c r="H3188" t="inlineStr">
        <is>
          <t>Monthly - Tuesday</t>
        </is>
      </c>
      <c r="I3188" t="inlineStr">
        <is>
          <t>MDAW - Tuesday</t>
        </is>
      </c>
      <c r="J3188" t="inlineStr">
        <is>
          <t>Same Month Expiry</t>
        </is>
      </c>
      <c r="K3188" s="25" t="n">
        <v>46292778</v>
      </c>
      <c r="L3188" s="26" t="n">
        <v>71409.6618</v>
      </c>
      <c r="M3188" s="26" t="n">
        <v>287.6598</v>
      </c>
    </row>
    <row r="3189" ht="16" customHeight="1">
      <c r="A3189" t="inlineStr">
        <is>
          <t>21-May-2026</t>
        </is>
      </c>
      <c r="B3189" t="inlineStr">
        <is>
          <t>Thursday</t>
        </is>
      </c>
      <c r="C3189" t="inlineStr">
        <is>
          <t>Week3-May-2026</t>
        </is>
      </c>
      <c r="D3189" s="78" t="n">
        <v>46143</v>
      </c>
      <c r="E3189" t="inlineStr">
        <is>
          <t>Q1FY27</t>
        </is>
      </c>
      <c r="F3189" t="inlineStr">
        <is>
          <t>02-Jun-2026</t>
        </is>
      </c>
      <c r="G3189" t="inlineStr">
        <is>
          <t>Tuesday</t>
        </is>
      </c>
      <c r="H3189" t="inlineStr">
        <is>
          <t>Weekly - Tuesday</t>
        </is>
      </c>
      <c r="I3189" t="inlineStr">
        <is>
          <t>Weekly - Tuesday</t>
        </is>
      </c>
      <c r="J3189" t="inlineStr">
        <is>
          <t>Month+1 Expiry</t>
        </is>
      </c>
      <c r="K3189" s="25" t="n">
        <v>1535052</v>
      </c>
      <c r="L3189" s="26" t="n">
        <v>2368.7916</v>
      </c>
      <c r="M3189" s="26" t="n">
        <v>12.4673</v>
      </c>
    </row>
    <row r="3190" ht="16" customHeight="1">
      <c r="A3190" t="inlineStr">
        <is>
          <t>21-May-2026</t>
        </is>
      </c>
      <c r="B3190" t="inlineStr">
        <is>
          <t>Thursday</t>
        </is>
      </c>
      <c r="C3190" t="inlineStr">
        <is>
          <t>Week3-May-2026</t>
        </is>
      </c>
      <c r="D3190" s="78" t="n">
        <v>46143</v>
      </c>
      <c r="E3190" t="inlineStr">
        <is>
          <t>Q1FY27</t>
        </is>
      </c>
      <c r="F3190" t="inlineStr">
        <is>
          <t>09-Jun-2026</t>
        </is>
      </c>
      <c r="G3190" t="inlineStr">
        <is>
          <t>Tuesday</t>
        </is>
      </c>
      <c r="H3190" t="inlineStr">
        <is>
          <t>Weekly - Tuesday</t>
        </is>
      </c>
      <c r="I3190" t="inlineStr">
        <is>
          <t>Weekly - Tuesday</t>
        </is>
      </c>
      <c r="J3190" t="inlineStr">
        <is>
          <t>Month+1 Expiry</t>
        </is>
      </c>
      <c r="K3190" s="25" t="n">
        <v>111043</v>
      </c>
      <c r="L3190" s="26" t="n">
        <v>171.5625</v>
      </c>
      <c r="M3190" s="26" t="n">
        <v>1.1586</v>
      </c>
    </row>
    <row r="3191" ht="16" customHeight="1">
      <c r="A3191" t="inlineStr">
        <is>
          <t>21-May-2026</t>
        </is>
      </c>
      <c r="B3191" t="inlineStr">
        <is>
          <t>Thursday</t>
        </is>
      </c>
      <c r="C3191" t="inlineStr">
        <is>
          <t>Week3-May-2026</t>
        </is>
      </c>
      <c r="D3191" s="78" t="n">
        <v>46143</v>
      </c>
      <c r="E3191" t="inlineStr">
        <is>
          <t>Q1FY27</t>
        </is>
      </c>
      <c r="F3191" t="inlineStr">
        <is>
          <t>16-Jun-2026</t>
        </is>
      </c>
      <c r="G3191" t="inlineStr">
        <is>
          <t>Tuesday</t>
        </is>
      </c>
      <c r="H3191" t="inlineStr">
        <is>
          <t>Weekly - Tuesday</t>
        </is>
      </c>
      <c r="I3191" t="inlineStr">
        <is>
          <t>Weekly - Tuesday</t>
        </is>
      </c>
      <c r="J3191" t="inlineStr">
        <is>
          <t>Month+1 Expiry</t>
        </is>
      </c>
      <c r="K3191" s="25" t="n">
        <v>14458</v>
      </c>
      <c r="L3191" s="26" t="n">
        <v>22.5342</v>
      </c>
      <c r="M3191" s="26" t="n">
        <v>0.2205</v>
      </c>
    </row>
    <row r="3192" ht="16" customHeight="1">
      <c r="A3192" t="inlineStr">
        <is>
          <t>21-May-2026</t>
        </is>
      </c>
      <c r="B3192" t="inlineStr">
        <is>
          <t>Thursday</t>
        </is>
      </c>
      <c r="C3192" t="inlineStr">
        <is>
          <t>Week3-May-2026</t>
        </is>
      </c>
      <c r="D3192" s="78" t="n">
        <v>46143</v>
      </c>
      <c r="E3192" t="inlineStr">
        <is>
          <t>Q1FY27</t>
        </is>
      </c>
      <c r="F3192" t="inlineStr">
        <is>
          <t>23-Jun-2026</t>
        </is>
      </c>
      <c r="G3192" t="inlineStr">
        <is>
          <t>Tuesday</t>
        </is>
      </c>
      <c r="H3192" t="inlineStr">
        <is>
          <t>Weekly - Tuesday</t>
        </is>
      </c>
      <c r="I3192" t="inlineStr">
        <is>
          <t>Weekly - Tuesday</t>
        </is>
      </c>
      <c r="J3192" t="inlineStr">
        <is>
          <t>Month+1 Expiry</t>
        </is>
      </c>
      <c r="K3192" s="25" t="n">
        <v>2817</v>
      </c>
      <c r="L3192" s="26" t="n">
        <v>4.4216</v>
      </c>
      <c r="M3192" s="26" t="n">
        <v>0.0575</v>
      </c>
    </row>
    <row r="3193" ht="16" customHeight="1">
      <c r="A3193" t="inlineStr">
        <is>
          <t>21-May-2026</t>
        </is>
      </c>
      <c r="B3193" t="inlineStr">
        <is>
          <t>Thursday</t>
        </is>
      </c>
      <c r="C3193" t="inlineStr">
        <is>
          <t>Week3-May-2026</t>
        </is>
      </c>
      <c r="D3193" s="78" t="n">
        <v>46143</v>
      </c>
      <c r="E3193" t="inlineStr">
        <is>
          <t>Q1FY27</t>
        </is>
      </c>
      <c r="F3193" t="inlineStr">
        <is>
          <t>30-Jun-2026</t>
        </is>
      </c>
      <c r="G3193" t="inlineStr">
        <is>
          <t>Tuesday</t>
        </is>
      </c>
      <c r="H3193" t="inlineStr">
        <is>
          <t>Monthly - Tuesday</t>
        </is>
      </c>
      <c r="I3193" t="inlineStr">
        <is>
          <t>Monthly - Tuesday</t>
        </is>
      </c>
      <c r="J3193" t="inlineStr">
        <is>
          <t>Month+1 Expiry</t>
        </is>
      </c>
      <c r="K3193" s="25" t="n">
        <v>524766</v>
      </c>
      <c r="L3193" s="26" t="n">
        <v>817.9075</v>
      </c>
      <c r="M3193" s="26" t="n">
        <v>10.0811</v>
      </c>
    </row>
    <row r="3194" ht="16" customHeight="1">
      <c r="A3194" t="inlineStr">
        <is>
          <t>21-May-2026</t>
        </is>
      </c>
      <c r="B3194" t="inlineStr">
        <is>
          <t>Thursday</t>
        </is>
      </c>
      <c r="C3194" t="inlineStr">
        <is>
          <t>Week3-May-2026</t>
        </is>
      </c>
      <c r="D3194" s="78" t="n">
        <v>46143</v>
      </c>
      <c r="E3194" t="inlineStr">
        <is>
          <t>Q1FY27</t>
        </is>
      </c>
      <c r="F3194" t="inlineStr">
        <is>
          <t>28-Jul-2026</t>
        </is>
      </c>
      <c r="G3194" t="inlineStr">
        <is>
          <t>Tuesday</t>
        </is>
      </c>
      <c r="H3194" t="inlineStr">
        <is>
          <t>Monthly - Tuesday</t>
        </is>
      </c>
      <c r="I3194" t="inlineStr">
        <is>
          <t>Monthly - Tuesday</t>
        </is>
      </c>
      <c r="J3194" t="inlineStr">
        <is>
          <t>Month+2 Expiry</t>
        </is>
      </c>
      <c r="K3194" s="25" t="n">
        <v>34458</v>
      </c>
      <c r="L3194" s="26" t="n">
        <v>54.4064</v>
      </c>
      <c r="M3194" s="26" t="n">
        <v>0.9091</v>
      </c>
    </row>
    <row r="3195" ht="16" customHeight="1">
      <c r="A3195" t="inlineStr">
        <is>
          <t>21-May-2026</t>
        </is>
      </c>
      <c r="B3195" t="inlineStr">
        <is>
          <t>Thursday</t>
        </is>
      </c>
      <c r="C3195" t="inlineStr">
        <is>
          <t>Week3-May-2026</t>
        </is>
      </c>
      <c r="D3195" s="78" t="n">
        <v>46143</v>
      </c>
      <c r="E3195" t="inlineStr">
        <is>
          <t>Q1FY27</t>
        </is>
      </c>
      <c r="F3195" t="inlineStr">
        <is>
          <t>29-Sep-2026</t>
        </is>
      </c>
      <c r="G3195" t="inlineStr">
        <is>
          <t>Tuesday</t>
        </is>
      </c>
      <c r="H3195" t="inlineStr">
        <is>
          <t>Monthly - Tuesday</t>
        </is>
      </c>
      <c r="I3195" t="inlineStr">
        <is>
          <t>Monthly - Tuesday</t>
        </is>
      </c>
      <c r="J3195" t="inlineStr">
        <is>
          <t>Month+4 Expiry</t>
        </is>
      </c>
      <c r="K3195" s="25" t="n">
        <v>19228</v>
      </c>
      <c r="L3195" s="26" t="n">
        <v>31.9145</v>
      </c>
      <c r="M3195" s="26" t="n">
        <v>0.6116</v>
      </c>
    </row>
    <row r="3196" ht="16" customHeight="1">
      <c r="A3196" t="inlineStr">
        <is>
          <t>21-May-2026</t>
        </is>
      </c>
      <c r="B3196" t="inlineStr">
        <is>
          <t>Thursday</t>
        </is>
      </c>
      <c r="C3196" t="inlineStr">
        <is>
          <t>Week3-May-2026</t>
        </is>
      </c>
      <c r="D3196" s="78" t="n">
        <v>46143</v>
      </c>
      <c r="E3196" t="inlineStr">
        <is>
          <t>Q1FY27</t>
        </is>
      </c>
      <c r="F3196" t="inlineStr">
        <is>
          <t>29-Dec-2026</t>
        </is>
      </c>
      <c r="G3196" t="inlineStr">
        <is>
          <t>Tuesday</t>
        </is>
      </c>
      <c r="H3196" t="inlineStr">
        <is>
          <t>Monthly - Tuesday</t>
        </is>
      </c>
      <c r="I3196" t="inlineStr">
        <is>
          <t>Monthly - Tuesday</t>
        </is>
      </c>
      <c r="J3196" t="inlineStr">
        <is>
          <t>Month+7 Expiry</t>
        </is>
      </c>
      <c r="K3196" s="25" t="n">
        <v>23001</v>
      </c>
      <c r="L3196" s="26" t="n">
        <v>37.6914</v>
      </c>
      <c r="M3196" s="26" t="n">
        <v>0.9074</v>
      </c>
    </row>
    <row r="3197" ht="16" customHeight="1">
      <c r="A3197" t="inlineStr">
        <is>
          <t>21-May-2026</t>
        </is>
      </c>
      <c r="B3197" t="inlineStr">
        <is>
          <t>Thursday</t>
        </is>
      </c>
      <c r="C3197" t="inlineStr">
        <is>
          <t>Week3-May-2026</t>
        </is>
      </c>
      <c r="D3197" s="78" t="n">
        <v>46143</v>
      </c>
      <c r="E3197" t="inlineStr">
        <is>
          <t>Q1FY27</t>
        </is>
      </c>
      <c r="F3197" t="inlineStr">
        <is>
          <t>30-Mar-2027</t>
        </is>
      </c>
      <c r="G3197" t="inlineStr">
        <is>
          <t>Tuesday</t>
        </is>
      </c>
      <c r="H3197" t="inlineStr">
        <is>
          <t>Monthly - Tuesday</t>
        </is>
      </c>
      <c r="I3197" t="inlineStr">
        <is>
          <t>Monthly - Tuesday</t>
        </is>
      </c>
      <c r="J3197" t="inlineStr">
        <is>
          <t>Month+10 Expiry</t>
        </is>
      </c>
      <c r="K3197" s="25" t="n">
        <v>0</v>
      </c>
      <c r="L3197" s="26" t="n">
        <v>0</v>
      </c>
      <c r="M3197" s="26" t="n">
        <v>0</v>
      </c>
    </row>
    <row r="3198" ht="16" customHeight="1">
      <c r="A3198" t="inlineStr">
        <is>
          <t>21-May-2026</t>
        </is>
      </c>
      <c r="B3198" t="inlineStr">
        <is>
          <t>Thursday</t>
        </is>
      </c>
      <c r="C3198" t="inlineStr">
        <is>
          <t>Week3-May-2026</t>
        </is>
      </c>
      <c r="D3198" s="78" t="n">
        <v>46143</v>
      </c>
      <c r="E3198" t="inlineStr">
        <is>
          <t>Q1FY27</t>
        </is>
      </c>
      <c r="F3198" t="inlineStr">
        <is>
          <t>29-Jun-2027</t>
        </is>
      </c>
      <c r="G3198" t="inlineStr">
        <is>
          <t>Tuesday</t>
        </is>
      </c>
      <c r="H3198" t="inlineStr">
        <is>
          <t>Monthly - Tuesday</t>
        </is>
      </c>
      <c r="I3198" t="inlineStr">
        <is>
          <t>Monthly - Tuesday</t>
        </is>
      </c>
      <c r="J3198" t="inlineStr">
        <is>
          <t>Month+13 Expiry</t>
        </is>
      </c>
      <c r="K3198" s="25" t="n">
        <v>3</v>
      </c>
      <c r="L3198" s="26" t="n">
        <v>0.0051</v>
      </c>
      <c r="M3198" s="26" t="n">
        <v>0.0005</v>
      </c>
    </row>
    <row r="3199" ht="16" customHeight="1">
      <c r="A3199" t="inlineStr">
        <is>
          <t>21-May-2026</t>
        </is>
      </c>
      <c r="B3199" t="inlineStr">
        <is>
          <t>Thursday</t>
        </is>
      </c>
      <c r="C3199" t="inlineStr">
        <is>
          <t>Week3-May-2026</t>
        </is>
      </c>
      <c r="D3199" s="78" t="n">
        <v>46143</v>
      </c>
      <c r="E3199" t="inlineStr">
        <is>
          <t>Q1FY27</t>
        </is>
      </c>
      <c r="F3199" t="inlineStr">
        <is>
          <t>28-Dec-2027</t>
        </is>
      </c>
      <c r="G3199" t="inlineStr">
        <is>
          <t>Tuesday</t>
        </is>
      </c>
      <c r="H3199" t="inlineStr">
        <is>
          <t>Monthly - Tuesday</t>
        </is>
      </c>
      <c r="I3199" t="inlineStr">
        <is>
          <t>Monthly - Tuesday</t>
        </is>
      </c>
      <c r="J3199" t="inlineStr">
        <is>
          <t>Month+19 Expiry</t>
        </is>
      </c>
      <c r="K3199" s="25" t="n">
        <v>195</v>
      </c>
      <c r="L3199" s="26" t="n">
        <v>0.3402</v>
      </c>
      <c r="M3199" s="26" t="n">
        <v>0.0177</v>
      </c>
    </row>
    <row r="3200" ht="16" customHeight="1">
      <c r="A3200" t="inlineStr">
        <is>
          <t>21-May-2026</t>
        </is>
      </c>
      <c r="B3200" t="inlineStr">
        <is>
          <t>Thursday</t>
        </is>
      </c>
      <c r="C3200" t="inlineStr">
        <is>
          <t>Week3-May-2026</t>
        </is>
      </c>
      <c r="D3200" s="78" t="n">
        <v>46143</v>
      </c>
      <c r="E3200" t="inlineStr">
        <is>
          <t>Q1FY27</t>
        </is>
      </c>
      <c r="F3200" t="inlineStr">
        <is>
          <t>27-Jun-2028</t>
        </is>
      </c>
      <c r="G3200" t="inlineStr">
        <is>
          <t>Tuesday</t>
        </is>
      </c>
      <c r="H3200" t="inlineStr">
        <is>
          <t>Monthly - Tuesday</t>
        </is>
      </c>
      <c r="I3200" t="inlineStr">
        <is>
          <t>Monthly - Tuesday</t>
        </is>
      </c>
      <c r="J3200" t="inlineStr">
        <is>
          <t>Month+25 Expiry</t>
        </is>
      </c>
      <c r="K3200" s="25" t="n">
        <v>0</v>
      </c>
      <c r="L3200" s="26" t="n">
        <v>0</v>
      </c>
      <c r="M3200" s="26" t="n">
        <v>0</v>
      </c>
    </row>
    <row r="3201" ht="16" customHeight="1">
      <c r="A3201" t="inlineStr">
        <is>
          <t>21-May-2026</t>
        </is>
      </c>
      <c r="B3201" t="inlineStr">
        <is>
          <t>Thursday</t>
        </is>
      </c>
      <c r="C3201" t="inlineStr">
        <is>
          <t>Week3-May-2026</t>
        </is>
      </c>
      <c r="D3201" s="78" t="n">
        <v>46143</v>
      </c>
      <c r="E3201" t="inlineStr">
        <is>
          <t>Q1FY27</t>
        </is>
      </c>
      <c r="F3201" t="inlineStr">
        <is>
          <t>26-Dec-2028</t>
        </is>
      </c>
      <c r="G3201" t="inlineStr">
        <is>
          <t>Tuesday</t>
        </is>
      </c>
      <c r="H3201" t="inlineStr">
        <is>
          <t>Monthly - Tuesday</t>
        </is>
      </c>
      <c r="I3201" t="inlineStr">
        <is>
          <t>Monthly - Tuesday</t>
        </is>
      </c>
      <c r="J3201" t="inlineStr">
        <is>
          <t>Month+31 Expiry</t>
        </is>
      </c>
      <c r="K3201" s="25" t="n">
        <v>1</v>
      </c>
      <c r="L3201" s="26" t="n">
        <v>0.0016</v>
      </c>
      <c r="M3201" s="26" t="n">
        <v>0.0001</v>
      </c>
    </row>
    <row r="3202" ht="16" customHeight="1">
      <c r="A3202" t="inlineStr">
        <is>
          <t>21-May-2026</t>
        </is>
      </c>
      <c r="B3202" t="inlineStr">
        <is>
          <t>Thursday</t>
        </is>
      </c>
      <c r="C3202" t="inlineStr">
        <is>
          <t>Week3-May-2026</t>
        </is>
      </c>
      <c r="D3202" s="78" t="n">
        <v>46143</v>
      </c>
      <c r="E3202" t="inlineStr">
        <is>
          <t>Q1FY27</t>
        </is>
      </c>
      <c r="F3202" t="inlineStr">
        <is>
          <t>26-Jun-2029</t>
        </is>
      </c>
      <c r="G3202" t="inlineStr">
        <is>
          <t>Tuesday</t>
        </is>
      </c>
      <c r="H3202" t="inlineStr">
        <is>
          <t>Monthly - Tuesday</t>
        </is>
      </c>
      <c r="I3202" t="inlineStr">
        <is>
          <t>Monthly - Tuesday</t>
        </is>
      </c>
      <c r="J3202" t="inlineStr">
        <is>
          <t>Month+37 Expiry</t>
        </is>
      </c>
      <c r="K3202" s="25" t="n">
        <v>0</v>
      </c>
      <c r="L3202" s="26" t="n">
        <v>0</v>
      </c>
      <c r="M3202" s="26" t="n">
        <v>0</v>
      </c>
    </row>
    <row r="3203" ht="16" customHeight="1">
      <c r="A3203" t="inlineStr">
        <is>
          <t>21-May-2026</t>
        </is>
      </c>
      <c r="B3203" t="inlineStr">
        <is>
          <t>Thursday</t>
        </is>
      </c>
      <c r="C3203" t="inlineStr">
        <is>
          <t>Week3-May-2026</t>
        </is>
      </c>
      <c r="D3203" s="78" t="n">
        <v>46143</v>
      </c>
      <c r="E3203" t="inlineStr">
        <is>
          <t>Q1FY27</t>
        </is>
      </c>
      <c r="F3203" t="inlineStr">
        <is>
          <t>24-Dec-2029</t>
        </is>
      </c>
      <c r="G3203" t="inlineStr">
        <is>
          <t>Monday</t>
        </is>
      </c>
      <c r="H3203" t="inlineStr">
        <is>
          <t>Weekly - Monday</t>
        </is>
      </c>
      <c r="I3203" t="inlineStr">
        <is>
          <t>Weekly - Monday</t>
        </is>
      </c>
      <c r="J3203" t="inlineStr">
        <is>
          <t>Month+43 Expiry</t>
        </is>
      </c>
      <c r="K3203" s="25" t="n">
        <v>0</v>
      </c>
      <c r="L3203" s="26" t="n">
        <v>0</v>
      </c>
      <c r="M3203" s="26" t="n">
        <v>0</v>
      </c>
    </row>
    <row r="3204" ht="16" customHeight="1">
      <c r="A3204" t="inlineStr">
        <is>
          <t>21-May-2026</t>
        </is>
      </c>
      <c r="B3204" t="inlineStr">
        <is>
          <t>Thursday</t>
        </is>
      </c>
      <c r="C3204" t="inlineStr">
        <is>
          <t>Week3-May-2026</t>
        </is>
      </c>
      <c r="D3204" s="78" t="n">
        <v>46143</v>
      </c>
      <c r="E3204" t="inlineStr">
        <is>
          <t>Q1FY27</t>
        </is>
      </c>
      <c r="F3204" t="inlineStr">
        <is>
          <t>25-Jun-2030</t>
        </is>
      </c>
      <c r="G3204" t="inlineStr">
        <is>
          <t>Tuesday</t>
        </is>
      </c>
      <c r="H3204" t="inlineStr">
        <is>
          <t>Monthly - Tuesday</t>
        </is>
      </c>
      <c r="I3204" t="inlineStr">
        <is>
          <t>Monthly - Tuesday</t>
        </is>
      </c>
      <c r="J3204" t="inlineStr">
        <is>
          <t>Month+49 Expiry</t>
        </is>
      </c>
      <c r="K3204" s="25" t="n">
        <v>0</v>
      </c>
      <c r="L3204" s="26" t="n">
        <v>0</v>
      </c>
      <c r="M3204" s="26" t="n">
        <v>0</v>
      </c>
    </row>
    <row r="3205" ht="16" customHeight="1">
      <c r="A3205" t="inlineStr">
        <is>
          <t>21-May-2026</t>
        </is>
      </c>
      <c r="B3205" t="inlineStr">
        <is>
          <t>Thursday</t>
        </is>
      </c>
      <c r="C3205" t="inlineStr">
        <is>
          <t>Week3-May-2026</t>
        </is>
      </c>
      <c r="D3205" s="78" t="n">
        <v>46143</v>
      </c>
      <c r="E3205" t="inlineStr">
        <is>
          <t>Q1FY27</t>
        </is>
      </c>
      <c r="F3205" t="inlineStr">
        <is>
          <t>31-Dec-2030</t>
        </is>
      </c>
      <c r="G3205" t="inlineStr">
        <is>
          <t>Tuesday</t>
        </is>
      </c>
      <c r="H3205" t="inlineStr">
        <is>
          <t>Monthly - Tuesday</t>
        </is>
      </c>
      <c r="I3205" t="inlineStr">
        <is>
          <t>Monthly - Tuesday</t>
        </is>
      </c>
      <c r="J3205" t="inlineStr">
        <is>
          <t>Month+55 Expiry</t>
        </is>
      </c>
      <c r="K3205" s="25" t="n">
        <v>0</v>
      </c>
      <c r="L3205" s="26" t="n">
        <v>0</v>
      </c>
      <c r="M3205" s="26" t="n">
        <v>0</v>
      </c>
    </row>
    <row r="3206" ht="16" customHeight="1">
      <c r="A3206" t="inlineStr">
        <is>
          <t>22-May-2026</t>
        </is>
      </c>
      <c r="B3206" t="inlineStr">
        <is>
          <t>Friday</t>
        </is>
      </c>
      <c r="C3206" t="inlineStr">
        <is>
          <t>Week4-May-2026</t>
        </is>
      </c>
      <c r="D3206" s="78" t="n">
        <v>46143</v>
      </c>
      <c r="E3206" t="inlineStr">
        <is>
          <t>Q1FY27</t>
        </is>
      </c>
      <c r="F3206" t="inlineStr">
        <is>
          <t>26-May-2026</t>
        </is>
      </c>
      <c r="G3206" t="inlineStr">
        <is>
          <t>Tuesday</t>
        </is>
      </c>
      <c r="H3206" t="inlineStr">
        <is>
          <t>Monthly - Tuesday</t>
        </is>
      </c>
      <c r="I3206" t="inlineStr">
        <is>
          <t>MDAW - Tuesday</t>
        </is>
      </c>
      <c r="J3206" t="inlineStr">
        <is>
          <t>Same Month Expiry</t>
        </is>
      </c>
      <c r="K3206" s="25" t="n">
        <v>73259021</v>
      </c>
      <c r="L3206" s="26" t="n">
        <v>113402.224</v>
      </c>
      <c r="M3206" s="26" t="n">
        <v>425.0267</v>
      </c>
    </row>
    <row r="3207" ht="16" customHeight="1">
      <c r="A3207" t="inlineStr">
        <is>
          <t>22-May-2026</t>
        </is>
      </c>
      <c r="B3207" t="inlineStr">
        <is>
          <t>Friday</t>
        </is>
      </c>
      <c r="C3207" t="inlineStr">
        <is>
          <t>Week4-May-2026</t>
        </is>
      </c>
      <c r="D3207" s="78" t="n">
        <v>46143</v>
      </c>
      <c r="E3207" t="inlineStr">
        <is>
          <t>Q1FY27</t>
        </is>
      </c>
      <c r="F3207" t="inlineStr">
        <is>
          <t>02-Jun-2026</t>
        </is>
      </c>
      <c r="G3207" t="inlineStr">
        <is>
          <t>Tuesday</t>
        </is>
      </c>
      <c r="H3207" t="inlineStr">
        <is>
          <t>Weekly - Tuesday</t>
        </is>
      </c>
      <c r="I3207" t="inlineStr">
        <is>
          <t>Weekly - Tuesday</t>
        </is>
      </c>
      <c r="J3207" t="inlineStr">
        <is>
          <t>Month+1 Expiry</t>
        </is>
      </c>
      <c r="K3207" s="25" t="n">
        <v>2219775</v>
      </c>
      <c r="L3207" s="26" t="n">
        <v>3434.2878</v>
      </c>
      <c r="M3207" s="26" t="n">
        <v>16.4578</v>
      </c>
    </row>
    <row r="3208" ht="16" customHeight="1">
      <c r="A3208" t="inlineStr">
        <is>
          <t>22-May-2026</t>
        </is>
      </c>
      <c r="B3208" t="inlineStr">
        <is>
          <t>Friday</t>
        </is>
      </c>
      <c r="C3208" t="inlineStr">
        <is>
          <t>Week4-May-2026</t>
        </is>
      </c>
      <c r="D3208" s="78" t="n">
        <v>46143</v>
      </c>
      <c r="E3208" t="inlineStr">
        <is>
          <t>Q1FY27</t>
        </is>
      </c>
      <c r="F3208" t="inlineStr">
        <is>
          <t>09-Jun-2026</t>
        </is>
      </c>
      <c r="G3208" t="inlineStr">
        <is>
          <t>Tuesday</t>
        </is>
      </c>
      <c r="H3208" t="inlineStr">
        <is>
          <t>Weekly - Tuesday</t>
        </is>
      </c>
      <c r="I3208" t="inlineStr">
        <is>
          <t>Weekly - Tuesday</t>
        </is>
      </c>
      <c r="J3208" t="inlineStr">
        <is>
          <t>Month+1 Expiry</t>
        </is>
      </c>
      <c r="K3208" s="25" t="n">
        <v>153759</v>
      </c>
      <c r="L3208" s="26" t="n">
        <v>238.4445</v>
      </c>
      <c r="M3208" s="26" t="n">
        <v>1.4618</v>
      </c>
    </row>
    <row r="3209" ht="16" customHeight="1">
      <c r="A3209" t="inlineStr">
        <is>
          <t>22-May-2026</t>
        </is>
      </c>
      <c r="B3209" t="inlineStr">
        <is>
          <t>Friday</t>
        </is>
      </c>
      <c r="C3209" t="inlineStr">
        <is>
          <t>Week4-May-2026</t>
        </is>
      </c>
      <c r="D3209" s="78" t="n">
        <v>46143</v>
      </c>
      <c r="E3209" t="inlineStr">
        <is>
          <t>Q1FY27</t>
        </is>
      </c>
      <c r="F3209" t="inlineStr">
        <is>
          <t>16-Jun-2026</t>
        </is>
      </c>
      <c r="G3209" t="inlineStr">
        <is>
          <t>Tuesday</t>
        </is>
      </c>
      <c r="H3209" t="inlineStr">
        <is>
          <t>Weekly - Tuesday</t>
        </is>
      </c>
      <c r="I3209" t="inlineStr">
        <is>
          <t>Weekly - Tuesday</t>
        </is>
      </c>
      <c r="J3209" t="inlineStr">
        <is>
          <t>Month+1 Expiry</t>
        </is>
      </c>
      <c r="K3209" s="25" t="n">
        <v>18628</v>
      </c>
      <c r="L3209" s="26" t="n">
        <v>29.1119</v>
      </c>
      <c r="M3209" s="26" t="n">
        <v>0.291</v>
      </c>
    </row>
    <row r="3210" ht="16" customHeight="1">
      <c r="A3210" t="inlineStr">
        <is>
          <t>22-May-2026</t>
        </is>
      </c>
      <c r="B3210" t="inlineStr">
        <is>
          <t>Friday</t>
        </is>
      </c>
      <c r="C3210" t="inlineStr">
        <is>
          <t>Week4-May-2026</t>
        </is>
      </c>
      <c r="D3210" s="78" t="n">
        <v>46143</v>
      </c>
      <c r="E3210" t="inlineStr">
        <is>
          <t>Q1FY27</t>
        </is>
      </c>
      <c r="F3210" t="inlineStr">
        <is>
          <t>23-Jun-2026</t>
        </is>
      </c>
      <c r="G3210" t="inlineStr">
        <is>
          <t>Tuesday</t>
        </is>
      </c>
      <c r="H3210" t="inlineStr">
        <is>
          <t>Weekly - Tuesday</t>
        </is>
      </c>
      <c r="I3210" t="inlineStr">
        <is>
          <t>Weekly - Tuesday</t>
        </is>
      </c>
      <c r="J3210" t="inlineStr">
        <is>
          <t>Month+1 Expiry</t>
        </is>
      </c>
      <c r="K3210" s="25" t="n">
        <v>3431</v>
      </c>
      <c r="L3210" s="26" t="n">
        <v>5.3414</v>
      </c>
      <c r="M3210" s="26" t="n">
        <v>0.0602</v>
      </c>
    </row>
    <row r="3211" ht="16" customHeight="1">
      <c r="A3211" t="inlineStr">
        <is>
          <t>22-May-2026</t>
        </is>
      </c>
      <c r="B3211" t="inlineStr">
        <is>
          <t>Friday</t>
        </is>
      </c>
      <c r="C3211" t="inlineStr">
        <is>
          <t>Week4-May-2026</t>
        </is>
      </c>
      <c r="D3211" s="78" t="n">
        <v>46143</v>
      </c>
      <c r="E3211" t="inlineStr">
        <is>
          <t>Q1FY27</t>
        </is>
      </c>
      <c r="F3211" t="inlineStr">
        <is>
          <t>30-Jun-2026</t>
        </is>
      </c>
      <c r="G3211" t="inlineStr">
        <is>
          <t>Tuesday</t>
        </is>
      </c>
      <c r="H3211" t="inlineStr">
        <is>
          <t>Monthly - Tuesday</t>
        </is>
      </c>
      <c r="I3211" t="inlineStr">
        <is>
          <t>Monthly - Tuesday</t>
        </is>
      </c>
      <c r="J3211" t="inlineStr">
        <is>
          <t>Month+1 Expiry</t>
        </is>
      </c>
      <c r="K3211" s="25" t="n">
        <v>660904</v>
      </c>
      <c r="L3211" s="26" t="n">
        <v>1040.2694</v>
      </c>
      <c r="M3211" s="26" t="n">
        <v>14.6117</v>
      </c>
    </row>
    <row r="3212" ht="16" customHeight="1">
      <c r="A3212" t="inlineStr">
        <is>
          <t>22-May-2026</t>
        </is>
      </c>
      <c r="B3212" t="inlineStr">
        <is>
          <t>Friday</t>
        </is>
      </c>
      <c r="C3212" t="inlineStr">
        <is>
          <t>Week4-May-2026</t>
        </is>
      </c>
      <c r="D3212" s="78" t="n">
        <v>46143</v>
      </c>
      <c r="E3212" t="inlineStr">
        <is>
          <t>Q1FY27</t>
        </is>
      </c>
      <c r="F3212" t="inlineStr">
        <is>
          <t>28-Jul-2026</t>
        </is>
      </c>
      <c r="G3212" t="inlineStr">
        <is>
          <t>Tuesday</t>
        </is>
      </c>
      <c r="H3212" t="inlineStr">
        <is>
          <t>Monthly - Tuesday</t>
        </is>
      </c>
      <c r="I3212" t="inlineStr">
        <is>
          <t>Monthly - Tuesday</t>
        </is>
      </c>
      <c r="J3212" t="inlineStr">
        <is>
          <t>Month+2 Expiry</t>
        </is>
      </c>
      <c r="K3212" s="25" t="n">
        <v>51012</v>
      </c>
      <c r="L3212" s="26" t="n">
        <v>80.89230000000001</v>
      </c>
      <c r="M3212" s="26" t="n">
        <v>1.2748</v>
      </c>
    </row>
    <row r="3213" ht="16" customHeight="1">
      <c r="A3213" t="inlineStr">
        <is>
          <t>22-May-2026</t>
        </is>
      </c>
      <c r="B3213" t="inlineStr">
        <is>
          <t>Friday</t>
        </is>
      </c>
      <c r="C3213" t="inlineStr">
        <is>
          <t>Week4-May-2026</t>
        </is>
      </c>
      <c r="D3213" s="78" t="n">
        <v>46143</v>
      </c>
      <c r="E3213" t="inlineStr">
        <is>
          <t>Q1FY27</t>
        </is>
      </c>
      <c r="F3213" t="inlineStr">
        <is>
          <t>29-Sep-2026</t>
        </is>
      </c>
      <c r="G3213" t="inlineStr">
        <is>
          <t>Tuesday</t>
        </is>
      </c>
      <c r="H3213" t="inlineStr">
        <is>
          <t>Monthly - Tuesday</t>
        </is>
      </c>
      <c r="I3213" t="inlineStr">
        <is>
          <t>Monthly - Tuesday</t>
        </is>
      </c>
      <c r="J3213" t="inlineStr">
        <is>
          <t>Month+4 Expiry</t>
        </is>
      </c>
      <c r="K3213" s="25" t="n">
        <v>14349</v>
      </c>
      <c r="L3213" s="26" t="n">
        <v>23.2357</v>
      </c>
      <c r="M3213" s="26" t="n">
        <v>0.3477</v>
      </c>
    </row>
    <row r="3214" ht="16" customHeight="1">
      <c r="A3214" t="inlineStr">
        <is>
          <t>22-May-2026</t>
        </is>
      </c>
      <c r="B3214" t="inlineStr">
        <is>
          <t>Friday</t>
        </is>
      </c>
      <c r="C3214" t="inlineStr">
        <is>
          <t>Week4-May-2026</t>
        </is>
      </c>
      <c r="D3214" s="78" t="n">
        <v>46143</v>
      </c>
      <c r="E3214" t="inlineStr">
        <is>
          <t>Q1FY27</t>
        </is>
      </c>
      <c r="F3214" t="inlineStr">
        <is>
          <t>29-Dec-2026</t>
        </is>
      </c>
      <c r="G3214" t="inlineStr">
        <is>
          <t>Tuesday</t>
        </is>
      </c>
      <c r="H3214" t="inlineStr">
        <is>
          <t>Monthly - Tuesday</t>
        </is>
      </c>
      <c r="I3214" t="inlineStr">
        <is>
          <t>Monthly - Tuesday</t>
        </is>
      </c>
      <c r="J3214" t="inlineStr">
        <is>
          <t>Month+7 Expiry</t>
        </is>
      </c>
      <c r="K3214" s="25" t="n">
        <v>27632</v>
      </c>
      <c r="L3214" s="26" t="n">
        <v>44.0974</v>
      </c>
      <c r="M3214" s="26" t="n">
        <v>1.1012</v>
      </c>
    </row>
    <row r="3215" ht="16" customHeight="1">
      <c r="A3215" t="inlineStr">
        <is>
          <t>22-May-2026</t>
        </is>
      </c>
      <c r="B3215" t="inlineStr">
        <is>
          <t>Friday</t>
        </is>
      </c>
      <c r="C3215" t="inlineStr">
        <is>
          <t>Week4-May-2026</t>
        </is>
      </c>
      <c r="D3215" s="78" t="n">
        <v>46143</v>
      </c>
      <c r="E3215" t="inlineStr">
        <is>
          <t>Q1FY27</t>
        </is>
      </c>
      <c r="F3215" t="inlineStr">
        <is>
          <t>30-Mar-2027</t>
        </is>
      </c>
      <c r="G3215" t="inlineStr">
        <is>
          <t>Tuesday</t>
        </is>
      </c>
      <c r="H3215" t="inlineStr">
        <is>
          <t>Monthly - Tuesday</t>
        </is>
      </c>
      <c r="I3215" t="inlineStr">
        <is>
          <t>Monthly - Tuesday</t>
        </is>
      </c>
      <c r="J3215" t="inlineStr">
        <is>
          <t>Month+10 Expiry</t>
        </is>
      </c>
      <c r="K3215" s="25" t="n">
        <v>1</v>
      </c>
      <c r="L3215" s="26" t="n">
        <v>0.0018</v>
      </c>
      <c r="M3215" s="26" t="n">
        <v>0</v>
      </c>
    </row>
    <row r="3216" ht="16" customHeight="1">
      <c r="A3216" t="inlineStr">
        <is>
          <t>22-May-2026</t>
        </is>
      </c>
      <c r="B3216" t="inlineStr">
        <is>
          <t>Friday</t>
        </is>
      </c>
      <c r="C3216" t="inlineStr">
        <is>
          <t>Week4-May-2026</t>
        </is>
      </c>
      <c r="D3216" s="78" t="n">
        <v>46143</v>
      </c>
      <c r="E3216" t="inlineStr">
        <is>
          <t>Q1FY27</t>
        </is>
      </c>
      <c r="F3216" t="inlineStr">
        <is>
          <t>29-Jun-2027</t>
        </is>
      </c>
      <c r="G3216" t="inlineStr">
        <is>
          <t>Tuesday</t>
        </is>
      </c>
      <c r="H3216" t="inlineStr">
        <is>
          <t>Monthly - Tuesday</t>
        </is>
      </c>
      <c r="I3216" t="inlineStr">
        <is>
          <t>Monthly - Tuesday</t>
        </is>
      </c>
      <c r="J3216" t="inlineStr">
        <is>
          <t>Month+13 Expiry</t>
        </is>
      </c>
      <c r="K3216" s="25" t="n">
        <v>0</v>
      </c>
      <c r="L3216" s="26" t="n">
        <v>0</v>
      </c>
      <c r="M3216" s="26" t="n">
        <v>0</v>
      </c>
    </row>
    <row r="3217" ht="16" customHeight="1">
      <c r="A3217" t="inlineStr">
        <is>
          <t>22-May-2026</t>
        </is>
      </c>
      <c r="B3217" t="inlineStr">
        <is>
          <t>Friday</t>
        </is>
      </c>
      <c r="C3217" t="inlineStr">
        <is>
          <t>Week4-May-2026</t>
        </is>
      </c>
      <c r="D3217" s="78" t="n">
        <v>46143</v>
      </c>
      <c r="E3217" t="inlineStr">
        <is>
          <t>Q1FY27</t>
        </is>
      </c>
      <c r="F3217" t="inlineStr">
        <is>
          <t>28-Dec-2027</t>
        </is>
      </c>
      <c r="G3217" t="inlineStr">
        <is>
          <t>Tuesday</t>
        </is>
      </c>
      <c r="H3217" t="inlineStr">
        <is>
          <t>Monthly - Tuesday</t>
        </is>
      </c>
      <c r="I3217" t="inlineStr">
        <is>
          <t>Monthly - Tuesday</t>
        </is>
      </c>
      <c r="J3217" t="inlineStr">
        <is>
          <t>Month+19 Expiry</t>
        </is>
      </c>
      <c r="K3217" s="25" t="n">
        <v>166</v>
      </c>
      <c r="L3217" s="26" t="n">
        <v>0.2748</v>
      </c>
      <c r="M3217" s="26" t="n">
        <v>0.0132</v>
      </c>
    </row>
    <row r="3218" ht="16" customHeight="1">
      <c r="A3218" t="inlineStr">
        <is>
          <t>22-May-2026</t>
        </is>
      </c>
      <c r="B3218" t="inlineStr">
        <is>
          <t>Friday</t>
        </is>
      </c>
      <c r="C3218" t="inlineStr">
        <is>
          <t>Week4-May-2026</t>
        </is>
      </c>
      <c r="D3218" s="78" t="n">
        <v>46143</v>
      </c>
      <c r="E3218" t="inlineStr">
        <is>
          <t>Q1FY27</t>
        </is>
      </c>
      <c r="F3218" t="inlineStr">
        <is>
          <t>27-Jun-2028</t>
        </is>
      </c>
      <c r="G3218" t="inlineStr">
        <is>
          <t>Tuesday</t>
        </is>
      </c>
      <c r="H3218" t="inlineStr">
        <is>
          <t>Monthly - Tuesday</t>
        </is>
      </c>
      <c r="I3218" t="inlineStr">
        <is>
          <t>Monthly - Tuesday</t>
        </is>
      </c>
      <c r="J3218" t="inlineStr">
        <is>
          <t>Month+25 Expiry</t>
        </is>
      </c>
      <c r="K3218" s="25" t="n">
        <v>0</v>
      </c>
      <c r="L3218" s="26" t="n">
        <v>0</v>
      </c>
      <c r="M3218" s="26" t="n">
        <v>0</v>
      </c>
    </row>
    <row r="3219" ht="16" customHeight="1">
      <c r="A3219" t="inlineStr">
        <is>
          <t>22-May-2026</t>
        </is>
      </c>
      <c r="B3219" t="inlineStr">
        <is>
          <t>Friday</t>
        </is>
      </c>
      <c r="C3219" t="inlineStr">
        <is>
          <t>Week4-May-2026</t>
        </is>
      </c>
      <c r="D3219" s="78" t="n">
        <v>46143</v>
      </c>
      <c r="E3219" t="inlineStr">
        <is>
          <t>Q1FY27</t>
        </is>
      </c>
      <c r="F3219" t="inlineStr">
        <is>
          <t>26-Dec-2028</t>
        </is>
      </c>
      <c r="G3219" t="inlineStr">
        <is>
          <t>Tuesday</t>
        </is>
      </c>
      <c r="H3219" t="inlineStr">
        <is>
          <t>Monthly - Tuesday</t>
        </is>
      </c>
      <c r="I3219" t="inlineStr">
        <is>
          <t>Monthly - Tuesday</t>
        </is>
      </c>
      <c r="J3219" t="inlineStr">
        <is>
          <t>Month+31 Expiry</t>
        </is>
      </c>
      <c r="K3219" s="25" t="n">
        <v>2</v>
      </c>
      <c r="L3219" s="26" t="n">
        <v>0.0033</v>
      </c>
      <c r="M3219" s="26" t="n">
        <v>0.0001</v>
      </c>
    </row>
    <row r="3220" ht="16" customHeight="1">
      <c r="A3220" t="inlineStr">
        <is>
          <t>22-May-2026</t>
        </is>
      </c>
      <c r="B3220" t="inlineStr">
        <is>
          <t>Friday</t>
        </is>
      </c>
      <c r="C3220" t="inlineStr">
        <is>
          <t>Week4-May-2026</t>
        </is>
      </c>
      <c r="D3220" s="78" t="n">
        <v>46143</v>
      </c>
      <c r="E3220" t="inlineStr">
        <is>
          <t>Q1FY27</t>
        </is>
      </c>
      <c r="F3220" t="inlineStr">
        <is>
          <t>26-Jun-2029</t>
        </is>
      </c>
      <c r="G3220" t="inlineStr">
        <is>
          <t>Tuesday</t>
        </is>
      </c>
      <c r="H3220" t="inlineStr">
        <is>
          <t>Monthly - Tuesday</t>
        </is>
      </c>
      <c r="I3220" t="inlineStr">
        <is>
          <t>Monthly - Tuesday</t>
        </is>
      </c>
      <c r="J3220" t="inlineStr">
        <is>
          <t>Month+37 Expiry</t>
        </is>
      </c>
      <c r="K3220" s="25" t="n">
        <v>0</v>
      </c>
      <c r="L3220" s="26" t="n">
        <v>0</v>
      </c>
      <c r="M3220" s="26" t="n">
        <v>0</v>
      </c>
    </row>
    <row r="3221" ht="16" customHeight="1">
      <c r="A3221" t="inlineStr">
        <is>
          <t>22-May-2026</t>
        </is>
      </c>
      <c r="B3221" t="inlineStr">
        <is>
          <t>Friday</t>
        </is>
      </c>
      <c r="C3221" t="inlineStr">
        <is>
          <t>Week4-May-2026</t>
        </is>
      </c>
      <c r="D3221" s="78" t="n">
        <v>46143</v>
      </c>
      <c r="E3221" t="inlineStr">
        <is>
          <t>Q1FY27</t>
        </is>
      </c>
      <c r="F3221" t="inlineStr">
        <is>
          <t>24-Dec-2029</t>
        </is>
      </c>
      <c r="G3221" t="inlineStr">
        <is>
          <t>Monday</t>
        </is>
      </c>
      <c r="H3221" t="inlineStr">
        <is>
          <t>Weekly - Monday</t>
        </is>
      </c>
      <c r="I3221" t="inlineStr">
        <is>
          <t>Weekly - Monday</t>
        </is>
      </c>
      <c r="J3221" t="inlineStr">
        <is>
          <t>Month+43 Expiry</t>
        </is>
      </c>
      <c r="K3221" s="25" t="n">
        <v>0</v>
      </c>
      <c r="L3221" s="26" t="n">
        <v>0</v>
      </c>
      <c r="M3221" s="26" t="n">
        <v>0</v>
      </c>
    </row>
    <row r="3222" ht="16" customHeight="1">
      <c r="A3222" t="inlineStr">
        <is>
          <t>22-May-2026</t>
        </is>
      </c>
      <c r="B3222" t="inlineStr">
        <is>
          <t>Friday</t>
        </is>
      </c>
      <c r="C3222" t="inlineStr">
        <is>
          <t>Week4-May-2026</t>
        </is>
      </c>
      <c r="D3222" s="78" t="n">
        <v>46143</v>
      </c>
      <c r="E3222" t="inlineStr">
        <is>
          <t>Q1FY27</t>
        </is>
      </c>
      <c r="F3222" t="inlineStr">
        <is>
          <t>25-Jun-2030</t>
        </is>
      </c>
      <c r="G3222" t="inlineStr">
        <is>
          <t>Tuesday</t>
        </is>
      </c>
      <c r="H3222" t="inlineStr">
        <is>
          <t>Monthly - Tuesday</t>
        </is>
      </c>
      <c r="I3222" t="inlineStr">
        <is>
          <t>Monthly - Tuesday</t>
        </is>
      </c>
      <c r="J3222" t="inlineStr">
        <is>
          <t>Month+49 Expiry</t>
        </is>
      </c>
      <c r="K3222" s="25" t="n">
        <v>0</v>
      </c>
      <c r="L3222" s="26" t="n">
        <v>0</v>
      </c>
      <c r="M3222" s="26" t="n">
        <v>0</v>
      </c>
    </row>
    <row r="3223" ht="16" customHeight="1">
      <c r="A3223" t="inlineStr">
        <is>
          <t>22-May-2026</t>
        </is>
      </c>
      <c r="B3223" t="inlineStr">
        <is>
          <t>Friday</t>
        </is>
      </c>
      <c r="C3223" t="inlineStr">
        <is>
          <t>Week4-May-2026</t>
        </is>
      </c>
      <c r="D3223" s="78" t="n">
        <v>46143</v>
      </c>
      <c r="E3223" t="inlineStr">
        <is>
          <t>Q1FY27</t>
        </is>
      </c>
      <c r="F3223" t="inlineStr">
        <is>
          <t>31-Dec-2030</t>
        </is>
      </c>
      <c r="G3223" t="inlineStr">
        <is>
          <t>Tuesday</t>
        </is>
      </c>
      <c r="H3223" t="inlineStr">
        <is>
          <t>Monthly - Tuesday</t>
        </is>
      </c>
      <c r="I3223" t="inlineStr">
        <is>
          <t>Monthly - Tuesday</t>
        </is>
      </c>
      <c r="J3223" t="inlineStr">
        <is>
          <t>Month+55 Expiry</t>
        </is>
      </c>
      <c r="K3223" s="25" t="n">
        <v>1</v>
      </c>
      <c r="L3223" s="26" t="n">
        <v>0.0014</v>
      </c>
      <c r="M3223" s="26" t="n">
        <v>0</v>
      </c>
    </row>
    <row r="3224" ht="16" customHeight="1">
      <c r="A3224" t="inlineStr">
        <is>
          <t>25-May-2026</t>
        </is>
      </c>
      <c r="B3224" t="inlineStr">
        <is>
          <t>Monday</t>
        </is>
      </c>
      <c r="C3224" t="inlineStr">
        <is>
          <t>Week4-May-2026</t>
        </is>
      </c>
      <c r="D3224" s="78" t="n">
        <v>46143</v>
      </c>
      <c r="E3224" t="inlineStr">
        <is>
          <t>Q1FY27</t>
        </is>
      </c>
      <c r="F3224" t="inlineStr">
        <is>
          <t>26-May-2026</t>
        </is>
      </c>
      <c r="G3224" t="inlineStr">
        <is>
          <t>Tuesday</t>
        </is>
      </c>
      <c r="H3224" t="inlineStr">
        <is>
          <t>Monthly - Tuesday</t>
        </is>
      </c>
      <c r="I3224" t="inlineStr">
        <is>
          <t>MDAW - Tuesday</t>
        </is>
      </c>
      <c r="J3224" t="inlineStr">
        <is>
          <t>Same Month Expiry</t>
        </is>
      </c>
      <c r="K3224" s="25" t="n">
        <v>99043320</v>
      </c>
      <c r="L3224" s="26" t="n">
        <v>154375.292</v>
      </c>
      <c r="M3224" s="26" t="n">
        <v>366.9196</v>
      </c>
    </row>
    <row r="3225" ht="16" customHeight="1">
      <c r="A3225" t="inlineStr">
        <is>
          <t>25-May-2026</t>
        </is>
      </c>
      <c r="B3225" t="inlineStr">
        <is>
          <t>Monday</t>
        </is>
      </c>
      <c r="C3225" t="inlineStr">
        <is>
          <t>Week4-May-2026</t>
        </is>
      </c>
      <c r="D3225" s="78" t="n">
        <v>46143</v>
      </c>
      <c r="E3225" t="inlineStr">
        <is>
          <t>Q1FY27</t>
        </is>
      </c>
      <c r="F3225" t="inlineStr">
        <is>
          <t>02-Jun-2026</t>
        </is>
      </c>
      <c r="G3225" t="inlineStr">
        <is>
          <t>Tuesday</t>
        </is>
      </c>
      <c r="H3225" t="inlineStr">
        <is>
          <t>Weekly - Tuesday</t>
        </is>
      </c>
      <c r="I3225" t="inlineStr">
        <is>
          <t>Weekly - Tuesday</t>
        </is>
      </c>
      <c r="J3225" t="inlineStr">
        <is>
          <t>Month+1 Expiry</t>
        </is>
      </c>
      <c r="K3225" s="25" t="n">
        <v>4503505</v>
      </c>
      <c r="L3225" s="26" t="n">
        <v>7004.4932</v>
      </c>
      <c r="M3225" s="26" t="n">
        <v>28.2438</v>
      </c>
    </row>
    <row r="3226" ht="16" customHeight="1">
      <c r="A3226" t="inlineStr">
        <is>
          <t>25-May-2026</t>
        </is>
      </c>
      <c r="B3226" t="inlineStr">
        <is>
          <t>Monday</t>
        </is>
      </c>
      <c r="C3226" t="inlineStr">
        <is>
          <t>Week4-May-2026</t>
        </is>
      </c>
      <c r="D3226" s="78" t="n">
        <v>46143</v>
      </c>
      <c r="E3226" t="inlineStr">
        <is>
          <t>Q1FY27</t>
        </is>
      </c>
      <c r="F3226" t="inlineStr">
        <is>
          <t>09-Jun-2026</t>
        </is>
      </c>
      <c r="G3226" t="inlineStr">
        <is>
          <t>Tuesday</t>
        </is>
      </c>
      <c r="H3226" t="inlineStr">
        <is>
          <t>Weekly - Tuesday</t>
        </is>
      </c>
      <c r="I3226" t="inlineStr">
        <is>
          <t>Weekly - Tuesday</t>
        </is>
      </c>
      <c r="J3226" t="inlineStr">
        <is>
          <t>Month+1 Expiry</t>
        </is>
      </c>
      <c r="K3226" s="25" t="n">
        <v>358422</v>
      </c>
      <c r="L3226" s="26" t="n">
        <v>558.1996</v>
      </c>
      <c r="M3226" s="26" t="n">
        <v>2.6919</v>
      </c>
    </row>
    <row r="3227" ht="16" customHeight="1">
      <c r="A3227" t="inlineStr">
        <is>
          <t>25-May-2026</t>
        </is>
      </c>
      <c r="B3227" t="inlineStr">
        <is>
          <t>Monday</t>
        </is>
      </c>
      <c r="C3227" t="inlineStr">
        <is>
          <t>Week4-May-2026</t>
        </is>
      </c>
      <c r="D3227" s="78" t="n">
        <v>46143</v>
      </c>
      <c r="E3227" t="inlineStr">
        <is>
          <t>Q1FY27</t>
        </is>
      </c>
      <c r="F3227" t="inlineStr">
        <is>
          <t>16-Jun-2026</t>
        </is>
      </c>
      <c r="G3227" t="inlineStr">
        <is>
          <t>Tuesday</t>
        </is>
      </c>
      <c r="H3227" t="inlineStr">
        <is>
          <t>Weekly - Tuesday</t>
        </is>
      </c>
      <c r="I3227" t="inlineStr">
        <is>
          <t>Weekly - Tuesday</t>
        </is>
      </c>
      <c r="J3227" t="inlineStr">
        <is>
          <t>Month+1 Expiry</t>
        </is>
      </c>
      <c r="K3227" s="25" t="n">
        <v>48781</v>
      </c>
      <c r="L3227" s="26" t="n">
        <v>76.3383</v>
      </c>
      <c r="M3227" s="26" t="n">
        <v>0.5778</v>
      </c>
    </row>
    <row r="3228" ht="16" customHeight="1">
      <c r="A3228" t="inlineStr">
        <is>
          <t>25-May-2026</t>
        </is>
      </c>
      <c r="B3228" t="inlineStr">
        <is>
          <t>Monday</t>
        </is>
      </c>
      <c r="C3228" t="inlineStr">
        <is>
          <t>Week4-May-2026</t>
        </is>
      </c>
      <c r="D3228" s="78" t="n">
        <v>46143</v>
      </c>
      <c r="E3228" t="inlineStr">
        <is>
          <t>Q1FY27</t>
        </is>
      </c>
      <c r="F3228" t="inlineStr">
        <is>
          <t>23-Jun-2026</t>
        </is>
      </c>
      <c r="G3228" t="inlineStr">
        <is>
          <t>Tuesday</t>
        </is>
      </c>
      <c r="H3228" t="inlineStr">
        <is>
          <t>Weekly - Tuesday</t>
        </is>
      </c>
      <c r="I3228" t="inlineStr">
        <is>
          <t>Weekly - Tuesday</t>
        </is>
      </c>
      <c r="J3228" t="inlineStr">
        <is>
          <t>Month+1 Expiry</t>
        </is>
      </c>
      <c r="K3228" s="25" t="n">
        <v>8912</v>
      </c>
      <c r="L3228" s="26" t="n">
        <v>13.9099</v>
      </c>
      <c r="M3228" s="26" t="n">
        <v>0.1323</v>
      </c>
    </row>
    <row r="3229" ht="16" customHeight="1">
      <c r="A3229" t="inlineStr">
        <is>
          <t>25-May-2026</t>
        </is>
      </c>
      <c r="B3229" t="inlineStr">
        <is>
          <t>Monday</t>
        </is>
      </c>
      <c r="C3229" t="inlineStr">
        <is>
          <t>Week4-May-2026</t>
        </is>
      </c>
      <c r="D3229" s="78" t="n">
        <v>46143</v>
      </c>
      <c r="E3229" t="inlineStr">
        <is>
          <t>Q1FY27</t>
        </is>
      </c>
      <c r="F3229" t="inlineStr">
        <is>
          <t>30-Jun-2026</t>
        </is>
      </c>
      <c r="G3229" t="inlineStr">
        <is>
          <t>Tuesday</t>
        </is>
      </c>
      <c r="H3229" t="inlineStr">
        <is>
          <t>Monthly - Tuesday</t>
        </is>
      </c>
      <c r="I3229" t="inlineStr">
        <is>
          <t>Monthly - Tuesday</t>
        </is>
      </c>
      <c r="J3229" t="inlineStr">
        <is>
          <t>Month+1 Expiry</t>
        </is>
      </c>
      <c r="K3229" s="25" t="n">
        <v>1135088</v>
      </c>
      <c r="L3229" s="26" t="n">
        <v>1778.6175</v>
      </c>
      <c r="M3229" s="26" t="n">
        <v>19.2949</v>
      </c>
    </row>
    <row r="3230" ht="16" customHeight="1">
      <c r="A3230" t="inlineStr">
        <is>
          <t>25-May-2026</t>
        </is>
      </c>
      <c r="B3230" t="inlineStr">
        <is>
          <t>Monday</t>
        </is>
      </c>
      <c r="C3230" t="inlineStr">
        <is>
          <t>Week4-May-2026</t>
        </is>
      </c>
      <c r="D3230" s="78" t="n">
        <v>46143</v>
      </c>
      <c r="E3230" t="inlineStr">
        <is>
          <t>Q1FY27</t>
        </is>
      </c>
      <c r="F3230" t="inlineStr">
        <is>
          <t>28-Jul-2026</t>
        </is>
      </c>
      <c r="G3230" t="inlineStr">
        <is>
          <t>Tuesday</t>
        </is>
      </c>
      <c r="H3230" t="inlineStr">
        <is>
          <t>Monthly - Tuesday</t>
        </is>
      </c>
      <c r="I3230" t="inlineStr">
        <is>
          <t>Monthly - Tuesday</t>
        </is>
      </c>
      <c r="J3230" t="inlineStr">
        <is>
          <t>Month+2 Expiry</t>
        </is>
      </c>
      <c r="K3230" s="25" t="n">
        <v>94104</v>
      </c>
      <c r="L3230" s="26" t="n">
        <v>146.5889</v>
      </c>
      <c r="M3230" s="26" t="n">
        <v>1.871</v>
      </c>
    </row>
    <row r="3231" ht="16" customHeight="1">
      <c r="A3231" t="inlineStr">
        <is>
          <t>25-May-2026</t>
        </is>
      </c>
      <c r="B3231" t="inlineStr">
        <is>
          <t>Monday</t>
        </is>
      </c>
      <c r="C3231" t="inlineStr">
        <is>
          <t>Week4-May-2026</t>
        </is>
      </c>
      <c r="D3231" s="78" t="n">
        <v>46143</v>
      </c>
      <c r="E3231" t="inlineStr">
        <is>
          <t>Q1FY27</t>
        </is>
      </c>
      <c r="F3231" t="inlineStr">
        <is>
          <t>29-Sep-2026</t>
        </is>
      </c>
      <c r="G3231" t="inlineStr">
        <is>
          <t>Tuesday</t>
        </is>
      </c>
      <c r="H3231" t="inlineStr">
        <is>
          <t>Monthly - Tuesday</t>
        </is>
      </c>
      <c r="I3231" t="inlineStr">
        <is>
          <t>Monthly - Tuesday</t>
        </is>
      </c>
      <c r="J3231" t="inlineStr">
        <is>
          <t>Month+4 Expiry</t>
        </is>
      </c>
      <c r="K3231" s="25" t="n">
        <v>27487</v>
      </c>
      <c r="L3231" s="26" t="n">
        <v>43.9572</v>
      </c>
      <c r="M3231" s="26" t="n">
        <v>0.5396</v>
      </c>
    </row>
    <row r="3232" ht="16" customHeight="1">
      <c r="A3232" t="inlineStr">
        <is>
          <t>25-May-2026</t>
        </is>
      </c>
      <c r="B3232" t="inlineStr">
        <is>
          <t>Monday</t>
        </is>
      </c>
      <c r="C3232" t="inlineStr">
        <is>
          <t>Week4-May-2026</t>
        </is>
      </c>
      <c r="D3232" s="78" t="n">
        <v>46143</v>
      </c>
      <c r="E3232" t="inlineStr">
        <is>
          <t>Q1FY27</t>
        </is>
      </c>
      <c r="F3232" t="inlineStr">
        <is>
          <t>29-Dec-2026</t>
        </is>
      </c>
      <c r="G3232" t="inlineStr">
        <is>
          <t>Tuesday</t>
        </is>
      </c>
      <c r="H3232" t="inlineStr">
        <is>
          <t>Monthly - Tuesday</t>
        </is>
      </c>
      <c r="I3232" t="inlineStr">
        <is>
          <t>Monthly - Tuesday</t>
        </is>
      </c>
      <c r="J3232" t="inlineStr">
        <is>
          <t>Month+7 Expiry</t>
        </is>
      </c>
      <c r="K3232" s="25" t="n">
        <v>53419</v>
      </c>
      <c r="L3232" s="26" t="n">
        <v>84.9115</v>
      </c>
      <c r="M3232" s="26" t="n">
        <v>2.3111</v>
      </c>
    </row>
    <row r="3233" ht="16" customHeight="1">
      <c r="A3233" t="inlineStr">
        <is>
          <t>25-May-2026</t>
        </is>
      </c>
      <c r="B3233" t="inlineStr">
        <is>
          <t>Monday</t>
        </is>
      </c>
      <c r="C3233" t="inlineStr">
        <is>
          <t>Week4-May-2026</t>
        </is>
      </c>
      <c r="D3233" s="78" t="n">
        <v>46143</v>
      </c>
      <c r="E3233" t="inlineStr">
        <is>
          <t>Q1FY27</t>
        </is>
      </c>
      <c r="F3233" t="inlineStr">
        <is>
          <t>30-Mar-2027</t>
        </is>
      </c>
      <c r="G3233" t="inlineStr">
        <is>
          <t>Tuesday</t>
        </is>
      </c>
      <c r="H3233" t="inlineStr">
        <is>
          <t>Monthly - Tuesday</t>
        </is>
      </c>
      <c r="I3233" t="inlineStr">
        <is>
          <t>Monthly - Tuesday</t>
        </is>
      </c>
      <c r="J3233" t="inlineStr">
        <is>
          <t>Month+10 Expiry</t>
        </is>
      </c>
      <c r="K3233" s="25" t="n">
        <v>0</v>
      </c>
      <c r="L3233" s="26" t="n">
        <v>0</v>
      </c>
      <c r="M3233" s="26" t="n">
        <v>0</v>
      </c>
    </row>
    <row r="3234" ht="16" customHeight="1">
      <c r="A3234" t="inlineStr">
        <is>
          <t>25-May-2026</t>
        </is>
      </c>
      <c r="B3234" t="inlineStr">
        <is>
          <t>Monday</t>
        </is>
      </c>
      <c r="C3234" t="inlineStr">
        <is>
          <t>Week4-May-2026</t>
        </is>
      </c>
      <c r="D3234" s="78" t="n">
        <v>46143</v>
      </c>
      <c r="E3234" t="inlineStr">
        <is>
          <t>Q1FY27</t>
        </is>
      </c>
      <c r="F3234" t="inlineStr">
        <is>
          <t>29-Jun-2027</t>
        </is>
      </c>
      <c r="G3234" t="inlineStr">
        <is>
          <t>Tuesday</t>
        </is>
      </c>
      <c r="H3234" t="inlineStr">
        <is>
          <t>Monthly - Tuesday</t>
        </is>
      </c>
      <c r="I3234" t="inlineStr">
        <is>
          <t>Monthly - Tuesday</t>
        </is>
      </c>
      <c r="J3234" t="inlineStr">
        <is>
          <t>Month+13 Expiry</t>
        </is>
      </c>
      <c r="K3234" s="25" t="n">
        <v>5</v>
      </c>
      <c r="L3234" s="26" t="n">
        <v>0.0073</v>
      </c>
      <c r="M3234" s="26" t="n">
        <v>0.0002</v>
      </c>
    </row>
    <row r="3235" ht="16" customHeight="1">
      <c r="A3235" t="inlineStr">
        <is>
          <t>25-May-2026</t>
        </is>
      </c>
      <c r="B3235" t="inlineStr">
        <is>
          <t>Monday</t>
        </is>
      </c>
      <c r="C3235" t="inlineStr">
        <is>
          <t>Week4-May-2026</t>
        </is>
      </c>
      <c r="D3235" s="78" t="n">
        <v>46143</v>
      </c>
      <c r="E3235" t="inlineStr">
        <is>
          <t>Q1FY27</t>
        </is>
      </c>
      <c r="F3235" t="inlineStr">
        <is>
          <t>28-Dec-2027</t>
        </is>
      </c>
      <c r="G3235" t="inlineStr">
        <is>
          <t>Tuesday</t>
        </is>
      </c>
      <c r="H3235" t="inlineStr">
        <is>
          <t>Monthly - Tuesday</t>
        </is>
      </c>
      <c r="I3235" t="inlineStr">
        <is>
          <t>Monthly - Tuesday</t>
        </is>
      </c>
      <c r="J3235" t="inlineStr">
        <is>
          <t>Month+19 Expiry</t>
        </is>
      </c>
      <c r="K3235" s="25" t="n">
        <v>413</v>
      </c>
      <c r="L3235" s="26" t="n">
        <v>0.729</v>
      </c>
      <c r="M3235" s="26" t="n">
        <v>0.0299</v>
      </c>
    </row>
    <row r="3236" ht="16" customHeight="1">
      <c r="A3236" t="inlineStr">
        <is>
          <t>25-May-2026</t>
        </is>
      </c>
      <c r="B3236" t="inlineStr">
        <is>
          <t>Monday</t>
        </is>
      </c>
      <c r="C3236" t="inlineStr">
        <is>
          <t>Week4-May-2026</t>
        </is>
      </c>
      <c r="D3236" s="78" t="n">
        <v>46143</v>
      </c>
      <c r="E3236" t="inlineStr">
        <is>
          <t>Q1FY27</t>
        </is>
      </c>
      <c r="F3236" t="inlineStr">
        <is>
          <t>27-Jun-2028</t>
        </is>
      </c>
      <c r="G3236" t="inlineStr">
        <is>
          <t>Tuesday</t>
        </is>
      </c>
      <c r="H3236" t="inlineStr">
        <is>
          <t>Monthly - Tuesday</t>
        </is>
      </c>
      <c r="I3236" t="inlineStr">
        <is>
          <t>Monthly - Tuesday</t>
        </is>
      </c>
      <c r="J3236" t="inlineStr">
        <is>
          <t>Month+25 Expiry</t>
        </is>
      </c>
      <c r="K3236" s="25" t="n">
        <v>0</v>
      </c>
      <c r="L3236" s="26" t="n">
        <v>0</v>
      </c>
      <c r="M3236" s="26" t="n">
        <v>0</v>
      </c>
    </row>
    <row r="3237" ht="16" customHeight="1">
      <c r="A3237" t="inlineStr">
        <is>
          <t>25-May-2026</t>
        </is>
      </c>
      <c r="B3237" t="inlineStr">
        <is>
          <t>Monday</t>
        </is>
      </c>
      <c r="C3237" t="inlineStr">
        <is>
          <t>Week4-May-2026</t>
        </is>
      </c>
      <c r="D3237" s="78" t="n">
        <v>46143</v>
      </c>
      <c r="E3237" t="inlineStr">
        <is>
          <t>Q1FY27</t>
        </is>
      </c>
      <c r="F3237" t="inlineStr">
        <is>
          <t>26-Dec-2028</t>
        </is>
      </c>
      <c r="G3237" t="inlineStr">
        <is>
          <t>Tuesday</t>
        </is>
      </c>
      <c r="H3237" t="inlineStr">
        <is>
          <t>Monthly - Tuesday</t>
        </is>
      </c>
      <c r="I3237" t="inlineStr">
        <is>
          <t>Monthly - Tuesday</t>
        </is>
      </c>
      <c r="J3237" t="inlineStr">
        <is>
          <t>Month+31 Expiry</t>
        </is>
      </c>
      <c r="K3237" s="25" t="n">
        <v>17</v>
      </c>
      <c r="L3237" s="26" t="n">
        <v>0.0229</v>
      </c>
      <c r="M3237" s="26" t="n">
        <v>0.0005</v>
      </c>
    </row>
    <row r="3238" ht="16" customHeight="1">
      <c r="A3238" t="inlineStr">
        <is>
          <t>25-May-2026</t>
        </is>
      </c>
      <c r="B3238" t="inlineStr">
        <is>
          <t>Monday</t>
        </is>
      </c>
      <c r="C3238" t="inlineStr">
        <is>
          <t>Week4-May-2026</t>
        </is>
      </c>
      <c r="D3238" s="78" t="n">
        <v>46143</v>
      </c>
      <c r="E3238" t="inlineStr">
        <is>
          <t>Q1FY27</t>
        </is>
      </c>
      <c r="F3238" t="inlineStr">
        <is>
          <t>26-Jun-2029</t>
        </is>
      </c>
      <c r="G3238" t="inlineStr">
        <is>
          <t>Tuesday</t>
        </is>
      </c>
      <c r="H3238" t="inlineStr">
        <is>
          <t>Monthly - Tuesday</t>
        </is>
      </c>
      <c r="I3238" t="inlineStr">
        <is>
          <t>Monthly - Tuesday</t>
        </is>
      </c>
      <c r="J3238" t="inlineStr">
        <is>
          <t>Month+37 Expiry</t>
        </is>
      </c>
      <c r="K3238" s="25" t="n">
        <v>0</v>
      </c>
      <c r="L3238" s="26" t="n">
        <v>0</v>
      </c>
      <c r="M3238" s="26" t="n">
        <v>0</v>
      </c>
    </row>
    <row r="3239" ht="16" customHeight="1">
      <c r="A3239" t="inlineStr">
        <is>
          <t>25-May-2026</t>
        </is>
      </c>
      <c r="B3239" t="inlineStr">
        <is>
          <t>Monday</t>
        </is>
      </c>
      <c r="C3239" t="inlineStr">
        <is>
          <t>Week4-May-2026</t>
        </is>
      </c>
      <c r="D3239" s="78" t="n">
        <v>46143</v>
      </c>
      <c r="E3239" t="inlineStr">
        <is>
          <t>Q1FY27</t>
        </is>
      </c>
      <c r="F3239" t="inlineStr">
        <is>
          <t>24-Dec-2029</t>
        </is>
      </c>
      <c r="G3239" t="inlineStr">
        <is>
          <t>Monday</t>
        </is>
      </c>
      <c r="H3239" t="inlineStr">
        <is>
          <t>Weekly - Monday</t>
        </is>
      </c>
      <c r="I3239" t="inlineStr">
        <is>
          <t>Weekly - Monday</t>
        </is>
      </c>
      <c r="J3239" t="inlineStr">
        <is>
          <t>Month+43 Expiry</t>
        </is>
      </c>
      <c r="K3239" s="25" t="n">
        <v>0</v>
      </c>
      <c r="L3239" s="26" t="n">
        <v>0</v>
      </c>
      <c r="M3239" s="26" t="n">
        <v>0</v>
      </c>
    </row>
    <row r="3240" ht="16" customHeight="1">
      <c r="A3240" t="inlineStr">
        <is>
          <t>25-May-2026</t>
        </is>
      </c>
      <c r="B3240" t="inlineStr">
        <is>
          <t>Monday</t>
        </is>
      </c>
      <c r="C3240" t="inlineStr">
        <is>
          <t>Week4-May-2026</t>
        </is>
      </c>
      <c r="D3240" s="78" t="n">
        <v>46143</v>
      </c>
      <c r="E3240" t="inlineStr">
        <is>
          <t>Q1FY27</t>
        </is>
      </c>
      <c r="F3240" t="inlineStr">
        <is>
          <t>25-Jun-2030</t>
        </is>
      </c>
      <c r="G3240" t="inlineStr">
        <is>
          <t>Tuesday</t>
        </is>
      </c>
      <c r="H3240" t="inlineStr">
        <is>
          <t>Monthly - Tuesday</t>
        </is>
      </c>
      <c r="I3240" t="inlineStr">
        <is>
          <t>Monthly - Tuesday</t>
        </is>
      </c>
      <c r="J3240" t="inlineStr">
        <is>
          <t>Month+49 Expiry</t>
        </is>
      </c>
      <c r="K3240" s="25" t="n">
        <v>0</v>
      </c>
      <c r="L3240" s="26" t="n">
        <v>0</v>
      </c>
      <c r="M3240" s="26" t="n">
        <v>0</v>
      </c>
    </row>
    <row r="3241" ht="16" customHeight="1">
      <c r="A3241" t="inlineStr">
        <is>
          <t>25-May-2026</t>
        </is>
      </c>
      <c r="B3241" t="inlineStr">
        <is>
          <t>Monday</t>
        </is>
      </c>
      <c r="C3241" t="inlineStr">
        <is>
          <t>Week4-May-2026</t>
        </is>
      </c>
      <c r="D3241" s="78" t="n">
        <v>46143</v>
      </c>
      <c r="E3241" t="inlineStr">
        <is>
          <t>Q1FY27</t>
        </is>
      </c>
      <c r="F3241" t="inlineStr">
        <is>
          <t>31-Dec-2030</t>
        </is>
      </c>
      <c r="G3241" t="inlineStr">
        <is>
          <t>Tuesday</t>
        </is>
      </c>
      <c r="H3241" t="inlineStr">
        <is>
          <t>Monthly - Tuesday</t>
        </is>
      </c>
      <c r="I3241" t="inlineStr">
        <is>
          <t>Monthly - Tuesday</t>
        </is>
      </c>
      <c r="J3241" t="inlineStr">
        <is>
          <t>Month+55 Expiry</t>
        </is>
      </c>
      <c r="K3241" s="25" t="n">
        <v>0</v>
      </c>
      <c r="L3241" s="26" t="n">
        <v>0</v>
      </c>
      <c r="M3241" s="26" t="n">
        <v>0</v>
      </c>
    </row>
    <row r="3242" ht="16" customHeight="1">
      <c r="A3242" t="inlineStr">
        <is>
          <t>26-May-2026</t>
        </is>
      </c>
      <c r="B3242" t="inlineStr">
        <is>
          <t>Tuesday</t>
        </is>
      </c>
      <c r="C3242" t="inlineStr">
        <is>
          <t>Week4-May-2026</t>
        </is>
      </c>
      <c r="D3242" s="78" t="n">
        <v>46143</v>
      </c>
      <c r="E3242" t="inlineStr">
        <is>
          <t>Q1FY27</t>
        </is>
      </c>
      <c r="F3242" t="inlineStr">
        <is>
          <t>26-May-2026</t>
        </is>
      </c>
      <c r="G3242" t="inlineStr">
        <is>
          <t>Tuesday</t>
        </is>
      </c>
      <c r="H3242" t="inlineStr">
        <is>
          <t>Monthly - Tuesday</t>
        </is>
      </c>
      <c r="I3242" t="inlineStr">
        <is>
          <t>MDAW - Tuesday</t>
        </is>
      </c>
      <c r="J3242" t="inlineStr">
        <is>
          <t>Same Month Expiry</t>
        </is>
      </c>
      <c r="K3242" s="25" t="n">
        <v>303158568</v>
      </c>
      <c r="L3242" s="26" t="n">
        <v>472805.0003</v>
      </c>
      <c r="M3242" s="26" t="n">
        <v>484.1554</v>
      </c>
    </row>
    <row r="3243" ht="16" customHeight="1">
      <c r="A3243" t="inlineStr">
        <is>
          <t>26-May-2026</t>
        </is>
      </c>
      <c r="B3243" t="inlineStr">
        <is>
          <t>Tuesday</t>
        </is>
      </c>
      <c r="C3243" t="inlineStr">
        <is>
          <t>Week4-May-2026</t>
        </is>
      </c>
      <c r="D3243" s="78" t="n">
        <v>46143</v>
      </c>
      <c r="E3243" t="inlineStr">
        <is>
          <t>Q1FY27</t>
        </is>
      </c>
      <c r="F3243" t="inlineStr">
        <is>
          <t>02-Jun-2026</t>
        </is>
      </c>
      <c r="G3243" t="inlineStr">
        <is>
          <t>Tuesday</t>
        </is>
      </c>
      <c r="H3243" t="inlineStr">
        <is>
          <t>Weekly - Tuesday</t>
        </is>
      </c>
      <c r="I3243" t="inlineStr">
        <is>
          <t>Weekly - Tuesday</t>
        </is>
      </c>
      <c r="J3243" t="inlineStr">
        <is>
          <t>Month+1 Expiry</t>
        </is>
      </c>
      <c r="K3243" s="25" t="n">
        <v>9142772</v>
      </c>
      <c r="L3243" s="26" t="n">
        <v>14310.2248</v>
      </c>
      <c r="M3243" s="26" t="n">
        <v>55.7444</v>
      </c>
    </row>
    <row r="3244" ht="16" customHeight="1">
      <c r="A3244" t="inlineStr">
        <is>
          <t>26-May-2026</t>
        </is>
      </c>
      <c r="B3244" t="inlineStr">
        <is>
          <t>Tuesday</t>
        </is>
      </c>
      <c r="C3244" t="inlineStr">
        <is>
          <t>Week4-May-2026</t>
        </is>
      </c>
      <c r="D3244" s="78" t="n">
        <v>46143</v>
      </c>
      <c r="E3244" t="inlineStr">
        <is>
          <t>Q1FY27</t>
        </is>
      </c>
      <c r="F3244" t="inlineStr">
        <is>
          <t>09-Jun-2026</t>
        </is>
      </c>
      <c r="G3244" t="inlineStr">
        <is>
          <t>Tuesday</t>
        </is>
      </c>
      <c r="H3244" t="inlineStr">
        <is>
          <t>Weekly - Tuesday</t>
        </is>
      </c>
      <c r="I3244" t="inlineStr">
        <is>
          <t>Weekly - Tuesday</t>
        </is>
      </c>
      <c r="J3244" t="inlineStr">
        <is>
          <t>Month+1 Expiry</t>
        </is>
      </c>
      <c r="K3244" s="25" t="n">
        <v>494988</v>
      </c>
      <c r="L3244" s="26" t="n">
        <v>775.0724</v>
      </c>
      <c r="M3244" s="26" t="n">
        <v>3.6514</v>
      </c>
    </row>
    <row r="3245" ht="16" customHeight="1">
      <c r="A3245" t="inlineStr">
        <is>
          <t>26-May-2026</t>
        </is>
      </c>
      <c r="B3245" t="inlineStr">
        <is>
          <t>Tuesday</t>
        </is>
      </c>
      <c r="C3245" t="inlineStr">
        <is>
          <t>Week4-May-2026</t>
        </is>
      </c>
      <c r="D3245" s="78" t="n">
        <v>46143</v>
      </c>
      <c r="E3245" t="inlineStr">
        <is>
          <t>Q1FY27</t>
        </is>
      </c>
      <c r="F3245" t="inlineStr">
        <is>
          <t>16-Jun-2026</t>
        </is>
      </c>
      <c r="G3245" t="inlineStr">
        <is>
          <t>Tuesday</t>
        </is>
      </c>
      <c r="H3245" t="inlineStr">
        <is>
          <t>Weekly - Tuesday</t>
        </is>
      </c>
      <c r="I3245" t="inlineStr">
        <is>
          <t>Weekly - Tuesday</t>
        </is>
      </c>
      <c r="J3245" t="inlineStr">
        <is>
          <t>Month+1 Expiry</t>
        </is>
      </c>
      <c r="K3245" s="25" t="n">
        <v>54862</v>
      </c>
      <c r="L3245" s="26" t="n">
        <v>86.35469999999999</v>
      </c>
      <c r="M3245" s="26" t="n">
        <v>0.5125999999999999</v>
      </c>
    </row>
    <row r="3246" ht="16" customHeight="1">
      <c r="A3246" t="inlineStr">
        <is>
          <t>26-May-2026</t>
        </is>
      </c>
      <c r="B3246" t="inlineStr">
        <is>
          <t>Tuesday</t>
        </is>
      </c>
      <c r="C3246" t="inlineStr">
        <is>
          <t>Week4-May-2026</t>
        </is>
      </c>
      <c r="D3246" s="78" t="n">
        <v>46143</v>
      </c>
      <c r="E3246" t="inlineStr">
        <is>
          <t>Q1FY27</t>
        </is>
      </c>
      <c r="F3246" t="inlineStr">
        <is>
          <t>23-Jun-2026</t>
        </is>
      </c>
      <c r="G3246" t="inlineStr">
        <is>
          <t>Tuesday</t>
        </is>
      </c>
      <c r="H3246" t="inlineStr">
        <is>
          <t>Weekly - Tuesday</t>
        </is>
      </c>
      <c r="I3246" t="inlineStr">
        <is>
          <t>Weekly - Tuesday</t>
        </is>
      </c>
      <c r="J3246" t="inlineStr">
        <is>
          <t>Month+1 Expiry</t>
        </is>
      </c>
      <c r="K3246" s="25" t="n">
        <v>11576</v>
      </c>
      <c r="L3246" s="26" t="n">
        <v>18.167</v>
      </c>
      <c r="M3246" s="26" t="n">
        <v>0.1581</v>
      </c>
    </row>
    <row r="3247" ht="16" customHeight="1">
      <c r="A3247" t="inlineStr">
        <is>
          <t>26-May-2026</t>
        </is>
      </c>
      <c r="B3247" t="inlineStr">
        <is>
          <t>Tuesday</t>
        </is>
      </c>
      <c r="C3247" t="inlineStr">
        <is>
          <t>Week4-May-2026</t>
        </is>
      </c>
      <c r="D3247" s="78" t="n">
        <v>46143</v>
      </c>
      <c r="E3247" t="inlineStr">
        <is>
          <t>Q1FY27</t>
        </is>
      </c>
      <c r="F3247" t="inlineStr">
        <is>
          <t>30-Jun-2026</t>
        </is>
      </c>
      <c r="G3247" t="inlineStr">
        <is>
          <t>Tuesday</t>
        </is>
      </c>
      <c r="H3247" t="inlineStr">
        <is>
          <t>Monthly - Tuesday</t>
        </is>
      </c>
      <c r="I3247" t="inlineStr">
        <is>
          <t>Monthly - Tuesday</t>
        </is>
      </c>
      <c r="J3247" t="inlineStr">
        <is>
          <t>Month+1 Expiry</t>
        </is>
      </c>
      <c r="K3247" s="25" t="n">
        <v>1019697</v>
      </c>
      <c r="L3247" s="26" t="n">
        <v>1605.8956</v>
      </c>
      <c r="M3247" s="26" t="n">
        <v>17.9277</v>
      </c>
    </row>
    <row r="3248" ht="16" customHeight="1">
      <c r="A3248" t="inlineStr">
        <is>
          <t>26-May-2026</t>
        </is>
      </c>
      <c r="B3248" t="inlineStr">
        <is>
          <t>Tuesday</t>
        </is>
      </c>
      <c r="C3248" t="inlineStr">
        <is>
          <t>Week4-May-2026</t>
        </is>
      </c>
      <c r="D3248" s="78" t="n">
        <v>46143</v>
      </c>
      <c r="E3248" t="inlineStr">
        <is>
          <t>Q1FY27</t>
        </is>
      </c>
      <c r="F3248" t="inlineStr">
        <is>
          <t>28-Jul-2026</t>
        </is>
      </c>
      <c r="G3248" t="inlineStr">
        <is>
          <t>Tuesday</t>
        </is>
      </c>
      <c r="H3248" t="inlineStr">
        <is>
          <t>Monthly - Tuesday</t>
        </is>
      </c>
      <c r="I3248" t="inlineStr">
        <is>
          <t>Monthly - Tuesday</t>
        </is>
      </c>
      <c r="J3248" t="inlineStr">
        <is>
          <t>Month+2 Expiry</t>
        </is>
      </c>
      <c r="K3248" s="25" t="n">
        <v>81584</v>
      </c>
      <c r="L3248" s="26" t="n">
        <v>128.9441</v>
      </c>
      <c r="M3248" s="26" t="n">
        <v>1.6253</v>
      </c>
    </row>
    <row r="3249" ht="16" customHeight="1">
      <c r="A3249" t="inlineStr">
        <is>
          <t>26-May-2026</t>
        </is>
      </c>
      <c r="B3249" t="inlineStr">
        <is>
          <t>Tuesday</t>
        </is>
      </c>
      <c r="C3249" t="inlineStr">
        <is>
          <t>Week4-May-2026</t>
        </is>
      </c>
      <c r="D3249" s="78" t="n">
        <v>46143</v>
      </c>
      <c r="E3249" t="inlineStr">
        <is>
          <t>Q1FY27</t>
        </is>
      </c>
      <c r="F3249" t="inlineStr">
        <is>
          <t>29-Sep-2026</t>
        </is>
      </c>
      <c r="G3249" t="inlineStr">
        <is>
          <t>Tuesday</t>
        </is>
      </c>
      <c r="H3249" t="inlineStr">
        <is>
          <t>Monthly - Tuesday</t>
        </is>
      </c>
      <c r="I3249" t="inlineStr">
        <is>
          <t>Monthly - Tuesday</t>
        </is>
      </c>
      <c r="J3249" t="inlineStr">
        <is>
          <t>Month+4 Expiry</t>
        </is>
      </c>
      <c r="K3249" s="25" t="n">
        <v>27565</v>
      </c>
      <c r="L3249" s="26" t="n">
        <v>44.0109</v>
      </c>
      <c r="M3249" s="26" t="n">
        <v>0.8643999999999999</v>
      </c>
    </row>
    <row r="3250" ht="16" customHeight="1">
      <c r="A3250" t="inlineStr">
        <is>
          <t>26-May-2026</t>
        </is>
      </c>
      <c r="B3250" t="inlineStr">
        <is>
          <t>Tuesday</t>
        </is>
      </c>
      <c r="C3250" t="inlineStr">
        <is>
          <t>Week4-May-2026</t>
        </is>
      </c>
      <c r="D3250" s="78" t="n">
        <v>46143</v>
      </c>
      <c r="E3250" t="inlineStr">
        <is>
          <t>Q1FY27</t>
        </is>
      </c>
      <c r="F3250" t="inlineStr">
        <is>
          <t>29-Dec-2026</t>
        </is>
      </c>
      <c r="G3250" t="inlineStr">
        <is>
          <t>Tuesday</t>
        </is>
      </c>
      <c r="H3250" t="inlineStr">
        <is>
          <t>Monthly - Tuesday</t>
        </is>
      </c>
      <c r="I3250" t="inlineStr">
        <is>
          <t>Monthly - Tuesday</t>
        </is>
      </c>
      <c r="J3250" t="inlineStr">
        <is>
          <t>Month+7 Expiry</t>
        </is>
      </c>
      <c r="K3250" s="25" t="n">
        <v>28457</v>
      </c>
      <c r="L3250" s="26" t="n">
        <v>45.529</v>
      </c>
      <c r="M3250" s="26" t="n">
        <v>1.0496</v>
      </c>
    </row>
    <row r="3251" ht="16" customHeight="1">
      <c r="A3251" t="inlineStr">
        <is>
          <t>26-May-2026</t>
        </is>
      </c>
      <c r="B3251" t="inlineStr">
        <is>
          <t>Tuesday</t>
        </is>
      </c>
      <c r="C3251" t="inlineStr">
        <is>
          <t>Week4-May-2026</t>
        </is>
      </c>
      <c r="D3251" s="78" t="n">
        <v>46143</v>
      </c>
      <c r="E3251" t="inlineStr">
        <is>
          <t>Q1FY27</t>
        </is>
      </c>
      <c r="F3251" t="inlineStr">
        <is>
          <t>30-Mar-2027</t>
        </is>
      </c>
      <c r="G3251" t="inlineStr">
        <is>
          <t>Tuesday</t>
        </is>
      </c>
      <c r="H3251" t="inlineStr">
        <is>
          <t>Monthly - Tuesday</t>
        </is>
      </c>
      <c r="I3251" t="inlineStr">
        <is>
          <t>Monthly - Tuesday</t>
        </is>
      </c>
      <c r="J3251" t="inlineStr">
        <is>
          <t>Month+10 Expiry</t>
        </is>
      </c>
      <c r="K3251" s="25" t="n">
        <v>6</v>
      </c>
      <c r="L3251" s="26" t="n">
        <v>0.0109</v>
      </c>
      <c r="M3251" s="26" t="n">
        <v>0.0003</v>
      </c>
    </row>
    <row r="3252" ht="16" customHeight="1">
      <c r="A3252" t="inlineStr">
        <is>
          <t>26-May-2026</t>
        </is>
      </c>
      <c r="B3252" t="inlineStr">
        <is>
          <t>Tuesday</t>
        </is>
      </c>
      <c r="C3252" t="inlineStr">
        <is>
          <t>Week4-May-2026</t>
        </is>
      </c>
      <c r="D3252" s="78" t="n">
        <v>46143</v>
      </c>
      <c r="E3252" t="inlineStr">
        <is>
          <t>Q1FY27</t>
        </is>
      </c>
      <c r="F3252" t="inlineStr">
        <is>
          <t>29-Jun-2027</t>
        </is>
      </c>
      <c r="G3252" t="inlineStr">
        <is>
          <t>Tuesday</t>
        </is>
      </c>
      <c r="H3252" t="inlineStr">
        <is>
          <t>Monthly - Tuesday</t>
        </is>
      </c>
      <c r="I3252" t="inlineStr">
        <is>
          <t>Monthly - Tuesday</t>
        </is>
      </c>
      <c r="J3252" t="inlineStr">
        <is>
          <t>Month+13 Expiry</t>
        </is>
      </c>
      <c r="K3252" s="25" t="n">
        <v>1</v>
      </c>
      <c r="L3252" s="26" t="n">
        <v>0.0017</v>
      </c>
      <c r="M3252" s="26" t="n">
        <v>0.0002</v>
      </c>
    </row>
    <row r="3253" ht="16" customHeight="1">
      <c r="A3253" t="inlineStr">
        <is>
          <t>26-May-2026</t>
        </is>
      </c>
      <c r="B3253" t="inlineStr">
        <is>
          <t>Tuesday</t>
        </is>
      </c>
      <c r="C3253" t="inlineStr">
        <is>
          <t>Week4-May-2026</t>
        </is>
      </c>
      <c r="D3253" s="78" t="n">
        <v>46143</v>
      </c>
      <c r="E3253" t="inlineStr">
        <is>
          <t>Q1FY27</t>
        </is>
      </c>
      <c r="F3253" t="inlineStr">
        <is>
          <t>28-Dec-2027</t>
        </is>
      </c>
      <c r="G3253" t="inlineStr">
        <is>
          <t>Tuesday</t>
        </is>
      </c>
      <c r="H3253" t="inlineStr">
        <is>
          <t>Monthly - Tuesday</t>
        </is>
      </c>
      <c r="I3253" t="inlineStr">
        <is>
          <t>Monthly - Tuesday</t>
        </is>
      </c>
      <c r="J3253" t="inlineStr">
        <is>
          <t>Month+19 Expiry</t>
        </is>
      </c>
      <c r="K3253" s="25" t="n">
        <v>234</v>
      </c>
      <c r="L3253" s="26" t="n">
        <v>0.3995</v>
      </c>
      <c r="M3253" s="26" t="n">
        <v>0.018</v>
      </c>
    </row>
    <row r="3254" ht="16" customHeight="1">
      <c r="A3254" t="inlineStr">
        <is>
          <t>26-May-2026</t>
        </is>
      </c>
      <c r="B3254" t="inlineStr">
        <is>
          <t>Tuesday</t>
        </is>
      </c>
      <c r="C3254" t="inlineStr">
        <is>
          <t>Week4-May-2026</t>
        </is>
      </c>
      <c r="D3254" s="78" t="n">
        <v>46143</v>
      </c>
      <c r="E3254" t="inlineStr">
        <is>
          <t>Q1FY27</t>
        </is>
      </c>
      <c r="F3254" t="inlineStr">
        <is>
          <t>27-Jun-2028</t>
        </is>
      </c>
      <c r="G3254" t="inlineStr">
        <is>
          <t>Tuesday</t>
        </is>
      </c>
      <c r="H3254" t="inlineStr">
        <is>
          <t>Monthly - Tuesday</t>
        </is>
      </c>
      <c r="I3254" t="inlineStr">
        <is>
          <t>Monthly - Tuesday</t>
        </is>
      </c>
      <c r="J3254" t="inlineStr">
        <is>
          <t>Month+25 Expiry</t>
        </is>
      </c>
      <c r="K3254" s="25" t="n">
        <v>0</v>
      </c>
      <c r="L3254" s="26" t="n">
        <v>0</v>
      </c>
      <c r="M3254" s="26" t="n">
        <v>0</v>
      </c>
    </row>
    <row r="3255" ht="16" customHeight="1">
      <c r="A3255" t="inlineStr">
        <is>
          <t>26-May-2026</t>
        </is>
      </c>
      <c r="B3255" t="inlineStr">
        <is>
          <t>Tuesday</t>
        </is>
      </c>
      <c r="C3255" t="inlineStr">
        <is>
          <t>Week4-May-2026</t>
        </is>
      </c>
      <c r="D3255" s="78" t="n">
        <v>46143</v>
      </c>
      <c r="E3255" t="inlineStr">
        <is>
          <t>Q1FY27</t>
        </is>
      </c>
      <c r="F3255" t="inlineStr">
        <is>
          <t>26-Dec-2028</t>
        </is>
      </c>
      <c r="G3255" t="inlineStr">
        <is>
          <t>Tuesday</t>
        </is>
      </c>
      <c r="H3255" t="inlineStr">
        <is>
          <t>Monthly - Tuesday</t>
        </is>
      </c>
      <c r="I3255" t="inlineStr">
        <is>
          <t>Monthly - Tuesday</t>
        </is>
      </c>
      <c r="J3255" t="inlineStr">
        <is>
          <t>Month+31 Expiry</t>
        </is>
      </c>
      <c r="K3255" s="25" t="n">
        <v>21</v>
      </c>
      <c r="L3255" s="26" t="n">
        <v>0.0312</v>
      </c>
      <c r="M3255" s="26" t="n">
        <v>0.0011</v>
      </c>
    </row>
    <row r="3256" ht="16" customHeight="1">
      <c r="A3256" t="inlineStr">
        <is>
          <t>26-May-2026</t>
        </is>
      </c>
      <c r="B3256" t="inlineStr">
        <is>
          <t>Tuesday</t>
        </is>
      </c>
      <c r="C3256" t="inlineStr">
        <is>
          <t>Week4-May-2026</t>
        </is>
      </c>
      <c r="D3256" s="78" t="n">
        <v>46143</v>
      </c>
      <c r="E3256" t="inlineStr">
        <is>
          <t>Q1FY27</t>
        </is>
      </c>
      <c r="F3256" t="inlineStr">
        <is>
          <t>26-Jun-2029</t>
        </is>
      </c>
      <c r="G3256" t="inlineStr">
        <is>
          <t>Tuesday</t>
        </is>
      </c>
      <c r="H3256" t="inlineStr">
        <is>
          <t>Monthly - Tuesday</t>
        </is>
      </c>
      <c r="I3256" t="inlineStr">
        <is>
          <t>Monthly - Tuesday</t>
        </is>
      </c>
      <c r="J3256" t="inlineStr">
        <is>
          <t>Month+37 Expiry</t>
        </is>
      </c>
      <c r="K3256" s="25" t="n">
        <v>0</v>
      </c>
      <c r="L3256" s="26" t="n">
        <v>0</v>
      </c>
      <c r="M3256" s="26" t="n">
        <v>0</v>
      </c>
    </row>
    <row r="3257" ht="16" customHeight="1">
      <c r="A3257" t="inlineStr">
        <is>
          <t>26-May-2026</t>
        </is>
      </c>
      <c r="B3257" t="inlineStr">
        <is>
          <t>Tuesday</t>
        </is>
      </c>
      <c r="C3257" t="inlineStr">
        <is>
          <t>Week4-May-2026</t>
        </is>
      </c>
      <c r="D3257" s="78" t="n">
        <v>46143</v>
      </c>
      <c r="E3257" t="inlineStr">
        <is>
          <t>Q1FY27</t>
        </is>
      </c>
      <c r="F3257" t="inlineStr">
        <is>
          <t>24-Dec-2029</t>
        </is>
      </c>
      <c r="G3257" t="inlineStr">
        <is>
          <t>Monday</t>
        </is>
      </c>
      <c r="H3257" t="inlineStr">
        <is>
          <t>Weekly - Monday</t>
        </is>
      </c>
      <c r="I3257" t="inlineStr">
        <is>
          <t>Weekly - Monday</t>
        </is>
      </c>
      <c r="J3257" t="inlineStr">
        <is>
          <t>Month+43 Expiry</t>
        </is>
      </c>
      <c r="K3257" s="25" t="n">
        <v>0</v>
      </c>
      <c r="L3257" s="26" t="n">
        <v>0</v>
      </c>
      <c r="M3257" s="26" t="n">
        <v>0</v>
      </c>
    </row>
    <row r="3258" ht="16" customHeight="1">
      <c r="A3258" t="inlineStr">
        <is>
          <t>26-May-2026</t>
        </is>
      </c>
      <c r="B3258" t="inlineStr">
        <is>
          <t>Tuesday</t>
        </is>
      </c>
      <c r="C3258" t="inlineStr">
        <is>
          <t>Week4-May-2026</t>
        </is>
      </c>
      <c r="D3258" s="78" t="n">
        <v>46143</v>
      </c>
      <c r="E3258" t="inlineStr">
        <is>
          <t>Q1FY27</t>
        </is>
      </c>
      <c r="F3258" t="inlineStr">
        <is>
          <t>25-Jun-2030</t>
        </is>
      </c>
      <c r="G3258" t="inlineStr">
        <is>
          <t>Tuesday</t>
        </is>
      </c>
      <c r="H3258" t="inlineStr">
        <is>
          <t>Monthly - Tuesday</t>
        </is>
      </c>
      <c r="I3258" t="inlineStr">
        <is>
          <t>Monthly - Tuesday</t>
        </is>
      </c>
      <c r="J3258" t="inlineStr">
        <is>
          <t>Month+49 Expiry</t>
        </is>
      </c>
      <c r="K3258" s="25" t="n">
        <v>0</v>
      </c>
      <c r="L3258" s="26" t="n">
        <v>0</v>
      </c>
      <c r="M3258" s="26" t="n">
        <v>0</v>
      </c>
    </row>
    <row r="3259" ht="16" customHeight="1">
      <c r="A3259" t="inlineStr">
        <is>
          <t>26-May-2026</t>
        </is>
      </c>
      <c r="B3259" t="inlineStr">
        <is>
          <t>Tuesday</t>
        </is>
      </c>
      <c r="C3259" t="inlineStr">
        <is>
          <t>Week4-May-2026</t>
        </is>
      </c>
      <c r="D3259" s="78" t="n">
        <v>46143</v>
      </c>
      <c r="E3259" t="inlineStr">
        <is>
          <t>Q1FY27</t>
        </is>
      </c>
      <c r="F3259" t="inlineStr">
        <is>
          <t>31-Dec-2030</t>
        </is>
      </c>
      <c r="G3259" t="inlineStr">
        <is>
          <t>Tuesday</t>
        </is>
      </c>
      <c r="H3259" t="inlineStr">
        <is>
          <t>Monthly - Tuesday</t>
        </is>
      </c>
      <c r="I3259" t="inlineStr">
        <is>
          <t>Monthly - Tuesday</t>
        </is>
      </c>
      <c r="J3259" t="inlineStr">
        <is>
          <t>Month+55 Expiry</t>
        </is>
      </c>
      <c r="K3259" s="25" t="n">
        <v>1</v>
      </c>
      <c r="L3259" s="26" t="n">
        <v>0.0016</v>
      </c>
      <c r="M3259" s="26" t="n">
        <v>0.0001</v>
      </c>
    </row>
    <row r="3260" ht="16" customHeight="1">
      <c r="A3260" t="inlineStr">
        <is>
          <t>27-May-2026</t>
        </is>
      </c>
      <c r="B3260" t="inlineStr">
        <is>
          <t>Wednesday</t>
        </is>
      </c>
      <c r="C3260" t="inlineStr">
        <is>
          <t>Week4-May-2026</t>
        </is>
      </c>
      <c r="D3260" s="78" t="n">
        <v>46143</v>
      </c>
      <c r="E3260" t="inlineStr">
        <is>
          <t>Q1FY27</t>
        </is>
      </c>
      <c r="F3260" t="inlineStr">
        <is>
          <t>02-Jun-2026</t>
        </is>
      </c>
      <c r="G3260" t="inlineStr">
        <is>
          <t>Tuesday</t>
        </is>
      </c>
      <c r="H3260" t="inlineStr">
        <is>
          <t>Weekly - Tuesday</t>
        </is>
      </c>
      <c r="I3260" t="inlineStr">
        <is>
          <t>Weekly - Tuesday</t>
        </is>
      </c>
      <c r="J3260" t="inlineStr">
        <is>
          <t>Month+1 Expiry</t>
        </is>
      </c>
      <c r="K3260" s="25" t="n">
        <v>37794306</v>
      </c>
      <c r="L3260" s="26" t="n">
        <v>58988.6436</v>
      </c>
      <c r="M3260" s="26" t="n">
        <v>214.5754</v>
      </c>
    </row>
    <row r="3261" ht="16" customHeight="1">
      <c r="A3261" t="inlineStr">
        <is>
          <t>27-May-2026</t>
        </is>
      </c>
      <c r="B3261" t="inlineStr">
        <is>
          <t>Wednesday</t>
        </is>
      </c>
      <c r="C3261" t="inlineStr">
        <is>
          <t>Week4-May-2026</t>
        </is>
      </c>
      <c r="D3261" s="78" t="n">
        <v>46143</v>
      </c>
      <c r="E3261" t="inlineStr">
        <is>
          <t>Q1FY27</t>
        </is>
      </c>
      <c r="F3261" t="inlineStr">
        <is>
          <t>09-Jun-2026</t>
        </is>
      </c>
      <c r="G3261" t="inlineStr">
        <is>
          <t>Tuesday</t>
        </is>
      </c>
      <c r="H3261" t="inlineStr">
        <is>
          <t>Weekly - Tuesday</t>
        </is>
      </c>
      <c r="I3261" t="inlineStr">
        <is>
          <t>Weekly - Tuesday</t>
        </is>
      </c>
      <c r="J3261" t="inlineStr">
        <is>
          <t>Month+1 Expiry</t>
        </is>
      </c>
      <c r="K3261" s="25" t="n">
        <v>1097899</v>
      </c>
      <c r="L3261" s="26" t="n">
        <v>1704.8447</v>
      </c>
      <c r="M3261" s="26" t="n">
        <v>6.86</v>
      </c>
    </row>
    <row r="3262" ht="16" customHeight="1">
      <c r="A3262" t="inlineStr">
        <is>
          <t>27-May-2026</t>
        </is>
      </c>
      <c r="B3262" t="inlineStr">
        <is>
          <t>Wednesday</t>
        </is>
      </c>
      <c r="C3262" t="inlineStr">
        <is>
          <t>Week4-May-2026</t>
        </is>
      </c>
      <c r="D3262" s="78" t="n">
        <v>46143</v>
      </c>
      <c r="E3262" t="inlineStr">
        <is>
          <t>Q1FY27</t>
        </is>
      </c>
      <c r="F3262" t="inlineStr">
        <is>
          <t>16-Jun-2026</t>
        </is>
      </c>
      <c r="G3262" t="inlineStr">
        <is>
          <t>Tuesday</t>
        </is>
      </c>
      <c r="H3262" t="inlineStr">
        <is>
          <t>Weekly - Tuesday</t>
        </is>
      </c>
      <c r="I3262" t="inlineStr">
        <is>
          <t>Weekly - Tuesday</t>
        </is>
      </c>
      <c r="J3262" t="inlineStr">
        <is>
          <t>Month+1 Expiry</t>
        </is>
      </c>
      <c r="K3262" s="25" t="n">
        <v>101579</v>
      </c>
      <c r="L3262" s="26" t="n">
        <v>158.1591</v>
      </c>
      <c r="M3262" s="26" t="n">
        <v>0.8131</v>
      </c>
    </row>
    <row r="3263" ht="16" customHeight="1">
      <c r="A3263" t="inlineStr">
        <is>
          <t>27-May-2026</t>
        </is>
      </c>
      <c r="B3263" t="inlineStr">
        <is>
          <t>Wednesday</t>
        </is>
      </c>
      <c r="C3263" t="inlineStr">
        <is>
          <t>Week4-May-2026</t>
        </is>
      </c>
      <c r="D3263" s="78" t="n">
        <v>46143</v>
      </c>
      <c r="E3263" t="inlineStr">
        <is>
          <t>Q1FY27</t>
        </is>
      </c>
      <c r="F3263" t="inlineStr">
        <is>
          <t>23-Jun-2026</t>
        </is>
      </c>
      <c r="G3263" t="inlineStr">
        <is>
          <t>Tuesday</t>
        </is>
      </c>
      <c r="H3263" t="inlineStr">
        <is>
          <t>Weekly - Tuesday</t>
        </is>
      </c>
      <c r="I3263" t="inlineStr">
        <is>
          <t>Weekly - Tuesday</t>
        </is>
      </c>
      <c r="J3263" t="inlineStr">
        <is>
          <t>Month+1 Expiry</t>
        </is>
      </c>
      <c r="K3263" s="25" t="n">
        <v>21267</v>
      </c>
      <c r="L3263" s="26" t="n">
        <v>33.3179</v>
      </c>
      <c r="M3263" s="26" t="n">
        <v>0.3069</v>
      </c>
    </row>
    <row r="3264" ht="16" customHeight="1">
      <c r="A3264" t="inlineStr">
        <is>
          <t>27-May-2026</t>
        </is>
      </c>
      <c r="B3264" t="inlineStr">
        <is>
          <t>Wednesday</t>
        </is>
      </c>
      <c r="C3264" t="inlineStr">
        <is>
          <t>Week4-May-2026</t>
        </is>
      </c>
      <c r="D3264" s="78" t="n">
        <v>46143</v>
      </c>
      <c r="E3264" t="inlineStr">
        <is>
          <t>Q1FY27</t>
        </is>
      </c>
      <c r="F3264" t="inlineStr">
        <is>
          <t>30-Jun-2026</t>
        </is>
      </c>
      <c r="G3264" t="inlineStr">
        <is>
          <t>Tuesday</t>
        </is>
      </c>
      <c r="H3264" t="inlineStr">
        <is>
          <t>Monthly - Tuesday</t>
        </is>
      </c>
      <c r="I3264" t="inlineStr">
        <is>
          <t>Monthly - Tuesday</t>
        </is>
      </c>
      <c r="J3264" t="inlineStr">
        <is>
          <t>Month+1 Expiry</t>
        </is>
      </c>
      <c r="K3264" s="25" t="n">
        <v>874295</v>
      </c>
      <c r="L3264" s="26" t="n">
        <v>1369.5072</v>
      </c>
      <c r="M3264" s="26" t="n">
        <v>11.4904</v>
      </c>
    </row>
    <row r="3265" ht="16" customHeight="1">
      <c r="A3265" t="inlineStr">
        <is>
          <t>27-May-2026</t>
        </is>
      </c>
      <c r="B3265" t="inlineStr">
        <is>
          <t>Wednesday</t>
        </is>
      </c>
      <c r="C3265" t="inlineStr">
        <is>
          <t>Week4-May-2026</t>
        </is>
      </c>
      <c r="D3265" s="78" t="n">
        <v>46143</v>
      </c>
      <c r="E3265" t="inlineStr">
        <is>
          <t>Q1FY27</t>
        </is>
      </c>
      <c r="F3265" t="inlineStr">
        <is>
          <t>28-Jul-2026</t>
        </is>
      </c>
      <c r="G3265" t="inlineStr">
        <is>
          <t>Tuesday</t>
        </is>
      </c>
      <c r="H3265" t="inlineStr">
        <is>
          <t>Monthly - Tuesday</t>
        </is>
      </c>
      <c r="I3265" t="inlineStr">
        <is>
          <t>Monthly - Tuesday</t>
        </is>
      </c>
      <c r="J3265" t="inlineStr">
        <is>
          <t>Month+2 Expiry</t>
        </is>
      </c>
      <c r="K3265" s="25" t="n">
        <v>103347</v>
      </c>
      <c r="L3265" s="26" t="n">
        <v>162.1791</v>
      </c>
      <c r="M3265" s="26" t="n">
        <v>1.5358</v>
      </c>
    </row>
    <row r="3266" ht="16" customHeight="1">
      <c r="A3266" t="inlineStr">
        <is>
          <t>27-May-2026</t>
        </is>
      </c>
      <c r="B3266" t="inlineStr">
        <is>
          <t>Wednesday</t>
        </is>
      </c>
      <c r="C3266" t="inlineStr">
        <is>
          <t>Week4-May-2026</t>
        </is>
      </c>
      <c r="D3266" s="78" t="n">
        <v>46143</v>
      </c>
      <c r="E3266" t="inlineStr">
        <is>
          <t>Q1FY27</t>
        </is>
      </c>
      <c r="F3266" t="inlineStr">
        <is>
          <t>25-Aug-2026</t>
        </is>
      </c>
      <c r="G3266" t="inlineStr">
        <is>
          <t>Tuesday</t>
        </is>
      </c>
      <c r="H3266" t="inlineStr">
        <is>
          <t>Monthly - Tuesday</t>
        </is>
      </c>
      <c r="I3266" t="inlineStr">
        <is>
          <t>Monthly - Tuesday</t>
        </is>
      </c>
      <c r="J3266" t="inlineStr">
        <is>
          <t>Month+3 Expiry</t>
        </is>
      </c>
      <c r="K3266" s="25" t="n">
        <v>24501</v>
      </c>
      <c r="L3266" s="26" t="n">
        <v>38.723</v>
      </c>
      <c r="M3266" s="26" t="n">
        <v>0.6571</v>
      </c>
    </row>
    <row r="3267" ht="16" customHeight="1">
      <c r="A3267" t="inlineStr">
        <is>
          <t>27-May-2026</t>
        </is>
      </c>
      <c r="B3267" t="inlineStr">
        <is>
          <t>Wednesday</t>
        </is>
      </c>
      <c r="C3267" t="inlineStr">
        <is>
          <t>Week4-May-2026</t>
        </is>
      </c>
      <c r="D3267" s="78" t="n">
        <v>46143</v>
      </c>
      <c r="E3267" t="inlineStr">
        <is>
          <t>Q1FY27</t>
        </is>
      </c>
      <c r="F3267" t="inlineStr">
        <is>
          <t>29-Sep-2026</t>
        </is>
      </c>
      <c r="G3267" t="inlineStr">
        <is>
          <t>Tuesday</t>
        </is>
      </c>
      <c r="H3267" t="inlineStr">
        <is>
          <t>Monthly - Tuesday</t>
        </is>
      </c>
      <c r="I3267" t="inlineStr">
        <is>
          <t>Monthly - Tuesday</t>
        </is>
      </c>
      <c r="J3267" t="inlineStr">
        <is>
          <t>Month+4 Expiry</t>
        </is>
      </c>
      <c r="K3267" s="25" t="n">
        <v>21110</v>
      </c>
      <c r="L3267" s="26" t="n">
        <v>33.6003</v>
      </c>
      <c r="M3267" s="26" t="n">
        <v>0.426</v>
      </c>
    </row>
    <row r="3268" ht="16" customHeight="1">
      <c r="A3268" t="inlineStr">
        <is>
          <t>27-May-2026</t>
        </is>
      </c>
      <c r="B3268" t="inlineStr">
        <is>
          <t>Wednesday</t>
        </is>
      </c>
      <c r="C3268" t="inlineStr">
        <is>
          <t>Week4-May-2026</t>
        </is>
      </c>
      <c r="D3268" s="78" t="n">
        <v>46143</v>
      </c>
      <c r="E3268" t="inlineStr">
        <is>
          <t>Q1FY27</t>
        </is>
      </c>
      <c r="F3268" t="inlineStr">
        <is>
          <t>29-Dec-2026</t>
        </is>
      </c>
      <c r="G3268" t="inlineStr">
        <is>
          <t>Tuesday</t>
        </is>
      </c>
      <c r="H3268" t="inlineStr">
        <is>
          <t>Monthly - Tuesday</t>
        </is>
      </c>
      <c r="I3268" t="inlineStr">
        <is>
          <t>Monthly - Tuesday</t>
        </is>
      </c>
      <c r="J3268" t="inlineStr">
        <is>
          <t>Month+7 Expiry</t>
        </is>
      </c>
      <c r="K3268" s="25" t="n">
        <v>31570</v>
      </c>
      <c r="L3268" s="26" t="n">
        <v>50.6123</v>
      </c>
      <c r="M3268" s="26" t="n">
        <v>1.0804</v>
      </c>
    </row>
    <row r="3269" ht="16" customHeight="1">
      <c r="A3269" t="inlineStr">
        <is>
          <t>27-May-2026</t>
        </is>
      </c>
      <c r="B3269" t="inlineStr">
        <is>
          <t>Wednesday</t>
        </is>
      </c>
      <c r="C3269" t="inlineStr">
        <is>
          <t>Week4-May-2026</t>
        </is>
      </c>
      <c r="D3269" s="78" t="n">
        <v>46143</v>
      </c>
      <c r="E3269" t="inlineStr">
        <is>
          <t>Q1FY27</t>
        </is>
      </c>
      <c r="F3269" t="inlineStr">
        <is>
          <t>30-Mar-2027</t>
        </is>
      </c>
      <c r="G3269" t="inlineStr">
        <is>
          <t>Tuesday</t>
        </is>
      </c>
      <c r="H3269" t="inlineStr">
        <is>
          <t>Monthly - Tuesday</t>
        </is>
      </c>
      <c r="I3269" t="inlineStr">
        <is>
          <t>Monthly - Tuesday</t>
        </is>
      </c>
      <c r="J3269" t="inlineStr">
        <is>
          <t>Month+10 Expiry</t>
        </is>
      </c>
      <c r="K3269" s="25" t="n">
        <v>5</v>
      </c>
      <c r="L3269" s="26" t="n">
        <v>0.0073</v>
      </c>
      <c r="M3269" s="26" t="n">
        <v>0.0001</v>
      </c>
    </row>
    <row r="3270" ht="16" customHeight="1">
      <c r="A3270" t="inlineStr">
        <is>
          <t>27-May-2026</t>
        </is>
      </c>
      <c r="B3270" t="inlineStr">
        <is>
          <t>Wednesday</t>
        </is>
      </c>
      <c r="C3270" t="inlineStr">
        <is>
          <t>Week4-May-2026</t>
        </is>
      </c>
      <c r="D3270" s="78" t="n">
        <v>46143</v>
      </c>
      <c r="E3270" t="inlineStr">
        <is>
          <t>Q1FY27</t>
        </is>
      </c>
      <c r="F3270" t="inlineStr">
        <is>
          <t>29-Jun-2027</t>
        </is>
      </c>
      <c r="G3270" t="inlineStr">
        <is>
          <t>Tuesday</t>
        </is>
      </c>
      <c r="H3270" t="inlineStr">
        <is>
          <t>Monthly - Tuesday</t>
        </is>
      </c>
      <c r="I3270" t="inlineStr">
        <is>
          <t>Monthly - Tuesday</t>
        </is>
      </c>
      <c r="J3270" t="inlineStr">
        <is>
          <t>Month+13 Expiry</t>
        </is>
      </c>
      <c r="K3270" s="25" t="n">
        <v>1</v>
      </c>
      <c r="L3270" s="26" t="n">
        <v>0.0017</v>
      </c>
      <c r="M3270" s="26" t="n">
        <v>0.0002</v>
      </c>
    </row>
    <row r="3271" ht="16" customHeight="1">
      <c r="A3271" t="inlineStr">
        <is>
          <t>27-May-2026</t>
        </is>
      </c>
      <c r="B3271" t="inlineStr">
        <is>
          <t>Wednesday</t>
        </is>
      </c>
      <c r="C3271" t="inlineStr">
        <is>
          <t>Week4-May-2026</t>
        </is>
      </c>
      <c r="D3271" s="78" t="n">
        <v>46143</v>
      </c>
      <c r="E3271" t="inlineStr">
        <is>
          <t>Q1FY27</t>
        </is>
      </c>
      <c r="F3271" t="inlineStr">
        <is>
          <t>28-Dec-2027</t>
        </is>
      </c>
      <c r="G3271" t="inlineStr">
        <is>
          <t>Tuesday</t>
        </is>
      </c>
      <c r="H3271" t="inlineStr">
        <is>
          <t>Monthly - Tuesday</t>
        </is>
      </c>
      <c r="I3271" t="inlineStr">
        <is>
          <t>Monthly - Tuesday</t>
        </is>
      </c>
      <c r="J3271" t="inlineStr">
        <is>
          <t>Month+19 Expiry</t>
        </is>
      </c>
      <c r="K3271" s="25" t="n">
        <v>242</v>
      </c>
      <c r="L3271" s="26" t="n">
        <v>0.4463</v>
      </c>
      <c r="M3271" s="26" t="n">
        <v>0.0168</v>
      </c>
    </row>
    <row r="3272" ht="16" customHeight="1">
      <c r="A3272" t="inlineStr">
        <is>
          <t>27-May-2026</t>
        </is>
      </c>
      <c r="B3272" t="inlineStr">
        <is>
          <t>Wednesday</t>
        </is>
      </c>
      <c r="C3272" t="inlineStr">
        <is>
          <t>Week4-May-2026</t>
        </is>
      </c>
      <c r="D3272" s="78" t="n">
        <v>46143</v>
      </c>
      <c r="E3272" t="inlineStr">
        <is>
          <t>Q1FY27</t>
        </is>
      </c>
      <c r="F3272" t="inlineStr">
        <is>
          <t>27-Jun-2028</t>
        </is>
      </c>
      <c r="G3272" t="inlineStr">
        <is>
          <t>Tuesday</t>
        </is>
      </c>
      <c r="H3272" t="inlineStr">
        <is>
          <t>Monthly - Tuesday</t>
        </is>
      </c>
      <c r="I3272" t="inlineStr">
        <is>
          <t>Monthly - Tuesday</t>
        </is>
      </c>
      <c r="J3272" t="inlineStr">
        <is>
          <t>Month+25 Expiry</t>
        </is>
      </c>
      <c r="K3272" s="25" t="n">
        <v>0</v>
      </c>
      <c r="L3272" s="26" t="n">
        <v>0</v>
      </c>
      <c r="M3272" s="26" t="n">
        <v>0</v>
      </c>
    </row>
    <row r="3273" ht="16" customHeight="1">
      <c r="A3273" t="inlineStr">
        <is>
          <t>27-May-2026</t>
        </is>
      </c>
      <c r="B3273" t="inlineStr">
        <is>
          <t>Wednesday</t>
        </is>
      </c>
      <c r="C3273" t="inlineStr">
        <is>
          <t>Week4-May-2026</t>
        </is>
      </c>
      <c r="D3273" s="78" t="n">
        <v>46143</v>
      </c>
      <c r="E3273" t="inlineStr">
        <is>
          <t>Q1FY27</t>
        </is>
      </c>
      <c r="F3273" t="inlineStr">
        <is>
          <t>26-Dec-2028</t>
        </is>
      </c>
      <c r="G3273" t="inlineStr">
        <is>
          <t>Tuesday</t>
        </is>
      </c>
      <c r="H3273" t="inlineStr">
        <is>
          <t>Monthly - Tuesday</t>
        </is>
      </c>
      <c r="I3273" t="inlineStr">
        <is>
          <t>Monthly - Tuesday</t>
        </is>
      </c>
      <c r="J3273" t="inlineStr">
        <is>
          <t>Month+31 Expiry</t>
        </is>
      </c>
      <c r="K3273" s="25" t="n">
        <v>10</v>
      </c>
      <c r="L3273" s="26" t="n">
        <v>0.0174</v>
      </c>
      <c r="M3273" s="26" t="n">
        <v>0.001</v>
      </c>
    </row>
    <row r="3274" ht="16" customHeight="1">
      <c r="A3274" t="inlineStr">
        <is>
          <t>27-May-2026</t>
        </is>
      </c>
      <c r="B3274" t="inlineStr">
        <is>
          <t>Wednesday</t>
        </is>
      </c>
      <c r="C3274" t="inlineStr">
        <is>
          <t>Week4-May-2026</t>
        </is>
      </c>
      <c r="D3274" s="78" t="n">
        <v>46143</v>
      </c>
      <c r="E3274" t="inlineStr">
        <is>
          <t>Q1FY27</t>
        </is>
      </c>
      <c r="F3274" t="inlineStr">
        <is>
          <t>26-Jun-2029</t>
        </is>
      </c>
      <c r="G3274" t="inlineStr">
        <is>
          <t>Tuesday</t>
        </is>
      </c>
      <c r="H3274" t="inlineStr">
        <is>
          <t>Monthly - Tuesday</t>
        </is>
      </c>
      <c r="I3274" t="inlineStr">
        <is>
          <t>Monthly - Tuesday</t>
        </is>
      </c>
      <c r="J3274" t="inlineStr">
        <is>
          <t>Month+37 Expiry</t>
        </is>
      </c>
      <c r="K3274" s="25" t="n">
        <v>0</v>
      </c>
      <c r="L3274" s="26" t="n">
        <v>0</v>
      </c>
      <c r="M3274" s="26" t="n">
        <v>0</v>
      </c>
    </row>
    <row r="3275" ht="16" customHeight="1">
      <c r="A3275" t="inlineStr">
        <is>
          <t>27-May-2026</t>
        </is>
      </c>
      <c r="B3275" t="inlineStr">
        <is>
          <t>Wednesday</t>
        </is>
      </c>
      <c r="C3275" t="inlineStr">
        <is>
          <t>Week4-May-2026</t>
        </is>
      </c>
      <c r="D3275" s="78" t="n">
        <v>46143</v>
      </c>
      <c r="E3275" t="inlineStr">
        <is>
          <t>Q1FY27</t>
        </is>
      </c>
      <c r="F3275" t="inlineStr">
        <is>
          <t>24-Dec-2029</t>
        </is>
      </c>
      <c r="G3275" t="inlineStr">
        <is>
          <t>Monday</t>
        </is>
      </c>
      <c r="H3275" t="inlineStr">
        <is>
          <t>Weekly - Monday</t>
        </is>
      </c>
      <c r="I3275" t="inlineStr">
        <is>
          <t>Weekly - Monday</t>
        </is>
      </c>
      <c r="J3275" t="inlineStr">
        <is>
          <t>Month+43 Expiry</t>
        </is>
      </c>
      <c r="K3275" s="25" t="n">
        <v>0</v>
      </c>
      <c r="L3275" s="26" t="n">
        <v>0</v>
      </c>
      <c r="M3275" s="26" t="n">
        <v>0</v>
      </c>
    </row>
    <row r="3276" ht="16" customHeight="1">
      <c r="A3276" t="inlineStr">
        <is>
          <t>27-May-2026</t>
        </is>
      </c>
      <c r="B3276" t="inlineStr">
        <is>
          <t>Wednesday</t>
        </is>
      </c>
      <c r="C3276" t="inlineStr">
        <is>
          <t>Week4-May-2026</t>
        </is>
      </c>
      <c r="D3276" s="78" t="n">
        <v>46143</v>
      </c>
      <c r="E3276" t="inlineStr">
        <is>
          <t>Q1FY27</t>
        </is>
      </c>
      <c r="F3276" t="inlineStr">
        <is>
          <t>25-Jun-2030</t>
        </is>
      </c>
      <c r="G3276" t="inlineStr">
        <is>
          <t>Tuesday</t>
        </is>
      </c>
      <c r="H3276" t="inlineStr">
        <is>
          <t>Monthly - Tuesday</t>
        </is>
      </c>
      <c r="I3276" t="inlineStr">
        <is>
          <t>Monthly - Tuesday</t>
        </is>
      </c>
      <c r="J3276" t="inlineStr">
        <is>
          <t>Month+49 Expiry</t>
        </is>
      </c>
      <c r="K3276" s="25" t="n">
        <v>0</v>
      </c>
      <c r="L3276" s="26" t="n">
        <v>0</v>
      </c>
      <c r="M3276" s="26" t="n">
        <v>0</v>
      </c>
    </row>
    <row r="3277" ht="16" customHeight="1">
      <c r="A3277" t="inlineStr">
        <is>
          <t>27-May-2026</t>
        </is>
      </c>
      <c r="B3277" t="inlineStr">
        <is>
          <t>Wednesday</t>
        </is>
      </c>
      <c r="C3277" t="inlineStr">
        <is>
          <t>Week4-May-2026</t>
        </is>
      </c>
      <c r="D3277" s="78" t="n">
        <v>46143</v>
      </c>
      <c r="E3277" t="inlineStr">
        <is>
          <t>Q1FY27</t>
        </is>
      </c>
      <c r="F3277" t="inlineStr">
        <is>
          <t>31-Dec-2030</t>
        </is>
      </c>
      <c r="G3277" t="inlineStr">
        <is>
          <t>Tuesday</t>
        </is>
      </c>
      <c r="H3277" t="inlineStr">
        <is>
          <t>Monthly - Tuesday</t>
        </is>
      </c>
      <c r="I3277" t="inlineStr">
        <is>
          <t>Monthly - Tuesday</t>
        </is>
      </c>
      <c r="J3277" t="inlineStr">
        <is>
          <t>Month+55 Expiry</t>
        </is>
      </c>
      <c r="K3277" s="25" t="n">
        <v>2</v>
      </c>
      <c r="L3277" s="26" t="n">
        <v>0.0033</v>
      </c>
      <c r="M3277" s="26" t="n">
        <v>0.0002</v>
      </c>
    </row>
    <row r="3278" ht="16" customHeight="1">
      <c r="A3278" t="inlineStr">
        <is>
          <t>29-May-2026</t>
        </is>
      </c>
      <c r="B3278" t="inlineStr">
        <is>
          <t>Friday</t>
        </is>
      </c>
      <c r="C3278" t="inlineStr">
        <is>
          <t>Week5-May-2026</t>
        </is>
      </c>
      <c r="D3278" s="78" t="n">
        <v>46143</v>
      </c>
      <c r="E3278" t="inlineStr">
        <is>
          <t>Q1FY27</t>
        </is>
      </c>
      <c r="F3278" t="inlineStr">
        <is>
          <t>02-Jun-2026</t>
        </is>
      </c>
      <c r="G3278" t="inlineStr">
        <is>
          <t>Tuesday</t>
        </is>
      </c>
      <c r="H3278" t="inlineStr">
        <is>
          <t>Weekly - Tuesday</t>
        </is>
      </c>
      <c r="I3278" t="inlineStr">
        <is>
          <t>Weekly - Tuesday</t>
        </is>
      </c>
      <c r="J3278" t="inlineStr">
        <is>
          <t>Month+1 Expiry</t>
        </is>
      </c>
      <c r="K3278" s="25" t="n">
        <v>97128071</v>
      </c>
      <c r="L3278" s="26" t="n">
        <v>151111.1616</v>
      </c>
      <c r="M3278" s="26" t="n">
        <v>493.4259</v>
      </c>
    </row>
    <row r="3279" ht="16" customHeight="1">
      <c r="A3279" t="inlineStr">
        <is>
          <t>29-May-2026</t>
        </is>
      </c>
      <c r="B3279" t="inlineStr">
        <is>
          <t>Friday</t>
        </is>
      </c>
      <c r="C3279" t="inlineStr">
        <is>
          <t>Week5-May-2026</t>
        </is>
      </c>
      <c r="D3279" s="78" t="n">
        <v>46143</v>
      </c>
      <c r="E3279" t="inlineStr">
        <is>
          <t>Q1FY27</t>
        </is>
      </c>
      <c r="F3279" t="inlineStr">
        <is>
          <t>09-Jun-2026</t>
        </is>
      </c>
      <c r="G3279" t="inlineStr">
        <is>
          <t>Tuesday</t>
        </is>
      </c>
      <c r="H3279" t="inlineStr">
        <is>
          <t>Weekly - Tuesday</t>
        </is>
      </c>
      <c r="I3279" t="inlineStr">
        <is>
          <t>Weekly - Tuesday</t>
        </is>
      </c>
      <c r="J3279" t="inlineStr">
        <is>
          <t>Month+1 Expiry</t>
        </is>
      </c>
      <c r="K3279" s="25" t="n">
        <v>2642846</v>
      </c>
      <c r="L3279" s="26" t="n">
        <v>4106.6186</v>
      </c>
      <c r="M3279" s="26" t="n">
        <v>18.8581</v>
      </c>
    </row>
    <row r="3280" ht="16" customHeight="1">
      <c r="A3280" t="inlineStr">
        <is>
          <t>29-May-2026</t>
        </is>
      </c>
      <c r="B3280" t="inlineStr">
        <is>
          <t>Friday</t>
        </is>
      </c>
      <c r="C3280" t="inlineStr">
        <is>
          <t>Week5-May-2026</t>
        </is>
      </c>
      <c r="D3280" s="78" t="n">
        <v>46143</v>
      </c>
      <c r="E3280" t="inlineStr">
        <is>
          <t>Q1FY27</t>
        </is>
      </c>
      <c r="F3280" t="inlineStr">
        <is>
          <t>16-Jun-2026</t>
        </is>
      </c>
      <c r="G3280" t="inlineStr">
        <is>
          <t>Tuesday</t>
        </is>
      </c>
      <c r="H3280" t="inlineStr">
        <is>
          <t>Weekly - Tuesday</t>
        </is>
      </c>
      <c r="I3280" t="inlineStr">
        <is>
          <t>Weekly - Tuesday</t>
        </is>
      </c>
      <c r="J3280" t="inlineStr">
        <is>
          <t>Month+1 Expiry</t>
        </is>
      </c>
      <c r="K3280" s="25" t="n">
        <v>168372</v>
      </c>
      <c r="L3280" s="26" t="n">
        <v>262.7322</v>
      </c>
      <c r="M3280" s="26" t="n">
        <v>1.5081</v>
      </c>
    </row>
    <row r="3281" ht="16" customHeight="1">
      <c r="A3281" t="inlineStr">
        <is>
          <t>29-May-2026</t>
        </is>
      </c>
      <c r="B3281" t="inlineStr">
        <is>
          <t>Friday</t>
        </is>
      </c>
      <c r="C3281" t="inlineStr">
        <is>
          <t>Week5-May-2026</t>
        </is>
      </c>
      <c r="D3281" s="78" t="n">
        <v>46143</v>
      </c>
      <c r="E3281" t="inlineStr">
        <is>
          <t>Q1FY27</t>
        </is>
      </c>
      <c r="F3281" t="inlineStr">
        <is>
          <t>23-Jun-2026</t>
        </is>
      </c>
      <c r="G3281" t="inlineStr">
        <is>
          <t>Tuesday</t>
        </is>
      </c>
      <c r="H3281" t="inlineStr">
        <is>
          <t>Weekly - Tuesday</t>
        </is>
      </c>
      <c r="I3281" t="inlineStr">
        <is>
          <t>Weekly - Tuesday</t>
        </is>
      </c>
      <c r="J3281" t="inlineStr">
        <is>
          <t>Month+1 Expiry</t>
        </is>
      </c>
      <c r="K3281" s="25" t="n">
        <v>33272</v>
      </c>
      <c r="L3281" s="26" t="n">
        <v>52.0684</v>
      </c>
      <c r="M3281" s="26" t="n">
        <v>0.3942</v>
      </c>
    </row>
    <row r="3282" ht="16" customHeight="1">
      <c r="A3282" t="inlineStr">
        <is>
          <t>29-May-2026</t>
        </is>
      </c>
      <c r="B3282" t="inlineStr">
        <is>
          <t>Friday</t>
        </is>
      </c>
      <c r="C3282" t="inlineStr">
        <is>
          <t>Week5-May-2026</t>
        </is>
      </c>
      <c r="D3282" s="78" t="n">
        <v>46143</v>
      </c>
      <c r="E3282" t="inlineStr">
        <is>
          <t>Q1FY27</t>
        </is>
      </c>
      <c r="F3282" t="inlineStr">
        <is>
          <t>30-Jun-2026</t>
        </is>
      </c>
      <c r="G3282" t="inlineStr">
        <is>
          <t>Tuesday</t>
        </is>
      </c>
      <c r="H3282" t="inlineStr">
        <is>
          <t>Monthly - Tuesday</t>
        </is>
      </c>
      <c r="I3282" t="inlineStr">
        <is>
          <t>Monthly - Tuesday</t>
        </is>
      </c>
      <c r="J3282" t="inlineStr">
        <is>
          <t>Month+1 Expiry</t>
        </is>
      </c>
      <c r="K3282" s="25" t="n">
        <v>1472195</v>
      </c>
      <c r="L3282" s="26" t="n">
        <v>2300.8</v>
      </c>
      <c r="M3282" s="26" t="n">
        <v>22.2352</v>
      </c>
    </row>
    <row r="3283" ht="16" customHeight="1">
      <c r="A3283" t="inlineStr">
        <is>
          <t>29-May-2026</t>
        </is>
      </c>
      <c r="B3283" t="inlineStr">
        <is>
          <t>Friday</t>
        </is>
      </c>
      <c r="C3283" t="inlineStr">
        <is>
          <t>Week5-May-2026</t>
        </is>
      </c>
      <c r="D3283" s="78" t="n">
        <v>46143</v>
      </c>
      <c r="E3283" t="inlineStr">
        <is>
          <t>Q1FY27</t>
        </is>
      </c>
      <c r="F3283" t="inlineStr">
        <is>
          <t>28-Jul-2026</t>
        </is>
      </c>
      <c r="G3283" t="inlineStr">
        <is>
          <t>Tuesday</t>
        </is>
      </c>
      <c r="H3283" t="inlineStr">
        <is>
          <t>Monthly - Tuesday</t>
        </is>
      </c>
      <c r="I3283" t="inlineStr">
        <is>
          <t>Monthly - Tuesday</t>
        </is>
      </c>
      <c r="J3283" t="inlineStr">
        <is>
          <t>Month+2 Expiry</t>
        </is>
      </c>
      <c r="K3283" s="25" t="n">
        <v>131819</v>
      </c>
      <c r="L3283" s="26" t="n">
        <v>206.8505</v>
      </c>
      <c r="M3283" s="26" t="n">
        <v>1.912</v>
      </c>
    </row>
    <row r="3284" ht="16" customHeight="1">
      <c r="A3284" t="inlineStr">
        <is>
          <t>29-May-2026</t>
        </is>
      </c>
      <c r="B3284" t="inlineStr">
        <is>
          <t>Friday</t>
        </is>
      </c>
      <c r="C3284" t="inlineStr">
        <is>
          <t>Week5-May-2026</t>
        </is>
      </c>
      <c r="D3284" s="78" t="n">
        <v>46143</v>
      </c>
      <c r="E3284" t="inlineStr">
        <is>
          <t>Q1FY27</t>
        </is>
      </c>
      <c r="F3284" t="inlineStr">
        <is>
          <t>25-Aug-2026</t>
        </is>
      </c>
      <c r="G3284" t="inlineStr">
        <is>
          <t>Tuesday</t>
        </is>
      </c>
      <c r="H3284" t="inlineStr">
        <is>
          <t>Monthly - Tuesday</t>
        </is>
      </c>
      <c r="I3284" t="inlineStr">
        <is>
          <t>Monthly - Tuesday</t>
        </is>
      </c>
      <c r="J3284" t="inlineStr">
        <is>
          <t>Month+3 Expiry</t>
        </is>
      </c>
      <c r="K3284" s="25" t="n">
        <v>30095</v>
      </c>
      <c r="L3284" s="26" t="n">
        <v>47.0641</v>
      </c>
      <c r="M3284" s="26" t="n">
        <v>0.7652</v>
      </c>
    </row>
    <row r="3285" ht="16" customHeight="1">
      <c r="A3285" t="inlineStr">
        <is>
          <t>29-May-2026</t>
        </is>
      </c>
      <c r="B3285" t="inlineStr">
        <is>
          <t>Friday</t>
        </is>
      </c>
      <c r="C3285" t="inlineStr">
        <is>
          <t>Week5-May-2026</t>
        </is>
      </c>
      <c r="D3285" s="78" t="n">
        <v>46143</v>
      </c>
      <c r="E3285" t="inlineStr">
        <is>
          <t>Q1FY27</t>
        </is>
      </c>
      <c r="F3285" t="inlineStr">
        <is>
          <t>29-Sep-2026</t>
        </is>
      </c>
      <c r="G3285" t="inlineStr">
        <is>
          <t>Tuesday</t>
        </is>
      </c>
      <c r="H3285" t="inlineStr">
        <is>
          <t>Monthly - Tuesday</t>
        </is>
      </c>
      <c r="I3285" t="inlineStr">
        <is>
          <t>Monthly - Tuesday</t>
        </is>
      </c>
      <c r="J3285" t="inlineStr">
        <is>
          <t>Month+4 Expiry</t>
        </is>
      </c>
      <c r="K3285" s="25" t="n">
        <v>29822</v>
      </c>
      <c r="L3285" s="26" t="n">
        <v>47.1673</v>
      </c>
      <c r="M3285" s="26" t="n">
        <v>0.6428</v>
      </c>
    </row>
    <row r="3286" ht="16" customHeight="1">
      <c r="A3286" t="inlineStr">
        <is>
          <t>29-May-2026</t>
        </is>
      </c>
      <c r="B3286" t="inlineStr">
        <is>
          <t>Friday</t>
        </is>
      </c>
      <c r="C3286" t="inlineStr">
        <is>
          <t>Week5-May-2026</t>
        </is>
      </c>
      <c r="D3286" s="78" t="n">
        <v>46143</v>
      </c>
      <c r="E3286" t="inlineStr">
        <is>
          <t>Q1FY27</t>
        </is>
      </c>
      <c r="F3286" t="inlineStr">
        <is>
          <t>29-Dec-2026</t>
        </is>
      </c>
      <c r="G3286" t="inlineStr">
        <is>
          <t>Tuesday</t>
        </is>
      </c>
      <c r="H3286" t="inlineStr">
        <is>
          <t>Monthly - Tuesday</t>
        </is>
      </c>
      <c r="I3286" t="inlineStr">
        <is>
          <t>Monthly - Tuesday</t>
        </is>
      </c>
      <c r="J3286" t="inlineStr">
        <is>
          <t>Month+7 Expiry</t>
        </is>
      </c>
      <c r="K3286" s="25" t="n">
        <v>44423</v>
      </c>
      <c r="L3286" s="26" t="n">
        <v>70.6403</v>
      </c>
      <c r="M3286" s="26" t="n">
        <v>1.6586</v>
      </c>
    </row>
    <row r="3287" ht="16" customHeight="1">
      <c r="A3287" t="inlineStr">
        <is>
          <t>29-May-2026</t>
        </is>
      </c>
      <c r="B3287" t="inlineStr">
        <is>
          <t>Friday</t>
        </is>
      </c>
      <c r="C3287" t="inlineStr">
        <is>
          <t>Week5-May-2026</t>
        </is>
      </c>
      <c r="D3287" s="78" t="n">
        <v>46143</v>
      </c>
      <c r="E3287" t="inlineStr">
        <is>
          <t>Q1FY27</t>
        </is>
      </c>
      <c r="F3287" t="inlineStr">
        <is>
          <t>30-Mar-2027</t>
        </is>
      </c>
      <c r="G3287" t="inlineStr">
        <is>
          <t>Tuesday</t>
        </is>
      </c>
      <c r="H3287" t="inlineStr">
        <is>
          <t>Monthly - Tuesday</t>
        </is>
      </c>
      <c r="I3287" t="inlineStr">
        <is>
          <t>Monthly - Tuesday</t>
        </is>
      </c>
      <c r="J3287" t="inlineStr">
        <is>
          <t>Month+10 Expiry</t>
        </is>
      </c>
      <c r="K3287" s="25" t="n">
        <v>1</v>
      </c>
      <c r="L3287" s="26" t="n">
        <v>0.0014</v>
      </c>
      <c r="M3287" s="26" t="n">
        <v>0</v>
      </c>
    </row>
    <row r="3288" ht="16" customHeight="1">
      <c r="A3288" t="inlineStr">
        <is>
          <t>29-May-2026</t>
        </is>
      </c>
      <c r="B3288" t="inlineStr">
        <is>
          <t>Friday</t>
        </is>
      </c>
      <c r="C3288" t="inlineStr">
        <is>
          <t>Week5-May-2026</t>
        </is>
      </c>
      <c r="D3288" s="78" t="n">
        <v>46143</v>
      </c>
      <c r="E3288" t="inlineStr">
        <is>
          <t>Q1FY27</t>
        </is>
      </c>
      <c r="F3288" t="inlineStr">
        <is>
          <t>29-Jun-2027</t>
        </is>
      </c>
      <c r="G3288" t="inlineStr">
        <is>
          <t>Tuesday</t>
        </is>
      </c>
      <c r="H3288" t="inlineStr">
        <is>
          <t>Monthly - Tuesday</t>
        </is>
      </c>
      <c r="I3288" t="inlineStr">
        <is>
          <t>Monthly - Tuesday</t>
        </is>
      </c>
      <c r="J3288" t="inlineStr">
        <is>
          <t>Month+13 Expiry</t>
        </is>
      </c>
      <c r="K3288" s="25" t="n">
        <v>1</v>
      </c>
      <c r="L3288" s="26" t="n">
        <v>0.0017</v>
      </c>
      <c r="M3288" s="26" t="n">
        <v>0.0002</v>
      </c>
    </row>
    <row r="3289" ht="16" customHeight="1">
      <c r="A3289" t="inlineStr">
        <is>
          <t>29-May-2026</t>
        </is>
      </c>
      <c r="B3289" t="inlineStr">
        <is>
          <t>Friday</t>
        </is>
      </c>
      <c r="C3289" t="inlineStr">
        <is>
          <t>Week5-May-2026</t>
        </is>
      </c>
      <c r="D3289" s="78" t="n">
        <v>46143</v>
      </c>
      <c r="E3289" t="inlineStr">
        <is>
          <t>Q1FY27</t>
        </is>
      </c>
      <c r="F3289" t="inlineStr">
        <is>
          <t>28-Dec-2027</t>
        </is>
      </c>
      <c r="G3289" t="inlineStr">
        <is>
          <t>Tuesday</t>
        </is>
      </c>
      <c r="H3289" t="inlineStr">
        <is>
          <t>Monthly - Tuesday</t>
        </is>
      </c>
      <c r="I3289" t="inlineStr">
        <is>
          <t>Monthly - Tuesday</t>
        </is>
      </c>
      <c r="J3289" t="inlineStr">
        <is>
          <t>Month+19 Expiry</t>
        </is>
      </c>
      <c r="K3289" s="25" t="n">
        <v>303</v>
      </c>
      <c r="L3289" s="26" t="n">
        <v>0.5337</v>
      </c>
      <c r="M3289" s="26" t="n">
        <v>0.0182</v>
      </c>
    </row>
    <row r="3290" ht="16" customHeight="1">
      <c r="A3290" t="inlineStr">
        <is>
          <t>29-May-2026</t>
        </is>
      </c>
      <c r="B3290" t="inlineStr">
        <is>
          <t>Friday</t>
        </is>
      </c>
      <c r="C3290" t="inlineStr">
        <is>
          <t>Week5-May-2026</t>
        </is>
      </c>
      <c r="D3290" s="78" t="n">
        <v>46143</v>
      </c>
      <c r="E3290" t="inlineStr">
        <is>
          <t>Q1FY27</t>
        </is>
      </c>
      <c r="F3290" t="inlineStr">
        <is>
          <t>27-Jun-2028</t>
        </is>
      </c>
      <c r="G3290" t="inlineStr">
        <is>
          <t>Tuesday</t>
        </is>
      </c>
      <c r="H3290" t="inlineStr">
        <is>
          <t>Monthly - Tuesday</t>
        </is>
      </c>
      <c r="I3290" t="inlineStr">
        <is>
          <t>Monthly - Tuesday</t>
        </is>
      </c>
      <c r="J3290" t="inlineStr">
        <is>
          <t>Month+25 Expiry</t>
        </is>
      </c>
      <c r="K3290" s="25" t="n">
        <v>0</v>
      </c>
      <c r="L3290" s="26" t="n">
        <v>0</v>
      </c>
      <c r="M3290" s="26" t="n">
        <v>0</v>
      </c>
    </row>
    <row r="3291" ht="16" customHeight="1">
      <c r="A3291" t="inlineStr">
        <is>
          <t>29-May-2026</t>
        </is>
      </c>
      <c r="B3291" t="inlineStr">
        <is>
          <t>Friday</t>
        </is>
      </c>
      <c r="C3291" t="inlineStr">
        <is>
          <t>Week5-May-2026</t>
        </is>
      </c>
      <c r="D3291" s="78" t="n">
        <v>46143</v>
      </c>
      <c r="E3291" t="inlineStr">
        <is>
          <t>Q1FY27</t>
        </is>
      </c>
      <c r="F3291" t="inlineStr">
        <is>
          <t>26-Dec-2028</t>
        </is>
      </c>
      <c r="G3291" t="inlineStr">
        <is>
          <t>Tuesday</t>
        </is>
      </c>
      <c r="H3291" t="inlineStr">
        <is>
          <t>Monthly - Tuesday</t>
        </is>
      </c>
      <c r="I3291" t="inlineStr">
        <is>
          <t>Monthly - Tuesday</t>
        </is>
      </c>
      <c r="J3291" t="inlineStr">
        <is>
          <t>Month+31 Expiry</t>
        </is>
      </c>
      <c r="K3291" s="25" t="n">
        <v>25</v>
      </c>
      <c r="L3291" s="26" t="n">
        <v>0.0444</v>
      </c>
      <c r="M3291" s="26" t="n">
        <v>0.0026</v>
      </c>
    </row>
    <row r="3292" ht="16" customHeight="1">
      <c r="A3292" t="inlineStr">
        <is>
          <t>29-May-2026</t>
        </is>
      </c>
      <c r="B3292" t="inlineStr">
        <is>
          <t>Friday</t>
        </is>
      </c>
      <c r="C3292" t="inlineStr">
        <is>
          <t>Week5-May-2026</t>
        </is>
      </c>
      <c r="D3292" s="78" t="n">
        <v>46143</v>
      </c>
      <c r="E3292" t="inlineStr">
        <is>
          <t>Q1FY27</t>
        </is>
      </c>
      <c r="F3292" t="inlineStr">
        <is>
          <t>26-Jun-2029</t>
        </is>
      </c>
      <c r="G3292" t="inlineStr">
        <is>
          <t>Tuesday</t>
        </is>
      </c>
      <c r="H3292" t="inlineStr">
        <is>
          <t>Monthly - Tuesday</t>
        </is>
      </c>
      <c r="I3292" t="inlineStr">
        <is>
          <t>Monthly - Tuesday</t>
        </is>
      </c>
      <c r="J3292" t="inlineStr">
        <is>
          <t>Month+37 Expiry</t>
        </is>
      </c>
      <c r="K3292" s="25" t="n">
        <v>0</v>
      </c>
      <c r="L3292" s="26" t="n">
        <v>0</v>
      </c>
      <c r="M3292" s="26" t="n">
        <v>0</v>
      </c>
    </row>
    <row r="3293" ht="16" customHeight="1">
      <c r="A3293" t="inlineStr">
        <is>
          <t>29-May-2026</t>
        </is>
      </c>
      <c r="B3293" t="inlineStr">
        <is>
          <t>Friday</t>
        </is>
      </c>
      <c r="C3293" t="inlineStr">
        <is>
          <t>Week5-May-2026</t>
        </is>
      </c>
      <c r="D3293" s="78" t="n">
        <v>46143</v>
      </c>
      <c r="E3293" t="inlineStr">
        <is>
          <t>Q1FY27</t>
        </is>
      </c>
      <c r="F3293" t="inlineStr">
        <is>
          <t>24-Dec-2029</t>
        </is>
      </c>
      <c r="G3293" t="inlineStr">
        <is>
          <t>Monday</t>
        </is>
      </c>
      <c r="H3293" t="inlineStr">
        <is>
          <t>Weekly - Monday</t>
        </is>
      </c>
      <c r="I3293" t="inlineStr">
        <is>
          <t>Weekly - Monday</t>
        </is>
      </c>
      <c r="J3293" t="inlineStr">
        <is>
          <t>Month+43 Expiry</t>
        </is>
      </c>
      <c r="K3293" s="25" t="n">
        <v>16</v>
      </c>
      <c r="L3293" s="26" t="n">
        <v>0.0248</v>
      </c>
      <c r="M3293" s="26" t="n">
        <v>0.0009</v>
      </c>
    </row>
    <row r="3294" ht="16" customHeight="1">
      <c r="A3294" t="inlineStr">
        <is>
          <t>29-May-2026</t>
        </is>
      </c>
      <c r="B3294" t="inlineStr">
        <is>
          <t>Friday</t>
        </is>
      </c>
      <c r="C3294" t="inlineStr">
        <is>
          <t>Week5-May-2026</t>
        </is>
      </c>
      <c r="D3294" s="78" t="n">
        <v>46143</v>
      </c>
      <c r="E3294" t="inlineStr">
        <is>
          <t>Q1FY27</t>
        </is>
      </c>
      <c r="F3294" t="inlineStr">
        <is>
          <t>25-Jun-2030</t>
        </is>
      </c>
      <c r="G3294" t="inlineStr">
        <is>
          <t>Tuesday</t>
        </is>
      </c>
      <c r="H3294" t="inlineStr">
        <is>
          <t>Monthly - Tuesday</t>
        </is>
      </c>
      <c r="I3294" t="inlineStr">
        <is>
          <t>Monthly - Tuesday</t>
        </is>
      </c>
      <c r="J3294" t="inlineStr">
        <is>
          <t>Month+49 Expiry</t>
        </is>
      </c>
      <c r="K3294" s="25" t="n">
        <v>0</v>
      </c>
      <c r="L3294" s="26" t="n">
        <v>0</v>
      </c>
      <c r="M3294" s="26" t="n">
        <v>0</v>
      </c>
    </row>
    <row r="3295" ht="16" customHeight="1">
      <c r="A3295" t="inlineStr">
        <is>
          <t>29-May-2026</t>
        </is>
      </c>
      <c r="B3295" t="inlineStr">
        <is>
          <t>Friday</t>
        </is>
      </c>
      <c r="C3295" t="inlineStr">
        <is>
          <t>Week5-May-2026</t>
        </is>
      </c>
      <c r="D3295" s="78" t="n">
        <v>46143</v>
      </c>
      <c r="E3295" t="inlineStr">
        <is>
          <t>Q1FY27</t>
        </is>
      </c>
      <c r="F3295" t="inlineStr">
        <is>
          <t>31-Dec-2030</t>
        </is>
      </c>
      <c r="G3295" t="inlineStr">
        <is>
          <t>Tuesday</t>
        </is>
      </c>
      <c r="H3295" t="inlineStr">
        <is>
          <t>Monthly - Tuesday</t>
        </is>
      </c>
      <c r="I3295" t="inlineStr">
        <is>
          <t>Monthly - Tuesday</t>
        </is>
      </c>
      <c r="J3295" t="inlineStr">
        <is>
          <t>Month+55 Expiry</t>
        </is>
      </c>
      <c r="K3295" s="25" t="n">
        <v>1</v>
      </c>
      <c r="L3295" s="26" t="n">
        <v>0.0016</v>
      </c>
      <c r="M3295" s="26" t="n">
        <v>0.0001</v>
      </c>
    </row>
    <row r="3296" ht="16" customHeight="1">
      <c r="A3296" t="inlineStr">
        <is>
          <t>01-Jun-2026</t>
        </is>
      </c>
      <c r="B3296" t="inlineStr">
        <is>
          <t>Monday</t>
        </is>
      </c>
      <c r="C3296" t="inlineStr">
        <is>
          <t>Week1-Jun-2026</t>
        </is>
      </c>
      <c r="D3296" s="78" t="n">
        <v>46174</v>
      </c>
      <c r="E3296" t="inlineStr">
        <is>
          <t>Q1FY27</t>
        </is>
      </c>
      <c r="F3296" t="inlineStr">
        <is>
          <t>02-Jun-2026</t>
        </is>
      </c>
      <c r="G3296" t="inlineStr">
        <is>
          <t>Tuesday</t>
        </is>
      </c>
      <c r="H3296" t="inlineStr">
        <is>
          <t>Weekly - Tuesday</t>
        </is>
      </c>
      <c r="I3296" t="inlineStr">
        <is>
          <t>Weekly - Tuesday</t>
        </is>
      </c>
      <c r="J3296" t="inlineStr">
        <is>
          <t>Same Month Expiry</t>
        </is>
      </c>
      <c r="K3296" s="25" t="n">
        <v>149252931</v>
      </c>
      <c r="L3296" s="26" t="n">
        <v>229486.0558</v>
      </c>
      <c r="M3296" s="26" t="n">
        <v>555.7299</v>
      </c>
    </row>
    <row r="3297" ht="16" customHeight="1">
      <c r="A3297" t="inlineStr">
        <is>
          <t>01-Jun-2026</t>
        </is>
      </c>
      <c r="B3297" t="inlineStr">
        <is>
          <t>Monday</t>
        </is>
      </c>
      <c r="C3297" t="inlineStr">
        <is>
          <t>Week1-Jun-2026</t>
        </is>
      </c>
      <c r="D3297" s="78" t="n">
        <v>46174</v>
      </c>
      <c r="E3297" t="inlineStr">
        <is>
          <t>Q1FY27</t>
        </is>
      </c>
      <c r="F3297" t="inlineStr">
        <is>
          <t>09-Jun-2026</t>
        </is>
      </c>
      <c r="G3297" t="inlineStr">
        <is>
          <t>Tuesday</t>
        </is>
      </c>
      <c r="H3297" t="inlineStr">
        <is>
          <t>Weekly - Tuesday</t>
        </is>
      </c>
      <c r="I3297" t="inlineStr">
        <is>
          <t>Weekly - Tuesday</t>
        </is>
      </c>
      <c r="J3297" t="inlineStr">
        <is>
          <t>Same Month Expiry</t>
        </is>
      </c>
      <c r="K3297" s="25" t="n">
        <v>4993420</v>
      </c>
      <c r="L3297" s="26" t="n">
        <v>7725.1958</v>
      </c>
      <c r="M3297" s="26" t="n">
        <v>31.8817</v>
      </c>
    </row>
    <row r="3298" ht="16" customHeight="1">
      <c r="A3298" t="inlineStr">
        <is>
          <t>01-Jun-2026</t>
        </is>
      </c>
      <c r="B3298" t="inlineStr">
        <is>
          <t>Monday</t>
        </is>
      </c>
      <c r="C3298" t="inlineStr">
        <is>
          <t>Week1-Jun-2026</t>
        </is>
      </c>
      <c r="D3298" s="78" t="n">
        <v>46174</v>
      </c>
      <c r="E3298" t="inlineStr">
        <is>
          <t>Q1FY27</t>
        </is>
      </c>
      <c r="F3298" t="inlineStr">
        <is>
          <t>16-Jun-2026</t>
        </is>
      </c>
      <c r="G3298" t="inlineStr">
        <is>
          <t>Tuesday</t>
        </is>
      </c>
      <c r="H3298" t="inlineStr">
        <is>
          <t>Weekly - Tuesday</t>
        </is>
      </c>
      <c r="I3298" t="inlineStr">
        <is>
          <t>Weekly - Tuesday</t>
        </is>
      </c>
      <c r="J3298" t="inlineStr">
        <is>
          <t>Same Month Expiry</t>
        </is>
      </c>
      <c r="K3298" s="25" t="n">
        <v>254256</v>
      </c>
      <c r="L3298" s="26" t="n">
        <v>395.9564</v>
      </c>
      <c r="M3298" s="26" t="n">
        <v>2.0804</v>
      </c>
    </row>
    <row r="3299" ht="16" customHeight="1">
      <c r="A3299" t="inlineStr">
        <is>
          <t>01-Jun-2026</t>
        </is>
      </c>
      <c r="B3299" t="inlineStr">
        <is>
          <t>Monday</t>
        </is>
      </c>
      <c r="C3299" t="inlineStr">
        <is>
          <t>Week1-Jun-2026</t>
        </is>
      </c>
      <c r="D3299" s="78" t="n">
        <v>46174</v>
      </c>
      <c r="E3299" t="inlineStr">
        <is>
          <t>Q1FY27</t>
        </is>
      </c>
      <c r="F3299" t="inlineStr">
        <is>
          <t>23-Jun-2026</t>
        </is>
      </c>
      <c r="G3299" t="inlineStr">
        <is>
          <t>Tuesday</t>
        </is>
      </c>
      <c r="H3299" t="inlineStr">
        <is>
          <t>Weekly - Tuesday</t>
        </is>
      </c>
      <c r="I3299" t="inlineStr">
        <is>
          <t>Weekly - Tuesday</t>
        </is>
      </c>
      <c r="J3299" t="inlineStr">
        <is>
          <t>Same Month Expiry</t>
        </is>
      </c>
      <c r="K3299" s="25" t="n">
        <v>43745</v>
      </c>
      <c r="L3299" s="26" t="n">
        <v>68.2784</v>
      </c>
      <c r="M3299" s="26" t="n">
        <v>0.5128</v>
      </c>
    </row>
    <row r="3300" ht="16" customHeight="1">
      <c r="A3300" t="inlineStr">
        <is>
          <t>01-Jun-2026</t>
        </is>
      </c>
      <c r="B3300" t="inlineStr">
        <is>
          <t>Monday</t>
        </is>
      </c>
      <c r="C3300" t="inlineStr">
        <is>
          <t>Week1-Jun-2026</t>
        </is>
      </c>
      <c r="D3300" s="78" t="n">
        <v>46174</v>
      </c>
      <c r="E3300" t="inlineStr">
        <is>
          <t>Q1FY27</t>
        </is>
      </c>
      <c r="F3300" t="inlineStr">
        <is>
          <t>30-Jun-2026</t>
        </is>
      </c>
      <c r="G3300" t="inlineStr">
        <is>
          <t>Tuesday</t>
        </is>
      </c>
      <c r="H3300" t="inlineStr">
        <is>
          <t>Monthly - Tuesday</t>
        </is>
      </c>
      <c r="I3300" t="inlineStr">
        <is>
          <t>Monthly - Tuesday</t>
        </is>
      </c>
      <c r="J3300" t="inlineStr">
        <is>
          <t>Same Month Expiry</t>
        </is>
      </c>
      <c r="K3300" s="25" t="n">
        <v>1368301</v>
      </c>
      <c r="L3300" s="26" t="n">
        <v>2138.0015</v>
      </c>
      <c r="M3300" s="26" t="n">
        <v>20.3171</v>
      </c>
    </row>
    <row r="3301" ht="16" customHeight="1">
      <c r="A3301" t="inlineStr">
        <is>
          <t>01-Jun-2026</t>
        </is>
      </c>
      <c r="B3301" t="inlineStr">
        <is>
          <t>Monday</t>
        </is>
      </c>
      <c r="C3301" t="inlineStr">
        <is>
          <t>Week1-Jun-2026</t>
        </is>
      </c>
      <c r="D3301" s="78" t="n">
        <v>46174</v>
      </c>
      <c r="E3301" t="inlineStr">
        <is>
          <t>Q1FY27</t>
        </is>
      </c>
      <c r="F3301" t="inlineStr">
        <is>
          <t>28-Jul-2026</t>
        </is>
      </c>
      <c r="G3301" t="inlineStr">
        <is>
          <t>Tuesday</t>
        </is>
      </c>
      <c r="H3301" t="inlineStr">
        <is>
          <t>Monthly - Tuesday</t>
        </is>
      </c>
      <c r="I3301" t="inlineStr">
        <is>
          <t>Monthly - Tuesday</t>
        </is>
      </c>
      <c r="J3301" t="inlineStr">
        <is>
          <t>Month+1 Expiry</t>
        </is>
      </c>
      <c r="K3301" s="25" t="n">
        <v>173629</v>
      </c>
      <c r="L3301" s="26" t="n">
        <v>274.0172</v>
      </c>
      <c r="M3301" s="26" t="n">
        <v>2.6921</v>
      </c>
    </row>
    <row r="3302" ht="16" customHeight="1">
      <c r="A3302" t="inlineStr">
        <is>
          <t>01-Jun-2026</t>
        </is>
      </c>
      <c r="B3302" t="inlineStr">
        <is>
          <t>Monday</t>
        </is>
      </c>
      <c r="C3302" t="inlineStr">
        <is>
          <t>Week1-Jun-2026</t>
        </is>
      </c>
      <c r="D3302" s="78" t="n">
        <v>46174</v>
      </c>
      <c r="E3302" t="inlineStr">
        <is>
          <t>Q1FY27</t>
        </is>
      </c>
      <c r="F3302" t="inlineStr">
        <is>
          <t>25-Aug-2026</t>
        </is>
      </c>
      <c r="G3302" t="inlineStr">
        <is>
          <t>Tuesday</t>
        </is>
      </c>
      <c r="H3302" t="inlineStr">
        <is>
          <t>Monthly - Tuesday</t>
        </is>
      </c>
      <c r="I3302" t="inlineStr">
        <is>
          <t>Monthly - Tuesday</t>
        </is>
      </c>
      <c r="J3302" t="inlineStr">
        <is>
          <t>Month+2 Expiry</t>
        </is>
      </c>
      <c r="K3302" s="25" t="n">
        <v>27566</v>
      </c>
      <c r="L3302" s="26" t="n">
        <v>43.4683</v>
      </c>
      <c r="M3302" s="26" t="n">
        <v>0.667</v>
      </c>
    </row>
    <row r="3303" ht="16" customHeight="1">
      <c r="A3303" t="inlineStr">
        <is>
          <t>01-Jun-2026</t>
        </is>
      </c>
      <c r="B3303" t="inlineStr">
        <is>
          <t>Monday</t>
        </is>
      </c>
      <c r="C3303" t="inlineStr">
        <is>
          <t>Week1-Jun-2026</t>
        </is>
      </c>
      <c r="D3303" s="78" t="n">
        <v>46174</v>
      </c>
      <c r="E3303" t="inlineStr">
        <is>
          <t>Q1FY27</t>
        </is>
      </c>
      <c r="F3303" t="inlineStr">
        <is>
          <t>29-Sep-2026</t>
        </is>
      </c>
      <c r="G3303" t="inlineStr">
        <is>
          <t>Tuesday</t>
        </is>
      </c>
      <c r="H3303" t="inlineStr">
        <is>
          <t>Monthly - Tuesday</t>
        </is>
      </c>
      <c r="I3303" t="inlineStr">
        <is>
          <t>Monthly - Tuesday</t>
        </is>
      </c>
      <c r="J3303" t="inlineStr">
        <is>
          <t>Month+3 Expiry</t>
        </is>
      </c>
      <c r="K3303" s="25" t="n">
        <v>38147</v>
      </c>
      <c r="L3303" s="26" t="n">
        <v>62.1365</v>
      </c>
      <c r="M3303" s="26" t="n">
        <v>0.8268</v>
      </c>
    </row>
    <row r="3304" ht="16" customHeight="1">
      <c r="A3304" t="inlineStr">
        <is>
          <t>01-Jun-2026</t>
        </is>
      </c>
      <c r="B3304" t="inlineStr">
        <is>
          <t>Monday</t>
        </is>
      </c>
      <c r="C3304" t="inlineStr">
        <is>
          <t>Week1-Jun-2026</t>
        </is>
      </c>
      <c r="D3304" s="78" t="n">
        <v>46174</v>
      </c>
      <c r="E3304" t="inlineStr">
        <is>
          <t>Q1FY27</t>
        </is>
      </c>
      <c r="F3304" t="inlineStr">
        <is>
          <t>29-Dec-2026</t>
        </is>
      </c>
      <c r="G3304" t="inlineStr">
        <is>
          <t>Tuesday</t>
        </is>
      </c>
      <c r="H3304" t="inlineStr">
        <is>
          <t>Monthly - Tuesday</t>
        </is>
      </c>
      <c r="I3304" t="inlineStr">
        <is>
          <t>Monthly - Tuesday</t>
        </is>
      </c>
      <c r="J3304" t="inlineStr">
        <is>
          <t>Month+6 Expiry</t>
        </is>
      </c>
      <c r="K3304" s="25" t="n">
        <v>48962</v>
      </c>
      <c r="L3304" s="26" t="n">
        <v>78.9191</v>
      </c>
      <c r="M3304" s="26" t="n">
        <v>1.9174</v>
      </c>
    </row>
    <row r="3305" ht="16" customHeight="1">
      <c r="A3305" t="inlineStr">
        <is>
          <t>01-Jun-2026</t>
        </is>
      </c>
      <c r="B3305" t="inlineStr">
        <is>
          <t>Monday</t>
        </is>
      </c>
      <c r="C3305" t="inlineStr">
        <is>
          <t>Week1-Jun-2026</t>
        </is>
      </c>
      <c r="D3305" s="78" t="n">
        <v>46174</v>
      </c>
      <c r="E3305" t="inlineStr">
        <is>
          <t>Q1FY27</t>
        </is>
      </c>
      <c r="F3305" t="inlineStr">
        <is>
          <t>30-Mar-2027</t>
        </is>
      </c>
      <c r="G3305" t="inlineStr">
        <is>
          <t>Tuesday</t>
        </is>
      </c>
      <c r="H3305" t="inlineStr">
        <is>
          <t>Monthly - Tuesday</t>
        </is>
      </c>
      <c r="I3305" t="inlineStr">
        <is>
          <t>Monthly - Tuesday</t>
        </is>
      </c>
      <c r="J3305" t="inlineStr">
        <is>
          <t>Month+9 Expiry</t>
        </is>
      </c>
      <c r="K3305" s="25" t="n">
        <v>4</v>
      </c>
      <c r="L3305" s="26" t="n">
        <v>0.0067</v>
      </c>
      <c r="M3305" s="26" t="n">
        <v>0.0001</v>
      </c>
    </row>
    <row r="3306" ht="16" customHeight="1">
      <c r="A3306" t="inlineStr">
        <is>
          <t>01-Jun-2026</t>
        </is>
      </c>
      <c r="B3306" t="inlineStr">
        <is>
          <t>Monday</t>
        </is>
      </c>
      <c r="C3306" t="inlineStr">
        <is>
          <t>Week1-Jun-2026</t>
        </is>
      </c>
      <c r="D3306" s="78" t="n">
        <v>46174</v>
      </c>
      <c r="E3306" t="inlineStr">
        <is>
          <t>Q1FY27</t>
        </is>
      </c>
      <c r="F3306" t="inlineStr">
        <is>
          <t>29-Jun-2027</t>
        </is>
      </c>
      <c r="G3306" t="inlineStr">
        <is>
          <t>Tuesday</t>
        </is>
      </c>
      <c r="H3306" t="inlineStr">
        <is>
          <t>Monthly - Tuesday</t>
        </is>
      </c>
      <c r="I3306" t="inlineStr">
        <is>
          <t>Monthly - Tuesday</t>
        </is>
      </c>
      <c r="J3306" t="inlineStr">
        <is>
          <t>Month+12 Expiry</t>
        </is>
      </c>
      <c r="K3306" s="25" t="n">
        <v>3</v>
      </c>
      <c r="L3306" s="26" t="n">
        <v>0.0042</v>
      </c>
      <c r="M3306" s="26" t="n">
        <v>0.0001</v>
      </c>
    </row>
    <row r="3307" ht="16" customHeight="1">
      <c r="A3307" t="inlineStr">
        <is>
          <t>01-Jun-2026</t>
        </is>
      </c>
      <c r="B3307" t="inlineStr">
        <is>
          <t>Monday</t>
        </is>
      </c>
      <c r="C3307" t="inlineStr">
        <is>
          <t>Week1-Jun-2026</t>
        </is>
      </c>
      <c r="D3307" s="78" t="n">
        <v>46174</v>
      </c>
      <c r="E3307" t="inlineStr">
        <is>
          <t>Q1FY27</t>
        </is>
      </c>
      <c r="F3307" t="inlineStr">
        <is>
          <t>28-Dec-2027</t>
        </is>
      </c>
      <c r="G3307" t="inlineStr">
        <is>
          <t>Tuesday</t>
        </is>
      </c>
      <c r="H3307" t="inlineStr">
        <is>
          <t>Monthly - Tuesday</t>
        </is>
      </c>
      <c r="I3307" t="inlineStr">
        <is>
          <t>Monthly - Tuesday</t>
        </is>
      </c>
      <c r="J3307" t="inlineStr">
        <is>
          <t>Month+18 Expiry</t>
        </is>
      </c>
      <c r="K3307" s="25" t="n">
        <v>299</v>
      </c>
      <c r="L3307" s="26" t="n">
        <v>0.5082</v>
      </c>
      <c r="M3307" s="26" t="n">
        <v>0.0249</v>
      </c>
    </row>
    <row r="3308" ht="16" customHeight="1">
      <c r="A3308" t="inlineStr">
        <is>
          <t>01-Jun-2026</t>
        </is>
      </c>
      <c r="B3308" t="inlineStr">
        <is>
          <t>Monday</t>
        </is>
      </c>
      <c r="C3308" t="inlineStr">
        <is>
          <t>Week1-Jun-2026</t>
        </is>
      </c>
      <c r="D3308" s="78" t="n">
        <v>46174</v>
      </c>
      <c r="E3308" t="inlineStr">
        <is>
          <t>Q1FY27</t>
        </is>
      </c>
      <c r="F3308" t="inlineStr">
        <is>
          <t>27-Jun-2028</t>
        </is>
      </c>
      <c r="G3308" t="inlineStr">
        <is>
          <t>Tuesday</t>
        </is>
      </c>
      <c r="H3308" t="inlineStr">
        <is>
          <t>Monthly - Tuesday</t>
        </is>
      </c>
      <c r="I3308" t="inlineStr">
        <is>
          <t>Monthly - Tuesday</t>
        </is>
      </c>
      <c r="J3308" t="inlineStr">
        <is>
          <t>Month+24 Expiry</t>
        </is>
      </c>
      <c r="K3308" s="25" t="n">
        <v>0</v>
      </c>
      <c r="L3308" s="26" t="n">
        <v>0</v>
      </c>
      <c r="M3308" s="26" t="n">
        <v>0</v>
      </c>
    </row>
    <row r="3309" ht="16" customHeight="1">
      <c r="A3309" t="inlineStr">
        <is>
          <t>01-Jun-2026</t>
        </is>
      </c>
      <c r="B3309" t="inlineStr">
        <is>
          <t>Monday</t>
        </is>
      </c>
      <c r="C3309" t="inlineStr">
        <is>
          <t>Week1-Jun-2026</t>
        </is>
      </c>
      <c r="D3309" s="78" t="n">
        <v>46174</v>
      </c>
      <c r="E3309" t="inlineStr">
        <is>
          <t>Q1FY27</t>
        </is>
      </c>
      <c r="F3309" t="inlineStr">
        <is>
          <t>26-Dec-2028</t>
        </is>
      </c>
      <c r="G3309" t="inlineStr">
        <is>
          <t>Tuesday</t>
        </is>
      </c>
      <c r="H3309" t="inlineStr">
        <is>
          <t>Monthly - Tuesday</t>
        </is>
      </c>
      <c r="I3309" t="inlineStr">
        <is>
          <t>Monthly - Tuesday</t>
        </is>
      </c>
      <c r="J3309" t="inlineStr">
        <is>
          <t>Month+30 Expiry</t>
        </is>
      </c>
      <c r="K3309" s="25" t="n">
        <v>6</v>
      </c>
      <c r="L3309" s="26" t="n">
        <v>0.0106</v>
      </c>
      <c r="M3309" s="26" t="n">
        <v>0.0005999999999999999</v>
      </c>
    </row>
    <row r="3310" ht="16" customHeight="1">
      <c r="A3310" t="inlineStr">
        <is>
          <t>01-Jun-2026</t>
        </is>
      </c>
      <c r="B3310" t="inlineStr">
        <is>
          <t>Monday</t>
        </is>
      </c>
      <c r="C3310" t="inlineStr">
        <is>
          <t>Week1-Jun-2026</t>
        </is>
      </c>
      <c r="D3310" s="78" t="n">
        <v>46174</v>
      </c>
      <c r="E3310" t="inlineStr">
        <is>
          <t>Q1FY27</t>
        </is>
      </c>
      <c r="F3310" t="inlineStr">
        <is>
          <t>26-Jun-2029</t>
        </is>
      </c>
      <c r="G3310" t="inlineStr">
        <is>
          <t>Tuesday</t>
        </is>
      </c>
      <c r="H3310" t="inlineStr">
        <is>
          <t>Monthly - Tuesday</t>
        </is>
      </c>
      <c r="I3310" t="inlineStr">
        <is>
          <t>Monthly - Tuesday</t>
        </is>
      </c>
      <c r="J3310" t="inlineStr">
        <is>
          <t>Month+36 Expiry</t>
        </is>
      </c>
      <c r="K3310" s="25" t="n">
        <v>0</v>
      </c>
      <c r="L3310" s="26" t="n">
        <v>0</v>
      </c>
      <c r="M3310" s="26" t="n">
        <v>0</v>
      </c>
    </row>
    <row r="3311" ht="16" customHeight="1">
      <c r="A3311" t="inlineStr">
        <is>
          <t>01-Jun-2026</t>
        </is>
      </c>
      <c r="B3311" t="inlineStr">
        <is>
          <t>Monday</t>
        </is>
      </c>
      <c r="C3311" t="inlineStr">
        <is>
          <t>Week1-Jun-2026</t>
        </is>
      </c>
      <c r="D3311" s="78" t="n">
        <v>46174</v>
      </c>
      <c r="E3311" t="inlineStr">
        <is>
          <t>Q1FY27</t>
        </is>
      </c>
      <c r="F3311" t="inlineStr">
        <is>
          <t>24-Dec-2029</t>
        </is>
      </c>
      <c r="G3311" t="inlineStr">
        <is>
          <t>Monday</t>
        </is>
      </c>
      <c r="H3311" t="inlineStr">
        <is>
          <t>Weekly - Monday</t>
        </is>
      </c>
      <c r="I3311" t="inlineStr">
        <is>
          <t>Weekly - Monday</t>
        </is>
      </c>
      <c r="J3311" t="inlineStr">
        <is>
          <t>Month+42 Expiry</t>
        </is>
      </c>
      <c r="K3311" s="25" t="n">
        <v>0</v>
      </c>
      <c r="L3311" s="26" t="n">
        <v>0</v>
      </c>
      <c r="M3311" s="26" t="n">
        <v>0</v>
      </c>
    </row>
    <row r="3312" ht="16" customHeight="1">
      <c r="A3312" t="inlineStr">
        <is>
          <t>01-Jun-2026</t>
        </is>
      </c>
      <c r="B3312" t="inlineStr">
        <is>
          <t>Monday</t>
        </is>
      </c>
      <c r="C3312" t="inlineStr">
        <is>
          <t>Week1-Jun-2026</t>
        </is>
      </c>
      <c r="D3312" s="78" t="n">
        <v>46174</v>
      </c>
      <c r="E3312" t="inlineStr">
        <is>
          <t>Q1FY27</t>
        </is>
      </c>
      <c r="F3312" t="inlineStr">
        <is>
          <t>25-Jun-2030</t>
        </is>
      </c>
      <c r="G3312" t="inlineStr">
        <is>
          <t>Tuesday</t>
        </is>
      </c>
      <c r="H3312" t="inlineStr">
        <is>
          <t>Monthly - Tuesday</t>
        </is>
      </c>
      <c r="I3312" t="inlineStr">
        <is>
          <t>Monthly - Tuesday</t>
        </is>
      </c>
      <c r="J3312" t="inlineStr">
        <is>
          <t>Month+48 Expiry</t>
        </is>
      </c>
      <c r="K3312" s="25" t="n">
        <v>0</v>
      </c>
      <c r="L3312" s="26" t="n">
        <v>0</v>
      </c>
      <c r="M3312" s="26" t="n">
        <v>0</v>
      </c>
    </row>
    <row r="3313" ht="16" customHeight="1">
      <c r="A3313" t="inlineStr">
        <is>
          <t>01-Jun-2026</t>
        </is>
      </c>
      <c r="B3313" t="inlineStr">
        <is>
          <t>Monday</t>
        </is>
      </c>
      <c r="C3313" t="inlineStr">
        <is>
          <t>Week1-Jun-2026</t>
        </is>
      </c>
      <c r="D3313" s="78" t="n">
        <v>46174</v>
      </c>
      <c r="E3313" t="inlineStr">
        <is>
          <t>Q1FY27</t>
        </is>
      </c>
      <c r="F3313" t="inlineStr">
        <is>
          <t>31-Dec-2030</t>
        </is>
      </c>
      <c r="G3313" t="inlineStr">
        <is>
          <t>Tuesday</t>
        </is>
      </c>
      <c r="H3313" t="inlineStr">
        <is>
          <t>Monthly - Tuesday</t>
        </is>
      </c>
      <c r="I3313" t="inlineStr">
        <is>
          <t>Monthly - Tuesday</t>
        </is>
      </c>
      <c r="J3313" t="inlineStr">
        <is>
          <t>Month+54 Expiry</t>
        </is>
      </c>
      <c r="K3313" s="25" t="n">
        <v>0</v>
      </c>
      <c r="L3313" s="26" t="n">
        <v>0</v>
      </c>
      <c r="M3313" s="26" t="n">
        <v>0</v>
      </c>
    </row>
    <row r="3314" ht="16" customHeight="1">
      <c r="A3314" t="inlineStr">
        <is>
          <t>02-Jun-2026</t>
        </is>
      </c>
      <c r="B3314" t="inlineStr">
        <is>
          <t>Tuesday</t>
        </is>
      </c>
      <c r="C3314" t="inlineStr">
        <is>
          <t>Week1-Jun-2026</t>
        </is>
      </c>
      <c r="D3314" s="78" t="n">
        <v>46174</v>
      </c>
      <c r="E3314" t="inlineStr">
        <is>
          <t>Q1FY27</t>
        </is>
      </c>
      <c r="F3314" t="inlineStr">
        <is>
          <t>02-Jun-2026</t>
        </is>
      </c>
      <c r="G3314" t="inlineStr">
        <is>
          <t>Tuesday</t>
        </is>
      </c>
      <c r="H3314" t="inlineStr">
        <is>
          <t>Weekly - Tuesday</t>
        </is>
      </c>
      <c r="I3314" t="inlineStr">
        <is>
          <t>Weekly - Tuesday</t>
        </is>
      </c>
      <c r="J3314" t="inlineStr">
        <is>
          <t>Same Month Expiry</t>
        </is>
      </c>
      <c r="K3314" s="25" t="n">
        <v>494349594</v>
      </c>
      <c r="L3314" s="26" t="n">
        <v>753277.8528</v>
      </c>
      <c r="M3314" s="26" t="n">
        <v>778.5918</v>
      </c>
    </row>
    <row r="3315" ht="16" customHeight="1">
      <c r="A3315" t="inlineStr">
        <is>
          <t>02-Jun-2026</t>
        </is>
      </c>
      <c r="B3315" t="inlineStr">
        <is>
          <t>Tuesday</t>
        </is>
      </c>
      <c r="C3315" t="inlineStr">
        <is>
          <t>Week1-Jun-2026</t>
        </is>
      </c>
      <c r="D3315" s="78" t="n">
        <v>46174</v>
      </c>
      <c r="E3315" t="inlineStr">
        <is>
          <t>Q1FY27</t>
        </is>
      </c>
      <c r="F3315" t="inlineStr">
        <is>
          <t>09-Jun-2026</t>
        </is>
      </c>
      <c r="G3315" t="inlineStr">
        <is>
          <t>Tuesday</t>
        </is>
      </c>
      <c r="H3315" t="inlineStr">
        <is>
          <t>Weekly - Tuesday</t>
        </is>
      </c>
      <c r="I3315" t="inlineStr">
        <is>
          <t>Weekly - Tuesday</t>
        </is>
      </c>
      <c r="J3315" t="inlineStr">
        <is>
          <t>Same Month Expiry</t>
        </is>
      </c>
      <c r="K3315" s="25" t="n">
        <v>11527004</v>
      </c>
      <c r="L3315" s="26" t="n">
        <v>17699.2284</v>
      </c>
      <c r="M3315" s="26" t="n">
        <v>72.9641</v>
      </c>
    </row>
    <row r="3316" ht="16" customHeight="1">
      <c r="A3316" t="inlineStr">
        <is>
          <t>02-Jun-2026</t>
        </is>
      </c>
      <c r="B3316" t="inlineStr">
        <is>
          <t>Tuesday</t>
        </is>
      </c>
      <c r="C3316" t="inlineStr">
        <is>
          <t>Week1-Jun-2026</t>
        </is>
      </c>
      <c r="D3316" s="78" t="n">
        <v>46174</v>
      </c>
      <c r="E3316" t="inlineStr">
        <is>
          <t>Q1FY27</t>
        </is>
      </c>
      <c r="F3316" t="inlineStr">
        <is>
          <t>16-Jun-2026</t>
        </is>
      </c>
      <c r="G3316" t="inlineStr">
        <is>
          <t>Tuesday</t>
        </is>
      </c>
      <c r="H3316" t="inlineStr">
        <is>
          <t>Weekly - Tuesday</t>
        </is>
      </c>
      <c r="I3316" t="inlineStr">
        <is>
          <t>Weekly - Tuesday</t>
        </is>
      </c>
      <c r="J3316" t="inlineStr">
        <is>
          <t>Same Month Expiry</t>
        </is>
      </c>
      <c r="K3316" s="25" t="n">
        <v>426303</v>
      </c>
      <c r="L3316" s="26" t="n">
        <v>658.1799999999999</v>
      </c>
      <c r="M3316" s="26" t="n">
        <v>3.4474</v>
      </c>
    </row>
    <row r="3317" ht="16" customHeight="1">
      <c r="A3317" t="inlineStr">
        <is>
          <t>02-Jun-2026</t>
        </is>
      </c>
      <c r="B3317" t="inlineStr">
        <is>
          <t>Tuesday</t>
        </is>
      </c>
      <c r="C3317" t="inlineStr">
        <is>
          <t>Week1-Jun-2026</t>
        </is>
      </c>
      <c r="D3317" s="78" t="n">
        <v>46174</v>
      </c>
      <c r="E3317" t="inlineStr">
        <is>
          <t>Q1FY27</t>
        </is>
      </c>
      <c r="F3317" t="inlineStr">
        <is>
          <t>23-Jun-2026</t>
        </is>
      </c>
      <c r="G3317" t="inlineStr">
        <is>
          <t>Tuesday</t>
        </is>
      </c>
      <c r="H3317" t="inlineStr">
        <is>
          <t>Weekly - Tuesday</t>
        </is>
      </c>
      <c r="I3317" t="inlineStr">
        <is>
          <t>Weekly - Tuesday</t>
        </is>
      </c>
      <c r="J3317" t="inlineStr">
        <is>
          <t>Same Month Expiry</t>
        </is>
      </c>
      <c r="K3317" s="25" t="n">
        <v>58037</v>
      </c>
      <c r="L3317" s="26" t="n">
        <v>90.4148</v>
      </c>
      <c r="M3317" s="26" t="n">
        <v>0.6225000000000001</v>
      </c>
    </row>
    <row r="3318" ht="16" customHeight="1">
      <c r="A3318" t="inlineStr">
        <is>
          <t>02-Jun-2026</t>
        </is>
      </c>
      <c r="B3318" t="inlineStr">
        <is>
          <t>Tuesday</t>
        </is>
      </c>
      <c r="C3318" t="inlineStr">
        <is>
          <t>Week1-Jun-2026</t>
        </is>
      </c>
      <c r="D3318" s="78" t="n">
        <v>46174</v>
      </c>
      <c r="E3318" t="inlineStr">
        <is>
          <t>Q1FY27</t>
        </is>
      </c>
      <c r="F3318" t="inlineStr">
        <is>
          <t>30-Jun-2026</t>
        </is>
      </c>
      <c r="G3318" t="inlineStr">
        <is>
          <t>Tuesday</t>
        </is>
      </c>
      <c r="H3318" t="inlineStr">
        <is>
          <t>Monthly - Tuesday</t>
        </is>
      </c>
      <c r="I3318" t="inlineStr">
        <is>
          <t>Monthly - Tuesday</t>
        </is>
      </c>
      <c r="J3318" t="inlineStr">
        <is>
          <t>Same Month Expiry</t>
        </is>
      </c>
      <c r="K3318" s="25" t="n">
        <v>1444192</v>
      </c>
      <c r="L3318" s="26" t="n">
        <v>2239.5143</v>
      </c>
      <c r="M3318" s="26" t="n">
        <v>20.2226</v>
      </c>
    </row>
    <row r="3319" ht="16" customHeight="1">
      <c r="A3319" t="inlineStr">
        <is>
          <t>02-Jun-2026</t>
        </is>
      </c>
      <c r="B3319" t="inlineStr">
        <is>
          <t>Tuesday</t>
        </is>
      </c>
      <c r="C3319" t="inlineStr">
        <is>
          <t>Week1-Jun-2026</t>
        </is>
      </c>
      <c r="D3319" s="78" t="n">
        <v>46174</v>
      </c>
      <c r="E3319" t="inlineStr">
        <is>
          <t>Q1FY27</t>
        </is>
      </c>
      <c r="F3319" t="inlineStr">
        <is>
          <t>28-Jul-2026</t>
        </is>
      </c>
      <c r="G3319" t="inlineStr">
        <is>
          <t>Tuesday</t>
        </is>
      </c>
      <c r="H3319" t="inlineStr">
        <is>
          <t>Monthly - Tuesday</t>
        </is>
      </c>
      <c r="I3319" t="inlineStr">
        <is>
          <t>Monthly - Tuesday</t>
        </is>
      </c>
      <c r="J3319" t="inlineStr">
        <is>
          <t>Month+1 Expiry</t>
        </is>
      </c>
      <c r="K3319" s="25" t="n">
        <v>178484</v>
      </c>
      <c r="L3319" s="26" t="n">
        <v>279.5571</v>
      </c>
      <c r="M3319" s="26" t="n">
        <v>2.5988</v>
      </c>
    </row>
    <row r="3320" ht="16" customHeight="1">
      <c r="A3320" t="inlineStr">
        <is>
          <t>02-Jun-2026</t>
        </is>
      </c>
      <c r="B3320" t="inlineStr">
        <is>
          <t>Tuesday</t>
        </is>
      </c>
      <c r="C3320" t="inlineStr">
        <is>
          <t>Week1-Jun-2026</t>
        </is>
      </c>
      <c r="D3320" s="78" t="n">
        <v>46174</v>
      </c>
      <c r="E3320" t="inlineStr">
        <is>
          <t>Q1FY27</t>
        </is>
      </c>
      <c r="F3320" t="inlineStr">
        <is>
          <t>25-Aug-2026</t>
        </is>
      </c>
      <c r="G3320" t="inlineStr">
        <is>
          <t>Tuesday</t>
        </is>
      </c>
      <c r="H3320" t="inlineStr">
        <is>
          <t>Monthly - Tuesday</t>
        </is>
      </c>
      <c r="I3320" t="inlineStr">
        <is>
          <t>Monthly - Tuesday</t>
        </is>
      </c>
      <c r="J3320" t="inlineStr">
        <is>
          <t>Month+2 Expiry</t>
        </is>
      </c>
      <c r="K3320" s="25" t="n">
        <v>51328</v>
      </c>
      <c r="L3320" s="26" t="n">
        <v>80.84780000000001</v>
      </c>
      <c r="M3320" s="26" t="n">
        <v>1.3028</v>
      </c>
    </row>
    <row r="3321" ht="16" customHeight="1">
      <c r="A3321" t="inlineStr">
        <is>
          <t>02-Jun-2026</t>
        </is>
      </c>
      <c r="B3321" t="inlineStr">
        <is>
          <t>Tuesday</t>
        </is>
      </c>
      <c r="C3321" t="inlineStr">
        <is>
          <t>Week1-Jun-2026</t>
        </is>
      </c>
      <c r="D3321" s="78" t="n">
        <v>46174</v>
      </c>
      <c r="E3321" t="inlineStr">
        <is>
          <t>Q1FY27</t>
        </is>
      </c>
      <c r="F3321" t="inlineStr">
        <is>
          <t>29-Sep-2026</t>
        </is>
      </c>
      <c r="G3321" t="inlineStr">
        <is>
          <t>Tuesday</t>
        </is>
      </c>
      <c r="H3321" t="inlineStr">
        <is>
          <t>Monthly - Tuesday</t>
        </is>
      </c>
      <c r="I3321" t="inlineStr">
        <is>
          <t>Monthly - Tuesday</t>
        </is>
      </c>
      <c r="J3321" t="inlineStr">
        <is>
          <t>Month+3 Expiry</t>
        </is>
      </c>
      <c r="K3321" s="25" t="n">
        <v>31845</v>
      </c>
      <c r="L3321" s="26" t="n">
        <v>52.017</v>
      </c>
      <c r="M3321" s="26" t="n">
        <v>0.5747</v>
      </c>
    </row>
    <row r="3322" ht="16" customHeight="1">
      <c r="A3322" t="inlineStr">
        <is>
          <t>02-Jun-2026</t>
        </is>
      </c>
      <c r="B3322" t="inlineStr">
        <is>
          <t>Tuesday</t>
        </is>
      </c>
      <c r="C3322" t="inlineStr">
        <is>
          <t>Week1-Jun-2026</t>
        </is>
      </c>
      <c r="D3322" s="78" t="n">
        <v>46174</v>
      </c>
      <c r="E3322" t="inlineStr">
        <is>
          <t>Q1FY27</t>
        </is>
      </c>
      <c r="F3322" t="inlineStr">
        <is>
          <t>29-Dec-2026</t>
        </is>
      </c>
      <c r="G3322" t="inlineStr">
        <is>
          <t>Tuesday</t>
        </is>
      </c>
      <c r="H3322" t="inlineStr">
        <is>
          <t>Monthly - Tuesday</t>
        </is>
      </c>
      <c r="I3322" t="inlineStr">
        <is>
          <t>Monthly - Tuesday</t>
        </is>
      </c>
      <c r="J3322" t="inlineStr">
        <is>
          <t>Month+6 Expiry</t>
        </is>
      </c>
      <c r="K3322" s="25" t="n">
        <v>44950</v>
      </c>
      <c r="L3322" s="26" t="n">
        <v>72.89579999999999</v>
      </c>
      <c r="M3322" s="26" t="n">
        <v>2.0592</v>
      </c>
    </row>
    <row r="3323" ht="16" customHeight="1">
      <c r="A3323" t="inlineStr">
        <is>
          <t>02-Jun-2026</t>
        </is>
      </c>
      <c r="B3323" t="inlineStr">
        <is>
          <t>Tuesday</t>
        </is>
      </c>
      <c r="C3323" t="inlineStr">
        <is>
          <t>Week1-Jun-2026</t>
        </is>
      </c>
      <c r="D3323" s="78" t="n">
        <v>46174</v>
      </c>
      <c r="E3323" t="inlineStr">
        <is>
          <t>Q1FY27</t>
        </is>
      </c>
      <c r="F3323" t="inlineStr">
        <is>
          <t>30-Mar-2027</t>
        </is>
      </c>
      <c r="G3323" t="inlineStr">
        <is>
          <t>Tuesday</t>
        </is>
      </c>
      <c r="H3323" t="inlineStr">
        <is>
          <t>Monthly - Tuesday</t>
        </is>
      </c>
      <c r="I3323" t="inlineStr">
        <is>
          <t>Monthly - Tuesday</t>
        </is>
      </c>
      <c r="J3323" t="inlineStr">
        <is>
          <t>Month+9 Expiry</t>
        </is>
      </c>
      <c r="K3323" s="25" t="n">
        <v>1</v>
      </c>
      <c r="L3323" s="26" t="n">
        <v>0.0018</v>
      </c>
      <c r="M3323" s="26" t="n">
        <v>0</v>
      </c>
    </row>
    <row r="3324" ht="16" customHeight="1">
      <c r="A3324" t="inlineStr">
        <is>
          <t>02-Jun-2026</t>
        </is>
      </c>
      <c r="B3324" t="inlineStr">
        <is>
          <t>Tuesday</t>
        </is>
      </c>
      <c r="C3324" t="inlineStr">
        <is>
          <t>Week1-Jun-2026</t>
        </is>
      </c>
      <c r="D3324" s="78" t="n">
        <v>46174</v>
      </c>
      <c r="E3324" t="inlineStr">
        <is>
          <t>Q1FY27</t>
        </is>
      </c>
      <c r="F3324" t="inlineStr">
        <is>
          <t>29-Jun-2027</t>
        </is>
      </c>
      <c r="G3324" t="inlineStr">
        <is>
          <t>Tuesday</t>
        </is>
      </c>
      <c r="H3324" t="inlineStr">
        <is>
          <t>Monthly - Tuesday</t>
        </is>
      </c>
      <c r="I3324" t="inlineStr">
        <is>
          <t>Monthly - Tuesday</t>
        </is>
      </c>
      <c r="J3324" t="inlineStr">
        <is>
          <t>Month+12 Expiry</t>
        </is>
      </c>
      <c r="K3324" s="25" t="n">
        <v>1</v>
      </c>
      <c r="L3324" s="26" t="n">
        <v>0.0017</v>
      </c>
      <c r="M3324" s="26" t="n">
        <v>0.0001</v>
      </c>
    </row>
    <row r="3325" ht="16" customHeight="1">
      <c r="A3325" t="inlineStr">
        <is>
          <t>02-Jun-2026</t>
        </is>
      </c>
      <c r="B3325" t="inlineStr">
        <is>
          <t>Tuesday</t>
        </is>
      </c>
      <c r="C3325" t="inlineStr">
        <is>
          <t>Week1-Jun-2026</t>
        </is>
      </c>
      <c r="D3325" s="78" t="n">
        <v>46174</v>
      </c>
      <c r="E3325" t="inlineStr">
        <is>
          <t>Q1FY27</t>
        </is>
      </c>
      <c r="F3325" t="inlineStr">
        <is>
          <t>28-Dec-2027</t>
        </is>
      </c>
      <c r="G3325" t="inlineStr">
        <is>
          <t>Tuesday</t>
        </is>
      </c>
      <c r="H3325" t="inlineStr">
        <is>
          <t>Monthly - Tuesday</t>
        </is>
      </c>
      <c r="I3325" t="inlineStr">
        <is>
          <t>Monthly - Tuesday</t>
        </is>
      </c>
      <c r="J3325" t="inlineStr">
        <is>
          <t>Month+18 Expiry</t>
        </is>
      </c>
      <c r="K3325" s="25" t="n">
        <v>395</v>
      </c>
      <c r="L3325" s="26" t="n">
        <v>0.7034</v>
      </c>
      <c r="M3325" s="26" t="n">
        <v>0.0307</v>
      </c>
    </row>
    <row r="3326" ht="16" customHeight="1">
      <c r="A3326" t="inlineStr">
        <is>
          <t>02-Jun-2026</t>
        </is>
      </c>
      <c r="B3326" t="inlineStr">
        <is>
          <t>Tuesday</t>
        </is>
      </c>
      <c r="C3326" t="inlineStr">
        <is>
          <t>Week1-Jun-2026</t>
        </is>
      </c>
      <c r="D3326" s="78" t="n">
        <v>46174</v>
      </c>
      <c r="E3326" t="inlineStr">
        <is>
          <t>Q1FY27</t>
        </is>
      </c>
      <c r="F3326" t="inlineStr">
        <is>
          <t>27-Jun-2028</t>
        </is>
      </c>
      <c r="G3326" t="inlineStr">
        <is>
          <t>Tuesday</t>
        </is>
      </c>
      <c r="H3326" t="inlineStr">
        <is>
          <t>Monthly - Tuesday</t>
        </is>
      </c>
      <c r="I3326" t="inlineStr">
        <is>
          <t>Monthly - Tuesday</t>
        </is>
      </c>
      <c r="J3326" t="inlineStr">
        <is>
          <t>Month+24 Expiry</t>
        </is>
      </c>
      <c r="K3326" s="25" t="n">
        <v>0</v>
      </c>
      <c r="L3326" s="26" t="n">
        <v>0</v>
      </c>
      <c r="M3326" s="26" t="n">
        <v>0</v>
      </c>
    </row>
    <row r="3327" ht="16" customHeight="1">
      <c r="A3327" t="inlineStr">
        <is>
          <t>02-Jun-2026</t>
        </is>
      </c>
      <c r="B3327" t="inlineStr">
        <is>
          <t>Tuesday</t>
        </is>
      </c>
      <c r="C3327" t="inlineStr">
        <is>
          <t>Week1-Jun-2026</t>
        </is>
      </c>
      <c r="D3327" s="78" t="n">
        <v>46174</v>
      </c>
      <c r="E3327" t="inlineStr">
        <is>
          <t>Q1FY27</t>
        </is>
      </c>
      <c r="F3327" t="inlineStr">
        <is>
          <t>26-Dec-2028</t>
        </is>
      </c>
      <c r="G3327" t="inlineStr">
        <is>
          <t>Tuesday</t>
        </is>
      </c>
      <c r="H3327" t="inlineStr">
        <is>
          <t>Monthly - Tuesday</t>
        </is>
      </c>
      <c r="I3327" t="inlineStr">
        <is>
          <t>Monthly - Tuesday</t>
        </is>
      </c>
      <c r="J3327" t="inlineStr">
        <is>
          <t>Month+30 Expiry</t>
        </is>
      </c>
      <c r="K3327" s="25" t="n">
        <v>20</v>
      </c>
      <c r="L3327" s="26" t="n">
        <v>0.0371</v>
      </c>
      <c r="M3327" s="26" t="n">
        <v>0.0024</v>
      </c>
    </row>
    <row r="3328" ht="16" customHeight="1">
      <c r="A3328" t="inlineStr">
        <is>
          <t>02-Jun-2026</t>
        </is>
      </c>
      <c r="B3328" t="inlineStr">
        <is>
          <t>Tuesday</t>
        </is>
      </c>
      <c r="C3328" t="inlineStr">
        <is>
          <t>Week1-Jun-2026</t>
        </is>
      </c>
      <c r="D3328" s="78" t="n">
        <v>46174</v>
      </c>
      <c r="E3328" t="inlineStr">
        <is>
          <t>Q1FY27</t>
        </is>
      </c>
      <c r="F3328" t="inlineStr">
        <is>
          <t>26-Jun-2029</t>
        </is>
      </c>
      <c r="G3328" t="inlineStr">
        <is>
          <t>Tuesday</t>
        </is>
      </c>
      <c r="H3328" t="inlineStr">
        <is>
          <t>Monthly - Tuesday</t>
        </is>
      </c>
      <c r="I3328" t="inlineStr">
        <is>
          <t>Monthly - Tuesday</t>
        </is>
      </c>
      <c r="J3328" t="inlineStr">
        <is>
          <t>Month+36 Expiry</t>
        </is>
      </c>
      <c r="K3328" s="25" t="n">
        <v>0</v>
      </c>
      <c r="L3328" s="26" t="n">
        <v>0</v>
      </c>
      <c r="M3328" s="26" t="n">
        <v>0</v>
      </c>
    </row>
    <row r="3329" ht="16" customHeight="1">
      <c r="A3329" t="inlineStr">
        <is>
          <t>02-Jun-2026</t>
        </is>
      </c>
      <c r="B3329" t="inlineStr">
        <is>
          <t>Tuesday</t>
        </is>
      </c>
      <c r="C3329" t="inlineStr">
        <is>
          <t>Week1-Jun-2026</t>
        </is>
      </c>
      <c r="D3329" s="78" t="n">
        <v>46174</v>
      </c>
      <c r="E3329" t="inlineStr">
        <is>
          <t>Q1FY27</t>
        </is>
      </c>
      <c r="F3329" t="inlineStr">
        <is>
          <t>24-Dec-2029</t>
        </is>
      </c>
      <c r="G3329" t="inlineStr">
        <is>
          <t>Monday</t>
        </is>
      </c>
      <c r="H3329" t="inlineStr">
        <is>
          <t>Weekly - Monday</t>
        </is>
      </c>
      <c r="I3329" t="inlineStr">
        <is>
          <t>Weekly - Monday</t>
        </is>
      </c>
      <c r="J3329" t="inlineStr">
        <is>
          <t>Month+42 Expiry</t>
        </is>
      </c>
      <c r="K3329" s="25" t="n">
        <v>0</v>
      </c>
      <c r="L3329" s="26" t="n">
        <v>0</v>
      </c>
      <c r="M3329" s="26" t="n">
        <v>0</v>
      </c>
    </row>
    <row r="3330" ht="16" customHeight="1">
      <c r="A3330" t="inlineStr">
        <is>
          <t>02-Jun-2026</t>
        </is>
      </c>
      <c r="B3330" t="inlineStr">
        <is>
          <t>Tuesday</t>
        </is>
      </c>
      <c r="C3330" t="inlineStr">
        <is>
          <t>Week1-Jun-2026</t>
        </is>
      </c>
      <c r="D3330" s="78" t="n">
        <v>46174</v>
      </c>
      <c r="E3330" t="inlineStr">
        <is>
          <t>Q1FY27</t>
        </is>
      </c>
      <c r="F3330" t="inlineStr">
        <is>
          <t>25-Jun-2030</t>
        </is>
      </c>
      <c r="G3330" t="inlineStr">
        <is>
          <t>Tuesday</t>
        </is>
      </c>
      <c r="H3330" t="inlineStr">
        <is>
          <t>Monthly - Tuesday</t>
        </is>
      </c>
      <c r="I3330" t="inlineStr">
        <is>
          <t>Monthly - Tuesday</t>
        </is>
      </c>
      <c r="J3330" t="inlineStr">
        <is>
          <t>Month+48 Expiry</t>
        </is>
      </c>
      <c r="K3330" s="25" t="n">
        <v>0</v>
      </c>
      <c r="L3330" s="26" t="n">
        <v>0</v>
      </c>
      <c r="M3330" s="26" t="n">
        <v>0</v>
      </c>
    </row>
    <row r="3331" ht="16" customHeight="1">
      <c r="A3331" t="inlineStr">
        <is>
          <t>02-Jun-2026</t>
        </is>
      </c>
      <c r="B3331" t="inlineStr">
        <is>
          <t>Tuesday</t>
        </is>
      </c>
      <c r="C3331" t="inlineStr">
        <is>
          <t>Week1-Jun-2026</t>
        </is>
      </c>
      <c r="D3331" s="78" t="n">
        <v>46174</v>
      </c>
      <c r="E3331" t="inlineStr">
        <is>
          <t>Q1FY27</t>
        </is>
      </c>
      <c r="F3331" t="inlineStr">
        <is>
          <t>31-Dec-2030</t>
        </is>
      </c>
      <c r="G3331" t="inlineStr">
        <is>
          <t>Tuesday</t>
        </is>
      </c>
      <c r="H3331" t="inlineStr">
        <is>
          <t>Monthly - Tuesday</t>
        </is>
      </c>
      <c r="I3331" t="inlineStr">
        <is>
          <t>Monthly - Tuesday</t>
        </is>
      </c>
      <c r="J3331" t="inlineStr">
        <is>
          <t>Month+54 Expiry</t>
        </is>
      </c>
      <c r="K3331" s="25" t="n">
        <v>0</v>
      </c>
      <c r="L3331" s="26" t="n">
        <v>0</v>
      </c>
      <c r="M3331" s="26" t="n">
        <v>0</v>
      </c>
    </row>
    <row r="3332" ht="16" customHeight="1">
      <c r="A3332" t="inlineStr">
        <is>
          <t>03-Jun-2026</t>
        </is>
      </c>
      <c r="B3332" t="inlineStr">
        <is>
          <t>Wednesday</t>
        </is>
      </c>
      <c r="C3332" t="inlineStr">
        <is>
          <t>Week1-Jun-2026</t>
        </is>
      </c>
      <c r="D3332" s="78" t="n">
        <v>46174</v>
      </c>
      <c r="E3332" t="inlineStr">
        <is>
          <t>Q1FY27</t>
        </is>
      </c>
      <c r="F3332" t="inlineStr">
        <is>
          <t>09-Jun-2026</t>
        </is>
      </c>
      <c r="G3332" t="inlineStr">
        <is>
          <t>Tuesday</t>
        </is>
      </c>
      <c r="H3332" t="inlineStr">
        <is>
          <t>Weekly - Tuesday</t>
        </is>
      </c>
      <c r="I3332" t="inlineStr">
        <is>
          <t>Weekly - Tuesday</t>
        </is>
      </c>
      <c r="J3332" t="inlineStr">
        <is>
          <t>Same Month Expiry</t>
        </is>
      </c>
      <c r="K3332" s="25" t="n">
        <v>59943705</v>
      </c>
      <c r="L3332" s="26" t="n">
        <v>91655.8407</v>
      </c>
      <c r="M3332" s="26" t="n">
        <v>428.8697</v>
      </c>
    </row>
    <row r="3333" ht="16" customHeight="1">
      <c r="A3333" t="inlineStr">
        <is>
          <t>03-Jun-2026</t>
        </is>
      </c>
      <c r="B3333" t="inlineStr">
        <is>
          <t>Wednesday</t>
        </is>
      </c>
      <c r="C3333" t="inlineStr">
        <is>
          <t>Week1-Jun-2026</t>
        </is>
      </c>
      <c r="D3333" s="78" t="n">
        <v>46174</v>
      </c>
      <c r="E3333" t="inlineStr">
        <is>
          <t>Q1FY27</t>
        </is>
      </c>
      <c r="F3333" t="inlineStr">
        <is>
          <t>16-Jun-2026</t>
        </is>
      </c>
      <c r="G3333" t="inlineStr">
        <is>
          <t>Tuesday</t>
        </is>
      </c>
      <c r="H3333" t="inlineStr">
        <is>
          <t>Weekly - Tuesday</t>
        </is>
      </c>
      <c r="I3333" t="inlineStr">
        <is>
          <t>Weekly - Tuesday</t>
        </is>
      </c>
      <c r="J3333" t="inlineStr">
        <is>
          <t>Same Month Expiry</t>
        </is>
      </c>
      <c r="K3333" s="25" t="n">
        <v>1278042</v>
      </c>
      <c r="L3333" s="26" t="n">
        <v>1965.3123</v>
      </c>
      <c r="M3333" s="26" t="n">
        <v>11.2778</v>
      </c>
    </row>
    <row r="3334" ht="16" customHeight="1">
      <c r="A3334" t="inlineStr">
        <is>
          <t>03-Jun-2026</t>
        </is>
      </c>
      <c r="B3334" t="inlineStr">
        <is>
          <t>Wednesday</t>
        </is>
      </c>
      <c r="C3334" t="inlineStr">
        <is>
          <t>Week1-Jun-2026</t>
        </is>
      </c>
      <c r="D3334" s="78" t="n">
        <v>46174</v>
      </c>
      <c r="E3334" t="inlineStr">
        <is>
          <t>Q1FY27</t>
        </is>
      </c>
      <c r="F3334" t="inlineStr">
        <is>
          <t>23-Jun-2026</t>
        </is>
      </c>
      <c r="G3334" t="inlineStr">
        <is>
          <t>Tuesday</t>
        </is>
      </c>
      <c r="H3334" t="inlineStr">
        <is>
          <t>Weekly - Tuesday</t>
        </is>
      </c>
      <c r="I3334" t="inlineStr">
        <is>
          <t>Weekly - Tuesday</t>
        </is>
      </c>
      <c r="J3334" t="inlineStr">
        <is>
          <t>Same Month Expiry</t>
        </is>
      </c>
      <c r="K3334" s="25" t="n">
        <v>104575</v>
      </c>
      <c r="L3334" s="26" t="n">
        <v>162.0211</v>
      </c>
      <c r="M3334" s="26" t="n">
        <v>1.1535</v>
      </c>
    </row>
    <row r="3335" ht="16" customHeight="1">
      <c r="A3335" t="inlineStr">
        <is>
          <t>03-Jun-2026</t>
        </is>
      </c>
      <c r="B3335" t="inlineStr">
        <is>
          <t>Wednesday</t>
        </is>
      </c>
      <c r="C3335" t="inlineStr">
        <is>
          <t>Week1-Jun-2026</t>
        </is>
      </c>
      <c r="D3335" s="78" t="n">
        <v>46174</v>
      </c>
      <c r="E3335" t="inlineStr">
        <is>
          <t>Q1FY27</t>
        </is>
      </c>
      <c r="F3335" t="inlineStr">
        <is>
          <t>30-Jun-2026</t>
        </is>
      </c>
      <c r="G3335" t="inlineStr">
        <is>
          <t>Tuesday</t>
        </is>
      </c>
      <c r="H3335" t="inlineStr">
        <is>
          <t>Monthly - Tuesday</t>
        </is>
      </c>
      <c r="I3335" t="inlineStr">
        <is>
          <t>Monthly - Tuesday</t>
        </is>
      </c>
      <c r="J3335" t="inlineStr">
        <is>
          <t>Same Month Expiry</t>
        </is>
      </c>
      <c r="K3335" s="25" t="n">
        <v>2008887</v>
      </c>
      <c r="L3335" s="26" t="n">
        <v>3110.3575</v>
      </c>
      <c r="M3335" s="26" t="n">
        <v>27.931</v>
      </c>
    </row>
    <row r="3336" ht="16" customHeight="1">
      <c r="A3336" t="inlineStr">
        <is>
          <t>03-Jun-2026</t>
        </is>
      </c>
      <c r="B3336" t="inlineStr">
        <is>
          <t>Wednesday</t>
        </is>
      </c>
      <c r="C3336" t="inlineStr">
        <is>
          <t>Week1-Jun-2026</t>
        </is>
      </c>
      <c r="D3336" s="78" t="n">
        <v>46174</v>
      </c>
      <c r="E3336" t="inlineStr">
        <is>
          <t>Q1FY27</t>
        </is>
      </c>
      <c r="F3336" t="inlineStr">
        <is>
          <t>07-Jul-2026</t>
        </is>
      </c>
      <c r="G3336" t="inlineStr">
        <is>
          <t>Tuesday</t>
        </is>
      </c>
      <c r="H3336" t="inlineStr">
        <is>
          <t>Weekly - Tuesday</t>
        </is>
      </c>
      <c r="I3336" t="inlineStr">
        <is>
          <t>Weekly - Tuesday</t>
        </is>
      </c>
      <c r="J3336" t="inlineStr">
        <is>
          <t>Month+1 Expiry</t>
        </is>
      </c>
      <c r="K3336" s="25" t="n">
        <v>228</v>
      </c>
      <c r="L3336" s="26" t="n">
        <v>0.3542</v>
      </c>
      <c r="M3336" s="26" t="n">
        <v>0.0039</v>
      </c>
    </row>
    <row r="3337" ht="16" customHeight="1">
      <c r="A3337" t="inlineStr">
        <is>
          <t>03-Jun-2026</t>
        </is>
      </c>
      <c r="B3337" t="inlineStr">
        <is>
          <t>Wednesday</t>
        </is>
      </c>
      <c r="C3337" t="inlineStr">
        <is>
          <t>Week1-Jun-2026</t>
        </is>
      </c>
      <c r="D3337" s="78" t="n">
        <v>46174</v>
      </c>
      <c r="E3337" t="inlineStr">
        <is>
          <t>Q1FY27</t>
        </is>
      </c>
      <c r="F3337" t="inlineStr">
        <is>
          <t>28-Jul-2026</t>
        </is>
      </c>
      <c r="G3337" t="inlineStr">
        <is>
          <t>Tuesday</t>
        </is>
      </c>
      <c r="H3337" t="inlineStr">
        <is>
          <t>Monthly - Tuesday</t>
        </is>
      </c>
      <c r="I3337" t="inlineStr">
        <is>
          <t>Monthly - Tuesday</t>
        </is>
      </c>
      <c r="J3337" t="inlineStr">
        <is>
          <t>Month+1 Expiry</t>
        </is>
      </c>
      <c r="K3337" s="25" t="n">
        <v>211761</v>
      </c>
      <c r="L3337" s="26" t="n">
        <v>332.2247</v>
      </c>
      <c r="M3337" s="26" t="n">
        <v>3.3952</v>
      </c>
    </row>
    <row r="3338" ht="16" customHeight="1">
      <c r="A3338" t="inlineStr">
        <is>
          <t>03-Jun-2026</t>
        </is>
      </c>
      <c r="B3338" t="inlineStr">
        <is>
          <t>Wednesday</t>
        </is>
      </c>
      <c r="C3338" t="inlineStr">
        <is>
          <t>Week1-Jun-2026</t>
        </is>
      </c>
      <c r="D3338" s="78" t="n">
        <v>46174</v>
      </c>
      <c r="E3338" t="inlineStr">
        <is>
          <t>Q1FY27</t>
        </is>
      </c>
      <c r="F3338" t="inlineStr">
        <is>
          <t>25-Aug-2026</t>
        </is>
      </c>
      <c r="G3338" t="inlineStr">
        <is>
          <t>Tuesday</t>
        </is>
      </c>
      <c r="H3338" t="inlineStr">
        <is>
          <t>Monthly - Tuesday</t>
        </is>
      </c>
      <c r="I3338" t="inlineStr">
        <is>
          <t>Monthly - Tuesday</t>
        </is>
      </c>
      <c r="J3338" t="inlineStr">
        <is>
          <t>Month+2 Expiry</t>
        </is>
      </c>
      <c r="K3338" s="25" t="n">
        <v>38201</v>
      </c>
      <c r="L3338" s="26" t="n">
        <v>60.4268</v>
      </c>
      <c r="M3338" s="26" t="n">
        <v>0.9923999999999999</v>
      </c>
    </row>
    <row r="3339" ht="16" customHeight="1">
      <c r="A3339" t="inlineStr">
        <is>
          <t>03-Jun-2026</t>
        </is>
      </c>
      <c r="B3339" t="inlineStr">
        <is>
          <t>Wednesday</t>
        </is>
      </c>
      <c r="C3339" t="inlineStr">
        <is>
          <t>Week1-Jun-2026</t>
        </is>
      </c>
      <c r="D3339" s="78" t="n">
        <v>46174</v>
      </c>
      <c r="E3339" t="inlineStr">
        <is>
          <t>Q1FY27</t>
        </is>
      </c>
      <c r="F3339" t="inlineStr">
        <is>
          <t>29-Sep-2026</t>
        </is>
      </c>
      <c r="G3339" t="inlineStr">
        <is>
          <t>Tuesday</t>
        </is>
      </c>
      <c r="H3339" t="inlineStr">
        <is>
          <t>Monthly - Tuesday</t>
        </is>
      </c>
      <c r="I3339" t="inlineStr">
        <is>
          <t>Monthly - Tuesday</t>
        </is>
      </c>
      <c r="J3339" t="inlineStr">
        <is>
          <t>Month+3 Expiry</t>
        </is>
      </c>
      <c r="K3339" s="25" t="n">
        <v>43269</v>
      </c>
      <c r="L3339" s="26" t="n">
        <v>69.8913</v>
      </c>
      <c r="M3339" s="26" t="n">
        <v>0.8427</v>
      </c>
    </row>
    <row r="3340" ht="16" customHeight="1">
      <c r="A3340" t="inlineStr">
        <is>
          <t>03-Jun-2026</t>
        </is>
      </c>
      <c r="B3340" t="inlineStr">
        <is>
          <t>Wednesday</t>
        </is>
      </c>
      <c r="C3340" t="inlineStr">
        <is>
          <t>Week1-Jun-2026</t>
        </is>
      </c>
      <c r="D3340" s="78" t="n">
        <v>46174</v>
      </c>
      <c r="E3340" t="inlineStr">
        <is>
          <t>Q1FY27</t>
        </is>
      </c>
      <c r="F3340" t="inlineStr">
        <is>
          <t>29-Dec-2026</t>
        </is>
      </c>
      <c r="G3340" t="inlineStr">
        <is>
          <t>Tuesday</t>
        </is>
      </c>
      <c r="H3340" t="inlineStr">
        <is>
          <t>Monthly - Tuesday</t>
        </is>
      </c>
      <c r="I3340" t="inlineStr">
        <is>
          <t>Monthly - Tuesday</t>
        </is>
      </c>
      <c r="J3340" t="inlineStr">
        <is>
          <t>Month+6 Expiry</t>
        </is>
      </c>
      <c r="K3340" s="25" t="n">
        <v>54998</v>
      </c>
      <c r="L3340" s="26" t="n">
        <v>89.774</v>
      </c>
      <c r="M3340" s="26" t="n">
        <v>2.1668</v>
      </c>
    </row>
    <row r="3341" ht="16" customHeight="1">
      <c r="A3341" t="inlineStr">
        <is>
          <t>03-Jun-2026</t>
        </is>
      </c>
      <c r="B3341" t="inlineStr">
        <is>
          <t>Wednesday</t>
        </is>
      </c>
      <c r="C3341" t="inlineStr">
        <is>
          <t>Week1-Jun-2026</t>
        </is>
      </c>
      <c r="D3341" s="78" t="n">
        <v>46174</v>
      </c>
      <c r="E3341" t="inlineStr">
        <is>
          <t>Q1FY27</t>
        </is>
      </c>
      <c r="F3341" t="inlineStr">
        <is>
          <t>30-Mar-2027</t>
        </is>
      </c>
      <c r="G3341" t="inlineStr">
        <is>
          <t>Tuesday</t>
        </is>
      </c>
      <c r="H3341" t="inlineStr">
        <is>
          <t>Monthly - Tuesday</t>
        </is>
      </c>
      <c r="I3341" t="inlineStr">
        <is>
          <t>Monthly - Tuesday</t>
        </is>
      </c>
      <c r="J3341" t="inlineStr">
        <is>
          <t>Month+9 Expiry</t>
        </is>
      </c>
      <c r="K3341" s="25" t="n">
        <v>7</v>
      </c>
      <c r="L3341" s="26" t="n">
        <v>0.0121</v>
      </c>
      <c r="M3341" s="26" t="n">
        <v>0.0002</v>
      </c>
    </row>
    <row r="3342" ht="16" customHeight="1">
      <c r="A3342" t="inlineStr">
        <is>
          <t>03-Jun-2026</t>
        </is>
      </c>
      <c r="B3342" t="inlineStr">
        <is>
          <t>Wednesday</t>
        </is>
      </c>
      <c r="C3342" t="inlineStr">
        <is>
          <t>Week1-Jun-2026</t>
        </is>
      </c>
      <c r="D3342" s="78" t="n">
        <v>46174</v>
      </c>
      <c r="E3342" t="inlineStr">
        <is>
          <t>Q1FY27</t>
        </is>
      </c>
      <c r="F3342" t="inlineStr">
        <is>
          <t>29-Jun-2027</t>
        </is>
      </c>
      <c r="G3342" t="inlineStr">
        <is>
          <t>Tuesday</t>
        </is>
      </c>
      <c r="H3342" t="inlineStr">
        <is>
          <t>Monthly - Tuesday</t>
        </is>
      </c>
      <c r="I3342" t="inlineStr">
        <is>
          <t>Monthly - Tuesday</t>
        </is>
      </c>
      <c r="J3342" t="inlineStr">
        <is>
          <t>Month+12 Expiry</t>
        </is>
      </c>
      <c r="K3342" s="25" t="n">
        <v>0</v>
      </c>
      <c r="L3342" s="26" t="n">
        <v>0</v>
      </c>
      <c r="M3342" s="26" t="n">
        <v>0</v>
      </c>
    </row>
    <row r="3343" ht="16" customHeight="1">
      <c r="A3343" t="inlineStr">
        <is>
          <t>03-Jun-2026</t>
        </is>
      </c>
      <c r="B3343" t="inlineStr">
        <is>
          <t>Wednesday</t>
        </is>
      </c>
      <c r="C3343" t="inlineStr">
        <is>
          <t>Week1-Jun-2026</t>
        </is>
      </c>
      <c r="D3343" s="78" t="n">
        <v>46174</v>
      </c>
      <c r="E3343" t="inlineStr">
        <is>
          <t>Q1FY27</t>
        </is>
      </c>
      <c r="F3343" t="inlineStr">
        <is>
          <t>28-Dec-2027</t>
        </is>
      </c>
      <c r="G3343" t="inlineStr">
        <is>
          <t>Tuesday</t>
        </is>
      </c>
      <c r="H3343" t="inlineStr">
        <is>
          <t>Monthly - Tuesday</t>
        </is>
      </c>
      <c r="I3343" t="inlineStr">
        <is>
          <t>Monthly - Tuesday</t>
        </is>
      </c>
      <c r="J3343" t="inlineStr">
        <is>
          <t>Month+18 Expiry</t>
        </is>
      </c>
      <c r="K3343" s="25" t="n">
        <v>368</v>
      </c>
      <c r="L3343" s="26" t="n">
        <v>0.6457000000000001</v>
      </c>
      <c r="M3343" s="26" t="n">
        <v>0.0277</v>
      </c>
    </row>
    <row r="3344" ht="16" customHeight="1">
      <c r="A3344" t="inlineStr">
        <is>
          <t>03-Jun-2026</t>
        </is>
      </c>
      <c r="B3344" t="inlineStr">
        <is>
          <t>Wednesday</t>
        </is>
      </c>
      <c r="C3344" t="inlineStr">
        <is>
          <t>Week1-Jun-2026</t>
        </is>
      </c>
      <c r="D3344" s="78" t="n">
        <v>46174</v>
      </c>
      <c r="E3344" t="inlineStr">
        <is>
          <t>Q1FY27</t>
        </is>
      </c>
      <c r="F3344" t="inlineStr">
        <is>
          <t>27-Jun-2028</t>
        </is>
      </c>
      <c r="G3344" t="inlineStr">
        <is>
          <t>Tuesday</t>
        </is>
      </c>
      <c r="H3344" t="inlineStr">
        <is>
          <t>Monthly - Tuesday</t>
        </is>
      </c>
      <c r="I3344" t="inlineStr">
        <is>
          <t>Monthly - Tuesday</t>
        </is>
      </c>
      <c r="J3344" t="inlineStr">
        <is>
          <t>Month+24 Expiry</t>
        </is>
      </c>
      <c r="K3344" s="25" t="n">
        <v>0</v>
      </c>
      <c r="L3344" s="26" t="n">
        <v>0</v>
      </c>
      <c r="M3344" s="26" t="n">
        <v>0</v>
      </c>
    </row>
    <row r="3345" ht="16" customHeight="1">
      <c r="A3345" t="inlineStr">
        <is>
          <t>03-Jun-2026</t>
        </is>
      </c>
      <c r="B3345" t="inlineStr">
        <is>
          <t>Wednesday</t>
        </is>
      </c>
      <c r="C3345" t="inlineStr">
        <is>
          <t>Week1-Jun-2026</t>
        </is>
      </c>
      <c r="D3345" s="78" t="n">
        <v>46174</v>
      </c>
      <c r="E3345" t="inlineStr">
        <is>
          <t>Q1FY27</t>
        </is>
      </c>
      <c r="F3345" t="inlineStr">
        <is>
          <t>26-Dec-2028</t>
        </is>
      </c>
      <c r="G3345" t="inlineStr">
        <is>
          <t>Tuesday</t>
        </is>
      </c>
      <c r="H3345" t="inlineStr">
        <is>
          <t>Monthly - Tuesday</t>
        </is>
      </c>
      <c r="I3345" t="inlineStr">
        <is>
          <t>Monthly - Tuesday</t>
        </is>
      </c>
      <c r="J3345" t="inlineStr">
        <is>
          <t>Month+30 Expiry</t>
        </is>
      </c>
      <c r="K3345" s="25" t="n">
        <v>16</v>
      </c>
      <c r="L3345" s="26" t="n">
        <v>0.0305</v>
      </c>
      <c r="M3345" s="26" t="n">
        <v>0.0021</v>
      </c>
    </row>
    <row r="3346" ht="16" customHeight="1">
      <c r="A3346" t="inlineStr">
        <is>
          <t>03-Jun-2026</t>
        </is>
      </c>
      <c r="B3346" t="inlineStr">
        <is>
          <t>Wednesday</t>
        </is>
      </c>
      <c r="C3346" t="inlineStr">
        <is>
          <t>Week1-Jun-2026</t>
        </is>
      </c>
      <c r="D3346" s="78" t="n">
        <v>46174</v>
      </c>
      <c r="E3346" t="inlineStr">
        <is>
          <t>Q1FY27</t>
        </is>
      </c>
      <c r="F3346" t="inlineStr">
        <is>
          <t>26-Jun-2029</t>
        </is>
      </c>
      <c r="G3346" t="inlineStr">
        <is>
          <t>Tuesday</t>
        </is>
      </c>
      <c r="H3346" t="inlineStr">
        <is>
          <t>Monthly - Tuesday</t>
        </is>
      </c>
      <c r="I3346" t="inlineStr">
        <is>
          <t>Monthly - Tuesday</t>
        </is>
      </c>
      <c r="J3346" t="inlineStr">
        <is>
          <t>Month+36 Expiry</t>
        </is>
      </c>
      <c r="K3346" s="25" t="n">
        <v>0</v>
      </c>
      <c r="L3346" s="26" t="n">
        <v>0</v>
      </c>
      <c r="M3346" s="26" t="n">
        <v>0</v>
      </c>
    </row>
    <row r="3347" ht="16" customHeight="1">
      <c r="A3347" t="inlineStr">
        <is>
          <t>03-Jun-2026</t>
        </is>
      </c>
      <c r="B3347" t="inlineStr">
        <is>
          <t>Wednesday</t>
        </is>
      </c>
      <c r="C3347" t="inlineStr">
        <is>
          <t>Week1-Jun-2026</t>
        </is>
      </c>
      <c r="D3347" s="78" t="n">
        <v>46174</v>
      </c>
      <c r="E3347" t="inlineStr">
        <is>
          <t>Q1FY27</t>
        </is>
      </c>
      <c r="F3347" t="inlineStr">
        <is>
          <t>24-Dec-2029</t>
        </is>
      </c>
      <c r="G3347" t="inlineStr">
        <is>
          <t>Monday</t>
        </is>
      </c>
      <c r="H3347" t="inlineStr">
        <is>
          <t>Weekly - Monday</t>
        </is>
      </c>
      <c r="I3347" t="inlineStr">
        <is>
          <t>Weekly - Monday</t>
        </is>
      </c>
      <c r="J3347" t="inlineStr">
        <is>
          <t>Month+42 Expiry</t>
        </is>
      </c>
      <c r="K3347" s="25" t="n">
        <v>4</v>
      </c>
      <c r="L3347" s="26" t="n">
        <v>0.0039</v>
      </c>
      <c r="M3347" s="26" t="n">
        <v>0</v>
      </c>
    </row>
    <row r="3348" ht="16" customHeight="1">
      <c r="A3348" t="inlineStr">
        <is>
          <t>03-Jun-2026</t>
        </is>
      </c>
      <c r="B3348" t="inlineStr">
        <is>
          <t>Wednesday</t>
        </is>
      </c>
      <c r="C3348" t="inlineStr">
        <is>
          <t>Week1-Jun-2026</t>
        </is>
      </c>
      <c r="D3348" s="78" t="n">
        <v>46174</v>
      </c>
      <c r="E3348" t="inlineStr">
        <is>
          <t>Q1FY27</t>
        </is>
      </c>
      <c r="F3348" t="inlineStr">
        <is>
          <t>25-Jun-2030</t>
        </is>
      </c>
      <c r="G3348" t="inlineStr">
        <is>
          <t>Tuesday</t>
        </is>
      </c>
      <c r="H3348" t="inlineStr">
        <is>
          <t>Monthly - Tuesday</t>
        </is>
      </c>
      <c r="I3348" t="inlineStr">
        <is>
          <t>Monthly - Tuesday</t>
        </is>
      </c>
      <c r="J3348" t="inlineStr">
        <is>
          <t>Month+48 Expiry</t>
        </is>
      </c>
      <c r="K3348" s="25" t="n">
        <v>0</v>
      </c>
      <c r="L3348" s="26" t="n">
        <v>0</v>
      </c>
      <c r="M3348" s="26" t="n">
        <v>0</v>
      </c>
    </row>
    <row r="3349" ht="16" customHeight="1">
      <c r="A3349" t="inlineStr">
        <is>
          <t>03-Jun-2026</t>
        </is>
      </c>
      <c r="B3349" t="inlineStr">
        <is>
          <t>Wednesday</t>
        </is>
      </c>
      <c r="C3349" t="inlineStr">
        <is>
          <t>Week1-Jun-2026</t>
        </is>
      </c>
      <c r="D3349" s="78" t="n">
        <v>46174</v>
      </c>
      <c r="E3349" t="inlineStr">
        <is>
          <t>Q1FY27</t>
        </is>
      </c>
      <c r="F3349" t="inlineStr">
        <is>
          <t>31-Dec-2030</t>
        </is>
      </c>
      <c r="G3349" t="inlineStr">
        <is>
          <t>Tuesday</t>
        </is>
      </c>
      <c r="H3349" t="inlineStr">
        <is>
          <t>Monthly - Tuesday</t>
        </is>
      </c>
      <c r="I3349" t="inlineStr">
        <is>
          <t>Monthly - Tuesday</t>
        </is>
      </c>
      <c r="J3349" t="inlineStr">
        <is>
          <t>Month+54 Expiry</t>
        </is>
      </c>
      <c r="K3349" s="25" t="n">
        <v>1</v>
      </c>
      <c r="L3349" s="26" t="n">
        <v>0.0016</v>
      </c>
      <c r="M3349" s="26" t="n">
        <v>0.0001</v>
      </c>
    </row>
    <row r="3350" ht="16" customHeight="1">
      <c r="A3350" t="inlineStr">
        <is>
          <t>04-Jun-2026</t>
        </is>
      </c>
      <c r="B3350" t="inlineStr">
        <is>
          <t>Thursday</t>
        </is>
      </c>
      <c r="C3350" t="inlineStr">
        <is>
          <t>Week1-Jun-2026</t>
        </is>
      </c>
      <c r="D3350" s="78" t="n">
        <v>46174</v>
      </c>
      <c r="E3350" t="inlineStr">
        <is>
          <t>Q1FY27</t>
        </is>
      </c>
      <c r="F3350" t="inlineStr">
        <is>
          <t>09-Jun-2026</t>
        </is>
      </c>
      <c r="G3350" t="inlineStr">
        <is>
          <t>Tuesday</t>
        </is>
      </c>
      <c r="H3350" t="inlineStr">
        <is>
          <t>Weekly - Tuesday</t>
        </is>
      </c>
      <c r="I3350" t="inlineStr">
        <is>
          <t>Weekly - Tuesday</t>
        </is>
      </c>
      <c r="J3350" t="inlineStr">
        <is>
          <t>Same Month Expiry</t>
        </is>
      </c>
      <c r="K3350" s="25" t="n">
        <v>48938214</v>
      </c>
      <c r="L3350" s="26" t="n">
        <v>74834.6202</v>
      </c>
      <c r="M3350" s="26" t="n">
        <v>300.6842</v>
      </c>
    </row>
    <row r="3351" ht="16" customHeight="1">
      <c r="A3351" t="inlineStr">
        <is>
          <t>04-Jun-2026</t>
        </is>
      </c>
      <c r="B3351" t="inlineStr">
        <is>
          <t>Thursday</t>
        </is>
      </c>
      <c r="C3351" t="inlineStr">
        <is>
          <t>Week1-Jun-2026</t>
        </is>
      </c>
      <c r="D3351" s="78" t="n">
        <v>46174</v>
      </c>
      <c r="E3351" t="inlineStr">
        <is>
          <t>Q1FY27</t>
        </is>
      </c>
      <c r="F3351" t="inlineStr">
        <is>
          <t>16-Jun-2026</t>
        </is>
      </c>
      <c r="G3351" t="inlineStr">
        <is>
          <t>Tuesday</t>
        </is>
      </c>
      <c r="H3351" t="inlineStr">
        <is>
          <t>Weekly - Tuesday</t>
        </is>
      </c>
      <c r="I3351" t="inlineStr">
        <is>
          <t>Weekly - Tuesday</t>
        </is>
      </c>
      <c r="J3351" t="inlineStr">
        <is>
          <t>Same Month Expiry</t>
        </is>
      </c>
      <c r="K3351" s="25" t="n">
        <v>1208969</v>
      </c>
      <c r="L3351" s="26" t="n">
        <v>1853.6794</v>
      </c>
      <c r="M3351" s="26" t="n">
        <v>9.398400000000001</v>
      </c>
    </row>
    <row r="3352" ht="16" customHeight="1">
      <c r="A3352" t="inlineStr">
        <is>
          <t>04-Jun-2026</t>
        </is>
      </c>
      <c r="B3352" t="inlineStr">
        <is>
          <t>Thursday</t>
        </is>
      </c>
      <c r="C3352" t="inlineStr">
        <is>
          <t>Week1-Jun-2026</t>
        </is>
      </c>
      <c r="D3352" s="78" t="n">
        <v>46174</v>
      </c>
      <c r="E3352" t="inlineStr">
        <is>
          <t>Q1FY27</t>
        </is>
      </c>
      <c r="F3352" t="inlineStr">
        <is>
          <t>23-Jun-2026</t>
        </is>
      </c>
      <c r="G3352" t="inlineStr">
        <is>
          <t>Tuesday</t>
        </is>
      </c>
      <c r="H3352" t="inlineStr">
        <is>
          <t>Weekly - Tuesday</t>
        </is>
      </c>
      <c r="I3352" t="inlineStr">
        <is>
          <t>Weekly - Tuesday</t>
        </is>
      </c>
      <c r="J3352" t="inlineStr">
        <is>
          <t>Same Month Expiry</t>
        </is>
      </c>
      <c r="K3352" s="25" t="n">
        <v>92167</v>
      </c>
      <c r="L3352" s="26" t="n">
        <v>142.8762</v>
      </c>
      <c r="M3352" s="26" t="n">
        <v>0.9258</v>
      </c>
    </row>
    <row r="3353" ht="16" customHeight="1">
      <c r="A3353" t="inlineStr">
        <is>
          <t>04-Jun-2026</t>
        </is>
      </c>
      <c r="B3353" t="inlineStr">
        <is>
          <t>Thursday</t>
        </is>
      </c>
      <c r="C3353" t="inlineStr">
        <is>
          <t>Week1-Jun-2026</t>
        </is>
      </c>
      <c r="D3353" s="78" t="n">
        <v>46174</v>
      </c>
      <c r="E3353" t="inlineStr">
        <is>
          <t>Q1FY27</t>
        </is>
      </c>
      <c r="F3353" t="inlineStr">
        <is>
          <t>30-Jun-2026</t>
        </is>
      </c>
      <c r="G3353" t="inlineStr">
        <is>
          <t>Tuesday</t>
        </is>
      </c>
      <c r="H3353" t="inlineStr">
        <is>
          <t>Monthly - Tuesday</t>
        </is>
      </c>
      <c r="I3353" t="inlineStr">
        <is>
          <t>Monthly - Tuesday</t>
        </is>
      </c>
      <c r="J3353" t="inlineStr">
        <is>
          <t>Same Month Expiry</t>
        </is>
      </c>
      <c r="K3353" s="25" t="n">
        <v>1053029</v>
      </c>
      <c r="L3353" s="26" t="n">
        <v>1635.804</v>
      </c>
      <c r="M3353" s="26" t="n">
        <v>14.3788</v>
      </c>
    </row>
    <row r="3354" ht="16" customHeight="1">
      <c r="A3354" t="inlineStr">
        <is>
          <t>04-Jun-2026</t>
        </is>
      </c>
      <c r="B3354" t="inlineStr">
        <is>
          <t>Thursday</t>
        </is>
      </c>
      <c r="C3354" t="inlineStr">
        <is>
          <t>Week1-Jun-2026</t>
        </is>
      </c>
      <c r="D3354" s="78" t="n">
        <v>46174</v>
      </c>
      <c r="E3354" t="inlineStr">
        <is>
          <t>Q1FY27</t>
        </is>
      </c>
      <c r="F3354" t="inlineStr">
        <is>
          <t>07-Jul-2026</t>
        </is>
      </c>
      <c r="G3354" t="inlineStr">
        <is>
          <t>Tuesday</t>
        </is>
      </c>
      <c r="H3354" t="inlineStr">
        <is>
          <t>Weekly - Tuesday</t>
        </is>
      </c>
      <c r="I3354" t="inlineStr">
        <is>
          <t>Weekly - Tuesday</t>
        </is>
      </c>
      <c r="J3354" t="inlineStr">
        <is>
          <t>Month+1 Expiry</t>
        </is>
      </c>
      <c r="K3354" s="25" t="n">
        <v>1311</v>
      </c>
      <c r="L3354" s="26" t="n">
        <v>2.0773</v>
      </c>
      <c r="M3354" s="26" t="n">
        <v>0.0115</v>
      </c>
    </row>
    <row r="3355" ht="16" customHeight="1">
      <c r="A3355" t="inlineStr">
        <is>
          <t>04-Jun-2026</t>
        </is>
      </c>
      <c r="B3355" t="inlineStr">
        <is>
          <t>Thursday</t>
        </is>
      </c>
      <c r="C3355" t="inlineStr">
        <is>
          <t>Week1-Jun-2026</t>
        </is>
      </c>
      <c r="D3355" s="78" t="n">
        <v>46174</v>
      </c>
      <c r="E3355" t="inlineStr">
        <is>
          <t>Q1FY27</t>
        </is>
      </c>
      <c r="F3355" t="inlineStr">
        <is>
          <t>28-Jul-2026</t>
        </is>
      </c>
      <c r="G3355" t="inlineStr">
        <is>
          <t>Tuesday</t>
        </is>
      </c>
      <c r="H3355" t="inlineStr">
        <is>
          <t>Monthly - Tuesday</t>
        </is>
      </c>
      <c r="I3355" t="inlineStr">
        <is>
          <t>Monthly - Tuesday</t>
        </is>
      </c>
      <c r="J3355" t="inlineStr">
        <is>
          <t>Month+1 Expiry</t>
        </is>
      </c>
      <c r="K3355" s="25" t="n">
        <v>92779</v>
      </c>
      <c r="L3355" s="26" t="n">
        <v>144.8366</v>
      </c>
      <c r="M3355" s="26" t="n">
        <v>1.6141</v>
      </c>
    </row>
    <row r="3356" ht="16" customHeight="1">
      <c r="A3356" t="inlineStr">
        <is>
          <t>04-Jun-2026</t>
        </is>
      </c>
      <c r="B3356" t="inlineStr">
        <is>
          <t>Thursday</t>
        </is>
      </c>
      <c r="C3356" t="inlineStr">
        <is>
          <t>Week1-Jun-2026</t>
        </is>
      </c>
      <c r="D3356" s="78" t="n">
        <v>46174</v>
      </c>
      <c r="E3356" t="inlineStr">
        <is>
          <t>Q1FY27</t>
        </is>
      </c>
      <c r="F3356" t="inlineStr">
        <is>
          <t>25-Aug-2026</t>
        </is>
      </c>
      <c r="G3356" t="inlineStr">
        <is>
          <t>Tuesday</t>
        </is>
      </c>
      <c r="H3356" t="inlineStr">
        <is>
          <t>Monthly - Tuesday</t>
        </is>
      </c>
      <c r="I3356" t="inlineStr">
        <is>
          <t>Monthly - Tuesday</t>
        </is>
      </c>
      <c r="J3356" t="inlineStr">
        <is>
          <t>Month+2 Expiry</t>
        </is>
      </c>
      <c r="K3356" s="25" t="n">
        <v>12826</v>
      </c>
      <c r="L3356" s="26" t="n">
        <v>20.2121</v>
      </c>
      <c r="M3356" s="26" t="n">
        <v>0.3274</v>
      </c>
    </row>
    <row r="3357" ht="16" customHeight="1">
      <c r="A3357" t="inlineStr">
        <is>
          <t>04-Jun-2026</t>
        </is>
      </c>
      <c r="B3357" t="inlineStr">
        <is>
          <t>Thursday</t>
        </is>
      </c>
      <c r="C3357" t="inlineStr">
        <is>
          <t>Week1-Jun-2026</t>
        </is>
      </c>
      <c r="D3357" s="78" t="n">
        <v>46174</v>
      </c>
      <c r="E3357" t="inlineStr">
        <is>
          <t>Q1FY27</t>
        </is>
      </c>
      <c r="F3357" t="inlineStr">
        <is>
          <t>29-Sep-2026</t>
        </is>
      </c>
      <c r="G3357" t="inlineStr">
        <is>
          <t>Tuesday</t>
        </is>
      </c>
      <c r="H3357" t="inlineStr">
        <is>
          <t>Monthly - Tuesday</t>
        </is>
      </c>
      <c r="I3357" t="inlineStr">
        <is>
          <t>Monthly - Tuesday</t>
        </is>
      </c>
      <c r="J3357" t="inlineStr">
        <is>
          <t>Month+3 Expiry</t>
        </is>
      </c>
      <c r="K3357" s="25" t="n">
        <v>15263</v>
      </c>
      <c r="L3357" s="26" t="n">
        <v>24.0314</v>
      </c>
      <c r="M3357" s="26" t="n">
        <v>0.3227</v>
      </c>
    </row>
    <row r="3358" ht="16" customHeight="1">
      <c r="A3358" t="inlineStr">
        <is>
          <t>04-Jun-2026</t>
        </is>
      </c>
      <c r="B3358" t="inlineStr">
        <is>
          <t>Thursday</t>
        </is>
      </c>
      <c r="C3358" t="inlineStr">
        <is>
          <t>Week1-Jun-2026</t>
        </is>
      </c>
      <c r="D3358" s="78" t="n">
        <v>46174</v>
      </c>
      <c r="E3358" t="inlineStr">
        <is>
          <t>Q1FY27</t>
        </is>
      </c>
      <c r="F3358" t="inlineStr">
        <is>
          <t>29-Dec-2026</t>
        </is>
      </c>
      <c r="G3358" t="inlineStr">
        <is>
          <t>Tuesday</t>
        </is>
      </c>
      <c r="H3358" t="inlineStr">
        <is>
          <t>Monthly - Tuesday</t>
        </is>
      </c>
      <c r="I3358" t="inlineStr">
        <is>
          <t>Monthly - Tuesday</t>
        </is>
      </c>
      <c r="J3358" t="inlineStr">
        <is>
          <t>Month+6 Expiry</t>
        </is>
      </c>
      <c r="K3358" s="25" t="n">
        <v>27226</v>
      </c>
      <c r="L3358" s="26" t="n">
        <v>43.9767</v>
      </c>
      <c r="M3358" s="26" t="n">
        <v>0.9996</v>
      </c>
    </row>
    <row r="3359" ht="16" customHeight="1">
      <c r="A3359" t="inlineStr">
        <is>
          <t>04-Jun-2026</t>
        </is>
      </c>
      <c r="B3359" t="inlineStr">
        <is>
          <t>Thursday</t>
        </is>
      </c>
      <c r="C3359" t="inlineStr">
        <is>
          <t>Week1-Jun-2026</t>
        </is>
      </c>
      <c r="D3359" s="78" t="n">
        <v>46174</v>
      </c>
      <c r="E3359" t="inlineStr">
        <is>
          <t>Q1FY27</t>
        </is>
      </c>
      <c r="F3359" t="inlineStr">
        <is>
          <t>30-Mar-2027</t>
        </is>
      </c>
      <c r="G3359" t="inlineStr">
        <is>
          <t>Tuesday</t>
        </is>
      </c>
      <c r="H3359" t="inlineStr">
        <is>
          <t>Monthly - Tuesday</t>
        </is>
      </c>
      <c r="I3359" t="inlineStr">
        <is>
          <t>Monthly - Tuesday</t>
        </is>
      </c>
      <c r="J3359" t="inlineStr">
        <is>
          <t>Month+9 Expiry</t>
        </is>
      </c>
      <c r="K3359" s="25" t="n">
        <v>55</v>
      </c>
      <c r="L3359" s="26" t="n">
        <v>0.1006</v>
      </c>
      <c r="M3359" s="26" t="n">
        <v>0.001</v>
      </c>
    </row>
    <row r="3360" ht="16" customHeight="1">
      <c r="A3360" t="inlineStr">
        <is>
          <t>04-Jun-2026</t>
        </is>
      </c>
      <c r="B3360" t="inlineStr">
        <is>
          <t>Thursday</t>
        </is>
      </c>
      <c r="C3360" t="inlineStr">
        <is>
          <t>Week1-Jun-2026</t>
        </is>
      </c>
      <c r="D3360" s="78" t="n">
        <v>46174</v>
      </c>
      <c r="E3360" t="inlineStr">
        <is>
          <t>Q1FY27</t>
        </is>
      </c>
      <c r="F3360" t="inlineStr">
        <is>
          <t>29-Jun-2027</t>
        </is>
      </c>
      <c r="G3360" t="inlineStr">
        <is>
          <t>Tuesday</t>
        </is>
      </c>
      <c r="H3360" t="inlineStr">
        <is>
          <t>Monthly - Tuesday</t>
        </is>
      </c>
      <c r="I3360" t="inlineStr">
        <is>
          <t>Monthly - Tuesday</t>
        </is>
      </c>
      <c r="J3360" t="inlineStr">
        <is>
          <t>Month+12 Expiry</t>
        </is>
      </c>
      <c r="K3360" s="25" t="n">
        <v>1</v>
      </c>
      <c r="L3360" s="26" t="n">
        <v>0.0014</v>
      </c>
      <c r="M3360" s="26" t="n">
        <v>0</v>
      </c>
    </row>
    <row r="3361" ht="16" customHeight="1">
      <c r="A3361" t="inlineStr">
        <is>
          <t>04-Jun-2026</t>
        </is>
      </c>
      <c r="B3361" t="inlineStr">
        <is>
          <t>Thursday</t>
        </is>
      </c>
      <c r="C3361" t="inlineStr">
        <is>
          <t>Week1-Jun-2026</t>
        </is>
      </c>
      <c r="D3361" s="78" t="n">
        <v>46174</v>
      </c>
      <c r="E3361" t="inlineStr">
        <is>
          <t>Q1FY27</t>
        </is>
      </c>
      <c r="F3361" t="inlineStr">
        <is>
          <t>28-Dec-2027</t>
        </is>
      </c>
      <c r="G3361" t="inlineStr">
        <is>
          <t>Tuesday</t>
        </is>
      </c>
      <c r="H3361" t="inlineStr">
        <is>
          <t>Monthly - Tuesday</t>
        </is>
      </c>
      <c r="I3361" t="inlineStr">
        <is>
          <t>Monthly - Tuesday</t>
        </is>
      </c>
      <c r="J3361" t="inlineStr">
        <is>
          <t>Month+18 Expiry</t>
        </is>
      </c>
      <c r="K3361" s="25" t="n">
        <v>126</v>
      </c>
      <c r="L3361" s="26" t="n">
        <v>0.2251</v>
      </c>
      <c r="M3361" s="26" t="n">
        <v>0.009900000000000001</v>
      </c>
    </row>
    <row r="3362" ht="16" customHeight="1">
      <c r="A3362" t="inlineStr">
        <is>
          <t>04-Jun-2026</t>
        </is>
      </c>
      <c r="B3362" t="inlineStr">
        <is>
          <t>Thursday</t>
        </is>
      </c>
      <c r="C3362" t="inlineStr">
        <is>
          <t>Week1-Jun-2026</t>
        </is>
      </c>
      <c r="D3362" s="78" t="n">
        <v>46174</v>
      </c>
      <c r="E3362" t="inlineStr">
        <is>
          <t>Q1FY27</t>
        </is>
      </c>
      <c r="F3362" t="inlineStr">
        <is>
          <t>27-Jun-2028</t>
        </is>
      </c>
      <c r="G3362" t="inlineStr">
        <is>
          <t>Tuesday</t>
        </is>
      </c>
      <c r="H3362" t="inlineStr">
        <is>
          <t>Monthly - Tuesday</t>
        </is>
      </c>
      <c r="I3362" t="inlineStr">
        <is>
          <t>Monthly - Tuesday</t>
        </is>
      </c>
      <c r="J3362" t="inlineStr">
        <is>
          <t>Month+24 Expiry</t>
        </is>
      </c>
      <c r="K3362" s="25" t="n">
        <v>0</v>
      </c>
      <c r="L3362" s="26" t="n">
        <v>0</v>
      </c>
      <c r="M3362" s="26" t="n">
        <v>0</v>
      </c>
    </row>
    <row r="3363" ht="16" customHeight="1">
      <c r="A3363" t="inlineStr">
        <is>
          <t>04-Jun-2026</t>
        </is>
      </c>
      <c r="B3363" t="inlineStr">
        <is>
          <t>Thursday</t>
        </is>
      </c>
      <c r="C3363" t="inlineStr">
        <is>
          <t>Week1-Jun-2026</t>
        </is>
      </c>
      <c r="D3363" s="78" t="n">
        <v>46174</v>
      </c>
      <c r="E3363" t="inlineStr">
        <is>
          <t>Q1FY27</t>
        </is>
      </c>
      <c r="F3363" t="inlineStr">
        <is>
          <t>26-Dec-2028</t>
        </is>
      </c>
      <c r="G3363" t="inlineStr">
        <is>
          <t>Tuesday</t>
        </is>
      </c>
      <c r="H3363" t="inlineStr">
        <is>
          <t>Monthly - Tuesday</t>
        </is>
      </c>
      <c r="I3363" t="inlineStr">
        <is>
          <t>Monthly - Tuesday</t>
        </is>
      </c>
      <c r="J3363" t="inlineStr">
        <is>
          <t>Month+30 Expiry</t>
        </is>
      </c>
      <c r="K3363" s="25" t="n">
        <v>13</v>
      </c>
      <c r="L3363" s="26" t="n">
        <v>0.0246</v>
      </c>
      <c r="M3363" s="26" t="n">
        <v>0.0017</v>
      </c>
    </row>
    <row r="3364" ht="16" customHeight="1">
      <c r="A3364" t="inlineStr">
        <is>
          <t>04-Jun-2026</t>
        </is>
      </c>
      <c r="B3364" t="inlineStr">
        <is>
          <t>Thursday</t>
        </is>
      </c>
      <c r="C3364" t="inlineStr">
        <is>
          <t>Week1-Jun-2026</t>
        </is>
      </c>
      <c r="D3364" s="78" t="n">
        <v>46174</v>
      </c>
      <c r="E3364" t="inlineStr">
        <is>
          <t>Q1FY27</t>
        </is>
      </c>
      <c r="F3364" t="inlineStr">
        <is>
          <t>26-Jun-2029</t>
        </is>
      </c>
      <c r="G3364" t="inlineStr">
        <is>
          <t>Tuesday</t>
        </is>
      </c>
      <c r="H3364" t="inlineStr">
        <is>
          <t>Monthly - Tuesday</t>
        </is>
      </c>
      <c r="I3364" t="inlineStr">
        <is>
          <t>Monthly - Tuesday</t>
        </is>
      </c>
      <c r="J3364" t="inlineStr">
        <is>
          <t>Month+36 Expiry</t>
        </is>
      </c>
      <c r="K3364" s="25" t="n">
        <v>0</v>
      </c>
      <c r="L3364" s="26" t="n">
        <v>0</v>
      </c>
      <c r="M3364" s="26" t="n">
        <v>0</v>
      </c>
    </row>
    <row r="3365" ht="16" customHeight="1">
      <c r="A3365" t="inlineStr">
        <is>
          <t>04-Jun-2026</t>
        </is>
      </c>
      <c r="B3365" t="inlineStr">
        <is>
          <t>Thursday</t>
        </is>
      </c>
      <c r="C3365" t="inlineStr">
        <is>
          <t>Week1-Jun-2026</t>
        </is>
      </c>
      <c r="D3365" s="78" t="n">
        <v>46174</v>
      </c>
      <c r="E3365" t="inlineStr">
        <is>
          <t>Q1FY27</t>
        </is>
      </c>
      <c r="F3365" t="inlineStr">
        <is>
          <t>24-Dec-2029</t>
        </is>
      </c>
      <c r="G3365" t="inlineStr">
        <is>
          <t>Monday</t>
        </is>
      </c>
      <c r="H3365" t="inlineStr">
        <is>
          <t>Weekly - Monday</t>
        </is>
      </c>
      <c r="I3365" t="inlineStr">
        <is>
          <t>Weekly - Monday</t>
        </is>
      </c>
      <c r="J3365" t="inlineStr">
        <is>
          <t>Month+42 Expiry</t>
        </is>
      </c>
      <c r="K3365" s="25" t="n">
        <v>0</v>
      </c>
      <c r="L3365" s="26" t="n">
        <v>0</v>
      </c>
      <c r="M3365" s="26" t="n">
        <v>0</v>
      </c>
    </row>
    <row r="3366" ht="16" customHeight="1">
      <c r="A3366" t="inlineStr">
        <is>
          <t>04-Jun-2026</t>
        </is>
      </c>
      <c r="B3366" t="inlineStr">
        <is>
          <t>Thursday</t>
        </is>
      </c>
      <c r="C3366" t="inlineStr">
        <is>
          <t>Week1-Jun-2026</t>
        </is>
      </c>
      <c r="D3366" s="78" t="n">
        <v>46174</v>
      </c>
      <c r="E3366" t="inlineStr">
        <is>
          <t>Q1FY27</t>
        </is>
      </c>
      <c r="F3366" t="inlineStr">
        <is>
          <t>25-Jun-2030</t>
        </is>
      </c>
      <c r="G3366" t="inlineStr">
        <is>
          <t>Tuesday</t>
        </is>
      </c>
      <c r="H3366" t="inlineStr">
        <is>
          <t>Monthly - Tuesday</t>
        </is>
      </c>
      <c r="I3366" t="inlineStr">
        <is>
          <t>Monthly - Tuesday</t>
        </is>
      </c>
      <c r="J3366" t="inlineStr">
        <is>
          <t>Month+48 Expiry</t>
        </is>
      </c>
      <c r="K3366" s="25" t="n">
        <v>0</v>
      </c>
      <c r="L3366" s="26" t="n">
        <v>0</v>
      </c>
      <c r="M3366" s="26" t="n">
        <v>0</v>
      </c>
    </row>
    <row r="3367" ht="16" customHeight="1">
      <c r="A3367" t="inlineStr">
        <is>
          <t>04-Jun-2026</t>
        </is>
      </c>
      <c r="B3367" t="inlineStr">
        <is>
          <t>Thursday</t>
        </is>
      </c>
      <c r="C3367" t="inlineStr">
        <is>
          <t>Week1-Jun-2026</t>
        </is>
      </c>
      <c r="D3367" s="78" t="n">
        <v>46174</v>
      </c>
      <c r="E3367" t="inlineStr">
        <is>
          <t>Q1FY27</t>
        </is>
      </c>
      <c r="F3367" t="inlineStr">
        <is>
          <t>31-Dec-2030</t>
        </is>
      </c>
      <c r="G3367" t="inlineStr">
        <is>
          <t>Tuesday</t>
        </is>
      </c>
      <c r="H3367" t="inlineStr">
        <is>
          <t>Monthly - Tuesday</t>
        </is>
      </c>
      <c r="I3367" t="inlineStr">
        <is>
          <t>Monthly - Tuesday</t>
        </is>
      </c>
      <c r="J3367" t="inlineStr">
        <is>
          <t>Month+54 Expiry</t>
        </is>
      </c>
      <c r="K3367" s="25" t="n">
        <v>0</v>
      </c>
      <c r="L3367" s="26" t="n">
        <v>0</v>
      </c>
      <c r="M3367" s="26" t="n">
        <v>0</v>
      </c>
    </row>
    <row r="3368" ht="16" customHeight="1">
      <c r="A3368" t="inlineStr">
        <is>
          <t>05-Jun-2026</t>
        </is>
      </c>
      <c r="B3368" t="inlineStr">
        <is>
          <t>Friday</t>
        </is>
      </c>
      <c r="C3368" t="inlineStr">
        <is>
          <t>Week1-Jun-2026</t>
        </is>
      </c>
      <c r="D3368" s="78" t="n">
        <v>46174</v>
      </c>
      <c r="E3368" t="inlineStr">
        <is>
          <t>Q1FY27</t>
        </is>
      </c>
      <c r="F3368" t="inlineStr">
        <is>
          <t>09-Jun-2026</t>
        </is>
      </c>
      <c r="G3368" t="inlineStr">
        <is>
          <t>Tuesday</t>
        </is>
      </c>
      <c r="H3368" t="inlineStr">
        <is>
          <t>Weekly - Tuesday</t>
        </is>
      </c>
      <c r="I3368" t="inlineStr">
        <is>
          <t>Weekly - Tuesday</t>
        </is>
      </c>
      <c r="J3368" t="inlineStr">
        <is>
          <t>Same Month Expiry</t>
        </is>
      </c>
      <c r="K3368" s="25" t="n">
        <v>113810776</v>
      </c>
      <c r="L3368" s="26" t="n">
        <v>174097.9138</v>
      </c>
      <c r="M3368" s="26" t="n">
        <v>618.8604</v>
      </c>
    </row>
    <row r="3369" ht="16" customHeight="1">
      <c r="A3369" t="inlineStr">
        <is>
          <t>05-Jun-2026</t>
        </is>
      </c>
      <c r="B3369" t="inlineStr">
        <is>
          <t>Friday</t>
        </is>
      </c>
      <c r="C3369" t="inlineStr">
        <is>
          <t>Week1-Jun-2026</t>
        </is>
      </c>
      <c r="D3369" s="78" t="n">
        <v>46174</v>
      </c>
      <c r="E3369" t="inlineStr">
        <is>
          <t>Q1FY27</t>
        </is>
      </c>
      <c r="F3369" t="inlineStr">
        <is>
          <t>16-Jun-2026</t>
        </is>
      </c>
      <c r="G3369" t="inlineStr">
        <is>
          <t>Tuesday</t>
        </is>
      </c>
      <c r="H3369" t="inlineStr">
        <is>
          <t>Weekly - Tuesday</t>
        </is>
      </c>
      <c r="I3369" t="inlineStr">
        <is>
          <t>Weekly - Tuesday</t>
        </is>
      </c>
      <c r="J3369" t="inlineStr">
        <is>
          <t>Same Month Expiry</t>
        </is>
      </c>
      <c r="K3369" s="25" t="n">
        <v>2093522</v>
      </c>
      <c r="L3369" s="26" t="n">
        <v>3206.7006</v>
      </c>
      <c r="M3369" s="26" t="n">
        <v>15.5115</v>
      </c>
    </row>
    <row r="3370" ht="16" customHeight="1">
      <c r="A3370" t="inlineStr">
        <is>
          <t>05-Jun-2026</t>
        </is>
      </c>
      <c r="B3370" t="inlineStr">
        <is>
          <t>Friday</t>
        </is>
      </c>
      <c r="C3370" t="inlineStr">
        <is>
          <t>Week1-Jun-2026</t>
        </is>
      </c>
      <c r="D3370" s="78" t="n">
        <v>46174</v>
      </c>
      <c r="E3370" t="inlineStr">
        <is>
          <t>Q1FY27</t>
        </is>
      </c>
      <c r="F3370" t="inlineStr">
        <is>
          <t>23-Jun-2026</t>
        </is>
      </c>
      <c r="G3370" t="inlineStr">
        <is>
          <t>Tuesday</t>
        </is>
      </c>
      <c r="H3370" t="inlineStr">
        <is>
          <t>Weekly - Tuesday</t>
        </is>
      </c>
      <c r="I3370" t="inlineStr">
        <is>
          <t>Weekly - Tuesday</t>
        </is>
      </c>
      <c r="J3370" t="inlineStr">
        <is>
          <t>Same Month Expiry</t>
        </is>
      </c>
      <c r="K3370" s="25" t="n">
        <v>132836</v>
      </c>
      <c r="L3370" s="26" t="n">
        <v>205.7079</v>
      </c>
      <c r="M3370" s="26" t="n">
        <v>1.2428</v>
      </c>
    </row>
    <row r="3371" ht="16" customHeight="1">
      <c r="A3371" t="inlineStr">
        <is>
          <t>05-Jun-2026</t>
        </is>
      </c>
      <c r="B3371" t="inlineStr">
        <is>
          <t>Friday</t>
        </is>
      </c>
      <c r="C3371" t="inlineStr">
        <is>
          <t>Week1-Jun-2026</t>
        </is>
      </c>
      <c r="D3371" s="78" t="n">
        <v>46174</v>
      </c>
      <c r="E3371" t="inlineStr">
        <is>
          <t>Q1FY27</t>
        </is>
      </c>
      <c r="F3371" t="inlineStr">
        <is>
          <t>30-Jun-2026</t>
        </is>
      </c>
      <c r="G3371" t="inlineStr">
        <is>
          <t>Tuesday</t>
        </is>
      </c>
      <c r="H3371" t="inlineStr">
        <is>
          <t>Monthly - Tuesday</t>
        </is>
      </c>
      <c r="I3371" t="inlineStr">
        <is>
          <t>Monthly - Tuesday</t>
        </is>
      </c>
      <c r="J3371" t="inlineStr">
        <is>
          <t>Same Month Expiry</t>
        </is>
      </c>
      <c r="K3371" s="25" t="n">
        <v>1272888</v>
      </c>
      <c r="L3371" s="26" t="n">
        <v>1975.8021</v>
      </c>
      <c r="M3371" s="26" t="n">
        <v>16.384</v>
      </c>
    </row>
    <row r="3372" ht="16" customHeight="1">
      <c r="A3372" t="inlineStr">
        <is>
          <t>05-Jun-2026</t>
        </is>
      </c>
      <c r="B3372" t="inlineStr">
        <is>
          <t>Friday</t>
        </is>
      </c>
      <c r="C3372" t="inlineStr">
        <is>
          <t>Week1-Jun-2026</t>
        </is>
      </c>
      <c r="D3372" s="78" t="n">
        <v>46174</v>
      </c>
      <c r="E3372" t="inlineStr">
        <is>
          <t>Q1FY27</t>
        </is>
      </c>
      <c r="F3372" t="inlineStr">
        <is>
          <t>07-Jul-2026</t>
        </is>
      </c>
      <c r="G3372" t="inlineStr">
        <is>
          <t>Tuesday</t>
        </is>
      </c>
      <c r="H3372" t="inlineStr">
        <is>
          <t>Weekly - Tuesday</t>
        </is>
      </c>
      <c r="I3372" t="inlineStr">
        <is>
          <t>Weekly - Tuesday</t>
        </is>
      </c>
      <c r="J3372" t="inlineStr">
        <is>
          <t>Month+1 Expiry</t>
        </is>
      </c>
      <c r="K3372" s="25" t="n">
        <v>4837</v>
      </c>
      <c r="L3372" s="26" t="n">
        <v>7.5913</v>
      </c>
      <c r="M3372" s="26" t="n">
        <v>0.047</v>
      </c>
    </row>
    <row r="3373" ht="16" customHeight="1">
      <c r="A3373" t="inlineStr">
        <is>
          <t>05-Jun-2026</t>
        </is>
      </c>
      <c r="B3373" t="inlineStr">
        <is>
          <t>Friday</t>
        </is>
      </c>
      <c r="C3373" t="inlineStr">
        <is>
          <t>Week1-Jun-2026</t>
        </is>
      </c>
      <c r="D3373" s="78" t="n">
        <v>46174</v>
      </c>
      <c r="E3373" t="inlineStr">
        <is>
          <t>Q1FY27</t>
        </is>
      </c>
      <c r="F3373" t="inlineStr">
        <is>
          <t>28-Jul-2026</t>
        </is>
      </c>
      <c r="G3373" t="inlineStr">
        <is>
          <t>Tuesday</t>
        </is>
      </c>
      <c r="H3373" t="inlineStr">
        <is>
          <t>Monthly - Tuesday</t>
        </is>
      </c>
      <c r="I3373" t="inlineStr">
        <is>
          <t>Monthly - Tuesday</t>
        </is>
      </c>
      <c r="J3373" t="inlineStr">
        <is>
          <t>Month+1 Expiry</t>
        </is>
      </c>
      <c r="K3373" s="25" t="n">
        <v>117689</v>
      </c>
      <c r="L3373" s="26" t="n">
        <v>184.0797</v>
      </c>
      <c r="M3373" s="26" t="n">
        <v>1.7717</v>
      </c>
    </row>
    <row r="3374" ht="16" customHeight="1">
      <c r="A3374" t="inlineStr">
        <is>
          <t>05-Jun-2026</t>
        </is>
      </c>
      <c r="B3374" t="inlineStr">
        <is>
          <t>Friday</t>
        </is>
      </c>
      <c r="C3374" t="inlineStr">
        <is>
          <t>Week1-Jun-2026</t>
        </is>
      </c>
      <c r="D3374" s="78" t="n">
        <v>46174</v>
      </c>
      <c r="E3374" t="inlineStr">
        <is>
          <t>Q1FY27</t>
        </is>
      </c>
      <c r="F3374" t="inlineStr">
        <is>
          <t>25-Aug-2026</t>
        </is>
      </c>
      <c r="G3374" t="inlineStr">
        <is>
          <t>Tuesday</t>
        </is>
      </c>
      <c r="H3374" t="inlineStr">
        <is>
          <t>Monthly - Tuesday</t>
        </is>
      </c>
      <c r="I3374" t="inlineStr">
        <is>
          <t>Monthly - Tuesday</t>
        </is>
      </c>
      <c r="J3374" t="inlineStr">
        <is>
          <t>Month+2 Expiry</t>
        </is>
      </c>
      <c r="K3374" s="25" t="n">
        <v>23759</v>
      </c>
      <c r="L3374" s="26" t="n">
        <v>37.3605</v>
      </c>
      <c r="M3374" s="26" t="n">
        <v>0.5076000000000001</v>
      </c>
    </row>
    <row r="3375" ht="16" customHeight="1">
      <c r="A3375" t="inlineStr">
        <is>
          <t>05-Jun-2026</t>
        </is>
      </c>
      <c r="B3375" t="inlineStr">
        <is>
          <t>Friday</t>
        </is>
      </c>
      <c r="C3375" t="inlineStr">
        <is>
          <t>Week1-Jun-2026</t>
        </is>
      </c>
      <c r="D3375" s="78" t="n">
        <v>46174</v>
      </c>
      <c r="E3375" t="inlineStr">
        <is>
          <t>Q1FY27</t>
        </is>
      </c>
      <c r="F3375" t="inlineStr">
        <is>
          <t>29-Sep-2026</t>
        </is>
      </c>
      <c r="G3375" t="inlineStr">
        <is>
          <t>Tuesday</t>
        </is>
      </c>
      <c r="H3375" t="inlineStr">
        <is>
          <t>Monthly - Tuesday</t>
        </is>
      </c>
      <c r="I3375" t="inlineStr">
        <is>
          <t>Monthly - Tuesday</t>
        </is>
      </c>
      <c r="J3375" t="inlineStr">
        <is>
          <t>Month+3 Expiry</t>
        </is>
      </c>
      <c r="K3375" s="25" t="n">
        <v>16856</v>
      </c>
      <c r="L3375" s="26" t="n">
        <v>26.8176</v>
      </c>
      <c r="M3375" s="26" t="n">
        <v>0.3331</v>
      </c>
    </row>
    <row r="3376" ht="16" customHeight="1">
      <c r="A3376" t="inlineStr">
        <is>
          <t>05-Jun-2026</t>
        </is>
      </c>
      <c r="B3376" t="inlineStr">
        <is>
          <t>Friday</t>
        </is>
      </c>
      <c r="C3376" t="inlineStr">
        <is>
          <t>Week1-Jun-2026</t>
        </is>
      </c>
      <c r="D3376" s="78" t="n">
        <v>46174</v>
      </c>
      <c r="E3376" t="inlineStr">
        <is>
          <t>Q1FY27</t>
        </is>
      </c>
      <c r="F3376" t="inlineStr">
        <is>
          <t>29-Dec-2026</t>
        </is>
      </c>
      <c r="G3376" t="inlineStr">
        <is>
          <t>Tuesday</t>
        </is>
      </c>
      <c r="H3376" t="inlineStr">
        <is>
          <t>Monthly - Tuesday</t>
        </is>
      </c>
      <c r="I3376" t="inlineStr">
        <is>
          <t>Monthly - Tuesday</t>
        </is>
      </c>
      <c r="J3376" t="inlineStr">
        <is>
          <t>Month+6 Expiry</t>
        </is>
      </c>
      <c r="K3376" s="25" t="n">
        <v>30341</v>
      </c>
      <c r="L3376" s="26" t="n">
        <v>49.4517</v>
      </c>
      <c r="M3376" s="26" t="n">
        <v>1.244</v>
      </c>
    </row>
    <row r="3377" ht="16" customHeight="1">
      <c r="A3377" t="inlineStr">
        <is>
          <t>05-Jun-2026</t>
        </is>
      </c>
      <c r="B3377" t="inlineStr">
        <is>
          <t>Friday</t>
        </is>
      </c>
      <c r="C3377" t="inlineStr">
        <is>
          <t>Week1-Jun-2026</t>
        </is>
      </c>
      <c r="D3377" s="78" t="n">
        <v>46174</v>
      </c>
      <c r="E3377" t="inlineStr">
        <is>
          <t>Q1FY27</t>
        </is>
      </c>
      <c r="F3377" t="inlineStr">
        <is>
          <t>30-Mar-2027</t>
        </is>
      </c>
      <c r="G3377" t="inlineStr">
        <is>
          <t>Tuesday</t>
        </is>
      </c>
      <c r="H3377" t="inlineStr">
        <is>
          <t>Monthly - Tuesday</t>
        </is>
      </c>
      <c r="I3377" t="inlineStr">
        <is>
          <t>Monthly - Tuesday</t>
        </is>
      </c>
      <c r="J3377" t="inlineStr">
        <is>
          <t>Month+9 Expiry</t>
        </is>
      </c>
      <c r="K3377" s="25" t="n">
        <v>13</v>
      </c>
      <c r="L3377" s="26" t="n">
        <v>0.021</v>
      </c>
      <c r="M3377" s="26" t="n">
        <v>0.0004</v>
      </c>
    </row>
    <row r="3378" ht="16" customHeight="1">
      <c r="A3378" t="inlineStr">
        <is>
          <t>05-Jun-2026</t>
        </is>
      </c>
      <c r="B3378" t="inlineStr">
        <is>
          <t>Friday</t>
        </is>
      </c>
      <c r="C3378" t="inlineStr">
        <is>
          <t>Week1-Jun-2026</t>
        </is>
      </c>
      <c r="D3378" s="78" t="n">
        <v>46174</v>
      </c>
      <c r="E3378" t="inlineStr">
        <is>
          <t>Q1FY27</t>
        </is>
      </c>
      <c r="F3378" t="inlineStr">
        <is>
          <t>29-Jun-2027</t>
        </is>
      </c>
      <c r="G3378" t="inlineStr">
        <is>
          <t>Tuesday</t>
        </is>
      </c>
      <c r="H3378" t="inlineStr">
        <is>
          <t>Monthly - Tuesday</t>
        </is>
      </c>
      <c r="I3378" t="inlineStr">
        <is>
          <t>Monthly - Tuesday</t>
        </is>
      </c>
      <c r="J3378" t="inlineStr">
        <is>
          <t>Month+12 Expiry</t>
        </is>
      </c>
      <c r="K3378" s="25" t="n">
        <v>3</v>
      </c>
      <c r="L3378" s="26" t="n">
        <v>0.0045</v>
      </c>
      <c r="M3378" s="26" t="n">
        <v>0.0001</v>
      </c>
    </row>
    <row r="3379" ht="16" customHeight="1">
      <c r="A3379" t="inlineStr">
        <is>
          <t>05-Jun-2026</t>
        </is>
      </c>
      <c r="B3379" t="inlineStr">
        <is>
          <t>Friday</t>
        </is>
      </c>
      <c r="C3379" t="inlineStr">
        <is>
          <t>Week1-Jun-2026</t>
        </is>
      </c>
      <c r="D3379" s="78" t="n">
        <v>46174</v>
      </c>
      <c r="E3379" t="inlineStr">
        <is>
          <t>Q1FY27</t>
        </is>
      </c>
      <c r="F3379" t="inlineStr">
        <is>
          <t>28-Dec-2027</t>
        </is>
      </c>
      <c r="G3379" t="inlineStr">
        <is>
          <t>Tuesday</t>
        </is>
      </c>
      <c r="H3379" t="inlineStr">
        <is>
          <t>Monthly - Tuesday</t>
        </is>
      </c>
      <c r="I3379" t="inlineStr">
        <is>
          <t>Monthly - Tuesday</t>
        </is>
      </c>
      <c r="J3379" t="inlineStr">
        <is>
          <t>Month+18 Expiry</t>
        </is>
      </c>
      <c r="K3379" s="25" t="n">
        <v>99</v>
      </c>
      <c r="L3379" s="26" t="n">
        <v>0.1677</v>
      </c>
      <c r="M3379" s="26" t="n">
        <v>0.007900000000000001</v>
      </c>
    </row>
    <row r="3380" ht="16" customHeight="1">
      <c r="A3380" t="inlineStr">
        <is>
          <t>05-Jun-2026</t>
        </is>
      </c>
      <c r="B3380" t="inlineStr">
        <is>
          <t>Friday</t>
        </is>
      </c>
      <c r="C3380" t="inlineStr">
        <is>
          <t>Week1-Jun-2026</t>
        </is>
      </c>
      <c r="D3380" s="78" t="n">
        <v>46174</v>
      </c>
      <c r="E3380" t="inlineStr">
        <is>
          <t>Q1FY27</t>
        </is>
      </c>
      <c r="F3380" t="inlineStr">
        <is>
          <t>27-Jun-2028</t>
        </is>
      </c>
      <c r="G3380" t="inlineStr">
        <is>
          <t>Tuesday</t>
        </is>
      </c>
      <c r="H3380" t="inlineStr">
        <is>
          <t>Monthly - Tuesday</t>
        </is>
      </c>
      <c r="I3380" t="inlineStr">
        <is>
          <t>Monthly - Tuesday</t>
        </is>
      </c>
      <c r="J3380" t="inlineStr">
        <is>
          <t>Month+24 Expiry</t>
        </is>
      </c>
      <c r="K3380" s="25" t="n">
        <v>0</v>
      </c>
      <c r="L3380" s="26" t="n">
        <v>0</v>
      </c>
      <c r="M3380" s="26" t="n">
        <v>0</v>
      </c>
    </row>
    <row r="3381" ht="16" customHeight="1">
      <c r="A3381" t="inlineStr">
        <is>
          <t>05-Jun-2026</t>
        </is>
      </c>
      <c r="B3381" t="inlineStr">
        <is>
          <t>Friday</t>
        </is>
      </c>
      <c r="C3381" t="inlineStr">
        <is>
          <t>Week1-Jun-2026</t>
        </is>
      </c>
      <c r="D3381" s="78" t="n">
        <v>46174</v>
      </c>
      <c r="E3381" t="inlineStr">
        <is>
          <t>Q1FY27</t>
        </is>
      </c>
      <c r="F3381" t="inlineStr">
        <is>
          <t>26-Dec-2028</t>
        </is>
      </c>
      <c r="G3381" t="inlineStr">
        <is>
          <t>Tuesday</t>
        </is>
      </c>
      <c r="H3381" t="inlineStr">
        <is>
          <t>Monthly - Tuesday</t>
        </is>
      </c>
      <c r="I3381" t="inlineStr">
        <is>
          <t>Monthly - Tuesday</t>
        </is>
      </c>
      <c r="J3381" t="inlineStr">
        <is>
          <t>Month+30 Expiry</t>
        </is>
      </c>
      <c r="K3381" s="25" t="n">
        <v>4</v>
      </c>
      <c r="L3381" s="26" t="n">
        <v>0.0068</v>
      </c>
      <c r="M3381" s="26" t="n">
        <v>0.0004</v>
      </c>
    </row>
    <row r="3382" ht="16" customHeight="1">
      <c r="A3382" t="inlineStr">
        <is>
          <t>05-Jun-2026</t>
        </is>
      </c>
      <c r="B3382" t="inlineStr">
        <is>
          <t>Friday</t>
        </is>
      </c>
      <c r="C3382" t="inlineStr">
        <is>
          <t>Week1-Jun-2026</t>
        </is>
      </c>
      <c r="D3382" s="78" t="n">
        <v>46174</v>
      </c>
      <c r="E3382" t="inlineStr">
        <is>
          <t>Q1FY27</t>
        </is>
      </c>
      <c r="F3382" t="inlineStr">
        <is>
          <t>26-Jun-2029</t>
        </is>
      </c>
      <c r="G3382" t="inlineStr">
        <is>
          <t>Tuesday</t>
        </is>
      </c>
      <c r="H3382" t="inlineStr">
        <is>
          <t>Monthly - Tuesday</t>
        </is>
      </c>
      <c r="I3382" t="inlineStr">
        <is>
          <t>Monthly - Tuesday</t>
        </is>
      </c>
      <c r="J3382" t="inlineStr">
        <is>
          <t>Month+36 Expiry</t>
        </is>
      </c>
      <c r="K3382" s="25" t="n">
        <v>0</v>
      </c>
      <c r="L3382" s="26" t="n">
        <v>0</v>
      </c>
      <c r="M3382" s="26" t="n">
        <v>0</v>
      </c>
    </row>
    <row r="3383" ht="16" customHeight="1">
      <c r="A3383" t="inlineStr">
        <is>
          <t>05-Jun-2026</t>
        </is>
      </c>
      <c r="B3383" t="inlineStr">
        <is>
          <t>Friday</t>
        </is>
      </c>
      <c r="C3383" t="inlineStr">
        <is>
          <t>Week1-Jun-2026</t>
        </is>
      </c>
      <c r="D3383" s="78" t="n">
        <v>46174</v>
      </c>
      <c r="E3383" t="inlineStr">
        <is>
          <t>Q1FY27</t>
        </is>
      </c>
      <c r="F3383" t="inlineStr">
        <is>
          <t>24-Dec-2029</t>
        </is>
      </c>
      <c r="G3383" t="inlineStr">
        <is>
          <t>Monday</t>
        </is>
      </c>
      <c r="H3383" t="inlineStr">
        <is>
          <t>Weekly - Monday</t>
        </is>
      </c>
      <c r="I3383" t="inlineStr">
        <is>
          <t>Weekly - Monday</t>
        </is>
      </c>
      <c r="J3383" t="inlineStr">
        <is>
          <t>Month+42 Expiry</t>
        </is>
      </c>
      <c r="K3383" s="25" t="n">
        <v>0</v>
      </c>
      <c r="L3383" s="26" t="n">
        <v>0</v>
      </c>
      <c r="M3383" s="26" t="n">
        <v>0</v>
      </c>
    </row>
    <row r="3384" ht="16" customHeight="1">
      <c r="A3384" t="inlineStr">
        <is>
          <t>05-Jun-2026</t>
        </is>
      </c>
      <c r="B3384" t="inlineStr">
        <is>
          <t>Friday</t>
        </is>
      </c>
      <c r="C3384" t="inlineStr">
        <is>
          <t>Week1-Jun-2026</t>
        </is>
      </c>
      <c r="D3384" s="78" t="n">
        <v>46174</v>
      </c>
      <c r="E3384" t="inlineStr">
        <is>
          <t>Q1FY27</t>
        </is>
      </c>
      <c r="F3384" t="inlineStr">
        <is>
          <t>25-Jun-2030</t>
        </is>
      </c>
      <c r="G3384" t="inlineStr">
        <is>
          <t>Tuesday</t>
        </is>
      </c>
      <c r="H3384" t="inlineStr">
        <is>
          <t>Monthly - Tuesday</t>
        </is>
      </c>
      <c r="I3384" t="inlineStr">
        <is>
          <t>Monthly - Tuesday</t>
        </is>
      </c>
      <c r="J3384" t="inlineStr">
        <is>
          <t>Month+48 Expiry</t>
        </is>
      </c>
      <c r="K3384" s="25" t="n">
        <v>0</v>
      </c>
      <c r="L3384" s="26" t="n">
        <v>0</v>
      </c>
      <c r="M3384" s="26" t="n">
        <v>0</v>
      </c>
    </row>
    <row r="3385" ht="16" customHeight="1">
      <c r="A3385" t="inlineStr">
        <is>
          <t>05-Jun-2026</t>
        </is>
      </c>
      <c r="B3385" t="inlineStr">
        <is>
          <t>Friday</t>
        </is>
      </c>
      <c r="C3385" t="inlineStr">
        <is>
          <t>Week1-Jun-2026</t>
        </is>
      </c>
      <c r="D3385" s="78" t="n">
        <v>46174</v>
      </c>
      <c r="E3385" t="inlineStr">
        <is>
          <t>Q1FY27</t>
        </is>
      </c>
      <c r="F3385" t="inlineStr">
        <is>
          <t>31-Dec-2030</t>
        </is>
      </c>
      <c r="G3385" t="inlineStr">
        <is>
          <t>Tuesday</t>
        </is>
      </c>
      <c r="H3385" t="inlineStr">
        <is>
          <t>Monthly - Tuesday</t>
        </is>
      </c>
      <c r="I3385" t="inlineStr">
        <is>
          <t>Monthly - Tuesday</t>
        </is>
      </c>
      <c r="J3385" t="inlineStr">
        <is>
          <t>Month+54 Expiry</t>
        </is>
      </c>
      <c r="K3385" s="25" t="n">
        <v>2</v>
      </c>
      <c r="L3385" s="26" t="n">
        <v>0.0033</v>
      </c>
      <c r="M3385" s="26" t="n">
        <v>0.0002</v>
      </c>
    </row>
    <row r="3386" ht="16" customHeight="1">
      <c r="A3386" t="inlineStr">
        <is>
          <t>08-Jun-2026</t>
        </is>
      </c>
      <c r="B3386" t="inlineStr">
        <is>
          <t>Monday</t>
        </is>
      </c>
      <c r="C3386" t="inlineStr">
        <is>
          <t>Week2-Jun-2026</t>
        </is>
      </c>
      <c r="D3386" s="78" t="n">
        <v>46174</v>
      </c>
      <c r="E3386" t="inlineStr">
        <is>
          <t>Q1FY27</t>
        </is>
      </c>
      <c r="F3386" t="inlineStr">
        <is>
          <t>09-Jun-2026</t>
        </is>
      </c>
      <c r="G3386" t="inlineStr">
        <is>
          <t>Tuesday</t>
        </is>
      </c>
      <c r="H3386" t="inlineStr">
        <is>
          <t>Weekly - Tuesday</t>
        </is>
      </c>
      <c r="I3386" t="inlineStr">
        <is>
          <t>Weekly - Tuesday</t>
        </is>
      </c>
      <c r="J3386" t="inlineStr">
        <is>
          <t>Same Month Expiry</t>
        </is>
      </c>
      <c r="K3386" s="25" t="n">
        <v>130564411</v>
      </c>
      <c r="L3386" s="26" t="n">
        <v>197919.5071</v>
      </c>
      <c r="M3386" s="26" t="n">
        <v>539.8055000000001</v>
      </c>
    </row>
    <row r="3387" ht="16" customHeight="1">
      <c r="A3387" t="inlineStr">
        <is>
          <t>08-Jun-2026</t>
        </is>
      </c>
      <c r="B3387" t="inlineStr">
        <is>
          <t>Monday</t>
        </is>
      </c>
      <c r="C3387" t="inlineStr">
        <is>
          <t>Week2-Jun-2026</t>
        </is>
      </c>
      <c r="D3387" s="78" t="n">
        <v>46174</v>
      </c>
      <c r="E3387" t="inlineStr">
        <is>
          <t>Q1FY27</t>
        </is>
      </c>
      <c r="F3387" t="inlineStr">
        <is>
          <t>16-Jun-2026</t>
        </is>
      </c>
      <c r="G3387" t="inlineStr">
        <is>
          <t>Tuesday</t>
        </is>
      </c>
      <c r="H3387" t="inlineStr">
        <is>
          <t>Weekly - Tuesday</t>
        </is>
      </c>
      <c r="I3387" t="inlineStr">
        <is>
          <t>Weekly - Tuesday</t>
        </is>
      </c>
      <c r="J3387" t="inlineStr">
        <is>
          <t>Same Month Expiry</t>
        </is>
      </c>
      <c r="K3387" s="25" t="n">
        <v>4187000</v>
      </c>
      <c r="L3387" s="26" t="n">
        <v>6379.5873</v>
      </c>
      <c r="M3387" s="26" t="n">
        <v>30.3215</v>
      </c>
    </row>
    <row r="3388" ht="16" customHeight="1">
      <c r="A3388" t="inlineStr">
        <is>
          <t>08-Jun-2026</t>
        </is>
      </c>
      <c r="B3388" t="inlineStr">
        <is>
          <t>Monday</t>
        </is>
      </c>
      <c r="C3388" t="inlineStr">
        <is>
          <t>Week2-Jun-2026</t>
        </is>
      </c>
      <c r="D3388" s="78" t="n">
        <v>46174</v>
      </c>
      <c r="E3388" t="inlineStr">
        <is>
          <t>Q1FY27</t>
        </is>
      </c>
      <c r="F3388" t="inlineStr">
        <is>
          <t>23-Jun-2026</t>
        </is>
      </c>
      <c r="G3388" t="inlineStr">
        <is>
          <t>Tuesday</t>
        </is>
      </c>
      <c r="H3388" t="inlineStr">
        <is>
          <t>Weekly - Tuesday</t>
        </is>
      </c>
      <c r="I3388" t="inlineStr">
        <is>
          <t>Weekly - Tuesday</t>
        </is>
      </c>
      <c r="J3388" t="inlineStr">
        <is>
          <t>Same Month Expiry</t>
        </is>
      </c>
      <c r="K3388" s="25" t="n">
        <v>214530</v>
      </c>
      <c r="L3388" s="26" t="n">
        <v>330.5918</v>
      </c>
      <c r="M3388" s="26" t="n">
        <v>1.8627</v>
      </c>
    </row>
    <row r="3389" ht="16" customHeight="1">
      <c r="A3389" t="inlineStr">
        <is>
          <t>08-Jun-2026</t>
        </is>
      </c>
      <c r="B3389" t="inlineStr">
        <is>
          <t>Monday</t>
        </is>
      </c>
      <c r="C3389" t="inlineStr">
        <is>
          <t>Week2-Jun-2026</t>
        </is>
      </c>
      <c r="D3389" s="78" t="n">
        <v>46174</v>
      </c>
      <c r="E3389" t="inlineStr">
        <is>
          <t>Q1FY27</t>
        </is>
      </c>
      <c r="F3389" t="inlineStr">
        <is>
          <t>30-Jun-2026</t>
        </is>
      </c>
      <c r="G3389" t="inlineStr">
        <is>
          <t>Tuesday</t>
        </is>
      </c>
      <c r="H3389" t="inlineStr">
        <is>
          <t>Monthly - Tuesday</t>
        </is>
      </c>
      <c r="I3389" t="inlineStr">
        <is>
          <t>Monthly - Tuesday</t>
        </is>
      </c>
      <c r="J3389" t="inlineStr">
        <is>
          <t>Same Month Expiry</t>
        </is>
      </c>
      <c r="K3389" s="25" t="n">
        <v>1576878</v>
      </c>
      <c r="L3389" s="26" t="n">
        <v>2434.7518</v>
      </c>
      <c r="M3389" s="26" t="n">
        <v>21.293</v>
      </c>
    </row>
    <row r="3390" ht="16" customHeight="1">
      <c r="A3390" t="inlineStr">
        <is>
          <t>08-Jun-2026</t>
        </is>
      </c>
      <c r="B3390" t="inlineStr">
        <is>
          <t>Monday</t>
        </is>
      </c>
      <c r="C3390" t="inlineStr">
        <is>
          <t>Week2-Jun-2026</t>
        </is>
      </c>
      <c r="D3390" s="78" t="n">
        <v>46174</v>
      </c>
      <c r="E3390" t="inlineStr">
        <is>
          <t>Q1FY27</t>
        </is>
      </c>
      <c r="F3390" t="inlineStr">
        <is>
          <t>07-Jul-2026</t>
        </is>
      </c>
      <c r="G3390" t="inlineStr">
        <is>
          <t>Tuesday</t>
        </is>
      </c>
      <c r="H3390" t="inlineStr">
        <is>
          <t>Weekly - Tuesday</t>
        </is>
      </c>
      <c r="I3390" t="inlineStr">
        <is>
          <t>Weekly - Tuesday</t>
        </is>
      </c>
      <c r="J3390" t="inlineStr">
        <is>
          <t>Month+1 Expiry</t>
        </is>
      </c>
      <c r="K3390" s="25" t="n">
        <v>7276</v>
      </c>
      <c r="L3390" s="26" t="n">
        <v>11.3534</v>
      </c>
      <c r="M3390" s="26" t="n">
        <v>0.0862</v>
      </c>
    </row>
    <row r="3391" ht="16" customHeight="1">
      <c r="A3391" t="inlineStr">
        <is>
          <t>08-Jun-2026</t>
        </is>
      </c>
      <c r="B3391" t="inlineStr">
        <is>
          <t>Monday</t>
        </is>
      </c>
      <c r="C3391" t="inlineStr">
        <is>
          <t>Week2-Jun-2026</t>
        </is>
      </c>
      <c r="D3391" s="78" t="n">
        <v>46174</v>
      </c>
      <c r="E3391" t="inlineStr">
        <is>
          <t>Q1FY27</t>
        </is>
      </c>
      <c r="F3391" t="inlineStr">
        <is>
          <t>28-Jul-2026</t>
        </is>
      </c>
      <c r="G3391" t="inlineStr">
        <is>
          <t>Tuesday</t>
        </is>
      </c>
      <c r="H3391" t="inlineStr">
        <is>
          <t>Monthly - Tuesday</t>
        </is>
      </c>
      <c r="I3391" t="inlineStr">
        <is>
          <t>Monthly - Tuesday</t>
        </is>
      </c>
      <c r="J3391" t="inlineStr">
        <is>
          <t>Month+1 Expiry</t>
        </is>
      </c>
      <c r="K3391" s="25" t="n">
        <v>192181</v>
      </c>
      <c r="L3391" s="26" t="n">
        <v>298.2044</v>
      </c>
      <c r="M3391" s="26" t="n">
        <v>3.3019</v>
      </c>
    </row>
    <row r="3392" ht="16" customHeight="1">
      <c r="A3392" t="inlineStr">
        <is>
          <t>08-Jun-2026</t>
        </is>
      </c>
      <c r="B3392" t="inlineStr">
        <is>
          <t>Monday</t>
        </is>
      </c>
      <c r="C3392" t="inlineStr">
        <is>
          <t>Week2-Jun-2026</t>
        </is>
      </c>
      <c r="D3392" s="78" t="n">
        <v>46174</v>
      </c>
      <c r="E3392" t="inlineStr">
        <is>
          <t>Q1FY27</t>
        </is>
      </c>
      <c r="F3392" t="inlineStr">
        <is>
          <t>25-Aug-2026</t>
        </is>
      </c>
      <c r="G3392" t="inlineStr">
        <is>
          <t>Tuesday</t>
        </is>
      </c>
      <c r="H3392" t="inlineStr">
        <is>
          <t>Monthly - Tuesday</t>
        </is>
      </c>
      <c r="I3392" t="inlineStr">
        <is>
          <t>Monthly - Tuesday</t>
        </is>
      </c>
      <c r="J3392" t="inlineStr">
        <is>
          <t>Month+2 Expiry</t>
        </is>
      </c>
      <c r="K3392" s="25" t="n">
        <v>32422</v>
      </c>
      <c r="L3392" s="26" t="n">
        <v>50.7846</v>
      </c>
      <c r="M3392" s="26" t="n">
        <v>0.7581</v>
      </c>
    </row>
    <row r="3393" ht="16" customHeight="1">
      <c r="A3393" t="inlineStr">
        <is>
          <t>08-Jun-2026</t>
        </is>
      </c>
      <c r="B3393" t="inlineStr">
        <is>
          <t>Monday</t>
        </is>
      </c>
      <c r="C3393" t="inlineStr">
        <is>
          <t>Week2-Jun-2026</t>
        </is>
      </c>
      <c r="D3393" s="78" t="n">
        <v>46174</v>
      </c>
      <c r="E3393" t="inlineStr">
        <is>
          <t>Q1FY27</t>
        </is>
      </c>
      <c r="F3393" t="inlineStr">
        <is>
          <t>29-Sep-2026</t>
        </is>
      </c>
      <c r="G3393" t="inlineStr">
        <is>
          <t>Tuesday</t>
        </is>
      </c>
      <c r="H3393" t="inlineStr">
        <is>
          <t>Monthly - Tuesday</t>
        </is>
      </c>
      <c r="I3393" t="inlineStr">
        <is>
          <t>Monthly - Tuesday</t>
        </is>
      </c>
      <c r="J3393" t="inlineStr">
        <is>
          <t>Month+3 Expiry</t>
        </is>
      </c>
      <c r="K3393" s="25" t="n">
        <v>30301</v>
      </c>
      <c r="L3393" s="26" t="n">
        <v>47.0418</v>
      </c>
      <c r="M3393" s="26" t="n">
        <v>0.5897</v>
      </c>
    </row>
    <row r="3394" ht="16" customHeight="1">
      <c r="A3394" t="inlineStr">
        <is>
          <t>08-Jun-2026</t>
        </is>
      </c>
      <c r="B3394" t="inlineStr">
        <is>
          <t>Monday</t>
        </is>
      </c>
      <c r="C3394" t="inlineStr">
        <is>
          <t>Week2-Jun-2026</t>
        </is>
      </c>
      <c r="D3394" s="78" t="n">
        <v>46174</v>
      </c>
      <c r="E3394" t="inlineStr">
        <is>
          <t>Q1FY27</t>
        </is>
      </c>
      <c r="F3394" t="inlineStr">
        <is>
          <t>29-Dec-2026</t>
        </is>
      </c>
      <c r="G3394" t="inlineStr">
        <is>
          <t>Tuesday</t>
        </is>
      </c>
      <c r="H3394" t="inlineStr">
        <is>
          <t>Monthly - Tuesday</t>
        </is>
      </c>
      <c r="I3394" t="inlineStr">
        <is>
          <t>Monthly - Tuesday</t>
        </is>
      </c>
      <c r="J3394" t="inlineStr">
        <is>
          <t>Month+6 Expiry</t>
        </is>
      </c>
      <c r="K3394" s="25" t="n">
        <v>84756</v>
      </c>
      <c r="L3394" s="26" t="n">
        <v>138.7589</v>
      </c>
      <c r="M3394" s="26" t="n">
        <v>3.5986</v>
      </c>
    </row>
    <row r="3395" ht="16" customHeight="1">
      <c r="A3395" t="inlineStr">
        <is>
          <t>08-Jun-2026</t>
        </is>
      </c>
      <c r="B3395" t="inlineStr">
        <is>
          <t>Monday</t>
        </is>
      </c>
      <c r="C3395" t="inlineStr">
        <is>
          <t>Week2-Jun-2026</t>
        </is>
      </c>
      <c r="D3395" s="78" t="n">
        <v>46174</v>
      </c>
      <c r="E3395" t="inlineStr">
        <is>
          <t>Q1FY27</t>
        </is>
      </c>
      <c r="F3395" t="inlineStr">
        <is>
          <t>30-Mar-2027</t>
        </is>
      </c>
      <c r="G3395" t="inlineStr">
        <is>
          <t>Tuesday</t>
        </is>
      </c>
      <c r="H3395" t="inlineStr">
        <is>
          <t>Monthly - Tuesday</t>
        </is>
      </c>
      <c r="I3395" t="inlineStr">
        <is>
          <t>Monthly - Tuesday</t>
        </is>
      </c>
      <c r="J3395" t="inlineStr">
        <is>
          <t>Month+9 Expiry</t>
        </is>
      </c>
      <c r="K3395" s="25" t="n">
        <v>7</v>
      </c>
      <c r="L3395" s="26" t="n">
        <v>0.0121</v>
      </c>
      <c r="M3395" s="26" t="n">
        <v>0.0002</v>
      </c>
    </row>
    <row r="3396" ht="16" customHeight="1">
      <c r="A3396" t="inlineStr">
        <is>
          <t>08-Jun-2026</t>
        </is>
      </c>
      <c r="B3396" t="inlineStr">
        <is>
          <t>Monday</t>
        </is>
      </c>
      <c r="C3396" t="inlineStr">
        <is>
          <t>Week2-Jun-2026</t>
        </is>
      </c>
      <c r="D3396" s="78" t="n">
        <v>46174</v>
      </c>
      <c r="E3396" t="inlineStr">
        <is>
          <t>Q1FY27</t>
        </is>
      </c>
      <c r="F3396" t="inlineStr">
        <is>
          <t>29-Jun-2027</t>
        </is>
      </c>
      <c r="G3396" t="inlineStr">
        <is>
          <t>Tuesday</t>
        </is>
      </c>
      <c r="H3396" t="inlineStr">
        <is>
          <t>Monthly - Tuesday</t>
        </is>
      </c>
      <c r="I3396" t="inlineStr">
        <is>
          <t>Monthly - Tuesday</t>
        </is>
      </c>
      <c r="J3396" t="inlineStr">
        <is>
          <t>Month+12 Expiry</t>
        </is>
      </c>
      <c r="K3396" s="25" t="n">
        <v>3</v>
      </c>
      <c r="L3396" s="26" t="n">
        <v>0.0043</v>
      </c>
      <c r="M3396" s="26" t="n">
        <v>0.0001</v>
      </c>
    </row>
    <row r="3397" ht="16" customHeight="1">
      <c r="A3397" t="inlineStr">
        <is>
          <t>08-Jun-2026</t>
        </is>
      </c>
      <c r="B3397" t="inlineStr">
        <is>
          <t>Monday</t>
        </is>
      </c>
      <c r="C3397" t="inlineStr">
        <is>
          <t>Week2-Jun-2026</t>
        </is>
      </c>
      <c r="D3397" s="78" t="n">
        <v>46174</v>
      </c>
      <c r="E3397" t="inlineStr">
        <is>
          <t>Q1FY27</t>
        </is>
      </c>
      <c r="F3397" t="inlineStr">
        <is>
          <t>28-Dec-2027</t>
        </is>
      </c>
      <c r="G3397" t="inlineStr">
        <is>
          <t>Tuesday</t>
        </is>
      </c>
      <c r="H3397" t="inlineStr">
        <is>
          <t>Monthly - Tuesday</t>
        </is>
      </c>
      <c r="I3397" t="inlineStr">
        <is>
          <t>Monthly - Tuesday</t>
        </is>
      </c>
      <c r="J3397" t="inlineStr">
        <is>
          <t>Month+18 Expiry</t>
        </is>
      </c>
      <c r="K3397" s="25" t="n">
        <v>331</v>
      </c>
      <c r="L3397" s="26" t="n">
        <v>0.5619</v>
      </c>
      <c r="M3397" s="26" t="n">
        <v>0.0249</v>
      </c>
    </row>
    <row r="3398" ht="16" customHeight="1">
      <c r="A3398" t="inlineStr">
        <is>
          <t>08-Jun-2026</t>
        </is>
      </c>
      <c r="B3398" t="inlineStr">
        <is>
          <t>Monday</t>
        </is>
      </c>
      <c r="C3398" t="inlineStr">
        <is>
          <t>Week2-Jun-2026</t>
        </is>
      </c>
      <c r="D3398" s="78" t="n">
        <v>46174</v>
      </c>
      <c r="E3398" t="inlineStr">
        <is>
          <t>Q1FY27</t>
        </is>
      </c>
      <c r="F3398" t="inlineStr">
        <is>
          <t>27-Jun-2028</t>
        </is>
      </c>
      <c r="G3398" t="inlineStr">
        <is>
          <t>Tuesday</t>
        </is>
      </c>
      <c r="H3398" t="inlineStr">
        <is>
          <t>Monthly - Tuesday</t>
        </is>
      </c>
      <c r="I3398" t="inlineStr">
        <is>
          <t>Monthly - Tuesday</t>
        </is>
      </c>
      <c r="J3398" t="inlineStr">
        <is>
          <t>Month+24 Expiry</t>
        </is>
      </c>
      <c r="K3398" s="25" t="n">
        <v>0</v>
      </c>
      <c r="L3398" s="26" t="n">
        <v>0</v>
      </c>
      <c r="M3398" s="26" t="n">
        <v>0</v>
      </c>
    </row>
    <row r="3399" ht="16" customHeight="1">
      <c r="A3399" t="inlineStr">
        <is>
          <t>08-Jun-2026</t>
        </is>
      </c>
      <c r="B3399" t="inlineStr">
        <is>
          <t>Monday</t>
        </is>
      </c>
      <c r="C3399" t="inlineStr">
        <is>
          <t>Week2-Jun-2026</t>
        </is>
      </c>
      <c r="D3399" s="78" t="n">
        <v>46174</v>
      </c>
      <c r="E3399" t="inlineStr">
        <is>
          <t>Q1FY27</t>
        </is>
      </c>
      <c r="F3399" t="inlineStr">
        <is>
          <t>26-Dec-2028</t>
        </is>
      </c>
      <c r="G3399" t="inlineStr">
        <is>
          <t>Tuesday</t>
        </is>
      </c>
      <c r="H3399" t="inlineStr">
        <is>
          <t>Monthly - Tuesday</t>
        </is>
      </c>
      <c r="I3399" t="inlineStr">
        <is>
          <t>Monthly - Tuesday</t>
        </is>
      </c>
      <c r="J3399" t="inlineStr">
        <is>
          <t>Month+30 Expiry</t>
        </is>
      </c>
      <c r="K3399" s="25" t="n">
        <v>19</v>
      </c>
      <c r="L3399" s="26" t="n">
        <v>0.0353</v>
      </c>
      <c r="M3399" s="26" t="n">
        <v>0.0025</v>
      </c>
    </row>
    <row r="3400" ht="16" customHeight="1">
      <c r="A3400" t="inlineStr">
        <is>
          <t>08-Jun-2026</t>
        </is>
      </c>
      <c r="B3400" t="inlineStr">
        <is>
          <t>Monday</t>
        </is>
      </c>
      <c r="C3400" t="inlineStr">
        <is>
          <t>Week2-Jun-2026</t>
        </is>
      </c>
      <c r="D3400" s="78" t="n">
        <v>46174</v>
      </c>
      <c r="E3400" t="inlineStr">
        <is>
          <t>Q1FY27</t>
        </is>
      </c>
      <c r="F3400" t="inlineStr">
        <is>
          <t>26-Jun-2029</t>
        </is>
      </c>
      <c r="G3400" t="inlineStr">
        <is>
          <t>Tuesday</t>
        </is>
      </c>
      <c r="H3400" t="inlineStr">
        <is>
          <t>Monthly - Tuesday</t>
        </is>
      </c>
      <c r="I3400" t="inlineStr">
        <is>
          <t>Monthly - Tuesday</t>
        </is>
      </c>
      <c r="J3400" t="inlineStr">
        <is>
          <t>Month+36 Expiry</t>
        </is>
      </c>
      <c r="K3400" s="25" t="n">
        <v>0</v>
      </c>
      <c r="L3400" s="26" t="n">
        <v>0</v>
      </c>
      <c r="M3400" s="26" t="n">
        <v>0</v>
      </c>
    </row>
    <row r="3401" ht="16" customHeight="1">
      <c r="A3401" t="inlineStr">
        <is>
          <t>08-Jun-2026</t>
        </is>
      </c>
      <c r="B3401" t="inlineStr">
        <is>
          <t>Monday</t>
        </is>
      </c>
      <c r="C3401" t="inlineStr">
        <is>
          <t>Week2-Jun-2026</t>
        </is>
      </c>
      <c r="D3401" s="78" t="n">
        <v>46174</v>
      </c>
      <c r="E3401" t="inlineStr">
        <is>
          <t>Q1FY27</t>
        </is>
      </c>
      <c r="F3401" t="inlineStr">
        <is>
          <t>24-Dec-2029</t>
        </is>
      </c>
      <c r="G3401" t="inlineStr">
        <is>
          <t>Monday</t>
        </is>
      </c>
      <c r="H3401" t="inlineStr">
        <is>
          <t>Weekly - Monday</t>
        </is>
      </c>
      <c r="I3401" t="inlineStr">
        <is>
          <t>Weekly - Monday</t>
        </is>
      </c>
      <c r="J3401" t="inlineStr">
        <is>
          <t>Month+42 Expiry</t>
        </is>
      </c>
      <c r="K3401" s="25" t="n">
        <v>2</v>
      </c>
      <c r="L3401" s="26" t="n">
        <v>0.004</v>
      </c>
      <c r="M3401" s="26" t="n">
        <v>0.0003</v>
      </c>
    </row>
    <row r="3402" ht="16" customHeight="1">
      <c r="A3402" t="inlineStr">
        <is>
          <t>08-Jun-2026</t>
        </is>
      </c>
      <c r="B3402" t="inlineStr">
        <is>
          <t>Monday</t>
        </is>
      </c>
      <c r="C3402" t="inlineStr">
        <is>
          <t>Week2-Jun-2026</t>
        </is>
      </c>
      <c r="D3402" s="78" t="n">
        <v>46174</v>
      </c>
      <c r="E3402" t="inlineStr">
        <is>
          <t>Q1FY27</t>
        </is>
      </c>
      <c r="F3402" t="inlineStr">
        <is>
          <t>25-Jun-2030</t>
        </is>
      </c>
      <c r="G3402" t="inlineStr">
        <is>
          <t>Tuesday</t>
        </is>
      </c>
      <c r="H3402" t="inlineStr">
        <is>
          <t>Monthly - Tuesday</t>
        </is>
      </c>
      <c r="I3402" t="inlineStr">
        <is>
          <t>Monthly - Tuesday</t>
        </is>
      </c>
      <c r="J3402" t="inlineStr">
        <is>
          <t>Month+48 Expiry</t>
        </is>
      </c>
      <c r="K3402" s="25" t="n">
        <v>0</v>
      </c>
      <c r="L3402" s="26" t="n">
        <v>0</v>
      </c>
      <c r="M3402" s="26" t="n">
        <v>0</v>
      </c>
    </row>
    <row r="3403" ht="16" customHeight="1">
      <c r="A3403" t="inlineStr">
        <is>
          <t>08-Jun-2026</t>
        </is>
      </c>
      <c r="B3403" t="inlineStr">
        <is>
          <t>Monday</t>
        </is>
      </c>
      <c r="C3403" t="inlineStr">
        <is>
          <t>Week2-Jun-2026</t>
        </is>
      </c>
      <c r="D3403" s="78" t="n">
        <v>46174</v>
      </c>
      <c r="E3403" t="inlineStr">
        <is>
          <t>Q1FY27</t>
        </is>
      </c>
      <c r="F3403" t="inlineStr">
        <is>
          <t>31-Dec-2030</t>
        </is>
      </c>
      <c r="G3403" t="inlineStr">
        <is>
          <t>Tuesday</t>
        </is>
      </c>
      <c r="H3403" t="inlineStr">
        <is>
          <t>Monthly - Tuesday</t>
        </is>
      </c>
      <c r="I3403" t="inlineStr">
        <is>
          <t>Monthly - Tuesday</t>
        </is>
      </c>
      <c r="J3403" t="inlineStr">
        <is>
          <t>Month+54 Expiry</t>
        </is>
      </c>
      <c r="K3403" s="25" t="n">
        <v>0</v>
      </c>
      <c r="L3403" s="26" t="n">
        <v>0</v>
      </c>
      <c r="M3403" s="26" t="n">
        <v>0</v>
      </c>
    </row>
    <row r="3404" ht="16" customHeight="1">
      <c r="A3404" t="inlineStr">
        <is>
          <t>09-Jun-2026</t>
        </is>
      </c>
      <c r="B3404" t="inlineStr">
        <is>
          <t>Tuesday</t>
        </is>
      </c>
      <c r="C3404" t="inlineStr">
        <is>
          <t>Week2-Jun-2026</t>
        </is>
      </c>
      <c r="D3404" s="78" t="n">
        <v>46174</v>
      </c>
      <c r="E3404" t="inlineStr">
        <is>
          <t>Q1FY27</t>
        </is>
      </c>
      <c r="F3404" t="inlineStr">
        <is>
          <t>09-Jun-2026</t>
        </is>
      </c>
      <c r="G3404" t="inlineStr">
        <is>
          <t>Tuesday</t>
        </is>
      </c>
      <c r="H3404" t="inlineStr">
        <is>
          <t>Weekly - Tuesday</t>
        </is>
      </c>
      <c r="I3404" t="inlineStr">
        <is>
          <t>Weekly - Tuesday</t>
        </is>
      </c>
      <c r="J3404" t="inlineStr">
        <is>
          <t>Same Month Expiry</t>
        </is>
      </c>
      <c r="K3404" s="25" t="n">
        <v>399409155</v>
      </c>
      <c r="L3404" s="26" t="n">
        <v>603432.3401</v>
      </c>
      <c r="M3404" s="26" t="n">
        <v>616.6887</v>
      </c>
    </row>
    <row r="3405" ht="16" customHeight="1">
      <c r="A3405" t="inlineStr">
        <is>
          <t>09-Jun-2026</t>
        </is>
      </c>
      <c r="B3405" t="inlineStr">
        <is>
          <t>Tuesday</t>
        </is>
      </c>
      <c r="C3405" t="inlineStr">
        <is>
          <t>Week2-Jun-2026</t>
        </is>
      </c>
      <c r="D3405" s="78" t="n">
        <v>46174</v>
      </c>
      <c r="E3405" t="inlineStr">
        <is>
          <t>Q1FY27</t>
        </is>
      </c>
      <c r="F3405" t="inlineStr">
        <is>
          <t>16-Jun-2026</t>
        </is>
      </c>
      <c r="G3405" t="inlineStr">
        <is>
          <t>Tuesday</t>
        </is>
      </c>
      <c r="H3405" t="inlineStr">
        <is>
          <t>Weekly - Tuesday</t>
        </is>
      </c>
      <c r="I3405" t="inlineStr">
        <is>
          <t>Weekly - Tuesday</t>
        </is>
      </c>
      <c r="J3405" t="inlineStr">
        <is>
          <t>Same Month Expiry</t>
        </is>
      </c>
      <c r="K3405" s="25" t="n">
        <v>9814301</v>
      </c>
      <c r="L3405" s="26" t="n">
        <v>14894.7975</v>
      </c>
      <c r="M3405" s="26" t="n">
        <v>57.8892</v>
      </c>
    </row>
    <row r="3406" ht="16" customHeight="1">
      <c r="A3406" t="inlineStr">
        <is>
          <t>09-Jun-2026</t>
        </is>
      </c>
      <c r="B3406" t="inlineStr">
        <is>
          <t>Tuesday</t>
        </is>
      </c>
      <c r="C3406" t="inlineStr">
        <is>
          <t>Week2-Jun-2026</t>
        </is>
      </c>
      <c r="D3406" s="78" t="n">
        <v>46174</v>
      </c>
      <c r="E3406" t="inlineStr">
        <is>
          <t>Q1FY27</t>
        </is>
      </c>
      <c r="F3406" t="inlineStr">
        <is>
          <t>23-Jun-2026</t>
        </is>
      </c>
      <c r="G3406" t="inlineStr">
        <is>
          <t>Tuesday</t>
        </is>
      </c>
      <c r="H3406" t="inlineStr">
        <is>
          <t>Weekly - Tuesday</t>
        </is>
      </c>
      <c r="I3406" t="inlineStr">
        <is>
          <t>Weekly - Tuesday</t>
        </is>
      </c>
      <c r="J3406" t="inlineStr">
        <is>
          <t>Same Month Expiry</t>
        </is>
      </c>
      <c r="K3406" s="25" t="n">
        <v>300380</v>
      </c>
      <c r="L3406" s="26" t="n">
        <v>458.6149</v>
      </c>
      <c r="M3406" s="26" t="n">
        <v>2.1721</v>
      </c>
    </row>
    <row r="3407" ht="16" customHeight="1">
      <c r="A3407" t="inlineStr">
        <is>
          <t>09-Jun-2026</t>
        </is>
      </c>
      <c r="B3407" t="inlineStr">
        <is>
          <t>Tuesday</t>
        </is>
      </c>
      <c r="C3407" t="inlineStr">
        <is>
          <t>Week2-Jun-2026</t>
        </is>
      </c>
      <c r="D3407" s="78" t="n">
        <v>46174</v>
      </c>
      <c r="E3407" t="inlineStr">
        <is>
          <t>Q1FY27</t>
        </is>
      </c>
      <c r="F3407" t="inlineStr">
        <is>
          <t>30-Jun-2026</t>
        </is>
      </c>
      <c r="G3407" t="inlineStr">
        <is>
          <t>Tuesday</t>
        </is>
      </c>
      <c r="H3407" t="inlineStr">
        <is>
          <t>Monthly - Tuesday</t>
        </is>
      </c>
      <c r="I3407" t="inlineStr">
        <is>
          <t>Monthly - Tuesday</t>
        </is>
      </c>
      <c r="J3407" t="inlineStr">
        <is>
          <t>Same Month Expiry</t>
        </is>
      </c>
      <c r="K3407" s="25" t="n">
        <v>1297666</v>
      </c>
      <c r="L3407" s="26" t="n">
        <v>1994.1511</v>
      </c>
      <c r="M3407" s="26" t="n">
        <v>16.5911</v>
      </c>
    </row>
    <row r="3408" ht="16" customHeight="1">
      <c r="A3408" t="inlineStr">
        <is>
          <t>09-Jun-2026</t>
        </is>
      </c>
      <c r="B3408" t="inlineStr">
        <is>
          <t>Tuesday</t>
        </is>
      </c>
      <c r="C3408" t="inlineStr">
        <is>
          <t>Week2-Jun-2026</t>
        </is>
      </c>
      <c r="D3408" s="78" t="n">
        <v>46174</v>
      </c>
      <c r="E3408" t="inlineStr">
        <is>
          <t>Q1FY27</t>
        </is>
      </c>
      <c r="F3408" t="inlineStr">
        <is>
          <t>07-Jul-2026</t>
        </is>
      </c>
      <c r="G3408" t="inlineStr">
        <is>
          <t>Tuesday</t>
        </is>
      </c>
      <c r="H3408" t="inlineStr">
        <is>
          <t>Weekly - Tuesday</t>
        </is>
      </c>
      <c r="I3408" t="inlineStr">
        <is>
          <t>Weekly - Tuesday</t>
        </is>
      </c>
      <c r="J3408" t="inlineStr">
        <is>
          <t>Month+1 Expiry</t>
        </is>
      </c>
      <c r="K3408" s="25" t="n">
        <v>8850</v>
      </c>
      <c r="L3408" s="26" t="n">
        <v>13.7536</v>
      </c>
      <c r="M3408" s="26" t="n">
        <v>0.0818</v>
      </c>
    </row>
    <row r="3409" ht="16" customHeight="1">
      <c r="A3409" t="inlineStr">
        <is>
          <t>09-Jun-2026</t>
        </is>
      </c>
      <c r="B3409" t="inlineStr">
        <is>
          <t>Tuesday</t>
        </is>
      </c>
      <c r="C3409" t="inlineStr">
        <is>
          <t>Week2-Jun-2026</t>
        </is>
      </c>
      <c r="D3409" s="78" t="n">
        <v>46174</v>
      </c>
      <c r="E3409" t="inlineStr">
        <is>
          <t>Q1FY27</t>
        </is>
      </c>
      <c r="F3409" t="inlineStr">
        <is>
          <t>28-Jul-2026</t>
        </is>
      </c>
      <c r="G3409" t="inlineStr">
        <is>
          <t>Tuesday</t>
        </is>
      </c>
      <c r="H3409" t="inlineStr">
        <is>
          <t>Monthly - Tuesday</t>
        </is>
      </c>
      <c r="I3409" t="inlineStr">
        <is>
          <t>Monthly - Tuesday</t>
        </is>
      </c>
      <c r="J3409" t="inlineStr">
        <is>
          <t>Month+1 Expiry</t>
        </is>
      </c>
      <c r="K3409" s="25" t="n">
        <v>127450</v>
      </c>
      <c r="L3409" s="26" t="n">
        <v>198.8133</v>
      </c>
      <c r="M3409" s="26" t="n">
        <v>2.0133</v>
      </c>
    </row>
    <row r="3410" ht="16" customHeight="1">
      <c r="A3410" t="inlineStr">
        <is>
          <t>09-Jun-2026</t>
        </is>
      </c>
      <c r="B3410" t="inlineStr">
        <is>
          <t>Tuesday</t>
        </is>
      </c>
      <c r="C3410" t="inlineStr">
        <is>
          <t>Week2-Jun-2026</t>
        </is>
      </c>
      <c r="D3410" s="78" t="n">
        <v>46174</v>
      </c>
      <c r="E3410" t="inlineStr">
        <is>
          <t>Q1FY27</t>
        </is>
      </c>
      <c r="F3410" t="inlineStr">
        <is>
          <t>25-Aug-2026</t>
        </is>
      </c>
      <c r="G3410" t="inlineStr">
        <is>
          <t>Tuesday</t>
        </is>
      </c>
      <c r="H3410" t="inlineStr">
        <is>
          <t>Monthly - Tuesday</t>
        </is>
      </c>
      <c r="I3410" t="inlineStr">
        <is>
          <t>Monthly - Tuesday</t>
        </is>
      </c>
      <c r="J3410" t="inlineStr">
        <is>
          <t>Month+2 Expiry</t>
        </is>
      </c>
      <c r="K3410" s="25" t="n">
        <v>20718</v>
      </c>
      <c r="L3410" s="26" t="n">
        <v>32.2167</v>
      </c>
      <c r="M3410" s="26" t="n">
        <v>0.4428</v>
      </c>
    </row>
    <row r="3411" ht="16" customHeight="1">
      <c r="A3411" t="inlineStr">
        <is>
          <t>09-Jun-2026</t>
        </is>
      </c>
      <c r="B3411" t="inlineStr">
        <is>
          <t>Tuesday</t>
        </is>
      </c>
      <c r="C3411" t="inlineStr">
        <is>
          <t>Week2-Jun-2026</t>
        </is>
      </c>
      <c r="D3411" s="78" t="n">
        <v>46174</v>
      </c>
      <c r="E3411" t="inlineStr">
        <is>
          <t>Q1FY27</t>
        </is>
      </c>
      <c r="F3411" t="inlineStr">
        <is>
          <t>29-Sep-2026</t>
        </is>
      </c>
      <c r="G3411" t="inlineStr">
        <is>
          <t>Tuesday</t>
        </is>
      </c>
      <c r="H3411" t="inlineStr">
        <is>
          <t>Monthly - Tuesday</t>
        </is>
      </c>
      <c r="I3411" t="inlineStr">
        <is>
          <t>Monthly - Tuesday</t>
        </is>
      </c>
      <c r="J3411" t="inlineStr">
        <is>
          <t>Month+3 Expiry</t>
        </is>
      </c>
      <c r="K3411" s="25" t="n">
        <v>23497</v>
      </c>
      <c r="L3411" s="26" t="n">
        <v>37.4728</v>
      </c>
      <c r="M3411" s="26" t="n">
        <v>0.3528</v>
      </c>
    </row>
    <row r="3412" ht="16" customHeight="1">
      <c r="A3412" t="inlineStr">
        <is>
          <t>09-Jun-2026</t>
        </is>
      </c>
      <c r="B3412" t="inlineStr">
        <is>
          <t>Tuesday</t>
        </is>
      </c>
      <c r="C3412" t="inlineStr">
        <is>
          <t>Week2-Jun-2026</t>
        </is>
      </c>
      <c r="D3412" s="78" t="n">
        <v>46174</v>
      </c>
      <c r="E3412" t="inlineStr">
        <is>
          <t>Q1FY27</t>
        </is>
      </c>
      <c r="F3412" t="inlineStr">
        <is>
          <t>29-Dec-2026</t>
        </is>
      </c>
      <c r="G3412" t="inlineStr">
        <is>
          <t>Tuesday</t>
        </is>
      </c>
      <c r="H3412" t="inlineStr">
        <is>
          <t>Monthly - Tuesday</t>
        </is>
      </c>
      <c r="I3412" t="inlineStr">
        <is>
          <t>Monthly - Tuesday</t>
        </is>
      </c>
      <c r="J3412" t="inlineStr">
        <is>
          <t>Month+6 Expiry</t>
        </is>
      </c>
      <c r="K3412" s="25" t="n">
        <v>55099</v>
      </c>
      <c r="L3412" s="26" t="n">
        <v>91.3485</v>
      </c>
      <c r="M3412" s="26" t="n">
        <v>2.1838</v>
      </c>
    </row>
    <row r="3413" ht="16" customHeight="1">
      <c r="A3413" t="inlineStr">
        <is>
          <t>09-Jun-2026</t>
        </is>
      </c>
      <c r="B3413" t="inlineStr">
        <is>
          <t>Tuesday</t>
        </is>
      </c>
      <c r="C3413" t="inlineStr">
        <is>
          <t>Week2-Jun-2026</t>
        </is>
      </c>
      <c r="D3413" s="78" t="n">
        <v>46174</v>
      </c>
      <c r="E3413" t="inlineStr">
        <is>
          <t>Q1FY27</t>
        </is>
      </c>
      <c r="F3413" t="inlineStr">
        <is>
          <t>30-Mar-2027</t>
        </is>
      </c>
      <c r="G3413" t="inlineStr">
        <is>
          <t>Tuesday</t>
        </is>
      </c>
      <c r="H3413" t="inlineStr">
        <is>
          <t>Monthly - Tuesday</t>
        </is>
      </c>
      <c r="I3413" t="inlineStr">
        <is>
          <t>Monthly - Tuesday</t>
        </is>
      </c>
      <c r="J3413" t="inlineStr">
        <is>
          <t>Month+9 Expiry</t>
        </is>
      </c>
      <c r="K3413" s="25" t="n">
        <v>27</v>
      </c>
      <c r="L3413" s="26" t="n">
        <v>0.0473</v>
      </c>
      <c r="M3413" s="26" t="n">
        <v>0.0005</v>
      </c>
    </row>
    <row r="3414" ht="16" customHeight="1">
      <c r="A3414" t="inlineStr">
        <is>
          <t>09-Jun-2026</t>
        </is>
      </c>
      <c r="B3414" t="inlineStr">
        <is>
          <t>Tuesday</t>
        </is>
      </c>
      <c r="C3414" t="inlineStr">
        <is>
          <t>Week2-Jun-2026</t>
        </is>
      </c>
      <c r="D3414" s="78" t="n">
        <v>46174</v>
      </c>
      <c r="E3414" t="inlineStr">
        <is>
          <t>Q1FY27</t>
        </is>
      </c>
      <c r="F3414" t="inlineStr">
        <is>
          <t>29-Jun-2027</t>
        </is>
      </c>
      <c r="G3414" t="inlineStr">
        <is>
          <t>Tuesday</t>
        </is>
      </c>
      <c r="H3414" t="inlineStr">
        <is>
          <t>Monthly - Tuesday</t>
        </is>
      </c>
      <c r="I3414" t="inlineStr">
        <is>
          <t>Monthly - Tuesday</t>
        </is>
      </c>
      <c r="J3414" t="inlineStr">
        <is>
          <t>Month+12 Expiry</t>
        </is>
      </c>
      <c r="K3414" s="25" t="n">
        <v>3</v>
      </c>
      <c r="L3414" s="26" t="n">
        <v>0.0051</v>
      </c>
      <c r="M3414" s="26" t="n">
        <v>0.0004</v>
      </c>
    </row>
    <row r="3415" ht="16" customHeight="1">
      <c r="A3415" t="inlineStr">
        <is>
          <t>09-Jun-2026</t>
        </is>
      </c>
      <c r="B3415" t="inlineStr">
        <is>
          <t>Tuesday</t>
        </is>
      </c>
      <c r="C3415" t="inlineStr">
        <is>
          <t>Week2-Jun-2026</t>
        </is>
      </c>
      <c r="D3415" s="78" t="n">
        <v>46174</v>
      </c>
      <c r="E3415" t="inlineStr">
        <is>
          <t>Q1FY27</t>
        </is>
      </c>
      <c r="F3415" t="inlineStr">
        <is>
          <t>28-Dec-2027</t>
        </is>
      </c>
      <c r="G3415" t="inlineStr">
        <is>
          <t>Tuesday</t>
        </is>
      </c>
      <c r="H3415" t="inlineStr">
        <is>
          <t>Monthly - Tuesday</t>
        </is>
      </c>
      <c r="I3415" t="inlineStr">
        <is>
          <t>Monthly - Tuesday</t>
        </is>
      </c>
      <c r="J3415" t="inlineStr">
        <is>
          <t>Month+18 Expiry</t>
        </is>
      </c>
      <c r="K3415" s="25" t="n">
        <v>319</v>
      </c>
      <c r="L3415" s="26" t="n">
        <v>0.5672</v>
      </c>
      <c r="M3415" s="26" t="n">
        <v>0.0276</v>
      </c>
    </row>
    <row r="3416" ht="16" customHeight="1">
      <c r="A3416" t="inlineStr">
        <is>
          <t>09-Jun-2026</t>
        </is>
      </c>
      <c r="B3416" t="inlineStr">
        <is>
          <t>Tuesday</t>
        </is>
      </c>
      <c r="C3416" t="inlineStr">
        <is>
          <t>Week2-Jun-2026</t>
        </is>
      </c>
      <c r="D3416" s="78" t="n">
        <v>46174</v>
      </c>
      <c r="E3416" t="inlineStr">
        <is>
          <t>Q1FY27</t>
        </is>
      </c>
      <c r="F3416" t="inlineStr">
        <is>
          <t>27-Jun-2028</t>
        </is>
      </c>
      <c r="G3416" t="inlineStr">
        <is>
          <t>Tuesday</t>
        </is>
      </c>
      <c r="H3416" t="inlineStr">
        <is>
          <t>Monthly - Tuesday</t>
        </is>
      </c>
      <c r="I3416" t="inlineStr">
        <is>
          <t>Monthly - Tuesday</t>
        </is>
      </c>
      <c r="J3416" t="inlineStr">
        <is>
          <t>Month+24 Expiry</t>
        </is>
      </c>
      <c r="K3416" s="25" t="n">
        <v>0</v>
      </c>
      <c r="L3416" s="26" t="n">
        <v>0</v>
      </c>
      <c r="M3416" s="26" t="n">
        <v>0</v>
      </c>
    </row>
    <row r="3417" ht="16" customHeight="1">
      <c r="A3417" t="inlineStr">
        <is>
          <t>09-Jun-2026</t>
        </is>
      </c>
      <c r="B3417" t="inlineStr">
        <is>
          <t>Tuesday</t>
        </is>
      </c>
      <c r="C3417" t="inlineStr">
        <is>
          <t>Week2-Jun-2026</t>
        </is>
      </c>
      <c r="D3417" s="78" t="n">
        <v>46174</v>
      </c>
      <c r="E3417" t="inlineStr">
        <is>
          <t>Q1FY27</t>
        </is>
      </c>
      <c r="F3417" t="inlineStr">
        <is>
          <t>26-Dec-2028</t>
        </is>
      </c>
      <c r="G3417" t="inlineStr">
        <is>
          <t>Tuesday</t>
        </is>
      </c>
      <c r="H3417" t="inlineStr">
        <is>
          <t>Monthly - Tuesday</t>
        </is>
      </c>
      <c r="I3417" t="inlineStr">
        <is>
          <t>Monthly - Tuesday</t>
        </is>
      </c>
      <c r="J3417" t="inlineStr">
        <is>
          <t>Month+30 Expiry</t>
        </is>
      </c>
      <c r="K3417" s="25" t="n">
        <v>0</v>
      </c>
      <c r="L3417" s="26" t="n">
        <v>0</v>
      </c>
      <c r="M3417" s="26" t="n">
        <v>0</v>
      </c>
    </row>
    <row r="3418" ht="16" customHeight="1">
      <c r="A3418" t="inlineStr">
        <is>
          <t>09-Jun-2026</t>
        </is>
      </c>
      <c r="B3418" t="inlineStr">
        <is>
          <t>Tuesday</t>
        </is>
      </c>
      <c r="C3418" t="inlineStr">
        <is>
          <t>Week2-Jun-2026</t>
        </is>
      </c>
      <c r="D3418" s="78" t="n">
        <v>46174</v>
      </c>
      <c r="E3418" t="inlineStr">
        <is>
          <t>Q1FY27</t>
        </is>
      </c>
      <c r="F3418" t="inlineStr">
        <is>
          <t>26-Jun-2029</t>
        </is>
      </c>
      <c r="G3418" t="inlineStr">
        <is>
          <t>Tuesday</t>
        </is>
      </c>
      <c r="H3418" t="inlineStr">
        <is>
          <t>Monthly - Tuesday</t>
        </is>
      </c>
      <c r="I3418" t="inlineStr">
        <is>
          <t>Monthly - Tuesday</t>
        </is>
      </c>
      <c r="J3418" t="inlineStr">
        <is>
          <t>Month+36 Expiry</t>
        </is>
      </c>
      <c r="K3418" s="25" t="n">
        <v>0</v>
      </c>
      <c r="L3418" s="26" t="n">
        <v>0</v>
      </c>
      <c r="M3418" s="26" t="n">
        <v>0</v>
      </c>
    </row>
    <row r="3419" ht="16" customHeight="1">
      <c r="A3419" t="inlineStr">
        <is>
          <t>09-Jun-2026</t>
        </is>
      </c>
      <c r="B3419" t="inlineStr">
        <is>
          <t>Tuesday</t>
        </is>
      </c>
      <c r="C3419" t="inlineStr">
        <is>
          <t>Week2-Jun-2026</t>
        </is>
      </c>
      <c r="D3419" s="78" t="n">
        <v>46174</v>
      </c>
      <c r="E3419" t="inlineStr">
        <is>
          <t>Q1FY27</t>
        </is>
      </c>
      <c r="F3419" t="inlineStr">
        <is>
          <t>24-Dec-2029</t>
        </is>
      </c>
      <c r="G3419" t="inlineStr">
        <is>
          <t>Monday</t>
        </is>
      </c>
      <c r="H3419" t="inlineStr">
        <is>
          <t>Weekly - Monday</t>
        </is>
      </c>
      <c r="I3419" t="inlineStr">
        <is>
          <t>Weekly - Monday</t>
        </is>
      </c>
      <c r="J3419" t="inlineStr">
        <is>
          <t>Month+42 Expiry</t>
        </is>
      </c>
      <c r="K3419" s="25" t="n">
        <v>0</v>
      </c>
      <c r="L3419" s="26" t="n">
        <v>0</v>
      </c>
      <c r="M3419" s="26" t="n">
        <v>0</v>
      </c>
    </row>
    <row r="3420" ht="16" customHeight="1">
      <c r="A3420" t="inlineStr">
        <is>
          <t>09-Jun-2026</t>
        </is>
      </c>
      <c r="B3420" t="inlineStr">
        <is>
          <t>Tuesday</t>
        </is>
      </c>
      <c r="C3420" t="inlineStr">
        <is>
          <t>Week2-Jun-2026</t>
        </is>
      </c>
      <c r="D3420" s="78" t="n">
        <v>46174</v>
      </c>
      <c r="E3420" t="inlineStr">
        <is>
          <t>Q1FY27</t>
        </is>
      </c>
      <c r="F3420" t="inlineStr">
        <is>
          <t>25-Jun-2030</t>
        </is>
      </c>
      <c r="G3420" t="inlineStr">
        <is>
          <t>Tuesday</t>
        </is>
      </c>
      <c r="H3420" t="inlineStr">
        <is>
          <t>Monthly - Tuesday</t>
        </is>
      </c>
      <c r="I3420" t="inlineStr">
        <is>
          <t>Monthly - Tuesday</t>
        </is>
      </c>
      <c r="J3420" t="inlineStr">
        <is>
          <t>Month+48 Expiry</t>
        </is>
      </c>
      <c r="K3420" s="25" t="n">
        <v>0</v>
      </c>
      <c r="L3420" s="26" t="n">
        <v>0</v>
      </c>
      <c r="M3420" s="26" t="n">
        <v>0</v>
      </c>
    </row>
    <row r="3421" ht="16" customHeight="1">
      <c r="A3421" t="inlineStr">
        <is>
          <t>09-Jun-2026</t>
        </is>
      </c>
      <c r="B3421" t="inlineStr">
        <is>
          <t>Tuesday</t>
        </is>
      </c>
      <c r="C3421" t="inlineStr">
        <is>
          <t>Week2-Jun-2026</t>
        </is>
      </c>
      <c r="D3421" s="78" t="n">
        <v>46174</v>
      </c>
      <c r="E3421" t="inlineStr">
        <is>
          <t>Q1FY27</t>
        </is>
      </c>
      <c r="F3421" t="inlineStr">
        <is>
          <t>31-Dec-2030</t>
        </is>
      </c>
      <c r="G3421" t="inlineStr">
        <is>
          <t>Tuesday</t>
        </is>
      </c>
      <c r="H3421" t="inlineStr">
        <is>
          <t>Monthly - Tuesday</t>
        </is>
      </c>
      <c r="I3421" t="inlineStr">
        <is>
          <t>Monthly - Tuesday</t>
        </is>
      </c>
      <c r="J3421" t="inlineStr">
        <is>
          <t>Month+54 Expiry</t>
        </is>
      </c>
      <c r="K3421" s="25" t="n">
        <v>0</v>
      </c>
      <c r="L3421" s="26" t="n">
        <v>0</v>
      </c>
      <c r="M3421" s="26" t="n">
        <v>0</v>
      </c>
    </row>
    <row r="3422" ht="16" customHeight="1">
      <c r="A3422" t="inlineStr">
        <is>
          <t>10-Jun-2026</t>
        </is>
      </c>
      <c r="B3422" t="inlineStr">
        <is>
          <t>Wednesday</t>
        </is>
      </c>
      <c r="C3422" t="inlineStr">
        <is>
          <t>Week2-Jun-2026</t>
        </is>
      </c>
      <c r="D3422" s="78" t="n">
        <v>46174</v>
      </c>
      <c r="E3422" t="inlineStr">
        <is>
          <t>Q1FY27</t>
        </is>
      </c>
      <c r="F3422" t="inlineStr">
        <is>
          <t>16-Jun-2026</t>
        </is>
      </c>
      <c r="G3422" t="inlineStr">
        <is>
          <t>Tuesday</t>
        </is>
      </c>
      <c r="H3422" t="inlineStr">
        <is>
          <t>Weekly - Tuesday</t>
        </is>
      </c>
      <c r="I3422" t="inlineStr">
        <is>
          <t>Weekly - Tuesday</t>
        </is>
      </c>
      <c r="J3422" t="inlineStr">
        <is>
          <t>Same Month Expiry</t>
        </is>
      </c>
      <c r="K3422" s="25" t="n">
        <v>45522631</v>
      </c>
      <c r="L3422" s="26" t="n">
        <v>69387.5644</v>
      </c>
      <c r="M3422" s="26" t="n">
        <v>313.4674</v>
      </c>
    </row>
    <row r="3423" ht="16" customHeight="1">
      <c r="A3423" t="inlineStr">
        <is>
          <t>10-Jun-2026</t>
        </is>
      </c>
      <c r="B3423" t="inlineStr">
        <is>
          <t>Wednesday</t>
        </is>
      </c>
      <c r="C3423" t="inlineStr">
        <is>
          <t>Week2-Jun-2026</t>
        </is>
      </c>
      <c r="D3423" s="78" t="n">
        <v>46174</v>
      </c>
      <c r="E3423" t="inlineStr">
        <is>
          <t>Q1FY27</t>
        </is>
      </c>
      <c r="F3423" t="inlineStr">
        <is>
          <t>23-Jun-2026</t>
        </is>
      </c>
      <c r="G3423" t="inlineStr">
        <is>
          <t>Tuesday</t>
        </is>
      </c>
      <c r="H3423" t="inlineStr">
        <is>
          <t>Weekly - Tuesday</t>
        </is>
      </c>
      <c r="I3423" t="inlineStr">
        <is>
          <t>Weekly - Tuesday</t>
        </is>
      </c>
      <c r="J3423" t="inlineStr">
        <is>
          <t>Same Month Expiry</t>
        </is>
      </c>
      <c r="K3423" s="25" t="n">
        <v>881454</v>
      </c>
      <c r="L3423" s="26" t="n">
        <v>1344.8153</v>
      </c>
      <c r="M3423" s="26" t="n">
        <v>7.0363</v>
      </c>
    </row>
    <row r="3424" ht="16" customHeight="1">
      <c r="A3424" t="inlineStr">
        <is>
          <t>10-Jun-2026</t>
        </is>
      </c>
      <c r="B3424" t="inlineStr">
        <is>
          <t>Wednesday</t>
        </is>
      </c>
      <c r="C3424" t="inlineStr">
        <is>
          <t>Week2-Jun-2026</t>
        </is>
      </c>
      <c r="D3424" s="78" t="n">
        <v>46174</v>
      </c>
      <c r="E3424" t="inlineStr">
        <is>
          <t>Q1FY27</t>
        </is>
      </c>
      <c r="F3424" t="inlineStr">
        <is>
          <t>30-Jun-2026</t>
        </is>
      </c>
      <c r="G3424" t="inlineStr">
        <is>
          <t>Tuesday</t>
        </is>
      </c>
      <c r="H3424" t="inlineStr">
        <is>
          <t>Monthly - Tuesday</t>
        </is>
      </c>
      <c r="I3424" t="inlineStr">
        <is>
          <t>Monthly - Tuesday</t>
        </is>
      </c>
      <c r="J3424" t="inlineStr">
        <is>
          <t>Same Month Expiry</t>
        </is>
      </c>
      <c r="K3424" s="25" t="n">
        <v>1384603</v>
      </c>
      <c r="L3424" s="26" t="n">
        <v>2129.0467</v>
      </c>
      <c r="M3424" s="26" t="n">
        <v>16.8247</v>
      </c>
    </row>
    <row r="3425" ht="16" customHeight="1">
      <c r="A3425" t="inlineStr">
        <is>
          <t>10-Jun-2026</t>
        </is>
      </c>
      <c r="B3425" t="inlineStr">
        <is>
          <t>Wednesday</t>
        </is>
      </c>
      <c r="C3425" t="inlineStr">
        <is>
          <t>Week2-Jun-2026</t>
        </is>
      </c>
      <c r="D3425" s="78" t="n">
        <v>46174</v>
      </c>
      <c r="E3425" t="inlineStr">
        <is>
          <t>Q1FY27</t>
        </is>
      </c>
      <c r="F3425" t="inlineStr">
        <is>
          <t>07-Jul-2026</t>
        </is>
      </c>
      <c r="G3425" t="inlineStr">
        <is>
          <t>Tuesday</t>
        </is>
      </c>
      <c r="H3425" t="inlineStr">
        <is>
          <t>Weekly - Tuesday</t>
        </is>
      </c>
      <c r="I3425" t="inlineStr">
        <is>
          <t>Weekly - Tuesday</t>
        </is>
      </c>
      <c r="J3425" t="inlineStr">
        <is>
          <t>Month+1 Expiry</t>
        </is>
      </c>
      <c r="K3425" s="25" t="n">
        <v>16063</v>
      </c>
      <c r="L3425" s="26" t="n">
        <v>24.867</v>
      </c>
      <c r="M3425" s="26" t="n">
        <v>0.21</v>
      </c>
    </row>
    <row r="3426" ht="16" customHeight="1">
      <c r="A3426" t="inlineStr">
        <is>
          <t>10-Jun-2026</t>
        </is>
      </c>
      <c r="B3426" t="inlineStr">
        <is>
          <t>Wednesday</t>
        </is>
      </c>
      <c r="C3426" t="inlineStr">
        <is>
          <t>Week2-Jun-2026</t>
        </is>
      </c>
      <c r="D3426" s="78" t="n">
        <v>46174</v>
      </c>
      <c r="E3426" t="inlineStr">
        <is>
          <t>Q1FY27</t>
        </is>
      </c>
      <c r="F3426" t="inlineStr">
        <is>
          <t>14-Jul-2026</t>
        </is>
      </c>
      <c r="G3426" t="inlineStr">
        <is>
          <t>Tuesday</t>
        </is>
      </c>
      <c r="H3426" t="inlineStr">
        <is>
          <t>Weekly - Tuesday</t>
        </is>
      </c>
      <c r="I3426" t="inlineStr">
        <is>
          <t>Weekly - Tuesday</t>
        </is>
      </c>
      <c r="J3426" t="inlineStr">
        <is>
          <t>Month+1 Expiry</t>
        </is>
      </c>
      <c r="K3426" s="25" t="n">
        <v>676</v>
      </c>
      <c r="L3426" s="26" t="n">
        <v>1.0521</v>
      </c>
      <c r="M3426" s="26" t="n">
        <v>0.0126</v>
      </c>
    </row>
    <row r="3427" ht="16" customHeight="1">
      <c r="A3427" t="inlineStr">
        <is>
          <t>10-Jun-2026</t>
        </is>
      </c>
      <c r="B3427" t="inlineStr">
        <is>
          <t>Wednesday</t>
        </is>
      </c>
      <c r="C3427" t="inlineStr">
        <is>
          <t>Week2-Jun-2026</t>
        </is>
      </c>
      <c r="D3427" s="78" t="n">
        <v>46174</v>
      </c>
      <c r="E3427" t="inlineStr">
        <is>
          <t>Q1FY27</t>
        </is>
      </c>
      <c r="F3427" t="inlineStr">
        <is>
          <t>28-Jul-2026</t>
        </is>
      </c>
      <c r="G3427" t="inlineStr">
        <is>
          <t>Tuesday</t>
        </is>
      </c>
      <c r="H3427" t="inlineStr">
        <is>
          <t>Monthly - Tuesday</t>
        </is>
      </c>
      <c r="I3427" t="inlineStr">
        <is>
          <t>Monthly - Tuesday</t>
        </is>
      </c>
      <c r="J3427" t="inlineStr">
        <is>
          <t>Month+1 Expiry</t>
        </is>
      </c>
      <c r="K3427" s="25" t="n">
        <v>159729</v>
      </c>
      <c r="L3427" s="26" t="n">
        <v>247.4703</v>
      </c>
      <c r="M3427" s="26" t="n">
        <v>2.4874</v>
      </c>
    </row>
    <row r="3428" ht="16" customHeight="1">
      <c r="A3428" t="inlineStr">
        <is>
          <t>10-Jun-2026</t>
        </is>
      </c>
      <c r="B3428" t="inlineStr">
        <is>
          <t>Wednesday</t>
        </is>
      </c>
      <c r="C3428" t="inlineStr">
        <is>
          <t>Week2-Jun-2026</t>
        </is>
      </c>
      <c r="D3428" s="78" t="n">
        <v>46174</v>
      </c>
      <c r="E3428" t="inlineStr">
        <is>
          <t>Q1FY27</t>
        </is>
      </c>
      <c r="F3428" t="inlineStr">
        <is>
          <t>25-Aug-2026</t>
        </is>
      </c>
      <c r="G3428" t="inlineStr">
        <is>
          <t>Tuesday</t>
        </is>
      </c>
      <c r="H3428" t="inlineStr">
        <is>
          <t>Monthly - Tuesday</t>
        </is>
      </c>
      <c r="I3428" t="inlineStr">
        <is>
          <t>Monthly - Tuesday</t>
        </is>
      </c>
      <c r="J3428" t="inlineStr">
        <is>
          <t>Month+2 Expiry</t>
        </is>
      </c>
      <c r="K3428" s="25" t="n">
        <v>33666</v>
      </c>
      <c r="L3428" s="26" t="n">
        <v>53.334</v>
      </c>
      <c r="M3428" s="26" t="n">
        <v>0.5111</v>
      </c>
    </row>
    <row r="3429" ht="16" customHeight="1">
      <c r="A3429" t="inlineStr">
        <is>
          <t>10-Jun-2026</t>
        </is>
      </c>
      <c r="B3429" t="inlineStr">
        <is>
          <t>Wednesday</t>
        </is>
      </c>
      <c r="C3429" t="inlineStr">
        <is>
          <t>Week2-Jun-2026</t>
        </is>
      </c>
      <c r="D3429" s="78" t="n">
        <v>46174</v>
      </c>
      <c r="E3429" t="inlineStr">
        <is>
          <t>Q1FY27</t>
        </is>
      </c>
      <c r="F3429" t="inlineStr">
        <is>
          <t>29-Sep-2026</t>
        </is>
      </c>
      <c r="G3429" t="inlineStr">
        <is>
          <t>Tuesday</t>
        </is>
      </c>
      <c r="H3429" t="inlineStr">
        <is>
          <t>Monthly - Tuesday</t>
        </is>
      </c>
      <c r="I3429" t="inlineStr">
        <is>
          <t>Monthly - Tuesday</t>
        </is>
      </c>
      <c r="J3429" t="inlineStr">
        <is>
          <t>Month+3 Expiry</t>
        </is>
      </c>
      <c r="K3429" s="25" t="n">
        <v>29568</v>
      </c>
      <c r="L3429" s="26" t="n">
        <v>46.5082</v>
      </c>
      <c r="M3429" s="26" t="n">
        <v>0.4856</v>
      </c>
    </row>
    <row r="3430" ht="16" customHeight="1">
      <c r="A3430" t="inlineStr">
        <is>
          <t>10-Jun-2026</t>
        </is>
      </c>
      <c r="B3430" t="inlineStr">
        <is>
          <t>Wednesday</t>
        </is>
      </c>
      <c r="C3430" t="inlineStr">
        <is>
          <t>Week2-Jun-2026</t>
        </is>
      </c>
      <c r="D3430" s="78" t="n">
        <v>46174</v>
      </c>
      <c r="E3430" t="inlineStr">
        <is>
          <t>Q1FY27</t>
        </is>
      </c>
      <c r="F3430" t="inlineStr">
        <is>
          <t>29-Dec-2026</t>
        </is>
      </c>
      <c r="G3430" t="inlineStr">
        <is>
          <t>Tuesday</t>
        </is>
      </c>
      <c r="H3430" t="inlineStr">
        <is>
          <t>Monthly - Tuesday</t>
        </is>
      </c>
      <c r="I3430" t="inlineStr">
        <is>
          <t>Monthly - Tuesday</t>
        </is>
      </c>
      <c r="J3430" t="inlineStr">
        <is>
          <t>Month+6 Expiry</t>
        </is>
      </c>
      <c r="K3430" s="25" t="n">
        <v>36691</v>
      </c>
      <c r="L3430" s="26" t="n">
        <v>58.8338</v>
      </c>
      <c r="M3430" s="26" t="n">
        <v>1.6991</v>
      </c>
    </row>
    <row r="3431" ht="16" customHeight="1">
      <c r="A3431" t="inlineStr">
        <is>
          <t>10-Jun-2026</t>
        </is>
      </c>
      <c r="B3431" t="inlineStr">
        <is>
          <t>Wednesday</t>
        </is>
      </c>
      <c r="C3431" t="inlineStr">
        <is>
          <t>Week2-Jun-2026</t>
        </is>
      </c>
      <c r="D3431" s="78" t="n">
        <v>46174</v>
      </c>
      <c r="E3431" t="inlineStr">
        <is>
          <t>Q1FY27</t>
        </is>
      </c>
      <c r="F3431" t="inlineStr">
        <is>
          <t>30-Mar-2027</t>
        </is>
      </c>
      <c r="G3431" t="inlineStr">
        <is>
          <t>Tuesday</t>
        </is>
      </c>
      <c r="H3431" t="inlineStr">
        <is>
          <t>Monthly - Tuesday</t>
        </is>
      </c>
      <c r="I3431" t="inlineStr">
        <is>
          <t>Monthly - Tuesday</t>
        </is>
      </c>
      <c r="J3431" t="inlineStr">
        <is>
          <t>Month+9 Expiry</t>
        </is>
      </c>
      <c r="K3431" s="25" t="n">
        <v>39</v>
      </c>
      <c r="L3431" s="26" t="n">
        <v>0.06710000000000001</v>
      </c>
      <c r="M3431" s="26" t="n">
        <v>0.0005999999999999999</v>
      </c>
    </row>
    <row r="3432" ht="16" customHeight="1">
      <c r="A3432" t="inlineStr">
        <is>
          <t>10-Jun-2026</t>
        </is>
      </c>
      <c r="B3432" t="inlineStr">
        <is>
          <t>Wednesday</t>
        </is>
      </c>
      <c r="C3432" t="inlineStr">
        <is>
          <t>Week2-Jun-2026</t>
        </is>
      </c>
      <c r="D3432" s="78" t="n">
        <v>46174</v>
      </c>
      <c r="E3432" t="inlineStr">
        <is>
          <t>Q1FY27</t>
        </is>
      </c>
      <c r="F3432" t="inlineStr">
        <is>
          <t>29-Jun-2027</t>
        </is>
      </c>
      <c r="G3432" t="inlineStr">
        <is>
          <t>Tuesday</t>
        </is>
      </c>
      <c r="H3432" t="inlineStr">
        <is>
          <t>Monthly - Tuesday</t>
        </is>
      </c>
      <c r="I3432" t="inlineStr">
        <is>
          <t>Monthly - Tuesday</t>
        </is>
      </c>
      <c r="J3432" t="inlineStr">
        <is>
          <t>Month+12 Expiry</t>
        </is>
      </c>
      <c r="K3432" s="25" t="n">
        <v>0</v>
      </c>
      <c r="L3432" s="26" t="n">
        <v>0</v>
      </c>
      <c r="M3432" s="26" t="n">
        <v>0</v>
      </c>
    </row>
    <row r="3433" ht="16" customHeight="1">
      <c r="A3433" t="inlineStr">
        <is>
          <t>10-Jun-2026</t>
        </is>
      </c>
      <c r="B3433" t="inlineStr">
        <is>
          <t>Wednesday</t>
        </is>
      </c>
      <c r="C3433" t="inlineStr">
        <is>
          <t>Week2-Jun-2026</t>
        </is>
      </c>
      <c r="D3433" s="78" t="n">
        <v>46174</v>
      </c>
      <c r="E3433" t="inlineStr">
        <is>
          <t>Q1FY27</t>
        </is>
      </c>
      <c r="F3433" t="inlineStr">
        <is>
          <t>28-Dec-2027</t>
        </is>
      </c>
      <c r="G3433" t="inlineStr">
        <is>
          <t>Tuesday</t>
        </is>
      </c>
      <c r="H3433" t="inlineStr">
        <is>
          <t>Monthly - Tuesday</t>
        </is>
      </c>
      <c r="I3433" t="inlineStr">
        <is>
          <t>Monthly - Tuesday</t>
        </is>
      </c>
      <c r="J3433" t="inlineStr">
        <is>
          <t>Month+18 Expiry</t>
        </is>
      </c>
      <c r="K3433" s="25" t="n">
        <v>322</v>
      </c>
      <c r="L3433" s="26" t="n">
        <v>0.5789</v>
      </c>
      <c r="M3433" s="26" t="n">
        <v>0.0212</v>
      </c>
    </row>
    <row r="3434" ht="16" customHeight="1">
      <c r="A3434" t="inlineStr">
        <is>
          <t>10-Jun-2026</t>
        </is>
      </c>
      <c r="B3434" t="inlineStr">
        <is>
          <t>Wednesday</t>
        </is>
      </c>
      <c r="C3434" t="inlineStr">
        <is>
          <t>Week2-Jun-2026</t>
        </is>
      </c>
      <c r="D3434" s="78" t="n">
        <v>46174</v>
      </c>
      <c r="E3434" t="inlineStr">
        <is>
          <t>Q1FY27</t>
        </is>
      </c>
      <c r="F3434" t="inlineStr">
        <is>
          <t>27-Jun-2028</t>
        </is>
      </c>
      <c r="G3434" t="inlineStr">
        <is>
          <t>Tuesday</t>
        </is>
      </c>
      <c r="H3434" t="inlineStr">
        <is>
          <t>Monthly - Tuesday</t>
        </is>
      </c>
      <c r="I3434" t="inlineStr">
        <is>
          <t>Monthly - Tuesday</t>
        </is>
      </c>
      <c r="J3434" t="inlineStr">
        <is>
          <t>Month+24 Expiry</t>
        </is>
      </c>
      <c r="K3434" s="25" t="n">
        <v>0</v>
      </c>
      <c r="L3434" s="26" t="n">
        <v>0</v>
      </c>
      <c r="M3434" s="26" t="n">
        <v>0</v>
      </c>
    </row>
    <row r="3435" ht="16" customHeight="1">
      <c r="A3435" t="inlineStr">
        <is>
          <t>10-Jun-2026</t>
        </is>
      </c>
      <c r="B3435" t="inlineStr">
        <is>
          <t>Wednesday</t>
        </is>
      </c>
      <c r="C3435" t="inlineStr">
        <is>
          <t>Week2-Jun-2026</t>
        </is>
      </c>
      <c r="D3435" s="78" t="n">
        <v>46174</v>
      </c>
      <c r="E3435" t="inlineStr">
        <is>
          <t>Q1FY27</t>
        </is>
      </c>
      <c r="F3435" t="inlineStr">
        <is>
          <t>26-Dec-2028</t>
        </is>
      </c>
      <c r="G3435" t="inlineStr">
        <is>
          <t>Tuesday</t>
        </is>
      </c>
      <c r="H3435" t="inlineStr">
        <is>
          <t>Monthly - Tuesday</t>
        </is>
      </c>
      <c r="I3435" t="inlineStr">
        <is>
          <t>Monthly - Tuesday</t>
        </is>
      </c>
      <c r="J3435" t="inlineStr">
        <is>
          <t>Month+30 Expiry</t>
        </is>
      </c>
      <c r="K3435" s="25" t="n">
        <v>5</v>
      </c>
      <c r="L3435" s="26" t="n">
        <v>0.0094</v>
      </c>
      <c r="M3435" s="26" t="n">
        <v>0.0007</v>
      </c>
    </row>
    <row r="3436" ht="16" customHeight="1">
      <c r="A3436" t="inlineStr">
        <is>
          <t>10-Jun-2026</t>
        </is>
      </c>
      <c r="B3436" t="inlineStr">
        <is>
          <t>Wednesday</t>
        </is>
      </c>
      <c r="C3436" t="inlineStr">
        <is>
          <t>Week2-Jun-2026</t>
        </is>
      </c>
      <c r="D3436" s="78" t="n">
        <v>46174</v>
      </c>
      <c r="E3436" t="inlineStr">
        <is>
          <t>Q1FY27</t>
        </is>
      </c>
      <c r="F3436" t="inlineStr">
        <is>
          <t>26-Jun-2029</t>
        </is>
      </c>
      <c r="G3436" t="inlineStr">
        <is>
          <t>Tuesday</t>
        </is>
      </c>
      <c r="H3436" t="inlineStr">
        <is>
          <t>Monthly - Tuesday</t>
        </is>
      </c>
      <c r="I3436" t="inlineStr">
        <is>
          <t>Monthly - Tuesday</t>
        </is>
      </c>
      <c r="J3436" t="inlineStr">
        <is>
          <t>Month+36 Expiry</t>
        </is>
      </c>
      <c r="K3436" s="25" t="n">
        <v>0</v>
      </c>
      <c r="L3436" s="26" t="n">
        <v>0</v>
      </c>
      <c r="M3436" s="26" t="n">
        <v>0</v>
      </c>
    </row>
    <row r="3437" ht="16" customHeight="1">
      <c r="A3437" t="inlineStr">
        <is>
          <t>10-Jun-2026</t>
        </is>
      </c>
      <c r="B3437" t="inlineStr">
        <is>
          <t>Wednesday</t>
        </is>
      </c>
      <c r="C3437" t="inlineStr">
        <is>
          <t>Week2-Jun-2026</t>
        </is>
      </c>
      <c r="D3437" s="78" t="n">
        <v>46174</v>
      </c>
      <c r="E3437" t="inlineStr">
        <is>
          <t>Q1FY27</t>
        </is>
      </c>
      <c r="F3437" t="inlineStr">
        <is>
          <t>24-Dec-2029</t>
        </is>
      </c>
      <c r="G3437" t="inlineStr">
        <is>
          <t>Monday</t>
        </is>
      </c>
      <c r="H3437" t="inlineStr">
        <is>
          <t>Weekly - Monday</t>
        </is>
      </c>
      <c r="I3437" t="inlineStr">
        <is>
          <t>Weekly - Monday</t>
        </is>
      </c>
      <c r="J3437" t="inlineStr">
        <is>
          <t>Month+42 Expiry</t>
        </is>
      </c>
      <c r="K3437" s="25" t="n">
        <v>0</v>
      </c>
      <c r="L3437" s="26" t="n">
        <v>0</v>
      </c>
      <c r="M3437" s="26" t="n">
        <v>0</v>
      </c>
    </row>
    <row r="3438" ht="16" customHeight="1">
      <c r="A3438" t="inlineStr">
        <is>
          <t>10-Jun-2026</t>
        </is>
      </c>
      <c r="B3438" t="inlineStr">
        <is>
          <t>Wednesday</t>
        </is>
      </c>
      <c r="C3438" t="inlineStr">
        <is>
          <t>Week2-Jun-2026</t>
        </is>
      </c>
      <c r="D3438" s="78" t="n">
        <v>46174</v>
      </c>
      <c r="E3438" t="inlineStr">
        <is>
          <t>Q1FY27</t>
        </is>
      </c>
      <c r="F3438" t="inlineStr">
        <is>
          <t>25-Jun-2030</t>
        </is>
      </c>
      <c r="G3438" t="inlineStr">
        <is>
          <t>Tuesday</t>
        </is>
      </c>
      <c r="H3438" t="inlineStr">
        <is>
          <t>Monthly - Tuesday</t>
        </is>
      </c>
      <c r="I3438" t="inlineStr">
        <is>
          <t>Monthly - Tuesday</t>
        </is>
      </c>
      <c r="J3438" t="inlineStr">
        <is>
          <t>Month+48 Expiry</t>
        </is>
      </c>
      <c r="K3438" s="25" t="n">
        <v>0</v>
      </c>
      <c r="L3438" s="26" t="n">
        <v>0</v>
      </c>
      <c r="M3438" s="26" t="n">
        <v>0</v>
      </c>
    </row>
    <row r="3439" ht="16" customHeight="1">
      <c r="A3439" t="inlineStr">
        <is>
          <t>10-Jun-2026</t>
        </is>
      </c>
      <c r="B3439" t="inlineStr">
        <is>
          <t>Wednesday</t>
        </is>
      </c>
      <c r="C3439" t="inlineStr">
        <is>
          <t>Week2-Jun-2026</t>
        </is>
      </c>
      <c r="D3439" s="78" t="n">
        <v>46174</v>
      </c>
      <c r="E3439" t="inlineStr">
        <is>
          <t>Q1FY27</t>
        </is>
      </c>
      <c r="F3439" t="inlineStr">
        <is>
          <t>31-Dec-2030</t>
        </is>
      </c>
      <c r="G3439" t="inlineStr">
        <is>
          <t>Tuesday</t>
        </is>
      </c>
      <c r="H3439" t="inlineStr">
        <is>
          <t>Monthly - Tuesday</t>
        </is>
      </c>
      <c r="I3439" t="inlineStr">
        <is>
          <t>Monthly - Tuesday</t>
        </is>
      </c>
      <c r="J3439" t="inlineStr">
        <is>
          <t>Month+54 Expiry</t>
        </is>
      </c>
      <c r="K3439" s="25" t="n">
        <v>0</v>
      </c>
      <c r="L3439" s="26" t="n">
        <v>0</v>
      </c>
      <c r="M3439" s="26" t="n">
        <v>0</v>
      </c>
    </row>
    <row r="3440" ht="16" customHeight="1">
      <c r="A3440" t="inlineStr">
        <is>
          <t>11-Jun-2026</t>
        </is>
      </c>
      <c r="B3440" t="inlineStr">
        <is>
          <t>Thursday</t>
        </is>
      </c>
      <c r="C3440" t="inlineStr">
        <is>
          <t>Week2-Jun-2026</t>
        </is>
      </c>
      <c r="D3440" s="78" t="n">
        <v>46174</v>
      </c>
      <c r="E3440" t="inlineStr">
        <is>
          <t>Q1FY27</t>
        </is>
      </c>
      <c r="F3440" t="inlineStr">
        <is>
          <t>16-Jun-2026</t>
        </is>
      </c>
      <c r="G3440" t="inlineStr">
        <is>
          <t>Tuesday</t>
        </is>
      </c>
      <c r="H3440" t="inlineStr">
        <is>
          <t>Weekly - Tuesday</t>
        </is>
      </c>
      <c r="I3440" t="inlineStr">
        <is>
          <t>Weekly - Tuesday</t>
        </is>
      </c>
      <c r="J3440" t="inlineStr">
        <is>
          <t>Same Month Expiry</t>
        </is>
      </c>
      <c r="K3440" s="25" t="n">
        <v>47325140</v>
      </c>
      <c r="L3440" s="26" t="n">
        <v>71768.16590000001</v>
      </c>
      <c r="M3440" s="26" t="n">
        <v>274.9601</v>
      </c>
    </row>
    <row r="3441" ht="16" customHeight="1">
      <c r="A3441" t="inlineStr">
        <is>
          <t>11-Jun-2026</t>
        </is>
      </c>
      <c r="B3441" t="inlineStr">
        <is>
          <t>Thursday</t>
        </is>
      </c>
      <c r="C3441" t="inlineStr">
        <is>
          <t>Week2-Jun-2026</t>
        </is>
      </c>
      <c r="D3441" s="78" t="n">
        <v>46174</v>
      </c>
      <c r="E3441" t="inlineStr">
        <is>
          <t>Q1FY27</t>
        </is>
      </c>
      <c r="F3441" t="inlineStr">
        <is>
          <t>23-Jun-2026</t>
        </is>
      </c>
      <c r="G3441" t="inlineStr">
        <is>
          <t>Tuesday</t>
        </is>
      </c>
      <c r="H3441" t="inlineStr">
        <is>
          <t>Weekly - Tuesday</t>
        </is>
      </c>
      <c r="I3441" t="inlineStr">
        <is>
          <t>Weekly - Tuesday</t>
        </is>
      </c>
      <c r="J3441" t="inlineStr">
        <is>
          <t>Same Month Expiry</t>
        </is>
      </c>
      <c r="K3441" s="25" t="n">
        <v>1133307</v>
      </c>
      <c r="L3441" s="26" t="n">
        <v>1724.3927</v>
      </c>
      <c r="M3441" s="26" t="n">
        <v>8.8187</v>
      </c>
    </row>
    <row r="3442" ht="16" customHeight="1">
      <c r="A3442" t="inlineStr">
        <is>
          <t>11-Jun-2026</t>
        </is>
      </c>
      <c r="B3442" t="inlineStr">
        <is>
          <t>Thursday</t>
        </is>
      </c>
      <c r="C3442" t="inlineStr">
        <is>
          <t>Week2-Jun-2026</t>
        </is>
      </c>
      <c r="D3442" s="78" t="n">
        <v>46174</v>
      </c>
      <c r="E3442" t="inlineStr">
        <is>
          <t>Q1FY27</t>
        </is>
      </c>
      <c r="F3442" t="inlineStr">
        <is>
          <t>30-Jun-2026</t>
        </is>
      </c>
      <c r="G3442" t="inlineStr">
        <is>
          <t>Tuesday</t>
        </is>
      </c>
      <c r="H3442" t="inlineStr">
        <is>
          <t>Monthly - Tuesday</t>
        </is>
      </c>
      <c r="I3442" t="inlineStr">
        <is>
          <t>Monthly - Tuesday</t>
        </is>
      </c>
      <c r="J3442" t="inlineStr">
        <is>
          <t>Same Month Expiry</t>
        </is>
      </c>
      <c r="K3442" s="25" t="n">
        <v>1514876</v>
      </c>
      <c r="L3442" s="26" t="n">
        <v>2322.684</v>
      </c>
      <c r="M3442" s="26" t="n">
        <v>17.7088</v>
      </c>
    </row>
    <row r="3443" ht="16" customHeight="1">
      <c r="A3443" t="inlineStr">
        <is>
          <t>11-Jun-2026</t>
        </is>
      </c>
      <c r="B3443" t="inlineStr">
        <is>
          <t>Thursday</t>
        </is>
      </c>
      <c r="C3443" t="inlineStr">
        <is>
          <t>Week2-Jun-2026</t>
        </is>
      </c>
      <c r="D3443" s="78" t="n">
        <v>46174</v>
      </c>
      <c r="E3443" t="inlineStr">
        <is>
          <t>Q1FY27</t>
        </is>
      </c>
      <c r="F3443" t="inlineStr">
        <is>
          <t>07-Jul-2026</t>
        </is>
      </c>
      <c r="G3443" t="inlineStr">
        <is>
          <t>Tuesday</t>
        </is>
      </c>
      <c r="H3443" t="inlineStr">
        <is>
          <t>Weekly - Tuesday</t>
        </is>
      </c>
      <c r="I3443" t="inlineStr">
        <is>
          <t>Weekly - Tuesday</t>
        </is>
      </c>
      <c r="J3443" t="inlineStr">
        <is>
          <t>Month+1 Expiry</t>
        </is>
      </c>
      <c r="K3443" s="25" t="n">
        <v>24058</v>
      </c>
      <c r="L3443" s="26" t="n">
        <v>37.2478</v>
      </c>
      <c r="M3443" s="26" t="n">
        <v>0.312</v>
      </c>
    </row>
    <row r="3444" ht="16" customHeight="1">
      <c r="A3444" t="inlineStr">
        <is>
          <t>11-Jun-2026</t>
        </is>
      </c>
      <c r="B3444" t="inlineStr">
        <is>
          <t>Thursday</t>
        </is>
      </c>
      <c r="C3444" t="inlineStr">
        <is>
          <t>Week2-Jun-2026</t>
        </is>
      </c>
      <c r="D3444" s="78" t="n">
        <v>46174</v>
      </c>
      <c r="E3444" t="inlineStr">
        <is>
          <t>Q1FY27</t>
        </is>
      </c>
      <c r="F3444" t="inlineStr">
        <is>
          <t>14-Jul-2026</t>
        </is>
      </c>
      <c r="G3444" t="inlineStr">
        <is>
          <t>Tuesday</t>
        </is>
      </c>
      <c r="H3444" t="inlineStr">
        <is>
          <t>Weekly - Tuesday</t>
        </is>
      </c>
      <c r="I3444" t="inlineStr">
        <is>
          <t>Weekly - Tuesday</t>
        </is>
      </c>
      <c r="J3444" t="inlineStr">
        <is>
          <t>Month+1 Expiry</t>
        </is>
      </c>
      <c r="K3444" s="25" t="n">
        <v>2873</v>
      </c>
      <c r="L3444" s="26" t="n">
        <v>4.4143</v>
      </c>
      <c r="M3444" s="26" t="n">
        <v>0.0413</v>
      </c>
    </row>
    <row r="3445" ht="16" customHeight="1">
      <c r="A3445" t="inlineStr">
        <is>
          <t>11-Jun-2026</t>
        </is>
      </c>
      <c r="B3445" t="inlineStr">
        <is>
          <t>Thursday</t>
        </is>
      </c>
      <c r="C3445" t="inlineStr">
        <is>
          <t>Week2-Jun-2026</t>
        </is>
      </c>
      <c r="D3445" s="78" t="n">
        <v>46174</v>
      </c>
      <c r="E3445" t="inlineStr">
        <is>
          <t>Q1FY27</t>
        </is>
      </c>
      <c r="F3445" t="inlineStr">
        <is>
          <t>28-Jul-2026</t>
        </is>
      </c>
      <c r="G3445" t="inlineStr">
        <is>
          <t>Tuesday</t>
        </is>
      </c>
      <c r="H3445" t="inlineStr">
        <is>
          <t>Monthly - Tuesday</t>
        </is>
      </c>
      <c r="I3445" t="inlineStr">
        <is>
          <t>Monthly - Tuesday</t>
        </is>
      </c>
      <c r="J3445" t="inlineStr">
        <is>
          <t>Month+1 Expiry</t>
        </is>
      </c>
      <c r="K3445" s="25" t="n">
        <v>179428</v>
      </c>
      <c r="L3445" s="26" t="n">
        <v>276.2891</v>
      </c>
      <c r="M3445" s="26" t="n">
        <v>2.7193</v>
      </c>
    </row>
    <row r="3446" ht="16" customHeight="1">
      <c r="A3446" t="inlineStr">
        <is>
          <t>11-Jun-2026</t>
        </is>
      </c>
      <c r="B3446" t="inlineStr">
        <is>
          <t>Thursday</t>
        </is>
      </c>
      <c r="C3446" t="inlineStr">
        <is>
          <t>Week2-Jun-2026</t>
        </is>
      </c>
      <c r="D3446" s="78" t="n">
        <v>46174</v>
      </c>
      <c r="E3446" t="inlineStr">
        <is>
          <t>Q1FY27</t>
        </is>
      </c>
      <c r="F3446" t="inlineStr">
        <is>
          <t>25-Aug-2026</t>
        </is>
      </c>
      <c r="G3446" t="inlineStr">
        <is>
          <t>Tuesday</t>
        </is>
      </c>
      <c r="H3446" t="inlineStr">
        <is>
          <t>Monthly - Tuesday</t>
        </is>
      </c>
      <c r="I3446" t="inlineStr">
        <is>
          <t>Monthly - Tuesday</t>
        </is>
      </c>
      <c r="J3446" t="inlineStr">
        <is>
          <t>Month+2 Expiry</t>
        </is>
      </c>
      <c r="K3446" s="25" t="n">
        <v>29933</v>
      </c>
      <c r="L3446" s="26" t="n">
        <v>46.7903</v>
      </c>
      <c r="M3446" s="26" t="n">
        <v>0.6247</v>
      </c>
    </row>
    <row r="3447" ht="16" customHeight="1">
      <c r="A3447" t="inlineStr">
        <is>
          <t>11-Jun-2026</t>
        </is>
      </c>
      <c r="B3447" t="inlineStr">
        <is>
          <t>Thursday</t>
        </is>
      </c>
      <c r="C3447" t="inlineStr">
        <is>
          <t>Week2-Jun-2026</t>
        </is>
      </c>
      <c r="D3447" s="78" t="n">
        <v>46174</v>
      </c>
      <c r="E3447" t="inlineStr">
        <is>
          <t>Q1FY27</t>
        </is>
      </c>
      <c r="F3447" t="inlineStr">
        <is>
          <t>29-Sep-2026</t>
        </is>
      </c>
      <c r="G3447" t="inlineStr">
        <is>
          <t>Tuesday</t>
        </is>
      </c>
      <c r="H3447" t="inlineStr">
        <is>
          <t>Monthly - Tuesday</t>
        </is>
      </c>
      <c r="I3447" t="inlineStr">
        <is>
          <t>Monthly - Tuesday</t>
        </is>
      </c>
      <c r="J3447" t="inlineStr">
        <is>
          <t>Month+3 Expiry</t>
        </is>
      </c>
      <c r="K3447" s="25" t="n">
        <v>32890</v>
      </c>
      <c r="L3447" s="26" t="n">
        <v>51.751</v>
      </c>
      <c r="M3447" s="26" t="n">
        <v>0.7184</v>
      </c>
    </row>
    <row r="3448" ht="16" customHeight="1">
      <c r="A3448" t="inlineStr">
        <is>
          <t>11-Jun-2026</t>
        </is>
      </c>
      <c r="B3448" t="inlineStr">
        <is>
          <t>Thursday</t>
        </is>
      </c>
      <c r="C3448" t="inlineStr">
        <is>
          <t>Week2-Jun-2026</t>
        </is>
      </c>
      <c r="D3448" s="78" t="n">
        <v>46174</v>
      </c>
      <c r="E3448" t="inlineStr">
        <is>
          <t>Q1FY27</t>
        </is>
      </c>
      <c r="F3448" t="inlineStr">
        <is>
          <t>29-Dec-2026</t>
        </is>
      </c>
      <c r="G3448" t="inlineStr">
        <is>
          <t>Tuesday</t>
        </is>
      </c>
      <c r="H3448" t="inlineStr">
        <is>
          <t>Monthly - Tuesday</t>
        </is>
      </c>
      <c r="I3448" t="inlineStr">
        <is>
          <t>Monthly - Tuesday</t>
        </is>
      </c>
      <c r="J3448" t="inlineStr">
        <is>
          <t>Month+6 Expiry</t>
        </is>
      </c>
      <c r="K3448" s="25" t="n">
        <v>31808</v>
      </c>
      <c r="L3448" s="26" t="n">
        <v>52.1502</v>
      </c>
      <c r="M3448" s="26" t="n">
        <v>1.2904</v>
      </c>
    </row>
    <row r="3449" ht="16" customHeight="1">
      <c r="A3449" t="inlineStr">
        <is>
          <t>11-Jun-2026</t>
        </is>
      </c>
      <c r="B3449" t="inlineStr">
        <is>
          <t>Thursday</t>
        </is>
      </c>
      <c r="C3449" t="inlineStr">
        <is>
          <t>Week2-Jun-2026</t>
        </is>
      </c>
      <c r="D3449" s="78" t="n">
        <v>46174</v>
      </c>
      <c r="E3449" t="inlineStr">
        <is>
          <t>Q1FY27</t>
        </is>
      </c>
      <c r="F3449" t="inlineStr">
        <is>
          <t>30-Mar-2027</t>
        </is>
      </c>
      <c r="G3449" t="inlineStr">
        <is>
          <t>Tuesday</t>
        </is>
      </c>
      <c r="H3449" t="inlineStr">
        <is>
          <t>Monthly - Tuesday</t>
        </is>
      </c>
      <c r="I3449" t="inlineStr">
        <is>
          <t>Monthly - Tuesday</t>
        </is>
      </c>
      <c r="J3449" t="inlineStr">
        <is>
          <t>Month+9 Expiry</t>
        </is>
      </c>
      <c r="K3449" s="25" t="n">
        <v>67</v>
      </c>
      <c r="L3449" s="26" t="n">
        <v>0.1113</v>
      </c>
      <c r="M3449" s="26" t="n">
        <v>0.0021</v>
      </c>
    </row>
    <row r="3450" ht="16" customHeight="1">
      <c r="A3450" t="inlineStr">
        <is>
          <t>11-Jun-2026</t>
        </is>
      </c>
      <c r="B3450" t="inlineStr">
        <is>
          <t>Thursday</t>
        </is>
      </c>
      <c r="C3450" t="inlineStr">
        <is>
          <t>Week2-Jun-2026</t>
        </is>
      </c>
      <c r="D3450" s="78" t="n">
        <v>46174</v>
      </c>
      <c r="E3450" t="inlineStr">
        <is>
          <t>Q1FY27</t>
        </is>
      </c>
      <c r="F3450" t="inlineStr">
        <is>
          <t>29-Jun-2027</t>
        </is>
      </c>
      <c r="G3450" t="inlineStr">
        <is>
          <t>Tuesday</t>
        </is>
      </c>
      <c r="H3450" t="inlineStr">
        <is>
          <t>Monthly - Tuesday</t>
        </is>
      </c>
      <c r="I3450" t="inlineStr">
        <is>
          <t>Monthly - Tuesday</t>
        </is>
      </c>
      <c r="J3450" t="inlineStr">
        <is>
          <t>Month+12 Expiry</t>
        </is>
      </c>
      <c r="K3450" s="25" t="n">
        <v>4</v>
      </c>
      <c r="L3450" s="26" t="n">
        <v>0.0062</v>
      </c>
      <c r="M3450" s="26" t="n">
        <v>0.0003</v>
      </c>
    </row>
    <row r="3451" ht="16" customHeight="1">
      <c r="A3451" t="inlineStr">
        <is>
          <t>11-Jun-2026</t>
        </is>
      </c>
      <c r="B3451" t="inlineStr">
        <is>
          <t>Thursday</t>
        </is>
      </c>
      <c r="C3451" t="inlineStr">
        <is>
          <t>Week2-Jun-2026</t>
        </is>
      </c>
      <c r="D3451" s="78" t="n">
        <v>46174</v>
      </c>
      <c r="E3451" t="inlineStr">
        <is>
          <t>Q1FY27</t>
        </is>
      </c>
      <c r="F3451" t="inlineStr">
        <is>
          <t>28-Dec-2027</t>
        </is>
      </c>
      <c r="G3451" t="inlineStr">
        <is>
          <t>Tuesday</t>
        </is>
      </c>
      <c r="H3451" t="inlineStr">
        <is>
          <t>Monthly - Tuesday</t>
        </is>
      </c>
      <c r="I3451" t="inlineStr">
        <is>
          <t>Monthly - Tuesday</t>
        </is>
      </c>
      <c r="J3451" t="inlineStr">
        <is>
          <t>Month+18 Expiry</t>
        </is>
      </c>
      <c r="K3451" s="25" t="n">
        <v>261</v>
      </c>
      <c r="L3451" s="26" t="n">
        <v>0.4596</v>
      </c>
      <c r="M3451" s="26" t="n">
        <v>0.021</v>
      </c>
    </row>
    <row r="3452" ht="16" customHeight="1">
      <c r="A3452" t="inlineStr">
        <is>
          <t>11-Jun-2026</t>
        </is>
      </c>
      <c r="B3452" t="inlineStr">
        <is>
          <t>Thursday</t>
        </is>
      </c>
      <c r="C3452" t="inlineStr">
        <is>
          <t>Week2-Jun-2026</t>
        </is>
      </c>
      <c r="D3452" s="78" t="n">
        <v>46174</v>
      </c>
      <c r="E3452" t="inlineStr">
        <is>
          <t>Q1FY27</t>
        </is>
      </c>
      <c r="F3452" t="inlineStr">
        <is>
          <t>27-Jun-2028</t>
        </is>
      </c>
      <c r="G3452" t="inlineStr">
        <is>
          <t>Tuesday</t>
        </is>
      </c>
      <c r="H3452" t="inlineStr">
        <is>
          <t>Monthly - Tuesday</t>
        </is>
      </c>
      <c r="I3452" t="inlineStr">
        <is>
          <t>Monthly - Tuesday</t>
        </is>
      </c>
      <c r="J3452" t="inlineStr">
        <is>
          <t>Month+24 Expiry</t>
        </is>
      </c>
      <c r="K3452" s="25" t="n">
        <v>0</v>
      </c>
      <c r="L3452" s="26" t="n">
        <v>0</v>
      </c>
      <c r="M3452" s="26" t="n">
        <v>0</v>
      </c>
    </row>
    <row r="3453" ht="16" customHeight="1">
      <c r="A3453" t="inlineStr">
        <is>
          <t>11-Jun-2026</t>
        </is>
      </c>
      <c r="B3453" t="inlineStr">
        <is>
          <t>Thursday</t>
        </is>
      </c>
      <c r="C3453" t="inlineStr">
        <is>
          <t>Week2-Jun-2026</t>
        </is>
      </c>
      <c r="D3453" s="78" t="n">
        <v>46174</v>
      </c>
      <c r="E3453" t="inlineStr">
        <is>
          <t>Q1FY27</t>
        </is>
      </c>
      <c r="F3453" t="inlineStr">
        <is>
          <t>26-Dec-2028</t>
        </is>
      </c>
      <c r="G3453" t="inlineStr">
        <is>
          <t>Tuesday</t>
        </is>
      </c>
      <c r="H3453" t="inlineStr">
        <is>
          <t>Monthly - Tuesday</t>
        </is>
      </c>
      <c r="I3453" t="inlineStr">
        <is>
          <t>Monthly - Tuesday</t>
        </is>
      </c>
      <c r="J3453" t="inlineStr">
        <is>
          <t>Month+30 Expiry</t>
        </is>
      </c>
      <c r="K3453" s="25" t="n">
        <v>20</v>
      </c>
      <c r="L3453" s="26" t="n">
        <v>0.04</v>
      </c>
      <c r="M3453" s="26" t="n">
        <v>0.002</v>
      </c>
    </row>
    <row r="3454" ht="16" customHeight="1">
      <c r="A3454" t="inlineStr">
        <is>
          <t>11-Jun-2026</t>
        </is>
      </c>
      <c r="B3454" t="inlineStr">
        <is>
          <t>Thursday</t>
        </is>
      </c>
      <c r="C3454" t="inlineStr">
        <is>
          <t>Week2-Jun-2026</t>
        </is>
      </c>
      <c r="D3454" s="78" t="n">
        <v>46174</v>
      </c>
      <c r="E3454" t="inlineStr">
        <is>
          <t>Q1FY27</t>
        </is>
      </c>
      <c r="F3454" t="inlineStr">
        <is>
          <t>26-Jun-2029</t>
        </is>
      </c>
      <c r="G3454" t="inlineStr">
        <is>
          <t>Tuesday</t>
        </is>
      </c>
      <c r="H3454" t="inlineStr">
        <is>
          <t>Monthly - Tuesday</t>
        </is>
      </c>
      <c r="I3454" t="inlineStr">
        <is>
          <t>Monthly - Tuesday</t>
        </is>
      </c>
      <c r="J3454" t="inlineStr">
        <is>
          <t>Month+36 Expiry</t>
        </is>
      </c>
      <c r="K3454" s="25" t="n">
        <v>0</v>
      </c>
      <c r="L3454" s="26" t="n">
        <v>0</v>
      </c>
      <c r="M3454" s="26" t="n">
        <v>0</v>
      </c>
    </row>
    <row r="3455" ht="16" customHeight="1">
      <c r="A3455" t="inlineStr">
        <is>
          <t>11-Jun-2026</t>
        </is>
      </c>
      <c r="B3455" t="inlineStr">
        <is>
          <t>Thursday</t>
        </is>
      </c>
      <c r="C3455" t="inlineStr">
        <is>
          <t>Week2-Jun-2026</t>
        </is>
      </c>
      <c r="D3455" s="78" t="n">
        <v>46174</v>
      </c>
      <c r="E3455" t="inlineStr">
        <is>
          <t>Q1FY27</t>
        </is>
      </c>
      <c r="F3455" t="inlineStr">
        <is>
          <t>24-Dec-2029</t>
        </is>
      </c>
      <c r="G3455" t="inlineStr">
        <is>
          <t>Monday</t>
        </is>
      </c>
      <c r="H3455" t="inlineStr">
        <is>
          <t>Weekly - Monday</t>
        </is>
      </c>
      <c r="I3455" t="inlineStr">
        <is>
          <t>Weekly - Monday</t>
        </is>
      </c>
      <c r="J3455" t="inlineStr">
        <is>
          <t>Month+42 Expiry</t>
        </is>
      </c>
      <c r="K3455" s="25" t="n">
        <v>1</v>
      </c>
      <c r="L3455" s="26" t="n">
        <v>0.0014</v>
      </c>
      <c r="M3455" s="26" t="n">
        <v>0</v>
      </c>
    </row>
    <row r="3456" ht="16" customHeight="1">
      <c r="A3456" t="inlineStr">
        <is>
          <t>11-Jun-2026</t>
        </is>
      </c>
      <c r="B3456" t="inlineStr">
        <is>
          <t>Thursday</t>
        </is>
      </c>
      <c r="C3456" t="inlineStr">
        <is>
          <t>Week2-Jun-2026</t>
        </is>
      </c>
      <c r="D3456" s="78" t="n">
        <v>46174</v>
      </c>
      <c r="E3456" t="inlineStr">
        <is>
          <t>Q1FY27</t>
        </is>
      </c>
      <c r="F3456" t="inlineStr">
        <is>
          <t>25-Jun-2030</t>
        </is>
      </c>
      <c r="G3456" t="inlineStr">
        <is>
          <t>Tuesday</t>
        </is>
      </c>
      <c r="H3456" t="inlineStr">
        <is>
          <t>Monthly - Tuesday</t>
        </is>
      </c>
      <c r="I3456" t="inlineStr">
        <is>
          <t>Monthly - Tuesday</t>
        </is>
      </c>
      <c r="J3456" t="inlineStr">
        <is>
          <t>Month+48 Expiry</t>
        </is>
      </c>
      <c r="K3456" s="25" t="n">
        <v>0</v>
      </c>
      <c r="L3456" s="26" t="n">
        <v>0</v>
      </c>
      <c r="M3456" s="26" t="n">
        <v>0</v>
      </c>
    </row>
    <row r="3457" ht="16" customHeight="1">
      <c r="A3457" t="inlineStr">
        <is>
          <t>11-Jun-2026</t>
        </is>
      </c>
      <c r="B3457" t="inlineStr">
        <is>
          <t>Thursday</t>
        </is>
      </c>
      <c r="C3457" t="inlineStr">
        <is>
          <t>Week2-Jun-2026</t>
        </is>
      </c>
      <c r="D3457" s="78" t="n">
        <v>46174</v>
      </c>
      <c r="E3457" t="inlineStr">
        <is>
          <t>Q1FY27</t>
        </is>
      </c>
      <c r="F3457" t="inlineStr">
        <is>
          <t>31-Dec-2030</t>
        </is>
      </c>
      <c r="G3457" t="inlineStr">
        <is>
          <t>Tuesday</t>
        </is>
      </c>
      <c r="H3457" t="inlineStr">
        <is>
          <t>Monthly - Tuesday</t>
        </is>
      </c>
      <c r="I3457" t="inlineStr">
        <is>
          <t>Monthly - Tuesday</t>
        </is>
      </c>
      <c r="J3457" t="inlineStr">
        <is>
          <t>Month+54 Expiry</t>
        </is>
      </c>
      <c r="K3457" s="25" t="n">
        <v>0</v>
      </c>
      <c r="L3457" s="26" t="n">
        <v>0</v>
      </c>
      <c r="M3457" s="26" t="n">
        <v>0</v>
      </c>
    </row>
    <row r="3458" ht="16" customHeight="1">
      <c r="A3458" t="inlineStr">
        <is>
          <t>12-Jun-2026</t>
        </is>
      </c>
      <c r="B3458" t="inlineStr">
        <is>
          <t>Friday</t>
        </is>
      </c>
      <c r="C3458" t="inlineStr">
        <is>
          <t>Week2-Jun-2026</t>
        </is>
      </c>
      <c r="D3458" s="78" t="n">
        <v>46174</v>
      </c>
      <c r="E3458" t="inlineStr">
        <is>
          <t>Q1FY27</t>
        </is>
      </c>
      <c r="F3458" t="inlineStr">
        <is>
          <t>16-Jun-2026</t>
        </is>
      </c>
      <c r="G3458" t="inlineStr">
        <is>
          <t>Tuesday</t>
        </is>
      </c>
      <c r="H3458" t="inlineStr">
        <is>
          <t>Weekly - Tuesday</t>
        </is>
      </c>
      <c r="I3458" t="inlineStr">
        <is>
          <t>Weekly - Tuesday</t>
        </is>
      </c>
      <c r="J3458" t="inlineStr">
        <is>
          <t>Same Month Expiry</t>
        </is>
      </c>
      <c r="K3458" s="25" t="n">
        <v>108186835</v>
      </c>
      <c r="L3458" s="26" t="n">
        <v>165276.1303</v>
      </c>
      <c r="M3458" s="26" t="n">
        <v>535.586</v>
      </c>
    </row>
    <row r="3459" ht="16" customHeight="1">
      <c r="A3459" t="inlineStr">
        <is>
          <t>12-Jun-2026</t>
        </is>
      </c>
      <c r="B3459" t="inlineStr">
        <is>
          <t>Friday</t>
        </is>
      </c>
      <c r="C3459" t="inlineStr">
        <is>
          <t>Week2-Jun-2026</t>
        </is>
      </c>
      <c r="D3459" s="78" t="n">
        <v>46174</v>
      </c>
      <c r="E3459" t="inlineStr">
        <is>
          <t>Q1FY27</t>
        </is>
      </c>
      <c r="F3459" t="inlineStr">
        <is>
          <t>23-Jun-2026</t>
        </is>
      </c>
      <c r="G3459" t="inlineStr">
        <is>
          <t>Tuesday</t>
        </is>
      </c>
      <c r="H3459" t="inlineStr">
        <is>
          <t>Weekly - Tuesday</t>
        </is>
      </c>
      <c r="I3459" t="inlineStr">
        <is>
          <t>Weekly - Tuesday</t>
        </is>
      </c>
      <c r="J3459" t="inlineStr">
        <is>
          <t>Same Month Expiry</t>
        </is>
      </c>
      <c r="K3459" s="25" t="n">
        <v>3059152</v>
      </c>
      <c r="L3459" s="26" t="n">
        <v>4698.0248</v>
      </c>
      <c r="M3459" s="26" t="n">
        <v>20.0165</v>
      </c>
    </row>
    <row r="3460" ht="16" customHeight="1">
      <c r="A3460" t="inlineStr">
        <is>
          <t>12-Jun-2026</t>
        </is>
      </c>
      <c r="B3460" t="inlineStr">
        <is>
          <t>Friday</t>
        </is>
      </c>
      <c r="C3460" t="inlineStr">
        <is>
          <t>Week2-Jun-2026</t>
        </is>
      </c>
      <c r="D3460" s="78" t="n">
        <v>46174</v>
      </c>
      <c r="E3460" t="inlineStr">
        <is>
          <t>Q1FY27</t>
        </is>
      </c>
      <c r="F3460" t="inlineStr">
        <is>
          <t>30-Jun-2026</t>
        </is>
      </c>
      <c r="G3460" t="inlineStr">
        <is>
          <t>Tuesday</t>
        </is>
      </c>
      <c r="H3460" t="inlineStr">
        <is>
          <t>Monthly - Tuesday</t>
        </is>
      </c>
      <c r="I3460" t="inlineStr">
        <is>
          <t>Monthly - Tuesday</t>
        </is>
      </c>
      <c r="J3460" t="inlineStr">
        <is>
          <t>Same Month Expiry</t>
        </is>
      </c>
      <c r="K3460" s="25" t="n">
        <v>2654478</v>
      </c>
      <c r="L3460" s="26" t="n">
        <v>4078.5656</v>
      </c>
      <c r="M3460" s="26" t="n">
        <v>27.5145</v>
      </c>
    </row>
    <row r="3461" ht="16" customHeight="1">
      <c r="A3461" t="inlineStr">
        <is>
          <t>12-Jun-2026</t>
        </is>
      </c>
      <c r="B3461" t="inlineStr">
        <is>
          <t>Friday</t>
        </is>
      </c>
      <c r="C3461" t="inlineStr">
        <is>
          <t>Week2-Jun-2026</t>
        </is>
      </c>
      <c r="D3461" s="78" t="n">
        <v>46174</v>
      </c>
      <c r="E3461" t="inlineStr">
        <is>
          <t>Q1FY27</t>
        </is>
      </c>
      <c r="F3461" t="inlineStr">
        <is>
          <t>07-Jul-2026</t>
        </is>
      </c>
      <c r="G3461" t="inlineStr">
        <is>
          <t>Tuesday</t>
        </is>
      </c>
      <c r="H3461" t="inlineStr">
        <is>
          <t>Weekly - Tuesday</t>
        </is>
      </c>
      <c r="I3461" t="inlineStr">
        <is>
          <t>Weekly - Tuesday</t>
        </is>
      </c>
      <c r="J3461" t="inlineStr">
        <is>
          <t>Month+1 Expiry</t>
        </is>
      </c>
      <c r="K3461" s="25" t="n">
        <v>51240</v>
      </c>
      <c r="L3461" s="26" t="n">
        <v>79.2491</v>
      </c>
      <c r="M3461" s="26" t="n">
        <v>0.6024</v>
      </c>
    </row>
    <row r="3462" ht="16" customHeight="1">
      <c r="A3462" t="inlineStr">
        <is>
          <t>12-Jun-2026</t>
        </is>
      </c>
      <c r="B3462" t="inlineStr">
        <is>
          <t>Friday</t>
        </is>
      </c>
      <c r="C3462" t="inlineStr">
        <is>
          <t>Week2-Jun-2026</t>
        </is>
      </c>
      <c r="D3462" s="78" t="n">
        <v>46174</v>
      </c>
      <c r="E3462" t="inlineStr">
        <is>
          <t>Q1FY27</t>
        </is>
      </c>
      <c r="F3462" t="inlineStr">
        <is>
          <t>14-Jul-2026</t>
        </is>
      </c>
      <c r="G3462" t="inlineStr">
        <is>
          <t>Tuesday</t>
        </is>
      </c>
      <c r="H3462" t="inlineStr">
        <is>
          <t>Weekly - Tuesday</t>
        </is>
      </c>
      <c r="I3462" t="inlineStr">
        <is>
          <t>Weekly - Tuesday</t>
        </is>
      </c>
      <c r="J3462" t="inlineStr">
        <is>
          <t>Month+1 Expiry</t>
        </is>
      </c>
      <c r="K3462" s="25" t="n">
        <v>7776</v>
      </c>
      <c r="L3462" s="26" t="n">
        <v>11.9794</v>
      </c>
      <c r="M3462" s="26" t="n">
        <v>0.0849</v>
      </c>
    </row>
    <row r="3463" ht="16" customHeight="1">
      <c r="A3463" t="inlineStr">
        <is>
          <t>12-Jun-2026</t>
        </is>
      </c>
      <c r="B3463" t="inlineStr">
        <is>
          <t>Friday</t>
        </is>
      </c>
      <c r="C3463" t="inlineStr">
        <is>
          <t>Week2-Jun-2026</t>
        </is>
      </c>
      <c r="D3463" s="78" t="n">
        <v>46174</v>
      </c>
      <c r="E3463" t="inlineStr">
        <is>
          <t>Q1FY27</t>
        </is>
      </c>
      <c r="F3463" t="inlineStr">
        <is>
          <t>28-Jul-2026</t>
        </is>
      </c>
      <c r="G3463" t="inlineStr">
        <is>
          <t>Tuesday</t>
        </is>
      </c>
      <c r="H3463" t="inlineStr">
        <is>
          <t>Monthly - Tuesday</t>
        </is>
      </c>
      <c r="I3463" t="inlineStr">
        <is>
          <t>Monthly - Tuesday</t>
        </is>
      </c>
      <c r="J3463" t="inlineStr">
        <is>
          <t>Month+1 Expiry</t>
        </is>
      </c>
      <c r="K3463" s="25" t="n">
        <v>375030</v>
      </c>
      <c r="L3463" s="26" t="n">
        <v>574.3527</v>
      </c>
      <c r="M3463" s="26" t="n">
        <v>5.0065</v>
      </c>
    </row>
    <row r="3464" ht="16" customHeight="1">
      <c r="A3464" t="inlineStr">
        <is>
          <t>12-Jun-2026</t>
        </is>
      </c>
      <c r="B3464" t="inlineStr">
        <is>
          <t>Friday</t>
        </is>
      </c>
      <c r="C3464" t="inlineStr">
        <is>
          <t>Week2-Jun-2026</t>
        </is>
      </c>
      <c r="D3464" s="78" t="n">
        <v>46174</v>
      </c>
      <c r="E3464" t="inlineStr">
        <is>
          <t>Q1FY27</t>
        </is>
      </c>
      <c r="F3464" t="inlineStr">
        <is>
          <t>25-Aug-2026</t>
        </is>
      </c>
      <c r="G3464" t="inlineStr">
        <is>
          <t>Tuesday</t>
        </is>
      </c>
      <c r="H3464" t="inlineStr">
        <is>
          <t>Monthly - Tuesday</t>
        </is>
      </c>
      <c r="I3464" t="inlineStr">
        <is>
          <t>Monthly - Tuesday</t>
        </is>
      </c>
      <c r="J3464" t="inlineStr">
        <is>
          <t>Month+2 Expiry</t>
        </is>
      </c>
      <c r="K3464" s="25" t="n">
        <v>72904</v>
      </c>
      <c r="L3464" s="26" t="n">
        <v>114.4891</v>
      </c>
      <c r="M3464" s="26" t="n">
        <v>1.5043</v>
      </c>
    </row>
    <row r="3465" ht="16" customHeight="1">
      <c r="A3465" t="inlineStr">
        <is>
          <t>12-Jun-2026</t>
        </is>
      </c>
      <c r="B3465" t="inlineStr">
        <is>
          <t>Friday</t>
        </is>
      </c>
      <c r="C3465" t="inlineStr">
        <is>
          <t>Week2-Jun-2026</t>
        </is>
      </c>
      <c r="D3465" s="78" t="n">
        <v>46174</v>
      </c>
      <c r="E3465" t="inlineStr">
        <is>
          <t>Q1FY27</t>
        </is>
      </c>
      <c r="F3465" t="inlineStr">
        <is>
          <t>29-Sep-2026</t>
        </is>
      </c>
      <c r="G3465" t="inlineStr">
        <is>
          <t>Tuesday</t>
        </is>
      </c>
      <c r="H3465" t="inlineStr">
        <is>
          <t>Monthly - Tuesday</t>
        </is>
      </c>
      <c r="I3465" t="inlineStr">
        <is>
          <t>Monthly - Tuesday</t>
        </is>
      </c>
      <c r="J3465" t="inlineStr">
        <is>
          <t>Month+3 Expiry</t>
        </is>
      </c>
      <c r="K3465" s="25" t="n">
        <v>48624</v>
      </c>
      <c r="L3465" s="26" t="n">
        <v>76.1247</v>
      </c>
      <c r="M3465" s="26" t="n">
        <v>0.9154</v>
      </c>
    </row>
    <row r="3466" ht="16" customHeight="1">
      <c r="A3466" t="inlineStr">
        <is>
          <t>12-Jun-2026</t>
        </is>
      </c>
      <c r="B3466" t="inlineStr">
        <is>
          <t>Friday</t>
        </is>
      </c>
      <c r="C3466" t="inlineStr">
        <is>
          <t>Week2-Jun-2026</t>
        </is>
      </c>
      <c r="D3466" s="78" t="n">
        <v>46174</v>
      </c>
      <c r="E3466" t="inlineStr">
        <is>
          <t>Q1FY27</t>
        </is>
      </c>
      <c r="F3466" t="inlineStr">
        <is>
          <t>29-Dec-2026</t>
        </is>
      </c>
      <c r="G3466" t="inlineStr">
        <is>
          <t>Tuesday</t>
        </is>
      </c>
      <c r="H3466" t="inlineStr">
        <is>
          <t>Monthly - Tuesday</t>
        </is>
      </c>
      <c r="I3466" t="inlineStr">
        <is>
          <t>Monthly - Tuesday</t>
        </is>
      </c>
      <c r="J3466" t="inlineStr">
        <is>
          <t>Month+6 Expiry</t>
        </is>
      </c>
      <c r="K3466" s="25" t="n">
        <v>90067</v>
      </c>
      <c r="L3466" s="26" t="n">
        <v>143.7355</v>
      </c>
      <c r="M3466" s="26" t="n">
        <v>3.7412</v>
      </c>
    </row>
    <row r="3467" ht="16" customHeight="1">
      <c r="A3467" t="inlineStr">
        <is>
          <t>12-Jun-2026</t>
        </is>
      </c>
      <c r="B3467" t="inlineStr">
        <is>
          <t>Friday</t>
        </is>
      </c>
      <c r="C3467" t="inlineStr">
        <is>
          <t>Week2-Jun-2026</t>
        </is>
      </c>
      <c r="D3467" s="78" t="n">
        <v>46174</v>
      </c>
      <c r="E3467" t="inlineStr">
        <is>
          <t>Q1FY27</t>
        </is>
      </c>
      <c r="F3467" t="inlineStr">
        <is>
          <t>30-Mar-2027</t>
        </is>
      </c>
      <c r="G3467" t="inlineStr">
        <is>
          <t>Tuesday</t>
        </is>
      </c>
      <c r="H3467" t="inlineStr">
        <is>
          <t>Monthly - Tuesday</t>
        </is>
      </c>
      <c r="I3467" t="inlineStr">
        <is>
          <t>Monthly - Tuesday</t>
        </is>
      </c>
      <c r="J3467" t="inlineStr">
        <is>
          <t>Month+9 Expiry</t>
        </is>
      </c>
      <c r="K3467" s="25" t="n">
        <v>240</v>
      </c>
      <c r="L3467" s="26" t="n">
        <v>0.4503</v>
      </c>
      <c r="M3467" s="26" t="n">
        <v>0.0041</v>
      </c>
    </row>
    <row r="3468" ht="16" customHeight="1">
      <c r="A3468" t="inlineStr">
        <is>
          <t>12-Jun-2026</t>
        </is>
      </c>
      <c r="B3468" t="inlineStr">
        <is>
          <t>Friday</t>
        </is>
      </c>
      <c r="C3468" t="inlineStr">
        <is>
          <t>Week2-Jun-2026</t>
        </is>
      </c>
      <c r="D3468" s="78" t="n">
        <v>46174</v>
      </c>
      <c r="E3468" t="inlineStr">
        <is>
          <t>Q1FY27</t>
        </is>
      </c>
      <c r="F3468" t="inlineStr">
        <is>
          <t>29-Jun-2027</t>
        </is>
      </c>
      <c r="G3468" t="inlineStr">
        <is>
          <t>Tuesday</t>
        </is>
      </c>
      <c r="H3468" t="inlineStr">
        <is>
          <t>Monthly - Tuesday</t>
        </is>
      </c>
      <c r="I3468" t="inlineStr">
        <is>
          <t>Monthly - Tuesday</t>
        </is>
      </c>
      <c r="J3468" t="inlineStr">
        <is>
          <t>Month+12 Expiry</t>
        </is>
      </c>
      <c r="K3468" s="25" t="n">
        <v>0</v>
      </c>
      <c r="L3468" s="26" t="n">
        <v>0</v>
      </c>
      <c r="M3468" s="26" t="n">
        <v>0</v>
      </c>
    </row>
    <row r="3469" ht="16" customHeight="1">
      <c r="A3469" t="inlineStr">
        <is>
          <t>12-Jun-2026</t>
        </is>
      </c>
      <c r="B3469" t="inlineStr">
        <is>
          <t>Friday</t>
        </is>
      </c>
      <c r="C3469" t="inlineStr">
        <is>
          <t>Week2-Jun-2026</t>
        </is>
      </c>
      <c r="D3469" s="78" t="n">
        <v>46174</v>
      </c>
      <c r="E3469" t="inlineStr">
        <is>
          <t>Q1FY27</t>
        </is>
      </c>
      <c r="F3469" t="inlineStr">
        <is>
          <t>28-Dec-2027</t>
        </is>
      </c>
      <c r="G3469" t="inlineStr">
        <is>
          <t>Tuesday</t>
        </is>
      </c>
      <c r="H3469" t="inlineStr">
        <is>
          <t>Monthly - Tuesday</t>
        </is>
      </c>
      <c r="I3469" t="inlineStr">
        <is>
          <t>Monthly - Tuesday</t>
        </is>
      </c>
      <c r="J3469" t="inlineStr">
        <is>
          <t>Month+18 Expiry</t>
        </is>
      </c>
      <c r="K3469" s="25" t="n">
        <v>638</v>
      </c>
      <c r="L3469" s="26" t="n">
        <v>1.0959</v>
      </c>
      <c r="M3469" s="26" t="n">
        <v>0.0517</v>
      </c>
    </row>
    <row r="3470" ht="16" customHeight="1">
      <c r="A3470" t="inlineStr">
        <is>
          <t>12-Jun-2026</t>
        </is>
      </c>
      <c r="B3470" t="inlineStr">
        <is>
          <t>Friday</t>
        </is>
      </c>
      <c r="C3470" t="inlineStr">
        <is>
          <t>Week2-Jun-2026</t>
        </is>
      </c>
      <c r="D3470" s="78" t="n">
        <v>46174</v>
      </c>
      <c r="E3470" t="inlineStr">
        <is>
          <t>Q1FY27</t>
        </is>
      </c>
      <c r="F3470" t="inlineStr">
        <is>
          <t>27-Jun-2028</t>
        </is>
      </c>
      <c r="G3470" t="inlineStr">
        <is>
          <t>Tuesday</t>
        </is>
      </c>
      <c r="H3470" t="inlineStr">
        <is>
          <t>Monthly - Tuesday</t>
        </is>
      </c>
      <c r="I3470" t="inlineStr">
        <is>
          <t>Monthly - Tuesday</t>
        </is>
      </c>
      <c r="J3470" t="inlineStr">
        <is>
          <t>Month+24 Expiry</t>
        </is>
      </c>
      <c r="K3470" s="25" t="n">
        <v>0</v>
      </c>
      <c r="L3470" s="26" t="n">
        <v>0</v>
      </c>
      <c r="M3470" s="26" t="n">
        <v>0</v>
      </c>
    </row>
    <row r="3471" ht="16" customHeight="1">
      <c r="A3471" t="inlineStr">
        <is>
          <t>12-Jun-2026</t>
        </is>
      </c>
      <c r="B3471" t="inlineStr">
        <is>
          <t>Friday</t>
        </is>
      </c>
      <c r="C3471" t="inlineStr">
        <is>
          <t>Week2-Jun-2026</t>
        </is>
      </c>
      <c r="D3471" s="78" t="n">
        <v>46174</v>
      </c>
      <c r="E3471" t="inlineStr">
        <is>
          <t>Q1FY27</t>
        </is>
      </c>
      <c r="F3471" t="inlineStr">
        <is>
          <t>26-Dec-2028</t>
        </is>
      </c>
      <c r="G3471" t="inlineStr">
        <is>
          <t>Tuesday</t>
        </is>
      </c>
      <c r="H3471" t="inlineStr">
        <is>
          <t>Monthly - Tuesday</t>
        </is>
      </c>
      <c r="I3471" t="inlineStr">
        <is>
          <t>Monthly - Tuesday</t>
        </is>
      </c>
      <c r="J3471" t="inlineStr">
        <is>
          <t>Month+30 Expiry</t>
        </is>
      </c>
      <c r="K3471" s="25" t="n">
        <v>14</v>
      </c>
      <c r="L3471" s="26" t="n">
        <v>0.0267</v>
      </c>
      <c r="M3471" s="26" t="n">
        <v>0.0021</v>
      </c>
    </row>
    <row r="3472" ht="16" customHeight="1">
      <c r="A3472" t="inlineStr">
        <is>
          <t>12-Jun-2026</t>
        </is>
      </c>
      <c r="B3472" t="inlineStr">
        <is>
          <t>Friday</t>
        </is>
      </c>
      <c r="C3472" t="inlineStr">
        <is>
          <t>Week2-Jun-2026</t>
        </is>
      </c>
      <c r="D3472" s="78" t="n">
        <v>46174</v>
      </c>
      <c r="E3472" t="inlineStr">
        <is>
          <t>Q1FY27</t>
        </is>
      </c>
      <c r="F3472" t="inlineStr">
        <is>
          <t>26-Jun-2029</t>
        </is>
      </c>
      <c r="G3472" t="inlineStr">
        <is>
          <t>Tuesday</t>
        </is>
      </c>
      <c r="H3472" t="inlineStr">
        <is>
          <t>Monthly - Tuesday</t>
        </is>
      </c>
      <c r="I3472" t="inlineStr">
        <is>
          <t>Monthly - Tuesday</t>
        </is>
      </c>
      <c r="J3472" t="inlineStr">
        <is>
          <t>Month+36 Expiry</t>
        </is>
      </c>
      <c r="K3472" s="25" t="n">
        <v>0</v>
      </c>
      <c r="L3472" s="26" t="n">
        <v>0</v>
      </c>
      <c r="M3472" s="26" t="n">
        <v>0</v>
      </c>
    </row>
    <row r="3473" ht="16" customHeight="1">
      <c r="A3473" t="inlineStr">
        <is>
          <t>12-Jun-2026</t>
        </is>
      </c>
      <c r="B3473" t="inlineStr">
        <is>
          <t>Friday</t>
        </is>
      </c>
      <c r="C3473" t="inlineStr">
        <is>
          <t>Week2-Jun-2026</t>
        </is>
      </c>
      <c r="D3473" s="78" t="n">
        <v>46174</v>
      </c>
      <c r="E3473" t="inlineStr">
        <is>
          <t>Q1FY27</t>
        </is>
      </c>
      <c r="F3473" t="inlineStr">
        <is>
          <t>24-Dec-2029</t>
        </is>
      </c>
      <c r="G3473" t="inlineStr">
        <is>
          <t>Monday</t>
        </is>
      </c>
      <c r="H3473" t="inlineStr">
        <is>
          <t>Weekly - Monday</t>
        </is>
      </c>
      <c r="I3473" t="inlineStr">
        <is>
          <t>Weekly - Monday</t>
        </is>
      </c>
      <c r="J3473" t="inlineStr">
        <is>
          <t>Month+42 Expiry</t>
        </is>
      </c>
      <c r="K3473" s="25" t="n">
        <v>0</v>
      </c>
      <c r="L3473" s="26" t="n">
        <v>0</v>
      </c>
      <c r="M3473" s="26" t="n">
        <v>0</v>
      </c>
    </row>
    <row r="3474" ht="16" customHeight="1">
      <c r="A3474" t="inlineStr">
        <is>
          <t>12-Jun-2026</t>
        </is>
      </c>
      <c r="B3474" t="inlineStr">
        <is>
          <t>Friday</t>
        </is>
      </c>
      <c r="C3474" t="inlineStr">
        <is>
          <t>Week2-Jun-2026</t>
        </is>
      </c>
      <c r="D3474" s="78" t="n">
        <v>46174</v>
      </c>
      <c r="E3474" t="inlineStr">
        <is>
          <t>Q1FY27</t>
        </is>
      </c>
      <c r="F3474" t="inlineStr">
        <is>
          <t>25-Jun-2030</t>
        </is>
      </c>
      <c r="G3474" t="inlineStr">
        <is>
          <t>Tuesday</t>
        </is>
      </c>
      <c r="H3474" t="inlineStr">
        <is>
          <t>Monthly - Tuesday</t>
        </is>
      </c>
      <c r="I3474" t="inlineStr">
        <is>
          <t>Monthly - Tuesday</t>
        </is>
      </c>
      <c r="J3474" t="inlineStr">
        <is>
          <t>Month+48 Expiry</t>
        </is>
      </c>
      <c r="K3474" s="25" t="n">
        <v>0</v>
      </c>
      <c r="L3474" s="26" t="n">
        <v>0</v>
      </c>
      <c r="M3474" s="26" t="n">
        <v>0</v>
      </c>
    </row>
    <row r="3475" ht="16" customHeight="1">
      <c r="A3475" t="inlineStr">
        <is>
          <t>12-Jun-2026</t>
        </is>
      </c>
      <c r="B3475" t="inlineStr">
        <is>
          <t>Friday</t>
        </is>
      </c>
      <c r="C3475" t="inlineStr">
        <is>
          <t>Week2-Jun-2026</t>
        </is>
      </c>
      <c r="D3475" s="78" t="n">
        <v>46174</v>
      </c>
      <c r="E3475" t="inlineStr">
        <is>
          <t>Q1FY27</t>
        </is>
      </c>
      <c r="F3475" t="inlineStr">
        <is>
          <t>31-Dec-2030</t>
        </is>
      </c>
      <c r="G3475" t="inlineStr">
        <is>
          <t>Tuesday</t>
        </is>
      </c>
      <c r="H3475" t="inlineStr">
        <is>
          <t>Monthly - Tuesday</t>
        </is>
      </c>
      <c r="I3475" t="inlineStr">
        <is>
          <t>Monthly - Tuesday</t>
        </is>
      </c>
      <c r="J3475" t="inlineStr">
        <is>
          <t>Month+54 Expiry</t>
        </is>
      </c>
      <c r="K3475" s="25" t="n">
        <v>0</v>
      </c>
      <c r="L3475" s="26" t="n">
        <v>0</v>
      </c>
      <c r="M3475" s="26" t="n">
        <v>0</v>
      </c>
    </row>
    <row r="3476" ht="16" customHeight="1">
      <c r="A3476" t="inlineStr">
        <is>
          <t>15-Jun-2026</t>
        </is>
      </c>
      <c r="B3476" t="inlineStr">
        <is>
          <t>Monday</t>
        </is>
      </c>
      <c r="C3476" t="inlineStr">
        <is>
          <t>Week3-Jun-2026</t>
        </is>
      </c>
      <c r="D3476" s="78" t="n">
        <v>46174</v>
      </c>
      <c r="E3476" t="inlineStr">
        <is>
          <t>Q1FY27</t>
        </is>
      </c>
      <c r="F3476" t="inlineStr">
        <is>
          <t>16-Jun-2026</t>
        </is>
      </c>
      <c r="G3476" t="inlineStr">
        <is>
          <t>Tuesday</t>
        </is>
      </c>
      <c r="H3476" t="inlineStr">
        <is>
          <t>Weekly - Tuesday</t>
        </is>
      </c>
      <c r="I3476" t="inlineStr">
        <is>
          <t>Weekly - Tuesday</t>
        </is>
      </c>
      <c r="J3476" t="inlineStr">
        <is>
          <t>Same Month Expiry</t>
        </is>
      </c>
      <c r="K3476" s="25" t="n">
        <v>141223335</v>
      </c>
      <c r="L3476" s="26" t="n">
        <v>219595.9934</v>
      </c>
      <c r="M3476" s="26" t="n">
        <v>508.5944</v>
      </c>
    </row>
    <row r="3477" ht="16" customHeight="1">
      <c r="A3477" t="inlineStr">
        <is>
          <t>15-Jun-2026</t>
        </is>
      </c>
      <c r="B3477" t="inlineStr">
        <is>
          <t>Monday</t>
        </is>
      </c>
      <c r="C3477" t="inlineStr">
        <is>
          <t>Week3-Jun-2026</t>
        </is>
      </c>
      <c r="D3477" s="78" t="n">
        <v>46174</v>
      </c>
      <c r="E3477" t="inlineStr">
        <is>
          <t>Q1FY27</t>
        </is>
      </c>
      <c r="F3477" t="inlineStr">
        <is>
          <t>23-Jun-2026</t>
        </is>
      </c>
      <c r="G3477" t="inlineStr">
        <is>
          <t>Tuesday</t>
        </is>
      </c>
      <c r="H3477" t="inlineStr">
        <is>
          <t>Weekly - Tuesday</t>
        </is>
      </c>
      <c r="I3477" t="inlineStr">
        <is>
          <t>Weekly - Tuesday</t>
        </is>
      </c>
      <c r="J3477" t="inlineStr">
        <is>
          <t>Same Month Expiry</t>
        </is>
      </c>
      <c r="K3477" s="25" t="n">
        <v>5212383</v>
      </c>
      <c r="L3477" s="26" t="n">
        <v>8118.4652</v>
      </c>
      <c r="M3477" s="26" t="n">
        <v>31.6733</v>
      </c>
    </row>
    <row r="3478" ht="16" customHeight="1">
      <c r="A3478" t="inlineStr">
        <is>
          <t>15-Jun-2026</t>
        </is>
      </c>
      <c r="B3478" t="inlineStr">
        <is>
          <t>Monday</t>
        </is>
      </c>
      <c r="C3478" t="inlineStr">
        <is>
          <t>Week3-Jun-2026</t>
        </is>
      </c>
      <c r="D3478" s="78" t="n">
        <v>46174</v>
      </c>
      <c r="E3478" t="inlineStr">
        <is>
          <t>Q1FY27</t>
        </is>
      </c>
      <c r="F3478" t="inlineStr">
        <is>
          <t>30-Jun-2026</t>
        </is>
      </c>
      <c r="G3478" t="inlineStr">
        <is>
          <t>Tuesday</t>
        </is>
      </c>
      <c r="H3478" t="inlineStr">
        <is>
          <t>Monthly - Tuesday</t>
        </is>
      </c>
      <c r="I3478" t="inlineStr">
        <is>
          <t>Monthly - Tuesday</t>
        </is>
      </c>
      <c r="J3478" t="inlineStr">
        <is>
          <t>Same Month Expiry</t>
        </is>
      </c>
      <c r="K3478" s="25" t="n">
        <v>2544467</v>
      </c>
      <c r="L3478" s="26" t="n">
        <v>3947.1254</v>
      </c>
      <c r="M3478" s="26" t="n">
        <v>23.232</v>
      </c>
    </row>
    <row r="3479" ht="16" customHeight="1">
      <c r="A3479" t="inlineStr">
        <is>
          <t>15-Jun-2026</t>
        </is>
      </c>
      <c r="B3479" t="inlineStr">
        <is>
          <t>Monday</t>
        </is>
      </c>
      <c r="C3479" t="inlineStr">
        <is>
          <t>Week3-Jun-2026</t>
        </is>
      </c>
      <c r="D3479" s="78" t="n">
        <v>46174</v>
      </c>
      <c r="E3479" t="inlineStr">
        <is>
          <t>Q1FY27</t>
        </is>
      </c>
      <c r="F3479" t="inlineStr">
        <is>
          <t>07-Jul-2026</t>
        </is>
      </c>
      <c r="G3479" t="inlineStr">
        <is>
          <t>Tuesday</t>
        </is>
      </c>
      <c r="H3479" t="inlineStr">
        <is>
          <t>Weekly - Tuesday</t>
        </is>
      </c>
      <c r="I3479" t="inlineStr">
        <is>
          <t>Weekly - Tuesday</t>
        </is>
      </c>
      <c r="J3479" t="inlineStr">
        <is>
          <t>Month+1 Expiry</t>
        </is>
      </c>
      <c r="K3479" s="25" t="n">
        <v>71323</v>
      </c>
      <c r="L3479" s="26" t="n">
        <v>111.0693</v>
      </c>
      <c r="M3479" s="26" t="n">
        <v>0.7144</v>
      </c>
    </row>
    <row r="3480" ht="16" customHeight="1">
      <c r="A3480" t="inlineStr">
        <is>
          <t>15-Jun-2026</t>
        </is>
      </c>
      <c r="B3480" t="inlineStr">
        <is>
          <t>Monday</t>
        </is>
      </c>
      <c r="C3480" t="inlineStr">
        <is>
          <t>Week3-Jun-2026</t>
        </is>
      </c>
      <c r="D3480" s="78" t="n">
        <v>46174</v>
      </c>
      <c r="E3480" t="inlineStr">
        <is>
          <t>Q1FY27</t>
        </is>
      </c>
      <c r="F3480" t="inlineStr">
        <is>
          <t>14-Jul-2026</t>
        </is>
      </c>
      <c r="G3480" t="inlineStr">
        <is>
          <t>Tuesday</t>
        </is>
      </c>
      <c r="H3480" t="inlineStr">
        <is>
          <t>Weekly - Tuesday</t>
        </is>
      </c>
      <c r="I3480" t="inlineStr">
        <is>
          <t>Weekly - Tuesday</t>
        </is>
      </c>
      <c r="J3480" t="inlineStr">
        <is>
          <t>Month+1 Expiry</t>
        </is>
      </c>
      <c r="K3480" s="25" t="n">
        <v>13354</v>
      </c>
      <c r="L3480" s="26" t="n">
        <v>20.8332</v>
      </c>
      <c r="M3480" s="26" t="n">
        <v>0.1409</v>
      </c>
    </row>
    <row r="3481" ht="16" customHeight="1">
      <c r="A3481" t="inlineStr">
        <is>
          <t>15-Jun-2026</t>
        </is>
      </c>
      <c r="B3481" t="inlineStr">
        <is>
          <t>Monday</t>
        </is>
      </c>
      <c r="C3481" t="inlineStr">
        <is>
          <t>Week3-Jun-2026</t>
        </is>
      </c>
      <c r="D3481" s="78" t="n">
        <v>46174</v>
      </c>
      <c r="E3481" t="inlineStr">
        <is>
          <t>Q1FY27</t>
        </is>
      </c>
      <c r="F3481" t="inlineStr">
        <is>
          <t>28-Jul-2026</t>
        </is>
      </c>
      <c r="G3481" t="inlineStr">
        <is>
          <t>Tuesday</t>
        </is>
      </c>
      <c r="H3481" t="inlineStr">
        <is>
          <t>Monthly - Tuesday</t>
        </is>
      </c>
      <c r="I3481" t="inlineStr">
        <is>
          <t>Monthly - Tuesday</t>
        </is>
      </c>
      <c r="J3481" t="inlineStr">
        <is>
          <t>Month+1 Expiry</t>
        </is>
      </c>
      <c r="K3481" s="25" t="n">
        <v>435306</v>
      </c>
      <c r="L3481" s="26" t="n">
        <v>670.8051</v>
      </c>
      <c r="M3481" s="26" t="n">
        <v>6.1505</v>
      </c>
    </row>
    <row r="3482" ht="16" customHeight="1">
      <c r="A3482" t="inlineStr">
        <is>
          <t>15-Jun-2026</t>
        </is>
      </c>
      <c r="B3482" t="inlineStr">
        <is>
          <t>Monday</t>
        </is>
      </c>
      <c r="C3482" t="inlineStr">
        <is>
          <t>Week3-Jun-2026</t>
        </is>
      </c>
      <c r="D3482" s="78" t="n">
        <v>46174</v>
      </c>
      <c r="E3482" t="inlineStr">
        <is>
          <t>Q1FY27</t>
        </is>
      </c>
      <c r="F3482" t="inlineStr">
        <is>
          <t>25-Aug-2026</t>
        </is>
      </c>
      <c r="G3482" t="inlineStr">
        <is>
          <t>Tuesday</t>
        </is>
      </c>
      <c r="H3482" t="inlineStr">
        <is>
          <t>Monthly - Tuesday</t>
        </is>
      </c>
      <c r="I3482" t="inlineStr">
        <is>
          <t>Monthly - Tuesday</t>
        </is>
      </c>
      <c r="J3482" t="inlineStr">
        <is>
          <t>Month+2 Expiry</t>
        </is>
      </c>
      <c r="K3482" s="25" t="n">
        <v>89861</v>
      </c>
      <c r="L3482" s="26" t="n">
        <v>139.4493</v>
      </c>
      <c r="M3482" s="26" t="n">
        <v>1.7665</v>
      </c>
    </row>
    <row r="3483" ht="16" customHeight="1">
      <c r="A3483" t="inlineStr">
        <is>
          <t>15-Jun-2026</t>
        </is>
      </c>
      <c r="B3483" t="inlineStr">
        <is>
          <t>Monday</t>
        </is>
      </c>
      <c r="C3483" t="inlineStr">
        <is>
          <t>Week3-Jun-2026</t>
        </is>
      </c>
      <c r="D3483" s="78" t="n">
        <v>46174</v>
      </c>
      <c r="E3483" t="inlineStr">
        <is>
          <t>Q1FY27</t>
        </is>
      </c>
      <c r="F3483" t="inlineStr">
        <is>
          <t>29-Sep-2026</t>
        </is>
      </c>
      <c r="G3483" t="inlineStr">
        <is>
          <t>Tuesday</t>
        </is>
      </c>
      <c r="H3483" t="inlineStr">
        <is>
          <t>Monthly - Tuesday</t>
        </is>
      </c>
      <c r="I3483" t="inlineStr">
        <is>
          <t>Monthly - Tuesday</t>
        </is>
      </c>
      <c r="J3483" t="inlineStr">
        <is>
          <t>Month+3 Expiry</t>
        </is>
      </c>
      <c r="K3483" s="25" t="n">
        <v>53920</v>
      </c>
      <c r="L3483" s="26" t="n">
        <v>86.0365</v>
      </c>
      <c r="M3483" s="26" t="n">
        <v>1.0482</v>
      </c>
    </row>
    <row r="3484" ht="16" customHeight="1">
      <c r="A3484" t="inlineStr">
        <is>
          <t>15-Jun-2026</t>
        </is>
      </c>
      <c r="B3484" t="inlineStr">
        <is>
          <t>Monday</t>
        </is>
      </c>
      <c r="C3484" t="inlineStr">
        <is>
          <t>Week3-Jun-2026</t>
        </is>
      </c>
      <c r="D3484" s="78" t="n">
        <v>46174</v>
      </c>
      <c r="E3484" t="inlineStr">
        <is>
          <t>Q1FY27</t>
        </is>
      </c>
      <c r="F3484" t="inlineStr">
        <is>
          <t>29-Dec-2026</t>
        </is>
      </c>
      <c r="G3484" t="inlineStr">
        <is>
          <t>Tuesday</t>
        </is>
      </c>
      <c r="H3484" t="inlineStr">
        <is>
          <t>Monthly - Tuesday</t>
        </is>
      </c>
      <c r="I3484" t="inlineStr">
        <is>
          <t>Monthly - Tuesday</t>
        </is>
      </c>
      <c r="J3484" t="inlineStr">
        <is>
          <t>Month+6 Expiry</t>
        </is>
      </c>
      <c r="K3484" s="25" t="n">
        <v>82810</v>
      </c>
      <c r="L3484" s="26" t="n">
        <v>129.732</v>
      </c>
      <c r="M3484" s="26" t="n">
        <v>3.0217</v>
      </c>
    </row>
    <row r="3485" ht="16" customHeight="1">
      <c r="A3485" t="inlineStr">
        <is>
          <t>15-Jun-2026</t>
        </is>
      </c>
      <c r="B3485" t="inlineStr">
        <is>
          <t>Monday</t>
        </is>
      </c>
      <c r="C3485" t="inlineStr">
        <is>
          <t>Week3-Jun-2026</t>
        </is>
      </c>
      <c r="D3485" s="78" t="n">
        <v>46174</v>
      </c>
      <c r="E3485" t="inlineStr">
        <is>
          <t>Q1FY27</t>
        </is>
      </c>
      <c r="F3485" t="inlineStr">
        <is>
          <t>30-Mar-2027</t>
        </is>
      </c>
      <c r="G3485" t="inlineStr">
        <is>
          <t>Tuesday</t>
        </is>
      </c>
      <c r="H3485" t="inlineStr">
        <is>
          <t>Monthly - Tuesday</t>
        </is>
      </c>
      <c r="I3485" t="inlineStr">
        <is>
          <t>Monthly - Tuesday</t>
        </is>
      </c>
      <c r="J3485" t="inlineStr">
        <is>
          <t>Month+9 Expiry</t>
        </is>
      </c>
      <c r="K3485" s="25" t="n">
        <v>204</v>
      </c>
      <c r="L3485" s="26" t="n">
        <v>0.3607</v>
      </c>
      <c r="M3485" s="26" t="n">
        <v>0.0034</v>
      </c>
    </row>
    <row r="3486" ht="16" customHeight="1">
      <c r="A3486" t="inlineStr">
        <is>
          <t>15-Jun-2026</t>
        </is>
      </c>
      <c r="B3486" t="inlineStr">
        <is>
          <t>Monday</t>
        </is>
      </c>
      <c r="C3486" t="inlineStr">
        <is>
          <t>Week3-Jun-2026</t>
        </is>
      </c>
      <c r="D3486" s="78" t="n">
        <v>46174</v>
      </c>
      <c r="E3486" t="inlineStr">
        <is>
          <t>Q1FY27</t>
        </is>
      </c>
      <c r="F3486" t="inlineStr">
        <is>
          <t>29-Jun-2027</t>
        </is>
      </c>
      <c r="G3486" t="inlineStr">
        <is>
          <t>Tuesday</t>
        </is>
      </c>
      <c r="H3486" t="inlineStr">
        <is>
          <t>Monthly - Tuesday</t>
        </is>
      </c>
      <c r="I3486" t="inlineStr">
        <is>
          <t>Monthly - Tuesday</t>
        </is>
      </c>
      <c r="J3486" t="inlineStr">
        <is>
          <t>Month+12 Expiry</t>
        </is>
      </c>
      <c r="K3486" s="25" t="n">
        <v>11</v>
      </c>
      <c r="L3486" s="26" t="n">
        <v>0.0155</v>
      </c>
      <c r="M3486" s="26" t="n">
        <v>0.0003</v>
      </c>
    </row>
    <row r="3487" ht="16" customHeight="1">
      <c r="A3487" t="inlineStr">
        <is>
          <t>15-Jun-2026</t>
        </is>
      </c>
      <c r="B3487" t="inlineStr">
        <is>
          <t>Monday</t>
        </is>
      </c>
      <c r="C3487" t="inlineStr">
        <is>
          <t>Week3-Jun-2026</t>
        </is>
      </c>
      <c r="D3487" s="78" t="n">
        <v>46174</v>
      </c>
      <c r="E3487" t="inlineStr">
        <is>
          <t>Q1FY27</t>
        </is>
      </c>
      <c r="F3487" t="inlineStr">
        <is>
          <t>28-Dec-2027</t>
        </is>
      </c>
      <c r="G3487" t="inlineStr">
        <is>
          <t>Tuesday</t>
        </is>
      </c>
      <c r="H3487" t="inlineStr">
        <is>
          <t>Monthly - Tuesday</t>
        </is>
      </c>
      <c r="I3487" t="inlineStr">
        <is>
          <t>Monthly - Tuesday</t>
        </is>
      </c>
      <c r="J3487" t="inlineStr">
        <is>
          <t>Month+18 Expiry</t>
        </is>
      </c>
      <c r="K3487" s="25" t="n">
        <v>524</v>
      </c>
      <c r="L3487" s="26" t="n">
        <v>0.8885999999999999</v>
      </c>
      <c r="M3487" s="26" t="n">
        <v>0.0418</v>
      </c>
    </row>
    <row r="3488" ht="16" customHeight="1">
      <c r="A3488" t="inlineStr">
        <is>
          <t>15-Jun-2026</t>
        </is>
      </c>
      <c r="B3488" t="inlineStr">
        <is>
          <t>Monday</t>
        </is>
      </c>
      <c r="C3488" t="inlineStr">
        <is>
          <t>Week3-Jun-2026</t>
        </is>
      </c>
      <c r="D3488" s="78" t="n">
        <v>46174</v>
      </c>
      <c r="E3488" t="inlineStr">
        <is>
          <t>Q1FY27</t>
        </is>
      </c>
      <c r="F3488" t="inlineStr">
        <is>
          <t>27-Jun-2028</t>
        </is>
      </c>
      <c r="G3488" t="inlineStr">
        <is>
          <t>Tuesday</t>
        </is>
      </c>
      <c r="H3488" t="inlineStr">
        <is>
          <t>Monthly - Tuesday</t>
        </is>
      </c>
      <c r="I3488" t="inlineStr">
        <is>
          <t>Monthly - Tuesday</t>
        </is>
      </c>
      <c r="J3488" t="inlineStr">
        <is>
          <t>Month+24 Expiry</t>
        </is>
      </c>
      <c r="K3488" s="25" t="n">
        <v>0</v>
      </c>
      <c r="L3488" s="26" t="n">
        <v>0</v>
      </c>
      <c r="M3488" s="26" t="n">
        <v>0</v>
      </c>
    </row>
    <row r="3489" ht="16" customHeight="1">
      <c r="A3489" t="inlineStr">
        <is>
          <t>15-Jun-2026</t>
        </is>
      </c>
      <c r="B3489" t="inlineStr">
        <is>
          <t>Monday</t>
        </is>
      </c>
      <c r="C3489" t="inlineStr">
        <is>
          <t>Week3-Jun-2026</t>
        </is>
      </c>
      <c r="D3489" s="78" t="n">
        <v>46174</v>
      </c>
      <c r="E3489" t="inlineStr">
        <is>
          <t>Q1FY27</t>
        </is>
      </c>
      <c r="F3489" t="inlineStr">
        <is>
          <t>26-Dec-2028</t>
        </is>
      </c>
      <c r="G3489" t="inlineStr">
        <is>
          <t>Tuesday</t>
        </is>
      </c>
      <c r="H3489" t="inlineStr">
        <is>
          <t>Monthly - Tuesday</t>
        </is>
      </c>
      <c r="I3489" t="inlineStr">
        <is>
          <t>Monthly - Tuesday</t>
        </is>
      </c>
      <c r="J3489" t="inlineStr">
        <is>
          <t>Month+30 Expiry</t>
        </is>
      </c>
      <c r="K3489" s="25" t="n">
        <v>18</v>
      </c>
      <c r="L3489" s="26" t="n">
        <v>0.0346</v>
      </c>
      <c r="M3489" s="26" t="n">
        <v>0.0024</v>
      </c>
    </row>
    <row r="3490" ht="16" customHeight="1">
      <c r="A3490" t="inlineStr">
        <is>
          <t>15-Jun-2026</t>
        </is>
      </c>
      <c r="B3490" t="inlineStr">
        <is>
          <t>Monday</t>
        </is>
      </c>
      <c r="C3490" t="inlineStr">
        <is>
          <t>Week3-Jun-2026</t>
        </is>
      </c>
      <c r="D3490" s="78" t="n">
        <v>46174</v>
      </c>
      <c r="E3490" t="inlineStr">
        <is>
          <t>Q1FY27</t>
        </is>
      </c>
      <c r="F3490" t="inlineStr">
        <is>
          <t>26-Jun-2029</t>
        </is>
      </c>
      <c r="G3490" t="inlineStr">
        <is>
          <t>Tuesday</t>
        </is>
      </c>
      <c r="H3490" t="inlineStr">
        <is>
          <t>Monthly - Tuesday</t>
        </is>
      </c>
      <c r="I3490" t="inlineStr">
        <is>
          <t>Monthly - Tuesday</t>
        </is>
      </c>
      <c r="J3490" t="inlineStr">
        <is>
          <t>Month+36 Expiry</t>
        </is>
      </c>
      <c r="K3490" s="25" t="n">
        <v>0</v>
      </c>
      <c r="L3490" s="26" t="n">
        <v>0</v>
      </c>
      <c r="M3490" s="26" t="n">
        <v>0</v>
      </c>
    </row>
    <row r="3491" ht="16" customHeight="1">
      <c r="A3491" t="inlineStr">
        <is>
          <t>15-Jun-2026</t>
        </is>
      </c>
      <c r="B3491" t="inlineStr">
        <is>
          <t>Monday</t>
        </is>
      </c>
      <c r="C3491" t="inlineStr">
        <is>
          <t>Week3-Jun-2026</t>
        </is>
      </c>
      <c r="D3491" s="78" t="n">
        <v>46174</v>
      </c>
      <c r="E3491" t="inlineStr">
        <is>
          <t>Q1FY27</t>
        </is>
      </c>
      <c r="F3491" t="inlineStr">
        <is>
          <t>24-Dec-2029</t>
        </is>
      </c>
      <c r="G3491" t="inlineStr">
        <is>
          <t>Monday</t>
        </is>
      </c>
      <c r="H3491" t="inlineStr">
        <is>
          <t>Weekly - Monday</t>
        </is>
      </c>
      <c r="I3491" t="inlineStr">
        <is>
          <t>Weekly - Monday</t>
        </is>
      </c>
      <c r="J3491" t="inlineStr">
        <is>
          <t>Month+42 Expiry</t>
        </is>
      </c>
      <c r="K3491" s="25" t="n">
        <v>0</v>
      </c>
      <c r="L3491" s="26" t="n">
        <v>0</v>
      </c>
      <c r="M3491" s="26" t="n">
        <v>0</v>
      </c>
    </row>
    <row r="3492" ht="16" customHeight="1">
      <c r="A3492" t="inlineStr">
        <is>
          <t>15-Jun-2026</t>
        </is>
      </c>
      <c r="B3492" t="inlineStr">
        <is>
          <t>Monday</t>
        </is>
      </c>
      <c r="C3492" t="inlineStr">
        <is>
          <t>Week3-Jun-2026</t>
        </is>
      </c>
      <c r="D3492" s="78" t="n">
        <v>46174</v>
      </c>
      <c r="E3492" t="inlineStr">
        <is>
          <t>Q1FY27</t>
        </is>
      </c>
      <c r="F3492" t="inlineStr">
        <is>
          <t>25-Jun-2030</t>
        </is>
      </c>
      <c r="G3492" t="inlineStr">
        <is>
          <t>Tuesday</t>
        </is>
      </c>
      <c r="H3492" t="inlineStr">
        <is>
          <t>Monthly - Tuesday</t>
        </is>
      </c>
      <c r="I3492" t="inlineStr">
        <is>
          <t>Monthly - Tuesday</t>
        </is>
      </c>
      <c r="J3492" t="inlineStr">
        <is>
          <t>Month+48 Expiry</t>
        </is>
      </c>
      <c r="K3492" s="25" t="n">
        <v>0</v>
      </c>
      <c r="L3492" s="26" t="n">
        <v>0</v>
      </c>
      <c r="M3492" s="26" t="n">
        <v>0</v>
      </c>
    </row>
    <row r="3493" ht="16" customHeight="1">
      <c r="A3493" t="inlineStr">
        <is>
          <t>15-Jun-2026</t>
        </is>
      </c>
      <c r="B3493" t="inlineStr">
        <is>
          <t>Monday</t>
        </is>
      </c>
      <c r="C3493" t="inlineStr">
        <is>
          <t>Week3-Jun-2026</t>
        </is>
      </c>
      <c r="D3493" s="78" t="n">
        <v>46174</v>
      </c>
      <c r="E3493" t="inlineStr">
        <is>
          <t>Q1FY27</t>
        </is>
      </c>
      <c r="F3493" t="inlineStr">
        <is>
          <t>31-Dec-2030</t>
        </is>
      </c>
      <c r="G3493" t="inlineStr">
        <is>
          <t>Tuesday</t>
        </is>
      </c>
      <c r="H3493" t="inlineStr">
        <is>
          <t>Monthly - Tuesday</t>
        </is>
      </c>
      <c r="I3493" t="inlineStr">
        <is>
          <t>Monthly - Tuesday</t>
        </is>
      </c>
      <c r="J3493" t="inlineStr">
        <is>
          <t>Month+54 Expiry</t>
        </is>
      </c>
      <c r="K3493" s="25" t="n">
        <v>0</v>
      </c>
      <c r="L3493" s="26" t="n">
        <v>0</v>
      </c>
      <c r="M3493" s="26" t="n">
        <v>0</v>
      </c>
    </row>
    <row r="3494" ht="16" customHeight="1">
      <c r="A3494" t="inlineStr">
        <is>
          <t>16-Jun-2026</t>
        </is>
      </c>
      <c r="B3494" t="inlineStr">
        <is>
          <t>Tuesday</t>
        </is>
      </c>
      <c r="C3494" t="inlineStr">
        <is>
          <t>Week3-Jun-2026</t>
        </is>
      </c>
      <c r="D3494" s="78" t="n">
        <v>46174</v>
      </c>
      <c r="E3494" t="inlineStr">
        <is>
          <t>Q1FY27</t>
        </is>
      </c>
      <c r="F3494" t="inlineStr">
        <is>
          <t>16-Jun-2026</t>
        </is>
      </c>
      <c r="G3494" t="inlineStr">
        <is>
          <t>Tuesday</t>
        </is>
      </c>
      <c r="H3494" t="inlineStr">
        <is>
          <t>Weekly - Tuesday</t>
        </is>
      </c>
      <c r="I3494" t="inlineStr">
        <is>
          <t>Weekly - Tuesday</t>
        </is>
      </c>
      <c r="J3494" t="inlineStr">
        <is>
          <t>Same Month Expiry</t>
        </is>
      </c>
      <c r="K3494" s="25" t="n">
        <v>338771863</v>
      </c>
      <c r="L3494" s="26" t="n">
        <v>527545.4911</v>
      </c>
      <c r="M3494" s="26" t="n">
        <v>510.5934</v>
      </c>
    </row>
    <row r="3495" ht="16" customHeight="1">
      <c r="A3495" t="inlineStr">
        <is>
          <t>16-Jun-2026</t>
        </is>
      </c>
      <c r="B3495" t="inlineStr">
        <is>
          <t>Tuesday</t>
        </is>
      </c>
      <c r="C3495" t="inlineStr">
        <is>
          <t>Week3-Jun-2026</t>
        </is>
      </c>
      <c r="D3495" s="78" t="n">
        <v>46174</v>
      </c>
      <c r="E3495" t="inlineStr">
        <is>
          <t>Q1FY27</t>
        </is>
      </c>
      <c r="F3495" t="inlineStr">
        <is>
          <t>23-Jun-2026</t>
        </is>
      </c>
      <c r="G3495" t="inlineStr">
        <is>
          <t>Tuesday</t>
        </is>
      </c>
      <c r="H3495" t="inlineStr">
        <is>
          <t>Weekly - Tuesday</t>
        </is>
      </c>
      <c r="I3495" t="inlineStr">
        <is>
          <t>Weekly - Tuesday</t>
        </is>
      </c>
      <c r="J3495" t="inlineStr">
        <is>
          <t>Same Month Expiry</t>
        </is>
      </c>
      <c r="K3495" s="25" t="n">
        <v>8195508</v>
      </c>
      <c r="L3495" s="26" t="n">
        <v>12766.075</v>
      </c>
      <c r="M3495" s="26" t="n">
        <v>44.7264</v>
      </c>
    </row>
    <row r="3496" ht="16" customHeight="1">
      <c r="A3496" t="inlineStr">
        <is>
          <t>16-Jun-2026</t>
        </is>
      </c>
      <c r="B3496" t="inlineStr">
        <is>
          <t>Tuesday</t>
        </is>
      </c>
      <c r="C3496" t="inlineStr">
        <is>
          <t>Week3-Jun-2026</t>
        </is>
      </c>
      <c r="D3496" s="78" t="n">
        <v>46174</v>
      </c>
      <c r="E3496" t="inlineStr">
        <is>
          <t>Q1FY27</t>
        </is>
      </c>
      <c r="F3496" t="inlineStr">
        <is>
          <t>30-Jun-2026</t>
        </is>
      </c>
      <c r="G3496" t="inlineStr">
        <is>
          <t>Tuesday</t>
        </is>
      </c>
      <c r="H3496" t="inlineStr">
        <is>
          <t>Monthly - Tuesday</t>
        </is>
      </c>
      <c r="I3496" t="inlineStr">
        <is>
          <t>Monthly - Tuesday</t>
        </is>
      </c>
      <c r="J3496" t="inlineStr">
        <is>
          <t>Same Month Expiry</t>
        </is>
      </c>
      <c r="K3496" s="25" t="n">
        <v>1799364</v>
      </c>
      <c r="L3496" s="26" t="n">
        <v>2807.64</v>
      </c>
      <c r="M3496" s="26" t="n">
        <v>14.5085</v>
      </c>
    </row>
    <row r="3497" ht="16" customHeight="1">
      <c r="A3497" t="inlineStr">
        <is>
          <t>16-Jun-2026</t>
        </is>
      </c>
      <c r="B3497" t="inlineStr">
        <is>
          <t>Tuesday</t>
        </is>
      </c>
      <c r="C3497" t="inlineStr">
        <is>
          <t>Week3-Jun-2026</t>
        </is>
      </c>
      <c r="D3497" s="78" t="n">
        <v>46174</v>
      </c>
      <c r="E3497" t="inlineStr">
        <is>
          <t>Q1FY27</t>
        </is>
      </c>
      <c r="F3497" t="inlineStr">
        <is>
          <t>07-Jul-2026</t>
        </is>
      </c>
      <c r="G3497" t="inlineStr">
        <is>
          <t>Tuesday</t>
        </is>
      </c>
      <c r="H3497" t="inlineStr">
        <is>
          <t>Weekly - Tuesday</t>
        </is>
      </c>
      <c r="I3497" t="inlineStr">
        <is>
          <t>Weekly - Tuesday</t>
        </is>
      </c>
      <c r="J3497" t="inlineStr">
        <is>
          <t>Month+1 Expiry</t>
        </is>
      </c>
      <c r="K3497" s="25" t="n">
        <v>55111</v>
      </c>
      <c r="L3497" s="26" t="n">
        <v>86.20740000000001</v>
      </c>
      <c r="M3497" s="26" t="n">
        <v>0.4879</v>
      </c>
    </row>
    <row r="3498" ht="16" customHeight="1">
      <c r="A3498" t="inlineStr">
        <is>
          <t>16-Jun-2026</t>
        </is>
      </c>
      <c r="B3498" t="inlineStr">
        <is>
          <t>Tuesday</t>
        </is>
      </c>
      <c r="C3498" t="inlineStr">
        <is>
          <t>Week3-Jun-2026</t>
        </is>
      </c>
      <c r="D3498" s="78" t="n">
        <v>46174</v>
      </c>
      <c r="E3498" t="inlineStr">
        <is>
          <t>Q1FY27</t>
        </is>
      </c>
      <c r="F3498" t="inlineStr">
        <is>
          <t>14-Jul-2026</t>
        </is>
      </c>
      <c r="G3498" t="inlineStr">
        <is>
          <t>Tuesday</t>
        </is>
      </c>
      <c r="H3498" t="inlineStr">
        <is>
          <t>Weekly - Tuesday</t>
        </is>
      </c>
      <c r="I3498" t="inlineStr">
        <is>
          <t>Weekly - Tuesday</t>
        </is>
      </c>
      <c r="J3498" t="inlineStr">
        <is>
          <t>Month+1 Expiry</t>
        </is>
      </c>
      <c r="K3498" s="25" t="n">
        <v>6886</v>
      </c>
      <c r="L3498" s="26" t="n">
        <v>10.7598</v>
      </c>
      <c r="M3498" s="26" t="n">
        <v>0.06469999999999999</v>
      </c>
    </row>
    <row r="3499" ht="16" customHeight="1">
      <c r="A3499" t="inlineStr">
        <is>
          <t>16-Jun-2026</t>
        </is>
      </c>
      <c r="B3499" t="inlineStr">
        <is>
          <t>Tuesday</t>
        </is>
      </c>
      <c r="C3499" t="inlineStr">
        <is>
          <t>Week3-Jun-2026</t>
        </is>
      </c>
      <c r="D3499" s="78" t="n">
        <v>46174</v>
      </c>
      <c r="E3499" t="inlineStr">
        <is>
          <t>Q1FY27</t>
        </is>
      </c>
      <c r="F3499" t="inlineStr">
        <is>
          <t>28-Jul-2026</t>
        </is>
      </c>
      <c r="G3499" t="inlineStr">
        <is>
          <t>Tuesday</t>
        </is>
      </c>
      <c r="H3499" t="inlineStr">
        <is>
          <t>Monthly - Tuesday</t>
        </is>
      </c>
      <c r="I3499" t="inlineStr">
        <is>
          <t>Monthly - Tuesday</t>
        </is>
      </c>
      <c r="J3499" t="inlineStr">
        <is>
          <t>Month+1 Expiry</t>
        </is>
      </c>
      <c r="K3499" s="25" t="n">
        <v>250441</v>
      </c>
      <c r="L3499" s="26" t="n">
        <v>388.6366</v>
      </c>
      <c r="M3499" s="26" t="n">
        <v>3.1932</v>
      </c>
    </row>
    <row r="3500" ht="16" customHeight="1">
      <c r="A3500" t="inlineStr">
        <is>
          <t>16-Jun-2026</t>
        </is>
      </c>
      <c r="B3500" t="inlineStr">
        <is>
          <t>Tuesday</t>
        </is>
      </c>
      <c r="C3500" t="inlineStr">
        <is>
          <t>Week3-Jun-2026</t>
        </is>
      </c>
      <c r="D3500" s="78" t="n">
        <v>46174</v>
      </c>
      <c r="E3500" t="inlineStr">
        <is>
          <t>Q1FY27</t>
        </is>
      </c>
      <c r="F3500" t="inlineStr">
        <is>
          <t>25-Aug-2026</t>
        </is>
      </c>
      <c r="G3500" t="inlineStr">
        <is>
          <t>Tuesday</t>
        </is>
      </c>
      <c r="H3500" t="inlineStr">
        <is>
          <t>Monthly - Tuesday</t>
        </is>
      </c>
      <c r="I3500" t="inlineStr">
        <is>
          <t>Monthly - Tuesday</t>
        </is>
      </c>
      <c r="J3500" t="inlineStr">
        <is>
          <t>Month+2 Expiry</t>
        </is>
      </c>
      <c r="K3500" s="25" t="n">
        <v>45411</v>
      </c>
      <c r="L3500" s="26" t="n">
        <v>71.1542</v>
      </c>
      <c r="M3500" s="26" t="n">
        <v>0.8489</v>
      </c>
    </row>
    <row r="3501" ht="16" customHeight="1">
      <c r="A3501" t="inlineStr">
        <is>
          <t>16-Jun-2026</t>
        </is>
      </c>
      <c r="B3501" t="inlineStr">
        <is>
          <t>Tuesday</t>
        </is>
      </c>
      <c r="C3501" t="inlineStr">
        <is>
          <t>Week3-Jun-2026</t>
        </is>
      </c>
      <c r="D3501" s="78" t="n">
        <v>46174</v>
      </c>
      <c r="E3501" t="inlineStr">
        <is>
          <t>Q1FY27</t>
        </is>
      </c>
      <c r="F3501" t="inlineStr">
        <is>
          <t>29-Sep-2026</t>
        </is>
      </c>
      <c r="G3501" t="inlineStr">
        <is>
          <t>Tuesday</t>
        </is>
      </c>
      <c r="H3501" t="inlineStr">
        <is>
          <t>Monthly - Tuesday</t>
        </is>
      </c>
      <c r="I3501" t="inlineStr">
        <is>
          <t>Monthly - Tuesday</t>
        </is>
      </c>
      <c r="J3501" t="inlineStr">
        <is>
          <t>Month+3 Expiry</t>
        </is>
      </c>
      <c r="K3501" s="25" t="n">
        <v>34795</v>
      </c>
      <c r="L3501" s="26" t="n">
        <v>52.4512</v>
      </c>
      <c r="M3501" s="26" t="n">
        <v>0.615</v>
      </c>
    </row>
    <row r="3502" ht="16" customHeight="1">
      <c r="A3502" t="inlineStr">
        <is>
          <t>16-Jun-2026</t>
        </is>
      </c>
      <c r="B3502" t="inlineStr">
        <is>
          <t>Tuesday</t>
        </is>
      </c>
      <c r="C3502" t="inlineStr">
        <is>
          <t>Week3-Jun-2026</t>
        </is>
      </c>
      <c r="D3502" s="78" t="n">
        <v>46174</v>
      </c>
      <c r="E3502" t="inlineStr">
        <is>
          <t>Q1FY27</t>
        </is>
      </c>
      <c r="F3502" t="inlineStr">
        <is>
          <t>29-Dec-2026</t>
        </is>
      </c>
      <c r="G3502" t="inlineStr">
        <is>
          <t>Tuesday</t>
        </is>
      </c>
      <c r="H3502" t="inlineStr">
        <is>
          <t>Monthly - Tuesday</t>
        </is>
      </c>
      <c r="I3502" t="inlineStr">
        <is>
          <t>Monthly - Tuesday</t>
        </is>
      </c>
      <c r="J3502" t="inlineStr">
        <is>
          <t>Month+6 Expiry</t>
        </is>
      </c>
      <c r="K3502" s="25" t="n">
        <v>40326</v>
      </c>
      <c r="L3502" s="26" t="n">
        <v>62.5428</v>
      </c>
      <c r="M3502" s="26" t="n">
        <v>1.1986</v>
      </c>
    </row>
    <row r="3503" ht="16" customHeight="1">
      <c r="A3503" t="inlineStr">
        <is>
          <t>16-Jun-2026</t>
        </is>
      </c>
      <c r="B3503" t="inlineStr">
        <is>
          <t>Tuesday</t>
        </is>
      </c>
      <c r="C3503" t="inlineStr">
        <is>
          <t>Week3-Jun-2026</t>
        </is>
      </c>
      <c r="D3503" s="78" t="n">
        <v>46174</v>
      </c>
      <c r="E3503" t="inlineStr">
        <is>
          <t>Q1FY27</t>
        </is>
      </c>
      <c r="F3503" t="inlineStr">
        <is>
          <t>30-Mar-2027</t>
        </is>
      </c>
      <c r="G3503" t="inlineStr">
        <is>
          <t>Tuesday</t>
        </is>
      </c>
      <c r="H3503" t="inlineStr">
        <is>
          <t>Monthly - Tuesday</t>
        </is>
      </c>
      <c r="I3503" t="inlineStr">
        <is>
          <t>Monthly - Tuesday</t>
        </is>
      </c>
      <c r="J3503" t="inlineStr">
        <is>
          <t>Month+9 Expiry</t>
        </is>
      </c>
      <c r="K3503" s="25" t="n">
        <v>164</v>
      </c>
      <c r="L3503" s="26" t="n">
        <v>0.2892</v>
      </c>
      <c r="M3503" s="26" t="n">
        <v>0.0024</v>
      </c>
    </row>
    <row r="3504" ht="16" customHeight="1">
      <c r="A3504" t="inlineStr">
        <is>
          <t>16-Jun-2026</t>
        </is>
      </c>
      <c r="B3504" t="inlineStr">
        <is>
          <t>Tuesday</t>
        </is>
      </c>
      <c r="C3504" t="inlineStr">
        <is>
          <t>Week3-Jun-2026</t>
        </is>
      </c>
      <c r="D3504" s="78" t="n">
        <v>46174</v>
      </c>
      <c r="E3504" t="inlineStr">
        <is>
          <t>Q1FY27</t>
        </is>
      </c>
      <c r="F3504" t="inlineStr">
        <is>
          <t>29-Jun-2027</t>
        </is>
      </c>
      <c r="G3504" t="inlineStr">
        <is>
          <t>Tuesday</t>
        </is>
      </c>
      <c r="H3504" t="inlineStr">
        <is>
          <t>Monthly - Tuesday</t>
        </is>
      </c>
      <c r="I3504" t="inlineStr">
        <is>
          <t>Monthly - Tuesday</t>
        </is>
      </c>
      <c r="J3504" t="inlineStr">
        <is>
          <t>Month+12 Expiry</t>
        </is>
      </c>
      <c r="K3504" s="25" t="n">
        <v>0</v>
      </c>
      <c r="L3504" s="26" t="n">
        <v>0</v>
      </c>
      <c r="M3504" s="26" t="n">
        <v>0</v>
      </c>
    </row>
    <row r="3505" ht="16" customHeight="1">
      <c r="A3505" t="inlineStr">
        <is>
          <t>16-Jun-2026</t>
        </is>
      </c>
      <c r="B3505" t="inlineStr">
        <is>
          <t>Tuesday</t>
        </is>
      </c>
      <c r="C3505" t="inlineStr">
        <is>
          <t>Week3-Jun-2026</t>
        </is>
      </c>
      <c r="D3505" s="78" t="n">
        <v>46174</v>
      </c>
      <c r="E3505" t="inlineStr">
        <is>
          <t>Q1FY27</t>
        </is>
      </c>
      <c r="F3505" t="inlineStr">
        <is>
          <t>28-Dec-2027</t>
        </is>
      </c>
      <c r="G3505" t="inlineStr">
        <is>
          <t>Tuesday</t>
        </is>
      </c>
      <c r="H3505" t="inlineStr">
        <is>
          <t>Monthly - Tuesday</t>
        </is>
      </c>
      <c r="I3505" t="inlineStr">
        <is>
          <t>Monthly - Tuesday</t>
        </is>
      </c>
      <c r="J3505" t="inlineStr">
        <is>
          <t>Month+18 Expiry</t>
        </is>
      </c>
      <c r="K3505" s="25" t="n">
        <v>234</v>
      </c>
      <c r="L3505" s="26" t="n">
        <v>0.4119</v>
      </c>
      <c r="M3505" s="26" t="n">
        <v>0.0195</v>
      </c>
    </row>
    <row r="3506" ht="16" customHeight="1">
      <c r="A3506" t="inlineStr">
        <is>
          <t>16-Jun-2026</t>
        </is>
      </c>
      <c r="B3506" t="inlineStr">
        <is>
          <t>Tuesday</t>
        </is>
      </c>
      <c r="C3506" t="inlineStr">
        <is>
          <t>Week3-Jun-2026</t>
        </is>
      </c>
      <c r="D3506" s="78" t="n">
        <v>46174</v>
      </c>
      <c r="E3506" t="inlineStr">
        <is>
          <t>Q1FY27</t>
        </is>
      </c>
      <c r="F3506" t="inlineStr">
        <is>
          <t>27-Jun-2028</t>
        </is>
      </c>
      <c r="G3506" t="inlineStr">
        <is>
          <t>Tuesday</t>
        </is>
      </c>
      <c r="H3506" t="inlineStr">
        <is>
          <t>Monthly - Tuesday</t>
        </is>
      </c>
      <c r="I3506" t="inlineStr">
        <is>
          <t>Monthly - Tuesday</t>
        </is>
      </c>
      <c r="J3506" t="inlineStr">
        <is>
          <t>Month+24 Expiry</t>
        </is>
      </c>
      <c r="K3506" s="25" t="n">
        <v>0</v>
      </c>
      <c r="L3506" s="26" t="n">
        <v>0</v>
      </c>
      <c r="M3506" s="26" t="n">
        <v>0</v>
      </c>
    </row>
    <row r="3507" ht="16" customHeight="1">
      <c r="A3507" t="inlineStr">
        <is>
          <t>16-Jun-2026</t>
        </is>
      </c>
      <c r="B3507" t="inlineStr">
        <is>
          <t>Tuesday</t>
        </is>
      </c>
      <c r="C3507" t="inlineStr">
        <is>
          <t>Week3-Jun-2026</t>
        </is>
      </c>
      <c r="D3507" s="78" t="n">
        <v>46174</v>
      </c>
      <c r="E3507" t="inlineStr">
        <is>
          <t>Q1FY27</t>
        </is>
      </c>
      <c r="F3507" t="inlineStr">
        <is>
          <t>26-Dec-2028</t>
        </is>
      </c>
      <c r="G3507" t="inlineStr">
        <is>
          <t>Tuesday</t>
        </is>
      </c>
      <c r="H3507" t="inlineStr">
        <is>
          <t>Monthly - Tuesday</t>
        </is>
      </c>
      <c r="I3507" t="inlineStr">
        <is>
          <t>Monthly - Tuesday</t>
        </is>
      </c>
      <c r="J3507" t="inlineStr">
        <is>
          <t>Month+30 Expiry</t>
        </is>
      </c>
      <c r="K3507" s="25" t="n">
        <v>22</v>
      </c>
      <c r="L3507" s="26" t="n">
        <v>0.0387</v>
      </c>
      <c r="M3507" s="26" t="n">
        <v>0.0023</v>
      </c>
    </row>
    <row r="3508" ht="16" customHeight="1">
      <c r="A3508" t="inlineStr">
        <is>
          <t>16-Jun-2026</t>
        </is>
      </c>
      <c r="B3508" t="inlineStr">
        <is>
          <t>Tuesday</t>
        </is>
      </c>
      <c r="C3508" t="inlineStr">
        <is>
          <t>Week3-Jun-2026</t>
        </is>
      </c>
      <c r="D3508" s="78" t="n">
        <v>46174</v>
      </c>
      <c r="E3508" t="inlineStr">
        <is>
          <t>Q1FY27</t>
        </is>
      </c>
      <c r="F3508" t="inlineStr">
        <is>
          <t>26-Jun-2029</t>
        </is>
      </c>
      <c r="G3508" t="inlineStr">
        <is>
          <t>Tuesday</t>
        </is>
      </c>
      <c r="H3508" t="inlineStr">
        <is>
          <t>Monthly - Tuesday</t>
        </is>
      </c>
      <c r="I3508" t="inlineStr">
        <is>
          <t>Monthly - Tuesday</t>
        </is>
      </c>
      <c r="J3508" t="inlineStr">
        <is>
          <t>Month+36 Expiry</t>
        </is>
      </c>
      <c r="K3508" s="25" t="n">
        <v>0</v>
      </c>
      <c r="L3508" s="26" t="n">
        <v>0</v>
      </c>
      <c r="M3508" s="26" t="n">
        <v>0</v>
      </c>
    </row>
    <row r="3509" ht="16" customHeight="1">
      <c r="A3509" t="inlineStr">
        <is>
          <t>16-Jun-2026</t>
        </is>
      </c>
      <c r="B3509" t="inlineStr">
        <is>
          <t>Tuesday</t>
        </is>
      </c>
      <c r="C3509" t="inlineStr">
        <is>
          <t>Week3-Jun-2026</t>
        </is>
      </c>
      <c r="D3509" s="78" t="n">
        <v>46174</v>
      </c>
      <c r="E3509" t="inlineStr">
        <is>
          <t>Q1FY27</t>
        </is>
      </c>
      <c r="F3509" t="inlineStr">
        <is>
          <t>24-Dec-2029</t>
        </is>
      </c>
      <c r="G3509" t="inlineStr">
        <is>
          <t>Monday</t>
        </is>
      </c>
      <c r="H3509" t="inlineStr">
        <is>
          <t>Weekly - Monday</t>
        </is>
      </c>
      <c r="I3509" t="inlineStr">
        <is>
          <t>Weekly - Monday</t>
        </is>
      </c>
      <c r="J3509" t="inlineStr">
        <is>
          <t>Month+42 Expiry</t>
        </is>
      </c>
      <c r="K3509" s="25" t="n">
        <v>0</v>
      </c>
      <c r="L3509" s="26" t="n">
        <v>0</v>
      </c>
      <c r="M3509" s="26" t="n">
        <v>0</v>
      </c>
    </row>
    <row r="3510" ht="16" customHeight="1">
      <c r="A3510" t="inlineStr">
        <is>
          <t>16-Jun-2026</t>
        </is>
      </c>
      <c r="B3510" t="inlineStr">
        <is>
          <t>Tuesday</t>
        </is>
      </c>
      <c r="C3510" t="inlineStr">
        <is>
          <t>Week3-Jun-2026</t>
        </is>
      </c>
      <c r="D3510" s="78" t="n">
        <v>46174</v>
      </c>
      <c r="E3510" t="inlineStr">
        <is>
          <t>Q1FY27</t>
        </is>
      </c>
      <c r="F3510" t="inlineStr">
        <is>
          <t>25-Jun-2030</t>
        </is>
      </c>
      <c r="G3510" t="inlineStr">
        <is>
          <t>Tuesday</t>
        </is>
      </c>
      <c r="H3510" t="inlineStr">
        <is>
          <t>Monthly - Tuesday</t>
        </is>
      </c>
      <c r="I3510" t="inlineStr">
        <is>
          <t>Monthly - Tuesday</t>
        </is>
      </c>
      <c r="J3510" t="inlineStr">
        <is>
          <t>Month+48 Expiry</t>
        </is>
      </c>
      <c r="K3510" s="25" t="n">
        <v>0</v>
      </c>
      <c r="L3510" s="26" t="n">
        <v>0</v>
      </c>
      <c r="M3510" s="26" t="n">
        <v>0</v>
      </c>
    </row>
    <row r="3511" ht="16" customHeight="1">
      <c r="A3511" t="inlineStr">
        <is>
          <t>16-Jun-2026</t>
        </is>
      </c>
      <c r="B3511" t="inlineStr">
        <is>
          <t>Tuesday</t>
        </is>
      </c>
      <c r="C3511" t="inlineStr">
        <is>
          <t>Week3-Jun-2026</t>
        </is>
      </c>
      <c r="D3511" s="78" t="n">
        <v>46174</v>
      </c>
      <c r="E3511" t="inlineStr">
        <is>
          <t>Q1FY27</t>
        </is>
      </c>
      <c r="F3511" t="inlineStr">
        <is>
          <t>31-Dec-2030</t>
        </is>
      </c>
      <c r="G3511" t="inlineStr">
        <is>
          <t>Tuesday</t>
        </is>
      </c>
      <c r="H3511" t="inlineStr">
        <is>
          <t>Monthly - Tuesday</t>
        </is>
      </c>
      <c r="I3511" t="inlineStr">
        <is>
          <t>Monthly - Tuesday</t>
        </is>
      </c>
      <c r="J3511" t="inlineStr">
        <is>
          <t>Month+54 Expiry</t>
        </is>
      </c>
      <c r="K3511" s="25" t="n">
        <v>0</v>
      </c>
      <c r="L3511" s="26" t="n">
        <v>0</v>
      </c>
      <c r="M3511" s="26" t="n">
        <v>0</v>
      </c>
    </row>
    <row r="3512" ht="16" customHeight="1">
      <c r="A3512" t="inlineStr">
        <is>
          <t>17-Jun-2026</t>
        </is>
      </c>
      <c r="B3512" t="inlineStr">
        <is>
          <t>Wednesday</t>
        </is>
      </c>
      <c r="C3512" t="inlineStr">
        <is>
          <t>Week3-Jun-2026</t>
        </is>
      </c>
      <c r="D3512" s="78" t="n">
        <v>46174</v>
      </c>
      <c r="E3512" t="inlineStr">
        <is>
          <t>Q1FY27</t>
        </is>
      </c>
      <c r="F3512" t="inlineStr">
        <is>
          <t>23-Jun-2026</t>
        </is>
      </c>
      <c r="G3512" t="inlineStr">
        <is>
          <t>Tuesday</t>
        </is>
      </c>
      <c r="H3512" t="inlineStr">
        <is>
          <t>Weekly - Tuesday</t>
        </is>
      </c>
      <c r="I3512" t="inlineStr">
        <is>
          <t>Weekly - Tuesday</t>
        </is>
      </c>
      <c r="J3512" t="inlineStr">
        <is>
          <t>Same Month Expiry</t>
        </is>
      </c>
      <c r="K3512" s="25" t="n">
        <v>35379131</v>
      </c>
      <c r="L3512" s="26" t="n">
        <v>55480.6704</v>
      </c>
      <c r="M3512" s="26" t="n">
        <v>222.362</v>
      </c>
    </row>
    <row r="3513" ht="16" customHeight="1">
      <c r="A3513" t="inlineStr">
        <is>
          <t>17-Jun-2026</t>
        </is>
      </c>
      <c r="B3513" t="inlineStr">
        <is>
          <t>Wednesday</t>
        </is>
      </c>
      <c r="C3513" t="inlineStr">
        <is>
          <t>Week3-Jun-2026</t>
        </is>
      </c>
      <c r="D3513" s="78" t="n">
        <v>46174</v>
      </c>
      <c r="E3513" t="inlineStr">
        <is>
          <t>Q1FY27</t>
        </is>
      </c>
      <c r="F3513" t="inlineStr">
        <is>
          <t>30-Jun-2026</t>
        </is>
      </c>
      <c r="G3513" t="inlineStr">
        <is>
          <t>Tuesday</t>
        </is>
      </c>
      <c r="H3513" t="inlineStr">
        <is>
          <t>Monthly - Tuesday</t>
        </is>
      </c>
      <c r="I3513" t="inlineStr">
        <is>
          <t>Monthly - Tuesday</t>
        </is>
      </c>
      <c r="J3513" t="inlineStr">
        <is>
          <t>Same Month Expiry</t>
        </is>
      </c>
      <c r="K3513" s="25" t="n">
        <v>1913823</v>
      </c>
      <c r="L3513" s="26" t="n">
        <v>2996.6073</v>
      </c>
      <c r="M3513" s="26" t="n">
        <v>15.776</v>
      </c>
    </row>
    <row r="3514" ht="16" customHeight="1">
      <c r="A3514" t="inlineStr">
        <is>
          <t>17-Jun-2026</t>
        </is>
      </c>
      <c r="B3514" t="inlineStr">
        <is>
          <t>Wednesday</t>
        </is>
      </c>
      <c r="C3514" t="inlineStr">
        <is>
          <t>Week3-Jun-2026</t>
        </is>
      </c>
      <c r="D3514" s="78" t="n">
        <v>46174</v>
      </c>
      <c r="E3514" t="inlineStr">
        <is>
          <t>Q1FY27</t>
        </is>
      </c>
      <c r="F3514" t="inlineStr">
        <is>
          <t>07-Jul-2026</t>
        </is>
      </c>
      <c r="G3514" t="inlineStr">
        <is>
          <t>Tuesday</t>
        </is>
      </c>
      <c r="H3514" t="inlineStr">
        <is>
          <t>Weekly - Tuesday</t>
        </is>
      </c>
      <c r="I3514" t="inlineStr">
        <is>
          <t>Weekly - Tuesday</t>
        </is>
      </c>
      <c r="J3514" t="inlineStr">
        <is>
          <t>Month+1 Expiry</t>
        </is>
      </c>
      <c r="K3514" s="25" t="n">
        <v>82453</v>
      </c>
      <c r="L3514" s="26" t="n">
        <v>129.278</v>
      </c>
      <c r="M3514" s="26" t="n">
        <v>0.7379</v>
      </c>
    </row>
    <row r="3515" ht="16" customHeight="1">
      <c r="A3515" t="inlineStr">
        <is>
          <t>17-Jun-2026</t>
        </is>
      </c>
      <c r="B3515" t="inlineStr">
        <is>
          <t>Wednesday</t>
        </is>
      </c>
      <c r="C3515" t="inlineStr">
        <is>
          <t>Week3-Jun-2026</t>
        </is>
      </c>
      <c r="D3515" s="78" t="n">
        <v>46174</v>
      </c>
      <c r="E3515" t="inlineStr">
        <is>
          <t>Q1FY27</t>
        </is>
      </c>
      <c r="F3515" t="inlineStr">
        <is>
          <t>14-Jul-2026</t>
        </is>
      </c>
      <c r="G3515" t="inlineStr">
        <is>
          <t>Tuesday</t>
        </is>
      </c>
      <c r="H3515" t="inlineStr">
        <is>
          <t>Weekly - Tuesday</t>
        </is>
      </c>
      <c r="I3515" t="inlineStr">
        <is>
          <t>Weekly - Tuesday</t>
        </is>
      </c>
      <c r="J3515" t="inlineStr">
        <is>
          <t>Month+1 Expiry</t>
        </is>
      </c>
      <c r="K3515" s="25" t="n">
        <v>13227</v>
      </c>
      <c r="L3515" s="26" t="n">
        <v>20.7363</v>
      </c>
      <c r="M3515" s="26" t="n">
        <v>0.1312</v>
      </c>
    </row>
    <row r="3516" ht="16" customHeight="1">
      <c r="A3516" t="inlineStr">
        <is>
          <t>17-Jun-2026</t>
        </is>
      </c>
      <c r="B3516" t="inlineStr">
        <is>
          <t>Wednesday</t>
        </is>
      </c>
      <c r="C3516" t="inlineStr">
        <is>
          <t>Week3-Jun-2026</t>
        </is>
      </c>
      <c r="D3516" s="78" t="n">
        <v>46174</v>
      </c>
      <c r="E3516" t="inlineStr">
        <is>
          <t>Q1FY27</t>
        </is>
      </c>
      <c r="F3516" t="inlineStr">
        <is>
          <t>21-Jul-2026</t>
        </is>
      </c>
      <c r="G3516" t="inlineStr">
        <is>
          <t>Tuesday</t>
        </is>
      </c>
      <c r="H3516" t="inlineStr">
        <is>
          <t>Weekly - Tuesday</t>
        </is>
      </c>
      <c r="I3516" t="inlineStr">
        <is>
          <t>Weekly - Tuesday</t>
        </is>
      </c>
      <c r="J3516" t="inlineStr">
        <is>
          <t>Month+1 Expiry</t>
        </is>
      </c>
      <c r="K3516" s="25" t="n">
        <v>609</v>
      </c>
      <c r="L3516" s="26" t="n">
        <v>0.9591</v>
      </c>
      <c r="M3516" s="26" t="n">
        <v>0.0067</v>
      </c>
    </row>
    <row r="3517" ht="16" customHeight="1">
      <c r="A3517" t="inlineStr">
        <is>
          <t>17-Jun-2026</t>
        </is>
      </c>
      <c r="B3517" t="inlineStr">
        <is>
          <t>Wednesday</t>
        </is>
      </c>
      <c r="C3517" t="inlineStr">
        <is>
          <t>Week3-Jun-2026</t>
        </is>
      </c>
      <c r="D3517" s="78" t="n">
        <v>46174</v>
      </c>
      <c r="E3517" t="inlineStr">
        <is>
          <t>Q1FY27</t>
        </is>
      </c>
      <c r="F3517" t="inlineStr">
        <is>
          <t>28-Jul-2026</t>
        </is>
      </c>
      <c r="G3517" t="inlineStr">
        <is>
          <t>Tuesday</t>
        </is>
      </c>
      <c r="H3517" t="inlineStr">
        <is>
          <t>Monthly - Tuesday</t>
        </is>
      </c>
      <c r="I3517" t="inlineStr">
        <is>
          <t>Monthly - Tuesday</t>
        </is>
      </c>
      <c r="J3517" t="inlineStr">
        <is>
          <t>Month+1 Expiry</t>
        </is>
      </c>
      <c r="K3517" s="25" t="n">
        <v>370685</v>
      </c>
      <c r="L3517" s="26" t="n">
        <v>572.7504</v>
      </c>
      <c r="M3517" s="26" t="n">
        <v>4.3787</v>
      </c>
    </row>
    <row r="3518" ht="16" customHeight="1">
      <c r="A3518" t="inlineStr">
        <is>
          <t>17-Jun-2026</t>
        </is>
      </c>
      <c r="B3518" t="inlineStr">
        <is>
          <t>Wednesday</t>
        </is>
      </c>
      <c r="C3518" t="inlineStr">
        <is>
          <t>Week3-Jun-2026</t>
        </is>
      </c>
      <c r="D3518" s="78" t="n">
        <v>46174</v>
      </c>
      <c r="E3518" t="inlineStr">
        <is>
          <t>Q1FY27</t>
        </is>
      </c>
      <c r="F3518" t="inlineStr">
        <is>
          <t>25-Aug-2026</t>
        </is>
      </c>
      <c r="G3518" t="inlineStr">
        <is>
          <t>Tuesday</t>
        </is>
      </c>
      <c r="H3518" t="inlineStr">
        <is>
          <t>Monthly - Tuesday</t>
        </is>
      </c>
      <c r="I3518" t="inlineStr">
        <is>
          <t>Monthly - Tuesday</t>
        </is>
      </c>
      <c r="J3518" t="inlineStr">
        <is>
          <t>Month+2 Expiry</t>
        </is>
      </c>
      <c r="K3518" s="25" t="n">
        <v>42596</v>
      </c>
      <c r="L3518" s="26" t="n">
        <v>66.9627</v>
      </c>
      <c r="M3518" s="26" t="n">
        <v>0.759</v>
      </c>
    </row>
    <row r="3519" ht="16" customHeight="1">
      <c r="A3519" t="inlineStr">
        <is>
          <t>17-Jun-2026</t>
        </is>
      </c>
      <c r="B3519" t="inlineStr">
        <is>
          <t>Wednesday</t>
        </is>
      </c>
      <c r="C3519" t="inlineStr">
        <is>
          <t>Week3-Jun-2026</t>
        </is>
      </c>
      <c r="D3519" s="78" t="n">
        <v>46174</v>
      </c>
      <c r="E3519" t="inlineStr">
        <is>
          <t>Q1FY27</t>
        </is>
      </c>
      <c r="F3519" t="inlineStr">
        <is>
          <t>29-Sep-2026</t>
        </is>
      </c>
      <c r="G3519" t="inlineStr">
        <is>
          <t>Tuesday</t>
        </is>
      </c>
      <c r="H3519" t="inlineStr">
        <is>
          <t>Monthly - Tuesday</t>
        </is>
      </c>
      <c r="I3519" t="inlineStr">
        <is>
          <t>Monthly - Tuesday</t>
        </is>
      </c>
      <c r="J3519" t="inlineStr">
        <is>
          <t>Month+3 Expiry</t>
        </is>
      </c>
      <c r="K3519" s="25" t="n">
        <v>30058</v>
      </c>
      <c r="L3519" s="26" t="n">
        <v>47.4697</v>
      </c>
      <c r="M3519" s="26" t="n">
        <v>0.7684</v>
      </c>
    </row>
    <row r="3520" ht="16" customHeight="1">
      <c r="A3520" t="inlineStr">
        <is>
          <t>17-Jun-2026</t>
        </is>
      </c>
      <c r="B3520" t="inlineStr">
        <is>
          <t>Wednesday</t>
        </is>
      </c>
      <c r="C3520" t="inlineStr">
        <is>
          <t>Week3-Jun-2026</t>
        </is>
      </c>
      <c r="D3520" s="78" t="n">
        <v>46174</v>
      </c>
      <c r="E3520" t="inlineStr">
        <is>
          <t>Q1FY27</t>
        </is>
      </c>
      <c r="F3520" t="inlineStr">
        <is>
          <t>29-Dec-2026</t>
        </is>
      </c>
      <c r="G3520" t="inlineStr">
        <is>
          <t>Tuesday</t>
        </is>
      </c>
      <c r="H3520" t="inlineStr">
        <is>
          <t>Monthly - Tuesday</t>
        </is>
      </c>
      <c r="I3520" t="inlineStr">
        <is>
          <t>Monthly - Tuesday</t>
        </is>
      </c>
      <c r="J3520" t="inlineStr">
        <is>
          <t>Month+6 Expiry</t>
        </is>
      </c>
      <c r="K3520" s="25" t="n">
        <v>58962</v>
      </c>
      <c r="L3520" s="26" t="n">
        <v>94.8407</v>
      </c>
      <c r="M3520" s="26" t="n">
        <v>2.0464</v>
      </c>
    </row>
    <row r="3521" ht="16" customHeight="1">
      <c r="A3521" t="inlineStr">
        <is>
          <t>17-Jun-2026</t>
        </is>
      </c>
      <c r="B3521" t="inlineStr">
        <is>
          <t>Wednesday</t>
        </is>
      </c>
      <c r="C3521" t="inlineStr">
        <is>
          <t>Week3-Jun-2026</t>
        </is>
      </c>
      <c r="D3521" s="78" t="n">
        <v>46174</v>
      </c>
      <c r="E3521" t="inlineStr">
        <is>
          <t>Q1FY27</t>
        </is>
      </c>
      <c r="F3521" t="inlineStr">
        <is>
          <t>30-Mar-2027</t>
        </is>
      </c>
      <c r="G3521" t="inlineStr">
        <is>
          <t>Tuesday</t>
        </is>
      </c>
      <c r="H3521" t="inlineStr">
        <is>
          <t>Monthly - Tuesday</t>
        </is>
      </c>
      <c r="I3521" t="inlineStr">
        <is>
          <t>Monthly - Tuesday</t>
        </is>
      </c>
      <c r="J3521" t="inlineStr">
        <is>
          <t>Month+9 Expiry</t>
        </is>
      </c>
      <c r="K3521" s="25" t="n">
        <v>250</v>
      </c>
      <c r="L3521" s="26" t="n">
        <v>0.4496</v>
      </c>
      <c r="M3521" s="26" t="n">
        <v>0.0036</v>
      </c>
    </row>
    <row r="3522" ht="16" customHeight="1">
      <c r="A3522" t="inlineStr">
        <is>
          <t>17-Jun-2026</t>
        </is>
      </c>
      <c r="B3522" t="inlineStr">
        <is>
          <t>Wednesday</t>
        </is>
      </c>
      <c r="C3522" t="inlineStr">
        <is>
          <t>Week3-Jun-2026</t>
        </is>
      </c>
      <c r="D3522" s="78" t="n">
        <v>46174</v>
      </c>
      <c r="E3522" t="inlineStr">
        <is>
          <t>Q1FY27</t>
        </is>
      </c>
      <c r="F3522" t="inlineStr">
        <is>
          <t>29-Jun-2027</t>
        </is>
      </c>
      <c r="G3522" t="inlineStr">
        <is>
          <t>Tuesday</t>
        </is>
      </c>
      <c r="H3522" t="inlineStr">
        <is>
          <t>Monthly - Tuesday</t>
        </is>
      </c>
      <c r="I3522" t="inlineStr">
        <is>
          <t>Monthly - Tuesday</t>
        </is>
      </c>
      <c r="J3522" t="inlineStr">
        <is>
          <t>Month+12 Expiry</t>
        </is>
      </c>
      <c r="K3522" s="25" t="n">
        <v>2</v>
      </c>
      <c r="L3522" s="26" t="n">
        <v>0.0028</v>
      </c>
      <c r="M3522" s="26" t="n">
        <v>0</v>
      </c>
    </row>
    <row r="3523" ht="16" customHeight="1">
      <c r="A3523" t="inlineStr">
        <is>
          <t>17-Jun-2026</t>
        </is>
      </c>
      <c r="B3523" t="inlineStr">
        <is>
          <t>Wednesday</t>
        </is>
      </c>
      <c r="C3523" t="inlineStr">
        <is>
          <t>Week3-Jun-2026</t>
        </is>
      </c>
      <c r="D3523" s="78" t="n">
        <v>46174</v>
      </c>
      <c r="E3523" t="inlineStr">
        <is>
          <t>Q1FY27</t>
        </is>
      </c>
      <c r="F3523" t="inlineStr">
        <is>
          <t>28-Dec-2027</t>
        </is>
      </c>
      <c r="G3523" t="inlineStr">
        <is>
          <t>Tuesday</t>
        </is>
      </c>
      <c r="H3523" t="inlineStr">
        <is>
          <t>Monthly - Tuesday</t>
        </is>
      </c>
      <c r="I3523" t="inlineStr">
        <is>
          <t>Monthly - Tuesday</t>
        </is>
      </c>
      <c r="J3523" t="inlineStr">
        <is>
          <t>Month+18 Expiry</t>
        </is>
      </c>
      <c r="K3523" s="25" t="n">
        <v>323</v>
      </c>
      <c r="L3523" s="26" t="n">
        <v>0.5415</v>
      </c>
      <c r="M3523" s="26" t="n">
        <v>0.0224</v>
      </c>
    </row>
    <row r="3524" ht="16" customHeight="1">
      <c r="A3524" t="inlineStr">
        <is>
          <t>17-Jun-2026</t>
        </is>
      </c>
      <c r="B3524" t="inlineStr">
        <is>
          <t>Wednesday</t>
        </is>
      </c>
      <c r="C3524" t="inlineStr">
        <is>
          <t>Week3-Jun-2026</t>
        </is>
      </c>
      <c r="D3524" s="78" t="n">
        <v>46174</v>
      </c>
      <c r="E3524" t="inlineStr">
        <is>
          <t>Q1FY27</t>
        </is>
      </c>
      <c r="F3524" t="inlineStr">
        <is>
          <t>27-Jun-2028</t>
        </is>
      </c>
      <c r="G3524" t="inlineStr">
        <is>
          <t>Tuesday</t>
        </is>
      </c>
      <c r="H3524" t="inlineStr">
        <is>
          <t>Monthly - Tuesday</t>
        </is>
      </c>
      <c r="I3524" t="inlineStr">
        <is>
          <t>Monthly - Tuesday</t>
        </is>
      </c>
      <c r="J3524" t="inlineStr">
        <is>
          <t>Month+24 Expiry</t>
        </is>
      </c>
      <c r="K3524" s="25" t="n">
        <v>0</v>
      </c>
      <c r="L3524" s="26" t="n">
        <v>0</v>
      </c>
      <c r="M3524" s="26" t="n">
        <v>0</v>
      </c>
    </row>
    <row r="3525" ht="16" customHeight="1">
      <c r="A3525" t="inlineStr">
        <is>
          <t>17-Jun-2026</t>
        </is>
      </c>
      <c r="B3525" t="inlineStr">
        <is>
          <t>Wednesday</t>
        </is>
      </c>
      <c r="C3525" t="inlineStr">
        <is>
          <t>Week3-Jun-2026</t>
        </is>
      </c>
      <c r="D3525" s="78" t="n">
        <v>46174</v>
      </c>
      <c r="E3525" t="inlineStr">
        <is>
          <t>Q1FY27</t>
        </is>
      </c>
      <c r="F3525" t="inlineStr">
        <is>
          <t>26-Dec-2028</t>
        </is>
      </c>
      <c r="G3525" t="inlineStr">
        <is>
          <t>Tuesday</t>
        </is>
      </c>
      <c r="H3525" t="inlineStr">
        <is>
          <t>Monthly - Tuesday</t>
        </is>
      </c>
      <c r="I3525" t="inlineStr">
        <is>
          <t>Monthly - Tuesday</t>
        </is>
      </c>
      <c r="J3525" t="inlineStr">
        <is>
          <t>Month+30 Expiry</t>
        </is>
      </c>
      <c r="K3525" s="25" t="n">
        <v>8</v>
      </c>
      <c r="L3525" s="26" t="n">
        <v>0.0138</v>
      </c>
      <c r="M3525" s="26" t="n">
        <v>0.0009</v>
      </c>
    </row>
    <row r="3526" ht="16" customHeight="1">
      <c r="A3526" t="inlineStr">
        <is>
          <t>17-Jun-2026</t>
        </is>
      </c>
      <c r="B3526" t="inlineStr">
        <is>
          <t>Wednesday</t>
        </is>
      </c>
      <c r="C3526" t="inlineStr">
        <is>
          <t>Week3-Jun-2026</t>
        </is>
      </c>
      <c r="D3526" s="78" t="n">
        <v>46174</v>
      </c>
      <c r="E3526" t="inlineStr">
        <is>
          <t>Q1FY27</t>
        </is>
      </c>
      <c r="F3526" t="inlineStr">
        <is>
          <t>26-Jun-2029</t>
        </is>
      </c>
      <c r="G3526" t="inlineStr">
        <is>
          <t>Tuesday</t>
        </is>
      </c>
      <c r="H3526" t="inlineStr">
        <is>
          <t>Monthly - Tuesday</t>
        </is>
      </c>
      <c r="I3526" t="inlineStr">
        <is>
          <t>Monthly - Tuesday</t>
        </is>
      </c>
      <c r="J3526" t="inlineStr">
        <is>
          <t>Month+36 Expiry</t>
        </is>
      </c>
      <c r="K3526" s="25" t="n">
        <v>0</v>
      </c>
      <c r="L3526" s="26" t="n">
        <v>0</v>
      </c>
      <c r="M3526" s="26" t="n">
        <v>0</v>
      </c>
    </row>
    <row r="3527" ht="16" customHeight="1">
      <c r="A3527" t="inlineStr">
        <is>
          <t>17-Jun-2026</t>
        </is>
      </c>
      <c r="B3527" t="inlineStr">
        <is>
          <t>Wednesday</t>
        </is>
      </c>
      <c r="C3527" t="inlineStr">
        <is>
          <t>Week3-Jun-2026</t>
        </is>
      </c>
      <c r="D3527" s="78" t="n">
        <v>46174</v>
      </c>
      <c r="E3527" t="inlineStr">
        <is>
          <t>Q1FY27</t>
        </is>
      </c>
      <c r="F3527" t="inlineStr">
        <is>
          <t>24-Dec-2029</t>
        </is>
      </c>
      <c r="G3527" t="inlineStr">
        <is>
          <t>Monday</t>
        </is>
      </c>
      <c r="H3527" t="inlineStr">
        <is>
          <t>Weekly - Monday</t>
        </is>
      </c>
      <c r="I3527" t="inlineStr">
        <is>
          <t>Weekly - Monday</t>
        </is>
      </c>
      <c r="J3527" t="inlineStr">
        <is>
          <t>Month+42 Expiry</t>
        </is>
      </c>
      <c r="K3527" s="25" t="n">
        <v>0</v>
      </c>
      <c r="L3527" s="26" t="n">
        <v>0</v>
      </c>
      <c r="M3527" s="26" t="n">
        <v>0</v>
      </c>
    </row>
    <row r="3528" ht="16" customHeight="1">
      <c r="A3528" t="inlineStr">
        <is>
          <t>17-Jun-2026</t>
        </is>
      </c>
      <c r="B3528" t="inlineStr">
        <is>
          <t>Wednesday</t>
        </is>
      </c>
      <c r="C3528" t="inlineStr">
        <is>
          <t>Week3-Jun-2026</t>
        </is>
      </c>
      <c r="D3528" s="78" t="n">
        <v>46174</v>
      </c>
      <c r="E3528" t="inlineStr">
        <is>
          <t>Q1FY27</t>
        </is>
      </c>
      <c r="F3528" t="inlineStr">
        <is>
          <t>25-Jun-2030</t>
        </is>
      </c>
      <c r="G3528" t="inlineStr">
        <is>
          <t>Tuesday</t>
        </is>
      </c>
      <c r="H3528" t="inlineStr">
        <is>
          <t>Monthly - Tuesday</t>
        </is>
      </c>
      <c r="I3528" t="inlineStr">
        <is>
          <t>Monthly - Tuesday</t>
        </is>
      </c>
      <c r="J3528" t="inlineStr">
        <is>
          <t>Month+48 Expiry</t>
        </is>
      </c>
      <c r="K3528" s="25" t="n">
        <v>0</v>
      </c>
      <c r="L3528" s="26" t="n">
        <v>0</v>
      </c>
      <c r="M3528" s="26" t="n">
        <v>0</v>
      </c>
    </row>
    <row r="3529" ht="16" customHeight="1">
      <c r="A3529" t="inlineStr">
        <is>
          <t>17-Jun-2026</t>
        </is>
      </c>
      <c r="B3529" t="inlineStr">
        <is>
          <t>Wednesday</t>
        </is>
      </c>
      <c r="C3529" t="inlineStr">
        <is>
          <t>Week3-Jun-2026</t>
        </is>
      </c>
      <c r="D3529" s="78" t="n">
        <v>46174</v>
      </c>
      <c r="E3529" t="inlineStr">
        <is>
          <t>Q1FY27</t>
        </is>
      </c>
      <c r="F3529" t="inlineStr">
        <is>
          <t>31-Dec-2030</t>
        </is>
      </c>
      <c r="G3529" t="inlineStr">
        <is>
          <t>Tuesday</t>
        </is>
      </c>
      <c r="H3529" t="inlineStr">
        <is>
          <t>Monthly - Tuesday</t>
        </is>
      </c>
      <c r="I3529" t="inlineStr">
        <is>
          <t>Monthly - Tuesday</t>
        </is>
      </c>
      <c r="J3529" t="inlineStr">
        <is>
          <t>Month+54 Expiry</t>
        </is>
      </c>
      <c r="K3529" s="25" t="n">
        <v>0</v>
      </c>
      <c r="L3529" s="26" t="n">
        <v>0</v>
      </c>
      <c r="M3529" s="26" t="n">
        <v>0</v>
      </c>
    </row>
    <row r="3530" ht="16" customHeight="1">
      <c r="A3530" t="inlineStr">
        <is>
          <t>18-Jun-2026</t>
        </is>
      </c>
      <c r="B3530" t="inlineStr">
        <is>
          <t>Thursday</t>
        </is>
      </c>
      <c r="C3530" t="inlineStr">
        <is>
          <t>Week3-Jun-2026</t>
        </is>
      </c>
      <c r="D3530" s="78" t="n">
        <v>46174</v>
      </c>
      <c r="E3530" t="inlineStr">
        <is>
          <t>Q1FY27</t>
        </is>
      </c>
      <c r="F3530" t="inlineStr">
        <is>
          <t>23-Jun-2026</t>
        </is>
      </c>
      <c r="G3530" t="inlineStr">
        <is>
          <t>Tuesday</t>
        </is>
      </c>
      <c r="H3530" t="inlineStr">
        <is>
          <t>Weekly - Tuesday</t>
        </is>
      </c>
      <c r="I3530" t="inlineStr">
        <is>
          <t>Weekly - Tuesday</t>
        </is>
      </c>
      <c r="J3530" t="inlineStr">
        <is>
          <t>Same Month Expiry</t>
        </is>
      </c>
      <c r="K3530" s="25" t="n">
        <v>42409489</v>
      </c>
      <c r="L3530" s="26" t="n">
        <v>66493.58289999999</v>
      </c>
      <c r="M3530" s="26" t="n">
        <v>196.2187</v>
      </c>
    </row>
    <row r="3531" ht="16" customHeight="1">
      <c r="A3531" t="inlineStr">
        <is>
          <t>18-Jun-2026</t>
        </is>
      </c>
      <c r="B3531" t="inlineStr">
        <is>
          <t>Thursday</t>
        </is>
      </c>
      <c r="C3531" t="inlineStr">
        <is>
          <t>Week3-Jun-2026</t>
        </is>
      </c>
      <c r="D3531" s="78" t="n">
        <v>46174</v>
      </c>
      <c r="E3531" t="inlineStr">
        <is>
          <t>Q1FY27</t>
        </is>
      </c>
      <c r="F3531" t="inlineStr">
        <is>
          <t>30-Jun-2026</t>
        </is>
      </c>
      <c r="G3531" t="inlineStr">
        <is>
          <t>Tuesday</t>
        </is>
      </c>
      <c r="H3531" t="inlineStr">
        <is>
          <t>Monthly - Tuesday</t>
        </is>
      </c>
      <c r="I3531" t="inlineStr">
        <is>
          <t>Monthly - Tuesday</t>
        </is>
      </c>
      <c r="J3531" t="inlineStr">
        <is>
          <t>Same Month Expiry</t>
        </is>
      </c>
      <c r="K3531" s="25" t="n">
        <v>2982978</v>
      </c>
      <c r="L3531" s="26" t="n">
        <v>4670.7767</v>
      </c>
      <c r="M3531" s="26" t="n">
        <v>20.8609</v>
      </c>
    </row>
    <row r="3532" ht="16" customHeight="1">
      <c r="A3532" t="inlineStr">
        <is>
          <t>18-Jun-2026</t>
        </is>
      </c>
      <c r="B3532" t="inlineStr">
        <is>
          <t>Thursday</t>
        </is>
      </c>
      <c r="C3532" t="inlineStr">
        <is>
          <t>Week3-Jun-2026</t>
        </is>
      </c>
      <c r="D3532" s="78" t="n">
        <v>46174</v>
      </c>
      <c r="E3532" t="inlineStr">
        <is>
          <t>Q1FY27</t>
        </is>
      </c>
      <c r="F3532" t="inlineStr">
        <is>
          <t>07-Jul-2026</t>
        </is>
      </c>
      <c r="G3532" t="inlineStr">
        <is>
          <t>Tuesday</t>
        </is>
      </c>
      <c r="H3532" t="inlineStr">
        <is>
          <t>Weekly - Tuesday</t>
        </is>
      </c>
      <c r="I3532" t="inlineStr">
        <is>
          <t>Weekly - Tuesday</t>
        </is>
      </c>
      <c r="J3532" t="inlineStr">
        <is>
          <t>Month+1 Expiry</t>
        </is>
      </c>
      <c r="K3532" s="25" t="n">
        <v>150426</v>
      </c>
      <c r="L3532" s="26" t="n">
        <v>236.2651</v>
      </c>
      <c r="M3532" s="26" t="n">
        <v>1.2656</v>
      </c>
    </row>
    <row r="3533" ht="16" customHeight="1">
      <c r="A3533" t="inlineStr">
        <is>
          <t>18-Jun-2026</t>
        </is>
      </c>
      <c r="B3533" t="inlineStr">
        <is>
          <t>Thursday</t>
        </is>
      </c>
      <c r="C3533" t="inlineStr">
        <is>
          <t>Week3-Jun-2026</t>
        </is>
      </c>
      <c r="D3533" s="78" t="n">
        <v>46174</v>
      </c>
      <c r="E3533" t="inlineStr">
        <is>
          <t>Q1FY27</t>
        </is>
      </c>
      <c r="F3533" t="inlineStr">
        <is>
          <t>14-Jul-2026</t>
        </is>
      </c>
      <c r="G3533" t="inlineStr">
        <is>
          <t>Tuesday</t>
        </is>
      </c>
      <c r="H3533" t="inlineStr">
        <is>
          <t>Weekly - Tuesday</t>
        </is>
      </c>
      <c r="I3533" t="inlineStr">
        <is>
          <t>Weekly - Tuesday</t>
        </is>
      </c>
      <c r="J3533" t="inlineStr">
        <is>
          <t>Month+1 Expiry</t>
        </is>
      </c>
      <c r="K3533" s="25" t="n">
        <v>18268</v>
      </c>
      <c r="L3533" s="26" t="n">
        <v>28.6451</v>
      </c>
      <c r="M3533" s="26" t="n">
        <v>0.1856</v>
      </c>
    </row>
    <row r="3534" ht="16" customHeight="1">
      <c r="A3534" t="inlineStr">
        <is>
          <t>18-Jun-2026</t>
        </is>
      </c>
      <c r="B3534" t="inlineStr">
        <is>
          <t>Thursday</t>
        </is>
      </c>
      <c r="C3534" t="inlineStr">
        <is>
          <t>Week3-Jun-2026</t>
        </is>
      </c>
      <c r="D3534" s="78" t="n">
        <v>46174</v>
      </c>
      <c r="E3534" t="inlineStr">
        <is>
          <t>Q1FY27</t>
        </is>
      </c>
      <c r="F3534" t="inlineStr">
        <is>
          <t>21-Jul-2026</t>
        </is>
      </c>
      <c r="G3534" t="inlineStr">
        <is>
          <t>Tuesday</t>
        </is>
      </c>
      <c r="H3534" t="inlineStr">
        <is>
          <t>Weekly - Tuesday</t>
        </is>
      </c>
      <c r="I3534" t="inlineStr">
        <is>
          <t>Weekly - Tuesday</t>
        </is>
      </c>
      <c r="J3534" t="inlineStr">
        <is>
          <t>Month+1 Expiry</t>
        </is>
      </c>
      <c r="K3534" s="25" t="n">
        <v>1620</v>
      </c>
      <c r="L3534" s="26" t="n">
        <v>2.5492</v>
      </c>
      <c r="M3534" s="26" t="n">
        <v>0.0204</v>
      </c>
    </row>
    <row r="3535" ht="16" customHeight="1">
      <c r="A3535" t="inlineStr">
        <is>
          <t>18-Jun-2026</t>
        </is>
      </c>
      <c r="B3535" t="inlineStr">
        <is>
          <t>Thursday</t>
        </is>
      </c>
      <c r="C3535" t="inlineStr">
        <is>
          <t>Week3-Jun-2026</t>
        </is>
      </c>
      <c r="D3535" s="78" t="n">
        <v>46174</v>
      </c>
      <c r="E3535" t="inlineStr">
        <is>
          <t>Q1FY27</t>
        </is>
      </c>
      <c r="F3535" t="inlineStr">
        <is>
          <t>28-Jul-2026</t>
        </is>
      </c>
      <c r="G3535" t="inlineStr">
        <is>
          <t>Tuesday</t>
        </is>
      </c>
      <c r="H3535" t="inlineStr">
        <is>
          <t>Monthly - Tuesday</t>
        </is>
      </c>
      <c r="I3535" t="inlineStr">
        <is>
          <t>Monthly - Tuesday</t>
        </is>
      </c>
      <c r="J3535" t="inlineStr">
        <is>
          <t>Month+1 Expiry</t>
        </is>
      </c>
      <c r="K3535" s="25" t="n">
        <v>450563</v>
      </c>
      <c r="L3535" s="26" t="n">
        <v>705.9868</v>
      </c>
      <c r="M3535" s="26" t="n">
        <v>5.6977</v>
      </c>
    </row>
    <row r="3536" ht="16" customHeight="1">
      <c r="A3536" t="inlineStr">
        <is>
          <t>18-Jun-2026</t>
        </is>
      </c>
      <c r="B3536" t="inlineStr">
        <is>
          <t>Thursday</t>
        </is>
      </c>
      <c r="C3536" t="inlineStr">
        <is>
          <t>Week3-Jun-2026</t>
        </is>
      </c>
      <c r="D3536" s="78" t="n">
        <v>46174</v>
      </c>
      <c r="E3536" t="inlineStr">
        <is>
          <t>Q1FY27</t>
        </is>
      </c>
      <c r="F3536" t="inlineStr">
        <is>
          <t>25-Aug-2026</t>
        </is>
      </c>
      <c r="G3536" t="inlineStr">
        <is>
          <t>Tuesday</t>
        </is>
      </c>
      <c r="H3536" t="inlineStr">
        <is>
          <t>Monthly - Tuesday</t>
        </is>
      </c>
      <c r="I3536" t="inlineStr">
        <is>
          <t>Monthly - Tuesday</t>
        </is>
      </c>
      <c r="J3536" t="inlineStr">
        <is>
          <t>Month+2 Expiry</t>
        </is>
      </c>
      <c r="K3536" s="25" t="n">
        <v>66224</v>
      </c>
      <c r="L3536" s="26" t="n">
        <v>102.5117</v>
      </c>
      <c r="M3536" s="26" t="n">
        <v>1.0727</v>
      </c>
    </row>
    <row r="3537" ht="16" customHeight="1">
      <c r="A3537" t="inlineStr">
        <is>
          <t>18-Jun-2026</t>
        </is>
      </c>
      <c r="B3537" t="inlineStr">
        <is>
          <t>Thursday</t>
        </is>
      </c>
      <c r="C3537" t="inlineStr">
        <is>
          <t>Week3-Jun-2026</t>
        </is>
      </c>
      <c r="D3537" s="78" t="n">
        <v>46174</v>
      </c>
      <c r="E3537" t="inlineStr">
        <is>
          <t>Q1FY27</t>
        </is>
      </c>
      <c r="F3537" t="inlineStr">
        <is>
          <t>29-Sep-2026</t>
        </is>
      </c>
      <c r="G3537" t="inlineStr">
        <is>
          <t>Tuesday</t>
        </is>
      </c>
      <c r="H3537" t="inlineStr">
        <is>
          <t>Monthly - Tuesday</t>
        </is>
      </c>
      <c r="I3537" t="inlineStr">
        <is>
          <t>Monthly - Tuesday</t>
        </is>
      </c>
      <c r="J3537" t="inlineStr">
        <is>
          <t>Month+3 Expiry</t>
        </is>
      </c>
      <c r="K3537" s="25" t="n">
        <v>35203</v>
      </c>
      <c r="L3537" s="26" t="n">
        <v>56.2582</v>
      </c>
      <c r="M3537" s="26" t="n">
        <v>0.9985000000000001</v>
      </c>
    </row>
    <row r="3538" ht="16" customHeight="1">
      <c r="A3538" t="inlineStr">
        <is>
          <t>18-Jun-2026</t>
        </is>
      </c>
      <c r="B3538" t="inlineStr">
        <is>
          <t>Thursday</t>
        </is>
      </c>
      <c r="C3538" t="inlineStr">
        <is>
          <t>Week3-Jun-2026</t>
        </is>
      </c>
      <c r="D3538" s="78" t="n">
        <v>46174</v>
      </c>
      <c r="E3538" t="inlineStr">
        <is>
          <t>Q1FY27</t>
        </is>
      </c>
      <c r="F3538" t="inlineStr">
        <is>
          <t>29-Dec-2026</t>
        </is>
      </c>
      <c r="G3538" t="inlineStr">
        <is>
          <t>Tuesday</t>
        </is>
      </c>
      <c r="H3538" t="inlineStr">
        <is>
          <t>Monthly - Tuesday</t>
        </is>
      </c>
      <c r="I3538" t="inlineStr">
        <is>
          <t>Monthly - Tuesday</t>
        </is>
      </c>
      <c r="J3538" t="inlineStr">
        <is>
          <t>Month+6 Expiry</t>
        </is>
      </c>
      <c r="K3538" s="25" t="n">
        <v>59942</v>
      </c>
      <c r="L3538" s="26" t="n">
        <v>92.77679999999999</v>
      </c>
      <c r="M3538" s="26" t="n">
        <v>1.8193</v>
      </c>
    </row>
    <row r="3539" ht="16" customHeight="1">
      <c r="A3539" t="inlineStr">
        <is>
          <t>18-Jun-2026</t>
        </is>
      </c>
      <c r="B3539" t="inlineStr">
        <is>
          <t>Thursday</t>
        </is>
      </c>
      <c r="C3539" t="inlineStr">
        <is>
          <t>Week3-Jun-2026</t>
        </is>
      </c>
      <c r="D3539" s="78" t="n">
        <v>46174</v>
      </c>
      <c r="E3539" t="inlineStr">
        <is>
          <t>Q1FY27</t>
        </is>
      </c>
      <c r="F3539" t="inlineStr">
        <is>
          <t>30-Mar-2027</t>
        </is>
      </c>
      <c r="G3539" t="inlineStr">
        <is>
          <t>Tuesday</t>
        </is>
      </c>
      <c r="H3539" t="inlineStr">
        <is>
          <t>Monthly - Tuesday</t>
        </is>
      </c>
      <c r="I3539" t="inlineStr">
        <is>
          <t>Monthly - Tuesday</t>
        </is>
      </c>
      <c r="J3539" t="inlineStr">
        <is>
          <t>Month+9 Expiry</t>
        </is>
      </c>
      <c r="K3539" s="25" t="n">
        <v>219</v>
      </c>
      <c r="L3539" s="26" t="n">
        <v>0.3625</v>
      </c>
      <c r="M3539" s="26" t="n">
        <v>0.0042</v>
      </c>
    </row>
    <row r="3540" ht="16" customHeight="1">
      <c r="A3540" t="inlineStr">
        <is>
          <t>18-Jun-2026</t>
        </is>
      </c>
      <c r="B3540" t="inlineStr">
        <is>
          <t>Thursday</t>
        </is>
      </c>
      <c r="C3540" t="inlineStr">
        <is>
          <t>Week3-Jun-2026</t>
        </is>
      </c>
      <c r="D3540" s="78" t="n">
        <v>46174</v>
      </c>
      <c r="E3540" t="inlineStr">
        <is>
          <t>Q1FY27</t>
        </is>
      </c>
      <c r="F3540" t="inlineStr">
        <is>
          <t>29-Jun-2027</t>
        </is>
      </c>
      <c r="G3540" t="inlineStr">
        <is>
          <t>Tuesday</t>
        </is>
      </c>
      <c r="H3540" t="inlineStr">
        <is>
          <t>Monthly - Tuesday</t>
        </is>
      </c>
      <c r="I3540" t="inlineStr">
        <is>
          <t>Monthly - Tuesday</t>
        </is>
      </c>
      <c r="J3540" t="inlineStr">
        <is>
          <t>Month+12 Expiry</t>
        </is>
      </c>
      <c r="K3540" s="25" t="n">
        <v>45</v>
      </c>
      <c r="L3540" s="26" t="n">
        <v>0.0621</v>
      </c>
      <c r="M3540" s="26" t="n">
        <v>0.0007</v>
      </c>
    </row>
    <row r="3541" ht="16" customHeight="1">
      <c r="A3541" t="inlineStr">
        <is>
          <t>18-Jun-2026</t>
        </is>
      </c>
      <c r="B3541" t="inlineStr">
        <is>
          <t>Thursday</t>
        </is>
      </c>
      <c r="C3541" t="inlineStr">
        <is>
          <t>Week3-Jun-2026</t>
        </is>
      </c>
      <c r="D3541" s="78" t="n">
        <v>46174</v>
      </c>
      <c r="E3541" t="inlineStr">
        <is>
          <t>Q1FY27</t>
        </is>
      </c>
      <c r="F3541" t="inlineStr">
        <is>
          <t>28-Dec-2027</t>
        </is>
      </c>
      <c r="G3541" t="inlineStr">
        <is>
          <t>Tuesday</t>
        </is>
      </c>
      <c r="H3541" t="inlineStr">
        <is>
          <t>Monthly - Tuesday</t>
        </is>
      </c>
      <c r="I3541" t="inlineStr">
        <is>
          <t>Monthly - Tuesday</t>
        </is>
      </c>
      <c r="J3541" t="inlineStr">
        <is>
          <t>Month+18 Expiry</t>
        </is>
      </c>
      <c r="K3541" s="25" t="n">
        <v>376</v>
      </c>
      <c r="L3541" s="26" t="n">
        <v>0.613</v>
      </c>
      <c r="M3541" s="26" t="n">
        <v>0.024</v>
      </c>
    </row>
    <row r="3542" ht="16" customHeight="1">
      <c r="A3542" t="inlineStr">
        <is>
          <t>18-Jun-2026</t>
        </is>
      </c>
      <c r="B3542" t="inlineStr">
        <is>
          <t>Thursday</t>
        </is>
      </c>
      <c r="C3542" t="inlineStr">
        <is>
          <t>Week3-Jun-2026</t>
        </is>
      </c>
      <c r="D3542" s="78" t="n">
        <v>46174</v>
      </c>
      <c r="E3542" t="inlineStr">
        <is>
          <t>Q1FY27</t>
        </is>
      </c>
      <c r="F3542" t="inlineStr">
        <is>
          <t>27-Jun-2028</t>
        </is>
      </c>
      <c r="G3542" t="inlineStr">
        <is>
          <t>Tuesday</t>
        </is>
      </c>
      <c r="H3542" t="inlineStr">
        <is>
          <t>Monthly - Tuesday</t>
        </is>
      </c>
      <c r="I3542" t="inlineStr">
        <is>
          <t>Monthly - Tuesday</t>
        </is>
      </c>
      <c r="J3542" t="inlineStr">
        <is>
          <t>Month+24 Expiry</t>
        </is>
      </c>
      <c r="K3542" s="25" t="n">
        <v>0</v>
      </c>
      <c r="L3542" s="26" t="n">
        <v>0</v>
      </c>
      <c r="M3542" s="26" t="n">
        <v>0</v>
      </c>
    </row>
    <row r="3543" ht="16" customHeight="1">
      <c r="A3543" t="inlineStr">
        <is>
          <t>18-Jun-2026</t>
        </is>
      </c>
      <c r="B3543" t="inlineStr">
        <is>
          <t>Thursday</t>
        </is>
      </c>
      <c r="C3543" t="inlineStr">
        <is>
          <t>Week3-Jun-2026</t>
        </is>
      </c>
      <c r="D3543" s="78" t="n">
        <v>46174</v>
      </c>
      <c r="E3543" t="inlineStr">
        <is>
          <t>Q1FY27</t>
        </is>
      </c>
      <c r="F3543" t="inlineStr">
        <is>
          <t>26-Dec-2028</t>
        </is>
      </c>
      <c r="G3543" t="inlineStr">
        <is>
          <t>Tuesday</t>
        </is>
      </c>
      <c r="H3543" t="inlineStr">
        <is>
          <t>Monthly - Tuesday</t>
        </is>
      </c>
      <c r="I3543" t="inlineStr">
        <is>
          <t>Monthly - Tuesday</t>
        </is>
      </c>
      <c r="J3543" t="inlineStr">
        <is>
          <t>Month+30 Expiry</t>
        </is>
      </c>
      <c r="K3543" s="25" t="n">
        <v>2</v>
      </c>
      <c r="L3543" s="26" t="n">
        <v>0.0038</v>
      </c>
      <c r="M3543" s="26" t="n">
        <v>0.0003</v>
      </c>
    </row>
    <row r="3544" ht="16" customHeight="1">
      <c r="A3544" t="inlineStr">
        <is>
          <t>18-Jun-2026</t>
        </is>
      </c>
      <c r="B3544" t="inlineStr">
        <is>
          <t>Thursday</t>
        </is>
      </c>
      <c r="C3544" t="inlineStr">
        <is>
          <t>Week3-Jun-2026</t>
        </is>
      </c>
      <c r="D3544" s="78" t="n">
        <v>46174</v>
      </c>
      <c r="E3544" t="inlineStr">
        <is>
          <t>Q1FY27</t>
        </is>
      </c>
      <c r="F3544" t="inlineStr">
        <is>
          <t>26-Jun-2029</t>
        </is>
      </c>
      <c r="G3544" t="inlineStr">
        <is>
          <t>Tuesday</t>
        </is>
      </c>
      <c r="H3544" t="inlineStr">
        <is>
          <t>Monthly - Tuesday</t>
        </is>
      </c>
      <c r="I3544" t="inlineStr">
        <is>
          <t>Monthly - Tuesday</t>
        </is>
      </c>
      <c r="J3544" t="inlineStr">
        <is>
          <t>Month+36 Expiry</t>
        </is>
      </c>
      <c r="K3544" s="25" t="n">
        <v>0</v>
      </c>
      <c r="L3544" s="26" t="n">
        <v>0</v>
      </c>
      <c r="M3544" s="26" t="n">
        <v>0</v>
      </c>
    </row>
    <row r="3545" ht="16" customHeight="1">
      <c r="A3545" t="inlineStr">
        <is>
          <t>18-Jun-2026</t>
        </is>
      </c>
      <c r="B3545" t="inlineStr">
        <is>
          <t>Thursday</t>
        </is>
      </c>
      <c r="C3545" t="inlineStr">
        <is>
          <t>Week3-Jun-2026</t>
        </is>
      </c>
      <c r="D3545" s="78" t="n">
        <v>46174</v>
      </c>
      <c r="E3545" t="inlineStr">
        <is>
          <t>Q1FY27</t>
        </is>
      </c>
      <c r="F3545" t="inlineStr">
        <is>
          <t>24-Dec-2029</t>
        </is>
      </c>
      <c r="G3545" t="inlineStr">
        <is>
          <t>Monday</t>
        </is>
      </c>
      <c r="H3545" t="inlineStr">
        <is>
          <t>Weekly - Monday</t>
        </is>
      </c>
      <c r="I3545" t="inlineStr">
        <is>
          <t>Weekly - Monday</t>
        </is>
      </c>
      <c r="J3545" t="inlineStr">
        <is>
          <t>Month+42 Expiry</t>
        </is>
      </c>
      <c r="K3545" s="25" t="n">
        <v>0</v>
      </c>
      <c r="L3545" s="26" t="n">
        <v>0</v>
      </c>
      <c r="M3545" s="26" t="n">
        <v>0</v>
      </c>
    </row>
    <row r="3546" ht="16" customHeight="1">
      <c r="A3546" t="inlineStr">
        <is>
          <t>18-Jun-2026</t>
        </is>
      </c>
      <c r="B3546" t="inlineStr">
        <is>
          <t>Thursday</t>
        </is>
      </c>
      <c r="C3546" t="inlineStr">
        <is>
          <t>Week3-Jun-2026</t>
        </is>
      </c>
      <c r="D3546" s="78" t="n">
        <v>46174</v>
      </c>
      <c r="E3546" t="inlineStr">
        <is>
          <t>Q1FY27</t>
        </is>
      </c>
      <c r="F3546" t="inlineStr">
        <is>
          <t>25-Jun-2030</t>
        </is>
      </c>
      <c r="G3546" t="inlineStr">
        <is>
          <t>Tuesday</t>
        </is>
      </c>
      <c r="H3546" t="inlineStr">
        <is>
          <t>Monthly - Tuesday</t>
        </is>
      </c>
      <c r="I3546" t="inlineStr">
        <is>
          <t>Monthly - Tuesday</t>
        </is>
      </c>
      <c r="J3546" t="inlineStr">
        <is>
          <t>Month+48 Expiry</t>
        </is>
      </c>
      <c r="K3546" s="25" t="n">
        <v>0</v>
      </c>
      <c r="L3546" s="26" t="n">
        <v>0</v>
      </c>
      <c r="M3546" s="26" t="n">
        <v>0</v>
      </c>
    </row>
    <row r="3547" ht="16" customHeight="1">
      <c r="A3547" t="inlineStr">
        <is>
          <t>18-Jun-2026</t>
        </is>
      </c>
      <c r="B3547" t="inlineStr">
        <is>
          <t>Thursday</t>
        </is>
      </c>
      <c r="C3547" t="inlineStr">
        <is>
          <t>Week3-Jun-2026</t>
        </is>
      </c>
      <c r="D3547" s="78" t="n">
        <v>46174</v>
      </c>
      <c r="E3547" t="inlineStr">
        <is>
          <t>Q1FY27</t>
        </is>
      </c>
      <c r="F3547" t="inlineStr">
        <is>
          <t>31-Dec-2030</t>
        </is>
      </c>
      <c r="G3547" t="inlineStr">
        <is>
          <t>Tuesday</t>
        </is>
      </c>
      <c r="H3547" t="inlineStr">
        <is>
          <t>Monthly - Tuesday</t>
        </is>
      </c>
      <c r="I3547" t="inlineStr">
        <is>
          <t>Monthly - Tuesday</t>
        </is>
      </c>
      <c r="J3547" t="inlineStr">
        <is>
          <t>Month+54 Expiry</t>
        </is>
      </c>
      <c r="K3547" s="25" t="n">
        <v>0</v>
      </c>
      <c r="L3547" s="26" t="n">
        <v>0</v>
      </c>
      <c r="M3547" s="26" t="n">
        <v>0</v>
      </c>
    </row>
    <row r="3548" ht="16" customHeight="1">
      <c r="A3548" t="inlineStr">
        <is>
          <t>19-Jun-2026</t>
        </is>
      </c>
      <c r="B3548" t="inlineStr">
        <is>
          <t>Friday</t>
        </is>
      </c>
      <c r="C3548" t="inlineStr">
        <is>
          <t>Week3-Jun-2026</t>
        </is>
      </c>
      <c r="D3548" s="78" t="n">
        <v>46174</v>
      </c>
      <c r="E3548" t="inlineStr">
        <is>
          <t>Q1FY27</t>
        </is>
      </c>
      <c r="F3548" t="inlineStr">
        <is>
          <t>23-Jun-2026</t>
        </is>
      </c>
      <c r="G3548" t="inlineStr">
        <is>
          <t>Tuesday</t>
        </is>
      </c>
      <c r="H3548" t="inlineStr">
        <is>
          <t>Weekly - Tuesday</t>
        </is>
      </c>
      <c r="I3548" t="inlineStr">
        <is>
          <t>Weekly - Tuesday</t>
        </is>
      </c>
      <c r="J3548" t="inlineStr">
        <is>
          <t>Same Month Expiry</t>
        </is>
      </c>
      <c r="K3548" s="25" t="n">
        <v>85482141</v>
      </c>
      <c r="L3548" s="26" t="n">
        <v>133808.1692</v>
      </c>
      <c r="M3548" s="26" t="n">
        <v>386.3864</v>
      </c>
    </row>
    <row r="3549" ht="16" customHeight="1">
      <c r="A3549" t="inlineStr">
        <is>
          <t>19-Jun-2026</t>
        </is>
      </c>
      <c r="B3549" t="inlineStr">
        <is>
          <t>Friday</t>
        </is>
      </c>
      <c r="C3549" t="inlineStr">
        <is>
          <t>Week3-Jun-2026</t>
        </is>
      </c>
      <c r="D3549" s="78" t="n">
        <v>46174</v>
      </c>
      <c r="E3549" t="inlineStr">
        <is>
          <t>Q1FY27</t>
        </is>
      </c>
      <c r="F3549" t="inlineStr">
        <is>
          <t>30-Jun-2026</t>
        </is>
      </c>
      <c r="G3549" t="inlineStr">
        <is>
          <t>Tuesday</t>
        </is>
      </c>
      <c r="H3549" t="inlineStr">
        <is>
          <t>Monthly - Tuesday</t>
        </is>
      </c>
      <c r="I3549" t="inlineStr">
        <is>
          <t>Monthly - Tuesday</t>
        </is>
      </c>
      <c r="J3549" t="inlineStr">
        <is>
          <t>Same Month Expiry</t>
        </is>
      </c>
      <c r="K3549" s="25" t="n">
        <v>4206528</v>
      </c>
      <c r="L3549" s="26" t="n">
        <v>6577.7338</v>
      </c>
      <c r="M3549" s="26" t="n">
        <v>30.1285</v>
      </c>
    </row>
    <row r="3550" ht="16" customHeight="1">
      <c r="A3550" t="inlineStr">
        <is>
          <t>19-Jun-2026</t>
        </is>
      </c>
      <c r="B3550" t="inlineStr">
        <is>
          <t>Friday</t>
        </is>
      </c>
      <c r="C3550" t="inlineStr">
        <is>
          <t>Week3-Jun-2026</t>
        </is>
      </c>
      <c r="D3550" s="78" t="n">
        <v>46174</v>
      </c>
      <c r="E3550" t="inlineStr">
        <is>
          <t>Q1FY27</t>
        </is>
      </c>
      <c r="F3550" t="inlineStr">
        <is>
          <t>07-Jul-2026</t>
        </is>
      </c>
      <c r="G3550" t="inlineStr">
        <is>
          <t>Tuesday</t>
        </is>
      </c>
      <c r="H3550" t="inlineStr">
        <is>
          <t>Weekly - Tuesday</t>
        </is>
      </c>
      <c r="I3550" t="inlineStr">
        <is>
          <t>Weekly - Tuesday</t>
        </is>
      </c>
      <c r="J3550" t="inlineStr">
        <is>
          <t>Month+1 Expiry</t>
        </is>
      </c>
      <c r="K3550" s="25" t="n">
        <v>233863</v>
      </c>
      <c r="L3550" s="26" t="n">
        <v>367.2195</v>
      </c>
      <c r="M3550" s="26" t="n">
        <v>2.1003</v>
      </c>
    </row>
    <row r="3551" ht="16" customHeight="1">
      <c r="A3551" t="inlineStr">
        <is>
          <t>19-Jun-2026</t>
        </is>
      </c>
      <c r="B3551" t="inlineStr">
        <is>
          <t>Friday</t>
        </is>
      </c>
      <c r="C3551" t="inlineStr">
        <is>
          <t>Week3-Jun-2026</t>
        </is>
      </c>
      <c r="D3551" s="78" t="n">
        <v>46174</v>
      </c>
      <c r="E3551" t="inlineStr">
        <is>
          <t>Q1FY27</t>
        </is>
      </c>
      <c r="F3551" t="inlineStr">
        <is>
          <t>14-Jul-2026</t>
        </is>
      </c>
      <c r="G3551" t="inlineStr">
        <is>
          <t>Tuesday</t>
        </is>
      </c>
      <c r="H3551" t="inlineStr">
        <is>
          <t>Weekly - Tuesday</t>
        </is>
      </c>
      <c r="I3551" t="inlineStr">
        <is>
          <t>Weekly - Tuesday</t>
        </is>
      </c>
      <c r="J3551" t="inlineStr">
        <is>
          <t>Month+1 Expiry</t>
        </is>
      </c>
      <c r="K3551" s="25" t="n">
        <v>28045</v>
      </c>
      <c r="L3551" s="26" t="n">
        <v>44.1627</v>
      </c>
      <c r="M3551" s="26" t="n">
        <v>0.2871</v>
      </c>
    </row>
    <row r="3552" ht="16" customHeight="1">
      <c r="A3552" t="inlineStr">
        <is>
          <t>19-Jun-2026</t>
        </is>
      </c>
      <c r="B3552" t="inlineStr">
        <is>
          <t>Friday</t>
        </is>
      </c>
      <c r="C3552" t="inlineStr">
        <is>
          <t>Week3-Jun-2026</t>
        </is>
      </c>
      <c r="D3552" s="78" t="n">
        <v>46174</v>
      </c>
      <c r="E3552" t="inlineStr">
        <is>
          <t>Q1FY27</t>
        </is>
      </c>
      <c r="F3552" t="inlineStr">
        <is>
          <t>21-Jul-2026</t>
        </is>
      </c>
      <c r="G3552" t="inlineStr">
        <is>
          <t>Tuesday</t>
        </is>
      </c>
      <c r="H3552" t="inlineStr">
        <is>
          <t>Weekly - Tuesday</t>
        </is>
      </c>
      <c r="I3552" t="inlineStr">
        <is>
          <t>Weekly - Tuesday</t>
        </is>
      </c>
      <c r="J3552" t="inlineStr">
        <is>
          <t>Month+1 Expiry</t>
        </is>
      </c>
      <c r="K3552" s="25" t="n">
        <v>3163</v>
      </c>
      <c r="L3552" s="26" t="n">
        <v>5.0027</v>
      </c>
      <c r="M3552" s="26" t="n">
        <v>0.0376</v>
      </c>
    </row>
    <row r="3553" ht="16" customHeight="1">
      <c r="A3553" t="inlineStr">
        <is>
          <t>19-Jun-2026</t>
        </is>
      </c>
      <c r="B3553" t="inlineStr">
        <is>
          <t>Friday</t>
        </is>
      </c>
      <c r="C3553" t="inlineStr">
        <is>
          <t>Week3-Jun-2026</t>
        </is>
      </c>
      <c r="D3553" s="78" t="n">
        <v>46174</v>
      </c>
      <c r="E3553" t="inlineStr">
        <is>
          <t>Q1FY27</t>
        </is>
      </c>
      <c r="F3553" t="inlineStr">
        <is>
          <t>28-Jul-2026</t>
        </is>
      </c>
      <c r="G3553" t="inlineStr">
        <is>
          <t>Tuesday</t>
        </is>
      </c>
      <c r="H3553" t="inlineStr">
        <is>
          <t>Monthly - Tuesday</t>
        </is>
      </c>
      <c r="I3553" t="inlineStr">
        <is>
          <t>Monthly - Tuesday</t>
        </is>
      </c>
      <c r="J3553" t="inlineStr">
        <is>
          <t>Month+1 Expiry</t>
        </is>
      </c>
      <c r="K3553" s="25" t="n">
        <v>392374</v>
      </c>
      <c r="L3553" s="26" t="n">
        <v>615.6653</v>
      </c>
      <c r="M3553" s="26" t="n">
        <v>5.4257</v>
      </c>
    </row>
    <row r="3554" ht="16" customHeight="1">
      <c r="A3554" t="inlineStr">
        <is>
          <t>19-Jun-2026</t>
        </is>
      </c>
      <c r="B3554" t="inlineStr">
        <is>
          <t>Friday</t>
        </is>
      </c>
      <c r="C3554" t="inlineStr">
        <is>
          <t>Week3-Jun-2026</t>
        </is>
      </c>
      <c r="D3554" s="78" t="n">
        <v>46174</v>
      </c>
      <c r="E3554" t="inlineStr">
        <is>
          <t>Q1FY27</t>
        </is>
      </c>
      <c r="F3554" t="inlineStr">
        <is>
          <t>25-Aug-2026</t>
        </is>
      </c>
      <c r="G3554" t="inlineStr">
        <is>
          <t>Tuesday</t>
        </is>
      </c>
      <c r="H3554" t="inlineStr">
        <is>
          <t>Monthly - Tuesday</t>
        </is>
      </c>
      <c r="I3554" t="inlineStr">
        <is>
          <t>Monthly - Tuesday</t>
        </is>
      </c>
      <c r="J3554" t="inlineStr">
        <is>
          <t>Month+2 Expiry</t>
        </is>
      </c>
      <c r="K3554" s="25" t="n">
        <v>55848</v>
      </c>
      <c r="L3554" s="26" t="n">
        <v>87.73269999999999</v>
      </c>
      <c r="M3554" s="26" t="n">
        <v>1.0663</v>
      </c>
    </row>
    <row r="3555" ht="16" customHeight="1">
      <c r="A3555" t="inlineStr">
        <is>
          <t>19-Jun-2026</t>
        </is>
      </c>
      <c r="B3555" t="inlineStr">
        <is>
          <t>Friday</t>
        </is>
      </c>
      <c r="C3555" t="inlineStr">
        <is>
          <t>Week3-Jun-2026</t>
        </is>
      </c>
      <c r="D3555" s="78" t="n">
        <v>46174</v>
      </c>
      <c r="E3555" t="inlineStr">
        <is>
          <t>Q1FY27</t>
        </is>
      </c>
      <c r="F3555" t="inlineStr">
        <is>
          <t>29-Sep-2026</t>
        </is>
      </c>
      <c r="G3555" t="inlineStr">
        <is>
          <t>Tuesday</t>
        </is>
      </c>
      <c r="H3555" t="inlineStr">
        <is>
          <t>Monthly - Tuesday</t>
        </is>
      </c>
      <c r="I3555" t="inlineStr">
        <is>
          <t>Monthly - Tuesday</t>
        </is>
      </c>
      <c r="J3555" t="inlineStr">
        <is>
          <t>Month+3 Expiry</t>
        </is>
      </c>
      <c r="K3555" s="25" t="n">
        <v>28982</v>
      </c>
      <c r="L3555" s="26" t="n">
        <v>45.0155</v>
      </c>
      <c r="M3555" s="26" t="n">
        <v>0.722</v>
      </c>
    </row>
    <row r="3556" ht="16" customHeight="1">
      <c r="A3556" t="inlineStr">
        <is>
          <t>19-Jun-2026</t>
        </is>
      </c>
      <c r="B3556" t="inlineStr">
        <is>
          <t>Friday</t>
        </is>
      </c>
      <c r="C3556" t="inlineStr">
        <is>
          <t>Week3-Jun-2026</t>
        </is>
      </c>
      <c r="D3556" s="78" t="n">
        <v>46174</v>
      </c>
      <c r="E3556" t="inlineStr">
        <is>
          <t>Q1FY27</t>
        </is>
      </c>
      <c r="F3556" t="inlineStr">
        <is>
          <t>29-Dec-2026</t>
        </is>
      </c>
      <c r="G3556" t="inlineStr">
        <is>
          <t>Tuesday</t>
        </is>
      </c>
      <c r="H3556" t="inlineStr">
        <is>
          <t>Monthly - Tuesday</t>
        </is>
      </c>
      <c r="I3556" t="inlineStr">
        <is>
          <t>Monthly - Tuesday</t>
        </is>
      </c>
      <c r="J3556" t="inlineStr">
        <is>
          <t>Month+6 Expiry</t>
        </is>
      </c>
      <c r="K3556" s="25" t="n">
        <v>40681</v>
      </c>
      <c r="L3556" s="26" t="n">
        <v>65.206</v>
      </c>
      <c r="M3556" s="26" t="n">
        <v>1.4773</v>
      </c>
    </row>
    <row r="3557" ht="16" customHeight="1">
      <c r="A3557" t="inlineStr">
        <is>
          <t>19-Jun-2026</t>
        </is>
      </c>
      <c r="B3557" t="inlineStr">
        <is>
          <t>Friday</t>
        </is>
      </c>
      <c r="C3557" t="inlineStr">
        <is>
          <t>Week3-Jun-2026</t>
        </is>
      </c>
      <c r="D3557" s="78" t="n">
        <v>46174</v>
      </c>
      <c r="E3557" t="inlineStr">
        <is>
          <t>Q1FY27</t>
        </is>
      </c>
      <c r="F3557" t="inlineStr">
        <is>
          <t>30-Mar-2027</t>
        </is>
      </c>
      <c r="G3557" t="inlineStr">
        <is>
          <t>Tuesday</t>
        </is>
      </c>
      <c r="H3557" t="inlineStr">
        <is>
          <t>Monthly - Tuesday</t>
        </is>
      </c>
      <c r="I3557" t="inlineStr">
        <is>
          <t>Monthly - Tuesday</t>
        </is>
      </c>
      <c r="J3557" t="inlineStr">
        <is>
          <t>Month+9 Expiry</t>
        </is>
      </c>
      <c r="K3557" s="25" t="n">
        <v>168</v>
      </c>
      <c r="L3557" s="26" t="n">
        <v>0.2975</v>
      </c>
      <c r="M3557" s="26" t="n">
        <v>0.004</v>
      </c>
    </row>
    <row r="3558" ht="16" customHeight="1">
      <c r="A3558" t="inlineStr">
        <is>
          <t>19-Jun-2026</t>
        </is>
      </c>
      <c r="B3558" t="inlineStr">
        <is>
          <t>Friday</t>
        </is>
      </c>
      <c r="C3558" t="inlineStr">
        <is>
          <t>Week3-Jun-2026</t>
        </is>
      </c>
      <c r="D3558" s="78" t="n">
        <v>46174</v>
      </c>
      <c r="E3558" t="inlineStr">
        <is>
          <t>Q1FY27</t>
        </is>
      </c>
      <c r="F3558" t="inlineStr">
        <is>
          <t>29-Jun-2027</t>
        </is>
      </c>
      <c r="G3558" t="inlineStr">
        <is>
          <t>Tuesday</t>
        </is>
      </c>
      <c r="H3558" t="inlineStr">
        <is>
          <t>Monthly - Tuesday</t>
        </is>
      </c>
      <c r="I3558" t="inlineStr">
        <is>
          <t>Monthly - Tuesday</t>
        </is>
      </c>
      <c r="J3558" t="inlineStr">
        <is>
          <t>Month+12 Expiry</t>
        </is>
      </c>
      <c r="K3558" s="25" t="n">
        <v>0</v>
      </c>
      <c r="L3558" s="26" t="n">
        <v>0</v>
      </c>
      <c r="M3558" s="26" t="n">
        <v>0</v>
      </c>
    </row>
    <row r="3559" ht="16" customHeight="1">
      <c r="A3559" t="inlineStr">
        <is>
          <t>19-Jun-2026</t>
        </is>
      </c>
      <c r="B3559" t="inlineStr">
        <is>
          <t>Friday</t>
        </is>
      </c>
      <c r="C3559" t="inlineStr">
        <is>
          <t>Week3-Jun-2026</t>
        </is>
      </c>
      <c r="D3559" s="78" t="n">
        <v>46174</v>
      </c>
      <c r="E3559" t="inlineStr">
        <is>
          <t>Q1FY27</t>
        </is>
      </c>
      <c r="F3559" t="inlineStr">
        <is>
          <t>28-Dec-2027</t>
        </is>
      </c>
      <c r="G3559" t="inlineStr">
        <is>
          <t>Tuesday</t>
        </is>
      </c>
      <c r="H3559" t="inlineStr">
        <is>
          <t>Monthly - Tuesday</t>
        </is>
      </c>
      <c r="I3559" t="inlineStr">
        <is>
          <t>Monthly - Tuesday</t>
        </is>
      </c>
      <c r="J3559" t="inlineStr">
        <is>
          <t>Month+18 Expiry</t>
        </is>
      </c>
      <c r="K3559" s="25" t="n">
        <v>293</v>
      </c>
      <c r="L3559" s="26" t="n">
        <v>0.505</v>
      </c>
      <c r="M3559" s="26" t="n">
        <v>0.0196</v>
      </c>
    </row>
    <row r="3560" ht="16" customHeight="1">
      <c r="A3560" t="inlineStr">
        <is>
          <t>19-Jun-2026</t>
        </is>
      </c>
      <c r="B3560" t="inlineStr">
        <is>
          <t>Friday</t>
        </is>
      </c>
      <c r="C3560" t="inlineStr">
        <is>
          <t>Week3-Jun-2026</t>
        </is>
      </c>
      <c r="D3560" s="78" t="n">
        <v>46174</v>
      </c>
      <c r="E3560" t="inlineStr">
        <is>
          <t>Q1FY27</t>
        </is>
      </c>
      <c r="F3560" t="inlineStr">
        <is>
          <t>27-Jun-2028</t>
        </is>
      </c>
      <c r="G3560" t="inlineStr">
        <is>
          <t>Tuesday</t>
        </is>
      </c>
      <c r="H3560" t="inlineStr">
        <is>
          <t>Monthly - Tuesday</t>
        </is>
      </c>
      <c r="I3560" t="inlineStr">
        <is>
          <t>Monthly - Tuesday</t>
        </is>
      </c>
      <c r="J3560" t="inlineStr">
        <is>
          <t>Month+24 Expiry</t>
        </is>
      </c>
      <c r="K3560" s="25" t="n">
        <v>0</v>
      </c>
      <c r="L3560" s="26" t="n">
        <v>0</v>
      </c>
      <c r="M3560" s="26" t="n">
        <v>0</v>
      </c>
    </row>
    <row r="3561" ht="16" customHeight="1">
      <c r="A3561" t="inlineStr">
        <is>
          <t>19-Jun-2026</t>
        </is>
      </c>
      <c r="B3561" t="inlineStr">
        <is>
          <t>Friday</t>
        </is>
      </c>
      <c r="C3561" t="inlineStr">
        <is>
          <t>Week3-Jun-2026</t>
        </is>
      </c>
      <c r="D3561" s="78" t="n">
        <v>46174</v>
      </c>
      <c r="E3561" t="inlineStr">
        <is>
          <t>Q1FY27</t>
        </is>
      </c>
      <c r="F3561" t="inlineStr">
        <is>
          <t>26-Dec-2028</t>
        </is>
      </c>
      <c r="G3561" t="inlineStr">
        <is>
          <t>Tuesday</t>
        </is>
      </c>
      <c r="H3561" t="inlineStr">
        <is>
          <t>Monthly - Tuesday</t>
        </is>
      </c>
      <c r="I3561" t="inlineStr">
        <is>
          <t>Monthly - Tuesday</t>
        </is>
      </c>
      <c r="J3561" t="inlineStr">
        <is>
          <t>Month+30 Expiry</t>
        </is>
      </c>
      <c r="K3561" s="25" t="n">
        <v>2</v>
      </c>
      <c r="L3561" s="26" t="n">
        <v>0.0038</v>
      </c>
      <c r="M3561" s="26" t="n">
        <v>0.0002</v>
      </c>
    </row>
    <row r="3562" ht="16" customHeight="1">
      <c r="A3562" t="inlineStr">
        <is>
          <t>19-Jun-2026</t>
        </is>
      </c>
      <c r="B3562" t="inlineStr">
        <is>
          <t>Friday</t>
        </is>
      </c>
      <c r="C3562" t="inlineStr">
        <is>
          <t>Week3-Jun-2026</t>
        </is>
      </c>
      <c r="D3562" s="78" t="n">
        <v>46174</v>
      </c>
      <c r="E3562" t="inlineStr">
        <is>
          <t>Q1FY27</t>
        </is>
      </c>
      <c r="F3562" t="inlineStr">
        <is>
          <t>26-Jun-2029</t>
        </is>
      </c>
      <c r="G3562" t="inlineStr">
        <is>
          <t>Tuesday</t>
        </is>
      </c>
      <c r="H3562" t="inlineStr">
        <is>
          <t>Monthly - Tuesday</t>
        </is>
      </c>
      <c r="I3562" t="inlineStr">
        <is>
          <t>Monthly - Tuesday</t>
        </is>
      </c>
      <c r="J3562" t="inlineStr">
        <is>
          <t>Month+36 Expiry</t>
        </is>
      </c>
      <c r="K3562" s="25" t="n">
        <v>0</v>
      </c>
      <c r="L3562" s="26" t="n">
        <v>0</v>
      </c>
      <c r="M3562" s="26" t="n">
        <v>0</v>
      </c>
    </row>
    <row r="3563" ht="16" customHeight="1">
      <c r="A3563" t="inlineStr">
        <is>
          <t>19-Jun-2026</t>
        </is>
      </c>
      <c r="B3563" t="inlineStr">
        <is>
          <t>Friday</t>
        </is>
      </c>
      <c r="C3563" t="inlineStr">
        <is>
          <t>Week3-Jun-2026</t>
        </is>
      </c>
      <c r="D3563" s="78" t="n">
        <v>46174</v>
      </c>
      <c r="E3563" t="inlineStr">
        <is>
          <t>Q1FY27</t>
        </is>
      </c>
      <c r="F3563" t="inlineStr">
        <is>
          <t>24-Dec-2029</t>
        </is>
      </c>
      <c r="G3563" t="inlineStr">
        <is>
          <t>Monday</t>
        </is>
      </c>
      <c r="H3563" t="inlineStr">
        <is>
          <t>Weekly - Monday</t>
        </is>
      </c>
      <c r="I3563" t="inlineStr">
        <is>
          <t>Weekly - Monday</t>
        </is>
      </c>
      <c r="J3563" t="inlineStr">
        <is>
          <t>Month+42 Expiry</t>
        </is>
      </c>
      <c r="K3563" s="25" t="n">
        <v>0</v>
      </c>
      <c r="L3563" s="26" t="n">
        <v>0</v>
      </c>
      <c r="M3563" s="26" t="n">
        <v>0</v>
      </c>
    </row>
    <row r="3564" ht="16" customHeight="1">
      <c r="A3564" t="inlineStr">
        <is>
          <t>19-Jun-2026</t>
        </is>
      </c>
      <c r="B3564" t="inlineStr">
        <is>
          <t>Friday</t>
        </is>
      </c>
      <c r="C3564" t="inlineStr">
        <is>
          <t>Week3-Jun-2026</t>
        </is>
      </c>
      <c r="D3564" s="78" t="n">
        <v>46174</v>
      </c>
      <c r="E3564" t="inlineStr">
        <is>
          <t>Q1FY27</t>
        </is>
      </c>
      <c r="F3564" t="inlineStr">
        <is>
          <t>25-Jun-2030</t>
        </is>
      </c>
      <c r="G3564" t="inlineStr">
        <is>
          <t>Tuesday</t>
        </is>
      </c>
      <c r="H3564" t="inlineStr">
        <is>
          <t>Monthly - Tuesday</t>
        </is>
      </c>
      <c r="I3564" t="inlineStr">
        <is>
          <t>Monthly - Tuesday</t>
        </is>
      </c>
      <c r="J3564" t="inlineStr">
        <is>
          <t>Month+48 Expiry</t>
        </is>
      </c>
      <c r="K3564" s="25" t="n">
        <v>0</v>
      </c>
      <c r="L3564" s="26" t="n">
        <v>0</v>
      </c>
      <c r="M3564" s="26" t="n">
        <v>0</v>
      </c>
    </row>
    <row r="3565" ht="16" customHeight="1">
      <c r="A3565" t="inlineStr">
        <is>
          <t>19-Jun-2026</t>
        </is>
      </c>
      <c r="B3565" t="inlineStr">
        <is>
          <t>Friday</t>
        </is>
      </c>
      <c r="C3565" t="inlineStr">
        <is>
          <t>Week3-Jun-2026</t>
        </is>
      </c>
      <c r="D3565" s="78" t="n">
        <v>46174</v>
      </c>
      <c r="E3565" t="inlineStr">
        <is>
          <t>Q1FY27</t>
        </is>
      </c>
      <c r="F3565" t="inlineStr">
        <is>
          <t>31-Dec-2030</t>
        </is>
      </c>
      <c r="G3565" t="inlineStr">
        <is>
          <t>Tuesday</t>
        </is>
      </c>
      <c r="H3565" t="inlineStr">
        <is>
          <t>Monthly - Tuesday</t>
        </is>
      </c>
      <c r="I3565" t="inlineStr">
        <is>
          <t>Monthly - Tuesday</t>
        </is>
      </c>
      <c r="J3565" t="inlineStr">
        <is>
          <t>Month+54 Expiry</t>
        </is>
      </c>
      <c r="K3565" s="25" t="n">
        <v>0</v>
      </c>
      <c r="L3565" s="26" t="n">
        <v>0</v>
      </c>
      <c r="M3565" s="26" t="n">
        <v>0</v>
      </c>
    </row>
    <row r="3566" ht="16" customHeight="1">
      <c r="A3566" t="inlineStr">
        <is>
          <t>22-Jun-2026</t>
        </is>
      </c>
      <c r="B3566" t="inlineStr">
        <is>
          <t>Monday</t>
        </is>
      </c>
      <c r="C3566" t="inlineStr">
        <is>
          <t>Week4-Jun-2026</t>
        </is>
      </c>
      <c r="D3566" s="78" t="n">
        <v>46174</v>
      </c>
      <c r="E3566" t="inlineStr">
        <is>
          <t>Q1FY27</t>
        </is>
      </c>
      <c r="F3566" t="inlineStr">
        <is>
          <t>23-Jun-2026</t>
        </is>
      </c>
      <c r="G3566" t="inlineStr">
        <is>
          <t>Tuesday</t>
        </is>
      </c>
      <c r="H3566" t="inlineStr">
        <is>
          <t>Weekly - Tuesday</t>
        </is>
      </c>
      <c r="I3566" t="inlineStr">
        <is>
          <t>Weekly - Tuesday</t>
        </is>
      </c>
      <c r="J3566" t="inlineStr">
        <is>
          <t>Same Month Expiry</t>
        </is>
      </c>
      <c r="K3566" s="25" t="n">
        <v>91802748</v>
      </c>
      <c r="L3566" s="26" t="n">
        <v>144114.3154</v>
      </c>
      <c r="M3566" s="26" t="n">
        <v>283.7107</v>
      </c>
    </row>
    <row r="3567" ht="16" customHeight="1">
      <c r="A3567" t="inlineStr">
        <is>
          <t>22-Jun-2026</t>
        </is>
      </c>
      <c r="B3567" t="inlineStr">
        <is>
          <t>Monday</t>
        </is>
      </c>
      <c r="C3567" t="inlineStr">
        <is>
          <t>Week4-Jun-2026</t>
        </is>
      </c>
      <c r="D3567" s="78" t="n">
        <v>46174</v>
      </c>
      <c r="E3567" t="inlineStr">
        <is>
          <t>Q1FY27</t>
        </is>
      </c>
      <c r="F3567" t="inlineStr">
        <is>
          <t>30-Jun-2026</t>
        </is>
      </c>
      <c r="G3567" t="inlineStr">
        <is>
          <t>Tuesday</t>
        </is>
      </c>
      <c r="H3567" t="inlineStr">
        <is>
          <t>Monthly - Tuesday</t>
        </is>
      </c>
      <c r="I3567" t="inlineStr">
        <is>
          <t>Monthly - Tuesday</t>
        </is>
      </c>
      <c r="J3567" t="inlineStr">
        <is>
          <t>Same Month Expiry</t>
        </is>
      </c>
      <c r="K3567" s="25" t="n">
        <v>5107393</v>
      </c>
      <c r="L3567" s="26" t="n">
        <v>8023.0479</v>
      </c>
      <c r="M3567" s="26" t="n">
        <v>26.4656</v>
      </c>
    </row>
    <row r="3568" ht="16" customHeight="1">
      <c r="A3568" t="inlineStr">
        <is>
          <t>22-Jun-2026</t>
        </is>
      </c>
      <c r="B3568" t="inlineStr">
        <is>
          <t>Monday</t>
        </is>
      </c>
      <c r="C3568" t="inlineStr">
        <is>
          <t>Week4-Jun-2026</t>
        </is>
      </c>
      <c r="D3568" s="78" t="n">
        <v>46174</v>
      </c>
      <c r="E3568" t="inlineStr">
        <is>
          <t>Q1FY27</t>
        </is>
      </c>
      <c r="F3568" t="inlineStr">
        <is>
          <t>07-Jul-2026</t>
        </is>
      </c>
      <c r="G3568" t="inlineStr">
        <is>
          <t>Tuesday</t>
        </is>
      </c>
      <c r="H3568" t="inlineStr">
        <is>
          <t>Weekly - Tuesday</t>
        </is>
      </c>
      <c r="I3568" t="inlineStr">
        <is>
          <t>Weekly - Tuesday</t>
        </is>
      </c>
      <c r="J3568" t="inlineStr">
        <is>
          <t>Month+1 Expiry</t>
        </is>
      </c>
      <c r="K3568" s="25" t="n">
        <v>279405</v>
      </c>
      <c r="L3568" s="26" t="n">
        <v>438.9147</v>
      </c>
      <c r="M3568" s="26" t="n">
        <v>1.9307</v>
      </c>
    </row>
    <row r="3569" ht="16" customHeight="1">
      <c r="A3569" t="inlineStr">
        <is>
          <t>22-Jun-2026</t>
        </is>
      </c>
      <c r="B3569" t="inlineStr">
        <is>
          <t>Monday</t>
        </is>
      </c>
      <c r="C3569" t="inlineStr">
        <is>
          <t>Week4-Jun-2026</t>
        </is>
      </c>
      <c r="D3569" s="78" t="n">
        <v>46174</v>
      </c>
      <c r="E3569" t="inlineStr">
        <is>
          <t>Q1FY27</t>
        </is>
      </c>
      <c r="F3569" t="inlineStr">
        <is>
          <t>14-Jul-2026</t>
        </is>
      </c>
      <c r="G3569" t="inlineStr">
        <is>
          <t>Tuesday</t>
        </is>
      </c>
      <c r="H3569" t="inlineStr">
        <is>
          <t>Weekly - Tuesday</t>
        </is>
      </c>
      <c r="I3569" t="inlineStr">
        <is>
          <t>Weekly - Tuesday</t>
        </is>
      </c>
      <c r="J3569" t="inlineStr">
        <is>
          <t>Month+1 Expiry</t>
        </is>
      </c>
      <c r="K3569" s="25" t="n">
        <v>24473</v>
      </c>
      <c r="L3569" s="26" t="n">
        <v>38.5297</v>
      </c>
      <c r="M3569" s="26" t="n">
        <v>0.2107</v>
      </c>
    </row>
    <row r="3570" ht="16" customHeight="1">
      <c r="A3570" t="inlineStr">
        <is>
          <t>22-Jun-2026</t>
        </is>
      </c>
      <c r="B3570" t="inlineStr">
        <is>
          <t>Monday</t>
        </is>
      </c>
      <c r="C3570" t="inlineStr">
        <is>
          <t>Week4-Jun-2026</t>
        </is>
      </c>
      <c r="D3570" s="78" t="n">
        <v>46174</v>
      </c>
      <c r="E3570" t="inlineStr">
        <is>
          <t>Q1FY27</t>
        </is>
      </c>
      <c r="F3570" t="inlineStr">
        <is>
          <t>21-Jul-2026</t>
        </is>
      </c>
      <c r="G3570" t="inlineStr">
        <is>
          <t>Tuesday</t>
        </is>
      </c>
      <c r="H3570" t="inlineStr">
        <is>
          <t>Weekly - Tuesday</t>
        </is>
      </c>
      <c r="I3570" t="inlineStr">
        <is>
          <t>Weekly - Tuesday</t>
        </is>
      </c>
      <c r="J3570" t="inlineStr">
        <is>
          <t>Month+1 Expiry</t>
        </is>
      </c>
      <c r="K3570" s="25" t="n">
        <v>3345</v>
      </c>
      <c r="L3570" s="26" t="n">
        <v>5.2508</v>
      </c>
      <c r="M3570" s="26" t="n">
        <v>0.0394</v>
      </c>
    </row>
    <row r="3571" ht="16" customHeight="1">
      <c r="A3571" t="inlineStr">
        <is>
          <t>22-Jun-2026</t>
        </is>
      </c>
      <c r="B3571" t="inlineStr">
        <is>
          <t>Monday</t>
        </is>
      </c>
      <c r="C3571" t="inlineStr">
        <is>
          <t>Week4-Jun-2026</t>
        </is>
      </c>
      <c r="D3571" s="78" t="n">
        <v>46174</v>
      </c>
      <c r="E3571" t="inlineStr">
        <is>
          <t>Q1FY27</t>
        </is>
      </c>
      <c r="F3571" t="inlineStr">
        <is>
          <t>28-Jul-2026</t>
        </is>
      </c>
      <c r="G3571" t="inlineStr">
        <is>
          <t>Tuesday</t>
        </is>
      </c>
      <c r="H3571" t="inlineStr">
        <is>
          <t>Monthly - Tuesday</t>
        </is>
      </c>
      <c r="I3571" t="inlineStr">
        <is>
          <t>Monthly - Tuesday</t>
        </is>
      </c>
      <c r="J3571" t="inlineStr">
        <is>
          <t>Month+1 Expiry</t>
        </is>
      </c>
      <c r="K3571" s="25" t="n">
        <v>358106</v>
      </c>
      <c r="L3571" s="26" t="n">
        <v>562.17</v>
      </c>
      <c r="M3571" s="26" t="n">
        <v>4.914</v>
      </c>
    </row>
    <row r="3572" ht="16" customHeight="1">
      <c r="A3572" t="inlineStr">
        <is>
          <t>22-Jun-2026</t>
        </is>
      </c>
      <c r="B3572" t="inlineStr">
        <is>
          <t>Monday</t>
        </is>
      </c>
      <c r="C3572" t="inlineStr">
        <is>
          <t>Week4-Jun-2026</t>
        </is>
      </c>
      <c r="D3572" s="78" t="n">
        <v>46174</v>
      </c>
      <c r="E3572" t="inlineStr">
        <is>
          <t>Q1FY27</t>
        </is>
      </c>
      <c r="F3572" t="inlineStr">
        <is>
          <t>25-Aug-2026</t>
        </is>
      </c>
      <c r="G3572" t="inlineStr">
        <is>
          <t>Tuesday</t>
        </is>
      </c>
      <c r="H3572" t="inlineStr">
        <is>
          <t>Monthly - Tuesday</t>
        </is>
      </c>
      <c r="I3572" t="inlineStr">
        <is>
          <t>Monthly - Tuesday</t>
        </is>
      </c>
      <c r="J3572" t="inlineStr">
        <is>
          <t>Month+2 Expiry</t>
        </is>
      </c>
      <c r="K3572" s="25" t="n">
        <v>50098</v>
      </c>
      <c r="L3572" s="26" t="n">
        <v>78.0788</v>
      </c>
      <c r="M3572" s="26" t="n">
        <v>0.7579</v>
      </c>
    </row>
    <row r="3573" ht="16" customHeight="1">
      <c r="A3573" t="inlineStr">
        <is>
          <t>22-Jun-2026</t>
        </is>
      </c>
      <c r="B3573" t="inlineStr">
        <is>
          <t>Monday</t>
        </is>
      </c>
      <c r="C3573" t="inlineStr">
        <is>
          <t>Week4-Jun-2026</t>
        </is>
      </c>
      <c r="D3573" s="78" t="n">
        <v>46174</v>
      </c>
      <c r="E3573" t="inlineStr">
        <is>
          <t>Q1FY27</t>
        </is>
      </c>
      <c r="F3573" t="inlineStr">
        <is>
          <t>29-Sep-2026</t>
        </is>
      </c>
      <c r="G3573" t="inlineStr">
        <is>
          <t>Tuesday</t>
        </is>
      </c>
      <c r="H3573" t="inlineStr">
        <is>
          <t>Monthly - Tuesday</t>
        </is>
      </c>
      <c r="I3573" t="inlineStr">
        <is>
          <t>Monthly - Tuesday</t>
        </is>
      </c>
      <c r="J3573" t="inlineStr">
        <is>
          <t>Month+3 Expiry</t>
        </is>
      </c>
      <c r="K3573" s="25" t="n">
        <v>33278</v>
      </c>
      <c r="L3573" s="26" t="n">
        <v>50.5516</v>
      </c>
      <c r="M3573" s="26" t="n">
        <v>0.6919999999999999</v>
      </c>
    </row>
    <row r="3574" ht="16" customHeight="1">
      <c r="A3574" t="inlineStr">
        <is>
          <t>22-Jun-2026</t>
        </is>
      </c>
      <c r="B3574" t="inlineStr">
        <is>
          <t>Monday</t>
        </is>
      </c>
      <c r="C3574" t="inlineStr">
        <is>
          <t>Week4-Jun-2026</t>
        </is>
      </c>
      <c r="D3574" s="78" t="n">
        <v>46174</v>
      </c>
      <c r="E3574" t="inlineStr">
        <is>
          <t>Q1FY27</t>
        </is>
      </c>
      <c r="F3574" t="inlineStr">
        <is>
          <t>29-Dec-2026</t>
        </is>
      </c>
      <c r="G3574" t="inlineStr">
        <is>
          <t>Tuesday</t>
        </is>
      </c>
      <c r="H3574" t="inlineStr">
        <is>
          <t>Monthly - Tuesday</t>
        </is>
      </c>
      <c r="I3574" t="inlineStr">
        <is>
          <t>Monthly - Tuesday</t>
        </is>
      </c>
      <c r="J3574" t="inlineStr">
        <is>
          <t>Month+6 Expiry</t>
        </is>
      </c>
      <c r="K3574" s="25" t="n">
        <v>46540</v>
      </c>
      <c r="L3574" s="26" t="n">
        <v>71.5217</v>
      </c>
      <c r="M3574" s="26" t="n">
        <v>1.3654</v>
      </c>
    </row>
    <row r="3575" ht="16" customHeight="1">
      <c r="A3575" t="inlineStr">
        <is>
          <t>22-Jun-2026</t>
        </is>
      </c>
      <c r="B3575" t="inlineStr">
        <is>
          <t>Monday</t>
        </is>
      </c>
      <c r="C3575" t="inlineStr">
        <is>
          <t>Week4-Jun-2026</t>
        </is>
      </c>
      <c r="D3575" s="78" t="n">
        <v>46174</v>
      </c>
      <c r="E3575" t="inlineStr">
        <is>
          <t>Q1FY27</t>
        </is>
      </c>
      <c r="F3575" t="inlineStr">
        <is>
          <t>30-Mar-2027</t>
        </is>
      </c>
      <c r="G3575" t="inlineStr">
        <is>
          <t>Tuesday</t>
        </is>
      </c>
      <c r="H3575" t="inlineStr">
        <is>
          <t>Monthly - Tuesday</t>
        </is>
      </c>
      <c r="I3575" t="inlineStr">
        <is>
          <t>Monthly - Tuesday</t>
        </is>
      </c>
      <c r="J3575" t="inlineStr">
        <is>
          <t>Month+9 Expiry</t>
        </is>
      </c>
      <c r="K3575" s="25" t="n">
        <v>1182</v>
      </c>
      <c r="L3575" s="26" t="n">
        <v>1.7206</v>
      </c>
      <c r="M3575" s="26" t="n">
        <v>0.0122</v>
      </c>
    </row>
    <row r="3576" ht="16" customHeight="1">
      <c r="A3576" t="inlineStr">
        <is>
          <t>22-Jun-2026</t>
        </is>
      </c>
      <c r="B3576" t="inlineStr">
        <is>
          <t>Monday</t>
        </is>
      </c>
      <c r="C3576" t="inlineStr">
        <is>
          <t>Week4-Jun-2026</t>
        </is>
      </c>
      <c r="D3576" s="78" t="n">
        <v>46174</v>
      </c>
      <c r="E3576" t="inlineStr">
        <is>
          <t>Q1FY27</t>
        </is>
      </c>
      <c r="F3576" t="inlineStr">
        <is>
          <t>29-Jun-2027</t>
        </is>
      </c>
      <c r="G3576" t="inlineStr">
        <is>
          <t>Tuesday</t>
        </is>
      </c>
      <c r="H3576" t="inlineStr">
        <is>
          <t>Monthly - Tuesday</t>
        </is>
      </c>
      <c r="I3576" t="inlineStr">
        <is>
          <t>Monthly - Tuesday</t>
        </is>
      </c>
      <c r="J3576" t="inlineStr">
        <is>
          <t>Month+12 Expiry</t>
        </is>
      </c>
      <c r="K3576" s="25" t="n">
        <v>1</v>
      </c>
      <c r="L3576" s="26" t="n">
        <v>0.0014</v>
      </c>
      <c r="M3576" s="26" t="n">
        <v>0</v>
      </c>
    </row>
    <row r="3577" ht="16" customHeight="1">
      <c r="A3577" t="inlineStr">
        <is>
          <t>22-Jun-2026</t>
        </is>
      </c>
      <c r="B3577" t="inlineStr">
        <is>
          <t>Monday</t>
        </is>
      </c>
      <c r="C3577" t="inlineStr">
        <is>
          <t>Week4-Jun-2026</t>
        </is>
      </c>
      <c r="D3577" s="78" t="n">
        <v>46174</v>
      </c>
      <c r="E3577" t="inlineStr">
        <is>
          <t>Q1FY27</t>
        </is>
      </c>
      <c r="F3577" t="inlineStr">
        <is>
          <t>28-Dec-2027</t>
        </is>
      </c>
      <c r="G3577" t="inlineStr">
        <is>
          <t>Tuesday</t>
        </is>
      </c>
      <c r="H3577" t="inlineStr">
        <is>
          <t>Monthly - Tuesday</t>
        </is>
      </c>
      <c r="I3577" t="inlineStr">
        <is>
          <t>Monthly - Tuesday</t>
        </is>
      </c>
      <c r="J3577" t="inlineStr">
        <is>
          <t>Month+18 Expiry</t>
        </is>
      </c>
      <c r="K3577" s="25" t="n">
        <v>527</v>
      </c>
      <c r="L3577" s="26" t="n">
        <v>0.8838</v>
      </c>
      <c r="M3577" s="26" t="n">
        <v>0.0352</v>
      </c>
    </row>
    <row r="3578" ht="16" customHeight="1">
      <c r="A3578" t="inlineStr">
        <is>
          <t>22-Jun-2026</t>
        </is>
      </c>
      <c r="B3578" t="inlineStr">
        <is>
          <t>Monday</t>
        </is>
      </c>
      <c r="C3578" t="inlineStr">
        <is>
          <t>Week4-Jun-2026</t>
        </is>
      </c>
      <c r="D3578" s="78" t="n">
        <v>46174</v>
      </c>
      <c r="E3578" t="inlineStr">
        <is>
          <t>Q1FY27</t>
        </is>
      </c>
      <c r="F3578" t="inlineStr">
        <is>
          <t>27-Jun-2028</t>
        </is>
      </c>
      <c r="G3578" t="inlineStr">
        <is>
          <t>Tuesday</t>
        </is>
      </c>
      <c r="H3578" t="inlineStr">
        <is>
          <t>Monthly - Tuesday</t>
        </is>
      </c>
      <c r="I3578" t="inlineStr">
        <is>
          <t>Monthly - Tuesday</t>
        </is>
      </c>
      <c r="J3578" t="inlineStr">
        <is>
          <t>Month+24 Expiry</t>
        </is>
      </c>
      <c r="K3578" s="25" t="n">
        <v>0</v>
      </c>
      <c r="L3578" s="26" t="n">
        <v>0</v>
      </c>
      <c r="M3578" s="26" t="n">
        <v>0</v>
      </c>
    </row>
    <row r="3579" ht="16" customHeight="1">
      <c r="A3579" t="inlineStr">
        <is>
          <t>22-Jun-2026</t>
        </is>
      </c>
      <c r="B3579" t="inlineStr">
        <is>
          <t>Monday</t>
        </is>
      </c>
      <c r="C3579" t="inlineStr">
        <is>
          <t>Week4-Jun-2026</t>
        </is>
      </c>
      <c r="D3579" s="78" t="n">
        <v>46174</v>
      </c>
      <c r="E3579" t="inlineStr">
        <is>
          <t>Q1FY27</t>
        </is>
      </c>
      <c r="F3579" t="inlineStr">
        <is>
          <t>26-Dec-2028</t>
        </is>
      </c>
      <c r="G3579" t="inlineStr">
        <is>
          <t>Tuesday</t>
        </is>
      </c>
      <c r="H3579" t="inlineStr">
        <is>
          <t>Monthly - Tuesday</t>
        </is>
      </c>
      <c r="I3579" t="inlineStr">
        <is>
          <t>Monthly - Tuesday</t>
        </is>
      </c>
      <c r="J3579" t="inlineStr">
        <is>
          <t>Month+30 Expiry</t>
        </is>
      </c>
      <c r="K3579" s="25" t="n">
        <v>8</v>
      </c>
      <c r="L3579" s="26" t="n">
        <v>0.0136</v>
      </c>
      <c r="M3579" s="26" t="n">
        <v>0.0008</v>
      </c>
    </row>
    <row r="3580" ht="16" customHeight="1">
      <c r="A3580" t="inlineStr">
        <is>
          <t>22-Jun-2026</t>
        </is>
      </c>
      <c r="B3580" t="inlineStr">
        <is>
          <t>Monday</t>
        </is>
      </c>
      <c r="C3580" t="inlineStr">
        <is>
          <t>Week4-Jun-2026</t>
        </is>
      </c>
      <c r="D3580" s="78" t="n">
        <v>46174</v>
      </c>
      <c r="E3580" t="inlineStr">
        <is>
          <t>Q1FY27</t>
        </is>
      </c>
      <c r="F3580" t="inlineStr">
        <is>
          <t>26-Jun-2029</t>
        </is>
      </c>
      <c r="G3580" t="inlineStr">
        <is>
          <t>Tuesday</t>
        </is>
      </c>
      <c r="H3580" t="inlineStr">
        <is>
          <t>Monthly - Tuesday</t>
        </is>
      </c>
      <c r="I3580" t="inlineStr">
        <is>
          <t>Monthly - Tuesday</t>
        </is>
      </c>
      <c r="J3580" t="inlineStr">
        <is>
          <t>Month+36 Expiry</t>
        </is>
      </c>
      <c r="K3580" s="25" t="n">
        <v>0</v>
      </c>
      <c r="L3580" s="26" t="n">
        <v>0</v>
      </c>
      <c r="M3580" s="26" t="n">
        <v>0</v>
      </c>
    </row>
    <row r="3581" ht="16" customHeight="1">
      <c r="A3581" t="inlineStr">
        <is>
          <t>22-Jun-2026</t>
        </is>
      </c>
      <c r="B3581" t="inlineStr">
        <is>
          <t>Monday</t>
        </is>
      </c>
      <c r="C3581" t="inlineStr">
        <is>
          <t>Week4-Jun-2026</t>
        </is>
      </c>
      <c r="D3581" s="78" t="n">
        <v>46174</v>
      </c>
      <c r="E3581" t="inlineStr">
        <is>
          <t>Q1FY27</t>
        </is>
      </c>
      <c r="F3581" t="inlineStr">
        <is>
          <t>24-Dec-2029</t>
        </is>
      </c>
      <c r="G3581" t="inlineStr">
        <is>
          <t>Monday</t>
        </is>
      </c>
      <c r="H3581" t="inlineStr">
        <is>
          <t>Weekly - Monday</t>
        </is>
      </c>
      <c r="I3581" t="inlineStr">
        <is>
          <t>Weekly - Monday</t>
        </is>
      </c>
      <c r="J3581" t="inlineStr">
        <is>
          <t>Month+42 Expiry</t>
        </is>
      </c>
      <c r="K3581" s="25" t="n">
        <v>0</v>
      </c>
      <c r="L3581" s="26" t="n">
        <v>0</v>
      </c>
      <c r="M3581" s="26" t="n">
        <v>0</v>
      </c>
    </row>
    <row r="3582" ht="16" customHeight="1">
      <c r="A3582" t="inlineStr">
        <is>
          <t>22-Jun-2026</t>
        </is>
      </c>
      <c r="B3582" t="inlineStr">
        <is>
          <t>Monday</t>
        </is>
      </c>
      <c r="C3582" t="inlineStr">
        <is>
          <t>Week4-Jun-2026</t>
        </is>
      </c>
      <c r="D3582" s="78" t="n">
        <v>46174</v>
      </c>
      <c r="E3582" t="inlineStr">
        <is>
          <t>Q1FY27</t>
        </is>
      </c>
      <c r="F3582" t="inlineStr">
        <is>
          <t>25-Jun-2030</t>
        </is>
      </c>
      <c r="G3582" t="inlineStr">
        <is>
          <t>Tuesday</t>
        </is>
      </c>
      <c r="H3582" t="inlineStr">
        <is>
          <t>Monthly - Tuesday</t>
        </is>
      </c>
      <c r="I3582" t="inlineStr">
        <is>
          <t>Monthly - Tuesday</t>
        </is>
      </c>
      <c r="J3582" t="inlineStr">
        <is>
          <t>Month+48 Expiry</t>
        </is>
      </c>
      <c r="K3582" s="25" t="n">
        <v>0</v>
      </c>
      <c r="L3582" s="26" t="n">
        <v>0</v>
      </c>
      <c r="M3582" s="26" t="n">
        <v>0</v>
      </c>
    </row>
    <row r="3583" ht="16" customHeight="1">
      <c r="A3583" t="inlineStr">
        <is>
          <t>22-Jun-2026</t>
        </is>
      </c>
      <c r="B3583" t="inlineStr">
        <is>
          <t>Monday</t>
        </is>
      </c>
      <c r="C3583" t="inlineStr">
        <is>
          <t>Week4-Jun-2026</t>
        </is>
      </c>
      <c r="D3583" s="78" t="n">
        <v>46174</v>
      </c>
      <c r="E3583" t="inlineStr">
        <is>
          <t>Q1FY27</t>
        </is>
      </c>
      <c r="F3583" t="inlineStr">
        <is>
          <t>31-Dec-2030</t>
        </is>
      </c>
      <c r="G3583" t="inlineStr">
        <is>
          <t>Tuesday</t>
        </is>
      </c>
      <c r="H3583" t="inlineStr">
        <is>
          <t>Monthly - Tuesday</t>
        </is>
      </c>
      <c r="I3583" t="inlineStr">
        <is>
          <t>Monthly - Tuesday</t>
        </is>
      </c>
      <c r="J3583" t="inlineStr">
        <is>
          <t>Month+54 Expiry</t>
        </is>
      </c>
      <c r="K3583" s="25" t="n">
        <v>0</v>
      </c>
      <c r="L3583" s="26" t="n">
        <v>0</v>
      </c>
      <c r="M3583" s="26" t="n">
        <v>0</v>
      </c>
    </row>
    <row r="3584" ht="16" customHeight="1">
      <c r="A3584" t="inlineStr">
        <is>
          <t>23-Jun-2026</t>
        </is>
      </c>
      <c r="B3584" t="inlineStr">
        <is>
          <t>Tuesday</t>
        </is>
      </c>
      <c r="C3584" t="inlineStr">
        <is>
          <t>Week4-Jun-2026</t>
        </is>
      </c>
      <c r="D3584" s="78" t="n">
        <v>46174</v>
      </c>
      <c r="E3584" t="inlineStr">
        <is>
          <t>Q1FY27</t>
        </is>
      </c>
      <c r="F3584" t="inlineStr">
        <is>
          <t>23-Jun-2026</t>
        </is>
      </c>
      <c r="G3584" t="inlineStr">
        <is>
          <t>Tuesday</t>
        </is>
      </c>
      <c r="H3584" t="inlineStr">
        <is>
          <t>Weekly - Tuesday</t>
        </is>
      </c>
      <c r="I3584" t="inlineStr">
        <is>
          <t>Weekly - Tuesday</t>
        </is>
      </c>
      <c r="J3584" t="inlineStr">
        <is>
          <t>Same Month Expiry</t>
        </is>
      </c>
      <c r="K3584" s="25" t="n">
        <v>426015951</v>
      </c>
      <c r="L3584" s="26" t="n">
        <v>664982.0689</v>
      </c>
      <c r="M3584" s="26" t="n">
        <v>591.1018</v>
      </c>
    </row>
    <row r="3585" ht="16" customHeight="1">
      <c r="A3585" t="inlineStr">
        <is>
          <t>23-Jun-2026</t>
        </is>
      </c>
      <c r="B3585" t="inlineStr">
        <is>
          <t>Tuesday</t>
        </is>
      </c>
      <c r="C3585" t="inlineStr">
        <is>
          <t>Week4-Jun-2026</t>
        </is>
      </c>
      <c r="D3585" s="78" t="n">
        <v>46174</v>
      </c>
      <c r="E3585" t="inlineStr">
        <is>
          <t>Q1FY27</t>
        </is>
      </c>
      <c r="F3585" t="inlineStr">
        <is>
          <t>30-Jun-2026</t>
        </is>
      </c>
      <c r="G3585" t="inlineStr">
        <is>
          <t>Tuesday</t>
        </is>
      </c>
      <c r="H3585" t="inlineStr">
        <is>
          <t>Monthly - Tuesday</t>
        </is>
      </c>
      <c r="I3585" t="inlineStr">
        <is>
          <t>Monthly - Tuesday</t>
        </is>
      </c>
      <c r="J3585" t="inlineStr">
        <is>
          <t>Same Month Expiry</t>
        </is>
      </c>
      <c r="K3585" s="25" t="n">
        <v>15695200</v>
      </c>
      <c r="L3585" s="26" t="n">
        <v>24620.37</v>
      </c>
      <c r="M3585" s="26" t="n">
        <v>75.7616</v>
      </c>
    </row>
    <row r="3586" ht="16" customHeight="1">
      <c r="A3586" t="inlineStr">
        <is>
          <t>23-Jun-2026</t>
        </is>
      </c>
      <c r="B3586" t="inlineStr">
        <is>
          <t>Tuesday</t>
        </is>
      </c>
      <c r="C3586" t="inlineStr">
        <is>
          <t>Week4-Jun-2026</t>
        </is>
      </c>
      <c r="D3586" s="78" t="n">
        <v>46174</v>
      </c>
      <c r="E3586" t="inlineStr">
        <is>
          <t>Q1FY27</t>
        </is>
      </c>
      <c r="F3586" t="inlineStr">
        <is>
          <t>07-Jul-2026</t>
        </is>
      </c>
      <c r="G3586" t="inlineStr">
        <is>
          <t>Tuesday</t>
        </is>
      </c>
      <c r="H3586" t="inlineStr">
        <is>
          <t>Weekly - Tuesday</t>
        </is>
      </c>
      <c r="I3586" t="inlineStr">
        <is>
          <t>Weekly - Tuesday</t>
        </is>
      </c>
      <c r="J3586" t="inlineStr">
        <is>
          <t>Month+1 Expiry</t>
        </is>
      </c>
      <c r="K3586" s="25" t="n">
        <v>779668</v>
      </c>
      <c r="L3586" s="26" t="n">
        <v>1221.876</v>
      </c>
      <c r="M3586" s="26" t="n">
        <v>5.4733</v>
      </c>
    </row>
    <row r="3587" ht="16" customHeight="1">
      <c r="A3587" t="inlineStr">
        <is>
          <t>23-Jun-2026</t>
        </is>
      </c>
      <c r="B3587" t="inlineStr">
        <is>
          <t>Tuesday</t>
        </is>
      </c>
      <c r="C3587" t="inlineStr">
        <is>
          <t>Week4-Jun-2026</t>
        </is>
      </c>
      <c r="D3587" s="78" t="n">
        <v>46174</v>
      </c>
      <c r="E3587" t="inlineStr">
        <is>
          <t>Q1FY27</t>
        </is>
      </c>
      <c r="F3587" t="inlineStr">
        <is>
          <t>14-Jul-2026</t>
        </is>
      </c>
      <c r="G3587" t="inlineStr">
        <is>
          <t>Tuesday</t>
        </is>
      </c>
      <c r="H3587" t="inlineStr">
        <is>
          <t>Weekly - Tuesday</t>
        </is>
      </c>
      <c r="I3587" t="inlineStr">
        <is>
          <t>Weekly - Tuesday</t>
        </is>
      </c>
      <c r="J3587" t="inlineStr">
        <is>
          <t>Month+1 Expiry</t>
        </is>
      </c>
      <c r="K3587" s="25" t="n">
        <v>65691</v>
      </c>
      <c r="L3587" s="26" t="n">
        <v>103.1569</v>
      </c>
      <c r="M3587" s="26" t="n">
        <v>0.5805</v>
      </c>
    </row>
    <row r="3588" ht="16" customHeight="1">
      <c r="A3588" t="inlineStr">
        <is>
          <t>23-Jun-2026</t>
        </is>
      </c>
      <c r="B3588" t="inlineStr">
        <is>
          <t>Tuesday</t>
        </is>
      </c>
      <c r="C3588" t="inlineStr">
        <is>
          <t>Week4-Jun-2026</t>
        </is>
      </c>
      <c r="D3588" s="78" t="n">
        <v>46174</v>
      </c>
      <c r="E3588" t="inlineStr">
        <is>
          <t>Q1FY27</t>
        </is>
      </c>
      <c r="F3588" t="inlineStr">
        <is>
          <t>21-Jul-2026</t>
        </is>
      </c>
      <c r="G3588" t="inlineStr">
        <is>
          <t>Tuesday</t>
        </is>
      </c>
      <c r="H3588" t="inlineStr">
        <is>
          <t>Weekly - Tuesday</t>
        </is>
      </c>
      <c r="I3588" t="inlineStr">
        <is>
          <t>Weekly - Tuesday</t>
        </is>
      </c>
      <c r="J3588" t="inlineStr">
        <is>
          <t>Month+1 Expiry</t>
        </is>
      </c>
      <c r="K3588" s="25" t="n">
        <v>7790</v>
      </c>
      <c r="L3588" s="26" t="n">
        <v>12.1958</v>
      </c>
      <c r="M3588" s="26" t="n">
        <v>0.0973</v>
      </c>
    </row>
    <row r="3589" ht="16" customHeight="1">
      <c r="A3589" t="inlineStr">
        <is>
          <t>23-Jun-2026</t>
        </is>
      </c>
      <c r="B3589" t="inlineStr">
        <is>
          <t>Tuesday</t>
        </is>
      </c>
      <c r="C3589" t="inlineStr">
        <is>
          <t>Week4-Jun-2026</t>
        </is>
      </c>
      <c r="D3589" s="78" t="n">
        <v>46174</v>
      </c>
      <c r="E3589" t="inlineStr">
        <is>
          <t>Q1FY27</t>
        </is>
      </c>
      <c r="F3589" t="inlineStr">
        <is>
          <t>28-Jul-2026</t>
        </is>
      </c>
      <c r="G3589" t="inlineStr">
        <is>
          <t>Tuesday</t>
        </is>
      </c>
      <c r="H3589" t="inlineStr">
        <is>
          <t>Monthly - Tuesday</t>
        </is>
      </c>
      <c r="I3589" t="inlineStr">
        <is>
          <t>Monthly - Tuesday</t>
        </is>
      </c>
      <c r="J3589" t="inlineStr">
        <is>
          <t>Month+1 Expiry</t>
        </is>
      </c>
      <c r="K3589" s="25" t="n">
        <v>677299</v>
      </c>
      <c r="L3589" s="26" t="n">
        <v>1065.8979</v>
      </c>
      <c r="M3589" s="26" t="n">
        <v>9.625</v>
      </c>
    </row>
    <row r="3590" ht="16" customHeight="1">
      <c r="A3590" t="inlineStr">
        <is>
          <t>23-Jun-2026</t>
        </is>
      </c>
      <c r="B3590" t="inlineStr">
        <is>
          <t>Tuesday</t>
        </is>
      </c>
      <c r="C3590" t="inlineStr">
        <is>
          <t>Week4-Jun-2026</t>
        </is>
      </c>
      <c r="D3590" s="78" t="n">
        <v>46174</v>
      </c>
      <c r="E3590" t="inlineStr">
        <is>
          <t>Q1FY27</t>
        </is>
      </c>
      <c r="F3590" t="inlineStr">
        <is>
          <t>25-Aug-2026</t>
        </is>
      </c>
      <c r="G3590" t="inlineStr">
        <is>
          <t>Tuesday</t>
        </is>
      </c>
      <c r="H3590" t="inlineStr">
        <is>
          <t>Monthly - Tuesday</t>
        </is>
      </c>
      <c r="I3590" t="inlineStr">
        <is>
          <t>Monthly - Tuesday</t>
        </is>
      </c>
      <c r="J3590" t="inlineStr">
        <is>
          <t>Month+2 Expiry</t>
        </is>
      </c>
      <c r="K3590" s="25" t="n">
        <v>87429</v>
      </c>
      <c r="L3590" s="26" t="n">
        <v>136.5601</v>
      </c>
      <c r="M3590" s="26" t="n">
        <v>1.3789</v>
      </c>
    </row>
    <row r="3591" ht="16" customHeight="1">
      <c r="A3591" t="inlineStr">
        <is>
          <t>23-Jun-2026</t>
        </is>
      </c>
      <c r="B3591" t="inlineStr">
        <is>
          <t>Tuesday</t>
        </is>
      </c>
      <c r="C3591" t="inlineStr">
        <is>
          <t>Week4-Jun-2026</t>
        </is>
      </c>
      <c r="D3591" s="78" t="n">
        <v>46174</v>
      </c>
      <c r="E3591" t="inlineStr">
        <is>
          <t>Q1FY27</t>
        </is>
      </c>
      <c r="F3591" t="inlineStr">
        <is>
          <t>29-Sep-2026</t>
        </is>
      </c>
      <c r="G3591" t="inlineStr">
        <is>
          <t>Tuesday</t>
        </is>
      </c>
      <c r="H3591" t="inlineStr">
        <is>
          <t>Monthly - Tuesday</t>
        </is>
      </c>
      <c r="I3591" t="inlineStr">
        <is>
          <t>Monthly - Tuesday</t>
        </is>
      </c>
      <c r="J3591" t="inlineStr">
        <is>
          <t>Month+3 Expiry</t>
        </is>
      </c>
      <c r="K3591" s="25" t="n">
        <v>45729</v>
      </c>
      <c r="L3591" s="26" t="n">
        <v>70.8117</v>
      </c>
      <c r="M3591" s="26" t="n">
        <v>0.9792</v>
      </c>
    </row>
    <row r="3592" ht="16" customHeight="1">
      <c r="A3592" t="inlineStr">
        <is>
          <t>23-Jun-2026</t>
        </is>
      </c>
      <c r="B3592" t="inlineStr">
        <is>
          <t>Tuesday</t>
        </is>
      </c>
      <c r="C3592" t="inlineStr">
        <is>
          <t>Week4-Jun-2026</t>
        </is>
      </c>
      <c r="D3592" s="78" t="n">
        <v>46174</v>
      </c>
      <c r="E3592" t="inlineStr">
        <is>
          <t>Q1FY27</t>
        </is>
      </c>
      <c r="F3592" t="inlineStr">
        <is>
          <t>29-Dec-2026</t>
        </is>
      </c>
      <c r="G3592" t="inlineStr">
        <is>
          <t>Tuesday</t>
        </is>
      </c>
      <c r="H3592" t="inlineStr">
        <is>
          <t>Monthly - Tuesday</t>
        </is>
      </c>
      <c r="I3592" t="inlineStr">
        <is>
          <t>Monthly - Tuesday</t>
        </is>
      </c>
      <c r="J3592" t="inlineStr">
        <is>
          <t>Month+6 Expiry</t>
        </is>
      </c>
      <c r="K3592" s="25" t="n">
        <v>58842</v>
      </c>
      <c r="L3592" s="26" t="n">
        <v>94.2003</v>
      </c>
      <c r="M3592" s="26" t="n">
        <v>2.1257</v>
      </c>
    </row>
    <row r="3593" ht="16" customHeight="1">
      <c r="A3593" t="inlineStr">
        <is>
          <t>23-Jun-2026</t>
        </is>
      </c>
      <c r="B3593" t="inlineStr">
        <is>
          <t>Tuesday</t>
        </is>
      </c>
      <c r="C3593" t="inlineStr">
        <is>
          <t>Week4-Jun-2026</t>
        </is>
      </c>
      <c r="D3593" s="78" t="n">
        <v>46174</v>
      </c>
      <c r="E3593" t="inlineStr">
        <is>
          <t>Q1FY27</t>
        </is>
      </c>
      <c r="F3593" t="inlineStr">
        <is>
          <t>30-Mar-2027</t>
        </is>
      </c>
      <c r="G3593" t="inlineStr">
        <is>
          <t>Tuesday</t>
        </is>
      </c>
      <c r="H3593" t="inlineStr">
        <is>
          <t>Monthly - Tuesday</t>
        </is>
      </c>
      <c r="I3593" t="inlineStr">
        <is>
          <t>Monthly - Tuesday</t>
        </is>
      </c>
      <c r="J3593" t="inlineStr">
        <is>
          <t>Month+9 Expiry</t>
        </is>
      </c>
      <c r="K3593" s="25" t="n">
        <v>424</v>
      </c>
      <c r="L3593" s="26" t="n">
        <v>0.7098</v>
      </c>
      <c r="M3593" s="26" t="n">
        <v>0.0078</v>
      </c>
    </row>
    <row r="3594" ht="16" customHeight="1">
      <c r="A3594" t="inlineStr">
        <is>
          <t>23-Jun-2026</t>
        </is>
      </c>
      <c r="B3594" t="inlineStr">
        <is>
          <t>Tuesday</t>
        </is>
      </c>
      <c r="C3594" t="inlineStr">
        <is>
          <t>Week4-Jun-2026</t>
        </is>
      </c>
      <c r="D3594" s="78" t="n">
        <v>46174</v>
      </c>
      <c r="E3594" t="inlineStr">
        <is>
          <t>Q1FY27</t>
        </is>
      </c>
      <c r="F3594" t="inlineStr">
        <is>
          <t>29-Jun-2027</t>
        </is>
      </c>
      <c r="G3594" t="inlineStr">
        <is>
          <t>Tuesday</t>
        </is>
      </c>
      <c r="H3594" t="inlineStr">
        <is>
          <t>Monthly - Tuesday</t>
        </is>
      </c>
      <c r="I3594" t="inlineStr">
        <is>
          <t>Monthly - Tuesday</t>
        </is>
      </c>
      <c r="J3594" t="inlineStr">
        <is>
          <t>Month+12 Expiry</t>
        </is>
      </c>
      <c r="K3594" s="25" t="n">
        <v>6</v>
      </c>
      <c r="L3594" s="26" t="n">
        <v>0.0083</v>
      </c>
      <c r="M3594" s="26" t="n">
        <v>0.0001</v>
      </c>
    </row>
    <row r="3595" ht="16" customHeight="1">
      <c r="A3595" t="inlineStr">
        <is>
          <t>23-Jun-2026</t>
        </is>
      </c>
      <c r="B3595" t="inlineStr">
        <is>
          <t>Tuesday</t>
        </is>
      </c>
      <c r="C3595" t="inlineStr">
        <is>
          <t>Week4-Jun-2026</t>
        </is>
      </c>
      <c r="D3595" s="78" t="n">
        <v>46174</v>
      </c>
      <c r="E3595" t="inlineStr">
        <is>
          <t>Q1FY27</t>
        </is>
      </c>
      <c r="F3595" t="inlineStr">
        <is>
          <t>28-Dec-2027</t>
        </is>
      </c>
      <c r="G3595" t="inlineStr">
        <is>
          <t>Tuesday</t>
        </is>
      </c>
      <c r="H3595" t="inlineStr">
        <is>
          <t>Monthly - Tuesday</t>
        </is>
      </c>
      <c r="I3595" t="inlineStr">
        <is>
          <t>Monthly - Tuesday</t>
        </is>
      </c>
      <c r="J3595" t="inlineStr">
        <is>
          <t>Month+18 Expiry</t>
        </is>
      </c>
      <c r="K3595" s="25" t="n">
        <v>482</v>
      </c>
      <c r="L3595" s="26" t="n">
        <v>0.8098</v>
      </c>
      <c r="M3595" s="26" t="n">
        <v>0.0344</v>
      </c>
    </row>
    <row r="3596" ht="16" customHeight="1">
      <c r="A3596" t="inlineStr">
        <is>
          <t>23-Jun-2026</t>
        </is>
      </c>
      <c r="B3596" t="inlineStr">
        <is>
          <t>Tuesday</t>
        </is>
      </c>
      <c r="C3596" t="inlineStr">
        <is>
          <t>Week4-Jun-2026</t>
        </is>
      </c>
      <c r="D3596" s="78" t="n">
        <v>46174</v>
      </c>
      <c r="E3596" t="inlineStr">
        <is>
          <t>Q1FY27</t>
        </is>
      </c>
      <c r="F3596" t="inlineStr">
        <is>
          <t>27-Jun-2028</t>
        </is>
      </c>
      <c r="G3596" t="inlineStr">
        <is>
          <t>Tuesday</t>
        </is>
      </c>
      <c r="H3596" t="inlineStr">
        <is>
          <t>Monthly - Tuesday</t>
        </is>
      </c>
      <c r="I3596" t="inlineStr">
        <is>
          <t>Monthly - Tuesday</t>
        </is>
      </c>
      <c r="J3596" t="inlineStr">
        <is>
          <t>Month+24 Expiry</t>
        </is>
      </c>
      <c r="K3596" s="25" t="n">
        <v>0</v>
      </c>
      <c r="L3596" s="26" t="n">
        <v>0</v>
      </c>
      <c r="M3596" s="26" t="n">
        <v>0</v>
      </c>
    </row>
    <row r="3597" ht="16" customHeight="1">
      <c r="A3597" t="inlineStr">
        <is>
          <t>23-Jun-2026</t>
        </is>
      </c>
      <c r="B3597" t="inlineStr">
        <is>
          <t>Tuesday</t>
        </is>
      </c>
      <c r="C3597" t="inlineStr">
        <is>
          <t>Week4-Jun-2026</t>
        </is>
      </c>
      <c r="D3597" s="78" t="n">
        <v>46174</v>
      </c>
      <c r="E3597" t="inlineStr">
        <is>
          <t>Q1FY27</t>
        </is>
      </c>
      <c r="F3597" t="inlineStr">
        <is>
          <t>26-Dec-2028</t>
        </is>
      </c>
      <c r="G3597" t="inlineStr">
        <is>
          <t>Tuesday</t>
        </is>
      </c>
      <c r="H3597" t="inlineStr">
        <is>
          <t>Monthly - Tuesday</t>
        </is>
      </c>
      <c r="I3597" t="inlineStr">
        <is>
          <t>Monthly - Tuesday</t>
        </is>
      </c>
      <c r="J3597" t="inlineStr">
        <is>
          <t>Month+30 Expiry</t>
        </is>
      </c>
      <c r="K3597" s="25" t="n">
        <v>4</v>
      </c>
      <c r="L3597" s="26" t="n">
        <v>0.0075</v>
      </c>
      <c r="M3597" s="26" t="n">
        <v>0.0005</v>
      </c>
    </row>
    <row r="3598" ht="16" customHeight="1">
      <c r="A3598" t="inlineStr">
        <is>
          <t>23-Jun-2026</t>
        </is>
      </c>
      <c r="B3598" t="inlineStr">
        <is>
          <t>Tuesday</t>
        </is>
      </c>
      <c r="C3598" t="inlineStr">
        <is>
          <t>Week4-Jun-2026</t>
        </is>
      </c>
      <c r="D3598" s="78" t="n">
        <v>46174</v>
      </c>
      <c r="E3598" t="inlineStr">
        <is>
          <t>Q1FY27</t>
        </is>
      </c>
      <c r="F3598" t="inlineStr">
        <is>
          <t>26-Jun-2029</t>
        </is>
      </c>
      <c r="G3598" t="inlineStr">
        <is>
          <t>Tuesday</t>
        </is>
      </c>
      <c r="H3598" t="inlineStr">
        <is>
          <t>Monthly - Tuesday</t>
        </is>
      </c>
      <c r="I3598" t="inlineStr">
        <is>
          <t>Monthly - Tuesday</t>
        </is>
      </c>
      <c r="J3598" t="inlineStr">
        <is>
          <t>Month+36 Expiry</t>
        </is>
      </c>
      <c r="K3598" s="25" t="n">
        <v>0</v>
      </c>
      <c r="L3598" s="26" t="n">
        <v>0</v>
      </c>
      <c r="M3598" s="26" t="n">
        <v>0</v>
      </c>
    </row>
    <row r="3599" ht="16" customHeight="1">
      <c r="A3599" t="inlineStr">
        <is>
          <t>23-Jun-2026</t>
        </is>
      </c>
      <c r="B3599" t="inlineStr">
        <is>
          <t>Tuesday</t>
        </is>
      </c>
      <c r="C3599" t="inlineStr">
        <is>
          <t>Week4-Jun-2026</t>
        </is>
      </c>
      <c r="D3599" s="78" t="n">
        <v>46174</v>
      </c>
      <c r="E3599" t="inlineStr">
        <is>
          <t>Q1FY27</t>
        </is>
      </c>
      <c r="F3599" t="inlineStr">
        <is>
          <t>24-Dec-2029</t>
        </is>
      </c>
      <c r="G3599" t="inlineStr">
        <is>
          <t>Monday</t>
        </is>
      </c>
      <c r="H3599" t="inlineStr">
        <is>
          <t>Weekly - Monday</t>
        </is>
      </c>
      <c r="I3599" t="inlineStr">
        <is>
          <t>Weekly - Monday</t>
        </is>
      </c>
      <c r="J3599" t="inlineStr">
        <is>
          <t>Month+42 Expiry</t>
        </is>
      </c>
      <c r="K3599" s="25" t="n">
        <v>0</v>
      </c>
      <c r="L3599" s="26" t="n">
        <v>0</v>
      </c>
      <c r="M3599" s="26" t="n">
        <v>0</v>
      </c>
    </row>
    <row r="3600" ht="16" customHeight="1">
      <c r="A3600" t="inlineStr">
        <is>
          <t>23-Jun-2026</t>
        </is>
      </c>
      <c r="B3600" t="inlineStr">
        <is>
          <t>Tuesday</t>
        </is>
      </c>
      <c r="C3600" t="inlineStr">
        <is>
          <t>Week4-Jun-2026</t>
        </is>
      </c>
      <c r="D3600" s="78" t="n">
        <v>46174</v>
      </c>
      <c r="E3600" t="inlineStr">
        <is>
          <t>Q1FY27</t>
        </is>
      </c>
      <c r="F3600" t="inlineStr">
        <is>
          <t>25-Jun-2030</t>
        </is>
      </c>
      <c r="G3600" t="inlineStr">
        <is>
          <t>Tuesday</t>
        </is>
      </c>
      <c r="H3600" t="inlineStr">
        <is>
          <t>Monthly - Tuesday</t>
        </is>
      </c>
      <c r="I3600" t="inlineStr">
        <is>
          <t>Monthly - Tuesday</t>
        </is>
      </c>
      <c r="J3600" t="inlineStr">
        <is>
          <t>Month+48 Expiry</t>
        </is>
      </c>
      <c r="K3600" s="25" t="n">
        <v>0</v>
      </c>
      <c r="L3600" s="26" t="n">
        <v>0</v>
      </c>
      <c r="M3600" s="26" t="n">
        <v>0</v>
      </c>
    </row>
    <row r="3601" ht="16" customHeight="1">
      <c r="A3601" t="inlineStr">
        <is>
          <t>23-Jun-2026</t>
        </is>
      </c>
      <c r="B3601" t="inlineStr">
        <is>
          <t>Tuesday</t>
        </is>
      </c>
      <c r="C3601" t="inlineStr">
        <is>
          <t>Week4-Jun-2026</t>
        </is>
      </c>
      <c r="D3601" s="78" t="n">
        <v>46174</v>
      </c>
      <c r="E3601" t="inlineStr">
        <is>
          <t>Q1FY27</t>
        </is>
      </c>
      <c r="F3601" t="inlineStr">
        <is>
          <t>31-Dec-2030</t>
        </is>
      </c>
      <c r="G3601" t="inlineStr">
        <is>
          <t>Tuesday</t>
        </is>
      </c>
      <c r="H3601" t="inlineStr">
        <is>
          <t>Monthly - Tuesday</t>
        </is>
      </c>
      <c r="I3601" t="inlineStr">
        <is>
          <t>Monthly - Tuesday</t>
        </is>
      </c>
      <c r="J3601" t="inlineStr">
        <is>
          <t>Month+54 Expiry</t>
        </is>
      </c>
      <c r="K3601" s="25" t="n">
        <v>0</v>
      </c>
      <c r="L3601" s="26" t="n">
        <v>0</v>
      </c>
      <c r="M3601" s="26" t="n">
        <v>0</v>
      </c>
    </row>
    <row r="3602" ht="16" customHeight="1">
      <c r="A3602" t="inlineStr">
        <is>
          <t>24-Jun-2026</t>
        </is>
      </c>
      <c r="B3602" t="inlineStr">
        <is>
          <t>Wednesday</t>
        </is>
      </c>
      <c r="C3602" t="inlineStr">
        <is>
          <t>Week4-Jun-2026</t>
        </is>
      </c>
      <c r="D3602" s="78" t="n">
        <v>46174</v>
      </c>
      <c r="E3602" t="inlineStr">
        <is>
          <t>Q1FY27</t>
        </is>
      </c>
      <c r="F3602" t="inlineStr">
        <is>
          <t>30-Jun-2026</t>
        </is>
      </c>
      <c r="G3602" t="inlineStr">
        <is>
          <t>Tuesday</t>
        </is>
      </c>
      <c r="H3602" t="inlineStr">
        <is>
          <t>Monthly - Tuesday</t>
        </is>
      </c>
      <c r="I3602" t="inlineStr">
        <is>
          <t>MDAW - Tuesday</t>
        </is>
      </c>
      <c r="J3602" t="inlineStr">
        <is>
          <t>Same Month Expiry</t>
        </is>
      </c>
      <c r="K3602" s="25" t="n">
        <v>51446214</v>
      </c>
      <c r="L3602" s="26" t="n">
        <v>80401.2022</v>
      </c>
      <c r="M3602" s="26" t="n">
        <v>293.8274</v>
      </c>
    </row>
    <row r="3603" ht="16" customHeight="1">
      <c r="A3603" t="inlineStr">
        <is>
          <t>24-Jun-2026</t>
        </is>
      </c>
      <c r="B3603" t="inlineStr">
        <is>
          <t>Wednesday</t>
        </is>
      </c>
      <c r="C3603" t="inlineStr">
        <is>
          <t>Week4-Jun-2026</t>
        </is>
      </c>
      <c r="D3603" s="78" t="n">
        <v>46174</v>
      </c>
      <c r="E3603" t="inlineStr">
        <is>
          <t>Q1FY27</t>
        </is>
      </c>
      <c r="F3603" t="inlineStr">
        <is>
          <t>07-Jul-2026</t>
        </is>
      </c>
      <c r="G3603" t="inlineStr">
        <is>
          <t>Tuesday</t>
        </is>
      </c>
      <c r="H3603" t="inlineStr">
        <is>
          <t>Weekly - Tuesday</t>
        </is>
      </c>
      <c r="I3603" t="inlineStr">
        <is>
          <t>Weekly - Tuesday</t>
        </is>
      </c>
      <c r="J3603" t="inlineStr">
        <is>
          <t>Month+1 Expiry</t>
        </is>
      </c>
      <c r="K3603" s="25" t="n">
        <v>1326501</v>
      </c>
      <c r="L3603" s="26" t="n">
        <v>2082.4761</v>
      </c>
      <c r="M3603" s="26" t="n">
        <v>10.9369</v>
      </c>
    </row>
    <row r="3604" ht="16" customHeight="1">
      <c r="A3604" t="inlineStr">
        <is>
          <t>24-Jun-2026</t>
        </is>
      </c>
      <c r="B3604" t="inlineStr">
        <is>
          <t>Wednesday</t>
        </is>
      </c>
      <c r="C3604" t="inlineStr">
        <is>
          <t>Week4-Jun-2026</t>
        </is>
      </c>
      <c r="D3604" s="78" t="n">
        <v>46174</v>
      </c>
      <c r="E3604" t="inlineStr">
        <is>
          <t>Q1FY27</t>
        </is>
      </c>
      <c r="F3604" t="inlineStr">
        <is>
          <t>14-Jul-2026</t>
        </is>
      </c>
      <c r="G3604" t="inlineStr">
        <is>
          <t>Tuesday</t>
        </is>
      </c>
      <c r="H3604" t="inlineStr">
        <is>
          <t>Weekly - Tuesday</t>
        </is>
      </c>
      <c r="I3604" t="inlineStr">
        <is>
          <t>Weekly - Tuesday</t>
        </is>
      </c>
      <c r="J3604" t="inlineStr">
        <is>
          <t>Month+1 Expiry</t>
        </is>
      </c>
      <c r="K3604" s="25" t="n">
        <v>80970</v>
      </c>
      <c r="L3604" s="26" t="n">
        <v>127.2435</v>
      </c>
      <c r="M3604" s="26" t="n">
        <v>0.8199</v>
      </c>
    </row>
    <row r="3605" ht="16" customHeight="1">
      <c r="A3605" t="inlineStr">
        <is>
          <t>24-Jun-2026</t>
        </is>
      </c>
      <c r="B3605" t="inlineStr">
        <is>
          <t>Wednesday</t>
        </is>
      </c>
      <c r="C3605" t="inlineStr">
        <is>
          <t>Week4-Jun-2026</t>
        </is>
      </c>
      <c r="D3605" s="78" t="n">
        <v>46174</v>
      </c>
      <c r="E3605" t="inlineStr">
        <is>
          <t>Q1FY27</t>
        </is>
      </c>
      <c r="F3605" t="inlineStr">
        <is>
          <t>21-Jul-2026</t>
        </is>
      </c>
      <c r="G3605" t="inlineStr">
        <is>
          <t>Tuesday</t>
        </is>
      </c>
      <c r="H3605" t="inlineStr">
        <is>
          <t>Weekly - Tuesday</t>
        </is>
      </c>
      <c r="I3605" t="inlineStr">
        <is>
          <t>Weekly - Tuesday</t>
        </is>
      </c>
      <c r="J3605" t="inlineStr">
        <is>
          <t>Month+1 Expiry</t>
        </is>
      </c>
      <c r="K3605" s="25" t="n">
        <v>12476</v>
      </c>
      <c r="L3605" s="26" t="n">
        <v>19.6286</v>
      </c>
      <c r="M3605" s="26" t="n">
        <v>0.1867</v>
      </c>
    </row>
    <row r="3606" ht="16" customHeight="1">
      <c r="A3606" t="inlineStr">
        <is>
          <t>24-Jun-2026</t>
        </is>
      </c>
      <c r="B3606" t="inlineStr">
        <is>
          <t>Wednesday</t>
        </is>
      </c>
      <c r="C3606" t="inlineStr">
        <is>
          <t>Week4-Jun-2026</t>
        </is>
      </c>
      <c r="D3606" s="78" t="n">
        <v>46174</v>
      </c>
      <c r="E3606" t="inlineStr">
        <is>
          <t>Q1FY27</t>
        </is>
      </c>
      <c r="F3606" t="inlineStr">
        <is>
          <t>28-Jul-2026</t>
        </is>
      </c>
      <c r="G3606" t="inlineStr">
        <is>
          <t>Tuesday</t>
        </is>
      </c>
      <c r="H3606" t="inlineStr">
        <is>
          <t>Monthly - Tuesday</t>
        </is>
      </c>
      <c r="I3606" t="inlineStr">
        <is>
          <t>Monthly - Tuesday</t>
        </is>
      </c>
      <c r="J3606" t="inlineStr">
        <is>
          <t>Month+1 Expiry</t>
        </is>
      </c>
      <c r="K3606" s="25" t="n">
        <v>707415</v>
      </c>
      <c r="L3606" s="26" t="n">
        <v>1120.3217</v>
      </c>
      <c r="M3606" s="26" t="n">
        <v>11.874</v>
      </c>
    </row>
    <row r="3607" ht="16" customHeight="1">
      <c r="A3607" t="inlineStr">
        <is>
          <t>24-Jun-2026</t>
        </is>
      </c>
      <c r="B3607" t="inlineStr">
        <is>
          <t>Wednesday</t>
        </is>
      </c>
      <c r="C3607" t="inlineStr">
        <is>
          <t>Week4-Jun-2026</t>
        </is>
      </c>
      <c r="D3607" s="78" t="n">
        <v>46174</v>
      </c>
      <c r="E3607" t="inlineStr">
        <is>
          <t>Q1FY27</t>
        </is>
      </c>
      <c r="F3607" t="inlineStr">
        <is>
          <t>04-Aug-2026</t>
        </is>
      </c>
      <c r="G3607" t="inlineStr">
        <is>
          <t>Tuesday</t>
        </is>
      </c>
      <c r="H3607" t="inlineStr">
        <is>
          <t>Weekly - Tuesday</t>
        </is>
      </c>
      <c r="I3607" t="inlineStr">
        <is>
          <t>Weekly - Tuesday</t>
        </is>
      </c>
      <c r="J3607" t="inlineStr">
        <is>
          <t>Month+2 Expiry</t>
        </is>
      </c>
      <c r="K3607" s="25" t="n">
        <v>174</v>
      </c>
      <c r="L3607" s="26" t="n">
        <v>0.2778</v>
      </c>
      <c r="M3607" s="26" t="n">
        <v>0.0013</v>
      </c>
    </row>
    <row r="3608" ht="16" customHeight="1">
      <c r="A3608" t="inlineStr">
        <is>
          <t>24-Jun-2026</t>
        </is>
      </c>
      <c r="B3608" t="inlineStr">
        <is>
          <t>Wednesday</t>
        </is>
      </c>
      <c r="C3608" t="inlineStr">
        <is>
          <t>Week4-Jun-2026</t>
        </is>
      </c>
      <c r="D3608" s="78" t="n">
        <v>46174</v>
      </c>
      <c r="E3608" t="inlineStr">
        <is>
          <t>Q1FY27</t>
        </is>
      </c>
      <c r="F3608" t="inlineStr">
        <is>
          <t>25-Aug-2026</t>
        </is>
      </c>
      <c r="G3608" t="inlineStr">
        <is>
          <t>Tuesday</t>
        </is>
      </c>
      <c r="H3608" t="inlineStr">
        <is>
          <t>Monthly - Tuesday</t>
        </is>
      </c>
      <c r="I3608" t="inlineStr">
        <is>
          <t>Monthly - Tuesday</t>
        </is>
      </c>
      <c r="J3608" t="inlineStr">
        <is>
          <t>Month+2 Expiry</t>
        </is>
      </c>
      <c r="K3608" s="25" t="n">
        <v>66148</v>
      </c>
      <c r="L3608" s="26" t="n">
        <v>105.5729</v>
      </c>
      <c r="M3608" s="26" t="n">
        <v>1.3724</v>
      </c>
    </row>
    <row r="3609" ht="16" customHeight="1">
      <c r="A3609" t="inlineStr">
        <is>
          <t>24-Jun-2026</t>
        </is>
      </c>
      <c r="B3609" t="inlineStr">
        <is>
          <t>Wednesday</t>
        </is>
      </c>
      <c r="C3609" t="inlineStr">
        <is>
          <t>Week4-Jun-2026</t>
        </is>
      </c>
      <c r="D3609" s="78" t="n">
        <v>46174</v>
      </c>
      <c r="E3609" t="inlineStr">
        <is>
          <t>Q1FY27</t>
        </is>
      </c>
      <c r="F3609" t="inlineStr">
        <is>
          <t>29-Sep-2026</t>
        </is>
      </c>
      <c r="G3609" t="inlineStr">
        <is>
          <t>Tuesday</t>
        </is>
      </c>
      <c r="H3609" t="inlineStr">
        <is>
          <t>Monthly - Tuesday</t>
        </is>
      </c>
      <c r="I3609" t="inlineStr">
        <is>
          <t>Monthly - Tuesday</t>
        </is>
      </c>
      <c r="J3609" t="inlineStr">
        <is>
          <t>Month+3 Expiry</t>
        </is>
      </c>
      <c r="K3609" s="25" t="n">
        <v>48913</v>
      </c>
      <c r="L3609" s="26" t="n">
        <v>79.6233</v>
      </c>
      <c r="M3609" s="26" t="n">
        <v>2.3406</v>
      </c>
    </row>
    <row r="3610" ht="16" customHeight="1">
      <c r="A3610" t="inlineStr">
        <is>
          <t>24-Jun-2026</t>
        </is>
      </c>
      <c r="B3610" t="inlineStr">
        <is>
          <t>Wednesday</t>
        </is>
      </c>
      <c r="C3610" t="inlineStr">
        <is>
          <t>Week4-Jun-2026</t>
        </is>
      </c>
      <c r="D3610" s="78" t="n">
        <v>46174</v>
      </c>
      <c r="E3610" t="inlineStr">
        <is>
          <t>Q1FY27</t>
        </is>
      </c>
      <c r="F3610" t="inlineStr">
        <is>
          <t>29-Dec-2026</t>
        </is>
      </c>
      <c r="G3610" t="inlineStr">
        <is>
          <t>Tuesday</t>
        </is>
      </c>
      <c r="H3610" t="inlineStr">
        <is>
          <t>Monthly - Tuesday</t>
        </is>
      </c>
      <c r="I3610" t="inlineStr">
        <is>
          <t>Monthly - Tuesday</t>
        </is>
      </c>
      <c r="J3610" t="inlineStr">
        <is>
          <t>Month+6 Expiry</t>
        </is>
      </c>
      <c r="K3610" s="25" t="n">
        <v>47781</v>
      </c>
      <c r="L3610" s="26" t="n">
        <v>77.22199999999999</v>
      </c>
      <c r="M3610" s="26" t="n">
        <v>2.18</v>
      </c>
    </row>
    <row r="3611" ht="16" customHeight="1">
      <c r="A3611" t="inlineStr">
        <is>
          <t>24-Jun-2026</t>
        </is>
      </c>
      <c r="B3611" t="inlineStr">
        <is>
          <t>Wednesday</t>
        </is>
      </c>
      <c r="C3611" t="inlineStr">
        <is>
          <t>Week4-Jun-2026</t>
        </is>
      </c>
      <c r="D3611" s="78" t="n">
        <v>46174</v>
      </c>
      <c r="E3611" t="inlineStr">
        <is>
          <t>Q1FY27</t>
        </is>
      </c>
      <c r="F3611" t="inlineStr">
        <is>
          <t>30-Mar-2027</t>
        </is>
      </c>
      <c r="G3611" t="inlineStr">
        <is>
          <t>Tuesday</t>
        </is>
      </c>
      <c r="H3611" t="inlineStr">
        <is>
          <t>Monthly - Tuesday</t>
        </is>
      </c>
      <c r="I3611" t="inlineStr">
        <is>
          <t>Monthly - Tuesday</t>
        </is>
      </c>
      <c r="J3611" t="inlineStr">
        <is>
          <t>Month+9 Expiry</t>
        </is>
      </c>
      <c r="K3611" s="25" t="n">
        <v>244</v>
      </c>
      <c r="L3611" s="26" t="n">
        <v>0.373</v>
      </c>
      <c r="M3611" s="26" t="n">
        <v>0.0062</v>
      </c>
    </row>
    <row r="3612" ht="16" customHeight="1">
      <c r="A3612" t="inlineStr">
        <is>
          <t>24-Jun-2026</t>
        </is>
      </c>
      <c r="B3612" t="inlineStr">
        <is>
          <t>Wednesday</t>
        </is>
      </c>
      <c r="C3612" t="inlineStr">
        <is>
          <t>Week4-Jun-2026</t>
        </is>
      </c>
      <c r="D3612" s="78" t="n">
        <v>46174</v>
      </c>
      <c r="E3612" t="inlineStr">
        <is>
          <t>Q1FY27</t>
        </is>
      </c>
      <c r="F3612" t="inlineStr">
        <is>
          <t>29-Jun-2027</t>
        </is>
      </c>
      <c r="G3612" t="inlineStr">
        <is>
          <t>Tuesday</t>
        </is>
      </c>
      <c r="H3612" t="inlineStr">
        <is>
          <t>Monthly - Tuesday</t>
        </is>
      </c>
      <c r="I3612" t="inlineStr">
        <is>
          <t>Monthly - Tuesday</t>
        </is>
      </c>
      <c r="J3612" t="inlineStr">
        <is>
          <t>Month+12 Expiry</t>
        </is>
      </c>
      <c r="K3612" s="25" t="n">
        <v>0</v>
      </c>
      <c r="L3612" s="26" t="n">
        <v>0</v>
      </c>
      <c r="M3612" s="26" t="n">
        <v>0</v>
      </c>
    </row>
    <row r="3613" ht="16" customHeight="1">
      <c r="A3613" t="inlineStr">
        <is>
          <t>24-Jun-2026</t>
        </is>
      </c>
      <c r="B3613" t="inlineStr">
        <is>
          <t>Wednesday</t>
        </is>
      </c>
      <c r="C3613" t="inlineStr">
        <is>
          <t>Week4-Jun-2026</t>
        </is>
      </c>
      <c r="D3613" s="78" t="n">
        <v>46174</v>
      </c>
      <c r="E3613" t="inlineStr">
        <is>
          <t>Q1FY27</t>
        </is>
      </c>
      <c r="F3613" t="inlineStr">
        <is>
          <t>28-Dec-2027</t>
        </is>
      </c>
      <c r="G3613" t="inlineStr">
        <is>
          <t>Tuesday</t>
        </is>
      </c>
      <c r="H3613" t="inlineStr">
        <is>
          <t>Monthly - Tuesday</t>
        </is>
      </c>
      <c r="I3613" t="inlineStr">
        <is>
          <t>Monthly - Tuesday</t>
        </is>
      </c>
      <c r="J3613" t="inlineStr">
        <is>
          <t>Month+18 Expiry</t>
        </is>
      </c>
      <c r="K3613" s="25" t="n">
        <v>347</v>
      </c>
      <c r="L3613" s="26" t="n">
        <v>0.5843</v>
      </c>
      <c r="M3613" s="26" t="n">
        <v>0.025</v>
      </c>
    </row>
    <row r="3614" ht="16" customHeight="1">
      <c r="A3614" t="inlineStr">
        <is>
          <t>24-Jun-2026</t>
        </is>
      </c>
      <c r="B3614" t="inlineStr">
        <is>
          <t>Wednesday</t>
        </is>
      </c>
      <c r="C3614" t="inlineStr">
        <is>
          <t>Week4-Jun-2026</t>
        </is>
      </c>
      <c r="D3614" s="78" t="n">
        <v>46174</v>
      </c>
      <c r="E3614" t="inlineStr">
        <is>
          <t>Q1FY27</t>
        </is>
      </c>
      <c r="F3614" t="inlineStr">
        <is>
          <t>27-Jun-2028</t>
        </is>
      </c>
      <c r="G3614" t="inlineStr">
        <is>
          <t>Tuesday</t>
        </is>
      </c>
      <c r="H3614" t="inlineStr">
        <is>
          <t>Monthly - Tuesday</t>
        </is>
      </c>
      <c r="I3614" t="inlineStr">
        <is>
          <t>Monthly - Tuesday</t>
        </is>
      </c>
      <c r="J3614" t="inlineStr">
        <is>
          <t>Month+24 Expiry</t>
        </is>
      </c>
      <c r="K3614" s="25" t="n">
        <v>0</v>
      </c>
      <c r="L3614" s="26" t="n">
        <v>0</v>
      </c>
      <c r="M3614" s="26" t="n">
        <v>0</v>
      </c>
    </row>
    <row r="3615" ht="16" customHeight="1">
      <c r="A3615" t="inlineStr">
        <is>
          <t>24-Jun-2026</t>
        </is>
      </c>
      <c r="B3615" t="inlineStr">
        <is>
          <t>Wednesday</t>
        </is>
      </c>
      <c r="C3615" t="inlineStr">
        <is>
          <t>Week4-Jun-2026</t>
        </is>
      </c>
      <c r="D3615" s="78" t="n">
        <v>46174</v>
      </c>
      <c r="E3615" t="inlineStr">
        <is>
          <t>Q1FY27</t>
        </is>
      </c>
      <c r="F3615" t="inlineStr">
        <is>
          <t>26-Dec-2028</t>
        </is>
      </c>
      <c r="G3615" t="inlineStr">
        <is>
          <t>Tuesday</t>
        </is>
      </c>
      <c r="H3615" t="inlineStr">
        <is>
          <t>Monthly - Tuesday</t>
        </is>
      </c>
      <c r="I3615" t="inlineStr">
        <is>
          <t>Monthly - Tuesday</t>
        </is>
      </c>
      <c r="J3615" t="inlineStr">
        <is>
          <t>Month+30 Expiry</t>
        </is>
      </c>
      <c r="K3615" s="25" t="n">
        <v>10</v>
      </c>
      <c r="L3615" s="26" t="n">
        <v>0.0151</v>
      </c>
      <c r="M3615" s="26" t="n">
        <v>0.0005</v>
      </c>
    </row>
    <row r="3616" ht="16" customHeight="1">
      <c r="A3616" t="inlineStr">
        <is>
          <t>24-Jun-2026</t>
        </is>
      </c>
      <c r="B3616" t="inlineStr">
        <is>
          <t>Wednesday</t>
        </is>
      </c>
      <c r="C3616" t="inlineStr">
        <is>
          <t>Week4-Jun-2026</t>
        </is>
      </c>
      <c r="D3616" s="78" t="n">
        <v>46174</v>
      </c>
      <c r="E3616" t="inlineStr">
        <is>
          <t>Q1FY27</t>
        </is>
      </c>
      <c r="F3616" t="inlineStr">
        <is>
          <t>26-Jun-2029</t>
        </is>
      </c>
      <c r="G3616" t="inlineStr">
        <is>
          <t>Tuesday</t>
        </is>
      </c>
      <c r="H3616" t="inlineStr">
        <is>
          <t>Monthly - Tuesday</t>
        </is>
      </c>
      <c r="I3616" t="inlineStr">
        <is>
          <t>Monthly - Tuesday</t>
        </is>
      </c>
      <c r="J3616" t="inlineStr">
        <is>
          <t>Month+36 Expiry</t>
        </is>
      </c>
      <c r="K3616" s="25" t="n">
        <v>0</v>
      </c>
      <c r="L3616" s="26" t="n">
        <v>0</v>
      </c>
      <c r="M3616" s="26" t="n">
        <v>0</v>
      </c>
    </row>
    <row r="3617" ht="16" customHeight="1">
      <c r="A3617" t="inlineStr">
        <is>
          <t>24-Jun-2026</t>
        </is>
      </c>
      <c r="B3617" t="inlineStr">
        <is>
          <t>Wednesday</t>
        </is>
      </c>
      <c r="C3617" t="inlineStr">
        <is>
          <t>Week4-Jun-2026</t>
        </is>
      </c>
      <c r="D3617" s="78" t="n">
        <v>46174</v>
      </c>
      <c r="E3617" t="inlineStr">
        <is>
          <t>Q1FY27</t>
        </is>
      </c>
      <c r="F3617" t="inlineStr">
        <is>
          <t>24-Dec-2029</t>
        </is>
      </c>
      <c r="G3617" t="inlineStr">
        <is>
          <t>Monday</t>
        </is>
      </c>
      <c r="H3617" t="inlineStr">
        <is>
          <t>Weekly - Monday</t>
        </is>
      </c>
      <c r="I3617" t="inlineStr">
        <is>
          <t>Weekly - Monday</t>
        </is>
      </c>
      <c r="J3617" t="inlineStr">
        <is>
          <t>Month+42 Expiry</t>
        </is>
      </c>
      <c r="K3617" s="25" t="n">
        <v>0</v>
      </c>
      <c r="L3617" s="26" t="n">
        <v>0</v>
      </c>
      <c r="M3617" s="26" t="n">
        <v>0</v>
      </c>
    </row>
    <row r="3618" ht="16" customHeight="1">
      <c r="A3618" t="inlineStr">
        <is>
          <t>24-Jun-2026</t>
        </is>
      </c>
      <c r="B3618" t="inlineStr">
        <is>
          <t>Wednesday</t>
        </is>
      </c>
      <c r="C3618" t="inlineStr">
        <is>
          <t>Week4-Jun-2026</t>
        </is>
      </c>
      <c r="D3618" s="78" t="n">
        <v>46174</v>
      </c>
      <c r="E3618" t="inlineStr">
        <is>
          <t>Q1FY27</t>
        </is>
      </c>
      <c r="F3618" t="inlineStr">
        <is>
          <t>25-Jun-2030</t>
        </is>
      </c>
      <c r="G3618" t="inlineStr">
        <is>
          <t>Tuesday</t>
        </is>
      </c>
      <c r="H3618" t="inlineStr">
        <is>
          <t>Monthly - Tuesday</t>
        </is>
      </c>
      <c r="I3618" t="inlineStr">
        <is>
          <t>Monthly - Tuesday</t>
        </is>
      </c>
      <c r="J3618" t="inlineStr">
        <is>
          <t>Month+48 Expiry</t>
        </is>
      </c>
      <c r="K3618" s="25" t="n">
        <v>0</v>
      </c>
      <c r="L3618" s="26" t="n">
        <v>0</v>
      </c>
      <c r="M3618" s="26" t="n">
        <v>0</v>
      </c>
    </row>
    <row r="3619" ht="16" customHeight="1">
      <c r="A3619" t="inlineStr">
        <is>
          <t>24-Jun-2026</t>
        </is>
      </c>
      <c r="B3619" t="inlineStr">
        <is>
          <t>Wednesday</t>
        </is>
      </c>
      <c r="C3619" t="inlineStr">
        <is>
          <t>Week4-Jun-2026</t>
        </is>
      </c>
      <c r="D3619" s="78" t="n">
        <v>46174</v>
      </c>
      <c r="E3619" t="inlineStr">
        <is>
          <t>Q1FY27</t>
        </is>
      </c>
      <c r="F3619" t="inlineStr">
        <is>
          <t>31-Dec-2030</t>
        </is>
      </c>
      <c r="G3619" t="inlineStr">
        <is>
          <t>Tuesday</t>
        </is>
      </c>
      <c r="H3619" t="inlineStr">
        <is>
          <t>Monthly - Tuesday</t>
        </is>
      </c>
      <c r="I3619" t="inlineStr">
        <is>
          <t>Monthly - Tuesday</t>
        </is>
      </c>
      <c r="J3619" t="inlineStr">
        <is>
          <t>Month+54 Expiry</t>
        </is>
      </c>
      <c r="K3619" s="25" t="n">
        <v>0</v>
      </c>
      <c r="L3619" s="26" t="n">
        <v>0</v>
      </c>
      <c r="M3619" s="26" t="n">
        <v>0</v>
      </c>
    </row>
    <row r="3620" ht="16" customHeight="1">
      <c r="A3620" t="inlineStr">
        <is>
          <t>25-Jun-2026</t>
        </is>
      </c>
      <c r="B3620" t="inlineStr">
        <is>
          <t>Thursday</t>
        </is>
      </c>
      <c r="C3620" t="inlineStr">
        <is>
          <t>Week4-Jun-2026</t>
        </is>
      </c>
      <c r="D3620" s="78" t="n">
        <v>46174</v>
      </c>
      <c r="E3620" t="inlineStr">
        <is>
          <t>Q1FY27</t>
        </is>
      </c>
      <c r="F3620" t="inlineStr">
        <is>
          <t>30-Jun-2026</t>
        </is>
      </c>
      <c r="G3620" t="inlineStr">
        <is>
          <t>Tuesday</t>
        </is>
      </c>
      <c r="H3620" t="inlineStr">
        <is>
          <t>Monthly - Tuesday</t>
        </is>
      </c>
      <c r="I3620" t="inlineStr">
        <is>
          <t>MDAW - Tuesday</t>
        </is>
      </c>
      <c r="J3620" t="inlineStr">
        <is>
          <t>Same Month Expiry</t>
        </is>
      </c>
      <c r="K3620" s="25" t="n">
        <v>51988380</v>
      </c>
      <c r="L3620" s="26" t="n">
        <v>81616.42909999999</v>
      </c>
      <c r="M3620" s="26" t="n">
        <v>227.9055</v>
      </c>
    </row>
    <row r="3621" ht="16" customHeight="1">
      <c r="A3621" t="inlineStr">
        <is>
          <t>25-Jun-2026</t>
        </is>
      </c>
      <c r="B3621" t="inlineStr">
        <is>
          <t>Thursday</t>
        </is>
      </c>
      <c r="C3621" t="inlineStr">
        <is>
          <t>Week4-Jun-2026</t>
        </is>
      </c>
      <c r="D3621" s="78" t="n">
        <v>46174</v>
      </c>
      <c r="E3621" t="inlineStr">
        <is>
          <t>Q1FY27</t>
        </is>
      </c>
      <c r="F3621" t="inlineStr">
        <is>
          <t>07-Jul-2026</t>
        </is>
      </c>
      <c r="G3621" t="inlineStr">
        <is>
          <t>Tuesday</t>
        </is>
      </c>
      <c r="H3621" t="inlineStr">
        <is>
          <t>Weekly - Tuesday</t>
        </is>
      </c>
      <c r="I3621" t="inlineStr">
        <is>
          <t>Weekly - Tuesday</t>
        </is>
      </c>
      <c r="J3621" t="inlineStr">
        <is>
          <t>Month+1 Expiry</t>
        </is>
      </c>
      <c r="K3621" s="25" t="n">
        <v>2329691</v>
      </c>
      <c r="L3621" s="26" t="n">
        <v>3671.4281</v>
      </c>
      <c r="M3621" s="26" t="n">
        <v>15.8284</v>
      </c>
    </row>
    <row r="3622" ht="16" customHeight="1">
      <c r="A3622" t="inlineStr">
        <is>
          <t>25-Jun-2026</t>
        </is>
      </c>
      <c r="B3622" t="inlineStr">
        <is>
          <t>Thursday</t>
        </is>
      </c>
      <c r="C3622" t="inlineStr">
        <is>
          <t>Week4-Jun-2026</t>
        </is>
      </c>
      <c r="D3622" s="78" t="n">
        <v>46174</v>
      </c>
      <c r="E3622" t="inlineStr">
        <is>
          <t>Q1FY27</t>
        </is>
      </c>
      <c r="F3622" t="inlineStr">
        <is>
          <t>14-Jul-2026</t>
        </is>
      </c>
      <c r="G3622" t="inlineStr">
        <is>
          <t>Tuesday</t>
        </is>
      </c>
      <c r="H3622" t="inlineStr">
        <is>
          <t>Weekly - Tuesday</t>
        </is>
      </c>
      <c r="I3622" t="inlineStr">
        <is>
          <t>Weekly - Tuesday</t>
        </is>
      </c>
      <c r="J3622" t="inlineStr">
        <is>
          <t>Month+1 Expiry</t>
        </is>
      </c>
      <c r="K3622" s="25" t="n">
        <v>189329</v>
      </c>
      <c r="L3622" s="26" t="n">
        <v>297.5893</v>
      </c>
      <c r="M3622" s="26" t="n">
        <v>1.7478</v>
      </c>
    </row>
    <row r="3623" ht="16" customHeight="1">
      <c r="A3623" t="inlineStr">
        <is>
          <t>25-Jun-2026</t>
        </is>
      </c>
      <c r="B3623" t="inlineStr">
        <is>
          <t>Thursday</t>
        </is>
      </c>
      <c r="C3623" t="inlineStr">
        <is>
          <t>Week4-Jun-2026</t>
        </is>
      </c>
      <c r="D3623" s="78" t="n">
        <v>46174</v>
      </c>
      <c r="E3623" t="inlineStr">
        <is>
          <t>Q1FY27</t>
        </is>
      </c>
      <c r="F3623" t="inlineStr">
        <is>
          <t>21-Jul-2026</t>
        </is>
      </c>
      <c r="G3623" t="inlineStr">
        <is>
          <t>Tuesday</t>
        </is>
      </c>
      <c r="H3623" t="inlineStr">
        <is>
          <t>Weekly - Tuesday</t>
        </is>
      </c>
      <c r="I3623" t="inlineStr">
        <is>
          <t>Weekly - Tuesday</t>
        </is>
      </c>
      <c r="J3623" t="inlineStr">
        <is>
          <t>Month+1 Expiry</t>
        </is>
      </c>
      <c r="K3623" s="25" t="n">
        <v>13661</v>
      </c>
      <c r="L3623" s="26" t="n">
        <v>21.4953</v>
      </c>
      <c r="M3623" s="26" t="n">
        <v>0.1806</v>
      </c>
    </row>
    <row r="3624" ht="16" customHeight="1">
      <c r="A3624" t="inlineStr">
        <is>
          <t>25-Jun-2026</t>
        </is>
      </c>
      <c r="B3624" t="inlineStr">
        <is>
          <t>Thursday</t>
        </is>
      </c>
      <c r="C3624" t="inlineStr">
        <is>
          <t>Week4-Jun-2026</t>
        </is>
      </c>
      <c r="D3624" s="78" t="n">
        <v>46174</v>
      </c>
      <c r="E3624" t="inlineStr">
        <is>
          <t>Q1FY27</t>
        </is>
      </c>
      <c r="F3624" t="inlineStr">
        <is>
          <t>28-Jul-2026</t>
        </is>
      </c>
      <c r="G3624" t="inlineStr">
        <is>
          <t>Tuesday</t>
        </is>
      </c>
      <c r="H3624" t="inlineStr">
        <is>
          <t>Monthly - Tuesday</t>
        </is>
      </c>
      <c r="I3624" t="inlineStr">
        <is>
          <t>Monthly - Tuesday</t>
        </is>
      </c>
      <c r="J3624" t="inlineStr">
        <is>
          <t>Month+1 Expiry</t>
        </is>
      </c>
      <c r="K3624" s="25" t="n">
        <v>928229</v>
      </c>
      <c r="L3624" s="26" t="n">
        <v>1474.783</v>
      </c>
      <c r="M3624" s="26" t="n">
        <v>14.4082</v>
      </c>
    </row>
    <row r="3625" ht="16" customHeight="1">
      <c r="A3625" t="inlineStr">
        <is>
          <t>25-Jun-2026</t>
        </is>
      </c>
      <c r="B3625" t="inlineStr">
        <is>
          <t>Thursday</t>
        </is>
      </c>
      <c r="C3625" t="inlineStr">
        <is>
          <t>Week4-Jun-2026</t>
        </is>
      </c>
      <c r="D3625" s="78" t="n">
        <v>46174</v>
      </c>
      <c r="E3625" t="inlineStr">
        <is>
          <t>Q1FY27</t>
        </is>
      </c>
      <c r="F3625" t="inlineStr">
        <is>
          <t>04-Aug-2026</t>
        </is>
      </c>
      <c r="G3625" t="inlineStr">
        <is>
          <t>Tuesday</t>
        </is>
      </c>
      <c r="H3625" t="inlineStr">
        <is>
          <t>Weekly - Tuesday</t>
        </is>
      </c>
      <c r="I3625" t="inlineStr">
        <is>
          <t>Weekly - Tuesday</t>
        </is>
      </c>
      <c r="J3625" t="inlineStr">
        <is>
          <t>Month+2 Expiry</t>
        </is>
      </c>
      <c r="K3625" s="25" t="n">
        <v>684</v>
      </c>
      <c r="L3625" s="26" t="n">
        <v>1.0794</v>
      </c>
      <c r="M3625" s="26" t="n">
        <v>0.0063</v>
      </c>
    </row>
    <row r="3626" ht="16" customHeight="1">
      <c r="A3626" t="inlineStr">
        <is>
          <t>25-Jun-2026</t>
        </is>
      </c>
      <c r="B3626" t="inlineStr">
        <is>
          <t>Thursday</t>
        </is>
      </c>
      <c r="C3626" t="inlineStr">
        <is>
          <t>Week4-Jun-2026</t>
        </is>
      </c>
      <c r="D3626" s="78" t="n">
        <v>46174</v>
      </c>
      <c r="E3626" t="inlineStr">
        <is>
          <t>Q1FY27</t>
        </is>
      </c>
      <c r="F3626" t="inlineStr">
        <is>
          <t>25-Aug-2026</t>
        </is>
      </c>
      <c r="G3626" t="inlineStr">
        <is>
          <t>Tuesday</t>
        </is>
      </c>
      <c r="H3626" t="inlineStr">
        <is>
          <t>Monthly - Tuesday</t>
        </is>
      </c>
      <c r="I3626" t="inlineStr">
        <is>
          <t>Monthly - Tuesday</t>
        </is>
      </c>
      <c r="J3626" t="inlineStr">
        <is>
          <t>Month+2 Expiry</t>
        </is>
      </c>
      <c r="K3626" s="25" t="n">
        <v>114860</v>
      </c>
      <c r="L3626" s="26" t="n">
        <v>180.6583</v>
      </c>
      <c r="M3626" s="26" t="n">
        <v>1.9392</v>
      </c>
    </row>
    <row r="3627" ht="16" customHeight="1">
      <c r="A3627" t="inlineStr">
        <is>
          <t>25-Jun-2026</t>
        </is>
      </c>
      <c r="B3627" t="inlineStr">
        <is>
          <t>Thursday</t>
        </is>
      </c>
      <c r="C3627" t="inlineStr">
        <is>
          <t>Week4-Jun-2026</t>
        </is>
      </c>
      <c r="D3627" s="78" t="n">
        <v>46174</v>
      </c>
      <c r="E3627" t="inlineStr">
        <is>
          <t>Q1FY27</t>
        </is>
      </c>
      <c r="F3627" t="inlineStr">
        <is>
          <t>29-Sep-2026</t>
        </is>
      </c>
      <c r="G3627" t="inlineStr">
        <is>
          <t>Tuesday</t>
        </is>
      </c>
      <c r="H3627" t="inlineStr">
        <is>
          <t>Monthly - Tuesday</t>
        </is>
      </c>
      <c r="I3627" t="inlineStr">
        <is>
          <t>Monthly - Tuesday</t>
        </is>
      </c>
      <c r="J3627" t="inlineStr">
        <is>
          <t>Month+3 Expiry</t>
        </is>
      </c>
      <c r="K3627" s="25" t="n">
        <v>58325</v>
      </c>
      <c r="L3627" s="26" t="n">
        <v>92.2833</v>
      </c>
      <c r="M3627" s="26" t="n">
        <v>2.7201</v>
      </c>
    </row>
    <row r="3628" ht="16" customHeight="1">
      <c r="A3628" t="inlineStr">
        <is>
          <t>25-Jun-2026</t>
        </is>
      </c>
      <c r="B3628" t="inlineStr">
        <is>
          <t>Thursday</t>
        </is>
      </c>
      <c r="C3628" t="inlineStr">
        <is>
          <t>Week4-Jun-2026</t>
        </is>
      </c>
      <c r="D3628" s="78" t="n">
        <v>46174</v>
      </c>
      <c r="E3628" t="inlineStr">
        <is>
          <t>Q1FY27</t>
        </is>
      </c>
      <c r="F3628" t="inlineStr">
        <is>
          <t>29-Dec-2026</t>
        </is>
      </c>
      <c r="G3628" t="inlineStr">
        <is>
          <t>Tuesday</t>
        </is>
      </c>
      <c r="H3628" t="inlineStr">
        <is>
          <t>Monthly - Tuesday</t>
        </is>
      </c>
      <c r="I3628" t="inlineStr">
        <is>
          <t>Monthly - Tuesday</t>
        </is>
      </c>
      <c r="J3628" t="inlineStr">
        <is>
          <t>Month+6 Expiry</t>
        </is>
      </c>
      <c r="K3628" s="25" t="n">
        <v>59286</v>
      </c>
      <c r="L3628" s="26" t="n">
        <v>95.84699999999999</v>
      </c>
      <c r="M3628" s="26" t="n">
        <v>2.7181</v>
      </c>
    </row>
    <row r="3629" ht="16" customHeight="1">
      <c r="A3629" t="inlineStr">
        <is>
          <t>25-Jun-2026</t>
        </is>
      </c>
      <c r="B3629" t="inlineStr">
        <is>
          <t>Thursday</t>
        </is>
      </c>
      <c r="C3629" t="inlineStr">
        <is>
          <t>Week4-Jun-2026</t>
        </is>
      </c>
      <c r="D3629" s="78" t="n">
        <v>46174</v>
      </c>
      <c r="E3629" t="inlineStr">
        <is>
          <t>Q1FY27</t>
        </is>
      </c>
      <c r="F3629" t="inlineStr">
        <is>
          <t>30-Mar-2027</t>
        </is>
      </c>
      <c r="G3629" t="inlineStr">
        <is>
          <t>Tuesday</t>
        </is>
      </c>
      <c r="H3629" t="inlineStr">
        <is>
          <t>Monthly - Tuesday</t>
        </is>
      </c>
      <c r="I3629" t="inlineStr">
        <is>
          <t>Monthly - Tuesday</t>
        </is>
      </c>
      <c r="J3629" t="inlineStr">
        <is>
          <t>Month+9 Expiry</t>
        </is>
      </c>
      <c r="K3629" s="25" t="n">
        <v>255</v>
      </c>
      <c r="L3629" s="26" t="n">
        <v>0.3963</v>
      </c>
      <c r="M3629" s="26" t="n">
        <v>0.0056</v>
      </c>
    </row>
    <row r="3630" ht="16" customHeight="1">
      <c r="A3630" t="inlineStr">
        <is>
          <t>25-Jun-2026</t>
        </is>
      </c>
      <c r="B3630" t="inlineStr">
        <is>
          <t>Thursday</t>
        </is>
      </c>
      <c r="C3630" t="inlineStr">
        <is>
          <t>Week4-Jun-2026</t>
        </is>
      </c>
      <c r="D3630" s="78" t="n">
        <v>46174</v>
      </c>
      <c r="E3630" t="inlineStr">
        <is>
          <t>Q1FY27</t>
        </is>
      </c>
      <c r="F3630" t="inlineStr">
        <is>
          <t>29-Jun-2027</t>
        </is>
      </c>
      <c r="G3630" t="inlineStr">
        <is>
          <t>Tuesday</t>
        </is>
      </c>
      <c r="H3630" t="inlineStr">
        <is>
          <t>Monthly - Tuesday</t>
        </is>
      </c>
      <c r="I3630" t="inlineStr">
        <is>
          <t>Monthly - Tuesday</t>
        </is>
      </c>
      <c r="J3630" t="inlineStr">
        <is>
          <t>Month+12 Expiry</t>
        </is>
      </c>
      <c r="K3630" s="25" t="n">
        <v>2</v>
      </c>
      <c r="L3630" s="26" t="n">
        <v>0.0028</v>
      </c>
      <c r="M3630" s="26" t="n">
        <v>0</v>
      </c>
    </row>
    <row r="3631" ht="16" customHeight="1">
      <c r="A3631" t="inlineStr">
        <is>
          <t>25-Jun-2026</t>
        </is>
      </c>
      <c r="B3631" t="inlineStr">
        <is>
          <t>Thursday</t>
        </is>
      </c>
      <c r="C3631" t="inlineStr">
        <is>
          <t>Week4-Jun-2026</t>
        </is>
      </c>
      <c r="D3631" s="78" t="n">
        <v>46174</v>
      </c>
      <c r="E3631" t="inlineStr">
        <is>
          <t>Q1FY27</t>
        </is>
      </c>
      <c r="F3631" t="inlineStr">
        <is>
          <t>28-Dec-2027</t>
        </is>
      </c>
      <c r="G3631" t="inlineStr">
        <is>
          <t>Tuesday</t>
        </is>
      </c>
      <c r="H3631" t="inlineStr">
        <is>
          <t>Monthly - Tuesday</t>
        </is>
      </c>
      <c r="I3631" t="inlineStr">
        <is>
          <t>Monthly - Tuesday</t>
        </is>
      </c>
      <c r="J3631" t="inlineStr">
        <is>
          <t>Month+18 Expiry</t>
        </is>
      </c>
      <c r="K3631" s="25" t="n">
        <v>332</v>
      </c>
      <c r="L3631" s="26" t="n">
        <v>0.576</v>
      </c>
      <c r="M3631" s="26" t="n">
        <v>0.0272</v>
      </c>
    </row>
    <row r="3632" ht="16" customHeight="1">
      <c r="A3632" t="inlineStr">
        <is>
          <t>25-Jun-2026</t>
        </is>
      </c>
      <c r="B3632" t="inlineStr">
        <is>
          <t>Thursday</t>
        </is>
      </c>
      <c r="C3632" t="inlineStr">
        <is>
          <t>Week4-Jun-2026</t>
        </is>
      </c>
      <c r="D3632" s="78" t="n">
        <v>46174</v>
      </c>
      <c r="E3632" t="inlineStr">
        <is>
          <t>Q1FY27</t>
        </is>
      </c>
      <c r="F3632" t="inlineStr">
        <is>
          <t>27-Jun-2028</t>
        </is>
      </c>
      <c r="G3632" t="inlineStr">
        <is>
          <t>Tuesday</t>
        </is>
      </c>
      <c r="H3632" t="inlineStr">
        <is>
          <t>Monthly - Tuesday</t>
        </is>
      </c>
      <c r="I3632" t="inlineStr">
        <is>
          <t>Monthly - Tuesday</t>
        </is>
      </c>
      <c r="J3632" t="inlineStr">
        <is>
          <t>Month+24 Expiry</t>
        </is>
      </c>
      <c r="K3632" s="25" t="n">
        <v>2</v>
      </c>
      <c r="L3632" s="26" t="n">
        <v>0.0029</v>
      </c>
      <c r="M3632" s="26" t="n">
        <v>0.0001</v>
      </c>
    </row>
    <row r="3633" ht="16" customHeight="1">
      <c r="A3633" t="inlineStr">
        <is>
          <t>25-Jun-2026</t>
        </is>
      </c>
      <c r="B3633" t="inlineStr">
        <is>
          <t>Thursday</t>
        </is>
      </c>
      <c r="C3633" t="inlineStr">
        <is>
          <t>Week4-Jun-2026</t>
        </is>
      </c>
      <c r="D3633" s="78" t="n">
        <v>46174</v>
      </c>
      <c r="E3633" t="inlineStr">
        <is>
          <t>Q1FY27</t>
        </is>
      </c>
      <c r="F3633" t="inlineStr">
        <is>
          <t>26-Dec-2028</t>
        </is>
      </c>
      <c r="G3633" t="inlineStr">
        <is>
          <t>Tuesday</t>
        </is>
      </c>
      <c r="H3633" t="inlineStr">
        <is>
          <t>Monthly - Tuesday</t>
        </is>
      </c>
      <c r="I3633" t="inlineStr">
        <is>
          <t>Monthly - Tuesday</t>
        </is>
      </c>
      <c r="J3633" t="inlineStr">
        <is>
          <t>Month+30 Expiry</t>
        </is>
      </c>
      <c r="K3633" s="25" t="n">
        <v>10</v>
      </c>
      <c r="L3633" s="26" t="n">
        <v>0.0187</v>
      </c>
      <c r="M3633" s="26" t="n">
        <v>0.001</v>
      </c>
    </row>
    <row r="3634" ht="16" customHeight="1">
      <c r="A3634" t="inlineStr">
        <is>
          <t>25-Jun-2026</t>
        </is>
      </c>
      <c r="B3634" t="inlineStr">
        <is>
          <t>Thursday</t>
        </is>
      </c>
      <c r="C3634" t="inlineStr">
        <is>
          <t>Week4-Jun-2026</t>
        </is>
      </c>
      <c r="D3634" s="78" t="n">
        <v>46174</v>
      </c>
      <c r="E3634" t="inlineStr">
        <is>
          <t>Q1FY27</t>
        </is>
      </c>
      <c r="F3634" t="inlineStr">
        <is>
          <t>26-Jun-2029</t>
        </is>
      </c>
      <c r="G3634" t="inlineStr">
        <is>
          <t>Tuesday</t>
        </is>
      </c>
      <c r="H3634" t="inlineStr">
        <is>
          <t>Monthly - Tuesday</t>
        </is>
      </c>
      <c r="I3634" t="inlineStr">
        <is>
          <t>Monthly - Tuesday</t>
        </is>
      </c>
      <c r="J3634" t="inlineStr">
        <is>
          <t>Month+36 Expiry</t>
        </is>
      </c>
      <c r="K3634" s="25" t="n">
        <v>0</v>
      </c>
      <c r="L3634" s="26" t="n">
        <v>0</v>
      </c>
      <c r="M3634" s="26" t="n">
        <v>0</v>
      </c>
    </row>
    <row r="3635" ht="16" customHeight="1">
      <c r="A3635" t="inlineStr">
        <is>
          <t>25-Jun-2026</t>
        </is>
      </c>
      <c r="B3635" t="inlineStr">
        <is>
          <t>Thursday</t>
        </is>
      </c>
      <c r="C3635" t="inlineStr">
        <is>
          <t>Week4-Jun-2026</t>
        </is>
      </c>
      <c r="D3635" s="78" t="n">
        <v>46174</v>
      </c>
      <c r="E3635" t="inlineStr">
        <is>
          <t>Q1FY27</t>
        </is>
      </c>
      <c r="F3635" t="inlineStr">
        <is>
          <t>24-Dec-2029</t>
        </is>
      </c>
      <c r="G3635" t="inlineStr">
        <is>
          <t>Monday</t>
        </is>
      </c>
      <c r="H3635" t="inlineStr">
        <is>
          <t>Weekly - Monday</t>
        </is>
      </c>
      <c r="I3635" t="inlineStr">
        <is>
          <t>Weekly - Monday</t>
        </is>
      </c>
      <c r="J3635" t="inlineStr">
        <is>
          <t>Month+42 Expiry</t>
        </is>
      </c>
      <c r="K3635" s="25" t="n">
        <v>0</v>
      </c>
      <c r="L3635" s="26" t="n">
        <v>0</v>
      </c>
      <c r="M3635" s="26" t="n">
        <v>0</v>
      </c>
    </row>
    <row r="3636" ht="16" customHeight="1">
      <c r="A3636" t="inlineStr">
        <is>
          <t>25-Jun-2026</t>
        </is>
      </c>
      <c r="B3636" t="inlineStr">
        <is>
          <t>Thursday</t>
        </is>
      </c>
      <c r="C3636" t="inlineStr">
        <is>
          <t>Week4-Jun-2026</t>
        </is>
      </c>
      <c r="D3636" s="78" t="n">
        <v>46174</v>
      </c>
      <c r="E3636" t="inlineStr">
        <is>
          <t>Q1FY27</t>
        </is>
      </c>
      <c r="F3636" t="inlineStr">
        <is>
          <t>25-Jun-2030</t>
        </is>
      </c>
      <c r="G3636" t="inlineStr">
        <is>
          <t>Tuesday</t>
        </is>
      </c>
      <c r="H3636" t="inlineStr">
        <is>
          <t>Monthly - Tuesday</t>
        </is>
      </c>
      <c r="I3636" t="inlineStr">
        <is>
          <t>Monthly - Tuesday</t>
        </is>
      </c>
      <c r="J3636" t="inlineStr">
        <is>
          <t>Month+48 Expiry</t>
        </is>
      </c>
      <c r="K3636" s="25" t="n">
        <v>0</v>
      </c>
      <c r="L3636" s="26" t="n">
        <v>0</v>
      </c>
      <c r="M3636" s="26" t="n">
        <v>0</v>
      </c>
    </row>
    <row r="3637" ht="16" customHeight="1">
      <c r="A3637" t="inlineStr">
        <is>
          <t>25-Jun-2026</t>
        </is>
      </c>
      <c r="B3637" t="inlineStr">
        <is>
          <t>Thursday</t>
        </is>
      </c>
      <c r="C3637" t="inlineStr">
        <is>
          <t>Week4-Jun-2026</t>
        </is>
      </c>
      <c r="D3637" s="78" t="n">
        <v>46174</v>
      </c>
      <c r="E3637" t="inlineStr">
        <is>
          <t>Q1FY27</t>
        </is>
      </c>
      <c r="F3637" t="inlineStr">
        <is>
          <t>31-Dec-2030</t>
        </is>
      </c>
      <c r="G3637" t="inlineStr">
        <is>
          <t>Tuesday</t>
        </is>
      </c>
      <c r="H3637" t="inlineStr">
        <is>
          <t>Monthly - Tuesday</t>
        </is>
      </c>
      <c r="I3637" t="inlineStr">
        <is>
          <t>Monthly - Tuesday</t>
        </is>
      </c>
      <c r="J3637" t="inlineStr">
        <is>
          <t>Month+54 Expiry</t>
        </is>
      </c>
      <c r="K3637" s="25" t="n">
        <v>0</v>
      </c>
      <c r="L3637" s="26" t="n">
        <v>0</v>
      </c>
      <c r="M3637" s="26" t="n">
        <v>0</v>
      </c>
    </row>
    <row r="3638" ht="16" customHeight="1">
      <c r="A3638" t="inlineStr">
        <is>
          <t>29-Jun-2026</t>
        </is>
      </c>
      <c r="B3638" t="inlineStr">
        <is>
          <t>Monday</t>
        </is>
      </c>
      <c r="C3638" t="inlineStr">
        <is>
          <t>Week5-Jun-2026</t>
        </is>
      </c>
      <c r="D3638" s="78" t="n">
        <v>46174</v>
      </c>
      <c r="E3638" t="inlineStr">
        <is>
          <t>Q1FY27</t>
        </is>
      </c>
      <c r="F3638" t="inlineStr">
        <is>
          <t>30-Jun-2026</t>
        </is>
      </c>
      <c r="G3638" t="inlineStr">
        <is>
          <t>Tuesday</t>
        </is>
      </c>
      <c r="H3638" t="inlineStr">
        <is>
          <t>Monthly - Tuesday</t>
        </is>
      </c>
      <c r="I3638" t="inlineStr">
        <is>
          <t>MDAW - Tuesday</t>
        </is>
      </c>
      <c r="J3638" t="inlineStr">
        <is>
          <t>Same Month Expiry</t>
        </is>
      </c>
      <c r="K3638" s="25" t="n">
        <v>137549561</v>
      </c>
      <c r="L3638" s="26" t="n">
        <v>215156.4078</v>
      </c>
      <c r="M3638" s="26" t="n">
        <v>485.6613</v>
      </c>
    </row>
    <row r="3639" ht="16" customHeight="1">
      <c r="A3639" t="inlineStr">
        <is>
          <t>29-Jun-2026</t>
        </is>
      </c>
      <c r="B3639" t="inlineStr">
        <is>
          <t>Monday</t>
        </is>
      </c>
      <c r="C3639" t="inlineStr">
        <is>
          <t>Week5-Jun-2026</t>
        </is>
      </c>
      <c r="D3639" s="78" t="n">
        <v>46174</v>
      </c>
      <c r="E3639" t="inlineStr">
        <is>
          <t>Q1FY27</t>
        </is>
      </c>
      <c r="F3639" t="inlineStr">
        <is>
          <t>07-Jul-2026</t>
        </is>
      </c>
      <c r="G3639" t="inlineStr">
        <is>
          <t>Tuesday</t>
        </is>
      </c>
      <c r="H3639" t="inlineStr">
        <is>
          <t>Weekly - Tuesday</t>
        </is>
      </c>
      <c r="I3639" t="inlineStr">
        <is>
          <t>Weekly - Tuesday</t>
        </is>
      </c>
      <c r="J3639" t="inlineStr">
        <is>
          <t>Month+1 Expiry</t>
        </is>
      </c>
      <c r="K3639" s="25" t="n">
        <v>4607196</v>
      </c>
      <c r="L3639" s="26" t="n">
        <v>7238.8215</v>
      </c>
      <c r="M3639" s="26" t="n">
        <v>28.5983</v>
      </c>
    </row>
    <row r="3640" ht="16" customHeight="1">
      <c r="A3640" t="inlineStr">
        <is>
          <t>29-Jun-2026</t>
        </is>
      </c>
      <c r="B3640" t="inlineStr">
        <is>
          <t>Monday</t>
        </is>
      </c>
      <c r="C3640" t="inlineStr">
        <is>
          <t>Week5-Jun-2026</t>
        </is>
      </c>
      <c r="D3640" s="78" t="n">
        <v>46174</v>
      </c>
      <c r="E3640" t="inlineStr">
        <is>
          <t>Q1FY27</t>
        </is>
      </c>
      <c r="F3640" t="inlineStr">
        <is>
          <t>14-Jul-2026</t>
        </is>
      </c>
      <c r="G3640" t="inlineStr">
        <is>
          <t>Tuesday</t>
        </is>
      </c>
      <c r="H3640" t="inlineStr">
        <is>
          <t>Weekly - Tuesday</t>
        </is>
      </c>
      <c r="I3640" t="inlineStr">
        <is>
          <t>Weekly - Tuesday</t>
        </is>
      </c>
      <c r="J3640" t="inlineStr">
        <is>
          <t>Month+1 Expiry</t>
        </is>
      </c>
      <c r="K3640" s="25" t="n">
        <v>274015</v>
      </c>
      <c r="L3640" s="26" t="n">
        <v>430.526</v>
      </c>
      <c r="M3640" s="26" t="n">
        <v>2.2791</v>
      </c>
    </row>
    <row r="3641" ht="16" customHeight="1">
      <c r="A3641" t="inlineStr">
        <is>
          <t>29-Jun-2026</t>
        </is>
      </c>
      <c r="B3641" t="inlineStr">
        <is>
          <t>Monday</t>
        </is>
      </c>
      <c r="C3641" t="inlineStr">
        <is>
          <t>Week5-Jun-2026</t>
        </is>
      </c>
      <c r="D3641" s="78" t="n">
        <v>46174</v>
      </c>
      <c r="E3641" t="inlineStr">
        <is>
          <t>Q1FY27</t>
        </is>
      </c>
      <c r="F3641" t="inlineStr">
        <is>
          <t>21-Jul-2026</t>
        </is>
      </c>
      <c r="G3641" t="inlineStr">
        <is>
          <t>Tuesday</t>
        </is>
      </c>
      <c r="H3641" t="inlineStr">
        <is>
          <t>Weekly - Tuesday</t>
        </is>
      </c>
      <c r="I3641" t="inlineStr">
        <is>
          <t>Weekly - Tuesday</t>
        </is>
      </c>
      <c r="J3641" t="inlineStr">
        <is>
          <t>Month+1 Expiry</t>
        </is>
      </c>
      <c r="K3641" s="25" t="n">
        <v>18171</v>
      </c>
      <c r="L3641" s="26" t="n">
        <v>28.5343</v>
      </c>
      <c r="M3641" s="26" t="n">
        <v>0.2009</v>
      </c>
    </row>
    <row r="3642" ht="16" customHeight="1">
      <c r="A3642" t="inlineStr">
        <is>
          <t>29-Jun-2026</t>
        </is>
      </c>
      <c r="B3642" t="inlineStr">
        <is>
          <t>Monday</t>
        </is>
      </c>
      <c r="C3642" t="inlineStr">
        <is>
          <t>Week5-Jun-2026</t>
        </is>
      </c>
      <c r="D3642" s="78" t="n">
        <v>46174</v>
      </c>
      <c r="E3642" t="inlineStr">
        <is>
          <t>Q1FY27</t>
        </is>
      </c>
      <c r="F3642" t="inlineStr">
        <is>
          <t>28-Jul-2026</t>
        </is>
      </c>
      <c r="G3642" t="inlineStr">
        <is>
          <t>Tuesday</t>
        </is>
      </c>
      <c r="H3642" t="inlineStr">
        <is>
          <t>Monthly - Tuesday</t>
        </is>
      </c>
      <c r="I3642" t="inlineStr">
        <is>
          <t>Monthly - Tuesday</t>
        </is>
      </c>
      <c r="J3642" t="inlineStr">
        <is>
          <t>Month+1 Expiry</t>
        </is>
      </c>
      <c r="K3642" s="25" t="n">
        <v>913573</v>
      </c>
      <c r="L3642" s="26" t="n">
        <v>1453.3289</v>
      </c>
      <c r="M3642" s="26" t="n">
        <v>17.2657</v>
      </c>
    </row>
    <row r="3643" ht="16" customHeight="1">
      <c r="A3643" t="inlineStr">
        <is>
          <t>29-Jun-2026</t>
        </is>
      </c>
      <c r="B3643" t="inlineStr">
        <is>
          <t>Monday</t>
        </is>
      </c>
      <c r="C3643" t="inlineStr">
        <is>
          <t>Week5-Jun-2026</t>
        </is>
      </c>
      <c r="D3643" s="78" t="n">
        <v>46174</v>
      </c>
      <c r="E3643" t="inlineStr">
        <is>
          <t>Q1FY27</t>
        </is>
      </c>
      <c r="F3643" t="inlineStr">
        <is>
          <t>04-Aug-2026</t>
        </is>
      </c>
      <c r="G3643" t="inlineStr">
        <is>
          <t>Tuesday</t>
        </is>
      </c>
      <c r="H3643" t="inlineStr">
        <is>
          <t>Weekly - Tuesday</t>
        </is>
      </c>
      <c r="I3643" t="inlineStr">
        <is>
          <t>Weekly - Tuesday</t>
        </is>
      </c>
      <c r="J3643" t="inlineStr">
        <is>
          <t>Month+2 Expiry</t>
        </is>
      </c>
      <c r="K3643" s="25" t="n">
        <v>893</v>
      </c>
      <c r="L3643" s="26" t="n">
        <v>1.4079</v>
      </c>
      <c r="M3643" s="26" t="n">
        <v>0.008699999999999999</v>
      </c>
    </row>
    <row r="3644" ht="16" customHeight="1">
      <c r="A3644" t="inlineStr">
        <is>
          <t>29-Jun-2026</t>
        </is>
      </c>
      <c r="B3644" t="inlineStr">
        <is>
          <t>Monday</t>
        </is>
      </c>
      <c r="C3644" t="inlineStr">
        <is>
          <t>Week5-Jun-2026</t>
        </is>
      </c>
      <c r="D3644" s="78" t="n">
        <v>46174</v>
      </c>
      <c r="E3644" t="inlineStr">
        <is>
          <t>Q1FY27</t>
        </is>
      </c>
      <c r="F3644" t="inlineStr">
        <is>
          <t>25-Aug-2026</t>
        </is>
      </c>
      <c r="G3644" t="inlineStr">
        <is>
          <t>Tuesday</t>
        </is>
      </c>
      <c r="H3644" t="inlineStr">
        <is>
          <t>Monthly - Tuesday</t>
        </is>
      </c>
      <c r="I3644" t="inlineStr">
        <is>
          <t>Monthly - Tuesday</t>
        </is>
      </c>
      <c r="J3644" t="inlineStr">
        <is>
          <t>Month+2 Expiry</t>
        </is>
      </c>
      <c r="K3644" s="25" t="n">
        <v>71463</v>
      </c>
      <c r="L3644" s="26" t="n">
        <v>113.8691</v>
      </c>
      <c r="M3644" s="26" t="n">
        <v>1.3403</v>
      </c>
    </row>
    <row r="3645" ht="16" customHeight="1">
      <c r="A3645" t="inlineStr">
        <is>
          <t>29-Jun-2026</t>
        </is>
      </c>
      <c r="B3645" t="inlineStr">
        <is>
          <t>Monday</t>
        </is>
      </c>
      <c r="C3645" t="inlineStr">
        <is>
          <t>Week5-Jun-2026</t>
        </is>
      </c>
      <c r="D3645" s="78" t="n">
        <v>46174</v>
      </c>
      <c r="E3645" t="inlineStr">
        <is>
          <t>Q1FY27</t>
        </is>
      </c>
      <c r="F3645" t="inlineStr">
        <is>
          <t>29-Sep-2026</t>
        </is>
      </c>
      <c r="G3645" t="inlineStr">
        <is>
          <t>Tuesday</t>
        </is>
      </c>
      <c r="H3645" t="inlineStr">
        <is>
          <t>Monthly - Tuesday</t>
        </is>
      </c>
      <c r="I3645" t="inlineStr">
        <is>
          <t>Monthly - Tuesday</t>
        </is>
      </c>
      <c r="J3645" t="inlineStr">
        <is>
          <t>Month+3 Expiry</t>
        </is>
      </c>
      <c r="K3645" s="25" t="n">
        <v>59415</v>
      </c>
      <c r="L3645" s="26" t="n">
        <v>97.8432</v>
      </c>
      <c r="M3645" s="26" t="n">
        <v>3.4431</v>
      </c>
    </row>
    <row r="3646" ht="16" customHeight="1">
      <c r="A3646" t="inlineStr">
        <is>
          <t>29-Jun-2026</t>
        </is>
      </c>
      <c r="B3646" t="inlineStr">
        <is>
          <t>Monday</t>
        </is>
      </c>
      <c r="C3646" t="inlineStr">
        <is>
          <t>Week5-Jun-2026</t>
        </is>
      </c>
      <c r="D3646" s="78" t="n">
        <v>46174</v>
      </c>
      <c r="E3646" t="inlineStr">
        <is>
          <t>Q1FY27</t>
        </is>
      </c>
      <c r="F3646" t="inlineStr">
        <is>
          <t>29-Dec-2026</t>
        </is>
      </c>
      <c r="G3646" t="inlineStr">
        <is>
          <t>Tuesday</t>
        </is>
      </c>
      <c r="H3646" t="inlineStr">
        <is>
          <t>Monthly - Tuesday</t>
        </is>
      </c>
      <c r="I3646" t="inlineStr">
        <is>
          <t>Monthly - Tuesday</t>
        </is>
      </c>
      <c r="J3646" t="inlineStr">
        <is>
          <t>Month+6 Expiry</t>
        </is>
      </c>
      <c r="K3646" s="25" t="n">
        <v>47928</v>
      </c>
      <c r="L3646" s="26" t="n">
        <v>78.8224</v>
      </c>
      <c r="M3646" s="26" t="n">
        <v>2.8278</v>
      </c>
    </row>
    <row r="3647" ht="16" customHeight="1">
      <c r="A3647" t="inlineStr">
        <is>
          <t>29-Jun-2026</t>
        </is>
      </c>
      <c r="B3647" t="inlineStr">
        <is>
          <t>Monday</t>
        </is>
      </c>
      <c r="C3647" t="inlineStr">
        <is>
          <t>Week5-Jun-2026</t>
        </is>
      </c>
      <c r="D3647" s="78" t="n">
        <v>46174</v>
      </c>
      <c r="E3647" t="inlineStr">
        <is>
          <t>Q1FY27</t>
        </is>
      </c>
      <c r="F3647" t="inlineStr">
        <is>
          <t>30-Mar-2027</t>
        </is>
      </c>
      <c r="G3647" t="inlineStr">
        <is>
          <t>Tuesday</t>
        </is>
      </c>
      <c r="H3647" t="inlineStr">
        <is>
          <t>Monthly - Tuesday</t>
        </is>
      </c>
      <c r="I3647" t="inlineStr">
        <is>
          <t>Monthly - Tuesday</t>
        </is>
      </c>
      <c r="J3647" t="inlineStr">
        <is>
          <t>Month+9 Expiry</t>
        </is>
      </c>
      <c r="K3647" s="25" t="n">
        <v>261</v>
      </c>
      <c r="L3647" s="26" t="n">
        <v>0.4249</v>
      </c>
      <c r="M3647" s="26" t="n">
        <v>0.0066</v>
      </c>
    </row>
    <row r="3648" ht="16" customHeight="1">
      <c r="A3648" t="inlineStr">
        <is>
          <t>29-Jun-2026</t>
        </is>
      </c>
      <c r="B3648" t="inlineStr">
        <is>
          <t>Monday</t>
        </is>
      </c>
      <c r="C3648" t="inlineStr">
        <is>
          <t>Week5-Jun-2026</t>
        </is>
      </c>
      <c r="D3648" s="78" t="n">
        <v>46174</v>
      </c>
      <c r="E3648" t="inlineStr">
        <is>
          <t>Q1FY27</t>
        </is>
      </c>
      <c r="F3648" t="inlineStr">
        <is>
          <t>29-Jun-2027</t>
        </is>
      </c>
      <c r="G3648" t="inlineStr">
        <is>
          <t>Tuesday</t>
        </is>
      </c>
      <c r="H3648" t="inlineStr">
        <is>
          <t>Monthly - Tuesday</t>
        </is>
      </c>
      <c r="I3648" t="inlineStr">
        <is>
          <t>Monthly - Tuesday</t>
        </is>
      </c>
      <c r="J3648" t="inlineStr">
        <is>
          <t>Month+12 Expiry</t>
        </is>
      </c>
      <c r="K3648" s="25" t="n">
        <v>1</v>
      </c>
      <c r="L3648" s="26" t="n">
        <v>0.0022</v>
      </c>
      <c r="M3648" s="26" t="n">
        <v>0.0003</v>
      </c>
    </row>
    <row r="3649" ht="16" customHeight="1">
      <c r="A3649" t="inlineStr">
        <is>
          <t>29-Jun-2026</t>
        </is>
      </c>
      <c r="B3649" t="inlineStr">
        <is>
          <t>Monday</t>
        </is>
      </c>
      <c r="C3649" t="inlineStr">
        <is>
          <t>Week5-Jun-2026</t>
        </is>
      </c>
      <c r="D3649" s="78" t="n">
        <v>46174</v>
      </c>
      <c r="E3649" t="inlineStr">
        <is>
          <t>Q1FY27</t>
        </is>
      </c>
      <c r="F3649" t="inlineStr">
        <is>
          <t>28-Dec-2027</t>
        </is>
      </c>
      <c r="G3649" t="inlineStr">
        <is>
          <t>Tuesday</t>
        </is>
      </c>
      <c r="H3649" t="inlineStr">
        <is>
          <t>Monthly - Tuesday</t>
        </is>
      </c>
      <c r="I3649" t="inlineStr">
        <is>
          <t>Monthly - Tuesday</t>
        </is>
      </c>
      <c r="J3649" t="inlineStr">
        <is>
          <t>Month+18 Expiry</t>
        </is>
      </c>
      <c r="K3649" s="25" t="n">
        <v>311</v>
      </c>
      <c r="L3649" s="26" t="n">
        <v>0.5286</v>
      </c>
      <c r="M3649" s="26" t="n">
        <v>0.0224</v>
      </c>
    </row>
    <row r="3650" ht="16" customHeight="1">
      <c r="A3650" t="inlineStr">
        <is>
          <t>29-Jun-2026</t>
        </is>
      </c>
      <c r="B3650" t="inlineStr">
        <is>
          <t>Monday</t>
        </is>
      </c>
      <c r="C3650" t="inlineStr">
        <is>
          <t>Week5-Jun-2026</t>
        </is>
      </c>
      <c r="D3650" s="78" t="n">
        <v>46174</v>
      </c>
      <c r="E3650" t="inlineStr">
        <is>
          <t>Q1FY27</t>
        </is>
      </c>
      <c r="F3650" t="inlineStr">
        <is>
          <t>27-Jun-2028</t>
        </is>
      </c>
      <c r="G3650" t="inlineStr">
        <is>
          <t>Tuesday</t>
        </is>
      </c>
      <c r="H3650" t="inlineStr">
        <is>
          <t>Monthly - Tuesday</t>
        </is>
      </c>
      <c r="I3650" t="inlineStr">
        <is>
          <t>Monthly - Tuesday</t>
        </is>
      </c>
      <c r="J3650" t="inlineStr">
        <is>
          <t>Month+24 Expiry</t>
        </is>
      </c>
      <c r="K3650" s="25" t="n">
        <v>0</v>
      </c>
      <c r="L3650" s="26" t="n">
        <v>0</v>
      </c>
      <c r="M3650" s="26" t="n">
        <v>0</v>
      </c>
    </row>
    <row r="3651" ht="16" customHeight="1">
      <c r="A3651" t="inlineStr">
        <is>
          <t>29-Jun-2026</t>
        </is>
      </c>
      <c r="B3651" t="inlineStr">
        <is>
          <t>Monday</t>
        </is>
      </c>
      <c r="C3651" t="inlineStr">
        <is>
          <t>Week5-Jun-2026</t>
        </is>
      </c>
      <c r="D3651" s="78" t="n">
        <v>46174</v>
      </c>
      <c r="E3651" t="inlineStr">
        <is>
          <t>Q1FY27</t>
        </is>
      </c>
      <c r="F3651" t="inlineStr">
        <is>
          <t>26-Dec-2028</t>
        </is>
      </c>
      <c r="G3651" t="inlineStr">
        <is>
          <t>Tuesday</t>
        </is>
      </c>
      <c r="H3651" t="inlineStr">
        <is>
          <t>Monthly - Tuesday</t>
        </is>
      </c>
      <c r="I3651" t="inlineStr">
        <is>
          <t>Monthly - Tuesday</t>
        </is>
      </c>
      <c r="J3651" t="inlineStr">
        <is>
          <t>Month+30 Expiry</t>
        </is>
      </c>
      <c r="K3651" s="25" t="n">
        <v>31</v>
      </c>
      <c r="L3651" s="26" t="n">
        <v>0.0589</v>
      </c>
      <c r="M3651" s="26" t="n">
        <v>0.0032</v>
      </c>
    </row>
    <row r="3652" ht="16" customHeight="1">
      <c r="A3652" t="inlineStr">
        <is>
          <t>29-Jun-2026</t>
        </is>
      </c>
      <c r="B3652" t="inlineStr">
        <is>
          <t>Monday</t>
        </is>
      </c>
      <c r="C3652" t="inlineStr">
        <is>
          <t>Week5-Jun-2026</t>
        </is>
      </c>
      <c r="D3652" s="78" t="n">
        <v>46174</v>
      </c>
      <c r="E3652" t="inlineStr">
        <is>
          <t>Q1FY27</t>
        </is>
      </c>
      <c r="F3652" t="inlineStr">
        <is>
          <t>26-Jun-2029</t>
        </is>
      </c>
      <c r="G3652" t="inlineStr">
        <is>
          <t>Tuesday</t>
        </is>
      </c>
      <c r="H3652" t="inlineStr">
        <is>
          <t>Monthly - Tuesday</t>
        </is>
      </c>
      <c r="I3652" t="inlineStr">
        <is>
          <t>Monthly - Tuesday</t>
        </is>
      </c>
      <c r="J3652" t="inlineStr">
        <is>
          <t>Month+36 Expiry</t>
        </is>
      </c>
      <c r="K3652" s="25" t="n">
        <v>0</v>
      </c>
      <c r="L3652" s="26" t="n">
        <v>0</v>
      </c>
      <c r="M3652" s="26" t="n">
        <v>0</v>
      </c>
    </row>
    <row r="3653" ht="16" customHeight="1">
      <c r="A3653" t="inlineStr">
        <is>
          <t>29-Jun-2026</t>
        </is>
      </c>
      <c r="B3653" t="inlineStr">
        <is>
          <t>Monday</t>
        </is>
      </c>
      <c r="C3653" t="inlineStr">
        <is>
          <t>Week5-Jun-2026</t>
        </is>
      </c>
      <c r="D3653" s="78" t="n">
        <v>46174</v>
      </c>
      <c r="E3653" t="inlineStr">
        <is>
          <t>Q1FY27</t>
        </is>
      </c>
      <c r="F3653" t="inlineStr">
        <is>
          <t>24-Dec-2029</t>
        </is>
      </c>
      <c r="G3653" t="inlineStr">
        <is>
          <t>Monday</t>
        </is>
      </c>
      <c r="H3653" t="inlineStr">
        <is>
          <t>Weekly - Monday</t>
        </is>
      </c>
      <c r="I3653" t="inlineStr">
        <is>
          <t>Weekly - Monday</t>
        </is>
      </c>
      <c r="J3653" t="inlineStr">
        <is>
          <t>Month+42 Expiry</t>
        </is>
      </c>
      <c r="K3653" s="25" t="n">
        <v>3</v>
      </c>
      <c r="L3653" s="26" t="n">
        <v>0.0047</v>
      </c>
      <c r="M3653" s="26" t="n">
        <v>0.0002</v>
      </c>
    </row>
    <row r="3654" ht="16" customHeight="1">
      <c r="A3654" t="inlineStr">
        <is>
          <t>29-Jun-2026</t>
        </is>
      </c>
      <c r="B3654" t="inlineStr">
        <is>
          <t>Monday</t>
        </is>
      </c>
      <c r="C3654" t="inlineStr">
        <is>
          <t>Week5-Jun-2026</t>
        </is>
      </c>
      <c r="D3654" s="78" t="n">
        <v>46174</v>
      </c>
      <c r="E3654" t="inlineStr">
        <is>
          <t>Q1FY27</t>
        </is>
      </c>
      <c r="F3654" t="inlineStr">
        <is>
          <t>25-Jun-2030</t>
        </is>
      </c>
      <c r="G3654" t="inlineStr">
        <is>
          <t>Tuesday</t>
        </is>
      </c>
      <c r="H3654" t="inlineStr">
        <is>
          <t>Monthly - Tuesday</t>
        </is>
      </c>
      <c r="I3654" t="inlineStr">
        <is>
          <t>Monthly - Tuesday</t>
        </is>
      </c>
      <c r="J3654" t="inlineStr">
        <is>
          <t>Month+48 Expiry</t>
        </is>
      </c>
      <c r="K3654" s="25" t="n">
        <v>0</v>
      </c>
      <c r="L3654" s="26" t="n">
        <v>0</v>
      </c>
      <c r="M3654" s="26" t="n">
        <v>0</v>
      </c>
    </row>
    <row r="3655" ht="16" customHeight="1">
      <c r="A3655" t="inlineStr">
        <is>
          <t>29-Jun-2026</t>
        </is>
      </c>
      <c r="B3655" t="inlineStr">
        <is>
          <t>Monday</t>
        </is>
      </c>
      <c r="C3655" t="inlineStr">
        <is>
          <t>Week5-Jun-2026</t>
        </is>
      </c>
      <c r="D3655" s="78" t="n">
        <v>46174</v>
      </c>
      <c r="E3655" t="inlineStr">
        <is>
          <t>Q1FY27</t>
        </is>
      </c>
      <c r="F3655" t="inlineStr">
        <is>
          <t>31-Dec-2030</t>
        </is>
      </c>
      <c r="G3655" t="inlineStr">
        <is>
          <t>Tuesday</t>
        </is>
      </c>
      <c r="H3655" t="inlineStr">
        <is>
          <t>Monthly - Tuesday</t>
        </is>
      </c>
      <c r="I3655" t="inlineStr">
        <is>
          <t>Monthly - Tuesday</t>
        </is>
      </c>
      <c r="J3655" t="inlineStr">
        <is>
          <t>Month+54 Expiry</t>
        </is>
      </c>
      <c r="K3655" s="25" t="n">
        <v>0</v>
      </c>
      <c r="L3655" s="26" t="n">
        <v>0</v>
      </c>
      <c r="M3655" s="26" t="n">
        <v>0</v>
      </c>
    </row>
    <row r="3656" ht="16" customHeight="1">
      <c r="A3656" t="inlineStr">
        <is>
          <t>30-Jun-2026</t>
        </is>
      </c>
      <c r="B3656" t="inlineStr">
        <is>
          <t>Tuesday</t>
        </is>
      </c>
      <c r="C3656" t="inlineStr">
        <is>
          <t>Week5-Jun-2026</t>
        </is>
      </c>
      <c r="D3656" s="78" t="n">
        <v>46174</v>
      </c>
      <c r="E3656" t="inlineStr">
        <is>
          <t>Q1FY27</t>
        </is>
      </c>
      <c r="F3656" t="inlineStr">
        <is>
          <t>30-Jun-2026</t>
        </is>
      </c>
      <c r="G3656" t="inlineStr">
        <is>
          <t>Tuesday</t>
        </is>
      </c>
      <c r="H3656" t="inlineStr">
        <is>
          <t>Monthly - Tuesday</t>
        </is>
      </c>
      <c r="I3656" t="inlineStr">
        <is>
          <t>MDAW - Tuesday</t>
        </is>
      </c>
      <c r="J3656" t="inlineStr">
        <is>
          <t>Same Month Expiry</t>
        </is>
      </c>
      <c r="K3656" s="25" t="n">
        <v>362123740</v>
      </c>
      <c r="L3656" s="26" t="n">
        <v>564057.4428</v>
      </c>
      <c r="M3656" s="26" t="n">
        <v>580.4766</v>
      </c>
    </row>
    <row r="3657" ht="16" customHeight="1">
      <c r="A3657" t="inlineStr">
        <is>
          <t>30-Jun-2026</t>
        </is>
      </c>
      <c r="B3657" t="inlineStr">
        <is>
          <t>Tuesday</t>
        </is>
      </c>
      <c r="C3657" t="inlineStr">
        <is>
          <t>Week5-Jun-2026</t>
        </is>
      </c>
      <c r="D3657" s="78" t="n">
        <v>46174</v>
      </c>
      <c r="E3657" t="inlineStr">
        <is>
          <t>Q1FY27</t>
        </is>
      </c>
      <c r="F3657" t="inlineStr">
        <is>
          <t>07-Jul-2026</t>
        </is>
      </c>
      <c r="G3657" t="inlineStr">
        <is>
          <t>Tuesday</t>
        </is>
      </c>
      <c r="H3657" t="inlineStr">
        <is>
          <t>Weekly - Tuesday</t>
        </is>
      </c>
      <c r="I3657" t="inlineStr">
        <is>
          <t>Weekly - Tuesday</t>
        </is>
      </c>
      <c r="J3657" t="inlineStr">
        <is>
          <t>Month+1 Expiry</t>
        </is>
      </c>
      <c r="K3657" s="25" t="n">
        <v>11309655</v>
      </c>
      <c r="L3657" s="26" t="n">
        <v>17715.3821</v>
      </c>
      <c r="M3657" s="26" t="n">
        <v>60.3124</v>
      </c>
    </row>
    <row r="3658" ht="16" customHeight="1">
      <c r="A3658" t="inlineStr">
        <is>
          <t>30-Jun-2026</t>
        </is>
      </c>
      <c r="B3658" t="inlineStr">
        <is>
          <t>Tuesday</t>
        </is>
      </c>
      <c r="C3658" t="inlineStr">
        <is>
          <t>Week5-Jun-2026</t>
        </is>
      </c>
      <c r="D3658" s="78" t="n">
        <v>46174</v>
      </c>
      <c r="E3658" t="inlineStr">
        <is>
          <t>Q1FY27</t>
        </is>
      </c>
      <c r="F3658" t="inlineStr">
        <is>
          <t>14-Jul-2026</t>
        </is>
      </c>
      <c r="G3658" t="inlineStr">
        <is>
          <t>Tuesday</t>
        </is>
      </c>
      <c r="H3658" t="inlineStr">
        <is>
          <t>Weekly - Tuesday</t>
        </is>
      </c>
      <c r="I3658" t="inlineStr">
        <is>
          <t>Weekly - Tuesday</t>
        </is>
      </c>
      <c r="J3658" t="inlineStr">
        <is>
          <t>Month+1 Expiry</t>
        </is>
      </c>
      <c r="K3658" s="25" t="n">
        <v>445861</v>
      </c>
      <c r="L3658" s="26" t="n">
        <v>698.6328999999999</v>
      </c>
      <c r="M3658" s="26" t="n">
        <v>3.3366</v>
      </c>
    </row>
    <row r="3659" ht="16" customHeight="1">
      <c r="A3659" t="inlineStr">
        <is>
          <t>30-Jun-2026</t>
        </is>
      </c>
      <c r="B3659" t="inlineStr">
        <is>
          <t>Tuesday</t>
        </is>
      </c>
      <c r="C3659" t="inlineStr">
        <is>
          <t>Week5-Jun-2026</t>
        </is>
      </c>
      <c r="D3659" s="78" t="n">
        <v>46174</v>
      </c>
      <c r="E3659" t="inlineStr">
        <is>
          <t>Q1FY27</t>
        </is>
      </c>
      <c r="F3659" t="inlineStr">
        <is>
          <t>21-Jul-2026</t>
        </is>
      </c>
      <c r="G3659" t="inlineStr">
        <is>
          <t>Tuesday</t>
        </is>
      </c>
      <c r="H3659" t="inlineStr">
        <is>
          <t>Weekly - Tuesday</t>
        </is>
      </c>
      <c r="I3659" t="inlineStr">
        <is>
          <t>Weekly - Tuesday</t>
        </is>
      </c>
      <c r="J3659" t="inlineStr">
        <is>
          <t>Month+1 Expiry</t>
        </is>
      </c>
      <c r="K3659" s="25" t="n">
        <v>34331</v>
      </c>
      <c r="L3659" s="26" t="n">
        <v>53.9386</v>
      </c>
      <c r="M3659" s="26" t="n">
        <v>0.3832</v>
      </c>
    </row>
    <row r="3660" ht="16" customHeight="1">
      <c r="A3660" t="inlineStr">
        <is>
          <t>30-Jun-2026</t>
        </is>
      </c>
      <c r="B3660" t="inlineStr">
        <is>
          <t>Tuesday</t>
        </is>
      </c>
      <c r="C3660" t="inlineStr">
        <is>
          <t>Week5-Jun-2026</t>
        </is>
      </c>
      <c r="D3660" s="78" t="n">
        <v>46174</v>
      </c>
      <c r="E3660" t="inlineStr">
        <is>
          <t>Q1FY27</t>
        </is>
      </c>
      <c r="F3660" t="inlineStr">
        <is>
          <t>28-Jul-2026</t>
        </is>
      </c>
      <c r="G3660" t="inlineStr">
        <is>
          <t>Tuesday</t>
        </is>
      </c>
      <c r="H3660" t="inlineStr">
        <is>
          <t>Monthly - Tuesday</t>
        </is>
      </c>
      <c r="I3660" t="inlineStr">
        <is>
          <t>Monthly - Tuesday</t>
        </is>
      </c>
      <c r="J3660" t="inlineStr">
        <is>
          <t>Month+1 Expiry</t>
        </is>
      </c>
      <c r="K3660" s="25" t="n">
        <v>1085489</v>
      </c>
      <c r="L3660" s="26" t="n">
        <v>1718.9773</v>
      </c>
      <c r="M3660" s="26" t="n">
        <v>20.2398</v>
      </c>
    </row>
    <row r="3661" ht="16" customHeight="1">
      <c r="A3661" t="inlineStr">
        <is>
          <t>30-Jun-2026</t>
        </is>
      </c>
      <c r="B3661" t="inlineStr">
        <is>
          <t>Tuesday</t>
        </is>
      </c>
      <c r="C3661" t="inlineStr">
        <is>
          <t>Week5-Jun-2026</t>
        </is>
      </c>
      <c r="D3661" s="78" t="n">
        <v>46174</v>
      </c>
      <c r="E3661" t="inlineStr">
        <is>
          <t>Q1FY27</t>
        </is>
      </c>
      <c r="F3661" t="inlineStr">
        <is>
          <t>04-Aug-2026</t>
        </is>
      </c>
      <c r="G3661" t="inlineStr">
        <is>
          <t>Tuesday</t>
        </is>
      </c>
      <c r="H3661" t="inlineStr">
        <is>
          <t>Weekly - Tuesday</t>
        </is>
      </c>
      <c r="I3661" t="inlineStr">
        <is>
          <t>Weekly - Tuesday</t>
        </is>
      </c>
      <c r="J3661" t="inlineStr">
        <is>
          <t>Month+2 Expiry</t>
        </is>
      </c>
      <c r="K3661" s="25" t="n">
        <v>1140</v>
      </c>
      <c r="L3661" s="26" t="n">
        <v>1.7888</v>
      </c>
      <c r="M3661" s="26" t="n">
        <v>0.009599999999999999</v>
      </c>
    </row>
    <row r="3662" ht="16" customHeight="1">
      <c r="A3662" t="inlineStr">
        <is>
          <t>30-Jun-2026</t>
        </is>
      </c>
      <c r="B3662" t="inlineStr">
        <is>
          <t>Tuesday</t>
        </is>
      </c>
      <c r="C3662" t="inlineStr">
        <is>
          <t>Week5-Jun-2026</t>
        </is>
      </c>
      <c r="D3662" s="78" t="n">
        <v>46174</v>
      </c>
      <c r="E3662" t="inlineStr">
        <is>
          <t>Q1FY27</t>
        </is>
      </c>
      <c r="F3662" t="inlineStr">
        <is>
          <t>25-Aug-2026</t>
        </is>
      </c>
      <c r="G3662" t="inlineStr">
        <is>
          <t>Tuesday</t>
        </is>
      </c>
      <c r="H3662" t="inlineStr">
        <is>
          <t>Monthly - Tuesday</t>
        </is>
      </c>
      <c r="I3662" t="inlineStr">
        <is>
          <t>Monthly - Tuesday</t>
        </is>
      </c>
      <c r="J3662" t="inlineStr">
        <is>
          <t>Month+2 Expiry</t>
        </is>
      </c>
      <c r="K3662" s="25" t="n">
        <v>81035</v>
      </c>
      <c r="L3662" s="26" t="n">
        <v>128.508</v>
      </c>
      <c r="M3662" s="26" t="n">
        <v>1.4663</v>
      </c>
    </row>
    <row r="3663" ht="16" customHeight="1">
      <c r="A3663" t="inlineStr">
        <is>
          <t>30-Jun-2026</t>
        </is>
      </c>
      <c r="B3663" t="inlineStr">
        <is>
          <t>Tuesday</t>
        </is>
      </c>
      <c r="C3663" t="inlineStr">
        <is>
          <t>Week5-Jun-2026</t>
        </is>
      </c>
      <c r="D3663" s="78" t="n">
        <v>46174</v>
      </c>
      <c r="E3663" t="inlineStr">
        <is>
          <t>Q1FY27</t>
        </is>
      </c>
      <c r="F3663" t="inlineStr">
        <is>
          <t>29-Sep-2026</t>
        </is>
      </c>
      <c r="G3663" t="inlineStr">
        <is>
          <t>Tuesday</t>
        </is>
      </c>
      <c r="H3663" t="inlineStr">
        <is>
          <t>Monthly - Tuesday</t>
        </is>
      </c>
      <c r="I3663" t="inlineStr">
        <is>
          <t>Monthly - Tuesday</t>
        </is>
      </c>
      <c r="J3663" t="inlineStr">
        <is>
          <t>Month+3 Expiry</t>
        </is>
      </c>
      <c r="K3663" s="25" t="n">
        <v>60544</v>
      </c>
      <c r="L3663" s="26" t="n">
        <v>99.6268</v>
      </c>
      <c r="M3663" s="26" t="n">
        <v>2.9672</v>
      </c>
    </row>
    <row r="3664" ht="16" customHeight="1">
      <c r="A3664" t="inlineStr">
        <is>
          <t>30-Jun-2026</t>
        </is>
      </c>
      <c r="B3664" t="inlineStr">
        <is>
          <t>Tuesday</t>
        </is>
      </c>
      <c r="C3664" t="inlineStr">
        <is>
          <t>Week5-Jun-2026</t>
        </is>
      </c>
      <c r="D3664" s="78" t="n">
        <v>46174</v>
      </c>
      <c r="E3664" t="inlineStr">
        <is>
          <t>Q1FY27</t>
        </is>
      </c>
      <c r="F3664" t="inlineStr">
        <is>
          <t>29-Dec-2026</t>
        </is>
      </c>
      <c r="G3664" t="inlineStr">
        <is>
          <t>Tuesday</t>
        </is>
      </c>
      <c r="H3664" t="inlineStr">
        <is>
          <t>Monthly - Tuesday</t>
        </is>
      </c>
      <c r="I3664" t="inlineStr">
        <is>
          <t>Monthly - Tuesday</t>
        </is>
      </c>
      <c r="J3664" t="inlineStr">
        <is>
          <t>Month+6 Expiry</t>
        </is>
      </c>
      <c r="K3664" s="25" t="n">
        <v>50969</v>
      </c>
      <c r="L3664" s="26" t="n">
        <v>82.68940000000001</v>
      </c>
      <c r="M3664" s="26" t="n">
        <v>2.125</v>
      </c>
    </row>
    <row r="3665" ht="16" customHeight="1">
      <c r="A3665" t="inlineStr">
        <is>
          <t>30-Jun-2026</t>
        </is>
      </c>
      <c r="B3665" t="inlineStr">
        <is>
          <t>Tuesday</t>
        </is>
      </c>
      <c r="C3665" t="inlineStr">
        <is>
          <t>Week5-Jun-2026</t>
        </is>
      </c>
      <c r="D3665" s="78" t="n">
        <v>46174</v>
      </c>
      <c r="E3665" t="inlineStr">
        <is>
          <t>Q1FY27</t>
        </is>
      </c>
      <c r="F3665" t="inlineStr">
        <is>
          <t>30-Mar-2027</t>
        </is>
      </c>
      <c r="G3665" t="inlineStr">
        <is>
          <t>Tuesday</t>
        </is>
      </c>
      <c r="H3665" t="inlineStr">
        <is>
          <t>Monthly - Tuesday</t>
        </is>
      </c>
      <c r="I3665" t="inlineStr">
        <is>
          <t>Monthly - Tuesday</t>
        </is>
      </c>
      <c r="J3665" t="inlineStr">
        <is>
          <t>Month+9 Expiry</t>
        </is>
      </c>
      <c r="K3665" s="25" t="n">
        <v>561</v>
      </c>
      <c r="L3665" s="26" t="n">
        <v>0.8346</v>
      </c>
      <c r="M3665" s="26" t="n">
        <v>0.0095</v>
      </c>
    </row>
    <row r="3666" ht="16" customHeight="1">
      <c r="A3666" t="inlineStr">
        <is>
          <t>30-Jun-2026</t>
        </is>
      </c>
      <c r="B3666" t="inlineStr">
        <is>
          <t>Tuesday</t>
        </is>
      </c>
      <c r="C3666" t="inlineStr">
        <is>
          <t>Week5-Jun-2026</t>
        </is>
      </c>
      <c r="D3666" s="78" t="n">
        <v>46174</v>
      </c>
      <c r="E3666" t="inlineStr">
        <is>
          <t>Q1FY27</t>
        </is>
      </c>
      <c r="F3666" t="inlineStr">
        <is>
          <t>29-Jun-2027</t>
        </is>
      </c>
      <c r="G3666" t="inlineStr">
        <is>
          <t>Tuesday</t>
        </is>
      </c>
      <c r="H3666" t="inlineStr">
        <is>
          <t>Monthly - Tuesday</t>
        </is>
      </c>
      <c r="I3666" t="inlineStr">
        <is>
          <t>Monthly - Tuesday</t>
        </is>
      </c>
      <c r="J3666" t="inlineStr">
        <is>
          <t>Month+12 Expiry</t>
        </is>
      </c>
      <c r="K3666" s="25" t="n">
        <v>1</v>
      </c>
      <c r="L3666" s="26" t="n">
        <v>0.0014</v>
      </c>
      <c r="M3666" s="26" t="n">
        <v>0</v>
      </c>
    </row>
    <row r="3667" ht="16" customHeight="1">
      <c r="A3667" t="inlineStr">
        <is>
          <t>30-Jun-2026</t>
        </is>
      </c>
      <c r="B3667" t="inlineStr">
        <is>
          <t>Tuesday</t>
        </is>
      </c>
      <c r="C3667" t="inlineStr">
        <is>
          <t>Week5-Jun-2026</t>
        </is>
      </c>
      <c r="D3667" s="78" t="n">
        <v>46174</v>
      </c>
      <c r="E3667" t="inlineStr">
        <is>
          <t>Q1FY27</t>
        </is>
      </c>
      <c r="F3667" t="inlineStr">
        <is>
          <t>28-Dec-2027</t>
        </is>
      </c>
      <c r="G3667" t="inlineStr">
        <is>
          <t>Tuesday</t>
        </is>
      </c>
      <c r="H3667" t="inlineStr">
        <is>
          <t>Monthly - Tuesday</t>
        </is>
      </c>
      <c r="I3667" t="inlineStr">
        <is>
          <t>Monthly - Tuesday</t>
        </is>
      </c>
      <c r="J3667" t="inlineStr">
        <is>
          <t>Month+18 Expiry</t>
        </is>
      </c>
      <c r="K3667" s="25" t="n">
        <v>257</v>
      </c>
      <c r="L3667" s="26" t="n">
        <v>0.4295</v>
      </c>
      <c r="M3667" s="26" t="n">
        <v>0.0191</v>
      </c>
    </row>
    <row r="3668" ht="16" customHeight="1">
      <c r="A3668" t="inlineStr">
        <is>
          <t>30-Jun-2026</t>
        </is>
      </c>
      <c r="B3668" t="inlineStr">
        <is>
          <t>Tuesday</t>
        </is>
      </c>
      <c r="C3668" t="inlineStr">
        <is>
          <t>Week5-Jun-2026</t>
        </is>
      </c>
      <c r="D3668" s="78" t="n">
        <v>46174</v>
      </c>
      <c r="E3668" t="inlineStr">
        <is>
          <t>Q1FY27</t>
        </is>
      </c>
      <c r="F3668" t="inlineStr">
        <is>
          <t>27-Jun-2028</t>
        </is>
      </c>
      <c r="G3668" t="inlineStr">
        <is>
          <t>Tuesday</t>
        </is>
      </c>
      <c r="H3668" t="inlineStr">
        <is>
          <t>Monthly - Tuesday</t>
        </is>
      </c>
      <c r="I3668" t="inlineStr">
        <is>
          <t>Monthly - Tuesday</t>
        </is>
      </c>
      <c r="J3668" t="inlineStr">
        <is>
          <t>Month+24 Expiry</t>
        </is>
      </c>
      <c r="K3668" s="25" t="n">
        <v>0</v>
      </c>
      <c r="L3668" s="26" t="n">
        <v>0</v>
      </c>
      <c r="M3668" s="26" t="n">
        <v>0</v>
      </c>
    </row>
    <row r="3669" ht="16" customHeight="1">
      <c r="A3669" t="inlineStr">
        <is>
          <t>30-Jun-2026</t>
        </is>
      </c>
      <c r="B3669" t="inlineStr">
        <is>
          <t>Tuesday</t>
        </is>
      </c>
      <c r="C3669" t="inlineStr">
        <is>
          <t>Week5-Jun-2026</t>
        </is>
      </c>
      <c r="D3669" s="78" t="n">
        <v>46174</v>
      </c>
      <c r="E3669" t="inlineStr">
        <is>
          <t>Q1FY27</t>
        </is>
      </c>
      <c r="F3669" t="inlineStr">
        <is>
          <t>26-Dec-2028</t>
        </is>
      </c>
      <c r="G3669" t="inlineStr">
        <is>
          <t>Tuesday</t>
        </is>
      </c>
      <c r="H3669" t="inlineStr">
        <is>
          <t>Monthly - Tuesday</t>
        </is>
      </c>
      <c r="I3669" t="inlineStr">
        <is>
          <t>Monthly - Tuesday</t>
        </is>
      </c>
      <c r="J3669" t="inlineStr">
        <is>
          <t>Month+30 Expiry</t>
        </is>
      </c>
      <c r="K3669" s="25" t="n">
        <v>26</v>
      </c>
      <c r="L3669" s="26" t="n">
        <v>0.0482</v>
      </c>
      <c r="M3669" s="26" t="n">
        <v>0.003</v>
      </c>
    </row>
    <row r="3670" ht="16" customHeight="1">
      <c r="A3670" t="inlineStr">
        <is>
          <t>30-Jun-2026</t>
        </is>
      </c>
      <c r="B3670" t="inlineStr">
        <is>
          <t>Tuesday</t>
        </is>
      </c>
      <c r="C3670" t="inlineStr">
        <is>
          <t>Week5-Jun-2026</t>
        </is>
      </c>
      <c r="D3670" s="78" t="n">
        <v>46174</v>
      </c>
      <c r="E3670" t="inlineStr">
        <is>
          <t>Q1FY27</t>
        </is>
      </c>
      <c r="F3670" t="inlineStr">
        <is>
          <t>26-Jun-2029</t>
        </is>
      </c>
      <c r="G3670" t="inlineStr">
        <is>
          <t>Tuesday</t>
        </is>
      </c>
      <c r="H3670" t="inlineStr">
        <is>
          <t>Monthly - Tuesday</t>
        </is>
      </c>
      <c r="I3670" t="inlineStr">
        <is>
          <t>Monthly - Tuesday</t>
        </is>
      </c>
      <c r="J3670" t="inlineStr">
        <is>
          <t>Month+36 Expiry</t>
        </is>
      </c>
      <c r="K3670" s="25" t="n">
        <v>0</v>
      </c>
      <c r="L3670" s="26" t="n">
        <v>0</v>
      </c>
      <c r="M3670" s="26" t="n">
        <v>0</v>
      </c>
    </row>
    <row r="3671" ht="16" customHeight="1">
      <c r="A3671" t="inlineStr">
        <is>
          <t>30-Jun-2026</t>
        </is>
      </c>
      <c r="B3671" t="inlineStr">
        <is>
          <t>Tuesday</t>
        </is>
      </c>
      <c r="C3671" t="inlineStr">
        <is>
          <t>Week5-Jun-2026</t>
        </is>
      </c>
      <c r="D3671" s="78" t="n">
        <v>46174</v>
      </c>
      <c r="E3671" t="inlineStr">
        <is>
          <t>Q1FY27</t>
        </is>
      </c>
      <c r="F3671" t="inlineStr">
        <is>
          <t>24-Dec-2029</t>
        </is>
      </c>
      <c r="G3671" t="inlineStr">
        <is>
          <t>Monday</t>
        </is>
      </c>
      <c r="H3671" t="inlineStr">
        <is>
          <t>Weekly - Monday</t>
        </is>
      </c>
      <c r="I3671" t="inlineStr">
        <is>
          <t>Weekly - Monday</t>
        </is>
      </c>
      <c r="J3671" t="inlineStr">
        <is>
          <t>Month+42 Expiry</t>
        </is>
      </c>
      <c r="K3671" s="25" t="n">
        <v>0</v>
      </c>
      <c r="L3671" s="26" t="n">
        <v>0</v>
      </c>
      <c r="M3671" s="26" t="n">
        <v>0</v>
      </c>
    </row>
    <row r="3672" ht="16" customHeight="1">
      <c r="A3672" t="inlineStr">
        <is>
          <t>30-Jun-2026</t>
        </is>
      </c>
      <c r="B3672" t="inlineStr">
        <is>
          <t>Tuesday</t>
        </is>
      </c>
      <c r="C3672" t="inlineStr">
        <is>
          <t>Week5-Jun-2026</t>
        </is>
      </c>
      <c r="D3672" s="78" t="n">
        <v>46174</v>
      </c>
      <c r="E3672" t="inlineStr">
        <is>
          <t>Q1FY27</t>
        </is>
      </c>
      <c r="F3672" t="inlineStr">
        <is>
          <t>25-Jun-2030</t>
        </is>
      </c>
      <c r="G3672" t="inlineStr">
        <is>
          <t>Tuesday</t>
        </is>
      </c>
      <c r="H3672" t="inlineStr">
        <is>
          <t>Monthly - Tuesday</t>
        </is>
      </c>
      <c r="I3672" t="inlineStr">
        <is>
          <t>Monthly - Tuesday</t>
        </is>
      </c>
      <c r="J3672" t="inlineStr">
        <is>
          <t>Month+48 Expiry</t>
        </is>
      </c>
      <c r="K3672" s="25" t="n">
        <v>0</v>
      </c>
      <c r="L3672" s="26" t="n">
        <v>0</v>
      </c>
      <c r="M3672" s="26" t="n">
        <v>0</v>
      </c>
    </row>
    <row r="3673" ht="16" customHeight="1">
      <c r="A3673" t="inlineStr">
        <is>
          <t>30-Jun-2026</t>
        </is>
      </c>
      <c r="B3673" t="inlineStr">
        <is>
          <t>Tuesday</t>
        </is>
      </c>
      <c r="C3673" t="inlineStr">
        <is>
          <t>Week5-Jun-2026</t>
        </is>
      </c>
      <c r="D3673" s="78" t="n">
        <v>46174</v>
      </c>
      <c r="E3673" t="inlineStr">
        <is>
          <t>Q1FY27</t>
        </is>
      </c>
      <c r="F3673" t="inlineStr">
        <is>
          <t>31-Dec-2030</t>
        </is>
      </c>
      <c r="G3673" t="inlineStr">
        <is>
          <t>Tuesday</t>
        </is>
      </c>
      <c r="H3673" t="inlineStr">
        <is>
          <t>Monthly - Tuesday</t>
        </is>
      </c>
      <c r="I3673" t="inlineStr">
        <is>
          <t>Monthly - Tuesday</t>
        </is>
      </c>
      <c r="J3673" t="inlineStr">
        <is>
          <t>Month+54 Expiry</t>
        </is>
      </c>
      <c r="K3673" s="25" t="n">
        <v>0</v>
      </c>
      <c r="L3673" s="26" t="n">
        <v>0</v>
      </c>
      <c r="M3673" s="26" t="n">
        <v>0</v>
      </c>
    </row>
    <row r="3674" ht="16" customHeight="1">
      <c r="A3674" t="inlineStr">
        <is>
          <t>01-Jul-2026</t>
        </is>
      </c>
      <c r="B3674" t="inlineStr">
        <is>
          <t>Wednesday</t>
        </is>
      </c>
      <c r="C3674" t="inlineStr">
        <is>
          <t>Week1-Jul-2026</t>
        </is>
      </c>
      <c r="D3674" s="78" t="n">
        <v>46204</v>
      </c>
      <c r="E3674" t="inlineStr">
        <is>
          <t>Q2FY27</t>
        </is>
      </c>
      <c r="F3674" t="inlineStr">
        <is>
          <t>07-Jul-2026</t>
        </is>
      </c>
      <c r="G3674" t="inlineStr">
        <is>
          <t>Tuesday</t>
        </is>
      </c>
      <c r="H3674" t="inlineStr">
        <is>
          <t>Weekly - Tuesday</t>
        </is>
      </c>
      <c r="I3674" t="inlineStr">
        <is>
          <t>Weekly - Tuesday</t>
        </is>
      </c>
      <c r="J3674" t="inlineStr">
        <is>
          <t>Same Month Expiry</t>
        </is>
      </c>
      <c r="K3674" s="25" t="n">
        <v>42836486</v>
      </c>
      <c r="L3674" s="26" t="n">
        <v>67106.8933</v>
      </c>
      <c r="M3674" s="26" t="n">
        <v>261.2944</v>
      </c>
    </row>
    <row r="3675" ht="16" customHeight="1">
      <c r="A3675" t="inlineStr">
        <is>
          <t>01-Jul-2026</t>
        </is>
      </c>
      <c r="B3675" t="inlineStr">
        <is>
          <t>Wednesday</t>
        </is>
      </c>
      <c r="C3675" t="inlineStr">
        <is>
          <t>Week1-Jul-2026</t>
        </is>
      </c>
      <c r="D3675" s="78" t="n">
        <v>46204</v>
      </c>
      <c r="E3675" t="inlineStr">
        <is>
          <t>Q2FY27</t>
        </is>
      </c>
      <c r="F3675" t="inlineStr">
        <is>
          <t>14-Jul-2026</t>
        </is>
      </c>
      <c r="G3675" t="inlineStr">
        <is>
          <t>Tuesday</t>
        </is>
      </c>
      <c r="H3675" t="inlineStr">
        <is>
          <t>Weekly - Tuesday</t>
        </is>
      </c>
      <c r="I3675" t="inlineStr">
        <is>
          <t>Weekly - Tuesday</t>
        </is>
      </c>
      <c r="J3675" t="inlineStr">
        <is>
          <t>Same Month Expiry</t>
        </is>
      </c>
      <c r="K3675" s="25" t="n">
        <v>894088</v>
      </c>
      <c r="L3675" s="26" t="n">
        <v>1400.7007</v>
      </c>
      <c r="M3675" s="26" t="n">
        <v>5.9095</v>
      </c>
    </row>
    <row r="3676" ht="16" customHeight="1">
      <c r="A3676" t="inlineStr">
        <is>
          <t>01-Jul-2026</t>
        </is>
      </c>
      <c r="B3676" t="inlineStr">
        <is>
          <t>Wednesday</t>
        </is>
      </c>
      <c r="C3676" t="inlineStr">
        <is>
          <t>Week1-Jul-2026</t>
        </is>
      </c>
      <c r="D3676" s="78" t="n">
        <v>46204</v>
      </c>
      <c r="E3676" t="inlineStr">
        <is>
          <t>Q2FY27</t>
        </is>
      </c>
      <c r="F3676" t="inlineStr">
        <is>
          <t>21-Jul-2026</t>
        </is>
      </c>
      <c r="G3676" t="inlineStr">
        <is>
          <t>Tuesday</t>
        </is>
      </c>
      <c r="H3676" t="inlineStr">
        <is>
          <t>Weekly - Tuesday</t>
        </is>
      </c>
      <c r="I3676" t="inlineStr">
        <is>
          <t>Weekly - Tuesday</t>
        </is>
      </c>
      <c r="J3676" t="inlineStr">
        <is>
          <t>Same Month Expiry</t>
        </is>
      </c>
      <c r="K3676" s="25" t="n">
        <v>42588</v>
      </c>
      <c r="L3676" s="26" t="n">
        <v>66.8657</v>
      </c>
      <c r="M3676" s="26" t="n">
        <v>0.3889</v>
      </c>
    </row>
    <row r="3677" ht="16" customHeight="1">
      <c r="A3677" t="inlineStr">
        <is>
          <t>01-Jul-2026</t>
        </is>
      </c>
      <c r="B3677" t="inlineStr">
        <is>
          <t>Wednesday</t>
        </is>
      </c>
      <c r="C3677" t="inlineStr">
        <is>
          <t>Week1-Jul-2026</t>
        </is>
      </c>
      <c r="D3677" s="78" t="n">
        <v>46204</v>
      </c>
      <c r="E3677" t="inlineStr">
        <is>
          <t>Q2FY27</t>
        </is>
      </c>
      <c r="F3677" t="inlineStr">
        <is>
          <t>28-Jul-2026</t>
        </is>
      </c>
      <c r="G3677" t="inlineStr">
        <is>
          <t>Tuesday</t>
        </is>
      </c>
      <c r="H3677" t="inlineStr">
        <is>
          <t>Monthly - Tuesday</t>
        </is>
      </c>
      <c r="I3677" t="inlineStr">
        <is>
          <t>Monthly - Tuesday</t>
        </is>
      </c>
      <c r="J3677" t="inlineStr">
        <is>
          <t>Same Month Expiry</t>
        </is>
      </c>
      <c r="K3677" s="25" t="n">
        <v>1017356</v>
      </c>
      <c r="L3677" s="26" t="n">
        <v>1598.1933</v>
      </c>
      <c r="M3677" s="26" t="n">
        <v>12.6386</v>
      </c>
    </row>
    <row r="3678" ht="16" customHeight="1">
      <c r="A3678" t="inlineStr">
        <is>
          <t>01-Jul-2026</t>
        </is>
      </c>
      <c r="B3678" t="inlineStr">
        <is>
          <t>Wednesday</t>
        </is>
      </c>
      <c r="C3678" t="inlineStr">
        <is>
          <t>Week1-Jul-2026</t>
        </is>
      </c>
      <c r="D3678" s="78" t="n">
        <v>46204</v>
      </c>
      <c r="E3678" t="inlineStr">
        <is>
          <t>Q2FY27</t>
        </is>
      </c>
      <c r="F3678" t="inlineStr">
        <is>
          <t>04-Aug-2026</t>
        </is>
      </c>
      <c r="G3678" t="inlineStr">
        <is>
          <t>Tuesday</t>
        </is>
      </c>
      <c r="H3678" t="inlineStr">
        <is>
          <t>Weekly - Tuesday</t>
        </is>
      </c>
      <c r="I3678" t="inlineStr">
        <is>
          <t>Weekly - Tuesday</t>
        </is>
      </c>
      <c r="J3678" t="inlineStr">
        <is>
          <t>Month+1 Expiry</t>
        </is>
      </c>
      <c r="K3678" s="25" t="n">
        <v>2037</v>
      </c>
      <c r="L3678" s="26" t="n">
        <v>3.1765</v>
      </c>
      <c r="M3678" s="26" t="n">
        <v>0.0188</v>
      </c>
    </row>
    <row r="3679" ht="16" customHeight="1">
      <c r="A3679" t="inlineStr">
        <is>
          <t>01-Jul-2026</t>
        </is>
      </c>
      <c r="B3679" t="inlineStr">
        <is>
          <t>Wednesday</t>
        </is>
      </c>
      <c r="C3679" t="inlineStr">
        <is>
          <t>Week1-Jul-2026</t>
        </is>
      </c>
      <c r="D3679" s="78" t="n">
        <v>46204</v>
      </c>
      <c r="E3679" t="inlineStr">
        <is>
          <t>Q2FY27</t>
        </is>
      </c>
      <c r="F3679" t="inlineStr">
        <is>
          <t>25-Aug-2026</t>
        </is>
      </c>
      <c r="G3679" t="inlineStr">
        <is>
          <t>Tuesday</t>
        </is>
      </c>
      <c r="H3679" t="inlineStr">
        <is>
          <t>Monthly - Tuesday</t>
        </is>
      </c>
      <c r="I3679" t="inlineStr">
        <is>
          <t>Monthly - Tuesday</t>
        </is>
      </c>
      <c r="J3679" t="inlineStr">
        <is>
          <t>Month+1 Expiry</t>
        </is>
      </c>
      <c r="K3679" s="25" t="n">
        <v>84613</v>
      </c>
      <c r="L3679" s="26" t="n">
        <v>132.8998</v>
      </c>
      <c r="M3679" s="26" t="n">
        <v>1.2443</v>
      </c>
    </row>
    <row r="3680" ht="16" customHeight="1">
      <c r="A3680" t="inlineStr">
        <is>
          <t>01-Jul-2026</t>
        </is>
      </c>
      <c r="B3680" t="inlineStr">
        <is>
          <t>Wednesday</t>
        </is>
      </c>
      <c r="C3680" t="inlineStr">
        <is>
          <t>Week1-Jul-2026</t>
        </is>
      </c>
      <c r="D3680" s="78" t="n">
        <v>46204</v>
      </c>
      <c r="E3680" t="inlineStr">
        <is>
          <t>Q2FY27</t>
        </is>
      </c>
      <c r="F3680" t="inlineStr">
        <is>
          <t>29-Sep-2026</t>
        </is>
      </c>
      <c r="G3680" t="inlineStr">
        <is>
          <t>Tuesday</t>
        </is>
      </c>
      <c r="H3680" t="inlineStr">
        <is>
          <t>Monthly - Tuesday</t>
        </is>
      </c>
      <c r="I3680" t="inlineStr">
        <is>
          <t>Monthly - Tuesday</t>
        </is>
      </c>
      <c r="J3680" t="inlineStr">
        <is>
          <t>Month+2 Expiry</t>
        </is>
      </c>
      <c r="K3680" s="25" t="n">
        <v>59349</v>
      </c>
      <c r="L3680" s="26" t="n">
        <v>93.72199999999999</v>
      </c>
      <c r="M3680" s="26" t="n">
        <v>1.4319</v>
      </c>
    </row>
    <row r="3681" ht="16" customHeight="1">
      <c r="A3681" t="inlineStr">
        <is>
          <t>01-Jul-2026</t>
        </is>
      </c>
      <c r="B3681" t="inlineStr">
        <is>
          <t>Wednesday</t>
        </is>
      </c>
      <c r="C3681" t="inlineStr">
        <is>
          <t>Week1-Jul-2026</t>
        </is>
      </c>
      <c r="D3681" s="78" t="n">
        <v>46204</v>
      </c>
      <c r="E3681" t="inlineStr">
        <is>
          <t>Q2FY27</t>
        </is>
      </c>
      <c r="F3681" t="inlineStr">
        <is>
          <t>29-Dec-2026</t>
        </is>
      </c>
      <c r="G3681" t="inlineStr">
        <is>
          <t>Tuesday</t>
        </is>
      </c>
      <c r="H3681" t="inlineStr">
        <is>
          <t>Monthly - Tuesday</t>
        </is>
      </c>
      <c r="I3681" t="inlineStr">
        <is>
          <t>Monthly - Tuesday</t>
        </is>
      </c>
      <c r="J3681" t="inlineStr">
        <is>
          <t>Month+5 Expiry</t>
        </is>
      </c>
      <c r="K3681" s="25" t="n">
        <v>36887</v>
      </c>
      <c r="L3681" s="26" t="n">
        <v>59.4564</v>
      </c>
      <c r="M3681" s="26" t="n">
        <v>1.2959</v>
      </c>
    </row>
    <row r="3682" ht="16" customHeight="1">
      <c r="A3682" t="inlineStr">
        <is>
          <t>01-Jul-2026</t>
        </is>
      </c>
      <c r="B3682" t="inlineStr">
        <is>
          <t>Wednesday</t>
        </is>
      </c>
      <c r="C3682" t="inlineStr">
        <is>
          <t>Week1-Jul-2026</t>
        </is>
      </c>
      <c r="D3682" s="78" t="n">
        <v>46204</v>
      </c>
      <c r="E3682" t="inlineStr">
        <is>
          <t>Q2FY27</t>
        </is>
      </c>
      <c r="F3682" t="inlineStr">
        <is>
          <t>30-Mar-2027</t>
        </is>
      </c>
      <c r="G3682" t="inlineStr">
        <is>
          <t>Tuesday</t>
        </is>
      </c>
      <c r="H3682" t="inlineStr">
        <is>
          <t>Monthly - Tuesday</t>
        </is>
      </c>
      <c r="I3682" t="inlineStr">
        <is>
          <t>Monthly - Tuesday</t>
        </is>
      </c>
      <c r="J3682" t="inlineStr">
        <is>
          <t>Month+8 Expiry</t>
        </is>
      </c>
      <c r="K3682" s="25" t="n">
        <v>1499</v>
      </c>
      <c r="L3682" s="26" t="n">
        <v>2.1763</v>
      </c>
      <c r="M3682" s="26" t="n">
        <v>0.023</v>
      </c>
    </row>
    <row r="3683" ht="16" customHeight="1">
      <c r="A3683" t="inlineStr">
        <is>
          <t>01-Jul-2026</t>
        </is>
      </c>
      <c r="B3683" t="inlineStr">
        <is>
          <t>Wednesday</t>
        </is>
      </c>
      <c r="C3683" t="inlineStr">
        <is>
          <t>Week1-Jul-2026</t>
        </is>
      </c>
      <c r="D3683" s="78" t="n">
        <v>46204</v>
      </c>
      <c r="E3683" t="inlineStr">
        <is>
          <t>Q2FY27</t>
        </is>
      </c>
      <c r="F3683" t="inlineStr">
        <is>
          <t>29-Jun-2027</t>
        </is>
      </c>
      <c r="G3683" t="inlineStr">
        <is>
          <t>Tuesday</t>
        </is>
      </c>
      <c r="H3683" t="inlineStr">
        <is>
          <t>Monthly - Tuesday</t>
        </is>
      </c>
      <c r="I3683" t="inlineStr">
        <is>
          <t>Monthly - Tuesday</t>
        </is>
      </c>
      <c r="J3683" t="inlineStr">
        <is>
          <t>Month+11 Expiry</t>
        </is>
      </c>
      <c r="K3683" s="25" t="n">
        <v>65</v>
      </c>
      <c r="L3683" s="26" t="n">
        <v>0.0898</v>
      </c>
      <c r="M3683" s="26" t="n">
        <v>0.0009</v>
      </c>
    </row>
    <row r="3684" ht="16" customHeight="1">
      <c r="A3684" t="inlineStr">
        <is>
          <t>01-Jul-2026</t>
        </is>
      </c>
      <c r="B3684" t="inlineStr">
        <is>
          <t>Wednesday</t>
        </is>
      </c>
      <c r="C3684" t="inlineStr">
        <is>
          <t>Week1-Jul-2026</t>
        </is>
      </c>
      <c r="D3684" s="78" t="n">
        <v>46204</v>
      </c>
      <c r="E3684" t="inlineStr">
        <is>
          <t>Q2FY27</t>
        </is>
      </c>
      <c r="F3684" t="inlineStr">
        <is>
          <t>28-Dec-2027</t>
        </is>
      </c>
      <c r="G3684" t="inlineStr">
        <is>
          <t>Tuesday</t>
        </is>
      </c>
      <c r="H3684" t="inlineStr">
        <is>
          <t>Monthly - Tuesday</t>
        </is>
      </c>
      <c r="I3684" t="inlineStr">
        <is>
          <t>Monthly - Tuesday</t>
        </is>
      </c>
      <c r="J3684" t="inlineStr">
        <is>
          <t>Month+17 Expiry</t>
        </is>
      </c>
      <c r="K3684" s="25" t="n">
        <v>396</v>
      </c>
      <c r="L3684" s="26" t="n">
        <v>0.6860000000000001</v>
      </c>
      <c r="M3684" s="26" t="n">
        <v>0.0308</v>
      </c>
    </row>
    <row r="3685" ht="16" customHeight="1">
      <c r="A3685" t="inlineStr">
        <is>
          <t>01-Jul-2026</t>
        </is>
      </c>
      <c r="B3685" t="inlineStr">
        <is>
          <t>Wednesday</t>
        </is>
      </c>
      <c r="C3685" t="inlineStr">
        <is>
          <t>Week1-Jul-2026</t>
        </is>
      </c>
      <c r="D3685" s="78" t="n">
        <v>46204</v>
      </c>
      <c r="E3685" t="inlineStr">
        <is>
          <t>Q2FY27</t>
        </is>
      </c>
      <c r="F3685" t="inlineStr">
        <is>
          <t>27-Jun-2028</t>
        </is>
      </c>
      <c r="G3685" t="inlineStr">
        <is>
          <t>Tuesday</t>
        </is>
      </c>
      <c r="H3685" t="inlineStr">
        <is>
          <t>Monthly - Tuesday</t>
        </is>
      </c>
      <c r="I3685" t="inlineStr">
        <is>
          <t>Monthly - Tuesday</t>
        </is>
      </c>
      <c r="J3685" t="inlineStr">
        <is>
          <t>Month+23 Expiry</t>
        </is>
      </c>
      <c r="K3685" s="25" t="n">
        <v>0</v>
      </c>
      <c r="L3685" s="26" t="n">
        <v>0</v>
      </c>
      <c r="M3685" s="26" t="n">
        <v>0</v>
      </c>
    </row>
    <row r="3686" ht="16" customHeight="1">
      <c r="A3686" t="inlineStr">
        <is>
          <t>01-Jul-2026</t>
        </is>
      </c>
      <c r="B3686" t="inlineStr">
        <is>
          <t>Wednesday</t>
        </is>
      </c>
      <c r="C3686" t="inlineStr">
        <is>
          <t>Week1-Jul-2026</t>
        </is>
      </c>
      <c r="D3686" s="78" t="n">
        <v>46204</v>
      </c>
      <c r="E3686" t="inlineStr">
        <is>
          <t>Q2FY27</t>
        </is>
      </c>
      <c r="F3686" t="inlineStr">
        <is>
          <t>26-Dec-2028</t>
        </is>
      </c>
      <c r="G3686" t="inlineStr">
        <is>
          <t>Tuesday</t>
        </is>
      </c>
      <c r="H3686" t="inlineStr">
        <is>
          <t>Monthly - Tuesday</t>
        </is>
      </c>
      <c r="I3686" t="inlineStr">
        <is>
          <t>Monthly - Tuesday</t>
        </is>
      </c>
      <c r="J3686" t="inlineStr">
        <is>
          <t>Month+29 Expiry</t>
        </is>
      </c>
      <c r="K3686" s="25" t="n">
        <v>5</v>
      </c>
      <c r="L3686" s="26" t="n">
        <v>0.008999999999999999</v>
      </c>
      <c r="M3686" s="26" t="n">
        <v>0.0007</v>
      </c>
    </row>
    <row r="3687" ht="16" customHeight="1">
      <c r="A3687" t="inlineStr">
        <is>
          <t>01-Jul-2026</t>
        </is>
      </c>
      <c r="B3687" t="inlineStr">
        <is>
          <t>Wednesday</t>
        </is>
      </c>
      <c r="C3687" t="inlineStr">
        <is>
          <t>Week1-Jul-2026</t>
        </is>
      </c>
      <c r="D3687" s="78" t="n">
        <v>46204</v>
      </c>
      <c r="E3687" t="inlineStr">
        <is>
          <t>Q2FY27</t>
        </is>
      </c>
      <c r="F3687" t="inlineStr">
        <is>
          <t>26-Jun-2029</t>
        </is>
      </c>
      <c r="G3687" t="inlineStr">
        <is>
          <t>Tuesday</t>
        </is>
      </c>
      <c r="H3687" t="inlineStr">
        <is>
          <t>Monthly - Tuesday</t>
        </is>
      </c>
      <c r="I3687" t="inlineStr">
        <is>
          <t>Monthly - Tuesday</t>
        </is>
      </c>
      <c r="J3687" t="inlineStr">
        <is>
          <t>Month+35 Expiry</t>
        </is>
      </c>
      <c r="K3687" s="25" t="n">
        <v>0</v>
      </c>
      <c r="L3687" s="26" t="n">
        <v>0</v>
      </c>
      <c r="M3687" s="26" t="n">
        <v>0</v>
      </c>
    </row>
    <row r="3688" ht="16" customHeight="1">
      <c r="A3688" t="inlineStr">
        <is>
          <t>01-Jul-2026</t>
        </is>
      </c>
      <c r="B3688" t="inlineStr">
        <is>
          <t>Wednesday</t>
        </is>
      </c>
      <c r="C3688" t="inlineStr">
        <is>
          <t>Week1-Jul-2026</t>
        </is>
      </c>
      <c r="D3688" s="78" t="n">
        <v>46204</v>
      </c>
      <c r="E3688" t="inlineStr">
        <is>
          <t>Q2FY27</t>
        </is>
      </c>
      <c r="F3688" t="inlineStr">
        <is>
          <t>24-Dec-2029</t>
        </is>
      </c>
      <c r="G3688" t="inlineStr">
        <is>
          <t>Monday</t>
        </is>
      </c>
      <c r="H3688" t="inlineStr">
        <is>
          <t>Weekly - Monday</t>
        </is>
      </c>
      <c r="I3688" t="inlineStr">
        <is>
          <t>Weekly - Monday</t>
        </is>
      </c>
      <c r="J3688" t="inlineStr">
        <is>
          <t>Month+41 Expiry</t>
        </is>
      </c>
      <c r="K3688" s="25" t="n">
        <v>0</v>
      </c>
      <c r="L3688" s="26" t="n">
        <v>0</v>
      </c>
      <c r="M3688" s="26" t="n">
        <v>0</v>
      </c>
    </row>
    <row r="3689" ht="16" customHeight="1">
      <c r="A3689" t="inlineStr">
        <is>
          <t>01-Jul-2026</t>
        </is>
      </c>
      <c r="B3689" t="inlineStr">
        <is>
          <t>Wednesday</t>
        </is>
      </c>
      <c r="C3689" t="inlineStr">
        <is>
          <t>Week1-Jul-2026</t>
        </is>
      </c>
      <c r="D3689" s="78" t="n">
        <v>46204</v>
      </c>
      <c r="E3689" t="inlineStr">
        <is>
          <t>Q2FY27</t>
        </is>
      </c>
      <c r="F3689" t="inlineStr">
        <is>
          <t>25-Jun-2030</t>
        </is>
      </c>
      <c r="G3689" t="inlineStr">
        <is>
          <t>Tuesday</t>
        </is>
      </c>
      <c r="H3689" t="inlineStr">
        <is>
          <t>Monthly - Tuesday</t>
        </is>
      </c>
      <c r="I3689" t="inlineStr">
        <is>
          <t>Monthly - Tuesday</t>
        </is>
      </c>
      <c r="J3689" t="inlineStr">
        <is>
          <t>Month+47 Expiry</t>
        </is>
      </c>
      <c r="K3689" s="25" t="n">
        <v>0</v>
      </c>
      <c r="L3689" s="26" t="n">
        <v>0</v>
      </c>
      <c r="M3689" s="26" t="n">
        <v>0</v>
      </c>
    </row>
    <row r="3690" ht="16" customHeight="1">
      <c r="A3690" t="inlineStr">
        <is>
          <t>01-Jul-2026</t>
        </is>
      </c>
      <c r="B3690" t="inlineStr">
        <is>
          <t>Wednesday</t>
        </is>
      </c>
      <c r="C3690" t="inlineStr">
        <is>
          <t>Week1-Jul-2026</t>
        </is>
      </c>
      <c r="D3690" s="78" t="n">
        <v>46204</v>
      </c>
      <c r="E3690" t="inlineStr">
        <is>
          <t>Q2FY27</t>
        </is>
      </c>
      <c r="F3690" t="inlineStr">
        <is>
          <t>31-Dec-2030</t>
        </is>
      </c>
      <c r="G3690" t="inlineStr">
        <is>
          <t>Tuesday</t>
        </is>
      </c>
      <c r="H3690" t="inlineStr">
        <is>
          <t>Monthly - Tuesday</t>
        </is>
      </c>
      <c r="I3690" t="inlineStr">
        <is>
          <t>Monthly - Tuesday</t>
        </is>
      </c>
      <c r="J3690" t="inlineStr">
        <is>
          <t>Month+53 Expiry</t>
        </is>
      </c>
      <c r="K3690" s="25" t="n">
        <v>1</v>
      </c>
      <c r="L3690" s="26" t="n">
        <v>0.0016</v>
      </c>
      <c r="M3690" s="26" t="n">
        <v>0.0001</v>
      </c>
    </row>
    <row r="3691" ht="16" customHeight="1">
      <c r="A3691" t="inlineStr">
        <is>
          <t>01-Jul-2026</t>
        </is>
      </c>
      <c r="B3691" t="inlineStr">
        <is>
          <t>Wednesday</t>
        </is>
      </c>
      <c r="C3691" t="inlineStr">
        <is>
          <t>Week1-Jul-2026</t>
        </is>
      </c>
      <c r="D3691" s="78" t="n">
        <v>46204</v>
      </c>
      <c r="E3691" t="inlineStr">
        <is>
          <t>Q2FY27</t>
        </is>
      </c>
      <c r="F3691" t="inlineStr">
        <is>
          <t>24-Jun-2031</t>
        </is>
      </c>
      <c r="G3691" t="inlineStr">
        <is>
          <t>Tuesday</t>
        </is>
      </c>
      <c r="H3691" t="inlineStr">
        <is>
          <t>Monthly - Tuesday</t>
        </is>
      </c>
      <c r="I3691" t="inlineStr">
        <is>
          <t>Monthly - Tuesday</t>
        </is>
      </c>
      <c r="J3691" t="inlineStr">
        <is>
          <t>Month+59 Expiry</t>
        </is>
      </c>
      <c r="K3691" s="25" t="n">
        <v>0</v>
      </c>
      <c r="L3691" s="26" t="n">
        <v>0</v>
      </c>
      <c r="M3691" s="26" t="n">
        <v>0</v>
      </c>
    </row>
    <row r="3692" ht="16" customHeight="1">
      <c r="A3692" t="inlineStr">
        <is>
          <t>02-Jul-2026</t>
        </is>
      </c>
      <c r="B3692" t="inlineStr">
        <is>
          <t>Thursday</t>
        </is>
      </c>
      <c r="C3692" t="inlineStr">
        <is>
          <t>Week1-Jul-2026</t>
        </is>
      </c>
      <c r="D3692" s="78" t="n">
        <v>46204</v>
      </c>
      <c r="E3692" t="inlineStr">
        <is>
          <t>Q2FY27</t>
        </is>
      </c>
      <c r="F3692" t="inlineStr">
        <is>
          <t>07-Jul-2026</t>
        </is>
      </c>
      <c r="G3692" t="inlineStr">
        <is>
          <t>Tuesday</t>
        </is>
      </c>
      <c r="H3692" t="inlineStr">
        <is>
          <t>Weekly - Tuesday</t>
        </is>
      </c>
      <c r="I3692" t="inlineStr">
        <is>
          <t>Weekly - Tuesday</t>
        </is>
      </c>
      <c r="J3692" t="inlineStr">
        <is>
          <t>Same Month Expiry</t>
        </is>
      </c>
      <c r="K3692" s="25" t="n">
        <v>45582572</v>
      </c>
      <c r="L3692" s="26" t="n">
        <v>71566.6488</v>
      </c>
      <c r="M3692" s="26" t="n">
        <v>205.2325</v>
      </c>
    </row>
    <row r="3693" ht="16" customHeight="1">
      <c r="A3693" t="inlineStr">
        <is>
          <t>02-Jul-2026</t>
        </is>
      </c>
      <c r="B3693" t="inlineStr">
        <is>
          <t>Thursday</t>
        </is>
      </c>
      <c r="C3693" t="inlineStr">
        <is>
          <t>Week1-Jul-2026</t>
        </is>
      </c>
      <c r="D3693" s="78" t="n">
        <v>46204</v>
      </c>
      <c r="E3693" t="inlineStr">
        <is>
          <t>Q2FY27</t>
        </is>
      </c>
      <c r="F3693" t="inlineStr">
        <is>
          <t>14-Jul-2026</t>
        </is>
      </c>
      <c r="G3693" t="inlineStr">
        <is>
          <t>Tuesday</t>
        </is>
      </c>
      <c r="H3693" t="inlineStr">
        <is>
          <t>Weekly - Tuesday</t>
        </is>
      </c>
      <c r="I3693" t="inlineStr">
        <is>
          <t>Weekly - Tuesday</t>
        </is>
      </c>
      <c r="J3693" t="inlineStr">
        <is>
          <t>Same Month Expiry</t>
        </is>
      </c>
      <c r="K3693" s="25" t="n">
        <v>1463551</v>
      </c>
      <c r="L3693" s="26" t="n">
        <v>2291.2553</v>
      </c>
      <c r="M3693" s="26" t="n">
        <v>8.254</v>
      </c>
    </row>
    <row r="3694" ht="16" customHeight="1">
      <c r="A3694" t="inlineStr">
        <is>
          <t>02-Jul-2026</t>
        </is>
      </c>
      <c r="B3694" t="inlineStr">
        <is>
          <t>Thursday</t>
        </is>
      </c>
      <c r="C3694" t="inlineStr">
        <is>
          <t>Week1-Jul-2026</t>
        </is>
      </c>
      <c r="D3694" s="78" t="n">
        <v>46204</v>
      </c>
      <c r="E3694" t="inlineStr">
        <is>
          <t>Q2FY27</t>
        </is>
      </c>
      <c r="F3694" t="inlineStr">
        <is>
          <t>21-Jul-2026</t>
        </is>
      </c>
      <c r="G3694" t="inlineStr">
        <is>
          <t>Tuesday</t>
        </is>
      </c>
      <c r="H3694" t="inlineStr">
        <is>
          <t>Weekly - Tuesday</t>
        </is>
      </c>
      <c r="I3694" t="inlineStr">
        <is>
          <t>Weekly - Tuesday</t>
        </is>
      </c>
      <c r="J3694" t="inlineStr">
        <is>
          <t>Same Month Expiry</t>
        </is>
      </c>
      <c r="K3694" s="25" t="n">
        <v>107536</v>
      </c>
      <c r="L3694" s="26" t="n">
        <v>169.1201</v>
      </c>
      <c r="M3694" s="26" t="n">
        <v>0.8421</v>
      </c>
    </row>
    <row r="3695" ht="16" customHeight="1">
      <c r="A3695" t="inlineStr">
        <is>
          <t>02-Jul-2026</t>
        </is>
      </c>
      <c r="B3695" t="inlineStr">
        <is>
          <t>Thursday</t>
        </is>
      </c>
      <c r="C3695" t="inlineStr">
        <is>
          <t>Week1-Jul-2026</t>
        </is>
      </c>
      <c r="D3695" s="78" t="n">
        <v>46204</v>
      </c>
      <c r="E3695" t="inlineStr">
        <is>
          <t>Q2FY27</t>
        </is>
      </c>
      <c r="F3695" t="inlineStr">
        <is>
          <t>28-Jul-2026</t>
        </is>
      </c>
      <c r="G3695" t="inlineStr">
        <is>
          <t>Tuesday</t>
        </is>
      </c>
      <c r="H3695" t="inlineStr">
        <is>
          <t>Monthly - Tuesday</t>
        </is>
      </c>
      <c r="I3695" t="inlineStr">
        <is>
          <t>Monthly - Tuesday</t>
        </is>
      </c>
      <c r="J3695" t="inlineStr">
        <is>
          <t>Same Month Expiry</t>
        </is>
      </c>
      <c r="K3695" s="25" t="n">
        <v>1135616</v>
      </c>
      <c r="L3695" s="26" t="n">
        <v>1787.2699</v>
      </c>
      <c r="M3695" s="26" t="n">
        <v>13.7997</v>
      </c>
    </row>
    <row r="3696" ht="16" customHeight="1">
      <c r="A3696" t="inlineStr">
        <is>
          <t>02-Jul-2026</t>
        </is>
      </c>
      <c r="B3696" t="inlineStr">
        <is>
          <t>Thursday</t>
        </is>
      </c>
      <c r="C3696" t="inlineStr">
        <is>
          <t>Week1-Jul-2026</t>
        </is>
      </c>
      <c r="D3696" s="78" t="n">
        <v>46204</v>
      </c>
      <c r="E3696" t="inlineStr">
        <is>
          <t>Q2FY27</t>
        </is>
      </c>
      <c r="F3696" t="inlineStr">
        <is>
          <t>04-Aug-2026</t>
        </is>
      </c>
      <c r="G3696" t="inlineStr">
        <is>
          <t>Tuesday</t>
        </is>
      </c>
      <c r="H3696" t="inlineStr">
        <is>
          <t>Weekly - Tuesday</t>
        </is>
      </c>
      <c r="I3696" t="inlineStr">
        <is>
          <t>Weekly - Tuesday</t>
        </is>
      </c>
      <c r="J3696" t="inlineStr">
        <is>
          <t>Month+1 Expiry</t>
        </is>
      </c>
      <c r="K3696" s="25" t="n">
        <v>3339</v>
      </c>
      <c r="L3696" s="26" t="n">
        <v>5.2142</v>
      </c>
      <c r="M3696" s="26" t="n">
        <v>0.0341</v>
      </c>
    </row>
    <row r="3697" ht="16" customHeight="1">
      <c r="A3697" t="inlineStr">
        <is>
          <t>02-Jul-2026</t>
        </is>
      </c>
      <c r="B3697" t="inlineStr">
        <is>
          <t>Thursday</t>
        </is>
      </c>
      <c r="C3697" t="inlineStr">
        <is>
          <t>Week1-Jul-2026</t>
        </is>
      </c>
      <c r="D3697" s="78" t="n">
        <v>46204</v>
      </c>
      <c r="E3697" t="inlineStr">
        <is>
          <t>Q2FY27</t>
        </is>
      </c>
      <c r="F3697" t="inlineStr">
        <is>
          <t>25-Aug-2026</t>
        </is>
      </c>
      <c r="G3697" t="inlineStr">
        <is>
          <t>Tuesday</t>
        </is>
      </c>
      <c r="H3697" t="inlineStr">
        <is>
          <t>Monthly - Tuesday</t>
        </is>
      </c>
      <c r="I3697" t="inlineStr">
        <is>
          <t>Monthly - Tuesday</t>
        </is>
      </c>
      <c r="J3697" t="inlineStr">
        <is>
          <t>Month+1 Expiry</t>
        </is>
      </c>
      <c r="K3697" s="25" t="n">
        <v>108526</v>
      </c>
      <c r="L3697" s="26" t="n">
        <v>169.5315</v>
      </c>
      <c r="M3697" s="26" t="n">
        <v>1.4489</v>
      </c>
    </row>
    <row r="3698" ht="16" customHeight="1">
      <c r="A3698" t="inlineStr">
        <is>
          <t>02-Jul-2026</t>
        </is>
      </c>
      <c r="B3698" t="inlineStr">
        <is>
          <t>Thursday</t>
        </is>
      </c>
      <c r="C3698" t="inlineStr">
        <is>
          <t>Week1-Jul-2026</t>
        </is>
      </c>
      <c r="D3698" s="78" t="n">
        <v>46204</v>
      </c>
      <c r="E3698" t="inlineStr">
        <is>
          <t>Q2FY27</t>
        </is>
      </c>
      <c r="F3698" t="inlineStr">
        <is>
          <t>29-Sep-2026</t>
        </is>
      </c>
      <c r="G3698" t="inlineStr">
        <is>
          <t>Tuesday</t>
        </is>
      </c>
      <c r="H3698" t="inlineStr">
        <is>
          <t>Monthly - Tuesday</t>
        </is>
      </c>
      <c r="I3698" t="inlineStr">
        <is>
          <t>Monthly - Tuesday</t>
        </is>
      </c>
      <c r="J3698" t="inlineStr">
        <is>
          <t>Month+2 Expiry</t>
        </is>
      </c>
      <c r="K3698" s="25" t="n">
        <v>48735</v>
      </c>
      <c r="L3698" s="26" t="n">
        <v>76.4012</v>
      </c>
      <c r="M3698" s="26" t="n">
        <v>0.8265</v>
      </c>
    </row>
    <row r="3699" ht="16" customHeight="1">
      <c r="A3699" t="inlineStr">
        <is>
          <t>02-Jul-2026</t>
        </is>
      </c>
      <c r="B3699" t="inlineStr">
        <is>
          <t>Thursday</t>
        </is>
      </c>
      <c r="C3699" t="inlineStr">
        <is>
          <t>Week1-Jul-2026</t>
        </is>
      </c>
      <c r="D3699" s="78" t="n">
        <v>46204</v>
      </c>
      <c r="E3699" t="inlineStr">
        <is>
          <t>Q2FY27</t>
        </is>
      </c>
      <c r="F3699" t="inlineStr">
        <is>
          <t>29-Dec-2026</t>
        </is>
      </c>
      <c r="G3699" t="inlineStr">
        <is>
          <t>Tuesday</t>
        </is>
      </c>
      <c r="H3699" t="inlineStr">
        <is>
          <t>Monthly - Tuesday</t>
        </is>
      </c>
      <c r="I3699" t="inlineStr">
        <is>
          <t>Monthly - Tuesday</t>
        </is>
      </c>
      <c r="J3699" t="inlineStr">
        <is>
          <t>Month+5 Expiry</t>
        </is>
      </c>
      <c r="K3699" s="25" t="n">
        <v>47993</v>
      </c>
      <c r="L3699" s="26" t="n">
        <v>76.1264</v>
      </c>
      <c r="M3699" s="26" t="n">
        <v>1.5715</v>
      </c>
    </row>
    <row r="3700" ht="16" customHeight="1">
      <c r="A3700" t="inlineStr">
        <is>
          <t>02-Jul-2026</t>
        </is>
      </c>
      <c r="B3700" t="inlineStr">
        <is>
          <t>Thursday</t>
        </is>
      </c>
      <c r="C3700" t="inlineStr">
        <is>
          <t>Week1-Jul-2026</t>
        </is>
      </c>
      <c r="D3700" s="78" t="n">
        <v>46204</v>
      </c>
      <c r="E3700" t="inlineStr">
        <is>
          <t>Q2FY27</t>
        </is>
      </c>
      <c r="F3700" t="inlineStr">
        <is>
          <t>30-Mar-2027</t>
        </is>
      </c>
      <c r="G3700" t="inlineStr">
        <is>
          <t>Tuesday</t>
        </is>
      </c>
      <c r="H3700" t="inlineStr">
        <is>
          <t>Monthly - Tuesday</t>
        </is>
      </c>
      <c r="I3700" t="inlineStr">
        <is>
          <t>Monthly - Tuesday</t>
        </is>
      </c>
      <c r="J3700" t="inlineStr">
        <is>
          <t>Month+8 Expiry</t>
        </is>
      </c>
      <c r="K3700" s="25" t="n">
        <v>6616</v>
      </c>
      <c r="L3700" s="26" t="n">
        <v>9.805</v>
      </c>
      <c r="M3700" s="26" t="n">
        <v>0.1063</v>
      </c>
    </row>
    <row r="3701" ht="16" customHeight="1">
      <c r="A3701" t="inlineStr">
        <is>
          <t>02-Jul-2026</t>
        </is>
      </c>
      <c r="B3701" t="inlineStr">
        <is>
          <t>Thursday</t>
        </is>
      </c>
      <c r="C3701" t="inlineStr">
        <is>
          <t>Week1-Jul-2026</t>
        </is>
      </c>
      <c r="D3701" s="78" t="n">
        <v>46204</v>
      </c>
      <c r="E3701" t="inlineStr">
        <is>
          <t>Q2FY27</t>
        </is>
      </c>
      <c r="F3701" t="inlineStr">
        <is>
          <t>29-Jun-2027</t>
        </is>
      </c>
      <c r="G3701" t="inlineStr">
        <is>
          <t>Tuesday</t>
        </is>
      </c>
      <c r="H3701" t="inlineStr">
        <is>
          <t>Monthly - Tuesday</t>
        </is>
      </c>
      <c r="I3701" t="inlineStr">
        <is>
          <t>Monthly - Tuesday</t>
        </is>
      </c>
      <c r="J3701" t="inlineStr">
        <is>
          <t>Month+11 Expiry</t>
        </is>
      </c>
      <c r="K3701" s="25" t="n">
        <v>43</v>
      </c>
      <c r="L3701" s="26" t="n">
        <v>0.0595</v>
      </c>
      <c r="M3701" s="26" t="n">
        <v>0.0005999999999999999</v>
      </c>
    </row>
    <row r="3702" ht="16" customHeight="1">
      <c r="A3702" t="inlineStr">
        <is>
          <t>02-Jul-2026</t>
        </is>
      </c>
      <c r="B3702" t="inlineStr">
        <is>
          <t>Thursday</t>
        </is>
      </c>
      <c r="C3702" t="inlineStr">
        <is>
          <t>Week1-Jul-2026</t>
        </is>
      </c>
      <c r="D3702" s="78" t="n">
        <v>46204</v>
      </c>
      <c r="E3702" t="inlineStr">
        <is>
          <t>Q2FY27</t>
        </is>
      </c>
      <c r="F3702" t="inlineStr">
        <is>
          <t>28-Dec-2027</t>
        </is>
      </c>
      <c r="G3702" t="inlineStr">
        <is>
          <t>Tuesday</t>
        </is>
      </c>
      <c r="H3702" t="inlineStr">
        <is>
          <t>Monthly - Tuesday</t>
        </is>
      </c>
      <c r="I3702" t="inlineStr">
        <is>
          <t>Monthly - Tuesday</t>
        </is>
      </c>
      <c r="J3702" t="inlineStr">
        <is>
          <t>Month+17 Expiry</t>
        </is>
      </c>
      <c r="K3702" s="25" t="n">
        <v>471</v>
      </c>
      <c r="L3702" s="26" t="n">
        <v>0.8254</v>
      </c>
      <c r="M3702" s="26" t="n">
        <v>0.0273</v>
      </c>
    </row>
    <row r="3703" ht="16" customHeight="1">
      <c r="A3703" t="inlineStr">
        <is>
          <t>02-Jul-2026</t>
        </is>
      </c>
      <c r="B3703" t="inlineStr">
        <is>
          <t>Thursday</t>
        </is>
      </c>
      <c r="C3703" t="inlineStr">
        <is>
          <t>Week1-Jul-2026</t>
        </is>
      </c>
      <c r="D3703" s="78" t="n">
        <v>46204</v>
      </c>
      <c r="E3703" t="inlineStr">
        <is>
          <t>Q2FY27</t>
        </is>
      </c>
      <c r="F3703" t="inlineStr">
        <is>
          <t>27-Jun-2028</t>
        </is>
      </c>
      <c r="G3703" t="inlineStr">
        <is>
          <t>Tuesday</t>
        </is>
      </c>
      <c r="H3703" t="inlineStr">
        <is>
          <t>Monthly - Tuesday</t>
        </is>
      </c>
      <c r="I3703" t="inlineStr">
        <is>
          <t>Monthly - Tuesday</t>
        </is>
      </c>
      <c r="J3703" t="inlineStr">
        <is>
          <t>Month+23 Expiry</t>
        </is>
      </c>
      <c r="K3703" s="25" t="n">
        <v>0</v>
      </c>
      <c r="L3703" s="26" t="n">
        <v>0</v>
      </c>
      <c r="M3703" s="26" t="n">
        <v>0</v>
      </c>
    </row>
    <row r="3704" ht="16" customHeight="1">
      <c r="A3704" t="inlineStr">
        <is>
          <t>02-Jul-2026</t>
        </is>
      </c>
      <c r="B3704" t="inlineStr">
        <is>
          <t>Thursday</t>
        </is>
      </c>
      <c r="C3704" t="inlineStr">
        <is>
          <t>Week1-Jul-2026</t>
        </is>
      </c>
      <c r="D3704" s="78" t="n">
        <v>46204</v>
      </c>
      <c r="E3704" t="inlineStr">
        <is>
          <t>Q2FY27</t>
        </is>
      </c>
      <c r="F3704" t="inlineStr">
        <is>
          <t>26-Dec-2028</t>
        </is>
      </c>
      <c r="G3704" t="inlineStr">
        <is>
          <t>Tuesday</t>
        </is>
      </c>
      <c r="H3704" t="inlineStr">
        <is>
          <t>Monthly - Tuesday</t>
        </is>
      </c>
      <c r="I3704" t="inlineStr">
        <is>
          <t>Monthly - Tuesday</t>
        </is>
      </c>
      <c r="J3704" t="inlineStr">
        <is>
          <t>Month+29 Expiry</t>
        </is>
      </c>
      <c r="K3704" s="25" t="n">
        <v>30</v>
      </c>
      <c r="L3704" s="26" t="n">
        <v>0.0447</v>
      </c>
      <c r="M3704" s="26" t="n">
        <v>0.0014</v>
      </c>
    </row>
    <row r="3705" ht="16" customHeight="1">
      <c r="A3705" t="inlineStr">
        <is>
          <t>02-Jul-2026</t>
        </is>
      </c>
      <c r="B3705" t="inlineStr">
        <is>
          <t>Thursday</t>
        </is>
      </c>
      <c r="C3705" t="inlineStr">
        <is>
          <t>Week1-Jul-2026</t>
        </is>
      </c>
      <c r="D3705" s="78" t="n">
        <v>46204</v>
      </c>
      <c r="E3705" t="inlineStr">
        <is>
          <t>Q2FY27</t>
        </is>
      </c>
      <c r="F3705" t="inlineStr">
        <is>
          <t>26-Jun-2029</t>
        </is>
      </c>
      <c r="G3705" t="inlineStr">
        <is>
          <t>Tuesday</t>
        </is>
      </c>
      <c r="H3705" t="inlineStr">
        <is>
          <t>Monthly - Tuesday</t>
        </is>
      </c>
      <c r="I3705" t="inlineStr">
        <is>
          <t>Monthly - Tuesday</t>
        </is>
      </c>
      <c r="J3705" t="inlineStr">
        <is>
          <t>Month+35 Expiry</t>
        </is>
      </c>
      <c r="K3705" s="25" t="n">
        <v>0</v>
      </c>
      <c r="L3705" s="26" t="n">
        <v>0</v>
      </c>
      <c r="M3705" s="26" t="n">
        <v>0</v>
      </c>
    </row>
    <row r="3706" ht="16" customHeight="1">
      <c r="A3706" t="inlineStr">
        <is>
          <t>02-Jul-2026</t>
        </is>
      </c>
      <c r="B3706" t="inlineStr">
        <is>
          <t>Thursday</t>
        </is>
      </c>
      <c r="C3706" t="inlineStr">
        <is>
          <t>Week1-Jul-2026</t>
        </is>
      </c>
      <c r="D3706" s="78" t="n">
        <v>46204</v>
      </c>
      <c r="E3706" t="inlineStr">
        <is>
          <t>Q2FY27</t>
        </is>
      </c>
      <c r="F3706" t="inlineStr">
        <is>
          <t>24-Dec-2029</t>
        </is>
      </c>
      <c r="G3706" t="inlineStr">
        <is>
          <t>Monday</t>
        </is>
      </c>
      <c r="H3706" t="inlineStr">
        <is>
          <t>Weekly - Monday</t>
        </is>
      </c>
      <c r="I3706" t="inlineStr">
        <is>
          <t>Weekly - Monday</t>
        </is>
      </c>
      <c r="J3706" t="inlineStr">
        <is>
          <t>Month+41 Expiry</t>
        </is>
      </c>
      <c r="K3706" s="25" t="n">
        <v>0</v>
      </c>
      <c r="L3706" s="26" t="n">
        <v>0</v>
      </c>
      <c r="M3706" s="26" t="n">
        <v>0</v>
      </c>
    </row>
    <row r="3707" ht="16" customHeight="1">
      <c r="A3707" t="inlineStr">
        <is>
          <t>02-Jul-2026</t>
        </is>
      </c>
      <c r="B3707" t="inlineStr">
        <is>
          <t>Thursday</t>
        </is>
      </c>
      <c r="C3707" t="inlineStr">
        <is>
          <t>Week1-Jul-2026</t>
        </is>
      </c>
      <c r="D3707" s="78" t="n">
        <v>46204</v>
      </c>
      <c r="E3707" t="inlineStr">
        <is>
          <t>Q2FY27</t>
        </is>
      </c>
      <c r="F3707" t="inlineStr">
        <is>
          <t>25-Jun-2030</t>
        </is>
      </c>
      <c r="G3707" t="inlineStr">
        <is>
          <t>Tuesday</t>
        </is>
      </c>
      <c r="H3707" t="inlineStr">
        <is>
          <t>Monthly - Tuesday</t>
        </is>
      </c>
      <c r="I3707" t="inlineStr">
        <is>
          <t>Monthly - Tuesday</t>
        </is>
      </c>
      <c r="J3707" t="inlineStr">
        <is>
          <t>Month+47 Expiry</t>
        </is>
      </c>
      <c r="K3707" s="25" t="n">
        <v>0</v>
      </c>
      <c r="L3707" s="26" t="n">
        <v>0</v>
      </c>
      <c r="M3707" s="26" t="n">
        <v>0</v>
      </c>
    </row>
    <row r="3708" ht="16" customHeight="1">
      <c r="A3708" t="inlineStr">
        <is>
          <t>02-Jul-2026</t>
        </is>
      </c>
      <c r="B3708" t="inlineStr">
        <is>
          <t>Thursday</t>
        </is>
      </c>
      <c r="C3708" t="inlineStr">
        <is>
          <t>Week1-Jul-2026</t>
        </is>
      </c>
      <c r="D3708" s="78" t="n">
        <v>46204</v>
      </c>
      <c r="E3708" t="inlineStr">
        <is>
          <t>Q2FY27</t>
        </is>
      </c>
      <c r="F3708" t="inlineStr">
        <is>
          <t>31-Dec-2030</t>
        </is>
      </c>
      <c r="G3708" t="inlineStr">
        <is>
          <t>Tuesday</t>
        </is>
      </c>
      <c r="H3708" t="inlineStr">
        <is>
          <t>Monthly - Tuesday</t>
        </is>
      </c>
      <c r="I3708" t="inlineStr">
        <is>
          <t>Monthly - Tuesday</t>
        </is>
      </c>
      <c r="J3708" t="inlineStr">
        <is>
          <t>Month+53 Expiry</t>
        </is>
      </c>
      <c r="K3708" s="25" t="n">
        <v>0</v>
      </c>
      <c r="L3708" s="26" t="n">
        <v>0</v>
      </c>
      <c r="M3708" s="26" t="n">
        <v>0</v>
      </c>
    </row>
    <row r="3709" ht="16" customHeight="1">
      <c r="A3709" t="inlineStr">
        <is>
          <t>02-Jul-2026</t>
        </is>
      </c>
      <c r="B3709" t="inlineStr">
        <is>
          <t>Thursday</t>
        </is>
      </c>
      <c r="C3709" t="inlineStr">
        <is>
          <t>Week1-Jul-2026</t>
        </is>
      </c>
      <c r="D3709" s="78" t="n">
        <v>46204</v>
      </c>
      <c r="E3709" t="inlineStr">
        <is>
          <t>Q2FY27</t>
        </is>
      </c>
      <c r="F3709" t="inlineStr">
        <is>
          <t>24-Jun-2031</t>
        </is>
      </c>
      <c r="G3709" t="inlineStr">
        <is>
          <t>Tuesday</t>
        </is>
      </c>
      <c r="H3709" t="inlineStr">
        <is>
          <t>Monthly - Tuesday</t>
        </is>
      </c>
      <c r="I3709" t="inlineStr">
        <is>
          <t>Monthly - Tuesday</t>
        </is>
      </c>
      <c r="J3709" t="inlineStr">
        <is>
          <t>Month+59 Expiry</t>
        </is>
      </c>
      <c r="K3709" s="25" t="n">
        <v>0</v>
      </c>
      <c r="L3709" s="26" t="n">
        <v>0</v>
      </c>
      <c r="M3709" s="26" t="n">
        <v>0</v>
      </c>
    </row>
    <row r="3710" ht="16" customHeight="1">
      <c r="A3710" t="inlineStr">
        <is>
          <t>03-Jul-2026</t>
        </is>
      </c>
      <c r="B3710" t="inlineStr">
        <is>
          <t>Friday</t>
        </is>
      </c>
      <c r="C3710" t="inlineStr">
        <is>
          <t>Week1-Jul-2026</t>
        </is>
      </c>
      <c r="D3710" s="78" t="n">
        <v>46204</v>
      </c>
      <c r="E3710" t="inlineStr">
        <is>
          <t>Q2FY27</t>
        </is>
      </c>
      <c r="F3710" t="inlineStr">
        <is>
          <t>07-Jul-2026</t>
        </is>
      </c>
      <c r="G3710" t="inlineStr">
        <is>
          <t>Tuesday</t>
        </is>
      </c>
      <c r="H3710" t="inlineStr">
        <is>
          <t>Weekly - Tuesday</t>
        </is>
      </c>
      <c r="I3710" t="inlineStr">
        <is>
          <t>Weekly - Tuesday</t>
        </is>
      </c>
      <c r="J3710" t="inlineStr">
        <is>
          <t>Same Month Expiry</t>
        </is>
      </c>
      <c r="K3710" s="25" t="n">
        <v>84712130</v>
      </c>
      <c r="L3710" s="26" t="n">
        <v>133943.3257</v>
      </c>
      <c r="M3710" s="26" t="n">
        <v>338.4463</v>
      </c>
    </row>
    <row r="3711" ht="16" customHeight="1">
      <c r="A3711" t="inlineStr">
        <is>
          <t>03-Jul-2026</t>
        </is>
      </c>
      <c r="B3711" t="inlineStr">
        <is>
          <t>Friday</t>
        </is>
      </c>
      <c r="C3711" t="inlineStr">
        <is>
          <t>Week1-Jul-2026</t>
        </is>
      </c>
      <c r="D3711" s="78" t="n">
        <v>46204</v>
      </c>
      <c r="E3711" t="inlineStr">
        <is>
          <t>Q2FY27</t>
        </is>
      </c>
      <c r="F3711" t="inlineStr">
        <is>
          <t>14-Jul-2026</t>
        </is>
      </c>
      <c r="G3711" t="inlineStr">
        <is>
          <t>Tuesday</t>
        </is>
      </c>
      <c r="H3711" t="inlineStr">
        <is>
          <t>Weekly - Tuesday</t>
        </is>
      </c>
      <c r="I3711" t="inlineStr">
        <is>
          <t>Weekly - Tuesday</t>
        </is>
      </c>
      <c r="J3711" t="inlineStr">
        <is>
          <t>Same Month Expiry</t>
        </is>
      </c>
      <c r="K3711" s="25" t="n">
        <v>2187650</v>
      </c>
      <c r="L3711" s="26" t="n">
        <v>3451.5437</v>
      </c>
      <c r="M3711" s="26" t="n">
        <v>11.903</v>
      </c>
    </row>
    <row r="3712" ht="16" customHeight="1">
      <c r="A3712" t="inlineStr">
        <is>
          <t>03-Jul-2026</t>
        </is>
      </c>
      <c r="B3712" t="inlineStr">
        <is>
          <t>Friday</t>
        </is>
      </c>
      <c r="C3712" t="inlineStr">
        <is>
          <t>Week1-Jul-2026</t>
        </is>
      </c>
      <c r="D3712" s="78" t="n">
        <v>46204</v>
      </c>
      <c r="E3712" t="inlineStr">
        <is>
          <t>Q2FY27</t>
        </is>
      </c>
      <c r="F3712" t="inlineStr">
        <is>
          <t>21-Jul-2026</t>
        </is>
      </c>
      <c r="G3712" t="inlineStr">
        <is>
          <t>Tuesday</t>
        </is>
      </c>
      <c r="H3712" t="inlineStr">
        <is>
          <t>Weekly - Tuesday</t>
        </is>
      </c>
      <c r="I3712" t="inlineStr">
        <is>
          <t>Weekly - Tuesday</t>
        </is>
      </c>
      <c r="J3712" t="inlineStr">
        <is>
          <t>Same Month Expiry</t>
        </is>
      </c>
      <c r="K3712" s="25" t="n">
        <v>142139</v>
      </c>
      <c r="L3712" s="26" t="n">
        <v>224.9215</v>
      </c>
      <c r="M3712" s="26" t="n">
        <v>1.1217</v>
      </c>
    </row>
    <row r="3713" ht="16" customHeight="1">
      <c r="A3713" t="inlineStr">
        <is>
          <t>03-Jul-2026</t>
        </is>
      </c>
      <c r="B3713" t="inlineStr">
        <is>
          <t>Friday</t>
        </is>
      </c>
      <c r="C3713" t="inlineStr">
        <is>
          <t>Week1-Jul-2026</t>
        </is>
      </c>
      <c r="D3713" s="78" t="n">
        <v>46204</v>
      </c>
      <c r="E3713" t="inlineStr">
        <is>
          <t>Q2FY27</t>
        </is>
      </c>
      <c r="F3713" t="inlineStr">
        <is>
          <t>28-Jul-2026</t>
        </is>
      </c>
      <c r="G3713" t="inlineStr">
        <is>
          <t>Tuesday</t>
        </is>
      </c>
      <c r="H3713" t="inlineStr">
        <is>
          <t>Monthly - Tuesday</t>
        </is>
      </c>
      <c r="I3713" t="inlineStr">
        <is>
          <t>Monthly - Tuesday</t>
        </is>
      </c>
      <c r="J3713" t="inlineStr">
        <is>
          <t>Same Month Expiry</t>
        </is>
      </c>
      <c r="K3713" s="25" t="n">
        <v>1274475</v>
      </c>
      <c r="L3713" s="26" t="n">
        <v>2014.6106</v>
      </c>
      <c r="M3713" s="26" t="n">
        <v>14.0602</v>
      </c>
    </row>
    <row r="3714" ht="16" customHeight="1">
      <c r="A3714" t="inlineStr">
        <is>
          <t>03-Jul-2026</t>
        </is>
      </c>
      <c r="B3714" t="inlineStr">
        <is>
          <t>Friday</t>
        </is>
      </c>
      <c r="C3714" t="inlineStr">
        <is>
          <t>Week1-Jul-2026</t>
        </is>
      </c>
      <c r="D3714" s="78" t="n">
        <v>46204</v>
      </c>
      <c r="E3714" t="inlineStr">
        <is>
          <t>Q2FY27</t>
        </is>
      </c>
      <c r="F3714" t="inlineStr">
        <is>
          <t>04-Aug-2026</t>
        </is>
      </c>
      <c r="G3714" t="inlineStr">
        <is>
          <t>Tuesday</t>
        </is>
      </c>
      <c r="H3714" t="inlineStr">
        <is>
          <t>Weekly - Tuesday</t>
        </is>
      </c>
      <c r="I3714" t="inlineStr">
        <is>
          <t>Weekly - Tuesday</t>
        </is>
      </c>
      <c r="J3714" t="inlineStr">
        <is>
          <t>Month+1 Expiry</t>
        </is>
      </c>
      <c r="K3714" s="25" t="n">
        <v>4958</v>
      </c>
      <c r="L3714" s="26" t="n">
        <v>7.7921</v>
      </c>
      <c r="M3714" s="26" t="n">
        <v>0.0599</v>
      </c>
    </row>
    <row r="3715" ht="16" customHeight="1">
      <c r="A3715" t="inlineStr">
        <is>
          <t>03-Jul-2026</t>
        </is>
      </c>
      <c r="B3715" t="inlineStr">
        <is>
          <t>Friday</t>
        </is>
      </c>
      <c r="C3715" t="inlineStr">
        <is>
          <t>Week1-Jul-2026</t>
        </is>
      </c>
      <c r="D3715" s="78" t="n">
        <v>46204</v>
      </c>
      <c r="E3715" t="inlineStr">
        <is>
          <t>Q2FY27</t>
        </is>
      </c>
      <c r="F3715" t="inlineStr">
        <is>
          <t>25-Aug-2026</t>
        </is>
      </c>
      <c r="G3715" t="inlineStr">
        <is>
          <t>Tuesday</t>
        </is>
      </c>
      <c r="H3715" t="inlineStr">
        <is>
          <t>Monthly - Tuesday</t>
        </is>
      </c>
      <c r="I3715" t="inlineStr">
        <is>
          <t>Monthly - Tuesday</t>
        </is>
      </c>
      <c r="J3715" t="inlineStr">
        <is>
          <t>Month+1 Expiry</t>
        </is>
      </c>
      <c r="K3715" s="25" t="n">
        <v>165497</v>
      </c>
      <c r="L3715" s="26" t="n">
        <v>261.8424</v>
      </c>
      <c r="M3715" s="26" t="n">
        <v>2.4045</v>
      </c>
    </row>
    <row r="3716" ht="16" customHeight="1">
      <c r="A3716" t="inlineStr">
        <is>
          <t>03-Jul-2026</t>
        </is>
      </c>
      <c r="B3716" t="inlineStr">
        <is>
          <t>Friday</t>
        </is>
      </c>
      <c r="C3716" t="inlineStr">
        <is>
          <t>Week1-Jul-2026</t>
        </is>
      </c>
      <c r="D3716" s="78" t="n">
        <v>46204</v>
      </c>
      <c r="E3716" t="inlineStr">
        <is>
          <t>Q2FY27</t>
        </is>
      </c>
      <c r="F3716" t="inlineStr">
        <is>
          <t>29-Sep-2026</t>
        </is>
      </c>
      <c r="G3716" t="inlineStr">
        <is>
          <t>Tuesday</t>
        </is>
      </c>
      <c r="H3716" t="inlineStr">
        <is>
          <t>Monthly - Tuesday</t>
        </is>
      </c>
      <c r="I3716" t="inlineStr">
        <is>
          <t>Monthly - Tuesday</t>
        </is>
      </c>
      <c r="J3716" t="inlineStr">
        <is>
          <t>Month+2 Expiry</t>
        </is>
      </c>
      <c r="K3716" s="25" t="n">
        <v>69784</v>
      </c>
      <c r="L3716" s="26" t="n">
        <v>110.9303</v>
      </c>
      <c r="M3716" s="26" t="n">
        <v>1.3446</v>
      </c>
    </row>
    <row r="3717" ht="16" customHeight="1">
      <c r="A3717" t="inlineStr">
        <is>
          <t>03-Jul-2026</t>
        </is>
      </c>
      <c r="B3717" t="inlineStr">
        <is>
          <t>Friday</t>
        </is>
      </c>
      <c r="C3717" t="inlineStr">
        <is>
          <t>Week1-Jul-2026</t>
        </is>
      </c>
      <c r="D3717" s="78" t="n">
        <v>46204</v>
      </c>
      <c r="E3717" t="inlineStr">
        <is>
          <t>Q2FY27</t>
        </is>
      </c>
      <c r="F3717" t="inlineStr">
        <is>
          <t>29-Dec-2026</t>
        </is>
      </c>
      <c r="G3717" t="inlineStr">
        <is>
          <t>Tuesday</t>
        </is>
      </c>
      <c r="H3717" t="inlineStr">
        <is>
          <t>Monthly - Tuesday</t>
        </is>
      </c>
      <c r="I3717" t="inlineStr">
        <is>
          <t>Monthly - Tuesday</t>
        </is>
      </c>
      <c r="J3717" t="inlineStr">
        <is>
          <t>Month+5 Expiry</t>
        </is>
      </c>
      <c r="K3717" s="25" t="n">
        <v>62117</v>
      </c>
      <c r="L3717" s="26" t="n">
        <v>97.4477</v>
      </c>
      <c r="M3717" s="26" t="n">
        <v>1.7361</v>
      </c>
    </row>
    <row r="3718" ht="16" customHeight="1">
      <c r="A3718" t="inlineStr">
        <is>
          <t>03-Jul-2026</t>
        </is>
      </c>
      <c r="B3718" t="inlineStr">
        <is>
          <t>Friday</t>
        </is>
      </c>
      <c r="C3718" t="inlineStr">
        <is>
          <t>Week1-Jul-2026</t>
        </is>
      </c>
      <c r="D3718" s="78" t="n">
        <v>46204</v>
      </c>
      <c r="E3718" t="inlineStr">
        <is>
          <t>Q2FY27</t>
        </is>
      </c>
      <c r="F3718" t="inlineStr">
        <is>
          <t>30-Mar-2027</t>
        </is>
      </c>
      <c r="G3718" t="inlineStr">
        <is>
          <t>Tuesday</t>
        </is>
      </c>
      <c r="H3718" t="inlineStr">
        <is>
          <t>Monthly - Tuesday</t>
        </is>
      </c>
      <c r="I3718" t="inlineStr">
        <is>
          <t>Monthly - Tuesday</t>
        </is>
      </c>
      <c r="J3718" t="inlineStr">
        <is>
          <t>Month+8 Expiry</t>
        </is>
      </c>
      <c r="K3718" s="25" t="n">
        <v>12465</v>
      </c>
      <c r="L3718" s="26" t="n">
        <v>20.8845</v>
      </c>
      <c r="M3718" s="26" t="n">
        <v>0.2566</v>
      </c>
    </row>
    <row r="3719" ht="16" customHeight="1">
      <c r="A3719" t="inlineStr">
        <is>
          <t>03-Jul-2026</t>
        </is>
      </c>
      <c r="B3719" t="inlineStr">
        <is>
          <t>Friday</t>
        </is>
      </c>
      <c r="C3719" t="inlineStr">
        <is>
          <t>Week1-Jul-2026</t>
        </is>
      </c>
      <c r="D3719" s="78" t="n">
        <v>46204</v>
      </c>
      <c r="E3719" t="inlineStr">
        <is>
          <t>Q2FY27</t>
        </is>
      </c>
      <c r="F3719" t="inlineStr">
        <is>
          <t>29-Jun-2027</t>
        </is>
      </c>
      <c r="G3719" t="inlineStr">
        <is>
          <t>Tuesday</t>
        </is>
      </c>
      <c r="H3719" t="inlineStr">
        <is>
          <t>Monthly - Tuesday</t>
        </is>
      </c>
      <c r="I3719" t="inlineStr">
        <is>
          <t>Monthly - Tuesday</t>
        </is>
      </c>
      <c r="J3719" t="inlineStr">
        <is>
          <t>Month+11 Expiry</t>
        </is>
      </c>
      <c r="K3719" s="25" t="n">
        <v>3</v>
      </c>
      <c r="L3719" s="26" t="n">
        <v>0.0041</v>
      </c>
      <c r="M3719" s="26" t="n">
        <v>0</v>
      </c>
    </row>
    <row r="3720" ht="16" customHeight="1">
      <c r="A3720" t="inlineStr">
        <is>
          <t>03-Jul-2026</t>
        </is>
      </c>
      <c r="B3720" t="inlineStr">
        <is>
          <t>Friday</t>
        </is>
      </c>
      <c r="C3720" t="inlineStr">
        <is>
          <t>Week1-Jul-2026</t>
        </is>
      </c>
      <c r="D3720" s="78" t="n">
        <v>46204</v>
      </c>
      <c r="E3720" t="inlineStr">
        <is>
          <t>Q2FY27</t>
        </is>
      </c>
      <c r="F3720" t="inlineStr">
        <is>
          <t>28-Dec-2027</t>
        </is>
      </c>
      <c r="G3720" t="inlineStr">
        <is>
          <t>Tuesday</t>
        </is>
      </c>
      <c r="H3720" t="inlineStr">
        <is>
          <t>Monthly - Tuesday</t>
        </is>
      </c>
      <c r="I3720" t="inlineStr">
        <is>
          <t>Monthly - Tuesday</t>
        </is>
      </c>
      <c r="J3720" t="inlineStr">
        <is>
          <t>Month+17 Expiry</t>
        </is>
      </c>
      <c r="K3720" s="25" t="n">
        <v>548</v>
      </c>
      <c r="L3720" s="26" t="n">
        <v>0.9277</v>
      </c>
      <c r="M3720" s="26" t="n">
        <v>0.0379</v>
      </c>
    </row>
    <row r="3721" ht="16" customHeight="1">
      <c r="A3721" t="inlineStr">
        <is>
          <t>03-Jul-2026</t>
        </is>
      </c>
      <c r="B3721" t="inlineStr">
        <is>
          <t>Friday</t>
        </is>
      </c>
      <c r="C3721" t="inlineStr">
        <is>
          <t>Week1-Jul-2026</t>
        </is>
      </c>
      <c r="D3721" s="78" t="n">
        <v>46204</v>
      </c>
      <c r="E3721" t="inlineStr">
        <is>
          <t>Q2FY27</t>
        </is>
      </c>
      <c r="F3721" t="inlineStr">
        <is>
          <t>27-Jun-2028</t>
        </is>
      </c>
      <c r="G3721" t="inlineStr">
        <is>
          <t>Tuesday</t>
        </is>
      </c>
      <c r="H3721" t="inlineStr">
        <is>
          <t>Monthly - Tuesday</t>
        </is>
      </c>
      <c r="I3721" t="inlineStr">
        <is>
          <t>Monthly - Tuesday</t>
        </is>
      </c>
      <c r="J3721" t="inlineStr">
        <is>
          <t>Month+23 Expiry</t>
        </is>
      </c>
      <c r="K3721" s="25" t="n">
        <v>0</v>
      </c>
      <c r="L3721" s="26" t="n">
        <v>0</v>
      </c>
      <c r="M3721" s="26" t="n">
        <v>0</v>
      </c>
    </row>
    <row r="3722" ht="16" customHeight="1">
      <c r="A3722" t="inlineStr">
        <is>
          <t>03-Jul-2026</t>
        </is>
      </c>
      <c r="B3722" t="inlineStr">
        <is>
          <t>Friday</t>
        </is>
      </c>
      <c r="C3722" t="inlineStr">
        <is>
          <t>Week1-Jul-2026</t>
        </is>
      </c>
      <c r="D3722" s="78" t="n">
        <v>46204</v>
      </c>
      <c r="E3722" t="inlineStr">
        <is>
          <t>Q2FY27</t>
        </is>
      </c>
      <c r="F3722" t="inlineStr">
        <is>
          <t>26-Dec-2028</t>
        </is>
      </c>
      <c r="G3722" t="inlineStr">
        <is>
          <t>Tuesday</t>
        </is>
      </c>
      <c r="H3722" t="inlineStr">
        <is>
          <t>Monthly - Tuesday</t>
        </is>
      </c>
      <c r="I3722" t="inlineStr">
        <is>
          <t>Monthly - Tuesday</t>
        </is>
      </c>
      <c r="J3722" t="inlineStr">
        <is>
          <t>Month+29 Expiry</t>
        </is>
      </c>
      <c r="K3722" s="25" t="n">
        <v>11</v>
      </c>
      <c r="L3722" s="26" t="n">
        <v>0.0193</v>
      </c>
      <c r="M3722" s="26" t="n">
        <v>0.0012</v>
      </c>
    </row>
    <row r="3723" ht="16" customHeight="1">
      <c r="A3723" t="inlineStr">
        <is>
          <t>03-Jul-2026</t>
        </is>
      </c>
      <c r="B3723" t="inlineStr">
        <is>
          <t>Friday</t>
        </is>
      </c>
      <c r="C3723" t="inlineStr">
        <is>
          <t>Week1-Jul-2026</t>
        </is>
      </c>
      <c r="D3723" s="78" t="n">
        <v>46204</v>
      </c>
      <c r="E3723" t="inlineStr">
        <is>
          <t>Q2FY27</t>
        </is>
      </c>
      <c r="F3723" t="inlineStr">
        <is>
          <t>26-Jun-2029</t>
        </is>
      </c>
      <c r="G3723" t="inlineStr">
        <is>
          <t>Tuesday</t>
        </is>
      </c>
      <c r="H3723" t="inlineStr">
        <is>
          <t>Monthly - Tuesday</t>
        </is>
      </c>
      <c r="I3723" t="inlineStr">
        <is>
          <t>Monthly - Tuesday</t>
        </is>
      </c>
      <c r="J3723" t="inlineStr">
        <is>
          <t>Month+35 Expiry</t>
        </is>
      </c>
      <c r="K3723" s="25" t="n">
        <v>0</v>
      </c>
      <c r="L3723" s="26" t="n">
        <v>0</v>
      </c>
      <c r="M3723" s="26" t="n">
        <v>0</v>
      </c>
    </row>
    <row r="3724" ht="16" customHeight="1">
      <c r="A3724" t="inlineStr">
        <is>
          <t>03-Jul-2026</t>
        </is>
      </c>
      <c r="B3724" t="inlineStr">
        <is>
          <t>Friday</t>
        </is>
      </c>
      <c r="C3724" t="inlineStr">
        <is>
          <t>Week1-Jul-2026</t>
        </is>
      </c>
      <c r="D3724" s="78" t="n">
        <v>46204</v>
      </c>
      <c r="E3724" t="inlineStr">
        <is>
          <t>Q2FY27</t>
        </is>
      </c>
      <c r="F3724" t="inlineStr">
        <is>
          <t>24-Dec-2029</t>
        </is>
      </c>
      <c r="G3724" t="inlineStr">
        <is>
          <t>Monday</t>
        </is>
      </c>
      <c r="H3724" t="inlineStr">
        <is>
          <t>Weekly - Monday</t>
        </is>
      </c>
      <c r="I3724" t="inlineStr">
        <is>
          <t>Weekly - Monday</t>
        </is>
      </c>
      <c r="J3724" t="inlineStr">
        <is>
          <t>Month+41 Expiry</t>
        </is>
      </c>
      <c r="K3724" s="25" t="n">
        <v>1</v>
      </c>
      <c r="L3724" s="26" t="n">
        <v>0.0016</v>
      </c>
      <c r="M3724" s="26" t="n">
        <v>0.0001</v>
      </c>
    </row>
    <row r="3725" ht="16" customHeight="1">
      <c r="A3725" t="inlineStr">
        <is>
          <t>03-Jul-2026</t>
        </is>
      </c>
      <c r="B3725" t="inlineStr">
        <is>
          <t>Friday</t>
        </is>
      </c>
      <c r="C3725" t="inlineStr">
        <is>
          <t>Week1-Jul-2026</t>
        </is>
      </c>
      <c r="D3725" s="78" t="n">
        <v>46204</v>
      </c>
      <c r="E3725" t="inlineStr">
        <is>
          <t>Q2FY27</t>
        </is>
      </c>
      <c r="F3725" t="inlineStr">
        <is>
          <t>25-Jun-2030</t>
        </is>
      </c>
      <c r="G3725" t="inlineStr">
        <is>
          <t>Tuesday</t>
        </is>
      </c>
      <c r="H3725" t="inlineStr">
        <is>
          <t>Monthly - Tuesday</t>
        </is>
      </c>
      <c r="I3725" t="inlineStr">
        <is>
          <t>Monthly - Tuesday</t>
        </is>
      </c>
      <c r="J3725" t="inlineStr">
        <is>
          <t>Month+47 Expiry</t>
        </is>
      </c>
      <c r="K3725" s="25" t="n">
        <v>0</v>
      </c>
      <c r="L3725" s="26" t="n">
        <v>0</v>
      </c>
      <c r="M3725" s="26" t="n">
        <v>0</v>
      </c>
    </row>
    <row r="3726" ht="16" customHeight="1">
      <c r="A3726" t="inlineStr">
        <is>
          <t>03-Jul-2026</t>
        </is>
      </c>
      <c r="B3726" t="inlineStr">
        <is>
          <t>Friday</t>
        </is>
      </c>
      <c r="C3726" t="inlineStr">
        <is>
          <t>Week1-Jul-2026</t>
        </is>
      </c>
      <c r="D3726" s="78" t="n">
        <v>46204</v>
      </c>
      <c r="E3726" t="inlineStr">
        <is>
          <t>Q2FY27</t>
        </is>
      </c>
      <c r="F3726" t="inlineStr">
        <is>
          <t>31-Dec-2030</t>
        </is>
      </c>
      <c r="G3726" t="inlineStr">
        <is>
          <t>Tuesday</t>
        </is>
      </c>
      <c r="H3726" t="inlineStr">
        <is>
          <t>Monthly - Tuesday</t>
        </is>
      </c>
      <c r="I3726" t="inlineStr">
        <is>
          <t>Monthly - Tuesday</t>
        </is>
      </c>
      <c r="J3726" t="inlineStr">
        <is>
          <t>Month+53 Expiry</t>
        </is>
      </c>
      <c r="K3726" s="25" t="n">
        <v>0</v>
      </c>
      <c r="L3726" s="26" t="n">
        <v>0</v>
      </c>
      <c r="M3726" s="26" t="n">
        <v>0</v>
      </c>
    </row>
    <row r="3727" ht="16" customHeight="1">
      <c r="A3727" t="inlineStr">
        <is>
          <t>03-Jul-2026</t>
        </is>
      </c>
      <c r="B3727" t="inlineStr">
        <is>
          <t>Friday</t>
        </is>
      </c>
      <c r="C3727" t="inlineStr">
        <is>
          <t>Week1-Jul-2026</t>
        </is>
      </c>
      <c r="D3727" s="78" t="n">
        <v>46204</v>
      </c>
      <c r="E3727" t="inlineStr">
        <is>
          <t>Q2FY27</t>
        </is>
      </c>
      <c r="F3727" t="inlineStr">
        <is>
          <t>24-Jun-2031</t>
        </is>
      </c>
      <c r="G3727" t="inlineStr">
        <is>
          <t>Tuesday</t>
        </is>
      </c>
      <c r="H3727" t="inlineStr">
        <is>
          <t>Monthly - Tuesday</t>
        </is>
      </c>
      <c r="I3727" t="inlineStr">
        <is>
          <t>Monthly - Tuesday</t>
        </is>
      </c>
      <c r="J3727" t="inlineStr">
        <is>
          <t>Month+59 Expiry</t>
        </is>
      </c>
      <c r="K3727" s="25" t="n">
        <v>0</v>
      </c>
      <c r="L3727" s="26" t="n">
        <v>0</v>
      </c>
      <c r="M3727" s="26" t="n">
        <v>0</v>
      </c>
    </row>
    <row r="3728" ht="16" customHeight="1">
      <c r="A3728" t="inlineStr">
        <is>
          <t>06-Jul-2026</t>
        </is>
      </c>
      <c r="B3728" t="inlineStr">
        <is>
          <t>Monday</t>
        </is>
      </c>
      <c r="C3728" t="inlineStr">
        <is>
          <t>Week1-Jul-2026</t>
        </is>
      </c>
      <c r="D3728" s="78" t="n">
        <v>46204</v>
      </c>
      <c r="E3728" t="inlineStr">
        <is>
          <t>Q2FY27</t>
        </is>
      </c>
      <c r="F3728" t="inlineStr">
        <is>
          <t>07-Jul-2026</t>
        </is>
      </c>
      <c r="G3728" t="inlineStr">
        <is>
          <t>Tuesday</t>
        </is>
      </c>
      <c r="H3728" t="inlineStr">
        <is>
          <t>Weekly - Tuesday</t>
        </is>
      </c>
      <c r="I3728" t="inlineStr">
        <is>
          <t>Weekly - Tuesday</t>
        </is>
      </c>
      <c r="J3728" t="inlineStr">
        <is>
          <t>Same Month Expiry</t>
        </is>
      </c>
      <c r="K3728" s="25" t="n">
        <v>119595595</v>
      </c>
      <c r="L3728" s="26" t="n">
        <v>189417.5305</v>
      </c>
      <c r="M3728" s="26" t="n">
        <v>322.3633</v>
      </c>
    </row>
    <row r="3729" ht="16" customHeight="1">
      <c r="A3729" t="inlineStr">
        <is>
          <t>06-Jul-2026</t>
        </is>
      </c>
      <c r="B3729" t="inlineStr">
        <is>
          <t>Monday</t>
        </is>
      </c>
      <c r="C3729" t="inlineStr">
        <is>
          <t>Week1-Jul-2026</t>
        </is>
      </c>
      <c r="D3729" s="78" t="n">
        <v>46204</v>
      </c>
      <c r="E3729" t="inlineStr">
        <is>
          <t>Q2FY27</t>
        </is>
      </c>
      <c r="F3729" t="inlineStr">
        <is>
          <t>14-Jul-2026</t>
        </is>
      </c>
      <c r="G3729" t="inlineStr">
        <is>
          <t>Tuesday</t>
        </is>
      </c>
      <c r="H3729" t="inlineStr">
        <is>
          <t>Weekly - Tuesday</t>
        </is>
      </c>
      <c r="I3729" t="inlineStr">
        <is>
          <t>Weekly - Tuesday</t>
        </is>
      </c>
      <c r="J3729" t="inlineStr">
        <is>
          <t>Same Month Expiry</t>
        </is>
      </c>
      <c r="K3729" s="25" t="n">
        <v>4195721</v>
      </c>
      <c r="L3729" s="26" t="n">
        <v>6638.8024</v>
      </c>
      <c r="M3729" s="26" t="n">
        <v>20.8036</v>
      </c>
    </row>
    <row r="3730" ht="16" customHeight="1">
      <c r="A3730" t="inlineStr">
        <is>
          <t>06-Jul-2026</t>
        </is>
      </c>
      <c r="B3730" t="inlineStr">
        <is>
          <t>Monday</t>
        </is>
      </c>
      <c r="C3730" t="inlineStr">
        <is>
          <t>Week1-Jul-2026</t>
        </is>
      </c>
      <c r="D3730" s="78" t="n">
        <v>46204</v>
      </c>
      <c r="E3730" t="inlineStr">
        <is>
          <t>Q2FY27</t>
        </is>
      </c>
      <c r="F3730" t="inlineStr">
        <is>
          <t>21-Jul-2026</t>
        </is>
      </c>
      <c r="G3730" t="inlineStr">
        <is>
          <t>Tuesday</t>
        </is>
      </c>
      <c r="H3730" t="inlineStr">
        <is>
          <t>Weekly - Tuesday</t>
        </is>
      </c>
      <c r="I3730" t="inlineStr">
        <is>
          <t>Weekly - Tuesday</t>
        </is>
      </c>
      <c r="J3730" t="inlineStr">
        <is>
          <t>Same Month Expiry</t>
        </is>
      </c>
      <c r="K3730" s="25" t="n">
        <v>193767</v>
      </c>
      <c r="L3730" s="26" t="n">
        <v>306.4599</v>
      </c>
      <c r="M3730" s="26" t="n">
        <v>1.2495</v>
      </c>
    </row>
    <row r="3731" ht="16" customHeight="1">
      <c r="A3731" t="inlineStr">
        <is>
          <t>06-Jul-2026</t>
        </is>
      </c>
      <c r="B3731" t="inlineStr">
        <is>
          <t>Monday</t>
        </is>
      </c>
      <c r="C3731" t="inlineStr">
        <is>
          <t>Week1-Jul-2026</t>
        </is>
      </c>
      <c r="D3731" s="78" t="n">
        <v>46204</v>
      </c>
      <c r="E3731" t="inlineStr">
        <is>
          <t>Q2FY27</t>
        </is>
      </c>
      <c r="F3731" t="inlineStr">
        <is>
          <t>28-Jul-2026</t>
        </is>
      </c>
      <c r="G3731" t="inlineStr">
        <is>
          <t>Tuesday</t>
        </is>
      </c>
      <c r="H3731" t="inlineStr">
        <is>
          <t>Monthly - Tuesday</t>
        </is>
      </c>
      <c r="I3731" t="inlineStr">
        <is>
          <t>Monthly - Tuesday</t>
        </is>
      </c>
      <c r="J3731" t="inlineStr">
        <is>
          <t>Same Month Expiry</t>
        </is>
      </c>
      <c r="K3731" s="25" t="n">
        <v>1224323</v>
      </c>
      <c r="L3731" s="26" t="n">
        <v>1941.4849</v>
      </c>
      <c r="M3731" s="26" t="n">
        <v>12.8293</v>
      </c>
    </row>
    <row r="3732" ht="16" customHeight="1">
      <c r="A3732" t="inlineStr">
        <is>
          <t>06-Jul-2026</t>
        </is>
      </c>
      <c r="B3732" t="inlineStr">
        <is>
          <t>Monday</t>
        </is>
      </c>
      <c r="C3732" t="inlineStr">
        <is>
          <t>Week1-Jul-2026</t>
        </is>
      </c>
      <c r="D3732" s="78" t="n">
        <v>46204</v>
      </c>
      <c r="E3732" t="inlineStr">
        <is>
          <t>Q2FY27</t>
        </is>
      </c>
      <c r="F3732" t="inlineStr">
        <is>
          <t>04-Aug-2026</t>
        </is>
      </c>
      <c r="G3732" t="inlineStr">
        <is>
          <t>Tuesday</t>
        </is>
      </c>
      <c r="H3732" t="inlineStr">
        <is>
          <t>Weekly - Tuesday</t>
        </is>
      </c>
      <c r="I3732" t="inlineStr">
        <is>
          <t>Weekly - Tuesday</t>
        </is>
      </c>
      <c r="J3732" t="inlineStr">
        <is>
          <t>Month+1 Expiry</t>
        </is>
      </c>
      <c r="K3732" s="25" t="n">
        <v>5437</v>
      </c>
      <c r="L3732" s="26" t="n">
        <v>8.657</v>
      </c>
      <c r="M3732" s="26" t="n">
        <v>0.0557</v>
      </c>
    </row>
    <row r="3733" ht="16" customHeight="1">
      <c r="A3733" t="inlineStr">
        <is>
          <t>06-Jul-2026</t>
        </is>
      </c>
      <c r="B3733" t="inlineStr">
        <is>
          <t>Monday</t>
        </is>
      </c>
      <c r="C3733" t="inlineStr">
        <is>
          <t>Week1-Jul-2026</t>
        </is>
      </c>
      <c r="D3733" s="78" t="n">
        <v>46204</v>
      </c>
      <c r="E3733" t="inlineStr">
        <is>
          <t>Q2FY27</t>
        </is>
      </c>
      <c r="F3733" t="inlineStr">
        <is>
          <t>25-Aug-2026</t>
        </is>
      </c>
      <c r="G3733" t="inlineStr">
        <is>
          <t>Tuesday</t>
        </is>
      </c>
      <c r="H3733" t="inlineStr">
        <is>
          <t>Monthly - Tuesday</t>
        </is>
      </c>
      <c r="I3733" t="inlineStr">
        <is>
          <t>Monthly - Tuesday</t>
        </is>
      </c>
      <c r="J3733" t="inlineStr">
        <is>
          <t>Month+1 Expiry</t>
        </is>
      </c>
      <c r="K3733" s="25" t="n">
        <v>161671</v>
      </c>
      <c r="L3733" s="26" t="n">
        <v>254.4023</v>
      </c>
      <c r="M3733" s="26" t="n">
        <v>2.2243</v>
      </c>
    </row>
    <row r="3734" ht="16" customHeight="1">
      <c r="A3734" t="inlineStr">
        <is>
          <t>06-Jul-2026</t>
        </is>
      </c>
      <c r="B3734" t="inlineStr">
        <is>
          <t>Monday</t>
        </is>
      </c>
      <c r="C3734" t="inlineStr">
        <is>
          <t>Week1-Jul-2026</t>
        </is>
      </c>
      <c r="D3734" s="78" t="n">
        <v>46204</v>
      </c>
      <c r="E3734" t="inlineStr">
        <is>
          <t>Q2FY27</t>
        </is>
      </c>
      <c r="F3734" t="inlineStr">
        <is>
          <t>29-Sep-2026</t>
        </is>
      </c>
      <c r="G3734" t="inlineStr">
        <is>
          <t>Tuesday</t>
        </is>
      </c>
      <c r="H3734" t="inlineStr">
        <is>
          <t>Monthly - Tuesday</t>
        </is>
      </c>
      <c r="I3734" t="inlineStr">
        <is>
          <t>Monthly - Tuesday</t>
        </is>
      </c>
      <c r="J3734" t="inlineStr">
        <is>
          <t>Month+2 Expiry</t>
        </is>
      </c>
      <c r="K3734" s="25" t="n">
        <v>60234</v>
      </c>
      <c r="L3734" s="26" t="n">
        <v>93.7573</v>
      </c>
      <c r="M3734" s="26" t="n">
        <v>1.0492</v>
      </c>
    </row>
    <row r="3735" ht="16" customHeight="1">
      <c r="A3735" t="inlineStr">
        <is>
          <t>06-Jul-2026</t>
        </is>
      </c>
      <c r="B3735" t="inlineStr">
        <is>
          <t>Monday</t>
        </is>
      </c>
      <c r="C3735" t="inlineStr">
        <is>
          <t>Week1-Jul-2026</t>
        </is>
      </c>
      <c r="D3735" s="78" t="n">
        <v>46204</v>
      </c>
      <c r="E3735" t="inlineStr">
        <is>
          <t>Q2FY27</t>
        </is>
      </c>
      <c r="F3735" t="inlineStr">
        <is>
          <t>29-Dec-2026</t>
        </is>
      </c>
      <c r="G3735" t="inlineStr">
        <is>
          <t>Tuesday</t>
        </is>
      </c>
      <c r="H3735" t="inlineStr">
        <is>
          <t>Monthly - Tuesday</t>
        </is>
      </c>
      <c r="I3735" t="inlineStr">
        <is>
          <t>Monthly - Tuesday</t>
        </is>
      </c>
      <c r="J3735" t="inlineStr">
        <is>
          <t>Month+5 Expiry</t>
        </is>
      </c>
      <c r="K3735" s="25" t="n">
        <v>45979</v>
      </c>
      <c r="L3735" s="26" t="n">
        <v>73.55929999999999</v>
      </c>
      <c r="M3735" s="26" t="n">
        <v>1.4262</v>
      </c>
    </row>
    <row r="3736" ht="16" customHeight="1">
      <c r="A3736" t="inlineStr">
        <is>
          <t>06-Jul-2026</t>
        </is>
      </c>
      <c r="B3736" t="inlineStr">
        <is>
          <t>Monday</t>
        </is>
      </c>
      <c r="C3736" t="inlineStr">
        <is>
          <t>Week1-Jul-2026</t>
        </is>
      </c>
      <c r="D3736" s="78" t="n">
        <v>46204</v>
      </c>
      <c r="E3736" t="inlineStr">
        <is>
          <t>Q2FY27</t>
        </is>
      </c>
      <c r="F3736" t="inlineStr">
        <is>
          <t>30-Mar-2027</t>
        </is>
      </c>
      <c r="G3736" t="inlineStr">
        <is>
          <t>Tuesday</t>
        </is>
      </c>
      <c r="H3736" t="inlineStr">
        <is>
          <t>Monthly - Tuesday</t>
        </is>
      </c>
      <c r="I3736" t="inlineStr">
        <is>
          <t>Monthly - Tuesday</t>
        </is>
      </c>
      <c r="J3736" t="inlineStr">
        <is>
          <t>Month+8 Expiry</t>
        </is>
      </c>
      <c r="K3736" s="25" t="n">
        <v>1684</v>
      </c>
      <c r="L3736" s="26" t="n">
        <v>2.6502</v>
      </c>
      <c r="M3736" s="26" t="n">
        <v>0.0296</v>
      </c>
    </row>
    <row r="3737" ht="16" customHeight="1">
      <c r="A3737" t="inlineStr">
        <is>
          <t>06-Jul-2026</t>
        </is>
      </c>
      <c r="B3737" t="inlineStr">
        <is>
          <t>Monday</t>
        </is>
      </c>
      <c r="C3737" t="inlineStr">
        <is>
          <t>Week1-Jul-2026</t>
        </is>
      </c>
      <c r="D3737" s="78" t="n">
        <v>46204</v>
      </c>
      <c r="E3737" t="inlineStr">
        <is>
          <t>Q2FY27</t>
        </is>
      </c>
      <c r="F3737" t="inlineStr">
        <is>
          <t>29-Jun-2027</t>
        </is>
      </c>
      <c r="G3737" t="inlineStr">
        <is>
          <t>Tuesday</t>
        </is>
      </c>
      <c r="H3737" t="inlineStr">
        <is>
          <t>Monthly - Tuesday</t>
        </is>
      </c>
      <c r="I3737" t="inlineStr">
        <is>
          <t>Monthly - Tuesday</t>
        </is>
      </c>
      <c r="J3737" t="inlineStr">
        <is>
          <t>Month+11 Expiry</t>
        </is>
      </c>
      <c r="K3737" s="25" t="n">
        <v>2</v>
      </c>
      <c r="L3737" s="26" t="n">
        <v>0.0028</v>
      </c>
      <c r="M3737" s="26" t="n">
        <v>0</v>
      </c>
    </row>
    <row r="3738" ht="16" customHeight="1">
      <c r="A3738" t="inlineStr">
        <is>
          <t>06-Jul-2026</t>
        </is>
      </c>
      <c r="B3738" t="inlineStr">
        <is>
          <t>Monday</t>
        </is>
      </c>
      <c r="C3738" t="inlineStr">
        <is>
          <t>Week1-Jul-2026</t>
        </is>
      </c>
      <c r="D3738" s="78" t="n">
        <v>46204</v>
      </c>
      <c r="E3738" t="inlineStr">
        <is>
          <t>Q2FY27</t>
        </is>
      </c>
      <c r="F3738" t="inlineStr">
        <is>
          <t>28-Dec-2027</t>
        </is>
      </c>
      <c r="G3738" t="inlineStr">
        <is>
          <t>Tuesday</t>
        </is>
      </c>
      <c r="H3738" t="inlineStr">
        <is>
          <t>Monthly - Tuesday</t>
        </is>
      </c>
      <c r="I3738" t="inlineStr">
        <is>
          <t>Monthly - Tuesday</t>
        </is>
      </c>
      <c r="J3738" t="inlineStr">
        <is>
          <t>Month+17 Expiry</t>
        </is>
      </c>
      <c r="K3738" s="25" t="n">
        <v>516</v>
      </c>
      <c r="L3738" s="26" t="n">
        <v>0.8768</v>
      </c>
      <c r="M3738" s="26" t="n">
        <v>0.0349</v>
      </c>
    </row>
    <row r="3739" ht="16" customHeight="1">
      <c r="A3739" t="inlineStr">
        <is>
          <t>06-Jul-2026</t>
        </is>
      </c>
      <c r="B3739" t="inlineStr">
        <is>
          <t>Monday</t>
        </is>
      </c>
      <c r="C3739" t="inlineStr">
        <is>
          <t>Week1-Jul-2026</t>
        </is>
      </c>
      <c r="D3739" s="78" t="n">
        <v>46204</v>
      </c>
      <c r="E3739" t="inlineStr">
        <is>
          <t>Q2FY27</t>
        </is>
      </c>
      <c r="F3739" t="inlineStr">
        <is>
          <t>27-Jun-2028</t>
        </is>
      </c>
      <c r="G3739" t="inlineStr">
        <is>
          <t>Tuesday</t>
        </is>
      </c>
      <c r="H3739" t="inlineStr">
        <is>
          <t>Monthly - Tuesday</t>
        </is>
      </c>
      <c r="I3739" t="inlineStr">
        <is>
          <t>Monthly - Tuesday</t>
        </is>
      </c>
      <c r="J3739" t="inlineStr">
        <is>
          <t>Month+23 Expiry</t>
        </is>
      </c>
      <c r="K3739" s="25" t="n">
        <v>0</v>
      </c>
      <c r="L3739" s="26" t="n">
        <v>0</v>
      </c>
      <c r="M3739" s="26" t="n">
        <v>0</v>
      </c>
    </row>
    <row r="3740" ht="16" customHeight="1">
      <c r="A3740" t="inlineStr">
        <is>
          <t>06-Jul-2026</t>
        </is>
      </c>
      <c r="B3740" t="inlineStr">
        <is>
          <t>Monday</t>
        </is>
      </c>
      <c r="C3740" t="inlineStr">
        <is>
          <t>Week1-Jul-2026</t>
        </is>
      </c>
      <c r="D3740" s="78" t="n">
        <v>46204</v>
      </c>
      <c r="E3740" t="inlineStr">
        <is>
          <t>Q2FY27</t>
        </is>
      </c>
      <c r="F3740" t="inlineStr">
        <is>
          <t>26-Dec-2028</t>
        </is>
      </c>
      <c r="G3740" t="inlineStr">
        <is>
          <t>Tuesday</t>
        </is>
      </c>
      <c r="H3740" t="inlineStr">
        <is>
          <t>Monthly - Tuesday</t>
        </is>
      </c>
      <c r="I3740" t="inlineStr">
        <is>
          <t>Monthly - Tuesday</t>
        </is>
      </c>
      <c r="J3740" t="inlineStr">
        <is>
          <t>Month+29 Expiry</t>
        </is>
      </c>
      <c r="K3740" s="25" t="n">
        <v>4</v>
      </c>
      <c r="L3740" s="26" t="n">
        <v>0.0068</v>
      </c>
      <c r="M3740" s="26" t="n">
        <v>0.0003</v>
      </c>
    </row>
    <row r="3741" ht="16" customHeight="1">
      <c r="A3741" t="inlineStr">
        <is>
          <t>06-Jul-2026</t>
        </is>
      </c>
      <c r="B3741" t="inlineStr">
        <is>
          <t>Monday</t>
        </is>
      </c>
      <c r="C3741" t="inlineStr">
        <is>
          <t>Week1-Jul-2026</t>
        </is>
      </c>
      <c r="D3741" s="78" t="n">
        <v>46204</v>
      </c>
      <c r="E3741" t="inlineStr">
        <is>
          <t>Q2FY27</t>
        </is>
      </c>
      <c r="F3741" t="inlineStr">
        <is>
          <t>26-Jun-2029</t>
        </is>
      </c>
      <c r="G3741" t="inlineStr">
        <is>
          <t>Tuesday</t>
        </is>
      </c>
      <c r="H3741" t="inlineStr">
        <is>
          <t>Monthly - Tuesday</t>
        </is>
      </c>
      <c r="I3741" t="inlineStr">
        <is>
          <t>Monthly - Tuesday</t>
        </is>
      </c>
      <c r="J3741" t="inlineStr">
        <is>
          <t>Month+35 Expiry</t>
        </is>
      </c>
      <c r="K3741" s="25" t="n">
        <v>0</v>
      </c>
      <c r="L3741" s="26" t="n">
        <v>0</v>
      </c>
      <c r="M3741" s="26" t="n">
        <v>0</v>
      </c>
    </row>
    <row r="3742" ht="16" customHeight="1">
      <c r="A3742" t="inlineStr">
        <is>
          <t>06-Jul-2026</t>
        </is>
      </c>
      <c r="B3742" t="inlineStr">
        <is>
          <t>Monday</t>
        </is>
      </c>
      <c r="C3742" t="inlineStr">
        <is>
          <t>Week1-Jul-2026</t>
        </is>
      </c>
      <c r="D3742" s="78" t="n">
        <v>46204</v>
      </c>
      <c r="E3742" t="inlineStr">
        <is>
          <t>Q2FY27</t>
        </is>
      </c>
      <c r="F3742" t="inlineStr">
        <is>
          <t>24-Dec-2029</t>
        </is>
      </c>
      <c r="G3742" t="inlineStr">
        <is>
          <t>Monday</t>
        </is>
      </c>
      <c r="H3742" t="inlineStr">
        <is>
          <t>Weekly - Monday</t>
        </is>
      </c>
      <c r="I3742" t="inlineStr">
        <is>
          <t>Weekly - Monday</t>
        </is>
      </c>
      <c r="J3742" t="inlineStr">
        <is>
          <t>Month+41 Expiry</t>
        </is>
      </c>
      <c r="K3742" s="25" t="n">
        <v>1</v>
      </c>
      <c r="L3742" s="26" t="n">
        <v>0.0016</v>
      </c>
      <c r="M3742" s="26" t="n">
        <v>0.0001</v>
      </c>
    </row>
    <row r="3743" ht="16" customHeight="1">
      <c r="A3743" t="inlineStr">
        <is>
          <t>06-Jul-2026</t>
        </is>
      </c>
      <c r="B3743" t="inlineStr">
        <is>
          <t>Monday</t>
        </is>
      </c>
      <c r="C3743" t="inlineStr">
        <is>
          <t>Week1-Jul-2026</t>
        </is>
      </c>
      <c r="D3743" s="78" t="n">
        <v>46204</v>
      </c>
      <c r="E3743" t="inlineStr">
        <is>
          <t>Q2FY27</t>
        </is>
      </c>
      <c r="F3743" t="inlineStr">
        <is>
          <t>25-Jun-2030</t>
        </is>
      </c>
      <c r="G3743" t="inlineStr">
        <is>
          <t>Tuesday</t>
        </is>
      </c>
      <c r="H3743" t="inlineStr">
        <is>
          <t>Monthly - Tuesday</t>
        </is>
      </c>
      <c r="I3743" t="inlineStr">
        <is>
          <t>Monthly - Tuesday</t>
        </is>
      </c>
      <c r="J3743" t="inlineStr">
        <is>
          <t>Month+47 Expiry</t>
        </is>
      </c>
      <c r="K3743" s="25" t="n">
        <v>0</v>
      </c>
      <c r="L3743" s="26" t="n">
        <v>0</v>
      </c>
      <c r="M3743" s="26" t="n">
        <v>0</v>
      </c>
    </row>
    <row r="3744" ht="16" customHeight="1">
      <c r="A3744" t="inlineStr">
        <is>
          <t>06-Jul-2026</t>
        </is>
      </c>
      <c r="B3744" t="inlineStr">
        <is>
          <t>Monday</t>
        </is>
      </c>
      <c r="C3744" t="inlineStr">
        <is>
          <t>Week1-Jul-2026</t>
        </is>
      </c>
      <c r="D3744" s="78" t="n">
        <v>46204</v>
      </c>
      <c r="E3744" t="inlineStr">
        <is>
          <t>Q2FY27</t>
        </is>
      </c>
      <c r="F3744" t="inlineStr">
        <is>
          <t>31-Dec-2030</t>
        </is>
      </c>
      <c r="G3744" t="inlineStr">
        <is>
          <t>Tuesday</t>
        </is>
      </c>
      <c r="H3744" t="inlineStr">
        <is>
          <t>Monthly - Tuesday</t>
        </is>
      </c>
      <c r="I3744" t="inlineStr">
        <is>
          <t>Monthly - Tuesday</t>
        </is>
      </c>
      <c r="J3744" t="inlineStr">
        <is>
          <t>Month+53 Expiry</t>
        </is>
      </c>
      <c r="K3744" s="25" t="n">
        <v>0</v>
      </c>
      <c r="L3744" s="26" t="n">
        <v>0</v>
      </c>
      <c r="M3744" s="26" t="n">
        <v>0</v>
      </c>
    </row>
    <row r="3745" ht="16" customHeight="1">
      <c r="A3745" t="inlineStr">
        <is>
          <t>06-Jul-2026</t>
        </is>
      </c>
      <c r="B3745" t="inlineStr">
        <is>
          <t>Monday</t>
        </is>
      </c>
      <c r="C3745" t="inlineStr">
        <is>
          <t>Week1-Jul-2026</t>
        </is>
      </c>
      <c r="D3745" s="78" t="n">
        <v>46204</v>
      </c>
      <c r="E3745" t="inlineStr">
        <is>
          <t>Q2FY27</t>
        </is>
      </c>
      <c r="F3745" t="inlineStr">
        <is>
          <t>24-Jun-2031</t>
        </is>
      </c>
      <c r="G3745" t="inlineStr">
        <is>
          <t>Tuesday</t>
        </is>
      </c>
      <c r="H3745" t="inlineStr">
        <is>
          <t>Monthly - Tuesday</t>
        </is>
      </c>
      <c r="I3745" t="inlineStr">
        <is>
          <t>Monthly - Tuesday</t>
        </is>
      </c>
      <c r="J3745" t="inlineStr">
        <is>
          <t>Month+59 Expiry</t>
        </is>
      </c>
      <c r="K3745" s="25" t="n">
        <v>0</v>
      </c>
      <c r="L3745" s="26" t="n">
        <v>0</v>
      </c>
      <c r="M3745" s="26" t="n">
        <v>0</v>
      </c>
    </row>
    <row r="3746" ht="16" customHeight="1">
      <c r="A3746" t="inlineStr">
        <is>
          <t>07-Jul-2026</t>
        </is>
      </c>
      <c r="B3746" t="inlineStr">
        <is>
          <t>Tuesday</t>
        </is>
      </c>
      <c r="C3746" t="inlineStr">
        <is>
          <t>Week1-Jul-2026</t>
        </is>
      </c>
      <c r="D3746" s="78" t="n">
        <v>46204</v>
      </c>
      <c r="E3746" t="inlineStr">
        <is>
          <t>Q2FY27</t>
        </is>
      </c>
      <c r="F3746" t="inlineStr">
        <is>
          <t>07-Jul-2026</t>
        </is>
      </c>
      <c r="G3746" t="inlineStr">
        <is>
          <t>Tuesday</t>
        </is>
      </c>
      <c r="H3746" t="inlineStr">
        <is>
          <t>Weekly - Tuesday</t>
        </is>
      </c>
      <c r="I3746" t="inlineStr">
        <is>
          <t>Weekly - Tuesday</t>
        </is>
      </c>
      <c r="J3746" t="inlineStr">
        <is>
          <t>Same Month Expiry</t>
        </is>
      </c>
      <c r="K3746" s="25" t="n">
        <v>375946856</v>
      </c>
      <c r="L3746" s="26" t="n">
        <v>597304.964</v>
      </c>
      <c r="M3746" s="26" t="n">
        <v>510.2098</v>
      </c>
    </row>
    <row r="3747" ht="16" customHeight="1">
      <c r="A3747" t="inlineStr">
        <is>
          <t>07-Jul-2026</t>
        </is>
      </c>
      <c r="B3747" t="inlineStr">
        <is>
          <t>Tuesday</t>
        </is>
      </c>
      <c r="C3747" t="inlineStr">
        <is>
          <t>Week1-Jul-2026</t>
        </is>
      </c>
      <c r="D3747" s="78" t="n">
        <v>46204</v>
      </c>
      <c r="E3747" t="inlineStr">
        <is>
          <t>Q2FY27</t>
        </is>
      </c>
      <c r="F3747" t="inlineStr">
        <is>
          <t>14-Jul-2026</t>
        </is>
      </c>
      <c r="G3747" t="inlineStr">
        <is>
          <t>Tuesday</t>
        </is>
      </c>
      <c r="H3747" t="inlineStr">
        <is>
          <t>Weekly - Tuesday</t>
        </is>
      </c>
      <c r="I3747" t="inlineStr">
        <is>
          <t>Weekly - Tuesday</t>
        </is>
      </c>
      <c r="J3747" t="inlineStr">
        <is>
          <t>Same Month Expiry</t>
        </is>
      </c>
      <c r="K3747" s="25" t="n">
        <v>9370923</v>
      </c>
      <c r="L3747" s="26" t="n">
        <v>14902.3911</v>
      </c>
      <c r="M3747" s="26" t="n">
        <v>46.1537</v>
      </c>
    </row>
    <row r="3748" ht="16" customHeight="1">
      <c r="A3748" t="inlineStr">
        <is>
          <t>07-Jul-2026</t>
        </is>
      </c>
      <c r="B3748" t="inlineStr">
        <is>
          <t>Tuesday</t>
        </is>
      </c>
      <c r="C3748" t="inlineStr">
        <is>
          <t>Week1-Jul-2026</t>
        </is>
      </c>
      <c r="D3748" s="78" t="n">
        <v>46204</v>
      </c>
      <c r="E3748" t="inlineStr">
        <is>
          <t>Q2FY27</t>
        </is>
      </c>
      <c r="F3748" t="inlineStr">
        <is>
          <t>21-Jul-2026</t>
        </is>
      </c>
      <c r="G3748" t="inlineStr">
        <is>
          <t>Tuesday</t>
        </is>
      </c>
      <c r="H3748" t="inlineStr">
        <is>
          <t>Weekly - Tuesday</t>
        </is>
      </c>
      <c r="I3748" t="inlineStr">
        <is>
          <t>Weekly - Tuesday</t>
        </is>
      </c>
      <c r="J3748" t="inlineStr">
        <is>
          <t>Same Month Expiry</t>
        </is>
      </c>
      <c r="K3748" s="25" t="n">
        <v>329609</v>
      </c>
      <c r="L3748" s="26" t="n">
        <v>522.9234</v>
      </c>
      <c r="M3748" s="26" t="n">
        <v>2.0014</v>
      </c>
    </row>
    <row r="3749" ht="16" customHeight="1">
      <c r="A3749" t="inlineStr">
        <is>
          <t>07-Jul-2026</t>
        </is>
      </c>
      <c r="B3749" t="inlineStr">
        <is>
          <t>Tuesday</t>
        </is>
      </c>
      <c r="C3749" t="inlineStr">
        <is>
          <t>Week1-Jul-2026</t>
        </is>
      </c>
      <c r="D3749" s="78" t="n">
        <v>46204</v>
      </c>
      <c r="E3749" t="inlineStr">
        <is>
          <t>Q2FY27</t>
        </is>
      </c>
      <c r="F3749" t="inlineStr">
        <is>
          <t>28-Jul-2026</t>
        </is>
      </c>
      <c r="G3749" t="inlineStr">
        <is>
          <t>Tuesday</t>
        </is>
      </c>
      <c r="H3749" t="inlineStr">
        <is>
          <t>Monthly - Tuesday</t>
        </is>
      </c>
      <c r="I3749" t="inlineStr">
        <is>
          <t>Monthly - Tuesday</t>
        </is>
      </c>
      <c r="J3749" t="inlineStr">
        <is>
          <t>Same Month Expiry</t>
        </is>
      </c>
      <c r="K3749" s="25" t="n">
        <v>1169110</v>
      </c>
      <c r="L3749" s="26" t="n">
        <v>1858.9981</v>
      </c>
      <c r="M3749" s="26" t="n">
        <v>12.4006</v>
      </c>
    </row>
    <row r="3750" ht="16" customHeight="1">
      <c r="A3750" t="inlineStr">
        <is>
          <t>07-Jul-2026</t>
        </is>
      </c>
      <c r="B3750" t="inlineStr">
        <is>
          <t>Tuesday</t>
        </is>
      </c>
      <c r="C3750" t="inlineStr">
        <is>
          <t>Week1-Jul-2026</t>
        </is>
      </c>
      <c r="D3750" s="78" t="n">
        <v>46204</v>
      </c>
      <c r="E3750" t="inlineStr">
        <is>
          <t>Q2FY27</t>
        </is>
      </c>
      <c r="F3750" t="inlineStr">
        <is>
          <t>04-Aug-2026</t>
        </is>
      </c>
      <c r="G3750" t="inlineStr">
        <is>
          <t>Tuesday</t>
        </is>
      </c>
      <c r="H3750" t="inlineStr">
        <is>
          <t>Weekly - Tuesday</t>
        </is>
      </c>
      <c r="I3750" t="inlineStr">
        <is>
          <t>Weekly - Tuesday</t>
        </is>
      </c>
      <c r="J3750" t="inlineStr">
        <is>
          <t>Month+1 Expiry</t>
        </is>
      </c>
      <c r="K3750" s="25" t="n">
        <v>8166</v>
      </c>
      <c r="L3750" s="26" t="n">
        <v>12.9804</v>
      </c>
      <c r="M3750" s="26" t="n">
        <v>0.08699999999999999</v>
      </c>
    </row>
    <row r="3751" ht="16" customHeight="1">
      <c r="A3751" t="inlineStr">
        <is>
          <t>07-Jul-2026</t>
        </is>
      </c>
      <c r="B3751" t="inlineStr">
        <is>
          <t>Tuesday</t>
        </is>
      </c>
      <c r="C3751" t="inlineStr">
        <is>
          <t>Week1-Jul-2026</t>
        </is>
      </c>
      <c r="D3751" s="78" t="n">
        <v>46204</v>
      </c>
      <c r="E3751" t="inlineStr">
        <is>
          <t>Q2FY27</t>
        </is>
      </c>
      <c r="F3751" t="inlineStr">
        <is>
          <t>25-Aug-2026</t>
        </is>
      </c>
      <c r="G3751" t="inlineStr">
        <is>
          <t>Tuesday</t>
        </is>
      </c>
      <c r="H3751" t="inlineStr">
        <is>
          <t>Monthly - Tuesday</t>
        </is>
      </c>
      <c r="I3751" t="inlineStr">
        <is>
          <t>Monthly - Tuesday</t>
        </is>
      </c>
      <c r="J3751" t="inlineStr">
        <is>
          <t>Month+1 Expiry</t>
        </is>
      </c>
      <c r="K3751" s="25" t="n">
        <v>150392</v>
      </c>
      <c r="L3751" s="26" t="n">
        <v>239.0144</v>
      </c>
      <c r="M3751" s="26" t="n">
        <v>2.1466</v>
      </c>
    </row>
    <row r="3752" ht="16" customHeight="1">
      <c r="A3752" t="inlineStr">
        <is>
          <t>07-Jul-2026</t>
        </is>
      </c>
      <c r="B3752" t="inlineStr">
        <is>
          <t>Tuesday</t>
        </is>
      </c>
      <c r="C3752" t="inlineStr">
        <is>
          <t>Week1-Jul-2026</t>
        </is>
      </c>
      <c r="D3752" s="78" t="n">
        <v>46204</v>
      </c>
      <c r="E3752" t="inlineStr">
        <is>
          <t>Q2FY27</t>
        </is>
      </c>
      <c r="F3752" t="inlineStr">
        <is>
          <t>29-Sep-2026</t>
        </is>
      </c>
      <c r="G3752" t="inlineStr">
        <is>
          <t>Tuesday</t>
        </is>
      </c>
      <c r="H3752" t="inlineStr">
        <is>
          <t>Monthly - Tuesday</t>
        </is>
      </c>
      <c r="I3752" t="inlineStr">
        <is>
          <t>Monthly - Tuesday</t>
        </is>
      </c>
      <c r="J3752" t="inlineStr">
        <is>
          <t>Month+2 Expiry</t>
        </is>
      </c>
      <c r="K3752" s="25" t="n">
        <v>53315</v>
      </c>
      <c r="L3752" s="26" t="n">
        <v>83.1555</v>
      </c>
      <c r="M3752" s="26" t="n">
        <v>1.0031</v>
      </c>
    </row>
    <row r="3753" ht="16" customHeight="1">
      <c r="A3753" t="inlineStr">
        <is>
          <t>07-Jul-2026</t>
        </is>
      </c>
      <c r="B3753" t="inlineStr">
        <is>
          <t>Tuesday</t>
        </is>
      </c>
      <c r="C3753" t="inlineStr">
        <is>
          <t>Week1-Jul-2026</t>
        </is>
      </c>
      <c r="D3753" s="78" t="n">
        <v>46204</v>
      </c>
      <c r="E3753" t="inlineStr">
        <is>
          <t>Q2FY27</t>
        </is>
      </c>
      <c r="F3753" t="inlineStr">
        <is>
          <t>29-Dec-2026</t>
        </is>
      </c>
      <c r="G3753" t="inlineStr">
        <is>
          <t>Tuesday</t>
        </is>
      </c>
      <c r="H3753" t="inlineStr">
        <is>
          <t>Monthly - Tuesday</t>
        </is>
      </c>
      <c r="I3753" t="inlineStr">
        <is>
          <t>Monthly - Tuesday</t>
        </is>
      </c>
      <c r="J3753" t="inlineStr">
        <is>
          <t>Month+5 Expiry</t>
        </is>
      </c>
      <c r="K3753" s="25" t="n">
        <v>46545</v>
      </c>
      <c r="L3753" s="26" t="n">
        <v>73.43519999999999</v>
      </c>
      <c r="M3753" s="26" t="n">
        <v>1.324</v>
      </c>
    </row>
    <row r="3754" ht="16" customHeight="1">
      <c r="A3754" t="inlineStr">
        <is>
          <t>07-Jul-2026</t>
        </is>
      </c>
      <c r="B3754" t="inlineStr">
        <is>
          <t>Tuesday</t>
        </is>
      </c>
      <c r="C3754" t="inlineStr">
        <is>
          <t>Week1-Jul-2026</t>
        </is>
      </c>
      <c r="D3754" s="78" t="n">
        <v>46204</v>
      </c>
      <c r="E3754" t="inlineStr">
        <is>
          <t>Q2FY27</t>
        </is>
      </c>
      <c r="F3754" t="inlineStr">
        <is>
          <t>30-Mar-2027</t>
        </is>
      </c>
      <c r="G3754" t="inlineStr">
        <is>
          <t>Tuesday</t>
        </is>
      </c>
      <c r="H3754" t="inlineStr">
        <is>
          <t>Monthly - Tuesday</t>
        </is>
      </c>
      <c r="I3754" t="inlineStr">
        <is>
          <t>Monthly - Tuesday</t>
        </is>
      </c>
      <c r="J3754" t="inlineStr">
        <is>
          <t>Month+8 Expiry</t>
        </is>
      </c>
      <c r="K3754" s="25" t="n">
        <v>8898</v>
      </c>
      <c r="L3754" s="26" t="n">
        <v>12.9946</v>
      </c>
      <c r="M3754" s="26" t="n">
        <v>0.1078</v>
      </c>
    </row>
    <row r="3755" ht="16" customHeight="1">
      <c r="A3755" t="inlineStr">
        <is>
          <t>07-Jul-2026</t>
        </is>
      </c>
      <c r="B3755" t="inlineStr">
        <is>
          <t>Tuesday</t>
        </is>
      </c>
      <c r="C3755" t="inlineStr">
        <is>
          <t>Week1-Jul-2026</t>
        </is>
      </c>
      <c r="D3755" s="78" t="n">
        <v>46204</v>
      </c>
      <c r="E3755" t="inlineStr">
        <is>
          <t>Q2FY27</t>
        </is>
      </c>
      <c r="F3755" t="inlineStr">
        <is>
          <t>29-Jun-2027</t>
        </is>
      </c>
      <c r="G3755" t="inlineStr">
        <is>
          <t>Tuesday</t>
        </is>
      </c>
      <c r="H3755" t="inlineStr">
        <is>
          <t>Monthly - Tuesday</t>
        </is>
      </c>
      <c r="I3755" t="inlineStr">
        <is>
          <t>Monthly - Tuesday</t>
        </is>
      </c>
      <c r="J3755" t="inlineStr">
        <is>
          <t>Month+11 Expiry</t>
        </is>
      </c>
      <c r="K3755" s="25" t="n">
        <v>3</v>
      </c>
      <c r="L3755" s="26" t="n">
        <v>0.0041</v>
      </c>
      <c r="M3755" s="26" t="n">
        <v>0</v>
      </c>
    </row>
    <row r="3756" ht="16" customHeight="1">
      <c r="A3756" t="inlineStr">
        <is>
          <t>07-Jul-2026</t>
        </is>
      </c>
      <c r="B3756" t="inlineStr">
        <is>
          <t>Tuesday</t>
        </is>
      </c>
      <c r="C3756" t="inlineStr">
        <is>
          <t>Week1-Jul-2026</t>
        </is>
      </c>
      <c r="D3756" s="78" t="n">
        <v>46204</v>
      </c>
      <c r="E3756" t="inlineStr">
        <is>
          <t>Q2FY27</t>
        </is>
      </c>
      <c r="F3756" t="inlineStr">
        <is>
          <t>28-Dec-2027</t>
        </is>
      </c>
      <c r="G3756" t="inlineStr">
        <is>
          <t>Tuesday</t>
        </is>
      </c>
      <c r="H3756" t="inlineStr">
        <is>
          <t>Monthly - Tuesday</t>
        </is>
      </c>
      <c r="I3756" t="inlineStr">
        <is>
          <t>Monthly - Tuesday</t>
        </is>
      </c>
      <c r="J3756" t="inlineStr">
        <is>
          <t>Month+17 Expiry</t>
        </is>
      </c>
      <c r="K3756" s="25" t="n">
        <v>477</v>
      </c>
      <c r="L3756" s="26" t="n">
        <v>0.7955</v>
      </c>
      <c r="M3756" s="26" t="n">
        <v>0.0316</v>
      </c>
    </row>
    <row r="3757" ht="16" customHeight="1">
      <c r="A3757" t="inlineStr">
        <is>
          <t>07-Jul-2026</t>
        </is>
      </c>
      <c r="B3757" t="inlineStr">
        <is>
          <t>Tuesday</t>
        </is>
      </c>
      <c r="C3757" t="inlineStr">
        <is>
          <t>Week1-Jul-2026</t>
        </is>
      </c>
      <c r="D3757" s="78" t="n">
        <v>46204</v>
      </c>
      <c r="E3757" t="inlineStr">
        <is>
          <t>Q2FY27</t>
        </is>
      </c>
      <c r="F3757" t="inlineStr">
        <is>
          <t>27-Jun-2028</t>
        </is>
      </c>
      <c r="G3757" t="inlineStr">
        <is>
          <t>Tuesday</t>
        </is>
      </c>
      <c r="H3757" t="inlineStr">
        <is>
          <t>Monthly - Tuesday</t>
        </is>
      </c>
      <c r="I3757" t="inlineStr">
        <is>
          <t>Monthly - Tuesday</t>
        </is>
      </c>
      <c r="J3757" t="inlineStr">
        <is>
          <t>Month+23 Expiry</t>
        </is>
      </c>
      <c r="K3757" s="25" t="n">
        <v>0</v>
      </c>
      <c r="L3757" s="26" t="n">
        <v>0</v>
      </c>
      <c r="M3757" s="26" t="n">
        <v>0</v>
      </c>
    </row>
    <row r="3758" ht="16" customHeight="1">
      <c r="A3758" t="inlineStr">
        <is>
          <t>07-Jul-2026</t>
        </is>
      </c>
      <c r="B3758" t="inlineStr">
        <is>
          <t>Tuesday</t>
        </is>
      </c>
      <c r="C3758" t="inlineStr">
        <is>
          <t>Week1-Jul-2026</t>
        </is>
      </c>
      <c r="D3758" s="78" t="n">
        <v>46204</v>
      </c>
      <c r="E3758" t="inlineStr">
        <is>
          <t>Q2FY27</t>
        </is>
      </c>
      <c r="F3758" t="inlineStr">
        <is>
          <t>26-Dec-2028</t>
        </is>
      </c>
      <c r="G3758" t="inlineStr">
        <is>
          <t>Tuesday</t>
        </is>
      </c>
      <c r="H3758" t="inlineStr">
        <is>
          <t>Monthly - Tuesday</t>
        </is>
      </c>
      <c r="I3758" t="inlineStr">
        <is>
          <t>Monthly - Tuesday</t>
        </is>
      </c>
      <c r="J3758" t="inlineStr">
        <is>
          <t>Month+29 Expiry</t>
        </is>
      </c>
      <c r="K3758" s="25" t="n">
        <v>2</v>
      </c>
      <c r="L3758" s="26" t="n">
        <v>0.0034</v>
      </c>
      <c r="M3758" s="26" t="n">
        <v>0.0001</v>
      </c>
    </row>
    <row r="3759" ht="16" customHeight="1">
      <c r="A3759" t="inlineStr">
        <is>
          <t>07-Jul-2026</t>
        </is>
      </c>
      <c r="B3759" t="inlineStr">
        <is>
          <t>Tuesday</t>
        </is>
      </c>
      <c r="C3759" t="inlineStr">
        <is>
          <t>Week1-Jul-2026</t>
        </is>
      </c>
      <c r="D3759" s="78" t="n">
        <v>46204</v>
      </c>
      <c r="E3759" t="inlineStr">
        <is>
          <t>Q2FY27</t>
        </is>
      </c>
      <c r="F3759" t="inlineStr">
        <is>
          <t>26-Jun-2029</t>
        </is>
      </c>
      <c r="G3759" t="inlineStr">
        <is>
          <t>Tuesday</t>
        </is>
      </c>
      <c r="H3759" t="inlineStr">
        <is>
          <t>Monthly - Tuesday</t>
        </is>
      </c>
      <c r="I3759" t="inlineStr">
        <is>
          <t>Monthly - Tuesday</t>
        </is>
      </c>
      <c r="J3759" t="inlineStr">
        <is>
          <t>Month+35 Expiry</t>
        </is>
      </c>
      <c r="K3759" s="25" t="n">
        <v>0</v>
      </c>
      <c r="L3759" s="26" t="n">
        <v>0</v>
      </c>
      <c r="M3759" s="26" t="n">
        <v>0</v>
      </c>
    </row>
    <row r="3760" ht="16" customHeight="1">
      <c r="A3760" t="inlineStr">
        <is>
          <t>07-Jul-2026</t>
        </is>
      </c>
      <c r="B3760" t="inlineStr">
        <is>
          <t>Tuesday</t>
        </is>
      </c>
      <c r="C3760" t="inlineStr">
        <is>
          <t>Week1-Jul-2026</t>
        </is>
      </c>
      <c r="D3760" s="78" t="n">
        <v>46204</v>
      </c>
      <c r="E3760" t="inlineStr">
        <is>
          <t>Q2FY27</t>
        </is>
      </c>
      <c r="F3760" t="inlineStr">
        <is>
          <t>24-Dec-2029</t>
        </is>
      </c>
      <c r="G3760" t="inlineStr">
        <is>
          <t>Monday</t>
        </is>
      </c>
      <c r="H3760" t="inlineStr">
        <is>
          <t>Weekly - Monday</t>
        </is>
      </c>
      <c r="I3760" t="inlineStr">
        <is>
          <t>Weekly - Monday</t>
        </is>
      </c>
      <c r="J3760" t="inlineStr">
        <is>
          <t>Month+41 Expiry</t>
        </is>
      </c>
      <c r="K3760" s="25" t="n">
        <v>0</v>
      </c>
      <c r="L3760" s="26" t="n">
        <v>0</v>
      </c>
      <c r="M3760" s="26" t="n">
        <v>0</v>
      </c>
    </row>
    <row r="3761" ht="16" customHeight="1">
      <c r="A3761" t="inlineStr">
        <is>
          <t>07-Jul-2026</t>
        </is>
      </c>
      <c r="B3761" t="inlineStr">
        <is>
          <t>Tuesday</t>
        </is>
      </c>
      <c r="C3761" t="inlineStr">
        <is>
          <t>Week1-Jul-2026</t>
        </is>
      </c>
      <c r="D3761" s="78" t="n">
        <v>46204</v>
      </c>
      <c r="E3761" t="inlineStr">
        <is>
          <t>Q2FY27</t>
        </is>
      </c>
      <c r="F3761" t="inlineStr">
        <is>
          <t>25-Jun-2030</t>
        </is>
      </c>
      <c r="G3761" t="inlineStr">
        <is>
          <t>Tuesday</t>
        </is>
      </c>
      <c r="H3761" t="inlineStr">
        <is>
          <t>Monthly - Tuesday</t>
        </is>
      </c>
      <c r="I3761" t="inlineStr">
        <is>
          <t>Monthly - Tuesday</t>
        </is>
      </c>
      <c r="J3761" t="inlineStr">
        <is>
          <t>Month+47 Expiry</t>
        </is>
      </c>
      <c r="K3761" s="25" t="n">
        <v>0</v>
      </c>
      <c r="L3761" s="26" t="n">
        <v>0</v>
      </c>
      <c r="M3761" s="26" t="n">
        <v>0</v>
      </c>
    </row>
    <row r="3762" ht="16" customHeight="1">
      <c r="A3762" t="inlineStr">
        <is>
          <t>07-Jul-2026</t>
        </is>
      </c>
      <c r="B3762" t="inlineStr">
        <is>
          <t>Tuesday</t>
        </is>
      </c>
      <c r="C3762" t="inlineStr">
        <is>
          <t>Week1-Jul-2026</t>
        </is>
      </c>
      <c r="D3762" s="78" t="n">
        <v>46204</v>
      </c>
      <c r="E3762" t="inlineStr">
        <is>
          <t>Q2FY27</t>
        </is>
      </c>
      <c r="F3762" t="inlineStr">
        <is>
          <t>31-Dec-2030</t>
        </is>
      </c>
      <c r="G3762" t="inlineStr">
        <is>
          <t>Tuesday</t>
        </is>
      </c>
      <c r="H3762" t="inlineStr">
        <is>
          <t>Monthly - Tuesday</t>
        </is>
      </c>
      <c r="I3762" t="inlineStr">
        <is>
          <t>Monthly - Tuesday</t>
        </is>
      </c>
      <c r="J3762" t="inlineStr">
        <is>
          <t>Month+53 Expiry</t>
        </is>
      </c>
      <c r="K3762" s="25" t="n">
        <v>0</v>
      </c>
      <c r="L3762" s="26" t="n">
        <v>0</v>
      </c>
      <c r="M3762" s="26" t="n">
        <v>0</v>
      </c>
    </row>
    <row r="3763" ht="16" customHeight="1">
      <c r="A3763" t="inlineStr">
        <is>
          <t>07-Jul-2026</t>
        </is>
      </c>
      <c r="B3763" t="inlineStr">
        <is>
          <t>Tuesday</t>
        </is>
      </c>
      <c r="C3763" t="inlineStr">
        <is>
          <t>Week1-Jul-2026</t>
        </is>
      </c>
      <c r="D3763" s="78" t="n">
        <v>46204</v>
      </c>
      <c r="E3763" t="inlineStr">
        <is>
          <t>Q2FY27</t>
        </is>
      </c>
      <c r="F3763" t="inlineStr">
        <is>
          <t>24-Jun-2031</t>
        </is>
      </c>
      <c r="G3763" t="inlineStr">
        <is>
          <t>Tuesday</t>
        </is>
      </c>
      <c r="H3763" t="inlineStr">
        <is>
          <t>Monthly - Tuesday</t>
        </is>
      </c>
      <c r="I3763" t="inlineStr">
        <is>
          <t>Monthly - Tuesday</t>
        </is>
      </c>
      <c r="J3763" t="inlineStr">
        <is>
          <t>Month+59 Expiry</t>
        </is>
      </c>
      <c r="K3763" s="25" t="n">
        <v>0</v>
      </c>
      <c r="L3763" s="26" t="n">
        <v>0</v>
      </c>
      <c r="M3763" s="26" t="n">
        <v>0</v>
      </c>
    </row>
    <row r="3764" ht="16" customHeight="1">
      <c r="A3764" t="inlineStr">
        <is>
          <t>08-Jul-2026</t>
        </is>
      </c>
      <c r="B3764" t="inlineStr">
        <is>
          <t>Wednesday</t>
        </is>
      </c>
      <c r="C3764" t="inlineStr">
        <is>
          <t>Week2-Jul-2026</t>
        </is>
      </c>
      <c r="D3764" s="78" t="n">
        <v>46204</v>
      </c>
      <c r="E3764" t="inlineStr">
        <is>
          <t>Q2FY27</t>
        </is>
      </c>
      <c r="F3764" t="inlineStr">
        <is>
          <t>14-Jul-2026</t>
        </is>
      </c>
      <c r="G3764" t="inlineStr">
        <is>
          <t>Tuesday</t>
        </is>
      </c>
      <c r="H3764" t="inlineStr">
        <is>
          <t>Weekly - Tuesday</t>
        </is>
      </c>
      <c r="I3764" t="inlineStr">
        <is>
          <t>Weekly - Tuesday</t>
        </is>
      </c>
      <c r="J3764" t="inlineStr">
        <is>
          <t>Same Month Expiry</t>
        </is>
      </c>
      <c r="K3764" s="25" t="n">
        <v>62568650</v>
      </c>
      <c r="L3764" s="26" t="n">
        <v>98510.3508</v>
      </c>
      <c r="M3764" s="26" t="n">
        <v>363.074</v>
      </c>
    </row>
    <row r="3765" ht="16" customHeight="1">
      <c r="A3765" t="inlineStr">
        <is>
          <t>08-Jul-2026</t>
        </is>
      </c>
      <c r="B3765" t="inlineStr">
        <is>
          <t>Wednesday</t>
        </is>
      </c>
      <c r="C3765" t="inlineStr">
        <is>
          <t>Week2-Jul-2026</t>
        </is>
      </c>
      <c r="D3765" s="78" t="n">
        <v>46204</v>
      </c>
      <c r="E3765" t="inlineStr">
        <is>
          <t>Q2FY27</t>
        </is>
      </c>
      <c r="F3765" t="inlineStr">
        <is>
          <t>21-Jul-2026</t>
        </is>
      </c>
      <c r="G3765" t="inlineStr">
        <is>
          <t>Tuesday</t>
        </is>
      </c>
      <c r="H3765" t="inlineStr">
        <is>
          <t>Weekly - Tuesday</t>
        </is>
      </c>
      <c r="I3765" t="inlineStr">
        <is>
          <t>Weekly - Tuesday</t>
        </is>
      </c>
      <c r="J3765" t="inlineStr">
        <is>
          <t>Same Month Expiry</t>
        </is>
      </c>
      <c r="K3765" s="25" t="n">
        <v>1566643</v>
      </c>
      <c r="L3765" s="26" t="n">
        <v>2461.7848</v>
      </c>
      <c r="M3765" s="26" t="n">
        <v>11.9407</v>
      </c>
    </row>
    <row r="3766" ht="16" customHeight="1">
      <c r="A3766" t="inlineStr">
        <is>
          <t>08-Jul-2026</t>
        </is>
      </c>
      <c r="B3766" t="inlineStr">
        <is>
          <t>Wednesday</t>
        </is>
      </c>
      <c r="C3766" t="inlineStr">
        <is>
          <t>Week2-Jul-2026</t>
        </is>
      </c>
      <c r="D3766" s="78" t="n">
        <v>46204</v>
      </c>
      <c r="E3766" t="inlineStr">
        <is>
          <t>Q2FY27</t>
        </is>
      </c>
      <c r="F3766" t="inlineStr">
        <is>
          <t>28-Jul-2026</t>
        </is>
      </c>
      <c r="G3766" t="inlineStr">
        <is>
          <t>Tuesday</t>
        </is>
      </c>
      <c r="H3766" t="inlineStr">
        <is>
          <t>Monthly - Tuesday</t>
        </is>
      </c>
      <c r="I3766" t="inlineStr">
        <is>
          <t>Monthly - Tuesday</t>
        </is>
      </c>
      <c r="J3766" t="inlineStr">
        <is>
          <t>Same Month Expiry</t>
        </is>
      </c>
      <c r="K3766" s="25" t="n">
        <v>2799928</v>
      </c>
      <c r="L3766" s="26" t="n">
        <v>4410.8978</v>
      </c>
      <c r="M3766" s="26" t="n">
        <v>31.5917</v>
      </c>
    </row>
    <row r="3767" ht="16" customHeight="1">
      <c r="A3767" t="inlineStr">
        <is>
          <t>08-Jul-2026</t>
        </is>
      </c>
      <c r="B3767" t="inlineStr">
        <is>
          <t>Wednesday</t>
        </is>
      </c>
      <c r="C3767" t="inlineStr">
        <is>
          <t>Week2-Jul-2026</t>
        </is>
      </c>
      <c r="D3767" s="78" t="n">
        <v>46204</v>
      </c>
      <c r="E3767" t="inlineStr">
        <is>
          <t>Q2FY27</t>
        </is>
      </c>
      <c r="F3767" t="inlineStr">
        <is>
          <t>04-Aug-2026</t>
        </is>
      </c>
      <c r="G3767" t="inlineStr">
        <is>
          <t>Tuesday</t>
        </is>
      </c>
      <c r="H3767" t="inlineStr">
        <is>
          <t>Weekly - Tuesday</t>
        </is>
      </c>
      <c r="I3767" t="inlineStr">
        <is>
          <t>Weekly - Tuesday</t>
        </is>
      </c>
      <c r="J3767" t="inlineStr">
        <is>
          <t>Month+1 Expiry</t>
        </is>
      </c>
      <c r="K3767" s="25" t="n">
        <v>38139</v>
      </c>
      <c r="L3767" s="26" t="n">
        <v>60.1924</v>
      </c>
      <c r="M3767" s="26" t="n">
        <v>0.5403</v>
      </c>
    </row>
    <row r="3768" ht="16" customHeight="1">
      <c r="A3768" t="inlineStr">
        <is>
          <t>08-Jul-2026</t>
        </is>
      </c>
      <c r="B3768" t="inlineStr">
        <is>
          <t>Wednesday</t>
        </is>
      </c>
      <c r="C3768" t="inlineStr">
        <is>
          <t>Week2-Jul-2026</t>
        </is>
      </c>
      <c r="D3768" s="78" t="n">
        <v>46204</v>
      </c>
      <c r="E3768" t="inlineStr">
        <is>
          <t>Q2FY27</t>
        </is>
      </c>
      <c r="F3768" t="inlineStr">
        <is>
          <t>11-Aug-2026</t>
        </is>
      </c>
      <c r="G3768" t="inlineStr">
        <is>
          <t>Tuesday</t>
        </is>
      </c>
      <c r="H3768" t="inlineStr">
        <is>
          <t>Weekly - Tuesday</t>
        </is>
      </c>
      <c r="I3768" t="inlineStr">
        <is>
          <t>Weekly - Tuesday</t>
        </is>
      </c>
      <c r="J3768" t="inlineStr">
        <is>
          <t>Month+1 Expiry</t>
        </is>
      </c>
      <c r="K3768" s="25" t="n">
        <v>878</v>
      </c>
      <c r="L3768" s="26" t="n">
        <v>1.3939</v>
      </c>
      <c r="M3768" s="26" t="n">
        <v>0.0164</v>
      </c>
    </row>
    <row r="3769" ht="16" customHeight="1">
      <c r="A3769" t="inlineStr">
        <is>
          <t>08-Jul-2026</t>
        </is>
      </c>
      <c r="B3769" t="inlineStr">
        <is>
          <t>Wednesday</t>
        </is>
      </c>
      <c r="C3769" t="inlineStr">
        <is>
          <t>Week2-Jul-2026</t>
        </is>
      </c>
      <c r="D3769" s="78" t="n">
        <v>46204</v>
      </c>
      <c r="E3769" t="inlineStr">
        <is>
          <t>Q2FY27</t>
        </is>
      </c>
      <c r="F3769" t="inlineStr">
        <is>
          <t>25-Aug-2026</t>
        </is>
      </c>
      <c r="G3769" t="inlineStr">
        <is>
          <t>Tuesday</t>
        </is>
      </c>
      <c r="H3769" t="inlineStr">
        <is>
          <t>Monthly - Tuesday</t>
        </is>
      </c>
      <c r="I3769" t="inlineStr">
        <is>
          <t>Monthly - Tuesday</t>
        </is>
      </c>
      <c r="J3769" t="inlineStr">
        <is>
          <t>Month+1 Expiry</t>
        </is>
      </c>
      <c r="K3769" s="25" t="n">
        <v>388623</v>
      </c>
      <c r="L3769" s="26" t="n">
        <v>613.4401</v>
      </c>
      <c r="M3769" s="26" t="n">
        <v>5.6183</v>
      </c>
    </row>
    <row r="3770" ht="16" customHeight="1">
      <c r="A3770" t="inlineStr">
        <is>
          <t>08-Jul-2026</t>
        </is>
      </c>
      <c r="B3770" t="inlineStr">
        <is>
          <t>Wednesday</t>
        </is>
      </c>
      <c r="C3770" t="inlineStr">
        <is>
          <t>Week2-Jul-2026</t>
        </is>
      </c>
      <c r="D3770" s="78" t="n">
        <v>46204</v>
      </c>
      <c r="E3770" t="inlineStr">
        <is>
          <t>Q2FY27</t>
        </is>
      </c>
      <c r="F3770" t="inlineStr">
        <is>
          <t>29-Sep-2026</t>
        </is>
      </c>
      <c r="G3770" t="inlineStr">
        <is>
          <t>Tuesday</t>
        </is>
      </c>
      <c r="H3770" t="inlineStr">
        <is>
          <t>Monthly - Tuesday</t>
        </is>
      </c>
      <c r="I3770" t="inlineStr">
        <is>
          <t>Monthly - Tuesday</t>
        </is>
      </c>
      <c r="J3770" t="inlineStr">
        <is>
          <t>Month+2 Expiry</t>
        </is>
      </c>
      <c r="K3770" s="25" t="n">
        <v>148897</v>
      </c>
      <c r="L3770" s="26" t="n">
        <v>231.2652</v>
      </c>
      <c r="M3770" s="26" t="n">
        <v>2.4169</v>
      </c>
    </row>
    <row r="3771" ht="16" customHeight="1">
      <c r="A3771" t="inlineStr">
        <is>
          <t>08-Jul-2026</t>
        </is>
      </c>
      <c r="B3771" t="inlineStr">
        <is>
          <t>Wednesday</t>
        </is>
      </c>
      <c r="C3771" t="inlineStr">
        <is>
          <t>Week2-Jul-2026</t>
        </is>
      </c>
      <c r="D3771" s="78" t="n">
        <v>46204</v>
      </c>
      <c r="E3771" t="inlineStr">
        <is>
          <t>Q2FY27</t>
        </is>
      </c>
      <c r="F3771" t="inlineStr">
        <is>
          <t>29-Dec-2026</t>
        </is>
      </c>
      <c r="G3771" t="inlineStr">
        <is>
          <t>Tuesday</t>
        </is>
      </c>
      <c r="H3771" t="inlineStr">
        <is>
          <t>Monthly - Tuesday</t>
        </is>
      </c>
      <c r="I3771" t="inlineStr">
        <is>
          <t>Monthly - Tuesday</t>
        </is>
      </c>
      <c r="J3771" t="inlineStr">
        <is>
          <t>Month+5 Expiry</t>
        </is>
      </c>
      <c r="K3771" s="25" t="n">
        <v>95898</v>
      </c>
      <c r="L3771" s="26" t="n">
        <v>154.1635</v>
      </c>
      <c r="M3771" s="26" t="n">
        <v>2.7152</v>
      </c>
    </row>
    <row r="3772" ht="16" customHeight="1">
      <c r="A3772" t="inlineStr">
        <is>
          <t>08-Jul-2026</t>
        </is>
      </c>
      <c r="B3772" t="inlineStr">
        <is>
          <t>Wednesday</t>
        </is>
      </c>
      <c r="C3772" t="inlineStr">
        <is>
          <t>Week2-Jul-2026</t>
        </is>
      </c>
      <c r="D3772" s="78" t="n">
        <v>46204</v>
      </c>
      <c r="E3772" t="inlineStr">
        <is>
          <t>Q2FY27</t>
        </is>
      </c>
      <c r="F3772" t="inlineStr">
        <is>
          <t>30-Mar-2027</t>
        </is>
      </c>
      <c r="G3772" t="inlineStr">
        <is>
          <t>Tuesday</t>
        </is>
      </c>
      <c r="H3772" t="inlineStr">
        <is>
          <t>Monthly - Tuesday</t>
        </is>
      </c>
      <c r="I3772" t="inlineStr">
        <is>
          <t>Monthly - Tuesday</t>
        </is>
      </c>
      <c r="J3772" t="inlineStr">
        <is>
          <t>Month+8 Expiry</t>
        </is>
      </c>
      <c r="K3772" s="25" t="n">
        <v>4570</v>
      </c>
      <c r="L3772" s="26" t="n">
        <v>7.2875</v>
      </c>
      <c r="M3772" s="26" t="n">
        <v>0.0837</v>
      </c>
    </row>
    <row r="3773" ht="16" customHeight="1">
      <c r="A3773" t="inlineStr">
        <is>
          <t>08-Jul-2026</t>
        </is>
      </c>
      <c r="B3773" t="inlineStr">
        <is>
          <t>Wednesday</t>
        </is>
      </c>
      <c r="C3773" t="inlineStr">
        <is>
          <t>Week2-Jul-2026</t>
        </is>
      </c>
      <c r="D3773" s="78" t="n">
        <v>46204</v>
      </c>
      <c r="E3773" t="inlineStr">
        <is>
          <t>Q2FY27</t>
        </is>
      </c>
      <c r="F3773" t="inlineStr">
        <is>
          <t>29-Jun-2027</t>
        </is>
      </c>
      <c r="G3773" t="inlineStr">
        <is>
          <t>Tuesday</t>
        </is>
      </c>
      <c r="H3773" t="inlineStr">
        <is>
          <t>Monthly - Tuesday</t>
        </is>
      </c>
      <c r="I3773" t="inlineStr">
        <is>
          <t>Monthly - Tuesday</t>
        </is>
      </c>
      <c r="J3773" t="inlineStr">
        <is>
          <t>Month+11 Expiry</t>
        </is>
      </c>
      <c r="K3773" s="25" t="n">
        <v>0</v>
      </c>
      <c r="L3773" s="26" t="n">
        <v>0</v>
      </c>
      <c r="M3773" s="26" t="n">
        <v>0</v>
      </c>
    </row>
    <row r="3774" ht="16" customHeight="1">
      <c r="A3774" t="inlineStr">
        <is>
          <t>08-Jul-2026</t>
        </is>
      </c>
      <c r="B3774" t="inlineStr">
        <is>
          <t>Wednesday</t>
        </is>
      </c>
      <c r="C3774" t="inlineStr">
        <is>
          <t>Week2-Jul-2026</t>
        </is>
      </c>
      <c r="D3774" s="78" t="n">
        <v>46204</v>
      </c>
      <c r="E3774" t="inlineStr">
        <is>
          <t>Q2FY27</t>
        </is>
      </c>
      <c r="F3774" t="inlineStr">
        <is>
          <t>28-Dec-2027</t>
        </is>
      </c>
      <c r="G3774" t="inlineStr">
        <is>
          <t>Tuesday</t>
        </is>
      </c>
      <c r="H3774" t="inlineStr">
        <is>
          <t>Monthly - Tuesday</t>
        </is>
      </c>
      <c r="I3774" t="inlineStr">
        <is>
          <t>Monthly - Tuesday</t>
        </is>
      </c>
      <c r="J3774" t="inlineStr">
        <is>
          <t>Month+17 Expiry</t>
        </is>
      </c>
      <c r="K3774" s="25" t="n">
        <v>1667</v>
      </c>
      <c r="L3774" s="26" t="n">
        <v>2.8772</v>
      </c>
      <c r="M3774" s="26" t="n">
        <v>0.1255</v>
      </c>
    </row>
    <row r="3775" ht="16" customHeight="1">
      <c r="A3775" t="inlineStr">
        <is>
          <t>08-Jul-2026</t>
        </is>
      </c>
      <c r="B3775" t="inlineStr">
        <is>
          <t>Wednesday</t>
        </is>
      </c>
      <c r="C3775" t="inlineStr">
        <is>
          <t>Week2-Jul-2026</t>
        </is>
      </c>
      <c r="D3775" s="78" t="n">
        <v>46204</v>
      </c>
      <c r="E3775" t="inlineStr">
        <is>
          <t>Q2FY27</t>
        </is>
      </c>
      <c r="F3775" t="inlineStr">
        <is>
          <t>27-Jun-2028</t>
        </is>
      </c>
      <c r="G3775" t="inlineStr">
        <is>
          <t>Tuesday</t>
        </is>
      </c>
      <c r="H3775" t="inlineStr">
        <is>
          <t>Monthly - Tuesday</t>
        </is>
      </c>
      <c r="I3775" t="inlineStr">
        <is>
          <t>Monthly - Tuesday</t>
        </is>
      </c>
      <c r="J3775" t="inlineStr">
        <is>
          <t>Month+23 Expiry</t>
        </is>
      </c>
      <c r="K3775" s="25" t="n">
        <v>3</v>
      </c>
      <c r="L3775" s="26" t="n">
        <v>0.0044</v>
      </c>
      <c r="M3775" s="26" t="n">
        <v>0.0001</v>
      </c>
    </row>
    <row r="3776" ht="16" customHeight="1">
      <c r="A3776" t="inlineStr">
        <is>
          <t>08-Jul-2026</t>
        </is>
      </c>
      <c r="B3776" t="inlineStr">
        <is>
          <t>Wednesday</t>
        </is>
      </c>
      <c r="C3776" t="inlineStr">
        <is>
          <t>Week2-Jul-2026</t>
        </is>
      </c>
      <c r="D3776" s="78" t="n">
        <v>46204</v>
      </c>
      <c r="E3776" t="inlineStr">
        <is>
          <t>Q2FY27</t>
        </is>
      </c>
      <c r="F3776" t="inlineStr">
        <is>
          <t>26-Dec-2028</t>
        </is>
      </c>
      <c r="G3776" t="inlineStr">
        <is>
          <t>Tuesday</t>
        </is>
      </c>
      <c r="H3776" t="inlineStr">
        <is>
          <t>Monthly - Tuesday</t>
        </is>
      </c>
      <c r="I3776" t="inlineStr">
        <is>
          <t>Monthly - Tuesday</t>
        </is>
      </c>
      <c r="J3776" t="inlineStr">
        <is>
          <t>Month+29 Expiry</t>
        </is>
      </c>
      <c r="K3776" s="25" t="n">
        <v>15</v>
      </c>
      <c r="L3776" s="26" t="n">
        <v>0.0245</v>
      </c>
      <c r="M3776" s="26" t="n">
        <v>0.0011</v>
      </c>
    </row>
    <row r="3777" ht="16" customHeight="1">
      <c r="A3777" t="inlineStr">
        <is>
          <t>08-Jul-2026</t>
        </is>
      </c>
      <c r="B3777" t="inlineStr">
        <is>
          <t>Wednesday</t>
        </is>
      </c>
      <c r="C3777" t="inlineStr">
        <is>
          <t>Week2-Jul-2026</t>
        </is>
      </c>
      <c r="D3777" s="78" t="n">
        <v>46204</v>
      </c>
      <c r="E3777" t="inlineStr">
        <is>
          <t>Q2FY27</t>
        </is>
      </c>
      <c r="F3777" t="inlineStr">
        <is>
          <t>26-Jun-2029</t>
        </is>
      </c>
      <c r="G3777" t="inlineStr">
        <is>
          <t>Tuesday</t>
        </is>
      </c>
      <c r="H3777" t="inlineStr">
        <is>
          <t>Monthly - Tuesday</t>
        </is>
      </c>
      <c r="I3777" t="inlineStr">
        <is>
          <t>Monthly - Tuesday</t>
        </is>
      </c>
      <c r="J3777" t="inlineStr">
        <is>
          <t>Month+35 Expiry</t>
        </is>
      </c>
      <c r="K3777" s="25" t="n">
        <v>0</v>
      </c>
      <c r="L3777" s="26" t="n">
        <v>0</v>
      </c>
      <c r="M3777" s="26" t="n">
        <v>0</v>
      </c>
    </row>
    <row r="3778" ht="16" customHeight="1">
      <c r="A3778" t="inlineStr">
        <is>
          <t>08-Jul-2026</t>
        </is>
      </c>
      <c r="B3778" t="inlineStr">
        <is>
          <t>Wednesday</t>
        </is>
      </c>
      <c r="C3778" t="inlineStr">
        <is>
          <t>Week2-Jul-2026</t>
        </is>
      </c>
      <c r="D3778" s="78" t="n">
        <v>46204</v>
      </c>
      <c r="E3778" t="inlineStr">
        <is>
          <t>Q2FY27</t>
        </is>
      </c>
      <c r="F3778" t="inlineStr">
        <is>
          <t>24-Dec-2029</t>
        </is>
      </c>
      <c r="G3778" t="inlineStr">
        <is>
          <t>Monday</t>
        </is>
      </c>
      <c r="H3778" t="inlineStr">
        <is>
          <t>Weekly - Monday</t>
        </is>
      </c>
      <c r="I3778" t="inlineStr">
        <is>
          <t>Weekly - Monday</t>
        </is>
      </c>
      <c r="J3778" t="inlineStr">
        <is>
          <t>Month+41 Expiry</t>
        </is>
      </c>
      <c r="K3778" s="25" t="n">
        <v>2</v>
      </c>
      <c r="L3778" s="26" t="n">
        <v>0.002</v>
      </c>
      <c r="M3778" s="26" t="n">
        <v>0</v>
      </c>
    </row>
    <row r="3779" ht="16" customHeight="1">
      <c r="A3779" t="inlineStr">
        <is>
          <t>08-Jul-2026</t>
        </is>
      </c>
      <c r="B3779" t="inlineStr">
        <is>
          <t>Wednesday</t>
        </is>
      </c>
      <c r="C3779" t="inlineStr">
        <is>
          <t>Week2-Jul-2026</t>
        </is>
      </c>
      <c r="D3779" s="78" t="n">
        <v>46204</v>
      </c>
      <c r="E3779" t="inlineStr">
        <is>
          <t>Q2FY27</t>
        </is>
      </c>
      <c r="F3779" t="inlineStr">
        <is>
          <t>25-Jun-2030</t>
        </is>
      </c>
      <c r="G3779" t="inlineStr">
        <is>
          <t>Tuesday</t>
        </is>
      </c>
      <c r="H3779" t="inlineStr">
        <is>
          <t>Monthly - Tuesday</t>
        </is>
      </c>
      <c r="I3779" t="inlineStr">
        <is>
          <t>Monthly - Tuesday</t>
        </is>
      </c>
      <c r="J3779" t="inlineStr">
        <is>
          <t>Month+47 Expiry</t>
        </is>
      </c>
      <c r="K3779" s="25" t="n">
        <v>0</v>
      </c>
      <c r="L3779" s="26" t="n">
        <v>0</v>
      </c>
      <c r="M3779" s="26" t="n">
        <v>0</v>
      </c>
    </row>
    <row r="3780" ht="16" customHeight="1">
      <c r="A3780" t="inlineStr">
        <is>
          <t>08-Jul-2026</t>
        </is>
      </c>
      <c r="B3780" t="inlineStr">
        <is>
          <t>Wednesday</t>
        </is>
      </c>
      <c r="C3780" t="inlineStr">
        <is>
          <t>Week2-Jul-2026</t>
        </is>
      </c>
      <c r="D3780" s="78" t="n">
        <v>46204</v>
      </c>
      <c r="E3780" t="inlineStr">
        <is>
          <t>Q2FY27</t>
        </is>
      </c>
      <c r="F3780" t="inlineStr">
        <is>
          <t>31-Dec-2030</t>
        </is>
      </c>
      <c r="G3780" t="inlineStr">
        <is>
          <t>Tuesday</t>
        </is>
      </c>
      <c r="H3780" t="inlineStr">
        <is>
          <t>Monthly - Tuesday</t>
        </is>
      </c>
      <c r="I3780" t="inlineStr">
        <is>
          <t>Monthly - Tuesday</t>
        </is>
      </c>
      <c r="J3780" t="inlineStr">
        <is>
          <t>Month+53 Expiry</t>
        </is>
      </c>
      <c r="K3780" s="25" t="n">
        <v>0</v>
      </c>
      <c r="L3780" s="26" t="n">
        <v>0</v>
      </c>
      <c r="M3780" s="26" t="n">
        <v>0</v>
      </c>
    </row>
    <row r="3781" ht="16" customHeight="1">
      <c r="A3781" t="inlineStr">
        <is>
          <t>08-Jul-2026</t>
        </is>
      </c>
      <c r="B3781" t="inlineStr">
        <is>
          <t>Wednesday</t>
        </is>
      </c>
      <c r="C3781" t="inlineStr">
        <is>
          <t>Week2-Jul-2026</t>
        </is>
      </c>
      <c r="D3781" s="78" t="n">
        <v>46204</v>
      </c>
      <c r="E3781" t="inlineStr">
        <is>
          <t>Q2FY27</t>
        </is>
      </c>
      <c r="F3781" t="inlineStr">
        <is>
          <t>24-Jun-2031</t>
        </is>
      </c>
      <c r="G3781" t="inlineStr">
        <is>
          <t>Tuesday</t>
        </is>
      </c>
      <c r="H3781" t="inlineStr">
        <is>
          <t>Monthly - Tuesday</t>
        </is>
      </c>
      <c r="I3781" t="inlineStr">
        <is>
          <t>Monthly - Tuesday</t>
        </is>
      </c>
      <c r="J3781" t="inlineStr">
        <is>
          <t>Month+59 Expiry</t>
        </is>
      </c>
      <c r="K3781" s="25" t="n">
        <v>0</v>
      </c>
      <c r="L3781" s="26" t="n">
        <v>0</v>
      </c>
      <c r="M3781" s="26" t="n">
        <v>0</v>
      </c>
    </row>
    <row r="3782">
      <c r="A3782" t="inlineStr">
        <is>
          <t>09-Jul-2026</t>
        </is>
      </c>
      <c r="B3782" t="inlineStr">
        <is>
          <t>Thursday</t>
        </is>
      </c>
      <c r="C3782" t="inlineStr">
        <is>
          <t>Week2-Jul-2026</t>
        </is>
      </c>
      <c r="D3782" s="78" t="n">
        <v>46204</v>
      </c>
      <c r="E3782" t="inlineStr">
        <is>
          <t>Q2FY27</t>
        </is>
      </c>
      <c r="F3782" t="inlineStr">
        <is>
          <t>14-Jul-2026</t>
        </is>
      </c>
      <c r="G3782" t="inlineStr">
        <is>
          <t>Tuesday</t>
        </is>
      </c>
      <c r="H3782" t="inlineStr">
        <is>
          <t>Weekly - Tuesday</t>
        </is>
      </c>
      <c r="I3782" t="inlineStr">
        <is>
          <t>Weekly - Tuesday</t>
        </is>
      </c>
      <c r="J3782" t="inlineStr">
        <is>
          <t>Same Month Expiry</t>
        </is>
      </c>
      <c r="K3782" s="25" t="n">
        <v>48234024</v>
      </c>
      <c r="L3782" s="26" t="n">
        <v>75563.1213</v>
      </c>
      <c r="M3782" s="26" t="n">
        <v>243.6191</v>
      </c>
    </row>
    <row r="3783">
      <c r="A3783" t="inlineStr">
        <is>
          <t>09-Jul-2026</t>
        </is>
      </c>
      <c r="B3783" t="inlineStr">
        <is>
          <t>Thursday</t>
        </is>
      </c>
      <c r="C3783" t="inlineStr">
        <is>
          <t>Week2-Jul-2026</t>
        </is>
      </c>
      <c r="D3783" s="78" t="n">
        <v>46204</v>
      </c>
      <c r="E3783" t="inlineStr">
        <is>
          <t>Q2FY27</t>
        </is>
      </c>
      <c r="F3783" t="inlineStr">
        <is>
          <t>21-Jul-2026</t>
        </is>
      </c>
      <c r="G3783" t="inlineStr">
        <is>
          <t>Tuesday</t>
        </is>
      </c>
      <c r="H3783" t="inlineStr">
        <is>
          <t>Weekly - Tuesday</t>
        </is>
      </c>
      <c r="I3783" t="inlineStr">
        <is>
          <t>Weekly - Tuesday</t>
        </is>
      </c>
      <c r="J3783" t="inlineStr">
        <is>
          <t>Same Month Expiry</t>
        </is>
      </c>
      <c r="K3783" s="25" t="n">
        <v>1440551</v>
      </c>
      <c r="L3783" s="26" t="n">
        <v>2252.0605</v>
      </c>
      <c r="M3783" s="26" t="n">
        <v>9.627599999999999</v>
      </c>
    </row>
    <row r="3784">
      <c r="A3784" t="inlineStr">
        <is>
          <t>09-Jul-2026</t>
        </is>
      </c>
      <c r="B3784" t="inlineStr">
        <is>
          <t>Thursday</t>
        </is>
      </c>
      <c r="C3784" t="inlineStr">
        <is>
          <t>Week2-Jul-2026</t>
        </is>
      </c>
      <c r="D3784" s="78" t="n">
        <v>46204</v>
      </c>
      <c r="E3784" t="inlineStr">
        <is>
          <t>Q2FY27</t>
        </is>
      </c>
      <c r="F3784" t="inlineStr">
        <is>
          <t>28-Jul-2026</t>
        </is>
      </c>
      <c r="G3784" t="inlineStr">
        <is>
          <t>Tuesday</t>
        </is>
      </c>
      <c r="H3784" t="inlineStr">
        <is>
          <t>Monthly - Tuesday</t>
        </is>
      </c>
      <c r="I3784" t="inlineStr">
        <is>
          <t>Monthly - Tuesday</t>
        </is>
      </c>
      <c r="J3784" t="inlineStr">
        <is>
          <t>Same Month Expiry</t>
        </is>
      </c>
      <c r="K3784" s="25" t="n">
        <v>1587339</v>
      </c>
      <c r="L3784" s="26" t="n">
        <v>2495.7772</v>
      </c>
      <c r="M3784" s="26" t="n">
        <v>16.6683</v>
      </c>
    </row>
    <row r="3785">
      <c r="A3785" t="inlineStr">
        <is>
          <t>09-Jul-2026</t>
        </is>
      </c>
      <c r="B3785" t="inlineStr">
        <is>
          <t>Thursday</t>
        </is>
      </c>
      <c r="C3785" t="inlineStr">
        <is>
          <t>Week2-Jul-2026</t>
        </is>
      </c>
      <c r="D3785" s="78" t="n">
        <v>46204</v>
      </c>
      <c r="E3785" t="inlineStr">
        <is>
          <t>Q2FY27</t>
        </is>
      </c>
      <c r="F3785" t="inlineStr">
        <is>
          <t>04-Aug-2026</t>
        </is>
      </c>
      <c r="G3785" t="inlineStr">
        <is>
          <t>Tuesday</t>
        </is>
      </c>
      <c r="H3785" t="inlineStr">
        <is>
          <t>Weekly - Tuesday</t>
        </is>
      </c>
      <c r="I3785" t="inlineStr">
        <is>
          <t>Weekly - Tuesday</t>
        </is>
      </c>
      <c r="J3785" t="inlineStr">
        <is>
          <t>Month+1 Expiry</t>
        </is>
      </c>
      <c r="K3785" s="25" t="n">
        <v>21135</v>
      </c>
      <c r="L3785" s="26" t="n">
        <v>33.3919</v>
      </c>
      <c r="M3785" s="26" t="n">
        <v>0.2814</v>
      </c>
    </row>
    <row r="3786">
      <c r="A3786" t="inlineStr">
        <is>
          <t>09-Jul-2026</t>
        </is>
      </c>
      <c r="B3786" t="inlineStr">
        <is>
          <t>Thursday</t>
        </is>
      </c>
      <c r="C3786" t="inlineStr">
        <is>
          <t>Week2-Jul-2026</t>
        </is>
      </c>
      <c r="D3786" s="78" t="n">
        <v>46204</v>
      </c>
      <c r="E3786" t="inlineStr">
        <is>
          <t>Q2FY27</t>
        </is>
      </c>
      <c r="F3786" t="inlineStr">
        <is>
          <t>11-Aug-2026</t>
        </is>
      </c>
      <c r="G3786" t="inlineStr">
        <is>
          <t>Tuesday</t>
        </is>
      </c>
      <c r="H3786" t="inlineStr">
        <is>
          <t>Weekly - Tuesday</t>
        </is>
      </c>
      <c r="I3786" t="inlineStr">
        <is>
          <t>Weekly - Tuesday</t>
        </is>
      </c>
      <c r="J3786" t="inlineStr">
        <is>
          <t>Month+1 Expiry</t>
        </is>
      </c>
      <c r="K3786" s="25" t="n">
        <v>1055</v>
      </c>
      <c r="L3786" s="26" t="n">
        <v>1.6693</v>
      </c>
      <c r="M3786" s="26" t="n">
        <v>0.0185</v>
      </c>
    </row>
    <row r="3787">
      <c r="A3787" t="inlineStr">
        <is>
          <t>09-Jul-2026</t>
        </is>
      </c>
      <c r="B3787" t="inlineStr">
        <is>
          <t>Thursday</t>
        </is>
      </c>
      <c r="C3787" t="inlineStr">
        <is>
          <t>Week2-Jul-2026</t>
        </is>
      </c>
      <c r="D3787" s="78" t="n">
        <v>46204</v>
      </c>
      <c r="E3787" t="inlineStr">
        <is>
          <t>Q2FY27</t>
        </is>
      </c>
      <c r="F3787" t="inlineStr">
        <is>
          <t>25-Aug-2026</t>
        </is>
      </c>
      <c r="G3787" t="inlineStr">
        <is>
          <t>Tuesday</t>
        </is>
      </c>
      <c r="H3787" t="inlineStr">
        <is>
          <t>Monthly - Tuesday</t>
        </is>
      </c>
      <c r="I3787" t="inlineStr">
        <is>
          <t>Monthly - Tuesday</t>
        </is>
      </c>
      <c r="J3787" t="inlineStr">
        <is>
          <t>Month+1 Expiry</t>
        </is>
      </c>
      <c r="K3787" s="25" t="n">
        <v>218348</v>
      </c>
      <c r="L3787" s="26" t="n">
        <v>345.4301</v>
      </c>
      <c r="M3787" s="26" t="n">
        <v>3.3935</v>
      </c>
    </row>
    <row r="3788">
      <c r="A3788" t="inlineStr">
        <is>
          <t>09-Jul-2026</t>
        </is>
      </c>
      <c r="B3788" t="inlineStr">
        <is>
          <t>Thursday</t>
        </is>
      </c>
      <c r="C3788" t="inlineStr">
        <is>
          <t>Week2-Jul-2026</t>
        </is>
      </c>
      <c r="D3788" s="78" t="n">
        <v>46204</v>
      </c>
      <c r="E3788" t="inlineStr">
        <is>
          <t>Q2FY27</t>
        </is>
      </c>
      <c r="F3788" t="inlineStr">
        <is>
          <t>29-Sep-2026</t>
        </is>
      </c>
      <c r="G3788" t="inlineStr">
        <is>
          <t>Tuesday</t>
        </is>
      </c>
      <c r="H3788" t="inlineStr">
        <is>
          <t>Monthly - Tuesday</t>
        </is>
      </c>
      <c r="I3788" t="inlineStr">
        <is>
          <t>Monthly - Tuesday</t>
        </is>
      </c>
      <c r="J3788" t="inlineStr">
        <is>
          <t>Month+2 Expiry</t>
        </is>
      </c>
      <c r="K3788" s="25" t="n">
        <v>98952</v>
      </c>
      <c r="L3788" s="26" t="n">
        <v>155.6396</v>
      </c>
      <c r="M3788" s="26" t="n">
        <v>1.8959</v>
      </c>
    </row>
    <row r="3789">
      <c r="A3789" t="inlineStr">
        <is>
          <t>09-Jul-2026</t>
        </is>
      </c>
      <c r="B3789" t="inlineStr">
        <is>
          <t>Thursday</t>
        </is>
      </c>
      <c r="C3789" t="inlineStr">
        <is>
          <t>Week2-Jul-2026</t>
        </is>
      </c>
      <c r="D3789" s="78" t="n">
        <v>46204</v>
      </c>
      <c r="E3789" t="inlineStr">
        <is>
          <t>Q2FY27</t>
        </is>
      </c>
      <c r="F3789" t="inlineStr">
        <is>
          <t>29-Dec-2026</t>
        </is>
      </c>
      <c r="G3789" t="inlineStr">
        <is>
          <t>Tuesday</t>
        </is>
      </c>
      <c r="H3789" t="inlineStr">
        <is>
          <t>Monthly - Tuesday</t>
        </is>
      </c>
      <c r="I3789" t="inlineStr">
        <is>
          <t>Monthly - Tuesday</t>
        </is>
      </c>
      <c r="J3789" t="inlineStr">
        <is>
          <t>Month+5 Expiry</t>
        </is>
      </c>
      <c r="K3789" s="25" t="n">
        <v>61033</v>
      </c>
      <c r="L3789" s="26" t="n">
        <v>98.256</v>
      </c>
      <c r="M3789" s="26" t="n">
        <v>1.6551</v>
      </c>
    </row>
    <row r="3790">
      <c r="A3790" t="inlineStr">
        <is>
          <t>09-Jul-2026</t>
        </is>
      </c>
      <c r="B3790" t="inlineStr">
        <is>
          <t>Thursday</t>
        </is>
      </c>
      <c r="C3790" t="inlineStr">
        <is>
          <t>Week2-Jul-2026</t>
        </is>
      </c>
      <c r="D3790" s="78" t="n">
        <v>46204</v>
      </c>
      <c r="E3790" t="inlineStr">
        <is>
          <t>Q2FY27</t>
        </is>
      </c>
      <c r="F3790" t="inlineStr">
        <is>
          <t>30-Mar-2027</t>
        </is>
      </c>
      <c r="G3790" t="inlineStr">
        <is>
          <t>Tuesday</t>
        </is>
      </c>
      <c r="H3790" t="inlineStr">
        <is>
          <t>Monthly - Tuesday</t>
        </is>
      </c>
      <c r="I3790" t="inlineStr">
        <is>
          <t>Monthly - Tuesday</t>
        </is>
      </c>
      <c r="J3790" t="inlineStr">
        <is>
          <t>Month+8 Expiry</t>
        </is>
      </c>
      <c r="K3790" s="25" t="n">
        <v>3833</v>
      </c>
      <c r="L3790" s="26" t="n">
        <v>6.2317</v>
      </c>
      <c r="M3790" s="26" t="n">
        <v>0.0803</v>
      </c>
    </row>
    <row r="3791">
      <c r="A3791" t="inlineStr">
        <is>
          <t>09-Jul-2026</t>
        </is>
      </c>
      <c r="B3791" t="inlineStr">
        <is>
          <t>Thursday</t>
        </is>
      </c>
      <c r="C3791" t="inlineStr">
        <is>
          <t>Week2-Jul-2026</t>
        </is>
      </c>
      <c r="D3791" s="78" t="n">
        <v>46204</v>
      </c>
      <c r="E3791" t="inlineStr">
        <is>
          <t>Q2FY27</t>
        </is>
      </c>
      <c r="F3791" t="inlineStr">
        <is>
          <t>29-Jun-2027</t>
        </is>
      </c>
      <c r="G3791" t="inlineStr">
        <is>
          <t>Tuesday</t>
        </is>
      </c>
      <c r="H3791" t="inlineStr">
        <is>
          <t>Monthly - Tuesday</t>
        </is>
      </c>
      <c r="I3791" t="inlineStr">
        <is>
          <t>Monthly - Tuesday</t>
        </is>
      </c>
      <c r="J3791" t="inlineStr">
        <is>
          <t>Month+11 Expiry</t>
        </is>
      </c>
      <c r="K3791" s="25" t="n">
        <v>0</v>
      </c>
      <c r="L3791" s="26" t="n">
        <v>0</v>
      </c>
      <c r="M3791" s="26" t="n">
        <v>0</v>
      </c>
    </row>
    <row r="3792">
      <c r="A3792" t="inlineStr">
        <is>
          <t>09-Jul-2026</t>
        </is>
      </c>
      <c r="B3792" t="inlineStr">
        <is>
          <t>Thursday</t>
        </is>
      </c>
      <c r="C3792" t="inlineStr">
        <is>
          <t>Week2-Jul-2026</t>
        </is>
      </c>
      <c r="D3792" s="78" t="n">
        <v>46204</v>
      </c>
      <c r="E3792" t="inlineStr">
        <is>
          <t>Q2FY27</t>
        </is>
      </c>
      <c r="F3792" t="inlineStr">
        <is>
          <t>28-Dec-2027</t>
        </is>
      </c>
      <c r="G3792" t="inlineStr">
        <is>
          <t>Tuesday</t>
        </is>
      </c>
      <c r="H3792" t="inlineStr">
        <is>
          <t>Monthly - Tuesday</t>
        </is>
      </c>
      <c r="I3792" t="inlineStr">
        <is>
          <t>Monthly - Tuesday</t>
        </is>
      </c>
      <c r="J3792" t="inlineStr">
        <is>
          <t>Month+17 Expiry</t>
        </is>
      </c>
      <c r="K3792" s="25" t="n">
        <v>941</v>
      </c>
      <c r="L3792" s="26" t="n">
        <v>1.579</v>
      </c>
      <c r="M3792" s="26" t="n">
        <v>0.0653</v>
      </c>
    </row>
    <row r="3793">
      <c r="A3793" t="inlineStr">
        <is>
          <t>09-Jul-2026</t>
        </is>
      </c>
      <c r="B3793" t="inlineStr">
        <is>
          <t>Thursday</t>
        </is>
      </c>
      <c r="C3793" t="inlineStr">
        <is>
          <t>Week2-Jul-2026</t>
        </is>
      </c>
      <c r="D3793" s="78" t="n">
        <v>46204</v>
      </c>
      <c r="E3793" t="inlineStr">
        <is>
          <t>Q2FY27</t>
        </is>
      </c>
      <c r="F3793" t="inlineStr">
        <is>
          <t>27-Jun-2028</t>
        </is>
      </c>
      <c r="G3793" t="inlineStr">
        <is>
          <t>Tuesday</t>
        </is>
      </c>
      <c r="H3793" t="inlineStr">
        <is>
          <t>Monthly - Tuesday</t>
        </is>
      </c>
      <c r="I3793" t="inlineStr">
        <is>
          <t>Monthly - Tuesday</t>
        </is>
      </c>
      <c r="J3793" t="inlineStr">
        <is>
          <t>Month+23 Expiry</t>
        </is>
      </c>
      <c r="K3793" s="25" t="n">
        <v>1</v>
      </c>
      <c r="L3793" s="26" t="n">
        <v>0.0015</v>
      </c>
      <c r="M3793" s="26" t="n">
        <v>0</v>
      </c>
    </row>
    <row r="3794">
      <c r="A3794" t="inlineStr">
        <is>
          <t>09-Jul-2026</t>
        </is>
      </c>
      <c r="B3794" t="inlineStr">
        <is>
          <t>Thursday</t>
        </is>
      </c>
      <c r="C3794" t="inlineStr">
        <is>
          <t>Week2-Jul-2026</t>
        </is>
      </c>
      <c r="D3794" s="78" t="n">
        <v>46204</v>
      </c>
      <c r="E3794" t="inlineStr">
        <is>
          <t>Q2FY27</t>
        </is>
      </c>
      <c r="F3794" t="inlineStr">
        <is>
          <t>26-Dec-2028</t>
        </is>
      </c>
      <c r="G3794" t="inlineStr">
        <is>
          <t>Tuesday</t>
        </is>
      </c>
      <c r="H3794" t="inlineStr">
        <is>
          <t>Monthly - Tuesday</t>
        </is>
      </c>
      <c r="I3794" t="inlineStr">
        <is>
          <t>Monthly - Tuesday</t>
        </is>
      </c>
      <c r="J3794" t="inlineStr">
        <is>
          <t>Month+29 Expiry</t>
        </is>
      </c>
      <c r="K3794" s="25" t="n">
        <v>44</v>
      </c>
      <c r="L3794" s="26" t="n">
        <v>0.0689</v>
      </c>
      <c r="M3794" s="26" t="n">
        <v>0.0024</v>
      </c>
    </row>
    <row r="3795">
      <c r="A3795" t="inlineStr">
        <is>
          <t>09-Jul-2026</t>
        </is>
      </c>
      <c r="B3795" t="inlineStr">
        <is>
          <t>Thursday</t>
        </is>
      </c>
      <c r="C3795" t="inlineStr">
        <is>
          <t>Week2-Jul-2026</t>
        </is>
      </c>
      <c r="D3795" s="78" t="n">
        <v>46204</v>
      </c>
      <c r="E3795" t="inlineStr">
        <is>
          <t>Q2FY27</t>
        </is>
      </c>
      <c r="F3795" t="inlineStr">
        <is>
          <t>26-Jun-2029</t>
        </is>
      </c>
      <c r="G3795" t="inlineStr">
        <is>
          <t>Tuesday</t>
        </is>
      </c>
      <c r="H3795" t="inlineStr">
        <is>
          <t>Monthly - Tuesday</t>
        </is>
      </c>
      <c r="I3795" t="inlineStr">
        <is>
          <t>Monthly - Tuesday</t>
        </is>
      </c>
      <c r="J3795" t="inlineStr">
        <is>
          <t>Month+35 Expiry</t>
        </is>
      </c>
      <c r="K3795" s="25" t="n">
        <v>0</v>
      </c>
      <c r="L3795" s="26" t="n">
        <v>0</v>
      </c>
      <c r="M3795" s="26" t="n">
        <v>0</v>
      </c>
    </row>
    <row r="3796">
      <c r="A3796" t="inlineStr">
        <is>
          <t>09-Jul-2026</t>
        </is>
      </c>
      <c r="B3796" t="inlineStr">
        <is>
          <t>Thursday</t>
        </is>
      </c>
      <c r="C3796" t="inlineStr">
        <is>
          <t>Week2-Jul-2026</t>
        </is>
      </c>
      <c r="D3796" s="78" t="n">
        <v>46204</v>
      </c>
      <c r="E3796" t="inlineStr">
        <is>
          <t>Q2FY27</t>
        </is>
      </c>
      <c r="F3796" t="inlineStr">
        <is>
          <t>24-Dec-2029</t>
        </is>
      </c>
      <c r="G3796" t="inlineStr">
        <is>
          <t>Monday</t>
        </is>
      </c>
      <c r="H3796" t="inlineStr">
        <is>
          <t>Weekly - Monday</t>
        </is>
      </c>
      <c r="I3796" t="inlineStr">
        <is>
          <t>Weekly - Monday</t>
        </is>
      </c>
      <c r="J3796" t="inlineStr">
        <is>
          <t>Month+41 Expiry</t>
        </is>
      </c>
      <c r="K3796" s="25" t="n">
        <v>0</v>
      </c>
      <c r="L3796" s="26" t="n">
        <v>0</v>
      </c>
      <c r="M3796" s="26" t="n">
        <v>0</v>
      </c>
    </row>
    <row r="3797">
      <c r="A3797" t="inlineStr">
        <is>
          <t>09-Jul-2026</t>
        </is>
      </c>
      <c r="B3797" t="inlineStr">
        <is>
          <t>Thursday</t>
        </is>
      </c>
      <c r="C3797" t="inlineStr">
        <is>
          <t>Week2-Jul-2026</t>
        </is>
      </c>
      <c r="D3797" s="78" t="n">
        <v>46204</v>
      </c>
      <c r="E3797" t="inlineStr">
        <is>
          <t>Q2FY27</t>
        </is>
      </c>
      <c r="F3797" t="inlineStr">
        <is>
          <t>25-Jun-2030</t>
        </is>
      </c>
      <c r="G3797" t="inlineStr">
        <is>
          <t>Tuesday</t>
        </is>
      </c>
      <c r="H3797" t="inlineStr">
        <is>
          <t>Monthly - Tuesday</t>
        </is>
      </c>
      <c r="I3797" t="inlineStr">
        <is>
          <t>Monthly - Tuesday</t>
        </is>
      </c>
      <c r="J3797" t="inlineStr">
        <is>
          <t>Month+47 Expiry</t>
        </is>
      </c>
      <c r="K3797" s="25" t="n">
        <v>0</v>
      </c>
      <c r="L3797" s="26" t="n">
        <v>0</v>
      </c>
      <c r="M3797" s="26" t="n">
        <v>0</v>
      </c>
    </row>
    <row r="3798">
      <c r="A3798" t="inlineStr">
        <is>
          <t>09-Jul-2026</t>
        </is>
      </c>
      <c r="B3798" t="inlineStr">
        <is>
          <t>Thursday</t>
        </is>
      </c>
      <c r="C3798" t="inlineStr">
        <is>
          <t>Week2-Jul-2026</t>
        </is>
      </c>
      <c r="D3798" s="78" t="n">
        <v>46204</v>
      </c>
      <c r="E3798" t="inlineStr">
        <is>
          <t>Q2FY27</t>
        </is>
      </c>
      <c r="F3798" t="inlineStr">
        <is>
          <t>31-Dec-2030</t>
        </is>
      </c>
      <c r="G3798" t="inlineStr">
        <is>
          <t>Tuesday</t>
        </is>
      </c>
      <c r="H3798" t="inlineStr">
        <is>
          <t>Monthly - Tuesday</t>
        </is>
      </c>
      <c r="I3798" t="inlineStr">
        <is>
          <t>Monthly - Tuesday</t>
        </is>
      </c>
      <c r="J3798" t="inlineStr">
        <is>
          <t>Month+53 Expiry</t>
        </is>
      </c>
      <c r="K3798" s="25" t="n">
        <v>0</v>
      </c>
      <c r="L3798" s="26" t="n">
        <v>0</v>
      </c>
      <c r="M3798" s="26" t="n">
        <v>0</v>
      </c>
    </row>
    <row r="3799">
      <c r="A3799" t="inlineStr">
        <is>
          <t>09-Jul-2026</t>
        </is>
      </c>
      <c r="B3799" t="inlineStr">
        <is>
          <t>Thursday</t>
        </is>
      </c>
      <c r="C3799" t="inlineStr">
        <is>
          <t>Week2-Jul-2026</t>
        </is>
      </c>
      <c r="D3799" s="78" t="n">
        <v>46204</v>
      </c>
      <c r="E3799" t="inlineStr">
        <is>
          <t>Q2FY27</t>
        </is>
      </c>
      <c r="F3799" t="inlineStr">
        <is>
          <t>24-Jun-2031</t>
        </is>
      </c>
      <c r="G3799" t="inlineStr">
        <is>
          <t>Tuesday</t>
        </is>
      </c>
      <c r="H3799" t="inlineStr">
        <is>
          <t>Monthly - Tuesday</t>
        </is>
      </c>
      <c r="I3799" t="inlineStr">
        <is>
          <t>Monthly - Tuesday</t>
        </is>
      </c>
      <c r="J3799" t="inlineStr">
        <is>
          <t>Month+59 Expiry</t>
        </is>
      </c>
      <c r="K3799" s="25" t="n">
        <v>0</v>
      </c>
      <c r="L3799" s="26" t="n">
        <v>0</v>
      </c>
      <c r="M3799" s="26" t="n">
        <v>0</v>
      </c>
    </row>
    <row r="3800">
      <c r="A3800" t="inlineStr">
        <is>
          <t>10-Jul-2026</t>
        </is>
      </c>
      <c r="B3800" t="inlineStr">
        <is>
          <t>Friday</t>
        </is>
      </c>
      <c r="C3800" t="inlineStr">
        <is>
          <t>Week2-Jul-2026</t>
        </is>
      </c>
      <c r="D3800" s="78" t="n">
        <v>46204</v>
      </c>
      <c r="E3800" t="inlineStr">
        <is>
          <t>Q2FY27</t>
        </is>
      </c>
      <c r="F3800" t="inlineStr">
        <is>
          <t>14-Jul-2026</t>
        </is>
      </c>
      <c r="G3800" t="inlineStr">
        <is>
          <t>Tuesday</t>
        </is>
      </c>
      <c r="H3800" t="inlineStr">
        <is>
          <t>Weekly - Tuesday</t>
        </is>
      </c>
      <c r="I3800" t="inlineStr">
        <is>
          <t>Weekly - Tuesday</t>
        </is>
      </c>
      <c r="J3800" t="inlineStr">
        <is>
          <t>Same Month Expiry</t>
        </is>
      </c>
      <c r="K3800" s="25" t="n">
        <v>82419430</v>
      </c>
      <c r="L3800" s="26" t="n">
        <v>129627.0092</v>
      </c>
      <c r="M3800" s="26" t="n">
        <v>356.5271</v>
      </c>
    </row>
    <row r="3801">
      <c r="A3801" t="inlineStr">
        <is>
          <t>10-Jul-2026</t>
        </is>
      </c>
      <c r="B3801" t="inlineStr">
        <is>
          <t>Friday</t>
        </is>
      </c>
      <c r="C3801" t="inlineStr">
        <is>
          <t>Week2-Jul-2026</t>
        </is>
      </c>
      <c r="D3801" s="78" t="n">
        <v>46204</v>
      </c>
      <c r="E3801" t="inlineStr">
        <is>
          <t>Q2FY27</t>
        </is>
      </c>
      <c r="F3801" t="inlineStr">
        <is>
          <t>21-Jul-2026</t>
        </is>
      </c>
      <c r="G3801" t="inlineStr">
        <is>
          <t>Tuesday</t>
        </is>
      </c>
      <c r="H3801" t="inlineStr">
        <is>
          <t>Weekly - Tuesday</t>
        </is>
      </c>
      <c r="I3801" t="inlineStr">
        <is>
          <t>Weekly - Tuesday</t>
        </is>
      </c>
      <c r="J3801" t="inlineStr">
        <is>
          <t>Same Month Expiry</t>
        </is>
      </c>
      <c r="K3801" s="25" t="n">
        <v>1814988</v>
      </c>
      <c r="L3801" s="26" t="n">
        <v>2853.3393</v>
      </c>
      <c r="M3801" s="26" t="n">
        <v>11.0858</v>
      </c>
    </row>
    <row r="3802">
      <c r="A3802" t="inlineStr">
        <is>
          <t>10-Jul-2026</t>
        </is>
      </c>
      <c r="B3802" t="inlineStr">
        <is>
          <t>Friday</t>
        </is>
      </c>
      <c r="C3802" t="inlineStr">
        <is>
          <t>Week2-Jul-2026</t>
        </is>
      </c>
      <c r="D3802" s="78" t="n">
        <v>46204</v>
      </c>
      <c r="E3802" t="inlineStr">
        <is>
          <t>Q2FY27</t>
        </is>
      </c>
      <c r="F3802" t="inlineStr">
        <is>
          <t>28-Jul-2026</t>
        </is>
      </c>
      <c r="G3802" t="inlineStr">
        <is>
          <t>Tuesday</t>
        </is>
      </c>
      <c r="H3802" t="inlineStr">
        <is>
          <t>Monthly - Tuesday</t>
        </is>
      </c>
      <c r="I3802" t="inlineStr">
        <is>
          <t>Monthly - Tuesday</t>
        </is>
      </c>
      <c r="J3802" t="inlineStr">
        <is>
          <t>Same Month Expiry</t>
        </is>
      </c>
      <c r="K3802" s="25" t="n">
        <v>1461835</v>
      </c>
      <c r="L3802" s="26" t="n">
        <v>2302.0972</v>
      </c>
      <c r="M3802" s="26" t="n">
        <v>14.0563</v>
      </c>
    </row>
    <row r="3803">
      <c r="A3803" t="inlineStr">
        <is>
          <t>10-Jul-2026</t>
        </is>
      </c>
      <c r="B3803" t="inlineStr">
        <is>
          <t>Friday</t>
        </is>
      </c>
      <c r="C3803" t="inlineStr">
        <is>
          <t>Week2-Jul-2026</t>
        </is>
      </c>
      <c r="D3803" s="78" t="n">
        <v>46204</v>
      </c>
      <c r="E3803" t="inlineStr">
        <is>
          <t>Q2FY27</t>
        </is>
      </c>
      <c r="F3803" t="inlineStr">
        <is>
          <t>04-Aug-2026</t>
        </is>
      </c>
      <c r="G3803" t="inlineStr">
        <is>
          <t>Tuesday</t>
        </is>
      </c>
      <c r="H3803" t="inlineStr">
        <is>
          <t>Weekly - Tuesday</t>
        </is>
      </c>
      <c r="I3803" t="inlineStr">
        <is>
          <t>Weekly - Tuesday</t>
        </is>
      </c>
      <c r="J3803" t="inlineStr">
        <is>
          <t>Month+1 Expiry</t>
        </is>
      </c>
      <c r="K3803" s="25" t="n">
        <v>34003</v>
      </c>
      <c r="L3803" s="26" t="n">
        <v>53.8393</v>
      </c>
      <c r="M3803" s="26" t="n">
        <v>0.4165</v>
      </c>
    </row>
    <row r="3804">
      <c r="A3804" t="inlineStr">
        <is>
          <t>10-Jul-2026</t>
        </is>
      </c>
      <c r="B3804" t="inlineStr">
        <is>
          <t>Friday</t>
        </is>
      </c>
      <c r="C3804" t="inlineStr">
        <is>
          <t>Week2-Jul-2026</t>
        </is>
      </c>
      <c r="D3804" s="78" t="n">
        <v>46204</v>
      </c>
      <c r="E3804" t="inlineStr">
        <is>
          <t>Q2FY27</t>
        </is>
      </c>
      <c r="F3804" t="inlineStr">
        <is>
          <t>11-Aug-2026</t>
        </is>
      </c>
      <c r="G3804" t="inlineStr">
        <is>
          <t>Tuesday</t>
        </is>
      </c>
      <c r="H3804" t="inlineStr">
        <is>
          <t>Weekly - Tuesday</t>
        </is>
      </c>
      <c r="I3804" t="inlineStr">
        <is>
          <t>Weekly - Tuesday</t>
        </is>
      </c>
      <c r="J3804" t="inlineStr">
        <is>
          <t>Month+1 Expiry</t>
        </is>
      </c>
      <c r="K3804" s="25" t="n">
        <v>1539</v>
      </c>
      <c r="L3804" s="26" t="n">
        <v>2.4338</v>
      </c>
      <c r="M3804" s="26" t="n">
        <v>0.0255</v>
      </c>
    </row>
    <row r="3805">
      <c r="A3805" t="inlineStr">
        <is>
          <t>10-Jul-2026</t>
        </is>
      </c>
      <c r="B3805" t="inlineStr">
        <is>
          <t>Friday</t>
        </is>
      </c>
      <c r="C3805" t="inlineStr">
        <is>
          <t>Week2-Jul-2026</t>
        </is>
      </c>
      <c r="D3805" s="78" t="n">
        <v>46204</v>
      </c>
      <c r="E3805" t="inlineStr">
        <is>
          <t>Q2FY27</t>
        </is>
      </c>
      <c r="F3805" t="inlineStr">
        <is>
          <t>25-Aug-2026</t>
        </is>
      </c>
      <c r="G3805" t="inlineStr">
        <is>
          <t>Tuesday</t>
        </is>
      </c>
      <c r="H3805" t="inlineStr">
        <is>
          <t>Monthly - Tuesday</t>
        </is>
      </c>
      <c r="I3805" t="inlineStr">
        <is>
          <t>Monthly - Tuesday</t>
        </is>
      </c>
      <c r="J3805" t="inlineStr">
        <is>
          <t>Month+1 Expiry</t>
        </is>
      </c>
      <c r="K3805" s="25" t="n">
        <v>198677</v>
      </c>
      <c r="L3805" s="26" t="n">
        <v>315.1663</v>
      </c>
      <c r="M3805" s="26" t="n">
        <v>2.9519</v>
      </c>
    </row>
    <row r="3806">
      <c r="A3806" t="inlineStr">
        <is>
          <t>10-Jul-2026</t>
        </is>
      </c>
      <c r="B3806" t="inlineStr">
        <is>
          <t>Friday</t>
        </is>
      </c>
      <c r="C3806" t="inlineStr">
        <is>
          <t>Week2-Jul-2026</t>
        </is>
      </c>
      <c r="D3806" s="78" t="n">
        <v>46204</v>
      </c>
      <c r="E3806" t="inlineStr">
        <is>
          <t>Q2FY27</t>
        </is>
      </c>
      <c r="F3806" t="inlineStr">
        <is>
          <t>29-Sep-2026</t>
        </is>
      </c>
      <c r="G3806" t="inlineStr">
        <is>
          <t>Tuesday</t>
        </is>
      </c>
      <c r="H3806" t="inlineStr">
        <is>
          <t>Monthly - Tuesday</t>
        </is>
      </c>
      <c r="I3806" t="inlineStr">
        <is>
          <t>Monthly - Tuesday</t>
        </is>
      </c>
      <c r="J3806" t="inlineStr">
        <is>
          <t>Month+2 Expiry</t>
        </is>
      </c>
      <c r="K3806" s="25" t="n">
        <v>63679</v>
      </c>
      <c r="L3806" s="26" t="n">
        <v>99.88249999999999</v>
      </c>
      <c r="M3806" s="26" t="n">
        <v>1.0423</v>
      </c>
    </row>
    <row r="3807">
      <c r="A3807" t="inlineStr">
        <is>
          <t>10-Jul-2026</t>
        </is>
      </c>
      <c r="B3807" t="inlineStr">
        <is>
          <t>Friday</t>
        </is>
      </c>
      <c r="C3807" t="inlineStr">
        <is>
          <t>Week2-Jul-2026</t>
        </is>
      </c>
      <c r="D3807" s="78" t="n">
        <v>46204</v>
      </c>
      <c r="E3807" t="inlineStr">
        <is>
          <t>Q2FY27</t>
        </is>
      </c>
      <c r="F3807" t="inlineStr">
        <is>
          <t>29-Dec-2026</t>
        </is>
      </c>
      <c r="G3807" t="inlineStr">
        <is>
          <t>Tuesday</t>
        </is>
      </c>
      <c r="H3807" t="inlineStr">
        <is>
          <t>Monthly - Tuesday</t>
        </is>
      </c>
      <c r="I3807" t="inlineStr">
        <is>
          <t>Monthly - Tuesday</t>
        </is>
      </c>
      <c r="J3807" t="inlineStr">
        <is>
          <t>Month+5 Expiry</t>
        </is>
      </c>
      <c r="K3807" s="25" t="n">
        <v>39860</v>
      </c>
      <c r="L3807" s="26" t="n">
        <v>64.0352</v>
      </c>
      <c r="M3807" s="26" t="n">
        <v>1.0314</v>
      </c>
    </row>
    <row r="3808">
      <c r="A3808" t="inlineStr">
        <is>
          <t>10-Jul-2026</t>
        </is>
      </c>
      <c r="B3808" t="inlineStr">
        <is>
          <t>Friday</t>
        </is>
      </c>
      <c r="C3808" t="inlineStr">
        <is>
          <t>Week2-Jul-2026</t>
        </is>
      </c>
      <c r="D3808" s="78" t="n">
        <v>46204</v>
      </c>
      <c r="E3808" t="inlineStr">
        <is>
          <t>Q2FY27</t>
        </is>
      </c>
      <c r="F3808" t="inlineStr">
        <is>
          <t>30-Mar-2027</t>
        </is>
      </c>
      <c r="G3808" t="inlineStr">
        <is>
          <t>Tuesday</t>
        </is>
      </c>
      <c r="H3808" t="inlineStr">
        <is>
          <t>Monthly - Tuesday</t>
        </is>
      </c>
      <c r="I3808" t="inlineStr">
        <is>
          <t>Monthly - Tuesday</t>
        </is>
      </c>
      <c r="J3808" t="inlineStr">
        <is>
          <t>Month+8 Expiry</t>
        </is>
      </c>
      <c r="K3808" s="25" t="n">
        <v>2597</v>
      </c>
      <c r="L3808" s="26" t="n">
        <v>4.5159</v>
      </c>
      <c r="M3808" s="26" t="n">
        <v>0.0625</v>
      </c>
    </row>
    <row r="3809">
      <c r="A3809" t="inlineStr">
        <is>
          <t>10-Jul-2026</t>
        </is>
      </c>
      <c r="B3809" t="inlineStr">
        <is>
          <t>Friday</t>
        </is>
      </c>
      <c r="C3809" t="inlineStr">
        <is>
          <t>Week2-Jul-2026</t>
        </is>
      </c>
      <c r="D3809" s="78" t="n">
        <v>46204</v>
      </c>
      <c r="E3809" t="inlineStr">
        <is>
          <t>Q2FY27</t>
        </is>
      </c>
      <c r="F3809" t="inlineStr">
        <is>
          <t>29-Jun-2027</t>
        </is>
      </c>
      <c r="G3809" t="inlineStr">
        <is>
          <t>Tuesday</t>
        </is>
      </c>
      <c r="H3809" t="inlineStr">
        <is>
          <t>Monthly - Tuesday</t>
        </is>
      </c>
      <c r="I3809" t="inlineStr">
        <is>
          <t>Monthly - Tuesday</t>
        </is>
      </c>
      <c r="J3809" t="inlineStr">
        <is>
          <t>Month+11 Expiry</t>
        </is>
      </c>
      <c r="K3809" s="25" t="n">
        <v>4</v>
      </c>
      <c r="L3809" s="26" t="n">
        <v>0.0058</v>
      </c>
      <c r="M3809" s="26" t="n">
        <v>0.0002</v>
      </c>
    </row>
    <row r="3810">
      <c r="A3810" t="inlineStr">
        <is>
          <t>10-Jul-2026</t>
        </is>
      </c>
      <c r="B3810" t="inlineStr">
        <is>
          <t>Friday</t>
        </is>
      </c>
      <c r="C3810" t="inlineStr">
        <is>
          <t>Week2-Jul-2026</t>
        </is>
      </c>
      <c r="D3810" s="78" t="n">
        <v>46204</v>
      </c>
      <c r="E3810" t="inlineStr">
        <is>
          <t>Q2FY27</t>
        </is>
      </c>
      <c r="F3810" t="inlineStr">
        <is>
          <t>28-Dec-2027</t>
        </is>
      </c>
      <c r="G3810" t="inlineStr">
        <is>
          <t>Tuesday</t>
        </is>
      </c>
      <c r="H3810" t="inlineStr">
        <is>
          <t>Monthly - Tuesday</t>
        </is>
      </c>
      <c r="I3810" t="inlineStr">
        <is>
          <t>Monthly - Tuesday</t>
        </is>
      </c>
      <c r="J3810" t="inlineStr">
        <is>
          <t>Month+17 Expiry</t>
        </is>
      </c>
      <c r="K3810" s="25" t="n">
        <v>1306</v>
      </c>
      <c r="L3810" s="26" t="n">
        <v>2.2826</v>
      </c>
      <c r="M3810" s="26" t="n">
        <v>0.1011</v>
      </c>
    </row>
    <row r="3811">
      <c r="A3811" t="inlineStr">
        <is>
          <t>10-Jul-2026</t>
        </is>
      </c>
      <c r="B3811" t="inlineStr">
        <is>
          <t>Friday</t>
        </is>
      </c>
      <c r="C3811" t="inlineStr">
        <is>
          <t>Week2-Jul-2026</t>
        </is>
      </c>
      <c r="D3811" s="78" t="n">
        <v>46204</v>
      </c>
      <c r="E3811" t="inlineStr">
        <is>
          <t>Q2FY27</t>
        </is>
      </c>
      <c r="F3811" t="inlineStr">
        <is>
          <t>27-Jun-2028</t>
        </is>
      </c>
      <c r="G3811" t="inlineStr">
        <is>
          <t>Tuesday</t>
        </is>
      </c>
      <c r="H3811" t="inlineStr">
        <is>
          <t>Monthly - Tuesday</t>
        </is>
      </c>
      <c r="I3811" t="inlineStr">
        <is>
          <t>Monthly - Tuesday</t>
        </is>
      </c>
      <c r="J3811" t="inlineStr">
        <is>
          <t>Month+23 Expiry</t>
        </is>
      </c>
      <c r="K3811" s="25" t="n">
        <v>2</v>
      </c>
      <c r="L3811" s="26" t="n">
        <v>0.0029</v>
      </c>
      <c r="M3811" s="26" t="n">
        <v>0.0001</v>
      </c>
    </row>
    <row r="3812">
      <c r="A3812" t="inlineStr">
        <is>
          <t>10-Jul-2026</t>
        </is>
      </c>
      <c r="B3812" t="inlineStr">
        <is>
          <t>Friday</t>
        </is>
      </c>
      <c r="C3812" t="inlineStr">
        <is>
          <t>Week2-Jul-2026</t>
        </is>
      </c>
      <c r="D3812" s="78" t="n">
        <v>46204</v>
      </c>
      <c r="E3812" t="inlineStr">
        <is>
          <t>Q2FY27</t>
        </is>
      </c>
      <c r="F3812" t="inlineStr">
        <is>
          <t>26-Dec-2028</t>
        </is>
      </c>
      <c r="G3812" t="inlineStr">
        <is>
          <t>Tuesday</t>
        </is>
      </c>
      <c r="H3812" t="inlineStr">
        <is>
          <t>Monthly - Tuesday</t>
        </is>
      </c>
      <c r="I3812" t="inlineStr">
        <is>
          <t>Monthly - Tuesday</t>
        </is>
      </c>
      <c r="J3812" t="inlineStr">
        <is>
          <t>Month+29 Expiry</t>
        </is>
      </c>
      <c r="K3812" s="25" t="n">
        <v>6</v>
      </c>
      <c r="L3812" s="26" t="n">
        <v>0.0104</v>
      </c>
      <c r="M3812" s="26" t="n">
        <v>0.0005</v>
      </c>
    </row>
    <row r="3813">
      <c r="A3813" t="inlineStr">
        <is>
          <t>10-Jul-2026</t>
        </is>
      </c>
      <c r="B3813" t="inlineStr">
        <is>
          <t>Friday</t>
        </is>
      </c>
      <c r="C3813" t="inlineStr">
        <is>
          <t>Week2-Jul-2026</t>
        </is>
      </c>
      <c r="D3813" s="78" t="n">
        <v>46204</v>
      </c>
      <c r="E3813" t="inlineStr">
        <is>
          <t>Q2FY27</t>
        </is>
      </c>
      <c r="F3813" t="inlineStr">
        <is>
          <t>26-Jun-2029</t>
        </is>
      </c>
      <c r="G3813" t="inlineStr">
        <is>
          <t>Tuesday</t>
        </is>
      </c>
      <c r="H3813" t="inlineStr">
        <is>
          <t>Monthly - Tuesday</t>
        </is>
      </c>
      <c r="I3813" t="inlineStr">
        <is>
          <t>Monthly - Tuesday</t>
        </is>
      </c>
      <c r="J3813" t="inlineStr">
        <is>
          <t>Month+35 Expiry</t>
        </is>
      </c>
      <c r="K3813" s="25" t="n">
        <v>0</v>
      </c>
      <c r="L3813" s="26" t="n">
        <v>0</v>
      </c>
      <c r="M3813" s="26" t="n">
        <v>0</v>
      </c>
    </row>
    <row r="3814">
      <c r="A3814" t="inlineStr">
        <is>
          <t>10-Jul-2026</t>
        </is>
      </c>
      <c r="B3814" t="inlineStr">
        <is>
          <t>Friday</t>
        </is>
      </c>
      <c r="C3814" t="inlineStr">
        <is>
          <t>Week2-Jul-2026</t>
        </is>
      </c>
      <c r="D3814" s="78" t="n">
        <v>46204</v>
      </c>
      <c r="E3814" t="inlineStr">
        <is>
          <t>Q2FY27</t>
        </is>
      </c>
      <c r="F3814" t="inlineStr">
        <is>
          <t>24-Dec-2029</t>
        </is>
      </c>
      <c r="G3814" t="inlineStr">
        <is>
          <t>Monday</t>
        </is>
      </c>
      <c r="H3814" t="inlineStr">
        <is>
          <t>Weekly - Monday</t>
        </is>
      </c>
      <c r="I3814" t="inlineStr">
        <is>
          <t>Weekly - Monday</t>
        </is>
      </c>
      <c r="J3814" t="inlineStr">
        <is>
          <t>Month+41 Expiry</t>
        </is>
      </c>
      <c r="K3814" s="25" t="n">
        <v>0</v>
      </c>
      <c r="L3814" s="26" t="n">
        <v>0</v>
      </c>
      <c r="M3814" s="26" t="n">
        <v>0</v>
      </c>
    </row>
    <row r="3815">
      <c r="A3815" t="inlineStr">
        <is>
          <t>10-Jul-2026</t>
        </is>
      </c>
      <c r="B3815" t="inlineStr">
        <is>
          <t>Friday</t>
        </is>
      </c>
      <c r="C3815" t="inlineStr">
        <is>
          <t>Week2-Jul-2026</t>
        </is>
      </c>
      <c r="D3815" s="78" t="n">
        <v>46204</v>
      </c>
      <c r="E3815" t="inlineStr">
        <is>
          <t>Q2FY27</t>
        </is>
      </c>
      <c r="F3815" t="inlineStr">
        <is>
          <t>25-Jun-2030</t>
        </is>
      </c>
      <c r="G3815" t="inlineStr">
        <is>
          <t>Tuesday</t>
        </is>
      </c>
      <c r="H3815" t="inlineStr">
        <is>
          <t>Monthly - Tuesday</t>
        </is>
      </c>
      <c r="I3815" t="inlineStr">
        <is>
          <t>Monthly - Tuesday</t>
        </is>
      </c>
      <c r="J3815" t="inlineStr">
        <is>
          <t>Month+47 Expiry</t>
        </is>
      </c>
      <c r="K3815" s="25" t="n">
        <v>0</v>
      </c>
      <c r="L3815" s="26" t="n">
        <v>0</v>
      </c>
      <c r="M3815" s="26" t="n">
        <v>0</v>
      </c>
    </row>
    <row r="3816">
      <c r="A3816" t="inlineStr">
        <is>
          <t>10-Jul-2026</t>
        </is>
      </c>
      <c r="B3816" t="inlineStr">
        <is>
          <t>Friday</t>
        </is>
      </c>
      <c r="C3816" t="inlineStr">
        <is>
          <t>Week2-Jul-2026</t>
        </is>
      </c>
      <c r="D3816" s="78" t="n">
        <v>46204</v>
      </c>
      <c r="E3816" t="inlineStr">
        <is>
          <t>Q2FY27</t>
        </is>
      </c>
      <c r="F3816" t="inlineStr">
        <is>
          <t>31-Dec-2030</t>
        </is>
      </c>
      <c r="G3816" t="inlineStr">
        <is>
          <t>Tuesday</t>
        </is>
      </c>
      <c r="H3816" t="inlineStr">
        <is>
          <t>Monthly - Tuesday</t>
        </is>
      </c>
      <c r="I3816" t="inlineStr">
        <is>
          <t>Monthly - Tuesday</t>
        </is>
      </c>
      <c r="J3816" t="inlineStr">
        <is>
          <t>Month+53 Expiry</t>
        </is>
      </c>
      <c r="K3816" s="25" t="n">
        <v>0</v>
      </c>
      <c r="L3816" s="26" t="n">
        <v>0</v>
      </c>
      <c r="M3816" s="26" t="n">
        <v>0</v>
      </c>
    </row>
    <row r="3817">
      <c r="A3817" t="inlineStr">
        <is>
          <t>10-Jul-2026</t>
        </is>
      </c>
      <c r="B3817" t="inlineStr">
        <is>
          <t>Friday</t>
        </is>
      </c>
      <c r="C3817" t="inlineStr">
        <is>
          <t>Week2-Jul-2026</t>
        </is>
      </c>
      <c r="D3817" s="78" t="n">
        <v>46204</v>
      </c>
      <c r="E3817" t="inlineStr">
        <is>
          <t>Q2FY27</t>
        </is>
      </c>
      <c r="F3817" t="inlineStr">
        <is>
          <t>24-Jun-2031</t>
        </is>
      </c>
      <c r="G3817" t="inlineStr">
        <is>
          <t>Tuesday</t>
        </is>
      </c>
      <c r="H3817" t="inlineStr">
        <is>
          <t>Monthly - Tuesday</t>
        </is>
      </c>
      <c r="I3817" t="inlineStr">
        <is>
          <t>Monthly - Tuesday</t>
        </is>
      </c>
      <c r="J3817" t="inlineStr">
        <is>
          <t>Month+59 Expiry</t>
        </is>
      </c>
      <c r="K3817" s="25" t="n">
        <v>0</v>
      </c>
      <c r="L3817" s="26" t="n">
        <v>0</v>
      </c>
      <c r="M3817" s="26" t="n">
        <v>0</v>
      </c>
    </row>
    <row r="3818">
      <c r="A3818" t="inlineStr">
        <is>
          <t>13-Jul-2026</t>
        </is>
      </c>
      <c r="B3818" t="inlineStr">
        <is>
          <t>Monday</t>
        </is>
      </c>
      <c r="C3818" t="inlineStr">
        <is>
          <t>Week2-Jul-2026</t>
        </is>
      </c>
      <c r="D3818" s="78" t="n">
        <v>46204</v>
      </c>
      <c r="E3818" t="inlineStr">
        <is>
          <t>Q2FY27</t>
        </is>
      </c>
      <c r="F3818" t="inlineStr">
        <is>
          <t>14-Jul-2026</t>
        </is>
      </c>
      <c r="G3818" t="inlineStr">
        <is>
          <t>Tuesday</t>
        </is>
      </c>
      <c r="H3818" t="inlineStr">
        <is>
          <t>Weekly - Tuesday</t>
        </is>
      </c>
      <c r="I3818" t="inlineStr">
        <is>
          <t>Weekly - Tuesday</t>
        </is>
      </c>
      <c r="J3818" t="inlineStr">
        <is>
          <t>Same Month Expiry</t>
        </is>
      </c>
      <c r="K3818" s="25" t="n">
        <v>153032591</v>
      </c>
      <c r="L3818" s="26" t="n">
        <v>240458.5207</v>
      </c>
      <c r="M3818" s="26" t="n">
        <v>511.6975</v>
      </c>
    </row>
    <row r="3819">
      <c r="A3819" t="inlineStr">
        <is>
          <t>13-Jul-2026</t>
        </is>
      </c>
      <c r="B3819" t="inlineStr">
        <is>
          <t>Monday</t>
        </is>
      </c>
      <c r="C3819" t="inlineStr">
        <is>
          <t>Week2-Jul-2026</t>
        </is>
      </c>
      <c r="D3819" s="78" t="n">
        <v>46204</v>
      </c>
      <c r="E3819" t="inlineStr">
        <is>
          <t>Q2FY27</t>
        </is>
      </c>
      <c r="F3819" t="inlineStr">
        <is>
          <t>21-Jul-2026</t>
        </is>
      </c>
      <c r="G3819" t="inlineStr">
        <is>
          <t>Tuesday</t>
        </is>
      </c>
      <c r="H3819" t="inlineStr">
        <is>
          <t>Weekly - Tuesday</t>
        </is>
      </c>
      <c r="I3819" t="inlineStr">
        <is>
          <t>Weekly - Tuesday</t>
        </is>
      </c>
      <c r="J3819" t="inlineStr">
        <is>
          <t>Same Month Expiry</t>
        </is>
      </c>
      <c r="K3819" s="25" t="n">
        <v>4507137</v>
      </c>
      <c r="L3819" s="26" t="n">
        <v>7093.2613</v>
      </c>
      <c r="M3819" s="26" t="n">
        <v>26.9992</v>
      </c>
    </row>
    <row r="3820">
      <c r="A3820" t="inlineStr">
        <is>
          <t>13-Jul-2026</t>
        </is>
      </c>
      <c r="B3820" t="inlineStr">
        <is>
          <t>Monday</t>
        </is>
      </c>
      <c r="C3820" t="inlineStr">
        <is>
          <t>Week2-Jul-2026</t>
        </is>
      </c>
      <c r="D3820" s="78" t="n">
        <v>46204</v>
      </c>
      <c r="E3820" t="inlineStr">
        <is>
          <t>Q2FY27</t>
        </is>
      </c>
      <c r="F3820" t="inlineStr">
        <is>
          <t>28-Jul-2026</t>
        </is>
      </c>
      <c r="G3820" t="inlineStr">
        <is>
          <t>Tuesday</t>
        </is>
      </c>
      <c r="H3820" t="inlineStr">
        <is>
          <t>Monthly - Tuesday</t>
        </is>
      </c>
      <c r="I3820" t="inlineStr">
        <is>
          <t>Monthly - Tuesday</t>
        </is>
      </c>
      <c r="J3820" t="inlineStr">
        <is>
          <t>Same Month Expiry</t>
        </is>
      </c>
      <c r="K3820" s="25" t="n">
        <v>1674857</v>
      </c>
      <c r="L3820" s="26" t="n">
        <v>2649.9615</v>
      </c>
      <c r="M3820" s="26" t="n">
        <v>16.3176</v>
      </c>
    </row>
    <row r="3821">
      <c r="A3821" t="inlineStr">
        <is>
          <t>13-Jul-2026</t>
        </is>
      </c>
      <c r="B3821" t="inlineStr">
        <is>
          <t>Monday</t>
        </is>
      </c>
      <c r="C3821" t="inlineStr">
        <is>
          <t>Week2-Jul-2026</t>
        </is>
      </c>
      <c r="D3821" s="78" t="n">
        <v>46204</v>
      </c>
      <c r="E3821" t="inlineStr">
        <is>
          <t>Q2FY27</t>
        </is>
      </c>
      <c r="F3821" t="inlineStr">
        <is>
          <t>04-Aug-2026</t>
        </is>
      </c>
      <c r="G3821" t="inlineStr">
        <is>
          <t>Tuesday</t>
        </is>
      </c>
      <c r="H3821" t="inlineStr">
        <is>
          <t>Weekly - Tuesday</t>
        </is>
      </c>
      <c r="I3821" t="inlineStr">
        <is>
          <t>Weekly - Tuesday</t>
        </is>
      </c>
      <c r="J3821" t="inlineStr">
        <is>
          <t>Month+1 Expiry</t>
        </is>
      </c>
      <c r="K3821" s="25" t="n">
        <v>51604</v>
      </c>
      <c r="L3821" s="26" t="n">
        <v>81.8944</v>
      </c>
      <c r="M3821" s="26" t="n">
        <v>0.6289</v>
      </c>
    </row>
    <row r="3822">
      <c r="A3822" t="inlineStr">
        <is>
          <t>13-Jul-2026</t>
        </is>
      </c>
      <c r="B3822" t="inlineStr">
        <is>
          <t>Monday</t>
        </is>
      </c>
      <c r="C3822" t="inlineStr">
        <is>
          <t>Week2-Jul-2026</t>
        </is>
      </c>
      <c r="D3822" s="78" t="n">
        <v>46204</v>
      </c>
      <c r="E3822" t="inlineStr">
        <is>
          <t>Q2FY27</t>
        </is>
      </c>
      <c r="F3822" t="inlineStr">
        <is>
          <t>11-Aug-2026</t>
        </is>
      </c>
      <c r="G3822" t="inlineStr">
        <is>
          <t>Tuesday</t>
        </is>
      </c>
      <c r="H3822" t="inlineStr">
        <is>
          <t>Weekly - Tuesday</t>
        </is>
      </c>
      <c r="I3822" t="inlineStr">
        <is>
          <t>Weekly - Tuesday</t>
        </is>
      </c>
      <c r="J3822" t="inlineStr">
        <is>
          <t>Month+1 Expiry</t>
        </is>
      </c>
      <c r="K3822" s="25" t="n">
        <v>5671</v>
      </c>
      <c r="L3822" s="26" t="n">
        <v>9.005000000000001</v>
      </c>
      <c r="M3822" s="26" t="n">
        <v>0.0997</v>
      </c>
    </row>
    <row r="3823">
      <c r="A3823" t="inlineStr">
        <is>
          <t>13-Jul-2026</t>
        </is>
      </c>
      <c r="B3823" t="inlineStr">
        <is>
          <t>Monday</t>
        </is>
      </c>
      <c r="C3823" t="inlineStr">
        <is>
          <t>Week2-Jul-2026</t>
        </is>
      </c>
      <c r="D3823" s="78" t="n">
        <v>46204</v>
      </c>
      <c r="E3823" t="inlineStr">
        <is>
          <t>Q2FY27</t>
        </is>
      </c>
      <c r="F3823" t="inlineStr">
        <is>
          <t>25-Aug-2026</t>
        </is>
      </c>
      <c r="G3823" t="inlineStr">
        <is>
          <t>Tuesday</t>
        </is>
      </c>
      <c r="H3823" t="inlineStr">
        <is>
          <t>Monthly - Tuesday</t>
        </is>
      </c>
      <c r="I3823" t="inlineStr">
        <is>
          <t>Monthly - Tuesday</t>
        </is>
      </c>
      <c r="J3823" t="inlineStr">
        <is>
          <t>Month+1 Expiry</t>
        </is>
      </c>
      <c r="K3823" s="25" t="n">
        <v>240590</v>
      </c>
      <c r="L3823" s="26" t="n">
        <v>384.0618</v>
      </c>
      <c r="M3823" s="26" t="n">
        <v>3.4372</v>
      </c>
    </row>
    <row r="3824">
      <c r="A3824" t="inlineStr">
        <is>
          <t>13-Jul-2026</t>
        </is>
      </c>
      <c r="B3824" t="inlineStr">
        <is>
          <t>Monday</t>
        </is>
      </c>
      <c r="C3824" t="inlineStr">
        <is>
          <t>Week2-Jul-2026</t>
        </is>
      </c>
      <c r="D3824" s="78" t="n">
        <v>46204</v>
      </c>
      <c r="E3824" t="inlineStr">
        <is>
          <t>Q2FY27</t>
        </is>
      </c>
      <c r="F3824" t="inlineStr">
        <is>
          <t>29-Sep-2026</t>
        </is>
      </c>
      <c r="G3824" t="inlineStr">
        <is>
          <t>Tuesday</t>
        </is>
      </c>
      <c r="H3824" t="inlineStr">
        <is>
          <t>Monthly - Tuesday</t>
        </is>
      </c>
      <c r="I3824" t="inlineStr">
        <is>
          <t>Monthly - Tuesday</t>
        </is>
      </c>
      <c r="J3824" t="inlineStr">
        <is>
          <t>Month+2 Expiry</t>
        </is>
      </c>
      <c r="K3824" s="25" t="n">
        <v>84159</v>
      </c>
      <c r="L3824" s="26" t="n">
        <v>134.6604</v>
      </c>
      <c r="M3824" s="26" t="n">
        <v>1.2851</v>
      </c>
    </row>
    <row r="3825">
      <c r="A3825" t="inlineStr">
        <is>
          <t>13-Jul-2026</t>
        </is>
      </c>
      <c r="B3825" t="inlineStr">
        <is>
          <t>Monday</t>
        </is>
      </c>
      <c r="C3825" t="inlineStr">
        <is>
          <t>Week2-Jul-2026</t>
        </is>
      </c>
      <c r="D3825" s="78" t="n">
        <v>46204</v>
      </c>
      <c r="E3825" t="inlineStr">
        <is>
          <t>Q2FY27</t>
        </is>
      </c>
      <c r="F3825" t="inlineStr">
        <is>
          <t>29-Dec-2026</t>
        </is>
      </c>
      <c r="G3825" t="inlineStr">
        <is>
          <t>Tuesday</t>
        </is>
      </c>
      <c r="H3825" t="inlineStr">
        <is>
          <t>Monthly - Tuesday</t>
        </is>
      </c>
      <c r="I3825" t="inlineStr">
        <is>
          <t>Monthly - Tuesday</t>
        </is>
      </c>
      <c r="J3825" t="inlineStr">
        <is>
          <t>Month+5 Expiry</t>
        </is>
      </c>
      <c r="K3825" s="25" t="n">
        <v>39307</v>
      </c>
      <c r="L3825" s="26" t="n">
        <v>62.5637</v>
      </c>
      <c r="M3825" s="26" t="n">
        <v>0.9558</v>
      </c>
    </row>
    <row r="3826">
      <c r="A3826" t="inlineStr">
        <is>
          <t>13-Jul-2026</t>
        </is>
      </c>
      <c r="B3826" t="inlineStr">
        <is>
          <t>Monday</t>
        </is>
      </c>
      <c r="C3826" t="inlineStr">
        <is>
          <t>Week2-Jul-2026</t>
        </is>
      </c>
      <c r="D3826" s="78" t="n">
        <v>46204</v>
      </c>
      <c r="E3826" t="inlineStr">
        <is>
          <t>Q2FY27</t>
        </is>
      </c>
      <c r="F3826" t="inlineStr">
        <is>
          <t>30-Mar-2027</t>
        </is>
      </c>
      <c r="G3826" t="inlineStr">
        <is>
          <t>Tuesday</t>
        </is>
      </c>
      <c r="H3826" t="inlineStr">
        <is>
          <t>Monthly - Tuesday</t>
        </is>
      </c>
      <c r="I3826" t="inlineStr">
        <is>
          <t>Monthly - Tuesday</t>
        </is>
      </c>
      <c r="J3826" t="inlineStr">
        <is>
          <t>Month+8 Expiry</t>
        </is>
      </c>
      <c r="K3826" s="25" t="n">
        <v>18590</v>
      </c>
      <c r="L3826" s="26" t="n">
        <v>32.3619</v>
      </c>
      <c r="M3826" s="26" t="n">
        <v>0.5749</v>
      </c>
    </row>
    <row r="3827">
      <c r="A3827" t="inlineStr">
        <is>
          <t>13-Jul-2026</t>
        </is>
      </c>
      <c r="B3827" t="inlineStr">
        <is>
          <t>Monday</t>
        </is>
      </c>
      <c r="C3827" t="inlineStr">
        <is>
          <t>Week2-Jul-2026</t>
        </is>
      </c>
      <c r="D3827" s="78" t="n">
        <v>46204</v>
      </c>
      <c r="E3827" t="inlineStr">
        <is>
          <t>Q2FY27</t>
        </is>
      </c>
      <c r="F3827" t="inlineStr">
        <is>
          <t>29-Jun-2027</t>
        </is>
      </c>
      <c r="G3827" t="inlineStr">
        <is>
          <t>Tuesday</t>
        </is>
      </c>
      <c r="H3827" t="inlineStr">
        <is>
          <t>Monthly - Tuesday</t>
        </is>
      </c>
      <c r="I3827" t="inlineStr">
        <is>
          <t>Monthly - Tuesday</t>
        </is>
      </c>
      <c r="J3827" t="inlineStr">
        <is>
          <t>Month+11 Expiry</t>
        </is>
      </c>
      <c r="K3827" s="25" t="n">
        <v>3</v>
      </c>
      <c r="L3827" s="26" t="n">
        <v>0.0045</v>
      </c>
      <c r="M3827" s="26" t="n">
        <v>0.0002</v>
      </c>
    </row>
    <row r="3828">
      <c r="A3828" t="inlineStr">
        <is>
          <t>13-Jul-2026</t>
        </is>
      </c>
      <c r="B3828" t="inlineStr">
        <is>
          <t>Monday</t>
        </is>
      </c>
      <c r="C3828" t="inlineStr">
        <is>
          <t>Week2-Jul-2026</t>
        </is>
      </c>
      <c r="D3828" s="78" t="n">
        <v>46204</v>
      </c>
      <c r="E3828" t="inlineStr">
        <is>
          <t>Q2FY27</t>
        </is>
      </c>
      <c r="F3828" t="inlineStr">
        <is>
          <t>28-Dec-2027</t>
        </is>
      </c>
      <c r="G3828" t="inlineStr">
        <is>
          <t>Tuesday</t>
        </is>
      </c>
      <c r="H3828" t="inlineStr">
        <is>
          <t>Monthly - Tuesday</t>
        </is>
      </c>
      <c r="I3828" t="inlineStr">
        <is>
          <t>Monthly - Tuesday</t>
        </is>
      </c>
      <c r="J3828" t="inlineStr">
        <is>
          <t>Month+17 Expiry</t>
        </is>
      </c>
      <c r="K3828" s="25" t="n">
        <v>2148</v>
      </c>
      <c r="L3828" s="26" t="n">
        <v>3.8249</v>
      </c>
      <c r="M3828" s="26" t="n">
        <v>0.1359</v>
      </c>
    </row>
    <row r="3829">
      <c r="A3829" t="inlineStr">
        <is>
          <t>13-Jul-2026</t>
        </is>
      </c>
      <c r="B3829" t="inlineStr">
        <is>
          <t>Monday</t>
        </is>
      </c>
      <c r="C3829" t="inlineStr">
        <is>
          <t>Week2-Jul-2026</t>
        </is>
      </c>
      <c r="D3829" s="78" t="n">
        <v>46204</v>
      </c>
      <c r="E3829" t="inlineStr">
        <is>
          <t>Q2FY27</t>
        </is>
      </c>
      <c r="F3829" t="inlineStr">
        <is>
          <t>27-Jun-2028</t>
        </is>
      </c>
      <c r="G3829" t="inlineStr">
        <is>
          <t>Tuesday</t>
        </is>
      </c>
      <c r="H3829" t="inlineStr">
        <is>
          <t>Monthly - Tuesday</t>
        </is>
      </c>
      <c r="I3829" t="inlineStr">
        <is>
          <t>Monthly - Tuesday</t>
        </is>
      </c>
      <c r="J3829" t="inlineStr">
        <is>
          <t>Month+23 Expiry</t>
        </is>
      </c>
      <c r="K3829" s="25" t="n">
        <v>0</v>
      </c>
      <c r="L3829" s="26" t="n">
        <v>0</v>
      </c>
      <c r="M3829" s="26" t="n">
        <v>0</v>
      </c>
    </row>
    <row r="3830">
      <c r="A3830" t="inlineStr">
        <is>
          <t>13-Jul-2026</t>
        </is>
      </c>
      <c r="B3830" t="inlineStr">
        <is>
          <t>Monday</t>
        </is>
      </c>
      <c r="C3830" t="inlineStr">
        <is>
          <t>Week2-Jul-2026</t>
        </is>
      </c>
      <c r="D3830" s="78" t="n">
        <v>46204</v>
      </c>
      <c r="E3830" t="inlineStr">
        <is>
          <t>Q2FY27</t>
        </is>
      </c>
      <c r="F3830" t="inlineStr">
        <is>
          <t>26-Dec-2028</t>
        </is>
      </c>
      <c r="G3830" t="inlineStr">
        <is>
          <t>Tuesday</t>
        </is>
      </c>
      <c r="H3830" t="inlineStr">
        <is>
          <t>Monthly - Tuesday</t>
        </is>
      </c>
      <c r="I3830" t="inlineStr">
        <is>
          <t>Monthly - Tuesday</t>
        </is>
      </c>
      <c r="J3830" t="inlineStr">
        <is>
          <t>Month+29 Expiry</t>
        </is>
      </c>
      <c r="K3830" s="25" t="n">
        <v>7</v>
      </c>
      <c r="L3830" s="26" t="n">
        <v>0.0122</v>
      </c>
      <c r="M3830" s="26" t="n">
        <v>0.0005999999999999999</v>
      </c>
    </row>
    <row r="3831">
      <c r="A3831" t="inlineStr">
        <is>
          <t>13-Jul-2026</t>
        </is>
      </c>
      <c r="B3831" t="inlineStr">
        <is>
          <t>Monday</t>
        </is>
      </c>
      <c r="C3831" t="inlineStr">
        <is>
          <t>Week2-Jul-2026</t>
        </is>
      </c>
      <c r="D3831" s="78" t="n">
        <v>46204</v>
      </c>
      <c r="E3831" t="inlineStr">
        <is>
          <t>Q2FY27</t>
        </is>
      </c>
      <c r="F3831" t="inlineStr">
        <is>
          <t>26-Jun-2029</t>
        </is>
      </c>
      <c r="G3831" t="inlineStr">
        <is>
          <t>Tuesday</t>
        </is>
      </c>
      <c r="H3831" t="inlineStr">
        <is>
          <t>Monthly - Tuesday</t>
        </is>
      </c>
      <c r="I3831" t="inlineStr">
        <is>
          <t>Monthly - Tuesday</t>
        </is>
      </c>
      <c r="J3831" t="inlineStr">
        <is>
          <t>Month+35 Expiry</t>
        </is>
      </c>
      <c r="K3831" s="25" t="n">
        <v>0</v>
      </c>
      <c r="L3831" s="26" t="n">
        <v>0</v>
      </c>
      <c r="M3831" s="26" t="n">
        <v>0</v>
      </c>
    </row>
    <row r="3832">
      <c r="A3832" t="inlineStr">
        <is>
          <t>13-Jul-2026</t>
        </is>
      </c>
      <c r="B3832" t="inlineStr">
        <is>
          <t>Monday</t>
        </is>
      </c>
      <c r="C3832" t="inlineStr">
        <is>
          <t>Week2-Jul-2026</t>
        </is>
      </c>
      <c r="D3832" s="78" t="n">
        <v>46204</v>
      </c>
      <c r="E3832" t="inlineStr">
        <is>
          <t>Q2FY27</t>
        </is>
      </c>
      <c r="F3832" t="inlineStr">
        <is>
          <t>24-Dec-2029</t>
        </is>
      </c>
      <c r="G3832" t="inlineStr">
        <is>
          <t>Monday</t>
        </is>
      </c>
      <c r="H3832" t="inlineStr">
        <is>
          <t>Weekly - Monday</t>
        </is>
      </c>
      <c r="I3832" t="inlineStr">
        <is>
          <t>Weekly - Monday</t>
        </is>
      </c>
      <c r="J3832" t="inlineStr">
        <is>
          <t>Month+41 Expiry</t>
        </is>
      </c>
      <c r="K3832" s="25" t="n">
        <v>0</v>
      </c>
      <c r="L3832" s="26" t="n">
        <v>0</v>
      </c>
      <c r="M3832" s="26" t="n">
        <v>0</v>
      </c>
    </row>
    <row r="3833">
      <c r="A3833" t="inlineStr">
        <is>
          <t>13-Jul-2026</t>
        </is>
      </c>
      <c r="B3833" t="inlineStr">
        <is>
          <t>Monday</t>
        </is>
      </c>
      <c r="C3833" t="inlineStr">
        <is>
          <t>Week2-Jul-2026</t>
        </is>
      </c>
      <c r="D3833" s="78" t="n">
        <v>46204</v>
      </c>
      <c r="E3833" t="inlineStr">
        <is>
          <t>Q2FY27</t>
        </is>
      </c>
      <c r="F3833" t="inlineStr">
        <is>
          <t>25-Jun-2030</t>
        </is>
      </c>
      <c r="G3833" t="inlineStr">
        <is>
          <t>Tuesday</t>
        </is>
      </c>
      <c r="H3833" t="inlineStr">
        <is>
          <t>Monthly - Tuesday</t>
        </is>
      </c>
      <c r="I3833" t="inlineStr">
        <is>
          <t>Monthly - Tuesday</t>
        </is>
      </c>
      <c r="J3833" t="inlineStr">
        <is>
          <t>Month+47 Expiry</t>
        </is>
      </c>
      <c r="K3833" s="25" t="n">
        <v>0</v>
      </c>
      <c r="L3833" s="26" t="n">
        <v>0</v>
      </c>
      <c r="M3833" s="26" t="n">
        <v>0</v>
      </c>
    </row>
    <row r="3834">
      <c r="A3834" t="inlineStr">
        <is>
          <t>13-Jul-2026</t>
        </is>
      </c>
      <c r="B3834" t="inlineStr">
        <is>
          <t>Monday</t>
        </is>
      </c>
      <c r="C3834" t="inlineStr">
        <is>
          <t>Week2-Jul-2026</t>
        </is>
      </c>
      <c r="D3834" s="78" t="n">
        <v>46204</v>
      </c>
      <c r="E3834" t="inlineStr">
        <is>
          <t>Q2FY27</t>
        </is>
      </c>
      <c r="F3834" t="inlineStr">
        <is>
          <t>31-Dec-2030</t>
        </is>
      </c>
      <c r="G3834" t="inlineStr">
        <is>
          <t>Tuesday</t>
        </is>
      </c>
      <c r="H3834" t="inlineStr">
        <is>
          <t>Monthly - Tuesday</t>
        </is>
      </c>
      <c r="I3834" t="inlineStr">
        <is>
          <t>Monthly - Tuesday</t>
        </is>
      </c>
      <c r="J3834" t="inlineStr">
        <is>
          <t>Month+53 Expiry</t>
        </is>
      </c>
      <c r="K3834" s="25" t="n">
        <v>0</v>
      </c>
      <c r="L3834" s="26" t="n">
        <v>0</v>
      </c>
      <c r="M3834" s="26" t="n">
        <v>0</v>
      </c>
    </row>
    <row r="3835">
      <c r="A3835" t="inlineStr">
        <is>
          <t>13-Jul-2026</t>
        </is>
      </c>
      <c r="B3835" t="inlineStr">
        <is>
          <t>Monday</t>
        </is>
      </c>
      <c r="C3835" t="inlineStr">
        <is>
          <t>Week2-Jul-2026</t>
        </is>
      </c>
      <c r="D3835" s="78" t="n">
        <v>46204</v>
      </c>
      <c r="E3835" t="inlineStr">
        <is>
          <t>Q2FY27</t>
        </is>
      </c>
      <c r="F3835" t="inlineStr">
        <is>
          <t>24-Jun-2031</t>
        </is>
      </c>
      <c r="G3835" t="inlineStr">
        <is>
          <t>Tuesday</t>
        </is>
      </c>
      <c r="H3835" t="inlineStr">
        <is>
          <t>Monthly - Tuesday</t>
        </is>
      </c>
      <c r="I3835" t="inlineStr">
        <is>
          <t>Monthly - Tuesday</t>
        </is>
      </c>
      <c r="J3835" t="inlineStr">
        <is>
          <t>Month+59 Expiry</t>
        </is>
      </c>
      <c r="K3835" s="25" t="n">
        <v>0</v>
      </c>
      <c r="L3835" s="26" t="n">
        <v>0</v>
      </c>
      <c r="M3835" s="26" t="n">
        <v>0</v>
      </c>
    </row>
    <row r="3836">
      <c r="A3836" t="inlineStr">
        <is>
          <t>14-Jul-2026</t>
        </is>
      </c>
      <c r="B3836" t="inlineStr">
        <is>
          <t>Tuesday</t>
        </is>
      </c>
      <c r="C3836" t="inlineStr">
        <is>
          <t>Week2-Jul-2026</t>
        </is>
      </c>
      <c r="D3836" s="78" t="n">
        <v>46204</v>
      </c>
      <c r="E3836" t="inlineStr">
        <is>
          <t>Q2FY27</t>
        </is>
      </c>
      <c r="F3836" t="inlineStr">
        <is>
          <t>14-Jul-2026</t>
        </is>
      </c>
      <c r="G3836" t="inlineStr">
        <is>
          <t>Tuesday</t>
        </is>
      </c>
      <c r="H3836" t="inlineStr">
        <is>
          <t>Weekly - Tuesday</t>
        </is>
      </c>
      <c r="I3836" t="inlineStr">
        <is>
          <t>Weekly - Tuesday</t>
        </is>
      </c>
      <c r="J3836" t="inlineStr">
        <is>
          <t>Same Month Expiry</t>
        </is>
      </c>
      <c r="K3836" s="25" t="n">
        <v>374055909</v>
      </c>
      <c r="L3836" s="26" t="n">
        <v>585590.2794999999</v>
      </c>
      <c r="M3836" s="26" t="n">
        <v>594.9817</v>
      </c>
    </row>
    <row r="3837">
      <c r="A3837" t="inlineStr">
        <is>
          <t>14-Jul-2026</t>
        </is>
      </c>
      <c r="B3837" t="inlineStr">
        <is>
          <t>Tuesday</t>
        </is>
      </c>
      <c r="C3837" t="inlineStr">
        <is>
          <t>Week2-Jul-2026</t>
        </is>
      </c>
      <c r="D3837" s="78" t="n">
        <v>46204</v>
      </c>
      <c r="E3837" t="inlineStr">
        <is>
          <t>Q2FY27</t>
        </is>
      </c>
      <c r="F3837" t="inlineStr">
        <is>
          <t>21-Jul-2026</t>
        </is>
      </c>
      <c r="G3837" t="inlineStr">
        <is>
          <t>Tuesday</t>
        </is>
      </c>
      <c r="H3837" t="inlineStr">
        <is>
          <t>Weekly - Tuesday</t>
        </is>
      </c>
      <c r="I3837" t="inlineStr">
        <is>
          <t>Weekly - Tuesday</t>
        </is>
      </c>
      <c r="J3837" t="inlineStr">
        <is>
          <t>Same Month Expiry</t>
        </is>
      </c>
      <c r="K3837" s="25" t="n">
        <v>9458335</v>
      </c>
      <c r="L3837" s="26" t="n">
        <v>14858.6034</v>
      </c>
      <c r="M3837" s="26" t="n">
        <v>51.9588</v>
      </c>
    </row>
    <row r="3838">
      <c r="A3838" t="inlineStr">
        <is>
          <t>14-Jul-2026</t>
        </is>
      </c>
      <c r="B3838" t="inlineStr">
        <is>
          <t>Tuesday</t>
        </is>
      </c>
      <c r="C3838" t="inlineStr">
        <is>
          <t>Week2-Jul-2026</t>
        </is>
      </c>
      <c r="D3838" s="78" t="n">
        <v>46204</v>
      </c>
      <c r="E3838" t="inlineStr">
        <is>
          <t>Q2FY27</t>
        </is>
      </c>
      <c r="F3838" t="inlineStr">
        <is>
          <t>28-Jul-2026</t>
        </is>
      </c>
      <c r="G3838" t="inlineStr">
        <is>
          <t>Tuesday</t>
        </is>
      </c>
      <c r="H3838" t="inlineStr">
        <is>
          <t>Monthly - Tuesday</t>
        </is>
      </c>
      <c r="I3838" t="inlineStr">
        <is>
          <t>Monthly - Tuesday</t>
        </is>
      </c>
      <c r="J3838" t="inlineStr">
        <is>
          <t>Same Month Expiry</t>
        </is>
      </c>
      <c r="K3838" s="25" t="n">
        <v>1807744</v>
      </c>
      <c r="L3838" s="26" t="n">
        <v>2850.9934</v>
      </c>
      <c r="M3838" s="26" t="n">
        <v>17.1696</v>
      </c>
    </row>
    <row r="3839">
      <c r="A3839" t="inlineStr">
        <is>
          <t>14-Jul-2026</t>
        </is>
      </c>
      <c r="B3839" t="inlineStr">
        <is>
          <t>Tuesday</t>
        </is>
      </c>
      <c r="C3839" t="inlineStr">
        <is>
          <t>Week2-Jul-2026</t>
        </is>
      </c>
      <c r="D3839" s="78" t="n">
        <v>46204</v>
      </c>
      <c r="E3839" t="inlineStr">
        <is>
          <t>Q2FY27</t>
        </is>
      </c>
      <c r="F3839" t="inlineStr">
        <is>
          <t>04-Aug-2026</t>
        </is>
      </c>
      <c r="G3839" t="inlineStr">
        <is>
          <t>Tuesday</t>
        </is>
      </c>
      <c r="H3839" t="inlineStr">
        <is>
          <t>Weekly - Tuesday</t>
        </is>
      </c>
      <c r="I3839" t="inlineStr">
        <is>
          <t>Weekly - Tuesday</t>
        </is>
      </c>
      <c r="J3839" t="inlineStr">
        <is>
          <t>Month+1 Expiry</t>
        </is>
      </c>
      <c r="K3839" s="25" t="n">
        <v>51937</v>
      </c>
      <c r="L3839" s="26" t="n">
        <v>81.8325</v>
      </c>
      <c r="M3839" s="26" t="n">
        <v>0.5654</v>
      </c>
    </row>
    <row r="3840">
      <c r="A3840" t="inlineStr">
        <is>
          <t>14-Jul-2026</t>
        </is>
      </c>
      <c r="B3840" t="inlineStr">
        <is>
          <t>Tuesday</t>
        </is>
      </c>
      <c r="C3840" t="inlineStr">
        <is>
          <t>Week2-Jul-2026</t>
        </is>
      </c>
      <c r="D3840" s="78" t="n">
        <v>46204</v>
      </c>
      <c r="E3840" t="inlineStr">
        <is>
          <t>Q2FY27</t>
        </is>
      </c>
      <c r="F3840" t="inlineStr">
        <is>
          <t>11-Aug-2026</t>
        </is>
      </c>
      <c r="G3840" t="inlineStr">
        <is>
          <t>Tuesday</t>
        </is>
      </c>
      <c r="H3840" t="inlineStr">
        <is>
          <t>Weekly - Tuesday</t>
        </is>
      </c>
      <c r="I3840" t="inlineStr">
        <is>
          <t>Weekly - Tuesday</t>
        </is>
      </c>
      <c r="J3840" t="inlineStr">
        <is>
          <t>Month+1 Expiry</t>
        </is>
      </c>
      <c r="K3840" s="25" t="n">
        <v>4313</v>
      </c>
      <c r="L3840" s="26" t="n">
        <v>6.8266</v>
      </c>
      <c r="M3840" s="26" t="n">
        <v>0.07149999999999999</v>
      </c>
    </row>
    <row r="3841">
      <c r="A3841" t="inlineStr">
        <is>
          <t>14-Jul-2026</t>
        </is>
      </c>
      <c r="B3841" t="inlineStr">
        <is>
          <t>Tuesday</t>
        </is>
      </c>
      <c r="C3841" t="inlineStr">
        <is>
          <t>Week2-Jul-2026</t>
        </is>
      </c>
      <c r="D3841" s="78" t="n">
        <v>46204</v>
      </c>
      <c r="E3841" t="inlineStr">
        <is>
          <t>Q2FY27</t>
        </is>
      </c>
      <c r="F3841" t="inlineStr">
        <is>
          <t>25-Aug-2026</t>
        </is>
      </c>
      <c r="G3841" t="inlineStr">
        <is>
          <t>Tuesday</t>
        </is>
      </c>
      <c r="H3841" t="inlineStr">
        <is>
          <t>Monthly - Tuesday</t>
        </is>
      </c>
      <c r="I3841" t="inlineStr">
        <is>
          <t>Monthly - Tuesday</t>
        </is>
      </c>
      <c r="J3841" t="inlineStr">
        <is>
          <t>Month+1 Expiry</t>
        </is>
      </c>
      <c r="K3841" s="25" t="n">
        <v>200685</v>
      </c>
      <c r="L3841" s="26" t="n">
        <v>318.2571</v>
      </c>
      <c r="M3841" s="26" t="n">
        <v>3.026</v>
      </c>
    </row>
    <row r="3842">
      <c r="A3842" t="inlineStr">
        <is>
          <t>14-Jul-2026</t>
        </is>
      </c>
      <c r="B3842" t="inlineStr">
        <is>
          <t>Tuesday</t>
        </is>
      </c>
      <c r="C3842" t="inlineStr">
        <is>
          <t>Week2-Jul-2026</t>
        </is>
      </c>
      <c r="D3842" s="78" t="n">
        <v>46204</v>
      </c>
      <c r="E3842" t="inlineStr">
        <is>
          <t>Q2FY27</t>
        </is>
      </c>
      <c r="F3842" t="inlineStr">
        <is>
          <t>29-Sep-2026</t>
        </is>
      </c>
      <c r="G3842" t="inlineStr">
        <is>
          <t>Tuesday</t>
        </is>
      </c>
      <c r="H3842" t="inlineStr">
        <is>
          <t>Monthly - Tuesday</t>
        </is>
      </c>
      <c r="I3842" t="inlineStr">
        <is>
          <t>Monthly - Tuesday</t>
        </is>
      </c>
      <c r="J3842" t="inlineStr">
        <is>
          <t>Month+2 Expiry</t>
        </is>
      </c>
      <c r="K3842" s="25" t="n">
        <v>62889</v>
      </c>
      <c r="L3842" s="26" t="n">
        <v>98.3796</v>
      </c>
      <c r="M3842" s="26" t="n">
        <v>1.215</v>
      </c>
    </row>
    <row r="3843">
      <c r="A3843" t="inlineStr">
        <is>
          <t>14-Jul-2026</t>
        </is>
      </c>
      <c r="B3843" t="inlineStr">
        <is>
          <t>Tuesday</t>
        </is>
      </c>
      <c r="C3843" t="inlineStr">
        <is>
          <t>Week2-Jul-2026</t>
        </is>
      </c>
      <c r="D3843" s="78" t="n">
        <v>46204</v>
      </c>
      <c r="E3843" t="inlineStr">
        <is>
          <t>Q2FY27</t>
        </is>
      </c>
      <c r="F3843" t="inlineStr">
        <is>
          <t>29-Dec-2026</t>
        </is>
      </c>
      <c r="G3843" t="inlineStr">
        <is>
          <t>Tuesday</t>
        </is>
      </c>
      <c r="H3843" t="inlineStr">
        <is>
          <t>Monthly - Tuesday</t>
        </is>
      </c>
      <c r="I3843" t="inlineStr">
        <is>
          <t>Monthly - Tuesday</t>
        </is>
      </c>
      <c r="J3843" t="inlineStr">
        <is>
          <t>Month+5 Expiry</t>
        </is>
      </c>
      <c r="K3843" s="25" t="n">
        <v>52611</v>
      </c>
      <c r="L3843" s="26" t="n">
        <v>84.7323</v>
      </c>
      <c r="M3843" s="26" t="n">
        <v>1.4063</v>
      </c>
    </row>
    <row r="3844">
      <c r="A3844" t="inlineStr">
        <is>
          <t>14-Jul-2026</t>
        </is>
      </c>
      <c r="B3844" t="inlineStr">
        <is>
          <t>Tuesday</t>
        </is>
      </c>
      <c r="C3844" t="inlineStr">
        <is>
          <t>Week2-Jul-2026</t>
        </is>
      </c>
      <c r="D3844" s="78" t="n">
        <v>46204</v>
      </c>
      <c r="E3844" t="inlineStr">
        <is>
          <t>Q2FY27</t>
        </is>
      </c>
      <c r="F3844" t="inlineStr">
        <is>
          <t>30-Mar-2027</t>
        </is>
      </c>
      <c r="G3844" t="inlineStr">
        <is>
          <t>Tuesday</t>
        </is>
      </c>
      <c r="H3844" t="inlineStr">
        <is>
          <t>Monthly - Tuesday</t>
        </is>
      </c>
      <c r="I3844" t="inlineStr">
        <is>
          <t>Monthly - Tuesday</t>
        </is>
      </c>
      <c r="J3844" t="inlineStr">
        <is>
          <t>Month+8 Expiry</t>
        </is>
      </c>
      <c r="K3844" s="25" t="n">
        <v>7057</v>
      </c>
      <c r="L3844" s="26" t="n">
        <v>12.1232</v>
      </c>
      <c r="M3844" s="26" t="n">
        <v>0.2784</v>
      </c>
    </row>
    <row r="3845">
      <c r="A3845" t="inlineStr">
        <is>
          <t>14-Jul-2026</t>
        </is>
      </c>
      <c r="B3845" t="inlineStr">
        <is>
          <t>Tuesday</t>
        </is>
      </c>
      <c r="C3845" t="inlineStr">
        <is>
          <t>Week2-Jul-2026</t>
        </is>
      </c>
      <c r="D3845" s="78" t="n">
        <v>46204</v>
      </c>
      <c r="E3845" t="inlineStr">
        <is>
          <t>Q2FY27</t>
        </is>
      </c>
      <c r="F3845" t="inlineStr">
        <is>
          <t>29-Jun-2027</t>
        </is>
      </c>
      <c r="G3845" t="inlineStr">
        <is>
          <t>Tuesday</t>
        </is>
      </c>
      <c r="H3845" t="inlineStr">
        <is>
          <t>Monthly - Tuesday</t>
        </is>
      </c>
      <c r="I3845" t="inlineStr">
        <is>
          <t>Monthly - Tuesday</t>
        </is>
      </c>
      <c r="J3845" t="inlineStr">
        <is>
          <t>Month+11 Expiry</t>
        </is>
      </c>
      <c r="K3845" s="25" t="n">
        <v>2</v>
      </c>
      <c r="L3845" s="26" t="n">
        <v>0.0028</v>
      </c>
      <c r="M3845" s="26" t="n">
        <v>0</v>
      </c>
    </row>
    <row r="3846">
      <c r="A3846" t="inlineStr">
        <is>
          <t>14-Jul-2026</t>
        </is>
      </c>
      <c r="B3846" t="inlineStr">
        <is>
          <t>Tuesday</t>
        </is>
      </c>
      <c r="C3846" t="inlineStr">
        <is>
          <t>Week2-Jul-2026</t>
        </is>
      </c>
      <c r="D3846" s="78" t="n">
        <v>46204</v>
      </c>
      <c r="E3846" t="inlineStr">
        <is>
          <t>Q2FY27</t>
        </is>
      </c>
      <c r="F3846" t="inlineStr">
        <is>
          <t>28-Dec-2027</t>
        </is>
      </c>
      <c r="G3846" t="inlineStr">
        <is>
          <t>Tuesday</t>
        </is>
      </c>
      <c r="H3846" t="inlineStr">
        <is>
          <t>Monthly - Tuesday</t>
        </is>
      </c>
      <c r="I3846" t="inlineStr">
        <is>
          <t>Monthly - Tuesday</t>
        </is>
      </c>
      <c r="J3846" t="inlineStr">
        <is>
          <t>Month+17 Expiry</t>
        </is>
      </c>
      <c r="K3846" s="25" t="n">
        <v>1871</v>
      </c>
      <c r="L3846" s="26" t="n">
        <v>3.331</v>
      </c>
      <c r="M3846" s="26" t="n">
        <v>0.107</v>
      </c>
    </row>
    <row r="3847">
      <c r="A3847" t="inlineStr">
        <is>
          <t>14-Jul-2026</t>
        </is>
      </c>
      <c r="B3847" t="inlineStr">
        <is>
          <t>Tuesday</t>
        </is>
      </c>
      <c r="C3847" t="inlineStr">
        <is>
          <t>Week2-Jul-2026</t>
        </is>
      </c>
      <c r="D3847" s="78" t="n">
        <v>46204</v>
      </c>
      <c r="E3847" t="inlineStr">
        <is>
          <t>Q2FY27</t>
        </is>
      </c>
      <c r="F3847" t="inlineStr">
        <is>
          <t>27-Jun-2028</t>
        </is>
      </c>
      <c r="G3847" t="inlineStr">
        <is>
          <t>Tuesday</t>
        </is>
      </c>
      <c r="H3847" t="inlineStr">
        <is>
          <t>Monthly - Tuesday</t>
        </is>
      </c>
      <c r="I3847" t="inlineStr">
        <is>
          <t>Monthly - Tuesday</t>
        </is>
      </c>
      <c r="J3847" t="inlineStr">
        <is>
          <t>Month+23 Expiry</t>
        </is>
      </c>
      <c r="K3847" s="25" t="n">
        <v>0</v>
      </c>
      <c r="L3847" s="26" t="n">
        <v>0</v>
      </c>
      <c r="M3847" s="26" t="n">
        <v>0</v>
      </c>
    </row>
    <row r="3848">
      <c r="A3848" t="inlineStr">
        <is>
          <t>14-Jul-2026</t>
        </is>
      </c>
      <c r="B3848" t="inlineStr">
        <is>
          <t>Tuesday</t>
        </is>
      </c>
      <c r="C3848" t="inlineStr">
        <is>
          <t>Week2-Jul-2026</t>
        </is>
      </c>
      <c r="D3848" s="78" t="n">
        <v>46204</v>
      </c>
      <c r="E3848" t="inlineStr">
        <is>
          <t>Q2FY27</t>
        </is>
      </c>
      <c r="F3848" t="inlineStr">
        <is>
          <t>26-Dec-2028</t>
        </is>
      </c>
      <c r="G3848" t="inlineStr">
        <is>
          <t>Tuesday</t>
        </is>
      </c>
      <c r="H3848" t="inlineStr">
        <is>
          <t>Monthly - Tuesday</t>
        </is>
      </c>
      <c r="I3848" t="inlineStr">
        <is>
          <t>Monthly - Tuesday</t>
        </is>
      </c>
      <c r="J3848" t="inlineStr">
        <is>
          <t>Month+29 Expiry</t>
        </is>
      </c>
      <c r="K3848" s="25" t="n">
        <v>2</v>
      </c>
      <c r="L3848" s="26" t="n">
        <v>0.0038</v>
      </c>
      <c r="M3848" s="26" t="n">
        <v>0.0002</v>
      </c>
    </row>
    <row r="3849">
      <c r="A3849" t="inlineStr">
        <is>
          <t>14-Jul-2026</t>
        </is>
      </c>
      <c r="B3849" t="inlineStr">
        <is>
          <t>Tuesday</t>
        </is>
      </c>
      <c r="C3849" t="inlineStr">
        <is>
          <t>Week2-Jul-2026</t>
        </is>
      </c>
      <c r="D3849" s="78" t="n">
        <v>46204</v>
      </c>
      <c r="E3849" t="inlineStr">
        <is>
          <t>Q2FY27</t>
        </is>
      </c>
      <c r="F3849" t="inlineStr">
        <is>
          <t>26-Jun-2029</t>
        </is>
      </c>
      <c r="G3849" t="inlineStr">
        <is>
          <t>Tuesday</t>
        </is>
      </c>
      <c r="H3849" t="inlineStr">
        <is>
          <t>Monthly - Tuesday</t>
        </is>
      </c>
      <c r="I3849" t="inlineStr">
        <is>
          <t>Monthly - Tuesday</t>
        </is>
      </c>
      <c r="J3849" t="inlineStr">
        <is>
          <t>Month+35 Expiry</t>
        </is>
      </c>
      <c r="K3849" s="25" t="n">
        <v>0</v>
      </c>
      <c r="L3849" s="26" t="n">
        <v>0</v>
      </c>
      <c r="M3849" s="26" t="n">
        <v>0</v>
      </c>
    </row>
    <row r="3850">
      <c r="A3850" t="inlineStr">
        <is>
          <t>14-Jul-2026</t>
        </is>
      </c>
      <c r="B3850" t="inlineStr">
        <is>
          <t>Tuesday</t>
        </is>
      </c>
      <c r="C3850" t="inlineStr">
        <is>
          <t>Week2-Jul-2026</t>
        </is>
      </c>
      <c r="D3850" s="78" t="n">
        <v>46204</v>
      </c>
      <c r="E3850" t="inlineStr">
        <is>
          <t>Q2FY27</t>
        </is>
      </c>
      <c r="F3850" t="inlineStr">
        <is>
          <t>24-Dec-2029</t>
        </is>
      </c>
      <c r="G3850" t="inlineStr">
        <is>
          <t>Monday</t>
        </is>
      </c>
      <c r="H3850" t="inlineStr">
        <is>
          <t>Weekly - Monday</t>
        </is>
      </c>
      <c r="I3850" t="inlineStr">
        <is>
          <t>Weekly - Monday</t>
        </is>
      </c>
      <c r="J3850" t="inlineStr">
        <is>
          <t>Month+41 Expiry</t>
        </is>
      </c>
      <c r="K3850" s="25" t="n">
        <v>0</v>
      </c>
      <c r="L3850" s="26" t="n">
        <v>0</v>
      </c>
      <c r="M3850" s="26" t="n">
        <v>0</v>
      </c>
    </row>
    <row r="3851">
      <c r="A3851" t="inlineStr">
        <is>
          <t>14-Jul-2026</t>
        </is>
      </c>
      <c r="B3851" t="inlineStr">
        <is>
          <t>Tuesday</t>
        </is>
      </c>
      <c r="C3851" t="inlineStr">
        <is>
          <t>Week2-Jul-2026</t>
        </is>
      </c>
      <c r="D3851" s="78" t="n">
        <v>46204</v>
      </c>
      <c r="E3851" t="inlineStr">
        <is>
          <t>Q2FY27</t>
        </is>
      </c>
      <c r="F3851" t="inlineStr">
        <is>
          <t>25-Jun-2030</t>
        </is>
      </c>
      <c r="G3851" t="inlineStr">
        <is>
          <t>Tuesday</t>
        </is>
      </c>
      <c r="H3851" t="inlineStr">
        <is>
          <t>Monthly - Tuesday</t>
        </is>
      </c>
      <c r="I3851" t="inlineStr">
        <is>
          <t>Monthly - Tuesday</t>
        </is>
      </c>
      <c r="J3851" t="inlineStr">
        <is>
          <t>Month+47 Expiry</t>
        </is>
      </c>
      <c r="K3851" s="25" t="n">
        <v>0</v>
      </c>
      <c r="L3851" s="26" t="n">
        <v>0</v>
      </c>
      <c r="M3851" s="26" t="n">
        <v>0</v>
      </c>
    </row>
    <row r="3852">
      <c r="A3852" t="inlineStr">
        <is>
          <t>14-Jul-2026</t>
        </is>
      </c>
      <c r="B3852" t="inlineStr">
        <is>
          <t>Tuesday</t>
        </is>
      </c>
      <c r="C3852" t="inlineStr">
        <is>
          <t>Week2-Jul-2026</t>
        </is>
      </c>
      <c r="D3852" s="78" t="n">
        <v>46204</v>
      </c>
      <c r="E3852" t="inlineStr">
        <is>
          <t>Q2FY27</t>
        </is>
      </c>
      <c r="F3852" t="inlineStr">
        <is>
          <t>31-Dec-2030</t>
        </is>
      </c>
      <c r="G3852" t="inlineStr">
        <is>
          <t>Tuesday</t>
        </is>
      </c>
      <c r="H3852" t="inlineStr">
        <is>
          <t>Monthly - Tuesday</t>
        </is>
      </c>
      <c r="I3852" t="inlineStr">
        <is>
          <t>Monthly - Tuesday</t>
        </is>
      </c>
      <c r="J3852" t="inlineStr">
        <is>
          <t>Month+53 Expiry</t>
        </is>
      </c>
      <c r="K3852" s="25" t="n">
        <v>0</v>
      </c>
      <c r="L3852" s="26" t="n">
        <v>0</v>
      </c>
      <c r="M3852" s="26" t="n">
        <v>0</v>
      </c>
    </row>
    <row r="3853">
      <c r="A3853" t="inlineStr">
        <is>
          <t>14-Jul-2026</t>
        </is>
      </c>
      <c r="B3853" t="inlineStr">
        <is>
          <t>Tuesday</t>
        </is>
      </c>
      <c r="C3853" t="inlineStr">
        <is>
          <t>Week2-Jul-2026</t>
        </is>
      </c>
      <c r="D3853" s="78" t="n">
        <v>46204</v>
      </c>
      <c r="E3853" t="inlineStr">
        <is>
          <t>Q2FY27</t>
        </is>
      </c>
      <c r="F3853" t="inlineStr">
        <is>
          <t>24-Jun-2031</t>
        </is>
      </c>
      <c r="G3853" t="inlineStr">
        <is>
          <t>Tuesday</t>
        </is>
      </c>
      <c r="H3853" t="inlineStr">
        <is>
          <t>Monthly - Tuesday</t>
        </is>
      </c>
      <c r="I3853" t="inlineStr">
        <is>
          <t>Monthly - Tuesday</t>
        </is>
      </c>
      <c r="J3853" t="inlineStr">
        <is>
          <t>Month+59 Expiry</t>
        </is>
      </c>
      <c r="K3853" s="25" t="n">
        <v>0</v>
      </c>
      <c r="L3853" s="26" t="n">
        <v>0</v>
      </c>
      <c r="M3853" s="26" t="n">
        <v>0</v>
      </c>
    </row>
    <row r="3854">
      <c r="A3854" t="inlineStr">
        <is>
          <t>15-Jul-2026</t>
        </is>
      </c>
      <c r="B3854" t="inlineStr">
        <is>
          <t>Wednesday</t>
        </is>
      </c>
      <c r="C3854" t="inlineStr">
        <is>
          <t>Week3-Jul-2026</t>
        </is>
      </c>
      <c r="D3854" s="78" t="n">
        <v>46204</v>
      </c>
      <c r="E3854" t="inlineStr">
        <is>
          <t>Q2FY27</t>
        </is>
      </c>
      <c r="F3854" t="inlineStr">
        <is>
          <t>21-Jul-2026</t>
        </is>
      </c>
      <c r="G3854" t="inlineStr">
        <is>
          <t>Tuesday</t>
        </is>
      </c>
      <c r="H3854" t="inlineStr">
        <is>
          <t>Weekly - Tuesday</t>
        </is>
      </c>
      <c r="I3854" t="inlineStr">
        <is>
          <t>Weekly - Tuesday</t>
        </is>
      </c>
      <c r="J3854" t="inlineStr">
        <is>
          <t>Same Month Expiry</t>
        </is>
      </c>
      <c r="K3854" s="25" t="n">
        <v>42904185</v>
      </c>
      <c r="L3854" s="26" t="n">
        <v>67459.7377</v>
      </c>
      <c r="M3854" s="26" t="n">
        <v>254.8606</v>
      </c>
    </row>
    <row r="3855">
      <c r="A3855" t="inlineStr">
        <is>
          <t>15-Jul-2026</t>
        </is>
      </c>
      <c r="B3855" t="inlineStr">
        <is>
          <t>Wednesday</t>
        </is>
      </c>
      <c r="C3855" t="inlineStr">
        <is>
          <t>Week3-Jul-2026</t>
        </is>
      </c>
      <c r="D3855" s="78" t="n">
        <v>46204</v>
      </c>
      <c r="E3855" t="inlineStr">
        <is>
          <t>Q2FY27</t>
        </is>
      </c>
      <c r="F3855" t="inlineStr">
        <is>
          <t>28-Jul-2026</t>
        </is>
      </c>
      <c r="G3855" t="inlineStr">
        <is>
          <t>Tuesday</t>
        </is>
      </c>
      <c r="H3855" t="inlineStr">
        <is>
          <t>Monthly - Tuesday</t>
        </is>
      </c>
      <c r="I3855" t="inlineStr">
        <is>
          <t>Monthly - Tuesday</t>
        </is>
      </c>
      <c r="J3855" t="inlineStr">
        <is>
          <t>Same Month Expiry</t>
        </is>
      </c>
      <c r="K3855" s="25" t="n">
        <v>2318576</v>
      </c>
      <c r="L3855" s="26" t="n">
        <v>3647.1837</v>
      </c>
      <c r="M3855" s="26" t="n">
        <v>18.9522</v>
      </c>
    </row>
    <row r="3856">
      <c r="A3856" t="inlineStr">
        <is>
          <t>15-Jul-2026</t>
        </is>
      </c>
      <c r="B3856" t="inlineStr">
        <is>
          <t>Wednesday</t>
        </is>
      </c>
      <c r="C3856" t="inlineStr">
        <is>
          <t>Week3-Jul-2026</t>
        </is>
      </c>
      <c r="D3856" s="78" t="n">
        <v>46204</v>
      </c>
      <c r="E3856" t="inlineStr">
        <is>
          <t>Q2FY27</t>
        </is>
      </c>
      <c r="F3856" t="inlineStr">
        <is>
          <t>04-Aug-2026</t>
        </is>
      </c>
      <c r="G3856" t="inlineStr">
        <is>
          <t>Tuesday</t>
        </is>
      </c>
      <c r="H3856" t="inlineStr">
        <is>
          <t>Weekly - Tuesday</t>
        </is>
      </c>
      <c r="I3856" t="inlineStr">
        <is>
          <t>Weekly - Tuesday</t>
        </is>
      </c>
      <c r="J3856" t="inlineStr">
        <is>
          <t>Month+1 Expiry</t>
        </is>
      </c>
      <c r="K3856" s="25" t="n">
        <v>97819</v>
      </c>
      <c r="L3856" s="26" t="n">
        <v>154.0285</v>
      </c>
      <c r="M3856" s="26" t="n">
        <v>1.0608</v>
      </c>
    </row>
    <row r="3857">
      <c r="A3857" t="inlineStr">
        <is>
          <t>15-Jul-2026</t>
        </is>
      </c>
      <c r="B3857" t="inlineStr">
        <is>
          <t>Wednesday</t>
        </is>
      </c>
      <c r="C3857" t="inlineStr">
        <is>
          <t>Week3-Jul-2026</t>
        </is>
      </c>
      <c r="D3857" s="78" t="n">
        <v>46204</v>
      </c>
      <c r="E3857" t="inlineStr">
        <is>
          <t>Q2FY27</t>
        </is>
      </c>
      <c r="F3857" t="inlineStr">
        <is>
          <t>11-Aug-2026</t>
        </is>
      </c>
      <c r="G3857" t="inlineStr">
        <is>
          <t>Tuesday</t>
        </is>
      </c>
      <c r="H3857" t="inlineStr">
        <is>
          <t>Weekly - Tuesday</t>
        </is>
      </c>
      <c r="I3857" t="inlineStr">
        <is>
          <t>Weekly - Tuesday</t>
        </is>
      </c>
      <c r="J3857" t="inlineStr">
        <is>
          <t>Month+1 Expiry</t>
        </is>
      </c>
      <c r="K3857" s="25" t="n">
        <v>12393</v>
      </c>
      <c r="L3857" s="26" t="n">
        <v>19.6343</v>
      </c>
      <c r="M3857" s="26" t="n">
        <v>0.2045</v>
      </c>
    </row>
    <row r="3858">
      <c r="A3858" t="inlineStr">
        <is>
          <t>15-Jul-2026</t>
        </is>
      </c>
      <c r="B3858" t="inlineStr">
        <is>
          <t>Wednesday</t>
        </is>
      </c>
      <c r="C3858" t="inlineStr">
        <is>
          <t>Week3-Jul-2026</t>
        </is>
      </c>
      <c r="D3858" s="78" t="n">
        <v>46204</v>
      </c>
      <c r="E3858" t="inlineStr">
        <is>
          <t>Q2FY27</t>
        </is>
      </c>
      <c r="F3858" t="inlineStr">
        <is>
          <t>18-Aug-2026</t>
        </is>
      </c>
      <c r="G3858" t="inlineStr">
        <is>
          <t>Tuesday</t>
        </is>
      </c>
      <c r="H3858" t="inlineStr">
        <is>
          <t>Weekly - Tuesday</t>
        </is>
      </c>
      <c r="I3858" t="inlineStr">
        <is>
          <t>Weekly - Tuesday</t>
        </is>
      </c>
      <c r="J3858" t="inlineStr">
        <is>
          <t>Month+1 Expiry</t>
        </is>
      </c>
      <c r="K3858" s="25" t="n">
        <v>400</v>
      </c>
      <c r="L3858" s="26" t="n">
        <v>0.624</v>
      </c>
      <c r="M3858" s="26" t="n">
        <v>0.0061</v>
      </c>
    </row>
    <row r="3859">
      <c r="A3859" t="inlineStr">
        <is>
          <t>15-Jul-2026</t>
        </is>
      </c>
      <c r="B3859" t="inlineStr">
        <is>
          <t>Wednesday</t>
        </is>
      </c>
      <c r="C3859" t="inlineStr">
        <is>
          <t>Week3-Jul-2026</t>
        </is>
      </c>
      <c r="D3859" s="78" t="n">
        <v>46204</v>
      </c>
      <c r="E3859" t="inlineStr">
        <is>
          <t>Q2FY27</t>
        </is>
      </c>
      <c r="F3859" t="inlineStr">
        <is>
          <t>25-Aug-2026</t>
        </is>
      </c>
      <c r="G3859" t="inlineStr">
        <is>
          <t>Tuesday</t>
        </is>
      </c>
      <c r="H3859" t="inlineStr">
        <is>
          <t>Monthly - Tuesday</t>
        </is>
      </c>
      <c r="I3859" t="inlineStr">
        <is>
          <t>Monthly - Tuesday</t>
        </is>
      </c>
      <c r="J3859" t="inlineStr">
        <is>
          <t>Month+1 Expiry</t>
        </is>
      </c>
      <c r="K3859" s="25" t="n">
        <v>241494</v>
      </c>
      <c r="L3859" s="26" t="n">
        <v>383.9241</v>
      </c>
      <c r="M3859" s="26" t="n">
        <v>3.6361</v>
      </c>
    </row>
    <row r="3860">
      <c r="A3860" t="inlineStr">
        <is>
          <t>15-Jul-2026</t>
        </is>
      </c>
      <c r="B3860" t="inlineStr">
        <is>
          <t>Wednesday</t>
        </is>
      </c>
      <c r="C3860" t="inlineStr">
        <is>
          <t>Week3-Jul-2026</t>
        </is>
      </c>
      <c r="D3860" s="78" t="n">
        <v>46204</v>
      </c>
      <c r="E3860" t="inlineStr">
        <is>
          <t>Q2FY27</t>
        </is>
      </c>
      <c r="F3860" t="inlineStr">
        <is>
          <t>29-Sep-2026</t>
        </is>
      </c>
      <c r="G3860" t="inlineStr">
        <is>
          <t>Tuesday</t>
        </is>
      </c>
      <c r="H3860" t="inlineStr">
        <is>
          <t>Monthly - Tuesday</t>
        </is>
      </c>
      <c r="I3860" t="inlineStr">
        <is>
          <t>Monthly - Tuesday</t>
        </is>
      </c>
      <c r="J3860" t="inlineStr">
        <is>
          <t>Month+2 Expiry</t>
        </is>
      </c>
      <c r="K3860" s="25" t="n">
        <v>64989</v>
      </c>
      <c r="L3860" s="26" t="n">
        <v>101.5684</v>
      </c>
      <c r="M3860" s="26" t="n">
        <v>1.1954</v>
      </c>
    </row>
    <row r="3861">
      <c r="A3861" t="inlineStr">
        <is>
          <t>15-Jul-2026</t>
        </is>
      </c>
      <c r="B3861" t="inlineStr">
        <is>
          <t>Wednesday</t>
        </is>
      </c>
      <c r="C3861" t="inlineStr">
        <is>
          <t>Week3-Jul-2026</t>
        </is>
      </c>
      <c r="D3861" s="78" t="n">
        <v>46204</v>
      </c>
      <c r="E3861" t="inlineStr">
        <is>
          <t>Q2FY27</t>
        </is>
      </c>
      <c r="F3861" t="inlineStr">
        <is>
          <t>29-Dec-2026</t>
        </is>
      </c>
      <c r="G3861" t="inlineStr">
        <is>
          <t>Tuesday</t>
        </is>
      </c>
      <c r="H3861" t="inlineStr">
        <is>
          <t>Monthly - Tuesday</t>
        </is>
      </c>
      <c r="I3861" t="inlineStr">
        <is>
          <t>Monthly - Tuesday</t>
        </is>
      </c>
      <c r="J3861" t="inlineStr">
        <is>
          <t>Month+5 Expiry</t>
        </is>
      </c>
      <c r="K3861" s="25" t="n">
        <v>44627</v>
      </c>
      <c r="L3861" s="26" t="n">
        <v>69.39239999999999</v>
      </c>
      <c r="M3861" s="26" t="n">
        <v>1.1431</v>
      </c>
    </row>
    <row r="3862">
      <c r="A3862" t="inlineStr">
        <is>
          <t>15-Jul-2026</t>
        </is>
      </c>
      <c r="B3862" t="inlineStr">
        <is>
          <t>Wednesday</t>
        </is>
      </c>
      <c r="C3862" t="inlineStr">
        <is>
          <t>Week3-Jul-2026</t>
        </is>
      </c>
      <c r="D3862" s="78" t="n">
        <v>46204</v>
      </c>
      <c r="E3862" t="inlineStr">
        <is>
          <t>Q2FY27</t>
        </is>
      </c>
      <c r="F3862" t="inlineStr">
        <is>
          <t>30-Mar-2027</t>
        </is>
      </c>
      <c r="G3862" t="inlineStr">
        <is>
          <t>Tuesday</t>
        </is>
      </c>
      <c r="H3862" t="inlineStr">
        <is>
          <t>Monthly - Tuesday</t>
        </is>
      </c>
      <c r="I3862" t="inlineStr">
        <is>
          <t>Monthly - Tuesday</t>
        </is>
      </c>
      <c r="J3862" t="inlineStr">
        <is>
          <t>Month+8 Expiry</t>
        </is>
      </c>
      <c r="K3862" s="25" t="n">
        <v>6244</v>
      </c>
      <c r="L3862" s="26" t="n">
        <v>10.0331</v>
      </c>
      <c r="M3862" s="26" t="n">
        <v>0.153</v>
      </c>
    </row>
    <row r="3863">
      <c r="A3863" t="inlineStr">
        <is>
          <t>15-Jul-2026</t>
        </is>
      </c>
      <c r="B3863" t="inlineStr">
        <is>
          <t>Wednesday</t>
        </is>
      </c>
      <c r="C3863" t="inlineStr">
        <is>
          <t>Week3-Jul-2026</t>
        </is>
      </c>
      <c r="D3863" s="78" t="n">
        <v>46204</v>
      </c>
      <c r="E3863" t="inlineStr">
        <is>
          <t>Q2FY27</t>
        </is>
      </c>
      <c r="F3863" t="inlineStr">
        <is>
          <t>29-Jun-2027</t>
        </is>
      </c>
      <c r="G3863" t="inlineStr">
        <is>
          <t>Tuesday</t>
        </is>
      </c>
      <c r="H3863" t="inlineStr">
        <is>
          <t>Monthly - Tuesday</t>
        </is>
      </c>
      <c r="I3863" t="inlineStr">
        <is>
          <t>Monthly - Tuesday</t>
        </is>
      </c>
      <c r="J3863" t="inlineStr">
        <is>
          <t>Month+11 Expiry</t>
        </is>
      </c>
      <c r="K3863" s="25" t="n">
        <v>3</v>
      </c>
      <c r="L3863" s="26" t="n">
        <v>0.0042</v>
      </c>
      <c r="M3863" s="26" t="n">
        <v>0</v>
      </c>
    </row>
    <row r="3864">
      <c r="A3864" t="inlineStr">
        <is>
          <t>15-Jul-2026</t>
        </is>
      </c>
      <c r="B3864" t="inlineStr">
        <is>
          <t>Wednesday</t>
        </is>
      </c>
      <c r="C3864" t="inlineStr">
        <is>
          <t>Week3-Jul-2026</t>
        </is>
      </c>
      <c r="D3864" s="78" t="n">
        <v>46204</v>
      </c>
      <c r="E3864" t="inlineStr">
        <is>
          <t>Q2FY27</t>
        </is>
      </c>
      <c r="F3864" t="inlineStr">
        <is>
          <t>28-Dec-2027</t>
        </is>
      </c>
      <c r="G3864" t="inlineStr">
        <is>
          <t>Tuesday</t>
        </is>
      </c>
      <c r="H3864" t="inlineStr">
        <is>
          <t>Monthly - Tuesday</t>
        </is>
      </c>
      <c r="I3864" t="inlineStr">
        <is>
          <t>Monthly - Tuesday</t>
        </is>
      </c>
      <c r="J3864" t="inlineStr">
        <is>
          <t>Month+17 Expiry</t>
        </is>
      </c>
      <c r="K3864" s="25" t="n">
        <v>555</v>
      </c>
      <c r="L3864" s="26" t="n">
        <v>0.9387</v>
      </c>
      <c r="M3864" s="26" t="n">
        <v>0.0255</v>
      </c>
    </row>
    <row r="3865">
      <c r="A3865" t="inlineStr">
        <is>
          <t>15-Jul-2026</t>
        </is>
      </c>
      <c r="B3865" t="inlineStr">
        <is>
          <t>Wednesday</t>
        </is>
      </c>
      <c r="C3865" t="inlineStr">
        <is>
          <t>Week3-Jul-2026</t>
        </is>
      </c>
      <c r="D3865" s="78" t="n">
        <v>46204</v>
      </c>
      <c r="E3865" t="inlineStr">
        <is>
          <t>Q2FY27</t>
        </is>
      </c>
      <c r="F3865" t="inlineStr">
        <is>
          <t>27-Jun-2028</t>
        </is>
      </c>
      <c r="G3865" t="inlineStr">
        <is>
          <t>Tuesday</t>
        </is>
      </c>
      <c r="H3865" t="inlineStr">
        <is>
          <t>Monthly - Tuesday</t>
        </is>
      </c>
      <c r="I3865" t="inlineStr">
        <is>
          <t>Monthly - Tuesday</t>
        </is>
      </c>
      <c r="J3865" t="inlineStr">
        <is>
          <t>Month+23 Expiry</t>
        </is>
      </c>
      <c r="K3865" s="25" t="n">
        <v>0</v>
      </c>
      <c r="L3865" s="26" t="n">
        <v>0</v>
      </c>
      <c r="M3865" s="26" t="n">
        <v>0</v>
      </c>
    </row>
    <row r="3866">
      <c r="A3866" t="inlineStr">
        <is>
          <t>15-Jul-2026</t>
        </is>
      </c>
      <c r="B3866" t="inlineStr">
        <is>
          <t>Wednesday</t>
        </is>
      </c>
      <c r="C3866" t="inlineStr">
        <is>
          <t>Week3-Jul-2026</t>
        </is>
      </c>
      <c r="D3866" s="78" t="n">
        <v>46204</v>
      </c>
      <c r="E3866" t="inlineStr">
        <is>
          <t>Q2FY27</t>
        </is>
      </c>
      <c r="F3866" t="inlineStr">
        <is>
          <t>26-Dec-2028</t>
        </is>
      </c>
      <c r="G3866" t="inlineStr">
        <is>
          <t>Tuesday</t>
        </is>
      </c>
      <c r="H3866" t="inlineStr">
        <is>
          <t>Monthly - Tuesday</t>
        </is>
      </c>
      <c r="I3866" t="inlineStr">
        <is>
          <t>Monthly - Tuesday</t>
        </is>
      </c>
      <c r="J3866" t="inlineStr">
        <is>
          <t>Month+29 Expiry</t>
        </is>
      </c>
      <c r="K3866" s="25" t="n">
        <v>6</v>
      </c>
      <c r="L3866" s="26" t="n">
        <v>0.0111</v>
      </c>
      <c r="M3866" s="26" t="n">
        <v>0.0007</v>
      </c>
    </row>
    <row r="3867">
      <c r="A3867" t="inlineStr">
        <is>
          <t>15-Jul-2026</t>
        </is>
      </c>
      <c r="B3867" t="inlineStr">
        <is>
          <t>Wednesday</t>
        </is>
      </c>
      <c r="C3867" t="inlineStr">
        <is>
          <t>Week3-Jul-2026</t>
        </is>
      </c>
      <c r="D3867" s="78" t="n">
        <v>46204</v>
      </c>
      <c r="E3867" t="inlineStr">
        <is>
          <t>Q2FY27</t>
        </is>
      </c>
      <c r="F3867" t="inlineStr">
        <is>
          <t>26-Jun-2029</t>
        </is>
      </c>
      <c r="G3867" t="inlineStr">
        <is>
          <t>Tuesday</t>
        </is>
      </c>
      <c r="H3867" t="inlineStr">
        <is>
          <t>Monthly - Tuesday</t>
        </is>
      </c>
      <c r="I3867" t="inlineStr">
        <is>
          <t>Monthly - Tuesday</t>
        </is>
      </c>
      <c r="J3867" t="inlineStr">
        <is>
          <t>Month+35 Expiry</t>
        </is>
      </c>
      <c r="K3867" s="25" t="n">
        <v>0</v>
      </c>
      <c r="L3867" s="26" t="n">
        <v>0</v>
      </c>
      <c r="M3867" s="26" t="n">
        <v>0</v>
      </c>
    </row>
    <row r="3868">
      <c r="A3868" t="inlineStr">
        <is>
          <t>15-Jul-2026</t>
        </is>
      </c>
      <c r="B3868" t="inlineStr">
        <is>
          <t>Wednesday</t>
        </is>
      </c>
      <c r="C3868" t="inlineStr">
        <is>
          <t>Week3-Jul-2026</t>
        </is>
      </c>
      <c r="D3868" s="78" t="n">
        <v>46204</v>
      </c>
      <c r="E3868" t="inlineStr">
        <is>
          <t>Q2FY27</t>
        </is>
      </c>
      <c r="F3868" t="inlineStr">
        <is>
          <t>24-Dec-2029</t>
        </is>
      </c>
      <c r="G3868" t="inlineStr">
        <is>
          <t>Monday</t>
        </is>
      </c>
      <c r="H3868" t="inlineStr">
        <is>
          <t>Weekly - Monday</t>
        </is>
      </c>
      <c r="I3868" t="inlineStr">
        <is>
          <t>Weekly - Monday</t>
        </is>
      </c>
      <c r="J3868" t="inlineStr">
        <is>
          <t>Month+41 Expiry</t>
        </is>
      </c>
      <c r="K3868" s="25" t="n">
        <v>2</v>
      </c>
      <c r="L3868" s="26" t="n">
        <v>0.0031</v>
      </c>
      <c r="M3868" s="26" t="n">
        <v>0.0001</v>
      </c>
    </row>
    <row r="3869">
      <c r="A3869" t="inlineStr">
        <is>
          <t>15-Jul-2026</t>
        </is>
      </c>
      <c r="B3869" t="inlineStr">
        <is>
          <t>Wednesday</t>
        </is>
      </c>
      <c r="C3869" t="inlineStr">
        <is>
          <t>Week3-Jul-2026</t>
        </is>
      </c>
      <c r="D3869" s="78" t="n">
        <v>46204</v>
      </c>
      <c r="E3869" t="inlineStr">
        <is>
          <t>Q2FY27</t>
        </is>
      </c>
      <c r="F3869" t="inlineStr">
        <is>
          <t>25-Jun-2030</t>
        </is>
      </c>
      <c r="G3869" t="inlineStr">
        <is>
          <t>Tuesday</t>
        </is>
      </c>
      <c r="H3869" t="inlineStr">
        <is>
          <t>Monthly - Tuesday</t>
        </is>
      </c>
      <c r="I3869" t="inlineStr">
        <is>
          <t>Monthly - Tuesday</t>
        </is>
      </c>
      <c r="J3869" t="inlineStr">
        <is>
          <t>Month+47 Expiry</t>
        </is>
      </c>
      <c r="K3869" s="25" t="n">
        <v>0</v>
      </c>
      <c r="L3869" s="26" t="n">
        <v>0</v>
      </c>
      <c r="M3869" s="26" t="n">
        <v>0</v>
      </c>
    </row>
    <row r="3870">
      <c r="A3870" t="inlineStr">
        <is>
          <t>15-Jul-2026</t>
        </is>
      </c>
      <c r="B3870" t="inlineStr">
        <is>
          <t>Wednesday</t>
        </is>
      </c>
      <c r="C3870" t="inlineStr">
        <is>
          <t>Week3-Jul-2026</t>
        </is>
      </c>
      <c r="D3870" s="78" t="n">
        <v>46204</v>
      </c>
      <c r="E3870" t="inlineStr">
        <is>
          <t>Q2FY27</t>
        </is>
      </c>
      <c r="F3870" t="inlineStr">
        <is>
          <t>31-Dec-2030</t>
        </is>
      </c>
      <c r="G3870" t="inlineStr">
        <is>
          <t>Tuesday</t>
        </is>
      </c>
      <c r="H3870" t="inlineStr">
        <is>
          <t>Monthly - Tuesday</t>
        </is>
      </c>
      <c r="I3870" t="inlineStr">
        <is>
          <t>Monthly - Tuesday</t>
        </is>
      </c>
      <c r="J3870" t="inlineStr">
        <is>
          <t>Month+53 Expiry</t>
        </is>
      </c>
      <c r="K3870" s="25" t="n">
        <v>0</v>
      </c>
      <c r="L3870" s="26" t="n">
        <v>0</v>
      </c>
      <c r="M3870" s="26" t="n">
        <v>0</v>
      </c>
    </row>
    <row r="3871">
      <c r="A3871" t="inlineStr">
        <is>
          <t>15-Jul-2026</t>
        </is>
      </c>
      <c r="B3871" t="inlineStr">
        <is>
          <t>Wednesday</t>
        </is>
      </c>
      <c r="C3871" t="inlineStr">
        <is>
          <t>Week3-Jul-2026</t>
        </is>
      </c>
      <c r="D3871" s="78" t="n">
        <v>46204</v>
      </c>
      <c r="E3871" t="inlineStr">
        <is>
          <t>Q2FY27</t>
        </is>
      </c>
      <c r="F3871" t="inlineStr">
        <is>
          <t>24-Jun-2031</t>
        </is>
      </c>
      <c r="G3871" t="inlineStr">
        <is>
          <t>Tuesday</t>
        </is>
      </c>
      <c r="H3871" t="inlineStr">
        <is>
          <t>Monthly - Tuesday</t>
        </is>
      </c>
      <c r="I3871" t="inlineStr">
        <is>
          <t>Monthly - Tuesday</t>
        </is>
      </c>
      <c r="J3871" t="inlineStr">
        <is>
          <t>Month+59 Expiry</t>
        </is>
      </c>
      <c r="K3871" s="25" t="n">
        <v>0</v>
      </c>
      <c r="L3871" s="26" t="n">
        <v>0</v>
      </c>
      <c r="M3871" s="26" t="n">
        <v>0</v>
      </c>
    </row>
    <row r="3872">
      <c r="A3872" t="inlineStr">
        <is>
          <t>16-Jul-2026</t>
        </is>
      </c>
      <c r="B3872" t="inlineStr">
        <is>
          <t>Thursday</t>
        </is>
      </c>
      <c r="C3872" t="inlineStr">
        <is>
          <t>Week3-Jul-2026</t>
        </is>
      </c>
      <c r="D3872" s="78" t="n">
        <v>46204</v>
      </c>
      <c r="E3872" t="inlineStr">
        <is>
          <t>Q2FY27</t>
        </is>
      </c>
      <c r="F3872" t="inlineStr">
        <is>
          <t>21-Jul-2026</t>
        </is>
      </c>
      <c r="G3872" t="inlineStr">
        <is>
          <t>Tuesday</t>
        </is>
      </c>
      <c r="H3872" t="inlineStr">
        <is>
          <t>Weekly - Tuesday</t>
        </is>
      </c>
      <c r="I3872" t="inlineStr">
        <is>
          <t>Weekly - Tuesday</t>
        </is>
      </c>
      <c r="J3872" t="inlineStr">
        <is>
          <t>Same Month Expiry</t>
        </is>
      </c>
      <c r="K3872" s="25" t="n">
        <v>39958332</v>
      </c>
      <c r="L3872" s="26" t="n">
        <v>62810.0712</v>
      </c>
      <c r="M3872" s="26" t="n">
        <v>190.2317</v>
      </c>
    </row>
    <row r="3873">
      <c r="A3873" t="inlineStr">
        <is>
          <t>16-Jul-2026</t>
        </is>
      </c>
      <c r="B3873" t="inlineStr">
        <is>
          <t>Thursday</t>
        </is>
      </c>
      <c r="C3873" t="inlineStr">
        <is>
          <t>Week3-Jul-2026</t>
        </is>
      </c>
      <c r="D3873" s="78" t="n">
        <v>46204</v>
      </c>
      <c r="E3873" t="inlineStr">
        <is>
          <t>Q2FY27</t>
        </is>
      </c>
      <c r="F3873" t="inlineStr">
        <is>
          <t>28-Jul-2026</t>
        </is>
      </c>
      <c r="G3873" t="inlineStr">
        <is>
          <t>Tuesday</t>
        </is>
      </c>
      <c r="H3873" t="inlineStr">
        <is>
          <t>Monthly - Tuesday</t>
        </is>
      </c>
      <c r="I3873" t="inlineStr">
        <is>
          <t>Monthly - Tuesday</t>
        </is>
      </c>
      <c r="J3873" t="inlineStr">
        <is>
          <t>Same Month Expiry</t>
        </is>
      </c>
      <c r="K3873" s="25" t="n">
        <v>2332432</v>
      </c>
      <c r="L3873" s="26" t="n">
        <v>3668.2867</v>
      </c>
      <c r="M3873" s="26" t="n">
        <v>16.3887</v>
      </c>
    </row>
    <row r="3874">
      <c r="A3874" t="inlineStr">
        <is>
          <t>16-Jul-2026</t>
        </is>
      </c>
      <c r="B3874" t="inlineStr">
        <is>
          <t>Thursday</t>
        </is>
      </c>
      <c r="C3874" t="inlineStr">
        <is>
          <t>Week3-Jul-2026</t>
        </is>
      </c>
      <c r="D3874" s="78" t="n">
        <v>46204</v>
      </c>
      <c r="E3874" t="inlineStr">
        <is>
          <t>Q2FY27</t>
        </is>
      </c>
      <c r="F3874" t="inlineStr">
        <is>
          <t>04-Aug-2026</t>
        </is>
      </c>
      <c r="G3874" t="inlineStr">
        <is>
          <t>Tuesday</t>
        </is>
      </c>
      <c r="H3874" t="inlineStr">
        <is>
          <t>Weekly - Tuesday</t>
        </is>
      </c>
      <c r="I3874" t="inlineStr">
        <is>
          <t>Weekly - Tuesday</t>
        </is>
      </c>
      <c r="J3874" t="inlineStr">
        <is>
          <t>Month+1 Expiry</t>
        </is>
      </c>
      <c r="K3874" s="25" t="n">
        <v>120673</v>
      </c>
      <c r="L3874" s="26" t="n">
        <v>189.5469</v>
      </c>
      <c r="M3874" s="26" t="n">
        <v>1.0629</v>
      </c>
    </row>
    <row r="3875">
      <c r="A3875" t="inlineStr">
        <is>
          <t>16-Jul-2026</t>
        </is>
      </c>
      <c r="B3875" t="inlineStr">
        <is>
          <t>Thursday</t>
        </is>
      </c>
      <c r="C3875" t="inlineStr">
        <is>
          <t>Week3-Jul-2026</t>
        </is>
      </c>
      <c r="D3875" s="78" t="n">
        <v>46204</v>
      </c>
      <c r="E3875" t="inlineStr">
        <is>
          <t>Q2FY27</t>
        </is>
      </c>
      <c r="F3875" t="inlineStr">
        <is>
          <t>11-Aug-2026</t>
        </is>
      </c>
      <c r="G3875" t="inlineStr">
        <is>
          <t>Tuesday</t>
        </is>
      </c>
      <c r="H3875" t="inlineStr">
        <is>
          <t>Weekly - Tuesday</t>
        </is>
      </c>
      <c r="I3875" t="inlineStr">
        <is>
          <t>Weekly - Tuesday</t>
        </is>
      </c>
      <c r="J3875" t="inlineStr">
        <is>
          <t>Month+1 Expiry</t>
        </is>
      </c>
      <c r="K3875" s="25" t="n">
        <v>8281</v>
      </c>
      <c r="L3875" s="26" t="n">
        <v>13.0903</v>
      </c>
      <c r="M3875" s="26" t="n">
        <v>0.1175</v>
      </c>
    </row>
    <row r="3876">
      <c r="A3876" t="inlineStr">
        <is>
          <t>16-Jul-2026</t>
        </is>
      </c>
      <c r="B3876" t="inlineStr">
        <is>
          <t>Thursday</t>
        </is>
      </c>
      <c r="C3876" t="inlineStr">
        <is>
          <t>Week3-Jul-2026</t>
        </is>
      </c>
      <c r="D3876" s="78" t="n">
        <v>46204</v>
      </c>
      <c r="E3876" t="inlineStr">
        <is>
          <t>Q2FY27</t>
        </is>
      </c>
      <c r="F3876" t="inlineStr">
        <is>
          <t>18-Aug-2026</t>
        </is>
      </c>
      <c r="G3876" t="inlineStr">
        <is>
          <t>Tuesday</t>
        </is>
      </c>
      <c r="H3876" t="inlineStr">
        <is>
          <t>Weekly - Tuesday</t>
        </is>
      </c>
      <c r="I3876" t="inlineStr">
        <is>
          <t>Weekly - Tuesday</t>
        </is>
      </c>
      <c r="J3876" t="inlineStr">
        <is>
          <t>Month+1 Expiry</t>
        </is>
      </c>
      <c r="K3876" s="25" t="n">
        <v>700</v>
      </c>
      <c r="L3876" s="26" t="n">
        <v>1.0923</v>
      </c>
      <c r="M3876" s="26" t="n">
        <v>0.0106</v>
      </c>
    </row>
    <row r="3877">
      <c r="A3877" t="inlineStr">
        <is>
          <t>16-Jul-2026</t>
        </is>
      </c>
      <c r="B3877" t="inlineStr">
        <is>
          <t>Thursday</t>
        </is>
      </c>
      <c r="C3877" t="inlineStr">
        <is>
          <t>Week3-Jul-2026</t>
        </is>
      </c>
      <c r="D3877" s="78" t="n">
        <v>46204</v>
      </c>
      <c r="E3877" t="inlineStr">
        <is>
          <t>Q2FY27</t>
        </is>
      </c>
      <c r="F3877" t="inlineStr">
        <is>
          <t>25-Aug-2026</t>
        </is>
      </c>
      <c r="G3877" t="inlineStr">
        <is>
          <t>Tuesday</t>
        </is>
      </c>
      <c r="H3877" t="inlineStr">
        <is>
          <t>Monthly - Tuesday</t>
        </is>
      </c>
      <c r="I3877" t="inlineStr">
        <is>
          <t>Monthly - Tuesday</t>
        </is>
      </c>
      <c r="J3877" t="inlineStr">
        <is>
          <t>Month+1 Expiry</t>
        </is>
      </c>
      <c r="K3877" s="25" t="n">
        <v>208230</v>
      </c>
      <c r="L3877" s="26" t="n">
        <v>331.1564</v>
      </c>
      <c r="M3877" s="26" t="n">
        <v>2.8597</v>
      </c>
    </row>
    <row r="3878">
      <c r="A3878" t="inlineStr">
        <is>
          <t>16-Jul-2026</t>
        </is>
      </c>
      <c r="B3878" t="inlineStr">
        <is>
          <t>Thursday</t>
        </is>
      </c>
      <c r="C3878" t="inlineStr">
        <is>
          <t>Week3-Jul-2026</t>
        </is>
      </c>
      <c r="D3878" s="78" t="n">
        <v>46204</v>
      </c>
      <c r="E3878" t="inlineStr">
        <is>
          <t>Q2FY27</t>
        </is>
      </c>
      <c r="F3878" t="inlineStr">
        <is>
          <t>29-Sep-2026</t>
        </is>
      </c>
      <c r="G3878" t="inlineStr">
        <is>
          <t>Tuesday</t>
        </is>
      </c>
      <c r="H3878" t="inlineStr">
        <is>
          <t>Monthly - Tuesday</t>
        </is>
      </c>
      <c r="I3878" t="inlineStr">
        <is>
          <t>Monthly - Tuesday</t>
        </is>
      </c>
      <c r="J3878" t="inlineStr">
        <is>
          <t>Month+2 Expiry</t>
        </is>
      </c>
      <c r="K3878" s="25" t="n">
        <v>49066</v>
      </c>
      <c r="L3878" s="26" t="n">
        <v>77.34999999999999</v>
      </c>
      <c r="M3878" s="26" t="n">
        <v>0.797</v>
      </c>
    </row>
    <row r="3879">
      <c r="A3879" t="inlineStr">
        <is>
          <t>16-Jul-2026</t>
        </is>
      </c>
      <c r="B3879" t="inlineStr">
        <is>
          <t>Thursday</t>
        </is>
      </c>
      <c r="C3879" t="inlineStr">
        <is>
          <t>Week3-Jul-2026</t>
        </is>
      </c>
      <c r="D3879" s="78" t="n">
        <v>46204</v>
      </c>
      <c r="E3879" t="inlineStr">
        <is>
          <t>Q2FY27</t>
        </is>
      </c>
      <c r="F3879" t="inlineStr">
        <is>
          <t>29-Dec-2026</t>
        </is>
      </c>
      <c r="G3879" t="inlineStr">
        <is>
          <t>Tuesday</t>
        </is>
      </c>
      <c r="H3879" t="inlineStr">
        <is>
          <t>Monthly - Tuesday</t>
        </is>
      </c>
      <c r="I3879" t="inlineStr">
        <is>
          <t>Monthly - Tuesday</t>
        </is>
      </c>
      <c r="J3879" t="inlineStr">
        <is>
          <t>Month+5 Expiry</t>
        </is>
      </c>
      <c r="K3879" s="25" t="n">
        <v>39371</v>
      </c>
      <c r="L3879" s="26" t="n">
        <v>63.3795</v>
      </c>
      <c r="M3879" s="26" t="n">
        <v>1.0745</v>
      </c>
    </row>
    <row r="3880">
      <c r="A3880" t="inlineStr">
        <is>
          <t>16-Jul-2026</t>
        </is>
      </c>
      <c r="B3880" t="inlineStr">
        <is>
          <t>Thursday</t>
        </is>
      </c>
      <c r="C3880" t="inlineStr">
        <is>
          <t>Week3-Jul-2026</t>
        </is>
      </c>
      <c r="D3880" s="78" t="n">
        <v>46204</v>
      </c>
      <c r="E3880" t="inlineStr">
        <is>
          <t>Q2FY27</t>
        </is>
      </c>
      <c r="F3880" t="inlineStr">
        <is>
          <t>30-Mar-2027</t>
        </is>
      </c>
      <c r="G3880" t="inlineStr">
        <is>
          <t>Tuesday</t>
        </is>
      </c>
      <c r="H3880" t="inlineStr">
        <is>
          <t>Monthly - Tuesday</t>
        </is>
      </c>
      <c r="I3880" t="inlineStr">
        <is>
          <t>Monthly - Tuesday</t>
        </is>
      </c>
      <c r="J3880" t="inlineStr">
        <is>
          <t>Month+8 Expiry</t>
        </is>
      </c>
      <c r="K3880" s="25" t="n">
        <v>7317</v>
      </c>
      <c r="L3880" s="26" t="n">
        <v>11.8892</v>
      </c>
      <c r="M3880" s="26" t="n">
        <v>0.1383</v>
      </c>
    </row>
    <row r="3881">
      <c r="A3881" t="inlineStr">
        <is>
          <t>16-Jul-2026</t>
        </is>
      </c>
      <c r="B3881" t="inlineStr">
        <is>
          <t>Thursday</t>
        </is>
      </c>
      <c r="C3881" t="inlineStr">
        <is>
          <t>Week3-Jul-2026</t>
        </is>
      </c>
      <c r="D3881" s="78" t="n">
        <v>46204</v>
      </c>
      <c r="E3881" t="inlineStr">
        <is>
          <t>Q2FY27</t>
        </is>
      </c>
      <c r="F3881" t="inlineStr">
        <is>
          <t>29-Jun-2027</t>
        </is>
      </c>
      <c r="G3881" t="inlineStr">
        <is>
          <t>Tuesday</t>
        </is>
      </c>
      <c r="H3881" t="inlineStr">
        <is>
          <t>Monthly - Tuesday</t>
        </is>
      </c>
      <c r="I3881" t="inlineStr">
        <is>
          <t>Monthly - Tuesday</t>
        </is>
      </c>
      <c r="J3881" t="inlineStr">
        <is>
          <t>Month+11 Expiry</t>
        </is>
      </c>
      <c r="K3881" s="25" t="n">
        <v>12</v>
      </c>
      <c r="L3881" s="26" t="n">
        <v>0.0136</v>
      </c>
      <c r="M3881" s="26" t="n">
        <v>0.0001</v>
      </c>
    </row>
    <row r="3882">
      <c r="A3882" t="inlineStr">
        <is>
          <t>16-Jul-2026</t>
        </is>
      </c>
      <c r="B3882" t="inlineStr">
        <is>
          <t>Thursday</t>
        </is>
      </c>
      <c r="C3882" t="inlineStr">
        <is>
          <t>Week3-Jul-2026</t>
        </is>
      </c>
      <c r="D3882" s="78" t="n">
        <v>46204</v>
      </c>
      <c r="E3882" t="inlineStr">
        <is>
          <t>Q2FY27</t>
        </is>
      </c>
      <c r="F3882" t="inlineStr">
        <is>
          <t>28-Dec-2027</t>
        </is>
      </c>
      <c r="G3882" t="inlineStr">
        <is>
          <t>Tuesday</t>
        </is>
      </c>
      <c r="H3882" t="inlineStr">
        <is>
          <t>Monthly - Tuesday</t>
        </is>
      </c>
      <c r="I3882" t="inlineStr">
        <is>
          <t>Monthly - Tuesday</t>
        </is>
      </c>
      <c r="J3882" t="inlineStr">
        <is>
          <t>Month+17 Expiry</t>
        </is>
      </c>
      <c r="K3882" s="25" t="n">
        <v>309</v>
      </c>
      <c r="L3882" s="26" t="n">
        <v>0.5243</v>
      </c>
      <c r="M3882" s="26" t="n">
        <v>0.0199</v>
      </c>
    </row>
    <row r="3883">
      <c r="A3883" t="inlineStr">
        <is>
          <t>16-Jul-2026</t>
        </is>
      </c>
      <c r="B3883" t="inlineStr">
        <is>
          <t>Thursday</t>
        </is>
      </c>
      <c r="C3883" t="inlineStr">
        <is>
          <t>Week3-Jul-2026</t>
        </is>
      </c>
      <c r="D3883" s="78" t="n">
        <v>46204</v>
      </c>
      <c r="E3883" t="inlineStr">
        <is>
          <t>Q2FY27</t>
        </is>
      </c>
      <c r="F3883" t="inlineStr">
        <is>
          <t>27-Jun-2028</t>
        </is>
      </c>
      <c r="G3883" t="inlineStr">
        <is>
          <t>Tuesday</t>
        </is>
      </c>
      <c r="H3883" t="inlineStr">
        <is>
          <t>Monthly - Tuesday</t>
        </is>
      </c>
      <c r="I3883" t="inlineStr">
        <is>
          <t>Monthly - Tuesday</t>
        </is>
      </c>
      <c r="J3883" t="inlineStr">
        <is>
          <t>Month+23 Expiry</t>
        </is>
      </c>
      <c r="K3883" s="25" t="n">
        <v>0</v>
      </c>
      <c r="L3883" s="26" t="n">
        <v>0</v>
      </c>
      <c r="M3883" s="26" t="n">
        <v>0</v>
      </c>
    </row>
    <row r="3884">
      <c r="A3884" t="inlineStr">
        <is>
          <t>16-Jul-2026</t>
        </is>
      </c>
      <c r="B3884" t="inlineStr">
        <is>
          <t>Thursday</t>
        </is>
      </c>
      <c r="C3884" t="inlineStr">
        <is>
          <t>Week3-Jul-2026</t>
        </is>
      </c>
      <c r="D3884" s="78" t="n">
        <v>46204</v>
      </c>
      <c r="E3884" t="inlineStr">
        <is>
          <t>Q2FY27</t>
        </is>
      </c>
      <c r="F3884" t="inlineStr">
        <is>
          <t>26-Dec-2028</t>
        </is>
      </c>
      <c r="G3884" t="inlineStr">
        <is>
          <t>Tuesday</t>
        </is>
      </c>
      <c r="H3884" t="inlineStr">
        <is>
          <t>Monthly - Tuesday</t>
        </is>
      </c>
      <c r="I3884" t="inlineStr">
        <is>
          <t>Monthly - Tuesday</t>
        </is>
      </c>
      <c r="J3884" t="inlineStr">
        <is>
          <t>Month+29 Expiry</t>
        </is>
      </c>
      <c r="K3884" s="25" t="n">
        <v>0</v>
      </c>
      <c r="L3884" s="26" t="n">
        <v>0</v>
      </c>
      <c r="M3884" s="26" t="n">
        <v>0</v>
      </c>
    </row>
    <row r="3885">
      <c r="A3885" t="inlineStr">
        <is>
          <t>16-Jul-2026</t>
        </is>
      </c>
      <c r="B3885" t="inlineStr">
        <is>
          <t>Thursday</t>
        </is>
      </c>
      <c r="C3885" t="inlineStr">
        <is>
          <t>Week3-Jul-2026</t>
        </is>
      </c>
      <c r="D3885" s="78" t="n">
        <v>46204</v>
      </c>
      <c r="E3885" t="inlineStr">
        <is>
          <t>Q2FY27</t>
        </is>
      </c>
      <c r="F3885" t="inlineStr">
        <is>
          <t>26-Jun-2029</t>
        </is>
      </c>
      <c r="G3885" t="inlineStr">
        <is>
          <t>Tuesday</t>
        </is>
      </c>
      <c r="H3885" t="inlineStr">
        <is>
          <t>Monthly - Tuesday</t>
        </is>
      </c>
      <c r="I3885" t="inlineStr">
        <is>
          <t>Monthly - Tuesday</t>
        </is>
      </c>
      <c r="J3885" t="inlineStr">
        <is>
          <t>Month+35 Expiry</t>
        </is>
      </c>
      <c r="K3885" s="25" t="n">
        <v>0</v>
      </c>
      <c r="L3885" s="26" t="n">
        <v>0</v>
      </c>
      <c r="M3885" s="26" t="n">
        <v>0</v>
      </c>
    </row>
    <row r="3886">
      <c r="A3886" t="inlineStr">
        <is>
          <t>16-Jul-2026</t>
        </is>
      </c>
      <c r="B3886" t="inlineStr">
        <is>
          <t>Thursday</t>
        </is>
      </c>
      <c r="C3886" t="inlineStr">
        <is>
          <t>Week3-Jul-2026</t>
        </is>
      </c>
      <c r="D3886" s="78" t="n">
        <v>46204</v>
      </c>
      <c r="E3886" t="inlineStr">
        <is>
          <t>Q2FY27</t>
        </is>
      </c>
      <c r="F3886" t="inlineStr">
        <is>
          <t>24-Dec-2029</t>
        </is>
      </c>
      <c r="G3886" t="inlineStr">
        <is>
          <t>Monday</t>
        </is>
      </c>
      <c r="H3886" t="inlineStr">
        <is>
          <t>Weekly - Monday</t>
        </is>
      </c>
      <c r="I3886" t="inlineStr">
        <is>
          <t>Weekly - Monday</t>
        </is>
      </c>
      <c r="J3886" t="inlineStr">
        <is>
          <t>Month+41 Expiry</t>
        </is>
      </c>
      <c r="K3886" s="25" t="n">
        <v>1</v>
      </c>
      <c r="L3886" s="26" t="n">
        <v>0.0016</v>
      </c>
      <c r="M3886" s="26" t="n">
        <v>0.0001</v>
      </c>
    </row>
    <row r="3887">
      <c r="A3887" t="inlineStr">
        <is>
          <t>16-Jul-2026</t>
        </is>
      </c>
      <c r="B3887" t="inlineStr">
        <is>
          <t>Thursday</t>
        </is>
      </c>
      <c r="C3887" t="inlineStr">
        <is>
          <t>Week3-Jul-2026</t>
        </is>
      </c>
      <c r="D3887" s="78" t="n">
        <v>46204</v>
      </c>
      <c r="E3887" t="inlineStr">
        <is>
          <t>Q2FY27</t>
        </is>
      </c>
      <c r="F3887" t="inlineStr">
        <is>
          <t>25-Jun-2030</t>
        </is>
      </c>
      <c r="G3887" t="inlineStr">
        <is>
          <t>Tuesday</t>
        </is>
      </c>
      <c r="H3887" t="inlineStr">
        <is>
          <t>Monthly - Tuesday</t>
        </is>
      </c>
      <c r="I3887" t="inlineStr">
        <is>
          <t>Monthly - Tuesday</t>
        </is>
      </c>
      <c r="J3887" t="inlineStr">
        <is>
          <t>Month+47 Expiry</t>
        </is>
      </c>
      <c r="K3887" s="25" t="n">
        <v>0</v>
      </c>
      <c r="L3887" s="26" t="n">
        <v>0</v>
      </c>
      <c r="M3887" s="26" t="n">
        <v>0</v>
      </c>
    </row>
    <row r="3888">
      <c r="A3888" t="inlineStr">
        <is>
          <t>16-Jul-2026</t>
        </is>
      </c>
      <c r="B3888" t="inlineStr">
        <is>
          <t>Thursday</t>
        </is>
      </c>
      <c r="C3888" t="inlineStr">
        <is>
          <t>Week3-Jul-2026</t>
        </is>
      </c>
      <c r="D3888" s="78" t="n">
        <v>46204</v>
      </c>
      <c r="E3888" t="inlineStr">
        <is>
          <t>Q2FY27</t>
        </is>
      </c>
      <c r="F3888" t="inlineStr">
        <is>
          <t>31-Dec-2030</t>
        </is>
      </c>
      <c r="G3888" t="inlineStr">
        <is>
          <t>Tuesday</t>
        </is>
      </c>
      <c r="H3888" t="inlineStr">
        <is>
          <t>Monthly - Tuesday</t>
        </is>
      </c>
      <c r="I3888" t="inlineStr">
        <is>
          <t>Monthly - Tuesday</t>
        </is>
      </c>
      <c r="J3888" t="inlineStr">
        <is>
          <t>Month+53 Expiry</t>
        </is>
      </c>
      <c r="K3888" s="25" t="n">
        <v>0</v>
      </c>
      <c r="L3888" s="26" t="n">
        <v>0</v>
      </c>
      <c r="M3888" s="26" t="n">
        <v>0</v>
      </c>
    </row>
    <row r="3889">
      <c r="A3889" t="inlineStr">
        <is>
          <t>16-Jul-2026</t>
        </is>
      </c>
      <c r="B3889" t="inlineStr">
        <is>
          <t>Thursday</t>
        </is>
      </c>
      <c r="C3889" t="inlineStr">
        <is>
          <t>Week3-Jul-2026</t>
        </is>
      </c>
      <c r="D3889" s="78" t="n">
        <v>46204</v>
      </c>
      <c r="E3889" t="inlineStr">
        <is>
          <t>Q2FY27</t>
        </is>
      </c>
      <c r="F3889" t="inlineStr">
        <is>
          <t>24-Jun-2031</t>
        </is>
      </c>
      <c r="G3889" t="inlineStr">
        <is>
          <t>Tuesday</t>
        </is>
      </c>
      <c r="H3889" t="inlineStr">
        <is>
          <t>Monthly - Tuesday</t>
        </is>
      </c>
      <c r="I3889" t="inlineStr">
        <is>
          <t>Monthly - Tuesday</t>
        </is>
      </c>
      <c r="J3889" t="inlineStr">
        <is>
          <t>Month+59 Expiry</t>
        </is>
      </c>
      <c r="K3889" s="25" t="n">
        <v>0</v>
      </c>
      <c r="L3889" s="26" t="n">
        <v>0</v>
      </c>
      <c r="M3889" s="26" t="n">
        <v>0</v>
      </c>
    </row>
    <row r="3890">
      <c r="A3890" t="inlineStr">
        <is>
          <t>17-Jul-2026</t>
        </is>
      </c>
      <c r="B3890" t="inlineStr">
        <is>
          <t>Friday</t>
        </is>
      </c>
      <c r="C3890" t="inlineStr">
        <is>
          <t>Week3-Jul-2026</t>
        </is>
      </c>
      <c r="D3890" s="78" t="n">
        <v>46204</v>
      </c>
      <c r="E3890" t="inlineStr">
        <is>
          <t>Q2FY27</t>
        </is>
      </c>
      <c r="F3890" t="inlineStr">
        <is>
          <t>21-Jul-2026</t>
        </is>
      </c>
      <c r="G3890" t="inlineStr">
        <is>
          <t>Tuesday</t>
        </is>
      </c>
      <c r="H3890" t="inlineStr">
        <is>
          <t>Weekly - Tuesday</t>
        </is>
      </c>
      <c r="I3890" t="inlineStr">
        <is>
          <t>Weekly - Tuesday</t>
        </is>
      </c>
      <c r="J3890" t="inlineStr">
        <is>
          <t>Same Month Expiry</t>
        </is>
      </c>
      <c r="K3890" s="25" t="n">
        <v>90991337</v>
      </c>
      <c r="L3890" s="26" t="n">
        <v>143593.7486</v>
      </c>
      <c r="M3890" s="26" t="n">
        <v>412.7828</v>
      </c>
    </row>
    <row r="3891">
      <c r="A3891" t="inlineStr">
        <is>
          <t>17-Jul-2026</t>
        </is>
      </c>
      <c r="B3891" t="inlineStr">
        <is>
          <t>Friday</t>
        </is>
      </c>
      <c r="C3891" t="inlineStr">
        <is>
          <t>Week3-Jul-2026</t>
        </is>
      </c>
      <c r="D3891" s="78" t="n">
        <v>46204</v>
      </c>
      <c r="E3891" t="inlineStr">
        <is>
          <t>Q2FY27</t>
        </is>
      </c>
      <c r="F3891" t="inlineStr">
        <is>
          <t>28-Jul-2026</t>
        </is>
      </c>
      <c r="G3891" t="inlineStr">
        <is>
          <t>Tuesday</t>
        </is>
      </c>
      <c r="H3891" t="inlineStr">
        <is>
          <t>Monthly - Tuesday</t>
        </is>
      </c>
      <c r="I3891" t="inlineStr">
        <is>
          <t>Monthly - Tuesday</t>
        </is>
      </c>
      <c r="J3891" t="inlineStr">
        <is>
          <t>Same Month Expiry</t>
        </is>
      </c>
      <c r="K3891" s="25" t="n">
        <v>4385634</v>
      </c>
      <c r="L3891" s="26" t="n">
        <v>6945.5813</v>
      </c>
      <c r="M3891" s="26" t="n">
        <v>32.048</v>
      </c>
    </row>
    <row r="3892">
      <c r="A3892" t="inlineStr">
        <is>
          <t>17-Jul-2026</t>
        </is>
      </c>
      <c r="B3892" t="inlineStr">
        <is>
          <t>Friday</t>
        </is>
      </c>
      <c r="C3892" t="inlineStr">
        <is>
          <t>Week3-Jul-2026</t>
        </is>
      </c>
      <c r="D3892" s="78" t="n">
        <v>46204</v>
      </c>
      <c r="E3892" t="inlineStr">
        <is>
          <t>Q2FY27</t>
        </is>
      </c>
      <c r="F3892" t="inlineStr">
        <is>
          <t>04-Aug-2026</t>
        </is>
      </c>
      <c r="G3892" t="inlineStr">
        <is>
          <t>Tuesday</t>
        </is>
      </c>
      <c r="H3892" t="inlineStr">
        <is>
          <t>Weekly - Tuesday</t>
        </is>
      </c>
      <c r="I3892" t="inlineStr">
        <is>
          <t>Weekly - Tuesday</t>
        </is>
      </c>
      <c r="J3892" t="inlineStr">
        <is>
          <t>Month+1 Expiry</t>
        </is>
      </c>
      <c r="K3892" s="25" t="n">
        <v>226450</v>
      </c>
      <c r="L3892" s="26" t="n">
        <v>358.3984</v>
      </c>
      <c r="M3892" s="26" t="n">
        <v>1.9318</v>
      </c>
    </row>
    <row r="3893">
      <c r="A3893" t="inlineStr">
        <is>
          <t>17-Jul-2026</t>
        </is>
      </c>
      <c r="B3893" t="inlineStr">
        <is>
          <t>Friday</t>
        </is>
      </c>
      <c r="C3893" t="inlineStr">
        <is>
          <t>Week3-Jul-2026</t>
        </is>
      </c>
      <c r="D3893" s="78" t="n">
        <v>46204</v>
      </c>
      <c r="E3893" t="inlineStr">
        <is>
          <t>Q2FY27</t>
        </is>
      </c>
      <c r="F3893" t="inlineStr">
        <is>
          <t>11-Aug-2026</t>
        </is>
      </c>
      <c r="G3893" t="inlineStr">
        <is>
          <t>Tuesday</t>
        </is>
      </c>
      <c r="H3893" t="inlineStr">
        <is>
          <t>Weekly - Tuesday</t>
        </is>
      </c>
      <c r="I3893" t="inlineStr">
        <is>
          <t>Weekly - Tuesday</t>
        </is>
      </c>
      <c r="J3893" t="inlineStr">
        <is>
          <t>Month+1 Expiry</t>
        </is>
      </c>
      <c r="K3893" s="25" t="n">
        <v>17953</v>
      </c>
      <c r="L3893" s="26" t="n">
        <v>28.3681</v>
      </c>
      <c r="M3893" s="26" t="n">
        <v>0.258</v>
      </c>
    </row>
    <row r="3894">
      <c r="A3894" t="inlineStr">
        <is>
          <t>17-Jul-2026</t>
        </is>
      </c>
      <c r="B3894" t="inlineStr">
        <is>
          <t>Friday</t>
        </is>
      </c>
      <c r="C3894" t="inlineStr">
        <is>
          <t>Week3-Jul-2026</t>
        </is>
      </c>
      <c r="D3894" s="78" t="n">
        <v>46204</v>
      </c>
      <c r="E3894" t="inlineStr">
        <is>
          <t>Q2FY27</t>
        </is>
      </c>
      <c r="F3894" t="inlineStr">
        <is>
          <t>18-Aug-2026</t>
        </is>
      </c>
      <c r="G3894" t="inlineStr">
        <is>
          <t>Tuesday</t>
        </is>
      </c>
      <c r="H3894" t="inlineStr">
        <is>
          <t>Weekly - Tuesday</t>
        </is>
      </c>
      <c r="I3894" t="inlineStr">
        <is>
          <t>Weekly - Tuesday</t>
        </is>
      </c>
      <c r="J3894" t="inlineStr">
        <is>
          <t>Month+1 Expiry</t>
        </is>
      </c>
      <c r="K3894" s="25" t="n">
        <v>3340</v>
      </c>
      <c r="L3894" s="26" t="n">
        <v>5.2605</v>
      </c>
      <c r="M3894" s="26" t="n">
        <v>0.0499</v>
      </c>
    </row>
    <row r="3895">
      <c r="A3895" t="inlineStr">
        <is>
          <t>17-Jul-2026</t>
        </is>
      </c>
      <c r="B3895" t="inlineStr">
        <is>
          <t>Friday</t>
        </is>
      </c>
      <c r="C3895" t="inlineStr">
        <is>
          <t>Week3-Jul-2026</t>
        </is>
      </c>
      <c r="D3895" s="78" t="n">
        <v>46204</v>
      </c>
      <c r="E3895" t="inlineStr">
        <is>
          <t>Q2FY27</t>
        </is>
      </c>
      <c r="F3895" t="inlineStr">
        <is>
          <t>25-Aug-2026</t>
        </is>
      </c>
      <c r="G3895" t="inlineStr">
        <is>
          <t>Tuesday</t>
        </is>
      </c>
      <c r="H3895" t="inlineStr">
        <is>
          <t>Monthly - Tuesday</t>
        </is>
      </c>
      <c r="I3895" t="inlineStr">
        <is>
          <t>Monthly - Tuesday</t>
        </is>
      </c>
      <c r="J3895" t="inlineStr">
        <is>
          <t>Month+1 Expiry</t>
        </is>
      </c>
      <c r="K3895" s="25" t="n">
        <v>389381</v>
      </c>
      <c r="L3895" s="26" t="n">
        <v>621.9105</v>
      </c>
      <c r="M3895" s="26" t="n">
        <v>5.7435</v>
      </c>
    </row>
    <row r="3896">
      <c r="A3896" t="inlineStr">
        <is>
          <t>17-Jul-2026</t>
        </is>
      </c>
      <c r="B3896" t="inlineStr">
        <is>
          <t>Friday</t>
        </is>
      </c>
      <c r="C3896" t="inlineStr">
        <is>
          <t>Week3-Jul-2026</t>
        </is>
      </c>
      <c r="D3896" s="78" t="n">
        <v>46204</v>
      </c>
      <c r="E3896" t="inlineStr">
        <is>
          <t>Q2FY27</t>
        </is>
      </c>
      <c r="F3896" t="inlineStr">
        <is>
          <t>29-Sep-2026</t>
        </is>
      </c>
      <c r="G3896" t="inlineStr">
        <is>
          <t>Tuesday</t>
        </is>
      </c>
      <c r="H3896" t="inlineStr">
        <is>
          <t>Monthly - Tuesday</t>
        </is>
      </c>
      <c r="I3896" t="inlineStr">
        <is>
          <t>Monthly - Tuesday</t>
        </is>
      </c>
      <c r="J3896" t="inlineStr">
        <is>
          <t>Month+2 Expiry</t>
        </is>
      </c>
      <c r="K3896" s="25" t="n">
        <v>99887</v>
      </c>
      <c r="L3896" s="26" t="n">
        <v>160.1453</v>
      </c>
      <c r="M3896" s="26" t="n">
        <v>1.7011</v>
      </c>
    </row>
    <row r="3897">
      <c r="A3897" t="inlineStr">
        <is>
          <t>17-Jul-2026</t>
        </is>
      </c>
      <c r="B3897" t="inlineStr">
        <is>
          <t>Friday</t>
        </is>
      </c>
      <c r="C3897" t="inlineStr">
        <is>
          <t>Week3-Jul-2026</t>
        </is>
      </c>
      <c r="D3897" s="78" t="n">
        <v>46204</v>
      </c>
      <c r="E3897" t="inlineStr">
        <is>
          <t>Q2FY27</t>
        </is>
      </c>
      <c r="F3897" t="inlineStr">
        <is>
          <t>29-Dec-2026</t>
        </is>
      </c>
      <c r="G3897" t="inlineStr">
        <is>
          <t>Tuesday</t>
        </is>
      </c>
      <c r="H3897" t="inlineStr">
        <is>
          <t>Monthly - Tuesday</t>
        </is>
      </c>
      <c r="I3897" t="inlineStr">
        <is>
          <t>Monthly - Tuesday</t>
        </is>
      </c>
      <c r="J3897" t="inlineStr">
        <is>
          <t>Month+5 Expiry</t>
        </is>
      </c>
      <c r="K3897" s="25" t="n">
        <v>73326</v>
      </c>
      <c r="L3897" s="26" t="n">
        <v>117.9418</v>
      </c>
      <c r="M3897" s="26" t="n">
        <v>1.8007</v>
      </c>
    </row>
    <row r="3898">
      <c r="A3898" t="inlineStr">
        <is>
          <t>17-Jul-2026</t>
        </is>
      </c>
      <c r="B3898" t="inlineStr">
        <is>
          <t>Friday</t>
        </is>
      </c>
      <c r="C3898" t="inlineStr">
        <is>
          <t>Week3-Jul-2026</t>
        </is>
      </c>
      <c r="D3898" s="78" t="n">
        <v>46204</v>
      </c>
      <c r="E3898" t="inlineStr">
        <is>
          <t>Q2FY27</t>
        </is>
      </c>
      <c r="F3898" t="inlineStr">
        <is>
          <t>30-Mar-2027</t>
        </is>
      </c>
      <c r="G3898" t="inlineStr">
        <is>
          <t>Tuesday</t>
        </is>
      </c>
      <c r="H3898" t="inlineStr">
        <is>
          <t>Monthly - Tuesday</t>
        </is>
      </c>
      <c r="I3898" t="inlineStr">
        <is>
          <t>Monthly - Tuesday</t>
        </is>
      </c>
      <c r="J3898" t="inlineStr">
        <is>
          <t>Month+8 Expiry</t>
        </is>
      </c>
      <c r="K3898" s="25" t="n">
        <v>8230</v>
      </c>
      <c r="L3898" s="26" t="n">
        <v>14.2243</v>
      </c>
      <c r="M3898" s="26" t="n">
        <v>0.1896</v>
      </c>
    </row>
    <row r="3899">
      <c r="A3899" t="inlineStr">
        <is>
          <t>17-Jul-2026</t>
        </is>
      </c>
      <c r="B3899" t="inlineStr">
        <is>
          <t>Friday</t>
        </is>
      </c>
      <c r="C3899" t="inlineStr">
        <is>
          <t>Week3-Jul-2026</t>
        </is>
      </c>
      <c r="D3899" s="78" t="n">
        <v>46204</v>
      </c>
      <c r="E3899" t="inlineStr">
        <is>
          <t>Q2FY27</t>
        </is>
      </c>
      <c r="F3899" t="inlineStr">
        <is>
          <t>29-Jun-2027</t>
        </is>
      </c>
      <c r="G3899" t="inlineStr">
        <is>
          <t>Tuesday</t>
        </is>
      </c>
      <c r="H3899" t="inlineStr">
        <is>
          <t>Monthly - Tuesday</t>
        </is>
      </c>
      <c r="I3899" t="inlineStr">
        <is>
          <t>Monthly - Tuesday</t>
        </is>
      </c>
      <c r="J3899" t="inlineStr">
        <is>
          <t>Month+11 Expiry</t>
        </is>
      </c>
      <c r="K3899" s="25" t="n">
        <v>16</v>
      </c>
      <c r="L3899" s="26" t="n">
        <v>0.0225</v>
      </c>
      <c r="M3899" s="26" t="n">
        <v>0.0003</v>
      </c>
    </row>
    <row r="3900">
      <c r="A3900" t="inlineStr">
        <is>
          <t>17-Jul-2026</t>
        </is>
      </c>
      <c r="B3900" t="inlineStr">
        <is>
          <t>Friday</t>
        </is>
      </c>
      <c r="C3900" t="inlineStr">
        <is>
          <t>Week3-Jul-2026</t>
        </is>
      </c>
      <c r="D3900" s="78" t="n">
        <v>46204</v>
      </c>
      <c r="E3900" t="inlineStr">
        <is>
          <t>Q2FY27</t>
        </is>
      </c>
      <c r="F3900" t="inlineStr">
        <is>
          <t>28-Dec-2027</t>
        </is>
      </c>
      <c r="G3900" t="inlineStr">
        <is>
          <t>Tuesday</t>
        </is>
      </c>
      <c r="H3900" t="inlineStr">
        <is>
          <t>Monthly - Tuesday</t>
        </is>
      </c>
      <c r="I3900" t="inlineStr">
        <is>
          <t>Monthly - Tuesday</t>
        </is>
      </c>
      <c r="J3900" t="inlineStr">
        <is>
          <t>Month+17 Expiry</t>
        </is>
      </c>
      <c r="K3900" s="25" t="n">
        <v>789</v>
      </c>
      <c r="L3900" s="26" t="n">
        <v>1.3563</v>
      </c>
      <c r="M3900" s="26" t="n">
        <v>0.0439</v>
      </c>
    </row>
    <row r="3901">
      <c r="A3901" t="inlineStr">
        <is>
          <t>17-Jul-2026</t>
        </is>
      </c>
      <c r="B3901" t="inlineStr">
        <is>
          <t>Friday</t>
        </is>
      </c>
      <c r="C3901" t="inlineStr">
        <is>
          <t>Week3-Jul-2026</t>
        </is>
      </c>
      <c r="D3901" s="78" t="n">
        <v>46204</v>
      </c>
      <c r="E3901" t="inlineStr">
        <is>
          <t>Q2FY27</t>
        </is>
      </c>
      <c r="F3901" t="inlineStr">
        <is>
          <t>27-Jun-2028</t>
        </is>
      </c>
      <c r="G3901" t="inlineStr">
        <is>
          <t>Tuesday</t>
        </is>
      </c>
      <c r="H3901" t="inlineStr">
        <is>
          <t>Monthly - Tuesday</t>
        </is>
      </c>
      <c r="I3901" t="inlineStr">
        <is>
          <t>Monthly - Tuesday</t>
        </is>
      </c>
      <c r="J3901" t="inlineStr">
        <is>
          <t>Month+23 Expiry</t>
        </is>
      </c>
      <c r="K3901" s="25" t="n">
        <v>0</v>
      </c>
      <c r="L3901" s="26" t="n">
        <v>0</v>
      </c>
      <c r="M3901" s="26" t="n">
        <v>0</v>
      </c>
    </row>
    <row r="3902">
      <c r="A3902" t="inlineStr">
        <is>
          <t>17-Jul-2026</t>
        </is>
      </c>
      <c r="B3902" t="inlineStr">
        <is>
          <t>Friday</t>
        </is>
      </c>
      <c r="C3902" t="inlineStr">
        <is>
          <t>Week3-Jul-2026</t>
        </is>
      </c>
      <c r="D3902" s="78" t="n">
        <v>46204</v>
      </c>
      <c r="E3902" t="inlineStr">
        <is>
          <t>Q2FY27</t>
        </is>
      </c>
      <c r="F3902" t="inlineStr">
        <is>
          <t>26-Dec-2028</t>
        </is>
      </c>
      <c r="G3902" t="inlineStr">
        <is>
          <t>Tuesday</t>
        </is>
      </c>
      <c r="H3902" t="inlineStr">
        <is>
          <t>Monthly - Tuesday</t>
        </is>
      </c>
      <c r="I3902" t="inlineStr">
        <is>
          <t>Monthly - Tuesday</t>
        </is>
      </c>
      <c r="J3902" t="inlineStr">
        <is>
          <t>Month+29 Expiry</t>
        </is>
      </c>
      <c r="K3902" s="25" t="n">
        <v>2</v>
      </c>
      <c r="L3902" s="26" t="n">
        <v>0.0039</v>
      </c>
      <c r="M3902" s="26" t="n">
        <v>0.0002</v>
      </c>
    </row>
    <row r="3903">
      <c r="A3903" t="inlineStr">
        <is>
          <t>17-Jul-2026</t>
        </is>
      </c>
      <c r="B3903" t="inlineStr">
        <is>
          <t>Friday</t>
        </is>
      </c>
      <c r="C3903" t="inlineStr">
        <is>
          <t>Week3-Jul-2026</t>
        </is>
      </c>
      <c r="D3903" s="78" t="n">
        <v>46204</v>
      </c>
      <c r="E3903" t="inlineStr">
        <is>
          <t>Q2FY27</t>
        </is>
      </c>
      <c r="F3903" t="inlineStr">
        <is>
          <t>26-Jun-2029</t>
        </is>
      </c>
      <c r="G3903" t="inlineStr">
        <is>
          <t>Tuesday</t>
        </is>
      </c>
      <c r="H3903" t="inlineStr">
        <is>
          <t>Monthly - Tuesday</t>
        </is>
      </c>
      <c r="I3903" t="inlineStr">
        <is>
          <t>Monthly - Tuesday</t>
        </is>
      </c>
      <c r="J3903" t="inlineStr">
        <is>
          <t>Month+35 Expiry</t>
        </is>
      </c>
      <c r="K3903" s="25" t="n">
        <v>0</v>
      </c>
      <c r="L3903" s="26" t="n">
        <v>0</v>
      </c>
      <c r="M3903" s="26" t="n">
        <v>0</v>
      </c>
    </row>
    <row r="3904">
      <c r="A3904" t="inlineStr">
        <is>
          <t>17-Jul-2026</t>
        </is>
      </c>
      <c r="B3904" t="inlineStr">
        <is>
          <t>Friday</t>
        </is>
      </c>
      <c r="C3904" t="inlineStr">
        <is>
          <t>Week3-Jul-2026</t>
        </is>
      </c>
      <c r="D3904" s="78" t="n">
        <v>46204</v>
      </c>
      <c r="E3904" t="inlineStr">
        <is>
          <t>Q2FY27</t>
        </is>
      </c>
      <c r="F3904" t="inlineStr">
        <is>
          <t>24-Dec-2029</t>
        </is>
      </c>
      <c r="G3904" t="inlineStr">
        <is>
          <t>Monday</t>
        </is>
      </c>
      <c r="H3904" t="inlineStr">
        <is>
          <t>Weekly - Monday</t>
        </is>
      </c>
      <c r="I3904" t="inlineStr">
        <is>
          <t>Weekly - Monday</t>
        </is>
      </c>
      <c r="J3904" t="inlineStr">
        <is>
          <t>Month+41 Expiry</t>
        </is>
      </c>
      <c r="K3904" s="25" t="n">
        <v>2</v>
      </c>
      <c r="L3904" s="26" t="n">
        <v>0.0032</v>
      </c>
      <c r="M3904" s="26" t="n">
        <v>0.0001</v>
      </c>
    </row>
    <row r="3905">
      <c r="A3905" t="inlineStr">
        <is>
          <t>17-Jul-2026</t>
        </is>
      </c>
      <c r="B3905" t="inlineStr">
        <is>
          <t>Friday</t>
        </is>
      </c>
      <c r="C3905" t="inlineStr">
        <is>
          <t>Week3-Jul-2026</t>
        </is>
      </c>
      <c r="D3905" s="78" t="n">
        <v>46204</v>
      </c>
      <c r="E3905" t="inlineStr">
        <is>
          <t>Q2FY27</t>
        </is>
      </c>
      <c r="F3905" t="inlineStr">
        <is>
          <t>25-Jun-2030</t>
        </is>
      </c>
      <c r="G3905" t="inlineStr">
        <is>
          <t>Tuesday</t>
        </is>
      </c>
      <c r="H3905" t="inlineStr">
        <is>
          <t>Monthly - Tuesday</t>
        </is>
      </c>
      <c r="I3905" t="inlineStr">
        <is>
          <t>Monthly - Tuesday</t>
        </is>
      </c>
      <c r="J3905" t="inlineStr">
        <is>
          <t>Month+47 Expiry</t>
        </is>
      </c>
      <c r="K3905" s="25" t="n">
        <v>0</v>
      </c>
      <c r="L3905" s="26" t="n">
        <v>0</v>
      </c>
      <c r="M3905" s="26" t="n">
        <v>0</v>
      </c>
    </row>
    <row r="3906">
      <c r="A3906" t="inlineStr">
        <is>
          <t>17-Jul-2026</t>
        </is>
      </c>
      <c r="B3906" t="inlineStr">
        <is>
          <t>Friday</t>
        </is>
      </c>
      <c r="C3906" t="inlineStr">
        <is>
          <t>Week3-Jul-2026</t>
        </is>
      </c>
      <c r="D3906" s="78" t="n">
        <v>46204</v>
      </c>
      <c r="E3906" t="inlineStr">
        <is>
          <t>Q2FY27</t>
        </is>
      </c>
      <c r="F3906" t="inlineStr">
        <is>
          <t>31-Dec-2030</t>
        </is>
      </c>
      <c r="G3906" t="inlineStr">
        <is>
          <t>Tuesday</t>
        </is>
      </c>
      <c r="H3906" t="inlineStr">
        <is>
          <t>Monthly - Tuesday</t>
        </is>
      </c>
      <c r="I3906" t="inlineStr">
        <is>
          <t>Monthly - Tuesday</t>
        </is>
      </c>
      <c r="J3906" t="inlineStr">
        <is>
          <t>Month+53 Expiry</t>
        </is>
      </c>
      <c r="K3906" s="25" t="n">
        <v>0</v>
      </c>
      <c r="L3906" s="26" t="n">
        <v>0</v>
      </c>
      <c r="M3906" s="26" t="n">
        <v>0</v>
      </c>
    </row>
    <row r="3907">
      <c r="A3907" t="inlineStr">
        <is>
          <t>17-Jul-2026</t>
        </is>
      </c>
      <c r="B3907" t="inlineStr">
        <is>
          <t>Friday</t>
        </is>
      </c>
      <c r="C3907" t="inlineStr">
        <is>
          <t>Week3-Jul-2026</t>
        </is>
      </c>
      <c r="D3907" s="78" t="n">
        <v>46204</v>
      </c>
      <c r="E3907" t="inlineStr">
        <is>
          <t>Q2FY27</t>
        </is>
      </c>
      <c r="F3907" t="inlineStr">
        <is>
          <t>24-Jun-2031</t>
        </is>
      </c>
      <c r="G3907" t="inlineStr">
        <is>
          <t>Tuesday</t>
        </is>
      </c>
      <c r="H3907" t="inlineStr">
        <is>
          <t>Monthly - Tuesday</t>
        </is>
      </c>
      <c r="I3907" t="inlineStr">
        <is>
          <t>Monthly - Tuesday</t>
        </is>
      </c>
      <c r="J3907" t="inlineStr">
        <is>
          <t>Month+59 Expiry</t>
        </is>
      </c>
      <c r="K3907" s="25" t="n">
        <v>0</v>
      </c>
      <c r="L3907" s="26" t="n">
        <v>0</v>
      </c>
      <c r="M3907" s="26" t="n">
        <v>0</v>
      </c>
    </row>
    <row r="3908">
      <c r="A3908" t="inlineStr">
        <is>
          <t>20-Jul-2026</t>
        </is>
      </c>
      <c r="B3908" t="inlineStr">
        <is>
          <t>Monday</t>
        </is>
      </c>
      <c r="C3908" t="inlineStr">
        <is>
          <t>Week3-Jul-2026</t>
        </is>
      </c>
      <c r="D3908" s="78" t="n">
        <v>46204</v>
      </c>
      <c r="E3908" t="inlineStr">
        <is>
          <t>Q2FY27</t>
        </is>
      </c>
      <c r="F3908" t="inlineStr">
        <is>
          <t>21-Jul-2026</t>
        </is>
      </c>
      <c r="G3908" t="inlineStr">
        <is>
          <t>Tuesday</t>
        </is>
      </c>
      <c r="H3908" t="inlineStr">
        <is>
          <t>Weekly - Tuesday</t>
        </is>
      </c>
      <c r="I3908" t="inlineStr">
        <is>
          <t>Weekly - Tuesday</t>
        </is>
      </c>
      <c r="J3908" t="inlineStr">
        <is>
          <t>Same Month Expiry</t>
        </is>
      </c>
      <c r="K3908" s="25" t="n">
        <v>132012234</v>
      </c>
      <c r="L3908" s="26" t="n">
        <v>208022.68</v>
      </c>
      <c r="M3908" s="26" t="n">
        <v>442.8109</v>
      </c>
    </row>
    <row r="3909">
      <c r="A3909" t="inlineStr">
        <is>
          <t>20-Jul-2026</t>
        </is>
      </c>
      <c r="B3909" t="inlineStr">
        <is>
          <t>Monday</t>
        </is>
      </c>
      <c r="C3909" t="inlineStr">
        <is>
          <t>Week3-Jul-2026</t>
        </is>
      </c>
      <c r="D3909" s="78" t="n">
        <v>46204</v>
      </c>
      <c r="E3909" t="inlineStr">
        <is>
          <t>Q2FY27</t>
        </is>
      </c>
      <c r="F3909" t="inlineStr">
        <is>
          <t>28-Jul-2026</t>
        </is>
      </c>
      <c r="G3909" t="inlineStr">
        <is>
          <t>Tuesday</t>
        </is>
      </c>
      <c r="H3909" t="inlineStr">
        <is>
          <t>Monthly - Tuesday</t>
        </is>
      </c>
      <c r="I3909" t="inlineStr">
        <is>
          <t>Monthly - Tuesday</t>
        </is>
      </c>
      <c r="J3909" t="inlineStr">
        <is>
          <t>Same Month Expiry</t>
        </is>
      </c>
      <c r="K3909" s="25" t="n">
        <v>5934473</v>
      </c>
      <c r="L3909" s="26" t="n">
        <v>9347.585499999999</v>
      </c>
      <c r="M3909" s="26" t="n">
        <v>36.7663</v>
      </c>
    </row>
    <row r="3910">
      <c r="A3910" t="inlineStr">
        <is>
          <t>20-Jul-2026</t>
        </is>
      </c>
      <c r="B3910" t="inlineStr">
        <is>
          <t>Monday</t>
        </is>
      </c>
      <c r="C3910" t="inlineStr">
        <is>
          <t>Week3-Jul-2026</t>
        </is>
      </c>
      <c r="D3910" s="78" t="n">
        <v>46204</v>
      </c>
      <c r="E3910" t="inlineStr">
        <is>
          <t>Q2FY27</t>
        </is>
      </c>
      <c r="F3910" t="inlineStr">
        <is>
          <t>04-Aug-2026</t>
        </is>
      </c>
      <c r="G3910" t="inlineStr">
        <is>
          <t>Tuesday</t>
        </is>
      </c>
      <c r="H3910" t="inlineStr">
        <is>
          <t>Weekly - Tuesday</t>
        </is>
      </c>
      <c r="I3910" t="inlineStr">
        <is>
          <t>Weekly - Tuesday</t>
        </is>
      </c>
      <c r="J3910" t="inlineStr">
        <is>
          <t>Month+1 Expiry</t>
        </is>
      </c>
      <c r="K3910" s="25" t="n">
        <v>346434</v>
      </c>
      <c r="L3910" s="26" t="n">
        <v>544.9849</v>
      </c>
      <c r="M3910" s="26" t="n">
        <v>2.7989</v>
      </c>
    </row>
    <row r="3911">
      <c r="A3911" t="inlineStr">
        <is>
          <t>20-Jul-2026</t>
        </is>
      </c>
      <c r="B3911" t="inlineStr">
        <is>
          <t>Monday</t>
        </is>
      </c>
      <c r="C3911" t="inlineStr">
        <is>
          <t>Week3-Jul-2026</t>
        </is>
      </c>
      <c r="D3911" s="78" t="n">
        <v>46204</v>
      </c>
      <c r="E3911" t="inlineStr">
        <is>
          <t>Q2FY27</t>
        </is>
      </c>
      <c r="F3911" t="inlineStr">
        <is>
          <t>11-Aug-2026</t>
        </is>
      </c>
      <c r="G3911" t="inlineStr">
        <is>
          <t>Tuesday</t>
        </is>
      </c>
      <c r="H3911" t="inlineStr">
        <is>
          <t>Weekly - Tuesday</t>
        </is>
      </c>
      <c r="I3911" t="inlineStr">
        <is>
          <t>Weekly - Tuesday</t>
        </is>
      </c>
      <c r="J3911" t="inlineStr">
        <is>
          <t>Month+1 Expiry</t>
        </is>
      </c>
      <c r="K3911" s="25" t="n">
        <v>27099</v>
      </c>
      <c r="L3911" s="26" t="n">
        <v>42.732</v>
      </c>
      <c r="M3911" s="26" t="n">
        <v>0.3772</v>
      </c>
    </row>
    <row r="3912">
      <c r="A3912" t="inlineStr">
        <is>
          <t>20-Jul-2026</t>
        </is>
      </c>
      <c r="B3912" t="inlineStr">
        <is>
          <t>Monday</t>
        </is>
      </c>
      <c r="C3912" t="inlineStr">
        <is>
          <t>Week3-Jul-2026</t>
        </is>
      </c>
      <c r="D3912" s="78" t="n">
        <v>46204</v>
      </c>
      <c r="E3912" t="inlineStr">
        <is>
          <t>Q2FY27</t>
        </is>
      </c>
      <c r="F3912" t="inlineStr">
        <is>
          <t>18-Aug-2026</t>
        </is>
      </c>
      <c r="G3912" t="inlineStr">
        <is>
          <t>Tuesday</t>
        </is>
      </c>
      <c r="H3912" t="inlineStr">
        <is>
          <t>Weekly - Tuesday</t>
        </is>
      </c>
      <c r="I3912" t="inlineStr">
        <is>
          <t>Weekly - Tuesday</t>
        </is>
      </c>
      <c r="J3912" t="inlineStr">
        <is>
          <t>Month+1 Expiry</t>
        </is>
      </c>
      <c r="K3912" s="25" t="n">
        <v>4563</v>
      </c>
      <c r="L3912" s="26" t="n">
        <v>7.2021</v>
      </c>
      <c r="M3912" s="26" t="n">
        <v>0.0622</v>
      </c>
    </row>
    <row r="3913">
      <c r="A3913" t="inlineStr">
        <is>
          <t>20-Jul-2026</t>
        </is>
      </c>
      <c r="B3913" t="inlineStr">
        <is>
          <t>Monday</t>
        </is>
      </c>
      <c r="C3913" t="inlineStr">
        <is>
          <t>Week3-Jul-2026</t>
        </is>
      </c>
      <c r="D3913" s="78" t="n">
        <v>46204</v>
      </c>
      <c r="E3913" t="inlineStr">
        <is>
          <t>Q2FY27</t>
        </is>
      </c>
      <c r="F3913" t="inlineStr">
        <is>
          <t>25-Aug-2026</t>
        </is>
      </c>
      <c r="G3913" t="inlineStr">
        <is>
          <t>Tuesday</t>
        </is>
      </c>
      <c r="H3913" t="inlineStr">
        <is>
          <t>Monthly - Tuesday</t>
        </is>
      </c>
      <c r="I3913" t="inlineStr">
        <is>
          <t>Monthly - Tuesday</t>
        </is>
      </c>
      <c r="J3913" t="inlineStr">
        <is>
          <t>Month+1 Expiry</t>
        </is>
      </c>
      <c r="K3913" s="25" t="n">
        <v>394895</v>
      </c>
      <c r="L3913" s="26" t="n">
        <v>627.9392</v>
      </c>
      <c r="M3913" s="26" t="n">
        <v>5.6395</v>
      </c>
    </row>
    <row r="3914">
      <c r="A3914" t="inlineStr">
        <is>
          <t>20-Jul-2026</t>
        </is>
      </c>
      <c r="B3914" t="inlineStr">
        <is>
          <t>Monday</t>
        </is>
      </c>
      <c r="C3914" t="inlineStr">
        <is>
          <t>Week3-Jul-2026</t>
        </is>
      </c>
      <c r="D3914" s="78" t="n">
        <v>46204</v>
      </c>
      <c r="E3914" t="inlineStr">
        <is>
          <t>Q2FY27</t>
        </is>
      </c>
      <c r="F3914" t="inlineStr">
        <is>
          <t>29-Sep-2026</t>
        </is>
      </c>
      <c r="G3914" t="inlineStr">
        <is>
          <t>Tuesday</t>
        </is>
      </c>
      <c r="H3914" t="inlineStr">
        <is>
          <t>Monthly - Tuesday</t>
        </is>
      </c>
      <c r="I3914" t="inlineStr">
        <is>
          <t>Monthly - Tuesday</t>
        </is>
      </c>
      <c r="J3914" t="inlineStr">
        <is>
          <t>Month+2 Expiry</t>
        </is>
      </c>
      <c r="K3914" s="25" t="n">
        <v>73715</v>
      </c>
      <c r="L3914" s="26" t="n">
        <v>115.019</v>
      </c>
      <c r="M3914" s="26" t="n">
        <v>1.2244</v>
      </c>
    </row>
    <row r="3915">
      <c r="A3915" t="inlineStr">
        <is>
          <t>20-Jul-2026</t>
        </is>
      </c>
      <c r="B3915" t="inlineStr">
        <is>
          <t>Monday</t>
        </is>
      </c>
      <c r="C3915" t="inlineStr">
        <is>
          <t>Week3-Jul-2026</t>
        </is>
      </c>
      <c r="D3915" s="78" t="n">
        <v>46204</v>
      </c>
      <c r="E3915" t="inlineStr">
        <is>
          <t>Q2FY27</t>
        </is>
      </c>
      <c r="F3915" t="inlineStr">
        <is>
          <t>29-Dec-2026</t>
        </is>
      </c>
      <c r="G3915" t="inlineStr">
        <is>
          <t>Tuesday</t>
        </is>
      </c>
      <c r="H3915" t="inlineStr">
        <is>
          <t>Monthly - Tuesday</t>
        </is>
      </c>
      <c r="I3915" t="inlineStr">
        <is>
          <t>Monthly - Tuesday</t>
        </is>
      </c>
      <c r="J3915" t="inlineStr">
        <is>
          <t>Month+5 Expiry</t>
        </is>
      </c>
      <c r="K3915" s="25" t="n">
        <v>55733</v>
      </c>
      <c r="L3915" s="26" t="n">
        <v>90.2199</v>
      </c>
      <c r="M3915" s="26" t="n">
        <v>1.4422</v>
      </c>
    </row>
    <row r="3916">
      <c r="A3916" t="inlineStr">
        <is>
          <t>20-Jul-2026</t>
        </is>
      </c>
      <c r="B3916" t="inlineStr">
        <is>
          <t>Monday</t>
        </is>
      </c>
      <c r="C3916" t="inlineStr">
        <is>
          <t>Week3-Jul-2026</t>
        </is>
      </c>
      <c r="D3916" s="78" t="n">
        <v>46204</v>
      </c>
      <c r="E3916" t="inlineStr">
        <is>
          <t>Q2FY27</t>
        </is>
      </c>
      <c r="F3916" t="inlineStr">
        <is>
          <t>30-Mar-2027</t>
        </is>
      </c>
      <c r="G3916" t="inlineStr">
        <is>
          <t>Tuesday</t>
        </is>
      </c>
      <c r="H3916" t="inlineStr">
        <is>
          <t>Monthly - Tuesday</t>
        </is>
      </c>
      <c r="I3916" t="inlineStr">
        <is>
          <t>Monthly - Tuesday</t>
        </is>
      </c>
      <c r="J3916" t="inlineStr">
        <is>
          <t>Month+8 Expiry</t>
        </is>
      </c>
      <c r="K3916" s="25" t="n">
        <v>8002</v>
      </c>
      <c r="L3916" s="26" t="n">
        <v>12.9588</v>
      </c>
      <c r="M3916" s="26" t="n">
        <v>0.2167</v>
      </c>
    </row>
    <row r="3917">
      <c r="A3917" t="inlineStr">
        <is>
          <t>20-Jul-2026</t>
        </is>
      </c>
      <c r="B3917" t="inlineStr">
        <is>
          <t>Monday</t>
        </is>
      </c>
      <c r="C3917" t="inlineStr">
        <is>
          <t>Week3-Jul-2026</t>
        </is>
      </c>
      <c r="D3917" s="78" t="n">
        <v>46204</v>
      </c>
      <c r="E3917" t="inlineStr">
        <is>
          <t>Q2FY27</t>
        </is>
      </c>
      <c r="F3917" t="inlineStr">
        <is>
          <t>29-Jun-2027</t>
        </is>
      </c>
      <c r="G3917" t="inlineStr">
        <is>
          <t>Tuesday</t>
        </is>
      </c>
      <c r="H3917" t="inlineStr">
        <is>
          <t>Monthly - Tuesday</t>
        </is>
      </c>
      <c r="I3917" t="inlineStr">
        <is>
          <t>Monthly - Tuesday</t>
        </is>
      </c>
      <c r="J3917" t="inlineStr">
        <is>
          <t>Month+11 Expiry</t>
        </is>
      </c>
      <c r="K3917" s="25" t="n">
        <v>10</v>
      </c>
      <c r="L3917" s="26" t="n">
        <v>0.0142</v>
      </c>
      <c r="M3917" s="26" t="n">
        <v>0.0002</v>
      </c>
    </row>
    <row r="3918">
      <c r="A3918" t="inlineStr">
        <is>
          <t>20-Jul-2026</t>
        </is>
      </c>
      <c r="B3918" t="inlineStr">
        <is>
          <t>Monday</t>
        </is>
      </c>
      <c r="C3918" t="inlineStr">
        <is>
          <t>Week3-Jul-2026</t>
        </is>
      </c>
      <c r="D3918" s="78" t="n">
        <v>46204</v>
      </c>
      <c r="E3918" t="inlineStr">
        <is>
          <t>Q2FY27</t>
        </is>
      </c>
      <c r="F3918" t="inlineStr">
        <is>
          <t>28-Dec-2027</t>
        </is>
      </c>
      <c r="G3918" t="inlineStr">
        <is>
          <t>Tuesday</t>
        </is>
      </c>
      <c r="H3918" t="inlineStr">
        <is>
          <t>Monthly - Tuesday</t>
        </is>
      </c>
      <c r="I3918" t="inlineStr">
        <is>
          <t>Monthly - Tuesday</t>
        </is>
      </c>
      <c r="J3918" t="inlineStr">
        <is>
          <t>Month+17 Expiry</t>
        </is>
      </c>
      <c r="K3918" s="25" t="n">
        <v>642</v>
      </c>
      <c r="L3918" s="26" t="n">
        <v>1.0723</v>
      </c>
      <c r="M3918" s="26" t="n">
        <v>0.043</v>
      </c>
    </row>
    <row r="3919">
      <c r="A3919" t="inlineStr">
        <is>
          <t>20-Jul-2026</t>
        </is>
      </c>
      <c r="B3919" t="inlineStr">
        <is>
          <t>Monday</t>
        </is>
      </c>
      <c r="C3919" t="inlineStr">
        <is>
          <t>Week3-Jul-2026</t>
        </is>
      </c>
      <c r="D3919" s="78" t="n">
        <v>46204</v>
      </c>
      <c r="E3919" t="inlineStr">
        <is>
          <t>Q2FY27</t>
        </is>
      </c>
      <c r="F3919" t="inlineStr">
        <is>
          <t>27-Jun-2028</t>
        </is>
      </c>
      <c r="G3919" t="inlineStr">
        <is>
          <t>Tuesday</t>
        </is>
      </c>
      <c r="H3919" t="inlineStr">
        <is>
          <t>Monthly - Tuesday</t>
        </is>
      </c>
      <c r="I3919" t="inlineStr">
        <is>
          <t>Monthly - Tuesday</t>
        </is>
      </c>
      <c r="J3919" t="inlineStr">
        <is>
          <t>Month+23 Expiry</t>
        </is>
      </c>
      <c r="K3919" s="25" t="n">
        <v>0</v>
      </c>
      <c r="L3919" s="26" t="n">
        <v>0</v>
      </c>
      <c r="M3919" s="26" t="n">
        <v>0</v>
      </c>
    </row>
    <row r="3920">
      <c r="A3920" t="inlineStr">
        <is>
          <t>20-Jul-2026</t>
        </is>
      </c>
      <c r="B3920" t="inlineStr">
        <is>
          <t>Monday</t>
        </is>
      </c>
      <c r="C3920" t="inlineStr">
        <is>
          <t>Week3-Jul-2026</t>
        </is>
      </c>
      <c r="D3920" s="78" t="n">
        <v>46204</v>
      </c>
      <c r="E3920" t="inlineStr">
        <is>
          <t>Q2FY27</t>
        </is>
      </c>
      <c r="F3920" t="inlineStr">
        <is>
          <t>26-Dec-2028</t>
        </is>
      </c>
      <c r="G3920" t="inlineStr">
        <is>
          <t>Tuesday</t>
        </is>
      </c>
      <c r="H3920" t="inlineStr">
        <is>
          <t>Monthly - Tuesday</t>
        </is>
      </c>
      <c r="I3920" t="inlineStr">
        <is>
          <t>Monthly - Tuesday</t>
        </is>
      </c>
      <c r="J3920" t="inlineStr">
        <is>
          <t>Month+29 Expiry</t>
        </is>
      </c>
      <c r="K3920" s="25" t="n">
        <v>9</v>
      </c>
      <c r="L3920" s="26" t="n">
        <v>0.0159</v>
      </c>
      <c r="M3920" s="26" t="n">
        <v>0.0009</v>
      </c>
    </row>
    <row r="3921">
      <c r="A3921" t="inlineStr">
        <is>
          <t>20-Jul-2026</t>
        </is>
      </c>
      <c r="B3921" t="inlineStr">
        <is>
          <t>Monday</t>
        </is>
      </c>
      <c r="C3921" t="inlineStr">
        <is>
          <t>Week3-Jul-2026</t>
        </is>
      </c>
      <c r="D3921" s="78" t="n">
        <v>46204</v>
      </c>
      <c r="E3921" t="inlineStr">
        <is>
          <t>Q2FY27</t>
        </is>
      </c>
      <c r="F3921" t="inlineStr">
        <is>
          <t>26-Jun-2029</t>
        </is>
      </c>
      <c r="G3921" t="inlineStr">
        <is>
          <t>Tuesday</t>
        </is>
      </c>
      <c r="H3921" t="inlineStr">
        <is>
          <t>Monthly - Tuesday</t>
        </is>
      </c>
      <c r="I3921" t="inlineStr">
        <is>
          <t>Monthly - Tuesday</t>
        </is>
      </c>
      <c r="J3921" t="inlineStr">
        <is>
          <t>Month+35 Expiry</t>
        </is>
      </c>
      <c r="K3921" s="25" t="n">
        <v>0</v>
      </c>
      <c r="L3921" s="26" t="n">
        <v>0</v>
      </c>
      <c r="M3921" s="26" t="n">
        <v>0</v>
      </c>
    </row>
    <row r="3922">
      <c r="A3922" t="inlineStr">
        <is>
          <t>20-Jul-2026</t>
        </is>
      </c>
      <c r="B3922" t="inlineStr">
        <is>
          <t>Monday</t>
        </is>
      </c>
      <c r="C3922" t="inlineStr">
        <is>
          <t>Week3-Jul-2026</t>
        </is>
      </c>
      <c r="D3922" s="78" t="n">
        <v>46204</v>
      </c>
      <c r="E3922" t="inlineStr">
        <is>
          <t>Q2FY27</t>
        </is>
      </c>
      <c r="F3922" t="inlineStr">
        <is>
          <t>24-Dec-2029</t>
        </is>
      </c>
      <c r="G3922" t="inlineStr">
        <is>
          <t>Monday</t>
        </is>
      </c>
      <c r="H3922" t="inlineStr">
        <is>
          <t>Weekly - Monday</t>
        </is>
      </c>
      <c r="I3922" t="inlineStr">
        <is>
          <t>Weekly - Monday</t>
        </is>
      </c>
      <c r="J3922" t="inlineStr">
        <is>
          <t>Month+41 Expiry</t>
        </is>
      </c>
      <c r="K3922" s="25" t="n">
        <v>2</v>
      </c>
      <c r="L3922" s="26" t="n">
        <v>0.0034</v>
      </c>
      <c r="M3922" s="26" t="n">
        <v>0.0001</v>
      </c>
    </row>
    <row r="3923">
      <c r="A3923" t="inlineStr">
        <is>
          <t>20-Jul-2026</t>
        </is>
      </c>
      <c r="B3923" t="inlineStr">
        <is>
          <t>Monday</t>
        </is>
      </c>
      <c r="C3923" t="inlineStr">
        <is>
          <t>Week3-Jul-2026</t>
        </is>
      </c>
      <c r="D3923" s="78" t="n">
        <v>46204</v>
      </c>
      <c r="E3923" t="inlineStr">
        <is>
          <t>Q2FY27</t>
        </is>
      </c>
      <c r="F3923" t="inlineStr">
        <is>
          <t>25-Jun-2030</t>
        </is>
      </c>
      <c r="G3923" t="inlineStr">
        <is>
          <t>Tuesday</t>
        </is>
      </c>
      <c r="H3923" t="inlineStr">
        <is>
          <t>Monthly - Tuesday</t>
        </is>
      </c>
      <c r="I3923" t="inlineStr">
        <is>
          <t>Monthly - Tuesday</t>
        </is>
      </c>
      <c r="J3923" t="inlineStr">
        <is>
          <t>Month+47 Expiry</t>
        </is>
      </c>
      <c r="K3923" s="25" t="n">
        <v>0</v>
      </c>
      <c r="L3923" s="26" t="n">
        <v>0</v>
      </c>
      <c r="M3923" s="26" t="n">
        <v>0</v>
      </c>
    </row>
    <row r="3924">
      <c r="A3924" t="inlineStr">
        <is>
          <t>20-Jul-2026</t>
        </is>
      </c>
      <c r="B3924" t="inlineStr">
        <is>
          <t>Monday</t>
        </is>
      </c>
      <c r="C3924" t="inlineStr">
        <is>
          <t>Week3-Jul-2026</t>
        </is>
      </c>
      <c r="D3924" s="78" t="n">
        <v>46204</v>
      </c>
      <c r="E3924" t="inlineStr">
        <is>
          <t>Q2FY27</t>
        </is>
      </c>
      <c r="F3924" t="inlineStr">
        <is>
          <t>31-Dec-2030</t>
        </is>
      </c>
      <c r="G3924" t="inlineStr">
        <is>
          <t>Tuesday</t>
        </is>
      </c>
      <c r="H3924" t="inlineStr">
        <is>
          <t>Monthly - Tuesday</t>
        </is>
      </c>
      <c r="I3924" t="inlineStr">
        <is>
          <t>Monthly - Tuesday</t>
        </is>
      </c>
      <c r="J3924" t="inlineStr">
        <is>
          <t>Month+53 Expiry</t>
        </is>
      </c>
      <c r="K3924" s="25" t="n">
        <v>0</v>
      </c>
      <c r="L3924" s="26" t="n">
        <v>0</v>
      </c>
      <c r="M3924" s="26" t="n">
        <v>0</v>
      </c>
    </row>
    <row r="3925">
      <c r="A3925" t="inlineStr">
        <is>
          <t>20-Jul-2026</t>
        </is>
      </c>
      <c r="B3925" t="inlineStr">
        <is>
          <t>Monday</t>
        </is>
      </c>
      <c r="C3925" t="inlineStr">
        <is>
          <t>Week3-Jul-2026</t>
        </is>
      </c>
      <c r="D3925" s="78" t="n">
        <v>46204</v>
      </c>
      <c r="E3925" t="inlineStr">
        <is>
          <t>Q2FY27</t>
        </is>
      </c>
      <c r="F3925" t="inlineStr">
        <is>
          <t>24-Jun-2031</t>
        </is>
      </c>
      <c r="G3925" t="inlineStr">
        <is>
          <t>Tuesday</t>
        </is>
      </c>
      <c r="H3925" t="inlineStr">
        <is>
          <t>Monthly - Tuesday</t>
        </is>
      </c>
      <c r="I3925" t="inlineStr">
        <is>
          <t>Monthly - Tuesday</t>
        </is>
      </c>
      <c r="J3925" t="inlineStr">
        <is>
          <t>Month+59 Expiry</t>
        </is>
      </c>
      <c r="K3925" s="25" t="n">
        <v>0</v>
      </c>
      <c r="L3925" s="26" t="n">
        <v>0</v>
      </c>
      <c r="M3925" s="26" t="n">
        <v>0</v>
      </c>
    </row>
    <row r="3926">
      <c r="A3926" t="inlineStr">
        <is>
          <t>21-Jul-2026</t>
        </is>
      </c>
      <c r="B3926" t="inlineStr">
        <is>
          <t>Tuesday</t>
        </is>
      </c>
      <c r="C3926" t="inlineStr">
        <is>
          <t>Week3-Jul-2026</t>
        </is>
      </c>
      <c r="D3926" s="78" t="n">
        <v>46204</v>
      </c>
      <c r="E3926" t="inlineStr">
        <is>
          <t>Q2FY27</t>
        </is>
      </c>
      <c r="F3926" t="inlineStr">
        <is>
          <t>21-Jul-2026</t>
        </is>
      </c>
      <c r="G3926" t="inlineStr">
        <is>
          <t>Tuesday</t>
        </is>
      </c>
      <c r="H3926" t="inlineStr">
        <is>
          <t>Weekly - Tuesday</t>
        </is>
      </c>
      <c r="I3926" t="inlineStr">
        <is>
          <t>Weekly - Tuesday</t>
        </is>
      </c>
      <c r="J3926" t="inlineStr">
        <is>
          <t>Same Month Expiry</t>
        </is>
      </c>
      <c r="K3926" s="25" t="n">
        <v>317627060</v>
      </c>
      <c r="L3926" s="26" t="n">
        <v>499863.0587</v>
      </c>
      <c r="M3926" s="26" t="n">
        <v>462.6734</v>
      </c>
    </row>
    <row r="3927">
      <c r="A3927" t="inlineStr">
        <is>
          <t>21-Jul-2026</t>
        </is>
      </c>
      <c r="B3927" t="inlineStr">
        <is>
          <t>Tuesday</t>
        </is>
      </c>
      <c r="C3927" t="inlineStr">
        <is>
          <t>Week3-Jul-2026</t>
        </is>
      </c>
      <c r="D3927" s="78" t="n">
        <v>46204</v>
      </c>
      <c r="E3927" t="inlineStr">
        <is>
          <t>Q2FY27</t>
        </is>
      </c>
      <c r="F3927" t="inlineStr">
        <is>
          <t>28-Jul-2026</t>
        </is>
      </c>
      <c r="G3927" t="inlineStr">
        <is>
          <t>Tuesday</t>
        </is>
      </c>
      <c r="H3927" t="inlineStr">
        <is>
          <t>Monthly - Tuesday</t>
        </is>
      </c>
      <c r="I3927" t="inlineStr">
        <is>
          <t>Monthly - Tuesday</t>
        </is>
      </c>
      <c r="J3927" t="inlineStr">
        <is>
          <t>Same Month Expiry</t>
        </is>
      </c>
      <c r="K3927" s="25" t="n">
        <v>9313616</v>
      </c>
      <c r="L3927" s="26" t="n">
        <v>14699.9153</v>
      </c>
      <c r="M3927" s="26" t="n">
        <v>46.3282</v>
      </c>
    </row>
    <row r="3928">
      <c r="A3928" t="inlineStr">
        <is>
          <t>21-Jul-2026</t>
        </is>
      </c>
      <c r="B3928" t="inlineStr">
        <is>
          <t>Tuesday</t>
        </is>
      </c>
      <c r="C3928" t="inlineStr">
        <is>
          <t>Week3-Jul-2026</t>
        </is>
      </c>
      <c r="D3928" s="78" t="n">
        <v>46204</v>
      </c>
      <c r="E3928" t="inlineStr">
        <is>
          <t>Q2FY27</t>
        </is>
      </c>
      <c r="F3928" t="inlineStr">
        <is>
          <t>04-Aug-2026</t>
        </is>
      </c>
      <c r="G3928" t="inlineStr">
        <is>
          <t>Tuesday</t>
        </is>
      </c>
      <c r="H3928" t="inlineStr">
        <is>
          <t>Weekly - Tuesday</t>
        </is>
      </c>
      <c r="I3928" t="inlineStr">
        <is>
          <t>Weekly - Tuesday</t>
        </is>
      </c>
      <c r="J3928" t="inlineStr">
        <is>
          <t>Month+1 Expiry</t>
        </is>
      </c>
      <c r="K3928" s="25" t="n">
        <v>413020</v>
      </c>
      <c r="L3928" s="26" t="n">
        <v>648.5315000000001</v>
      </c>
      <c r="M3928" s="26" t="n">
        <v>2.6674</v>
      </c>
    </row>
    <row r="3929">
      <c r="A3929" t="inlineStr">
        <is>
          <t>21-Jul-2026</t>
        </is>
      </c>
      <c r="B3929" t="inlineStr">
        <is>
          <t>Tuesday</t>
        </is>
      </c>
      <c r="C3929" t="inlineStr">
        <is>
          <t>Week3-Jul-2026</t>
        </is>
      </c>
      <c r="D3929" s="78" t="n">
        <v>46204</v>
      </c>
      <c r="E3929" t="inlineStr">
        <is>
          <t>Q2FY27</t>
        </is>
      </c>
      <c r="F3929" t="inlineStr">
        <is>
          <t>11-Aug-2026</t>
        </is>
      </c>
      <c r="G3929" t="inlineStr">
        <is>
          <t>Tuesday</t>
        </is>
      </c>
      <c r="H3929" t="inlineStr">
        <is>
          <t>Weekly - Tuesday</t>
        </is>
      </c>
      <c r="I3929" t="inlineStr">
        <is>
          <t>Weekly - Tuesday</t>
        </is>
      </c>
      <c r="J3929" t="inlineStr">
        <is>
          <t>Month+1 Expiry</t>
        </is>
      </c>
      <c r="K3929" s="25" t="n">
        <v>28193</v>
      </c>
      <c r="L3929" s="26" t="n">
        <v>44.0881</v>
      </c>
      <c r="M3929" s="26" t="n">
        <v>0.3097</v>
      </c>
    </row>
    <row r="3930">
      <c r="A3930" t="inlineStr">
        <is>
          <t>21-Jul-2026</t>
        </is>
      </c>
      <c r="B3930" t="inlineStr">
        <is>
          <t>Tuesday</t>
        </is>
      </c>
      <c r="C3930" t="inlineStr">
        <is>
          <t>Week3-Jul-2026</t>
        </is>
      </c>
      <c r="D3930" s="78" t="n">
        <v>46204</v>
      </c>
      <c r="E3930" t="inlineStr">
        <is>
          <t>Q2FY27</t>
        </is>
      </c>
      <c r="F3930" t="inlineStr">
        <is>
          <t>18-Aug-2026</t>
        </is>
      </c>
      <c r="G3930" t="inlineStr">
        <is>
          <t>Tuesday</t>
        </is>
      </c>
      <c r="H3930" t="inlineStr">
        <is>
          <t>Weekly - Tuesday</t>
        </is>
      </c>
      <c r="I3930" t="inlineStr">
        <is>
          <t>Weekly - Tuesday</t>
        </is>
      </c>
      <c r="J3930" t="inlineStr">
        <is>
          <t>Month+1 Expiry</t>
        </is>
      </c>
      <c r="K3930" s="25" t="n">
        <v>5055</v>
      </c>
      <c r="L3930" s="26" t="n">
        <v>7.9502</v>
      </c>
      <c r="M3930" s="26" t="n">
        <v>0.0521</v>
      </c>
    </row>
    <row r="3931">
      <c r="A3931" t="inlineStr">
        <is>
          <t>21-Jul-2026</t>
        </is>
      </c>
      <c r="B3931" t="inlineStr">
        <is>
          <t>Tuesday</t>
        </is>
      </c>
      <c r="C3931" t="inlineStr">
        <is>
          <t>Week3-Jul-2026</t>
        </is>
      </c>
      <c r="D3931" s="78" t="n">
        <v>46204</v>
      </c>
      <c r="E3931" t="inlineStr">
        <is>
          <t>Q2FY27</t>
        </is>
      </c>
      <c r="F3931" t="inlineStr">
        <is>
          <t>25-Aug-2026</t>
        </is>
      </c>
      <c r="G3931" t="inlineStr">
        <is>
          <t>Tuesday</t>
        </is>
      </c>
      <c r="H3931" t="inlineStr">
        <is>
          <t>Monthly - Tuesday</t>
        </is>
      </c>
      <c r="I3931" t="inlineStr">
        <is>
          <t>Monthly - Tuesday</t>
        </is>
      </c>
      <c r="J3931" t="inlineStr">
        <is>
          <t>Month+1 Expiry</t>
        </is>
      </c>
      <c r="K3931" s="25" t="n">
        <v>430260</v>
      </c>
      <c r="L3931" s="26" t="n">
        <v>684.4992999999999</v>
      </c>
      <c r="M3931" s="26" t="n">
        <v>5.7825</v>
      </c>
    </row>
    <row r="3932">
      <c r="A3932" t="inlineStr">
        <is>
          <t>21-Jul-2026</t>
        </is>
      </c>
      <c r="B3932" t="inlineStr">
        <is>
          <t>Tuesday</t>
        </is>
      </c>
      <c r="C3932" t="inlineStr">
        <is>
          <t>Week3-Jul-2026</t>
        </is>
      </c>
      <c r="D3932" s="78" t="n">
        <v>46204</v>
      </c>
      <c r="E3932" t="inlineStr">
        <is>
          <t>Q2FY27</t>
        </is>
      </c>
      <c r="F3932" t="inlineStr">
        <is>
          <t>29-Sep-2026</t>
        </is>
      </c>
      <c r="G3932" t="inlineStr">
        <is>
          <t>Tuesday</t>
        </is>
      </c>
      <c r="H3932" t="inlineStr">
        <is>
          <t>Monthly - Tuesday</t>
        </is>
      </c>
      <c r="I3932" t="inlineStr">
        <is>
          <t>Monthly - Tuesday</t>
        </is>
      </c>
      <c r="J3932" t="inlineStr">
        <is>
          <t>Month+2 Expiry</t>
        </is>
      </c>
      <c r="K3932" s="25" t="n">
        <v>73185</v>
      </c>
      <c r="L3932" s="26" t="n">
        <v>114.2235</v>
      </c>
      <c r="M3932" s="26" t="n">
        <v>1.0657</v>
      </c>
    </row>
    <row r="3933">
      <c r="A3933" t="inlineStr">
        <is>
          <t>21-Jul-2026</t>
        </is>
      </c>
      <c r="B3933" t="inlineStr">
        <is>
          <t>Tuesday</t>
        </is>
      </c>
      <c r="C3933" t="inlineStr">
        <is>
          <t>Week3-Jul-2026</t>
        </is>
      </c>
      <c r="D3933" s="78" t="n">
        <v>46204</v>
      </c>
      <c r="E3933" t="inlineStr">
        <is>
          <t>Q2FY27</t>
        </is>
      </c>
      <c r="F3933" t="inlineStr">
        <is>
          <t>29-Dec-2026</t>
        </is>
      </c>
      <c r="G3933" t="inlineStr">
        <is>
          <t>Tuesday</t>
        </is>
      </c>
      <c r="H3933" t="inlineStr">
        <is>
          <t>Monthly - Tuesday</t>
        </is>
      </c>
      <c r="I3933" t="inlineStr">
        <is>
          <t>Monthly - Tuesday</t>
        </is>
      </c>
      <c r="J3933" t="inlineStr">
        <is>
          <t>Month+5 Expiry</t>
        </is>
      </c>
      <c r="K3933" s="25" t="n">
        <v>31393</v>
      </c>
      <c r="L3933" s="26" t="n">
        <v>50.273</v>
      </c>
      <c r="M3933" s="26" t="n">
        <v>0.7746</v>
      </c>
    </row>
    <row r="3934">
      <c r="A3934" t="inlineStr">
        <is>
          <t>21-Jul-2026</t>
        </is>
      </c>
      <c r="B3934" t="inlineStr">
        <is>
          <t>Tuesday</t>
        </is>
      </c>
      <c r="C3934" t="inlineStr">
        <is>
          <t>Week3-Jul-2026</t>
        </is>
      </c>
      <c r="D3934" s="78" t="n">
        <v>46204</v>
      </c>
      <c r="E3934" t="inlineStr">
        <is>
          <t>Q2FY27</t>
        </is>
      </c>
      <c r="F3934" t="inlineStr">
        <is>
          <t>30-Mar-2027</t>
        </is>
      </c>
      <c r="G3934" t="inlineStr">
        <is>
          <t>Tuesday</t>
        </is>
      </c>
      <c r="H3934" t="inlineStr">
        <is>
          <t>Monthly - Tuesday</t>
        </is>
      </c>
      <c r="I3934" t="inlineStr">
        <is>
          <t>Monthly - Tuesday</t>
        </is>
      </c>
      <c r="J3934" t="inlineStr">
        <is>
          <t>Month+8 Expiry</t>
        </is>
      </c>
      <c r="K3934" s="25" t="n">
        <v>2061</v>
      </c>
      <c r="L3934" s="26" t="n">
        <v>3.6413</v>
      </c>
      <c r="M3934" s="26" t="n">
        <v>0.0347</v>
      </c>
    </row>
    <row r="3935">
      <c r="A3935" t="inlineStr">
        <is>
          <t>21-Jul-2026</t>
        </is>
      </c>
      <c r="B3935" t="inlineStr">
        <is>
          <t>Tuesday</t>
        </is>
      </c>
      <c r="C3935" t="inlineStr">
        <is>
          <t>Week3-Jul-2026</t>
        </is>
      </c>
      <c r="D3935" s="78" t="n">
        <v>46204</v>
      </c>
      <c r="E3935" t="inlineStr">
        <is>
          <t>Q2FY27</t>
        </is>
      </c>
      <c r="F3935" t="inlineStr">
        <is>
          <t>29-Jun-2027</t>
        </is>
      </c>
      <c r="G3935" t="inlineStr">
        <is>
          <t>Tuesday</t>
        </is>
      </c>
      <c r="H3935" t="inlineStr">
        <is>
          <t>Monthly - Tuesday</t>
        </is>
      </c>
      <c r="I3935" t="inlineStr">
        <is>
          <t>Monthly - Tuesday</t>
        </is>
      </c>
      <c r="J3935" t="inlineStr">
        <is>
          <t>Month+11 Expiry</t>
        </is>
      </c>
      <c r="K3935" s="25" t="n">
        <v>5</v>
      </c>
      <c r="L3935" s="26" t="n">
        <v>0.0069</v>
      </c>
      <c r="M3935" s="26" t="n">
        <v>0.0001</v>
      </c>
    </row>
    <row r="3936">
      <c r="A3936" t="inlineStr">
        <is>
          <t>21-Jul-2026</t>
        </is>
      </c>
      <c r="B3936" t="inlineStr">
        <is>
          <t>Tuesday</t>
        </is>
      </c>
      <c r="C3936" t="inlineStr">
        <is>
          <t>Week3-Jul-2026</t>
        </is>
      </c>
      <c r="D3936" s="78" t="n">
        <v>46204</v>
      </c>
      <c r="E3936" t="inlineStr">
        <is>
          <t>Q2FY27</t>
        </is>
      </c>
      <c r="F3936" t="inlineStr">
        <is>
          <t>28-Dec-2027</t>
        </is>
      </c>
      <c r="G3936" t="inlineStr">
        <is>
          <t>Tuesday</t>
        </is>
      </c>
      <c r="H3936" t="inlineStr">
        <is>
          <t>Monthly - Tuesday</t>
        </is>
      </c>
      <c r="I3936" t="inlineStr">
        <is>
          <t>Monthly - Tuesday</t>
        </is>
      </c>
      <c r="J3936" t="inlineStr">
        <is>
          <t>Month+17 Expiry</t>
        </is>
      </c>
      <c r="K3936" s="25" t="n">
        <v>341</v>
      </c>
      <c r="L3936" s="26" t="n">
        <v>0.5853</v>
      </c>
      <c r="M3936" s="26" t="n">
        <v>0.0286</v>
      </c>
    </row>
    <row r="3937">
      <c r="A3937" t="inlineStr">
        <is>
          <t>21-Jul-2026</t>
        </is>
      </c>
      <c r="B3937" t="inlineStr">
        <is>
          <t>Tuesday</t>
        </is>
      </c>
      <c r="C3937" t="inlineStr">
        <is>
          <t>Week3-Jul-2026</t>
        </is>
      </c>
      <c r="D3937" s="78" t="n">
        <v>46204</v>
      </c>
      <c r="E3937" t="inlineStr">
        <is>
          <t>Q2FY27</t>
        </is>
      </c>
      <c r="F3937" t="inlineStr">
        <is>
          <t>27-Jun-2028</t>
        </is>
      </c>
      <c r="G3937" t="inlineStr">
        <is>
          <t>Tuesday</t>
        </is>
      </c>
      <c r="H3937" t="inlineStr">
        <is>
          <t>Monthly - Tuesday</t>
        </is>
      </c>
      <c r="I3937" t="inlineStr">
        <is>
          <t>Monthly - Tuesday</t>
        </is>
      </c>
      <c r="J3937" t="inlineStr">
        <is>
          <t>Month+23 Expiry</t>
        </is>
      </c>
      <c r="K3937" s="25" t="n">
        <v>0</v>
      </c>
      <c r="L3937" s="26" t="n">
        <v>0</v>
      </c>
      <c r="M3937" s="26" t="n">
        <v>0</v>
      </c>
    </row>
    <row r="3938">
      <c r="A3938" t="inlineStr">
        <is>
          <t>21-Jul-2026</t>
        </is>
      </c>
      <c r="B3938" t="inlineStr">
        <is>
          <t>Tuesday</t>
        </is>
      </c>
      <c r="C3938" t="inlineStr">
        <is>
          <t>Week3-Jul-2026</t>
        </is>
      </c>
      <c r="D3938" s="78" t="n">
        <v>46204</v>
      </c>
      <c r="E3938" t="inlineStr">
        <is>
          <t>Q2FY27</t>
        </is>
      </c>
      <c r="F3938" t="inlineStr">
        <is>
          <t>26-Dec-2028</t>
        </is>
      </c>
      <c r="G3938" t="inlineStr">
        <is>
          <t>Tuesday</t>
        </is>
      </c>
      <c r="H3938" t="inlineStr">
        <is>
          <t>Monthly - Tuesday</t>
        </is>
      </c>
      <c r="I3938" t="inlineStr">
        <is>
          <t>Monthly - Tuesday</t>
        </is>
      </c>
      <c r="J3938" t="inlineStr">
        <is>
          <t>Month+29 Expiry</t>
        </is>
      </c>
      <c r="K3938" s="25" t="n">
        <v>11</v>
      </c>
      <c r="L3938" s="26" t="n">
        <v>0.0191</v>
      </c>
      <c r="M3938" s="26" t="n">
        <v>0.0013</v>
      </c>
    </row>
    <row r="3939">
      <c r="A3939" t="inlineStr">
        <is>
          <t>21-Jul-2026</t>
        </is>
      </c>
      <c r="B3939" t="inlineStr">
        <is>
          <t>Tuesday</t>
        </is>
      </c>
      <c r="C3939" t="inlineStr">
        <is>
          <t>Week3-Jul-2026</t>
        </is>
      </c>
      <c r="D3939" s="78" t="n">
        <v>46204</v>
      </c>
      <c r="E3939" t="inlineStr">
        <is>
          <t>Q2FY27</t>
        </is>
      </c>
      <c r="F3939" t="inlineStr">
        <is>
          <t>26-Jun-2029</t>
        </is>
      </c>
      <c r="G3939" t="inlineStr">
        <is>
          <t>Tuesday</t>
        </is>
      </c>
      <c r="H3939" t="inlineStr">
        <is>
          <t>Monthly - Tuesday</t>
        </is>
      </c>
      <c r="I3939" t="inlineStr">
        <is>
          <t>Monthly - Tuesday</t>
        </is>
      </c>
      <c r="J3939" t="inlineStr">
        <is>
          <t>Month+35 Expiry</t>
        </is>
      </c>
      <c r="K3939" s="25" t="n">
        <v>0</v>
      </c>
      <c r="L3939" s="26" t="n">
        <v>0</v>
      </c>
      <c r="M3939" s="26" t="n">
        <v>0</v>
      </c>
    </row>
    <row r="3940">
      <c r="A3940" t="inlineStr">
        <is>
          <t>21-Jul-2026</t>
        </is>
      </c>
      <c r="B3940" t="inlineStr">
        <is>
          <t>Tuesday</t>
        </is>
      </c>
      <c r="C3940" t="inlineStr">
        <is>
          <t>Week3-Jul-2026</t>
        </is>
      </c>
      <c r="D3940" s="78" t="n">
        <v>46204</v>
      </c>
      <c r="E3940" t="inlineStr">
        <is>
          <t>Q2FY27</t>
        </is>
      </c>
      <c r="F3940" t="inlineStr">
        <is>
          <t>24-Dec-2029</t>
        </is>
      </c>
      <c r="G3940" t="inlineStr">
        <is>
          <t>Monday</t>
        </is>
      </c>
      <c r="H3940" t="inlineStr">
        <is>
          <t>Weekly - Monday</t>
        </is>
      </c>
      <c r="I3940" t="inlineStr">
        <is>
          <t>Weekly - Monday</t>
        </is>
      </c>
      <c r="J3940" t="inlineStr">
        <is>
          <t>Month+41 Expiry</t>
        </is>
      </c>
      <c r="K3940" s="25" t="n">
        <v>0</v>
      </c>
      <c r="L3940" s="26" t="n">
        <v>0</v>
      </c>
      <c r="M3940" s="26" t="n">
        <v>0</v>
      </c>
    </row>
    <row r="3941">
      <c r="A3941" t="inlineStr">
        <is>
          <t>21-Jul-2026</t>
        </is>
      </c>
      <c r="B3941" t="inlineStr">
        <is>
          <t>Tuesday</t>
        </is>
      </c>
      <c r="C3941" t="inlineStr">
        <is>
          <t>Week3-Jul-2026</t>
        </is>
      </c>
      <c r="D3941" s="78" t="n">
        <v>46204</v>
      </c>
      <c r="E3941" t="inlineStr">
        <is>
          <t>Q2FY27</t>
        </is>
      </c>
      <c r="F3941" t="inlineStr">
        <is>
          <t>25-Jun-2030</t>
        </is>
      </c>
      <c r="G3941" t="inlineStr">
        <is>
          <t>Tuesday</t>
        </is>
      </c>
      <c r="H3941" t="inlineStr">
        <is>
          <t>Monthly - Tuesday</t>
        </is>
      </c>
      <c r="I3941" t="inlineStr">
        <is>
          <t>Monthly - Tuesday</t>
        </is>
      </c>
      <c r="J3941" t="inlineStr">
        <is>
          <t>Month+47 Expiry</t>
        </is>
      </c>
      <c r="K3941" s="25" t="n">
        <v>0</v>
      </c>
      <c r="L3941" s="26" t="n">
        <v>0</v>
      </c>
      <c r="M3941" s="26" t="n">
        <v>0</v>
      </c>
    </row>
    <row r="3942">
      <c r="A3942" t="inlineStr">
        <is>
          <t>21-Jul-2026</t>
        </is>
      </c>
      <c r="B3942" t="inlineStr">
        <is>
          <t>Tuesday</t>
        </is>
      </c>
      <c r="C3942" t="inlineStr">
        <is>
          <t>Week3-Jul-2026</t>
        </is>
      </c>
      <c r="D3942" s="78" t="n">
        <v>46204</v>
      </c>
      <c r="E3942" t="inlineStr">
        <is>
          <t>Q2FY27</t>
        </is>
      </c>
      <c r="F3942" t="inlineStr">
        <is>
          <t>31-Dec-2030</t>
        </is>
      </c>
      <c r="G3942" t="inlineStr">
        <is>
          <t>Tuesday</t>
        </is>
      </c>
      <c r="H3942" t="inlineStr">
        <is>
          <t>Monthly - Tuesday</t>
        </is>
      </c>
      <c r="I3942" t="inlineStr">
        <is>
          <t>Monthly - Tuesday</t>
        </is>
      </c>
      <c r="J3942" t="inlineStr">
        <is>
          <t>Month+53 Expiry</t>
        </is>
      </c>
      <c r="K3942" s="25" t="n">
        <v>0</v>
      </c>
      <c r="L3942" s="26" t="n">
        <v>0</v>
      </c>
      <c r="M3942" s="26" t="n">
        <v>0</v>
      </c>
    </row>
    <row r="3943">
      <c r="A3943" t="inlineStr">
        <is>
          <t>21-Jul-2026</t>
        </is>
      </c>
      <c r="B3943" t="inlineStr">
        <is>
          <t>Tuesday</t>
        </is>
      </c>
      <c r="C3943" t="inlineStr">
        <is>
          <t>Week3-Jul-2026</t>
        </is>
      </c>
      <c r="D3943" s="78" t="n">
        <v>46204</v>
      </c>
      <c r="E3943" t="inlineStr">
        <is>
          <t>Q2FY27</t>
        </is>
      </c>
      <c r="F3943" t="inlineStr">
        <is>
          <t>24-Jun-2031</t>
        </is>
      </c>
      <c r="G3943" t="inlineStr">
        <is>
          <t>Tuesday</t>
        </is>
      </c>
      <c r="H3943" t="inlineStr">
        <is>
          <t>Monthly - Tuesday</t>
        </is>
      </c>
      <c r="I3943" t="inlineStr">
        <is>
          <t>Monthly - Tuesday</t>
        </is>
      </c>
      <c r="J3943" t="inlineStr">
        <is>
          <t>Month+59 Expiry</t>
        </is>
      </c>
      <c r="K3943" s="25" t="n">
        <v>0</v>
      </c>
      <c r="L3943" s="26" t="n">
        <v>0</v>
      </c>
      <c r="M3943" s="26" t="n">
        <v>0</v>
      </c>
    </row>
    <row r="3944">
      <c r="A3944" t="inlineStr">
        <is>
          <t>22-Jul-2026</t>
        </is>
      </c>
      <c r="B3944" t="inlineStr">
        <is>
          <t>Wednesday</t>
        </is>
      </c>
      <c r="C3944" t="inlineStr">
        <is>
          <t>Week4-Jul-2026</t>
        </is>
      </c>
      <c r="D3944" s="78" t="n">
        <v>46204</v>
      </c>
      <c r="E3944" t="inlineStr">
        <is>
          <t>Q2FY27</t>
        </is>
      </c>
      <c r="F3944" t="inlineStr">
        <is>
          <t>28-Jul-2026</t>
        </is>
      </c>
      <c r="G3944" t="inlineStr">
        <is>
          <t>Tuesday</t>
        </is>
      </c>
      <c r="H3944" t="inlineStr">
        <is>
          <t>Monthly - Tuesday</t>
        </is>
      </c>
      <c r="I3944" t="inlineStr">
        <is>
          <t>MDAW - Tuesday</t>
        </is>
      </c>
      <c r="J3944" t="inlineStr">
        <is>
          <t>Same Month Expiry</t>
        </is>
      </c>
      <c r="K3944" s="25" t="n">
        <v>39720696</v>
      </c>
      <c r="L3944" s="26" t="n">
        <v>62344.264</v>
      </c>
      <c r="M3944" s="26" t="n">
        <v>234.6195</v>
      </c>
    </row>
    <row r="3945">
      <c r="A3945" t="inlineStr">
        <is>
          <t>22-Jul-2026</t>
        </is>
      </c>
      <c r="B3945" t="inlineStr">
        <is>
          <t>Wednesday</t>
        </is>
      </c>
      <c r="C3945" t="inlineStr">
        <is>
          <t>Week4-Jul-2026</t>
        </is>
      </c>
      <c r="D3945" s="78" t="n">
        <v>46204</v>
      </c>
      <c r="E3945" t="inlineStr">
        <is>
          <t>Q2FY27</t>
        </is>
      </c>
      <c r="F3945" t="inlineStr">
        <is>
          <t>04-Aug-2026</t>
        </is>
      </c>
      <c r="G3945" t="inlineStr">
        <is>
          <t>Tuesday</t>
        </is>
      </c>
      <c r="H3945" t="inlineStr">
        <is>
          <t>Weekly - Tuesday</t>
        </is>
      </c>
      <c r="I3945" t="inlineStr">
        <is>
          <t>Weekly - Tuesday</t>
        </is>
      </c>
      <c r="J3945" t="inlineStr">
        <is>
          <t>Month+1 Expiry</t>
        </is>
      </c>
      <c r="K3945" s="25" t="n">
        <v>1136727</v>
      </c>
      <c r="L3945" s="26" t="n">
        <v>1785.1215</v>
      </c>
      <c r="M3945" s="26" t="n">
        <v>8.3644</v>
      </c>
    </row>
    <row r="3946">
      <c r="A3946" t="inlineStr">
        <is>
          <t>22-Jul-2026</t>
        </is>
      </c>
      <c r="B3946" t="inlineStr">
        <is>
          <t>Wednesday</t>
        </is>
      </c>
      <c r="C3946" t="inlineStr">
        <is>
          <t>Week4-Jul-2026</t>
        </is>
      </c>
      <c r="D3946" s="78" t="n">
        <v>46204</v>
      </c>
      <c r="E3946" t="inlineStr">
        <is>
          <t>Q2FY27</t>
        </is>
      </c>
      <c r="F3946" t="inlineStr">
        <is>
          <t>11-Aug-2026</t>
        </is>
      </c>
      <c r="G3946" t="inlineStr">
        <is>
          <t>Tuesday</t>
        </is>
      </c>
      <c r="H3946" t="inlineStr">
        <is>
          <t>Weekly - Tuesday</t>
        </is>
      </c>
      <c r="I3946" t="inlineStr">
        <is>
          <t>Weekly - Tuesday</t>
        </is>
      </c>
      <c r="J3946" t="inlineStr">
        <is>
          <t>Month+1 Expiry</t>
        </is>
      </c>
      <c r="K3946" s="25" t="n">
        <v>93830</v>
      </c>
      <c r="L3946" s="26" t="n">
        <v>147.8684</v>
      </c>
      <c r="M3946" s="26" t="n">
        <v>1.0559</v>
      </c>
    </row>
    <row r="3947">
      <c r="A3947" t="inlineStr">
        <is>
          <t>22-Jul-2026</t>
        </is>
      </c>
      <c r="B3947" t="inlineStr">
        <is>
          <t>Wednesday</t>
        </is>
      </c>
      <c r="C3947" t="inlineStr">
        <is>
          <t>Week4-Jul-2026</t>
        </is>
      </c>
      <c r="D3947" s="78" t="n">
        <v>46204</v>
      </c>
      <c r="E3947" t="inlineStr">
        <is>
          <t>Q2FY27</t>
        </is>
      </c>
      <c r="F3947" t="inlineStr">
        <is>
          <t>18-Aug-2026</t>
        </is>
      </c>
      <c r="G3947" t="inlineStr">
        <is>
          <t>Tuesday</t>
        </is>
      </c>
      <c r="H3947" t="inlineStr">
        <is>
          <t>Weekly - Tuesday</t>
        </is>
      </c>
      <c r="I3947" t="inlineStr">
        <is>
          <t>Weekly - Tuesday</t>
        </is>
      </c>
      <c r="J3947" t="inlineStr">
        <is>
          <t>Month+1 Expiry</t>
        </is>
      </c>
      <c r="K3947" s="25" t="n">
        <v>12835</v>
      </c>
      <c r="L3947" s="26" t="n">
        <v>20.1333</v>
      </c>
      <c r="M3947" s="26" t="n">
        <v>0.1619</v>
      </c>
    </row>
    <row r="3948">
      <c r="A3948" t="inlineStr">
        <is>
          <t>22-Jul-2026</t>
        </is>
      </c>
      <c r="B3948" t="inlineStr">
        <is>
          <t>Wednesday</t>
        </is>
      </c>
      <c r="C3948" t="inlineStr">
        <is>
          <t>Week4-Jul-2026</t>
        </is>
      </c>
      <c r="D3948" s="78" t="n">
        <v>46204</v>
      </c>
      <c r="E3948" t="inlineStr">
        <is>
          <t>Q2FY27</t>
        </is>
      </c>
      <c r="F3948" t="inlineStr">
        <is>
          <t>25-Aug-2026</t>
        </is>
      </c>
      <c r="G3948" t="inlineStr">
        <is>
          <t>Tuesday</t>
        </is>
      </c>
      <c r="H3948" t="inlineStr">
        <is>
          <t>Monthly - Tuesday</t>
        </is>
      </c>
      <c r="I3948" t="inlineStr">
        <is>
          <t>Monthly - Tuesday</t>
        </is>
      </c>
      <c r="J3948" t="inlineStr">
        <is>
          <t>Month+1 Expiry</t>
        </is>
      </c>
      <c r="K3948" s="25" t="n">
        <v>600666</v>
      </c>
      <c r="L3948" s="26" t="n">
        <v>950.4892</v>
      </c>
      <c r="M3948" s="26" t="n">
        <v>8.1167</v>
      </c>
    </row>
    <row r="3949">
      <c r="A3949" t="inlineStr">
        <is>
          <t>22-Jul-2026</t>
        </is>
      </c>
      <c r="B3949" t="inlineStr">
        <is>
          <t>Wednesday</t>
        </is>
      </c>
      <c r="C3949" t="inlineStr">
        <is>
          <t>Week4-Jul-2026</t>
        </is>
      </c>
      <c r="D3949" s="78" t="n">
        <v>46204</v>
      </c>
      <c r="E3949" t="inlineStr">
        <is>
          <t>Q2FY27</t>
        </is>
      </c>
      <c r="F3949" t="inlineStr">
        <is>
          <t>01-Sep-2026</t>
        </is>
      </c>
      <c r="G3949" t="inlineStr">
        <is>
          <t>Tuesday</t>
        </is>
      </c>
      <c r="H3949" t="inlineStr">
        <is>
          <t>Weekly - Tuesday</t>
        </is>
      </c>
      <c r="I3949" t="inlineStr">
        <is>
          <t>Weekly - Tuesday</t>
        </is>
      </c>
      <c r="J3949" t="inlineStr">
        <is>
          <t>Month+2 Expiry</t>
        </is>
      </c>
      <c r="K3949" s="25" t="n">
        <v>259</v>
      </c>
      <c r="L3949" s="26" t="n">
        <v>0.4121</v>
      </c>
      <c r="M3949" s="26" t="n">
        <v>0.0068</v>
      </c>
    </row>
    <row r="3950">
      <c r="A3950" t="inlineStr">
        <is>
          <t>22-Jul-2026</t>
        </is>
      </c>
      <c r="B3950" t="inlineStr">
        <is>
          <t>Wednesday</t>
        </is>
      </c>
      <c r="C3950" t="inlineStr">
        <is>
          <t>Week4-Jul-2026</t>
        </is>
      </c>
      <c r="D3950" s="78" t="n">
        <v>46204</v>
      </c>
      <c r="E3950" t="inlineStr">
        <is>
          <t>Q2FY27</t>
        </is>
      </c>
      <c r="F3950" t="inlineStr">
        <is>
          <t>29-Sep-2026</t>
        </is>
      </c>
      <c r="G3950" t="inlineStr">
        <is>
          <t>Tuesday</t>
        </is>
      </c>
      <c r="H3950" t="inlineStr">
        <is>
          <t>Monthly - Tuesday</t>
        </is>
      </c>
      <c r="I3950" t="inlineStr">
        <is>
          <t>Monthly - Tuesday</t>
        </is>
      </c>
      <c r="J3950" t="inlineStr">
        <is>
          <t>Month+2 Expiry</t>
        </is>
      </c>
      <c r="K3950" s="25" t="n">
        <v>115924</v>
      </c>
      <c r="L3950" s="26" t="n">
        <v>181.1504</v>
      </c>
      <c r="M3950" s="26" t="n">
        <v>1.8888</v>
      </c>
    </row>
    <row r="3951">
      <c r="A3951" t="inlineStr">
        <is>
          <t>22-Jul-2026</t>
        </is>
      </c>
      <c r="B3951" t="inlineStr">
        <is>
          <t>Wednesday</t>
        </is>
      </c>
      <c r="C3951" t="inlineStr">
        <is>
          <t>Week4-Jul-2026</t>
        </is>
      </c>
      <c r="D3951" s="78" t="n">
        <v>46204</v>
      </c>
      <c r="E3951" t="inlineStr">
        <is>
          <t>Q2FY27</t>
        </is>
      </c>
      <c r="F3951" t="inlineStr">
        <is>
          <t>29-Dec-2026</t>
        </is>
      </c>
      <c r="G3951" t="inlineStr">
        <is>
          <t>Tuesday</t>
        </is>
      </c>
      <c r="H3951" t="inlineStr">
        <is>
          <t>Monthly - Tuesday</t>
        </is>
      </c>
      <c r="I3951" t="inlineStr">
        <is>
          <t>Monthly - Tuesday</t>
        </is>
      </c>
      <c r="J3951" t="inlineStr">
        <is>
          <t>Month+5 Expiry</t>
        </is>
      </c>
      <c r="K3951" s="25" t="n">
        <v>51877</v>
      </c>
      <c r="L3951" s="26" t="n">
        <v>83.2413</v>
      </c>
      <c r="M3951" s="26" t="n">
        <v>1.3278</v>
      </c>
    </row>
    <row r="3952">
      <c r="A3952" t="inlineStr">
        <is>
          <t>22-Jul-2026</t>
        </is>
      </c>
      <c r="B3952" t="inlineStr">
        <is>
          <t>Wednesday</t>
        </is>
      </c>
      <c r="C3952" t="inlineStr">
        <is>
          <t>Week4-Jul-2026</t>
        </is>
      </c>
      <c r="D3952" s="78" t="n">
        <v>46204</v>
      </c>
      <c r="E3952" t="inlineStr">
        <is>
          <t>Q2FY27</t>
        </is>
      </c>
      <c r="F3952" t="inlineStr">
        <is>
          <t>30-Mar-2027</t>
        </is>
      </c>
      <c r="G3952" t="inlineStr">
        <is>
          <t>Tuesday</t>
        </is>
      </c>
      <c r="H3952" t="inlineStr">
        <is>
          <t>Monthly - Tuesday</t>
        </is>
      </c>
      <c r="I3952" t="inlineStr">
        <is>
          <t>Monthly - Tuesday</t>
        </is>
      </c>
      <c r="J3952" t="inlineStr">
        <is>
          <t>Month+8 Expiry</t>
        </is>
      </c>
      <c r="K3952" s="25" t="n">
        <v>5062</v>
      </c>
      <c r="L3952" s="26" t="n">
        <v>8.398300000000001</v>
      </c>
      <c r="M3952" s="26" t="n">
        <v>0.1528</v>
      </c>
    </row>
    <row r="3953">
      <c r="A3953" t="inlineStr">
        <is>
          <t>22-Jul-2026</t>
        </is>
      </c>
      <c r="B3953" t="inlineStr">
        <is>
          <t>Wednesday</t>
        </is>
      </c>
      <c r="C3953" t="inlineStr">
        <is>
          <t>Week4-Jul-2026</t>
        </is>
      </c>
      <c r="D3953" s="78" t="n">
        <v>46204</v>
      </c>
      <c r="E3953" t="inlineStr">
        <is>
          <t>Q2FY27</t>
        </is>
      </c>
      <c r="F3953" t="inlineStr">
        <is>
          <t>29-Jun-2027</t>
        </is>
      </c>
      <c r="G3953" t="inlineStr">
        <is>
          <t>Tuesday</t>
        </is>
      </c>
      <c r="H3953" t="inlineStr">
        <is>
          <t>Monthly - Tuesday</t>
        </is>
      </c>
      <c r="I3953" t="inlineStr">
        <is>
          <t>Monthly - Tuesday</t>
        </is>
      </c>
      <c r="J3953" t="inlineStr">
        <is>
          <t>Month+11 Expiry</t>
        </is>
      </c>
      <c r="K3953" s="25" t="n">
        <v>1</v>
      </c>
      <c r="L3953" s="26" t="n">
        <v>0.0011</v>
      </c>
      <c r="M3953" s="26" t="n">
        <v>0</v>
      </c>
    </row>
    <row r="3954">
      <c r="A3954" t="inlineStr">
        <is>
          <t>22-Jul-2026</t>
        </is>
      </c>
      <c r="B3954" t="inlineStr">
        <is>
          <t>Wednesday</t>
        </is>
      </c>
      <c r="C3954" t="inlineStr">
        <is>
          <t>Week4-Jul-2026</t>
        </is>
      </c>
      <c r="D3954" s="78" t="n">
        <v>46204</v>
      </c>
      <c r="E3954" t="inlineStr">
        <is>
          <t>Q2FY27</t>
        </is>
      </c>
      <c r="F3954" t="inlineStr">
        <is>
          <t>28-Dec-2027</t>
        </is>
      </c>
      <c r="G3954" t="inlineStr">
        <is>
          <t>Tuesday</t>
        </is>
      </c>
      <c r="H3954" t="inlineStr">
        <is>
          <t>Monthly - Tuesday</t>
        </is>
      </c>
      <c r="I3954" t="inlineStr">
        <is>
          <t>Monthly - Tuesday</t>
        </is>
      </c>
      <c r="J3954" t="inlineStr">
        <is>
          <t>Month+17 Expiry</t>
        </is>
      </c>
      <c r="K3954" s="25" t="n">
        <v>532</v>
      </c>
      <c r="L3954" s="26" t="n">
        <v>0.9068000000000001</v>
      </c>
      <c r="M3954" s="26" t="n">
        <v>0.0369</v>
      </c>
    </row>
    <row r="3955">
      <c r="A3955" t="inlineStr">
        <is>
          <t>22-Jul-2026</t>
        </is>
      </c>
      <c r="B3955" t="inlineStr">
        <is>
          <t>Wednesday</t>
        </is>
      </c>
      <c r="C3955" t="inlineStr">
        <is>
          <t>Week4-Jul-2026</t>
        </is>
      </c>
      <c r="D3955" s="78" t="n">
        <v>46204</v>
      </c>
      <c r="E3955" t="inlineStr">
        <is>
          <t>Q2FY27</t>
        </is>
      </c>
      <c r="F3955" t="inlineStr">
        <is>
          <t>27-Jun-2028</t>
        </is>
      </c>
      <c r="G3955" t="inlineStr">
        <is>
          <t>Tuesday</t>
        </is>
      </c>
      <c r="H3955" t="inlineStr">
        <is>
          <t>Monthly - Tuesday</t>
        </is>
      </c>
      <c r="I3955" t="inlineStr">
        <is>
          <t>Monthly - Tuesday</t>
        </is>
      </c>
      <c r="J3955" t="inlineStr">
        <is>
          <t>Month+23 Expiry</t>
        </is>
      </c>
      <c r="K3955" s="25" t="n">
        <v>0</v>
      </c>
      <c r="L3955" s="26" t="n">
        <v>0</v>
      </c>
      <c r="M3955" s="26" t="n">
        <v>0</v>
      </c>
    </row>
    <row r="3956">
      <c r="A3956" t="inlineStr">
        <is>
          <t>22-Jul-2026</t>
        </is>
      </c>
      <c r="B3956" t="inlineStr">
        <is>
          <t>Wednesday</t>
        </is>
      </c>
      <c r="C3956" t="inlineStr">
        <is>
          <t>Week4-Jul-2026</t>
        </is>
      </c>
      <c r="D3956" s="78" t="n">
        <v>46204</v>
      </c>
      <c r="E3956" t="inlineStr">
        <is>
          <t>Q2FY27</t>
        </is>
      </c>
      <c r="F3956" t="inlineStr">
        <is>
          <t>26-Dec-2028</t>
        </is>
      </c>
      <c r="G3956" t="inlineStr">
        <is>
          <t>Tuesday</t>
        </is>
      </c>
      <c r="H3956" t="inlineStr">
        <is>
          <t>Monthly - Tuesday</t>
        </is>
      </c>
      <c r="I3956" t="inlineStr">
        <is>
          <t>Monthly - Tuesday</t>
        </is>
      </c>
      <c r="J3956" t="inlineStr">
        <is>
          <t>Month+29 Expiry</t>
        </is>
      </c>
      <c r="K3956" s="25" t="n">
        <v>18</v>
      </c>
      <c r="L3956" s="26" t="n">
        <v>0.0301</v>
      </c>
      <c r="M3956" s="26" t="n">
        <v>0.0012</v>
      </c>
    </row>
    <row r="3957">
      <c r="A3957" t="inlineStr">
        <is>
          <t>22-Jul-2026</t>
        </is>
      </c>
      <c r="B3957" t="inlineStr">
        <is>
          <t>Wednesday</t>
        </is>
      </c>
      <c r="C3957" t="inlineStr">
        <is>
          <t>Week4-Jul-2026</t>
        </is>
      </c>
      <c r="D3957" s="78" t="n">
        <v>46204</v>
      </c>
      <c r="E3957" t="inlineStr">
        <is>
          <t>Q2FY27</t>
        </is>
      </c>
      <c r="F3957" t="inlineStr">
        <is>
          <t>26-Jun-2029</t>
        </is>
      </c>
      <c r="G3957" t="inlineStr">
        <is>
          <t>Tuesday</t>
        </is>
      </c>
      <c r="H3957" t="inlineStr">
        <is>
          <t>Monthly - Tuesday</t>
        </is>
      </c>
      <c r="I3957" t="inlineStr">
        <is>
          <t>Monthly - Tuesday</t>
        </is>
      </c>
      <c r="J3957" t="inlineStr">
        <is>
          <t>Month+35 Expiry</t>
        </is>
      </c>
      <c r="K3957" s="25" t="n">
        <v>0</v>
      </c>
      <c r="L3957" s="26" t="n">
        <v>0</v>
      </c>
      <c r="M3957" s="26" t="n">
        <v>0</v>
      </c>
    </row>
    <row r="3958">
      <c r="A3958" t="inlineStr">
        <is>
          <t>22-Jul-2026</t>
        </is>
      </c>
      <c r="B3958" t="inlineStr">
        <is>
          <t>Wednesday</t>
        </is>
      </c>
      <c r="C3958" t="inlineStr">
        <is>
          <t>Week4-Jul-2026</t>
        </is>
      </c>
      <c r="D3958" s="78" t="n">
        <v>46204</v>
      </c>
      <c r="E3958" t="inlineStr">
        <is>
          <t>Q2FY27</t>
        </is>
      </c>
      <c r="F3958" t="inlineStr">
        <is>
          <t>24-Dec-2029</t>
        </is>
      </c>
      <c r="G3958" t="inlineStr">
        <is>
          <t>Monday</t>
        </is>
      </c>
      <c r="H3958" t="inlineStr">
        <is>
          <t>Weekly - Monday</t>
        </is>
      </c>
      <c r="I3958" t="inlineStr">
        <is>
          <t>Weekly - Monday</t>
        </is>
      </c>
      <c r="J3958" t="inlineStr">
        <is>
          <t>Month+41 Expiry</t>
        </is>
      </c>
      <c r="K3958" s="25" t="n">
        <v>0</v>
      </c>
      <c r="L3958" s="26" t="n">
        <v>0</v>
      </c>
      <c r="M3958" s="26" t="n">
        <v>0</v>
      </c>
    </row>
    <row r="3959">
      <c r="A3959" t="inlineStr">
        <is>
          <t>22-Jul-2026</t>
        </is>
      </c>
      <c r="B3959" t="inlineStr">
        <is>
          <t>Wednesday</t>
        </is>
      </c>
      <c r="C3959" t="inlineStr">
        <is>
          <t>Week4-Jul-2026</t>
        </is>
      </c>
      <c r="D3959" s="78" t="n">
        <v>46204</v>
      </c>
      <c r="E3959" t="inlineStr">
        <is>
          <t>Q2FY27</t>
        </is>
      </c>
      <c r="F3959" t="inlineStr">
        <is>
          <t>25-Jun-2030</t>
        </is>
      </c>
      <c r="G3959" t="inlineStr">
        <is>
          <t>Tuesday</t>
        </is>
      </c>
      <c r="H3959" t="inlineStr">
        <is>
          <t>Monthly - Tuesday</t>
        </is>
      </c>
      <c r="I3959" t="inlineStr">
        <is>
          <t>Monthly - Tuesday</t>
        </is>
      </c>
      <c r="J3959" t="inlineStr">
        <is>
          <t>Month+47 Expiry</t>
        </is>
      </c>
      <c r="K3959" s="25" t="n">
        <v>0</v>
      </c>
      <c r="L3959" s="26" t="n">
        <v>0</v>
      </c>
      <c r="M3959" s="26" t="n">
        <v>0</v>
      </c>
    </row>
    <row r="3960">
      <c r="A3960" t="inlineStr">
        <is>
          <t>22-Jul-2026</t>
        </is>
      </c>
      <c r="B3960" t="inlineStr">
        <is>
          <t>Wednesday</t>
        </is>
      </c>
      <c r="C3960" t="inlineStr">
        <is>
          <t>Week4-Jul-2026</t>
        </is>
      </c>
      <c r="D3960" s="78" t="n">
        <v>46204</v>
      </c>
      <c r="E3960" t="inlineStr">
        <is>
          <t>Q2FY27</t>
        </is>
      </c>
      <c r="F3960" t="inlineStr">
        <is>
          <t>31-Dec-2030</t>
        </is>
      </c>
      <c r="G3960" t="inlineStr">
        <is>
          <t>Tuesday</t>
        </is>
      </c>
      <c r="H3960" t="inlineStr">
        <is>
          <t>Monthly - Tuesday</t>
        </is>
      </c>
      <c r="I3960" t="inlineStr">
        <is>
          <t>Monthly - Tuesday</t>
        </is>
      </c>
      <c r="J3960" t="inlineStr">
        <is>
          <t>Month+53 Expiry</t>
        </is>
      </c>
      <c r="K3960" s="25" t="n">
        <v>0</v>
      </c>
      <c r="L3960" s="26" t="n">
        <v>0</v>
      </c>
      <c r="M3960" s="26" t="n">
        <v>0</v>
      </c>
    </row>
    <row r="3961">
      <c r="A3961" t="inlineStr">
        <is>
          <t>22-Jul-2026</t>
        </is>
      </c>
      <c r="B3961" t="inlineStr">
        <is>
          <t>Wednesday</t>
        </is>
      </c>
      <c r="C3961" t="inlineStr">
        <is>
          <t>Week4-Jul-2026</t>
        </is>
      </c>
      <c r="D3961" s="78" t="n">
        <v>46204</v>
      </c>
      <c r="E3961" t="inlineStr">
        <is>
          <t>Q2FY27</t>
        </is>
      </c>
      <c r="F3961" t="inlineStr">
        <is>
          <t>24-Jun-2031</t>
        </is>
      </c>
      <c r="G3961" t="inlineStr">
        <is>
          <t>Tuesday</t>
        </is>
      </c>
      <c r="H3961" t="inlineStr">
        <is>
          <t>Monthly - Tuesday</t>
        </is>
      </c>
      <c r="I3961" t="inlineStr">
        <is>
          <t>Monthly - Tuesday</t>
        </is>
      </c>
      <c r="J3961" t="inlineStr">
        <is>
          <t>Month+59 Expiry</t>
        </is>
      </c>
      <c r="K3961" s="25" t="n">
        <v>0</v>
      </c>
      <c r="L3961" s="26" t="n">
        <v>0</v>
      </c>
      <c r="M3961" s="26" t="n">
        <v>0</v>
      </c>
    </row>
    <row r="3962">
      <c r="A3962" t="inlineStr">
        <is>
          <t>23-Jul-2026</t>
        </is>
      </c>
      <c r="B3962" t="inlineStr">
        <is>
          <t>Thursday</t>
        </is>
      </c>
      <c r="C3962" t="inlineStr">
        <is>
          <t>Week4-Jul-2026</t>
        </is>
      </c>
      <c r="D3962" s="78" t="n">
        <v>46204</v>
      </c>
      <c r="E3962" t="inlineStr">
        <is>
          <t>Q2FY27</t>
        </is>
      </c>
      <c r="F3962" t="inlineStr">
        <is>
          <t>28-Jul-2026</t>
        </is>
      </c>
      <c r="G3962" t="inlineStr">
        <is>
          <t>Tuesday</t>
        </is>
      </c>
      <c r="H3962" t="inlineStr">
        <is>
          <t>Monthly - Tuesday</t>
        </is>
      </c>
      <c r="I3962" t="inlineStr">
        <is>
          <t>MDAW - Tuesday</t>
        </is>
      </c>
      <c r="J3962" t="inlineStr">
        <is>
          <t>Same Month Expiry</t>
        </is>
      </c>
      <c r="K3962" s="25" t="n">
        <v>43595182</v>
      </c>
      <c r="L3962" s="26" t="n">
        <v>68174.2075</v>
      </c>
      <c r="M3962" s="26" t="n">
        <v>220.3827</v>
      </c>
    </row>
    <row r="3963">
      <c r="A3963" t="inlineStr">
        <is>
          <t>23-Jul-2026</t>
        </is>
      </c>
      <c r="B3963" t="inlineStr">
        <is>
          <t>Thursday</t>
        </is>
      </c>
      <c r="C3963" t="inlineStr">
        <is>
          <t>Week4-Jul-2026</t>
        </is>
      </c>
      <c r="D3963" s="78" t="n">
        <v>46204</v>
      </c>
      <c r="E3963" t="inlineStr">
        <is>
          <t>Q2FY27</t>
        </is>
      </c>
      <c r="F3963" t="inlineStr">
        <is>
          <t>04-Aug-2026</t>
        </is>
      </c>
      <c r="G3963" t="inlineStr">
        <is>
          <t>Tuesday</t>
        </is>
      </c>
      <c r="H3963" t="inlineStr">
        <is>
          <t>Weekly - Tuesday</t>
        </is>
      </c>
      <c r="I3963" t="inlineStr">
        <is>
          <t>Weekly - Tuesday</t>
        </is>
      </c>
      <c r="J3963" t="inlineStr">
        <is>
          <t>Month+1 Expiry</t>
        </is>
      </c>
      <c r="K3963" s="25" t="n">
        <v>1534973</v>
      </c>
      <c r="L3963" s="26" t="n">
        <v>2406.7387</v>
      </c>
      <c r="M3963" s="26" t="n">
        <v>10.9045</v>
      </c>
    </row>
    <row r="3964">
      <c r="A3964" t="inlineStr">
        <is>
          <t>23-Jul-2026</t>
        </is>
      </c>
      <c r="B3964" t="inlineStr">
        <is>
          <t>Thursday</t>
        </is>
      </c>
      <c r="C3964" t="inlineStr">
        <is>
          <t>Week4-Jul-2026</t>
        </is>
      </c>
      <c r="D3964" s="78" t="n">
        <v>46204</v>
      </c>
      <c r="E3964" t="inlineStr">
        <is>
          <t>Q2FY27</t>
        </is>
      </c>
      <c r="F3964" t="inlineStr">
        <is>
          <t>11-Aug-2026</t>
        </is>
      </c>
      <c r="G3964" t="inlineStr">
        <is>
          <t>Tuesday</t>
        </is>
      </c>
      <c r="H3964" t="inlineStr">
        <is>
          <t>Weekly - Tuesday</t>
        </is>
      </c>
      <c r="I3964" t="inlineStr">
        <is>
          <t>Weekly - Tuesday</t>
        </is>
      </c>
      <c r="J3964" t="inlineStr">
        <is>
          <t>Month+1 Expiry</t>
        </is>
      </c>
      <c r="K3964" s="25" t="n">
        <v>137243</v>
      </c>
      <c r="L3964" s="26" t="n">
        <v>216.3587</v>
      </c>
      <c r="M3964" s="26" t="n">
        <v>1.2822</v>
      </c>
    </row>
    <row r="3965">
      <c r="A3965" t="inlineStr">
        <is>
          <t>23-Jul-2026</t>
        </is>
      </c>
      <c r="B3965" t="inlineStr">
        <is>
          <t>Thursday</t>
        </is>
      </c>
      <c r="C3965" t="inlineStr">
        <is>
          <t>Week4-Jul-2026</t>
        </is>
      </c>
      <c r="D3965" s="78" t="n">
        <v>46204</v>
      </c>
      <c r="E3965" t="inlineStr">
        <is>
          <t>Q2FY27</t>
        </is>
      </c>
      <c r="F3965" t="inlineStr">
        <is>
          <t>18-Aug-2026</t>
        </is>
      </c>
      <c r="G3965" t="inlineStr">
        <is>
          <t>Tuesday</t>
        </is>
      </c>
      <c r="H3965" t="inlineStr">
        <is>
          <t>Weekly - Tuesday</t>
        </is>
      </c>
      <c r="I3965" t="inlineStr">
        <is>
          <t>Weekly - Tuesday</t>
        </is>
      </c>
      <c r="J3965" t="inlineStr">
        <is>
          <t>Month+1 Expiry</t>
        </is>
      </c>
      <c r="K3965" s="25" t="n">
        <v>13483</v>
      </c>
      <c r="L3965" s="26" t="n">
        <v>21.1856</v>
      </c>
      <c r="M3965" s="26" t="n">
        <v>0.1655</v>
      </c>
    </row>
    <row r="3966">
      <c r="A3966" t="inlineStr">
        <is>
          <t>23-Jul-2026</t>
        </is>
      </c>
      <c r="B3966" t="inlineStr">
        <is>
          <t>Thursday</t>
        </is>
      </c>
      <c r="C3966" t="inlineStr">
        <is>
          <t>Week4-Jul-2026</t>
        </is>
      </c>
      <c r="D3966" s="78" t="n">
        <v>46204</v>
      </c>
      <c r="E3966" t="inlineStr">
        <is>
          <t>Q2FY27</t>
        </is>
      </c>
      <c r="F3966" t="inlineStr">
        <is>
          <t>25-Aug-2026</t>
        </is>
      </c>
      <c r="G3966" t="inlineStr">
        <is>
          <t>Tuesday</t>
        </is>
      </c>
      <c r="H3966" t="inlineStr">
        <is>
          <t>Monthly - Tuesday</t>
        </is>
      </c>
      <c r="I3966" t="inlineStr">
        <is>
          <t>Monthly - Tuesday</t>
        </is>
      </c>
      <c r="J3966" t="inlineStr">
        <is>
          <t>Month+1 Expiry</t>
        </is>
      </c>
      <c r="K3966" s="25" t="n">
        <v>930114</v>
      </c>
      <c r="L3966" s="26" t="n">
        <v>1475.4781</v>
      </c>
      <c r="M3966" s="26" t="n">
        <v>16.5243</v>
      </c>
    </row>
    <row r="3967">
      <c r="A3967" t="inlineStr">
        <is>
          <t>23-Jul-2026</t>
        </is>
      </c>
      <c r="B3967" t="inlineStr">
        <is>
          <t>Thursday</t>
        </is>
      </c>
      <c r="C3967" t="inlineStr">
        <is>
          <t>Week4-Jul-2026</t>
        </is>
      </c>
      <c r="D3967" s="78" t="n">
        <v>46204</v>
      </c>
      <c r="E3967" t="inlineStr">
        <is>
          <t>Q2FY27</t>
        </is>
      </c>
      <c r="F3967" t="inlineStr">
        <is>
          <t>01-Sep-2026</t>
        </is>
      </c>
      <c r="G3967" t="inlineStr">
        <is>
          <t>Tuesday</t>
        </is>
      </c>
      <c r="H3967" t="inlineStr">
        <is>
          <t>Weekly - Tuesday</t>
        </is>
      </c>
      <c r="I3967" t="inlineStr">
        <is>
          <t>Weekly - Tuesday</t>
        </is>
      </c>
      <c r="J3967" t="inlineStr">
        <is>
          <t>Month+2 Expiry</t>
        </is>
      </c>
      <c r="K3967" s="25" t="n">
        <v>215</v>
      </c>
      <c r="L3967" s="26" t="n">
        <v>0.3375</v>
      </c>
      <c r="M3967" s="26" t="n">
        <v>0.0052</v>
      </c>
    </row>
    <row r="3968">
      <c r="A3968" t="inlineStr">
        <is>
          <t>23-Jul-2026</t>
        </is>
      </c>
      <c r="B3968" t="inlineStr">
        <is>
          <t>Thursday</t>
        </is>
      </c>
      <c r="C3968" t="inlineStr">
        <is>
          <t>Week4-Jul-2026</t>
        </is>
      </c>
      <c r="D3968" s="78" t="n">
        <v>46204</v>
      </c>
      <c r="E3968" t="inlineStr">
        <is>
          <t>Q2FY27</t>
        </is>
      </c>
      <c r="F3968" t="inlineStr">
        <is>
          <t>29-Sep-2026</t>
        </is>
      </c>
      <c r="G3968" t="inlineStr">
        <is>
          <t>Tuesday</t>
        </is>
      </c>
      <c r="H3968" t="inlineStr">
        <is>
          <t>Monthly - Tuesday</t>
        </is>
      </c>
      <c r="I3968" t="inlineStr">
        <is>
          <t>Monthly - Tuesday</t>
        </is>
      </c>
      <c r="J3968" t="inlineStr">
        <is>
          <t>Month+2 Expiry</t>
        </is>
      </c>
      <c r="K3968" s="25" t="n">
        <v>129302</v>
      </c>
      <c r="L3968" s="26" t="n">
        <v>205.5396</v>
      </c>
      <c r="M3968" s="26" t="n">
        <v>2.257</v>
      </c>
    </row>
    <row r="3969">
      <c r="A3969" t="inlineStr">
        <is>
          <t>23-Jul-2026</t>
        </is>
      </c>
      <c r="B3969" t="inlineStr">
        <is>
          <t>Thursday</t>
        </is>
      </c>
      <c r="C3969" t="inlineStr">
        <is>
          <t>Week4-Jul-2026</t>
        </is>
      </c>
      <c r="D3969" s="78" t="n">
        <v>46204</v>
      </c>
      <c r="E3969" t="inlineStr">
        <is>
          <t>Q2FY27</t>
        </is>
      </c>
      <c r="F3969" t="inlineStr">
        <is>
          <t>29-Dec-2026</t>
        </is>
      </c>
      <c r="G3969" t="inlineStr">
        <is>
          <t>Tuesday</t>
        </is>
      </c>
      <c r="H3969" t="inlineStr">
        <is>
          <t>Monthly - Tuesday</t>
        </is>
      </c>
      <c r="I3969" t="inlineStr">
        <is>
          <t>Monthly - Tuesday</t>
        </is>
      </c>
      <c r="J3969" t="inlineStr">
        <is>
          <t>Month+5 Expiry</t>
        </is>
      </c>
      <c r="K3969" s="25" t="n">
        <v>51601</v>
      </c>
      <c r="L3969" s="26" t="n">
        <v>82.9615</v>
      </c>
      <c r="M3969" s="26" t="n">
        <v>1.3524</v>
      </c>
    </row>
    <row r="3970">
      <c r="A3970" t="inlineStr">
        <is>
          <t>23-Jul-2026</t>
        </is>
      </c>
      <c r="B3970" t="inlineStr">
        <is>
          <t>Thursday</t>
        </is>
      </c>
      <c r="C3970" t="inlineStr">
        <is>
          <t>Week4-Jul-2026</t>
        </is>
      </c>
      <c r="D3970" s="78" t="n">
        <v>46204</v>
      </c>
      <c r="E3970" t="inlineStr">
        <is>
          <t>Q2FY27</t>
        </is>
      </c>
      <c r="F3970" t="inlineStr">
        <is>
          <t>30-Mar-2027</t>
        </is>
      </c>
      <c r="G3970" t="inlineStr">
        <is>
          <t>Tuesday</t>
        </is>
      </c>
      <c r="H3970" t="inlineStr">
        <is>
          <t>Monthly - Tuesday</t>
        </is>
      </c>
      <c r="I3970" t="inlineStr">
        <is>
          <t>Monthly - Tuesday</t>
        </is>
      </c>
      <c r="J3970" t="inlineStr">
        <is>
          <t>Month+8 Expiry</t>
        </is>
      </c>
      <c r="K3970" s="25" t="n">
        <v>3851</v>
      </c>
      <c r="L3970" s="26" t="n">
        <v>6.4788</v>
      </c>
      <c r="M3970" s="26" t="n">
        <v>0.1094</v>
      </c>
    </row>
    <row r="3971">
      <c r="A3971" t="inlineStr">
        <is>
          <t>23-Jul-2026</t>
        </is>
      </c>
      <c r="B3971" t="inlineStr">
        <is>
          <t>Thursday</t>
        </is>
      </c>
      <c r="C3971" t="inlineStr">
        <is>
          <t>Week4-Jul-2026</t>
        </is>
      </c>
      <c r="D3971" s="78" t="n">
        <v>46204</v>
      </c>
      <c r="E3971" t="inlineStr">
        <is>
          <t>Q2FY27</t>
        </is>
      </c>
      <c r="F3971" t="inlineStr">
        <is>
          <t>29-Jun-2027</t>
        </is>
      </c>
      <c r="G3971" t="inlineStr">
        <is>
          <t>Tuesday</t>
        </is>
      </c>
      <c r="H3971" t="inlineStr">
        <is>
          <t>Monthly - Tuesday</t>
        </is>
      </c>
      <c r="I3971" t="inlineStr">
        <is>
          <t>Monthly - Tuesday</t>
        </is>
      </c>
      <c r="J3971" t="inlineStr">
        <is>
          <t>Month+11 Expiry</t>
        </is>
      </c>
      <c r="K3971" s="25" t="n">
        <v>1</v>
      </c>
      <c r="L3971" s="26" t="n">
        <v>0.0014</v>
      </c>
      <c r="M3971" s="26" t="n">
        <v>0</v>
      </c>
    </row>
    <row r="3972">
      <c r="A3972" t="inlineStr">
        <is>
          <t>23-Jul-2026</t>
        </is>
      </c>
      <c r="B3972" t="inlineStr">
        <is>
          <t>Thursday</t>
        </is>
      </c>
      <c r="C3972" t="inlineStr">
        <is>
          <t>Week4-Jul-2026</t>
        </is>
      </c>
      <c r="D3972" s="78" t="n">
        <v>46204</v>
      </c>
      <c r="E3972" t="inlineStr">
        <is>
          <t>Q2FY27</t>
        </is>
      </c>
      <c r="F3972" t="inlineStr">
        <is>
          <t>28-Dec-2027</t>
        </is>
      </c>
      <c r="G3972" t="inlineStr">
        <is>
          <t>Tuesday</t>
        </is>
      </c>
      <c r="H3972" t="inlineStr">
        <is>
          <t>Monthly - Tuesday</t>
        </is>
      </c>
      <c r="I3972" t="inlineStr">
        <is>
          <t>Monthly - Tuesday</t>
        </is>
      </c>
      <c r="J3972" t="inlineStr">
        <is>
          <t>Month+17 Expiry</t>
        </is>
      </c>
      <c r="K3972" s="25" t="n">
        <v>702</v>
      </c>
      <c r="L3972" s="26" t="n">
        <v>1.2343</v>
      </c>
      <c r="M3972" s="26" t="n">
        <v>0.0508</v>
      </c>
    </row>
    <row r="3973">
      <c r="A3973" t="inlineStr">
        <is>
          <t>23-Jul-2026</t>
        </is>
      </c>
      <c r="B3973" t="inlineStr">
        <is>
          <t>Thursday</t>
        </is>
      </c>
      <c r="C3973" t="inlineStr">
        <is>
          <t>Week4-Jul-2026</t>
        </is>
      </c>
      <c r="D3973" s="78" t="n">
        <v>46204</v>
      </c>
      <c r="E3973" t="inlineStr">
        <is>
          <t>Q2FY27</t>
        </is>
      </c>
      <c r="F3973" t="inlineStr">
        <is>
          <t>27-Jun-2028</t>
        </is>
      </c>
      <c r="G3973" t="inlineStr">
        <is>
          <t>Tuesday</t>
        </is>
      </c>
      <c r="H3973" t="inlineStr">
        <is>
          <t>Monthly - Tuesday</t>
        </is>
      </c>
      <c r="I3973" t="inlineStr">
        <is>
          <t>Monthly - Tuesday</t>
        </is>
      </c>
      <c r="J3973" t="inlineStr">
        <is>
          <t>Month+23 Expiry</t>
        </is>
      </c>
      <c r="K3973" s="25" t="n">
        <v>4</v>
      </c>
      <c r="L3973" s="26" t="n">
        <v>0.0059</v>
      </c>
      <c r="M3973" s="26" t="n">
        <v>0.0002</v>
      </c>
    </row>
    <row r="3974">
      <c r="A3974" t="inlineStr">
        <is>
          <t>23-Jul-2026</t>
        </is>
      </c>
      <c r="B3974" t="inlineStr">
        <is>
          <t>Thursday</t>
        </is>
      </c>
      <c r="C3974" t="inlineStr">
        <is>
          <t>Week4-Jul-2026</t>
        </is>
      </c>
      <c r="D3974" s="78" t="n">
        <v>46204</v>
      </c>
      <c r="E3974" t="inlineStr">
        <is>
          <t>Q2FY27</t>
        </is>
      </c>
      <c r="F3974" t="inlineStr">
        <is>
          <t>26-Dec-2028</t>
        </is>
      </c>
      <c r="G3974" t="inlineStr">
        <is>
          <t>Tuesday</t>
        </is>
      </c>
      <c r="H3974" t="inlineStr">
        <is>
          <t>Monthly - Tuesday</t>
        </is>
      </c>
      <c r="I3974" t="inlineStr">
        <is>
          <t>Monthly - Tuesday</t>
        </is>
      </c>
      <c r="J3974" t="inlineStr">
        <is>
          <t>Month+29 Expiry</t>
        </is>
      </c>
      <c r="K3974" s="25" t="n">
        <v>21</v>
      </c>
      <c r="L3974" s="26" t="n">
        <v>0.0337</v>
      </c>
      <c r="M3974" s="26" t="n">
        <v>0.0018</v>
      </c>
    </row>
    <row r="3975">
      <c r="A3975" t="inlineStr">
        <is>
          <t>23-Jul-2026</t>
        </is>
      </c>
      <c r="B3975" t="inlineStr">
        <is>
          <t>Thursday</t>
        </is>
      </c>
      <c r="C3975" t="inlineStr">
        <is>
          <t>Week4-Jul-2026</t>
        </is>
      </c>
      <c r="D3975" s="78" t="n">
        <v>46204</v>
      </c>
      <c r="E3975" t="inlineStr">
        <is>
          <t>Q2FY27</t>
        </is>
      </c>
      <c r="F3975" t="inlineStr">
        <is>
          <t>26-Jun-2029</t>
        </is>
      </c>
      <c r="G3975" t="inlineStr">
        <is>
          <t>Tuesday</t>
        </is>
      </c>
      <c r="H3975" t="inlineStr">
        <is>
          <t>Monthly - Tuesday</t>
        </is>
      </c>
      <c r="I3975" t="inlineStr">
        <is>
          <t>Monthly - Tuesday</t>
        </is>
      </c>
      <c r="J3975" t="inlineStr">
        <is>
          <t>Month+35 Expiry</t>
        </is>
      </c>
      <c r="K3975" s="25" t="n">
        <v>0</v>
      </c>
      <c r="L3975" s="26" t="n">
        <v>0</v>
      </c>
      <c r="M3975" s="26" t="n">
        <v>0</v>
      </c>
    </row>
    <row r="3976">
      <c r="A3976" t="inlineStr">
        <is>
          <t>23-Jul-2026</t>
        </is>
      </c>
      <c r="B3976" t="inlineStr">
        <is>
          <t>Thursday</t>
        </is>
      </c>
      <c r="C3976" t="inlineStr">
        <is>
          <t>Week4-Jul-2026</t>
        </is>
      </c>
      <c r="D3976" s="78" t="n">
        <v>46204</v>
      </c>
      <c r="E3976" t="inlineStr">
        <is>
          <t>Q2FY27</t>
        </is>
      </c>
      <c r="F3976" t="inlineStr">
        <is>
          <t>24-Dec-2029</t>
        </is>
      </c>
      <c r="G3976" t="inlineStr">
        <is>
          <t>Monday</t>
        </is>
      </c>
      <c r="H3976" t="inlineStr">
        <is>
          <t>Weekly - Monday</t>
        </is>
      </c>
      <c r="I3976" t="inlineStr">
        <is>
          <t>Weekly - Monday</t>
        </is>
      </c>
      <c r="J3976" t="inlineStr">
        <is>
          <t>Month+41 Expiry</t>
        </is>
      </c>
      <c r="K3976" s="25" t="n">
        <v>0</v>
      </c>
      <c r="L3976" s="26" t="n">
        <v>0</v>
      </c>
      <c r="M3976" s="26" t="n">
        <v>0</v>
      </c>
    </row>
    <row r="3977">
      <c r="A3977" t="inlineStr">
        <is>
          <t>23-Jul-2026</t>
        </is>
      </c>
      <c r="B3977" t="inlineStr">
        <is>
          <t>Thursday</t>
        </is>
      </c>
      <c r="C3977" t="inlineStr">
        <is>
          <t>Week4-Jul-2026</t>
        </is>
      </c>
      <c r="D3977" s="78" t="n">
        <v>46204</v>
      </c>
      <c r="E3977" t="inlineStr">
        <is>
          <t>Q2FY27</t>
        </is>
      </c>
      <c r="F3977" t="inlineStr">
        <is>
          <t>25-Jun-2030</t>
        </is>
      </c>
      <c r="G3977" t="inlineStr">
        <is>
          <t>Tuesday</t>
        </is>
      </c>
      <c r="H3977" t="inlineStr">
        <is>
          <t>Monthly - Tuesday</t>
        </is>
      </c>
      <c r="I3977" t="inlineStr">
        <is>
          <t>Monthly - Tuesday</t>
        </is>
      </c>
      <c r="J3977" t="inlineStr">
        <is>
          <t>Month+47 Expiry</t>
        </is>
      </c>
      <c r="K3977" s="25" t="n">
        <v>0</v>
      </c>
      <c r="L3977" s="26" t="n">
        <v>0</v>
      </c>
      <c r="M3977" s="26" t="n">
        <v>0</v>
      </c>
    </row>
    <row r="3978">
      <c r="A3978" t="inlineStr">
        <is>
          <t>23-Jul-2026</t>
        </is>
      </c>
      <c r="B3978" t="inlineStr">
        <is>
          <t>Thursday</t>
        </is>
      </c>
      <c r="C3978" t="inlineStr">
        <is>
          <t>Week4-Jul-2026</t>
        </is>
      </c>
      <c r="D3978" s="78" t="n">
        <v>46204</v>
      </c>
      <c r="E3978" t="inlineStr">
        <is>
          <t>Q2FY27</t>
        </is>
      </c>
      <c r="F3978" t="inlineStr">
        <is>
          <t>31-Dec-2030</t>
        </is>
      </c>
      <c r="G3978" t="inlineStr">
        <is>
          <t>Tuesday</t>
        </is>
      </c>
      <c r="H3978" t="inlineStr">
        <is>
          <t>Monthly - Tuesday</t>
        </is>
      </c>
      <c r="I3978" t="inlineStr">
        <is>
          <t>Monthly - Tuesday</t>
        </is>
      </c>
      <c r="J3978" t="inlineStr">
        <is>
          <t>Month+53 Expiry</t>
        </is>
      </c>
      <c r="K3978" s="25" t="n">
        <v>0</v>
      </c>
      <c r="L3978" s="26" t="n">
        <v>0</v>
      </c>
      <c r="M3978" s="26" t="n">
        <v>0</v>
      </c>
    </row>
    <row r="3979">
      <c r="A3979" t="inlineStr">
        <is>
          <t>23-Jul-2026</t>
        </is>
      </c>
      <c r="B3979" t="inlineStr">
        <is>
          <t>Thursday</t>
        </is>
      </c>
      <c r="C3979" t="inlineStr">
        <is>
          <t>Week4-Jul-2026</t>
        </is>
      </c>
      <c r="D3979" s="78" t="n">
        <v>46204</v>
      </c>
      <c r="E3979" t="inlineStr">
        <is>
          <t>Q2FY27</t>
        </is>
      </c>
      <c r="F3979" t="inlineStr">
        <is>
          <t>24-Jun-2031</t>
        </is>
      </c>
      <c r="G3979" t="inlineStr">
        <is>
          <t>Tuesday</t>
        </is>
      </c>
      <c r="H3979" t="inlineStr">
        <is>
          <t>Monthly - Tuesday</t>
        </is>
      </c>
      <c r="I3979" t="inlineStr">
        <is>
          <t>Monthly - Tuesday</t>
        </is>
      </c>
      <c r="J3979" t="inlineStr">
        <is>
          <t>Month+59 Expiry</t>
        </is>
      </c>
      <c r="K3979" s="25" t="n">
        <v>0</v>
      </c>
      <c r="L3979" s="26" t="n">
        <v>0</v>
      </c>
      <c r="M3979" s="26" t="n">
        <v>0</v>
      </c>
    </row>
    <row r="3980">
      <c r="A3980" t="inlineStr">
        <is>
          <t>24-Jul-2026</t>
        </is>
      </c>
      <c r="B3980" t="inlineStr">
        <is>
          <t>Friday</t>
        </is>
      </c>
      <c r="C3980" t="inlineStr">
        <is>
          <t>Week4-Jul-2026</t>
        </is>
      </c>
      <c r="D3980" s="78" t="n">
        <v>46204</v>
      </c>
      <c r="E3980" t="inlineStr">
        <is>
          <t>Q2FY27</t>
        </is>
      </c>
      <c r="F3980" t="inlineStr">
        <is>
          <t>28-Jul-2026</t>
        </is>
      </c>
      <c r="G3980" t="inlineStr">
        <is>
          <t>Tuesday</t>
        </is>
      </c>
      <c r="H3980" t="inlineStr">
        <is>
          <t>Monthly - Tuesday</t>
        </is>
      </c>
      <c r="I3980" t="inlineStr">
        <is>
          <t>MDAW - Tuesday</t>
        </is>
      </c>
      <c r="J3980" t="inlineStr">
        <is>
          <t>Same Month Expiry</t>
        </is>
      </c>
      <c r="K3980" s="25" t="n">
        <v>94055710</v>
      </c>
      <c r="L3980" s="26" t="n">
        <v>145956.7433</v>
      </c>
      <c r="M3980" s="26" t="n">
        <v>450.4955</v>
      </c>
    </row>
    <row r="3981">
      <c r="A3981" t="inlineStr">
        <is>
          <t>24-Jul-2026</t>
        </is>
      </c>
      <c r="B3981" t="inlineStr">
        <is>
          <t>Friday</t>
        </is>
      </c>
      <c r="C3981" t="inlineStr">
        <is>
          <t>Week4-Jul-2026</t>
        </is>
      </c>
      <c r="D3981" s="78" t="n">
        <v>46204</v>
      </c>
      <c r="E3981" t="inlineStr">
        <is>
          <t>Q2FY27</t>
        </is>
      </c>
      <c r="F3981" t="inlineStr">
        <is>
          <t>04-Aug-2026</t>
        </is>
      </c>
      <c r="G3981" t="inlineStr">
        <is>
          <t>Tuesday</t>
        </is>
      </c>
      <c r="H3981" t="inlineStr">
        <is>
          <t>Weekly - Tuesday</t>
        </is>
      </c>
      <c r="I3981" t="inlineStr">
        <is>
          <t>Weekly - Tuesday</t>
        </is>
      </c>
      <c r="J3981" t="inlineStr">
        <is>
          <t>Month+1 Expiry</t>
        </is>
      </c>
      <c r="K3981" s="25" t="n">
        <v>2973814</v>
      </c>
      <c r="L3981" s="26" t="n">
        <v>4632.2697</v>
      </c>
      <c r="M3981" s="26" t="n">
        <v>20.3208</v>
      </c>
    </row>
    <row r="3982">
      <c r="A3982" t="inlineStr">
        <is>
          <t>24-Jul-2026</t>
        </is>
      </c>
      <c r="B3982" t="inlineStr">
        <is>
          <t>Friday</t>
        </is>
      </c>
      <c r="C3982" t="inlineStr">
        <is>
          <t>Week4-Jul-2026</t>
        </is>
      </c>
      <c r="D3982" s="78" t="n">
        <v>46204</v>
      </c>
      <c r="E3982" t="inlineStr">
        <is>
          <t>Q2FY27</t>
        </is>
      </c>
      <c r="F3982" t="inlineStr">
        <is>
          <t>11-Aug-2026</t>
        </is>
      </c>
      <c r="G3982" t="inlineStr">
        <is>
          <t>Tuesday</t>
        </is>
      </c>
      <c r="H3982" t="inlineStr">
        <is>
          <t>Weekly - Tuesday</t>
        </is>
      </c>
      <c r="I3982" t="inlineStr">
        <is>
          <t>Weekly - Tuesday</t>
        </is>
      </c>
      <c r="J3982" t="inlineStr">
        <is>
          <t>Month+1 Expiry</t>
        </is>
      </c>
      <c r="K3982" s="25" t="n">
        <v>219837</v>
      </c>
      <c r="L3982" s="26" t="n">
        <v>343.6178</v>
      </c>
      <c r="M3982" s="26" t="n">
        <v>2.0751</v>
      </c>
    </row>
    <row r="3983">
      <c r="A3983" t="inlineStr">
        <is>
          <t>24-Jul-2026</t>
        </is>
      </c>
      <c r="B3983" t="inlineStr">
        <is>
          <t>Friday</t>
        </is>
      </c>
      <c r="C3983" t="inlineStr">
        <is>
          <t>Week4-Jul-2026</t>
        </is>
      </c>
      <c r="D3983" s="78" t="n">
        <v>46204</v>
      </c>
      <c r="E3983" t="inlineStr">
        <is>
          <t>Q2FY27</t>
        </is>
      </c>
      <c r="F3983" t="inlineStr">
        <is>
          <t>18-Aug-2026</t>
        </is>
      </c>
      <c r="G3983" t="inlineStr">
        <is>
          <t>Tuesday</t>
        </is>
      </c>
      <c r="H3983" t="inlineStr">
        <is>
          <t>Weekly - Tuesday</t>
        </is>
      </c>
      <c r="I3983" t="inlineStr">
        <is>
          <t>Weekly - Tuesday</t>
        </is>
      </c>
      <c r="J3983" t="inlineStr">
        <is>
          <t>Month+1 Expiry</t>
        </is>
      </c>
      <c r="K3983" s="25" t="n">
        <v>28674</v>
      </c>
      <c r="L3983" s="26" t="n">
        <v>44.9611</v>
      </c>
      <c r="M3983" s="26" t="n">
        <v>0.3289</v>
      </c>
    </row>
    <row r="3984">
      <c r="A3984" t="inlineStr">
        <is>
          <t>24-Jul-2026</t>
        </is>
      </c>
      <c r="B3984" t="inlineStr">
        <is>
          <t>Friday</t>
        </is>
      </c>
      <c r="C3984" t="inlineStr">
        <is>
          <t>Week4-Jul-2026</t>
        </is>
      </c>
      <c r="D3984" s="78" t="n">
        <v>46204</v>
      </c>
      <c r="E3984" t="inlineStr">
        <is>
          <t>Q2FY27</t>
        </is>
      </c>
      <c r="F3984" t="inlineStr">
        <is>
          <t>25-Aug-2026</t>
        </is>
      </c>
      <c r="G3984" t="inlineStr">
        <is>
          <t>Tuesday</t>
        </is>
      </c>
      <c r="H3984" t="inlineStr">
        <is>
          <t>Monthly - Tuesday</t>
        </is>
      </c>
      <c r="I3984" t="inlineStr">
        <is>
          <t>Monthly - Tuesday</t>
        </is>
      </c>
      <c r="J3984" t="inlineStr">
        <is>
          <t>Month+1 Expiry</t>
        </is>
      </c>
      <c r="K3984" s="25" t="n">
        <v>1064986</v>
      </c>
      <c r="L3984" s="26" t="n">
        <v>1677.3575</v>
      </c>
      <c r="M3984" s="26" t="n">
        <v>18.2846</v>
      </c>
    </row>
    <row r="3985">
      <c r="A3985" t="inlineStr">
        <is>
          <t>24-Jul-2026</t>
        </is>
      </c>
      <c r="B3985" t="inlineStr">
        <is>
          <t>Friday</t>
        </is>
      </c>
      <c r="C3985" t="inlineStr">
        <is>
          <t>Week4-Jul-2026</t>
        </is>
      </c>
      <c r="D3985" s="78" t="n">
        <v>46204</v>
      </c>
      <c r="E3985" t="inlineStr">
        <is>
          <t>Q2FY27</t>
        </is>
      </c>
      <c r="F3985" t="inlineStr">
        <is>
          <t>01-Sep-2026</t>
        </is>
      </c>
      <c r="G3985" t="inlineStr">
        <is>
          <t>Tuesday</t>
        </is>
      </c>
      <c r="H3985" t="inlineStr">
        <is>
          <t>Weekly - Tuesday</t>
        </is>
      </c>
      <c r="I3985" t="inlineStr">
        <is>
          <t>Weekly - Tuesday</t>
        </is>
      </c>
      <c r="J3985" t="inlineStr">
        <is>
          <t>Month+2 Expiry</t>
        </is>
      </c>
      <c r="K3985" s="25" t="n">
        <v>1062</v>
      </c>
      <c r="L3985" s="26" t="n">
        <v>1.6614</v>
      </c>
      <c r="M3985" s="26" t="n">
        <v>0.0199</v>
      </c>
    </row>
    <row r="3986">
      <c r="A3986" t="inlineStr">
        <is>
          <t>24-Jul-2026</t>
        </is>
      </c>
      <c r="B3986" t="inlineStr">
        <is>
          <t>Friday</t>
        </is>
      </c>
      <c r="C3986" t="inlineStr">
        <is>
          <t>Week4-Jul-2026</t>
        </is>
      </c>
      <c r="D3986" s="78" t="n">
        <v>46204</v>
      </c>
      <c r="E3986" t="inlineStr">
        <is>
          <t>Q2FY27</t>
        </is>
      </c>
      <c r="F3986" t="inlineStr">
        <is>
          <t>29-Sep-2026</t>
        </is>
      </c>
      <c r="G3986" t="inlineStr">
        <is>
          <t>Tuesday</t>
        </is>
      </c>
      <c r="H3986" t="inlineStr">
        <is>
          <t>Monthly - Tuesday</t>
        </is>
      </c>
      <c r="I3986" t="inlineStr">
        <is>
          <t>Monthly - Tuesday</t>
        </is>
      </c>
      <c r="J3986" t="inlineStr">
        <is>
          <t>Month+2 Expiry</t>
        </is>
      </c>
      <c r="K3986" s="25" t="n">
        <v>180447</v>
      </c>
      <c r="L3986" s="26" t="n">
        <v>286.5614</v>
      </c>
      <c r="M3986" s="26" t="n">
        <v>4.2978</v>
      </c>
    </row>
    <row r="3987">
      <c r="A3987" t="inlineStr">
        <is>
          <t>24-Jul-2026</t>
        </is>
      </c>
      <c r="B3987" t="inlineStr">
        <is>
          <t>Friday</t>
        </is>
      </c>
      <c r="C3987" t="inlineStr">
        <is>
          <t>Week4-Jul-2026</t>
        </is>
      </c>
      <c r="D3987" s="78" t="n">
        <v>46204</v>
      </c>
      <c r="E3987" t="inlineStr">
        <is>
          <t>Q2FY27</t>
        </is>
      </c>
      <c r="F3987" t="inlineStr">
        <is>
          <t>29-Dec-2026</t>
        </is>
      </c>
      <c r="G3987" t="inlineStr">
        <is>
          <t>Tuesday</t>
        </is>
      </c>
      <c r="H3987" t="inlineStr">
        <is>
          <t>Monthly - Tuesday</t>
        </is>
      </c>
      <c r="I3987" t="inlineStr">
        <is>
          <t>Monthly - Tuesday</t>
        </is>
      </c>
      <c r="J3987" t="inlineStr">
        <is>
          <t>Month+5 Expiry</t>
        </is>
      </c>
      <c r="K3987" s="25" t="n">
        <v>91581</v>
      </c>
      <c r="L3987" s="26" t="n">
        <v>148.2445</v>
      </c>
      <c r="M3987" s="26" t="n">
        <v>2.4088</v>
      </c>
    </row>
    <row r="3988">
      <c r="A3988" t="inlineStr">
        <is>
          <t>24-Jul-2026</t>
        </is>
      </c>
      <c r="B3988" t="inlineStr">
        <is>
          <t>Friday</t>
        </is>
      </c>
      <c r="C3988" t="inlineStr">
        <is>
          <t>Week4-Jul-2026</t>
        </is>
      </c>
      <c r="D3988" s="78" t="n">
        <v>46204</v>
      </c>
      <c r="E3988" t="inlineStr">
        <is>
          <t>Q2FY27</t>
        </is>
      </c>
      <c r="F3988" t="inlineStr">
        <is>
          <t>30-Mar-2027</t>
        </is>
      </c>
      <c r="G3988" t="inlineStr">
        <is>
          <t>Tuesday</t>
        </is>
      </c>
      <c r="H3988" t="inlineStr">
        <is>
          <t>Monthly - Tuesday</t>
        </is>
      </c>
      <c r="I3988" t="inlineStr">
        <is>
          <t>Monthly - Tuesday</t>
        </is>
      </c>
      <c r="J3988" t="inlineStr">
        <is>
          <t>Month+8 Expiry</t>
        </is>
      </c>
      <c r="K3988" s="25" t="n">
        <v>8048</v>
      </c>
      <c r="L3988" s="26" t="n">
        <v>13.4971</v>
      </c>
      <c r="M3988" s="26" t="n">
        <v>0.246</v>
      </c>
    </row>
    <row r="3989">
      <c r="A3989" t="inlineStr">
        <is>
          <t>24-Jul-2026</t>
        </is>
      </c>
      <c r="B3989" t="inlineStr">
        <is>
          <t>Friday</t>
        </is>
      </c>
      <c r="C3989" t="inlineStr">
        <is>
          <t>Week4-Jul-2026</t>
        </is>
      </c>
      <c r="D3989" s="78" t="n">
        <v>46204</v>
      </c>
      <c r="E3989" t="inlineStr">
        <is>
          <t>Q2FY27</t>
        </is>
      </c>
      <c r="F3989" t="inlineStr">
        <is>
          <t>29-Jun-2027</t>
        </is>
      </c>
      <c r="G3989" t="inlineStr">
        <is>
          <t>Tuesday</t>
        </is>
      </c>
      <c r="H3989" t="inlineStr">
        <is>
          <t>Monthly - Tuesday</t>
        </is>
      </c>
      <c r="I3989" t="inlineStr">
        <is>
          <t>Monthly - Tuesday</t>
        </is>
      </c>
      <c r="J3989" t="inlineStr">
        <is>
          <t>Month+11 Expiry</t>
        </is>
      </c>
      <c r="K3989" s="25" t="n">
        <v>2</v>
      </c>
      <c r="L3989" s="26" t="n">
        <v>0.003</v>
      </c>
      <c r="M3989" s="26" t="n">
        <v>0.0001</v>
      </c>
    </row>
    <row r="3990">
      <c r="A3990" t="inlineStr">
        <is>
          <t>24-Jul-2026</t>
        </is>
      </c>
      <c r="B3990" t="inlineStr">
        <is>
          <t>Friday</t>
        </is>
      </c>
      <c r="C3990" t="inlineStr">
        <is>
          <t>Week4-Jul-2026</t>
        </is>
      </c>
      <c r="D3990" s="78" t="n">
        <v>46204</v>
      </c>
      <c r="E3990" t="inlineStr">
        <is>
          <t>Q2FY27</t>
        </is>
      </c>
      <c r="F3990" t="inlineStr">
        <is>
          <t>28-Dec-2027</t>
        </is>
      </c>
      <c r="G3990" t="inlineStr">
        <is>
          <t>Tuesday</t>
        </is>
      </c>
      <c r="H3990" t="inlineStr">
        <is>
          <t>Monthly - Tuesday</t>
        </is>
      </c>
      <c r="I3990" t="inlineStr">
        <is>
          <t>Monthly - Tuesday</t>
        </is>
      </c>
      <c r="J3990" t="inlineStr">
        <is>
          <t>Month+17 Expiry</t>
        </is>
      </c>
      <c r="K3990" s="25" t="n">
        <v>886</v>
      </c>
      <c r="L3990" s="26" t="n">
        <v>1.5253</v>
      </c>
      <c r="M3990" s="26" t="n">
        <v>0.0658</v>
      </c>
    </row>
    <row r="3991">
      <c r="A3991" t="inlineStr">
        <is>
          <t>24-Jul-2026</t>
        </is>
      </c>
      <c r="B3991" t="inlineStr">
        <is>
          <t>Friday</t>
        </is>
      </c>
      <c r="C3991" t="inlineStr">
        <is>
          <t>Week4-Jul-2026</t>
        </is>
      </c>
      <c r="D3991" s="78" t="n">
        <v>46204</v>
      </c>
      <c r="E3991" t="inlineStr">
        <is>
          <t>Q2FY27</t>
        </is>
      </c>
      <c r="F3991" t="inlineStr">
        <is>
          <t>27-Jun-2028</t>
        </is>
      </c>
      <c r="G3991" t="inlineStr">
        <is>
          <t>Tuesday</t>
        </is>
      </c>
      <c r="H3991" t="inlineStr">
        <is>
          <t>Monthly - Tuesday</t>
        </is>
      </c>
      <c r="I3991" t="inlineStr">
        <is>
          <t>Monthly - Tuesday</t>
        </is>
      </c>
      <c r="J3991" t="inlineStr">
        <is>
          <t>Month+23 Expiry</t>
        </is>
      </c>
      <c r="K3991" s="25" t="n">
        <v>0</v>
      </c>
      <c r="L3991" s="26" t="n">
        <v>0</v>
      </c>
      <c r="M3991" s="26" t="n">
        <v>0</v>
      </c>
    </row>
    <row r="3992">
      <c r="A3992" t="inlineStr">
        <is>
          <t>24-Jul-2026</t>
        </is>
      </c>
      <c r="B3992" t="inlineStr">
        <is>
          <t>Friday</t>
        </is>
      </c>
      <c r="C3992" t="inlineStr">
        <is>
          <t>Week4-Jul-2026</t>
        </is>
      </c>
      <c r="D3992" s="78" t="n">
        <v>46204</v>
      </c>
      <c r="E3992" t="inlineStr">
        <is>
          <t>Q2FY27</t>
        </is>
      </c>
      <c r="F3992" t="inlineStr">
        <is>
          <t>26-Dec-2028</t>
        </is>
      </c>
      <c r="G3992" t="inlineStr">
        <is>
          <t>Tuesday</t>
        </is>
      </c>
      <c r="H3992" t="inlineStr">
        <is>
          <t>Monthly - Tuesday</t>
        </is>
      </c>
      <c r="I3992" t="inlineStr">
        <is>
          <t>Monthly - Tuesday</t>
        </is>
      </c>
      <c r="J3992" t="inlineStr">
        <is>
          <t>Month+29 Expiry</t>
        </is>
      </c>
      <c r="K3992" s="25" t="n">
        <v>26</v>
      </c>
      <c r="L3992" s="26" t="n">
        <v>0.0443</v>
      </c>
      <c r="M3992" s="26" t="n">
        <v>0.0026</v>
      </c>
    </row>
    <row r="3993">
      <c r="A3993" t="inlineStr">
        <is>
          <t>24-Jul-2026</t>
        </is>
      </c>
      <c r="B3993" t="inlineStr">
        <is>
          <t>Friday</t>
        </is>
      </c>
      <c r="C3993" t="inlineStr">
        <is>
          <t>Week4-Jul-2026</t>
        </is>
      </c>
      <c r="D3993" s="78" t="n">
        <v>46204</v>
      </c>
      <c r="E3993" t="inlineStr">
        <is>
          <t>Q2FY27</t>
        </is>
      </c>
      <c r="F3993" t="inlineStr">
        <is>
          <t>26-Jun-2029</t>
        </is>
      </c>
      <c r="G3993" t="inlineStr">
        <is>
          <t>Tuesday</t>
        </is>
      </c>
      <c r="H3993" t="inlineStr">
        <is>
          <t>Monthly - Tuesday</t>
        </is>
      </c>
      <c r="I3993" t="inlineStr">
        <is>
          <t>Monthly - Tuesday</t>
        </is>
      </c>
      <c r="J3993" t="inlineStr">
        <is>
          <t>Month+35 Expiry</t>
        </is>
      </c>
      <c r="K3993" s="25" t="n">
        <v>0</v>
      </c>
      <c r="L3993" s="26" t="n">
        <v>0</v>
      </c>
      <c r="M3993" s="26" t="n">
        <v>0</v>
      </c>
    </row>
    <row r="3994">
      <c r="A3994" t="inlineStr">
        <is>
          <t>24-Jul-2026</t>
        </is>
      </c>
      <c r="B3994" t="inlineStr">
        <is>
          <t>Friday</t>
        </is>
      </c>
      <c r="C3994" t="inlineStr">
        <is>
          <t>Week4-Jul-2026</t>
        </is>
      </c>
      <c r="D3994" s="78" t="n">
        <v>46204</v>
      </c>
      <c r="E3994" t="inlineStr">
        <is>
          <t>Q2FY27</t>
        </is>
      </c>
      <c r="F3994" t="inlineStr">
        <is>
          <t>24-Dec-2029</t>
        </is>
      </c>
      <c r="G3994" t="inlineStr">
        <is>
          <t>Monday</t>
        </is>
      </c>
      <c r="H3994" t="inlineStr">
        <is>
          <t>Weekly - Monday</t>
        </is>
      </c>
      <c r="I3994" t="inlineStr">
        <is>
          <t>Weekly - Monday</t>
        </is>
      </c>
      <c r="J3994" t="inlineStr">
        <is>
          <t>Month+41 Expiry</t>
        </is>
      </c>
      <c r="K3994" s="25" t="n">
        <v>0</v>
      </c>
      <c r="L3994" s="26" t="n">
        <v>0</v>
      </c>
      <c r="M3994" s="26" t="n">
        <v>0</v>
      </c>
    </row>
    <row r="3995">
      <c r="A3995" t="inlineStr">
        <is>
          <t>24-Jul-2026</t>
        </is>
      </c>
      <c r="B3995" t="inlineStr">
        <is>
          <t>Friday</t>
        </is>
      </c>
      <c r="C3995" t="inlineStr">
        <is>
          <t>Week4-Jul-2026</t>
        </is>
      </c>
      <c r="D3995" s="78" t="n">
        <v>46204</v>
      </c>
      <c r="E3995" t="inlineStr">
        <is>
          <t>Q2FY27</t>
        </is>
      </c>
      <c r="F3995" t="inlineStr">
        <is>
          <t>25-Jun-2030</t>
        </is>
      </c>
      <c r="G3995" t="inlineStr">
        <is>
          <t>Tuesday</t>
        </is>
      </c>
      <c r="H3995" t="inlineStr">
        <is>
          <t>Monthly - Tuesday</t>
        </is>
      </c>
      <c r="I3995" t="inlineStr">
        <is>
          <t>Monthly - Tuesday</t>
        </is>
      </c>
      <c r="J3995" t="inlineStr">
        <is>
          <t>Month+47 Expiry</t>
        </is>
      </c>
      <c r="K3995" s="25" t="n">
        <v>0</v>
      </c>
      <c r="L3995" s="26" t="n">
        <v>0</v>
      </c>
      <c r="M3995" s="26" t="n">
        <v>0</v>
      </c>
    </row>
    <row r="3996">
      <c r="A3996" t="inlineStr">
        <is>
          <t>24-Jul-2026</t>
        </is>
      </c>
      <c r="B3996" t="inlineStr">
        <is>
          <t>Friday</t>
        </is>
      </c>
      <c r="C3996" t="inlineStr">
        <is>
          <t>Week4-Jul-2026</t>
        </is>
      </c>
      <c r="D3996" s="78" t="n">
        <v>46204</v>
      </c>
      <c r="E3996" t="inlineStr">
        <is>
          <t>Q2FY27</t>
        </is>
      </c>
      <c r="F3996" t="inlineStr">
        <is>
          <t>31-Dec-2030</t>
        </is>
      </c>
      <c r="G3996" t="inlineStr">
        <is>
          <t>Tuesday</t>
        </is>
      </c>
      <c r="H3996" t="inlineStr">
        <is>
          <t>Monthly - Tuesday</t>
        </is>
      </c>
      <c r="I3996" t="inlineStr">
        <is>
          <t>Monthly - Tuesday</t>
        </is>
      </c>
      <c r="J3996" t="inlineStr">
        <is>
          <t>Month+53 Expiry</t>
        </is>
      </c>
      <c r="K3996" s="25" t="n">
        <v>1</v>
      </c>
      <c r="L3996" s="26" t="n">
        <v>0.0014</v>
      </c>
      <c r="M3996" s="26" t="n">
        <v>0</v>
      </c>
    </row>
    <row r="3997">
      <c r="A3997" t="inlineStr">
        <is>
          <t>24-Jul-2026</t>
        </is>
      </c>
      <c r="B3997" t="inlineStr">
        <is>
          <t>Friday</t>
        </is>
      </c>
      <c r="C3997" t="inlineStr">
        <is>
          <t>Week4-Jul-2026</t>
        </is>
      </c>
      <c r="D3997" s="78" t="n">
        <v>46204</v>
      </c>
      <c r="E3997" t="inlineStr">
        <is>
          <t>Q2FY27</t>
        </is>
      </c>
      <c r="F3997" t="inlineStr">
        <is>
          <t>24-Jun-2031</t>
        </is>
      </c>
      <c r="G3997" t="inlineStr">
        <is>
          <t>Tuesday</t>
        </is>
      </c>
      <c r="H3997" t="inlineStr">
        <is>
          <t>Monthly - Tuesday</t>
        </is>
      </c>
      <c r="I3997" t="inlineStr">
        <is>
          <t>Monthly - Tuesday</t>
        </is>
      </c>
      <c r="J3997" t="inlineStr">
        <is>
          <t>Month+59 Expiry</t>
        </is>
      </c>
      <c r="K3997" s="25" t="n">
        <v>0</v>
      </c>
      <c r="L3997" s="26" t="n">
        <v>0</v>
      </c>
      <c r="M3997" s="26" t="n">
        <v>0</v>
      </c>
    </row>
    <row r="3998">
      <c r="A3998" t="inlineStr">
        <is>
          <t>27-Jul-2026</t>
        </is>
      </c>
      <c r="B3998" t="inlineStr">
        <is>
          <t>Monday</t>
        </is>
      </c>
      <c r="C3998" t="inlineStr">
        <is>
          <t>Week4-Jul-2026</t>
        </is>
      </c>
      <c r="D3998" s="78" t="n">
        <v>46204</v>
      </c>
      <c r="E3998" t="inlineStr">
        <is>
          <t>Q2FY27</t>
        </is>
      </c>
      <c r="F3998" t="inlineStr">
        <is>
          <t>28-Jul-2026</t>
        </is>
      </c>
      <c r="G3998" t="inlineStr">
        <is>
          <t>Tuesday</t>
        </is>
      </c>
      <c r="H3998" t="inlineStr">
        <is>
          <t>Monthly - Tuesday</t>
        </is>
      </c>
      <c r="I3998" t="inlineStr">
        <is>
          <t>MDAW - Tuesday</t>
        </is>
      </c>
      <c r="J3998" t="inlineStr">
        <is>
          <t>Same Month Expiry</t>
        </is>
      </c>
      <c r="K3998" s="25" t="n">
        <v>117944410</v>
      </c>
      <c r="L3998" s="26" t="n">
        <v>183807.4805</v>
      </c>
      <c r="M3998" s="26" t="n">
        <v>363.6596</v>
      </c>
    </row>
    <row r="3999">
      <c r="A3999" t="inlineStr">
        <is>
          <t>27-Jul-2026</t>
        </is>
      </c>
      <c r="B3999" t="inlineStr">
        <is>
          <t>Monday</t>
        </is>
      </c>
      <c r="C3999" t="inlineStr">
        <is>
          <t>Week4-Jul-2026</t>
        </is>
      </c>
      <c r="D3999" s="78" t="n">
        <v>46204</v>
      </c>
      <c r="E3999" t="inlineStr">
        <is>
          <t>Q2FY27</t>
        </is>
      </c>
      <c r="F3999" t="inlineStr">
        <is>
          <t>04-Aug-2026</t>
        </is>
      </c>
      <c r="G3999" t="inlineStr">
        <is>
          <t>Tuesday</t>
        </is>
      </c>
      <c r="H3999" t="inlineStr">
        <is>
          <t>Weekly - Tuesday</t>
        </is>
      </c>
      <c r="I3999" t="inlineStr">
        <is>
          <t>Weekly - Tuesday</t>
        </is>
      </c>
      <c r="J3999" t="inlineStr">
        <is>
          <t>Month+1 Expiry</t>
        </is>
      </c>
      <c r="K3999" s="25" t="n">
        <v>5047924</v>
      </c>
      <c r="L3999" s="26" t="n">
        <v>7886.1409</v>
      </c>
      <c r="M3999" s="26" t="n">
        <v>26.2359</v>
      </c>
    </row>
    <row r="4000">
      <c r="A4000" t="inlineStr">
        <is>
          <t>27-Jul-2026</t>
        </is>
      </c>
      <c r="B4000" t="inlineStr">
        <is>
          <t>Monday</t>
        </is>
      </c>
      <c r="C4000" t="inlineStr">
        <is>
          <t>Week4-Jul-2026</t>
        </is>
      </c>
      <c r="D4000" s="78" t="n">
        <v>46204</v>
      </c>
      <c r="E4000" t="inlineStr">
        <is>
          <t>Q2FY27</t>
        </is>
      </c>
      <c r="F4000" t="inlineStr">
        <is>
          <t>11-Aug-2026</t>
        </is>
      </c>
      <c r="G4000" t="inlineStr">
        <is>
          <t>Tuesday</t>
        </is>
      </c>
      <c r="H4000" t="inlineStr">
        <is>
          <t>Weekly - Tuesday</t>
        </is>
      </c>
      <c r="I4000" t="inlineStr">
        <is>
          <t>Weekly - Tuesday</t>
        </is>
      </c>
      <c r="J4000" t="inlineStr">
        <is>
          <t>Month+1 Expiry</t>
        </is>
      </c>
      <c r="K4000" s="25" t="n">
        <v>463367</v>
      </c>
      <c r="L4000" s="26" t="n">
        <v>721.8356</v>
      </c>
      <c r="M4000" s="26" t="n">
        <v>2.4036</v>
      </c>
    </row>
    <row r="4001">
      <c r="A4001" t="inlineStr">
        <is>
          <t>27-Jul-2026</t>
        </is>
      </c>
      <c r="B4001" t="inlineStr">
        <is>
          <t>Monday</t>
        </is>
      </c>
      <c r="C4001" t="inlineStr">
        <is>
          <t>Week4-Jul-2026</t>
        </is>
      </c>
      <c r="D4001" s="78" t="n">
        <v>46204</v>
      </c>
      <c r="E4001" t="inlineStr">
        <is>
          <t>Q2FY27</t>
        </is>
      </c>
      <c r="F4001" t="inlineStr">
        <is>
          <t>18-Aug-2026</t>
        </is>
      </c>
      <c r="G4001" t="inlineStr">
        <is>
          <t>Tuesday</t>
        </is>
      </c>
      <c r="H4001" t="inlineStr">
        <is>
          <t>Weekly - Tuesday</t>
        </is>
      </c>
      <c r="I4001" t="inlineStr">
        <is>
          <t>Weekly - Tuesday</t>
        </is>
      </c>
      <c r="J4001" t="inlineStr">
        <is>
          <t>Month+1 Expiry</t>
        </is>
      </c>
      <c r="K4001" s="25" t="n">
        <v>24857</v>
      </c>
      <c r="L4001" s="26" t="n">
        <v>38.9436</v>
      </c>
      <c r="M4001" s="26" t="n">
        <v>0.2337</v>
      </c>
    </row>
    <row r="4002">
      <c r="A4002" t="inlineStr">
        <is>
          <t>27-Jul-2026</t>
        </is>
      </c>
      <c r="B4002" t="inlineStr">
        <is>
          <t>Monday</t>
        </is>
      </c>
      <c r="C4002" t="inlineStr">
        <is>
          <t>Week4-Jul-2026</t>
        </is>
      </c>
      <c r="D4002" s="78" t="n">
        <v>46204</v>
      </c>
      <c r="E4002" t="inlineStr">
        <is>
          <t>Q2FY27</t>
        </is>
      </c>
      <c r="F4002" t="inlineStr">
        <is>
          <t>25-Aug-2026</t>
        </is>
      </c>
      <c r="G4002" t="inlineStr">
        <is>
          <t>Tuesday</t>
        </is>
      </c>
      <c r="H4002" t="inlineStr">
        <is>
          <t>Monthly - Tuesday</t>
        </is>
      </c>
      <c r="I4002" t="inlineStr">
        <is>
          <t>Monthly - Tuesday</t>
        </is>
      </c>
      <c r="J4002" t="inlineStr">
        <is>
          <t>Month+1 Expiry</t>
        </is>
      </c>
      <c r="K4002" s="25" t="n">
        <v>962655</v>
      </c>
      <c r="L4002" s="26" t="n">
        <v>1517.7957</v>
      </c>
      <c r="M4002" s="26" t="n">
        <v>16.4605</v>
      </c>
    </row>
    <row r="4003">
      <c r="A4003" t="inlineStr">
        <is>
          <t>27-Jul-2026</t>
        </is>
      </c>
      <c r="B4003" t="inlineStr">
        <is>
          <t>Monday</t>
        </is>
      </c>
      <c r="C4003" t="inlineStr">
        <is>
          <t>Week4-Jul-2026</t>
        </is>
      </c>
      <c r="D4003" s="78" t="n">
        <v>46204</v>
      </c>
      <c r="E4003" t="inlineStr">
        <is>
          <t>Q2FY27</t>
        </is>
      </c>
      <c r="F4003" t="inlineStr">
        <is>
          <t>01-Sep-2026</t>
        </is>
      </c>
      <c r="G4003" t="inlineStr">
        <is>
          <t>Tuesday</t>
        </is>
      </c>
      <c r="H4003" t="inlineStr">
        <is>
          <t>Weekly - Tuesday</t>
        </is>
      </c>
      <c r="I4003" t="inlineStr">
        <is>
          <t>Weekly - Tuesday</t>
        </is>
      </c>
      <c r="J4003" t="inlineStr">
        <is>
          <t>Month+2 Expiry</t>
        </is>
      </c>
      <c r="K4003" s="25" t="n">
        <v>1544</v>
      </c>
      <c r="L4003" s="26" t="n">
        <v>2.4353</v>
      </c>
      <c r="M4003" s="26" t="n">
        <v>0.0261</v>
      </c>
    </row>
    <row r="4004">
      <c r="A4004" t="inlineStr">
        <is>
          <t>27-Jul-2026</t>
        </is>
      </c>
      <c r="B4004" t="inlineStr">
        <is>
          <t>Monday</t>
        </is>
      </c>
      <c r="C4004" t="inlineStr">
        <is>
          <t>Week4-Jul-2026</t>
        </is>
      </c>
      <c r="D4004" s="78" t="n">
        <v>46204</v>
      </c>
      <c r="E4004" t="inlineStr">
        <is>
          <t>Q2FY27</t>
        </is>
      </c>
      <c r="F4004" t="inlineStr">
        <is>
          <t>29-Sep-2026</t>
        </is>
      </c>
      <c r="G4004" t="inlineStr">
        <is>
          <t>Tuesday</t>
        </is>
      </c>
      <c r="H4004" t="inlineStr">
        <is>
          <t>Monthly - Tuesday</t>
        </is>
      </c>
      <c r="I4004" t="inlineStr">
        <is>
          <t>Monthly - Tuesday</t>
        </is>
      </c>
      <c r="J4004" t="inlineStr">
        <is>
          <t>Month+2 Expiry</t>
        </is>
      </c>
      <c r="K4004" s="25" t="n">
        <v>120267</v>
      </c>
      <c r="L4004" s="26" t="n">
        <v>188.0647</v>
      </c>
      <c r="M4004" s="26" t="n">
        <v>2.0715</v>
      </c>
    </row>
    <row r="4005">
      <c r="A4005" t="inlineStr">
        <is>
          <t>27-Jul-2026</t>
        </is>
      </c>
      <c r="B4005" t="inlineStr">
        <is>
          <t>Monday</t>
        </is>
      </c>
      <c r="C4005" t="inlineStr">
        <is>
          <t>Week4-Jul-2026</t>
        </is>
      </c>
      <c r="D4005" s="78" t="n">
        <v>46204</v>
      </c>
      <c r="E4005" t="inlineStr">
        <is>
          <t>Q2FY27</t>
        </is>
      </c>
      <c r="F4005" t="inlineStr">
        <is>
          <t>29-Dec-2026</t>
        </is>
      </c>
      <c r="G4005" t="inlineStr">
        <is>
          <t>Tuesday</t>
        </is>
      </c>
      <c r="H4005" t="inlineStr">
        <is>
          <t>Monthly - Tuesday</t>
        </is>
      </c>
      <c r="I4005" t="inlineStr">
        <is>
          <t>Monthly - Tuesday</t>
        </is>
      </c>
      <c r="J4005" t="inlineStr">
        <is>
          <t>Month+5 Expiry</t>
        </is>
      </c>
      <c r="K4005" s="25" t="n">
        <v>68856</v>
      </c>
      <c r="L4005" s="26" t="n">
        <v>108.5537</v>
      </c>
      <c r="M4005" s="26" t="n">
        <v>2.1857</v>
      </c>
    </row>
    <row r="4006">
      <c r="A4006" t="inlineStr">
        <is>
          <t>27-Jul-2026</t>
        </is>
      </c>
      <c r="B4006" t="inlineStr">
        <is>
          <t>Monday</t>
        </is>
      </c>
      <c r="C4006" t="inlineStr">
        <is>
          <t>Week4-Jul-2026</t>
        </is>
      </c>
      <c r="D4006" s="78" t="n">
        <v>46204</v>
      </c>
      <c r="E4006" t="inlineStr">
        <is>
          <t>Q2FY27</t>
        </is>
      </c>
      <c r="F4006" t="inlineStr">
        <is>
          <t>30-Mar-2027</t>
        </is>
      </c>
      <c r="G4006" t="inlineStr">
        <is>
          <t>Tuesday</t>
        </is>
      </c>
      <c r="H4006" t="inlineStr">
        <is>
          <t>Monthly - Tuesday</t>
        </is>
      </c>
      <c r="I4006" t="inlineStr">
        <is>
          <t>Monthly - Tuesday</t>
        </is>
      </c>
      <c r="J4006" t="inlineStr">
        <is>
          <t>Month+8 Expiry</t>
        </is>
      </c>
      <c r="K4006" s="25" t="n">
        <v>4459</v>
      </c>
      <c r="L4006" s="26" t="n">
        <v>7.3792</v>
      </c>
      <c r="M4006" s="26" t="n">
        <v>0.1343</v>
      </c>
    </row>
    <row r="4007">
      <c r="A4007" t="inlineStr">
        <is>
          <t>27-Jul-2026</t>
        </is>
      </c>
      <c r="B4007" t="inlineStr">
        <is>
          <t>Monday</t>
        </is>
      </c>
      <c r="C4007" t="inlineStr">
        <is>
          <t>Week4-Jul-2026</t>
        </is>
      </c>
      <c r="D4007" s="78" t="n">
        <v>46204</v>
      </c>
      <c r="E4007" t="inlineStr">
        <is>
          <t>Q2FY27</t>
        </is>
      </c>
      <c r="F4007" t="inlineStr">
        <is>
          <t>29-Jun-2027</t>
        </is>
      </c>
      <c r="G4007" t="inlineStr">
        <is>
          <t>Tuesday</t>
        </is>
      </c>
      <c r="H4007" t="inlineStr">
        <is>
          <t>Monthly - Tuesday</t>
        </is>
      </c>
      <c r="I4007" t="inlineStr">
        <is>
          <t>Monthly - Tuesday</t>
        </is>
      </c>
      <c r="J4007" t="inlineStr">
        <is>
          <t>Month+11 Expiry</t>
        </is>
      </c>
      <c r="K4007" s="25" t="n">
        <v>3</v>
      </c>
      <c r="L4007" s="26" t="n">
        <v>0.005</v>
      </c>
      <c r="M4007" s="26" t="n">
        <v>0.0003</v>
      </c>
    </row>
    <row r="4008">
      <c r="A4008" t="inlineStr">
        <is>
          <t>27-Jul-2026</t>
        </is>
      </c>
      <c r="B4008" t="inlineStr">
        <is>
          <t>Monday</t>
        </is>
      </c>
      <c r="C4008" t="inlineStr">
        <is>
          <t>Week4-Jul-2026</t>
        </is>
      </c>
      <c r="D4008" s="78" t="n">
        <v>46204</v>
      </c>
      <c r="E4008" t="inlineStr">
        <is>
          <t>Q2FY27</t>
        </is>
      </c>
      <c r="F4008" t="inlineStr">
        <is>
          <t>28-Dec-2027</t>
        </is>
      </c>
      <c r="G4008" t="inlineStr">
        <is>
          <t>Tuesday</t>
        </is>
      </c>
      <c r="H4008" t="inlineStr">
        <is>
          <t>Monthly - Tuesday</t>
        </is>
      </c>
      <c r="I4008" t="inlineStr">
        <is>
          <t>Monthly - Tuesday</t>
        </is>
      </c>
      <c r="J4008" t="inlineStr">
        <is>
          <t>Month+17 Expiry</t>
        </is>
      </c>
      <c r="K4008" s="25" t="n">
        <v>463</v>
      </c>
      <c r="L4008" s="26" t="n">
        <v>0.7833</v>
      </c>
      <c r="M4008" s="26" t="n">
        <v>0.0285</v>
      </c>
    </row>
    <row r="4009">
      <c r="A4009" t="inlineStr">
        <is>
          <t>27-Jul-2026</t>
        </is>
      </c>
      <c r="B4009" t="inlineStr">
        <is>
          <t>Monday</t>
        </is>
      </c>
      <c r="C4009" t="inlineStr">
        <is>
          <t>Week4-Jul-2026</t>
        </is>
      </c>
      <c r="D4009" s="78" t="n">
        <v>46204</v>
      </c>
      <c r="E4009" t="inlineStr">
        <is>
          <t>Q2FY27</t>
        </is>
      </c>
      <c r="F4009" t="inlineStr">
        <is>
          <t>27-Jun-2028</t>
        </is>
      </c>
      <c r="G4009" t="inlineStr">
        <is>
          <t>Tuesday</t>
        </is>
      </c>
      <c r="H4009" t="inlineStr">
        <is>
          <t>Monthly - Tuesday</t>
        </is>
      </c>
      <c r="I4009" t="inlineStr">
        <is>
          <t>Monthly - Tuesday</t>
        </is>
      </c>
      <c r="J4009" t="inlineStr">
        <is>
          <t>Month+23 Expiry</t>
        </is>
      </c>
      <c r="K4009" s="25" t="n">
        <v>0</v>
      </c>
      <c r="L4009" s="26" t="n">
        <v>0</v>
      </c>
      <c r="M4009" s="26" t="n">
        <v>0</v>
      </c>
    </row>
    <row r="4010">
      <c r="A4010" t="inlineStr">
        <is>
          <t>27-Jul-2026</t>
        </is>
      </c>
      <c r="B4010" t="inlineStr">
        <is>
          <t>Monday</t>
        </is>
      </c>
      <c r="C4010" t="inlineStr">
        <is>
          <t>Week4-Jul-2026</t>
        </is>
      </c>
      <c r="D4010" s="78" t="n">
        <v>46204</v>
      </c>
      <c r="E4010" t="inlineStr">
        <is>
          <t>Q2FY27</t>
        </is>
      </c>
      <c r="F4010" t="inlineStr">
        <is>
          <t>26-Dec-2028</t>
        </is>
      </c>
      <c r="G4010" t="inlineStr">
        <is>
          <t>Tuesday</t>
        </is>
      </c>
      <c r="H4010" t="inlineStr">
        <is>
          <t>Monthly - Tuesday</t>
        </is>
      </c>
      <c r="I4010" t="inlineStr">
        <is>
          <t>Monthly - Tuesday</t>
        </is>
      </c>
      <c r="J4010" t="inlineStr">
        <is>
          <t>Month+29 Expiry</t>
        </is>
      </c>
      <c r="K4010" s="25" t="n">
        <v>30</v>
      </c>
      <c r="L4010" s="26" t="n">
        <v>0.052</v>
      </c>
      <c r="M4010" s="26" t="n">
        <v>0.0026</v>
      </c>
    </row>
    <row r="4011">
      <c r="A4011" t="inlineStr">
        <is>
          <t>27-Jul-2026</t>
        </is>
      </c>
      <c r="B4011" t="inlineStr">
        <is>
          <t>Monday</t>
        </is>
      </c>
      <c r="C4011" t="inlineStr">
        <is>
          <t>Week4-Jul-2026</t>
        </is>
      </c>
      <c r="D4011" s="78" t="n">
        <v>46204</v>
      </c>
      <c r="E4011" t="inlineStr">
        <is>
          <t>Q2FY27</t>
        </is>
      </c>
      <c r="F4011" t="inlineStr">
        <is>
          <t>26-Jun-2029</t>
        </is>
      </c>
      <c r="G4011" t="inlineStr">
        <is>
          <t>Tuesday</t>
        </is>
      </c>
      <c r="H4011" t="inlineStr">
        <is>
          <t>Monthly - Tuesday</t>
        </is>
      </c>
      <c r="I4011" t="inlineStr">
        <is>
          <t>Monthly - Tuesday</t>
        </is>
      </c>
      <c r="J4011" t="inlineStr">
        <is>
          <t>Month+35 Expiry</t>
        </is>
      </c>
      <c r="K4011" s="25" t="n">
        <v>0</v>
      </c>
      <c r="L4011" s="26" t="n">
        <v>0</v>
      </c>
      <c r="M4011" s="26" t="n">
        <v>0</v>
      </c>
    </row>
    <row r="4012">
      <c r="A4012" t="inlineStr">
        <is>
          <t>27-Jul-2026</t>
        </is>
      </c>
      <c r="B4012" t="inlineStr">
        <is>
          <t>Monday</t>
        </is>
      </c>
      <c r="C4012" t="inlineStr">
        <is>
          <t>Week4-Jul-2026</t>
        </is>
      </c>
      <c r="D4012" s="78" t="n">
        <v>46204</v>
      </c>
      <c r="E4012" t="inlineStr">
        <is>
          <t>Q2FY27</t>
        </is>
      </c>
      <c r="F4012" t="inlineStr">
        <is>
          <t>24-Dec-2029</t>
        </is>
      </c>
      <c r="G4012" t="inlineStr">
        <is>
          <t>Monday</t>
        </is>
      </c>
      <c r="H4012" t="inlineStr">
        <is>
          <t>Weekly - Monday</t>
        </is>
      </c>
      <c r="I4012" t="inlineStr">
        <is>
          <t>Weekly - Monday</t>
        </is>
      </c>
      <c r="J4012" t="inlineStr">
        <is>
          <t>Month+41 Expiry</t>
        </is>
      </c>
      <c r="K4012" s="25" t="n">
        <v>2</v>
      </c>
      <c r="L4012" s="26" t="n">
        <v>0.0025</v>
      </c>
      <c r="M4012" s="26" t="n">
        <v>0.0001</v>
      </c>
    </row>
    <row r="4013">
      <c r="A4013" t="inlineStr">
        <is>
          <t>27-Jul-2026</t>
        </is>
      </c>
      <c r="B4013" t="inlineStr">
        <is>
          <t>Monday</t>
        </is>
      </c>
      <c r="C4013" t="inlineStr">
        <is>
          <t>Week4-Jul-2026</t>
        </is>
      </c>
      <c r="D4013" s="78" t="n">
        <v>46204</v>
      </c>
      <c r="E4013" t="inlineStr">
        <is>
          <t>Q2FY27</t>
        </is>
      </c>
      <c r="F4013" t="inlineStr">
        <is>
          <t>25-Jun-2030</t>
        </is>
      </c>
      <c r="G4013" t="inlineStr">
        <is>
          <t>Tuesday</t>
        </is>
      </c>
      <c r="H4013" t="inlineStr">
        <is>
          <t>Monthly - Tuesday</t>
        </is>
      </c>
      <c r="I4013" t="inlineStr">
        <is>
          <t>Monthly - Tuesday</t>
        </is>
      </c>
      <c r="J4013" t="inlineStr">
        <is>
          <t>Month+47 Expiry</t>
        </is>
      </c>
      <c r="K4013" s="25" t="n">
        <v>0</v>
      </c>
      <c r="L4013" s="26" t="n">
        <v>0</v>
      </c>
      <c r="M4013" s="26" t="n">
        <v>0</v>
      </c>
    </row>
    <row r="4014">
      <c r="A4014" t="inlineStr">
        <is>
          <t>27-Jul-2026</t>
        </is>
      </c>
      <c r="B4014" t="inlineStr">
        <is>
          <t>Monday</t>
        </is>
      </c>
      <c r="C4014" t="inlineStr">
        <is>
          <t>Week4-Jul-2026</t>
        </is>
      </c>
      <c r="D4014" s="78" t="n">
        <v>46204</v>
      </c>
      <c r="E4014" t="inlineStr">
        <is>
          <t>Q2FY27</t>
        </is>
      </c>
      <c r="F4014" t="inlineStr">
        <is>
          <t>31-Dec-2030</t>
        </is>
      </c>
      <c r="G4014" t="inlineStr">
        <is>
          <t>Tuesday</t>
        </is>
      </c>
      <c r="H4014" t="inlineStr">
        <is>
          <t>Monthly - Tuesday</t>
        </is>
      </c>
      <c r="I4014" t="inlineStr">
        <is>
          <t>Monthly - Tuesday</t>
        </is>
      </c>
      <c r="J4014" t="inlineStr">
        <is>
          <t>Month+53 Expiry</t>
        </is>
      </c>
      <c r="K4014" s="25" t="n">
        <v>0</v>
      </c>
      <c r="L4014" s="26" t="n">
        <v>0</v>
      </c>
      <c r="M4014" s="26" t="n">
        <v>0</v>
      </c>
    </row>
    <row r="4015">
      <c r="A4015" t="inlineStr">
        <is>
          <t>27-Jul-2026</t>
        </is>
      </c>
      <c r="B4015" t="inlineStr">
        <is>
          <t>Monday</t>
        </is>
      </c>
      <c r="C4015" t="inlineStr">
        <is>
          <t>Week4-Jul-2026</t>
        </is>
      </c>
      <c r="D4015" s="78" t="n">
        <v>46204</v>
      </c>
      <c r="E4015" t="inlineStr">
        <is>
          <t>Q2FY27</t>
        </is>
      </c>
      <c r="F4015" t="inlineStr">
        <is>
          <t>24-Jun-2031</t>
        </is>
      </c>
      <c r="G4015" t="inlineStr">
        <is>
          <t>Tuesday</t>
        </is>
      </c>
      <c r="H4015" t="inlineStr">
        <is>
          <t>Monthly - Tuesday</t>
        </is>
      </c>
      <c r="I4015" t="inlineStr">
        <is>
          <t>Monthly - Tuesday</t>
        </is>
      </c>
      <c r="J4015" t="inlineStr">
        <is>
          <t>Month+59 Expiry</t>
        </is>
      </c>
      <c r="K4015" s="25" t="n">
        <v>0</v>
      </c>
      <c r="L4015" s="26" t="n">
        <v>0</v>
      </c>
      <c r="M4015" s="26" t="n">
        <v>0</v>
      </c>
    </row>
    <row r="4016">
      <c r="A4016" t="inlineStr">
        <is>
          <t>28-Jul-2026</t>
        </is>
      </c>
      <c r="B4016" t="inlineStr">
        <is>
          <t>Tuesday</t>
        </is>
      </c>
      <c r="C4016" t="inlineStr">
        <is>
          <t>Week4-Jul-2026</t>
        </is>
      </c>
      <c r="D4016" s="78" t="n">
        <v>46204</v>
      </c>
      <c r="E4016" t="inlineStr">
        <is>
          <t>Q2FY27</t>
        </is>
      </c>
      <c r="F4016" t="inlineStr">
        <is>
          <t>28-Jul-2026</t>
        </is>
      </c>
      <c r="G4016" t="inlineStr">
        <is>
          <t>Tuesday</t>
        </is>
      </c>
      <c r="H4016" t="inlineStr">
        <is>
          <t>Monthly - Tuesday</t>
        </is>
      </c>
      <c r="I4016" t="inlineStr">
        <is>
          <t>MDAW - Tuesday</t>
        </is>
      </c>
      <c r="J4016" t="inlineStr">
        <is>
          <t>Same Month Expiry</t>
        </is>
      </c>
      <c r="K4016" s="25" t="n">
        <v>272473791</v>
      </c>
      <c r="L4016" s="26" t="n">
        <v>425256.1695</v>
      </c>
      <c r="M4016" s="26" t="n">
        <v>395.2016</v>
      </c>
    </row>
    <row r="4017">
      <c r="A4017" t="inlineStr">
        <is>
          <t>28-Jul-2026</t>
        </is>
      </c>
      <c r="B4017" t="inlineStr">
        <is>
          <t>Tuesday</t>
        </is>
      </c>
      <c r="C4017" t="inlineStr">
        <is>
          <t>Week4-Jul-2026</t>
        </is>
      </c>
      <c r="D4017" s="78" t="n">
        <v>46204</v>
      </c>
      <c r="E4017" t="inlineStr">
        <is>
          <t>Q2FY27</t>
        </is>
      </c>
      <c r="F4017" t="inlineStr">
        <is>
          <t>04-Aug-2026</t>
        </is>
      </c>
      <c r="G4017" t="inlineStr">
        <is>
          <t>Tuesday</t>
        </is>
      </c>
      <c r="H4017" t="inlineStr">
        <is>
          <t>Weekly - Tuesday</t>
        </is>
      </c>
      <c r="I4017" t="inlineStr">
        <is>
          <t>Weekly - Tuesday</t>
        </is>
      </c>
      <c r="J4017" t="inlineStr">
        <is>
          <t>Month+1 Expiry</t>
        </is>
      </c>
      <c r="K4017" s="25" t="n">
        <v>8004654</v>
      </c>
      <c r="L4017" s="26" t="n">
        <v>12508.7718</v>
      </c>
      <c r="M4017" s="26" t="n">
        <v>40.1098</v>
      </c>
    </row>
    <row r="4018">
      <c r="A4018" t="inlineStr">
        <is>
          <t>28-Jul-2026</t>
        </is>
      </c>
      <c r="B4018" t="inlineStr">
        <is>
          <t>Tuesday</t>
        </is>
      </c>
      <c r="C4018" t="inlineStr">
        <is>
          <t>Week4-Jul-2026</t>
        </is>
      </c>
      <c r="D4018" s="78" t="n">
        <v>46204</v>
      </c>
      <c r="E4018" t="inlineStr">
        <is>
          <t>Q2FY27</t>
        </is>
      </c>
      <c r="F4018" t="inlineStr">
        <is>
          <t>11-Aug-2026</t>
        </is>
      </c>
      <c r="G4018" t="inlineStr">
        <is>
          <t>Tuesday</t>
        </is>
      </c>
      <c r="H4018" t="inlineStr">
        <is>
          <t>Weekly - Tuesday</t>
        </is>
      </c>
      <c r="I4018" t="inlineStr">
        <is>
          <t>Weekly - Tuesday</t>
        </is>
      </c>
      <c r="J4018" t="inlineStr">
        <is>
          <t>Month+1 Expiry</t>
        </is>
      </c>
      <c r="K4018" s="25" t="n">
        <v>433206</v>
      </c>
      <c r="L4018" s="26" t="n">
        <v>676.2634</v>
      </c>
      <c r="M4018" s="26" t="n">
        <v>2.5408</v>
      </c>
    </row>
    <row r="4019">
      <c r="A4019" t="inlineStr">
        <is>
          <t>28-Jul-2026</t>
        </is>
      </c>
      <c r="B4019" t="inlineStr">
        <is>
          <t>Tuesday</t>
        </is>
      </c>
      <c r="C4019" t="inlineStr">
        <is>
          <t>Week4-Jul-2026</t>
        </is>
      </c>
      <c r="D4019" s="78" t="n">
        <v>46204</v>
      </c>
      <c r="E4019" t="inlineStr">
        <is>
          <t>Q2FY27</t>
        </is>
      </c>
      <c r="F4019" t="inlineStr">
        <is>
          <t>18-Aug-2026</t>
        </is>
      </c>
      <c r="G4019" t="inlineStr">
        <is>
          <t>Tuesday</t>
        </is>
      </c>
      <c r="H4019" t="inlineStr">
        <is>
          <t>Weekly - Tuesday</t>
        </is>
      </c>
      <c r="I4019" t="inlineStr">
        <is>
          <t>Weekly - Tuesday</t>
        </is>
      </c>
      <c r="J4019" t="inlineStr">
        <is>
          <t>Month+1 Expiry</t>
        </is>
      </c>
      <c r="K4019" s="25" t="n">
        <v>32490</v>
      </c>
      <c r="L4019" s="26" t="n">
        <v>50.8563</v>
      </c>
      <c r="M4019" s="26" t="n">
        <v>0.3114</v>
      </c>
    </row>
    <row r="4020">
      <c r="A4020" t="inlineStr">
        <is>
          <t>28-Jul-2026</t>
        </is>
      </c>
      <c r="B4020" t="inlineStr">
        <is>
          <t>Tuesday</t>
        </is>
      </c>
      <c r="C4020" t="inlineStr">
        <is>
          <t>Week4-Jul-2026</t>
        </is>
      </c>
      <c r="D4020" s="78" t="n">
        <v>46204</v>
      </c>
      <c r="E4020" t="inlineStr">
        <is>
          <t>Q2FY27</t>
        </is>
      </c>
      <c r="F4020" t="inlineStr">
        <is>
          <t>25-Aug-2026</t>
        </is>
      </c>
      <c r="G4020" t="inlineStr">
        <is>
          <t>Tuesday</t>
        </is>
      </c>
      <c r="H4020" t="inlineStr">
        <is>
          <t>Monthly - Tuesday</t>
        </is>
      </c>
      <c r="I4020" t="inlineStr">
        <is>
          <t>Monthly - Tuesday</t>
        </is>
      </c>
      <c r="J4020" t="inlineStr">
        <is>
          <t>Month+1 Expiry</t>
        </is>
      </c>
      <c r="K4020" s="25" t="n">
        <v>798155</v>
      </c>
      <c r="L4020" s="26" t="n">
        <v>1262.6006</v>
      </c>
      <c r="M4020" s="26" t="n">
        <v>12.1286</v>
      </c>
    </row>
    <row r="4021">
      <c r="A4021" t="inlineStr">
        <is>
          <t>28-Jul-2026</t>
        </is>
      </c>
      <c r="B4021" t="inlineStr">
        <is>
          <t>Tuesday</t>
        </is>
      </c>
      <c r="C4021" t="inlineStr">
        <is>
          <t>Week4-Jul-2026</t>
        </is>
      </c>
      <c r="D4021" s="78" t="n">
        <v>46204</v>
      </c>
      <c r="E4021" t="inlineStr">
        <is>
          <t>Q2FY27</t>
        </is>
      </c>
      <c r="F4021" t="inlineStr">
        <is>
          <t>01-Sep-2026</t>
        </is>
      </c>
      <c r="G4021" t="inlineStr">
        <is>
          <t>Tuesday</t>
        </is>
      </c>
      <c r="H4021" t="inlineStr">
        <is>
          <t>Weekly - Tuesday</t>
        </is>
      </c>
      <c r="I4021" t="inlineStr">
        <is>
          <t>Weekly - Tuesday</t>
        </is>
      </c>
      <c r="J4021" t="inlineStr">
        <is>
          <t>Month+2 Expiry</t>
        </is>
      </c>
      <c r="K4021" s="25" t="n">
        <v>2790</v>
      </c>
      <c r="L4021" s="26" t="n">
        <v>4.3835</v>
      </c>
      <c r="M4021" s="26" t="n">
        <v>0.0266</v>
      </c>
    </row>
    <row r="4022">
      <c r="A4022" t="inlineStr">
        <is>
          <t>28-Jul-2026</t>
        </is>
      </c>
      <c r="B4022" t="inlineStr">
        <is>
          <t>Tuesday</t>
        </is>
      </c>
      <c r="C4022" t="inlineStr">
        <is>
          <t>Week4-Jul-2026</t>
        </is>
      </c>
      <c r="D4022" s="78" t="n">
        <v>46204</v>
      </c>
      <c r="E4022" t="inlineStr">
        <is>
          <t>Q2FY27</t>
        </is>
      </c>
      <c r="F4022" t="inlineStr">
        <is>
          <t>29-Sep-2026</t>
        </is>
      </c>
      <c r="G4022" t="inlineStr">
        <is>
          <t>Tuesday</t>
        </is>
      </c>
      <c r="H4022" t="inlineStr">
        <is>
          <t>Monthly - Tuesday</t>
        </is>
      </c>
      <c r="I4022" t="inlineStr">
        <is>
          <t>Monthly - Tuesday</t>
        </is>
      </c>
      <c r="J4022" t="inlineStr">
        <is>
          <t>Month+2 Expiry</t>
        </is>
      </c>
      <c r="K4022" s="25" t="n">
        <v>105470</v>
      </c>
      <c r="L4022" s="26" t="n">
        <v>166.438</v>
      </c>
      <c r="M4022" s="26" t="n">
        <v>1.5647</v>
      </c>
    </row>
    <row r="4023">
      <c r="A4023" t="inlineStr">
        <is>
          <t>28-Jul-2026</t>
        </is>
      </c>
      <c r="B4023" t="inlineStr">
        <is>
          <t>Tuesday</t>
        </is>
      </c>
      <c r="C4023" t="inlineStr">
        <is>
          <t>Week4-Jul-2026</t>
        </is>
      </c>
      <c r="D4023" s="78" t="n">
        <v>46204</v>
      </c>
      <c r="E4023" t="inlineStr">
        <is>
          <t>Q2FY27</t>
        </is>
      </c>
      <c r="F4023" t="inlineStr">
        <is>
          <t>29-Dec-2026</t>
        </is>
      </c>
      <c r="G4023" t="inlineStr">
        <is>
          <t>Tuesday</t>
        </is>
      </c>
      <c r="H4023" t="inlineStr">
        <is>
          <t>Monthly - Tuesday</t>
        </is>
      </c>
      <c r="I4023" t="inlineStr">
        <is>
          <t>Monthly - Tuesday</t>
        </is>
      </c>
      <c r="J4023" t="inlineStr">
        <is>
          <t>Month+5 Expiry</t>
        </is>
      </c>
      <c r="K4023" s="25" t="n">
        <v>35294</v>
      </c>
      <c r="L4023" s="26" t="n">
        <v>55.7599</v>
      </c>
      <c r="M4023" s="26" t="n">
        <v>0.9514</v>
      </c>
    </row>
    <row r="4024">
      <c r="A4024" t="inlineStr">
        <is>
          <t>28-Jul-2026</t>
        </is>
      </c>
      <c r="B4024" t="inlineStr">
        <is>
          <t>Tuesday</t>
        </is>
      </c>
      <c r="C4024" t="inlineStr">
        <is>
          <t>Week4-Jul-2026</t>
        </is>
      </c>
      <c r="D4024" s="78" t="n">
        <v>46204</v>
      </c>
      <c r="E4024" t="inlineStr">
        <is>
          <t>Q2FY27</t>
        </is>
      </c>
      <c r="F4024" t="inlineStr">
        <is>
          <t>30-Mar-2027</t>
        </is>
      </c>
      <c r="G4024" t="inlineStr">
        <is>
          <t>Tuesday</t>
        </is>
      </c>
      <c r="H4024" t="inlineStr">
        <is>
          <t>Monthly - Tuesday</t>
        </is>
      </c>
      <c r="I4024" t="inlineStr">
        <is>
          <t>Monthly - Tuesday</t>
        </is>
      </c>
      <c r="J4024" t="inlineStr">
        <is>
          <t>Month+8 Expiry</t>
        </is>
      </c>
      <c r="K4024" s="25" t="n">
        <v>4939</v>
      </c>
      <c r="L4024" s="26" t="n">
        <v>8.294</v>
      </c>
      <c r="M4024" s="26" t="n">
        <v>0.1746</v>
      </c>
    </row>
    <row r="4025">
      <c r="A4025" t="inlineStr">
        <is>
          <t>28-Jul-2026</t>
        </is>
      </c>
      <c r="B4025" t="inlineStr">
        <is>
          <t>Tuesday</t>
        </is>
      </c>
      <c r="C4025" t="inlineStr">
        <is>
          <t>Week4-Jul-2026</t>
        </is>
      </c>
      <c r="D4025" s="78" t="n">
        <v>46204</v>
      </c>
      <c r="E4025" t="inlineStr">
        <is>
          <t>Q2FY27</t>
        </is>
      </c>
      <c r="F4025" t="inlineStr">
        <is>
          <t>29-Jun-2027</t>
        </is>
      </c>
      <c r="G4025" t="inlineStr">
        <is>
          <t>Tuesday</t>
        </is>
      </c>
      <c r="H4025" t="inlineStr">
        <is>
          <t>Monthly - Tuesday</t>
        </is>
      </c>
      <c r="I4025" t="inlineStr">
        <is>
          <t>Monthly - Tuesday</t>
        </is>
      </c>
      <c r="J4025" t="inlineStr">
        <is>
          <t>Month+11 Expiry</t>
        </is>
      </c>
      <c r="K4025" s="25" t="n">
        <v>4</v>
      </c>
      <c r="L4025" s="26" t="n">
        <v>0.0068</v>
      </c>
      <c r="M4025" s="26" t="n">
        <v>0.0005</v>
      </c>
    </row>
    <row r="4026">
      <c r="A4026" t="inlineStr">
        <is>
          <t>28-Jul-2026</t>
        </is>
      </c>
      <c r="B4026" t="inlineStr">
        <is>
          <t>Tuesday</t>
        </is>
      </c>
      <c r="C4026" t="inlineStr">
        <is>
          <t>Week4-Jul-2026</t>
        </is>
      </c>
      <c r="D4026" s="78" t="n">
        <v>46204</v>
      </c>
      <c r="E4026" t="inlineStr">
        <is>
          <t>Q2FY27</t>
        </is>
      </c>
      <c r="F4026" t="inlineStr">
        <is>
          <t>28-Dec-2027</t>
        </is>
      </c>
      <c r="G4026" t="inlineStr">
        <is>
          <t>Tuesday</t>
        </is>
      </c>
      <c r="H4026" t="inlineStr">
        <is>
          <t>Monthly - Tuesday</t>
        </is>
      </c>
      <c r="I4026" t="inlineStr">
        <is>
          <t>Monthly - Tuesday</t>
        </is>
      </c>
      <c r="J4026" t="inlineStr">
        <is>
          <t>Month+17 Expiry</t>
        </is>
      </c>
      <c r="K4026" s="25" t="n">
        <v>508</v>
      </c>
      <c r="L4026" s="26" t="n">
        <v>0.8584000000000001</v>
      </c>
      <c r="M4026" s="26" t="n">
        <v>0.0321</v>
      </c>
    </row>
    <row r="4027">
      <c r="A4027" t="inlineStr">
        <is>
          <t>28-Jul-2026</t>
        </is>
      </c>
      <c r="B4027" t="inlineStr">
        <is>
          <t>Tuesday</t>
        </is>
      </c>
      <c r="C4027" t="inlineStr">
        <is>
          <t>Week4-Jul-2026</t>
        </is>
      </c>
      <c r="D4027" s="78" t="n">
        <v>46204</v>
      </c>
      <c r="E4027" t="inlineStr">
        <is>
          <t>Q2FY27</t>
        </is>
      </c>
      <c r="F4027" t="inlineStr">
        <is>
          <t>27-Jun-2028</t>
        </is>
      </c>
      <c r="G4027" t="inlineStr">
        <is>
          <t>Tuesday</t>
        </is>
      </c>
      <c r="H4027" t="inlineStr">
        <is>
          <t>Monthly - Tuesday</t>
        </is>
      </c>
      <c r="I4027" t="inlineStr">
        <is>
          <t>Monthly - Tuesday</t>
        </is>
      </c>
      <c r="J4027" t="inlineStr">
        <is>
          <t>Month+23 Expiry</t>
        </is>
      </c>
      <c r="K4027" s="25" t="n">
        <v>0</v>
      </c>
      <c r="L4027" s="26" t="n">
        <v>0</v>
      </c>
      <c r="M4027" s="26" t="n">
        <v>0</v>
      </c>
    </row>
    <row r="4028">
      <c r="A4028" t="inlineStr">
        <is>
          <t>28-Jul-2026</t>
        </is>
      </c>
      <c r="B4028" t="inlineStr">
        <is>
          <t>Tuesday</t>
        </is>
      </c>
      <c r="C4028" t="inlineStr">
        <is>
          <t>Week4-Jul-2026</t>
        </is>
      </c>
      <c r="D4028" s="78" t="n">
        <v>46204</v>
      </c>
      <c r="E4028" t="inlineStr">
        <is>
          <t>Q2FY27</t>
        </is>
      </c>
      <c r="F4028" t="inlineStr">
        <is>
          <t>26-Dec-2028</t>
        </is>
      </c>
      <c r="G4028" t="inlineStr">
        <is>
          <t>Tuesday</t>
        </is>
      </c>
      <c r="H4028" t="inlineStr">
        <is>
          <t>Monthly - Tuesday</t>
        </is>
      </c>
      <c r="I4028" t="inlineStr">
        <is>
          <t>Monthly - Tuesday</t>
        </is>
      </c>
      <c r="J4028" t="inlineStr">
        <is>
          <t>Month+29 Expiry</t>
        </is>
      </c>
      <c r="K4028" s="25" t="n">
        <v>4</v>
      </c>
      <c r="L4028" s="26" t="n">
        <v>0.0068</v>
      </c>
      <c r="M4028" s="26" t="n">
        <v>0.0003</v>
      </c>
    </row>
    <row r="4029">
      <c r="A4029" t="inlineStr">
        <is>
          <t>28-Jul-2026</t>
        </is>
      </c>
      <c r="B4029" t="inlineStr">
        <is>
          <t>Tuesday</t>
        </is>
      </c>
      <c r="C4029" t="inlineStr">
        <is>
          <t>Week4-Jul-2026</t>
        </is>
      </c>
      <c r="D4029" s="78" t="n">
        <v>46204</v>
      </c>
      <c r="E4029" t="inlineStr">
        <is>
          <t>Q2FY27</t>
        </is>
      </c>
      <c r="F4029" t="inlineStr">
        <is>
          <t>26-Jun-2029</t>
        </is>
      </c>
      <c r="G4029" t="inlineStr">
        <is>
          <t>Tuesday</t>
        </is>
      </c>
      <c r="H4029" t="inlineStr">
        <is>
          <t>Monthly - Tuesday</t>
        </is>
      </c>
      <c r="I4029" t="inlineStr">
        <is>
          <t>Monthly - Tuesday</t>
        </is>
      </c>
      <c r="J4029" t="inlineStr">
        <is>
          <t>Month+35 Expiry</t>
        </is>
      </c>
      <c r="K4029" s="25" t="n">
        <v>0</v>
      </c>
      <c r="L4029" s="26" t="n">
        <v>0</v>
      </c>
      <c r="M4029" s="26" t="n">
        <v>0</v>
      </c>
    </row>
    <row r="4030">
      <c r="A4030" t="inlineStr">
        <is>
          <t>28-Jul-2026</t>
        </is>
      </c>
      <c r="B4030" t="inlineStr">
        <is>
          <t>Tuesday</t>
        </is>
      </c>
      <c r="C4030" t="inlineStr">
        <is>
          <t>Week4-Jul-2026</t>
        </is>
      </c>
      <c r="D4030" s="78" t="n">
        <v>46204</v>
      </c>
      <c r="E4030" t="inlineStr">
        <is>
          <t>Q2FY27</t>
        </is>
      </c>
      <c r="F4030" t="inlineStr">
        <is>
          <t>24-Dec-2029</t>
        </is>
      </c>
      <c r="G4030" t="inlineStr">
        <is>
          <t>Monday</t>
        </is>
      </c>
      <c r="H4030" t="inlineStr">
        <is>
          <t>Weekly - Monday</t>
        </is>
      </c>
      <c r="I4030" t="inlineStr">
        <is>
          <t>Weekly - Monday</t>
        </is>
      </c>
      <c r="J4030" t="inlineStr">
        <is>
          <t>Month+41 Expiry</t>
        </is>
      </c>
      <c r="K4030" s="25" t="n">
        <v>0</v>
      </c>
      <c r="L4030" s="26" t="n">
        <v>0</v>
      </c>
      <c r="M4030" s="26" t="n">
        <v>0</v>
      </c>
    </row>
    <row r="4031">
      <c r="A4031" t="inlineStr">
        <is>
          <t>28-Jul-2026</t>
        </is>
      </c>
      <c r="B4031" t="inlineStr">
        <is>
          <t>Tuesday</t>
        </is>
      </c>
      <c r="C4031" t="inlineStr">
        <is>
          <t>Week4-Jul-2026</t>
        </is>
      </c>
      <c r="D4031" s="78" t="n">
        <v>46204</v>
      </c>
      <c r="E4031" t="inlineStr">
        <is>
          <t>Q2FY27</t>
        </is>
      </c>
      <c r="F4031" t="inlineStr">
        <is>
          <t>25-Jun-2030</t>
        </is>
      </c>
      <c r="G4031" t="inlineStr">
        <is>
          <t>Tuesday</t>
        </is>
      </c>
      <c r="H4031" t="inlineStr">
        <is>
          <t>Monthly - Tuesday</t>
        </is>
      </c>
      <c r="I4031" t="inlineStr">
        <is>
          <t>Monthly - Tuesday</t>
        </is>
      </c>
      <c r="J4031" t="inlineStr">
        <is>
          <t>Month+47 Expiry</t>
        </is>
      </c>
      <c r="K4031" s="25" t="n">
        <v>0</v>
      </c>
      <c r="L4031" s="26" t="n">
        <v>0</v>
      </c>
      <c r="M4031" s="26" t="n">
        <v>0</v>
      </c>
    </row>
    <row r="4032">
      <c r="A4032" t="inlineStr">
        <is>
          <t>28-Jul-2026</t>
        </is>
      </c>
      <c r="B4032" t="inlineStr">
        <is>
          <t>Tuesday</t>
        </is>
      </c>
      <c r="C4032" t="inlineStr">
        <is>
          <t>Week4-Jul-2026</t>
        </is>
      </c>
      <c r="D4032" s="78" t="n">
        <v>46204</v>
      </c>
      <c r="E4032" t="inlineStr">
        <is>
          <t>Q2FY27</t>
        </is>
      </c>
      <c r="F4032" t="inlineStr">
        <is>
          <t>31-Dec-2030</t>
        </is>
      </c>
      <c r="G4032" t="inlineStr">
        <is>
          <t>Tuesday</t>
        </is>
      </c>
      <c r="H4032" t="inlineStr">
        <is>
          <t>Monthly - Tuesday</t>
        </is>
      </c>
      <c r="I4032" t="inlineStr">
        <is>
          <t>Monthly - Tuesday</t>
        </is>
      </c>
      <c r="J4032" t="inlineStr">
        <is>
          <t>Month+53 Expiry</t>
        </is>
      </c>
      <c r="K4032" s="25" t="n">
        <v>0</v>
      </c>
      <c r="L4032" s="26" t="n">
        <v>0</v>
      </c>
      <c r="M4032" s="26" t="n">
        <v>0</v>
      </c>
    </row>
    <row r="4033">
      <c r="A4033" t="inlineStr">
        <is>
          <t>28-Jul-2026</t>
        </is>
      </c>
      <c r="B4033" t="inlineStr">
        <is>
          <t>Tuesday</t>
        </is>
      </c>
      <c r="C4033" t="inlineStr">
        <is>
          <t>Week4-Jul-2026</t>
        </is>
      </c>
      <c r="D4033" s="78" t="n">
        <v>46204</v>
      </c>
      <c r="E4033" t="inlineStr">
        <is>
          <t>Q2FY27</t>
        </is>
      </c>
      <c r="F4033" t="inlineStr">
        <is>
          <t>24-Jun-2031</t>
        </is>
      </c>
      <c r="G4033" t="inlineStr">
        <is>
          <t>Tuesday</t>
        </is>
      </c>
      <c r="H4033" t="inlineStr">
        <is>
          <t>Monthly - Tuesday</t>
        </is>
      </c>
      <c r="I4033" t="inlineStr">
        <is>
          <t>Monthly - Tuesday</t>
        </is>
      </c>
      <c r="J4033" t="inlineStr">
        <is>
          <t>Month+59 Expiry</t>
        </is>
      </c>
      <c r="K4033" s="25" t="n">
        <v>1</v>
      </c>
      <c r="L4033" s="26" t="n">
        <v>0.0016</v>
      </c>
      <c r="M4033" s="26" t="n">
        <v>0.0001</v>
      </c>
    </row>
    <row r="4034">
      <c r="A4034" t="inlineStr">
        <is>
          <t>29-Jul-2026</t>
        </is>
      </c>
      <c r="B4034" t="inlineStr">
        <is>
          <t>Wednesday</t>
        </is>
      </c>
      <c r="C4034" t="inlineStr">
        <is>
          <t>Week5-Jul-2026</t>
        </is>
      </c>
      <c r="D4034" s="78" t="n">
        <v>46204</v>
      </c>
      <c r="E4034" t="inlineStr">
        <is>
          <t>Q2FY27</t>
        </is>
      </c>
      <c r="F4034" t="inlineStr">
        <is>
          <t>04-Aug-2026</t>
        </is>
      </c>
      <c r="G4034" t="inlineStr">
        <is>
          <t>Tuesday</t>
        </is>
      </c>
      <c r="H4034" t="inlineStr">
        <is>
          <t>Weekly - Tuesday</t>
        </is>
      </c>
      <c r="I4034" t="inlineStr">
        <is>
          <t>Weekly - Tuesday</t>
        </is>
      </c>
      <c r="J4034" t="inlineStr">
        <is>
          <t>Month+1 Expiry</t>
        </is>
      </c>
      <c r="K4034" s="25" t="n">
        <v>34998852</v>
      </c>
      <c r="L4034" s="26" t="n">
        <v>55171.259</v>
      </c>
      <c r="M4034" s="26" t="n">
        <v>181.1414</v>
      </c>
    </row>
    <row r="4035">
      <c r="A4035" t="inlineStr">
        <is>
          <t>29-Jul-2026</t>
        </is>
      </c>
      <c r="B4035" t="inlineStr">
        <is>
          <t>Wednesday</t>
        </is>
      </c>
      <c r="C4035" t="inlineStr">
        <is>
          <t>Week5-Jul-2026</t>
        </is>
      </c>
      <c r="D4035" s="78" t="n">
        <v>46204</v>
      </c>
      <c r="E4035" t="inlineStr">
        <is>
          <t>Q2FY27</t>
        </is>
      </c>
      <c r="F4035" t="inlineStr">
        <is>
          <t>11-Aug-2026</t>
        </is>
      </c>
      <c r="G4035" t="inlineStr">
        <is>
          <t>Tuesday</t>
        </is>
      </c>
      <c r="H4035" t="inlineStr">
        <is>
          <t>Weekly - Tuesday</t>
        </is>
      </c>
      <c r="I4035" t="inlineStr">
        <is>
          <t>Weekly - Tuesday</t>
        </is>
      </c>
      <c r="J4035" t="inlineStr">
        <is>
          <t>Month+1 Expiry</t>
        </is>
      </c>
      <c r="K4035" s="25" t="n">
        <v>1153583</v>
      </c>
      <c r="L4035" s="26" t="n">
        <v>1796.1357</v>
      </c>
      <c r="M4035" s="26" t="n">
        <v>6.2829</v>
      </c>
    </row>
    <row r="4036">
      <c r="A4036" t="inlineStr">
        <is>
          <t>29-Jul-2026</t>
        </is>
      </c>
      <c r="B4036" t="inlineStr">
        <is>
          <t>Wednesday</t>
        </is>
      </c>
      <c r="C4036" t="inlineStr">
        <is>
          <t>Week5-Jul-2026</t>
        </is>
      </c>
      <c r="D4036" s="78" t="n">
        <v>46204</v>
      </c>
      <c r="E4036" t="inlineStr">
        <is>
          <t>Q2FY27</t>
        </is>
      </c>
      <c r="F4036" t="inlineStr">
        <is>
          <t>18-Aug-2026</t>
        </is>
      </c>
      <c r="G4036" t="inlineStr">
        <is>
          <t>Tuesday</t>
        </is>
      </c>
      <c r="H4036" t="inlineStr">
        <is>
          <t>Weekly - Tuesday</t>
        </is>
      </c>
      <c r="I4036" t="inlineStr">
        <is>
          <t>Weekly - Tuesday</t>
        </is>
      </c>
      <c r="J4036" t="inlineStr">
        <is>
          <t>Month+1 Expiry</t>
        </is>
      </c>
      <c r="K4036" s="25" t="n">
        <v>76127</v>
      </c>
      <c r="L4036" s="26" t="n">
        <v>119.5798</v>
      </c>
      <c r="M4036" s="26" t="n">
        <v>0.6864</v>
      </c>
    </row>
    <row r="4037">
      <c r="A4037" t="inlineStr">
        <is>
          <t>29-Jul-2026</t>
        </is>
      </c>
      <c r="B4037" t="inlineStr">
        <is>
          <t>Wednesday</t>
        </is>
      </c>
      <c r="C4037" t="inlineStr">
        <is>
          <t>Week5-Jul-2026</t>
        </is>
      </c>
      <c r="D4037" s="78" t="n">
        <v>46204</v>
      </c>
      <c r="E4037" t="inlineStr">
        <is>
          <t>Q2FY27</t>
        </is>
      </c>
      <c r="F4037" t="inlineStr">
        <is>
          <t>25-Aug-2026</t>
        </is>
      </c>
      <c r="G4037" t="inlineStr">
        <is>
          <t>Tuesday</t>
        </is>
      </c>
      <c r="H4037" t="inlineStr">
        <is>
          <t>Monthly - Tuesday</t>
        </is>
      </c>
      <c r="I4037" t="inlineStr">
        <is>
          <t>Monthly - Tuesday</t>
        </is>
      </c>
      <c r="J4037" t="inlineStr">
        <is>
          <t>Month+1 Expiry</t>
        </is>
      </c>
      <c r="K4037" s="25" t="n">
        <v>1253553</v>
      </c>
      <c r="L4037" s="26" t="n">
        <v>1979.9492</v>
      </c>
      <c r="M4037" s="26" t="n">
        <v>15.529</v>
      </c>
    </row>
    <row r="4038">
      <c r="A4038" t="inlineStr">
        <is>
          <t>29-Jul-2026</t>
        </is>
      </c>
      <c r="B4038" t="inlineStr">
        <is>
          <t>Wednesday</t>
        </is>
      </c>
      <c r="C4038" t="inlineStr">
        <is>
          <t>Week5-Jul-2026</t>
        </is>
      </c>
      <c r="D4038" s="78" t="n">
        <v>46204</v>
      </c>
      <c r="E4038" t="inlineStr">
        <is>
          <t>Q2FY27</t>
        </is>
      </c>
      <c r="F4038" t="inlineStr">
        <is>
          <t>01-Sep-2026</t>
        </is>
      </c>
      <c r="G4038" t="inlineStr">
        <is>
          <t>Tuesday</t>
        </is>
      </c>
      <c r="H4038" t="inlineStr">
        <is>
          <t>Weekly - Tuesday</t>
        </is>
      </c>
      <c r="I4038" t="inlineStr">
        <is>
          <t>Weekly - Tuesday</t>
        </is>
      </c>
      <c r="J4038" t="inlineStr">
        <is>
          <t>Month+2 Expiry</t>
        </is>
      </c>
      <c r="K4038" s="25" t="n">
        <v>5080</v>
      </c>
      <c r="L4038" s="26" t="n">
        <v>8.030099999999999</v>
      </c>
      <c r="M4038" s="26" t="n">
        <v>0.0567</v>
      </c>
    </row>
    <row r="4039">
      <c r="A4039" t="inlineStr">
        <is>
          <t>29-Jul-2026</t>
        </is>
      </c>
      <c r="B4039" t="inlineStr">
        <is>
          <t>Wednesday</t>
        </is>
      </c>
      <c r="C4039" t="inlineStr">
        <is>
          <t>Week5-Jul-2026</t>
        </is>
      </c>
      <c r="D4039" s="78" t="n">
        <v>46204</v>
      </c>
      <c r="E4039" t="inlineStr">
        <is>
          <t>Q2FY27</t>
        </is>
      </c>
      <c r="F4039" t="inlineStr">
        <is>
          <t>29-Sep-2026</t>
        </is>
      </c>
      <c r="G4039" t="inlineStr">
        <is>
          <t>Tuesday</t>
        </is>
      </c>
      <c r="H4039" t="inlineStr">
        <is>
          <t>Monthly - Tuesday</t>
        </is>
      </c>
      <c r="I4039" t="inlineStr">
        <is>
          <t>Monthly - Tuesday</t>
        </is>
      </c>
      <c r="J4039" t="inlineStr">
        <is>
          <t>Month+2 Expiry</t>
        </is>
      </c>
      <c r="K4039" s="25" t="n">
        <v>219917</v>
      </c>
      <c r="L4039" s="26" t="n">
        <v>345.3222</v>
      </c>
      <c r="M4039" s="26" t="n">
        <v>2.9809</v>
      </c>
    </row>
    <row r="4040">
      <c r="A4040" t="inlineStr">
        <is>
          <t>29-Jul-2026</t>
        </is>
      </c>
      <c r="B4040" t="inlineStr">
        <is>
          <t>Wednesday</t>
        </is>
      </c>
      <c r="C4040" t="inlineStr">
        <is>
          <t>Week5-Jul-2026</t>
        </is>
      </c>
      <c r="D4040" s="78" t="n">
        <v>46204</v>
      </c>
      <c r="E4040" t="inlineStr">
        <is>
          <t>Q2FY27</t>
        </is>
      </c>
      <c r="F4040" t="inlineStr">
        <is>
          <t>27-Oct-2026</t>
        </is>
      </c>
      <c r="G4040" t="inlineStr">
        <is>
          <t>Tuesday</t>
        </is>
      </c>
      <c r="H4040" t="inlineStr">
        <is>
          <t>Monthly - Tuesday</t>
        </is>
      </c>
      <c r="I4040" t="inlineStr">
        <is>
          <t>Monthly - Tuesday</t>
        </is>
      </c>
      <c r="J4040" t="inlineStr">
        <is>
          <t>Month+3 Expiry</t>
        </is>
      </c>
      <c r="K4040" s="25" t="n">
        <v>16705</v>
      </c>
      <c r="L4040" s="26" t="n">
        <v>26.4327</v>
      </c>
      <c r="M4040" s="26" t="n">
        <v>0.2606</v>
      </c>
    </row>
    <row r="4041">
      <c r="A4041" t="inlineStr">
        <is>
          <t>29-Jul-2026</t>
        </is>
      </c>
      <c r="B4041" t="inlineStr">
        <is>
          <t>Wednesday</t>
        </is>
      </c>
      <c r="C4041" t="inlineStr">
        <is>
          <t>Week5-Jul-2026</t>
        </is>
      </c>
      <c r="D4041" s="78" t="n">
        <v>46204</v>
      </c>
      <c r="E4041" t="inlineStr">
        <is>
          <t>Q2FY27</t>
        </is>
      </c>
      <c r="F4041" t="inlineStr">
        <is>
          <t>29-Dec-2026</t>
        </is>
      </c>
      <c r="G4041" t="inlineStr">
        <is>
          <t>Tuesday</t>
        </is>
      </c>
      <c r="H4041" t="inlineStr">
        <is>
          <t>Monthly - Tuesday</t>
        </is>
      </c>
      <c r="I4041" t="inlineStr">
        <is>
          <t>Monthly - Tuesday</t>
        </is>
      </c>
      <c r="J4041" t="inlineStr">
        <is>
          <t>Month+5 Expiry</t>
        </is>
      </c>
      <c r="K4041" s="25" t="n">
        <v>69083</v>
      </c>
      <c r="L4041" s="26" t="n">
        <v>109.0022</v>
      </c>
      <c r="M4041" s="26" t="n">
        <v>1.7621</v>
      </c>
    </row>
    <row r="4042">
      <c r="A4042" t="inlineStr">
        <is>
          <t>29-Jul-2026</t>
        </is>
      </c>
      <c r="B4042" t="inlineStr">
        <is>
          <t>Wednesday</t>
        </is>
      </c>
      <c r="C4042" t="inlineStr">
        <is>
          <t>Week5-Jul-2026</t>
        </is>
      </c>
      <c r="D4042" s="78" t="n">
        <v>46204</v>
      </c>
      <c r="E4042" t="inlineStr">
        <is>
          <t>Q2FY27</t>
        </is>
      </c>
      <c r="F4042" t="inlineStr">
        <is>
          <t>30-Mar-2027</t>
        </is>
      </c>
      <c r="G4042" t="inlineStr">
        <is>
          <t>Tuesday</t>
        </is>
      </c>
      <c r="H4042" t="inlineStr">
        <is>
          <t>Monthly - Tuesday</t>
        </is>
      </c>
      <c r="I4042" t="inlineStr">
        <is>
          <t>Monthly - Tuesday</t>
        </is>
      </c>
      <c r="J4042" t="inlineStr">
        <is>
          <t>Month+8 Expiry</t>
        </is>
      </c>
      <c r="K4042" s="25" t="n">
        <v>7919</v>
      </c>
      <c r="L4042" s="26" t="n">
        <v>13.1332</v>
      </c>
      <c r="M4042" s="26" t="n">
        <v>0.2481</v>
      </c>
    </row>
    <row r="4043">
      <c r="A4043" t="inlineStr">
        <is>
          <t>29-Jul-2026</t>
        </is>
      </c>
      <c r="B4043" t="inlineStr">
        <is>
          <t>Wednesday</t>
        </is>
      </c>
      <c r="C4043" t="inlineStr">
        <is>
          <t>Week5-Jul-2026</t>
        </is>
      </c>
      <c r="D4043" s="78" t="n">
        <v>46204</v>
      </c>
      <c r="E4043" t="inlineStr">
        <is>
          <t>Q2FY27</t>
        </is>
      </c>
      <c r="F4043" t="inlineStr">
        <is>
          <t>29-Jun-2027</t>
        </is>
      </c>
      <c r="G4043" t="inlineStr">
        <is>
          <t>Tuesday</t>
        </is>
      </c>
      <c r="H4043" t="inlineStr">
        <is>
          <t>Monthly - Tuesday</t>
        </is>
      </c>
      <c r="I4043" t="inlineStr">
        <is>
          <t>Monthly - Tuesday</t>
        </is>
      </c>
      <c r="J4043" t="inlineStr">
        <is>
          <t>Month+11 Expiry</t>
        </is>
      </c>
      <c r="K4043" s="25" t="n">
        <v>15</v>
      </c>
      <c r="L4043" s="26" t="n">
        <v>0.0227</v>
      </c>
      <c r="M4043" s="26" t="n">
        <v>0.0009</v>
      </c>
    </row>
    <row r="4044">
      <c r="A4044" t="inlineStr">
        <is>
          <t>29-Jul-2026</t>
        </is>
      </c>
      <c r="B4044" t="inlineStr">
        <is>
          <t>Wednesday</t>
        </is>
      </c>
      <c r="C4044" t="inlineStr">
        <is>
          <t>Week5-Jul-2026</t>
        </is>
      </c>
      <c r="D4044" s="78" t="n">
        <v>46204</v>
      </c>
      <c r="E4044" t="inlineStr">
        <is>
          <t>Q2FY27</t>
        </is>
      </c>
      <c r="F4044" t="inlineStr">
        <is>
          <t>28-Dec-2027</t>
        </is>
      </c>
      <c r="G4044" t="inlineStr">
        <is>
          <t>Tuesday</t>
        </is>
      </c>
      <c r="H4044" t="inlineStr">
        <is>
          <t>Monthly - Tuesday</t>
        </is>
      </c>
      <c r="I4044" t="inlineStr">
        <is>
          <t>Monthly - Tuesday</t>
        </is>
      </c>
      <c r="J4044" t="inlineStr">
        <is>
          <t>Month+17 Expiry</t>
        </is>
      </c>
      <c r="K4044" s="25" t="n">
        <v>689</v>
      </c>
      <c r="L4044" s="26" t="n">
        <v>1.1385</v>
      </c>
      <c r="M4044" s="26" t="n">
        <v>0.0394</v>
      </c>
    </row>
    <row r="4045">
      <c r="A4045" t="inlineStr">
        <is>
          <t>29-Jul-2026</t>
        </is>
      </c>
      <c r="B4045" t="inlineStr">
        <is>
          <t>Wednesday</t>
        </is>
      </c>
      <c r="C4045" t="inlineStr">
        <is>
          <t>Week5-Jul-2026</t>
        </is>
      </c>
      <c r="D4045" s="78" t="n">
        <v>46204</v>
      </c>
      <c r="E4045" t="inlineStr">
        <is>
          <t>Q2FY27</t>
        </is>
      </c>
      <c r="F4045" t="inlineStr">
        <is>
          <t>27-Jun-2028</t>
        </is>
      </c>
      <c r="G4045" t="inlineStr">
        <is>
          <t>Tuesday</t>
        </is>
      </c>
      <c r="H4045" t="inlineStr">
        <is>
          <t>Monthly - Tuesday</t>
        </is>
      </c>
      <c r="I4045" t="inlineStr">
        <is>
          <t>Monthly - Tuesday</t>
        </is>
      </c>
      <c r="J4045" t="inlineStr">
        <is>
          <t>Month+23 Expiry</t>
        </is>
      </c>
      <c r="K4045" s="25" t="n">
        <v>4</v>
      </c>
      <c r="L4045" s="26" t="n">
        <v>0.0076</v>
      </c>
      <c r="M4045" s="26" t="n">
        <v>0.0005999999999999999</v>
      </c>
    </row>
    <row r="4046">
      <c r="A4046" t="inlineStr">
        <is>
          <t>29-Jul-2026</t>
        </is>
      </c>
      <c r="B4046" t="inlineStr">
        <is>
          <t>Wednesday</t>
        </is>
      </c>
      <c r="C4046" t="inlineStr">
        <is>
          <t>Week5-Jul-2026</t>
        </is>
      </c>
      <c r="D4046" s="78" t="n">
        <v>46204</v>
      </c>
      <c r="E4046" t="inlineStr">
        <is>
          <t>Q2FY27</t>
        </is>
      </c>
      <c r="F4046" t="inlineStr">
        <is>
          <t>26-Dec-2028</t>
        </is>
      </c>
      <c r="G4046" t="inlineStr">
        <is>
          <t>Tuesday</t>
        </is>
      </c>
      <c r="H4046" t="inlineStr">
        <is>
          <t>Monthly - Tuesday</t>
        </is>
      </c>
      <c r="I4046" t="inlineStr">
        <is>
          <t>Monthly - Tuesday</t>
        </is>
      </c>
      <c r="J4046" t="inlineStr">
        <is>
          <t>Month+29 Expiry</t>
        </is>
      </c>
      <c r="K4046" s="25" t="n">
        <v>35</v>
      </c>
      <c r="L4046" s="26" t="n">
        <v>0.0607</v>
      </c>
      <c r="M4046" s="26" t="n">
        <v>0.0029</v>
      </c>
    </row>
    <row r="4047">
      <c r="A4047" t="inlineStr">
        <is>
          <t>29-Jul-2026</t>
        </is>
      </c>
      <c r="B4047" t="inlineStr">
        <is>
          <t>Wednesday</t>
        </is>
      </c>
      <c r="C4047" t="inlineStr">
        <is>
          <t>Week5-Jul-2026</t>
        </is>
      </c>
      <c r="D4047" s="78" t="n">
        <v>46204</v>
      </c>
      <c r="E4047" t="inlineStr">
        <is>
          <t>Q2FY27</t>
        </is>
      </c>
      <c r="F4047" t="inlineStr">
        <is>
          <t>26-Jun-2029</t>
        </is>
      </c>
      <c r="G4047" t="inlineStr">
        <is>
          <t>Tuesday</t>
        </is>
      </c>
      <c r="H4047" t="inlineStr">
        <is>
          <t>Monthly - Tuesday</t>
        </is>
      </c>
      <c r="I4047" t="inlineStr">
        <is>
          <t>Monthly - Tuesday</t>
        </is>
      </c>
      <c r="J4047" t="inlineStr">
        <is>
          <t>Month+35 Expiry</t>
        </is>
      </c>
      <c r="K4047" s="25" t="n">
        <v>0</v>
      </c>
      <c r="L4047" s="26" t="n">
        <v>0</v>
      </c>
      <c r="M4047" s="26" t="n">
        <v>0</v>
      </c>
    </row>
    <row r="4048">
      <c r="A4048" t="inlineStr">
        <is>
          <t>29-Jul-2026</t>
        </is>
      </c>
      <c r="B4048" t="inlineStr">
        <is>
          <t>Wednesday</t>
        </is>
      </c>
      <c r="C4048" t="inlineStr">
        <is>
          <t>Week5-Jul-2026</t>
        </is>
      </c>
      <c r="D4048" s="78" t="n">
        <v>46204</v>
      </c>
      <c r="E4048" t="inlineStr">
        <is>
          <t>Q2FY27</t>
        </is>
      </c>
      <c r="F4048" t="inlineStr">
        <is>
          <t>24-Dec-2029</t>
        </is>
      </c>
      <c r="G4048" t="inlineStr">
        <is>
          <t>Monday</t>
        </is>
      </c>
      <c r="H4048" t="inlineStr">
        <is>
          <t>Weekly - Monday</t>
        </is>
      </c>
      <c r="I4048" t="inlineStr">
        <is>
          <t>Weekly - Monday</t>
        </is>
      </c>
      <c r="J4048" t="inlineStr">
        <is>
          <t>Month+41 Expiry</t>
        </is>
      </c>
      <c r="K4048" s="25" t="n">
        <v>0</v>
      </c>
      <c r="L4048" s="26" t="n">
        <v>0</v>
      </c>
      <c r="M4048" s="26" t="n">
        <v>0</v>
      </c>
    </row>
    <row r="4049">
      <c r="A4049" t="inlineStr">
        <is>
          <t>29-Jul-2026</t>
        </is>
      </c>
      <c r="B4049" t="inlineStr">
        <is>
          <t>Wednesday</t>
        </is>
      </c>
      <c r="C4049" t="inlineStr">
        <is>
          <t>Week5-Jul-2026</t>
        </is>
      </c>
      <c r="D4049" s="78" t="n">
        <v>46204</v>
      </c>
      <c r="E4049" t="inlineStr">
        <is>
          <t>Q2FY27</t>
        </is>
      </c>
      <c r="F4049" t="inlineStr">
        <is>
          <t>25-Jun-2030</t>
        </is>
      </c>
      <c r="G4049" t="inlineStr">
        <is>
          <t>Tuesday</t>
        </is>
      </c>
      <c r="H4049" t="inlineStr">
        <is>
          <t>Monthly - Tuesday</t>
        </is>
      </c>
      <c r="I4049" t="inlineStr">
        <is>
          <t>Monthly - Tuesday</t>
        </is>
      </c>
      <c r="J4049" t="inlineStr">
        <is>
          <t>Month+47 Expiry</t>
        </is>
      </c>
      <c r="K4049" s="25" t="n">
        <v>0</v>
      </c>
      <c r="L4049" s="26" t="n">
        <v>0</v>
      </c>
      <c r="M4049" s="26" t="n">
        <v>0</v>
      </c>
    </row>
    <row r="4050">
      <c r="A4050" t="inlineStr">
        <is>
          <t>29-Jul-2026</t>
        </is>
      </c>
      <c r="B4050" t="inlineStr">
        <is>
          <t>Wednesday</t>
        </is>
      </c>
      <c r="C4050" t="inlineStr">
        <is>
          <t>Week5-Jul-2026</t>
        </is>
      </c>
      <c r="D4050" s="78" t="n">
        <v>46204</v>
      </c>
      <c r="E4050" t="inlineStr">
        <is>
          <t>Q2FY27</t>
        </is>
      </c>
      <c r="F4050" t="inlineStr">
        <is>
          <t>31-Dec-2030</t>
        </is>
      </c>
      <c r="G4050" t="inlineStr">
        <is>
          <t>Tuesday</t>
        </is>
      </c>
      <c r="H4050" t="inlineStr">
        <is>
          <t>Monthly - Tuesday</t>
        </is>
      </c>
      <c r="I4050" t="inlineStr">
        <is>
          <t>Monthly - Tuesday</t>
        </is>
      </c>
      <c r="J4050" t="inlineStr">
        <is>
          <t>Month+53 Expiry</t>
        </is>
      </c>
      <c r="K4050" s="25" t="n">
        <v>0</v>
      </c>
      <c r="L4050" s="26" t="n">
        <v>0</v>
      </c>
      <c r="M4050" s="26" t="n">
        <v>0</v>
      </c>
    </row>
    <row r="4051">
      <c r="A4051" t="inlineStr">
        <is>
          <t>29-Jul-2026</t>
        </is>
      </c>
      <c r="B4051" t="inlineStr">
        <is>
          <t>Wednesday</t>
        </is>
      </c>
      <c r="C4051" t="inlineStr">
        <is>
          <t>Week5-Jul-2026</t>
        </is>
      </c>
      <c r="D4051" s="78" t="n">
        <v>46204</v>
      </c>
      <c r="E4051" t="inlineStr">
        <is>
          <t>Q2FY27</t>
        </is>
      </c>
      <c r="F4051" t="inlineStr">
        <is>
          <t>24-Jun-2031</t>
        </is>
      </c>
      <c r="G4051" t="inlineStr">
        <is>
          <t>Tuesday</t>
        </is>
      </c>
      <c r="H4051" t="inlineStr">
        <is>
          <t>Monthly - Tuesday</t>
        </is>
      </c>
      <c r="I4051" t="inlineStr">
        <is>
          <t>Monthly - Tuesday</t>
        </is>
      </c>
      <c r="J4051" t="inlineStr">
        <is>
          <t>Month+59 Expiry</t>
        </is>
      </c>
      <c r="K4051" s="25" t="n">
        <v>0</v>
      </c>
      <c r="L4051" s="26" t="n">
        <v>0</v>
      </c>
      <c r="M4051" s="26" t="n">
        <v>0</v>
      </c>
    </row>
    <row r="4052">
      <c r="A4052" t="inlineStr">
        <is>
          <t>30-Jul-2026</t>
        </is>
      </c>
      <c r="B4052" t="inlineStr">
        <is>
          <t>Thursday</t>
        </is>
      </c>
      <c r="C4052" t="inlineStr">
        <is>
          <t>Week5-Jul-2026</t>
        </is>
      </c>
      <c r="D4052" s="78" t="n">
        <v>46204</v>
      </c>
      <c r="E4052" t="inlineStr">
        <is>
          <t>Q2FY27</t>
        </is>
      </c>
      <c r="F4052" t="inlineStr">
        <is>
          <t>04-Aug-2026</t>
        </is>
      </c>
      <c r="G4052" t="inlineStr">
        <is>
          <t>Tuesday</t>
        </is>
      </c>
      <c r="H4052" t="inlineStr">
        <is>
          <t>Weekly - Tuesday</t>
        </is>
      </c>
      <c r="I4052" t="inlineStr">
        <is>
          <t>Weekly - Tuesday</t>
        </is>
      </c>
      <c r="J4052" t="inlineStr">
        <is>
          <t>Month+1 Expiry</t>
        </is>
      </c>
      <c r="K4052" s="25" t="n">
        <v>45073758</v>
      </c>
      <c r="L4052" s="26" t="n">
        <v>71170.7583</v>
      </c>
      <c r="M4052" s="26" t="n">
        <v>189.0662</v>
      </c>
    </row>
    <row r="4053">
      <c r="A4053" t="inlineStr">
        <is>
          <t>30-Jul-2026</t>
        </is>
      </c>
      <c r="B4053" t="inlineStr">
        <is>
          <t>Thursday</t>
        </is>
      </c>
      <c r="C4053" t="inlineStr">
        <is>
          <t>Week5-Jul-2026</t>
        </is>
      </c>
      <c r="D4053" s="78" t="n">
        <v>46204</v>
      </c>
      <c r="E4053" t="inlineStr">
        <is>
          <t>Q2FY27</t>
        </is>
      </c>
      <c r="F4053" t="inlineStr">
        <is>
          <t>11-Aug-2026</t>
        </is>
      </c>
      <c r="G4053" t="inlineStr">
        <is>
          <t>Tuesday</t>
        </is>
      </c>
      <c r="H4053" t="inlineStr">
        <is>
          <t>Weekly - Tuesday</t>
        </is>
      </c>
      <c r="I4053" t="inlineStr">
        <is>
          <t>Weekly - Tuesday</t>
        </is>
      </c>
      <c r="J4053" t="inlineStr">
        <is>
          <t>Month+1 Expiry</t>
        </is>
      </c>
      <c r="K4053" s="25" t="n">
        <v>1343165</v>
      </c>
      <c r="L4053" s="26" t="n">
        <v>2117.8373</v>
      </c>
      <c r="M4053" s="26" t="n">
        <v>7.5462</v>
      </c>
    </row>
    <row r="4054">
      <c r="A4054" t="inlineStr">
        <is>
          <t>30-Jul-2026</t>
        </is>
      </c>
      <c r="B4054" t="inlineStr">
        <is>
          <t>Thursday</t>
        </is>
      </c>
      <c r="C4054" t="inlineStr">
        <is>
          <t>Week5-Jul-2026</t>
        </is>
      </c>
      <c r="D4054" s="78" t="n">
        <v>46204</v>
      </c>
      <c r="E4054" t="inlineStr">
        <is>
          <t>Q2FY27</t>
        </is>
      </c>
      <c r="F4054" t="inlineStr">
        <is>
          <t>18-Aug-2026</t>
        </is>
      </c>
      <c r="G4054" t="inlineStr">
        <is>
          <t>Tuesday</t>
        </is>
      </c>
      <c r="H4054" t="inlineStr">
        <is>
          <t>Weekly - Tuesday</t>
        </is>
      </c>
      <c r="I4054" t="inlineStr">
        <is>
          <t>Weekly - Tuesday</t>
        </is>
      </c>
      <c r="J4054" t="inlineStr">
        <is>
          <t>Month+1 Expiry</t>
        </is>
      </c>
      <c r="K4054" s="25" t="n">
        <v>100753</v>
      </c>
      <c r="L4054" s="26" t="n">
        <v>158.7589</v>
      </c>
      <c r="M4054" s="26" t="n">
        <v>0.7579</v>
      </c>
    </row>
    <row r="4055">
      <c r="A4055" t="inlineStr">
        <is>
          <t>30-Jul-2026</t>
        </is>
      </c>
      <c r="B4055" t="inlineStr">
        <is>
          <t>Thursday</t>
        </is>
      </c>
      <c r="C4055" t="inlineStr">
        <is>
          <t>Week5-Jul-2026</t>
        </is>
      </c>
      <c r="D4055" s="78" t="n">
        <v>46204</v>
      </c>
      <c r="E4055" t="inlineStr">
        <is>
          <t>Q2FY27</t>
        </is>
      </c>
      <c r="F4055" t="inlineStr">
        <is>
          <t>25-Aug-2026</t>
        </is>
      </c>
      <c r="G4055" t="inlineStr">
        <is>
          <t>Tuesday</t>
        </is>
      </c>
      <c r="H4055" t="inlineStr">
        <is>
          <t>Monthly - Tuesday</t>
        </is>
      </c>
      <c r="I4055" t="inlineStr">
        <is>
          <t>Monthly - Tuesday</t>
        </is>
      </c>
      <c r="J4055" t="inlineStr">
        <is>
          <t>Month+1 Expiry</t>
        </is>
      </c>
      <c r="K4055" s="25" t="n">
        <v>1011852</v>
      </c>
      <c r="L4055" s="26" t="n">
        <v>1600.6033</v>
      </c>
      <c r="M4055" s="26" t="n">
        <v>11.2767</v>
      </c>
    </row>
    <row r="4056">
      <c r="A4056" t="inlineStr">
        <is>
          <t>30-Jul-2026</t>
        </is>
      </c>
      <c r="B4056" t="inlineStr">
        <is>
          <t>Thursday</t>
        </is>
      </c>
      <c r="C4056" t="inlineStr">
        <is>
          <t>Week5-Jul-2026</t>
        </is>
      </c>
      <c r="D4056" s="78" t="n">
        <v>46204</v>
      </c>
      <c r="E4056" t="inlineStr">
        <is>
          <t>Q2FY27</t>
        </is>
      </c>
      <c r="F4056" t="inlineStr">
        <is>
          <t>01-Sep-2026</t>
        </is>
      </c>
      <c r="G4056" t="inlineStr">
        <is>
          <t>Tuesday</t>
        </is>
      </c>
      <c r="H4056" t="inlineStr">
        <is>
          <t>Weekly - Tuesday</t>
        </is>
      </c>
      <c r="I4056" t="inlineStr">
        <is>
          <t>Weekly - Tuesday</t>
        </is>
      </c>
      <c r="J4056" t="inlineStr">
        <is>
          <t>Month+2 Expiry</t>
        </is>
      </c>
      <c r="K4056" s="25" t="n">
        <v>4000</v>
      </c>
      <c r="L4056" s="26" t="n">
        <v>6.2812</v>
      </c>
      <c r="M4056" s="26" t="n">
        <v>0.042</v>
      </c>
    </row>
    <row r="4057">
      <c r="A4057" t="inlineStr">
        <is>
          <t>30-Jul-2026</t>
        </is>
      </c>
      <c r="B4057" t="inlineStr">
        <is>
          <t>Thursday</t>
        </is>
      </c>
      <c r="C4057" t="inlineStr">
        <is>
          <t>Week5-Jul-2026</t>
        </is>
      </c>
      <c r="D4057" s="78" t="n">
        <v>46204</v>
      </c>
      <c r="E4057" t="inlineStr">
        <is>
          <t>Q2FY27</t>
        </is>
      </c>
      <c r="F4057" t="inlineStr">
        <is>
          <t>29-Sep-2026</t>
        </is>
      </c>
      <c r="G4057" t="inlineStr">
        <is>
          <t>Tuesday</t>
        </is>
      </c>
      <c r="H4057" t="inlineStr">
        <is>
          <t>Monthly - Tuesday</t>
        </is>
      </c>
      <c r="I4057" t="inlineStr">
        <is>
          <t>Monthly - Tuesday</t>
        </is>
      </c>
      <c r="J4057" t="inlineStr">
        <is>
          <t>Month+2 Expiry</t>
        </is>
      </c>
      <c r="K4057" s="25" t="n">
        <v>120154</v>
      </c>
      <c r="L4057" s="26" t="n">
        <v>189.8333</v>
      </c>
      <c r="M4057" s="26" t="n">
        <v>1.7798</v>
      </c>
    </row>
    <row r="4058">
      <c r="A4058" t="inlineStr">
        <is>
          <t>30-Jul-2026</t>
        </is>
      </c>
      <c r="B4058" t="inlineStr">
        <is>
          <t>Thursday</t>
        </is>
      </c>
      <c r="C4058" t="inlineStr">
        <is>
          <t>Week5-Jul-2026</t>
        </is>
      </c>
      <c r="D4058" s="78" t="n">
        <v>46204</v>
      </c>
      <c r="E4058" t="inlineStr">
        <is>
          <t>Q2FY27</t>
        </is>
      </c>
      <c r="F4058" t="inlineStr">
        <is>
          <t>27-Oct-2026</t>
        </is>
      </c>
      <c r="G4058" t="inlineStr">
        <is>
          <t>Tuesday</t>
        </is>
      </c>
      <c r="H4058" t="inlineStr">
        <is>
          <t>Monthly - Tuesday</t>
        </is>
      </c>
      <c r="I4058" t="inlineStr">
        <is>
          <t>Monthly - Tuesday</t>
        </is>
      </c>
      <c r="J4058" t="inlineStr">
        <is>
          <t>Month+3 Expiry</t>
        </is>
      </c>
      <c r="K4058" s="25" t="n">
        <v>15535</v>
      </c>
      <c r="L4058" s="26" t="n">
        <v>24.7364</v>
      </c>
      <c r="M4058" s="26" t="n">
        <v>0.2772</v>
      </c>
    </row>
    <row r="4059">
      <c r="A4059" t="inlineStr">
        <is>
          <t>30-Jul-2026</t>
        </is>
      </c>
      <c r="B4059" t="inlineStr">
        <is>
          <t>Thursday</t>
        </is>
      </c>
      <c r="C4059" t="inlineStr">
        <is>
          <t>Week5-Jul-2026</t>
        </is>
      </c>
      <c r="D4059" s="78" t="n">
        <v>46204</v>
      </c>
      <c r="E4059" t="inlineStr">
        <is>
          <t>Q2FY27</t>
        </is>
      </c>
      <c r="F4059" t="inlineStr">
        <is>
          <t>29-Dec-2026</t>
        </is>
      </c>
      <c r="G4059" t="inlineStr">
        <is>
          <t>Tuesday</t>
        </is>
      </c>
      <c r="H4059" t="inlineStr">
        <is>
          <t>Monthly - Tuesday</t>
        </is>
      </c>
      <c r="I4059" t="inlineStr">
        <is>
          <t>Monthly - Tuesday</t>
        </is>
      </c>
      <c r="J4059" t="inlineStr">
        <is>
          <t>Month+5 Expiry</t>
        </is>
      </c>
      <c r="K4059" s="25" t="n">
        <v>37849</v>
      </c>
      <c r="L4059" s="26" t="n">
        <v>60.6453</v>
      </c>
      <c r="M4059" s="26" t="n">
        <v>0.9202</v>
      </c>
    </row>
    <row r="4060">
      <c r="A4060" t="inlineStr">
        <is>
          <t>30-Jul-2026</t>
        </is>
      </c>
      <c r="B4060" t="inlineStr">
        <is>
          <t>Thursday</t>
        </is>
      </c>
      <c r="C4060" t="inlineStr">
        <is>
          <t>Week5-Jul-2026</t>
        </is>
      </c>
      <c r="D4060" s="78" t="n">
        <v>46204</v>
      </c>
      <c r="E4060" t="inlineStr">
        <is>
          <t>Q2FY27</t>
        </is>
      </c>
      <c r="F4060" t="inlineStr">
        <is>
          <t>30-Mar-2027</t>
        </is>
      </c>
      <c r="G4060" t="inlineStr">
        <is>
          <t>Tuesday</t>
        </is>
      </c>
      <c r="H4060" t="inlineStr">
        <is>
          <t>Monthly - Tuesday</t>
        </is>
      </c>
      <c r="I4060" t="inlineStr">
        <is>
          <t>Monthly - Tuesday</t>
        </is>
      </c>
      <c r="J4060" t="inlineStr">
        <is>
          <t>Month+8 Expiry</t>
        </is>
      </c>
      <c r="K4060" s="25" t="n">
        <v>3347</v>
      </c>
      <c r="L4060" s="26" t="n">
        <v>5.4269</v>
      </c>
      <c r="M4060" s="26" t="n">
        <v>0.0917</v>
      </c>
    </row>
    <row r="4061">
      <c r="A4061" t="inlineStr">
        <is>
          <t>30-Jul-2026</t>
        </is>
      </c>
      <c r="B4061" t="inlineStr">
        <is>
          <t>Thursday</t>
        </is>
      </c>
      <c r="C4061" t="inlineStr">
        <is>
          <t>Week5-Jul-2026</t>
        </is>
      </c>
      <c r="D4061" s="78" t="n">
        <v>46204</v>
      </c>
      <c r="E4061" t="inlineStr">
        <is>
          <t>Q2FY27</t>
        </is>
      </c>
      <c r="F4061" t="inlineStr">
        <is>
          <t>29-Jun-2027</t>
        </is>
      </c>
      <c r="G4061" t="inlineStr">
        <is>
          <t>Tuesday</t>
        </is>
      </c>
      <c r="H4061" t="inlineStr">
        <is>
          <t>Monthly - Tuesday</t>
        </is>
      </c>
      <c r="I4061" t="inlineStr">
        <is>
          <t>Monthly - Tuesday</t>
        </is>
      </c>
      <c r="J4061" t="inlineStr">
        <is>
          <t>Month+11 Expiry</t>
        </is>
      </c>
      <c r="K4061" s="25" t="n">
        <v>17</v>
      </c>
      <c r="L4061" s="26" t="n">
        <v>0.0238</v>
      </c>
      <c r="M4061" s="26" t="n">
        <v>0.0003</v>
      </c>
    </row>
    <row r="4062">
      <c r="A4062" t="inlineStr">
        <is>
          <t>30-Jul-2026</t>
        </is>
      </c>
      <c r="B4062" t="inlineStr">
        <is>
          <t>Thursday</t>
        </is>
      </c>
      <c r="C4062" t="inlineStr">
        <is>
          <t>Week5-Jul-2026</t>
        </is>
      </c>
      <c r="D4062" s="78" t="n">
        <v>46204</v>
      </c>
      <c r="E4062" t="inlineStr">
        <is>
          <t>Q2FY27</t>
        </is>
      </c>
      <c r="F4062" t="inlineStr">
        <is>
          <t>28-Dec-2027</t>
        </is>
      </c>
      <c r="G4062" t="inlineStr">
        <is>
          <t>Tuesday</t>
        </is>
      </c>
      <c r="H4062" t="inlineStr">
        <is>
          <t>Monthly - Tuesday</t>
        </is>
      </c>
      <c r="I4062" t="inlineStr">
        <is>
          <t>Monthly - Tuesday</t>
        </is>
      </c>
      <c r="J4062" t="inlineStr">
        <is>
          <t>Month+17 Expiry</t>
        </is>
      </c>
      <c r="K4062" s="25" t="n">
        <v>617</v>
      </c>
      <c r="L4062" s="26" t="n">
        <v>1.0388</v>
      </c>
      <c r="M4062" s="26" t="n">
        <v>0.0303</v>
      </c>
    </row>
    <row r="4063">
      <c r="A4063" t="inlineStr">
        <is>
          <t>30-Jul-2026</t>
        </is>
      </c>
      <c r="B4063" t="inlineStr">
        <is>
          <t>Thursday</t>
        </is>
      </c>
      <c r="C4063" t="inlineStr">
        <is>
          <t>Week5-Jul-2026</t>
        </is>
      </c>
      <c r="D4063" s="78" t="n">
        <v>46204</v>
      </c>
      <c r="E4063" t="inlineStr">
        <is>
          <t>Q2FY27</t>
        </is>
      </c>
      <c r="F4063" t="inlineStr">
        <is>
          <t>27-Jun-2028</t>
        </is>
      </c>
      <c r="G4063" t="inlineStr">
        <is>
          <t>Tuesday</t>
        </is>
      </c>
      <c r="H4063" t="inlineStr">
        <is>
          <t>Monthly - Tuesday</t>
        </is>
      </c>
      <c r="I4063" t="inlineStr">
        <is>
          <t>Monthly - Tuesday</t>
        </is>
      </c>
      <c r="J4063" t="inlineStr">
        <is>
          <t>Month+23 Expiry</t>
        </is>
      </c>
      <c r="K4063" s="25" t="n">
        <v>2</v>
      </c>
      <c r="L4063" s="26" t="n">
        <v>0.0038</v>
      </c>
      <c r="M4063" s="26" t="n">
        <v>0.0003</v>
      </c>
    </row>
    <row r="4064">
      <c r="A4064" t="inlineStr">
        <is>
          <t>30-Jul-2026</t>
        </is>
      </c>
      <c r="B4064" t="inlineStr">
        <is>
          <t>Thursday</t>
        </is>
      </c>
      <c r="C4064" t="inlineStr">
        <is>
          <t>Week5-Jul-2026</t>
        </is>
      </c>
      <c r="D4064" s="78" t="n">
        <v>46204</v>
      </c>
      <c r="E4064" t="inlineStr">
        <is>
          <t>Q2FY27</t>
        </is>
      </c>
      <c r="F4064" t="inlineStr">
        <is>
          <t>26-Dec-2028</t>
        </is>
      </c>
      <c r="G4064" t="inlineStr">
        <is>
          <t>Tuesday</t>
        </is>
      </c>
      <c r="H4064" t="inlineStr">
        <is>
          <t>Monthly - Tuesday</t>
        </is>
      </c>
      <c r="I4064" t="inlineStr">
        <is>
          <t>Monthly - Tuesday</t>
        </is>
      </c>
      <c r="J4064" t="inlineStr">
        <is>
          <t>Month+29 Expiry</t>
        </is>
      </c>
      <c r="K4064" s="25" t="n">
        <v>37</v>
      </c>
      <c r="L4064" s="26" t="n">
        <v>0.0722</v>
      </c>
      <c r="M4064" s="26" t="n">
        <v>0.0045</v>
      </c>
    </row>
    <row r="4065">
      <c r="A4065" t="inlineStr">
        <is>
          <t>30-Jul-2026</t>
        </is>
      </c>
      <c r="B4065" t="inlineStr">
        <is>
          <t>Thursday</t>
        </is>
      </c>
      <c r="C4065" t="inlineStr">
        <is>
          <t>Week5-Jul-2026</t>
        </is>
      </c>
      <c r="D4065" s="78" t="n">
        <v>46204</v>
      </c>
      <c r="E4065" t="inlineStr">
        <is>
          <t>Q2FY27</t>
        </is>
      </c>
      <c r="F4065" t="inlineStr">
        <is>
          <t>26-Jun-2029</t>
        </is>
      </c>
      <c r="G4065" t="inlineStr">
        <is>
          <t>Tuesday</t>
        </is>
      </c>
      <c r="H4065" t="inlineStr">
        <is>
          <t>Monthly - Tuesday</t>
        </is>
      </c>
      <c r="I4065" t="inlineStr">
        <is>
          <t>Monthly - Tuesday</t>
        </is>
      </c>
      <c r="J4065" t="inlineStr">
        <is>
          <t>Month+35 Expiry</t>
        </is>
      </c>
      <c r="K4065" s="25" t="n">
        <v>0</v>
      </c>
      <c r="L4065" s="26" t="n">
        <v>0</v>
      </c>
      <c r="M4065" s="26" t="n">
        <v>0</v>
      </c>
    </row>
    <row r="4066">
      <c r="A4066" t="inlineStr">
        <is>
          <t>30-Jul-2026</t>
        </is>
      </c>
      <c r="B4066" t="inlineStr">
        <is>
          <t>Thursday</t>
        </is>
      </c>
      <c r="C4066" t="inlineStr">
        <is>
          <t>Week5-Jul-2026</t>
        </is>
      </c>
      <c r="D4066" s="78" t="n">
        <v>46204</v>
      </c>
      <c r="E4066" t="inlineStr">
        <is>
          <t>Q2FY27</t>
        </is>
      </c>
      <c r="F4066" t="inlineStr">
        <is>
          <t>24-Dec-2029</t>
        </is>
      </c>
      <c r="G4066" t="inlineStr">
        <is>
          <t>Monday</t>
        </is>
      </c>
      <c r="H4066" t="inlineStr">
        <is>
          <t>Weekly - Monday</t>
        </is>
      </c>
      <c r="I4066" t="inlineStr">
        <is>
          <t>Weekly - Monday</t>
        </is>
      </c>
      <c r="J4066" t="inlineStr">
        <is>
          <t>Month+41 Expiry</t>
        </is>
      </c>
      <c r="K4066" s="25" t="n">
        <v>1</v>
      </c>
      <c r="L4066" s="26" t="n">
        <v>0.0016</v>
      </c>
      <c r="M4066" s="26" t="n">
        <v>0.0001</v>
      </c>
    </row>
    <row r="4067">
      <c r="A4067" t="inlineStr">
        <is>
          <t>30-Jul-2026</t>
        </is>
      </c>
      <c r="B4067" t="inlineStr">
        <is>
          <t>Thursday</t>
        </is>
      </c>
      <c r="C4067" t="inlineStr">
        <is>
          <t>Week5-Jul-2026</t>
        </is>
      </c>
      <c r="D4067" s="78" t="n">
        <v>46204</v>
      </c>
      <c r="E4067" t="inlineStr">
        <is>
          <t>Q2FY27</t>
        </is>
      </c>
      <c r="F4067" t="inlineStr">
        <is>
          <t>25-Jun-2030</t>
        </is>
      </c>
      <c r="G4067" t="inlineStr">
        <is>
          <t>Tuesday</t>
        </is>
      </c>
      <c r="H4067" t="inlineStr">
        <is>
          <t>Monthly - Tuesday</t>
        </is>
      </c>
      <c r="I4067" t="inlineStr">
        <is>
          <t>Monthly - Tuesday</t>
        </is>
      </c>
      <c r="J4067" t="inlineStr">
        <is>
          <t>Month+47 Expiry</t>
        </is>
      </c>
      <c r="K4067" s="25" t="n">
        <v>0</v>
      </c>
      <c r="L4067" s="26" t="n">
        <v>0</v>
      </c>
      <c r="M4067" s="26" t="n">
        <v>0</v>
      </c>
    </row>
    <row r="4068">
      <c r="A4068" t="inlineStr">
        <is>
          <t>30-Jul-2026</t>
        </is>
      </c>
      <c r="B4068" t="inlineStr">
        <is>
          <t>Thursday</t>
        </is>
      </c>
      <c r="C4068" t="inlineStr">
        <is>
          <t>Week5-Jul-2026</t>
        </is>
      </c>
      <c r="D4068" s="78" t="n">
        <v>46204</v>
      </c>
      <c r="E4068" t="inlineStr">
        <is>
          <t>Q2FY27</t>
        </is>
      </c>
      <c r="F4068" t="inlineStr">
        <is>
          <t>31-Dec-2030</t>
        </is>
      </c>
      <c r="G4068" t="inlineStr">
        <is>
          <t>Tuesday</t>
        </is>
      </c>
      <c r="H4068" t="inlineStr">
        <is>
          <t>Monthly - Tuesday</t>
        </is>
      </c>
      <c r="I4068" t="inlineStr">
        <is>
          <t>Monthly - Tuesday</t>
        </is>
      </c>
      <c r="J4068" t="inlineStr">
        <is>
          <t>Month+53 Expiry</t>
        </is>
      </c>
      <c r="K4068" s="25" t="n">
        <v>0</v>
      </c>
      <c r="L4068" s="26" t="n">
        <v>0</v>
      </c>
      <c r="M4068" s="26" t="n">
        <v>0</v>
      </c>
    </row>
    <row r="4069">
      <c r="A4069" t="inlineStr">
        <is>
          <t>30-Jul-2026</t>
        </is>
      </c>
      <c r="B4069" t="inlineStr">
        <is>
          <t>Thursday</t>
        </is>
      </c>
      <c r="C4069" t="inlineStr">
        <is>
          <t>Week5-Jul-2026</t>
        </is>
      </c>
      <c r="D4069" s="78" t="n">
        <v>46204</v>
      </c>
      <c r="E4069" t="inlineStr">
        <is>
          <t>Q2FY27</t>
        </is>
      </c>
      <c r="F4069" t="inlineStr">
        <is>
          <t>24-Jun-2031</t>
        </is>
      </c>
      <c r="G4069" t="inlineStr">
        <is>
          <t>Tuesday</t>
        </is>
      </c>
      <c r="H4069" t="inlineStr">
        <is>
          <t>Monthly - Tuesday</t>
        </is>
      </c>
      <c r="I4069" t="inlineStr">
        <is>
          <t>Monthly - Tuesday</t>
        </is>
      </c>
      <c r="J4069" t="inlineStr">
        <is>
          <t>Month+59 Expiry</t>
        </is>
      </c>
      <c r="K4069" s="25" t="n">
        <v>0</v>
      </c>
      <c r="L4069" s="26" t="n">
        <v>0</v>
      </c>
      <c r="M4069" s="26" t="n">
        <v>0</v>
      </c>
    </row>
    <row r="4070">
      <c r="A4070" t="inlineStr">
        <is>
          <t>31-Jul-2026</t>
        </is>
      </c>
      <c r="B4070" t="inlineStr">
        <is>
          <t>Friday</t>
        </is>
      </c>
      <c r="C4070" t="inlineStr">
        <is>
          <t>Week5-Jul-2026</t>
        </is>
      </c>
      <c r="D4070" s="78" t="n">
        <v>46204</v>
      </c>
      <c r="E4070" t="inlineStr">
        <is>
          <t>Q2FY27</t>
        </is>
      </c>
      <c r="F4070" t="inlineStr">
        <is>
          <t>04-Aug-2026</t>
        </is>
      </c>
      <c r="G4070" t="inlineStr">
        <is>
          <t>Tuesday</t>
        </is>
      </c>
      <c r="H4070" t="inlineStr">
        <is>
          <t>Weekly - Tuesday</t>
        </is>
      </c>
      <c r="I4070" t="inlineStr">
        <is>
          <t>Weekly - Tuesday</t>
        </is>
      </c>
      <c r="J4070" t="inlineStr">
        <is>
          <t>Month+1 Expiry</t>
        </is>
      </c>
      <c r="K4070" s="25" t="n">
        <v>80184156</v>
      </c>
      <c r="L4070" s="26" t="n">
        <v>126879.1804</v>
      </c>
      <c r="M4070" s="26" t="n">
        <v>309.7905</v>
      </c>
    </row>
    <row r="4071">
      <c r="A4071" t="inlineStr">
        <is>
          <t>31-Jul-2026</t>
        </is>
      </c>
      <c r="B4071" t="inlineStr">
        <is>
          <t>Friday</t>
        </is>
      </c>
      <c r="C4071" t="inlineStr">
        <is>
          <t>Week5-Jul-2026</t>
        </is>
      </c>
      <c r="D4071" s="78" t="n">
        <v>46204</v>
      </c>
      <c r="E4071" t="inlineStr">
        <is>
          <t>Q2FY27</t>
        </is>
      </c>
      <c r="F4071" t="inlineStr">
        <is>
          <t>11-Aug-2026</t>
        </is>
      </c>
      <c r="G4071" t="inlineStr">
        <is>
          <t>Tuesday</t>
        </is>
      </c>
      <c r="H4071" t="inlineStr">
        <is>
          <t>Weekly - Tuesday</t>
        </is>
      </c>
      <c r="I4071" t="inlineStr">
        <is>
          <t>Weekly - Tuesday</t>
        </is>
      </c>
      <c r="J4071" t="inlineStr">
        <is>
          <t>Month+1 Expiry</t>
        </is>
      </c>
      <c r="K4071" s="25" t="n">
        <v>2085682</v>
      </c>
      <c r="L4071" s="26" t="n">
        <v>3287.9952</v>
      </c>
      <c r="M4071" s="26" t="n">
        <v>10.6976</v>
      </c>
    </row>
    <row r="4072">
      <c r="A4072" t="inlineStr">
        <is>
          <t>31-Jul-2026</t>
        </is>
      </c>
      <c r="B4072" t="inlineStr">
        <is>
          <t>Friday</t>
        </is>
      </c>
      <c r="C4072" t="inlineStr">
        <is>
          <t>Week5-Jul-2026</t>
        </is>
      </c>
      <c r="D4072" s="78" t="n">
        <v>46204</v>
      </c>
      <c r="E4072" t="inlineStr">
        <is>
          <t>Q2FY27</t>
        </is>
      </c>
      <c r="F4072" t="inlineStr">
        <is>
          <t>18-Aug-2026</t>
        </is>
      </c>
      <c r="G4072" t="inlineStr">
        <is>
          <t>Tuesday</t>
        </is>
      </c>
      <c r="H4072" t="inlineStr">
        <is>
          <t>Weekly - Tuesday</t>
        </is>
      </c>
      <c r="I4072" t="inlineStr">
        <is>
          <t>Weekly - Tuesday</t>
        </is>
      </c>
      <c r="J4072" t="inlineStr">
        <is>
          <t>Month+1 Expiry</t>
        </is>
      </c>
      <c r="K4072" s="25" t="n">
        <v>144252</v>
      </c>
      <c r="L4072" s="26" t="n">
        <v>228.5984</v>
      </c>
      <c r="M4072" s="26" t="n">
        <v>1.1406</v>
      </c>
    </row>
    <row r="4073">
      <c r="A4073" t="inlineStr">
        <is>
          <t>31-Jul-2026</t>
        </is>
      </c>
      <c r="B4073" t="inlineStr">
        <is>
          <t>Friday</t>
        </is>
      </c>
      <c r="C4073" t="inlineStr">
        <is>
          <t>Week5-Jul-2026</t>
        </is>
      </c>
      <c r="D4073" s="78" t="n">
        <v>46204</v>
      </c>
      <c r="E4073" t="inlineStr">
        <is>
          <t>Q2FY27</t>
        </is>
      </c>
      <c r="F4073" t="inlineStr">
        <is>
          <t>25-Aug-2026</t>
        </is>
      </c>
      <c r="G4073" t="inlineStr">
        <is>
          <t>Tuesday</t>
        </is>
      </c>
      <c r="H4073" t="inlineStr">
        <is>
          <t>Monthly - Tuesday</t>
        </is>
      </c>
      <c r="I4073" t="inlineStr">
        <is>
          <t>Monthly - Tuesday</t>
        </is>
      </c>
      <c r="J4073" t="inlineStr">
        <is>
          <t>Month+1 Expiry</t>
        </is>
      </c>
      <c r="K4073" s="25" t="n">
        <v>1122370</v>
      </c>
      <c r="L4073" s="26" t="n">
        <v>1779.3575</v>
      </c>
      <c r="M4073" s="26" t="n">
        <v>11.9873</v>
      </c>
    </row>
    <row r="4074">
      <c r="A4074" t="inlineStr">
        <is>
          <t>31-Jul-2026</t>
        </is>
      </c>
      <c r="B4074" t="inlineStr">
        <is>
          <t>Friday</t>
        </is>
      </c>
      <c r="C4074" t="inlineStr">
        <is>
          <t>Week5-Jul-2026</t>
        </is>
      </c>
      <c r="D4074" s="78" t="n">
        <v>46204</v>
      </c>
      <c r="E4074" t="inlineStr">
        <is>
          <t>Q2FY27</t>
        </is>
      </c>
      <c r="F4074" t="inlineStr">
        <is>
          <t>01-Sep-2026</t>
        </is>
      </c>
      <c r="G4074" t="inlineStr">
        <is>
          <t>Tuesday</t>
        </is>
      </c>
      <c r="H4074" t="inlineStr">
        <is>
          <t>Weekly - Tuesday</t>
        </is>
      </c>
      <c r="I4074" t="inlineStr">
        <is>
          <t>Weekly - Tuesday</t>
        </is>
      </c>
      <c r="J4074" t="inlineStr">
        <is>
          <t>Month+2 Expiry</t>
        </is>
      </c>
      <c r="K4074" s="25" t="n">
        <v>5744</v>
      </c>
      <c r="L4074" s="26" t="n">
        <v>9.1007</v>
      </c>
      <c r="M4074" s="26" t="n">
        <v>0.0616</v>
      </c>
    </row>
    <row r="4075">
      <c r="A4075" t="inlineStr">
        <is>
          <t>31-Jul-2026</t>
        </is>
      </c>
      <c r="B4075" t="inlineStr">
        <is>
          <t>Friday</t>
        </is>
      </c>
      <c r="C4075" t="inlineStr">
        <is>
          <t>Week5-Jul-2026</t>
        </is>
      </c>
      <c r="D4075" s="78" t="n">
        <v>46204</v>
      </c>
      <c r="E4075" t="inlineStr">
        <is>
          <t>Q2FY27</t>
        </is>
      </c>
      <c r="F4075" t="inlineStr">
        <is>
          <t>29-Sep-2026</t>
        </is>
      </c>
      <c r="G4075" t="inlineStr">
        <is>
          <t>Tuesday</t>
        </is>
      </c>
      <c r="H4075" t="inlineStr">
        <is>
          <t>Monthly - Tuesday</t>
        </is>
      </c>
      <c r="I4075" t="inlineStr">
        <is>
          <t>Monthly - Tuesday</t>
        </is>
      </c>
      <c r="J4075" t="inlineStr">
        <is>
          <t>Month+2 Expiry</t>
        </is>
      </c>
      <c r="K4075" s="25" t="n">
        <v>166647</v>
      </c>
      <c r="L4075" s="26" t="n">
        <v>263.9691</v>
      </c>
      <c r="M4075" s="26" t="n">
        <v>2.3922</v>
      </c>
    </row>
    <row r="4076">
      <c r="A4076" t="inlineStr">
        <is>
          <t>31-Jul-2026</t>
        </is>
      </c>
      <c r="B4076" t="inlineStr">
        <is>
          <t>Friday</t>
        </is>
      </c>
      <c r="C4076" t="inlineStr">
        <is>
          <t>Week5-Jul-2026</t>
        </is>
      </c>
      <c r="D4076" s="78" t="n">
        <v>46204</v>
      </c>
      <c r="E4076" t="inlineStr">
        <is>
          <t>Q2FY27</t>
        </is>
      </c>
      <c r="F4076" t="inlineStr">
        <is>
          <t>27-Oct-2026</t>
        </is>
      </c>
      <c r="G4076" t="inlineStr">
        <is>
          <t>Tuesday</t>
        </is>
      </c>
      <c r="H4076" t="inlineStr">
        <is>
          <t>Monthly - Tuesday</t>
        </is>
      </c>
      <c r="I4076" t="inlineStr">
        <is>
          <t>Monthly - Tuesday</t>
        </is>
      </c>
      <c r="J4076" t="inlineStr">
        <is>
          <t>Month+3 Expiry</t>
        </is>
      </c>
      <c r="K4076" s="25" t="n">
        <v>18871</v>
      </c>
      <c r="L4076" s="26" t="n">
        <v>30.2974</v>
      </c>
      <c r="M4076" s="26" t="n">
        <v>0.3405</v>
      </c>
    </row>
    <row r="4077">
      <c r="A4077" t="inlineStr">
        <is>
          <t>31-Jul-2026</t>
        </is>
      </c>
      <c r="B4077" t="inlineStr">
        <is>
          <t>Friday</t>
        </is>
      </c>
      <c r="C4077" t="inlineStr">
        <is>
          <t>Week5-Jul-2026</t>
        </is>
      </c>
      <c r="D4077" s="78" t="n">
        <v>46204</v>
      </c>
      <c r="E4077" t="inlineStr">
        <is>
          <t>Q2FY27</t>
        </is>
      </c>
      <c r="F4077" t="inlineStr">
        <is>
          <t>29-Dec-2026</t>
        </is>
      </c>
      <c r="G4077" t="inlineStr">
        <is>
          <t>Tuesday</t>
        </is>
      </c>
      <c r="H4077" t="inlineStr">
        <is>
          <t>Monthly - Tuesday</t>
        </is>
      </c>
      <c r="I4077" t="inlineStr">
        <is>
          <t>Monthly - Tuesday</t>
        </is>
      </c>
      <c r="J4077" t="inlineStr">
        <is>
          <t>Month+5 Expiry</t>
        </is>
      </c>
      <c r="K4077" s="25" t="n">
        <v>51088</v>
      </c>
      <c r="L4077" s="26" t="n">
        <v>81.40430000000001</v>
      </c>
      <c r="M4077" s="26" t="n">
        <v>1.3258</v>
      </c>
    </row>
    <row r="4078">
      <c r="A4078" t="inlineStr">
        <is>
          <t>31-Jul-2026</t>
        </is>
      </c>
      <c r="B4078" t="inlineStr">
        <is>
          <t>Friday</t>
        </is>
      </c>
      <c r="C4078" t="inlineStr">
        <is>
          <t>Week5-Jul-2026</t>
        </is>
      </c>
      <c r="D4078" s="78" t="n">
        <v>46204</v>
      </c>
      <c r="E4078" t="inlineStr">
        <is>
          <t>Q2FY27</t>
        </is>
      </c>
      <c r="F4078" t="inlineStr">
        <is>
          <t>30-Mar-2027</t>
        </is>
      </c>
      <c r="G4078" t="inlineStr">
        <is>
          <t>Tuesday</t>
        </is>
      </c>
      <c r="H4078" t="inlineStr">
        <is>
          <t>Monthly - Tuesday</t>
        </is>
      </c>
      <c r="I4078" t="inlineStr">
        <is>
          <t>Monthly - Tuesday</t>
        </is>
      </c>
      <c r="J4078" t="inlineStr">
        <is>
          <t>Month+8 Expiry</t>
        </is>
      </c>
      <c r="K4078" s="25" t="n">
        <v>7810</v>
      </c>
      <c r="L4078" s="26" t="n">
        <v>12.2618</v>
      </c>
      <c r="M4078" s="26" t="n">
        <v>0.1853</v>
      </c>
    </row>
    <row r="4079">
      <c r="A4079" t="inlineStr">
        <is>
          <t>31-Jul-2026</t>
        </is>
      </c>
      <c r="B4079" t="inlineStr">
        <is>
          <t>Friday</t>
        </is>
      </c>
      <c r="C4079" t="inlineStr">
        <is>
          <t>Week5-Jul-2026</t>
        </is>
      </c>
      <c r="D4079" s="78" t="n">
        <v>46204</v>
      </c>
      <c r="E4079" t="inlineStr">
        <is>
          <t>Q2FY27</t>
        </is>
      </c>
      <c r="F4079" t="inlineStr">
        <is>
          <t>29-Jun-2027</t>
        </is>
      </c>
      <c r="G4079" t="inlineStr">
        <is>
          <t>Tuesday</t>
        </is>
      </c>
      <c r="H4079" t="inlineStr">
        <is>
          <t>Monthly - Tuesday</t>
        </is>
      </c>
      <c r="I4079" t="inlineStr">
        <is>
          <t>Monthly - Tuesday</t>
        </is>
      </c>
      <c r="J4079" t="inlineStr">
        <is>
          <t>Month+11 Expiry</t>
        </is>
      </c>
      <c r="K4079" s="25" t="n">
        <v>7</v>
      </c>
      <c r="L4079" s="26" t="n">
        <v>0.0104</v>
      </c>
      <c r="M4079" s="26" t="n">
        <v>0.0002</v>
      </c>
    </row>
    <row r="4080">
      <c r="A4080" t="inlineStr">
        <is>
          <t>31-Jul-2026</t>
        </is>
      </c>
      <c r="B4080" t="inlineStr">
        <is>
          <t>Friday</t>
        </is>
      </c>
      <c r="C4080" t="inlineStr">
        <is>
          <t>Week5-Jul-2026</t>
        </is>
      </c>
      <c r="D4080" s="78" t="n">
        <v>46204</v>
      </c>
      <c r="E4080" t="inlineStr">
        <is>
          <t>Q2FY27</t>
        </is>
      </c>
      <c r="F4080" t="inlineStr">
        <is>
          <t>28-Dec-2027</t>
        </is>
      </c>
      <c r="G4080" t="inlineStr">
        <is>
          <t>Tuesday</t>
        </is>
      </c>
      <c r="H4080" t="inlineStr">
        <is>
          <t>Monthly - Tuesday</t>
        </is>
      </c>
      <c r="I4080" t="inlineStr">
        <is>
          <t>Monthly - Tuesday</t>
        </is>
      </c>
      <c r="J4080" t="inlineStr">
        <is>
          <t>Month+17 Expiry</t>
        </is>
      </c>
      <c r="K4080" s="25" t="n">
        <v>621</v>
      </c>
      <c r="L4080" s="26" t="n">
        <v>1.0148</v>
      </c>
      <c r="M4080" s="26" t="n">
        <v>0.0355</v>
      </c>
    </row>
    <row r="4081">
      <c r="A4081" t="inlineStr">
        <is>
          <t>31-Jul-2026</t>
        </is>
      </c>
      <c r="B4081" t="inlineStr">
        <is>
          <t>Friday</t>
        </is>
      </c>
      <c r="C4081" t="inlineStr">
        <is>
          <t>Week5-Jul-2026</t>
        </is>
      </c>
      <c r="D4081" s="78" t="n">
        <v>46204</v>
      </c>
      <c r="E4081" t="inlineStr">
        <is>
          <t>Q2FY27</t>
        </is>
      </c>
      <c r="F4081" t="inlineStr">
        <is>
          <t>27-Jun-2028</t>
        </is>
      </c>
      <c r="G4081" t="inlineStr">
        <is>
          <t>Tuesday</t>
        </is>
      </c>
      <c r="H4081" t="inlineStr">
        <is>
          <t>Monthly - Tuesday</t>
        </is>
      </c>
      <c r="I4081" t="inlineStr">
        <is>
          <t>Monthly - Tuesday</t>
        </is>
      </c>
      <c r="J4081" t="inlineStr">
        <is>
          <t>Month+23 Expiry</t>
        </is>
      </c>
      <c r="K4081" s="25" t="n">
        <v>6</v>
      </c>
      <c r="L4081" s="26" t="n">
        <v>0.008699999999999999</v>
      </c>
      <c r="M4081" s="26" t="n">
        <v>0.0002</v>
      </c>
    </row>
    <row r="4082">
      <c r="A4082" t="inlineStr">
        <is>
          <t>31-Jul-2026</t>
        </is>
      </c>
      <c r="B4082" t="inlineStr">
        <is>
          <t>Friday</t>
        </is>
      </c>
      <c r="C4082" t="inlineStr">
        <is>
          <t>Week5-Jul-2026</t>
        </is>
      </c>
      <c r="D4082" s="78" t="n">
        <v>46204</v>
      </c>
      <c r="E4082" t="inlineStr">
        <is>
          <t>Q2FY27</t>
        </is>
      </c>
      <c r="F4082" t="inlineStr">
        <is>
          <t>26-Dec-2028</t>
        </is>
      </c>
      <c r="G4082" t="inlineStr">
        <is>
          <t>Tuesday</t>
        </is>
      </c>
      <c r="H4082" t="inlineStr">
        <is>
          <t>Monthly - Tuesday</t>
        </is>
      </c>
      <c r="I4082" t="inlineStr">
        <is>
          <t>Monthly - Tuesday</t>
        </is>
      </c>
      <c r="J4082" t="inlineStr">
        <is>
          <t>Month+29 Expiry</t>
        </is>
      </c>
      <c r="K4082" s="25" t="n">
        <v>15</v>
      </c>
      <c r="L4082" s="26" t="n">
        <v>0.0247</v>
      </c>
      <c r="M4082" s="26" t="n">
        <v>0.0012</v>
      </c>
    </row>
    <row r="4083">
      <c r="A4083" t="inlineStr">
        <is>
          <t>31-Jul-2026</t>
        </is>
      </c>
      <c r="B4083" t="inlineStr">
        <is>
          <t>Friday</t>
        </is>
      </c>
      <c r="C4083" t="inlineStr">
        <is>
          <t>Week5-Jul-2026</t>
        </is>
      </c>
      <c r="D4083" s="78" t="n">
        <v>46204</v>
      </c>
      <c r="E4083" t="inlineStr">
        <is>
          <t>Q2FY27</t>
        </is>
      </c>
      <c r="F4083" t="inlineStr">
        <is>
          <t>26-Jun-2029</t>
        </is>
      </c>
      <c r="G4083" t="inlineStr">
        <is>
          <t>Tuesday</t>
        </is>
      </c>
      <c r="H4083" t="inlineStr">
        <is>
          <t>Monthly - Tuesday</t>
        </is>
      </c>
      <c r="I4083" t="inlineStr">
        <is>
          <t>Monthly - Tuesday</t>
        </is>
      </c>
      <c r="J4083" t="inlineStr">
        <is>
          <t>Month+35 Expiry</t>
        </is>
      </c>
      <c r="K4083" s="25" t="n">
        <v>0</v>
      </c>
      <c r="L4083" s="26" t="n">
        <v>0</v>
      </c>
      <c r="M4083" s="26" t="n">
        <v>0</v>
      </c>
    </row>
    <row r="4084">
      <c r="A4084" t="inlineStr">
        <is>
          <t>31-Jul-2026</t>
        </is>
      </c>
      <c r="B4084" t="inlineStr">
        <is>
          <t>Friday</t>
        </is>
      </c>
      <c r="C4084" t="inlineStr">
        <is>
          <t>Week5-Jul-2026</t>
        </is>
      </c>
      <c r="D4084" s="78" t="n">
        <v>46204</v>
      </c>
      <c r="E4084" t="inlineStr">
        <is>
          <t>Q2FY27</t>
        </is>
      </c>
      <c r="F4084" t="inlineStr">
        <is>
          <t>24-Dec-2029</t>
        </is>
      </c>
      <c r="G4084" t="inlineStr">
        <is>
          <t>Monday</t>
        </is>
      </c>
      <c r="H4084" t="inlineStr">
        <is>
          <t>Weekly - Monday</t>
        </is>
      </c>
      <c r="I4084" t="inlineStr">
        <is>
          <t>Weekly - Monday</t>
        </is>
      </c>
      <c r="J4084" t="inlineStr">
        <is>
          <t>Month+41 Expiry</t>
        </is>
      </c>
      <c r="K4084" s="25" t="n">
        <v>0</v>
      </c>
      <c r="L4084" s="26" t="n">
        <v>0</v>
      </c>
      <c r="M4084" s="26" t="n">
        <v>0</v>
      </c>
    </row>
    <row r="4085">
      <c r="A4085" t="inlineStr">
        <is>
          <t>31-Jul-2026</t>
        </is>
      </c>
      <c r="B4085" t="inlineStr">
        <is>
          <t>Friday</t>
        </is>
      </c>
      <c r="C4085" t="inlineStr">
        <is>
          <t>Week5-Jul-2026</t>
        </is>
      </c>
      <c r="D4085" s="78" t="n">
        <v>46204</v>
      </c>
      <c r="E4085" t="inlineStr">
        <is>
          <t>Q2FY27</t>
        </is>
      </c>
      <c r="F4085" t="inlineStr">
        <is>
          <t>25-Jun-2030</t>
        </is>
      </c>
      <c r="G4085" t="inlineStr">
        <is>
          <t>Tuesday</t>
        </is>
      </c>
      <c r="H4085" t="inlineStr">
        <is>
          <t>Monthly - Tuesday</t>
        </is>
      </c>
      <c r="I4085" t="inlineStr">
        <is>
          <t>Monthly - Tuesday</t>
        </is>
      </c>
      <c r="J4085" t="inlineStr">
        <is>
          <t>Month+47 Expiry</t>
        </is>
      </c>
      <c r="K4085" s="25" t="n">
        <v>0</v>
      </c>
      <c r="L4085" s="26" t="n">
        <v>0</v>
      </c>
      <c r="M4085" s="26" t="n">
        <v>0</v>
      </c>
    </row>
    <row r="4086">
      <c r="A4086" t="inlineStr">
        <is>
          <t>31-Jul-2026</t>
        </is>
      </c>
      <c r="B4086" t="inlineStr">
        <is>
          <t>Friday</t>
        </is>
      </c>
      <c r="C4086" t="inlineStr">
        <is>
          <t>Week5-Jul-2026</t>
        </is>
      </c>
      <c r="D4086" s="78" t="n">
        <v>46204</v>
      </c>
      <c r="E4086" t="inlineStr">
        <is>
          <t>Q2FY27</t>
        </is>
      </c>
      <c r="F4086" t="inlineStr">
        <is>
          <t>31-Dec-2030</t>
        </is>
      </c>
      <c r="G4086" t="inlineStr">
        <is>
          <t>Tuesday</t>
        </is>
      </c>
      <c r="H4086" t="inlineStr">
        <is>
          <t>Monthly - Tuesday</t>
        </is>
      </c>
      <c r="I4086" t="inlineStr">
        <is>
          <t>Monthly - Tuesday</t>
        </is>
      </c>
      <c r="J4086" t="inlineStr">
        <is>
          <t>Month+53 Expiry</t>
        </is>
      </c>
      <c r="K4086" s="25" t="n">
        <v>0</v>
      </c>
      <c r="L4086" s="26" t="n">
        <v>0</v>
      </c>
      <c r="M4086" s="26" t="n">
        <v>0</v>
      </c>
    </row>
    <row r="4087">
      <c r="A4087" t="inlineStr">
        <is>
          <t>31-Jul-2026</t>
        </is>
      </c>
      <c r="B4087" t="inlineStr">
        <is>
          <t>Friday</t>
        </is>
      </c>
      <c r="C4087" t="inlineStr">
        <is>
          <t>Week5-Jul-2026</t>
        </is>
      </c>
      <c r="D4087" s="78" t="n">
        <v>46204</v>
      </c>
      <c r="E4087" t="inlineStr">
        <is>
          <t>Q2FY27</t>
        </is>
      </c>
      <c r="F4087" t="inlineStr">
        <is>
          <t>24-Jun-2031</t>
        </is>
      </c>
      <c r="G4087" t="inlineStr">
        <is>
          <t>Tuesday</t>
        </is>
      </c>
      <c r="H4087" t="inlineStr">
        <is>
          <t>Monthly - Tuesday</t>
        </is>
      </c>
      <c r="I4087" t="inlineStr">
        <is>
          <t>Monthly - Tuesday</t>
        </is>
      </c>
      <c r="J4087" t="inlineStr">
        <is>
          <t>Month+59 Expiry</t>
        </is>
      </c>
      <c r="K4087" s="25" t="n">
        <v>0</v>
      </c>
      <c r="L4087" s="26" t="n">
        <v>0</v>
      </c>
      <c r="M4087" s="26" t="n">
        <v>0</v>
      </c>
    </row>
    <row r="4088">
      <c r="A4088" t="inlineStr">
        <is>
          <t>03-Aug-2026</t>
        </is>
      </c>
      <c r="B4088" t="inlineStr">
        <is>
          <t>Monday</t>
        </is>
      </c>
      <c r="C4088" t="inlineStr">
        <is>
          <t>Week1-Aug-2026</t>
        </is>
      </c>
      <c r="D4088" s="78" t="n">
        <v>46235</v>
      </c>
      <c r="E4088" t="inlineStr">
        <is>
          <t>Q2FY27</t>
        </is>
      </c>
      <c r="F4088" t="inlineStr">
        <is>
          <t>04-Aug-2026</t>
        </is>
      </c>
      <c r="G4088" t="inlineStr">
        <is>
          <t>Tuesday</t>
        </is>
      </c>
      <c r="H4088" t="inlineStr">
        <is>
          <t>Weekly - Tuesday</t>
        </is>
      </c>
      <c r="I4088" t="inlineStr">
        <is>
          <t>Weekly - Tuesday</t>
        </is>
      </c>
      <c r="J4088" t="inlineStr">
        <is>
          <t>Same Month Expiry</t>
        </is>
      </c>
      <c r="K4088" s="25" t="n">
        <v>110357240</v>
      </c>
      <c r="L4088" s="26" t="n">
        <v>175840.2316</v>
      </c>
      <c r="M4088" s="26" t="n">
        <v>298.8028</v>
      </c>
    </row>
    <row r="4089">
      <c r="A4089" t="inlineStr">
        <is>
          <t>03-Aug-2026</t>
        </is>
      </c>
      <c r="B4089" t="inlineStr">
        <is>
          <t>Monday</t>
        </is>
      </c>
      <c r="C4089" t="inlineStr">
        <is>
          <t>Week1-Aug-2026</t>
        </is>
      </c>
      <c r="D4089" s="78" t="n">
        <v>46235</v>
      </c>
      <c r="E4089" t="inlineStr">
        <is>
          <t>Q2FY27</t>
        </is>
      </c>
      <c r="F4089" t="inlineStr">
        <is>
          <t>11-Aug-2026</t>
        </is>
      </c>
      <c r="G4089" t="inlineStr">
        <is>
          <t>Tuesday</t>
        </is>
      </c>
      <c r="H4089" t="inlineStr">
        <is>
          <t>Weekly - Tuesday</t>
        </is>
      </c>
      <c r="I4089" t="inlineStr">
        <is>
          <t>Weekly - Tuesday</t>
        </is>
      </c>
      <c r="J4089" t="inlineStr">
        <is>
          <t>Same Month Expiry</t>
        </is>
      </c>
      <c r="K4089" s="25" t="n">
        <v>4575580</v>
      </c>
      <c r="L4089" s="26" t="n">
        <v>7282.8083</v>
      </c>
      <c r="M4089" s="26" t="n">
        <v>20.5241</v>
      </c>
    </row>
    <row r="4090">
      <c r="A4090" t="inlineStr">
        <is>
          <t>03-Aug-2026</t>
        </is>
      </c>
      <c r="B4090" t="inlineStr">
        <is>
          <t>Monday</t>
        </is>
      </c>
      <c r="C4090" t="inlineStr">
        <is>
          <t>Week1-Aug-2026</t>
        </is>
      </c>
      <c r="D4090" s="78" t="n">
        <v>46235</v>
      </c>
      <c r="E4090" t="inlineStr">
        <is>
          <t>Q2FY27</t>
        </is>
      </c>
      <c r="F4090" t="inlineStr">
        <is>
          <t>18-Aug-2026</t>
        </is>
      </c>
      <c r="G4090" t="inlineStr">
        <is>
          <t>Tuesday</t>
        </is>
      </c>
      <c r="H4090" t="inlineStr">
        <is>
          <t>Weekly - Tuesday</t>
        </is>
      </c>
      <c r="I4090" t="inlineStr">
        <is>
          <t>Weekly - Tuesday</t>
        </is>
      </c>
      <c r="J4090" t="inlineStr">
        <is>
          <t>Same Month Expiry</t>
        </is>
      </c>
      <c r="K4090" s="25" t="n">
        <v>338748</v>
      </c>
      <c r="L4090" s="26" t="n">
        <v>541.5701</v>
      </c>
      <c r="M4090" s="26" t="n">
        <v>2.2727</v>
      </c>
    </row>
    <row r="4091">
      <c r="A4091" t="inlineStr">
        <is>
          <t>03-Aug-2026</t>
        </is>
      </c>
      <c r="B4091" t="inlineStr">
        <is>
          <t>Monday</t>
        </is>
      </c>
      <c r="C4091" t="inlineStr">
        <is>
          <t>Week1-Aug-2026</t>
        </is>
      </c>
      <c r="D4091" s="78" t="n">
        <v>46235</v>
      </c>
      <c r="E4091" t="inlineStr">
        <is>
          <t>Q2FY27</t>
        </is>
      </c>
      <c r="F4091" t="inlineStr">
        <is>
          <t>25-Aug-2026</t>
        </is>
      </c>
      <c r="G4091" t="inlineStr">
        <is>
          <t>Tuesday</t>
        </is>
      </c>
      <c r="H4091" t="inlineStr">
        <is>
          <t>Monthly - Tuesday</t>
        </is>
      </c>
      <c r="I4091" t="inlineStr">
        <is>
          <t>Monthly - Tuesday</t>
        </is>
      </c>
      <c r="J4091" t="inlineStr">
        <is>
          <t>Same Month Expiry</t>
        </is>
      </c>
      <c r="K4091" s="25" t="n">
        <v>1501115</v>
      </c>
      <c r="L4091" s="26" t="n">
        <v>2396.0214</v>
      </c>
      <c r="M4091" s="26" t="n">
        <v>15.0706</v>
      </c>
    </row>
    <row r="4092">
      <c r="A4092" t="inlineStr">
        <is>
          <t>03-Aug-2026</t>
        </is>
      </c>
      <c r="B4092" t="inlineStr">
        <is>
          <t>Monday</t>
        </is>
      </c>
      <c r="C4092" t="inlineStr">
        <is>
          <t>Week1-Aug-2026</t>
        </is>
      </c>
      <c r="D4092" s="78" t="n">
        <v>46235</v>
      </c>
      <c r="E4092" t="inlineStr">
        <is>
          <t>Q2FY27</t>
        </is>
      </c>
      <c r="F4092" t="inlineStr">
        <is>
          <t>01-Sep-2026</t>
        </is>
      </c>
      <c r="G4092" t="inlineStr">
        <is>
          <t>Tuesday</t>
        </is>
      </c>
      <c r="H4092" t="inlineStr">
        <is>
          <t>Weekly - Tuesday</t>
        </is>
      </c>
      <c r="I4092" t="inlineStr">
        <is>
          <t>Weekly - Tuesday</t>
        </is>
      </c>
      <c r="J4092" t="inlineStr">
        <is>
          <t>Month+1 Expiry</t>
        </is>
      </c>
      <c r="K4092" s="25" t="n">
        <v>10088</v>
      </c>
      <c r="L4092" s="26" t="n">
        <v>16.0469</v>
      </c>
      <c r="M4092" s="26" t="n">
        <v>0.0975</v>
      </c>
    </row>
    <row r="4093">
      <c r="A4093" t="inlineStr">
        <is>
          <t>03-Aug-2026</t>
        </is>
      </c>
      <c r="B4093" t="inlineStr">
        <is>
          <t>Monday</t>
        </is>
      </c>
      <c r="C4093" t="inlineStr">
        <is>
          <t>Week1-Aug-2026</t>
        </is>
      </c>
      <c r="D4093" s="78" t="n">
        <v>46235</v>
      </c>
      <c r="E4093" t="inlineStr">
        <is>
          <t>Q2FY27</t>
        </is>
      </c>
      <c r="F4093" t="inlineStr">
        <is>
          <t>29-Sep-2026</t>
        </is>
      </c>
      <c r="G4093" t="inlineStr">
        <is>
          <t>Tuesday</t>
        </is>
      </c>
      <c r="H4093" t="inlineStr">
        <is>
          <t>Monthly - Tuesday</t>
        </is>
      </c>
      <c r="I4093" t="inlineStr">
        <is>
          <t>Monthly - Tuesday</t>
        </is>
      </c>
      <c r="J4093" t="inlineStr">
        <is>
          <t>Month+1 Expiry</t>
        </is>
      </c>
      <c r="K4093" s="25" t="n">
        <v>240761</v>
      </c>
      <c r="L4093" s="26" t="n">
        <v>380.8372</v>
      </c>
      <c r="M4093" s="26" t="n">
        <v>3.4741</v>
      </c>
    </row>
    <row r="4094">
      <c r="A4094" t="inlineStr">
        <is>
          <t>03-Aug-2026</t>
        </is>
      </c>
      <c r="B4094" t="inlineStr">
        <is>
          <t>Monday</t>
        </is>
      </c>
      <c r="C4094" t="inlineStr">
        <is>
          <t>Week1-Aug-2026</t>
        </is>
      </c>
      <c r="D4094" s="78" t="n">
        <v>46235</v>
      </c>
      <c r="E4094" t="inlineStr">
        <is>
          <t>Q2FY27</t>
        </is>
      </c>
      <c r="F4094" t="inlineStr">
        <is>
          <t>27-Oct-2026</t>
        </is>
      </c>
      <c r="G4094" t="inlineStr">
        <is>
          <t>Tuesday</t>
        </is>
      </c>
      <c r="H4094" t="inlineStr">
        <is>
          <t>Monthly - Tuesday</t>
        </is>
      </c>
      <c r="I4094" t="inlineStr">
        <is>
          <t>Monthly - Tuesday</t>
        </is>
      </c>
      <c r="J4094" t="inlineStr">
        <is>
          <t>Month+2 Expiry</t>
        </is>
      </c>
      <c r="K4094" s="25" t="n">
        <v>30940</v>
      </c>
      <c r="L4094" s="26" t="n">
        <v>49.7128</v>
      </c>
      <c r="M4094" s="26" t="n">
        <v>0.6207</v>
      </c>
    </row>
    <row r="4095">
      <c r="A4095" t="inlineStr">
        <is>
          <t>03-Aug-2026</t>
        </is>
      </c>
      <c r="B4095" t="inlineStr">
        <is>
          <t>Monday</t>
        </is>
      </c>
      <c r="C4095" t="inlineStr">
        <is>
          <t>Week1-Aug-2026</t>
        </is>
      </c>
      <c r="D4095" s="78" t="n">
        <v>46235</v>
      </c>
      <c r="E4095" t="inlineStr">
        <is>
          <t>Q2FY27</t>
        </is>
      </c>
      <c r="F4095" t="inlineStr">
        <is>
          <t>29-Dec-2026</t>
        </is>
      </c>
      <c r="G4095" t="inlineStr">
        <is>
          <t>Tuesday</t>
        </is>
      </c>
      <c r="H4095" t="inlineStr">
        <is>
          <t>Monthly - Tuesday</t>
        </is>
      </c>
      <c r="I4095" t="inlineStr">
        <is>
          <t>Monthly - Tuesday</t>
        </is>
      </c>
      <c r="J4095" t="inlineStr">
        <is>
          <t>Month+4 Expiry</t>
        </is>
      </c>
      <c r="K4095" s="25" t="n">
        <v>85360</v>
      </c>
      <c r="L4095" s="26" t="n">
        <v>134.2279</v>
      </c>
      <c r="M4095" s="26" t="n">
        <v>1.9199</v>
      </c>
    </row>
    <row r="4096">
      <c r="A4096" t="inlineStr">
        <is>
          <t>03-Aug-2026</t>
        </is>
      </c>
      <c r="B4096" t="inlineStr">
        <is>
          <t>Monday</t>
        </is>
      </c>
      <c r="C4096" t="inlineStr">
        <is>
          <t>Week1-Aug-2026</t>
        </is>
      </c>
      <c r="D4096" s="78" t="n">
        <v>46235</v>
      </c>
      <c r="E4096" t="inlineStr">
        <is>
          <t>Q2FY27</t>
        </is>
      </c>
      <c r="F4096" t="inlineStr">
        <is>
          <t>30-Mar-2027</t>
        </is>
      </c>
      <c r="G4096" t="inlineStr">
        <is>
          <t>Tuesday</t>
        </is>
      </c>
      <c r="H4096" t="inlineStr">
        <is>
          <t>Monthly - Tuesday</t>
        </is>
      </c>
      <c r="I4096" t="inlineStr">
        <is>
          <t>Monthly - Tuesday</t>
        </is>
      </c>
      <c r="J4096" t="inlineStr">
        <is>
          <t>Month+7 Expiry</t>
        </is>
      </c>
      <c r="K4096" s="25" t="n">
        <v>34885</v>
      </c>
      <c r="L4096" s="26" t="n">
        <v>54.0827</v>
      </c>
      <c r="M4096" s="26" t="n">
        <v>0.7574</v>
      </c>
    </row>
    <row r="4097">
      <c r="A4097" t="inlineStr">
        <is>
          <t>03-Aug-2026</t>
        </is>
      </c>
      <c r="B4097" t="inlineStr">
        <is>
          <t>Monday</t>
        </is>
      </c>
      <c r="C4097" t="inlineStr">
        <is>
          <t>Week1-Aug-2026</t>
        </is>
      </c>
      <c r="D4097" s="78" t="n">
        <v>46235</v>
      </c>
      <c r="E4097" t="inlineStr">
        <is>
          <t>Q2FY27</t>
        </is>
      </c>
      <c r="F4097" t="inlineStr">
        <is>
          <t>29-Jun-2027</t>
        </is>
      </c>
      <c r="G4097" t="inlineStr">
        <is>
          <t>Tuesday</t>
        </is>
      </c>
      <c r="H4097" t="inlineStr">
        <is>
          <t>Monthly - Tuesday</t>
        </is>
      </c>
      <c r="I4097" t="inlineStr">
        <is>
          <t>Monthly - Tuesday</t>
        </is>
      </c>
      <c r="J4097" t="inlineStr">
        <is>
          <t>Month+10 Expiry</t>
        </is>
      </c>
      <c r="K4097" s="25" t="n">
        <v>32</v>
      </c>
      <c r="L4097" s="26" t="n">
        <v>0.0484</v>
      </c>
      <c r="M4097" s="26" t="n">
        <v>0.0009</v>
      </c>
    </row>
    <row r="4098">
      <c r="A4098" t="inlineStr">
        <is>
          <t>03-Aug-2026</t>
        </is>
      </c>
      <c r="B4098" t="inlineStr">
        <is>
          <t>Monday</t>
        </is>
      </c>
      <c r="C4098" t="inlineStr">
        <is>
          <t>Week1-Aug-2026</t>
        </is>
      </c>
      <c r="D4098" s="78" t="n">
        <v>46235</v>
      </c>
      <c r="E4098" t="inlineStr">
        <is>
          <t>Q2FY27</t>
        </is>
      </c>
      <c r="F4098" t="inlineStr">
        <is>
          <t>28-Dec-2027</t>
        </is>
      </c>
      <c r="G4098" t="inlineStr">
        <is>
          <t>Tuesday</t>
        </is>
      </c>
      <c r="H4098" t="inlineStr">
        <is>
          <t>Monthly - Tuesday</t>
        </is>
      </c>
      <c r="I4098" t="inlineStr">
        <is>
          <t>Monthly - Tuesday</t>
        </is>
      </c>
      <c r="J4098" t="inlineStr">
        <is>
          <t>Month+16 Expiry</t>
        </is>
      </c>
      <c r="K4098" s="25" t="n">
        <v>857</v>
      </c>
      <c r="L4098" s="26" t="n">
        <v>1.4251</v>
      </c>
      <c r="M4098" s="26" t="n">
        <v>0.0469</v>
      </c>
    </row>
    <row r="4099">
      <c r="A4099" t="inlineStr">
        <is>
          <t>03-Aug-2026</t>
        </is>
      </c>
      <c r="B4099" t="inlineStr">
        <is>
          <t>Monday</t>
        </is>
      </c>
      <c r="C4099" t="inlineStr">
        <is>
          <t>Week1-Aug-2026</t>
        </is>
      </c>
      <c r="D4099" s="78" t="n">
        <v>46235</v>
      </c>
      <c r="E4099" t="inlineStr">
        <is>
          <t>Q2FY27</t>
        </is>
      </c>
      <c r="F4099" t="inlineStr">
        <is>
          <t>27-Jun-2028</t>
        </is>
      </c>
      <c r="G4099" t="inlineStr">
        <is>
          <t>Tuesday</t>
        </is>
      </c>
      <c r="H4099" t="inlineStr">
        <is>
          <t>Monthly - Tuesday</t>
        </is>
      </c>
      <c r="I4099" t="inlineStr">
        <is>
          <t>Monthly - Tuesday</t>
        </is>
      </c>
      <c r="J4099" t="inlineStr">
        <is>
          <t>Month+22 Expiry</t>
        </is>
      </c>
      <c r="K4099" s="25" t="n">
        <v>1</v>
      </c>
      <c r="L4099" s="26" t="n">
        <v>0.0015</v>
      </c>
      <c r="M4099" s="26" t="n">
        <v>0</v>
      </c>
    </row>
    <row r="4100">
      <c r="A4100" t="inlineStr">
        <is>
          <t>03-Aug-2026</t>
        </is>
      </c>
      <c r="B4100" t="inlineStr">
        <is>
          <t>Monday</t>
        </is>
      </c>
      <c r="C4100" t="inlineStr">
        <is>
          <t>Week1-Aug-2026</t>
        </is>
      </c>
      <c r="D4100" s="78" t="n">
        <v>46235</v>
      </c>
      <c r="E4100" t="inlineStr">
        <is>
          <t>Q2FY27</t>
        </is>
      </c>
      <c r="F4100" t="inlineStr">
        <is>
          <t>26-Dec-2028</t>
        </is>
      </c>
      <c r="G4100" t="inlineStr">
        <is>
          <t>Tuesday</t>
        </is>
      </c>
      <c r="H4100" t="inlineStr">
        <is>
          <t>Monthly - Tuesday</t>
        </is>
      </c>
      <c r="I4100" t="inlineStr">
        <is>
          <t>Monthly - Tuesday</t>
        </is>
      </c>
      <c r="J4100" t="inlineStr">
        <is>
          <t>Month+28 Expiry</t>
        </is>
      </c>
      <c r="K4100" s="25" t="n">
        <v>70</v>
      </c>
      <c r="L4100" s="26" t="n">
        <v>0.1183</v>
      </c>
      <c r="M4100" s="26" t="n">
        <v>0.0053</v>
      </c>
    </row>
    <row r="4101">
      <c r="A4101" t="inlineStr">
        <is>
          <t>03-Aug-2026</t>
        </is>
      </c>
      <c r="B4101" t="inlineStr">
        <is>
          <t>Monday</t>
        </is>
      </c>
      <c r="C4101" t="inlineStr">
        <is>
          <t>Week1-Aug-2026</t>
        </is>
      </c>
      <c r="D4101" s="78" t="n">
        <v>46235</v>
      </c>
      <c r="E4101" t="inlineStr">
        <is>
          <t>Q2FY27</t>
        </is>
      </c>
      <c r="F4101" t="inlineStr">
        <is>
          <t>26-Jun-2029</t>
        </is>
      </c>
      <c r="G4101" t="inlineStr">
        <is>
          <t>Tuesday</t>
        </is>
      </c>
      <c r="H4101" t="inlineStr">
        <is>
          <t>Monthly - Tuesday</t>
        </is>
      </c>
      <c r="I4101" t="inlineStr">
        <is>
          <t>Monthly - Tuesday</t>
        </is>
      </c>
      <c r="J4101" t="inlineStr">
        <is>
          <t>Month+34 Expiry</t>
        </is>
      </c>
      <c r="K4101" s="25" t="n">
        <v>0</v>
      </c>
      <c r="L4101" s="26" t="n">
        <v>0</v>
      </c>
      <c r="M4101" s="26" t="n">
        <v>0</v>
      </c>
    </row>
    <row r="4102">
      <c r="A4102" t="inlineStr">
        <is>
          <t>03-Aug-2026</t>
        </is>
      </c>
      <c r="B4102" t="inlineStr">
        <is>
          <t>Monday</t>
        </is>
      </c>
      <c r="C4102" t="inlineStr">
        <is>
          <t>Week1-Aug-2026</t>
        </is>
      </c>
      <c r="D4102" s="78" t="n">
        <v>46235</v>
      </c>
      <c r="E4102" t="inlineStr">
        <is>
          <t>Q2FY27</t>
        </is>
      </c>
      <c r="F4102" t="inlineStr">
        <is>
          <t>24-Dec-2029</t>
        </is>
      </c>
      <c r="G4102" t="inlineStr">
        <is>
          <t>Monday</t>
        </is>
      </c>
      <c r="H4102" t="inlineStr">
        <is>
          <t>Weekly - Monday</t>
        </is>
      </c>
      <c r="I4102" t="inlineStr">
        <is>
          <t>Weekly - Monday</t>
        </is>
      </c>
      <c r="J4102" t="inlineStr">
        <is>
          <t>Month+40 Expiry</t>
        </is>
      </c>
      <c r="K4102" s="25" t="n">
        <v>1</v>
      </c>
      <c r="L4102" s="26" t="n">
        <v>0.0017</v>
      </c>
      <c r="M4102" s="26" t="n">
        <v>0.0001</v>
      </c>
    </row>
    <row r="4103">
      <c r="A4103" t="inlineStr">
        <is>
          <t>03-Aug-2026</t>
        </is>
      </c>
      <c r="B4103" t="inlineStr">
        <is>
          <t>Monday</t>
        </is>
      </c>
      <c r="C4103" t="inlineStr">
        <is>
          <t>Week1-Aug-2026</t>
        </is>
      </c>
      <c r="D4103" s="78" t="n">
        <v>46235</v>
      </c>
      <c r="E4103" t="inlineStr">
        <is>
          <t>Q2FY27</t>
        </is>
      </c>
      <c r="F4103" t="inlineStr">
        <is>
          <t>25-Jun-2030</t>
        </is>
      </c>
      <c r="G4103" t="inlineStr">
        <is>
          <t>Tuesday</t>
        </is>
      </c>
      <c r="H4103" t="inlineStr">
        <is>
          <t>Monthly - Tuesday</t>
        </is>
      </c>
      <c r="I4103" t="inlineStr">
        <is>
          <t>Monthly - Tuesday</t>
        </is>
      </c>
      <c r="J4103" t="inlineStr">
        <is>
          <t>Month+46 Expiry</t>
        </is>
      </c>
      <c r="K4103" s="25" t="n">
        <v>0</v>
      </c>
      <c r="L4103" s="26" t="n">
        <v>0</v>
      </c>
      <c r="M4103" s="26" t="n">
        <v>0</v>
      </c>
    </row>
    <row r="4104">
      <c r="A4104" t="inlineStr">
        <is>
          <t>03-Aug-2026</t>
        </is>
      </c>
      <c r="B4104" t="inlineStr">
        <is>
          <t>Monday</t>
        </is>
      </c>
      <c r="C4104" t="inlineStr">
        <is>
          <t>Week1-Aug-2026</t>
        </is>
      </c>
      <c r="D4104" s="78" t="n">
        <v>46235</v>
      </c>
      <c r="E4104" t="inlineStr">
        <is>
          <t>Q2FY27</t>
        </is>
      </c>
      <c r="F4104" t="inlineStr">
        <is>
          <t>31-Dec-2030</t>
        </is>
      </c>
      <c r="G4104" t="inlineStr">
        <is>
          <t>Tuesday</t>
        </is>
      </c>
      <c r="H4104" t="inlineStr">
        <is>
          <t>Monthly - Tuesday</t>
        </is>
      </c>
      <c r="I4104" t="inlineStr">
        <is>
          <t>Monthly - Tuesday</t>
        </is>
      </c>
      <c r="J4104" t="inlineStr">
        <is>
          <t>Month+52 Expiry</t>
        </is>
      </c>
      <c r="K4104" s="25" t="n">
        <v>0</v>
      </c>
      <c r="L4104" s="26" t="n">
        <v>0</v>
      </c>
      <c r="M4104" s="26" t="n">
        <v>0</v>
      </c>
    </row>
    <row r="4105">
      <c r="A4105" t="inlineStr">
        <is>
          <t>03-Aug-2026</t>
        </is>
      </c>
      <c r="B4105" t="inlineStr">
        <is>
          <t>Monday</t>
        </is>
      </c>
      <c r="C4105" t="inlineStr">
        <is>
          <t>Week1-Aug-2026</t>
        </is>
      </c>
      <c r="D4105" s="78" t="n">
        <v>46235</v>
      </c>
      <c r="E4105" t="inlineStr">
        <is>
          <t>Q2FY27</t>
        </is>
      </c>
      <c r="F4105" t="inlineStr">
        <is>
          <t>24-Jun-2031</t>
        </is>
      </c>
      <c r="G4105" t="inlineStr">
        <is>
          <t>Tuesday</t>
        </is>
      </c>
      <c r="H4105" t="inlineStr">
        <is>
          <t>Monthly - Tuesday</t>
        </is>
      </c>
      <c r="I4105" t="inlineStr">
        <is>
          <t>Monthly - Tuesday</t>
        </is>
      </c>
      <c r="J4105" t="inlineStr">
        <is>
          <t>Month+58 Expiry</t>
        </is>
      </c>
      <c r="K4105" s="25" t="n">
        <v>0</v>
      </c>
      <c r="L4105" s="26" t="n">
        <v>0</v>
      </c>
      <c r="M4105" s="26" t="n">
        <v>0</v>
      </c>
    </row>
    <row r="4106">
      <c r="A4106" t="inlineStr">
        <is>
          <t>04-Aug-2026</t>
        </is>
      </c>
      <c r="B4106" t="inlineStr">
        <is>
          <t>Tuesday</t>
        </is>
      </c>
      <c r="C4106" t="inlineStr">
        <is>
          <t>Week1-Aug-2026</t>
        </is>
      </c>
      <c r="D4106" s="78" t="n">
        <v>46235</v>
      </c>
      <c r="E4106" t="inlineStr">
        <is>
          <t>Q2FY27</t>
        </is>
      </c>
      <c r="F4106" t="inlineStr">
        <is>
          <t>04-Aug-2026</t>
        </is>
      </c>
      <c r="G4106" t="inlineStr">
        <is>
          <t>Tuesday</t>
        </is>
      </c>
      <c r="H4106" t="inlineStr">
        <is>
          <t>Weekly - Tuesday</t>
        </is>
      </c>
      <c r="I4106" t="inlineStr">
        <is>
          <t>Weekly - Tuesday</t>
        </is>
      </c>
      <c r="J4106" t="inlineStr">
        <is>
          <t>Same Month Expiry</t>
        </is>
      </c>
      <c r="K4106" s="25" t="n">
        <v>305090220</v>
      </c>
      <c r="L4106" s="26" t="n">
        <v>487003.8387</v>
      </c>
      <c r="M4106" s="26" t="n">
        <v>557.4813</v>
      </c>
    </row>
    <row r="4107">
      <c r="A4107" t="inlineStr">
        <is>
          <t>04-Aug-2026</t>
        </is>
      </c>
      <c r="B4107" t="inlineStr">
        <is>
          <t>Tuesday</t>
        </is>
      </c>
      <c r="C4107" t="inlineStr">
        <is>
          <t>Week1-Aug-2026</t>
        </is>
      </c>
      <c r="D4107" s="78" t="n">
        <v>46235</v>
      </c>
      <c r="E4107" t="inlineStr">
        <is>
          <t>Q2FY27</t>
        </is>
      </c>
      <c r="F4107" t="inlineStr">
        <is>
          <t>11-Aug-2026</t>
        </is>
      </c>
      <c r="G4107" t="inlineStr">
        <is>
          <t>Tuesday</t>
        </is>
      </c>
      <c r="H4107" t="inlineStr">
        <is>
          <t>Weekly - Tuesday</t>
        </is>
      </c>
      <c r="I4107" t="inlineStr">
        <is>
          <t>Weekly - Tuesday</t>
        </is>
      </c>
      <c r="J4107" t="inlineStr">
        <is>
          <t>Same Month Expiry</t>
        </is>
      </c>
      <c r="K4107" s="25" t="n">
        <v>10409669</v>
      </c>
      <c r="L4107" s="26" t="n">
        <v>16618.3854</v>
      </c>
      <c r="M4107" s="26" t="n">
        <v>49.0077</v>
      </c>
    </row>
    <row r="4108">
      <c r="A4108" t="inlineStr">
        <is>
          <t>04-Aug-2026</t>
        </is>
      </c>
      <c r="B4108" t="inlineStr">
        <is>
          <t>Tuesday</t>
        </is>
      </c>
      <c r="C4108" t="inlineStr">
        <is>
          <t>Week1-Aug-2026</t>
        </is>
      </c>
      <c r="D4108" s="78" t="n">
        <v>46235</v>
      </c>
      <c r="E4108" t="inlineStr">
        <is>
          <t>Q2FY27</t>
        </is>
      </c>
      <c r="F4108" t="inlineStr">
        <is>
          <t>18-Aug-2026</t>
        </is>
      </c>
      <c r="G4108" t="inlineStr">
        <is>
          <t>Tuesday</t>
        </is>
      </c>
      <c r="H4108" t="inlineStr">
        <is>
          <t>Weekly - Tuesday</t>
        </is>
      </c>
      <c r="I4108" t="inlineStr">
        <is>
          <t>Weekly - Tuesday</t>
        </is>
      </c>
      <c r="J4108" t="inlineStr">
        <is>
          <t>Same Month Expiry</t>
        </is>
      </c>
      <c r="K4108" s="25" t="n">
        <v>484395</v>
      </c>
      <c r="L4108" s="26" t="n">
        <v>774.8727</v>
      </c>
      <c r="M4108" s="26" t="n">
        <v>3.0159</v>
      </c>
    </row>
    <row r="4109">
      <c r="A4109" t="inlineStr">
        <is>
          <t>04-Aug-2026</t>
        </is>
      </c>
      <c r="B4109" t="inlineStr">
        <is>
          <t>Tuesday</t>
        </is>
      </c>
      <c r="C4109" t="inlineStr">
        <is>
          <t>Week1-Aug-2026</t>
        </is>
      </c>
      <c r="D4109" s="78" t="n">
        <v>46235</v>
      </c>
      <c r="E4109" t="inlineStr">
        <is>
          <t>Q2FY27</t>
        </is>
      </c>
      <c r="F4109" t="inlineStr">
        <is>
          <t>25-Aug-2026</t>
        </is>
      </c>
      <c r="G4109" t="inlineStr">
        <is>
          <t>Tuesday</t>
        </is>
      </c>
      <c r="H4109" t="inlineStr">
        <is>
          <t>Monthly - Tuesday</t>
        </is>
      </c>
      <c r="I4109" t="inlineStr">
        <is>
          <t>Monthly - Tuesday</t>
        </is>
      </c>
      <c r="J4109" t="inlineStr">
        <is>
          <t>Same Month Expiry</t>
        </is>
      </c>
      <c r="K4109" s="25" t="n">
        <v>1413416</v>
      </c>
      <c r="L4109" s="26" t="n">
        <v>2257.7084</v>
      </c>
      <c r="M4109" s="26" t="n">
        <v>14.7862</v>
      </c>
    </row>
    <row r="4110">
      <c r="A4110" t="inlineStr">
        <is>
          <t>04-Aug-2026</t>
        </is>
      </c>
      <c r="B4110" t="inlineStr">
        <is>
          <t>Tuesday</t>
        </is>
      </c>
      <c r="C4110" t="inlineStr">
        <is>
          <t>Week1-Aug-2026</t>
        </is>
      </c>
      <c r="D4110" s="78" t="n">
        <v>46235</v>
      </c>
      <c r="E4110" t="inlineStr">
        <is>
          <t>Q2FY27</t>
        </is>
      </c>
      <c r="F4110" t="inlineStr">
        <is>
          <t>01-Sep-2026</t>
        </is>
      </c>
      <c r="G4110" t="inlineStr">
        <is>
          <t>Tuesday</t>
        </is>
      </c>
      <c r="H4110" t="inlineStr">
        <is>
          <t>Weekly - Tuesday</t>
        </is>
      </c>
      <c r="I4110" t="inlineStr">
        <is>
          <t>Weekly - Tuesday</t>
        </is>
      </c>
      <c r="J4110" t="inlineStr">
        <is>
          <t>Month+1 Expiry</t>
        </is>
      </c>
      <c r="K4110" s="25" t="n">
        <v>11010</v>
      </c>
      <c r="L4110" s="26" t="n">
        <v>17.6379</v>
      </c>
      <c r="M4110" s="26" t="n">
        <v>0.119</v>
      </c>
    </row>
    <row r="4111">
      <c r="A4111" t="inlineStr">
        <is>
          <t>04-Aug-2026</t>
        </is>
      </c>
      <c r="B4111" t="inlineStr">
        <is>
          <t>Tuesday</t>
        </is>
      </c>
      <c r="C4111" t="inlineStr">
        <is>
          <t>Week1-Aug-2026</t>
        </is>
      </c>
      <c r="D4111" s="78" t="n">
        <v>46235</v>
      </c>
      <c r="E4111" t="inlineStr">
        <is>
          <t>Q2FY27</t>
        </is>
      </c>
      <c r="F4111" t="inlineStr">
        <is>
          <t>29-Sep-2026</t>
        </is>
      </c>
      <c r="G4111" t="inlineStr">
        <is>
          <t>Tuesday</t>
        </is>
      </c>
      <c r="H4111" t="inlineStr">
        <is>
          <t>Monthly - Tuesday</t>
        </is>
      </c>
      <c r="I4111" t="inlineStr">
        <is>
          <t>Monthly - Tuesday</t>
        </is>
      </c>
      <c r="J4111" t="inlineStr">
        <is>
          <t>Month+1 Expiry</t>
        </is>
      </c>
      <c r="K4111" s="25" t="n">
        <v>191632</v>
      </c>
      <c r="L4111" s="26" t="n">
        <v>308.8974</v>
      </c>
      <c r="M4111" s="26" t="n">
        <v>2.6552</v>
      </c>
    </row>
    <row r="4112">
      <c r="A4112" t="inlineStr">
        <is>
          <t>04-Aug-2026</t>
        </is>
      </c>
      <c r="B4112" t="inlineStr">
        <is>
          <t>Tuesday</t>
        </is>
      </c>
      <c r="C4112" t="inlineStr">
        <is>
          <t>Week1-Aug-2026</t>
        </is>
      </c>
      <c r="D4112" s="78" t="n">
        <v>46235</v>
      </c>
      <c r="E4112" t="inlineStr">
        <is>
          <t>Q2FY27</t>
        </is>
      </c>
      <c r="F4112" t="inlineStr">
        <is>
          <t>27-Oct-2026</t>
        </is>
      </c>
      <c r="G4112" t="inlineStr">
        <is>
          <t>Tuesday</t>
        </is>
      </c>
      <c r="H4112" t="inlineStr">
        <is>
          <t>Monthly - Tuesday</t>
        </is>
      </c>
      <c r="I4112" t="inlineStr">
        <is>
          <t>Monthly - Tuesday</t>
        </is>
      </c>
      <c r="J4112" t="inlineStr">
        <is>
          <t>Month+2 Expiry</t>
        </is>
      </c>
      <c r="K4112" s="25" t="n">
        <v>24285</v>
      </c>
      <c r="L4112" s="26" t="n">
        <v>39.0901</v>
      </c>
      <c r="M4112" s="26" t="n">
        <v>0.4577</v>
      </c>
    </row>
    <row r="4113">
      <c r="A4113" t="inlineStr">
        <is>
          <t>04-Aug-2026</t>
        </is>
      </c>
      <c r="B4113" t="inlineStr">
        <is>
          <t>Tuesday</t>
        </is>
      </c>
      <c r="C4113" t="inlineStr">
        <is>
          <t>Week1-Aug-2026</t>
        </is>
      </c>
      <c r="D4113" s="78" t="n">
        <v>46235</v>
      </c>
      <c r="E4113" t="inlineStr">
        <is>
          <t>Q2FY27</t>
        </is>
      </c>
      <c r="F4113" t="inlineStr">
        <is>
          <t>29-Dec-2026</t>
        </is>
      </c>
      <c r="G4113" t="inlineStr">
        <is>
          <t>Tuesday</t>
        </is>
      </c>
      <c r="H4113" t="inlineStr">
        <is>
          <t>Monthly - Tuesday</t>
        </is>
      </c>
      <c r="I4113" t="inlineStr">
        <is>
          <t>Monthly - Tuesday</t>
        </is>
      </c>
      <c r="J4113" t="inlineStr">
        <is>
          <t>Month+4 Expiry</t>
        </is>
      </c>
      <c r="K4113" s="25" t="n">
        <v>59496</v>
      </c>
      <c r="L4113" s="26" t="n">
        <v>95.3631</v>
      </c>
      <c r="M4113" s="26" t="n">
        <v>1.4898</v>
      </c>
    </row>
    <row r="4114">
      <c r="A4114" t="inlineStr">
        <is>
          <t>04-Aug-2026</t>
        </is>
      </c>
      <c r="B4114" t="inlineStr">
        <is>
          <t>Tuesday</t>
        </is>
      </c>
      <c r="C4114" t="inlineStr">
        <is>
          <t>Week1-Aug-2026</t>
        </is>
      </c>
      <c r="D4114" s="78" t="n">
        <v>46235</v>
      </c>
      <c r="E4114" t="inlineStr">
        <is>
          <t>Q2FY27</t>
        </is>
      </c>
      <c r="F4114" t="inlineStr">
        <is>
          <t>30-Mar-2027</t>
        </is>
      </c>
      <c r="G4114" t="inlineStr">
        <is>
          <t>Tuesday</t>
        </is>
      </c>
      <c r="H4114" t="inlineStr">
        <is>
          <t>Monthly - Tuesday</t>
        </is>
      </c>
      <c r="I4114" t="inlineStr">
        <is>
          <t>Monthly - Tuesday</t>
        </is>
      </c>
      <c r="J4114" t="inlineStr">
        <is>
          <t>Month+7 Expiry</t>
        </is>
      </c>
      <c r="K4114" s="25" t="n">
        <v>10344</v>
      </c>
      <c r="L4114" s="26" t="n">
        <v>16.9276</v>
      </c>
      <c r="M4114" s="26" t="n">
        <v>0.3505</v>
      </c>
    </row>
    <row r="4115">
      <c r="A4115" t="inlineStr">
        <is>
          <t>04-Aug-2026</t>
        </is>
      </c>
      <c r="B4115" t="inlineStr">
        <is>
          <t>Tuesday</t>
        </is>
      </c>
      <c r="C4115" t="inlineStr">
        <is>
          <t>Week1-Aug-2026</t>
        </is>
      </c>
      <c r="D4115" s="78" t="n">
        <v>46235</v>
      </c>
      <c r="E4115" t="inlineStr">
        <is>
          <t>Q2FY27</t>
        </is>
      </c>
      <c r="F4115" t="inlineStr">
        <is>
          <t>29-Jun-2027</t>
        </is>
      </c>
      <c r="G4115" t="inlineStr">
        <is>
          <t>Tuesday</t>
        </is>
      </c>
      <c r="H4115" t="inlineStr">
        <is>
          <t>Monthly - Tuesday</t>
        </is>
      </c>
      <c r="I4115" t="inlineStr">
        <is>
          <t>Monthly - Tuesday</t>
        </is>
      </c>
      <c r="J4115" t="inlineStr">
        <is>
          <t>Month+10 Expiry</t>
        </is>
      </c>
      <c r="K4115" s="25" t="n">
        <v>14</v>
      </c>
      <c r="L4115" s="26" t="n">
        <v>0.0203</v>
      </c>
      <c r="M4115" s="26" t="n">
        <v>0.0004</v>
      </c>
    </row>
    <row r="4116">
      <c r="A4116" t="inlineStr">
        <is>
          <t>04-Aug-2026</t>
        </is>
      </c>
      <c r="B4116" t="inlineStr">
        <is>
          <t>Tuesday</t>
        </is>
      </c>
      <c r="C4116" t="inlineStr">
        <is>
          <t>Week1-Aug-2026</t>
        </is>
      </c>
      <c r="D4116" s="78" t="n">
        <v>46235</v>
      </c>
      <c r="E4116" t="inlineStr">
        <is>
          <t>Q2FY27</t>
        </is>
      </c>
      <c r="F4116" t="inlineStr">
        <is>
          <t>28-Dec-2027</t>
        </is>
      </c>
      <c r="G4116" t="inlineStr">
        <is>
          <t>Tuesday</t>
        </is>
      </c>
      <c r="H4116" t="inlineStr">
        <is>
          <t>Monthly - Tuesday</t>
        </is>
      </c>
      <c r="I4116" t="inlineStr">
        <is>
          <t>Monthly - Tuesday</t>
        </is>
      </c>
      <c r="J4116" t="inlineStr">
        <is>
          <t>Month+16 Expiry</t>
        </is>
      </c>
      <c r="K4116" s="25" t="n">
        <v>578</v>
      </c>
      <c r="L4116" s="26" t="n">
        <v>0.995</v>
      </c>
      <c r="M4116" s="26" t="n">
        <v>0.043</v>
      </c>
    </row>
    <row r="4117">
      <c r="A4117" t="inlineStr">
        <is>
          <t>04-Aug-2026</t>
        </is>
      </c>
      <c r="B4117" t="inlineStr">
        <is>
          <t>Tuesday</t>
        </is>
      </c>
      <c r="C4117" t="inlineStr">
        <is>
          <t>Week1-Aug-2026</t>
        </is>
      </c>
      <c r="D4117" s="78" t="n">
        <v>46235</v>
      </c>
      <c r="E4117" t="inlineStr">
        <is>
          <t>Q2FY27</t>
        </is>
      </c>
      <c r="F4117" t="inlineStr">
        <is>
          <t>27-Jun-2028</t>
        </is>
      </c>
      <c r="G4117" t="inlineStr">
        <is>
          <t>Tuesday</t>
        </is>
      </c>
      <c r="H4117" t="inlineStr">
        <is>
          <t>Monthly - Tuesday</t>
        </is>
      </c>
      <c r="I4117" t="inlineStr">
        <is>
          <t>Monthly - Tuesday</t>
        </is>
      </c>
      <c r="J4117" t="inlineStr">
        <is>
          <t>Month+22 Expiry</t>
        </is>
      </c>
      <c r="K4117" s="25" t="n">
        <v>0</v>
      </c>
      <c r="L4117" s="26" t="n">
        <v>0</v>
      </c>
      <c r="M4117" s="26" t="n">
        <v>0</v>
      </c>
    </row>
    <row r="4118">
      <c r="A4118" t="inlineStr">
        <is>
          <t>04-Aug-2026</t>
        </is>
      </c>
      <c r="B4118" t="inlineStr">
        <is>
          <t>Tuesday</t>
        </is>
      </c>
      <c r="C4118" t="inlineStr">
        <is>
          <t>Week1-Aug-2026</t>
        </is>
      </c>
      <c r="D4118" s="78" t="n">
        <v>46235</v>
      </c>
      <c r="E4118" t="inlineStr">
        <is>
          <t>Q2FY27</t>
        </is>
      </c>
      <c r="F4118" t="inlineStr">
        <is>
          <t>26-Dec-2028</t>
        </is>
      </c>
      <c r="G4118" t="inlineStr">
        <is>
          <t>Tuesday</t>
        </is>
      </c>
      <c r="H4118" t="inlineStr">
        <is>
          <t>Monthly - Tuesday</t>
        </is>
      </c>
      <c r="I4118" t="inlineStr">
        <is>
          <t>Monthly - Tuesday</t>
        </is>
      </c>
      <c r="J4118" t="inlineStr">
        <is>
          <t>Month+28 Expiry</t>
        </is>
      </c>
      <c r="K4118" s="25" t="n">
        <v>15</v>
      </c>
      <c r="L4118" s="26" t="n">
        <v>0.0266</v>
      </c>
      <c r="M4118" s="26" t="n">
        <v>0.0012</v>
      </c>
    </row>
    <row r="4119">
      <c r="A4119" t="inlineStr">
        <is>
          <t>04-Aug-2026</t>
        </is>
      </c>
      <c r="B4119" t="inlineStr">
        <is>
          <t>Tuesday</t>
        </is>
      </c>
      <c r="C4119" t="inlineStr">
        <is>
          <t>Week1-Aug-2026</t>
        </is>
      </c>
      <c r="D4119" s="78" t="n">
        <v>46235</v>
      </c>
      <c r="E4119" t="inlineStr">
        <is>
          <t>Q2FY27</t>
        </is>
      </c>
      <c r="F4119" t="inlineStr">
        <is>
          <t>26-Jun-2029</t>
        </is>
      </c>
      <c r="G4119" t="inlineStr">
        <is>
          <t>Tuesday</t>
        </is>
      </c>
      <c r="H4119" t="inlineStr">
        <is>
          <t>Monthly - Tuesday</t>
        </is>
      </c>
      <c r="I4119" t="inlineStr">
        <is>
          <t>Monthly - Tuesday</t>
        </is>
      </c>
      <c r="J4119" t="inlineStr">
        <is>
          <t>Month+34 Expiry</t>
        </is>
      </c>
      <c r="K4119" s="25" t="n">
        <v>0</v>
      </c>
      <c r="L4119" s="26" t="n">
        <v>0</v>
      </c>
      <c r="M4119" s="26" t="n">
        <v>0</v>
      </c>
    </row>
    <row r="4120">
      <c r="A4120" t="inlineStr">
        <is>
          <t>04-Aug-2026</t>
        </is>
      </c>
      <c r="B4120" t="inlineStr">
        <is>
          <t>Tuesday</t>
        </is>
      </c>
      <c r="C4120" t="inlineStr">
        <is>
          <t>Week1-Aug-2026</t>
        </is>
      </c>
      <c r="D4120" s="78" t="n">
        <v>46235</v>
      </c>
      <c r="E4120" t="inlineStr">
        <is>
          <t>Q2FY27</t>
        </is>
      </c>
      <c r="F4120" t="inlineStr">
        <is>
          <t>24-Dec-2029</t>
        </is>
      </c>
      <c r="G4120" t="inlineStr">
        <is>
          <t>Monday</t>
        </is>
      </c>
      <c r="H4120" t="inlineStr">
        <is>
          <t>Weekly - Monday</t>
        </is>
      </c>
      <c r="I4120" t="inlineStr">
        <is>
          <t>Weekly - Monday</t>
        </is>
      </c>
      <c r="J4120" t="inlineStr">
        <is>
          <t>Month+40 Expiry</t>
        </is>
      </c>
      <c r="K4120" s="25" t="n">
        <v>1</v>
      </c>
      <c r="L4120" s="26" t="n">
        <v>0.0017</v>
      </c>
      <c r="M4120" s="26" t="n">
        <v>0.0001</v>
      </c>
    </row>
    <row r="4121">
      <c r="A4121" t="inlineStr">
        <is>
          <t>04-Aug-2026</t>
        </is>
      </c>
      <c r="B4121" t="inlineStr">
        <is>
          <t>Tuesday</t>
        </is>
      </c>
      <c r="C4121" t="inlineStr">
        <is>
          <t>Week1-Aug-2026</t>
        </is>
      </c>
      <c r="D4121" s="78" t="n">
        <v>46235</v>
      </c>
      <c r="E4121" t="inlineStr">
        <is>
          <t>Q2FY27</t>
        </is>
      </c>
      <c r="F4121" t="inlineStr">
        <is>
          <t>25-Jun-2030</t>
        </is>
      </c>
      <c r="G4121" t="inlineStr">
        <is>
          <t>Tuesday</t>
        </is>
      </c>
      <c r="H4121" t="inlineStr">
        <is>
          <t>Monthly - Tuesday</t>
        </is>
      </c>
      <c r="I4121" t="inlineStr">
        <is>
          <t>Monthly - Tuesday</t>
        </is>
      </c>
      <c r="J4121" t="inlineStr">
        <is>
          <t>Month+46 Expiry</t>
        </is>
      </c>
      <c r="K4121" s="25" t="n">
        <v>0</v>
      </c>
      <c r="L4121" s="26" t="n">
        <v>0</v>
      </c>
      <c r="M4121" s="26" t="n">
        <v>0</v>
      </c>
    </row>
    <row r="4122">
      <c r="A4122" t="inlineStr">
        <is>
          <t>04-Aug-2026</t>
        </is>
      </c>
      <c r="B4122" t="inlineStr">
        <is>
          <t>Tuesday</t>
        </is>
      </c>
      <c r="C4122" t="inlineStr">
        <is>
          <t>Week1-Aug-2026</t>
        </is>
      </c>
      <c r="D4122" s="78" t="n">
        <v>46235</v>
      </c>
      <c r="E4122" t="inlineStr">
        <is>
          <t>Q2FY27</t>
        </is>
      </c>
      <c r="F4122" t="inlineStr">
        <is>
          <t>31-Dec-2030</t>
        </is>
      </c>
      <c r="G4122" t="inlineStr">
        <is>
          <t>Tuesday</t>
        </is>
      </c>
      <c r="H4122" t="inlineStr">
        <is>
          <t>Monthly - Tuesday</t>
        </is>
      </c>
      <c r="I4122" t="inlineStr">
        <is>
          <t>Monthly - Tuesday</t>
        </is>
      </c>
      <c r="J4122" t="inlineStr">
        <is>
          <t>Month+52 Expiry</t>
        </is>
      </c>
      <c r="K4122" s="25" t="n">
        <v>0</v>
      </c>
      <c r="L4122" s="26" t="n">
        <v>0</v>
      </c>
      <c r="M4122" s="26" t="n">
        <v>0</v>
      </c>
    </row>
    <row r="4123">
      <c r="A4123" t="inlineStr">
        <is>
          <t>04-Aug-2026</t>
        </is>
      </c>
      <c r="B4123" t="inlineStr">
        <is>
          <t>Tuesday</t>
        </is>
      </c>
      <c r="C4123" t="inlineStr">
        <is>
          <t>Week1-Aug-2026</t>
        </is>
      </c>
      <c r="D4123" s="78" t="n">
        <v>46235</v>
      </c>
      <c r="E4123" t="inlineStr">
        <is>
          <t>Q2FY27</t>
        </is>
      </c>
      <c r="F4123" t="inlineStr">
        <is>
          <t>24-Jun-2031</t>
        </is>
      </c>
      <c r="G4123" t="inlineStr">
        <is>
          <t>Tuesday</t>
        </is>
      </c>
      <c r="H4123" t="inlineStr">
        <is>
          <t>Monthly - Tuesday</t>
        </is>
      </c>
      <c r="I4123" t="inlineStr">
        <is>
          <t>Monthly - Tuesday</t>
        </is>
      </c>
      <c r="J4123" t="inlineStr">
        <is>
          <t>Month+58 Expiry</t>
        </is>
      </c>
      <c r="K4123" s="25" t="n">
        <v>0</v>
      </c>
      <c r="L4123" s="26" t="n">
        <v>0</v>
      </c>
      <c r="M4123" s="26" t="n">
        <v>0</v>
      </c>
    </row>
    <row r="4124">
      <c r="A4124" t="inlineStr">
        <is>
          <t>05-Aug-2026</t>
        </is>
      </c>
      <c r="B4124" t="inlineStr">
        <is>
          <t>Wednesday</t>
        </is>
      </c>
      <c r="C4124" t="inlineStr">
        <is>
          <t>Week1-Aug-2026</t>
        </is>
      </c>
      <c r="D4124" s="78" t="n">
        <v>46235</v>
      </c>
      <c r="E4124" t="inlineStr">
        <is>
          <t>Q2FY27</t>
        </is>
      </c>
      <c r="F4124" t="inlineStr">
        <is>
          <t>11-Aug-2026</t>
        </is>
      </c>
      <c r="G4124" t="inlineStr">
        <is>
          <t>Tuesday</t>
        </is>
      </c>
      <c r="H4124" t="inlineStr">
        <is>
          <t>Weekly - Tuesday</t>
        </is>
      </c>
      <c r="I4124" t="inlineStr">
        <is>
          <t>Weekly - Tuesday</t>
        </is>
      </c>
      <c r="J4124" t="inlineStr">
        <is>
          <t>Same Month Expiry</t>
        </is>
      </c>
      <c r="K4124" s="25" t="n">
        <v>52595155</v>
      </c>
      <c r="L4124" s="26" t="n">
        <v>84305.7114</v>
      </c>
      <c r="M4124" s="26" t="n">
        <v>285.9321</v>
      </c>
    </row>
    <row r="4125">
      <c r="A4125" t="inlineStr">
        <is>
          <t>05-Aug-2026</t>
        </is>
      </c>
      <c r="B4125" t="inlineStr">
        <is>
          <t>Wednesday</t>
        </is>
      </c>
      <c r="C4125" t="inlineStr">
        <is>
          <t>Week1-Aug-2026</t>
        </is>
      </c>
      <c r="D4125" s="78" t="n">
        <v>46235</v>
      </c>
      <c r="E4125" t="inlineStr">
        <is>
          <t>Q2FY27</t>
        </is>
      </c>
      <c r="F4125" t="inlineStr">
        <is>
          <t>18-Aug-2026</t>
        </is>
      </c>
      <c r="G4125" t="inlineStr">
        <is>
          <t>Tuesday</t>
        </is>
      </c>
      <c r="H4125" t="inlineStr">
        <is>
          <t>Weekly - Tuesday</t>
        </is>
      </c>
      <c r="I4125" t="inlineStr">
        <is>
          <t>Weekly - Tuesday</t>
        </is>
      </c>
      <c r="J4125" t="inlineStr">
        <is>
          <t>Same Month Expiry</t>
        </is>
      </c>
      <c r="K4125" s="25" t="n">
        <v>1204297</v>
      </c>
      <c r="L4125" s="26" t="n">
        <v>1923.6386</v>
      </c>
      <c r="M4125" s="26" t="n">
        <v>7.0353</v>
      </c>
    </row>
    <row r="4126">
      <c r="A4126" t="inlineStr">
        <is>
          <t>05-Aug-2026</t>
        </is>
      </c>
      <c r="B4126" t="inlineStr">
        <is>
          <t>Wednesday</t>
        </is>
      </c>
      <c r="C4126" t="inlineStr">
        <is>
          <t>Week1-Aug-2026</t>
        </is>
      </c>
      <c r="D4126" s="78" t="n">
        <v>46235</v>
      </c>
      <c r="E4126" t="inlineStr">
        <is>
          <t>Q2FY27</t>
        </is>
      </c>
      <c r="F4126" t="inlineStr">
        <is>
          <t>25-Aug-2026</t>
        </is>
      </c>
      <c r="G4126" t="inlineStr">
        <is>
          <t>Tuesday</t>
        </is>
      </c>
      <c r="H4126" t="inlineStr">
        <is>
          <t>Monthly - Tuesday</t>
        </is>
      </c>
      <c r="I4126" t="inlineStr">
        <is>
          <t>Monthly - Tuesday</t>
        </is>
      </c>
      <c r="J4126" t="inlineStr">
        <is>
          <t>Same Month Expiry</t>
        </is>
      </c>
      <c r="K4126" s="25" t="n">
        <v>1563696</v>
      </c>
      <c r="L4126" s="26" t="n">
        <v>2500.0363</v>
      </c>
      <c r="M4126" s="26" t="n">
        <v>15.4373</v>
      </c>
    </row>
    <row r="4127">
      <c r="A4127" t="inlineStr">
        <is>
          <t>05-Aug-2026</t>
        </is>
      </c>
      <c r="B4127" t="inlineStr">
        <is>
          <t>Wednesday</t>
        </is>
      </c>
      <c r="C4127" t="inlineStr">
        <is>
          <t>Week1-Aug-2026</t>
        </is>
      </c>
      <c r="D4127" s="78" t="n">
        <v>46235</v>
      </c>
      <c r="E4127" t="inlineStr">
        <is>
          <t>Q2FY27</t>
        </is>
      </c>
      <c r="F4127" t="inlineStr">
        <is>
          <t>01-Sep-2026</t>
        </is>
      </c>
      <c r="G4127" t="inlineStr">
        <is>
          <t>Tuesday</t>
        </is>
      </c>
      <c r="H4127" t="inlineStr">
        <is>
          <t>Weekly - Tuesday</t>
        </is>
      </c>
      <c r="I4127" t="inlineStr">
        <is>
          <t>Weekly - Tuesday</t>
        </is>
      </c>
      <c r="J4127" t="inlineStr">
        <is>
          <t>Month+1 Expiry</t>
        </is>
      </c>
      <c r="K4127" s="25" t="n">
        <v>19025</v>
      </c>
      <c r="L4127" s="26" t="n">
        <v>30.448</v>
      </c>
      <c r="M4127" s="26" t="n">
        <v>0.2295</v>
      </c>
    </row>
    <row r="4128">
      <c r="A4128" t="inlineStr">
        <is>
          <t>05-Aug-2026</t>
        </is>
      </c>
      <c r="B4128" t="inlineStr">
        <is>
          <t>Wednesday</t>
        </is>
      </c>
      <c r="C4128" t="inlineStr">
        <is>
          <t>Week1-Aug-2026</t>
        </is>
      </c>
      <c r="D4128" s="78" t="n">
        <v>46235</v>
      </c>
      <c r="E4128" t="inlineStr">
        <is>
          <t>Q2FY27</t>
        </is>
      </c>
      <c r="F4128" t="inlineStr">
        <is>
          <t>08-Sep-2026</t>
        </is>
      </c>
      <c r="G4128" t="inlineStr">
        <is>
          <t>Tuesday</t>
        </is>
      </c>
      <c r="H4128" t="inlineStr">
        <is>
          <t>Weekly - Tuesday</t>
        </is>
      </c>
      <c r="I4128" t="inlineStr">
        <is>
          <t>Weekly - Tuesday</t>
        </is>
      </c>
      <c r="J4128" t="inlineStr">
        <is>
          <t>Month+1 Expiry</t>
        </is>
      </c>
      <c r="K4128" s="25" t="n">
        <v>98</v>
      </c>
      <c r="L4128" s="26" t="n">
        <v>0.1586</v>
      </c>
      <c r="M4128" s="26" t="n">
        <v>0.0021</v>
      </c>
    </row>
    <row r="4129">
      <c r="A4129" t="inlineStr">
        <is>
          <t>05-Aug-2026</t>
        </is>
      </c>
      <c r="B4129" t="inlineStr">
        <is>
          <t>Wednesday</t>
        </is>
      </c>
      <c r="C4129" t="inlineStr">
        <is>
          <t>Week1-Aug-2026</t>
        </is>
      </c>
      <c r="D4129" s="78" t="n">
        <v>46235</v>
      </c>
      <c r="E4129" t="inlineStr">
        <is>
          <t>Q2FY27</t>
        </is>
      </c>
      <c r="F4129" t="inlineStr">
        <is>
          <t>29-Sep-2026</t>
        </is>
      </c>
      <c r="G4129" t="inlineStr">
        <is>
          <t>Tuesday</t>
        </is>
      </c>
      <c r="H4129" t="inlineStr">
        <is>
          <t>Monthly - Tuesday</t>
        </is>
      </c>
      <c r="I4129" t="inlineStr">
        <is>
          <t>Monthly - Tuesday</t>
        </is>
      </c>
      <c r="J4129" t="inlineStr">
        <is>
          <t>Month+1 Expiry</t>
        </is>
      </c>
      <c r="K4129" s="25" t="n">
        <v>221614</v>
      </c>
      <c r="L4129" s="26" t="n">
        <v>355.03</v>
      </c>
      <c r="M4129" s="26" t="n">
        <v>3.3434</v>
      </c>
    </row>
    <row r="4130">
      <c r="A4130" t="inlineStr">
        <is>
          <t>05-Aug-2026</t>
        </is>
      </c>
      <c r="B4130" t="inlineStr">
        <is>
          <t>Wednesday</t>
        </is>
      </c>
      <c r="C4130" t="inlineStr">
        <is>
          <t>Week1-Aug-2026</t>
        </is>
      </c>
      <c r="D4130" s="78" t="n">
        <v>46235</v>
      </c>
      <c r="E4130" t="inlineStr">
        <is>
          <t>Q2FY27</t>
        </is>
      </c>
      <c r="F4130" t="inlineStr">
        <is>
          <t>27-Oct-2026</t>
        </is>
      </c>
      <c r="G4130" t="inlineStr">
        <is>
          <t>Tuesday</t>
        </is>
      </c>
      <c r="H4130" t="inlineStr">
        <is>
          <t>Monthly - Tuesday</t>
        </is>
      </c>
      <c r="I4130" t="inlineStr">
        <is>
          <t>Monthly - Tuesday</t>
        </is>
      </c>
      <c r="J4130" t="inlineStr">
        <is>
          <t>Month+2 Expiry</t>
        </is>
      </c>
      <c r="K4130" s="25" t="n">
        <v>31305</v>
      </c>
      <c r="L4130" s="26" t="n">
        <v>50.5559</v>
      </c>
      <c r="M4130" s="26" t="n">
        <v>0.6078</v>
      </c>
    </row>
    <row r="4131">
      <c r="A4131" t="inlineStr">
        <is>
          <t>05-Aug-2026</t>
        </is>
      </c>
      <c r="B4131" t="inlineStr">
        <is>
          <t>Wednesday</t>
        </is>
      </c>
      <c r="C4131" t="inlineStr">
        <is>
          <t>Week1-Aug-2026</t>
        </is>
      </c>
      <c r="D4131" s="78" t="n">
        <v>46235</v>
      </c>
      <c r="E4131" t="inlineStr">
        <is>
          <t>Q2FY27</t>
        </is>
      </c>
      <c r="F4131" t="inlineStr">
        <is>
          <t>29-Dec-2026</t>
        </is>
      </c>
      <c r="G4131" t="inlineStr">
        <is>
          <t>Tuesday</t>
        </is>
      </c>
      <c r="H4131" t="inlineStr">
        <is>
          <t>Monthly - Tuesday</t>
        </is>
      </c>
      <c r="I4131" t="inlineStr">
        <is>
          <t>Monthly - Tuesday</t>
        </is>
      </c>
      <c r="J4131" t="inlineStr">
        <is>
          <t>Month+4 Expiry</t>
        </is>
      </c>
      <c r="K4131" s="25" t="n">
        <v>73237</v>
      </c>
      <c r="L4131" s="26" t="n">
        <v>116.4158</v>
      </c>
      <c r="M4131" s="26" t="n">
        <v>2.0485</v>
      </c>
    </row>
    <row r="4132">
      <c r="A4132" t="inlineStr">
        <is>
          <t>05-Aug-2026</t>
        </is>
      </c>
      <c r="B4132" t="inlineStr">
        <is>
          <t>Wednesday</t>
        </is>
      </c>
      <c r="C4132" t="inlineStr">
        <is>
          <t>Week1-Aug-2026</t>
        </is>
      </c>
      <c r="D4132" s="78" t="n">
        <v>46235</v>
      </c>
      <c r="E4132" t="inlineStr">
        <is>
          <t>Q2FY27</t>
        </is>
      </c>
      <c r="F4132" t="inlineStr">
        <is>
          <t>30-Mar-2027</t>
        </is>
      </c>
      <c r="G4132" t="inlineStr">
        <is>
          <t>Tuesday</t>
        </is>
      </c>
      <c r="H4132" t="inlineStr">
        <is>
          <t>Monthly - Tuesday</t>
        </is>
      </c>
      <c r="I4132" t="inlineStr">
        <is>
          <t>Monthly - Tuesday</t>
        </is>
      </c>
      <c r="J4132" t="inlineStr">
        <is>
          <t>Month+7 Expiry</t>
        </is>
      </c>
      <c r="K4132" s="25" t="n">
        <v>21448</v>
      </c>
      <c r="L4132" s="26" t="n">
        <v>35.2894</v>
      </c>
      <c r="M4132" s="26" t="n">
        <v>0.858</v>
      </c>
    </row>
    <row r="4133">
      <c r="A4133" t="inlineStr">
        <is>
          <t>05-Aug-2026</t>
        </is>
      </c>
      <c r="B4133" t="inlineStr">
        <is>
          <t>Wednesday</t>
        </is>
      </c>
      <c r="C4133" t="inlineStr">
        <is>
          <t>Week1-Aug-2026</t>
        </is>
      </c>
      <c r="D4133" s="78" t="n">
        <v>46235</v>
      </c>
      <c r="E4133" t="inlineStr">
        <is>
          <t>Q2FY27</t>
        </is>
      </c>
      <c r="F4133" t="inlineStr">
        <is>
          <t>29-Jun-2027</t>
        </is>
      </c>
      <c r="G4133" t="inlineStr">
        <is>
          <t>Tuesday</t>
        </is>
      </c>
      <c r="H4133" t="inlineStr">
        <is>
          <t>Monthly - Tuesday</t>
        </is>
      </c>
      <c r="I4133" t="inlineStr">
        <is>
          <t>Monthly - Tuesday</t>
        </is>
      </c>
      <c r="J4133" t="inlineStr">
        <is>
          <t>Month+10 Expiry</t>
        </is>
      </c>
      <c r="K4133" s="25" t="n">
        <v>14</v>
      </c>
      <c r="L4133" s="26" t="n">
        <v>0.0189</v>
      </c>
      <c r="M4133" s="26" t="n">
        <v>0.0001</v>
      </c>
    </row>
    <row r="4134">
      <c r="A4134" t="inlineStr">
        <is>
          <t>05-Aug-2026</t>
        </is>
      </c>
      <c r="B4134" t="inlineStr">
        <is>
          <t>Wednesday</t>
        </is>
      </c>
      <c r="C4134" t="inlineStr">
        <is>
          <t>Week1-Aug-2026</t>
        </is>
      </c>
      <c r="D4134" s="78" t="n">
        <v>46235</v>
      </c>
      <c r="E4134" t="inlineStr">
        <is>
          <t>Q2FY27</t>
        </is>
      </c>
      <c r="F4134" t="inlineStr">
        <is>
          <t>28-Dec-2027</t>
        </is>
      </c>
      <c r="G4134" t="inlineStr">
        <is>
          <t>Tuesday</t>
        </is>
      </c>
      <c r="H4134" t="inlineStr">
        <is>
          <t>Monthly - Tuesday</t>
        </is>
      </c>
      <c r="I4134" t="inlineStr">
        <is>
          <t>Monthly - Tuesday</t>
        </is>
      </c>
      <c r="J4134" t="inlineStr">
        <is>
          <t>Month+16 Expiry</t>
        </is>
      </c>
      <c r="K4134" s="25" t="n">
        <v>508</v>
      </c>
      <c r="L4134" s="26" t="n">
        <v>0.8429</v>
      </c>
      <c r="M4134" s="26" t="n">
        <v>0.0306</v>
      </c>
    </row>
    <row r="4135">
      <c r="A4135" t="inlineStr">
        <is>
          <t>05-Aug-2026</t>
        </is>
      </c>
      <c r="B4135" t="inlineStr">
        <is>
          <t>Wednesday</t>
        </is>
      </c>
      <c r="C4135" t="inlineStr">
        <is>
          <t>Week1-Aug-2026</t>
        </is>
      </c>
      <c r="D4135" s="78" t="n">
        <v>46235</v>
      </c>
      <c r="E4135" t="inlineStr">
        <is>
          <t>Q2FY27</t>
        </is>
      </c>
      <c r="F4135" t="inlineStr">
        <is>
          <t>27-Jun-2028</t>
        </is>
      </c>
      <c r="G4135" t="inlineStr">
        <is>
          <t>Tuesday</t>
        </is>
      </c>
      <c r="H4135" t="inlineStr">
        <is>
          <t>Monthly - Tuesday</t>
        </is>
      </c>
      <c r="I4135" t="inlineStr">
        <is>
          <t>Monthly - Tuesday</t>
        </is>
      </c>
      <c r="J4135" t="inlineStr">
        <is>
          <t>Month+22 Expiry</t>
        </is>
      </c>
      <c r="K4135" s="25" t="n">
        <v>0</v>
      </c>
      <c r="L4135" s="26" t="n">
        <v>0</v>
      </c>
      <c r="M4135" s="26" t="n">
        <v>0</v>
      </c>
    </row>
    <row r="4136">
      <c r="A4136" t="inlineStr">
        <is>
          <t>05-Aug-2026</t>
        </is>
      </c>
      <c r="B4136" t="inlineStr">
        <is>
          <t>Wednesday</t>
        </is>
      </c>
      <c r="C4136" t="inlineStr">
        <is>
          <t>Week1-Aug-2026</t>
        </is>
      </c>
      <c r="D4136" s="78" t="n">
        <v>46235</v>
      </c>
      <c r="E4136" t="inlineStr">
        <is>
          <t>Q2FY27</t>
        </is>
      </c>
      <c r="F4136" t="inlineStr">
        <is>
          <t>26-Dec-2028</t>
        </is>
      </c>
      <c r="G4136" t="inlineStr">
        <is>
          <t>Tuesday</t>
        </is>
      </c>
      <c r="H4136" t="inlineStr">
        <is>
          <t>Monthly - Tuesday</t>
        </is>
      </c>
      <c r="I4136" t="inlineStr">
        <is>
          <t>Monthly - Tuesday</t>
        </is>
      </c>
      <c r="J4136" t="inlineStr">
        <is>
          <t>Month+28 Expiry</t>
        </is>
      </c>
      <c r="K4136" s="25" t="n">
        <v>55</v>
      </c>
      <c r="L4136" s="26" t="n">
        <v>0.0973</v>
      </c>
      <c r="M4136" s="26" t="n">
        <v>0.004</v>
      </c>
    </row>
    <row r="4137">
      <c r="A4137" t="inlineStr">
        <is>
          <t>05-Aug-2026</t>
        </is>
      </c>
      <c r="B4137" t="inlineStr">
        <is>
          <t>Wednesday</t>
        </is>
      </c>
      <c r="C4137" t="inlineStr">
        <is>
          <t>Week1-Aug-2026</t>
        </is>
      </c>
      <c r="D4137" s="78" t="n">
        <v>46235</v>
      </c>
      <c r="E4137" t="inlineStr">
        <is>
          <t>Q2FY27</t>
        </is>
      </c>
      <c r="F4137" t="inlineStr">
        <is>
          <t>26-Jun-2029</t>
        </is>
      </c>
      <c r="G4137" t="inlineStr">
        <is>
          <t>Tuesday</t>
        </is>
      </c>
      <c r="H4137" t="inlineStr">
        <is>
          <t>Monthly - Tuesday</t>
        </is>
      </c>
      <c r="I4137" t="inlineStr">
        <is>
          <t>Monthly - Tuesday</t>
        </is>
      </c>
      <c r="J4137" t="inlineStr">
        <is>
          <t>Month+34 Expiry</t>
        </is>
      </c>
      <c r="K4137" s="25" t="n">
        <v>0</v>
      </c>
      <c r="L4137" s="26" t="n">
        <v>0</v>
      </c>
      <c r="M4137" s="26" t="n">
        <v>0</v>
      </c>
    </row>
    <row r="4138">
      <c r="A4138" t="inlineStr">
        <is>
          <t>05-Aug-2026</t>
        </is>
      </c>
      <c r="B4138" t="inlineStr">
        <is>
          <t>Wednesday</t>
        </is>
      </c>
      <c r="C4138" t="inlineStr">
        <is>
          <t>Week1-Aug-2026</t>
        </is>
      </c>
      <c r="D4138" s="78" t="n">
        <v>46235</v>
      </c>
      <c r="E4138" t="inlineStr">
        <is>
          <t>Q2FY27</t>
        </is>
      </c>
      <c r="F4138" t="inlineStr">
        <is>
          <t>24-Dec-2029</t>
        </is>
      </c>
      <c r="G4138" t="inlineStr">
        <is>
          <t>Monday</t>
        </is>
      </c>
      <c r="H4138" t="inlineStr">
        <is>
          <t>Weekly - Monday</t>
        </is>
      </c>
      <c r="I4138" t="inlineStr">
        <is>
          <t>Weekly - Monday</t>
        </is>
      </c>
      <c r="J4138" t="inlineStr">
        <is>
          <t>Month+40 Expiry</t>
        </is>
      </c>
      <c r="K4138" s="25" t="n">
        <v>2</v>
      </c>
      <c r="L4138" s="26" t="n">
        <v>0.0029</v>
      </c>
      <c r="M4138" s="26" t="n">
        <v>0.0001</v>
      </c>
    </row>
    <row r="4139">
      <c r="A4139" t="inlineStr">
        <is>
          <t>05-Aug-2026</t>
        </is>
      </c>
      <c r="B4139" t="inlineStr">
        <is>
          <t>Wednesday</t>
        </is>
      </c>
      <c r="C4139" t="inlineStr">
        <is>
          <t>Week1-Aug-2026</t>
        </is>
      </c>
      <c r="D4139" s="78" t="n">
        <v>46235</v>
      </c>
      <c r="E4139" t="inlineStr">
        <is>
          <t>Q2FY27</t>
        </is>
      </c>
      <c r="F4139" t="inlineStr">
        <is>
          <t>25-Jun-2030</t>
        </is>
      </c>
      <c r="G4139" t="inlineStr">
        <is>
          <t>Tuesday</t>
        </is>
      </c>
      <c r="H4139" t="inlineStr">
        <is>
          <t>Monthly - Tuesday</t>
        </is>
      </c>
      <c r="I4139" t="inlineStr">
        <is>
          <t>Monthly - Tuesday</t>
        </is>
      </c>
      <c r="J4139" t="inlineStr">
        <is>
          <t>Month+46 Expiry</t>
        </is>
      </c>
      <c r="K4139" s="25" t="n">
        <v>0</v>
      </c>
      <c r="L4139" s="26" t="n">
        <v>0</v>
      </c>
      <c r="M4139" s="26" t="n">
        <v>0</v>
      </c>
    </row>
    <row r="4140">
      <c r="A4140" t="inlineStr">
        <is>
          <t>05-Aug-2026</t>
        </is>
      </c>
      <c r="B4140" t="inlineStr">
        <is>
          <t>Wednesday</t>
        </is>
      </c>
      <c r="C4140" t="inlineStr">
        <is>
          <t>Week1-Aug-2026</t>
        </is>
      </c>
      <c r="D4140" s="78" t="n">
        <v>46235</v>
      </c>
      <c r="E4140" t="inlineStr">
        <is>
          <t>Q2FY27</t>
        </is>
      </c>
      <c r="F4140" t="inlineStr">
        <is>
          <t>31-Dec-2030</t>
        </is>
      </c>
      <c r="G4140" t="inlineStr">
        <is>
          <t>Tuesday</t>
        </is>
      </c>
      <c r="H4140" t="inlineStr">
        <is>
          <t>Monthly - Tuesday</t>
        </is>
      </c>
      <c r="I4140" t="inlineStr">
        <is>
          <t>Monthly - Tuesday</t>
        </is>
      </c>
      <c r="J4140" t="inlineStr">
        <is>
          <t>Month+52 Expiry</t>
        </is>
      </c>
      <c r="K4140" s="25" t="n">
        <v>2</v>
      </c>
      <c r="L4140" s="26" t="n">
        <v>0.0032</v>
      </c>
      <c r="M4140" s="26" t="n">
        <v>0.0001</v>
      </c>
    </row>
    <row r="4141">
      <c r="A4141" t="inlineStr">
        <is>
          <t>05-Aug-2026</t>
        </is>
      </c>
      <c r="B4141" t="inlineStr">
        <is>
          <t>Wednesday</t>
        </is>
      </c>
      <c r="C4141" t="inlineStr">
        <is>
          <t>Week1-Aug-2026</t>
        </is>
      </c>
      <c r="D4141" s="78" t="n">
        <v>46235</v>
      </c>
      <c r="E4141" t="inlineStr">
        <is>
          <t>Q2FY27</t>
        </is>
      </c>
      <c r="F4141" t="inlineStr">
        <is>
          <t>24-Jun-2031</t>
        </is>
      </c>
      <c r="G4141" t="inlineStr">
        <is>
          <t>Tuesday</t>
        </is>
      </c>
      <c r="H4141" t="inlineStr">
        <is>
          <t>Monthly - Tuesday</t>
        </is>
      </c>
      <c r="I4141" t="inlineStr">
        <is>
          <t>Monthly - Tuesday</t>
        </is>
      </c>
      <c r="J4141" t="inlineStr">
        <is>
          <t>Month+58 Expiry</t>
        </is>
      </c>
      <c r="K4141" s="25" t="n">
        <v>0</v>
      </c>
      <c r="L4141" s="26" t="n">
        <v>0</v>
      </c>
      <c r="M4141" s="26" t="n">
        <v>0</v>
      </c>
    </row>
    <row r="4142">
      <c r="A4142" t="inlineStr">
        <is>
          <t>06-Aug-2026</t>
        </is>
      </c>
      <c r="B4142" t="inlineStr">
        <is>
          <t>Thursday</t>
        </is>
      </c>
      <c r="C4142" t="inlineStr">
        <is>
          <t>Week1-Aug-2026</t>
        </is>
      </c>
      <c r="D4142" s="78" t="n">
        <v>46235</v>
      </c>
      <c r="E4142" t="inlineStr">
        <is>
          <t>Q2FY27</t>
        </is>
      </c>
      <c r="F4142" t="inlineStr">
        <is>
          <t>11-Aug-2026</t>
        </is>
      </c>
      <c r="G4142" t="inlineStr">
        <is>
          <t>Tuesday</t>
        </is>
      </c>
      <c r="H4142" t="inlineStr">
        <is>
          <t>Weekly - Tuesday</t>
        </is>
      </c>
      <c r="I4142" t="inlineStr">
        <is>
          <t>Weekly - Tuesday</t>
        </is>
      </c>
      <c r="J4142" t="inlineStr">
        <is>
          <t>Same Month Expiry</t>
        </is>
      </c>
      <c r="K4142" s="25" t="n">
        <v>38775908</v>
      </c>
      <c r="L4142" s="26" t="n">
        <v>62244.8464</v>
      </c>
      <c r="M4142" s="26" t="n">
        <v>203.3206</v>
      </c>
    </row>
    <row r="4143">
      <c r="A4143" t="inlineStr">
        <is>
          <t>06-Aug-2026</t>
        </is>
      </c>
      <c r="B4143" t="inlineStr">
        <is>
          <t>Thursday</t>
        </is>
      </c>
      <c r="C4143" t="inlineStr">
        <is>
          <t>Week1-Aug-2026</t>
        </is>
      </c>
      <c r="D4143" s="78" t="n">
        <v>46235</v>
      </c>
      <c r="E4143" t="inlineStr">
        <is>
          <t>Q2FY27</t>
        </is>
      </c>
      <c r="F4143" t="inlineStr">
        <is>
          <t>18-Aug-2026</t>
        </is>
      </c>
      <c r="G4143" t="inlineStr">
        <is>
          <t>Tuesday</t>
        </is>
      </c>
      <c r="H4143" t="inlineStr">
        <is>
          <t>Weekly - Tuesday</t>
        </is>
      </c>
      <c r="I4143" t="inlineStr">
        <is>
          <t>Weekly - Tuesday</t>
        </is>
      </c>
      <c r="J4143" t="inlineStr">
        <is>
          <t>Same Month Expiry</t>
        </is>
      </c>
      <c r="K4143" s="25" t="n">
        <v>1051883</v>
      </c>
      <c r="L4143" s="26" t="n">
        <v>1682.9989</v>
      </c>
      <c r="M4143" s="26" t="n">
        <v>6.5221</v>
      </c>
    </row>
    <row r="4144">
      <c r="A4144" t="inlineStr">
        <is>
          <t>06-Aug-2026</t>
        </is>
      </c>
      <c r="B4144" t="inlineStr">
        <is>
          <t>Thursday</t>
        </is>
      </c>
      <c r="C4144" t="inlineStr">
        <is>
          <t>Week1-Aug-2026</t>
        </is>
      </c>
      <c r="D4144" s="78" t="n">
        <v>46235</v>
      </c>
      <c r="E4144" t="inlineStr">
        <is>
          <t>Q2FY27</t>
        </is>
      </c>
      <c r="F4144" t="inlineStr">
        <is>
          <t>25-Aug-2026</t>
        </is>
      </c>
      <c r="G4144" t="inlineStr">
        <is>
          <t>Tuesday</t>
        </is>
      </c>
      <c r="H4144" t="inlineStr">
        <is>
          <t>Monthly - Tuesday</t>
        </is>
      </c>
      <c r="I4144" t="inlineStr">
        <is>
          <t>Monthly - Tuesday</t>
        </is>
      </c>
      <c r="J4144" t="inlineStr">
        <is>
          <t>Same Month Expiry</t>
        </is>
      </c>
      <c r="K4144" s="25" t="n">
        <v>1101701</v>
      </c>
      <c r="L4144" s="26" t="n">
        <v>1764.719</v>
      </c>
      <c r="M4144" s="26" t="n">
        <v>12.3609</v>
      </c>
    </row>
    <row r="4145">
      <c r="A4145" t="inlineStr">
        <is>
          <t>06-Aug-2026</t>
        </is>
      </c>
      <c r="B4145" t="inlineStr">
        <is>
          <t>Thursday</t>
        </is>
      </c>
      <c r="C4145" t="inlineStr">
        <is>
          <t>Week1-Aug-2026</t>
        </is>
      </c>
      <c r="D4145" s="78" t="n">
        <v>46235</v>
      </c>
      <c r="E4145" t="inlineStr">
        <is>
          <t>Q2FY27</t>
        </is>
      </c>
      <c r="F4145" t="inlineStr">
        <is>
          <t>01-Sep-2026</t>
        </is>
      </c>
      <c r="G4145" t="inlineStr">
        <is>
          <t>Tuesday</t>
        </is>
      </c>
      <c r="H4145" t="inlineStr">
        <is>
          <t>Weekly - Tuesday</t>
        </is>
      </c>
      <c r="I4145" t="inlineStr">
        <is>
          <t>Weekly - Tuesday</t>
        </is>
      </c>
      <c r="J4145" t="inlineStr">
        <is>
          <t>Month+1 Expiry</t>
        </is>
      </c>
      <c r="K4145" s="25" t="n">
        <v>17750</v>
      </c>
      <c r="L4145" s="26" t="n">
        <v>28.5862</v>
      </c>
      <c r="M4145" s="26" t="n">
        <v>0.192</v>
      </c>
    </row>
    <row r="4146">
      <c r="A4146" t="inlineStr">
        <is>
          <t>06-Aug-2026</t>
        </is>
      </c>
      <c r="B4146" t="inlineStr">
        <is>
          <t>Thursday</t>
        </is>
      </c>
      <c r="C4146" t="inlineStr">
        <is>
          <t>Week1-Aug-2026</t>
        </is>
      </c>
      <c r="D4146" s="78" t="n">
        <v>46235</v>
      </c>
      <c r="E4146" t="inlineStr">
        <is>
          <t>Q2FY27</t>
        </is>
      </c>
      <c r="F4146" t="inlineStr">
        <is>
          <t>08-Sep-2026</t>
        </is>
      </c>
      <c r="G4146" t="inlineStr">
        <is>
          <t>Tuesday</t>
        </is>
      </c>
      <c r="H4146" t="inlineStr">
        <is>
          <t>Weekly - Tuesday</t>
        </is>
      </c>
      <c r="I4146" t="inlineStr">
        <is>
          <t>Weekly - Tuesday</t>
        </is>
      </c>
      <c r="J4146" t="inlineStr">
        <is>
          <t>Month+1 Expiry</t>
        </is>
      </c>
      <c r="K4146" s="25" t="n">
        <v>333</v>
      </c>
      <c r="L4146" s="26" t="n">
        <v>0.5305</v>
      </c>
      <c r="M4146" s="26" t="n">
        <v>0.0051</v>
      </c>
    </row>
    <row r="4147">
      <c r="A4147" t="inlineStr">
        <is>
          <t>06-Aug-2026</t>
        </is>
      </c>
      <c r="B4147" t="inlineStr">
        <is>
          <t>Thursday</t>
        </is>
      </c>
      <c r="C4147" t="inlineStr">
        <is>
          <t>Week1-Aug-2026</t>
        </is>
      </c>
      <c r="D4147" s="78" t="n">
        <v>46235</v>
      </c>
      <c r="E4147" t="inlineStr">
        <is>
          <t>Q2FY27</t>
        </is>
      </c>
      <c r="F4147" t="inlineStr">
        <is>
          <t>29-Sep-2026</t>
        </is>
      </c>
      <c r="G4147" t="inlineStr">
        <is>
          <t>Tuesday</t>
        </is>
      </c>
      <c r="H4147" t="inlineStr">
        <is>
          <t>Monthly - Tuesday</t>
        </is>
      </c>
      <c r="I4147" t="inlineStr">
        <is>
          <t>Monthly - Tuesday</t>
        </is>
      </c>
      <c r="J4147" t="inlineStr">
        <is>
          <t>Month+1 Expiry</t>
        </is>
      </c>
      <c r="K4147" s="25" t="n">
        <v>169348</v>
      </c>
      <c r="L4147" s="26" t="n">
        <v>270.3184</v>
      </c>
      <c r="M4147" s="26" t="n">
        <v>2.5238</v>
      </c>
    </row>
    <row r="4148">
      <c r="A4148" t="inlineStr">
        <is>
          <t>06-Aug-2026</t>
        </is>
      </c>
      <c r="B4148" t="inlineStr">
        <is>
          <t>Thursday</t>
        </is>
      </c>
      <c r="C4148" t="inlineStr">
        <is>
          <t>Week1-Aug-2026</t>
        </is>
      </c>
      <c r="D4148" s="78" t="n">
        <v>46235</v>
      </c>
      <c r="E4148" t="inlineStr">
        <is>
          <t>Q2FY27</t>
        </is>
      </c>
      <c r="F4148" t="inlineStr">
        <is>
          <t>27-Oct-2026</t>
        </is>
      </c>
      <c r="G4148" t="inlineStr">
        <is>
          <t>Tuesday</t>
        </is>
      </c>
      <c r="H4148" t="inlineStr">
        <is>
          <t>Monthly - Tuesday</t>
        </is>
      </c>
      <c r="I4148" t="inlineStr">
        <is>
          <t>Monthly - Tuesday</t>
        </is>
      </c>
      <c r="J4148" t="inlineStr">
        <is>
          <t>Month+2 Expiry</t>
        </is>
      </c>
      <c r="K4148" s="25" t="n">
        <v>25210</v>
      </c>
      <c r="L4148" s="26" t="n">
        <v>40.8895</v>
      </c>
      <c r="M4148" s="26" t="n">
        <v>0.5075</v>
      </c>
    </row>
    <row r="4149">
      <c r="A4149" t="inlineStr">
        <is>
          <t>06-Aug-2026</t>
        </is>
      </c>
      <c r="B4149" t="inlineStr">
        <is>
          <t>Thursday</t>
        </is>
      </c>
      <c r="C4149" t="inlineStr">
        <is>
          <t>Week1-Aug-2026</t>
        </is>
      </c>
      <c r="D4149" s="78" t="n">
        <v>46235</v>
      </c>
      <c r="E4149" t="inlineStr">
        <is>
          <t>Q2FY27</t>
        </is>
      </c>
      <c r="F4149" t="inlineStr">
        <is>
          <t>29-Dec-2026</t>
        </is>
      </c>
      <c r="G4149" t="inlineStr">
        <is>
          <t>Tuesday</t>
        </is>
      </c>
      <c r="H4149" t="inlineStr">
        <is>
          <t>Monthly - Tuesday</t>
        </is>
      </c>
      <c r="I4149" t="inlineStr">
        <is>
          <t>Monthly - Tuesday</t>
        </is>
      </c>
      <c r="J4149" t="inlineStr">
        <is>
          <t>Month+4 Expiry</t>
        </is>
      </c>
      <c r="K4149" s="25" t="n">
        <v>63978</v>
      </c>
      <c r="L4149" s="26" t="n">
        <v>104.1613</v>
      </c>
      <c r="M4149" s="26" t="n">
        <v>1.5007</v>
      </c>
    </row>
    <row r="4150">
      <c r="A4150" t="inlineStr">
        <is>
          <t>06-Aug-2026</t>
        </is>
      </c>
      <c r="B4150" t="inlineStr">
        <is>
          <t>Thursday</t>
        </is>
      </c>
      <c r="C4150" t="inlineStr">
        <is>
          <t>Week1-Aug-2026</t>
        </is>
      </c>
      <c r="D4150" s="78" t="n">
        <v>46235</v>
      </c>
      <c r="E4150" t="inlineStr">
        <is>
          <t>Q2FY27</t>
        </is>
      </c>
      <c r="F4150" t="inlineStr">
        <is>
          <t>30-Mar-2027</t>
        </is>
      </c>
      <c r="G4150" t="inlineStr">
        <is>
          <t>Tuesday</t>
        </is>
      </c>
      <c r="H4150" t="inlineStr">
        <is>
          <t>Monthly - Tuesday</t>
        </is>
      </c>
      <c r="I4150" t="inlineStr">
        <is>
          <t>Monthly - Tuesday</t>
        </is>
      </c>
      <c r="J4150" t="inlineStr">
        <is>
          <t>Month+7 Expiry</t>
        </is>
      </c>
      <c r="K4150" s="25" t="n">
        <v>24309</v>
      </c>
      <c r="L4150" s="26" t="n">
        <v>40.9479</v>
      </c>
      <c r="M4150" s="26" t="n">
        <v>1.3182</v>
      </c>
    </row>
    <row r="4151">
      <c r="A4151" t="inlineStr">
        <is>
          <t>06-Aug-2026</t>
        </is>
      </c>
      <c r="B4151" t="inlineStr">
        <is>
          <t>Thursday</t>
        </is>
      </c>
      <c r="C4151" t="inlineStr">
        <is>
          <t>Week1-Aug-2026</t>
        </is>
      </c>
      <c r="D4151" s="78" t="n">
        <v>46235</v>
      </c>
      <c r="E4151" t="inlineStr">
        <is>
          <t>Q2FY27</t>
        </is>
      </c>
      <c r="F4151" t="inlineStr">
        <is>
          <t>29-Jun-2027</t>
        </is>
      </c>
      <c r="G4151" t="inlineStr">
        <is>
          <t>Tuesday</t>
        </is>
      </c>
      <c r="H4151" t="inlineStr">
        <is>
          <t>Monthly - Tuesday</t>
        </is>
      </c>
      <c r="I4151" t="inlineStr">
        <is>
          <t>Monthly - Tuesday</t>
        </is>
      </c>
      <c r="J4151" t="inlineStr">
        <is>
          <t>Month+10 Expiry</t>
        </is>
      </c>
      <c r="K4151" s="25" t="n">
        <v>12</v>
      </c>
      <c r="L4151" s="26" t="n">
        <v>0.0164</v>
      </c>
      <c r="M4151" s="26" t="n">
        <v>0.0001</v>
      </c>
    </row>
    <row r="4152">
      <c r="A4152" t="inlineStr">
        <is>
          <t>06-Aug-2026</t>
        </is>
      </c>
      <c r="B4152" t="inlineStr">
        <is>
          <t>Thursday</t>
        </is>
      </c>
      <c r="C4152" t="inlineStr">
        <is>
          <t>Week1-Aug-2026</t>
        </is>
      </c>
      <c r="D4152" s="78" t="n">
        <v>46235</v>
      </c>
      <c r="E4152" t="inlineStr">
        <is>
          <t>Q2FY27</t>
        </is>
      </c>
      <c r="F4152" t="inlineStr">
        <is>
          <t>28-Dec-2027</t>
        </is>
      </c>
      <c r="G4152" t="inlineStr">
        <is>
          <t>Tuesday</t>
        </is>
      </c>
      <c r="H4152" t="inlineStr">
        <is>
          <t>Monthly - Tuesday</t>
        </is>
      </c>
      <c r="I4152" t="inlineStr">
        <is>
          <t>Monthly - Tuesday</t>
        </is>
      </c>
      <c r="J4152" t="inlineStr">
        <is>
          <t>Month+16 Expiry</t>
        </is>
      </c>
      <c r="K4152" s="25" t="n">
        <v>566</v>
      </c>
      <c r="L4152" s="26" t="n">
        <v>0.9429999999999999</v>
      </c>
      <c r="M4152" s="26" t="n">
        <v>0.032</v>
      </c>
    </row>
    <row r="4153">
      <c r="A4153" t="inlineStr">
        <is>
          <t>06-Aug-2026</t>
        </is>
      </c>
      <c r="B4153" t="inlineStr">
        <is>
          <t>Thursday</t>
        </is>
      </c>
      <c r="C4153" t="inlineStr">
        <is>
          <t>Week1-Aug-2026</t>
        </is>
      </c>
      <c r="D4153" s="78" t="n">
        <v>46235</v>
      </c>
      <c r="E4153" t="inlineStr">
        <is>
          <t>Q2FY27</t>
        </is>
      </c>
      <c r="F4153" t="inlineStr">
        <is>
          <t>27-Jun-2028</t>
        </is>
      </c>
      <c r="G4153" t="inlineStr">
        <is>
          <t>Tuesday</t>
        </is>
      </c>
      <c r="H4153" t="inlineStr">
        <is>
          <t>Monthly - Tuesday</t>
        </is>
      </c>
      <c r="I4153" t="inlineStr">
        <is>
          <t>Monthly - Tuesday</t>
        </is>
      </c>
      <c r="J4153" t="inlineStr">
        <is>
          <t>Month+22 Expiry</t>
        </is>
      </c>
      <c r="K4153" s="25" t="n">
        <v>0</v>
      </c>
      <c r="L4153" s="26" t="n">
        <v>0</v>
      </c>
      <c r="M4153" s="26" t="n">
        <v>0</v>
      </c>
    </row>
    <row r="4154">
      <c r="A4154" t="inlineStr">
        <is>
          <t>06-Aug-2026</t>
        </is>
      </c>
      <c r="B4154" t="inlineStr">
        <is>
          <t>Thursday</t>
        </is>
      </c>
      <c r="C4154" t="inlineStr">
        <is>
          <t>Week1-Aug-2026</t>
        </is>
      </c>
      <c r="D4154" s="78" t="n">
        <v>46235</v>
      </c>
      <c r="E4154" t="inlineStr">
        <is>
          <t>Q2FY27</t>
        </is>
      </c>
      <c r="F4154" t="inlineStr">
        <is>
          <t>26-Dec-2028</t>
        </is>
      </c>
      <c r="G4154" t="inlineStr">
        <is>
          <t>Tuesday</t>
        </is>
      </c>
      <c r="H4154" t="inlineStr">
        <is>
          <t>Monthly - Tuesday</t>
        </is>
      </c>
      <c r="I4154" t="inlineStr">
        <is>
          <t>Monthly - Tuesday</t>
        </is>
      </c>
      <c r="J4154" t="inlineStr">
        <is>
          <t>Month+28 Expiry</t>
        </is>
      </c>
      <c r="K4154" s="25" t="n">
        <v>42</v>
      </c>
      <c r="L4154" s="26" t="n">
        <v>0.0663</v>
      </c>
      <c r="M4154" s="26" t="n">
        <v>0.0025</v>
      </c>
    </row>
    <row r="4155">
      <c r="A4155" t="inlineStr">
        <is>
          <t>06-Aug-2026</t>
        </is>
      </c>
      <c r="B4155" t="inlineStr">
        <is>
          <t>Thursday</t>
        </is>
      </c>
      <c r="C4155" t="inlineStr">
        <is>
          <t>Week1-Aug-2026</t>
        </is>
      </c>
      <c r="D4155" s="78" t="n">
        <v>46235</v>
      </c>
      <c r="E4155" t="inlineStr">
        <is>
          <t>Q2FY27</t>
        </is>
      </c>
      <c r="F4155" t="inlineStr">
        <is>
          <t>26-Jun-2029</t>
        </is>
      </c>
      <c r="G4155" t="inlineStr">
        <is>
          <t>Tuesday</t>
        </is>
      </c>
      <c r="H4155" t="inlineStr">
        <is>
          <t>Monthly - Tuesday</t>
        </is>
      </c>
      <c r="I4155" t="inlineStr">
        <is>
          <t>Monthly - Tuesday</t>
        </is>
      </c>
      <c r="J4155" t="inlineStr">
        <is>
          <t>Month+34 Expiry</t>
        </is>
      </c>
      <c r="K4155" s="25" t="n">
        <v>0</v>
      </c>
      <c r="L4155" s="26" t="n">
        <v>0</v>
      </c>
      <c r="M4155" s="26" t="n">
        <v>0</v>
      </c>
    </row>
    <row r="4156">
      <c r="A4156" t="inlineStr">
        <is>
          <t>06-Aug-2026</t>
        </is>
      </c>
      <c r="B4156" t="inlineStr">
        <is>
          <t>Thursday</t>
        </is>
      </c>
      <c r="C4156" t="inlineStr">
        <is>
          <t>Week1-Aug-2026</t>
        </is>
      </c>
      <c r="D4156" s="78" t="n">
        <v>46235</v>
      </c>
      <c r="E4156" t="inlineStr">
        <is>
          <t>Q2FY27</t>
        </is>
      </c>
      <c r="F4156" t="inlineStr">
        <is>
          <t>24-Dec-2029</t>
        </is>
      </c>
      <c r="G4156" t="inlineStr">
        <is>
          <t>Monday</t>
        </is>
      </c>
      <c r="H4156" t="inlineStr">
        <is>
          <t>Weekly - Monday</t>
        </is>
      </c>
      <c r="I4156" t="inlineStr">
        <is>
          <t>Weekly - Monday</t>
        </is>
      </c>
      <c r="J4156" t="inlineStr">
        <is>
          <t>Month+40 Expiry</t>
        </is>
      </c>
      <c r="K4156" s="25" t="n">
        <v>0</v>
      </c>
      <c r="L4156" s="26" t="n">
        <v>0</v>
      </c>
      <c r="M4156" s="26" t="n">
        <v>0</v>
      </c>
    </row>
    <row r="4157">
      <c r="A4157" t="inlineStr">
        <is>
          <t>06-Aug-2026</t>
        </is>
      </c>
      <c r="B4157" t="inlineStr">
        <is>
          <t>Thursday</t>
        </is>
      </c>
      <c r="C4157" t="inlineStr">
        <is>
          <t>Week1-Aug-2026</t>
        </is>
      </c>
      <c r="D4157" s="78" t="n">
        <v>46235</v>
      </c>
      <c r="E4157" t="inlineStr">
        <is>
          <t>Q2FY27</t>
        </is>
      </c>
      <c r="F4157" t="inlineStr">
        <is>
          <t>25-Jun-2030</t>
        </is>
      </c>
      <c r="G4157" t="inlineStr">
        <is>
          <t>Tuesday</t>
        </is>
      </c>
      <c r="H4157" t="inlineStr">
        <is>
          <t>Monthly - Tuesday</t>
        </is>
      </c>
      <c r="I4157" t="inlineStr">
        <is>
          <t>Monthly - Tuesday</t>
        </is>
      </c>
      <c r="J4157" t="inlineStr">
        <is>
          <t>Month+46 Expiry</t>
        </is>
      </c>
      <c r="K4157" s="25" t="n">
        <v>0</v>
      </c>
      <c r="L4157" s="26" t="n">
        <v>0</v>
      </c>
      <c r="M4157" s="26" t="n">
        <v>0</v>
      </c>
    </row>
    <row r="4158">
      <c r="A4158" t="inlineStr">
        <is>
          <t>06-Aug-2026</t>
        </is>
      </c>
      <c r="B4158" t="inlineStr">
        <is>
          <t>Thursday</t>
        </is>
      </c>
      <c r="C4158" t="inlineStr">
        <is>
          <t>Week1-Aug-2026</t>
        </is>
      </c>
      <c r="D4158" s="78" t="n">
        <v>46235</v>
      </c>
      <c r="E4158" t="inlineStr">
        <is>
          <t>Q2FY27</t>
        </is>
      </c>
      <c r="F4158" t="inlineStr">
        <is>
          <t>31-Dec-2030</t>
        </is>
      </c>
      <c r="G4158" t="inlineStr">
        <is>
          <t>Tuesday</t>
        </is>
      </c>
      <c r="H4158" t="inlineStr">
        <is>
          <t>Monthly - Tuesday</t>
        </is>
      </c>
      <c r="I4158" t="inlineStr">
        <is>
          <t>Monthly - Tuesday</t>
        </is>
      </c>
      <c r="J4158" t="inlineStr">
        <is>
          <t>Month+52 Expiry</t>
        </is>
      </c>
      <c r="K4158" s="25" t="n">
        <v>0</v>
      </c>
      <c r="L4158" s="26" t="n">
        <v>0</v>
      </c>
      <c r="M4158" s="26" t="n">
        <v>0</v>
      </c>
    </row>
    <row r="4159">
      <c r="A4159" t="inlineStr">
        <is>
          <t>06-Aug-2026</t>
        </is>
      </c>
      <c r="B4159" t="inlineStr">
        <is>
          <t>Thursday</t>
        </is>
      </c>
      <c r="C4159" t="inlineStr">
        <is>
          <t>Week1-Aug-2026</t>
        </is>
      </c>
      <c r="D4159" s="78" t="n">
        <v>46235</v>
      </c>
      <c r="E4159" t="inlineStr">
        <is>
          <t>Q2FY27</t>
        </is>
      </c>
      <c r="F4159" t="inlineStr">
        <is>
          <t>24-Jun-2031</t>
        </is>
      </c>
      <c r="G4159" t="inlineStr">
        <is>
          <t>Tuesday</t>
        </is>
      </c>
      <c r="H4159" t="inlineStr">
        <is>
          <t>Monthly - Tuesday</t>
        </is>
      </c>
      <c r="I4159" t="inlineStr">
        <is>
          <t>Monthly - Tuesday</t>
        </is>
      </c>
      <c r="J4159" t="inlineStr">
        <is>
          <t>Month+58 Expiry</t>
        </is>
      </c>
      <c r="K4159" s="25" t="n">
        <v>0</v>
      </c>
      <c r="L4159" s="26" t="n">
        <v>0</v>
      </c>
      <c r="M4159" s="26" t="n">
        <v>0</v>
      </c>
    </row>
    <row r="4160">
      <c r="A4160" t="inlineStr">
        <is>
          <t>07-Aug-2026</t>
        </is>
      </c>
      <c r="B4160" t="inlineStr">
        <is>
          <t>Friday</t>
        </is>
      </c>
      <c r="C4160" t="inlineStr">
        <is>
          <t>Week1-Aug-2026</t>
        </is>
      </c>
      <c r="D4160" s="78" t="n">
        <v>46235</v>
      </c>
      <c r="E4160" t="inlineStr">
        <is>
          <t>Q2FY27</t>
        </is>
      </c>
      <c r="F4160" t="inlineStr">
        <is>
          <t>11-Aug-2026</t>
        </is>
      </c>
      <c r="G4160" t="inlineStr">
        <is>
          <t>Tuesday</t>
        </is>
      </c>
      <c r="H4160" t="inlineStr">
        <is>
          <t>Weekly - Tuesday</t>
        </is>
      </c>
      <c r="I4160" t="inlineStr">
        <is>
          <t>Weekly - Tuesday</t>
        </is>
      </c>
      <c r="J4160" t="inlineStr">
        <is>
          <t>Same Month Expiry</t>
        </is>
      </c>
      <c r="K4160" s="25" t="n">
        <v>65613303</v>
      </c>
      <c r="L4160" s="26" t="n">
        <v>105248.7983</v>
      </c>
      <c r="M4160" s="26" t="n">
        <v>311.8722</v>
      </c>
    </row>
    <row r="4161">
      <c r="A4161" t="inlineStr">
        <is>
          <t>07-Aug-2026</t>
        </is>
      </c>
      <c r="B4161" t="inlineStr">
        <is>
          <t>Friday</t>
        </is>
      </c>
      <c r="C4161" t="inlineStr">
        <is>
          <t>Week1-Aug-2026</t>
        </is>
      </c>
      <c r="D4161" s="78" t="n">
        <v>46235</v>
      </c>
      <c r="E4161" t="inlineStr">
        <is>
          <t>Q2FY27</t>
        </is>
      </c>
      <c r="F4161" t="inlineStr">
        <is>
          <t>18-Aug-2026</t>
        </is>
      </c>
      <c r="G4161" t="inlineStr">
        <is>
          <t>Tuesday</t>
        </is>
      </c>
      <c r="H4161" t="inlineStr">
        <is>
          <t>Weekly - Tuesday</t>
        </is>
      </c>
      <c r="I4161" t="inlineStr">
        <is>
          <t>Weekly - Tuesday</t>
        </is>
      </c>
      <c r="J4161" t="inlineStr">
        <is>
          <t>Same Month Expiry</t>
        </is>
      </c>
      <c r="K4161" s="25" t="n">
        <v>1683097</v>
      </c>
      <c r="L4161" s="26" t="n">
        <v>2700.0575</v>
      </c>
      <c r="M4161" s="26" t="n">
        <v>9.125299999999999</v>
      </c>
    </row>
    <row r="4162">
      <c r="A4162" t="inlineStr">
        <is>
          <t>07-Aug-2026</t>
        </is>
      </c>
      <c r="B4162" t="inlineStr">
        <is>
          <t>Friday</t>
        </is>
      </c>
      <c r="C4162" t="inlineStr">
        <is>
          <t>Week1-Aug-2026</t>
        </is>
      </c>
      <c r="D4162" s="78" t="n">
        <v>46235</v>
      </c>
      <c r="E4162" t="inlineStr">
        <is>
          <t>Q2FY27</t>
        </is>
      </c>
      <c r="F4162" t="inlineStr">
        <is>
          <t>25-Aug-2026</t>
        </is>
      </c>
      <c r="G4162" t="inlineStr">
        <is>
          <t>Tuesday</t>
        </is>
      </c>
      <c r="H4162" t="inlineStr">
        <is>
          <t>Monthly - Tuesday</t>
        </is>
      </c>
      <c r="I4162" t="inlineStr">
        <is>
          <t>Monthly - Tuesday</t>
        </is>
      </c>
      <c r="J4162" t="inlineStr">
        <is>
          <t>Same Month Expiry</t>
        </is>
      </c>
      <c r="K4162" s="25" t="n">
        <v>1080606</v>
      </c>
      <c r="L4162" s="26" t="n">
        <v>1737.4613</v>
      </c>
      <c r="M4162" s="26" t="n">
        <v>10.7506</v>
      </c>
    </row>
    <row r="4163">
      <c r="A4163" t="inlineStr">
        <is>
          <t>07-Aug-2026</t>
        </is>
      </c>
      <c r="B4163" t="inlineStr">
        <is>
          <t>Friday</t>
        </is>
      </c>
      <c r="C4163" t="inlineStr">
        <is>
          <t>Week1-Aug-2026</t>
        </is>
      </c>
      <c r="D4163" s="78" t="n">
        <v>46235</v>
      </c>
      <c r="E4163" t="inlineStr">
        <is>
          <t>Q2FY27</t>
        </is>
      </c>
      <c r="F4163" t="inlineStr">
        <is>
          <t>01-Sep-2026</t>
        </is>
      </c>
      <c r="G4163" t="inlineStr">
        <is>
          <t>Tuesday</t>
        </is>
      </c>
      <c r="H4163" t="inlineStr">
        <is>
          <t>Weekly - Tuesday</t>
        </is>
      </c>
      <c r="I4163" t="inlineStr">
        <is>
          <t>Weekly - Tuesday</t>
        </is>
      </c>
      <c r="J4163" t="inlineStr">
        <is>
          <t>Month+1 Expiry</t>
        </is>
      </c>
      <c r="K4163" s="25" t="n">
        <v>15293</v>
      </c>
      <c r="L4163" s="26" t="n">
        <v>24.7102</v>
      </c>
      <c r="M4163" s="26" t="n">
        <v>0.1493</v>
      </c>
    </row>
    <row r="4164">
      <c r="A4164" t="inlineStr">
        <is>
          <t>07-Aug-2026</t>
        </is>
      </c>
      <c r="B4164" t="inlineStr">
        <is>
          <t>Friday</t>
        </is>
      </c>
      <c r="C4164" t="inlineStr">
        <is>
          <t>Week1-Aug-2026</t>
        </is>
      </c>
      <c r="D4164" s="78" t="n">
        <v>46235</v>
      </c>
      <c r="E4164" t="inlineStr">
        <is>
          <t>Q2FY27</t>
        </is>
      </c>
      <c r="F4164" t="inlineStr">
        <is>
          <t>08-Sep-2026</t>
        </is>
      </c>
      <c r="G4164" t="inlineStr">
        <is>
          <t>Tuesday</t>
        </is>
      </c>
      <c r="H4164" t="inlineStr">
        <is>
          <t>Weekly - Tuesday</t>
        </is>
      </c>
      <c r="I4164" t="inlineStr">
        <is>
          <t>Weekly - Tuesday</t>
        </is>
      </c>
      <c r="J4164" t="inlineStr">
        <is>
          <t>Month+1 Expiry</t>
        </is>
      </c>
      <c r="K4164" s="25" t="n">
        <v>801</v>
      </c>
      <c r="L4164" s="26" t="n">
        <v>1.2633</v>
      </c>
      <c r="M4164" s="26" t="n">
        <v>0.0078</v>
      </c>
    </row>
    <row r="4165">
      <c r="A4165" t="inlineStr">
        <is>
          <t>07-Aug-2026</t>
        </is>
      </c>
      <c r="B4165" t="inlineStr">
        <is>
          <t>Friday</t>
        </is>
      </c>
      <c r="C4165" t="inlineStr">
        <is>
          <t>Week1-Aug-2026</t>
        </is>
      </c>
      <c r="D4165" s="78" t="n">
        <v>46235</v>
      </c>
      <c r="E4165" t="inlineStr">
        <is>
          <t>Q2FY27</t>
        </is>
      </c>
      <c r="F4165" t="inlineStr">
        <is>
          <t>29-Sep-2026</t>
        </is>
      </c>
      <c r="G4165" t="inlineStr">
        <is>
          <t>Tuesday</t>
        </is>
      </c>
      <c r="H4165" t="inlineStr">
        <is>
          <t>Monthly - Tuesday</t>
        </is>
      </c>
      <c r="I4165" t="inlineStr">
        <is>
          <t>Monthly - Tuesday</t>
        </is>
      </c>
      <c r="J4165" t="inlineStr">
        <is>
          <t>Month+1 Expiry</t>
        </is>
      </c>
      <c r="K4165" s="25" t="n">
        <v>123892</v>
      </c>
      <c r="L4165" s="26" t="n">
        <v>199.5428</v>
      </c>
      <c r="M4165" s="26" t="n">
        <v>1.7192</v>
      </c>
    </row>
    <row r="4166">
      <c r="A4166" t="inlineStr">
        <is>
          <t>07-Aug-2026</t>
        </is>
      </c>
      <c r="B4166" t="inlineStr">
        <is>
          <t>Friday</t>
        </is>
      </c>
      <c r="C4166" t="inlineStr">
        <is>
          <t>Week1-Aug-2026</t>
        </is>
      </c>
      <c r="D4166" s="78" t="n">
        <v>46235</v>
      </c>
      <c r="E4166" t="inlineStr">
        <is>
          <t>Q2FY27</t>
        </is>
      </c>
      <c r="F4166" t="inlineStr">
        <is>
          <t>27-Oct-2026</t>
        </is>
      </c>
      <c r="G4166" t="inlineStr">
        <is>
          <t>Tuesday</t>
        </is>
      </c>
      <c r="H4166" t="inlineStr">
        <is>
          <t>Monthly - Tuesday</t>
        </is>
      </c>
      <c r="I4166" t="inlineStr">
        <is>
          <t>Monthly - Tuesday</t>
        </is>
      </c>
      <c r="J4166" t="inlineStr">
        <is>
          <t>Month+2 Expiry</t>
        </is>
      </c>
      <c r="K4166" s="25" t="n">
        <v>16385</v>
      </c>
      <c r="L4166" s="26" t="n">
        <v>26.5442</v>
      </c>
      <c r="M4166" s="26" t="n">
        <v>0.287</v>
      </c>
    </row>
    <row r="4167">
      <c r="A4167" t="inlineStr">
        <is>
          <t>07-Aug-2026</t>
        </is>
      </c>
      <c r="B4167" t="inlineStr">
        <is>
          <t>Friday</t>
        </is>
      </c>
      <c r="C4167" t="inlineStr">
        <is>
          <t>Week1-Aug-2026</t>
        </is>
      </c>
      <c r="D4167" s="78" t="n">
        <v>46235</v>
      </c>
      <c r="E4167" t="inlineStr">
        <is>
          <t>Q2FY27</t>
        </is>
      </c>
      <c r="F4167" t="inlineStr">
        <is>
          <t>29-Dec-2026</t>
        </is>
      </c>
      <c r="G4167" t="inlineStr">
        <is>
          <t>Tuesday</t>
        </is>
      </c>
      <c r="H4167" t="inlineStr">
        <is>
          <t>Monthly - Tuesday</t>
        </is>
      </c>
      <c r="I4167" t="inlineStr">
        <is>
          <t>Monthly - Tuesday</t>
        </is>
      </c>
      <c r="J4167" t="inlineStr">
        <is>
          <t>Month+4 Expiry</t>
        </is>
      </c>
      <c r="K4167" s="25" t="n">
        <v>28627</v>
      </c>
      <c r="L4167" s="26" t="n">
        <v>46.2983</v>
      </c>
      <c r="M4167" s="26" t="n">
        <v>0.7776999999999999</v>
      </c>
    </row>
    <row r="4168">
      <c r="A4168" t="inlineStr">
        <is>
          <t>07-Aug-2026</t>
        </is>
      </c>
      <c r="B4168" t="inlineStr">
        <is>
          <t>Friday</t>
        </is>
      </c>
      <c r="C4168" t="inlineStr">
        <is>
          <t>Week1-Aug-2026</t>
        </is>
      </c>
      <c r="D4168" s="78" t="n">
        <v>46235</v>
      </c>
      <c r="E4168" t="inlineStr">
        <is>
          <t>Q2FY27</t>
        </is>
      </c>
      <c r="F4168" t="inlineStr">
        <is>
          <t>30-Mar-2027</t>
        </is>
      </c>
      <c r="G4168" t="inlineStr">
        <is>
          <t>Tuesday</t>
        </is>
      </c>
      <c r="H4168" t="inlineStr">
        <is>
          <t>Monthly - Tuesday</t>
        </is>
      </c>
      <c r="I4168" t="inlineStr">
        <is>
          <t>Monthly - Tuesday</t>
        </is>
      </c>
      <c r="J4168" t="inlineStr">
        <is>
          <t>Month+7 Expiry</t>
        </is>
      </c>
      <c r="K4168" s="25" t="n">
        <v>19901</v>
      </c>
      <c r="L4168" s="26" t="n">
        <v>31.2891</v>
      </c>
      <c r="M4168" s="26" t="n">
        <v>0.4121</v>
      </c>
    </row>
    <row r="4169">
      <c r="A4169" t="inlineStr">
        <is>
          <t>07-Aug-2026</t>
        </is>
      </c>
      <c r="B4169" t="inlineStr">
        <is>
          <t>Friday</t>
        </is>
      </c>
      <c r="C4169" t="inlineStr">
        <is>
          <t>Week1-Aug-2026</t>
        </is>
      </c>
      <c r="D4169" s="78" t="n">
        <v>46235</v>
      </c>
      <c r="E4169" t="inlineStr">
        <is>
          <t>Q2FY27</t>
        </is>
      </c>
      <c r="F4169" t="inlineStr">
        <is>
          <t>29-Jun-2027</t>
        </is>
      </c>
      <c r="G4169" t="inlineStr">
        <is>
          <t>Tuesday</t>
        </is>
      </c>
      <c r="H4169" t="inlineStr">
        <is>
          <t>Monthly - Tuesday</t>
        </is>
      </c>
      <c r="I4169" t="inlineStr">
        <is>
          <t>Monthly - Tuesday</t>
        </is>
      </c>
      <c r="J4169" t="inlineStr">
        <is>
          <t>Month+10 Expiry</t>
        </is>
      </c>
      <c r="K4169" s="25" t="n">
        <v>8</v>
      </c>
      <c r="L4169" s="26" t="n">
        <v>0.0111</v>
      </c>
      <c r="M4169" s="26" t="n">
        <v>0.0001</v>
      </c>
    </row>
    <row r="4170">
      <c r="A4170" t="inlineStr">
        <is>
          <t>07-Aug-2026</t>
        </is>
      </c>
      <c r="B4170" t="inlineStr">
        <is>
          <t>Friday</t>
        </is>
      </c>
      <c r="C4170" t="inlineStr">
        <is>
          <t>Week1-Aug-2026</t>
        </is>
      </c>
      <c r="D4170" s="78" t="n">
        <v>46235</v>
      </c>
      <c r="E4170" t="inlineStr">
        <is>
          <t>Q2FY27</t>
        </is>
      </c>
      <c r="F4170" t="inlineStr">
        <is>
          <t>28-Dec-2027</t>
        </is>
      </c>
      <c r="G4170" t="inlineStr">
        <is>
          <t>Tuesday</t>
        </is>
      </c>
      <c r="H4170" t="inlineStr">
        <is>
          <t>Monthly - Tuesday</t>
        </is>
      </c>
      <c r="I4170" t="inlineStr">
        <is>
          <t>Monthly - Tuesday</t>
        </is>
      </c>
      <c r="J4170" t="inlineStr">
        <is>
          <t>Month+16 Expiry</t>
        </is>
      </c>
      <c r="K4170" s="25" t="n">
        <v>374</v>
      </c>
      <c r="L4170" s="26" t="n">
        <v>0.6199</v>
      </c>
      <c r="M4170" s="26" t="n">
        <v>0.0192</v>
      </c>
    </row>
    <row r="4171">
      <c r="A4171" t="inlineStr">
        <is>
          <t>07-Aug-2026</t>
        </is>
      </c>
      <c r="B4171" t="inlineStr">
        <is>
          <t>Friday</t>
        </is>
      </c>
      <c r="C4171" t="inlineStr">
        <is>
          <t>Week1-Aug-2026</t>
        </is>
      </c>
      <c r="D4171" s="78" t="n">
        <v>46235</v>
      </c>
      <c r="E4171" t="inlineStr">
        <is>
          <t>Q2FY27</t>
        </is>
      </c>
      <c r="F4171" t="inlineStr">
        <is>
          <t>27-Jun-2028</t>
        </is>
      </c>
      <c r="G4171" t="inlineStr">
        <is>
          <t>Tuesday</t>
        </is>
      </c>
      <c r="H4171" t="inlineStr">
        <is>
          <t>Monthly - Tuesday</t>
        </is>
      </c>
      <c r="I4171" t="inlineStr">
        <is>
          <t>Monthly - Tuesday</t>
        </is>
      </c>
      <c r="J4171" t="inlineStr">
        <is>
          <t>Month+22 Expiry</t>
        </is>
      </c>
      <c r="K4171" s="25" t="n">
        <v>0</v>
      </c>
      <c r="L4171" s="26" t="n">
        <v>0</v>
      </c>
      <c r="M4171" s="26" t="n">
        <v>0</v>
      </c>
    </row>
    <row r="4172">
      <c r="A4172" t="inlineStr">
        <is>
          <t>07-Aug-2026</t>
        </is>
      </c>
      <c r="B4172" t="inlineStr">
        <is>
          <t>Friday</t>
        </is>
      </c>
      <c r="C4172" t="inlineStr">
        <is>
          <t>Week1-Aug-2026</t>
        </is>
      </c>
      <c r="D4172" s="78" t="n">
        <v>46235</v>
      </c>
      <c r="E4172" t="inlineStr">
        <is>
          <t>Q2FY27</t>
        </is>
      </c>
      <c r="F4172" t="inlineStr">
        <is>
          <t>26-Dec-2028</t>
        </is>
      </c>
      <c r="G4172" t="inlineStr">
        <is>
          <t>Tuesday</t>
        </is>
      </c>
      <c r="H4172" t="inlineStr">
        <is>
          <t>Monthly - Tuesday</t>
        </is>
      </c>
      <c r="I4172" t="inlineStr">
        <is>
          <t>Monthly - Tuesday</t>
        </is>
      </c>
      <c r="J4172" t="inlineStr">
        <is>
          <t>Month+28 Expiry</t>
        </is>
      </c>
      <c r="K4172" s="25" t="n">
        <v>11</v>
      </c>
      <c r="L4172" s="26" t="n">
        <v>0.0163</v>
      </c>
      <c r="M4172" s="26" t="n">
        <v>0.0007</v>
      </c>
    </row>
    <row r="4173">
      <c r="A4173" t="inlineStr">
        <is>
          <t>07-Aug-2026</t>
        </is>
      </c>
      <c r="B4173" t="inlineStr">
        <is>
          <t>Friday</t>
        </is>
      </c>
      <c r="C4173" t="inlineStr">
        <is>
          <t>Week1-Aug-2026</t>
        </is>
      </c>
      <c r="D4173" s="78" t="n">
        <v>46235</v>
      </c>
      <c r="E4173" t="inlineStr">
        <is>
          <t>Q2FY27</t>
        </is>
      </c>
      <c r="F4173" t="inlineStr">
        <is>
          <t>26-Jun-2029</t>
        </is>
      </c>
      <c r="G4173" t="inlineStr">
        <is>
          <t>Tuesday</t>
        </is>
      </c>
      <c r="H4173" t="inlineStr">
        <is>
          <t>Monthly - Tuesday</t>
        </is>
      </c>
      <c r="I4173" t="inlineStr">
        <is>
          <t>Monthly - Tuesday</t>
        </is>
      </c>
      <c r="J4173" t="inlineStr">
        <is>
          <t>Month+34 Expiry</t>
        </is>
      </c>
      <c r="K4173" s="25" t="n">
        <v>0</v>
      </c>
      <c r="L4173" s="26" t="n">
        <v>0</v>
      </c>
      <c r="M4173" s="26" t="n">
        <v>0</v>
      </c>
    </row>
    <row r="4174">
      <c r="A4174" t="inlineStr">
        <is>
          <t>07-Aug-2026</t>
        </is>
      </c>
      <c r="B4174" t="inlineStr">
        <is>
          <t>Friday</t>
        </is>
      </c>
      <c r="C4174" t="inlineStr">
        <is>
          <t>Week1-Aug-2026</t>
        </is>
      </c>
      <c r="D4174" s="78" t="n">
        <v>46235</v>
      </c>
      <c r="E4174" t="inlineStr">
        <is>
          <t>Q2FY27</t>
        </is>
      </c>
      <c r="F4174" t="inlineStr">
        <is>
          <t>24-Dec-2029</t>
        </is>
      </c>
      <c r="G4174" t="inlineStr">
        <is>
          <t>Monday</t>
        </is>
      </c>
      <c r="H4174" t="inlineStr">
        <is>
          <t>Weekly - Monday</t>
        </is>
      </c>
      <c r="I4174" t="inlineStr">
        <is>
          <t>Weekly - Monday</t>
        </is>
      </c>
      <c r="J4174" t="inlineStr">
        <is>
          <t>Month+40 Expiry</t>
        </is>
      </c>
      <c r="K4174" s="25" t="n">
        <v>0</v>
      </c>
      <c r="L4174" s="26" t="n">
        <v>0</v>
      </c>
      <c r="M4174" s="26" t="n">
        <v>0</v>
      </c>
    </row>
    <row r="4175">
      <c r="A4175" t="inlineStr">
        <is>
          <t>07-Aug-2026</t>
        </is>
      </c>
      <c r="B4175" t="inlineStr">
        <is>
          <t>Friday</t>
        </is>
      </c>
      <c r="C4175" t="inlineStr">
        <is>
          <t>Week1-Aug-2026</t>
        </is>
      </c>
      <c r="D4175" s="78" t="n">
        <v>46235</v>
      </c>
      <c r="E4175" t="inlineStr">
        <is>
          <t>Q2FY27</t>
        </is>
      </c>
      <c r="F4175" t="inlineStr">
        <is>
          <t>25-Jun-2030</t>
        </is>
      </c>
      <c r="G4175" t="inlineStr">
        <is>
          <t>Tuesday</t>
        </is>
      </c>
      <c r="H4175" t="inlineStr">
        <is>
          <t>Monthly - Tuesday</t>
        </is>
      </c>
      <c r="I4175" t="inlineStr">
        <is>
          <t>Monthly - Tuesday</t>
        </is>
      </c>
      <c r="J4175" t="inlineStr">
        <is>
          <t>Month+46 Expiry</t>
        </is>
      </c>
      <c r="K4175" s="25" t="n">
        <v>0</v>
      </c>
      <c r="L4175" s="26" t="n">
        <v>0</v>
      </c>
      <c r="M4175" s="26" t="n">
        <v>0</v>
      </c>
    </row>
    <row r="4176">
      <c r="A4176" t="inlineStr">
        <is>
          <t>07-Aug-2026</t>
        </is>
      </c>
      <c r="B4176" t="inlineStr">
        <is>
          <t>Friday</t>
        </is>
      </c>
      <c r="C4176" t="inlineStr">
        <is>
          <t>Week1-Aug-2026</t>
        </is>
      </c>
      <c r="D4176" s="78" t="n">
        <v>46235</v>
      </c>
      <c r="E4176" t="inlineStr">
        <is>
          <t>Q2FY27</t>
        </is>
      </c>
      <c r="F4176" t="inlineStr">
        <is>
          <t>31-Dec-2030</t>
        </is>
      </c>
      <c r="G4176" t="inlineStr">
        <is>
          <t>Tuesday</t>
        </is>
      </c>
      <c r="H4176" t="inlineStr">
        <is>
          <t>Monthly - Tuesday</t>
        </is>
      </c>
      <c r="I4176" t="inlineStr">
        <is>
          <t>Monthly - Tuesday</t>
        </is>
      </c>
      <c r="J4176" t="inlineStr">
        <is>
          <t>Month+52 Expiry</t>
        </is>
      </c>
      <c r="K4176" s="25" t="n">
        <v>1</v>
      </c>
      <c r="L4176" s="26" t="n">
        <v>0.0016</v>
      </c>
      <c r="M4176" s="26" t="n">
        <v>0.0001</v>
      </c>
    </row>
    <row r="4177">
      <c r="A4177" t="inlineStr">
        <is>
          <t>07-Aug-2026</t>
        </is>
      </c>
      <c r="B4177" t="inlineStr">
        <is>
          <t>Friday</t>
        </is>
      </c>
      <c r="C4177" t="inlineStr">
        <is>
          <t>Week1-Aug-2026</t>
        </is>
      </c>
      <c r="D4177" s="78" t="n">
        <v>46235</v>
      </c>
      <c r="E4177" t="inlineStr">
        <is>
          <t>Q2FY27</t>
        </is>
      </c>
      <c r="F4177" t="inlineStr">
        <is>
          <t>24-Jun-2031</t>
        </is>
      </c>
      <c r="G4177" t="inlineStr">
        <is>
          <t>Tuesday</t>
        </is>
      </c>
      <c r="H4177" t="inlineStr">
        <is>
          <t>Monthly - Tuesday</t>
        </is>
      </c>
      <c r="I4177" t="inlineStr">
        <is>
          <t>Monthly - Tuesday</t>
        </is>
      </c>
      <c r="J4177" t="inlineStr">
        <is>
          <t>Month+58 Expiry</t>
        </is>
      </c>
      <c r="K4177" s="25" t="n">
        <v>0</v>
      </c>
      <c r="L4177" s="26" t="n">
        <v>0</v>
      </c>
      <c r="M4177" s="2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39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6"/>
  <cols>
    <col width="12" customWidth="1" style="4" min="1" max="1"/>
    <col width="11" customWidth="1" style="4" min="2" max="2"/>
    <col width="18" customWidth="1" style="4" min="3" max="3"/>
    <col width="14" customWidth="1" style="4" min="4" max="4"/>
    <col width="14" customWidth="1" style="4" min="5" max="5"/>
    <col width="12" customWidth="1" style="4" min="6" max="6"/>
    <col width="11" customWidth="1" style="4" min="7" max="7"/>
    <col width="20" customWidth="1" style="4" min="8" max="8"/>
    <col width="20" customWidth="1" min="9" max="9"/>
    <col width="18" customWidth="1" style="4" min="10" max="10"/>
    <col width="20" customWidth="1" style="4" min="11" max="11"/>
    <col width="26" customWidth="1" style="4" min="12" max="12"/>
    <col width="26" customWidth="1" min="13" max="13"/>
    <col width="8.83203125" customWidth="1" style="4" min="14" max="55"/>
    <col width="8.83203125" customWidth="1" style="4" min="56" max="16384"/>
  </cols>
  <sheetData>
    <row r="1" ht="16" customHeight="1">
      <c r="A1" s="75" t="inlineStr">
        <is>
          <t>Trade Date</t>
        </is>
      </c>
      <c r="B1" s="75" t="inlineStr">
        <is>
          <t>Trade Day</t>
        </is>
      </c>
      <c r="C1" s="75" t="inlineStr">
        <is>
          <t>Trade Week-Month-Year</t>
        </is>
      </c>
      <c r="D1" s="75" t="inlineStr">
        <is>
          <t>Trade Month - Year</t>
        </is>
      </c>
      <c r="E1" s="75" t="inlineStr">
        <is>
          <t>Trade Quarter</t>
        </is>
      </c>
      <c r="F1" s="75" t="inlineStr">
        <is>
          <t>Expiry Date</t>
        </is>
      </c>
      <c r="G1" s="75" t="inlineStr">
        <is>
          <t>Expiry Day</t>
        </is>
      </c>
      <c r="H1" s="75" t="inlineStr">
        <is>
          <t>Expiry Type 2</t>
        </is>
      </c>
      <c r="I1" s="75" t="inlineStr">
        <is>
          <t>Expiry Type</t>
        </is>
      </c>
      <c r="J1" s="75" t="inlineStr">
        <is>
          <t>Expiry Month Offset</t>
        </is>
      </c>
      <c r="K1" s="75" t="inlineStr">
        <is>
          <t>Number of Contracts</t>
        </is>
      </c>
      <c r="L1" s="75" t="inlineStr">
        <is>
          <t>Notional Turnover (INR Bn)</t>
        </is>
      </c>
      <c r="M1" s="75" t="inlineStr">
        <is>
          <t>Premium Turnover (INR Bn)</t>
        </is>
      </c>
    </row>
    <row r="2" ht="16" customHeight="1">
      <c r="A2" t="inlineStr">
        <is>
          <t>01-Sep-2025</t>
        </is>
      </c>
      <c r="B2" t="inlineStr">
        <is>
          <t>Monday</t>
        </is>
      </c>
      <c r="C2" t="inlineStr">
        <is>
          <t>Week1-Sep-2025</t>
        </is>
      </c>
      <c r="D2" s="78" t="n">
        <v>45901</v>
      </c>
      <c r="E2" t="inlineStr">
        <is>
          <t>Q2FY26</t>
        </is>
      </c>
      <c r="F2" t="inlineStr">
        <is>
          <t>30-Sep-2025</t>
        </is>
      </c>
      <c r="G2" t="inlineStr">
        <is>
          <t>Tuesday</t>
        </is>
      </c>
      <c r="H2" t="inlineStr">
        <is>
          <t>Monthly - Tuesday</t>
        </is>
      </c>
      <c r="I2" t="inlineStr">
        <is>
          <t>Monthly - Tuesday</t>
        </is>
      </c>
      <c r="J2" t="inlineStr">
        <is>
          <t>Same Month Expiry</t>
        </is>
      </c>
      <c r="K2" s="25" t="n">
        <v>2038762</v>
      </c>
      <c r="L2" s="26" t="n">
        <v>3884.4165</v>
      </c>
      <c r="M2" s="26" t="n">
        <v>32.6023</v>
      </c>
    </row>
    <row r="3" ht="16" customHeight="1">
      <c r="A3" t="inlineStr">
        <is>
          <t>01-Sep-2025</t>
        </is>
      </c>
      <c r="B3" t="inlineStr">
        <is>
          <t>Monday</t>
        </is>
      </c>
      <c r="C3" t="inlineStr">
        <is>
          <t>Week1-Sep-2025</t>
        </is>
      </c>
      <c r="D3" s="78" t="n">
        <v>45901</v>
      </c>
      <c r="E3" t="inlineStr">
        <is>
          <t>Q2FY26</t>
        </is>
      </c>
      <c r="F3" t="inlineStr">
        <is>
          <t>28-Oct-2025</t>
        </is>
      </c>
      <c r="G3" t="inlineStr">
        <is>
          <t>Tuesday</t>
        </is>
      </c>
      <c r="H3" t="inlineStr">
        <is>
          <t>Monthly - Tuesday</t>
        </is>
      </c>
      <c r="I3" t="inlineStr">
        <is>
          <t>Monthly - Tuesday</t>
        </is>
      </c>
      <c r="J3" t="inlineStr">
        <is>
          <t>Month+1 Expiry</t>
        </is>
      </c>
      <c r="K3" s="25" t="n">
        <v>17731</v>
      </c>
      <c r="L3" s="26" t="n">
        <v>34.1263</v>
      </c>
      <c r="M3" s="26" t="n">
        <v>0.3066</v>
      </c>
    </row>
    <row r="4" ht="16" customHeight="1">
      <c r="A4" t="inlineStr">
        <is>
          <t>01-Sep-2025</t>
        </is>
      </c>
      <c r="B4" t="inlineStr">
        <is>
          <t>Monday</t>
        </is>
      </c>
      <c r="C4" t="inlineStr">
        <is>
          <t>Week1-Sep-2025</t>
        </is>
      </c>
      <c r="D4" s="78" t="n">
        <v>45901</v>
      </c>
      <c r="E4" t="inlineStr">
        <is>
          <t>Q2FY26</t>
        </is>
      </c>
      <c r="F4" t="inlineStr">
        <is>
          <t>25-Nov-2025</t>
        </is>
      </c>
      <c r="G4" t="inlineStr">
        <is>
          <t>Tuesday</t>
        </is>
      </c>
      <c r="H4" t="inlineStr">
        <is>
          <t>Monthly - Tuesday</t>
        </is>
      </c>
      <c r="I4" t="inlineStr">
        <is>
          <t>Monthly - Tuesday</t>
        </is>
      </c>
      <c r="J4" t="inlineStr">
        <is>
          <t>Month+2 Expiry</t>
        </is>
      </c>
      <c r="K4" s="25" t="n">
        <v>382</v>
      </c>
      <c r="L4" s="26" t="n">
        <v>0.7426</v>
      </c>
      <c r="M4" s="26" t="n">
        <v>0.0157</v>
      </c>
    </row>
    <row r="5" ht="16" customHeight="1">
      <c r="A5" t="inlineStr">
        <is>
          <t>01-Sep-2025</t>
        </is>
      </c>
      <c r="B5" t="inlineStr">
        <is>
          <t>Monday</t>
        </is>
      </c>
      <c r="C5" t="inlineStr">
        <is>
          <t>Week1-Sep-2025</t>
        </is>
      </c>
      <c r="D5" s="78" t="n">
        <v>45901</v>
      </c>
      <c r="E5" t="inlineStr">
        <is>
          <t>Q2FY26</t>
        </is>
      </c>
      <c r="F5" t="inlineStr">
        <is>
          <t>30-Dec-2025</t>
        </is>
      </c>
      <c r="G5" t="inlineStr">
        <is>
          <t>Tuesday</t>
        </is>
      </c>
      <c r="H5" t="inlineStr">
        <is>
          <t>Monthly - Tuesday</t>
        </is>
      </c>
      <c r="I5" t="inlineStr">
        <is>
          <t>Monthly - Tuesday</t>
        </is>
      </c>
      <c r="J5" t="inlineStr">
        <is>
          <t>Month+3 Expiry</t>
        </is>
      </c>
      <c r="K5" s="25" t="n">
        <v>3133</v>
      </c>
      <c r="L5" s="26" t="n">
        <v>6.1669</v>
      </c>
      <c r="M5" s="26" t="n">
        <v>0.0851</v>
      </c>
    </row>
    <row r="6" ht="16" customHeight="1">
      <c r="A6" t="inlineStr">
        <is>
          <t>01-Sep-2025</t>
        </is>
      </c>
      <c r="B6" t="inlineStr">
        <is>
          <t>Monday</t>
        </is>
      </c>
      <c r="C6" t="inlineStr">
        <is>
          <t>Week1-Sep-2025</t>
        </is>
      </c>
      <c r="D6" s="78" t="n">
        <v>45901</v>
      </c>
      <c r="E6" t="inlineStr">
        <is>
          <t>Q2FY26</t>
        </is>
      </c>
      <c r="F6" t="inlineStr">
        <is>
          <t>31-Mar-2026</t>
        </is>
      </c>
      <c r="G6" t="inlineStr">
        <is>
          <t>Tuesday</t>
        </is>
      </c>
      <c r="H6" t="inlineStr">
        <is>
          <t>Monthly - Tuesday</t>
        </is>
      </c>
      <c r="I6" t="inlineStr">
        <is>
          <t>Monthly - Tuesday</t>
        </is>
      </c>
      <c r="J6" t="inlineStr">
        <is>
          <t>Month+6 Expiry</t>
        </is>
      </c>
      <c r="K6" s="25" t="n">
        <v>123</v>
      </c>
      <c r="L6" s="26" t="n">
        <v>0.2575</v>
      </c>
      <c r="M6" s="26" t="n">
        <v>0.0041</v>
      </c>
    </row>
    <row r="7" ht="16" customHeight="1">
      <c r="A7" t="inlineStr">
        <is>
          <t>01-Sep-2025</t>
        </is>
      </c>
      <c r="B7" t="inlineStr">
        <is>
          <t>Monday</t>
        </is>
      </c>
      <c r="C7" t="inlineStr">
        <is>
          <t>Week1-Sep-2025</t>
        </is>
      </c>
      <c r="D7" s="78" t="n">
        <v>45901</v>
      </c>
      <c r="E7" t="inlineStr">
        <is>
          <t>Q2FY26</t>
        </is>
      </c>
      <c r="F7" t="inlineStr">
        <is>
          <t>30-Jun-2026</t>
        </is>
      </c>
      <c r="G7" t="inlineStr">
        <is>
          <t>Tuesday</t>
        </is>
      </c>
      <c r="H7" t="inlineStr">
        <is>
          <t>Monthly - Tuesday</t>
        </is>
      </c>
      <c r="I7" t="inlineStr">
        <is>
          <t>Monthly - Tuesday</t>
        </is>
      </c>
      <c r="J7" t="inlineStr">
        <is>
          <t>Month+9 Expiry</t>
        </is>
      </c>
      <c r="K7" s="25" t="n">
        <v>0</v>
      </c>
      <c r="L7" s="26" t="n">
        <v>0</v>
      </c>
      <c r="M7" s="26" t="n">
        <v>0</v>
      </c>
    </row>
    <row r="8" ht="16" customHeight="1">
      <c r="A8" t="inlineStr">
        <is>
          <t>02-Sep-2025</t>
        </is>
      </c>
      <c r="B8" t="inlineStr">
        <is>
          <t>Tuesday</t>
        </is>
      </c>
      <c r="C8" t="inlineStr">
        <is>
          <t>Week1-Sep-2025</t>
        </is>
      </c>
      <c r="D8" s="78" t="n">
        <v>45901</v>
      </c>
      <c r="E8" t="inlineStr">
        <is>
          <t>Q2FY26</t>
        </is>
      </c>
      <c r="F8" t="inlineStr">
        <is>
          <t>30-Sep-2025</t>
        </is>
      </c>
      <c r="G8" t="inlineStr">
        <is>
          <t>Tuesday</t>
        </is>
      </c>
      <c r="H8" t="inlineStr">
        <is>
          <t>Monthly - Tuesday</t>
        </is>
      </c>
      <c r="I8" t="inlineStr">
        <is>
          <t>Monthly - Tuesday</t>
        </is>
      </c>
      <c r="J8" t="inlineStr">
        <is>
          <t>Same Month Expiry</t>
        </is>
      </c>
      <c r="K8" s="25" t="n">
        <v>2335453</v>
      </c>
      <c r="L8" s="26" t="n">
        <v>4447.3157</v>
      </c>
      <c r="M8" s="26" t="n">
        <v>37.3923</v>
      </c>
    </row>
    <row r="9" ht="16" customHeight="1">
      <c r="A9" t="inlineStr">
        <is>
          <t>02-Sep-2025</t>
        </is>
      </c>
      <c r="B9" t="inlineStr">
        <is>
          <t>Tuesday</t>
        </is>
      </c>
      <c r="C9" t="inlineStr">
        <is>
          <t>Week1-Sep-2025</t>
        </is>
      </c>
      <c r="D9" s="78" t="n">
        <v>45901</v>
      </c>
      <c r="E9" t="inlineStr">
        <is>
          <t>Q2FY26</t>
        </is>
      </c>
      <c r="F9" t="inlineStr">
        <is>
          <t>28-Oct-2025</t>
        </is>
      </c>
      <c r="G9" t="inlineStr">
        <is>
          <t>Tuesday</t>
        </is>
      </c>
      <c r="H9" t="inlineStr">
        <is>
          <t>Monthly - Tuesday</t>
        </is>
      </c>
      <c r="I9" t="inlineStr">
        <is>
          <t>Monthly - Tuesday</t>
        </is>
      </c>
      <c r="J9" t="inlineStr">
        <is>
          <t>Month+1 Expiry</t>
        </is>
      </c>
      <c r="K9" s="25" t="n">
        <v>25566</v>
      </c>
      <c r="L9" s="26" t="n">
        <v>49.3497</v>
      </c>
      <c r="M9" s="26" t="n">
        <v>0.4837</v>
      </c>
    </row>
    <row r="10" ht="16" customHeight="1">
      <c r="A10" t="inlineStr">
        <is>
          <t>02-Sep-2025</t>
        </is>
      </c>
      <c r="B10" t="inlineStr">
        <is>
          <t>Tuesday</t>
        </is>
      </c>
      <c r="C10" t="inlineStr">
        <is>
          <t>Week1-Sep-2025</t>
        </is>
      </c>
      <c r="D10" s="78" t="n">
        <v>45901</v>
      </c>
      <c r="E10" t="inlineStr">
        <is>
          <t>Q2FY26</t>
        </is>
      </c>
      <c r="F10" t="inlineStr">
        <is>
          <t>25-Nov-2025</t>
        </is>
      </c>
      <c r="G10" t="inlineStr">
        <is>
          <t>Tuesday</t>
        </is>
      </c>
      <c r="H10" t="inlineStr">
        <is>
          <t>Monthly - Tuesday</t>
        </is>
      </c>
      <c r="I10" t="inlineStr">
        <is>
          <t>Monthly - Tuesday</t>
        </is>
      </c>
      <c r="J10" t="inlineStr">
        <is>
          <t>Month+2 Expiry</t>
        </is>
      </c>
      <c r="K10" s="25" t="n">
        <v>633</v>
      </c>
      <c r="L10" s="26" t="n">
        <v>1.2279</v>
      </c>
      <c r="M10" s="26" t="n">
        <v>0.025</v>
      </c>
    </row>
    <row r="11" ht="16" customHeight="1">
      <c r="A11" t="inlineStr">
        <is>
          <t>02-Sep-2025</t>
        </is>
      </c>
      <c r="B11" t="inlineStr">
        <is>
          <t>Tuesday</t>
        </is>
      </c>
      <c r="C11" t="inlineStr">
        <is>
          <t>Week1-Sep-2025</t>
        </is>
      </c>
      <c r="D11" s="78" t="n">
        <v>45901</v>
      </c>
      <c r="E11" t="inlineStr">
        <is>
          <t>Q2FY26</t>
        </is>
      </c>
      <c r="F11" t="inlineStr">
        <is>
          <t>30-Dec-2025</t>
        </is>
      </c>
      <c r="G11" t="inlineStr">
        <is>
          <t>Tuesday</t>
        </is>
      </c>
      <c r="H11" t="inlineStr">
        <is>
          <t>Monthly - Tuesday</t>
        </is>
      </c>
      <c r="I11" t="inlineStr">
        <is>
          <t>Monthly - Tuesday</t>
        </is>
      </c>
      <c r="J11" t="inlineStr">
        <is>
          <t>Month+3 Expiry</t>
        </is>
      </c>
      <c r="K11" s="25" t="n">
        <v>3041</v>
      </c>
      <c r="L11" s="26" t="n">
        <v>6.0114</v>
      </c>
      <c r="M11" s="26" t="n">
        <v>0.08400000000000001</v>
      </c>
    </row>
    <row r="12" ht="16" customHeight="1">
      <c r="A12" t="inlineStr">
        <is>
          <t>02-Sep-2025</t>
        </is>
      </c>
      <c r="B12" t="inlineStr">
        <is>
          <t>Tuesday</t>
        </is>
      </c>
      <c r="C12" t="inlineStr">
        <is>
          <t>Week1-Sep-2025</t>
        </is>
      </c>
      <c r="D12" s="78" t="n">
        <v>45901</v>
      </c>
      <c r="E12" t="inlineStr">
        <is>
          <t>Q2FY26</t>
        </is>
      </c>
      <c r="F12" t="inlineStr">
        <is>
          <t>31-Mar-2026</t>
        </is>
      </c>
      <c r="G12" t="inlineStr">
        <is>
          <t>Tuesday</t>
        </is>
      </c>
      <c r="H12" t="inlineStr">
        <is>
          <t>Monthly - Tuesday</t>
        </is>
      </c>
      <c r="I12" t="inlineStr">
        <is>
          <t>Monthly - Tuesday</t>
        </is>
      </c>
      <c r="J12" t="inlineStr">
        <is>
          <t>Month+6 Expiry</t>
        </is>
      </c>
      <c r="K12" s="25" t="n">
        <v>130</v>
      </c>
      <c r="L12" s="26" t="n">
        <v>0.2719</v>
      </c>
      <c r="M12" s="26" t="n">
        <v>0.0042</v>
      </c>
    </row>
    <row r="13" ht="16" customHeight="1">
      <c r="A13" t="inlineStr">
        <is>
          <t>02-Sep-2025</t>
        </is>
      </c>
      <c r="B13" t="inlineStr">
        <is>
          <t>Tuesday</t>
        </is>
      </c>
      <c r="C13" t="inlineStr">
        <is>
          <t>Week1-Sep-2025</t>
        </is>
      </c>
      <c r="D13" s="78" t="n">
        <v>45901</v>
      </c>
      <c r="E13" t="inlineStr">
        <is>
          <t>Q2FY26</t>
        </is>
      </c>
      <c r="F13" t="inlineStr">
        <is>
          <t>30-Jun-2026</t>
        </is>
      </c>
      <c r="G13" t="inlineStr">
        <is>
          <t>Tuesday</t>
        </is>
      </c>
      <c r="H13" t="inlineStr">
        <is>
          <t>Monthly - Tuesday</t>
        </is>
      </c>
      <c r="I13" t="inlineStr">
        <is>
          <t>Monthly - Tuesday</t>
        </is>
      </c>
      <c r="J13" t="inlineStr">
        <is>
          <t>Month+9 Expiry</t>
        </is>
      </c>
      <c r="K13" s="25" t="n">
        <v>0</v>
      </c>
      <c r="L13" s="26" t="n">
        <v>0</v>
      </c>
      <c r="M13" s="26" t="n">
        <v>0</v>
      </c>
    </row>
    <row r="14" ht="16" customHeight="1">
      <c r="A14" t="inlineStr">
        <is>
          <t>03-Sep-2025</t>
        </is>
      </c>
      <c r="B14" t="inlineStr">
        <is>
          <t>Wednesday</t>
        </is>
      </c>
      <c r="C14" t="inlineStr">
        <is>
          <t>Week1-Sep-2025</t>
        </is>
      </c>
      <c r="D14" s="78" t="n">
        <v>45901</v>
      </c>
      <c r="E14" t="inlineStr">
        <is>
          <t>Q2FY26</t>
        </is>
      </c>
      <c r="F14" t="inlineStr">
        <is>
          <t>30-Sep-2025</t>
        </is>
      </c>
      <c r="G14" t="inlineStr">
        <is>
          <t>Tuesday</t>
        </is>
      </c>
      <c r="H14" t="inlineStr">
        <is>
          <t>Monthly - Tuesday</t>
        </is>
      </c>
      <c r="I14" t="inlineStr">
        <is>
          <t>Monthly - Tuesday</t>
        </is>
      </c>
      <c r="J14" t="inlineStr">
        <is>
          <t>Same Month Expiry</t>
        </is>
      </c>
      <c r="K14" s="25" t="n">
        <v>2543972</v>
      </c>
      <c r="L14" s="26" t="n">
        <v>4839.8017</v>
      </c>
      <c r="M14" s="26" t="n">
        <v>40.3564</v>
      </c>
    </row>
    <row r="15" ht="16" customHeight="1">
      <c r="A15" t="inlineStr">
        <is>
          <t>03-Sep-2025</t>
        </is>
      </c>
      <c r="B15" t="inlineStr">
        <is>
          <t>Wednesday</t>
        </is>
      </c>
      <c r="C15" t="inlineStr">
        <is>
          <t>Week1-Sep-2025</t>
        </is>
      </c>
      <c r="D15" s="78" t="n">
        <v>45901</v>
      </c>
      <c r="E15" t="inlineStr">
        <is>
          <t>Q2FY26</t>
        </is>
      </c>
      <c r="F15" t="inlineStr">
        <is>
          <t>28-Oct-2025</t>
        </is>
      </c>
      <c r="G15" t="inlineStr">
        <is>
          <t>Tuesday</t>
        </is>
      </c>
      <c r="H15" t="inlineStr">
        <is>
          <t>Monthly - Tuesday</t>
        </is>
      </c>
      <c r="I15" t="inlineStr">
        <is>
          <t>Monthly - Tuesday</t>
        </is>
      </c>
      <c r="J15" t="inlineStr">
        <is>
          <t>Month+1 Expiry</t>
        </is>
      </c>
      <c r="K15" s="25" t="n">
        <v>29423</v>
      </c>
      <c r="L15" s="26" t="n">
        <v>56.8088</v>
      </c>
      <c r="M15" s="26" t="n">
        <v>0.4759</v>
      </c>
    </row>
    <row r="16" ht="16" customHeight="1">
      <c r="A16" t="inlineStr">
        <is>
          <t>03-Sep-2025</t>
        </is>
      </c>
      <c r="B16" t="inlineStr">
        <is>
          <t>Wednesday</t>
        </is>
      </c>
      <c r="C16" t="inlineStr">
        <is>
          <t>Week1-Sep-2025</t>
        </is>
      </c>
      <c r="D16" s="78" t="n">
        <v>45901</v>
      </c>
      <c r="E16" t="inlineStr">
        <is>
          <t>Q2FY26</t>
        </is>
      </c>
      <c r="F16" t="inlineStr">
        <is>
          <t>25-Nov-2025</t>
        </is>
      </c>
      <c r="G16" t="inlineStr">
        <is>
          <t>Tuesday</t>
        </is>
      </c>
      <c r="H16" t="inlineStr">
        <is>
          <t>Monthly - Tuesday</t>
        </is>
      </c>
      <c r="I16" t="inlineStr">
        <is>
          <t>Monthly - Tuesday</t>
        </is>
      </c>
      <c r="J16" t="inlineStr">
        <is>
          <t>Month+2 Expiry</t>
        </is>
      </c>
      <c r="K16" s="25" t="n">
        <v>1324</v>
      </c>
      <c r="L16" s="26" t="n">
        <v>2.5656</v>
      </c>
      <c r="M16" s="26" t="n">
        <v>0.0552</v>
      </c>
    </row>
    <row r="17" ht="16" customHeight="1">
      <c r="A17" t="inlineStr">
        <is>
          <t>03-Sep-2025</t>
        </is>
      </c>
      <c r="B17" t="inlineStr">
        <is>
          <t>Wednesday</t>
        </is>
      </c>
      <c r="C17" t="inlineStr">
        <is>
          <t>Week1-Sep-2025</t>
        </is>
      </c>
      <c r="D17" s="78" t="n">
        <v>45901</v>
      </c>
      <c r="E17" t="inlineStr">
        <is>
          <t>Q2FY26</t>
        </is>
      </c>
      <c r="F17" t="inlineStr">
        <is>
          <t>30-Dec-2025</t>
        </is>
      </c>
      <c r="G17" t="inlineStr">
        <is>
          <t>Tuesday</t>
        </is>
      </c>
      <c r="H17" t="inlineStr">
        <is>
          <t>Monthly - Tuesday</t>
        </is>
      </c>
      <c r="I17" t="inlineStr">
        <is>
          <t>Monthly - Tuesday</t>
        </is>
      </c>
      <c r="J17" t="inlineStr">
        <is>
          <t>Month+3 Expiry</t>
        </is>
      </c>
      <c r="K17" s="25" t="n">
        <v>3953</v>
      </c>
      <c r="L17" s="26" t="n">
        <v>7.8925</v>
      </c>
      <c r="M17" s="26" t="n">
        <v>0.1201</v>
      </c>
    </row>
    <row r="18" ht="16" customHeight="1">
      <c r="A18" t="inlineStr">
        <is>
          <t>03-Sep-2025</t>
        </is>
      </c>
      <c r="B18" t="inlineStr">
        <is>
          <t>Wednesday</t>
        </is>
      </c>
      <c r="C18" t="inlineStr">
        <is>
          <t>Week1-Sep-2025</t>
        </is>
      </c>
      <c r="D18" s="78" t="n">
        <v>45901</v>
      </c>
      <c r="E18" t="inlineStr">
        <is>
          <t>Q2FY26</t>
        </is>
      </c>
      <c r="F18" t="inlineStr">
        <is>
          <t>31-Mar-2026</t>
        </is>
      </c>
      <c r="G18" t="inlineStr">
        <is>
          <t>Tuesday</t>
        </is>
      </c>
      <c r="H18" t="inlineStr">
        <is>
          <t>Monthly - Tuesday</t>
        </is>
      </c>
      <c r="I18" t="inlineStr">
        <is>
          <t>Monthly - Tuesday</t>
        </is>
      </c>
      <c r="J18" t="inlineStr">
        <is>
          <t>Month+6 Expiry</t>
        </is>
      </c>
      <c r="K18" s="25" t="n">
        <v>138</v>
      </c>
      <c r="L18" s="26" t="n">
        <v>0.287</v>
      </c>
      <c r="M18" s="26" t="n">
        <v>0.0049</v>
      </c>
    </row>
    <row r="19" ht="16" customHeight="1">
      <c r="A19" t="inlineStr">
        <is>
          <t>03-Sep-2025</t>
        </is>
      </c>
      <c r="B19" t="inlineStr">
        <is>
          <t>Wednesday</t>
        </is>
      </c>
      <c r="C19" t="inlineStr">
        <is>
          <t>Week1-Sep-2025</t>
        </is>
      </c>
      <c r="D19" s="78" t="n">
        <v>45901</v>
      </c>
      <c r="E19" t="inlineStr">
        <is>
          <t>Q2FY26</t>
        </is>
      </c>
      <c r="F19" t="inlineStr">
        <is>
          <t>30-Jun-2026</t>
        </is>
      </c>
      <c r="G19" t="inlineStr">
        <is>
          <t>Tuesday</t>
        </is>
      </c>
      <c r="H19" t="inlineStr">
        <is>
          <t>Monthly - Tuesday</t>
        </is>
      </c>
      <c r="I19" t="inlineStr">
        <is>
          <t>Monthly - Tuesday</t>
        </is>
      </c>
      <c r="J19" t="inlineStr">
        <is>
          <t>Month+9 Expiry</t>
        </is>
      </c>
      <c r="K19" s="25" t="n">
        <v>0</v>
      </c>
      <c r="L19" s="26" t="n">
        <v>0</v>
      </c>
      <c r="M19" s="26" t="n">
        <v>0</v>
      </c>
    </row>
    <row r="20" ht="16" customHeight="1">
      <c r="A20" t="inlineStr">
        <is>
          <t>04-Sep-2025</t>
        </is>
      </c>
      <c r="B20" t="inlineStr">
        <is>
          <t>Thursday</t>
        </is>
      </c>
      <c r="C20" t="inlineStr">
        <is>
          <t>Week1-Sep-2025</t>
        </is>
      </c>
      <c r="D20" s="78" t="n">
        <v>45901</v>
      </c>
      <c r="E20" t="inlineStr">
        <is>
          <t>Q2FY26</t>
        </is>
      </c>
      <c r="F20" t="inlineStr">
        <is>
          <t>30-Sep-2025</t>
        </is>
      </c>
      <c r="G20" t="inlineStr">
        <is>
          <t>Tuesday</t>
        </is>
      </c>
      <c r="H20" t="inlineStr">
        <is>
          <t>Monthly - Tuesday</t>
        </is>
      </c>
      <c r="I20" t="inlineStr">
        <is>
          <t>Monthly - Tuesday</t>
        </is>
      </c>
      <c r="J20" t="inlineStr">
        <is>
          <t>Same Month Expiry</t>
        </is>
      </c>
      <c r="K20" s="25" t="n">
        <v>2537028</v>
      </c>
      <c r="L20" s="26" t="n">
        <v>4848.7147</v>
      </c>
      <c r="M20" s="26" t="n">
        <v>37.4147</v>
      </c>
    </row>
    <row r="21" ht="16" customHeight="1">
      <c r="A21" t="inlineStr">
        <is>
          <t>04-Sep-2025</t>
        </is>
      </c>
      <c r="B21" t="inlineStr">
        <is>
          <t>Thursday</t>
        </is>
      </c>
      <c r="C21" t="inlineStr">
        <is>
          <t>Week1-Sep-2025</t>
        </is>
      </c>
      <c r="D21" s="78" t="n">
        <v>45901</v>
      </c>
      <c r="E21" t="inlineStr">
        <is>
          <t>Q2FY26</t>
        </is>
      </c>
      <c r="F21" t="inlineStr">
        <is>
          <t>28-Oct-2025</t>
        </is>
      </c>
      <c r="G21" t="inlineStr">
        <is>
          <t>Tuesday</t>
        </is>
      </c>
      <c r="H21" t="inlineStr">
        <is>
          <t>Monthly - Tuesday</t>
        </is>
      </c>
      <c r="I21" t="inlineStr">
        <is>
          <t>Monthly - Tuesday</t>
        </is>
      </c>
      <c r="J21" t="inlineStr">
        <is>
          <t>Month+1 Expiry</t>
        </is>
      </c>
      <c r="K21" s="25" t="n">
        <v>23723</v>
      </c>
      <c r="L21" s="26" t="n">
        <v>45.7728</v>
      </c>
      <c r="M21" s="26" t="n">
        <v>0.4761</v>
      </c>
    </row>
    <row r="22" ht="16" customHeight="1">
      <c r="A22" t="inlineStr">
        <is>
          <t>04-Sep-2025</t>
        </is>
      </c>
      <c r="B22" t="inlineStr">
        <is>
          <t>Thursday</t>
        </is>
      </c>
      <c r="C22" t="inlineStr">
        <is>
          <t>Week1-Sep-2025</t>
        </is>
      </c>
      <c r="D22" s="78" t="n">
        <v>45901</v>
      </c>
      <c r="E22" t="inlineStr">
        <is>
          <t>Q2FY26</t>
        </is>
      </c>
      <c r="F22" t="inlineStr">
        <is>
          <t>25-Nov-2025</t>
        </is>
      </c>
      <c r="G22" t="inlineStr">
        <is>
          <t>Tuesday</t>
        </is>
      </c>
      <c r="H22" t="inlineStr">
        <is>
          <t>Monthly - Tuesday</t>
        </is>
      </c>
      <c r="I22" t="inlineStr">
        <is>
          <t>Monthly - Tuesday</t>
        </is>
      </c>
      <c r="J22" t="inlineStr">
        <is>
          <t>Month+2 Expiry</t>
        </is>
      </c>
      <c r="K22" s="25" t="n">
        <v>710</v>
      </c>
      <c r="L22" s="26" t="n">
        <v>1.3714</v>
      </c>
      <c r="M22" s="26" t="n">
        <v>0.0287</v>
      </c>
    </row>
    <row r="23" ht="16" customHeight="1">
      <c r="A23" t="inlineStr">
        <is>
          <t>04-Sep-2025</t>
        </is>
      </c>
      <c r="B23" t="inlineStr">
        <is>
          <t>Thursday</t>
        </is>
      </c>
      <c r="C23" t="inlineStr">
        <is>
          <t>Week1-Sep-2025</t>
        </is>
      </c>
      <c r="D23" s="78" t="n">
        <v>45901</v>
      </c>
      <c r="E23" t="inlineStr">
        <is>
          <t>Q2FY26</t>
        </is>
      </c>
      <c r="F23" t="inlineStr">
        <is>
          <t>30-Dec-2025</t>
        </is>
      </c>
      <c r="G23" t="inlineStr">
        <is>
          <t>Tuesday</t>
        </is>
      </c>
      <c r="H23" t="inlineStr">
        <is>
          <t>Monthly - Tuesday</t>
        </is>
      </c>
      <c r="I23" t="inlineStr">
        <is>
          <t>Monthly - Tuesday</t>
        </is>
      </c>
      <c r="J23" t="inlineStr">
        <is>
          <t>Month+3 Expiry</t>
        </is>
      </c>
      <c r="K23" s="25" t="n">
        <v>3065</v>
      </c>
      <c r="L23" s="26" t="n">
        <v>6.0011</v>
      </c>
      <c r="M23" s="26" t="n">
        <v>0.0945</v>
      </c>
    </row>
    <row r="24" ht="16" customHeight="1">
      <c r="A24" t="inlineStr">
        <is>
          <t>04-Sep-2025</t>
        </is>
      </c>
      <c r="B24" t="inlineStr">
        <is>
          <t>Thursday</t>
        </is>
      </c>
      <c r="C24" t="inlineStr">
        <is>
          <t>Week1-Sep-2025</t>
        </is>
      </c>
      <c r="D24" s="78" t="n">
        <v>45901</v>
      </c>
      <c r="E24" t="inlineStr">
        <is>
          <t>Q2FY26</t>
        </is>
      </c>
      <c r="F24" t="inlineStr">
        <is>
          <t>31-Mar-2026</t>
        </is>
      </c>
      <c r="G24" t="inlineStr">
        <is>
          <t>Tuesday</t>
        </is>
      </c>
      <c r="H24" t="inlineStr">
        <is>
          <t>Monthly - Tuesday</t>
        </is>
      </c>
      <c r="I24" t="inlineStr">
        <is>
          <t>Monthly - Tuesday</t>
        </is>
      </c>
      <c r="J24" t="inlineStr">
        <is>
          <t>Month+6 Expiry</t>
        </is>
      </c>
      <c r="K24" s="25" t="n">
        <v>92</v>
      </c>
      <c r="L24" s="26" t="n">
        <v>0.1916</v>
      </c>
      <c r="M24" s="26" t="n">
        <v>0.0033</v>
      </c>
    </row>
    <row r="25" ht="16" customHeight="1">
      <c r="A25" t="inlineStr">
        <is>
          <t>04-Sep-2025</t>
        </is>
      </c>
      <c r="B25" t="inlineStr">
        <is>
          <t>Thursday</t>
        </is>
      </c>
      <c r="C25" t="inlineStr">
        <is>
          <t>Week1-Sep-2025</t>
        </is>
      </c>
      <c r="D25" s="78" t="n">
        <v>45901</v>
      </c>
      <c r="E25" t="inlineStr">
        <is>
          <t>Q2FY26</t>
        </is>
      </c>
      <c r="F25" t="inlineStr">
        <is>
          <t>30-Jun-2026</t>
        </is>
      </c>
      <c r="G25" t="inlineStr">
        <is>
          <t>Tuesday</t>
        </is>
      </c>
      <c r="H25" t="inlineStr">
        <is>
          <t>Monthly - Tuesday</t>
        </is>
      </c>
      <c r="I25" t="inlineStr">
        <is>
          <t>Monthly - Tuesday</t>
        </is>
      </c>
      <c r="J25" t="inlineStr">
        <is>
          <t>Month+9 Expiry</t>
        </is>
      </c>
      <c r="K25" s="25" t="n">
        <v>0</v>
      </c>
      <c r="L25" s="26" t="n">
        <v>0</v>
      </c>
      <c r="M25" s="26" t="n">
        <v>0</v>
      </c>
    </row>
    <row r="26" ht="16" customHeight="1">
      <c r="A26" t="inlineStr">
        <is>
          <t>05-Sep-2025</t>
        </is>
      </c>
      <c r="B26" t="inlineStr">
        <is>
          <t>Friday</t>
        </is>
      </c>
      <c r="C26" t="inlineStr">
        <is>
          <t>Week1-Sep-2025</t>
        </is>
      </c>
      <c r="D26" s="78" t="n">
        <v>45901</v>
      </c>
      <c r="E26" t="inlineStr">
        <is>
          <t>Q2FY26</t>
        </is>
      </c>
      <c r="F26" t="inlineStr">
        <is>
          <t>30-Sep-2025</t>
        </is>
      </c>
      <c r="G26" t="inlineStr">
        <is>
          <t>Tuesday</t>
        </is>
      </c>
      <c r="H26" t="inlineStr">
        <is>
          <t>Monthly - Tuesday</t>
        </is>
      </c>
      <c r="I26" t="inlineStr">
        <is>
          <t>Monthly - Tuesday</t>
        </is>
      </c>
      <c r="J26" t="inlineStr">
        <is>
          <t>Same Month Expiry</t>
        </is>
      </c>
      <c r="K26" s="25" t="n">
        <v>2889341</v>
      </c>
      <c r="L26" s="26" t="n">
        <v>5507.8204</v>
      </c>
      <c r="M26" s="26" t="n">
        <v>41.6942</v>
      </c>
    </row>
    <row r="27" ht="16" customHeight="1">
      <c r="A27" t="inlineStr">
        <is>
          <t>05-Sep-2025</t>
        </is>
      </c>
      <c r="B27" t="inlineStr">
        <is>
          <t>Friday</t>
        </is>
      </c>
      <c r="C27" t="inlineStr">
        <is>
          <t>Week1-Sep-2025</t>
        </is>
      </c>
      <c r="D27" s="78" t="n">
        <v>45901</v>
      </c>
      <c r="E27" t="inlineStr">
        <is>
          <t>Q2FY26</t>
        </is>
      </c>
      <c r="F27" t="inlineStr">
        <is>
          <t>28-Oct-2025</t>
        </is>
      </c>
      <c r="G27" t="inlineStr">
        <is>
          <t>Tuesday</t>
        </is>
      </c>
      <c r="H27" t="inlineStr">
        <is>
          <t>Monthly - Tuesday</t>
        </is>
      </c>
      <c r="I27" t="inlineStr">
        <is>
          <t>Monthly - Tuesday</t>
        </is>
      </c>
      <c r="J27" t="inlineStr">
        <is>
          <t>Month+1 Expiry</t>
        </is>
      </c>
      <c r="K27" s="25" t="n">
        <v>33458</v>
      </c>
      <c r="L27" s="26" t="n">
        <v>64.5604</v>
      </c>
      <c r="M27" s="26" t="n">
        <v>0.7334000000000001</v>
      </c>
    </row>
    <row r="28" ht="16" customHeight="1">
      <c r="A28" t="inlineStr">
        <is>
          <t>05-Sep-2025</t>
        </is>
      </c>
      <c r="B28" t="inlineStr">
        <is>
          <t>Friday</t>
        </is>
      </c>
      <c r="C28" t="inlineStr">
        <is>
          <t>Week1-Sep-2025</t>
        </is>
      </c>
      <c r="D28" s="78" t="n">
        <v>45901</v>
      </c>
      <c r="E28" t="inlineStr">
        <is>
          <t>Q2FY26</t>
        </is>
      </c>
      <c r="F28" t="inlineStr">
        <is>
          <t>25-Nov-2025</t>
        </is>
      </c>
      <c r="G28" t="inlineStr">
        <is>
          <t>Tuesday</t>
        </is>
      </c>
      <c r="H28" t="inlineStr">
        <is>
          <t>Monthly - Tuesday</t>
        </is>
      </c>
      <c r="I28" t="inlineStr">
        <is>
          <t>Monthly - Tuesday</t>
        </is>
      </c>
      <c r="J28" t="inlineStr">
        <is>
          <t>Month+2 Expiry</t>
        </is>
      </c>
      <c r="K28" s="25" t="n">
        <v>722</v>
      </c>
      <c r="L28" s="26" t="n">
        <v>1.3985</v>
      </c>
      <c r="M28" s="26" t="n">
        <v>0.0313</v>
      </c>
    </row>
    <row r="29" ht="16" customHeight="1">
      <c r="A29" t="inlineStr">
        <is>
          <t>05-Sep-2025</t>
        </is>
      </c>
      <c r="B29" t="inlineStr">
        <is>
          <t>Friday</t>
        </is>
      </c>
      <c r="C29" t="inlineStr">
        <is>
          <t>Week1-Sep-2025</t>
        </is>
      </c>
      <c r="D29" s="78" t="n">
        <v>45901</v>
      </c>
      <c r="E29" t="inlineStr">
        <is>
          <t>Q2FY26</t>
        </is>
      </c>
      <c r="F29" t="inlineStr">
        <is>
          <t>30-Dec-2025</t>
        </is>
      </c>
      <c r="G29" t="inlineStr">
        <is>
          <t>Tuesday</t>
        </is>
      </c>
      <c r="H29" t="inlineStr">
        <is>
          <t>Monthly - Tuesday</t>
        </is>
      </c>
      <c r="I29" t="inlineStr">
        <is>
          <t>Monthly - Tuesday</t>
        </is>
      </c>
      <c r="J29" t="inlineStr">
        <is>
          <t>Month+3 Expiry</t>
        </is>
      </c>
      <c r="K29" s="25" t="n">
        <v>1986</v>
      </c>
      <c r="L29" s="26" t="n">
        <v>3.9685</v>
      </c>
      <c r="M29" s="26" t="n">
        <v>0.0618</v>
      </c>
    </row>
    <row r="30" ht="16" customHeight="1">
      <c r="A30" t="inlineStr">
        <is>
          <t>05-Sep-2025</t>
        </is>
      </c>
      <c r="B30" t="inlineStr">
        <is>
          <t>Friday</t>
        </is>
      </c>
      <c r="C30" t="inlineStr">
        <is>
          <t>Week1-Sep-2025</t>
        </is>
      </c>
      <c r="D30" s="78" t="n">
        <v>45901</v>
      </c>
      <c r="E30" t="inlineStr">
        <is>
          <t>Q2FY26</t>
        </is>
      </c>
      <c r="F30" t="inlineStr">
        <is>
          <t>31-Mar-2026</t>
        </is>
      </c>
      <c r="G30" t="inlineStr">
        <is>
          <t>Tuesday</t>
        </is>
      </c>
      <c r="H30" t="inlineStr">
        <is>
          <t>Monthly - Tuesday</t>
        </is>
      </c>
      <c r="I30" t="inlineStr">
        <is>
          <t>Monthly - Tuesday</t>
        </is>
      </c>
      <c r="J30" t="inlineStr">
        <is>
          <t>Month+6 Expiry</t>
        </is>
      </c>
      <c r="K30" s="25" t="n">
        <v>77</v>
      </c>
      <c r="L30" s="26" t="n">
        <v>0.1615</v>
      </c>
      <c r="M30" s="26" t="n">
        <v>0.0021</v>
      </c>
    </row>
    <row r="31" ht="16" customHeight="1">
      <c r="A31" t="inlineStr">
        <is>
          <t>05-Sep-2025</t>
        </is>
      </c>
      <c r="B31" t="inlineStr">
        <is>
          <t>Friday</t>
        </is>
      </c>
      <c r="C31" t="inlineStr">
        <is>
          <t>Week1-Sep-2025</t>
        </is>
      </c>
      <c r="D31" s="78" t="n">
        <v>45901</v>
      </c>
      <c r="E31" t="inlineStr">
        <is>
          <t>Q2FY26</t>
        </is>
      </c>
      <c r="F31" t="inlineStr">
        <is>
          <t>30-Jun-2026</t>
        </is>
      </c>
      <c r="G31" t="inlineStr">
        <is>
          <t>Tuesday</t>
        </is>
      </c>
      <c r="H31" t="inlineStr">
        <is>
          <t>Monthly - Tuesday</t>
        </is>
      </c>
      <c r="I31" t="inlineStr">
        <is>
          <t>Monthly - Tuesday</t>
        </is>
      </c>
      <c r="J31" t="inlineStr">
        <is>
          <t>Month+9 Expiry</t>
        </is>
      </c>
      <c r="K31" s="25" t="n">
        <v>0</v>
      </c>
      <c r="L31" s="26" t="n">
        <v>0</v>
      </c>
      <c r="M31" s="26" t="n">
        <v>0</v>
      </c>
    </row>
    <row r="32" ht="16" customHeight="1">
      <c r="A32" t="inlineStr">
        <is>
          <t>08-Sep-2025</t>
        </is>
      </c>
      <c r="B32" t="inlineStr">
        <is>
          <t>Monday</t>
        </is>
      </c>
      <c r="C32" t="inlineStr">
        <is>
          <t>Week2-Sep-2025</t>
        </is>
      </c>
      <c r="D32" s="78" t="n">
        <v>45901</v>
      </c>
      <c r="E32" t="inlineStr">
        <is>
          <t>Q2FY26</t>
        </is>
      </c>
      <c r="F32" t="inlineStr">
        <is>
          <t>30-Sep-2025</t>
        </is>
      </c>
      <c r="G32" t="inlineStr">
        <is>
          <t>Tuesday</t>
        </is>
      </c>
      <c r="H32" t="inlineStr">
        <is>
          <t>Monthly - Tuesday</t>
        </is>
      </c>
      <c r="I32" t="inlineStr">
        <is>
          <t>Monthly - Tuesday</t>
        </is>
      </c>
      <c r="J32" t="inlineStr">
        <is>
          <t>Same Month Expiry</t>
        </is>
      </c>
      <c r="K32" s="25" t="n">
        <v>2772664</v>
      </c>
      <c r="L32" s="26" t="n">
        <v>5289.4227</v>
      </c>
      <c r="M32" s="26" t="n">
        <v>37.314</v>
      </c>
    </row>
    <row r="33" ht="16" customHeight="1">
      <c r="A33" t="inlineStr">
        <is>
          <t>08-Sep-2025</t>
        </is>
      </c>
      <c r="B33" t="inlineStr">
        <is>
          <t>Monday</t>
        </is>
      </c>
      <c r="C33" t="inlineStr">
        <is>
          <t>Week2-Sep-2025</t>
        </is>
      </c>
      <c r="D33" s="78" t="n">
        <v>45901</v>
      </c>
      <c r="E33" t="inlineStr">
        <is>
          <t>Q2FY26</t>
        </is>
      </c>
      <c r="F33" t="inlineStr">
        <is>
          <t>28-Oct-2025</t>
        </is>
      </c>
      <c r="G33" t="inlineStr">
        <is>
          <t>Tuesday</t>
        </is>
      </c>
      <c r="H33" t="inlineStr">
        <is>
          <t>Monthly - Tuesday</t>
        </is>
      </c>
      <c r="I33" t="inlineStr">
        <is>
          <t>Monthly - Tuesday</t>
        </is>
      </c>
      <c r="J33" t="inlineStr">
        <is>
          <t>Month+1 Expiry</t>
        </is>
      </c>
      <c r="K33" s="25" t="n">
        <v>23556</v>
      </c>
      <c r="L33" s="26" t="n">
        <v>45.2499</v>
      </c>
      <c r="M33" s="26" t="n">
        <v>0.4635</v>
      </c>
    </row>
    <row r="34" ht="16" customHeight="1">
      <c r="A34" t="inlineStr">
        <is>
          <t>08-Sep-2025</t>
        </is>
      </c>
      <c r="B34" t="inlineStr">
        <is>
          <t>Monday</t>
        </is>
      </c>
      <c r="C34" t="inlineStr">
        <is>
          <t>Week2-Sep-2025</t>
        </is>
      </c>
      <c r="D34" s="78" t="n">
        <v>45901</v>
      </c>
      <c r="E34" t="inlineStr">
        <is>
          <t>Q2FY26</t>
        </is>
      </c>
      <c r="F34" t="inlineStr">
        <is>
          <t>25-Nov-2025</t>
        </is>
      </c>
      <c r="G34" t="inlineStr">
        <is>
          <t>Tuesday</t>
        </is>
      </c>
      <c r="H34" t="inlineStr">
        <is>
          <t>Monthly - Tuesday</t>
        </is>
      </c>
      <c r="I34" t="inlineStr">
        <is>
          <t>Monthly - Tuesday</t>
        </is>
      </c>
      <c r="J34" t="inlineStr">
        <is>
          <t>Month+2 Expiry</t>
        </is>
      </c>
      <c r="K34" s="25" t="n">
        <v>723</v>
      </c>
      <c r="L34" s="26" t="n">
        <v>1.3797</v>
      </c>
      <c r="M34" s="26" t="n">
        <v>0.022</v>
      </c>
    </row>
    <row r="35" ht="16" customHeight="1">
      <c r="A35" t="inlineStr">
        <is>
          <t>08-Sep-2025</t>
        </is>
      </c>
      <c r="B35" t="inlineStr">
        <is>
          <t>Monday</t>
        </is>
      </c>
      <c r="C35" t="inlineStr">
        <is>
          <t>Week2-Sep-2025</t>
        </is>
      </c>
      <c r="D35" s="78" t="n">
        <v>45901</v>
      </c>
      <c r="E35" t="inlineStr">
        <is>
          <t>Q2FY26</t>
        </is>
      </c>
      <c r="F35" t="inlineStr">
        <is>
          <t>30-Dec-2025</t>
        </is>
      </c>
      <c r="G35" t="inlineStr">
        <is>
          <t>Tuesday</t>
        </is>
      </c>
      <c r="H35" t="inlineStr">
        <is>
          <t>Monthly - Tuesday</t>
        </is>
      </c>
      <c r="I35" t="inlineStr">
        <is>
          <t>Monthly - Tuesday</t>
        </is>
      </c>
      <c r="J35" t="inlineStr">
        <is>
          <t>Month+3 Expiry</t>
        </is>
      </c>
      <c r="K35" s="25" t="n">
        <v>2328</v>
      </c>
      <c r="L35" s="26" t="n">
        <v>4.5147</v>
      </c>
      <c r="M35" s="26" t="n">
        <v>0.068</v>
      </c>
    </row>
    <row r="36" ht="16" customHeight="1">
      <c r="A36" t="inlineStr">
        <is>
          <t>08-Sep-2025</t>
        </is>
      </c>
      <c r="B36" t="inlineStr">
        <is>
          <t>Monday</t>
        </is>
      </c>
      <c r="C36" t="inlineStr">
        <is>
          <t>Week2-Sep-2025</t>
        </is>
      </c>
      <c r="D36" s="78" t="n">
        <v>45901</v>
      </c>
      <c r="E36" t="inlineStr">
        <is>
          <t>Q2FY26</t>
        </is>
      </c>
      <c r="F36" t="inlineStr">
        <is>
          <t>31-Mar-2026</t>
        </is>
      </c>
      <c r="G36" t="inlineStr">
        <is>
          <t>Tuesday</t>
        </is>
      </c>
      <c r="H36" t="inlineStr">
        <is>
          <t>Monthly - Tuesday</t>
        </is>
      </c>
      <c r="I36" t="inlineStr">
        <is>
          <t>Monthly - Tuesday</t>
        </is>
      </c>
      <c r="J36" t="inlineStr">
        <is>
          <t>Month+6 Expiry</t>
        </is>
      </c>
      <c r="K36" s="25" t="n">
        <v>123</v>
      </c>
      <c r="L36" s="26" t="n">
        <v>0.2576</v>
      </c>
      <c r="M36" s="26" t="n">
        <v>0.0039</v>
      </c>
    </row>
    <row r="37" ht="16" customHeight="1">
      <c r="A37" t="inlineStr">
        <is>
          <t>08-Sep-2025</t>
        </is>
      </c>
      <c r="B37" t="inlineStr">
        <is>
          <t>Monday</t>
        </is>
      </c>
      <c r="C37" t="inlineStr">
        <is>
          <t>Week2-Sep-2025</t>
        </is>
      </c>
      <c r="D37" s="78" t="n">
        <v>45901</v>
      </c>
      <c r="E37" t="inlineStr">
        <is>
          <t>Q2FY26</t>
        </is>
      </c>
      <c r="F37" t="inlineStr">
        <is>
          <t>30-Jun-2026</t>
        </is>
      </c>
      <c r="G37" t="inlineStr">
        <is>
          <t>Tuesday</t>
        </is>
      </c>
      <c r="H37" t="inlineStr">
        <is>
          <t>Monthly - Tuesday</t>
        </is>
      </c>
      <c r="I37" t="inlineStr">
        <is>
          <t>Monthly - Tuesday</t>
        </is>
      </c>
      <c r="J37" t="inlineStr">
        <is>
          <t>Month+9 Expiry</t>
        </is>
      </c>
      <c r="K37" s="25" t="n">
        <v>0</v>
      </c>
      <c r="L37" s="26" t="n">
        <v>0</v>
      </c>
      <c r="M37" s="26" t="n">
        <v>0</v>
      </c>
    </row>
    <row r="38" ht="16" customHeight="1">
      <c r="A38" t="inlineStr">
        <is>
          <t>09-Sep-2025</t>
        </is>
      </c>
      <c r="B38" t="inlineStr">
        <is>
          <t>Tuesday</t>
        </is>
      </c>
      <c r="C38" t="inlineStr">
        <is>
          <t>Week2-Sep-2025</t>
        </is>
      </c>
      <c r="D38" s="78" t="n">
        <v>45901</v>
      </c>
      <c r="E38" t="inlineStr">
        <is>
          <t>Q2FY26</t>
        </is>
      </c>
      <c r="F38" t="inlineStr">
        <is>
          <t>30-Sep-2025</t>
        </is>
      </c>
      <c r="G38" t="inlineStr">
        <is>
          <t>Tuesday</t>
        </is>
      </c>
      <c r="H38" t="inlineStr">
        <is>
          <t>Monthly - Tuesday</t>
        </is>
      </c>
      <c r="I38" t="inlineStr">
        <is>
          <t>Monthly - Tuesday</t>
        </is>
      </c>
      <c r="J38" t="inlineStr">
        <is>
          <t>Same Month Expiry</t>
        </is>
      </c>
      <c r="K38" s="25" t="n">
        <v>2184553</v>
      </c>
      <c r="L38" s="26" t="n">
        <v>4162.4389</v>
      </c>
      <c r="M38" s="26" t="n">
        <v>29.5829</v>
      </c>
    </row>
    <row r="39" ht="16" customHeight="1">
      <c r="A39" t="inlineStr">
        <is>
          <t>09-Sep-2025</t>
        </is>
      </c>
      <c r="B39" t="inlineStr">
        <is>
          <t>Tuesday</t>
        </is>
      </c>
      <c r="C39" t="inlineStr">
        <is>
          <t>Week2-Sep-2025</t>
        </is>
      </c>
      <c r="D39" s="78" t="n">
        <v>45901</v>
      </c>
      <c r="E39" t="inlineStr">
        <is>
          <t>Q2FY26</t>
        </is>
      </c>
      <c r="F39" t="inlineStr">
        <is>
          <t>28-Oct-2025</t>
        </is>
      </c>
      <c r="G39" t="inlineStr">
        <is>
          <t>Tuesday</t>
        </is>
      </c>
      <c r="H39" t="inlineStr">
        <is>
          <t>Monthly - Tuesday</t>
        </is>
      </c>
      <c r="I39" t="inlineStr">
        <is>
          <t>Monthly - Tuesday</t>
        </is>
      </c>
      <c r="J39" t="inlineStr">
        <is>
          <t>Month+1 Expiry</t>
        </is>
      </c>
      <c r="K39" s="25" t="n">
        <v>20360</v>
      </c>
      <c r="L39" s="26" t="n">
        <v>39.1389</v>
      </c>
      <c r="M39" s="26" t="n">
        <v>0.3146</v>
      </c>
    </row>
    <row r="40" ht="16" customHeight="1">
      <c r="A40" t="inlineStr">
        <is>
          <t>09-Sep-2025</t>
        </is>
      </c>
      <c r="B40" t="inlineStr">
        <is>
          <t>Tuesday</t>
        </is>
      </c>
      <c r="C40" t="inlineStr">
        <is>
          <t>Week2-Sep-2025</t>
        </is>
      </c>
      <c r="D40" s="78" t="n">
        <v>45901</v>
      </c>
      <c r="E40" t="inlineStr">
        <is>
          <t>Q2FY26</t>
        </is>
      </c>
      <c r="F40" t="inlineStr">
        <is>
          <t>25-Nov-2025</t>
        </is>
      </c>
      <c r="G40" t="inlineStr">
        <is>
          <t>Tuesday</t>
        </is>
      </c>
      <c r="H40" t="inlineStr">
        <is>
          <t>Monthly - Tuesday</t>
        </is>
      </c>
      <c r="I40" t="inlineStr">
        <is>
          <t>Monthly - Tuesday</t>
        </is>
      </c>
      <c r="J40" t="inlineStr">
        <is>
          <t>Month+2 Expiry</t>
        </is>
      </c>
      <c r="K40" s="25" t="n">
        <v>577</v>
      </c>
      <c r="L40" s="26" t="n">
        <v>1.1223</v>
      </c>
      <c r="M40" s="26" t="n">
        <v>0.0139</v>
      </c>
    </row>
    <row r="41" ht="16" customHeight="1">
      <c r="A41" t="inlineStr">
        <is>
          <t>09-Sep-2025</t>
        </is>
      </c>
      <c r="B41" t="inlineStr">
        <is>
          <t>Tuesday</t>
        </is>
      </c>
      <c r="C41" t="inlineStr">
        <is>
          <t>Week2-Sep-2025</t>
        </is>
      </c>
      <c r="D41" s="78" t="n">
        <v>45901</v>
      </c>
      <c r="E41" t="inlineStr">
        <is>
          <t>Q2FY26</t>
        </is>
      </c>
      <c r="F41" t="inlineStr">
        <is>
          <t>30-Dec-2025</t>
        </is>
      </c>
      <c r="G41" t="inlineStr">
        <is>
          <t>Tuesday</t>
        </is>
      </c>
      <c r="H41" t="inlineStr">
        <is>
          <t>Monthly - Tuesday</t>
        </is>
      </c>
      <c r="I41" t="inlineStr">
        <is>
          <t>Monthly - Tuesday</t>
        </is>
      </c>
      <c r="J41" t="inlineStr">
        <is>
          <t>Month+3 Expiry</t>
        </is>
      </c>
      <c r="K41" s="25" t="n">
        <v>1049</v>
      </c>
      <c r="L41" s="26" t="n">
        <v>2.0595</v>
      </c>
      <c r="M41" s="26" t="n">
        <v>0.031</v>
      </c>
    </row>
    <row r="42" ht="16" customHeight="1">
      <c r="A42" t="inlineStr">
        <is>
          <t>09-Sep-2025</t>
        </is>
      </c>
      <c r="B42" t="inlineStr">
        <is>
          <t>Tuesday</t>
        </is>
      </c>
      <c r="C42" t="inlineStr">
        <is>
          <t>Week2-Sep-2025</t>
        </is>
      </c>
      <c r="D42" s="78" t="n">
        <v>45901</v>
      </c>
      <c r="E42" t="inlineStr">
        <is>
          <t>Q2FY26</t>
        </is>
      </c>
      <c r="F42" t="inlineStr">
        <is>
          <t>31-Mar-2026</t>
        </is>
      </c>
      <c r="G42" t="inlineStr">
        <is>
          <t>Tuesday</t>
        </is>
      </c>
      <c r="H42" t="inlineStr">
        <is>
          <t>Monthly - Tuesday</t>
        </is>
      </c>
      <c r="I42" t="inlineStr">
        <is>
          <t>Monthly - Tuesday</t>
        </is>
      </c>
      <c r="J42" t="inlineStr">
        <is>
          <t>Month+6 Expiry</t>
        </is>
      </c>
      <c r="K42" s="25" t="n">
        <v>17</v>
      </c>
      <c r="L42" s="26" t="n">
        <v>0.0357</v>
      </c>
      <c r="M42" s="26" t="n">
        <v>0.0005</v>
      </c>
    </row>
    <row r="43" ht="16" customHeight="1">
      <c r="A43" t="inlineStr">
        <is>
          <t>09-Sep-2025</t>
        </is>
      </c>
      <c r="B43" t="inlineStr">
        <is>
          <t>Tuesday</t>
        </is>
      </c>
      <c r="C43" t="inlineStr">
        <is>
          <t>Week2-Sep-2025</t>
        </is>
      </c>
      <c r="D43" s="78" t="n">
        <v>45901</v>
      </c>
      <c r="E43" t="inlineStr">
        <is>
          <t>Q2FY26</t>
        </is>
      </c>
      <c r="F43" t="inlineStr">
        <is>
          <t>30-Jun-2026</t>
        </is>
      </c>
      <c r="G43" t="inlineStr">
        <is>
          <t>Tuesday</t>
        </is>
      </c>
      <c r="H43" t="inlineStr">
        <is>
          <t>Monthly - Tuesday</t>
        </is>
      </c>
      <c r="I43" t="inlineStr">
        <is>
          <t>Monthly - Tuesday</t>
        </is>
      </c>
      <c r="J43" t="inlineStr">
        <is>
          <t>Month+9 Expiry</t>
        </is>
      </c>
      <c r="K43" s="25" t="n">
        <v>0</v>
      </c>
      <c r="L43" s="26" t="n">
        <v>0</v>
      </c>
      <c r="M43" s="26" t="n">
        <v>0</v>
      </c>
    </row>
    <row r="44" ht="16" customHeight="1">
      <c r="A44" t="inlineStr">
        <is>
          <t>10-Sep-2025</t>
        </is>
      </c>
      <c r="B44" t="inlineStr">
        <is>
          <t>Wednesday</t>
        </is>
      </c>
      <c r="C44" t="inlineStr">
        <is>
          <t>Week2-Sep-2025</t>
        </is>
      </c>
      <c r="D44" s="78" t="n">
        <v>45901</v>
      </c>
      <c r="E44" t="inlineStr">
        <is>
          <t>Q2FY26</t>
        </is>
      </c>
      <c r="F44" t="inlineStr">
        <is>
          <t>30-Sep-2025</t>
        </is>
      </c>
      <c r="G44" t="inlineStr">
        <is>
          <t>Tuesday</t>
        </is>
      </c>
      <c r="H44" t="inlineStr">
        <is>
          <t>Monthly - Tuesday</t>
        </is>
      </c>
      <c r="I44" t="inlineStr">
        <is>
          <t>Monthly - Tuesday</t>
        </is>
      </c>
      <c r="J44" t="inlineStr">
        <is>
          <t>Same Month Expiry</t>
        </is>
      </c>
      <c r="K44" s="25" t="n">
        <v>2977307</v>
      </c>
      <c r="L44" s="26" t="n">
        <v>5695.0636</v>
      </c>
      <c r="M44" s="26" t="n">
        <v>39.5422</v>
      </c>
    </row>
    <row r="45" ht="16" customHeight="1">
      <c r="A45" t="inlineStr">
        <is>
          <t>10-Sep-2025</t>
        </is>
      </c>
      <c r="B45" t="inlineStr">
        <is>
          <t>Wednesday</t>
        </is>
      </c>
      <c r="C45" t="inlineStr">
        <is>
          <t>Week2-Sep-2025</t>
        </is>
      </c>
      <c r="D45" s="78" t="n">
        <v>45901</v>
      </c>
      <c r="E45" t="inlineStr">
        <is>
          <t>Q2FY26</t>
        </is>
      </c>
      <c r="F45" t="inlineStr">
        <is>
          <t>28-Oct-2025</t>
        </is>
      </c>
      <c r="G45" t="inlineStr">
        <is>
          <t>Tuesday</t>
        </is>
      </c>
      <c r="H45" t="inlineStr">
        <is>
          <t>Monthly - Tuesday</t>
        </is>
      </c>
      <c r="I45" t="inlineStr">
        <is>
          <t>Monthly - Tuesday</t>
        </is>
      </c>
      <c r="J45" t="inlineStr">
        <is>
          <t>Month+1 Expiry</t>
        </is>
      </c>
      <c r="K45" s="25" t="n">
        <v>35141</v>
      </c>
      <c r="L45" s="26" t="n">
        <v>67.67749999999999</v>
      </c>
      <c r="M45" s="26" t="n">
        <v>0.6271</v>
      </c>
    </row>
    <row r="46" ht="16" customHeight="1">
      <c r="A46" t="inlineStr">
        <is>
          <t>10-Sep-2025</t>
        </is>
      </c>
      <c r="B46" t="inlineStr">
        <is>
          <t>Wednesday</t>
        </is>
      </c>
      <c r="C46" t="inlineStr">
        <is>
          <t>Week2-Sep-2025</t>
        </is>
      </c>
      <c r="D46" s="78" t="n">
        <v>45901</v>
      </c>
      <c r="E46" t="inlineStr">
        <is>
          <t>Q2FY26</t>
        </is>
      </c>
      <c r="F46" t="inlineStr">
        <is>
          <t>25-Nov-2025</t>
        </is>
      </c>
      <c r="G46" t="inlineStr">
        <is>
          <t>Tuesday</t>
        </is>
      </c>
      <c r="H46" t="inlineStr">
        <is>
          <t>Monthly - Tuesday</t>
        </is>
      </c>
      <c r="I46" t="inlineStr">
        <is>
          <t>Monthly - Tuesday</t>
        </is>
      </c>
      <c r="J46" t="inlineStr">
        <is>
          <t>Month+2 Expiry</t>
        </is>
      </c>
      <c r="K46" s="25" t="n">
        <v>1391</v>
      </c>
      <c r="L46" s="26" t="n">
        <v>2.69</v>
      </c>
      <c r="M46" s="26" t="n">
        <v>0.0326</v>
      </c>
    </row>
    <row r="47" ht="16" customHeight="1">
      <c r="A47" t="inlineStr">
        <is>
          <t>10-Sep-2025</t>
        </is>
      </c>
      <c r="B47" t="inlineStr">
        <is>
          <t>Wednesday</t>
        </is>
      </c>
      <c r="C47" t="inlineStr">
        <is>
          <t>Week2-Sep-2025</t>
        </is>
      </c>
      <c r="D47" s="78" t="n">
        <v>45901</v>
      </c>
      <c r="E47" t="inlineStr">
        <is>
          <t>Q2FY26</t>
        </is>
      </c>
      <c r="F47" t="inlineStr">
        <is>
          <t>30-Dec-2025</t>
        </is>
      </c>
      <c r="G47" t="inlineStr">
        <is>
          <t>Tuesday</t>
        </is>
      </c>
      <c r="H47" t="inlineStr">
        <is>
          <t>Monthly - Tuesday</t>
        </is>
      </c>
      <c r="I47" t="inlineStr">
        <is>
          <t>Monthly - Tuesday</t>
        </is>
      </c>
      <c r="J47" t="inlineStr">
        <is>
          <t>Month+3 Expiry</t>
        </is>
      </c>
      <c r="K47" s="25" t="n">
        <v>3275</v>
      </c>
      <c r="L47" s="26" t="n">
        <v>6.4037</v>
      </c>
      <c r="M47" s="26" t="n">
        <v>0.1023</v>
      </c>
    </row>
    <row r="48" ht="16" customHeight="1">
      <c r="A48" t="inlineStr">
        <is>
          <t>10-Sep-2025</t>
        </is>
      </c>
      <c r="B48" t="inlineStr">
        <is>
          <t>Wednesday</t>
        </is>
      </c>
      <c r="C48" t="inlineStr">
        <is>
          <t>Week2-Sep-2025</t>
        </is>
      </c>
      <c r="D48" s="78" t="n">
        <v>45901</v>
      </c>
      <c r="E48" t="inlineStr">
        <is>
          <t>Q2FY26</t>
        </is>
      </c>
      <c r="F48" t="inlineStr">
        <is>
          <t>31-Mar-2026</t>
        </is>
      </c>
      <c r="G48" t="inlineStr">
        <is>
          <t>Tuesday</t>
        </is>
      </c>
      <c r="H48" t="inlineStr">
        <is>
          <t>Monthly - Tuesday</t>
        </is>
      </c>
      <c r="I48" t="inlineStr">
        <is>
          <t>Monthly - Tuesday</t>
        </is>
      </c>
      <c r="J48" t="inlineStr">
        <is>
          <t>Month+6 Expiry</t>
        </is>
      </c>
      <c r="K48" s="25" t="n">
        <v>198</v>
      </c>
      <c r="L48" s="26" t="n">
        <v>0.4174</v>
      </c>
      <c r="M48" s="26" t="n">
        <v>0.0057</v>
      </c>
    </row>
    <row r="49" ht="16" customHeight="1">
      <c r="A49" t="inlineStr">
        <is>
          <t>10-Sep-2025</t>
        </is>
      </c>
      <c r="B49" t="inlineStr">
        <is>
          <t>Wednesday</t>
        </is>
      </c>
      <c r="C49" t="inlineStr">
        <is>
          <t>Week2-Sep-2025</t>
        </is>
      </c>
      <c r="D49" s="78" t="n">
        <v>45901</v>
      </c>
      <c r="E49" t="inlineStr">
        <is>
          <t>Q2FY26</t>
        </is>
      </c>
      <c r="F49" t="inlineStr">
        <is>
          <t>30-Jun-2026</t>
        </is>
      </c>
      <c r="G49" t="inlineStr">
        <is>
          <t>Tuesday</t>
        </is>
      </c>
      <c r="H49" t="inlineStr">
        <is>
          <t>Monthly - Tuesday</t>
        </is>
      </c>
      <c r="I49" t="inlineStr">
        <is>
          <t>Monthly - Tuesday</t>
        </is>
      </c>
      <c r="J49" t="inlineStr">
        <is>
          <t>Month+9 Expiry</t>
        </is>
      </c>
      <c r="K49" s="25" t="n">
        <v>0</v>
      </c>
      <c r="L49" s="26" t="n">
        <v>0</v>
      </c>
      <c r="M49" s="26" t="n">
        <v>0</v>
      </c>
    </row>
    <row r="50" ht="16" customHeight="1">
      <c r="A50" t="inlineStr">
        <is>
          <t>11-Sep-2025</t>
        </is>
      </c>
      <c r="B50" t="inlineStr">
        <is>
          <t>Thursday</t>
        </is>
      </c>
      <c r="C50" t="inlineStr">
        <is>
          <t>Week2-Sep-2025</t>
        </is>
      </c>
      <c r="D50" s="78" t="n">
        <v>45901</v>
      </c>
      <c r="E50" t="inlineStr">
        <is>
          <t>Q2FY26</t>
        </is>
      </c>
      <c r="F50" t="inlineStr">
        <is>
          <t>30-Sep-2025</t>
        </is>
      </c>
      <c r="G50" t="inlineStr">
        <is>
          <t>Tuesday</t>
        </is>
      </c>
      <c r="H50" t="inlineStr">
        <is>
          <t>Monthly - Tuesday</t>
        </is>
      </c>
      <c r="I50" t="inlineStr">
        <is>
          <t>Monthly - Tuesday</t>
        </is>
      </c>
      <c r="J50" t="inlineStr">
        <is>
          <t>Same Month Expiry</t>
        </is>
      </c>
      <c r="K50" s="25" t="n">
        <v>2376862</v>
      </c>
      <c r="L50" s="26" t="n">
        <v>4557.516</v>
      </c>
      <c r="M50" s="26" t="n">
        <v>29.3358</v>
      </c>
    </row>
    <row r="51" ht="16" customHeight="1">
      <c r="A51" t="inlineStr">
        <is>
          <t>11-Sep-2025</t>
        </is>
      </c>
      <c r="B51" t="inlineStr">
        <is>
          <t>Thursday</t>
        </is>
      </c>
      <c r="C51" t="inlineStr">
        <is>
          <t>Week2-Sep-2025</t>
        </is>
      </c>
      <c r="D51" s="78" t="n">
        <v>45901</v>
      </c>
      <c r="E51" t="inlineStr">
        <is>
          <t>Q2FY26</t>
        </is>
      </c>
      <c r="F51" t="inlineStr">
        <is>
          <t>28-Oct-2025</t>
        </is>
      </c>
      <c r="G51" t="inlineStr">
        <is>
          <t>Tuesday</t>
        </is>
      </c>
      <c r="H51" t="inlineStr">
        <is>
          <t>Monthly - Tuesday</t>
        </is>
      </c>
      <c r="I51" t="inlineStr">
        <is>
          <t>Monthly - Tuesday</t>
        </is>
      </c>
      <c r="J51" t="inlineStr">
        <is>
          <t>Month+1 Expiry</t>
        </is>
      </c>
      <c r="K51" s="25" t="n">
        <v>28274</v>
      </c>
      <c r="L51" s="26" t="n">
        <v>54.3677</v>
      </c>
      <c r="M51" s="26" t="n">
        <v>0.4552</v>
      </c>
    </row>
    <row r="52" ht="16" customHeight="1">
      <c r="A52" t="inlineStr">
        <is>
          <t>11-Sep-2025</t>
        </is>
      </c>
      <c r="B52" t="inlineStr">
        <is>
          <t>Thursday</t>
        </is>
      </c>
      <c r="C52" t="inlineStr">
        <is>
          <t>Week2-Sep-2025</t>
        </is>
      </c>
      <c r="D52" s="78" t="n">
        <v>45901</v>
      </c>
      <c r="E52" t="inlineStr">
        <is>
          <t>Q2FY26</t>
        </is>
      </c>
      <c r="F52" t="inlineStr">
        <is>
          <t>25-Nov-2025</t>
        </is>
      </c>
      <c r="G52" t="inlineStr">
        <is>
          <t>Tuesday</t>
        </is>
      </c>
      <c r="H52" t="inlineStr">
        <is>
          <t>Monthly - Tuesday</t>
        </is>
      </c>
      <c r="I52" t="inlineStr">
        <is>
          <t>Monthly - Tuesday</t>
        </is>
      </c>
      <c r="J52" t="inlineStr">
        <is>
          <t>Month+2 Expiry</t>
        </is>
      </c>
      <c r="K52" s="25" t="n">
        <v>976</v>
      </c>
      <c r="L52" s="26" t="n">
        <v>1.8798</v>
      </c>
      <c r="M52" s="26" t="n">
        <v>0.0188</v>
      </c>
    </row>
    <row r="53" ht="16" customHeight="1">
      <c r="A53" t="inlineStr">
        <is>
          <t>11-Sep-2025</t>
        </is>
      </c>
      <c r="B53" t="inlineStr">
        <is>
          <t>Thursday</t>
        </is>
      </c>
      <c r="C53" t="inlineStr">
        <is>
          <t>Week2-Sep-2025</t>
        </is>
      </c>
      <c r="D53" s="78" t="n">
        <v>45901</v>
      </c>
      <c r="E53" t="inlineStr">
        <is>
          <t>Q2FY26</t>
        </is>
      </c>
      <c r="F53" t="inlineStr">
        <is>
          <t>30-Dec-2025</t>
        </is>
      </c>
      <c r="G53" t="inlineStr">
        <is>
          <t>Tuesday</t>
        </is>
      </c>
      <c r="H53" t="inlineStr">
        <is>
          <t>Monthly - Tuesday</t>
        </is>
      </c>
      <c r="I53" t="inlineStr">
        <is>
          <t>Monthly - Tuesday</t>
        </is>
      </c>
      <c r="J53" t="inlineStr">
        <is>
          <t>Month+3 Expiry</t>
        </is>
      </c>
      <c r="K53" s="25" t="n">
        <v>1450</v>
      </c>
      <c r="L53" s="26" t="n">
        <v>2.833</v>
      </c>
      <c r="M53" s="26" t="n">
        <v>0.0424</v>
      </c>
    </row>
    <row r="54" ht="16" customHeight="1">
      <c r="A54" t="inlineStr">
        <is>
          <t>11-Sep-2025</t>
        </is>
      </c>
      <c r="B54" t="inlineStr">
        <is>
          <t>Thursday</t>
        </is>
      </c>
      <c r="C54" t="inlineStr">
        <is>
          <t>Week2-Sep-2025</t>
        </is>
      </c>
      <c r="D54" s="78" t="n">
        <v>45901</v>
      </c>
      <c r="E54" t="inlineStr">
        <is>
          <t>Q2FY26</t>
        </is>
      </c>
      <c r="F54" t="inlineStr">
        <is>
          <t>31-Mar-2026</t>
        </is>
      </c>
      <c r="G54" t="inlineStr">
        <is>
          <t>Tuesday</t>
        </is>
      </c>
      <c r="H54" t="inlineStr">
        <is>
          <t>Monthly - Tuesday</t>
        </is>
      </c>
      <c r="I54" t="inlineStr">
        <is>
          <t>Monthly - Tuesday</t>
        </is>
      </c>
      <c r="J54" t="inlineStr">
        <is>
          <t>Month+6 Expiry</t>
        </is>
      </c>
      <c r="K54" s="25" t="n">
        <v>36</v>
      </c>
      <c r="L54" s="26" t="n">
        <v>0.07630000000000001</v>
      </c>
      <c r="M54" s="26" t="n">
        <v>0.0009</v>
      </c>
    </row>
    <row r="55" ht="16" customHeight="1">
      <c r="A55" t="inlineStr">
        <is>
          <t>11-Sep-2025</t>
        </is>
      </c>
      <c r="B55" t="inlineStr">
        <is>
          <t>Thursday</t>
        </is>
      </c>
      <c r="C55" t="inlineStr">
        <is>
          <t>Week2-Sep-2025</t>
        </is>
      </c>
      <c r="D55" s="78" t="n">
        <v>45901</v>
      </c>
      <c r="E55" t="inlineStr">
        <is>
          <t>Q2FY26</t>
        </is>
      </c>
      <c r="F55" t="inlineStr">
        <is>
          <t>30-Jun-2026</t>
        </is>
      </c>
      <c r="G55" t="inlineStr">
        <is>
          <t>Tuesday</t>
        </is>
      </c>
      <c r="H55" t="inlineStr">
        <is>
          <t>Monthly - Tuesday</t>
        </is>
      </c>
      <c r="I55" t="inlineStr">
        <is>
          <t>Monthly - Tuesday</t>
        </is>
      </c>
      <c r="J55" t="inlineStr">
        <is>
          <t>Month+9 Expiry</t>
        </is>
      </c>
      <c r="K55" s="25" t="n">
        <v>0</v>
      </c>
      <c r="L55" s="26" t="n">
        <v>0</v>
      </c>
      <c r="M55" s="26" t="n">
        <v>0</v>
      </c>
    </row>
    <row r="56" ht="16" customHeight="1">
      <c r="A56" t="inlineStr">
        <is>
          <t>12-Sep-2025</t>
        </is>
      </c>
      <c r="B56" t="inlineStr">
        <is>
          <t>Friday</t>
        </is>
      </c>
      <c r="C56" t="inlineStr">
        <is>
          <t>Week2-Sep-2025</t>
        </is>
      </c>
      <c r="D56" s="78" t="n">
        <v>45901</v>
      </c>
      <c r="E56" t="inlineStr">
        <is>
          <t>Q2FY26</t>
        </is>
      </c>
      <c r="F56" t="inlineStr">
        <is>
          <t>30-Sep-2025</t>
        </is>
      </c>
      <c r="G56" t="inlineStr">
        <is>
          <t>Tuesday</t>
        </is>
      </c>
      <c r="H56" t="inlineStr">
        <is>
          <t>Monthly - Tuesday</t>
        </is>
      </c>
      <c r="I56" t="inlineStr">
        <is>
          <t>Monthly - Tuesday</t>
        </is>
      </c>
      <c r="J56" t="inlineStr">
        <is>
          <t>Same Month Expiry</t>
        </is>
      </c>
      <c r="K56" s="25" t="n">
        <v>2574698</v>
      </c>
      <c r="L56" s="26" t="n">
        <v>4935.0399</v>
      </c>
      <c r="M56" s="26" t="n">
        <v>30.7807</v>
      </c>
    </row>
    <row r="57" ht="16" customHeight="1">
      <c r="A57" t="inlineStr">
        <is>
          <t>12-Sep-2025</t>
        </is>
      </c>
      <c r="B57" t="inlineStr">
        <is>
          <t>Friday</t>
        </is>
      </c>
      <c r="C57" t="inlineStr">
        <is>
          <t>Week2-Sep-2025</t>
        </is>
      </c>
      <c r="D57" s="78" t="n">
        <v>45901</v>
      </c>
      <c r="E57" t="inlineStr">
        <is>
          <t>Q2FY26</t>
        </is>
      </c>
      <c r="F57" t="inlineStr">
        <is>
          <t>28-Oct-2025</t>
        </is>
      </c>
      <c r="G57" t="inlineStr">
        <is>
          <t>Tuesday</t>
        </is>
      </c>
      <c r="H57" t="inlineStr">
        <is>
          <t>Monthly - Tuesday</t>
        </is>
      </c>
      <c r="I57" t="inlineStr">
        <is>
          <t>Monthly - Tuesday</t>
        </is>
      </c>
      <c r="J57" t="inlineStr">
        <is>
          <t>Month+1 Expiry</t>
        </is>
      </c>
      <c r="K57" s="25" t="n">
        <v>42978</v>
      </c>
      <c r="L57" s="26" t="n">
        <v>83.00490000000001</v>
      </c>
      <c r="M57" s="26" t="n">
        <v>0.5669999999999999</v>
      </c>
    </row>
    <row r="58" ht="16" customHeight="1">
      <c r="A58" t="inlineStr">
        <is>
          <t>12-Sep-2025</t>
        </is>
      </c>
      <c r="B58" t="inlineStr">
        <is>
          <t>Friday</t>
        </is>
      </c>
      <c r="C58" t="inlineStr">
        <is>
          <t>Week2-Sep-2025</t>
        </is>
      </c>
      <c r="D58" s="78" t="n">
        <v>45901</v>
      </c>
      <c r="E58" t="inlineStr">
        <is>
          <t>Q2FY26</t>
        </is>
      </c>
      <c r="F58" t="inlineStr">
        <is>
          <t>25-Nov-2025</t>
        </is>
      </c>
      <c r="G58" t="inlineStr">
        <is>
          <t>Tuesday</t>
        </is>
      </c>
      <c r="H58" t="inlineStr">
        <is>
          <t>Monthly - Tuesday</t>
        </is>
      </c>
      <c r="I58" t="inlineStr">
        <is>
          <t>Monthly - Tuesday</t>
        </is>
      </c>
      <c r="J58" t="inlineStr">
        <is>
          <t>Month+2 Expiry</t>
        </is>
      </c>
      <c r="K58" s="25" t="n">
        <v>1864</v>
      </c>
      <c r="L58" s="26" t="n">
        <v>3.559</v>
      </c>
      <c r="M58" s="26" t="n">
        <v>0.0356</v>
      </c>
    </row>
    <row r="59" ht="16" customHeight="1">
      <c r="A59" t="inlineStr">
        <is>
          <t>12-Sep-2025</t>
        </is>
      </c>
      <c r="B59" t="inlineStr">
        <is>
          <t>Friday</t>
        </is>
      </c>
      <c r="C59" t="inlineStr">
        <is>
          <t>Week2-Sep-2025</t>
        </is>
      </c>
      <c r="D59" s="78" t="n">
        <v>45901</v>
      </c>
      <c r="E59" t="inlineStr">
        <is>
          <t>Q2FY26</t>
        </is>
      </c>
      <c r="F59" t="inlineStr">
        <is>
          <t>30-Dec-2025</t>
        </is>
      </c>
      <c r="G59" t="inlineStr">
        <is>
          <t>Tuesday</t>
        </is>
      </c>
      <c r="H59" t="inlineStr">
        <is>
          <t>Monthly - Tuesday</t>
        </is>
      </c>
      <c r="I59" t="inlineStr">
        <is>
          <t>Monthly - Tuesday</t>
        </is>
      </c>
      <c r="J59" t="inlineStr">
        <is>
          <t>Month+3 Expiry</t>
        </is>
      </c>
      <c r="K59" s="25" t="n">
        <v>2649</v>
      </c>
      <c r="L59" s="26" t="n">
        <v>5.2832</v>
      </c>
      <c r="M59" s="26" t="n">
        <v>0.0798</v>
      </c>
    </row>
    <row r="60" ht="16" customHeight="1">
      <c r="A60" t="inlineStr">
        <is>
          <t>12-Sep-2025</t>
        </is>
      </c>
      <c r="B60" t="inlineStr">
        <is>
          <t>Friday</t>
        </is>
      </c>
      <c r="C60" t="inlineStr">
        <is>
          <t>Week2-Sep-2025</t>
        </is>
      </c>
      <c r="D60" s="78" t="n">
        <v>45901</v>
      </c>
      <c r="E60" t="inlineStr">
        <is>
          <t>Q2FY26</t>
        </is>
      </c>
      <c r="F60" t="inlineStr">
        <is>
          <t>31-Mar-2026</t>
        </is>
      </c>
      <c r="G60" t="inlineStr">
        <is>
          <t>Tuesday</t>
        </is>
      </c>
      <c r="H60" t="inlineStr">
        <is>
          <t>Monthly - Tuesday</t>
        </is>
      </c>
      <c r="I60" t="inlineStr">
        <is>
          <t>Monthly - Tuesday</t>
        </is>
      </c>
      <c r="J60" t="inlineStr">
        <is>
          <t>Month+6 Expiry</t>
        </is>
      </c>
      <c r="K60" s="25" t="n">
        <v>35</v>
      </c>
      <c r="L60" s="26" t="n">
        <v>0.0742</v>
      </c>
      <c r="M60" s="26" t="n">
        <v>0.0009</v>
      </c>
    </row>
    <row r="61" ht="16" customHeight="1">
      <c r="A61" t="inlineStr">
        <is>
          <t>12-Sep-2025</t>
        </is>
      </c>
      <c r="B61" t="inlineStr">
        <is>
          <t>Friday</t>
        </is>
      </c>
      <c r="C61" t="inlineStr">
        <is>
          <t>Week2-Sep-2025</t>
        </is>
      </c>
      <c r="D61" s="78" t="n">
        <v>45901</v>
      </c>
      <c r="E61" t="inlineStr">
        <is>
          <t>Q2FY26</t>
        </is>
      </c>
      <c r="F61" t="inlineStr">
        <is>
          <t>30-Jun-2026</t>
        </is>
      </c>
      <c r="G61" t="inlineStr">
        <is>
          <t>Tuesday</t>
        </is>
      </c>
      <c r="H61" t="inlineStr">
        <is>
          <t>Monthly - Tuesday</t>
        </is>
      </c>
      <c r="I61" t="inlineStr">
        <is>
          <t>Monthly - Tuesday</t>
        </is>
      </c>
      <c r="J61" t="inlineStr">
        <is>
          <t>Month+9 Expiry</t>
        </is>
      </c>
      <c r="K61" s="25" t="n">
        <v>0</v>
      </c>
      <c r="L61" s="26" t="n">
        <v>0</v>
      </c>
      <c r="M61" s="26" t="n">
        <v>0</v>
      </c>
    </row>
    <row r="62" ht="16" customHeight="1">
      <c r="A62" t="inlineStr">
        <is>
          <t>15-Sep-2025</t>
        </is>
      </c>
      <c r="B62" t="inlineStr">
        <is>
          <t>Monday</t>
        </is>
      </c>
      <c r="C62" t="inlineStr">
        <is>
          <t>Week3-Sep-2025</t>
        </is>
      </c>
      <c r="D62" s="78" t="n">
        <v>45901</v>
      </c>
      <c r="E62" t="inlineStr">
        <is>
          <t>Q2FY26</t>
        </is>
      </c>
      <c r="F62" t="inlineStr">
        <is>
          <t>30-Sep-2025</t>
        </is>
      </c>
      <c r="G62" t="inlineStr">
        <is>
          <t>Tuesday</t>
        </is>
      </c>
      <c r="H62" t="inlineStr">
        <is>
          <t>Monthly - Tuesday</t>
        </is>
      </c>
      <c r="I62" t="inlineStr">
        <is>
          <t>Monthly - Tuesday</t>
        </is>
      </c>
      <c r="J62" t="inlineStr">
        <is>
          <t>Same Month Expiry</t>
        </is>
      </c>
      <c r="K62" s="25" t="n">
        <v>2447180</v>
      </c>
      <c r="L62" s="26" t="n">
        <v>4718.6186</v>
      </c>
      <c r="M62" s="26" t="n">
        <v>27.5124</v>
      </c>
    </row>
    <row r="63" ht="16" customHeight="1">
      <c r="A63" t="inlineStr">
        <is>
          <t>15-Sep-2025</t>
        </is>
      </c>
      <c r="B63" t="inlineStr">
        <is>
          <t>Monday</t>
        </is>
      </c>
      <c r="C63" t="inlineStr">
        <is>
          <t>Week3-Sep-2025</t>
        </is>
      </c>
      <c r="D63" s="78" t="n">
        <v>45901</v>
      </c>
      <c r="E63" t="inlineStr">
        <is>
          <t>Q2FY26</t>
        </is>
      </c>
      <c r="F63" t="inlineStr">
        <is>
          <t>28-Oct-2025</t>
        </is>
      </c>
      <c r="G63" t="inlineStr">
        <is>
          <t>Tuesday</t>
        </is>
      </c>
      <c r="H63" t="inlineStr">
        <is>
          <t>Monthly - Tuesday</t>
        </is>
      </c>
      <c r="I63" t="inlineStr">
        <is>
          <t>Monthly - Tuesday</t>
        </is>
      </c>
      <c r="J63" t="inlineStr">
        <is>
          <t>Month+1 Expiry</t>
        </is>
      </c>
      <c r="K63" s="25" t="n">
        <v>49449</v>
      </c>
      <c r="L63" s="26" t="n">
        <v>95.77760000000001</v>
      </c>
      <c r="M63" s="26" t="n">
        <v>0.8409</v>
      </c>
    </row>
    <row r="64" ht="16" customHeight="1">
      <c r="A64" t="inlineStr">
        <is>
          <t>15-Sep-2025</t>
        </is>
      </c>
      <c r="B64" t="inlineStr">
        <is>
          <t>Monday</t>
        </is>
      </c>
      <c r="C64" t="inlineStr">
        <is>
          <t>Week3-Sep-2025</t>
        </is>
      </c>
      <c r="D64" s="78" t="n">
        <v>45901</v>
      </c>
      <c r="E64" t="inlineStr">
        <is>
          <t>Q2FY26</t>
        </is>
      </c>
      <c r="F64" t="inlineStr">
        <is>
          <t>25-Nov-2025</t>
        </is>
      </c>
      <c r="G64" t="inlineStr">
        <is>
          <t>Tuesday</t>
        </is>
      </c>
      <c r="H64" t="inlineStr">
        <is>
          <t>Monthly - Tuesday</t>
        </is>
      </c>
      <c r="I64" t="inlineStr">
        <is>
          <t>Monthly - Tuesday</t>
        </is>
      </c>
      <c r="J64" t="inlineStr">
        <is>
          <t>Month+2 Expiry</t>
        </is>
      </c>
      <c r="K64" s="25" t="n">
        <v>2231</v>
      </c>
      <c r="L64" s="26" t="n">
        <v>4.2551</v>
      </c>
      <c r="M64" s="26" t="n">
        <v>0.0364</v>
      </c>
    </row>
    <row r="65" ht="16" customHeight="1">
      <c r="A65" t="inlineStr">
        <is>
          <t>15-Sep-2025</t>
        </is>
      </c>
      <c r="B65" t="inlineStr">
        <is>
          <t>Monday</t>
        </is>
      </c>
      <c r="C65" t="inlineStr">
        <is>
          <t>Week3-Sep-2025</t>
        </is>
      </c>
      <c r="D65" s="78" t="n">
        <v>45901</v>
      </c>
      <c r="E65" t="inlineStr">
        <is>
          <t>Q2FY26</t>
        </is>
      </c>
      <c r="F65" t="inlineStr">
        <is>
          <t>30-Dec-2025</t>
        </is>
      </c>
      <c r="G65" t="inlineStr">
        <is>
          <t>Tuesday</t>
        </is>
      </c>
      <c r="H65" t="inlineStr">
        <is>
          <t>Monthly - Tuesday</t>
        </is>
      </c>
      <c r="I65" t="inlineStr">
        <is>
          <t>Monthly - Tuesday</t>
        </is>
      </c>
      <c r="J65" t="inlineStr">
        <is>
          <t>Month+3 Expiry</t>
        </is>
      </c>
      <c r="K65" s="25" t="n">
        <v>1971</v>
      </c>
      <c r="L65" s="26" t="n">
        <v>3.9013</v>
      </c>
      <c r="M65" s="26" t="n">
        <v>0.0613</v>
      </c>
    </row>
    <row r="66" ht="16" customHeight="1">
      <c r="A66" t="inlineStr">
        <is>
          <t>15-Sep-2025</t>
        </is>
      </c>
      <c r="B66" t="inlineStr">
        <is>
          <t>Monday</t>
        </is>
      </c>
      <c r="C66" t="inlineStr">
        <is>
          <t>Week3-Sep-2025</t>
        </is>
      </c>
      <c r="D66" s="78" t="n">
        <v>45901</v>
      </c>
      <c r="E66" t="inlineStr">
        <is>
          <t>Q2FY26</t>
        </is>
      </c>
      <c r="F66" t="inlineStr">
        <is>
          <t>31-Mar-2026</t>
        </is>
      </c>
      <c r="G66" t="inlineStr">
        <is>
          <t>Tuesday</t>
        </is>
      </c>
      <c r="H66" t="inlineStr">
        <is>
          <t>Monthly - Tuesday</t>
        </is>
      </c>
      <c r="I66" t="inlineStr">
        <is>
          <t>Monthly - Tuesday</t>
        </is>
      </c>
      <c r="J66" t="inlineStr">
        <is>
          <t>Month+6 Expiry</t>
        </is>
      </c>
      <c r="K66" s="25" t="n">
        <v>16</v>
      </c>
      <c r="L66" s="26" t="n">
        <v>0.0331</v>
      </c>
      <c r="M66" s="26" t="n">
        <v>0.0008</v>
      </c>
    </row>
    <row r="67" ht="16" customHeight="1">
      <c r="A67" t="inlineStr">
        <is>
          <t>15-Sep-2025</t>
        </is>
      </c>
      <c r="B67" t="inlineStr">
        <is>
          <t>Monday</t>
        </is>
      </c>
      <c r="C67" t="inlineStr">
        <is>
          <t>Week3-Sep-2025</t>
        </is>
      </c>
      <c r="D67" s="78" t="n">
        <v>45901</v>
      </c>
      <c r="E67" t="inlineStr">
        <is>
          <t>Q2FY26</t>
        </is>
      </c>
      <c r="F67" t="inlineStr">
        <is>
          <t>30-Jun-2026</t>
        </is>
      </c>
      <c r="G67" t="inlineStr">
        <is>
          <t>Tuesday</t>
        </is>
      </c>
      <c r="H67" t="inlineStr">
        <is>
          <t>Monthly - Tuesday</t>
        </is>
      </c>
      <c r="I67" t="inlineStr">
        <is>
          <t>Monthly - Tuesday</t>
        </is>
      </c>
      <c r="J67" t="inlineStr">
        <is>
          <t>Month+9 Expiry</t>
        </is>
      </c>
      <c r="K67" s="25" t="n">
        <v>0</v>
      </c>
      <c r="L67" s="26" t="n">
        <v>0</v>
      </c>
      <c r="M67" s="26" t="n">
        <v>0</v>
      </c>
    </row>
    <row r="68" ht="16" customHeight="1">
      <c r="A68" t="inlineStr">
        <is>
          <t>16-Sep-2025</t>
        </is>
      </c>
      <c r="B68" t="inlineStr">
        <is>
          <t>Tuesday</t>
        </is>
      </c>
      <c r="C68" t="inlineStr">
        <is>
          <t>Week3-Sep-2025</t>
        </is>
      </c>
      <c r="D68" s="78" t="n">
        <v>45901</v>
      </c>
      <c r="E68" t="inlineStr">
        <is>
          <t>Q2FY26</t>
        </is>
      </c>
      <c r="F68" t="inlineStr">
        <is>
          <t>30-Sep-2025</t>
        </is>
      </c>
      <c r="G68" t="inlineStr">
        <is>
          <t>Tuesday</t>
        </is>
      </c>
      <c r="H68" t="inlineStr">
        <is>
          <t>Monthly - Tuesday</t>
        </is>
      </c>
      <c r="I68" t="inlineStr">
        <is>
          <t>Monthly - Tuesday</t>
        </is>
      </c>
      <c r="J68" t="inlineStr">
        <is>
          <t>Same Month Expiry</t>
        </is>
      </c>
      <c r="K68" s="25" t="n">
        <v>2920520</v>
      </c>
      <c r="L68" s="26" t="n">
        <v>5633.0641</v>
      </c>
      <c r="M68" s="26" t="n">
        <v>30.7542</v>
      </c>
    </row>
    <row r="69" ht="16" customHeight="1">
      <c r="A69" t="inlineStr">
        <is>
          <t>16-Sep-2025</t>
        </is>
      </c>
      <c r="B69" t="inlineStr">
        <is>
          <t>Tuesday</t>
        </is>
      </c>
      <c r="C69" t="inlineStr">
        <is>
          <t>Week3-Sep-2025</t>
        </is>
      </c>
      <c r="D69" s="78" t="n">
        <v>45901</v>
      </c>
      <c r="E69" t="inlineStr">
        <is>
          <t>Q2FY26</t>
        </is>
      </c>
      <c r="F69" t="inlineStr">
        <is>
          <t>28-Oct-2025</t>
        </is>
      </c>
      <c r="G69" t="inlineStr">
        <is>
          <t>Tuesday</t>
        </is>
      </c>
      <c r="H69" t="inlineStr">
        <is>
          <t>Monthly - Tuesday</t>
        </is>
      </c>
      <c r="I69" t="inlineStr">
        <is>
          <t>Monthly - Tuesday</t>
        </is>
      </c>
      <c r="J69" t="inlineStr">
        <is>
          <t>Month+1 Expiry</t>
        </is>
      </c>
      <c r="K69" s="25" t="n">
        <v>105859</v>
      </c>
      <c r="L69" s="26" t="n">
        <v>207.9988</v>
      </c>
      <c r="M69" s="26" t="n">
        <v>2.0344</v>
      </c>
    </row>
    <row r="70" ht="16" customHeight="1">
      <c r="A70" t="inlineStr">
        <is>
          <t>16-Sep-2025</t>
        </is>
      </c>
      <c r="B70" t="inlineStr">
        <is>
          <t>Tuesday</t>
        </is>
      </c>
      <c r="C70" t="inlineStr">
        <is>
          <t>Week3-Sep-2025</t>
        </is>
      </c>
      <c r="D70" s="78" t="n">
        <v>45901</v>
      </c>
      <c r="E70" t="inlineStr">
        <is>
          <t>Q2FY26</t>
        </is>
      </c>
      <c r="F70" t="inlineStr">
        <is>
          <t>25-Nov-2025</t>
        </is>
      </c>
      <c r="G70" t="inlineStr">
        <is>
          <t>Tuesday</t>
        </is>
      </c>
      <c r="H70" t="inlineStr">
        <is>
          <t>Monthly - Tuesday</t>
        </is>
      </c>
      <c r="I70" t="inlineStr">
        <is>
          <t>Monthly - Tuesday</t>
        </is>
      </c>
      <c r="J70" t="inlineStr">
        <is>
          <t>Month+2 Expiry</t>
        </is>
      </c>
      <c r="K70" s="25" t="n">
        <v>2986</v>
      </c>
      <c r="L70" s="26" t="n">
        <v>5.7989</v>
      </c>
      <c r="M70" s="26" t="n">
        <v>0.0635</v>
      </c>
    </row>
    <row r="71" ht="16" customHeight="1">
      <c r="A71" t="inlineStr">
        <is>
          <t>16-Sep-2025</t>
        </is>
      </c>
      <c r="B71" t="inlineStr">
        <is>
          <t>Tuesday</t>
        </is>
      </c>
      <c r="C71" t="inlineStr">
        <is>
          <t>Week3-Sep-2025</t>
        </is>
      </c>
      <c r="D71" s="78" t="n">
        <v>45901</v>
      </c>
      <c r="E71" t="inlineStr">
        <is>
          <t>Q2FY26</t>
        </is>
      </c>
      <c r="F71" t="inlineStr">
        <is>
          <t>30-Dec-2025</t>
        </is>
      </c>
      <c r="G71" t="inlineStr">
        <is>
          <t>Tuesday</t>
        </is>
      </c>
      <c r="H71" t="inlineStr">
        <is>
          <t>Monthly - Tuesday</t>
        </is>
      </c>
      <c r="I71" t="inlineStr">
        <is>
          <t>Monthly - Tuesday</t>
        </is>
      </c>
      <c r="J71" t="inlineStr">
        <is>
          <t>Month+3 Expiry</t>
        </is>
      </c>
      <c r="K71" s="25" t="n">
        <v>2875</v>
      </c>
      <c r="L71" s="26" t="n">
        <v>5.6326</v>
      </c>
      <c r="M71" s="26" t="n">
        <v>0.082</v>
      </c>
    </row>
    <row r="72" ht="16" customHeight="1">
      <c r="A72" t="inlineStr">
        <is>
          <t>16-Sep-2025</t>
        </is>
      </c>
      <c r="B72" t="inlineStr">
        <is>
          <t>Tuesday</t>
        </is>
      </c>
      <c r="C72" t="inlineStr">
        <is>
          <t>Week3-Sep-2025</t>
        </is>
      </c>
      <c r="D72" s="78" t="n">
        <v>45901</v>
      </c>
      <c r="E72" t="inlineStr">
        <is>
          <t>Q2FY26</t>
        </is>
      </c>
      <c r="F72" t="inlineStr">
        <is>
          <t>31-Mar-2026</t>
        </is>
      </c>
      <c r="G72" t="inlineStr">
        <is>
          <t>Tuesday</t>
        </is>
      </c>
      <c r="H72" t="inlineStr">
        <is>
          <t>Monthly - Tuesday</t>
        </is>
      </c>
      <c r="I72" t="inlineStr">
        <is>
          <t>Monthly - Tuesday</t>
        </is>
      </c>
      <c r="J72" t="inlineStr">
        <is>
          <t>Month+6 Expiry</t>
        </is>
      </c>
      <c r="K72" s="25" t="n">
        <v>24</v>
      </c>
      <c r="L72" s="26" t="n">
        <v>0.0504</v>
      </c>
      <c r="M72" s="26" t="n">
        <v>0.001</v>
      </c>
    </row>
    <row r="73" ht="16" customHeight="1">
      <c r="A73" t="inlineStr">
        <is>
          <t>16-Sep-2025</t>
        </is>
      </c>
      <c r="B73" t="inlineStr">
        <is>
          <t>Tuesday</t>
        </is>
      </c>
      <c r="C73" t="inlineStr">
        <is>
          <t>Week3-Sep-2025</t>
        </is>
      </c>
      <c r="D73" s="78" t="n">
        <v>45901</v>
      </c>
      <c r="E73" t="inlineStr">
        <is>
          <t>Q2FY26</t>
        </is>
      </c>
      <c r="F73" t="inlineStr">
        <is>
          <t>30-Jun-2026</t>
        </is>
      </c>
      <c r="G73" t="inlineStr">
        <is>
          <t>Tuesday</t>
        </is>
      </c>
      <c r="H73" t="inlineStr">
        <is>
          <t>Monthly - Tuesday</t>
        </is>
      </c>
      <c r="I73" t="inlineStr">
        <is>
          <t>Monthly - Tuesday</t>
        </is>
      </c>
      <c r="J73" t="inlineStr">
        <is>
          <t>Month+9 Expiry</t>
        </is>
      </c>
      <c r="K73" s="25" t="n">
        <v>0</v>
      </c>
      <c r="L73" s="26" t="n">
        <v>0</v>
      </c>
      <c r="M73" s="26" t="n">
        <v>0</v>
      </c>
    </row>
    <row r="74" ht="16" customHeight="1">
      <c r="A74" t="inlineStr">
        <is>
          <t>17-Sep-2025</t>
        </is>
      </c>
      <c r="B74" t="inlineStr">
        <is>
          <t>Wednesday</t>
        </is>
      </c>
      <c r="C74" t="inlineStr">
        <is>
          <t>Week3-Sep-2025</t>
        </is>
      </c>
      <c r="D74" s="78" t="n">
        <v>45901</v>
      </c>
      <c r="E74" t="inlineStr">
        <is>
          <t>Q2FY26</t>
        </is>
      </c>
      <c r="F74" t="inlineStr">
        <is>
          <t>30-Sep-2025</t>
        </is>
      </c>
      <c r="G74" t="inlineStr">
        <is>
          <t>Tuesday</t>
        </is>
      </c>
      <c r="H74" t="inlineStr">
        <is>
          <t>Monthly - Tuesday</t>
        </is>
      </c>
      <c r="I74" t="inlineStr">
        <is>
          <t>Monthly - Tuesday</t>
        </is>
      </c>
      <c r="J74" t="inlineStr">
        <is>
          <t>Same Month Expiry</t>
        </is>
      </c>
      <c r="K74" s="25" t="n">
        <v>3892571</v>
      </c>
      <c r="L74" s="26" t="n">
        <v>7563.0427</v>
      </c>
      <c r="M74" s="26" t="n">
        <v>37.891</v>
      </c>
    </row>
    <row r="75" ht="16" customHeight="1">
      <c r="A75" t="inlineStr">
        <is>
          <t>17-Sep-2025</t>
        </is>
      </c>
      <c r="B75" t="inlineStr">
        <is>
          <t>Wednesday</t>
        </is>
      </c>
      <c r="C75" t="inlineStr">
        <is>
          <t>Week3-Sep-2025</t>
        </is>
      </c>
      <c r="D75" s="78" t="n">
        <v>45901</v>
      </c>
      <c r="E75" t="inlineStr">
        <is>
          <t>Q2FY26</t>
        </is>
      </c>
      <c r="F75" t="inlineStr">
        <is>
          <t>28-Oct-2025</t>
        </is>
      </c>
      <c r="G75" t="inlineStr">
        <is>
          <t>Tuesday</t>
        </is>
      </c>
      <c r="H75" t="inlineStr">
        <is>
          <t>Monthly - Tuesday</t>
        </is>
      </c>
      <c r="I75" t="inlineStr">
        <is>
          <t>Monthly - Tuesday</t>
        </is>
      </c>
      <c r="J75" t="inlineStr">
        <is>
          <t>Month+1 Expiry</t>
        </is>
      </c>
      <c r="K75" s="25" t="n">
        <v>157463</v>
      </c>
      <c r="L75" s="26" t="n">
        <v>310.3593</v>
      </c>
      <c r="M75" s="26" t="n">
        <v>2.7607</v>
      </c>
    </row>
    <row r="76" ht="16" customHeight="1">
      <c r="A76" t="inlineStr">
        <is>
          <t>17-Sep-2025</t>
        </is>
      </c>
      <c r="B76" t="inlineStr">
        <is>
          <t>Wednesday</t>
        </is>
      </c>
      <c r="C76" t="inlineStr">
        <is>
          <t>Week3-Sep-2025</t>
        </is>
      </c>
      <c r="D76" s="78" t="n">
        <v>45901</v>
      </c>
      <c r="E76" t="inlineStr">
        <is>
          <t>Q2FY26</t>
        </is>
      </c>
      <c r="F76" t="inlineStr">
        <is>
          <t>25-Nov-2025</t>
        </is>
      </c>
      <c r="G76" t="inlineStr">
        <is>
          <t>Tuesday</t>
        </is>
      </c>
      <c r="H76" t="inlineStr">
        <is>
          <t>Monthly - Tuesday</t>
        </is>
      </c>
      <c r="I76" t="inlineStr">
        <is>
          <t>Monthly - Tuesday</t>
        </is>
      </c>
      <c r="J76" t="inlineStr">
        <is>
          <t>Month+2 Expiry</t>
        </is>
      </c>
      <c r="K76" s="25" t="n">
        <v>3342</v>
      </c>
      <c r="L76" s="26" t="n">
        <v>6.4662</v>
      </c>
      <c r="M76" s="26" t="n">
        <v>0.07389999999999999</v>
      </c>
    </row>
    <row r="77" ht="16" customHeight="1">
      <c r="A77" t="inlineStr">
        <is>
          <t>17-Sep-2025</t>
        </is>
      </c>
      <c r="B77" t="inlineStr">
        <is>
          <t>Wednesday</t>
        </is>
      </c>
      <c r="C77" t="inlineStr">
        <is>
          <t>Week3-Sep-2025</t>
        </is>
      </c>
      <c r="D77" s="78" t="n">
        <v>45901</v>
      </c>
      <c r="E77" t="inlineStr">
        <is>
          <t>Q2FY26</t>
        </is>
      </c>
      <c r="F77" t="inlineStr">
        <is>
          <t>30-Dec-2025</t>
        </is>
      </c>
      <c r="G77" t="inlineStr">
        <is>
          <t>Tuesday</t>
        </is>
      </c>
      <c r="H77" t="inlineStr">
        <is>
          <t>Monthly - Tuesday</t>
        </is>
      </c>
      <c r="I77" t="inlineStr">
        <is>
          <t>Monthly - Tuesday</t>
        </is>
      </c>
      <c r="J77" t="inlineStr">
        <is>
          <t>Month+3 Expiry</t>
        </is>
      </c>
      <c r="K77" s="25" t="n">
        <v>4108</v>
      </c>
      <c r="L77" s="26" t="n">
        <v>8.145</v>
      </c>
      <c r="M77" s="26" t="n">
        <v>0.1127</v>
      </c>
    </row>
    <row r="78" ht="16" customHeight="1">
      <c r="A78" t="inlineStr">
        <is>
          <t>17-Sep-2025</t>
        </is>
      </c>
      <c r="B78" t="inlineStr">
        <is>
          <t>Wednesday</t>
        </is>
      </c>
      <c r="C78" t="inlineStr">
        <is>
          <t>Week3-Sep-2025</t>
        </is>
      </c>
      <c r="D78" s="78" t="n">
        <v>45901</v>
      </c>
      <c r="E78" t="inlineStr">
        <is>
          <t>Q2FY26</t>
        </is>
      </c>
      <c r="F78" t="inlineStr">
        <is>
          <t>31-Mar-2026</t>
        </is>
      </c>
      <c r="G78" t="inlineStr">
        <is>
          <t>Tuesday</t>
        </is>
      </c>
      <c r="H78" t="inlineStr">
        <is>
          <t>Monthly - Tuesday</t>
        </is>
      </c>
      <c r="I78" t="inlineStr">
        <is>
          <t>Monthly - Tuesday</t>
        </is>
      </c>
      <c r="J78" t="inlineStr">
        <is>
          <t>Month+6 Expiry</t>
        </is>
      </c>
      <c r="K78" s="25" t="n">
        <v>70</v>
      </c>
      <c r="L78" s="26" t="n">
        <v>0.1459</v>
      </c>
      <c r="M78" s="26" t="n">
        <v>0.0034</v>
      </c>
    </row>
    <row r="79" ht="16" customHeight="1">
      <c r="A79" t="inlineStr">
        <is>
          <t>17-Sep-2025</t>
        </is>
      </c>
      <c r="B79" t="inlineStr">
        <is>
          <t>Wednesday</t>
        </is>
      </c>
      <c r="C79" t="inlineStr">
        <is>
          <t>Week3-Sep-2025</t>
        </is>
      </c>
      <c r="D79" s="78" t="n">
        <v>45901</v>
      </c>
      <c r="E79" t="inlineStr">
        <is>
          <t>Q2FY26</t>
        </is>
      </c>
      <c r="F79" t="inlineStr">
        <is>
          <t>30-Jun-2026</t>
        </is>
      </c>
      <c r="G79" t="inlineStr">
        <is>
          <t>Tuesday</t>
        </is>
      </c>
      <c r="H79" t="inlineStr">
        <is>
          <t>Monthly - Tuesday</t>
        </is>
      </c>
      <c r="I79" t="inlineStr">
        <is>
          <t>Monthly - Tuesday</t>
        </is>
      </c>
      <c r="J79" t="inlineStr">
        <is>
          <t>Month+9 Expiry</t>
        </is>
      </c>
      <c r="K79" s="25" t="n">
        <v>0</v>
      </c>
      <c r="L79" s="26" t="n">
        <v>0</v>
      </c>
      <c r="M79" s="26" t="n">
        <v>0</v>
      </c>
    </row>
    <row r="80" ht="16" customHeight="1">
      <c r="A80" t="inlineStr">
        <is>
          <t>18-Sep-2025</t>
        </is>
      </c>
      <c r="B80" t="inlineStr">
        <is>
          <t>Thursday</t>
        </is>
      </c>
      <c r="C80" t="inlineStr">
        <is>
          <t>Week3-Sep-2025</t>
        </is>
      </c>
      <c r="D80" s="78" t="n">
        <v>45901</v>
      </c>
      <c r="E80" t="inlineStr">
        <is>
          <t>Q2FY26</t>
        </is>
      </c>
      <c r="F80" t="inlineStr">
        <is>
          <t>30-Sep-2025</t>
        </is>
      </c>
      <c r="G80" t="inlineStr">
        <is>
          <t>Tuesday</t>
        </is>
      </c>
      <c r="H80" t="inlineStr">
        <is>
          <t>Monthly - Tuesday</t>
        </is>
      </c>
      <c r="I80" t="inlineStr">
        <is>
          <t>Monthly - Tuesday</t>
        </is>
      </c>
      <c r="J80" t="inlineStr">
        <is>
          <t>Same Month Expiry</t>
        </is>
      </c>
      <c r="K80" s="25" t="n">
        <v>4534462</v>
      </c>
      <c r="L80" s="26" t="n">
        <v>8811.864299999999</v>
      </c>
      <c r="M80" s="26" t="n">
        <v>42.1655</v>
      </c>
    </row>
    <row r="81" ht="16" customHeight="1">
      <c r="A81" t="inlineStr">
        <is>
          <t>18-Sep-2025</t>
        </is>
      </c>
      <c r="B81" t="inlineStr">
        <is>
          <t>Thursday</t>
        </is>
      </c>
      <c r="C81" t="inlineStr">
        <is>
          <t>Week3-Sep-2025</t>
        </is>
      </c>
      <c r="D81" s="78" t="n">
        <v>45901</v>
      </c>
      <c r="E81" t="inlineStr">
        <is>
          <t>Q2FY26</t>
        </is>
      </c>
      <c r="F81" t="inlineStr">
        <is>
          <t>28-Oct-2025</t>
        </is>
      </c>
      <c r="G81" t="inlineStr">
        <is>
          <t>Tuesday</t>
        </is>
      </c>
      <c r="H81" t="inlineStr">
        <is>
          <t>Monthly - Tuesday</t>
        </is>
      </c>
      <c r="I81" t="inlineStr">
        <is>
          <t>Monthly - Tuesday</t>
        </is>
      </c>
      <c r="J81" t="inlineStr">
        <is>
          <t>Month+1 Expiry</t>
        </is>
      </c>
      <c r="K81" s="25" t="n">
        <v>131399</v>
      </c>
      <c r="L81" s="26" t="n">
        <v>258.2649</v>
      </c>
      <c r="M81" s="26" t="n">
        <v>2.2279</v>
      </c>
    </row>
    <row r="82" ht="16" customHeight="1">
      <c r="A82" t="inlineStr">
        <is>
          <t>18-Sep-2025</t>
        </is>
      </c>
      <c r="B82" t="inlineStr">
        <is>
          <t>Thursday</t>
        </is>
      </c>
      <c r="C82" t="inlineStr">
        <is>
          <t>Week3-Sep-2025</t>
        </is>
      </c>
      <c r="D82" s="78" t="n">
        <v>45901</v>
      </c>
      <c r="E82" t="inlineStr">
        <is>
          <t>Q2FY26</t>
        </is>
      </c>
      <c r="F82" t="inlineStr">
        <is>
          <t>25-Nov-2025</t>
        </is>
      </c>
      <c r="G82" t="inlineStr">
        <is>
          <t>Tuesday</t>
        </is>
      </c>
      <c r="H82" t="inlineStr">
        <is>
          <t>Monthly - Tuesday</t>
        </is>
      </c>
      <c r="I82" t="inlineStr">
        <is>
          <t>Monthly - Tuesday</t>
        </is>
      </c>
      <c r="J82" t="inlineStr">
        <is>
          <t>Month+2 Expiry</t>
        </is>
      </c>
      <c r="K82" s="25" t="n">
        <v>4016</v>
      </c>
      <c r="L82" s="26" t="n">
        <v>7.785</v>
      </c>
      <c r="M82" s="26" t="n">
        <v>0.0839</v>
      </c>
    </row>
    <row r="83" ht="16" customHeight="1">
      <c r="A83" t="inlineStr">
        <is>
          <t>18-Sep-2025</t>
        </is>
      </c>
      <c r="B83" t="inlineStr">
        <is>
          <t>Thursday</t>
        </is>
      </c>
      <c r="C83" t="inlineStr">
        <is>
          <t>Week3-Sep-2025</t>
        </is>
      </c>
      <c r="D83" s="78" t="n">
        <v>45901</v>
      </c>
      <c r="E83" t="inlineStr">
        <is>
          <t>Q2FY26</t>
        </is>
      </c>
      <c r="F83" t="inlineStr">
        <is>
          <t>30-Dec-2025</t>
        </is>
      </c>
      <c r="G83" t="inlineStr">
        <is>
          <t>Tuesday</t>
        </is>
      </c>
      <c r="H83" t="inlineStr">
        <is>
          <t>Monthly - Tuesday</t>
        </is>
      </c>
      <c r="I83" t="inlineStr">
        <is>
          <t>Monthly - Tuesday</t>
        </is>
      </c>
      <c r="J83" t="inlineStr">
        <is>
          <t>Month+3 Expiry</t>
        </is>
      </c>
      <c r="K83" s="25" t="n">
        <v>4726</v>
      </c>
      <c r="L83" s="26" t="n">
        <v>9.3294</v>
      </c>
      <c r="M83" s="26" t="n">
        <v>0.1185</v>
      </c>
    </row>
    <row r="84" ht="16" customHeight="1">
      <c r="A84" t="inlineStr">
        <is>
          <t>18-Sep-2025</t>
        </is>
      </c>
      <c r="B84" t="inlineStr">
        <is>
          <t>Thursday</t>
        </is>
      </c>
      <c r="C84" t="inlineStr">
        <is>
          <t>Week3-Sep-2025</t>
        </is>
      </c>
      <c r="D84" s="78" t="n">
        <v>45901</v>
      </c>
      <c r="E84" t="inlineStr">
        <is>
          <t>Q2FY26</t>
        </is>
      </c>
      <c r="F84" t="inlineStr">
        <is>
          <t>31-Mar-2026</t>
        </is>
      </c>
      <c r="G84" t="inlineStr">
        <is>
          <t>Tuesday</t>
        </is>
      </c>
      <c r="H84" t="inlineStr">
        <is>
          <t>Monthly - Tuesday</t>
        </is>
      </c>
      <c r="I84" t="inlineStr">
        <is>
          <t>Monthly - Tuesday</t>
        </is>
      </c>
      <c r="J84" t="inlineStr">
        <is>
          <t>Month+6 Expiry</t>
        </is>
      </c>
      <c r="K84" s="25" t="n">
        <v>155</v>
      </c>
      <c r="L84" s="26" t="n">
        <v>0.3239</v>
      </c>
      <c r="M84" s="26" t="n">
        <v>0.0078</v>
      </c>
    </row>
    <row r="85" ht="16" customHeight="1">
      <c r="A85" t="inlineStr">
        <is>
          <t>18-Sep-2025</t>
        </is>
      </c>
      <c r="B85" t="inlineStr">
        <is>
          <t>Thursday</t>
        </is>
      </c>
      <c r="C85" t="inlineStr">
        <is>
          <t>Week3-Sep-2025</t>
        </is>
      </c>
      <c r="D85" s="78" t="n">
        <v>45901</v>
      </c>
      <c r="E85" t="inlineStr">
        <is>
          <t>Q2FY26</t>
        </is>
      </c>
      <c r="F85" t="inlineStr">
        <is>
          <t>30-Jun-2026</t>
        </is>
      </c>
      <c r="G85" t="inlineStr">
        <is>
          <t>Tuesday</t>
        </is>
      </c>
      <c r="H85" t="inlineStr">
        <is>
          <t>Monthly - Tuesday</t>
        </is>
      </c>
      <c r="I85" t="inlineStr">
        <is>
          <t>Monthly - Tuesday</t>
        </is>
      </c>
      <c r="J85" t="inlineStr">
        <is>
          <t>Month+9 Expiry</t>
        </is>
      </c>
      <c r="K85" s="25" t="n">
        <v>0</v>
      </c>
      <c r="L85" s="26" t="n">
        <v>0</v>
      </c>
      <c r="M85" s="26" t="n">
        <v>0</v>
      </c>
    </row>
    <row r="86" ht="16" customHeight="1">
      <c r="A86" t="inlineStr">
        <is>
          <t>19-Sep-2025</t>
        </is>
      </c>
      <c r="B86" t="inlineStr">
        <is>
          <t>Friday</t>
        </is>
      </c>
      <c r="C86" t="inlineStr">
        <is>
          <t>Week3-Sep-2025</t>
        </is>
      </c>
      <c r="D86" s="78" t="n">
        <v>45901</v>
      </c>
      <c r="E86" t="inlineStr">
        <is>
          <t>Q2FY26</t>
        </is>
      </c>
      <c r="F86" t="inlineStr">
        <is>
          <t>30-Sep-2025</t>
        </is>
      </c>
      <c r="G86" t="inlineStr">
        <is>
          <t>Tuesday</t>
        </is>
      </c>
      <c r="H86" t="inlineStr">
        <is>
          <t>Monthly - Tuesday</t>
        </is>
      </c>
      <c r="I86" t="inlineStr">
        <is>
          <t>Monthly - Tuesday</t>
        </is>
      </c>
      <c r="J86" t="inlineStr">
        <is>
          <t>Same Month Expiry</t>
        </is>
      </c>
      <c r="K86" s="25" t="n">
        <v>4276939</v>
      </c>
      <c r="L86" s="26" t="n">
        <v>8294.0682</v>
      </c>
      <c r="M86" s="26" t="n">
        <v>37.6788</v>
      </c>
    </row>
    <row r="87" ht="16" customHeight="1">
      <c r="A87" t="inlineStr">
        <is>
          <t>19-Sep-2025</t>
        </is>
      </c>
      <c r="B87" t="inlineStr">
        <is>
          <t>Friday</t>
        </is>
      </c>
      <c r="C87" t="inlineStr">
        <is>
          <t>Week3-Sep-2025</t>
        </is>
      </c>
      <c r="D87" s="78" t="n">
        <v>45901</v>
      </c>
      <c r="E87" t="inlineStr">
        <is>
          <t>Q2FY26</t>
        </is>
      </c>
      <c r="F87" t="inlineStr">
        <is>
          <t>28-Oct-2025</t>
        </is>
      </c>
      <c r="G87" t="inlineStr">
        <is>
          <t>Tuesday</t>
        </is>
      </c>
      <c r="H87" t="inlineStr">
        <is>
          <t>Monthly - Tuesday</t>
        </is>
      </c>
      <c r="I87" t="inlineStr">
        <is>
          <t>Monthly - Tuesday</t>
        </is>
      </c>
      <c r="J87" t="inlineStr">
        <is>
          <t>Month+1 Expiry</t>
        </is>
      </c>
      <c r="K87" s="25" t="n">
        <v>95212</v>
      </c>
      <c r="L87" s="26" t="n">
        <v>186.6725</v>
      </c>
      <c r="M87" s="26" t="n">
        <v>1.5823</v>
      </c>
    </row>
    <row r="88" ht="16" customHeight="1">
      <c r="A88" t="inlineStr">
        <is>
          <t>19-Sep-2025</t>
        </is>
      </c>
      <c r="B88" t="inlineStr">
        <is>
          <t>Friday</t>
        </is>
      </c>
      <c r="C88" t="inlineStr">
        <is>
          <t>Week3-Sep-2025</t>
        </is>
      </c>
      <c r="D88" s="78" t="n">
        <v>45901</v>
      </c>
      <c r="E88" t="inlineStr">
        <is>
          <t>Q2FY26</t>
        </is>
      </c>
      <c r="F88" t="inlineStr">
        <is>
          <t>25-Nov-2025</t>
        </is>
      </c>
      <c r="G88" t="inlineStr">
        <is>
          <t>Tuesday</t>
        </is>
      </c>
      <c r="H88" t="inlineStr">
        <is>
          <t>Monthly - Tuesday</t>
        </is>
      </c>
      <c r="I88" t="inlineStr">
        <is>
          <t>Monthly - Tuesday</t>
        </is>
      </c>
      <c r="J88" t="inlineStr">
        <is>
          <t>Month+2 Expiry</t>
        </is>
      </c>
      <c r="K88" s="25" t="n">
        <v>2021</v>
      </c>
      <c r="L88" s="26" t="n">
        <v>3.9345</v>
      </c>
      <c r="M88" s="26" t="n">
        <v>0.0393</v>
      </c>
    </row>
    <row r="89" ht="16" customHeight="1">
      <c r="A89" t="inlineStr">
        <is>
          <t>19-Sep-2025</t>
        </is>
      </c>
      <c r="B89" t="inlineStr">
        <is>
          <t>Friday</t>
        </is>
      </c>
      <c r="C89" t="inlineStr">
        <is>
          <t>Week3-Sep-2025</t>
        </is>
      </c>
      <c r="D89" s="78" t="n">
        <v>45901</v>
      </c>
      <c r="E89" t="inlineStr">
        <is>
          <t>Q2FY26</t>
        </is>
      </c>
      <c r="F89" t="inlineStr">
        <is>
          <t>30-Dec-2025</t>
        </is>
      </c>
      <c r="G89" t="inlineStr">
        <is>
          <t>Tuesday</t>
        </is>
      </c>
      <c r="H89" t="inlineStr">
        <is>
          <t>Monthly - Tuesday</t>
        </is>
      </c>
      <c r="I89" t="inlineStr">
        <is>
          <t>Monthly - Tuesday</t>
        </is>
      </c>
      <c r="J89" t="inlineStr">
        <is>
          <t>Month+3 Expiry</t>
        </is>
      </c>
      <c r="K89" s="25" t="n">
        <v>1793</v>
      </c>
      <c r="L89" s="26" t="n">
        <v>3.5728</v>
      </c>
      <c r="M89" s="26" t="n">
        <v>0.0472</v>
      </c>
    </row>
    <row r="90" ht="16" customHeight="1">
      <c r="A90" t="inlineStr">
        <is>
          <t>19-Sep-2025</t>
        </is>
      </c>
      <c r="B90" t="inlineStr">
        <is>
          <t>Friday</t>
        </is>
      </c>
      <c r="C90" t="inlineStr">
        <is>
          <t>Week3-Sep-2025</t>
        </is>
      </c>
      <c r="D90" s="78" t="n">
        <v>45901</v>
      </c>
      <c r="E90" t="inlineStr">
        <is>
          <t>Q2FY26</t>
        </is>
      </c>
      <c r="F90" t="inlineStr">
        <is>
          <t>31-Mar-2026</t>
        </is>
      </c>
      <c r="G90" t="inlineStr">
        <is>
          <t>Tuesday</t>
        </is>
      </c>
      <c r="H90" t="inlineStr">
        <is>
          <t>Monthly - Tuesday</t>
        </is>
      </c>
      <c r="I90" t="inlineStr">
        <is>
          <t>Monthly - Tuesday</t>
        </is>
      </c>
      <c r="J90" t="inlineStr">
        <is>
          <t>Month+6 Expiry</t>
        </is>
      </c>
      <c r="K90" s="25" t="n">
        <v>87</v>
      </c>
      <c r="L90" s="26" t="n">
        <v>0.1816</v>
      </c>
      <c r="M90" s="26" t="n">
        <v>0.0044</v>
      </c>
    </row>
    <row r="91" ht="16" customHeight="1">
      <c r="A91" t="inlineStr">
        <is>
          <t>19-Sep-2025</t>
        </is>
      </c>
      <c r="B91" t="inlineStr">
        <is>
          <t>Friday</t>
        </is>
      </c>
      <c r="C91" t="inlineStr">
        <is>
          <t>Week3-Sep-2025</t>
        </is>
      </c>
      <c r="D91" s="78" t="n">
        <v>45901</v>
      </c>
      <c r="E91" t="inlineStr">
        <is>
          <t>Q2FY26</t>
        </is>
      </c>
      <c r="F91" t="inlineStr">
        <is>
          <t>30-Jun-2026</t>
        </is>
      </c>
      <c r="G91" t="inlineStr">
        <is>
          <t>Tuesday</t>
        </is>
      </c>
      <c r="H91" t="inlineStr">
        <is>
          <t>Monthly - Tuesday</t>
        </is>
      </c>
      <c r="I91" t="inlineStr">
        <is>
          <t>Monthly - Tuesday</t>
        </is>
      </c>
      <c r="J91" t="inlineStr">
        <is>
          <t>Month+9 Expiry</t>
        </is>
      </c>
      <c r="K91" s="25" t="n">
        <v>0</v>
      </c>
      <c r="L91" s="26" t="n">
        <v>0</v>
      </c>
      <c r="M91" s="26" t="n">
        <v>0</v>
      </c>
    </row>
    <row r="92" ht="16" customHeight="1">
      <c r="A92" t="inlineStr">
        <is>
          <t>22-Sep-2025</t>
        </is>
      </c>
      <c r="B92" t="inlineStr">
        <is>
          <t>Monday</t>
        </is>
      </c>
      <c r="C92" t="inlineStr">
        <is>
          <t>Week4-Sep-2025</t>
        </is>
      </c>
      <c r="D92" s="78" t="n">
        <v>45901</v>
      </c>
      <c r="E92" t="inlineStr">
        <is>
          <t>Q2FY26</t>
        </is>
      </c>
      <c r="F92" t="inlineStr">
        <is>
          <t>30-Sep-2025</t>
        </is>
      </c>
      <c r="G92" t="inlineStr">
        <is>
          <t>Tuesday</t>
        </is>
      </c>
      <c r="H92" t="inlineStr">
        <is>
          <t>Monthly - Tuesday</t>
        </is>
      </c>
      <c r="I92" t="inlineStr">
        <is>
          <t>Monthly - Tuesday</t>
        </is>
      </c>
      <c r="J92" t="inlineStr">
        <is>
          <t>Same Month Expiry</t>
        </is>
      </c>
      <c r="K92" s="25" t="n">
        <v>4695908</v>
      </c>
      <c r="L92" s="26" t="n">
        <v>9110.084500000001</v>
      </c>
      <c r="M92" s="26" t="n">
        <v>38.4408</v>
      </c>
    </row>
    <row r="93" ht="16" customHeight="1">
      <c r="A93" t="inlineStr">
        <is>
          <t>22-Sep-2025</t>
        </is>
      </c>
      <c r="B93" t="inlineStr">
        <is>
          <t>Monday</t>
        </is>
      </c>
      <c r="C93" t="inlineStr">
        <is>
          <t>Week4-Sep-2025</t>
        </is>
      </c>
      <c r="D93" s="78" t="n">
        <v>45901</v>
      </c>
      <c r="E93" t="inlineStr">
        <is>
          <t>Q2FY26</t>
        </is>
      </c>
      <c r="F93" t="inlineStr">
        <is>
          <t>28-Oct-2025</t>
        </is>
      </c>
      <c r="G93" t="inlineStr">
        <is>
          <t>Tuesday</t>
        </is>
      </c>
      <c r="H93" t="inlineStr">
        <is>
          <t>Monthly - Tuesday</t>
        </is>
      </c>
      <c r="I93" t="inlineStr">
        <is>
          <t>Monthly - Tuesday</t>
        </is>
      </c>
      <c r="J93" t="inlineStr">
        <is>
          <t>Month+1 Expiry</t>
        </is>
      </c>
      <c r="K93" s="25" t="n">
        <v>136773</v>
      </c>
      <c r="L93" s="26" t="n">
        <v>267.7661</v>
      </c>
      <c r="M93" s="26" t="n">
        <v>2.2623</v>
      </c>
    </row>
    <row r="94" ht="16" customHeight="1">
      <c r="A94" t="inlineStr">
        <is>
          <t>22-Sep-2025</t>
        </is>
      </c>
      <c r="B94" t="inlineStr">
        <is>
          <t>Monday</t>
        </is>
      </c>
      <c r="C94" t="inlineStr">
        <is>
          <t>Week4-Sep-2025</t>
        </is>
      </c>
      <c r="D94" s="78" t="n">
        <v>45901</v>
      </c>
      <c r="E94" t="inlineStr">
        <is>
          <t>Q2FY26</t>
        </is>
      </c>
      <c r="F94" t="inlineStr">
        <is>
          <t>25-Nov-2025</t>
        </is>
      </c>
      <c r="G94" t="inlineStr">
        <is>
          <t>Tuesday</t>
        </is>
      </c>
      <c r="H94" t="inlineStr">
        <is>
          <t>Monthly - Tuesday</t>
        </is>
      </c>
      <c r="I94" t="inlineStr">
        <is>
          <t>Monthly - Tuesday</t>
        </is>
      </c>
      <c r="J94" t="inlineStr">
        <is>
          <t>Month+2 Expiry</t>
        </is>
      </c>
      <c r="K94" s="25" t="n">
        <v>3032</v>
      </c>
      <c r="L94" s="26" t="n">
        <v>5.903</v>
      </c>
      <c r="M94" s="26" t="n">
        <v>0.0595</v>
      </c>
    </row>
    <row r="95" ht="16" customHeight="1">
      <c r="A95" t="inlineStr">
        <is>
          <t>22-Sep-2025</t>
        </is>
      </c>
      <c r="B95" t="inlineStr">
        <is>
          <t>Monday</t>
        </is>
      </c>
      <c r="C95" t="inlineStr">
        <is>
          <t>Week4-Sep-2025</t>
        </is>
      </c>
      <c r="D95" s="78" t="n">
        <v>45901</v>
      </c>
      <c r="E95" t="inlineStr">
        <is>
          <t>Q2FY26</t>
        </is>
      </c>
      <c r="F95" t="inlineStr">
        <is>
          <t>30-Dec-2025</t>
        </is>
      </c>
      <c r="G95" t="inlineStr">
        <is>
          <t>Tuesday</t>
        </is>
      </c>
      <c r="H95" t="inlineStr">
        <is>
          <t>Monthly - Tuesday</t>
        </is>
      </c>
      <c r="I95" t="inlineStr">
        <is>
          <t>Monthly - Tuesday</t>
        </is>
      </c>
      <c r="J95" t="inlineStr">
        <is>
          <t>Month+3 Expiry</t>
        </is>
      </c>
      <c r="K95" s="25" t="n">
        <v>1819</v>
      </c>
      <c r="L95" s="26" t="n">
        <v>3.6093</v>
      </c>
      <c r="M95" s="26" t="n">
        <v>0.0396</v>
      </c>
    </row>
    <row r="96" ht="16" customHeight="1">
      <c r="A96" t="inlineStr">
        <is>
          <t>22-Sep-2025</t>
        </is>
      </c>
      <c r="B96" t="inlineStr">
        <is>
          <t>Monday</t>
        </is>
      </c>
      <c r="C96" t="inlineStr">
        <is>
          <t>Week4-Sep-2025</t>
        </is>
      </c>
      <c r="D96" s="78" t="n">
        <v>45901</v>
      </c>
      <c r="E96" t="inlineStr">
        <is>
          <t>Q2FY26</t>
        </is>
      </c>
      <c r="F96" t="inlineStr">
        <is>
          <t>31-Mar-2026</t>
        </is>
      </c>
      <c r="G96" t="inlineStr">
        <is>
          <t>Tuesday</t>
        </is>
      </c>
      <c r="H96" t="inlineStr">
        <is>
          <t>Monthly - Tuesday</t>
        </is>
      </c>
      <c r="I96" t="inlineStr">
        <is>
          <t>Monthly - Tuesday</t>
        </is>
      </c>
      <c r="J96" t="inlineStr">
        <is>
          <t>Month+6 Expiry</t>
        </is>
      </c>
      <c r="K96" s="25" t="n">
        <v>34</v>
      </c>
      <c r="L96" s="26" t="n">
        <v>0.0703</v>
      </c>
      <c r="M96" s="26" t="n">
        <v>0.0021</v>
      </c>
    </row>
    <row r="97" ht="16" customHeight="1">
      <c r="A97" t="inlineStr">
        <is>
          <t>22-Sep-2025</t>
        </is>
      </c>
      <c r="B97" t="inlineStr">
        <is>
          <t>Monday</t>
        </is>
      </c>
      <c r="C97" t="inlineStr">
        <is>
          <t>Week4-Sep-2025</t>
        </is>
      </c>
      <c r="D97" s="78" t="n">
        <v>45901</v>
      </c>
      <c r="E97" t="inlineStr">
        <is>
          <t>Q2FY26</t>
        </is>
      </c>
      <c r="F97" t="inlineStr">
        <is>
          <t>30-Jun-2026</t>
        </is>
      </c>
      <c r="G97" t="inlineStr">
        <is>
          <t>Tuesday</t>
        </is>
      </c>
      <c r="H97" t="inlineStr">
        <is>
          <t>Monthly - Tuesday</t>
        </is>
      </c>
      <c r="I97" t="inlineStr">
        <is>
          <t>Monthly - Tuesday</t>
        </is>
      </c>
      <c r="J97" t="inlineStr">
        <is>
          <t>Month+9 Expiry</t>
        </is>
      </c>
      <c r="K97" s="25" t="n">
        <v>0</v>
      </c>
      <c r="L97" s="26" t="n">
        <v>0</v>
      </c>
      <c r="M97" s="26" t="n">
        <v>0</v>
      </c>
    </row>
    <row r="98" ht="16" customHeight="1">
      <c r="A98" t="inlineStr">
        <is>
          <t>23-Sep-2025</t>
        </is>
      </c>
      <c r="B98" t="inlineStr">
        <is>
          <t>Tuesday</t>
        </is>
      </c>
      <c r="C98" t="inlineStr">
        <is>
          <t>Week4-Sep-2025</t>
        </is>
      </c>
      <c r="D98" s="78" t="n">
        <v>45901</v>
      </c>
      <c r="E98" t="inlineStr">
        <is>
          <t>Q2FY26</t>
        </is>
      </c>
      <c r="F98" t="inlineStr">
        <is>
          <t>30-Sep-2025</t>
        </is>
      </c>
      <c r="G98" t="inlineStr">
        <is>
          <t>Tuesday</t>
        </is>
      </c>
      <c r="H98" t="inlineStr">
        <is>
          <t>Monthly - Tuesday</t>
        </is>
      </c>
      <c r="I98" t="inlineStr">
        <is>
          <t>Monthly - Tuesday</t>
        </is>
      </c>
      <c r="J98" t="inlineStr">
        <is>
          <t>Same Month Expiry</t>
        </is>
      </c>
      <c r="K98" s="25" t="n">
        <v>5254990</v>
      </c>
      <c r="L98" s="26" t="n">
        <v>10179.5141</v>
      </c>
      <c r="M98" s="26" t="n">
        <v>39.7639</v>
      </c>
    </row>
    <row r="99" ht="16" customHeight="1">
      <c r="A99" t="inlineStr">
        <is>
          <t>23-Sep-2025</t>
        </is>
      </c>
      <c r="B99" t="inlineStr">
        <is>
          <t>Tuesday</t>
        </is>
      </c>
      <c r="C99" t="inlineStr">
        <is>
          <t>Week4-Sep-2025</t>
        </is>
      </c>
      <c r="D99" s="78" t="n">
        <v>45901</v>
      </c>
      <c r="E99" t="inlineStr">
        <is>
          <t>Q2FY26</t>
        </is>
      </c>
      <c r="F99" t="inlineStr">
        <is>
          <t>28-Oct-2025</t>
        </is>
      </c>
      <c r="G99" t="inlineStr">
        <is>
          <t>Tuesday</t>
        </is>
      </c>
      <c r="H99" t="inlineStr">
        <is>
          <t>Monthly - Tuesday</t>
        </is>
      </c>
      <c r="I99" t="inlineStr">
        <is>
          <t>Monthly - Tuesday</t>
        </is>
      </c>
      <c r="J99" t="inlineStr">
        <is>
          <t>Month+1 Expiry</t>
        </is>
      </c>
      <c r="K99" s="25" t="n">
        <v>162251</v>
      </c>
      <c r="L99" s="26" t="n">
        <v>317.6968</v>
      </c>
      <c r="M99" s="26" t="n">
        <v>2.6866</v>
      </c>
    </row>
    <row r="100" ht="16" customHeight="1">
      <c r="A100" t="inlineStr">
        <is>
          <t>23-Sep-2025</t>
        </is>
      </c>
      <c r="B100" t="inlineStr">
        <is>
          <t>Tuesday</t>
        </is>
      </c>
      <c r="C100" t="inlineStr">
        <is>
          <t>Week4-Sep-2025</t>
        </is>
      </c>
      <c r="D100" s="78" t="n">
        <v>45901</v>
      </c>
      <c r="E100" t="inlineStr">
        <is>
          <t>Q2FY26</t>
        </is>
      </c>
      <c r="F100" t="inlineStr">
        <is>
          <t>25-Nov-2025</t>
        </is>
      </c>
      <c r="G100" t="inlineStr">
        <is>
          <t>Tuesday</t>
        </is>
      </c>
      <c r="H100" t="inlineStr">
        <is>
          <t>Monthly - Tuesday</t>
        </is>
      </c>
      <c r="I100" t="inlineStr">
        <is>
          <t>Monthly - Tuesday</t>
        </is>
      </c>
      <c r="J100" t="inlineStr">
        <is>
          <t>Month+2 Expiry</t>
        </is>
      </c>
      <c r="K100" s="25" t="n">
        <v>3541</v>
      </c>
      <c r="L100" s="26" t="n">
        <v>6.8985</v>
      </c>
      <c r="M100" s="26" t="n">
        <v>0.06710000000000001</v>
      </c>
    </row>
    <row r="101" ht="16" customHeight="1">
      <c r="A101" t="inlineStr">
        <is>
          <t>23-Sep-2025</t>
        </is>
      </c>
      <c r="B101" t="inlineStr">
        <is>
          <t>Tuesday</t>
        </is>
      </c>
      <c r="C101" t="inlineStr">
        <is>
          <t>Week4-Sep-2025</t>
        </is>
      </c>
      <c r="D101" s="78" t="n">
        <v>45901</v>
      </c>
      <c r="E101" t="inlineStr">
        <is>
          <t>Q2FY26</t>
        </is>
      </c>
      <c r="F101" t="inlineStr">
        <is>
          <t>30-Dec-2025</t>
        </is>
      </c>
      <c r="G101" t="inlineStr">
        <is>
          <t>Tuesday</t>
        </is>
      </c>
      <c r="H101" t="inlineStr">
        <is>
          <t>Monthly - Tuesday</t>
        </is>
      </c>
      <c r="I101" t="inlineStr">
        <is>
          <t>Monthly - Tuesday</t>
        </is>
      </c>
      <c r="J101" t="inlineStr">
        <is>
          <t>Month+3 Expiry</t>
        </is>
      </c>
      <c r="K101" s="25" t="n">
        <v>2155</v>
      </c>
      <c r="L101" s="26" t="n">
        <v>4.2961</v>
      </c>
      <c r="M101" s="26" t="n">
        <v>0.0549</v>
      </c>
    </row>
    <row r="102" ht="16" customHeight="1">
      <c r="A102" t="inlineStr">
        <is>
          <t>23-Sep-2025</t>
        </is>
      </c>
      <c r="B102" t="inlineStr">
        <is>
          <t>Tuesday</t>
        </is>
      </c>
      <c r="C102" t="inlineStr">
        <is>
          <t>Week4-Sep-2025</t>
        </is>
      </c>
      <c r="D102" s="78" t="n">
        <v>45901</v>
      </c>
      <c r="E102" t="inlineStr">
        <is>
          <t>Q2FY26</t>
        </is>
      </c>
      <c r="F102" t="inlineStr">
        <is>
          <t>31-Mar-2026</t>
        </is>
      </c>
      <c r="G102" t="inlineStr">
        <is>
          <t>Tuesday</t>
        </is>
      </c>
      <c r="H102" t="inlineStr">
        <is>
          <t>Monthly - Tuesday</t>
        </is>
      </c>
      <c r="I102" t="inlineStr">
        <is>
          <t>Monthly - Tuesday</t>
        </is>
      </c>
      <c r="J102" t="inlineStr">
        <is>
          <t>Month+6 Expiry</t>
        </is>
      </c>
      <c r="K102" s="25" t="n">
        <v>201</v>
      </c>
      <c r="L102" s="26" t="n">
        <v>0.4153</v>
      </c>
      <c r="M102" s="26" t="n">
        <v>0.0124</v>
      </c>
    </row>
    <row r="103" ht="16" customHeight="1">
      <c r="A103" t="inlineStr">
        <is>
          <t>23-Sep-2025</t>
        </is>
      </c>
      <c r="B103" t="inlineStr">
        <is>
          <t>Tuesday</t>
        </is>
      </c>
      <c r="C103" t="inlineStr">
        <is>
          <t>Week4-Sep-2025</t>
        </is>
      </c>
      <c r="D103" s="78" t="n">
        <v>45901</v>
      </c>
      <c r="E103" t="inlineStr">
        <is>
          <t>Q2FY26</t>
        </is>
      </c>
      <c r="F103" t="inlineStr">
        <is>
          <t>30-Jun-2026</t>
        </is>
      </c>
      <c r="G103" t="inlineStr">
        <is>
          <t>Tuesday</t>
        </is>
      </c>
      <c r="H103" t="inlineStr">
        <is>
          <t>Monthly - Tuesday</t>
        </is>
      </c>
      <c r="I103" t="inlineStr">
        <is>
          <t>Monthly - Tuesday</t>
        </is>
      </c>
      <c r="J103" t="inlineStr">
        <is>
          <t>Month+9 Expiry</t>
        </is>
      </c>
      <c r="K103" s="25" t="n">
        <v>0</v>
      </c>
      <c r="L103" s="26" t="n">
        <v>0</v>
      </c>
      <c r="M103" s="26" t="n">
        <v>0</v>
      </c>
    </row>
    <row r="104" ht="16" customHeight="1">
      <c r="A104" t="inlineStr">
        <is>
          <t>24-Sep-2025</t>
        </is>
      </c>
      <c r="B104" t="inlineStr">
        <is>
          <t>Wednesday</t>
        </is>
      </c>
      <c r="C104" t="inlineStr">
        <is>
          <t>Week4-Sep-2025</t>
        </is>
      </c>
      <c r="D104" s="78" t="n">
        <v>45901</v>
      </c>
      <c r="E104" t="inlineStr">
        <is>
          <t>Q2FY26</t>
        </is>
      </c>
      <c r="F104" t="inlineStr">
        <is>
          <t>30-Sep-2025</t>
        </is>
      </c>
      <c r="G104" t="inlineStr">
        <is>
          <t>Tuesday</t>
        </is>
      </c>
      <c r="H104" t="inlineStr">
        <is>
          <t>Monthly - Tuesday</t>
        </is>
      </c>
      <c r="I104" t="inlineStr">
        <is>
          <t>Monthly - Tuesday</t>
        </is>
      </c>
      <c r="J104" t="inlineStr">
        <is>
          <t>Same Month Expiry</t>
        </is>
      </c>
      <c r="K104" s="25" t="n">
        <v>8230927</v>
      </c>
      <c r="L104" s="26" t="n">
        <v>15880.9611</v>
      </c>
      <c r="M104" s="26" t="n">
        <v>53.1202</v>
      </c>
    </row>
    <row r="105" ht="16" customHeight="1">
      <c r="A105" t="inlineStr">
        <is>
          <t>24-Sep-2025</t>
        </is>
      </c>
      <c r="B105" t="inlineStr">
        <is>
          <t>Wednesday</t>
        </is>
      </c>
      <c r="C105" t="inlineStr">
        <is>
          <t>Week4-Sep-2025</t>
        </is>
      </c>
      <c r="D105" s="78" t="n">
        <v>45901</v>
      </c>
      <c r="E105" t="inlineStr">
        <is>
          <t>Q2FY26</t>
        </is>
      </c>
      <c r="F105" t="inlineStr">
        <is>
          <t>28-Oct-2025</t>
        </is>
      </c>
      <c r="G105" t="inlineStr">
        <is>
          <t>Tuesday</t>
        </is>
      </c>
      <c r="H105" t="inlineStr">
        <is>
          <t>Monthly - Tuesday</t>
        </is>
      </c>
      <c r="I105" t="inlineStr">
        <is>
          <t>Monthly - Tuesday</t>
        </is>
      </c>
      <c r="J105" t="inlineStr">
        <is>
          <t>Month+1 Expiry</t>
        </is>
      </c>
      <c r="K105" s="25" t="n">
        <v>210834</v>
      </c>
      <c r="L105" s="26" t="n">
        <v>412.2724</v>
      </c>
      <c r="M105" s="26" t="n">
        <v>3.5888</v>
      </c>
    </row>
    <row r="106" ht="16" customHeight="1">
      <c r="A106" t="inlineStr">
        <is>
          <t>24-Sep-2025</t>
        </is>
      </c>
      <c r="B106" t="inlineStr">
        <is>
          <t>Wednesday</t>
        </is>
      </c>
      <c r="C106" t="inlineStr">
        <is>
          <t>Week4-Sep-2025</t>
        </is>
      </c>
      <c r="D106" s="78" t="n">
        <v>45901</v>
      </c>
      <c r="E106" t="inlineStr">
        <is>
          <t>Q2FY26</t>
        </is>
      </c>
      <c r="F106" t="inlineStr">
        <is>
          <t>25-Nov-2025</t>
        </is>
      </c>
      <c r="G106" t="inlineStr">
        <is>
          <t>Tuesday</t>
        </is>
      </c>
      <c r="H106" t="inlineStr">
        <is>
          <t>Monthly - Tuesday</t>
        </is>
      </c>
      <c r="I106" t="inlineStr">
        <is>
          <t>Monthly - Tuesday</t>
        </is>
      </c>
      <c r="J106" t="inlineStr">
        <is>
          <t>Month+2 Expiry</t>
        </is>
      </c>
      <c r="K106" s="25" t="n">
        <v>4862</v>
      </c>
      <c r="L106" s="26" t="n">
        <v>9.464399999999999</v>
      </c>
      <c r="M106" s="26" t="n">
        <v>0.08550000000000001</v>
      </c>
    </row>
    <row r="107" ht="16" customHeight="1">
      <c r="A107" t="inlineStr">
        <is>
          <t>24-Sep-2025</t>
        </is>
      </c>
      <c r="B107" t="inlineStr">
        <is>
          <t>Wednesday</t>
        </is>
      </c>
      <c r="C107" t="inlineStr">
        <is>
          <t>Week4-Sep-2025</t>
        </is>
      </c>
      <c r="D107" s="78" t="n">
        <v>45901</v>
      </c>
      <c r="E107" t="inlineStr">
        <is>
          <t>Q2FY26</t>
        </is>
      </c>
      <c r="F107" t="inlineStr">
        <is>
          <t>30-Dec-2025</t>
        </is>
      </c>
      <c r="G107" t="inlineStr">
        <is>
          <t>Tuesday</t>
        </is>
      </c>
      <c r="H107" t="inlineStr">
        <is>
          <t>Monthly - Tuesday</t>
        </is>
      </c>
      <c r="I107" t="inlineStr">
        <is>
          <t>Monthly - Tuesday</t>
        </is>
      </c>
      <c r="J107" t="inlineStr">
        <is>
          <t>Month+3 Expiry</t>
        </is>
      </c>
      <c r="K107" s="25" t="n">
        <v>2084</v>
      </c>
      <c r="L107" s="26" t="n">
        <v>4.1545</v>
      </c>
      <c r="M107" s="26" t="n">
        <v>0.0484</v>
      </c>
    </row>
    <row r="108" ht="16" customHeight="1">
      <c r="A108" t="inlineStr">
        <is>
          <t>24-Sep-2025</t>
        </is>
      </c>
      <c r="B108" t="inlineStr">
        <is>
          <t>Wednesday</t>
        </is>
      </c>
      <c r="C108" t="inlineStr">
        <is>
          <t>Week4-Sep-2025</t>
        </is>
      </c>
      <c r="D108" s="78" t="n">
        <v>45901</v>
      </c>
      <c r="E108" t="inlineStr">
        <is>
          <t>Q2FY26</t>
        </is>
      </c>
      <c r="F108" t="inlineStr">
        <is>
          <t>31-Mar-2026</t>
        </is>
      </c>
      <c r="G108" t="inlineStr">
        <is>
          <t>Tuesday</t>
        </is>
      </c>
      <c r="H108" t="inlineStr">
        <is>
          <t>Monthly - Tuesday</t>
        </is>
      </c>
      <c r="I108" t="inlineStr">
        <is>
          <t>Monthly - Tuesday</t>
        </is>
      </c>
      <c r="J108" t="inlineStr">
        <is>
          <t>Month+6 Expiry</t>
        </is>
      </c>
      <c r="K108" s="25" t="n">
        <v>100</v>
      </c>
      <c r="L108" s="26" t="n">
        <v>0.2071</v>
      </c>
      <c r="M108" s="26" t="n">
        <v>0.0061</v>
      </c>
    </row>
    <row r="109" ht="16" customHeight="1">
      <c r="A109" t="inlineStr">
        <is>
          <t>24-Sep-2025</t>
        </is>
      </c>
      <c r="B109" t="inlineStr">
        <is>
          <t>Wednesday</t>
        </is>
      </c>
      <c r="C109" t="inlineStr">
        <is>
          <t>Week4-Sep-2025</t>
        </is>
      </c>
      <c r="D109" s="78" t="n">
        <v>45901</v>
      </c>
      <c r="E109" t="inlineStr">
        <is>
          <t>Q2FY26</t>
        </is>
      </c>
      <c r="F109" t="inlineStr">
        <is>
          <t>30-Jun-2026</t>
        </is>
      </c>
      <c r="G109" t="inlineStr">
        <is>
          <t>Tuesday</t>
        </is>
      </c>
      <c r="H109" t="inlineStr">
        <is>
          <t>Monthly - Tuesday</t>
        </is>
      </c>
      <c r="I109" t="inlineStr">
        <is>
          <t>Monthly - Tuesday</t>
        </is>
      </c>
      <c r="J109" t="inlineStr">
        <is>
          <t>Month+9 Expiry</t>
        </is>
      </c>
      <c r="K109" s="25" t="n">
        <v>0</v>
      </c>
      <c r="L109" s="26" t="n">
        <v>0</v>
      </c>
      <c r="M109" s="26" t="n">
        <v>0</v>
      </c>
    </row>
    <row r="110" ht="16" customHeight="1">
      <c r="A110" t="inlineStr">
        <is>
          <t>25-Sep-2025</t>
        </is>
      </c>
      <c r="B110" t="inlineStr">
        <is>
          <t>Thursday</t>
        </is>
      </c>
      <c r="C110" t="inlineStr">
        <is>
          <t>Week4-Sep-2025</t>
        </is>
      </c>
      <c r="D110" s="78" t="n">
        <v>45901</v>
      </c>
      <c r="E110" t="inlineStr">
        <is>
          <t>Q2FY26</t>
        </is>
      </c>
      <c r="F110" t="inlineStr">
        <is>
          <t>30-Sep-2025</t>
        </is>
      </c>
      <c r="G110" t="inlineStr">
        <is>
          <t>Tuesday</t>
        </is>
      </c>
      <c r="H110" t="inlineStr">
        <is>
          <t>Monthly - Tuesday</t>
        </is>
      </c>
      <c r="I110" t="inlineStr">
        <is>
          <t>Monthly - Tuesday</t>
        </is>
      </c>
      <c r="J110" t="inlineStr">
        <is>
          <t>Same Month Expiry</t>
        </is>
      </c>
      <c r="K110" s="25" t="n">
        <v>8655021</v>
      </c>
      <c r="L110" s="26" t="n">
        <v>16673.168</v>
      </c>
      <c r="M110" s="26" t="n">
        <v>50.6993</v>
      </c>
    </row>
    <row r="111" ht="16" customHeight="1">
      <c r="A111" t="inlineStr">
        <is>
          <t>25-Sep-2025</t>
        </is>
      </c>
      <c r="B111" t="inlineStr">
        <is>
          <t>Thursday</t>
        </is>
      </c>
      <c r="C111" t="inlineStr">
        <is>
          <t>Week4-Sep-2025</t>
        </is>
      </c>
      <c r="D111" s="78" t="n">
        <v>45901</v>
      </c>
      <c r="E111" t="inlineStr">
        <is>
          <t>Q2FY26</t>
        </is>
      </c>
      <c r="F111" t="inlineStr">
        <is>
          <t>28-Oct-2025</t>
        </is>
      </c>
      <c r="G111" t="inlineStr">
        <is>
          <t>Tuesday</t>
        </is>
      </c>
      <c r="H111" t="inlineStr">
        <is>
          <t>Monthly - Tuesday</t>
        </is>
      </c>
      <c r="I111" t="inlineStr">
        <is>
          <t>Monthly - Tuesday</t>
        </is>
      </c>
      <c r="J111" t="inlineStr">
        <is>
          <t>Month+1 Expiry</t>
        </is>
      </c>
      <c r="K111" s="25" t="n">
        <v>229999</v>
      </c>
      <c r="L111" s="26" t="n">
        <v>447.3314</v>
      </c>
      <c r="M111" s="26" t="n">
        <v>4.1256</v>
      </c>
    </row>
    <row r="112" ht="16" customHeight="1">
      <c r="A112" t="inlineStr">
        <is>
          <t>25-Sep-2025</t>
        </is>
      </c>
      <c r="B112" t="inlineStr">
        <is>
          <t>Thursday</t>
        </is>
      </c>
      <c r="C112" t="inlineStr">
        <is>
          <t>Week4-Sep-2025</t>
        </is>
      </c>
      <c r="D112" s="78" t="n">
        <v>45901</v>
      </c>
      <c r="E112" t="inlineStr">
        <is>
          <t>Q2FY26</t>
        </is>
      </c>
      <c r="F112" t="inlineStr">
        <is>
          <t>25-Nov-2025</t>
        </is>
      </c>
      <c r="G112" t="inlineStr">
        <is>
          <t>Tuesday</t>
        </is>
      </c>
      <c r="H112" t="inlineStr">
        <is>
          <t>Monthly - Tuesday</t>
        </is>
      </c>
      <c r="I112" t="inlineStr">
        <is>
          <t>Monthly - Tuesday</t>
        </is>
      </c>
      <c r="J112" t="inlineStr">
        <is>
          <t>Month+2 Expiry</t>
        </is>
      </c>
      <c r="K112" s="25" t="n">
        <v>4065</v>
      </c>
      <c r="L112" s="26" t="n">
        <v>7.8798</v>
      </c>
      <c r="M112" s="26" t="n">
        <v>0.076</v>
      </c>
    </row>
    <row r="113" ht="16" customHeight="1">
      <c r="A113" t="inlineStr">
        <is>
          <t>25-Sep-2025</t>
        </is>
      </c>
      <c r="B113" t="inlineStr">
        <is>
          <t>Thursday</t>
        </is>
      </c>
      <c r="C113" t="inlineStr">
        <is>
          <t>Week4-Sep-2025</t>
        </is>
      </c>
      <c r="D113" s="78" t="n">
        <v>45901</v>
      </c>
      <c r="E113" t="inlineStr">
        <is>
          <t>Q2FY26</t>
        </is>
      </c>
      <c r="F113" t="inlineStr">
        <is>
          <t>30-Dec-2025</t>
        </is>
      </c>
      <c r="G113" t="inlineStr">
        <is>
          <t>Tuesday</t>
        </is>
      </c>
      <c r="H113" t="inlineStr">
        <is>
          <t>Monthly - Tuesday</t>
        </is>
      </c>
      <c r="I113" t="inlineStr">
        <is>
          <t>Monthly - Tuesday</t>
        </is>
      </c>
      <c r="J113" t="inlineStr">
        <is>
          <t>Month+3 Expiry</t>
        </is>
      </c>
      <c r="K113" s="25" t="n">
        <v>1708</v>
      </c>
      <c r="L113" s="26" t="n">
        <v>3.4037</v>
      </c>
      <c r="M113" s="26" t="n">
        <v>0.0434</v>
      </c>
    </row>
    <row r="114" ht="16" customHeight="1">
      <c r="A114" t="inlineStr">
        <is>
          <t>25-Sep-2025</t>
        </is>
      </c>
      <c r="B114" t="inlineStr">
        <is>
          <t>Thursday</t>
        </is>
      </c>
      <c r="C114" t="inlineStr">
        <is>
          <t>Week4-Sep-2025</t>
        </is>
      </c>
      <c r="D114" s="78" t="n">
        <v>45901</v>
      </c>
      <c r="E114" t="inlineStr">
        <is>
          <t>Q2FY26</t>
        </is>
      </c>
      <c r="F114" t="inlineStr">
        <is>
          <t>31-Mar-2026</t>
        </is>
      </c>
      <c r="G114" t="inlineStr">
        <is>
          <t>Tuesday</t>
        </is>
      </c>
      <c r="H114" t="inlineStr">
        <is>
          <t>Monthly - Tuesday</t>
        </is>
      </c>
      <c r="I114" t="inlineStr">
        <is>
          <t>Monthly - Tuesday</t>
        </is>
      </c>
      <c r="J114" t="inlineStr">
        <is>
          <t>Month+6 Expiry</t>
        </is>
      </c>
      <c r="K114" s="25" t="n">
        <v>93</v>
      </c>
      <c r="L114" s="26" t="n">
        <v>0.193</v>
      </c>
      <c r="M114" s="26" t="n">
        <v>0.005</v>
      </c>
    </row>
    <row r="115" ht="16" customHeight="1">
      <c r="A115" t="inlineStr">
        <is>
          <t>25-Sep-2025</t>
        </is>
      </c>
      <c r="B115" t="inlineStr">
        <is>
          <t>Thursday</t>
        </is>
      </c>
      <c r="C115" t="inlineStr">
        <is>
          <t>Week4-Sep-2025</t>
        </is>
      </c>
      <c r="D115" s="78" t="n">
        <v>45901</v>
      </c>
      <c r="E115" t="inlineStr">
        <is>
          <t>Q2FY26</t>
        </is>
      </c>
      <c r="F115" t="inlineStr">
        <is>
          <t>30-Jun-2026</t>
        </is>
      </c>
      <c r="G115" t="inlineStr">
        <is>
          <t>Tuesday</t>
        </is>
      </c>
      <c r="H115" t="inlineStr">
        <is>
          <t>Monthly - Tuesday</t>
        </is>
      </c>
      <c r="I115" t="inlineStr">
        <is>
          <t>Monthly - Tuesday</t>
        </is>
      </c>
      <c r="J115" t="inlineStr">
        <is>
          <t>Month+9 Expiry</t>
        </is>
      </c>
      <c r="K115" s="25" t="n">
        <v>0</v>
      </c>
      <c r="L115" s="26" t="n">
        <v>0</v>
      </c>
      <c r="M115" s="26" t="n">
        <v>0</v>
      </c>
    </row>
    <row r="116" ht="16" customHeight="1">
      <c r="A116" t="inlineStr">
        <is>
          <t>26-Sep-2025</t>
        </is>
      </c>
      <c r="B116" t="inlineStr">
        <is>
          <t>Friday</t>
        </is>
      </c>
      <c r="C116" t="inlineStr">
        <is>
          <t>Week4-Sep-2025</t>
        </is>
      </c>
      <c r="D116" s="78" t="n">
        <v>45901</v>
      </c>
      <c r="E116" t="inlineStr">
        <is>
          <t>Q2FY26</t>
        </is>
      </c>
      <c r="F116" t="inlineStr">
        <is>
          <t>30-Sep-2025</t>
        </is>
      </c>
      <c r="G116" t="inlineStr">
        <is>
          <t>Tuesday</t>
        </is>
      </c>
      <c r="H116" t="inlineStr">
        <is>
          <t>Monthly - Tuesday</t>
        </is>
      </c>
      <c r="I116" t="inlineStr">
        <is>
          <t>Monthly - Tuesday</t>
        </is>
      </c>
      <c r="J116" t="inlineStr">
        <is>
          <t>Same Month Expiry</t>
        </is>
      </c>
      <c r="K116" s="25" t="n">
        <v>15559407</v>
      </c>
      <c r="L116" s="26" t="n">
        <v>29538.8334</v>
      </c>
      <c r="M116" s="26" t="n">
        <v>79.79819999999999</v>
      </c>
    </row>
    <row r="117" ht="16" customHeight="1">
      <c r="A117" t="inlineStr">
        <is>
          <t>26-Sep-2025</t>
        </is>
      </c>
      <c r="B117" t="inlineStr">
        <is>
          <t>Friday</t>
        </is>
      </c>
      <c r="C117" t="inlineStr">
        <is>
          <t>Week4-Sep-2025</t>
        </is>
      </c>
      <c r="D117" s="78" t="n">
        <v>45901</v>
      </c>
      <c r="E117" t="inlineStr">
        <is>
          <t>Q2FY26</t>
        </is>
      </c>
      <c r="F117" t="inlineStr">
        <is>
          <t>28-Oct-2025</t>
        </is>
      </c>
      <c r="G117" t="inlineStr">
        <is>
          <t>Tuesday</t>
        </is>
      </c>
      <c r="H117" t="inlineStr">
        <is>
          <t>Monthly - Tuesday</t>
        </is>
      </c>
      <c r="I117" t="inlineStr">
        <is>
          <t>Monthly - Tuesday</t>
        </is>
      </c>
      <c r="J117" t="inlineStr">
        <is>
          <t>Month+1 Expiry</t>
        </is>
      </c>
      <c r="K117" s="25" t="n">
        <v>458425</v>
      </c>
      <c r="L117" s="26" t="n">
        <v>887.954</v>
      </c>
      <c r="M117" s="26" t="n">
        <v>8.023899999999999</v>
      </c>
    </row>
    <row r="118" ht="16" customHeight="1">
      <c r="A118" t="inlineStr">
        <is>
          <t>26-Sep-2025</t>
        </is>
      </c>
      <c r="B118" t="inlineStr">
        <is>
          <t>Friday</t>
        </is>
      </c>
      <c r="C118" t="inlineStr">
        <is>
          <t>Week4-Sep-2025</t>
        </is>
      </c>
      <c r="D118" s="78" t="n">
        <v>45901</v>
      </c>
      <c r="E118" t="inlineStr">
        <is>
          <t>Q2FY26</t>
        </is>
      </c>
      <c r="F118" t="inlineStr">
        <is>
          <t>25-Nov-2025</t>
        </is>
      </c>
      <c r="G118" t="inlineStr">
        <is>
          <t>Tuesday</t>
        </is>
      </c>
      <c r="H118" t="inlineStr">
        <is>
          <t>Monthly - Tuesday</t>
        </is>
      </c>
      <c r="I118" t="inlineStr">
        <is>
          <t>Monthly - Tuesday</t>
        </is>
      </c>
      <c r="J118" t="inlineStr">
        <is>
          <t>Month+2 Expiry</t>
        </is>
      </c>
      <c r="K118" s="25" t="n">
        <v>12857</v>
      </c>
      <c r="L118" s="26" t="n">
        <v>25.0482</v>
      </c>
      <c r="M118" s="26" t="n">
        <v>0.2656</v>
      </c>
    </row>
    <row r="119" ht="16" customHeight="1">
      <c r="A119" t="inlineStr">
        <is>
          <t>26-Sep-2025</t>
        </is>
      </c>
      <c r="B119" t="inlineStr">
        <is>
          <t>Friday</t>
        </is>
      </c>
      <c r="C119" t="inlineStr">
        <is>
          <t>Week4-Sep-2025</t>
        </is>
      </c>
      <c r="D119" s="78" t="n">
        <v>45901</v>
      </c>
      <c r="E119" t="inlineStr">
        <is>
          <t>Q2FY26</t>
        </is>
      </c>
      <c r="F119" t="inlineStr">
        <is>
          <t>30-Dec-2025</t>
        </is>
      </c>
      <c r="G119" t="inlineStr">
        <is>
          <t>Tuesday</t>
        </is>
      </c>
      <c r="H119" t="inlineStr">
        <is>
          <t>Monthly - Tuesday</t>
        </is>
      </c>
      <c r="I119" t="inlineStr">
        <is>
          <t>Monthly - Tuesday</t>
        </is>
      </c>
      <c r="J119" t="inlineStr">
        <is>
          <t>Month+3 Expiry</t>
        </is>
      </c>
      <c r="K119" s="25" t="n">
        <v>5665</v>
      </c>
      <c r="L119" s="26" t="n">
        <v>11.2906</v>
      </c>
      <c r="M119" s="26" t="n">
        <v>0.1509</v>
      </c>
    </row>
    <row r="120" ht="16" customHeight="1">
      <c r="A120" t="inlineStr">
        <is>
          <t>26-Sep-2025</t>
        </is>
      </c>
      <c r="B120" t="inlineStr">
        <is>
          <t>Friday</t>
        </is>
      </c>
      <c r="C120" t="inlineStr">
        <is>
          <t>Week4-Sep-2025</t>
        </is>
      </c>
      <c r="D120" s="78" t="n">
        <v>45901</v>
      </c>
      <c r="E120" t="inlineStr">
        <is>
          <t>Q2FY26</t>
        </is>
      </c>
      <c r="F120" t="inlineStr">
        <is>
          <t>31-Mar-2026</t>
        </is>
      </c>
      <c r="G120" t="inlineStr">
        <is>
          <t>Tuesday</t>
        </is>
      </c>
      <c r="H120" t="inlineStr">
        <is>
          <t>Monthly - Tuesday</t>
        </is>
      </c>
      <c r="I120" t="inlineStr">
        <is>
          <t>Monthly - Tuesday</t>
        </is>
      </c>
      <c r="J120" t="inlineStr">
        <is>
          <t>Month+6 Expiry</t>
        </is>
      </c>
      <c r="K120" s="25" t="n">
        <v>201</v>
      </c>
      <c r="L120" s="26" t="n">
        <v>0.4206</v>
      </c>
      <c r="M120" s="26" t="n">
        <v>0.0072</v>
      </c>
    </row>
    <row r="121" ht="16" customHeight="1">
      <c r="A121" t="inlineStr">
        <is>
          <t>26-Sep-2025</t>
        </is>
      </c>
      <c r="B121" t="inlineStr">
        <is>
          <t>Friday</t>
        </is>
      </c>
      <c r="C121" t="inlineStr">
        <is>
          <t>Week4-Sep-2025</t>
        </is>
      </c>
      <c r="D121" s="78" t="n">
        <v>45901</v>
      </c>
      <c r="E121" t="inlineStr">
        <is>
          <t>Q2FY26</t>
        </is>
      </c>
      <c r="F121" t="inlineStr">
        <is>
          <t>30-Jun-2026</t>
        </is>
      </c>
      <c r="G121" t="inlineStr">
        <is>
          <t>Tuesday</t>
        </is>
      </c>
      <c r="H121" t="inlineStr">
        <is>
          <t>Monthly - Tuesday</t>
        </is>
      </c>
      <c r="I121" t="inlineStr">
        <is>
          <t>Monthly - Tuesday</t>
        </is>
      </c>
      <c r="J121" t="inlineStr">
        <is>
          <t>Month+9 Expiry</t>
        </is>
      </c>
      <c r="K121" s="25" t="n">
        <v>0</v>
      </c>
      <c r="L121" s="26" t="n">
        <v>0</v>
      </c>
      <c r="M121" s="26" t="n">
        <v>0</v>
      </c>
    </row>
    <row r="122" ht="16" customHeight="1">
      <c r="A122" t="inlineStr">
        <is>
          <t>29-Sep-2025</t>
        </is>
      </c>
      <c r="B122" t="inlineStr">
        <is>
          <t>Monday</t>
        </is>
      </c>
      <c r="C122" t="inlineStr">
        <is>
          <t>Week5-Sep-2025</t>
        </is>
      </c>
      <c r="D122" s="78" t="n">
        <v>45901</v>
      </c>
      <c r="E122" t="inlineStr">
        <is>
          <t>Q2FY26</t>
        </is>
      </c>
      <c r="F122" t="inlineStr">
        <is>
          <t>30-Sep-2025</t>
        </is>
      </c>
      <c r="G122" t="inlineStr">
        <is>
          <t>Tuesday</t>
        </is>
      </c>
      <c r="H122" t="inlineStr">
        <is>
          <t>Monthly - Tuesday</t>
        </is>
      </c>
      <c r="I122" t="inlineStr">
        <is>
          <t>Monthly - Tuesday</t>
        </is>
      </c>
      <c r="J122" t="inlineStr">
        <is>
          <t>Same Month Expiry</t>
        </is>
      </c>
      <c r="K122" s="25" t="n">
        <v>27075109</v>
      </c>
      <c r="L122" s="26" t="n">
        <v>51067.5075</v>
      </c>
      <c r="M122" s="26" t="n">
        <v>108.0776</v>
      </c>
    </row>
    <row r="123" ht="16" customHeight="1">
      <c r="A123" t="inlineStr">
        <is>
          <t>29-Sep-2025</t>
        </is>
      </c>
      <c r="B123" t="inlineStr">
        <is>
          <t>Monday</t>
        </is>
      </c>
      <c r="C123" t="inlineStr">
        <is>
          <t>Week5-Sep-2025</t>
        </is>
      </c>
      <c r="D123" s="78" t="n">
        <v>45901</v>
      </c>
      <c r="E123" t="inlineStr">
        <is>
          <t>Q2FY26</t>
        </is>
      </c>
      <c r="F123" t="inlineStr">
        <is>
          <t>28-Oct-2025</t>
        </is>
      </c>
      <c r="G123" t="inlineStr">
        <is>
          <t>Tuesday</t>
        </is>
      </c>
      <c r="H123" t="inlineStr">
        <is>
          <t>Monthly - Tuesday</t>
        </is>
      </c>
      <c r="I123" t="inlineStr">
        <is>
          <t>Monthly - Tuesday</t>
        </is>
      </c>
      <c r="J123" t="inlineStr">
        <is>
          <t>Month+1 Expiry</t>
        </is>
      </c>
      <c r="K123" s="25" t="n">
        <v>502600</v>
      </c>
      <c r="L123" s="26" t="n">
        <v>971.2386</v>
      </c>
      <c r="M123" s="26" t="n">
        <v>9.3675</v>
      </c>
    </row>
    <row r="124" ht="16" customHeight="1">
      <c r="A124" t="inlineStr">
        <is>
          <t>29-Sep-2025</t>
        </is>
      </c>
      <c r="B124" t="inlineStr">
        <is>
          <t>Monday</t>
        </is>
      </c>
      <c r="C124" t="inlineStr">
        <is>
          <t>Week5-Sep-2025</t>
        </is>
      </c>
      <c r="D124" s="78" t="n">
        <v>45901</v>
      </c>
      <c r="E124" t="inlineStr">
        <is>
          <t>Q2FY26</t>
        </is>
      </c>
      <c r="F124" t="inlineStr">
        <is>
          <t>25-Nov-2025</t>
        </is>
      </c>
      <c r="G124" t="inlineStr">
        <is>
          <t>Tuesday</t>
        </is>
      </c>
      <c r="H124" t="inlineStr">
        <is>
          <t>Monthly - Tuesday</t>
        </is>
      </c>
      <c r="I124" t="inlineStr">
        <is>
          <t>Monthly - Tuesday</t>
        </is>
      </c>
      <c r="J124" t="inlineStr">
        <is>
          <t>Month+2 Expiry</t>
        </is>
      </c>
      <c r="K124" s="25" t="n">
        <v>9914</v>
      </c>
      <c r="L124" s="26" t="n">
        <v>19.2653</v>
      </c>
      <c r="M124" s="26" t="n">
        <v>0.2083</v>
      </c>
    </row>
    <row r="125" ht="16" customHeight="1">
      <c r="A125" t="inlineStr">
        <is>
          <t>29-Sep-2025</t>
        </is>
      </c>
      <c r="B125" t="inlineStr">
        <is>
          <t>Monday</t>
        </is>
      </c>
      <c r="C125" t="inlineStr">
        <is>
          <t>Week5-Sep-2025</t>
        </is>
      </c>
      <c r="D125" s="78" t="n">
        <v>45901</v>
      </c>
      <c r="E125" t="inlineStr">
        <is>
          <t>Q2FY26</t>
        </is>
      </c>
      <c r="F125" t="inlineStr">
        <is>
          <t>30-Dec-2025</t>
        </is>
      </c>
      <c r="G125" t="inlineStr">
        <is>
          <t>Tuesday</t>
        </is>
      </c>
      <c r="H125" t="inlineStr">
        <is>
          <t>Monthly - Tuesday</t>
        </is>
      </c>
      <c r="I125" t="inlineStr">
        <is>
          <t>Monthly - Tuesday</t>
        </is>
      </c>
      <c r="J125" t="inlineStr">
        <is>
          <t>Month+3 Expiry</t>
        </is>
      </c>
      <c r="K125" s="25" t="n">
        <v>3166</v>
      </c>
      <c r="L125" s="26" t="n">
        <v>6.3169</v>
      </c>
      <c r="M125" s="26" t="n">
        <v>0.08459999999999999</v>
      </c>
    </row>
    <row r="126" ht="16" customHeight="1">
      <c r="A126" t="inlineStr">
        <is>
          <t>29-Sep-2025</t>
        </is>
      </c>
      <c r="B126" t="inlineStr">
        <is>
          <t>Monday</t>
        </is>
      </c>
      <c r="C126" t="inlineStr">
        <is>
          <t>Week5-Sep-2025</t>
        </is>
      </c>
      <c r="D126" s="78" t="n">
        <v>45901</v>
      </c>
      <c r="E126" t="inlineStr">
        <is>
          <t>Q2FY26</t>
        </is>
      </c>
      <c r="F126" t="inlineStr">
        <is>
          <t>31-Mar-2026</t>
        </is>
      </c>
      <c r="G126" t="inlineStr">
        <is>
          <t>Tuesday</t>
        </is>
      </c>
      <c r="H126" t="inlineStr">
        <is>
          <t>Monthly - Tuesday</t>
        </is>
      </c>
      <c r="I126" t="inlineStr">
        <is>
          <t>Monthly - Tuesday</t>
        </is>
      </c>
      <c r="J126" t="inlineStr">
        <is>
          <t>Month+6 Expiry</t>
        </is>
      </c>
      <c r="K126" s="25" t="n">
        <v>118</v>
      </c>
      <c r="L126" s="26" t="n">
        <v>0.2465</v>
      </c>
      <c r="M126" s="26" t="n">
        <v>0.0041</v>
      </c>
    </row>
    <row r="127" ht="16" customHeight="1">
      <c r="A127" t="inlineStr">
        <is>
          <t>29-Sep-2025</t>
        </is>
      </c>
      <c r="B127" t="inlineStr">
        <is>
          <t>Monday</t>
        </is>
      </c>
      <c r="C127" t="inlineStr">
        <is>
          <t>Week5-Sep-2025</t>
        </is>
      </c>
      <c r="D127" s="78" t="n">
        <v>45901</v>
      </c>
      <c r="E127" t="inlineStr">
        <is>
          <t>Q2FY26</t>
        </is>
      </c>
      <c r="F127" t="inlineStr">
        <is>
          <t>30-Jun-2026</t>
        </is>
      </c>
      <c r="G127" t="inlineStr">
        <is>
          <t>Tuesday</t>
        </is>
      </c>
      <c r="H127" t="inlineStr">
        <is>
          <t>Monthly - Tuesday</t>
        </is>
      </c>
      <c r="I127" t="inlineStr">
        <is>
          <t>Monthly - Tuesday</t>
        </is>
      </c>
      <c r="J127" t="inlineStr">
        <is>
          <t>Month+9 Expiry</t>
        </is>
      </c>
      <c r="K127" s="25" t="n">
        <v>0</v>
      </c>
      <c r="L127" s="26" t="n">
        <v>0</v>
      </c>
      <c r="M127" s="26" t="n">
        <v>0</v>
      </c>
    </row>
    <row r="128" ht="16" customHeight="1">
      <c r="A128" t="inlineStr">
        <is>
          <t>30-Sep-2025</t>
        </is>
      </c>
      <c r="B128" t="inlineStr">
        <is>
          <t>Tuesday</t>
        </is>
      </c>
      <c r="C128" t="inlineStr">
        <is>
          <t>Week5-Sep-2025</t>
        </is>
      </c>
      <c r="D128" s="78" t="n">
        <v>45901</v>
      </c>
      <c r="E128" t="inlineStr">
        <is>
          <t>Q2FY26</t>
        </is>
      </c>
      <c r="F128" t="inlineStr">
        <is>
          <t>30-Sep-2025</t>
        </is>
      </c>
      <c r="G128" t="inlineStr">
        <is>
          <t>Tuesday</t>
        </is>
      </c>
      <c r="H128" t="inlineStr">
        <is>
          <t>Monthly - Tuesday</t>
        </is>
      </c>
      <c r="I128" t="inlineStr">
        <is>
          <t>Monthly - Tuesday</t>
        </is>
      </c>
      <c r="J128" t="inlineStr">
        <is>
          <t>Same Month Expiry</t>
        </is>
      </c>
      <c r="K128" s="25" t="n">
        <v>77935545</v>
      </c>
      <c r="L128" s="26" t="n">
        <v>146734.5691</v>
      </c>
      <c r="M128" s="26" t="n">
        <v>144.701</v>
      </c>
    </row>
    <row r="129" ht="16" customHeight="1">
      <c r="A129" t="inlineStr">
        <is>
          <t>30-Sep-2025</t>
        </is>
      </c>
      <c r="B129" t="inlineStr">
        <is>
          <t>Tuesday</t>
        </is>
      </c>
      <c r="C129" t="inlineStr">
        <is>
          <t>Week5-Sep-2025</t>
        </is>
      </c>
      <c r="D129" s="78" t="n">
        <v>45901</v>
      </c>
      <c r="E129" t="inlineStr">
        <is>
          <t>Q2FY26</t>
        </is>
      </c>
      <c r="F129" t="inlineStr">
        <is>
          <t>28-Oct-2025</t>
        </is>
      </c>
      <c r="G129" t="inlineStr">
        <is>
          <t>Tuesday</t>
        </is>
      </c>
      <c r="H129" t="inlineStr">
        <is>
          <t>Monthly - Tuesday</t>
        </is>
      </c>
      <c r="I129" t="inlineStr">
        <is>
          <t>Monthly - Tuesday</t>
        </is>
      </c>
      <c r="J129" t="inlineStr">
        <is>
          <t>Month+1 Expiry</t>
        </is>
      </c>
      <c r="K129" s="25" t="n">
        <v>703306</v>
      </c>
      <c r="L129" s="26" t="n">
        <v>1355.1977</v>
      </c>
      <c r="M129" s="26" t="n">
        <v>11.7975</v>
      </c>
    </row>
    <row r="130" ht="16" customHeight="1">
      <c r="A130" t="inlineStr">
        <is>
          <t>30-Sep-2025</t>
        </is>
      </c>
      <c r="B130" t="inlineStr">
        <is>
          <t>Tuesday</t>
        </is>
      </c>
      <c r="C130" t="inlineStr">
        <is>
          <t>Week5-Sep-2025</t>
        </is>
      </c>
      <c r="D130" s="78" t="n">
        <v>45901</v>
      </c>
      <c r="E130" t="inlineStr">
        <is>
          <t>Q2FY26</t>
        </is>
      </c>
      <c r="F130" t="inlineStr">
        <is>
          <t>25-Nov-2025</t>
        </is>
      </c>
      <c r="G130" t="inlineStr">
        <is>
          <t>Tuesday</t>
        </is>
      </c>
      <c r="H130" t="inlineStr">
        <is>
          <t>Monthly - Tuesday</t>
        </is>
      </c>
      <c r="I130" t="inlineStr">
        <is>
          <t>Monthly - Tuesday</t>
        </is>
      </c>
      <c r="J130" t="inlineStr">
        <is>
          <t>Month+2 Expiry</t>
        </is>
      </c>
      <c r="K130" s="25" t="n">
        <v>7401</v>
      </c>
      <c r="L130" s="26" t="n">
        <v>14.3143</v>
      </c>
      <c r="M130" s="26" t="n">
        <v>0.1646</v>
      </c>
    </row>
    <row r="131" ht="16" customHeight="1">
      <c r="A131" t="inlineStr">
        <is>
          <t>30-Sep-2025</t>
        </is>
      </c>
      <c r="B131" t="inlineStr">
        <is>
          <t>Tuesday</t>
        </is>
      </c>
      <c r="C131" t="inlineStr">
        <is>
          <t>Week5-Sep-2025</t>
        </is>
      </c>
      <c r="D131" s="78" t="n">
        <v>45901</v>
      </c>
      <c r="E131" t="inlineStr">
        <is>
          <t>Q2FY26</t>
        </is>
      </c>
      <c r="F131" t="inlineStr">
        <is>
          <t>30-Dec-2025</t>
        </is>
      </c>
      <c r="G131" t="inlineStr">
        <is>
          <t>Tuesday</t>
        </is>
      </c>
      <c r="H131" t="inlineStr">
        <is>
          <t>Monthly - Tuesday</t>
        </is>
      </c>
      <c r="I131" t="inlineStr">
        <is>
          <t>Monthly - Tuesday</t>
        </is>
      </c>
      <c r="J131" t="inlineStr">
        <is>
          <t>Month+3 Expiry</t>
        </is>
      </c>
      <c r="K131" s="25" t="n">
        <v>2577</v>
      </c>
      <c r="L131" s="26" t="n">
        <v>5.1074</v>
      </c>
      <c r="M131" s="26" t="n">
        <v>0.08359999999999999</v>
      </c>
    </row>
    <row r="132" ht="16" customHeight="1">
      <c r="A132" t="inlineStr">
        <is>
          <t>30-Sep-2025</t>
        </is>
      </c>
      <c r="B132" t="inlineStr">
        <is>
          <t>Tuesday</t>
        </is>
      </c>
      <c r="C132" t="inlineStr">
        <is>
          <t>Week5-Sep-2025</t>
        </is>
      </c>
      <c r="D132" s="78" t="n">
        <v>45901</v>
      </c>
      <c r="E132" t="inlineStr">
        <is>
          <t>Q2FY26</t>
        </is>
      </c>
      <c r="F132" t="inlineStr">
        <is>
          <t>31-Mar-2026</t>
        </is>
      </c>
      <c r="G132" t="inlineStr">
        <is>
          <t>Tuesday</t>
        </is>
      </c>
      <c r="H132" t="inlineStr">
        <is>
          <t>Monthly - Tuesday</t>
        </is>
      </c>
      <c r="I132" t="inlineStr">
        <is>
          <t>Monthly - Tuesday</t>
        </is>
      </c>
      <c r="J132" t="inlineStr">
        <is>
          <t>Month+6 Expiry</t>
        </is>
      </c>
      <c r="K132" s="25" t="n">
        <v>79</v>
      </c>
      <c r="L132" s="26" t="n">
        <v>0.1647</v>
      </c>
      <c r="M132" s="26" t="n">
        <v>0.003</v>
      </c>
    </row>
    <row r="133" ht="16" customHeight="1">
      <c r="A133" t="inlineStr">
        <is>
          <t>30-Sep-2025</t>
        </is>
      </c>
      <c r="B133" t="inlineStr">
        <is>
          <t>Tuesday</t>
        </is>
      </c>
      <c r="C133" t="inlineStr">
        <is>
          <t>Week5-Sep-2025</t>
        </is>
      </c>
      <c r="D133" s="78" t="n">
        <v>45901</v>
      </c>
      <c r="E133" t="inlineStr">
        <is>
          <t>Q2FY26</t>
        </is>
      </c>
      <c r="F133" t="inlineStr">
        <is>
          <t>30-Jun-2026</t>
        </is>
      </c>
      <c r="G133" t="inlineStr">
        <is>
          <t>Tuesday</t>
        </is>
      </c>
      <c r="H133" t="inlineStr">
        <is>
          <t>Monthly - Tuesday</t>
        </is>
      </c>
      <c r="I133" t="inlineStr">
        <is>
          <t>Monthly - Tuesday</t>
        </is>
      </c>
      <c r="J133" t="inlineStr">
        <is>
          <t>Month+9 Expiry</t>
        </is>
      </c>
      <c r="K133" s="25" t="n">
        <v>0</v>
      </c>
      <c r="L133" s="26" t="n">
        <v>0</v>
      </c>
      <c r="M133" s="26" t="n">
        <v>0</v>
      </c>
    </row>
    <row r="134" ht="16" customHeight="1">
      <c r="A134" t="inlineStr">
        <is>
          <t>01-Oct-2025</t>
        </is>
      </c>
      <c r="B134" t="inlineStr">
        <is>
          <t>Wednesday</t>
        </is>
      </c>
      <c r="C134" t="inlineStr">
        <is>
          <t>Week1-Oct-2025</t>
        </is>
      </c>
      <c r="D134" s="78" t="n">
        <v>45931</v>
      </c>
      <c r="E134" t="inlineStr">
        <is>
          <t>Q3FY26</t>
        </is>
      </c>
      <c r="F134" t="inlineStr">
        <is>
          <t>28-Oct-2025</t>
        </is>
      </c>
      <c r="G134" t="inlineStr">
        <is>
          <t>Tuesday</t>
        </is>
      </c>
      <c r="H134" t="inlineStr">
        <is>
          <t>Monthly - Tuesday</t>
        </is>
      </c>
      <c r="I134" t="inlineStr">
        <is>
          <t>Monthly - Tuesday</t>
        </is>
      </c>
      <c r="J134" t="inlineStr">
        <is>
          <t>Same Month Expiry</t>
        </is>
      </c>
      <c r="K134" s="25" t="n">
        <v>3418398</v>
      </c>
      <c r="L134" s="26" t="n">
        <v>6622.703</v>
      </c>
      <c r="M134" s="26" t="n">
        <v>50.3848</v>
      </c>
    </row>
    <row r="135" ht="16" customHeight="1">
      <c r="A135" t="inlineStr">
        <is>
          <t>01-Oct-2025</t>
        </is>
      </c>
      <c r="B135" t="inlineStr">
        <is>
          <t>Wednesday</t>
        </is>
      </c>
      <c r="C135" t="inlineStr">
        <is>
          <t>Week1-Oct-2025</t>
        </is>
      </c>
      <c r="D135" s="78" t="n">
        <v>45931</v>
      </c>
      <c r="E135" t="inlineStr">
        <is>
          <t>Q3FY26</t>
        </is>
      </c>
      <c r="F135" t="inlineStr">
        <is>
          <t>25-Nov-2025</t>
        </is>
      </c>
      <c r="G135" t="inlineStr">
        <is>
          <t>Tuesday</t>
        </is>
      </c>
      <c r="H135" t="inlineStr">
        <is>
          <t>Monthly - Tuesday</t>
        </is>
      </c>
      <c r="I135" t="inlineStr">
        <is>
          <t>Monthly - Tuesday</t>
        </is>
      </c>
      <c r="J135" t="inlineStr">
        <is>
          <t>Month+1 Expiry</t>
        </is>
      </c>
      <c r="K135" s="25" t="n">
        <v>23611</v>
      </c>
      <c r="L135" s="26" t="n">
        <v>46.0856</v>
      </c>
      <c r="M135" s="26" t="n">
        <v>0.5162</v>
      </c>
    </row>
    <row r="136" ht="16" customHeight="1">
      <c r="A136" t="inlineStr">
        <is>
          <t>01-Oct-2025</t>
        </is>
      </c>
      <c r="B136" t="inlineStr">
        <is>
          <t>Wednesday</t>
        </is>
      </c>
      <c r="C136" t="inlineStr">
        <is>
          <t>Week1-Oct-2025</t>
        </is>
      </c>
      <c r="D136" s="78" t="n">
        <v>45931</v>
      </c>
      <c r="E136" t="inlineStr">
        <is>
          <t>Q3FY26</t>
        </is>
      </c>
      <c r="F136" t="inlineStr">
        <is>
          <t>30-Dec-2025</t>
        </is>
      </c>
      <c r="G136" t="inlineStr">
        <is>
          <t>Tuesday</t>
        </is>
      </c>
      <c r="H136" t="inlineStr">
        <is>
          <t>Monthly - Tuesday</t>
        </is>
      </c>
      <c r="I136" t="inlineStr">
        <is>
          <t>Monthly - Tuesday</t>
        </is>
      </c>
      <c r="J136" t="inlineStr">
        <is>
          <t>Month+2 Expiry</t>
        </is>
      </c>
      <c r="K136" s="25" t="n">
        <v>6012</v>
      </c>
      <c r="L136" s="26" t="n">
        <v>12.0028</v>
      </c>
      <c r="M136" s="26" t="n">
        <v>0.1618</v>
      </c>
    </row>
    <row r="137" ht="16" customHeight="1">
      <c r="A137" t="inlineStr">
        <is>
          <t>01-Oct-2025</t>
        </is>
      </c>
      <c r="B137" t="inlineStr">
        <is>
          <t>Wednesday</t>
        </is>
      </c>
      <c r="C137" t="inlineStr">
        <is>
          <t>Week1-Oct-2025</t>
        </is>
      </c>
      <c r="D137" s="78" t="n">
        <v>45931</v>
      </c>
      <c r="E137" t="inlineStr">
        <is>
          <t>Q3FY26</t>
        </is>
      </c>
      <c r="F137" t="inlineStr">
        <is>
          <t>31-Mar-2026</t>
        </is>
      </c>
      <c r="G137" t="inlineStr">
        <is>
          <t>Tuesday</t>
        </is>
      </c>
      <c r="H137" t="inlineStr">
        <is>
          <t>Monthly - Tuesday</t>
        </is>
      </c>
      <c r="I137" t="inlineStr">
        <is>
          <t>Monthly - Tuesday</t>
        </is>
      </c>
      <c r="J137" t="inlineStr">
        <is>
          <t>Month+5 Expiry</t>
        </is>
      </c>
      <c r="K137" s="25" t="n">
        <v>185</v>
      </c>
      <c r="L137" s="26" t="n">
        <v>0.388</v>
      </c>
      <c r="M137" s="26" t="n">
        <v>0.0067</v>
      </c>
    </row>
    <row r="138" ht="16" customHeight="1">
      <c r="A138" t="inlineStr">
        <is>
          <t>01-Oct-2025</t>
        </is>
      </c>
      <c r="B138" t="inlineStr">
        <is>
          <t>Wednesday</t>
        </is>
      </c>
      <c r="C138" t="inlineStr">
        <is>
          <t>Week1-Oct-2025</t>
        </is>
      </c>
      <c r="D138" s="78" t="n">
        <v>45931</v>
      </c>
      <c r="E138" t="inlineStr">
        <is>
          <t>Q3FY26</t>
        </is>
      </c>
      <c r="F138" t="inlineStr">
        <is>
          <t>30-Jun-2026</t>
        </is>
      </c>
      <c r="G138" t="inlineStr">
        <is>
          <t>Tuesday</t>
        </is>
      </c>
      <c r="H138" t="inlineStr">
        <is>
          <t>Monthly - Tuesday</t>
        </is>
      </c>
      <c r="I138" t="inlineStr">
        <is>
          <t>Monthly - Tuesday</t>
        </is>
      </c>
      <c r="J138" t="inlineStr">
        <is>
          <t>Month+8 Expiry</t>
        </is>
      </c>
      <c r="K138" s="25" t="n">
        <v>0</v>
      </c>
      <c r="L138" s="26" t="n">
        <v>0</v>
      </c>
      <c r="M138" s="26" t="n">
        <v>0</v>
      </c>
    </row>
    <row r="139" ht="16" customHeight="1">
      <c r="A139" t="inlineStr">
        <is>
          <t>01-Oct-2025</t>
        </is>
      </c>
      <c r="B139" t="inlineStr">
        <is>
          <t>Wednesday</t>
        </is>
      </c>
      <c r="C139" t="inlineStr">
        <is>
          <t>Week1-Oct-2025</t>
        </is>
      </c>
      <c r="D139" s="78" t="n">
        <v>45931</v>
      </c>
      <c r="E139" t="inlineStr">
        <is>
          <t>Q3FY26</t>
        </is>
      </c>
      <c r="F139" t="inlineStr">
        <is>
          <t>29-Sep-2026</t>
        </is>
      </c>
      <c r="G139" t="inlineStr">
        <is>
          <t>Tuesday</t>
        </is>
      </c>
      <c r="H139" t="inlineStr">
        <is>
          <t>Monthly - Tuesday</t>
        </is>
      </c>
      <c r="I139" t="inlineStr">
        <is>
          <t>Monthly - Tuesday</t>
        </is>
      </c>
      <c r="J139" t="inlineStr">
        <is>
          <t>Month+11 Expiry</t>
        </is>
      </c>
      <c r="K139" s="25" t="n">
        <v>0</v>
      </c>
      <c r="L139" s="26" t="n">
        <v>0</v>
      </c>
      <c r="M139" s="26" t="n">
        <v>0</v>
      </c>
    </row>
    <row r="140" ht="16" customHeight="1">
      <c r="A140" t="inlineStr">
        <is>
          <t>03-Oct-2025</t>
        </is>
      </c>
      <c r="B140" t="inlineStr">
        <is>
          <t>Friday</t>
        </is>
      </c>
      <c r="C140" t="inlineStr">
        <is>
          <t>Week1-Oct-2025</t>
        </is>
      </c>
      <c r="D140" s="78" t="n">
        <v>45931</v>
      </c>
      <c r="E140" t="inlineStr">
        <is>
          <t>Q3FY26</t>
        </is>
      </c>
      <c r="F140" t="inlineStr">
        <is>
          <t>28-Oct-2025</t>
        </is>
      </c>
      <c r="G140" t="inlineStr">
        <is>
          <t>Tuesday</t>
        </is>
      </c>
      <c r="H140" t="inlineStr">
        <is>
          <t>Monthly - Tuesday</t>
        </is>
      </c>
      <c r="I140" t="inlineStr">
        <is>
          <t>Monthly - Tuesday</t>
        </is>
      </c>
      <c r="J140" t="inlineStr">
        <is>
          <t>Same Month Expiry</t>
        </is>
      </c>
      <c r="K140" s="25" t="n">
        <v>2480760</v>
      </c>
      <c r="L140" s="26" t="n">
        <v>4817.4319</v>
      </c>
      <c r="M140" s="26" t="n">
        <v>35.5973</v>
      </c>
    </row>
    <row r="141" ht="16" customHeight="1">
      <c r="A141" t="inlineStr">
        <is>
          <t>03-Oct-2025</t>
        </is>
      </c>
      <c r="B141" t="inlineStr">
        <is>
          <t>Friday</t>
        </is>
      </c>
      <c r="C141" t="inlineStr">
        <is>
          <t>Week1-Oct-2025</t>
        </is>
      </c>
      <c r="D141" s="78" t="n">
        <v>45931</v>
      </c>
      <c r="E141" t="inlineStr">
        <is>
          <t>Q3FY26</t>
        </is>
      </c>
      <c r="F141" t="inlineStr">
        <is>
          <t>25-Nov-2025</t>
        </is>
      </c>
      <c r="G141" t="inlineStr">
        <is>
          <t>Tuesday</t>
        </is>
      </c>
      <c r="H141" t="inlineStr">
        <is>
          <t>Monthly - Tuesday</t>
        </is>
      </c>
      <c r="I141" t="inlineStr">
        <is>
          <t>Monthly - Tuesday</t>
        </is>
      </c>
      <c r="J141" t="inlineStr">
        <is>
          <t>Month+1 Expiry</t>
        </is>
      </c>
      <c r="K141" s="25" t="n">
        <v>24070</v>
      </c>
      <c r="L141" s="26" t="n">
        <v>46.7797</v>
      </c>
      <c r="M141" s="26" t="n">
        <v>0.4472</v>
      </c>
    </row>
    <row r="142" ht="16" customHeight="1">
      <c r="A142" t="inlineStr">
        <is>
          <t>03-Oct-2025</t>
        </is>
      </c>
      <c r="B142" t="inlineStr">
        <is>
          <t>Friday</t>
        </is>
      </c>
      <c r="C142" t="inlineStr">
        <is>
          <t>Week1-Oct-2025</t>
        </is>
      </c>
      <c r="D142" s="78" t="n">
        <v>45931</v>
      </c>
      <c r="E142" t="inlineStr">
        <is>
          <t>Q3FY26</t>
        </is>
      </c>
      <c r="F142" t="inlineStr">
        <is>
          <t>30-Dec-2025</t>
        </is>
      </c>
      <c r="G142" t="inlineStr">
        <is>
          <t>Tuesday</t>
        </is>
      </c>
      <c r="H142" t="inlineStr">
        <is>
          <t>Monthly - Tuesday</t>
        </is>
      </c>
      <c r="I142" t="inlineStr">
        <is>
          <t>Monthly - Tuesday</t>
        </is>
      </c>
      <c r="J142" t="inlineStr">
        <is>
          <t>Month+2 Expiry</t>
        </is>
      </c>
      <c r="K142" s="25" t="n">
        <v>4540</v>
      </c>
      <c r="L142" s="26" t="n">
        <v>8.964499999999999</v>
      </c>
      <c r="M142" s="26" t="n">
        <v>0.1183</v>
      </c>
    </row>
    <row r="143" ht="16" customHeight="1">
      <c r="A143" t="inlineStr">
        <is>
          <t>03-Oct-2025</t>
        </is>
      </c>
      <c r="B143" t="inlineStr">
        <is>
          <t>Friday</t>
        </is>
      </c>
      <c r="C143" t="inlineStr">
        <is>
          <t>Week1-Oct-2025</t>
        </is>
      </c>
      <c r="D143" s="78" t="n">
        <v>45931</v>
      </c>
      <c r="E143" t="inlineStr">
        <is>
          <t>Q3FY26</t>
        </is>
      </c>
      <c r="F143" t="inlineStr">
        <is>
          <t>31-Mar-2026</t>
        </is>
      </c>
      <c r="G143" t="inlineStr">
        <is>
          <t>Tuesday</t>
        </is>
      </c>
      <c r="H143" t="inlineStr">
        <is>
          <t>Monthly - Tuesday</t>
        </is>
      </c>
      <c r="I143" t="inlineStr">
        <is>
          <t>Monthly - Tuesday</t>
        </is>
      </c>
      <c r="J143" t="inlineStr">
        <is>
          <t>Month+5 Expiry</t>
        </is>
      </c>
      <c r="K143" s="25" t="n">
        <v>55</v>
      </c>
      <c r="L143" s="26" t="n">
        <v>0.1144</v>
      </c>
      <c r="M143" s="26" t="n">
        <v>0.0026</v>
      </c>
    </row>
    <row r="144" ht="16" customHeight="1">
      <c r="A144" t="inlineStr">
        <is>
          <t>03-Oct-2025</t>
        </is>
      </c>
      <c r="B144" t="inlineStr">
        <is>
          <t>Friday</t>
        </is>
      </c>
      <c r="C144" t="inlineStr">
        <is>
          <t>Week1-Oct-2025</t>
        </is>
      </c>
      <c r="D144" s="78" t="n">
        <v>45931</v>
      </c>
      <c r="E144" t="inlineStr">
        <is>
          <t>Q3FY26</t>
        </is>
      </c>
      <c r="F144" t="inlineStr">
        <is>
          <t>30-Jun-2026</t>
        </is>
      </c>
      <c r="G144" t="inlineStr">
        <is>
          <t>Tuesday</t>
        </is>
      </c>
      <c r="H144" t="inlineStr">
        <is>
          <t>Monthly - Tuesday</t>
        </is>
      </c>
      <c r="I144" t="inlineStr">
        <is>
          <t>Monthly - Tuesday</t>
        </is>
      </c>
      <c r="J144" t="inlineStr">
        <is>
          <t>Month+8 Expiry</t>
        </is>
      </c>
      <c r="K144" s="25" t="n">
        <v>0</v>
      </c>
      <c r="L144" s="26" t="n">
        <v>0</v>
      </c>
      <c r="M144" s="26" t="n">
        <v>0</v>
      </c>
    </row>
    <row r="145" ht="16" customHeight="1">
      <c r="A145" t="inlineStr">
        <is>
          <t>03-Oct-2025</t>
        </is>
      </c>
      <c r="B145" t="inlineStr">
        <is>
          <t>Friday</t>
        </is>
      </c>
      <c r="C145" t="inlineStr">
        <is>
          <t>Week1-Oct-2025</t>
        </is>
      </c>
      <c r="D145" s="78" t="n">
        <v>45931</v>
      </c>
      <c r="E145" t="inlineStr">
        <is>
          <t>Q3FY26</t>
        </is>
      </c>
      <c r="F145" t="inlineStr">
        <is>
          <t>29-Sep-2026</t>
        </is>
      </c>
      <c r="G145" t="inlineStr">
        <is>
          <t>Tuesday</t>
        </is>
      </c>
      <c r="H145" t="inlineStr">
        <is>
          <t>Monthly - Tuesday</t>
        </is>
      </c>
      <c r="I145" t="inlineStr">
        <is>
          <t>Monthly - Tuesday</t>
        </is>
      </c>
      <c r="J145" t="inlineStr">
        <is>
          <t>Month+11 Expiry</t>
        </is>
      </c>
      <c r="K145" s="25" t="n">
        <v>0</v>
      </c>
      <c r="L145" s="26" t="n">
        <v>0</v>
      </c>
      <c r="M145" s="26" t="n">
        <v>0</v>
      </c>
    </row>
    <row r="146" ht="16" customHeight="1">
      <c r="A146" t="inlineStr">
        <is>
          <t>06-Oct-2025</t>
        </is>
      </c>
      <c r="B146" t="inlineStr">
        <is>
          <t>Monday</t>
        </is>
      </c>
      <c r="C146" t="inlineStr">
        <is>
          <t>Week1-Oct-2025</t>
        </is>
      </c>
      <c r="D146" s="78" t="n">
        <v>45931</v>
      </c>
      <c r="E146" t="inlineStr">
        <is>
          <t>Q3FY26</t>
        </is>
      </c>
      <c r="F146" t="inlineStr">
        <is>
          <t>28-Oct-2025</t>
        </is>
      </c>
      <c r="G146" t="inlineStr">
        <is>
          <t>Tuesday</t>
        </is>
      </c>
      <c r="H146" t="inlineStr">
        <is>
          <t>Monthly - Tuesday</t>
        </is>
      </c>
      <c r="I146" t="inlineStr">
        <is>
          <t>Monthly - Tuesday</t>
        </is>
      </c>
      <c r="J146" t="inlineStr">
        <is>
          <t>Same Month Expiry</t>
        </is>
      </c>
      <c r="K146" s="25" t="n">
        <v>2876686</v>
      </c>
      <c r="L146" s="26" t="n">
        <v>5617.0957</v>
      </c>
      <c r="M146" s="26" t="n">
        <v>36.0748</v>
      </c>
    </row>
    <row r="147" ht="16" customHeight="1">
      <c r="A147" t="inlineStr">
        <is>
          <t>06-Oct-2025</t>
        </is>
      </c>
      <c r="B147" t="inlineStr">
        <is>
          <t>Monday</t>
        </is>
      </c>
      <c r="C147" t="inlineStr">
        <is>
          <t>Week1-Oct-2025</t>
        </is>
      </c>
      <c r="D147" s="78" t="n">
        <v>45931</v>
      </c>
      <c r="E147" t="inlineStr">
        <is>
          <t>Q3FY26</t>
        </is>
      </c>
      <c r="F147" t="inlineStr">
        <is>
          <t>25-Nov-2025</t>
        </is>
      </c>
      <c r="G147" t="inlineStr">
        <is>
          <t>Tuesday</t>
        </is>
      </c>
      <c r="H147" t="inlineStr">
        <is>
          <t>Monthly - Tuesday</t>
        </is>
      </c>
      <c r="I147" t="inlineStr">
        <is>
          <t>Monthly - Tuesday</t>
        </is>
      </c>
      <c r="J147" t="inlineStr">
        <is>
          <t>Month+1 Expiry</t>
        </is>
      </c>
      <c r="K147" s="25" t="n">
        <v>35975</v>
      </c>
      <c r="L147" s="26" t="n">
        <v>70.57429999999999</v>
      </c>
      <c r="M147" s="26" t="n">
        <v>0.6666</v>
      </c>
    </row>
    <row r="148" ht="16" customHeight="1">
      <c r="A148" t="inlineStr">
        <is>
          <t>06-Oct-2025</t>
        </is>
      </c>
      <c r="B148" t="inlineStr">
        <is>
          <t>Monday</t>
        </is>
      </c>
      <c r="C148" t="inlineStr">
        <is>
          <t>Week1-Oct-2025</t>
        </is>
      </c>
      <c r="D148" s="78" t="n">
        <v>45931</v>
      </c>
      <c r="E148" t="inlineStr">
        <is>
          <t>Q3FY26</t>
        </is>
      </c>
      <c r="F148" t="inlineStr">
        <is>
          <t>30-Dec-2025</t>
        </is>
      </c>
      <c r="G148" t="inlineStr">
        <is>
          <t>Tuesday</t>
        </is>
      </c>
      <c r="H148" t="inlineStr">
        <is>
          <t>Monthly - Tuesday</t>
        </is>
      </c>
      <c r="I148" t="inlineStr">
        <is>
          <t>Monthly - Tuesday</t>
        </is>
      </c>
      <c r="J148" t="inlineStr">
        <is>
          <t>Month+2 Expiry</t>
        </is>
      </c>
      <c r="K148" s="25" t="n">
        <v>9736</v>
      </c>
      <c r="L148" s="26" t="n">
        <v>19.1345</v>
      </c>
      <c r="M148" s="26" t="n">
        <v>0.2422</v>
      </c>
    </row>
    <row r="149" ht="16" customHeight="1">
      <c r="A149" t="inlineStr">
        <is>
          <t>06-Oct-2025</t>
        </is>
      </c>
      <c r="B149" t="inlineStr">
        <is>
          <t>Monday</t>
        </is>
      </c>
      <c r="C149" t="inlineStr">
        <is>
          <t>Week1-Oct-2025</t>
        </is>
      </c>
      <c r="D149" s="78" t="n">
        <v>45931</v>
      </c>
      <c r="E149" t="inlineStr">
        <is>
          <t>Q3FY26</t>
        </is>
      </c>
      <c r="F149" t="inlineStr">
        <is>
          <t>31-Mar-2026</t>
        </is>
      </c>
      <c r="G149" t="inlineStr">
        <is>
          <t>Tuesday</t>
        </is>
      </c>
      <c r="H149" t="inlineStr">
        <is>
          <t>Monthly - Tuesday</t>
        </is>
      </c>
      <c r="I149" t="inlineStr">
        <is>
          <t>Monthly - Tuesday</t>
        </is>
      </c>
      <c r="J149" t="inlineStr">
        <is>
          <t>Month+5 Expiry</t>
        </is>
      </c>
      <c r="K149" s="25" t="n">
        <v>164</v>
      </c>
      <c r="L149" s="26" t="n">
        <v>0.3422</v>
      </c>
      <c r="M149" s="26" t="n">
        <v>0.0081</v>
      </c>
    </row>
    <row r="150" ht="16" customHeight="1">
      <c r="A150" t="inlineStr">
        <is>
          <t>06-Oct-2025</t>
        </is>
      </c>
      <c r="B150" t="inlineStr">
        <is>
          <t>Monday</t>
        </is>
      </c>
      <c r="C150" t="inlineStr">
        <is>
          <t>Week1-Oct-2025</t>
        </is>
      </c>
      <c r="D150" s="78" t="n">
        <v>45931</v>
      </c>
      <c r="E150" t="inlineStr">
        <is>
          <t>Q3FY26</t>
        </is>
      </c>
      <c r="F150" t="inlineStr">
        <is>
          <t>30-Jun-2026</t>
        </is>
      </c>
      <c r="G150" t="inlineStr">
        <is>
          <t>Tuesday</t>
        </is>
      </c>
      <c r="H150" t="inlineStr">
        <is>
          <t>Monthly - Tuesday</t>
        </is>
      </c>
      <c r="I150" t="inlineStr">
        <is>
          <t>Monthly - Tuesday</t>
        </is>
      </c>
      <c r="J150" t="inlineStr">
        <is>
          <t>Month+8 Expiry</t>
        </is>
      </c>
      <c r="K150" s="25" t="n">
        <v>0</v>
      </c>
      <c r="L150" s="26" t="n">
        <v>0</v>
      </c>
      <c r="M150" s="26" t="n">
        <v>0</v>
      </c>
    </row>
    <row r="151" ht="16" customHeight="1">
      <c r="A151" t="inlineStr">
        <is>
          <t>06-Oct-2025</t>
        </is>
      </c>
      <c r="B151" t="inlineStr">
        <is>
          <t>Monday</t>
        </is>
      </c>
      <c r="C151" t="inlineStr">
        <is>
          <t>Week1-Oct-2025</t>
        </is>
      </c>
      <c r="D151" s="78" t="n">
        <v>45931</v>
      </c>
      <c r="E151" t="inlineStr">
        <is>
          <t>Q3FY26</t>
        </is>
      </c>
      <c r="F151" t="inlineStr">
        <is>
          <t>29-Sep-2026</t>
        </is>
      </c>
      <c r="G151" t="inlineStr">
        <is>
          <t>Tuesday</t>
        </is>
      </c>
      <c r="H151" t="inlineStr">
        <is>
          <t>Monthly - Tuesday</t>
        </is>
      </c>
      <c r="I151" t="inlineStr">
        <is>
          <t>Monthly - Tuesday</t>
        </is>
      </c>
      <c r="J151" t="inlineStr">
        <is>
          <t>Month+11 Expiry</t>
        </is>
      </c>
      <c r="K151" s="25" t="n">
        <v>0</v>
      </c>
      <c r="L151" s="26" t="n">
        <v>0</v>
      </c>
      <c r="M151" s="26" t="n">
        <v>0</v>
      </c>
    </row>
    <row r="152" ht="16" customHeight="1">
      <c r="A152" t="inlineStr">
        <is>
          <t>07-Oct-2025</t>
        </is>
      </c>
      <c r="B152" t="inlineStr">
        <is>
          <t>Tuesday</t>
        </is>
      </c>
      <c r="C152" t="inlineStr">
        <is>
          <t>Week1-Oct-2025</t>
        </is>
      </c>
      <c r="D152" s="78" t="n">
        <v>45931</v>
      </c>
      <c r="E152" t="inlineStr">
        <is>
          <t>Q3FY26</t>
        </is>
      </c>
      <c r="F152" t="inlineStr">
        <is>
          <t>28-Oct-2025</t>
        </is>
      </c>
      <c r="G152" t="inlineStr">
        <is>
          <t>Tuesday</t>
        </is>
      </c>
      <c r="H152" t="inlineStr">
        <is>
          <t>Monthly - Tuesday</t>
        </is>
      </c>
      <c r="I152" t="inlineStr">
        <is>
          <t>Monthly - Tuesday</t>
        </is>
      </c>
      <c r="J152" t="inlineStr">
        <is>
          <t>Same Month Expiry</t>
        </is>
      </c>
      <c r="K152" s="25" t="n">
        <v>2903786</v>
      </c>
      <c r="L152" s="26" t="n">
        <v>5708.1586</v>
      </c>
      <c r="M152" s="26" t="n">
        <v>37.7032</v>
      </c>
    </row>
    <row r="153" ht="16" customHeight="1">
      <c r="A153" t="inlineStr">
        <is>
          <t>07-Oct-2025</t>
        </is>
      </c>
      <c r="B153" t="inlineStr">
        <is>
          <t>Tuesday</t>
        </is>
      </c>
      <c r="C153" t="inlineStr">
        <is>
          <t>Week1-Oct-2025</t>
        </is>
      </c>
      <c r="D153" s="78" t="n">
        <v>45931</v>
      </c>
      <c r="E153" t="inlineStr">
        <is>
          <t>Q3FY26</t>
        </is>
      </c>
      <c r="F153" t="inlineStr">
        <is>
          <t>25-Nov-2025</t>
        </is>
      </c>
      <c r="G153" t="inlineStr">
        <is>
          <t>Tuesday</t>
        </is>
      </c>
      <c r="H153" t="inlineStr">
        <is>
          <t>Monthly - Tuesday</t>
        </is>
      </c>
      <c r="I153" t="inlineStr">
        <is>
          <t>Monthly - Tuesday</t>
        </is>
      </c>
      <c r="J153" t="inlineStr">
        <is>
          <t>Month+1 Expiry</t>
        </is>
      </c>
      <c r="K153" s="25" t="n">
        <v>40257</v>
      </c>
      <c r="L153" s="26" t="n">
        <v>80.28149999999999</v>
      </c>
      <c r="M153" s="26" t="n">
        <v>0.7597</v>
      </c>
    </row>
    <row r="154" ht="16" customHeight="1">
      <c r="A154" t="inlineStr">
        <is>
          <t>07-Oct-2025</t>
        </is>
      </c>
      <c r="B154" t="inlineStr">
        <is>
          <t>Tuesday</t>
        </is>
      </c>
      <c r="C154" t="inlineStr">
        <is>
          <t>Week1-Oct-2025</t>
        </is>
      </c>
      <c r="D154" s="78" t="n">
        <v>45931</v>
      </c>
      <c r="E154" t="inlineStr">
        <is>
          <t>Q3FY26</t>
        </is>
      </c>
      <c r="F154" t="inlineStr">
        <is>
          <t>30-Dec-2025</t>
        </is>
      </c>
      <c r="G154" t="inlineStr">
        <is>
          <t>Tuesday</t>
        </is>
      </c>
      <c r="H154" t="inlineStr">
        <is>
          <t>Monthly - Tuesday</t>
        </is>
      </c>
      <c r="I154" t="inlineStr">
        <is>
          <t>Monthly - Tuesday</t>
        </is>
      </c>
      <c r="J154" t="inlineStr">
        <is>
          <t>Month+2 Expiry</t>
        </is>
      </c>
      <c r="K154" s="25" t="n">
        <v>6664</v>
      </c>
      <c r="L154" s="26" t="n">
        <v>13.2879</v>
      </c>
      <c r="M154" s="26" t="n">
        <v>0.1403</v>
      </c>
    </row>
    <row r="155" ht="16" customHeight="1">
      <c r="A155" t="inlineStr">
        <is>
          <t>07-Oct-2025</t>
        </is>
      </c>
      <c r="B155" t="inlineStr">
        <is>
          <t>Tuesday</t>
        </is>
      </c>
      <c r="C155" t="inlineStr">
        <is>
          <t>Week1-Oct-2025</t>
        </is>
      </c>
      <c r="D155" s="78" t="n">
        <v>45931</v>
      </c>
      <c r="E155" t="inlineStr">
        <is>
          <t>Q3FY26</t>
        </is>
      </c>
      <c r="F155" t="inlineStr">
        <is>
          <t>31-Mar-2026</t>
        </is>
      </c>
      <c r="G155" t="inlineStr">
        <is>
          <t>Tuesday</t>
        </is>
      </c>
      <c r="H155" t="inlineStr">
        <is>
          <t>Monthly - Tuesday</t>
        </is>
      </c>
      <c r="I155" t="inlineStr">
        <is>
          <t>Monthly - Tuesday</t>
        </is>
      </c>
      <c r="J155" t="inlineStr">
        <is>
          <t>Month+5 Expiry</t>
        </is>
      </c>
      <c r="K155" s="25" t="n">
        <v>245</v>
      </c>
      <c r="L155" s="26" t="n">
        <v>0.5122</v>
      </c>
      <c r="M155" s="26" t="n">
        <v>0.0123</v>
      </c>
    </row>
    <row r="156" ht="16" customHeight="1">
      <c r="A156" t="inlineStr">
        <is>
          <t>07-Oct-2025</t>
        </is>
      </c>
      <c r="B156" t="inlineStr">
        <is>
          <t>Tuesday</t>
        </is>
      </c>
      <c r="C156" t="inlineStr">
        <is>
          <t>Week1-Oct-2025</t>
        </is>
      </c>
      <c r="D156" s="78" t="n">
        <v>45931</v>
      </c>
      <c r="E156" t="inlineStr">
        <is>
          <t>Q3FY26</t>
        </is>
      </c>
      <c r="F156" t="inlineStr">
        <is>
          <t>30-Jun-2026</t>
        </is>
      </c>
      <c r="G156" t="inlineStr">
        <is>
          <t>Tuesday</t>
        </is>
      </c>
      <c r="H156" t="inlineStr">
        <is>
          <t>Monthly - Tuesday</t>
        </is>
      </c>
      <c r="I156" t="inlineStr">
        <is>
          <t>Monthly - Tuesday</t>
        </is>
      </c>
      <c r="J156" t="inlineStr">
        <is>
          <t>Month+8 Expiry</t>
        </is>
      </c>
      <c r="K156" s="25" t="n">
        <v>0</v>
      </c>
      <c r="L156" s="26" t="n">
        <v>0</v>
      </c>
      <c r="M156" s="26" t="n">
        <v>0</v>
      </c>
    </row>
    <row r="157" ht="16" customHeight="1">
      <c r="A157" t="inlineStr">
        <is>
          <t>07-Oct-2025</t>
        </is>
      </c>
      <c r="B157" t="inlineStr">
        <is>
          <t>Tuesday</t>
        </is>
      </c>
      <c r="C157" t="inlineStr">
        <is>
          <t>Week1-Oct-2025</t>
        </is>
      </c>
      <c r="D157" s="78" t="n">
        <v>45931</v>
      </c>
      <c r="E157" t="inlineStr">
        <is>
          <t>Q3FY26</t>
        </is>
      </c>
      <c r="F157" t="inlineStr">
        <is>
          <t>29-Sep-2026</t>
        </is>
      </c>
      <c r="G157" t="inlineStr">
        <is>
          <t>Tuesday</t>
        </is>
      </c>
      <c r="H157" t="inlineStr">
        <is>
          <t>Monthly - Tuesday</t>
        </is>
      </c>
      <c r="I157" t="inlineStr">
        <is>
          <t>Monthly - Tuesday</t>
        </is>
      </c>
      <c r="J157" t="inlineStr">
        <is>
          <t>Month+11 Expiry</t>
        </is>
      </c>
      <c r="K157" s="25" t="n">
        <v>0</v>
      </c>
      <c r="L157" s="26" t="n">
        <v>0</v>
      </c>
      <c r="M157" s="26" t="n">
        <v>0</v>
      </c>
    </row>
    <row r="158" ht="16" customHeight="1">
      <c r="A158" t="inlineStr">
        <is>
          <t>08-Oct-2025</t>
        </is>
      </c>
      <c r="B158" t="inlineStr">
        <is>
          <t>Wednesday</t>
        </is>
      </c>
      <c r="C158" t="inlineStr">
        <is>
          <t>Week2-Oct-2025</t>
        </is>
      </c>
      <c r="D158" s="78" t="n">
        <v>45931</v>
      </c>
      <c r="E158" t="inlineStr">
        <is>
          <t>Q3FY26</t>
        </is>
      </c>
      <c r="F158" t="inlineStr">
        <is>
          <t>28-Oct-2025</t>
        </is>
      </c>
      <c r="G158" t="inlineStr">
        <is>
          <t>Tuesday</t>
        </is>
      </c>
      <c r="H158" t="inlineStr">
        <is>
          <t>Monthly - Tuesday</t>
        </is>
      </c>
      <c r="I158" t="inlineStr">
        <is>
          <t>Monthly - Tuesday</t>
        </is>
      </c>
      <c r="J158" t="inlineStr">
        <is>
          <t>Same Month Expiry</t>
        </is>
      </c>
      <c r="K158" s="25" t="n">
        <v>3420593</v>
      </c>
      <c r="L158" s="26" t="n">
        <v>6713.9899</v>
      </c>
      <c r="M158" s="26" t="n">
        <v>44.2005</v>
      </c>
    </row>
    <row r="159" ht="16" customHeight="1">
      <c r="A159" t="inlineStr">
        <is>
          <t>08-Oct-2025</t>
        </is>
      </c>
      <c r="B159" t="inlineStr">
        <is>
          <t>Wednesday</t>
        </is>
      </c>
      <c r="C159" t="inlineStr">
        <is>
          <t>Week2-Oct-2025</t>
        </is>
      </c>
      <c r="D159" s="78" t="n">
        <v>45931</v>
      </c>
      <c r="E159" t="inlineStr">
        <is>
          <t>Q3FY26</t>
        </is>
      </c>
      <c r="F159" t="inlineStr">
        <is>
          <t>25-Nov-2025</t>
        </is>
      </c>
      <c r="G159" t="inlineStr">
        <is>
          <t>Tuesday</t>
        </is>
      </c>
      <c r="H159" t="inlineStr">
        <is>
          <t>Monthly - Tuesday</t>
        </is>
      </c>
      <c r="I159" t="inlineStr">
        <is>
          <t>Monthly - Tuesday</t>
        </is>
      </c>
      <c r="J159" t="inlineStr">
        <is>
          <t>Month+1 Expiry</t>
        </is>
      </c>
      <c r="K159" s="25" t="n">
        <v>43425</v>
      </c>
      <c r="L159" s="26" t="n">
        <v>86.4068</v>
      </c>
      <c r="M159" s="26" t="n">
        <v>0.8698</v>
      </c>
    </row>
    <row r="160" ht="16" customHeight="1">
      <c r="A160" t="inlineStr">
        <is>
          <t>08-Oct-2025</t>
        </is>
      </c>
      <c r="B160" t="inlineStr">
        <is>
          <t>Wednesday</t>
        </is>
      </c>
      <c r="C160" t="inlineStr">
        <is>
          <t>Week2-Oct-2025</t>
        </is>
      </c>
      <c r="D160" s="78" t="n">
        <v>45931</v>
      </c>
      <c r="E160" t="inlineStr">
        <is>
          <t>Q3FY26</t>
        </is>
      </c>
      <c r="F160" t="inlineStr">
        <is>
          <t>30-Dec-2025</t>
        </is>
      </c>
      <c r="G160" t="inlineStr">
        <is>
          <t>Tuesday</t>
        </is>
      </c>
      <c r="H160" t="inlineStr">
        <is>
          <t>Monthly - Tuesday</t>
        </is>
      </c>
      <c r="I160" t="inlineStr">
        <is>
          <t>Monthly - Tuesday</t>
        </is>
      </c>
      <c r="J160" t="inlineStr">
        <is>
          <t>Month+2 Expiry</t>
        </is>
      </c>
      <c r="K160" s="25" t="n">
        <v>4411</v>
      </c>
      <c r="L160" s="26" t="n">
        <v>8.786</v>
      </c>
      <c r="M160" s="26" t="n">
        <v>0.1043</v>
      </c>
    </row>
    <row r="161" ht="16" customHeight="1">
      <c r="A161" t="inlineStr">
        <is>
          <t>08-Oct-2025</t>
        </is>
      </c>
      <c r="B161" t="inlineStr">
        <is>
          <t>Wednesday</t>
        </is>
      </c>
      <c r="C161" t="inlineStr">
        <is>
          <t>Week2-Oct-2025</t>
        </is>
      </c>
      <c r="D161" s="78" t="n">
        <v>45931</v>
      </c>
      <c r="E161" t="inlineStr">
        <is>
          <t>Q3FY26</t>
        </is>
      </c>
      <c r="F161" t="inlineStr">
        <is>
          <t>31-Mar-2026</t>
        </is>
      </c>
      <c r="G161" t="inlineStr">
        <is>
          <t>Tuesday</t>
        </is>
      </c>
      <c r="H161" t="inlineStr">
        <is>
          <t>Monthly - Tuesday</t>
        </is>
      </c>
      <c r="I161" t="inlineStr">
        <is>
          <t>Monthly - Tuesday</t>
        </is>
      </c>
      <c r="J161" t="inlineStr">
        <is>
          <t>Month+5 Expiry</t>
        </is>
      </c>
      <c r="K161" s="25" t="n">
        <v>119</v>
      </c>
      <c r="L161" s="26" t="n">
        <v>0.2498</v>
      </c>
      <c r="M161" s="26" t="n">
        <v>0.005</v>
      </c>
    </row>
    <row r="162" ht="16" customHeight="1">
      <c r="A162" t="inlineStr">
        <is>
          <t>08-Oct-2025</t>
        </is>
      </c>
      <c r="B162" t="inlineStr">
        <is>
          <t>Wednesday</t>
        </is>
      </c>
      <c r="C162" t="inlineStr">
        <is>
          <t>Week2-Oct-2025</t>
        </is>
      </c>
      <c r="D162" s="78" t="n">
        <v>45931</v>
      </c>
      <c r="E162" t="inlineStr">
        <is>
          <t>Q3FY26</t>
        </is>
      </c>
      <c r="F162" t="inlineStr">
        <is>
          <t>30-Jun-2026</t>
        </is>
      </c>
      <c r="G162" t="inlineStr">
        <is>
          <t>Tuesday</t>
        </is>
      </c>
      <c r="H162" t="inlineStr">
        <is>
          <t>Monthly - Tuesday</t>
        </is>
      </c>
      <c r="I162" t="inlineStr">
        <is>
          <t>Monthly - Tuesday</t>
        </is>
      </c>
      <c r="J162" t="inlineStr">
        <is>
          <t>Month+8 Expiry</t>
        </is>
      </c>
      <c r="K162" s="25" t="n">
        <v>0</v>
      </c>
      <c r="L162" s="26" t="n">
        <v>0</v>
      </c>
      <c r="M162" s="26" t="n">
        <v>0</v>
      </c>
    </row>
    <row r="163" ht="16" customHeight="1">
      <c r="A163" t="inlineStr">
        <is>
          <t>08-Oct-2025</t>
        </is>
      </c>
      <c r="B163" t="inlineStr">
        <is>
          <t>Wednesday</t>
        </is>
      </c>
      <c r="C163" t="inlineStr">
        <is>
          <t>Week2-Oct-2025</t>
        </is>
      </c>
      <c r="D163" s="78" t="n">
        <v>45931</v>
      </c>
      <c r="E163" t="inlineStr">
        <is>
          <t>Q3FY26</t>
        </is>
      </c>
      <c r="F163" t="inlineStr">
        <is>
          <t>29-Sep-2026</t>
        </is>
      </c>
      <c r="G163" t="inlineStr">
        <is>
          <t>Tuesday</t>
        </is>
      </c>
      <c r="H163" t="inlineStr">
        <is>
          <t>Monthly - Tuesday</t>
        </is>
      </c>
      <c r="I163" t="inlineStr">
        <is>
          <t>Monthly - Tuesday</t>
        </is>
      </c>
      <c r="J163" t="inlineStr">
        <is>
          <t>Month+11 Expiry</t>
        </is>
      </c>
      <c r="K163" s="25" t="n">
        <v>0</v>
      </c>
      <c r="L163" s="26" t="n">
        <v>0</v>
      </c>
      <c r="M163" s="26" t="n">
        <v>0</v>
      </c>
    </row>
    <row r="164" ht="16" customHeight="1">
      <c r="A164" t="inlineStr">
        <is>
          <t>09-Oct-2025</t>
        </is>
      </c>
      <c r="B164" t="inlineStr">
        <is>
          <t>Thursday</t>
        </is>
      </c>
      <c r="C164" t="inlineStr">
        <is>
          <t>Week2-Oct-2025</t>
        </is>
      </c>
      <c r="D164" s="78" t="n">
        <v>45931</v>
      </c>
      <c r="E164" t="inlineStr">
        <is>
          <t>Q3FY26</t>
        </is>
      </c>
      <c r="F164" t="inlineStr">
        <is>
          <t>28-Oct-2025</t>
        </is>
      </c>
      <c r="G164" t="inlineStr">
        <is>
          <t>Tuesday</t>
        </is>
      </c>
      <c r="H164" t="inlineStr">
        <is>
          <t>Monthly - Tuesday</t>
        </is>
      </c>
      <c r="I164" t="inlineStr">
        <is>
          <t>Monthly - Tuesday</t>
        </is>
      </c>
      <c r="J164" t="inlineStr">
        <is>
          <t>Same Month Expiry</t>
        </is>
      </c>
      <c r="K164" s="25" t="n">
        <v>2616312</v>
      </c>
      <c r="L164" s="26" t="n">
        <v>5139.0998</v>
      </c>
      <c r="M164" s="26" t="n">
        <v>34.1213</v>
      </c>
    </row>
    <row r="165" ht="16" customHeight="1">
      <c r="A165" t="inlineStr">
        <is>
          <t>09-Oct-2025</t>
        </is>
      </c>
      <c r="B165" t="inlineStr">
        <is>
          <t>Thursday</t>
        </is>
      </c>
      <c r="C165" t="inlineStr">
        <is>
          <t>Week2-Oct-2025</t>
        </is>
      </c>
      <c r="D165" s="78" t="n">
        <v>45931</v>
      </c>
      <c r="E165" t="inlineStr">
        <is>
          <t>Q3FY26</t>
        </is>
      </c>
      <c r="F165" t="inlineStr">
        <is>
          <t>25-Nov-2025</t>
        </is>
      </c>
      <c r="G165" t="inlineStr">
        <is>
          <t>Tuesday</t>
        </is>
      </c>
      <c r="H165" t="inlineStr">
        <is>
          <t>Monthly - Tuesday</t>
        </is>
      </c>
      <c r="I165" t="inlineStr">
        <is>
          <t>Monthly - Tuesday</t>
        </is>
      </c>
      <c r="J165" t="inlineStr">
        <is>
          <t>Month+1 Expiry</t>
        </is>
      </c>
      <c r="K165" s="25" t="n">
        <v>26557</v>
      </c>
      <c r="L165" s="26" t="n">
        <v>52.8864</v>
      </c>
      <c r="M165" s="26" t="n">
        <v>0.5274</v>
      </c>
    </row>
    <row r="166" ht="16" customHeight="1">
      <c r="A166" t="inlineStr">
        <is>
          <t>09-Oct-2025</t>
        </is>
      </c>
      <c r="B166" t="inlineStr">
        <is>
          <t>Thursday</t>
        </is>
      </c>
      <c r="C166" t="inlineStr">
        <is>
          <t>Week2-Oct-2025</t>
        </is>
      </c>
      <c r="D166" s="78" t="n">
        <v>45931</v>
      </c>
      <c r="E166" t="inlineStr">
        <is>
          <t>Q3FY26</t>
        </is>
      </c>
      <c r="F166" t="inlineStr">
        <is>
          <t>30-Dec-2025</t>
        </is>
      </c>
      <c r="G166" t="inlineStr">
        <is>
          <t>Tuesday</t>
        </is>
      </c>
      <c r="H166" t="inlineStr">
        <is>
          <t>Monthly - Tuesday</t>
        </is>
      </c>
      <c r="I166" t="inlineStr">
        <is>
          <t>Monthly - Tuesday</t>
        </is>
      </c>
      <c r="J166" t="inlineStr">
        <is>
          <t>Month+2 Expiry</t>
        </is>
      </c>
      <c r="K166" s="25" t="n">
        <v>2323</v>
      </c>
      <c r="L166" s="26" t="n">
        <v>4.6176</v>
      </c>
      <c r="M166" s="26" t="n">
        <v>0.0527</v>
      </c>
    </row>
    <row r="167" ht="16" customHeight="1">
      <c r="A167" t="inlineStr">
        <is>
          <t>09-Oct-2025</t>
        </is>
      </c>
      <c r="B167" t="inlineStr">
        <is>
          <t>Thursday</t>
        </is>
      </c>
      <c r="C167" t="inlineStr">
        <is>
          <t>Week2-Oct-2025</t>
        </is>
      </c>
      <c r="D167" s="78" t="n">
        <v>45931</v>
      </c>
      <c r="E167" t="inlineStr">
        <is>
          <t>Q3FY26</t>
        </is>
      </c>
      <c r="F167" t="inlineStr">
        <is>
          <t>31-Mar-2026</t>
        </is>
      </c>
      <c r="G167" t="inlineStr">
        <is>
          <t>Tuesday</t>
        </is>
      </c>
      <c r="H167" t="inlineStr">
        <is>
          <t>Monthly - Tuesday</t>
        </is>
      </c>
      <c r="I167" t="inlineStr">
        <is>
          <t>Monthly - Tuesday</t>
        </is>
      </c>
      <c r="J167" t="inlineStr">
        <is>
          <t>Month+5 Expiry</t>
        </is>
      </c>
      <c r="K167" s="25" t="n">
        <v>159</v>
      </c>
      <c r="L167" s="26" t="n">
        <v>0.3311</v>
      </c>
      <c r="M167" s="26" t="n">
        <v>0.007900000000000001</v>
      </c>
    </row>
    <row r="168" ht="16" customHeight="1">
      <c r="A168" t="inlineStr">
        <is>
          <t>09-Oct-2025</t>
        </is>
      </c>
      <c r="B168" t="inlineStr">
        <is>
          <t>Thursday</t>
        </is>
      </c>
      <c r="C168" t="inlineStr">
        <is>
          <t>Week2-Oct-2025</t>
        </is>
      </c>
      <c r="D168" s="78" t="n">
        <v>45931</v>
      </c>
      <c r="E168" t="inlineStr">
        <is>
          <t>Q3FY26</t>
        </is>
      </c>
      <c r="F168" t="inlineStr">
        <is>
          <t>30-Jun-2026</t>
        </is>
      </c>
      <c r="G168" t="inlineStr">
        <is>
          <t>Tuesday</t>
        </is>
      </c>
      <c r="H168" t="inlineStr">
        <is>
          <t>Monthly - Tuesday</t>
        </is>
      </c>
      <c r="I168" t="inlineStr">
        <is>
          <t>Monthly - Tuesday</t>
        </is>
      </c>
      <c r="J168" t="inlineStr">
        <is>
          <t>Month+8 Expiry</t>
        </is>
      </c>
      <c r="K168" s="25" t="n">
        <v>0</v>
      </c>
      <c r="L168" s="26" t="n">
        <v>0</v>
      </c>
      <c r="M168" s="26" t="n">
        <v>0</v>
      </c>
    </row>
    <row r="169" ht="16" customHeight="1">
      <c r="A169" t="inlineStr">
        <is>
          <t>09-Oct-2025</t>
        </is>
      </c>
      <c r="B169" t="inlineStr">
        <is>
          <t>Thursday</t>
        </is>
      </c>
      <c r="C169" t="inlineStr">
        <is>
          <t>Week2-Oct-2025</t>
        </is>
      </c>
      <c r="D169" s="78" t="n">
        <v>45931</v>
      </c>
      <c r="E169" t="inlineStr">
        <is>
          <t>Q3FY26</t>
        </is>
      </c>
      <c r="F169" t="inlineStr">
        <is>
          <t>29-Sep-2026</t>
        </is>
      </c>
      <c r="G169" t="inlineStr">
        <is>
          <t>Tuesday</t>
        </is>
      </c>
      <c r="H169" t="inlineStr">
        <is>
          <t>Monthly - Tuesday</t>
        </is>
      </c>
      <c r="I169" t="inlineStr">
        <is>
          <t>Monthly - Tuesday</t>
        </is>
      </c>
      <c r="J169" t="inlineStr">
        <is>
          <t>Month+11 Expiry</t>
        </is>
      </c>
      <c r="K169" s="25" t="n">
        <v>0</v>
      </c>
      <c r="L169" s="26" t="n">
        <v>0</v>
      </c>
      <c r="M169" s="26" t="n">
        <v>0</v>
      </c>
    </row>
    <row r="170" ht="16" customHeight="1">
      <c r="A170" t="inlineStr">
        <is>
          <t>10-Oct-2025</t>
        </is>
      </c>
      <c r="B170" t="inlineStr">
        <is>
          <t>Friday</t>
        </is>
      </c>
      <c r="C170" t="inlineStr">
        <is>
          <t>Week2-Oct-2025</t>
        </is>
      </c>
      <c r="D170" s="78" t="n">
        <v>45931</v>
      </c>
      <c r="E170" t="inlineStr">
        <is>
          <t>Q3FY26</t>
        </is>
      </c>
      <c r="F170" t="inlineStr">
        <is>
          <t>28-Oct-2025</t>
        </is>
      </c>
      <c r="G170" t="inlineStr">
        <is>
          <t>Tuesday</t>
        </is>
      </c>
      <c r="H170" t="inlineStr">
        <is>
          <t>Monthly - Tuesday</t>
        </is>
      </c>
      <c r="I170" t="inlineStr">
        <is>
          <t>Monthly - Tuesday</t>
        </is>
      </c>
      <c r="J170" t="inlineStr">
        <is>
          <t>Same Month Expiry</t>
        </is>
      </c>
      <c r="K170" s="25" t="n">
        <v>3637423</v>
      </c>
      <c r="L170" s="26" t="n">
        <v>7191.7764</v>
      </c>
      <c r="M170" s="26" t="n">
        <v>42.392</v>
      </c>
    </row>
    <row r="171" ht="16" customHeight="1">
      <c r="A171" t="inlineStr">
        <is>
          <t>10-Oct-2025</t>
        </is>
      </c>
      <c r="B171" t="inlineStr">
        <is>
          <t>Friday</t>
        </is>
      </c>
      <c r="C171" t="inlineStr">
        <is>
          <t>Week2-Oct-2025</t>
        </is>
      </c>
      <c r="D171" s="78" t="n">
        <v>45931</v>
      </c>
      <c r="E171" t="inlineStr">
        <is>
          <t>Q3FY26</t>
        </is>
      </c>
      <c r="F171" t="inlineStr">
        <is>
          <t>25-Nov-2025</t>
        </is>
      </c>
      <c r="G171" t="inlineStr">
        <is>
          <t>Tuesday</t>
        </is>
      </c>
      <c r="H171" t="inlineStr">
        <is>
          <t>Monthly - Tuesday</t>
        </is>
      </c>
      <c r="I171" t="inlineStr">
        <is>
          <t>Monthly - Tuesday</t>
        </is>
      </c>
      <c r="J171" t="inlineStr">
        <is>
          <t>Month+1 Expiry</t>
        </is>
      </c>
      <c r="K171" s="25" t="n">
        <v>66068</v>
      </c>
      <c r="L171" s="26" t="n">
        <v>131.5625</v>
      </c>
      <c r="M171" s="26" t="n">
        <v>1.2456</v>
      </c>
    </row>
    <row r="172" ht="16" customHeight="1">
      <c r="A172" t="inlineStr">
        <is>
          <t>10-Oct-2025</t>
        </is>
      </c>
      <c r="B172" t="inlineStr">
        <is>
          <t>Friday</t>
        </is>
      </c>
      <c r="C172" t="inlineStr">
        <is>
          <t>Week2-Oct-2025</t>
        </is>
      </c>
      <c r="D172" s="78" t="n">
        <v>45931</v>
      </c>
      <c r="E172" t="inlineStr">
        <is>
          <t>Q3FY26</t>
        </is>
      </c>
      <c r="F172" t="inlineStr">
        <is>
          <t>30-Dec-2025</t>
        </is>
      </c>
      <c r="G172" t="inlineStr">
        <is>
          <t>Tuesday</t>
        </is>
      </c>
      <c r="H172" t="inlineStr">
        <is>
          <t>Monthly - Tuesday</t>
        </is>
      </c>
      <c r="I172" t="inlineStr">
        <is>
          <t>Monthly - Tuesday</t>
        </is>
      </c>
      <c r="J172" t="inlineStr">
        <is>
          <t>Month+2 Expiry</t>
        </is>
      </c>
      <c r="K172" s="25" t="n">
        <v>9440</v>
      </c>
      <c r="L172" s="26" t="n">
        <v>18.8216</v>
      </c>
      <c r="M172" s="26" t="n">
        <v>0.213</v>
      </c>
    </row>
    <row r="173" ht="16" customHeight="1">
      <c r="A173" t="inlineStr">
        <is>
          <t>10-Oct-2025</t>
        </is>
      </c>
      <c r="B173" t="inlineStr">
        <is>
          <t>Friday</t>
        </is>
      </c>
      <c r="C173" t="inlineStr">
        <is>
          <t>Week2-Oct-2025</t>
        </is>
      </c>
      <c r="D173" s="78" t="n">
        <v>45931</v>
      </c>
      <c r="E173" t="inlineStr">
        <is>
          <t>Q3FY26</t>
        </is>
      </c>
      <c r="F173" t="inlineStr">
        <is>
          <t>31-Mar-2026</t>
        </is>
      </c>
      <c r="G173" t="inlineStr">
        <is>
          <t>Tuesday</t>
        </is>
      </c>
      <c r="H173" t="inlineStr">
        <is>
          <t>Monthly - Tuesday</t>
        </is>
      </c>
      <c r="I173" t="inlineStr">
        <is>
          <t>Monthly - Tuesday</t>
        </is>
      </c>
      <c r="J173" t="inlineStr">
        <is>
          <t>Month+5 Expiry</t>
        </is>
      </c>
      <c r="K173" s="25" t="n">
        <v>540</v>
      </c>
      <c r="L173" s="26" t="n">
        <v>1.1283</v>
      </c>
      <c r="M173" s="26" t="n">
        <v>0.0255</v>
      </c>
    </row>
    <row r="174" ht="16" customHeight="1">
      <c r="A174" t="inlineStr">
        <is>
          <t>10-Oct-2025</t>
        </is>
      </c>
      <c r="B174" t="inlineStr">
        <is>
          <t>Friday</t>
        </is>
      </c>
      <c r="C174" t="inlineStr">
        <is>
          <t>Week2-Oct-2025</t>
        </is>
      </c>
      <c r="D174" s="78" t="n">
        <v>45931</v>
      </c>
      <c r="E174" t="inlineStr">
        <is>
          <t>Q3FY26</t>
        </is>
      </c>
      <c r="F174" t="inlineStr">
        <is>
          <t>30-Jun-2026</t>
        </is>
      </c>
      <c r="G174" t="inlineStr">
        <is>
          <t>Tuesday</t>
        </is>
      </c>
      <c r="H174" t="inlineStr">
        <is>
          <t>Monthly - Tuesday</t>
        </is>
      </c>
      <c r="I174" t="inlineStr">
        <is>
          <t>Monthly - Tuesday</t>
        </is>
      </c>
      <c r="J174" t="inlineStr">
        <is>
          <t>Month+8 Expiry</t>
        </is>
      </c>
      <c r="K174" s="25" t="n">
        <v>0</v>
      </c>
      <c r="L174" s="26" t="n">
        <v>0</v>
      </c>
      <c r="M174" s="26" t="n">
        <v>0</v>
      </c>
    </row>
    <row r="175" ht="16" customHeight="1">
      <c r="A175" t="inlineStr">
        <is>
          <t>10-Oct-2025</t>
        </is>
      </c>
      <c r="B175" t="inlineStr">
        <is>
          <t>Friday</t>
        </is>
      </c>
      <c r="C175" t="inlineStr">
        <is>
          <t>Week2-Oct-2025</t>
        </is>
      </c>
      <c r="D175" s="78" t="n">
        <v>45931</v>
      </c>
      <c r="E175" t="inlineStr">
        <is>
          <t>Q3FY26</t>
        </is>
      </c>
      <c r="F175" t="inlineStr">
        <is>
          <t>29-Sep-2026</t>
        </is>
      </c>
      <c r="G175" t="inlineStr">
        <is>
          <t>Tuesday</t>
        </is>
      </c>
      <c r="H175" t="inlineStr">
        <is>
          <t>Monthly - Tuesday</t>
        </is>
      </c>
      <c r="I175" t="inlineStr">
        <is>
          <t>Monthly - Tuesday</t>
        </is>
      </c>
      <c r="J175" t="inlineStr">
        <is>
          <t>Month+11 Expiry</t>
        </is>
      </c>
      <c r="K175" s="25" t="n">
        <v>0</v>
      </c>
      <c r="L175" s="26" t="n">
        <v>0</v>
      </c>
      <c r="M175" s="26" t="n">
        <v>0</v>
      </c>
    </row>
    <row r="176" ht="16" customHeight="1">
      <c r="A176" t="inlineStr">
        <is>
          <t>13-Oct-2025</t>
        </is>
      </c>
      <c r="B176" t="inlineStr">
        <is>
          <t>Monday</t>
        </is>
      </c>
      <c r="C176" t="inlineStr">
        <is>
          <t>Week2-Oct-2025</t>
        </is>
      </c>
      <c r="D176" s="78" t="n">
        <v>45931</v>
      </c>
      <c r="E176" t="inlineStr">
        <is>
          <t>Q3FY26</t>
        </is>
      </c>
      <c r="F176" t="inlineStr">
        <is>
          <t>28-Oct-2025</t>
        </is>
      </c>
      <c r="G176" t="inlineStr">
        <is>
          <t>Tuesday</t>
        </is>
      </c>
      <c r="H176" t="inlineStr">
        <is>
          <t>Monthly - Tuesday</t>
        </is>
      </c>
      <c r="I176" t="inlineStr">
        <is>
          <t>Monthly - Tuesday</t>
        </is>
      </c>
      <c r="J176" t="inlineStr">
        <is>
          <t>Same Month Expiry</t>
        </is>
      </c>
      <c r="K176" s="25" t="n">
        <v>3390928</v>
      </c>
      <c r="L176" s="26" t="n">
        <v>6700.4335</v>
      </c>
      <c r="M176" s="26" t="n">
        <v>40.9166</v>
      </c>
    </row>
    <row r="177" ht="16" customHeight="1">
      <c r="A177" t="inlineStr">
        <is>
          <t>13-Oct-2025</t>
        </is>
      </c>
      <c r="B177" t="inlineStr">
        <is>
          <t>Monday</t>
        </is>
      </c>
      <c r="C177" t="inlineStr">
        <is>
          <t>Week2-Oct-2025</t>
        </is>
      </c>
      <c r="D177" s="78" t="n">
        <v>45931</v>
      </c>
      <c r="E177" t="inlineStr">
        <is>
          <t>Q3FY26</t>
        </is>
      </c>
      <c r="F177" t="inlineStr">
        <is>
          <t>25-Nov-2025</t>
        </is>
      </c>
      <c r="G177" t="inlineStr">
        <is>
          <t>Tuesday</t>
        </is>
      </c>
      <c r="H177" t="inlineStr">
        <is>
          <t>Monthly - Tuesday</t>
        </is>
      </c>
      <c r="I177" t="inlineStr">
        <is>
          <t>Monthly - Tuesday</t>
        </is>
      </c>
      <c r="J177" t="inlineStr">
        <is>
          <t>Month+1 Expiry</t>
        </is>
      </c>
      <c r="K177" s="25" t="n">
        <v>52287</v>
      </c>
      <c r="L177" s="26" t="n">
        <v>104.2625</v>
      </c>
      <c r="M177" s="26" t="n">
        <v>1.0547</v>
      </c>
    </row>
    <row r="178" ht="16" customHeight="1">
      <c r="A178" t="inlineStr">
        <is>
          <t>13-Oct-2025</t>
        </is>
      </c>
      <c r="B178" t="inlineStr">
        <is>
          <t>Monday</t>
        </is>
      </c>
      <c r="C178" t="inlineStr">
        <is>
          <t>Week2-Oct-2025</t>
        </is>
      </c>
      <c r="D178" s="78" t="n">
        <v>45931</v>
      </c>
      <c r="E178" t="inlineStr">
        <is>
          <t>Q3FY26</t>
        </is>
      </c>
      <c r="F178" t="inlineStr">
        <is>
          <t>30-Dec-2025</t>
        </is>
      </c>
      <c r="G178" t="inlineStr">
        <is>
          <t>Tuesday</t>
        </is>
      </c>
      <c r="H178" t="inlineStr">
        <is>
          <t>Monthly - Tuesday</t>
        </is>
      </c>
      <c r="I178" t="inlineStr">
        <is>
          <t>Monthly - Tuesday</t>
        </is>
      </c>
      <c r="J178" t="inlineStr">
        <is>
          <t>Month+2 Expiry</t>
        </is>
      </c>
      <c r="K178" s="25" t="n">
        <v>10215</v>
      </c>
      <c r="L178" s="26" t="n">
        <v>20.5537</v>
      </c>
      <c r="M178" s="26" t="n">
        <v>0.3083</v>
      </c>
    </row>
    <row r="179" ht="16" customHeight="1">
      <c r="A179" t="inlineStr">
        <is>
          <t>13-Oct-2025</t>
        </is>
      </c>
      <c r="B179" t="inlineStr">
        <is>
          <t>Monday</t>
        </is>
      </c>
      <c r="C179" t="inlineStr">
        <is>
          <t>Week2-Oct-2025</t>
        </is>
      </c>
      <c r="D179" s="78" t="n">
        <v>45931</v>
      </c>
      <c r="E179" t="inlineStr">
        <is>
          <t>Q3FY26</t>
        </is>
      </c>
      <c r="F179" t="inlineStr">
        <is>
          <t>31-Mar-2026</t>
        </is>
      </c>
      <c r="G179" t="inlineStr">
        <is>
          <t>Tuesday</t>
        </is>
      </c>
      <c r="H179" t="inlineStr">
        <is>
          <t>Monthly - Tuesday</t>
        </is>
      </c>
      <c r="I179" t="inlineStr">
        <is>
          <t>Monthly - Tuesday</t>
        </is>
      </c>
      <c r="J179" t="inlineStr">
        <is>
          <t>Month+5 Expiry</t>
        </is>
      </c>
      <c r="K179" s="25" t="n">
        <v>3616</v>
      </c>
      <c r="L179" s="26" t="n">
        <v>7.3705</v>
      </c>
      <c r="M179" s="26" t="n">
        <v>0.1388</v>
      </c>
    </row>
    <row r="180" ht="16" customHeight="1">
      <c r="A180" t="inlineStr">
        <is>
          <t>13-Oct-2025</t>
        </is>
      </c>
      <c r="B180" t="inlineStr">
        <is>
          <t>Monday</t>
        </is>
      </c>
      <c r="C180" t="inlineStr">
        <is>
          <t>Week2-Oct-2025</t>
        </is>
      </c>
      <c r="D180" s="78" t="n">
        <v>45931</v>
      </c>
      <c r="E180" t="inlineStr">
        <is>
          <t>Q3FY26</t>
        </is>
      </c>
      <c r="F180" t="inlineStr">
        <is>
          <t>30-Jun-2026</t>
        </is>
      </c>
      <c r="G180" t="inlineStr">
        <is>
          <t>Tuesday</t>
        </is>
      </c>
      <c r="H180" t="inlineStr">
        <is>
          <t>Monthly - Tuesday</t>
        </is>
      </c>
      <c r="I180" t="inlineStr">
        <is>
          <t>Monthly - Tuesday</t>
        </is>
      </c>
      <c r="J180" t="inlineStr">
        <is>
          <t>Month+8 Expiry</t>
        </is>
      </c>
      <c r="K180" s="25" t="n">
        <v>0</v>
      </c>
      <c r="L180" s="26" t="n">
        <v>0</v>
      </c>
      <c r="M180" s="26" t="n">
        <v>0</v>
      </c>
    </row>
    <row r="181" ht="16" customHeight="1">
      <c r="A181" t="inlineStr">
        <is>
          <t>13-Oct-2025</t>
        </is>
      </c>
      <c r="B181" t="inlineStr">
        <is>
          <t>Monday</t>
        </is>
      </c>
      <c r="C181" t="inlineStr">
        <is>
          <t>Week2-Oct-2025</t>
        </is>
      </c>
      <c r="D181" s="78" t="n">
        <v>45931</v>
      </c>
      <c r="E181" t="inlineStr">
        <is>
          <t>Q3FY26</t>
        </is>
      </c>
      <c r="F181" t="inlineStr">
        <is>
          <t>29-Sep-2026</t>
        </is>
      </c>
      <c r="G181" t="inlineStr">
        <is>
          <t>Tuesday</t>
        </is>
      </c>
      <c r="H181" t="inlineStr">
        <is>
          <t>Monthly - Tuesday</t>
        </is>
      </c>
      <c r="I181" t="inlineStr">
        <is>
          <t>Monthly - Tuesday</t>
        </is>
      </c>
      <c r="J181" t="inlineStr">
        <is>
          <t>Month+11 Expiry</t>
        </is>
      </c>
      <c r="K181" s="25" t="n">
        <v>0</v>
      </c>
      <c r="L181" s="26" t="n">
        <v>0</v>
      </c>
      <c r="M181" s="26" t="n">
        <v>0</v>
      </c>
    </row>
    <row r="182" ht="16" customHeight="1">
      <c r="A182" t="inlineStr">
        <is>
          <t>14-Oct-2025</t>
        </is>
      </c>
      <c r="B182" t="inlineStr">
        <is>
          <t>Tuesday</t>
        </is>
      </c>
      <c r="C182" t="inlineStr">
        <is>
          <t>Week2-Oct-2025</t>
        </is>
      </c>
      <c r="D182" s="78" t="n">
        <v>45931</v>
      </c>
      <c r="E182" t="inlineStr">
        <is>
          <t>Q3FY26</t>
        </is>
      </c>
      <c r="F182" t="inlineStr">
        <is>
          <t>28-Oct-2025</t>
        </is>
      </c>
      <c r="G182" t="inlineStr">
        <is>
          <t>Tuesday</t>
        </is>
      </c>
      <c r="H182" t="inlineStr">
        <is>
          <t>Monthly - Tuesday</t>
        </is>
      </c>
      <c r="I182" t="inlineStr">
        <is>
          <t>Monthly - Tuesday</t>
        </is>
      </c>
      <c r="J182" t="inlineStr">
        <is>
          <t>Same Month Expiry</t>
        </is>
      </c>
      <c r="K182" s="25" t="n">
        <v>3317035</v>
      </c>
      <c r="L182" s="26" t="n">
        <v>6539.17</v>
      </c>
      <c r="M182" s="26" t="n">
        <v>39.3218</v>
      </c>
    </row>
    <row r="183" ht="16" customHeight="1">
      <c r="A183" t="inlineStr">
        <is>
          <t>14-Oct-2025</t>
        </is>
      </c>
      <c r="B183" t="inlineStr">
        <is>
          <t>Tuesday</t>
        </is>
      </c>
      <c r="C183" t="inlineStr">
        <is>
          <t>Week2-Oct-2025</t>
        </is>
      </c>
      <c r="D183" s="78" t="n">
        <v>45931</v>
      </c>
      <c r="E183" t="inlineStr">
        <is>
          <t>Q3FY26</t>
        </is>
      </c>
      <c r="F183" t="inlineStr">
        <is>
          <t>25-Nov-2025</t>
        </is>
      </c>
      <c r="G183" t="inlineStr">
        <is>
          <t>Tuesday</t>
        </is>
      </c>
      <c r="H183" t="inlineStr">
        <is>
          <t>Monthly - Tuesday</t>
        </is>
      </c>
      <c r="I183" t="inlineStr">
        <is>
          <t>Monthly - Tuesday</t>
        </is>
      </c>
      <c r="J183" t="inlineStr">
        <is>
          <t>Month+1 Expiry</t>
        </is>
      </c>
      <c r="K183" s="25" t="n">
        <v>50425</v>
      </c>
      <c r="L183" s="26" t="n">
        <v>100.4223</v>
      </c>
      <c r="M183" s="26" t="n">
        <v>0.9661999999999999</v>
      </c>
    </row>
    <row r="184" ht="16" customHeight="1">
      <c r="A184" t="inlineStr">
        <is>
          <t>14-Oct-2025</t>
        </is>
      </c>
      <c r="B184" t="inlineStr">
        <is>
          <t>Tuesday</t>
        </is>
      </c>
      <c r="C184" t="inlineStr">
        <is>
          <t>Week2-Oct-2025</t>
        </is>
      </c>
      <c r="D184" s="78" t="n">
        <v>45931</v>
      </c>
      <c r="E184" t="inlineStr">
        <is>
          <t>Q3FY26</t>
        </is>
      </c>
      <c r="F184" t="inlineStr">
        <is>
          <t>30-Dec-2025</t>
        </is>
      </c>
      <c r="G184" t="inlineStr">
        <is>
          <t>Tuesday</t>
        </is>
      </c>
      <c r="H184" t="inlineStr">
        <is>
          <t>Monthly - Tuesday</t>
        </is>
      </c>
      <c r="I184" t="inlineStr">
        <is>
          <t>Monthly - Tuesday</t>
        </is>
      </c>
      <c r="J184" t="inlineStr">
        <is>
          <t>Month+2 Expiry</t>
        </is>
      </c>
      <c r="K184" s="25" t="n">
        <v>4720</v>
      </c>
      <c r="L184" s="26" t="n">
        <v>9.378500000000001</v>
      </c>
      <c r="M184" s="26" t="n">
        <v>0.12</v>
      </c>
    </row>
    <row r="185" ht="16" customHeight="1">
      <c r="A185" t="inlineStr">
        <is>
          <t>14-Oct-2025</t>
        </is>
      </c>
      <c r="B185" t="inlineStr">
        <is>
          <t>Tuesday</t>
        </is>
      </c>
      <c r="C185" t="inlineStr">
        <is>
          <t>Week2-Oct-2025</t>
        </is>
      </c>
      <c r="D185" s="78" t="n">
        <v>45931</v>
      </c>
      <c r="E185" t="inlineStr">
        <is>
          <t>Q3FY26</t>
        </is>
      </c>
      <c r="F185" t="inlineStr">
        <is>
          <t>31-Mar-2026</t>
        </is>
      </c>
      <c r="G185" t="inlineStr">
        <is>
          <t>Tuesday</t>
        </is>
      </c>
      <c r="H185" t="inlineStr">
        <is>
          <t>Monthly - Tuesday</t>
        </is>
      </c>
      <c r="I185" t="inlineStr">
        <is>
          <t>Monthly - Tuesday</t>
        </is>
      </c>
      <c r="J185" t="inlineStr">
        <is>
          <t>Month+5 Expiry</t>
        </is>
      </c>
      <c r="K185" s="25" t="n">
        <v>258</v>
      </c>
      <c r="L185" s="26" t="n">
        <v>0.5346</v>
      </c>
      <c r="M185" s="26" t="n">
        <v>0.0113</v>
      </c>
    </row>
    <row r="186" ht="16" customHeight="1">
      <c r="A186" t="inlineStr">
        <is>
          <t>14-Oct-2025</t>
        </is>
      </c>
      <c r="B186" t="inlineStr">
        <is>
          <t>Tuesday</t>
        </is>
      </c>
      <c r="C186" t="inlineStr">
        <is>
          <t>Week2-Oct-2025</t>
        </is>
      </c>
      <c r="D186" s="78" t="n">
        <v>45931</v>
      </c>
      <c r="E186" t="inlineStr">
        <is>
          <t>Q3FY26</t>
        </is>
      </c>
      <c r="F186" t="inlineStr">
        <is>
          <t>30-Jun-2026</t>
        </is>
      </c>
      <c r="G186" t="inlineStr">
        <is>
          <t>Tuesday</t>
        </is>
      </c>
      <c r="H186" t="inlineStr">
        <is>
          <t>Monthly - Tuesday</t>
        </is>
      </c>
      <c r="I186" t="inlineStr">
        <is>
          <t>Monthly - Tuesday</t>
        </is>
      </c>
      <c r="J186" t="inlineStr">
        <is>
          <t>Month+8 Expiry</t>
        </is>
      </c>
      <c r="K186" s="25" t="n">
        <v>0</v>
      </c>
      <c r="L186" s="26" t="n">
        <v>0</v>
      </c>
      <c r="M186" s="26" t="n">
        <v>0</v>
      </c>
    </row>
    <row r="187" ht="16" customHeight="1">
      <c r="A187" t="inlineStr">
        <is>
          <t>14-Oct-2025</t>
        </is>
      </c>
      <c r="B187" t="inlineStr">
        <is>
          <t>Tuesday</t>
        </is>
      </c>
      <c r="C187" t="inlineStr">
        <is>
          <t>Week2-Oct-2025</t>
        </is>
      </c>
      <c r="D187" s="78" t="n">
        <v>45931</v>
      </c>
      <c r="E187" t="inlineStr">
        <is>
          <t>Q3FY26</t>
        </is>
      </c>
      <c r="F187" t="inlineStr">
        <is>
          <t>29-Sep-2026</t>
        </is>
      </c>
      <c r="G187" t="inlineStr">
        <is>
          <t>Tuesday</t>
        </is>
      </c>
      <c r="H187" t="inlineStr">
        <is>
          <t>Monthly - Tuesday</t>
        </is>
      </c>
      <c r="I187" t="inlineStr">
        <is>
          <t>Monthly - Tuesday</t>
        </is>
      </c>
      <c r="J187" t="inlineStr">
        <is>
          <t>Month+11 Expiry</t>
        </is>
      </c>
      <c r="K187" s="25" t="n">
        <v>0</v>
      </c>
      <c r="L187" s="26" t="n">
        <v>0</v>
      </c>
      <c r="M187" s="26" t="n">
        <v>0</v>
      </c>
    </row>
    <row r="188" ht="16" customHeight="1">
      <c r="A188" t="inlineStr">
        <is>
          <t>15-Oct-2025</t>
        </is>
      </c>
      <c r="B188" t="inlineStr">
        <is>
          <t>Wednesday</t>
        </is>
      </c>
      <c r="C188" t="inlineStr">
        <is>
          <t>Week3-Oct-2025</t>
        </is>
      </c>
      <c r="D188" s="78" t="n">
        <v>45931</v>
      </c>
      <c r="E188" t="inlineStr">
        <is>
          <t>Q3FY26</t>
        </is>
      </c>
      <c r="F188" t="inlineStr">
        <is>
          <t>28-Oct-2025</t>
        </is>
      </c>
      <c r="G188" t="inlineStr">
        <is>
          <t>Tuesday</t>
        </is>
      </c>
      <c r="H188" t="inlineStr">
        <is>
          <t>Monthly - Tuesday</t>
        </is>
      </c>
      <c r="I188" t="inlineStr">
        <is>
          <t>Monthly - Tuesday</t>
        </is>
      </c>
      <c r="J188" t="inlineStr">
        <is>
          <t>Same Month Expiry</t>
        </is>
      </c>
      <c r="K188" s="25" t="n">
        <v>3566936</v>
      </c>
      <c r="L188" s="26" t="n">
        <v>7047.3134</v>
      </c>
      <c r="M188" s="26" t="n">
        <v>39.4578</v>
      </c>
    </row>
    <row r="189" ht="16" customHeight="1">
      <c r="A189" t="inlineStr">
        <is>
          <t>15-Oct-2025</t>
        </is>
      </c>
      <c r="B189" t="inlineStr">
        <is>
          <t>Wednesday</t>
        </is>
      </c>
      <c r="C189" t="inlineStr">
        <is>
          <t>Week3-Oct-2025</t>
        </is>
      </c>
      <c r="D189" s="78" t="n">
        <v>45931</v>
      </c>
      <c r="E189" t="inlineStr">
        <is>
          <t>Q3FY26</t>
        </is>
      </c>
      <c r="F189" t="inlineStr">
        <is>
          <t>25-Nov-2025</t>
        </is>
      </c>
      <c r="G189" t="inlineStr">
        <is>
          <t>Tuesday</t>
        </is>
      </c>
      <c r="H189" t="inlineStr">
        <is>
          <t>Monthly - Tuesday</t>
        </is>
      </c>
      <c r="I189" t="inlineStr">
        <is>
          <t>Monthly - Tuesday</t>
        </is>
      </c>
      <c r="J189" t="inlineStr">
        <is>
          <t>Month+1 Expiry</t>
        </is>
      </c>
      <c r="K189" s="25" t="n">
        <v>79388</v>
      </c>
      <c r="L189" s="26" t="n">
        <v>158.4445</v>
      </c>
      <c r="M189" s="26" t="n">
        <v>1.4318</v>
      </c>
    </row>
    <row r="190" ht="16" customHeight="1">
      <c r="A190" t="inlineStr">
        <is>
          <t>15-Oct-2025</t>
        </is>
      </c>
      <c r="B190" t="inlineStr">
        <is>
          <t>Wednesday</t>
        </is>
      </c>
      <c r="C190" t="inlineStr">
        <is>
          <t>Week3-Oct-2025</t>
        </is>
      </c>
      <c r="D190" s="78" t="n">
        <v>45931</v>
      </c>
      <c r="E190" t="inlineStr">
        <is>
          <t>Q3FY26</t>
        </is>
      </c>
      <c r="F190" t="inlineStr">
        <is>
          <t>30-Dec-2025</t>
        </is>
      </c>
      <c r="G190" t="inlineStr">
        <is>
          <t>Tuesday</t>
        </is>
      </c>
      <c r="H190" t="inlineStr">
        <is>
          <t>Monthly - Tuesday</t>
        </is>
      </c>
      <c r="I190" t="inlineStr">
        <is>
          <t>Monthly - Tuesday</t>
        </is>
      </c>
      <c r="J190" t="inlineStr">
        <is>
          <t>Month+2 Expiry</t>
        </is>
      </c>
      <c r="K190" s="25" t="n">
        <v>7735</v>
      </c>
      <c r="L190" s="26" t="n">
        <v>15.4627</v>
      </c>
      <c r="M190" s="26" t="n">
        <v>0.2091</v>
      </c>
    </row>
    <row r="191" ht="16" customHeight="1">
      <c r="A191" t="inlineStr">
        <is>
          <t>15-Oct-2025</t>
        </is>
      </c>
      <c r="B191" t="inlineStr">
        <is>
          <t>Wednesday</t>
        </is>
      </c>
      <c r="C191" t="inlineStr">
        <is>
          <t>Week3-Oct-2025</t>
        </is>
      </c>
      <c r="D191" s="78" t="n">
        <v>45931</v>
      </c>
      <c r="E191" t="inlineStr">
        <is>
          <t>Q3FY26</t>
        </is>
      </c>
      <c r="F191" t="inlineStr">
        <is>
          <t>31-Mar-2026</t>
        </is>
      </c>
      <c r="G191" t="inlineStr">
        <is>
          <t>Tuesday</t>
        </is>
      </c>
      <c r="H191" t="inlineStr">
        <is>
          <t>Monthly - Tuesday</t>
        </is>
      </c>
      <c r="I191" t="inlineStr">
        <is>
          <t>Monthly - Tuesday</t>
        </is>
      </c>
      <c r="J191" t="inlineStr">
        <is>
          <t>Month+5 Expiry</t>
        </is>
      </c>
      <c r="K191" s="25" t="n">
        <v>1158</v>
      </c>
      <c r="L191" s="26" t="n">
        <v>2.3677</v>
      </c>
      <c r="M191" s="26" t="n">
        <v>0.0409</v>
      </c>
    </row>
    <row r="192" ht="16" customHeight="1">
      <c r="A192" t="inlineStr">
        <is>
          <t>15-Oct-2025</t>
        </is>
      </c>
      <c r="B192" t="inlineStr">
        <is>
          <t>Wednesday</t>
        </is>
      </c>
      <c r="C192" t="inlineStr">
        <is>
          <t>Week3-Oct-2025</t>
        </is>
      </c>
      <c r="D192" s="78" t="n">
        <v>45931</v>
      </c>
      <c r="E192" t="inlineStr">
        <is>
          <t>Q3FY26</t>
        </is>
      </c>
      <c r="F192" t="inlineStr">
        <is>
          <t>30-Jun-2026</t>
        </is>
      </c>
      <c r="G192" t="inlineStr">
        <is>
          <t>Tuesday</t>
        </is>
      </c>
      <c r="H192" t="inlineStr">
        <is>
          <t>Monthly - Tuesday</t>
        </is>
      </c>
      <c r="I192" t="inlineStr">
        <is>
          <t>Monthly - Tuesday</t>
        </is>
      </c>
      <c r="J192" t="inlineStr">
        <is>
          <t>Month+8 Expiry</t>
        </is>
      </c>
      <c r="K192" s="25" t="n">
        <v>0</v>
      </c>
      <c r="L192" s="26" t="n">
        <v>0</v>
      </c>
      <c r="M192" s="26" t="n">
        <v>0</v>
      </c>
    </row>
    <row r="193" ht="16" customHeight="1">
      <c r="A193" t="inlineStr">
        <is>
          <t>15-Oct-2025</t>
        </is>
      </c>
      <c r="B193" t="inlineStr">
        <is>
          <t>Wednesday</t>
        </is>
      </c>
      <c r="C193" t="inlineStr">
        <is>
          <t>Week3-Oct-2025</t>
        </is>
      </c>
      <c r="D193" s="78" t="n">
        <v>45931</v>
      </c>
      <c r="E193" t="inlineStr">
        <is>
          <t>Q3FY26</t>
        </is>
      </c>
      <c r="F193" t="inlineStr">
        <is>
          <t>29-Sep-2026</t>
        </is>
      </c>
      <c r="G193" t="inlineStr">
        <is>
          <t>Tuesday</t>
        </is>
      </c>
      <c r="H193" t="inlineStr">
        <is>
          <t>Monthly - Tuesday</t>
        </is>
      </c>
      <c r="I193" t="inlineStr">
        <is>
          <t>Monthly - Tuesday</t>
        </is>
      </c>
      <c r="J193" t="inlineStr">
        <is>
          <t>Month+11 Expiry</t>
        </is>
      </c>
      <c r="K193" s="25" t="n">
        <v>0</v>
      </c>
      <c r="L193" s="26" t="n">
        <v>0</v>
      </c>
      <c r="M193" s="26" t="n">
        <v>0</v>
      </c>
    </row>
    <row r="194" ht="16" customHeight="1">
      <c r="A194" t="inlineStr">
        <is>
          <t>16-Oct-2025</t>
        </is>
      </c>
      <c r="B194" t="inlineStr">
        <is>
          <t>Thursday</t>
        </is>
      </c>
      <c r="C194" t="inlineStr">
        <is>
          <t>Week3-Oct-2025</t>
        </is>
      </c>
      <c r="D194" s="78" t="n">
        <v>45931</v>
      </c>
      <c r="E194" t="inlineStr">
        <is>
          <t>Q3FY26</t>
        </is>
      </c>
      <c r="F194" t="inlineStr">
        <is>
          <t>28-Oct-2025</t>
        </is>
      </c>
      <c r="G194" t="inlineStr">
        <is>
          <t>Tuesday</t>
        </is>
      </c>
      <c r="H194" t="inlineStr">
        <is>
          <t>Monthly - Tuesday</t>
        </is>
      </c>
      <c r="I194" t="inlineStr">
        <is>
          <t>Monthly - Tuesday</t>
        </is>
      </c>
      <c r="J194" t="inlineStr">
        <is>
          <t>Same Month Expiry</t>
        </is>
      </c>
      <c r="K194" s="25" t="n">
        <v>4449066</v>
      </c>
      <c r="L194" s="26" t="n">
        <v>8836.4424</v>
      </c>
      <c r="M194" s="26" t="n">
        <v>44.8338</v>
      </c>
    </row>
    <row r="195" ht="16" customHeight="1">
      <c r="A195" t="inlineStr">
        <is>
          <t>16-Oct-2025</t>
        </is>
      </c>
      <c r="B195" t="inlineStr">
        <is>
          <t>Thursday</t>
        </is>
      </c>
      <c r="C195" t="inlineStr">
        <is>
          <t>Week3-Oct-2025</t>
        </is>
      </c>
      <c r="D195" s="78" t="n">
        <v>45931</v>
      </c>
      <c r="E195" t="inlineStr">
        <is>
          <t>Q3FY26</t>
        </is>
      </c>
      <c r="F195" t="inlineStr">
        <is>
          <t>25-Nov-2025</t>
        </is>
      </c>
      <c r="G195" t="inlineStr">
        <is>
          <t>Tuesday</t>
        </is>
      </c>
      <c r="H195" t="inlineStr">
        <is>
          <t>Monthly - Tuesday</t>
        </is>
      </c>
      <c r="I195" t="inlineStr">
        <is>
          <t>Monthly - Tuesday</t>
        </is>
      </c>
      <c r="J195" t="inlineStr">
        <is>
          <t>Month+1 Expiry</t>
        </is>
      </c>
      <c r="K195" s="25" t="n">
        <v>157673</v>
      </c>
      <c r="L195" s="26" t="n">
        <v>318.3044</v>
      </c>
      <c r="M195" s="26" t="n">
        <v>3.2265</v>
      </c>
    </row>
    <row r="196" ht="16" customHeight="1">
      <c r="A196" t="inlineStr">
        <is>
          <t>16-Oct-2025</t>
        </is>
      </c>
      <c r="B196" t="inlineStr">
        <is>
          <t>Thursday</t>
        </is>
      </c>
      <c r="C196" t="inlineStr">
        <is>
          <t>Week3-Oct-2025</t>
        </is>
      </c>
      <c r="D196" s="78" t="n">
        <v>45931</v>
      </c>
      <c r="E196" t="inlineStr">
        <is>
          <t>Q3FY26</t>
        </is>
      </c>
      <c r="F196" t="inlineStr">
        <is>
          <t>30-Dec-2025</t>
        </is>
      </c>
      <c r="G196" t="inlineStr">
        <is>
          <t>Tuesday</t>
        </is>
      </c>
      <c r="H196" t="inlineStr">
        <is>
          <t>Monthly - Tuesday</t>
        </is>
      </c>
      <c r="I196" t="inlineStr">
        <is>
          <t>Monthly - Tuesday</t>
        </is>
      </c>
      <c r="J196" t="inlineStr">
        <is>
          <t>Month+2 Expiry</t>
        </is>
      </c>
      <c r="K196" s="25" t="n">
        <v>16458</v>
      </c>
      <c r="L196" s="26" t="n">
        <v>33.2352</v>
      </c>
      <c r="M196" s="26" t="n">
        <v>0.4489</v>
      </c>
    </row>
    <row r="197" ht="16" customHeight="1">
      <c r="A197" t="inlineStr">
        <is>
          <t>16-Oct-2025</t>
        </is>
      </c>
      <c r="B197" t="inlineStr">
        <is>
          <t>Thursday</t>
        </is>
      </c>
      <c r="C197" t="inlineStr">
        <is>
          <t>Week3-Oct-2025</t>
        </is>
      </c>
      <c r="D197" s="78" t="n">
        <v>45931</v>
      </c>
      <c r="E197" t="inlineStr">
        <is>
          <t>Q3FY26</t>
        </is>
      </c>
      <c r="F197" t="inlineStr">
        <is>
          <t>31-Mar-2026</t>
        </is>
      </c>
      <c r="G197" t="inlineStr">
        <is>
          <t>Tuesday</t>
        </is>
      </c>
      <c r="H197" t="inlineStr">
        <is>
          <t>Monthly - Tuesday</t>
        </is>
      </c>
      <c r="I197" t="inlineStr">
        <is>
          <t>Monthly - Tuesday</t>
        </is>
      </c>
      <c r="J197" t="inlineStr">
        <is>
          <t>Month+5 Expiry</t>
        </is>
      </c>
      <c r="K197" s="25" t="n">
        <v>836</v>
      </c>
      <c r="L197" s="26" t="n">
        <v>1.7277</v>
      </c>
      <c r="M197" s="26" t="n">
        <v>0.0368</v>
      </c>
    </row>
    <row r="198" ht="16" customHeight="1">
      <c r="A198" t="inlineStr">
        <is>
          <t>16-Oct-2025</t>
        </is>
      </c>
      <c r="B198" t="inlineStr">
        <is>
          <t>Thursday</t>
        </is>
      </c>
      <c r="C198" t="inlineStr">
        <is>
          <t>Week3-Oct-2025</t>
        </is>
      </c>
      <c r="D198" s="78" t="n">
        <v>45931</v>
      </c>
      <c r="E198" t="inlineStr">
        <is>
          <t>Q3FY26</t>
        </is>
      </c>
      <c r="F198" t="inlineStr">
        <is>
          <t>30-Jun-2026</t>
        </is>
      </c>
      <c r="G198" t="inlineStr">
        <is>
          <t>Tuesday</t>
        </is>
      </c>
      <c r="H198" t="inlineStr">
        <is>
          <t>Monthly - Tuesday</t>
        </is>
      </c>
      <c r="I198" t="inlineStr">
        <is>
          <t>Monthly - Tuesday</t>
        </is>
      </c>
      <c r="J198" t="inlineStr">
        <is>
          <t>Month+8 Expiry</t>
        </is>
      </c>
      <c r="K198" s="25" t="n">
        <v>0</v>
      </c>
      <c r="L198" s="26" t="n">
        <v>0</v>
      </c>
      <c r="M198" s="26" t="n">
        <v>0</v>
      </c>
    </row>
    <row r="199" ht="16" customHeight="1">
      <c r="A199" t="inlineStr">
        <is>
          <t>16-Oct-2025</t>
        </is>
      </c>
      <c r="B199" t="inlineStr">
        <is>
          <t>Thursday</t>
        </is>
      </c>
      <c r="C199" t="inlineStr">
        <is>
          <t>Week3-Oct-2025</t>
        </is>
      </c>
      <c r="D199" s="78" t="n">
        <v>45931</v>
      </c>
      <c r="E199" t="inlineStr">
        <is>
          <t>Q3FY26</t>
        </is>
      </c>
      <c r="F199" t="inlineStr">
        <is>
          <t>29-Sep-2026</t>
        </is>
      </c>
      <c r="G199" t="inlineStr">
        <is>
          <t>Tuesday</t>
        </is>
      </c>
      <c r="H199" t="inlineStr">
        <is>
          <t>Monthly - Tuesday</t>
        </is>
      </c>
      <c r="I199" t="inlineStr">
        <is>
          <t>Monthly - Tuesday</t>
        </is>
      </c>
      <c r="J199" t="inlineStr">
        <is>
          <t>Month+11 Expiry</t>
        </is>
      </c>
      <c r="K199" s="25" t="n">
        <v>0</v>
      </c>
      <c r="L199" s="26" t="n">
        <v>0</v>
      </c>
      <c r="M199" s="26" t="n">
        <v>0</v>
      </c>
    </row>
    <row r="200" ht="16" customHeight="1">
      <c r="A200" t="inlineStr">
        <is>
          <t>17-Oct-2025</t>
        </is>
      </c>
      <c r="B200" t="inlineStr">
        <is>
          <t>Friday</t>
        </is>
      </c>
      <c r="C200" t="inlineStr">
        <is>
          <t>Week3-Oct-2025</t>
        </is>
      </c>
      <c r="D200" s="78" t="n">
        <v>45931</v>
      </c>
      <c r="E200" t="inlineStr">
        <is>
          <t>Q3FY26</t>
        </is>
      </c>
      <c r="F200" t="inlineStr">
        <is>
          <t>28-Oct-2025</t>
        </is>
      </c>
      <c r="G200" t="inlineStr">
        <is>
          <t>Tuesday</t>
        </is>
      </c>
      <c r="H200" t="inlineStr">
        <is>
          <t>Monthly - Tuesday</t>
        </is>
      </c>
      <c r="I200" t="inlineStr">
        <is>
          <t>Monthly - Tuesday</t>
        </is>
      </c>
      <c r="J200" t="inlineStr">
        <is>
          <t>Same Month Expiry</t>
        </is>
      </c>
      <c r="K200" s="25" t="n">
        <v>6181755</v>
      </c>
      <c r="L200" s="26" t="n">
        <v>12374.944</v>
      </c>
      <c r="M200" s="26" t="n">
        <v>65.3261</v>
      </c>
    </row>
    <row r="201" ht="16" customHeight="1">
      <c r="A201" t="inlineStr">
        <is>
          <t>17-Oct-2025</t>
        </is>
      </c>
      <c r="B201" t="inlineStr">
        <is>
          <t>Friday</t>
        </is>
      </c>
      <c r="C201" t="inlineStr">
        <is>
          <t>Week3-Oct-2025</t>
        </is>
      </c>
      <c r="D201" s="78" t="n">
        <v>45931</v>
      </c>
      <c r="E201" t="inlineStr">
        <is>
          <t>Q3FY26</t>
        </is>
      </c>
      <c r="F201" t="inlineStr">
        <is>
          <t>25-Nov-2025</t>
        </is>
      </c>
      <c r="G201" t="inlineStr">
        <is>
          <t>Tuesday</t>
        </is>
      </c>
      <c r="H201" t="inlineStr">
        <is>
          <t>Monthly - Tuesday</t>
        </is>
      </c>
      <c r="I201" t="inlineStr">
        <is>
          <t>Monthly - Tuesday</t>
        </is>
      </c>
      <c r="J201" t="inlineStr">
        <is>
          <t>Month+1 Expiry</t>
        </is>
      </c>
      <c r="K201" s="25" t="n">
        <v>215289</v>
      </c>
      <c r="L201" s="26" t="n">
        <v>438.9018</v>
      </c>
      <c r="M201" s="26" t="n">
        <v>4.3731</v>
      </c>
    </row>
    <row r="202" ht="16" customHeight="1">
      <c r="A202" t="inlineStr">
        <is>
          <t>17-Oct-2025</t>
        </is>
      </c>
      <c r="B202" t="inlineStr">
        <is>
          <t>Friday</t>
        </is>
      </c>
      <c r="C202" t="inlineStr">
        <is>
          <t>Week3-Oct-2025</t>
        </is>
      </c>
      <c r="D202" s="78" t="n">
        <v>45931</v>
      </c>
      <c r="E202" t="inlineStr">
        <is>
          <t>Q3FY26</t>
        </is>
      </c>
      <c r="F202" t="inlineStr">
        <is>
          <t>30-Dec-2025</t>
        </is>
      </c>
      <c r="G202" t="inlineStr">
        <is>
          <t>Tuesday</t>
        </is>
      </c>
      <c r="H202" t="inlineStr">
        <is>
          <t>Monthly - Tuesday</t>
        </is>
      </c>
      <c r="I202" t="inlineStr">
        <is>
          <t>Monthly - Tuesday</t>
        </is>
      </c>
      <c r="J202" t="inlineStr">
        <is>
          <t>Month+2 Expiry</t>
        </is>
      </c>
      <c r="K202" s="25" t="n">
        <v>18041</v>
      </c>
      <c r="L202" s="26" t="n">
        <v>36.4124</v>
      </c>
      <c r="M202" s="26" t="n">
        <v>0.4359</v>
      </c>
    </row>
    <row r="203" ht="16" customHeight="1">
      <c r="A203" t="inlineStr">
        <is>
          <t>17-Oct-2025</t>
        </is>
      </c>
      <c r="B203" t="inlineStr">
        <is>
          <t>Friday</t>
        </is>
      </c>
      <c r="C203" t="inlineStr">
        <is>
          <t>Week3-Oct-2025</t>
        </is>
      </c>
      <c r="D203" s="78" t="n">
        <v>45931</v>
      </c>
      <c r="E203" t="inlineStr">
        <is>
          <t>Q3FY26</t>
        </is>
      </c>
      <c r="F203" t="inlineStr">
        <is>
          <t>31-Mar-2026</t>
        </is>
      </c>
      <c r="G203" t="inlineStr">
        <is>
          <t>Tuesday</t>
        </is>
      </c>
      <c r="H203" t="inlineStr">
        <is>
          <t>Monthly - Tuesday</t>
        </is>
      </c>
      <c r="I203" t="inlineStr">
        <is>
          <t>Monthly - Tuesday</t>
        </is>
      </c>
      <c r="J203" t="inlineStr">
        <is>
          <t>Month+5 Expiry</t>
        </is>
      </c>
      <c r="K203" s="25" t="n">
        <v>1090</v>
      </c>
      <c r="L203" s="26" t="n">
        <v>2.2418</v>
      </c>
      <c r="M203" s="26" t="n">
        <v>0.048</v>
      </c>
    </row>
    <row r="204" ht="16" customHeight="1">
      <c r="A204" t="inlineStr">
        <is>
          <t>17-Oct-2025</t>
        </is>
      </c>
      <c r="B204" t="inlineStr">
        <is>
          <t>Friday</t>
        </is>
      </c>
      <c r="C204" t="inlineStr">
        <is>
          <t>Week3-Oct-2025</t>
        </is>
      </c>
      <c r="D204" s="78" t="n">
        <v>45931</v>
      </c>
      <c r="E204" t="inlineStr">
        <is>
          <t>Q3FY26</t>
        </is>
      </c>
      <c r="F204" t="inlineStr">
        <is>
          <t>30-Jun-2026</t>
        </is>
      </c>
      <c r="G204" t="inlineStr">
        <is>
          <t>Tuesday</t>
        </is>
      </c>
      <c r="H204" t="inlineStr">
        <is>
          <t>Monthly - Tuesday</t>
        </is>
      </c>
      <c r="I204" t="inlineStr">
        <is>
          <t>Monthly - Tuesday</t>
        </is>
      </c>
      <c r="J204" t="inlineStr">
        <is>
          <t>Month+8 Expiry</t>
        </is>
      </c>
      <c r="K204" s="25" t="n">
        <v>0</v>
      </c>
      <c r="L204" s="26" t="n">
        <v>0</v>
      </c>
      <c r="M204" s="26" t="n">
        <v>0</v>
      </c>
    </row>
    <row r="205" ht="16" customHeight="1">
      <c r="A205" t="inlineStr">
        <is>
          <t>17-Oct-2025</t>
        </is>
      </c>
      <c r="B205" t="inlineStr">
        <is>
          <t>Friday</t>
        </is>
      </c>
      <c r="C205" t="inlineStr">
        <is>
          <t>Week3-Oct-2025</t>
        </is>
      </c>
      <c r="D205" s="78" t="n">
        <v>45931</v>
      </c>
      <c r="E205" t="inlineStr">
        <is>
          <t>Q3FY26</t>
        </is>
      </c>
      <c r="F205" t="inlineStr">
        <is>
          <t>29-Sep-2026</t>
        </is>
      </c>
      <c r="G205" t="inlineStr">
        <is>
          <t>Tuesday</t>
        </is>
      </c>
      <c r="H205" t="inlineStr">
        <is>
          <t>Monthly - Tuesday</t>
        </is>
      </c>
      <c r="I205" t="inlineStr">
        <is>
          <t>Monthly - Tuesday</t>
        </is>
      </c>
      <c r="J205" t="inlineStr">
        <is>
          <t>Month+11 Expiry</t>
        </is>
      </c>
      <c r="K205" s="25" t="n">
        <v>0</v>
      </c>
      <c r="L205" s="26" t="n">
        <v>0</v>
      </c>
      <c r="M205" s="26" t="n">
        <v>0</v>
      </c>
    </row>
    <row r="206" ht="16" customHeight="1">
      <c r="A206" t="inlineStr">
        <is>
          <t>20-Oct-2025</t>
        </is>
      </c>
      <c r="B206" t="inlineStr">
        <is>
          <t>Monday</t>
        </is>
      </c>
      <c r="C206" t="inlineStr">
        <is>
          <t>Week3-Oct-2025</t>
        </is>
      </c>
      <c r="D206" s="78" t="n">
        <v>45931</v>
      </c>
      <c r="E206" t="inlineStr">
        <is>
          <t>Q3FY26</t>
        </is>
      </c>
      <c r="F206" t="inlineStr">
        <is>
          <t>28-Oct-2025</t>
        </is>
      </c>
      <c r="G206" t="inlineStr">
        <is>
          <t>Tuesday</t>
        </is>
      </c>
      <c r="H206" t="inlineStr">
        <is>
          <t>Monthly - Tuesday</t>
        </is>
      </c>
      <c r="I206" t="inlineStr">
        <is>
          <t>Monthly - Tuesday</t>
        </is>
      </c>
      <c r="J206" t="inlineStr">
        <is>
          <t>Same Month Expiry</t>
        </is>
      </c>
      <c r="K206" s="25" t="n">
        <v>5438752</v>
      </c>
      <c r="L206" s="26" t="n">
        <v>10907.9588</v>
      </c>
      <c r="M206" s="26" t="n">
        <v>44.9521</v>
      </c>
    </row>
    <row r="207" ht="16" customHeight="1">
      <c r="A207" t="inlineStr">
        <is>
          <t>20-Oct-2025</t>
        </is>
      </c>
      <c r="B207" t="inlineStr">
        <is>
          <t>Monday</t>
        </is>
      </c>
      <c r="C207" t="inlineStr">
        <is>
          <t>Week3-Oct-2025</t>
        </is>
      </c>
      <c r="D207" s="78" t="n">
        <v>45931</v>
      </c>
      <c r="E207" t="inlineStr">
        <is>
          <t>Q3FY26</t>
        </is>
      </c>
      <c r="F207" t="inlineStr">
        <is>
          <t>25-Nov-2025</t>
        </is>
      </c>
      <c r="G207" t="inlineStr">
        <is>
          <t>Tuesday</t>
        </is>
      </c>
      <c r="H207" t="inlineStr">
        <is>
          <t>Monthly - Tuesday</t>
        </is>
      </c>
      <c r="I207" t="inlineStr">
        <is>
          <t>Monthly - Tuesday</t>
        </is>
      </c>
      <c r="J207" t="inlineStr">
        <is>
          <t>Month+1 Expiry</t>
        </is>
      </c>
      <c r="K207" s="25" t="n">
        <v>225269</v>
      </c>
      <c r="L207" s="26" t="n">
        <v>459.2301</v>
      </c>
      <c r="M207" s="26" t="n">
        <v>4.2267</v>
      </c>
    </row>
    <row r="208" ht="16" customHeight="1">
      <c r="A208" t="inlineStr">
        <is>
          <t>20-Oct-2025</t>
        </is>
      </c>
      <c r="B208" t="inlineStr">
        <is>
          <t>Monday</t>
        </is>
      </c>
      <c r="C208" t="inlineStr">
        <is>
          <t>Week3-Oct-2025</t>
        </is>
      </c>
      <c r="D208" s="78" t="n">
        <v>45931</v>
      </c>
      <c r="E208" t="inlineStr">
        <is>
          <t>Q3FY26</t>
        </is>
      </c>
      <c r="F208" t="inlineStr">
        <is>
          <t>30-Dec-2025</t>
        </is>
      </c>
      <c r="G208" t="inlineStr">
        <is>
          <t>Tuesday</t>
        </is>
      </c>
      <c r="H208" t="inlineStr">
        <is>
          <t>Monthly - Tuesday</t>
        </is>
      </c>
      <c r="I208" t="inlineStr">
        <is>
          <t>Monthly - Tuesday</t>
        </is>
      </c>
      <c r="J208" t="inlineStr">
        <is>
          <t>Month+2 Expiry</t>
        </is>
      </c>
      <c r="K208" s="25" t="n">
        <v>16214</v>
      </c>
      <c r="L208" s="26" t="n">
        <v>32.976</v>
      </c>
      <c r="M208" s="26" t="n">
        <v>0.4325</v>
      </c>
    </row>
    <row r="209" ht="16" customHeight="1">
      <c r="A209" t="inlineStr">
        <is>
          <t>20-Oct-2025</t>
        </is>
      </c>
      <c r="B209" t="inlineStr">
        <is>
          <t>Monday</t>
        </is>
      </c>
      <c r="C209" t="inlineStr">
        <is>
          <t>Week3-Oct-2025</t>
        </is>
      </c>
      <c r="D209" s="78" t="n">
        <v>45931</v>
      </c>
      <c r="E209" t="inlineStr">
        <is>
          <t>Q3FY26</t>
        </is>
      </c>
      <c r="F209" t="inlineStr">
        <is>
          <t>31-Mar-2026</t>
        </is>
      </c>
      <c r="G209" t="inlineStr">
        <is>
          <t>Tuesday</t>
        </is>
      </c>
      <c r="H209" t="inlineStr">
        <is>
          <t>Monthly - Tuesday</t>
        </is>
      </c>
      <c r="I209" t="inlineStr">
        <is>
          <t>Monthly - Tuesday</t>
        </is>
      </c>
      <c r="J209" t="inlineStr">
        <is>
          <t>Month+5 Expiry</t>
        </is>
      </c>
      <c r="K209" s="25" t="n">
        <v>1405</v>
      </c>
      <c r="L209" s="26" t="n">
        <v>2.8831</v>
      </c>
      <c r="M209" s="26" t="n">
        <v>0.0546</v>
      </c>
    </row>
    <row r="210" ht="16" customHeight="1">
      <c r="A210" t="inlineStr">
        <is>
          <t>20-Oct-2025</t>
        </is>
      </c>
      <c r="B210" t="inlineStr">
        <is>
          <t>Monday</t>
        </is>
      </c>
      <c r="C210" t="inlineStr">
        <is>
          <t>Week3-Oct-2025</t>
        </is>
      </c>
      <c r="D210" s="78" t="n">
        <v>45931</v>
      </c>
      <c r="E210" t="inlineStr">
        <is>
          <t>Q3FY26</t>
        </is>
      </c>
      <c r="F210" t="inlineStr">
        <is>
          <t>30-Jun-2026</t>
        </is>
      </c>
      <c r="G210" t="inlineStr">
        <is>
          <t>Tuesday</t>
        </is>
      </c>
      <c r="H210" t="inlineStr">
        <is>
          <t>Monthly - Tuesday</t>
        </is>
      </c>
      <c r="I210" t="inlineStr">
        <is>
          <t>Monthly - Tuesday</t>
        </is>
      </c>
      <c r="J210" t="inlineStr">
        <is>
          <t>Month+8 Expiry</t>
        </is>
      </c>
      <c r="K210" s="25" t="n">
        <v>0</v>
      </c>
      <c r="L210" s="26" t="n">
        <v>0</v>
      </c>
      <c r="M210" s="26" t="n">
        <v>0</v>
      </c>
    </row>
    <row r="211" ht="16" customHeight="1">
      <c r="A211" t="inlineStr">
        <is>
          <t>20-Oct-2025</t>
        </is>
      </c>
      <c r="B211" t="inlineStr">
        <is>
          <t>Monday</t>
        </is>
      </c>
      <c r="C211" t="inlineStr">
        <is>
          <t>Week3-Oct-2025</t>
        </is>
      </c>
      <c r="D211" s="78" t="n">
        <v>45931</v>
      </c>
      <c r="E211" t="inlineStr">
        <is>
          <t>Q3FY26</t>
        </is>
      </c>
      <c r="F211" t="inlineStr">
        <is>
          <t>29-Sep-2026</t>
        </is>
      </c>
      <c r="G211" t="inlineStr">
        <is>
          <t>Tuesday</t>
        </is>
      </c>
      <c r="H211" t="inlineStr">
        <is>
          <t>Monthly - Tuesday</t>
        </is>
      </c>
      <c r="I211" t="inlineStr">
        <is>
          <t>Monthly - Tuesday</t>
        </is>
      </c>
      <c r="J211" t="inlineStr">
        <is>
          <t>Month+11 Expiry</t>
        </is>
      </c>
      <c r="K211" s="25" t="n">
        <v>0</v>
      </c>
      <c r="L211" s="26" t="n">
        <v>0</v>
      </c>
      <c r="M211" s="26" t="n">
        <v>0</v>
      </c>
    </row>
    <row r="212" ht="16" customHeight="1">
      <c r="A212" t="inlineStr">
        <is>
          <t>21-Oct-2025</t>
        </is>
      </c>
      <c r="B212" t="inlineStr">
        <is>
          <t>Tuesday</t>
        </is>
      </c>
      <c r="C212" t="inlineStr">
        <is>
          <t>Week3-Oct-2025</t>
        </is>
      </c>
      <c r="D212" s="78" t="n">
        <v>45931</v>
      </c>
      <c r="E212" t="inlineStr">
        <is>
          <t>Q3FY26</t>
        </is>
      </c>
      <c r="F212" t="inlineStr">
        <is>
          <t>28-Oct-2025</t>
        </is>
      </c>
      <c r="G212" t="inlineStr">
        <is>
          <t>Tuesday</t>
        </is>
      </c>
      <c r="H212" t="inlineStr">
        <is>
          <t>Monthly - Tuesday</t>
        </is>
      </c>
      <c r="I212" t="inlineStr">
        <is>
          <t>Monthly - Tuesday</t>
        </is>
      </c>
      <c r="J212" t="inlineStr">
        <is>
          <t>Same Month Expiry</t>
        </is>
      </c>
      <c r="K212" s="25" t="n">
        <v>1267899</v>
      </c>
      <c r="L212" s="26" t="n">
        <v>2544.167</v>
      </c>
      <c r="M212" s="26" t="n">
        <v>7.8329</v>
      </c>
    </row>
    <row r="213" ht="16" customHeight="1">
      <c r="A213" t="inlineStr">
        <is>
          <t>21-Oct-2025</t>
        </is>
      </c>
      <c r="B213" t="inlineStr">
        <is>
          <t>Tuesday</t>
        </is>
      </c>
      <c r="C213" t="inlineStr">
        <is>
          <t>Week3-Oct-2025</t>
        </is>
      </c>
      <c r="D213" s="78" t="n">
        <v>45931</v>
      </c>
      <c r="E213" t="inlineStr">
        <is>
          <t>Q3FY26</t>
        </is>
      </c>
      <c r="F213" t="inlineStr">
        <is>
          <t>25-Nov-2025</t>
        </is>
      </c>
      <c r="G213" t="inlineStr">
        <is>
          <t>Tuesday</t>
        </is>
      </c>
      <c r="H213" t="inlineStr">
        <is>
          <t>Monthly - Tuesday</t>
        </is>
      </c>
      <c r="I213" t="inlineStr">
        <is>
          <t>Monthly - Tuesday</t>
        </is>
      </c>
      <c r="J213" t="inlineStr">
        <is>
          <t>Month+1 Expiry</t>
        </is>
      </c>
      <c r="K213" s="25" t="n">
        <v>35546</v>
      </c>
      <c r="L213" s="26" t="n">
        <v>72.3383</v>
      </c>
      <c r="M213" s="26" t="n">
        <v>0.7030999999999999</v>
      </c>
    </row>
    <row r="214" ht="16" customHeight="1">
      <c r="A214" t="inlineStr">
        <is>
          <t>21-Oct-2025</t>
        </is>
      </c>
      <c r="B214" t="inlineStr">
        <is>
          <t>Tuesday</t>
        </is>
      </c>
      <c r="C214" t="inlineStr">
        <is>
          <t>Week3-Oct-2025</t>
        </is>
      </c>
      <c r="D214" s="78" t="n">
        <v>45931</v>
      </c>
      <c r="E214" t="inlineStr">
        <is>
          <t>Q3FY26</t>
        </is>
      </c>
      <c r="F214" t="inlineStr">
        <is>
          <t>30-Dec-2025</t>
        </is>
      </c>
      <c r="G214" t="inlineStr">
        <is>
          <t>Tuesday</t>
        </is>
      </c>
      <c r="H214" t="inlineStr">
        <is>
          <t>Monthly - Tuesday</t>
        </is>
      </c>
      <c r="I214" t="inlineStr">
        <is>
          <t>Monthly - Tuesday</t>
        </is>
      </c>
      <c r="J214" t="inlineStr">
        <is>
          <t>Month+2 Expiry</t>
        </is>
      </c>
      <c r="K214" s="25" t="n">
        <v>1915</v>
      </c>
      <c r="L214" s="26" t="n">
        <v>3.8871</v>
      </c>
      <c r="M214" s="26" t="n">
        <v>0.0479</v>
      </c>
    </row>
    <row r="215" ht="16" customHeight="1">
      <c r="A215" t="inlineStr">
        <is>
          <t>21-Oct-2025</t>
        </is>
      </c>
      <c r="B215" t="inlineStr">
        <is>
          <t>Tuesday</t>
        </is>
      </c>
      <c r="C215" t="inlineStr">
        <is>
          <t>Week3-Oct-2025</t>
        </is>
      </c>
      <c r="D215" s="78" t="n">
        <v>45931</v>
      </c>
      <c r="E215" t="inlineStr">
        <is>
          <t>Q3FY26</t>
        </is>
      </c>
      <c r="F215" t="inlineStr">
        <is>
          <t>31-Mar-2026</t>
        </is>
      </c>
      <c r="G215" t="inlineStr">
        <is>
          <t>Tuesday</t>
        </is>
      </c>
      <c r="H215" t="inlineStr">
        <is>
          <t>Monthly - Tuesday</t>
        </is>
      </c>
      <c r="I215" t="inlineStr">
        <is>
          <t>Monthly - Tuesday</t>
        </is>
      </c>
      <c r="J215" t="inlineStr">
        <is>
          <t>Month+5 Expiry</t>
        </is>
      </c>
      <c r="K215" s="25" t="n">
        <v>114</v>
      </c>
      <c r="L215" s="26" t="n">
        <v>0.2312</v>
      </c>
      <c r="M215" s="26" t="n">
        <v>0.0036</v>
      </c>
    </row>
    <row r="216" ht="16" customHeight="1">
      <c r="A216" t="inlineStr">
        <is>
          <t>21-Oct-2025</t>
        </is>
      </c>
      <c r="B216" t="inlineStr">
        <is>
          <t>Tuesday</t>
        </is>
      </c>
      <c r="C216" t="inlineStr">
        <is>
          <t>Week3-Oct-2025</t>
        </is>
      </c>
      <c r="D216" s="78" t="n">
        <v>45931</v>
      </c>
      <c r="E216" t="inlineStr">
        <is>
          <t>Q3FY26</t>
        </is>
      </c>
      <c r="F216" t="inlineStr">
        <is>
          <t>30-Jun-2026</t>
        </is>
      </c>
      <c r="G216" t="inlineStr">
        <is>
          <t>Tuesday</t>
        </is>
      </c>
      <c r="H216" t="inlineStr">
        <is>
          <t>Monthly - Tuesday</t>
        </is>
      </c>
      <c r="I216" t="inlineStr">
        <is>
          <t>Monthly - Tuesday</t>
        </is>
      </c>
      <c r="J216" t="inlineStr">
        <is>
          <t>Month+8 Expiry</t>
        </is>
      </c>
      <c r="K216" s="25" t="n">
        <v>0</v>
      </c>
      <c r="L216" s="26" t="n">
        <v>0</v>
      </c>
      <c r="M216" s="26" t="n">
        <v>0</v>
      </c>
    </row>
    <row r="217" ht="16" customHeight="1">
      <c r="A217" t="inlineStr">
        <is>
          <t>21-Oct-2025</t>
        </is>
      </c>
      <c r="B217" t="inlineStr">
        <is>
          <t>Tuesday</t>
        </is>
      </c>
      <c r="C217" t="inlineStr">
        <is>
          <t>Week3-Oct-2025</t>
        </is>
      </c>
      <c r="D217" s="78" t="n">
        <v>45931</v>
      </c>
      <c r="E217" t="inlineStr">
        <is>
          <t>Q3FY26</t>
        </is>
      </c>
      <c r="F217" t="inlineStr">
        <is>
          <t>29-Sep-2026</t>
        </is>
      </c>
      <c r="G217" t="inlineStr">
        <is>
          <t>Tuesday</t>
        </is>
      </c>
      <c r="H217" t="inlineStr">
        <is>
          <t>Monthly - Tuesday</t>
        </is>
      </c>
      <c r="I217" t="inlineStr">
        <is>
          <t>Monthly - Tuesday</t>
        </is>
      </c>
      <c r="J217" t="inlineStr">
        <is>
          <t>Month+11 Expiry</t>
        </is>
      </c>
      <c r="K217" s="25" t="n">
        <v>0</v>
      </c>
      <c r="L217" s="26" t="n">
        <v>0</v>
      </c>
      <c r="M217" s="26" t="n">
        <v>0</v>
      </c>
    </row>
    <row r="218" ht="16" customHeight="1">
      <c r="A218" t="inlineStr">
        <is>
          <t>23-Oct-2025</t>
        </is>
      </c>
      <c r="B218" t="inlineStr">
        <is>
          <t>Thursday</t>
        </is>
      </c>
      <c r="C218" t="inlineStr">
        <is>
          <t>Week4-Oct-2025</t>
        </is>
      </c>
      <c r="D218" s="78" t="n">
        <v>45931</v>
      </c>
      <c r="E218" t="inlineStr">
        <is>
          <t>Q3FY26</t>
        </is>
      </c>
      <c r="F218" t="inlineStr">
        <is>
          <t>28-Oct-2025</t>
        </is>
      </c>
      <c r="G218" t="inlineStr">
        <is>
          <t>Tuesday</t>
        </is>
      </c>
      <c r="H218" t="inlineStr">
        <is>
          <t>Monthly - Tuesday</t>
        </is>
      </c>
      <c r="I218" t="inlineStr">
        <is>
          <t>Monthly - Tuesday</t>
        </is>
      </c>
      <c r="J218" t="inlineStr">
        <is>
          <t>Same Month Expiry</t>
        </is>
      </c>
      <c r="K218" s="25" t="n">
        <v>8673940</v>
      </c>
      <c r="L218" s="26" t="n">
        <v>17499.2777</v>
      </c>
      <c r="M218" s="26" t="n">
        <v>57.3591</v>
      </c>
    </row>
    <row r="219" ht="16" customHeight="1">
      <c r="A219" t="inlineStr">
        <is>
          <t>23-Oct-2025</t>
        </is>
      </c>
      <c r="B219" t="inlineStr">
        <is>
          <t>Thursday</t>
        </is>
      </c>
      <c r="C219" t="inlineStr">
        <is>
          <t>Week4-Oct-2025</t>
        </is>
      </c>
      <c r="D219" s="78" t="n">
        <v>45931</v>
      </c>
      <c r="E219" t="inlineStr">
        <is>
          <t>Q3FY26</t>
        </is>
      </c>
      <c r="F219" t="inlineStr">
        <is>
          <t>25-Nov-2025</t>
        </is>
      </c>
      <c r="G219" t="inlineStr">
        <is>
          <t>Tuesday</t>
        </is>
      </c>
      <c r="H219" t="inlineStr">
        <is>
          <t>Monthly - Tuesday</t>
        </is>
      </c>
      <c r="I219" t="inlineStr">
        <is>
          <t>Monthly - Tuesday</t>
        </is>
      </c>
      <c r="J219" t="inlineStr">
        <is>
          <t>Month+1 Expiry</t>
        </is>
      </c>
      <c r="K219" s="25" t="n">
        <v>395163</v>
      </c>
      <c r="L219" s="26" t="n">
        <v>809.1486</v>
      </c>
      <c r="M219" s="26" t="n">
        <v>8.6211</v>
      </c>
    </row>
    <row r="220" ht="16" customHeight="1">
      <c r="A220" t="inlineStr">
        <is>
          <t>23-Oct-2025</t>
        </is>
      </c>
      <c r="B220" t="inlineStr">
        <is>
          <t>Thursday</t>
        </is>
      </c>
      <c r="C220" t="inlineStr">
        <is>
          <t>Week4-Oct-2025</t>
        </is>
      </c>
      <c r="D220" s="78" t="n">
        <v>45931</v>
      </c>
      <c r="E220" t="inlineStr">
        <is>
          <t>Q3FY26</t>
        </is>
      </c>
      <c r="F220" t="inlineStr">
        <is>
          <t>30-Dec-2025</t>
        </is>
      </c>
      <c r="G220" t="inlineStr">
        <is>
          <t>Tuesday</t>
        </is>
      </c>
      <c r="H220" t="inlineStr">
        <is>
          <t>Monthly - Tuesday</t>
        </is>
      </c>
      <c r="I220" t="inlineStr">
        <is>
          <t>Monthly - Tuesday</t>
        </is>
      </c>
      <c r="J220" t="inlineStr">
        <is>
          <t>Month+2 Expiry</t>
        </is>
      </c>
      <c r="K220" s="25" t="n">
        <v>21545</v>
      </c>
      <c r="L220" s="26" t="n">
        <v>43.7661</v>
      </c>
      <c r="M220" s="26" t="n">
        <v>0.5750999999999999</v>
      </c>
    </row>
    <row r="221" ht="16" customHeight="1">
      <c r="A221" t="inlineStr">
        <is>
          <t>23-Oct-2025</t>
        </is>
      </c>
      <c r="B221" t="inlineStr">
        <is>
          <t>Thursday</t>
        </is>
      </c>
      <c r="C221" t="inlineStr">
        <is>
          <t>Week4-Oct-2025</t>
        </is>
      </c>
      <c r="D221" s="78" t="n">
        <v>45931</v>
      </c>
      <c r="E221" t="inlineStr">
        <is>
          <t>Q3FY26</t>
        </is>
      </c>
      <c r="F221" t="inlineStr">
        <is>
          <t>31-Mar-2026</t>
        </is>
      </c>
      <c r="G221" t="inlineStr">
        <is>
          <t>Tuesday</t>
        </is>
      </c>
      <c r="H221" t="inlineStr">
        <is>
          <t>Monthly - Tuesday</t>
        </is>
      </c>
      <c r="I221" t="inlineStr">
        <is>
          <t>Monthly - Tuesday</t>
        </is>
      </c>
      <c r="J221" t="inlineStr">
        <is>
          <t>Month+5 Expiry</t>
        </is>
      </c>
      <c r="K221" s="25" t="n">
        <v>948</v>
      </c>
      <c r="L221" s="26" t="n">
        <v>1.9397</v>
      </c>
      <c r="M221" s="26" t="n">
        <v>0.032</v>
      </c>
    </row>
    <row r="222" ht="16" customHeight="1">
      <c r="A222" t="inlineStr">
        <is>
          <t>23-Oct-2025</t>
        </is>
      </c>
      <c r="B222" t="inlineStr">
        <is>
          <t>Thursday</t>
        </is>
      </c>
      <c r="C222" t="inlineStr">
        <is>
          <t>Week4-Oct-2025</t>
        </is>
      </c>
      <c r="D222" s="78" t="n">
        <v>45931</v>
      </c>
      <c r="E222" t="inlineStr">
        <is>
          <t>Q3FY26</t>
        </is>
      </c>
      <c r="F222" t="inlineStr">
        <is>
          <t>30-Jun-2026</t>
        </is>
      </c>
      <c r="G222" t="inlineStr">
        <is>
          <t>Tuesday</t>
        </is>
      </c>
      <c r="H222" t="inlineStr">
        <is>
          <t>Monthly - Tuesday</t>
        </is>
      </c>
      <c r="I222" t="inlineStr">
        <is>
          <t>Monthly - Tuesday</t>
        </is>
      </c>
      <c r="J222" t="inlineStr">
        <is>
          <t>Month+8 Expiry</t>
        </is>
      </c>
      <c r="K222" s="25" t="n">
        <v>0</v>
      </c>
      <c r="L222" s="26" t="n">
        <v>0</v>
      </c>
      <c r="M222" s="26" t="n">
        <v>0</v>
      </c>
    </row>
    <row r="223" ht="16" customHeight="1">
      <c r="A223" t="inlineStr">
        <is>
          <t>23-Oct-2025</t>
        </is>
      </c>
      <c r="B223" t="inlineStr">
        <is>
          <t>Thursday</t>
        </is>
      </c>
      <c r="C223" t="inlineStr">
        <is>
          <t>Week4-Oct-2025</t>
        </is>
      </c>
      <c r="D223" s="78" t="n">
        <v>45931</v>
      </c>
      <c r="E223" t="inlineStr">
        <is>
          <t>Q3FY26</t>
        </is>
      </c>
      <c r="F223" t="inlineStr">
        <is>
          <t>29-Sep-2026</t>
        </is>
      </c>
      <c r="G223" t="inlineStr">
        <is>
          <t>Tuesday</t>
        </is>
      </c>
      <c r="H223" t="inlineStr">
        <is>
          <t>Monthly - Tuesday</t>
        </is>
      </c>
      <c r="I223" t="inlineStr">
        <is>
          <t>Monthly - Tuesday</t>
        </is>
      </c>
      <c r="J223" t="inlineStr">
        <is>
          <t>Month+11 Expiry</t>
        </is>
      </c>
      <c r="K223" s="25" t="n">
        <v>0</v>
      </c>
      <c r="L223" s="26" t="n">
        <v>0</v>
      </c>
      <c r="M223" s="26" t="n">
        <v>0</v>
      </c>
    </row>
    <row r="224" ht="16" customHeight="1">
      <c r="A224" t="inlineStr">
        <is>
          <t>24-Oct-2025</t>
        </is>
      </c>
      <c r="B224" t="inlineStr">
        <is>
          <t>Friday</t>
        </is>
      </c>
      <c r="C224" t="inlineStr">
        <is>
          <t>Week4-Oct-2025</t>
        </is>
      </c>
      <c r="D224" s="78" t="n">
        <v>45931</v>
      </c>
      <c r="E224" t="inlineStr">
        <is>
          <t>Q3FY26</t>
        </is>
      </c>
      <c r="F224" t="inlineStr">
        <is>
          <t>28-Oct-2025</t>
        </is>
      </c>
      <c r="G224" t="inlineStr">
        <is>
          <t>Tuesday</t>
        </is>
      </c>
      <c r="H224" t="inlineStr">
        <is>
          <t>Monthly - Tuesday</t>
        </is>
      </c>
      <c r="I224" t="inlineStr">
        <is>
          <t>Monthly - Tuesday</t>
        </is>
      </c>
      <c r="J224" t="inlineStr">
        <is>
          <t>Same Month Expiry</t>
        </is>
      </c>
      <c r="K224" s="25" t="n">
        <v>15507859</v>
      </c>
      <c r="L224" s="26" t="n">
        <v>31011.6741</v>
      </c>
      <c r="M224" s="26" t="n">
        <v>86.9706</v>
      </c>
    </row>
    <row r="225" ht="16" customHeight="1">
      <c r="A225" t="inlineStr">
        <is>
          <t>24-Oct-2025</t>
        </is>
      </c>
      <c r="B225" t="inlineStr">
        <is>
          <t>Friday</t>
        </is>
      </c>
      <c r="C225" t="inlineStr">
        <is>
          <t>Week4-Oct-2025</t>
        </is>
      </c>
      <c r="D225" s="78" t="n">
        <v>45931</v>
      </c>
      <c r="E225" t="inlineStr">
        <is>
          <t>Q3FY26</t>
        </is>
      </c>
      <c r="F225" t="inlineStr">
        <is>
          <t>25-Nov-2025</t>
        </is>
      </c>
      <c r="G225" t="inlineStr">
        <is>
          <t>Tuesday</t>
        </is>
      </c>
      <c r="H225" t="inlineStr">
        <is>
          <t>Monthly - Tuesday</t>
        </is>
      </c>
      <c r="I225" t="inlineStr">
        <is>
          <t>Monthly - Tuesday</t>
        </is>
      </c>
      <c r="J225" t="inlineStr">
        <is>
          <t>Month+1 Expiry</t>
        </is>
      </c>
      <c r="K225" s="25" t="n">
        <v>469846</v>
      </c>
      <c r="L225" s="26" t="n">
        <v>957.1607</v>
      </c>
      <c r="M225" s="26" t="n">
        <v>9.828799999999999</v>
      </c>
    </row>
    <row r="226" ht="16" customHeight="1">
      <c r="A226" t="inlineStr">
        <is>
          <t>24-Oct-2025</t>
        </is>
      </c>
      <c r="B226" t="inlineStr">
        <is>
          <t>Friday</t>
        </is>
      </c>
      <c r="C226" t="inlineStr">
        <is>
          <t>Week4-Oct-2025</t>
        </is>
      </c>
      <c r="D226" s="78" t="n">
        <v>45931</v>
      </c>
      <c r="E226" t="inlineStr">
        <is>
          <t>Q3FY26</t>
        </is>
      </c>
      <c r="F226" t="inlineStr">
        <is>
          <t>30-Dec-2025</t>
        </is>
      </c>
      <c r="G226" t="inlineStr">
        <is>
          <t>Tuesday</t>
        </is>
      </c>
      <c r="H226" t="inlineStr">
        <is>
          <t>Monthly - Tuesday</t>
        </is>
      </c>
      <c r="I226" t="inlineStr">
        <is>
          <t>Monthly - Tuesday</t>
        </is>
      </c>
      <c r="J226" t="inlineStr">
        <is>
          <t>Month+2 Expiry</t>
        </is>
      </c>
      <c r="K226" s="25" t="n">
        <v>19045</v>
      </c>
      <c r="L226" s="26" t="n">
        <v>38.9819</v>
      </c>
      <c r="M226" s="26" t="n">
        <v>0.5268</v>
      </c>
    </row>
    <row r="227" ht="16" customHeight="1">
      <c r="A227" t="inlineStr">
        <is>
          <t>24-Oct-2025</t>
        </is>
      </c>
      <c r="B227" t="inlineStr">
        <is>
          <t>Friday</t>
        </is>
      </c>
      <c r="C227" t="inlineStr">
        <is>
          <t>Week4-Oct-2025</t>
        </is>
      </c>
      <c r="D227" s="78" t="n">
        <v>45931</v>
      </c>
      <c r="E227" t="inlineStr">
        <is>
          <t>Q3FY26</t>
        </is>
      </c>
      <c r="F227" t="inlineStr">
        <is>
          <t>31-Mar-2026</t>
        </is>
      </c>
      <c r="G227" t="inlineStr">
        <is>
          <t>Tuesday</t>
        </is>
      </c>
      <c r="H227" t="inlineStr">
        <is>
          <t>Monthly - Tuesday</t>
        </is>
      </c>
      <c r="I227" t="inlineStr">
        <is>
          <t>Monthly - Tuesday</t>
        </is>
      </c>
      <c r="J227" t="inlineStr">
        <is>
          <t>Month+5 Expiry</t>
        </is>
      </c>
      <c r="K227" s="25" t="n">
        <v>868</v>
      </c>
      <c r="L227" s="26" t="n">
        <v>1.7867</v>
      </c>
      <c r="M227" s="26" t="n">
        <v>0.0329</v>
      </c>
    </row>
    <row r="228" ht="16" customHeight="1">
      <c r="A228" t="inlineStr">
        <is>
          <t>24-Oct-2025</t>
        </is>
      </c>
      <c r="B228" t="inlineStr">
        <is>
          <t>Friday</t>
        </is>
      </c>
      <c r="C228" t="inlineStr">
        <is>
          <t>Week4-Oct-2025</t>
        </is>
      </c>
      <c r="D228" s="78" t="n">
        <v>45931</v>
      </c>
      <c r="E228" t="inlineStr">
        <is>
          <t>Q3FY26</t>
        </is>
      </c>
      <c r="F228" t="inlineStr">
        <is>
          <t>30-Jun-2026</t>
        </is>
      </c>
      <c r="G228" t="inlineStr">
        <is>
          <t>Tuesday</t>
        </is>
      </c>
      <c r="H228" t="inlineStr">
        <is>
          <t>Monthly - Tuesday</t>
        </is>
      </c>
      <c r="I228" t="inlineStr">
        <is>
          <t>Monthly - Tuesday</t>
        </is>
      </c>
      <c r="J228" t="inlineStr">
        <is>
          <t>Month+8 Expiry</t>
        </is>
      </c>
      <c r="K228" s="25" t="n">
        <v>0</v>
      </c>
      <c r="L228" s="26" t="n">
        <v>0</v>
      </c>
      <c r="M228" s="26" t="n">
        <v>0</v>
      </c>
    </row>
    <row r="229" ht="16" customHeight="1">
      <c r="A229" t="inlineStr">
        <is>
          <t>24-Oct-2025</t>
        </is>
      </c>
      <c r="B229" t="inlineStr">
        <is>
          <t>Friday</t>
        </is>
      </c>
      <c r="C229" t="inlineStr">
        <is>
          <t>Week4-Oct-2025</t>
        </is>
      </c>
      <c r="D229" s="78" t="n">
        <v>45931</v>
      </c>
      <c r="E229" t="inlineStr">
        <is>
          <t>Q3FY26</t>
        </is>
      </c>
      <c r="F229" t="inlineStr">
        <is>
          <t>29-Sep-2026</t>
        </is>
      </c>
      <c r="G229" t="inlineStr">
        <is>
          <t>Tuesday</t>
        </is>
      </c>
      <c r="H229" t="inlineStr">
        <is>
          <t>Monthly - Tuesday</t>
        </is>
      </c>
      <c r="I229" t="inlineStr">
        <is>
          <t>Monthly - Tuesday</t>
        </is>
      </c>
      <c r="J229" t="inlineStr">
        <is>
          <t>Month+11 Expiry</t>
        </is>
      </c>
      <c r="K229" s="25" t="n">
        <v>0</v>
      </c>
      <c r="L229" s="26" t="n">
        <v>0</v>
      </c>
      <c r="M229" s="26" t="n">
        <v>0</v>
      </c>
    </row>
    <row r="230" ht="16" customHeight="1">
      <c r="A230" t="inlineStr">
        <is>
          <t>27-Oct-2025</t>
        </is>
      </c>
      <c r="B230" t="inlineStr">
        <is>
          <t>Monday</t>
        </is>
      </c>
      <c r="C230" t="inlineStr">
        <is>
          <t>Week4-Oct-2025</t>
        </is>
      </c>
      <c r="D230" s="78" t="n">
        <v>45931</v>
      </c>
      <c r="E230" t="inlineStr">
        <is>
          <t>Q3FY26</t>
        </is>
      </c>
      <c r="F230" t="inlineStr">
        <is>
          <t>28-Oct-2025</t>
        </is>
      </c>
      <c r="G230" t="inlineStr">
        <is>
          <t>Tuesday</t>
        </is>
      </c>
      <c r="H230" t="inlineStr">
        <is>
          <t>Monthly - Tuesday</t>
        </is>
      </c>
      <c r="I230" t="inlineStr">
        <is>
          <t>Monthly - Tuesday</t>
        </is>
      </c>
      <c r="J230" t="inlineStr">
        <is>
          <t>Same Month Expiry</t>
        </is>
      </c>
      <c r="K230" s="25" t="n">
        <v>20633717</v>
      </c>
      <c r="L230" s="26" t="n">
        <v>41419.0311</v>
      </c>
      <c r="M230" s="26" t="n">
        <v>92.0924</v>
      </c>
    </row>
    <row r="231" ht="16" customHeight="1">
      <c r="A231" t="inlineStr">
        <is>
          <t>27-Oct-2025</t>
        </is>
      </c>
      <c r="B231" t="inlineStr">
        <is>
          <t>Monday</t>
        </is>
      </c>
      <c r="C231" t="inlineStr">
        <is>
          <t>Week4-Oct-2025</t>
        </is>
      </c>
      <c r="D231" s="78" t="n">
        <v>45931</v>
      </c>
      <c r="E231" t="inlineStr">
        <is>
          <t>Q3FY26</t>
        </is>
      </c>
      <c r="F231" t="inlineStr">
        <is>
          <t>25-Nov-2025</t>
        </is>
      </c>
      <c r="G231" t="inlineStr">
        <is>
          <t>Tuesday</t>
        </is>
      </c>
      <c r="H231" t="inlineStr">
        <is>
          <t>Monthly - Tuesday</t>
        </is>
      </c>
      <c r="I231" t="inlineStr">
        <is>
          <t>Monthly - Tuesday</t>
        </is>
      </c>
      <c r="J231" t="inlineStr">
        <is>
          <t>Month+1 Expiry</t>
        </is>
      </c>
      <c r="K231" s="25" t="n">
        <v>524563</v>
      </c>
      <c r="L231" s="26" t="n">
        <v>1071.4397</v>
      </c>
      <c r="M231" s="26" t="n">
        <v>10.9108</v>
      </c>
    </row>
    <row r="232" ht="16" customHeight="1">
      <c r="A232" t="inlineStr">
        <is>
          <t>27-Oct-2025</t>
        </is>
      </c>
      <c r="B232" t="inlineStr">
        <is>
          <t>Monday</t>
        </is>
      </c>
      <c r="C232" t="inlineStr">
        <is>
          <t>Week4-Oct-2025</t>
        </is>
      </c>
      <c r="D232" s="78" t="n">
        <v>45931</v>
      </c>
      <c r="E232" t="inlineStr">
        <is>
          <t>Q3FY26</t>
        </is>
      </c>
      <c r="F232" t="inlineStr">
        <is>
          <t>30-Dec-2025</t>
        </is>
      </c>
      <c r="G232" t="inlineStr">
        <is>
          <t>Tuesday</t>
        </is>
      </c>
      <c r="H232" t="inlineStr">
        <is>
          <t>Monthly - Tuesday</t>
        </is>
      </c>
      <c r="I232" t="inlineStr">
        <is>
          <t>Monthly - Tuesday</t>
        </is>
      </c>
      <c r="J232" t="inlineStr">
        <is>
          <t>Month+2 Expiry</t>
        </is>
      </c>
      <c r="K232" s="25" t="n">
        <v>19469</v>
      </c>
      <c r="L232" s="26" t="n">
        <v>39.6986</v>
      </c>
      <c r="M232" s="26" t="n">
        <v>0.5133</v>
      </c>
    </row>
    <row r="233" ht="16" customHeight="1">
      <c r="A233" t="inlineStr">
        <is>
          <t>27-Oct-2025</t>
        </is>
      </c>
      <c r="B233" t="inlineStr">
        <is>
          <t>Monday</t>
        </is>
      </c>
      <c r="C233" t="inlineStr">
        <is>
          <t>Week4-Oct-2025</t>
        </is>
      </c>
      <c r="D233" s="78" t="n">
        <v>45931</v>
      </c>
      <c r="E233" t="inlineStr">
        <is>
          <t>Q3FY26</t>
        </is>
      </c>
      <c r="F233" t="inlineStr">
        <is>
          <t>31-Mar-2026</t>
        </is>
      </c>
      <c r="G233" t="inlineStr">
        <is>
          <t>Tuesday</t>
        </is>
      </c>
      <c r="H233" t="inlineStr">
        <is>
          <t>Monthly - Tuesday</t>
        </is>
      </c>
      <c r="I233" t="inlineStr">
        <is>
          <t>Monthly - Tuesday</t>
        </is>
      </c>
      <c r="J233" t="inlineStr">
        <is>
          <t>Month+5 Expiry</t>
        </is>
      </c>
      <c r="K233" s="25" t="n">
        <v>428</v>
      </c>
      <c r="L233" s="26" t="n">
        <v>0.867</v>
      </c>
      <c r="M233" s="26" t="n">
        <v>0.0152</v>
      </c>
    </row>
    <row r="234" ht="16" customHeight="1">
      <c r="A234" t="inlineStr">
        <is>
          <t>27-Oct-2025</t>
        </is>
      </c>
      <c r="B234" t="inlineStr">
        <is>
          <t>Monday</t>
        </is>
      </c>
      <c r="C234" t="inlineStr">
        <is>
          <t>Week4-Oct-2025</t>
        </is>
      </c>
      <c r="D234" s="78" t="n">
        <v>45931</v>
      </c>
      <c r="E234" t="inlineStr">
        <is>
          <t>Q3FY26</t>
        </is>
      </c>
      <c r="F234" t="inlineStr">
        <is>
          <t>30-Jun-2026</t>
        </is>
      </c>
      <c r="G234" t="inlineStr">
        <is>
          <t>Tuesday</t>
        </is>
      </c>
      <c r="H234" t="inlineStr">
        <is>
          <t>Monthly - Tuesday</t>
        </is>
      </c>
      <c r="I234" t="inlineStr">
        <is>
          <t>Monthly - Tuesday</t>
        </is>
      </c>
      <c r="J234" t="inlineStr">
        <is>
          <t>Month+8 Expiry</t>
        </is>
      </c>
      <c r="K234" s="25" t="n">
        <v>0</v>
      </c>
      <c r="L234" s="26" t="n">
        <v>0</v>
      </c>
      <c r="M234" s="26" t="n">
        <v>0</v>
      </c>
    </row>
    <row r="235" ht="16" customHeight="1">
      <c r="A235" t="inlineStr">
        <is>
          <t>27-Oct-2025</t>
        </is>
      </c>
      <c r="B235" t="inlineStr">
        <is>
          <t>Monday</t>
        </is>
      </c>
      <c r="C235" t="inlineStr">
        <is>
          <t>Week4-Oct-2025</t>
        </is>
      </c>
      <c r="D235" s="78" t="n">
        <v>45931</v>
      </c>
      <c r="E235" t="inlineStr">
        <is>
          <t>Q3FY26</t>
        </is>
      </c>
      <c r="F235" t="inlineStr">
        <is>
          <t>29-Sep-2026</t>
        </is>
      </c>
      <c r="G235" t="inlineStr">
        <is>
          <t>Tuesday</t>
        </is>
      </c>
      <c r="H235" t="inlineStr">
        <is>
          <t>Monthly - Tuesday</t>
        </is>
      </c>
      <c r="I235" t="inlineStr">
        <is>
          <t>Monthly - Tuesday</t>
        </is>
      </c>
      <c r="J235" t="inlineStr">
        <is>
          <t>Month+11 Expiry</t>
        </is>
      </c>
      <c r="K235" s="25" t="n">
        <v>0</v>
      </c>
      <c r="L235" s="26" t="n">
        <v>0</v>
      </c>
      <c r="M235" s="26" t="n">
        <v>0</v>
      </c>
    </row>
    <row r="236" ht="16" customHeight="1">
      <c r="A236" t="inlineStr">
        <is>
          <t>28-Oct-2025</t>
        </is>
      </c>
      <c r="B236" t="inlineStr">
        <is>
          <t>Tuesday</t>
        </is>
      </c>
      <c r="C236" t="inlineStr">
        <is>
          <t>Week4-Oct-2025</t>
        </is>
      </c>
      <c r="D236" s="78" t="n">
        <v>45931</v>
      </c>
      <c r="E236" t="inlineStr">
        <is>
          <t>Q3FY26</t>
        </is>
      </c>
      <c r="F236" t="inlineStr">
        <is>
          <t>28-Oct-2025</t>
        </is>
      </c>
      <c r="G236" t="inlineStr">
        <is>
          <t>Tuesday</t>
        </is>
      </c>
      <c r="H236" t="inlineStr">
        <is>
          <t>Monthly - Tuesday</t>
        </is>
      </c>
      <c r="I236" t="inlineStr">
        <is>
          <t>Monthly - Tuesday</t>
        </is>
      </c>
      <c r="J236" t="inlineStr">
        <is>
          <t>Same Month Expiry</t>
        </is>
      </c>
      <c r="K236" s="25" t="n">
        <v>87083272</v>
      </c>
      <c r="L236" s="26" t="n">
        <v>174516.3723</v>
      </c>
      <c r="M236" s="26" t="n">
        <v>174.0738</v>
      </c>
    </row>
    <row r="237" ht="16" customHeight="1">
      <c r="A237" t="inlineStr">
        <is>
          <t>28-Oct-2025</t>
        </is>
      </c>
      <c r="B237" t="inlineStr">
        <is>
          <t>Tuesday</t>
        </is>
      </c>
      <c r="C237" t="inlineStr">
        <is>
          <t>Week4-Oct-2025</t>
        </is>
      </c>
      <c r="D237" s="78" t="n">
        <v>45931</v>
      </c>
      <c r="E237" t="inlineStr">
        <is>
          <t>Q3FY26</t>
        </is>
      </c>
      <c r="F237" t="inlineStr">
        <is>
          <t>25-Nov-2025</t>
        </is>
      </c>
      <c r="G237" t="inlineStr">
        <is>
          <t>Tuesday</t>
        </is>
      </c>
      <c r="H237" t="inlineStr">
        <is>
          <t>Monthly - Tuesday</t>
        </is>
      </c>
      <c r="I237" t="inlineStr">
        <is>
          <t>Monthly - Tuesday</t>
        </is>
      </c>
      <c r="J237" t="inlineStr">
        <is>
          <t>Month+1 Expiry</t>
        </is>
      </c>
      <c r="K237" s="25" t="n">
        <v>1161369</v>
      </c>
      <c r="L237" s="26" t="n">
        <v>2374.4517</v>
      </c>
      <c r="M237" s="26" t="n">
        <v>22.0947</v>
      </c>
    </row>
    <row r="238" ht="16" customHeight="1">
      <c r="A238" t="inlineStr">
        <is>
          <t>28-Oct-2025</t>
        </is>
      </c>
      <c r="B238" t="inlineStr">
        <is>
          <t>Tuesday</t>
        </is>
      </c>
      <c r="C238" t="inlineStr">
        <is>
          <t>Week4-Oct-2025</t>
        </is>
      </c>
      <c r="D238" s="78" t="n">
        <v>45931</v>
      </c>
      <c r="E238" t="inlineStr">
        <is>
          <t>Q3FY26</t>
        </is>
      </c>
      <c r="F238" t="inlineStr">
        <is>
          <t>30-Dec-2025</t>
        </is>
      </c>
      <c r="G238" t="inlineStr">
        <is>
          <t>Tuesday</t>
        </is>
      </c>
      <c r="H238" t="inlineStr">
        <is>
          <t>Monthly - Tuesday</t>
        </is>
      </c>
      <c r="I238" t="inlineStr">
        <is>
          <t>Monthly - Tuesday</t>
        </is>
      </c>
      <c r="J238" t="inlineStr">
        <is>
          <t>Month+2 Expiry</t>
        </is>
      </c>
      <c r="K238" s="25" t="n">
        <v>23664</v>
      </c>
      <c r="L238" s="26" t="n">
        <v>48.7366</v>
      </c>
      <c r="M238" s="26" t="n">
        <v>0.7335</v>
      </c>
    </row>
    <row r="239" ht="16" customHeight="1">
      <c r="A239" t="inlineStr">
        <is>
          <t>28-Oct-2025</t>
        </is>
      </c>
      <c r="B239" t="inlineStr">
        <is>
          <t>Tuesday</t>
        </is>
      </c>
      <c r="C239" t="inlineStr">
        <is>
          <t>Week4-Oct-2025</t>
        </is>
      </c>
      <c r="D239" s="78" t="n">
        <v>45931</v>
      </c>
      <c r="E239" t="inlineStr">
        <is>
          <t>Q3FY26</t>
        </is>
      </c>
      <c r="F239" t="inlineStr">
        <is>
          <t>31-Mar-2026</t>
        </is>
      </c>
      <c r="G239" t="inlineStr">
        <is>
          <t>Tuesday</t>
        </is>
      </c>
      <c r="H239" t="inlineStr">
        <is>
          <t>Monthly - Tuesday</t>
        </is>
      </c>
      <c r="I239" t="inlineStr">
        <is>
          <t>Monthly - Tuesday</t>
        </is>
      </c>
      <c r="J239" t="inlineStr">
        <is>
          <t>Month+5 Expiry</t>
        </is>
      </c>
      <c r="K239" s="25" t="n">
        <v>638</v>
      </c>
      <c r="L239" s="26" t="n">
        <v>1.3148</v>
      </c>
      <c r="M239" s="26" t="n">
        <v>0.0254</v>
      </c>
    </row>
    <row r="240" ht="16" customHeight="1">
      <c r="A240" t="inlineStr">
        <is>
          <t>28-Oct-2025</t>
        </is>
      </c>
      <c r="B240" t="inlineStr">
        <is>
          <t>Tuesday</t>
        </is>
      </c>
      <c r="C240" t="inlineStr">
        <is>
          <t>Week4-Oct-2025</t>
        </is>
      </c>
      <c r="D240" s="78" t="n">
        <v>45931</v>
      </c>
      <c r="E240" t="inlineStr">
        <is>
          <t>Q3FY26</t>
        </is>
      </c>
      <c r="F240" t="inlineStr">
        <is>
          <t>30-Jun-2026</t>
        </is>
      </c>
      <c r="G240" t="inlineStr">
        <is>
          <t>Tuesday</t>
        </is>
      </c>
      <c r="H240" t="inlineStr">
        <is>
          <t>Monthly - Tuesday</t>
        </is>
      </c>
      <c r="I240" t="inlineStr">
        <is>
          <t>Monthly - Tuesday</t>
        </is>
      </c>
      <c r="J240" t="inlineStr">
        <is>
          <t>Month+8 Expiry</t>
        </is>
      </c>
      <c r="K240" s="25" t="n">
        <v>0</v>
      </c>
      <c r="L240" s="26" t="n">
        <v>0</v>
      </c>
      <c r="M240" s="26" t="n">
        <v>0</v>
      </c>
    </row>
    <row r="241" ht="16" customHeight="1">
      <c r="A241" t="inlineStr">
        <is>
          <t>28-Oct-2025</t>
        </is>
      </c>
      <c r="B241" t="inlineStr">
        <is>
          <t>Tuesday</t>
        </is>
      </c>
      <c r="C241" t="inlineStr">
        <is>
          <t>Week4-Oct-2025</t>
        </is>
      </c>
      <c r="D241" s="78" t="n">
        <v>45931</v>
      </c>
      <c r="E241" t="inlineStr">
        <is>
          <t>Q3FY26</t>
        </is>
      </c>
      <c r="F241" t="inlineStr">
        <is>
          <t>29-Sep-2026</t>
        </is>
      </c>
      <c r="G241" t="inlineStr">
        <is>
          <t>Tuesday</t>
        </is>
      </c>
      <c r="H241" t="inlineStr">
        <is>
          <t>Monthly - Tuesday</t>
        </is>
      </c>
      <c r="I241" t="inlineStr">
        <is>
          <t>Monthly - Tuesday</t>
        </is>
      </c>
      <c r="J241" t="inlineStr">
        <is>
          <t>Month+11 Expiry</t>
        </is>
      </c>
      <c r="K241" s="25" t="n">
        <v>0</v>
      </c>
      <c r="L241" s="26" t="n">
        <v>0</v>
      </c>
      <c r="M241" s="26" t="n">
        <v>0</v>
      </c>
    </row>
    <row r="242" ht="16" customHeight="1">
      <c r="A242" t="inlineStr">
        <is>
          <t>29-Oct-2025</t>
        </is>
      </c>
      <c r="B242" t="inlineStr">
        <is>
          <t>Wednesday</t>
        </is>
      </c>
      <c r="C242" t="inlineStr">
        <is>
          <t>Week5-Oct-2025</t>
        </is>
      </c>
      <c r="D242" s="78" t="n">
        <v>45931</v>
      </c>
      <c r="E242" t="inlineStr">
        <is>
          <t>Q3FY26</t>
        </is>
      </c>
      <c r="F242" t="inlineStr">
        <is>
          <t>25-Nov-2025</t>
        </is>
      </c>
      <c r="G242" t="inlineStr">
        <is>
          <t>Tuesday</t>
        </is>
      </c>
      <c r="H242" t="inlineStr">
        <is>
          <t>Monthly - Tuesday</t>
        </is>
      </c>
      <c r="I242" t="inlineStr">
        <is>
          <t>Monthly - Tuesday</t>
        </is>
      </c>
      <c r="J242" t="inlineStr">
        <is>
          <t>Month+1 Expiry</t>
        </is>
      </c>
      <c r="K242" s="25" t="n">
        <v>2212302</v>
      </c>
      <c r="L242" s="26" t="n">
        <v>4533.5092</v>
      </c>
      <c r="M242" s="26" t="n">
        <v>39.933</v>
      </c>
    </row>
    <row r="243" ht="16" customHeight="1">
      <c r="A243" t="inlineStr">
        <is>
          <t>29-Oct-2025</t>
        </is>
      </c>
      <c r="B243" t="inlineStr">
        <is>
          <t>Wednesday</t>
        </is>
      </c>
      <c r="C243" t="inlineStr">
        <is>
          <t>Week5-Oct-2025</t>
        </is>
      </c>
      <c r="D243" s="78" t="n">
        <v>45931</v>
      </c>
      <c r="E243" t="inlineStr">
        <is>
          <t>Q3FY26</t>
        </is>
      </c>
      <c r="F243" t="inlineStr">
        <is>
          <t>30-Dec-2025</t>
        </is>
      </c>
      <c r="G243" t="inlineStr">
        <is>
          <t>Tuesday</t>
        </is>
      </c>
      <c r="H243" t="inlineStr">
        <is>
          <t>Monthly - Tuesday</t>
        </is>
      </c>
      <c r="I243" t="inlineStr">
        <is>
          <t>Monthly - Tuesday</t>
        </is>
      </c>
      <c r="J243" t="inlineStr">
        <is>
          <t>Month+2 Expiry</t>
        </is>
      </c>
      <c r="K243" s="25" t="n">
        <v>24422</v>
      </c>
      <c r="L243" s="26" t="n">
        <v>50.1036</v>
      </c>
      <c r="M243" s="26" t="n">
        <v>0.5782</v>
      </c>
    </row>
    <row r="244" ht="16" customHeight="1">
      <c r="A244" t="inlineStr">
        <is>
          <t>29-Oct-2025</t>
        </is>
      </c>
      <c r="B244" t="inlineStr">
        <is>
          <t>Wednesday</t>
        </is>
      </c>
      <c r="C244" t="inlineStr">
        <is>
          <t>Week5-Oct-2025</t>
        </is>
      </c>
      <c r="D244" s="78" t="n">
        <v>45931</v>
      </c>
      <c r="E244" t="inlineStr">
        <is>
          <t>Q3FY26</t>
        </is>
      </c>
      <c r="F244" t="inlineStr">
        <is>
          <t>27-Jan-2026</t>
        </is>
      </c>
      <c r="G244" t="inlineStr">
        <is>
          <t>Tuesday</t>
        </is>
      </c>
      <c r="H244" t="inlineStr">
        <is>
          <t>Monthly - Tuesday</t>
        </is>
      </c>
      <c r="I244" t="inlineStr">
        <is>
          <t>Monthly - Tuesday</t>
        </is>
      </c>
      <c r="J244" t="inlineStr">
        <is>
          <t>Month+3 Expiry</t>
        </is>
      </c>
      <c r="K244" s="25" t="n">
        <v>86</v>
      </c>
      <c r="L244" s="26" t="n">
        <v>0.1527</v>
      </c>
      <c r="M244" s="26" t="n">
        <v>0.004</v>
      </c>
    </row>
    <row r="245" ht="16" customHeight="1">
      <c r="A245" t="inlineStr">
        <is>
          <t>29-Oct-2025</t>
        </is>
      </c>
      <c r="B245" t="inlineStr">
        <is>
          <t>Wednesday</t>
        </is>
      </c>
      <c r="C245" t="inlineStr">
        <is>
          <t>Week5-Oct-2025</t>
        </is>
      </c>
      <c r="D245" s="78" t="n">
        <v>45931</v>
      </c>
      <c r="E245" t="inlineStr">
        <is>
          <t>Q3FY26</t>
        </is>
      </c>
      <c r="F245" t="inlineStr">
        <is>
          <t>31-Mar-2026</t>
        </is>
      </c>
      <c r="G245" t="inlineStr">
        <is>
          <t>Tuesday</t>
        </is>
      </c>
      <c r="H245" t="inlineStr">
        <is>
          <t>Monthly - Tuesday</t>
        </is>
      </c>
      <c r="I245" t="inlineStr">
        <is>
          <t>Monthly - Tuesday</t>
        </is>
      </c>
      <c r="J245" t="inlineStr">
        <is>
          <t>Month+5 Expiry</t>
        </is>
      </c>
      <c r="K245" s="25" t="n">
        <v>550</v>
      </c>
      <c r="L245" s="26" t="n">
        <v>1.1346</v>
      </c>
      <c r="M245" s="26" t="n">
        <v>0.0219</v>
      </c>
    </row>
    <row r="246" ht="16" customHeight="1">
      <c r="A246" t="inlineStr">
        <is>
          <t>29-Oct-2025</t>
        </is>
      </c>
      <c r="B246" t="inlineStr">
        <is>
          <t>Wednesday</t>
        </is>
      </c>
      <c r="C246" t="inlineStr">
        <is>
          <t>Week5-Oct-2025</t>
        </is>
      </c>
      <c r="D246" s="78" t="n">
        <v>45931</v>
      </c>
      <c r="E246" t="inlineStr">
        <is>
          <t>Q3FY26</t>
        </is>
      </c>
      <c r="F246" t="inlineStr">
        <is>
          <t>30-Jun-2026</t>
        </is>
      </c>
      <c r="G246" t="inlineStr">
        <is>
          <t>Tuesday</t>
        </is>
      </c>
      <c r="H246" t="inlineStr">
        <is>
          <t>Monthly - Tuesday</t>
        </is>
      </c>
      <c r="I246" t="inlineStr">
        <is>
          <t>Monthly - Tuesday</t>
        </is>
      </c>
      <c r="J246" t="inlineStr">
        <is>
          <t>Month+8 Expiry</t>
        </is>
      </c>
      <c r="K246" s="25" t="n">
        <v>0</v>
      </c>
      <c r="L246" s="26" t="n">
        <v>0</v>
      </c>
      <c r="M246" s="26" t="n">
        <v>0</v>
      </c>
    </row>
    <row r="247" ht="16" customHeight="1">
      <c r="A247" t="inlineStr">
        <is>
          <t>29-Oct-2025</t>
        </is>
      </c>
      <c r="B247" t="inlineStr">
        <is>
          <t>Wednesday</t>
        </is>
      </c>
      <c r="C247" t="inlineStr">
        <is>
          <t>Week5-Oct-2025</t>
        </is>
      </c>
      <c r="D247" s="78" t="n">
        <v>45931</v>
      </c>
      <c r="E247" t="inlineStr">
        <is>
          <t>Q3FY26</t>
        </is>
      </c>
      <c r="F247" t="inlineStr">
        <is>
          <t>29-Sep-2026</t>
        </is>
      </c>
      <c r="G247" t="inlineStr">
        <is>
          <t>Tuesday</t>
        </is>
      </c>
      <c r="H247" t="inlineStr">
        <is>
          <t>Monthly - Tuesday</t>
        </is>
      </c>
      <c r="I247" t="inlineStr">
        <is>
          <t>Monthly - Tuesday</t>
        </is>
      </c>
      <c r="J247" t="inlineStr">
        <is>
          <t>Month+11 Expiry</t>
        </is>
      </c>
      <c r="K247" s="25" t="n">
        <v>0</v>
      </c>
      <c r="L247" s="26" t="n">
        <v>0</v>
      </c>
      <c r="M247" s="26" t="n">
        <v>0</v>
      </c>
    </row>
    <row r="248" ht="16" customHeight="1">
      <c r="A248" t="inlineStr">
        <is>
          <t>30-Oct-2025</t>
        </is>
      </c>
      <c r="B248" t="inlineStr">
        <is>
          <t>Thursday</t>
        </is>
      </c>
      <c r="C248" t="inlineStr">
        <is>
          <t>Week5-Oct-2025</t>
        </is>
      </c>
      <c r="D248" s="78" t="n">
        <v>45931</v>
      </c>
      <c r="E248" t="inlineStr">
        <is>
          <t>Q3FY26</t>
        </is>
      </c>
      <c r="F248" t="inlineStr">
        <is>
          <t>25-Nov-2025</t>
        </is>
      </c>
      <c r="G248" t="inlineStr">
        <is>
          <t>Tuesday</t>
        </is>
      </c>
      <c r="H248" t="inlineStr">
        <is>
          <t>Monthly - Tuesday</t>
        </is>
      </c>
      <c r="I248" t="inlineStr">
        <is>
          <t>Monthly - Tuesday</t>
        </is>
      </c>
      <c r="J248" t="inlineStr">
        <is>
          <t>Month+1 Expiry</t>
        </is>
      </c>
      <c r="K248" s="25" t="n">
        <v>1949720</v>
      </c>
      <c r="L248" s="26" t="n">
        <v>3994.3844</v>
      </c>
      <c r="M248" s="26" t="n">
        <v>34.4945</v>
      </c>
    </row>
    <row r="249" ht="16" customHeight="1">
      <c r="A249" t="inlineStr">
        <is>
          <t>30-Oct-2025</t>
        </is>
      </c>
      <c r="B249" t="inlineStr">
        <is>
          <t>Thursday</t>
        </is>
      </c>
      <c r="C249" t="inlineStr">
        <is>
          <t>Week5-Oct-2025</t>
        </is>
      </c>
      <c r="D249" s="78" t="n">
        <v>45931</v>
      </c>
      <c r="E249" t="inlineStr">
        <is>
          <t>Q3FY26</t>
        </is>
      </c>
      <c r="F249" t="inlineStr">
        <is>
          <t>30-Dec-2025</t>
        </is>
      </c>
      <c r="G249" t="inlineStr">
        <is>
          <t>Tuesday</t>
        </is>
      </c>
      <c r="H249" t="inlineStr">
        <is>
          <t>Monthly - Tuesday</t>
        </is>
      </c>
      <c r="I249" t="inlineStr">
        <is>
          <t>Monthly - Tuesday</t>
        </is>
      </c>
      <c r="J249" t="inlineStr">
        <is>
          <t>Month+2 Expiry</t>
        </is>
      </c>
      <c r="K249" s="25" t="n">
        <v>20662</v>
      </c>
      <c r="L249" s="26" t="n">
        <v>42.1782</v>
      </c>
      <c r="M249" s="26" t="n">
        <v>0.4723</v>
      </c>
    </row>
    <row r="250" ht="16" customHeight="1">
      <c r="A250" t="inlineStr">
        <is>
          <t>30-Oct-2025</t>
        </is>
      </c>
      <c r="B250" t="inlineStr">
        <is>
          <t>Thursday</t>
        </is>
      </c>
      <c r="C250" t="inlineStr">
        <is>
          <t>Week5-Oct-2025</t>
        </is>
      </c>
      <c r="D250" s="78" t="n">
        <v>45931</v>
      </c>
      <c r="E250" t="inlineStr">
        <is>
          <t>Q3FY26</t>
        </is>
      </c>
      <c r="F250" t="inlineStr">
        <is>
          <t>27-Jan-2026</t>
        </is>
      </c>
      <c r="G250" t="inlineStr">
        <is>
          <t>Tuesday</t>
        </is>
      </c>
      <c r="H250" t="inlineStr">
        <is>
          <t>Monthly - Tuesday</t>
        </is>
      </c>
      <c r="I250" t="inlineStr">
        <is>
          <t>Monthly - Tuesday</t>
        </is>
      </c>
      <c r="J250" t="inlineStr">
        <is>
          <t>Month+3 Expiry</t>
        </is>
      </c>
      <c r="K250" s="25" t="n">
        <v>292</v>
      </c>
      <c r="L250" s="26" t="n">
        <v>0.5053</v>
      </c>
      <c r="M250" s="26" t="n">
        <v>0.0071</v>
      </c>
    </row>
    <row r="251" ht="16" customHeight="1">
      <c r="A251" t="inlineStr">
        <is>
          <t>30-Oct-2025</t>
        </is>
      </c>
      <c r="B251" t="inlineStr">
        <is>
          <t>Thursday</t>
        </is>
      </c>
      <c r="C251" t="inlineStr">
        <is>
          <t>Week5-Oct-2025</t>
        </is>
      </c>
      <c r="D251" s="78" t="n">
        <v>45931</v>
      </c>
      <c r="E251" t="inlineStr">
        <is>
          <t>Q3FY26</t>
        </is>
      </c>
      <c r="F251" t="inlineStr">
        <is>
          <t>31-Mar-2026</t>
        </is>
      </c>
      <c r="G251" t="inlineStr">
        <is>
          <t>Tuesday</t>
        </is>
      </c>
      <c r="H251" t="inlineStr">
        <is>
          <t>Monthly - Tuesday</t>
        </is>
      </c>
      <c r="I251" t="inlineStr">
        <is>
          <t>Monthly - Tuesday</t>
        </is>
      </c>
      <c r="J251" t="inlineStr">
        <is>
          <t>Month+5 Expiry</t>
        </is>
      </c>
      <c r="K251" s="25" t="n">
        <v>1572</v>
      </c>
      <c r="L251" s="26" t="n">
        <v>3.1757</v>
      </c>
      <c r="M251" s="26" t="n">
        <v>0.0477</v>
      </c>
    </row>
    <row r="252" ht="16" customHeight="1">
      <c r="A252" t="inlineStr">
        <is>
          <t>30-Oct-2025</t>
        </is>
      </c>
      <c r="B252" t="inlineStr">
        <is>
          <t>Thursday</t>
        </is>
      </c>
      <c r="C252" t="inlineStr">
        <is>
          <t>Week5-Oct-2025</t>
        </is>
      </c>
      <c r="D252" s="78" t="n">
        <v>45931</v>
      </c>
      <c r="E252" t="inlineStr">
        <is>
          <t>Q3FY26</t>
        </is>
      </c>
      <c r="F252" t="inlineStr">
        <is>
          <t>30-Jun-2026</t>
        </is>
      </c>
      <c r="G252" t="inlineStr">
        <is>
          <t>Tuesday</t>
        </is>
      </c>
      <c r="H252" t="inlineStr">
        <is>
          <t>Monthly - Tuesday</t>
        </is>
      </c>
      <c r="I252" t="inlineStr">
        <is>
          <t>Monthly - Tuesday</t>
        </is>
      </c>
      <c r="J252" t="inlineStr">
        <is>
          <t>Month+8 Expiry</t>
        </is>
      </c>
      <c r="K252" s="25" t="n">
        <v>0</v>
      </c>
      <c r="L252" s="26" t="n">
        <v>0</v>
      </c>
      <c r="M252" s="26" t="n">
        <v>0</v>
      </c>
    </row>
    <row r="253" ht="16" customHeight="1">
      <c r="A253" t="inlineStr">
        <is>
          <t>30-Oct-2025</t>
        </is>
      </c>
      <c r="B253" t="inlineStr">
        <is>
          <t>Thursday</t>
        </is>
      </c>
      <c r="C253" t="inlineStr">
        <is>
          <t>Week5-Oct-2025</t>
        </is>
      </c>
      <c r="D253" s="78" t="n">
        <v>45931</v>
      </c>
      <c r="E253" t="inlineStr">
        <is>
          <t>Q3FY26</t>
        </is>
      </c>
      <c r="F253" t="inlineStr">
        <is>
          <t>29-Sep-2026</t>
        </is>
      </c>
      <c r="G253" t="inlineStr">
        <is>
          <t>Tuesday</t>
        </is>
      </c>
      <c r="H253" t="inlineStr">
        <is>
          <t>Monthly - Tuesday</t>
        </is>
      </c>
      <c r="I253" t="inlineStr">
        <is>
          <t>Monthly - Tuesday</t>
        </is>
      </c>
      <c r="J253" t="inlineStr">
        <is>
          <t>Month+11 Expiry</t>
        </is>
      </c>
      <c r="K253" s="25" t="n">
        <v>0</v>
      </c>
      <c r="L253" s="26" t="n">
        <v>0</v>
      </c>
      <c r="M253" s="26" t="n">
        <v>0</v>
      </c>
    </row>
    <row r="254" ht="16" customHeight="1">
      <c r="A254" t="inlineStr">
        <is>
          <t>31-Oct-2025</t>
        </is>
      </c>
      <c r="B254" t="inlineStr">
        <is>
          <t>Friday</t>
        </is>
      </c>
      <c r="C254" t="inlineStr">
        <is>
          <t>Week5-Oct-2025</t>
        </is>
      </c>
      <c r="D254" s="78" t="n">
        <v>45931</v>
      </c>
      <c r="E254" t="inlineStr">
        <is>
          <t>Q3FY26</t>
        </is>
      </c>
      <c r="F254" t="inlineStr">
        <is>
          <t>25-Nov-2025</t>
        </is>
      </c>
      <c r="G254" t="inlineStr">
        <is>
          <t>Tuesday</t>
        </is>
      </c>
      <c r="H254" t="inlineStr">
        <is>
          <t>Monthly - Tuesday</t>
        </is>
      </c>
      <c r="I254" t="inlineStr">
        <is>
          <t>Monthly - Tuesday</t>
        </is>
      </c>
      <c r="J254" t="inlineStr">
        <is>
          <t>Month+1 Expiry</t>
        </is>
      </c>
      <c r="K254" s="25" t="n">
        <v>2569744</v>
      </c>
      <c r="L254" s="26" t="n">
        <v>5245.7318</v>
      </c>
      <c r="M254" s="26" t="n">
        <v>44.9016</v>
      </c>
    </row>
    <row r="255" ht="16" customHeight="1">
      <c r="A255" t="inlineStr">
        <is>
          <t>31-Oct-2025</t>
        </is>
      </c>
      <c r="B255" t="inlineStr">
        <is>
          <t>Friday</t>
        </is>
      </c>
      <c r="C255" t="inlineStr">
        <is>
          <t>Week5-Oct-2025</t>
        </is>
      </c>
      <c r="D255" s="78" t="n">
        <v>45931</v>
      </c>
      <c r="E255" t="inlineStr">
        <is>
          <t>Q3FY26</t>
        </is>
      </c>
      <c r="F255" t="inlineStr">
        <is>
          <t>30-Dec-2025</t>
        </is>
      </c>
      <c r="G255" t="inlineStr">
        <is>
          <t>Tuesday</t>
        </is>
      </c>
      <c r="H255" t="inlineStr">
        <is>
          <t>Monthly - Tuesday</t>
        </is>
      </c>
      <c r="I255" t="inlineStr">
        <is>
          <t>Monthly - Tuesday</t>
        </is>
      </c>
      <c r="J255" t="inlineStr">
        <is>
          <t>Month+2 Expiry</t>
        </is>
      </c>
      <c r="K255" s="25" t="n">
        <v>30409</v>
      </c>
      <c r="L255" s="26" t="n">
        <v>62.9764</v>
      </c>
      <c r="M255" s="26" t="n">
        <v>0.7359</v>
      </c>
    </row>
    <row r="256" ht="16" customHeight="1">
      <c r="A256" t="inlineStr">
        <is>
          <t>31-Oct-2025</t>
        </is>
      </c>
      <c r="B256" t="inlineStr">
        <is>
          <t>Friday</t>
        </is>
      </c>
      <c r="C256" t="inlineStr">
        <is>
          <t>Week5-Oct-2025</t>
        </is>
      </c>
      <c r="D256" s="78" t="n">
        <v>45931</v>
      </c>
      <c r="E256" t="inlineStr">
        <is>
          <t>Q3FY26</t>
        </is>
      </c>
      <c r="F256" t="inlineStr">
        <is>
          <t>27-Jan-2026</t>
        </is>
      </c>
      <c r="G256" t="inlineStr">
        <is>
          <t>Tuesday</t>
        </is>
      </c>
      <c r="H256" t="inlineStr">
        <is>
          <t>Monthly - Tuesday</t>
        </is>
      </c>
      <c r="I256" t="inlineStr">
        <is>
          <t>Monthly - Tuesday</t>
        </is>
      </c>
      <c r="J256" t="inlineStr">
        <is>
          <t>Month+3 Expiry</t>
        </is>
      </c>
      <c r="K256" s="25" t="n">
        <v>427</v>
      </c>
      <c r="L256" s="26" t="n">
        <v>0.7334000000000001</v>
      </c>
      <c r="M256" s="26" t="n">
        <v>0.008999999999999999</v>
      </c>
    </row>
    <row r="257" ht="16" customHeight="1">
      <c r="A257" t="inlineStr">
        <is>
          <t>31-Oct-2025</t>
        </is>
      </c>
      <c r="B257" t="inlineStr">
        <is>
          <t>Friday</t>
        </is>
      </c>
      <c r="C257" t="inlineStr">
        <is>
          <t>Week5-Oct-2025</t>
        </is>
      </c>
      <c r="D257" s="78" t="n">
        <v>45931</v>
      </c>
      <c r="E257" t="inlineStr">
        <is>
          <t>Q3FY26</t>
        </is>
      </c>
      <c r="F257" t="inlineStr">
        <is>
          <t>31-Mar-2026</t>
        </is>
      </c>
      <c r="G257" t="inlineStr">
        <is>
          <t>Tuesday</t>
        </is>
      </c>
      <c r="H257" t="inlineStr">
        <is>
          <t>Monthly - Tuesday</t>
        </is>
      </c>
      <c r="I257" t="inlineStr">
        <is>
          <t>Monthly - Tuesday</t>
        </is>
      </c>
      <c r="J257" t="inlineStr">
        <is>
          <t>Month+5 Expiry</t>
        </is>
      </c>
      <c r="K257" s="25" t="n">
        <v>538</v>
      </c>
      <c r="L257" s="26" t="n">
        <v>1.0946</v>
      </c>
      <c r="M257" s="26" t="n">
        <v>0.0188</v>
      </c>
    </row>
    <row r="258" ht="16" customHeight="1">
      <c r="A258" t="inlineStr">
        <is>
          <t>31-Oct-2025</t>
        </is>
      </c>
      <c r="B258" t="inlineStr">
        <is>
          <t>Friday</t>
        </is>
      </c>
      <c r="C258" t="inlineStr">
        <is>
          <t>Week5-Oct-2025</t>
        </is>
      </c>
      <c r="D258" s="78" t="n">
        <v>45931</v>
      </c>
      <c r="E258" t="inlineStr">
        <is>
          <t>Q3FY26</t>
        </is>
      </c>
      <c r="F258" t="inlineStr">
        <is>
          <t>30-Jun-2026</t>
        </is>
      </c>
      <c r="G258" t="inlineStr">
        <is>
          <t>Tuesday</t>
        </is>
      </c>
      <c r="H258" t="inlineStr">
        <is>
          <t>Monthly - Tuesday</t>
        </is>
      </c>
      <c r="I258" t="inlineStr">
        <is>
          <t>Monthly - Tuesday</t>
        </is>
      </c>
      <c r="J258" t="inlineStr">
        <is>
          <t>Month+8 Expiry</t>
        </is>
      </c>
      <c r="K258" s="25" t="n">
        <v>0</v>
      </c>
      <c r="L258" s="26" t="n">
        <v>0</v>
      </c>
      <c r="M258" s="26" t="n">
        <v>0</v>
      </c>
    </row>
    <row r="259" ht="16" customHeight="1">
      <c r="A259" t="inlineStr">
        <is>
          <t>31-Oct-2025</t>
        </is>
      </c>
      <c r="B259" t="inlineStr">
        <is>
          <t>Friday</t>
        </is>
      </c>
      <c r="C259" t="inlineStr">
        <is>
          <t>Week5-Oct-2025</t>
        </is>
      </c>
      <c r="D259" s="78" t="n">
        <v>45931</v>
      </c>
      <c r="E259" t="inlineStr">
        <is>
          <t>Q3FY26</t>
        </is>
      </c>
      <c r="F259" t="inlineStr">
        <is>
          <t>29-Sep-2026</t>
        </is>
      </c>
      <c r="G259" t="inlineStr">
        <is>
          <t>Tuesday</t>
        </is>
      </c>
      <c r="H259" t="inlineStr">
        <is>
          <t>Monthly - Tuesday</t>
        </is>
      </c>
      <c r="I259" t="inlineStr">
        <is>
          <t>Monthly - Tuesday</t>
        </is>
      </c>
      <c r="J259" t="inlineStr">
        <is>
          <t>Month+11 Expiry</t>
        </is>
      </c>
      <c r="K259" s="25" t="n">
        <v>0</v>
      </c>
      <c r="L259" s="26" t="n">
        <v>0</v>
      </c>
      <c r="M259" s="26" t="n">
        <v>0</v>
      </c>
    </row>
    <row r="260" ht="16" customHeight="1">
      <c r="A260" t="inlineStr">
        <is>
          <t>03-Nov-2025</t>
        </is>
      </c>
      <c r="B260" t="inlineStr">
        <is>
          <t>Monday</t>
        </is>
      </c>
      <c r="C260" t="inlineStr">
        <is>
          <t>Week1-Nov-2025</t>
        </is>
      </c>
      <c r="D260" s="78" t="n">
        <v>45962</v>
      </c>
      <c r="E260" t="inlineStr">
        <is>
          <t>Q3FY26</t>
        </is>
      </c>
      <c r="F260" t="inlineStr">
        <is>
          <t>25-Nov-2025</t>
        </is>
      </c>
      <c r="G260" t="inlineStr">
        <is>
          <t>Tuesday</t>
        </is>
      </c>
      <c r="H260" t="inlineStr">
        <is>
          <t>Monthly - Tuesday</t>
        </is>
      </c>
      <c r="I260" t="inlineStr">
        <is>
          <t>Monthly - Tuesday</t>
        </is>
      </c>
      <c r="J260" t="inlineStr">
        <is>
          <t>Same Month Expiry</t>
        </is>
      </c>
      <c r="K260" s="25" t="n">
        <v>2228380</v>
      </c>
      <c r="L260" s="26" t="n">
        <v>4560.7056</v>
      </c>
      <c r="M260" s="26" t="n">
        <v>37.6346</v>
      </c>
    </row>
    <row r="261" ht="16" customHeight="1">
      <c r="A261" t="inlineStr">
        <is>
          <t>03-Nov-2025</t>
        </is>
      </c>
      <c r="B261" t="inlineStr">
        <is>
          <t>Monday</t>
        </is>
      </c>
      <c r="C261" t="inlineStr">
        <is>
          <t>Week1-Nov-2025</t>
        </is>
      </c>
      <c r="D261" s="78" t="n">
        <v>45962</v>
      </c>
      <c r="E261" t="inlineStr">
        <is>
          <t>Q3FY26</t>
        </is>
      </c>
      <c r="F261" t="inlineStr">
        <is>
          <t>30-Dec-2025</t>
        </is>
      </c>
      <c r="G261" t="inlineStr">
        <is>
          <t>Tuesday</t>
        </is>
      </c>
      <c r="H261" t="inlineStr">
        <is>
          <t>Monthly - Tuesday</t>
        </is>
      </c>
      <c r="I261" t="inlineStr">
        <is>
          <t>Monthly - Tuesday</t>
        </is>
      </c>
      <c r="J261" t="inlineStr">
        <is>
          <t>Month+1 Expiry</t>
        </is>
      </c>
      <c r="K261" s="25" t="n">
        <v>27468</v>
      </c>
      <c r="L261" s="26" t="n">
        <v>56.4141</v>
      </c>
      <c r="M261" s="26" t="n">
        <v>0.5905</v>
      </c>
    </row>
    <row r="262" ht="16" customHeight="1">
      <c r="A262" t="inlineStr">
        <is>
          <t>03-Nov-2025</t>
        </is>
      </c>
      <c r="B262" t="inlineStr">
        <is>
          <t>Monday</t>
        </is>
      </c>
      <c r="C262" t="inlineStr">
        <is>
          <t>Week1-Nov-2025</t>
        </is>
      </c>
      <c r="D262" s="78" t="n">
        <v>45962</v>
      </c>
      <c r="E262" t="inlineStr">
        <is>
          <t>Q3FY26</t>
        </is>
      </c>
      <c r="F262" t="inlineStr">
        <is>
          <t>27-Jan-2026</t>
        </is>
      </c>
      <c r="G262" t="inlineStr">
        <is>
          <t>Tuesday</t>
        </is>
      </c>
      <c r="H262" t="inlineStr">
        <is>
          <t>Monthly - Tuesday</t>
        </is>
      </c>
      <c r="I262" t="inlineStr">
        <is>
          <t>Monthly - Tuesday</t>
        </is>
      </c>
      <c r="J262" t="inlineStr">
        <is>
          <t>Month+2 Expiry</t>
        </is>
      </c>
      <c r="K262" s="25" t="n">
        <v>351</v>
      </c>
      <c r="L262" s="26" t="n">
        <v>0.6025</v>
      </c>
      <c r="M262" s="26" t="n">
        <v>0.0065</v>
      </c>
    </row>
    <row r="263" ht="16" customHeight="1">
      <c r="A263" t="inlineStr">
        <is>
          <t>03-Nov-2025</t>
        </is>
      </c>
      <c r="B263" t="inlineStr">
        <is>
          <t>Monday</t>
        </is>
      </c>
      <c r="C263" t="inlineStr">
        <is>
          <t>Week1-Nov-2025</t>
        </is>
      </c>
      <c r="D263" s="78" t="n">
        <v>45962</v>
      </c>
      <c r="E263" t="inlineStr">
        <is>
          <t>Q3FY26</t>
        </is>
      </c>
      <c r="F263" t="inlineStr">
        <is>
          <t>31-Mar-2026</t>
        </is>
      </c>
      <c r="G263" t="inlineStr">
        <is>
          <t>Tuesday</t>
        </is>
      </c>
      <c r="H263" t="inlineStr">
        <is>
          <t>Monthly - Tuesday</t>
        </is>
      </c>
      <c r="I263" t="inlineStr">
        <is>
          <t>Monthly - Tuesday</t>
        </is>
      </c>
      <c r="J263" t="inlineStr">
        <is>
          <t>Month+4 Expiry</t>
        </is>
      </c>
      <c r="K263" s="25" t="n">
        <v>474</v>
      </c>
      <c r="L263" s="26" t="n">
        <v>0.9879</v>
      </c>
      <c r="M263" s="26" t="n">
        <v>0.0211</v>
      </c>
    </row>
    <row r="264" ht="16" customHeight="1">
      <c r="A264" t="inlineStr">
        <is>
          <t>03-Nov-2025</t>
        </is>
      </c>
      <c r="B264" t="inlineStr">
        <is>
          <t>Monday</t>
        </is>
      </c>
      <c r="C264" t="inlineStr">
        <is>
          <t>Week1-Nov-2025</t>
        </is>
      </c>
      <c r="D264" s="78" t="n">
        <v>45962</v>
      </c>
      <c r="E264" t="inlineStr">
        <is>
          <t>Q3FY26</t>
        </is>
      </c>
      <c r="F264" t="inlineStr">
        <is>
          <t>30-Jun-2026</t>
        </is>
      </c>
      <c r="G264" t="inlineStr">
        <is>
          <t>Tuesday</t>
        </is>
      </c>
      <c r="H264" t="inlineStr">
        <is>
          <t>Monthly - Tuesday</t>
        </is>
      </c>
      <c r="I264" t="inlineStr">
        <is>
          <t>Monthly - Tuesday</t>
        </is>
      </c>
      <c r="J264" t="inlineStr">
        <is>
          <t>Month+7 Expiry</t>
        </is>
      </c>
      <c r="K264" s="25" t="n">
        <v>0</v>
      </c>
      <c r="L264" s="26" t="n">
        <v>0</v>
      </c>
      <c r="M264" s="26" t="n">
        <v>0</v>
      </c>
    </row>
    <row r="265" ht="16" customHeight="1">
      <c r="A265" t="inlineStr">
        <is>
          <t>03-Nov-2025</t>
        </is>
      </c>
      <c r="B265" t="inlineStr">
        <is>
          <t>Monday</t>
        </is>
      </c>
      <c r="C265" t="inlineStr">
        <is>
          <t>Week1-Nov-2025</t>
        </is>
      </c>
      <c r="D265" s="78" t="n">
        <v>45962</v>
      </c>
      <c r="E265" t="inlineStr">
        <is>
          <t>Q3FY26</t>
        </is>
      </c>
      <c r="F265" t="inlineStr">
        <is>
          <t>29-Sep-2026</t>
        </is>
      </c>
      <c r="G265" t="inlineStr">
        <is>
          <t>Tuesday</t>
        </is>
      </c>
      <c r="H265" t="inlineStr">
        <is>
          <t>Monthly - Tuesday</t>
        </is>
      </c>
      <c r="I265" t="inlineStr">
        <is>
          <t>Monthly - Tuesday</t>
        </is>
      </c>
      <c r="J265" t="inlineStr">
        <is>
          <t>Month+10 Expiry</t>
        </is>
      </c>
      <c r="K265" s="25" t="n">
        <v>0</v>
      </c>
      <c r="L265" s="26" t="n">
        <v>0</v>
      </c>
      <c r="M265" s="26" t="n">
        <v>0</v>
      </c>
    </row>
    <row r="266" ht="16" customHeight="1">
      <c r="A266" t="inlineStr">
        <is>
          <t>04-Nov-2025</t>
        </is>
      </c>
      <c r="B266" t="inlineStr">
        <is>
          <t>Tuesday</t>
        </is>
      </c>
      <c r="C266" t="inlineStr">
        <is>
          <t>Week1-Nov-2025</t>
        </is>
      </c>
      <c r="D266" s="78" t="n">
        <v>45962</v>
      </c>
      <c r="E266" t="inlineStr">
        <is>
          <t>Q3FY26</t>
        </is>
      </c>
      <c r="F266" t="inlineStr">
        <is>
          <t>25-Nov-2025</t>
        </is>
      </c>
      <c r="G266" t="inlineStr">
        <is>
          <t>Tuesday</t>
        </is>
      </c>
      <c r="H266" t="inlineStr">
        <is>
          <t>Monthly - Tuesday</t>
        </is>
      </c>
      <c r="I266" t="inlineStr">
        <is>
          <t>Monthly - Tuesday</t>
        </is>
      </c>
      <c r="J266" t="inlineStr">
        <is>
          <t>Same Month Expiry</t>
        </is>
      </c>
      <c r="K266" s="25" t="n">
        <v>1994174</v>
      </c>
      <c r="L266" s="26" t="n">
        <v>4075.2826</v>
      </c>
      <c r="M266" s="26" t="n">
        <v>31.5015</v>
      </c>
    </row>
    <row r="267" ht="16" customHeight="1">
      <c r="A267" t="inlineStr">
        <is>
          <t>04-Nov-2025</t>
        </is>
      </c>
      <c r="B267" t="inlineStr">
        <is>
          <t>Tuesday</t>
        </is>
      </c>
      <c r="C267" t="inlineStr">
        <is>
          <t>Week1-Nov-2025</t>
        </is>
      </c>
      <c r="D267" s="78" t="n">
        <v>45962</v>
      </c>
      <c r="E267" t="inlineStr">
        <is>
          <t>Q3FY26</t>
        </is>
      </c>
      <c r="F267" t="inlineStr">
        <is>
          <t>30-Dec-2025</t>
        </is>
      </c>
      <c r="G267" t="inlineStr">
        <is>
          <t>Tuesday</t>
        </is>
      </c>
      <c r="H267" t="inlineStr">
        <is>
          <t>Monthly - Tuesday</t>
        </is>
      </c>
      <c r="I267" t="inlineStr">
        <is>
          <t>Monthly - Tuesday</t>
        </is>
      </c>
      <c r="J267" t="inlineStr">
        <is>
          <t>Month+1 Expiry</t>
        </is>
      </c>
      <c r="K267" s="25" t="n">
        <v>28187</v>
      </c>
      <c r="L267" s="26" t="n">
        <v>57.8767</v>
      </c>
      <c r="M267" s="26" t="n">
        <v>0.5515</v>
      </c>
    </row>
    <row r="268" ht="16" customHeight="1">
      <c r="A268" t="inlineStr">
        <is>
          <t>04-Nov-2025</t>
        </is>
      </c>
      <c r="B268" t="inlineStr">
        <is>
          <t>Tuesday</t>
        </is>
      </c>
      <c r="C268" t="inlineStr">
        <is>
          <t>Week1-Nov-2025</t>
        </is>
      </c>
      <c r="D268" s="78" t="n">
        <v>45962</v>
      </c>
      <c r="E268" t="inlineStr">
        <is>
          <t>Q3FY26</t>
        </is>
      </c>
      <c r="F268" t="inlineStr">
        <is>
          <t>27-Jan-2026</t>
        </is>
      </c>
      <c r="G268" t="inlineStr">
        <is>
          <t>Tuesday</t>
        </is>
      </c>
      <c r="H268" t="inlineStr">
        <is>
          <t>Monthly - Tuesday</t>
        </is>
      </c>
      <c r="I268" t="inlineStr">
        <is>
          <t>Monthly - Tuesday</t>
        </is>
      </c>
      <c r="J268" t="inlineStr">
        <is>
          <t>Month+2 Expiry</t>
        </is>
      </c>
      <c r="K268" s="25" t="n">
        <v>320</v>
      </c>
      <c r="L268" s="26" t="n">
        <v>0.5482</v>
      </c>
      <c r="M268" s="26" t="n">
        <v>0.0058</v>
      </c>
    </row>
    <row r="269" ht="16" customHeight="1">
      <c r="A269" t="inlineStr">
        <is>
          <t>04-Nov-2025</t>
        </is>
      </c>
      <c r="B269" t="inlineStr">
        <is>
          <t>Tuesday</t>
        </is>
      </c>
      <c r="C269" t="inlineStr">
        <is>
          <t>Week1-Nov-2025</t>
        </is>
      </c>
      <c r="D269" s="78" t="n">
        <v>45962</v>
      </c>
      <c r="E269" t="inlineStr">
        <is>
          <t>Q3FY26</t>
        </is>
      </c>
      <c r="F269" t="inlineStr">
        <is>
          <t>31-Mar-2026</t>
        </is>
      </c>
      <c r="G269" t="inlineStr">
        <is>
          <t>Tuesday</t>
        </is>
      </c>
      <c r="H269" t="inlineStr">
        <is>
          <t>Monthly - Tuesday</t>
        </is>
      </c>
      <c r="I269" t="inlineStr">
        <is>
          <t>Monthly - Tuesday</t>
        </is>
      </c>
      <c r="J269" t="inlineStr">
        <is>
          <t>Month+4 Expiry</t>
        </is>
      </c>
      <c r="K269" s="25" t="n">
        <v>203</v>
      </c>
      <c r="L269" s="26" t="n">
        <v>0.4164</v>
      </c>
      <c r="M269" s="26" t="n">
        <v>0.008</v>
      </c>
    </row>
    <row r="270" ht="16" customHeight="1">
      <c r="A270" t="inlineStr">
        <is>
          <t>04-Nov-2025</t>
        </is>
      </c>
      <c r="B270" t="inlineStr">
        <is>
          <t>Tuesday</t>
        </is>
      </c>
      <c r="C270" t="inlineStr">
        <is>
          <t>Week1-Nov-2025</t>
        </is>
      </c>
      <c r="D270" s="78" t="n">
        <v>45962</v>
      </c>
      <c r="E270" t="inlineStr">
        <is>
          <t>Q3FY26</t>
        </is>
      </c>
      <c r="F270" t="inlineStr">
        <is>
          <t>30-Jun-2026</t>
        </is>
      </c>
      <c r="G270" t="inlineStr">
        <is>
          <t>Tuesday</t>
        </is>
      </c>
      <c r="H270" t="inlineStr">
        <is>
          <t>Monthly - Tuesday</t>
        </is>
      </c>
      <c r="I270" t="inlineStr">
        <is>
          <t>Monthly - Tuesday</t>
        </is>
      </c>
      <c r="J270" t="inlineStr">
        <is>
          <t>Month+7 Expiry</t>
        </is>
      </c>
      <c r="K270" s="25" t="n">
        <v>0</v>
      </c>
      <c r="L270" s="26" t="n">
        <v>0</v>
      </c>
      <c r="M270" s="26" t="n">
        <v>0</v>
      </c>
    </row>
    <row r="271" ht="16" customHeight="1">
      <c r="A271" t="inlineStr">
        <is>
          <t>04-Nov-2025</t>
        </is>
      </c>
      <c r="B271" t="inlineStr">
        <is>
          <t>Tuesday</t>
        </is>
      </c>
      <c r="C271" t="inlineStr">
        <is>
          <t>Week1-Nov-2025</t>
        </is>
      </c>
      <c r="D271" s="78" t="n">
        <v>45962</v>
      </c>
      <c r="E271" t="inlineStr">
        <is>
          <t>Q3FY26</t>
        </is>
      </c>
      <c r="F271" t="inlineStr">
        <is>
          <t>29-Sep-2026</t>
        </is>
      </c>
      <c r="G271" t="inlineStr">
        <is>
          <t>Tuesday</t>
        </is>
      </c>
      <c r="H271" t="inlineStr">
        <is>
          <t>Monthly - Tuesday</t>
        </is>
      </c>
      <c r="I271" t="inlineStr">
        <is>
          <t>Monthly - Tuesday</t>
        </is>
      </c>
      <c r="J271" t="inlineStr">
        <is>
          <t>Month+10 Expiry</t>
        </is>
      </c>
      <c r="K271" s="25" t="n">
        <v>0</v>
      </c>
      <c r="L271" s="26" t="n">
        <v>0</v>
      </c>
      <c r="M271" s="26" t="n">
        <v>0</v>
      </c>
    </row>
    <row r="272" ht="16" customHeight="1">
      <c r="A272" t="inlineStr">
        <is>
          <t>06-Nov-2025</t>
        </is>
      </c>
      <c r="B272" t="inlineStr">
        <is>
          <t>Thursday</t>
        </is>
      </c>
      <c r="C272" t="inlineStr">
        <is>
          <t>Week1-Nov-2025</t>
        </is>
      </c>
      <c r="D272" s="78" t="n">
        <v>45962</v>
      </c>
      <c r="E272" t="inlineStr">
        <is>
          <t>Q3FY26</t>
        </is>
      </c>
      <c r="F272" t="inlineStr">
        <is>
          <t>25-Nov-2025</t>
        </is>
      </c>
      <c r="G272" t="inlineStr">
        <is>
          <t>Tuesday</t>
        </is>
      </c>
      <c r="H272" t="inlineStr">
        <is>
          <t>Monthly - Tuesday</t>
        </is>
      </c>
      <c r="I272" t="inlineStr">
        <is>
          <t>Monthly - Tuesday</t>
        </is>
      </c>
      <c r="J272" t="inlineStr">
        <is>
          <t>Same Month Expiry</t>
        </is>
      </c>
      <c r="K272" s="25" t="n">
        <v>2186489</v>
      </c>
      <c r="L272" s="26" t="n">
        <v>4438.1484</v>
      </c>
      <c r="M272" s="26" t="n">
        <v>33.4573</v>
      </c>
    </row>
    <row r="273" ht="16" customHeight="1">
      <c r="A273" t="inlineStr">
        <is>
          <t>06-Nov-2025</t>
        </is>
      </c>
      <c r="B273" t="inlineStr">
        <is>
          <t>Thursday</t>
        </is>
      </c>
      <c r="C273" t="inlineStr">
        <is>
          <t>Week1-Nov-2025</t>
        </is>
      </c>
      <c r="D273" s="78" t="n">
        <v>45962</v>
      </c>
      <c r="E273" t="inlineStr">
        <is>
          <t>Q3FY26</t>
        </is>
      </c>
      <c r="F273" t="inlineStr">
        <is>
          <t>30-Dec-2025</t>
        </is>
      </c>
      <c r="G273" t="inlineStr">
        <is>
          <t>Tuesday</t>
        </is>
      </c>
      <c r="H273" t="inlineStr">
        <is>
          <t>Monthly - Tuesday</t>
        </is>
      </c>
      <c r="I273" t="inlineStr">
        <is>
          <t>Monthly - Tuesday</t>
        </is>
      </c>
      <c r="J273" t="inlineStr">
        <is>
          <t>Month+1 Expiry</t>
        </is>
      </c>
      <c r="K273" s="25" t="n">
        <v>38633</v>
      </c>
      <c r="L273" s="26" t="n">
        <v>79.3771</v>
      </c>
      <c r="M273" s="26" t="n">
        <v>0.7374000000000001</v>
      </c>
    </row>
    <row r="274" ht="16" customHeight="1">
      <c r="A274" t="inlineStr">
        <is>
          <t>06-Nov-2025</t>
        </is>
      </c>
      <c r="B274" t="inlineStr">
        <is>
          <t>Thursday</t>
        </is>
      </c>
      <c r="C274" t="inlineStr">
        <is>
          <t>Week1-Nov-2025</t>
        </is>
      </c>
      <c r="D274" s="78" t="n">
        <v>45962</v>
      </c>
      <c r="E274" t="inlineStr">
        <is>
          <t>Q3FY26</t>
        </is>
      </c>
      <c r="F274" t="inlineStr">
        <is>
          <t>27-Jan-2026</t>
        </is>
      </c>
      <c r="G274" t="inlineStr">
        <is>
          <t>Tuesday</t>
        </is>
      </c>
      <c r="H274" t="inlineStr">
        <is>
          <t>Monthly - Tuesday</t>
        </is>
      </c>
      <c r="I274" t="inlineStr">
        <is>
          <t>Monthly - Tuesday</t>
        </is>
      </c>
      <c r="J274" t="inlineStr">
        <is>
          <t>Month+2 Expiry</t>
        </is>
      </c>
      <c r="K274" s="25" t="n">
        <v>831</v>
      </c>
      <c r="L274" s="26" t="n">
        <v>1.4427</v>
      </c>
      <c r="M274" s="26" t="n">
        <v>0.0187</v>
      </c>
    </row>
    <row r="275" ht="16" customHeight="1">
      <c r="A275" t="inlineStr">
        <is>
          <t>06-Nov-2025</t>
        </is>
      </c>
      <c r="B275" t="inlineStr">
        <is>
          <t>Thursday</t>
        </is>
      </c>
      <c r="C275" t="inlineStr">
        <is>
          <t>Week1-Nov-2025</t>
        </is>
      </c>
      <c r="D275" s="78" t="n">
        <v>45962</v>
      </c>
      <c r="E275" t="inlineStr">
        <is>
          <t>Q3FY26</t>
        </is>
      </c>
      <c r="F275" t="inlineStr">
        <is>
          <t>31-Mar-2026</t>
        </is>
      </c>
      <c r="G275" t="inlineStr">
        <is>
          <t>Tuesday</t>
        </is>
      </c>
      <c r="H275" t="inlineStr">
        <is>
          <t>Monthly - Tuesday</t>
        </is>
      </c>
      <c r="I275" t="inlineStr">
        <is>
          <t>Monthly - Tuesday</t>
        </is>
      </c>
      <c r="J275" t="inlineStr">
        <is>
          <t>Month+4 Expiry</t>
        </is>
      </c>
      <c r="K275" s="25" t="n">
        <v>296</v>
      </c>
      <c r="L275" s="26" t="n">
        <v>0.6095</v>
      </c>
      <c r="M275" s="26" t="n">
        <v>0.0109</v>
      </c>
    </row>
    <row r="276" ht="16" customHeight="1">
      <c r="A276" t="inlineStr">
        <is>
          <t>06-Nov-2025</t>
        </is>
      </c>
      <c r="B276" t="inlineStr">
        <is>
          <t>Thursday</t>
        </is>
      </c>
      <c r="C276" t="inlineStr">
        <is>
          <t>Week1-Nov-2025</t>
        </is>
      </c>
      <c r="D276" s="78" t="n">
        <v>45962</v>
      </c>
      <c r="E276" t="inlineStr">
        <is>
          <t>Q3FY26</t>
        </is>
      </c>
      <c r="F276" t="inlineStr">
        <is>
          <t>30-Jun-2026</t>
        </is>
      </c>
      <c r="G276" t="inlineStr">
        <is>
          <t>Tuesday</t>
        </is>
      </c>
      <c r="H276" t="inlineStr">
        <is>
          <t>Monthly - Tuesday</t>
        </is>
      </c>
      <c r="I276" t="inlineStr">
        <is>
          <t>Monthly - Tuesday</t>
        </is>
      </c>
      <c r="J276" t="inlineStr">
        <is>
          <t>Month+7 Expiry</t>
        </is>
      </c>
      <c r="K276" s="25" t="n">
        <v>0</v>
      </c>
      <c r="L276" s="26" t="n">
        <v>0</v>
      </c>
      <c r="M276" s="26" t="n">
        <v>0</v>
      </c>
    </row>
    <row r="277" ht="16" customHeight="1">
      <c r="A277" t="inlineStr">
        <is>
          <t>06-Nov-2025</t>
        </is>
      </c>
      <c r="B277" t="inlineStr">
        <is>
          <t>Thursday</t>
        </is>
      </c>
      <c r="C277" t="inlineStr">
        <is>
          <t>Week1-Nov-2025</t>
        </is>
      </c>
      <c r="D277" s="78" t="n">
        <v>45962</v>
      </c>
      <c r="E277" t="inlineStr">
        <is>
          <t>Q3FY26</t>
        </is>
      </c>
      <c r="F277" t="inlineStr">
        <is>
          <t>29-Sep-2026</t>
        </is>
      </c>
      <c r="G277" t="inlineStr">
        <is>
          <t>Tuesday</t>
        </is>
      </c>
      <c r="H277" t="inlineStr">
        <is>
          <t>Monthly - Tuesday</t>
        </is>
      </c>
      <c r="I277" t="inlineStr">
        <is>
          <t>Monthly - Tuesday</t>
        </is>
      </c>
      <c r="J277" t="inlineStr">
        <is>
          <t>Month+10 Expiry</t>
        </is>
      </c>
      <c r="K277" s="25" t="n">
        <v>0</v>
      </c>
      <c r="L277" s="26" t="n">
        <v>0</v>
      </c>
      <c r="M277" s="26" t="n">
        <v>0</v>
      </c>
    </row>
    <row r="278" ht="16" customHeight="1">
      <c r="A278" t="inlineStr">
        <is>
          <t>07-Nov-2025</t>
        </is>
      </c>
      <c r="B278" t="inlineStr">
        <is>
          <t>Friday</t>
        </is>
      </c>
      <c r="C278" t="inlineStr">
        <is>
          <t>Week1-Nov-2025</t>
        </is>
      </c>
      <c r="D278" s="78" t="n">
        <v>45962</v>
      </c>
      <c r="E278" t="inlineStr">
        <is>
          <t>Q3FY26</t>
        </is>
      </c>
      <c r="F278" t="inlineStr">
        <is>
          <t>25-Nov-2025</t>
        </is>
      </c>
      <c r="G278" t="inlineStr">
        <is>
          <t>Tuesday</t>
        </is>
      </c>
      <c r="H278" t="inlineStr">
        <is>
          <t>Monthly - Tuesday</t>
        </is>
      </c>
      <c r="I278" t="inlineStr">
        <is>
          <t>Monthly - Tuesday</t>
        </is>
      </c>
      <c r="J278" t="inlineStr">
        <is>
          <t>Same Month Expiry</t>
        </is>
      </c>
      <c r="K278" s="25" t="n">
        <v>3649590</v>
      </c>
      <c r="L278" s="26" t="n">
        <v>7404.2229</v>
      </c>
      <c r="M278" s="26" t="n">
        <v>52.7441</v>
      </c>
    </row>
    <row r="279" ht="16" customHeight="1">
      <c r="A279" t="inlineStr">
        <is>
          <t>07-Nov-2025</t>
        </is>
      </c>
      <c r="B279" t="inlineStr">
        <is>
          <t>Friday</t>
        </is>
      </c>
      <c r="C279" t="inlineStr">
        <is>
          <t>Week1-Nov-2025</t>
        </is>
      </c>
      <c r="D279" s="78" t="n">
        <v>45962</v>
      </c>
      <c r="E279" t="inlineStr">
        <is>
          <t>Q3FY26</t>
        </is>
      </c>
      <c r="F279" t="inlineStr">
        <is>
          <t>30-Dec-2025</t>
        </is>
      </c>
      <c r="G279" t="inlineStr">
        <is>
          <t>Tuesday</t>
        </is>
      </c>
      <c r="H279" t="inlineStr">
        <is>
          <t>Monthly - Tuesday</t>
        </is>
      </c>
      <c r="I279" t="inlineStr">
        <is>
          <t>Monthly - Tuesday</t>
        </is>
      </c>
      <c r="J279" t="inlineStr">
        <is>
          <t>Month+1 Expiry</t>
        </is>
      </c>
      <c r="K279" s="25" t="n">
        <v>77834</v>
      </c>
      <c r="L279" s="26" t="n">
        <v>159.4762</v>
      </c>
      <c r="M279" s="26" t="n">
        <v>1.403</v>
      </c>
    </row>
    <row r="280" ht="16" customHeight="1">
      <c r="A280" t="inlineStr">
        <is>
          <t>07-Nov-2025</t>
        </is>
      </c>
      <c r="B280" t="inlineStr">
        <is>
          <t>Friday</t>
        </is>
      </c>
      <c r="C280" t="inlineStr">
        <is>
          <t>Week1-Nov-2025</t>
        </is>
      </c>
      <c r="D280" s="78" t="n">
        <v>45962</v>
      </c>
      <c r="E280" t="inlineStr">
        <is>
          <t>Q3FY26</t>
        </is>
      </c>
      <c r="F280" t="inlineStr">
        <is>
          <t>27-Jan-2026</t>
        </is>
      </c>
      <c r="G280" t="inlineStr">
        <is>
          <t>Tuesday</t>
        </is>
      </c>
      <c r="H280" t="inlineStr">
        <is>
          <t>Monthly - Tuesday</t>
        </is>
      </c>
      <c r="I280" t="inlineStr">
        <is>
          <t>Monthly - Tuesday</t>
        </is>
      </c>
      <c r="J280" t="inlineStr">
        <is>
          <t>Month+2 Expiry</t>
        </is>
      </c>
      <c r="K280" s="25" t="n">
        <v>3310</v>
      </c>
      <c r="L280" s="26" t="n">
        <v>5.6549</v>
      </c>
      <c r="M280" s="26" t="n">
        <v>0.0641</v>
      </c>
    </row>
    <row r="281" ht="16" customHeight="1">
      <c r="A281" t="inlineStr">
        <is>
          <t>07-Nov-2025</t>
        </is>
      </c>
      <c r="B281" t="inlineStr">
        <is>
          <t>Friday</t>
        </is>
      </c>
      <c r="C281" t="inlineStr">
        <is>
          <t>Week1-Nov-2025</t>
        </is>
      </c>
      <c r="D281" s="78" t="n">
        <v>45962</v>
      </c>
      <c r="E281" t="inlineStr">
        <is>
          <t>Q3FY26</t>
        </is>
      </c>
      <c r="F281" t="inlineStr">
        <is>
          <t>31-Mar-2026</t>
        </is>
      </c>
      <c r="G281" t="inlineStr">
        <is>
          <t>Tuesday</t>
        </is>
      </c>
      <c r="H281" t="inlineStr">
        <is>
          <t>Monthly - Tuesday</t>
        </is>
      </c>
      <c r="I281" t="inlineStr">
        <is>
          <t>Monthly - Tuesday</t>
        </is>
      </c>
      <c r="J281" t="inlineStr">
        <is>
          <t>Month+4 Expiry</t>
        </is>
      </c>
      <c r="K281" s="25" t="n">
        <v>695</v>
      </c>
      <c r="L281" s="26" t="n">
        <v>1.4105</v>
      </c>
      <c r="M281" s="26" t="n">
        <v>0.0221</v>
      </c>
    </row>
    <row r="282" ht="16" customHeight="1">
      <c r="A282" t="inlineStr">
        <is>
          <t>07-Nov-2025</t>
        </is>
      </c>
      <c r="B282" t="inlineStr">
        <is>
          <t>Friday</t>
        </is>
      </c>
      <c r="C282" t="inlineStr">
        <is>
          <t>Week1-Nov-2025</t>
        </is>
      </c>
      <c r="D282" s="78" t="n">
        <v>45962</v>
      </c>
      <c r="E282" t="inlineStr">
        <is>
          <t>Q3FY26</t>
        </is>
      </c>
      <c r="F282" t="inlineStr">
        <is>
          <t>30-Jun-2026</t>
        </is>
      </c>
      <c r="G282" t="inlineStr">
        <is>
          <t>Tuesday</t>
        </is>
      </c>
      <c r="H282" t="inlineStr">
        <is>
          <t>Monthly - Tuesday</t>
        </is>
      </c>
      <c r="I282" t="inlineStr">
        <is>
          <t>Monthly - Tuesday</t>
        </is>
      </c>
      <c r="J282" t="inlineStr">
        <is>
          <t>Month+7 Expiry</t>
        </is>
      </c>
      <c r="K282" s="25" t="n">
        <v>0</v>
      </c>
      <c r="L282" s="26" t="n">
        <v>0</v>
      </c>
      <c r="M282" s="26" t="n">
        <v>0</v>
      </c>
    </row>
    <row r="283" ht="16" customHeight="1">
      <c r="A283" t="inlineStr">
        <is>
          <t>07-Nov-2025</t>
        </is>
      </c>
      <c r="B283" t="inlineStr">
        <is>
          <t>Friday</t>
        </is>
      </c>
      <c r="C283" t="inlineStr">
        <is>
          <t>Week1-Nov-2025</t>
        </is>
      </c>
      <c r="D283" s="78" t="n">
        <v>45962</v>
      </c>
      <c r="E283" t="inlineStr">
        <is>
          <t>Q3FY26</t>
        </is>
      </c>
      <c r="F283" t="inlineStr">
        <is>
          <t>29-Sep-2026</t>
        </is>
      </c>
      <c r="G283" t="inlineStr">
        <is>
          <t>Tuesday</t>
        </is>
      </c>
      <c r="H283" t="inlineStr">
        <is>
          <t>Monthly - Tuesday</t>
        </is>
      </c>
      <c r="I283" t="inlineStr">
        <is>
          <t>Monthly - Tuesday</t>
        </is>
      </c>
      <c r="J283" t="inlineStr">
        <is>
          <t>Month+10 Expiry</t>
        </is>
      </c>
      <c r="K283" s="25" t="n">
        <v>0</v>
      </c>
      <c r="L283" s="26" t="n">
        <v>0</v>
      </c>
      <c r="M283" s="26" t="n">
        <v>0</v>
      </c>
    </row>
    <row r="284" ht="16" customHeight="1">
      <c r="A284" t="inlineStr">
        <is>
          <t>10-Nov-2025</t>
        </is>
      </c>
      <c r="B284" t="inlineStr">
        <is>
          <t>Monday</t>
        </is>
      </c>
      <c r="C284" t="inlineStr">
        <is>
          <t>Week2-Nov-2025</t>
        </is>
      </c>
      <c r="D284" s="78" t="n">
        <v>45962</v>
      </c>
      <c r="E284" t="inlineStr">
        <is>
          <t>Q3FY26</t>
        </is>
      </c>
      <c r="F284" t="inlineStr">
        <is>
          <t>25-Nov-2025</t>
        </is>
      </c>
      <c r="G284" t="inlineStr">
        <is>
          <t>Tuesday</t>
        </is>
      </c>
      <c r="H284" t="inlineStr">
        <is>
          <t>Monthly - Tuesday</t>
        </is>
      </c>
      <c r="I284" t="inlineStr">
        <is>
          <t>Monthly - Tuesday</t>
        </is>
      </c>
      <c r="J284" t="inlineStr">
        <is>
          <t>Same Month Expiry</t>
        </is>
      </c>
      <c r="K284" s="25" t="n">
        <v>2241174</v>
      </c>
      <c r="L284" s="26" t="n">
        <v>4558.8152</v>
      </c>
      <c r="M284" s="26" t="n">
        <v>31.664</v>
      </c>
    </row>
    <row r="285" ht="16" customHeight="1">
      <c r="A285" t="inlineStr">
        <is>
          <t>10-Nov-2025</t>
        </is>
      </c>
      <c r="B285" t="inlineStr">
        <is>
          <t>Monday</t>
        </is>
      </c>
      <c r="C285" t="inlineStr">
        <is>
          <t>Week2-Nov-2025</t>
        </is>
      </c>
      <c r="D285" s="78" t="n">
        <v>45962</v>
      </c>
      <c r="E285" t="inlineStr">
        <is>
          <t>Q3FY26</t>
        </is>
      </c>
      <c r="F285" t="inlineStr">
        <is>
          <t>30-Dec-2025</t>
        </is>
      </c>
      <c r="G285" t="inlineStr">
        <is>
          <t>Tuesday</t>
        </is>
      </c>
      <c r="H285" t="inlineStr">
        <is>
          <t>Monthly - Tuesday</t>
        </is>
      </c>
      <c r="I285" t="inlineStr">
        <is>
          <t>Monthly - Tuesday</t>
        </is>
      </c>
      <c r="J285" t="inlineStr">
        <is>
          <t>Month+1 Expiry</t>
        </is>
      </c>
      <c r="K285" s="25" t="n">
        <v>33783</v>
      </c>
      <c r="L285" s="26" t="n">
        <v>68.6112</v>
      </c>
      <c r="M285" s="26" t="n">
        <v>0.5643</v>
      </c>
    </row>
    <row r="286" ht="16" customHeight="1">
      <c r="A286" t="inlineStr">
        <is>
          <t>10-Nov-2025</t>
        </is>
      </c>
      <c r="B286" t="inlineStr">
        <is>
          <t>Monday</t>
        </is>
      </c>
      <c r="C286" t="inlineStr">
        <is>
          <t>Week2-Nov-2025</t>
        </is>
      </c>
      <c r="D286" s="78" t="n">
        <v>45962</v>
      </c>
      <c r="E286" t="inlineStr">
        <is>
          <t>Q3FY26</t>
        </is>
      </c>
      <c r="F286" t="inlineStr">
        <is>
          <t>27-Jan-2026</t>
        </is>
      </c>
      <c r="G286" t="inlineStr">
        <is>
          <t>Tuesday</t>
        </is>
      </c>
      <c r="H286" t="inlineStr">
        <is>
          <t>Monthly - Tuesday</t>
        </is>
      </c>
      <c r="I286" t="inlineStr">
        <is>
          <t>Monthly - Tuesday</t>
        </is>
      </c>
      <c r="J286" t="inlineStr">
        <is>
          <t>Month+2 Expiry</t>
        </is>
      </c>
      <c r="K286" s="25" t="n">
        <v>1569</v>
      </c>
      <c r="L286" s="26" t="n">
        <v>2.7335</v>
      </c>
      <c r="M286" s="26" t="n">
        <v>0.0377</v>
      </c>
    </row>
    <row r="287" ht="16" customHeight="1">
      <c r="A287" t="inlineStr">
        <is>
          <t>10-Nov-2025</t>
        </is>
      </c>
      <c r="B287" t="inlineStr">
        <is>
          <t>Monday</t>
        </is>
      </c>
      <c r="C287" t="inlineStr">
        <is>
          <t>Week2-Nov-2025</t>
        </is>
      </c>
      <c r="D287" s="78" t="n">
        <v>45962</v>
      </c>
      <c r="E287" t="inlineStr">
        <is>
          <t>Q3FY26</t>
        </is>
      </c>
      <c r="F287" t="inlineStr">
        <is>
          <t>31-Mar-2026</t>
        </is>
      </c>
      <c r="G287" t="inlineStr">
        <is>
          <t>Tuesday</t>
        </is>
      </c>
      <c r="H287" t="inlineStr">
        <is>
          <t>Monthly - Tuesday</t>
        </is>
      </c>
      <c r="I287" t="inlineStr">
        <is>
          <t>Monthly - Tuesday</t>
        </is>
      </c>
      <c r="J287" t="inlineStr">
        <is>
          <t>Month+4 Expiry</t>
        </is>
      </c>
      <c r="K287" s="25" t="n">
        <v>301</v>
      </c>
      <c r="L287" s="26" t="n">
        <v>0.619</v>
      </c>
      <c r="M287" s="26" t="n">
        <v>0.0106</v>
      </c>
    </row>
    <row r="288" ht="16" customHeight="1">
      <c r="A288" t="inlineStr">
        <is>
          <t>10-Nov-2025</t>
        </is>
      </c>
      <c r="B288" t="inlineStr">
        <is>
          <t>Monday</t>
        </is>
      </c>
      <c r="C288" t="inlineStr">
        <is>
          <t>Week2-Nov-2025</t>
        </is>
      </c>
      <c r="D288" s="78" t="n">
        <v>45962</v>
      </c>
      <c r="E288" t="inlineStr">
        <is>
          <t>Q3FY26</t>
        </is>
      </c>
      <c r="F288" t="inlineStr">
        <is>
          <t>30-Jun-2026</t>
        </is>
      </c>
      <c r="G288" t="inlineStr">
        <is>
          <t>Tuesday</t>
        </is>
      </c>
      <c r="H288" t="inlineStr">
        <is>
          <t>Monthly - Tuesday</t>
        </is>
      </c>
      <c r="I288" t="inlineStr">
        <is>
          <t>Monthly - Tuesday</t>
        </is>
      </c>
      <c r="J288" t="inlineStr">
        <is>
          <t>Month+7 Expiry</t>
        </is>
      </c>
      <c r="K288" s="25" t="n">
        <v>0</v>
      </c>
      <c r="L288" s="26" t="n">
        <v>0</v>
      </c>
      <c r="M288" s="26" t="n">
        <v>0</v>
      </c>
    </row>
    <row r="289" ht="16" customHeight="1">
      <c r="A289" t="inlineStr">
        <is>
          <t>10-Nov-2025</t>
        </is>
      </c>
      <c r="B289" t="inlineStr">
        <is>
          <t>Monday</t>
        </is>
      </c>
      <c r="C289" t="inlineStr">
        <is>
          <t>Week2-Nov-2025</t>
        </is>
      </c>
      <c r="D289" s="78" t="n">
        <v>45962</v>
      </c>
      <c r="E289" t="inlineStr">
        <is>
          <t>Q3FY26</t>
        </is>
      </c>
      <c r="F289" t="inlineStr">
        <is>
          <t>29-Sep-2026</t>
        </is>
      </c>
      <c r="G289" t="inlineStr">
        <is>
          <t>Tuesday</t>
        </is>
      </c>
      <c r="H289" t="inlineStr">
        <is>
          <t>Monthly - Tuesday</t>
        </is>
      </c>
      <c r="I289" t="inlineStr">
        <is>
          <t>Monthly - Tuesday</t>
        </is>
      </c>
      <c r="J289" t="inlineStr">
        <is>
          <t>Month+10 Expiry</t>
        </is>
      </c>
      <c r="K289" s="25" t="n">
        <v>0</v>
      </c>
      <c r="L289" s="26" t="n">
        <v>0</v>
      </c>
      <c r="M289" s="26" t="n">
        <v>0</v>
      </c>
    </row>
    <row r="290" ht="16" customHeight="1">
      <c r="A290" t="inlineStr">
        <is>
          <t>11-Nov-2025</t>
        </is>
      </c>
      <c r="B290" t="inlineStr">
        <is>
          <t>Tuesday</t>
        </is>
      </c>
      <c r="C290" t="inlineStr">
        <is>
          <t>Week2-Nov-2025</t>
        </is>
      </c>
      <c r="D290" s="78" t="n">
        <v>45962</v>
      </c>
      <c r="E290" t="inlineStr">
        <is>
          <t>Q3FY26</t>
        </is>
      </c>
      <c r="F290" t="inlineStr">
        <is>
          <t>25-Nov-2025</t>
        </is>
      </c>
      <c r="G290" t="inlineStr">
        <is>
          <t>Tuesday</t>
        </is>
      </c>
      <c r="H290" t="inlineStr">
        <is>
          <t>Monthly - Tuesday</t>
        </is>
      </c>
      <c r="I290" t="inlineStr">
        <is>
          <t>Monthly - Tuesday</t>
        </is>
      </c>
      <c r="J290" t="inlineStr">
        <is>
          <t>Same Month Expiry</t>
        </is>
      </c>
      <c r="K290" s="25" t="n">
        <v>2918580</v>
      </c>
      <c r="L290" s="26" t="n">
        <v>5918.5083</v>
      </c>
      <c r="M290" s="26" t="n">
        <v>40.4773</v>
      </c>
    </row>
    <row r="291" ht="16" customHeight="1">
      <c r="A291" t="inlineStr">
        <is>
          <t>11-Nov-2025</t>
        </is>
      </c>
      <c r="B291" t="inlineStr">
        <is>
          <t>Tuesday</t>
        </is>
      </c>
      <c r="C291" t="inlineStr">
        <is>
          <t>Week2-Nov-2025</t>
        </is>
      </c>
      <c r="D291" s="78" t="n">
        <v>45962</v>
      </c>
      <c r="E291" t="inlineStr">
        <is>
          <t>Q3FY26</t>
        </is>
      </c>
      <c r="F291" t="inlineStr">
        <is>
          <t>30-Dec-2025</t>
        </is>
      </c>
      <c r="G291" t="inlineStr">
        <is>
          <t>Tuesday</t>
        </is>
      </c>
      <c r="H291" t="inlineStr">
        <is>
          <t>Monthly - Tuesday</t>
        </is>
      </c>
      <c r="I291" t="inlineStr">
        <is>
          <t>Monthly - Tuesday</t>
        </is>
      </c>
      <c r="J291" t="inlineStr">
        <is>
          <t>Month+1 Expiry</t>
        </is>
      </c>
      <c r="K291" s="25" t="n">
        <v>52106</v>
      </c>
      <c r="L291" s="26" t="n">
        <v>106.8488</v>
      </c>
      <c r="M291" s="26" t="n">
        <v>1.008</v>
      </c>
    </row>
    <row r="292" ht="16" customHeight="1">
      <c r="A292" t="inlineStr">
        <is>
          <t>11-Nov-2025</t>
        </is>
      </c>
      <c r="B292" t="inlineStr">
        <is>
          <t>Tuesday</t>
        </is>
      </c>
      <c r="C292" t="inlineStr">
        <is>
          <t>Week2-Nov-2025</t>
        </is>
      </c>
      <c r="D292" s="78" t="n">
        <v>45962</v>
      </c>
      <c r="E292" t="inlineStr">
        <is>
          <t>Q3FY26</t>
        </is>
      </c>
      <c r="F292" t="inlineStr">
        <is>
          <t>27-Jan-2026</t>
        </is>
      </c>
      <c r="G292" t="inlineStr">
        <is>
          <t>Tuesday</t>
        </is>
      </c>
      <c r="H292" t="inlineStr">
        <is>
          <t>Monthly - Tuesday</t>
        </is>
      </c>
      <c r="I292" t="inlineStr">
        <is>
          <t>Monthly - Tuesday</t>
        </is>
      </c>
      <c r="J292" t="inlineStr">
        <is>
          <t>Month+2 Expiry</t>
        </is>
      </c>
      <c r="K292" s="25" t="n">
        <v>2356</v>
      </c>
      <c r="L292" s="26" t="n">
        <v>4.0817</v>
      </c>
      <c r="M292" s="26" t="n">
        <v>0.0508</v>
      </c>
    </row>
    <row r="293" ht="16" customHeight="1">
      <c r="A293" t="inlineStr">
        <is>
          <t>11-Nov-2025</t>
        </is>
      </c>
      <c r="B293" t="inlineStr">
        <is>
          <t>Tuesday</t>
        </is>
      </c>
      <c r="C293" t="inlineStr">
        <is>
          <t>Week2-Nov-2025</t>
        </is>
      </c>
      <c r="D293" s="78" t="n">
        <v>45962</v>
      </c>
      <c r="E293" t="inlineStr">
        <is>
          <t>Q3FY26</t>
        </is>
      </c>
      <c r="F293" t="inlineStr">
        <is>
          <t>31-Mar-2026</t>
        </is>
      </c>
      <c r="G293" t="inlineStr">
        <is>
          <t>Tuesday</t>
        </is>
      </c>
      <c r="H293" t="inlineStr">
        <is>
          <t>Monthly - Tuesday</t>
        </is>
      </c>
      <c r="I293" t="inlineStr">
        <is>
          <t>Monthly - Tuesday</t>
        </is>
      </c>
      <c r="J293" t="inlineStr">
        <is>
          <t>Month+4 Expiry</t>
        </is>
      </c>
      <c r="K293" s="25" t="n">
        <v>533</v>
      </c>
      <c r="L293" s="26" t="n">
        <v>1.0925</v>
      </c>
      <c r="M293" s="26" t="n">
        <v>0.018</v>
      </c>
    </row>
    <row r="294" ht="16" customHeight="1">
      <c r="A294" t="inlineStr">
        <is>
          <t>11-Nov-2025</t>
        </is>
      </c>
      <c r="B294" t="inlineStr">
        <is>
          <t>Tuesday</t>
        </is>
      </c>
      <c r="C294" t="inlineStr">
        <is>
          <t>Week2-Nov-2025</t>
        </is>
      </c>
      <c r="D294" s="78" t="n">
        <v>45962</v>
      </c>
      <c r="E294" t="inlineStr">
        <is>
          <t>Q3FY26</t>
        </is>
      </c>
      <c r="F294" t="inlineStr">
        <is>
          <t>30-Jun-2026</t>
        </is>
      </c>
      <c r="G294" t="inlineStr">
        <is>
          <t>Tuesday</t>
        </is>
      </c>
      <c r="H294" t="inlineStr">
        <is>
          <t>Monthly - Tuesday</t>
        </is>
      </c>
      <c r="I294" t="inlineStr">
        <is>
          <t>Monthly - Tuesday</t>
        </is>
      </c>
      <c r="J294" t="inlineStr">
        <is>
          <t>Month+7 Expiry</t>
        </is>
      </c>
      <c r="K294" s="25" t="n">
        <v>0</v>
      </c>
      <c r="L294" s="26" t="n">
        <v>0</v>
      </c>
      <c r="M294" s="26" t="n">
        <v>0</v>
      </c>
    </row>
    <row r="295" ht="16" customHeight="1">
      <c r="A295" t="inlineStr">
        <is>
          <t>11-Nov-2025</t>
        </is>
      </c>
      <c r="B295" t="inlineStr">
        <is>
          <t>Tuesday</t>
        </is>
      </c>
      <c r="C295" t="inlineStr">
        <is>
          <t>Week2-Nov-2025</t>
        </is>
      </c>
      <c r="D295" s="78" t="n">
        <v>45962</v>
      </c>
      <c r="E295" t="inlineStr">
        <is>
          <t>Q3FY26</t>
        </is>
      </c>
      <c r="F295" t="inlineStr">
        <is>
          <t>29-Sep-2026</t>
        </is>
      </c>
      <c r="G295" t="inlineStr">
        <is>
          <t>Tuesday</t>
        </is>
      </c>
      <c r="H295" t="inlineStr">
        <is>
          <t>Monthly - Tuesday</t>
        </is>
      </c>
      <c r="I295" t="inlineStr">
        <is>
          <t>Monthly - Tuesday</t>
        </is>
      </c>
      <c r="J295" t="inlineStr">
        <is>
          <t>Month+10 Expiry</t>
        </is>
      </c>
      <c r="K295" s="25" t="n">
        <v>0</v>
      </c>
      <c r="L295" s="26" t="n">
        <v>0</v>
      </c>
      <c r="M295" s="26" t="n">
        <v>0</v>
      </c>
    </row>
    <row r="296" ht="16" customHeight="1">
      <c r="A296" t="inlineStr">
        <is>
          <t>12-Nov-2025</t>
        </is>
      </c>
      <c r="B296" t="inlineStr">
        <is>
          <t>Wednesday</t>
        </is>
      </c>
      <c r="C296" t="inlineStr">
        <is>
          <t>Week2-Nov-2025</t>
        </is>
      </c>
      <c r="D296" s="78" t="n">
        <v>45962</v>
      </c>
      <c r="E296" t="inlineStr">
        <is>
          <t>Q3FY26</t>
        </is>
      </c>
      <c r="F296" t="inlineStr">
        <is>
          <t>25-Nov-2025</t>
        </is>
      </c>
      <c r="G296" t="inlineStr">
        <is>
          <t>Tuesday</t>
        </is>
      </c>
      <c r="H296" t="inlineStr">
        <is>
          <t>Monthly - Tuesday</t>
        </is>
      </c>
      <c r="I296" t="inlineStr">
        <is>
          <t>Monthly - Tuesday</t>
        </is>
      </c>
      <c r="J296" t="inlineStr">
        <is>
          <t>Same Month Expiry</t>
        </is>
      </c>
      <c r="K296" s="25" t="n">
        <v>2822988</v>
      </c>
      <c r="L296" s="26" t="n">
        <v>5744.3682</v>
      </c>
      <c r="M296" s="26" t="n">
        <v>37.1654</v>
      </c>
    </row>
    <row r="297" ht="16" customHeight="1">
      <c r="A297" t="inlineStr">
        <is>
          <t>12-Nov-2025</t>
        </is>
      </c>
      <c r="B297" t="inlineStr">
        <is>
          <t>Wednesday</t>
        </is>
      </c>
      <c r="C297" t="inlineStr">
        <is>
          <t>Week2-Nov-2025</t>
        </is>
      </c>
      <c r="D297" s="78" t="n">
        <v>45962</v>
      </c>
      <c r="E297" t="inlineStr">
        <is>
          <t>Q3FY26</t>
        </is>
      </c>
      <c r="F297" t="inlineStr">
        <is>
          <t>30-Dec-2025</t>
        </is>
      </c>
      <c r="G297" t="inlineStr">
        <is>
          <t>Tuesday</t>
        </is>
      </c>
      <c r="H297" t="inlineStr">
        <is>
          <t>Monthly - Tuesday</t>
        </is>
      </c>
      <c r="I297" t="inlineStr">
        <is>
          <t>Monthly - Tuesday</t>
        </is>
      </c>
      <c r="J297" t="inlineStr">
        <is>
          <t>Month+1 Expiry</t>
        </is>
      </c>
      <c r="K297" s="25" t="n">
        <v>60386</v>
      </c>
      <c r="L297" s="26" t="n">
        <v>122.3852</v>
      </c>
      <c r="M297" s="26" t="n">
        <v>1.043</v>
      </c>
    </row>
    <row r="298" ht="16" customHeight="1">
      <c r="A298" t="inlineStr">
        <is>
          <t>12-Nov-2025</t>
        </is>
      </c>
      <c r="B298" t="inlineStr">
        <is>
          <t>Wednesday</t>
        </is>
      </c>
      <c r="C298" t="inlineStr">
        <is>
          <t>Week2-Nov-2025</t>
        </is>
      </c>
      <c r="D298" s="78" t="n">
        <v>45962</v>
      </c>
      <c r="E298" t="inlineStr">
        <is>
          <t>Q3FY26</t>
        </is>
      </c>
      <c r="F298" t="inlineStr">
        <is>
          <t>27-Jan-2026</t>
        </is>
      </c>
      <c r="G298" t="inlineStr">
        <is>
          <t>Tuesday</t>
        </is>
      </c>
      <c r="H298" t="inlineStr">
        <is>
          <t>Monthly - Tuesday</t>
        </is>
      </c>
      <c r="I298" t="inlineStr">
        <is>
          <t>Monthly - Tuesday</t>
        </is>
      </c>
      <c r="J298" t="inlineStr">
        <is>
          <t>Month+2 Expiry</t>
        </is>
      </c>
      <c r="K298" s="25" t="n">
        <v>2598</v>
      </c>
      <c r="L298" s="26" t="n">
        <v>4.473</v>
      </c>
      <c r="M298" s="26" t="n">
        <v>0.047</v>
      </c>
    </row>
    <row r="299" ht="16" customHeight="1">
      <c r="A299" t="inlineStr">
        <is>
          <t>12-Nov-2025</t>
        </is>
      </c>
      <c r="B299" t="inlineStr">
        <is>
          <t>Wednesday</t>
        </is>
      </c>
      <c r="C299" t="inlineStr">
        <is>
          <t>Week2-Nov-2025</t>
        </is>
      </c>
      <c r="D299" s="78" t="n">
        <v>45962</v>
      </c>
      <c r="E299" t="inlineStr">
        <is>
          <t>Q3FY26</t>
        </is>
      </c>
      <c r="F299" t="inlineStr">
        <is>
          <t>31-Mar-2026</t>
        </is>
      </c>
      <c r="G299" t="inlineStr">
        <is>
          <t>Tuesday</t>
        </is>
      </c>
      <c r="H299" t="inlineStr">
        <is>
          <t>Monthly - Tuesday</t>
        </is>
      </c>
      <c r="I299" t="inlineStr">
        <is>
          <t>Monthly - Tuesday</t>
        </is>
      </c>
      <c r="J299" t="inlineStr">
        <is>
          <t>Month+4 Expiry</t>
        </is>
      </c>
      <c r="K299" s="25" t="n">
        <v>491</v>
      </c>
      <c r="L299" s="26" t="n">
        <v>1.0057</v>
      </c>
      <c r="M299" s="26" t="n">
        <v>0.0158</v>
      </c>
    </row>
    <row r="300" ht="16" customHeight="1">
      <c r="A300" t="inlineStr">
        <is>
          <t>12-Nov-2025</t>
        </is>
      </c>
      <c r="B300" t="inlineStr">
        <is>
          <t>Wednesday</t>
        </is>
      </c>
      <c r="C300" t="inlineStr">
        <is>
          <t>Week2-Nov-2025</t>
        </is>
      </c>
      <c r="D300" s="78" t="n">
        <v>45962</v>
      </c>
      <c r="E300" t="inlineStr">
        <is>
          <t>Q3FY26</t>
        </is>
      </c>
      <c r="F300" t="inlineStr">
        <is>
          <t>30-Jun-2026</t>
        </is>
      </c>
      <c r="G300" t="inlineStr">
        <is>
          <t>Tuesday</t>
        </is>
      </c>
      <c r="H300" t="inlineStr">
        <is>
          <t>Monthly - Tuesday</t>
        </is>
      </c>
      <c r="I300" t="inlineStr">
        <is>
          <t>Monthly - Tuesday</t>
        </is>
      </c>
      <c r="J300" t="inlineStr">
        <is>
          <t>Month+7 Expiry</t>
        </is>
      </c>
      <c r="K300" s="25" t="n">
        <v>0</v>
      </c>
      <c r="L300" s="26" t="n">
        <v>0</v>
      </c>
      <c r="M300" s="26" t="n">
        <v>0</v>
      </c>
    </row>
    <row r="301" ht="16" customHeight="1">
      <c r="A301" t="inlineStr">
        <is>
          <t>12-Nov-2025</t>
        </is>
      </c>
      <c r="B301" t="inlineStr">
        <is>
          <t>Wednesday</t>
        </is>
      </c>
      <c r="C301" t="inlineStr">
        <is>
          <t>Week2-Nov-2025</t>
        </is>
      </c>
      <c r="D301" s="78" t="n">
        <v>45962</v>
      </c>
      <c r="E301" t="inlineStr">
        <is>
          <t>Q3FY26</t>
        </is>
      </c>
      <c r="F301" t="inlineStr">
        <is>
          <t>29-Sep-2026</t>
        </is>
      </c>
      <c r="G301" t="inlineStr">
        <is>
          <t>Tuesday</t>
        </is>
      </c>
      <c r="H301" t="inlineStr">
        <is>
          <t>Monthly - Tuesday</t>
        </is>
      </c>
      <c r="I301" t="inlineStr">
        <is>
          <t>Monthly - Tuesday</t>
        </is>
      </c>
      <c r="J301" t="inlineStr">
        <is>
          <t>Month+10 Expiry</t>
        </is>
      </c>
      <c r="K301" s="25" t="n">
        <v>0</v>
      </c>
      <c r="L301" s="26" t="n">
        <v>0</v>
      </c>
      <c r="M301" s="26" t="n">
        <v>0</v>
      </c>
    </row>
    <row r="302" ht="16" customHeight="1">
      <c r="A302" t="inlineStr">
        <is>
          <t>13-Nov-2025</t>
        </is>
      </c>
      <c r="B302" t="inlineStr">
        <is>
          <t>Thursday</t>
        </is>
      </c>
      <c r="C302" t="inlineStr">
        <is>
          <t>Week2-Nov-2025</t>
        </is>
      </c>
      <c r="D302" s="78" t="n">
        <v>45962</v>
      </c>
      <c r="E302" t="inlineStr">
        <is>
          <t>Q3FY26</t>
        </is>
      </c>
      <c r="F302" t="inlineStr">
        <is>
          <t>25-Nov-2025</t>
        </is>
      </c>
      <c r="G302" t="inlineStr">
        <is>
          <t>Tuesday</t>
        </is>
      </c>
      <c r="H302" t="inlineStr">
        <is>
          <t>Monthly - Tuesday</t>
        </is>
      </c>
      <c r="I302" t="inlineStr">
        <is>
          <t>Monthly - Tuesday</t>
        </is>
      </c>
      <c r="J302" t="inlineStr">
        <is>
          <t>Same Month Expiry</t>
        </is>
      </c>
      <c r="K302" s="25" t="n">
        <v>3111743</v>
      </c>
      <c r="L302" s="26" t="n">
        <v>6363.0503</v>
      </c>
      <c r="M302" s="26" t="n">
        <v>39.5913</v>
      </c>
    </row>
    <row r="303" ht="16" customHeight="1">
      <c r="A303" t="inlineStr">
        <is>
          <t>13-Nov-2025</t>
        </is>
      </c>
      <c r="B303" t="inlineStr">
        <is>
          <t>Thursday</t>
        </is>
      </c>
      <c r="C303" t="inlineStr">
        <is>
          <t>Week2-Nov-2025</t>
        </is>
      </c>
      <c r="D303" s="78" t="n">
        <v>45962</v>
      </c>
      <c r="E303" t="inlineStr">
        <is>
          <t>Q3FY26</t>
        </is>
      </c>
      <c r="F303" t="inlineStr">
        <is>
          <t>30-Dec-2025</t>
        </is>
      </c>
      <c r="G303" t="inlineStr">
        <is>
          <t>Tuesday</t>
        </is>
      </c>
      <c r="H303" t="inlineStr">
        <is>
          <t>Monthly - Tuesday</t>
        </is>
      </c>
      <c r="I303" t="inlineStr">
        <is>
          <t>Monthly - Tuesday</t>
        </is>
      </c>
      <c r="J303" t="inlineStr">
        <is>
          <t>Month+1 Expiry</t>
        </is>
      </c>
      <c r="K303" s="25" t="n">
        <v>72337</v>
      </c>
      <c r="L303" s="26" t="n">
        <v>148.7316</v>
      </c>
      <c r="M303" s="26" t="n">
        <v>1.3986</v>
      </c>
    </row>
    <row r="304" ht="16" customHeight="1">
      <c r="A304" t="inlineStr">
        <is>
          <t>13-Nov-2025</t>
        </is>
      </c>
      <c r="B304" t="inlineStr">
        <is>
          <t>Thursday</t>
        </is>
      </c>
      <c r="C304" t="inlineStr">
        <is>
          <t>Week2-Nov-2025</t>
        </is>
      </c>
      <c r="D304" s="78" t="n">
        <v>45962</v>
      </c>
      <c r="E304" t="inlineStr">
        <is>
          <t>Q3FY26</t>
        </is>
      </c>
      <c r="F304" t="inlineStr">
        <is>
          <t>27-Jan-2026</t>
        </is>
      </c>
      <c r="G304" t="inlineStr">
        <is>
          <t>Tuesday</t>
        </is>
      </c>
      <c r="H304" t="inlineStr">
        <is>
          <t>Monthly - Tuesday</t>
        </is>
      </c>
      <c r="I304" t="inlineStr">
        <is>
          <t>Monthly - Tuesday</t>
        </is>
      </c>
      <c r="J304" t="inlineStr">
        <is>
          <t>Month+2 Expiry</t>
        </is>
      </c>
      <c r="K304" s="25" t="n">
        <v>4137</v>
      </c>
      <c r="L304" s="26" t="n">
        <v>7.295</v>
      </c>
      <c r="M304" s="26" t="n">
        <v>0.109</v>
      </c>
    </row>
    <row r="305" ht="16" customHeight="1">
      <c r="A305" t="inlineStr">
        <is>
          <t>13-Nov-2025</t>
        </is>
      </c>
      <c r="B305" t="inlineStr">
        <is>
          <t>Thursday</t>
        </is>
      </c>
      <c r="C305" t="inlineStr">
        <is>
          <t>Week2-Nov-2025</t>
        </is>
      </c>
      <c r="D305" s="78" t="n">
        <v>45962</v>
      </c>
      <c r="E305" t="inlineStr">
        <is>
          <t>Q3FY26</t>
        </is>
      </c>
      <c r="F305" t="inlineStr">
        <is>
          <t>31-Mar-2026</t>
        </is>
      </c>
      <c r="G305" t="inlineStr">
        <is>
          <t>Tuesday</t>
        </is>
      </c>
      <c r="H305" t="inlineStr">
        <is>
          <t>Monthly - Tuesday</t>
        </is>
      </c>
      <c r="I305" t="inlineStr">
        <is>
          <t>Monthly - Tuesday</t>
        </is>
      </c>
      <c r="J305" t="inlineStr">
        <is>
          <t>Month+4 Expiry</t>
        </is>
      </c>
      <c r="K305" s="25" t="n">
        <v>767</v>
      </c>
      <c r="L305" s="26" t="n">
        <v>1.5644</v>
      </c>
      <c r="M305" s="26" t="n">
        <v>0.023</v>
      </c>
    </row>
    <row r="306" ht="16" customHeight="1">
      <c r="A306" t="inlineStr">
        <is>
          <t>13-Nov-2025</t>
        </is>
      </c>
      <c r="B306" t="inlineStr">
        <is>
          <t>Thursday</t>
        </is>
      </c>
      <c r="C306" t="inlineStr">
        <is>
          <t>Week2-Nov-2025</t>
        </is>
      </c>
      <c r="D306" s="78" t="n">
        <v>45962</v>
      </c>
      <c r="E306" t="inlineStr">
        <is>
          <t>Q3FY26</t>
        </is>
      </c>
      <c r="F306" t="inlineStr">
        <is>
          <t>30-Jun-2026</t>
        </is>
      </c>
      <c r="G306" t="inlineStr">
        <is>
          <t>Tuesday</t>
        </is>
      </c>
      <c r="H306" t="inlineStr">
        <is>
          <t>Monthly - Tuesday</t>
        </is>
      </c>
      <c r="I306" t="inlineStr">
        <is>
          <t>Monthly - Tuesday</t>
        </is>
      </c>
      <c r="J306" t="inlineStr">
        <is>
          <t>Month+7 Expiry</t>
        </is>
      </c>
      <c r="K306" s="25" t="n">
        <v>0</v>
      </c>
      <c r="L306" s="26" t="n">
        <v>0</v>
      </c>
      <c r="M306" s="26" t="n">
        <v>0</v>
      </c>
    </row>
    <row r="307" ht="16" customHeight="1">
      <c r="A307" t="inlineStr">
        <is>
          <t>13-Nov-2025</t>
        </is>
      </c>
      <c r="B307" t="inlineStr">
        <is>
          <t>Thursday</t>
        </is>
      </c>
      <c r="C307" t="inlineStr">
        <is>
          <t>Week2-Nov-2025</t>
        </is>
      </c>
      <c r="D307" s="78" t="n">
        <v>45962</v>
      </c>
      <c r="E307" t="inlineStr">
        <is>
          <t>Q3FY26</t>
        </is>
      </c>
      <c r="F307" t="inlineStr">
        <is>
          <t>29-Sep-2026</t>
        </is>
      </c>
      <c r="G307" t="inlineStr">
        <is>
          <t>Tuesday</t>
        </is>
      </c>
      <c r="H307" t="inlineStr">
        <is>
          <t>Monthly - Tuesday</t>
        </is>
      </c>
      <c r="I307" t="inlineStr">
        <is>
          <t>Monthly - Tuesday</t>
        </is>
      </c>
      <c r="J307" t="inlineStr">
        <is>
          <t>Month+10 Expiry</t>
        </is>
      </c>
      <c r="K307" s="25" t="n">
        <v>0</v>
      </c>
      <c r="L307" s="26" t="n">
        <v>0</v>
      </c>
      <c r="M307" s="26" t="n">
        <v>0</v>
      </c>
    </row>
    <row r="308" ht="16" customHeight="1">
      <c r="A308" t="inlineStr">
        <is>
          <t>14-Nov-2025</t>
        </is>
      </c>
      <c r="B308" t="inlineStr">
        <is>
          <t>Friday</t>
        </is>
      </c>
      <c r="C308" t="inlineStr">
        <is>
          <t>Week2-Nov-2025</t>
        </is>
      </c>
      <c r="D308" s="78" t="n">
        <v>45962</v>
      </c>
      <c r="E308" t="inlineStr">
        <is>
          <t>Q3FY26</t>
        </is>
      </c>
      <c r="F308" t="inlineStr">
        <is>
          <t>25-Nov-2025</t>
        </is>
      </c>
      <c r="G308" t="inlineStr">
        <is>
          <t>Tuesday</t>
        </is>
      </c>
      <c r="H308" t="inlineStr">
        <is>
          <t>Monthly - Tuesday</t>
        </is>
      </c>
      <c r="I308" t="inlineStr">
        <is>
          <t>Monthly - Tuesday</t>
        </is>
      </c>
      <c r="J308" t="inlineStr">
        <is>
          <t>Same Month Expiry</t>
        </is>
      </c>
      <c r="K308" s="25" t="n">
        <v>3462484</v>
      </c>
      <c r="L308" s="26" t="n">
        <v>7079.805</v>
      </c>
      <c r="M308" s="26" t="n">
        <v>41.4364</v>
      </c>
    </row>
    <row r="309" ht="16" customHeight="1">
      <c r="A309" t="inlineStr">
        <is>
          <t>14-Nov-2025</t>
        </is>
      </c>
      <c r="B309" t="inlineStr">
        <is>
          <t>Friday</t>
        </is>
      </c>
      <c r="C309" t="inlineStr">
        <is>
          <t>Week2-Nov-2025</t>
        </is>
      </c>
      <c r="D309" s="78" t="n">
        <v>45962</v>
      </c>
      <c r="E309" t="inlineStr">
        <is>
          <t>Q3FY26</t>
        </is>
      </c>
      <c r="F309" t="inlineStr">
        <is>
          <t>30-Dec-2025</t>
        </is>
      </c>
      <c r="G309" t="inlineStr">
        <is>
          <t>Tuesday</t>
        </is>
      </c>
      <c r="H309" t="inlineStr">
        <is>
          <t>Monthly - Tuesday</t>
        </is>
      </c>
      <c r="I309" t="inlineStr">
        <is>
          <t>Monthly - Tuesday</t>
        </is>
      </c>
      <c r="J309" t="inlineStr">
        <is>
          <t>Month+1 Expiry</t>
        </is>
      </c>
      <c r="K309" s="25" t="n">
        <v>68514</v>
      </c>
      <c r="L309" s="26" t="n">
        <v>140.8927</v>
      </c>
      <c r="M309" s="26" t="n">
        <v>1.331</v>
      </c>
    </row>
    <row r="310" ht="16" customHeight="1">
      <c r="A310" t="inlineStr">
        <is>
          <t>14-Nov-2025</t>
        </is>
      </c>
      <c r="B310" t="inlineStr">
        <is>
          <t>Friday</t>
        </is>
      </c>
      <c r="C310" t="inlineStr">
        <is>
          <t>Week2-Nov-2025</t>
        </is>
      </c>
      <c r="D310" s="78" t="n">
        <v>45962</v>
      </c>
      <c r="E310" t="inlineStr">
        <is>
          <t>Q3FY26</t>
        </is>
      </c>
      <c r="F310" t="inlineStr">
        <is>
          <t>27-Jan-2026</t>
        </is>
      </c>
      <c r="G310" t="inlineStr">
        <is>
          <t>Tuesday</t>
        </is>
      </c>
      <c r="H310" t="inlineStr">
        <is>
          <t>Monthly - Tuesday</t>
        </is>
      </c>
      <c r="I310" t="inlineStr">
        <is>
          <t>Monthly - Tuesday</t>
        </is>
      </c>
      <c r="J310" t="inlineStr">
        <is>
          <t>Month+2 Expiry</t>
        </is>
      </c>
      <c r="K310" s="25" t="n">
        <v>2813</v>
      </c>
      <c r="L310" s="26" t="n">
        <v>4.9643</v>
      </c>
      <c r="M310" s="26" t="n">
        <v>0.07439999999999999</v>
      </c>
    </row>
    <row r="311" ht="16" customHeight="1">
      <c r="A311" t="inlineStr">
        <is>
          <t>14-Nov-2025</t>
        </is>
      </c>
      <c r="B311" t="inlineStr">
        <is>
          <t>Friday</t>
        </is>
      </c>
      <c r="C311" t="inlineStr">
        <is>
          <t>Week2-Nov-2025</t>
        </is>
      </c>
      <c r="D311" s="78" t="n">
        <v>45962</v>
      </c>
      <c r="E311" t="inlineStr">
        <is>
          <t>Q3FY26</t>
        </is>
      </c>
      <c r="F311" t="inlineStr">
        <is>
          <t>31-Mar-2026</t>
        </is>
      </c>
      <c r="G311" t="inlineStr">
        <is>
          <t>Tuesday</t>
        </is>
      </c>
      <c r="H311" t="inlineStr">
        <is>
          <t>Monthly - Tuesday</t>
        </is>
      </c>
      <c r="I311" t="inlineStr">
        <is>
          <t>Monthly - Tuesday</t>
        </is>
      </c>
      <c r="J311" t="inlineStr">
        <is>
          <t>Month+4 Expiry</t>
        </is>
      </c>
      <c r="K311" s="25" t="n">
        <v>740</v>
      </c>
      <c r="L311" s="26" t="n">
        <v>1.5206</v>
      </c>
      <c r="M311" s="26" t="n">
        <v>0.026</v>
      </c>
    </row>
    <row r="312" ht="16" customHeight="1">
      <c r="A312" t="inlineStr">
        <is>
          <t>14-Nov-2025</t>
        </is>
      </c>
      <c r="B312" t="inlineStr">
        <is>
          <t>Friday</t>
        </is>
      </c>
      <c r="C312" t="inlineStr">
        <is>
          <t>Week2-Nov-2025</t>
        </is>
      </c>
      <c r="D312" s="78" t="n">
        <v>45962</v>
      </c>
      <c r="E312" t="inlineStr">
        <is>
          <t>Q3FY26</t>
        </is>
      </c>
      <c r="F312" t="inlineStr">
        <is>
          <t>30-Jun-2026</t>
        </is>
      </c>
      <c r="G312" t="inlineStr">
        <is>
          <t>Tuesday</t>
        </is>
      </c>
      <c r="H312" t="inlineStr">
        <is>
          <t>Monthly - Tuesday</t>
        </is>
      </c>
      <c r="I312" t="inlineStr">
        <is>
          <t>Monthly - Tuesday</t>
        </is>
      </c>
      <c r="J312" t="inlineStr">
        <is>
          <t>Month+7 Expiry</t>
        </is>
      </c>
      <c r="K312" s="25" t="n">
        <v>0</v>
      </c>
      <c r="L312" s="26" t="n">
        <v>0</v>
      </c>
      <c r="M312" s="26" t="n">
        <v>0</v>
      </c>
    </row>
    <row r="313" ht="16" customHeight="1">
      <c r="A313" t="inlineStr">
        <is>
          <t>14-Nov-2025</t>
        </is>
      </c>
      <c r="B313" t="inlineStr">
        <is>
          <t>Friday</t>
        </is>
      </c>
      <c r="C313" t="inlineStr">
        <is>
          <t>Week2-Nov-2025</t>
        </is>
      </c>
      <c r="D313" s="78" t="n">
        <v>45962</v>
      </c>
      <c r="E313" t="inlineStr">
        <is>
          <t>Q3FY26</t>
        </is>
      </c>
      <c r="F313" t="inlineStr">
        <is>
          <t>29-Sep-2026</t>
        </is>
      </c>
      <c r="G313" t="inlineStr">
        <is>
          <t>Tuesday</t>
        </is>
      </c>
      <c r="H313" t="inlineStr">
        <is>
          <t>Monthly - Tuesday</t>
        </is>
      </c>
      <c r="I313" t="inlineStr">
        <is>
          <t>Monthly - Tuesday</t>
        </is>
      </c>
      <c r="J313" t="inlineStr">
        <is>
          <t>Month+10 Expiry</t>
        </is>
      </c>
      <c r="K313" s="25" t="n">
        <v>0</v>
      </c>
      <c r="L313" s="26" t="n">
        <v>0</v>
      </c>
      <c r="M313" s="26" t="n">
        <v>0</v>
      </c>
    </row>
    <row r="314" ht="16" customHeight="1">
      <c r="A314" t="inlineStr">
        <is>
          <t>17-Nov-2025</t>
        </is>
      </c>
      <c r="B314" t="inlineStr">
        <is>
          <t>Monday</t>
        </is>
      </c>
      <c r="C314" t="inlineStr">
        <is>
          <t>Week3-Nov-2025</t>
        </is>
      </c>
      <c r="D314" s="78" t="n">
        <v>45962</v>
      </c>
      <c r="E314" t="inlineStr">
        <is>
          <t>Q3FY26</t>
        </is>
      </c>
      <c r="F314" t="inlineStr">
        <is>
          <t>25-Nov-2025</t>
        </is>
      </c>
      <c r="G314" t="inlineStr">
        <is>
          <t>Tuesday</t>
        </is>
      </c>
      <c r="H314" t="inlineStr">
        <is>
          <t>Monthly - Tuesday</t>
        </is>
      </c>
      <c r="I314" t="inlineStr">
        <is>
          <t>Monthly - Tuesday</t>
        </is>
      </c>
      <c r="J314" t="inlineStr">
        <is>
          <t>Same Month Expiry</t>
        </is>
      </c>
      <c r="K314" s="25" t="n">
        <v>3637020</v>
      </c>
      <c r="L314" s="26" t="n">
        <v>7453.548</v>
      </c>
      <c r="M314" s="26" t="n">
        <v>38.0717</v>
      </c>
    </row>
    <row r="315" ht="16" customHeight="1">
      <c r="A315" t="inlineStr">
        <is>
          <t>17-Nov-2025</t>
        </is>
      </c>
      <c r="B315" t="inlineStr">
        <is>
          <t>Monday</t>
        </is>
      </c>
      <c r="C315" t="inlineStr">
        <is>
          <t>Week3-Nov-2025</t>
        </is>
      </c>
      <c r="D315" s="78" t="n">
        <v>45962</v>
      </c>
      <c r="E315" t="inlineStr">
        <is>
          <t>Q3FY26</t>
        </is>
      </c>
      <c r="F315" t="inlineStr">
        <is>
          <t>30-Dec-2025</t>
        </is>
      </c>
      <c r="G315" t="inlineStr">
        <is>
          <t>Tuesday</t>
        </is>
      </c>
      <c r="H315" t="inlineStr">
        <is>
          <t>Monthly - Tuesday</t>
        </is>
      </c>
      <c r="I315" t="inlineStr">
        <is>
          <t>Monthly - Tuesday</t>
        </is>
      </c>
      <c r="J315" t="inlineStr">
        <is>
          <t>Month+1 Expiry</t>
        </is>
      </c>
      <c r="K315" s="25" t="n">
        <v>156925</v>
      </c>
      <c r="L315" s="26" t="n">
        <v>324.9152</v>
      </c>
      <c r="M315" s="26" t="n">
        <v>3.3285</v>
      </c>
    </row>
    <row r="316" ht="16" customHeight="1">
      <c r="A316" t="inlineStr">
        <is>
          <t>17-Nov-2025</t>
        </is>
      </c>
      <c r="B316" t="inlineStr">
        <is>
          <t>Monday</t>
        </is>
      </c>
      <c r="C316" t="inlineStr">
        <is>
          <t>Week3-Nov-2025</t>
        </is>
      </c>
      <c r="D316" s="78" t="n">
        <v>45962</v>
      </c>
      <c r="E316" t="inlineStr">
        <is>
          <t>Q3FY26</t>
        </is>
      </c>
      <c r="F316" t="inlineStr">
        <is>
          <t>27-Jan-2026</t>
        </is>
      </c>
      <c r="G316" t="inlineStr">
        <is>
          <t>Tuesday</t>
        </is>
      </c>
      <c r="H316" t="inlineStr">
        <is>
          <t>Monthly - Tuesday</t>
        </is>
      </c>
      <c r="I316" t="inlineStr">
        <is>
          <t>Monthly - Tuesday</t>
        </is>
      </c>
      <c r="J316" t="inlineStr">
        <is>
          <t>Month+2 Expiry</t>
        </is>
      </c>
      <c r="K316" s="25" t="n">
        <v>3892</v>
      </c>
      <c r="L316" s="26" t="n">
        <v>6.8327</v>
      </c>
      <c r="M316" s="26" t="n">
        <v>0.0891</v>
      </c>
    </row>
    <row r="317" ht="16" customHeight="1">
      <c r="A317" t="inlineStr">
        <is>
          <t>17-Nov-2025</t>
        </is>
      </c>
      <c r="B317" t="inlineStr">
        <is>
          <t>Monday</t>
        </is>
      </c>
      <c r="C317" t="inlineStr">
        <is>
          <t>Week3-Nov-2025</t>
        </is>
      </c>
      <c r="D317" s="78" t="n">
        <v>45962</v>
      </c>
      <c r="E317" t="inlineStr">
        <is>
          <t>Q3FY26</t>
        </is>
      </c>
      <c r="F317" t="inlineStr">
        <is>
          <t>31-Mar-2026</t>
        </is>
      </c>
      <c r="G317" t="inlineStr">
        <is>
          <t>Tuesday</t>
        </is>
      </c>
      <c r="H317" t="inlineStr">
        <is>
          <t>Monthly - Tuesday</t>
        </is>
      </c>
      <c r="I317" t="inlineStr">
        <is>
          <t>Monthly - Tuesday</t>
        </is>
      </c>
      <c r="J317" t="inlineStr">
        <is>
          <t>Month+4 Expiry</t>
        </is>
      </c>
      <c r="K317" s="25" t="n">
        <v>2128</v>
      </c>
      <c r="L317" s="26" t="n">
        <v>4.3969</v>
      </c>
      <c r="M317" s="26" t="n">
        <v>0.0833</v>
      </c>
    </row>
    <row r="318" ht="16" customHeight="1">
      <c r="A318" t="inlineStr">
        <is>
          <t>17-Nov-2025</t>
        </is>
      </c>
      <c r="B318" t="inlineStr">
        <is>
          <t>Monday</t>
        </is>
      </c>
      <c r="C318" t="inlineStr">
        <is>
          <t>Week3-Nov-2025</t>
        </is>
      </c>
      <c r="D318" s="78" t="n">
        <v>45962</v>
      </c>
      <c r="E318" t="inlineStr">
        <is>
          <t>Q3FY26</t>
        </is>
      </c>
      <c r="F318" t="inlineStr">
        <is>
          <t>30-Jun-2026</t>
        </is>
      </c>
      <c r="G318" t="inlineStr">
        <is>
          <t>Tuesday</t>
        </is>
      </c>
      <c r="H318" t="inlineStr">
        <is>
          <t>Monthly - Tuesday</t>
        </is>
      </c>
      <c r="I318" t="inlineStr">
        <is>
          <t>Monthly - Tuesday</t>
        </is>
      </c>
      <c r="J318" t="inlineStr">
        <is>
          <t>Month+7 Expiry</t>
        </is>
      </c>
      <c r="K318" s="25" t="n">
        <v>0</v>
      </c>
      <c r="L318" s="26" t="n">
        <v>0</v>
      </c>
      <c r="M318" s="26" t="n">
        <v>0</v>
      </c>
    </row>
    <row r="319" ht="16" customHeight="1">
      <c r="A319" t="inlineStr">
        <is>
          <t>17-Nov-2025</t>
        </is>
      </c>
      <c r="B319" t="inlineStr">
        <is>
          <t>Monday</t>
        </is>
      </c>
      <c r="C319" t="inlineStr">
        <is>
          <t>Week3-Nov-2025</t>
        </is>
      </c>
      <c r="D319" s="78" t="n">
        <v>45962</v>
      </c>
      <c r="E319" t="inlineStr">
        <is>
          <t>Q3FY26</t>
        </is>
      </c>
      <c r="F319" t="inlineStr">
        <is>
          <t>29-Sep-2026</t>
        </is>
      </c>
      <c r="G319" t="inlineStr">
        <is>
          <t>Tuesday</t>
        </is>
      </c>
      <c r="H319" t="inlineStr">
        <is>
          <t>Monthly - Tuesday</t>
        </is>
      </c>
      <c r="I319" t="inlineStr">
        <is>
          <t>Monthly - Tuesday</t>
        </is>
      </c>
      <c r="J319" t="inlineStr">
        <is>
          <t>Month+10 Expiry</t>
        </is>
      </c>
      <c r="K319" s="25" t="n">
        <v>0</v>
      </c>
      <c r="L319" s="26" t="n">
        <v>0</v>
      </c>
      <c r="M319" s="26" t="n">
        <v>0</v>
      </c>
    </row>
    <row r="320" ht="16" customHeight="1">
      <c r="A320" t="inlineStr">
        <is>
          <t>18-Nov-2025</t>
        </is>
      </c>
      <c r="B320" t="inlineStr">
        <is>
          <t>Tuesday</t>
        </is>
      </c>
      <c r="C320" t="inlineStr">
        <is>
          <t>Week3-Nov-2025</t>
        </is>
      </c>
      <c r="D320" s="78" t="n">
        <v>45962</v>
      </c>
      <c r="E320" t="inlineStr">
        <is>
          <t>Q3FY26</t>
        </is>
      </c>
      <c r="F320" t="inlineStr">
        <is>
          <t>25-Nov-2025</t>
        </is>
      </c>
      <c r="G320" t="inlineStr">
        <is>
          <t>Tuesday</t>
        </is>
      </c>
      <c r="H320" t="inlineStr">
        <is>
          <t>Monthly - Tuesday</t>
        </is>
      </c>
      <c r="I320" t="inlineStr">
        <is>
          <t>Monthly - Tuesday</t>
        </is>
      </c>
      <c r="J320" t="inlineStr">
        <is>
          <t>Same Month Expiry</t>
        </is>
      </c>
      <c r="K320" s="25" t="n">
        <v>3898075</v>
      </c>
      <c r="L320" s="26" t="n">
        <v>7995.4788</v>
      </c>
      <c r="M320" s="26" t="n">
        <v>37.1648</v>
      </c>
    </row>
    <row r="321" ht="16" customHeight="1">
      <c r="A321" t="inlineStr">
        <is>
          <t>18-Nov-2025</t>
        </is>
      </c>
      <c r="B321" t="inlineStr">
        <is>
          <t>Tuesday</t>
        </is>
      </c>
      <c r="C321" t="inlineStr">
        <is>
          <t>Week3-Nov-2025</t>
        </is>
      </c>
      <c r="D321" s="78" t="n">
        <v>45962</v>
      </c>
      <c r="E321" t="inlineStr">
        <is>
          <t>Q3FY26</t>
        </is>
      </c>
      <c r="F321" t="inlineStr">
        <is>
          <t>30-Dec-2025</t>
        </is>
      </c>
      <c r="G321" t="inlineStr">
        <is>
          <t>Tuesday</t>
        </is>
      </c>
      <c r="H321" t="inlineStr">
        <is>
          <t>Monthly - Tuesday</t>
        </is>
      </c>
      <c r="I321" t="inlineStr">
        <is>
          <t>Monthly - Tuesday</t>
        </is>
      </c>
      <c r="J321" t="inlineStr">
        <is>
          <t>Month+1 Expiry</t>
        </is>
      </c>
      <c r="K321" s="25" t="n">
        <v>123004</v>
      </c>
      <c r="L321" s="26" t="n">
        <v>254.9535</v>
      </c>
      <c r="M321" s="26" t="n">
        <v>2.6882</v>
      </c>
    </row>
    <row r="322" ht="16" customHeight="1">
      <c r="A322" t="inlineStr">
        <is>
          <t>18-Nov-2025</t>
        </is>
      </c>
      <c r="B322" t="inlineStr">
        <is>
          <t>Tuesday</t>
        </is>
      </c>
      <c r="C322" t="inlineStr">
        <is>
          <t>Week3-Nov-2025</t>
        </is>
      </c>
      <c r="D322" s="78" t="n">
        <v>45962</v>
      </c>
      <c r="E322" t="inlineStr">
        <is>
          <t>Q3FY26</t>
        </is>
      </c>
      <c r="F322" t="inlineStr">
        <is>
          <t>27-Jan-2026</t>
        </is>
      </c>
      <c r="G322" t="inlineStr">
        <is>
          <t>Tuesday</t>
        </is>
      </c>
      <c r="H322" t="inlineStr">
        <is>
          <t>Monthly - Tuesday</t>
        </is>
      </c>
      <c r="I322" t="inlineStr">
        <is>
          <t>Monthly - Tuesday</t>
        </is>
      </c>
      <c r="J322" t="inlineStr">
        <is>
          <t>Month+2 Expiry</t>
        </is>
      </c>
      <c r="K322" s="25" t="n">
        <v>4143</v>
      </c>
      <c r="L322" s="26" t="n">
        <v>7.2995</v>
      </c>
      <c r="M322" s="26" t="n">
        <v>0.0946</v>
      </c>
    </row>
    <row r="323" ht="16" customHeight="1">
      <c r="A323" t="inlineStr">
        <is>
          <t>18-Nov-2025</t>
        </is>
      </c>
      <c r="B323" t="inlineStr">
        <is>
          <t>Tuesday</t>
        </is>
      </c>
      <c r="C323" t="inlineStr">
        <is>
          <t>Week3-Nov-2025</t>
        </is>
      </c>
      <c r="D323" s="78" t="n">
        <v>45962</v>
      </c>
      <c r="E323" t="inlineStr">
        <is>
          <t>Q3FY26</t>
        </is>
      </c>
      <c r="F323" t="inlineStr">
        <is>
          <t>31-Mar-2026</t>
        </is>
      </c>
      <c r="G323" t="inlineStr">
        <is>
          <t>Tuesday</t>
        </is>
      </c>
      <c r="H323" t="inlineStr">
        <is>
          <t>Monthly - Tuesday</t>
        </is>
      </c>
      <c r="I323" t="inlineStr">
        <is>
          <t>Monthly - Tuesday</t>
        </is>
      </c>
      <c r="J323" t="inlineStr">
        <is>
          <t>Month+4 Expiry</t>
        </is>
      </c>
      <c r="K323" s="25" t="n">
        <v>1542</v>
      </c>
      <c r="L323" s="26" t="n">
        <v>3.1601</v>
      </c>
      <c r="M323" s="26" t="n">
        <v>0.053</v>
      </c>
    </row>
    <row r="324" ht="16" customHeight="1">
      <c r="A324" t="inlineStr">
        <is>
          <t>18-Nov-2025</t>
        </is>
      </c>
      <c r="B324" t="inlineStr">
        <is>
          <t>Tuesday</t>
        </is>
      </c>
      <c r="C324" t="inlineStr">
        <is>
          <t>Week3-Nov-2025</t>
        </is>
      </c>
      <c r="D324" s="78" t="n">
        <v>45962</v>
      </c>
      <c r="E324" t="inlineStr">
        <is>
          <t>Q3FY26</t>
        </is>
      </c>
      <c r="F324" t="inlineStr">
        <is>
          <t>30-Jun-2026</t>
        </is>
      </c>
      <c r="G324" t="inlineStr">
        <is>
          <t>Tuesday</t>
        </is>
      </c>
      <c r="H324" t="inlineStr">
        <is>
          <t>Monthly - Tuesday</t>
        </is>
      </c>
      <c r="I324" t="inlineStr">
        <is>
          <t>Monthly - Tuesday</t>
        </is>
      </c>
      <c r="J324" t="inlineStr">
        <is>
          <t>Month+7 Expiry</t>
        </is>
      </c>
      <c r="K324" s="25" t="n">
        <v>0</v>
      </c>
      <c r="L324" s="26" t="n">
        <v>0</v>
      </c>
      <c r="M324" s="26" t="n">
        <v>0</v>
      </c>
    </row>
    <row r="325" ht="16" customHeight="1">
      <c r="A325" t="inlineStr">
        <is>
          <t>18-Nov-2025</t>
        </is>
      </c>
      <c r="B325" t="inlineStr">
        <is>
          <t>Tuesday</t>
        </is>
      </c>
      <c r="C325" t="inlineStr">
        <is>
          <t>Week3-Nov-2025</t>
        </is>
      </c>
      <c r="D325" s="78" t="n">
        <v>45962</v>
      </c>
      <c r="E325" t="inlineStr">
        <is>
          <t>Q3FY26</t>
        </is>
      </c>
      <c r="F325" t="inlineStr">
        <is>
          <t>29-Sep-2026</t>
        </is>
      </c>
      <c r="G325" t="inlineStr">
        <is>
          <t>Tuesday</t>
        </is>
      </c>
      <c r="H325" t="inlineStr">
        <is>
          <t>Monthly - Tuesday</t>
        </is>
      </c>
      <c r="I325" t="inlineStr">
        <is>
          <t>Monthly - Tuesday</t>
        </is>
      </c>
      <c r="J325" t="inlineStr">
        <is>
          <t>Month+10 Expiry</t>
        </is>
      </c>
      <c r="K325" s="25" t="n">
        <v>0</v>
      </c>
      <c r="L325" s="26" t="n">
        <v>0</v>
      </c>
      <c r="M325" s="26" t="n">
        <v>0</v>
      </c>
    </row>
    <row r="326" ht="16" customHeight="1">
      <c r="A326" t="inlineStr">
        <is>
          <t>19-Nov-2025</t>
        </is>
      </c>
      <c r="B326" t="inlineStr">
        <is>
          <t>Wednesday</t>
        </is>
      </c>
      <c r="C326" t="inlineStr">
        <is>
          <t>Week3-Nov-2025</t>
        </is>
      </c>
      <c r="D326" s="78" t="n">
        <v>45962</v>
      </c>
      <c r="E326" t="inlineStr">
        <is>
          <t>Q3FY26</t>
        </is>
      </c>
      <c r="F326" t="inlineStr">
        <is>
          <t>25-Nov-2025</t>
        </is>
      </c>
      <c r="G326" t="inlineStr">
        <is>
          <t>Tuesday</t>
        </is>
      </c>
      <c r="H326" t="inlineStr">
        <is>
          <t>Monthly - Tuesday</t>
        </is>
      </c>
      <c r="I326" t="inlineStr">
        <is>
          <t>Monthly - Tuesday</t>
        </is>
      </c>
      <c r="J326" t="inlineStr">
        <is>
          <t>Same Month Expiry</t>
        </is>
      </c>
      <c r="K326" s="25" t="n">
        <v>6053709</v>
      </c>
      <c r="L326" s="26" t="n">
        <v>12387.7747</v>
      </c>
      <c r="M326" s="26" t="n">
        <v>50.8172</v>
      </c>
    </row>
    <row r="327" ht="16" customHeight="1">
      <c r="A327" t="inlineStr">
        <is>
          <t>19-Nov-2025</t>
        </is>
      </c>
      <c r="B327" t="inlineStr">
        <is>
          <t>Wednesday</t>
        </is>
      </c>
      <c r="C327" t="inlineStr">
        <is>
          <t>Week3-Nov-2025</t>
        </is>
      </c>
      <c r="D327" s="78" t="n">
        <v>45962</v>
      </c>
      <c r="E327" t="inlineStr">
        <is>
          <t>Q3FY26</t>
        </is>
      </c>
      <c r="F327" t="inlineStr">
        <is>
          <t>30-Dec-2025</t>
        </is>
      </c>
      <c r="G327" t="inlineStr">
        <is>
          <t>Tuesday</t>
        </is>
      </c>
      <c r="H327" t="inlineStr">
        <is>
          <t>Monthly - Tuesday</t>
        </is>
      </c>
      <c r="I327" t="inlineStr">
        <is>
          <t>Monthly - Tuesday</t>
        </is>
      </c>
      <c r="J327" t="inlineStr">
        <is>
          <t>Month+1 Expiry</t>
        </is>
      </c>
      <c r="K327" s="25" t="n">
        <v>199504</v>
      </c>
      <c r="L327" s="26" t="n">
        <v>415.4035</v>
      </c>
      <c r="M327" s="26" t="n">
        <v>4.3255</v>
      </c>
    </row>
    <row r="328" ht="16" customHeight="1">
      <c r="A328" t="inlineStr">
        <is>
          <t>19-Nov-2025</t>
        </is>
      </c>
      <c r="B328" t="inlineStr">
        <is>
          <t>Wednesday</t>
        </is>
      </c>
      <c r="C328" t="inlineStr">
        <is>
          <t>Week3-Nov-2025</t>
        </is>
      </c>
      <c r="D328" s="78" t="n">
        <v>45962</v>
      </c>
      <c r="E328" t="inlineStr">
        <is>
          <t>Q3FY26</t>
        </is>
      </c>
      <c r="F328" t="inlineStr">
        <is>
          <t>27-Jan-2026</t>
        </is>
      </c>
      <c r="G328" t="inlineStr">
        <is>
          <t>Tuesday</t>
        </is>
      </c>
      <c r="H328" t="inlineStr">
        <is>
          <t>Monthly - Tuesday</t>
        </is>
      </c>
      <c r="I328" t="inlineStr">
        <is>
          <t>Monthly - Tuesday</t>
        </is>
      </c>
      <c r="J328" t="inlineStr">
        <is>
          <t>Month+2 Expiry</t>
        </is>
      </c>
      <c r="K328" s="25" t="n">
        <v>6526</v>
      </c>
      <c r="L328" s="26" t="n">
        <v>11.6014</v>
      </c>
      <c r="M328" s="26" t="n">
        <v>0.1587</v>
      </c>
    </row>
    <row r="329" ht="16" customHeight="1">
      <c r="A329" t="inlineStr">
        <is>
          <t>19-Nov-2025</t>
        </is>
      </c>
      <c r="B329" t="inlineStr">
        <is>
          <t>Wednesday</t>
        </is>
      </c>
      <c r="C329" t="inlineStr">
        <is>
          <t>Week3-Nov-2025</t>
        </is>
      </c>
      <c r="D329" s="78" t="n">
        <v>45962</v>
      </c>
      <c r="E329" t="inlineStr">
        <is>
          <t>Q3FY26</t>
        </is>
      </c>
      <c r="F329" t="inlineStr">
        <is>
          <t>31-Mar-2026</t>
        </is>
      </c>
      <c r="G329" t="inlineStr">
        <is>
          <t>Tuesday</t>
        </is>
      </c>
      <c r="H329" t="inlineStr">
        <is>
          <t>Monthly - Tuesday</t>
        </is>
      </c>
      <c r="I329" t="inlineStr">
        <is>
          <t>Monthly - Tuesday</t>
        </is>
      </c>
      <c r="J329" t="inlineStr">
        <is>
          <t>Month+4 Expiry</t>
        </is>
      </c>
      <c r="K329" s="25" t="n">
        <v>1988</v>
      </c>
      <c r="L329" s="26" t="n">
        <v>4.2025</v>
      </c>
      <c r="M329" s="26" t="n">
        <v>0.0958</v>
      </c>
    </row>
    <row r="330" ht="16" customHeight="1">
      <c r="A330" t="inlineStr">
        <is>
          <t>19-Nov-2025</t>
        </is>
      </c>
      <c r="B330" t="inlineStr">
        <is>
          <t>Wednesday</t>
        </is>
      </c>
      <c r="C330" t="inlineStr">
        <is>
          <t>Week3-Nov-2025</t>
        </is>
      </c>
      <c r="D330" s="78" t="n">
        <v>45962</v>
      </c>
      <c r="E330" t="inlineStr">
        <is>
          <t>Q3FY26</t>
        </is>
      </c>
      <c r="F330" t="inlineStr">
        <is>
          <t>30-Jun-2026</t>
        </is>
      </c>
      <c r="G330" t="inlineStr">
        <is>
          <t>Tuesday</t>
        </is>
      </c>
      <c r="H330" t="inlineStr">
        <is>
          <t>Monthly - Tuesday</t>
        </is>
      </c>
      <c r="I330" t="inlineStr">
        <is>
          <t>Monthly - Tuesday</t>
        </is>
      </c>
      <c r="J330" t="inlineStr">
        <is>
          <t>Month+7 Expiry</t>
        </is>
      </c>
      <c r="K330" s="25" t="n">
        <v>0</v>
      </c>
      <c r="L330" s="26" t="n">
        <v>0</v>
      </c>
      <c r="M330" s="26" t="n">
        <v>0</v>
      </c>
    </row>
    <row r="331" ht="16" customHeight="1">
      <c r="A331" t="inlineStr">
        <is>
          <t>19-Nov-2025</t>
        </is>
      </c>
      <c r="B331" t="inlineStr">
        <is>
          <t>Wednesday</t>
        </is>
      </c>
      <c r="C331" t="inlineStr">
        <is>
          <t>Week3-Nov-2025</t>
        </is>
      </c>
      <c r="D331" s="78" t="n">
        <v>45962</v>
      </c>
      <c r="E331" t="inlineStr">
        <is>
          <t>Q3FY26</t>
        </is>
      </c>
      <c r="F331" t="inlineStr">
        <is>
          <t>29-Sep-2026</t>
        </is>
      </c>
      <c r="G331" t="inlineStr">
        <is>
          <t>Tuesday</t>
        </is>
      </c>
      <c r="H331" t="inlineStr">
        <is>
          <t>Monthly - Tuesday</t>
        </is>
      </c>
      <c r="I331" t="inlineStr">
        <is>
          <t>Monthly - Tuesday</t>
        </is>
      </c>
      <c r="J331" t="inlineStr">
        <is>
          <t>Month+10 Expiry</t>
        </is>
      </c>
      <c r="K331" s="25" t="n">
        <v>0</v>
      </c>
      <c r="L331" s="26" t="n">
        <v>0</v>
      </c>
      <c r="M331" s="26" t="n">
        <v>0</v>
      </c>
    </row>
    <row r="332" ht="16" customHeight="1">
      <c r="A332" t="inlineStr">
        <is>
          <t>20-Nov-2025</t>
        </is>
      </c>
      <c r="B332" t="inlineStr">
        <is>
          <t>Thursday</t>
        </is>
      </c>
      <c r="C332" t="inlineStr">
        <is>
          <t>Week3-Nov-2025</t>
        </is>
      </c>
      <c r="D332" s="78" t="n">
        <v>45962</v>
      </c>
      <c r="E332" t="inlineStr">
        <is>
          <t>Q3FY26</t>
        </is>
      </c>
      <c r="F332" t="inlineStr">
        <is>
          <t>25-Nov-2025</t>
        </is>
      </c>
      <c r="G332" t="inlineStr">
        <is>
          <t>Tuesday</t>
        </is>
      </c>
      <c r="H332" t="inlineStr">
        <is>
          <t>Monthly - Tuesday</t>
        </is>
      </c>
      <c r="I332" t="inlineStr">
        <is>
          <t>Monthly - Tuesday</t>
        </is>
      </c>
      <c r="J332" t="inlineStr">
        <is>
          <t>Same Month Expiry</t>
        </is>
      </c>
      <c r="K332" s="25" t="n">
        <v>5656595</v>
      </c>
      <c r="L332" s="26" t="n">
        <v>11582.2529</v>
      </c>
      <c r="M332" s="26" t="n">
        <v>39.4398</v>
      </c>
    </row>
    <row r="333" ht="16" customHeight="1">
      <c r="A333" t="inlineStr">
        <is>
          <t>20-Nov-2025</t>
        </is>
      </c>
      <c r="B333" t="inlineStr">
        <is>
          <t>Thursday</t>
        </is>
      </c>
      <c r="C333" t="inlineStr">
        <is>
          <t>Week3-Nov-2025</t>
        </is>
      </c>
      <c r="D333" s="78" t="n">
        <v>45962</v>
      </c>
      <c r="E333" t="inlineStr">
        <is>
          <t>Q3FY26</t>
        </is>
      </c>
      <c r="F333" t="inlineStr">
        <is>
          <t>30-Dec-2025</t>
        </is>
      </c>
      <c r="G333" t="inlineStr">
        <is>
          <t>Tuesday</t>
        </is>
      </c>
      <c r="H333" t="inlineStr">
        <is>
          <t>Monthly - Tuesday</t>
        </is>
      </c>
      <c r="I333" t="inlineStr">
        <is>
          <t>Monthly - Tuesday</t>
        </is>
      </c>
      <c r="J333" t="inlineStr">
        <is>
          <t>Month+1 Expiry</t>
        </is>
      </c>
      <c r="K333" s="25" t="n">
        <v>207429</v>
      </c>
      <c r="L333" s="26" t="n">
        <v>431.9024</v>
      </c>
      <c r="M333" s="26" t="n">
        <v>4.7164</v>
      </c>
    </row>
    <row r="334" ht="16" customHeight="1">
      <c r="A334" t="inlineStr">
        <is>
          <t>20-Nov-2025</t>
        </is>
      </c>
      <c r="B334" t="inlineStr">
        <is>
          <t>Thursday</t>
        </is>
      </c>
      <c r="C334" t="inlineStr">
        <is>
          <t>Week3-Nov-2025</t>
        </is>
      </c>
      <c r="D334" s="78" t="n">
        <v>45962</v>
      </c>
      <c r="E334" t="inlineStr">
        <is>
          <t>Q3FY26</t>
        </is>
      </c>
      <c r="F334" t="inlineStr">
        <is>
          <t>27-Jan-2026</t>
        </is>
      </c>
      <c r="G334" t="inlineStr">
        <is>
          <t>Tuesday</t>
        </is>
      </c>
      <c r="H334" t="inlineStr">
        <is>
          <t>Monthly - Tuesday</t>
        </is>
      </c>
      <c r="I334" t="inlineStr">
        <is>
          <t>Monthly - Tuesday</t>
        </is>
      </c>
      <c r="J334" t="inlineStr">
        <is>
          <t>Month+2 Expiry</t>
        </is>
      </c>
      <c r="K334" s="25" t="n">
        <v>6413</v>
      </c>
      <c r="L334" s="26" t="n">
        <v>11.4207</v>
      </c>
      <c r="M334" s="26" t="n">
        <v>0.1701</v>
      </c>
    </row>
    <row r="335" ht="16" customHeight="1">
      <c r="A335" t="inlineStr">
        <is>
          <t>20-Nov-2025</t>
        </is>
      </c>
      <c r="B335" t="inlineStr">
        <is>
          <t>Thursday</t>
        </is>
      </c>
      <c r="C335" t="inlineStr">
        <is>
          <t>Week3-Nov-2025</t>
        </is>
      </c>
      <c r="D335" s="78" t="n">
        <v>45962</v>
      </c>
      <c r="E335" t="inlineStr">
        <is>
          <t>Q3FY26</t>
        </is>
      </c>
      <c r="F335" t="inlineStr">
        <is>
          <t>31-Mar-2026</t>
        </is>
      </c>
      <c r="G335" t="inlineStr">
        <is>
          <t>Tuesday</t>
        </is>
      </c>
      <c r="H335" t="inlineStr">
        <is>
          <t>Monthly - Tuesday</t>
        </is>
      </c>
      <c r="I335" t="inlineStr">
        <is>
          <t>Monthly - Tuesday</t>
        </is>
      </c>
      <c r="J335" t="inlineStr">
        <is>
          <t>Month+4 Expiry</t>
        </is>
      </c>
      <c r="K335" s="25" t="n">
        <v>3035</v>
      </c>
      <c r="L335" s="26" t="n">
        <v>6.3734</v>
      </c>
      <c r="M335" s="26" t="n">
        <v>0.1283</v>
      </c>
    </row>
    <row r="336" ht="16" customHeight="1">
      <c r="A336" t="inlineStr">
        <is>
          <t>20-Nov-2025</t>
        </is>
      </c>
      <c r="B336" t="inlineStr">
        <is>
          <t>Thursday</t>
        </is>
      </c>
      <c r="C336" t="inlineStr">
        <is>
          <t>Week3-Nov-2025</t>
        </is>
      </c>
      <c r="D336" s="78" t="n">
        <v>45962</v>
      </c>
      <c r="E336" t="inlineStr">
        <is>
          <t>Q3FY26</t>
        </is>
      </c>
      <c r="F336" t="inlineStr">
        <is>
          <t>30-Jun-2026</t>
        </is>
      </c>
      <c r="G336" t="inlineStr">
        <is>
          <t>Tuesday</t>
        </is>
      </c>
      <c r="H336" t="inlineStr">
        <is>
          <t>Monthly - Tuesday</t>
        </is>
      </c>
      <c r="I336" t="inlineStr">
        <is>
          <t>Monthly - Tuesday</t>
        </is>
      </c>
      <c r="J336" t="inlineStr">
        <is>
          <t>Month+7 Expiry</t>
        </is>
      </c>
      <c r="K336" s="25" t="n">
        <v>0</v>
      </c>
      <c r="L336" s="26" t="n">
        <v>0</v>
      </c>
      <c r="M336" s="26" t="n">
        <v>0</v>
      </c>
    </row>
    <row r="337" ht="16" customHeight="1">
      <c r="A337" t="inlineStr">
        <is>
          <t>20-Nov-2025</t>
        </is>
      </c>
      <c r="B337" t="inlineStr">
        <is>
          <t>Thursday</t>
        </is>
      </c>
      <c r="C337" t="inlineStr">
        <is>
          <t>Week3-Nov-2025</t>
        </is>
      </c>
      <c r="D337" s="78" t="n">
        <v>45962</v>
      </c>
      <c r="E337" t="inlineStr">
        <is>
          <t>Q3FY26</t>
        </is>
      </c>
      <c r="F337" t="inlineStr">
        <is>
          <t>29-Sep-2026</t>
        </is>
      </c>
      <c r="G337" t="inlineStr">
        <is>
          <t>Tuesday</t>
        </is>
      </c>
      <c r="H337" t="inlineStr">
        <is>
          <t>Monthly - Tuesday</t>
        </is>
      </c>
      <c r="I337" t="inlineStr">
        <is>
          <t>Monthly - Tuesday</t>
        </is>
      </c>
      <c r="J337" t="inlineStr">
        <is>
          <t>Month+10 Expiry</t>
        </is>
      </c>
      <c r="K337" s="25" t="n">
        <v>0</v>
      </c>
      <c r="L337" s="26" t="n">
        <v>0</v>
      </c>
      <c r="M337" s="26" t="n">
        <v>0</v>
      </c>
    </row>
    <row r="338" ht="16" customHeight="1">
      <c r="A338" t="inlineStr">
        <is>
          <t>21-Nov-2025</t>
        </is>
      </c>
      <c r="B338" t="inlineStr">
        <is>
          <t>Friday</t>
        </is>
      </c>
      <c r="C338" t="inlineStr">
        <is>
          <t>Week3-Nov-2025</t>
        </is>
      </c>
      <c r="D338" s="78" t="n">
        <v>45962</v>
      </c>
      <c r="E338" t="inlineStr">
        <is>
          <t>Q3FY26</t>
        </is>
      </c>
      <c r="F338" t="inlineStr">
        <is>
          <t>25-Nov-2025</t>
        </is>
      </c>
      <c r="G338" t="inlineStr">
        <is>
          <t>Tuesday</t>
        </is>
      </c>
      <c r="H338" t="inlineStr">
        <is>
          <t>Monthly - Tuesday</t>
        </is>
      </c>
      <c r="I338" t="inlineStr">
        <is>
          <t>Monthly - Tuesday</t>
        </is>
      </c>
      <c r="J338" t="inlineStr">
        <is>
          <t>Same Month Expiry</t>
        </is>
      </c>
      <c r="K338" s="25" t="n">
        <v>10692487</v>
      </c>
      <c r="L338" s="26" t="n">
        <v>21899.3047</v>
      </c>
      <c r="M338" s="26" t="n">
        <v>64.9958</v>
      </c>
    </row>
    <row r="339" ht="16" customHeight="1">
      <c r="A339" t="inlineStr">
        <is>
          <t>21-Nov-2025</t>
        </is>
      </c>
      <c r="B339" t="inlineStr">
        <is>
          <t>Friday</t>
        </is>
      </c>
      <c r="C339" t="inlineStr">
        <is>
          <t>Week3-Nov-2025</t>
        </is>
      </c>
      <c r="D339" s="78" t="n">
        <v>45962</v>
      </c>
      <c r="E339" t="inlineStr">
        <is>
          <t>Q3FY26</t>
        </is>
      </c>
      <c r="F339" t="inlineStr">
        <is>
          <t>30-Dec-2025</t>
        </is>
      </c>
      <c r="G339" t="inlineStr">
        <is>
          <t>Tuesday</t>
        </is>
      </c>
      <c r="H339" t="inlineStr">
        <is>
          <t>Monthly - Tuesday</t>
        </is>
      </c>
      <c r="I339" t="inlineStr">
        <is>
          <t>Monthly - Tuesday</t>
        </is>
      </c>
      <c r="J339" t="inlineStr">
        <is>
          <t>Month+1 Expiry</t>
        </is>
      </c>
      <c r="K339" s="25" t="n">
        <v>359705</v>
      </c>
      <c r="L339" s="26" t="n">
        <v>747.1505</v>
      </c>
      <c r="M339" s="26" t="n">
        <v>7.8521</v>
      </c>
    </row>
    <row r="340" ht="16" customHeight="1">
      <c r="A340" t="inlineStr">
        <is>
          <t>21-Nov-2025</t>
        </is>
      </c>
      <c r="B340" t="inlineStr">
        <is>
          <t>Friday</t>
        </is>
      </c>
      <c r="C340" t="inlineStr">
        <is>
          <t>Week3-Nov-2025</t>
        </is>
      </c>
      <c r="D340" s="78" t="n">
        <v>45962</v>
      </c>
      <c r="E340" t="inlineStr">
        <is>
          <t>Q3FY26</t>
        </is>
      </c>
      <c r="F340" t="inlineStr">
        <is>
          <t>27-Jan-2026</t>
        </is>
      </c>
      <c r="G340" t="inlineStr">
        <is>
          <t>Tuesday</t>
        </is>
      </c>
      <c r="H340" t="inlineStr">
        <is>
          <t>Monthly - Tuesday</t>
        </is>
      </c>
      <c r="I340" t="inlineStr">
        <is>
          <t>Monthly - Tuesday</t>
        </is>
      </c>
      <c r="J340" t="inlineStr">
        <is>
          <t>Month+2 Expiry</t>
        </is>
      </c>
      <c r="K340" s="25" t="n">
        <v>9417</v>
      </c>
      <c r="L340" s="26" t="n">
        <v>16.9076</v>
      </c>
      <c r="M340" s="26" t="n">
        <v>0.2512</v>
      </c>
    </row>
    <row r="341" ht="16" customHeight="1">
      <c r="A341" t="inlineStr">
        <is>
          <t>21-Nov-2025</t>
        </is>
      </c>
      <c r="B341" t="inlineStr">
        <is>
          <t>Friday</t>
        </is>
      </c>
      <c r="C341" t="inlineStr">
        <is>
          <t>Week3-Nov-2025</t>
        </is>
      </c>
      <c r="D341" s="78" t="n">
        <v>45962</v>
      </c>
      <c r="E341" t="inlineStr">
        <is>
          <t>Q3FY26</t>
        </is>
      </c>
      <c r="F341" t="inlineStr">
        <is>
          <t>31-Mar-2026</t>
        </is>
      </c>
      <c r="G341" t="inlineStr">
        <is>
          <t>Tuesday</t>
        </is>
      </c>
      <c r="H341" t="inlineStr">
        <is>
          <t>Monthly - Tuesday</t>
        </is>
      </c>
      <c r="I341" t="inlineStr">
        <is>
          <t>Monthly - Tuesday</t>
        </is>
      </c>
      <c r="J341" t="inlineStr">
        <is>
          <t>Month+4 Expiry</t>
        </is>
      </c>
      <c r="K341" s="25" t="n">
        <v>1699</v>
      </c>
      <c r="L341" s="26" t="n">
        <v>3.5116</v>
      </c>
      <c r="M341" s="26" t="n">
        <v>0.056</v>
      </c>
    </row>
    <row r="342" ht="16" customHeight="1">
      <c r="A342" t="inlineStr">
        <is>
          <t>21-Nov-2025</t>
        </is>
      </c>
      <c r="B342" t="inlineStr">
        <is>
          <t>Friday</t>
        </is>
      </c>
      <c r="C342" t="inlineStr">
        <is>
          <t>Week3-Nov-2025</t>
        </is>
      </c>
      <c r="D342" s="78" t="n">
        <v>45962</v>
      </c>
      <c r="E342" t="inlineStr">
        <is>
          <t>Q3FY26</t>
        </is>
      </c>
      <c r="F342" t="inlineStr">
        <is>
          <t>30-Jun-2026</t>
        </is>
      </c>
      <c r="G342" t="inlineStr">
        <is>
          <t>Tuesday</t>
        </is>
      </c>
      <c r="H342" t="inlineStr">
        <is>
          <t>Monthly - Tuesday</t>
        </is>
      </c>
      <c r="I342" t="inlineStr">
        <is>
          <t>Monthly - Tuesday</t>
        </is>
      </c>
      <c r="J342" t="inlineStr">
        <is>
          <t>Month+7 Expiry</t>
        </is>
      </c>
      <c r="K342" s="25" t="n">
        <v>0</v>
      </c>
      <c r="L342" s="26" t="n">
        <v>0</v>
      </c>
      <c r="M342" s="26" t="n">
        <v>0</v>
      </c>
    </row>
    <row r="343" ht="16" customHeight="1">
      <c r="A343" t="inlineStr">
        <is>
          <t>21-Nov-2025</t>
        </is>
      </c>
      <c r="B343" t="inlineStr">
        <is>
          <t>Friday</t>
        </is>
      </c>
      <c r="C343" t="inlineStr">
        <is>
          <t>Week3-Nov-2025</t>
        </is>
      </c>
      <c r="D343" s="78" t="n">
        <v>45962</v>
      </c>
      <c r="E343" t="inlineStr">
        <is>
          <t>Q3FY26</t>
        </is>
      </c>
      <c r="F343" t="inlineStr">
        <is>
          <t>29-Sep-2026</t>
        </is>
      </c>
      <c r="G343" t="inlineStr">
        <is>
          <t>Tuesday</t>
        </is>
      </c>
      <c r="H343" t="inlineStr">
        <is>
          <t>Monthly - Tuesday</t>
        </is>
      </c>
      <c r="I343" t="inlineStr">
        <is>
          <t>Monthly - Tuesday</t>
        </is>
      </c>
      <c r="J343" t="inlineStr">
        <is>
          <t>Month+10 Expiry</t>
        </is>
      </c>
      <c r="K343" s="25" t="n">
        <v>0</v>
      </c>
      <c r="L343" s="26" t="n">
        <v>0</v>
      </c>
      <c r="M343" s="26" t="n">
        <v>0</v>
      </c>
    </row>
    <row r="344" ht="16" customHeight="1">
      <c r="A344" t="inlineStr">
        <is>
          <t>24-Nov-2025</t>
        </is>
      </c>
      <c r="B344" t="inlineStr">
        <is>
          <t>Monday</t>
        </is>
      </c>
      <c r="C344" t="inlineStr">
        <is>
          <t>Week4-Nov-2025</t>
        </is>
      </c>
      <c r="D344" s="78" t="n">
        <v>45962</v>
      </c>
      <c r="E344" t="inlineStr">
        <is>
          <t>Q3FY26</t>
        </is>
      </c>
      <c r="F344" t="inlineStr">
        <is>
          <t>25-Nov-2025</t>
        </is>
      </c>
      <c r="G344" t="inlineStr">
        <is>
          <t>Tuesday</t>
        </is>
      </c>
      <c r="H344" t="inlineStr">
        <is>
          <t>Monthly - Tuesday</t>
        </is>
      </c>
      <c r="I344" t="inlineStr">
        <is>
          <t>Monthly - Tuesday</t>
        </is>
      </c>
      <c r="J344" t="inlineStr">
        <is>
          <t>Same Month Expiry</t>
        </is>
      </c>
      <c r="K344" s="25" t="n">
        <v>19567412</v>
      </c>
      <c r="L344" s="26" t="n">
        <v>40015.1014</v>
      </c>
      <c r="M344" s="26" t="n">
        <v>85.8531</v>
      </c>
    </row>
    <row r="345" ht="16" customHeight="1">
      <c r="A345" t="inlineStr">
        <is>
          <t>24-Nov-2025</t>
        </is>
      </c>
      <c r="B345" t="inlineStr">
        <is>
          <t>Monday</t>
        </is>
      </c>
      <c r="C345" t="inlineStr">
        <is>
          <t>Week4-Nov-2025</t>
        </is>
      </c>
      <c r="D345" s="78" t="n">
        <v>45962</v>
      </c>
      <c r="E345" t="inlineStr">
        <is>
          <t>Q3FY26</t>
        </is>
      </c>
      <c r="F345" t="inlineStr">
        <is>
          <t>30-Dec-2025</t>
        </is>
      </c>
      <c r="G345" t="inlineStr">
        <is>
          <t>Tuesday</t>
        </is>
      </c>
      <c r="H345" t="inlineStr">
        <is>
          <t>Monthly - Tuesday</t>
        </is>
      </c>
      <c r="I345" t="inlineStr">
        <is>
          <t>Monthly - Tuesday</t>
        </is>
      </c>
      <c r="J345" t="inlineStr">
        <is>
          <t>Month+1 Expiry</t>
        </is>
      </c>
      <c r="K345" s="25" t="n">
        <v>424184</v>
      </c>
      <c r="L345" s="26" t="n">
        <v>885.0194</v>
      </c>
      <c r="M345" s="26" t="n">
        <v>9.807</v>
      </c>
    </row>
    <row r="346" ht="16" customHeight="1">
      <c r="A346" t="inlineStr">
        <is>
          <t>24-Nov-2025</t>
        </is>
      </c>
      <c r="B346" t="inlineStr">
        <is>
          <t>Monday</t>
        </is>
      </c>
      <c r="C346" t="inlineStr">
        <is>
          <t>Week4-Nov-2025</t>
        </is>
      </c>
      <c r="D346" s="78" t="n">
        <v>45962</v>
      </c>
      <c r="E346" t="inlineStr">
        <is>
          <t>Q3FY26</t>
        </is>
      </c>
      <c r="F346" t="inlineStr">
        <is>
          <t>27-Jan-2026</t>
        </is>
      </c>
      <c r="G346" t="inlineStr">
        <is>
          <t>Tuesday</t>
        </is>
      </c>
      <c r="H346" t="inlineStr">
        <is>
          <t>Monthly - Tuesday</t>
        </is>
      </c>
      <c r="I346" t="inlineStr">
        <is>
          <t>Monthly - Tuesday</t>
        </is>
      </c>
      <c r="J346" t="inlineStr">
        <is>
          <t>Month+2 Expiry</t>
        </is>
      </c>
      <c r="K346" s="25" t="n">
        <v>6842</v>
      </c>
      <c r="L346" s="26" t="n">
        <v>12.2058</v>
      </c>
      <c r="M346" s="26" t="n">
        <v>0.1565</v>
      </c>
    </row>
    <row r="347" ht="16" customHeight="1">
      <c r="A347" t="inlineStr">
        <is>
          <t>24-Nov-2025</t>
        </is>
      </c>
      <c r="B347" t="inlineStr">
        <is>
          <t>Monday</t>
        </is>
      </c>
      <c r="C347" t="inlineStr">
        <is>
          <t>Week4-Nov-2025</t>
        </is>
      </c>
      <c r="D347" s="78" t="n">
        <v>45962</v>
      </c>
      <c r="E347" t="inlineStr">
        <is>
          <t>Q3FY26</t>
        </is>
      </c>
      <c r="F347" t="inlineStr">
        <is>
          <t>31-Mar-2026</t>
        </is>
      </c>
      <c r="G347" t="inlineStr">
        <is>
          <t>Tuesday</t>
        </is>
      </c>
      <c r="H347" t="inlineStr">
        <is>
          <t>Monthly - Tuesday</t>
        </is>
      </c>
      <c r="I347" t="inlineStr">
        <is>
          <t>Monthly - Tuesday</t>
        </is>
      </c>
      <c r="J347" t="inlineStr">
        <is>
          <t>Month+4 Expiry</t>
        </is>
      </c>
      <c r="K347" s="25" t="n">
        <v>1087</v>
      </c>
      <c r="L347" s="26" t="n">
        <v>2.2831</v>
      </c>
      <c r="M347" s="26" t="n">
        <v>0.0433</v>
      </c>
    </row>
    <row r="348" ht="16" customHeight="1">
      <c r="A348" t="inlineStr">
        <is>
          <t>24-Nov-2025</t>
        </is>
      </c>
      <c r="B348" t="inlineStr">
        <is>
          <t>Monday</t>
        </is>
      </c>
      <c r="C348" t="inlineStr">
        <is>
          <t>Week4-Nov-2025</t>
        </is>
      </c>
      <c r="D348" s="78" t="n">
        <v>45962</v>
      </c>
      <c r="E348" t="inlineStr">
        <is>
          <t>Q3FY26</t>
        </is>
      </c>
      <c r="F348" t="inlineStr">
        <is>
          <t>30-Jun-2026</t>
        </is>
      </c>
      <c r="G348" t="inlineStr">
        <is>
          <t>Tuesday</t>
        </is>
      </c>
      <c r="H348" t="inlineStr">
        <is>
          <t>Monthly - Tuesday</t>
        </is>
      </c>
      <c r="I348" t="inlineStr">
        <is>
          <t>Monthly - Tuesday</t>
        </is>
      </c>
      <c r="J348" t="inlineStr">
        <is>
          <t>Month+7 Expiry</t>
        </is>
      </c>
      <c r="K348" s="25" t="n">
        <v>0</v>
      </c>
      <c r="L348" s="26" t="n">
        <v>0</v>
      </c>
      <c r="M348" s="26" t="n">
        <v>0</v>
      </c>
    </row>
    <row r="349" ht="16" customHeight="1">
      <c r="A349" t="inlineStr">
        <is>
          <t>24-Nov-2025</t>
        </is>
      </c>
      <c r="B349" t="inlineStr">
        <is>
          <t>Monday</t>
        </is>
      </c>
      <c r="C349" t="inlineStr">
        <is>
          <t>Week4-Nov-2025</t>
        </is>
      </c>
      <c r="D349" s="78" t="n">
        <v>45962</v>
      </c>
      <c r="E349" t="inlineStr">
        <is>
          <t>Q3FY26</t>
        </is>
      </c>
      <c r="F349" t="inlineStr">
        <is>
          <t>29-Sep-2026</t>
        </is>
      </c>
      <c r="G349" t="inlineStr">
        <is>
          <t>Tuesday</t>
        </is>
      </c>
      <c r="H349" t="inlineStr">
        <is>
          <t>Monthly - Tuesday</t>
        </is>
      </c>
      <c r="I349" t="inlineStr">
        <is>
          <t>Monthly - Tuesday</t>
        </is>
      </c>
      <c r="J349" t="inlineStr">
        <is>
          <t>Month+10 Expiry</t>
        </is>
      </c>
      <c r="K349" s="25" t="n">
        <v>0</v>
      </c>
      <c r="L349" s="26" t="n">
        <v>0</v>
      </c>
      <c r="M349" s="26" t="n">
        <v>0</v>
      </c>
    </row>
    <row r="350" ht="16" customHeight="1">
      <c r="A350" t="inlineStr">
        <is>
          <t>25-Nov-2025</t>
        </is>
      </c>
      <c r="B350" t="inlineStr">
        <is>
          <t>Tuesday</t>
        </is>
      </c>
      <c r="C350" t="inlineStr">
        <is>
          <t>Week4-Nov-2025</t>
        </is>
      </c>
      <c r="D350" s="78" t="n">
        <v>45962</v>
      </c>
      <c r="E350" t="inlineStr">
        <is>
          <t>Q3FY26</t>
        </is>
      </c>
      <c r="F350" t="inlineStr">
        <is>
          <t>25-Nov-2025</t>
        </is>
      </c>
      <c r="G350" t="inlineStr">
        <is>
          <t>Tuesday</t>
        </is>
      </c>
      <c r="H350" t="inlineStr">
        <is>
          <t>Monthly - Tuesday</t>
        </is>
      </c>
      <c r="I350" t="inlineStr">
        <is>
          <t>Monthly - Tuesday</t>
        </is>
      </c>
      <c r="J350" t="inlineStr">
        <is>
          <t>Same Month Expiry</t>
        </is>
      </c>
      <c r="K350" s="25" t="n">
        <v>79305371</v>
      </c>
      <c r="L350" s="26" t="n">
        <v>161746.661</v>
      </c>
      <c r="M350" s="26" t="n">
        <v>151.4041</v>
      </c>
    </row>
    <row r="351" ht="16" customHeight="1">
      <c r="A351" t="inlineStr">
        <is>
          <t>25-Nov-2025</t>
        </is>
      </c>
      <c r="B351" t="inlineStr">
        <is>
          <t>Tuesday</t>
        </is>
      </c>
      <c r="C351" t="inlineStr">
        <is>
          <t>Week4-Nov-2025</t>
        </is>
      </c>
      <c r="D351" s="78" t="n">
        <v>45962</v>
      </c>
      <c r="E351" t="inlineStr">
        <is>
          <t>Q3FY26</t>
        </is>
      </c>
      <c r="F351" t="inlineStr">
        <is>
          <t>30-Dec-2025</t>
        </is>
      </c>
      <c r="G351" t="inlineStr">
        <is>
          <t>Tuesday</t>
        </is>
      </c>
      <c r="H351" t="inlineStr">
        <is>
          <t>Monthly - Tuesday</t>
        </is>
      </c>
      <c r="I351" t="inlineStr">
        <is>
          <t>Monthly - Tuesday</t>
        </is>
      </c>
      <c r="J351" t="inlineStr">
        <is>
          <t>Month+1 Expiry</t>
        </is>
      </c>
      <c r="K351" s="25" t="n">
        <v>722792</v>
      </c>
      <c r="L351" s="26" t="n">
        <v>1503.8093</v>
      </c>
      <c r="M351" s="26" t="n">
        <v>15.2352</v>
      </c>
    </row>
    <row r="352" ht="16" customHeight="1">
      <c r="A352" t="inlineStr">
        <is>
          <t>25-Nov-2025</t>
        </is>
      </c>
      <c r="B352" t="inlineStr">
        <is>
          <t>Tuesday</t>
        </is>
      </c>
      <c r="C352" t="inlineStr">
        <is>
          <t>Week4-Nov-2025</t>
        </is>
      </c>
      <c r="D352" s="78" t="n">
        <v>45962</v>
      </c>
      <c r="E352" t="inlineStr">
        <is>
          <t>Q3FY26</t>
        </is>
      </c>
      <c r="F352" t="inlineStr">
        <is>
          <t>27-Jan-2026</t>
        </is>
      </c>
      <c r="G352" t="inlineStr">
        <is>
          <t>Tuesday</t>
        </is>
      </c>
      <c r="H352" t="inlineStr">
        <is>
          <t>Monthly - Tuesday</t>
        </is>
      </c>
      <c r="I352" t="inlineStr">
        <is>
          <t>Monthly - Tuesday</t>
        </is>
      </c>
      <c r="J352" t="inlineStr">
        <is>
          <t>Month+2 Expiry</t>
        </is>
      </c>
      <c r="K352" s="25" t="n">
        <v>8387</v>
      </c>
      <c r="L352" s="26" t="n">
        <v>15.0803</v>
      </c>
      <c r="M352" s="26" t="n">
        <v>0.1844</v>
      </c>
    </row>
    <row r="353" ht="16" customHeight="1">
      <c r="A353" t="inlineStr">
        <is>
          <t>25-Nov-2025</t>
        </is>
      </c>
      <c r="B353" t="inlineStr">
        <is>
          <t>Tuesday</t>
        </is>
      </c>
      <c r="C353" t="inlineStr">
        <is>
          <t>Week4-Nov-2025</t>
        </is>
      </c>
      <c r="D353" s="78" t="n">
        <v>45962</v>
      </c>
      <c r="E353" t="inlineStr">
        <is>
          <t>Q3FY26</t>
        </is>
      </c>
      <c r="F353" t="inlineStr">
        <is>
          <t>31-Mar-2026</t>
        </is>
      </c>
      <c r="G353" t="inlineStr">
        <is>
          <t>Tuesday</t>
        </is>
      </c>
      <c r="H353" t="inlineStr">
        <is>
          <t>Monthly - Tuesday</t>
        </is>
      </c>
      <c r="I353" t="inlineStr">
        <is>
          <t>Monthly - Tuesday</t>
        </is>
      </c>
      <c r="J353" t="inlineStr">
        <is>
          <t>Month+4 Expiry</t>
        </is>
      </c>
      <c r="K353" s="25" t="n">
        <v>919</v>
      </c>
      <c r="L353" s="26" t="n">
        <v>1.9265</v>
      </c>
      <c r="M353" s="26" t="n">
        <v>0.0383</v>
      </c>
    </row>
    <row r="354" ht="16" customHeight="1">
      <c r="A354" t="inlineStr">
        <is>
          <t>25-Nov-2025</t>
        </is>
      </c>
      <c r="B354" t="inlineStr">
        <is>
          <t>Tuesday</t>
        </is>
      </c>
      <c r="C354" t="inlineStr">
        <is>
          <t>Week4-Nov-2025</t>
        </is>
      </c>
      <c r="D354" s="78" t="n">
        <v>45962</v>
      </c>
      <c r="E354" t="inlineStr">
        <is>
          <t>Q3FY26</t>
        </is>
      </c>
      <c r="F354" t="inlineStr">
        <is>
          <t>30-Jun-2026</t>
        </is>
      </c>
      <c r="G354" t="inlineStr">
        <is>
          <t>Tuesday</t>
        </is>
      </c>
      <c r="H354" t="inlineStr">
        <is>
          <t>Monthly - Tuesday</t>
        </is>
      </c>
      <c r="I354" t="inlineStr">
        <is>
          <t>Monthly - Tuesday</t>
        </is>
      </c>
      <c r="J354" t="inlineStr">
        <is>
          <t>Month+7 Expiry</t>
        </is>
      </c>
      <c r="K354" s="25" t="n">
        <v>0</v>
      </c>
      <c r="L354" s="26" t="n">
        <v>0</v>
      </c>
      <c r="M354" s="26" t="n">
        <v>0</v>
      </c>
    </row>
    <row r="355" ht="16" customHeight="1">
      <c r="A355" t="inlineStr">
        <is>
          <t>25-Nov-2025</t>
        </is>
      </c>
      <c r="B355" t="inlineStr">
        <is>
          <t>Tuesday</t>
        </is>
      </c>
      <c r="C355" t="inlineStr">
        <is>
          <t>Week4-Nov-2025</t>
        </is>
      </c>
      <c r="D355" s="78" t="n">
        <v>45962</v>
      </c>
      <c r="E355" t="inlineStr">
        <is>
          <t>Q3FY26</t>
        </is>
      </c>
      <c r="F355" t="inlineStr">
        <is>
          <t>29-Sep-2026</t>
        </is>
      </c>
      <c r="G355" t="inlineStr">
        <is>
          <t>Tuesday</t>
        </is>
      </c>
      <c r="H355" t="inlineStr">
        <is>
          <t>Monthly - Tuesday</t>
        </is>
      </c>
      <c r="I355" t="inlineStr">
        <is>
          <t>Monthly - Tuesday</t>
        </is>
      </c>
      <c r="J355" t="inlineStr">
        <is>
          <t>Month+10 Expiry</t>
        </is>
      </c>
      <c r="K355" s="25" t="n">
        <v>0</v>
      </c>
      <c r="L355" s="26" t="n">
        <v>0</v>
      </c>
      <c r="M355" s="26" t="n">
        <v>0</v>
      </c>
    </row>
    <row r="356" ht="16" customHeight="1">
      <c r="A356" t="inlineStr">
        <is>
          <t>26-Nov-2025</t>
        </is>
      </c>
      <c r="B356" t="inlineStr">
        <is>
          <t>Wednesday</t>
        </is>
      </c>
      <c r="C356" t="inlineStr">
        <is>
          <t>Week4-Nov-2025</t>
        </is>
      </c>
      <c r="D356" s="78" t="n">
        <v>45962</v>
      </c>
      <c r="E356" t="inlineStr">
        <is>
          <t>Q3FY26</t>
        </is>
      </c>
      <c r="F356" t="inlineStr">
        <is>
          <t>30-Dec-2025</t>
        </is>
      </c>
      <c r="G356" t="inlineStr">
        <is>
          <t>Tuesday</t>
        </is>
      </c>
      <c r="H356" t="inlineStr">
        <is>
          <t>Monthly - Tuesday</t>
        </is>
      </c>
      <c r="I356" t="inlineStr">
        <is>
          <t>Monthly - Tuesday</t>
        </is>
      </c>
      <c r="J356" t="inlineStr">
        <is>
          <t>Month+1 Expiry</t>
        </is>
      </c>
      <c r="K356" s="25" t="n">
        <v>2110443</v>
      </c>
      <c r="L356" s="26" t="n">
        <v>4410.6045</v>
      </c>
      <c r="M356" s="26" t="n">
        <v>39.1595</v>
      </c>
    </row>
    <row r="357" ht="16" customHeight="1">
      <c r="A357" t="inlineStr">
        <is>
          <t>26-Nov-2025</t>
        </is>
      </c>
      <c r="B357" t="inlineStr">
        <is>
          <t>Wednesday</t>
        </is>
      </c>
      <c r="C357" t="inlineStr">
        <is>
          <t>Week4-Nov-2025</t>
        </is>
      </c>
      <c r="D357" s="78" t="n">
        <v>45962</v>
      </c>
      <c r="E357" t="inlineStr">
        <is>
          <t>Q3FY26</t>
        </is>
      </c>
      <c r="F357" t="inlineStr">
        <is>
          <t>27-Jan-2026</t>
        </is>
      </c>
      <c r="G357" t="inlineStr">
        <is>
          <t>Tuesday</t>
        </is>
      </c>
      <c r="H357" t="inlineStr">
        <is>
          <t>Monthly - Tuesday</t>
        </is>
      </c>
      <c r="I357" t="inlineStr">
        <is>
          <t>Monthly - Tuesday</t>
        </is>
      </c>
      <c r="J357" t="inlineStr">
        <is>
          <t>Month+2 Expiry</t>
        </is>
      </c>
      <c r="K357" s="25" t="n">
        <v>19811</v>
      </c>
      <c r="L357" s="26" t="n">
        <v>35.6728</v>
      </c>
      <c r="M357" s="26" t="n">
        <v>0.4469</v>
      </c>
    </row>
    <row r="358" ht="16" customHeight="1">
      <c r="A358" t="inlineStr">
        <is>
          <t>26-Nov-2025</t>
        </is>
      </c>
      <c r="B358" t="inlineStr">
        <is>
          <t>Wednesday</t>
        </is>
      </c>
      <c r="C358" t="inlineStr">
        <is>
          <t>Week4-Nov-2025</t>
        </is>
      </c>
      <c r="D358" s="78" t="n">
        <v>45962</v>
      </c>
      <c r="E358" t="inlineStr">
        <is>
          <t>Q3FY26</t>
        </is>
      </c>
      <c r="F358" t="inlineStr">
        <is>
          <t>24-Feb-2026</t>
        </is>
      </c>
      <c r="G358" t="inlineStr">
        <is>
          <t>Tuesday</t>
        </is>
      </c>
      <c r="H358" t="inlineStr">
        <is>
          <t>Monthly - Tuesday</t>
        </is>
      </c>
      <c r="I358" t="inlineStr">
        <is>
          <t>Monthly - Tuesday</t>
        </is>
      </c>
      <c r="J358" t="inlineStr">
        <is>
          <t>Month+3 Expiry</t>
        </is>
      </c>
      <c r="K358" s="25" t="n">
        <v>159</v>
      </c>
      <c r="L358" s="26" t="n">
        <v>0.28</v>
      </c>
      <c r="M358" s="26" t="n">
        <v>0.0053</v>
      </c>
    </row>
    <row r="359" ht="16" customHeight="1">
      <c r="A359" t="inlineStr">
        <is>
          <t>26-Nov-2025</t>
        </is>
      </c>
      <c r="B359" t="inlineStr">
        <is>
          <t>Wednesday</t>
        </is>
      </c>
      <c r="C359" t="inlineStr">
        <is>
          <t>Week4-Nov-2025</t>
        </is>
      </c>
      <c r="D359" s="78" t="n">
        <v>45962</v>
      </c>
      <c r="E359" t="inlineStr">
        <is>
          <t>Q3FY26</t>
        </is>
      </c>
      <c r="F359" t="inlineStr">
        <is>
          <t>31-Mar-2026</t>
        </is>
      </c>
      <c r="G359" t="inlineStr">
        <is>
          <t>Tuesday</t>
        </is>
      </c>
      <c r="H359" t="inlineStr">
        <is>
          <t>Monthly - Tuesday</t>
        </is>
      </c>
      <c r="I359" t="inlineStr">
        <is>
          <t>Monthly - Tuesday</t>
        </is>
      </c>
      <c r="J359" t="inlineStr">
        <is>
          <t>Month+4 Expiry</t>
        </is>
      </c>
      <c r="K359" s="25" t="n">
        <v>2433</v>
      </c>
      <c r="L359" s="26" t="n">
        <v>5.0532</v>
      </c>
      <c r="M359" s="26" t="n">
        <v>0.07920000000000001</v>
      </c>
    </row>
    <row r="360" ht="16" customHeight="1">
      <c r="A360" t="inlineStr">
        <is>
          <t>26-Nov-2025</t>
        </is>
      </c>
      <c r="B360" t="inlineStr">
        <is>
          <t>Wednesday</t>
        </is>
      </c>
      <c r="C360" t="inlineStr">
        <is>
          <t>Week4-Nov-2025</t>
        </is>
      </c>
      <c r="D360" s="78" t="n">
        <v>45962</v>
      </c>
      <c r="E360" t="inlineStr">
        <is>
          <t>Q3FY26</t>
        </is>
      </c>
      <c r="F360" t="inlineStr">
        <is>
          <t>30-Jun-2026</t>
        </is>
      </c>
      <c r="G360" t="inlineStr">
        <is>
          <t>Tuesday</t>
        </is>
      </c>
      <c r="H360" t="inlineStr">
        <is>
          <t>Monthly - Tuesday</t>
        </is>
      </c>
      <c r="I360" t="inlineStr">
        <is>
          <t>Monthly - Tuesday</t>
        </is>
      </c>
      <c r="J360" t="inlineStr">
        <is>
          <t>Month+7 Expiry</t>
        </is>
      </c>
      <c r="K360" s="25" t="n">
        <v>0</v>
      </c>
      <c r="L360" s="26" t="n">
        <v>0</v>
      </c>
      <c r="M360" s="26" t="n">
        <v>0</v>
      </c>
    </row>
    <row r="361" ht="16" customHeight="1">
      <c r="A361" t="inlineStr">
        <is>
          <t>26-Nov-2025</t>
        </is>
      </c>
      <c r="B361" t="inlineStr">
        <is>
          <t>Wednesday</t>
        </is>
      </c>
      <c r="C361" t="inlineStr">
        <is>
          <t>Week4-Nov-2025</t>
        </is>
      </c>
      <c r="D361" s="78" t="n">
        <v>45962</v>
      </c>
      <c r="E361" t="inlineStr">
        <is>
          <t>Q3FY26</t>
        </is>
      </c>
      <c r="F361" t="inlineStr">
        <is>
          <t>29-Sep-2026</t>
        </is>
      </c>
      <c r="G361" t="inlineStr">
        <is>
          <t>Tuesday</t>
        </is>
      </c>
      <c r="H361" t="inlineStr">
        <is>
          <t>Monthly - Tuesday</t>
        </is>
      </c>
      <c r="I361" t="inlineStr">
        <is>
          <t>Monthly - Tuesday</t>
        </is>
      </c>
      <c r="J361" t="inlineStr">
        <is>
          <t>Month+10 Expiry</t>
        </is>
      </c>
      <c r="K361" s="25" t="n">
        <v>0</v>
      </c>
      <c r="L361" s="26" t="n">
        <v>0</v>
      </c>
      <c r="M361" s="26" t="n">
        <v>0</v>
      </c>
    </row>
    <row r="362" ht="16" customHeight="1">
      <c r="A362" t="inlineStr">
        <is>
          <t>27-Nov-2025</t>
        </is>
      </c>
      <c r="B362" t="inlineStr">
        <is>
          <t>Thursday</t>
        </is>
      </c>
      <c r="C362" t="inlineStr">
        <is>
          <t>Week4-Nov-2025</t>
        </is>
      </c>
      <c r="D362" s="78" t="n">
        <v>45962</v>
      </c>
      <c r="E362" t="inlineStr">
        <is>
          <t>Q3FY26</t>
        </is>
      </c>
      <c r="F362" t="inlineStr">
        <is>
          <t>30-Dec-2025</t>
        </is>
      </c>
      <c r="G362" t="inlineStr">
        <is>
          <t>Tuesday</t>
        </is>
      </c>
      <c r="H362" t="inlineStr">
        <is>
          <t>Monthly - Tuesday</t>
        </is>
      </c>
      <c r="I362" t="inlineStr">
        <is>
          <t>Monthly - Tuesday</t>
        </is>
      </c>
      <c r="J362" t="inlineStr">
        <is>
          <t>Month+1 Expiry</t>
        </is>
      </c>
      <c r="K362" s="25" t="n">
        <v>2075050</v>
      </c>
      <c r="L362" s="26" t="n">
        <v>4355.7078</v>
      </c>
      <c r="M362" s="26" t="n">
        <v>40.5044</v>
      </c>
    </row>
    <row r="363" ht="16" customHeight="1">
      <c r="A363" t="inlineStr">
        <is>
          <t>27-Nov-2025</t>
        </is>
      </c>
      <c r="B363" t="inlineStr">
        <is>
          <t>Thursday</t>
        </is>
      </c>
      <c r="C363" t="inlineStr">
        <is>
          <t>Week4-Nov-2025</t>
        </is>
      </c>
      <c r="D363" s="78" t="n">
        <v>45962</v>
      </c>
      <c r="E363" t="inlineStr">
        <is>
          <t>Q3FY26</t>
        </is>
      </c>
      <c r="F363" t="inlineStr">
        <is>
          <t>27-Jan-2026</t>
        </is>
      </c>
      <c r="G363" t="inlineStr">
        <is>
          <t>Tuesday</t>
        </is>
      </c>
      <c r="H363" t="inlineStr">
        <is>
          <t>Monthly - Tuesday</t>
        </is>
      </c>
      <c r="I363" t="inlineStr">
        <is>
          <t>Monthly - Tuesday</t>
        </is>
      </c>
      <c r="J363" t="inlineStr">
        <is>
          <t>Month+2 Expiry</t>
        </is>
      </c>
      <c r="K363" s="25" t="n">
        <v>21635</v>
      </c>
      <c r="L363" s="26" t="n">
        <v>38.7577</v>
      </c>
      <c r="M363" s="26" t="n">
        <v>0.4778</v>
      </c>
    </row>
    <row r="364" ht="16" customHeight="1">
      <c r="A364" t="inlineStr">
        <is>
          <t>27-Nov-2025</t>
        </is>
      </c>
      <c r="B364" t="inlineStr">
        <is>
          <t>Thursday</t>
        </is>
      </c>
      <c r="C364" t="inlineStr">
        <is>
          <t>Week4-Nov-2025</t>
        </is>
      </c>
      <c r="D364" s="78" t="n">
        <v>45962</v>
      </c>
      <c r="E364" t="inlineStr">
        <is>
          <t>Q3FY26</t>
        </is>
      </c>
      <c r="F364" t="inlineStr">
        <is>
          <t>24-Feb-2026</t>
        </is>
      </c>
      <c r="G364" t="inlineStr">
        <is>
          <t>Tuesday</t>
        </is>
      </c>
      <c r="H364" t="inlineStr">
        <is>
          <t>Monthly - Tuesday</t>
        </is>
      </c>
      <c r="I364" t="inlineStr">
        <is>
          <t>Monthly - Tuesday</t>
        </is>
      </c>
      <c r="J364" t="inlineStr">
        <is>
          <t>Month+3 Expiry</t>
        </is>
      </c>
      <c r="K364" s="25" t="n">
        <v>263</v>
      </c>
      <c r="L364" s="26" t="n">
        <v>0.4715</v>
      </c>
      <c r="M364" s="26" t="n">
        <v>0.007900000000000001</v>
      </c>
    </row>
    <row r="365" ht="16" customHeight="1">
      <c r="A365" t="inlineStr">
        <is>
          <t>27-Nov-2025</t>
        </is>
      </c>
      <c r="B365" t="inlineStr">
        <is>
          <t>Thursday</t>
        </is>
      </c>
      <c r="C365" t="inlineStr">
        <is>
          <t>Week4-Nov-2025</t>
        </is>
      </c>
      <c r="D365" s="78" t="n">
        <v>45962</v>
      </c>
      <c r="E365" t="inlineStr">
        <is>
          <t>Q3FY26</t>
        </is>
      </c>
      <c r="F365" t="inlineStr">
        <is>
          <t>31-Mar-2026</t>
        </is>
      </c>
      <c r="G365" t="inlineStr">
        <is>
          <t>Tuesday</t>
        </is>
      </c>
      <c r="H365" t="inlineStr">
        <is>
          <t>Monthly - Tuesday</t>
        </is>
      </c>
      <c r="I365" t="inlineStr">
        <is>
          <t>Monthly - Tuesday</t>
        </is>
      </c>
      <c r="J365" t="inlineStr">
        <is>
          <t>Month+4 Expiry</t>
        </is>
      </c>
      <c r="K365" s="25" t="n">
        <v>1803</v>
      </c>
      <c r="L365" s="26" t="n">
        <v>3.7632</v>
      </c>
      <c r="M365" s="26" t="n">
        <v>0.0618</v>
      </c>
    </row>
    <row r="366" ht="16" customHeight="1">
      <c r="A366" t="inlineStr">
        <is>
          <t>27-Nov-2025</t>
        </is>
      </c>
      <c r="B366" t="inlineStr">
        <is>
          <t>Thursday</t>
        </is>
      </c>
      <c r="C366" t="inlineStr">
        <is>
          <t>Week4-Nov-2025</t>
        </is>
      </c>
      <c r="D366" s="78" t="n">
        <v>45962</v>
      </c>
      <c r="E366" t="inlineStr">
        <is>
          <t>Q3FY26</t>
        </is>
      </c>
      <c r="F366" t="inlineStr">
        <is>
          <t>30-Jun-2026</t>
        </is>
      </c>
      <c r="G366" t="inlineStr">
        <is>
          <t>Tuesday</t>
        </is>
      </c>
      <c r="H366" t="inlineStr">
        <is>
          <t>Monthly - Tuesday</t>
        </is>
      </c>
      <c r="I366" t="inlineStr">
        <is>
          <t>Monthly - Tuesday</t>
        </is>
      </c>
      <c r="J366" t="inlineStr">
        <is>
          <t>Month+7 Expiry</t>
        </is>
      </c>
      <c r="K366" s="25" t="n">
        <v>0</v>
      </c>
      <c r="L366" s="26" t="n">
        <v>0</v>
      </c>
      <c r="M366" s="26" t="n">
        <v>0</v>
      </c>
    </row>
    <row r="367" ht="16" customHeight="1">
      <c r="A367" t="inlineStr">
        <is>
          <t>27-Nov-2025</t>
        </is>
      </c>
      <c r="B367" t="inlineStr">
        <is>
          <t>Thursday</t>
        </is>
      </c>
      <c r="C367" t="inlineStr">
        <is>
          <t>Week4-Nov-2025</t>
        </is>
      </c>
      <c r="D367" s="78" t="n">
        <v>45962</v>
      </c>
      <c r="E367" t="inlineStr">
        <is>
          <t>Q3FY26</t>
        </is>
      </c>
      <c r="F367" t="inlineStr">
        <is>
          <t>29-Sep-2026</t>
        </is>
      </c>
      <c r="G367" t="inlineStr">
        <is>
          <t>Tuesday</t>
        </is>
      </c>
      <c r="H367" t="inlineStr">
        <is>
          <t>Monthly - Tuesday</t>
        </is>
      </c>
      <c r="I367" t="inlineStr">
        <is>
          <t>Monthly - Tuesday</t>
        </is>
      </c>
      <c r="J367" t="inlineStr">
        <is>
          <t>Month+10 Expiry</t>
        </is>
      </c>
      <c r="K367" s="25" t="n">
        <v>0</v>
      </c>
      <c r="L367" s="26" t="n">
        <v>0</v>
      </c>
      <c r="M367" s="26" t="n">
        <v>0</v>
      </c>
    </row>
    <row r="368" ht="16" customHeight="1">
      <c r="A368" t="inlineStr">
        <is>
          <t>28-Nov-2025</t>
        </is>
      </c>
      <c r="B368" t="inlineStr">
        <is>
          <t>Friday</t>
        </is>
      </c>
      <c r="C368" t="inlineStr">
        <is>
          <t>Week4-Nov-2025</t>
        </is>
      </c>
      <c r="D368" s="78" t="n">
        <v>45962</v>
      </c>
      <c r="E368" t="inlineStr">
        <is>
          <t>Q3FY26</t>
        </is>
      </c>
      <c r="F368" t="inlineStr">
        <is>
          <t>30-Dec-2025</t>
        </is>
      </c>
      <c r="G368" t="inlineStr">
        <is>
          <t>Tuesday</t>
        </is>
      </c>
      <c r="H368" t="inlineStr">
        <is>
          <t>Monthly - Tuesday</t>
        </is>
      </c>
      <c r="I368" t="inlineStr">
        <is>
          <t>Monthly - Tuesday</t>
        </is>
      </c>
      <c r="J368" t="inlineStr">
        <is>
          <t>Month+1 Expiry</t>
        </is>
      </c>
      <c r="K368" s="25" t="n">
        <v>1708304</v>
      </c>
      <c r="L368" s="26" t="n">
        <v>3582.4952</v>
      </c>
      <c r="M368" s="26" t="n">
        <v>31.6002</v>
      </c>
    </row>
    <row r="369" ht="16" customHeight="1">
      <c r="A369" t="inlineStr">
        <is>
          <t>28-Nov-2025</t>
        </is>
      </c>
      <c r="B369" t="inlineStr">
        <is>
          <t>Friday</t>
        </is>
      </c>
      <c r="C369" t="inlineStr">
        <is>
          <t>Week4-Nov-2025</t>
        </is>
      </c>
      <c r="D369" s="78" t="n">
        <v>45962</v>
      </c>
      <c r="E369" t="inlineStr">
        <is>
          <t>Q3FY26</t>
        </is>
      </c>
      <c r="F369" t="inlineStr">
        <is>
          <t>27-Jan-2026</t>
        </is>
      </c>
      <c r="G369" t="inlineStr">
        <is>
          <t>Tuesday</t>
        </is>
      </c>
      <c r="H369" t="inlineStr">
        <is>
          <t>Monthly - Tuesday</t>
        </is>
      </c>
      <c r="I369" t="inlineStr">
        <is>
          <t>Monthly - Tuesday</t>
        </is>
      </c>
      <c r="J369" t="inlineStr">
        <is>
          <t>Month+2 Expiry</t>
        </is>
      </c>
      <c r="K369" s="25" t="n">
        <v>15141</v>
      </c>
      <c r="L369" s="26" t="n">
        <v>27.3464</v>
      </c>
      <c r="M369" s="26" t="n">
        <v>0.3575</v>
      </c>
    </row>
    <row r="370" ht="16" customHeight="1">
      <c r="A370" t="inlineStr">
        <is>
          <t>28-Nov-2025</t>
        </is>
      </c>
      <c r="B370" t="inlineStr">
        <is>
          <t>Friday</t>
        </is>
      </c>
      <c r="C370" t="inlineStr">
        <is>
          <t>Week4-Nov-2025</t>
        </is>
      </c>
      <c r="D370" s="78" t="n">
        <v>45962</v>
      </c>
      <c r="E370" t="inlineStr">
        <is>
          <t>Q3FY26</t>
        </is>
      </c>
      <c r="F370" t="inlineStr">
        <is>
          <t>24-Feb-2026</t>
        </is>
      </c>
      <c r="G370" t="inlineStr">
        <is>
          <t>Tuesday</t>
        </is>
      </c>
      <c r="H370" t="inlineStr">
        <is>
          <t>Monthly - Tuesday</t>
        </is>
      </c>
      <c r="I370" t="inlineStr">
        <is>
          <t>Monthly - Tuesday</t>
        </is>
      </c>
      <c r="J370" t="inlineStr">
        <is>
          <t>Month+3 Expiry</t>
        </is>
      </c>
      <c r="K370" s="25" t="n">
        <v>254</v>
      </c>
      <c r="L370" s="26" t="n">
        <v>0.4633</v>
      </c>
      <c r="M370" s="26" t="n">
        <v>0.0089</v>
      </c>
    </row>
    <row r="371" ht="16" customHeight="1">
      <c r="A371" t="inlineStr">
        <is>
          <t>28-Nov-2025</t>
        </is>
      </c>
      <c r="B371" t="inlineStr">
        <is>
          <t>Friday</t>
        </is>
      </c>
      <c r="C371" t="inlineStr">
        <is>
          <t>Week4-Nov-2025</t>
        </is>
      </c>
      <c r="D371" s="78" t="n">
        <v>45962</v>
      </c>
      <c r="E371" t="inlineStr">
        <is>
          <t>Q3FY26</t>
        </is>
      </c>
      <c r="F371" t="inlineStr">
        <is>
          <t>31-Mar-2026</t>
        </is>
      </c>
      <c r="G371" t="inlineStr">
        <is>
          <t>Tuesday</t>
        </is>
      </c>
      <c r="H371" t="inlineStr">
        <is>
          <t>Monthly - Tuesday</t>
        </is>
      </c>
      <c r="I371" t="inlineStr">
        <is>
          <t>Monthly - Tuesday</t>
        </is>
      </c>
      <c r="J371" t="inlineStr">
        <is>
          <t>Month+4 Expiry</t>
        </is>
      </c>
      <c r="K371" s="25" t="n">
        <v>1989</v>
      </c>
      <c r="L371" s="26" t="n">
        <v>4.1247</v>
      </c>
      <c r="M371" s="26" t="n">
        <v>0.0582</v>
      </c>
    </row>
    <row r="372" ht="16" customHeight="1">
      <c r="A372" t="inlineStr">
        <is>
          <t>28-Nov-2025</t>
        </is>
      </c>
      <c r="B372" t="inlineStr">
        <is>
          <t>Friday</t>
        </is>
      </c>
      <c r="C372" t="inlineStr">
        <is>
          <t>Week4-Nov-2025</t>
        </is>
      </c>
      <c r="D372" s="78" t="n">
        <v>45962</v>
      </c>
      <c r="E372" t="inlineStr">
        <is>
          <t>Q3FY26</t>
        </is>
      </c>
      <c r="F372" t="inlineStr">
        <is>
          <t>30-Jun-2026</t>
        </is>
      </c>
      <c r="G372" t="inlineStr">
        <is>
          <t>Tuesday</t>
        </is>
      </c>
      <c r="H372" t="inlineStr">
        <is>
          <t>Monthly - Tuesday</t>
        </is>
      </c>
      <c r="I372" t="inlineStr">
        <is>
          <t>Monthly - Tuesday</t>
        </is>
      </c>
      <c r="J372" t="inlineStr">
        <is>
          <t>Month+7 Expiry</t>
        </is>
      </c>
      <c r="K372" s="25" t="n">
        <v>0</v>
      </c>
      <c r="L372" s="26" t="n">
        <v>0</v>
      </c>
      <c r="M372" s="26" t="n">
        <v>0</v>
      </c>
    </row>
    <row r="373" ht="16" customHeight="1">
      <c r="A373" t="inlineStr">
        <is>
          <t>28-Nov-2025</t>
        </is>
      </c>
      <c r="B373" t="inlineStr">
        <is>
          <t>Friday</t>
        </is>
      </c>
      <c r="C373" t="inlineStr">
        <is>
          <t>Week4-Nov-2025</t>
        </is>
      </c>
      <c r="D373" s="78" t="n">
        <v>45962</v>
      </c>
      <c r="E373" t="inlineStr">
        <is>
          <t>Q3FY26</t>
        </is>
      </c>
      <c r="F373" t="inlineStr">
        <is>
          <t>29-Sep-2026</t>
        </is>
      </c>
      <c r="G373" t="inlineStr">
        <is>
          <t>Tuesday</t>
        </is>
      </c>
      <c r="H373" t="inlineStr">
        <is>
          <t>Monthly - Tuesday</t>
        </is>
      </c>
      <c r="I373" t="inlineStr">
        <is>
          <t>Monthly - Tuesday</t>
        </is>
      </c>
      <c r="J373" t="inlineStr">
        <is>
          <t>Month+10 Expiry</t>
        </is>
      </c>
      <c r="K373" s="25" t="n">
        <v>0</v>
      </c>
      <c r="L373" s="26" t="n">
        <v>0</v>
      </c>
      <c r="M373" s="26" t="n">
        <v>0</v>
      </c>
    </row>
    <row r="374" ht="16" customHeight="1">
      <c r="A374" t="inlineStr">
        <is>
          <t>01-Dec-2025</t>
        </is>
      </c>
      <c r="B374" t="inlineStr">
        <is>
          <t>Monday</t>
        </is>
      </c>
      <c r="C374" t="inlineStr">
        <is>
          <t>Week1-Dec-2025</t>
        </is>
      </c>
      <c r="D374" s="78" t="n">
        <v>45992</v>
      </c>
      <c r="E374" t="inlineStr">
        <is>
          <t>Q3FY26</t>
        </is>
      </c>
      <c r="F374" t="inlineStr">
        <is>
          <t>30-Dec-2025</t>
        </is>
      </c>
      <c r="G374" t="inlineStr">
        <is>
          <t>Tuesday</t>
        </is>
      </c>
      <c r="H374" t="inlineStr">
        <is>
          <t>Monthly - Tuesday</t>
        </is>
      </c>
      <c r="I374" t="inlineStr">
        <is>
          <t>Monthly - Tuesday</t>
        </is>
      </c>
      <c r="J374" t="inlineStr">
        <is>
          <t>Same Month Expiry</t>
        </is>
      </c>
      <c r="K374" s="25" t="n">
        <v>2279487</v>
      </c>
      <c r="L374" s="26" t="n">
        <v>4797.7946</v>
      </c>
      <c r="M374" s="26" t="n">
        <v>40.0224</v>
      </c>
    </row>
    <row r="375" ht="16" customHeight="1">
      <c r="A375" t="inlineStr">
        <is>
          <t>01-Dec-2025</t>
        </is>
      </c>
      <c r="B375" t="inlineStr">
        <is>
          <t>Monday</t>
        </is>
      </c>
      <c r="C375" t="inlineStr">
        <is>
          <t>Week1-Dec-2025</t>
        </is>
      </c>
      <c r="D375" s="78" t="n">
        <v>45992</v>
      </c>
      <c r="E375" t="inlineStr">
        <is>
          <t>Q3FY26</t>
        </is>
      </c>
      <c r="F375" t="inlineStr">
        <is>
          <t>27-Jan-2026</t>
        </is>
      </c>
      <c r="G375" t="inlineStr">
        <is>
          <t>Tuesday</t>
        </is>
      </c>
      <c r="H375" t="inlineStr">
        <is>
          <t>Monthly - Tuesday</t>
        </is>
      </c>
      <c r="I375" t="inlineStr">
        <is>
          <t>Monthly - Tuesday</t>
        </is>
      </c>
      <c r="J375" t="inlineStr">
        <is>
          <t>Month+1 Expiry</t>
        </is>
      </c>
      <c r="K375" s="25" t="n">
        <v>24325</v>
      </c>
      <c r="L375" s="26" t="n">
        <v>44.2685</v>
      </c>
      <c r="M375" s="26" t="n">
        <v>0.5029</v>
      </c>
    </row>
    <row r="376" ht="16" customHeight="1">
      <c r="A376" t="inlineStr">
        <is>
          <t>01-Dec-2025</t>
        </is>
      </c>
      <c r="B376" t="inlineStr">
        <is>
          <t>Monday</t>
        </is>
      </c>
      <c r="C376" t="inlineStr">
        <is>
          <t>Week1-Dec-2025</t>
        </is>
      </c>
      <c r="D376" s="78" t="n">
        <v>45992</v>
      </c>
      <c r="E376" t="inlineStr">
        <is>
          <t>Q3FY26</t>
        </is>
      </c>
      <c r="F376" t="inlineStr">
        <is>
          <t>24-Feb-2026</t>
        </is>
      </c>
      <c r="G376" t="inlineStr">
        <is>
          <t>Tuesday</t>
        </is>
      </c>
      <c r="H376" t="inlineStr">
        <is>
          <t>Monthly - Tuesday</t>
        </is>
      </c>
      <c r="I376" t="inlineStr">
        <is>
          <t>Monthly - Tuesday</t>
        </is>
      </c>
      <c r="J376" t="inlineStr">
        <is>
          <t>Month+2 Expiry</t>
        </is>
      </c>
      <c r="K376" s="25" t="n">
        <v>1275</v>
      </c>
      <c r="L376" s="26" t="n">
        <v>2.2589</v>
      </c>
      <c r="M376" s="26" t="n">
        <v>0.0274</v>
      </c>
    </row>
    <row r="377" ht="16" customHeight="1">
      <c r="A377" t="inlineStr">
        <is>
          <t>01-Dec-2025</t>
        </is>
      </c>
      <c r="B377" t="inlineStr">
        <is>
          <t>Monday</t>
        </is>
      </c>
      <c r="C377" t="inlineStr">
        <is>
          <t>Week1-Dec-2025</t>
        </is>
      </c>
      <c r="D377" s="78" t="n">
        <v>45992</v>
      </c>
      <c r="E377" t="inlineStr">
        <is>
          <t>Q3FY26</t>
        </is>
      </c>
      <c r="F377" t="inlineStr">
        <is>
          <t>31-Mar-2026</t>
        </is>
      </c>
      <c r="G377" t="inlineStr">
        <is>
          <t>Tuesday</t>
        </is>
      </c>
      <c r="H377" t="inlineStr">
        <is>
          <t>Monthly - Tuesday</t>
        </is>
      </c>
      <c r="I377" t="inlineStr">
        <is>
          <t>Monthly - Tuesday</t>
        </is>
      </c>
      <c r="J377" t="inlineStr">
        <is>
          <t>Month+3 Expiry</t>
        </is>
      </c>
      <c r="K377" s="25" t="n">
        <v>8334</v>
      </c>
      <c r="L377" s="26" t="n">
        <v>17.1655</v>
      </c>
      <c r="M377" s="26" t="n">
        <v>0.2028</v>
      </c>
    </row>
    <row r="378" ht="16" customHeight="1">
      <c r="A378" t="inlineStr">
        <is>
          <t>01-Dec-2025</t>
        </is>
      </c>
      <c r="B378" t="inlineStr">
        <is>
          <t>Monday</t>
        </is>
      </c>
      <c r="C378" t="inlineStr">
        <is>
          <t>Week1-Dec-2025</t>
        </is>
      </c>
      <c r="D378" s="78" t="n">
        <v>45992</v>
      </c>
      <c r="E378" t="inlineStr">
        <is>
          <t>Q3FY26</t>
        </is>
      </c>
      <c r="F378" t="inlineStr">
        <is>
          <t>30-Jun-2026</t>
        </is>
      </c>
      <c r="G378" t="inlineStr">
        <is>
          <t>Tuesday</t>
        </is>
      </c>
      <c r="H378" t="inlineStr">
        <is>
          <t>Monthly - Tuesday</t>
        </is>
      </c>
      <c r="I378" t="inlineStr">
        <is>
          <t>Monthly - Tuesday</t>
        </is>
      </c>
      <c r="J378" t="inlineStr">
        <is>
          <t>Month+6 Expiry</t>
        </is>
      </c>
      <c r="K378" s="25" t="n">
        <v>0</v>
      </c>
      <c r="L378" s="26" t="n">
        <v>0</v>
      </c>
      <c r="M378" s="26" t="n">
        <v>0</v>
      </c>
    </row>
    <row r="379" ht="16" customHeight="1">
      <c r="A379" t="inlineStr">
        <is>
          <t>01-Dec-2025</t>
        </is>
      </c>
      <c r="B379" t="inlineStr">
        <is>
          <t>Monday</t>
        </is>
      </c>
      <c r="C379" t="inlineStr">
        <is>
          <t>Week1-Dec-2025</t>
        </is>
      </c>
      <c r="D379" s="78" t="n">
        <v>45992</v>
      </c>
      <c r="E379" t="inlineStr">
        <is>
          <t>Q3FY26</t>
        </is>
      </c>
      <c r="F379" t="inlineStr">
        <is>
          <t>29-Sep-2026</t>
        </is>
      </c>
      <c r="G379" t="inlineStr">
        <is>
          <t>Tuesday</t>
        </is>
      </c>
      <c r="H379" t="inlineStr">
        <is>
          <t>Monthly - Tuesday</t>
        </is>
      </c>
      <c r="I379" t="inlineStr">
        <is>
          <t>Monthly - Tuesday</t>
        </is>
      </c>
      <c r="J379" t="inlineStr">
        <is>
          <t>Month+9 Expiry</t>
        </is>
      </c>
      <c r="K379" s="25" t="n">
        <v>0</v>
      </c>
      <c r="L379" s="26" t="n">
        <v>0</v>
      </c>
      <c r="M379" s="26" t="n">
        <v>0</v>
      </c>
    </row>
    <row r="380" ht="16" customHeight="1">
      <c r="A380" t="inlineStr">
        <is>
          <t>02-Dec-2025</t>
        </is>
      </c>
      <c r="B380" t="inlineStr">
        <is>
          <t>Tuesday</t>
        </is>
      </c>
      <c r="C380" t="inlineStr">
        <is>
          <t>Week1-Dec-2025</t>
        </is>
      </c>
      <c r="D380" s="78" t="n">
        <v>45992</v>
      </c>
      <c r="E380" t="inlineStr">
        <is>
          <t>Q3FY26</t>
        </is>
      </c>
      <c r="F380" t="inlineStr">
        <is>
          <t>30-Dec-2025</t>
        </is>
      </c>
      <c r="G380" t="inlineStr">
        <is>
          <t>Tuesday</t>
        </is>
      </c>
      <c r="H380" t="inlineStr">
        <is>
          <t>Monthly - Tuesday</t>
        </is>
      </c>
      <c r="I380" t="inlineStr">
        <is>
          <t>Monthly - Tuesday</t>
        </is>
      </c>
      <c r="J380" t="inlineStr">
        <is>
          <t>Same Month Expiry</t>
        </is>
      </c>
      <c r="K380" s="25" t="n">
        <v>1916768</v>
      </c>
      <c r="L380" s="26" t="n">
        <v>4007.9853</v>
      </c>
      <c r="M380" s="26" t="n">
        <v>34.1548</v>
      </c>
    </row>
    <row r="381" ht="16" customHeight="1">
      <c r="A381" t="inlineStr">
        <is>
          <t>02-Dec-2025</t>
        </is>
      </c>
      <c r="B381" t="inlineStr">
        <is>
          <t>Tuesday</t>
        </is>
      </c>
      <c r="C381" t="inlineStr">
        <is>
          <t>Week1-Dec-2025</t>
        </is>
      </c>
      <c r="D381" s="78" t="n">
        <v>45992</v>
      </c>
      <c r="E381" t="inlineStr">
        <is>
          <t>Q3FY26</t>
        </is>
      </c>
      <c r="F381" t="inlineStr">
        <is>
          <t>27-Jan-2026</t>
        </is>
      </c>
      <c r="G381" t="inlineStr">
        <is>
          <t>Tuesday</t>
        </is>
      </c>
      <c r="H381" t="inlineStr">
        <is>
          <t>Monthly - Tuesday</t>
        </is>
      </c>
      <c r="I381" t="inlineStr">
        <is>
          <t>Monthly - Tuesday</t>
        </is>
      </c>
      <c r="J381" t="inlineStr">
        <is>
          <t>Month+1 Expiry</t>
        </is>
      </c>
      <c r="K381" s="25" t="n">
        <v>18854</v>
      </c>
      <c r="L381" s="26" t="n">
        <v>34.3195</v>
      </c>
      <c r="M381" s="26" t="n">
        <v>0.4161</v>
      </c>
    </row>
    <row r="382" ht="16" customHeight="1">
      <c r="A382" t="inlineStr">
        <is>
          <t>02-Dec-2025</t>
        </is>
      </c>
      <c r="B382" t="inlineStr">
        <is>
          <t>Tuesday</t>
        </is>
      </c>
      <c r="C382" t="inlineStr">
        <is>
          <t>Week1-Dec-2025</t>
        </is>
      </c>
      <c r="D382" s="78" t="n">
        <v>45992</v>
      </c>
      <c r="E382" t="inlineStr">
        <is>
          <t>Q3FY26</t>
        </is>
      </c>
      <c r="F382" t="inlineStr">
        <is>
          <t>24-Feb-2026</t>
        </is>
      </c>
      <c r="G382" t="inlineStr">
        <is>
          <t>Tuesday</t>
        </is>
      </c>
      <c r="H382" t="inlineStr">
        <is>
          <t>Monthly - Tuesday</t>
        </is>
      </c>
      <c r="I382" t="inlineStr">
        <is>
          <t>Monthly - Tuesday</t>
        </is>
      </c>
      <c r="J382" t="inlineStr">
        <is>
          <t>Month+2 Expiry</t>
        </is>
      </c>
      <c r="K382" s="25" t="n">
        <v>971</v>
      </c>
      <c r="L382" s="26" t="n">
        <v>1.7424</v>
      </c>
      <c r="M382" s="26" t="n">
        <v>0.0222</v>
      </c>
    </row>
    <row r="383" ht="16" customHeight="1">
      <c r="A383" t="inlineStr">
        <is>
          <t>02-Dec-2025</t>
        </is>
      </c>
      <c r="B383" t="inlineStr">
        <is>
          <t>Tuesday</t>
        </is>
      </c>
      <c r="C383" t="inlineStr">
        <is>
          <t>Week1-Dec-2025</t>
        </is>
      </c>
      <c r="D383" s="78" t="n">
        <v>45992</v>
      </c>
      <c r="E383" t="inlineStr">
        <is>
          <t>Q3FY26</t>
        </is>
      </c>
      <c r="F383" t="inlineStr">
        <is>
          <t>31-Mar-2026</t>
        </is>
      </c>
      <c r="G383" t="inlineStr">
        <is>
          <t>Tuesday</t>
        </is>
      </c>
      <c r="H383" t="inlineStr">
        <is>
          <t>Monthly - Tuesday</t>
        </is>
      </c>
      <c r="I383" t="inlineStr">
        <is>
          <t>Monthly - Tuesday</t>
        </is>
      </c>
      <c r="J383" t="inlineStr">
        <is>
          <t>Month+3 Expiry</t>
        </is>
      </c>
      <c r="K383" s="25" t="n">
        <v>1683</v>
      </c>
      <c r="L383" s="26" t="n">
        <v>3.5467</v>
      </c>
      <c r="M383" s="26" t="n">
        <v>0.0689</v>
      </c>
    </row>
    <row r="384" ht="16" customHeight="1">
      <c r="A384" t="inlineStr">
        <is>
          <t>02-Dec-2025</t>
        </is>
      </c>
      <c r="B384" t="inlineStr">
        <is>
          <t>Tuesday</t>
        </is>
      </c>
      <c r="C384" t="inlineStr">
        <is>
          <t>Week1-Dec-2025</t>
        </is>
      </c>
      <c r="D384" s="78" t="n">
        <v>45992</v>
      </c>
      <c r="E384" t="inlineStr">
        <is>
          <t>Q3FY26</t>
        </is>
      </c>
      <c r="F384" t="inlineStr">
        <is>
          <t>30-Jun-2026</t>
        </is>
      </c>
      <c r="G384" t="inlineStr">
        <is>
          <t>Tuesday</t>
        </is>
      </c>
      <c r="H384" t="inlineStr">
        <is>
          <t>Monthly - Tuesday</t>
        </is>
      </c>
      <c r="I384" t="inlineStr">
        <is>
          <t>Monthly - Tuesday</t>
        </is>
      </c>
      <c r="J384" t="inlineStr">
        <is>
          <t>Month+6 Expiry</t>
        </is>
      </c>
      <c r="K384" s="25" t="n">
        <v>0</v>
      </c>
      <c r="L384" s="26" t="n">
        <v>0</v>
      </c>
      <c r="M384" s="26" t="n">
        <v>0</v>
      </c>
    </row>
    <row r="385" ht="16" customHeight="1">
      <c r="A385" t="inlineStr">
        <is>
          <t>02-Dec-2025</t>
        </is>
      </c>
      <c r="B385" t="inlineStr">
        <is>
          <t>Tuesday</t>
        </is>
      </c>
      <c r="C385" t="inlineStr">
        <is>
          <t>Week1-Dec-2025</t>
        </is>
      </c>
      <c r="D385" s="78" t="n">
        <v>45992</v>
      </c>
      <c r="E385" t="inlineStr">
        <is>
          <t>Q3FY26</t>
        </is>
      </c>
      <c r="F385" t="inlineStr">
        <is>
          <t>29-Sep-2026</t>
        </is>
      </c>
      <c r="G385" t="inlineStr">
        <is>
          <t>Tuesday</t>
        </is>
      </c>
      <c r="H385" t="inlineStr">
        <is>
          <t>Monthly - Tuesday</t>
        </is>
      </c>
      <c r="I385" t="inlineStr">
        <is>
          <t>Monthly - Tuesday</t>
        </is>
      </c>
      <c r="J385" t="inlineStr">
        <is>
          <t>Month+9 Expiry</t>
        </is>
      </c>
      <c r="K385" s="25" t="n">
        <v>0</v>
      </c>
      <c r="L385" s="26" t="n">
        <v>0</v>
      </c>
      <c r="M385" s="26" t="n">
        <v>0</v>
      </c>
    </row>
    <row r="386" ht="16" customHeight="1">
      <c r="A386" t="inlineStr">
        <is>
          <t>03-Dec-2025</t>
        </is>
      </c>
      <c r="B386" t="inlineStr">
        <is>
          <t>Wednesday</t>
        </is>
      </c>
      <c r="C386" t="inlineStr">
        <is>
          <t>Week1-Dec-2025</t>
        </is>
      </c>
      <c r="D386" s="78" t="n">
        <v>45992</v>
      </c>
      <c r="E386" t="inlineStr">
        <is>
          <t>Q3FY26</t>
        </is>
      </c>
      <c r="F386" t="inlineStr">
        <is>
          <t>30-Dec-2025</t>
        </is>
      </c>
      <c r="G386" t="inlineStr">
        <is>
          <t>Tuesday</t>
        </is>
      </c>
      <c r="H386" t="inlineStr">
        <is>
          <t>Monthly - Tuesday</t>
        </is>
      </c>
      <c r="I386" t="inlineStr">
        <is>
          <t>Monthly - Tuesday</t>
        </is>
      </c>
      <c r="J386" t="inlineStr">
        <is>
          <t>Same Month Expiry</t>
        </is>
      </c>
      <c r="K386" s="25" t="n">
        <v>2431052</v>
      </c>
      <c r="L386" s="26" t="n">
        <v>5070.0182</v>
      </c>
      <c r="M386" s="26" t="n">
        <v>40.2407</v>
      </c>
    </row>
    <row r="387" ht="16" customHeight="1">
      <c r="A387" t="inlineStr">
        <is>
          <t>03-Dec-2025</t>
        </is>
      </c>
      <c r="B387" t="inlineStr">
        <is>
          <t>Wednesday</t>
        </is>
      </c>
      <c r="C387" t="inlineStr">
        <is>
          <t>Week1-Dec-2025</t>
        </is>
      </c>
      <c r="D387" s="78" t="n">
        <v>45992</v>
      </c>
      <c r="E387" t="inlineStr">
        <is>
          <t>Q3FY26</t>
        </is>
      </c>
      <c r="F387" t="inlineStr">
        <is>
          <t>27-Jan-2026</t>
        </is>
      </c>
      <c r="G387" t="inlineStr">
        <is>
          <t>Tuesday</t>
        </is>
      </c>
      <c r="H387" t="inlineStr">
        <is>
          <t>Monthly - Tuesday</t>
        </is>
      </c>
      <c r="I387" t="inlineStr">
        <is>
          <t>Monthly - Tuesday</t>
        </is>
      </c>
      <c r="J387" t="inlineStr">
        <is>
          <t>Month+1 Expiry</t>
        </is>
      </c>
      <c r="K387" s="25" t="n">
        <v>29815</v>
      </c>
      <c r="L387" s="26" t="n">
        <v>54.0005</v>
      </c>
      <c r="M387" s="26" t="n">
        <v>0.549</v>
      </c>
    </row>
    <row r="388" ht="16" customHeight="1">
      <c r="A388" t="inlineStr">
        <is>
          <t>03-Dec-2025</t>
        </is>
      </c>
      <c r="B388" t="inlineStr">
        <is>
          <t>Wednesday</t>
        </is>
      </c>
      <c r="C388" t="inlineStr">
        <is>
          <t>Week1-Dec-2025</t>
        </is>
      </c>
      <c r="D388" s="78" t="n">
        <v>45992</v>
      </c>
      <c r="E388" t="inlineStr">
        <is>
          <t>Q3FY26</t>
        </is>
      </c>
      <c r="F388" t="inlineStr">
        <is>
          <t>24-Feb-2026</t>
        </is>
      </c>
      <c r="G388" t="inlineStr">
        <is>
          <t>Tuesday</t>
        </is>
      </c>
      <c r="H388" t="inlineStr">
        <is>
          <t>Monthly - Tuesday</t>
        </is>
      </c>
      <c r="I388" t="inlineStr">
        <is>
          <t>Monthly - Tuesday</t>
        </is>
      </c>
      <c r="J388" t="inlineStr">
        <is>
          <t>Month+2 Expiry</t>
        </is>
      </c>
      <c r="K388" s="25" t="n">
        <v>1192</v>
      </c>
      <c r="L388" s="26" t="n">
        <v>2.1194</v>
      </c>
      <c r="M388" s="26" t="n">
        <v>0.024</v>
      </c>
    </row>
    <row r="389" ht="16" customHeight="1">
      <c r="A389" t="inlineStr">
        <is>
          <t>03-Dec-2025</t>
        </is>
      </c>
      <c r="B389" t="inlineStr">
        <is>
          <t>Wednesday</t>
        </is>
      </c>
      <c r="C389" t="inlineStr">
        <is>
          <t>Week1-Dec-2025</t>
        </is>
      </c>
      <c r="D389" s="78" t="n">
        <v>45992</v>
      </c>
      <c r="E389" t="inlineStr">
        <is>
          <t>Q3FY26</t>
        </is>
      </c>
      <c r="F389" t="inlineStr">
        <is>
          <t>31-Mar-2026</t>
        </is>
      </c>
      <c r="G389" t="inlineStr">
        <is>
          <t>Tuesday</t>
        </is>
      </c>
      <c r="H389" t="inlineStr">
        <is>
          <t>Monthly - Tuesday</t>
        </is>
      </c>
      <c r="I389" t="inlineStr">
        <is>
          <t>Monthly - Tuesday</t>
        </is>
      </c>
      <c r="J389" t="inlineStr">
        <is>
          <t>Month+3 Expiry</t>
        </is>
      </c>
      <c r="K389" s="25" t="n">
        <v>2903</v>
      </c>
      <c r="L389" s="26" t="n">
        <v>6.0395</v>
      </c>
      <c r="M389" s="26" t="n">
        <v>0.0977</v>
      </c>
    </row>
    <row r="390" ht="16" customHeight="1">
      <c r="A390" t="inlineStr">
        <is>
          <t>03-Dec-2025</t>
        </is>
      </c>
      <c r="B390" t="inlineStr">
        <is>
          <t>Wednesday</t>
        </is>
      </c>
      <c r="C390" t="inlineStr">
        <is>
          <t>Week1-Dec-2025</t>
        </is>
      </c>
      <c r="D390" s="78" t="n">
        <v>45992</v>
      </c>
      <c r="E390" t="inlineStr">
        <is>
          <t>Q3FY26</t>
        </is>
      </c>
      <c r="F390" t="inlineStr">
        <is>
          <t>30-Jun-2026</t>
        </is>
      </c>
      <c r="G390" t="inlineStr">
        <is>
          <t>Tuesday</t>
        </is>
      </c>
      <c r="H390" t="inlineStr">
        <is>
          <t>Monthly - Tuesday</t>
        </is>
      </c>
      <c r="I390" t="inlineStr">
        <is>
          <t>Monthly - Tuesday</t>
        </is>
      </c>
      <c r="J390" t="inlineStr">
        <is>
          <t>Month+6 Expiry</t>
        </is>
      </c>
      <c r="K390" s="25" t="n">
        <v>0</v>
      </c>
      <c r="L390" s="26" t="n">
        <v>0</v>
      </c>
      <c r="M390" s="26" t="n">
        <v>0</v>
      </c>
    </row>
    <row r="391" ht="16" customHeight="1">
      <c r="A391" t="inlineStr">
        <is>
          <t>03-Dec-2025</t>
        </is>
      </c>
      <c r="B391" t="inlineStr">
        <is>
          <t>Wednesday</t>
        </is>
      </c>
      <c r="C391" t="inlineStr">
        <is>
          <t>Week1-Dec-2025</t>
        </is>
      </c>
      <c r="D391" s="78" t="n">
        <v>45992</v>
      </c>
      <c r="E391" t="inlineStr">
        <is>
          <t>Q3FY26</t>
        </is>
      </c>
      <c r="F391" t="inlineStr">
        <is>
          <t>29-Sep-2026</t>
        </is>
      </c>
      <c r="G391" t="inlineStr">
        <is>
          <t>Tuesday</t>
        </is>
      </c>
      <c r="H391" t="inlineStr">
        <is>
          <t>Monthly - Tuesday</t>
        </is>
      </c>
      <c r="I391" t="inlineStr">
        <is>
          <t>Monthly - Tuesday</t>
        </is>
      </c>
      <c r="J391" t="inlineStr">
        <is>
          <t>Month+9 Expiry</t>
        </is>
      </c>
      <c r="K391" s="25" t="n">
        <v>0</v>
      </c>
      <c r="L391" s="26" t="n">
        <v>0</v>
      </c>
      <c r="M391" s="26" t="n">
        <v>0</v>
      </c>
    </row>
    <row r="392" ht="16" customHeight="1">
      <c r="A392" t="inlineStr">
        <is>
          <t>04-Dec-2025</t>
        </is>
      </c>
      <c r="B392" t="inlineStr">
        <is>
          <t>Thursday</t>
        </is>
      </c>
      <c r="C392" t="inlineStr">
        <is>
          <t>Week1-Dec-2025</t>
        </is>
      </c>
      <c r="D392" s="78" t="n">
        <v>45992</v>
      </c>
      <c r="E392" t="inlineStr">
        <is>
          <t>Q3FY26</t>
        </is>
      </c>
      <c r="F392" t="inlineStr">
        <is>
          <t>30-Dec-2025</t>
        </is>
      </c>
      <c r="G392" t="inlineStr">
        <is>
          <t>Tuesday</t>
        </is>
      </c>
      <c r="H392" t="inlineStr">
        <is>
          <t>Monthly - Tuesday</t>
        </is>
      </c>
      <c r="I392" t="inlineStr">
        <is>
          <t>Monthly - Tuesday</t>
        </is>
      </c>
      <c r="J392" t="inlineStr">
        <is>
          <t>Same Month Expiry</t>
        </is>
      </c>
      <c r="K392" s="25" t="n">
        <v>1959814</v>
      </c>
      <c r="L392" s="26" t="n">
        <v>4089.3638</v>
      </c>
      <c r="M392" s="26" t="n">
        <v>32.9776</v>
      </c>
    </row>
    <row r="393" ht="16" customHeight="1">
      <c r="A393" t="inlineStr">
        <is>
          <t>04-Dec-2025</t>
        </is>
      </c>
      <c r="B393" t="inlineStr">
        <is>
          <t>Thursday</t>
        </is>
      </c>
      <c r="C393" t="inlineStr">
        <is>
          <t>Week1-Dec-2025</t>
        </is>
      </c>
      <c r="D393" s="78" t="n">
        <v>45992</v>
      </c>
      <c r="E393" t="inlineStr">
        <is>
          <t>Q3FY26</t>
        </is>
      </c>
      <c r="F393" t="inlineStr">
        <is>
          <t>27-Jan-2026</t>
        </is>
      </c>
      <c r="G393" t="inlineStr">
        <is>
          <t>Tuesday</t>
        </is>
      </c>
      <c r="H393" t="inlineStr">
        <is>
          <t>Monthly - Tuesday</t>
        </is>
      </c>
      <c r="I393" t="inlineStr">
        <is>
          <t>Monthly - Tuesday</t>
        </is>
      </c>
      <c r="J393" t="inlineStr">
        <is>
          <t>Month+1 Expiry</t>
        </is>
      </c>
      <c r="K393" s="25" t="n">
        <v>16349</v>
      </c>
      <c r="L393" s="26" t="n">
        <v>29.5948</v>
      </c>
      <c r="M393" s="26" t="n">
        <v>0.3239</v>
      </c>
    </row>
    <row r="394" ht="16" customHeight="1">
      <c r="A394" t="inlineStr">
        <is>
          <t>04-Dec-2025</t>
        </is>
      </c>
      <c r="B394" t="inlineStr">
        <is>
          <t>Thursday</t>
        </is>
      </c>
      <c r="C394" t="inlineStr">
        <is>
          <t>Week1-Dec-2025</t>
        </is>
      </c>
      <c r="D394" s="78" t="n">
        <v>45992</v>
      </c>
      <c r="E394" t="inlineStr">
        <is>
          <t>Q3FY26</t>
        </is>
      </c>
      <c r="F394" t="inlineStr">
        <is>
          <t>24-Feb-2026</t>
        </is>
      </c>
      <c r="G394" t="inlineStr">
        <is>
          <t>Tuesday</t>
        </is>
      </c>
      <c r="H394" t="inlineStr">
        <is>
          <t>Monthly - Tuesday</t>
        </is>
      </c>
      <c r="I394" t="inlineStr">
        <is>
          <t>Monthly - Tuesday</t>
        </is>
      </c>
      <c r="J394" t="inlineStr">
        <is>
          <t>Month+2 Expiry</t>
        </is>
      </c>
      <c r="K394" s="25" t="n">
        <v>1569</v>
      </c>
      <c r="L394" s="26" t="n">
        <v>2.8635</v>
      </c>
      <c r="M394" s="26" t="n">
        <v>0.0336</v>
      </c>
    </row>
    <row r="395" ht="16" customHeight="1">
      <c r="A395" t="inlineStr">
        <is>
          <t>04-Dec-2025</t>
        </is>
      </c>
      <c r="B395" t="inlineStr">
        <is>
          <t>Thursday</t>
        </is>
      </c>
      <c r="C395" t="inlineStr">
        <is>
          <t>Week1-Dec-2025</t>
        </is>
      </c>
      <c r="D395" s="78" t="n">
        <v>45992</v>
      </c>
      <c r="E395" t="inlineStr">
        <is>
          <t>Q3FY26</t>
        </is>
      </c>
      <c r="F395" t="inlineStr">
        <is>
          <t>31-Mar-2026</t>
        </is>
      </c>
      <c r="G395" t="inlineStr">
        <is>
          <t>Tuesday</t>
        </is>
      </c>
      <c r="H395" t="inlineStr">
        <is>
          <t>Monthly - Tuesday</t>
        </is>
      </c>
      <c r="I395" t="inlineStr">
        <is>
          <t>Monthly - Tuesday</t>
        </is>
      </c>
      <c r="J395" t="inlineStr">
        <is>
          <t>Month+3 Expiry</t>
        </is>
      </c>
      <c r="K395" s="25" t="n">
        <v>1050</v>
      </c>
      <c r="L395" s="26" t="n">
        <v>2.188</v>
      </c>
      <c r="M395" s="26" t="n">
        <v>0.0351</v>
      </c>
    </row>
    <row r="396" ht="16" customHeight="1">
      <c r="A396" t="inlineStr">
        <is>
          <t>04-Dec-2025</t>
        </is>
      </c>
      <c r="B396" t="inlineStr">
        <is>
          <t>Thursday</t>
        </is>
      </c>
      <c r="C396" t="inlineStr">
        <is>
          <t>Week1-Dec-2025</t>
        </is>
      </c>
      <c r="D396" s="78" t="n">
        <v>45992</v>
      </c>
      <c r="E396" t="inlineStr">
        <is>
          <t>Q3FY26</t>
        </is>
      </c>
      <c r="F396" t="inlineStr">
        <is>
          <t>30-Jun-2026</t>
        </is>
      </c>
      <c r="G396" t="inlineStr">
        <is>
          <t>Tuesday</t>
        </is>
      </c>
      <c r="H396" t="inlineStr">
        <is>
          <t>Monthly - Tuesday</t>
        </is>
      </c>
      <c r="I396" t="inlineStr">
        <is>
          <t>Monthly - Tuesday</t>
        </is>
      </c>
      <c r="J396" t="inlineStr">
        <is>
          <t>Month+6 Expiry</t>
        </is>
      </c>
      <c r="K396" s="25" t="n">
        <v>0</v>
      </c>
      <c r="L396" s="26" t="n">
        <v>0</v>
      </c>
      <c r="M396" s="26" t="n">
        <v>0</v>
      </c>
    </row>
    <row r="397" ht="16" customHeight="1">
      <c r="A397" t="inlineStr">
        <is>
          <t>04-Dec-2025</t>
        </is>
      </c>
      <c r="B397" t="inlineStr">
        <is>
          <t>Thursday</t>
        </is>
      </c>
      <c r="C397" t="inlineStr">
        <is>
          <t>Week1-Dec-2025</t>
        </is>
      </c>
      <c r="D397" s="78" t="n">
        <v>45992</v>
      </c>
      <c r="E397" t="inlineStr">
        <is>
          <t>Q3FY26</t>
        </is>
      </c>
      <c r="F397" t="inlineStr">
        <is>
          <t>29-Sep-2026</t>
        </is>
      </c>
      <c r="G397" t="inlineStr">
        <is>
          <t>Tuesday</t>
        </is>
      </c>
      <c r="H397" t="inlineStr">
        <is>
          <t>Monthly - Tuesday</t>
        </is>
      </c>
      <c r="I397" t="inlineStr">
        <is>
          <t>Monthly - Tuesday</t>
        </is>
      </c>
      <c r="J397" t="inlineStr">
        <is>
          <t>Month+9 Expiry</t>
        </is>
      </c>
      <c r="K397" s="25" t="n">
        <v>0</v>
      </c>
      <c r="L397" s="26" t="n">
        <v>0</v>
      </c>
      <c r="M397" s="26" t="n">
        <v>0</v>
      </c>
    </row>
    <row r="398" ht="16" customHeight="1">
      <c r="A398" t="inlineStr">
        <is>
          <t>05-Dec-2025</t>
        </is>
      </c>
      <c r="B398" t="inlineStr">
        <is>
          <t>Friday</t>
        </is>
      </c>
      <c r="C398" t="inlineStr">
        <is>
          <t>Week1-Dec-2025</t>
        </is>
      </c>
      <c r="D398" s="78" t="n">
        <v>45992</v>
      </c>
      <c r="E398" t="inlineStr">
        <is>
          <t>Q3FY26</t>
        </is>
      </c>
      <c r="F398" t="inlineStr">
        <is>
          <t>30-Dec-2025</t>
        </is>
      </c>
      <c r="G398" t="inlineStr">
        <is>
          <t>Tuesday</t>
        </is>
      </c>
      <c r="H398" t="inlineStr">
        <is>
          <t>Monthly - Tuesday</t>
        </is>
      </c>
      <c r="I398" t="inlineStr">
        <is>
          <t>Monthly - Tuesday</t>
        </is>
      </c>
      <c r="J398" t="inlineStr">
        <is>
          <t>Same Month Expiry</t>
        </is>
      </c>
      <c r="K398" s="25" t="n">
        <v>3058190</v>
      </c>
      <c r="L398" s="26" t="n">
        <v>6396.9837</v>
      </c>
      <c r="M398" s="26" t="n">
        <v>46.9468</v>
      </c>
    </row>
    <row r="399" ht="16" customHeight="1">
      <c r="A399" t="inlineStr">
        <is>
          <t>05-Dec-2025</t>
        </is>
      </c>
      <c r="B399" t="inlineStr">
        <is>
          <t>Friday</t>
        </is>
      </c>
      <c r="C399" t="inlineStr">
        <is>
          <t>Week1-Dec-2025</t>
        </is>
      </c>
      <c r="D399" s="78" t="n">
        <v>45992</v>
      </c>
      <c r="E399" t="inlineStr">
        <is>
          <t>Q3FY26</t>
        </is>
      </c>
      <c r="F399" t="inlineStr">
        <is>
          <t>27-Jan-2026</t>
        </is>
      </c>
      <c r="G399" t="inlineStr">
        <is>
          <t>Tuesday</t>
        </is>
      </c>
      <c r="H399" t="inlineStr">
        <is>
          <t>Monthly - Tuesday</t>
        </is>
      </c>
      <c r="I399" t="inlineStr">
        <is>
          <t>Monthly - Tuesday</t>
        </is>
      </c>
      <c r="J399" t="inlineStr">
        <is>
          <t>Month+1 Expiry</t>
        </is>
      </c>
      <c r="K399" s="25" t="n">
        <v>53615</v>
      </c>
      <c r="L399" s="26" t="n">
        <v>95.95189999999999</v>
      </c>
      <c r="M399" s="26" t="n">
        <v>0.9323</v>
      </c>
    </row>
    <row r="400" ht="16" customHeight="1">
      <c r="A400" t="inlineStr">
        <is>
          <t>05-Dec-2025</t>
        </is>
      </c>
      <c r="B400" t="inlineStr">
        <is>
          <t>Friday</t>
        </is>
      </c>
      <c r="C400" t="inlineStr">
        <is>
          <t>Week1-Dec-2025</t>
        </is>
      </c>
      <c r="D400" s="78" t="n">
        <v>45992</v>
      </c>
      <c r="E400" t="inlineStr">
        <is>
          <t>Q3FY26</t>
        </is>
      </c>
      <c r="F400" t="inlineStr">
        <is>
          <t>24-Feb-2026</t>
        </is>
      </c>
      <c r="G400" t="inlineStr">
        <is>
          <t>Tuesday</t>
        </is>
      </c>
      <c r="H400" t="inlineStr">
        <is>
          <t>Monthly - Tuesday</t>
        </is>
      </c>
      <c r="I400" t="inlineStr">
        <is>
          <t>Monthly - Tuesday</t>
        </is>
      </c>
      <c r="J400" t="inlineStr">
        <is>
          <t>Month+2 Expiry</t>
        </is>
      </c>
      <c r="K400" s="25" t="n">
        <v>1466</v>
      </c>
      <c r="L400" s="26" t="n">
        <v>2.6098</v>
      </c>
      <c r="M400" s="26" t="n">
        <v>0.0268</v>
      </c>
    </row>
    <row r="401" ht="16" customHeight="1">
      <c r="A401" t="inlineStr">
        <is>
          <t>05-Dec-2025</t>
        </is>
      </c>
      <c r="B401" t="inlineStr">
        <is>
          <t>Friday</t>
        </is>
      </c>
      <c r="C401" t="inlineStr">
        <is>
          <t>Week1-Dec-2025</t>
        </is>
      </c>
      <c r="D401" s="78" t="n">
        <v>45992</v>
      </c>
      <c r="E401" t="inlineStr">
        <is>
          <t>Q3FY26</t>
        </is>
      </c>
      <c r="F401" t="inlineStr">
        <is>
          <t>31-Mar-2026</t>
        </is>
      </c>
      <c r="G401" t="inlineStr">
        <is>
          <t>Tuesday</t>
        </is>
      </c>
      <c r="H401" t="inlineStr">
        <is>
          <t>Monthly - Tuesday</t>
        </is>
      </c>
      <c r="I401" t="inlineStr">
        <is>
          <t>Monthly - Tuesday</t>
        </is>
      </c>
      <c r="J401" t="inlineStr">
        <is>
          <t>Month+3 Expiry</t>
        </is>
      </c>
      <c r="K401" s="25" t="n">
        <v>1893</v>
      </c>
      <c r="L401" s="26" t="n">
        <v>3.9146</v>
      </c>
      <c r="M401" s="26" t="n">
        <v>0.0492</v>
      </c>
    </row>
    <row r="402" ht="16" customHeight="1">
      <c r="A402" t="inlineStr">
        <is>
          <t>05-Dec-2025</t>
        </is>
      </c>
      <c r="B402" t="inlineStr">
        <is>
          <t>Friday</t>
        </is>
      </c>
      <c r="C402" t="inlineStr">
        <is>
          <t>Week1-Dec-2025</t>
        </is>
      </c>
      <c r="D402" s="78" t="n">
        <v>45992</v>
      </c>
      <c r="E402" t="inlineStr">
        <is>
          <t>Q3FY26</t>
        </is>
      </c>
      <c r="F402" t="inlineStr">
        <is>
          <t>30-Jun-2026</t>
        </is>
      </c>
      <c r="G402" t="inlineStr">
        <is>
          <t>Tuesday</t>
        </is>
      </c>
      <c r="H402" t="inlineStr">
        <is>
          <t>Monthly - Tuesday</t>
        </is>
      </c>
      <c r="I402" t="inlineStr">
        <is>
          <t>Monthly - Tuesday</t>
        </is>
      </c>
      <c r="J402" t="inlineStr">
        <is>
          <t>Month+6 Expiry</t>
        </is>
      </c>
      <c r="K402" s="25" t="n">
        <v>0</v>
      </c>
      <c r="L402" s="26" t="n">
        <v>0</v>
      </c>
      <c r="M402" s="26" t="n">
        <v>0</v>
      </c>
    </row>
    <row r="403" ht="16" customHeight="1">
      <c r="A403" t="inlineStr">
        <is>
          <t>05-Dec-2025</t>
        </is>
      </c>
      <c r="B403" t="inlineStr">
        <is>
          <t>Friday</t>
        </is>
      </c>
      <c r="C403" t="inlineStr">
        <is>
          <t>Week1-Dec-2025</t>
        </is>
      </c>
      <c r="D403" s="78" t="n">
        <v>45992</v>
      </c>
      <c r="E403" t="inlineStr">
        <is>
          <t>Q3FY26</t>
        </is>
      </c>
      <c r="F403" t="inlineStr">
        <is>
          <t>29-Sep-2026</t>
        </is>
      </c>
      <c r="G403" t="inlineStr">
        <is>
          <t>Tuesday</t>
        </is>
      </c>
      <c r="H403" t="inlineStr">
        <is>
          <t>Monthly - Tuesday</t>
        </is>
      </c>
      <c r="I403" t="inlineStr">
        <is>
          <t>Monthly - Tuesday</t>
        </is>
      </c>
      <c r="J403" t="inlineStr">
        <is>
          <t>Month+9 Expiry</t>
        </is>
      </c>
      <c r="K403" s="25" t="n">
        <v>0</v>
      </c>
      <c r="L403" s="26" t="n">
        <v>0</v>
      </c>
      <c r="M403" s="26" t="n">
        <v>0</v>
      </c>
    </row>
    <row r="404" ht="16" customHeight="1">
      <c r="A404" t="inlineStr">
        <is>
          <t>08-Dec-2025</t>
        </is>
      </c>
      <c r="B404" t="inlineStr">
        <is>
          <t>Monday</t>
        </is>
      </c>
      <c r="C404" t="inlineStr">
        <is>
          <t>Week2-Dec-2025</t>
        </is>
      </c>
      <c r="D404" s="78" t="n">
        <v>45992</v>
      </c>
      <c r="E404" t="inlineStr">
        <is>
          <t>Q3FY26</t>
        </is>
      </c>
      <c r="F404" t="inlineStr">
        <is>
          <t>30-Dec-2025</t>
        </is>
      </c>
      <c r="G404" t="inlineStr">
        <is>
          <t>Tuesday</t>
        </is>
      </c>
      <c r="H404" t="inlineStr">
        <is>
          <t>Monthly - Tuesday</t>
        </is>
      </c>
      <c r="I404" t="inlineStr">
        <is>
          <t>Monthly - Tuesday</t>
        </is>
      </c>
      <c r="J404" t="inlineStr">
        <is>
          <t>Same Month Expiry</t>
        </is>
      </c>
      <c r="K404" s="25" t="n">
        <v>2909142</v>
      </c>
      <c r="L404" s="26" t="n">
        <v>6061.2431</v>
      </c>
      <c r="M404" s="26" t="n">
        <v>43.1431</v>
      </c>
    </row>
    <row r="405" ht="16" customHeight="1">
      <c r="A405" t="inlineStr">
        <is>
          <t>08-Dec-2025</t>
        </is>
      </c>
      <c r="B405" t="inlineStr">
        <is>
          <t>Monday</t>
        </is>
      </c>
      <c r="C405" t="inlineStr">
        <is>
          <t>Week2-Dec-2025</t>
        </is>
      </c>
      <c r="D405" s="78" t="n">
        <v>45992</v>
      </c>
      <c r="E405" t="inlineStr">
        <is>
          <t>Q3FY26</t>
        </is>
      </c>
      <c r="F405" t="inlineStr">
        <is>
          <t>27-Jan-2026</t>
        </is>
      </c>
      <c r="G405" t="inlineStr">
        <is>
          <t>Tuesday</t>
        </is>
      </c>
      <c r="H405" t="inlineStr">
        <is>
          <t>Monthly - Tuesday</t>
        </is>
      </c>
      <c r="I405" t="inlineStr">
        <is>
          <t>Monthly - Tuesday</t>
        </is>
      </c>
      <c r="J405" t="inlineStr">
        <is>
          <t>Month+1 Expiry</t>
        </is>
      </c>
      <c r="K405" s="25" t="n">
        <v>58358</v>
      </c>
      <c r="L405" s="26" t="n">
        <v>105.8731</v>
      </c>
      <c r="M405" s="26" t="n">
        <v>1.34</v>
      </c>
    </row>
    <row r="406" ht="16" customHeight="1">
      <c r="A406" t="inlineStr">
        <is>
          <t>08-Dec-2025</t>
        </is>
      </c>
      <c r="B406" t="inlineStr">
        <is>
          <t>Monday</t>
        </is>
      </c>
      <c r="C406" t="inlineStr">
        <is>
          <t>Week2-Dec-2025</t>
        </is>
      </c>
      <c r="D406" s="78" t="n">
        <v>45992</v>
      </c>
      <c r="E406" t="inlineStr">
        <is>
          <t>Q3FY26</t>
        </is>
      </c>
      <c r="F406" t="inlineStr">
        <is>
          <t>24-Feb-2026</t>
        </is>
      </c>
      <c r="G406" t="inlineStr">
        <is>
          <t>Tuesday</t>
        </is>
      </c>
      <c r="H406" t="inlineStr">
        <is>
          <t>Monthly - Tuesday</t>
        </is>
      </c>
      <c r="I406" t="inlineStr">
        <is>
          <t>Monthly - Tuesday</t>
        </is>
      </c>
      <c r="J406" t="inlineStr">
        <is>
          <t>Month+2 Expiry</t>
        </is>
      </c>
      <c r="K406" s="25" t="n">
        <v>2710</v>
      </c>
      <c r="L406" s="26" t="n">
        <v>4.8841</v>
      </c>
      <c r="M406" s="26" t="n">
        <v>0.0525</v>
      </c>
    </row>
    <row r="407" ht="16" customHeight="1">
      <c r="A407" t="inlineStr">
        <is>
          <t>08-Dec-2025</t>
        </is>
      </c>
      <c r="B407" t="inlineStr">
        <is>
          <t>Monday</t>
        </is>
      </c>
      <c r="C407" t="inlineStr">
        <is>
          <t>Week2-Dec-2025</t>
        </is>
      </c>
      <c r="D407" s="78" t="n">
        <v>45992</v>
      </c>
      <c r="E407" t="inlineStr">
        <is>
          <t>Q3FY26</t>
        </is>
      </c>
      <c r="F407" t="inlineStr">
        <is>
          <t>31-Mar-2026</t>
        </is>
      </c>
      <c r="G407" t="inlineStr">
        <is>
          <t>Tuesday</t>
        </is>
      </c>
      <c r="H407" t="inlineStr">
        <is>
          <t>Monthly - Tuesday</t>
        </is>
      </c>
      <c r="I407" t="inlineStr">
        <is>
          <t>Monthly - Tuesday</t>
        </is>
      </c>
      <c r="J407" t="inlineStr">
        <is>
          <t>Month+3 Expiry</t>
        </is>
      </c>
      <c r="K407" s="25" t="n">
        <v>1565</v>
      </c>
      <c r="L407" s="26" t="n">
        <v>3.2873</v>
      </c>
      <c r="M407" s="26" t="n">
        <v>0.0564</v>
      </c>
    </row>
    <row r="408" ht="16" customHeight="1">
      <c r="A408" t="inlineStr">
        <is>
          <t>08-Dec-2025</t>
        </is>
      </c>
      <c r="B408" t="inlineStr">
        <is>
          <t>Monday</t>
        </is>
      </c>
      <c r="C408" t="inlineStr">
        <is>
          <t>Week2-Dec-2025</t>
        </is>
      </c>
      <c r="D408" s="78" t="n">
        <v>45992</v>
      </c>
      <c r="E408" t="inlineStr">
        <is>
          <t>Q3FY26</t>
        </is>
      </c>
      <c r="F408" t="inlineStr">
        <is>
          <t>30-Jun-2026</t>
        </is>
      </c>
      <c r="G408" t="inlineStr">
        <is>
          <t>Tuesday</t>
        </is>
      </c>
      <c r="H408" t="inlineStr">
        <is>
          <t>Monthly - Tuesday</t>
        </is>
      </c>
      <c r="I408" t="inlineStr">
        <is>
          <t>Monthly - Tuesday</t>
        </is>
      </c>
      <c r="J408" t="inlineStr">
        <is>
          <t>Month+6 Expiry</t>
        </is>
      </c>
      <c r="K408" s="25" t="n">
        <v>0</v>
      </c>
      <c r="L408" s="26" t="n">
        <v>0</v>
      </c>
      <c r="M408" s="26" t="n">
        <v>0</v>
      </c>
    </row>
    <row r="409" ht="16" customHeight="1">
      <c r="A409" t="inlineStr">
        <is>
          <t>08-Dec-2025</t>
        </is>
      </c>
      <c r="B409" t="inlineStr">
        <is>
          <t>Monday</t>
        </is>
      </c>
      <c r="C409" t="inlineStr">
        <is>
          <t>Week2-Dec-2025</t>
        </is>
      </c>
      <c r="D409" s="78" t="n">
        <v>45992</v>
      </c>
      <c r="E409" t="inlineStr">
        <is>
          <t>Q3FY26</t>
        </is>
      </c>
      <c r="F409" t="inlineStr">
        <is>
          <t>29-Sep-2026</t>
        </is>
      </c>
      <c r="G409" t="inlineStr">
        <is>
          <t>Tuesday</t>
        </is>
      </c>
      <c r="H409" t="inlineStr">
        <is>
          <t>Monthly - Tuesday</t>
        </is>
      </c>
      <c r="I409" t="inlineStr">
        <is>
          <t>Monthly - Tuesday</t>
        </is>
      </c>
      <c r="J409" t="inlineStr">
        <is>
          <t>Month+9 Expiry</t>
        </is>
      </c>
      <c r="K409" s="25" t="n">
        <v>0</v>
      </c>
      <c r="L409" s="26" t="n">
        <v>0</v>
      </c>
      <c r="M409" s="26" t="n">
        <v>0</v>
      </c>
    </row>
    <row r="410" ht="16" customHeight="1">
      <c r="A410" t="inlineStr">
        <is>
          <t>09-Dec-2025</t>
        </is>
      </c>
      <c r="B410" t="inlineStr">
        <is>
          <t>Tuesday</t>
        </is>
      </c>
      <c r="C410" t="inlineStr">
        <is>
          <t>Week2-Dec-2025</t>
        </is>
      </c>
      <c r="D410" s="78" t="n">
        <v>45992</v>
      </c>
      <c r="E410" t="inlineStr">
        <is>
          <t>Q3FY26</t>
        </is>
      </c>
      <c r="F410" t="inlineStr">
        <is>
          <t>30-Dec-2025</t>
        </is>
      </c>
      <c r="G410" t="inlineStr">
        <is>
          <t>Tuesday</t>
        </is>
      </c>
      <c r="H410" t="inlineStr">
        <is>
          <t>Monthly - Tuesday</t>
        </is>
      </c>
      <c r="I410" t="inlineStr">
        <is>
          <t>Monthly - Tuesday</t>
        </is>
      </c>
      <c r="J410" t="inlineStr">
        <is>
          <t>Same Month Expiry</t>
        </is>
      </c>
      <c r="K410" s="25" t="n">
        <v>2848895</v>
      </c>
      <c r="L410" s="26" t="n">
        <v>5918.9615</v>
      </c>
      <c r="M410" s="26" t="n">
        <v>41.0704</v>
      </c>
    </row>
    <row r="411" ht="16" customHeight="1">
      <c r="A411" t="inlineStr">
        <is>
          <t>09-Dec-2025</t>
        </is>
      </c>
      <c r="B411" t="inlineStr">
        <is>
          <t>Tuesday</t>
        </is>
      </c>
      <c r="C411" t="inlineStr">
        <is>
          <t>Week2-Dec-2025</t>
        </is>
      </c>
      <c r="D411" s="78" t="n">
        <v>45992</v>
      </c>
      <c r="E411" t="inlineStr">
        <is>
          <t>Q3FY26</t>
        </is>
      </c>
      <c r="F411" t="inlineStr">
        <is>
          <t>27-Jan-2026</t>
        </is>
      </c>
      <c r="G411" t="inlineStr">
        <is>
          <t>Tuesday</t>
        </is>
      </c>
      <c r="H411" t="inlineStr">
        <is>
          <t>Monthly - Tuesday</t>
        </is>
      </c>
      <c r="I411" t="inlineStr">
        <is>
          <t>Monthly - Tuesday</t>
        </is>
      </c>
      <c r="J411" t="inlineStr">
        <is>
          <t>Month+1 Expiry</t>
        </is>
      </c>
      <c r="K411" s="25" t="n">
        <v>69626</v>
      </c>
      <c r="L411" s="26" t="n">
        <v>125.8603</v>
      </c>
      <c r="M411" s="26" t="n">
        <v>1.7098</v>
      </c>
    </row>
    <row r="412" ht="16" customHeight="1">
      <c r="A412" t="inlineStr">
        <is>
          <t>09-Dec-2025</t>
        </is>
      </c>
      <c r="B412" t="inlineStr">
        <is>
          <t>Tuesday</t>
        </is>
      </c>
      <c r="C412" t="inlineStr">
        <is>
          <t>Week2-Dec-2025</t>
        </is>
      </c>
      <c r="D412" s="78" t="n">
        <v>45992</v>
      </c>
      <c r="E412" t="inlineStr">
        <is>
          <t>Q3FY26</t>
        </is>
      </c>
      <c r="F412" t="inlineStr">
        <is>
          <t>24-Feb-2026</t>
        </is>
      </c>
      <c r="G412" t="inlineStr">
        <is>
          <t>Tuesday</t>
        </is>
      </c>
      <c r="H412" t="inlineStr">
        <is>
          <t>Monthly - Tuesday</t>
        </is>
      </c>
      <c r="I412" t="inlineStr">
        <is>
          <t>Monthly - Tuesday</t>
        </is>
      </c>
      <c r="J412" t="inlineStr">
        <is>
          <t>Month+2 Expiry</t>
        </is>
      </c>
      <c r="K412" s="25" t="n">
        <v>2255</v>
      </c>
      <c r="L412" s="26" t="n">
        <v>3.9959</v>
      </c>
      <c r="M412" s="26" t="n">
        <v>0.0418</v>
      </c>
    </row>
    <row r="413" ht="16" customHeight="1">
      <c r="A413" t="inlineStr">
        <is>
          <t>09-Dec-2025</t>
        </is>
      </c>
      <c r="B413" t="inlineStr">
        <is>
          <t>Tuesday</t>
        </is>
      </c>
      <c r="C413" t="inlineStr">
        <is>
          <t>Week2-Dec-2025</t>
        </is>
      </c>
      <c r="D413" s="78" t="n">
        <v>45992</v>
      </c>
      <c r="E413" t="inlineStr">
        <is>
          <t>Q3FY26</t>
        </is>
      </c>
      <c r="F413" t="inlineStr">
        <is>
          <t>31-Mar-2026</t>
        </is>
      </c>
      <c r="G413" t="inlineStr">
        <is>
          <t>Tuesday</t>
        </is>
      </c>
      <c r="H413" t="inlineStr">
        <is>
          <t>Monthly - Tuesday</t>
        </is>
      </c>
      <c r="I413" t="inlineStr">
        <is>
          <t>Monthly - Tuesday</t>
        </is>
      </c>
      <c r="J413" t="inlineStr">
        <is>
          <t>Month+3 Expiry</t>
        </is>
      </c>
      <c r="K413" s="25" t="n">
        <v>1983</v>
      </c>
      <c r="L413" s="26" t="n">
        <v>4.1555</v>
      </c>
      <c r="M413" s="26" t="n">
        <v>0.0868</v>
      </c>
    </row>
    <row r="414" ht="16" customHeight="1">
      <c r="A414" t="inlineStr">
        <is>
          <t>09-Dec-2025</t>
        </is>
      </c>
      <c r="B414" t="inlineStr">
        <is>
          <t>Tuesday</t>
        </is>
      </c>
      <c r="C414" t="inlineStr">
        <is>
          <t>Week2-Dec-2025</t>
        </is>
      </c>
      <c r="D414" s="78" t="n">
        <v>45992</v>
      </c>
      <c r="E414" t="inlineStr">
        <is>
          <t>Q3FY26</t>
        </is>
      </c>
      <c r="F414" t="inlineStr">
        <is>
          <t>30-Jun-2026</t>
        </is>
      </c>
      <c r="G414" t="inlineStr">
        <is>
          <t>Tuesday</t>
        </is>
      </c>
      <c r="H414" t="inlineStr">
        <is>
          <t>Monthly - Tuesday</t>
        </is>
      </c>
      <c r="I414" t="inlineStr">
        <is>
          <t>Monthly - Tuesday</t>
        </is>
      </c>
      <c r="J414" t="inlineStr">
        <is>
          <t>Month+6 Expiry</t>
        </is>
      </c>
      <c r="K414" s="25" t="n">
        <v>0</v>
      </c>
      <c r="L414" s="26" t="n">
        <v>0</v>
      </c>
      <c r="M414" s="26" t="n">
        <v>0</v>
      </c>
    </row>
    <row r="415" ht="16" customHeight="1">
      <c r="A415" t="inlineStr">
        <is>
          <t>09-Dec-2025</t>
        </is>
      </c>
      <c r="B415" t="inlineStr">
        <is>
          <t>Tuesday</t>
        </is>
      </c>
      <c r="C415" t="inlineStr">
        <is>
          <t>Week2-Dec-2025</t>
        </is>
      </c>
      <c r="D415" s="78" t="n">
        <v>45992</v>
      </c>
      <c r="E415" t="inlineStr">
        <is>
          <t>Q3FY26</t>
        </is>
      </c>
      <c r="F415" t="inlineStr">
        <is>
          <t>29-Sep-2026</t>
        </is>
      </c>
      <c r="G415" t="inlineStr">
        <is>
          <t>Tuesday</t>
        </is>
      </c>
      <c r="H415" t="inlineStr">
        <is>
          <t>Monthly - Tuesday</t>
        </is>
      </c>
      <c r="I415" t="inlineStr">
        <is>
          <t>Monthly - Tuesday</t>
        </is>
      </c>
      <c r="J415" t="inlineStr">
        <is>
          <t>Month+9 Expiry</t>
        </is>
      </c>
      <c r="K415" s="25" t="n">
        <v>0</v>
      </c>
      <c r="L415" s="26" t="n">
        <v>0</v>
      </c>
      <c r="M415" s="26" t="n">
        <v>0</v>
      </c>
    </row>
    <row r="416" ht="16" customHeight="1">
      <c r="A416" t="inlineStr">
        <is>
          <t>10-Dec-2025</t>
        </is>
      </c>
      <c r="B416" t="inlineStr">
        <is>
          <t>Wednesday</t>
        </is>
      </c>
      <c r="C416" t="inlineStr">
        <is>
          <t>Week2-Dec-2025</t>
        </is>
      </c>
      <c r="D416" s="78" t="n">
        <v>45992</v>
      </c>
      <c r="E416" t="inlineStr">
        <is>
          <t>Q3FY26</t>
        </is>
      </c>
      <c r="F416" t="inlineStr">
        <is>
          <t>30-Dec-2025</t>
        </is>
      </c>
      <c r="G416" t="inlineStr">
        <is>
          <t>Tuesday</t>
        </is>
      </c>
      <c r="H416" t="inlineStr">
        <is>
          <t>Monthly - Tuesday</t>
        </is>
      </c>
      <c r="I416" t="inlineStr">
        <is>
          <t>Monthly - Tuesday</t>
        </is>
      </c>
      <c r="J416" t="inlineStr">
        <is>
          <t>Same Month Expiry</t>
        </is>
      </c>
      <c r="K416" s="25" t="n">
        <v>2906344</v>
      </c>
      <c r="L416" s="26" t="n">
        <v>6034.8237</v>
      </c>
      <c r="M416" s="26" t="n">
        <v>41.3086</v>
      </c>
    </row>
    <row r="417" ht="16" customHeight="1">
      <c r="A417" t="inlineStr">
        <is>
          <t>10-Dec-2025</t>
        </is>
      </c>
      <c r="B417" t="inlineStr">
        <is>
          <t>Wednesday</t>
        </is>
      </c>
      <c r="C417" t="inlineStr">
        <is>
          <t>Week2-Dec-2025</t>
        </is>
      </c>
      <c r="D417" s="78" t="n">
        <v>45992</v>
      </c>
      <c r="E417" t="inlineStr">
        <is>
          <t>Q3FY26</t>
        </is>
      </c>
      <c r="F417" t="inlineStr">
        <is>
          <t>27-Jan-2026</t>
        </is>
      </c>
      <c r="G417" t="inlineStr">
        <is>
          <t>Tuesday</t>
        </is>
      </c>
      <c r="H417" t="inlineStr">
        <is>
          <t>Monthly - Tuesday</t>
        </is>
      </c>
      <c r="I417" t="inlineStr">
        <is>
          <t>Monthly - Tuesday</t>
        </is>
      </c>
      <c r="J417" t="inlineStr">
        <is>
          <t>Month+1 Expiry</t>
        </is>
      </c>
      <c r="K417" s="25" t="n">
        <v>57094</v>
      </c>
      <c r="L417" s="26" t="n">
        <v>103.0858</v>
      </c>
      <c r="M417" s="26" t="n">
        <v>1.1903</v>
      </c>
    </row>
    <row r="418" ht="16" customHeight="1">
      <c r="A418" t="inlineStr">
        <is>
          <t>10-Dec-2025</t>
        </is>
      </c>
      <c r="B418" t="inlineStr">
        <is>
          <t>Wednesday</t>
        </is>
      </c>
      <c r="C418" t="inlineStr">
        <is>
          <t>Week2-Dec-2025</t>
        </is>
      </c>
      <c r="D418" s="78" t="n">
        <v>45992</v>
      </c>
      <c r="E418" t="inlineStr">
        <is>
          <t>Q3FY26</t>
        </is>
      </c>
      <c r="F418" t="inlineStr">
        <is>
          <t>24-Feb-2026</t>
        </is>
      </c>
      <c r="G418" t="inlineStr">
        <is>
          <t>Tuesday</t>
        </is>
      </c>
      <c r="H418" t="inlineStr">
        <is>
          <t>Monthly - Tuesday</t>
        </is>
      </c>
      <c r="I418" t="inlineStr">
        <is>
          <t>Monthly - Tuesday</t>
        </is>
      </c>
      <c r="J418" t="inlineStr">
        <is>
          <t>Month+2 Expiry</t>
        </is>
      </c>
      <c r="K418" s="25" t="n">
        <v>3361</v>
      </c>
      <c r="L418" s="26" t="n">
        <v>6.0274</v>
      </c>
      <c r="M418" s="26" t="n">
        <v>0.0738</v>
      </c>
    </row>
    <row r="419" ht="16" customHeight="1">
      <c r="A419" t="inlineStr">
        <is>
          <t>10-Dec-2025</t>
        </is>
      </c>
      <c r="B419" t="inlineStr">
        <is>
          <t>Wednesday</t>
        </is>
      </c>
      <c r="C419" t="inlineStr">
        <is>
          <t>Week2-Dec-2025</t>
        </is>
      </c>
      <c r="D419" s="78" t="n">
        <v>45992</v>
      </c>
      <c r="E419" t="inlineStr">
        <is>
          <t>Q3FY26</t>
        </is>
      </c>
      <c r="F419" t="inlineStr">
        <is>
          <t>31-Mar-2026</t>
        </is>
      </c>
      <c r="G419" t="inlineStr">
        <is>
          <t>Tuesday</t>
        </is>
      </c>
      <c r="H419" t="inlineStr">
        <is>
          <t>Monthly - Tuesday</t>
        </is>
      </c>
      <c r="I419" t="inlineStr">
        <is>
          <t>Monthly - Tuesday</t>
        </is>
      </c>
      <c r="J419" t="inlineStr">
        <is>
          <t>Month+3 Expiry</t>
        </is>
      </c>
      <c r="K419" s="25" t="n">
        <v>2156</v>
      </c>
      <c r="L419" s="26" t="n">
        <v>4.4219</v>
      </c>
      <c r="M419" s="26" t="n">
        <v>0.0612</v>
      </c>
    </row>
    <row r="420" ht="16" customHeight="1">
      <c r="A420" t="inlineStr">
        <is>
          <t>10-Dec-2025</t>
        </is>
      </c>
      <c r="B420" t="inlineStr">
        <is>
          <t>Wednesday</t>
        </is>
      </c>
      <c r="C420" t="inlineStr">
        <is>
          <t>Week2-Dec-2025</t>
        </is>
      </c>
      <c r="D420" s="78" t="n">
        <v>45992</v>
      </c>
      <c r="E420" t="inlineStr">
        <is>
          <t>Q3FY26</t>
        </is>
      </c>
      <c r="F420" t="inlineStr">
        <is>
          <t>30-Jun-2026</t>
        </is>
      </c>
      <c r="G420" t="inlineStr">
        <is>
          <t>Tuesday</t>
        </is>
      </c>
      <c r="H420" t="inlineStr">
        <is>
          <t>Monthly - Tuesday</t>
        </is>
      </c>
      <c r="I420" t="inlineStr">
        <is>
          <t>Monthly - Tuesday</t>
        </is>
      </c>
      <c r="J420" t="inlineStr">
        <is>
          <t>Month+6 Expiry</t>
        </is>
      </c>
      <c r="K420" s="25" t="n">
        <v>0</v>
      </c>
      <c r="L420" s="26" t="n">
        <v>0</v>
      </c>
      <c r="M420" s="26" t="n">
        <v>0</v>
      </c>
    </row>
    <row r="421" ht="16" customHeight="1">
      <c r="A421" t="inlineStr">
        <is>
          <t>10-Dec-2025</t>
        </is>
      </c>
      <c r="B421" t="inlineStr">
        <is>
          <t>Wednesday</t>
        </is>
      </c>
      <c r="C421" t="inlineStr">
        <is>
          <t>Week2-Dec-2025</t>
        </is>
      </c>
      <c r="D421" s="78" t="n">
        <v>45992</v>
      </c>
      <c r="E421" t="inlineStr">
        <is>
          <t>Q3FY26</t>
        </is>
      </c>
      <c r="F421" t="inlineStr">
        <is>
          <t>29-Sep-2026</t>
        </is>
      </c>
      <c r="G421" t="inlineStr">
        <is>
          <t>Tuesday</t>
        </is>
      </c>
      <c r="H421" t="inlineStr">
        <is>
          <t>Monthly - Tuesday</t>
        </is>
      </c>
      <c r="I421" t="inlineStr">
        <is>
          <t>Monthly - Tuesday</t>
        </is>
      </c>
      <c r="J421" t="inlineStr">
        <is>
          <t>Month+9 Expiry</t>
        </is>
      </c>
      <c r="K421" s="25" t="n">
        <v>0</v>
      </c>
      <c r="L421" s="26" t="n">
        <v>0</v>
      </c>
      <c r="M421" s="26" t="n">
        <v>0</v>
      </c>
    </row>
    <row r="422" ht="16" customHeight="1">
      <c r="A422" t="inlineStr">
        <is>
          <t>11-Dec-2025</t>
        </is>
      </c>
      <c r="B422" t="inlineStr">
        <is>
          <t>Thursday</t>
        </is>
      </c>
      <c r="C422" t="inlineStr">
        <is>
          <t>Week2-Dec-2025</t>
        </is>
      </c>
      <c r="D422" s="78" t="n">
        <v>45992</v>
      </c>
      <c r="E422" t="inlineStr">
        <is>
          <t>Q3FY26</t>
        </is>
      </c>
      <c r="F422" t="inlineStr">
        <is>
          <t>30-Dec-2025</t>
        </is>
      </c>
      <c r="G422" t="inlineStr">
        <is>
          <t>Tuesday</t>
        </is>
      </c>
      <c r="H422" t="inlineStr">
        <is>
          <t>Monthly - Tuesday</t>
        </is>
      </c>
      <c r="I422" t="inlineStr">
        <is>
          <t>Monthly - Tuesday</t>
        </is>
      </c>
      <c r="J422" t="inlineStr">
        <is>
          <t>Same Month Expiry</t>
        </is>
      </c>
      <c r="K422" s="25" t="n">
        <v>3034560</v>
      </c>
      <c r="L422" s="26" t="n">
        <v>6294.1981</v>
      </c>
      <c r="M422" s="26" t="n">
        <v>41.1379</v>
      </c>
    </row>
    <row r="423" ht="16" customHeight="1">
      <c r="A423" t="inlineStr">
        <is>
          <t>11-Dec-2025</t>
        </is>
      </c>
      <c r="B423" t="inlineStr">
        <is>
          <t>Thursday</t>
        </is>
      </c>
      <c r="C423" t="inlineStr">
        <is>
          <t>Week2-Dec-2025</t>
        </is>
      </c>
      <c r="D423" s="78" t="n">
        <v>45992</v>
      </c>
      <c r="E423" t="inlineStr">
        <is>
          <t>Q3FY26</t>
        </is>
      </c>
      <c r="F423" t="inlineStr">
        <is>
          <t>27-Jan-2026</t>
        </is>
      </c>
      <c r="G423" t="inlineStr">
        <is>
          <t>Tuesday</t>
        </is>
      </c>
      <c r="H423" t="inlineStr">
        <is>
          <t>Monthly - Tuesday</t>
        </is>
      </c>
      <c r="I423" t="inlineStr">
        <is>
          <t>Monthly - Tuesday</t>
        </is>
      </c>
      <c r="J423" t="inlineStr">
        <is>
          <t>Month+1 Expiry</t>
        </is>
      </c>
      <c r="K423" s="25" t="n">
        <v>72786</v>
      </c>
      <c r="L423" s="26" t="n">
        <v>131.5861</v>
      </c>
      <c r="M423" s="26" t="n">
        <v>1.6396</v>
      </c>
    </row>
    <row r="424" ht="16" customHeight="1">
      <c r="A424" t="inlineStr">
        <is>
          <t>11-Dec-2025</t>
        </is>
      </c>
      <c r="B424" t="inlineStr">
        <is>
          <t>Thursday</t>
        </is>
      </c>
      <c r="C424" t="inlineStr">
        <is>
          <t>Week2-Dec-2025</t>
        </is>
      </c>
      <c r="D424" s="78" t="n">
        <v>45992</v>
      </c>
      <c r="E424" t="inlineStr">
        <is>
          <t>Q3FY26</t>
        </is>
      </c>
      <c r="F424" t="inlineStr">
        <is>
          <t>24-Feb-2026</t>
        </is>
      </c>
      <c r="G424" t="inlineStr">
        <is>
          <t>Tuesday</t>
        </is>
      </c>
      <c r="H424" t="inlineStr">
        <is>
          <t>Monthly - Tuesday</t>
        </is>
      </c>
      <c r="I424" t="inlineStr">
        <is>
          <t>Monthly - Tuesday</t>
        </is>
      </c>
      <c r="J424" t="inlineStr">
        <is>
          <t>Month+2 Expiry</t>
        </is>
      </c>
      <c r="K424" s="25" t="n">
        <v>3137</v>
      </c>
      <c r="L424" s="26" t="n">
        <v>5.6498</v>
      </c>
      <c r="M424" s="26" t="n">
        <v>0.0599</v>
      </c>
    </row>
    <row r="425" ht="16" customHeight="1">
      <c r="A425" t="inlineStr">
        <is>
          <t>11-Dec-2025</t>
        </is>
      </c>
      <c r="B425" t="inlineStr">
        <is>
          <t>Thursday</t>
        </is>
      </c>
      <c r="C425" t="inlineStr">
        <is>
          <t>Week2-Dec-2025</t>
        </is>
      </c>
      <c r="D425" s="78" t="n">
        <v>45992</v>
      </c>
      <c r="E425" t="inlineStr">
        <is>
          <t>Q3FY26</t>
        </is>
      </c>
      <c r="F425" t="inlineStr">
        <is>
          <t>31-Mar-2026</t>
        </is>
      </c>
      <c r="G425" t="inlineStr">
        <is>
          <t>Tuesday</t>
        </is>
      </c>
      <c r="H425" t="inlineStr">
        <is>
          <t>Monthly - Tuesday</t>
        </is>
      </c>
      <c r="I425" t="inlineStr">
        <is>
          <t>Monthly - Tuesday</t>
        </is>
      </c>
      <c r="J425" t="inlineStr">
        <is>
          <t>Month+3 Expiry</t>
        </is>
      </c>
      <c r="K425" s="25" t="n">
        <v>1024</v>
      </c>
      <c r="L425" s="26" t="n">
        <v>2.14</v>
      </c>
      <c r="M425" s="26" t="n">
        <v>0.0353</v>
      </c>
    </row>
    <row r="426" ht="16" customHeight="1">
      <c r="A426" t="inlineStr">
        <is>
          <t>11-Dec-2025</t>
        </is>
      </c>
      <c r="B426" t="inlineStr">
        <is>
          <t>Thursday</t>
        </is>
      </c>
      <c r="C426" t="inlineStr">
        <is>
          <t>Week2-Dec-2025</t>
        </is>
      </c>
      <c r="D426" s="78" t="n">
        <v>45992</v>
      </c>
      <c r="E426" t="inlineStr">
        <is>
          <t>Q3FY26</t>
        </is>
      </c>
      <c r="F426" t="inlineStr">
        <is>
          <t>30-Jun-2026</t>
        </is>
      </c>
      <c r="G426" t="inlineStr">
        <is>
          <t>Tuesday</t>
        </is>
      </c>
      <c r="H426" t="inlineStr">
        <is>
          <t>Monthly - Tuesday</t>
        </is>
      </c>
      <c r="I426" t="inlineStr">
        <is>
          <t>Monthly - Tuesday</t>
        </is>
      </c>
      <c r="J426" t="inlineStr">
        <is>
          <t>Month+6 Expiry</t>
        </is>
      </c>
      <c r="K426" s="25" t="n">
        <v>0</v>
      </c>
      <c r="L426" s="26" t="n">
        <v>0</v>
      </c>
      <c r="M426" s="26" t="n">
        <v>0</v>
      </c>
    </row>
    <row r="427" ht="16" customHeight="1">
      <c r="A427" t="inlineStr">
        <is>
          <t>11-Dec-2025</t>
        </is>
      </c>
      <c r="B427" t="inlineStr">
        <is>
          <t>Thursday</t>
        </is>
      </c>
      <c r="C427" t="inlineStr">
        <is>
          <t>Week2-Dec-2025</t>
        </is>
      </c>
      <c r="D427" s="78" t="n">
        <v>45992</v>
      </c>
      <c r="E427" t="inlineStr">
        <is>
          <t>Q3FY26</t>
        </is>
      </c>
      <c r="F427" t="inlineStr">
        <is>
          <t>29-Sep-2026</t>
        </is>
      </c>
      <c r="G427" t="inlineStr">
        <is>
          <t>Tuesday</t>
        </is>
      </c>
      <c r="H427" t="inlineStr">
        <is>
          <t>Monthly - Tuesday</t>
        </is>
      </c>
      <c r="I427" t="inlineStr">
        <is>
          <t>Monthly - Tuesday</t>
        </is>
      </c>
      <c r="J427" t="inlineStr">
        <is>
          <t>Month+9 Expiry</t>
        </is>
      </c>
      <c r="K427" s="25" t="n">
        <v>0</v>
      </c>
      <c r="L427" s="26" t="n">
        <v>0</v>
      </c>
      <c r="M427" s="26" t="n">
        <v>0</v>
      </c>
    </row>
    <row r="428" ht="16" customHeight="1">
      <c r="A428" t="inlineStr">
        <is>
          <t>12-Dec-2025</t>
        </is>
      </c>
      <c r="B428" t="inlineStr">
        <is>
          <t>Friday</t>
        </is>
      </c>
      <c r="C428" t="inlineStr">
        <is>
          <t>Week2-Dec-2025</t>
        </is>
      </c>
      <c r="D428" s="78" t="n">
        <v>45992</v>
      </c>
      <c r="E428" t="inlineStr">
        <is>
          <t>Q3FY26</t>
        </is>
      </c>
      <c r="F428" t="inlineStr">
        <is>
          <t>30-Dec-2025</t>
        </is>
      </c>
      <c r="G428" t="inlineStr">
        <is>
          <t>Tuesday</t>
        </is>
      </c>
      <c r="H428" t="inlineStr">
        <is>
          <t>Monthly - Tuesday</t>
        </is>
      </c>
      <c r="I428" t="inlineStr">
        <is>
          <t>Monthly - Tuesday</t>
        </is>
      </c>
      <c r="J428" t="inlineStr">
        <is>
          <t>Same Month Expiry</t>
        </is>
      </c>
      <c r="K428" s="25" t="n">
        <v>2840229</v>
      </c>
      <c r="L428" s="26" t="n">
        <v>5898.0156</v>
      </c>
      <c r="M428" s="26" t="n">
        <v>36.7417</v>
      </c>
    </row>
    <row r="429" ht="16" customHeight="1">
      <c r="A429" t="inlineStr">
        <is>
          <t>12-Dec-2025</t>
        </is>
      </c>
      <c r="B429" t="inlineStr">
        <is>
          <t>Friday</t>
        </is>
      </c>
      <c r="C429" t="inlineStr">
        <is>
          <t>Week2-Dec-2025</t>
        </is>
      </c>
      <c r="D429" s="78" t="n">
        <v>45992</v>
      </c>
      <c r="E429" t="inlineStr">
        <is>
          <t>Q3FY26</t>
        </is>
      </c>
      <c r="F429" t="inlineStr">
        <is>
          <t>27-Jan-2026</t>
        </is>
      </c>
      <c r="G429" t="inlineStr">
        <is>
          <t>Tuesday</t>
        </is>
      </c>
      <c r="H429" t="inlineStr">
        <is>
          <t>Monthly - Tuesday</t>
        </is>
      </c>
      <c r="I429" t="inlineStr">
        <is>
          <t>Monthly - Tuesday</t>
        </is>
      </c>
      <c r="J429" t="inlineStr">
        <is>
          <t>Month+1 Expiry</t>
        </is>
      </c>
      <c r="K429" s="25" t="n">
        <v>56415</v>
      </c>
      <c r="L429" s="26" t="n">
        <v>101.8547</v>
      </c>
      <c r="M429" s="26" t="n">
        <v>1.1126</v>
      </c>
    </row>
    <row r="430" ht="16" customHeight="1">
      <c r="A430" t="inlineStr">
        <is>
          <t>12-Dec-2025</t>
        </is>
      </c>
      <c r="B430" t="inlineStr">
        <is>
          <t>Friday</t>
        </is>
      </c>
      <c r="C430" t="inlineStr">
        <is>
          <t>Week2-Dec-2025</t>
        </is>
      </c>
      <c r="D430" s="78" t="n">
        <v>45992</v>
      </c>
      <c r="E430" t="inlineStr">
        <is>
          <t>Q3FY26</t>
        </is>
      </c>
      <c r="F430" t="inlineStr">
        <is>
          <t>24-Feb-2026</t>
        </is>
      </c>
      <c r="G430" t="inlineStr">
        <is>
          <t>Tuesday</t>
        </is>
      </c>
      <c r="H430" t="inlineStr">
        <is>
          <t>Monthly - Tuesday</t>
        </is>
      </c>
      <c r="I430" t="inlineStr">
        <is>
          <t>Monthly - Tuesday</t>
        </is>
      </c>
      <c r="J430" t="inlineStr">
        <is>
          <t>Month+2 Expiry</t>
        </is>
      </c>
      <c r="K430" s="25" t="n">
        <v>2244</v>
      </c>
      <c r="L430" s="26" t="n">
        <v>4.0287</v>
      </c>
      <c r="M430" s="26" t="n">
        <v>0.0414</v>
      </c>
    </row>
    <row r="431" ht="16" customHeight="1">
      <c r="A431" t="inlineStr">
        <is>
          <t>12-Dec-2025</t>
        </is>
      </c>
      <c r="B431" t="inlineStr">
        <is>
          <t>Friday</t>
        </is>
      </c>
      <c r="C431" t="inlineStr">
        <is>
          <t>Week2-Dec-2025</t>
        </is>
      </c>
      <c r="D431" s="78" t="n">
        <v>45992</v>
      </c>
      <c r="E431" t="inlineStr">
        <is>
          <t>Q3FY26</t>
        </is>
      </c>
      <c r="F431" t="inlineStr">
        <is>
          <t>31-Mar-2026</t>
        </is>
      </c>
      <c r="G431" t="inlineStr">
        <is>
          <t>Tuesday</t>
        </is>
      </c>
      <c r="H431" t="inlineStr">
        <is>
          <t>Monthly - Tuesday</t>
        </is>
      </c>
      <c r="I431" t="inlineStr">
        <is>
          <t>Monthly - Tuesday</t>
        </is>
      </c>
      <c r="J431" t="inlineStr">
        <is>
          <t>Month+3 Expiry</t>
        </is>
      </c>
      <c r="K431" s="25" t="n">
        <v>557</v>
      </c>
      <c r="L431" s="26" t="n">
        <v>1.1605</v>
      </c>
      <c r="M431" s="26" t="n">
        <v>0.0194</v>
      </c>
    </row>
    <row r="432" ht="16" customHeight="1">
      <c r="A432" t="inlineStr">
        <is>
          <t>12-Dec-2025</t>
        </is>
      </c>
      <c r="B432" t="inlineStr">
        <is>
          <t>Friday</t>
        </is>
      </c>
      <c r="C432" t="inlineStr">
        <is>
          <t>Week2-Dec-2025</t>
        </is>
      </c>
      <c r="D432" s="78" t="n">
        <v>45992</v>
      </c>
      <c r="E432" t="inlineStr">
        <is>
          <t>Q3FY26</t>
        </is>
      </c>
      <c r="F432" t="inlineStr">
        <is>
          <t>30-Jun-2026</t>
        </is>
      </c>
      <c r="G432" t="inlineStr">
        <is>
          <t>Tuesday</t>
        </is>
      </c>
      <c r="H432" t="inlineStr">
        <is>
          <t>Monthly - Tuesday</t>
        </is>
      </c>
      <c r="I432" t="inlineStr">
        <is>
          <t>Monthly - Tuesday</t>
        </is>
      </c>
      <c r="J432" t="inlineStr">
        <is>
          <t>Month+6 Expiry</t>
        </is>
      </c>
      <c r="K432" s="25" t="n">
        <v>0</v>
      </c>
      <c r="L432" s="26" t="n">
        <v>0</v>
      </c>
      <c r="M432" s="26" t="n">
        <v>0</v>
      </c>
    </row>
    <row r="433" ht="16" customHeight="1">
      <c r="A433" t="inlineStr">
        <is>
          <t>12-Dec-2025</t>
        </is>
      </c>
      <c r="B433" t="inlineStr">
        <is>
          <t>Friday</t>
        </is>
      </c>
      <c r="C433" t="inlineStr">
        <is>
          <t>Week2-Dec-2025</t>
        </is>
      </c>
      <c r="D433" s="78" t="n">
        <v>45992</v>
      </c>
      <c r="E433" t="inlineStr">
        <is>
          <t>Q3FY26</t>
        </is>
      </c>
      <c r="F433" t="inlineStr">
        <is>
          <t>29-Sep-2026</t>
        </is>
      </c>
      <c r="G433" t="inlineStr">
        <is>
          <t>Tuesday</t>
        </is>
      </c>
      <c r="H433" t="inlineStr">
        <is>
          <t>Monthly - Tuesday</t>
        </is>
      </c>
      <c r="I433" t="inlineStr">
        <is>
          <t>Monthly - Tuesday</t>
        </is>
      </c>
      <c r="J433" t="inlineStr">
        <is>
          <t>Month+9 Expiry</t>
        </is>
      </c>
      <c r="K433" s="25" t="n">
        <v>0</v>
      </c>
      <c r="L433" s="26" t="n">
        <v>0</v>
      </c>
      <c r="M433" s="26" t="n">
        <v>0</v>
      </c>
    </row>
    <row r="434" ht="16" customHeight="1">
      <c r="A434" t="inlineStr">
        <is>
          <t>15-Dec-2025</t>
        </is>
      </c>
      <c r="B434" t="inlineStr">
        <is>
          <t>Monday</t>
        </is>
      </c>
      <c r="C434" t="inlineStr">
        <is>
          <t>Week3-Dec-2025</t>
        </is>
      </c>
      <c r="D434" s="78" t="n">
        <v>45992</v>
      </c>
      <c r="E434" t="inlineStr">
        <is>
          <t>Q3FY26</t>
        </is>
      </c>
      <c r="F434" t="inlineStr">
        <is>
          <t>30-Dec-2025</t>
        </is>
      </c>
      <c r="G434" t="inlineStr">
        <is>
          <t>Tuesday</t>
        </is>
      </c>
      <c r="H434" t="inlineStr">
        <is>
          <t>Monthly - Tuesday</t>
        </is>
      </c>
      <c r="I434" t="inlineStr">
        <is>
          <t>Monthly - Tuesday</t>
        </is>
      </c>
      <c r="J434" t="inlineStr">
        <is>
          <t>Same Month Expiry</t>
        </is>
      </c>
      <c r="K434" s="25" t="n">
        <v>2655527</v>
      </c>
      <c r="L434" s="26" t="n">
        <v>5520.0561</v>
      </c>
      <c r="M434" s="26" t="n">
        <v>31.8478</v>
      </c>
    </row>
    <row r="435" ht="16" customHeight="1">
      <c r="A435" t="inlineStr">
        <is>
          <t>15-Dec-2025</t>
        </is>
      </c>
      <c r="B435" t="inlineStr">
        <is>
          <t>Monday</t>
        </is>
      </c>
      <c r="C435" t="inlineStr">
        <is>
          <t>Week3-Dec-2025</t>
        </is>
      </c>
      <c r="D435" s="78" t="n">
        <v>45992</v>
      </c>
      <c r="E435" t="inlineStr">
        <is>
          <t>Q3FY26</t>
        </is>
      </c>
      <c r="F435" t="inlineStr">
        <is>
          <t>27-Jan-2026</t>
        </is>
      </c>
      <c r="G435" t="inlineStr">
        <is>
          <t>Tuesday</t>
        </is>
      </c>
      <c r="H435" t="inlineStr">
        <is>
          <t>Monthly - Tuesday</t>
        </is>
      </c>
      <c r="I435" t="inlineStr">
        <is>
          <t>Monthly - Tuesday</t>
        </is>
      </c>
      <c r="J435" t="inlineStr">
        <is>
          <t>Month+1 Expiry</t>
        </is>
      </c>
      <c r="K435" s="25" t="n">
        <v>59568</v>
      </c>
      <c r="L435" s="26" t="n">
        <v>107.6115</v>
      </c>
      <c r="M435" s="26" t="n">
        <v>1.1172</v>
      </c>
    </row>
    <row r="436" ht="16" customHeight="1">
      <c r="A436" t="inlineStr">
        <is>
          <t>15-Dec-2025</t>
        </is>
      </c>
      <c r="B436" t="inlineStr">
        <is>
          <t>Monday</t>
        </is>
      </c>
      <c r="C436" t="inlineStr">
        <is>
          <t>Week3-Dec-2025</t>
        </is>
      </c>
      <c r="D436" s="78" t="n">
        <v>45992</v>
      </c>
      <c r="E436" t="inlineStr">
        <is>
          <t>Q3FY26</t>
        </is>
      </c>
      <c r="F436" t="inlineStr">
        <is>
          <t>24-Feb-2026</t>
        </is>
      </c>
      <c r="G436" t="inlineStr">
        <is>
          <t>Tuesday</t>
        </is>
      </c>
      <c r="H436" t="inlineStr">
        <is>
          <t>Monthly - Tuesday</t>
        </is>
      </c>
      <c r="I436" t="inlineStr">
        <is>
          <t>Monthly - Tuesday</t>
        </is>
      </c>
      <c r="J436" t="inlineStr">
        <is>
          <t>Month+2 Expiry</t>
        </is>
      </c>
      <c r="K436" s="25" t="n">
        <v>2465</v>
      </c>
      <c r="L436" s="26" t="n">
        <v>4.4354</v>
      </c>
      <c r="M436" s="26" t="n">
        <v>0.0469</v>
      </c>
    </row>
    <row r="437" ht="16" customHeight="1">
      <c r="A437" t="inlineStr">
        <is>
          <t>15-Dec-2025</t>
        </is>
      </c>
      <c r="B437" t="inlineStr">
        <is>
          <t>Monday</t>
        </is>
      </c>
      <c r="C437" t="inlineStr">
        <is>
          <t>Week3-Dec-2025</t>
        </is>
      </c>
      <c r="D437" s="78" t="n">
        <v>45992</v>
      </c>
      <c r="E437" t="inlineStr">
        <is>
          <t>Q3FY26</t>
        </is>
      </c>
      <c r="F437" t="inlineStr">
        <is>
          <t>31-Mar-2026</t>
        </is>
      </c>
      <c r="G437" t="inlineStr">
        <is>
          <t>Tuesday</t>
        </is>
      </c>
      <c r="H437" t="inlineStr">
        <is>
          <t>Monthly - Tuesday</t>
        </is>
      </c>
      <c r="I437" t="inlineStr">
        <is>
          <t>Monthly - Tuesday</t>
        </is>
      </c>
      <c r="J437" t="inlineStr">
        <is>
          <t>Month+3 Expiry</t>
        </is>
      </c>
      <c r="K437" s="25" t="n">
        <v>634</v>
      </c>
      <c r="L437" s="26" t="n">
        <v>1.3226</v>
      </c>
      <c r="M437" s="26" t="n">
        <v>0.0211</v>
      </c>
    </row>
    <row r="438" ht="16" customHeight="1">
      <c r="A438" t="inlineStr">
        <is>
          <t>15-Dec-2025</t>
        </is>
      </c>
      <c r="B438" t="inlineStr">
        <is>
          <t>Monday</t>
        </is>
      </c>
      <c r="C438" t="inlineStr">
        <is>
          <t>Week3-Dec-2025</t>
        </is>
      </c>
      <c r="D438" s="78" t="n">
        <v>45992</v>
      </c>
      <c r="E438" t="inlineStr">
        <is>
          <t>Q3FY26</t>
        </is>
      </c>
      <c r="F438" t="inlineStr">
        <is>
          <t>30-Jun-2026</t>
        </is>
      </c>
      <c r="G438" t="inlineStr">
        <is>
          <t>Tuesday</t>
        </is>
      </c>
      <c r="H438" t="inlineStr">
        <is>
          <t>Monthly - Tuesday</t>
        </is>
      </c>
      <c r="I438" t="inlineStr">
        <is>
          <t>Monthly - Tuesday</t>
        </is>
      </c>
      <c r="J438" t="inlineStr">
        <is>
          <t>Month+6 Expiry</t>
        </is>
      </c>
      <c r="K438" s="25" t="n">
        <v>0</v>
      </c>
      <c r="L438" s="26" t="n">
        <v>0</v>
      </c>
      <c r="M438" s="26" t="n">
        <v>0</v>
      </c>
    </row>
    <row r="439" ht="16" customHeight="1">
      <c r="A439" t="inlineStr">
        <is>
          <t>15-Dec-2025</t>
        </is>
      </c>
      <c r="B439" t="inlineStr">
        <is>
          <t>Monday</t>
        </is>
      </c>
      <c r="C439" t="inlineStr">
        <is>
          <t>Week3-Dec-2025</t>
        </is>
      </c>
      <c r="D439" s="78" t="n">
        <v>45992</v>
      </c>
      <c r="E439" t="inlineStr">
        <is>
          <t>Q3FY26</t>
        </is>
      </c>
      <c r="F439" t="inlineStr">
        <is>
          <t>29-Sep-2026</t>
        </is>
      </c>
      <c r="G439" t="inlineStr">
        <is>
          <t>Tuesday</t>
        </is>
      </c>
      <c r="H439" t="inlineStr">
        <is>
          <t>Monthly - Tuesday</t>
        </is>
      </c>
      <c r="I439" t="inlineStr">
        <is>
          <t>Monthly - Tuesday</t>
        </is>
      </c>
      <c r="J439" t="inlineStr">
        <is>
          <t>Month+9 Expiry</t>
        </is>
      </c>
      <c r="K439" s="25" t="n">
        <v>0</v>
      </c>
      <c r="L439" s="26" t="n">
        <v>0</v>
      </c>
      <c r="M439" s="26" t="n">
        <v>0</v>
      </c>
    </row>
    <row r="440" ht="16" customHeight="1">
      <c r="A440" t="inlineStr">
        <is>
          <t>16-Dec-2025</t>
        </is>
      </c>
      <c r="B440" t="inlineStr">
        <is>
          <t>Tuesday</t>
        </is>
      </c>
      <c r="C440" t="inlineStr">
        <is>
          <t>Week3-Dec-2025</t>
        </is>
      </c>
      <c r="D440" s="78" t="n">
        <v>45992</v>
      </c>
      <c r="E440" t="inlineStr">
        <is>
          <t>Q3FY26</t>
        </is>
      </c>
      <c r="F440" t="inlineStr">
        <is>
          <t>30-Dec-2025</t>
        </is>
      </c>
      <c r="G440" t="inlineStr">
        <is>
          <t>Tuesday</t>
        </is>
      </c>
      <c r="H440" t="inlineStr">
        <is>
          <t>Monthly - Tuesday</t>
        </is>
      </c>
      <c r="I440" t="inlineStr">
        <is>
          <t>Monthly - Tuesday</t>
        </is>
      </c>
      <c r="J440" t="inlineStr">
        <is>
          <t>Same Month Expiry</t>
        </is>
      </c>
      <c r="K440" s="25" t="n">
        <v>2787074</v>
      </c>
      <c r="L440" s="26" t="n">
        <v>5781.1747</v>
      </c>
      <c r="M440" s="26" t="n">
        <v>32.6153</v>
      </c>
    </row>
    <row r="441" ht="16" customHeight="1">
      <c r="A441" t="inlineStr">
        <is>
          <t>16-Dec-2025</t>
        </is>
      </c>
      <c r="B441" t="inlineStr">
        <is>
          <t>Tuesday</t>
        </is>
      </c>
      <c r="C441" t="inlineStr">
        <is>
          <t>Week3-Dec-2025</t>
        </is>
      </c>
      <c r="D441" s="78" t="n">
        <v>45992</v>
      </c>
      <c r="E441" t="inlineStr">
        <is>
          <t>Q3FY26</t>
        </is>
      </c>
      <c r="F441" t="inlineStr">
        <is>
          <t>27-Jan-2026</t>
        </is>
      </c>
      <c r="G441" t="inlineStr">
        <is>
          <t>Tuesday</t>
        </is>
      </c>
      <c r="H441" t="inlineStr">
        <is>
          <t>Monthly - Tuesday</t>
        </is>
      </c>
      <c r="I441" t="inlineStr">
        <is>
          <t>Monthly - Tuesday</t>
        </is>
      </c>
      <c r="J441" t="inlineStr">
        <is>
          <t>Month+1 Expiry</t>
        </is>
      </c>
      <c r="K441" s="25" t="n">
        <v>57880</v>
      </c>
      <c r="L441" s="26" t="n">
        <v>104.3718</v>
      </c>
      <c r="M441" s="26" t="n">
        <v>1.1118</v>
      </c>
    </row>
    <row r="442" ht="16" customHeight="1">
      <c r="A442" t="inlineStr">
        <is>
          <t>16-Dec-2025</t>
        </is>
      </c>
      <c r="B442" t="inlineStr">
        <is>
          <t>Tuesday</t>
        </is>
      </c>
      <c r="C442" t="inlineStr">
        <is>
          <t>Week3-Dec-2025</t>
        </is>
      </c>
      <c r="D442" s="78" t="n">
        <v>45992</v>
      </c>
      <c r="E442" t="inlineStr">
        <is>
          <t>Q3FY26</t>
        </is>
      </c>
      <c r="F442" t="inlineStr">
        <is>
          <t>24-Feb-2026</t>
        </is>
      </c>
      <c r="G442" t="inlineStr">
        <is>
          <t>Tuesday</t>
        </is>
      </c>
      <c r="H442" t="inlineStr">
        <is>
          <t>Monthly - Tuesday</t>
        </is>
      </c>
      <c r="I442" t="inlineStr">
        <is>
          <t>Monthly - Tuesday</t>
        </is>
      </c>
      <c r="J442" t="inlineStr">
        <is>
          <t>Month+2 Expiry</t>
        </is>
      </c>
      <c r="K442" s="25" t="n">
        <v>3458</v>
      </c>
      <c r="L442" s="26" t="n">
        <v>6.2468</v>
      </c>
      <c r="M442" s="26" t="n">
        <v>0.0663</v>
      </c>
    </row>
    <row r="443" ht="16" customHeight="1">
      <c r="A443" t="inlineStr">
        <is>
          <t>16-Dec-2025</t>
        </is>
      </c>
      <c r="B443" t="inlineStr">
        <is>
          <t>Tuesday</t>
        </is>
      </c>
      <c r="C443" t="inlineStr">
        <is>
          <t>Week3-Dec-2025</t>
        </is>
      </c>
      <c r="D443" s="78" t="n">
        <v>45992</v>
      </c>
      <c r="E443" t="inlineStr">
        <is>
          <t>Q3FY26</t>
        </is>
      </c>
      <c r="F443" t="inlineStr">
        <is>
          <t>31-Mar-2026</t>
        </is>
      </c>
      <c r="G443" t="inlineStr">
        <is>
          <t>Tuesday</t>
        </is>
      </c>
      <c r="H443" t="inlineStr">
        <is>
          <t>Monthly - Tuesday</t>
        </is>
      </c>
      <c r="I443" t="inlineStr">
        <is>
          <t>Monthly - Tuesday</t>
        </is>
      </c>
      <c r="J443" t="inlineStr">
        <is>
          <t>Month+3 Expiry</t>
        </is>
      </c>
      <c r="K443" s="25" t="n">
        <v>1009</v>
      </c>
      <c r="L443" s="26" t="n">
        <v>2.0733</v>
      </c>
      <c r="M443" s="26" t="n">
        <v>0.0255</v>
      </c>
    </row>
    <row r="444" ht="16" customHeight="1">
      <c r="A444" t="inlineStr">
        <is>
          <t>16-Dec-2025</t>
        </is>
      </c>
      <c r="B444" t="inlineStr">
        <is>
          <t>Tuesday</t>
        </is>
      </c>
      <c r="C444" t="inlineStr">
        <is>
          <t>Week3-Dec-2025</t>
        </is>
      </c>
      <c r="D444" s="78" t="n">
        <v>45992</v>
      </c>
      <c r="E444" t="inlineStr">
        <is>
          <t>Q3FY26</t>
        </is>
      </c>
      <c r="F444" t="inlineStr">
        <is>
          <t>30-Jun-2026</t>
        </is>
      </c>
      <c r="G444" t="inlineStr">
        <is>
          <t>Tuesday</t>
        </is>
      </c>
      <c r="H444" t="inlineStr">
        <is>
          <t>Monthly - Tuesday</t>
        </is>
      </c>
      <c r="I444" t="inlineStr">
        <is>
          <t>Monthly - Tuesday</t>
        </is>
      </c>
      <c r="J444" t="inlineStr">
        <is>
          <t>Month+6 Expiry</t>
        </is>
      </c>
      <c r="K444" s="25" t="n">
        <v>0</v>
      </c>
      <c r="L444" s="26" t="n">
        <v>0</v>
      </c>
      <c r="M444" s="26" t="n">
        <v>0</v>
      </c>
    </row>
    <row r="445" ht="16" customHeight="1">
      <c r="A445" t="inlineStr">
        <is>
          <t>16-Dec-2025</t>
        </is>
      </c>
      <c r="B445" t="inlineStr">
        <is>
          <t>Tuesday</t>
        </is>
      </c>
      <c r="C445" t="inlineStr">
        <is>
          <t>Week3-Dec-2025</t>
        </is>
      </c>
      <c r="D445" s="78" t="n">
        <v>45992</v>
      </c>
      <c r="E445" t="inlineStr">
        <is>
          <t>Q3FY26</t>
        </is>
      </c>
      <c r="F445" t="inlineStr">
        <is>
          <t>29-Sep-2026</t>
        </is>
      </c>
      <c r="G445" t="inlineStr">
        <is>
          <t>Tuesday</t>
        </is>
      </c>
      <c r="H445" t="inlineStr">
        <is>
          <t>Monthly - Tuesday</t>
        </is>
      </c>
      <c r="I445" t="inlineStr">
        <is>
          <t>Monthly - Tuesday</t>
        </is>
      </c>
      <c r="J445" t="inlineStr">
        <is>
          <t>Month+9 Expiry</t>
        </is>
      </c>
      <c r="K445" s="25" t="n">
        <v>0</v>
      </c>
      <c r="L445" s="26" t="n">
        <v>0</v>
      </c>
      <c r="M445" s="26" t="n">
        <v>0</v>
      </c>
    </row>
    <row r="446" ht="16" customHeight="1">
      <c r="A446" t="inlineStr">
        <is>
          <t>17-Dec-2025</t>
        </is>
      </c>
      <c r="B446" t="inlineStr">
        <is>
          <t>Wednesday</t>
        </is>
      </c>
      <c r="C446" t="inlineStr">
        <is>
          <t>Week3-Dec-2025</t>
        </is>
      </c>
      <c r="D446" s="78" t="n">
        <v>45992</v>
      </c>
      <c r="E446" t="inlineStr">
        <is>
          <t>Q3FY26</t>
        </is>
      </c>
      <c r="F446" t="inlineStr">
        <is>
          <t>30-Dec-2025</t>
        </is>
      </c>
      <c r="G446" t="inlineStr">
        <is>
          <t>Tuesday</t>
        </is>
      </c>
      <c r="H446" t="inlineStr">
        <is>
          <t>Monthly - Tuesday</t>
        </is>
      </c>
      <c r="I446" t="inlineStr">
        <is>
          <t>Monthly - Tuesday</t>
        </is>
      </c>
      <c r="J446" t="inlineStr">
        <is>
          <t>Same Month Expiry</t>
        </is>
      </c>
      <c r="K446" s="25" t="n">
        <v>3053525</v>
      </c>
      <c r="L446" s="26" t="n">
        <v>6308.2953</v>
      </c>
      <c r="M446" s="26" t="n">
        <v>33.4114</v>
      </c>
    </row>
    <row r="447" ht="16" customHeight="1">
      <c r="A447" t="inlineStr">
        <is>
          <t>17-Dec-2025</t>
        </is>
      </c>
      <c r="B447" t="inlineStr">
        <is>
          <t>Wednesday</t>
        </is>
      </c>
      <c r="C447" t="inlineStr">
        <is>
          <t>Week3-Dec-2025</t>
        </is>
      </c>
      <c r="D447" s="78" t="n">
        <v>45992</v>
      </c>
      <c r="E447" t="inlineStr">
        <is>
          <t>Q3FY26</t>
        </is>
      </c>
      <c r="F447" t="inlineStr">
        <is>
          <t>27-Jan-2026</t>
        </is>
      </c>
      <c r="G447" t="inlineStr">
        <is>
          <t>Tuesday</t>
        </is>
      </c>
      <c r="H447" t="inlineStr">
        <is>
          <t>Monthly - Tuesday</t>
        </is>
      </c>
      <c r="I447" t="inlineStr">
        <is>
          <t>Monthly - Tuesday</t>
        </is>
      </c>
      <c r="J447" t="inlineStr">
        <is>
          <t>Month+1 Expiry</t>
        </is>
      </c>
      <c r="K447" s="25" t="n">
        <v>80732</v>
      </c>
      <c r="L447" s="26" t="n">
        <v>145.3079</v>
      </c>
      <c r="M447" s="26" t="n">
        <v>1.6157</v>
      </c>
    </row>
    <row r="448" ht="16" customHeight="1">
      <c r="A448" t="inlineStr">
        <is>
          <t>17-Dec-2025</t>
        </is>
      </c>
      <c r="B448" t="inlineStr">
        <is>
          <t>Wednesday</t>
        </is>
      </c>
      <c r="C448" t="inlineStr">
        <is>
          <t>Week3-Dec-2025</t>
        </is>
      </c>
      <c r="D448" s="78" t="n">
        <v>45992</v>
      </c>
      <c r="E448" t="inlineStr">
        <is>
          <t>Q3FY26</t>
        </is>
      </c>
      <c r="F448" t="inlineStr">
        <is>
          <t>24-Feb-2026</t>
        </is>
      </c>
      <c r="G448" t="inlineStr">
        <is>
          <t>Tuesday</t>
        </is>
      </c>
      <c r="H448" t="inlineStr">
        <is>
          <t>Monthly - Tuesday</t>
        </is>
      </c>
      <c r="I448" t="inlineStr">
        <is>
          <t>Monthly - Tuesday</t>
        </is>
      </c>
      <c r="J448" t="inlineStr">
        <is>
          <t>Month+2 Expiry</t>
        </is>
      </c>
      <c r="K448" s="25" t="n">
        <v>3475</v>
      </c>
      <c r="L448" s="26" t="n">
        <v>6.2903</v>
      </c>
      <c r="M448" s="26" t="n">
        <v>0.07539999999999999</v>
      </c>
    </row>
    <row r="449" ht="16" customHeight="1">
      <c r="A449" t="inlineStr">
        <is>
          <t>17-Dec-2025</t>
        </is>
      </c>
      <c r="B449" t="inlineStr">
        <is>
          <t>Wednesday</t>
        </is>
      </c>
      <c r="C449" t="inlineStr">
        <is>
          <t>Week3-Dec-2025</t>
        </is>
      </c>
      <c r="D449" s="78" t="n">
        <v>45992</v>
      </c>
      <c r="E449" t="inlineStr">
        <is>
          <t>Q3FY26</t>
        </is>
      </c>
      <c r="F449" t="inlineStr">
        <is>
          <t>31-Mar-2026</t>
        </is>
      </c>
      <c r="G449" t="inlineStr">
        <is>
          <t>Tuesday</t>
        </is>
      </c>
      <c r="H449" t="inlineStr">
        <is>
          <t>Monthly - Tuesday</t>
        </is>
      </c>
      <c r="I449" t="inlineStr">
        <is>
          <t>Monthly - Tuesday</t>
        </is>
      </c>
      <c r="J449" t="inlineStr">
        <is>
          <t>Month+3 Expiry</t>
        </is>
      </c>
      <c r="K449" s="25" t="n">
        <v>678</v>
      </c>
      <c r="L449" s="26" t="n">
        <v>1.4289</v>
      </c>
      <c r="M449" s="26" t="n">
        <v>0.0279</v>
      </c>
    </row>
    <row r="450" ht="16" customHeight="1">
      <c r="A450" t="inlineStr">
        <is>
          <t>17-Dec-2025</t>
        </is>
      </c>
      <c r="B450" t="inlineStr">
        <is>
          <t>Wednesday</t>
        </is>
      </c>
      <c r="C450" t="inlineStr">
        <is>
          <t>Week3-Dec-2025</t>
        </is>
      </c>
      <c r="D450" s="78" t="n">
        <v>45992</v>
      </c>
      <c r="E450" t="inlineStr">
        <is>
          <t>Q3FY26</t>
        </is>
      </c>
      <c r="F450" t="inlineStr">
        <is>
          <t>30-Jun-2026</t>
        </is>
      </c>
      <c r="G450" t="inlineStr">
        <is>
          <t>Tuesday</t>
        </is>
      </c>
      <c r="H450" t="inlineStr">
        <is>
          <t>Monthly - Tuesday</t>
        </is>
      </c>
      <c r="I450" t="inlineStr">
        <is>
          <t>Monthly - Tuesday</t>
        </is>
      </c>
      <c r="J450" t="inlineStr">
        <is>
          <t>Month+6 Expiry</t>
        </is>
      </c>
      <c r="K450" s="25" t="n">
        <v>0</v>
      </c>
      <c r="L450" s="26" t="n">
        <v>0</v>
      </c>
      <c r="M450" s="26" t="n">
        <v>0</v>
      </c>
    </row>
    <row r="451" ht="16" customHeight="1">
      <c r="A451" t="inlineStr">
        <is>
          <t>17-Dec-2025</t>
        </is>
      </c>
      <c r="B451" t="inlineStr">
        <is>
          <t>Wednesday</t>
        </is>
      </c>
      <c r="C451" t="inlineStr">
        <is>
          <t>Week3-Dec-2025</t>
        </is>
      </c>
      <c r="D451" s="78" t="n">
        <v>45992</v>
      </c>
      <c r="E451" t="inlineStr">
        <is>
          <t>Q3FY26</t>
        </is>
      </c>
      <c r="F451" t="inlineStr">
        <is>
          <t>29-Sep-2026</t>
        </is>
      </c>
      <c r="G451" t="inlineStr">
        <is>
          <t>Tuesday</t>
        </is>
      </c>
      <c r="H451" t="inlineStr">
        <is>
          <t>Monthly - Tuesday</t>
        </is>
      </c>
      <c r="I451" t="inlineStr">
        <is>
          <t>Monthly - Tuesday</t>
        </is>
      </c>
      <c r="J451" t="inlineStr">
        <is>
          <t>Month+9 Expiry</t>
        </is>
      </c>
      <c r="K451" s="25" t="n">
        <v>0</v>
      </c>
      <c r="L451" s="26" t="n">
        <v>0</v>
      </c>
      <c r="M451" s="26" t="n">
        <v>0</v>
      </c>
    </row>
    <row r="452" ht="16" customHeight="1">
      <c r="A452" t="inlineStr">
        <is>
          <t>18-Dec-2025</t>
        </is>
      </c>
      <c r="B452" t="inlineStr">
        <is>
          <t>Thursday</t>
        </is>
      </c>
      <c r="C452" t="inlineStr">
        <is>
          <t>Week3-Dec-2025</t>
        </is>
      </c>
      <c r="D452" s="78" t="n">
        <v>45992</v>
      </c>
      <c r="E452" t="inlineStr">
        <is>
          <t>Q3FY26</t>
        </is>
      </c>
      <c r="F452" t="inlineStr">
        <is>
          <t>30-Dec-2025</t>
        </is>
      </c>
      <c r="G452" t="inlineStr">
        <is>
          <t>Tuesday</t>
        </is>
      </c>
      <c r="H452" t="inlineStr">
        <is>
          <t>Monthly - Tuesday</t>
        </is>
      </c>
      <c r="I452" t="inlineStr">
        <is>
          <t>Monthly - Tuesday</t>
        </is>
      </c>
      <c r="J452" t="inlineStr">
        <is>
          <t>Same Month Expiry</t>
        </is>
      </c>
      <c r="K452" s="25" t="n">
        <v>3644058</v>
      </c>
      <c r="L452" s="26" t="n">
        <v>7524.2513</v>
      </c>
      <c r="M452" s="26" t="n">
        <v>37.3143</v>
      </c>
    </row>
    <row r="453" ht="16" customHeight="1">
      <c r="A453" t="inlineStr">
        <is>
          <t>18-Dec-2025</t>
        </is>
      </c>
      <c r="B453" t="inlineStr">
        <is>
          <t>Thursday</t>
        </is>
      </c>
      <c r="C453" t="inlineStr">
        <is>
          <t>Week3-Dec-2025</t>
        </is>
      </c>
      <c r="D453" s="78" t="n">
        <v>45992</v>
      </c>
      <c r="E453" t="inlineStr">
        <is>
          <t>Q3FY26</t>
        </is>
      </c>
      <c r="F453" t="inlineStr">
        <is>
          <t>27-Jan-2026</t>
        </is>
      </c>
      <c r="G453" t="inlineStr">
        <is>
          <t>Tuesday</t>
        </is>
      </c>
      <c r="H453" t="inlineStr">
        <is>
          <t>Monthly - Tuesday</t>
        </is>
      </c>
      <c r="I453" t="inlineStr">
        <is>
          <t>Monthly - Tuesday</t>
        </is>
      </c>
      <c r="J453" t="inlineStr">
        <is>
          <t>Month+1 Expiry</t>
        </is>
      </c>
      <c r="K453" s="25" t="n">
        <v>130966</v>
      </c>
      <c r="L453" s="26" t="n">
        <v>234.5682</v>
      </c>
      <c r="M453" s="26" t="n">
        <v>2.3968</v>
      </c>
    </row>
    <row r="454" ht="16" customHeight="1">
      <c r="A454" t="inlineStr">
        <is>
          <t>18-Dec-2025</t>
        </is>
      </c>
      <c r="B454" t="inlineStr">
        <is>
          <t>Thursday</t>
        </is>
      </c>
      <c r="C454" t="inlineStr">
        <is>
          <t>Week3-Dec-2025</t>
        </is>
      </c>
      <c r="D454" s="78" t="n">
        <v>45992</v>
      </c>
      <c r="E454" t="inlineStr">
        <is>
          <t>Q3FY26</t>
        </is>
      </c>
      <c r="F454" t="inlineStr">
        <is>
          <t>24-Feb-2026</t>
        </is>
      </c>
      <c r="G454" t="inlineStr">
        <is>
          <t>Tuesday</t>
        </is>
      </c>
      <c r="H454" t="inlineStr">
        <is>
          <t>Monthly - Tuesday</t>
        </is>
      </c>
      <c r="I454" t="inlineStr">
        <is>
          <t>Monthly - Tuesday</t>
        </is>
      </c>
      <c r="J454" t="inlineStr">
        <is>
          <t>Month+2 Expiry</t>
        </is>
      </c>
      <c r="K454" s="25" t="n">
        <v>3173</v>
      </c>
      <c r="L454" s="26" t="n">
        <v>5.6935</v>
      </c>
      <c r="M454" s="26" t="n">
        <v>0.0636</v>
      </c>
    </row>
    <row r="455" ht="16" customHeight="1">
      <c r="A455" t="inlineStr">
        <is>
          <t>18-Dec-2025</t>
        </is>
      </c>
      <c r="B455" t="inlineStr">
        <is>
          <t>Thursday</t>
        </is>
      </c>
      <c r="C455" t="inlineStr">
        <is>
          <t>Week3-Dec-2025</t>
        </is>
      </c>
      <c r="D455" s="78" t="n">
        <v>45992</v>
      </c>
      <c r="E455" t="inlineStr">
        <is>
          <t>Q3FY26</t>
        </is>
      </c>
      <c r="F455" t="inlineStr">
        <is>
          <t>31-Mar-2026</t>
        </is>
      </c>
      <c r="G455" t="inlineStr">
        <is>
          <t>Tuesday</t>
        </is>
      </c>
      <c r="H455" t="inlineStr">
        <is>
          <t>Monthly - Tuesday</t>
        </is>
      </c>
      <c r="I455" t="inlineStr">
        <is>
          <t>Monthly - Tuesday</t>
        </is>
      </c>
      <c r="J455" t="inlineStr">
        <is>
          <t>Month+3 Expiry</t>
        </is>
      </c>
      <c r="K455" s="25" t="n">
        <v>779</v>
      </c>
      <c r="L455" s="26" t="n">
        <v>1.6266</v>
      </c>
      <c r="M455" s="26" t="n">
        <v>0.0257</v>
      </c>
    </row>
    <row r="456" ht="16" customHeight="1">
      <c r="A456" t="inlineStr">
        <is>
          <t>18-Dec-2025</t>
        </is>
      </c>
      <c r="B456" t="inlineStr">
        <is>
          <t>Thursday</t>
        </is>
      </c>
      <c r="C456" t="inlineStr">
        <is>
          <t>Week3-Dec-2025</t>
        </is>
      </c>
      <c r="D456" s="78" t="n">
        <v>45992</v>
      </c>
      <c r="E456" t="inlineStr">
        <is>
          <t>Q3FY26</t>
        </is>
      </c>
      <c r="F456" t="inlineStr">
        <is>
          <t>30-Jun-2026</t>
        </is>
      </c>
      <c r="G456" t="inlineStr">
        <is>
          <t>Tuesday</t>
        </is>
      </c>
      <c r="H456" t="inlineStr">
        <is>
          <t>Monthly - Tuesday</t>
        </is>
      </c>
      <c r="I456" t="inlineStr">
        <is>
          <t>Monthly - Tuesday</t>
        </is>
      </c>
      <c r="J456" t="inlineStr">
        <is>
          <t>Month+6 Expiry</t>
        </is>
      </c>
      <c r="K456" s="25" t="n">
        <v>0</v>
      </c>
      <c r="L456" s="26" t="n">
        <v>0</v>
      </c>
      <c r="M456" s="26" t="n">
        <v>0</v>
      </c>
    </row>
    <row r="457" ht="16" customHeight="1">
      <c r="A457" t="inlineStr">
        <is>
          <t>18-Dec-2025</t>
        </is>
      </c>
      <c r="B457" t="inlineStr">
        <is>
          <t>Thursday</t>
        </is>
      </c>
      <c r="C457" t="inlineStr">
        <is>
          <t>Week3-Dec-2025</t>
        </is>
      </c>
      <c r="D457" s="78" t="n">
        <v>45992</v>
      </c>
      <c r="E457" t="inlineStr">
        <is>
          <t>Q3FY26</t>
        </is>
      </c>
      <c r="F457" t="inlineStr">
        <is>
          <t>29-Sep-2026</t>
        </is>
      </c>
      <c r="G457" t="inlineStr">
        <is>
          <t>Tuesday</t>
        </is>
      </c>
      <c r="H457" t="inlineStr">
        <is>
          <t>Monthly - Tuesday</t>
        </is>
      </c>
      <c r="I457" t="inlineStr">
        <is>
          <t>Monthly - Tuesday</t>
        </is>
      </c>
      <c r="J457" t="inlineStr">
        <is>
          <t>Month+9 Expiry</t>
        </is>
      </c>
      <c r="K457" s="25" t="n">
        <v>0</v>
      </c>
      <c r="L457" s="26" t="n">
        <v>0</v>
      </c>
      <c r="M457" s="26" t="n">
        <v>0</v>
      </c>
    </row>
    <row r="458" ht="16" customHeight="1">
      <c r="A458" t="inlineStr">
        <is>
          <t>19-Dec-2025</t>
        </is>
      </c>
      <c r="B458" t="inlineStr">
        <is>
          <t>Friday</t>
        </is>
      </c>
      <c r="C458" t="inlineStr">
        <is>
          <t>Week3-Dec-2025</t>
        </is>
      </c>
      <c r="D458" s="78" t="n">
        <v>45992</v>
      </c>
      <c r="E458" t="inlineStr">
        <is>
          <t>Q3FY26</t>
        </is>
      </c>
      <c r="F458" t="inlineStr">
        <is>
          <t>30-Dec-2025</t>
        </is>
      </c>
      <c r="G458" t="inlineStr">
        <is>
          <t>Tuesday</t>
        </is>
      </c>
      <c r="H458" t="inlineStr">
        <is>
          <t>Monthly - Tuesday</t>
        </is>
      </c>
      <c r="I458" t="inlineStr">
        <is>
          <t>Monthly - Tuesday</t>
        </is>
      </c>
      <c r="J458" t="inlineStr">
        <is>
          <t>Same Month Expiry</t>
        </is>
      </c>
      <c r="K458" s="25" t="n">
        <v>3605550</v>
      </c>
      <c r="L458" s="26" t="n">
        <v>7427.5734</v>
      </c>
      <c r="M458" s="26" t="n">
        <v>34.7288</v>
      </c>
    </row>
    <row r="459" ht="16" customHeight="1">
      <c r="A459" t="inlineStr">
        <is>
          <t>19-Dec-2025</t>
        </is>
      </c>
      <c r="B459" t="inlineStr">
        <is>
          <t>Friday</t>
        </is>
      </c>
      <c r="C459" t="inlineStr">
        <is>
          <t>Week3-Dec-2025</t>
        </is>
      </c>
      <c r="D459" s="78" t="n">
        <v>45992</v>
      </c>
      <c r="E459" t="inlineStr">
        <is>
          <t>Q3FY26</t>
        </is>
      </c>
      <c r="F459" t="inlineStr">
        <is>
          <t>27-Jan-2026</t>
        </is>
      </c>
      <c r="G459" t="inlineStr">
        <is>
          <t>Tuesday</t>
        </is>
      </c>
      <c r="H459" t="inlineStr">
        <is>
          <t>Monthly - Tuesday</t>
        </is>
      </c>
      <c r="I459" t="inlineStr">
        <is>
          <t>Monthly - Tuesday</t>
        </is>
      </c>
      <c r="J459" t="inlineStr">
        <is>
          <t>Month+1 Expiry</t>
        </is>
      </c>
      <c r="K459" s="25" t="n">
        <v>102550</v>
      </c>
      <c r="L459" s="26" t="n">
        <v>183.857</v>
      </c>
      <c r="M459" s="26" t="n">
        <v>1.8372</v>
      </c>
    </row>
    <row r="460" ht="16" customHeight="1">
      <c r="A460" t="inlineStr">
        <is>
          <t>19-Dec-2025</t>
        </is>
      </c>
      <c r="B460" t="inlineStr">
        <is>
          <t>Friday</t>
        </is>
      </c>
      <c r="C460" t="inlineStr">
        <is>
          <t>Week3-Dec-2025</t>
        </is>
      </c>
      <c r="D460" s="78" t="n">
        <v>45992</v>
      </c>
      <c r="E460" t="inlineStr">
        <is>
          <t>Q3FY26</t>
        </is>
      </c>
      <c r="F460" t="inlineStr">
        <is>
          <t>24-Feb-2026</t>
        </is>
      </c>
      <c r="G460" t="inlineStr">
        <is>
          <t>Tuesday</t>
        </is>
      </c>
      <c r="H460" t="inlineStr">
        <is>
          <t>Monthly - Tuesday</t>
        </is>
      </c>
      <c r="I460" t="inlineStr">
        <is>
          <t>Monthly - Tuesday</t>
        </is>
      </c>
      <c r="J460" t="inlineStr">
        <is>
          <t>Month+2 Expiry</t>
        </is>
      </c>
      <c r="K460" s="25" t="n">
        <v>2940</v>
      </c>
      <c r="L460" s="26" t="n">
        <v>5.2924</v>
      </c>
      <c r="M460" s="26" t="n">
        <v>0.0561</v>
      </c>
    </row>
    <row r="461" ht="16" customHeight="1">
      <c r="A461" t="inlineStr">
        <is>
          <t>19-Dec-2025</t>
        </is>
      </c>
      <c r="B461" t="inlineStr">
        <is>
          <t>Friday</t>
        </is>
      </c>
      <c r="C461" t="inlineStr">
        <is>
          <t>Week3-Dec-2025</t>
        </is>
      </c>
      <c r="D461" s="78" t="n">
        <v>45992</v>
      </c>
      <c r="E461" t="inlineStr">
        <is>
          <t>Q3FY26</t>
        </is>
      </c>
      <c r="F461" t="inlineStr">
        <is>
          <t>31-Mar-2026</t>
        </is>
      </c>
      <c r="G461" t="inlineStr">
        <is>
          <t>Tuesday</t>
        </is>
      </c>
      <c r="H461" t="inlineStr">
        <is>
          <t>Monthly - Tuesday</t>
        </is>
      </c>
      <c r="I461" t="inlineStr">
        <is>
          <t>Monthly - Tuesday</t>
        </is>
      </c>
      <c r="J461" t="inlineStr">
        <is>
          <t>Month+3 Expiry</t>
        </is>
      </c>
      <c r="K461" s="25" t="n">
        <v>614</v>
      </c>
      <c r="L461" s="26" t="n">
        <v>1.2753</v>
      </c>
      <c r="M461" s="26" t="n">
        <v>0.0203</v>
      </c>
    </row>
    <row r="462" ht="16" customHeight="1">
      <c r="A462" t="inlineStr">
        <is>
          <t>19-Dec-2025</t>
        </is>
      </c>
      <c r="B462" t="inlineStr">
        <is>
          <t>Friday</t>
        </is>
      </c>
      <c r="C462" t="inlineStr">
        <is>
          <t>Week3-Dec-2025</t>
        </is>
      </c>
      <c r="D462" s="78" t="n">
        <v>45992</v>
      </c>
      <c r="E462" t="inlineStr">
        <is>
          <t>Q3FY26</t>
        </is>
      </c>
      <c r="F462" t="inlineStr">
        <is>
          <t>30-Jun-2026</t>
        </is>
      </c>
      <c r="G462" t="inlineStr">
        <is>
          <t>Tuesday</t>
        </is>
      </c>
      <c r="H462" t="inlineStr">
        <is>
          <t>Monthly - Tuesday</t>
        </is>
      </c>
      <c r="I462" t="inlineStr">
        <is>
          <t>Monthly - Tuesday</t>
        </is>
      </c>
      <c r="J462" t="inlineStr">
        <is>
          <t>Month+6 Expiry</t>
        </is>
      </c>
      <c r="K462" s="25" t="n">
        <v>0</v>
      </c>
      <c r="L462" s="26" t="n">
        <v>0</v>
      </c>
      <c r="M462" s="26" t="n">
        <v>0</v>
      </c>
    </row>
    <row r="463" ht="16" customHeight="1">
      <c r="A463" t="inlineStr">
        <is>
          <t>19-Dec-2025</t>
        </is>
      </c>
      <c r="B463" t="inlineStr">
        <is>
          <t>Friday</t>
        </is>
      </c>
      <c r="C463" t="inlineStr">
        <is>
          <t>Week3-Dec-2025</t>
        </is>
      </c>
      <c r="D463" s="78" t="n">
        <v>45992</v>
      </c>
      <c r="E463" t="inlineStr">
        <is>
          <t>Q3FY26</t>
        </is>
      </c>
      <c r="F463" t="inlineStr">
        <is>
          <t>29-Sep-2026</t>
        </is>
      </c>
      <c r="G463" t="inlineStr">
        <is>
          <t>Tuesday</t>
        </is>
      </c>
      <c r="H463" t="inlineStr">
        <is>
          <t>Monthly - Tuesday</t>
        </is>
      </c>
      <c r="I463" t="inlineStr">
        <is>
          <t>Monthly - Tuesday</t>
        </is>
      </c>
      <c r="J463" t="inlineStr">
        <is>
          <t>Month+9 Expiry</t>
        </is>
      </c>
      <c r="K463" s="25" t="n">
        <v>0</v>
      </c>
      <c r="L463" s="26" t="n">
        <v>0</v>
      </c>
      <c r="M463" s="26" t="n">
        <v>0</v>
      </c>
    </row>
    <row r="464" ht="16" customHeight="1">
      <c r="A464" t="inlineStr">
        <is>
          <t>22-Dec-2025</t>
        </is>
      </c>
      <c r="B464" t="inlineStr">
        <is>
          <t>Monday</t>
        </is>
      </c>
      <c r="C464" t="inlineStr">
        <is>
          <t>Week4-Dec-2025</t>
        </is>
      </c>
      <c r="D464" s="78" t="n">
        <v>45992</v>
      </c>
      <c r="E464" t="inlineStr">
        <is>
          <t>Q3FY26</t>
        </is>
      </c>
      <c r="F464" t="inlineStr">
        <is>
          <t>30-Dec-2025</t>
        </is>
      </c>
      <c r="G464" t="inlineStr">
        <is>
          <t>Tuesday</t>
        </is>
      </c>
      <c r="H464" t="inlineStr">
        <is>
          <t>Monthly - Tuesday</t>
        </is>
      </c>
      <c r="I464" t="inlineStr">
        <is>
          <t>Monthly - Tuesday</t>
        </is>
      </c>
      <c r="J464" t="inlineStr">
        <is>
          <t>Same Month Expiry</t>
        </is>
      </c>
      <c r="K464" s="25" t="n">
        <v>3028061</v>
      </c>
      <c r="L464" s="26" t="n">
        <v>6235.5817</v>
      </c>
      <c r="M464" s="26" t="n">
        <v>25.9656</v>
      </c>
    </row>
    <row r="465" ht="16" customHeight="1">
      <c r="A465" t="inlineStr">
        <is>
          <t>22-Dec-2025</t>
        </is>
      </c>
      <c r="B465" t="inlineStr">
        <is>
          <t>Monday</t>
        </is>
      </c>
      <c r="C465" t="inlineStr">
        <is>
          <t>Week4-Dec-2025</t>
        </is>
      </c>
      <c r="D465" s="78" t="n">
        <v>45992</v>
      </c>
      <c r="E465" t="inlineStr">
        <is>
          <t>Q3FY26</t>
        </is>
      </c>
      <c r="F465" t="inlineStr">
        <is>
          <t>27-Jan-2026</t>
        </is>
      </c>
      <c r="G465" t="inlineStr">
        <is>
          <t>Tuesday</t>
        </is>
      </c>
      <c r="H465" t="inlineStr">
        <is>
          <t>Monthly - Tuesday</t>
        </is>
      </c>
      <c r="I465" t="inlineStr">
        <is>
          <t>Monthly - Tuesday</t>
        </is>
      </c>
      <c r="J465" t="inlineStr">
        <is>
          <t>Month+1 Expiry</t>
        </is>
      </c>
      <c r="K465" s="25" t="n">
        <v>114264</v>
      </c>
      <c r="L465" s="26" t="n">
        <v>204.6945</v>
      </c>
      <c r="M465" s="26" t="n">
        <v>1.867</v>
      </c>
    </row>
    <row r="466" ht="16" customHeight="1">
      <c r="A466" t="inlineStr">
        <is>
          <t>22-Dec-2025</t>
        </is>
      </c>
      <c r="B466" t="inlineStr">
        <is>
          <t>Monday</t>
        </is>
      </c>
      <c r="C466" t="inlineStr">
        <is>
          <t>Week4-Dec-2025</t>
        </is>
      </c>
      <c r="D466" s="78" t="n">
        <v>45992</v>
      </c>
      <c r="E466" t="inlineStr">
        <is>
          <t>Q3FY26</t>
        </is>
      </c>
      <c r="F466" t="inlineStr">
        <is>
          <t>24-Feb-2026</t>
        </is>
      </c>
      <c r="G466" t="inlineStr">
        <is>
          <t>Tuesday</t>
        </is>
      </c>
      <c r="H466" t="inlineStr">
        <is>
          <t>Monthly - Tuesday</t>
        </is>
      </c>
      <c r="I466" t="inlineStr">
        <is>
          <t>Monthly - Tuesday</t>
        </is>
      </c>
      <c r="J466" t="inlineStr">
        <is>
          <t>Month+2 Expiry</t>
        </is>
      </c>
      <c r="K466" s="25" t="n">
        <v>4171</v>
      </c>
      <c r="L466" s="26" t="n">
        <v>7.4309</v>
      </c>
      <c r="M466" s="26" t="n">
        <v>0.0613</v>
      </c>
    </row>
    <row r="467" ht="16" customHeight="1">
      <c r="A467" t="inlineStr">
        <is>
          <t>22-Dec-2025</t>
        </is>
      </c>
      <c r="B467" t="inlineStr">
        <is>
          <t>Monday</t>
        </is>
      </c>
      <c r="C467" t="inlineStr">
        <is>
          <t>Week4-Dec-2025</t>
        </is>
      </c>
      <c r="D467" s="78" t="n">
        <v>45992</v>
      </c>
      <c r="E467" t="inlineStr">
        <is>
          <t>Q3FY26</t>
        </is>
      </c>
      <c r="F467" t="inlineStr">
        <is>
          <t>31-Mar-2026</t>
        </is>
      </c>
      <c r="G467" t="inlineStr">
        <is>
          <t>Tuesday</t>
        </is>
      </c>
      <c r="H467" t="inlineStr">
        <is>
          <t>Monthly - Tuesday</t>
        </is>
      </c>
      <c r="I467" t="inlineStr">
        <is>
          <t>Monthly - Tuesday</t>
        </is>
      </c>
      <c r="J467" t="inlineStr">
        <is>
          <t>Month+3 Expiry</t>
        </is>
      </c>
      <c r="K467" s="25" t="n">
        <v>769</v>
      </c>
      <c r="L467" s="26" t="n">
        <v>1.5935</v>
      </c>
      <c r="M467" s="26" t="n">
        <v>0.0283</v>
      </c>
    </row>
    <row r="468" ht="16" customHeight="1">
      <c r="A468" t="inlineStr">
        <is>
          <t>22-Dec-2025</t>
        </is>
      </c>
      <c r="B468" t="inlineStr">
        <is>
          <t>Monday</t>
        </is>
      </c>
      <c r="C468" t="inlineStr">
        <is>
          <t>Week4-Dec-2025</t>
        </is>
      </c>
      <c r="D468" s="78" t="n">
        <v>45992</v>
      </c>
      <c r="E468" t="inlineStr">
        <is>
          <t>Q3FY26</t>
        </is>
      </c>
      <c r="F468" t="inlineStr">
        <is>
          <t>30-Jun-2026</t>
        </is>
      </c>
      <c r="G468" t="inlineStr">
        <is>
          <t>Tuesday</t>
        </is>
      </c>
      <c r="H468" t="inlineStr">
        <is>
          <t>Monthly - Tuesday</t>
        </is>
      </c>
      <c r="I468" t="inlineStr">
        <is>
          <t>Monthly - Tuesday</t>
        </is>
      </c>
      <c r="J468" t="inlineStr">
        <is>
          <t>Month+6 Expiry</t>
        </is>
      </c>
      <c r="K468" s="25" t="n">
        <v>0</v>
      </c>
      <c r="L468" s="26" t="n">
        <v>0</v>
      </c>
      <c r="M468" s="26" t="n">
        <v>0</v>
      </c>
    </row>
    <row r="469" ht="16" customHeight="1">
      <c r="A469" t="inlineStr">
        <is>
          <t>22-Dec-2025</t>
        </is>
      </c>
      <c r="B469" t="inlineStr">
        <is>
          <t>Monday</t>
        </is>
      </c>
      <c r="C469" t="inlineStr">
        <is>
          <t>Week4-Dec-2025</t>
        </is>
      </c>
      <c r="D469" s="78" t="n">
        <v>45992</v>
      </c>
      <c r="E469" t="inlineStr">
        <is>
          <t>Q3FY26</t>
        </is>
      </c>
      <c r="F469" t="inlineStr">
        <is>
          <t>29-Sep-2026</t>
        </is>
      </c>
      <c r="G469" t="inlineStr">
        <is>
          <t>Tuesday</t>
        </is>
      </c>
      <c r="H469" t="inlineStr">
        <is>
          <t>Monthly - Tuesday</t>
        </is>
      </c>
      <c r="I469" t="inlineStr">
        <is>
          <t>Monthly - Tuesday</t>
        </is>
      </c>
      <c r="J469" t="inlineStr">
        <is>
          <t>Month+9 Expiry</t>
        </is>
      </c>
      <c r="K469" s="25" t="n">
        <v>0</v>
      </c>
      <c r="L469" s="26" t="n">
        <v>0</v>
      </c>
      <c r="M469" s="26" t="n">
        <v>0</v>
      </c>
    </row>
    <row r="470" ht="16" customHeight="1">
      <c r="A470" t="inlineStr">
        <is>
          <t>23-Dec-2025</t>
        </is>
      </c>
      <c r="B470" t="inlineStr">
        <is>
          <t>Tuesday</t>
        </is>
      </c>
      <c r="C470" t="inlineStr">
        <is>
          <t>Week4-Dec-2025</t>
        </is>
      </c>
      <c r="D470" s="78" t="n">
        <v>45992</v>
      </c>
      <c r="E470" t="inlineStr">
        <is>
          <t>Q3FY26</t>
        </is>
      </c>
      <c r="F470" t="inlineStr">
        <is>
          <t>30-Dec-2025</t>
        </is>
      </c>
      <c r="G470" t="inlineStr">
        <is>
          <t>Tuesday</t>
        </is>
      </c>
      <c r="H470" t="inlineStr">
        <is>
          <t>Monthly - Tuesday</t>
        </is>
      </c>
      <c r="I470" t="inlineStr">
        <is>
          <t>Monthly - Tuesday</t>
        </is>
      </c>
      <c r="J470" t="inlineStr">
        <is>
          <t>Same Month Expiry</t>
        </is>
      </c>
      <c r="K470" s="25" t="n">
        <v>3342654</v>
      </c>
      <c r="L470" s="26" t="n">
        <v>6890.1032</v>
      </c>
      <c r="M470" s="26" t="n">
        <v>23.2278</v>
      </c>
    </row>
    <row r="471" ht="16" customHeight="1">
      <c r="A471" t="inlineStr">
        <is>
          <t>23-Dec-2025</t>
        </is>
      </c>
      <c r="B471" t="inlineStr">
        <is>
          <t>Tuesday</t>
        </is>
      </c>
      <c r="C471" t="inlineStr">
        <is>
          <t>Week4-Dec-2025</t>
        </is>
      </c>
      <c r="D471" s="78" t="n">
        <v>45992</v>
      </c>
      <c r="E471" t="inlineStr">
        <is>
          <t>Q3FY26</t>
        </is>
      </c>
      <c r="F471" t="inlineStr">
        <is>
          <t>27-Jan-2026</t>
        </is>
      </c>
      <c r="G471" t="inlineStr">
        <is>
          <t>Tuesday</t>
        </is>
      </c>
      <c r="H471" t="inlineStr">
        <is>
          <t>Monthly - Tuesday</t>
        </is>
      </c>
      <c r="I471" t="inlineStr">
        <is>
          <t>Monthly - Tuesday</t>
        </is>
      </c>
      <c r="J471" t="inlineStr">
        <is>
          <t>Month+1 Expiry</t>
        </is>
      </c>
      <c r="K471" s="25" t="n">
        <v>103825</v>
      </c>
      <c r="L471" s="26" t="n">
        <v>186.1183</v>
      </c>
      <c r="M471" s="26" t="n">
        <v>1.6578</v>
      </c>
    </row>
    <row r="472" ht="16" customHeight="1">
      <c r="A472" t="inlineStr">
        <is>
          <t>23-Dec-2025</t>
        </is>
      </c>
      <c r="B472" t="inlineStr">
        <is>
          <t>Tuesday</t>
        </is>
      </c>
      <c r="C472" t="inlineStr">
        <is>
          <t>Week4-Dec-2025</t>
        </is>
      </c>
      <c r="D472" s="78" t="n">
        <v>45992</v>
      </c>
      <c r="E472" t="inlineStr">
        <is>
          <t>Q3FY26</t>
        </is>
      </c>
      <c r="F472" t="inlineStr">
        <is>
          <t>24-Feb-2026</t>
        </is>
      </c>
      <c r="G472" t="inlineStr">
        <is>
          <t>Tuesday</t>
        </is>
      </c>
      <c r="H472" t="inlineStr">
        <is>
          <t>Monthly - Tuesday</t>
        </is>
      </c>
      <c r="I472" t="inlineStr">
        <is>
          <t>Monthly - Tuesday</t>
        </is>
      </c>
      <c r="J472" t="inlineStr">
        <is>
          <t>Month+2 Expiry</t>
        </is>
      </c>
      <c r="K472" s="25" t="n">
        <v>3727</v>
      </c>
      <c r="L472" s="26" t="n">
        <v>6.6414</v>
      </c>
      <c r="M472" s="26" t="n">
        <v>0.06469999999999999</v>
      </c>
    </row>
    <row r="473" ht="16" customHeight="1">
      <c r="A473" t="inlineStr">
        <is>
          <t>23-Dec-2025</t>
        </is>
      </c>
      <c r="B473" t="inlineStr">
        <is>
          <t>Tuesday</t>
        </is>
      </c>
      <c r="C473" t="inlineStr">
        <is>
          <t>Week4-Dec-2025</t>
        </is>
      </c>
      <c r="D473" s="78" t="n">
        <v>45992</v>
      </c>
      <c r="E473" t="inlineStr">
        <is>
          <t>Q3FY26</t>
        </is>
      </c>
      <c r="F473" t="inlineStr">
        <is>
          <t>31-Mar-2026</t>
        </is>
      </c>
      <c r="G473" t="inlineStr">
        <is>
          <t>Tuesday</t>
        </is>
      </c>
      <c r="H473" t="inlineStr">
        <is>
          <t>Monthly - Tuesday</t>
        </is>
      </c>
      <c r="I473" t="inlineStr">
        <is>
          <t>Monthly - Tuesday</t>
        </is>
      </c>
      <c r="J473" t="inlineStr">
        <is>
          <t>Month+3 Expiry</t>
        </is>
      </c>
      <c r="K473" s="25" t="n">
        <v>1528</v>
      </c>
      <c r="L473" s="26" t="n">
        <v>3.1606</v>
      </c>
      <c r="M473" s="26" t="n">
        <v>0.0486</v>
      </c>
    </row>
    <row r="474" ht="16" customHeight="1">
      <c r="A474" t="inlineStr">
        <is>
          <t>23-Dec-2025</t>
        </is>
      </c>
      <c r="B474" t="inlineStr">
        <is>
          <t>Tuesday</t>
        </is>
      </c>
      <c r="C474" t="inlineStr">
        <is>
          <t>Week4-Dec-2025</t>
        </is>
      </c>
      <c r="D474" s="78" t="n">
        <v>45992</v>
      </c>
      <c r="E474" t="inlineStr">
        <is>
          <t>Q3FY26</t>
        </is>
      </c>
      <c r="F474" t="inlineStr">
        <is>
          <t>30-Jun-2026</t>
        </is>
      </c>
      <c r="G474" t="inlineStr">
        <is>
          <t>Tuesday</t>
        </is>
      </c>
      <c r="H474" t="inlineStr">
        <is>
          <t>Monthly - Tuesday</t>
        </is>
      </c>
      <c r="I474" t="inlineStr">
        <is>
          <t>Monthly - Tuesday</t>
        </is>
      </c>
      <c r="J474" t="inlineStr">
        <is>
          <t>Month+6 Expiry</t>
        </is>
      </c>
      <c r="K474" s="25" t="n">
        <v>0</v>
      </c>
      <c r="L474" s="26" t="n">
        <v>0</v>
      </c>
      <c r="M474" s="26" t="n">
        <v>0</v>
      </c>
    </row>
    <row r="475" ht="16" customHeight="1">
      <c r="A475" t="inlineStr">
        <is>
          <t>23-Dec-2025</t>
        </is>
      </c>
      <c r="B475" t="inlineStr">
        <is>
          <t>Tuesday</t>
        </is>
      </c>
      <c r="C475" t="inlineStr">
        <is>
          <t>Week4-Dec-2025</t>
        </is>
      </c>
      <c r="D475" s="78" t="n">
        <v>45992</v>
      </c>
      <c r="E475" t="inlineStr">
        <is>
          <t>Q3FY26</t>
        </is>
      </c>
      <c r="F475" t="inlineStr">
        <is>
          <t>29-Sep-2026</t>
        </is>
      </c>
      <c r="G475" t="inlineStr">
        <is>
          <t>Tuesday</t>
        </is>
      </c>
      <c r="H475" t="inlineStr">
        <is>
          <t>Monthly - Tuesday</t>
        </is>
      </c>
      <c r="I475" t="inlineStr">
        <is>
          <t>Monthly - Tuesday</t>
        </is>
      </c>
      <c r="J475" t="inlineStr">
        <is>
          <t>Month+9 Expiry</t>
        </is>
      </c>
      <c r="K475" s="25" t="n">
        <v>0</v>
      </c>
      <c r="L475" s="26" t="n">
        <v>0</v>
      </c>
      <c r="M475" s="26" t="n">
        <v>0</v>
      </c>
    </row>
    <row r="476" ht="16" customHeight="1">
      <c r="A476" t="inlineStr">
        <is>
          <t>24-Dec-2025</t>
        </is>
      </c>
      <c r="B476" t="inlineStr">
        <is>
          <t>Wednesday</t>
        </is>
      </c>
      <c r="C476" t="inlineStr">
        <is>
          <t>Week4-Dec-2025</t>
        </is>
      </c>
      <c r="D476" s="78" t="n">
        <v>45992</v>
      </c>
      <c r="E476" t="inlineStr">
        <is>
          <t>Q3FY26</t>
        </is>
      </c>
      <c r="F476" t="inlineStr">
        <is>
          <t>30-Dec-2025</t>
        </is>
      </c>
      <c r="G476" t="inlineStr">
        <is>
          <t>Tuesday</t>
        </is>
      </c>
      <c r="H476" t="inlineStr">
        <is>
          <t>Monthly - Tuesday</t>
        </is>
      </c>
      <c r="I476" t="inlineStr">
        <is>
          <t>Monthly - Tuesday</t>
        </is>
      </c>
      <c r="J476" t="inlineStr">
        <is>
          <t>Same Month Expiry</t>
        </is>
      </c>
      <c r="K476" s="25" t="n">
        <v>6051130</v>
      </c>
      <c r="L476" s="26" t="n">
        <v>12460.1771</v>
      </c>
      <c r="M476" s="26" t="n">
        <v>32.3745</v>
      </c>
    </row>
    <row r="477" ht="16" customHeight="1">
      <c r="A477" t="inlineStr">
        <is>
          <t>24-Dec-2025</t>
        </is>
      </c>
      <c r="B477" t="inlineStr">
        <is>
          <t>Wednesday</t>
        </is>
      </c>
      <c r="C477" t="inlineStr">
        <is>
          <t>Week4-Dec-2025</t>
        </is>
      </c>
      <c r="D477" s="78" t="n">
        <v>45992</v>
      </c>
      <c r="E477" t="inlineStr">
        <is>
          <t>Q3FY26</t>
        </is>
      </c>
      <c r="F477" t="inlineStr">
        <is>
          <t>27-Jan-2026</t>
        </is>
      </c>
      <c r="G477" t="inlineStr">
        <is>
          <t>Tuesday</t>
        </is>
      </c>
      <c r="H477" t="inlineStr">
        <is>
          <t>Monthly - Tuesday</t>
        </is>
      </c>
      <c r="I477" t="inlineStr">
        <is>
          <t>Monthly - Tuesday</t>
        </is>
      </c>
      <c r="J477" t="inlineStr">
        <is>
          <t>Month+1 Expiry</t>
        </is>
      </c>
      <c r="K477" s="25" t="n">
        <v>183087</v>
      </c>
      <c r="L477" s="26" t="n">
        <v>328.1066</v>
      </c>
      <c r="M477" s="26" t="n">
        <v>2.9802</v>
      </c>
    </row>
    <row r="478" ht="16" customHeight="1">
      <c r="A478" t="inlineStr">
        <is>
          <t>24-Dec-2025</t>
        </is>
      </c>
      <c r="B478" t="inlineStr">
        <is>
          <t>Wednesday</t>
        </is>
      </c>
      <c r="C478" t="inlineStr">
        <is>
          <t>Week4-Dec-2025</t>
        </is>
      </c>
      <c r="D478" s="78" t="n">
        <v>45992</v>
      </c>
      <c r="E478" t="inlineStr">
        <is>
          <t>Q3FY26</t>
        </is>
      </c>
      <c r="F478" t="inlineStr">
        <is>
          <t>24-Feb-2026</t>
        </is>
      </c>
      <c r="G478" t="inlineStr">
        <is>
          <t>Tuesday</t>
        </is>
      </c>
      <c r="H478" t="inlineStr">
        <is>
          <t>Monthly - Tuesday</t>
        </is>
      </c>
      <c r="I478" t="inlineStr">
        <is>
          <t>Monthly - Tuesday</t>
        </is>
      </c>
      <c r="J478" t="inlineStr">
        <is>
          <t>Month+2 Expiry</t>
        </is>
      </c>
      <c r="K478" s="25" t="n">
        <v>6487</v>
      </c>
      <c r="L478" s="26" t="n">
        <v>11.6971</v>
      </c>
      <c r="M478" s="26" t="n">
        <v>0.1201</v>
      </c>
    </row>
    <row r="479" ht="16" customHeight="1">
      <c r="A479" t="inlineStr">
        <is>
          <t>24-Dec-2025</t>
        </is>
      </c>
      <c r="B479" t="inlineStr">
        <is>
          <t>Wednesday</t>
        </is>
      </c>
      <c r="C479" t="inlineStr">
        <is>
          <t>Week4-Dec-2025</t>
        </is>
      </c>
      <c r="D479" s="78" t="n">
        <v>45992</v>
      </c>
      <c r="E479" t="inlineStr">
        <is>
          <t>Q3FY26</t>
        </is>
      </c>
      <c r="F479" t="inlineStr">
        <is>
          <t>31-Mar-2026</t>
        </is>
      </c>
      <c r="G479" t="inlineStr">
        <is>
          <t>Tuesday</t>
        </is>
      </c>
      <c r="H479" t="inlineStr">
        <is>
          <t>Monthly - Tuesday</t>
        </is>
      </c>
      <c r="I479" t="inlineStr">
        <is>
          <t>Monthly - Tuesday</t>
        </is>
      </c>
      <c r="J479" t="inlineStr">
        <is>
          <t>Month+3 Expiry</t>
        </is>
      </c>
      <c r="K479" s="25" t="n">
        <v>1812</v>
      </c>
      <c r="L479" s="26" t="n">
        <v>3.8454</v>
      </c>
      <c r="M479" s="26" t="n">
        <v>0.0725</v>
      </c>
    </row>
    <row r="480" ht="16" customHeight="1">
      <c r="A480" t="inlineStr">
        <is>
          <t>24-Dec-2025</t>
        </is>
      </c>
      <c r="B480" t="inlineStr">
        <is>
          <t>Wednesday</t>
        </is>
      </c>
      <c r="C480" t="inlineStr">
        <is>
          <t>Week4-Dec-2025</t>
        </is>
      </c>
      <c r="D480" s="78" t="n">
        <v>45992</v>
      </c>
      <c r="E480" t="inlineStr">
        <is>
          <t>Q3FY26</t>
        </is>
      </c>
      <c r="F480" t="inlineStr">
        <is>
          <t>30-Jun-2026</t>
        </is>
      </c>
      <c r="G480" t="inlineStr">
        <is>
          <t>Tuesday</t>
        </is>
      </c>
      <c r="H480" t="inlineStr">
        <is>
          <t>Monthly - Tuesday</t>
        </is>
      </c>
      <c r="I480" t="inlineStr">
        <is>
          <t>Monthly - Tuesday</t>
        </is>
      </c>
      <c r="J480" t="inlineStr">
        <is>
          <t>Month+6 Expiry</t>
        </is>
      </c>
      <c r="K480" s="25" t="n">
        <v>0</v>
      </c>
      <c r="L480" s="26" t="n">
        <v>0</v>
      </c>
      <c r="M480" s="26" t="n">
        <v>0</v>
      </c>
    </row>
    <row r="481" ht="16" customHeight="1">
      <c r="A481" t="inlineStr">
        <is>
          <t>24-Dec-2025</t>
        </is>
      </c>
      <c r="B481" t="inlineStr">
        <is>
          <t>Wednesday</t>
        </is>
      </c>
      <c r="C481" t="inlineStr">
        <is>
          <t>Week4-Dec-2025</t>
        </is>
      </c>
      <c r="D481" s="78" t="n">
        <v>45992</v>
      </c>
      <c r="E481" t="inlineStr">
        <is>
          <t>Q3FY26</t>
        </is>
      </c>
      <c r="F481" t="inlineStr">
        <is>
          <t>29-Sep-2026</t>
        </is>
      </c>
      <c r="G481" t="inlineStr">
        <is>
          <t>Tuesday</t>
        </is>
      </c>
      <c r="H481" t="inlineStr">
        <is>
          <t>Monthly - Tuesday</t>
        </is>
      </c>
      <c r="I481" t="inlineStr">
        <is>
          <t>Monthly - Tuesday</t>
        </is>
      </c>
      <c r="J481" t="inlineStr">
        <is>
          <t>Month+9 Expiry</t>
        </is>
      </c>
      <c r="K481" s="25" t="n">
        <v>0</v>
      </c>
      <c r="L481" s="26" t="n">
        <v>0</v>
      </c>
      <c r="M481" s="26" t="n">
        <v>0</v>
      </c>
    </row>
    <row r="482" ht="16" customHeight="1">
      <c r="A482" t="inlineStr">
        <is>
          <t>26-Dec-2025</t>
        </is>
      </c>
      <c r="B482" t="inlineStr">
        <is>
          <t>Friday</t>
        </is>
      </c>
      <c r="C482" t="inlineStr">
        <is>
          <t>Week4-Dec-2025</t>
        </is>
      </c>
      <c r="D482" s="78" t="n">
        <v>45992</v>
      </c>
      <c r="E482" t="inlineStr">
        <is>
          <t>Q3FY26</t>
        </is>
      </c>
      <c r="F482" t="inlineStr">
        <is>
          <t>30-Dec-2025</t>
        </is>
      </c>
      <c r="G482" t="inlineStr">
        <is>
          <t>Tuesday</t>
        </is>
      </c>
      <c r="H482" t="inlineStr">
        <is>
          <t>Monthly - Tuesday</t>
        </is>
      </c>
      <c r="I482" t="inlineStr">
        <is>
          <t>Monthly - Tuesday</t>
        </is>
      </c>
      <c r="J482" t="inlineStr">
        <is>
          <t>Same Month Expiry</t>
        </is>
      </c>
      <c r="K482" s="25" t="n">
        <v>9201123</v>
      </c>
      <c r="L482" s="26" t="n">
        <v>18815.8161</v>
      </c>
      <c r="M482" s="26" t="n">
        <v>40.2661</v>
      </c>
    </row>
    <row r="483" ht="16" customHeight="1">
      <c r="A483" t="inlineStr">
        <is>
          <t>26-Dec-2025</t>
        </is>
      </c>
      <c r="B483" t="inlineStr">
        <is>
          <t>Friday</t>
        </is>
      </c>
      <c r="C483" t="inlineStr">
        <is>
          <t>Week4-Dec-2025</t>
        </is>
      </c>
      <c r="D483" s="78" t="n">
        <v>45992</v>
      </c>
      <c r="E483" t="inlineStr">
        <is>
          <t>Q3FY26</t>
        </is>
      </c>
      <c r="F483" t="inlineStr">
        <is>
          <t>27-Jan-2026</t>
        </is>
      </c>
      <c r="G483" t="inlineStr">
        <is>
          <t>Tuesday</t>
        </is>
      </c>
      <c r="H483" t="inlineStr">
        <is>
          <t>Monthly - Tuesday</t>
        </is>
      </c>
      <c r="I483" t="inlineStr">
        <is>
          <t>Monthly - Tuesday</t>
        </is>
      </c>
      <c r="J483" t="inlineStr">
        <is>
          <t>Month+1 Expiry</t>
        </is>
      </c>
      <c r="K483" s="25" t="n">
        <v>260010</v>
      </c>
      <c r="L483" s="26" t="n">
        <v>465.4661</v>
      </c>
      <c r="M483" s="26" t="n">
        <v>4.4732</v>
      </c>
    </row>
    <row r="484" ht="16" customHeight="1">
      <c r="A484" t="inlineStr">
        <is>
          <t>26-Dec-2025</t>
        </is>
      </c>
      <c r="B484" t="inlineStr">
        <is>
          <t>Friday</t>
        </is>
      </c>
      <c r="C484" t="inlineStr">
        <is>
          <t>Week4-Dec-2025</t>
        </is>
      </c>
      <c r="D484" s="78" t="n">
        <v>45992</v>
      </c>
      <c r="E484" t="inlineStr">
        <is>
          <t>Q3FY26</t>
        </is>
      </c>
      <c r="F484" t="inlineStr">
        <is>
          <t>24-Feb-2026</t>
        </is>
      </c>
      <c r="G484" t="inlineStr">
        <is>
          <t>Tuesday</t>
        </is>
      </c>
      <c r="H484" t="inlineStr">
        <is>
          <t>Monthly - Tuesday</t>
        </is>
      </c>
      <c r="I484" t="inlineStr">
        <is>
          <t>Monthly - Tuesday</t>
        </is>
      </c>
      <c r="J484" t="inlineStr">
        <is>
          <t>Month+2 Expiry</t>
        </is>
      </c>
      <c r="K484" s="25" t="n">
        <v>10395</v>
      </c>
      <c r="L484" s="26" t="n">
        <v>18.6006</v>
      </c>
      <c r="M484" s="26" t="n">
        <v>0.1798</v>
      </c>
    </row>
    <row r="485" ht="16" customHeight="1">
      <c r="A485" t="inlineStr">
        <is>
          <t>26-Dec-2025</t>
        </is>
      </c>
      <c r="B485" t="inlineStr">
        <is>
          <t>Friday</t>
        </is>
      </c>
      <c r="C485" t="inlineStr">
        <is>
          <t>Week4-Dec-2025</t>
        </is>
      </c>
      <c r="D485" s="78" t="n">
        <v>45992</v>
      </c>
      <c r="E485" t="inlineStr">
        <is>
          <t>Q3FY26</t>
        </is>
      </c>
      <c r="F485" t="inlineStr">
        <is>
          <t>31-Mar-2026</t>
        </is>
      </c>
      <c r="G485" t="inlineStr">
        <is>
          <t>Tuesday</t>
        </is>
      </c>
      <c r="H485" t="inlineStr">
        <is>
          <t>Monthly - Tuesday</t>
        </is>
      </c>
      <c r="I485" t="inlineStr">
        <is>
          <t>Monthly - Tuesday</t>
        </is>
      </c>
      <c r="J485" t="inlineStr">
        <is>
          <t>Month+3 Expiry</t>
        </is>
      </c>
      <c r="K485" s="25" t="n">
        <v>1782</v>
      </c>
      <c r="L485" s="26" t="n">
        <v>3.7052</v>
      </c>
      <c r="M485" s="26" t="n">
        <v>0.0594</v>
      </c>
    </row>
    <row r="486" ht="16" customHeight="1">
      <c r="A486" t="inlineStr">
        <is>
          <t>26-Dec-2025</t>
        </is>
      </c>
      <c r="B486" t="inlineStr">
        <is>
          <t>Friday</t>
        </is>
      </c>
      <c r="C486" t="inlineStr">
        <is>
          <t>Week4-Dec-2025</t>
        </is>
      </c>
      <c r="D486" s="78" t="n">
        <v>45992</v>
      </c>
      <c r="E486" t="inlineStr">
        <is>
          <t>Q3FY26</t>
        </is>
      </c>
      <c r="F486" t="inlineStr">
        <is>
          <t>30-Jun-2026</t>
        </is>
      </c>
      <c r="G486" t="inlineStr">
        <is>
          <t>Tuesday</t>
        </is>
      </c>
      <c r="H486" t="inlineStr">
        <is>
          <t>Monthly - Tuesday</t>
        </is>
      </c>
      <c r="I486" t="inlineStr">
        <is>
          <t>Monthly - Tuesday</t>
        </is>
      </c>
      <c r="J486" t="inlineStr">
        <is>
          <t>Month+6 Expiry</t>
        </is>
      </c>
      <c r="K486" s="25" t="n">
        <v>0</v>
      </c>
      <c r="L486" s="26" t="n">
        <v>0</v>
      </c>
      <c r="M486" s="26" t="n">
        <v>0</v>
      </c>
    </row>
    <row r="487" ht="16" customHeight="1">
      <c r="A487" t="inlineStr">
        <is>
          <t>26-Dec-2025</t>
        </is>
      </c>
      <c r="B487" t="inlineStr">
        <is>
          <t>Friday</t>
        </is>
      </c>
      <c r="C487" t="inlineStr">
        <is>
          <t>Week4-Dec-2025</t>
        </is>
      </c>
      <c r="D487" s="78" t="n">
        <v>45992</v>
      </c>
      <c r="E487" t="inlineStr">
        <is>
          <t>Q3FY26</t>
        </is>
      </c>
      <c r="F487" t="inlineStr">
        <is>
          <t>29-Sep-2026</t>
        </is>
      </c>
      <c r="G487" t="inlineStr">
        <is>
          <t>Tuesday</t>
        </is>
      </c>
      <c r="H487" t="inlineStr">
        <is>
          <t>Monthly - Tuesday</t>
        </is>
      </c>
      <c r="I487" t="inlineStr">
        <is>
          <t>Monthly - Tuesday</t>
        </is>
      </c>
      <c r="J487" t="inlineStr">
        <is>
          <t>Month+9 Expiry</t>
        </is>
      </c>
      <c r="K487" s="25" t="n">
        <v>0</v>
      </c>
      <c r="L487" s="26" t="n">
        <v>0</v>
      </c>
      <c r="M487" s="26" t="n">
        <v>0</v>
      </c>
    </row>
    <row r="488" ht="16" customHeight="1">
      <c r="A488" t="inlineStr">
        <is>
          <t>29-Dec-2025</t>
        </is>
      </c>
      <c r="B488" t="inlineStr">
        <is>
          <t>Monday</t>
        </is>
      </c>
      <c r="C488" t="inlineStr">
        <is>
          <t>Week5-Dec-2025</t>
        </is>
      </c>
      <c r="D488" s="78" t="n">
        <v>45992</v>
      </c>
      <c r="E488" t="inlineStr">
        <is>
          <t>Q3FY26</t>
        </is>
      </c>
      <c r="F488" t="inlineStr">
        <is>
          <t>30-Dec-2025</t>
        </is>
      </c>
      <c r="G488" t="inlineStr">
        <is>
          <t>Tuesday</t>
        </is>
      </c>
      <c r="H488" t="inlineStr">
        <is>
          <t>Monthly - Tuesday</t>
        </is>
      </c>
      <c r="I488" t="inlineStr">
        <is>
          <t>Monthly - Tuesday</t>
        </is>
      </c>
      <c r="J488" t="inlineStr">
        <is>
          <t>Same Month Expiry</t>
        </is>
      </c>
      <c r="K488" s="25" t="n">
        <v>17345726</v>
      </c>
      <c r="L488" s="26" t="n">
        <v>35369.2564</v>
      </c>
      <c r="M488" s="26" t="n">
        <v>56.5287</v>
      </c>
    </row>
    <row r="489" ht="16" customHeight="1">
      <c r="A489" t="inlineStr">
        <is>
          <t>29-Dec-2025</t>
        </is>
      </c>
      <c r="B489" t="inlineStr">
        <is>
          <t>Monday</t>
        </is>
      </c>
      <c r="C489" t="inlineStr">
        <is>
          <t>Week5-Dec-2025</t>
        </is>
      </c>
      <c r="D489" s="78" t="n">
        <v>45992</v>
      </c>
      <c r="E489" t="inlineStr">
        <is>
          <t>Q3FY26</t>
        </is>
      </c>
      <c r="F489" t="inlineStr">
        <is>
          <t>27-Jan-2026</t>
        </is>
      </c>
      <c r="G489" t="inlineStr">
        <is>
          <t>Tuesday</t>
        </is>
      </c>
      <c r="H489" t="inlineStr">
        <is>
          <t>Monthly - Tuesday</t>
        </is>
      </c>
      <c r="I489" t="inlineStr">
        <is>
          <t>Monthly - Tuesday</t>
        </is>
      </c>
      <c r="J489" t="inlineStr">
        <is>
          <t>Month+1 Expiry</t>
        </is>
      </c>
      <c r="K489" s="25" t="n">
        <v>363743</v>
      </c>
      <c r="L489" s="26" t="n">
        <v>650.4281</v>
      </c>
      <c r="M489" s="26" t="n">
        <v>6.4892</v>
      </c>
    </row>
    <row r="490" ht="16" customHeight="1">
      <c r="A490" t="inlineStr">
        <is>
          <t>29-Dec-2025</t>
        </is>
      </c>
      <c r="B490" t="inlineStr">
        <is>
          <t>Monday</t>
        </is>
      </c>
      <c r="C490" t="inlineStr">
        <is>
          <t>Week5-Dec-2025</t>
        </is>
      </c>
      <c r="D490" s="78" t="n">
        <v>45992</v>
      </c>
      <c r="E490" t="inlineStr">
        <is>
          <t>Q3FY26</t>
        </is>
      </c>
      <c r="F490" t="inlineStr">
        <is>
          <t>24-Feb-2026</t>
        </is>
      </c>
      <c r="G490" t="inlineStr">
        <is>
          <t>Tuesday</t>
        </is>
      </c>
      <c r="H490" t="inlineStr">
        <is>
          <t>Monthly - Tuesday</t>
        </is>
      </c>
      <c r="I490" t="inlineStr">
        <is>
          <t>Monthly - Tuesday</t>
        </is>
      </c>
      <c r="J490" t="inlineStr">
        <is>
          <t>Month+2 Expiry</t>
        </is>
      </c>
      <c r="K490" s="25" t="n">
        <v>15249</v>
      </c>
      <c r="L490" s="26" t="n">
        <v>27.0915</v>
      </c>
      <c r="M490" s="26" t="n">
        <v>0.2339</v>
      </c>
    </row>
    <row r="491" ht="16" customHeight="1">
      <c r="A491" t="inlineStr">
        <is>
          <t>29-Dec-2025</t>
        </is>
      </c>
      <c r="B491" t="inlineStr">
        <is>
          <t>Monday</t>
        </is>
      </c>
      <c r="C491" t="inlineStr">
        <is>
          <t>Week5-Dec-2025</t>
        </is>
      </c>
      <c r="D491" s="78" t="n">
        <v>45992</v>
      </c>
      <c r="E491" t="inlineStr">
        <is>
          <t>Q3FY26</t>
        </is>
      </c>
      <c r="F491" t="inlineStr">
        <is>
          <t>30-Mar-2026</t>
        </is>
      </c>
      <c r="G491" t="inlineStr">
        <is>
          <t>Monday</t>
        </is>
      </c>
      <c r="H491" t="inlineStr">
        <is>
          <t>Monthly - Monday</t>
        </is>
      </c>
      <c r="I491" t="inlineStr">
        <is>
          <t>Monthly - Monday</t>
        </is>
      </c>
      <c r="J491" t="inlineStr">
        <is>
          <t>Month+3 Expiry</t>
        </is>
      </c>
      <c r="K491" s="25" t="n">
        <v>4448</v>
      </c>
      <c r="L491" s="26" t="n">
        <v>9.1615</v>
      </c>
      <c r="M491" s="26" t="n">
        <v>0.149</v>
      </c>
    </row>
    <row r="492" ht="16" customHeight="1">
      <c r="A492" t="inlineStr">
        <is>
          <t>29-Dec-2025</t>
        </is>
      </c>
      <c r="B492" t="inlineStr">
        <is>
          <t>Monday</t>
        </is>
      </c>
      <c r="C492" t="inlineStr">
        <is>
          <t>Week5-Dec-2025</t>
        </is>
      </c>
      <c r="D492" s="78" t="n">
        <v>45992</v>
      </c>
      <c r="E492" t="inlineStr">
        <is>
          <t>Q3FY26</t>
        </is>
      </c>
      <c r="F492" t="inlineStr">
        <is>
          <t>30-Jun-2026</t>
        </is>
      </c>
      <c r="G492" t="inlineStr">
        <is>
          <t>Tuesday</t>
        </is>
      </c>
      <c r="H492" t="inlineStr">
        <is>
          <t>Monthly - Tuesday</t>
        </is>
      </c>
      <c r="I492" t="inlineStr">
        <is>
          <t>Monthly - Tuesday</t>
        </is>
      </c>
      <c r="J492" t="inlineStr">
        <is>
          <t>Month+6 Expiry</t>
        </is>
      </c>
      <c r="K492" s="25" t="n">
        <v>0</v>
      </c>
      <c r="L492" s="26" t="n">
        <v>0</v>
      </c>
      <c r="M492" s="26" t="n">
        <v>0</v>
      </c>
    </row>
    <row r="493" ht="16" customHeight="1">
      <c r="A493" t="inlineStr">
        <is>
          <t>29-Dec-2025</t>
        </is>
      </c>
      <c r="B493" t="inlineStr">
        <is>
          <t>Monday</t>
        </is>
      </c>
      <c r="C493" t="inlineStr">
        <is>
          <t>Week5-Dec-2025</t>
        </is>
      </c>
      <c r="D493" s="78" t="n">
        <v>45992</v>
      </c>
      <c r="E493" t="inlineStr">
        <is>
          <t>Q3FY26</t>
        </is>
      </c>
      <c r="F493" t="inlineStr">
        <is>
          <t>29-Sep-2026</t>
        </is>
      </c>
      <c r="G493" t="inlineStr">
        <is>
          <t>Tuesday</t>
        </is>
      </c>
      <c r="H493" t="inlineStr">
        <is>
          <t>Monthly - Tuesday</t>
        </is>
      </c>
      <c r="I493" t="inlineStr">
        <is>
          <t>Monthly - Tuesday</t>
        </is>
      </c>
      <c r="J493" t="inlineStr">
        <is>
          <t>Month+9 Expiry</t>
        </is>
      </c>
      <c r="K493" s="25" t="n">
        <v>0</v>
      </c>
      <c r="L493" s="26" t="n">
        <v>0</v>
      </c>
      <c r="M493" s="26" t="n">
        <v>0</v>
      </c>
    </row>
    <row r="494" ht="16" customHeight="1">
      <c r="A494" t="inlineStr">
        <is>
          <t>30-Dec-2025</t>
        </is>
      </c>
      <c r="B494" t="inlineStr">
        <is>
          <t>Tuesday</t>
        </is>
      </c>
      <c r="C494" t="inlineStr">
        <is>
          <t>Week5-Dec-2025</t>
        </is>
      </c>
      <c r="D494" s="78" t="n">
        <v>45992</v>
      </c>
      <c r="E494" t="inlineStr">
        <is>
          <t>Q3FY26</t>
        </is>
      </c>
      <c r="F494" t="inlineStr">
        <is>
          <t>30-Dec-2025</t>
        </is>
      </c>
      <c r="G494" t="inlineStr">
        <is>
          <t>Tuesday</t>
        </is>
      </c>
      <c r="H494" t="inlineStr">
        <is>
          <t>Monthly - Tuesday</t>
        </is>
      </c>
      <c r="I494" t="inlineStr">
        <is>
          <t>Monthly - Tuesday</t>
        </is>
      </c>
      <c r="J494" t="inlineStr">
        <is>
          <t>Same Month Expiry</t>
        </is>
      </c>
      <c r="K494" s="25" t="n">
        <v>78603896</v>
      </c>
      <c r="L494" s="26" t="n">
        <v>160321.2023</v>
      </c>
      <c r="M494" s="26" t="n">
        <v>131.0123</v>
      </c>
    </row>
    <row r="495" ht="16" customHeight="1">
      <c r="A495" t="inlineStr">
        <is>
          <t>30-Dec-2025</t>
        </is>
      </c>
      <c r="B495" t="inlineStr">
        <is>
          <t>Tuesday</t>
        </is>
      </c>
      <c r="C495" t="inlineStr">
        <is>
          <t>Week5-Dec-2025</t>
        </is>
      </c>
      <c r="D495" s="78" t="n">
        <v>45992</v>
      </c>
      <c r="E495" t="inlineStr">
        <is>
          <t>Q3FY26</t>
        </is>
      </c>
      <c r="F495" t="inlineStr">
        <is>
          <t>27-Jan-2026</t>
        </is>
      </c>
      <c r="G495" t="inlineStr">
        <is>
          <t>Tuesday</t>
        </is>
      </c>
      <c r="H495" t="inlineStr">
        <is>
          <t>Monthly - Tuesday</t>
        </is>
      </c>
      <c r="I495" t="inlineStr">
        <is>
          <t>Monthly - Tuesday</t>
        </is>
      </c>
      <c r="J495" t="inlineStr">
        <is>
          <t>Month+1 Expiry</t>
        </is>
      </c>
      <c r="K495" s="25" t="n">
        <v>765819</v>
      </c>
      <c r="L495" s="26" t="n">
        <v>1363.3819</v>
      </c>
      <c r="M495" s="26" t="n">
        <v>12.1024</v>
      </c>
    </row>
    <row r="496" ht="16" customHeight="1">
      <c r="A496" t="inlineStr">
        <is>
          <t>30-Dec-2025</t>
        </is>
      </c>
      <c r="B496" t="inlineStr">
        <is>
          <t>Tuesday</t>
        </is>
      </c>
      <c r="C496" t="inlineStr">
        <is>
          <t>Week5-Dec-2025</t>
        </is>
      </c>
      <c r="D496" s="78" t="n">
        <v>45992</v>
      </c>
      <c r="E496" t="inlineStr">
        <is>
          <t>Q3FY26</t>
        </is>
      </c>
      <c r="F496" t="inlineStr">
        <is>
          <t>24-Feb-2026</t>
        </is>
      </c>
      <c r="G496" t="inlineStr">
        <is>
          <t>Tuesday</t>
        </is>
      </c>
      <c r="H496" t="inlineStr">
        <is>
          <t>Monthly - Tuesday</t>
        </is>
      </c>
      <c r="I496" t="inlineStr">
        <is>
          <t>Monthly - Tuesday</t>
        </is>
      </c>
      <c r="J496" t="inlineStr">
        <is>
          <t>Month+2 Expiry</t>
        </is>
      </c>
      <c r="K496" s="25" t="n">
        <v>12656</v>
      </c>
      <c r="L496" s="26" t="n">
        <v>22.8036</v>
      </c>
      <c r="M496" s="26" t="n">
        <v>0.2343</v>
      </c>
    </row>
    <row r="497" ht="16" customHeight="1">
      <c r="A497" t="inlineStr">
        <is>
          <t>30-Dec-2025</t>
        </is>
      </c>
      <c r="B497" t="inlineStr">
        <is>
          <t>Tuesday</t>
        </is>
      </c>
      <c r="C497" t="inlineStr">
        <is>
          <t>Week5-Dec-2025</t>
        </is>
      </c>
      <c r="D497" s="78" t="n">
        <v>45992</v>
      </c>
      <c r="E497" t="inlineStr">
        <is>
          <t>Q3FY26</t>
        </is>
      </c>
      <c r="F497" t="inlineStr">
        <is>
          <t>30-Mar-2026</t>
        </is>
      </c>
      <c r="G497" t="inlineStr">
        <is>
          <t>Monday</t>
        </is>
      </c>
      <c r="H497" t="inlineStr">
        <is>
          <t>Monthly - Monday</t>
        </is>
      </c>
      <c r="I497" t="inlineStr">
        <is>
          <t>Monthly - Monday</t>
        </is>
      </c>
      <c r="J497" t="inlineStr">
        <is>
          <t>Month+3 Expiry</t>
        </is>
      </c>
      <c r="K497" s="25" t="n">
        <v>4061</v>
      </c>
      <c r="L497" s="26" t="n">
        <v>8.429500000000001</v>
      </c>
      <c r="M497" s="26" t="n">
        <v>0.1191</v>
      </c>
    </row>
    <row r="498" ht="16" customHeight="1">
      <c r="A498" t="inlineStr">
        <is>
          <t>30-Dec-2025</t>
        </is>
      </c>
      <c r="B498" t="inlineStr">
        <is>
          <t>Tuesday</t>
        </is>
      </c>
      <c r="C498" t="inlineStr">
        <is>
          <t>Week5-Dec-2025</t>
        </is>
      </c>
      <c r="D498" s="78" t="n">
        <v>45992</v>
      </c>
      <c r="E498" t="inlineStr">
        <is>
          <t>Q3FY26</t>
        </is>
      </c>
      <c r="F498" t="inlineStr">
        <is>
          <t>30-Jun-2026</t>
        </is>
      </c>
      <c r="G498" t="inlineStr">
        <is>
          <t>Tuesday</t>
        </is>
      </c>
      <c r="H498" t="inlineStr">
        <is>
          <t>Monthly - Tuesday</t>
        </is>
      </c>
      <c r="I498" t="inlineStr">
        <is>
          <t>Monthly - Tuesday</t>
        </is>
      </c>
      <c r="J498" t="inlineStr">
        <is>
          <t>Month+6 Expiry</t>
        </is>
      </c>
      <c r="K498" s="25" t="n">
        <v>0</v>
      </c>
      <c r="L498" s="26" t="n">
        <v>0</v>
      </c>
      <c r="M498" s="26" t="n">
        <v>0</v>
      </c>
    </row>
    <row r="499" ht="16" customHeight="1">
      <c r="A499" t="inlineStr">
        <is>
          <t>30-Dec-2025</t>
        </is>
      </c>
      <c r="B499" t="inlineStr">
        <is>
          <t>Tuesday</t>
        </is>
      </c>
      <c r="C499" t="inlineStr">
        <is>
          <t>Week5-Dec-2025</t>
        </is>
      </c>
      <c r="D499" s="78" t="n">
        <v>45992</v>
      </c>
      <c r="E499" t="inlineStr">
        <is>
          <t>Q3FY26</t>
        </is>
      </c>
      <c r="F499" t="inlineStr">
        <is>
          <t>29-Sep-2026</t>
        </is>
      </c>
      <c r="G499" t="inlineStr">
        <is>
          <t>Tuesday</t>
        </is>
      </c>
      <c r="H499" t="inlineStr">
        <is>
          <t>Monthly - Tuesday</t>
        </is>
      </c>
      <c r="I499" t="inlineStr">
        <is>
          <t>Monthly - Tuesday</t>
        </is>
      </c>
      <c r="J499" t="inlineStr">
        <is>
          <t>Month+9 Expiry</t>
        </is>
      </c>
      <c r="K499" s="25" t="n">
        <v>0</v>
      </c>
      <c r="L499" s="26" t="n">
        <v>0</v>
      </c>
      <c r="M499" s="26" t="n">
        <v>0</v>
      </c>
    </row>
    <row r="500" ht="16" customHeight="1">
      <c r="A500" t="inlineStr">
        <is>
          <t>31-Dec-2025</t>
        </is>
      </c>
      <c r="B500" t="inlineStr">
        <is>
          <t>Wednesday</t>
        </is>
      </c>
      <c r="C500" t="inlineStr">
        <is>
          <t>Week5-Dec-2025</t>
        </is>
      </c>
      <c r="D500" s="78" t="n">
        <v>45992</v>
      </c>
      <c r="E500" t="inlineStr">
        <is>
          <t>Q3FY26</t>
        </is>
      </c>
      <c r="F500" t="inlineStr">
        <is>
          <t>27-Jan-2026</t>
        </is>
      </c>
      <c r="G500" t="inlineStr">
        <is>
          <t>Tuesday</t>
        </is>
      </c>
      <c r="H500" t="inlineStr">
        <is>
          <t>Monthly - Tuesday</t>
        </is>
      </c>
      <c r="I500" t="inlineStr">
        <is>
          <t>Monthly - Tuesday</t>
        </is>
      </c>
      <c r="J500" t="inlineStr">
        <is>
          <t>Month+1 Expiry</t>
        </is>
      </c>
      <c r="K500" s="25" t="n">
        <v>2192565</v>
      </c>
      <c r="L500" s="26" t="n">
        <v>3925.0769</v>
      </c>
      <c r="M500" s="26" t="n">
        <v>28.5819</v>
      </c>
    </row>
    <row r="501" ht="16" customHeight="1">
      <c r="A501" t="inlineStr">
        <is>
          <t>31-Dec-2025</t>
        </is>
      </c>
      <c r="B501" t="inlineStr">
        <is>
          <t>Wednesday</t>
        </is>
      </c>
      <c r="C501" t="inlineStr">
        <is>
          <t>Week5-Dec-2025</t>
        </is>
      </c>
      <c r="D501" s="78" t="n">
        <v>45992</v>
      </c>
      <c r="E501" t="inlineStr">
        <is>
          <t>Q3FY26</t>
        </is>
      </c>
      <c r="F501" t="inlineStr">
        <is>
          <t>24-Feb-2026</t>
        </is>
      </c>
      <c r="G501" t="inlineStr">
        <is>
          <t>Tuesday</t>
        </is>
      </c>
      <c r="H501" t="inlineStr">
        <is>
          <t>Monthly - Tuesday</t>
        </is>
      </c>
      <c r="I501" t="inlineStr">
        <is>
          <t>Monthly - Tuesday</t>
        </is>
      </c>
      <c r="J501" t="inlineStr">
        <is>
          <t>Month+2 Expiry</t>
        </is>
      </c>
      <c r="K501" s="25" t="n">
        <v>27378</v>
      </c>
      <c r="L501" s="26" t="n">
        <v>49.6313</v>
      </c>
      <c r="M501" s="26" t="n">
        <v>0.4528</v>
      </c>
    </row>
    <row r="502" ht="16" customHeight="1">
      <c r="A502" t="inlineStr">
        <is>
          <t>31-Dec-2025</t>
        </is>
      </c>
      <c r="B502" t="inlineStr">
        <is>
          <t>Wednesday</t>
        </is>
      </c>
      <c r="C502" t="inlineStr">
        <is>
          <t>Week5-Dec-2025</t>
        </is>
      </c>
      <c r="D502" s="78" t="n">
        <v>45992</v>
      </c>
      <c r="E502" t="inlineStr">
        <is>
          <t>Q3FY26</t>
        </is>
      </c>
      <c r="F502" t="inlineStr">
        <is>
          <t>30-Mar-2026</t>
        </is>
      </c>
      <c r="G502" t="inlineStr">
        <is>
          <t>Monday</t>
        </is>
      </c>
      <c r="H502" t="inlineStr">
        <is>
          <t>Monthly - Monday</t>
        </is>
      </c>
      <c r="I502" t="inlineStr">
        <is>
          <t>Monthly - Monday</t>
        </is>
      </c>
      <c r="J502" t="inlineStr">
        <is>
          <t>Month+3 Expiry</t>
        </is>
      </c>
      <c r="K502" s="25" t="n">
        <v>7104</v>
      </c>
      <c r="L502" s="26" t="n">
        <v>12.9174</v>
      </c>
      <c r="M502" s="26" t="n">
        <v>0.2014</v>
      </c>
    </row>
    <row r="503" ht="16" customHeight="1">
      <c r="A503" t="inlineStr">
        <is>
          <t>31-Dec-2025</t>
        </is>
      </c>
      <c r="B503" t="inlineStr">
        <is>
          <t>Wednesday</t>
        </is>
      </c>
      <c r="C503" t="inlineStr">
        <is>
          <t>Week5-Dec-2025</t>
        </is>
      </c>
      <c r="D503" s="78" t="n">
        <v>45992</v>
      </c>
      <c r="E503" t="inlineStr">
        <is>
          <t>Q3FY26</t>
        </is>
      </c>
      <c r="F503" t="inlineStr">
        <is>
          <t>30-Jun-2026</t>
        </is>
      </c>
      <c r="G503" t="inlineStr">
        <is>
          <t>Tuesday</t>
        </is>
      </c>
      <c r="H503" t="inlineStr">
        <is>
          <t>Monthly - Tuesday</t>
        </is>
      </c>
      <c r="I503" t="inlineStr">
        <is>
          <t>Monthly - Tuesday</t>
        </is>
      </c>
      <c r="J503" t="inlineStr">
        <is>
          <t>Month+6 Expiry</t>
        </is>
      </c>
      <c r="K503" s="25" t="n">
        <v>0</v>
      </c>
      <c r="L503" s="26" t="n">
        <v>0</v>
      </c>
      <c r="M503" s="26" t="n">
        <v>0</v>
      </c>
    </row>
    <row r="504" ht="16" customHeight="1">
      <c r="A504" t="inlineStr">
        <is>
          <t>31-Dec-2025</t>
        </is>
      </c>
      <c r="B504" t="inlineStr">
        <is>
          <t>Wednesday</t>
        </is>
      </c>
      <c r="C504" t="inlineStr">
        <is>
          <t>Week5-Dec-2025</t>
        </is>
      </c>
      <c r="D504" s="78" t="n">
        <v>45992</v>
      </c>
      <c r="E504" t="inlineStr">
        <is>
          <t>Q3FY26</t>
        </is>
      </c>
      <c r="F504" t="inlineStr">
        <is>
          <t>29-Sep-2026</t>
        </is>
      </c>
      <c r="G504" t="inlineStr">
        <is>
          <t>Tuesday</t>
        </is>
      </c>
      <c r="H504" t="inlineStr">
        <is>
          <t>Monthly - Tuesday</t>
        </is>
      </c>
      <c r="I504" t="inlineStr">
        <is>
          <t>Monthly - Tuesday</t>
        </is>
      </c>
      <c r="J504" t="inlineStr">
        <is>
          <t>Month+9 Expiry</t>
        </is>
      </c>
      <c r="K504" s="25" t="n">
        <v>0</v>
      </c>
      <c r="L504" s="26" t="n">
        <v>0</v>
      </c>
      <c r="M504" s="26" t="n">
        <v>0</v>
      </c>
    </row>
    <row r="505" ht="16" customHeight="1">
      <c r="A505" t="inlineStr">
        <is>
          <t>31-Dec-2025</t>
        </is>
      </c>
      <c r="B505" t="inlineStr">
        <is>
          <t>Wednesday</t>
        </is>
      </c>
      <c r="C505" t="inlineStr">
        <is>
          <t>Week5-Dec-2025</t>
        </is>
      </c>
      <c r="D505" s="78" t="n">
        <v>45992</v>
      </c>
      <c r="E505" t="inlineStr">
        <is>
          <t>Q3FY26</t>
        </is>
      </c>
      <c r="F505" t="inlineStr">
        <is>
          <t>29-Dec-2026</t>
        </is>
      </c>
      <c r="G505" t="inlineStr">
        <is>
          <t>Tuesday</t>
        </is>
      </c>
      <c r="H505" t="inlineStr">
        <is>
          <t>Monthly - Tuesday</t>
        </is>
      </c>
      <c r="I505" t="inlineStr">
        <is>
          <t>Monthly - Tuesday</t>
        </is>
      </c>
      <c r="J505" t="inlineStr">
        <is>
          <t>Month+12 Expiry</t>
        </is>
      </c>
      <c r="K505" s="25" t="n">
        <v>0</v>
      </c>
      <c r="L505" s="26" t="n">
        <v>0</v>
      </c>
      <c r="M505" s="26" t="n">
        <v>0</v>
      </c>
    </row>
    <row r="506" ht="16" customHeight="1">
      <c r="A506" t="inlineStr">
        <is>
          <t>01-Jan-2026</t>
        </is>
      </c>
      <c r="B506" t="inlineStr">
        <is>
          <t>Thursday</t>
        </is>
      </c>
      <c r="C506" t="inlineStr">
        <is>
          <t>Week1-Jan-2026</t>
        </is>
      </c>
      <c r="D506" s="78" t="n">
        <v>46023</v>
      </c>
      <c r="E506" t="inlineStr">
        <is>
          <t>Q4FY26</t>
        </is>
      </c>
      <c r="F506" t="inlineStr">
        <is>
          <t>27-Jan-2026</t>
        </is>
      </c>
      <c r="G506" t="inlineStr">
        <is>
          <t>Tuesday</t>
        </is>
      </c>
      <c r="H506" t="inlineStr">
        <is>
          <t>Monthly - Tuesday</t>
        </is>
      </c>
      <c r="I506" t="inlineStr">
        <is>
          <t>Monthly - Tuesday</t>
        </is>
      </c>
      <c r="J506" t="inlineStr">
        <is>
          <t>Same Month Expiry</t>
        </is>
      </c>
      <c r="K506" s="25" t="n">
        <v>1218064</v>
      </c>
      <c r="L506" s="26" t="n">
        <v>2177.2118</v>
      </c>
      <c r="M506" s="26" t="n">
        <v>15.9139</v>
      </c>
    </row>
    <row r="507" ht="16" customHeight="1">
      <c r="A507" t="inlineStr">
        <is>
          <t>01-Jan-2026</t>
        </is>
      </c>
      <c r="B507" t="inlineStr">
        <is>
          <t>Thursday</t>
        </is>
      </c>
      <c r="C507" t="inlineStr">
        <is>
          <t>Week1-Jan-2026</t>
        </is>
      </c>
      <c r="D507" s="78" t="n">
        <v>46023</v>
      </c>
      <c r="E507" t="inlineStr">
        <is>
          <t>Q4FY26</t>
        </is>
      </c>
      <c r="F507" t="inlineStr">
        <is>
          <t>24-Feb-2026</t>
        </is>
      </c>
      <c r="G507" t="inlineStr">
        <is>
          <t>Tuesday</t>
        </is>
      </c>
      <c r="H507" t="inlineStr">
        <is>
          <t>Monthly - Tuesday</t>
        </is>
      </c>
      <c r="I507" t="inlineStr">
        <is>
          <t>Monthly - Tuesday</t>
        </is>
      </c>
      <c r="J507" t="inlineStr">
        <is>
          <t>Month+1 Expiry</t>
        </is>
      </c>
      <c r="K507" s="25" t="n">
        <v>11460</v>
      </c>
      <c r="L507" s="26" t="n">
        <v>20.7034</v>
      </c>
      <c r="M507" s="26" t="n">
        <v>0.2093</v>
      </c>
    </row>
    <row r="508" ht="16" customHeight="1">
      <c r="A508" t="inlineStr">
        <is>
          <t>01-Jan-2026</t>
        </is>
      </c>
      <c r="B508" t="inlineStr">
        <is>
          <t>Thursday</t>
        </is>
      </c>
      <c r="C508" t="inlineStr">
        <is>
          <t>Week1-Jan-2026</t>
        </is>
      </c>
      <c r="D508" s="78" t="n">
        <v>46023</v>
      </c>
      <c r="E508" t="inlineStr">
        <is>
          <t>Q4FY26</t>
        </is>
      </c>
      <c r="F508" t="inlineStr">
        <is>
          <t>30-Mar-2026</t>
        </is>
      </c>
      <c r="G508" t="inlineStr">
        <is>
          <t>Monday</t>
        </is>
      </c>
      <c r="H508" t="inlineStr">
        <is>
          <t>Monthly - Monday</t>
        </is>
      </c>
      <c r="I508" t="inlineStr">
        <is>
          <t>Monthly - Monday</t>
        </is>
      </c>
      <c r="J508" t="inlineStr">
        <is>
          <t>Month+2 Expiry</t>
        </is>
      </c>
      <c r="K508" s="25" t="n">
        <v>1868</v>
      </c>
      <c r="L508" s="26" t="n">
        <v>3.3504</v>
      </c>
      <c r="M508" s="26" t="n">
        <v>0.0403</v>
      </c>
    </row>
    <row r="509" ht="16" customHeight="1">
      <c r="A509" t="inlineStr">
        <is>
          <t>01-Jan-2026</t>
        </is>
      </c>
      <c r="B509" t="inlineStr">
        <is>
          <t>Thursday</t>
        </is>
      </c>
      <c r="C509" t="inlineStr">
        <is>
          <t>Week1-Jan-2026</t>
        </is>
      </c>
      <c r="D509" s="78" t="n">
        <v>46023</v>
      </c>
      <c r="E509" t="inlineStr">
        <is>
          <t>Q4FY26</t>
        </is>
      </c>
      <c r="F509" t="inlineStr">
        <is>
          <t>30-Jun-2026</t>
        </is>
      </c>
      <c r="G509" t="inlineStr">
        <is>
          <t>Tuesday</t>
        </is>
      </c>
      <c r="H509" t="inlineStr">
        <is>
          <t>Monthly - Tuesday</t>
        </is>
      </c>
      <c r="I509" t="inlineStr">
        <is>
          <t>Monthly - Tuesday</t>
        </is>
      </c>
      <c r="J509" t="inlineStr">
        <is>
          <t>Month+5 Expiry</t>
        </is>
      </c>
      <c r="K509" s="25" t="n">
        <v>0</v>
      </c>
      <c r="L509" s="26" t="n">
        <v>0</v>
      </c>
      <c r="M509" s="26" t="n">
        <v>0</v>
      </c>
    </row>
    <row r="510" ht="16" customHeight="1">
      <c r="A510" t="inlineStr">
        <is>
          <t>01-Jan-2026</t>
        </is>
      </c>
      <c r="B510" t="inlineStr">
        <is>
          <t>Thursday</t>
        </is>
      </c>
      <c r="C510" t="inlineStr">
        <is>
          <t>Week1-Jan-2026</t>
        </is>
      </c>
      <c r="D510" s="78" t="n">
        <v>46023</v>
      </c>
      <c r="E510" t="inlineStr">
        <is>
          <t>Q4FY26</t>
        </is>
      </c>
      <c r="F510" t="inlineStr">
        <is>
          <t>29-Sep-2026</t>
        </is>
      </c>
      <c r="G510" t="inlineStr">
        <is>
          <t>Tuesday</t>
        </is>
      </c>
      <c r="H510" t="inlineStr">
        <is>
          <t>Monthly - Tuesday</t>
        </is>
      </c>
      <c r="I510" t="inlineStr">
        <is>
          <t>Monthly - Tuesday</t>
        </is>
      </c>
      <c r="J510" t="inlineStr">
        <is>
          <t>Month+8 Expiry</t>
        </is>
      </c>
      <c r="K510" s="25" t="n">
        <v>0</v>
      </c>
      <c r="L510" s="26" t="n">
        <v>0</v>
      </c>
      <c r="M510" s="26" t="n">
        <v>0</v>
      </c>
    </row>
    <row r="511" ht="16" customHeight="1">
      <c r="A511" t="inlineStr">
        <is>
          <t>01-Jan-2026</t>
        </is>
      </c>
      <c r="B511" t="inlineStr">
        <is>
          <t>Thursday</t>
        </is>
      </c>
      <c r="C511" t="inlineStr">
        <is>
          <t>Week1-Jan-2026</t>
        </is>
      </c>
      <c r="D511" s="78" t="n">
        <v>46023</v>
      </c>
      <c r="E511" t="inlineStr">
        <is>
          <t>Q4FY26</t>
        </is>
      </c>
      <c r="F511" t="inlineStr">
        <is>
          <t>29-Dec-2026</t>
        </is>
      </c>
      <c r="G511" t="inlineStr">
        <is>
          <t>Tuesday</t>
        </is>
      </c>
      <c r="H511" t="inlineStr">
        <is>
          <t>Monthly - Tuesday</t>
        </is>
      </c>
      <c r="I511" t="inlineStr">
        <is>
          <t>Monthly - Tuesday</t>
        </is>
      </c>
      <c r="J511" t="inlineStr">
        <is>
          <t>Month+11 Expiry</t>
        </is>
      </c>
      <c r="K511" s="25" t="n">
        <v>0</v>
      </c>
      <c r="L511" s="26" t="n">
        <v>0</v>
      </c>
      <c r="M511" s="26" t="n">
        <v>0</v>
      </c>
    </row>
    <row r="512" ht="16" customHeight="1">
      <c r="A512" t="inlineStr">
        <is>
          <t>02-Jan-2026</t>
        </is>
      </c>
      <c r="B512" t="inlineStr">
        <is>
          <t>Friday</t>
        </is>
      </c>
      <c r="C512" t="inlineStr">
        <is>
          <t>Week1-Jan-2026</t>
        </is>
      </c>
      <c r="D512" s="78" t="n">
        <v>46023</v>
      </c>
      <c r="E512" t="inlineStr">
        <is>
          <t>Q4FY26</t>
        </is>
      </c>
      <c r="F512" t="inlineStr">
        <is>
          <t>27-Jan-2026</t>
        </is>
      </c>
      <c r="G512" t="inlineStr">
        <is>
          <t>Tuesday</t>
        </is>
      </c>
      <c r="H512" t="inlineStr">
        <is>
          <t>Monthly - Tuesday</t>
        </is>
      </c>
      <c r="I512" t="inlineStr">
        <is>
          <t>Monthly - Tuesday</t>
        </is>
      </c>
      <c r="J512" t="inlineStr">
        <is>
          <t>Same Month Expiry</t>
        </is>
      </c>
      <c r="K512" s="25" t="n">
        <v>2233318</v>
      </c>
      <c r="L512" s="26" t="n">
        <v>4015.0791</v>
      </c>
      <c r="M512" s="26" t="n">
        <v>28.0359</v>
      </c>
    </row>
    <row r="513" ht="16" customHeight="1">
      <c r="A513" t="inlineStr">
        <is>
          <t>02-Jan-2026</t>
        </is>
      </c>
      <c r="B513" t="inlineStr">
        <is>
          <t>Friday</t>
        </is>
      </c>
      <c r="C513" t="inlineStr">
        <is>
          <t>Week1-Jan-2026</t>
        </is>
      </c>
      <c r="D513" s="78" t="n">
        <v>46023</v>
      </c>
      <c r="E513" t="inlineStr">
        <is>
          <t>Q4FY26</t>
        </is>
      </c>
      <c r="F513" t="inlineStr">
        <is>
          <t>24-Feb-2026</t>
        </is>
      </c>
      <c r="G513" t="inlineStr">
        <is>
          <t>Tuesday</t>
        </is>
      </c>
      <c r="H513" t="inlineStr">
        <is>
          <t>Monthly - Tuesday</t>
        </is>
      </c>
      <c r="I513" t="inlineStr">
        <is>
          <t>Monthly - Tuesday</t>
        </is>
      </c>
      <c r="J513" t="inlineStr">
        <is>
          <t>Month+1 Expiry</t>
        </is>
      </c>
      <c r="K513" s="25" t="n">
        <v>31896</v>
      </c>
      <c r="L513" s="26" t="n">
        <v>57.9701</v>
      </c>
      <c r="M513" s="26" t="n">
        <v>0.576</v>
      </c>
    </row>
    <row r="514" ht="16" customHeight="1">
      <c r="A514" t="inlineStr">
        <is>
          <t>02-Jan-2026</t>
        </is>
      </c>
      <c r="B514" t="inlineStr">
        <is>
          <t>Friday</t>
        </is>
      </c>
      <c r="C514" t="inlineStr">
        <is>
          <t>Week1-Jan-2026</t>
        </is>
      </c>
      <c r="D514" s="78" t="n">
        <v>46023</v>
      </c>
      <c r="E514" t="inlineStr">
        <is>
          <t>Q4FY26</t>
        </is>
      </c>
      <c r="F514" t="inlineStr">
        <is>
          <t>30-Mar-2026</t>
        </is>
      </c>
      <c r="G514" t="inlineStr">
        <is>
          <t>Monday</t>
        </is>
      </c>
      <c r="H514" t="inlineStr">
        <is>
          <t>Monthly - Monday</t>
        </is>
      </c>
      <c r="I514" t="inlineStr">
        <is>
          <t>Monthly - Monday</t>
        </is>
      </c>
      <c r="J514" t="inlineStr">
        <is>
          <t>Month+2 Expiry</t>
        </is>
      </c>
      <c r="K514" s="25" t="n">
        <v>6090</v>
      </c>
      <c r="L514" s="26" t="n">
        <v>11.0708</v>
      </c>
      <c r="M514" s="26" t="n">
        <v>0.1589</v>
      </c>
    </row>
    <row r="515" ht="16" customHeight="1">
      <c r="A515" t="inlineStr">
        <is>
          <t>02-Jan-2026</t>
        </is>
      </c>
      <c r="B515" t="inlineStr">
        <is>
          <t>Friday</t>
        </is>
      </c>
      <c r="C515" t="inlineStr">
        <is>
          <t>Week1-Jan-2026</t>
        </is>
      </c>
      <c r="D515" s="78" t="n">
        <v>46023</v>
      </c>
      <c r="E515" t="inlineStr">
        <is>
          <t>Q4FY26</t>
        </is>
      </c>
      <c r="F515" t="inlineStr">
        <is>
          <t>30-Jun-2026</t>
        </is>
      </c>
      <c r="G515" t="inlineStr">
        <is>
          <t>Tuesday</t>
        </is>
      </c>
      <c r="H515" t="inlineStr">
        <is>
          <t>Monthly - Tuesday</t>
        </is>
      </c>
      <c r="I515" t="inlineStr">
        <is>
          <t>Monthly - Tuesday</t>
        </is>
      </c>
      <c r="J515" t="inlineStr">
        <is>
          <t>Month+5 Expiry</t>
        </is>
      </c>
      <c r="K515" s="25" t="n">
        <v>0</v>
      </c>
      <c r="L515" s="26" t="n">
        <v>0</v>
      </c>
      <c r="M515" s="26" t="n">
        <v>0</v>
      </c>
    </row>
    <row r="516" ht="16" customHeight="1">
      <c r="A516" t="inlineStr">
        <is>
          <t>02-Jan-2026</t>
        </is>
      </c>
      <c r="B516" t="inlineStr">
        <is>
          <t>Friday</t>
        </is>
      </c>
      <c r="C516" t="inlineStr">
        <is>
          <t>Week1-Jan-2026</t>
        </is>
      </c>
      <c r="D516" s="78" t="n">
        <v>46023</v>
      </c>
      <c r="E516" t="inlineStr">
        <is>
          <t>Q4FY26</t>
        </is>
      </c>
      <c r="F516" t="inlineStr">
        <is>
          <t>29-Sep-2026</t>
        </is>
      </c>
      <c r="G516" t="inlineStr">
        <is>
          <t>Tuesday</t>
        </is>
      </c>
      <c r="H516" t="inlineStr">
        <is>
          <t>Monthly - Tuesday</t>
        </is>
      </c>
      <c r="I516" t="inlineStr">
        <is>
          <t>Monthly - Tuesday</t>
        </is>
      </c>
      <c r="J516" t="inlineStr">
        <is>
          <t>Month+8 Expiry</t>
        </is>
      </c>
      <c r="K516" s="25" t="n">
        <v>0</v>
      </c>
      <c r="L516" s="26" t="n">
        <v>0</v>
      </c>
      <c r="M516" s="26" t="n">
        <v>0</v>
      </c>
    </row>
    <row r="517" ht="16" customHeight="1">
      <c r="A517" t="inlineStr">
        <is>
          <t>02-Jan-2026</t>
        </is>
      </c>
      <c r="B517" t="inlineStr">
        <is>
          <t>Friday</t>
        </is>
      </c>
      <c r="C517" t="inlineStr">
        <is>
          <t>Week1-Jan-2026</t>
        </is>
      </c>
      <c r="D517" s="78" t="n">
        <v>46023</v>
      </c>
      <c r="E517" t="inlineStr">
        <is>
          <t>Q4FY26</t>
        </is>
      </c>
      <c r="F517" t="inlineStr">
        <is>
          <t>29-Dec-2026</t>
        </is>
      </c>
      <c r="G517" t="inlineStr">
        <is>
          <t>Tuesday</t>
        </is>
      </c>
      <c r="H517" t="inlineStr">
        <is>
          <t>Monthly - Tuesday</t>
        </is>
      </c>
      <c r="I517" t="inlineStr">
        <is>
          <t>Monthly - Tuesday</t>
        </is>
      </c>
      <c r="J517" t="inlineStr">
        <is>
          <t>Month+11 Expiry</t>
        </is>
      </c>
      <c r="K517" s="25" t="n">
        <v>0</v>
      </c>
      <c r="L517" s="26" t="n">
        <v>0</v>
      </c>
      <c r="M517" s="26" t="n">
        <v>0</v>
      </c>
    </row>
    <row r="518" ht="16" customHeight="1">
      <c r="A518" t="inlineStr">
        <is>
          <t>05-Jan-2026</t>
        </is>
      </c>
      <c r="B518" t="inlineStr">
        <is>
          <t>Monday</t>
        </is>
      </c>
      <c r="C518" t="inlineStr">
        <is>
          <t>Week1-Jan-2026</t>
        </is>
      </c>
      <c r="D518" s="78" t="n">
        <v>46023</v>
      </c>
      <c r="E518" t="inlineStr">
        <is>
          <t>Q4FY26</t>
        </is>
      </c>
      <c r="F518" t="inlineStr">
        <is>
          <t>27-Jan-2026</t>
        </is>
      </c>
      <c r="G518" t="inlineStr">
        <is>
          <t>Tuesday</t>
        </is>
      </c>
      <c r="H518" t="inlineStr">
        <is>
          <t>Monthly - Tuesday</t>
        </is>
      </c>
      <c r="I518" t="inlineStr">
        <is>
          <t>Monthly - Tuesday</t>
        </is>
      </c>
      <c r="J518" t="inlineStr">
        <is>
          <t>Same Month Expiry</t>
        </is>
      </c>
      <c r="K518" s="25" t="n">
        <v>2557337</v>
      </c>
      <c r="L518" s="26" t="n">
        <v>4614.8139</v>
      </c>
      <c r="M518" s="26" t="n">
        <v>31.1752</v>
      </c>
    </row>
    <row r="519" ht="16" customHeight="1">
      <c r="A519" t="inlineStr">
        <is>
          <t>05-Jan-2026</t>
        </is>
      </c>
      <c r="B519" t="inlineStr">
        <is>
          <t>Monday</t>
        </is>
      </c>
      <c r="C519" t="inlineStr">
        <is>
          <t>Week1-Jan-2026</t>
        </is>
      </c>
      <c r="D519" s="78" t="n">
        <v>46023</v>
      </c>
      <c r="E519" t="inlineStr">
        <is>
          <t>Q4FY26</t>
        </is>
      </c>
      <c r="F519" t="inlineStr">
        <is>
          <t>24-Feb-2026</t>
        </is>
      </c>
      <c r="G519" t="inlineStr">
        <is>
          <t>Tuesday</t>
        </is>
      </c>
      <c r="H519" t="inlineStr">
        <is>
          <t>Monthly - Tuesday</t>
        </is>
      </c>
      <c r="I519" t="inlineStr">
        <is>
          <t>Monthly - Tuesday</t>
        </is>
      </c>
      <c r="J519" t="inlineStr">
        <is>
          <t>Month+1 Expiry</t>
        </is>
      </c>
      <c r="K519" s="25" t="n">
        <v>26875</v>
      </c>
      <c r="L519" s="26" t="n">
        <v>48.8995</v>
      </c>
      <c r="M519" s="26" t="n">
        <v>0.4874</v>
      </c>
    </row>
    <row r="520" ht="16" customHeight="1">
      <c r="A520" t="inlineStr">
        <is>
          <t>05-Jan-2026</t>
        </is>
      </c>
      <c r="B520" t="inlineStr">
        <is>
          <t>Monday</t>
        </is>
      </c>
      <c r="C520" t="inlineStr">
        <is>
          <t>Week1-Jan-2026</t>
        </is>
      </c>
      <c r="D520" s="78" t="n">
        <v>46023</v>
      </c>
      <c r="E520" t="inlineStr">
        <is>
          <t>Q4FY26</t>
        </is>
      </c>
      <c r="F520" t="inlineStr">
        <is>
          <t>30-Mar-2026</t>
        </is>
      </c>
      <c r="G520" t="inlineStr">
        <is>
          <t>Monday</t>
        </is>
      </c>
      <c r="H520" t="inlineStr">
        <is>
          <t>Monthly - Monday</t>
        </is>
      </c>
      <c r="I520" t="inlineStr">
        <is>
          <t>Monthly - Monday</t>
        </is>
      </c>
      <c r="J520" t="inlineStr">
        <is>
          <t>Month+2 Expiry</t>
        </is>
      </c>
      <c r="K520" s="25" t="n">
        <v>6279</v>
      </c>
      <c r="L520" s="26" t="n">
        <v>11.495</v>
      </c>
      <c r="M520" s="26" t="n">
        <v>0.1501</v>
      </c>
    </row>
    <row r="521" ht="16" customHeight="1">
      <c r="A521" t="inlineStr">
        <is>
          <t>05-Jan-2026</t>
        </is>
      </c>
      <c r="B521" t="inlineStr">
        <is>
          <t>Monday</t>
        </is>
      </c>
      <c r="C521" t="inlineStr">
        <is>
          <t>Week1-Jan-2026</t>
        </is>
      </c>
      <c r="D521" s="78" t="n">
        <v>46023</v>
      </c>
      <c r="E521" t="inlineStr">
        <is>
          <t>Q4FY26</t>
        </is>
      </c>
      <c r="F521" t="inlineStr">
        <is>
          <t>30-Jun-2026</t>
        </is>
      </c>
      <c r="G521" t="inlineStr">
        <is>
          <t>Tuesday</t>
        </is>
      </c>
      <c r="H521" t="inlineStr">
        <is>
          <t>Monthly - Tuesday</t>
        </is>
      </c>
      <c r="I521" t="inlineStr">
        <is>
          <t>Monthly - Tuesday</t>
        </is>
      </c>
      <c r="J521" t="inlineStr">
        <is>
          <t>Month+5 Expiry</t>
        </is>
      </c>
      <c r="K521" s="25" t="n">
        <v>0</v>
      </c>
      <c r="L521" s="26" t="n">
        <v>0</v>
      </c>
      <c r="M521" s="26" t="n">
        <v>0</v>
      </c>
    </row>
    <row r="522" ht="16" customHeight="1">
      <c r="A522" t="inlineStr">
        <is>
          <t>05-Jan-2026</t>
        </is>
      </c>
      <c r="B522" t="inlineStr">
        <is>
          <t>Monday</t>
        </is>
      </c>
      <c r="C522" t="inlineStr">
        <is>
          <t>Week1-Jan-2026</t>
        </is>
      </c>
      <c r="D522" s="78" t="n">
        <v>46023</v>
      </c>
      <c r="E522" t="inlineStr">
        <is>
          <t>Q4FY26</t>
        </is>
      </c>
      <c r="F522" t="inlineStr">
        <is>
          <t>29-Sep-2026</t>
        </is>
      </c>
      <c r="G522" t="inlineStr">
        <is>
          <t>Tuesday</t>
        </is>
      </c>
      <c r="H522" t="inlineStr">
        <is>
          <t>Monthly - Tuesday</t>
        </is>
      </c>
      <c r="I522" t="inlineStr">
        <is>
          <t>Monthly - Tuesday</t>
        </is>
      </c>
      <c r="J522" t="inlineStr">
        <is>
          <t>Month+8 Expiry</t>
        </is>
      </c>
      <c r="K522" s="25" t="n">
        <v>0</v>
      </c>
      <c r="L522" s="26" t="n">
        <v>0</v>
      </c>
      <c r="M522" s="26" t="n">
        <v>0</v>
      </c>
    </row>
    <row r="523" ht="16" customHeight="1">
      <c r="A523" t="inlineStr">
        <is>
          <t>05-Jan-2026</t>
        </is>
      </c>
      <c r="B523" t="inlineStr">
        <is>
          <t>Monday</t>
        </is>
      </c>
      <c r="C523" t="inlineStr">
        <is>
          <t>Week1-Jan-2026</t>
        </is>
      </c>
      <c r="D523" s="78" t="n">
        <v>46023</v>
      </c>
      <c r="E523" t="inlineStr">
        <is>
          <t>Q4FY26</t>
        </is>
      </c>
      <c r="F523" t="inlineStr">
        <is>
          <t>29-Dec-2026</t>
        </is>
      </c>
      <c r="G523" t="inlineStr">
        <is>
          <t>Tuesday</t>
        </is>
      </c>
      <c r="H523" t="inlineStr">
        <is>
          <t>Monthly - Tuesday</t>
        </is>
      </c>
      <c r="I523" t="inlineStr">
        <is>
          <t>Monthly - Tuesday</t>
        </is>
      </c>
      <c r="J523" t="inlineStr">
        <is>
          <t>Month+11 Expiry</t>
        </is>
      </c>
      <c r="K523" s="25" t="n">
        <v>0</v>
      </c>
      <c r="L523" s="26" t="n">
        <v>0</v>
      </c>
      <c r="M523" s="26" t="n">
        <v>0</v>
      </c>
    </row>
    <row r="524" ht="16" customHeight="1">
      <c r="A524" t="inlineStr">
        <is>
          <t>06-Jan-2026</t>
        </is>
      </c>
      <c r="B524" t="inlineStr">
        <is>
          <t>Tuesday</t>
        </is>
      </c>
      <c r="C524" t="inlineStr">
        <is>
          <t>Week1-Jan-2026</t>
        </is>
      </c>
      <c r="D524" s="78" t="n">
        <v>46023</v>
      </c>
      <c r="E524" t="inlineStr">
        <is>
          <t>Q4FY26</t>
        </is>
      </c>
      <c r="F524" t="inlineStr">
        <is>
          <t>27-Jan-2026</t>
        </is>
      </c>
      <c r="G524" t="inlineStr">
        <is>
          <t>Tuesday</t>
        </is>
      </c>
      <c r="H524" t="inlineStr">
        <is>
          <t>Monthly - Tuesday</t>
        </is>
      </c>
      <c r="I524" t="inlineStr">
        <is>
          <t>Monthly - Tuesday</t>
        </is>
      </c>
      <c r="J524" t="inlineStr">
        <is>
          <t>Same Month Expiry</t>
        </is>
      </c>
      <c r="K524" s="25" t="n">
        <v>2102559</v>
      </c>
      <c r="L524" s="26" t="n">
        <v>3794.1032</v>
      </c>
      <c r="M524" s="26" t="n">
        <v>25.7269</v>
      </c>
    </row>
    <row r="525" ht="16" customHeight="1">
      <c r="A525" t="inlineStr">
        <is>
          <t>06-Jan-2026</t>
        </is>
      </c>
      <c r="B525" t="inlineStr">
        <is>
          <t>Tuesday</t>
        </is>
      </c>
      <c r="C525" t="inlineStr">
        <is>
          <t>Week1-Jan-2026</t>
        </is>
      </c>
      <c r="D525" s="78" t="n">
        <v>46023</v>
      </c>
      <c r="E525" t="inlineStr">
        <is>
          <t>Q4FY26</t>
        </is>
      </c>
      <c r="F525" t="inlineStr">
        <is>
          <t>24-Feb-2026</t>
        </is>
      </c>
      <c r="G525" t="inlineStr">
        <is>
          <t>Tuesday</t>
        </is>
      </c>
      <c r="H525" t="inlineStr">
        <is>
          <t>Monthly - Tuesday</t>
        </is>
      </c>
      <c r="I525" t="inlineStr">
        <is>
          <t>Monthly - Tuesday</t>
        </is>
      </c>
      <c r="J525" t="inlineStr">
        <is>
          <t>Month+1 Expiry</t>
        </is>
      </c>
      <c r="K525" s="25" t="n">
        <v>27710</v>
      </c>
      <c r="L525" s="26" t="n">
        <v>50.0622</v>
      </c>
      <c r="M525" s="26" t="n">
        <v>0.425</v>
      </c>
    </row>
    <row r="526" ht="16" customHeight="1">
      <c r="A526" t="inlineStr">
        <is>
          <t>06-Jan-2026</t>
        </is>
      </c>
      <c r="B526" t="inlineStr">
        <is>
          <t>Tuesday</t>
        </is>
      </c>
      <c r="C526" t="inlineStr">
        <is>
          <t>Week1-Jan-2026</t>
        </is>
      </c>
      <c r="D526" s="78" t="n">
        <v>46023</v>
      </c>
      <c r="E526" t="inlineStr">
        <is>
          <t>Q4FY26</t>
        </is>
      </c>
      <c r="F526" t="inlineStr">
        <is>
          <t>30-Mar-2026</t>
        </is>
      </c>
      <c r="G526" t="inlineStr">
        <is>
          <t>Monday</t>
        </is>
      </c>
      <c r="H526" t="inlineStr">
        <is>
          <t>Monthly - Monday</t>
        </is>
      </c>
      <c r="I526" t="inlineStr">
        <is>
          <t>Monthly - Monday</t>
        </is>
      </c>
      <c r="J526" t="inlineStr">
        <is>
          <t>Month+2 Expiry</t>
        </is>
      </c>
      <c r="K526" s="25" t="n">
        <v>3017</v>
      </c>
      <c r="L526" s="26" t="n">
        <v>5.5017</v>
      </c>
      <c r="M526" s="26" t="n">
        <v>0.06909999999999999</v>
      </c>
    </row>
    <row r="527" ht="16" customHeight="1">
      <c r="A527" t="inlineStr">
        <is>
          <t>06-Jan-2026</t>
        </is>
      </c>
      <c r="B527" t="inlineStr">
        <is>
          <t>Tuesday</t>
        </is>
      </c>
      <c r="C527" t="inlineStr">
        <is>
          <t>Week1-Jan-2026</t>
        </is>
      </c>
      <c r="D527" s="78" t="n">
        <v>46023</v>
      </c>
      <c r="E527" t="inlineStr">
        <is>
          <t>Q4FY26</t>
        </is>
      </c>
      <c r="F527" t="inlineStr">
        <is>
          <t>30-Jun-2026</t>
        </is>
      </c>
      <c r="G527" t="inlineStr">
        <is>
          <t>Tuesday</t>
        </is>
      </c>
      <c r="H527" t="inlineStr">
        <is>
          <t>Monthly - Tuesday</t>
        </is>
      </c>
      <c r="I527" t="inlineStr">
        <is>
          <t>Monthly - Tuesday</t>
        </is>
      </c>
      <c r="J527" t="inlineStr">
        <is>
          <t>Month+5 Expiry</t>
        </is>
      </c>
      <c r="K527" s="25" t="n">
        <v>0</v>
      </c>
      <c r="L527" s="26" t="n">
        <v>0</v>
      </c>
      <c r="M527" s="26" t="n">
        <v>0</v>
      </c>
    </row>
    <row r="528" ht="16" customHeight="1">
      <c r="A528" t="inlineStr">
        <is>
          <t>06-Jan-2026</t>
        </is>
      </c>
      <c r="B528" t="inlineStr">
        <is>
          <t>Tuesday</t>
        </is>
      </c>
      <c r="C528" t="inlineStr">
        <is>
          <t>Week1-Jan-2026</t>
        </is>
      </c>
      <c r="D528" s="78" t="n">
        <v>46023</v>
      </c>
      <c r="E528" t="inlineStr">
        <is>
          <t>Q4FY26</t>
        </is>
      </c>
      <c r="F528" t="inlineStr">
        <is>
          <t>29-Sep-2026</t>
        </is>
      </c>
      <c r="G528" t="inlineStr">
        <is>
          <t>Tuesday</t>
        </is>
      </c>
      <c r="H528" t="inlineStr">
        <is>
          <t>Monthly - Tuesday</t>
        </is>
      </c>
      <c r="I528" t="inlineStr">
        <is>
          <t>Monthly - Tuesday</t>
        </is>
      </c>
      <c r="J528" t="inlineStr">
        <is>
          <t>Month+8 Expiry</t>
        </is>
      </c>
      <c r="K528" s="25" t="n">
        <v>0</v>
      </c>
      <c r="L528" s="26" t="n">
        <v>0</v>
      </c>
      <c r="M528" s="26" t="n">
        <v>0</v>
      </c>
    </row>
    <row r="529" ht="16" customHeight="1">
      <c r="A529" t="inlineStr">
        <is>
          <t>06-Jan-2026</t>
        </is>
      </c>
      <c r="B529" t="inlineStr">
        <is>
          <t>Tuesday</t>
        </is>
      </c>
      <c r="C529" t="inlineStr">
        <is>
          <t>Week1-Jan-2026</t>
        </is>
      </c>
      <c r="D529" s="78" t="n">
        <v>46023</v>
      </c>
      <c r="E529" t="inlineStr">
        <is>
          <t>Q4FY26</t>
        </is>
      </c>
      <c r="F529" t="inlineStr">
        <is>
          <t>29-Dec-2026</t>
        </is>
      </c>
      <c r="G529" t="inlineStr">
        <is>
          <t>Tuesday</t>
        </is>
      </c>
      <c r="H529" t="inlineStr">
        <is>
          <t>Monthly - Tuesday</t>
        </is>
      </c>
      <c r="I529" t="inlineStr">
        <is>
          <t>Monthly - Tuesday</t>
        </is>
      </c>
      <c r="J529" t="inlineStr">
        <is>
          <t>Month+11 Expiry</t>
        </is>
      </c>
      <c r="K529" s="25" t="n">
        <v>0</v>
      </c>
      <c r="L529" s="26" t="n">
        <v>0</v>
      </c>
      <c r="M529" s="26" t="n">
        <v>0</v>
      </c>
    </row>
    <row r="530" ht="16" customHeight="1">
      <c r="A530" t="inlineStr">
        <is>
          <t>07-Jan-2026</t>
        </is>
      </c>
      <c r="B530" t="inlineStr">
        <is>
          <t>Wednesday</t>
        </is>
      </c>
      <c r="C530" t="inlineStr">
        <is>
          <t>Week1-Jan-2026</t>
        </is>
      </c>
      <c r="D530" s="78" t="n">
        <v>46023</v>
      </c>
      <c r="E530" t="inlineStr">
        <is>
          <t>Q4FY26</t>
        </is>
      </c>
      <c r="F530" t="inlineStr">
        <is>
          <t>27-Jan-2026</t>
        </is>
      </c>
      <c r="G530" t="inlineStr">
        <is>
          <t>Tuesday</t>
        </is>
      </c>
      <c r="H530" t="inlineStr">
        <is>
          <t>Monthly - Tuesday</t>
        </is>
      </c>
      <c r="I530" t="inlineStr">
        <is>
          <t>Monthly - Tuesday</t>
        </is>
      </c>
      <c r="J530" t="inlineStr">
        <is>
          <t>Same Month Expiry</t>
        </is>
      </c>
      <c r="K530" s="25" t="n">
        <v>2284207</v>
      </c>
      <c r="L530" s="26" t="n">
        <v>4099.624</v>
      </c>
      <c r="M530" s="26" t="n">
        <v>27.5345</v>
      </c>
    </row>
    <row r="531" ht="16" customHeight="1">
      <c r="A531" t="inlineStr">
        <is>
          <t>07-Jan-2026</t>
        </is>
      </c>
      <c r="B531" t="inlineStr">
        <is>
          <t>Wednesday</t>
        </is>
      </c>
      <c r="C531" t="inlineStr">
        <is>
          <t>Week1-Jan-2026</t>
        </is>
      </c>
      <c r="D531" s="78" t="n">
        <v>46023</v>
      </c>
      <c r="E531" t="inlineStr">
        <is>
          <t>Q4FY26</t>
        </is>
      </c>
      <c r="F531" t="inlineStr">
        <is>
          <t>24-Feb-2026</t>
        </is>
      </c>
      <c r="G531" t="inlineStr">
        <is>
          <t>Tuesday</t>
        </is>
      </c>
      <c r="H531" t="inlineStr">
        <is>
          <t>Monthly - Tuesday</t>
        </is>
      </c>
      <c r="I531" t="inlineStr">
        <is>
          <t>Monthly - Tuesday</t>
        </is>
      </c>
      <c r="J531" t="inlineStr">
        <is>
          <t>Month+1 Expiry</t>
        </is>
      </c>
      <c r="K531" s="25" t="n">
        <v>26715</v>
      </c>
      <c r="L531" s="26" t="n">
        <v>48.5207</v>
      </c>
      <c r="M531" s="26" t="n">
        <v>0.4817</v>
      </c>
    </row>
    <row r="532" ht="16" customHeight="1">
      <c r="A532" t="inlineStr">
        <is>
          <t>07-Jan-2026</t>
        </is>
      </c>
      <c r="B532" t="inlineStr">
        <is>
          <t>Wednesday</t>
        </is>
      </c>
      <c r="C532" t="inlineStr">
        <is>
          <t>Week1-Jan-2026</t>
        </is>
      </c>
      <c r="D532" s="78" t="n">
        <v>46023</v>
      </c>
      <c r="E532" t="inlineStr">
        <is>
          <t>Q4FY26</t>
        </is>
      </c>
      <c r="F532" t="inlineStr">
        <is>
          <t>30-Mar-2026</t>
        </is>
      </c>
      <c r="G532" t="inlineStr">
        <is>
          <t>Monday</t>
        </is>
      </c>
      <c r="H532" t="inlineStr">
        <is>
          <t>Monthly - Monday</t>
        </is>
      </c>
      <c r="I532" t="inlineStr">
        <is>
          <t>Monthly - Monday</t>
        </is>
      </c>
      <c r="J532" t="inlineStr">
        <is>
          <t>Month+2 Expiry</t>
        </is>
      </c>
      <c r="K532" s="25" t="n">
        <v>3455</v>
      </c>
      <c r="L532" s="26" t="n">
        <v>6.2252</v>
      </c>
      <c r="M532" s="26" t="n">
        <v>0.07439999999999999</v>
      </c>
    </row>
    <row r="533" ht="16" customHeight="1">
      <c r="A533" t="inlineStr">
        <is>
          <t>07-Jan-2026</t>
        </is>
      </c>
      <c r="B533" t="inlineStr">
        <is>
          <t>Wednesday</t>
        </is>
      </c>
      <c r="C533" t="inlineStr">
        <is>
          <t>Week1-Jan-2026</t>
        </is>
      </c>
      <c r="D533" s="78" t="n">
        <v>46023</v>
      </c>
      <c r="E533" t="inlineStr">
        <is>
          <t>Q4FY26</t>
        </is>
      </c>
      <c r="F533" t="inlineStr">
        <is>
          <t>30-Jun-2026</t>
        </is>
      </c>
      <c r="G533" t="inlineStr">
        <is>
          <t>Tuesday</t>
        </is>
      </c>
      <c r="H533" t="inlineStr">
        <is>
          <t>Monthly - Tuesday</t>
        </is>
      </c>
      <c r="I533" t="inlineStr">
        <is>
          <t>Monthly - Tuesday</t>
        </is>
      </c>
      <c r="J533" t="inlineStr">
        <is>
          <t>Month+5 Expiry</t>
        </is>
      </c>
      <c r="K533" s="25" t="n">
        <v>0</v>
      </c>
      <c r="L533" s="26" t="n">
        <v>0</v>
      </c>
      <c r="M533" s="26" t="n">
        <v>0</v>
      </c>
    </row>
    <row r="534" ht="16" customHeight="1">
      <c r="A534" t="inlineStr">
        <is>
          <t>07-Jan-2026</t>
        </is>
      </c>
      <c r="B534" t="inlineStr">
        <is>
          <t>Wednesday</t>
        </is>
      </c>
      <c r="C534" t="inlineStr">
        <is>
          <t>Week1-Jan-2026</t>
        </is>
      </c>
      <c r="D534" s="78" t="n">
        <v>46023</v>
      </c>
      <c r="E534" t="inlineStr">
        <is>
          <t>Q4FY26</t>
        </is>
      </c>
      <c r="F534" t="inlineStr">
        <is>
          <t>29-Sep-2026</t>
        </is>
      </c>
      <c r="G534" t="inlineStr">
        <is>
          <t>Tuesday</t>
        </is>
      </c>
      <c r="H534" t="inlineStr">
        <is>
          <t>Monthly - Tuesday</t>
        </is>
      </c>
      <c r="I534" t="inlineStr">
        <is>
          <t>Monthly - Tuesday</t>
        </is>
      </c>
      <c r="J534" t="inlineStr">
        <is>
          <t>Month+8 Expiry</t>
        </is>
      </c>
      <c r="K534" s="25" t="n">
        <v>0</v>
      </c>
      <c r="L534" s="26" t="n">
        <v>0</v>
      </c>
      <c r="M534" s="26" t="n">
        <v>0</v>
      </c>
    </row>
    <row r="535" ht="16" customHeight="1">
      <c r="A535" t="inlineStr">
        <is>
          <t>07-Jan-2026</t>
        </is>
      </c>
      <c r="B535" t="inlineStr">
        <is>
          <t>Wednesday</t>
        </is>
      </c>
      <c r="C535" t="inlineStr">
        <is>
          <t>Week1-Jan-2026</t>
        </is>
      </c>
      <c r="D535" s="78" t="n">
        <v>46023</v>
      </c>
      <c r="E535" t="inlineStr">
        <is>
          <t>Q4FY26</t>
        </is>
      </c>
      <c r="F535" t="inlineStr">
        <is>
          <t>29-Dec-2026</t>
        </is>
      </c>
      <c r="G535" t="inlineStr">
        <is>
          <t>Tuesday</t>
        </is>
      </c>
      <c r="H535" t="inlineStr">
        <is>
          <t>Monthly - Tuesday</t>
        </is>
      </c>
      <c r="I535" t="inlineStr">
        <is>
          <t>Monthly - Tuesday</t>
        </is>
      </c>
      <c r="J535" t="inlineStr">
        <is>
          <t>Month+11 Expiry</t>
        </is>
      </c>
      <c r="K535" s="25" t="n">
        <v>0</v>
      </c>
      <c r="L535" s="26" t="n">
        <v>0</v>
      </c>
      <c r="M535" s="26" t="n">
        <v>0</v>
      </c>
    </row>
    <row r="536" ht="16" customHeight="1">
      <c r="A536" t="inlineStr">
        <is>
          <t>08-Jan-2026</t>
        </is>
      </c>
      <c r="B536" t="inlineStr">
        <is>
          <t>Thursday</t>
        </is>
      </c>
      <c r="C536" t="inlineStr">
        <is>
          <t>Week2-Jan-2026</t>
        </is>
      </c>
      <c r="D536" s="78" t="n">
        <v>46023</v>
      </c>
      <c r="E536" t="inlineStr">
        <is>
          <t>Q4FY26</t>
        </is>
      </c>
      <c r="F536" t="inlineStr">
        <is>
          <t>27-Jan-2026</t>
        </is>
      </c>
      <c r="G536" t="inlineStr">
        <is>
          <t>Tuesday</t>
        </is>
      </c>
      <c r="H536" t="inlineStr">
        <is>
          <t>Monthly - Tuesday</t>
        </is>
      </c>
      <c r="I536" t="inlineStr">
        <is>
          <t>Monthly - Tuesday</t>
        </is>
      </c>
      <c r="J536" t="inlineStr">
        <is>
          <t>Same Month Expiry</t>
        </is>
      </c>
      <c r="K536" s="25" t="n">
        <v>3139153</v>
      </c>
      <c r="L536" s="26" t="n">
        <v>5616.444</v>
      </c>
      <c r="M536" s="26" t="n">
        <v>36.0132</v>
      </c>
    </row>
    <row r="537" ht="16" customHeight="1">
      <c r="A537" t="inlineStr">
        <is>
          <t>08-Jan-2026</t>
        </is>
      </c>
      <c r="B537" t="inlineStr">
        <is>
          <t>Thursday</t>
        </is>
      </c>
      <c r="C537" t="inlineStr">
        <is>
          <t>Week2-Jan-2026</t>
        </is>
      </c>
      <c r="D537" s="78" t="n">
        <v>46023</v>
      </c>
      <c r="E537" t="inlineStr">
        <is>
          <t>Q4FY26</t>
        </is>
      </c>
      <c r="F537" t="inlineStr">
        <is>
          <t>24-Feb-2026</t>
        </is>
      </c>
      <c r="G537" t="inlineStr">
        <is>
          <t>Tuesday</t>
        </is>
      </c>
      <c r="H537" t="inlineStr">
        <is>
          <t>Monthly - Tuesday</t>
        </is>
      </c>
      <c r="I537" t="inlineStr">
        <is>
          <t>Monthly - Tuesday</t>
        </is>
      </c>
      <c r="J537" t="inlineStr">
        <is>
          <t>Month+1 Expiry</t>
        </is>
      </c>
      <c r="K537" s="25" t="n">
        <v>40476</v>
      </c>
      <c r="L537" s="26" t="n">
        <v>73.50369999999999</v>
      </c>
      <c r="M537" s="26" t="n">
        <v>0.8032</v>
      </c>
    </row>
    <row r="538" ht="16" customHeight="1">
      <c r="A538" t="inlineStr">
        <is>
          <t>08-Jan-2026</t>
        </is>
      </c>
      <c r="B538" t="inlineStr">
        <is>
          <t>Thursday</t>
        </is>
      </c>
      <c r="C538" t="inlineStr">
        <is>
          <t>Week2-Jan-2026</t>
        </is>
      </c>
      <c r="D538" s="78" t="n">
        <v>46023</v>
      </c>
      <c r="E538" t="inlineStr">
        <is>
          <t>Q4FY26</t>
        </is>
      </c>
      <c r="F538" t="inlineStr">
        <is>
          <t>30-Mar-2026</t>
        </is>
      </c>
      <c r="G538" t="inlineStr">
        <is>
          <t>Monday</t>
        </is>
      </c>
      <c r="H538" t="inlineStr">
        <is>
          <t>Monthly - Monday</t>
        </is>
      </c>
      <c r="I538" t="inlineStr">
        <is>
          <t>Monthly - Monday</t>
        </is>
      </c>
      <c r="J538" t="inlineStr">
        <is>
          <t>Month+2 Expiry</t>
        </is>
      </c>
      <c r="K538" s="25" t="n">
        <v>5459</v>
      </c>
      <c r="L538" s="26" t="n">
        <v>9.8263</v>
      </c>
      <c r="M538" s="26" t="n">
        <v>0.1239</v>
      </c>
    </row>
    <row r="539" ht="16" customHeight="1">
      <c r="A539" t="inlineStr">
        <is>
          <t>08-Jan-2026</t>
        </is>
      </c>
      <c r="B539" t="inlineStr">
        <is>
          <t>Thursday</t>
        </is>
      </c>
      <c r="C539" t="inlineStr">
        <is>
          <t>Week2-Jan-2026</t>
        </is>
      </c>
      <c r="D539" s="78" t="n">
        <v>46023</v>
      </c>
      <c r="E539" t="inlineStr">
        <is>
          <t>Q4FY26</t>
        </is>
      </c>
      <c r="F539" t="inlineStr">
        <is>
          <t>30-Jun-2026</t>
        </is>
      </c>
      <c r="G539" t="inlineStr">
        <is>
          <t>Tuesday</t>
        </is>
      </c>
      <c r="H539" t="inlineStr">
        <is>
          <t>Monthly - Tuesday</t>
        </is>
      </c>
      <c r="I539" t="inlineStr">
        <is>
          <t>Monthly - Tuesday</t>
        </is>
      </c>
      <c r="J539" t="inlineStr">
        <is>
          <t>Month+5 Expiry</t>
        </is>
      </c>
      <c r="K539" s="25" t="n">
        <v>0</v>
      </c>
      <c r="L539" s="26" t="n">
        <v>0</v>
      </c>
      <c r="M539" s="26" t="n">
        <v>0</v>
      </c>
    </row>
    <row r="540" ht="16" customHeight="1">
      <c r="A540" t="inlineStr">
        <is>
          <t>08-Jan-2026</t>
        </is>
      </c>
      <c r="B540" t="inlineStr">
        <is>
          <t>Thursday</t>
        </is>
      </c>
      <c r="C540" t="inlineStr">
        <is>
          <t>Week2-Jan-2026</t>
        </is>
      </c>
      <c r="D540" s="78" t="n">
        <v>46023</v>
      </c>
      <c r="E540" t="inlineStr">
        <is>
          <t>Q4FY26</t>
        </is>
      </c>
      <c r="F540" t="inlineStr">
        <is>
          <t>29-Sep-2026</t>
        </is>
      </c>
      <c r="G540" t="inlineStr">
        <is>
          <t>Tuesday</t>
        </is>
      </c>
      <c r="H540" t="inlineStr">
        <is>
          <t>Monthly - Tuesday</t>
        </is>
      </c>
      <c r="I540" t="inlineStr">
        <is>
          <t>Monthly - Tuesday</t>
        </is>
      </c>
      <c r="J540" t="inlineStr">
        <is>
          <t>Month+8 Expiry</t>
        </is>
      </c>
      <c r="K540" s="25" t="n">
        <v>0</v>
      </c>
      <c r="L540" s="26" t="n">
        <v>0</v>
      </c>
      <c r="M540" s="26" t="n">
        <v>0</v>
      </c>
    </row>
    <row r="541" ht="16" customHeight="1">
      <c r="A541" t="inlineStr">
        <is>
          <t>08-Jan-2026</t>
        </is>
      </c>
      <c r="B541" t="inlineStr">
        <is>
          <t>Thursday</t>
        </is>
      </c>
      <c r="C541" t="inlineStr">
        <is>
          <t>Week2-Jan-2026</t>
        </is>
      </c>
      <c r="D541" s="78" t="n">
        <v>46023</v>
      </c>
      <c r="E541" t="inlineStr">
        <is>
          <t>Q4FY26</t>
        </is>
      </c>
      <c r="F541" t="inlineStr">
        <is>
          <t>29-Dec-2026</t>
        </is>
      </c>
      <c r="G541" t="inlineStr">
        <is>
          <t>Tuesday</t>
        </is>
      </c>
      <c r="H541" t="inlineStr">
        <is>
          <t>Monthly - Tuesday</t>
        </is>
      </c>
      <c r="I541" t="inlineStr">
        <is>
          <t>Monthly - Tuesday</t>
        </is>
      </c>
      <c r="J541" t="inlineStr">
        <is>
          <t>Month+11 Expiry</t>
        </is>
      </c>
      <c r="K541" s="25" t="n">
        <v>0</v>
      </c>
      <c r="L541" s="26" t="n">
        <v>0</v>
      </c>
      <c r="M541" s="26" t="n">
        <v>0</v>
      </c>
    </row>
    <row r="542" ht="16" customHeight="1">
      <c r="A542" t="inlineStr">
        <is>
          <t>09-Jan-2026</t>
        </is>
      </c>
      <c r="B542" t="inlineStr">
        <is>
          <t>Friday</t>
        </is>
      </c>
      <c r="C542" t="inlineStr">
        <is>
          <t>Week2-Jan-2026</t>
        </is>
      </c>
      <c r="D542" s="78" t="n">
        <v>46023</v>
      </c>
      <c r="E542" t="inlineStr">
        <is>
          <t>Q4FY26</t>
        </is>
      </c>
      <c r="F542" t="inlineStr">
        <is>
          <t>27-Jan-2026</t>
        </is>
      </c>
      <c r="G542" t="inlineStr">
        <is>
          <t>Tuesday</t>
        </is>
      </c>
      <c r="H542" t="inlineStr">
        <is>
          <t>Monthly - Tuesday</t>
        </is>
      </c>
      <c r="I542" t="inlineStr">
        <is>
          <t>Monthly - Tuesday</t>
        </is>
      </c>
      <c r="J542" t="inlineStr">
        <is>
          <t>Same Month Expiry</t>
        </is>
      </c>
      <c r="K542" s="25" t="n">
        <v>3354589</v>
      </c>
      <c r="L542" s="26" t="n">
        <v>5968.3697</v>
      </c>
      <c r="M542" s="26" t="n">
        <v>38.3911</v>
      </c>
    </row>
    <row r="543" ht="16" customHeight="1">
      <c r="A543" t="inlineStr">
        <is>
          <t>09-Jan-2026</t>
        </is>
      </c>
      <c r="B543" t="inlineStr">
        <is>
          <t>Friday</t>
        </is>
      </c>
      <c r="C543" t="inlineStr">
        <is>
          <t>Week2-Jan-2026</t>
        </is>
      </c>
      <c r="D543" s="78" t="n">
        <v>46023</v>
      </c>
      <c r="E543" t="inlineStr">
        <is>
          <t>Q4FY26</t>
        </is>
      </c>
      <c r="F543" t="inlineStr">
        <is>
          <t>24-Feb-2026</t>
        </is>
      </c>
      <c r="G543" t="inlineStr">
        <is>
          <t>Tuesday</t>
        </is>
      </c>
      <c r="H543" t="inlineStr">
        <is>
          <t>Monthly - Tuesday</t>
        </is>
      </c>
      <c r="I543" t="inlineStr">
        <is>
          <t>Monthly - Tuesday</t>
        </is>
      </c>
      <c r="J543" t="inlineStr">
        <is>
          <t>Month+1 Expiry</t>
        </is>
      </c>
      <c r="K543" s="25" t="n">
        <v>50797</v>
      </c>
      <c r="L543" s="26" t="n">
        <v>91.39449999999999</v>
      </c>
      <c r="M543" s="26" t="n">
        <v>0.9806</v>
      </c>
    </row>
    <row r="544" ht="16" customHeight="1">
      <c r="A544" t="inlineStr">
        <is>
          <t>09-Jan-2026</t>
        </is>
      </c>
      <c r="B544" t="inlineStr">
        <is>
          <t>Friday</t>
        </is>
      </c>
      <c r="C544" t="inlineStr">
        <is>
          <t>Week2-Jan-2026</t>
        </is>
      </c>
      <c r="D544" s="78" t="n">
        <v>46023</v>
      </c>
      <c r="E544" t="inlineStr">
        <is>
          <t>Q4FY26</t>
        </is>
      </c>
      <c r="F544" t="inlineStr">
        <is>
          <t>30-Mar-2026</t>
        </is>
      </c>
      <c r="G544" t="inlineStr">
        <is>
          <t>Monday</t>
        </is>
      </c>
      <c r="H544" t="inlineStr">
        <is>
          <t>Monthly - Monday</t>
        </is>
      </c>
      <c r="I544" t="inlineStr">
        <is>
          <t>Monthly - Monday</t>
        </is>
      </c>
      <c r="J544" t="inlineStr">
        <is>
          <t>Month+2 Expiry</t>
        </is>
      </c>
      <c r="K544" s="25" t="n">
        <v>6876</v>
      </c>
      <c r="L544" s="26" t="n">
        <v>12.355</v>
      </c>
      <c r="M544" s="26" t="n">
        <v>0.1439</v>
      </c>
    </row>
    <row r="545" ht="16" customHeight="1">
      <c r="A545" t="inlineStr">
        <is>
          <t>09-Jan-2026</t>
        </is>
      </c>
      <c r="B545" t="inlineStr">
        <is>
          <t>Friday</t>
        </is>
      </c>
      <c r="C545" t="inlineStr">
        <is>
          <t>Week2-Jan-2026</t>
        </is>
      </c>
      <c r="D545" s="78" t="n">
        <v>46023</v>
      </c>
      <c r="E545" t="inlineStr">
        <is>
          <t>Q4FY26</t>
        </is>
      </c>
      <c r="F545" t="inlineStr">
        <is>
          <t>30-Jun-2026</t>
        </is>
      </c>
      <c r="G545" t="inlineStr">
        <is>
          <t>Tuesday</t>
        </is>
      </c>
      <c r="H545" t="inlineStr">
        <is>
          <t>Monthly - Tuesday</t>
        </is>
      </c>
      <c r="I545" t="inlineStr">
        <is>
          <t>Monthly - Tuesday</t>
        </is>
      </c>
      <c r="J545" t="inlineStr">
        <is>
          <t>Month+5 Expiry</t>
        </is>
      </c>
      <c r="K545" s="25" t="n">
        <v>0</v>
      </c>
      <c r="L545" s="26" t="n">
        <v>0</v>
      </c>
      <c r="M545" s="26" t="n">
        <v>0</v>
      </c>
    </row>
    <row r="546" ht="16" customHeight="1">
      <c r="A546" t="inlineStr">
        <is>
          <t>09-Jan-2026</t>
        </is>
      </c>
      <c r="B546" t="inlineStr">
        <is>
          <t>Friday</t>
        </is>
      </c>
      <c r="C546" t="inlineStr">
        <is>
          <t>Week2-Jan-2026</t>
        </is>
      </c>
      <c r="D546" s="78" t="n">
        <v>46023</v>
      </c>
      <c r="E546" t="inlineStr">
        <is>
          <t>Q4FY26</t>
        </is>
      </c>
      <c r="F546" t="inlineStr">
        <is>
          <t>29-Sep-2026</t>
        </is>
      </c>
      <c r="G546" t="inlineStr">
        <is>
          <t>Tuesday</t>
        </is>
      </c>
      <c r="H546" t="inlineStr">
        <is>
          <t>Monthly - Tuesday</t>
        </is>
      </c>
      <c r="I546" t="inlineStr">
        <is>
          <t>Monthly - Tuesday</t>
        </is>
      </c>
      <c r="J546" t="inlineStr">
        <is>
          <t>Month+8 Expiry</t>
        </is>
      </c>
      <c r="K546" s="25" t="n">
        <v>0</v>
      </c>
      <c r="L546" s="26" t="n">
        <v>0</v>
      </c>
      <c r="M546" s="26" t="n">
        <v>0</v>
      </c>
    </row>
    <row r="547" ht="16" customHeight="1">
      <c r="A547" t="inlineStr">
        <is>
          <t>09-Jan-2026</t>
        </is>
      </c>
      <c r="B547" t="inlineStr">
        <is>
          <t>Friday</t>
        </is>
      </c>
      <c r="C547" t="inlineStr">
        <is>
          <t>Week2-Jan-2026</t>
        </is>
      </c>
      <c r="D547" s="78" t="n">
        <v>46023</v>
      </c>
      <c r="E547" t="inlineStr">
        <is>
          <t>Q4FY26</t>
        </is>
      </c>
      <c r="F547" t="inlineStr">
        <is>
          <t>29-Dec-2026</t>
        </is>
      </c>
      <c r="G547" t="inlineStr">
        <is>
          <t>Tuesday</t>
        </is>
      </c>
      <c r="H547" t="inlineStr">
        <is>
          <t>Monthly - Tuesday</t>
        </is>
      </c>
      <c r="I547" t="inlineStr">
        <is>
          <t>Monthly - Tuesday</t>
        </is>
      </c>
      <c r="J547" t="inlineStr">
        <is>
          <t>Month+11 Expiry</t>
        </is>
      </c>
      <c r="K547" s="25" t="n">
        <v>0</v>
      </c>
      <c r="L547" s="26" t="n">
        <v>0</v>
      </c>
      <c r="M547" s="26" t="n">
        <v>0</v>
      </c>
    </row>
    <row r="548" ht="16" customHeight="1">
      <c r="A548" t="inlineStr">
        <is>
          <t>12-Jan-2026</t>
        </is>
      </c>
      <c r="B548" t="inlineStr">
        <is>
          <t>Monday</t>
        </is>
      </c>
      <c r="C548" t="inlineStr">
        <is>
          <t>Week2-Jan-2026</t>
        </is>
      </c>
      <c r="D548" s="78" t="n">
        <v>46023</v>
      </c>
      <c r="E548" t="inlineStr">
        <is>
          <t>Q4FY26</t>
        </is>
      </c>
      <c r="F548" t="inlineStr">
        <is>
          <t>27-Jan-2026</t>
        </is>
      </c>
      <c r="G548" t="inlineStr">
        <is>
          <t>Tuesday</t>
        </is>
      </c>
      <c r="H548" t="inlineStr">
        <is>
          <t>Monthly - Tuesday</t>
        </is>
      </c>
      <c r="I548" t="inlineStr">
        <is>
          <t>Monthly - Tuesday</t>
        </is>
      </c>
      <c r="J548" t="inlineStr">
        <is>
          <t>Same Month Expiry</t>
        </is>
      </c>
      <c r="K548" s="25" t="n">
        <v>3762037</v>
      </c>
      <c r="L548" s="26" t="n">
        <v>6674.6142</v>
      </c>
      <c r="M548" s="26" t="n">
        <v>42.5627</v>
      </c>
    </row>
    <row r="549" ht="16" customHeight="1">
      <c r="A549" t="inlineStr">
        <is>
          <t>12-Jan-2026</t>
        </is>
      </c>
      <c r="B549" t="inlineStr">
        <is>
          <t>Monday</t>
        </is>
      </c>
      <c r="C549" t="inlineStr">
        <is>
          <t>Week2-Jan-2026</t>
        </is>
      </c>
      <c r="D549" s="78" t="n">
        <v>46023</v>
      </c>
      <c r="E549" t="inlineStr">
        <is>
          <t>Q4FY26</t>
        </is>
      </c>
      <c r="F549" t="inlineStr">
        <is>
          <t>24-Feb-2026</t>
        </is>
      </c>
      <c r="G549" t="inlineStr">
        <is>
          <t>Tuesday</t>
        </is>
      </c>
      <c r="H549" t="inlineStr">
        <is>
          <t>Monthly - Tuesday</t>
        </is>
      </c>
      <c r="I549" t="inlineStr">
        <is>
          <t>Monthly - Tuesday</t>
        </is>
      </c>
      <c r="J549" t="inlineStr">
        <is>
          <t>Month+1 Expiry</t>
        </is>
      </c>
      <c r="K549" s="25" t="n">
        <v>55544</v>
      </c>
      <c r="L549" s="26" t="n">
        <v>100.327</v>
      </c>
      <c r="M549" s="26" t="n">
        <v>1.1241</v>
      </c>
    </row>
    <row r="550" ht="16" customHeight="1">
      <c r="A550" t="inlineStr">
        <is>
          <t>12-Jan-2026</t>
        </is>
      </c>
      <c r="B550" t="inlineStr">
        <is>
          <t>Monday</t>
        </is>
      </c>
      <c r="C550" t="inlineStr">
        <is>
          <t>Week2-Jan-2026</t>
        </is>
      </c>
      <c r="D550" s="78" t="n">
        <v>46023</v>
      </c>
      <c r="E550" t="inlineStr">
        <is>
          <t>Q4FY26</t>
        </is>
      </c>
      <c r="F550" t="inlineStr">
        <is>
          <t>30-Mar-2026</t>
        </is>
      </c>
      <c r="G550" t="inlineStr">
        <is>
          <t>Monday</t>
        </is>
      </c>
      <c r="H550" t="inlineStr">
        <is>
          <t>Monthly - Monday</t>
        </is>
      </c>
      <c r="I550" t="inlineStr">
        <is>
          <t>Monthly - Monday</t>
        </is>
      </c>
      <c r="J550" t="inlineStr">
        <is>
          <t>Month+2 Expiry</t>
        </is>
      </c>
      <c r="K550" s="25" t="n">
        <v>7322</v>
      </c>
      <c r="L550" s="26" t="n">
        <v>13.2247</v>
      </c>
      <c r="M550" s="26" t="n">
        <v>0.1875</v>
      </c>
    </row>
    <row r="551" ht="16" customHeight="1">
      <c r="A551" t="inlineStr">
        <is>
          <t>12-Jan-2026</t>
        </is>
      </c>
      <c r="B551" t="inlineStr">
        <is>
          <t>Monday</t>
        </is>
      </c>
      <c r="C551" t="inlineStr">
        <is>
          <t>Week2-Jan-2026</t>
        </is>
      </c>
      <c r="D551" s="78" t="n">
        <v>46023</v>
      </c>
      <c r="E551" t="inlineStr">
        <is>
          <t>Q4FY26</t>
        </is>
      </c>
      <c r="F551" t="inlineStr">
        <is>
          <t>30-Jun-2026</t>
        </is>
      </c>
      <c r="G551" t="inlineStr">
        <is>
          <t>Tuesday</t>
        </is>
      </c>
      <c r="H551" t="inlineStr">
        <is>
          <t>Monthly - Tuesday</t>
        </is>
      </c>
      <c r="I551" t="inlineStr">
        <is>
          <t>Monthly - Tuesday</t>
        </is>
      </c>
      <c r="J551" t="inlineStr">
        <is>
          <t>Month+5 Expiry</t>
        </is>
      </c>
      <c r="K551" s="25" t="n">
        <v>0</v>
      </c>
      <c r="L551" s="26" t="n">
        <v>0</v>
      </c>
      <c r="M551" s="26" t="n">
        <v>0</v>
      </c>
    </row>
    <row r="552" ht="16" customHeight="1">
      <c r="A552" t="inlineStr">
        <is>
          <t>12-Jan-2026</t>
        </is>
      </c>
      <c r="B552" t="inlineStr">
        <is>
          <t>Monday</t>
        </is>
      </c>
      <c r="C552" t="inlineStr">
        <is>
          <t>Week2-Jan-2026</t>
        </is>
      </c>
      <c r="D552" s="78" t="n">
        <v>46023</v>
      </c>
      <c r="E552" t="inlineStr">
        <is>
          <t>Q4FY26</t>
        </is>
      </c>
      <c r="F552" t="inlineStr">
        <is>
          <t>29-Sep-2026</t>
        </is>
      </c>
      <c r="G552" t="inlineStr">
        <is>
          <t>Tuesday</t>
        </is>
      </c>
      <c r="H552" t="inlineStr">
        <is>
          <t>Monthly - Tuesday</t>
        </is>
      </c>
      <c r="I552" t="inlineStr">
        <is>
          <t>Monthly - Tuesday</t>
        </is>
      </c>
      <c r="J552" t="inlineStr">
        <is>
          <t>Month+8 Expiry</t>
        </is>
      </c>
      <c r="K552" s="25" t="n">
        <v>0</v>
      </c>
      <c r="L552" s="26" t="n">
        <v>0</v>
      </c>
      <c r="M552" s="26" t="n">
        <v>0</v>
      </c>
    </row>
    <row r="553" ht="16" customHeight="1">
      <c r="A553" t="inlineStr">
        <is>
          <t>12-Jan-2026</t>
        </is>
      </c>
      <c r="B553" t="inlineStr">
        <is>
          <t>Monday</t>
        </is>
      </c>
      <c r="C553" t="inlineStr">
        <is>
          <t>Week2-Jan-2026</t>
        </is>
      </c>
      <c r="D553" s="78" t="n">
        <v>46023</v>
      </c>
      <c r="E553" t="inlineStr">
        <is>
          <t>Q4FY26</t>
        </is>
      </c>
      <c r="F553" t="inlineStr">
        <is>
          <t>29-Dec-2026</t>
        </is>
      </c>
      <c r="G553" t="inlineStr">
        <is>
          <t>Tuesday</t>
        </is>
      </c>
      <c r="H553" t="inlineStr">
        <is>
          <t>Monthly - Tuesday</t>
        </is>
      </c>
      <c r="I553" t="inlineStr">
        <is>
          <t>Monthly - Tuesday</t>
        </is>
      </c>
      <c r="J553" t="inlineStr">
        <is>
          <t>Month+11 Expiry</t>
        </is>
      </c>
      <c r="K553" s="25" t="n">
        <v>0</v>
      </c>
      <c r="L553" s="26" t="n">
        <v>0</v>
      </c>
      <c r="M553" s="26" t="n">
        <v>0</v>
      </c>
    </row>
    <row r="554" ht="16" customHeight="1">
      <c r="A554" t="inlineStr">
        <is>
          <t>13-Jan-2026</t>
        </is>
      </c>
      <c r="B554" t="inlineStr">
        <is>
          <t>Tuesday</t>
        </is>
      </c>
      <c r="C554" t="inlineStr">
        <is>
          <t>Week2-Jan-2026</t>
        </is>
      </c>
      <c r="D554" s="78" t="n">
        <v>46023</v>
      </c>
      <c r="E554" t="inlineStr">
        <is>
          <t>Q4FY26</t>
        </is>
      </c>
      <c r="F554" t="inlineStr">
        <is>
          <t>27-Jan-2026</t>
        </is>
      </c>
      <c r="G554" t="inlineStr">
        <is>
          <t>Tuesday</t>
        </is>
      </c>
      <c r="H554" t="inlineStr">
        <is>
          <t>Monthly - Tuesday</t>
        </is>
      </c>
      <c r="I554" t="inlineStr">
        <is>
          <t>Monthly - Tuesday</t>
        </is>
      </c>
      <c r="J554" t="inlineStr">
        <is>
          <t>Same Month Expiry</t>
        </is>
      </c>
      <c r="K554" s="25" t="n">
        <v>3238380</v>
      </c>
      <c r="L554" s="26" t="n">
        <v>5766.9734</v>
      </c>
      <c r="M554" s="26" t="n">
        <v>37.2434</v>
      </c>
    </row>
    <row r="555" ht="16" customHeight="1">
      <c r="A555" t="inlineStr">
        <is>
          <t>13-Jan-2026</t>
        </is>
      </c>
      <c r="B555" t="inlineStr">
        <is>
          <t>Tuesday</t>
        </is>
      </c>
      <c r="C555" t="inlineStr">
        <is>
          <t>Week2-Jan-2026</t>
        </is>
      </c>
      <c r="D555" s="78" t="n">
        <v>46023</v>
      </c>
      <c r="E555" t="inlineStr">
        <is>
          <t>Q4FY26</t>
        </is>
      </c>
      <c r="F555" t="inlineStr">
        <is>
          <t>24-Feb-2026</t>
        </is>
      </c>
      <c r="G555" t="inlineStr">
        <is>
          <t>Tuesday</t>
        </is>
      </c>
      <c r="H555" t="inlineStr">
        <is>
          <t>Monthly - Tuesday</t>
        </is>
      </c>
      <c r="I555" t="inlineStr">
        <is>
          <t>Monthly - Tuesday</t>
        </is>
      </c>
      <c r="J555" t="inlineStr">
        <is>
          <t>Month+1 Expiry</t>
        </is>
      </c>
      <c r="K555" s="25" t="n">
        <v>49313</v>
      </c>
      <c r="L555" s="26" t="n">
        <v>89.47150000000001</v>
      </c>
      <c r="M555" s="26" t="n">
        <v>0.9596</v>
      </c>
    </row>
    <row r="556" ht="16" customHeight="1">
      <c r="A556" t="inlineStr">
        <is>
          <t>13-Jan-2026</t>
        </is>
      </c>
      <c r="B556" t="inlineStr">
        <is>
          <t>Tuesday</t>
        </is>
      </c>
      <c r="C556" t="inlineStr">
        <is>
          <t>Week2-Jan-2026</t>
        </is>
      </c>
      <c r="D556" s="78" t="n">
        <v>46023</v>
      </c>
      <c r="E556" t="inlineStr">
        <is>
          <t>Q4FY26</t>
        </is>
      </c>
      <c r="F556" t="inlineStr">
        <is>
          <t>30-Mar-2026</t>
        </is>
      </c>
      <c r="G556" t="inlineStr">
        <is>
          <t>Monday</t>
        </is>
      </c>
      <c r="H556" t="inlineStr">
        <is>
          <t>Monthly - Monday</t>
        </is>
      </c>
      <c r="I556" t="inlineStr">
        <is>
          <t>Monthly - Monday</t>
        </is>
      </c>
      <c r="J556" t="inlineStr">
        <is>
          <t>Month+2 Expiry</t>
        </is>
      </c>
      <c r="K556" s="25" t="n">
        <v>4454</v>
      </c>
      <c r="L556" s="26" t="n">
        <v>7.9716</v>
      </c>
      <c r="M556" s="26" t="n">
        <v>0.1017</v>
      </c>
    </row>
    <row r="557" ht="16" customHeight="1">
      <c r="A557" t="inlineStr">
        <is>
          <t>13-Jan-2026</t>
        </is>
      </c>
      <c r="B557" t="inlineStr">
        <is>
          <t>Tuesday</t>
        </is>
      </c>
      <c r="C557" t="inlineStr">
        <is>
          <t>Week2-Jan-2026</t>
        </is>
      </c>
      <c r="D557" s="78" t="n">
        <v>46023</v>
      </c>
      <c r="E557" t="inlineStr">
        <is>
          <t>Q4FY26</t>
        </is>
      </c>
      <c r="F557" t="inlineStr">
        <is>
          <t>30-Jun-2026</t>
        </is>
      </c>
      <c r="G557" t="inlineStr">
        <is>
          <t>Tuesday</t>
        </is>
      </c>
      <c r="H557" t="inlineStr">
        <is>
          <t>Monthly - Tuesday</t>
        </is>
      </c>
      <c r="I557" t="inlineStr">
        <is>
          <t>Monthly - Tuesday</t>
        </is>
      </c>
      <c r="J557" t="inlineStr">
        <is>
          <t>Month+5 Expiry</t>
        </is>
      </c>
      <c r="K557" s="25" t="n">
        <v>0</v>
      </c>
      <c r="L557" s="26" t="n">
        <v>0</v>
      </c>
      <c r="M557" s="26" t="n">
        <v>0</v>
      </c>
    </row>
    <row r="558" ht="16" customHeight="1">
      <c r="A558" t="inlineStr">
        <is>
          <t>13-Jan-2026</t>
        </is>
      </c>
      <c r="B558" t="inlineStr">
        <is>
          <t>Tuesday</t>
        </is>
      </c>
      <c r="C558" t="inlineStr">
        <is>
          <t>Week2-Jan-2026</t>
        </is>
      </c>
      <c r="D558" s="78" t="n">
        <v>46023</v>
      </c>
      <c r="E558" t="inlineStr">
        <is>
          <t>Q4FY26</t>
        </is>
      </c>
      <c r="F558" t="inlineStr">
        <is>
          <t>29-Sep-2026</t>
        </is>
      </c>
      <c r="G558" t="inlineStr">
        <is>
          <t>Tuesday</t>
        </is>
      </c>
      <c r="H558" t="inlineStr">
        <is>
          <t>Monthly - Tuesday</t>
        </is>
      </c>
      <c r="I558" t="inlineStr">
        <is>
          <t>Monthly - Tuesday</t>
        </is>
      </c>
      <c r="J558" t="inlineStr">
        <is>
          <t>Month+8 Expiry</t>
        </is>
      </c>
      <c r="K558" s="25" t="n">
        <v>0</v>
      </c>
      <c r="L558" s="26" t="n">
        <v>0</v>
      </c>
      <c r="M558" s="26" t="n">
        <v>0</v>
      </c>
    </row>
    <row r="559" ht="16" customHeight="1">
      <c r="A559" t="inlineStr">
        <is>
          <t>13-Jan-2026</t>
        </is>
      </c>
      <c r="B559" t="inlineStr">
        <is>
          <t>Tuesday</t>
        </is>
      </c>
      <c r="C559" t="inlineStr">
        <is>
          <t>Week2-Jan-2026</t>
        </is>
      </c>
      <c r="D559" s="78" t="n">
        <v>46023</v>
      </c>
      <c r="E559" t="inlineStr">
        <is>
          <t>Q4FY26</t>
        </is>
      </c>
      <c r="F559" t="inlineStr">
        <is>
          <t>29-Dec-2026</t>
        </is>
      </c>
      <c r="G559" t="inlineStr">
        <is>
          <t>Tuesday</t>
        </is>
      </c>
      <c r="H559" t="inlineStr">
        <is>
          <t>Monthly - Tuesday</t>
        </is>
      </c>
      <c r="I559" t="inlineStr">
        <is>
          <t>Monthly - Tuesday</t>
        </is>
      </c>
      <c r="J559" t="inlineStr">
        <is>
          <t>Month+11 Expiry</t>
        </is>
      </c>
      <c r="K559" s="25" t="n">
        <v>0</v>
      </c>
      <c r="L559" s="26" t="n">
        <v>0</v>
      </c>
      <c r="M559" s="26" t="n">
        <v>0</v>
      </c>
    </row>
    <row r="560" ht="16" customHeight="1">
      <c r="A560" t="inlineStr">
        <is>
          <t>14-Jan-2026</t>
        </is>
      </c>
      <c r="B560" t="inlineStr">
        <is>
          <t>Wednesday</t>
        </is>
      </c>
      <c r="C560" t="inlineStr">
        <is>
          <t>Week2-Jan-2026</t>
        </is>
      </c>
      <c r="D560" s="78" t="n">
        <v>46023</v>
      </c>
      <c r="E560" t="inlineStr">
        <is>
          <t>Q4FY26</t>
        </is>
      </c>
      <c r="F560" t="inlineStr">
        <is>
          <t>27-Jan-2026</t>
        </is>
      </c>
      <c r="G560" t="inlineStr">
        <is>
          <t>Tuesday</t>
        </is>
      </c>
      <c r="H560" t="inlineStr">
        <is>
          <t>Monthly - Tuesday</t>
        </is>
      </c>
      <c r="I560" t="inlineStr">
        <is>
          <t>Monthly - Tuesday</t>
        </is>
      </c>
      <c r="J560" t="inlineStr">
        <is>
          <t>Same Month Expiry</t>
        </is>
      </c>
      <c r="K560" s="25" t="n">
        <v>3079585</v>
      </c>
      <c r="L560" s="26" t="n">
        <v>5497.3337</v>
      </c>
      <c r="M560" s="26" t="n">
        <v>32.7671</v>
      </c>
    </row>
    <row r="561" ht="16" customHeight="1">
      <c r="A561" t="inlineStr">
        <is>
          <t>14-Jan-2026</t>
        </is>
      </c>
      <c r="B561" t="inlineStr">
        <is>
          <t>Wednesday</t>
        </is>
      </c>
      <c r="C561" t="inlineStr">
        <is>
          <t>Week2-Jan-2026</t>
        </is>
      </c>
      <c r="D561" s="78" t="n">
        <v>46023</v>
      </c>
      <c r="E561" t="inlineStr">
        <is>
          <t>Q4FY26</t>
        </is>
      </c>
      <c r="F561" t="inlineStr">
        <is>
          <t>24-Feb-2026</t>
        </is>
      </c>
      <c r="G561" t="inlineStr">
        <is>
          <t>Tuesday</t>
        </is>
      </c>
      <c r="H561" t="inlineStr">
        <is>
          <t>Monthly - Tuesday</t>
        </is>
      </c>
      <c r="I561" t="inlineStr">
        <is>
          <t>Monthly - Tuesday</t>
        </is>
      </c>
      <c r="J561" t="inlineStr">
        <is>
          <t>Month+1 Expiry</t>
        </is>
      </c>
      <c r="K561" s="25" t="n">
        <v>39092</v>
      </c>
      <c r="L561" s="26" t="n">
        <v>70.89230000000001</v>
      </c>
      <c r="M561" s="26" t="n">
        <v>0.6888</v>
      </c>
    </row>
    <row r="562" ht="16" customHeight="1">
      <c r="A562" t="inlineStr">
        <is>
          <t>14-Jan-2026</t>
        </is>
      </c>
      <c r="B562" t="inlineStr">
        <is>
          <t>Wednesday</t>
        </is>
      </c>
      <c r="C562" t="inlineStr">
        <is>
          <t>Week2-Jan-2026</t>
        </is>
      </c>
      <c r="D562" s="78" t="n">
        <v>46023</v>
      </c>
      <c r="E562" t="inlineStr">
        <is>
          <t>Q4FY26</t>
        </is>
      </c>
      <c r="F562" t="inlineStr">
        <is>
          <t>30-Mar-2026</t>
        </is>
      </c>
      <c r="G562" t="inlineStr">
        <is>
          <t>Monday</t>
        </is>
      </c>
      <c r="H562" t="inlineStr">
        <is>
          <t>Monthly - Monday</t>
        </is>
      </c>
      <c r="I562" t="inlineStr">
        <is>
          <t>Monthly - Monday</t>
        </is>
      </c>
      <c r="J562" t="inlineStr">
        <is>
          <t>Month+2 Expiry</t>
        </is>
      </c>
      <c r="K562" s="25" t="n">
        <v>4347</v>
      </c>
      <c r="L562" s="26" t="n">
        <v>7.7901</v>
      </c>
      <c r="M562" s="26" t="n">
        <v>0.09660000000000001</v>
      </c>
    </row>
    <row r="563" ht="16" customHeight="1">
      <c r="A563" t="inlineStr">
        <is>
          <t>14-Jan-2026</t>
        </is>
      </c>
      <c r="B563" t="inlineStr">
        <is>
          <t>Wednesday</t>
        </is>
      </c>
      <c r="C563" t="inlineStr">
        <is>
          <t>Week2-Jan-2026</t>
        </is>
      </c>
      <c r="D563" s="78" t="n">
        <v>46023</v>
      </c>
      <c r="E563" t="inlineStr">
        <is>
          <t>Q4FY26</t>
        </is>
      </c>
      <c r="F563" t="inlineStr">
        <is>
          <t>30-Jun-2026</t>
        </is>
      </c>
      <c r="G563" t="inlineStr">
        <is>
          <t>Tuesday</t>
        </is>
      </c>
      <c r="H563" t="inlineStr">
        <is>
          <t>Monthly - Tuesday</t>
        </is>
      </c>
      <c r="I563" t="inlineStr">
        <is>
          <t>Monthly - Tuesday</t>
        </is>
      </c>
      <c r="J563" t="inlineStr">
        <is>
          <t>Month+5 Expiry</t>
        </is>
      </c>
      <c r="K563" s="25" t="n">
        <v>0</v>
      </c>
      <c r="L563" s="26" t="n">
        <v>0</v>
      </c>
      <c r="M563" s="26" t="n">
        <v>0</v>
      </c>
    </row>
    <row r="564" ht="16" customHeight="1">
      <c r="A564" t="inlineStr">
        <is>
          <t>14-Jan-2026</t>
        </is>
      </c>
      <c r="B564" t="inlineStr">
        <is>
          <t>Wednesday</t>
        </is>
      </c>
      <c r="C564" t="inlineStr">
        <is>
          <t>Week2-Jan-2026</t>
        </is>
      </c>
      <c r="D564" s="78" t="n">
        <v>46023</v>
      </c>
      <c r="E564" t="inlineStr">
        <is>
          <t>Q4FY26</t>
        </is>
      </c>
      <c r="F564" t="inlineStr">
        <is>
          <t>29-Sep-2026</t>
        </is>
      </c>
      <c r="G564" t="inlineStr">
        <is>
          <t>Tuesday</t>
        </is>
      </c>
      <c r="H564" t="inlineStr">
        <is>
          <t>Monthly - Tuesday</t>
        </is>
      </c>
      <c r="I564" t="inlineStr">
        <is>
          <t>Monthly - Tuesday</t>
        </is>
      </c>
      <c r="J564" t="inlineStr">
        <is>
          <t>Month+8 Expiry</t>
        </is>
      </c>
      <c r="K564" s="25" t="n">
        <v>0</v>
      </c>
      <c r="L564" s="26" t="n">
        <v>0</v>
      </c>
      <c r="M564" s="26" t="n">
        <v>0</v>
      </c>
    </row>
    <row r="565" ht="16" customHeight="1">
      <c r="A565" t="inlineStr">
        <is>
          <t>14-Jan-2026</t>
        </is>
      </c>
      <c r="B565" t="inlineStr">
        <is>
          <t>Wednesday</t>
        </is>
      </c>
      <c r="C565" t="inlineStr">
        <is>
          <t>Week2-Jan-2026</t>
        </is>
      </c>
      <c r="D565" s="78" t="n">
        <v>46023</v>
      </c>
      <c r="E565" t="inlineStr">
        <is>
          <t>Q4FY26</t>
        </is>
      </c>
      <c r="F565" t="inlineStr">
        <is>
          <t>29-Dec-2026</t>
        </is>
      </c>
      <c r="G565" t="inlineStr">
        <is>
          <t>Tuesday</t>
        </is>
      </c>
      <c r="H565" t="inlineStr">
        <is>
          <t>Monthly - Tuesday</t>
        </is>
      </c>
      <c r="I565" t="inlineStr">
        <is>
          <t>Monthly - Tuesday</t>
        </is>
      </c>
      <c r="J565" t="inlineStr">
        <is>
          <t>Month+11 Expiry</t>
        </is>
      </c>
      <c r="K565" s="25" t="n">
        <v>0</v>
      </c>
      <c r="L565" s="26" t="n">
        <v>0</v>
      </c>
      <c r="M565" s="26" t="n">
        <v>0</v>
      </c>
    </row>
    <row r="566" ht="16" customHeight="1">
      <c r="A566" t="inlineStr">
        <is>
          <t>16-Jan-2026</t>
        </is>
      </c>
      <c r="B566" t="inlineStr">
        <is>
          <t>Friday</t>
        </is>
      </c>
      <c r="C566" t="inlineStr">
        <is>
          <t>Week3-Jan-2026</t>
        </is>
      </c>
      <c r="D566" s="78" t="n">
        <v>46023</v>
      </c>
      <c r="E566" t="inlineStr">
        <is>
          <t>Q4FY26</t>
        </is>
      </c>
      <c r="F566" t="inlineStr">
        <is>
          <t>27-Jan-2026</t>
        </is>
      </c>
      <c r="G566" t="inlineStr">
        <is>
          <t>Tuesday</t>
        </is>
      </c>
      <c r="H566" t="inlineStr">
        <is>
          <t>Monthly - Tuesday</t>
        </is>
      </c>
      <c r="I566" t="inlineStr">
        <is>
          <t>Monthly - Tuesday</t>
        </is>
      </c>
      <c r="J566" t="inlineStr">
        <is>
          <t>Same Month Expiry</t>
        </is>
      </c>
      <c r="K566" s="25" t="n">
        <v>4031567</v>
      </c>
      <c r="L566" s="26" t="n">
        <v>7200.0263</v>
      </c>
      <c r="M566" s="26" t="n">
        <v>39.0312</v>
      </c>
    </row>
    <row r="567" ht="16" customHeight="1">
      <c r="A567" t="inlineStr">
        <is>
          <t>16-Jan-2026</t>
        </is>
      </c>
      <c r="B567" t="inlineStr">
        <is>
          <t>Friday</t>
        </is>
      </c>
      <c r="C567" t="inlineStr">
        <is>
          <t>Week3-Jan-2026</t>
        </is>
      </c>
      <c r="D567" s="78" t="n">
        <v>46023</v>
      </c>
      <c r="E567" t="inlineStr">
        <is>
          <t>Q4FY26</t>
        </is>
      </c>
      <c r="F567" t="inlineStr">
        <is>
          <t>24-Feb-2026</t>
        </is>
      </c>
      <c r="G567" t="inlineStr">
        <is>
          <t>Tuesday</t>
        </is>
      </c>
      <c r="H567" t="inlineStr">
        <is>
          <t>Monthly - Tuesday</t>
        </is>
      </c>
      <c r="I567" t="inlineStr">
        <is>
          <t>Monthly - Tuesday</t>
        </is>
      </c>
      <c r="J567" t="inlineStr">
        <is>
          <t>Month+1 Expiry</t>
        </is>
      </c>
      <c r="K567" s="25" t="n">
        <v>101397</v>
      </c>
      <c r="L567" s="26" t="n">
        <v>184.1165</v>
      </c>
      <c r="M567" s="26" t="n">
        <v>2.1661</v>
      </c>
    </row>
    <row r="568" ht="16" customHeight="1">
      <c r="A568" t="inlineStr">
        <is>
          <t>16-Jan-2026</t>
        </is>
      </c>
      <c r="B568" t="inlineStr">
        <is>
          <t>Friday</t>
        </is>
      </c>
      <c r="C568" t="inlineStr">
        <is>
          <t>Week3-Jan-2026</t>
        </is>
      </c>
      <c r="D568" s="78" t="n">
        <v>46023</v>
      </c>
      <c r="E568" t="inlineStr">
        <is>
          <t>Q4FY26</t>
        </is>
      </c>
      <c r="F568" t="inlineStr">
        <is>
          <t>30-Mar-2026</t>
        </is>
      </c>
      <c r="G568" t="inlineStr">
        <is>
          <t>Monday</t>
        </is>
      </c>
      <c r="H568" t="inlineStr">
        <is>
          <t>Monthly - Monday</t>
        </is>
      </c>
      <c r="I568" t="inlineStr">
        <is>
          <t>Monthly - Monday</t>
        </is>
      </c>
      <c r="J568" t="inlineStr">
        <is>
          <t>Month+2 Expiry</t>
        </is>
      </c>
      <c r="K568" s="25" t="n">
        <v>8143</v>
      </c>
      <c r="L568" s="26" t="n">
        <v>14.6256</v>
      </c>
      <c r="M568" s="26" t="n">
        <v>0.2017</v>
      </c>
    </row>
    <row r="569" ht="16" customHeight="1">
      <c r="A569" t="inlineStr">
        <is>
          <t>16-Jan-2026</t>
        </is>
      </c>
      <c r="B569" t="inlineStr">
        <is>
          <t>Friday</t>
        </is>
      </c>
      <c r="C569" t="inlineStr">
        <is>
          <t>Week3-Jan-2026</t>
        </is>
      </c>
      <c r="D569" s="78" t="n">
        <v>46023</v>
      </c>
      <c r="E569" t="inlineStr">
        <is>
          <t>Q4FY26</t>
        </is>
      </c>
      <c r="F569" t="inlineStr">
        <is>
          <t>30-Jun-2026</t>
        </is>
      </c>
      <c r="G569" t="inlineStr">
        <is>
          <t>Tuesday</t>
        </is>
      </c>
      <c r="H569" t="inlineStr">
        <is>
          <t>Monthly - Tuesday</t>
        </is>
      </c>
      <c r="I569" t="inlineStr">
        <is>
          <t>Monthly - Tuesday</t>
        </is>
      </c>
      <c r="J569" t="inlineStr">
        <is>
          <t>Month+5 Expiry</t>
        </is>
      </c>
      <c r="K569" s="25" t="n">
        <v>0</v>
      </c>
      <c r="L569" s="26" t="n">
        <v>0</v>
      </c>
      <c r="M569" s="26" t="n">
        <v>0</v>
      </c>
    </row>
    <row r="570" ht="16" customHeight="1">
      <c r="A570" t="inlineStr">
        <is>
          <t>16-Jan-2026</t>
        </is>
      </c>
      <c r="B570" t="inlineStr">
        <is>
          <t>Friday</t>
        </is>
      </c>
      <c r="C570" t="inlineStr">
        <is>
          <t>Week3-Jan-2026</t>
        </is>
      </c>
      <c r="D570" s="78" t="n">
        <v>46023</v>
      </c>
      <c r="E570" t="inlineStr">
        <is>
          <t>Q4FY26</t>
        </is>
      </c>
      <c r="F570" t="inlineStr">
        <is>
          <t>29-Sep-2026</t>
        </is>
      </c>
      <c r="G570" t="inlineStr">
        <is>
          <t>Tuesday</t>
        </is>
      </c>
      <c r="H570" t="inlineStr">
        <is>
          <t>Monthly - Tuesday</t>
        </is>
      </c>
      <c r="I570" t="inlineStr">
        <is>
          <t>Monthly - Tuesday</t>
        </is>
      </c>
      <c r="J570" t="inlineStr">
        <is>
          <t>Month+8 Expiry</t>
        </is>
      </c>
      <c r="K570" s="25" t="n">
        <v>0</v>
      </c>
      <c r="L570" s="26" t="n">
        <v>0</v>
      </c>
      <c r="M570" s="26" t="n">
        <v>0</v>
      </c>
    </row>
    <row r="571" ht="16" customHeight="1">
      <c r="A571" t="inlineStr">
        <is>
          <t>16-Jan-2026</t>
        </is>
      </c>
      <c r="B571" t="inlineStr">
        <is>
          <t>Friday</t>
        </is>
      </c>
      <c r="C571" t="inlineStr">
        <is>
          <t>Week3-Jan-2026</t>
        </is>
      </c>
      <c r="D571" s="78" t="n">
        <v>46023</v>
      </c>
      <c r="E571" t="inlineStr">
        <is>
          <t>Q4FY26</t>
        </is>
      </c>
      <c r="F571" t="inlineStr">
        <is>
          <t>29-Dec-2026</t>
        </is>
      </c>
      <c r="G571" t="inlineStr">
        <is>
          <t>Tuesday</t>
        </is>
      </c>
      <c r="H571" t="inlineStr">
        <is>
          <t>Monthly - Tuesday</t>
        </is>
      </c>
      <c r="I571" t="inlineStr">
        <is>
          <t>Monthly - Tuesday</t>
        </is>
      </c>
      <c r="J571" t="inlineStr">
        <is>
          <t>Month+11 Expiry</t>
        </is>
      </c>
      <c r="K571" s="25" t="n">
        <v>0</v>
      </c>
      <c r="L571" s="26" t="n">
        <v>0</v>
      </c>
      <c r="M571" s="26" t="n">
        <v>0</v>
      </c>
    </row>
    <row r="572" ht="16" customHeight="1">
      <c r="A572" t="inlineStr">
        <is>
          <t>19-Jan-2026</t>
        </is>
      </c>
      <c r="B572" t="inlineStr">
        <is>
          <t>Monday</t>
        </is>
      </c>
      <c r="C572" t="inlineStr">
        <is>
          <t>Week3-Jan-2026</t>
        </is>
      </c>
      <c r="D572" s="78" t="n">
        <v>46023</v>
      </c>
      <c r="E572" t="inlineStr">
        <is>
          <t>Q4FY26</t>
        </is>
      </c>
      <c r="F572" t="inlineStr">
        <is>
          <t>27-Jan-2026</t>
        </is>
      </c>
      <c r="G572" t="inlineStr">
        <is>
          <t>Tuesday</t>
        </is>
      </c>
      <c r="H572" t="inlineStr">
        <is>
          <t>Monthly - Tuesday</t>
        </is>
      </c>
      <c r="I572" t="inlineStr">
        <is>
          <t>Monthly - Tuesday</t>
        </is>
      </c>
      <c r="J572" t="inlineStr">
        <is>
          <t>Same Month Expiry</t>
        </is>
      </c>
      <c r="K572" s="25" t="n">
        <v>4658716</v>
      </c>
      <c r="L572" s="26" t="n">
        <v>8304.645500000001</v>
      </c>
      <c r="M572" s="26" t="n">
        <v>36.5061</v>
      </c>
    </row>
    <row r="573" ht="16" customHeight="1">
      <c r="A573" t="inlineStr">
        <is>
          <t>19-Jan-2026</t>
        </is>
      </c>
      <c r="B573" t="inlineStr">
        <is>
          <t>Monday</t>
        </is>
      </c>
      <c r="C573" t="inlineStr">
        <is>
          <t>Week3-Jan-2026</t>
        </is>
      </c>
      <c r="D573" s="78" t="n">
        <v>46023</v>
      </c>
      <c r="E573" t="inlineStr">
        <is>
          <t>Q4FY26</t>
        </is>
      </c>
      <c r="F573" t="inlineStr">
        <is>
          <t>24-Feb-2026</t>
        </is>
      </c>
      <c r="G573" t="inlineStr">
        <is>
          <t>Tuesday</t>
        </is>
      </c>
      <c r="H573" t="inlineStr">
        <is>
          <t>Monthly - Tuesday</t>
        </is>
      </c>
      <c r="I573" t="inlineStr">
        <is>
          <t>Monthly - Tuesday</t>
        </is>
      </c>
      <c r="J573" t="inlineStr">
        <is>
          <t>Month+1 Expiry</t>
        </is>
      </c>
      <c r="K573" s="25" t="n">
        <v>155196</v>
      </c>
      <c r="L573" s="26" t="n">
        <v>282.2435</v>
      </c>
      <c r="M573" s="26" t="n">
        <v>3.1913</v>
      </c>
    </row>
    <row r="574" ht="16" customHeight="1">
      <c r="A574" t="inlineStr">
        <is>
          <t>19-Jan-2026</t>
        </is>
      </c>
      <c r="B574" t="inlineStr">
        <is>
          <t>Monday</t>
        </is>
      </c>
      <c r="C574" t="inlineStr">
        <is>
          <t>Week3-Jan-2026</t>
        </is>
      </c>
      <c r="D574" s="78" t="n">
        <v>46023</v>
      </c>
      <c r="E574" t="inlineStr">
        <is>
          <t>Q4FY26</t>
        </is>
      </c>
      <c r="F574" t="inlineStr">
        <is>
          <t>30-Mar-2026</t>
        </is>
      </c>
      <c r="G574" t="inlineStr">
        <is>
          <t>Monday</t>
        </is>
      </c>
      <c r="H574" t="inlineStr">
        <is>
          <t>Monthly - Monday</t>
        </is>
      </c>
      <c r="I574" t="inlineStr">
        <is>
          <t>Monthly - Monday</t>
        </is>
      </c>
      <c r="J574" t="inlineStr">
        <is>
          <t>Month+2 Expiry</t>
        </is>
      </c>
      <c r="K574" s="25" t="n">
        <v>7648</v>
      </c>
      <c r="L574" s="26" t="n">
        <v>13.8489</v>
      </c>
      <c r="M574" s="26" t="n">
        <v>0.158</v>
      </c>
    </row>
    <row r="575" ht="16" customHeight="1">
      <c r="A575" t="inlineStr">
        <is>
          <t>19-Jan-2026</t>
        </is>
      </c>
      <c r="B575" t="inlineStr">
        <is>
          <t>Monday</t>
        </is>
      </c>
      <c r="C575" t="inlineStr">
        <is>
          <t>Week3-Jan-2026</t>
        </is>
      </c>
      <c r="D575" s="78" t="n">
        <v>46023</v>
      </c>
      <c r="E575" t="inlineStr">
        <is>
          <t>Q4FY26</t>
        </is>
      </c>
      <c r="F575" t="inlineStr">
        <is>
          <t>30-Jun-2026</t>
        </is>
      </c>
      <c r="G575" t="inlineStr">
        <is>
          <t>Tuesday</t>
        </is>
      </c>
      <c r="H575" t="inlineStr">
        <is>
          <t>Monthly - Tuesday</t>
        </is>
      </c>
      <c r="I575" t="inlineStr">
        <is>
          <t>Monthly - Tuesday</t>
        </is>
      </c>
      <c r="J575" t="inlineStr">
        <is>
          <t>Month+5 Expiry</t>
        </is>
      </c>
      <c r="K575" s="25" t="n">
        <v>0</v>
      </c>
      <c r="L575" s="26" t="n">
        <v>0</v>
      </c>
      <c r="M575" s="26" t="n">
        <v>0</v>
      </c>
    </row>
    <row r="576" ht="16" customHeight="1">
      <c r="A576" t="inlineStr">
        <is>
          <t>19-Jan-2026</t>
        </is>
      </c>
      <c r="B576" t="inlineStr">
        <is>
          <t>Monday</t>
        </is>
      </c>
      <c r="C576" t="inlineStr">
        <is>
          <t>Week3-Jan-2026</t>
        </is>
      </c>
      <c r="D576" s="78" t="n">
        <v>46023</v>
      </c>
      <c r="E576" t="inlineStr">
        <is>
          <t>Q4FY26</t>
        </is>
      </c>
      <c r="F576" t="inlineStr">
        <is>
          <t>29-Sep-2026</t>
        </is>
      </c>
      <c r="G576" t="inlineStr">
        <is>
          <t>Tuesday</t>
        </is>
      </c>
      <c r="H576" t="inlineStr">
        <is>
          <t>Monthly - Tuesday</t>
        </is>
      </c>
      <c r="I576" t="inlineStr">
        <is>
          <t>Monthly - Tuesday</t>
        </is>
      </c>
      <c r="J576" t="inlineStr">
        <is>
          <t>Month+8 Expiry</t>
        </is>
      </c>
      <c r="K576" s="25" t="n">
        <v>0</v>
      </c>
      <c r="L576" s="26" t="n">
        <v>0</v>
      </c>
      <c r="M576" s="26" t="n">
        <v>0</v>
      </c>
    </row>
    <row r="577" ht="16" customHeight="1">
      <c r="A577" t="inlineStr">
        <is>
          <t>19-Jan-2026</t>
        </is>
      </c>
      <c r="B577" t="inlineStr">
        <is>
          <t>Monday</t>
        </is>
      </c>
      <c r="C577" t="inlineStr">
        <is>
          <t>Week3-Jan-2026</t>
        </is>
      </c>
      <c r="D577" s="78" t="n">
        <v>46023</v>
      </c>
      <c r="E577" t="inlineStr">
        <is>
          <t>Q4FY26</t>
        </is>
      </c>
      <c r="F577" t="inlineStr">
        <is>
          <t>29-Dec-2026</t>
        </is>
      </c>
      <c r="G577" t="inlineStr">
        <is>
          <t>Tuesday</t>
        </is>
      </c>
      <c r="H577" t="inlineStr">
        <is>
          <t>Monthly - Tuesday</t>
        </is>
      </c>
      <c r="I577" t="inlineStr">
        <is>
          <t>Monthly - Tuesday</t>
        </is>
      </c>
      <c r="J577" t="inlineStr">
        <is>
          <t>Month+11 Expiry</t>
        </is>
      </c>
      <c r="K577" s="25" t="n">
        <v>0</v>
      </c>
      <c r="L577" s="26" t="n">
        <v>0</v>
      </c>
      <c r="M577" s="26" t="n">
        <v>0</v>
      </c>
    </row>
    <row r="578" ht="16" customHeight="1">
      <c r="A578" t="inlineStr">
        <is>
          <t>20-Jan-2026</t>
        </is>
      </c>
      <c r="B578" t="inlineStr">
        <is>
          <t>Tuesday</t>
        </is>
      </c>
      <c r="C578" t="inlineStr">
        <is>
          <t>Week3-Jan-2026</t>
        </is>
      </c>
      <c r="D578" s="78" t="n">
        <v>46023</v>
      </c>
      <c r="E578" t="inlineStr">
        <is>
          <t>Q4FY26</t>
        </is>
      </c>
      <c r="F578" t="inlineStr">
        <is>
          <t>27-Jan-2026</t>
        </is>
      </c>
      <c r="G578" t="inlineStr">
        <is>
          <t>Tuesday</t>
        </is>
      </c>
      <c r="H578" t="inlineStr">
        <is>
          <t>Monthly - Tuesday</t>
        </is>
      </c>
      <c r="I578" t="inlineStr">
        <is>
          <t>Monthly - Tuesday</t>
        </is>
      </c>
      <c r="J578" t="inlineStr">
        <is>
          <t>Same Month Expiry</t>
        </is>
      </c>
      <c r="K578" s="25" t="n">
        <v>5101235</v>
      </c>
      <c r="L578" s="26" t="n">
        <v>9015.57</v>
      </c>
      <c r="M578" s="26" t="n">
        <v>38.4601</v>
      </c>
    </row>
    <row r="579" ht="16" customHeight="1">
      <c r="A579" t="inlineStr">
        <is>
          <t>20-Jan-2026</t>
        </is>
      </c>
      <c r="B579" t="inlineStr">
        <is>
          <t>Tuesday</t>
        </is>
      </c>
      <c r="C579" t="inlineStr">
        <is>
          <t>Week3-Jan-2026</t>
        </is>
      </c>
      <c r="D579" s="78" t="n">
        <v>46023</v>
      </c>
      <c r="E579" t="inlineStr">
        <is>
          <t>Q4FY26</t>
        </is>
      </c>
      <c r="F579" t="inlineStr">
        <is>
          <t>24-Feb-2026</t>
        </is>
      </c>
      <c r="G579" t="inlineStr">
        <is>
          <t>Tuesday</t>
        </is>
      </c>
      <c r="H579" t="inlineStr">
        <is>
          <t>Monthly - Tuesday</t>
        </is>
      </c>
      <c r="I579" t="inlineStr">
        <is>
          <t>Monthly - Tuesday</t>
        </is>
      </c>
      <c r="J579" t="inlineStr">
        <is>
          <t>Month+1 Expiry</t>
        </is>
      </c>
      <c r="K579" s="25" t="n">
        <v>195951</v>
      </c>
      <c r="L579" s="26" t="n">
        <v>354.9925</v>
      </c>
      <c r="M579" s="26" t="n">
        <v>4.3073</v>
      </c>
    </row>
    <row r="580" ht="16" customHeight="1">
      <c r="A580" t="inlineStr">
        <is>
          <t>20-Jan-2026</t>
        </is>
      </c>
      <c r="B580" t="inlineStr">
        <is>
          <t>Tuesday</t>
        </is>
      </c>
      <c r="C580" t="inlineStr">
        <is>
          <t>Week3-Jan-2026</t>
        </is>
      </c>
      <c r="D580" s="78" t="n">
        <v>46023</v>
      </c>
      <c r="E580" t="inlineStr">
        <is>
          <t>Q4FY26</t>
        </is>
      </c>
      <c r="F580" t="inlineStr">
        <is>
          <t>30-Mar-2026</t>
        </is>
      </c>
      <c r="G580" t="inlineStr">
        <is>
          <t>Monday</t>
        </is>
      </c>
      <c r="H580" t="inlineStr">
        <is>
          <t>Monthly - Monday</t>
        </is>
      </c>
      <c r="I580" t="inlineStr">
        <is>
          <t>Monthly - Monday</t>
        </is>
      </c>
      <c r="J580" t="inlineStr">
        <is>
          <t>Month+2 Expiry</t>
        </is>
      </c>
      <c r="K580" s="25" t="n">
        <v>10843</v>
      </c>
      <c r="L580" s="26" t="n">
        <v>19.6779</v>
      </c>
      <c r="M580" s="26" t="n">
        <v>0.2342</v>
      </c>
    </row>
    <row r="581" ht="16" customHeight="1">
      <c r="A581" t="inlineStr">
        <is>
          <t>20-Jan-2026</t>
        </is>
      </c>
      <c r="B581" t="inlineStr">
        <is>
          <t>Tuesday</t>
        </is>
      </c>
      <c r="C581" t="inlineStr">
        <is>
          <t>Week3-Jan-2026</t>
        </is>
      </c>
      <c r="D581" s="78" t="n">
        <v>46023</v>
      </c>
      <c r="E581" t="inlineStr">
        <is>
          <t>Q4FY26</t>
        </is>
      </c>
      <c r="F581" t="inlineStr">
        <is>
          <t>30-Jun-2026</t>
        </is>
      </c>
      <c r="G581" t="inlineStr">
        <is>
          <t>Tuesday</t>
        </is>
      </c>
      <c r="H581" t="inlineStr">
        <is>
          <t>Monthly - Tuesday</t>
        </is>
      </c>
      <c r="I581" t="inlineStr">
        <is>
          <t>Monthly - Tuesday</t>
        </is>
      </c>
      <c r="J581" t="inlineStr">
        <is>
          <t>Month+5 Expiry</t>
        </is>
      </c>
      <c r="K581" s="25" t="n">
        <v>1</v>
      </c>
      <c r="L581" s="26" t="n">
        <v>0.0019</v>
      </c>
      <c r="M581" s="26" t="n">
        <v>0.0002</v>
      </c>
    </row>
    <row r="582" ht="16" customHeight="1">
      <c r="A582" t="inlineStr">
        <is>
          <t>20-Jan-2026</t>
        </is>
      </c>
      <c r="B582" t="inlineStr">
        <is>
          <t>Tuesday</t>
        </is>
      </c>
      <c r="C582" t="inlineStr">
        <is>
          <t>Week3-Jan-2026</t>
        </is>
      </c>
      <c r="D582" s="78" t="n">
        <v>46023</v>
      </c>
      <c r="E582" t="inlineStr">
        <is>
          <t>Q4FY26</t>
        </is>
      </c>
      <c r="F582" t="inlineStr">
        <is>
          <t>29-Sep-2026</t>
        </is>
      </c>
      <c r="G582" t="inlineStr">
        <is>
          <t>Tuesday</t>
        </is>
      </c>
      <c r="H582" t="inlineStr">
        <is>
          <t>Monthly - Tuesday</t>
        </is>
      </c>
      <c r="I582" t="inlineStr">
        <is>
          <t>Monthly - Tuesday</t>
        </is>
      </c>
      <c r="J582" t="inlineStr">
        <is>
          <t>Month+8 Expiry</t>
        </is>
      </c>
      <c r="K582" s="25" t="n">
        <v>0</v>
      </c>
      <c r="L582" s="26" t="n">
        <v>0</v>
      </c>
      <c r="M582" s="26" t="n">
        <v>0</v>
      </c>
    </row>
    <row r="583" ht="16" customHeight="1">
      <c r="A583" t="inlineStr">
        <is>
          <t>20-Jan-2026</t>
        </is>
      </c>
      <c r="B583" t="inlineStr">
        <is>
          <t>Tuesday</t>
        </is>
      </c>
      <c r="C583" t="inlineStr">
        <is>
          <t>Week3-Jan-2026</t>
        </is>
      </c>
      <c r="D583" s="78" t="n">
        <v>46023</v>
      </c>
      <c r="E583" t="inlineStr">
        <is>
          <t>Q4FY26</t>
        </is>
      </c>
      <c r="F583" t="inlineStr">
        <is>
          <t>29-Dec-2026</t>
        </is>
      </c>
      <c r="G583" t="inlineStr">
        <is>
          <t>Tuesday</t>
        </is>
      </c>
      <c r="H583" t="inlineStr">
        <is>
          <t>Monthly - Tuesday</t>
        </is>
      </c>
      <c r="I583" t="inlineStr">
        <is>
          <t>Monthly - Tuesday</t>
        </is>
      </c>
      <c r="J583" t="inlineStr">
        <is>
          <t>Month+11 Expiry</t>
        </is>
      </c>
      <c r="K583" s="25" t="n">
        <v>0</v>
      </c>
      <c r="L583" s="26" t="n">
        <v>0</v>
      </c>
      <c r="M583" s="26" t="n">
        <v>0</v>
      </c>
    </row>
    <row r="584" ht="16" customHeight="1">
      <c r="A584" t="inlineStr">
        <is>
          <t>21-Jan-2026</t>
        </is>
      </c>
      <c r="B584" t="inlineStr">
        <is>
          <t>Wednesday</t>
        </is>
      </c>
      <c r="C584" t="inlineStr">
        <is>
          <t>Week3-Jan-2026</t>
        </is>
      </c>
      <c r="D584" s="78" t="n">
        <v>46023</v>
      </c>
      <c r="E584" t="inlineStr">
        <is>
          <t>Q4FY26</t>
        </is>
      </c>
      <c r="F584" t="inlineStr">
        <is>
          <t>27-Jan-2026</t>
        </is>
      </c>
      <c r="G584" t="inlineStr">
        <is>
          <t>Tuesday</t>
        </is>
      </c>
      <c r="H584" t="inlineStr">
        <is>
          <t>Monthly - Tuesday</t>
        </is>
      </c>
      <c r="I584" t="inlineStr">
        <is>
          <t>Monthly - Tuesday</t>
        </is>
      </c>
      <c r="J584" t="inlineStr">
        <is>
          <t>Same Month Expiry</t>
        </is>
      </c>
      <c r="K584" s="25" t="n">
        <v>12414213</v>
      </c>
      <c r="L584" s="26" t="n">
        <v>21724.6153</v>
      </c>
      <c r="M584" s="26" t="n">
        <v>84.83629999999999</v>
      </c>
    </row>
    <row r="585" ht="16" customHeight="1">
      <c r="A585" t="inlineStr">
        <is>
          <t>21-Jan-2026</t>
        </is>
      </c>
      <c r="B585" t="inlineStr">
        <is>
          <t>Wednesday</t>
        </is>
      </c>
      <c r="C585" t="inlineStr">
        <is>
          <t>Week3-Jan-2026</t>
        </is>
      </c>
      <c r="D585" s="78" t="n">
        <v>46023</v>
      </c>
      <c r="E585" t="inlineStr">
        <is>
          <t>Q4FY26</t>
        </is>
      </c>
      <c r="F585" t="inlineStr">
        <is>
          <t>24-Feb-2026</t>
        </is>
      </c>
      <c r="G585" t="inlineStr">
        <is>
          <t>Tuesday</t>
        </is>
      </c>
      <c r="H585" t="inlineStr">
        <is>
          <t>Monthly - Tuesday</t>
        </is>
      </c>
      <c r="I585" t="inlineStr">
        <is>
          <t>Monthly - Tuesday</t>
        </is>
      </c>
      <c r="J585" t="inlineStr">
        <is>
          <t>Month+1 Expiry</t>
        </is>
      </c>
      <c r="K585" s="25" t="n">
        <v>372901</v>
      </c>
      <c r="L585" s="26" t="n">
        <v>667.6104</v>
      </c>
      <c r="M585" s="26" t="n">
        <v>7.5471</v>
      </c>
    </row>
    <row r="586" ht="16" customHeight="1">
      <c r="A586" t="inlineStr">
        <is>
          <t>21-Jan-2026</t>
        </is>
      </c>
      <c r="B586" t="inlineStr">
        <is>
          <t>Wednesday</t>
        </is>
      </c>
      <c r="C586" t="inlineStr">
        <is>
          <t>Week3-Jan-2026</t>
        </is>
      </c>
      <c r="D586" s="78" t="n">
        <v>46023</v>
      </c>
      <c r="E586" t="inlineStr">
        <is>
          <t>Q4FY26</t>
        </is>
      </c>
      <c r="F586" t="inlineStr">
        <is>
          <t>30-Mar-2026</t>
        </is>
      </c>
      <c r="G586" t="inlineStr">
        <is>
          <t>Monday</t>
        </is>
      </c>
      <c r="H586" t="inlineStr">
        <is>
          <t>Monthly - Monday</t>
        </is>
      </c>
      <c r="I586" t="inlineStr">
        <is>
          <t>Monthly - Monday</t>
        </is>
      </c>
      <c r="J586" t="inlineStr">
        <is>
          <t>Month+2 Expiry</t>
        </is>
      </c>
      <c r="K586" s="25" t="n">
        <v>37571</v>
      </c>
      <c r="L586" s="26" t="n">
        <v>67.33880000000001</v>
      </c>
      <c r="M586" s="26" t="n">
        <v>0.9223</v>
      </c>
    </row>
    <row r="587" ht="16" customHeight="1">
      <c r="A587" t="inlineStr">
        <is>
          <t>21-Jan-2026</t>
        </is>
      </c>
      <c r="B587" t="inlineStr">
        <is>
          <t>Wednesday</t>
        </is>
      </c>
      <c r="C587" t="inlineStr">
        <is>
          <t>Week3-Jan-2026</t>
        </is>
      </c>
      <c r="D587" s="78" t="n">
        <v>46023</v>
      </c>
      <c r="E587" t="inlineStr">
        <is>
          <t>Q4FY26</t>
        </is>
      </c>
      <c r="F587" t="inlineStr">
        <is>
          <t>30-Jun-2026</t>
        </is>
      </c>
      <c r="G587" t="inlineStr">
        <is>
          <t>Tuesday</t>
        </is>
      </c>
      <c r="H587" t="inlineStr">
        <is>
          <t>Monthly - Tuesday</t>
        </is>
      </c>
      <c r="I587" t="inlineStr">
        <is>
          <t>Monthly - Tuesday</t>
        </is>
      </c>
      <c r="J587" t="inlineStr">
        <is>
          <t>Month+5 Expiry</t>
        </is>
      </c>
      <c r="K587" s="25" t="n">
        <v>0</v>
      </c>
      <c r="L587" s="26" t="n">
        <v>0</v>
      </c>
      <c r="M587" s="26" t="n">
        <v>0</v>
      </c>
    </row>
    <row r="588" ht="16" customHeight="1">
      <c r="A588" t="inlineStr">
        <is>
          <t>21-Jan-2026</t>
        </is>
      </c>
      <c r="B588" t="inlineStr">
        <is>
          <t>Wednesday</t>
        </is>
      </c>
      <c r="C588" t="inlineStr">
        <is>
          <t>Week3-Jan-2026</t>
        </is>
      </c>
      <c r="D588" s="78" t="n">
        <v>46023</v>
      </c>
      <c r="E588" t="inlineStr">
        <is>
          <t>Q4FY26</t>
        </is>
      </c>
      <c r="F588" t="inlineStr">
        <is>
          <t>29-Sep-2026</t>
        </is>
      </c>
      <c r="G588" t="inlineStr">
        <is>
          <t>Tuesday</t>
        </is>
      </c>
      <c r="H588" t="inlineStr">
        <is>
          <t>Monthly - Tuesday</t>
        </is>
      </c>
      <c r="I588" t="inlineStr">
        <is>
          <t>Monthly - Tuesday</t>
        </is>
      </c>
      <c r="J588" t="inlineStr">
        <is>
          <t>Month+8 Expiry</t>
        </is>
      </c>
      <c r="K588" s="25" t="n">
        <v>0</v>
      </c>
      <c r="L588" s="26" t="n">
        <v>0</v>
      </c>
      <c r="M588" s="26" t="n">
        <v>0</v>
      </c>
    </row>
    <row r="589" ht="16" customHeight="1">
      <c r="A589" t="inlineStr">
        <is>
          <t>21-Jan-2026</t>
        </is>
      </c>
      <c r="B589" t="inlineStr">
        <is>
          <t>Wednesday</t>
        </is>
      </c>
      <c r="C589" t="inlineStr">
        <is>
          <t>Week3-Jan-2026</t>
        </is>
      </c>
      <c r="D589" s="78" t="n">
        <v>46023</v>
      </c>
      <c r="E589" t="inlineStr">
        <is>
          <t>Q4FY26</t>
        </is>
      </c>
      <c r="F589" t="inlineStr">
        <is>
          <t>29-Dec-2026</t>
        </is>
      </c>
      <c r="G589" t="inlineStr">
        <is>
          <t>Tuesday</t>
        </is>
      </c>
      <c r="H589" t="inlineStr">
        <is>
          <t>Monthly - Tuesday</t>
        </is>
      </c>
      <c r="I589" t="inlineStr">
        <is>
          <t>Monthly - Tuesday</t>
        </is>
      </c>
      <c r="J589" t="inlineStr">
        <is>
          <t>Month+11 Expiry</t>
        </is>
      </c>
      <c r="K589" s="25" t="n">
        <v>0</v>
      </c>
      <c r="L589" s="26" t="n">
        <v>0</v>
      </c>
      <c r="M589" s="26" t="n">
        <v>0</v>
      </c>
    </row>
    <row r="590" ht="16" customHeight="1">
      <c r="A590" t="inlineStr">
        <is>
          <t>22-Jan-2026</t>
        </is>
      </c>
      <c r="B590" t="inlineStr">
        <is>
          <t>Thursday</t>
        </is>
      </c>
      <c r="C590" t="inlineStr">
        <is>
          <t>Week4-Jan-2026</t>
        </is>
      </c>
      <c r="D590" s="78" t="n">
        <v>46023</v>
      </c>
      <c r="E590" t="inlineStr">
        <is>
          <t>Q4FY26</t>
        </is>
      </c>
      <c r="F590" t="inlineStr">
        <is>
          <t>27-Jan-2026</t>
        </is>
      </c>
      <c r="G590" t="inlineStr">
        <is>
          <t>Tuesday</t>
        </is>
      </c>
      <c r="H590" t="inlineStr">
        <is>
          <t>Monthly - Tuesday</t>
        </is>
      </c>
      <c r="I590" t="inlineStr">
        <is>
          <t>Monthly - Tuesday</t>
        </is>
      </c>
      <c r="J590" t="inlineStr">
        <is>
          <t>Same Month Expiry</t>
        </is>
      </c>
      <c r="K590" s="25" t="n">
        <v>9418009</v>
      </c>
      <c r="L590" s="26" t="n">
        <v>16540.254</v>
      </c>
      <c r="M590" s="26" t="n">
        <v>62.5835</v>
      </c>
    </row>
    <row r="591" ht="16" customHeight="1">
      <c r="A591" t="inlineStr">
        <is>
          <t>22-Jan-2026</t>
        </is>
      </c>
      <c r="B591" t="inlineStr">
        <is>
          <t>Thursday</t>
        </is>
      </c>
      <c r="C591" t="inlineStr">
        <is>
          <t>Week4-Jan-2026</t>
        </is>
      </c>
      <c r="D591" s="78" t="n">
        <v>46023</v>
      </c>
      <c r="E591" t="inlineStr">
        <is>
          <t>Q4FY26</t>
        </is>
      </c>
      <c r="F591" t="inlineStr">
        <is>
          <t>24-Feb-2026</t>
        </is>
      </c>
      <c r="G591" t="inlineStr">
        <is>
          <t>Tuesday</t>
        </is>
      </c>
      <c r="H591" t="inlineStr">
        <is>
          <t>Monthly - Tuesday</t>
        </is>
      </c>
      <c r="I591" t="inlineStr">
        <is>
          <t>Monthly - Tuesday</t>
        </is>
      </c>
      <c r="J591" t="inlineStr">
        <is>
          <t>Month+1 Expiry</t>
        </is>
      </c>
      <c r="K591" s="25" t="n">
        <v>287934</v>
      </c>
      <c r="L591" s="26" t="n">
        <v>515.5237</v>
      </c>
      <c r="M591" s="26" t="n">
        <v>5.984</v>
      </c>
    </row>
    <row r="592" ht="16" customHeight="1">
      <c r="A592" t="inlineStr">
        <is>
          <t>22-Jan-2026</t>
        </is>
      </c>
      <c r="B592" t="inlineStr">
        <is>
          <t>Thursday</t>
        </is>
      </c>
      <c r="C592" t="inlineStr">
        <is>
          <t>Week4-Jan-2026</t>
        </is>
      </c>
      <c r="D592" s="78" t="n">
        <v>46023</v>
      </c>
      <c r="E592" t="inlineStr">
        <is>
          <t>Q4FY26</t>
        </is>
      </c>
      <c r="F592" t="inlineStr">
        <is>
          <t>30-Mar-2026</t>
        </is>
      </c>
      <c r="G592" t="inlineStr">
        <is>
          <t>Monday</t>
        </is>
      </c>
      <c r="H592" t="inlineStr">
        <is>
          <t>Monthly - Monday</t>
        </is>
      </c>
      <c r="I592" t="inlineStr">
        <is>
          <t>Monthly - Monday</t>
        </is>
      </c>
      <c r="J592" t="inlineStr">
        <is>
          <t>Month+2 Expiry</t>
        </is>
      </c>
      <c r="K592" s="25" t="n">
        <v>19189</v>
      </c>
      <c r="L592" s="26" t="n">
        <v>34.3047</v>
      </c>
      <c r="M592" s="26" t="n">
        <v>0.4586</v>
      </c>
    </row>
    <row r="593" ht="16" customHeight="1">
      <c r="A593" t="inlineStr">
        <is>
          <t>22-Jan-2026</t>
        </is>
      </c>
      <c r="B593" t="inlineStr">
        <is>
          <t>Thursday</t>
        </is>
      </c>
      <c r="C593" t="inlineStr">
        <is>
          <t>Week4-Jan-2026</t>
        </is>
      </c>
      <c r="D593" s="78" t="n">
        <v>46023</v>
      </c>
      <c r="E593" t="inlineStr">
        <is>
          <t>Q4FY26</t>
        </is>
      </c>
      <c r="F593" t="inlineStr">
        <is>
          <t>30-Jun-2026</t>
        </is>
      </c>
      <c r="G593" t="inlineStr">
        <is>
          <t>Tuesday</t>
        </is>
      </c>
      <c r="H593" t="inlineStr">
        <is>
          <t>Monthly - Tuesday</t>
        </is>
      </c>
      <c r="I593" t="inlineStr">
        <is>
          <t>Monthly - Tuesday</t>
        </is>
      </c>
      <c r="J593" t="inlineStr">
        <is>
          <t>Month+5 Expiry</t>
        </is>
      </c>
      <c r="K593" s="25" t="n">
        <v>1</v>
      </c>
      <c r="L593" s="26" t="n">
        <v>0.0018</v>
      </c>
      <c r="M593" s="26" t="n">
        <v>0</v>
      </c>
    </row>
    <row r="594" ht="16" customHeight="1">
      <c r="A594" t="inlineStr">
        <is>
          <t>22-Jan-2026</t>
        </is>
      </c>
      <c r="B594" t="inlineStr">
        <is>
          <t>Thursday</t>
        </is>
      </c>
      <c r="C594" t="inlineStr">
        <is>
          <t>Week4-Jan-2026</t>
        </is>
      </c>
      <c r="D594" s="78" t="n">
        <v>46023</v>
      </c>
      <c r="E594" t="inlineStr">
        <is>
          <t>Q4FY26</t>
        </is>
      </c>
      <c r="F594" t="inlineStr">
        <is>
          <t>29-Sep-2026</t>
        </is>
      </c>
      <c r="G594" t="inlineStr">
        <is>
          <t>Tuesday</t>
        </is>
      </c>
      <c r="H594" t="inlineStr">
        <is>
          <t>Monthly - Tuesday</t>
        </is>
      </c>
      <c r="I594" t="inlineStr">
        <is>
          <t>Monthly - Tuesday</t>
        </is>
      </c>
      <c r="J594" t="inlineStr">
        <is>
          <t>Month+8 Expiry</t>
        </is>
      </c>
      <c r="K594" s="25" t="n">
        <v>0</v>
      </c>
      <c r="L594" s="26" t="n">
        <v>0</v>
      </c>
      <c r="M594" s="26" t="n">
        <v>0</v>
      </c>
    </row>
    <row r="595" ht="16" customHeight="1">
      <c r="A595" t="inlineStr">
        <is>
          <t>22-Jan-2026</t>
        </is>
      </c>
      <c r="B595" t="inlineStr">
        <is>
          <t>Thursday</t>
        </is>
      </c>
      <c r="C595" t="inlineStr">
        <is>
          <t>Week4-Jan-2026</t>
        </is>
      </c>
      <c r="D595" s="78" t="n">
        <v>46023</v>
      </c>
      <c r="E595" t="inlineStr">
        <is>
          <t>Q4FY26</t>
        </is>
      </c>
      <c r="F595" t="inlineStr">
        <is>
          <t>29-Dec-2026</t>
        </is>
      </c>
      <c r="G595" t="inlineStr">
        <is>
          <t>Tuesday</t>
        </is>
      </c>
      <c r="H595" t="inlineStr">
        <is>
          <t>Monthly - Tuesday</t>
        </is>
      </c>
      <c r="I595" t="inlineStr">
        <is>
          <t>Monthly - Tuesday</t>
        </is>
      </c>
      <c r="J595" t="inlineStr">
        <is>
          <t>Month+11 Expiry</t>
        </is>
      </c>
      <c r="K595" s="25" t="n">
        <v>0</v>
      </c>
      <c r="L595" s="26" t="n">
        <v>0</v>
      </c>
      <c r="M595" s="26" t="n">
        <v>0</v>
      </c>
    </row>
    <row r="596" ht="16" customHeight="1">
      <c r="A596" t="inlineStr">
        <is>
          <t>23-Jan-2026</t>
        </is>
      </c>
      <c r="B596" t="inlineStr">
        <is>
          <t>Friday</t>
        </is>
      </c>
      <c r="C596" t="inlineStr">
        <is>
          <t>Week4-Jan-2026</t>
        </is>
      </c>
      <c r="D596" s="78" t="n">
        <v>46023</v>
      </c>
      <c r="E596" t="inlineStr">
        <is>
          <t>Q4FY26</t>
        </is>
      </c>
      <c r="F596" t="inlineStr">
        <is>
          <t>27-Jan-2026</t>
        </is>
      </c>
      <c r="G596" t="inlineStr">
        <is>
          <t>Tuesday</t>
        </is>
      </c>
      <c r="H596" t="inlineStr">
        <is>
          <t>Monthly - Tuesday</t>
        </is>
      </c>
      <c r="I596" t="inlineStr">
        <is>
          <t>Monthly - Tuesday</t>
        </is>
      </c>
      <c r="J596" t="inlineStr">
        <is>
          <t>Same Month Expiry</t>
        </is>
      </c>
      <c r="K596" s="25" t="n">
        <v>18445823</v>
      </c>
      <c r="L596" s="26" t="n">
        <v>32235.9071</v>
      </c>
      <c r="M596" s="26" t="n">
        <v>102.5214</v>
      </c>
    </row>
    <row r="597" ht="16" customHeight="1">
      <c r="A597" t="inlineStr">
        <is>
          <t>23-Jan-2026</t>
        </is>
      </c>
      <c r="B597" t="inlineStr">
        <is>
          <t>Friday</t>
        </is>
      </c>
      <c r="C597" t="inlineStr">
        <is>
          <t>Week4-Jan-2026</t>
        </is>
      </c>
      <c r="D597" s="78" t="n">
        <v>46023</v>
      </c>
      <c r="E597" t="inlineStr">
        <is>
          <t>Q4FY26</t>
        </is>
      </c>
      <c r="F597" t="inlineStr">
        <is>
          <t>24-Feb-2026</t>
        </is>
      </c>
      <c r="G597" t="inlineStr">
        <is>
          <t>Tuesday</t>
        </is>
      </c>
      <c r="H597" t="inlineStr">
        <is>
          <t>Monthly - Tuesday</t>
        </is>
      </c>
      <c r="I597" t="inlineStr">
        <is>
          <t>Monthly - Tuesday</t>
        </is>
      </c>
      <c r="J597" t="inlineStr">
        <is>
          <t>Month+1 Expiry</t>
        </is>
      </c>
      <c r="K597" s="25" t="n">
        <v>391805</v>
      </c>
      <c r="L597" s="26" t="n">
        <v>702.6994</v>
      </c>
      <c r="M597" s="26" t="n">
        <v>9.131600000000001</v>
      </c>
    </row>
    <row r="598" ht="16" customHeight="1">
      <c r="A598" t="inlineStr">
        <is>
          <t>23-Jan-2026</t>
        </is>
      </c>
      <c r="B598" t="inlineStr">
        <is>
          <t>Friday</t>
        </is>
      </c>
      <c r="C598" t="inlineStr">
        <is>
          <t>Week4-Jan-2026</t>
        </is>
      </c>
      <c r="D598" s="78" t="n">
        <v>46023</v>
      </c>
      <c r="E598" t="inlineStr">
        <is>
          <t>Q4FY26</t>
        </is>
      </c>
      <c r="F598" t="inlineStr">
        <is>
          <t>30-Mar-2026</t>
        </is>
      </c>
      <c r="G598" t="inlineStr">
        <is>
          <t>Monday</t>
        </is>
      </c>
      <c r="H598" t="inlineStr">
        <is>
          <t>Monthly - Monday</t>
        </is>
      </c>
      <c r="I598" t="inlineStr">
        <is>
          <t>Monthly - Monday</t>
        </is>
      </c>
      <c r="J598" t="inlineStr">
        <is>
          <t>Month+2 Expiry</t>
        </is>
      </c>
      <c r="K598" s="25" t="n">
        <v>17636</v>
      </c>
      <c r="L598" s="26" t="n">
        <v>31.7874</v>
      </c>
      <c r="M598" s="26" t="n">
        <v>0.5179</v>
      </c>
    </row>
    <row r="599" ht="16" customHeight="1">
      <c r="A599" t="inlineStr">
        <is>
          <t>23-Jan-2026</t>
        </is>
      </c>
      <c r="B599" t="inlineStr">
        <is>
          <t>Friday</t>
        </is>
      </c>
      <c r="C599" t="inlineStr">
        <is>
          <t>Week4-Jan-2026</t>
        </is>
      </c>
      <c r="D599" s="78" t="n">
        <v>46023</v>
      </c>
      <c r="E599" t="inlineStr">
        <is>
          <t>Q4FY26</t>
        </is>
      </c>
      <c r="F599" t="inlineStr">
        <is>
          <t>30-Jun-2026</t>
        </is>
      </c>
      <c r="G599" t="inlineStr">
        <is>
          <t>Tuesday</t>
        </is>
      </c>
      <c r="H599" t="inlineStr">
        <is>
          <t>Monthly - Tuesday</t>
        </is>
      </c>
      <c r="I599" t="inlineStr">
        <is>
          <t>Monthly - Tuesday</t>
        </is>
      </c>
      <c r="J599" t="inlineStr">
        <is>
          <t>Month+5 Expiry</t>
        </is>
      </c>
      <c r="K599" s="25" t="n">
        <v>1</v>
      </c>
      <c r="L599" s="26" t="n">
        <v>0.0018</v>
      </c>
      <c r="M599" s="26" t="n">
        <v>0</v>
      </c>
    </row>
    <row r="600" ht="16" customHeight="1">
      <c r="A600" t="inlineStr">
        <is>
          <t>23-Jan-2026</t>
        </is>
      </c>
      <c r="B600" t="inlineStr">
        <is>
          <t>Friday</t>
        </is>
      </c>
      <c r="C600" t="inlineStr">
        <is>
          <t>Week4-Jan-2026</t>
        </is>
      </c>
      <c r="D600" s="78" t="n">
        <v>46023</v>
      </c>
      <c r="E600" t="inlineStr">
        <is>
          <t>Q4FY26</t>
        </is>
      </c>
      <c r="F600" t="inlineStr">
        <is>
          <t>29-Sep-2026</t>
        </is>
      </c>
      <c r="G600" t="inlineStr">
        <is>
          <t>Tuesday</t>
        </is>
      </c>
      <c r="H600" t="inlineStr">
        <is>
          <t>Monthly - Tuesday</t>
        </is>
      </c>
      <c r="I600" t="inlineStr">
        <is>
          <t>Monthly - Tuesday</t>
        </is>
      </c>
      <c r="J600" t="inlineStr">
        <is>
          <t>Month+8 Expiry</t>
        </is>
      </c>
      <c r="K600" s="25" t="n">
        <v>0</v>
      </c>
      <c r="L600" s="26" t="n">
        <v>0</v>
      </c>
      <c r="M600" s="26" t="n">
        <v>0</v>
      </c>
    </row>
    <row r="601" ht="16" customHeight="1">
      <c r="A601" t="inlineStr">
        <is>
          <t>23-Jan-2026</t>
        </is>
      </c>
      <c r="B601" t="inlineStr">
        <is>
          <t>Friday</t>
        </is>
      </c>
      <c r="C601" t="inlineStr">
        <is>
          <t>Week4-Jan-2026</t>
        </is>
      </c>
      <c r="D601" s="78" t="n">
        <v>46023</v>
      </c>
      <c r="E601" t="inlineStr">
        <is>
          <t>Q4FY26</t>
        </is>
      </c>
      <c r="F601" t="inlineStr">
        <is>
          <t>29-Dec-2026</t>
        </is>
      </c>
      <c r="G601" t="inlineStr">
        <is>
          <t>Tuesday</t>
        </is>
      </c>
      <c r="H601" t="inlineStr">
        <is>
          <t>Monthly - Tuesday</t>
        </is>
      </c>
      <c r="I601" t="inlineStr">
        <is>
          <t>Monthly - Tuesday</t>
        </is>
      </c>
      <c r="J601" t="inlineStr">
        <is>
          <t>Month+11 Expiry</t>
        </is>
      </c>
      <c r="K601" s="25" t="n">
        <v>0</v>
      </c>
      <c r="L601" s="26" t="n">
        <v>0</v>
      </c>
      <c r="M601" s="26" t="n">
        <v>0</v>
      </c>
    </row>
    <row r="602" ht="16" customHeight="1">
      <c r="A602" t="inlineStr">
        <is>
          <t>27-Jan-2026</t>
        </is>
      </c>
      <c r="B602" t="inlineStr">
        <is>
          <t>Tuesday</t>
        </is>
      </c>
      <c r="C602" t="inlineStr">
        <is>
          <t>Week4-Jan-2026</t>
        </is>
      </c>
      <c r="D602" s="78" t="n">
        <v>46023</v>
      </c>
      <c r="E602" t="inlineStr">
        <is>
          <t>Q4FY26</t>
        </is>
      </c>
      <c r="F602" t="inlineStr">
        <is>
          <t>27-Jan-2026</t>
        </is>
      </c>
      <c r="G602" t="inlineStr">
        <is>
          <t>Tuesday</t>
        </is>
      </c>
      <c r="H602" t="inlineStr">
        <is>
          <t>Monthly - Tuesday</t>
        </is>
      </c>
      <c r="I602" t="inlineStr">
        <is>
          <t>Monthly - Tuesday</t>
        </is>
      </c>
      <c r="J602" t="inlineStr">
        <is>
          <t>Same Month Expiry</t>
        </is>
      </c>
      <c r="K602" s="25" t="n">
        <v>89044441</v>
      </c>
      <c r="L602" s="26" t="n">
        <v>154787.0144</v>
      </c>
      <c r="M602" s="26" t="n">
        <v>180.1661</v>
      </c>
    </row>
    <row r="603" ht="16" customHeight="1">
      <c r="A603" t="inlineStr">
        <is>
          <t>27-Jan-2026</t>
        </is>
      </c>
      <c r="B603" t="inlineStr">
        <is>
          <t>Tuesday</t>
        </is>
      </c>
      <c r="C603" t="inlineStr">
        <is>
          <t>Week4-Jan-2026</t>
        </is>
      </c>
      <c r="D603" s="78" t="n">
        <v>46023</v>
      </c>
      <c r="E603" t="inlineStr">
        <is>
          <t>Q4FY26</t>
        </is>
      </c>
      <c r="F603" t="inlineStr">
        <is>
          <t>24-Feb-2026</t>
        </is>
      </c>
      <c r="G603" t="inlineStr">
        <is>
          <t>Tuesday</t>
        </is>
      </c>
      <c r="H603" t="inlineStr">
        <is>
          <t>Monthly - Tuesday</t>
        </is>
      </c>
      <c r="I603" t="inlineStr">
        <is>
          <t>Monthly - Tuesday</t>
        </is>
      </c>
      <c r="J603" t="inlineStr">
        <is>
          <t>Month+1 Expiry</t>
        </is>
      </c>
      <c r="K603" s="25" t="n">
        <v>825718</v>
      </c>
      <c r="L603" s="26" t="n">
        <v>1469.6984</v>
      </c>
      <c r="M603" s="26" t="n">
        <v>17.9767</v>
      </c>
    </row>
    <row r="604" ht="16" customHeight="1">
      <c r="A604" t="inlineStr">
        <is>
          <t>27-Jan-2026</t>
        </is>
      </c>
      <c r="B604" t="inlineStr">
        <is>
          <t>Tuesday</t>
        </is>
      </c>
      <c r="C604" t="inlineStr">
        <is>
          <t>Week4-Jan-2026</t>
        </is>
      </c>
      <c r="D604" s="78" t="n">
        <v>46023</v>
      </c>
      <c r="E604" t="inlineStr">
        <is>
          <t>Q4FY26</t>
        </is>
      </c>
      <c r="F604" t="inlineStr">
        <is>
          <t>30-Mar-2026</t>
        </is>
      </c>
      <c r="G604" t="inlineStr">
        <is>
          <t>Monday</t>
        </is>
      </c>
      <c r="H604" t="inlineStr">
        <is>
          <t>Monthly - Monday</t>
        </is>
      </c>
      <c r="I604" t="inlineStr">
        <is>
          <t>Monthly - Monday</t>
        </is>
      </c>
      <c r="J604" t="inlineStr">
        <is>
          <t>Month+2 Expiry</t>
        </is>
      </c>
      <c r="K604" s="25" t="n">
        <v>24215</v>
      </c>
      <c r="L604" s="26" t="n">
        <v>43.698</v>
      </c>
      <c r="M604" s="26" t="n">
        <v>0.6173</v>
      </c>
    </row>
    <row r="605" ht="16" customHeight="1">
      <c r="A605" t="inlineStr">
        <is>
          <t>27-Jan-2026</t>
        </is>
      </c>
      <c r="B605" t="inlineStr">
        <is>
          <t>Tuesday</t>
        </is>
      </c>
      <c r="C605" t="inlineStr">
        <is>
          <t>Week4-Jan-2026</t>
        </is>
      </c>
      <c r="D605" s="78" t="n">
        <v>46023</v>
      </c>
      <c r="E605" t="inlineStr">
        <is>
          <t>Q4FY26</t>
        </is>
      </c>
      <c r="F605" t="inlineStr">
        <is>
          <t>30-Jun-2026</t>
        </is>
      </c>
      <c r="G605" t="inlineStr">
        <is>
          <t>Tuesday</t>
        </is>
      </c>
      <c r="H605" t="inlineStr">
        <is>
          <t>Monthly - Tuesday</t>
        </is>
      </c>
      <c r="I605" t="inlineStr">
        <is>
          <t>Monthly - Tuesday</t>
        </is>
      </c>
      <c r="J605" t="inlineStr">
        <is>
          <t>Month+5 Expiry</t>
        </is>
      </c>
      <c r="K605" s="25" t="n">
        <v>21</v>
      </c>
      <c r="L605" s="26" t="n">
        <v>0.0375</v>
      </c>
      <c r="M605" s="26" t="n">
        <v>0.0007</v>
      </c>
    </row>
    <row r="606" ht="16" customHeight="1">
      <c r="A606" t="inlineStr">
        <is>
          <t>27-Jan-2026</t>
        </is>
      </c>
      <c r="B606" t="inlineStr">
        <is>
          <t>Tuesday</t>
        </is>
      </c>
      <c r="C606" t="inlineStr">
        <is>
          <t>Week4-Jan-2026</t>
        </is>
      </c>
      <c r="D606" s="78" t="n">
        <v>46023</v>
      </c>
      <c r="E606" t="inlineStr">
        <is>
          <t>Q4FY26</t>
        </is>
      </c>
      <c r="F606" t="inlineStr">
        <is>
          <t>29-Sep-2026</t>
        </is>
      </c>
      <c r="G606" t="inlineStr">
        <is>
          <t>Tuesday</t>
        </is>
      </c>
      <c r="H606" t="inlineStr">
        <is>
          <t>Monthly - Tuesday</t>
        </is>
      </c>
      <c r="I606" t="inlineStr">
        <is>
          <t>Monthly - Tuesday</t>
        </is>
      </c>
      <c r="J606" t="inlineStr">
        <is>
          <t>Month+8 Expiry</t>
        </is>
      </c>
      <c r="K606" s="25" t="n">
        <v>0</v>
      </c>
      <c r="L606" s="26" t="n">
        <v>0</v>
      </c>
      <c r="M606" s="26" t="n">
        <v>0</v>
      </c>
    </row>
    <row r="607" ht="16" customHeight="1">
      <c r="A607" t="inlineStr">
        <is>
          <t>27-Jan-2026</t>
        </is>
      </c>
      <c r="B607" t="inlineStr">
        <is>
          <t>Tuesday</t>
        </is>
      </c>
      <c r="C607" t="inlineStr">
        <is>
          <t>Week4-Jan-2026</t>
        </is>
      </c>
      <c r="D607" s="78" t="n">
        <v>46023</v>
      </c>
      <c r="E607" t="inlineStr">
        <is>
          <t>Q4FY26</t>
        </is>
      </c>
      <c r="F607" t="inlineStr">
        <is>
          <t>29-Dec-2026</t>
        </is>
      </c>
      <c r="G607" t="inlineStr">
        <is>
          <t>Tuesday</t>
        </is>
      </c>
      <c r="H607" t="inlineStr">
        <is>
          <t>Monthly - Tuesday</t>
        </is>
      </c>
      <c r="I607" t="inlineStr">
        <is>
          <t>Monthly - Tuesday</t>
        </is>
      </c>
      <c r="J607" t="inlineStr">
        <is>
          <t>Month+11 Expiry</t>
        </is>
      </c>
      <c r="K607" s="25" t="n">
        <v>0</v>
      </c>
      <c r="L607" s="26" t="n">
        <v>0</v>
      </c>
      <c r="M607" s="26" t="n">
        <v>0</v>
      </c>
    </row>
    <row r="608" ht="16" customHeight="1">
      <c r="A608" t="inlineStr">
        <is>
          <t>28-Jan-2026</t>
        </is>
      </c>
      <c r="B608" t="inlineStr">
        <is>
          <t>Wednesday</t>
        </is>
      </c>
      <c r="C608" t="inlineStr">
        <is>
          <t>Week4-Jan-2026</t>
        </is>
      </c>
      <c r="D608" s="78" t="n">
        <v>46023</v>
      </c>
      <c r="E608" t="inlineStr">
        <is>
          <t>Q4FY26</t>
        </is>
      </c>
      <c r="F608" t="inlineStr">
        <is>
          <t>24-Feb-2026</t>
        </is>
      </c>
      <c r="G608" t="inlineStr">
        <is>
          <t>Tuesday</t>
        </is>
      </c>
      <c r="H608" t="inlineStr">
        <is>
          <t>Monthly - Tuesday</t>
        </is>
      </c>
      <c r="I608" t="inlineStr">
        <is>
          <t>Monthly - Tuesday</t>
        </is>
      </c>
      <c r="J608" t="inlineStr">
        <is>
          <t>Month+1 Expiry</t>
        </is>
      </c>
      <c r="K608" s="25" t="n">
        <v>2041946</v>
      </c>
      <c r="L608" s="26" t="n">
        <v>3646.5282</v>
      </c>
      <c r="M608" s="26" t="n">
        <v>38.3867</v>
      </c>
    </row>
    <row r="609" ht="16" customHeight="1">
      <c r="A609" t="inlineStr">
        <is>
          <t>28-Jan-2026</t>
        </is>
      </c>
      <c r="B609" t="inlineStr">
        <is>
          <t>Wednesday</t>
        </is>
      </c>
      <c r="C609" t="inlineStr">
        <is>
          <t>Week4-Jan-2026</t>
        </is>
      </c>
      <c r="D609" s="78" t="n">
        <v>46023</v>
      </c>
      <c r="E609" t="inlineStr">
        <is>
          <t>Q4FY26</t>
        </is>
      </c>
      <c r="F609" t="inlineStr">
        <is>
          <t>30-Mar-2026</t>
        </is>
      </c>
      <c r="G609" t="inlineStr">
        <is>
          <t>Monday</t>
        </is>
      </c>
      <c r="H609" t="inlineStr">
        <is>
          <t>Monthly - Monday</t>
        </is>
      </c>
      <c r="I609" t="inlineStr">
        <is>
          <t>Monthly - Monday</t>
        </is>
      </c>
      <c r="J609" t="inlineStr">
        <is>
          <t>Month+2 Expiry</t>
        </is>
      </c>
      <c r="K609" s="25" t="n">
        <v>24716</v>
      </c>
      <c r="L609" s="26" t="n">
        <v>44.2572</v>
      </c>
      <c r="M609" s="26" t="n">
        <v>0.5391</v>
      </c>
    </row>
    <row r="610" ht="16" customHeight="1">
      <c r="A610" t="inlineStr">
        <is>
          <t>28-Jan-2026</t>
        </is>
      </c>
      <c r="B610" t="inlineStr">
        <is>
          <t>Wednesday</t>
        </is>
      </c>
      <c r="C610" t="inlineStr">
        <is>
          <t>Week4-Jan-2026</t>
        </is>
      </c>
      <c r="D610" s="78" t="n">
        <v>46023</v>
      </c>
      <c r="E610" t="inlineStr">
        <is>
          <t>Q4FY26</t>
        </is>
      </c>
      <c r="F610" t="inlineStr">
        <is>
          <t>28-Apr-2026</t>
        </is>
      </c>
      <c r="G610" t="inlineStr">
        <is>
          <t>Tuesday</t>
        </is>
      </c>
      <c r="H610" t="inlineStr">
        <is>
          <t>Monthly - Tuesday</t>
        </is>
      </c>
      <c r="I610" t="inlineStr">
        <is>
          <t>Monthly - Tuesday</t>
        </is>
      </c>
      <c r="J610" t="inlineStr">
        <is>
          <t>Month+3 Expiry</t>
        </is>
      </c>
      <c r="K610" s="25" t="n">
        <v>159</v>
      </c>
      <c r="L610" s="26" t="n">
        <v>0.2818</v>
      </c>
      <c r="M610" s="26" t="n">
        <v>0.0044</v>
      </c>
    </row>
    <row r="611" ht="16" customHeight="1">
      <c r="A611" t="inlineStr">
        <is>
          <t>28-Jan-2026</t>
        </is>
      </c>
      <c r="B611" t="inlineStr">
        <is>
          <t>Wednesday</t>
        </is>
      </c>
      <c r="C611" t="inlineStr">
        <is>
          <t>Week4-Jan-2026</t>
        </is>
      </c>
      <c r="D611" s="78" t="n">
        <v>46023</v>
      </c>
      <c r="E611" t="inlineStr">
        <is>
          <t>Q4FY26</t>
        </is>
      </c>
      <c r="F611" t="inlineStr">
        <is>
          <t>30-Jun-2026</t>
        </is>
      </c>
      <c r="G611" t="inlineStr">
        <is>
          <t>Tuesday</t>
        </is>
      </c>
      <c r="H611" t="inlineStr">
        <is>
          <t>Monthly - Tuesday</t>
        </is>
      </c>
      <c r="I611" t="inlineStr">
        <is>
          <t>Monthly - Tuesday</t>
        </is>
      </c>
      <c r="J611" t="inlineStr">
        <is>
          <t>Month+5 Expiry</t>
        </is>
      </c>
      <c r="K611" s="25" t="n">
        <v>14</v>
      </c>
      <c r="L611" s="26" t="n">
        <v>0.025</v>
      </c>
      <c r="M611" s="26" t="n">
        <v>0.0004</v>
      </c>
    </row>
    <row r="612" ht="16" customHeight="1">
      <c r="A612" t="inlineStr">
        <is>
          <t>28-Jan-2026</t>
        </is>
      </c>
      <c r="B612" t="inlineStr">
        <is>
          <t>Wednesday</t>
        </is>
      </c>
      <c r="C612" t="inlineStr">
        <is>
          <t>Week4-Jan-2026</t>
        </is>
      </c>
      <c r="D612" s="78" t="n">
        <v>46023</v>
      </c>
      <c r="E612" t="inlineStr">
        <is>
          <t>Q4FY26</t>
        </is>
      </c>
      <c r="F612" t="inlineStr">
        <is>
          <t>29-Sep-2026</t>
        </is>
      </c>
      <c r="G612" t="inlineStr">
        <is>
          <t>Tuesday</t>
        </is>
      </c>
      <c r="H612" t="inlineStr">
        <is>
          <t>Monthly - Tuesday</t>
        </is>
      </c>
      <c r="I612" t="inlineStr">
        <is>
          <t>Monthly - Tuesday</t>
        </is>
      </c>
      <c r="J612" t="inlineStr">
        <is>
          <t>Month+8 Expiry</t>
        </is>
      </c>
      <c r="K612" s="25" t="n">
        <v>0</v>
      </c>
      <c r="L612" s="26" t="n">
        <v>0</v>
      </c>
      <c r="M612" s="26" t="n">
        <v>0</v>
      </c>
    </row>
    <row r="613" ht="16" customHeight="1">
      <c r="A613" t="inlineStr">
        <is>
          <t>28-Jan-2026</t>
        </is>
      </c>
      <c r="B613" t="inlineStr">
        <is>
          <t>Wednesday</t>
        </is>
      </c>
      <c r="C613" t="inlineStr">
        <is>
          <t>Week4-Jan-2026</t>
        </is>
      </c>
      <c r="D613" s="78" t="n">
        <v>46023</v>
      </c>
      <c r="E613" t="inlineStr">
        <is>
          <t>Q4FY26</t>
        </is>
      </c>
      <c r="F613" t="inlineStr">
        <is>
          <t>29-Dec-2026</t>
        </is>
      </c>
      <c r="G613" t="inlineStr">
        <is>
          <t>Tuesday</t>
        </is>
      </c>
      <c r="H613" t="inlineStr">
        <is>
          <t>Monthly - Tuesday</t>
        </is>
      </c>
      <c r="I613" t="inlineStr">
        <is>
          <t>Monthly - Tuesday</t>
        </is>
      </c>
      <c r="J613" t="inlineStr">
        <is>
          <t>Month+11 Expiry</t>
        </is>
      </c>
      <c r="K613" s="25" t="n">
        <v>0</v>
      </c>
      <c r="L613" s="26" t="n">
        <v>0</v>
      </c>
      <c r="M613" s="26" t="n">
        <v>0</v>
      </c>
    </row>
    <row r="614" ht="16" customHeight="1">
      <c r="A614" t="inlineStr">
        <is>
          <t>29-Jan-2026</t>
        </is>
      </c>
      <c r="B614" t="inlineStr">
        <is>
          <t>Thursday</t>
        </is>
      </c>
      <c r="C614" t="inlineStr">
        <is>
          <t>Week5-Jan-2026</t>
        </is>
      </c>
      <c r="D614" s="78" t="n">
        <v>46023</v>
      </c>
      <c r="E614" t="inlineStr">
        <is>
          <t>Q4FY26</t>
        </is>
      </c>
      <c r="F614" t="inlineStr">
        <is>
          <t>24-Feb-2026</t>
        </is>
      </c>
      <c r="G614" t="inlineStr">
        <is>
          <t>Tuesday</t>
        </is>
      </c>
      <c r="H614" t="inlineStr">
        <is>
          <t>Monthly - Tuesday</t>
        </is>
      </c>
      <c r="I614" t="inlineStr">
        <is>
          <t>Monthly - Tuesday</t>
        </is>
      </c>
      <c r="J614" t="inlineStr">
        <is>
          <t>Month+1 Expiry</t>
        </is>
      </c>
      <c r="K614" s="25" t="n">
        <v>1883204</v>
      </c>
      <c r="L614" s="26" t="n">
        <v>3374.6449</v>
      </c>
      <c r="M614" s="26" t="n">
        <v>35.0425</v>
      </c>
    </row>
    <row r="615" ht="16" customHeight="1">
      <c r="A615" t="inlineStr">
        <is>
          <t>29-Jan-2026</t>
        </is>
      </c>
      <c r="B615" t="inlineStr">
        <is>
          <t>Thursday</t>
        </is>
      </c>
      <c r="C615" t="inlineStr">
        <is>
          <t>Week5-Jan-2026</t>
        </is>
      </c>
      <c r="D615" s="78" t="n">
        <v>46023</v>
      </c>
      <c r="E615" t="inlineStr">
        <is>
          <t>Q4FY26</t>
        </is>
      </c>
      <c r="F615" t="inlineStr">
        <is>
          <t>30-Mar-2026</t>
        </is>
      </c>
      <c r="G615" t="inlineStr">
        <is>
          <t>Monday</t>
        </is>
      </c>
      <c r="H615" t="inlineStr">
        <is>
          <t>Monthly - Monday</t>
        </is>
      </c>
      <c r="I615" t="inlineStr">
        <is>
          <t>Monthly - Monday</t>
        </is>
      </c>
      <c r="J615" t="inlineStr">
        <is>
          <t>Month+2 Expiry</t>
        </is>
      </c>
      <c r="K615" s="25" t="n">
        <v>27686</v>
      </c>
      <c r="L615" s="26" t="n">
        <v>49.8626</v>
      </c>
      <c r="M615" s="26" t="n">
        <v>0.5569</v>
      </c>
    </row>
    <row r="616" ht="16" customHeight="1">
      <c r="A616" t="inlineStr">
        <is>
          <t>29-Jan-2026</t>
        </is>
      </c>
      <c r="B616" t="inlineStr">
        <is>
          <t>Thursday</t>
        </is>
      </c>
      <c r="C616" t="inlineStr">
        <is>
          <t>Week5-Jan-2026</t>
        </is>
      </c>
      <c r="D616" s="78" t="n">
        <v>46023</v>
      </c>
      <c r="E616" t="inlineStr">
        <is>
          <t>Q4FY26</t>
        </is>
      </c>
      <c r="F616" t="inlineStr">
        <is>
          <t>28-Apr-2026</t>
        </is>
      </c>
      <c r="G616" t="inlineStr">
        <is>
          <t>Tuesday</t>
        </is>
      </c>
      <c r="H616" t="inlineStr">
        <is>
          <t>Monthly - Tuesday</t>
        </is>
      </c>
      <c r="I616" t="inlineStr">
        <is>
          <t>Monthly - Tuesday</t>
        </is>
      </c>
      <c r="J616" t="inlineStr">
        <is>
          <t>Month+3 Expiry</t>
        </is>
      </c>
      <c r="K616" s="25" t="n">
        <v>320</v>
      </c>
      <c r="L616" s="26" t="n">
        <v>0.5822000000000001</v>
      </c>
      <c r="M616" s="26" t="n">
        <v>0.0103</v>
      </c>
    </row>
    <row r="617" ht="16" customHeight="1">
      <c r="A617" t="inlineStr">
        <is>
          <t>29-Jan-2026</t>
        </is>
      </c>
      <c r="B617" t="inlineStr">
        <is>
          <t>Thursday</t>
        </is>
      </c>
      <c r="C617" t="inlineStr">
        <is>
          <t>Week5-Jan-2026</t>
        </is>
      </c>
      <c r="D617" s="78" t="n">
        <v>46023</v>
      </c>
      <c r="E617" t="inlineStr">
        <is>
          <t>Q4FY26</t>
        </is>
      </c>
      <c r="F617" t="inlineStr">
        <is>
          <t>30-Jun-2026</t>
        </is>
      </c>
      <c r="G617" t="inlineStr">
        <is>
          <t>Tuesday</t>
        </is>
      </c>
      <c r="H617" t="inlineStr">
        <is>
          <t>Monthly - Tuesday</t>
        </is>
      </c>
      <c r="I617" t="inlineStr">
        <is>
          <t>Monthly - Tuesday</t>
        </is>
      </c>
      <c r="J617" t="inlineStr">
        <is>
          <t>Month+5 Expiry</t>
        </is>
      </c>
      <c r="K617" s="25" t="n">
        <v>11</v>
      </c>
      <c r="L617" s="26" t="n">
        <v>0.0196</v>
      </c>
      <c r="M617" s="26" t="n">
        <v>0.0003</v>
      </c>
    </row>
    <row r="618" ht="16" customHeight="1">
      <c r="A618" t="inlineStr">
        <is>
          <t>29-Jan-2026</t>
        </is>
      </c>
      <c r="B618" t="inlineStr">
        <is>
          <t>Thursday</t>
        </is>
      </c>
      <c r="C618" t="inlineStr">
        <is>
          <t>Week5-Jan-2026</t>
        </is>
      </c>
      <c r="D618" s="78" t="n">
        <v>46023</v>
      </c>
      <c r="E618" t="inlineStr">
        <is>
          <t>Q4FY26</t>
        </is>
      </c>
      <c r="F618" t="inlineStr">
        <is>
          <t>29-Sep-2026</t>
        </is>
      </c>
      <c r="G618" t="inlineStr">
        <is>
          <t>Tuesday</t>
        </is>
      </c>
      <c r="H618" t="inlineStr">
        <is>
          <t>Monthly - Tuesday</t>
        </is>
      </c>
      <c r="I618" t="inlineStr">
        <is>
          <t>Monthly - Tuesday</t>
        </is>
      </c>
      <c r="J618" t="inlineStr">
        <is>
          <t>Month+8 Expiry</t>
        </is>
      </c>
      <c r="K618" s="25" t="n">
        <v>0</v>
      </c>
      <c r="L618" s="26" t="n">
        <v>0</v>
      </c>
      <c r="M618" s="26" t="n">
        <v>0</v>
      </c>
    </row>
    <row r="619" ht="16" customHeight="1">
      <c r="A619" t="inlineStr">
        <is>
          <t>29-Jan-2026</t>
        </is>
      </c>
      <c r="B619" t="inlineStr">
        <is>
          <t>Thursday</t>
        </is>
      </c>
      <c r="C619" t="inlineStr">
        <is>
          <t>Week5-Jan-2026</t>
        </is>
      </c>
      <c r="D619" s="78" t="n">
        <v>46023</v>
      </c>
      <c r="E619" t="inlineStr">
        <is>
          <t>Q4FY26</t>
        </is>
      </c>
      <c r="F619" t="inlineStr">
        <is>
          <t>29-Dec-2026</t>
        </is>
      </c>
      <c r="G619" t="inlineStr">
        <is>
          <t>Tuesday</t>
        </is>
      </c>
      <c r="H619" t="inlineStr">
        <is>
          <t>Monthly - Tuesday</t>
        </is>
      </c>
      <c r="I619" t="inlineStr">
        <is>
          <t>Monthly - Tuesday</t>
        </is>
      </c>
      <c r="J619" t="inlineStr">
        <is>
          <t>Month+11 Expiry</t>
        </is>
      </c>
      <c r="K619" s="25" t="n">
        <v>0</v>
      </c>
      <c r="L619" s="26" t="n">
        <v>0</v>
      </c>
      <c r="M619" s="26" t="n">
        <v>0</v>
      </c>
    </row>
    <row r="620" ht="16" customHeight="1">
      <c r="A620" t="inlineStr">
        <is>
          <t>30-Jan-2026</t>
        </is>
      </c>
      <c r="B620" t="inlineStr">
        <is>
          <t>Friday</t>
        </is>
      </c>
      <c r="C620" t="inlineStr">
        <is>
          <t>Week5-Jan-2026</t>
        </is>
      </c>
      <c r="D620" s="78" t="n">
        <v>46023</v>
      </c>
      <c r="E620" t="inlineStr">
        <is>
          <t>Q4FY26</t>
        </is>
      </c>
      <c r="F620" t="inlineStr">
        <is>
          <t>24-Feb-2026</t>
        </is>
      </c>
      <c r="G620" t="inlineStr">
        <is>
          <t>Tuesday</t>
        </is>
      </c>
      <c r="H620" t="inlineStr">
        <is>
          <t>Monthly - Tuesday</t>
        </is>
      </c>
      <c r="I620" t="inlineStr">
        <is>
          <t>Monthly - Tuesday</t>
        </is>
      </c>
      <c r="J620" t="inlineStr">
        <is>
          <t>Month+1 Expiry</t>
        </is>
      </c>
      <c r="K620" s="25" t="n">
        <v>2224337</v>
      </c>
      <c r="L620" s="26" t="n">
        <v>3982.4356</v>
      </c>
      <c r="M620" s="26" t="n">
        <v>40.3795</v>
      </c>
    </row>
    <row r="621" ht="16" customHeight="1">
      <c r="A621" t="inlineStr">
        <is>
          <t>30-Jan-2026</t>
        </is>
      </c>
      <c r="B621" t="inlineStr">
        <is>
          <t>Friday</t>
        </is>
      </c>
      <c r="C621" t="inlineStr">
        <is>
          <t>Week5-Jan-2026</t>
        </is>
      </c>
      <c r="D621" s="78" t="n">
        <v>46023</v>
      </c>
      <c r="E621" t="inlineStr">
        <is>
          <t>Q4FY26</t>
        </is>
      </c>
      <c r="F621" t="inlineStr">
        <is>
          <t>30-Mar-2026</t>
        </is>
      </c>
      <c r="G621" t="inlineStr">
        <is>
          <t>Monday</t>
        </is>
      </c>
      <c r="H621" t="inlineStr">
        <is>
          <t>Monthly - Monday</t>
        </is>
      </c>
      <c r="I621" t="inlineStr">
        <is>
          <t>Monthly - Monday</t>
        </is>
      </c>
      <c r="J621" t="inlineStr">
        <is>
          <t>Month+2 Expiry</t>
        </is>
      </c>
      <c r="K621" s="25" t="n">
        <v>25777</v>
      </c>
      <c r="L621" s="26" t="n">
        <v>46.682</v>
      </c>
      <c r="M621" s="26" t="n">
        <v>0.5952</v>
      </c>
    </row>
    <row r="622" ht="16" customHeight="1">
      <c r="A622" t="inlineStr">
        <is>
          <t>30-Jan-2026</t>
        </is>
      </c>
      <c r="B622" t="inlineStr">
        <is>
          <t>Friday</t>
        </is>
      </c>
      <c r="C622" t="inlineStr">
        <is>
          <t>Week5-Jan-2026</t>
        </is>
      </c>
      <c r="D622" s="78" t="n">
        <v>46023</v>
      </c>
      <c r="E622" t="inlineStr">
        <is>
          <t>Q4FY26</t>
        </is>
      </c>
      <c r="F622" t="inlineStr">
        <is>
          <t>28-Apr-2026</t>
        </is>
      </c>
      <c r="G622" t="inlineStr">
        <is>
          <t>Tuesday</t>
        </is>
      </c>
      <c r="H622" t="inlineStr">
        <is>
          <t>Monthly - Tuesday</t>
        </is>
      </c>
      <c r="I622" t="inlineStr">
        <is>
          <t>Monthly - Tuesday</t>
        </is>
      </c>
      <c r="J622" t="inlineStr">
        <is>
          <t>Month+3 Expiry</t>
        </is>
      </c>
      <c r="K622" s="25" t="n">
        <v>487</v>
      </c>
      <c r="L622" s="26" t="n">
        <v>0.8885</v>
      </c>
      <c r="M622" s="26" t="n">
        <v>0.0175</v>
      </c>
    </row>
    <row r="623" ht="16" customHeight="1">
      <c r="A623" t="inlineStr">
        <is>
          <t>30-Jan-2026</t>
        </is>
      </c>
      <c r="B623" t="inlineStr">
        <is>
          <t>Friday</t>
        </is>
      </c>
      <c r="C623" t="inlineStr">
        <is>
          <t>Week5-Jan-2026</t>
        </is>
      </c>
      <c r="D623" s="78" t="n">
        <v>46023</v>
      </c>
      <c r="E623" t="inlineStr">
        <is>
          <t>Q4FY26</t>
        </is>
      </c>
      <c r="F623" t="inlineStr">
        <is>
          <t>30-Jun-2026</t>
        </is>
      </c>
      <c r="G623" t="inlineStr">
        <is>
          <t>Tuesday</t>
        </is>
      </c>
      <c r="H623" t="inlineStr">
        <is>
          <t>Monthly - Tuesday</t>
        </is>
      </c>
      <c r="I623" t="inlineStr">
        <is>
          <t>Monthly - Tuesday</t>
        </is>
      </c>
      <c r="J623" t="inlineStr">
        <is>
          <t>Month+5 Expiry</t>
        </is>
      </c>
      <c r="K623" s="25" t="n">
        <v>11</v>
      </c>
      <c r="L623" s="26" t="n">
        <v>0.0196</v>
      </c>
      <c r="M623" s="26" t="n">
        <v>0.0003</v>
      </c>
    </row>
    <row r="624" ht="16" customHeight="1">
      <c r="A624" t="inlineStr">
        <is>
          <t>30-Jan-2026</t>
        </is>
      </c>
      <c r="B624" t="inlineStr">
        <is>
          <t>Friday</t>
        </is>
      </c>
      <c r="C624" t="inlineStr">
        <is>
          <t>Week5-Jan-2026</t>
        </is>
      </c>
      <c r="D624" s="78" t="n">
        <v>46023</v>
      </c>
      <c r="E624" t="inlineStr">
        <is>
          <t>Q4FY26</t>
        </is>
      </c>
      <c r="F624" t="inlineStr">
        <is>
          <t>29-Sep-2026</t>
        </is>
      </c>
      <c r="G624" t="inlineStr">
        <is>
          <t>Tuesday</t>
        </is>
      </c>
      <c r="H624" t="inlineStr">
        <is>
          <t>Monthly - Tuesday</t>
        </is>
      </c>
      <c r="I624" t="inlineStr">
        <is>
          <t>Monthly - Tuesday</t>
        </is>
      </c>
      <c r="J624" t="inlineStr">
        <is>
          <t>Month+8 Expiry</t>
        </is>
      </c>
      <c r="K624" s="25" t="n">
        <v>0</v>
      </c>
      <c r="L624" s="26" t="n">
        <v>0</v>
      </c>
      <c r="M624" s="26" t="n">
        <v>0</v>
      </c>
    </row>
    <row r="625" ht="16" customHeight="1">
      <c r="A625" t="inlineStr">
        <is>
          <t>30-Jan-2026</t>
        </is>
      </c>
      <c r="B625" t="inlineStr">
        <is>
          <t>Friday</t>
        </is>
      </c>
      <c r="C625" t="inlineStr">
        <is>
          <t>Week5-Jan-2026</t>
        </is>
      </c>
      <c r="D625" s="78" t="n">
        <v>46023</v>
      </c>
      <c r="E625" t="inlineStr">
        <is>
          <t>Q4FY26</t>
        </is>
      </c>
      <c r="F625" t="inlineStr">
        <is>
          <t>29-Dec-2026</t>
        </is>
      </c>
      <c r="G625" t="inlineStr">
        <is>
          <t>Tuesday</t>
        </is>
      </c>
      <c r="H625" t="inlineStr">
        <is>
          <t>Monthly - Tuesday</t>
        </is>
      </c>
      <c r="I625" t="inlineStr">
        <is>
          <t>Monthly - Tuesday</t>
        </is>
      </c>
      <c r="J625" t="inlineStr">
        <is>
          <t>Month+11 Expiry</t>
        </is>
      </c>
      <c r="K625" s="25" t="n">
        <v>0</v>
      </c>
      <c r="L625" s="26" t="n">
        <v>0</v>
      </c>
      <c r="M625" s="26" t="n">
        <v>0</v>
      </c>
    </row>
    <row r="626" ht="16" customHeight="1">
      <c r="A626" t="inlineStr">
        <is>
          <t>01-Feb-2026</t>
        </is>
      </c>
      <c r="B626" t="inlineStr">
        <is>
          <t>Sunday</t>
        </is>
      </c>
      <c r="C626" t="inlineStr">
        <is>
          <t>Week1-Feb-2026</t>
        </is>
      </c>
      <c r="D626" s="78" t="n">
        <v>46054</v>
      </c>
      <c r="E626" t="inlineStr">
        <is>
          <t>Q4FY26</t>
        </is>
      </c>
      <c r="F626" t="inlineStr">
        <is>
          <t>24-Feb-2026</t>
        </is>
      </c>
      <c r="G626" t="inlineStr">
        <is>
          <t>Tuesday</t>
        </is>
      </c>
      <c r="H626" t="inlineStr">
        <is>
          <t>Monthly - Tuesday</t>
        </is>
      </c>
      <c r="I626" t="inlineStr">
        <is>
          <t>Monthly - Tuesday</t>
        </is>
      </c>
      <c r="J626" t="inlineStr">
        <is>
          <t>Same Month Expiry</t>
        </is>
      </c>
      <c r="K626" s="25" t="n">
        <v>4014589</v>
      </c>
      <c r="L626" s="26" t="n">
        <v>7173.3755</v>
      </c>
      <c r="M626" s="26" t="n">
        <v>63.3544</v>
      </c>
    </row>
    <row r="627" ht="16" customHeight="1">
      <c r="A627" t="inlineStr">
        <is>
          <t>01-Feb-2026</t>
        </is>
      </c>
      <c r="B627" t="inlineStr">
        <is>
          <t>Sunday</t>
        </is>
      </c>
      <c r="C627" t="inlineStr">
        <is>
          <t>Week1-Feb-2026</t>
        </is>
      </c>
      <c r="D627" s="78" t="n">
        <v>46054</v>
      </c>
      <c r="E627" t="inlineStr">
        <is>
          <t>Q4FY26</t>
        </is>
      </c>
      <c r="F627" t="inlineStr">
        <is>
          <t>30-Mar-2026</t>
        </is>
      </c>
      <c r="G627" t="inlineStr">
        <is>
          <t>Monday</t>
        </is>
      </c>
      <c r="H627" t="inlineStr">
        <is>
          <t>Monthly - Monday</t>
        </is>
      </c>
      <c r="I627" t="inlineStr">
        <is>
          <t>Monthly - Monday</t>
        </is>
      </c>
      <c r="J627" t="inlineStr">
        <is>
          <t>Month+1 Expiry</t>
        </is>
      </c>
      <c r="K627" s="25" t="n">
        <v>67953</v>
      </c>
      <c r="L627" s="26" t="n">
        <v>122.6479</v>
      </c>
      <c r="M627" s="26" t="n">
        <v>1.5191</v>
      </c>
    </row>
    <row r="628" ht="16" customHeight="1">
      <c r="A628" t="inlineStr">
        <is>
          <t>01-Feb-2026</t>
        </is>
      </c>
      <c r="B628" t="inlineStr">
        <is>
          <t>Sunday</t>
        </is>
      </c>
      <c r="C628" t="inlineStr">
        <is>
          <t>Week1-Feb-2026</t>
        </is>
      </c>
      <c r="D628" s="78" t="n">
        <v>46054</v>
      </c>
      <c r="E628" t="inlineStr">
        <is>
          <t>Q4FY26</t>
        </is>
      </c>
      <c r="F628" t="inlineStr">
        <is>
          <t>28-Apr-2026</t>
        </is>
      </c>
      <c r="G628" t="inlineStr">
        <is>
          <t>Tuesday</t>
        </is>
      </c>
      <c r="H628" t="inlineStr">
        <is>
          <t>Monthly - Tuesday</t>
        </is>
      </c>
      <c r="I628" t="inlineStr">
        <is>
          <t>Monthly - Tuesday</t>
        </is>
      </c>
      <c r="J628" t="inlineStr">
        <is>
          <t>Month+2 Expiry</t>
        </is>
      </c>
      <c r="K628" s="25" t="n">
        <v>750</v>
      </c>
      <c r="L628" s="26" t="n">
        <v>1.3668</v>
      </c>
      <c r="M628" s="26" t="n">
        <v>0.026</v>
      </c>
    </row>
    <row r="629" ht="16" customHeight="1">
      <c r="A629" t="inlineStr">
        <is>
          <t>01-Feb-2026</t>
        </is>
      </c>
      <c r="B629" t="inlineStr">
        <is>
          <t>Sunday</t>
        </is>
      </c>
      <c r="C629" t="inlineStr">
        <is>
          <t>Week1-Feb-2026</t>
        </is>
      </c>
      <c r="D629" s="78" t="n">
        <v>46054</v>
      </c>
      <c r="E629" t="inlineStr">
        <is>
          <t>Q4FY26</t>
        </is>
      </c>
      <c r="F629" t="inlineStr">
        <is>
          <t>30-Jun-2026</t>
        </is>
      </c>
      <c r="G629" t="inlineStr">
        <is>
          <t>Tuesday</t>
        </is>
      </c>
      <c r="H629" t="inlineStr">
        <is>
          <t>Monthly - Tuesday</t>
        </is>
      </c>
      <c r="I629" t="inlineStr">
        <is>
          <t>Monthly - Tuesday</t>
        </is>
      </c>
      <c r="J629" t="inlineStr">
        <is>
          <t>Month+4 Expiry</t>
        </is>
      </c>
      <c r="K629" s="25" t="n">
        <v>43</v>
      </c>
      <c r="L629" s="26" t="n">
        <v>0.0769</v>
      </c>
      <c r="M629" s="26" t="n">
        <v>0.0014</v>
      </c>
    </row>
    <row r="630" ht="16" customHeight="1">
      <c r="A630" t="inlineStr">
        <is>
          <t>01-Feb-2026</t>
        </is>
      </c>
      <c r="B630" t="inlineStr">
        <is>
          <t>Sunday</t>
        </is>
      </c>
      <c r="C630" t="inlineStr">
        <is>
          <t>Week1-Feb-2026</t>
        </is>
      </c>
      <c r="D630" s="78" t="n">
        <v>46054</v>
      </c>
      <c r="E630" t="inlineStr">
        <is>
          <t>Q4FY26</t>
        </is>
      </c>
      <c r="F630" t="inlineStr">
        <is>
          <t>29-Sep-2026</t>
        </is>
      </c>
      <c r="G630" t="inlineStr">
        <is>
          <t>Tuesday</t>
        </is>
      </c>
      <c r="H630" t="inlineStr">
        <is>
          <t>Monthly - Tuesday</t>
        </is>
      </c>
      <c r="I630" t="inlineStr">
        <is>
          <t>Monthly - Tuesday</t>
        </is>
      </c>
      <c r="J630" t="inlineStr">
        <is>
          <t>Month+7 Expiry</t>
        </is>
      </c>
      <c r="K630" s="25" t="n">
        <v>0</v>
      </c>
      <c r="L630" s="26" t="n">
        <v>0</v>
      </c>
      <c r="M630" s="26" t="n">
        <v>0</v>
      </c>
    </row>
    <row r="631" ht="16" customHeight="1">
      <c r="A631" t="inlineStr">
        <is>
          <t>01-Feb-2026</t>
        </is>
      </c>
      <c r="B631" t="inlineStr">
        <is>
          <t>Sunday</t>
        </is>
      </c>
      <c r="C631" t="inlineStr">
        <is>
          <t>Week1-Feb-2026</t>
        </is>
      </c>
      <c r="D631" s="78" t="n">
        <v>46054</v>
      </c>
      <c r="E631" t="inlineStr">
        <is>
          <t>Q4FY26</t>
        </is>
      </c>
      <c r="F631" t="inlineStr">
        <is>
          <t>29-Dec-2026</t>
        </is>
      </c>
      <c r="G631" t="inlineStr">
        <is>
          <t>Tuesday</t>
        </is>
      </c>
      <c r="H631" t="inlineStr">
        <is>
          <t>Monthly - Tuesday</t>
        </is>
      </c>
      <c r="I631" t="inlineStr">
        <is>
          <t>Monthly - Tuesday</t>
        </is>
      </c>
      <c r="J631" t="inlineStr">
        <is>
          <t>Month+10 Expiry</t>
        </is>
      </c>
      <c r="K631" s="25" t="n">
        <v>0</v>
      </c>
      <c r="L631" s="26" t="n">
        <v>0</v>
      </c>
      <c r="M631" s="26" t="n">
        <v>0</v>
      </c>
    </row>
    <row r="632" ht="16" customHeight="1">
      <c r="A632" t="inlineStr">
        <is>
          <t>02-Feb-2026</t>
        </is>
      </c>
      <c r="B632" t="inlineStr">
        <is>
          <t>Monday</t>
        </is>
      </c>
      <c r="C632" t="inlineStr">
        <is>
          <t>Week1-Feb-2026</t>
        </is>
      </c>
      <c r="D632" s="78" t="n">
        <v>46054</v>
      </c>
      <c r="E632" t="inlineStr">
        <is>
          <t>Q4FY26</t>
        </is>
      </c>
      <c r="F632" t="inlineStr">
        <is>
          <t>24-Feb-2026</t>
        </is>
      </c>
      <c r="G632" t="inlineStr">
        <is>
          <t>Tuesday</t>
        </is>
      </c>
      <c r="H632" t="inlineStr">
        <is>
          <t>Monthly - Tuesday</t>
        </is>
      </c>
      <c r="I632" t="inlineStr">
        <is>
          <t>Monthly - Tuesday</t>
        </is>
      </c>
      <c r="J632" t="inlineStr">
        <is>
          <t>Same Month Expiry</t>
        </is>
      </c>
      <c r="K632" s="25" t="n">
        <v>2941021</v>
      </c>
      <c r="L632" s="26" t="n">
        <v>5185.9158</v>
      </c>
      <c r="M632" s="26" t="n">
        <v>46.7905</v>
      </c>
    </row>
    <row r="633" ht="16" customHeight="1">
      <c r="A633" t="inlineStr">
        <is>
          <t>02-Feb-2026</t>
        </is>
      </c>
      <c r="B633" t="inlineStr">
        <is>
          <t>Monday</t>
        </is>
      </c>
      <c r="C633" t="inlineStr">
        <is>
          <t>Week1-Feb-2026</t>
        </is>
      </c>
      <c r="D633" s="78" t="n">
        <v>46054</v>
      </c>
      <c r="E633" t="inlineStr">
        <is>
          <t>Q4FY26</t>
        </is>
      </c>
      <c r="F633" t="inlineStr">
        <is>
          <t>30-Mar-2026</t>
        </is>
      </c>
      <c r="G633" t="inlineStr">
        <is>
          <t>Monday</t>
        </is>
      </c>
      <c r="H633" t="inlineStr">
        <is>
          <t>Monthly - Monday</t>
        </is>
      </c>
      <c r="I633" t="inlineStr">
        <is>
          <t>Monthly - Monday</t>
        </is>
      </c>
      <c r="J633" t="inlineStr">
        <is>
          <t>Month+1 Expiry</t>
        </is>
      </c>
      <c r="K633" s="25" t="n">
        <v>55122</v>
      </c>
      <c r="L633" s="26" t="n">
        <v>98.68040000000001</v>
      </c>
      <c r="M633" s="26" t="n">
        <v>1.2341</v>
      </c>
    </row>
    <row r="634" ht="16" customHeight="1">
      <c r="A634" t="inlineStr">
        <is>
          <t>02-Feb-2026</t>
        </is>
      </c>
      <c r="B634" t="inlineStr">
        <is>
          <t>Monday</t>
        </is>
      </c>
      <c r="C634" t="inlineStr">
        <is>
          <t>Week1-Feb-2026</t>
        </is>
      </c>
      <c r="D634" s="78" t="n">
        <v>46054</v>
      </c>
      <c r="E634" t="inlineStr">
        <is>
          <t>Q4FY26</t>
        </is>
      </c>
      <c r="F634" t="inlineStr">
        <is>
          <t>28-Apr-2026</t>
        </is>
      </c>
      <c r="G634" t="inlineStr">
        <is>
          <t>Tuesday</t>
        </is>
      </c>
      <c r="H634" t="inlineStr">
        <is>
          <t>Monthly - Tuesday</t>
        </is>
      </c>
      <c r="I634" t="inlineStr">
        <is>
          <t>Monthly - Tuesday</t>
        </is>
      </c>
      <c r="J634" t="inlineStr">
        <is>
          <t>Month+2 Expiry</t>
        </is>
      </c>
      <c r="K634" s="25" t="n">
        <v>1483</v>
      </c>
      <c r="L634" s="26" t="n">
        <v>2.6798</v>
      </c>
      <c r="M634" s="26" t="n">
        <v>0.0415</v>
      </c>
    </row>
    <row r="635" ht="16" customHeight="1">
      <c r="A635" t="inlineStr">
        <is>
          <t>02-Feb-2026</t>
        </is>
      </c>
      <c r="B635" t="inlineStr">
        <is>
          <t>Monday</t>
        </is>
      </c>
      <c r="C635" t="inlineStr">
        <is>
          <t>Week1-Feb-2026</t>
        </is>
      </c>
      <c r="D635" s="78" t="n">
        <v>46054</v>
      </c>
      <c r="E635" t="inlineStr">
        <is>
          <t>Q4FY26</t>
        </is>
      </c>
      <c r="F635" t="inlineStr">
        <is>
          <t>30-Jun-2026</t>
        </is>
      </c>
      <c r="G635" t="inlineStr">
        <is>
          <t>Tuesday</t>
        </is>
      </c>
      <c r="H635" t="inlineStr">
        <is>
          <t>Monthly - Tuesday</t>
        </is>
      </c>
      <c r="I635" t="inlineStr">
        <is>
          <t>Monthly - Tuesday</t>
        </is>
      </c>
      <c r="J635" t="inlineStr">
        <is>
          <t>Month+4 Expiry</t>
        </is>
      </c>
      <c r="K635" s="25" t="n">
        <v>44</v>
      </c>
      <c r="L635" s="26" t="n">
        <v>0.0789</v>
      </c>
      <c r="M635" s="26" t="n">
        <v>0.0017</v>
      </c>
    </row>
    <row r="636" ht="16" customHeight="1">
      <c r="A636" t="inlineStr">
        <is>
          <t>02-Feb-2026</t>
        </is>
      </c>
      <c r="B636" t="inlineStr">
        <is>
          <t>Monday</t>
        </is>
      </c>
      <c r="C636" t="inlineStr">
        <is>
          <t>Week1-Feb-2026</t>
        </is>
      </c>
      <c r="D636" s="78" t="n">
        <v>46054</v>
      </c>
      <c r="E636" t="inlineStr">
        <is>
          <t>Q4FY26</t>
        </is>
      </c>
      <c r="F636" t="inlineStr">
        <is>
          <t>29-Sep-2026</t>
        </is>
      </c>
      <c r="G636" t="inlineStr">
        <is>
          <t>Tuesday</t>
        </is>
      </c>
      <c r="H636" t="inlineStr">
        <is>
          <t>Monthly - Tuesday</t>
        </is>
      </c>
      <c r="I636" t="inlineStr">
        <is>
          <t>Monthly - Tuesday</t>
        </is>
      </c>
      <c r="J636" t="inlineStr">
        <is>
          <t>Month+7 Expiry</t>
        </is>
      </c>
      <c r="K636" s="25" t="n">
        <v>0</v>
      </c>
      <c r="L636" s="26" t="n">
        <v>0</v>
      </c>
      <c r="M636" s="26" t="n">
        <v>0</v>
      </c>
    </row>
    <row r="637" ht="16" customHeight="1">
      <c r="A637" t="inlineStr">
        <is>
          <t>02-Feb-2026</t>
        </is>
      </c>
      <c r="B637" t="inlineStr">
        <is>
          <t>Monday</t>
        </is>
      </c>
      <c r="C637" t="inlineStr">
        <is>
          <t>Week1-Feb-2026</t>
        </is>
      </c>
      <c r="D637" s="78" t="n">
        <v>46054</v>
      </c>
      <c r="E637" t="inlineStr">
        <is>
          <t>Q4FY26</t>
        </is>
      </c>
      <c r="F637" t="inlineStr">
        <is>
          <t>29-Dec-2026</t>
        </is>
      </c>
      <c r="G637" t="inlineStr">
        <is>
          <t>Tuesday</t>
        </is>
      </c>
      <c r="H637" t="inlineStr">
        <is>
          <t>Monthly - Tuesday</t>
        </is>
      </c>
      <c r="I637" t="inlineStr">
        <is>
          <t>Monthly - Tuesday</t>
        </is>
      </c>
      <c r="J637" t="inlineStr">
        <is>
          <t>Month+10 Expiry</t>
        </is>
      </c>
      <c r="K637" s="25" t="n">
        <v>0</v>
      </c>
      <c r="L637" s="26" t="n">
        <v>0</v>
      </c>
      <c r="M637" s="26" t="n">
        <v>0</v>
      </c>
    </row>
    <row r="638" ht="16" customHeight="1">
      <c r="A638" t="inlineStr">
        <is>
          <t>03-Feb-2026</t>
        </is>
      </c>
      <c r="B638" t="inlineStr">
        <is>
          <t>Tuesday</t>
        </is>
      </c>
      <c r="C638" t="inlineStr">
        <is>
          <t>Week1-Feb-2026</t>
        </is>
      </c>
      <c r="D638" s="78" t="n">
        <v>46054</v>
      </c>
      <c r="E638" t="inlineStr">
        <is>
          <t>Q4FY26</t>
        </is>
      </c>
      <c r="F638" t="inlineStr">
        <is>
          <t>24-Feb-2026</t>
        </is>
      </c>
      <c r="G638" t="inlineStr">
        <is>
          <t>Tuesday</t>
        </is>
      </c>
      <c r="H638" t="inlineStr">
        <is>
          <t>Monthly - Tuesday</t>
        </is>
      </c>
      <c r="I638" t="inlineStr">
        <is>
          <t>Monthly - Tuesday</t>
        </is>
      </c>
      <c r="J638" t="inlineStr">
        <is>
          <t>Same Month Expiry</t>
        </is>
      </c>
      <c r="K638" s="25" t="n">
        <v>3282380</v>
      </c>
      <c r="L638" s="26" t="n">
        <v>5878.9196</v>
      </c>
      <c r="M638" s="26" t="n">
        <v>51.1009</v>
      </c>
    </row>
    <row r="639" ht="16" customHeight="1">
      <c r="A639" t="inlineStr">
        <is>
          <t>03-Feb-2026</t>
        </is>
      </c>
      <c r="B639" t="inlineStr">
        <is>
          <t>Tuesday</t>
        </is>
      </c>
      <c r="C639" t="inlineStr">
        <is>
          <t>Week1-Feb-2026</t>
        </is>
      </c>
      <c r="D639" s="78" t="n">
        <v>46054</v>
      </c>
      <c r="E639" t="inlineStr">
        <is>
          <t>Q4FY26</t>
        </is>
      </c>
      <c r="F639" t="inlineStr">
        <is>
          <t>30-Mar-2026</t>
        </is>
      </c>
      <c r="G639" t="inlineStr">
        <is>
          <t>Monday</t>
        </is>
      </c>
      <c r="H639" t="inlineStr">
        <is>
          <t>Monthly - Monday</t>
        </is>
      </c>
      <c r="I639" t="inlineStr">
        <is>
          <t>Monthly - Monday</t>
        </is>
      </c>
      <c r="J639" t="inlineStr">
        <is>
          <t>Month+1 Expiry</t>
        </is>
      </c>
      <c r="K639" s="25" t="n">
        <v>85238</v>
      </c>
      <c r="L639" s="26" t="n">
        <v>155.3794</v>
      </c>
      <c r="M639" s="26" t="n">
        <v>2.0396</v>
      </c>
    </row>
    <row r="640" ht="16" customHeight="1">
      <c r="A640" t="inlineStr">
        <is>
          <t>03-Feb-2026</t>
        </is>
      </c>
      <c r="B640" t="inlineStr">
        <is>
          <t>Tuesday</t>
        </is>
      </c>
      <c r="C640" t="inlineStr">
        <is>
          <t>Week1-Feb-2026</t>
        </is>
      </c>
      <c r="D640" s="78" t="n">
        <v>46054</v>
      </c>
      <c r="E640" t="inlineStr">
        <is>
          <t>Q4FY26</t>
        </is>
      </c>
      <c r="F640" t="inlineStr">
        <is>
          <t>28-Apr-2026</t>
        </is>
      </c>
      <c r="G640" t="inlineStr">
        <is>
          <t>Tuesday</t>
        </is>
      </c>
      <c r="H640" t="inlineStr">
        <is>
          <t>Monthly - Tuesday</t>
        </is>
      </c>
      <c r="I640" t="inlineStr">
        <is>
          <t>Monthly - Tuesday</t>
        </is>
      </c>
      <c r="J640" t="inlineStr">
        <is>
          <t>Month+2 Expiry</t>
        </is>
      </c>
      <c r="K640" s="25" t="n">
        <v>1405</v>
      </c>
      <c r="L640" s="26" t="n">
        <v>2.575</v>
      </c>
      <c r="M640" s="26" t="n">
        <v>0.0462</v>
      </c>
    </row>
    <row r="641" ht="16" customHeight="1">
      <c r="A641" t="inlineStr">
        <is>
          <t>03-Feb-2026</t>
        </is>
      </c>
      <c r="B641" t="inlineStr">
        <is>
          <t>Tuesday</t>
        </is>
      </c>
      <c r="C641" t="inlineStr">
        <is>
          <t>Week1-Feb-2026</t>
        </is>
      </c>
      <c r="D641" s="78" t="n">
        <v>46054</v>
      </c>
      <c r="E641" t="inlineStr">
        <is>
          <t>Q4FY26</t>
        </is>
      </c>
      <c r="F641" t="inlineStr">
        <is>
          <t>30-Jun-2026</t>
        </is>
      </c>
      <c r="G641" t="inlineStr">
        <is>
          <t>Tuesday</t>
        </is>
      </c>
      <c r="H641" t="inlineStr">
        <is>
          <t>Monthly - Tuesday</t>
        </is>
      </c>
      <c r="I641" t="inlineStr">
        <is>
          <t>Monthly - Tuesday</t>
        </is>
      </c>
      <c r="J641" t="inlineStr">
        <is>
          <t>Month+4 Expiry</t>
        </is>
      </c>
      <c r="K641" s="25" t="n">
        <v>40</v>
      </c>
      <c r="L641" s="26" t="n">
        <v>0.0713</v>
      </c>
      <c r="M641" s="26" t="n">
        <v>0.0011</v>
      </c>
    </row>
    <row r="642" ht="16" customHeight="1">
      <c r="A642" t="inlineStr">
        <is>
          <t>03-Feb-2026</t>
        </is>
      </c>
      <c r="B642" t="inlineStr">
        <is>
          <t>Tuesday</t>
        </is>
      </c>
      <c r="C642" t="inlineStr">
        <is>
          <t>Week1-Feb-2026</t>
        </is>
      </c>
      <c r="D642" s="78" t="n">
        <v>46054</v>
      </c>
      <c r="E642" t="inlineStr">
        <is>
          <t>Q4FY26</t>
        </is>
      </c>
      <c r="F642" t="inlineStr">
        <is>
          <t>29-Sep-2026</t>
        </is>
      </c>
      <c r="G642" t="inlineStr">
        <is>
          <t>Tuesday</t>
        </is>
      </c>
      <c r="H642" t="inlineStr">
        <is>
          <t>Monthly - Tuesday</t>
        </is>
      </c>
      <c r="I642" t="inlineStr">
        <is>
          <t>Monthly - Tuesday</t>
        </is>
      </c>
      <c r="J642" t="inlineStr">
        <is>
          <t>Month+7 Expiry</t>
        </is>
      </c>
      <c r="K642" s="25" t="n">
        <v>0</v>
      </c>
      <c r="L642" s="26" t="n">
        <v>0</v>
      </c>
      <c r="M642" s="26" t="n">
        <v>0</v>
      </c>
    </row>
    <row r="643" ht="16" customHeight="1">
      <c r="A643" t="inlineStr">
        <is>
          <t>03-Feb-2026</t>
        </is>
      </c>
      <c r="B643" t="inlineStr">
        <is>
          <t>Tuesday</t>
        </is>
      </c>
      <c r="C643" t="inlineStr">
        <is>
          <t>Week1-Feb-2026</t>
        </is>
      </c>
      <c r="D643" s="78" t="n">
        <v>46054</v>
      </c>
      <c r="E643" t="inlineStr">
        <is>
          <t>Q4FY26</t>
        </is>
      </c>
      <c r="F643" t="inlineStr">
        <is>
          <t>29-Dec-2026</t>
        </is>
      </c>
      <c r="G643" t="inlineStr">
        <is>
          <t>Tuesday</t>
        </is>
      </c>
      <c r="H643" t="inlineStr">
        <is>
          <t>Monthly - Tuesday</t>
        </is>
      </c>
      <c r="I643" t="inlineStr">
        <is>
          <t>Monthly - Tuesday</t>
        </is>
      </c>
      <c r="J643" t="inlineStr">
        <is>
          <t>Month+10 Expiry</t>
        </is>
      </c>
      <c r="K643" s="25" t="n">
        <v>0</v>
      </c>
      <c r="L643" s="26" t="n">
        <v>0</v>
      </c>
      <c r="M643" s="26" t="n">
        <v>0</v>
      </c>
    </row>
    <row r="644" ht="16" customHeight="1">
      <c r="A644" t="inlineStr">
        <is>
          <t>04-Feb-2026</t>
        </is>
      </c>
      <c r="B644" t="inlineStr">
        <is>
          <t>Wednesday</t>
        </is>
      </c>
      <c r="C644" t="inlineStr">
        <is>
          <t>Week1-Feb-2026</t>
        </is>
      </c>
      <c r="D644" s="78" t="n">
        <v>46054</v>
      </c>
      <c r="E644" t="inlineStr">
        <is>
          <t>Q4FY26</t>
        </is>
      </c>
      <c r="F644" t="inlineStr">
        <is>
          <t>24-Feb-2026</t>
        </is>
      </c>
      <c r="G644" t="inlineStr">
        <is>
          <t>Tuesday</t>
        </is>
      </c>
      <c r="H644" t="inlineStr">
        <is>
          <t>Monthly - Tuesday</t>
        </is>
      </c>
      <c r="I644" t="inlineStr">
        <is>
          <t>Monthly - Tuesday</t>
        </is>
      </c>
      <c r="J644" t="inlineStr">
        <is>
          <t>Same Month Expiry</t>
        </is>
      </c>
      <c r="K644" s="25" t="n">
        <v>2276529</v>
      </c>
      <c r="L644" s="26" t="n">
        <v>4097.0879</v>
      </c>
      <c r="M644" s="26" t="n">
        <v>32.8248</v>
      </c>
    </row>
    <row r="645" ht="16" customHeight="1">
      <c r="A645" t="inlineStr">
        <is>
          <t>04-Feb-2026</t>
        </is>
      </c>
      <c r="B645" t="inlineStr">
        <is>
          <t>Wednesday</t>
        </is>
      </c>
      <c r="C645" t="inlineStr">
        <is>
          <t>Week1-Feb-2026</t>
        </is>
      </c>
      <c r="D645" s="78" t="n">
        <v>46054</v>
      </c>
      <c r="E645" t="inlineStr">
        <is>
          <t>Q4FY26</t>
        </is>
      </c>
      <c r="F645" t="inlineStr">
        <is>
          <t>30-Mar-2026</t>
        </is>
      </c>
      <c r="G645" t="inlineStr">
        <is>
          <t>Monday</t>
        </is>
      </c>
      <c r="H645" t="inlineStr">
        <is>
          <t>Monthly - Monday</t>
        </is>
      </c>
      <c r="I645" t="inlineStr">
        <is>
          <t>Monthly - Monday</t>
        </is>
      </c>
      <c r="J645" t="inlineStr">
        <is>
          <t>Month+1 Expiry</t>
        </is>
      </c>
      <c r="K645" s="25" t="n">
        <v>44167</v>
      </c>
      <c r="L645" s="26" t="n">
        <v>79.46259999999999</v>
      </c>
      <c r="M645" s="26" t="n">
        <v>0.8157</v>
      </c>
    </row>
    <row r="646" ht="16" customHeight="1">
      <c r="A646" t="inlineStr">
        <is>
          <t>04-Feb-2026</t>
        </is>
      </c>
      <c r="B646" t="inlineStr">
        <is>
          <t>Wednesday</t>
        </is>
      </c>
      <c r="C646" t="inlineStr">
        <is>
          <t>Week1-Feb-2026</t>
        </is>
      </c>
      <c r="D646" s="78" t="n">
        <v>46054</v>
      </c>
      <c r="E646" t="inlineStr">
        <is>
          <t>Q4FY26</t>
        </is>
      </c>
      <c r="F646" t="inlineStr">
        <is>
          <t>28-Apr-2026</t>
        </is>
      </c>
      <c r="G646" t="inlineStr">
        <is>
          <t>Tuesday</t>
        </is>
      </c>
      <c r="H646" t="inlineStr">
        <is>
          <t>Monthly - Tuesday</t>
        </is>
      </c>
      <c r="I646" t="inlineStr">
        <is>
          <t>Monthly - Tuesday</t>
        </is>
      </c>
      <c r="J646" t="inlineStr">
        <is>
          <t>Month+2 Expiry</t>
        </is>
      </c>
      <c r="K646" s="25" t="n">
        <v>1768</v>
      </c>
      <c r="L646" s="26" t="n">
        <v>3.2021</v>
      </c>
      <c r="M646" s="26" t="n">
        <v>0.0472</v>
      </c>
    </row>
    <row r="647" ht="16" customHeight="1">
      <c r="A647" t="inlineStr">
        <is>
          <t>04-Feb-2026</t>
        </is>
      </c>
      <c r="B647" t="inlineStr">
        <is>
          <t>Wednesday</t>
        </is>
      </c>
      <c r="C647" t="inlineStr">
        <is>
          <t>Week1-Feb-2026</t>
        </is>
      </c>
      <c r="D647" s="78" t="n">
        <v>46054</v>
      </c>
      <c r="E647" t="inlineStr">
        <is>
          <t>Q4FY26</t>
        </is>
      </c>
      <c r="F647" t="inlineStr">
        <is>
          <t>30-Jun-2026</t>
        </is>
      </c>
      <c r="G647" t="inlineStr">
        <is>
          <t>Tuesday</t>
        </is>
      </c>
      <c r="H647" t="inlineStr">
        <is>
          <t>Monthly - Tuesday</t>
        </is>
      </c>
      <c r="I647" t="inlineStr">
        <is>
          <t>Monthly - Tuesday</t>
        </is>
      </c>
      <c r="J647" t="inlineStr">
        <is>
          <t>Month+4 Expiry</t>
        </is>
      </c>
      <c r="K647" s="25" t="n">
        <v>52</v>
      </c>
      <c r="L647" s="26" t="n">
        <v>0.0941</v>
      </c>
      <c r="M647" s="26" t="n">
        <v>0.0028</v>
      </c>
    </row>
    <row r="648" ht="16" customHeight="1">
      <c r="A648" t="inlineStr">
        <is>
          <t>04-Feb-2026</t>
        </is>
      </c>
      <c r="B648" t="inlineStr">
        <is>
          <t>Wednesday</t>
        </is>
      </c>
      <c r="C648" t="inlineStr">
        <is>
          <t>Week1-Feb-2026</t>
        </is>
      </c>
      <c r="D648" s="78" t="n">
        <v>46054</v>
      </c>
      <c r="E648" t="inlineStr">
        <is>
          <t>Q4FY26</t>
        </is>
      </c>
      <c r="F648" t="inlineStr">
        <is>
          <t>29-Sep-2026</t>
        </is>
      </c>
      <c r="G648" t="inlineStr">
        <is>
          <t>Tuesday</t>
        </is>
      </c>
      <c r="H648" t="inlineStr">
        <is>
          <t>Monthly - Tuesday</t>
        </is>
      </c>
      <c r="I648" t="inlineStr">
        <is>
          <t>Monthly - Tuesday</t>
        </is>
      </c>
      <c r="J648" t="inlineStr">
        <is>
          <t>Month+7 Expiry</t>
        </is>
      </c>
      <c r="K648" s="25" t="n">
        <v>0</v>
      </c>
      <c r="L648" s="26" t="n">
        <v>0</v>
      </c>
      <c r="M648" s="26" t="n">
        <v>0</v>
      </c>
    </row>
    <row r="649" ht="16" customHeight="1">
      <c r="A649" t="inlineStr">
        <is>
          <t>04-Feb-2026</t>
        </is>
      </c>
      <c r="B649" t="inlineStr">
        <is>
          <t>Wednesday</t>
        </is>
      </c>
      <c r="C649" t="inlineStr">
        <is>
          <t>Week1-Feb-2026</t>
        </is>
      </c>
      <c r="D649" s="78" t="n">
        <v>46054</v>
      </c>
      <c r="E649" t="inlineStr">
        <is>
          <t>Q4FY26</t>
        </is>
      </c>
      <c r="F649" t="inlineStr">
        <is>
          <t>29-Dec-2026</t>
        </is>
      </c>
      <c r="G649" t="inlineStr">
        <is>
          <t>Tuesday</t>
        </is>
      </c>
      <c r="H649" t="inlineStr">
        <is>
          <t>Monthly - Tuesday</t>
        </is>
      </c>
      <c r="I649" t="inlineStr">
        <is>
          <t>Monthly - Tuesday</t>
        </is>
      </c>
      <c r="J649" t="inlineStr">
        <is>
          <t>Month+10 Expiry</t>
        </is>
      </c>
      <c r="K649" s="25" t="n">
        <v>0</v>
      </c>
      <c r="L649" s="26" t="n">
        <v>0</v>
      </c>
      <c r="M649" s="26" t="n">
        <v>0</v>
      </c>
    </row>
    <row r="650" ht="16" customHeight="1">
      <c r="A650" t="inlineStr">
        <is>
          <t>05-Feb-2026</t>
        </is>
      </c>
      <c r="B650" t="inlineStr">
        <is>
          <t>Thursday</t>
        </is>
      </c>
      <c r="C650" t="inlineStr">
        <is>
          <t>Week1-Feb-2026</t>
        </is>
      </c>
      <c r="D650" s="78" t="n">
        <v>46054</v>
      </c>
      <c r="E650" t="inlineStr">
        <is>
          <t>Q4FY26</t>
        </is>
      </c>
      <c r="F650" t="inlineStr">
        <is>
          <t>24-Feb-2026</t>
        </is>
      </c>
      <c r="G650" t="inlineStr">
        <is>
          <t>Tuesday</t>
        </is>
      </c>
      <c r="H650" t="inlineStr">
        <is>
          <t>Monthly - Tuesday</t>
        </is>
      </c>
      <c r="I650" t="inlineStr">
        <is>
          <t>Monthly - Tuesday</t>
        </is>
      </c>
      <c r="J650" t="inlineStr">
        <is>
          <t>Same Month Expiry</t>
        </is>
      </c>
      <c r="K650" s="25" t="n">
        <v>1900416</v>
      </c>
      <c r="L650" s="26" t="n">
        <v>3419.8134</v>
      </c>
      <c r="M650" s="26" t="n">
        <v>26.5009</v>
      </c>
    </row>
    <row r="651" ht="16" customHeight="1">
      <c r="A651" t="inlineStr">
        <is>
          <t>05-Feb-2026</t>
        </is>
      </c>
      <c r="B651" t="inlineStr">
        <is>
          <t>Thursday</t>
        </is>
      </c>
      <c r="C651" t="inlineStr">
        <is>
          <t>Week1-Feb-2026</t>
        </is>
      </c>
      <c r="D651" s="78" t="n">
        <v>46054</v>
      </c>
      <c r="E651" t="inlineStr">
        <is>
          <t>Q4FY26</t>
        </is>
      </c>
      <c r="F651" t="inlineStr">
        <is>
          <t>30-Mar-2026</t>
        </is>
      </c>
      <c r="G651" t="inlineStr">
        <is>
          <t>Monday</t>
        </is>
      </c>
      <c r="H651" t="inlineStr">
        <is>
          <t>Monthly - Monday</t>
        </is>
      </c>
      <c r="I651" t="inlineStr">
        <is>
          <t>Monthly - Monday</t>
        </is>
      </c>
      <c r="J651" t="inlineStr">
        <is>
          <t>Month+1 Expiry</t>
        </is>
      </c>
      <c r="K651" s="25" t="n">
        <v>28610</v>
      </c>
      <c r="L651" s="26" t="n">
        <v>52.0564</v>
      </c>
      <c r="M651" s="26" t="n">
        <v>0.5356</v>
      </c>
    </row>
    <row r="652" ht="16" customHeight="1">
      <c r="A652" t="inlineStr">
        <is>
          <t>05-Feb-2026</t>
        </is>
      </c>
      <c r="B652" t="inlineStr">
        <is>
          <t>Thursday</t>
        </is>
      </c>
      <c r="C652" t="inlineStr">
        <is>
          <t>Week1-Feb-2026</t>
        </is>
      </c>
      <c r="D652" s="78" t="n">
        <v>46054</v>
      </c>
      <c r="E652" t="inlineStr">
        <is>
          <t>Q4FY26</t>
        </is>
      </c>
      <c r="F652" t="inlineStr">
        <is>
          <t>28-Apr-2026</t>
        </is>
      </c>
      <c r="G652" t="inlineStr">
        <is>
          <t>Tuesday</t>
        </is>
      </c>
      <c r="H652" t="inlineStr">
        <is>
          <t>Monthly - Tuesday</t>
        </is>
      </c>
      <c r="I652" t="inlineStr">
        <is>
          <t>Monthly - Tuesday</t>
        </is>
      </c>
      <c r="J652" t="inlineStr">
        <is>
          <t>Month+2 Expiry</t>
        </is>
      </c>
      <c r="K652" s="25" t="n">
        <v>1227</v>
      </c>
      <c r="L652" s="26" t="n">
        <v>2.2219</v>
      </c>
      <c r="M652" s="26" t="n">
        <v>0.0312</v>
      </c>
    </row>
    <row r="653" ht="16" customHeight="1">
      <c r="A653" t="inlineStr">
        <is>
          <t>05-Feb-2026</t>
        </is>
      </c>
      <c r="B653" t="inlineStr">
        <is>
          <t>Thursday</t>
        </is>
      </c>
      <c r="C653" t="inlineStr">
        <is>
          <t>Week1-Feb-2026</t>
        </is>
      </c>
      <c r="D653" s="78" t="n">
        <v>46054</v>
      </c>
      <c r="E653" t="inlineStr">
        <is>
          <t>Q4FY26</t>
        </is>
      </c>
      <c r="F653" t="inlineStr">
        <is>
          <t>30-Jun-2026</t>
        </is>
      </c>
      <c r="G653" t="inlineStr">
        <is>
          <t>Tuesday</t>
        </is>
      </c>
      <c r="H653" t="inlineStr">
        <is>
          <t>Monthly - Tuesday</t>
        </is>
      </c>
      <c r="I653" t="inlineStr">
        <is>
          <t>Monthly - Tuesday</t>
        </is>
      </c>
      <c r="J653" t="inlineStr">
        <is>
          <t>Month+4 Expiry</t>
        </is>
      </c>
      <c r="K653" s="25" t="n">
        <v>35</v>
      </c>
      <c r="L653" s="26" t="n">
        <v>0.06279999999999999</v>
      </c>
      <c r="M653" s="26" t="n">
        <v>0.0013</v>
      </c>
    </row>
    <row r="654" ht="16" customHeight="1">
      <c r="A654" t="inlineStr">
        <is>
          <t>05-Feb-2026</t>
        </is>
      </c>
      <c r="B654" t="inlineStr">
        <is>
          <t>Thursday</t>
        </is>
      </c>
      <c r="C654" t="inlineStr">
        <is>
          <t>Week1-Feb-2026</t>
        </is>
      </c>
      <c r="D654" s="78" t="n">
        <v>46054</v>
      </c>
      <c r="E654" t="inlineStr">
        <is>
          <t>Q4FY26</t>
        </is>
      </c>
      <c r="F654" t="inlineStr">
        <is>
          <t>29-Sep-2026</t>
        </is>
      </c>
      <c r="G654" t="inlineStr">
        <is>
          <t>Tuesday</t>
        </is>
      </c>
      <c r="H654" t="inlineStr">
        <is>
          <t>Monthly - Tuesday</t>
        </is>
      </c>
      <c r="I654" t="inlineStr">
        <is>
          <t>Monthly - Tuesday</t>
        </is>
      </c>
      <c r="J654" t="inlineStr">
        <is>
          <t>Month+7 Expiry</t>
        </is>
      </c>
      <c r="K654" s="25" t="n">
        <v>0</v>
      </c>
      <c r="L654" s="26" t="n">
        <v>0</v>
      </c>
      <c r="M654" s="26" t="n">
        <v>0</v>
      </c>
    </row>
    <row r="655" ht="16" customHeight="1">
      <c r="A655" t="inlineStr">
        <is>
          <t>05-Feb-2026</t>
        </is>
      </c>
      <c r="B655" t="inlineStr">
        <is>
          <t>Thursday</t>
        </is>
      </c>
      <c r="C655" t="inlineStr">
        <is>
          <t>Week1-Feb-2026</t>
        </is>
      </c>
      <c r="D655" s="78" t="n">
        <v>46054</v>
      </c>
      <c r="E655" t="inlineStr">
        <is>
          <t>Q4FY26</t>
        </is>
      </c>
      <c r="F655" t="inlineStr">
        <is>
          <t>29-Dec-2026</t>
        </is>
      </c>
      <c r="G655" t="inlineStr">
        <is>
          <t>Tuesday</t>
        </is>
      </c>
      <c r="H655" t="inlineStr">
        <is>
          <t>Monthly - Tuesday</t>
        </is>
      </c>
      <c r="I655" t="inlineStr">
        <is>
          <t>Monthly - Tuesday</t>
        </is>
      </c>
      <c r="J655" t="inlineStr">
        <is>
          <t>Month+10 Expiry</t>
        </is>
      </c>
      <c r="K655" s="25" t="n">
        <v>0</v>
      </c>
      <c r="L655" s="26" t="n">
        <v>0</v>
      </c>
      <c r="M655" s="26" t="n">
        <v>0</v>
      </c>
    </row>
    <row r="656" ht="16" customHeight="1">
      <c r="A656" t="inlineStr">
        <is>
          <t>06-Feb-2026</t>
        </is>
      </c>
      <c r="B656" t="inlineStr">
        <is>
          <t>Friday</t>
        </is>
      </c>
      <c r="C656" t="inlineStr">
        <is>
          <t>Week1-Feb-2026</t>
        </is>
      </c>
      <c r="D656" s="78" t="n">
        <v>46054</v>
      </c>
      <c r="E656" t="inlineStr">
        <is>
          <t>Q4FY26</t>
        </is>
      </c>
      <c r="F656" t="inlineStr">
        <is>
          <t>24-Feb-2026</t>
        </is>
      </c>
      <c r="G656" t="inlineStr">
        <is>
          <t>Tuesday</t>
        </is>
      </c>
      <c r="H656" t="inlineStr">
        <is>
          <t>Monthly - Tuesday</t>
        </is>
      </c>
      <c r="I656" t="inlineStr">
        <is>
          <t>Monthly - Tuesday</t>
        </is>
      </c>
      <c r="J656" t="inlineStr">
        <is>
          <t>Same Month Expiry</t>
        </is>
      </c>
      <c r="K656" s="25" t="n">
        <v>3206221</v>
      </c>
      <c r="L656" s="26" t="n">
        <v>5767.5597</v>
      </c>
      <c r="M656" s="26" t="n">
        <v>40.9351</v>
      </c>
    </row>
    <row r="657" ht="16" customHeight="1">
      <c r="A657" t="inlineStr">
        <is>
          <t>06-Feb-2026</t>
        </is>
      </c>
      <c r="B657" t="inlineStr">
        <is>
          <t>Friday</t>
        </is>
      </c>
      <c r="C657" t="inlineStr">
        <is>
          <t>Week1-Feb-2026</t>
        </is>
      </c>
      <c r="D657" s="78" t="n">
        <v>46054</v>
      </c>
      <c r="E657" t="inlineStr">
        <is>
          <t>Q4FY26</t>
        </is>
      </c>
      <c r="F657" t="inlineStr">
        <is>
          <t>30-Mar-2026</t>
        </is>
      </c>
      <c r="G657" t="inlineStr">
        <is>
          <t>Monday</t>
        </is>
      </c>
      <c r="H657" t="inlineStr">
        <is>
          <t>Monthly - Monday</t>
        </is>
      </c>
      <c r="I657" t="inlineStr">
        <is>
          <t>Monthly - Monday</t>
        </is>
      </c>
      <c r="J657" t="inlineStr">
        <is>
          <t>Month+1 Expiry</t>
        </is>
      </c>
      <c r="K657" s="25" t="n">
        <v>46668</v>
      </c>
      <c r="L657" s="26" t="n">
        <v>84.7295</v>
      </c>
      <c r="M657" s="26" t="n">
        <v>0.8862</v>
      </c>
    </row>
    <row r="658" ht="16" customHeight="1">
      <c r="A658" t="inlineStr">
        <is>
          <t>06-Feb-2026</t>
        </is>
      </c>
      <c r="B658" t="inlineStr">
        <is>
          <t>Friday</t>
        </is>
      </c>
      <c r="C658" t="inlineStr">
        <is>
          <t>Week1-Feb-2026</t>
        </is>
      </c>
      <c r="D658" s="78" t="n">
        <v>46054</v>
      </c>
      <c r="E658" t="inlineStr">
        <is>
          <t>Q4FY26</t>
        </is>
      </c>
      <c r="F658" t="inlineStr">
        <is>
          <t>28-Apr-2026</t>
        </is>
      </c>
      <c r="G658" t="inlineStr">
        <is>
          <t>Tuesday</t>
        </is>
      </c>
      <c r="H658" t="inlineStr">
        <is>
          <t>Monthly - Tuesday</t>
        </is>
      </c>
      <c r="I658" t="inlineStr">
        <is>
          <t>Monthly - Tuesday</t>
        </is>
      </c>
      <c r="J658" t="inlineStr">
        <is>
          <t>Month+2 Expiry</t>
        </is>
      </c>
      <c r="K658" s="25" t="n">
        <v>2290</v>
      </c>
      <c r="L658" s="26" t="n">
        <v>4.1725</v>
      </c>
      <c r="M658" s="26" t="n">
        <v>0.0517</v>
      </c>
    </row>
    <row r="659" ht="16" customHeight="1">
      <c r="A659" t="inlineStr">
        <is>
          <t>06-Feb-2026</t>
        </is>
      </c>
      <c r="B659" t="inlineStr">
        <is>
          <t>Friday</t>
        </is>
      </c>
      <c r="C659" t="inlineStr">
        <is>
          <t>Week1-Feb-2026</t>
        </is>
      </c>
      <c r="D659" s="78" t="n">
        <v>46054</v>
      </c>
      <c r="E659" t="inlineStr">
        <is>
          <t>Q4FY26</t>
        </is>
      </c>
      <c r="F659" t="inlineStr">
        <is>
          <t>30-Jun-2026</t>
        </is>
      </c>
      <c r="G659" t="inlineStr">
        <is>
          <t>Tuesday</t>
        </is>
      </c>
      <c r="H659" t="inlineStr">
        <is>
          <t>Monthly - Tuesday</t>
        </is>
      </c>
      <c r="I659" t="inlineStr">
        <is>
          <t>Monthly - Tuesday</t>
        </is>
      </c>
      <c r="J659" t="inlineStr">
        <is>
          <t>Month+4 Expiry</t>
        </is>
      </c>
      <c r="K659" s="25" t="n">
        <v>44</v>
      </c>
      <c r="L659" s="26" t="n">
        <v>0.0786</v>
      </c>
      <c r="M659" s="26" t="n">
        <v>0.0014</v>
      </c>
    </row>
    <row r="660" ht="16" customHeight="1">
      <c r="A660" t="inlineStr">
        <is>
          <t>06-Feb-2026</t>
        </is>
      </c>
      <c r="B660" t="inlineStr">
        <is>
          <t>Friday</t>
        </is>
      </c>
      <c r="C660" t="inlineStr">
        <is>
          <t>Week1-Feb-2026</t>
        </is>
      </c>
      <c r="D660" s="78" t="n">
        <v>46054</v>
      </c>
      <c r="E660" t="inlineStr">
        <is>
          <t>Q4FY26</t>
        </is>
      </c>
      <c r="F660" t="inlineStr">
        <is>
          <t>29-Sep-2026</t>
        </is>
      </c>
      <c r="G660" t="inlineStr">
        <is>
          <t>Tuesday</t>
        </is>
      </c>
      <c r="H660" t="inlineStr">
        <is>
          <t>Monthly - Tuesday</t>
        </is>
      </c>
      <c r="I660" t="inlineStr">
        <is>
          <t>Monthly - Tuesday</t>
        </is>
      </c>
      <c r="J660" t="inlineStr">
        <is>
          <t>Month+7 Expiry</t>
        </is>
      </c>
      <c r="K660" s="25" t="n">
        <v>0</v>
      </c>
      <c r="L660" s="26" t="n">
        <v>0</v>
      </c>
      <c r="M660" s="26" t="n">
        <v>0</v>
      </c>
    </row>
    <row r="661" ht="16" customHeight="1">
      <c r="A661" t="inlineStr">
        <is>
          <t>06-Feb-2026</t>
        </is>
      </c>
      <c r="B661" t="inlineStr">
        <is>
          <t>Friday</t>
        </is>
      </c>
      <c r="C661" t="inlineStr">
        <is>
          <t>Week1-Feb-2026</t>
        </is>
      </c>
      <c r="D661" s="78" t="n">
        <v>46054</v>
      </c>
      <c r="E661" t="inlineStr">
        <is>
          <t>Q4FY26</t>
        </is>
      </c>
      <c r="F661" t="inlineStr">
        <is>
          <t>29-Dec-2026</t>
        </is>
      </c>
      <c r="G661" t="inlineStr">
        <is>
          <t>Tuesday</t>
        </is>
      </c>
      <c r="H661" t="inlineStr">
        <is>
          <t>Monthly - Tuesday</t>
        </is>
      </c>
      <c r="I661" t="inlineStr">
        <is>
          <t>Monthly - Tuesday</t>
        </is>
      </c>
      <c r="J661" t="inlineStr">
        <is>
          <t>Month+10 Expiry</t>
        </is>
      </c>
      <c r="K661" s="25" t="n">
        <v>0</v>
      </c>
      <c r="L661" s="26" t="n">
        <v>0</v>
      </c>
      <c r="M661" s="26" t="n">
        <v>0</v>
      </c>
    </row>
    <row r="662" ht="16" customHeight="1">
      <c r="A662" t="inlineStr">
        <is>
          <t>09-Feb-2026</t>
        </is>
      </c>
      <c r="B662" t="inlineStr">
        <is>
          <t>Monday</t>
        </is>
      </c>
      <c r="C662" t="inlineStr">
        <is>
          <t>Week2-Feb-2026</t>
        </is>
      </c>
      <c r="D662" s="78" t="n">
        <v>46054</v>
      </c>
      <c r="E662" t="inlineStr">
        <is>
          <t>Q4FY26</t>
        </is>
      </c>
      <c r="F662" t="inlineStr">
        <is>
          <t>24-Feb-2026</t>
        </is>
      </c>
      <c r="G662" t="inlineStr">
        <is>
          <t>Tuesday</t>
        </is>
      </c>
      <c r="H662" t="inlineStr">
        <is>
          <t>Monthly - Tuesday</t>
        </is>
      </c>
      <c r="I662" t="inlineStr">
        <is>
          <t>Monthly - Tuesday</t>
        </is>
      </c>
      <c r="J662" t="inlineStr">
        <is>
          <t>Same Month Expiry</t>
        </is>
      </c>
      <c r="K662" s="25" t="n">
        <v>2427088</v>
      </c>
      <c r="L662" s="26" t="n">
        <v>4373.6501</v>
      </c>
      <c r="M662" s="26" t="n">
        <v>28.0095</v>
      </c>
    </row>
    <row r="663" ht="16" customHeight="1">
      <c r="A663" t="inlineStr">
        <is>
          <t>09-Feb-2026</t>
        </is>
      </c>
      <c r="B663" t="inlineStr">
        <is>
          <t>Monday</t>
        </is>
      </c>
      <c r="C663" t="inlineStr">
        <is>
          <t>Week2-Feb-2026</t>
        </is>
      </c>
      <c r="D663" s="78" t="n">
        <v>46054</v>
      </c>
      <c r="E663" t="inlineStr">
        <is>
          <t>Q4FY26</t>
        </is>
      </c>
      <c r="F663" t="inlineStr">
        <is>
          <t>30-Mar-2026</t>
        </is>
      </c>
      <c r="G663" t="inlineStr">
        <is>
          <t>Monday</t>
        </is>
      </c>
      <c r="H663" t="inlineStr">
        <is>
          <t>Monthly - Monday</t>
        </is>
      </c>
      <c r="I663" t="inlineStr">
        <is>
          <t>Monthly - Monday</t>
        </is>
      </c>
      <c r="J663" t="inlineStr">
        <is>
          <t>Month+1 Expiry</t>
        </is>
      </c>
      <c r="K663" s="25" t="n">
        <v>56574</v>
      </c>
      <c r="L663" s="26" t="n">
        <v>102.8533</v>
      </c>
      <c r="M663" s="26" t="n">
        <v>1.0963</v>
      </c>
    </row>
    <row r="664" ht="16" customHeight="1">
      <c r="A664" t="inlineStr">
        <is>
          <t>09-Feb-2026</t>
        </is>
      </c>
      <c r="B664" t="inlineStr">
        <is>
          <t>Monday</t>
        </is>
      </c>
      <c r="C664" t="inlineStr">
        <is>
          <t>Week2-Feb-2026</t>
        </is>
      </c>
      <c r="D664" s="78" t="n">
        <v>46054</v>
      </c>
      <c r="E664" t="inlineStr">
        <is>
          <t>Q4FY26</t>
        </is>
      </c>
      <c r="F664" t="inlineStr">
        <is>
          <t>28-Apr-2026</t>
        </is>
      </c>
      <c r="G664" t="inlineStr">
        <is>
          <t>Tuesday</t>
        </is>
      </c>
      <c r="H664" t="inlineStr">
        <is>
          <t>Monthly - Tuesday</t>
        </is>
      </c>
      <c r="I664" t="inlineStr">
        <is>
          <t>Monthly - Tuesday</t>
        </is>
      </c>
      <c r="J664" t="inlineStr">
        <is>
          <t>Month+2 Expiry</t>
        </is>
      </c>
      <c r="K664" s="25" t="n">
        <v>5815</v>
      </c>
      <c r="L664" s="26" t="n">
        <v>10.6526</v>
      </c>
      <c r="M664" s="26" t="n">
        <v>0.1388</v>
      </c>
    </row>
    <row r="665" ht="16" customHeight="1">
      <c r="A665" t="inlineStr">
        <is>
          <t>09-Feb-2026</t>
        </is>
      </c>
      <c r="B665" t="inlineStr">
        <is>
          <t>Monday</t>
        </is>
      </c>
      <c r="C665" t="inlineStr">
        <is>
          <t>Week2-Feb-2026</t>
        </is>
      </c>
      <c r="D665" s="78" t="n">
        <v>46054</v>
      </c>
      <c r="E665" t="inlineStr">
        <is>
          <t>Q4FY26</t>
        </is>
      </c>
      <c r="F665" t="inlineStr">
        <is>
          <t>30-Jun-2026</t>
        </is>
      </c>
      <c r="G665" t="inlineStr">
        <is>
          <t>Tuesday</t>
        </is>
      </c>
      <c r="H665" t="inlineStr">
        <is>
          <t>Monthly - Tuesday</t>
        </is>
      </c>
      <c r="I665" t="inlineStr">
        <is>
          <t>Monthly - Tuesday</t>
        </is>
      </c>
      <c r="J665" t="inlineStr">
        <is>
          <t>Month+4 Expiry</t>
        </is>
      </c>
      <c r="K665" s="25" t="n">
        <v>78</v>
      </c>
      <c r="L665" s="26" t="n">
        <v>0.1405</v>
      </c>
      <c r="M665" s="26" t="n">
        <v>0.0025</v>
      </c>
    </row>
    <row r="666" ht="16" customHeight="1">
      <c r="A666" t="inlineStr">
        <is>
          <t>09-Feb-2026</t>
        </is>
      </c>
      <c r="B666" t="inlineStr">
        <is>
          <t>Monday</t>
        </is>
      </c>
      <c r="C666" t="inlineStr">
        <is>
          <t>Week2-Feb-2026</t>
        </is>
      </c>
      <c r="D666" s="78" t="n">
        <v>46054</v>
      </c>
      <c r="E666" t="inlineStr">
        <is>
          <t>Q4FY26</t>
        </is>
      </c>
      <c r="F666" t="inlineStr">
        <is>
          <t>29-Sep-2026</t>
        </is>
      </c>
      <c r="G666" t="inlineStr">
        <is>
          <t>Tuesday</t>
        </is>
      </c>
      <c r="H666" t="inlineStr">
        <is>
          <t>Monthly - Tuesday</t>
        </is>
      </c>
      <c r="I666" t="inlineStr">
        <is>
          <t>Monthly - Tuesday</t>
        </is>
      </c>
      <c r="J666" t="inlineStr">
        <is>
          <t>Month+7 Expiry</t>
        </is>
      </c>
      <c r="K666" s="25" t="n">
        <v>0</v>
      </c>
      <c r="L666" s="26" t="n">
        <v>0</v>
      </c>
      <c r="M666" s="26" t="n">
        <v>0</v>
      </c>
    </row>
    <row r="667" ht="16" customHeight="1">
      <c r="A667" t="inlineStr">
        <is>
          <t>09-Feb-2026</t>
        </is>
      </c>
      <c r="B667" t="inlineStr">
        <is>
          <t>Monday</t>
        </is>
      </c>
      <c r="C667" t="inlineStr">
        <is>
          <t>Week2-Feb-2026</t>
        </is>
      </c>
      <c r="D667" s="78" t="n">
        <v>46054</v>
      </c>
      <c r="E667" t="inlineStr">
        <is>
          <t>Q4FY26</t>
        </is>
      </c>
      <c r="F667" t="inlineStr">
        <is>
          <t>29-Dec-2026</t>
        </is>
      </c>
      <c r="G667" t="inlineStr">
        <is>
          <t>Tuesday</t>
        </is>
      </c>
      <c r="H667" t="inlineStr">
        <is>
          <t>Monthly - Tuesday</t>
        </is>
      </c>
      <c r="I667" t="inlineStr">
        <is>
          <t>Monthly - Tuesday</t>
        </is>
      </c>
      <c r="J667" t="inlineStr">
        <is>
          <t>Month+10 Expiry</t>
        </is>
      </c>
      <c r="K667" s="25" t="n">
        <v>0</v>
      </c>
      <c r="L667" s="26" t="n">
        <v>0</v>
      </c>
      <c r="M667" s="26" t="n">
        <v>0</v>
      </c>
    </row>
    <row r="668" ht="16" customHeight="1">
      <c r="A668" t="inlineStr">
        <is>
          <t>10-Feb-2026</t>
        </is>
      </c>
      <c r="B668" t="inlineStr">
        <is>
          <t>Tuesday</t>
        </is>
      </c>
      <c r="C668" t="inlineStr">
        <is>
          <t>Week2-Feb-2026</t>
        </is>
      </c>
      <c r="D668" s="78" t="n">
        <v>46054</v>
      </c>
      <c r="E668" t="inlineStr">
        <is>
          <t>Q4FY26</t>
        </is>
      </c>
      <c r="F668" t="inlineStr">
        <is>
          <t>24-Feb-2026</t>
        </is>
      </c>
      <c r="G668" t="inlineStr">
        <is>
          <t>Tuesday</t>
        </is>
      </c>
      <c r="H668" t="inlineStr">
        <is>
          <t>Monthly - Tuesday</t>
        </is>
      </c>
      <c r="I668" t="inlineStr">
        <is>
          <t>Monthly - Tuesday</t>
        </is>
      </c>
      <c r="J668" t="inlineStr">
        <is>
          <t>Same Month Expiry</t>
        </is>
      </c>
      <c r="K668" s="25" t="n">
        <v>2052558</v>
      </c>
      <c r="L668" s="26" t="n">
        <v>3708.6684</v>
      </c>
      <c r="M668" s="26" t="n">
        <v>22.4575</v>
      </c>
    </row>
    <row r="669" ht="16" customHeight="1">
      <c r="A669" t="inlineStr">
        <is>
          <t>10-Feb-2026</t>
        </is>
      </c>
      <c r="B669" t="inlineStr">
        <is>
          <t>Tuesday</t>
        </is>
      </c>
      <c r="C669" t="inlineStr">
        <is>
          <t>Week2-Feb-2026</t>
        </is>
      </c>
      <c r="D669" s="78" t="n">
        <v>46054</v>
      </c>
      <c r="E669" t="inlineStr">
        <is>
          <t>Q4FY26</t>
        </is>
      </c>
      <c r="F669" t="inlineStr">
        <is>
          <t>30-Mar-2026</t>
        </is>
      </c>
      <c r="G669" t="inlineStr">
        <is>
          <t>Monday</t>
        </is>
      </c>
      <c r="H669" t="inlineStr">
        <is>
          <t>Monthly - Monday</t>
        </is>
      </c>
      <c r="I669" t="inlineStr">
        <is>
          <t>Monthly - Monday</t>
        </is>
      </c>
      <c r="J669" t="inlineStr">
        <is>
          <t>Month+1 Expiry</t>
        </is>
      </c>
      <c r="K669" s="25" t="n">
        <v>45749</v>
      </c>
      <c r="L669" s="26" t="n">
        <v>82.7942</v>
      </c>
      <c r="M669" s="26" t="n">
        <v>0.765</v>
      </c>
    </row>
    <row r="670" ht="16" customHeight="1">
      <c r="A670" t="inlineStr">
        <is>
          <t>10-Feb-2026</t>
        </is>
      </c>
      <c r="B670" t="inlineStr">
        <is>
          <t>Tuesday</t>
        </is>
      </c>
      <c r="C670" t="inlineStr">
        <is>
          <t>Week2-Feb-2026</t>
        </is>
      </c>
      <c r="D670" s="78" t="n">
        <v>46054</v>
      </c>
      <c r="E670" t="inlineStr">
        <is>
          <t>Q4FY26</t>
        </is>
      </c>
      <c r="F670" t="inlineStr">
        <is>
          <t>28-Apr-2026</t>
        </is>
      </c>
      <c r="G670" t="inlineStr">
        <is>
          <t>Tuesday</t>
        </is>
      </c>
      <c r="H670" t="inlineStr">
        <is>
          <t>Monthly - Tuesday</t>
        </is>
      </c>
      <c r="I670" t="inlineStr">
        <is>
          <t>Monthly - Tuesday</t>
        </is>
      </c>
      <c r="J670" t="inlineStr">
        <is>
          <t>Month+2 Expiry</t>
        </is>
      </c>
      <c r="K670" s="25" t="n">
        <v>2784</v>
      </c>
      <c r="L670" s="26" t="n">
        <v>5.1111</v>
      </c>
      <c r="M670" s="26" t="n">
        <v>0.0614</v>
      </c>
    </row>
    <row r="671" ht="16" customHeight="1">
      <c r="A671" t="inlineStr">
        <is>
          <t>10-Feb-2026</t>
        </is>
      </c>
      <c r="B671" t="inlineStr">
        <is>
          <t>Tuesday</t>
        </is>
      </c>
      <c r="C671" t="inlineStr">
        <is>
          <t>Week2-Feb-2026</t>
        </is>
      </c>
      <c r="D671" s="78" t="n">
        <v>46054</v>
      </c>
      <c r="E671" t="inlineStr">
        <is>
          <t>Q4FY26</t>
        </is>
      </c>
      <c r="F671" t="inlineStr">
        <is>
          <t>30-Jun-2026</t>
        </is>
      </c>
      <c r="G671" t="inlineStr">
        <is>
          <t>Tuesday</t>
        </is>
      </c>
      <c r="H671" t="inlineStr">
        <is>
          <t>Monthly - Tuesday</t>
        </is>
      </c>
      <c r="I671" t="inlineStr">
        <is>
          <t>Monthly - Tuesday</t>
        </is>
      </c>
      <c r="J671" t="inlineStr">
        <is>
          <t>Month+4 Expiry</t>
        </is>
      </c>
      <c r="K671" s="25" t="n">
        <v>72</v>
      </c>
      <c r="L671" s="26" t="n">
        <v>0.1288</v>
      </c>
      <c r="M671" s="26" t="n">
        <v>0.0016</v>
      </c>
    </row>
    <row r="672" ht="16" customHeight="1">
      <c r="A672" t="inlineStr">
        <is>
          <t>10-Feb-2026</t>
        </is>
      </c>
      <c r="B672" t="inlineStr">
        <is>
          <t>Tuesday</t>
        </is>
      </c>
      <c r="C672" t="inlineStr">
        <is>
          <t>Week2-Feb-2026</t>
        </is>
      </c>
      <c r="D672" s="78" t="n">
        <v>46054</v>
      </c>
      <c r="E672" t="inlineStr">
        <is>
          <t>Q4FY26</t>
        </is>
      </c>
      <c r="F672" t="inlineStr">
        <is>
          <t>29-Sep-2026</t>
        </is>
      </c>
      <c r="G672" t="inlineStr">
        <is>
          <t>Tuesday</t>
        </is>
      </c>
      <c r="H672" t="inlineStr">
        <is>
          <t>Monthly - Tuesday</t>
        </is>
      </c>
      <c r="I672" t="inlineStr">
        <is>
          <t>Monthly - Tuesday</t>
        </is>
      </c>
      <c r="J672" t="inlineStr">
        <is>
          <t>Month+7 Expiry</t>
        </is>
      </c>
      <c r="K672" s="25" t="n">
        <v>0</v>
      </c>
      <c r="L672" s="26" t="n">
        <v>0</v>
      </c>
      <c r="M672" s="26" t="n">
        <v>0</v>
      </c>
    </row>
    <row r="673" ht="16" customHeight="1">
      <c r="A673" t="inlineStr">
        <is>
          <t>10-Feb-2026</t>
        </is>
      </c>
      <c r="B673" t="inlineStr">
        <is>
          <t>Tuesday</t>
        </is>
      </c>
      <c r="C673" t="inlineStr">
        <is>
          <t>Week2-Feb-2026</t>
        </is>
      </c>
      <c r="D673" s="78" t="n">
        <v>46054</v>
      </c>
      <c r="E673" t="inlineStr">
        <is>
          <t>Q4FY26</t>
        </is>
      </c>
      <c r="F673" t="inlineStr">
        <is>
          <t>29-Dec-2026</t>
        </is>
      </c>
      <c r="G673" t="inlineStr">
        <is>
          <t>Tuesday</t>
        </is>
      </c>
      <c r="H673" t="inlineStr">
        <is>
          <t>Monthly - Tuesday</t>
        </is>
      </c>
      <c r="I673" t="inlineStr">
        <is>
          <t>Monthly - Tuesday</t>
        </is>
      </c>
      <c r="J673" t="inlineStr">
        <is>
          <t>Month+10 Expiry</t>
        </is>
      </c>
      <c r="K673" s="25" t="n">
        <v>0</v>
      </c>
      <c r="L673" s="26" t="n">
        <v>0</v>
      </c>
      <c r="M673" s="26" t="n">
        <v>0</v>
      </c>
    </row>
    <row r="674" ht="16" customHeight="1">
      <c r="A674" t="inlineStr">
        <is>
          <t>11-Feb-2026</t>
        </is>
      </c>
      <c r="B674" t="inlineStr">
        <is>
          <t>Wednesday</t>
        </is>
      </c>
      <c r="C674" t="inlineStr">
        <is>
          <t>Week2-Feb-2026</t>
        </is>
      </c>
      <c r="D674" s="78" t="n">
        <v>46054</v>
      </c>
      <c r="E674" t="inlineStr">
        <is>
          <t>Q4FY26</t>
        </is>
      </c>
      <c r="F674" t="inlineStr">
        <is>
          <t>24-Feb-2026</t>
        </is>
      </c>
      <c r="G674" t="inlineStr">
        <is>
          <t>Tuesday</t>
        </is>
      </c>
      <c r="H674" t="inlineStr">
        <is>
          <t>Monthly - Tuesday</t>
        </is>
      </c>
      <c r="I674" t="inlineStr">
        <is>
          <t>Monthly - Tuesday</t>
        </is>
      </c>
      <c r="J674" t="inlineStr">
        <is>
          <t>Same Month Expiry</t>
        </is>
      </c>
      <c r="K674" s="25" t="n">
        <v>2490815</v>
      </c>
      <c r="L674" s="26" t="n">
        <v>4505.4309</v>
      </c>
      <c r="M674" s="26" t="n">
        <v>25.4859</v>
      </c>
    </row>
    <row r="675" ht="16" customHeight="1">
      <c r="A675" t="inlineStr">
        <is>
          <t>11-Feb-2026</t>
        </is>
      </c>
      <c r="B675" t="inlineStr">
        <is>
          <t>Wednesday</t>
        </is>
      </c>
      <c r="C675" t="inlineStr">
        <is>
          <t>Week2-Feb-2026</t>
        </is>
      </c>
      <c r="D675" s="78" t="n">
        <v>46054</v>
      </c>
      <c r="E675" t="inlineStr">
        <is>
          <t>Q4FY26</t>
        </is>
      </c>
      <c r="F675" t="inlineStr">
        <is>
          <t>30-Mar-2026</t>
        </is>
      </c>
      <c r="G675" t="inlineStr">
        <is>
          <t>Monday</t>
        </is>
      </c>
      <c r="H675" t="inlineStr">
        <is>
          <t>Monthly - Monday</t>
        </is>
      </c>
      <c r="I675" t="inlineStr">
        <is>
          <t>Monthly - Monday</t>
        </is>
      </c>
      <c r="J675" t="inlineStr">
        <is>
          <t>Month+1 Expiry</t>
        </is>
      </c>
      <c r="K675" s="25" t="n">
        <v>48893</v>
      </c>
      <c r="L675" s="26" t="n">
        <v>88.8792</v>
      </c>
      <c r="M675" s="26" t="n">
        <v>0.7977</v>
      </c>
    </row>
    <row r="676" ht="16" customHeight="1">
      <c r="A676" t="inlineStr">
        <is>
          <t>11-Feb-2026</t>
        </is>
      </c>
      <c r="B676" t="inlineStr">
        <is>
          <t>Wednesday</t>
        </is>
      </c>
      <c r="C676" t="inlineStr">
        <is>
          <t>Week2-Feb-2026</t>
        </is>
      </c>
      <c r="D676" s="78" t="n">
        <v>46054</v>
      </c>
      <c r="E676" t="inlineStr">
        <is>
          <t>Q4FY26</t>
        </is>
      </c>
      <c r="F676" t="inlineStr">
        <is>
          <t>28-Apr-2026</t>
        </is>
      </c>
      <c r="G676" t="inlineStr">
        <is>
          <t>Tuesday</t>
        </is>
      </c>
      <c r="H676" t="inlineStr">
        <is>
          <t>Monthly - Tuesday</t>
        </is>
      </c>
      <c r="I676" t="inlineStr">
        <is>
          <t>Monthly - Tuesday</t>
        </is>
      </c>
      <c r="J676" t="inlineStr">
        <is>
          <t>Month+2 Expiry</t>
        </is>
      </c>
      <c r="K676" s="25" t="n">
        <v>2539</v>
      </c>
      <c r="L676" s="26" t="n">
        <v>4.6151</v>
      </c>
      <c r="M676" s="26" t="n">
        <v>0.0506</v>
      </c>
    </row>
    <row r="677" ht="16" customHeight="1">
      <c r="A677" t="inlineStr">
        <is>
          <t>11-Feb-2026</t>
        </is>
      </c>
      <c r="B677" t="inlineStr">
        <is>
          <t>Wednesday</t>
        </is>
      </c>
      <c r="C677" t="inlineStr">
        <is>
          <t>Week2-Feb-2026</t>
        </is>
      </c>
      <c r="D677" s="78" t="n">
        <v>46054</v>
      </c>
      <c r="E677" t="inlineStr">
        <is>
          <t>Q4FY26</t>
        </is>
      </c>
      <c r="F677" t="inlineStr">
        <is>
          <t>30-Jun-2026</t>
        </is>
      </c>
      <c r="G677" t="inlineStr">
        <is>
          <t>Tuesday</t>
        </is>
      </c>
      <c r="H677" t="inlineStr">
        <is>
          <t>Monthly - Tuesday</t>
        </is>
      </c>
      <c r="I677" t="inlineStr">
        <is>
          <t>Monthly - Tuesday</t>
        </is>
      </c>
      <c r="J677" t="inlineStr">
        <is>
          <t>Month+4 Expiry</t>
        </is>
      </c>
      <c r="K677" s="25" t="n">
        <v>109</v>
      </c>
      <c r="L677" s="26" t="n">
        <v>0.1975</v>
      </c>
      <c r="M677" s="26" t="n">
        <v>0.0028</v>
      </c>
    </row>
    <row r="678" ht="16" customHeight="1">
      <c r="A678" t="inlineStr">
        <is>
          <t>11-Feb-2026</t>
        </is>
      </c>
      <c r="B678" t="inlineStr">
        <is>
          <t>Wednesday</t>
        </is>
      </c>
      <c r="C678" t="inlineStr">
        <is>
          <t>Week2-Feb-2026</t>
        </is>
      </c>
      <c r="D678" s="78" t="n">
        <v>46054</v>
      </c>
      <c r="E678" t="inlineStr">
        <is>
          <t>Q4FY26</t>
        </is>
      </c>
      <c r="F678" t="inlineStr">
        <is>
          <t>29-Sep-2026</t>
        </is>
      </c>
      <c r="G678" t="inlineStr">
        <is>
          <t>Tuesday</t>
        </is>
      </c>
      <c r="H678" t="inlineStr">
        <is>
          <t>Monthly - Tuesday</t>
        </is>
      </c>
      <c r="I678" t="inlineStr">
        <is>
          <t>Monthly - Tuesday</t>
        </is>
      </c>
      <c r="J678" t="inlineStr">
        <is>
          <t>Month+7 Expiry</t>
        </is>
      </c>
      <c r="K678" s="25" t="n">
        <v>0</v>
      </c>
      <c r="L678" s="26" t="n">
        <v>0</v>
      </c>
      <c r="M678" s="26" t="n">
        <v>0</v>
      </c>
    </row>
    <row r="679" ht="16" customHeight="1">
      <c r="A679" t="inlineStr">
        <is>
          <t>11-Feb-2026</t>
        </is>
      </c>
      <c r="B679" t="inlineStr">
        <is>
          <t>Wednesday</t>
        </is>
      </c>
      <c r="C679" t="inlineStr">
        <is>
          <t>Week2-Feb-2026</t>
        </is>
      </c>
      <c r="D679" s="78" t="n">
        <v>46054</v>
      </c>
      <c r="E679" t="inlineStr">
        <is>
          <t>Q4FY26</t>
        </is>
      </c>
      <c r="F679" t="inlineStr">
        <is>
          <t>29-Dec-2026</t>
        </is>
      </c>
      <c r="G679" t="inlineStr">
        <is>
          <t>Tuesday</t>
        </is>
      </c>
      <c r="H679" t="inlineStr">
        <is>
          <t>Monthly - Tuesday</t>
        </is>
      </c>
      <c r="I679" t="inlineStr">
        <is>
          <t>Monthly - Tuesday</t>
        </is>
      </c>
      <c r="J679" t="inlineStr">
        <is>
          <t>Month+10 Expiry</t>
        </is>
      </c>
      <c r="K679" s="25" t="n">
        <v>0</v>
      </c>
      <c r="L679" s="26" t="n">
        <v>0</v>
      </c>
      <c r="M679" s="26" t="n">
        <v>0</v>
      </c>
    </row>
    <row r="680" ht="16" customHeight="1">
      <c r="A680" t="inlineStr">
        <is>
          <t>12-Feb-2026</t>
        </is>
      </c>
      <c r="B680" t="inlineStr">
        <is>
          <t>Thursday</t>
        </is>
      </c>
      <c r="C680" t="inlineStr">
        <is>
          <t>Week2-Feb-2026</t>
        </is>
      </c>
      <c r="D680" s="78" t="n">
        <v>46054</v>
      </c>
      <c r="E680" t="inlineStr">
        <is>
          <t>Q4FY26</t>
        </is>
      </c>
      <c r="F680" t="inlineStr">
        <is>
          <t>24-Feb-2026</t>
        </is>
      </c>
      <c r="G680" t="inlineStr">
        <is>
          <t>Tuesday</t>
        </is>
      </c>
      <c r="H680" t="inlineStr">
        <is>
          <t>Monthly - Tuesday</t>
        </is>
      </c>
      <c r="I680" t="inlineStr">
        <is>
          <t>Monthly - Tuesday</t>
        </is>
      </c>
      <c r="J680" t="inlineStr">
        <is>
          <t>Same Month Expiry</t>
        </is>
      </c>
      <c r="K680" s="25" t="n">
        <v>2534040</v>
      </c>
      <c r="L680" s="26" t="n">
        <v>4586.6392</v>
      </c>
      <c r="M680" s="26" t="n">
        <v>25.4767</v>
      </c>
    </row>
    <row r="681" ht="16" customHeight="1">
      <c r="A681" t="inlineStr">
        <is>
          <t>12-Feb-2026</t>
        </is>
      </c>
      <c r="B681" t="inlineStr">
        <is>
          <t>Thursday</t>
        </is>
      </c>
      <c r="C681" t="inlineStr">
        <is>
          <t>Week2-Feb-2026</t>
        </is>
      </c>
      <c r="D681" s="78" t="n">
        <v>46054</v>
      </c>
      <c r="E681" t="inlineStr">
        <is>
          <t>Q4FY26</t>
        </is>
      </c>
      <c r="F681" t="inlineStr">
        <is>
          <t>30-Mar-2026</t>
        </is>
      </c>
      <c r="G681" t="inlineStr">
        <is>
          <t>Monday</t>
        </is>
      </c>
      <c r="H681" t="inlineStr">
        <is>
          <t>Monthly - Monday</t>
        </is>
      </c>
      <c r="I681" t="inlineStr">
        <is>
          <t>Monthly - Monday</t>
        </is>
      </c>
      <c r="J681" t="inlineStr">
        <is>
          <t>Month+1 Expiry</t>
        </is>
      </c>
      <c r="K681" s="25" t="n">
        <v>54955</v>
      </c>
      <c r="L681" s="26" t="n">
        <v>98.8479</v>
      </c>
      <c r="M681" s="26" t="n">
        <v>0.8643</v>
      </c>
    </row>
    <row r="682" ht="16" customHeight="1">
      <c r="A682" t="inlineStr">
        <is>
          <t>12-Feb-2026</t>
        </is>
      </c>
      <c r="B682" t="inlineStr">
        <is>
          <t>Thursday</t>
        </is>
      </c>
      <c r="C682" t="inlineStr">
        <is>
          <t>Week2-Feb-2026</t>
        </is>
      </c>
      <c r="D682" s="78" t="n">
        <v>46054</v>
      </c>
      <c r="E682" t="inlineStr">
        <is>
          <t>Q4FY26</t>
        </is>
      </c>
      <c r="F682" t="inlineStr">
        <is>
          <t>28-Apr-2026</t>
        </is>
      </c>
      <c r="G682" t="inlineStr">
        <is>
          <t>Tuesday</t>
        </is>
      </c>
      <c r="H682" t="inlineStr">
        <is>
          <t>Monthly - Tuesday</t>
        </is>
      </c>
      <c r="I682" t="inlineStr">
        <is>
          <t>Monthly - Tuesday</t>
        </is>
      </c>
      <c r="J682" t="inlineStr">
        <is>
          <t>Month+2 Expiry</t>
        </is>
      </c>
      <c r="K682" s="25" t="n">
        <v>3366</v>
      </c>
      <c r="L682" s="26" t="n">
        <v>6.1488</v>
      </c>
      <c r="M682" s="26" t="n">
        <v>0.0772</v>
      </c>
    </row>
    <row r="683" ht="16" customHeight="1">
      <c r="A683" t="inlineStr">
        <is>
          <t>12-Feb-2026</t>
        </is>
      </c>
      <c r="B683" t="inlineStr">
        <is>
          <t>Thursday</t>
        </is>
      </c>
      <c r="C683" t="inlineStr">
        <is>
          <t>Week2-Feb-2026</t>
        </is>
      </c>
      <c r="D683" s="78" t="n">
        <v>46054</v>
      </c>
      <c r="E683" t="inlineStr">
        <is>
          <t>Q4FY26</t>
        </is>
      </c>
      <c r="F683" t="inlineStr">
        <is>
          <t>30-Jun-2026</t>
        </is>
      </c>
      <c r="G683" t="inlineStr">
        <is>
          <t>Tuesday</t>
        </is>
      </c>
      <c r="H683" t="inlineStr">
        <is>
          <t>Monthly - Tuesday</t>
        </is>
      </c>
      <c r="I683" t="inlineStr">
        <is>
          <t>Monthly - Tuesday</t>
        </is>
      </c>
      <c r="J683" t="inlineStr">
        <is>
          <t>Month+4 Expiry</t>
        </is>
      </c>
      <c r="K683" s="25" t="n">
        <v>59</v>
      </c>
      <c r="L683" s="26" t="n">
        <v>0.1059</v>
      </c>
      <c r="M683" s="26" t="n">
        <v>0.0013</v>
      </c>
    </row>
    <row r="684" ht="16" customHeight="1">
      <c r="A684" t="inlineStr">
        <is>
          <t>12-Feb-2026</t>
        </is>
      </c>
      <c r="B684" t="inlineStr">
        <is>
          <t>Thursday</t>
        </is>
      </c>
      <c r="C684" t="inlineStr">
        <is>
          <t>Week2-Feb-2026</t>
        </is>
      </c>
      <c r="D684" s="78" t="n">
        <v>46054</v>
      </c>
      <c r="E684" t="inlineStr">
        <is>
          <t>Q4FY26</t>
        </is>
      </c>
      <c r="F684" t="inlineStr">
        <is>
          <t>29-Sep-2026</t>
        </is>
      </c>
      <c r="G684" t="inlineStr">
        <is>
          <t>Tuesday</t>
        </is>
      </c>
      <c r="H684" t="inlineStr">
        <is>
          <t>Monthly - Tuesday</t>
        </is>
      </c>
      <c r="I684" t="inlineStr">
        <is>
          <t>Monthly - Tuesday</t>
        </is>
      </c>
      <c r="J684" t="inlineStr">
        <is>
          <t>Month+7 Expiry</t>
        </is>
      </c>
      <c r="K684" s="25" t="n">
        <v>0</v>
      </c>
      <c r="L684" s="26" t="n">
        <v>0</v>
      </c>
      <c r="M684" s="26" t="n">
        <v>0</v>
      </c>
    </row>
    <row r="685" ht="16" customHeight="1">
      <c r="A685" t="inlineStr">
        <is>
          <t>12-Feb-2026</t>
        </is>
      </c>
      <c r="B685" t="inlineStr">
        <is>
          <t>Thursday</t>
        </is>
      </c>
      <c r="C685" t="inlineStr">
        <is>
          <t>Week2-Feb-2026</t>
        </is>
      </c>
      <c r="D685" s="78" t="n">
        <v>46054</v>
      </c>
      <c r="E685" t="inlineStr">
        <is>
          <t>Q4FY26</t>
        </is>
      </c>
      <c r="F685" t="inlineStr">
        <is>
          <t>29-Dec-2026</t>
        </is>
      </c>
      <c r="G685" t="inlineStr">
        <is>
          <t>Tuesday</t>
        </is>
      </c>
      <c r="H685" t="inlineStr">
        <is>
          <t>Monthly - Tuesday</t>
        </is>
      </c>
      <c r="I685" t="inlineStr">
        <is>
          <t>Monthly - Tuesday</t>
        </is>
      </c>
      <c r="J685" t="inlineStr">
        <is>
          <t>Month+10 Expiry</t>
        </is>
      </c>
      <c r="K685" s="25" t="n">
        <v>0</v>
      </c>
      <c r="L685" s="26" t="n">
        <v>0</v>
      </c>
      <c r="M685" s="26" t="n">
        <v>0</v>
      </c>
    </row>
    <row r="686" ht="16" customHeight="1">
      <c r="A686" t="inlineStr">
        <is>
          <t>13-Feb-2026</t>
        </is>
      </c>
      <c r="B686" t="inlineStr">
        <is>
          <t>Friday</t>
        </is>
      </c>
      <c r="C686" t="inlineStr">
        <is>
          <t>Week2-Feb-2026</t>
        </is>
      </c>
      <c r="D686" s="78" t="n">
        <v>46054</v>
      </c>
      <c r="E686" t="inlineStr">
        <is>
          <t>Q4FY26</t>
        </is>
      </c>
      <c r="F686" t="inlineStr">
        <is>
          <t>24-Feb-2026</t>
        </is>
      </c>
      <c r="G686" t="inlineStr">
        <is>
          <t>Tuesday</t>
        </is>
      </c>
      <c r="H686" t="inlineStr">
        <is>
          <t>Monthly - Tuesday</t>
        </is>
      </c>
      <c r="I686" t="inlineStr">
        <is>
          <t>Monthly - Tuesday</t>
        </is>
      </c>
      <c r="J686" t="inlineStr">
        <is>
          <t>Same Month Expiry</t>
        </is>
      </c>
      <c r="K686" s="25" t="n">
        <v>3531486</v>
      </c>
      <c r="L686" s="26" t="n">
        <v>6349.5142</v>
      </c>
      <c r="M686" s="26" t="n">
        <v>34.4765</v>
      </c>
    </row>
    <row r="687" ht="16" customHeight="1">
      <c r="A687" t="inlineStr">
        <is>
          <t>13-Feb-2026</t>
        </is>
      </c>
      <c r="B687" t="inlineStr">
        <is>
          <t>Friday</t>
        </is>
      </c>
      <c r="C687" t="inlineStr">
        <is>
          <t>Week2-Feb-2026</t>
        </is>
      </c>
      <c r="D687" s="78" t="n">
        <v>46054</v>
      </c>
      <c r="E687" t="inlineStr">
        <is>
          <t>Q4FY26</t>
        </is>
      </c>
      <c r="F687" t="inlineStr">
        <is>
          <t>30-Mar-2026</t>
        </is>
      </c>
      <c r="G687" t="inlineStr">
        <is>
          <t>Monday</t>
        </is>
      </c>
      <c r="H687" t="inlineStr">
        <is>
          <t>Monthly - Monday</t>
        </is>
      </c>
      <c r="I687" t="inlineStr">
        <is>
          <t>Monthly - Monday</t>
        </is>
      </c>
      <c r="J687" t="inlineStr">
        <is>
          <t>Month+1 Expiry</t>
        </is>
      </c>
      <c r="K687" s="25" t="n">
        <v>102674</v>
      </c>
      <c r="L687" s="26" t="n">
        <v>186.6546</v>
      </c>
      <c r="M687" s="26" t="n">
        <v>1.7657</v>
      </c>
    </row>
    <row r="688" ht="16" customHeight="1">
      <c r="A688" t="inlineStr">
        <is>
          <t>13-Feb-2026</t>
        </is>
      </c>
      <c r="B688" t="inlineStr">
        <is>
          <t>Friday</t>
        </is>
      </c>
      <c r="C688" t="inlineStr">
        <is>
          <t>Week2-Feb-2026</t>
        </is>
      </c>
      <c r="D688" s="78" t="n">
        <v>46054</v>
      </c>
      <c r="E688" t="inlineStr">
        <is>
          <t>Q4FY26</t>
        </is>
      </c>
      <c r="F688" t="inlineStr">
        <is>
          <t>28-Apr-2026</t>
        </is>
      </c>
      <c r="G688" t="inlineStr">
        <is>
          <t>Tuesday</t>
        </is>
      </c>
      <c r="H688" t="inlineStr">
        <is>
          <t>Monthly - Tuesday</t>
        </is>
      </c>
      <c r="I688" t="inlineStr">
        <is>
          <t>Monthly - Tuesday</t>
        </is>
      </c>
      <c r="J688" t="inlineStr">
        <is>
          <t>Month+2 Expiry</t>
        </is>
      </c>
      <c r="K688" s="25" t="n">
        <v>5415</v>
      </c>
      <c r="L688" s="26" t="n">
        <v>9.7994</v>
      </c>
      <c r="M688" s="26" t="n">
        <v>0.0975</v>
      </c>
    </row>
    <row r="689" ht="16" customHeight="1">
      <c r="A689" t="inlineStr">
        <is>
          <t>13-Feb-2026</t>
        </is>
      </c>
      <c r="B689" t="inlineStr">
        <is>
          <t>Friday</t>
        </is>
      </c>
      <c r="C689" t="inlineStr">
        <is>
          <t>Week2-Feb-2026</t>
        </is>
      </c>
      <c r="D689" s="78" t="n">
        <v>46054</v>
      </c>
      <c r="E689" t="inlineStr">
        <is>
          <t>Q4FY26</t>
        </is>
      </c>
      <c r="F689" t="inlineStr">
        <is>
          <t>30-Jun-2026</t>
        </is>
      </c>
      <c r="G689" t="inlineStr">
        <is>
          <t>Tuesday</t>
        </is>
      </c>
      <c r="H689" t="inlineStr">
        <is>
          <t>Monthly - Tuesday</t>
        </is>
      </c>
      <c r="I689" t="inlineStr">
        <is>
          <t>Monthly - Tuesday</t>
        </is>
      </c>
      <c r="J689" t="inlineStr">
        <is>
          <t>Month+4 Expiry</t>
        </is>
      </c>
      <c r="K689" s="25" t="n">
        <v>123</v>
      </c>
      <c r="L689" s="26" t="n">
        <v>0.2228</v>
      </c>
      <c r="M689" s="26" t="n">
        <v>0.0034</v>
      </c>
    </row>
    <row r="690" ht="16" customHeight="1">
      <c r="A690" t="inlineStr">
        <is>
          <t>13-Feb-2026</t>
        </is>
      </c>
      <c r="B690" t="inlineStr">
        <is>
          <t>Friday</t>
        </is>
      </c>
      <c r="C690" t="inlineStr">
        <is>
          <t>Week2-Feb-2026</t>
        </is>
      </c>
      <c r="D690" s="78" t="n">
        <v>46054</v>
      </c>
      <c r="E690" t="inlineStr">
        <is>
          <t>Q4FY26</t>
        </is>
      </c>
      <c r="F690" t="inlineStr">
        <is>
          <t>29-Sep-2026</t>
        </is>
      </c>
      <c r="G690" t="inlineStr">
        <is>
          <t>Tuesday</t>
        </is>
      </c>
      <c r="H690" t="inlineStr">
        <is>
          <t>Monthly - Tuesday</t>
        </is>
      </c>
      <c r="I690" t="inlineStr">
        <is>
          <t>Monthly - Tuesday</t>
        </is>
      </c>
      <c r="J690" t="inlineStr">
        <is>
          <t>Month+7 Expiry</t>
        </is>
      </c>
      <c r="K690" s="25" t="n">
        <v>0</v>
      </c>
      <c r="L690" s="26" t="n">
        <v>0</v>
      </c>
      <c r="M690" s="26" t="n">
        <v>0</v>
      </c>
    </row>
    <row r="691" ht="16" customHeight="1">
      <c r="A691" t="inlineStr">
        <is>
          <t>13-Feb-2026</t>
        </is>
      </c>
      <c r="B691" t="inlineStr">
        <is>
          <t>Friday</t>
        </is>
      </c>
      <c r="C691" t="inlineStr">
        <is>
          <t>Week2-Feb-2026</t>
        </is>
      </c>
      <c r="D691" s="78" t="n">
        <v>46054</v>
      </c>
      <c r="E691" t="inlineStr">
        <is>
          <t>Q4FY26</t>
        </is>
      </c>
      <c r="F691" t="inlineStr">
        <is>
          <t>29-Dec-2026</t>
        </is>
      </c>
      <c r="G691" t="inlineStr">
        <is>
          <t>Tuesday</t>
        </is>
      </c>
      <c r="H691" t="inlineStr">
        <is>
          <t>Monthly - Tuesday</t>
        </is>
      </c>
      <c r="I691" t="inlineStr">
        <is>
          <t>Monthly - Tuesday</t>
        </is>
      </c>
      <c r="J691" t="inlineStr">
        <is>
          <t>Month+10 Expiry</t>
        </is>
      </c>
      <c r="K691" s="25" t="n">
        <v>0</v>
      </c>
      <c r="L691" s="26" t="n">
        <v>0</v>
      </c>
      <c r="M691" s="26" t="n">
        <v>0</v>
      </c>
    </row>
    <row r="692" ht="16" customHeight="1">
      <c r="A692" t="inlineStr">
        <is>
          <t>16-Feb-2026</t>
        </is>
      </c>
      <c r="B692" t="inlineStr">
        <is>
          <t>Monday</t>
        </is>
      </c>
      <c r="C692" t="inlineStr">
        <is>
          <t>Week3-Feb-2026</t>
        </is>
      </c>
      <c r="D692" s="78" t="n">
        <v>46054</v>
      </c>
      <c r="E692" t="inlineStr">
        <is>
          <t>Q4FY26</t>
        </is>
      </c>
      <c r="F692" t="inlineStr">
        <is>
          <t>24-Feb-2026</t>
        </is>
      </c>
      <c r="G692" t="inlineStr">
        <is>
          <t>Tuesday</t>
        </is>
      </c>
      <c r="H692" t="inlineStr">
        <is>
          <t>Monthly - Tuesday</t>
        </is>
      </c>
      <c r="I692" t="inlineStr">
        <is>
          <t>Monthly - Tuesday</t>
        </is>
      </c>
      <c r="J692" t="inlineStr">
        <is>
          <t>Same Month Expiry</t>
        </is>
      </c>
      <c r="K692" s="25" t="n">
        <v>4350327</v>
      </c>
      <c r="L692" s="26" t="n">
        <v>7864.8048</v>
      </c>
      <c r="M692" s="26" t="n">
        <v>41.1772</v>
      </c>
    </row>
    <row r="693" ht="16" customHeight="1">
      <c r="A693" t="inlineStr">
        <is>
          <t>16-Feb-2026</t>
        </is>
      </c>
      <c r="B693" t="inlineStr">
        <is>
          <t>Monday</t>
        </is>
      </c>
      <c r="C693" t="inlineStr">
        <is>
          <t>Week3-Feb-2026</t>
        </is>
      </c>
      <c r="D693" s="78" t="n">
        <v>46054</v>
      </c>
      <c r="E693" t="inlineStr">
        <is>
          <t>Q4FY26</t>
        </is>
      </c>
      <c r="F693" t="inlineStr">
        <is>
          <t>30-Mar-2026</t>
        </is>
      </c>
      <c r="G693" t="inlineStr">
        <is>
          <t>Monday</t>
        </is>
      </c>
      <c r="H693" t="inlineStr">
        <is>
          <t>Monthly - Monday</t>
        </is>
      </c>
      <c r="I693" t="inlineStr">
        <is>
          <t>Monthly - Monday</t>
        </is>
      </c>
      <c r="J693" t="inlineStr">
        <is>
          <t>Month+1 Expiry</t>
        </is>
      </c>
      <c r="K693" s="25" t="n">
        <v>132760</v>
      </c>
      <c r="L693" s="26" t="n">
        <v>241.7946</v>
      </c>
      <c r="M693" s="26" t="n">
        <v>2.4652</v>
      </c>
    </row>
    <row r="694" ht="16" customHeight="1">
      <c r="A694" t="inlineStr">
        <is>
          <t>16-Feb-2026</t>
        </is>
      </c>
      <c r="B694" t="inlineStr">
        <is>
          <t>Monday</t>
        </is>
      </c>
      <c r="C694" t="inlineStr">
        <is>
          <t>Week3-Feb-2026</t>
        </is>
      </c>
      <c r="D694" s="78" t="n">
        <v>46054</v>
      </c>
      <c r="E694" t="inlineStr">
        <is>
          <t>Q4FY26</t>
        </is>
      </c>
      <c r="F694" t="inlineStr">
        <is>
          <t>28-Apr-2026</t>
        </is>
      </c>
      <c r="G694" t="inlineStr">
        <is>
          <t>Tuesday</t>
        </is>
      </c>
      <c r="H694" t="inlineStr">
        <is>
          <t>Monthly - Tuesday</t>
        </is>
      </c>
      <c r="I694" t="inlineStr">
        <is>
          <t>Monthly - Tuesday</t>
        </is>
      </c>
      <c r="J694" t="inlineStr">
        <is>
          <t>Month+2 Expiry</t>
        </is>
      </c>
      <c r="K694" s="25" t="n">
        <v>7394</v>
      </c>
      <c r="L694" s="26" t="n">
        <v>13.5887</v>
      </c>
      <c r="M694" s="26" t="n">
        <v>0.182</v>
      </c>
    </row>
    <row r="695" ht="16" customHeight="1">
      <c r="A695" t="inlineStr">
        <is>
          <t>16-Feb-2026</t>
        </is>
      </c>
      <c r="B695" t="inlineStr">
        <is>
          <t>Monday</t>
        </is>
      </c>
      <c r="C695" t="inlineStr">
        <is>
          <t>Week3-Feb-2026</t>
        </is>
      </c>
      <c r="D695" s="78" t="n">
        <v>46054</v>
      </c>
      <c r="E695" t="inlineStr">
        <is>
          <t>Q4FY26</t>
        </is>
      </c>
      <c r="F695" t="inlineStr">
        <is>
          <t>30-Jun-2026</t>
        </is>
      </c>
      <c r="G695" t="inlineStr">
        <is>
          <t>Tuesday</t>
        </is>
      </c>
      <c r="H695" t="inlineStr">
        <is>
          <t>Monthly - Tuesday</t>
        </is>
      </c>
      <c r="I695" t="inlineStr">
        <is>
          <t>Monthly - Tuesday</t>
        </is>
      </c>
      <c r="J695" t="inlineStr">
        <is>
          <t>Month+4 Expiry</t>
        </is>
      </c>
      <c r="K695" s="25" t="n">
        <v>176</v>
      </c>
      <c r="L695" s="26" t="n">
        <v>0.321</v>
      </c>
      <c r="M695" s="26" t="n">
        <v>0.0055</v>
      </c>
    </row>
    <row r="696" ht="16" customHeight="1">
      <c r="A696" t="inlineStr">
        <is>
          <t>16-Feb-2026</t>
        </is>
      </c>
      <c r="B696" t="inlineStr">
        <is>
          <t>Monday</t>
        </is>
      </c>
      <c r="C696" t="inlineStr">
        <is>
          <t>Week3-Feb-2026</t>
        </is>
      </c>
      <c r="D696" s="78" t="n">
        <v>46054</v>
      </c>
      <c r="E696" t="inlineStr">
        <is>
          <t>Q4FY26</t>
        </is>
      </c>
      <c r="F696" t="inlineStr">
        <is>
          <t>29-Sep-2026</t>
        </is>
      </c>
      <c r="G696" t="inlineStr">
        <is>
          <t>Tuesday</t>
        </is>
      </c>
      <c r="H696" t="inlineStr">
        <is>
          <t>Monthly - Tuesday</t>
        </is>
      </c>
      <c r="I696" t="inlineStr">
        <is>
          <t>Monthly - Tuesday</t>
        </is>
      </c>
      <c r="J696" t="inlineStr">
        <is>
          <t>Month+7 Expiry</t>
        </is>
      </c>
      <c r="K696" s="25" t="n">
        <v>0</v>
      </c>
      <c r="L696" s="26" t="n">
        <v>0</v>
      </c>
      <c r="M696" s="26" t="n">
        <v>0</v>
      </c>
    </row>
    <row r="697" ht="16" customHeight="1">
      <c r="A697" t="inlineStr">
        <is>
          <t>16-Feb-2026</t>
        </is>
      </c>
      <c r="B697" t="inlineStr">
        <is>
          <t>Monday</t>
        </is>
      </c>
      <c r="C697" t="inlineStr">
        <is>
          <t>Week3-Feb-2026</t>
        </is>
      </c>
      <c r="D697" s="78" t="n">
        <v>46054</v>
      </c>
      <c r="E697" t="inlineStr">
        <is>
          <t>Q4FY26</t>
        </is>
      </c>
      <c r="F697" t="inlineStr">
        <is>
          <t>29-Dec-2026</t>
        </is>
      </c>
      <c r="G697" t="inlineStr">
        <is>
          <t>Tuesday</t>
        </is>
      </c>
      <c r="H697" t="inlineStr">
        <is>
          <t>Monthly - Tuesday</t>
        </is>
      </c>
      <c r="I697" t="inlineStr">
        <is>
          <t>Monthly - Tuesday</t>
        </is>
      </c>
      <c r="J697" t="inlineStr">
        <is>
          <t>Month+10 Expiry</t>
        </is>
      </c>
      <c r="K697" s="25" t="n">
        <v>0</v>
      </c>
      <c r="L697" s="26" t="n">
        <v>0</v>
      </c>
      <c r="M697" s="26" t="n">
        <v>0</v>
      </c>
    </row>
    <row r="698" ht="16" customHeight="1">
      <c r="A698" t="inlineStr">
        <is>
          <t>17-Feb-2026</t>
        </is>
      </c>
      <c r="B698" t="inlineStr">
        <is>
          <t>Tuesday</t>
        </is>
      </c>
      <c r="C698" t="inlineStr">
        <is>
          <t>Week3-Feb-2026</t>
        </is>
      </c>
      <c r="D698" s="78" t="n">
        <v>46054</v>
      </c>
      <c r="E698" t="inlineStr">
        <is>
          <t>Q4FY26</t>
        </is>
      </c>
      <c r="F698" t="inlineStr">
        <is>
          <t>24-Feb-2026</t>
        </is>
      </c>
      <c r="G698" t="inlineStr">
        <is>
          <t>Tuesday</t>
        </is>
      </c>
      <c r="H698" t="inlineStr">
        <is>
          <t>Monthly - Tuesday</t>
        </is>
      </c>
      <c r="I698" t="inlineStr">
        <is>
          <t>Monthly - Tuesday</t>
        </is>
      </c>
      <c r="J698" t="inlineStr">
        <is>
          <t>Same Month Expiry</t>
        </is>
      </c>
      <c r="K698" s="25" t="n">
        <v>4695879</v>
      </c>
      <c r="L698" s="26" t="n">
        <v>8499.4481</v>
      </c>
      <c r="M698" s="26" t="n">
        <v>39.1683</v>
      </c>
    </row>
    <row r="699" ht="16" customHeight="1">
      <c r="A699" t="inlineStr">
        <is>
          <t>17-Feb-2026</t>
        </is>
      </c>
      <c r="B699" t="inlineStr">
        <is>
          <t>Tuesday</t>
        </is>
      </c>
      <c r="C699" t="inlineStr">
        <is>
          <t>Week3-Feb-2026</t>
        </is>
      </c>
      <c r="D699" s="78" t="n">
        <v>46054</v>
      </c>
      <c r="E699" t="inlineStr">
        <is>
          <t>Q4FY26</t>
        </is>
      </c>
      <c r="F699" t="inlineStr">
        <is>
          <t>30-Mar-2026</t>
        </is>
      </c>
      <c r="G699" t="inlineStr">
        <is>
          <t>Monday</t>
        </is>
      </c>
      <c r="H699" t="inlineStr">
        <is>
          <t>Monthly - Monday</t>
        </is>
      </c>
      <c r="I699" t="inlineStr">
        <is>
          <t>Monthly - Monday</t>
        </is>
      </c>
      <c r="J699" t="inlineStr">
        <is>
          <t>Month+1 Expiry</t>
        </is>
      </c>
      <c r="K699" s="25" t="n">
        <v>181804</v>
      </c>
      <c r="L699" s="26" t="n">
        <v>333.7069</v>
      </c>
      <c r="M699" s="26" t="n">
        <v>3.6591</v>
      </c>
    </row>
    <row r="700" ht="16" customHeight="1">
      <c r="A700" t="inlineStr">
        <is>
          <t>17-Feb-2026</t>
        </is>
      </c>
      <c r="B700" t="inlineStr">
        <is>
          <t>Tuesday</t>
        </is>
      </c>
      <c r="C700" t="inlineStr">
        <is>
          <t>Week3-Feb-2026</t>
        </is>
      </c>
      <c r="D700" s="78" t="n">
        <v>46054</v>
      </c>
      <c r="E700" t="inlineStr">
        <is>
          <t>Q4FY26</t>
        </is>
      </c>
      <c r="F700" t="inlineStr">
        <is>
          <t>28-Apr-2026</t>
        </is>
      </c>
      <c r="G700" t="inlineStr">
        <is>
          <t>Tuesday</t>
        </is>
      </c>
      <c r="H700" t="inlineStr">
        <is>
          <t>Monthly - Tuesday</t>
        </is>
      </c>
      <c r="I700" t="inlineStr">
        <is>
          <t>Monthly - Tuesday</t>
        </is>
      </c>
      <c r="J700" t="inlineStr">
        <is>
          <t>Month+2 Expiry</t>
        </is>
      </c>
      <c r="K700" s="25" t="n">
        <v>7836</v>
      </c>
      <c r="L700" s="26" t="n">
        <v>14.4356</v>
      </c>
      <c r="M700" s="26" t="n">
        <v>0.1899</v>
      </c>
    </row>
    <row r="701" ht="16" customHeight="1">
      <c r="A701" t="inlineStr">
        <is>
          <t>17-Feb-2026</t>
        </is>
      </c>
      <c r="B701" t="inlineStr">
        <is>
          <t>Tuesday</t>
        </is>
      </c>
      <c r="C701" t="inlineStr">
        <is>
          <t>Week3-Feb-2026</t>
        </is>
      </c>
      <c r="D701" s="78" t="n">
        <v>46054</v>
      </c>
      <c r="E701" t="inlineStr">
        <is>
          <t>Q4FY26</t>
        </is>
      </c>
      <c r="F701" t="inlineStr">
        <is>
          <t>30-Jun-2026</t>
        </is>
      </c>
      <c r="G701" t="inlineStr">
        <is>
          <t>Tuesday</t>
        </is>
      </c>
      <c r="H701" t="inlineStr">
        <is>
          <t>Monthly - Tuesday</t>
        </is>
      </c>
      <c r="I701" t="inlineStr">
        <is>
          <t>Monthly - Tuesday</t>
        </is>
      </c>
      <c r="J701" t="inlineStr">
        <is>
          <t>Month+4 Expiry</t>
        </is>
      </c>
      <c r="K701" s="25" t="n">
        <v>205</v>
      </c>
      <c r="L701" s="26" t="n">
        <v>0.3712</v>
      </c>
      <c r="M701" s="26" t="n">
        <v>0.0055</v>
      </c>
    </row>
    <row r="702" ht="16" customHeight="1">
      <c r="A702" t="inlineStr">
        <is>
          <t>17-Feb-2026</t>
        </is>
      </c>
      <c r="B702" t="inlineStr">
        <is>
          <t>Tuesday</t>
        </is>
      </c>
      <c r="C702" t="inlineStr">
        <is>
          <t>Week3-Feb-2026</t>
        </is>
      </c>
      <c r="D702" s="78" t="n">
        <v>46054</v>
      </c>
      <c r="E702" t="inlineStr">
        <is>
          <t>Q4FY26</t>
        </is>
      </c>
      <c r="F702" t="inlineStr">
        <is>
          <t>29-Sep-2026</t>
        </is>
      </c>
      <c r="G702" t="inlineStr">
        <is>
          <t>Tuesday</t>
        </is>
      </c>
      <c r="H702" t="inlineStr">
        <is>
          <t>Monthly - Tuesday</t>
        </is>
      </c>
      <c r="I702" t="inlineStr">
        <is>
          <t>Monthly - Tuesday</t>
        </is>
      </c>
      <c r="J702" t="inlineStr">
        <is>
          <t>Month+7 Expiry</t>
        </is>
      </c>
      <c r="K702" s="25" t="n">
        <v>0</v>
      </c>
      <c r="L702" s="26" t="n">
        <v>0</v>
      </c>
      <c r="M702" s="26" t="n">
        <v>0</v>
      </c>
    </row>
    <row r="703" ht="16" customHeight="1">
      <c r="A703" t="inlineStr">
        <is>
          <t>17-Feb-2026</t>
        </is>
      </c>
      <c r="B703" t="inlineStr">
        <is>
          <t>Tuesday</t>
        </is>
      </c>
      <c r="C703" t="inlineStr">
        <is>
          <t>Week3-Feb-2026</t>
        </is>
      </c>
      <c r="D703" s="78" t="n">
        <v>46054</v>
      </c>
      <c r="E703" t="inlineStr">
        <is>
          <t>Q4FY26</t>
        </is>
      </c>
      <c r="F703" t="inlineStr">
        <is>
          <t>29-Dec-2026</t>
        </is>
      </c>
      <c r="G703" t="inlineStr">
        <is>
          <t>Tuesday</t>
        </is>
      </c>
      <c r="H703" t="inlineStr">
        <is>
          <t>Monthly - Tuesday</t>
        </is>
      </c>
      <c r="I703" t="inlineStr">
        <is>
          <t>Monthly - Tuesday</t>
        </is>
      </c>
      <c r="J703" t="inlineStr">
        <is>
          <t>Month+10 Expiry</t>
        </is>
      </c>
      <c r="K703" s="25" t="n">
        <v>0</v>
      </c>
      <c r="L703" s="26" t="n">
        <v>0</v>
      </c>
      <c r="M703" s="26" t="n">
        <v>0</v>
      </c>
    </row>
    <row r="704" ht="16" customHeight="1">
      <c r="A704" t="inlineStr">
        <is>
          <t>18-Feb-2026</t>
        </is>
      </c>
      <c r="B704" t="inlineStr">
        <is>
          <t>Wednesday</t>
        </is>
      </c>
      <c r="C704" t="inlineStr">
        <is>
          <t>Week3-Feb-2026</t>
        </is>
      </c>
      <c r="D704" s="78" t="n">
        <v>46054</v>
      </c>
      <c r="E704" t="inlineStr">
        <is>
          <t>Q4FY26</t>
        </is>
      </c>
      <c r="F704" t="inlineStr">
        <is>
          <t>24-Feb-2026</t>
        </is>
      </c>
      <c r="G704" t="inlineStr">
        <is>
          <t>Tuesday</t>
        </is>
      </c>
      <c r="H704" t="inlineStr">
        <is>
          <t>Monthly - Tuesday</t>
        </is>
      </c>
      <c r="I704" t="inlineStr">
        <is>
          <t>Monthly - Tuesday</t>
        </is>
      </c>
      <c r="J704" t="inlineStr">
        <is>
          <t>Same Month Expiry</t>
        </is>
      </c>
      <c r="K704" s="25" t="n">
        <v>6187632</v>
      </c>
      <c r="L704" s="26" t="n">
        <v>11201.2294</v>
      </c>
      <c r="M704" s="26" t="n">
        <v>42.3843</v>
      </c>
    </row>
    <row r="705" ht="16" customHeight="1">
      <c r="A705" t="inlineStr">
        <is>
          <t>18-Feb-2026</t>
        </is>
      </c>
      <c r="B705" t="inlineStr">
        <is>
          <t>Wednesday</t>
        </is>
      </c>
      <c r="C705" t="inlineStr">
        <is>
          <t>Week3-Feb-2026</t>
        </is>
      </c>
      <c r="D705" s="78" t="n">
        <v>46054</v>
      </c>
      <c r="E705" t="inlineStr">
        <is>
          <t>Q4FY26</t>
        </is>
      </c>
      <c r="F705" t="inlineStr">
        <is>
          <t>30-Mar-2026</t>
        </is>
      </c>
      <c r="G705" t="inlineStr">
        <is>
          <t>Monday</t>
        </is>
      </c>
      <c r="H705" t="inlineStr">
        <is>
          <t>Monthly - Monday</t>
        </is>
      </c>
      <c r="I705" t="inlineStr">
        <is>
          <t>Monthly - Monday</t>
        </is>
      </c>
      <c r="J705" t="inlineStr">
        <is>
          <t>Month+1 Expiry</t>
        </is>
      </c>
      <c r="K705" s="25" t="n">
        <v>238935</v>
      </c>
      <c r="L705" s="26" t="n">
        <v>438.0108</v>
      </c>
      <c r="M705" s="26" t="n">
        <v>4.1657</v>
      </c>
    </row>
    <row r="706" ht="16" customHeight="1">
      <c r="A706" t="inlineStr">
        <is>
          <t>18-Feb-2026</t>
        </is>
      </c>
      <c r="B706" t="inlineStr">
        <is>
          <t>Wednesday</t>
        </is>
      </c>
      <c r="C706" t="inlineStr">
        <is>
          <t>Week3-Feb-2026</t>
        </is>
      </c>
      <c r="D706" s="78" t="n">
        <v>46054</v>
      </c>
      <c r="E706" t="inlineStr">
        <is>
          <t>Q4FY26</t>
        </is>
      </c>
      <c r="F706" t="inlineStr">
        <is>
          <t>28-Apr-2026</t>
        </is>
      </c>
      <c r="G706" t="inlineStr">
        <is>
          <t>Tuesday</t>
        </is>
      </c>
      <c r="H706" t="inlineStr">
        <is>
          <t>Monthly - Tuesday</t>
        </is>
      </c>
      <c r="I706" t="inlineStr">
        <is>
          <t>Monthly - Tuesday</t>
        </is>
      </c>
      <c r="J706" t="inlineStr">
        <is>
          <t>Month+2 Expiry</t>
        </is>
      </c>
      <c r="K706" s="25" t="n">
        <v>9490</v>
      </c>
      <c r="L706" s="26" t="n">
        <v>17.5173</v>
      </c>
      <c r="M706" s="26" t="n">
        <v>0.2504</v>
      </c>
    </row>
    <row r="707" ht="16" customHeight="1">
      <c r="A707" t="inlineStr">
        <is>
          <t>18-Feb-2026</t>
        </is>
      </c>
      <c r="B707" t="inlineStr">
        <is>
          <t>Wednesday</t>
        </is>
      </c>
      <c r="C707" t="inlineStr">
        <is>
          <t>Week3-Feb-2026</t>
        </is>
      </c>
      <c r="D707" s="78" t="n">
        <v>46054</v>
      </c>
      <c r="E707" t="inlineStr">
        <is>
          <t>Q4FY26</t>
        </is>
      </c>
      <c r="F707" t="inlineStr">
        <is>
          <t>30-Jun-2026</t>
        </is>
      </c>
      <c r="G707" t="inlineStr">
        <is>
          <t>Tuesday</t>
        </is>
      </c>
      <c r="H707" t="inlineStr">
        <is>
          <t>Monthly - Tuesday</t>
        </is>
      </c>
      <c r="I707" t="inlineStr">
        <is>
          <t>Monthly - Tuesday</t>
        </is>
      </c>
      <c r="J707" t="inlineStr">
        <is>
          <t>Month+4 Expiry</t>
        </is>
      </c>
      <c r="K707" s="25" t="n">
        <v>204</v>
      </c>
      <c r="L707" s="26" t="n">
        <v>0.3719</v>
      </c>
      <c r="M707" s="26" t="n">
        <v>0.0074</v>
      </c>
    </row>
    <row r="708" ht="16" customHeight="1">
      <c r="A708" t="inlineStr">
        <is>
          <t>18-Feb-2026</t>
        </is>
      </c>
      <c r="B708" t="inlineStr">
        <is>
          <t>Wednesday</t>
        </is>
      </c>
      <c r="C708" t="inlineStr">
        <is>
          <t>Week3-Feb-2026</t>
        </is>
      </c>
      <c r="D708" s="78" t="n">
        <v>46054</v>
      </c>
      <c r="E708" t="inlineStr">
        <is>
          <t>Q4FY26</t>
        </is>
      </c>
      <c r="F708" t="inlineStr">
        <is>
          <t>29-Sep-2026</t>
        </is>
      </c>
      <c r="G708" t="inlineStr">
        <is>
          <t>Tuesday</t>
        </is>
      </c>
      <c r="H708" t="inlineStr">
        <is>
          <t>Monthly - Tuesday</t>
        </is>
      </c>
      <c r="I708" t="inlineStr">
        <is>
          <t>Monthly - Tuesday</t>
        </is>
      </c>
      <c r="J708" t="inlineStr">
        <is>
          <t>Month+7 Expiry</t>
        </is>
      </c>
      <c r="K708" s="25" t="n">
        <v>0</v>
      </c>
      <c r="L708" s="26" t="n">
        <v>0</v>
      </c>
      <c r="M708" s="26" t="n">
        <v>0</v>
      </c>
    </row>
    <row r="709" ht="16" customHeight="1">
      <c r="A709" t="inlineStr">
        <is>
          <t>18-Feb-2026</t>
        </is>
      </c>
      <c r="B709" t="inlineStr">
        <is>
          <t>Wednesday</t>
        </is>
      </c>
      <c r="C709" t="inlineStr">
        <is>
          <t>Week3-Feb-2026</t>
        </is>
      </c>
      <c r="D709" s="78" t="n">
        <v>46054</v>
      </c>
      <c r="E709" t="inlineStr">
        <is>
          <t>Q4FY26</t>
        </is>
      </c>
      <c r="F709" t="inlineStr">
        <is>
          <t>29-Dec-2026</t>
        </is>
      </c>
      <c r="G709" t="inlineStr">
        <is>
          <t>Tuesday</t>
        </is>
      </c>
      <c r="H709" t="inlineStr">
        <is>
          <t>Monthly - Tuesday</t>
        </is>
      </c>
      <c r="I709" t="inlineStr">
        <is>
          <t>Monthly - Tuesday</t>
        </is>
      </c>
      <c r="J709" t="inlineStr">
        <is>
          <t>Month+10 Expiry</t>
        </is>
      </c>
      <c r="K709" s="25" t="n">
        <v>0</v>
      </c>
      <c r="L709" s="26" t="n">
        <v>0</v>
      </c>
      <c r="M709" s="26" t="n">
        <v>0</v>
      </c>
    </row>
    <row r="710" ht="16" customHeight="1">
      <c r="A710" t="inlineStr">
        <is>
          <t>19-Feb-2026</t>
        </is>
      </c>
      <c r="B710" t="inlineStr">
        <is>
          <t>Thursday</t>
        </is>
      </c>
      <c r="C710" t="inlineStr">
        <is>
          <t>Week3-Feb-2026</t>
        </is>
      </c>
      <c r="D710" s="78" t="n">
        <v>46054</v>
      </c>
      <c r="E710" t="inlineStr">
        <is>
          <t>Q4FY26</t>
        </is>
      </c>
      <c r="F710" t="inlineStr">
        <is>
          <t>24-Feb-2026</t>
        </is>
      </c>
      <c r="G710" t="inlineStr">
        <is>
          <t>Tuesday</t>
        </is>
      </c>
      <c r="H710" t="inlineStr">
        <is>
          <t>Monthly - Tuesday</t>
        </is>
      </c>
      <c r="I710" t="inlineStr">
        <is>
          <t>Monthly - Tuesday</t>
        </is>
      </c>
      <c r="J710" t="inlineStr">
        <is>
          <t>Same Month Expiry</t>
        </is>
      </c>
      <c r="K710" s="25" t="n">
        <v>7927108</v>
      </c>
      <c r="L710" s="26" t="n">
        <v>14295.3563</v>
      </c>
      <c r="M710" s="26" t="n">
        <v>49.9196</v>
      </c>
    </row>
    <row r="711" ht="16" customHeight="1">
      <c r="A711" t="inlineStr">
        <is>
          <t>19-Feb-2026</t>
        </is>
      </c>
      <c r="B711" t="inlineStr">
        <is>
          <t>Thursday</t>
        </is>
      </c>
      <c r="C711" t="inlineStr">
        <is>
          <t>Week3-Feb-2026</t>
        </is>
      </c>
      <c r="D711" s="78" t="n">
        <v>46054</v>
      </c>
      <c r="E711" t="inlineStr">
        <is>
          <t>Q4FY26</t>
        </is>
      </c>
      <c r="F711" t="inlineStr">
        <is>
          <t>30-Mar-2026</t>
        </is>
      </c>
      <c r="G711" t="inlineStr">
        <is>
          <t>Monday</t>
        </is>
      </c>
      <c r="H711" t="inlineStr">
        <is>
          <t>Monthly - Monday</t>
        </is>
      </c>
      <c r="I711" t="inlineStr">
        <is>
          <t>Monthly - Monday</t>
        </is>
      </c>
      <c r="J711" t="inlineStr">
        <is>
          <t>Month+1 Expiry</t>
        </is>
      </c>
      <c r="K711" s="25" t="n">
        <v>378952</v>
      </c>
      <c r="L711" s="26" t="n">
        <v>697.3663</v>
      </c>
      <c r="M711" s="26" t="n">
        <v>7.4026</v>
      </c>
    </row>
    <row r="712" ht="16" customHeight="1">
      <c r="A712" t="inlineStr">
        <is>
          <t>19-Feb-2026</t>
        </is>
      </c>
      <c r="B712" t="inlineStr">
        <is>
          <t>Thursday</t>
        </is>
      </c>
      <c r="C712" t="inlineStr">
        <is>
          <t>Week3-Feb-2026</t>
        </is>
      </c>
      <c r="D712" s="78" t="n">
        <v>46054</v>
      </c>
      <c r="E712" t="inlineStr">
        <is>
          <t>Q4FY26</t>
        </is>
      </c>
      <c r="F712" t="inlineStr">
        <is>
          <t>28-Apr-2026</t>
        </is>
      </c>
      <c r="G712" t="inlineStr">
        <is>
          <t>Tuesday</t>
        </is>
      </c>
      <c r="H712" t="inlineStr">
        <is>
          <t>Monthly - Tuesday</t>
        </is>
      </c>
      <c r="I712" t="inlineStr">
        <is>
          <t>Monthly - Tuesday</t>
        </is>
      </c>
      <c r="J712" t="inlineStr">
        <is>
          <t>Month+2 Expiry</t>
        </is>
      </c>
      <c r="K712" s="25" t="n">
        <v>14971</v>
      </c>
      <c r="L712" s="26" t="n">
        <v>27.5702</v>
      </c>
      <c r="M712" s="26" t="n">
        <v>0.3818</v>
      </c>
    </row>
    <row r="713" ht="16" customHeight="1">
      <c r="A713" t="inlineStr">
        <is>
          <t>19-Feb-2026</t>
        </is>
      </c>
      <c r="B713" t="inlineStr">
        <is>
          <t>Thursday</t>
        </is>
      </c>
      <c r="C713" t="inlineStr">
        <is>
          <t>Week3-Feb-2026</t>
        </is>
      </c>
      <c r="D713" s="78" t="n">
        <v>46054</v>
      </c>
      <c r="E713" t="inlineStr">
        <is>
          <t>Q4FY26</t>
        </is>
      </c>
      <c r="F713" t="inlineStr">
        <is>
          <t>30-Jun-2026</t>
        </is>
      </c>
      <c r="G713" t="inlineStr">
        <is>
          <t>Tuesday</t>
        </is>
      </c>
      <c r="H713" t="inlineStr">
        <is>
          <t>Monthly - Tuesday</t>
        </is>
      </c>
      <c r="I713" t="inlineStr">
        <is>
          <t>Monthly - Tuesday</t>
        </is>
      </c>
      <c r="J713" t="inlineStr">
        <is>
          <t>Month+4 Expiry</t>
        </is>
      </c>
      <c r="K713" s="25" t="n">
        <v>352</v>
      </c>
      <c r="L713" s="26" t="n">
        <v>0.6439</v>
      </c>
      <c r="M713" s="26" t="n">
        <v>0.0126</v>
      </c>
    </row>
    <row r="714" ht="16" customHeight="1">
      <c r="A714" t="inlineStr">
        <is>
          <t>19-Feb-2026</t>
        </is>
      </c>
      <c r="B714" t="inlineStr">
        <is>
          <t>Thursday</t>
        </is>
      </c>
      <c r="C714" t="inlineStr">
        <is>
          <t>Week3-Feb-2026</t>
        </is>
      </c>
      <c r="D714" s="78" t="n">
        <v>46054</v>
      </c>
      <c r="E714" t="inlineStr">
        <is>
          <t>Q4FY26</t>
        </is>
      </c>
      <c r="F714" t="inlineStr">
        <is>
          <t>29-Sep-2026</t>
        </is>
      </c>
      <c r="G714" t="inlineStr">
        <is>
          <t>Tuesday</t>
        </is>
      </c>
      <c r="H714" t="inlineStr">
        <is>
          <t>Monthly - Tuesday</t>
        </is>
      </c>
      <c r="I714" t="inlineStr">
        <is>
          <t>Monthly - Tuesday</t>
        </is>
      </c>
      <c r="J714" t="inlineStr">
        <is>
          <t>Month+7 Expiry</t>
        </is>
      </c>
      <c r="K714" s="25" t="n">
        <v>0</v>
      </c>
      <c r="L714" s="26" t="n">
        <v>0</v>
      </c>
      <c r="M714" s="26" t="n">
        <v>0</v>
      </c>
    </row>
    <row r="715" ht="16" customHeight="1">
      <c r="A715" t="inlineStr">
        <is>
          <t>19-Feb-2026</t>
        </is>
      </c>
      <c r="B715" t="inlineStr">
        <is>
          <t>Thursday</t>
        </is>
      </c>
      <c r="C715" t="inlineStr">
        <is>
          <t>Week3-Feb-2026</t>
        </is>
      </c>
      <c r="D715" s="78" t="n">
        <v>46054</v>
      </c>
      <c r="E715" t="inlineStr">
        <is>
          <t>Q4FY26</t>
        </is>
      </c>
      <c r="F715" t="inlineStr">
        <is>
          <t>29-Dec-2026</t>
        </is>
      </c>
      <c r="G715" t="inlineStr">
        <is>
          <t>Tuesday</t>
        </is>
      </c>
      <c r="H715" t="inlineStr">
        <is>
          <t>Monthly - Tuesday</t>
        </is>
      </c>
      <c r="I715" t="inlineStr">
        <is>
          <t>Monthly - Tuesday</t>
        </is>
      </c>
      <c r="J715" t="inlineStr">
        <is>
          <t>Month+10 Expiry</t>
        </is>
      </c>
      <c r="K715" s="25" t="n">
        <v>0</v>
      </c>
      <c r="L715" s="26" t="n">
        <v>0</v>
      </c>
      <c r="M715" s="26" t="n">
        <v>0</v>
      </c>
    </row>
    <row r="716" ht="16" customHeight="1">
      <c r="A716" t="inlineStr">
        <is>
          <t>20-Feb-2026</t>
        </is>
      </c>
      <c r="B716" t="inlineStr">
        <is>
          <t>Friday</t>
        </is>
      </c>
      <c r="C716" t="inlineStr">
        <is>
          <t>Week3-Feb-2026</t>
        </is>
      </c>
      <c r="D716" s="78" t="n">
        <v>46054</v>
      </c>
      <c r="E716" t="inlineStr">
        <is>
          <t>Q4FY26</t>
        </is>
      </c>
      <c r="F716" t="inlineStr">
        <is>
          <t>24-Feb-2026</t>
        </is>
      </c>
      <c r="G716" t="inlineStr">
        <is>
          <t>Tuesday</t>
        </is>
      </c>
      <c r="H716" t="inlineStr">
        <is>
          <t>Monthly - Tuesday</t>
        </is>
      </c>
      <c r="I716" t="inlineStr">
        <is>
          <t>Monthly - Tuesday</t>
        </is>
      </c>
      <c r="J716" t="inlineStr">
        <is>
          <t>Same Month Expiry</t>
        </is>
      </c>
      <c r="K716" s="25" t="n">
        <v>12680554</v>
      </c>
      <c r="L716" s="26" t="n">
        <v>23027.3091</v>
      </c>
      <c r="M716" s="26" t="n">
        <v>85.5929</v>
      </c>
    </row>
    <row r="717" ht="16" customHeight="1">
      <c r="A717" t="inlineStr">
        <is>
          <t>20-Feb-2026</t>
        </is>
      </c>
      <c r="B717" t="inlineStr">
        <is>
          <t>Friday</t>
        </is>
      </c>
      <c r="C717" t="inlineStr">
        <is>
          <t>Week3-Feb-2026</t>
        </is>
      </c>
      <c r="D717" s="78" t="n">
        <v>46054</v>
      </c>
      <c r="E717" t="inlineStr">
        <is>
          <t>Q4FY26</t>
        </is>
      </c>
      <c r="F717" t="inlineStr">
        <is>
          <t>30-Mar-2026</t>
        </is>
      </c>
      <c r="G717" t="inlineStr">
        <is>
          <t>Monday</t>
        </is>
      </c>
      <c r="H717" t="inlineStr">
        <is>
          <t>Monthly - Monday</t>
        </is>
      </c>
      <c r="I717" t="inlineStr">
        <is>
          <t>Monthly - Monday</t>
        </is>
      </c>
      <c r="J717" t="inlineStr">
        <is>
          <t>Month+1 Expiry</t>
        </is>
      </c>
      <c r="K717" s="25" t="n">
        <v>408308</v>
      </c>
      <c r="L717" s="26" t="n">
        <v>750.7895</v>
      </c>
      <c r="M717" s="26" t="n">
        <v>8.266400000000001</v>
      </c>
    </row>
    <row r="718" ht="16" customHeight="1">
      <c r="A718" t="inlineStr">
        <is>
          <t>20-Feb-2026</t>
        </is>
      </c>
      <c r="B718" t="inlineStr">
        <is>
          <t>Friday</t>
        </is>
      </c>
      <c r="C718" t="inlineStr">
        <is>
          <t>Week3-Feb-2026</t>
        </is>
      </c>
      <c r="D718" s="78" t="n">
        <v>46054</v>
      </c>
      <c r="E718" t="inlineStr">
        <is>
          <t>Q4FY26</t>
        </is>
      </c>
      <c r="F718" t="inlineStr">
        <is>
          <t>28-Apr-2026</t>
        </is>
      </c>
      <c r="G718" t="inlineStr">
        <is>
          <t>Tuesday</t>
        </is>
      </c>
      <c r="H718" t="inlineStr">
        <is>
          <t>Monthly - Tuesday</t>
        </is>
      </c>
      <c r="I718" t="inlineStr">
        <is>
          <t>Monthly - Tuesday</t>
        </is>
      </c>
      <c r="J718" t="inlineStr">
        <is>
          <t>Month+2 Expiry</t>
        </is>
      </c>
      <c r="K718" s="25" t="n">
        <v>11033</v>
      </c>
      <c r="L718" s="26" t="n">
        <v>20.2704</v>
      </c>
      <c r="M718" s="26" t="n">
        <v>0.2797</v>
      </c>
    </row>
    <row r="719" ht="16" customHeight="1">
      <c r="A719" t="inlineStr">
        <is>
          <t>20-Feb-2026</t>
        </is>
      </c>
      <c r="B719" t="inlineStr">
        <is>
          <t>Friday</t>
        </is>
      </c>
      <c r="C719" t="inlineStr">
        <is>
          <t>Week3-Feb-2026</t>
        </is>
      </c>
      <c r="D719" s="78" t="n">
        <v>46054</v>
      </c>
      <c r="E719" t="inlineStr">
        <is>
          <t>Q4FY26</t>
        </is>
      </c>
      <c r="F719" t="inlineStr">
        <is>
          <t>30-Jun-2026</t>
        </is>
      </c>
      <c r="G719" t="inlineStr">
        <is>
          <t>Tuesday</t>
        </is>
      </c>
      <c r="H719" t="inlineStr">
        <is>
          <t>Monthly - Tuesday</t>
        </is>
      </c>
      <c r="I719" t="inlineStr">
        <is>
          <t>Monthly - Tuesday</t>
        </is>
      </c>
      <c r="J719" t="inlineStr">
        <is>
          <t>Month+4 Expiry</t>
        </is>
      </c>
      <c r="K719" s="25" t="n">
        <v>306</v>
      </c>
      <c r="L719" s="26" t="n">
        <v>0.5609</v>
      </c>
      <c r="M719" s="26" t="n">
        <v>0.0113</v>
      </c>
    </row>
    <row r="720" ht="16" customHeight="1">
      <c r="A720" t="inlineStr">
        <is>
          <t>20-Feb-2026</t>
        </is>
      </c>
      <c r="B720" t="inlineStr">
        <is>
          <t>Friday</t>
        </is>
      </c>
      <c r="C720" t="inlineStr">
        <is>
          <t>Week3-Feb-2026</t>
        </is>
      </c>
      <c r="D720" s="78" t="n">
        <v>46054</v>
      </c>
      <c r="E720" t="inlineStr">
        <is>
          <t>Q4FY26</t>
        </is>
      </c>
      <c r="F720" t="inlineStr">
        <is>
          <t>29-Sep-2026</t>
        </is>
      </c>
      <c r="G720" t="inlineStr">
        <is>
          <t>Tuesday</t>
        </is>
      </c>
      <c r="H720" t="inlineStr">
        <is>
          <t>Monthly - Tuesday</t>
        </is>
      </c>
      <c r="I720" t="inlineStr">
        <is>
          <t>Monthly - Tuesday</t>
        </is>
      </c>
      <c r="J720" t="inlineStr">
        <is>
          <t>Month+7 Expiry</t>
        </is>
      </c>
      <c r="K720" s="25" t="n">
        <v>0</v>
      </c>
      <c r="L720" s="26" t="n">
        <v>0</v>
      </c>
      <c r="M720" s="26" t="n">
        <v>0</v>
      </c>
    </row>
    <row r="721" ht="16" customHeight="1">
      <c r="A721" t="inlineStr">
        <is>
          <t>20-Feb-2026</t>
        </is>
      </c>
      <c r="B721" t="inlineStr">
        <is>
          <t>Friday</t>
        </is>
      </c>
      <c r="C721" t="inlineStr">
        <is>
          <t>Week3-Feb-2026</t>
        </is>
      </c>
      <c r="D721" s="78" t="n">
        <v>46054</v>
      </c>
      <c r="E721" t="inlineStr">
        <is>
          <t>Q4FY26</t>
        </is>
      </c>
      <c r="F721" t="inlineStr">
        <is>
          <t>29-Dec-2026</t>
        </is>
      </c>
      <c r="G721" t="inlineStr">
        <is>
          <t>Tuesday</t>
        </is>
      </c>
      <c r="H721" t="inlineStr">
        <is>
          <t>Monthly - Tuesday</t>
        </is>
      </c>
      <c r="I721" t="inlineStr">
        <is>
          <t>Monthly - Tuesday</t>
        </is>
      </c>
      <c r="J721" t="inlineStr">
        <is>
          <t>Month+10 Expiry</t>
        </is>
      </c>
      <c r="K721" s="25" t="n">
        <v>0</v>
      </c>
      <c r="L721" s="26" t="n">
        <v>0</v>
      </c>
      <c r="M721" s="26" t="n">
        <v>0</v>
      </c>
    </row>
    <row r="722" ht="16" customHeight="1">
      <c r="A722" t="inlineStr">
        <is>
          <t>23-Feb-2026</t>
        </is>
      </c>
      <c r="B722" t="inlineStr">
        <is>
          <t>Monday</t>
        </is>
      </c>
      <c r="C722" t="inlineStr">
        <is>
          <t>Week4-Feb-2026</t>
        </is>
      </c>
      <c r="D722" s="78" t="n">
        <v>46054</v>
      </c>
      <c r="E722" t="inlineStr">
        <is>
          <t>Q4FY26</t>
        </is>
      </c>
      <c r="F722" t="inlineStr">
        <is>
          <t>24-Feb-2026</t>
        </is>
      </c>
      <c r="G722" t="inlineStr">
        <is>
          <t>Tuesday</t>
        </is>
      </c>
      <c r="H722" t="inlineStr">
        <is>
          <t>Monthly - Tuesday</t>
        </is>
      </c>
      <c r="I722" t="inlineStr">
        <is>
          <t>Monthly - Tuesday</t>
        </is>
      </c>
      <c r="J722" t="inlineStr">
        <is>
          <t>Same Month Expiry</t>
        </is>
      </c>
      <c r="K722" s="25" t="n">
        <v>18965791</v>
      </c>
      <c r="L722" s="26" t="n">
        <v>34370.5432</v>
      </c>
      <c r="M722" s="26" t="n">
        <v>96.6915</v>
      </c>
    </row>
    <row r="723" ht="16" customHeight="1">
      <c r="A723" t="inlineStr">
        <is>
          <t>23-Feb-2026</t>
        </is>
      </c>
      <c r="B723" t="inlineStr">
        <is>
          <t>Monday</t>
        </is>
      </c>
      <c r="C723" t="inlineStr">
        <is>
          <t>Week4-Feb-2026</t>
        </is>
      </c>
      <c r="D723" s="78" t="n">
        <v>46054</v>
      </c>
      <c r="E723" t="inlineStr">
        <is>
          <t>Q4FY26</t>
        </is>
      </c>
      <c r="F723" t="inlineStr">
        <is>
          <t>30-Mar-2026</t>
        </is>
      </c>
      <c r="G723" t="inlineStr">
        <is>
          <t>Monday</t>
        </is>
      </c>
      <c r="H723" t="inlineStr">
        <is>
          <t>Monthly - Monday</t>
        </is>
      </c>
      <c r="I723" t="inlineStr">
        <is>
          <t>Monthly - Monday</t>
        </is>
      </c>
      <c r="J723" t="inlineStr">
        <is>
          <t>Month+1 Expiry</t>
        </is>
      </c>
      <c r="K723" s="25" t="n">
        <v>423329</v>
      </c>
      <c r="L723" s="26" t="n">
        <v>780.3824</v>
      </c>
      <c r="M723" s="26" t="n">
        <v>9.6454</v>
      </c>
    </row>
    <row r="724" ht="16" customHeight="1">
      <c r="A724" t="inlineStr">
        <is>
          <t>23-Feb-2026</t>
        </is>
      </c>
      <c r="B724" t="inlineStr">
        <is>
          <t>Monday</t>
        </is>
      </c>
      <c r="C724" t="inlineStr">
        <is>
          <t>Week4-Feb-2026</t>
        </is>
      </c>
      <c r="D724" s="78" t="n">
        <v>46054</v>
      </c>
      <c r="E724" t="inlineStr">
        <is>
          <t>Q4FY26</t>
        </is>
      </c>
      <c r="F724" t="inlineStr">
        <is>
          <t>28-Apr-2026</t>
        </is>
      </c>
      <c r="G724" t="inlineStr">
        <is>
          <t>Tuesday</t>
        </is>
      </c>
      <c r="H724" t="inlineStr">
        <is>
          <t>Monthly - Tuesday</t>
        </is>
      </c>
      <c r="I724" t="inlineStr">
        <is>
          <t>Monthly - Tuesday</t>
        </is>
      </c>
      <c r="J724" t="inlineStr">
        <is>
          <t>Month+2 Expiry</t>
        </is>
      </c>
      <c r="K724" s="25" t="n">
        <v>10642</v>
      </c>
      <c r="L724" s="26" t="n">
        <v>19.6311</v>
      </c>
      <c r="M724" s="26" t="n">
        <v>0.2718</v>
      </c>
    </row>
    <row r="725" ht="16" customHeight="1">
      <c r="A725" t="inlineStr">
        <is>
          <t>23-Feb-2026</t>
        </is>
      </c>
      <c r="B725" t="inlineStr">
        <is>
          <t>Monday</t>
        </is>
      </c>
      <c r="C725" t="inlineStr">
        <is>
          <t>Week4-Feb-2026</t>
        </is>
      </c>
      <c r="D725" s="78" t="n">
        <v>46054</v>
      </c>
      <c r="E725" t="inlineStr">
        <is>
          <t>Q4FY26</t>
        </is>
      </c>
      <c r="F725" t="inlineStr">
        <is>
          <t>30-Jun-2026</t>
        </is>
      </c>
      <c r="G725" t="inlineStr">
        <is>
          <t>Tuesday</t>
        </is>
      </c>
      <c r="H725" t="inlineStr">
        <is>
          <t>Monthly - Tuesday</t>
        </is>
      </c>
      <c r="I725" t="inlineStr">
        <is>
          <t>Monthly - Tuesday</t>
        </is>
      </c>
      <c r="J725" t="inlineStr">
        <is>
          <t>Month+4 Expiry</t>
        </is>
      </c>
      <c r="K725" s="25" t="n">
        <v>150</v>
      </c>
      <c r="L725" s="26" t="n">
        <v>0.2747</v>
      </c>
      <c r="M725" s="26" t="n">
        <v>0.006</v>
      </c>
    </row>
    <row r="726" ht="16" customHeight="1">
      <c r="A726" t="inlineStr">
        <is>
          <t>23-Feb-2026</t>
        </is>
      </c>
      <c r="B726" t="inlineStr">
        <is>
          <t>Monday</t>
        </is>
      </c>
      <c r="C726" t="inlineStr">
        <is>
          <t>Week4-Feb-2026</t>
        </is>
      </c>
      <c r="D726" s="78" t="n">
        <v>46054</v>
      </c>
      <c r="E726" t="inlineStr">
        <is>
          <t>Q4FY26</t>
        </is>
      </c>
      <c r="F726" t="inlineStr">
        <is>
          <t>29-Sep-2026</t>
        </is>
      </c>
      <c r="G726" t="inlineStr">
        <is>
          <t>Tuesday</t>
        </is>
      </c>
      <c r="H726" t="inlineStr">
        <is>
          <t>Monthly - Tuesday</t>
        </is>
      </c>
      <c r="I726" t="inlineStr">
        <is>
          <t>Monthly - Tuesday</t>
        </is>
      </c>
      <c r="J726" t="inlineStr">
        <is>
          <t>Month+7 Expiry</t>
        </is>
      </c>
      <c r="K726" s="25" t="n">
        <v>0</v>
      </c>
      <c r="L726" s="26" t="n">
        <v>0</v>
      </c>
      <c r="M726" s="26" t="n">
        <v>0</v>
      </c>
    </row>
    <row r="727" ht="16" customHeight="1">
      <c r="A727" t="inlineStr">
        <is>
          <t>23-Feb-2026</t>
        </is>
      </c>
      <c r="B727" t="inlineStr">
        <is>
          <t>Monday</t>
        </is>
      </c>
      <c r="C727" t="inlineStr">
        <is>
          <t>Week4-Feb-2026</t>
        </is>
      </c>
      <c r="D727" s="78" t="n">
        <v>46054</v>
      </c>
      <c r="E727" t="inlineStr">
        <is>
          <t>Q4FY26</t>
        </is>
      </c>
      <c r="F727" t="inlineStr">
        <is>
          <t>29-Dec-2026</t>
        </is>
      </c>
      <c r="G727" t="inlineStr">
        <is>
          <t>Tuesday</t>
        </is>
      </c>
      <c r="H727" t="inlineStr">
        <is>
          <t>Monthly - Tuesday</t>
        </is>
      </c>
      <c r="I727" t="inlineStr">
        <is>
          <t>Monthly - Tuesday</t>
        </is>
      </c>
      <c r="J727" t="inlineStr">
        <is>
          <t>Month+10 Expiry</t>
        </is>
      </c>
      <c r="K727" s="25" t="n">
        <v>0</v>
      </c>
      <c r="L727" s="26" t="n">
        <v>0</v>
      </c>
      <c r="M727" s="26" t="n">
        <v>0</v>
      </c>
    </row>
    <row r="728" ht="16" customHeight="1">
      <c r="A728" t="inlineStr">
        <is>
          <t>24-Feb-2026</t>
        </is>
      </c>
      <c r="B728" t="inlineStr">
        <is>
          <t>Tuesday</t>
        </is>
      </c>
      <c r="C728" t="inlineStr">
        <is>
          <t>Week4-Feb-2026</t>
        </is>
      </c>
      <c r="D728" s="78" t="n">
        <v>46054</v>
      </c>
      <c r="E728" t="inlineStr">
        <is>
          <t>Q4FY26</t>
        </is>
      </c>
      <c r="F728" t="inlineStr">
        <is>
          <t>24-Feb-2026</t>
        </is>
      </c>
      <c r="G728" t="inlineStr">
        <is>
          <t>Tuesday</t>
        </is>
      </c>
      <c r="H728" t="inlineStr">
        <is>
          <t>Monthly - Tuesday</t>
        </is>
      </c>
      <c r="I728" t="inlineStr">
        <is>
          <t>Monthly - Tuesday</t>
        </is>
      </c>
      <c r="J728" t="inlineStr">
        <is>
          <t>Same Month Expiry</t>
        </is>
      </c>
      <c r="K728" s="25" t="n">
        <v>90988108</v>
      </c>
      <c r="L728" s="26" t="n">
        <v>164406.7164</v>
      </c>
      <c r="M728" s="26" t="n">
        <v>169.8191</v>
      </c>
    </row>
    <row r="729" ht="16" customHeight="1">
      <c r="A729" t="inlineStr">
        <is>
          <t>24-Feb-2026</t>
        </is>
      </c>
      <c r="B729" t="inlineStr">
        <is>
          <t>Tuesday</t>
        </is>
      </c>
      <c r="C729" t="inlineStr">
        <is>
          <t>Week4-Feb-2026</t>
        </is>
      </c>
      <c r="D729" s="78" t="n">
        <v>46054</v>
      </c>
      <c r="E729" t="inlineStr">
        <is>
          <t>Q4FY26</t>
        </is>
      </c>
      <c r="F729" t="inlineStr">
        <is>
          <t>30-Mar-2026</t>
        </is>
      </c>
      <c r="G729" t="inlineStr">
        <is>
          <t>Monday</t>
        </is>
      </c>
      <c r="H729" t="inlineStr">
        <is>
          <t>Monthly - Monday</t>
        </is>
      </c>
      <c r="I729" t="inlineStr">
        <is>
          <t>Monthly - Monday</t>
        </is>
      </c>
      <c r="J729" t="inlineStr">
        <is>
          <t>Month+1 Expiry</t>
        </is>
      </c>
      <c r="K729" s="25" t="n">
        <v>895039</v>
      </c>
      <c r="L729" s="26" t="n">
        <v>1644.1347</v>
      </c>
      <c r="M729" s="26" t="n">
        <v>18.0693</v>
      </c>
    </row>
    <row r="730" ht="16" customHeight="1">
      <c r="A730" t="inlineStr">
        <is>
          <t>24-Feb-2026</t>
        </is>
      </c>
      <c r="B730" t="inlineStr">
        <is>
          <t>Tuesday</t>
        </is>
      </c>
      <c r="C730" t="inlineStr">
        <is>
          <t>Week4-Feb-2026</t>
        </is>
      </c>
      <c r="D730" s="78" t="n">
        <v>46054</v>
      </c>
      <c r="E730" t="inlineStr">
        <is>
          <t>Q4FY26</t>
        </is>
      </c>
      <c r="F730" t="inlineStr">
        <is>
          <t>28-Apr-2026</t>
        </is>
      </c>
      <c r="G730" t="inlineStr">
        <is>
          <t>Tuesday</t>
        </is>
      </c>
      <c r="H730" t="inlineStr">
        <is>
          <t>Monthly - Tuesday</t>
        </is>
      </c>
      <c r="I730" t="inlineStr">
        <is>
          <t>Monthly - Tuesday</t>
        </is>
      </c>
      <c r="J730" t="inlineStr">
        <is>
          <t>Month+2 Expiry</t>
        </is>
      </c>
      <c r="K730" s="25" t="n">
        <v>15753</v>
      </c>
      <c r="L730" s="26" t="n">
        <v>29.1145</v>
      </c>
      <c r="M730" s="26" t="n">
        <v>0.378</v>
      </c>
    </row>
    <row r="731" ht="16" customHeight="1">
      <c r="A731" t="inlineStr">
        <is>
          <t>24-Feb-2026</t>
        </is>
      </c>
      <c r="B731" t="inlineStr">
        <is>
          <t>Tuesday</t>
        </is>
      </c>
      <c r="C731" t="inlineStr">
        <is>
          <t>Week4-Feb-2026</t>
        </is>
      </c>
      <c r="D731" s="78" t="n">
        <v>46054</v>
      </c>
      <c r="E731" t="inlineStr">
        <is>
          <t>Q4FY26</t>
        </is>
      </c>
      <c r="F731" t="inlineStr">
        <is>
          <t>30-Jun-2026</t>
        </is>
      </c>
      <c r="G731" t="inlineStr">
        <is>
          <t>Tuesday</t>
        </is>
      </c>
      <c r="H731" t="inlineStr">
        <is>
          <t>Monthly - Tuesday</t>
        </is>
      </c>
      <c r="I731" t="inlineStr">
        <is>
          <t>Monthly - Tuesday</t>
        </is>
      </c>
      <c r="J731" t="inlineStr">
        <is>
          <t>Month+4 Expiry</t>
        </is>
      </c>
      <c r="K731" s="25" t="n">
        <v>268</v>
      </c>
      <c r="L731" s="26" t="n">
        <v>0.4895</v>
      </c>
      <c r="M731" s="26" t="n">
        <v>0.0103</v>
      </c>
    </row>
    <row r="732" ht="16" customHeight="1">
      <c r="A732" t="inlineStr">
        <is>
          <t>24-Feb-2026</t>
        </is>
      </c>
      <c r="B732" t="inlineStr">
        <is>
          <t>Tuesday</t>
        </is>
      </c>
      <c r="C732" t="inlineStr">
        <is>
          <t>Week4-Feb-2026</t>
        </is>
      </c>
      <c r="D732" s="78" t="n">
        <v>46054</v>
      </c>
      <c r="E732" t="inlineStr">
        <is>
          <t>Q4FY26</t>
        </is>
      </c>
      <c r="F732" t="inlineStr">
        <is>
          <t>29-Sep-2026</t>
        </is>
      </c>
      <c r="G732" t="inlineStr">
        <is>
          <t>Tuesday</t>
        </is>
      </c>
      <c r="H732" t="inlineStr">
        <is>
          <t>Monthly - Tuesday</t>
        </is>
      </c>
      <c r="I732" t="inlineStr">
        <is>
          <t>Monthly - Tuesday</t>
        </is>
      </c>
      <c r="J732" t="inlineStr">
        <is>
          <t>Month+7 Expiry</t>
        </is>
      </c>
      <c r="K732" s="25" t="n">
        <v>0</v>
      </c>
      <c r="L732" s="26" t="n">
        <v>0</v>
      </c>
      <c r="M732" s="26" t="n">
        <v>0</v>
      </c>
    </row>
    <row r="733" ht="16" customHeight="1">
      <c r="A733" t="inlineStr">
        <is>
          <t>24-Feb-2026</t>
        </is>
      </c>
      <c r="B733" t="inlineStr">
        <is>
          <t>Tuesday</t>
        </is>
      </c>
      <c r="C733" t="inlineStr">
        <is>
          <t>Week4-Feb-2026</t>
        </is>
      </c>
      <c r="D733" s="78" t="n">
        <v>46054</v>
      </c>
      <c r="E733" t="inlineStr">
        <is>
          <t>Q4FY26</t>
        </is>
      </c>
      <c r="F733" t="inlineStr">
        <is>
          <t>29-Dec-2026</t>
        </is>
      </c>
      <c r="G733" t="inlineStr">
        <is>
          <t>Tuesday</t>
        </is>
      </c>
      <c r="H733" t="inlineStr">
        <is>
          <t>Monthly - Tuesday</t>
        </is>
      </c>
      <c r="I733" t="inlineStr">
        <is>
          <t>Monthly - Tuesday</t>
        </is>
      </c>
      <c r="J733" t="inlineStr">
        <is>
          <t>Month+10 Expiry</t>
        </is>
      </c>
      <c r="K733" s="25" t="n">
        <v>0</v>
      </c>
      <c r="L733" s="26" t="n">
        <v>0</v>
      </c>
      <c r="M733" s="26" t="n">
        <v>0</v>
      </c>
    </row>
    <row r="734" ht="16" customHeight="1">
      <c r="A734" t="inlineStr">
        <is>
          <t>25-Feb-2026</t>
        </is>
      </c>
      <c r="B734" t="inlineStr">
        <is>
          <t>Wednesday</t>
        </is>
      </c>
      <c r="C734" t="inlineStr">
        <is>
          <t>Week4-Feb-2026</t>
        </is>
      </c>
      <c r="D734" s="78" t="n">
        <v>46054</v>
      </c>
      <c r="E734" t="inlineStr">
        <is>
          <t>Q4FY26</t>
        </is>
      </c>
      <c r="F734" t="inlineStr">
        <is>
          <t>30-Mar-2026</t>
        </is>
      </c>
      <c r="G734" t="inlineStr">
        <is>
          <t>Monday</t>
        </is>
      </c>
      <c r="H734" t="inlineStr">
        <is>
          <t>Monthly - Monday</t>
        </is>
      </c>
      <c r="I734" t="inlineStr">
        <is>
          <t>Monthly - Monday</t>
        </is>
      </c>
      <c r="J734" t="inlineStr">
        <is>
          <t>Month+1 Expiry</t>
        </is>
      </c>
      <c r="K734" s="25" t="n">
        <v>1954093</v>
      </c>
      <c r="L734" s="26" t="n">
        <v>3580.4693</v>
      </c>
      <c r="M734" s="26" t="n">
        <v>35.1357</v>
      </c>
    </row>
    <row r="735" ht="16" customHeight="1">
      <c r="A735" t="inlineStr">
        <is>
          <t>25-Feb-2026</t>
        </is>
      </c>
      <c r="B735" t="inlineStr">
        <is>
          <t>Wednesday</t>
        </is>
      </c>
      <c r="C735" t="inlineStr">
        <is>
          <t>Week4-Feb-2026</t>
        </is>
      </c>
      <c r="D735" s="78" t="n">
        <v>46054</v>
      </c>
      <c r="E735" t="inlineStr">
        <is>
          <t>Q4FY26</t>
        </is>
      </c>
      <c r="F735" t="inlineStr">
        <is>
          <t>28-Apr-2026</t>
        </is>
      </c>
      <c r="G735" t="inlineStr">
        <is>
          <t>Tuesday</t>
        </is>
      </c>
      <c r="H735" t="inlineStr">
        <is>
          <t>Monthly - Tuesday</t>
        </is>
      </c>
      <c r="I735" t="inlineStr">
        <is>
          <t>Monthly - Tuesday</t>
        </is>
      </c>
      <c r="J735" t="inlineStr">
        <is>
          <t>Month+2 Expiry</t>
        </is>
      </c>
      <c r="K735" s="25" t="n">
        <v>18789</v>
      </c>
      <c r="L735" s="26" t="n">
        <v>34.6615</v>
      </c>
      <c r="M735" s="26" t="n">
        <v>0.4379</v>
      </c>
    </row>
    <row r="736" ht="16" customHeight="1">
      <c r="A736" t="inlineStr">
        <is>
          <t>25-Feb-2026</t>
        </is>
      </c>
      <c r="B736" t="inlineStr">
        <is>
          <t>Wednesday</t>
        </is>
      </c>
      <c r="C736" t="inlineStr">
        <is>
          <t>Week4-Feb-2026</t>
        </is>
      </c>
      <c r="D736" s="78" t="n">
        <v>46054</v>
      </c>
      <c r="E736" t="inlineStr">
        <is>
          <t>Q4FY26</t>
        </is>
      </c>
      <c r="F736" t="inlineStr">
        <is>
          <t>26-May-2026</t>
        </is>
      </c>
      <c r="G736" t="inlineStr">
        <is>
          <t>Tuesday</t>
        </is>
      </c>
      <c r="H736" t="inlineStr">
        <is>
          <t>Monthly - Tuesday</t>
        </is>
      </c>
      <c r="I736" t="inlineStr">
        <is>
          <t>Monthly - Tuesday</t>
        </is>
      </c>
      <c r="J736" t="inlineStr">
        <is>
          <t>Month+3 Expiry</t>
        </is>
      </c>
      <c r="K736" s="25" t="n">
        <v>370</v>
      </c>
      <c r="L736" s="26" t="n">
        <v>0.6676</v>
      </c>
      <c r="M736" s="26" t="n">
        <v>0.0094</v>
      </c>
    </row>
    <row r="737" ht="16" customHeight="1">
      <c r="A737" t="inlineStr">
        <is>
          <t>25-Feb-2026</t>
        </is>
      </c>
      <c r="B737" t="inlineStr">
        <is>
          <t>Wednesday</t>
        </is>
      </c>
      <c r="C737" t="inlineStr">
        <is>
          <t>Week4-Feb-2026</t>
        </is>
      </c>
      <c r="D737" s="78" t="n">
        <v>46054</v>
      </c>
      <c r="E737" t="inlineStr">
        <is>
          <t>Q4FY26</t>
        </is>
      </c>
      <c r="F737" t="inlineStr">
        <is>
          <t>30-Jun-2026</t>
        </is>
      </c>
      <c r="G737" t="inlineStr">
        <is>
          <t>Tuesday</t>
        </is>
      </c>
      <c r="H737" t="inlineStr">
        <is>
          <t>Monthly - Tuesday</t>
        </is>
      </c>
      <c r="I737" t="inlineStr">
        <is>
          <t>Monthly - Tuesday</t>
        </is>
      </c>
      <c r="J737" t="inlineStr">
        <is>
          <t>Month+4 Expiry</t>
        </is>
      </c>
      <c r="K737" s="25" t="n">
        <v>242</v>
      </c>
      <c r="L737" s="26" t="n">
        <v>0.4408</v>
      </c>
      <c r="M737" s="26" t="n">
        <v>0.0083</v>
      </c>
    </row>
    <row r="738" ht="16" customHeight="1">
      <c r="A738" t="inlineStr">
        <is>
          <t>25-Feb-2026</t>
        </is>
      </c>
      <c r="B738" t="inlineStr">
        <is>
          <t>Wednesday</t>
        </is>
      </c>
      <c r="C738" t="inlineStr">
        <is>
          <t>Week4-Feb-2026</t>
        </is>
      </c>
      <c r="D738" s="78" t="n">
        <v>46054</v>
      </c>
      <c r="E738" t="inlineStr">
        <is>
          <t>Q4FY26</t>
        </is>
      </c>
      <c r="F738" t="inlineStr">
        <is>
          <t>29-Sep-2026</t>
        </is>
      </c>
      <c r="G738" t="inlineStr">
        <is>
          <t>Tuesday</t>
        </is>
      </c>
      <c r="H738" t="inlineStr">
        <is>
          <t>Monthly - Tuesday</t>
        </is>
      </c>
      <c r="I738" t="inlineStr">
        <is>
          <t>Monthly - Tuesday</t>
        </is>
      </c>
      <c r="J738" t="inlineStr">
        <is>
          <t>Month+7 Expiry</t>
        </is>
      </c>
      <c r="K738" s="25" t="n">
        <v>0</v>
      </c>
      <c r="L738" s="26" t="n">
        <v>0</v>
      </c>
      <c r="M738" s="26" t="n">
        <v>0</v>
      </c>
    </row>
    <row r="739" ht="16" customHeight="1">
      <c r="A739" t="inlineStr">
        <is>
          <t>25-Feb-2026</t>
        </is>
      </c>
      <c r="B739" t="inlineStr">
        <is>
          <t>Wednesday</t>
        </is>
      </c>
      <c r="C739" t="inlineStr">
        <is>
          <t>Week4-Feb-2026</t>
        </is>
      </c>
      <c r="D739" s="78" t="n">
        <v>46054</v>
      </c>
      <c r="E739" t="inlineStr">
        <is>
          <t>Q4FY26</t>
        </is>
      </c>
      <c r="F739" t="inlineStr">
        <is>
          <t>29-Dec-2026</t>
        </is>
      </c>
      <c r="G739" t="inlineStr">
        <is>
          <t>Tuesday</t>
        </is>
      </c>
      <c r="H739" t="inlineStr">
        <is>
          <t>Monthly - Tuesday</t>
        </is>
      </c>
      <c r="I739" t="inlineStr">
        <is>
          <t>Monthly - Tuesday</t>
        </is>
      </c>
      <c r="J739" t="inlineStr">
        <is>
          <t>Month+10 Expiry</t>
        </is>
      </c>
      <c r="K739" s="25" t="n">
        <v>0</v>
      </c>
      <c r="L739" s="26" t="n">
        <v>0</v>
      </c>
      <c r="M739" s="26" t="n">
        <v>0</v>
      </c>
    </row>
    <row r="740" ht="16" customHeight="1">
      <c r="A740" t="inlineStr">
        <is>
          <t>26-Feb-2026</t>
        </is>
      </c>
      <c r="B740" t="inlineStr">
        <is>
          <t>Thursday</t>
        </is>
      </c>
      <c r="C740" t="inlineStr">
        <is>
          <t>Week4-Feb-2026</t>
        </is>
      </c>
      <c r="D740" s="78" t="n">
        <v>46054</v>
      </c>
      <c r="E740" t="inlineStr">
        <is>
          <t>Q4FY26</t>
        </is>
      </c>
      <c r="F740" t="inlineStr">
        <is>
          <t>30-Mar-2026</t>
        </is>
      </c>
      <c r="G740" t="inlineStr">
        <is>
          <t>Monday</t>
        </is>
      </c>
      <c r="H740" t="inlineStr">
        <is>
          <t>Monthly - Monday</t>
        </is>
      </c>
      <c r="I740" t="inlineStr">
        <is>
          <t>Monthly - Monday</t>
        </is>
      </c>
      <c r="J740" t="inlineStr">
        <is>
          <t>Month+1 Expiry</t>
        </is>
      </c>
      <c r="K740" s="25" t="n">
        <v>1640894</v>
      </c>
      <c r="L740" s="26" t="n">
        <v>2998.4391</v>
      </c>
      <c r="M740" s="26" t="n">
        <v>29.3564</v>
      </c>
    </row>
    <row r="741" ht="16" customHeight="1">
      <c r="A741" t="inlineStr">
        <is>
          <t>26-Feb-2026</t>
        </is>
      </c>
      <c r="B741" t="inlineStr">
        <is>
          <t>Thursday</t>
        </is>
      </c>
      <c r="C741" t="inlineStr">
        <is>
          <t>Week4-Feb-2026</t>
        </is>
      </c>
      <c r="D741" s="78" t="n">
        <v>46054</v>
      </c>
      <c r="E741" t="inlineStr">
        <is>
          <t>Q4FY26</t>
        </is>
      </c>
      <c r="F741" t="inlineStr">
        <is>
          <t>28-Apr-2026</t>
        </is>
      </c>
      <c r="G741" t="inlineStr">
        <is>
          <t>Tuesday</t>
        </is>
      </c>
      <c r="H741" t="inlineStr">
        <is>
          <t>Monthly - Tuesday</t>
        </is>
      </c>
      <c r="I741" t="inlineStr">
        <is>
          <t>Monthly - Tuesday</t>
        </is>
      </c>
      <c r="J741" t="inlineStr">
        <is>
          <t>Month+2 Expiry</t>
        </is>
      </c>
      <c r="K741" s="25" t="n">
        <v>17189</v>
      </c>
      <c r="L741" s="26" t="n">
        <v>31.5213</v>
      </c>
      <c r="M741" s="26" t="n">
        <v>0.3677</v>
      </c>
    </row>
    <row r="742" ht="16" customHeight="1">
      <c r="A742" t="inlineStr">
        <is>
          <t>26-Feb-2026</t>
        </is>
      </c>
      <c r="B742" t="inlineStr">
        <is>
          <t>Thursday</t>
        </is>
      </c>
      <c r="C742" t="inlineStr">
        <is>
          <t>Week4-Feb-2026</t>
        </is>
      </c>
      <c r="D742" s="78" t="n">
        <v>46054</v>
      </c>
      <c r="E742" t="inlineStr">
        <is>
          <t>Q4FY26</t>
        </is>
      </c>
      <c r="F742" t="inlineStr">
        <is>
          <t>26-May-2026</t>
        </is>
      </c>
      <c r="G742" t="inlineStr">
        <is>
          <t>Tuesday</t>
        </is>
      </c>
      <c r="H742" t="inlineStr">
        <is>
          <t>Monthly - Tuesday</t>
        </is>
      </c>
      <c r="I742" t="inlineStr">
        <is>
          <t>Monthly - Tuesday</t>
        </is>
      </c>
      <c r="J742" t="inlineStr">
        <is>
          <t>Month+3 Expiry</t>
        </is>
      </c>
      <c r="K742" s="25" t="n">
        <v>936</v>
      </c>
      <c r="L742" s="26" t="n">
        <v>1.7144</v>
      </c>
      <c r="M742" s="26" t="n">
        <v>0.0267</v>
      </c>
    </row>
    <row r="743" ht="16" customHeight="1">
      <c r="A743" t="inlineStr">
        <is>
          <t>26-Feb-2026</t>
        </is>
      </c>
      <c r="B743" t="inlineStr">
        <is>
          <t>Thursday</t>
        </is>
      </c>
      <c r="C743" t="inlineStr">
        <is>
          <t>Week4-Feb-2026</t>
        </is>
      </c>
      <c r="D743" s="78" t="n">
        <v>46054</v>
      </c>
      <c r="E743" t="inlineStr">
        <is>
          <t>Q4FY26</t>
        </is>
      </c>
      <c r="F743" t="inlineStr">
        <is>
          <t>30-Jun-2026</t>
        </is>
      </c>
      <c r="G743" t="inlineStr">
        <is>
          <t>Tuesday</t>
        </is>
      </c>
      <c r="H743" t="inlineStr">
        <is>
          <t>Monthly - Tuesday</t>
        </is>
      </c>
      <c r="I743" t="inlineStr">
        <is>
          <t>Monthly - Tuesday</t>
        </is>
      </c>
      <c r="J743" t="inlineStr">
        <is>
          <t>Month+4 Expiry</t>
        </is>
      </c>
      <c r="K743" s="25" t="n">
        <v>186</v>
      </c>
      <c r="L743" s="26" t="n">
        <v>0.3374</v>
      </c>
      <c r="M743" s="26" t="n">
        <v>0.0055</v>
      </c>
    </row>
    <row r="744" ht="16" customHeight="1">
      <c r="A744" t="inlineStr">
        <is>
          <t>26-Feb-2026</t>
        </is>
      </c>
      <c r="B744" t="inlineStr">
        <is>
          <t>Thursday</t>
        </is>
      </c>
      <c r="C744" t="inlineStr">
        <is>
          <t>Week4-Feb-2026</t>
        </is>
      </c>
      <c r="D744" s="78" t="n">
        <v>46054</v>
      </c>
      <c r="E744" t="inlineStr">
        <is>
          <t>Q4FY26</t>
        </is>
      </c>
      <c r="F744" t="inlineStr">
        <is>
          <t>29-Sep-2026</t>
        </is>
      </c>
      <c r="G744" t="inlineStr">
        <is>
          <t>Tuesday</t>
        </is>
      </c>
      <c r="H744" t="inlineStr">
        <is>
          <t>Monthly - Tuesday</t>
        </is>
      </c>
      <c r="I744" t="inlineStr">
        <is>
          <t>Monthly - Tuesday</t>
        </is>
      </c>
      <c r="J744" t="inlineStr">
        <is>
          <t>Month+7 Expiry</t>
        </is>
      </c>
      <c r="K744" s="25" t="n">
        <v>0</v>
      </c>
      <c r="L744" s="26" t="n">
        <v>0</v>
      </c>
      <c r="M744" s="26" t="n">
        <v>0</v>
      </c>
    </row>
    <row r="745" ht="16" customHeight="1">
      <c r="A745" t="inlineStr">
        <is>
          <t>26-Feb-2026</t>
        </is>
      </c>
      <c r="B745" t="inlineStr">
        <is>
          <t>Thursday</t>
        </is>
      </c>
      <c r="C745" t="inlineStr">
        <is>
          <t>Week4-Feb-2026</t>
        </is>
      </c>
      <c r="D745" s="78" t="n">
        <v>46054</v>
      </c>
      <c r="E745" t="inlineStr">
        <is>
          <t>Q4FY26</t>
        </is>
      </c>
      <c r="F745" t="inlineStr">
        <is>
          <t>29-Dec-2026</t>
        </is>
      </c>
      <c r="G745" t="inlineStr">
        <is>
          <t>Tuesday</t>
        </is>
      </c>
      <c r="H745" t="inlineStr">
        <is>
          <t>Monthly - Tuesday</t>
        </is>
      </c>
      <c r="I745" t="inlineStr">
        <is>
          <t>Monthly - Tuesday</t>
        </is>
      </c>
      <c r="J745" t="inlineStr">
        <is>
          <t>Month+10 Expiry</t>
        </is>
      </c>
      <c r="K745" s="25" t="n">
        <v>0</v>
      </c>
      <c r="L745" s="26" t="n">
        <v>0</v>
      </c>
      <c r="M745" s="26" t="n">
        <v>0</v>
      </c>
    </row>
    <row r="746" ht="16" customHeight="1">
      <c r="A746" t="inlineStr">
        <is>
          <t>27-Feb-2026</t>
        </is>
      </c>
      <c r="B746" t="inlineStr">
        <is>
          <t>Friday</t>
        </is>
      </c>
      <c r="C746" t="inlineStr">
        <is>
          <t>Week4-Feb-2026</t>
        </is>
      </c>
      <c r="D746" s="78" t="n">
        <v>46054</v>
      </c>
      <c r="E746" t="inlineStr">
        <is>
          <t>Q4FY26</t>
        </is>
      </c>
      <c r="F746" t="inlineStr">
        <is>
          <t>30-Mar-2026</t>
        </is>
      </c>
      <c r="G746" t="inlineStr">
        <is>
          <t>Monday</t>
        </is>
      </c>
      <c r="H746" t="inlineStr">
        <is>
          <t>Monthly - Monday</t>
        </is>
      </c>
      <c r="I746" t="inlineStr">
        <is>
          <t>Monthly - Monday</t>
        </is>
      </c>
      <c r="J746" t="inlineStr">
        <is>
          <t>Month+1 Expiry</t>
        </is>
      </c>
      <c r="K746" s="25" t="n">
        <v>2217864</v>
      </c>
      <c r="L746" s="26" t="n">
        <v>4039.5065</v>
      </c>
      <c r="M746" s="26" t="n">
        <v>38.6631</v>
      </c>
    </row>
    <row r="747" ht="16" customHeight="1">
      <c r="A747" t="inlineStr">
        <is>
          <t>27-Feb-2026</t>
        </is>
      </c>
      <c r="B747" t="inlineStr">
        <is>
          <t>Friday</t>
        </is>
      </c>
      <c r="C747" t="inlineStr">
        <is>
          <t>Week4-Feb-2026</t>
        </is>
      </c>
      <c r="D747" s="78" t="n">
        <v>46054</v>
      </c>
      <c r="E747" t="inlineStr">
        <is>
          <t>Q4FY26</t>
        </is>
      </c>
      <c r="F747" t="inlineStr">
        <is>
          <t>28-Apr-2026</t>
        </is>
      </c>
      <c r="G747" t="inlineStr">
        <is>
          <t>Tuesday</t>
        </is>
      </c>
      <c r="H747" t="inlineStr">
        <is>
          <t>Monthly - Tuesday</t>
        </is>
      </c>
      <c r="I747" t="inlineStr">
        <is>
          <t>Monthly - Tuesday</t>
        </is>
      </c>
      <c r="J747" t="inlineStr">
        <is>
          <t>Month+2 Expiry</t>
        </is>
      </c>
      <c r="K747" s="25" t="n">
        <v>25813</v>
      </c>
      <c r="L747" s="26" t="n">
        <v>47.5447</v>
      </c>
      <c r="M747" s="26" t="n">
        <v>0.5774</v>
      </c>
    </row>
    <row r="748" ht="16" customHeight="1">
      <c r="A748" t="inlineStr">
        <is>
          <t>27-Feb-2026</t>
        </is>
      </c>
      <c r="B748" t="inlineStr">
        <is>
          <t>Friday</t>
        </is>
      </c>
      <c r="C748" t="inlineStr">
        <is>
          <t>Week4-Feb-2026</t>
        </is>
      </c>
      <c r="D748" s="78" t="n">
        <v>46054</v>
      </c>
      <c r="E748" t="inlineStr">
        <is>
          <t>Q4FY26</t>
        </is>
      </c>
      <c r="F748" t="inlineStr">
        <is>
          <t>26-May-2026</t>
        </is>
      </c>
      <c r="G748" t="inlineStr">
        <is>
          <t>Tuesday</t>
        </is>
      </c>
      <c r="H748" t="inlineStr">
        <is>
          <t>Monthly - Tuesday</t>
        </is>
      </c>
      <c r="I748" t="inlineStr">
        <is>
          <t>Monthly - Tuesday</t>
        </is>
      </c>
      <c r="J748" t="inlineStr">
        <is>
          <t>Month+3 Expiry</t>
        </is>
      </c>
      <c r="K748" s="25" t="n">
        <v>2404</v>
      </c>
      <c r="L748" s="26" t="n">
        <v>4.4069</v>
      </c>
      <c r="M748" s="26" t="n">
        <v>0.07049999999999999</v>
      </c>
    </row>
    <row r="749" ht="16" customHeight="1">
      <c r="A749" t="inlineStr">
        <is>
          <t>27-Feb-2026</t>
        </is>
      </c>
      <c r="B749" t="inlineStr">
        <is>
          <t>Friday</t>
        </is>
      </c>
      <c r="C749" t="inlineStr">
        <is>
          <t>Week4-Feb-2026</t>
        </is>
      </c>
      <c r="D749" s="78" t="n">
        <v>46054</v>
      </c>
      <c r="E749" t="inlineStr">
        <is>
          <t>Q4FY26</t>
        </is>
      </c>
      <c r="F749" t="inlineStr">
        <is>
          <t>30-Jun-2026</t>
        </is>
      </c>
      <c r="G749" t="inlineStr">
        <is>
          <t>Tuesday</t>
        </is>
      </c>
      <c r="H749" t="inlineStr">
        <is>
          <t>Monthly - Tuesday</t>
        </is>
      </c>
      <c r="I749" t="inlineStr">
        <is>
          <t>Monthly - Tuesday</t>
        </is>
      </c>
      <c r="J749" t="inlineStr">
        <is>
          <t>Month+4 Expiry</t>
        </is>
      </c>
      <c r="K749" s="25" t="n">
        <v>329</v>
      </c>
      <c r="L749" s="26" t="n">
        <v>0.5975</v>
      </c>
      <c r="M749" s="26" t="n">
        <v>0.011</v>
      </c>
    </row>
    <row r="750" ht="16" customHeight="1">
      <c r="A750" t="inlineStr">
        <is>
          <t>27-Feb-2026</t>
        </is>
      </c>
      <c r="B750" t="inlineStr">
        <is>
          <t>Friday</t>
        </is>
      </c>
      <c r="C750" t="inlineStr">
        <is>
          <t>Week4-Feb-2026</t>
        </is>
      </c>
      <c r="D750" s="78" t="n">
        <v>46054</v>
      </c>
      <c r="E750" t="inlineStr">
        <is>
          <t>Q4FY26</t>
        </is>
      </c>
      <c r="F750" t="inlineStr">
        <is>
          <t>29-Sep-2026</t>
        </is>
      </c>
      <c r="G750" t="inlineStr">
        <is>
          <t>Tuesday</t>
        </is>
      </c>
      <c r="H750" t="inlineStr">
        <is>
          <t>Monthly - Tuesday</t>
        </is>
      </c>
      <c r="I750" t="inlineStr">
        <is>
          <t>Monthly - Tuesday</t>
        </is>
      </c>
      <c r="J750" t="inlineStr">
        <is>
          <t>Month+7 Expiry</t>
        </is>
      </c>
      <c r="K750" s="25" t="n">
        <v>0</v>
      </c>
      <c r="L750" s="26" t="n">
        <v>0</v>
      </c>
      <c r="M750" s="26" t="n">
        <v>0</v>
      </c>
    </row>
    <row r="751" ht="16" customHeight="1">
      <c r="A751" t="inlineStr">
        <is>
          <t>27-Feb-2026</t>
        </is>
      </c>
      <c r="B751" t="inlineStr">
        <is>
          <t>Friday</t>
        </is>
      </c>
      <c r="C751" t="inlineStr">
        <is>
          <t>Week4-Feb-2026</t>
        </is>
      </c>
      <c r="D751" s="78" t="n">
        <v>46054</v>
      </c>
      <c r="E751" t="inlineStr">
        <is>
          <t>Q4FY26</t>
        </is>
      </c>
      <c r="F751" t="inlineStr">
        <is>
          <t>29-Dec-2026</t>
        </is>
      </c>
      <c r="G751" t="inlineStr">
        <is>
          <t>Tuesday</t>
        </is>
      </c>
      <c r="H751" t="inlineStr">
        <is>
          <t>Monthly - Tuesday</t>
        </is>
      </c>
      <c r="I751" t="inlineStr">
        <is>
          <t>Monthly - Tuesday</t>
        </is>
      </c>
      <c r="J751" t="inlineStr">
        <is>
          <t>Month+10 Expiry</t>
        </is>
      </c>
      <c r="K751" s="25" t="n">
        <v>0</v>
      </c>
      <c r="L751" s="26" t="n">
        <v>0</v>
      </c>
      <c r="M751" s="26" t="n">
        <v>0</v>
      </c>
    </row>
    <row r="752" ht="16" customHeight="1">
      <c r="A752" t="inlineStr">
        <is>
          <t>02-Mar-2026</t>
        </is>
      </c>
      <c r="B752" t="inlineStr">
        <is>
          <t>Monday</t>
        </is>
      </c>
      <c r="C752" t="inlineStr">
        <is>
          <t>Week1-Mar-2026</t>
        </is>
      </c>
      <c r="D752" s="78" t="n">
        <v>46082</v>
      </c>
      <c r="E752" t="inlineStr">
        <is>
          <t>Q4FY26</t>
        </is>
      </c>
      <c r="F752" t="inlineStr">
        <is>
          <t>30-Mar-2026</t>
        </is>
      </c>
      <c r="G752" t="inlineStr">
        <is>
          <t>Monday</t>
        </is>
      </c>
      <c r="H752" t="inlineStr">
        <is>
          <t>Monthly - Monday</t>
        </is>
      </c>
      <c r="I752" t="inlineStr">
        <is>
          <t>Monthly - Monday</t>
        </is>
      </c>
      <c r="J752" t="inlineStr">
        <is>
          <t>Same Month Expiry</t>
        </is>
      </c>
      <c r="K752" s="25" t="n">
        <v>2903983</v>
      </c>
      <c r="L752" s="26" t="n">
        <v>5223.728</v>
      </c>
      <c r="M752" s="26" t="n">
        <v>50.5254</v>
      </c>
    </row>
    <row r="753" ht="16" customHeight="1">
      <c r="A753" t="inlineStr">
        <is>
          <t>02-Mar-2026</t>
        </is>
      </c>
      <c r="B753" t="inlineStr">
        <is>
          <t>Monday</t>
        </is>
      </c>
      <c r="C753" t="inlineStr">
        <is>
          <t>Week1-Mar-2026</t>
        </is>
      </c>
      <c r="D753" s="78" t="n">
        <v>46082</v>
      </c>
      <c r="E753" t="inlineStr">
        <is>
          <t>Q4FY26</t>
        </is>
      </c>
      <c r="F753" t="inlineStr">
        <is>
          <t>28-Apr-2026</t>
        </is>
      </c>
      <c r="G753" t="inlineStr">
        <is>
          <t>Tuesday</t>
        </is>
      </c>
      <c r="H753" t="inlineStr">
        <is>
          <t>Monthly - Tuesday</t>
        </is>
      </c>
      <c r="I753" t="inlineStr">
        <is>
          <t>Monthly - Tuesday</t>
        </is>
      </c>
      <c r="J753" t="inlineStr">
        <is>
          <t>Month+1 Expiry</t>
        </is>
      </c>
      <c r="K753" s="25" t="n">
        <v>77490</v>
      </c>
      <c r="L753" s="26" t="n">
        <v>141.3585</v>
      </c>
      <c r="M753" s="26" t="n">
        <v>1.9388</v>
      </c>
    </row>
    <row r="754" ht="16" customHeight="1">
      <c r="A754" t="inlineStr">
        <is>
          <t>02-Mar-2026</t>
        </is>
      </c>
      <c r="B754" t="inlineStr">
        <is>
          <t>Monday</t>
        </is>
      </c>
      <c r="C754" t="inlineStr">
        <is>
          <t>Week1-Mar-2026</t>
        </is>
      </c>
      <c r="D754" s="78" t="n">
        <v>46082</v>
      </c>
      <c r="E754" t="inlineStr">
        <is>
          <t>Q4FY26</t>
        </is>
      </c>
      <c r="F754" t="inlineStr">
        <is>
          <t>26-May-2026</t>
        </is>
      </c>
      <c r="G754" t="inlineStr">
        <is>
          <t>Tuesday</t>
        </is>
      </c>
      <c r="H754" t="inlineStr">
        <is>
          <t>Monthly - Tuesday</t>
        </is>
      </c>
      <c r="I754" t="inlineStr">
        <is>
          <t>Monthly - Tuesday</t>
        </is>
      </c>
      <c r="J754" t="inlineStr">
        <is>
          <t>Month+2 Expiry</t>
        </is>
      </c>
      <c r="K754" s="25" t="n">
        <v>3791</v>
      </c>
      <c r="L754" s="26" t="n">
        <v>6.9307</v>
      </c>
      <c r="M754" s="26" t="n">
        <v>0.1192</v>
      </c>
    </row>
    <row r="755" ht="16" customHeight="1">
      <c r="A755" t="inlineStr">
        <is>
          <t>02-Mar-2026</t>
        </is>
      </c>
      <c r="B755" t="inlineStr">
        <is>
          <t>Monday</t>
        </is>
      </c>
      <c r="C755" t="inlineStr">
        <is>
          <t>Week1-Mar-2026</t>
        </is>
      </c>
      <c r="D755" s="78" t="n">
        <v>46082</v>
      </c>
      <c r="E755" t="inlineStr">
        <is>
          <t>Q4FY26</t>
        </is>
      </c>
      <c r="F755" t="inlineStr">
        <is>
          <t>30-Jun-2026</t>
        </is>
      </c>
      <c r="G755" t="inlineStr">
        <is>
          <t>Tuesday</t>
        </is>
      </c>
      <c r="H755" t="inlineStr">
        <is>
          <t>Monthly - Tuesday</t>
        </is>
      </c>
      <c r="I755" t="inlineStr">
        <is>
          <t>Monthly - Tuesday</t>
        </is>
      </c>
      <c r="J755" t="inlineStr">
        <is>
          <t>Month+3 Expiry</t>
        </is>
      </c>
      <c r="K755" s="25" t="n">
        <v>739</v>
      </c>
      <c r="L755" s="26" t="n">
        <v>1.3464</v>
      </c>
      <c r="M755" s="26" t="n">
        <v>0.0277</v>
      </c>
    </row>
    <row r="756" ht="16" customHeight="1">
      <c r="A756" t="inlineStr">
        <is>
          <t>02-Mar-2026</t>
        </is>
      </c>
      <c r="B756" t="inlineStr">
        <is>
          <t>Monday</t>
        </is>
      </c>
      <c r="C756" t="inlineStr">
        <is>
          <t>Week1-Mar-2026</t>
        </is>
      </c>
      <c r="D756" s="78" t="n">
        <v>46082</v>
      </c>
      <c r="E756" t="inlineStr">
        <is>
          <t>Q4FY26</t>
        </is>
      </c>
      <c r="F756" t="inlineStr">
        <is>
          <t>29-Sep-2026</t>
        </is>
      </c>
      <c r="G756" t="inlineStr">
        <is>
          <t>Tuesday</t>
        </is>
      </c>
      <c r="H756" t="inlineStr">
        <is>
          <t>Monthly - Tuesday</t>
        </is>
      </c>
      <c r="I756" t="inlineStr">
        <is>
          <t>Monthly - Tuesday</t>
        </is>
      </c>
      <c r="J756" t="inlineStr">
        <is>
          <t>Month+6 Expiry</t>
        </is>
      </c>
      <c r="K756" s="25" t="n">
        <v>0</v>
      </c>
      <c r="L756" s="26" t="n">
        <v>0</v>
      </c>
      <c r="M756" s="26" t="n">
        <v>0</v>
      </c>
    </row>
    <row r="757" ht="16" customHeight="1">
      <c r="A757" t="inlineStr">
        <is>
          <t>02-Mar-2026</t>
        </is>
      </c>
      <c r="B757" t="inlineStr">
        <is>
          <t>Monday</t>
        </is>
      </c>
      <c r="C757" t="inlineStr">
        <is>
          <t>Week1-Mar-2026</t>
        </is>
      </c>
      <c r="D757" s="78" t="n">
        <v>46082</v>
      </c>
      <c r="E757" t="inlineStr">
        <is>
          <t>Q4FY26</t>
        </is>
      </c>
      <c r="F757" t="inlineStr">
        <is>
          <t>29-Dec-2026</t>
        </is>
      </c>
      <c r="G757" t="inlineStr">
        <is>
          <t>Tuesday</t>
        </is>
      </c>
      <c r="H757" t="inlineStr">
        <is>
          <t>Monthly - Tuesday</t>
        </is>
      </c>
      <c r="I757" t="inlineStr">
        <is>
          <t>Monthly - Tuesday</t>
        </is>
      </c>
      <c r="J757" t="inlineStr">
        <is>
          <t>Month+9 Expiry</t>
        </is>
      </c>
      <c r="K757" s="25" t="n">
        <v>0</v>
      </c>
      <c r="L757" s="26" t="n">
        <v>0</v>
      </c>
      <c r="M757" s="26" t="n">
        <v>0</v>
      </c>
    </row>
    <row r="758" ht="16" customHeight="1">
      <c r="A758" t="inlineStr">
        <is>
          <t>04-Mar-2026</t>
        </is>
      </c>
      <c r="B758" t="inlineStr">
        <is>
          <t>Wednesday</t>
        </is>
      </c>
      <c r="C758" t="inlineStr">
        <is>
          <t>Week1-Mar-2026</t>
        </is>
      </c>
      <c r="D758" s="78" t="n">
        <v>46082</v>
      </c>
      <c r="E758" t="inlineStr">
        <is>
          <t>Q4FY26</t>
        </is>
      </c>
      <c r="F758" t="inlineStr">
        <is>
          <t>30-Mar-2026</t>
        </is>
      </c>
      <c r="G758" t="inlineStr">
        <is>
          <t>Monday</t>
        </is>
      </c>
      <c r="H758" t="inlineStr">
        <is>
          <t>Monthly - Monday</t>
        </is>
      </c>
      <c r="I758" t="inlineStr">
        <is>
          <t>Monthly - Monday</t>
        </is>
      </c>
      <c r="J758" t="inlineStr">
        <is>
          <t>Same Month Expiry</t>
        </is>
      </c>
      <c r="K758" s="25" t="n">
        <v>2933995</v>
      </c>
      <c r="L758" s="26" t="n">
        <v>5212.5291</v>
      </c>
      <c r="M758" s="26" t="n">
        <v>62.5284</v>
      </c>
    </row>
    <row r="759" ht="16" customHeight="1">
      <c r="A759" t="inlineStr">
        <is>
          <t>04-Mar-2026</t>
        </is>
      </c>
      <c r="B759" t="inlineStr">
        <is>
          <t>Wednesday</t>
        </is>
      </c>
      <c r="C759" t="inlineStr">
        <is>
          <t>Week1-Mar-2026</t>
        </is>
      </c>
      <c r="D759" s="78" t="n">
        <v>46082</v>
      </c>
      <c r="E759" t="inlineStr">
        <is>
          <t>Q4FY26</t>
        </is>
      </c>
      <c r="F759" t="inlineStr">
        <is>
          <t>28-Apr-2026</t>
        </is>
      </c>
      <c r="G759" t="inlineStr">
        <is>
          <t>Tuesday</t>
        </is>
      </c>
      <c r="H759" t="inlineStr">
        <is>
          <t>Monthly - Tuesday</t>
        </is>
      </c>
      <c r="I759" t="inlineStr">
        <is>
          <t>Monthly - Tuesday</t>
        </is>
      </c>
      <c r="J759" t="inlineStr">
        <is>
          <t>Month+1 Expiry</t>
        </is>
      </c>
      <c r="K759" s="25" t="n">
        <v>68047</v>
      </c>
      <c r="L759" s="26" t="n">
        <v>122.8518</v>
      </c>
      <c r="M759" s="26" t="n">
        <v>2.0493</v>
      </c>
    </row>
    <row r="760" ht="16" customHeight="1">
      <c r="A760" t="inlineStr">
        <is>
          <t>04-Mar-2026</t>
        </is>
      </c>
      <c r="B760" t="inlineStr">
        <is>
          <t>Wednesday</t>
        </is>
      </c>
      <c r="C760" t="inlineStr">
        <is>
          <t>Week1-Mar-2026</t>
        </is>
      </c>
      <c r="D760" s="78" t="n">
        <v>46082</v>
      </c>
      <c r="E760" t="inlineStr">
        <is>
          <t>Q4FY26</t>
        </is>
      </c>
      <c r="F760" t="inlineStr">
        <is>
          <t>26-May-2026</t>
        </is>
      </c>
      <c r="G760" t="inlineStr">
        <is>
          <t>Tuesday</t>
        </is>
      </c>
      <c r="H760" t="inlineStr">
        <is>
          <t>Monthly - Tuesday</t>
        </is>
      </c>
      <c r="I760" t="inlineStr">
        <is>
          <t>Monthly - Tuesday</t>
        </is>
      </c>
      <c r="J760" t="inlineStr">
        <is>
          <t>Month+2 Expiry</t>
        </is>
      </c>
      <c r="K760" s="25" t="n">
        <v>5848</v>
      </c>
      <c r="L760" s="26" t="n">
        <v>10.6803</v>
      </c>
      <c r="M760" s="26" t="n">
        <v>0.2246</v>
      </c>
    </row>
    <row r="761" ht="16" customHeight="1">
      <c r="A761" t="inlineStr">
        <is>
          <t>04-Mar-2026</t>
        </is>
      </c>
      <c r="B761" t="inlineStr">
        <is>
          <t>Wednesday</t>
        </is>
      </c>
      <c r="C761" t="inlineStr">
        <is>
          <t>Week1-Mar-2026</t>
        </is>
      </c>
      <c r="D761" s="78" t="n">
        <v>46082</v>
      </c>
      <c r="E761" t="inlineStr">
        <is>
          <t>Q4FY26</t>
        </is>
      </c>
      <c r="F761" t="inlineStr">
        <is>
          <t>30-Jun-2026</t>
        </is>
      </c>
      <c r="G761" t="inlineStr">
        <is>
          <t>Tuesday</t>
        </is>
      </c>
      <c r="H761" t="inlineStr">
        <is>
          <t>Monthly - Tuesday</t>
        </is>
      </c>
      <c r="I761" t="inlineStr">
        <is>
          <t>Monthly - Tuesday</t>
        </is>
      </c>
      <c r="J761" t="inlineStr">
        <is>
          <t>Month+3 Expiry</t>
        </is>
      </c>
      <c r="K761" s="25" t="n">
        <v>871</v>
      </c>
      <c r="L761" s="26" t="n">
        <v>1.6056</v>
      </c>
      <c r="M761" s="26" t="n">
        <v>0.0378</v>
      </c>
    </row>
    <row r="762" ht="16" customHeight="1">
      <c r="A762" t="inlineStr">
        <is>
          <t>04-Mar-2026</t>
        </is>
      </c>
      <c r="B762" t="inlineStr">
        <is>
          <t>Wednesday</t>
        </is>
      </c>
      <c r="C762" t="inlineStr">
        <is>
          <t>Week1-Mar-2026</t>
        </is>
      </c>
      <c r="D762" s="78" t="n">
        <v>46082</v>
      </c>
      <c r="E762" t="inlineStr">
        <is>
          <t>Q4FY26</t>
        </is>
      </c>
      <c r="F762" t="inlineStr">
        <is>
          <t>29-Sep-2026</t>
        </is>
      </c>
      <c r="G762" t="inlineStr">
        <is>
          <t>Tuesday</t>
        </is>
      </c>
      <c r="H762" t="inlineStr">
        <is>
          <t>Monthly - Tuesday</t>
        </is>
      </c>
      <c r="I762" t="inlineStr">
        <is>
          <t>Monthly - Tuesday</t>
        </is>
      </c>
      <c r="J762" t="inlineStr">
        <is>
          <t>Month+6 Expiry</t>
        </is>
      </c>
      <c r="K762" s="25" t="n">
        <v>0</v>
      </c>
      <c r="L762" s="26" t="n">
        <v>0</v>
      </c>
      <c r="M762" s="26" t="n">
        <v>0</v>
      </c>
    </row>
    <row r="763" ht="16" customHeight="1">
      <c r="A763" t="inlineStr">
        <is>
          <t>04-Mar-2026</t>
        </is>
      </c>
      <c r="B763" t="inlineStr">
        <is>
          <t>Wednesday</t>
        </is>
      </c>
      <c r="C763" t="inlineStr">
        <is>
          <t>Week1-Mar-2026</t>
        </is>
      </c>
      <c r="D763" s="78" t="n">
        <v>46082</v>
      </c>
      <c r="E763" t="inlineStr">
        <is>
          <t>Q4FY26</t>
        </is>
      </c>
      <c r="F763" t="inlineStr">
        <is>
          <t>29-Dec-2026</t>
        </is>
      </c>
      <c r="G763" t="inlineStr">
        <is>
          <t>Tuesday</t>
        </is>
      </c>
      <c r="H763" t="inlineStr">
        <is>
          <t>Monthly - Tuesday</t>
        </is>
      </c>
      <c r="I763" t="inlineStr">
        <is>
          <t>Monthly - Tuesday</t>
        </is>
      </c>
      <c r="J763" t="inlineStr">
        <is>
          <t>Month+9 Expiry</t>
        </is>
      </c>
      <c r="K763" s="25" t="n">
        <v>0</v>
      </c>
      <c r="L763" s="26" t="n">
        <v>0</v>
      </c>
      <c r="M763" s="26" t="n">
        <v>0</v>
      </c>
    </row>
    <row r="764" ht="16" customHeight="1">
      <c r="A764" t="inlineStr">
        <is>
          <t>05-Mar-2026</t>
        </is>
      </c>
      <c r="B764" t="inlineStr">
        <is>
          <t>Thursday</t>
        </is>
      </c>
      <c r="C764" t="inlineStr">
        <is>
          <t>Week1-Mar-2026</t>
        </is>
      </c>
      <c r="D764" s="78" t="n">
        <v>46082</v>
      </c>
      <c r="E764" t="inlineStr">
        <is>
          <t>Q4FY26</t>
        </is>
      </c>
      <c r="F764" t="inlineStr">
        <is>
          <t>30-Mar-2026</t>
        </is>
      </c>
      <c r="G764" t="inlineStr">
        <is>
          <t>Monday</t>
        </is>
      </c>
      <c r="H764" t="inlineStr">
        <is>
          <t>Monthly - Monday</t>
        </is>
      </c>
      <c r="I764" t="inlineStr">
        <is>
          <t>Monthly - Monday</t>
        </is>
      </c>
      <c r="J764" t="inlineStr">
        <is>
          <t>Same Month Expiry</t>
        </is>
      </c>
      <c r="K764" s="25" t="n">
        <v>2837637</v>
      </c>
      <c r="L764" s="26" t="n">
        <v>5052.8977</v>
      </c>
      <c r="M764" s="26" t="n">
        <v>54.1067</v>
      </c>
    </row>
    <row r="765" ht="16" customHeight="1">
      <c r="A765" t="inlineStr">
        <is>
          <t>05-Mar-2026</t>
        </is>
      </c>
      <c r="B765" t="inlineStr">
        <is>
          <t>Thursday</t>
        </is>
      </c>
      <c r="C765" t="inlineStr">
        <is>
          <t>Week1-Mar-2026</t>
        </is>
      </c>
      <c r="D765" s="78" t="n">
        <v>46082</v>
      </c>
      <c r="E765" t="inlineStr">
        <is>
          <t>Q4FY26</t>
        </is>
      </c>
      <c r="F765" t="inlineStr">
        <is>
          <t>28-Apr-2026</t>
        </is>
      </c>
      <c r="G765" t="inlineStr">
        <is>
          <t>Tuesday</t>
        </is>
      </c>
      <c r="H765" t="inlineStr">
        <is>
          <t>Monthly - Tuesday</t>
        </is>
      </c>
      <c r="I765" t="inlineStr">
        <is>
          <t>Monthly - Tuesday</t>
        </is>
      </c>
      <c r="J765" t="inlineStr">
        <is>
          <t>Month+1 Expiry</t>
        </is>
      </c>
      <c r="K765" s="25" t="n">
        <v>82730</v>
      </c>
      <c r="L765" s="26" t="n">
        <v>149.9902</v>
      </c>
      <c r="M765" s="26" t="n">
        <v>2.3873</v>
      </c>
    </row>
    <row r="766" ht="16" customHeight="1">
      <c r="A766" t="inlineStr">
        <is>
          <t>05-Mar-2026</t>
        </is>
      </c>
      <c r="B766" t="inlineStr">
        <is>
          <t>Thursday</t>
        </is>
      </c>
      <c r="C766" t="inlineStr">
        <is>
          <t>Week1-Mar-2026</t>
        </is>
      </c>
      <c r="D766" s="78" t="n">
        <v>46082</v>
      </c>
      <c r="E766" t="inlineStr">
        <is>
          <t>Q4FY26</t>
        </is>
      </c>
      <c r="F766" t="inlineStr">
        <is>
          <t>26-May-2026</t>
        </is>
      </c>
      <c r="G766" t="inlineStr">
        <is>
          <t>Tuesday</t>
        </is>
      </c>
      <c r="H766" t="inlineStr">
        <is>
          <t>Monthly - Tuesday</t>
        </is>
      </c>
      <c r="I766" t="inlineStr">
        <is>
          <t>Monthly - Tuesday</t>
        </is>
      </c>
      <c r="J766" t="inlineStr">
        <is>
          <t>Month+2 Expiry</t>
        </is>
      </c>
      <c r="K766" s="25" t="n">
        <v>3869</v>
      </c>
      <c r="L766" s="26" t="n">
        <v>7.0822</v>
      </c>
      <c r="M766" s="26" t="n">
        <v>0.1208</v>
      </c>
    </row>
    <row r="767" ht="16" customHeight="1">
      <c r="A767" t="inlineStr">
        <is>
          <t>05-Mar-2026</t>
        </is>
      </c>
      <c r="B767" t="inlineStr">
        <is>
          <t>Thursday</t>
        </is>
      </c>
      <c r="C767" t="inlineStr">
        <is>
          <t>Week1-Mar-2026</t>
        </is>
      </c>
      <c r="D767" s="78" t="n">
        <v>46082</v>
      </c>
      <c r="E767" t="inlineStr">
        <is>
          <t>Q4FY26</t>
        </is>
      </c>
      <c r="F767" t="inlineStr">
        <is>
          <t>30-Jun-2026</t>
        </is>
      </c>
      <c r="G767" t="inlineStr">
        <is>
          <t>Tuesday</t>
        </is>
      </c>
      <c r="H767" t="inlineStr">
        <is>
          <t>Monthly - Tuesday</t>
        </is>
      </c>
      <c r="I767" t="inlineStr">
        <is>
          <t>Monthly - Tuesday</t>
        </is>
      </c>
      <c r="J767" t="inlineStr">
        <is>
          <t>Month+3 Expiry</t>
        </is>
      </c>
      <c r="K767" s="25" t="n">
        <v>764</v>
      </c>
      <c r="L767" s="26" t="n">
        <v>1.4061</v>
      </c>
      <c r="M767" s="26" t="n">
        <v>0.0294</v>
      </c>
    </row>
    <row r="768" ht="16" customHeight="1">
      <c r="A768" t="inlineStr">
        <is>
          <t>05-Mar-2026</t>
        </is>
      </c>
      <c r="B768" t="inlineStr">
        <is>
          <t>Thursday</t>
        </is>
      </c>
      <c r="C768" t="inlineStr">
        <is>
          <t>Week1-Mar-2026</t>
        </is>
      </c>
      <c r="D768" s="78" t="n">
        <v>46082</v>
      </c>
      <c r="E768" t="inlineStr">
        <is>
          <t>Q4FY26</t>
        </is>
      </c>
      <c r="F768" t="inlineStr">
        <is>
          <t>29-Sep-2026</t>
        </is>
      </c>
      <c r="G768" t="inlineStr">
        <is>
          <t>Tuesday</t>
        </is>
      </c>
      <c r="H768" t="inlineStr">
        <is>
          <t>Monthly - Tuesday</t>
        </is>
      </c>
      <c r="I768" t="inlineStr">
        <is>
          <t>Monthly - Tuesday</t>
        </is>
      </c>
      <c r="J768" t="inlineStr">
        <is>
          <t>Month+6 Expiry</t>
        </is>
      </c>
      <c r="K768" s="25" t="n">
        <v>0</v>
      </c>
      <c r="L768" s="26" t="n">
        <v>0</v>
      </c>
      <c r="M768" s="26" t="n">
        <v>0</v>
      </c>
    </row>
    <row r="769" ht="16" customHeight="1">
      <c r="A769" t="inlineStr">
        <is>
          <t>05-Mar-2026</t>
        </is>
      </c>
      <c r="B769" t="inlineStr">
        <is>
          <t>Thursday</t>
        </is>
      </c>
      <c r="C769" t="inlineStr">
        <is>
          <t>Week1-Mar-2026</t>
        </is>
      </c>
      <c r="D769" s="78" t="n">
        <v>46082</v>
      </c>
      <c r="E769" t="inlineStr">
        <is>
          <t>Q4FY26</t>
        </is>
      </c>
      <c r="F769" t="inlineStr">
        <is>
          <t>29-Dec-2026</t>
        </is>
      </c>
      <c r="G769" t="inlineStr">
        <is>
          <t>Tuesday</t>
        </is>
      </c>
      <c r="H769" t="inlineStr">
        <is>
          <t>Monthly - Tuesday</t>
        </is>
      </c>
      <c r="I769" t="inlineStr">
        <is>
          <t>Monthly - Tuesday</t>
        </is>
      </c>
      <c r="J769" t="inlineStr">
        <is>
          <t>Month+9 Expiry</t>
        </is>
      </c>
      <c r="K769" s="25" t="n">
        <v>0</v>
      </c>
      <c r="L769" s="26" t="n">
        <v>0</v>
      </c>
      <c r="M769" s="26" t="n">
        <v>0</v>
      </c>
    </row>
    <row r="770" ht="16" customHeight="1">
      <c r="A770" t="inlineStr">
        <is>
          <t>06-Mar-2026</t>
        </is>
      </c>
      <c r="B770" t="inlineStr">
        <is>
          <t>Friday</t>
        </is>
      </c>
      <c r="C770" t="inlineStr">
        <is>
          <t>Week1-Mar-2026</t>
        </is>
      </c>
      <c r="D770" s="78" t="n">
        <v>46082</v>
      </c>
      <c r="E770" t="inlineStr">
        <is>
          <t>Q4FY26</t>
        </is>
      </c>
      <c r="F770" t="inlineStr">
        <is>
          <t>30-Mar-2026</t>
        </is>
      </c>
      <c r="G770" t="inlineStr">
        <is>
          <t>Monday</t>
        </is>
      </c>
      <c r="H770" t="inlineStr">
        <is>
          <t>Monthly - Monday</t>
        </is>
      </c>
      <c r="I770" t="inlineStr">
        <is>
          <t>Monthly - Monday</t>
        </is>
      </c>
      <c r="J770" t="inlineStr">
        <is>
          <t>Same Month Expiry</t>
        </is>
      </c>
      <c r="K770" s="25" t="n">
        <v>2866522</v>
      </c>
      <c r="L770" s="26" t="n">
        <v>5049.9653</v>
      </c>
      <c r="M770" s="26" t="n">
        <v>58.5898</v>
      </c>
    </row>
    <row r="771" ht="16" customHeight="1">
      <c r="A771" t="inlineStr">
        <is>
          <t>06-Mar-2026</t>
        </is>
      </c>
      <c r="B771" t="inlineStr">
        <is>
          <t>Friday</t>
        </is>
      </c>
      <c r="C771" t="inlineStr">
        <is>
          <t>Week1-Mar-2026</t>
        </is>
      </c>
      <c r="D771" s="78" t="n">
        <v>46082</v>
      </c>
      <c r="E771" t="inlineStr">
        <is>
          <t>Q4FY26</t>
        </is>
      </c>
      <c r="F771" t="inlineStr">
        <is>
          <t>28-Apr-2026</t>
        </is>
      </c>
      <c r="G771" t="inlineStr">
        <is>
          <t>Tuesday</t>
        </is>
      </c>
      <c r="H771" t="inlineStr">
        <is>
          <t>Monthly - Tuesday</t>
        </is>
      </c>
      <c r="I771" t="inlineStr">
        <is>
          <t>Monthly - Tuesday</t>
        </is>
      </c>
      <c r="J771" t="inlineStr">
        <is>
          <t>Month+1 Expiry</t>
        </is>
      </c>
      <c r="K771" s="25" t="n">
        <v>90120</v>
      </c>
      <c r="L771" s="26" t="n">
        <v>162.8729</v>
      </c>
      <c r="M771" s="26" t="n">
        <v>2.589</v>
      </c>
    </row>
    <row r="772" ht="16" customHeight="1">
      <c r="A772" t="inlineStr">
        <is>
          <t>06-Mar-2026</t>
        </is>
      </c>
      <c r="B772" t="inlineStr">
        <is>
          <t>Friday</t>
        </is>
      </c>
      <c r="C772" t="inlineStr">
        <is>
          <t>Week1-Mar-2026</t>
        </is>
      </c>
      <c r="D772" s="78" t="n">
        <v>46082</v>
      </c>
      <c r="E772" t="inlineStr">
        <is>
          <t>Q4FY26</t>
        </is>
      </c>
      <c r="F772" t="inlineStr">
        <is>
          <t>26-May-2026</t>
        </is>
      </c>
      <c r="G772" t="inlineStr">
        <is>
          <t>Tuesday</t>
        </is>
      </c>
      <c r="H772" t="inlineStr">
        <is>
          <t>Monthly - Tuesday</t>
        </is>
      </c>
      <c r="I772" t="inlineStr">
        <is>
          <t>Monthly - Tuesday</t>
        </is>
      </c>
      <c r="J772" t="inlineStr">
        <is>
          <t>Month+2 Expiry</t>
        </is>
      </c>
      <c r="K772" s="25" t="n">
        <v>4256</v>
      </c>
      <c r="L772" s="26" t="n">
        <v>7.7239</v>
      </c>
      <c r="M772" s="26" t="n">
        <v>0.1535</v>
      </c>
    </row>
    <row r="773" ht="16" customHeight="1">
      <c r="A773" t="inlineStr">
        <is>
          <t>06-Mar-2026</t>
        </is>
      </c>
      <c r="B773" t="inlineStr">
        <is>
          <t>Friday</t>
        </is>
      </c>
      <c r="C773" t="inlineStr">
        <is>
          <t>Week1-Mar-2026</t>
        </is>
      </c>
      <c r="D773" s="78" t="n">
        <v>46082</v>
      </c>
      <c r="E773" t="inlineStr">
        <is>
          <t>Q4FY26</t>
        </is>
      </c>
      <c r="F773" t="inlineStr">
        <is>
          <t>30-Jun-2026</t>
        </is>
      </c>
      <c r="G773" t="inlineStr">
        <is>
          <t>Tuesday</t>
        </is>
      </c>
      <c r="H773" t="inlineStr">
        <is>
          <t>Monthly - Tuesday</t>
        </is>
      </c>
      <c r="I773" t="inlineStr">
        <is>
          <t>Monthly - Tuesday</t>
        </is>
      </c>
      <c r="J773" t="inlineStr">
        <is>
          <t>Month+3 Expiry</t>
        </is>
      </c>
      <c r="K773" s="25" t="n">
        <v>916</v>
      </c>
      <c r="L773" s="26" t="n">
        <v>1.6778</v>
      </c>
      <c r="M773" s="26" t="n">
        <v>0.0331</v>
      </c>
    </row>
    <row r="774" ht="16" customHeight="1">
      <c r="A774" t="inlineStr">
        <is>
          <t>06-Mar-2026</t>
        </is>
      </c>
      <c r="B774" t="inlineStr">
        <is>
          <t>Friday</t>
        </is>
      </c>
      <c r="C774" t="inlineStr">
        <is>
          <t>Week1-Mar-2026</t>
        </is>
      </c>
      <c r="D774" s="78" t="n">
        <v>46082</v>
      </c>
      <c r="E774" t="inlineStr">
        <is>
          <t>Q4FY26</t>
        </is>
      </c>
      <c r="F774" t="inlineStr">
        <is>
          <t>29-Sep-2026</t>
        </is>
      </c>
      <c r="G774" t="inlineStr">
        <is>
          <t>Tuesday</t>
        </is>
      </c>
      <c r="H774" t="inlineStr">
        <is>
          <t>Monthly - Tuesday</t>
        </is>
      </c>
      <c r="I774" t="inlineStr">
        <is>
          <t>Monthly - Tuesday</t>
        </is>
      </c>
      <c r="J774" t="inlineStr">
        <is>
          <t>Month+6 Expiry</t>
        </is>
      </c>
      <c r="K774" s="25" t="n">
        <v>0</v>
      </c>
      <c r="L774" s="26" t="n">
        <v>0</v>
      </c>
      <c r="M774" s="26" t="n">
        <v>0</v>
      </c>
    </row>
    <row r="775" ht="16" customHeight="1">
      <c r="A775" t="inlineStr">
        <is>
          <t>06-Mar-2026</t>
        </is>
      </c>
      <c r="B775" t="inlineStr">
        <is>
          <t>Friday</t>
        </is>
      </c>
      <c r="C775" t="inlineStr">
        <is>
          <t>Week1-Mar-2026</t>
        </is>
      </c>
      <c r="D775" s="78" t="n">
        <v>46082</v>
      </c>
      <c r="E775" t="inlineStr">
        <is>
          <t>Q4FY26</t>
        </is>
      </c>
      <c r="F775" t="inlineStr">
        <is>
          <t>29-Dec-2026</t>
        </is>
      </c>
      <c r="G775" t="inlineStr">
        <is>
          <t>Tuesday</t>
        </is>
      </c>
      <c r="H775" t="inlineStr">
        <is>
          <t>Monthly - Tuesday</t>
        </is>
      </c>
      <c r="I775" t="inlineStr">
        <is>
          <t>Monthly - Tuesday</t>
        </is>
      </c>
      <c r="J775" t="inlineStr">
        <is>
          <t>Month+9 Expiry</t>
        </is>
      </c>
      <c r="K775" s="25" t="n">
        <v>0</v>
      </c>
      <c r="L775" s="26" t="n">
        <v>0</v>
      </c>
      <c r="M775" s="26" t="n">
        <v>0</v>
      </c>
    </row>
    <row r="776" ht="16" customHeight="1">
      <c r="A776" t="inlineStr">
        <is>
          <t>09-Mar-2026</t>
        </is>
      </c>
      <c r="B776" t="inlineStr">
        <is>
          <t>Monday</t>
        </is>
      </c>
      <c r="C776" t="inlineStr">
        <is>
          <t>Week2-Mar-2026</t>
        </is>
      </c>
      <c r="D776" s="78" t="n">
        <v>46082</v>
      </c>
      <c r="E776" t="inlineStr">
        <is>
          <t>Q4FY26</t>
        </is>
      </c>
      <c r="F776" t="inlineStr">
        <is>
          <t>30-Mar-2026</t>
        </is>
      </c>
      <c r="G776" t="inlineStr">
        <is>
          <t>Monday</t>
        </is>
      </c>
      <c r="H776" t="inlineStr">
        <is>
          <t>Monthly - Monday</t>
        </is>
      </c>
      <c r="I776" t="inlineStr">
        <is>
          <t>Monthly - Monday</t>
        </is>
      </c>
      <c r="J776" t="inlineStr">
        <is>
          <t>Same Month Expiry</t>
        </is>
      </c>
      <c r="K776" s="25" t="n">
        <v>2888911</v>
      </c>
      <c r="L776" s="26" t="n">
        <v>5001.9083</v>
      </c>
      <c r="M776" s="26" t="n">
        <v>72.2641</v>
      </c>
    </row>
    <row r="777" ht="16" customHeight="1">
      <c r="A777" t="inlineStr">
        <is>
          <t>09-Mar-2026</t>
        </is>
      </c>
      <c r="B777" t="inlineStr">
        <is>
          <t>Monday</t>
        </is>
      </c>
      <c r="C777" t="inlineStr">
        <is>
          <t>Week2-Mar-2026</t>
        </is>
      </c>
      <c r="D777" s="78" t="n">
        <v>46082</v>
      </c>
      <c r="E777" t="inlineStr">
        <is>
          <t>Q4FY26</t>
        </is>
      </c>
      <c r="F777" t="inlineStr">
        <is>
          <t>28-Apr-2026</t>
        </is>
      </c>
      <c r="G777" t="inlineStr">
        <is>
          <t>Tuesday</t>
        </is>
      </c>
      <c r="H777" t="inlineStr">
        <is>
          <t>Monthly - Tuesday</t>
        </is>
      </c>
      <c r="I777" t="inlineStr">
        <is>
          <t>Monthly - Tuesday</t>
        </is>
      </c>
      <c r="J777" t="inlineStr">
        <is>
          <t>Month+1 Expiry</t>
        </is>
      </c>
      <c r="K777" s="25" t="n">
        <v>125757</v>
      </c>
      <c r="L777" s="26" t="n">
        <v>224.7017</v>
      </c>
      <c r="M777" s="26" t="n">
        <v>4.2353</v>
      </c>
    </row>
    <row r="778" ht="16" customHeight="1">
      <c r="A778" t="inlineStr">
        <is>
          <t>09-Mar-2026</t>
        </is>
      </c>
      <c r="B778" t="inlineStr">
        <is>
          <t>Monday</t>
        </is>
      </c>
      <c r="C778" t="inlineStr">
        <is>
          <t>Week2-Mar-2026</t>
        </is>
      </c>
      <c r="D778" s="78" t="n">
        <v>46082</v>
      </c>
      <c r="E778" t="inlineStr">
        <is>
          <t>Q4FY26</t>
        </is>
      </c>
      <c r="F778" t="inlineStr">
        <is>
          <t>26-May-2026</t>
        </is>
      </c>
      <c r="G778" t="inlineStr">
        <is>
          <t>Tuesday</t>
        </is>
      </c>
      <c r="H778" t="inlineStr">
        <is>
          <t>Monthly - Tuesday</t>
        </is>
      </c>
      <c r="I778" t="inlineStr">
        <is>
          <t>Monthly - Tuesday</t>
        </is>
      </c>
      <c r="J778" t="inlineStr">
        <is>
          <t>Month+2 Expiry</t>
        </is>
      </c>
      <c r="K778" s="25" t="n">
        <v>6838</v>
      </c>
      <c r="L778" s="26" t="n">
        <v>12.2645</v>
      </c>
      <c r="M778" s="26" t="n">
        <v>0.3072</v>
      </c>
    </row>
    <row r="779" ht="16" customHeight="1">
      <c r="A779" t="inlineStr">
        <is>
          <t>09-Mar-2026</t>
        </is>
      </c>
      <c r="B779" t="inlineStr">
        <is>
          <t>Monday</t>
        </is>
      </c>
      <c r="C779" t="inlineStr">
        <is>
          <t>Week2-Mar-2026</t>
        </is>
      </c>
      <c r="D779" s="78" t="n">
        <v>46082</v>
      </c>
      <c r="E779" t="inlineStr">
        <is>
          <t>Q4FY26</t>
        </is>
      </c>
      <c r="F779" t="inlineStr">
        <is>
          <t>30-Jun-2026</t>
        </is>
      </c>
      <c r="G779" t="inlineStr">
        <is>
          <t>Tuesday</t>
        </is>
      </c>
      <c r="H779" t="inlineStr">
        <is>
          <t>Monthly - Tuesday</t>
        </is>
      </c>
      <c r="I779" t="inlineStr">
        <is>
          <t>Monthly - Tuesday</t>
        </is>
      </c>
      <c r="J779" t="inlineStr">
        <is>
          <t>Month+3 Expiry</t>
        </is>
      </c>
      <c r="K779" s="25" t="n">
        <v>2798</v>
      </c>
      <c r="L779" s="26" t="n">
        <v>5.0152</v>
      </c>
      <c r="M779" s="26" t="n">
        <v>0.1125</v>
      </c>
    </row>
    <row r="780" ht="16" customHeight="1">
      <c r="A780" t="inlineStr">
        <is>
          <t>09-Mar-2026</t>
        </is>
      </c>
      <c r="B780" t="inlineStr">
        <is>
          <t>Monday</t>
        </is>
      </c>
      <c r="C780" t="inlineStr">
        <is>
          <t>Week2-Mar-2026</t>
        </is>
      </c>
      <c r="D780" s="78" t="n">
        <v>46082</v>
      </c>
      <c r="E780" t="inlineStr">
        <is>
          <t>Q4FY26</t>
        </is>
      </c>
      <c r="F780" t="inlineStr">
        <is>
          <t>29-Sep-2026</t>
        </is>
      </c>
      <c r="G780" t="inlineStr">
        <is>
          <t>Tuesday</t>
        </is>
      </c>
      <c r="H780" t="inlineStr">
        <is>
          <t>Monthly - Tuesday</t>
        </is>
      </c>
      <c r="I780" t="inlineStr">
        <is>
          <t>Monthly - Tuesday</t>
        </is>
      </c>
      <c r="J780" t="inlineStr">
        <is>
          <t>Month+6 Expiry</t>
        </is>
      </c>
      <c r="K780" s="25" t="n">
        <v>0</v>
      </c>
      <c r="L780" s="26" t="n">
        <v>0</v>
      </c>
      <c r="M780" s="26" t="n">
        <v>0</v>
      </c>
    </row>
    <row r="781" ht="16" customHeight="1">
      <c r="A781" t="inlineStr">
        <is>
          <t>09-Mar-2026</t>
        </is>
      </c>
      <c r="B781" t="inlineStr">
        <is>
          <t>Monday</t>
        </is>
      </c>
      <c r="C781" t="inlineStr">
        <is>
          <t>Week2-Mar-2026</t>
        </is>
      </c>
      <c r="D781" s="78" t="n">
        <v>46082</v>
      </c>
      <c r="E781" t="inlineStr">
        <is>
          <t>Q4FY26</t>
        </is>
      </c>
      <c r="F781" t="inlineStr">
        <is>
          <t>29-Dec-2026</t>
        </is>
      </c>
      <c r="G781" t="inlineStr">
        <is>
          <t>Tuesday</t>
        </is>
      </c>
      <c r="H781" t="inlineStr">
        <is>
          <t>Monthly - Tuesday</t>
        </is>
      </c>
      <c r="I781" t="inlineStr">
        <is>
          <t>Monthly - Tuesday</t>
        </is>
      </c>
      <c r="J781" t="inlineStr">
        <is>
          <t>Month+9 Expiry</t>
        </is>
      </c>
      <c r="K781" s="25" t="n">
        <v>0</v>
      </c>
      <c r="L781" s="26" t="n">
        <v>0</v>
      </c>
      <c r="M781" s="26" t="n">
        <v>0</v>
      </c>
    </row>
    <row r="782" ht="16" customHeight="1">
      <c r="A782" t="inlineStr">
        <is>
          <t>10-Mar-2026</t>
        </is>
      </c>
      <c r="B782" t="inlineStr">
        <is>
          <t>Tuesday</t>
        </is>
      </c>
      <c r="C782" t="inlineStr">
        <is>
          <t>Week2-Mar-2026</t>
        </is>
      </c>
      <c r="D782" s="78" t="n">
        <v>46082</v>
      </c>
      <c r="E782" t="inlineStr">
        <is>
          <t>Q4FY26</t>
        </is>
      </c>
      <c r="F782" t="inlineStr">
        <is>
          <t>30-Mar-2026</t>
        </is>
      </c>
      <c r="G782" t="inlineStr">
        <is>
          <t>Monday</t>
        </is>
      </c>
      <c r="H782" t="inlineStr">
        <is>
          <t>Monthly - Monday</t>
        </is>
      </c>
      <c r="I782" t="inlineStr">
        <is>
          <t>Monthly - Monday</t>
        </is>
      </c>
      <c r="J782" t="inlineStr">
        <is>
          <t>Same Month Expiry</t>
        </is>
      </c>
      <c r="K782" s="25" t="n">
        <v>2451975</v>
      </c>
      <c r="L782" s="26" t="n">
        <v>4244.7377</v>
      </c>
      <c r="M782" s="26" t="n">
        <v>49.3932</v>
      </c>
    </row>
    <row r="783" ht="16" customHeight="1">
      <c r="A783" t="inlineStr">
        <is>
          <t>10-Mar-2026</t>
        </is>
      </c>
      <c r="B783" t="inlineStr">
        <is>
          <t>Tuesday</t>
        </is>
      </c>
      <c r="C783" t="inlineStr">
        <is>
          <t>Week2-Mar-2026</t>
        </is>
      </c>
      <c r="D783" s="78" t="n">
        <v>46082</v>
      </c>
      <c r="E783" t="inlineStr">
        <is>
          <t>Q4FY26</t>
        </is>
      </c>
      <c r="F783" t="inlineStr">
        <is>
          <t>28-Apr-2026</t>
        </is>
      </c>
      <c r="G783" t="inlineStr">
        <is>
          <t>Tuesday</t>
        </is>
      </c>
      <c r="H783" t="inlineStr">
        <is>
          <t>Monthly - Tuesday</t>
        </is>
      </c>
      <c r="I783" t="inlineStr">
        <is>
          <t>Monthly - Tuesday</t>
        </is>
      </c>
      <c r="J783" t="inlineStr">
        <is>
          <t>Month+1 Expiry</t>
        </is>
      </c>
      <c r="K783" s="25" t="n">
        <v>114144</v>
      </c>
      <c r="L783" s="26" t="n">
        <v>205.5598</v>
      </c>
      <c r="M783" s="26" t="n">
        <v>3.7164</v>
      </c>
    </row>
    <row r="784" ht="16" customHeight="1">
      <c r="A784" t="inlineStr">
        <is>
          <t>10-Mar-2026</t>
        </is>
      </c>
      <c r="B784" t="inlineStr">
        <is>
          <t>Tuesday</t>
        </is>
      </c>
      <c r="C784" t="inlineStr">
        <is>
          <t>Week2-Mar-2026</t>
        </is>
      </c>
      <c r="D784" s="78" t="n">
        <v>46082</v>
      </c>
      <c r="E784" t="inlineStr">
        <is>
          <t>Q4FY26</t>
        </is>
      </c>
      <c r="F784" t="inlineStr">
        <is>
          <t>26-May-2026</t>
        </is>
      </c>
      <c r="G784" t="inlineStr">
        <is>
          <t>Tuesday</t>
        </is>
      </c>
      <c r="H784" t="inlineStr">
        <is>
          <t>Monthly - Tuesday</t>
        </is>
      </c>
      <c r="I784" t="inlineStr">
        <is>
          <t>Monthly - Tuesday</t>
        </is>
      </c>
      <c r="J784" t="inlineStr">
        <is>
          <t>Month+2 Expiry</t>
        </is>
      </c>
      <c r="K784" s="25" t="n">
        <v>4678</v>
      </c>
      <c r="L784" s="26" t="n">
        <v>8.4331</v>
      </c>
      <c r="M784" s="26" t="n">
        <v>0.1549</v>
      </c>
    </row>
    <row r="785" ht="16" customHeight="1">
      <c r="A785" t="inlineStr">
        <is>
          <t>10-Mar-2026</t>
        </is>
      </c>
      <c r="B785" t="inlineStr">
        <is>
          <t>Tuesday</t>
        </is>
      </c>
      <c r="C785" t="inlineStr">
        <is>
          <t>Week2-Mar-2026</t>
        </is>
      </c>
      <c r="D785" s="78" t="n">
        <v>46082</v>
      </c>
      <c r="E785" t="inlineStr">
        <is>
          <t>Q4FY26</t>
        </is>
      </c>
      <c r="F785" t="inlineStr">
        <is>
          <t>30-Jun-2026</t>
        </is>
      </c>
      <c r="G785" t="inlineStr">
        <is>
          <t>Tuesday</t>
        </is>
      </c>
      <c r="H785" t="inlineStr">
        <is>
          <t>Monthly - Tuesday</t>
        </is>
      </c>
      <c r="I785" t="inlineStr">
        <is>
          <t>Monthly - Tuesday</t>
        </is>
      </c>
      <c r="J785" t="inlineStr">
        <is>
          <t>Month+3 Expiry</t>
        </is>
      </c>
      <c r="K785" s="25" t="n">
        <v>1351</v>
      </c>
      <c r="L785" s="26" t="n">
        <v>2.4594</v>
      </c>
      <c r="M785" s="26" t="n">
        <v>0.0429</v>
      </c>
    </row>
    <row r="786" ht="16" customHeight="1">
      <c r="A786" t="inlineStr">
        <is>
          <t>10-Mar-2026</t>
        </is>
      </c>
      <c r="B786" t="inlineStr">
        <is>
          <t>Tuesday</t>
        </is>
      </c>
      <c r="C786" t="inlineStr">
        <is>
          <t>Week2-Mar-2026</t>
        </is>
      </c>
      <c r="D786" s="78" t="n">
        <v>46082</v>
      </c>
      <c r="E786" t="inlineStr">
        <is>
          <t>Q4FY26</t>
        </is>
      </c>
      <c r="F786" t="inlineStr">
        <is>
          <t>29-Sep-2026</t>
        </is>
      </c>
      <c r="G786" t="inlineStr">
        <is>
          <t>Tuesday</t>
        </is>
      </c>
      <c r="H786" t="inlineStr">
        <is>
          <t>Monthly - Tuesday</t>
        </is>
      </c>
      <c r="I786" t="inlineStr">
        <is>
          <t>Monthly - Tuesday</t>
        </is>
      </c>
      <c r="J786" t="inlineStr">
        <is>
          <t>Month+6 Expiry</t>
        </is>
      </c>
      <c r="K786" s="25" t="n">
        <v>0</v>
      </c>
      <c r="L786" s="26" t="n">
        <v>0</v>
      </c>
      <c r="M786" s="26" t="n">
        <v>0</v>
      </c>
    </row>
    <row r="787" ht="16" customHeight="1">
      <c r="A787" t="inlineStr">
        <is>
          <t>10-Mar-2026</t>
        </is>
      </c>
      <c r="B787" t="inlineStr">
        <is>
          <t>Tuesday</t>
        </is>
      </c>
      <c r="C787" t="inlineStr">
        <is>
          <t>Week2-Mar-2026</t>
        </is>
      </c>
      <c r="D787" s="78" t="n">
        <v>46082</v>
      </c>
      <c r="E787" t="inlineStr">
        <is>
          <t>Q4FY26</t>
        </is>
      </c>
      <c r="F787" t="inlineStr">
        <is>
          <t>29-Dec-2026</t>
        </is>
      </c>
      <c r="G787" t="inlineStr">
        <is>
          <t>Tuesday</t>
        </is>
      </c>
      <c r="H787" t="inlineStr">
        <is>
          <t>Monthly - Tuesday</t>
        </is>
      </c>
      <c r="I787" t="inlineStr">
        <is>
          <t>Monthly - Tuesday</t>
        </is>
      </c>
      <c r="J787" t="inlineStr">
        <is>
          <t>Month+9 Expiry</t>
        </is>
      </c>
      <c r="K787" s="25" t="n">
        <v>0</v>
      </c>
      <c r="L787" s="26" t="n">
        <v>0</v>
      </c>
      <c r="M787" s="26" t="n">
        <v>0</v>
      </c>
    </row>
    <row r="788" ht="16" customHeight="1">
      <c r="A788" t="inlineStr">
        <is>
          <t>11-Mar-2026</t>
        </is>
      </c>
      <c r="B788" t="inlineStr">
        <is>
          <t>Wednesday</t>
        </is>
      </c>
      <c r="C788" t="inlineStr">
        <is>
          <t>Week2-Mar-2026</t>
        </is>
      </c>
      <c r="D788" s="78" t="n">
        <v>46082</v>
      </c>
      <c r="E788" t="inlineStr">
        <is>
          <t>Q4FY26</t>
        </is>
      </c>
      <c r="F788" t="inlineStr">
        <is>
          <t>30-Mar-2026</t>
        </is>
      </c>
      <c r="G788" t="inlineStr">
        <is>
          <t>Monday</t>
        </is>
      </c>
      <c r="H788" t="inlineStr">
        <is>
          <t>Monthly - Monday</t>
        </is>
      </c>
      <c r="I788" t="inlineStr">
        <is>
          <t>Monthly - Monday</t>
        </is>
      </c>
      <c r="J788" t="inlineStr">
        <is>
          <t>Same Month Expiry</t>
        </is>
      </c>
      <c r="K788" s="25" t="n">
        <v>2588800</v>
      </c>
      <c r="L788" s="26" t="n">
        <v>4457.8354</v>
      </c>
      <c r="M788" s="26" t="n">
        <v>51.4296</v>
      </c>
    </row>
    <row r="789" ht="16" customHeight="1">
      <c r="A789" t="inlineStr">
        <is>
          <t>11-Mar-2026</t>
        </is>
      </c>
      <c r="B789" t="inlineStr">
        <is>
          <t>Wednesday</t>
        </is>
      </c>
      <c r="C789" t="inlineStr">
        <is>
          <t>Week2-Mar-2026</t>
        </is>
      </c>
      <c r="D789" s="78" t="n">
        <v>46082</v>
      </c>
      <c r="E789" t="inlineStr">
        <is>
          <t>Q4FY26</t>
        </is>
      </c>
      <c r="F789" t="inlineStr">
        <is>
          <t>28-Apr-2026</t>
        </is>
      </c>
      <c r="G789" t="inlineStr">
        <is>
          <t>Tuesday</t>
        </is>
      </c>
      <c r="H789" t="inlineStr">
        <is>
          <t>Monthly - Tuesday</t>
        </is>
      </c>
      <c r="I789" t="inlineStr">
        <is>
          <t>Monthly - Tuesday</t>
        </is>
      </c>
      <c r="J789" t="inlineStr">
        <is>
          <t>Month+1 Expiry</t>
        </is>
      </c>
      <c r="K789" s="25" t="n">
        <v>138782</v>
      </c>
      <c r="L789" s="26" t="n">
        <v>247.4927</v>
      </c>
      <c r="M789" s="26" t="n">
        <v>4.3229</v>
      </c>
    </row>
    <row r="790" ht="16" customHeight="1">
      <c r="A790" t="inlineStr">
        <is>
          <t>11-Mar-2026</t>
        </is>
      </c>
      <c r="B790" t="inlineStr">
        <is>
          <t>Wednesday</t>
        </is>
      </c>
      <c r="C790" t="inlineStr">
        <is>
          <t>Week2-Mar-2026</t>
        </is>
      </c>
      <c r="D790" s="78" t="n">
        <v>46082</v>
      </c>
      <c r="E790" t="inlineStr">
        <is>
          <t>Q4FY26</t>
        </is>
      </c>
      <c r="F790" t="inlineStr">
        <is>
          <t>26-May-2026</t>
        </is>
      </c>
      <c r="G790" t="inlineStr">
        <is>
          <t>Tuesday</t>
        </is>
      </c>
      <c r="H790" t="inlineStr">
        <is>
          <t>Monthly - Tuesday</t>
        </is>
      </c>
      <c r="I790" t="inlineStr">
        <is>
          <t>Monthly - Tuesday</t>
        </is>
      </c>
      <c r="J790" t="inlineStr">
        <is>
          <t>Month+2 Expiry</t>
        </is>
      </c>
      <c r="K790" s="25" t="n">
        <v>6964</v>
      </c>
      <c r="L790" s="26" t="n">
        <v>12.5123</v>
      </c>
      <c r="M790" s="26" t="n">
        <v>0.2381</v>
      </c>
    </row>
    <row r="791" ht="16" customHeight="1">
      <c r="A791" t="inlineStr">
        <is>
          <t>11-Mar-2026</t>
        </is>
      </c>
      <c r="B791" t="inlineStr">
        <is>
          <t>Wednesday</t>
        </is>
      </c>
      <c r="C791" t="inlineStr">
        <is>
          <t>Week2-Mar-2026</t>
        </is>
      </c>
      <c r="D791" s="78" t="n">
        <v>46082</v>
      </c>
      <c r="E791" t="inlineStr">
        <is>
          <t>Q4FY26</t>
        </is>
      </c>
      <c r="F791" t="inlineStr">
        <is>
          <t>30-Jun-2026</t>
        </is>
      </c>
      <c r="G791" t="inlineStr">
        <is>
          <t>Tuesday</t>
        </is>
      </c>
      <c r="H791" t="inlineStr">
        <is>
          <t>Monthly - Tuesday</t>
        </is>
      </c>
      <c r="I791" t="inlineStr">
        <is>
          <t>Monthly - Tuesday</t>
        </is>
      </c>
      <c r="J791" t="inlineStr">
        <is>
          <t>Month+3 Expiry</t>
        </is>
      </c>
      <c r="K791" s="25" t="n">
        <v>1586</v>
      </c>
      <c r="L791" s="26" t="n">
        <v>2.8689</v>
      </c>
      <c r="M791" s="26" t="n">
        <v>0.056</v>
      </c>
    </row>
    <row r="792" ht="16" customHeight="1">
      <c r="A792" t="inlineStr">
        <is>
          <t>11-Mar-2026</t>
        </is>
      </c>
      <c r="B792" t="inlineStr">
        <is>
          <t>Wednesday</t>
        </is>
      </c>
      <c r="C792" t="inlineStr">
        <is>
          <t>Week2-Mar-2026</t>
        </is>
      </c>
      <c r="D792" s="78" t="n">
        <v>46082</v>
      </c>
      <c r="E792" t="inlineStr">
        <is>
          <t>Q4FY26</t>
        </is>
      </c>
      <c r="F792" t="inlineStr">
        <is>
          <t>29-Sep-2026</t>
        </is>
      </c>
      <c r="G792" t="inlineStr">
        <is>
          <t>Tuesday</t>
        </is>
      </c>
      <c r="H792" t="inlineStr">
        <is>
          <t>Monthly - Tuesday</t>
        </is>
      </c>
      <c r="I792" t="inlineStr">
        <is>
          <t>Monthly - Tuesday</t>
        </is>
      </c>
      <c r="J792" t="inlineStr">
        <is>
          <t>Month+6 Expiry</t>
        </is>
      </c>
      <c r="K792" s="25" t="n">
        <v>0</v>
      </c>
      <c r="L792" s="26" t="n">
        <v>0</v>
      </c>
      <c r="M792" s="26" t="n">
        <v>0</v>
      </c>
    </row>
    <row r="793" ht="16" customHeight="1">
      <c r="A793" t="inlineStr">
        <is>
          <t>11-Mar-2026</t>
        </is>
      </c>
      <c r="B793" t="inlineStr">
        <is>
          <t>Wednesday</t>
        </is>
      </c>
      <c r="C793" t="inlineStr">
        <is>
          <t>Week2-Mar-2026</t>
        </is>
      </c>
      <c r="D793" s="78" t="n">
        <v>46082</v>
      </c>
      <c r="E793" t="inlineStr">
        <is>
          <t>Q4FY26</t>
        </is>
      </c>
      <c r="F793" t="inlineStr">
        <is>
          <t>29-Dec-2026</t>
        </is>
      </c>
      <c r="G793" t="inlineStr">
        <is>
          <t>Tuesday</t>
        </is>
      </c>
      <c r="H793" t="inlineStr">
        <is>
          <t>Monthly - Tuesday</t>
        </is>
      </c>
      <c r="I793" t="inlineStr">
        <is>
          <t>Monthly - Tuesday</t>
        </is>
      </c>
      <c r="J793" t="inlineStr">
        <is>
          <t>Month+9 Expiry</t>
        </is>
      </c>
      <c r="K793" s="25" t="n">
        <v>0</v>
      </c>
      <c r="L793" s="26" t="n">
        <v>0</v>
      </c>
      <c r="M793" s="26" t="n">
        <v>0</v>
      </c>
    </row>
    <row r="794" ht="16" customHeight="1">
      <c r="A794" t="inlineStr">
        <is>
          <t>12-Mar-2026</t>
        </is>
      </c>
      <c r="B794" t="inlineStr">
        <is>
          <t>Thursday</t>
        </is>
      </c>
      <c r="C794" t="inlineStr">
        <is>
          <t>Week2-Mar-2026</t>
        </is>
      </c>
      <c r="D794" s="78" t="n">
        <v>46082</v>
      </c>
      <c r="E794" t="inlineStr">
        <is>
          <t>Q4FY26</t>
        </is>
      </c>
      <c r="F794" t="inlineStr">
        <is>
          <t>30-Mar-2026</t>
        </is>
      </c>
      <c r="G794" t="inlineStr">
        <is>
          <t>Monday</t>
        </is>
      </c>
      <c r="H794" t="inlineStr">
        <is>
          <t>Monthly - Monday</t>
        </is>
      </c>
      <c r="I794" t="inlineStr">
        <is>
          <t>Monthly - Monday</t>
        </is>
      </c>
      <c r="J794" t="inlineStr">
        <is>
          <t>Same Month Expiry</t>
        </is>
      </c>
      <c r="K794" s="25" t="n">
        <v>2622396</v>
      </c>
      <c r="L794" s="26" t="n">
        <v>4454.5484</v>
      </c>
      <c r="M794" s="26" t="n">
        <v>53.6427</v>
      </c>
    </row>
    <row r="795" ht="16" customHeight="1">
      <c r="A795" t="inlineStr">
        <is>
          <t>12-Mar-2026</t>
        </is>
      </c>
      <c r="B795" t="inlineStr">
        <is>
          <t>Thursday</t>
        </is>
      </c>
      <c r="C795" t="inlineStr">
        <is>
          <t>Week2-Mar-2026</t>
        </is>
      </c>
      <c r="D795" s="78" t="n">
        <v>46082</v>
      </c>
      <c r="E795" t="inlineStr">
        <is>
          <t>Q4FY26</t>
        </is>
      </c>
      <c r="F795" t="inlineStr">
        <is>
          <t>28-Apr-2026</t>
        </is>
      </c>
      <c r="G795" t="inlineStr">
        <is>
          <t>Tuesday</t>
        </is>
      </c>
      <c r="H795" t="inlineStr">
        <is>
          <t>Monthly - Tuesday</t>
        </is>
      </c>
      <c r="I795" t="inlineStr">
        <is>
          <t>Monthly - Tuesday</t>
        </is>
      </c>
      <c r="J795" t="inlineStr">
        <is>
          <t>Month+1 Expiry</t>
        </is>
      </c>
      <c r="K795" s="25" t="n">
        <v>116200</v>
      </c>
      <c r="L795" s="26" t="n">
        <v>204.8034</v>
      </c>
      <c r="M795" s="26" t="n">
        <v>3.8403</v>
      </c>
    </row>
    <row r="796" ht="16" customHeight="1">
      <c r="A796" t="inlineStr">
        <is>
          <t>12-Mar-2026</t>
        </is>
      </c>
      <c r="B796" t="inlineStr">
        <is>
          <t>Thursday</t>
        </is>
      </c>
      <c r="C796" t="inlineStr">
        <is>
          <t>Week2-Mar-2026</t>
        </is>
      </c>
      <c r="D796" s="78" t="n">
        <v>46082</v>
      </c>
      <c r="E796" t="inlineStr">
        <is>
          <t>Q4FY26</t>
        </is>
      </c>
      <c r="F796" t="inlineStr">
        <is>
          <t>26-May-2026</t>
        </is>
      </c>
      <c r="G796" t="inlineStr">
        <is>
          <t>Tuesday</t>
        </is>
      </c>
      <c r="H796" t="inlineStr">
        <is>
          <t>Monthly - Tuesday</t>
        </is>
      </c>
      <c r="I796" t="inlineStr">
        <is>
          <t>Monthly - Tuesday</t>
        </is>
      </c>
      <c r="J796" t="inlineStr">
        <is>
          <t>Month+2 Expiry</t>
        </is>
      </c>
      <c r="K796" s="25" t="n">
        <v>6475</v>
      </c>
      <c r="L796" s="26" t="n">
        <v>11.3903</v>
      </c>
      <c r="M796" s="26" t="n">
        <v>0.2625</v>
      </c>
    </row>
    <row r="797" ht="16" customHeight="1">
      <c r="A797" t="inlineStr">
        <is>
          <t>12-Mar-2026</t>
        </is>
      </c>
      <c r="B797" t="inlineStr">
        <is>
          <t>Thursday</t>
        </is>
      </c>
      <c r="C797" t="inlineStr">
        <is>
          <t>Week2-Mar-2026</t>
        </is>
      </c>
      <c r="D797" s="78" t="n">
        <v>46082</v>
      </c>
      <c r="E797" t="inlineStr">
        <is>
          <t>Q4FY26</t>
        </is>
      </c>
      <c r="F797" t="inlineStr">
        <is>
          <t>30-Jun-2026</t>
        </is>
      </c>
      <c r="G797" t="inlineStr">
        <is>
          <t>Tuesday</t>
        </is>
      </c>
      <c r="H797" t="inlineStr">
        <is>
          <t>Monthly - Tuesday</t>
        </is>
      </c>
      <c r="I797" t="inlineStr">
        <is>
          <t>Monthly - Tuesday</t>
        </is>
      </c>
      <c r="J797" t="inlineStr">
        <is>
          <t>Month+3 Expiry</t>
        </is>
      </c>
      <c r="K797" s="25" t="n">
        <v>1155</v>
      </c>
      <c r="L797" s="26" t="n">
        <v>2.0786</v>
      </c>
      <c r="M797" s="26" t="n">
        <v>0.0379</v>
      </c>
    </row>
    <row r="798" ht="16" customHeight="1">
      <c r="A798" t="inlineStr">
        <is>
          <t>12-Mar-2026</t>
        </is>
      </c>
      <c r="B798" t="inlineStr">
        <is>
          <t>Thursday</t>
        </is>
      </c>
      <c r="C798" t="inlineStr">
        <is>
          <t>Week2-Mar-2026</t>
        </is>
      </c>
      <c r="D798" s="78" t="n">
        <v>46082</v>
      </c>
      <c r="E798" t="inlineStr">
        <is>
          <t>Q4FY26</t>
        </is>
      </c>
      <c r="F798" t="inlineStr">
        <is>
          <t>29-Sep-2026</t>
        </is>
      </c>
      <c r="G798" t="inlineStr">
        <is>
          <t>Tuesday</t>
        </is>
      </c>
      <c r="H798" t="inlineStr">
        <is>
          <t>Monthly - Tuesday</t>
        </is>
      </c>
      <c r="I798" t="inlineStr">
        <is>
          <t>Monthly - Tuesday</t>
        </is>
      </c>
      <c r="J798" t="inlineStr">
        <is>
          <t>Month+6 Expiry</t>
        </is>
      </c>
      <c r="K798" s="25" t="n">
        <v>0</v>
      </c>
      <c r="L798" s="26" t="n">
        <v>0</v>
      </c>
      <c r="M798" s="26" t="n">
        <v>0</v>
      </c>
    </row>
    <row r="799" ht="16" customHeight="1">
      <c r="A799" t="inlineStr">
        <is>
          <t>12-Mar-2026</t>
        </is>
      </c>
      <c r="B799" t="inlineStr">
        <is>
          <t>Thursday</t>
        </is>
      </c>
      <c r="C799" t="inlineStr">
        <is>
          <t>Week2-Mar-2026</t>
        </is>
      </c>
      <c r="D799" s="78" t="n">
        <v>46082</v>
      </c>
      <c r="E799" t="inlineStr">
        <is>
          <t>Q4FY26</t>
        </is>
      </c>
      <c r="F799" t="inlineStr">
        <is>
          <t>29-Dec-2026</t>
        </is>
      </c>
      <c r="G799" t="inlineStr">
        <is>
          <t>Tuesday</t>
        </is>
      </c>
      <c r="H799" t="inlineStr">
        <is>
          <t>Monthly - Tuesday</t>
        </is>
      </c>
      <c r="I799" t="inlineStr">
        <is>
          <t>Monthly - Tuesday</t>
        </is>
      </c>
      <c r="J799" t="inlineStr">
        <is>
          <t>Month+9 Expiry</t>
        </is>
      </c>
      <c r="K799" s="25" t="n">
        <v>0</v>
      </c>
      <c r="L799" s="26" t="n">
        <v>0</v>
      </c>
      <c r="M799" s="26" t="n">
        <v>0</v>
      </c>
    </row>
    <row r="800" ht="16" customHeight="1">
      <c r="A800" t="inlineStr">
        <is>
          <t>13-Mar-2026</t>
        </is>
      </c>
      <c r="B800" t="inlineStr">
        <is>
          <t>Friday</t>
        </is>
      </c>
      <c r="C800" t="inlineStr">
        <is>
          <t>Week2-Mar-2026</t>
        </is>
      </c>
      <c r="D800" s="78" t="n">
        <v>46082</v>
      </c>
      <c r="E800" t="inlineStr">
        <is>
          <t>Q4FY26</t>
        </is>
      </c>
      <c r="F800" t="inlineStr">
        <is>
          <t>30-Mar-2026</t>
        </is>
      </c>
      <c r="G800" t="inlineStr">
        <is>
          <t>Monday</t>
        </is>
      </c>
      <c r="H800" t="inlineStr">
        <is>
          <t>Monthly - Monday</t>
        </is>
      </c>
      <c r="I800" t="inlineStr">
        <is>
          <t>Monthly - Monday</t>
        </is>
      </c>
      <c r="J800" t="inlineStr">
        <is>
          <t>Same Month Expiry</t>
        </is>
      </c>
      <c r="K800" s="25" t="n">
        <v>3217131</v>
      </c>
      <c r="L800" s="26" t="n">
        <v>5360.856</v>
      </c>
      <c r="M800" s="26" t="n">
        <v>70.75620000000001</v>
      </c>
    </row>
    <row r="801" ht="16" customHeight="1">
      <c r="A801" t="inlineStr">
        <is>
          <t>13-Mar-2026</t>
        </is>
      </c>
      <c r="B801" t="inlineStr">
        <is>
          <t>Friday</t>
        </is>
      </c>
      <c r="C801" t="inlineStr">
        <is>
          <t>Week2-Mar-2026</t>
        </is>
      </c>
      <c r="D801" s="78" t="n">
        <v>46082</v>
      </c>
      <c r="E801" t="inlineStr">
        <is>
          <t>Q4FY26</t>
        </is>
      </c>
      <c r="F801" t="inlineStr">
        <is>
          <t>28-Apr-2026</t>
        </is>
      </c>
      <c r="G801" t="inlineStr">
        <is>
          <t>Tuesday</t>
        </is>
      </c>
      <c r="H801" t="inlineStr">
        <is>
          <t>Monthly - Tuesday</t>
        </is>
      </c>
      <c r="I801" t="inlineStr">
        <is>
          <t>Monthly - Tuesday</t>
        </is>
      </c>
      <c r="J801" t="inlineStr">
        <is>
          <t>Month+1 Expiry</t>
        </is>
      </c>
      <c r="K801" s="25" t="n">
        <v>160765</v>
      </c>
      <c r="L801" s="26" t="n">
        <v>280.4885</v>
      </c>
      <c r="M801" s="26" t="n">
        <v>5.3209</v>
      </c>
    </row>
    <row r="802" ht="16" customHeight="1">
      <c r="A802" t="inlineStr">
        <is>
          <t>13-Mar-2026</t>
        </is>
      </c>
      <c r="B802" t="inlineStr">
        <is>
          <t>Friday</t>
        </is>
      </c>
      <c r="C802" t="inlineStr">
        <is>
          <t>Week2-Mar-2026</t>
        </is>
      </c>
      <c r="D802" s="78" t="n">
        <v>46082</v>
      </c>
      <c r="E802" t="inlineStr">
        <is>
          <t>Q4FY26</t>
        </is>
      </c>
      <c r="F802" t="inlineStr">
        <is>
          <t>26-May-2026</t>
        </is>
      </c>
      <c r="G802" t="inlineStr">
        <is>
          <t>Tuesday</t>
        </is>
      </c>
      <c r="H802" t="inlineStr">
        <is>
          <t>Monthly - Tuesday</t>
        </is>
      </c>
      <c r="I802" t="inlineStr">
        <is>
          <t>Monthly - Tuesday</t>
        </is>
      </c>
      <c r="J802" t="inlineStr">
        <is>
          <t>Month+2 Expiry</t>
        </is>
      </c>
      <c r="K802" s="25" t="n">
        <v>9073</v>
      </c>
      <c r="L802" s="26" t="n">
        <v>15.9569</v>
      </c>
      <c r="M802" s="26" t="n">
        <v>0.3316</v>
      </c>
    </row>
    <row r="803" ht="16" customHeight="1">
      <c r="A803" t="inlineStr">
        <is>
          <t>13-Mar-2026</t>
        </is>
      </c>
      <c r="B803" t="inlineStr">
        <is>
          <t>Friday</t>
        </is>
      </c>
      <c r="C803" t="inlineStr">
        <is>
          <t>Week2-Mar-2026</t>
        </is>
      </c>
      <c r="D803" s="78" t="n">
        <v>46082</v>
      </c>
      <c r="E803" t="inlineStr">
        <is>
          <t>Q4FY26</t>
        </is>
      </c>
      <c r="F803" t="inlineStr">
        <is>
          <t>30-Jun-2026</t>
        </is>
      </c>
      <c r="G803" t="inlineStr">
        <is>
          <t>Tuesday</t>
        </is>
      </c>
      <c r="H803" t="inlineStr">
        <is>
          <t>Monthly - Tuesday</t>
        </is>
      </c>
      <c r="I803" t="inlineStr">
        <is>
          <t>Monthly - Tuesday</t>
        </is>
      </c>
      <c r="J803" t="inlineStr">
        <is>
          <t>Month+3 Expiry</t>
        </is>
      </c>
      <c r="K803" s="25" t="n">
        <v>2729</v>
      </c>
      <c r="L803" s="26" t="n">
        <v>4.9567</v>
      </c>
      <c r="M803" s="26" t="n">
        <v>0.0915</v>
      </c>
    </row>
    <row r="804" ht="16" customHeight="1">
      <c r="A804" t="inlineStr">
        <is>
          <t>13-Mar-2026</t>
        </is>
      </c>
      <c r="B804" t="inlineStr">
        <is>
          <t>Friday</t>
        </is>
      </c>
      <c r="C804" t="inlineStr">
        <is>
          <t>Week2-Mar-2026</t>
        </is>
      </c>
      <c r="D804" s="78" t="n">
        <v>46082</v>
      </c>
      <c r="E804" t="inlineStr">
        <is>
          <t>Q4FY26</t>
        </is>
      </c>
      <c r="F804" t="inlineStr">
        <is>
          <t>29-Sep-2026</t>
        </is>
      </c>
      <c r="G804" t="inlineStr">
        <is>
          <t>Tuesday</t>
        </is>
      </c>
      <c r="H804" t="inlineStr">
        <is>
          <t>Monthly - Tuesday</t>
        </is>
      </c>
      <c r="I804" t="inlineStr">
        <is>
          <t>Monthly - Tuesday</t>
        </is>
      </c>
      <c r="J804" t="inlineStr">
        <is>
          <t>Month+6 Expiry</t>
        </is>
      </c>
      <c r="K804" s="25" t="n">
        <v>0</v>
      </c>
      <c r="L804" s="26" t="n">
        <v>0</v>
      </c>
      <c r="M804" s="26" t="n">
        <v>0</v>
      </c>
    </row>
    <row r="805" ht="16" customHeight="1">
      <c r="A805" t="inlineStr">
        <is>
          <t>13-Mar-2026</t>
        </is>
      </c>
      <c r="B805" t="inlineStr">
        <is>
          <t>Friday</t>
        </is>
      </c>
      <c r="C805" t="inlineStr">
        <is>
          <t>Week2-Mar-2026</t>
        </is>
      </c>
      <c r="D805" s="78" t="n">
        <v>46082</v>
      </c>
      <c r="E805" t="inlineStr">
        <is>
          <t>Q4FY26</t>
        </is>
      </c>
      <c r="F805" t="inlineStr">
        <is>
          <t>29-Dec-2026</t>
        </is>
      </c>
      <c r="G805" t="inlineStr">
        <is>
          <t>Tuesday</t>
        </is>
      </c>
      <c r="H805" t="inlineStr">
        <is>
          <t>Monthly - Tuesday</t>
        </is>
      </c>
      <c r="I805" t="inlineStr">
        <is>
          <t>Monthly - Tuesday</t>
        </is>
      </c>
      <c r="J805" t="inlineStr">
        <is>
          <t>Month+9 Expiry</t>
        </is>
      </c>
      <c r="K805" s="25" t="n">
        <v>0</v>
      </c>
      <c r="L805" s="26" t="n">
        <v>0</v>
      </c>
      <c r="M805" s="26" t="n">
        <v>0</v>
      </c>
    </row>
    <row r="806" ht="16" customHeight="1">
      <c r="A806" t="inlineStr">
        <is>
          <t>16-Mar-2026</t>
        </is>
      </c>
      <c r="B806" t="inlineStr">
        <is>
          <t>Monday</t>
        </is>
      </c>
      <c r="C806" t="inlineStr">
        <is>
          <t>Week3-Mar-2026</t>
        </is>
      </c>
      <c r="D806" s="78" t="n">
        <v>46082</v>
      </c>
      <c r="E806" t="inlineStr">
        <is>
          <t>Q4FY26</t>
        </is>
      </c>
      <c r="F806" t="inlineStr">
        <is>
          <t>30-Mar-2026</t>
        </is>
      </c>
      <c r="G806" t="inlineStr">
        <is>
          <t>Monday</t>
        </is>
      </c>
      <c r="H806" t="inlineStr">
        <is>
          <t>Monthly - Monday</t>
        </is>
      </c>
      <c r="I806" t="inlineStr">
        <is>
          <t>Monthly - Monday</t>
        </is>
      </c>
      <c r="J806" t="inlineStr">
        <is>
          <t>Same Month Expiry</t>
        </is>
      </c>
      <c r="K806" s="25" t="n">
        <v>3269610</v>
      </c>
      <c r="L806" s="26" t="n">
        <v>5433.5413</v>
      </c>
      <c r="M806" s="26" t="n">
        <v>65.53619999999999</v>
      </c>
    </row>
    <row r="807" ht="16" customHeight="1">
      <c r="A807" t="inlineStr">
        <is>
          <t>16-Mar-2026</t>
        </is>
      </c>
      <c r="B807" t="inlineStr">
        <is>
          <t>Monday</t>
        </is>
      </c>
      <c r="C807" t="inlineStr">
        <is>
          <t>Week3-Mar-2026</t>
        </is>
      </c>
      <c r="D807" s="78" t="n">
        <v>46082</v>
      </c>
      <c r="E807" t="inlineStr">
        <is>
          <t>Q4FY26</t>
        </is>
      </c>
      <c r="F807" t="inlineStr">
        <is>
          <t>28-Apr-2026</t>
        </is>
      </c>
      <c r="G807" t="inlineStr">
        <is>
          <t>Tuesday</t>
        </is>
      </c>
      <c r="H807" t="inlineStr">
        <is>
          <t>Monthly - Tuesday</t>
        </is>
      </c>
      <c r="I807" t="inlineStr">
        <is>
          <t>Monthly - Tuesday</t>
        </is>
      </c>
      <c r="J807" t="inlineStr">
        <is>
          <t>Month+1 Expiry</t>
        </is>
      </c>
      <c r="K807" s="25" t="n">
        <v>129880</v>
      </c>
      <c r="L807" s="26" t="n">
        <v>227.4986</v>
      </c>
      <c r="M807" s="26" t="n">
        <v>4.1716</v>
      </c>
    </row>
    <row r="808" ht="16" customHeight="1">
      <c r="A808" t="inlineStr">
        <is>
          <t>16-Mar-2026</t>
        </is>
      </c>
      <c r="B808" t="inlineStr">
        <is>
          <t>Monday</t>
        </is>
      </c>
      <c r="C808" t="inlineStr">
        <is>
          <t>Week3-Mar-2026</t>
        </is>
      </c>
      <c r="D808" s="78" t="n">
        <v>46082</v>
      </c>
      <c r="E808" t="inlineStr">
        <is>
          <t>Q4FY26</t>
        </is>
      </c>
      <c r="F808" t="inlineStr">
        <is>
          <t>26-May-2026</t>
        </is>
      </c>
      <c r="G808" t="inlineStr">
        <is>
          <t>Tuesday</t>
        </is>
      </c>
      <c r="H808" t="inlineStr">
        <is>
          <t>Monthly - Tuesday</t>
        </is>
      </c>
      <c r="I808" t="inlineStr">
        <is>
          <t>Monthly - Tuesday</t>
        </is>
      </c>
      <c r="J808" t="inlineStr">
        <is>
          <t>Month+2 Expiry</t>
        </is>
      </c>
      <c r="K808" s="25" t="n">
        <v>9942</v>
      </c>
      <c r="L808" s="26" t="n">
        <v>17.7425</v>
      </c>
      <c r="M808" s="26" t="n">
        <v>0.4516</v>
      </c>
    </row>
    <row r="809" ht="16" customHeight="1">
      <c r="A809" t="inlineStr">
        <is>
          <t>16-Mar-2026</t>
        </is>
      </c>
      <c r="B809" t="inlineStr">
        <is>
          <t>Monday</t>
        </is>
      </c>
      <c r="C809" t="inlineStr">
        <is>
          <t>Week3-Mar-2026</t>
        </is>
      </c>
      <c r="D809" s="78" t="n">
        <v>46082</v>
      </c>
      <c r="E809" t="inlineStr">
        <is>
          <t>Q4FY26</t>
        </is>
      </c>
      <c r="F809" t="inlineStr">
        <is>
          <t>30-Jun-2026</t>
        </is>
      </c>
      <c r="G809" t="inlineStr">
        <is>
          <t>Tuesday</t>
        </is>
      </c>
      <c r="H809" t="inlineStr">
        <is>
          <t>Monthly - Tuesday</t>
        </is>
      </c>
      <c r="I809" t="inlineStr">
        <is>
          <t>Monthly - Tuesday</t>
        </is>
      </c>
      <c r="J809" t="inlineStr">
        <is>
          <t>Month+3 Expiry</t>
        </is>
      </c>
      <c r="K809" s="25" t="n">
        <v>1452</v>
      </c>
      <c r="L809" s="26" t="n">
        <v>2.6509</v>
      </c>
      <c r="M809" s="26" t="n">
        <v>0.0587</v>
      </c>
    </row>
    <row r="810" ht="16" customHeight="1">
      <c r="A810" t="inlineStr">
        <is>
          <t>16-Mar-2026</t>
        </is>
      </c>
      <c r="B810" t="inlineStr">
        <is>
          <t>Monday</t>
        </is>
      </c>
      <c r="C810" t="inlineStr">
        <is>
          <t>Week3-Mar-2026</t>
        </is>
      </c>
      <c r="D810" s="78" t="n">
        <v>46082</v>
      </c>
      <c r="E810" t="inlineStr">
        <is>
          <t>Q4FY26</t>
        </is>
      </c>
      <c r="F810" t="inlineStr">
        <is>
          <t>29-Sep-2026</t>
        </is>
      </c>
      <c r="G810" t="inlineStr">
        <is>
          <t>Tuesday</t>
        </is>
      </c>
      <c r="H810" t="inlineStr">
        <is>
          <t>Monthly - Tuesday</t>
        </is>
      </c>
      <c r="I810" t="inlineStr">
        <is>
          <t>Monthly - Tuesday</t>
        </is>
      </c>
      <c r="J810" t="inlineStr">
        <is>
          <t>Month+6 Expiry</t>
        </is>
      </c>
      <c r="K810" s="25" t="n">
        <v>0</v>
      </c>
      <c r="L810" s="26" t="n">
        <v>0</v>
      </c>
      <c r="M810" s="26" t="n">
        <v>0</v>
      </c>
    </row>
    <row r="811" ht="16" customHeight="1">
      <c r="A811" t="inlineStr">
        <is>
          <t>16-Mar-2026</t>
        </is>
      </c>
      <c r="B811" t="inlineStr">
        <is>
          <t>Monday</t>
        </is>
      </c>
      <c r="C811" t="inlineStr">
        <is>
          <t>Week3-Mar-2026</t>
        </is>
      </c>
      <c r="D811" s="78" t="n">
        <v>46082</v>
      </c>
      <c r="E811" t="inlineStr">
        <is>
          <t>Q4FY26</t>
        </is>
      </c>
      <c r="F811" t="inlineStr">
        <is>
          <t>29-Dec-2026</t>
        </is>
      </c>
      <c r="G811" t="inlineStr">
        <is>
          <t>Tuesday</t>
        </is>
      </c>
      <c r="H811" t="inlineStr">
        <is>
          <t>Monthly - Tuesday</t>
        </is>
      </c>
      <c r="I811" t="inlineStr">
        <is>
          <t>Monthly - Tuesday</t>
        </is>
      </c>
      <c r="J811" t="inlineStr">
        <is>
          <t>Month+9 Expiry</t>
        </is>
      </c>
      <c r="K811" s="25" t="n">
        <v>0</v>
      </c>
      <c r="L811" s="26" t="n">
        <v>0</v>
      </c>
      <c r="M811" s="26" t="n">
        <v>0</v>
      </c>
    </row>
    <row r="812" ht="16" customHeight="1">
      <c r="A812" t="inlineStr">
        <is>
          <t>17-Mar-2026</t>
        </is>
      </c>
      <c r="B812" t="inlineStr">
        <is>
          <t>Tuesday</t>
        </is>
      </c>
      <c r="C812" t="inlineStr">
        <is>
          <t>Week3-Mar-2026</t>
        </is>
      </c>
      <c r="D812" s="78" t="n">
        <v>46082</v>
      </c>
      <c r="E812" t="inlineStr">
        <is>
          <t>Q4FY26</t>
        </is>
      </c>
      <c r="F812" t="inlineStr">
        <is>
          <t>30-Mar-2026</t>
        </is>
      </c>
      <c r="G812" t="inlineStr">
        <is>
          <t>Monday</t>
        </is>
      </c>
      <c r="H812" t="inlineStr">
        <is>
          <t>Monthly - Monday</t>
        </is>
      </c>
      <c r="I812" t="inlineStr">
        <is>
          <t>Monthly - Monday</t>
        </is>
      </c>
      <c r="J812" t="inlineStr">
        <is>
          <t>Same Month Expiry</t>
        </is>
      </c>
      <c r="K812" s="25" t="n">
        <v>2770487</v>
      </c>
      <c r="L812" s="26" t="n">
        <v>4602.2111</v>
      </c>
      <c r="M812" s="26" t="n">
        <v>49.1742</v>
      </c>
    </row>
    <row r="813" ht="16" customHeight="1">
      <c r="A813" t="inlineStr">
        <is>
          <t>17-Mar-2026</t>
        </is>
      </c>
      <c r="B813" t="inlineStr">
        <is>
          <t>Tuesday</t>
        </is>
      </c>
      <c r="C813" t="inlineStr">
        <is>
          <t>Week3-Mar-2026</t>
        </is>
      </c>
      <c r="D813" s="78" t="n">
        <v>46082</v>
      </c>
      <c r="E813" t="inlineStr">
        <is>
          <t>Q4FY26</t>
        </is>
      </c>
      <c r="F813" t="inlineStr">
        <is>
          <t>28-Apr-2026</t>
        </is>
      </c>
      <c r="G813" t="inlineStr">
        <is>
          <t>Tuesday</t>
        </is>
      </c>
      <c r="H813" t="inlineStr">
        <is>
          <t>Monthly - Tuesday</t>
        </is>
      </c>
      <c r="I813" t="inlineStr">
        <is>
          <t>Monthly - Tuesday</t>
        </is>
      </c>
      <c r="J813" t="inlineStr">
        <is>
          <t>Month+1 Expiry</t>
        </is>
      </c>
      <c r="K813" s="25" t="n">
        <v>153010</v>
      </c>
      <c r="L813" s="26" t="n">
        <v>274.6641</v>
      </c>
      <c r="M813" s="26" t="n">
        <v>5.3409</v>
      </c>
    </row>
    <row r="814" ht="16" customHeight="1">
      <c r="A814" t="inlineStr">
        <is>
          <t>17-Mar-2026</t>
        </is>
      </c>
      <c r="B814" t="inlineStr">
        <is>
          <t>Tuesday</t>
        </is>
      </c>
      <c r="C814" t="inlineStr">
        <is>
          <t>Week3-Mar-2026</t>
        </is>
      </c>
      <c r="D814" s="78" t="n">
        <v>46082</v>
      </c>
      <c r="E814" t="inlineStr">
        <is>
          <t>Q4FY26</t>
        </is>
      </c>
      <c r="F814" t="inlineStr">
        <is>
          <t>26-May-2026</t>
        </is>
      </c>
      <c r="G814" t="inlineStr">
        <is>
          <t>Tuesday</t>
        </is>
      </c>
      <c r="H814" t="inlineStr">
        <is>
          <t>Monthly - Tuesday</t>
        </is>
      </c>
      <c r="I814" t="inlineStr">
        <is>
          <t>Monthly - Tuesday</t>
        </is>
      </c>
      <c r="J814" t="inlineStr">
        <is>
          <t>Month+2 Expiry</t>
        </is>
      </c>
      <c r="K814" s="25" t="n">
        <v>7194</v>
      </c>
      <c r="L814" s="26" t="n">
        <v>12.6707</v>
      </c>
      <c r="M814" s="26" t="n">
        <v>0.22</v>
      </c>
    </row>
    <row r="815" ht="16" customHeight="1">
      <c r="A815" t="inlineStr">
        <is>
          <t>17-Mar-2026</t>
        </is>
      </c>
      <c r="B815" t="inlineStr">
        <is>
          <t>Tuesday</t>
        </is>
      </c>
      <c r="C815" t="inlineStr">
        <is>
          <t>Week3-Mar-2026</t>
        </is>
      </c>
      <c r="D815" s="78" t="n">
        <v>46082</v>
      </c>
      <c r="E815" t="inlineStr">
        <is>
          <t>Q4FY26</t>
        </is>
      </c>
      <c r="F815" t="inlineStr">
        <is>
          <t>30-Jun-2026</t>
        </is>
      </c>
      <c r="G815" t="inlineStr">
        <is>
          <t>Tuesday</t>
        </is>
      </c>
      <c r="H815" t="inlineStr">
        <is>
          <t>Monthly - Tuesday</t>
        </is>
      </c>
      <c r="I815" t="inlineStr">
        <is>
          <t>Monthly - Tuesday</t>
        </is>
      </c>
      <c r="J815" t="inlineStr">
        <is>
          <t>Month+3 Expiry</t>
        </is>
      </c>
      <c r="K815" s="25" t="n">
        <v>2282</v>
      </c>
      <c r="L815" s="26" t="n">
        <v>4.164</v>
      </c>
      <c r="M815" s="26" t="n">
        <v>0.151</v>
      </c>
    </row>
    <row r="816" ht="16" customHeight="1">
      <c r="A816" t="inlineStr">
        <is>
          <t>17-Mar-2026</t>
        </is>
      </c>
      <c r="B816" t="inlineStr">
        <is>
          <t>Tuesday</t>
        </is>
      </c>
      <c r="C816" t="inlineStr">
        <is>
          <t>Week3-Mar-2026</t>
        </is>
      </c>
      <c r="D816" s="78" t="n">
        <v>46082</v>
      </c>
      <c r="E816" t="inlineStr">
        <is>
          <t>Q4FY26</t>
        </is>
      </c>
      <c r="F816" t="inlineStr">
        <is>
          <t>29-Sep-2026</t>
        </is>
      </c>
      <c r="G816" t="inlineStr">
        <is>
          <t>Tuesday</t>
        </is>
      </c>
      <c r="H816" t="inlineStr">
        <is>
          <t>Monthly - Tuesday</t>
        </is>
      </c>
      <c r="I816" t="inlineStr">
        <is>
          <t>Monthly - Tuesday</t>
        </is>
      </c>
      <c r="J816" t="inlineStr">
        <is>
          <t>Month+6 Expiry</t>
        </is>
      </c>
      <c r="K816" s="25" t="n">
        <v>0</v>
      </c>
      <c r="L816" s="26" t="n">
        <v>0</v>
      </c>
      <c r="M816" s="26" t="n">
        <v>0</v>
      </c>
    </row>
    <row r="817" ht="16" customHeight="1">
      <c r="A817" t="inlineStr">
        <is>
          <t>17-Mar-2026</t>
        </is>
      </c>
      <c r="B817" t="inlineStr">
        <is>
          <t>Tuesday</t>
        </is>
      </c>
      <c r="C817" t="inlineStr">
        <is>
          <t>Week3-Mar-2026</t>
        </is>
      </c>
      <c r="D817" s="78" t="n">
        <v>46082</v>
      </c>
      <c r="E817" t="inlineStr">
        <is>
          <t>Q4FY26</t>
        </is>
      </c>
      <c r="F817" t="inlineStr">
        <is>
          <t>29-Dec-2026</t>
        </is>
      </c>
      <c r="G817" t="inlineStr">
        <is>
          <t>Tuesday</t>
        </is>
      </c>
      <c r="H817" t="inlineStr">
        <is>
          <t>Monthly - Tuesday</t>
        </is>
      </c>
      <c r="I817" t="inlineStr">
        <is>
          <t>Monthly - Tuesday</t>
        </is>
      </c>
      <c r="J817" t="inlineStr">
        <is>
          <t>Month+9 Expiry</t>
        </is>
      </c>
      <c r="K817" s="25" t="n">
        <v>0</v>
      </c>
      <c r="L817" s="26" t="n">
        <v>0</v>
      </c>
      <c r="M817" s="26" t="n">
        <v>0</v>
      </c>
    </row>
    <row r="818" ht="16" customHeight="1">
      <c r="A818" t="inlineStr">
        <is>
          <t>18-Mar-2026</t>
        </is>
      </c>
      <c r="B818" t="inlineStr">
        <is>
          <t>Wednesday</t>
        </is>
      </c>
      <c r="C818" t="inlineStr">
        <is>
          <t>Week3-Mar-2026</t>
        </is>
      </c>
      <c r="D818" s="78" t="n">
        <v>46082</v>
      </c>
      <c r="E818" t="inlineStr">
        <is>
          <t>Q4FY26</t>
        </is>
      </c>
      <c r="F818" t="inlineStr">
        <is>
          <t>30-Mar-2026</t>
        </is>
      </c>
      <c r="G818" t="inlineStr">
        <is>
          <t>Monday</t>
        </is>
      </c>
      <c r="H818" t="inlineStr">
        <is>
          <t>Monthly - Monday</t>
        </is>
      </c>
      <c r="I818" t="inlineStr">
        <is>
          <t>Monthly - Monday</t>
        </is>
      </c>
      <c r="J818" t="inlineStr">
        <is>
          <t>Same Month Expiry</t>
        </is>
      </c>
      <c r="K818" s="25" t="n">
        <v>3507101</v>
      </c>
      <c r="L818" s="26" t="n">
        <v>5850.308</v>
      </c>
      <c r="M818" s="26" t="n">
        <v>49.2118</v>
      </c>
    </row>
    <row r="819" ht="16" customHeight="1">
      <c r="A819" t="inlineStr">
        <is>
          <t>18-Mar-2026</t>
        </is>
      </c>
      <c r="B819" t="inlineStr">
        <is>
          <t>Wednesday</t>
        </is>
      </c>
      <c r="C819" t="inlineStr">
        <is>
          <t>Week3-Mar-2026</t>
        </is>
      </c>
      <c r="D819" s="78" t="n">
        <v>46082</v>
      </c>
      <c r="E819" t="inlineStr">
        <is>
          <t>Q4FY26</t>
        </is>
      </c>
      <c r="F819" t="inlineStr">
        <is>
          <t>28-Apr-2026</t>
        </is>
      </c>
      <c r="G819" t="inlineStr">
        <is>
          <t>Tuesday</t>
        </is>
      </c>
      <c r="H819" t="inlineStr">
        <is>
          <t>Monthly - Tuesday</t>
        </is>
      </c>
      <c r="I819" t="inlineStr">
        <is>
          <t>Monthly - Tuesday</t>
        </is>
      </c>
      <c r="J819" t="inlineStr">
        <is>
          <t>Month+1 Expiry</t>
        </is>
      </c>
      <c r="K819" s="25" t="n">
        <v>182675</v>
      </c>
      <c r="L819" s="26" t="n">
        <v>327.5798</v>
      </c>
      <c r="M819" s="26" t="n">
        <v>7.234</v>
      </c>
    </row>
    <row r="820" ht="16" customHeight="1">
      <c r="A820" t="inlineStr">
        <is>
          <t>18-Mar-2026</t>
        </is>
      </c>
      <c r="B820" t="inlineStr">
        <is>
          <t>Wednesday</t>
        </is>
      </c>
      <c r="C820" t="inlineStr">
        <is>
          <t>Week3-Mar-2026</t>
        </is>
      </c>
      <c r="D820" s="78" t="n">
        <v>46082</v>
      </c>
      <c r="E820" t="inlineStr">
        <is>
          <t>Q4FY26</t>
        </is>
      </c>
      <c r="F820" t="inlineStr">
        <is>
          <t>26-May-2026</t>
        </is>
      </c>
      <c r="G820" t="inlineStr">
        <is>
          <t>Tuesday</t>
        </is>
      </c>
      <c r="H820" t="inlineStr">
        <is>
          <t>Monthly - Tuesday</t>
        </is>
      </c>
      <c r="I820" t="inlineStr">
        <is>
          <t>Monthly - Tuesday</t>
        </is>
      </c>
      <c r="J820" t="inlineStr">
        <is>
          <t>Month+2 Expiry</t>
        </is>
      </c>
      <c r="K820" s="25" t="n">
        <v>9872</v>
      </c>
      <c r="L820" s="26" t="n">
        <v>17.3824</v>
      </c>
      <c r="M820" s="26" t="n">
        <v>0.3506</v>
      </c>
    </row>
    <row r="821" ht="16" customHeight="1">
      <c r="A821" t="inlineStr">
        <is>
          <t>18-Mar-2026</t>
        </is>
      </c>
      <c r="B821" t="inlineStr">
        <is>
          <t>Wednesday</t>
        </is>
      </c>
      <c r="C821" t="inlineStr">
        <is>
          <t>Week3-Mar-2026</t>
        </is>
      </c>
      <c r="D821" s="78" t="n">
        <v>46082</v>
      </c>
      <c r="E821" t="inlineStr">
        <is>
          <t>Q4FY26</t>
        </is>
      </c>
      <c r="F821" t="inlineStr">
        <is>
          <t>30-Jun-2026</t>
        </is>
      </c>
      <c r="G821" t="inlineStr">
        <is>
          <t>Tuesday</t>
        </is>
      </c>
      <c r="H821" t="inlineStr">
        <is>
          <t>Monthly - Tuesday</t>
        </is>
      </c>
      <c r="I821" t="inlineStr">
        <is>
          <t>Monthly - Tuesday</t>
        </is>
      </c>
      <c r="J821" t="inlineStr">
        <is>
          <t>Month+3 Expiry</t>
        </is>
      </c>
      <c r="K821" s="25" t="n">
        <v>2915</v>
      </c>
      <c r="L821" s="26" t="n">
        <v>5.3167</v>
      </c>
      <c r="M821" s="26" t="n">
        <v>0.1809</v>
      </c>
    </row>
    <row r="822" ht="16" customHeight="1">
      <c r="A822" t="inlineStr">
        <is>
          <t>18-Mar-2026</t>
        </is>
      </c>
      <c r="B822" t="inlineStr">
        <is>
          <t>Wednesday</t>
        </is>
      </c>
      <c r="C822" t="inlineStr">
        <is>
          <t>Week3-Mar-2026</t>
        </is>
      </c>
      <c r="D822" s="78" t="n">
        <v>46082</v>
      </c>
      <c r="E822" t="inlineStr">
        <is>
          <t>Q4FY26</t>
        </is>
      </c>
      <c r="F822" t="inlineStr">
        <is>
          <t>29-Sep-2026</t>
        </is>
      </c>
      <c r="G822" t="inlineStr">
        <is>
          <t>Tuesday</t>
        </is>
      </c>
      <c r="H822" t="inlineStr">
        <is>
          <t>Monthly - Tuesday</t>
        </is>
      </c>
      <c r="I822" t="inlineStr">
        <is>
          <t>Monthly - Tuesday</t>
        </is>
      </c>
      <c r="J822" t="inlineStr">
        <is>
          <t>Month+6 Expiry</t>
        </is>
      </c>
      <c r="K822" s="25" t="n">
        <v>0</v>
      </c>
      <c r="L822" s="26" t="n">
        <v>0</v>
      </c>
      <c r="M822" s="26" t="n">
        <v>0</v>
      </c>
    </row>
    <row r="823" ht="16" customHeight="1">
      <c r="A823" t="inlineStr">
        <is>
          <t>18-Mar-2026</t>
        </is>
      </c>
      <c r="B823" t="inlineStr">
        <is>
          <t>Wednesday</t>
        </is>
      </c>
      <c r="C823" t="inlineStr">
        <is>
          <t>Week3-Mar-2026</t>
        </is>
      </c>
      <c r="D823" s="78" t="n">
        <v>46082</v>
      </c>
      <c r="E823" t="inlineStr">
        <is>
          <t>Q4FY26</t>
        </is>
      </c>
      <c r="F823" t="inlineStr">
        <is>
          <t>29-Dec-2026</t>
        </is>
      </c>
      <c r="G823" t="inlineStr">
        <is>
          <t>Tuesday</t>
        </is>
      </c>
      <c r="H823" t="inlineStr">
        <is>
          <t>Monthly - Tuesday</t>
        </is>
      </c>
      <c r="I823" t="inlineStr">
        <is>
          <t>Monthly - Tuesday</t>
        </is>
      </c>
      <c r="J823" t="inlineStr">
        <is>
          <t>Month+9 Expiry</t>
        </is>
      </c>
      <c r="K823" s="25" t="n">
        <v>0</v>
      </c>
      <c r="L823" s="26" t="n">
        <v>0</v>
      </c>
      <c r="M823" s="26" t="n">
        <v>0</v>
      </c>
    </row>
    <row r="824" ht="16" customHeight="1">
      <c r="A824" t="inlineStr">
        <is>
          <t>19-Mar-2026</t>
        </is>
      </c>
      <c r="B824" t="inlineStr">
        <is>
          <t>Thursday</t>
        </is>
      </c>
      <c r="C824" t="inlineStr">
        <is>
          <t>Week3-Mar-2026</t>
        </is>
      </c>
      <c r="D824" s="78" t="n">
        <v>46082</v>
      </c>
      <c r="E824" t="inlineStr">
        <is>
          <t>Q4FY26</t>
        </is>
      </c>
      <c r="F824" t="inlineStr">
        <is>
          <t>30-Mar-2026</t>
        </is>
      </c>
      <c r="G824" t="inlineStr">
        <is>
          <t>Monday</t>
        </is>
      </c>
      <c r="H824" t="inlineStr">
        <is>
          <t>Monthly - Monday</t>
        </is>
      </c>
      <c r="I824" t="inlineStr">
        <is>
          <t>Monthly - Monday</t>
        </is>
      </c>
      <c r="J824" t="inlineStr">
        <is>
          <t>Same Month Expiry</t>
        </is>
      </c>
      <c r="K824" s="25" t="n">
        <v>4382804</v>
      </c>
      <c r="L824" s="26" t="n">
        <v>7183.3245</v>
      </c>
      <c r="M824" s="26" t="n">
        <v>66.85720000000001</v>
      </c>
    </row>
    <row r="825" ht="16" customHeight="1">
      <c r="A825" t="inlineStr">
        <is>
          <t>19-Mar-2026</t>
        </is>
      </c>
      <c r="B825" t="inlineStr">
        <is>
          <t>Thursday</t>
        </is>
      </c>
      <c r="C825" t="inlineStr">
        <is>
          <t>Week3-Mar-2026</t>
        </is>
      </c>
      <c r="D825" s="78" t="n">
        <v>46082</v>
      </c>
      <c r="E825" t="inlineStr">
        <is>
          <t>Q4FY26</t>
        </is>
      </c>
      <c r="F825" t="inlineStr">
        <is>
          <t>28-Apr-2026</t>
        </is>
      </c>
      <c r="G825" t="inlineStr">
        <is>
          <t>Tuesday</t>
        </is>
      </c>
      <c r="H825" t="inlineStr">
        <is>
          <t>Monthly - Tuesday</t>
        </is>
      </c>
      <c r="I825" t="inlineStr">
        <is>
          <t>Monthly - Tuesday</t>
        </is>
      </c>
      <c r="J825" t="inlineStr">
        <is>
          <t>Month+1 Expiry</t>
        </is>
      </c>
      <c r="K825" s="25" t="n">
        <v>211453</v>
      </c>
      <c r="L825" s="26" t="n">
        <v>364.518</v>
      </c>
      <c r="M825" s="26" t="n">
        <v>6.0436</v>
      </c>
    </row>
    <row r="826" ht="16" customHeight="1">
      <c r="A826" t="inlineStr">
        <is>
          <t>19-Mar-2026</t>
        </is>
      </c>
      <c r="B826" t="inlineStr">
        <is>
          <t>Thursday</t>
        </is>
      </c>
      <c r="C826" t="inlineStr">
        <is>
          <t>Week3-Mar-2026</t>
        </is>
      </c>
      <c r="D826" s="78" t="n">
        <v>46082</v>
      </c>
      <c r="E826" t="inlineStr">
        <is>
          <t>Q4FY26</t>
        </is>
      </c>
      <c r="F826" t="inlineStr">
        <is>
          <t>26-May-2026</t>
        </is>
      </c>
      <c r="G826" t="inlineStr">
        <is>
          <t>Tuesday</t>
        </is>
      </c>
      <c r="H826" t="inlineStr">
        <is>
          <t>Monthly - Tuesday</t>
        </is>
      </c>
      <c r="I826" t="inlineStr">
        <is>
          <t>Monthly - Tuesday</t>
        </is>
      </c>
      <c r="J826" t="inlineStr">
        <is>
          <t>Month+2 Expiry</t>
        </is>
      </c>
      <c r="K826" s="25" t="n">
        <v>13023</v>
      </c>
      <c r="L826" s="26" t="n">
        <v>22.3078</v>
      </c>
      <c r="M826" s="26" t="n">
        <v>0.4098</v>
      </c>
    </row>
    <row r="827" ht="16" customHeight="1">
      <c r="A827" t="inlineStr">
        <is>
          <t>19-Mar-2026</t>
        </is>
      </c>
      <c r="B827" t="inlineStr">
        <is>
          <t>Thursday</t>
        </is>
      </c>
      <c r="C827" t="inlineStr">
        <is>
          <t>Week3-Mar-2026</t>
        </is>
      </c>
      <c r="D827" s="78" t="n">
        <v>46082</v>
      </c>
      <c r="E827" t="inlineStr">
        <is>
          <t>Q4FY26</t>
        </is>
      </c>
      <c r="F827" t="inlineStr">
        <is>
          <t>30-Jun-2026</t>
        </is>
      </c>
      <c r="G827" t="inlineStr">
        <is>
          <t>Tuesday</t>
        </is>
      </c>
      <c r="H827" t="inlineStr">
        <is>
          <t>Monthly - Tuesday</t>
        </is>
      </c>
      <c r="I827" t="inlineStr">
        <is>
          <t>Monthly - Tuesday</t>
        </is>
      </c>
      <c r="J827" t="inlineStr">
        <is>
          <t>Month+3 Expiry</t>
        </is>
      </c>
      <c r="K827" s="25" t="n">
        <v>2651</v>
      </c>
      <c r="L827" s="26" t="n">
        <v>4.7575</v>
      </c>
      <c r="M827" s="26" t="n">
        <v>0.0992</v>
      </c>
    </row>
    <row r="828" ht="16" customHeight="1">
      <c r="A828" t="inlineStr">
        <is>
          <t>19-Mar-2026</t>
        </is>
      </c>
      <c r="B828" t="inlineStr">
        <is>
          <t>Thursday</t>
        </is>
      </c>
      <c r="C828" t="inlineStr">
        <is>
          <t>Week3-Mar-2026</t>
        </is>
      </c>
      <c r="D828" s="78" t="n">
        <v>46082</v>
      </c>
      <c r="E828" t="inlineStr">
        <is>
          <t>Q4FY26</t>
        </is>
      </c>
      <c r="F828" t="inlineStr">
        <is>
          <t>29-Sep-2026</t>
        </is>
      </c>
      <c r="G828" t="inlineStr">
        <is>
          <t>Tuesday</t>
        </is>
      </c>
      <c r="H828" t="inlineStr">
        <is>
          <t>Monthly - Tuesday</t>
        </is>
      </c>
      <c r="I828" t="inlineStr">
        <is>
          <t>Monthly - Tuesday</t>
        </is>
      </c>
      <c r="J828" t="inlineStr">
        <is>
          <t>Month+6 Expiry</t>
        </is>
      </c>
      <c r="K828" s="25" t="n">
        <v>0</v>
      </c>
      <c r="L828" s="26" t="n">
        <v>0</v>
      </c>
      <c r="M828" s="26" t="n">
        <v>0</v>
      </c>
    </row>
    <row r="829" ht="16" customHeight="1">
      <c r="A829" t="inlineStr">
        <is>
          <t>19-Mar-2026</t>
        </is>
      </c>
      <c r="B829" t="inlineStr">
        <is>
          <t>Thursday</t>
        </is>
      </c>
      <c r="C829" t="inlineStr">
        <is>
          <t>Week3-Mar-2026</t>
        </is>
      </c>
      <c r="D829" s="78" t="n">
        <v>46082</v>
      </c>
      <c r="E829" t="inlineStr">
        <is>
          <t>Q4FY26</t>
        </is>
      </c>
      <c r="F829" t="inlineStr">
        <is>
          <t>29-Dec-2026</t>
        </is>
      </c>
      <c r="G829" t="inlineStr">
        <is>
          <t>Tuesday</t>
        </is>
      </c>
      <c r="H829" t="inlineStr">
        <is>
          <t>Monthly - Tuesday</t>
        </is>
      </c>
      <c r="I829" t="inlineStr">
        <is>
          <t>Monthly - Tuesday</t>
        </is>
      </c>
      <c r="J829" t="inlineStr">
        <is>
          <t>Month+9 Expiry</t>
        </is>
      </c>
      <c r="K829" s="25" t="n">
        <v>0</v>
      </c>
      <c r="L829" s="26" t="n">
        <v>0</v>
      </c>
      <c r="M829" s="26" t="n">
        <v>0</v>
      </c>
    </row>
    <row r="830" ht="16" customHeight="1">
      <c r="A830" t="inlineStr">
        <is>
          <t>20-Mar-2026</t>
        </is>
      </c>
      <c r="B830" t="inlineStr">
        <is>
          <t>Friday</t>
        </is>
      </c>
      <c r="C830" t="inlineStr">
        <is>
          <t>Week3-Mar-2026</t>
        </is>
      </c>
      <c r="D830" s="78" t="n">
        <v>46082</v>
      </c>
      <c r="E830" t="inlineStr">
        <is>
          <t>Q4FY26</t>
        </is>
      </c>
      <c r="F830" t="inlineStr">
        <is>
          <t>30-Mar-2026</t>
        </is>
      </c>
      <c r="G830" t="inlineStr">
        <is>
          <t>Monday</t>
        </is>
      </c>
      <c r="H830" t="inlineStr">
        <is>
          <t>Monthly - Monday</t>
        </is>
      </c>
      <c r="I830" t="inlineStr">
        <is>
          <t>Monthly - Monday</t>
        </is>
      </c>
      <c r="J830" t="inlineStr">
        <is>
          <t>Same Month Expiry</t>
        </is>
      </c>
      <c r="K830" s="25" t="n">
        <v>4159763</v>
      </c>
      <c r="L830" s="26" t="n">
        <v>6813.4329</v>
      </c>
      <c r="M830" s="26" t="n">
        <v>68.9534</v>
      </c>
    </row>
    <row r="831" ht="16" customHeight="1">
      <c r="A831" t="inlineStr">
        <is>
          <t>20-Mar-2026</t>
        </is>
      </c>
      <c r="B831" t="inlineStr">
        <is>
          <t>Friday</t>
        </is>
      </c>
      <c r="C831" t="inlineStr">
        <is>
          <t>Week3-Mar-2026</t>
        </is>
      </c>
      <c r="D831" s="78" t="n">
        <v>46082</v>
      </c>
      <c r="E831" t="inlineStr">
        <is>
          <t>Q4FY26</t>
        </is>
      </c>
      <c r="F831" t="inlineStr">
        <is>
          <t>28-Apr-2026</t>
        </is>
      </c>
      <c r="G831" t="inlineStr">
        <is>
          <t>Tuesday</t>
        </is>
      </c>
      <c r="H831" t="inlineStr">
        <is>
          <t>Monthly - Tuesday</t>
        </is>
      </c>
      <c r="I831" t="inlineStr">
        <is>
          <t>Monthly - Tuesday</t>
        </is>
      </c>
      <c r="J831" t="inlineStr">
        <is>
          <t>Month+1 Expiry</t>
        </is>
      </c>
      <c r="K831" s="25" t="n">
        <v>164907</v>
      </c>
      <c r="L831" s="26" t="n">
        <v>283.3317</v>
      </c>
      <c r="M831" s="26" t="n">
        <v>5.2058</v>
      </c>
    </row>
    <row r="832" ht="16" customHeight="1">
      <c r="A832" t="inlineStr">
        <is>
          <t>20-Mar-2026</t>
        </is>
      </c>
      <c r="B832" t="inlineStr">
        <is>
          <t>Friday</t>
        </is>
      </c>
      <c r="C832" t="inlineStr">
        <is>
          <t>Week3-Mar-2026</t>
        </is>
      </c>
      <c r="D832" s="78" t="n">
        <v>46082</v>
      </c>
      <c r="E832" t="inlineStr">
        <is>
          <t>Q4FY26</t>
        </is>
      </c>
      <c r="F832" t="inlineStr">
        <is>
          <t>26-May-2026</t>
        </is>
      </c>
      <c r="G832" t="inlineStr">
        <is>
          <t>Tuesday</t>
        </is>
      </c>
      <c r="H832" t="inlineStr">
        <is>
          <t>Monthly - Tuesday</t>
        </is>
      </c>
      <c r="I832" t="inlineStr">
        <is>
          <t>Monthly - Tuesday</t>
        </is>
      </c>
      <c r="J832" t="inlineStr">
        <is>
          <t>Month+2 Expiry</t>
        </is>
      </c>
      <c r="K832" s="25" t="n">
        <v>11759</v>
      </c>
      <c r="L832" s="26" t="n">
        <v>20.389</v>
      </c>
      <c r="M832" s="26" t="n">
        <v>0.3605</v>
      </c>
    </row>
    <row r="833" ht="16" customHeight="1">
      <c r="A833" t="inlineStr">
        <is>
          <t>20-Mar-2026</t>
        </is>
      </c>
      <c r="B833" t="inlineStr">
        <is>
          <t>Friday</t>
        </is>
      </c>
      <c r="C833" t="inlineStr">
        <is>
          <t>Week3-Mar-2026</t>
        </is>
      </c>
      <c r="D833" s="78" t="n">
        <v>46082</v>
      </c>
      <c r="E833" t="inlineStr">
        <is>
          <t>Q4FY26</t>
        </is>
      </c>
      <c r="F833" t="inlineStr">
        <is>
          <t>30-Jun-2026</t>
        </is>
      </c>
      <c r="G833" t="inlineStr">
        <is>
          <t>Tuesday</t>
        </is>
      </c>
      <c r="H833" t="inlineStr">
        <is>
          <t>Monthly - Tuesday</t>
        </is>
      </c>
      <c r="I833" t="inlineStr">
        <is>
          <t>Monthly - Tuesday</t>
        </is>
      </c>
      <c r="J833" t="inlineStr">
        <is>
          <t>Month+3 Expiry</t>
        </is>
      </c>
      <c r="K833" s="25" t="n">
        <v>5460</v>
      </c>
      <c r="L833" s="26" t="n">
        <v>9.9419</v>
      </c>
      <c r="M833" s="26" t="n">
        <v>0.409</v>
      </c>
    </row>
    <row r="834" ht="16" customHeight="1">
      <c r="A834" t="inlineStr">
        <is>
          <t>20-Mar-2026</t>
        </is>
      </c>
      <c r="B834" t="inlineStr">
        <is>
          <t>Friday</t>
        </is>
      </c>
      <c r="C834" t="inlineStr">
        <is>
          <t>Week3-Mar-2026</t>
        </is>
      </c>
      <c r="D834" s="78" t="n">
        <v>46082</v>
      </c>
      <c r="E834" t="inlineStr">
        <is>
          <t>Q4FY26</t>
        </is>
      </c>
      <c r="F834" t="inlineStr">
        <is>
          <t>29-Sep-2026</t>
        </is>
      </c>
      <c r="G834" t="inlineStr">
        <is>
          <t>Tuesday</t>
        </is>
      </c>
      <c r="H834" t="inlineStr">
        <is>
          <t>Monthly - Tuesday</t>
        </is>
      </c>
      <c r="I834" t="inlineStr">
        <is>
          <t>Monthly - Tuesday</t>
        </is>
      </c>
      <c r="J834" t="inlineStr">
        <is>
          <t>Month+6 Expiry</t>
        </is>
      </c>
      <c r="K834" s="25" t="n">
        <v>0</v>
      </c>
      <c r="L834" s="26" t="n">
        <v>0</v>
      </c>
      <c r="M834" s="26" t="n">
        <v>0</v>
      </c>
    </row>
    <row r="835" ht="16" customHeight="1">
      <c r="A835" t="inlineStr">
        <is>
          <t>20-Mar-2026</t>
        </is>
      </c>
      <c r="B835" t="inlineStr">
        <is>
          <t>Friday</t>
        </is>
      </c>
      <c r="C835" t="inlineStr">
        <is>
          <t>Week3-Mar-2026</t>
        </is>
      </c>
      <c r="D835" s="78" t="n">
        <v>46082</v>
      </c>
      <c r="E835" t="inlineStr">
        <is>
          <t>Q4FY26</t>
        </is>
      </c>
      <c r="F835" t="inlineStr">
        <is>
          <t>29-Dec-2026</t>
        </is>
      </c>
      <c r="G835" t="inlineStr">
        <is>
          <t>Tuesday</t>
        </is>
      </c>
      <c r="H835" t="inlineStr">
        <is>
          <t>Monthly - Tuesday</t>
        </is>
      </c>
      <c r="I835" t="inlineStr">
        <is>
          <t>Monthly - Tuesday</t>
        </is>
      </c>
      <c r="J835" t="inlineStr">
        <is>
          <t>Month+9 Expiry</t>
        </is>
      </c>
      <c r="K835" s="25" t="n">
        <v>0</v>
      </c>
      <c r="L835" s="26" t="n">
        <v>0</v>
      </c>
      <c r="M835" s="26" t="n">
        <v>0</v>
      </c>
    </row>
    <row r="836" ht="16" customHeight="1">
      <c r="A836" t="inlineStr">
        <is>
          <t>23-Mar-2026</t>
        </is>
      </c>
      <c r="B836" t="inlineStr">
        <is>
          <t>Monday</t>
        </is>
      </c>
      <c r="C836" t="inlineStr">
        <is>
          <t>Week4-Mar-2026</t>
        </is>
      </c>
      <c r="D836" s="78" t="n">
        <v>46082</v>
      </c>
      <c r="E836" t="inlineStr">
        <is>
          <t>Q4FY26</t>
        </is>
      </c>
      <c r="F836" t="inlineStr">
        <is>
          <t>30-Mar-2026</t>
        </is>
      </c>
      <c r="G836" t="inlineStr">
        <is>
          <t>Monday</t>
        </is>
      </c>
      <c r="H836" t="inlineStr">
        <is>
          <t>Monthly - Monday</t>
        </is>
      </c>
      <c r="I836" t="inlineStr">
        <is>
          <t>Monthly - Monday</t>
        </is>
      </c>
      <c r="J836" t="inlineStr">
        <is>
          <t>Same Month Expiry</t>
        </is>
      </c>
      <c r="K836" s="25" t="n">
        <v>4418333</v>
      </c>
      <c r="L836" s="26" t="n">
        <v>7061.7503</v>
      </c>
      <c r="M836" s="26" t="n">
        <v>82.38460000000001</v>
      </c>
    </row>
    <row r="837" ht="16" customHeight="1">
      <c r="A837" t="inlineStr">
        <is>
          <t>23-Mar-2026</t>
        </is>
      </c>
      <c r="B837" t="inlineStr">
        <is>
          <t>Monday</t>
        </is>
      </c>
      <c r="C837" t="inlineStr">
        <is>
          <t>Week4-Mar-2026</t>
        </is>
      </c>
      <c r="D837" s="78" t="n">
        <v>46082</v>
      </c>
      <c r="E837" t="inlineStr">
        <is>
          <t>Q4FY26</t>
        </is>
      </c>
      <c r="F837" t="inlineStr">
        <is>
          <t>28-Apr-2026</t>
        </is>
      </c>
      <c r="G837" t="inlineStr">
        <is>
          <t>Tuesday</t>
        </is>
      </c>
      <c r="H837" t="inlineStr">
        <is>
          <t>Monthly - Tuesday</t>
        </is>
      </c>
      <c r="I837" t="inlineStr">
        <is>
          <t>Monthly - Tuesday</t>
        </is>
      </c>
      <c r="J837" t="inlineStr">
        <is>
          <t>Month+1 Expiry</t>
        </is>
      </c>
      <c r="K837" s="25" t="n">
        <v>239462</v>
      </c>
      <c r="L837" s="26" t="n">
        <v>406.776</v>
      </c>
      <c r="M837" s="26" t="n">
        <v>9.6424</v>
      </c>
    </row>
    <row r="838" ht="16" customHeight="1">
      <c r="A838" t="inlineStr">
        <is>
          <t>23-Mar-2026</t>
        </is>
      </c>
      <c r="B838" t="inlineStr">
        <is>
          <t>Monday</t>
        </is>
      </c>
      <c r="C838" t="inlineStr">
        <is>
          <t>Week4-Mar-2026</t>
        </is>
      </c>
      <c r="D838" s="78" t="n">
        <v>46082</v>
      </c>
      <c r="E838" t="inlineStr">
        <is>
          <t>Q4FY26</t>
        </is>
      </c>
      <c r="F838" t="inlineStr">
        <is>
          <t>26-May-2026</t>
        </is>
      </c>
      <c r="G838" t="inlineStr">
        <is>
          <t>Tuesday</t>
        </is>
      </c>
      <c r="H838" t="inlineStr">
        <is>
          <t>Monthly - Tuesday</t>
        </is>
      </c>
      <c r="I838" t="inlineStr">
        <is>
          <t>Monthly - Tuesday</t>
        </is>
      </c>
      <c r="J838" t="inlineStr">
        <is>
          <t>Month+2 Expiry</t>
        </is>
      </c>
      <c r="K838" s="25" t="n">
        <v>17769</v>
      </c>
      <c r="L838" s="26" t="n">
        <v>30.3721</v>
      </c>
      <c r="M838" s="26" t="n">
        <v>0.7417</v>
      </c>
    </row>
    <row r="839" ht="16" customHeight="1">
      <c r="A839" t="inlineStr">
        <is>
          <t>23-Mar-2026</t>
        </is>
      </c>
      <c r="B839" t="inlineStr">
        <is>
          <t>Monday</t>
        </is>
      </c>
      <c r="C839" t="inlineStr">
        <is>
          <t>Week4-Mar-2026</t>
        </is>
      </c>
      <c r="D839" s="78" t="n">
        <v>46082</v>
      </c>
      <c r="E839" t="inlineStr">
        <is>
          <t>Q4FY26</t>
        </is>
      </c>
      <c r="F839" t="inlineStr">
        <is>
          <t>30-Jun-2026</t>
        </is>
      </c>
      <c r="G839" t="inlineStr">
        <is>
          <t>Tuesday</t>
        </is>
      </c>
      <c r="H839" t="inlineStr">
        <is>
          <t>Monthly - Tuesday</t>
        </is>
      </c>
      <c r="I839" t="inlineStr">
        <is>
          <t>Monthly - Tuesday</t>
        </is>
      </c>
      <c r="J839" t="inlineStr">
        <is>
          <t>Month+3 Expiry</t>
        </is>
      </c>
      <c r="K839" s="25" t="n">
        <v>4014</v>
      </c>
      <c r="L839" s="26" t="n">
        <v>7.1333</v>
      </c>
      <c r="M839" s="26" t="n">
        <v>0.2071</v>
      </c>
    </row>
    <row r="840" ht="16" customHeight="1">
      <c r="A840" t="inlineStr">
        <is>
          <t>23-Mar-2026</t>
        </is>
      </c>
      <c r="B840" t="inlineStr">
        <is>
          <t>Monday</t>
        </is>
      </c>
      <c r="C840" t="inlineStr">
        <is>
          <t>Week4-Mar-2026</t>
        </is>
      </c>
      <c r="D840" s="78" t="n">
        <v>46082</v>
      </c>
      <c r="E840" t="inlineStr">
        <is>
          <t>Q4FY26</t>
        </is>
      </c>
      <c r="F840" t="inlineStr">
        <is>
          <t>29-Sep-2026</t>
        </is>
      </c>
      <c r="G840" t="inlineStr">
        <is>
          <t>Tuesday</t>
        </is>
      </c>
      <c r="H840" t="inlineStr">
        <is>
          <t>Monthly - Tuesday</t>
        </is>
      </c>
      <c r="I840" t="inlineStr">
        <is>
          <t>Monthly - Tuesday</t>
        </is>
      </c>
      <c r="J840" t="inlineStr">
        <is>
          <t>Month+6 Expiry</t>
        </is>
      </c>
      <c r="K840" s="25" t="n">
        <v>0</v>
      </c>
      <c r="L840" s="26" t="n">
        <v>0</v>
      </c>
      <c r="M840" s="26" t="n">
        <v>0</v>
      </c>
    </row>
    <row r="841" ht="16" customHeight="1">
      <c r="A841" t="inlineStr">
        <is>
          <t>23-Mar-2026</t>
        </is>
      </c>
      <c r="B841" t="inlineStr">
        <is>
          <t>Monday</t>
        </is>
      </c>
      <c r="C841" t="inlineStr">
        <is>
          <t>Week4-Mar-2026</t>
        </is>
      </c>
      <c r="D841" s="78" t="n">
        <v>46082</v>
      </c>
      <c r="E841" t="inlineStr">
        <is>
          <t>Q4FY26</t>
        </is>
      </c>
      <c r="F841" t="inlineStr">
        <is>
          <t>29-Dec-2026</t>
        </is>
      </c>
      <c r="G841" t="inlineStr">
        <is>
          <t>Tuesday</t>
        </is>
      </c>
      <c r="H841" t="inlineStr">
        <is>
          <t>Monthly - Tuesday</t>
        </is>
      </c>
      <c r="I841" t="inlineStr">
        <is>
          <t>Monthly - Tuesday</t>
        </is>
      </c>
      <c r="J841" t="inlineStr">
        <is>
          <t>Month+9 Expiry</t>
        </is>
      </c>
      <c r="K841" s="25" t="n">
        <v>0</v>
      </c>
      <c r="L841" s="26" t="n">
        <v>0</v>
      </c>
      <c r="M841" s="26" t="n">
        <v>0</v>
      </c>
    </row>
    <row r="842" ht="16" customHeight="1">
      <c r="A842" t="inlineStr">
        <is>
          <t>24-Mar-2026</t>
        </is>
      </c>
      <c r="B842" t="inlineStr">
        <is>
          <t>Tuesday</t>
        </is>
      </c>
      <c r="C842" t="inlineStr">
        <is>
          <t>Week4-Mar-2026</t>
        </is>
      </c>
      <c r="D842" s="78" t="n">
        <v>46082</v>
      </c>
      <c r="E842" t="inlineStr">
        <is>
          <t>Q4FY26</t>
        </is>
      </c>
      <c r="F842" t="inlineStr">
        <is>
          <t>30-Mar-2026</t>
        </is>
      </c>
      <c r="G842" t="inlineStr">
        <is>
          <t>Monday</t>
        </is>
      </c>
      <c r="H842" t="inlineStr">
        <is>
          <t>Monthly - Monday</t>
        </is>
      </c>
      <c r="I842" t="inlineStr">
        <is>
          <t>Monthly - Monday</t>
        </is>
      </c>
      <c r="J842" t="inlineStr">
        <is>
          <t>Same Month Expiry</t>
        </is>
      </c>
      <c r="K842" s="25" t="n">
        <v>4968343</v>
      </c>
      <c r="L842" s="26" t="n">
        <v>7941.5122</v>
      </c>
      <c r="M842" s="26" t="n">
        <v>75.52</v>
      </c>
    </row>
    <row r="843" ht="16" customHeight="1">
      <c r="A843" t="inlineStr">
        <is>
          <t>24-Mar-2026</t>
        </is>
      </c>
      <c r="B843" t="inlineStr">
        <is>
          <t>Tuesday</t>
        </is>
      </c>
      <c r="C843" t="inlineStr">
        <is>
          <t>Week4-Mar-2026</t>
        </is>
      </c>
      <c r="D843" s="78" t="n">
        <v>46082</v>
      </c>
      <c r="E843" t="inlineStr">
        <is>
          <t>Q4FY26</t>
        </is>
      </c>
      <c r="F843" t="inlineStr">
        <is>
          <t>28-Apr-2026</t>
        </is>
      </c>
      <c r="G843" t="inlineStr">
        <is>
          <t>Tuesday</t>
        </is>
      </c>
      <c r="H843" t="inlineStr">
        <is>
          <t>Monthly - Tuesday</t>
        </is>
      </c>
      <c r="I843" t="inlineStr">
        <is>
          <t>Monthly - Tuesday</t>
        </is>
      </c>
      <c r="J843" t="inlineStr">
        <is>
          <t>Month+1 Expiry</t>
        </is>
      </c>
      <c r="K843" s="25" t="n">
        <v>200927</v>
      </c>
      <c r="L843" s="26" t="n">
        <v>338.3519</v>
      </c>
      <c r="M843" s="26" t="n">
        <v>7.9712</v>
      </c>
    </row>
    <row r="844" ht="16" customHeight="1">
      <c r="A844" t="inlineStr">
        <is>
          <t>24-Mar-2026</t>
        </is>
      </c>
      <c r="B844" t="inlineStr">
        <is>
          <t>Tuesday</t>
        </is>
      </c>
      <c r="C844" t="inlineStr">
        <is>
          <t>Week4-Mar-2026</t>
        </is>
      </c>
      <c r="D844" s="78" t="n">
        <v>46082</v>
      </c>
      <c r="E844" t="inlineStr">
        <is>
          <t>Q4FY26</t>
        </is>
      </c>
      <c r="F844" t="inlineStr">
        <is>
          <t>26-May-2026</t>
        </is>
      </c>
      <c r="G844" t="inlineStr">
        <is>
          <t>Tuesday</t>
        </is>
      </c>
      <c r="H844" t="inlineStr">
        <is>
          <t>Monthly - Tuesday</t>
        </is>
      </c>
      <c r="I844" t="inlineStr">
        <is>
          <t>Monthly - Tuesday</t>
        </is>
      </c>
      <c r="J844" t="inlineStr">
        <is>
          <t>Month+2 Expiry</t>
        </is>
      </c>
      <c r="K844" s="25" t="n">
        <v>11386</v>
      </c>
      <c r="L844" s="26" t="n">
        <v>19.3261</v>
      </c>
      <c r="M844" s="26" t="n">
        <v>0.5318000000000001</v>
      </c>
    </row>
    <row r="845" ht="16" customHeight="1">
      <c r="A845" t="inlineStr">
        <is>
          <t>24-Mar-2026</t>
        </is>
      </c>
      <c r="B845" t="inlineStr">
        <is>
          <t>Tuesday</t>
        </is>
      </c>
      <c r="C845" t="inlineStr">
        <is>
          <t>Week4-Mar-2026</t>
        </is>
      </c>
      <c r="D845" s="78" t="n">
        <v>46082</v>
      </c>
      <c r="E845" t="inlineStr">
        <is>
          <t>Q4FY26</t>
        </is>
      </c>
      <c r="F845" t="inlineStr">
        <is>
          <t>30-Jun-2026</t>
        </is>
      </c>
      <c r="G845" t="inlineStr">
        <is>
          <t>Tuesday</t>
        </is>
      </c>
      <c r="H845" t="inlineStr">
        <is>
          <t>Monthly - Tuesday</t>
        </is>
      </c>
      <c r="I845" t="inlineStr">
        <is>
          <t>Monthly - Tuesday</t>
        </is>
      </c>
      <c r="J845" t="inlineStr">
        <is>
          <t>Month+3 Expiry</t>
        </is>
      </c>
      <c r="K845" s="25" t="n">
        <v>2948</v>
      </c>
      <c r="L845" s="26" t="n">
        <v>5.3138</v>
      </c>
      <c r="M845" s="26" t="n">
        <v>0.1862</v>
      </c>
    </row>
    <row r="846" ht="16" customHeight="1">
      <c r="A846" t="inlineStr">
        <is>
          <t>24-Mar-2026</t>
        </is>
      </c>
      <c r="B846" t="inlineStr">
        <is>
          <t>Tuesday</t>
        </is>
      </c>
      <c r="C846" t="inlineStr">
        <is>
          <t>Week4-Mar-2026</t>
        </is>
      </c>
      <c r="D846" s="78" t="n">
        <v>46082</v>
      </c>
      <c r="E846" t="inlineStr">
        <is>
          <t>Q4FY26</t>
        </is>
      </c>
      <c r="F846" t="inlineStr">
        <is>
          <t>29-Sep-2026</t>
        </is>
      </c>
      <c r="G846" t="inlineStr">
        <is>
          <t>Tuesday</t>
        </is>
      </c>
      <c r="H846" t="inlineStr">
        <is>
          <t>Monthly - Tuesday</t>
        </is>
      </c>
      <c r="I846" t="inlineStr">
        <is>
          <t>Monthly - Tuesday</t>
        </is>
      </c>
      <c r="J846" t="inlineStr">
        <is>
          <t>Month+6 Expiry</t>
        </is>
      </c>
      <c r="K846" s="25" t="n">
        <v>0</v>
      </c>
      <c r="L846" s="26" t="n">
        <v>0</v>
      </c>
      <c r="M846" s="26" t="n">
        <v>0</v>
      </c>
    </row>
    <row r="847" ht="16" customHeight="1">
      <c r="A847" t="inlineStr">
        <is>
          <t>24-Mar-2026</t>
        </is>
      </c>
      <c r="B847" t="inlineStr">
        <is>
          <t>Tuesday</t>
        </is>
      </c>
      <c r="C847" t="inlineStr">
        <is>
          <t>Week4-Mar-2026</t>
        </is>
      </c>
      <c r="D847" s="78" t="n">
        <v>46082</v>
      </c>
      <c r="E847" t="inlineStr">
        <is>
          <t>Q4FY26</t>
        </is>
      </c>
      <c r="F847" t="inlineStr">
        <is>
          <t>29-Dec-2026</t>
        </is>
      </c>
      <c r="G847" t="inlineStr">
        <is>
          <t>Tuesday</t>
        </is>
      </c>
      <c r="H847" t="inlineStr">
        <is>
          <t>Monthly - Tuesday</t>
        </is>
      </c>
      <c r="I847" t="inlineStr">
        <is>
          <t>Monthly - Tuesday</t>
        </is>
      </c>
      <c r="J847" t="inlineStr">
        <is>
          <t>Month+9 Expiry</t>
        </is>
      </c>
      <c r="K847" s="25" t="n">
        <v>0</v>
      </c>
      <c r="L847" s="26" t="n">
        <v>0</v>
      </c>
      <c r="M847" s="26" t="n">
        <v>0</v>
      </c>
    </row>
    <row r="848" ht="16" customHeight="1">
      <c r="A848" t="inlineStr">
        <is>
          <t>25-Mar-2026</t>
        </is>
      </c>
      <c r="B848" t="inlineStr">
        <is>
          <t>Wednesday</t>
        </is>
      </c>
      <c r="C848" t="inlineStr">
        <is>
          <t>Week4-Mar-2026</t>
        </is>
      </c>
      <c r="D848" s="78" t="n">
        <v>46082</v>
      </c>
      <c r="E848" t="inlineStr">
        <is>
          <t>Q4FY26</t>
        </is>
      </c>
      <c r="F848" t="inlineStr">
        <is>
          <t>30-Mar-2026</t>
        </is>
      </c>
      <c r="G848" t="inlineStr">
        <is>
          <t>Monday</t>
        </is>
      </c>
      <c r="H848" t="inlineStr">
        <is>
          <t>Monthly - Monday</t>
        </is>
      </c>
      <c r="I848" t="inlineStr">
        <is>
          <t>Monthly - Monday</t>
        </is>
      </c>
      <c r="J848" t="inlineStr">
        <is>
          <t>Same Month Expiry</t>
        </is>
      </c>
      <c r="K848" s="25" t="n">
        <v>4979362</v>
      </c>
      <c r="L848" s="26" t="n">
        <v>8068.3544</v>
      </c>
      <c r="M848" s="26" t="n">
        <v>61.4995</v>
      </c>
    </row>
    <row r="849" ht="16" customHeight="1">
      <c r="A849" t="inlineStr">
        <is>
          <t>25-Mar-2026</t>
        </is>
      </c>
      <c r="B849" t="inlineStr">
        <is>
          <t>Wednesday</t>
        </is>
      </c>
      <c r="C849" t="inlineStr">
        <is>
          <t>Week4-Mar-2026</t>
        </is>
      </c>
      <c r="D849" s="78" t="n">
        <v>46082</v>
      </c>
      <c r="E849" t="inlineStr">
        <is>
          <t>Q4FY26</t>
        </is>
      </c>
      <c r="F849" t="inlineStr">
        <is>
          <t>28-Apr-2026</t>
        </is>
      </c>
      <c r="G849" t="inlineStr">
        <is>
          <t>Tuesday</t>
        </is>
      </c>
      <c r="H849" t="inlineStr">
        <is>
          <t>Monthly - Tuesday</t>
        </is>
      </c>
      <c r="I849" t="inlineStr">
        <is>
          <t>Monthly - Tuesday</t>
        </is>
      </c>
      <c r="J849" t="inlineStr">
        <is>
          <t>Month+1 Expiry</t>
        </is>
      </c>
      <c r="K849" s="25" t="n">
        <v>293040</v>
      </c>
      <c r="L849" s="26" t="n">
        <v>492.2111</v>
      </c>
      <c r="M849" s="26" t="n">
        <v>10.2792</v>
      </c>
    </row>
    <row r="850" ht="16" customHeight="1">
      <c r="A850" t="inlineStr">
        <is>
          <t>25-Mar-2026</t>
        </is>
      </c>
      <c r="B850" t="inlineStr">
        <is>
          <t>Wednesday</t>
        </is>
      </c>
      <c r="C850" t="inlineStr">
        <is>
          <t>Week4-Mar-2026</t>
        </is>
      </c>
      <c r="D850" s="78" t="n">
        <v>46082</v>
      </c>
      <c r="E850" t="inlineStr">
        <is>
          <t>Q4FY26</t>
        </is>
      </c>
      <c r="F850" t="inlineStr">
        <is>
          <t>26-May-2026</t>
        </is>
      </c>
      <c r="G850" t="inlineStr">
        <is>
          <t>Tuesday</t>
        </is>
      </c>
      <c r="H850" t="inlineStr">
        <is>
          <t>Monthly - Tuesday</t>
        </is>
      </c>
      <c r="I850" t="inlineStr">
        <is>
          <t>Monthly - Tuesday</t>
        </is>
      </c>
      <c r="J850" t="inlineStr">
        <is>
          <t>Month+2 Expiry</t>
        </is>
      </c>
      <c r="K850" s="25" t="n">
        <v>14940</v>
      </c>
      <c r="L850" s="26" t="n">
        <v>25.8194</v>
      </c>
      <c r="M850" s="26" t="n">
        <v>0.6824</v>
      </c>
    </row>
    <row r="851" ht="16" customHeight="1">
      <c r="A851" t="inlineStr">
        <is>
          <t>25-Mar-2026</t>
        </is>
      </c>
      <c r="B851" t="inlineStr">
        <is>
          <t>Wednesday</t>
        </is>
      </c>
      <c r="C851" t="inlineStr">
        <is>
          <t>Week4-Mar-2026</t>
        </is>
      </c>
      <c r="D851" s="78" t="n">
        <v>46082</v>
      </c>
      <c r="E851" t="inlineStr">
        <is>
          <t>Q4FY26</t>
        </is>
      </c>
      <c r="F851" t="inlineStr">
        <is>
          <t>30-Jun-2026</t>
        </is>
      </c>
      <c r="G851" t="inlineStr">
        <is>
          <t>Tuesday</t>
        </is>
      </c>
      <c r="H851" t="inlineStr">
        <is>
          <t>Monthly - Tuesday</t>
        </is>
      </c>
      <c r="I851" t="inlineStr">
        <is>
          <t>Monthly - Tuesday</t>
        </is>
      </c>
      <c r="J851" t="inlineStr">
        <is>
          <t>Month+3 Expiry</t>
        </is>
      </c>
      <c r="K851" s="25" t="n">
        <v>3858</v>
      </c>
      <c r="L851" s="26" t="n">
        <v>7.075</v>
      </c>
      <c r="M851" s="26" t="n">
        <v>0.3026</v>
      </c>
    </row>
    <row r="852" ht="16" customHeight="1">
      <c r="A852" t="inlineStr">
        <is>
          <t>25-Mar-2026</t>
        </is>
      </c>
      <c r="B852" t="inlineStr">
        <is>
          <t>Wednesday</t>
        </is>
      </c>
      <c r="C852" t="inlineStr">
        <is>
          <t>Week4-Mar-2026</t>
        </is>
      </c>
      <c r="D852" s="78" t="n">
        <v>46082</v>
      </c>
      <c r="E852" t="inlineStr">
        <is>
          <t>Q4FY26</t>
        </is>
      </c>
      <c r="F852" t="inlineStr">
        <is>
          <t>29-Sep-2026</t>
        </is>
      </c>
      <c r="G852" t="inlineStr">
        <is>
          <t>Tuesday</t>
        </is>
      </c>
      <c r="H852" t="inlineStr">
        <is>
          <t>Monthly - Tuesday</t>
        </is>
      </c>
      <c r="I852" t="inlineStr">
        <is>
          <t>Monthly - Tuesday</t>
        </is>
      </c>
      <c r="J852" t="inlineStr">
        <is>
          <t>Month+6 Expiry</t>
        </is>
      </c>
      <c r="K852" s="25" t="n">
        <v>0</v>
      </c>
      <c r="L852" s="26" t="n">
        <v>0</v>
      </c>
      <c r="M852" s="26" t="n">
        <v>0</v>
      </c>
    </row>
    <row r="853" ht="16" customHeight="1">
      <c r="A853" t="inlineStr">
        <is>
          <t>25-Mar-2026</t>
        </is>
      </c>
      <c r="B853" t="inlineStr">
        <is>
          <t>Wednesday</t>
        </is>
      </c>
      <c r="C853" t="inlineStr">
        <is>
          <t>Week4-Mar-2026</t>
        </is>
      </c>
      <c r="D853" s="78" t="n">
        <v>46082</v>
      </c>
      <c r="E853" t="inlineStr">
        <is>
          <t>Q4FY26</t>
        </is>
      </c>
      <c r="F853" t="inlineStr">
        <is>
          <t>29-Dec-2026</t>
        </is>
      </c>
      <c r="G853" t="inlineStr">
        <is>
          <t>Tuesday</t>
        </is>
      </c>
      <c r="H853" t="inlineStr">
        <is>
          <t>Monthly - Tuesday</t>
        </is>
      </c>
      <c r="I853" t="inlineStr">
        <is>
          <t>Monthly - Tuesday</t>
        </is>
      </c>
      <c r="J853" t="inlineStr">
        <is>
          <t>Month+9 Expiry</t>
        </is>
      </c>
      <c r="K853" s="25" t="n">
        <v>0</v>
      </c>
      <c r="L853" s="26" t="n">
        <v>0</v>
      </c>
      <c r="M853" s="26" t="n">
        <v>0</v>
      </c>
    </row>
    <row r="854" ht="16" customHeight="1">
      <c r="A854" t="inlineStr">
        <is>
          <t>27-Mar-2026</t>
        </is>
      </c>
      <c r="B854" t="inlineStr">
        <is>
          <t>Friday</t>
        </is>
      </c>
      <c r="C854" t="inlineStr">
        <is>
          <t>Week4-Mar-2026</t>
        </is>
      </c>
      <c r="D854" s="78" t="n">
        <v>46082</v>
      </c>
      <c r="E854" t="inlineStr">
        <is>
          <t>Q4FY26</t>
        </is>
      </c>
      <c r="F854" t="inlineStr">
        <is>
          <t>30-Mar-2026</t>
        </is>
      </c>
      <c r="G854" t="inlineStr">
        <is>
          <t>Monday</t>
        </is>
      </c>
      <c r="H854" t="inlineStr">
        <is>
          <t>Monthly - Monday</t>
        </is>
      </c>
      <c r="I854" t="inlineStr">
        <is>
          <t>Monthly - Monday</t>
        </is>
      </c>
      <c r="J854" t="inlineStr">
        <is>
          <t>Same Month Expiry</t>
        </is>
      </c>
      <c r="K854" s="25" t="n">
        <v>9232979</v>
      </c>
      <c r="L854" s="26" t="n">
        <v>14675.2802</v>
      </c>
      <c r="M854" s="26" t="n">
        <v>87.6283</v>
      </c>
    </row>
    <row r="855" ht="16" customHeight="1">
      <c r="A855" t="inlineStr">
        <is>
          <t>27-Mar-2026</t>
        </is>
      </c>
      <c r="B855" t="inlineStr">
        <is>
          <t>Friday</t>
        </is>
      </c>
      <c r="C855" t="inlineStr">
        <is>
          <t>Week4-Mar-2026</t>
        </is>
      </c>
      <c r="D855" s="78" t="n">
        <v>46082</v>
      </c>
      <c r="E855" t="inlineStr">
        <is>
          <t>Q4FY26</t>
        </is>
      </c>
      <c r="F855" t="inlineStr">
        <is>
          <t>28-Apr-2026</t>
        </is>
      </c>
      <c r="G855" t="inlineStr">
        <is>
          <t>Tuesday</t>
        </is>
      </c>
      <c r="H855" t="inlineStr">
        <is>
          <t>Monthly - Tuesday</t>
        </is>
      </c>
      <c r="I855" t="inlineStr">
        <is>
          <t>Monthly - Tuesday</t>
        </is>
      </c>
      <c r="J855" t="inlineStr">
        <is>
          <t>Month+1 Expiry</t>
        </is>
      </c>
      <c r="K855" s="25" t="n">
        <v>408018</v>
      </c>
      <c r="L855" s="26" t="n">
        <v>694.7443</v>
      </c>
      <c r="M855" s="26" t="n">
        <v>16.8435</v>
      </c>
    </row>
    <row r="856" ht="16" customHeight="1">
      <c r="A856" t="inlineStr">
        <is>
          <t>27-Mar-2026</t>
        </is>
      </c>
      <c r="B856" t="inlineStr">
        <is>
          <t>Friday</t>
        </is>
      </c>
      <c r="C856" t="inlineStr">
        <is>
          <t>Week4-Mar-2026</t>
        </is>
      </c>
      <c r="D856" s="78" t="n">
        <v>46082</v>
      </c>
      <c r="E856" t="inlineStr">
        <is>
          <t>Q4FY26</t>
        </is>
      </c>
      <c r="F856" t="inlineStr">
        <is>
          <t>26-May-2026</t>
        </is>
      </c>
      <c r="G856" t="inlineStr">
        <is>
          <t>Tuesday</t>
        </is>
      </c>
      <c r="H856" t="inlineStr">
        <is>
          <t>Monthly - Tuesday</t>
        </is>
      </c>
      <c r="I856" t="inlineStr">
        <is>
          <t>Monthly - Tuesday</t>
        </is>
      </c>
      <c r="J856" t="inlineStr">
        <is>
          <t>Month+2 Expiry</t>
        </is>
      </c>
      <c r="K856" s="25" t="n">
        <v>15100</v>
      </c>
      <c r="L856" s="26" t="n">
        <v>25.8884</v>
      </c>
      <c r="M856" s="26" t="n">
        <v>0.6586</v>
      </c>
    </row>
    <row r="857" ht="16" customHeight="1">
      <c r="A857" t="inlineStr">
        <is>
          <t>27-Mar-2026</t>
        </is>
      </c>
      <c r="B857" t="inlineStr">
        <is>
          <t>Friday</t>
        </is>
      </c>
      <c r="C857" t="inlineStr">
        <is>
          <t>Week4-Mar-2026</t>
        </is>
      </c>
      <c r="D857" s="78" t="n">
        <v>46082</v>
      </c>
      <c r="E857" t="inlineStr">
        <is>
          <t>Q4FY26</t>
        </is>
      </c>
      <c r="F857" t="inlineStr">
        <is>
          <t>30-Jun-2026</t>
        </is>
      </c>
      <c r="G857" t="inlineStr">
        <is>
          <t>Tuesday</t>
        </is>
      </c>
      <c r="H857" t="inlineStr">
        <is>
          <t>Monthly - Tuesday</t>
        </is>
      </c>
      <c r="I857" t="inlineStr">
        <is>
          <t>Monthly - Tuesday</t>
        </is>
      </c>
      <c r="J857" t="inlineStr">
        <is>
          <t>Month+3 Expiry</t>
        </is>
      </c>
      <c r="K857" s="25" t="n">
        <v>2727</v>
      </c>
      <c r="L857" s="26" t="n">
        <v>4.8915</v>
      </c>
      <c r="M857" s="26" t="n">
        <v>0.1474</v>
      </c>
    </row>
    <row r="858" ht="16" customHeight="1">
      <c r="A858" t="inlineStr">
        <is>
          <t>27-Mar-2026</t>
        </is>
      </c>
      <c r="B858" t="inlineStr">
        <is>
          <t>Friday</t>
        </is>
      </c>
      <c r="C858" t="inlineStr">
        <is>
          <t>Week4-Mar-2026</t>
        </is>
      </c>
      <c r="D858" s="78" t="n">
        <v>46082</v>
      </c>
      <c r="E858" t="inlineStr">
        <is>
          <t>Q4FY26</t>
        </is>
      </c>
      <c r="F858" t="inlineStr">
        <is>
          <t>29-Sep-2026</t>
        </is>
      </c>
      <c r="G858" t="inlineStr">
        <is>
          <t>Tuesday</t>
        </is>
      </c>
      <c r="H858" t="inlineStr">
        <is>
          <t>Monthly - Tuesday</t>
        </is>
      </c>
      <c r="I858" t="inlineStr">
        <is>
          <t>Monthly - Tuesday</t>
        </is>
      </c>
      <c r="J858" t="inlineStr">
        <is>
          <t>Month+6 Expiry</t>
        </is>
      </c>
      <c r="K858" s="25" t="n">
        <v>0</v>
      </c>
      <c r="L858" s="26" t="n">
        <v>0</v>
      </c>
      <c r="M858" s="26" t="n">
        <v>0</v>
      </c>
    </row>
    <row r="859" ht="16" customHeight="1">
      <c r="A859" t="inlineStr">
        <is>
          <t>27-Mar-2026</t>
        </is>
      </c>
      <c r="B859" t="inlineStr">
        <is>
          <t>Friday</t>
        </is>
      </c>
      <c r="C859" t="inlineStr">
        <is>
          <t>Week4-Mar-2026</t>
        </is>
      </c>
      <c r="D859" s="78" t="n">
        <v>46082</v>
      </c>
      <c r="E859" t="inlineStr">
        <is>
          <t>Q4FY26</t>
        </is>
      </c>
      <c r="F859" t="inlineStr">
        <is>
          <t>29-Dec-2026</t>
        </is>
      </c>
      <c r="G859" t="inlineStr">
        <is>
          <t>Tuesday</t>
        </is>
      </c>
      <c r="H859" t="inlineStr">
        <is>
          <t>Monthly - Tuesday</t>
        </is>
      </c>
      <c r="I859" t="inlineStr">
        <is>
          <t>Monthly - Tuesday</t>
        </is>
      </c>
      <c r="J859" t="inlineStr">
        <is>
          <t>Month+9 Expiry</t>
        </is>
      </c>
      <c r="K859" s="25" t="n">
        <v>0</v>
      </c>
      <c r="L859" s="26" t="n">
        <v>0</v>
      </c>
      <c r="M859" s="26" t="n">
        <v>0</v>
      </c>
    </row>
    <row r="860" ht="16" customHeight="1">
      <c r="A860" t="inlineStr">
        <is>
          <t>30-Mar-2026</t>
        </is>
      </c>
      <c r="B860" t="inlineStr">
        <is>
          <t>Monday</t>
        </is>
      </c>
      <c r="C860" t="inlineStr">
        <is>
          <t>Week5-Mar-2026</t>
        </is>
      </c>
      <c r="D860" s="78" t="n">
        <v>46082</v>
      </c>
      <c r="E860" t="inlineStr">
        <is>
          <t>Q4FY26</t>
        </is>
      </c>
      <c r="F860" t="inlineStr">
        <is>
          <t>30-Mar-2026</t>
        </is>
      </c>
      <c r="G860" t="inlineStr">
        <is>
          <t>Monday</t>
        </is>
      </c>
      <c r="H860" t="inlineStr">
        <is>
          <t>Monthly - Monday</t>
        </is>
      </c>
      <c r="I860" t="inlineStr">
        <is>
          <t>Monthly - Monday</t>
        </is>
      </c>
      <c r="J860" t="inlineStr">
        <is>
          <t>Same Month Expiry</t>
        </is>
      </c>
      <c r="K860" s="25" t="n">
        <v>74523432</v>
      </c>
      <c r="L860" s="26" t="n">
        <v>113487.0323</v>
      </c>
      <c r="M860" s="26" t="n">
        <v>176.447</v>
      </c>
    </row>
    <row r="861" ht="16" customHeight="1">
      <c r="A861" t="inlineStr">
        <is>
          <t>30-Mar-2026</t>
        </is>
      </c>
      <c r="B861" t="inlineStr">
        <is>
          <t>Monday</t>
        </is>
      </c>
      <c r="C861" t="inlineStr">
        <is>
          <t>Week5-Mar-2026</t>
        </is>
      </c>
      <c r="D861" s="78" t="n">
        <v>46082</v>
      </c>
      <c r="E861" t="inlineStr">
        <is>
          <t>Q4FY26</t>
        </is>
      </c>
      <c r="F861" t="inlineStr">
        <is>
          <t>28-Apr-2026</t>
        </is>
      </c>
      <c r="G861" t="inlineStr">
        <is>
          <t>Tuesday</t>
        </is>
      </c>
      <c r="H861" t="inlineStr">
        <is>
          <t>Monthly - Tuesday</t>
        </is>
      </c>
      <c r="I861" t="inlineStr">
        <is>
          <t>Monthly - Tuesday</t>
        </is>
      </c>
      <c r="J861" t="inlineStr">
        <is>
          <t>Month+1 Expiry</t>
        </is>
      </c>
      <c r="K861" s="25" t="n">
        <v>740519</v>
      </c>
      <c r="L861" s="26" t="n">
        <v>1208.5879</v>
      </c>
      <c r="M861" s="26" t="n">
        <v>29.2768</v>
      </c>
    </row>
    <row r="862" ht="16" customHeight="1">
      <c r="A862" t="inlineStr">
        <is>
          <t>30-Mar-2026</t>
        </is>
      </c>
      <c r="B862" t="inlineStr">
        <is>
          <t>Monday</t>
        </is>
      </c>
      <c r="C862" t="inlineStr">
        <is>
          <t>Week5-Mar-2026</t>
        </is>
      </c>
      <c r="D862" s="78" t="n">
        <v>46082</v>
      </c>
      <c r="E862" t="inlineStr">
        <is>
          <t>Q4FY26</t>
        </is>
      </c>
      <c r="F862" t="inlineStr">
        <is>
          <t>26-May-2026</t>
        </is>
      </c>
      <c r="G862" t="inlineStr">
        <is>
          <t>Tuesday</t>
        </is>
      </c>
      <c r="H862" t="inlineStr">
        <is>
          <t>Monthly - Tuesday</t>
        </is>
      </c>
      <c r="I862" t="inlineStr">
        <is>
          <t>Monthly - Tuesday</t>
        </is>
      </c>
      <c r="J862" t="inlineStr">
        <is>
          <t>Month+2 Expiry</t>
        </is>
      </c>
      <c r="K862" s="25" t="n">
        <v>26898</v>
      </c>
      <c r="L862" s="26" t="n">
        <v>45.4277</v>
      </c>
      <c r="M862" s="26" t="n">
        <v>1.2522</v>
      </c>
    </row>
    <row r="863" ht="16" customHeight="1">
      <c r="A863" t="inlineStr">
        <is>
          <t>30-Mar-2026</t>
        </is>
      </c>
      <c r="B863" t="inlineStr">
        <is>
          <t>Monday</t>
        </is>
      </c>
      <c r="C863" t="inlineStr">
        <is>
          <t>Week5-Mar-2026</t>
        </is>
      </c>
      <c r="D863" s="78" t="n">
        <v>46082</v>
      </c>
      <c r="E863" t="inlineStr">
        <is>
          <t>Q4FY26</t>
        </is>
      </c>
      <c r="F863" t="inlineStr">
        <is>
          <t>30-Jun-2026</t>
        </is>
      </c>
      <c r="G863" t="inlineStr">
        <is>
          <t>Tuesday</t>
        </is>
      </c>
      <c r="H863" t="inlineStr">
        <is>
          <t>Monthly - Tuesday</t>
        </is>
      </c>
      <c r="I863" t="inlineStr">
        <is>
          <t>Monthly - Tuesday</t>
        </is>
      </c>
      <c r="J863" t="inlineStr">
        <is>
          <t>Month+3 Expiry</t>
        </is>
      </c>
      <c r="K863" s="25" t="n">
        <v>4799</v>
      </c>
      <c r="L863" s="26" t="n">
        <v>8.3141</v>
      </c>
      <c r="M863" s="26" t="n">
        <v>0.2179</v>
      </c>
    </row>
    <row r="864" ht="16" customHeight="1">
      <c r="A864" t="inlineStr">
        <is>
          <t>30-Mar-2026</t>
        </is>
      </c>
      <c r="B864" t="inlineStr">
        <is>
          <t>Monday</t>
        </is>
      </c>
      <c r="C864" t="inlineStr">
        <is>
          <t>Week5-Mar-2026</t>
        </is>
      </c>
      <c r="D864" s="78" t="n">
        <v>46082</v>
      </c>
      <c r="E864" t="inlineStr">
        <is>
          <t>Q4FY26</t>
        </is>
      </c>
      <c r="F864" t="inlineStr">
        <is>
          <t>29-Sep-2026</t>
        </is>
      </c>
      <c r="G864" t="inlineStr">
        <is>
          <t>Tuesday</t>
        </is>
      </c>
      <c r="H864" t="inlineStr">
        <is>
          <t>Monthly - Tuesday</t>
        </is>
      </c>
      <c r="I864" t="inlineStr">
        <is>
          <t>Monthly - Tuesday</t>
        </is>
      </c>
      <c r="J864" t="inlineStr">
        <is>
          <t>Month+6 Expiry</t>
        </is>
      </c>
      <c r="K864" s="25" t="n">
        <v>0</v>
      </c>
      <c r="L864" s="26" t="n">
        <v>0</v>
      </c>
      <c r="M864" s="26" t="n">
        <v>0</v>
      </c>
    </row>
    <row r="865" ht="16" customHeight="1">
      <c r="A865" t="inlineStr">
        <is>
          <t>30-Mar-2026</t>
        </is>
      </c>
      <c r="B865" t="inlineStr">
        <is>
          <t>Monday</t>
        </is>
      </c>
      <c r="C865" t="inlineStr">
        <is>
          <t>Week5-Mar-2026</t>
        </is>
      </c>
      <c r="D865" s="78" t="n">
        <v>46082</v>
      </c>
      <c r="E865" t="inlineStr">
        <is>
          <t>Q4FY26</t>
        </is>
      </c>
      <c r="F865" t="inlineStr">
        <is>
          <t>29-Dec-2026</t>
        </is>
      </c>
      <c r="G865" t="inlineStr">
        <is>
          <t>Tuesday</t>
        </is>
      </c>
      <c r="H865" t="inlineStr">
        <is>
          <t>Monthly - Tuesday</t>
        </is>
      </c>
      <c r="I865" t="inlineStr">
        <is>
          <t>Monthly - Tuesday</t>
        </is>
      </c>
      <c r="J865" t="inlineStr">
        <is>
          <t>Month+9 Expiry</t>
        </is>
      </c>
      <c r="K865" s="25" t="n">
        <v>0</v>
      </c>
      <c r="L865" s="26" t="n">
        <v>0</v>
      </c>
      <c r="M865" s="26" t="n">
        <v>0</v>
      </c>
    </row>
    <row r="866" ht="16" customHeight="1">
      <c r="A866" t="inlineStr">
        <is>
          <t>01-Apr-2026</t>
        </is>
      </c>
      <c r="B866" t="inlineStr">
        <is>
          <t>Wednesday</t>
        </is>
      </c>
      <c r="C866" t="inlineStr">
        <is>
          <t>Week1-Apr-2026</t>
        </is>
      </c>
      <c r="D866" s="78" t="n">
        <v>46113</v>
      </c>
      <c r="E866" t="inlineStr">
        <is>
          <t>Q1FY27</t>
        </is>
      </c>
      <c r="F866" t="inlineStr">
        <is>
          <t>28-Apr-2026</t>
        </is>
      </c>
      <c r="G866" t="inlineStr">
        <is>
          <t>Tuesday</t>
        </is>
      </c>
      <c r="H866" t="inlineStr">
        <is>
          <t>Monthly - Tuesday</t>
        </is>
      </c>
      <c r="I866" t="inlineStr">
        <is>
          <t>Monthly - Tuesday</t>
        </is>
      </c>
      <c r="J866" t="inlineStr">
        <is>
          <t>Same Month Expiry</t>
        </is>
      </c>
      <c r="K866" s="25" t="n">
        <v>1701252</v>
      </c>
      <c r="L866" s="26" t="n">
        <v>2768.6102</v>
      </c>
      <c r="M866" s="26" t="n">
        <v>47.8962</v>
      </c>
    </row>
    <row r="867" ht="16" customHeight="1">
      <c r="A867" t="inlineStr">
        <is>
          <t>01-Apr-2026</t>
        </is>
      </c>
      <c r="B867" t="inlineStr">
        <is>
          <t>Wednesday</t>
        </is>
      </c>
      <c r="C867" t="inlineStr">
        <is>
          <t>Week1-Apr-2026</t>
        </is>
      </c>
      <c r="D867" s="78" t="n">
        <v>46113</v>
      </c>
      <c r="E867" t="inlineStr">
        <is>
          <t>Q1FY27</t>
        </is>
      </c>
      <c r="F867" t="inlineStr">
        <is>
          <t>26-May-2026</t>
        </is>
      </c>
      <c r="G867" t="inlineStr">
        <is>
          <t>Tuesday</t>
        </is>
      </c>
      <c r="H867" t="inlineStr">
        <is>
          <t>Monthly - Tuesday</t>
        </is>
      </c>
      <c r="I867" t="inlineStr">
        <is>
          <t>Monthly - Tuesday</t>
        </is>
      </c>
      <c r="J867" t="inlineStr">
        <is>
          <t>Month+1 Expiry</t>
        </is>
      </c>
      <c r="K867" s="25" t="n">
        <v>25312</v>
      </c>
      <c r="L867" s="26" t="n">
        <v>42.4236</v>
      </c>
      <c r="M867" s="26" t="n">
        <v>1.0649</v>
      </c>
    </row>
    <row r="868" ht="16" customHeight="1">
      <c r="A868" t="inlineStr">
        <is>
          <t>01-Apr-2026</t>
        </is>
      </c>
      <c r="B868" t="inlineStr">
        <is>
          <t>Wednesday</t>
        </is>
      </c>
      <c r="C868" t="inlineStr">
        <is>
          <t>Week1-Apr-2026</t>
        </is>
      </c>
      <c r="D868" s="78" t="n">
        <v>46113</v>
      </c>
      <c r="E868" t="inlineStr">
        <is>
          <t>Q1FY27</t>
        </is>
      </c>
      <c r="F868" t="inlineStr">
        <is>
          <t>30-Jun-2026</t>
        </is>
      </c>
      <c r="G868" t="inlineStr">
        <is>
          <t>Tuesday</t>
        </is>
      </c>
      <c r="H868" t="inlineStr">
        <is>
          <t>Monthly - Tuesday</t>
        </is>
      </c>
      <c r="I868" t="inlineStr">
        <is>
          <t>Monthly - Tuesday</t>
        </is>
      </c>
      <c r="J868" t="inlineStr">
        <is>
          <t>Month+2 Expiry</t>
        </is>
      </c>
      <c r="K868" s="25" t="n">
        <v>5844</v>
      </c>
      <c r="L868" s="26" t="n">
        <v>10.1244</v>
      </c>
      <c r="M868" s="26" t="n">
        <v>0.2426</v>
      </c>
    </row>
    <row r="869" ht="16" customHeight="1">
      <c r="A869" t="inlineStr">
        <is>
          <t>01-Apr-2026</t>
        </is>
      </c>
      <c r="B869" t="inlineStr">
        <is>
          <t>Wednesday</t>
        </is>
      </c>
      <c r="C869" t="inlineStr">
        <is>
          <t>Week1-Apr-2026</t>
        </is>
      </c>
      <c r="D869" s="78" t="n">
        <v>46113</v>
      </c>
      <c r="E869" t="inlineStr">
        <is>
          <t>Q1FY27</t>
        </is>
      </c>
      <c r="F869" t="inlineStr">
        <is>
          <t>29-Sep-2026</t>
        </is>
      </c>
      <c r="G869" t="inlineStr">
        <is>
          <t>Tuesday</t>
        </is>
      </c>
      <c r="H869" t="inlineStr">
        <is>
          <t>Monthly - Tuesday</t>
        </is>
      </c>
      <c r="I869" t="inlineStr">
        <is>
          <t>Monthly - Tuesday</t>
        </is>
      </c>
      <c r="J869" t="inlineStr">
        <is>
          <t>Month+5 Expiry</t>
        </is>
      </c>
      <c r="K869" s="25" t="n">
        <v>0</v>
      </c>
      <c r="L869" s="26" t="n">
        <v>0</v>
      </c>
      <c r="M869" s="26" t="n">
        <v>0</v>
      </c>
    </row>
    <row r="870" ht="16" customHeight="1">
      <c r="A870" t="inlineStr">
        <is>
          <t>01-Apr-2026</t>
        </is>
      </c>
      <c r="B870" t="inlineStr">
        <is>
          <t>Wednesday</t>
        </is>
      </c>
      <c r="C870" t="inlineStr">
        <is>
          <t>Week1-Apr-2026</t>
        </is>
      </c>
      <c r="D870" s="78" t="n">
        <v>46113</v>
      </c>
      <c r="E870" t="inlineStr">
        <is>
          <t>Q1FY27</t>
        </is>
      </c>
      <c r="F870" t="inlineStr">
        <is>
          <t>29-Dec-2026</t>
        </is>
      </c>
      <c r="G870" t="inlineStr">
        <is>
          <t>Tuesday</t>
        </is>
      </c>
      <c r="H870" t="inlineStr">
        <is>
          <t>Monthly - Tuesday</t>
        </is>
      </c>
      <c r="I870" t="inlineStr">
        <is>
          <t>Monthly - Tuesday</t>
        </is>
      </c>
      <c r="J870" t="inlineStr">
        <is>
          <t>Month+8 Expiry</t>
        </is>
      </c>
      <c r="K870" s="25" t="n">
        <v>0</v>
      </c>
      <c r="L870" s="26" t="n">
        <v>0</v>
      </c>
      <c r="M870" s="26" t="n">
        <v>0</v>
      </c>
    </row>
    <row r="871" ht="16" customHeight="1">
      <c r="A871" t="inlineStr">
        <is>
          <t>01-Apr-2026</t>
        </is>
      </c>
      <c r="B871" t="inlineStr">
        <is>
          <t>Wednesday</t>
        </is>
      </c>
      <c r="C871" t="inlineStr">
        <is>
          <t>Week1-Apr-2026</t>
        </is>
      </c>
      <c r="D871" s="78" t="n">
        <v>46113</v>
      </c>
      <c r="E871" t="inlineStr">
        <is>
          <t>Q1FY27</t>
        </is>
      </c>
      <c r="F871" t="inlineStr">
        <is>
          <t>30-Mar-2027</t>
        </is>
      </c>
      <c r="G871" t="inlineStr">
        <is>
          <t>Tuesday</t>
        </is>
      </c>
      <c r="H871" t="inlineStr">
        <is>
          <t>Monthly - Tuesday</t>
        </is>
      </c>
      <c r="I871" t="inlineStr">
        <is>
          <t>Monthly - Tuesday</t>
        </is>
      </c>
      <c r="J871" t="inlineStr">
        <is>
          <t>Month+11 Expiry</t>
        </is>
      </c>
      <c r="K871" s="25" t="n">
        <v>0</v>
      </c>
      <c r="L871" s="26" t="n">
        <v>0</v>
      </c>
      <c r="M871" s="26" t="n">
        <v>0</v>
      </c>
    </row>
    <row r="872" ht="16" customHeight="1">
      <c r="A872" t="inlineStr">
        <is>
          <t>02-Apr-2026</t>
        </is>
      </c>
      <c r="B872" t="inlineStr">
        <is>
          <t>Thursday</t>
        </is>
      </c>
      <c r="C872" t="inlineStr">
        <is>
          <t>Week1-Apr-2026</t>
        </is>
      </c>
      <c r="D872" s="78" t="n">
        <v>46113</v>
      </c>
      <c r="E872" t="inlineStr">
        <is>
          <t>Q1FY27</t>
        </is>
      </c>
      <c r="F872" t="inlineStr">
        <is>
          <t>28-Apr-2026</t>
        </is>
      </c>
      <c r="G872" t="inlineStr">
        <is>
          <t>Tuesday</t>
        </is>
      </c>
      <c r="H872" t="inlineStr">
        <is>
          <t>Monthly - Tuesday</t>
        </is>
      </c>
      <c r="I872" t="inlineStr">
        <is>
          <t>Monthly - Tuesday</t>
        </is>
      </c>
      <c r="J872" t="inlineStr">
        <is>
          <t>Same Month Expiry</t>
        </is>
      </c>
      <c r="K872" s="25" t="n">
        <v>1780823</v>
      </c>
      <c r="L872" s="26" t="n">
        <v>2860.0896</v>
      </c>
      <c r="M872" s="26" t="n">
        <v>51.781</v>
      </c>
    </row>
    <row r="873" ht="16" customHeight="1">
      <c r="A873" t="inlineStr">
        <is>
          <t>02-Apr-2026</t>
        </is>
      </c>
      <c r="B873" t="inlineStr">
        <is>
          <t>Thursday</t>
        </is>
      </c>
      <c r="C873" t="inlineStr">
        <is>
          <t>Week1-Apr-2026</t>
        </is>
      </c>
      <c r="D873" s="78" t="n">
        <v>46113</v>
      </c>
      <c r="E873" t="inlineStr">
        <is>
          <t>Q1FY27</t>
        </is>
      </c>
      <c r="F873" t="inlineStr">
        <is>
          <t>26-May-2026</t>
        </is>
      </c>
      <c r="G873" t="inlineStr">
        <is>
          <t>Tuesday</t>
        </is>
      </c>
      <c r="H873" t="inlineStr">
        <is>
          <t>Monthly - Tuesday</t>
        </is>
      </c>
      <c r="I873" t="inlineStr">
        <is>
          <t>Monthly - Tuesday</t>
        </is>
      </c>
      <c r="J873" t="inlineStr">
        <is>
          <t>Month+1 Expiry</t>
        </is>
      </c>
      <c r="K873" s="25" t="n">
        <v>29372</v>
      </c>
      <c r="L873" s="26" t="n">
        <v>48.6742</v>
      </c>
      <c r="M873" s="26" t="n">
        <v>1.062</v>
      </c>
    </row>
    <row r="874" ht="16" customHeight="1">
      <c r="A874" t="inlineStr">
        <is>
          <t>02-Apr-2026</t>
        </is>
      </c>
      <c r="B874" t="inlineStr">
        <is>
          <t>Thursday</t>
        </is>
      </c>
      <c r="C874" t="inlineStr">
        <is>
          <t>Week1-Apr-2026</t>
        </is>
      </c>
      <c r="D874" s="78" t="n">
        <v>46113</v>
      </c>
      <c r="E874" t="inlineStr">
        <is>
          <t>Q1FY27</t>
        </is>
      </c>
      <c r="F874" t="inlineStr">
        <is>
          <t>30-Jun-2026</t>
        </is>
      </c>
      <c r="G874" t="inlineStr">
        <is>
          <t>Tuesday</t>
        </is>
      </c>
      <c r="H874" t="inlineStr">
        <is>
          <t>Monthly - Tuesday</t>
        </is>
      </c>
      <c r="I874" t="inlineStr">
        <is>
          <t>Monthly - Tuesday</t>
        </is>
      </c>
      <c r="J874" t="inlineStr">
        <is>
          <t>Month+2 Expiry</t>
        </is>
      </c>
      <c r="K874" s="25" t="n">
        <v>5892</v>
      </c>
      <c r="L874" s="26" t="n">
        <v>10.229</v>
      </c>
      <c r="M874" s="26" t="n">
        <v>0.3898</v>
      </c>
    </row>
    <row r="875" ht="16" customHeight="1">
      <c r="A875" t="inlineStr">
        <is>
          <t>02-Apr-2026</t>
        </is>
      </c>
      <c r="B875" t="inlineStr">
        <is>
          <t>Thursday</t>
        </is>
      </c>
      <c r="C875" t="inlineStr">
        <is>
          <t>Week1-Apr-2026</t>
        </is>
      </c>
      <c r="D875" s="78" t="n">
        <v>46113</v>
      </c>
      <c r="E875" t="inlineStr">
        <is>
          <t>Q1FY27</t>
        </is>
      </c>
      <c r="F875" t="inlineStr">
        <is>
          <t>29-Sep-2026</t>
        </is>
      </c>
      <c r="G875" t="inlineStr">
        <is>
          <t>Tuesday</t>
        </is>
      </c>
      <c r="H875" t="inlineStr">
        <is>
          <t>Monthly - Tuesday</t>
        </is>
      </c>
      <c r="I875" t="inlineStr">
        <is>
          <t>Monthly - Tuesday</t>
        </is>
      </c>
      <c r="J875" t="inlineStr">
        <is>
          <t>Month+5 Expiry</t>
        </is>
      </c>
      <c r="K875" s="25" t="n">
        <v>0</v>
      </c>
      <c r="L875" s="26" t="n">
        <v>0</v>
      </c>
      <c r="M875" s="26" t="n">
        <v>0</v>
      </c>
    </row>
    <row r="876" ht="16" customHeight="1">
      <c r="A876" t="inlineStr">
        <is>
          <t>02-Apr-2026</t>
        </is>
      </c>
      <c r="B876" t="inlineStr">
        <is>
          <t>Thursday</t>
        </is>
      </c>
      <c r="C876" t="inlineStr">
        <is>
          <t>Week1-Apr-2026</t>
        </is>
      </c>
      <c r="D876" s="78" t="n">
        <v>46113</v>
      </c>
      <c r="E876" t="inlineStr">
        <is>
          <t>Q1FY27</t>
        </is>
      </c>
      <c r="F876" t="inlineStr">
        <is>
          <t>29-Dec-2026</t>
        </is>
      </c>
      <c r="G876" t="inlineStr">
        <is>
          <t>Tuesday</t>
        </is>
      </c>
      <c r="H876" t="inlineStr">
        <is>
          <t>Monthly - Tuesday</t>
        </is>
      </c>
      <c r="I876" t="inlineStr">
        <is>
          <t>Monthly - Tuesday</t>
        </is>
      </c>
      <c r="J876" t="inlineStr">
        <is>
          <t>Month+8 Expiry</t>
        </is>
      </c>
      <c r="K876" s="25" t="n">
        <v>0</v>
      </c>
      <c r="L876" s="26" t="n">
        <v>0</v>
      </c>
      <c r="M876" s="26" t="n">
        <v>0</v>
      </c>
    </row>
    <row r="877" ht="16" customHeight="1">
      <c r="A877" t="inlineStr">
        <is>
          <t>02-Apr-2026</t>
        </is>
      </c>
      <c r="B877" t="inlineStr">
        <is>
          <t>Thursday</t>
        </is>
      </c>
      <c r="C877" t="inlineStr">
        <is>
          <t>Week1-Apr-2026</t>
        </is>
      </c>
      <c r="D877" s="78" t="n">
        <v>46113</v>
      </c>
      <c r="E877" t="inlineStr">
        <is>
          <t>Q1FY27</t>
        </is>
      </c>
      <c r="F877" t="inlineStr">
        <is>
          <t>30-Mar-2027</t>
        </is>
      </c>
      <c r="G877" t="inlineStr">
        <is>
          <t>Tuesday</t>
        </is>
      </c>
      <c r="H877" t="inlineStr">
        <is>
          <t>Monthly - Tuesday</t>
        </is>
      </c>
      <c r="I877" t="inlineStr">
        <is>
          <t>Monthly - Tuesday</t>
        </is>
      </c>
      <c r="J877" t="inlineStr">
        <is>
          <t>Month+11 Expiry</t>
        </is>
      </c>
      <c r="K877" s="25" t="n">
        <v>0</v>
      </c>
      <c r="L877" s="26" t="n">
        <v>0</v>
      </c>
      <c r="M877" s="26" t="n">
        <v>0</v>
      </c>
    </row>
    <row r="878" ht="16" customHeight="1">
      <c r="A878" t="inlineStr">
        <is>
          <t>06-Apr-2026</t>
        </is>
      </c>
      <c r="B878" t="inlineStr">
        <is>
          <t>Monday</t>
        </is>
      </c>
      <c r="C878" t="inlineStr">
        <is>
          <t>Week1-Apr-2026</t>
        </is>
      </c>
      <c r="D878" s="78" t="n">
        <v>46113</v>
      </c>
      <c r="E878" t="inlineStr">
        <is>
          <t>Q1FY27</t>
        </is>
      </c>
      <c r="F878" t="inlineStr">
        <is>
          <t>28-Apr-2026</t>
        </is>
      </c>
      <c r="G878" t="inlineStr">
        <is>
          <t>Tuesday</t>
        </is>
      </c>
      <c r="H878" t="inlineStr">
        <is>
          <t>Monthly - Tuesday</t>
        </is>
      </c>
      <c r="I878" t="inlineStr">
        <is>
          <t>Monthly - Tuesday</t>
        </is>
      </c>
      <c r="J878" t="inlineStr">
        <is>
          <t>Same Month Expiry</t>
        </is>
      </c>
      <c r="K878" s="25" t="n">
        <v>1792247</v>
      </c>
      <c r="L878" s="26" t="n">
        <v>2892.4876</v>
      </c>
      <c r="M878" s="26" t="n">
        <v>51.2567</v>
      </c>
    </row>
    <row r="879" ht="16" customHeight="1">
      <c r="A879" t="inlineStr">
        <is>
          <t>06-Apr-2026</t>
        </is>
      </c>
      <c r="B879" t="inlineStr">
        <is>
          <t>Monday</t>
        </is>
      </c>
      <c r="C879" t="inlineStr">
        <is>
          <t>Week1-Apr-2026</t>
        </is>
      </c>
      <c r="D879" s="78" t="n">
        <v>46113</v>
      </c>
      <c r="E879" t="inlineStr">
        <is>
          <t>Q1FY27</t>
        </is>
      </c>
      <c r="F879" t="inlineStr">
        <is>
          <t>26-May-2026</t>
        </is>
      </c>
      <c r="G879" t="inlineStr">
        <is>
          <t>Tuesday</t>
        </is>
      </c>
      <c r="H879" t="inlineStr">
        <is>
          <t>Monthly - Tuesday</t>
        </is>
      </c>
      <c r="I879" t="inlineStr">
        <is>
          <t>Monthly - Tuesday</t>
        </is>
      </c>
      <c r="J879" t="inlineStr">
        <is>
          <t>Month+1 Expiry</t>
        </is>
      </c>
      <c r="K879" s="25" t="n">
        <v>28665</v>
      </c>
      <c r="L879" s="26" t="n">
        <v>47.6101</v>
      </c>
      <c r="M879" s="26" t="n">
        <v>0.9415</v>
      </c>
    </row>
    <row r="880" ht="16" customHeight="1">
      <c r="A880" t="inlineStr">
        <is>
          <t>06-Apr-2026</t>
        </is>
      </c>
      <c r="B880" t="inlineStr">
        <is>
          <t>Monday</t>
        </is>
      </c>
      <c r="C880" t="inlineStr">
        <is>
          <t>Week1-Apr-2026</t>
        </is>
      </c>
      <c r="D880" s="78" t="n">
        <v>46113</v>
      </c>
      <c r="E880" t="inlineStr">
        <is>
          <t>Q1FY27</t>
        </is>
      </c>
      <c r="F880" t="inlineStr">
        <is>
          <t>30-Jun-2026</t>
        </is>
      </c>
      <c r="G880" t="inlineStr">
        <is>
          <t>Tuesday</t>
        </is>
      </c>
      <c r="H880" t="inlineStr">
        <is>
          <t>Monthly - Tuesday</t>
        </is>
      </c>
      <c r="I880" t="inlineStr">
        <is>
          <t>Monthly - Tuesday</t>
        </is>
      </c>
      <c r="J880" t="inlineStr">
        <is>
          <t>Month+2 Expiry</t>
        </is>
      </c>
      <c r="K880" s="25" t="n">
        <v>8025</v>
      </c>
      <c r="L880" s="26" t="n">
        <v>13.5914</v>
      </c>
      <c r="M880" s="26" t="n">
        <v>0.3745</v>
      </c>
    </row>
    <row r="881" ht="16" customHeight="1">
      <c r="A881" t="inlineStr">
        <is>
          <t>06-Apr-2026</t>
        </is>
      </c>
      <c r="B881" t="inlineStr">
        <is>
          <t>Monday</t>
        </is>
      </c>
      <c r="C881" t="inlineStr">
        <is>
          <t>Week1-Apr-2026</t>
        </is>
      </c>
      <c r="D881" s="78" t="n">
        <v>46113</v>
      </c>
      <c r="E881" t="inlineStr">
        <is>
          <t>Q1FY27</t>
        </is>
      </c>
      <c r="F881" t="inlineStr">
        <is>
          <t>29-Sep-2026</t>
        </is>
      </c>
      <c r="G881" t="inlineStr">
        <is>
          <t>Tuesday</t>
        </is>
      </c>
      <c r="H881" t="inlineStr">
        <is>
          <t>Monthly - Tuesday</t>
        </is>
      </c>
      <c r="I881" t="inlineStr">
        <is>
          <t>Monthly - Tuesday</t>
        </is>
      </c>
      <c r="J881" t="inlineStr">
        <is>
          <t>Month+5 Expiry</t>
        </is>
      </c>
      <c r="K881" s="25" t="n">
        <v>0</v>
      </c>
      <c r="L881" s="26" t="n">
        <v>0</v>
      </c>
      <c r="M881" s="26" t="n">
        <v>0</v>
      </c>
    </row>
    <row r="882" ht="16" customHeight="1">
      <c r="A882" t="inlineStr">
        <is>
          <t>06-Apr-2026</t>
        </is>
      </c>
      <c r="B882" t="inlineStr">
        <is>
          <t>Monday</t>
        </is>
      </c>
      <c r="C882" t="inlineStr">
        <is>
          <t>Week1-Apr-2026</t>
        </is>
      </c>
      <c r="D882" s="78" t="n">
        <v>46113</v>
      </c>
      <c r="E882" t="inlineStr">
        <is>
          <t>Q1FY27</t>
        </is>
      </c>
      <c r="F882" t="inlineStr">
        <is>
          <t>29-Dec-2026</t>
        </is>
      </c>
      <c r="G882" t="inlineStr">
        <is>
          <t>Tuesday</t>
        </is>
      </c>
      <c r="H882" t="inlineStr">
        <is>
          <t>Monthly - Tuesday</t>
        </is>
      </c>
      <c r="I882" t="inlineStr">
        <is>
          <t>Monthly - Tuesday</t>
        </is>
      </c>
      <c r="J882" t="inlineStr">
        <is>
          <t>Month+8 Expiry</t>
        </is>
      </c>
      <c r="K882" s="25" t="n">
        <v>0</v>
      </c>
      <c r="L882" s="26" t="n">
        <v>0</v>
      </c>
      <c r="M882" s="26" t="n">
        <v>0</v>
      </c>
    </row>
    <row r="883" ht="16" customHeight="1">
      <c r="A883" t="inlineStr">
        <is>
          <t>06-Apr-2026</t>
        </is>
      </c>
      <c r="B883" t="inlineStr">
        <is>
          <t>Monday</t>
        </is>
      </c>
      <c r="C883" t="inlineStr">
        <is>
          <t>Week1-Apr-2026</t>
        </is>
      </c>
      <c r="D883" s="78" t="n">
        <v>46113</v>
      </c>
      <c r="E883" t="inlineStr">
        <is>
          <t>Q1FY27</t>
        </is>
      </c>
      <c r="F883" t="inlineStr">
        <is>
          <t>30-Mar-2027</t>
        </is>
      </c>
      <c r="G883" t="inlineStr">
        <is>
          <t>Tuesday</t>
        </is>
      </c>
      <c r="H883" t="inlineStr">
        <is>
          <t>Monthly - Tuesday</t>
        </is>
      </c>
      <c r="I883" t="inlineStr">
        <is>
          <t>Monthly - Tuesday</t>
        </is>
      </c>
      <c r="J883" t="inlineStr">
        <is>
          <t>Month+11 Expiry</t>
        </is>
      </c>
      <c r="K883" s="25" t="n">
        <v>0</v>
      </c>
      <c r="L883" s="26" t="n">
        <v>0</v>
      </c>
      <c r="M883" s="26" t="n">
        <v>0</v>
      </c>
    </row>
    <row r="884" ht="16" customHeight="1">
      <c r="A884" t="inlineStr">
        <is>
          <t>07-Apr-2026</t>
        </is>
      </c>
      <c r="B884" t="inlineStr">
        <is>
          <t>Tuesday</t>
        </is>
      </c>
      <c r="C884" t="inlineStr">
        <is>
          <t>Week1-Apr-2026</t>
        </is>
      </c>
      <c r="D884" s="78" t="n">
        <v>46113</v>
      </c>
      <c r="E884" t="inlineStr">
        <is>
          <t>Q1FY27</t>
        </is>
      </c>
      <c r="F884" t="inlineStr">
        <is>
          <t>28-Apr-2026</t>
        </is>
      </c>
      <c r="G884" t="inlineStr">
        <is>
          <t>Tuesday</t>
        </is>
      </c>
      <c r="H884" t="inlineStr">
        <is>
          <t>Monthly - Tuesday</t>
        </is>
      </c>
      <c r="I884" t="inlineStr">
        <is>
          <t>Monthly - Tuesday</t>
        </is>
      </c>
      <c r="J884" t="inlineStr">
        <is>
          <t>Same Month Expiry</t>
        </is>
      </c>
      <c r="K884" s="25" t="n">
        <v>1394871</v>
      </c>
      <c r="L884" s="26" t="n">
        <v>2256.673</v>
      </c>
      <c r="M884" s="26" t="n">
        <v>36.8649</v>
      </c>
    </row>
    <row r="885" ht="16" customHeight="1">
      <c r="A885" t="inlineStr">
        <is>
          <t>07-Apr-2026</t>
        </is>
      </c>
      <c r="B885" t="inlineStr">
        <is>
          <t>Tuesday</t>
        </is>
      </c>
      <c r="C885" t="inlineStr">
        <is>
          <t>Week1-Apr-2026</t>
        </is>
      </c>
      <c r="D885" s="78" t="n">
        <v>46113</v>
      </c>
      <c r="E885" t="inlineStr">
        <is>
          <t>Q1FY27</t>
        </is>
      </c>
      <c r="F885" t="inlineStr">
        <is>
          <t>26-May-2026</t>
        </is>
      </c>
      <c r="G885" t="inlineStr">
        <is>
          <t>Tuesday</t>
        </is>
      </c>
      <c r="H885" t="inlineStr">
        <is>
          <t>Monthly - Tuesday</t>
        </is>
      </c>
      <c r="I885" t="inlineStr">
        <is>
          <t>Monthly - Tuesday</t>
        </is>
      </c>
      <c r="J885" t="inlineStr">
        <is>
          <t>Month+1 Expiry</t>
        </is>
      </c>
      <c r="K885" s="25" t="n">
        <v>23434</v>
      </c>
      <c r="L885" s="26" t="n">
        <v>39.4802</v>
      </c>
      <c r="M885" s="26" t="n">
        <v>0.6109</v>
      </c>
    </row>
    <row r="886" ht="16" customHeight="1">
      <c r="A886" t="inlineStr">
        <is>
          <t>07-Apr-2026</t>
        </is>
      </c>
      <c r="B886" t="inlineStr">
        <is>
          <t>Tuesday</t>
        </is>
      </c>
      <c r="C886" t="inlineStr">
        <is>
          <t>Week1-Apr-2026</t>
        </is>
      </c>
      <c r="D886" s="78" t="n">
        <v>46113</v>
      </c>
      <c r="E886" t="inlineStr">
        <is>
          <t>Q1FY27</t>
        </is>
      </c>
      <c r="F886" t="inlineStr">
        <is>
          <t>30-Jun-2026</t>
        </is>
      </c>
      <c r="G886" t="inlineStr">
        <is>
          <t>Tuesday</t>
        </is>
      </c>
      <c r="H886" t="inlineStr">
        <is>
          <t>Monthly - Tuesday</t>
        </is>
      </c>
      <c r="I886" t="inlineStr">
        <is>
          <t>Monthly - Tuesday</t>
        </is>
      </c>
      <c r="J886" t="inlineStr">
        <is>
          <t>Month+2 Expiry</t>
        </is>
      </c>
      <c r="K886" s="25" t="n">
        <v>5400</v>
      </c>
      <c r="L886" s="26" t="n">
        <v>9.161199999999999</v>
      </c>
      <c r="M886" s="26" t="n">
        <v>0.221</v>
      </c>
    </row>
    <row r="887" ht="16" customHeight="1">
      <c r="A887" t="inlineStr">
        <is>
          <t>07-Apr-2026</t>
        </is>
      </c>
      <c r="B887" t="inlineStr">
        <is>
          <t>Tuesday</t>
        </is>
      </c>
      <c r="C887" t="inlineStr">
        <is>
          <t>Week1-Apr-2026</t>
        </is>
      </c>
      <c r="D887" s="78" t="n">
        <v>46113</v>
      </c>
      <c r="E887" t="inlineStr">
        <is>
          <t>Q1FY27</t>
        </is>
      </c>
      <c r="F887" t="inlineStr">
        <is>
          <t>29-Sep-2026</t>
        </is>
      </c>
      <c r="G887" t="inlineStr">
        <is>
          <t>Tuesday</t>
        </is>
      </c>
      <c r="H887" t="inlineStr">
        <is>
          <t>Monthly - Tuesday</t>
        </is>
      </c>
      <c r="I887" t="inlineStr">
        <is>
          <t>Monthly - Tuesday</t>
        </is>
      </c>
      <c r="J887" t="inlineStr">
        <is>
          <t>Month+5 Expiry</t>
        </is>
      </c>
      <c r="K887" s="25" t="n">
        <v>0</v>
      </c>
      <c r="L887" s="26" t="n">
        <v>0</v>
      </c>
      <c r="M887" s="26" t="n">
        <v>0</v>
      </c>
    </row>
    <row r="888" ht="16" customHeight="1">
      <c r="A888" t="inlineStr">
        <is>
          <t>07-Apr-2026</t>
        </is>
      </c>
      <c r="B888" t="inlineStr">
        <is>
          <t>Tuesday</t>
        </is>
      </c>
      <c r="C888" t="inlineStr">
        <is>
          <t>Week1-Apr-2026</t>
        </is>
      </c>
      <c r="D888" s="78" t="n">
        <v>46113</v>
      </c>
      <c r="E888" t="inlineStr">
        <is>
          <t>Q1FY27</t>
        </is>
      </c>
      <c r="F888" t="inlineStr">
        <is>
          <t>29-Dec-2026</t>
        </is>
      </c>
      <c r="G888" t="inlineStr">
        <is>
          <t>Tuesday</t>
        </is>
      </c>
      <c r="H888" t="inlineStr">
        <is>
          <t>Monthly - Tuesday</t>
        </is>
      </c>
      <c r="I888" t="inlineStr">
        <is>
          <t>Monthly - Tuesday</t>
        </is>
      </c>
      <c r="J888" t="inlineStr">
        <is>
          <t>Month+8 Expiry</t>
        </is>
      </c>
      <c r="K888" s="25" t="n">
        <v>0</v>
      </c>
      <c r="L888" s="26" t="n">
        <v>0</v>
      </c>
      <c r="M888" s="26" t="n">
        <v>0</v>
      </c>
    </row>
    <row r="889" ht="16" customHeight="1">
      <c r="A889" t="inlineStr">
        <is>
          <t>07-Apr-2026</t>
        </is>
      </c>
      <c r="B889" t="inlineStr">
        <is>
          <t>Tuesday</t>
        </is>
      </c>
      <c r="C889" t="inlineStr">
        <is>
          <t>Week1-Apr-2026</t>
        </is>
      </c>
      <c r="D889" s="78" t="n">
        <v>46113</v>
      </c>
      <c r="E889" t="inlineStr">
        <is>
          <t>Q1FY27</t>
        </is>
      </c>
      <c r="F889" t="inlineStr">
        <is>
          <t>30-Mar-2027</t>
        </is>
      </c>
      <c r="G889" t="inlineStr">
        <is>
          <t>Tuesday</t>
        </is>
      </c>
      <c r="H889" t="inlineStr">
        <is>
          <t>Monthly - Tuesday</t>
        </is>
      </c>
      <c r="I889" t="inlineStr">
        <is>
          <t>Monthly - Tuesday</t>
        </is>
      </c>
      <c r="J889" t="inlineStr">
        <is>
          <t>Month+11 Expiry</t>
        </is>
      </c>
      <c r="K889" s="25" t="n">
        <v>0</v>
      </c>
      <c r="L889" s="26" t="n">
        <v>0</v>
      </c>
      <c r="M889" s="26" t="n">
        <v>0</v>
      </c>
    </row>
    <row r="890" ht="16" customHeight="1">
      <c r="A890" t="inlineStr">
        <is>
          <t>08-Apr-2026</t>
        </is>
      </c>
      <c r="B890" t="inlineStr">
        <is>
          <t>Wednesday</t>
        </is>
      </c>
      <c r="C890" t="inlineStr">
        <is>
          <t>Week2-Apr-2026</t>
        </is>
      </c>
      <c r="D890" s="78" t="n">
        <v>46113</v>
      </c>
      <c r="E890" t="inlineStr">
        <is>
          <t>Q1FY27</t>
        </is>
      </c>
      <c r="F890" t="inlineStr">
        <is>
          <t>28-Apr-2026</t>
        </is>
      </c>
      <c r="G890" t="inlineStr">
        <is>
          <t>Tuesday</t>
        </is>
      </c>
      <c r="H890" t="inlineStr">
        <is>
          <t>Monthly - Tuesday</t>
        </is>
      </c>
      <c r="I890" t="inlineStr">
        <is>
          <t>Monthly - Tuesday</t>
        </is>
      </c>
      <c r="J890" t="inlineStr">
        <is>
          <t>Same Month Expiry</t>
        </is>
      </c>
      <c r="K890" s="25" t="n">
        <v>2950592</v>
      </c>
      <c r="L890" s="26" t="n">
        <v>4932.6234</v>
      </c>
      <c r="M890" s="26" t="n">
        <v>53.2015</v>
      </c>
    </row>
    <row r="891" ht="16" customHeight="1">
      <c r="A891" t="inlineStr">
        <is>
          <t>08-Apr-2026</t>
        </is>
      </c>
      <c r="B891" t="inlineStr">
        <is>
          <t>Wednesday</t>
        </is>
      </c>
      <c r="C891" t="inlineStr">
        <is>
          <t>Week2-Apr-2026</t>
        </is>
      </c>
      <c r="D891" s="78" t="n">
        <v>46113</v>
      </c>
      <c r="E891" t="inlineStr">
        <is>
          <t>Q1FY27</t>
        </is>
      </c>
      <c r="F891" t="inlineStr">
        <is>
          <t>26-May-2026</t>
        </is>
      </c>
      <c r="G891" t="inlineStr">
        <is>
          <t>Tuesday</t>
        </is>
      </c>
      <c r="H891" t="inlineStr">
        <is>
          <t>Monthly - Tuesday</t>
        </is>
      </c>
      <c r="I891" t="inlineStr">
        <is>
          <t>Monthly - Tuesday</t>
        </is>
      </c>
      <c r="J891" t="inlineStr">
        <is>
          <t>Month+1 Expiry</t>
        </is>
      </c>
      <c r="K891" s="25" t="n">
        <v>81961</v>
      </c>
      <c r="L891" s="26" t="n">
        <v>140.1505</v>
      </c>
      <c r="M891" s="26" t="n">
        <v>2.5247</v>
      </c>
    </row>
    <row r="892" ht="16" customHeight="1">
      <c r="A892" t="inlineStr">
        <is>
          <t>08-Apr-2026</t>
        </is>
      </c>
      <c r="B892" t="inlineStr">
        <is>
          <t>Wednesday</t>
        </is>
      </c>
      <c r="C892" t="inlineStr">
        <is>
          <t>Week2-Apr-2026</t>
        </is>
      </c>
      <c r="D892" s="78" t="n">
        <v>46113</v>
      </c>
      <c r="E892" t="inlineStr">
        <is>
          <t>Q1FY27</t>
        </is>
      </c>
      <c r="F892" t="inlineStr">
        <is>
          <t>30-Jun-2026</t>
        </is>
      </c>
      <c r="G892" t="inlineStr">
        <is>
          <t>Tuesday</t>
        </is>
      </c>
      <c r="H892" t="inlineStr">
        <is>
          <t>Monthly - Tuesday</t>
        </is>
      </c>
      <c r="I892" t="inlineStr">
        <is>
          <t>Monthly - Tuesday</t>
        </is>
      </c>
      <c r="J892" t="inlineStr">
        <is>
          <t>Month+2 Expiry</t>
        </is>
      </c>
      <c r="K892" s="25" t="n">
        <v>20085</v>
      </c>
      <c r="L892" s="26" t="n">
        <v>33.586</v>
      </c>
      <c r="M892" s="26" t="n">
        <v>0.6254999999999999</v>
      </c>
    </row>
    <row r="893" ht="16" customHeight="1">
      <c r="A893" t="inlineStr">
        <is>
          <t>08-Apr-2026</t>
        </is>
      </c>
      <c r="B893" t="inlineStr">
        <is>
          <t>Wednesday</t>
        </is>
      </c>
      <c r="C893" t="inlineStr">
        <is>
          <t>Week2-Apr-2026</t>
        </is>
      </c>
      <c r="D893" s="78" t="n">
        <v>46113</v>
      </c>
      <c r="E893" t="inlineStr">
        <is>
          <t>Q1FY27</t>
        </is>
      </c>
      <c r="F893" t="inlineStr">
        <is>
          <t>29-Sep-2026</t>
        </is>
      </c>
      <c r="G893" t="inlineStr">
        <is>
          <t>Tuesday</t>
        </is>
      </c>
      <c r="H893" t="inlineStr">
        <is>
          <t>Monthly - Tuesday</t>
        </is>
      </c>
      <c r="I893" t="inlineStr">
        <is>
          <t>Monthly - Tuesday</t>
        </is>
      </c>
      <c r="J893" t="inlineStr">
        <is>
          <t>Month+5 Expiry</t>
        </is>
      </c>
      <c r="K893" s="25" t="n">
        <v>0</v>
      </c>
      <c r="L893" s="26" t="n">
        <v>0</v>
      </c>
      <c r="M893" s="26" t="n">
        <v>0</v>
      </c>
    </row>
    <row r="894" ht="16" customHeight="1">
      <c r="A894" t="inlineStr">
        <is>
          <t>08-Apr-2026</t>
        </is>
      </c>
      <c r="B894" t="inlineStr">
        <is>
          <t>Wednesday</t>
        </is>
      </c>
      <c r="C894" t="inlineStr">
        <is>
          <t>Week2-Apr-2026</t>
        </is>
      </c>
      <c r="D894" s="78" t="n">
        <v>46113</v>
      </c>
      <c r="E894" t="inlineStr">
        <is>
          <t>Q1FY27</t>
        </is>
      </c>
      <c r="F894" t="inlineStr">
        <is>
          <t>29-Dec-2026</t>
        </is>
      </c>
      <c r="G894" t="inlineStr">
        <is>
          <t>Tuesday</t>
        </is>
      </c>
      <c r="H894" t="inlineStr">
        <is>
          <t>Monthly - Tuesday</t>
        </is>
      </c>
      <c r="I894" t="inlineStr">
        <is>
          <t>Monthly - Tuesday</t>
        </is>
      </c>
      <c r="J894" t="inlineStr">
        <is>
          <t>Month+8 Expiry</t>
        </is>
      </c>
      <c r="K894" s="25" t="n">
        <v>0</v>
      </c>
      <c r="L894" s="26" t="n">
        <v>0</v>
      </c>
      <c r="M894" s="26" t="n">
        <v>0</v>
      </c>
    </row>
    <row r="895" ht="16" customHeight="1">
      <c r="A895" t="inlineStr">
        <is>
          <t>08-Apr-2026</t>
        </is>
      </c>
      <c r="B895" t="inlineStr">
        <is>
          <t>Wednesday</t>
        </is>
      </c>
      <c r="C895" t="inlineStr">
        <is>
          <t>Week2-Apr-2026</t>
        </is>
      </c>
      <c r="D895" s="78" t="n">
        <v>46113</v>
      </c>
      <c r="E895" t="inlineStr">
        <is>
          <t>Q1FY27</t>
        </is>
      </c>
      <c r="F895" t="inlineStr">
        <is>
          <t>30-Mar-2027</t>
        </is>
      </c>
      <c r="G895" t="inlineStr">
        <is>
          <t>Tuesday</t>
        </is>
      </c>
      <c r="H895" t="inlineStr">
        <is>
          <t>Monthly - Tuesday</t>
        </is>
      </c>
      <c r="I895" t="inlineStr">
        <is>
          <t>Monthly - Tuesday</t>
        </is>
      </c>
      <c r="J895" t="inlineStr">
        <is>
          <t>Month+11 Expiry</t>
        </is>
      </c>
      <c r="K895" s="25" t="n">
        <v>0</v>
      </c>
      <c r="L895" s="26" t="n">
        <v>0</v>
      </c>
      <c r="M895" s="26" t="n">
        <v>0</v>
      </c>
    </row>
    <row r="896" ht="16" customHeight="1">
      <c r="A896" t="inlineStr">
        <is>
          <t>09-Apr-2026</t>
        </is>
      </c>
      <c r="B896" t="inlineStr">
        <is>
          <t>Thursday</t>
        </is>
      </c>
      <c r="C896" t="inlineStr">
        <is>
          <t>Week2-Apr-2026</t>
        </is>
      </c>
      <c r="D896" s="78" t="n">
        <v>46113</v>
      </c>
      <c r="E896" t="inlineStr">
        <is>
          <t>Q1FY27</t>
        </is>
      </c>
      <c r="F896" t="inlineStr">
        <is>
          <t>28-Apr-2026</t>
        </is>
      </c>
      <c r="G896" t="inlineStr">
        <is>
          <t>Tuesday</t>
        </is>
      </c>
      <c r="H896" t="inlineStr">
        <is>
          <t>Monthly - Tuesday</t>
        </is>
      </c>
      <c r="I896" t="inlineStr">
        <is>
          <t>Monthly - Tuesday</t>
        </is>
      </c>
      <c r="J896" t="inlineStr">
        <is>
          <t>Same Month Expiry</t>
        </is>
      </c>
      <c r="K896" s="25" t="n">
        <v>2260289</v>
      </c>
      <c r="L896" s="26" t="n">
        <v>3792.7789</v>
      </c>
      <c r="M896" s="26" t="n">
        <v>47.6055</v>
      </c>
    </row>
    <row r="897" ht="16" customHeight="1">
      <c r="A897" t="inlineStr">
        <is>
          <t>09-Apr-2026</t>
        </is>
      </c>
      <c r="B897" t="inlineStr">
        <is>
          <t>Thursday</t>
        </is>
      </c>
      <c r="C897" t="inlineStr">
        <is>
          <t>Week2-Apr-2026</t>
        </is>
      </c>
      <c r="D897" s="78" t="n">
        <v>46113</v>
      </c>
      <c r="E897" t="inlineStr">
        <is>
          <t>Q1FY27</t>
        </is>
      </c>
      <c r="F897" t="inlineStr">
        <is>
          <t>26-May-2026</t>
        </is>
      </c>
      <c r="G897" t="inlineStr">
        <is>
          <t>Tuesday</t>
        </is>
      </c>
      <c r="H897" t="inlineStr">
        <is>
          <t>Monthly - Tuesday</t>
        </is>
      </c>
      <c r="I897" t="inlineStr">
        <is>
          <t>Monthly - Tuesday</t>
        </is>
      </c>
      <c r="J897" t="inlineStr">
        <is>
          <t>Month+1 Expiry</t>
        </is>
      </c>
      <c r="K897" s="25" t="n">
        <v>64228</v>
      </c>
      <c r="L897" s="26" t="n">
        <v>109.9322</v>
      </c>
      <c r="M897" s="26" t="n">
        <v>2.1218</v>
      </c>
    </row>
    <row r="898" ht="16" customHeight="1">
      <c r="A898" t="inlineStr">
        <is>
          <t>09-Apr-2026</t>
        </is>
      </c>
      <c r="B898" t="inlineStr">
        <is>
          <t>Thursday</t>
        </is>
      </c>
      <c r="C898" t="inlineStr">
        <is>
          <t>Week2-Apr-2026</t>
        </is>
      </c>
      <c r="D898" s="78" t="n">
        <v>46113</v>
      </c>
      <c r="E898" t="inlineStr">
        <is>
          <t>Q1FY27</t>
        </is>
      </c>
      <c r="F898" t="inlineStr">
        <is>
          <t>30-Jun-2026</t>
        </is>
      </c>
      <c r="G898" t="inlineStr">
        <is>
          <t>Tuesday</t>
        </is>
      </c>
      <c r="H898" t="inlineStr">
        <is>
          <t>Monthly - Tuesday</t>
        </is>
      </c>
      <c r="I898" t="inlineStr">
        <is>
          <t>Monthly - Tuesday</t>
        </is>
      </c>
      <c r="J898" t="inlineStr">
        <is>
          <t>Month+2 Expiry</t>
        </is>
      </c>
      <c r="K898" s="25" t="n">
        <v>14046</v>
      </c>
      <c r="L898" s="26" t="n">
        <v>23.0288</v>
      </c>
      <c r="M898" s="26" t="n">
        <v>0.4037</v>
      </c>
    </row>
    <row r="899" ht="16" customHeight="1">
      <c r="A899" t="inlineStr">
        <is>
          <t>09-Apr-2026</t>
        </is>
      </c>
      <c r="B899" t="inlineStr">
        <is>
          <t>Thursday</t>
        </is>
      </c>
      <c r="C899" t="inlineStr">
        <is>
          <t>Week2-Apr-2026</t>
        </is>
      </c>
      <c r="D899" s="78" t="n">
        <v>46113</v>
      </c>
      <c r="E899" t="inlineStr">
        <is>
          <t>Q1FY27</t>
        </is>
      </c>
      <c r="F899" t="inlineStr">
        <is>
          <t>29-Sep-2026</t>
        </is>
      </c>
      <c r="G899" t="inlineStr">
        <is>
          <t>Tuesday</t>
        </is>
      </c>
      <c r="H899" t="inlineStr">
        <is>
          <t>Monthly - Tuesday</t>
        </is>
      </c>
      <c r="I899" t="inlineStr">
        <is>
          <t>Monthly - Tuesday</t>
        </is>
      </c>
      <c r="J899" t="inlineStr">
        <is>
          <t>Month+5 Expiry</t>
        </is>
      </c>
      <c r="K899" s="25" t="n">
        <v>0</v>
      </c>
      <c r="L899" s="26" t="n">
        <v>0</v>
      </c>
      <c r="M899" s="26" t="n">
        <v>0</v>
      </c>
    </row>
    <row r="900" ht="16" customHeight="1">
      <c r="A900" t="inlineStr">
        <is>
          <t>09-Apr-2026</t>
        </is>
      </c>
      <c r="B900" t="inlineStr">
        <is>
          <t>Thursday</t>
        </is>
      </c>
      <c r="C900" t="inlineStr">
        <is>
          <t>Week2-Apr-2026</t>
        </is>
      </c>
      <c r="D900" s="78" t="n">
        <v>46113</v>
      </c>
      <c r="E900" t="inlineStr">
        <is>
          <t>Q1FY27</t>
        </is>
      </c>
      <c r="F900" t="inlineStr">
        <is>
          <t>29-Dec-2026</t>
        </is>
      </c>
      <c r="G900" t="inlineStr">
        <is>
          <t>Tuesday</t>
        </is>
      </c>
      <c r="H900" t="inlineStr">
        <is>
          <t>Monthly - Tuesday</t>
        </is>
      </c>
      <c r="I900" t="inlineStr">
        <is>
          <t>Monthly - Tuesday</t>
        </is>
      </c>
      <c r="J900" t="inlineStr">
        <is>
          <t>Month+8 Expiry</t>
        </is>
      </c>
      <c r="K900" s="25" t="n">
        <v>0</v>
      </c>
      <c r="L900" s="26" t="n">
        <v>0</v>
      </c>
      <c r="M900" s="26" t="n">
        <v>0</v>
      </c>
    </row>
    <row r="901" ht="16" customHeight="1">
      <c r="A901" t="inlineStr">
        <is>
          <t>09-Apr-2026</t>
        </is>
      </c>
      <c r="B901" t="inlineStr">
        <is>
          <t>Thursday</t>
        </is>
      </c>
      <c r="C901" t="inlineStr">
        <is>
          <t>Week2-Apr-2026</t>
        </is>
      </c>
      <c r="D901" s="78" t="n">
        <v>46113</v>
      </c>
      <c r="E901" t="inlineStr">
        <is>
          <t>Q1FY27</t>
        </is>
      </c>
      <c r="F901" t="inlineStr">
        <is>
          <t>30-Mar-2027</t>
        </is>
      </c>
      <c r="G901" t="inlineStr">
        <is>
          <t>Tuesday</t>
        </is>
      </c>
      <c r="H901" t="inlineStr">
        <is>
          <t>Monthly - Tuesday</t>
        </is>
      </c>
      <c r="I901" t="inlineStr">
        <is>
          <t>Monthly - Tuesday</t>
        </is>
      </c>
      <c r="J901" t="inlineStr">
        <is>
          <t>Month+11 Expiry</t>
        </is>
      </c>
      <c r="K901" s="25" t="n">
        <v>0</v>
      </c>
      <c r="L901" s="26" t="n">
        <v>0</v>
      </c>
      <c r="M901" s="26" t="n">
        <v>0</v>
      </c>
    </row>
    <row r="902" ht="16" customHeight="1">
      <c r="A902" t="inlineStr">
        <is>
          <t>10-Apr-2026</t>
        </is>
      </c>
      <c r="B902" t="inlineStr">
        <is>
          <t>Friday</t>
        </is>
      </c>
      <c r="C902" t="inlineStr">
        <is>
          <t>Week2-Apr-2026</t>
        </is>
      </c>
      <c r="D902" s="78" t="n">
        <v>46113</v>
      </c>
      <c r="E902" t="inlineStr">
        <is>
          <t>Q1FY27</t>
        </is>
      </c>
      <c r="F902" t="inlineStr">
        <is>
          <t>28-Apr-2026</t>
        </is>
      </c>
      <c r="G902" t="inlineStr">
        <is>
          <t>Tuesday</t>
        </is>
      </c>
      <c r="H902" t="inlineStr">
        <is>
          <t>Monthly - Tuesday</t>
        </is>
      </c>
      <c r="I902" t="inlineStr">
        <is>
          <t>Monthly - Tuesday</t>
        </is>
      </c>
      <c r="J902" t="inlineStr">
        <is>
          <t>Same Month Expiry</t>
        </is>
      </c>
      <c r="K902" s="25" t="n">
        <v>2333048</v>
      </c>
      <c r="L902" s="26" t="n">
        <v>3937.8099</v>
      </c>
      <c r="M902" s="26" t="n">
        <v>42.2367</v>
      </c>
    </row>
    <row r="903" ht="16" customHeight="1">
      <c r="A903" t="inlineStr">
        <is>
          <t>10-Apr-2026</t>
        </is>
      </c>
      <c r="B903" t="inlineStr">
        <is>
          <t>Friday</t>
        </is>
      </c>
      <c r="C903" t="inlineStr">
        <is>
          <t>Week2-Apr-2026</t>
        </is>
      </c>
      <c r="D903" s="78" t="n">
        <v>46113</v>
      </c>
      <c r="E903" t="inlineStr">
        <is>
          <t>Q1FY27</t>
        </is>
      </c>
      <c r="F903" t="inlineStr">
        <is>
          <t>26-May-2026</t>
        </is>
      </c>
      <c r="G903" t="inlineStr">
        <is>
          <t>Tuesday</t>
        </is>
      </c>
      <c r="H903" t="inlineStr">
        <is>
          <t>Monthly - Tuesday</t>
        </is>
      </c>
      <c r="I903" t="inlineStr">
        <is>
          <t>Monthly - Tuesday</t>
        </is>
      </c>
      <c r="J903" t="inlineStr">
        <is>
          <t>Month+1 Expiry</t>
        </is>
      </c>
      <c r="K903" s="25" t="n">
        <v>67641</v>
      </c>
      <c r="L903" s="26" t="n">
        <v>116.6531</v>
      </c>
      <c r="M903" s="26" t="n">
        <v>2.2397</v>
      </c>
    </row>
    <row r="904" ht="16" customHeight="1">
      <c r="A904" t="inlineStr">
        <is>
          <t>10-Apr-2026</t>
        </is>
      </c>
      <c r="B904" t="inlineStr">
        <is>
          <t>Friday</t>
        </is>
      </c>
      <c r="C904" t="inlineStr">
        <is>
          <t>Week2-Apr-2026</t>
        </is>
      </c>
      <c r="D904" s="78" t="n">
        <v>46113</v>
      </c>
      <c r="E904" t="inlineStr">
        <is>
          <t>Q1FY27</t>
        </is>
      </c>
      <c r="F904" t="inlineStr">
        <is>
          <t>30-Jun-2026</t>
        </is>
      </c>
      <c r="G904" t="inlineStr">
        <is>
          <t>Tuesday</t>
        </is>
      </c>
      <c r="H904" t="inlineStr">
        <is>
          <t>Monthly - Tuesday</t>
        </is>
      </c>
      <c r="I904" t="inlineStr">
        <is>
          <t>Monthly - Tuesday</t>
        </is>
      </c>
      <c r="J904" t="inlineStr">
        <is>
          <t>Month+2 Expiry</t>
        </is>
      </c>
      <c r="K904" s="25" t="n">
        <v>7886</v>
      </c>
      <c r="L904" s="26" t="n">
        <v>13.6757</v>
      </c>
      <c r="M904" s="26" t="n">
        <v>0.2506</v>
      </c>
    </row>
    <row r="905" ht="16" customHeight="1">
      <c r="A905" t="inlineStr">
        <is>
          <t>10-Apr-2026</t>
        </is>
      </c>
      <c r="B905" t="inlineStr">
        <is>
          <t>Friday</t>
        </is>
      </c>
      <c r="C905" t="inlineStr">
        <is>
          <t>Week2-Apr-2026</t>
        </is>
      </c>
      <c r="D905" s="78" t="n">
        <v>46113</v>
      </c>
      <c r="E905" t="inlineStr">
        <is>
          <t>Q1FY27</t>
        </is>
      </c>
      <c r="F905" t="inlineStr">
        <is>
          <t>29-Sep-2026</t>
        </is>
      </c>
      <c r="G905" t="inlineStr">
        <is>
          <t>Tuesday</t>
        </is>
      </c>
      <c r="H905" t="inlineStr">
        <is>
          <t>Monthly - Tuesday</t>
        </is>
      </c>
      <c r="I905" t="inlineStr">
        <is>
          <t>Monthly - Tuesday</t>
        </is>
      </c>
      <c r="J905" t="inlineStr">
        <is>
          <t>Month+5 Expiry</t>
        </is>
      </c>
      <c r="K905" s="25" t="n">
        <v>0</v>
      </c>
      <c r="L905" s="26" t="n">
        <v>0</v>
      </c>
      <c r="M905" s="26" t="n">
        <v>0</v>
      </c>
    </row>
    <row r="906" ht="16" customHeight="1">
      <c r="A906" t="inlineStr">
        <is>
          <t>10-Apr-2026</t>
        </is>
      </c>
      <c r="B906" t="inlineStr">
        <is>
          <t>Friday</t>
        </is>
      </c>
      <c r="C906" t="inlineStr">
        <is>
          <t>Week2-Apr-2026</t>
        </is>
      </c>
      <c r="D906" s="78" t="n">
        <v>46113</v>
      </c>
      <c r="E906" t="inlineStr">
        <is>
          <t>Q1FY27</t>
        </is>
      </c>
      <c r="F906" t="inlineStr">
        <is>
          <t>29-Dec-2026</t>
        </is>
      </c>
      <c r="G906" t="inlineStr">
        <is>
          <t>Tuesday</t>
        </is>
      </c>
      <c r="H906" t="inlineStr">
        <is>
          <t>Monthly - Tuesday</t>
        </is>
      </c>
      <c r="I906" t="inlineStr">
        <is>
          <t>Monthly - Tuesday</t>
        </is>
      </c>
      <c r="J906" t="inlineStr">
        <is>
          <t>Month+8 Expiry</t>
        </is>
      </c>
      <c r="K906" s="25" t="n">
        <v>0</v>
      </c>
      <c r="L906" s="26" t="n">
        <v>0</v>
      </c>
      <c r="M906" s="26" t="n">
        <v>0</v>
      </c>
    </row>
    <row r="907" ht="16" customHeight="1">
      <c r="A907" t="inlineStr">
        <is>
          <t>10-Apr-2026</t>
        </is>
      </c>
      <c r="B907" t="inlineStr">
        <is>
          <t>Friday</t>
        </is>
      </c>
      <c r="C907" t="inlineStr">
        <is>
          <t>Week2-Apr-2026</t>
        </is>
      </c>
      <c r="D907" s="78" t="n">
        <v>46113</v>
      </c>
      <c r="E907" t="inlineStr">
        <is>
          <t>Q1FY27</t>
        </is>
      </c>
      <c r="F907" t="inlineStr">
        <is>
          <t>30-Mar-2027</t>
        </is>
      </c>
      <c r="G907" t="inlineStr">
        <is>
          <t>Tuesday</t>
        </is>
      </c>
      <c r="H907" t="inlineStr">
        <is>
          <t>Monthly - Tuesday</t>
        </is>
      </c>
      <c r="I907" t="inlineStr">
        <is>
          <t>Monthly - Tuesday</t>
        </is>
      </c>
      <c r="J907" t="inlineStr">
        <is>
          <t>Month+11 Expiry</t>
        </is>
      </c>
      <c r="K907" s="25" t="n">
        <v>0</v>
      </c>
      <c r="L907" s="26" t="n">
        <v>0</v>
      </c>
      <c r="M907" s="26" t="n">
        <v>0</v>
      </c>
    </row>
    <row r="908" ht="16" customHeight="1">
      <c r="A908" t="inlineStr">
        <is>
          <t>13-Apr-2026</t>
        </is>
      </c>
      <c r="B908" t="inlineStr">
        <is>
          <t>Monday</t>
        </is>
      </c>
      <c r="C908" t="inlineStr">
        <is>
          <t>Week2-Apr-2026</t>
        </is>
      </c>
      <c r="D908" s="78" t="n">
        <v>46113</v>
      </c>
      <c r="E908" t="inlineStr">
        <is>
          <t>Q1FY27</t>
        </is>
      </c>
      <c r="F908" t="inlineStr">
        <is>
          <t>28-Apr-2026</t>
        </is>
      </c>
      <c r="G908" t="inlineStr">
        <is>
          <t>Tuesday</t>
        </is>
      </c>
      <c r="H908" t="inlineStr">
        <is>
          <t>Monthly - Tuesday</t>
        </is>
      </c>
      <c r="I908" t="inlineStr">
        <is>
          <t>Monthly - Tuesday</t>
        </is>
      </c>
      <c r="J908" t="inlineStr">
        <is>
          <t>Same Month Expiry</t>
        </is>
      </c>
      <c r="K908" s="25" t="n">
        <v>2385883</v>
      </c>
      <c r="L908" s="26" t="n">
        <v>4002.7958</v>
      </c>
      <c r="M908" s="26" t="n">
        <v>42.8004</v>
      </c>
    </row>
    <row r="909" ht="16" customHeight="1">
      <c r="A909" t="inlineStr">
        <is>
          <t>13-Apr-2026</t>
        </is>
      </c>
      <c r="B909" t="inlineStr">
        <is>
          <t>Monday</t>
        </is>
      </c>
      <c r="C909" t="inlineStr">
        <is>
          <t>Week2-Apr-2026</t>
        </is>
      </c>
      <c r="D909" s="78" t="n">
        <v>46113</v>
      </c>
      <c r="E909" t="inlineStr">
        <is>
          <t>Q1FY27</t>
        </is>
      </c>
      <c r="F909" t="inlineStr">
        <is>
          <t>26-May-2026</t>
        </is>
      </c>
      <c r="G909" t="inlineStr">
        <is>
          <t>Tuesday</t>
        </is>
      </c>
      <c r="H909" t="inlineStr">
        <is>
          <t>Monthly - Tuesday</t>
        </is>
      </c>
      <c r="I909" t="inlineStr">
        <is>
          <t>Monthly - Tuesday</t>
        </is>
      </c>
      <c r="J909" t="inlineStr">
        <is>
          <t>Month+1 Expiry</t>
        </is>
      </c>
      <c r="K909" s="25" t="n">
        <v>135820</v>
      </c>
      <c r="L909" s="26" t="n">
        <v>239.7971</v>
      </c>
      <c r="M909" s="26" t="n">
        <v>3.3325</v>
      </c>
    </row>
    <row r="910" ht="16" customHeight="1">
      <c r="A910" t="inlineStr">
        <is>
          <t>13-Apr-2026</t>
        </is>
      </c>
      <c r="B910" t="inlineStr">
        <is>
          <t>Monday</t>
        </is>
      </c>
      <c r="C910" t="inlineStr">
        <is>
          <t>Week2-Apr-2026</t>
        </is>
      </c>
      <c r="D910" s="78" t="n">
        <v>46113</v>
      </c>
      <c r="E910" t="inlineStr">
        <is>
          <t>Q1FY27</t>
        </is>
      </c>
      <c r="F910" t="inlineStr">
        <is>
          <t>30-Jun-2026</t>
        </is>
      </c>
      <c r="G910" t="inlineStr">
        <is>
          <t>Tuesday</t>
        </is>
      </c>
      <c r="H910" t="inlineStr">
        <is>
          <t>Monthly - Tuesday</t>
        </is>
      </c>
      <c r="I910" t="inlineStr">
        <is>
          <t>Monthly - Tuesday</t>
        </is>
      </c>
      <c r="J910" t="inlineStr">
        <is>
          <t>Month+2 Expiry</t>
        </is>
      </c>
      <c r="K910" s="25" t="n">
        <v>13438</v>
      </c>
      <c r="L910" s="26" t="n">
        <v>23.3437</v>
      </c>
      <c r="M910" s="26" t="n">
        <v>0.396</v>
      </c>
    </row>
    <row r="911" ht="16" customHeight="1">
      <c r="A911" t="inlineStr">
        <is>
          <t>13-Apr-2026</t>
        </is>
      </c>
      <c r="B911" t="inlineStr">
        <is>
          <t>Monday</t>
        </is>
      </c>
      <c r="C911" t="inlineStr">
        <is>
          <t>Week2-Apr-2026</t>
        </is>
      </c>
      <c r="D911" s="78" t="n">
        <v>46113</v>
      </c>
      <c r="E911" t="inlineStr">
        <is>
          <t>Q1FY27</t>
        </is>
      </c>
      <c r="F911" t="inlineStr">
        <is>
          <t>29-Sep-2026</t>
        </is>
      </c>
      <c r="G911" t="inlineStr">
        <is>
          <t>Tuesday</t>
        </is>
      </c>
      <c r="H911" t="inlineStr">
        <is>
          <t>Monthly - Tuesday</t>
        </is>
      </c>
      <c r="I911" t="inlineStr">
        <is>
          <t>Monthly - Tuesday</t>
        </is>
      </c>
      <c r="J911" t="inlineStr">
        <is>
          <t>Month+5 Expiry</t>
        </is>
      </c>
      <c r="K911" s="25" t="n">
        <v>0</v>
      </c>
      <c r="L911" s="26" t="n">
        <v>0</v>
      </c>
      <c r="M911" s="26" t="n">
        <v>0</v>
      </c>
    </row>
    <row r="912" ht="16" customHeight="1">
      <c r="A912" t="inlineStr">
        <is>
          <t>13-Apr-2026</t>
        </is>
      </c>
      <c r="B912" t="inlineStr">
        <is>
          <t>Monday</t>
        </is>
      </c>
      <c r="C912" t="inlineStr">
        <is>
          <t>Week2-Apr-2026</t>
        </is>
      </c>
      <c r="D912" s="78" t="n">
        <v>46113</v>
      </c>
      <c r="E912" t="inlineStr">
        <is>
          <t>Q1FY27</t>
        </is>
      </c>
      <c r="F912" t="inlineStr">
        <is>
          <t>29-Dec-2026</t>
        </is>
      </c>
      <c r="G912" t="inlineStr">
        <is>
          <t>Tuesday</t>
        </is>
      </c>
      <c r="H912" t="inlineStr">
        <is>
          <t>Monthly - Tuesday</t>
        </is>
      </c>
      <c r="I912" t="inlineStr">
        <is>
          <t>Monthly - Tuesday</t>
        </is>
      </c>
      <c r="J912" t="inlineStr">
        <is>
          <t>Month+8 Expiry</t>
        </is>
      </c>
      <c r="K912" s="25" t="n">
        <v>0</v>
      </c>
      <c r="L912" s="26" t="n">
        <v>0</v>
      </c>
      <c r="M912" s="26" t="n">
        <v>0</v>
      </c>
    </row>
    <row r="913" ht="16" customHeight="1">
      <c r="A913" t="inlineStr">
        <is>
          <t>13-Apr-2026</t>
        </is>
      </c>
      <c r="B913" t="inlineStr">
        <is>
          <t>Monday</t>
        </is>
      </c>
      <c r="C913" t="inlineStr">
        <is>
          <t>Week2-Apr-2026</t>
        </is>
      </c>
      <c r="D913" s="78" t="n">
        <v>46113</v>
      </c>
      <c r="E913" t="inlineStr">
        <is>
          <t>Q1FY27</t>
        </is>
      </c>
      <c r="F913" t="inlineStr">
        <is>
          <t>30-Mar-2027</t>
        </is>
      </c>
      <c r="G913" t="inlineStr">
        <is>
          <t>Tuesday</t>
        </is>
      </c>
      <c r="H913" t="inlineStr">
        <is>
          <t>Monthly - Tuesday</t>
        </is>
      </c>
      <c r="I913" t="inlineStr">
        <is>
          <t>Monthly - Tuesday</t>
        </is>
      </c>
      <c r="J913" t="inlineStr">
        <is>
          <t>Month+11 Expiry</t>
        </is>
      </c>
      <c r="K913" s="25" t="n">
        <v>0</v>
      </c>
      <c r="L913" s="26" t="n">
        <v>0</v>
      </c>
      <c r="M913" s="26" t="n">
        <v>0</v>
      </c>
    </row>
    <row r="914" ht="16" customHeight="1">
      <c r="A914" t="inlineStr">
        <is>
          <t>15-Apr-2026</t>
        </is>
      </c>
      <c r="B914" t="inlineStr">
        <is>
          <t>Wednesday</t>
        </is>
      </c>
      <c r="C914" t="inlineStr">
        <is>
          <t>Week3-Apr-2026</t>
        </is>
      </c>
      <c r="D914" s="78" t="n">
        <v>46113</v>
      </c>
      <c r="E914" t="inlineStr">
        <is>
          <t>Q1FY27</t>
        </is>
      </c>
      <c r="F914" t="inlineStr">
        <is>
          <t>28-Apr-2026</t>
        </is>
      </c>
      <c r="G914" t="inlineStr">
        <is>
          <t>Tuesday</t>
        </is>
      </c>
      <c r="H914" t="inlineStr">
        <is>
          <t>Monthly - Tuesday</t>
        </is>
      </c>
      <c r="I914" t="inlineStr">
        <is>
          <t>Monthly - Tuesday</t>
        </is>
      </c>
      <c r="J914" t="inlineStr">
        <is>
          <t>Same Month Expiry</t>
        </is>
      </c>
      <c r="K914" s="25" t="n">
        <v>2656328</v>
      </c>
      <c r="L914" s="26" t="n">
        <v>4481.5077</v>
      </c>
      <c r="M914" s="26" t="n">
        <v>41.7455</v>
      </c>
    </row>
    <row r="915" ht="16" customHeight="1">
      <c r="A915" t="inlineStr">
        <is>
          <t>15-Apr-2026</t>
        </is>
      </c>
      <c r="B915" t="inlineStr">
        <is>
          <t>Wednesday</t>
        </is>
      </c>
      <c r="C915" t="inlineStr">
        <is>
          <t>Week3-Apr-2026</t>
        </is>
      </c>
      <c r="D915" s="78" t="n">
        <v>46113</v>
      </c>
      <c r="E915" t="inlineStr">
        <is>
          <t>Q1FY27</t>
        </is>
      </c>
      <c r="F915" t="inlineStr">
        <is>
          <t>26-May-2026</t>
        </is>
      </c>
      <c r="G915" t="inlineStr">
        <is>
          <t>Tuesday</t>
        </is>
      </c>
      <c r="H915" t="inlineStr">
        <is>
          <t>Monthly - Tuesday</t>
        </is>
      </c>
      <c r="I915" t="inlineStr">
        <is>
          <t>Monthly - Tuesday</t>
        </is>
      </c>
      <c r="J915" t="inlineStr">
        <is>
          <t>Month+1 Expiry</t>
        </is>
      </c>
      <c r="K915" s="25" t="n">
        <v>147651</v>
      </c>
      <c r="L915" s="26" t="n">
        <v>258.661</v>
      </c>
      <c r="M915" s="26" t="n">
        <v>4.9611</v>
      </c>
    </row>
    <row r="916" ht="16" customHeight="1">
      <c r="A916" t="inlineStr">
        <is>
          <t>15-Apr-2026</t>
        </is>
      </c>
      <c r="B916" t="inlineStr">
        <is>
          <t>Wednesday</t>
        </is>
      </c>
      <c r="C916" t="inlineStr">
        <is>
          <t>Week3-Apr-2026</t>
        </is>
      </c>
      <c r="D916" s="78" t="n">
        <v>46113</v>
      </c>
      <c r="E916" t="inlineStr">
        <is>
          <t>Q1FY27</t>
        </is>
      </c>
      <c r="F916" t="inlineStr">
        <is>
          <t>30-Jun-2026</t>
        </is>
      </c>
      <c r="G916" t="inlineStr">
        <is>
          <t>Tuesday</t>
        </is>
      </c>
      <c r="H916" t="inlineStr">
        <is>
          <t>Monthly - Tuesday</t>
        </is>
      </c>
      <c r="I916" t="inlineStr">
        <is>
          <t>Monthly - Tuesday</t>
        </is>
      </c>
      <c r="J916" t="inlineStr">
        <is>
          <t>Month+2 Expiry</t>
        </is>
      </c>
      <c r="K916" s="25" t="n">
        <v>12414</v>
      </c>
      <c r="L916" s="26" t="n">
        <v>21.1937</v>
      </c>
      <c r="M916" s="26" t="n">
        <v>0.3531</v>
      </c>
    </row>
    <row r="917" ht="16" customHeight="1">
      <c r="A917" t="inlineStr">
        <is>
          <t>15-Apr-2026</t>
        </is>
      </c>
      <c r="B917" t="inlineStr">
        <is>
          <t>Wednesday</t>
        </is>
      </c>
      <c r="C917" t="inlineStr">
        <is>
          <t>Week3-Apr-2026</t>
        </is>
      </c>
      <c r="D917" s="78" t="n">
        <v>46113</v>
      </c>
      <c r="E917" t="inlineStr">
        <is>
          <t>Q1FY27</t>
        </is>
      </c>
      <c r="F917" t="inlineStr">
        <is>
          <t>29-Sep-2026</t>
        </is>
      </c>
      <c r="G917" t="inlineStr">
        <is>
          <t>Tuesday</t>
        </is>
      </c>
      <c r="H917" t="inlineStr">
        <is>
          <t>Monthly - Tuesday</t>
        </is>
      </c>
      <c r="I917" t="inlineStr">
        <is>
          <t>Monthly - Tuesday</t>
        </is>
      </c>
      <c r="J917" t="inlineStr">
        <is>
          <t>Month+5 Expiry</t>
        </is>
      </c>
      <c r="K917" s="25" t="n">
        <v>0</v>
      </c>
      <c r="L917" s="26" t="n">
        <v>0</v>
      </c>
      <c r="M917" s="26" t="n">
        <v>0</v>
      </c>
    </row>
    <row r="918" ht="16" customHeight="1">
      <c r="A918" t="inlineStr">
        <is>
          <t>15-Apr-2026</t>
        </is>
      </c>
      <c r="B918" t="inlineStr">
        <is>
          <t>Wednesday</t>
        </is>
      </c>
      <c r="C918" t="inlineStr">
        <is>
          <t>Week3-Apr-2026</t>
        </is>
      </c>
      <c r="D918" s="78" t="n">
        <v>46113</v>
      </c>
      <c r="E918" t="inlineStr">
        <is>
          <t>Q1FY27</t>
        </is>
      </c>
      <c r="F918" t="inlineStr">
        <is>
          <t>29-Dec-2026</t>
        </is>
      </c>
      <c r="G918" t="inlineStr">
        <is>
          <t>Tuesday</t>
        </is>
      </c>
      <c r="H918" t="inlineStr">
        <is>
          <t>Monthly - Tuesday</t>
        </is>
      </c>
      <c r="I918" t="inlineStr">
        <is>
          <t>Monthly - Tuesday</t>
        </is>
      </c>
      <c r="J918" t="inlineStr">
        <is>
          <t>Month+8 Expiry</t>
        </is>
      </c>
      <c r="K918" s="25" t="n">
        <v>0</v>
      </c>
      <c r="L918" s="26" t="n">
        <v>0</v>
      </c>
      <c r="M918" s="26" t="n">
        <v>0</v>
      </c>
    </row>
    <row r="919" ht="16" customHeight="1">
      <c r="A919" t="inlineStr">
        <is>
          <t>15-Apr-2026</t>
        </is>
      </c>
      <c r="B919" t="inlineStr">
        <is>
          <t>Wednesday</t>
        </is>
      </c>
      <c r="C919" t="inlineStr">
        <is>
          <t>Week3-Apr-2026</t>
        </is>
      </c>
      <c r="D919" s="78" t="n">
        <v>46113</v>
      </c>
      <c r="E919" t="inlineStr">
        <is>
          <t>Q1FY27</t>
        </is>
      </c>
      <c r="F919" t="inlineStr">
        <is>
          <t>30-Mar-2027</t>
        </is>
      </c>
      <c r="G919" t="inlineStr">
        <is>
          <t>Tuesday</t>
        </is>
      </c>
      <c r="H919" t="inlineStr">
        <is>
          <t>Monthly - Tuesday</t>
        </is>
      </c>
      <c r="I919" t="inlineStr">
        <is>
          <t>Monthly - Tuesday</t>
        </is>
      </c>
      <c r="J919" t="inlineStr">
        <is>
          <t>Month+11 Expiry</t>
        </is>
      </c>
      <c r="K919" s="25" t="n">
        <v>0</v>
      </c>
      <c r="L919" s="26" t="n">
        <v>0</v>
      </c>
      <c r="M919" s="26" t="n">
        <v>0</v>
      </c>
    </row>
    <row r="920" ht="16" customHeight="1">
      <c r="A920" t="inlineStr">
        <is>
          <t>16-Apr-2026</t>
        </is>
      </c>
      <c r="B920" t="inlineStr">
        <is>
          <t>Thursday</t>
        </is>
      </c>
      <c r="C920" t="inlineStr">
        <is>
          <t>Week3-Apr-2026</t>
        </is>
      </c>
      <c r="D920" s="78" t="n">
        <v>46113</v>
      </c>
      <c r="E920" t="inlineStr">
        <is>
          <t>Q1FY27</t>
        </is>
      </c>
      <c r="F920" t="inlineStr">
        <is>
          <t>28-Apr-2026</t>
        </is>
      </c>
      <c r="G920" t="inlineStr">
        <is>
          <t>Tuesday</t>
        </is>
      </c>
      <c r="H920" t="inlineStr">
        <is>
          <t>Monthly - Tuesday</t>
        </is>
      </c>
      <c r="I920" t="inlineStr">
        <is>
          <t>Monthly - Tuesday</t>
        </is>
      </c>
      <c r="J920" t="inlineStr">
        <is>
          <t>Same Month Expiry</t>
        </is>
      </c>
      <c r="K920" s="25" t="n">
        <v>2664316</v>
      </c>
      <c r="L920" s="26" t="n">
        <v>4509.677</v>
      </c>
      <c r="M920" s="26" t="n">
        <v>41.3777</v>
      </c>
    </row>
    <row r="921" ht="16" customHeight="1">
      <c r="A921" t="inlineStr">
        <is>
          <t>16-Apr-2026</t>
        </is>
      </c>
      <c r="B921" t="inlineStr">
        <is>
          <t>Thursday</t>
        </is>
      </c>
      <c r="C921" t="inlineStr">
        <is>
          <t>Week3-Apr-2026</t>
        </is>
      </c>
      <c r="D921" s="78" t="n">
        <v>46113</v>
      </c>
      <c r="E921" t="inlineStr">
        <is>
          <t>Q1FY27</t>
        </is>
      </c>
      <c r="F921" t="inlineStr">
        <is>
          <t>26-May-2026</t>
        </is>
      </c>
      <c r="G921" t="inlineStr">
        <is>
          <t>Tuesday</t>
        </is>
      </c>
      <c r="H921" t="inlineStr">
        <is>
          <t>Monthly - Tuesday</t>
        </is>
      </c>
      <c r="I921" t="inlineStr">
        <is>
          <t>Monthly - Tuesday</t>
        </is>
      </c>
      <c r="J921" t="inlineStr">
        <is>
          <t>Month+1 Expiry</t>
        </is>
      </c>
      <c r="K921" s="25" t="n">
        <v>117117</v>
      </c>
      <c r="L921" s="26" t="n">
        <v>207.0371</v>
      </c>
      <c r="M921" s="26" t="n">
        <v>3.2896</v>
      </c>
    </row>
    <row r="922" ht="16" customHeight="1">
      <c r="A922" t="inlineStr">
        <is>
          <t>16-Apr-2026</t>
        </is>
      </c>
      <c r="B922" t="inlineStr">
        <is>
          <t>Thursday</t>
        </is>
      </c>
      <c r="C922" t="inlineStr">
        <is>
          <t>Week3-Apr-2026</t>
        </is>
      </c>
      <c r="D922" s="78" t="n">
        <v>46113</v>
      </c>
      <c r="E922" t="inlineStr">
        <is>
          <t>Q1FY27</t>
        </is>
      </c>
      <c r="F922" t="inlineStr">
        <is>
          <t>30-Jun-2026</t>
        </is>
      </c>
      <c r="G922" t="inlineStr">
        <is>
          <t>Tuesday</t>
        </is>
      </c>
      <c r="H922" t="inlineStr">
        <is>
          <t>Monthly - Tuesday</t>
        </is>
      </c>
      <c r="I922" t="inlineStr">
        <is>
          <t>Monthly - Tuesday</t>
        </is>
      </c>
      <c r="J922" t="inlineStr">
        <is>
          <t>Month+2 Expiry</t>
        </is>
      </c>
      <c r="K922" s="25" t="n">
        <v>9648</v>
      </c>
      <c r="L922" s="26" t="n">
        <v>16.7656</v>
      </c>
      <c r="M922" s="26" t="n">
        <v>0.2589</v>
      </c>
    </row>
    <row r="923" ht="16" customHeight="1">
      <c r="A923" t="inlineStr">
        <is>
          <t>16-Apr-2026</t>
        </is>
      </c>
      <c r="B923" t="inlineStr">
        <is>
          <t>Thursday</t>
        </is>
      </c>
      <c r="C923" t="inlineStr">
        <is>
          <t>Week3-Apr-2026</t>
        </is>
      </c>
      <c r="D923" s="78" t="n">
        <v>46113</v>
      </c>
      <c r="E923" t="inlineStr">
        <is>
          <t>Q1FY27</t>
        </is>
      </c>
      <c r="F923" t="inlineStr">
        <is>
          <t>29-Sep-2026</t>
        </is>
      </c>
      <c r="G923" t="inlineStr">
        <is>
          <t>Tuesday</t>
        </is>
      </c>
      <c r="H923" t="inlineStr">
        <is>
          <t>Monthly - Tuesday</t>
        </is>
      </c>
      <c r="I923" t="inlineStr">
        <is>
          <t>Monthly - Tuesday</t>
        </is>
      </c>
      <c r="J923" t="inlineStr">
        <is>
          <t>Month+5 Expiry</t>
        </is>
      </c>
      <c r="K923" s="25" t="n">
        <v>0</v>
      </c>
      <c r="L923" s="26" t="n">
        <v>0</v>
      </c>
      <c r="M923" s="26" t="n">
        <v>0</v>
      </c>
    </row>
    <row r="924" ht="16" customHeight="1">
      <c r="A924" t="inlineStr">
        <is>
          <t>16-Apr-2026</t>
        </is>
      </c>
      <c r="B924" t="inlineStr">
        <is>
          <t>Thursday</t>
        </is>
      </c>
      <c r="C924" t="inlineStr">
        <is>
          <t>Week3-Apr-2026</t>
        </is>
      </c>
      <c r="D924" s="78" t="n">
        <v>46113</v>
      </c>
      <c r="E924" t="inlineStr">
        <is>
          <t>Q1FY27</t>
        </is>
      </c>
      <c r="F924" t="inlineStr">
        <is>
          <t>29-Dec-2026</t>
        </is>
      </c>
      <c r="G924" t="inlineStr">
        <is>
          <t>Tuesday</t>
        </is>
      </c>
      <c r="H924" t="inlineStr">
        <is>
          <t>Monthly - Tuesday</t>
        </is>
      </c>
      <c r="I924" t="inlineStr">
        <is>
          <t>Monthly - Tuesday</t>
        </is>
      </c>
      <c r="J924" t="inlineStr">
        <is>
          <t>Month+8 Expiry</t>
        </is>
      </c>
      <c r="K924" s="25" t="n">
        <v>0</v>
      </c>
      <c r="L924" s="26" t="n">
        <v>0</v>
      </c>
      <c r="M924" s="26" t="n">
        <v>0</v>
      </c>
    </row>
    <row r="925" ht="16" customHeight="1">
      <c r="A925" t="inlineStr">
        <is>
          <t>16-Apr-2026</t>
        </is>
      </c>
      <c r="B925" t="inlineStr">
        <is>
          <t>Thursday</t>
        </is>
      </c>
      <c r="C925" t="inlineStr">
        <is>
          <t>Week3-Apr-2026</t>
        </is>
      </c>
      <c r="D925" s="78" t="n">
        <v>46113</v>
      </c>
      <c r="E925" t="inlineStr">
        <is>
          <t>Q1FY27</t>
        </is>
      </c>
      <c r="F925" t="inlineStr">
        <is>
          <t>30-Mar-2027</t>
        </is>
      </c>
      <c r="G925" t="inlineStr">
        <is>
          <t>Tuesday</t>
        </is>
      </c>
      <c r="H925" t="inlineStr">
        <is>
          <t>Monthly - Tuesday</t>
        </is>
      </c>
      <c r="I925" t="inlineStr">
        <is>
          <t>Monthly - Tuesday</t>
        </is>
      </c>
      <c r="J925" t="inlineStr">
        <is>
          <t>Month+11 Expiry</t>
        </is>
      </c>
      <c r="K925" s="25" t="n">
        <v>0</v>
      </c>
      <c r="L925" s="26" t="n">
        <v>0</v>
      </c>
      <c r="M925" s="26" t="n">
        <v>0</v>
      </c>
    </row>
    <row r="926" ht="16" customHeight="1">
      <c r="A926" t="inlineStr">
        <is>
          <t>17-Apr-2026</t>
        </is>
      </c>
      <c r="B926" t="inlineStr">
        <is>
          <t>Friday</t>
        </is>
      </c>
      <c r="C926" t="inlineStr">
        <is>
          <t>Week3-Apr-2026</t>
        </is>
      </c>
      <c r="D926" s="78" t="n">
        <v>46113</v>
      </c>
      <c r="E926" t="inlineStr">
        <is>
          <t>Q1FY27</t>
        </is>
      </c>
      <c r="F926" t="inlineStr">
        <is>
          <t>28-Apr-2026</t>
        </is>
      </c>
      <c r="G926" t="inlineStr">
        <is>
          <t>Tuesday</t>
        </is>
      </c>
      <c r="H926" t="inlineStr">
        <is>
          <t>Monthly - Tuesday</t>
        </is>
      </c>
      <c r="I926" t="inlineStr">
        <is>
          <t>Monthly - Tuesday</t>
        </is>
      </c>
      <c r="J926" t="inlineStr">
        <is>
          <t>Same Month Expiry</t>
        </is>
      </c>
      <c r="K926" s="25" t="n">
        <v>2695208</v>
      </c>
      <c r="L926" s="26" t="n">
        <v>4543.2434</v>
      </c>
      <c r="M926" s="26" t="n">
        <v>35.7619</v>
      </c>
    </row>
    <row r="927" ht="16" customHeight="1">
      <c r="A927" t="inlineStr">
        <is>
          <t>17-Apr-2026</t>
        </is>
      </c>
      <c r="B927" t="inlineStr">
        <is>
          <t>Friday</t>
        </is>
      </c>
      <c r="C927" t="inlineStr">
        <is>
          <t>Week3-Apr-2026</t>
        </is>
      </c>
      <c r="D927" s="78" t="n">
        <v>46113</v>
      </c>
      <c r="E927" t="inlineStr">
        <is>
          <t>Q1FY27</t>
        </is>
      </c>
      <c r="F927" t="inlineStr">
        <is>
          <t>26-May-2026</t>
        </is>
      </c>
      <c r="G927" t="inlineStr">
        <is>
          <t>Tuesday</t>
        </is>
      </c>
      <c r="H927" t="inlineStr">
        <is>
          <t>Monthly - Tuesday</t>
        </is>
      </c>
      <c r="I927" t="inlineStr">
        <is>
          <t>Monthly - Tuesday</t>
        </is>
      </c>
      <c r="J927" t="inlineStr">
        <is>
          <t>Month+1 Expiry</t>
        </is>
      </c>
      <c r="K927" s="25" t="n">
        <v>132661</v>
      </c>
      <c r="L927" s="26" t="n">
        <v>232.1285</v>
      </c>
      <c r="M927" s="26" t="n">
        <v>3.1768</v>
      </c>
    </row>
    <row r="928" ht="16" customHeight="1">
      <c r="A928" t="inlineStr">
        <is>
          <t>17-Apr-2026</t>
        </is>
      </c>
      <c r="B928" t="inlineStr">
        <is>
          <t>Friday</t>
        </is>
      </c>
      <c r="C928" t="inlineStr">
        <is>
          <t>Week3-Apr-2026</t>
        </is>
      </c>
      <c r="D928" s="78" t="n">
        <v>46113</v>
      </c>
      <c r="E928" t="inlineStr">
        <is>
          <t>Q1FY27</t>
        </is>
      </c>
      <c r="F928" t="inlineStr">
        <is>
          <t>30-Jun-2026</t>
        </is>
      </c>
      <c r="G928" t="inlineStr">
        <is>
          <t>Tuesday</t>
        </is>
      </c>
      <c r="H928" t="inlineStr">
        <is>
          <t>Monthly - Tuesday</t>
        </is>
      </c>
      <c r="I928" t="inlineStr">
        <is>
          <t>Monthly - Tuesday</t>
        </is>
      </c>
      <c r="J928" t="inlineStr">
        <is>
          <t>Month+2 Expiry</t>
        </is>
      </c>
      <c r="K928" s="25" t="n">
        <v>10165</v>
      </c>
      <c r="L928" s="26" t="n">
        <v>17.4921</v>
      </c>
      <c r="M928" s="26" t="n">
        <v>0.2711</v>
      </c>
    </row>
    <row r="929" ht="16" customHeight="1">
      <c r="A929" t="inlineStr">
        <is>
          <t>17-Apr-2026</t>
        </is>
      </c>
      <c r="B929" t="inlineStr">
        <is>
          <t>Friday</t>
        </is>
      </c>
      <c r="C929" t="inlineStr">
        <is>
          <t>Week3-Apr-2026</t>
        </is>
      </c>
      <c r="D929" s="78" t="n">
        <v>46113</v>
      </c>
      <c r="E929" t="inlineStr">
        <is>
          <t>Q1FY27</t>
        </is>
      </c>
      <c r="F929" t="inlineStr">
        <is>
          <t>29-Sep-2026</t>
        </is>
      </c>
      <c r="G929" t="inlineStr">
        <is>
          <t>Tuesday</t>
        </is>
      </c>
      <c r="H929" t="inlineStr">
        <is>
          <t>Monthly - Tuesday</t>
        </is>
      </c>
      <c r="I929" t="inlineStr">
        <is>
          <t>Monthly - Tuesday</t>
        </is>
      </c>
      <c r="J929" t="inlineStr">
        <is>
          <t>Month+5 Expiry</t>
        </is>
      </c>
      <c r="K929" s="25" t="n">
        <v>0</v>
      </c>
      <c r="L929" s="26" t="n">
        <v>0</v>
      </c>
      <c r="M929" s="26" t="n">
        <v>0</v>
      </c>
    </row>
    <row r="930" ht="16" customHeight="1">
      <c r="A930" t="inlineStr">
        <is>
          <t>17-Apr-2026</t>
        </is>
      </c>
      <c r="B930" t="inlineStr">
        <is>
          <t>Friday</t>
        </is>
      </c>
      <c r="C930" t="inlineStr">
        <is>
          <t>Week3-Apr-2026</t>
        </is>
      </c>
      <c r="D930" s="78" t="n">
        <v>46113</v>
      </c>
      <c r="E930" t="inlineStr">
        <is>
          <t>Q1FY27</t>
        </is>
      </c>
      <c r="F930" t="inlineStr">
        <is>
          <t>29-Dec-2026</t>
        </is>
      </c>
      <c r="G930" t="inlineStr">
        <is>
          <t>Tuesday</t>
        </is>
      </c>
      <c r="H930" t="inlineStr">
        <is>
          <t>Monthly - Tuesday</t>
        </is>
      </c>
      <c r="I930" t="inlineStr">
        <is>
          <t>Monthly - Tuesday</t>
        </is>
      </c>
      <c r="J930" t="inlineStr">
        <is>
          <t>Month+8 Expiry</t>
        </is>
      </c>
      <c r="K930" s="25" t="n">
        <v>0</v>
      </c>
      <c r="L930" s="26" t="n">
        <v>0</v>
      </c>
      <c r="M930" s="26" t="n">
        <v>0</v>
      </c>
    </row>
    <row r="931" ht="16" customHeight="1">
      <c r="A931" t="inlineStr">
        <is>
          <t>17-Apr-2026</t>
        </is>
      </c>
      <c r="B931" t="inlineStr">
        <is>
          <t>Friday</t>
        </is>
      </c>
      <c r="C931" t="inlineStr">
        <is>
          <t>Week3-Apr-2026</t>
        </is>
      </c>
      <c r="D931" s="78" t="n">
        <v>46113</v>
      </c>
      <c r="E931" t="inlineStr">
        <is>
          <t>Q1FY27</t>
        </is>
      </c>
      <c r="F931" t="inlineStr">
        <is>
          <t>30-Mar-2027</t>
        </is>
      </c>
      <c r="G931" t="inlineStr">
        <is>
          <t>Tuesday</t>
        </is>
      </c>
      <c r="H931" t="inlineStr">
        <is>
          <t>Monthly - Tuesday</t>
        </is>
      </c>
      <c r="I931" t="inlineStr">
        <is>
          <t>Monthly - Tuesday</t>
        </is>
      </c>
      <c r="J931" t="inlineStr">
        <is>
          <t>Month+11 Expiry</t>
        </is>
      </c>
      <c r="K931" s="25" t="n">
        <v>0</v>
      </c>
      <c r="L931" s="26" t="n">
        <v>0</v>
      </c>
      <c r="M931" s="26" t="n">
        <v>0</v>
      </c>
    </row>
    <row r="932" ht="16" customHeight="1">
      <c r="A932" t="inlineStr">
        <is>
          <t>20-Apr-2026</t>
        </is>
      </c>
      <c r="B932" t="inlineStr">
        <is>
          <t>Monday</t>
        </is>
      </c>
      <c r="C932" t="inlineStr">
        <is>
          <t>Week3-Apr-2026</t>
        </is>
      </c>
      <c r="D932" s="78" t="n">
        <v>46113</v>
      </c>
      <c r="E932" t="inlineStr">
        <is>
          <t>Q1FY27</t>
        </is>
      </c>
      <c r="F932" t="inlineStr">
        <is>
          <t>28-Apr-2026</t>
        </is>
      </c>
      <c r="G932" t="inlineStr">
        <is>
          <t>Tuesday</t>
        </is>
      </c>
      <c r="H932" t="inlineStr">
        <is>
          <t>Monthly - Tuesday</t>
        </is>
      </c>
      <c r="I932" t="inlineStr">
        <is>
          <t>Monthly - Tuesday</t>
        </is>
      </c>
      <c r="J932" t="inlineStr">
        <is>
          <t>Same Month Expiry</t>
        </is>
      </c>
      <c r="K932" s="25" t="n">
        <v>3666502</v>
      </c>
      <c r="L932" s="26" t="n">
        <v>6226.2013</v>
      </c>
      <c r="M932" s="26" t="n">
        <v>44.2092</v>
      </c>
    </row>
    <row r="933" ht="16" customHeight="1">
      <c r="A933" t="inlineStr">
        <is>
          <t>20-Apr-2026</t>
        </is>
      </c>
      <c r="B933" t="inlineStr">
        <is>
          <t>Monday</t>
        </is>
      </c>
      <c r="C933" t="inlineStr">
        <is>
          <t>Week3-Apr-2026</t>
        </is>
      </c>
      <c r="D933" s="78" t="n">
        <v>46113</v>
      </c>
      <c r="E933" t="inlineStr">
        <is>
          <t>Q1FY27</t>
        </is>
      </c>
      <c r="F933" t="inlineStr">
        <is>
          <t>26-May-2026</t>
        </is>
      </c>
      <c r="G933" t="inlineStr">
        <is>
          <t>Tuesday</t>
        </is>
      </c>
      <c r="H933" t="inlineStr">
        <is>
          <t>Monthly - Tuesday</t>
        </is>
      </c>
      <c r="I933" t="inlineStr">
        <is>
          <t>Monthly - Tuesday</t>
        </is>
      </c>
      <c r="J933" t="inlineStr">
        <is>
          <t>Month+1 Expiry</t>
        </is>
      </c>
      <c r="K933" s="25" t="n">
        <v>180150</v>
      </c>
      <c r="L933" s="26" t="n">
        <v>314.8038</v>
      </c>
      <c r="M933" s="26" t="n">
        <v>3.9954</v>
      </c>
    </row>
    <row r="934" ht="16" customHeight="1">
      <c r="A934" t="inlineStr">
        <is>
          <t>20-Apr-2026</t>
        </is>
      </c>
      <c r="B934" t="inlineStr">
        <is>
          <t>Monday</t>
        </is>
      </c>
      <c r="C934" t="inlineStr">
        <is>
          <t>Week3-Apr-2026</t>
        </is>
      </c>
      <c r="D934" s="78" t="n">
        <v>46113</v>
      </c>
      <c r="E934" t="inlineStr">
        <is>
          <t>Q1FY27</t>
        </is>
      </c>
      <c r="F934" t="inlineStr">
        <is>
          <t>30-Jun-2026</t>
        </is>
      </c>
      <c r="G934" t="inlineStr">
        <is>
          <t>Tuesday</t>
        </is>
      </c>
      <c r="H934" t="inlineStr">
        <is>
          <t>Monthly - Tuesday</t>
        </is>
      </c>
      <c r="I934" t="inlineStr">
        <is>
          <t>Monthly - Tuesday</t>
        </is>
      </c>
      <c r="J934" t="inlineStr">
        <is>
          <t>Month+2 Expiry</t>
        </is>
      </c>
      <c r="K934" s="25" t="n">
        <v>15269</v>
      </c>
      <c r="L934" s="26" t="n">
        <v>26.7854</v>
      </c>
      <c r="M934" s="26" t="n">
        <v>0.5145</v>
      </c>
    </row>
    <row r="935" ht="16" customHeight="1">
      <c r="A935" t="inlineStr">
        <is>
          <t>20-Apr-2026</t>
        </is>
      </c>
      <c r="B935" t="inlineStr">
        <is>
          <t>Monday</t>
        </is>
      </c>
      <c r="C935" t="inlineStr">
        <is>
          <t>Week3-Apr-2026</t>
        </is>
      </c>
      <c r="D935" s="78" t="n">
        <v>46113</v>
      </c>
      <c r="E935" t="inlineStr">
        <is>
          <t>Q1FY27</t>
        </is>
      </c>
      <c r="F935" t="inlineStr">
        <is>
          <t>29-Sep-2026</t>
        </is>
      </c>
      <c r="G935" t="inlineStr">
        <is>
          <t>Tuesday</t>
        </is>
      </c>
      <c r="H935" t="inlineStr">
        <is>
          <t>Monthly - Tuesday</t>
        </is>
      </c>
      <c r="I935" t="inlineStr">
        <is>
          <t>Monthly - Tuesday</t>
        </is>
      </c>
      <c r="J935" t="inlineStr">
        <is>
          <t>Month+5 Expiry</t>
        </is>
      </c>
      <c r="K935" s="25" t="n">
        <v>0</v>
      </c>
      <c r="L935" s="26" t="n">
        <v>0</v>
      </c>
      <c r="M935" s="26" t="n">
        <v>0</v>
      </c>
    </row>
    <row r="936" ht="16" customHeight="1">
      <c r="A936" t="inlineStr">
        <is>
          <t>20-Apr-2026</t>
        </is>
      </c>
      <c r="B936" t="inlineStr">
        <is>
          <t>Monday</t>
        </is>
      </c>
      <c r="C936" t="inlineStr">
        <is>
          <t>Week3-Apr-2026</t>
        </is>
      </c>
      <c r="D936" s="78" t="n">
        <v>46113</v>
      </c>
      <c r="E936" t="inlineStr">
        <is>
          <t>Q1FY27</t>
        </is>
      </c>
      <c r="F936" t="inlineStr">
        <is>
          <t>29-Dec-2026</t>
        </is>
      </c>
      <c r="G936" t="inlineStr">
        <is>
          <t>Tuesday</t>
        </is>
      </c>
      <c r="H936" t="inlineStr">
        <is>
          <t>Monthly - Tuesday</t>
        </is>
      </c>
      <c r="I936" t="inlineStr">
        <is>
          <t>Monthly - Tuesday</t>
        </is>
      </c>
      <c r="J936" t="inlineStr">
        <is>
          <t>Month+8 Expiry</t>
        </is>
      </c>
      <c r="K936" s="25" t="n">
        <v>0</v>
      </c>
      <c r="L936" s="26" t="n">
        <v>0</v>
      </c>
      <c r="M936" s="26" t="n">
        <v>0</v>
      </c>
    </row>
    <row r="937" ht="16" customHeight="1">
      <c r="A937" t="inlineStr">
        <is>
          <t>20-Apr-2026</t>
        </is>
      </c>
      <c r="B937" t="inlineStr">
        <is>
          <t>Monday</t>
        </is>
      </c>
      <c r="C937" t="inlineStr">
        <is>
          <t>Week3-Apr-2026</t>
        </is>
      </c>
      <c r="D937" s="78" t="n">
        <v>46113</v>
      </c>
      <c r="E937" t="inlineStr">
        <is>
          <t>Q1FY27</t>
        </is>
      </c>
      <c r="F937" t="inlineStr">
        <is>
          <t>30-Mar-2027</t>
        </is>
      </c>
      <c r="G937" t="inlineStr">
        <is>
          <t>Tuesday</t>
        </is>
      </c>
      <c r="H937" t="inlineStr">
        <is>
          <t>Monthly - Tuesday</t>
        </is>
      </c>
      <c r="I937" t="inlineStr">
        <is>
          <t>Monthly - Tuesday</t>
        </is>
      </c>
      <c r="J937" t="inlineStr">
        <is>
          <t>Month+11 Expiry</t>
        </is>
      </c>
      <c r="K937" s="25" t="n">
        <v>0</v>
      </c>
      <c r="L937" s="26" t="n">
        <v>0</v>
      </c>
      <c r="M937" s="26" t="n">
        <v>0</v>
      </c>
    </row>
    <row r="938" ht="16" customHeight="1">
      <c r="A938" t="inlineStr">
        <is>
          <t>21-Apr-2026</t>
        </is>
      </c>
      <c r="B938" t="inlineStr">
        <is>
          <t>Tuesday</t>
        </is>
      </c>
      <c r="C938" t="inlineStr">
        <is>
          <t>Week3-Apr-2026</t>
        </is>
      </c>
      <c r="D938" s="78" t="n">
        <v>46113</v>
      </c>
      <c r="E938" t="inlineStr">
        <is>
          <t>Q1FY27</t>
        </is>
      </c>
      <c r="F938" t="inlineStr">
        <is>
          <t>28-Apr-2026</t>
        </is>
      </c>
      <c r="G938" t="inlineStr">
        <is>
          <t>Tuesday</t>
        </is>
      </c>
      <c r="H938" t="inlineStr">
        <is>
          <t>Monthly - Tuesday</t>
        </is>
      </c>
      <c r="I938" t="inlineStr">
        <is>
          <t>Monthly - Tuesday</t>
        </is>
      </c>
      <c r="J938" t="inlineStr">
        <is>
          <t>Same Month Expiry</t>
        </is>
      </c>
      <c r="K938" s="25" t="n">
        <v>2989722</v>
      </c>
      <c r="L938" s="26" t="n">
        <v>5064.6264</v>
      </c>
      <c r="M938" s="26" t="n">
        <v>33.9211</v>
      </c>
    </row>
    <row r="939" ht="16" customHeight="1">
      <c r="A939" t="inlineStr">
        <is>
          <t>21-Apr-2026</t>
        </is>
      </c>
      <c r="B939" t="inlineStr">
        <is>
          <t>Tuesday</t>
        </is>
      </c>
      <c r="C939" t="inlineStr">
        <is>
          <t>Week3-Apr-2026</t>
        </is>
      </c>
      <c r="D939" s="78" t="n">
        <v>46113</v>
      </c>
      <c r="E939" t="inlineStr">
        <is>
          <t>Q1FY27</t>
        </is>
      </c>
      <c r="F939" t="inlineStr">
        <is>
          <t>26-May-2026</t>
        </is>
      </c>
      <c r="G939" t="inlineStr">
        <is>
          <t>Tuesday</t>
        </is>
      </c>
      <c r="H939" t="inlineStr">
        <is>
          <t>Monthly - Tuesday</t>
        </is>
      </c>
      <c r="I939" t="inlineStr">
        <is>
          <t>Monthly - Tuesday</t>
        </is>
      </c>
      <c r="J939" t="inlineStr">
        <is>
          <t>Month+1 Expiry</t>
        </is>
      </c>
      <c r="K939" s="25" t="n">
        <v>179279</v>
      </c>
      <c r="L939" s="26" t="n">
        <v>313.5534</v>
      </c>
      <c r="M939" s="26" t="n">
        <v>4.1459</v>
      </c>
    </row>
    <row r="940" ht="16" customHeight="1">
      <c r="A940" t="inlineStr">
        <is>
          <t>21-Apr-2026</t>
        </is>
      </c>
      <c r="B940" t="inlineStr">
        <is>
          <t>Tuesday</t>
        </is>
      </c>
      <c r="C940" t="inlineStr">
        <is>
          <t>Week3-Apr-2026</t>
        </is>
      </c>
      <c r="D940" s="78" t="n">
        <v>46113</v>
      </c>
      <c r="E940" t="inlineStr">
        <is>
          <t>Q1FY27</t>
        </is>
      </c>
      <c r="F940" t="inlineStr">
        <is>
          <t>30-Jun-2026</t>
        </is>
      </c>
      <c r="G940" t="inlineStr">
        <is>
          <t>Tuesday</t>
        </is>
      </c>
      <c r="H940" t="inlineStr">
        <is>
          <t>Monthly - Tuesday</t>
        </is>
      </c>
      <c r="I940" t="inlineStr">
        <is>
          <t>Monthly - Tuesday</t>
        </is>
      </c>
      <c r="J940" t="inlineStr">
        <is>
          <t>Month+2 Expiry</t>
        </is>
      </c>
      <c r="K940" s="25" t="n">
        <v>12233</v>
      </c>
      <c r="L940" s="26" t="n">
        <v>21.1865</v>
      </c>
      <c r="M940" s="26" t="n">
        <v>0.3737</v>
      </c>
    </row>
    <row r="941" ht="16" customHeight="1">
      <c r="A941" t="inlineStr">
        <is>
          <t>21-Apr-2026</t>
        </is>
      </c>
      <c r="B941" t="inlineStr">
        <is>
          <t>Tuesday</t>
        </is>
      </c>
      <c r="C941" t="inlineStr">
        <is>
          <t>Week3-Apr-2026</t>
        </is>
      </c>
      <c r="D941" s="78" t="n">
        <v>46113</v>
      </c>
      <c r="E941" t="inlineStr">
        <is>
          <t>Q1FY27</t>
        </is>
      </c>
      <c r="F941" t="inlineStr">
        <is>
          <t>29-Sep-2026</t>
        </is>
      </c>
      <c r="G941" t="inlineStr">
        <is>
          <t>Tuesday</t>
        </is>
      </c>
      <c r="H941" t="inlineStr">
        <is>
          <t>Monthly - Tuesday</t>
        </is>
      </c>
      <c r="I941" t="inlineStr">
        <is>
          <t>Monthly - Tuesday</t>
        </is>
      </c>
      <c r="J941" t="inlineStr">
        <is>
          <t>Month+5 Expiry</t>
        </is>
      </c>
      <c r="K941" s="25" t="n">
        <v>0</v>
      </c>
      <c r="L941" s="26" t="n">
        <v>0</v>
      </c>
      <c r="M941" s="26" t="n">
        <v>0</v>
      </c>
    </row>
    <row r="942" ht="16" customHeight="1">
      <c r="A942" t="inlineStr">
        <is>
          <t>21-Apr-2026</t>
        </is>
      </c>
      <c r="B942" t="inlineStr">
        <is>
          <t>Tuesday</t>
        </is>
      </c>
      <c r="C942" t="inlineStr">
        <is>
          <t>Week3-Apr-2026</t>
        </is>
      </c>
      <c r="D942" s="78" t="n">
        <v>46113</v>
      </c>
      <c r="E942" t="inlineStr">
        <is>
          <t>Q1FY27</t>
        </is>
      </c>
      <c r="F942" t="inlineStr">
        <is>
          <t>29-Dec-2026</t>
        </is>
      </c>
      <c r="G942" t="inlineStr">
        <is>
          <t>Tuesday</t>
        </is>
      </c>
      <c r="H942" t="inlineStr">
        <is>
          <t>Monthly - Tuesday</t>
        </is>
      </c>
      <c r="I942" t="inlineStr">
        <is>
          <t>Monthly - Tuesday</t>
        </is>
      </c>
      <c r="J942" t="inlineStr">
        <is>
          <t>Month+8 Expiry</t>
        </is>
      </c>
      <c r="K942" s="25" t="n">
        <v>0</v>
      </c>
      <c r="L942" s="26" t="n">
        <v>0</v>
      </c>
      <c r="M942" s="26" t="n">
        <v>0</v>
      </c>
    </row>
    <row r="943" ht="16" customHeight="1">
      <c r="A943" t="inlineStr">
        <is>
          <t>21-Apr-2026</t>
        </is>
      </c>
      <c r="B943" t="inlineStr">
        <is>
          <t>Tuesday</t>
        </is>
      </c>
      <c r="C943" t="inlineStr">
        <is>
          <t>Week3-Apr-2026</t>
        </is>
      </c>
      <c r="D943" s="78" t="n">
        <v>46113</v>
      </c>
      <c r="E943" t="inlineStr">
        <is>
          <t>Q1FY27</t>
        </is>
      </c>
      <c r="F943" t="inlineStr">
        <is>
          <t>30-Mar-2027</t>
        </is>
      </c>
      <c r="G943" t="inlineStr">
        <is>
          <t>Tuesday</t>
        </is>
      </c>
      <c r="H943" t="inlineStr">
        <is>
          <t>Monthly - Tuesday</t>
        </is>
      </c>
      <c r="I943" t="inlineStr">
        <is>
          <t>Monthly - Tuesday</t>
        </is>
      </c>
      <c r="J943" t="inlineStr">
        <is>
          <t>Month+11 Expiry</t>
        </is>
      </c>
      <c r="K943" s="25" t="n">
        <v>0</v>
      </c>
      <c r="L943" s="26" t="n">
        <v>0</v>
      </c>
      <c r="M943" s="26" t="n">
        <v>0</v>
      </c>
    </row>
    <row r="944" ht="16" customHeight="1">
      <c r="A944" t="inlineStr">
        <is>
          <t>22-Apr-2026</t>
        </is>
      </c>
      <c r="B944" t="inlineStr">
        <is>
          <t>Wednesday</t>
        </is>
      </c>
      <c r="C944" t="inlineStr">
        <is>
          <t>Week4-Apr-2026</t>
        </is>
      </c>
      <c r="D944" s="78" t="n">
        <v>46113</v>
      </c>
      <c r="E944" t="inlineStr">
        <is>
          <t>Q1FY27</t>
        </is>
      </c>
      <c r="F944" t="inlineStr">
        <is>
          <t>28-Apr-2026</t>
        </is>
      </c>
      <c r="G944" t="inlineStr">
        <is>
          <t>Tuesday</t>
        </is>
      </c>
      <c r="H944" t="inlineStr">
        <is>
          <t>Monthly - Tuesday</t>
        </is>
      </c>
      <c r="I944" t="inlineStr">
        <is>
          <t>Monthly - Tuesday</t>
        </is>
      </c>
      <c r="J944" t="inlineStr">
        <is>
          <t>Same Month Expiry</t>
        </is>
      </c>
      <c r="K944" s="25" t="n">
        <v>4046063</v>
      </c>
      <c r="L944" s="26" t="n">
        <v>6912.3695</v>
      </c>
      <c r="M944" s="26" t="n">
        <v>41.6802</v>
      </c>
    </row>
    <row r="945" ht="16" customHeight="1">
      <c r="A945" t="inlineStr">
        <is>
          <t>22-Apr-2026</t>
        </is>
      </c>
      <c r="B945" t="inlineStr">
        <is>
          <t>Wednesday</t>
        </is>
      </c>
      <c r="C945" t="inlineStr">
        <is>
          <t>Week4-Apr-2026</t>
        </is>
      </c>
      <c r="D945" s="78" t="n">
        <v>46113</v>
      </c>
      <c r="E945" t="inlineStr">
        <is>
          <t>Q1FY27</t>
        </is>
      </c>
      <c r="F945" t="inlineStr">
        <is>
          <t>26-May-2026</t>
        </is>
      </c>
      <c r="G945" t="inlineStr">
        <is>
          <t>Tuesday</t>
        </is>
      </c>
      <c r="H945" t="inlineStr">
        <is>
          <t>Monthly - Tuesday</t>
        </is>
      </c>
      <c r="I945" t="inlineStr">
        <is>
          <t>Monthly - Tuesday</t>
        </is>
      </c>
      <c r="J945" t="inlineStr">
        <is>
          <t>Month+1 Expiry</t>
        </is>
      </c>
      <c r="K945" s="25" t="n">
        <v>177749</v>
      </c>
      <c r="L945" s="26" t="n">
        <v>307.5002</v>
      </c>
      <c r="M945" s="26" t="n">
        <v>3.9547</v>
      </c>
    </row>
    <row r="946" ht="16" customHeight="1">
      <c r="A946" t="inlineStr">
        <is>
          <t>22-Apr-2026</t>
        </is>
      </c>
      <c r="B946" t="inlineStr">
        <is>
          <t>Wednesday</t>
        </is>
      </c>
      <c r="C946" t="inlineStr">
        <is>
          <t>Week4-Apr-2026</t>
        </is>
      </c>
      <c r="D946" s="78" t="n">
        <v>46113</v>
      </c>
      <c r="E946" t="inlineStr">
        <is>
          <t>Q1FY27</t>
        </is>
      </c>
      <c r="F946" t="inlineStr">
        <is>
          <t>30-Jun-2026</t>
        </is>
      </c>
      <c r="G946" t="inlineStr">
        <is>
          <t>Tuesday</t>
        </is>
      </c>
      <c r="H946" t="inlineStr">
        <is>
          <t>Monthly - Tuesday</t>
        </is>
      </c>
      <c r="I946" t="inlineStr">
        <is>
          <t>Monthly - Tuesday</t>
        </is>
      </c>
      <c r="J946" t="inlineStr">
        <is>
          <t>Month+2 Expiry</t>
        </is>
      </c>
      <c r="K946" s="25" t="n">
        <v>9273</v>
      </c>
      <c r="L946" s="26" t="n">
        <v>16.1406</v>
      </c>
      <c r="M946" s="26" t="n">
        <v>0.2844</v>
      </c>
    </row>
    <row r="947" ht="16" customHeight="1">
      <c r="A947" t="inlineStr">
        <is>
          <t>22-Apr-2026</t>
        </is>
      </c>
      <c r="B947" t="inlineStr">
        <is>
          <t>Wednesday</t>
        </is>
      </c>
      <c r="C947" t="inlineStr">
        <is>
          <t>Week4-Apr-2026</t>
        </is>
      </c>
      <c r="D947" s="78" t="n">
        <v>46113</v>
      </c>
      <c r="E947" t="inlineStr">
        <is>
          <t>Q1FY27</t>
        </is>
      </c>
      <c r="F947" t="inlineStr">
        <is>
          <t>29-Sep-2026</t>
        </is>
      </c>
      <c r="G947" t="inlineStr">
        <is>
          <t>Tuesday</t>
        </is>
      </c>
      <c r="H947" t="inlineStr">
        <is>
          <t>Monthly - Tuesday</t>
        </is>
      </c>
      <c r="I947" t="inlineStr">
        <is>
          <t>Monthly - Tuesday</t>
        </is>
      </c>
      <c r="J947" t="inlineStr">
        <is>
          <t>Month+5 Expiry</t>
        </is>
      </c>
      <c r="K947" s="25" t="n">
        <v>31</v>
      </c>
      <c r="L947" s="26" t="n">
        <v>0.0579</v>
      </c>
      <c r="M947" s="26" t="n">
        <v>0.0017</v>
      </c>
    </row>
    <row r="948" ht="16" customHeight="1">
      <c r="A948" t="inlineStr">
        <is>
          <t>22-Apr-2026</t>
        </is>
      </c>
      <c r="B948" t="inlineStr">
        <is>
          <t>Wednesday</t>
        </is>
      </c>
      <c r="C948" t="inlineStr">
        <is>
          <t>Week4-Apr-2026</t>
        </is>
      </c>
      <c r="D948" s="78" t="n">
        <v>46113</v>
      </c>
      <c r="E948" t="inlineStr">
        <is>
          <t>Q1FY27</t>
        </is>
      </c>
      <c r="F948" t="inlineStr">
        <is>
          <t>29-Dec-2026</t>
        </is>
      </c>
      <c r="G948" t="inlineStr">
        <is>
          <t>Tuesday</t>
        </is>
      </c>
      <c r="H948" t="inlineStr">
        <is>
          <t>Monthly - Tuesday</t>
        </is>
      </c>
      <c r="I948" t="inlineStr">
        <is>
          <t>Monthly - Tuesday</t>
        </is>
      </c>
      <c r="J948" t="inlineStr">
        <is>
          <t>Month+8 Expiry</t>
        </is>
      </c>
      <c r="K948" s="25" t="n">
        <v>0</v>
      </c>
      <c r="L948" s="26" t="n">
        <v>0</v>
      </c>
      <c r="M948" s="26" t="n">
        <v>0</v>
      </c>
    </row>
    <row r="949" ht="16" customHeight="1">
      <c r="A949" t="inlineStr">
        <is>
          <t>22-Apr-2026</t>
        </is>
      </c>
      <c r="B949" t="inlineStr">
        <is>
          <t>Wednesday</t>
        </is>
      </c>
      <c r="C949" t="inlineStr">
        <is>
          <t>Week4-Apr-2026</t>
        </is>
      </c>
      <c r="D949" s="78" t="n">
        <v>46113</v>
      </c>
      <c r="E949" t="inlineStr">
        <is>
          <t>Q1FY27</t>
        </is>
      </c>
      <c r="F949" t="inlineStr">
        <is>
          <t>30-Mar-2027</t>
        </is>
      </c>
      <c r="G949" t="inlineStr">
        <is>
          <t>Tuesday</t>
        </is>
      </c>
      <c r="H949" t="inlineStr">
        <is>
          <t>Monthly - Tuesday</t>
        </is>
      </c>
      <c r="I949" t="inlineStr">
        <is>
          <t>Monthly - Tuesday</t>
        </is>
      </c>
      <c r="J949" t="inlineStr">
        <is>
          <t>Month+11 Expiry</t>
        </is>
      </c>
      <c r="K949" s="25" t="n">
        <v>0</v>
      </c>
      <c r="L949" s="26" t="n">
        <v>0</v>
      </c>
      <c r="M949" s="26" t="n">
        <v>0</v>
      </c>
    </row>
    <row r="950" ht="16" customHeight="1">
      <c r="A950" t="inlineStr">
        <is>
          <t>23-Apr-2026</t>
        </is>
      </c>
      <c r="B950" t="inlineStr">
        <is>
          <t>Thursday</t>
        </is>
      </c>
      <c r="C950" t="inlineStr">
        <is>
          <t>Week4-Apr-2026</t>
        </is>
      </c>
      <c r="D950" s="78" t="n">
        <v>46113</v>
      </c>
      <c r="E950" t="inlineStr">
        <is>
          <t>Q1FY27</t>
        </is>
      </c>
      <c r="F950" t="inlineStr">
        <is>
          <t>28-Apr-2026</t>
        </is>
      </c>
      <c r="G950" t="inlineStr">
        <is>
          <t>Tuesday</t>
        </is>
      </c>
      <c r="H950" t="inlineStr">
        <is>
          <t>Monthly - Tuesday</t>
        </is>
      </c>
      <c r="I950" t="inlineStr">
        <is>
          <t>Monthly - Tuesday</t>
        </is>
      </c>
      <c r="J950" t="inlineStr">
        <is>
          <t>Same Month Expiry</t>
        </is>
      </c>
      <c r="K950" s="25" t="n">
        <v>4408079</v>
      </c>
      <c r="L950" s="26" t="n">
        <v>7509.2337</v>
      </c>
      <c r="M950" s="26" t="n">
        <v>38.4919</v>
      </c>
    </row>
    <row r="951" ht="16" customHeight="1">
      <c r="A951" t="inlineStr">
        <is>
          <t>23-Apr-2026</t>
        </is>
      </c>
      <c r="B951" t="inlineStr">
        <is>
          <t>Thursday</t>
        </is>
      </c>
      <c r="C951" t="inlineStr">
        <is>
          <t>Week4-Apr-2026</t>
        </is>
      </c>
      <c r="D951" s="78" t="n">
        <v>46113</v>
      </c>
      <c r="E951" t="inlineStr">
        <is>
          <t>Q1FY27</t>
        </is>
      </c>
      <c r="F951" t="inlineStr">
        <is>
          <t>26-May-2026</t>
        </is>
      </c>
      <c r="G951" t="inlineStr">
        <is>
          <t>Tuesday</t>
        </is>
      </c>
      <c r="H951" t="inlineStr">
        <is>
          <t>Monthly - Tuesday</t>
        </is>
      </c>
      <c r="I951" t="inlineStr">
        <is>
          <t>Monthly - Tuesday</t>
        </is>
      </c>
      <c r="J951" t="inlineStr">
        <is>
          <t>Month+1 Expiry</t>
        </is>
      </c>
      <c r="K951" s="25" t="n">
        <v>223671</v>
      </c>
      <c r="L951" s="26" t="n">
        <v>390.1955</v>
      </c>
      <c r="M951" s="26" t="n">
        <v>5.1704</v>
      </c>
    </row>
    <row r="952" ht="16" customHeight="1">
      <c r="A952" t="inlineStr">
        <is>
          <t>23-Apr-2026</t>
        </is>
      </c>
      <c r="B952" t="inlineStr">
        <is>
          <t>Thursday</t>
        </is>
      </c>
      <c r="C952" t="inlineStr">
        <is>
          <t>Week4-Apr-2026</t>
        </is>
      </c>
      <c r="D952" s="78" t="n">
        <v>46113</v>
      </c>
      <c r="E952" t="inlineStr">
        <is>
          <t>Q1FY27</t>
        </is>
      </c>
      <c r="F952" t="inlineStr">
        <is>
          <t>30-Jun-2026</t>
        </is>
      </c>
      <c r="G952" t="inlineStr">
        <is>
          <t>Tuesday</t>
        </is>
      </c>
      <c r="H952" t="inlineStr">
        <is>
          <t>Monthly - Tuesday</t>
        </is>
      </c>
      <c r="I952" t="inlineStr">
        <is>
          <t>Monthly - Tuesday</t>
        </is>
      </c>
      <c r="J952" t="inlineStr">
        <is>
          <t>Month+2 Expiry</t>
        </is>
      </c>
      <c r="K952" s="25" t="n">
        <v>12076</v>
      </c>
      <c r="L952" s="26" t="n">
        <v>21.01</v>
      </c>
      <c r="M952" s="26" t="n">
        <v>0.3883</v>
      </c>
    </row>
    <row r="953" ht="16" customHeight="1">
      <c r="A953" t="inlineStr">
        <is>
          <t>23-Apr-2026</t>
        </is>
      </c>
      <c r="B953" t="inlineStr">
        <is>
          <t>Thursday</t>
        </is>
      </c>
      <c r="C953" t="inlineStr">
        <is>
          <t>Week4-Apr-2026</t>
        </is>
      </c>
      <c r="D953" s="78" t="n">
        <v>46113</v>
      </c>
      <c r="E953" t="inlineStr">
        <is>
          <t>Q1FY27</t>
        </is>
      </c>
      <c r="F953" t="inlineStr">
        <is>
          <t>29-Sep-2026</t>
        </is>
      </c>
      <c r="G953" t="inlineStr">
        <is>
          <t>Tuesday</t>
        </is>
      </c>
      <c r="H953" t="inlineStr">
        <is>
          <t>Monthly - Tuesday</t>
        </is>
      </c>
      <c r="I953" t="inlineStr">
        <is>
          <t>Monthly - Tuesday</t>
        </is>
      </c>
      <c r="J953" t="inlineStr">
        <is>
          <t>Month+5 Expiry</t>
        </is>
      </c>
      <c r="K953" s="25" t="n">
        <v>96</v>
      </c>
      <c r="L953" s="26" t="n">
        <v>0.1598</v>
      </c>
      <c r="M953" s="26" t="n">
        <v>0.003</v>
      </c>
    </row>
    <row r="954" ht="16" customHeight="1">
      <c r="A954" t="inlineStr">
        <is>
          <t>23-Apr-2026</t>
        </is>
      </c>
      <c r="B954" t="inlineStr">
        <is>
          <t>Thursday</t>
        </is>
      </c>
      <c r="C954" t="inlineStr">
        <is>
          <t>Week4-Apr-2026</t>
        </is>
      </c>
      <c r="D954" s="78" t="n">
        <v>46113</v>
      </c>
      <c r="E954" t="inlineStr">
        <is>
          <t>Q1FY27</t>
        </is>
      </c>
      <c r="F954" t="inlineStr">
        <is>
          <t>29-Dec-2026</t>
        </is>
      </c>
      <c r="G954" t="inlineStr">
        <is>
          <t>Tuesday</t>
        </is>
      </c>
      <c r="H954" t="inlineStr">
        <is>
          <t>Monthly - Tuesday</t>
        </is>
      </c>
      <c r="I954" t="inlineStr">
        <is>
          <t>Monthly - Tuesday</t>
        </is>
      </c>
      <c r="J954" t="inlineStr">
        <is>
          <t>Month+8 Expiry</t>
        </is>
      </c>
      <c r="K954" s="25" t="n">
        <v>0</v>
      </c>
      <c r="L954" s="26" t="n">
        <v>0</v>
      </c>
      <c r="M954" s="26" t="n">
        <v>0</v>
      </c>
    </row>
    <row r="955" ht="16" customHeight="1">
      <c r="A955" t="inlineStr">
        <is>
          <t>23-Apr-2026</t>
        </is>
      </c>
      <c r="B955" t="inlineStr">
        <is>
          <t>Thursday</t>
        </is>
      </c>
      <c r="C955" t="inlineStr">
        <is>
          <t>Week4-Apr-2026</t>
        </is>
      </c>
      <c r="D955" s="78" t="n">
        <v>46113</v>
      </c>
      <c r="E955" t="inlineStr">
        <is>
          <t>Q1FY27</t>
        </is>
      </c>
      <c r="F955" t="inlineStr">
        <is>
          <t>30-Mar-2027</t>
        </is>
      </c>
      <c r="G955" t="inlineStr">
        <is>
          <t>Tuesday</t>
        </is>
      </c>
      <c r="H955" t="inlineStr">
        <is>
          <t>Monthly - Tuesday</t>
        </is>
      </c>
      <c r="I955" t="inlineStr">
        <is>
          <t>Monthly - Tuesday</t>
        </is>
      </c>
      <c r="J955" t="inlineStr">
        <is>
          <t>Month+11 Expiry</t>
        </is>
      </c>
      <c r="K955" s="25" t="n">
        <v>0</v>
      </c>
      <c r="L955" s="26" t="n">
        <v>0</v>
      </c>
      <c r="M955" s="26" t="n">
        <v>0</v>
      </c>
    </row>
    <row r="956" ht="16" customHeight="1">
      <c r="A956" t="inlineStr">
        <is>
          <t>24-Apr-2026</t>
        </is>
      </c>
      <c r="B956" t="inlineStr">
        <is>
          <t>Friday</t>
        </is>
      </c>
      <c r="C956" t="inlineStr">
        <is>
          <t>Week4-Apr-2026</t>
        </is>
      </c>
      <c r="D956" s="78" t="n">
        <v>46113</v>
      </c>
      <c r="E956" t="inlineStr">
        <is>
          <t>Q1FY27</t>
        </is>
      </c>
      <c r="F956" t="inlineStr">
        <is>
          <t>28-Apr-2026</t>
        </is>
      </c>
      <c r="G956" t="inlineStr">
        <is>
          <t>Tuesday</t>
        </is>
      </c>
      <c r="H956" t="inlineStr">
        <is>
          <t>Monthly - Tuesday</t>
        </is>
      </c>
      <c r="I956" t="inlineStr">
        <is>
          <t>Monthly - Tuesday</t>
        </is>
      </c>
      <c r="J956" t="inlineStr">
        <is>
          <t>Same Month Expiry</t>
        </is>
      </c>
      <c r="K956" s="25" t="n">
        <v>8502479</v>
      </c>
      <c r="L956" s="26" t="n">
        <v>14358.2674</v>
      </c>
      <c r="M956" s="26" t="n">
        <v>67.6904</v>
      </c>
    </row>
    <row r="957" ht="16" customHeight="1">
      <c r="A957" t="inlineStr">
        <is>
          <t>24-Apr-2026</t>
        </is>
      </c>
      <c r="B957" t="inlineStr">
        <is>
          <t>Friday</t>
        </is>
      </c>
      <c r="C957" t="inlineStr">
        <is>
          <t>Week4-Apr-2026</t>
        </is>
      </c>
      <c r="D957" s="78" t="n">
        <v>46113</v>
      </c>
      <c r="E957" t="inlineStr">
        <is>
          <t>Q1FY27</t>
        </is>
      </c>
      <c r="F957" t="inlineStr">
        <is>
          <t>26-May-2026</t>
        </is>
      </c>
      <c r="G957" t="inlineStr">
        <is>
          <t>Tuesday</t>
        </is>
      </c>
      <c r="H957" t="inlineStr">
        <is>
          <t>Monthly - Tuesday</t>
        </is>
      </c>
      <c r="I957" t="inlineStr">
        <is>
          <t>Monthly - Tuesday</t>
        </is>
      </c>
      <c r="J957" t="inlineStr">
        <is>
          <t>Month+1 Expiry</t>
        </is>
      </c>
      <c r="K957" s="25" t="n">
        <v>225336</v>
      </c>
      <c r="L957" s="26" t="n">
        <v>389.0458</v>
      </c>
      <c r="M957" s="26" t="n">
        <v>5.6458</v>
      </c>
    </row>
    <row r="958" ht="16" customHeight="1">
      <c r="A958" t="inlineStr">
        <is>
          <t>24-Apr-2026</t>
        </is>
      </c>
      <c r="B958" t="inlineStr">
        <is>
          <t>Friday</t>
        </is>
      </c>
      <c r="C958" t="inlineStr">
        <is>
          <t>Week4-Apr-2026</t>
        </is>
      </c>
      <c r="D958" s="78" t="n">
        <v>46113</v>
      </c>
      <c r="E958" t="inlineStr">
        <is>
          <t>Q1FY27</t>
        </is>
      </c>
      <c r="F958" t="inlineStr">
        <is>
          <t>30-Jun-2026</t>
        </is>
      </c>
      <c r="G958" t="inlineStr">
        <is>
          <t>Tuesday</t>
        </is>
      </c>
      <c r="H958" t="inlineStr">
        <is>
          <t>Monthly - Tuesday</t>
        </is>
      </c>
      <c r="I958" t="inlineStr">
        <is>
          <t>Monthly - Tuesday</t>
        </is>
      </c>
      <c r="J958" t="inlineStr">
        <is>
          <t>Month+2 Expiry</t>
        </is>
      </c>
      <c r="K958" s="25" t="n">
        <v>14634</v>
      </c>
      <c r="L958" s="26" t="n">
        <v>25.6617</v>
      </c>
      <c r="M958" s="26" t="n">
        <v>0.4283</v>
      </c>
    </row>
    <row r="959" ht="16" customHeight="1">
      <c r="A959" t="inlineStr">
        <is>
          <t>24-Apr-2026</t>
        </is>
      </c>
      <c r="B959" t="inlineStr">
        <is>
          <t>Friday</t>
        </is>
      </c>
      <c r="C959" t="inlineStr">
        <is>
          <t>Week4-Apr-2026</t>
        </is>
      </c>
      <c r="D959" s="78" t="n">
        <v>46113</v>
      </c>
      <c r="E959" t="inlineStr">
        <is>
          <t>Q1FY27</t>
        </is>
      </c>
      <c r="F959" t="inlineStr">
        <is>
          <t>29-Sep-2026</t>
        </is>
      </c>
      <c r="G959" t="inlineStr">
        <is>
          <t>Tuesday</t>
        </is>
      </c>
      <c r="H959" t="inlineStr">
        <is>
          <t>Monthly - Tuesday</t>
        </is>
      </c>
      <c r="I959" t="inlineStr">
        <is>
          <t>Monthly - Tuesday</t>
        </is>
      </c>
      <c r="J959" t="inlineStr">
        <is>
          <t>Month+5 Expiry</t>
        </is>
      </c>
      <c r="K959" s="25" t="n">
        <v>83</v>
      </c>
      <c r="L959" s="26" t="n">
        <v>0.1483</v>
      </c>
      <c r="M959" s="26" t="n">
        <v>0.0029</v>
      </c>
    </row>
    <row r="960" ht="16" customHeight="1">
      <c r="A960" t="inlineStr">
        <is>
          <t>24-Apr-2026</t>
        </is>
      </c>
      <c r="B960" t="inlineStr">
        <is>
          <t>Friday</t>
        </is>
      </c>
      <c r="C960" t="inlineStr">
        <is>
          <t>Week4-Apr-2026</t>
        </is>
      </c>
      <c r="D960" s="78" t="n">
        <v>46113</v>
      </c>
      <c r="E960" t="inlineStr">
        <is>
          <t>Q1FY27</t>
        </is>
      </c>
      <c r="F960" t="inlineStr">
        <is>
          <t>29-Dec-2026</t>
        </is>
      </c>
      <c r="G960" t="inlineStr">
        <is>
          <t>Tuesday</t>
        </is>
      </c>
      <c r="H960" t="inlineStr">
        <is>
          <t>Monthly - Tuesday</t>
        </is>
      </c>
      <c r="I960" t="inlineStr">
        <is>
          <t>Monthly - Tuesday</t>
        </is>
      </c>
      <c r="J960" t="inlineStr">
        <is>
          <t>Month+8 Expiry</t>
        </is>
      </c>
      <c r="K960" s="25" t="n">
        <v>0</v>
      </c>
      <c r="L960" s="26" t="n">
        <v>0</v>
      </c>
      <c r="M960" s="26" t="n">
        <v>0</v>
      </c>
    </row>
    <row r="961" ht="16" customHeight="1">
      <c r="A961" t="inlineStr">
        <is>
          <t>24-Apr-2026</t>
        </is>
      </c>
      <c r="B961" t="inlineStr">
        <is>
          <t>Friday</t>
        </is>
      </c>
      <c r="C961" t="inlineStr">
        <is>
          <t>Week4-Apr-2026</t>
        </is>
      </c>
      <c r="D961" s="78" t="n">
        <v>46113</v>
      </c>
      <c r="E961" t="inlineStr">
        <is>
          <t>Q1FY27</t>
        </is>
      </c>
      <c r="F961" t="inlineStr">
        <is>
          <t>30-Mar-2027</t>
        </is>
      </c>
      <c r="G961" t="inlineStr">
        <is>
          <t>Tuesday</t>
        </is>
      </c>
      <c r="H961" t="inlineStr">
        <is>
          <t>Monthly - Tuesday</t>
        </is>
      </c>
      <c r="I961" t="inlineStr">
        <is>
          <t>Monthly - Tuesday</t>
        </is>
      </c>
      <c r="J961" t="inlineStr">
        <is>
          <t>Month+11 Expiry</t>
        </is>
      </c>
      <c r="K961" s="25" t="n">
        <v>0</v>
      </c>
      <c r="L961" s="26" t="n">
        <v>0</v>
      </c>
      <c r="M961" s="26" t="n">
        <v>0</v>
      </c>
    </row>
    <row r="962" ht="16" customHeight="1">
      <c r="A962" t="inlineStr">
        <is>
          <t>27-Apr-2026</t>
        </is>
      </c>
      <c r="B962" t="inlineStr">
        <is>
          <t>Monday</t>
        </is>
      </c>
      <c r="C962" t="inlineStr">
        <is>
          <t>Week4-Apr-2026</t>
        </is>
      </c>
      <c r="D962" s="78" t="n">
        <v>46113</v>
      </c>
      <c r="E962" t="inlineStr">
        <is>
          <t>Q1FY27</t>
        </is>
      </c>
      <c r="F962" t="inlineStr">
        <is>
          <t>28-Apr-2026</t>
        </is>
      </c>
      <c r="G962" t="inlineStr">
        <is>
          <t>Tuesday</t>
        </is>
      </c>
      <c r="H962" t="inlineStr">
        <is>
          <t>Monthly - Tuesday</t>
        </is>
      </c>
      <c r="I962" t="inlineStr">
        <is>
          <t>Monthly - Tuesday</t>
        </is>
      </c>
      <c r="J962" t="inlineStr">
        <is>
          <t>Same Month Expiry</t>
        </is>
      </c>
      <c r="K962" s="25" t="n">
        <v>16838175</v>
      </c>
      <c r="L962" s="26" t="n">
        <v>28419.917</v>
      </c>
      <c r="M962" s="26" t="n">
        <v>82.2373</v>
      </c>
    </row>
    <row r="963" ht="16" customHeight="1">
      <c r="A963" t="inlineStr">
        <is>
          <t>27-Apr-2026</t>
        </is>
      </c>
      <c r="B963" t="inlineStr">
        <is>
          <t>Monday</t>
        </is>
      </c>
      <c r="C963" t="inlineStr">
        <is>
          <t>Week4-Apr-2026</t>
        </is>
      </c>
      <c r="D963" s="78" t="n">
        <v>46113</v>
      </c>
      <c r="E963" t="inlineStr">
        <is>
          <t>Q1FY27</t>
        </is>
      </c>
      <c r="F963" t="inlineStr">
        <is>
          <t>26-May-2026</t>
        </is>
      </c>
      <c r="G963" t="inlineStr">
        <is>
          <t>Tuesday</t>
        </is>
      </c>
      <c r="H963" t="inlineStr">
        <is>
          <t>Monthly - Tuesday</t>
        </is>
      </c>
      <c r="I963" t="inlineStr">
        <is>
          <t>Monthly - Tuesday</t>
        </is>
      </c>
      <c r="J963" t="inlineStr">
        <is>
          <t>Month+1 Expiry</t>
        </is>
      </c>
      <c r="K963" s="25" t="n">
        <v>336365</v>
      </c>
      <c r="L963" s="26" t="n">
        <v>579.9241</v>
      </c>
      <c r="M963" s="26" t="n">
        <v>9.386200000000001</v>
      </c>
    </row>
    <row r="964" ht="16" customHeight="1">
      <c r="A964" t="inlineStr">
        <is>
          <t>27-Apr-2026</t>
        </is>
      </c>
      <c r="B964" t="inlineStr">
        <is>
          <t>Monday</t>
        </is>
      </c>
      <c r="C964" t="inlineStr">
        <is>
          <t>Week4-Apr-2026</t>
        </is>
      </c>
      <c r="D964" s="78" t="n">
        <v>46113</v>
      </c>
      <c r="E964" t="inlineStr">
        <is>
          <t>Q1FY27</t>
        </is>
      </c>
      <c r="F964" t="inlineStr">
        <is>
          <t>30-Jun-2026</t>
        </is>
      </c>
      <c r="G964" t="inlineStr">
        <is>
          <t>Tuesday</t>
        </is>
      </c>
      <c r="H964" t="inlineStr">
        <is>
          <t>Monthly - Tuesday</t>
        </is>
      </c>
      <c r="I964" t="inlineStr">
        <is>
          <t>Monthly - Tuesday</t>
        </is>
      </c>
      <c r="J964" t="inlineStr">
        <is>
          <t>Month+2 Expiry</t>
        </is>
      </c>
      <c r="K964" s="25" t="n">
        <v>11984</v>
      </c>
      <c r="L964" s="26" t="n">
        <v>20.8848</v>
      </c>
      <c r="M964" s="26" t="n">
        <v>0.4446</v>
      </c>
    </row>
    <row r="965" ht="16" customHeight="1">
      <c r="A965" t="inlineStr">
        <is>
          <t>27-Apr-2026</t>
        </is>
      </c>
      <c r="B965" t="inlineStr">
        <is>
          <t>Monday</t>
        </is>
      </c>
      <c r="C965" t="inlineStr">
        <is>
          <t>Week4-Apr-2026</t>
        </is>
      </c>
      <c r="D965" s="78" t="n">
        <v>46113</v>
      </c>
      <c r="E965" t="inlineStr">
        <is>
          <t>Q1FY27</t>
        </is>
      </c>
      <c r="F965" t="inlineStr">
        <is>
          <t>29-Sep-2026</t>
        </is>
      </c>
      <c r="G965" t="inlineStr">
        <is>
          <t>Tuesday</t>
        </is>
      </c>
      <c r="H965" t="inlineStr">
        <is>
          <t>Monthly - Tuesday</t>
        </is>
      </c>
      <c r="I965" t="inlineStr">
        <is>
          <t>Monthly - Tuesday</t>
        </is>
      </c>
      <c r="J965" t="inlineStr">
        <is>
          <t>Month+5 Expiry</t>
        </is>
      </c>
      <c r="K965" s="25" t="n">
        <v>72</v>
      </c>
      <c r="L965" s="26" t="n">
        <v>0.1241</v>
      </c>
      <c r="M965" s="26" t="n">
        <v>0.0023</v>
      </c>
    </row>
    <row r="966" ht="16" customHeight="1">
      <c r="A966" t="inlineStr">
        <is>
          <t>27-Apr-2026</t>
        </is>
      </c>
      <c r="B966" t="inlineStr">
        <is>
          <t>Monday</t>
        </is>
      </c>
      <c r="C966" t="inlineStr">
        <is>
          <t>Week4-Apr-2026</t>
        </is>
      </c>
      <c r="D966" s="78" t="n">
        <v>46113</v>
      </c>
      <c r="E966" t="inlineStr">
        <is>
          <t>Q1FY27</t>
        </is>
      </c>
      <c r="F966" t="inlineStr">
        <is>
          <t>29-Dec-2026</t>
        </is>
      </c>
      <c r="G966" t="inlineStr">
        <is>
          <t>Tuesday</t>
        </is>
      </c>
      <c r="H966" t="inlineStr">
        <is>
          <t>Monthly - Tuesday</t>
        </is>
      </c>
      <c r="I966" t="inlineStr">
        <is>
          <t>Monthly - Tuesday</t>
        </is>
      </c>
      <c r="J966" t="inlineStr">
        <is>
          <t>Month+8 Expiry</t>
        </is>
      </c>
      <c r="K966" s="25" t="n">
        <v>0</v>
      </c>
      <c r="L966" s="26" t="n">
        <v>0</v>
      </c>
      <c r="M966" s="26" t="n">
        <v>0</v>
      </c>
    </row>
    <row r="967" ht="16" customHeight="1">
      <c r="A967" t="inlineStr">
        <is>
          <t>27-Apr-2026</t>
        </is>
      </c>
      <c r="B967" t="inlineStr">
        <is>
          <t>Monday</t>
        </is>
      </c>
      <c r="C967" t="inlineStr">
        <is>
          <t>Week4-Apr-2026</t>
        </is>
      </c>
      <c r="D967" s="78" t="n">
        <v>46113</v>
      </c>
      <c r="E967" t="inlineStr">
        <is>
          <t>Q1FY27</t>
        </is>
      </c>
      <c r="F967" t="inlineStr">
        <is>
          <t>30-Mar-2027</t>
        </is>
      </c>
      <c r="G967" t="inlineStr">
        <is>
          <t>Tuesday</t>
        </is>
      </c>
      <c r="H967" t="inlineStr">
        <is>
          <t>Monthly - Tuesday</t>
        </is>
      </c>
      <c r="I967" t="inlineStr">
        <is>
          <t>Monthly - Tuesday</t>
        </is>
      </c>
      <c r="J967" t="inlineStr">
        <is>
          <t>Month+11 Expiry</t>
        </is>
      </c>
      <c r="K967" s="25" t="n">
        <v>0</v>
      </c>
      <c r="L967" s="26" t="n">
        <v>0</v>
      </c>
      <c r="M967" s="26" t="n">
        <v>0</v>
      </c>
    </row>
    <row r="968" ht="16" customHeight="1">
      <c r="A968" t="inlineStr">
        <is>
          <t>28-Apr-2026</t>
        </is>
      </c>
      <c r="B968" t="inlineStr">
        <is>
          <t>Tuesday</t>
        </is>
      </c>
      <c r="C968" t="inlineStr">
        <is>
          <t>Week4-Apr-2026</t>
        </is>
      </c>
      <c r="D968" s="78" t="n">
        <v>46113</v>
      </c>
      <c r="E968" t="inlineStr">
        <is>
          <t>Q1FY27</t>
        </is>
      </c>
      <c r="F968" t="inlineStr">
        <is>
          <t>28-Apr-2026</t>
        </is>
      </c>
      <c r="G968" t="inlineStr">
        <is>
          <t>Tuesday</t>
        </is>
      </c>
      <c r="H968" t="inlineStr">
        <is>
          <t>Monthly - Tuesday</t>
        </is>
      </c>
      <c r="I968" t="inlineStr">
        <is>
          <t>Monthly - Tuesday</t>
        </is>
      </c>
      <c r="J968" t="inlineStr">
        <is>
          <t>Same Month Expiry</t>
        </is>
      </c>
      <c r="K968" s="25" t="n">
        <v>91759485</v>
      </c>
      <c r="L968" s="26" t="n">
        <v>153286.2119</v>
      </c>
      <c r="M968" s="26" t="n">
        <v>144.229</v>
      </c>
    </row>
    <row r="969" ht="16" customHeight="1">
      <c r="A969" t="inlineStr">
        <is>
          <t>28-Apr-2026</t>
        </is>
      </c>
      <c r="B969" t="inlineStr">
        <is>
          <t>Tuesday</t>
        </is>
      </c>
      <c r="C969" t="inlineStr">
        <is>
          <t>Week4-Apr-2026</t>
        </is>
      </c>
      <c r="D969" s="78" t="n">
        <v>46113</v>
      </c>
      <c r="E969" t="inlineStr">
        <is>
          <t>Q1FY27</t>
        </is>
      </c>
      <c r="F969" t="inlineStr">
        <is>
          <t>26-May-2026</t>
        </is>
      </c>
      <c r="G969" t="inlineStr">
        <is>
          <t>Tuesday</t>
        </is>
      </c>
      <c r="H969" t="inlineStr">
        <is>
          <t>Monthly - Tuesday</t>
        </is>
      </c>
      <c r="I969" t="inlineStr">
        <is>
          <t>Monthly - Tuesday</t>
        </is>
      </c>
      <c r="J969" t="inlineStr">
        <is>
          <t>Month+1 Expiry</t>
        </is>
      </c>
      <c r="K969" s="25" t="n">
        <v>735866</v>
      </c>
      <c r="L969" s="26" t="n">
        <v>1256.8362</v>
      </c>
      <c r="M969" s="26" t="n">
        <v>17.0292</v>
      </c>
    </row>
    <row r="970" ht="16" customHeight="1">
      <c r="A970" t="inlineStr">
        <is>
          <t>28-Apr-2026</t>
        </is>
      </c>
      <c r="B970" t="inlineStr">
        <is>
          <t>Tuesday</t>
        </is>
      </c>
      <c r="C970" t="inlineStr">
        <is>
          <t>Week4-Apr-2026</t>
        </is>
      </c>
      <c r="D970" s="78" t="n">
        <v>46113</v>
      </c>
      <c r="E970" t="inlineStr">
        <is>
          <t>Q1FY27</t>
        </is>
      </c>
      <c r="F970" t="inlineStr">
        <is>
          <t>30-Jun-2026</t>
        </is>
      </c>
      <c r="G970" t="inlineStr">
        <is>
          <t>Tuesday</t>
        </is>
      </c>
      <c r="H970" t="inlineStr">
        <is>
          <t>Monthly - Tuesday</t>
        </is>
      </c>
      <c r="I970" t="inlineStr">
        <is>
          <t>Monthly - Tuesday</t>
        </is>
      </c>
      <c r="J970" t="inlineStr">
        <is>
          <t>Month+2 Expiry</t>
        </is>
      </c>
      <c r="K970" s="25" t="n">
        <v>24881</v>
      </c>
      <c r="L970" s="26" t="n">
        <v>42.8221</v>
      </c>
      <c r="M970" s="26" t="n">
        <v>0.8257</v>
      </c>
    </row>
    <row r="971" ht="16" customHeight="1">
      <c r="A971" t="inlineStr">
        <is>
          <t>28-Apr-2026</t>
        </is>
      </c>
      <c r="B971" t="inlineStr">
        <is>
          <t>Tuesday</t>
        </is>
      </c>
      <c r="C971" t="inlineStr">
        <is>
          <t>Week4-Apr-2026</t>
        </is>
      </c>
      <c r="D971" s="78" t="n">
        <v>46113</v>
      </c>
      <c r="E971" t="inlineStr">
        <is>
          <t>Q1FY27</t>
        </is>
      </c>
      <c r="F971" t="inlineStr">
        <is>
          <t>29-Sep-2026</t>
        </is>
      </c>
      <c r="G971" t="inlineStr">
        <is>
          <t>Tuesday</t>
        </is>
      </c>
      <c r="H971" t="inlineStr">
        <is>
          <t>Monthly - Tuesday</t>
        </is>
      </c>
      <c r="I971" t="inlineStr">
        <is>
          <t>Monthly - Tuesday</t>
        </is>
      </c>
      <c r="J971" t="inlineStr">
        <is>
          <t>Month+5 Expiry</t>
        </is>
      </c>
      <c r="K971" s="25" t="n">
        <v>85</v>
      </c>
      <c r="L971" s="26" t="n">
        <v>0.145</v>
      </c>
      <c r="M971" s="26" t="n">
        <v>0.0031</v>
      </c>
    </row>
    <row r="972" ht="16" customHeight="1">
      <c r="A972" t="inlineStr">
        <is>
          <t>28-Apr-2026</t>
        </is>
      </c>
      <c r="B972" t="inlineStr">
        <is>
          <t>Tuesday</t>
        </is>
      </c>
      <c r="C972" t="inlineStr">
        <is>
          <t>Week4-Apr-2026</t>
        </is>
      </c>
      <c r="D972" s="78" t="n">
        <v>46113</v>
      </c>
      <c r="E972" t="inlineStr">
        <is>
          <t>Q1FY27</t>
        </is>
      </c>
      <c r="F972" t="inlineStr">
        <is>
          <t>29-Dec-2026</t>
        </is>
      </c>
      <c r="G972" t="inlineStr">
        <is>
          <t>Tuesday</t>
        </is>
      </c>
      <c r="H972" t="inlineStr">
        <is>
          <t>Monthly - Tuesday</t>
        </is>
      </c>
      <c r="I972" t="inlineStr">
        <is>
          <t>Monthly - Tuesday</t>
        </is>
      </c>
      <c r="J972" t="inlineStr">
        <is>
          <t>Month+8 Expiry</t>
        </is>
      </c>
      <c r="K972" s="25" t="n">
        <v>3</v>
      </c>
      <c r="L972" s="26" t="n">
        <v>0.0054</v>
      </c>
      <c r="M972" s="26" t="n">
        <v>0.0002</v>
      </c>
    </row>
    <row r="973" ht="16" customHeight="1">
      <c r="A973" t="inlineStr">
        <is>
          <t>28-Apr-2026</t>
        </is>
      </c>
      <c r="B973" t="inlineStr">
        <is>
          <t>Tuesday</t>
        </is>
      </c>
      <c r="C973" t="inlineStr">
        <is>
          <t>Week4-Apr-2026</t>
        </is>
      </c>
      <c r="D973" s="78" t="n">
        <v>46113</v>
      </c>
      <c r="E973" t="inlineStr">
        <is>
          <t>Q1FY27</t>
        </is>
      </c>
      <c r="F973" t="inlineStr">
        <is>
          <t>30-Mar-2027</t>
        </is>
      </c>
      <c r="G973" t="inlineStr">
        <is>
          <t>Tuesday</t>
        </is>
      </c>
      <c r="H973" t="inlineStr">
        <is>
          <t>Monthly - Tuesday</t>
        </is>
      </c>
      <c r="I973" t="inlineStr">
        <is>
          <t>Monthly - Tuesday</t>
        </is>
      </c>
      <c r="J973" t="inlineStr">
        <is>
          <t>Month+11 Expiry</t>
        </is>
      </c>
      <c r="K973" s="25" t="n">
        <v>0</v>
      </c>
      <c r="L973" s="26" t="n">
        <v>0</v>
      </c>
      <c r="M973" s="26" t="n">
        <v>0</v>
      </c>
    </row>
    <row r="974" ht="16" customHeight="1">
      <c r="A974" t="inlineStr">
        <is>
          <t>29-Apr-2026</t>
        </is>
      </c>
      <c r="B974" t="inlineStr">
        <is>
          <t>Wednesday</t>
        </is>
      </c>
      <c r="C974" t="inlineStr">
        <is>
          <t>Week5-Apr-2026</t>
        </is>
      </c>
      <c r="D974" s="78" t="n">
        <v>46113</v>
      </c>
      <c r="E974" t="inlineStr">
        <is>
          <t>Q1FY27</t>
        </is>
      </c>
      <c r="F974" t="inlineStr">
        <is>
          <t>26-May-2026</t>
        </is>
      </c>
      <c r="G974" t="inlineStr">
        <is>
          <t>Tuesday</t>
        </is>
      </c>
      <c r="H974" t="inlineStr">
        <is>
          <t>Monthly - Tuesday</t>
        </is>
      </c>
      <c r="I974" t="inlineStr">
        <is>
          <t>Monthly - Tuesday</t>
        </is>
      </c>
      <c r="J974" t="inlineStr">
        <is>
          <t>Month+1 Expiry</t>
        </is>
      </c>
      <c r="K974" s="25" t="n">
        <v>1895212</v>
      </c>
      <c r="L974" s="26" t="n">
        <v>3228.9082</v>
      </c>
      <c r="M974" s="26" t="n">
        <v>39.6797</v>
      </c>
    </row>
    <row r="975" ht="16" customHeight="1">
      <c r="A975" t="inlineStr">
        <is>
          <t>29-Apr-2026</t>
        </is>
      </c>
      <c r="B975" t="inlineStr">
        <is>
          <t>Wednesday</t>
        </is>
      </c>
      <c r="C975" t="inlineStr">
        <is>
          <t>Week5-Apr-2026</t>
        </is>
      </c>
      <c r="D975" s="78" t="n">
        <v>46113</v>
      </c>
      <c r="E975" t="inlineStr">
        <is>
          <t>Q1FY27</t>
        </is>
      </c>
      <c r="F975" t="inlineStr">
        <is>
          <t>30-Jun-2026</t>
        </is>
      </c>
      <c r="G975" t="inlineStr">
        <is>
          <t>Tuesday</t>
        </is>
      </c>
      <c r="H975" t="inlineStr">
        <is>
          <t>Monthly - Tuesday</t>
        </is>
      </c>
      <c r="I975" t="inlineStr">
        <is>
          <t>Monthly - Tuesday</t>
        </is>
      </c>
      <c r="J975" t="inlineStr">
        <is>
          <t>Month+2 Expiry</t>
        </is>
      </c>
      <c r="K975" s="25" t="n">
        <v>33169</v>
      </c>
      <c r="L975" s="26" t="n">
        <v>56.6535</v>
      </c>
      <c r="M975" s="26" t="n">
        <v>0.8518</v>
      </c>
    </row>
    <row r="976" ht="16" customHeight="1">
      <c r="A976" t="inlineStr">
        <is>
          <t>29-Apr-2026</t>
        </is>
      </c>
      <c r="B976" t="inlineStr">
        <is>
          <t>Wednesday</t>
        </is>
      </c>
      <c r="C976" t="inlineStr">
        <is>
          <t>Week5-Apr-2026</t>
        </is>
      </c>
      <c r="D976" s="78" t="n">
        <v>46113</v>
      </c>
      <c r="E976" t="inlineStr">
        <is>
          <t>Q1FY27</t>
        </is>
      </c>
      <c r="F976" t="inlineStr">
        <is>
          <t>28-Jul-2026</t>
        </is>
      </c>
      <c r="G976" t="inlineStr">
        <is>
          <t>Tuesday</t>
        </is>
      </c>
      <c r="H976" t="inlineStr">
        <is>
          <t>Monthly - Tuesday</t>
        </is>
      </c>
      <c r="I976" t="inlineStr">
        <is>
          <t>Monthly - Tuesday</t>
        </is>
      </c>
      <c r="J976" t="inlineStr">
        <is>
          <t>Month+3 Expiry</t>
        </is>
      </c>
      <c r="K976" s="25" t="n">
        <v>443</v>
      </c>
      <c r="L976" s="26" t="n">
        <v>0.7538</v>
      </c>
      <c r="M976" s="26" t="n">
        <v>0.0213</v>
      </c>
    </row>
    <row r="977" ht="16" customHeight="1">
      <c r="A977" t="inlineStr">
        <is>
          <t>29-Apr-2026</t>
        </is>
      </c>
      <c r="B977" t="inlineStr">
        <is>
          <t>Wednesday</t>
        </is>
      </c>
      <c r="C977" t="inlineStr">
        <is>
          <t>Week5-Apr-2026</t>
        </is>
      </c>
      <c r="D977" s="78" t="n">
        <v>46113</v>
      </c>
      <c r="E977" t="inlineStr">
        <is>
          <t>Q1FY27</t>
        </is>
      </c>
      <c r="F977" t="inlineStr">
        <is>
          <t>29-Sep-2026</t>
        </is>
      </c>
      <c r="G977" t="inlineStr">
        <is>
          <t>Tuesday</t>
        </is>
      </c>
      <c r="H977" t="inlineStr">
        <is>
          <t>Monthly - Tuesday</t>
        </is>
      </c>
      <c r="I977" t="inlineStr">
        <is>
          <t>Monthly - Tuesday</t>
        </is>
      </c>
      <c r="J977" t="inlineStr">
        <is>
          <t>Month+5 Expiry</t>
        </is>
      </c>
      <c r="K977" s="25" t="n">
        <v>250</v>
      </c>
      <c r="L977" s="26" t="n">
        <v>0.4429</v>
      </c>
      <c r="M977" s="26" t="n">
        <v>0.0091</v>
      </c>
    </row>
    <row r="978" ht="16" customHeight="1">
      <c r="A978" t="inlineStr">
        <is>
          <t>29-Apr-2026</t>
        </is>
      </c>
      <c r="B978" t="inlineStr">
        <is>
          <t>Wednesday</t>
        </is>
      </c>
      <c r="C978" t="inlineStr">
        <is>
          <t>Week5-Apr-2026</t>
        </is>
      </c>
      <c r="D978" s="78" t="n">
        <v>46113</v>
      </c>
      <c r="E978" t="inlineStr">
        <is>
          <t>Q1FY27</t>
        </is>
      </c>
      <c r="F978" t="inlineStr">
        <is>
          <t>29-Dec-2026</t>
        </is>
      </c>
      <c r="G978" t="inlineStr">
        <is>
          <t>Tuesday</t>
        </is>
      </c>
      <c r="H978" t="inlineStr">
        <is>
          <t>Monthly - Tuesday</t>
        </is>
      </c>
      <c r="I978" t="inlineStr">
        <is>
          <t>Monthly - Tuesday</t>
        </is>
      </c>
      <c r="J978" t="inlineStr">
        <is>
          <t>Month+8 Expiry</t>
        </is>
      </c>
      <c r="K978" s="25" t="n">
        <v>8</v>
      </c>
      <c r="L978" s="26" t="n">
        <v>0.0114</v>
      </c>
      <c r="M978" s="26" t="n">
        <v>0.0001</v>
      </c>
    </row>
    <row r="979" ht="16" customHeight="1">
      <c r="A979" t="inlineStr">
        <is>
          <t>29-Apr-2026</t>
        </is>
      </c>
      <c r="B979" t="inlineStr">
        <is>
          <t>Wednesday</t>
        </is>
      </c>
      <c r="C979" t="inlineStr">
        <is>
          <t>Week5-Apr-2026</t>
        </is>
      </c>
      <c r="D979" s="78" t="n">
        <v>46113</v>
      </c>
      <c r="E979" t="inlineStr">
        <is>
          <t>Q1FY27</t>
        </is>
      </c>
      <c r="F979" t="inlineStr">
        <is>
          <t>30-Mar-2027</t>
        </is>
      </c>
      <c r="G979" t="inlineStr">
        <is>
          <t>Tuesday</t>
        </is>
      </c>
      <c r="H979" t="inlineStr">
        <is>
          <t>Monthly - Tuesday</t>
        </is>
      </c>
      <c r="I979" t="inlineStr">
        <is>
          <t>Monthly - Tuesday</t>
        </is>
      </c>
      <c r="J979" t="inlineStr">
        <is>
          <t>Month+11 Expiry</t>
        </is>
      </c>
      <c r="K979" s="25" t="n">
        <v>0</v>
      </c>
      <c r="L979" s="26" t="n">
        <v>0</v>
      </c>
      <c r="M979" s="26" t="n">
        <v>0</v>
      </c>
    </row>
    <row r="980" ht="16" customHeight="1">
      <c r="A980" t="inlineStr">
        <is>
          <t>30-Apr-2026</t>
        </is>
      </c>
      <c r="B980" t="inlineStr">
        <is>
          <t>Thursday</t>
        </is>
      </c>
      <c r="C980" t="inlineStr">
        <is>
          <t>Week5-Apr-2026</t>
        </is>
      </c>
      <c r="D980" s="78" t="n">
        <v>46113</v>
      </c>
      <c r="E980" t="inlineStr">
        <is>
          <t>Q1FY27</t>
        </is>
      </c>
      <c r="F980" t="inlineStr">
        <is>
          <t>26-May-2026</t>
        </is>
      </c>
      <c r="G980" t="inlineStr">
        <is>
          <t>Tuesday</t>
        </is>
      </c>
      <c r="H980" t="inlineStr">
        <is>
          <t>Monthly - Tuesday</t>
        </is>
      </c>
      <c r="I980" t="inlineStr">
        <is>
          <t>Monthly - Tuesday</t>
        </is>
      </c>
      <c r="J980" t="inlineStr">
        <is>
          <t>Month+1 Expiry</t>
        </is>
      </c>
      <c r="K980" s="25" t="n">
        <v>1712831</v>
      </c>
      <c r="L980" s="26" t="n">
        <v>2877.1678</v>
      </c>
      <c r="M980" s="26" t="n">
        <v>37.6604</v>
      </c>
    </row>
    <row r="981" ht="16" customHeight="1">
      <c r="A981" t="inlineStr">
        <is>
          <t>30-Apr-2026</t>
        </is>
      </c>
      <c r="B981" t="inlineStr">
        <is>
          <t>Thursday</t>
        </is>
      </c>
      <c r="C981" t="inlineStr">
        <is>
          <t>Week5-Apr-2026</t>
        </is>
      </c>
      <c r="D981" s="78" t="n">
        <v>46113</v>
      </c>
      <c r="E981" t="inlineStr">
        <is>
          <t>Q1FY27</t>
        </is>
      </c>
      <c r="F981" t="inlineStr">
        <is>
          <t>30-Jun-2026</t>
        </is>
      </c>
      <c r="G981" t="inlineStr">
        <is>
          <t>Tuesday</t>
        </is>
      </c>
      <c r="H981" t="inlineStr">
        <is>
          <t>Monthly - Tuesday</t>
        </is>
      </c>
      <c r="I981" t="inlineStr">
        <is>
          <t>Monthly - Tuesday</t>
        </is>
      </c>
      <c r="J981" t="inlineStr">
        <is>
          <t>Month+2 Expiry</t>
        </is>
      </c>
      <c r="K981" s="25" t="n">
        <v>30370</v>
      </c>
      <c r="L981" s="26" t="n">
        <v>51.8274</v>
      </c>
      <c r="M981" s="26" t="n">
        <v>0.8655</v>
      </c>
    </row>
    <row r="982" ht="16" customHeight="1">
      <c r="A982" t="inlineStr">
        <is>
          <t>30-Apr-2026</t>
        </is>
      </c>
      <c r="B982" t="inlineStr">
        <is>
          <t>Thursday</t>
        </is>
      </c>
      <c r="C982" t="inlineStr">
        <is>
          <t>Week5-Apr-2026</t>
        </is>
      </c>
      <c r="D982" s="78" t="n">
        <v>46113</v>
      </c>
      <c r="E982" t="inlineStr">
        <is>
          <t>Q1FY27</t>
        </is>
      </c>
      <c r="F982" t="inlineStr">
        <is>
          <t>28-Jul-2026</t>
        </is>
      </c>
      <c r="G982" t="inlineStr">
        <is>
          <t>Tuesday</t>
        </is>
      </c>
      <c r="H982" t="inlineStr">
        <is>
          <t>Monthly - Tuesday</t>
        </is>
      </c>
      <c r="I982" t="inlineStr">
        <is>
          <t>Monthly - Tuesday</t>
        </is>
      </c>
      <c r="J982" t="inlineStr">
        <is>
          <t>Month+3 Expiry</t>
        </is>
      </c>
      <c r="K982" s="25" t="n">
        <v>1064</v>
      </c>
      <c r="L982" s="26" t="n">
        <v>1.7926</v>
      </c>
      <c r="M982" s="26" t="n">
        <v>0.0512</v>
      </c>
    </row>
    <row r="983" ht="16" customHeight="1">
      <c r="A983" t="inlineStr">
        <is>
          <t>30-Apr-2026</t>
        </is>
      </c>
      <c r="B983" t="inlineStr">
        <is>
          <t>Thursday</t>
        </is>
      </c>
      <c r="C983" t="inlineStr">
        <is>
          <t>Week5-Apr-2026</t>
        </is>
      </c>
      <c r="D983" s="78" t="n">
        <v>46113</v>
      </c>
      <c r="E983" t="inlineStr">
        <is>
          <t>Q1FY27</t>
        </is>
      </c>
      <c r="F983" t="inlineStr">
        <is>
          <t>29-Sep-2026</t>
        </is>
      </c>
      <c r="G983" t="inlineStr">
        <is>
          <t>Tuesday</t>
        </is>
      </c>
      <c r="H983" t="inlineStr">
        <is>
          <t>Monthly - Tuesday</t>
        </is>
      </c>
      <c r="I983" t="inlineStr">
        <is>
          <t>Monthly - Tuesday</t>
        </is>
      </c>
      <c r="J983" t="inlineStr">
        <is>
          <t>Month+5 Expiry</t>
        </is>
      </c>
      <c r="K983" s="25" t="n">
        <v>389</v>
      </c>
      <c r="L983" s="26" t="n">
        <v>0.6791</v>
      </c>
      <c r="M983" s="26" t="n">
        <v>0.0142</v>
      </c>
    </row>
    <row r="984" ht="16" customHeight="1">
      <c r="A984" t="inlineStr">
        <is>
          <t>30-Apr-2026</t>
        </is>
      </c>
      <c r="B984" t="inlineStr">
        <is>
          <t>Thursday</t>
        </is>
      </c>
      <c r="C984" t="inlineStr">
        <is>
          <t>Week5-Apr-2026</t>
        </is>
      </c>
      <c r="D984" s="78" t="n">
        <v>46113</v>
      </c>
      <c r="E984" t="inlineStr">
        <is>
          <t>Q1FY27</t>
        </is>
      </c>
      <c r="F984" t="inlineStr">
        <is>
          <t>29-Dec-2026</t>
        </is>
      </c>
      <c r="G984" t="inlineStr">
        <is>
          <t>Tuesday</t>
        </is>
      </c>
      <c r="H984" t="inlineStr">
        <is>
          <t>Monthly - Tuesday</t>
        </is>
      </c>
      <c r="I984" t="inlineStr">
        <is>
          <t>Monthly - Tuesday</t>
        </is>
      </c>
      <c r="J984" t="inlineStr">
        <is>
          <t>Month+8 Expiry</t>
        </is>
      </c>
      <c r="K984" s="25" t="n">
        <v>0</v>
      </c>
      <c r="L984" s="26" t="n">
        <v>0</v>
      </c>
      <c r="M984" s="26" t="n">
        <v>0</v>
      </c>
    </row>
    <row r="985" ht="16" customHeight="1">
      <c r="A985" t="inlineStr">
        <is>
          <t>30-Apr-2026</t>
        </is>
      </c>
      <c r="B985" t="inlineStr">
        <is>
          <t>Thursday</t>
        </is>
      </c>
      <c r="C985" t="inlineStr">
        <is>
          <t>Week5-Apr-2026</t>
        </is>
      </c>
      <c r="D985" s="78" t="n">
        <v>46113</v>
      </c>
      <c r="E985" t="inlineStr">
        <is>
          <t>Q1FY27</t>
        </is>
      </c>
      <c r="F985" t="inlineStr">
        <is>
          <t>30-Mar-2027</t>
        </is>
      </c>
      <c r="G985" t="inlineStr">
        <is>
          <t>Tuesday</t>
        </is>
      </c>
      <c r="H985" t="inlineStr">
        <is>
          <t>Monthly - Tuesday</t>
        </is>
      </c>
      <c r="I985" t="inlineStr">
        <is>
          <t>Monthly - Tuesday</t>
        </is>
      </c>
      <c r="J985" t="inlineStr">
        <is>
          <t>Month+11 Expiry</t>
        </is>
      </c>
      <c r="K985" s="25" t="n">
        <v>0</v>
      </c>
      <c r="L985" s="26" t="n">
        <v>0</v>
      </c>
      <c r="M985" s="26" t="n">
        <v>0</v>
      </c>
    </row>
    <row r="986" ht="16" customHeight="1">
      <c r="A986" t="inlineStr">
        <is>
          <t>04-May-2026</t>
        </is>
      </c>
      <c r="B986" t="inlineStr">
        <is>
          <t>Monday</t>
        </is>
      </c>
      <c r="C986" t="inlineStr">
        <is>
          <t>Week1-May-2026</t>
        </is>
      </c>
      <c r="D986" s="78" t="n">
        <v>46143</v>
      </c>
      <c r="E986" t="inlineStr">
        <is>
          <t>Q1FY27</t>
        </is>
      </c>
      <c r="F986" t="inlineStr">
        <is>
          <t>26-May-2026</t>
        </is>
      </c>
      <c r="G986" t="inlineStr">
        <is>
          <t>Tuesday</t>
        </is>
      </c>
      <c r="H986" t="inlineStr">
        <is>
          <t>Monthly - Tuesday</t>
        </is>
      </c>
      <c r="I986" t="inlineStr">
        <is>
          <t>Monthly - Tuesday</t>
        </is>
      </c>
      <c r="J986" t="inlineStr">
        <is>
          <t>Same Month Expiry</t>
        </is>
      </c>
      <c r="K986" s="25" t="n">
        <v>1767544</v>
      </c>
      <c r="L986" s="26" t="n">
        <v>2987.0088</v>
      </c>
      <c r="M986" s="26" t="n">
        <v>34.9621</v>
      </c>
    </row>
    <row r="987" ht="16" customHeight="1">
      <c r="A987" t="inlineStr">
        <is>
          <t>04-May-2026</t>
        </is>
      </c>
      <c r="B987" t="inlineStr">
        <is>
          <t>Monday</t>
        </is>
      </c>
      <c r="C987" t="inlineStr">
        <is>
          <t>Week1-May-2026</t>
        </is>
      </c>
      <c r="D987" s="78" t="n">
        <v>46143</v>
      </c>
      <c r="E987" t="inlineStr">
        <is>
          <t>Q1FY27</t>
        </is>
      </c>
      <c r="F987" t="inlineStr">
        <is>
          <t>30-Jun-2026</t>
        </is>
      </c>
      <c r="G987" t="inlineStr">
        <is>
          <t>Tuesday</t>
        </is>
      </c>
      <c r="H987" t="inlineStr">
        <is>
          <t>Monthly - Tuesday</t>
        </is>
      </c>
      <c r="I987" t="inlineStr">
        <is>
          <t>Monthly - Tuesday</t>
        </is>
      </c>
      <c r="J987" t="inlineStr">
        <is>
          <t>Month+1 Expiry</t>
        </is>
      </c>
      <c r="K987" s="25" t="n">
        <v>33202</v>
      </c>
      <c r="L987" s="26" t="n">
        <v>57.5789</v>
      </c>
      <c r="M987" s="26" t="n">
        <v>0.739</v>
      </c>
    </row>
    <row r="988" ht="16" customHeight="1">
      <c r="A988" t="inlineStr">
        <is>
          <t>04-May-2026</t>
        </is>
      </c>
      <c r="B988" t="inlineStr">
        <is>
          <t>Monday</t>
        </is>
      </c>
      <c r="C988" t="inlineStr">
        <is>
          <t>Week1-May-2026</t>
        </is>
      </c>
      <c r="D988" s="78" t="n">
        <v>46143</v>
      </c>
      <c r="E988" t="inlineStr">
        <is>
          <t>Q1FY27</t>
        </is>
      </c>
      <c r="F988" t="inlineStr">
        <is>
          <t>28-Jul-2026</t>
        </is>
      </c>
      <c r="G988" t="inlineStr">
        <is>
          <t>Tuesday</t>
        </is>
      </c>
      <c r="H988" t="inlineStr">
        <is>
          <t>Monthly - Tuesday</t>
        </is>
      </c>
      <c r="I988" t="inlineStr">
        <is>
          <t>Monthly - Tuesday</t>
        </is>
      </c>
      <c r="J988" t="inlineStr">
        <is>
          <t>Month+2 Expiry</t>
        </is>
      </c>
      <c r="K988" s="25" t="n">
        <v>1352</v>
      </c>
      <c r="L988" s="26" t="n">
        <v>2.2995</v>
      </c>
      <c r="M988" s="26" t="n">
        <v>0.0578</v>
      </c>
    </row>
    <row r="989" ht="16" customHeight="1">
      <c r="A989" t="inlineStr">
        <is>
          <t>04-May-2026</t>
        </is>
      </c>
      <c r="B989" t="inlineStr">
        <is>
          <t>Monday</t>
        </is>
      </c>
      <c r="C989" t="inlineStr">
        <is>
          <t>Week1-May-2026</t>
        </is>
      </c>
      <c r="D989" s="78" t="n">
        <v>46143</v>
      </c>
      <c r="E989" t="inlineStr">
        <is>
          <t>Q1FY27</t>
        </is>
      </c>
      <c r="F989" t="inlineStr">
        <is>
          <t>29-Sep-2026</t>
        </is>
      </c>
      <c r="G989" t="inlineStr">
        <is>
          <t>Tuesday</t>
        </is>
      </c>
      <c r="H989" t="inlineStr">
        <is>
          <t>Monthly - Tuesday</t>
        </is>
      </c>
      <c r="I989" t="inlineStr">
        <is>
          <t>Monthly - Tuesday</t>
        </is>
      </c>
      <c r="J989" t="inlineStr">
        <is>
          <t>Month+4 Expiry</t>
        </is>
      </c>
      <c r="K989" s="25" t="n">
        <v>201</v>
      </c>
      <c r="L989" s="26" t="n">
        <v>0.3488</v>
      </c>
      <c r="M989" s="26" t="n">
        <v>0.0066</v>
      </c>
    </row>
    <row r="990" ht="16" customHeight="1">
      <c r="A990" t="inlineStr">
        <is>
          <t>04-May-2026</t>
        </is>
      </c>
      <c r="B990" t="inlineStr">
        <is>
          <t>Monday</t>
        </is>
      </c>
      <c r="C990" t="inlineStr">
        <is>
          <t>Week1-May-2026</t>
        </is>
      </c>
      <c r="D990" s="78" t="n">
        <v>46143</v>
      </c>
      <c r="E990" t="inlineStr">
        <is>
          <t>Q1FY27</t>
        </is>
      </c>
      <c r="F990" t="inlineStr">
        <is>
          <t>29-Dec-2026</t>
        </is>
      </c>
      <c r="G990" t="inlineStr">
        <is>
          <t>Tuesday</t>
        </is>
      </c>
      <c r="H990" t="inlineStr">
        <is>
          <t>Monthly - Tuesday</t>
        </is>
      </c>
      <c r="I990" t="inlineStr">
        <is>
          <t>Monthly - Tuesday</t>
        </is>
      </c>
      <c r="J990" t="inlineStr">
        <is>
          <t>Month+7 Expiry</t>
        </is>
      </c>
      <c r="K990" s="25" t="n">
        <v>0</v>
      </c>
      <c r="L990" s="26" t="n">
        <v>0</v>
      </c>
      <c r="M990" s="26" t="n">
        <v>0</v>
      </c>
    </row>
    <row r="991" ht="16" customHeight="1">
      <c r="A991" t="inlineStr">
        <is>
          <t>04-May-2026</t>
        </is>
      </c>
      <c r="B991" t="inlineStr">
        <is>
          <t>Monday</t>
        </is>
      </c>
      <c r="C991" t="inlineStr">
        <is>
          <t>Week1-May-2026</t>
        </is>
      </c>
      <c r="D991" s="78" t="n">
        <v>46143</v>
      </c>
      <c r="E991" t="inlineStr">
        <is>
          <t>Q1FY27</t>
        </is>
      </c>
      <c r="F991" t="inlineStr">
        <is>
          <t>30-Mar-2027</t>
        </is>
      </c>
      <c r="G991" t="inlineStr">
        <is>
          <t>Tuesday</t>
        </is>
      </c>
      <c r="H991" t="inlineStr">
        <is>
          <t>Monthly - Tuesday</t>
        </is>
      </c>
      <c r="I991" t="inlineStr">
        <is>
          <t>Monthly - Tuesday</t>
        </is>
      </c>
      <c r="J991" t="inlineStr">
        <is>
          <t>Month+10 Expiry</t>
        </is>
      </c>
      <c r="K991" s="25" t="n">
        <v>0</v>
      </c>
      <c r="L991" s="26" t="n">
        <v>0</v>
      </c>
      <c r="M991" s="26" t="n">
        <v>0</v>
      </c>
    </row>
    <row r="992" ht="16" customHeight="1">
      <c r="A992" t="inlineStr">
        <is>
          <t>05-May-2026</t>
        </is>
      </c>
      <c r="B992" t="inlineStr">
        <is>
          <t>Tuesday</t>
        </is>
      </c>
      <c r="C992" t="inlineStr">
        <is>
          <t>Week1-May-2026</t>
        </is>
      </c>
      <c r="D992" s="78" t="n">
        <v>46143</v>
      </c>
      <c r="E992" t="inlineStr">
        <is>
          <t>Q1FY27</t>
        </is>
      </c>
      <c r="F992" t="inlineStr">
        <is>
          <t>26-May-2026</t>
        </is>
      </c>
      <c r="G992" t="inlineStr">
        <is>
          <t>Tuesday</t>
        </is>
      </c>
      <c r="H992" t="inlineStr">
        <is>
          <t>Monthly - Tuesday</t>
        </is>
      </c>
      <c r="I992" t="inlineStr">
        <is>
          <t>Monthly - Tuesday</t>
        </is>
      </c>
      <c r="J992" t="inlineStr">
        <is>
          <t>Same Month Expiry</t>
        </is>
      </c>
      <c r="K992" s="25" t="n">
        <v>1802314</v>
      </c>
      <c r="L992" s="26" t="n">
        <v>3020.2696</v>
      </c>
      <c r="M992" s="26" t="n">
        <v>35.2089</v>
      </c>
    </row>
    <row r="993" ht="16" customHeight="1">
      <c r="A993" t="inlineStr">
        <is>
          <t>05-May-2026</t>
        </is>
      </c>
      <c r="B993" t="inlineStr">
        <is>
          <t>Tuesday</t>
        </is>
      </c>
      <c r="C993" t="inlineStr">
        <is>
          <t>Week1-May-2026</t>
        </is>
      </c>
      <c r="D993" s="78" t="n">
        <v>46143</v>
      </c>
      <c r="E993" t="inlineStr">
        <is>
          <t>Q1FY27</t>
        </is>
      </c>
      <c r="F993" t="inlineStr">
        <is>
          <t>30-Jun-2026</t>
        </is>
      </c>
      <c r="G993" t="inlineStr">
        <is>
          <t>Tuesday</t>
        </is>
      </c>
      <c r="H993" t="inlineStr">
        <is>
          <t>Monthly - Tuesday</t>
        </is>
      </c>
      <c r="I993" t="inlineStr">
        <is>
          <t>Monthly - Tuesday</t>
        </is>
      </c>
      <c r="J993" t="inlineStr">
        <is>
          <t>Month+1 Expiry</t>
        </is>
      </c>
      <c r="K993" s="25" t="n">
        <v>37015</v>
      </c>
      <c r="L993" s="26" t="n">
        <v>63.8188</v>
      </c>
      <c r="M993" s="26" t="n">
        <v>0.8058</v>
      </c>
    </row>
    <row r="994" ht="16" customHeight="1">
      <c r="A994" t="inlineStr">
        <is>
          <t>05-May-2026</t>
        </is>
      </c>
      <c r="B994" t="inlineStr">
        <is>
          <t>Tuesday</t>
        </is>
      </c>
      <c r="C994" t="inlineStr">
        <is>
          <t>Week1-May-2026</t>
        </is>
      </c>
      <c r="D994" s="78" t="n">
        <v>46143</v>
      </c>
      <c r="E994" t="inlineStr">
        <is>
          <t>Q1FY27</t>
        </is>
      </c>
      <c r="F994" t="inlineStr">
        <is>
          <t>28-Jul-2026</t>
        </is>
      </c>
      <c r="G994" t="inlineStr">
        <is>
          <t>Tuesday</t>
        </is>
      </c>
      <c r="H994" t="inlineStr">
        <is>
          <t>Monthly - Tuesday</t>
        </is>
      </c>
      <c r="I994" t="inlineStr">
        <is>
          <t>Monthly - Tuesday</t>
        </is>
      </c>
      <c r="J994" t="inlineStr">
        <is>
          <t>Month+2 Expiry</t>
        </is>
      </c>
      <c r="K994" s="25" t="n">
        <v>1540</v>
      </c>
      <c r="L994" s="26" t="n">
        <v>2.595</v>
      </c>
      <c r="M994" s="26" t="n">
        <v>0.0568</v>
      </c>
    </row>
    <row r="995" ht="16" customHeight="1">
      <c r="A995" t="inlineStr">
        <is>
          <t>05-May-2026</t>
        </is>
      </c>
      <c r="B995" t="inlineStr">
        <is>
          <t>Tuesday</t>
        </is>
      </c>
      <c r="C995" t="inlineStr">
        <is>
          <t>Week1-May-2026</t>
        </is>
      </c>
      <c r="D995" s="78" t="n">
        <v>46143</v>
      </c>
      <c r="E995" t="inlineStr">
        <is>
          <t>Q1FY27</t>
        </is>
      </c>
      <c r="F995" t="inlineStr">
        <is>
          <t>29-Sep-2026</t>
        </is>
      </c>
      <c r="G995" t="inlineStr">
        <is>
          <t>Tuesday</t>
        </is>
      </c>
      <c r="H995" t="inlineStr">
        <is>
          <t>Monthly - Tuesday</t>
        </is>
      </c>
      <c r="I995" t="inlineStr">
        <is>
          <t>Monthly - Tuesday</t>
        </is>
      </c>
      <c r="J995" t="inlineStr">
        <is>
          <t>Month+4 Expiry</t>
        </is>
      </c>
      <c r="K995" s="25" t="n">
        <v>231</v>
      </c>
      <c r="L995" s="26" t="n">
        <v>0.4064</v>
      </c>
      <c r="M995" s="26" t="n">
        <v>0.0083</v>
      </c>
    </row>
    <row r="996" ht="16" customHeight="1">
      <c r="A996" t="inlineStr">
        <is>
          <t>05-May-2026</t>
        </is>
      </c>
      <c r="B996" t="inlineStr">
        <is>
          <t>Tuesday</t>
        </is>
      </c>
      <c r="C996" t="inlineStr">
        <is>
          <t>Week1-May-2026</t>
        </is>
      </c>
      <c r="D996" s="78" t="n">
        <v>46143</v>
      </c>
      <c r="E996" t="inlineStr">
        <is>
          <t>Q1FY27</t>
        </is>
      </c>
      <c r="F996" t="inlineStr">
        <is>
          <t>29-Dec-2026</t>
        </is>
      </c>
      <c r="G996" t="inlineStr">
        <is>
          <t>Tuesday</t>
        </is>
      </c>
      <c r="H996" t="inlineStr">
        <is>
          <t>Monthly - Tuesday</t>
        </is>
      </c>
      <c r="I996" t="inlineStr">
        <is>
          <t>Monthly - Tuesday</t>
        </is>
      </c>
      <c r="J996" t="inlineStr">
        <is>
          <t>Month+7 Expiry</t>
        </is>
      </c>
      <c r="K996" s="25" t="n">
        <v>1</v>
      </c>
      <c r="L996" s="26" t="n">
        <v>0.0018</v>
      </c>
      <c r="M996" s="26" t="n">
        <v>0.0001</v>
      </c>
    </row>
    <row r="997" ht="16" customHeight="1">
      <c r="A997" t="inlineStr">
        <is>
          <t>05-May-2026</t>
        </is>
      </c>
      <c r="B997" t="inlineStr">
        <is>
          <t>Tuesday</t>
        </is>
      </c>
      <c r="C997" t="inlineStr">
        <is>
          <t>Week1-May-2026</t>
        </is>
      </c>
      <c r="D997" s="78" t="n">
        <v>46143</v>
      </c>
      <c r="E997" t="inlineStr">
        <is>
          <t>Q1FY27</t>
        </is>
      </c>
      <c r="F997" t="inlineStr">
        <is>
          <t>30-Mar-2027</t>
        </is>
      </c>
      <c r="G997" t="inlineStr">
        <is>
          <t>Tuesday</t>
        </is>
      </c>
      <c r="H997" t="inlineStr">
        <is>
          <t>Monthly - Tuesday</t>
        </is>
      </c>
      <c r="I997" t="inlineStr">
        <is>
          <t>Monthly - Tuesday</t>
        </is>
      </c>
      <c r="J997" t="inlineStr">
        <is>
          <t>Month+10 Expiry</t>
        </is>
      </c>
      <c r="K997" s="25" t="n">
        <v>0</v>
      </c>
      <c r="L997" s="26" t="n">
        <v>0</v>
      </c>
      <c r="M997" s="26" t="n">
        <v>0</v>
      </c>
    </row>
    <row r="998" ht="16" customHeight="1">
      <c r="A998" t="inlineStr">
        <is>
          <t>06-May-2026</t>
        </is>
      </c>
      <c r="B998" t="inlineStr">
        <is>
          <t>Wednesday</t>
        </is>
      </c>
      <c r="C998" t="inlineStr">
        <is>
          <t>Week1-May-2026</t>
        </is>
      </c>
      <c r="D998" s="78" t="n">
        <v>46143</v>
      </c>
      <c r="E998" t="inlineStr">
        <is>
          <t>Q1FY27</t>
        </is>
      </c>
      <c r="F998" t="inlineStr">
        <is>
          <t>26-May-2026</t>
        </is>
      </c>
      <c r="G998" t="inlineStr">
        <is>
          <t>Tuesday</t>
        </is>
      </c>
      <c r="H998" t="inlineStr">
        <is>
          <t>Monthly - Tuesday</t>
        </is>
      </c>
      <c r="I998" t="inlineStr">
        <is>
          <t>Monthly - Tuesday</t>
        </is>
      </c>
      <c r="J998" t="inlineStr">
        <is>
          <t>Same Month Expiry</t>
        </is>
      </c>
      <c r="K998" s="25" t="n">
        <v>3044751</v>
      </c>
      <c r="L998" s="26" t="n">
        <v>5122.9406</v>
      </c>
      <c r="M998" s="26" t="n">
        <v>53.9687</v>
      </c>
    </row>
    <row r="999" ht="16" customHeight="1">
      <c r="A999" t="inlineStr">
        <is>
          <t>06-May-2026</t>
        </is>
      </c>
      <c r="B999" t="inlineStr">
        <is>
          <t>Wednesday</t>
        </is>
      </c>
      <c r="C999" t="inlineStr">
        <is>
          <t>Week1-May-2026</t>
        </is>
      </c>
      <c r="D999" s="78" t="n">
        <v>46143</v>
      </c>
      <c r="E999" t="inlineStr">
        <is>
          <t>Q1FY27</t>
        </is>
      </c>
      <c r="F999" t="inlineStr">
        <is>
          <t>30-Jun-2026</t>
        </is>
      </c>
      <c r="G999" t="inlineStr">
        <is>
          <t>Tuesday</t>
        </is>
      </c>
      <c r="H999" t="inlineStr">
        <is>
          <t>Monthly - Tuesday</t>
        </is>
      </c>
      <c r="I999" t="inlineStr">
        <is>
          <t>Monthly - Tuesday</t>
        </is>
      </c>
      <c r="J999" t="inlineStr">
        <is>
          <t>Month+1 Expiry</t>
        </is>
      </c>
      <c r="K999" s="25" t="n">
        <v>86772</v>
      </c>
      <c r="L999" s="26" t="n">
        <v>147.0936</v>
      </c>
      <c r="M999" s="26" t="n">
        <v>1.7706</v>
      </c>
    </row>
    <row r="1000" ht="16" customHeight="1">
      <c r="A1000" t="inlineStr">
        <is>
          <t>06-May-2026</t>
        </is>
      </c>
      <c r="B1000" t="inlineStr">
        <is>
          <t>Wednesday</t>
        </is>
      </c>
      <c r="C1000" t="inlineStr">
        <is>
          <t>Week1-May-2026</t>
        </is>
      </c>
      <c r="D1000" s="78" t="n">
        <v>46143</v>
      </c>
      <c r="E1000" t="inlineStr">
        <is>
          <t>Q1FY27</t>
        </is>
      </c>
      <c r="F1000" t="inlineStr">
        <is>
          <t>28-Jul-2026</t>
        </is>
      </c>
      <c r="G1000" t="inlineStr">
        <is>
          <t>Tuesday</t>
        </is>
      </c>
      <c r="H1000" t="inlineStr">
        <is>
          <t>Monthly - Tuesday</t>
        </is>
      </c>
      <c r="I1000" t="inlineStr">
        <is>
          <t>Monthly - Tuesday</t>
        </is>
      </c>
      <c r="J1000" t="inlineStr">
        <is>
          <t>Month+2 Expiry</t>
        </is>
      </c>
      <c r="K1000" s="25" t="n">
        <v>4341</v>
      </c>
      <c r="L1000" s="26" t="n">
        <v>7.4399</v>
      </c>
      <c r="M1000" s="26" t="n">
        <v>0.1787</v>
      </c>
    </row>
    <row r="1001" ht="16" customHeight="1">
      <c r="A1001" t="inlineStr">
        <is>
          <t>06-May-2026</t>
        </is>
      </c>
      <c r="B1001" t="inlineStr">
        <is>
          <t>Wednesday</t>
        </is>
      </c>
      <c r="C1001" t="inlineStr">
        <is>
          <t>Week1-May-2026</t>
        </is>
      </c>
      <c r="D1001" s="78" t="n">
        <v>46143</v>
      </c>
      <c r="E1001" t="inlineStr">
        <is>
          <t>Q1FY27</t>
        </is>
      </c>
      <c r="F1001" t="inlineStr">
        <is>
          <t>29-Sep-2026</t>
        </is>
      </c>
      <c r="G1001" t="inlineStr">
        <is>
          <t>Tuesday</t>
        </is>
      </c>
      <c r="H1001" t="inlineStr">
        <is>
          <t>Monthly - Tuesday</t>
        </is>
      </c>
      <c r="I1001" t="inlineStr">
        <is>
          <t>Monthly - Tuesday</t>
        </is>
      </c>
      <c r="J1001" t="inlineStr">
        <is>
          <t>Month+4 Expiry</t>
        </is>
      </c>
      <c r="K1001" s="25" t="n">
        <v>432</v>
      </c>
      <c r="L1001" s="26" t="n">
        <v>0.7495000000000001</v>
      </c>
      <c r="M1001" s="26" t="n">
        <v>0.0169</v>
      </c>
    </row>
    <row r="1002" ht="16" customHeight="1">
      <c r="A1002" t="inlineStr">
        <is>
          <t>06-May-2026</t>
        </is>
      </c>
      <c r="B1002" t="inlineStr">
        <is>
          <t>Wednesday</t>
        </is>
      </c>
      <c r="C1002" t="inlineStr">
        <is>
          <t>Week1-May-2026</t>
        </is>
      </c>
      <c r="D1002" s="78" t="n">
        <v>46143</v>
      </c>
      <c r="E1002" t="inlineStr">
        <is>
          <t>Q1FY27</t>
        </is>
      </c>
      <c r="F1002" t="inlineStr">
        <is>
          <t>29-Dec-2026</t>
        </is>
      </c>
      <c r="G1002" t="inlineStr">
        <is>
          <t>Tuesday</t>
        </is>
      </c>
      <c r="H1002" t="inlineStr">
        <is>
          <t>Monthly - Tuesday</t>
        </is>
      </c>
      <c r="I1002" t="inlineStr">
        <is>
          <t>Monthly - Tuesday</t>
        </is>
      </c>
      <c r="J1002" t="inlineStr">
        <is>
          <t>Month+7 Expiry</t>
        </is>
      </c>
      <c r="K1002" s="25" t="n">
        <v>12</v>
      </c>
      <c r="L1002" s="26" t="n">
        <v>0.0183</v>
      </c>
      <c r="M1002" s="26" t="n">
        <v>0.0005</v>
      </c>
    </row>
    <row r="1003" ht="16" customHeight="1">
      <c r="A1003" t="inlineStr">
        <is>
          <t>06-May-2026</t>
        </is>
      </c>
      <c r="B1003" t="inlineStr">
        <is>
          <t>Wednesday</t>
        </is>
      </c>
      <c r="C1003" t="inlineStr">
        <is>
          <t>Week1-May-2026</t>
        </is>
      </c>
      <c r="D1003" s="78" t="n">
        <v>46143</v>
      </c>
      <c r="E1003" t="inlineStr">
        <is>
          <t>Q1FY27</t>
        </is>
      </c>
      <c r="F1003" t="inlineStr">
        <is>
          <t>30-Mar-2027</t>
        </is>
      </c>
      <c r="G1003" t="inlineStr">
        <is>
          <t>Tuesday</t>
        </is>
      </c>
      <c r="H1003" t="inlineStr">
        <is>
          <t>Monthly - Tuesday</t>
        </is>
      </c>
      <c r="I1003" t="inlineStr">
        <is>
          <t>Monthly - Tuesday</t>
        </is>
      </c>
      <c r="J1003" t="inlineStr">
        <is>
          <t>Month+10 Expiry</t>
        </is>
      </c>
      <c r="K1003" s="25" t="n">
        <v>0</v>
      </c>
      <c r="L1003" s="26" t="n">
        <v>0</v>
      </c>
      <c r="M1003" s="26" t="n">
        <v>0</v>
      </c>
    </row>
    <row r="1004" ht="16" customHeight="1">
      <c r="A1004" t="inlineStr">
        <is>
          <t>07-May-2026</t>
        </is>
      </c>
      <c r="B1004" t="inlineStr">
        <is>
          <t>Thursday</t>
        </is>
      </c>
      <c r="C1004" t="inlineStr">
        <is>
          <t>Week1-May-2026</t>
        </is>
      </c>
      <c r="D1004" s="78" t="n">
        <v>46143</v>
      </c>
      <c r="E1004" t="inlineStr">
        <is>
          <t>Q1FY27</t>
        </is>
      </c>
      <c r="F1004" t="inlineStr">
        <is>
          <t>26-May-2026</t>
        </is>
      </c>
      <c r="G1004" t="inlineStr">
        <is>
          <t>Tuesday</t>
        </is>
      </c>
      <c r="H1004" t="inlineStr">
        <is>
          <t>Monthly - Tuesday</t>
        </is>
      </c>
      <c r="I1004" t="inlineStr">
        <is>
          <t>Monthly - Tuesday</t>
        </is>
      </c>
      <c r="J1004" t="inlineStr">
        <is>
          <t>Same Month Expiry</t>
        </is>
      </c>
      <c r="K1004" s="25" t="n">
        <v>2146088</v>
      </c>
      <c r="L1004" s="26" t="n">
        <v>3660.7045</v>
      </c>
      <c r="M1004" s="26" t="n">
        <v>38.2474</v>
      </c>
    </row>
    <row r="1005" ht="16" customHeight="1">
      <c r="A1005" t="inlineStr">
        <is>
          <t>07-May-2026</t>
        </is>
      </c>
      <c r="B1005" t="inlineStr">
        <is>
          <t>Thursday</t>
        </is>
      </c>
      <c r="C1005" t="inlineStr">
        <is>
          <t>Week1-May-2026</t>
        </is>
      </c>
      <c r="D1005" s="78" t="n">
        <v>46143</v>
      </c>
      <c r="E1005" t="inlineStr">
        <is>
          <t>Q1FY27</t>
        </is>
      </c>
      <c r="F1005" t="inlineStr">
        <is>
          <t>30-Jun-2026</t>
        </is>
      </c>
      <c r="G1005" t="inlineStr">
        <is>
          <t>Tuesday</t>
        </is>
      </c>
      <c r="H1005" t="inlineStr">
        <is>
          <t>Monthly - Tuesday</t>
        </is>
      </c>
      <c r="I1005" t="inlineStr">
        <is>
          <t>Monthly - Tuesday</t>
        </is>
      </c>
      <c r="J1005" t="inlineStr">
        <is>
          <t>Month+1 Expiry</t>
        </is>
      </c>
      <c r="K1005" s="25" t="n">
        <v>40308</v>
      </c>
      <c r="L1005" s="26" t="n">
        <v>68.614</v>
      </c>
      <c r="M1005" s="26" t="n">
        <v>0.9222</v>
      </c>
    </row>
    <row r="1006" ht="16" customHeight="1">
      <c r="A1006" t="inlineStr">
        <is>
          <t>07-May-2026</t>
        </is>
      </c>
      <c r="B1006" t="inlineStr">
        <is>
          <t>Thursday</t>
        </is>
      </c>
      <c r="C1006" t="inlineStr">
        <is>
          <t>Week1-May-2026</t>
        </is>
      </c>
      <c r="D1006" s="78" t="n">
        <v>46143</v>
      </c>
      <c r="E1006" t="inlineStr">
        <is>
          <t>Q1FY27</t>
        </is>
      </c>
      <c r="F1006" t="inlineStr">
        <is>
          <t>28-Jul-2026</t>
        </is>
      </c>
      <c r="G1006" t="inlineStr">
        <is>
          <t>Tuesday</t>
        </is>
      </c>
      <c r="H1006" t="inlineStr">
        <is>
          <t>Monthly - Tuesday</t>
        </is>
      </c>
      <c r="I1006" t="inlineStr">
        <is>
          <t>Monthly - Tuesday</t>
        </is>
      </c>
      <c r="J1006" t="inlineStr">
        <is>
          <t>Month+2 Expiry</t>
        </is>
      </c>
      <c r="K1006" s="25" t="n">
        <v>2085</v>
      </c>
      <c r="L1006" s="26" t="n">
        <v>3.5055</v>
      </c>
      <c r="M1006" s="26" t="n">
        <v>0.0718</v>
      </c>
    </row>
    <row r="1007" ht="16" customHeight="1">
      <c r="A1007" t="inlineStr">
        <is>
          <t>07-May-2026</t>
        </is>
      </c>
      <c r="B1007" t="inlineStr">
        <is>
          <t>Thursday</t>
        </is>
      </c>
      <c r="C1007" t="inlineStr">
        <is>
          <t>Week1-May-2026</t>
        </is>
      </c>
      <c r="D1007" s="78" t="n">
        <v>46143</v>
      </c>
      <c r="E1007" t="inlineStr">
        <is>
          <t>Q1FY27</t>
        </is>
      </c>
      <c r="F1007" t="inlineStr">
        <is>
          <t>29-Sep-2026</t>
        </is>
      </c>
      <c r="G1007" t="inlineStr">
        <is>
          <t>Tuesday</t>
        </is>
      </c>
      <c r="H1007" t="inlineStr">
        <is>
          <t>Monthly - Tuesday</t>
        </is>
      </c>
      <c r="I1007" t="inlineStr">
        <is>
          <t>Monthly - Tuesday</t>
        </is>
      </c>
      <c r="J1007" t="inlineStr">
        <is>
          <t>Month+4 Expiry</t>
        </is>
      </c>
      <c r="K1007" s="25" t="n">
        <v>340</v>
      </c>
      <c r="L1007" s="26" t="n">
        <v>0.5941</v>
      </c>
      <c r="M1007" s="26" t="n">
        <v>0.0122</v>
      </c>
    </row>
    <row r="1008" ht="16" customHeight="1">
      <c r="A1008" t="inlineStr">
        <is>
          <t>07-May-2026</t>
        </is>
      </c>
      <c r="B1008" t="inlineStr">
        <is>
          <t>Thursday</t>
        </is>
      </c>
      <c r="C1008" t="inlineStr">
        <is>
          <t>Week1-May-2026</t>
        </is>
      </c>
      <c r="D1008" s="78" t="n">
        <v>46143</v>
      </c>
      <c r="E1008" t="inlineStr">
        <is>
          <t>Q1FY27</t>
        </is>
      </c>
      <c r="F1008" t="inlineStr">
        <is>
          <t>29-Dec-2026</t>
        </is>
      </c>
      <c r="G1008" t="inlineStr">
        <is>
          <t>Tuesday</t>
        </is>
      </c>
      <c r="H1008" t="inlineStr">
        <is>
          <t>Monthly - Tuesday</t>
        </is>
      </c>
      <c r="I1008" t="inlineStr">
        <is>
          <t>Monthly - Tuesday</t>
        </is>
      </c>
      <c r="J1008" t="inlineStr">
        <is>
          <t>Month+7 Expiry</t>
        </is>
      </c>
      <c r="K1008" s="25" t="n">
        <v>30</v>
      </c>
      <c r="L1008" s="26" t="n">
        <v>0.0414</v>
      </c>
      <c r="M1008" s="26" t="n">
        <v>0.0004</v>
      </c>
    </row>
    <row r="1009" ht="16" customHeight="1">
      <c r="A1009" t="inlineStr">
        <is>
          <t>07-May-2026</t>
        </is>
      </c>
      <c r="B1009" t="inlineStr">
        <is>
          <t>Thursday</t>
        </is>
      </c>
      <c r="C1009" t="inlineStr">
        <is>
          <t>Week1-May-2026</t>
        </is>
      </c>
      <c r="D1009" s="78" t="n">
        <v>46143</v>
      </c>
      <c r="E1009" t="inlineStr">
        <is>
          <t>Q1FY27</t>
        </is>
      </c>
      <c r="F1009" t="inlineStr">
        <is>
          <t>30-Mar-2027</t>
        </is>
      </c>
      <c r="G1009" t="inlineStr">
        <is>
          <t>Tuesday</t>
        </is>
      </c>
      <c r="H1009" t="inlineStr">
        <is>
          <t>Monthly - Tuesday</t>
        </is>
      </c>
      <c r="I1009" t="inlineStr">
        <is>
          <t>Monthly - Tuesday</t>
        </is>
      </c>
      <c r="J1009" t="inlineStr">
        <is>
          <t>Month+10 Expiry</t>
        </is>
      </c>
      <c r="K1009" s="25" t="n">
        <v>0</v>
      </c>
      <c r="L1009" s="26" t="n">
        <v>0</v>
      </c>
      <c r="M1009" s="26" t="n">
        <v>0</v>
      </c>
    </row>
    <row r="1010" ht="16" customHeight="1">
      <c r="A1010" t="inlineStr">
        <is>
          <t>08-May-2026</t>
        </is>
      </c>
      <c r="B1010" t="inlineStr">
        <is>
          <t>Friday</t>
        </is>
      </c>
      <c r="C1010" t="inlineStr">
        <is>
          <t>Week2-May-2026</t>
        </is>
      </c>
      <c r="D1010" s="78" t="n">
        <v>46143</v>
      </c>
      <c r="E1010" t="inlineStr">
        <is>
          <t>Q1FY27</t>
        </is>
      </c>
      <c r="F1010" t="inlineStr">
        <is>
          <t>26-May-2026</t>
        </is>
      </c>
      <c r="G1010" t="inlineStr">
        <is>
          <t>Tuesday</t>
        </is>
      </c>
      <c r="H1010" t="inlineStr">
        <is>
          <t>Monthly - Tuesday</t>
        </is>
      </c>
      <c r="I1010" t="inlineStr">
        <is>
          <t>Monthly - Tuesday</t>
        </is>
      </c>
      <c r="J1010" t="inlineStr">
        <is>
          <t>Same Month Expiry</t>
        </is>
      </c>
      <c r="K1010" s="25" t="n">
        <v>2286129</v>
      </c>
      <c r="L1010" s="26" t="n">
        <v>3860.5966</v>
      </c>
      <c r="M1010" s="26" t="n">
        <v>38.7298</v>
      </c>
    </row>
    <row r="1011" ht="16" customHeight="1">
      <c r="A1011" t="inlineStr">
        <is>
          <t>08-May-2026</t>
        </is>
      </c>
      <c r="B1011" t="inlineStr">
        <is>
          <t>Friday</t>
        </is>
      </c>
      <c r="C1011" t="inlineStr">
        <is>
          <t>Week2-May-2026</t>
        </is>
      </c>
      <c r="D1011" s="78" t="n">
        <v>46143</v>
      </c>
      <c r="E1011" t="inlineStr">
        <is>
          <t>Q1FY27</t>
        </is>
      </c>
      <c r="F1011" t="inlineStr">
        <is>
          <t>30-Jun-2026</t>
        </is>
      </c>
      <c r="G1011" t="inlineStr">
        <is>
          <t>Tuesday</t>
        </is>
      </c>
      <c r="H1011" t="inlineStr">
        <is>
          <t>Monthly - Tuesday</t>
        </is>
      </c>
      <c r="I1011" t="inlineStr">
        <is>
          <t>Monthly - Tuesday</t>
        </is>
      </c>
      <c r="J1011" t="inlineStr">
        <is>
          <t>Month+1 Expiry</t>
        </is>
      </c>
      <c r="K1011" s="25" t="n">
        <v>41757</v>
      </c>
      <c r="L1011" s="26" t="n">
        <v>70.85809999999999</v>
      </c>
      <c r="M1011" s="26" t="n">
        <v>0.9257</v>
      </c>
    </row>
    <row r="1012" ht="16" customHeight="1">
      <c r="A1012" t="inlineStr">
        <is>
          <t>08-May-2026</t>
        </is>
      </c>
      <c r="B1012" t="inlineStr">
        <is>
          <t>Friday</t>
        </is>
      </c>
      <c r="C1012" t="inlineStr">
        <is>
          <t>Week2-May-2026</t>
        </is>
      </c>
      <c r="D1012" s="78" t="n">
        <v>46143</v>
      </c>
      <c r="E1012" t="inlineStr">
        <is>
          <t>Q1FY27</t>
        </is>
      </c>
      <c r="F1012" t="inlineStr">
        <is>
          <t>28-Jul-2026</t>
        </is>
      </c>
      <c r="G1012" t="inlineStr">
        <is>
          <t>Tuesday</t>
        </is>
      </c>
      <c r="H1012" t="inlineStr">
        <is>
          <t>Monthly - Tuesday</t>
        </is>
      </c>
      <c r="I1012" t="inlineStr">
        <is>
          <t>Monthly - Tuesday</t>
        </is>
      </c>
      <c r="J1012" t="inlineStr">
        <is>
          <t>Month+2 Expiry</t>
        </is>
      </c>
      <c r="K1012" s="25" t="n">
        <v>3861</v>
      </c>
      <c r="L1012" s="26" t="n">
        <v>6.6362</v>
      </c>
      <c r="M1012" s="26" t="n">
        <v>0.153</v>
      </c>
    </row>
    <row r="1013" ht="16" customHeight="1">
      <c r="A1013" t="inlineStr">
        <is>
          <t>08-May-2026</t>
        </is>
      </c>
      <c r="B1013" t="inlineStr">
        <is>
          <t>Friday</t>
        </is>
      </c>
      <c r="C1013" t="inlineStr">
        <is>
          <t>Week2-May-2026</t>
        </is>
      </c>
      <c r="D1013" s="78" t="n">
        <v>46143</v>
      </c>
      <c r="E1013" t="inlineStr">
        <is>
          <t>Q1FY27</t>
        </is>
      </c>
      <c r="F1013" t="inlineStr">
        <is>
          <t>29-Sep-2026</t>
        </is>
      </c>
      <c r="G1013" t="inlineStr">
        <is>
          <t>Tuesday</t>
        </is>
      </c>
      <c r="H1013" t="inlineStr">
        <is>
          <t>Monthly - Tuesday</t>
        </is>
      </c>
      <c r="I1013" t="inlineStr">
        <is>
          <t>Monthly - Tuesday</t>
        </is>
      </c>
      <c r="J1013" t="inlineStr">
        <is>
          <t>Month+4 Expiry</t>
        </is>
      </c>
      <c r="K1013" s="25" t="n">
        <v>260</v>
      </c>
      <c r="L1013" s="26" t="n">
        <v>0.4532</v>
      </c>
      <c r="M1013" s="26" t="n">
        <v>0.0098</v>
      </c>
    </row>
    <row r="1014" ht="16" customHeight="1">
      <c r="A1014" t="inlineStr">
        <is>
          <t>08-May-2026</t>
        </is>
      </c>
      <c r="B1014" t="inlineStr">
        <is>
          <t>Friday</t>
        </is>
      </c>
      <c r="C1014" t="inlineStr">
        <is>
          <t>Week2-May-2026</t>
        </is>
      </c>
      <c r="D1014" s="78" t="n">
        <v>46143</v>
      </c>
      <c r="E1014" t="inlineStr">
        <is>
          <t>Q1FY27</t>
        </is>
      </c>
      <c r="F1014" t="inlineStr">
        <is>
          <t>29-Dec-2026</t>
        </is>
      </c>
      <c r="G1014" t="inlineStr">
        <is>
          <t>Tuesday</t>
        </is>
      </c>
      <c r="H1014" t="inlineStr">
        <is>
          <t>Monthly - Tuesday</t>
        </is>
      </c>
      <c r="I1014" t="inlineStr">
        <is>
          <t>Monthly - Tuesday</t>
        </is>
      </c>
      <c r="J1014" t="inlineStr">
        <is>
          <t>Month+7 Expiry</t>
        </is>
      </c>
      <c r="K1014" s="25" t="n">
        <v>19</v>
      </c>
      <c r="L1014" s="26" t="n">
        <v>0.0258</v>
      </c>
      <c r="M1014" s="26" t="n">
        <v>0.0002</v>
      </c>
    </row>
    <row r="1015" ht="16" customHeight="1">
      <c r="A1015" t="inlineStr">
        <is>
          <t>08-May-2026</t>
        </is>
      </c>
      <c r="B1015" t="inlineStr">
        <is>
          <t>Friday</t>
        </is>
      </c>
      <c r="C1015" t="inlineStr">
        <is>
          <t>Week2-May-2026</t>
        </is>
      </c>
      <c r="D1015" s="78" t="n">
        <v>46143</v>
      </c>
      <c r="E1015" t="inlineStr">
        <is>
          <t>Q1FY27</t>
        </is>
      </c>
      <c r="F1015" t="inlineStr">
        <is>
          <t>30-Mar-2027</t>
        </is>
      </c>
      <c r="G1015" t="inlineStr">
        <is>
          <t>Tuesday</t>
        </is>
      </c>
      <c r="H1015" t="inlineStr">
        <is>
          <t>Monthly - Tuesday</t>
        </is>
      </c>
      <c r="I1015" t="inlineStr">
        <is>
          <t>Monthly - Tuesday</t>
        </is>
      </c>
      <c r="J1015" t="inlineStr">
        <is>
          <t>Month+10 Expiry</t>
        </is>
      </c>
      <c r="K1015" s="25" t="n">
        <v>0</v>
      </c>
      <c r="L1015" s="26" t="n">
        <v>0</v>
      </c>
      <c r="M1015" s="26" t="n">
        <v>0</v>
      </c>
    </row>
    <row r="1016" ht="16" customHeight="1">
      <c r="A1016" t="inlineStr">
        <is>
          <t>11-May-2026</t>
        </is>
      </c>
      <c r="B1016" t="inlineStr">
        <is>
          <t>Monday</t>
        </is>
      </c>
      <c r="C1016" t="inlineStr">
        <is>
          <t>Week2-May-2026</t>
        </is>
      </c>
      <c r="D1016" s="78" t="n">
        <v>46143</v>
      </c>
      <c r="E1016" t="inlineStr">
        <is>
          <t>Q1FY27</t>
        </is>
      </c>
      <c r="F1016" t="inlineStr">
        <is>
          <t>26-May-2026</t>
        </is>
      </c>
      <c r="G1016" t="inlineStr">
        <is>
          <t>Tuesday</t>
        </is>
      </c>
      <c r="H1016" t="inlineStr">
        <is>
          <t>Monthly - Tuesday</t>
        </is>
      </c>
      <c r="I1016" t="inlineStr">
        <is>
          <t>Monthly - Tuesday</t>
        </is>
      </c>
      <c r="J1016" t="inlineStr">
        <is>
          <t>Same Month Expiry</t>
        </is>
      </c>
      <c r="K1016" s="25" t="n">
        <v>2634472</v>
      </c>
      <c r="L1016" s="26" t="n">
        <v>4413.5415</v>
      </c>
      <c r="M1016" s="26" t="n">
        <v>43.338</v>
      </c>
    </row>
    <row r="1017" ht="16" customHeight="1">
      <c r="A1017" t="inlineStr">
        <is>
          <t>11-May-2026</t>
        </is>
      </c>
      <c r="B1017" t="inlineStr">
        <is>
          <t>Monday</t>
        </is>
      </c>
      <c r="C1017" t="inlineStr">
        <is>
          <t>Week2-May-2026</t>
        </is>
      </c>
      <c r="D1017" s="78" t="n">
        <v>46143</v>
      </c>
      <c r="E1017" t="inlineStr">
        <is>
          <t>Q1FY27</t>
        </is>
      </c>
      <c r="F1017" t="inlineStr">
        <is>
          <t>30-Jun-2026</t>
        </is>
      </c>
      <c r="G1017" t="inlineStr">
        <is>
          <t>Tuesday</t>
        </is>
      </c>
      <c r="H1017" t="inlineStr">
        <is>
          <t>Monthly - Tuesday</t>
        </is>
      </c>
      <c r="I1017" t="inlineStr">
        <is>
          <t>Monthly - Tuesday</t>
        </is>
      </c>
      <c r="J1017" t="inlineStr">
        <is>
          <t>Month+1 Expiry</t>
        </is>
      </c>
      <c r="K1017" s="25" t="n">
        <v>64400</v>
      </c>
      <c r="L1017" s="26" t="n">
        <v>110.3122</v>
      </c>
      <c r="M1017" s="26" t="n">
        <v>1.4211</v>
      </c>
    </row>
    <row r="1018" ht="16" customHeight="1">
      <c r="A1018" t="inlineStr">
        <is>
          <t>11-May-2026</t>
        </is>
      </c>
      <c r="B1018" t="inlineStr">
        <is>
          <t>Monday</t>
        </is>
      </c>
      <c r="C1018" t="inlineStr">
        <is>
          <t>Week2-May-2026</t>
        </is>
      </c>
      <c r="D1018" s="78" t="n">
        <v>46143</v>
      </c>
      <c r="E1018" t="inlineStr">
        <is>
          <t>Q1FY27</t>
        </is>
      </c>
      <c r="F1018" t="inlineStr">
        <is>
          <t>28-Jul-2026</t>
        </is>
      </c>
      <c r="G1018" t="inlineStr">
        <is>
          <t>Tuesday</t>
        </is>
      </c>
      <c r="H1018" t="inlineStr">
        <is>
          <t>Monthly - Tuesday</t>
        </is>
      </c>
      <c r="I1018" t="inlineStr">
        <is>
          <t>Monthly - Tuesday</t>
        </is>
      </c>
      <c r="J1018" t="inlineStr">
        <is>
          <t>Month+2 Expiry</t>
        </is>
      </c>
      <c r="K1018" s="25" t="n">
        <v>4072</v>
      </c>
      <c r="L1018" s="26" t="n">
        <v>6.941</v>
      </c>
      <c r="M1018" s="26" t="n">
        <v>0.1557</v>
      </c>
    </row>
    <row r="1019" ht="16" customHeight="1">
      <c r="A1019" t="inlineStr">
        <is>
          <t>11-May-2026</t>
        </is>
      </c>
      <c r="B1019" t="inlineStr">
        <is>
          <t>Monday</t>
        </is>
      </c>
      <c r="C1019" t="inlineStr">
        <is>
          <t>Week2-May-2026</t>
        </is>
      </c>
      <c r="D1019" s="78" t="n">
        <v>46143</v>
      </c>
      <c r="E1019" t="inlineStr">
        <is>
          <t>Q1FY27</t>
        </is>
      </c>
      <c r="F1019" t="inlineStr">
        <is>
          <t>29-Sep-2026</t>
        </is>
      </c>
      <c r="G1019" t="inlineStr">
        <is>
          <t>Tuesday</t>
        </is>
      </c>
      <c r="H1019" t="inlineStr">
        <is>
          <t>Monthly - Tuesday</t>
        </is>
      </c>
      <c r="I1019" t="inlineStr">
        <is>
          <t>Monthly - Tuesday</t>
        </is>
      </c>
      <c r="J1019" t="inlineStr">
        <is>
          <t>Month+4 Expiry</t>
        </is>
      </c>
      <c r="K1019" s="25" t="n">
        <v>443</v>
      </c>
      <c r="L1019" s="26" t="n">
        <v>0.7634</v>
      </c>
      <c r="M1019" s="26" t="n">
        <v>0.0147</v>
      </c>
    </row>
    <row r="1020" ht="16" customHeight="1">
      <c r="A1020" t="inlineStr">
        <is>
          <t>11-May-2026</t>
        </is>
      </c>
      <c r="B1020" t="inlineStr">
        <is>
          <t>Monday</t>
        </is>
      </c>
      <c r="C1020" t="inlineStr">
        <is>
          <t>Week2-May-2026</t>
        </is>
      </c>
      <c r="D1020" s="78" t="n">
        <v>46143</v>
      </c>
      <c r="E1020" t="inlineStr">
        <is>
          <t>Q1FY27</t>
        </is>
      </c>
      <c r="F1020" t="inlineStr">
        <is>
          <t>29-Dec-2026</t>
        </is>
      </c>
      <c r="G1020" t="inlineStr">
        <is>
          <t>Tuesday</t>
        </is>
      </c>
      <c r="H1020" t="inlineStr">
        <is>
          <t>Monthly - Tuesday</t>
        </is>
      </c>
      <c r="I1020" t="inlineStr">
        <is>
          <t>Monthly - Tuesday</t>
        </is>
      </c>
      <c r="J1020" t="inlineStr">
        <is>
          <t>Month+7 Expiry</t>
        </is>
      </c>
      <c r="K1020" s="25" t="n">
        <v>0</v>
      </c>
      <c r="L1020" s="26" t="n">
        <v>0</v>
      </c>
      <c r="M1020" s="26" t="n">
        <v>0</v>
      </c>
    </row>
    <row r="1021" ht="16" customHeight="1">
      <c r="A1021" t="inlineStr">
        <is>
          <t>11-May-2026</t>
        </is>
      </c>
      <c r="B1021" t="inlineStr">
        <is>
          <t>Monday</t>
        </is>
      </c>
      <c r="C1021" t="inlineStr">
        <is>
          <t>Week2-May-2026</t>
        </is>
      </c>
      <c r="D1021" s="78" t="n">
        <v>46143</v>
      </c>
      <c r="E1021" t="inlineStr">
        <is>
          <t>Q1FY27</t>
        </is>
      </c>
      <c r="F1021" t="inlineStr">
        <is>
          <t>30-Mar-2027</t>
        </is>
      </c>
      <c r="G1021" t="inlineStr">
        <is>
          <t>Tuesday</t>
        </is>
      </c>
      <c r="H1021" t="inlineStr">
        <is>
          <t>Monthly - Tuesday</t>
        </is>
      </c>
      <c r="I1021" t="inlineStr">
        <is>
          <t>Monthly - Tuesday</t>
        </is>
      </c>
      <c r="J1021" t="inlineStr">
        <is>
          <t>Month+10 Expiry</t>
        </is>
      </c>
      <c r="K1021" s="25" t="n">
        <v>0</v>
      </c>
      <c r="L1021" s="26" t="n">
        <v>0</v>
      </c>
      <c r="M1021" s="26" t="n">
        <v>0</v>
      </c>
    </row>
    <row r="1022" ht="16" customHeight="1">
      <c r="A1022" t="inlineStr">
        <is>
          <t>12-May-2026</t>
        </is>
      </c>
      <c r="B1022" t="inlineStr">
        <is>
          <t>Tuesday</t>
        </is>
      </c>
      <c r="C1022" t="inlineStr">
        <is>
          <t>Week2-May-2026</t>
        </is>
      </c>
      <c r="D1022" s="78" t="n">
        <v>46143</v>
      </c>
      <c r="E1022" t="inlineStr">
        <is>
          <t>Q1FY27</t>
        </is>
      </c>
      <c r="F1022" t="inlineStr">
        <is>
          <t>26-May-2026</t>
        </is>
      </c>
      <c r="G1022" t="inlineStr">
        <is>
          <t>Tuesday</t>
        </is>
      </c>
      <c r="H1022" t="inlineStr">
        <is>
          <t>Monthly - Tuesday</t>
        </is>
      </c>
      <c r="I1022" t="inlineStr">
        <is>
          <t>Monthly - Tuesday</t>
        </is>
      </c>
      <c r="J1022" t="inlineStr">
        <is>
          <t>Same Month Expiry</t>
        </is>
      </c>
      <c r="K1022" s="25" t="n">
        <v>2490093</v>
      </c>
      <c r="L1022" s="26" t="n">
        <v>4137.5951</v>
      </c>
      <c r="M1022" s="26" t="n">
        <v>41.0856</v>
      </c>
    </row>
    <row r="1023" ht="16" customHeight="1">
      <c r="A1023" t="inlineStr">
        <is>
          <t>12-May-2026</t>
        </is>
      </c>
      <c r="B1023" t="inlineStr">
        <is>
          <t>Tuesday</t>
        </is>
      </c>
      <c r="C1023" t="inlineStr">
        <is>
          <t>Week2-May-2026</t>
        </is>
      </c>
      <c r="D1023" s="78" t="n">
        <v>46143</v>
      </c>
      <c r="E1023" t="inlineStr">
        <is>
          <t>Q1FY27</t>
        </is>
      </c>
      <c r="F1023" t="inlineStr">
        <is>
          <t>30-Jun-2026</t>
        </is>
      </c>
      <c r="G1023" t="inlineStr">
        <is>
          <t>Tuesday</t>
        </is>
      </c>
      <c r="H1023" t="inlineStr">
        <is>
          <t>Monthly - Tuesday</t>
        </is>
      </c>
      <c r="I1023" t="inlineStr">
        <is>
          <t>Monthly - Tuesday</t>
        </is>
      </c>
      <c r="J1023" t="inlineStr">
        <is>
          <t>Month+1 Expiry</t>
        </is>
      </c>
      <c r="K1023" s="25" t="n">
        <v>73595</v>
      </c>
      <c r="L1023" s="26" t="n">
        <v>124.1664</v>
      </c>
      <c r="M1023" s="26" t="n">
        <v>1.8205</v>
      </c>
    </row>
    <row r="1024" ht="16" customHeight="1">
      <c r="A1024" t="inlineStr">
        <is>
          <t>12-May-2026</t>
        </is>
      </c>
      <c r="B1024" t="inlineStr">
        <is>
          <t>Tuesday</t>
        </is>
      </c>
      <c r="C1024" t="inlineStr">
        <is>
          <t>Week2-May-2026</t>
        </is>
      </c>
      <c r="D1024" s="78" t="n">
        <v>46143</v>
      </c>
      <c r="E1024" t="inlineStr">
        <is>
          <t>Q1FY27</t>
        </is>
      </c>
      <c r="F1024" t="inlineStr">
        <is>
          <t>28-Jul-2026</t>
        </is>
      </c>
      <c r="G1024" t="inlineStr">
        <is>
          <t>Tuesday</t>
        </is>
      </c>
      <c r="H1024" t="inlineStr">
        <is>
          <t>Monthly - Tuesday</t>
        </is>
      </c>
      <c r="I1024" t="inlineStr">
        <is>
          <t>Monthly - Tuesday</t>
        </is>
      </c>
      <c r="J1024" t="inlineStr">
        <is>
          <t>Month+2 Expiry</t>
        </is>
      </c>
      <c r="K1024" s="25" t="n">
        <v>5661</v>
      </c>
      <c r="L1024" s="26" t="n">
        <v>9.493499999999999</v>
      </c>
      <c r="M1024" s="26" t="n">
        <v>0.2291</v>
      </c>
    </row>
    <row r="1025" ht="16" customHeight="1">
      <c r="A1025" t="inlineStr">
        <is>
          <t>12-May-2026</t>
        </is>
      </c>
      <c r="B1025" t="inlineStr">
        <is>
          <t>Tuesday</t>
        </is>
      </c>
      <c r="C1025" t="inlineStr">
        <is>
          <t>Week2-May-2026</t>
        </is>
      </c>
      <c r="D1025" s="78" t="n">
        <v>46143</v>
      </c>
      <c r="E1025" t="inlineStr">
        <is>
          <t>Q1FY27</t>
        </is>
      </c>
      <c r="F1025" t="inlineStr">
        <is>
          <t>29-Sep-2026</t>
        </is>
      </c>
      <c r="G1025" t="inlineStr">
        <is>
          <t>Tuesday</t>
        </is>
      </c>
      <c r="H1025" t="inlineStr">
        <is>
          <t>Monthly - Tuesday</t>
        </is>
      </c>
      <c r="I1025" t="inlineStr">
        <is>
          <t>Monthly - Tuesday</t>
        </is>
      </c>
      <c r="J1025" t="inlineStr">
        <is>
          <t>Month+4 Expiry</t>
        </is>
      </c>
      <c r="K1025" s="25" t="n">
        <v>493</v>
      </c>
      <c r="L1025" s="26" t="n">
        <v>0.854</v>
      </c>
      <c r="M1025" s="26" t="n">
        <v>0.0181</v>
      </c>
    </row>
    <row r="1026" ht="16" customHeight="1">
      <c r="A1026" t="inlineStr">
        <is>
          <t>12-May-2026</t>
        </is>
      </c>
      <c r="B1026" t="inlineStr">
        <is>
          <t>Tuesday</t>
        </is>
      </c>
      <c r="C1026" t="inlineStr">
        <is>
          <t>Week2-May-2026</t>
        </is>
      </c>
      <c r="D1026" s="78" t="n">
        <v>46143</v>
      </c>
      <c r="E1026" t="inlineStr">
        <is>
          <t>Q1FY27</t>
        </is>
      </c>
      <c r="F1026" t="inlineStr">
        <is>
          <t>29-Dec-2026</t>
        </is>
      </c>
      <c r="G1026" t="inlineStr">
        <is>
          <t>Tuesday</t>
        </is>
      </c>
      <c r="H1026" t="inlineStr">
        <is>
          <t>Monthly - Tuesday</t>
        </is>
      </c>
      <c r="I1026" t="inlineStr">
        <is>
          <t>Monthly - Tuesday</t>
        </is>
      </c>
      <c r="J1026" t="inlineStr">
        <is>
          <t>Month+7 Expiry</t>
        </is>
      </c>
      <c r="K1026" s="25" t="n">
        <v>1</v>
      </c>
      <c r="L1026" s="26" t="n">
        <v>0.0015</v>
      </c>
      <c r="M1026" s="26" t="n">
        <v>0</v>
      </c>
    </row>
    <row r="1027" ht="16" customHeight="1">
      <c r="A1027" t="inlineStr">
        <is>
          <t>12-May-2026</t>
        </is>
      </c>
      <c r="B1027" t="inlineStr">
        <is>
          <t>Tuesday</t>
        </is>
      </c>
      <c r="C1027" t="inlineStr">
        <is>
          <t>Week2-May-2026</t>
        </is>
      </c>
      <c r="D1027" s="78" t="n">
        <v>46143</v>
      </c>
      <c r="E1027" t="inlineStr">
        <is>
          <t>Q1FY27</t>
        </is>
      </c>
      <c r="F1027" t="inlineStr">
        <is>
          <t>30-Mar-2027</t>
        </is>
      </c>
      <c r="G1027" t="inlineStr">
        <is>
          <t>Tuesday</t>
        </is>
      </c>
      <c r="H1027" t="inlineStr">
        <is>
          <t>Monthly - Tuesday</t>
        </is>
      </c>
      <c r="I1027" t="inlineStr">
        <is>
          <t>Monthly - Tuesday</t>
        </is>
      </c>
      <c r="J1027" t="inlineStr">
        <is>
          <t>Month+10 Expiry</t>
        </is>
      </c>
      <c r="K1027" s="25" t="n">
        <v>0</v>
      </c>
      <c r="L1027" s="26" t="n">
        <v>0</v>
      </c>
      <c r="M1027" s="26" t="n">
        <v>0</v>
      </c>
    </row>
    <row r="1028" ht="16" customHeight="1">
      <c r="A1028" t="inlineStr">
        <is>
          <t>13-May-2026</t>
        </is>
      </c>
      <c r="B1028" t="inlineStr">
        <is>
          <t>Wednesday</t>
        </is>
      </c>
      <c r="C1028" t="inlineStr">
        <is>
          <t>Week2-May-2026</t>
        </is>
      </c>
      <c r="D1028" s="78" t="n">
        <v>46143</v>
      </c>
      <c r="E1028" t="inlineStr">
        <is>
          <t>Q1FY27</t>
        </is>
      </c>
      <c r="F1028" t="inlineStr">
        <is>
          <t>26-May-2026</t>
        </is>
      </c>
      <c r="G1028" t="inlineStr">
        <is>
          <t>Tuesday</t>
        </is>
      </c>
      <c r="H1028" t="inlineStr">
        <is>
          <t>Monthly - Tuesday</t>
        </is>
      </c>
      <c r="I1028" t="inlineStr">
        <is>
          <t>Monthly - Tuesday</t>
        </is>
      </c>
      <c r="J1028" t="inlineStr">
        <is>
          <t>Same Month Expiry</t>
        </is>
      </c>
      <c r="K1028" s="25" t="n">
        <v>2989323</v>
      </c>
      <c r="L1028" s="26" t="n">
        <v>4928.5698</v>
      </c>
      <c r="M1028" s="26" t="n">
        <v>49.6001</v>
      </c>
    </row>
    <row r="1029" ht="16" customHeight="1">
      <c r="A1029" t="inlineStr">
        <is>
          <t>13-May-2026</t>
        </is>
      </c>
      <c r="B1029" t="inlineStr">
        <is>
          <t>Wednesday</t>
        </is>
      </c>
      <c r="C1029" t="inlineStr">
        <is>
          <t>Week2-May-2026</t>
        </is>
      </c>
      <c r="D1029" s="78" t="n">
        <v>46143</v>
      </c>
      <c r="E1029" t="inlineStr">
        <is>
          <t>Q1FY27</t>
        </is>
      </c>
      <c r="F1029" t="inlineStr">
        <is>
          <t>30-Jun-2026</t>
        </is>
      </c>
      <c r="G1029" t="inlineStr">
        <is>
          <t>Tuesday</t>
        </is>
      </c>
      <c r="H1029" t="inlineStr">
        <is>
          <t>Monthly - Tuesday</t>
        </is>
      </c>
      <c r="I1029" t="inlineStr">
        <is>
          <t>Monthly - Tuesday</t>
        </is>
      </c>
      <c r="J1029" t="inlineStr">
        <is>
          <t>Month+1 Expiry</t>
        </is>
      </c>
      <c r="K1029" s="25" t="n">
        <v>79357</v>
      </c>
      <c r="L1029" s="26" t="n">
        <v>134.4018</v>
      </c>
      <c r="M1029" s="26" t="n">
        <v>1.9887</v>
      </c>
    </row>
    <row r="1030" ht="16" customHeight="1">
      <c r="A1030" t="inlineStr">
        <is>
          <t>13-May-2026</t>
        </is>
      </c>
      <c r="B1030" t="inlineStr">
        <is>
          <t>Wednesday</t>
        </is>
      </c>
      <c r="C1030" t="inlineStr">
        <is>
          <t>Week2-May-2026</t>
        </is>
      </c>
      <c r="D1030" s="78" t="n">
        <v>46143</v>
      </c>
      <c r="E1030" t="inlineStr">
        <is>
          <t>Q1FY27</t>
        </is>
      </c>
      <c r="F1030" t="inlineStr">
        <is>
          <t>28-Jul-2026</t>
        </is>
      </c>
      <c r="G1030" t="inlineStr">
        <is>
          <t>Tuesday</t>
        </is>
      </c>
      <c r="H1030" t="inlineStr">
        <is>
          <t>Monthly - Tuesday</t>
        </is>
      </c>
      <c r="I1030" t="inlineStr">
        <is>
          <t>Monthly - Tuesday</t>
        </is>
      </c>
      <c r="J1030" t="inlineStr">
        <is>
          <t>Month+2 Expiry</t>
        </is>
      </c>
      <c r="K1030" s="25" t="n">
        <v>4106</v>
      </c>
      <c r="L1030" s="26" t="n">
        <v>6.9549</v>
      </c>
      <c r="M1030" s="26" t="n">
        <v>0.1749</v>
      </c>
    </row>
    <row r="1031" ht="16" customHeight="1">
      <c r="A1031" t="inlineStr">
        <is>
          <t>13-May-2026</t>
        </is>
      </c>
      <c r="B1031" t="inlineStr">
        <is>
          <t>Wednesday</t>
        </is>
      </c>
      <c r="C1031" t="inlineStr">
        <is>
          <t>Week2-May-2026</t>
        </is>
      </c>
      <c r="D1031" s="78" t="n">
        <v>46143</v>
      </c>
      <c r="E1031" t="inlineStr">
        <is>
          <t>Q1FY27</t>
        </is>
      </c>
      <c r="F1031" t="inlineStr">
        <is>
          <t>29-Sep-2026</t>
        </is>
      </c>
      <c r="G1031" t="inlineStr">
        <is>
          <t>Tuesday</t>
        </is>
      </c>
      <c r="H1031" t="inlineStr">
        <is>
          <t>Monthly - Tuesday</t>
        </is>
      </c>
      <c r="I1031" t="inlineStr">
        <is>
          <t>Monthly - Tuesday</t>
        </is>
      </c>
      <c r="J1031" t="inlineStr">
        <is>
          <t>Month+4 Expiry</t>
        </is>
      </c>
      <c r="K1031" s="25" t="n">
        <v>394</v>
      </c>
      <c r="L1031" s="26" t="n">
        <v>0.6775</v>
      </c>
      <c r="M1031" s="26" t="n">
        <v>0.0133</v>
      </c>
    </row>
    <row r="1032" ht="16" customHeight="1">
      <c r="A1032" t="inlineStr">
        <is>
          <t>13-May-2026</t>
        </is>
      </c>
      <c r="B1032" t="inlineStr">
        <is>
          <t>Wednesday</t>
        </is>
      </c>
      <c r="C1032" t="inlineStr">
        <is>
          <t>Week2-May-2026</t>
        </is>
      </c>
      <c r="D1032" s="78" t="n">
        <v>46143</v>
      </c>
      <c r="E1032" t="inlineStr">
        <is>
          <t>Q1FY27</t>
        </is>
      </c>
      <c r="F1032" t="inlineStr">
        <is>
          <t>29-Dec-2026</t>
        </is>
      </c>
      <c r="G1032" t="inlineStr">
        <is>
          <t>Tuesday</t>
        </is>
      </c>
      <c r="H1032" t="inlineStr">
        <is>
          <t>Monthly - Tuesday</t>
        </is>
      </c>
      <c r="I1032" t="inlineStr">
        <is>
          <t>Monthly - Tuesday</t>
        </is>
      </c>
      <c r="J1032" t="inlineStr">
        <is>
          <t>Month+7 Expiry</t>
        </is>
      </c>
      <c r="K1032" s="25" t="n">
        <v>1</v>
      </c>
      <c r="L1032" s="26" t="n">
        <v>0.0015</v>
      </c>
      <c r="M1032" s="26" t="n">
        <v>0</v>
      </c>
    </row>
    <row r="1033" ht="16" customHeight="1">
      <c r="A1033" t="inlineStr">
        <is>
          <t>13-May-2026</t>
        </is>
      </c>
      <c r="B1033" t="inlineStr">
        <is>
          <t>Wednesday</t>
        </is>
      </c>
      <c r="C1033" t="inlineStr">
        <is>
          <t>Week2-May-2026</t>
        </is>
      </c>
      <c r="D1033" s="78" t="n">
        <v>46143</v>
      </c>
      <c r="E1033" t="inlineStr">
        <is>
          <t>Q1FY27</t>
        </is>
      </c>
      <c r="F1033" t="inlineStr">
        <is>
          <t>30-Mar-2027</t>
        </is>
      </c>
      <c r="G1033" t="inlineStr">
        <is>
          <t>Tuesday</t>
        </is>
      </c>
      <c r="H1033" t="inlineStr">
        <is>
          <t>Monthly - Tuesday</t>
        </is>
      </c>
      <c r="I1033" t="inlineStr">
        <is>
          <t>Monthly - Tuesday</t>
        </is>
      </c>
      <c r="J1033" t="inlineStr">
        <is>
          <t>Month+10 Expiry</t>
        </is>
      </c>
      <c r="K1033" s="25" t="n">
        <v>0</v>
      </c>
      <c r="L1033" s="26" t="n">
        <v>0</v>
      </c>
      <c r="M1033" s="26" t="n">
        <v>0</v>
      </c>
    </row>
    <row r="1034" ht="16" customHeight="1">
      <c r="A1034" t="inlineStr">
        <is>
          <t>14-May-2026</t>
        </is>
      </c>
      <c r="B1034" t="inlineStr">
        <is>
          <t>Thursday</t>
        </is>
      </c>
      <c r="C1034" t="inlineStr">
        <is>
          <t>Week2-May-2026</t>
        </is>
      </c>
      <c r="D1034" s="78" t="n">
        <v>46143</v>
      </c>
      <c r="E1034" t="inlineStr">
        <is>
          <t>Q1FY27</t>
        </is>
      </c>
      <c r="F1034" t="inlineStr">
        <is>
          <t>26-May-2026</t>
        </is>
      </c>
      <c r="G1034" t="inlineStr">
        <is>
          <t>Tuesday</t>
        </is>
      </c>
      <c r="H1034" t="inlineStr">
        <is>
          <t>Monthly - Tuesday</t>
        </is>
      </c>
      <c r="I1034" t="inlineStr">
        <is>
          <t>Monthly - Tuesday</t>
        </is>
      </c>
      <c r="J1034" t="inlineStr">
        <is>
          <t>Same Month Expiry</t>
        </is>
      </c>
      <c r="K1034" s="25" t="n">
        <v>3187916</v>
      </c>
      <c r="L1034" s="26" t="n">
        <v>5263.3861</v>
      </c>
      <c r="M1034" s="26" t="n">
        <v>48.7613</v>
      </c>
    </row>
    <row r="1035" ht="16" customHeight="1">
      <c r="A1035" t="inlineStr">
        <is>
          <t>14-May-2026</t>
        </is>
      </c>
      <c r="B1035" t="inlineStr">
        <is>
          <t>Thursday</t>
        </is>
      </c>
      <c r="C1035" t="inlineStr">
        <is>
          <t>Week2-May-2026</t>
        </is>
      </c>
      <c r="D1035" s="78" t="n">
        <v>46143</v>
      </c>
      <c r="E1035" t="inlineStr">
        <is>
          <t>Q1FY27</t>
        </is>
      </c>
      <c r="F1035" t="inlineStr">
        <is>
          <t>30-Jun-2026</t>
        </is>
      </c>
      <c r="G1035" t="inlineStr">
        <is>
          <t>Tuesday</t>
        </is>
      </c>
      <c r="H1035" t="inlineStr">
        <is>
          <t>Monthly - Tuesday</t>
        </is>
      </c>
      <c r="I1035" t="inlineStr">
        <is>
          <t>Monthly - Tuesday</t>
        </is>
      </c>
      <c r="J1035" t="inlineStr">
        <is>
          <t>Month+1 Expiry</t>
        </is>
      </c>
      <c r="K1035" s="25" t="n">
        <v>85290</v>
      </c>
      <c r="L1035" s="26" t="n">
        <v>144.7789</v>
      </c>
      <c r="M1035" s="26" t="n">
        <v>1.949</v>
      </c>
    </row>
    <row r="1036" ht="16" customHeight="1">
      <c r="A1036" t="inlineStr">
        <is>
          <t>14-May-2026</t>
        </is>
      </c>
      <c r="B1036" t="inlineStr">
        <is>
          <t>Thursday</t>
        </is>
      </c>
      <c r="C1036" t="inlineStr">
        <is>
          <t>Week2-May-2026</t>
        </is>
      </c>
      <c r="D1036" s="78" t="n">
        <v>46143</v>
      </c>
      <c r="E1036" t="inlineStr">
        <is>
          <t>Q1FY27</t>
        </is>
      </c>
      <c r="F1036" t="inlineStr">
        <is>
          <t>28-Jul-2026</t>
        </is>
      </c>
      <c r="G1036" t="inlineStr">
        <is>
          <t>Tuesday</t>
        </is>
      </c>
      <c r="H1036" t="inlineStr">
        <is>
          <t>Monthly - Tuesday</t>
        </is>
      </c>
      <c r="I1036" t="inlineStr">
        <is>
          <t>Monthly - Tuesday</t>
        </is>
      </c>
      <c r="J1036" t="inlineStr">
        <is>
          <t>Month+2 Expiry</t>
        </is>
      </c>
      <c r="K1036" s="25" t="n">
        <v>4184</v>
      </c>
      <c r="L1036" s="26" t="n">
        <v>7.1</v>
      </c>
      <c r="M1036" s="26" t="n">
        <v>0.1692</v>
      </c>
    </row>
    <row r="1037" ht="16" customHeight="1">
      <c r="A1037" t="inlineStr">
        <is>
          <t>14-May-2026</t>
        </is>
      </c>
      <c r="B1037" t="inlineStr">
        <is>
          <t>Thursday</t>
        </is>
      </c>
      <c r="C1037" t="inlineStr">
        <is>
          <t>Week2-May-2026</t>
        </is>
      </c>
      <c r="D1037" s="78" t="n">
        <v>46143</v>
      </c>
      <c r="E1037" t="inlineStr">
        <is>
          <t>Q1FY27</t>
        </is>
      </c>
      <c r="F1037" t="inlineStr">
        <is>
          <t>29-Sep-2026</t>
        </is>
      </c>
      <c r="G1037" t="inlineStr">
        <is>
          <t>Tuesday</t>
        </is>
      </c>
      <c r="H1037" t="inlineStr">
        <is>
          <t>Monthly - Tuesday</t>
        </is>
      </c>
      <c r="I1037" t="inlineStr">
        <is>
          <t>Monthly - Tuesday</t>
        </is>
      </c>
      <c r="J1037" t="inlineStr">
        <is>
          <t>Month+4 Expiry</t>
        </is>
      </c>
      <c r="K1037" s="25" t="n">
        <v>303</v>
      </c>
      <c r="L1037" s="26" t="n">
        <v>0.5206</v>
      </c>
      <c r="M1037" s="26" t="n">
        <v>0.0102</v>
      </c>
    </row>
    <row r="1038" ht="16" customHeight="1">
      <c r="A1038" t="inlineStr">
        <is>
          <t>14-May-2026</t>
        </is>
      </c>
      <c r="B1038" t="inlineStr">
        <is>
          <t>Thursday</t>
        </is>
      </c>
      <c r="C1038" t="inlineStr">
        <is>
          <t>Week2-May-2026</t>
        </is>
      </c>
      <c r="D1038" s="78" t="n">
        <v>46143</v>
      </c>
      <c r="E1038" t="inlineStr">
        <is>
          <t>Q1FY27</t>
        </is>
      </c>
      <c r="F1038" t="inlineStr">
        <is>
          <t>29-Dec-2026</t>
        </is>
      </c>
      <c r="G1038" t="inlineStr">
        <is>
          <t>Tuesday</t>
        </is>
      </c>
      <c r="H1038" t="inlineStr">
        <is>
          <t>Monthly - Tuesday</t>
        </is>
      </c>
      <c r="I1038" t="inlineStr">
        <is>
          <t>Monthly - Tuesday</t>
        </is>
      </c>
      <c r="J1038" t="inlineStr">
        <is>
          <t>Month+7 Expiry</t>
        </is>
      </c>
      <c r="K1038" s="25" t="n">
        <v>6</v>
      </c>
      <c r="L1038" s="26" t="n">
        <v>0.0105</v>
      </c>
      <c r="M1038" s="26" t="n">
        <v>0.0005999999999999999</v>
      </c>
    </row>
    <row r="1039" ht="16" customHeight="1">
      <c r="A1039" t="inlineStr">
        <is>
          <t>14-May-2026</t>
        </is>
      </c>
      <c r="B1039" t="inlineStr">
        <is>
          <t>Thursday</t>
        </is>
      </c>
      <c r="C1039" t="inlineStr">
        <is>
          <t>Week2-May-2026</t>
        </is>
      </c>
      <c r="D1039" s="78" t="n">
        <v>46143</v>
      </c>
      <c r="E1039" t="inlineStr">
        <is>
          <t>Q1FY27</t>
        </is>
      </c>
      <c r="F1039" t="inlineStr">
        <is>
          <t>30-Mar-2027</t>
        </is>
      </c>
      <c r="G1039" t="inlineStr">
        <is>
          <t>Tuesday</t>
        </is>
      </c>
      <c r="H1039" t="inlineStr">
        <is>
          <t>Monthly - Tuesday</t>
        </is>
      </c>
      <c r="I1039" t="inlineStr">
        <is>
          <t>Monthly - Tuesday</t>
        </is>
      </c>
      <c r="J1039" t="inlineStr">
        <is>
          <t>Month+10 Expiry</t>
        </is>
      </c>
      <c r="K1039" s="25" t="n">
        <v>0</v>
      </c>
      <c r="L1039" s="26" t="n">
        <v>0</v>
      </c>
      <c r="M1039" s="26" t="n">
        <v>0</v>
      </c>
    </row>
    <row r="1040" ht="16" customHeight="1">
      <c r="A1040" t="inlineStr">
        <is>
          <t>15-May-2026</t>
        </is>
      </c>
      <c r="B1040" t="inlineStr">
        <is>
          <t>Friday</t>
        </is>
      </c>
      <c r="C1040" t="inlineStr">
        <is>
          <t>Week3-May-2026</t>
        </is>
      </c>
      <c r="D1040" s="78" t="n">
        <v>46143</v>
      </c>
      <c r="E1040" t="inlineStr">
        <is>
          <t>Q1FY27</t>
        </is>
      </c>
      <c r="F1040" t="inlineStr">
        <is>
          <t>26-May-2026</t>
        </is>
      </c>
      <c r="G1040" t="inlineStr">
        <is>
          <t>Tuesday</t>
        </is>
      </c>
      <c r="H1040" t="inlineStr">
        <is>
          <t>Monthly - Tuesday</t>
        </is>
      </c>
      <c r="I1040" t="inlineStr">
        <is>
          <t>Monthly - Tuesday</t>
        </is>
      </c>
      <c r="J1040" t="inlineStr">
        <is>
          <t>Same Month Expiry</t>
        </is>
      </c>
      <c r="K1040" s="25" t="n">
        <v>3112842</v>
      </c>
      <c r="L1040" s="26" t="n">
        <v>5152.468</v>
      </c>
      <c r="M1040" s="26" t="n">
        <v>45.8627</v>
      </c>
    </row>
    <row r="1041" ht="16" customHeight="1">
      <c r="A1041" t="inlineStr">
        <is>
          <t>15-May-2026</t>
        </is>
      </c>
      <c r="B1041" t="inlineStr">
        <is>
          <t>Friday</t>
        </is>
      </c>
      <c r="C1041" t="inlineStr">
        <is>
          <t>Week3-May-2026</t>
        </is>
      </c>
      <c r="D1041" s="78" t="n">
        <v>46143</v>
      </c>
      <c r="E1041" t="inlineStr">
        <is>
          <t>Q1FY27</t>
        </is>
      </c>
      <c r="F1041" t="inlineStr">
        <is>
          <t>30-Jun-2026</t>
        </is>
      </c>
      <c r="G1041" t="inlineStr">
        <is>
          <t>Tuesday</t>
        </is>
      </c>
      <c r="H1041" t="inlineStr">
        <is>
          <t>Monthly - Tuesday</t>
        </is>
      </c>
      <c r="I1041" t="inlineStr">
        <is>
          <t>Monthly - Tuesday</t>
        </is>
      </c>
      <c r="J1041" t="inlineStr">
        <is>
          <t>Month+1 Expiry</t>
        </is>
      </c>
      <c r="K1041" s="25" t="n">
        <v>175767</v>
      </c>
      <c r="L1041" s="26" t="n">
        <v>309.4049</v>
      </c>
      <c r="M1041" s="26" t="n">
        <v>3.0546</v>
      </c>
    </row>
    <row r="1042" ht="16" customHeight="1">
      <c r="A1042" t="inlineStr">
        <is>
          <t>15-May-2026</t>
        </is>
      </c>
      <c r="B1042" t="inlineStr">
        <is>
          <t>Friday</t>
        </is>
      </c>
      <c r="C1042" t="inlineStr">
        <is>
          <t>Week3-May-2026</t>
        </is>
      </c>
      <c r="D1042" s="78" t="n">
        <v>46143</v>
      </c>
      <c r="E1042" t="inlineStr">
        <is>
          <t>Q1FY27</t>
        </is>
      </c>
      <c r="F1042" t="inlineStr">
        <is>
          <t>28-Jul-2026</t>
        </is>
      </c>
      <c r="G1042" t="inlineStr">
        <is>
          <t>Tuesday</t>
        </is>
      </c>
      <c r="H1042" t="inlineStr">
        <is>
          <t>Monthly - Tuesday</t>
        </is>
      </c>
      <c r="I1042" t="inlineStr">
        <is>
          <t>Monthly - Tuesday</t>
        </is>
      </c>
      <c r="J1042" t="inlineStr">
        <is>
          <t>Month+2 Expiry</t>
        </is>
      </c>
      <c r="K1042" s="25" t="n">
        <v>5173</v>
      </c>
      <c r="L1042" s="26" t="n">
        <v>8.8726</v>
      </c>
      <c r="M1042" s="26" t="n">
        <v>0.1883</v>
      </c>
    </row>
    <row r="1043" ht="16" customHeight="1">
      <c r="A1043" t="inlineStr">
        <is>
          <t>15-May-2026</t>
        </is>
      </c>
      <c r="B1043" t="inlineStr">
        <is>
          <t>Friday</t>
        </is>
      </c>
      <c r="C1043" t="inlineStr">
        <is>
          <t>Week3-May-2026</t>
        </is>
      </c>
      <c r="D1043" s="78" t="n">
        <v>46143</v>
      </c>
      <c r="E1043" t="inlineStr">
        <is>
          <t>Q1FY27</t>
        </is>
      </c>
      <c r="F1043" t="inlineStr">
        <is>
          <t>29-Sep-2026</t>
        </is>
      </c>
      <c r="G1043" t="inlineStr">
        <is>
          <t>Tuesday</t>
        </is>
      </c>
      <c r="H1043" t="inlineStr">
        <is>
          <t>Monthly - Tuesday</t>
        </is>
      </c>
      <c r="I1043" t="inlineStr">
        <is>
          <t>Monthly - Tuesday</t>
        </is>
      </c>
      <c r="J1043" t="inlineStr">
        <is>
          <t>Month+4 Expiry</t>
        </is>
      </c>
      <c r="K1043" s="25" t="n">
        <v>266</v>
      </c>
      <c r="L1043" s="26" t="n">
        <v>0.4655</v>
      </c>
      <c r="M1043" s="26" t="n">
        <v>0.0081</v>
      </c>
    </row>
    <row r="1044" ht="16" customHeight="1">
      <c r="A1044" t="inlineStr">
        <is>
          <t>15-May-2026</t>
        </is>
      </c>
      <c r="B1044" t="inlineStr">
        <is>
          <t>Friday</t>
        </is>
      </c>
      <c r="C1044" t="inlineStr">
        <is>
          <t>Week3-May-2026</t>
        </is>
      </c>
      <c r="D1044" s="78" t="n">
        <v>46143</v>
      </c>
      <c r="E1044" t="inlineStr">
        <is>
          <t>Q1FY27</t>
        </is>
      </c>
      <c r="F1044" t="inlineStr">
        <is>
          <t>29-Dec-2026</t>
        </is>
      </c>
      <c r="G1044" t="inlineStr">
        <is>
          <t>Tuesday</t>
        </is>
      </c>
      <c r="H1044" t="inlineStr">
        <is>
          <t>Monthly - Tuesday</t>
        </is>
      </c>
      <c r="I1044" t="inlineStr">
        <is>
          <t>Monthly - Tuesday</t>
        </is>
      </c>
      <c r="J1044" t="inlineStr">
        <is>
          <t>Month+7 Expiry</t>
        </is>
      </c>
      <c r="K1044" s="25" t="n">
        <v>14</v>
      </c>
      <c r="L1044" s="26" t="n">
        <v>0.0249</v>
      </c>
      <c r="M1044" s="26" t="n">
        <v>0.001</v>
      </c>
    </row>
    <row r="1045" ht="16" customHeight="1">
      <c r="A1045" t="inlineStr">
        <is>
          <t>15-May-2026</t>
        </is>
      </c>
      <c r="B1045" t="inlineStr">
        <is>
          <t>Friday</t>
        </is>
      </c>
      <c r="C1045" t="inlineStr">
        <is>
          <t>Week3-May-2026</t>
        </is>
      </c>
      <c r="D1045" s="78" t="n">
        <v>46143</v>
      </c>
      <c r="E1045" t="inlineStr">
        <is>
          <t>Q1FY27</t>
        </is>
      </c>
      <c r="F1045" t="inlineStr">
        <is>
          <t>30-Mar-2027</t>
        </is>
      </c>
      <c r="G1045" t="inlineStr">
        <is>
          <t>Tuesday</t>
        </is>
      </c>
      <c r="H1045" t="inlineStr">
        <is>
          <t>Monthly - Tuesday</t>
        </is>
      </c>
      <c r="I1045" t="inlineStr">
        <is>
          <t>Monthly - Tuesday</t>
        </is>
      </c>
      <c r="J1045" t="inlineStr">
        <is>
          <t>Month+10 Expiry</t>
        </is>
      </c>
      <c r="K1045" s="25" t="n">
        <v>0</v>
      </c>
      <c r="L1045" s="26" t="n">
        <v>0</v>
      </c>
      <c r="M1045" s="26" t="n">
        <v>0</v>
      </c>
    </row>
    <row r="1046" ht="16" customHeight="1">
      <c r="A1046" t="inlineStr">
        <is>
          <t>18-May-2026</t>
        </is>
      </c>
      <c r="B1046" t="inlineStr">
        <is>
          <t>Monday</t>
        </is>
      </c>
      <c r="C1046" t="inlineStr">
        <is>
          <t>Week3-May-2026</t>
        </is>
      </c>
      <c r="D1046" s="78" t="n">
        <v>46143</v>
      </c>
      <c r="E1046" t="inlineStr">
        <is>
          <t>Q1FY27</t>
        </is>
      </c>
      <c r="F1046" t="inlineStr">
        <is>
          <t>26-May-2026</t>
        </is>
      </c>
      <c r="G1046" t="inlineStr">
        <is>
          <t>Tuesday</t>
        </is>
      </c>
      <c r="H1046" t="inlineStr">
        <is>
          <t>Monthly - Tuesday</t>
        </is>
      </c>
      <c r="I1046" t="inlineStr">
        <is>
          <t>Monthly - Tuesday</t>
        </is>
      </c>
      <c r="J1046" t="inlineStr">
        <is>
          <t>Same Month Expiry</t>
        </is>
      </c>
      <c r="K1046" s="25" t="n">
        <v>3798263</v>
      </c>
      <c r="L1046" s="26" t="n">
        <v>6225.8678</v>
      </c>
      <c r="M1046" s="26" t="n">
        <v>51.7975</v>
      </c>
    </row>
    <row r="1047" ht="16" customHeight="1">
      <c r="A1047" t="inlineStr">
        <is>
          <t>18-May-2026</t>
        </is>
      </c>
      <c r="B1047" t="inlineStr">
        <is>
          <t>Monday</t>
        </is>
      </c>
      <c r="C1047" t="inlineStr">
        <is>
          <t>Week3-May-2026</t>
        </is>
      </c>
      <c r="D1047" s="78" t="n">
        <v>46143</v>
      </c>
      <c r="E1047" t="inlineStr">
        <is>
          <t>Q1FY27</t>
        </is>
      </c>
      <c r="F1047" t="inlineStr">
        <is>
          <t>30-Jun-2026</t>
        </is>
      </c>
      <c r="G1047" t="inlineStr">
        <is>
          <t>Tuesday</t>
        </is>
      </c>
      <c r="H1047" t="inlineStr">
        <is>
          <t>Monthly - Tuesday</t>
        </is>
      </c>
      <c r="I1047" t="inlineStr">
        <is>
          <t>Monthly - Tuesday</t>
        </is>
      </c>
      <c r="J1047" t="inlineStr">
        <is>
          <t>Month+1 Expiry</t>
        </is>
      </c>
      <c r="K1047" s="25" t="n">
        <v>202314</v>
      </c>
      <c r="L1047" s="26" t="n">
        <v>350.9397</v>
      </c>
      <c r="M1047" s="26" t="n">
        <v>4.7636</v>
      </c>
    </row>
    <row r="1048" ht="16" customHeight="1">
      <c r="A1048" t="inlineStr">
        <is>
          <t>18-May-2026</t>
        </is>
      </c>
      <c r="B1048" t="inlineStr">
        <is>
          <t>Monday</t>
        </is>
      </c>
      <c r="C1048" t="inlineStr">
        <is>
          <t>Week3-May-2026</t>
        </is>
      </c>
      <c r="D1048" s="78" t="n">
        <v>46143</v>
      </c>
      <c r="E1048" t="inlineStr">
        <is>
          <t>Q1FY27</t>
        </is>
      </c>
      <c r="F1048" t="inlineStr">
        <is>
          <t>28-Jul-2026</t>
        </is>
      </c>
      <c r="G1048" t="inlineStr">
        <is>
          <t>Tuesday</t>
        </is>
      </c>
      <c r="H1048" t="inlineStr">
        <is>
          <t>Monthly - Tuesday</t>
        </is>
      </c>
      <c r="I1048" t="inlineStr">
        <is>
          <t>Monthly - Tuesday</t>
        </is>
      </c>
      <c r="J1048" t="inlineStr">
        <is>
          <t>Month+2 Expiry</t>
        </is>
      </c>
      <c r="K1048" s="25" t="n">
        <v>6807</v>
      </c>
      <c r="L1048" s="26" t="n">
        <v>11.5066</v>
      </c>
      <c r="M1048" s="26" t="n">
        <v>0.2233</v>
      </c>
    </row>
    <row r="1049" ht="16" customHeight="1">
      <c r="A1049" t="inlineStr">
        <is>
          <t>18-May-2026</t>
        </is>
      </c>
      <c r="B1049" t="inlineStr">
        <is>
          <t>Monday</t>
        </is>
      </c>
      <c r="C1049" t="inlineStr">
        <is>
          <t>Week3-May-2026</t>
        </is>
      </c>
      <c r="D1049" s="78" t="n">
        <v>46143</v>
      </c>
      <c r="E1049" t="inlineStr">
        <is>
          <t>Q1FY27</t>
        </is>
      </c>
      <c r="F1049" t="inlineStr">
        <is>
          <t>29-Sep-2026</t>
        </is>
      </c>
      <c r="G1049" t="inlineStr">
        <is>
          <t>Tuesday</t>
        </is>
      </c>
      <c r="H1049" t="inlineStr">
        <is>
          <t>Monthly - Tuesday</t>
        </is>
      </c>
      <c r="I1049" t="inlineStr">
        <is>
          <t>Monthly - Tuesday</t>
        </is>
      </c>
      <c r="J1049" t="inlineStr">
        <is>
          <t>Month+4 Expiry</t>
        </is>
      </c>
      <c r="K1049" s="25" t="n">
        <v>464</v>
      </c>
      <c r="L1049" s="26" t="n">
        <v>0.798</v>
      </c>
      <c r="M1049" s="26" t="n">
        <v>0.0167</v>
      </c>
    </row>
    <row r="1050" ht="16" customHeight="1">
      <c r="A1050" t="inlineStr">
        <is>
          <t>18-May-2026</t>
        </is>
      </c>
      <c r="B1050" t="inlineStr">
        <is>
          <t>Monday</t>
        </is>
      </c>
      <c r="C1050" t="inlineStr">
        <is>
          <t>Week3-May-2026</t>
        </is>
      </c>
      <c r="D1050" s="78" t="n">
        <v>46143</v>
      </c>
      <c r="E1050" t="inlineStr">
        <is>
          <t>Q1FY27</t>
        </is>
      </c>
      <c r="F1050" t="inlineStr">
        <is>
          <t>29-Dec-2026</t>
        </is>
      </c>
      <c r="G1050" t="inlineStr">
        <is>
          <t>Tuesday</t>
        </is>
      </c>
      <c r="H1050" t="inlineStr">
        <is>
          <t>Monthly - Tuesday</t>
        </is>
      </c>
      <c r="I1050" t="inlineStr">
        <is>
          <t>Monthly - Tuesday</t>
        </is>
      </c>
      <c r="J1050" t="inlineStr">
        <is>
          <t>Month+7 Expiry</t>
        </is>
      </c>
      <c r="K1050" s="25" t="n">
        <v>15</v>
      </c>
      <c r="L1050" s="26" t="n">
        <v>0.0254</v>
      </c>
      <c r="M1050" s="26" t="n">
        <v>0.0011</v>
      </c>
    </row>
    <row r="1051" ht="16" customHeight="1">
      <c r="A1051" t="inlineStr">
        <is>
          <t>18-May-2026</t>
        </is>
      </c>
      <c r="B1051" t="inlineStr">
        <is>
          <t>Monday</t>
        </is>
      </c>
      <c r="C1051" t="inlineStr">
        <is>
          <t>Week3-May-2026</t>
        </is>
      </c>
      <c r="D1051" s="78" t="n">
        <v>46143</v>
      </c>
      <c r="E1051" t="inlineStr">
        <is>
          <t>Q1FY27</t>
        </is>
      </c>
      <c r="F1051" t="inlineStr">
        <is>
          <t>30-Mar-2027</t>
        </is>
      </c>
      <c r="G1051" t="inlineStr">
        <is>
          <t>Tuesday</t>
        </is>
      </c>
      <c r="H1051" t="inlineStr">
        <is>
          <t>Monthly - Tuesday</t>
        </is>
      </c>
      <c r="I1051" t="inlineStr">
        <is>
          <t>Monthly - Tuesday</t>
        </is>
      </c>
      <c r="J1051" t="inlineStr">
        <is>
          <t>Month+10 Expiry</t>
        </is>
      </c>
      <c r="K1051" s="25" t="n">
        <v>0</v>
      </c>
      <c r="L1051" s="26" t="n">
        <v>0</v>
      </c>
      <c r="M1051" s="26" t="n">
        <v>0</v>
      </c>
    </row>
    <row r="1052" ht="16" customHeight="1">
      <c r="A1052" t="inlineStr">
        <is>
          <t>19-May-2026</t>
        </is>
      </c>
      <c r="B1052" t="inlineStr">
        <is>
          <t>Tuesday</t>
        </is>
      </c>
      <c r="C1052" t="inlineStr">
        <is>
          <t>Week3-May-2026</t>
        </is>
      </c>
      <c r="D1052" s="78" t="n">
        <v>46143</v>
      </c>
      <c r="E1052" t="inlineStr">
        <is>
          <t>Q1FY27</t>
        </is>
      </c>
      <c r="F1052" t="inlineStr">
        <is>
          <t>26-May-2026</t>
        </is>
      </c>
      <c r="G1052" t="inlineStr">
        <is>
          <t>Tuesday</t>
        </is>
      </c>
      <c r="H1052" t="inlineStr">
        <is>
          <t>Monthly - Tuesday</t>
        </is>
      </c>
      <c r="I1052" t="inlineStr">
        <is>
          <t>Monthly - Tuesday</t>
        </is>
      </c>
      <c r="J1052" t="inlineStr">
        <is>
          <t>Same Month Expiry</t>
        </is>
      </c>
      <c r="K1052" s="25" t="n">
        <v>3135913</v>
      </c>
      <c r="L1052" s="26" t="n">
        <v>5133.957</v>
      </c>
      <c r="M1052" s="26" t="n">
        <v>36.6672</v>
      </c>
    </row>
    <row r="1053" ht="16" customHeight="1">
      <c r="A1053" t="inlineStr">
        <is>
          <t>19-May-2026</t>
        </is>
      </c>
      <c r="B1053" t="inlineStr">
        <is>
          <t>Tuesday</t>
        </is>
      </c>
      <c r="C1053" t="inlineStr">
        <is>
          <t>Week3-May-2026</t>
        </is>
      </c>
      <c r="D1053" s="78" t="n">
        <v>46143</v>
      </c>
      <c r="E1053" t="inlineStr">
        <is>
          <t>Q1FY27</t>
        </is>
      </c>
      <c r="F1053" t="inlineStr">
        <is>
          <t>30-Jun-2026</t>
        </is>
      </c>
      <c r="G1053" t="inlineStr">
        <is>
          <t>Tuesday</t>
        </is>
      </c>
      <c r="H1053" t="inlineStr">
        <is>
          <t>Monthly - Tuesday</t>
        </is>
      </c>
      <c r="I1053" t="inlineStr">
        <is>
          <t>Monthly - Tuesday</t>
        </is>
      </c>
      <c r="J1053" t="inlineStr">
        <is>
          <t>Month+1 Expiry</t>
        </is>
      </c>
      <c r="K1053" s="25" t="n">
        <v>149854</v>
      </c>
      <c r="L1053" s="26" t="n">
        <v>262.7127</v>
      </c>
      <c r="M1053" s="26" t="n">
        <v>3.35</v>
      </c>
    </row>
    <row r="1054" ht="16" customHeight="1">
      <c r="A1054" t="inlineStr">
        <is>
          <t>19-May-2026</t>
        </is>
      </c>
      <c r="B1054" t="inlineStr">
        <is>
          <t>Tuesday</t>
        </is>
      </c>
      <c r="C1054" t="inlineStr">
        <is>
          <t>Week3-May-2026</t>
        </is>
      </c>
      <c r="D1054" s="78" t="n">
        <v>46143</v>
      </c>
      <c r="E1054" t="inlineStr">
        <is>
          <t>Q1FY27</t>
        </is>
      </c>
      <c r="F1054" t="inlineStr">
        <is>
          <t>28-Jul-2026</t>
        </is>
      </c>
      <c r="G1054" t="inlineStr">
        <is>
          <t>Tuesday</t>
        </is>
      </c>
      <c r="H1054" t="inlineStr">
        <is>
          <t>Monthly - Tuesday</t>
        </is>
      </c>
      <c r="I1054" t="inlineStr">
        <is>
          <t>Monthly - Tuesday</t>
        </is>
      </c>
      <c r="J1054" t="inlineStr">
        <is>
          <t>Month+2 Expiry</t>
        </is>
      </c>
      <c r="K1054" s="25" t="n">
        <v>2913</v>
      </c>
      <c r="L1054" s="26" t="n">
        <v>4.9424</v>
      </c>
      <c r="M1054" s="26" t="n">
        <v>0.1095</v>
      </c>
    </row>
    <row r="1055" ht="16" customHeight="1">
      <c r="A1055" t="inlineStr">
        <is>
          <t>19-May-2026</t>
        </is>
      </c>
      <c r="B1055" t="inlineStr">
        <is>
          <t>Tuesday</t>
        </is>
      </c>
      <c r="C1055" t="inlineStr">
        <is>
          <t>Week3-May-2026</t>
        </is>
      </c>
      <c r="D1055" s="78" t="n">
        <v>46143</v>
      </c>
      <c r="E1055" t="inlineStr">
        <is>
          <t>Q1FY27</t>
        </is>
      </c>
      <c r="F1055" t="inlineStr">
        <is>
          <t>29-Sep-2026</t>
        </is>
      </c>
      <c r="G1055" t="inlineStr">
        <is>
          <t>Tuesday</t>
        </is>
      </c>
      <c r="H1055" t="inlineStr">
        <is>
          <t>Monthly - Tuesday</t>
        </is>
      </c>
      <c r="I1055" t="inlineStr">
        <is>
          <t>Monthly - Tuesday</t>
        </is>
      </c>
      <c r="J1055" t="inlineStr">
        <is>
          <t>Month+4 Expiry</t>
        </is>
      </c>
      <c r="K1055" s="25" t="n">
        <v>185</v>
      </c>
      <c r="L1055" s="26" t="n">
        <v>0.3164</v>
      </c>
      <c r="M1055" s="26" t="n">
        <v>0.007</v>
      </c>
    </row>
    <row r="1056" ht="16" customHeight="1">
      <c r="A1056" t="inlineStr">
        <is>
          <t>19-May-2026</t>
        </is>
      </c>
      <c r="B1056" t="inlineStr">
        <is>
          <t>Tuesday</t>
        </is>
      </c>
      <c r="C1056" t="inlineStr">
        <is>
          <t>Week3-May-2026</t>
        </is>
      </c>
      <c r="D1056" s="78" t="n">
        <v>46143</v>
      </c>
      <c r="E1056" t="inlineStr">
        <is>
          <t>Q1FY27</t>
        </is>
      </c>
      <c r="F1056" t="inlineStr">
        <is>
          <t>29-Dec-2026</t>
        </is>
      </c>
      <c r="G1056" t="inlineStr">
        <is>
          <t>Tuesday</t>
        </is>
      </c>
      <c r="H1056" t="inlineStr">
        <is>
          <t>Monthly - Tuesday</t>
        </is>
      </c>
      <c r="I1056" t="inlineStr">
        <is>
          <t>Monthly - Tuesday</t>
        </is>
      </c>
      <c r="J1056" t="inlineStr">
        <is>
          <t>Month+7 Expiry</t>
        </is>
      </c>
      <c r="K1056" s="25" t="n">
        <v>26</v>
      </c>
      <c r="L1056" s="26" t="n">
        <v>0.043</v>
      </c>
      <c r="M1056" s="26" t="n">
        <v>0.0011</v>
      </c>
    </row>
    <row r="1057" ht="16" customHeight="1">
      <c r="A1057" t="inlineStr">
        <is>
          <t>19-May-2026</t>
        </is>
      </c>
      <c r="B1057" t="inlineStr">
        <is>
          <t>Tuesday</t>
        </is>
      </c>
      <c r="C1057" t="inlineStr">
        <is>
          <t>Week3-May-2026</t>
        </is>
      </c>
      <c r="D1057" s="78" t="n">
        <v>46143</v>
      </c>
      <c r="E1057" t="inlineStr">
        <is>
          <t>Q1FY27</t>
        </is>
      </c>
      <c r="F1057" t="inlineStr">
        <is>
          <t>30-Mar-2027</t>
        </is>
      </c>
      <c r="G1057" t="inlineStr">
        <is>
          <t>Tuesday</t>
        </is>
      </c>
      <c r="H1057" t="inlineStr">
        <is>
          <t>Monthly - Tuesday</t>
        </is>
      </c>
      <c r="I1057" t="inlineStr">
        <is>
          <t>Monthly - Tuesday</t>
        </is>
      </c>
      <c r="J1057" t="inlineStr">
        <is>
          <t>Month+10 Expiry</t>
        </is>
      </c>
      <c r="K1057" s="25" t="n">
        <v>0</v>
      </c>
      <c r="L1057" s="26" t="n">
        <v>0</v>
      </c>
      <c r="M1057" s="26" t="n">
        <v>0</v>
      </c>
    </row>
    <row r="1058" ht="16" customHeight="1">
      <c r="A1058" t="inlineStr">
        <is>
          <t>20-May-2026</t>
        </is>
      </c>
      <c r="B1058" t="inlineStr">
        <is>
          <t>Wednesday</t>
        </is>
      </c>
      <c r="C1058" t="inlineStr">
        <is>
          <t>Week3-May-2026</t>
        </is>
      </c>
      <c r="D1058" s="78" t="n">
        <v>46143</v>
      </c>
      <c r="E1058" t="inlineStr">
        <is>
          <t>Q1FY27</t>
        </is>
      </c>
      <c r="F1058" t="inlineStr">
        <is>
          <t>26-May-2026</t>
        </is>
      </c>
      <c r="G1058" t="inlineStr">
        <is>
          <t>Tuesday</t>
        </is>
      </c>
      <c r="H1058" t="inlineStr">
        <is>
          <t>Monthly - Tuesday</t>
        </is>
      </c>
      <c r="I1058" t="inlineStr">
        <is>
          <t>Monthly - Tuesday</t>
        </is>
      </c>
      <c r="J1058" t="inlineStr">
        <is>
          <t>Same Month Expiry</t>
        </is>
      </c>
      <c r="K1058" s="25" t="n">
        <v>5188850</v>
      </c>
      <c r="L1058" s="26" t="n">
        <v>8450.833000000001</v>
      </c>
      <c r="M1058" s="26" t="n">
        <v>53.3951</v>
      </c>
    </row>
    <row r="1059" ht="16" customHeight="1">
      <c r="A1059" t="inlineStr">
        <is>
          <t>20-May-2026</t>
        </is>
      </c>
      <c r="B1059" t="inlineStr">
        <is>
          <t>Wednesday</t>
        </is>
      </c>
      <c r="C1059" t="inlineStr">
        <is>
          <t>Week3-May-2026</t>
        </is>
      </c>
      <c r="D1059" s="78" t="n">
        <v>46143</v>
      </c>
      <c r="E1059" t="inlineStr">
        <is>
          <t>Q1FY27</t>
        </is>
      </c>
      <c r="F1059" t="inlineStr">
        <is>
          <t>30-Jun-2026</t>
        </is>
      </c>
      <c r="G1059" t="inlineStr">
        <is>
          <t>Tuesday</t>
        </is>
      </c>
      <c r="H1059" t="inlineStr">
        <is>
          <t>Monthly - Tuesday</t>
        </is>
      </c>
      <c r="I1059" t="inlineStr">
        <is>
          <t>Monthly - Tuesday</t>
        </is>
      </c>
      <c r="J1059" t="inlineStr">
        <is>
          <t>Month+1 Expiry</t>
        </is>
      </c>
      <c r="K1059" s="25" t="n">
        <v>221112</v>
      </c>
      <c r="L1059" s="26" t="n">
        <v>381.0389</v>
      </c>
      <c r="M1059" s="26" t="n">
        <v>5.7342</v>
      </c>
    </row>
    <row r="1060" ht="16" customHeight="1">
      <c r="A1060" t="inlineStr">
        <is>
          <t>20-May-2026</t>
        </is>
      </c>
      <c r="B1060" t="inlineStr">
        <is>
          <t>Wednesday</t>
        </is>
      </c>
      <c r="C1060" t="inlineStr">
        <is>
          <t>Week3-May-2026</t>
        </is>
      </c>
      <c r="D1060" s="78" t="n">
        <v>46143</v>
      </c>
      <c r="E1060" t="inlineStr">
        <is>
          <t>Q1FY27</t>
        </is>
      </c>
      <c r="F1060" t="inlineStr">
        <is>
          <t>28-Jul-2026</t>
        </is>
      </c>
      <c r="G1060" t="inlineStr">
        <is>
          <t>Tuesday</t>
        </is>
      </c>
      <c r="H1060" t="inlineStr">
        <is>
          <t>Monthly - Tuesday</t>
        </is>
      </c>
      <c r="I1060" t="inlineStr">
        <is>
          <t>Monthly - Tuesday</t>
        </is>
      </c>
      <c r="J1060" t="inlineStr">
        <is>
          <t>Month+2 Expiry</t>
        </is>
      </c>
      <c r="K1060" s="25" t="n">
        <v>6345</v>
      </c>
      <c r="L1060" s="26" t="n">
        <v>10.5972</v>
      </c>
      <c r="M1060" s="26" t="n">
        <v>0.2231</v>
      </c>
    </row>
    <row r="1061" ht="16" customHeight="1">
      <c r="A1061" t="inlineStr">
        <is>
          <t>20-May-2026</t>
        </is>
      </c>
      <c r="B1061" t="inlineStr">
        <is>
          <t>Wednesday</t>
        </is>
      </c>
      <c r="C1061" t="inlineStr">
        <is>
          <t>Week3-May-2026</t>
        </is>
      </c>
      <c r="D1061" s="78" t="n">
        <v>46143</v>
      </c>
      <c r="E1061" t="inlineStr">
        <is>
          <t>Q1FY27</t>
        </is>
      </c>
      <c r="F1061" t="inlineStr">
        <is>
          <t>29-Sep-2026</t>
        </is>
      </c>
      <c r="G1061" t="inlineStr">
        <is>
          <t>Tuesday</t>
        </is>
      </c>
      <c r="H1061" t="inlineStr">
        <is>
          <t>Monthly - Tuesday</t>
        </is>
      </c>
      <c r="I1061" t="inlineStr">
        <is>
          <t>Monthly - Tuesday</t>
        </is>
      </c>
      <c r="J1061" t="inlineStr">
        <is>
          <t>Month+4 Expiry</t>
        </is>
      </c>
      <c r="K1061" s="25" t="n">
        <v>517</v>
      </c>
      <c r="L1061" s="26" t="n">
        <v>0.8893</v>
      </c>
      <c r="M1061" s="26" t="n">
        <v>0.0194</v>
      </c>
    </row>
    <row r="1062" ht="16" customHeight="1">
      <c r="A1062" t="inlineStr">
        <is>
          <t>20-May-2026</t>
        </is>
      </c>
      <c r="B1062" t="inlineStr">
        <is>
          <t>Wednesday</t>
        </is>
      </c>
      <c r="C1062" t="inlineStr">
        <is>
          <t>Week3-May-2026</t>
        </is>
      </c>
      <c r="D1062" s="78" t="n">
        <v>46143</v>
      </c>
      <c r="E1062" t="inlineStr">
        <is>
          <t>Q1FY27</t>
        </is>
      </c>
      <c r="F1062" t="inlineStr">
        <is>
          <t>29-Dec-2026</t>
        </is>
      </c>
      <c r="G1062" t="inlineStr">
        <is>
          <t>Tuesday</t>
        </is>
      </c>
      <c r="H1062" t="inlineStr">
        <is>
          <t>Monthly - Tuesday</t>
        </is>
      </c>
      <c r="I1062" t="inlineStr">
        <is>
          <t>Monthly - Tuesday</t>
        </is>
      </c>
      <c r="J1062" t="inlineStr">
        <is>
          <t>Month+7 Expiry</t>
        </is>
      </c>
      <c r="K1062" s="25" t="n">
        <v>21</v>
      </c>
      <c r="L1062" s="26" t="n">
        <v>0.0356</v>
      </c>
      <c r="M1062" s="26" t="n">
        <v>0.0014</v>
      </c>
    </row>
    <row r="1063" ht="16" customHeight="1">
      <c r="A1063" t="inlineStr">
        <is>
          <t>20-May-2026</t>
        </is>
      </c>
      <c r="B1063" t="inlineStr">
        <is>
          <t>Wednesday</t>
        </is>
      </c>
      <c r="C1063" t="inlineStr">
        <is>
          <t>Week3-May-2026</t>
        </is>
      </c>
      <c r="D1063" s="78" t="n">
        <v>46143</v>
      </c>
      <c r="E1063" t="inlineStr">
        <is>
          <t>Q1FY27</t>
        </is>
      </c>
      <c r="F1063" t="inlineStr">
        <is>
          <t>30-Mar-2027</t>
        </is>
      </c>
      <c r="G1063" t="inlineStr">
        <is>
          <t>Tuesday</t>
        </is>
      </c>
      <c r="H1063" t="inlineStr">
        <is>
          <t>Monthly - Tuesday</t>
        </is>
      </c>
      <c r="I1063" t="inlineStr">
        <is>
          <t>Monthly - Tuesday</t>
        </is>
      </c>
      <c r="J1063" t="inlineStr">
        <is>
          <t>Month+10 Expiry</t>
        </is>
      </c>
      <c r="K1063" s="25" t="n">
        <v>0</v>
      </c>
      <c r="L1063" s="26" t="n">
        <v>0</v>
      </c>
      <c r="M1063" s="26" t="n">
        <v>0</v>
      </c>
    </row>
    <row r="1064" ht="16" customHeight="1">
      <c r="A1064" t="inlineStr">
        <is>
          <t>21-May-2026</t>
        </is>
      </c>
      <c r="B1064" t="inlineStr">
        <is>
          <t>Thursday</t>
        </is>
      </c>
      <c r="C1064" t="inlineStr">
        <is>
          <t>Week3-May-2026</t>
        </is>
      </c>
      <c r="D1064" s="78" t="n">
        <v>46143</v>
      </c>
      <c r="E1064" t="inlineStr">
        <is>
          <t>Q1FY27</t>
        </is>
      </c>
      <c r="F1064" t="inlineStr">
        <is>
          <t>26-May-2026</t>
        </is>
      </c>
      <c r="G1064" t="inlineStr">
        <is>
          <t>Tuesday</t>
        </is>
      </c>
      <c r="H1064" t="inlineStr">
        <is>
          <t>Monthly - Tuesday</t>
        </is>
      </c>
      <c r="I1064" t="inlineStr">
        <is>
          <t>Monthly - Tuesday</t>
        </is>
      </c>
      <c r="J1064" t="inlineStr">
        <is>
          <t>Same Month Expiry</t>
        </is>
      </c>
      <c r="K1064" s="25" t="n">
        <v>5824458</v>
      </c>
      <c r="L1064" s="26" t="n">
        <v>9498.6651</v>
      </c>
      <c r="M1064" s="26" t="n">
        <v>48.5728</v>
      </c>
    </row>
    <row r="1065" ht="16" customHeight="1">
      <c r="A1065" t="inlineStr">
        <is>
          <t>21-May-2026</t>
        </is>
      </c>
      <c r="B1065" t="inlineStr">
        <is>
          <t>Thursday</t>
        </is>
      </c>
      <c r="C1065" t="inlineStr">
        <is>
          <t>Week3-May-2026</t>
        </is>
      </c>
      <c r="D1065" s="78" t="n">
        <v>46143</v>
      </c>
      <c r="E1065" t="inlineStr">
        <is>
          <t>Q1FY27</t>
        </is>
      </c>
      <c r="F1065" t="inlineStr">
        <is>
          <t>30-Jun-2026</t>
        </is>
      </c>
      <c r="G1065" t="inlineStr">
        <is>
          <t>Tuesday</t>
        </is>
      </c>
      <c r="H1065" t="inlineStr">
        <is>
          <t>Monthly - Tuesday</t>
        </is>
      </c>
      <c r="I1065" t="inlineStr">
        <is>
          <t>Monthly - Tuesday</t>
        </is>
      </c>
      <c r="J1065" t="inlineStr">
        <is>
          <t>Month+1 Expiry</t>
        </is>
      </c>
      <c r="K1065" s="25" t="n">
        <v>250807</v>
      </c>
      <c r="L1065" s="26" t="n">
        <v>426.7793</v>
      </c>
      <c r="M1065" s="26" t="n">
        <v>6.4572</v>
      </c>
    </row>
    <row r="1066" ht="16" customHeight="1">
      <c r="A1066" t="inlineStr">
        <is>
          <t>21-May-2026</t>
        </is>
      </c>
      <c r="B1066" t="inlineStr">
        <is>
          <t>Thursday</t>
        </is>
      </c>
      <c r="C1066" t="inlineStr">
        <is>
          <t>Week3-May-2026</t>
        </is>
      </c>
      <c r="D1066" s="78" t="n">
        <v>46143</v>
      </c>
      <c r="E1066" t="inlineStr">
        <is>
          <t>Q1FY27</t>
        </is>
      </c>
      <c r="F1066" t="inlineStr">
        <is>
          <t>28-Jul-2026</t>
        </is>
      </c>
      <c r="G1066" t="inlineStr">
        <is>
          <t>Tuesday</t>
        </is>
      </c>
      <c r="H1066" t="inlineStr">
        <is>
          <t>Monthly - Tuesday</t>
        </is>
      </c>
      <c r="I1066" t="inlineStr">
        <is>
          <t>Monthly - Tuesday</t>
        </is>
      </c>
      <c r="J1066" t="inlineStr">
        <is>
          <t>Month+2 Expiry</t>
        </is>
      </c>
      <c r="K1066" s="25" t="n">
        <v>6595</v>
      </c>
      <c r="L1066" s="26" t="n">
        <v>11.1192</v>
      </c>
      <c r="M1066" s="26" t="n">
        <v>0.2279</v>
      </c>
    </row>
    <row r="1067" ht="16" customHeight="1">
      <c r="A1067" t="inlineStr">
        <is>
          <t>21-May-2026</t>
        </is>
      </c>
      <c r="B1067" t="inlineStr">
        <is>
          <t>Thursday</t>
        </is>
      </c>
      <c r="C1067" t="inlineStr">
        <is>
          <t>Week3-May-2026</t>
        </is>
      </c>
      <c r="D1067" s="78" t="n">
        <v>46143</v>
      </c>
      <c r="E1067" t="inlineStr">
        <is>
          <t>Q1FY27</t>
        </is>
      </c>
      <c r="F1067" t="inlineStr">
        <is>
          <t>29-Sep-2026</t>
        </is>
      </c>
      <c r="G1067" t="inlineStr">
        <is>
          <t>Tuesday</t>
        </is>
      </c>
      <c r="H1067" t="inlineStr">
        <is>
          <t>Monthly - Tuesday</t>
        </is>
      </c>
      <c r="I1067" t="inlineStr">
        <is>
          <t>Monthly - Tuesday</t>
        </is>
      </c>
      <c r="J1067" t="inlineStr">
        <is>
          <t>Month+4 Expiry</t>
        </is>
      </c>
      <c r="K1067" s="25" t="n">
        <v>502</v>
      </c>
      <c r="L1067" s="26" t="n">
        <v>0.8625</v>
      </c>
      <c r="M1067" s="26" t="n">
        <v>0.0221</v>
      </c>
    </row>
    <row r="1068" ht="16" customHeight="1">
      <c r="A1068" t="inlineStr">
        <is>
          <t>21-May-2026</t>
        </is>
      </c>
      <c r="B1068" t="inlineStr">
        <is>
          <t>Thursday</t>
        </is>
      </c>
      <c r="C1068" t="inlineStr">
        <is>
          <t>Week3-May-2026</t>
        </is>
      </c>
      <c r="D1068" s="78" t="n">
        <v>46143</v>
      </c>
      <c r="E1068" t="inlineStr">
        <is>
          <t>Q1FY27</t>
        </is>
      </c>
      <c r="F1068" t="inlineStr">
        <is>
          <t>29-Dec-2026</t>
        </is>
      </c>
      <c r="G1068" t="inlineStr">
        <is>
          <t>Tuesday</t>
        </is>
      </c>
      <c r="H1068" t="inlineStr">
        <is>
          <t>Monthly - Tuesday</t>
        </is>
      </c>
      <c r="I1068" t="inlineStr">
        <is>
          <t>Monthly - Tuesday</t>
        </is>
      </c>
      <c r="J1068" t="inlineStr">
        <is>
          <t>Month+7 Expiry</t>
        </is>
      </c>
      <c r="K1068" s="25" t="n">
        <v>19</v>
      </c>
      <c r="L1068" s="26" t="n">
        <v>0.0324</v>
      </c>
      <c r="M1068" s="26" t="n">
        <v>0.0011</v>
      </c>
    </row>
    <row r="1069" ht="16" customHeight="1">
      <c r="A1069" t="inlineStr">
        <is>
          <t>21-May-2026</t>
        </is>
      </c>
      <c r="B1069" t="inlineStr">
        <is>
          <t>Thursday</t>
        </is>
      </c>
      <c r="C1069" t="inlineStr">
        <is>
          <t>Week3-May-2026</t>
        </is>
      </c>
      <c r="D1069" s="78" t="n">
        <v>46143</v>
      </c>
      <c r="E1069" t="inlineStr">
        <is>
          <t>Q1FY27</t>
        </is>
      </c>
      <c r="F1069" t="inlineStr">
        <is>
          <t>30-Mar-2027</t>
        </is>
      </c>
      <c r="G1069" t="inlineStr">
        <is>
          <t>Tuesday</t>
        </is>
      </c>
      <c r="H1069" t="inlineStr">
        <is>
          <t>Monthly - Tuesday</t>
        </is>
      </c>
      <c r="I1069" t="inlineStr">
        <is>
          <t>Monthly - Tuesday</t>
        </is>
      </c>
      <c r="J1069" t="inlineStr">
        <is>
          <t>Month+10 Expiry</t>
        </is>
      </c>
      <c r="K1069" s="25" t="n">
        <v>0</v>
      </c>
      <c r="L1069" s="26" t="n">
        <v>0</v>
      </c>
      <c r="M1069" s="26" t="n">
        <v>0</v>
      </c>
    </row>
    <row r="1070" ht="16" customHeight="1">
      <c r="A1070" t="inlineStr">
        <is>
          <t>22-May-2026</t>
        </is>
      </c>
      <c r="B1070" t="inlineStr">
        <is>
          <t>Friday</t>
        </is>
      </c>
      <c r="C1070" t="inlineStr">
        <is>
          <t>Week4-May-2026</t>
        </is>
      </c>
      <c r="D1070" s="78" t="n">
        <v>46143</v>
      </c>
      <c r="E1070" t="inlineStr">
        <is>
          <t>Q1FY27</t>
        </is>
      </c>
      <c r="F1070" t="inlineStr">
        <is>
          <t>26-May-2026</t>
        </is>
      </c>
      <c r="G1070" t="inlineStr">
        <is>
          <t>Tuesday</t>
        </is>
      </c>
      <c r="H1070" t="inlineStr">
        <is>
          <t>Monthly - Tuesday</t>
        </is>
      </c>
      <c r="I1070" t="inlineStr">
        <is>
          <t>Monthly - Tuesday</t>
        </is>
      </c>
      <c r="J1070" t="inlineStr">
        <is>
          <t>Same Month Expiry</t>
        </is>
      </c>
      <c r="K1070" s="25" t="n">
        <v>9184146</v>
      </c>
      <c r="L1070" s="26" t="n">
        <v>15033.8902</v>
      </c>
      <c r="M1070" s="26" t="n">
        <v>67.343</v>
      </c>
    </row>
    <row r="1071" ht="16" customHeight="1">
      <c r="A1071" t="inlineStr">
        <is>
          <t>22-May-2026</t>
        </is>
      </c>
      <c r="B1071" t="inlineStr">
        <is>
          <t>Friday</t>
        </is>
      </c>
      <c r="C1071" t="inlineStr">
        <is>
          <t>Week4-May-2026</t>
        </is>
      </c>
      <c r="D1071" s="78" t="n">
        <v>46143</v>
      </c>
      <c r="E1071" t="inlineStr">
        <is>
          <t>Q1FY27</t>
        </is>
      </c>
      <c r="F1071" t="inlineStr">
        <is>
          <t>30-Jun-2026</t>
        </is>
      </c>
      <c r="G1071" t="inlineStr">
        <is>
          <t>Tuesday</t>
        </is>
      </c>
      <c r="H1071" t="inlineStr">
        <is>
          <t>Monthly - Tuesday</t>
        </is>
      </c>
      <c r="I1071" t="inlineStr">
        <is>
          <t>Monthly - Tuesday</t>
        </is>
      </c>
      <c r="J1071" t="inlineStr">
        <is>
          <t>Month+1 Expiry</t>
        </is>
      </c>
      <c r="K1071" s="25" t="n">
        <v>352471</v>
      </c>
      <c r="L1071" s="26" t="n">
        <v>597.9001</v>
      </c>
      <c r="M1071" s="26" t="n">
        <v>9.773099999999999</v>
      </c>
    </row>
    <row r="1072" ht="16" customHeight="1">
      <c r="A1072" t="inlineStr">
        <is>
          <t>22-May-2026</t>
        </is>
      </c>
      <c r="B1072" t="inlineStr">
        <is>
          <t>Friday</t>
        </is>
      </c>
      <c r="C1072" t="inlineStr">
        <is>
          <t>Week4-May-2026</t>
        </is>
      </c>
      <c r="D1072" s="78" t="n">
        <v>46143</v>
      </c>
      <c r="E1072" t="inlineStr">
        <is>
          <t>Q1FY27</t>
        </is>
      </c>
      <c r="F1072" t="inlineStr">
        <is>
          <t>28-Jul-2026</t>
        </is>
      </c>
      <c r="G1072" t="inlineStr">
        <is>
          <t>Tuesday</t>
        </is>
      </c>
      <c r="H1072" t="inlineStr">
        <is>
          <t>Monthly - Tuesday</t>
        </is>
      </c>
      <c r="I1072" t="inlineStr">
        <is>
          <t>Monthly - Tuesday</t>
        </is>
      </c>
      <c r="J1072" t="inlineStr">
        <is>
          <t>Month+2 Expiry</t>
        </is>
      </c>
      <c r="K1072" s="25" t="n">
        <v>8441</v>
      </c>
      <c r="L1072" s="26" t="n">
        <v>14.2495</v>
      </c>
      <c r="M1072" s="26" t="n">
        <v>0.2413</v>
      </c>
    </row>
    <row r="1073" ht="16" customHeight="1">
      <c r="A1073" t="inlineStr">
        <is>
          <t>22-May-2026</t>
        </is>
      </c>
      <c r="B1073" t="inlineStr">
        <is>
          <t>Friday</t>
        </is>
      </c>
      <c r="C1073" t="inlineStr">
        <is>
          <t>Week4-May-2026</t>
        </is>
      </c>
      <c r="D1073" s="78" t="n">
        <v>46143</v>
      </c>
      <c r="E1073" t="inlineStr">
        <is>
          <t>Q1FY27</t>
        </is>
      </c>
      <c r="F1073" t="inlineStr">
        <is>
          <t>29-Sep-2026</t>
        </is>
      </c>
      <c r="G1073" t="inlineStr">
        <is>
          <t>Tuesday</t>
        </is>
      </c>
      <c r="H1073" t="inlineStr">
        <is>
          <t>Monthly - Tuesday</t>
        </is>
      </c>
      <c r="I1073" t="inlineStr">
        <is>
          <t>Monthly - Tuesday</t>
        </is>
      </c>
      <c r="J1073" t="inlineStr">
        <is>
          <t>Month+4 Expiry</t>
        </is>
      </c>
      <c r="K1073" s="25" t="n">
        <v>668</v>
      </c>
      <c r="L1073" s="26" t="n">
        <v>1.1576</v>
      </c>
      <c r="M1073" s="26" t="n">
        <v>0.0205</v>
      </c>
    </row>
    <row r="1074" ht="16" customHeight="1">
      <c r="A1074" t="inlineStr">
        <is>
          <t>22-May-2026</t>
        </is>
      </c>
      <c r="B1074" t="inlineStr">
        <is>
          <t>Friday</t>
        </is>
      </c>
      <c r="C1074" t="inlineStr">
        <is>
          <t>Week4-May-2026</t>
        </is>
      </c>
      <c r="D1074" s="78" t="n">
        <v>46143</v>
      </c>
      <c r="E1074" t="inlineStr">
        <is>
          <t>Q1FY27</t>
        </is>
      </c>
      <c r="F1074" t="inlineStr">
        <is>
          <t>29-Dec-2026</t>
        </is>
      </c>
      <c r="G1074" t="inlineStr">
        <is>
          <t>Tuesday</t>
        </is>
      </c>
      <c r="H1074" t="inlineStr">
        <is>
          <t>Monthly - Tuesday</t>
        </is>
      </c>
      <c r="I1074" t="inlineStr">
        <is>
          <t>Monthly - Tuesday</t>
        </is>
      </c>
      <c r="J1074" t="inlineStr">
        <is>
          <t>Month+7 Expiry</t>
        </is>
      </c>
      <c r="K1074" s="25" t="n">
        <v>62</v>
      </c>
      <c r="L1074" s="26" t="n">
        <v>0.1105</v>
      </c>
      <c r="M1074" s="26" t="n">
        <v>0.0038</v>
      </c>
    </row>
    <row r="1075" ht="16" customHeight="1">
      <c r="A1075" t="inlineStr">
        <is>
          <t>22-May-2026</t>
        </is>
      </c>
      <c r="B1075" t="inlineStr">
        <is>
          <t>Friday</t>
        </is>
      </c>
      <c r="C1075" t="inlineStr">
        <is>
          <t>Week4-May-2026</t>
        </is>
      </c>
      <c r="D1075" s="78" t="n">
        <v>46143</v>
      </c>
      <c r="E1075" t="inlineStr">
        <is>
          <t>Q1FY27</t>
        </is>
      </c>
      <c r="F1075" t="inlineStr">
        <is>
          <t>30-Mar-2027</t>
        </is>
      </c>
      <c r="G1075" t="inlineStr">
        <is>
          <t>Tuesday</t>
        </is>
      </c>
      <c r="H1075" t="inlineStr">
        <is>
          <t>Monthly - Tuesday</t>
        </is>
      </c>
      <c r="I1075" t="inlineStr">
        <is>
          <t>Monthly - Tuesday</t>
        </is>
      </c>
      <c r="J1075" t="inlineStr">
        <is>
          <t>Month+10 Expiry</t>
        </is>
      </c>
      <c r="K1075" s="25" t="n">
        <v>0</v>
      </c>
      <c r="L1075" s="26" t="n">
        <v>0</v>
      </c>
      <c r="M1075" s="26" t="n">
        <v>0</v>
      </c>
    </row>
    <row r="1076" ht="16" customHeight="1">
      <c r="A1076" t="inlineStr">
        <is>
          <t>25-May-2026</t>
        </is>
      </c>
      <c r="B1076" t="inlineStr">
        <is>
          <t>Monday</t>
        </is>
      </c>
      <c r="C1076" t="inlineStr">
        <is>
          <t>Week4-May-2026</t>
        </is>
      </c>
      <c r="D1076" s="78" t="n">
        <v>46143</v>
      </c>
      <c r="E1076" t="inlineStr">
        <is>
          <t>Q1FY27</t>
        </is>
      </c>
      <c r="F1076" t="inlineStr">
        <is>
          <t>26-May-2026</t>
        </is>
      </c>
      <c r="G1076" t="inlineStr">
        <is>
          <t>Tuesday</t>
        </is>
      </c>
      <c r="H1076" t="inlineStr">
        <is>
          <t>Monthly - Tuesday</t>
        </is>
      </c>
      <c r="I1076" t="inlineStr">
        <is>
          <t>Monthly - Tuesday</t>
        </is>
      </c>
      <c r="J1076" t="inlineStr">
        <is>
          <t>Same Month Expiry</t>
        </is>
      </c>
      <c r="K1076" s="25" t="n">
        <v>16090631</v>
      </c>
      <c r="L1076" s="26" t="n">
        <v>26655.9037</v>
      </c>
      <c r="M1076" s="26" t="n">
        <v>79.5774</v>
      </c>
    </row>
    <row r="1077" ht="16" customHeight="1">
      <c r="A1077" t="inlineStr">
        <is>
          <t>25-May-2026</t>
        </is>
      </c>
      <c r="B1077" t="inlineStr">
        <is>
          <t>Monday</t>
        </is>
      </c>
      <c r="C1077" t="inlineStr">
        <is>
          <t>Week4-May-2026</t>
        </is>
      </c>
      <c r="D1077" s="78" t="n">
        <v>46143</v>
      </c>
      <c r="E1077" t="inlineStr">
        <is>
          <t>Q1FY27</t>
        </is>
      </c>
      <c r="F1077" t="inlineStr">
        <is>
          <t>30-Jun-2026</t>
        </is>
      </c>
      <c r="G1077" t="inlineStr">
        <is>
          <t>Tuesday</t>
        </is>
      </c>
      <c r="H1077" t="inlineStr">
        <is>
          <t>Monthly - Tuesday</t>
        </is>
      </c>
      <c r="I1077" t="inlineStr">
        <is>
          <t>Monthly - Tuesday</t>
        </is>
      </c>
      <c r="J1077" t="inlineStr">
        <is>
          <t>Month+1 Expiry</t>
        </is>
      </c>
      <c r="K1077" s="25" t="n">
        <v>571878</v>
      </c>
      <c r="L1077" s="26" t="n">
        <v>962.7992</v>
      </c>
      <c r="M1077" s="26" t="n">
        <v>13.8522</v>
      </c>
    </row>
    <row r="1078" ht="16" customHeight="1">
      <c r="A1078" t="inlineStr">
        <is>
          <t>25-May-2026</t>
        </is>
      </c>
      <c r="B1078" t="inlineStr">
        <is>
          <t>Monday</t>
        </is>
      </c>
      <c r="C1078" t="inlineStr">
        <is>
          <t>Week4-May-2026</t>
        </is>
      </c>
      <c r="D1078" s="78" t="n">
        <v>46143</v>
      </c>
      <c r="E1078" t="inlineStr">
        <is>
          <t>Q1FY27</t>
        </is>
      </c>
      <c r="F1078" t="inlineStr">
        <is>
          <t>28-Jul-2026</t>
        </is>
      </c>
      <c r="G1078" t="inlineStr">
        <is>
          <t>Tuesday</t>
        </is>
      </c>
      <c r="H1078" t="inlineStr">
        <is>
          <t>Monthly - Tuesday</t>
        </is>
      </c>
      <c r="I1078" t="inlineStr">
        <is>
          <t>Monthly - Tuesday</t>
        </is>
      </c>
      <c r="J1078" t="inlineStr">
        <is>
          <t>Month+2 Expiry</t>
        </is>
      </c>
      <c r="K1078" s="25" t="n">
        <v>18692</v>
      </c>
      <c r="L1078" s="26" t="n">
        <v>30.7746</v>
      </c>
      <c r="M1078" s="26" t="n">
        <v>0.4598</v>
      </c>
    </row>
    <row r="1079" ht="16" customHeight="1">
      <c r="A1079" t="inlineStr">
        <is>
          <t>25-May-2026</t>
        </is>
      </c>
      <c r="B1079" t="inlineStr">
        <is>
          <t>Monday</t>
        </is>
      </c>
      <c r="C1079" t="inlineStr">
        <is>
          <t>Week4-May-2026</t>
        </is>
      </c>
      <c r="D1079" s="78" t="n">
        <v>46143</v>
      </c>
      <c r="E1079" t="inlineStr">
        <is>
          <t>Q1FY27</t>
        </is>
      </c>
      <c r="F1079" t="inlineStr">
        <is>
          <t>29-Sep-2026</t>
        </is>
      </c>
      <c r="G1079" t="inlineStr">
        <is>
          <t>Tuesday</t>
        </is>
      </c>
      <c r="H1079" t="inlineStr">
        <is>
          <t>Monthly - Tuesday</t>
        </is>
      </c>
      <c r="I1079" t="inlineStr">
        <is>
          <t>Monthly - Tuesday</t>
        </is>
      </c>
      <c r="J1079" t="inlineStr">
        <is>
          <t>Month+4 Expiry</t>
        </is>
      </c>
      <c r="K1079" s="25" t="n">
        <v>1803</v>
      </c>
      <c r="L1079" s="26" t="n">
        <v>3.1854</v>
      </c>
      <c r="M1079" s="26" t="n">
        <v>0.0487</v>
      </c>
    </row>
    <row r="1080" ht="16" customHeight="1">
      <c r="A1080" t="inlineStr">
        <is>
          <t>25-May-2026</t>
        </is>
      </c>
      <c r="B1080" t="inlineStr">
        <is>
          <t>Monday</t>
        </is>
      </c>
      <c r="C1080" t="inlineStr">
        <is>
          <t>Week4-May-2026</t>
        </is>
      </c>
      <c r="D1080" s="78" t="n">
        <v>46143</v>
      </c>
      <c r="E1080" t="inlineStr">
        <is>
          <t>Q1FY27</t>
        </is>
      </c>
      <c r="F1080" t="inlineStr">
        <is>
          <t>29-Dec-2026</t>
        </is>
      </c>
      <c r="G1080" t="inlineStr">
        <is>
          <t>Tuesday</t>
        </is>
      </c>
      <c r="H1080" t="inlineStr">
        <is>
          <t>Monthly - Tuesday</t>
        </is>
      </c>
      <c r="I1080" t="inlineStr">
        <is>
          <t>Monthly - Tuesday</t>
        </is>
      </c>
      <c r="J1080" t="inlineStr">
        <is>
          <t>Month+7 Expiry</t>
        </is>
      </c>
      <c r="K1080" s="25" t="n">
        <v>50</v>
      </c>
      <c r="L1080" s="26" t="n">
        <v>0.0896</v>
      </c>
      <c r="M1080" s="26" t="n">
        <v>0.003</v>
      </c>
    </row>
    <row r="1081" ht="16" customHeight="1">
      <c r="A1081" t="inlineStr">
        <is>
          <t>25-May-2026</t>
        </is>
      </c>
      <c r="B1081" t="inlineStr">
        <is>
          <t>Monday</t>
        </is>
      </c>
      <c r="C1081" t="inlineStr">
        <is>
          <t>Week4-May-2026</t>
        </is>
      </c>
      <c r="D1081" s="78" t="n">
        <v>46143</v>
      </c>
      <c r="E1081" t="inlineStr">
        <is>
          <t>Q1FY27</t>
        </is>
      </c>
      <c r="F1081" t="inlineStr">
        <is>
          <t>30-Mar-2027</t>
        </is>
      </c>
      <c r="G1081" t="inlineStr">
        <is>
          <t>Tuesday</t>
        </is>
      </c>
      <c r="H1081" t="inlineStr">
        <is>
          <t>Monthly - Tuesday</t>
        </is>
      </c>
      <c r="I1081" t="inlineStr">
        <is>
          <t>Monthly - Tuesday</t>
        </is>
      </c>
      <c r="J1081" t="inlineStr">
        <is>
          <t>Month+10 Expiry</t>
        </is>
      </c>
      <c r="K1081" s="25" t="n">
        <v>0</v>
      </c>
      <c r="L1081" s="26" t="n">
        <v>0</v>
      </c>
      <c r="M1081" s="26" t="n">
        <v>0</v>
      </c>
    </row>
    <row r="1082" ht="16" customHeight="1">
      <c r="A1082" t="inlineStr">
        <is>
          <t>26-May-2026</t>
        </is>
      </c>
      <c r="B1082" t="inlineStr">
        <is>
          <t>Tuesday</t>
        </is>
      </c>
      <c r="C1082" t="inlineStr">
        <is>
          <t>Week4-May-2026</t>
        </is>
      </c>
      <c r="D1082" s="78" t="n">
        <v>46143</v>
      </c>
      <c r="E1082" t="inlineStr">
        <is>
          <t>Q1FY27</t>
        </is>
      </c>
      <c r="F1082" t="inlineStr">
        <is>
          <t>26-May-2026</t>
        </is>
      </c>
      <c r="G1082" t="inlineStr">
        <is>
          <t>Tuesday</t>
        </is>
      </c>
      <c r="H1082" t="inlineStr">
        <is>
          <t>Monthly - Tuesday</t>
        </is>
      </c>
      <c r="I1082" t="inlineStr">
        <is>
          <t>Monthly - Tuesday</t>
        </is>
      </c>
      <c r="J1082" t="inlineStr">
        <is>
          <t>Same Month Expiry</t>
        </is>
      </c>
      <c r="K1082" s="25" t="n">
        <v>96694212</v>
      </c>
      <c r="L1082" s="26" t="n">
        <v>160619.5662</v>
      </c>
      <c r="M1082" s="26" t="n">
        <v>176.1435</v>
      </c>
    </row>
    <row r="1083" ht="16" customHeight="1">
      <c r="A1083" t="inlineStr">
        <is>
          <t>26-May-2026</t>
        </is>
      </c>
      <c r="B1083" t="inlineStr">
        <is>
          <t>Tuesday</t>
        </is>
      </c>
      <c r="C1083" t="inlineStr">
        <is>
          <t>Week4-May-2026</t>
        </is>
      </c>
      <c r="D1083" s="78" t="n">
        <v>46143</v>
      </c>
      <c r="E1083" t="inlineStr">
        <is>
          <t>Q1FY27</t>
        </is>
      </c>
      <c r="F1083" t="inlineStr">
        <is>
          <t>30-Jun-2026</t>
        </is>
      </c>
      <c r="G1083" t="inlineStr">
        <is>
          <t>Tuesday</t>
        </is>
      </c>
      <c r="H1083" t="inlineStr">
        <is>
          <t>Monthly - Tuesday</t>
        </is>
      </c>
      <c r="I1083" t="inlineStr">
        <is>
          <t>Monthly - Tuesday</t>
        </is>
      </c>
      <c r="J1083" t="inlineStr">
        <is>
          <t>Month+1 Expiry</t>
        </is>
      </c>
      <c r="K1083" s="25" t="n">
        <v>711453</v>
      </c>
      <c r="L1083" s="26" t="n">
        <v>1203.513</v>
      </c>
      <c r="M1083" s="26" t="n">
        <v>16.8689</v>
      </c>
    </row>
    <row r="1084" ht="16" customHeight="1">
      <c r="A1084" t="inlineStr">
        <is>
          <t>26-May-2026</t>
        </is>
      </c>
      <c r="B1084" t="inlineStr">
        <is>
          <t>Tuesday</t>
        </is>
      </c>
      <c r="C1084" t="inlineStr">
        <is>
          <t>Week4-May-2026</t>
        </is>
      </c>
      <c r="D1084" s="78" t="n">
        <v>46143</v>
      </c>
      <c r="E1084" t="inlineStr">
        <is>
          <t>Q1FY27</t>
        </is>
      </c>
      <c r="F1084" t="inlineStr">
        <is>
          <t>28-Jul-2026</t>
        </is>
      </c>
      <c r="G1084" t="inlineStr">
        <is>
          <t>Tuesday</t>
        </is>
      </c>
      <c r="H1084" t="inlineStr">
        <is>
          <t>Monthly - Tuesday</t>
        </is>
      </c>
      <c r="I1084" t="inlineStr">
        <is>
          <t>Monthly - Tuesday</t>
        </is>
      </c>
      <c r="J1084" t="inlineStr">
        <is>
          <t>Month+2 Expiry</t>
        </is>
      </c>
      <c r="K1084" s="25" t="n">
        <v>18448</v>
      </c>
      <c r="L1084" s="26" t="n">
        <v>30.6715</v>
      </c>
      <c r="M1084" s="26" t="n">
        <v>0.3816</v>
      </c>
    </row>
    <row r="1085" ht="16" customHeight="1">
      <c r="A1085" t="inlineStr">
        <is>
          <t>26-May-2026</t>
        </is>
      </c>
      <c r="B1085" t="inlineStr">
        <is>
          <t>Tuesday</t>
        </is>
      </c>
      <c r="C1085" t="inlineStr">
        <is>
          <t>Week4-May-2026</t>
        </is>
      </c>
      <c r="D1085" s="78" t="n">
        <v>46143</v>
      </c>
      <c r="E1085" t="inlineStr">
        <is>
          <t>Q1FY27</t>
        </is>
      </c>
      <c r="F1085" t="inlineStr">
        <is>
          <t>29-Sep-2026</t>
        </is>
      </c>
      <c r="G1085" t="inlineStr">
        <is>
          <t>Tuesday</t>
        </is>
      </c>
      <c r="H1085" t="inlineStr">
        <is>
          <t>Monthly - Tuesday</t>
        </is>
      </c>
      <c r="I1085" t="inlineStr">
        <is>
          <t>Monthly - Tuesday</t>
        </is>
      </c>
      <c r="J1085" t="inlineStr">
        <is>
          <t>Month+4 Expiry</t>
        </is>
      </c>
      <c r="K1085" s="25" t="n">
        <v>854</v>
      </c>
      <c r="L1085" s="26" t="n">
        <v>1.4827</v>
      </c>
      <c r="M1085" s="26" t="n">
        <v>0.0256</v>
      </c>
    </row>
    <row r="1086" ht="16" customHeight="1">
      <c r="A1086" t="inlineStr">
        <is>
          <t>26-May-2026</t>
        </is>
      </c>
      <c r="B1086" t="inlineStr">
        <is>
          <t>Tuesday</t>
        </is>
      </c>
      <c r="C1086" t="inlineStr">
        <is>
          <t>Week4-May-2026</t>
        </is>
      </c>
      <c r="D1086" s="78" t="n">
        <v>46143</v>
      </c>
      <c r="E1086" t="inlineStr">
        <is>
          <t>Q1FY27</t>
        </is>
      </c>
      <c r="F1086" t="inlineStr">
        <is>
          <t>29-Dec-2026</t>
        </is>
      </c>
      <c r="G1086" t="inlineStr">
        <is>
          <t>Tuesday</t>
        </is>
      </c>
      <c r="H1086" t="inlineStr">
        <is>
          <t>Monthly - Tuesday</t>
        </is>
      </c>
      <c r="I1086" t="inlineStr">
        <is>
          <t>Monthly - Tuesday</t>
        </is>
      </c>
      <c r="J1086" t="inlineStr">
        <is>
          <t>Month+7 Expiry</t>
        </is>
      </c>
      <c r="K1086" s="25" t="n">
        <v>21</v>
      </c>
      <c r="L1086" s="26" t="n">
        <v>0.0363</v>
      </c>
      <c r="M1086" s="26" t="n">
        <v>0.0011</v>
      </c>
    </row>
    <row r="1087" ht="16" customHeight="1">
      <c r="A1087" t="inlineStr">
        <is>
          <t>26-May-2026</t>
        </is>
      </c>
      <c r="B1087" t="inlineStr">
        <is>
          <t>Tuesday</t>
        </is>
      </c>
      <c r="C1087" t="inlineStr">
        <is>
          <t>Week4-May-2026</t>
        </is>
      </c>
      <c r="D1087" s="78" t="n">
        <v>46143</v>
      </c>
      <c r="E1087" t="inlineStr">
        <is>
          <t>Q1FY27</t>
        </is>
      </c>
      <c r="F1087" t="inlineStr">
        <is>
          <t>30-Mar-2027</t>
        </is>
      </c>
      <c r="G1087" t="inlineStr">
        <is>
          <t>Tuesday</t>
        </is>
      </c>
      <c r="H1087" t="inlineStr">
        <is>
          <t>Monthly - Tuesday</t>
        </is>
      </c>
      <c r="I1087" t="inlineStr">
        <is>
          <t>Monthly - Tuesday</t>
        </is>
      </c>
      <c r="J1087" t="inlineStr">
        <is>
          <t>Month+10 Expiry</t>
        </is>
      </c>
      <c r="K1087" s="25" t="n">
        <v>0</v>
      </c>
      <c r="L1087" s="26" t="n">
        <v>0</v>
      </c>
      <c r="M1087" s="26" t="n">
        <v>0</v>
      </c>
    </row>
    <row r="1088" ht="16" customHeight="1">
      <c r="A1088" t="inlineStr">
        <is>
          <t>27-May-2026</t>
        </is>
      </c>
      <c r="B1088" t="inlineStr">
        <is>
          <t>Wednesday</t>
        </is>
      </c>
      <c r="C1088" t="inlineStr">
        <is>
          <t>Week4-May-2026</t>
        </is>
      </c>
      <c r="D1088" s="78" t="n">
        <v>46143</v>
      </c>
      <c r="E1088" t="inlineStr">
        <is>
          <t>Q1FY27</t>
        </is>
      </c>
      <c r="F1088" t="inlineStr">
        <is>
          <t>30-Jun-2026</t>
        </is>
      </c>
      <c r="G1088" t="inlineStr">
        <is>
          <t>Tuesday</t>
        </is>
      </c>
      <c r="H1088" t="inlineStr">
        <is>
          <t>Monthly - Tuesday</t>
        </is>
      </c>
      <c r="I1088" t="inlineStr">
        <is>
          <t>Monthly - Tuesday</t>
        </is>
      </c>
      <c r="J1088" t="inlineStr">
        <is>
          <t>Month+1 Expiry</t>
        </is>
      </c>
      <c r="K1088" s="25" t="n">
        <v>1543898</v>
      </c>
      <c r="L1088" s="26" t="n">
        <v>2607.9209</v>
      </c>
      <c r="M1088" s="26" t="n">
        <v>33.1177</v>
      </c>
    </row>
    <row r="1089" ht="16" customHeight="1">
      <c r="A1089" t="inlineStr">
        <is>
          <t>27-May-2026</t>
        </is>
      </c>
      <c r="B1089" t="inlineStr">
        <is>
          <t>Wednesday</t>
        </is>
      </c>
      <c r="C1089" t="inlineStr">
        <is>
          <t>Week4-May-2026</t>
        </is>
      </c>
      <c r="D1089" s="78" t="n">
        <v>46143</v>
      </c>
      <c r="E1089" t="inlineStr">
        <is>
          <t>Q1FY27</t>
        </is>
      </c>
      <c r="F1089" t="inlineStr">
        <is>
          <t>28-Jul-2026</t>
        </is>
      </c>
      <c r="G1089" t="inlineStr">
        <is>
          <t>Tuesday</t>
        </is>
      </c>
      <c r="H1089" t="inlineStr">
        <is>
          <t>Monthly - Tuesday</t>
        </is>
      </c>
      <c r="I1089" t="inlineStr">
        <is>
          <t>Monthly - Tuesday</t>
        </is>
      </c>
      <c r="J1089" t="inlineStr">
        <is>
          <t>Month+2 Expiry</t>
        </is>
      </c>
      <c r="K1089" s="25" t="n">
        <v>20273</v>
      </c>
      <c r="L1089" s="26" t="n">
        <v>33.3546</v>
      </c>
      <c r="M1089" s="26" t="n">
        <v>0.3924</v>
      </c>
    </row>
    <row r="1090" ht="16" customHeight="1">
      <c r="A1090" t="inlineStr">
        <is>
          <t>27-May-2026</t>
        </is>
      </c>
      <c r="B1090" t="inlineStr">
        <is>
          <t>Wednesday</t>
        </is>
      </c>
      <c r="C1090" t="inlineStr">
        <is>
          <t>Week4-May-2026</t>
        </is>
      </c>
      <c r="D1090" s="78" t="n">
        <v>46143</v>
      </c>
      <c r="E1090" t="inlineStr">
        <is>
          <t>Q1FY27</t>
        </is>
      </c>
      <c r="F1090" t="inlineStr">
        <is>
          <t>25-Aug-2026</t>
        </is>
      </c>
      <c r="G1090" t="inlineStr">
        <is>
          <t>Tuesday</t>
        </is>
      </c>
      <c r="H1090" t="inlineStr">
        <is>
          <t>Monthly - Tuesday</t>
        </is>
      </c>
      <c r="I1090" t="inlineStr">
        <is>
          <t>Monthly - Tuesday</t>
        </is>
      </c>
      <c r="J1090" t="inlineStr">
        <is>
          <t>Month+3 Expiry</t>
        </is>
      </c>
      <c r="K1090" s="25" t="n">
        <v>375</v>
      </c>
      <c r="L1090" s="26" t="n">
        <v>0.6235000000000001</v>
      </c>
      <c r="M1090" s="26" t="n">
        <v>0.0131</v>
      </c>
    </row>
    <row r="1091" ht="16" customHeight="1">
      <c r="A1091" t="inlineStr">
        <is>
          <t>27-May-2026</t>
        </is>
      </c>
      <c r="B1091" t="inlineStr">
        <is>
          <t>Wednesday</t>
        </is>
      </c>
      <c r="C1091" t="inlineStr">
        <is>
          <t>Week4-May-2026</t>
        </is>
      </c>
      <c r="D1091" s="78" t="n">
        <v>46143</v>
      </c>
      <c r="E1091" t="inlineStr">
        <is>
          <t>Q1FY27</t>
        </is>
      </c>
      <c r="F1091" t="inlineStr">
        <is>
          <t>29-Sep-2026</t>
        </is>
      </c>
      <c r="G1091" t="inlineStr">
        <is>
          <t>Tuesday</t>
        </is>
      </c>
      <c r="H1091" t="inlineStr">
        <is>
          <t>Monthly - Tuesday</t>
        </is>
      </c>
      <c r="I1091" t="inlineStr">
        <is>
          <t>Monthly - Tuesday</t>
        </is>
      </c>
      <c r="J1091" t="inlineStr">
        <is>
          <t>Month+4 Expiry</t>
        </is>
      </c>
      <c r="K1091" s="25" t="n">
        <v>743</v>
      </c>
      <c r="L1091" s="26" t="n">
        <v>1.286</v>
      </c>
      <c r="M1091" s="26" t="n">
        <v>0.026</v>
      </c>
    </row>
    <row r="1092" ht="16" customHeight="1">
      <c r="A1092" t="inlineStr">
        <is>
          <t>27-May-2026</t>
        </is>
      </c>
      <c r="B1092" t="inlineStr">
        <is>
          <t>Wednesday</t>
        </is>
      </c>
      <c r="C1092" t="inlineStr">
        <is>
          <t>Week4-May-2026</t>
        </is>
      </c>
      <c r="D1092" s="78" t="n">
        <v>46143</v>
      </c>
      <c r="E1092" t="inlineStr">
        <is>
          <t>Q1FY27</t>
        </is>
      </c>
      <c r="F1092" t="inlineStr">
        <is>
          <t>29-Dec-2026</t>
        </is>
      </c>
      <c r="G1092" t="inlineStr">
        <is>
          <t>Tuesday</t>
        </is>
      </c>
      <c r="H1092" t="inlineStr">
        <is>
          <t>Monthly - Tuesday</t>
        </is>
      </c>
      <c r="I1092" t="inlineStr">
        <is>
          <t>Monthly - Tuesday</t>
        </is>
      </c>
      <c r="J1092" t="inlineStr">
        <is>
          <t>Month+7 Expiry</t>
        </is>
      </c>
      <c r="K1092" s="25" t="n">
        <v>46</v>
      </c>
      <c r="L1092" s="26" t="n">
        <v>0.0775</v>
      </c>
      <c r="M1092" s="26" t="n">
        <v>0.0021</v>
      </c>
    </row>
    <row r="1093" ht="16" customHeight="1">
      <c r="A1093" t="inlineStr">
        <is>
          <t>27-May-2026</t>
        </is>
      </c>
      <c r="B1093" t="inlineStr">
        <is>
          <t>Wednesday</t>
        </is>
      </c>
      <c r="C1093" t="inlineStr">
        <is>
          <t>Week4-May-2026</t>
        </is>
      </c>
      <c r="D1093" s="78" t="n">
        <v>46143</v>
      </c>
      <c r="E1093" t="inlineStr">
        <is>
          <t>Q1FY27</t>
        </is>
      </c>
      <c r="F1093" t="inlineStr">
        <is>
          <t>30-Mar-2027</t>
        </is>
      </c>
      <c r="G1093" t="inlineStr">
        <is>
          <t>Tuesday</t>
        </is>
      </c>
      <c r="H1093" t="inlineStr">
        <is>
          <t>Monthly - Tuesday</t>
        </is>
      </c>
      <c r="I1093" t="inlineStr">
        <is>
          <t>Monthly - Tuesday</t>
        </is>
      </c>
      <c r="J1093" t="inlineStr">
        <is>
          <t>Month+10 Expiry</t>
        </is>
      </c>
      <c r="K1093" s="25" t="n">
        <v>0</v>
      </c>
      <c r="L1093" s="26" t="n">
        <v>0</v>
      </c>
      <c r="M1093" s="26" t="n">
        <v>0</v>
      </c>
    </row>
    <row r="1094" ht="16" customHeight="1">
      <c r="A1094" t="inlineStr">
        <is>
          <t>29-May-2026</t>
        </is>
      </c>
      <c r="B1094" t="inlineStr">
        <is>
          <t>Friday</t>
        </is>
      </c>
      <c r="C1094" t="inlineStr">
        <is>
          <t>Week5-May-2026</t>
        </is>
      </c>
      <c r="D1094" s="78" t="n">
        <v>46143</v>
      </c>
      <c r="E1094" t="inlineStr">
        <is>
          <t>Q1FY27</t>
        </is>
      </c>
      <c r="F1094" t="inlineStr">
        <is>
          <t>30-Jun-2026</t>
        </is>
      </c>
      <c r="G1094" t="inlineStr">
        <is>
          <t>Tuesday</t>
        </is>
      </c>
      <c r="H1094" t="inlineStr">
        <is>
          <t>Monthly - Tuesday</t>
        </is>
      </c>
      <c r="I1094" t="inlineStr">
        <is>
          <t>Monthly - Tuesday</t>
        </is>
      </c>
      <c r="J1094" t="inlineStr">
        <is>
          <t>Month+1 Expiry</t>
        </is>
      </c>
      <c r="K1094" s="25" t="n">
        <v>2073141</v>
      </c>
      <c r="L1094" s="26" t="n">
        <v>3482.1717</v>
      </c>
      <c r="M1094" s="26" t="n">
        <v>43.5329</v>
      </c>
    </row>
    <row r="1095" ht="16" customHeight="1">
      <c r="A1095" t="inlineStr">
        <is>
          <t>29-May-2026</t>
        </is>
      </c>
      <c r="B1095" t="inlineStr">
        <is>
          <t>Friday</t>
        </is>
      </c>
      <c r="C1095" t="inlineStr">
        <is>
          <t>Week5-May-2026</t>
        </is>
      </c>
      <c r="D1095" s="78" t="n">
        <v>46143</v>
      </c>
      <c r="E1095" t="inlineStr">
        <is>
          <t>Q1FY27</t>
        </is>
      </c>
      <c r="F1095" t="inlineStr">
        <is>
          <t>28-Jul-2026</t>
        </is>
      </c>
      <c r="G1095" t="inlineStr">
        <is>
          <t>Tuesday</t>
        </is>
      </c>
      <c r="H1095" t="inlineStr">
        <is>
          <t>Monthly - Tuesday</t>
        </is>
      </c>
      <c r="I1095" t="inlineStr">
        <is>
          <t>Monthly - Tuesday</t>
        </is>
      </c>
      <c r="J1095" t="inlineStr">
        <is>
          <t>Month+2 Expiry</t>
        </is>
      </c>
      <c r="K1095" s="25" t="n">
        <v>28947</v>
      </c>
      <c r="L1095" s="26" t="n">
        <v>49.0949</v>
      </c>
      <c r="M1095" s="26" t="n">
        <v>0.8135</v>
      </c>
    </row>
    <row r="1096" ht="16" customHeight="1">
      <c r="A1096" t="inlineStr">
        <is>
          <t>29-May-2026</t>
        </is>
      </c>
      <c r="B1096" t="inlineStr">
        <is>
          <t>Friday</t>
        </is>
      </c>
      <c r="C1096" t="inlineStr">
        <is>
          <t>Week5-May-2026</t>
        </is>
      </c>
      <c r="D1096" s="78" t="n">
        <v>46143</v>
      </c>
      <c r="E1096" t="inlineStr">
        <is>
          <t>Q1FY27</t>
        </is>
      </c>
      <c r="F1096" t="inlineStr">
        <is>
          <t>25-Aug-2026</t>
        </is>
      </c>
      <c r="G1096" t="inlineStr">
        <is>
          <t>Tuesday</t>
        </is>
      </c>
      <c r="H1096" t="inlineStr">
        <is>
          <t>Monthly - Tuesday</t>
        </is>
      </c>
      <c r="I1096" t="inlineStr">
        <is>
          <t>Monthly - Tuesday</t>
        </is>
      </c>
      <c r="J1096" t="inlineStr">
        <is>
          <t>Month+3 Expiry</t>
        </is>
      </c>
      <c r="K1096" s="25" t="n">
        <v>877</v>
      </c>
      <c r="L1096" s="26" t="n">
        <v>1.4602</v>
      </c>
      <c r="M1096" s="26" t="n">
        <v>0.0283</v>
      </c>
    </row>
    <row r="1097" ht="16" customHeight="1">
      <c r="A1097" t="inlineStr">
        <is>
          <t>29-May-2026</t>
        </is>
      </c>
      <c r="B1097" t="inlineStr">
        <is>
          <t>Friday</t>
        </is>
      </c>
      <c r="C1097" t="inlineStr">
        <is>
          <t>Week5-May-2026</t>
        </is>
      </c>
      <c r="D1097" s="78" t="n">
        <v>46143</v>
      </c>
      <c r="E1097" t="inlineStr">
        <is>
          <t>Q1FY27</t>
        </is>
      </c>
      <c r="F1097" t="inlineStr">
        <is>
          <t>29-Sep-2026</t>
        </is>
      </c>
      <c r="G1097" t="inlineStr">
        <is>
          <t>Tuesday</t>
        </is>
      </c>
      <c r="H1097" t="inlineStr">
        <is>
          <t>Monthly - Tuesday</t>
        </is>
      </c>
      <c r="I1097" t="inlineStr">
        <is>
          <t>Monthly - Tuesday</t>
        </is>
      </c>
      <c r="J1097" t="inlineStr">
        <is>
          <t>Month+4 Expiry</t>
        </is>
      </c>
      <c r="K1097" s="25" t="n">
        <v>1085</v>
      </c>
      <c r="L1097" s="26" t="n">
        <v>1.8913</v>
      </c>
      <c r="M1097" s="26" t="n">
        <v>0.034</v>
      </c>
    </row>
    <row r="1098" ht="16" customHeight="1">
      <c r="A1098" t="inlineStr">
        <is>
          <t>29-May-2026</t>
        </is>
      </c>
      <c r="B1098" t="inlineStr">
        <is>
          <t>Friday</t>
        </is>
      </c>
      <c r="C1098" t="inlineStr">
        <is>
          <t>Week5-May-2026</t>
        </is>
      </c>
      <c r="D1098" s="78" t="n">
        <v>46143</v>
      </c>
      <c r="E1098" t="inlineStr">
        <is>
          <t>Q1FY27</t>
        </is>
      </c>
      <c r="F1098" t="inlineStr">
        <is>
          <t>29-Dec-2026</t>
        </is>
      </c>
      <c r="G1098" t="inlineStr">
        <is>
          <t>Tuesday</t>
        </is>
      </c>
      <c r="H1098" t="inlineStr">
        <is>
          <t>Monthly - Tuesday</t>
        </is>
      </c>
      <c r="I1098" t="inlineStr">
        <is>
          <t>Monthly - Tuesday</t>
        </is>
      </c>
      <c r="J1098" t="inlineStr">
        <is>
          <t>Month+7 Expiry</t>
        </is>
      </c>
      <c r="K1098" s="25" t="n">
        <v>33</v>
      </c>
      <c r="L1098" s="26" t="n">
        <v>0.0552</v>
      </c>
      <c r="M1098" s="26" t="n">
        <v>0.0014</v>
      </c>
    </row>
    <row r="1099" ht="16" customHeight="1">
      <c r="A1099" t="inlineStr">
        <is>
          <t>29-May-2026</t>
        </is>
      </c>
      <c r="B1099" t="inlineStr">
        <is>
          <t>Friday</t>
        </is>
      </c>
      <c r="C1099" t="inlineStr">
        <is>
          <t>Week5-May-2026</t>
        </is>
      </c>
      <c r="D1099" s="78" t="n">
        <v>46143</v>
      </c>
      <c r="E1099" t="inlineStr">
        <is>
          <t>Q1FY27</t>
        </is>
      </c>
      <c r="F1099" t="inlineStr">
        <is>
          <t>30-Mar-2027</t>
        </is>
      </c>
      <c r="G1099" t="inlineStr">
        <is>
          <t>Tuesday</t>
        </is>
      </c>
      <c r="H1099" t="inlineStr">
        <is>
          <t>Monthly - Tuesday</t>
        </is>
      </c>
      <c r="I1099" t="inlineStr">
        <is>
          <t>Monthly - Tuesday</t>
        </is>
      </c>
      <c r="J1099" t="inlineStr">
        <is>
          <t>Month+10 Expiry</t>
        </is>
      </c>
      <c r="K1099" s="25" t="n">
        <v>0</v>
      </c>
      <c r="L1099" s="26" t="n">
        <v>0</v>
      </c>
      <c r="M1099" s="26" t="n">
        <v>0</v>
      </c>
    </row>
    <row r="1100" ht="16" customHeight="1">
      <c r="A1100" t="inlineStr">
        <is>
          <t>01-Jun-2026</t>
        </is>
      </c>
      <c r="B1100" t="inlineStr">
        <is>
          <t>Monday</t>
        </is>
      </c>
      <c r="C1100" t="inlineStr">
        <is>
          <t>Week1-Jun-2026</t>
        </is>
      </c>
      <c r="D1100" s="78" t="n">
        <v>46174</v>
      </c>
      <c r="E1100" t="inlineStr">
        <is>
          <t>Q1FY27</t>
        </is>
      </c>
      <c r="F1100" t="inlineStr">
        <is>
          <t>30-Jun-2026</t>
        </is>
      </c>
      <c r="G1100" t="inlineStr">
        <is>
          <t>Tuesday</t>
        </is>
      </c>
      <c r="H1100" t="inlineStr">
        <is>
          <t>Monthly - Tuesday</t>
        </is>
      </c>
      <c r="I1100" t="inlineStr">
        <is>
          <t>Monthly - Tuesday</t>
        </is>
      </c>
      <c r="J1100" t="inlineStr">
        <is>
          <t>Same Month Expiry</t>
        </is>
      </c>
      <c r="K1100" s="25" t="n">
        <v>2087116</v>
      </c>
      <c r="L1100" s="26" t="n">
        <v>3488.3623</v>
      </c>
      <c r="M1100" s="26" t="n">
        <v>41.5176</v>
      </c>
    </row>
    <row r="1101" ht="16" customHeight="1">
      <c r="A1101" t="inlineStr">
        <is>
          <t>01-Jun-2026</t>
        </is>
      </c>
      <c r="B1101" t="inlineStr">
        <is>
          <t>Monday</t>
        </is>
      </c>
      <c r="C1101" t="inlineStr">
        <is>
          <t>Week1-Jun-2026</t>
        </is>
      </c>
      <c r="D1101" s="78" t="n">
        <v>46174</v>
      </c>
      <c r="E1101" t="inlineStr">
        <is>
          <t>Q1FY27</t>
        </is>
      </c>
      <c r="F1101" t="inlineStr">
        <is>
          <t>28-Jul-2026</t>
        </is>
      </c>
      <c r="G1101" t="inlineStr">
        <is>
          <t>Tuesday</t>
        </is>
      </c>
      <c r="H1101" t="inlineStr">
        <is>
          <t>Monthly - Tuesday</t>
        </is>
      </c>
      <c r="I1101" t="inlineStr">
        <is>
          <t>Monthly - Tuesday</t>
        </is>
      </c>
      <c r="J1101" t="inlineStr">
        <is>
          <t>Month+1 Expiry</t>
        </is>
      </c>
      <c r="K1101" s="25" t="n">
        <v>83895</v>
      </c>
      <c r="L1101" s="26" t="n">
        <v>147.6527</v>
      </c>
      <c r="M1101" s="26" t="n">
        <v>0.8716</v>
      </c>
    </row>
    <row r="1102" ht="16" customHeight="1">
      <c r="A1102" t="inlineStr">
        <is>
          <t>01-Jun-2026</t>
        </is>
      </c>
      <c r="B1102" t="inlineStr">
        <is>
          <t>Monday</t>
        </is>
      </c>
      <c r="C1102" t="inlineStr">
        <is>
          <t>Week1-Jun-2026</t>
        </is>
      </c>
      <c r="D1102" s="78" t="n">
        <v>46174</v>
      </c>
      <c r="E1102" t="inlineStr">
        <is>
          <t>Q1FY27</t>
        </is>
      </c>
      <c r="F1102" t="inlineStr">
        <is>
          <t>25-Aug-2026</t>
        </is>
      </c>
      <c r="G1102" t="inlineStr">
        <is>
          <t>Tuesday</t>
        </is>
      </c>
      <c r="H1102" t="inlineStr">
        <is>
          <t>Monthly - Tuesday</t>
        </is>
      </c>
      <c r="I1102" t="inlineStr">
        <is>
          <t>Monthly - Tuesday</t>
        </is>
      </c>
      <c r="J1102" t="inlineStr">
        <is>
          <t>Month+2 Expiry</t>
        </is>
      </c>
      <c r="K1102" s="25" t="n">
        <v>1769</v>
      </c>
      <c r="L1102" s="26" t="n">
        <v>2.9685</v>
      </c>
      <c r="M1102" s="26" t="n">
        <v>0.07539999999999999</v>
      </c>
    </row>
    <row r="1103" ht="16" customHeight="1">
      <c r="A1103" t="inlineStr">
        <is>
          <t>01-Jun-2026</t>
        </is>
      </c>
      <c r="B1103" t="inlineStr">
        <is>
          <t>Monday</t>
        </is>
      </c>
      <c r="C1103" t="inlineStr">
        <is>
          <t>Week1-Jun-2026</t>
        </is>
      </c>
      <c r="D1103" s="78" t="n">
        <v>46174</v>
      </c>
      <c r="E1103" t="inlineStr">
        <is>
          <t>Q1FY27</t>
        </is>
      </c>
      <c r="F1103" t="inlineStr">
        <is>
          <t>29-Sep-2026</t>
        </is>
      </c>
      <c r="G1103" t="inlineStr">
        <is>
          <t>Tuesday</t>
        </is>
      </c>
      <c r="H1103" t="inlineStr">
        <is>
          <t>Monthly - Tuesday</t>
        </is>
      </c>
      <c r="I1103" t="inlineStr">
        <is>
          <t>Monthly - Tuesday</t>
        </is>
      </c>
      <c r="J1103" t="inlineStr">
        <is>
          <t>Month+3 Expiry</t>
        </is>
      </c>
      <c r="K1103" s="25" t="n">
        <v>2500</v>
      </c>
      <c r="L1103" s="26" t="n">
        <v>4.4105</v>
      </c>
      <c r="M1103" s="26" t="n">
        <v>0.0956</v>
      </c>
    </row>
    <row r="1104" ht="16" customHeight="1">
      <c r="A1104" t="inlineStr">
        <is>
          <t>01-Jun-2026</t>
        </is>
      </c>
      <c r="B1104" t="inlineStr">
        <is>
          <t>Monday</t>
        </is>
      </c>
      <c r="C1104" t="inlineStr">
        <is>
          <t>Week1-Jun-2026</t>
        </is>
      </c>
      <c r="D1104" s="78" t="n">
        <v>46174</v>
      </c>
      <c r="E1104" t="inlineStr">
        <is>
          <t>Q1FY27</t>
        </is>
      </c>
      <c r="F1104" t="inlineStr">
        <is>
          <t>29-Dec-2026</t>
        </is>
      </c>
      <c r="G1104" t="inlineStr">
        <is>
          <t>Tuesday</t>
        </is>
      </c>
      <c r="H1104" t="inlineStr">
        <is>
          <t>Monthly - Tuesday</t>
        </is>
      </c>
      <c r="I1104" t="inlineStr">
        <is>
          <t>Monthly - Tuesday</t>
        </is>
      </c>
      <c r="J1104" t="inlineStr">
        <is>
          <t>Month+6 Expiry</t>
        </is>
      </c>
      <c r="K1104" s="25" t="n">
        <v>33</v>
      </c>
      <c r="L1104" s="26" t="n">
        <v>0.0544</v>
      </c>
      <c r="M1104" s="26" t="n">
        <v>0.0011</v>
      </c>
    </row>
    <row r="1105" ht="16" customHeight="1">
      <c r="A1105" t="inlineStr">
        <is>
          <t>01-Jun-2026</t>
        </is>
      </c>
      <c r="B1105" t="inlineStr">
        <is>
          <t>Monday</t>
        </is>
      </c>
      <c r="C1105" t="inlineStr">
        <is>
          <t>Week1-Jun-2026</t>
        </is>
      </c>
      <c r="D1105" s="78" t="n">
        <v>46174</v>
      </c>
      <c r="E1105" t="inlineStr">
        <is>
          <t>Q1FY27</t>
        </is>
      </c>
      <c r="F1105" t="inlineStr">
        <is>
          <t>30-Mar-2027</t>
        </is>
      </c>
      <c r="G1105" t="inlineStr">
        <is>
          <t>Tuesday</t>
        </is>
      </c>
      <c r="H1105" t="inlineStr">
        <is>
          <t>Monthly - Tuesday</t>
        </is>
      </c>
      <c r="I1105" t="inlineStr">
        <is>
          <t>Monthly - Tuesday</t>
        </is>
      </c>
      <c r="J1105" t="inlineStr">
        <is>
          <t>Month+9 Expiry</t>
        </is>
      </c>
      <c r="K1105" s="25" t="n">
        <v>0</v>
      </c>
      <c r="L1105" s="26" t="n">
        <v>0</v>
      </c>
      <c r="M1105" s="26" t="n">
        <v>0</v>
      </c>
    </row>
    <row r="1106" ht="16" customHeight="1">
      <c r="A1106" t="inlineStr">
        <is>
          <t>02-Jun-2026</t>
        </is>
      </c>
      <c r="B1106" t="inlineStr">
        <is>
          <t>Tuesday</t>
        </is>
      </c>
      <c r="C1106" t="inlineStr">
        <is>
          <t>Week1-Jun-2026</t>
        </is>
      </c>
      <c r="D1106" s="78" t="n">
        <v>46174</v>
      </c>
      <c r="E1106" t="inlineStr">
        <is>
          <t>Q1FY27</t>
        </is>
      </c>
      <c r="F1106" t="inlineStr">
        <is>
          <t>30-Jun-2026</t>
        </is>
      </c>
      <c r="G1106" t="inlineStr">
        <is>
          <t>Tuesday</t>
        </is>
      </c>
      <c r="H1106" t="inlineStr">
        <is>
          <t>Monthly - Tuesday</t>
        </is>
      </c>
      <c r="I1106" t="inlineStr">
        <is>
          <t>Monthly - Tuesday</t>
        </is>
      </c>
      <c r="J1106" t="inlineStr">
        <is>
          <t>Same Month Expiry</t>
        </is>
      </c>
      <c r="K1106" s="25" t="n">
        <v>1957882</v>
      </c>
      <c r="L1106" s="26" t="n">
        <v>3240.4426</v>
      </c>
      <c r="M1106" s="26" t="n">
        <v>40.2826</v>
      </c>
    </row>
    <row r="1107" ht="16" customHeight="1">
      <c r="A1107" t="inlineStr">
        <is>
          <t>02-Jun-2026</t>
        </is>
      </c>
      <c r="B1107" t="inlineStr">
        <is>
          <t>Tuesday</t>
        </is>
      </c>
      <c r="C1107" t="inlineStr">
        <is>
          <t>Week1-Jun-2026</t>
        </is>
      </c>
      <c r="D1107" s="78" t="n">
        <v>46174</v>
      </c>
      <c r="E1107" t="inlineStr">
        <is>
          <t>Q1FY27</t>
        </is>
      </c>
      <c r="F1107" t="inlineStr">
        <is>
          <t>28-Jul-2026</t>
        </is>
      </c>
      <c r="G1107" t="inlineStr">
        <is>
          <t>Tuesday</t>
        </is>
      </c>
      <c r="H1107" t="inlineStr">
        <is>
          <t>Monthly - Tuesday</t>
        </is>
      </c>
      <c r="I1107" t="inlineStr">
        <is>
          <t>Monthly - Tuesday</t>
        </is>
      </c>
      <c r="J1107" t="inlineStr">
        <is>
          <t>Month+1 Expiry</t>
        </is>
      </c>
      <c r="K1107" s="25" t="n">
        <v>39495</v>
      </c>
      <c r="L1107" s="26" t="n">
        <v>67.1138</v>
      </c>
      <c r="M1107" s="26" t="n">
        <v>0.7378</v>
      </c>
    </row>
    <row r="1108" ht="16" customHeight="1">
      <c r="A1108" t="inlineStr">
        <is>
          <t>02-Jun-2026</t>
        </is>
      </c>
      <c r="B1108" t="inlineStr">
        <is>
          <t>Tuesday</t>
        </is>
      </c>
      <c r="C1108" t="inlineStr">
        <is>
          <t>Week1-Jun-2026</t>
        </is>
      </c>
      <c r="D1108" s="78" t="n">
        <v>46174</v>
      </c>
      <c r="E1108" t="inlineStr">
        <is>
          <t>Q1FY27</t>
        </is>
      </c>
      <c r="F1108" t="inlineStr">
        <is>
          <t>25-Aug-2026</t>
        </is>
      </c>
      <c r="G1108" t="inlineStr">
        <is>
          <t>Tuesday</t>
        </is>
      </c>
      <c r="H1108" t="inlineStr">
        <is>
          <t>Monthly - Tuesday</t>
        </is>
      </c>
      <c r="I1108" t="inlineStr">
        <is>
          <t>Monthly - Tuesday</t>
        </is>
      </c>
      <c r="J1108" t="inlineStr">
        <is>
          <t>Month+2 Expiry</t>
        </is>
      </c>
      <c r="K1108" s="25" t="n">
        <v>1730</v>
      </c>
      <c r="L1108" s="26" t="n">
        <v>2.948</v>
      </c>
      <c r="M1108" s="26" t="n">
        <v>0.0618</v>
      </c>
    </row>
    <row r="1109" ht="16" customHeight="1">
      <c r="A1109" t="inlineStr">
        <is>
          <t>02-Jun-2026</t>
        </is>
      </c>
      <c r="B1109" t="inlineStr">
        <is>
          <t>Tuesday</t>
        </is>
      </c>
      <c r="C1109" t="inlineStr">
        <is>
          <t>Week1-Jun-2026</t>
        </is>
      </c>
      <c r="D1109" s="78" t="n">
        <v>46174</v>
      </c>
      <c r="E1109" t="inlineStr">
        <is>
          <t>Q1FY27</t>
        </is>
      </c>
      <c r="F1109" t="inlineStr">
        <is>
          <t>29-Sep-2026</t>
        </is>
      </c>
      <c r="G1109" t="inlineStr">
        <is>
          <t>Tuesday</t>
        </is>
      </c>
      <c r="H1109" t="inlineStr">
        <is>
          <t>Monthly - Tuesday</t>
        </is>
      </c>
      <c r="I1109" t="inlineStr">
        <is>
          <t>Monthly - Tuesday</t>
        </is>
      </c>
      <c r="J1109" t="inlineStr">
        <is>
          <t>Month+3 Expiry</t>
        </is>
      </c>
      <c r="K1109" s="25" t="n">
        <v>2027</v>
      </c>
      <c r="L1109" s="26" t="n">
        <v>3.5526</v>
      </c>
      <c r="M1109" s="26" t="n">
        <v>0.0706</v>
      </c>
    </row>
    <row r="1110" ht="16" customHeight="1">
      <c r="A1110" t="inlineStr">
        <is>
          <t>02-Jun-2026</t>
        </is>
      </c>
      <c r="B1110" t="inlineStr">
        <is>
          <t>Tuesday</t>
        </is>
      </c>
      <c r="C1110" t="inlineStr">
        <is>
          <t>Week1-Jun-2026</t>
        </is>
      </c>
      <c r="D1110" s="78" t="n">
        <v>46174</v>
      </c>
      <c r="E1110" t="inlineStr">
        <is>
          <t>Q1FY27</t>
        </is>
      </c>
      <c r="F1110" t="inlineStr">
        <is>
          <t>29-Dec-2026</t>
        </is>
      </c>
      <c r="G1110" t="inlineStr">
        <is>
          <t>Tuesday</t>
        </is>
      </c>
      <c r="H1110" t="inlineStr">
        <is>
          <t>Monthly - Tuesday</t>
        </is>
      </c>
      <c r="I1110" t="inlineStr">
        <is>
          <t>Monthly - Tuesday</t>
        </is>
      </c>
      <c r="J1110" t="inlineStr">
        <is>
          <t>Month+6 Expiry</t>
        </is>
      </c>
      <c r="K1110" s="25" t="n">
        <v>47</v>
      </c>
      <c r="L1110" s="26" t="n">
        <v>0.08450000000000001</v>
      </c>
      <c r="M1110" s="26" t="n">
        <v>0.0019</v>
      </c>
    </row>
    <row r="1111" ht="16" customHeight="1">
      <c r="A1111" t="inlineStr">
        <is>
          <t>02-Jun-2026</t>
        </is>
      </c>
      <c r="B1111" t="inlineStr">
        <is>
          <t>Tuesday</t>
        </is>
      </c>
      <c r="C1111" t="inlineStr">
        <is>
          <t>Week1-Jun-2026</t>
        </is>
      </c>
      <c r="D1111" s="78" t="n">
        <v>46174</v>
      </c>
      <c r="E1111" t="inlineStr">
        <is>
          <t>Q1FY27</t>
        </is>
      </c>
      <c r="F1111" t="inlineStr">
        <is>
          <t>30-Mar-2027</t>
        </is>
      </c>
      <c r="G1111" t="inlineStr">
        <is>
          <t>Tuesday</t>
        </is>
      </c>
      <c r="H1111" t="inlineStr">
        <is>
          <t>Monthly - Tuesday</t>
        </is>
      </c>
      <c r="I1111" t="inlineStr">
        <is>
          <t>Monthly - Tuesday</t>
        </is>
      </c>
      <c r="J1111" t="inlineStr">
        <is>
          <t>Month+9 Expiry</t>
        </is>
      </c>
      <c r="K1111" s="25" t="n">
        <v>0</v>
      </c>
      <c r="L1111" s="26" t="n">
        <v>0</v>
      </c>
      <c r="M1111" s="26" t="n">
        <v>0</v>
      </c>
    </row>
    <row r="1112" ht="16" customHeight="1">
      <c r="A1112" t="inlineStr">
        <is>
          <t>03-Jun-2026</t>
        </is>
      </c>
      <c r="B1112" t="inlineStr">
        <is>
          <t>Wednesday</t>
        </is>
      </c>
      <c r="C1112" t="inlineStr">
        <is>
          <t>Week1-Jun-2026</t>
        </is>
      </c>
      <c r="D1112" s="78" t="n">
        <v>46174</v>
      </c>
      <c r="E1112" t="inlineStr">
        <is>
          <t>Q1FY27</t>
        </is>
      </c>
      <c r="F1112" t="inlineStr">
        <is>
          <t>30-Jun-2026</t>
        </is>
      </c>
      <c r="G1112" t="inlineStr">
        <is>
          <t>Tuesday</t>
        </is>
      </c>
      <c r="H1112" t="inlineStr">
        <is>
          <t>Monthly - Tuesday</t>
        </is>
      </c>
      <c r="I1112" t="inlineStr">
        <is>
          <t>Monthly - Tuesday</t>
        </is>
      </c>
      <c r="J1112" t="inlineStr">
        <is>
          <t>Same Month Expiry</t>
        </is>
      </c>
      <c r="K1112" s="25" t="n">
        <v>2574159</v>
      </c>
      <c r="L1112" s="26" t="n">
        <v>4270.5075</v>
      </c>
      <c r="M1112" s="26" t="n">
        <v>52.8291</v>
      </c>
    </row>
    <row r="1113" ht="16" customHeight="1">
      <c r="A1113" t="inlineStr">
        <is>
          <t>03-Jun-2026</t>
        </is>
      </c>
      <c r="B1113" t="inlineStr">
        <is>
          <t>Wednesday</t>
        </is>
      </c>
      <c r="C1113" t="inlineStr">
        <is>
          <t>Week1-Jun-2026</t>
        </is>
      </c>
      <c r="D1113" s="78" t="n">
        <v>46174</v>
      </c>
      <c r="E1113" t="inlineStr">
        <is>
          <t>Q1FY27</t>
        </is>
      </c>
      <c r="F1113" t="inlineStr">
        <is>
          <t>28-Jul-2026</t>
        </is>
      </c>
      <c r="G1113" t="inlineStr">
        <is>
          <t>Tuesday</t>
        </is>
      </c>
      <c r="H1113" t="inlineStr">
        <is>
          <t>Monthly - Tuesday</t>
        </is>
      </c>
      <c r="I1113" t="inlineStr">
        <is>
          <t>Monthly - Tuesday</t>
        </is>
      </c>
      <c r="J1113" t="inlineStr">
        <is>
          <t>Month+1 Expiry</t>
        </is>
      </c>
      <c r="K1113" s="25" t="n">
        <v>58330</v>
      </c>
      <c r="L1113" s="26" t="n">
        <v>98.79600000000001</v>
      </c>
      <c r="M1113" s="26" t="n">
        <v>1.146</v>
      </c>
    </row>
    <row r="1114" ht="16" customHeight="1">
      <c r="A1114" t="inlineStr">
        <is>
          <t>03-Jun-2026</t>
        </is>
      </c>
      <c r="B1114" t="inlineStr">
        <is>
          <t>Wednesday</t>
        </is>
      </c>
      <c r="C1114" t="inlineStr">
        <is>
          <t>Week1-Jun-2026</t>
        </is>
      </c>
      <c r="D1114" s="78" t="n">
        <v>46174</v>
      </c>
      <c r="E1114" t="inlineStr">
        <is>
          <t>Q1FY27</t>
        </is>
      </c>
      <c r="F1114" t="inlineStr">
        <is>
          <t>25-Aug-2026</t>
        </is>
      </c>
      <c r="G1114" t="inlineStr">
        <is>
          <t>Tuesday</t>
        </is>
      </c>
      <c r="H1114" t="inlineStr">
        <is>
          <t>Monthly - Tuesday</t>
        </is>
      </c>
      <c r="I1114" t="inlineStr">
        <is>
          <t>Monthly - Tuesday</t>
        </is>
      </c>
      <c r="J1114" t="inlineStr">
        <is>
          <t>Month+2 Expiry</t>
        </is>
      </c>
      <c r="K1114" s="25" t="n">
        <v>2635</v>
      </c>
      <c r="L1114" s="26" t="n">
        <v>4.4826</v>
      </c>
      <c r="M1114" s="26" t="n">
        <v>0.08450000000000001</v>
      </c>
    </row>
    <row r="1115" ht="16" customHeight="1">
      <c r="A1115" t="inlineStr">
        <is>
          <t>03-Jun-2026</t>
        </is>
      </c>
      <c r="B1115" t="inlineStr">
        <is>
          <t>Wednesday</t>
        </is>
      </c>
      <c r="C1115" t="inlineStr">
        <is>
          <t>Week1-Jun-2026</t>
        </is>
      </c>
      <c r="D1115" s="78" t="n">
        <v>46174</v>
      </c>
      <c r="E1115" t="inlineStr">
        <is>
          <t>Q1FY27</t>
        </is>
      </c>
      <c r="F1115" t="inlineStr">
        <is>
          <t>29-Sep-2026</t>
        </is>
      </c>
      <c r="G1115" t="inlineStr">
        <is>
          <t>Tuesday</t>
        </is>
      </c>
      <c r="H1115" t="inlineStr">
        <is>
          <t>Monthly - Tuesday</t>
        </is>
      </c>
      <c r="I1115" t="inlineStr">
        <is>
          <t>Monthly - Tuesday</t>
        </is>
      </c>
      <c r="J1115" t="inlineStr">
        <is>
          <t>Month+3 Expiry</t>
        </is>
      </c>
      <c r="K1115" s="25" t="n">
        <v>1774</v>
      </c>
      <c r="L1115" s="26" t="n">
        <v>3.0948</v>
      </c>
      <c r="M1115" s="26" t="n">
        <v>0.0649</v>
      </c>
    </row>
    <row r="1116" ht="16" customHeight="1">
      <c r="A1116" t="inlineStr">
        <is>
          <t>03-Jun-2026</t>
        </is>
      </c>
      <c r="B1116" t="inlineStr">
        <is>
          <t>Wednesday</t>
        </is>
      </c>
      <c r="C1116" t="inlineStr">
        <is>
          <t>Week1-Jun-2026</t>
        </is>
      </c>
      <c r="D1116" s="78" t="n">
        <v>46174</v>
      </c>
      <c r="E1116" t="inlineStr">
        <is>
          <t>Q1FY27</t>
        </is>
      </c>
      <c r="F1116" t="inlineStr">
        <is>
          <t>29-Dec-2026</t>
        </is>
      </c>
      <c r="G1116" t="inlineStr">
        <is>
          <t>Tuesday</t>
        </is>
      </c>
      <c r="H1116" t="inlineStr">
        <is>
          <t>Monthly - Tuesday</t>
        </is>
      </c>
      <c r="I1116" t="inlineStr">
        <is>
          <t>Monthly - Tuesday</t>
        </is>
      </c>
      <c r="J1116" t="inlineStr">
        <is>
          <t>Month+6 Expiry</t>
        </is>
      </c>
      <c r="K1116" s="25" t="n">
        <v>64</v>
      </c>
      <c r="L1116" s="26" t="n">
        <v>0.1145</v>
      </c>
      <c r="M1116" s="26" t="n">
        <v>0.0029</v>
      </c>
    </row>
    <row r="1117" ht="16" customHeight="1">
      <c r="A1117" t="inlineStr">
        <is>
          <t>03-Jun-2026</t>
        </is>
      </c>
      <c r="B1117" t="inlineStr">
        <is>
          <t>Wednesday</t>
        </is>
      </c>
      <c r="C1117" t="inlineStr">
        <is>
          <t>Week1-Jun-2026</t>
        </is>
      </c>
      <c r="D1117" s="78" t="n">
        <v>46174</v>
      </c>
      <c r="E1117" t="inlineStr">
        <is>
          <t>Q1FY27</t>
        </is>
      </c>
      <c r="F1117" t="inlineStr">
        <is>
          <t>30-Mar-2027</t>
        </is>
      </c>
      <c r="G1117" t="inlineStr">
        <is>
          <t>Tuesday</t>
        </is>
      </c>
      <c r="H1117" t="inlineStr">
        <is>
          <t>Monthly - Tuesday</t>
        </is>
      </c>
      <c r="I1117" t="inlineStr">
        <is>
          <t>Monthly - Tuesday</t>
        </is>
      </c>
      <c r="J1117" t="inlineStr">
        <is>
          <t>Month+9 Expiry</t>
        </is>
      </c>
      <c r="K1117" s="25" t="n">
        <v>0</v>
      </c>
      <c r="L1117" s="26" t="n">
        <v>0</v>
      </c>
      <c r="M1117" s="26" t="n">
        <v>0</v>
      </c>
    </row>
    <row r="1118" ht="16" customHeight="1">
      <c r="A1118" t="inlineStr">
        <is>
          <t>04-Jun-2026</t>
        </is>
      </c>
      <c r="B1118" t="inlineStr">
        <is>
          <t>Thursday</t>
        </is>
      </c>
      <c r="C1118" t="inlineStr">
        <is>
          <t>Week1-Jun-2026</t>
        </is>
      </c>
      <c r="D1118" s="78" t="n">
        <v>46174</v>
      </c>
      <c r="E1118" t="inlineStr">
        <is>
          <t>Q1FY27</t>
        </is>
      </c>
      <c r="F1118" t="inlineStr">
        <is>
          <t>30-Jun-2026</t>
        </is>
      </c>
      <c r="G1118" t="inlineStr">
        <is>
          <t>Tuesday</t>
        </is>
      </c>
      <c r="H1118" t="inlineStr">
        <is>
          <t>Monthly - Tuesday</t>
        </is>
      </c>
      <c r="I1118" t="inlineStr">
        <is>
          <t>Monthly - Tuesday</t>
        </is>
      </c>
      <c r="J1118" t="inlineStr">
        <is>
          <t>Same Month Expiry</t>
        </is>
      </c>
      <c r="K1118" s="25" t="n">
        <v>1805357</v>
      </c>
      <c r="L1118" s="26" t="n">
        <v>3012.7035</v>
      </c>
      <c r="M1118" s="26" t="n">
        <v>37.8257</v>
      </c>
    </row>
    <row r="1119" ht="16" customHeight="1">
      <c r="A1119" t="inlineStr">
        <is>
          <t>04-Jun-2026</t>
        </is>
      </c>
      <c r="B1119" t="inlineStr">
        <is>
          <t>Thursday</t>
        </is>
      </c>
      <c r="C1119" t="inlineStr">
        <is>
          <t>Week1-Jun-2026</t>
        </is>
      </c>
      <c r="D1119" s="78" t="n">
        <v>46174</v>
      </c>
      <c r="E1119" t="inlineStr">
        <is>
          <t>Q1FY27</t>
        </is>
      </c>
      <c r="F1119" t="inlineStr">
        <is>
          <t>28-Jul-2026</t>
        </is>
      </c>
      <c r="G1119" t="inlineStr">
        <is>
          <t>Tuesday</t>
        </is>
      </c>
      <c r="H1119" t="inlineStr">
        <is>
          <t>Monthly - Tuesday</t>
        </is>
      </c>
      <c r="I1119" t="inlineStr">
        <is>
          <t>Monthly - Tuesday</t>
        </is>
      </c>
      <c r="J1119" t="inlineStr">
        <is>
          <t>Month+1 Expiry</t>
        </is>
      </c>
      <c r="K1119" s="25" t="n">
        <v>25161</v>
      </c>
      <c r="L1119" s="26" t="n">
        <v>42.7997</v>
      </c>
      <c r="M1119" s="26" t="n">
        <v>0.5384</v>
      </c>
    </row>
    <row r="1120" ht="16" customHeight="1">
      <c r="A1120" t="inlineStr">
        <is>
          <t>04-Jun-2026</t>
        </is>
      </c>
      <c r="B1120" t="inlineStr">
        <is>
          <t>Thursday</t>
        </is>
      </c>
      <c r="C1120" t="inlineStr">
        <is>
          <t>Week1-Jun-2026</t>
        </is>
      </c>
      <c r="D1120" s="78" t="n">
        <v>46174</v>
      </c>
      <c r="E1120" t="inlineStr">
        <is>
          <t>Q1FY27</t>
        </is>
      </c>
      <c r="F1120" t="inlineStr">
        <is>
          <t>25-Aug-2026</t>
        </is>
      </c>
      <c r="G1120" t="inlineStr">
        <is>
          <t>Tuesday</t>
        </is>
      </c>
      <c r="H1120" t="inlineStr">
        <is>
          <t>Monthly - Tuesday</t>
        </is>
      </c>
      <c r="I1120" t="inlineStr">
        <is>
          <t>Monthly - Tuesday</t>
        </is>
      </c>
      <c r="J1120" t="inlineStr">
        <is>
          <t>Month+2 Expiry</t>
        </is>
      </c>
      <c r="K1120" s="25" t="n">
        <v>1206</v>
      </c>
      <c r="L1120" s="26" t="n">
        <v>2.0382</v>
      </c>
      <c r="M1120" s="26" t="n">
        <v>0.037</v>
      </c>
    </row>
    <row r="1121" ht="16" customHeight="1">
      <c r="A1121" t="inlineStr">
        <is>
          <t>04-Jun-2026</t>
        </is>
      </c>
      <c r="B1121" t="inlineStr">
        <is>
          <t>Thursday</t>
        </is>
      </c>
      <c r="C1121" t="inlineStr">
        <is>
          <t>Week1-Jun-2026</t>
        </is>
      </c>
      <c r="D1121" s="78" t="n">
        <v>46174</v>
      </c>
      <c r="E1121" t="inlineStr">
        <is>
          <t>Q1FY27</t>
        </is>
      </c>
      <c r="F1121" t="inlineStr">
        <is>
          <t>29-Sep-2026</t>
        </is>
      </c>
      <c r="G1121" t="inlineStr">
        <is>
          <t>Tuesday</t>
        </is>
      </c>
      <c r="H1121" t="inlineStr">
        <is>
          <t>Monthly - Tuesday</t>
        </is>
      </c>
      <c r="I1121" t="inlineStr">
        <is>
          <t>Monthly - Tuesday</t>
        </is>
      </c>
      <c r="J1121" t="inlineStr">
        <is>
          <t>Month+3 Expiry</t>
        </is>
      </c>
      <c r="K1121" s="25" t="n">
        <v>995</v>
      </c>
      <c r="L1121" s="26" t="n">
        <v>1.7344</v>
      </c>
      <c r="M1121" s="26" t="n">
        <v>0.043</v>
      </c>
    </row>
    <row r="1122" ht="16" customHeight="1">
      <c r="A1122" t="inlineStr">
        <is>
          <t>04-Jun-2026</t>
        </is>
      </c>
      <c r="B1122" t="inlineStr">
        <is>
          <t>Thursday</t>
        </is>
      </c>
      <c r="C1122" t="inlineStr">
        <is>
          <t>Week1-Jun-2026</t>
        </is>
      </c>
      <c r="D1122" s="78" t="n">
        <v>46174</v>
      </c>
      <c r="E1122" t="inlineStr">
        <is>
          <t>Q1FY27</t>
        </is>
      </c>
      <c r="F1122" t="inlineStr">
        <is>
          <t>29-Dec-2026</t>
        </is>
      </c>
      <c r="G1122" t="inlineStr">
        <is>
          <t>Tuesday</t>
        </is>
      </c>
      <c r="H1122" t="inlineStr">
        <is>
          <t>Monthly - Tuesday</t>
        </is>
      </c>
      <c r="I1122" t="inlineStr">
        <is>
          <t>Monthly - Tuesday</t>
        </is>
      </c>
      <c r="J1122" t="inlineStr">
        <is>
          <t>Month+6 Expiry</t>
        </is>
      </c>
      <c r="K1122" s="25" t="n">
        <v>92</v>
      </c>
      <c r="L1122" s="26" t="n">
        <v>0.1694</v>
      </c>
      <c r="M1122" s="26" t="n">
        <v>0.0043</v>
      </c>
    </row>
    <row r="1123" ht="16" customHeight="1">
      <c r="A1123" t="inlineStr">
        <is>
          <t>04-Jun-2026</t>
        </is>
      </c>
      <c r="B1123" t="inlineStr">
        <is>
          <t>Thursday</t>
        </is>
      </c>
      <c r="C1123" t="inlineStr">
        <is>
          <t>Week1-Jun-2026</t>
        </is>
      </c>
      <c r="D1123" s="78" t="n">
        <v>46174</v>
      </c>
      <c r="E1123" t="inlineStr">
        <is>
          <t>Q1FY27</t>
        </is>
      </c>
      <c r="F1123" t="inlineStr">
        <is>
          <t>30-Mar-2027</t>
        </is>
      </c>
      <c r="G1123" t="inlineStr">
        <is>
          <t>Tuesday</t>
        </is>
      </c>
      <c r="H1123" t="inlineStr">
        <is>
          <t>Monthly - Tuesday</t>
        </is>
      </c>
      <c r="I1123" t="inlineStr">
        <is>
          <t>Monthly - Tuesday</t>
        </is>
      </c>
      <c r="J1123" t="inlineStr">
        <is>
          <t>Month+9 Expiry</t>
        </is>
      </c>
      <c r="K1123" s="25" t="n">
        <v>0</v>
      </c>
      <c r="L1123" s="26" t="n">
        <v>0</v>
      </c>
      <c r="M1123" s="26" t="n">
        <v>0</v>
      </c>
    </row>
    <row r="1124" ht="16" customHeight="1">
      <c r="A1124" t="inlineStr">
        <is>
          <t>05-Jun-2026</t>
        </is>
      </c>
      <c r="B1124" t="inlineStr">
        <is>
          <t>Friday</t>
        </is>
      </c>
      <c r="C1124" t="inlineStr">
        <is>
          <t>Week1-Jun-2026</t>
        </is>
      </c>
      <c r="D1124" s="78" t="n">
        <v>46174</v>
      </c>
      <c r="E1124" t="inlineStr">
        <is>
          <t>Q1FY27</t>
        </is>
      </c>
      <c r="F1124" t="inlineStr">
        <is>
          <t>30-Jun-2026</t>
        </is>
      </c>
      <c r="G1124" t="inlineStr">
        <is>
          <t>Tuesday</t>
        </is>
      </c>
      <c r="H1124" t="inlineStr">
        <is>
          <t>Monthly - Tuesday</t>
        </is>
      </c>
      <c r="I1124" t="inlineStr">
        <is>
          <t>Monthly - Tuesday</t>
        </is>
      </c>
      <c r="J1124" t="inlineStr">
        <is>
          <t>Same Month Expiry</t>
        </is>
      </c>
      <c r="K1124" s="25" t="n">
        <v>2821084</v>
      </c>
      <c r="L1124" s="26" t="n">
        <v>4711.0052</v>
      </c>
      <c r="M1124" s="26" t="n">
        <v>59.1951</v>
      </c>
    </row>
    <row r="1125" ht="16" customHeight="1">
      <c r="A1125" t="inlineStr">
        <is>
          <t>05-Jun-2026</t>
        </is>
      </c>
      <c r="B1125" t="inlineStr">
        <is>
          <t>Friday</t>
        </is>
      </c>
      <c r="C1125" t="inlineStr">
        <is>
          <t>Week1-Jun-2026</t>
        </is>
      </c>
      <c r="D1125" s="78" t="n">
        <v>46174</v>
      </c>
      <c r="E1125" t="inlineStr">
        <is>
          <t>Q1FY27</t>
        </is>
      </c>
      <c r="F1125" t="inlineStr">
        <is>
          <t>28-Jul-2026</t>
        </is>
      </c>
      <c r="G1125" t="inlineStr">
        <is>
          <t>Tuesday</t>
        </is>
      </c>
      <c r="H1125" t="inlineStr">
        <is>
          <t>Monthly - Tuesday</t>
        </is>
      </c>
      <c r="I1125" t="inlineStr">
        <is>
          <t>Monthly - Tuesday</t>
        </is>
      </c>
      <c r="J1125" t="inlineStr">
        <is>
          <t>Month+1 Expiry</t>
        </is>
      </c>
      <c r="K1125" s="25" t="n">
        <v>55903</v>
      </c>
      <c r="L1125" s="26" t="n">
        <v>95.0865</v>
      </c>
      <c r="M1125" s="26" t="n">
        <v>1.1684</v>
      </c>
    </row>
    <row r="1126" ht="16" customHeight="1">
      <c r="A1126" t="inlineStr">
        <is>
          <t>05-Jun-2026</t>
        </is>
      </c>
      <c r="B1126" t="inlineStr">
        <is>
          <t>Friday</t>
        </is>
      </c>
      <c r="C1126" t="inlineStr">
        <is>
          <t>Week1-Jun-2026</t>
        </is>
      </c>
      <c r="D1126" s="78" t="n">
        <v>46174</v>
      </c>
      <c r="E1126" t="inlineStr">
        <is>
          <t>Q1FY27</t>
        </is>
      </c>
      <c r="F1126" t="inlineStr">
        <is>
          <t>25-Aug-2026</t>
        </is>
      </c>
      <c r="G1126" t="inlineStr">
        <is>
          <t>Tuesday</t>
        </is>
      </c>
      <c r="H1126" t="inlineStr">
        <is>
          <t>Monthly - Tuesday</t>
        </is>
      </c>
      <c r="I1126" t="inlineStr">
        <is>
          <t>Monthly - Tuesday</t>
        </is>
      </c>
      <c r="J1126" t="inlineStr">
        <is>
          <t>Month+2 Expiry</t>
        </is>
      </c>
      <c r="K1126" s="25" t="n">
        <v>1450</v>
      </c>
      <c r="L1126" s="26" t="n">
        <v>2.4463</v>
      </c>
      <c r="M1126" s="26" t="n">
        <v>0.0527</v>
      </c>
    </row>
    <row r="1127" ht="16" customHeight="1">
      <c r="A1127" t="inlineStr">
        <is>
          <t>05-Jun-2026</t>
        </is>
      </c>
      <c r="B1127" t="inlineStr">
        <is>
          <t>Friday</t>
        </is>
      </c>
      <c r="C1127" t="inlineStr">
        <is>
          <t>Week1-Jun-2026</t>
        </is>
      </c>
      <c r="D1127" s="78" t="n">
        <v>46174</v>
      </c>
      <c r="E1127" t="inlineStr">
        <is>
          <t>Q1FY27</t>
        </is>
      </c>
      <c r="F1127" t="inlineStr">
        <is>
          <t>29-Sep-2026</t>
        </is>
      </c>
      <c r="G1127" t="inlineStr">
        <is>
          <t>Tuesday</t>
        </is>
      </c>
      <c r="H1127" t="inlineStr">
        <is>
          <t>Monthly - Tuesday</t>
        </is>
      </c>
      <c r="I1127" t="inlineStr">
        <is>
          <t>Monthly - Tuesday</t>
        </is>
      </c>
      <c r="J1127" t="inlineStr">
        <is>
          <t>Month+3 Expiry</t>
        </is>
      </c>
      <c r="K1127" s="25" t="n">
        <v>1001</v>
      </c>
      <c r="L1127" s="26" t="n">
        <v>1.7152</v>
      </c>
      <c r="M1127" s="26" t="n">
        <v>0.037</v>
      </c>
    </row>
    <row r="1128" ht="16" customHeight="1">
      <c r="A1128" t="inlineStr">
        <is>
          <t>05-Jun-2026</t>
        </is>
      </c>
      <c r="B1128" t="inlineStr">
        <is>
          <t>Friday</t>
        </is>
      </c>
      <c r="C1128" t="inlineStr">
        <is>
          <t>Week1-Jun-2026</t>
        </is>
      </c>
      <c r="D1128" s="78" t="n">
        <v>46174</v>
      </c>
      <c r="E1128" t="inlineStr">
        <is>
          <t>Q1FY27</t>
        </is>
      </c>
      <c r="F1128" t="inlineStr">
        <is>
          <t>29-Dec-2026</t>
        </is>
      </c>
      <c r="G1128" t="inlineStr">
        <is>
          <t>Tuesday</t>
        </is>
      </c>
      <c r="H1128" t="inlineStr">
        <is>
          <t>Monthly - Tuesday</t>
        </is>
      </c>
      <c r="I1128" t="inlineStr">
        <is>
          <t>Monthly - Tuesday</t>
        </is>
      </c>
      <c r="J1128" t="inlineStr">
        <is>
          <t>Month+6 Expiry</t>
        </is>
      </c>
      <c r="K1128" s="25" t="n">
        <v>113</v>
      </c>
      <c r="L1128" s="26" t="n">
        <v>0.2054</v>
      </c>
      <c r="M1128" s="26" t="n">
        <v>0.0051</v>
      </c>
    </row>
    <row r="1129" ht="16" customHeight="1">
      <c r="A1129" t="inlineStr">
        <is>
          <t>05-Jun-2026</t>
        </is>
      </c>
      <c r="B1129" t="inlineStr">
        <is>
          <t>Friday</t>
        </is>
      </c>
      <c r="C1129" t="inlineStr">
        <is>
          <t>Week1-Jun-2026</t>
        </is>
      </c>
      <c r="D1129" s="78" t="n">
        <v>46174</v>
      </c>
      <c r="E1129" t="inlineStr">
        <is>
          <t>Q1FY27</t>
        </is>
      </c>
      <c r="F1129" t="inlineStr">
        <is>
          <t>30-Mar-2027</t>
        </is>
      </c>
      <c r="G1129" t="inlineStr">
        <is>
          <t>Tuesday</t>
        </is>
      </c>
      <c r="H1129" t="inlineStr">
        <is>
          <t>Monthly - Tuesday</t>
        </is>
      </c>
      <c r="I1129" t="inlineStr">
        <is>
          <t>Monthly - Tuesday</t>
        </is>
      </c>
      <c r="J1129" t="inlineStr">
        <is>
          <t>Month+9 Expiry</t>
        </is>
      </c>
      <c r="K1129" s="25" t="n">
        <v>0</v>
      </c>
      <c r="L1129" s="26" t="n">
        <v>0</v>
      </c>
      <c r="M1129" s="26" t="n">
        <v>0</v>
      </c>
    </row>
    <row r="1130" ht="16" customHeight="1">
      <c r="A1130" t="inlineStr">
        <is>
          <t>08-Jun-2026</t>
        </is>
      </c>
      <c r="B1130" t="inlineStr">
        <is>
          <t>Monday</t>
        </is>
      </c>
      <c r="C1130" t="inlineStr">
        <is>
          <t>Week2-Jun-2026</t>
        </is>
      </c>
      <c r="D1130" s="78" t="n">
        <v>46174</v>
      </c>
      <c r="E1130" t="inlineStr">
        <is>
          <t>Q1FY27</t>
        </is>
      </c>
      <c r="F1130" t="inlineStr">
        <is>
          <t>30-Jun-2026</t>
        </is>
      </c>
      <c r="G1130" t="inlineStr">
        <is>
          <t>Tuesday</t>
        </is>
      </c>
      <c r="H1130" t="inlineStr">
        <is>
          <t>Monthly - Tuesday</t>
        </is>
      </c>
      <c r="I1130" t="inlineStr">
        <is>
          <t>Monthly - Tuesday</t>
        </is>
      </c>
      <c r="J1130" t="inlineStr">
        <is>
          <t>Same Month Expiry</t>
        </is>
      </c>
      <c r="K1130" s="25" t="n">
        <v>2052438</v>
      </c>
      <c r="L1130" s="26" t="n">
        <v>3411.1772</v>
      </c>
      <c r="M1130" s="26" t="n">
        <v>42.6087</v>
      </c>
    </row>
    <row r="1131" ht="16" customHeight="1">
      <c r="A1131" t="inlineStr">
        <is>
          <t>08-Jun-2026</t>
        </is>
      </c>
      <c r="B1131" t="inlineStr">
        <is>
          <t>Monday</t>
        </is>
      </c>
      <c r="C1131" t="inlineStr">
        <is>
          <t>Week2-Jun-2026</t>
        </is>
      </c>
      <c r="D1131" s="78" t="n">
        <v>46174</v>
      </c>
      <c r="E1131" t="inlineStr">
        <is>
          <t>Q1FY27</t>
        </is>
      </c>
      <c r="F1131" t="inlineStr">
        <is>
          <t>28-Jul-2026</t>
        </is>
      </c>
      <c r="G1131" t="inlineStr">
        <is>
          <t>Tuesday</t>
        </is>
      </c>
      <c r="H1131" t="inlineStr">
        <is>
          <t>Monthly - Tuesday</t>
        </is>
      </c>
      <c r="I1131" t="inlineStr">
        <is>
          <t>Monthly - Tuesday</t>
        </is>
      </c>
      <c r="J1131" t="inlineStr">
        <is>
          <t>Month+1 Expiry</t>
        </is>
      </c>
      <c r="K1131" s="25" t="n">
        <v>37591</v>
      </c>
      <c r="L1131" s="26" t="n">
        <v>64.2783</v>
      </c>
      <c r="M1131" s="26" t="n">
        <v>0.7258</v>
      </c>
    </row>
    <row r="1132" ht="16" customHeight="1">
      <c r="A1132" t="inlineStr">
        <is>
          <t>08-Jun-2026</t>
        </is>
      </c>
      <c r="B1132" t="inlineStr">
        <is>
          <t>Monday</t>
        </is>
      </c>
      <c r="C1132" t="inlineStr">
        <is>
          <t>Week2-Jun-2026</t>
        </is>
      </c>
      <c r="D1132" s="78" t="n">
        <v>46174</v>
      </c>
      <c r="E1132" t="inlineStr">
        <is>
          <t>Q1FY27</t>
        </is>
      </c>
      <c r="F1132" t="inlineStr">
        <is>
          <t>25-Aug-2026</t>
        </is>
      </c>
      <c r="G1132" t="inlineStr">
        <is>
          <t>Tuesday</t>
        </is>
      </c>
      <c r="H1132" t="inlineStr">
        <is>
          <t>Monthly - Tuesday</t>
        </is>
      </c>
      <c r="I1132" t="inlineStr">
        <is>
          <t>Monthly - Tuesday</t>
        </is>
      </c>
      <c r="J1132" t="inlineStr">
        <is>
          <t>Month+2 Expiry</t>
        </is>
      </c>
      <c r="K1132" s="25" t="n">
        <v>1172</v>
      </c>
      <c r="L1132" s="26" t="n">
        <v>1.9858</v>
      </c>
      <c r="M1132" s="26" t="n">
        <v>0.0383</v>
      </c>
    </row>
    <row r="1133" ht="16" customHeight="1">
      <c r="A1133" t="inlineStr">
        <is>
          <t>08-Jun-2026</t>
        </is>
      </c>
      <c r="B1133" t="inlineStr">
        <is>
          <t>Monday</t>
        </is>
      </c>
      <c r="C1133" t="inlineStr">
        <is>
          <t>Week2-Jun-2026</t>
        </is>
      </c>
      <c r="D1133" s="78" t="n">
        <v>46174</v>
      </c>
      <c r="E1133" t="inlineStr">
        <is>
          <t>Q1FY27</t>
        </is>
      </c>
      <c r="F1133" t="inlineStr">
        <is>
          <t>29-Sep-2026</t>
        </is>
      </c>
      <c r="G1133" t="inlineStr">
        <is>
          <t>Tuesday</t>
        </is>
      </c>
      <c r="H1133" t="inlineStr">
        <is>
          <t>Monthly - Tuesday</t>
        </is>
      </c>
      <c r="I1133" t="inlineStr">
        <is>
          <t>Monthly - Tuesday</t>
        </is>
      </c>
      <c r="J1133" t="inlineStr">
        <is>
          <t>Month+3 Expiry</t>
        </is>
      </c>
      <c r="K1133" s="25" t="n">
        <v>1104</v>
      </c>
      <c r="L1133" s="26" t="n">
        <v>1.9502</v>
      </c>
      <c r="M1133" s="26" t="n">
        <v>0.0337</v>
      </c>
    </row>
    <row r="1134" ht="16" customHeight="1">
      <c r="A1134" t="inlineStr">
        <is>
          <t>08-Jun-2026</t>
        </is>
      </c>
      <c r="B1134" t="inlineStr">
        <is>
          <t>Monday</t>
        </is>
      </c>
      <c r="C1134" t="inlineStr">
        <is>
          <t>Week2-Jun-2026</t>
        </is>
      </c>
      <c r="D1134" s="78" t="n">
        <v>46174</v>
      </c>
      <c r="E1134" t="inlineStr">
        <is>
          <t>Q1FY27</t>
        </is>
      </c>
      <c r="F1134" t="inlineStr">
        <is>
          <t>29-Dec-2026</t>
        </is>
      </c>
      <c r="G1134" t="inlineStr">
        <is>
          <t>Tuesday</t>
        </is>
      </c>
      <c r="H1134" t="inlineStr">
        <is>
          <t>Monthly - Tuesday</t>
        </is>
      </c>
      <c r="I1134" t="inlineStr">
        <is>
          <t>Monthly - Tuesday</t>
        </is>
      </c>
      <c r="J1134" t="inlineStr">
        <is>
          <t>Month+6 Expiry</t>
        </is>
      </c>
      <c r="K1134" s="25" t="n">
        <v>37</v>
      </c>
      <c r="L1134" s="26" t="n">
        <v>0.0663</v>
      </c>
      <c r="M1134" s="26" t="n">
        <v>0.0015</v>
      </c>
    </row>
    <row r="1135" ht="16" customHeight="1">
      <c r="A1135" t="inlineStr">
        <is>
          <t>08-Jun-2026</t>
        </is>
      </c>
      <c r="B1135" t="inlineStr">
        <is>
          <t>Monday</t>
        </is>
      </c>
      <c r="C1135" t="inlineStr">
        <is>
          <t>Week2-Jun-2026</t>
        </is>
      </c>
      <c r="D1135" s="78" t="n">
        <v>46174</v>
      </c>
      <c r="E1135" t="inlineStr">
        <is>
          <t>Q1FY27</t>
        </is>
      </c>
      <c r="F1135" t="inlineStr">
        <is>
          <t>30-Mar-2027</t>
        </is>
      </c>
      <c r="G1135" t="inlineStr">
        <is>
          <t>Tuesday</t>
        </is>
      </c>
      <c r="H1135" t="inlineStr">
        <is>
          <t>Monthly - Tuesday</t>
        </is>
      </c>
      <c r="I1135" t="inlineStr">
        <is>
          <t>Monthly - Tuesday</t>
        </is>
      </c>
      <c r="J1135" t="inlineStr">
        <is>
          <t>Month+9 Expiry</t>
        </is>
      </c>
      <c r="K1135" s="25" t="n">
        <v>0</v>
      </c>
      <c r="L1135" s="26" t="n">
        <v>0</v>
      </c>
      <c r="M1135" s="26" t="n">
        <v>0</v>
      </c>
    </row>
    <row r="1136" ht="16" customHeight="1">
      <c r="A1136" t="inlineStr">
        <is>
          <t>09-Jun-2026</t>
        </is>
      </c>
      <c r="B1136" t="inlineStr">
        <is>
          <t>Tuesday</t>
        </is>
      </c>
      <c r="C1136" t="inlineStr">
        <is>
          <t>Week2-Jun-2026</t>
        </is>
      </c>
      <c r="D1136" s="78" t="n">
        <v>46174</v>
      </c>
      <c r="E1136" t="inlineStr">
        <is>
          <t>Q1FY27</t>
        </is>
      </c>
      <c r="F1136" t="inlineStr">
        <is>
          <t>30-Jun-2026</t>
        </is>
      </c>
      <c r="G1136" t="inlineStr">
        <is>
          <t>Tuesday</t>
        </is>
      </c>
      <c r="H1136" t="inlineStr">
        <is>
          <t>Monthly - Tuesday</t>
        </is>
      </c>
      <c r="I1136" t="inlineStr">
        <is>
          <t>Monthly - Tuesday</t>
        </is>
      </c>
      <c r="J1136" t="inlineStr">
        <is>
          <t>Same Month Expiry</t>
        </is>
      </c>
      <c r="K1136" s="25" t="n">
        <v>2449924</v>
      </c>
      <c r="L1136" s="26" t="n">
        <v>4094.747</v>
      </c>
      <c r="M1136" s="26" t="n">
        <v>46.0996</v>
      </c>
    </row>
    <row r="1137" ht="16" customHeight="1">
      <c r="A1137" t="inlineStr">
        <is>
          <t>09-Jun-2026</t>
        </is>
      </c>
      <c r="B1137" t="inlineStr">
        <is>
          <t>Tuesday</t>
        </is>
      </c>
      <c r="C1137" t="inlineStr">
        <is>
          <t>Week2-Jun-2026</t>
        </is>
      </c>
      <c r="D1137" s="78" t="n">
        <v>46174</v>
      </c>
      <c r="E1137" t="inlineStr">
        <is>
          <t>Q1FY27</t>
        </is>
      </c>
      <c r="F1137" t="inlineStr">
        <is>
          <t>28-Jul-2026</t>
        </is>
      </c>
      <c r="G1137" t="inlineStr">
        <is>
          <t>Tuesday</t>
        </is>
      </c>
      <c r="H1137" t="inlineStr">
        <is>
          <t>Monthly - Tuesday</t>
        </is>
      </c>
      <c r="I1137" t="inlineStr">
        <is>
          <t>Monthly - Tuesday</t>
        </is>
      </c>
      <c r="J1137" t="inlineStr">
        <is>
          <t>Month+1 Expiry</t>
        </is>
      </c>
      <c r="K1137" s="25" t="n">
        <v>65975</v>
      </c>
      <c r="L1137" s="26" t="n">
        <v>114.0521</v>
      </c>
      <c r="M1137" s="26" t="n">
        <v>2.0552</v>
      </c>
    </row>
    <row r="1138" ht="16" customHeight="1">
      <c r="A1138" t="inlineStr">
        <is>
          <t>09-Jun-2026</t>
        </is>
      </c>
      <c r="B1138" t="inlineStr">
        <is>
          <t>Tuesday</t>
        </is>
      </c>
      <c r="C1138" t="inlineStr">
        <is>
          <t>Week2-Jun-2026</t>
        </is>
      </c>
      <c r="D1138" s="78" t="n">
        <v>46174</v>
      </c>
      <c r="E1138" t="inlineStr">
        <is>
          <t>Q1FY27</t>
        </is>
      </c>
      <c r="F1138" t="inlineStr">
        <is>
          <t>25-Aug-2026</t>
        </is>
      </c>
      <c r="G1138" t="inlineStr">
        <is>
          <t>Tuesday</t>
        </is>
      </c>
      <c r="H1138" t="inlineStr">
        <is>
          <t>Monthly - Tuesday</t>
        </is>
      </c>
      <c r="I1138" t="inlineStr">
        <is>
          <t>Monthly - Tuesday</t>
        </is>
      </c>
      <c r="J1138" t="inlineStr">
        <is>
          <t>Month+2 Expiry</t>
        </is>
      </c>
      <c r="K1138" s="25" t="n">
        <v>2406</v>
      </c>
      <c r="L1138" s="26" t="n">
        <v>4.1209</v>
      </c>
      <c r="M1138" s="26" t="n">
        <v>0.0636</v>
      </c>
    </row>
    <row r="1139" ht="16" customHeight="1">
      <c r="A1139" t="inlineStr">
        <is>
          <t>09-Jun-2026</t>
        </is>
      </c>
      <c r="B1139" t="inlineStr">
        <is>
          <t>Tuesday</t>
        </is>
      </c>
      <c r="C1139" t="inlineStr">
        <is>
          <t>Week2-Jun-2026</t>
        </is>
      </c>
      <c r="D1139" s="78" t="n">
        <v>46174</v>
      </c>
      <c r="E1139" t="inlineStr">
        <is>
          <t>Q1FY27</t>
        </is>
      </c>
      <c r="F1139" t="inlineStr">
        <is>
          <t>29-Sep-2026</t>
        </is>
      </c>
      <c r="G1139" t="inlineStr">
        <is>
          <t>Tuesday</t>
        </is>
      </c>
      <c r="H1139" t="inlineStr">
        <is>
          <t>Monthly - Tuesday</t>
        </is>
      </c>
      <c r="I1139" t="inlineStr">
        <is>
          <t>Monthly - Tuesday</t>
        </is>
      </c>
      <c r="J1139" t="inlineStr">
        <is>
          <t>Month+3 Expiry</t>
        </is>
      </c>
      <c r="K1139" s="25" t="n">
        <v>1189</v>
      </c>
      <c r="L1139" s="26" t="n">
        <v>2.0623</v>
      </c>
      <c r="M1139" s="26" t="n">
        <v>0.0406</v>
      </c>
    </row>
    <row r="1140" ht="16" customHeight="1">
      <c r="A1140" t="inlineStr">
        <is>
          <t>09-Jun-2026</t>
        </is>
      </c>
      <c r="B1140" t="inlineStr">
        <is>
          <t>Tuesday</t>
        </is>
      </c>
      <c r="C1140" t="inlineStr">
        <is>
          <t>Week2-Jun-2026</t>
        </is>
      </c>
      <c r="D1140" s="78" t="n">
        <v>46174</v>
      </c>
      <c r="E1140" t="inlineStr">
        <is>
          <t>Q1FY27</t>
        </is>
      </c>
      <c r="F1140" t="inlineStr">
        <is>
          <t>29-Dec-2026</t>
        </is>
      </c>
      <c r="G1140" t="inlineStr">
        <is>
          <t>Tuesday</t>
        </is>
      </c>
      <c r="H1140" t="inlineStr">
        <is>
          <t>Monthly - Tuesday</t>
        </is>
      </c>
      <c r="I1140" t="inlineStr">
        <is>
          <t>Monthly - Tuesday</t>
        </is>
      </c>
      <c r="J1140" t="inlineStr">
        <is>
          <t>Month+6 Expiry</t>
        </is>
      </c>
      <c r="K1140" s="25" t="n">
        <v>54</v>
      </c>
      <c r="L1140" s="26" t="n">
        <v>0.09379999999999999</v>
      </c>
      <c r="M1140" s="26" t="n">
        <v>0.0023</v>
      </c>
    </row>
    <row r="1141" ht="16" customHeight="1">
      <c r="A1141" t="inlineStr">
        <is>
          <t>09-Jun-2026</t>
        </is>
      </c>
      <c r="B1141" t="inlineStr">
        <is>
          <t>Tuesday</t>
        </is>
      </c>
      <c r="C1141" t="inlineStr">
        <is>
          <t>Week2-Jun-2026</t>
        </is>
      </c>
      <c r="D1141" s="78" t="n">
        <v>46174</v>
      </c>
      <c r="E1141" t="inlineStr">
        <is>
          <t>Q1FY27</t>
        </is>
      </c>
      <c r="F1141" t="inlineStr">
        <is>
          <t>30-Mar-2027</t>
        </is>
      </c>
      <c r="G1141" t="inlineStr">
        <is>
          <t>Tuesday</t>
        </is>
      </c>
      <c r="H1141" t="inlineStr">
        <is>
          <t>Monthly - Tuesday</t>
        </is>
      </c>
      <c r="I1141" t="inlineStr">
        <is>
          <t>Monthly - Tuesday</t>
        </is>
      </c>
      <c r="J1141" t="inlineStr">
        <is>
          <t>Month+9 Expiry</t>
        </is>
      </c>
      <c r="K1141" s="25" t="n">
        <v>0</v>
      </c>
      <c r="L1141" s="26" t="n">
        <v>0</v>
      </c>
      <c r="M1141" s="26" t="n">
        <v>0</v>
      </c>
    </row>
    <row r="1142" ht="16" customHeight="1">
      <c r="A1142" t="inlineStr">
        <is>
          <t>10-Jun-2026</t>
        </is>
      </c>
      <c r="B1142" t="inlineStr">
        <is>
          <t>Wednesday</t>
        </is>
      </c>
      <c r="C1142" t="inlineStr">
        <is>
          <t>Week2-Jun-2026</t>
        </is>
      </c>
      <c r="D1142" s="78" t="n">
        <v>46174</v>
      </c>
      <c r="E1142" t="inlineStr">
        <is>
          <t>Q1FY27</t>
        </is>
      </c>
      <c r="F1142" t="inlineStr">
        <is>
          <t>30-Jun-2026</t>
        </is>
      </c>
      <c r="G1142" t="inlineStr">
        <is>
          <t>Tuesday</t>
        </is>
      </c>
      <c r="H1142" t="inlineStr">
        <is>
          <t>Monthly - Tuesday</t>
        </is>
      </c>
      <c r="I1142" t="inlineStr">
        <is>
          <t>Monthly - Tuesday</t>
        </is>
      </c>
      <c r="J1142" t="inlineStr">
        <is>
          <t>Same Month Expiry</t>
        </is>
      </c>
      <c r="K1142" s="25" t="n">
        <v>2183426</v>
      </c>
      <c r="L1142" s="26" t="n">
        <v>3670.8768</v>
      </c>
      <c r="M1142" s="26" t="n">
        <v>41.0808</v>
      </c>
    </row>
    <row r="1143" ht="16" customHeight="1">
      <c r="A1143" t="inlineStr">
        <is>
          <t>10-Jun-2026</t>
        </is>
      </c>
      <c r="B1143" t="inlineStr">
        <is>
          <t>Wednesday</t>
        </is>
      </c>
      <c r="C1143" t="inlineStr">
        <is>
          <t>Week2-Jun-2026</t>
        </is>
      </c>
      <c r="D1143" s="78" t="n">
        <v>46174</v>
      </c>
      <c r="E1143" t="inlineStr">
        <is>
          <t>Q1FY27</t>
        </is>
      </c>
      <c r="F1143" t="inlineStr">
        <is>
          <t>28-Jul-2026</t>
        </is>
      </c>
      <c r="G1143" t="inlineStr">
        <is>
          <t>Tuesday</t>
        </is>
      </c>
      <c r="H1143" t="inlineStr">
        <is>
          <t>Monthly - Tuesday</t>
        </is>
      </c>
      <c r="I1143" t="inlineStr">
        <is>
          <t>Monthly - Tuesday</t>
        </is>
      </c>
      <c r="J1143" t="inlineStr">
        <is>
          <t>Month+1 Expiry</t>
        </is>
      </c>
      <c r="K1143" s="25" t="n">
        <v>79845</v>
      </c>
      <c r="L1143" s="26" t="n">
        <v>138.7255</v>
      </c>
      <c r="M1143" s="26" t="n">
        <v>2.2307</v>
      </c>
    </row>
    <row r="1144" ht="16" customHeight="1">
      <c r="A1144" t="inlineStr">
        <is>
          <t>10-Jun-2026</t>
        </is>
      </c>
      <c r="B1144" t="inlineStr">
        <is>
          <t>Wednesday</t>
        </is>
      </c>
      <c r="C1144" t="inlineStr">
        <is>
          <t>Week2-Jun-2026</t>
        </is>
      </c>
      <c r="D1144" s="78" t="n">
        <v>46174</v>
      </c>
      <c r="E1144" t="inlineStr">
        <is>
          <t>Q1FY27</t>
        </is>
      </c>
      <c r="F1144" t="inlineStr">
        <is>
          <t>25-Aug-2026</t>
        </is>
      </c>
      <c r="G1144" t="inlineStr">
        <is>
          <t>Tuesday</t>
        </is>
      </c>
      <c r="H1144" t="inlineStr">
        <is>
          <t>Monthly - Tuesday</t>
        </is>
      </c>
      <c r="I1144" t="inlineStr">
        <is>
          <t>Monthly - Tuesday</t>
        </is>
      </c>
      <c r="J1144" t="inlineStr">
        <is>
          <t>Month+2 Expiry</t>
        </is>
      </c>
      <c r="K1144" s="25" t="n">
        <v>3055</v>
      </c>
      <c r="L1144" s="26" t="n">
        <v>5.2126</v>
      </c>
      <c r="M1144" s="26" t="n">
        <v>0.0979</v>
      </c>
    </row>
    <row r="1145" ht="16" customHeight="1">
      <c r="A1145" t="inlineStr">
        <is>
          <t>10-Jun-2026</t>
        </is>
      </c>
      <c r="B1145" t="inlineStr">
        <is>
          <t>Wednesday</t>
        </is>
      </c>
      <c r="C1145" t="inlineStr">
        <is>
          <t>Week2-Jun-2026</t>
        </is>
      </c>
      <c r="D1145" s="78" t="n">
        <v>46174</v>
      </c>
      <c r="E1145" t="inlineStr">
        <is>
          <t>Q1FY27</t>
        </is>
      </c>
      <c r="F1145" t="inlineStr">
        <is>
          <t>29-Sep-2026</t>
        </is>
      </c>
      <c r="G1145" t="inlineStr">
        <is>
          <t>Tuesday</t>
        </is>
      </c>
      <c r="H1145" t="inlineStr">
        <is>
          <t>Monthly - Tuesday</t>
        </is>
      </c>
      <c r="I1145" t="inlineStr">
        <is>
          <t>Monthly - Tuesday</t>
        </is>
      </c>
      <c r="J1145" t="inlineStr">
        <is>
          <t>Month+3 Expiry</t>
        </is>
      </c>
      <c r="K1145" s="25" t="n">
        <v>1691</v>
      </c>
      <c r="L1145" s="26" t="n">
        <v>2.9442</v>
      </c>
      <c r="M1145" s="26" t="n">
        <v>0.07190000000000001</v>
      </c>
    </row>
    <row r="1146" ht="16" customHeight="1">
      <c r="A1146" t="inlineStr">
        <is>
          <t>10-Jun-2026</t>
        </is>
      </c>
      <c r="B1146" t="inlineStr">
        <is>
          <t>Wednesday</t>
        </is>
      </c>
      <c r="C1146" t="inlineStr">
        <is>
          <t>Week2-Jun-2026</t>
        </is>
      </c>
      <c r="D1146" s="78" t="n">
        <v>46174</v>
      </c>
      <c r="E1146" t="inlineStr">
        <is>
          <t>Q1FY27</t>
        </is>
      </c>
      <c r="F1146" t="inlineStr">
        <is>
          <t>29-Dec-2026</t>
        </is>
      </c>
      <c r="G1146" t="inlineStr">
        <is>
          <t>Tuesday</t>
        </is>
      </c>
      <c r="H1146" t="inlineStr">
        <is>
          <t>Monthly - Tuesday</t>
        </is>
      </c>
      <c r="I1146" t="inlineStr">
        <is>
          <t>Monthly - Tuesday</t>
        </is>
      </c>
      <c r="J1146" t="inlineStr">
        <is>
          <t>Month+6 Expiry</t>
        </is>
      </c>
      <c r="K1146" s="25" t="n">
        <v>46</v>
      </c>
      <c r="L1146" s="26" t="n">
        <v>0.08069999999999999</v>
      </c>
      <c r="M1146" s="26" t="n">
        <v>0.0028</v>
      </c>
    </row>
    <row r="1147" ht="16" customHeight="1">
      <c r="A1147" t="inlineStr">
        <is>
          <t>10-Jun-2026</t>
        </is>
      </c>
      <c r="B1147" t="inlineStr">
        <is>
          <t>Wednesday</t>
        </is>
      </c>
      <c r="C1147" t="inlineStr">
        <is>
          <t>Week2-Jun-2026</t>
        </is>
      </c>
      <c r="D1147" s="78" t="n">
        <v>46174</v>
      </c>
      <c r="E1147" t="inlineStr">
        <is>
          <t>Q1FY27</t>
        </is>
      </c>
      <c r="F1147" t="inlineStr">
        <is>
          <t>30-Mar-2027</t>
        </is>
      </c>
      <c r="G1147" t="inlineStr">
        <is>
          <t>Tuesday</t>
        </is>
      </c>
      <c r="H1147" t="inlineStr">
        <is>
          <t>Monthly - Tuesday</t>
        </is>
      </c>
      <c r="I1147" t="inlineStr">
        <is>
          <t>Monthly - Tuesday</t>
        </is>
      </c>
      <c r="J1147" t="inlineStr">
        <is>
          <t>Month+9 Expiry</t>
        </is>
      </c>
      <c r="K1147" s="25" t="n">
        <v>0</v>
      </c>
      <c r="L1147" s="26" t="n">
        <v>0</v>
      </c>
      <c r="M1147" s="26" t="n">
        <v>0</v>
      </c>
    </row>
    <row r="1148" ht="16" customHeight="1">
      <c r="A1148" t="inlineStr">
        <is>
          <t>11-Jun-2026</t>
        </is>
      </c>
      <c r="B1148" t="inlineStr">
        <is>
          <t>Thursday</t>
        </is>
      </c>
      <c r="C1148" t="inlineStr">
        <is>
          <t>Week2-Jun-2026</t>
        </is>
      </c>
      <c r="D1148" s="78" t="n">
        <v>46174</v>
      </c>
      <c r="E1148" t="inlineStr">
        <is>
          <t>Q1FY27</t>
        </is>
      </c>
      <c r="F1148" t="inlineStr">
        <is>
          <t>30-Jun-2026</t>
        </is>
      </c>
      <c r="G1148" t="inlineStr">
        <is>
          <t>Tuesday</t>
        </is>
      </c>
      <c r="H1148" t="inlineStr">
        <is>
          <t>Monthly - Tuesday</t>
        </is>
      </c>
      <c r="I1148" t="inlineStr">
        <is>
          <t>Monthly - Tuesday</t>
        </is>
      </c>
      <c r="J1148" t="inlineStr">
        <is>
          <t>Same Month Expiry</t>
        </is>
      </c>
      <c r="K1148" s="25" t="n">
        <v>2259732</v>
      </c>
      <c r="L1148" s="26" t="n">
        <v>3809.4895</v>
      </c>
      <c r="M1148" s="26" t="n">
        <v>40.0856</v>
      </c>
    </row>
    <row r="1149" ht="16" customHeight="1">
      <c r="A1149" t="inlineStr">
        <is>
          <t>11-Jun-2026</t>
        </is>
      </c>
      <c r="B1149" t="inlineStr">
        <is>
          <t>Thursday</t>
        </is>
      </c>
      <c r="C1149" t="inlineStr">
        <is>
          <t>Week2-Jun-2026</t>
        </is>
      </c>
      <c r="D1149" s="78" t="n">
        <v>46174</v>
      </c>
      <c r="E1149" t="inlineStr">
        <is>
          <t>Q1FY27</t>
        </is>
      </c>
      <c r="F1149" t="inlineStr">
        <is>
          <t>28-Jul-2026</t>
        </is>
      </c>
      <c r="G1149" t="inlineStr">
        <is>
          <t>Tuesday</t>
        </is>
      </c>
      <c r="H1149" t="inlineStr">
        <is>
          <t>Monthly - Tuesday</t>
        </is>
      </c>
      <c r="I1149" t="inlineStr">
        <is>
          <t>Monthly - Tuesday</t>
        </is>
      </c>
      <c r="J1149" t="inlineStr">
        <is>
          <t>Month+1 Expiry</t>
        </is>
      </c>
      <c r="K1149" s="25" t="n">
        <v>65775</v>
      </c>
      <c r="L1149" s="26" t="n">
        <v>114.7093</v>
      </c>
      <c r="M1149" s="26" t="n">
        <v>2.1794</v>
      </c>
    </row>
    <row r="1150" ht="16" customHeight="1">
      <c r="A1150" t="inlineStr">
        <is>
          <t>11-Jun-2026</t>
        </is>
      </c>
      <c r="B1150" t="inlineStr">
        <is>
          <t>Thursday</t>
        </is>
      </c>
      <c r="C1150" t="inlineStr">
        <is>
          <t>Week2-Jun-2026</t>
        </is>
      </c>
      <c r="D1150" s="78" t="n">
        <v>46174</v>
      </c>
      <c r="E1150" t="inlineStr">
        <is>
          <t>Q1FY27</t>
        </is>
      </c>
      <c r="F1150" t="inlineStr">
        <is>
          <t>25-Aug-2026</t>
        </is>
      </c>
      <c r="G1150" t="inlineStr">
        <is>
          <t>Tuesday</t>
        </is>
      </c>
      <c r="H1150" t="inlineStr">
        <is>
          <t>Monthly - Tuesday</t>
        </is>
      </c>
      <c r="I1150" t="inlineStr">
        <is>
          <t>Monthly - Tuesday</t>
        </is>
      </c>
      <c r="J1150" t="inlineStr">
        <is>
          <t>Month+2 Expiry</t>
        </is>
      </c>
      <c r="K1150" s="25" t="n">
        <v>3126</v>
      </c>
      <c r="L1150" s="26" t="n">
        <v>5.2956</v>
      </c>
      <c r="M1150" s="26" t="n">
        <v>0.0864</v>
      </c>
    </row>
    <row r="1151" ht="16" customHeight="1">
      <c r="A1151" t="inlineStr">
        <is>
          <t>11-Jun-2026</t>
        </is>
      </c>
      <c r="B1151" t="inlineStr">
        <is>
          <t>Thursday</t>
        </is>
      </c>
      <c r="C1151" t="inlineStr">
        <is>
          <t>Week2-Jun-2026</t>
        </is>
      </c>
      <c r="D1151" s="78" t="n">
        <v>46174</v>
      </c>
      <c r="E1151" t="inlineStr">
        <is>
          <t>Q1FY27</t>
        </is>
      </c>
      <c r="F1151" t="inlineStr">
        <is>
          <t>29-Sep-2026</t>
        </is>
      </c>
      <c r="G1151" t="inlineStr">
        <is>
          <t>Tuesday</t>
        </is>
      </c>
      <c r="H1151" t="inlineStr">
        <is>
          <t>Monthly - Tuesday</t>
        </is>
      </c>
      <c r="I1151" t="inlineStr">
        <is>
          <t>Monthly - Tuesday</t>
        </is>
      </c>
      <c r="J1151" t="inlineStr">
        <is>
          <t>Month+3 Expiry</t>
        </is>
      </c>
      <c r="K1151" s="25" t="n">
        <v>1332</v>
      </c>
      <c r="L1151" s="26" t="n">
        <v>2.3297</v>
      </c>
      <c r="M1151" s="26" t="n">
        <v>0.052</v>
      </c>
    </row>
    <row r="1152" ht="16" customHeight="1">
      <c r="A1152" t="inlineStr">
        <is>
          <t>11-Jun-2026</t>
        </is>
      </c>
      <c r="B1152" t="inlineStr">
        <is>
          <t>Thursday</t>
        </is>
      </c>
      <c r="C1152" t="inlineStr">
        <is>
          <t>Week2-Jun-2026</t>
        </is>
      </c>
      <c r="D1152" s="78" t="n">
        <v>46174</v>
      </c>
      <c r="E1152" t="inlineStr">
        <is>
          <t>Q1FY27</t>
        </is>
      </c>
      <c r="F1152" t="inlineStr">
        <is>
          <t>29-Dec-2026</t>
        </is>
      </c>
      <c r="G1152" t="inlineStr">
        <is>
          <t>Tuesday</t>
        </is>
      </c>
      <c r="H1152" t="inlineStr">
        <is>
          <t>Monthly - Tuesday</t>
        </is>
      </c>
      <c r="I1152" t="inlineStr">
        <is>
          <t>Monthly - Tuesday</t>
        </is>
      </c>
      <c r="J1152" t="inlineStr">
        <is>
          <t>Month+6 Expiry</t>
        </is>
      </c>
      <c r="K1152" s="25" t="n">
        <v>43</v>
      </c>
      <c r="L1152" s="26" t="n">
        <v>0.0741</v>
      </c>
      <c r="M1152" s="26" t="n">
        <v>0.0017</v>
      </c>
    </row>
    <row r="1153" ht="16" customHeight="1">
      <c r="A1153" t="inlineStr">
        <is>
          <t>11-Jun-2026</t>
        </is>
      </c>
      <c r="B1153" t="inlineStr">
        <is>
          <t>Thursday</t>
        </is>
      </c>
      <c r="C1153" t="inlineStr">
        <is>
          <t>Week2-Jun-2026</t>
        </is>
      </c>
      <c r="D1153" s="78" t="n">
        <v>46174</v>
      </c>
      <c r="E1153" t="inlineStr">
        <is>
          <t>Q1FY27</t>
        </is>
      </c>
      <c r="F1153" t="inlineStr">
        <is>
          <t>30-Mar-2027</t>
        </is>
      </c>
      <c r="G1153" t="inlineStr">
        <is>
          <t>Tuesday</t>
        </is>
      </c>
      <c r="H1153" t="inlineStr">
        <is>
          <t>Monthly - Tuesday</t>
        </is>
      </c>
      <c r="I1153" t="inlineStr">
        <is>
          <t>Monthly - Tuesday</t>
        </is>
      </c>
      <c r="J1153" t="inlineStr">
        <is>
          <t>Month+9 Expiry</t>
        </is>
      </c>
      <c r="K1153" s="25" t="n">
        <v>0</v>
      </c>
      <c r="L1153" s="26" t="n">
        <v>0</v>
      </c>
      <c r="M1153" s="26" t="n">
        <v>0</v>
      </c>
    </row>
    <row r="1154" ht="16" customHeight="1">
      <c r="A1154" t="inlineStr">
        <is>
          <t>12-Jun-2026</t>
        </is>
      </c>
      <c r="B1154" t="inlineStr">
        <is>
          <t>Friday</t>
        </is>
      </c>
      <c r="C1154" t="inlineStr">
        <is>
          <t>Week2-Jun-2026</t>
        </is>
      </c>
      <c r="D1154" s="78" t="n">
        <v>46174</v>
      </c>
      <c r="E1154" t="inlineStr">
        <is>
          <t>Q1FY27</t>
        </is>
      </c>
      <c r="F1154" t="inlineStr">
        <is>
          <t>30-Jun-2026</t>
        </is>
      </c>
      <c r="G1154" t="inlineStr">
        <is>
          <t>Tuesday</t>
        </is>
      </c>
      <c r="H1154" t="inlineStr">
        <is>
          <t>Monthly - Tuesday</t>
        </is>
      </c>
      <c r="I1154" t="inlineStr">
        <is>
          <t>Monthly - Tuesday</t>
        </is>
      </c>
      <c r="J1154" t="inlineStr">
        <is>
          <t>Same Month Expiry</t>
        </is>
      </c>
      <c r="K1154" s="25" t="n">
        <v>3673301</v>
      </c>
      <c r="L1154" s="26" t="n">
        <v>6241.9112</v>
      </c>
      <c r="M1154" s="26" t="n">
        <v>54.5199</v>
      </c>
    </row>
    <row r="1155" ht="16" customHeight="1">
      <c r="A1155" t="inlineStr">
        <is>
          <t>12-Jun-2026</t>
        </is>
      </c>
      <c r="B1155" t="inlineStr">
        <is>
          <t>Friday</t>
        </is>
      </c>
      <c r="C1155" t="inlineStr">
        <is>
          <t>Week2-Jun-2026</t>
        </is>
      </c>
      <c r="D1155" s="78" t="n">
        <v>46174</v>
      </c>
      <c r="E1155" t="inlineStr">
        <is>
          <t>Q1FY27</t>
        </is>
      </c>
      <c r="F1155" t="inlineStr">
        <is>
          <t>28-Jul-2026</t>
        </is>
      </c>
      <c r="G1155" t="inlineStr">
        <is>
          <t>Tuesday</t>
        </is>
      </c>
      <c r="H1155" t="inlineStr">
        <is>
          <t>Monthly - Tuesday</t>
        </is>
      </c>
      <c r="I1155" t="inlineStr">
        <is>
          <t>Monthly - Tuesday</t>
        </is>
      </c>
      <c r="J1155" t="inlineStr">
        <is>
          <t>Month+1 Expiry</t>
        </is>
      </c>
      <c r="K1155" s="25" t="n">
        <v>154892</v>
      </c>
      <c r="L1155" s="26" t="n">
        <v>267.9714</v>
      </c>
      <c r="M1155" s="26" t="n">
        <v>4.1115</v>
      </c>
    </row>
    <row r="1156" ht="16" customHeight="1">
      <c r="A1156" t="inlineStr">
        <is>
          <t>12-Jun-2026</t>
        </is>
      </c>
      <c r="B1156" t="inlineStr">
        <is>
          <t>Friday</t>
        </is>
      </c>
      <c r="C1156" t="inlineStr">
        <is>
          <t>Week2-Jun-2026</t>
        </is>
      </c>
      <c r="D1156" s="78" t="n">
        <v>46174</v>
      </c>
      <c r="E1156" t="inlineStr">
        <is>
          <t>Q1FY27</t>
        </is>
      </c>
      <c r="F1156" t="inlineStr">
        <is>
          <t>25-Aug-2026</t>
        </is>
      </c>
      <c r="G1156" t="inlineStr">
        <is>
          <t>Tuesday</t>
        </is>
      </c>
      <c r="H1156" t="inlineStr">
        <is>
          <t>Monthly - Tuesday</t>
        </is>
      </c>
      <c r="I1156" t="inlineStr">
        <is>
          <t>Monthly - Tuesday</t>
        </is>
      </c>
      <c r="J1156" t="inlineStr">
        <is>
          <t>Month+2 Expiry</t>
        </is>
      </c>
      <c r="K1156" s="25" t="n">
        <v>6353</v>
      </c>
      <c r="L1156" s="26" t="n">
        <v>10.7368</v>
      </c>
      <c r="M1156" s="26" t="n">
        <v>0.1847</v>
      </c>
    </row>
    <row r="1157" ht="16" customHeight="1">
      <c r="A1157" t="inlineStr">
        <is>
          <t>12-Jun-2026</t>
        </is>
      </c>
      <c r="B1157" t="inlineStr">
        <is>
          <t>Friday</t>
        </is>
      </c>
      <c r="C1157" t="inlineStr">
        <is>
          <t>Week2-Jun-2026</t>
        </is>
      </c>
      <c r="D1157" s="78" t="n">
        <v>46174</v>
      </c>
      <c r="E1157" t="inlineStr">
        <is>
          <t>Q1FY27</t>
        </is>
      </c>
      <c r="F1157" t="inlineStr">
        <is>
          <t>29-Sep-2026</t>
        </is>
      </c>
      <c r="G1157" t="inlineStr">
        <is>
          <t>Tuesday</t>
        </is>
      </c>
      <c r="H1157" t="inlineStr">
        <is>
          <t>Monthly - Tuesday</t>
        </is>
      </c>
      <c r="I1157" t="inlineStr">
        <is>
          <t>Monthly - Tuesday</t>
        </is>
      </c>
      <c r="J1157" t="inlineStr">
        <is>
          <t>Month+3 Expiry</t>
        </is>
      </c>
      <c r="K1157" s="25" t="n">
        <v>3419</v>
      </c>
      <c r="L1157" s="26" t="n">
        <v>5.9125</v>
      </c>
      <c r="M1157" s="26" t="n">
        <v>0.1085</v>
      </c>
    </row>
    <row r="1158" ht="16" customHeight="1">
      <c r="A1158" t="inlineStr">
        <is>
          <t>12-Jun-2026</t>
        </is>
      </c>
      <c r="B1158" t="inlineStr">
        <is>
          <t>Friday</t>
        </is>
      </c>
      <c r="C1158" t="inlineStr">
        <is>
          <t>Week2-Jun-2026</t>
        </is>
      </c>
      <c r="D1158" s="78" t="n">
        <v>46174</v>
      </c>
      <c r="E1158" t="inlineStr">
        <is>
          <t>Q1FY27</t>
        </is>
      </c>
      <c r="F1158" t="inlineStr">
        <is>
          <t>29-Dec-2026</t>
        </is>
      </c>
      <c r="G1158" t="inlineStr">
        <is>
          <t>Tuesday</t>
        </is>
      </c>
      <c r="H1158" t="inlineStr">
        <is>
          <t>Monthly - Tuesday</t>
        </is>
      </c>
      <c r="I1158" t="inlineStr">
        <is>
          <t>Monthly - Tuesday</t>
        </is>
      </c>
      <c r="J1158" t="inlineStr">
        <is>
          <t>Month+6 Expiry</t>
        </is>
      </c>
      <c r="K1158" s="25" t="n">
        <v>175</v>
      </c>
      <c r="L1158" s="26" t="n">
        <v>0.2882</v>
      </c>
      <c r="M1158" s="26" t="n">
        <v>0.0062</v>
      </c>
    </row>
    <row r="1159" ht="16" customHeight="1">
      <c r="A1159" t="inlineStr">
        <is>
          <t>12-Jun-2026</t>
        </is>
      </c>
      <c r="B1159" t="inlineStr">
        <is>
          <t>Friday</t>
        </is>
      </c>
      <c r="C1159" t="inlineStr">
        <is>
          <t>Week2-Jun-2026</t>
        </is>
      </c>
      <c r="D1159" s="78" t="n">
        <v>46174</v>
      </c>
      <c r="E1159" t="inlineStr">
        <is>
          <t>Q1FY27</t>
        </is>
      </c>
      <c r="F1159" t="inlineStr">
        <is>
          <t>30-Mar-2027</t>
        </is>
      </c>
      <c r="G1159" t="inlineStr">
        <is>
          <t>Tuesday</t>
        </is>
      </c>
      <c r="H1159" t="inlineStr">
        <is>
          <t>Monthly - Tuesday</t>
        </is>
      </c>
      <c r="I1159" t="inlineStr">
        <is>
          <t>Monthly - Tuesday</t>
        </is>
      </c>
      <c r="J1159" t="inlineStr">
        <is>
          <t>Month+9 Expiry</t>
        </is>
      </c>
      <c r="K1159" s="25" t="n">
        <v>0</v>
      </c>
      <c r="L1159" s="26" t="n">
        <v>0</v>
      </c>
      <c r="M1159" s="26" t="n">
        <v>0</v>
      </c>
    </row>
    <row r="1160" ht="16" customHeight="1">
      <c r="A1160" t="inlineStr">
        <is>
          <t>15-Jun-2026</t>
        </is>
      </c>
      <c r="B1160" t="inlineStr">
        <is>
          <t>Monday</t>
        </is>
      </c>
      <c r="C1160" t="inlineStr">
        <is>
          <t>Week3-Jun-2026</t>
        </is>
      </c>
      <c r="D1160" s="78" t="n">
        <v>46174</v>
      </c>
      <c r="E1160" t="inlineStr">
        <is>
          <t>Q1FY27</t>
        </is>
      </c>
      <c r="F1160" t="inlineStr">
        <is>
          <t>30-Jun-2026</t>
        </is>
      </c>
      <c r="G1160" t="inlineStr">
        <is>
          <t>Tuesday</t>
        </is>
      </c>
      <c r="H1160" t="inlineStr">
        <is>
          <t>Monthly - Tuesday</t>
        </is>
      </c>
      <c r="I1160" t="inlineStr">
        <is>
          <t>Monthly - Tuesday</t>
        </is>
      </c>
      <c r="J1160" t="inlineStr">
        <is>
          <t>Same Month Expiry</t>
        </is>
      </c>
      <c r="K1160" s="25" t="n">
        <v>2832594</v>
      </c>
      <c r="L1160" s="26" t="n">
        <v>4873.6336</v>
      </c>
      <c r="M1160" s="26" t="n">
        <v>38.6703</v>
      </c>
    </row>
    <row r="1161" ht="16" customHeight="1">
      <c r="A1161" t="inlineStr">
        <is>
          <t>15-Jun-2026</t>
        </is>
      </c>
      <c r="B1161" t="inlineStr">
        <is>
          <t>Monday</t>
        </is>
      </c>
      <c r="C1161" t="inlineStr">
        <is>
          <t>Week3-Jun-2026</t>
        </is>
      </c>
      <c r="D1161" s="78" t="n">
        <v>46174</v>
      </c>
      <c r="E1161" t="inlineStr">
        <is>
          <t>Q1FY27</t>
        </is>
      </c>
      <c r="F1161" t="inlineStr">
        <is>
          <t>28-Jul-2026</t>
        </is>
      </c>
      <c r="G1161" t="inlineStr">
        <is>
          <t>Tuesday</t>
        </is>
      </c>
      <c r="H1161" t="inlineStr">
        <is>
          <t>Monthly - Tuesday</t>
        </is>
      </c>
      <c r="I1161" t="inlineStr">
        <is>
          <t>Monthly - Tuesday</t>
        </is>
      </c>
      <c r="J1161" t="inlineStr">
        <is>
          <t>Month+1 Expiry</t>
        </is>
      </c>
      <c r="K1161" s="25" t="n">
        <v>146089</v>
      </c>
      <c r="L1161" s="26" t="n">
        <v>253.2281</v>
      </c>
      <c r="M1161" s="26" t="n">
        <v>3.1623</v>
      </c>
    </row>
    <row r="1162" ht="16" customHeight="1">
      <c r="A1162" t="inlineStr">
        <is>
          <t>15-Jun-2026</t>
        </is>
      </c>
      <c r="B1162" t="inlineStr">
        <is>
          <t>Monday</t>
        </is>
      </c>
      <c r="C1162" t="inlineStr">
        <is>
          <t>Week3-Jun-2026</t>
        </is>
      </c>
      <c r="D1162" s="78" t="n">
        <v>46174</v>
      </c>
      <c r="E1162" t="inlineStr">
        <is>
          <t>Q1FY27</t>
        </is>
      </c>
      <c r="F1162" t="inlineStr">
        <is>
          <t>25-Aug-2026</t>
        </is>
      </c>
      <c r="G1162" t="inlineStr">
        <is>
          <t>Tuesday</t>
        </is>
      </c>
      <c r="H1162" t="inlineStr">
        <is>
          <t>Monthly - Tuesday</t>
        </is>
      </c>
      <c r="I1162" t="inlineStr">
        <is>
          <t>Monthly - Tuesday</t>
        </is>
      </c>
      <c r="J1162" t="inlineStr">
        <is>
          <t>Month+2 Expiry</t>
        </is>
      </c>
      <c r="K1162" s="25" t="n">
        <v>6355</v>
      </c>
      <c r="L1162" s="26" t="n">
        <v>10.8513</v>
      </c>
      <c r="M1162" s="26" t="n">
        <v>0.1767</v>
      </c>
    </row>
    <row r="1163" ht="16" customHeight="1">
      <c r="A1163" t="inlineStr">
        <is>
          <t>15-Jun-2026</t>
        </is>
      </c>
      <c r="B1163" t="inlineStr">
        <is>
          <t>Monday</t>
        </is>
      </c>
      <c r="C1163" t="inlineStr">
        <is>
          <t>Week3-Jun-2026</t>
        </is>
      </c>
      <c r="D1163" s="78" t="n">
        <v>46174</v>
      </c>
      <c r="E1163" t="inlineStr">
        <is>
          <t>Q1FY27</t>
        </is>
      </c>
      <c r="F1163" t="inlineStr">
        <is>
          <t>29-Sep-2026</t>
        </is>
      </c>
      <c r="G1163" t="inlineStr">
        <is>
          <t>Tuesday</t>
        </is>
      </c>
      <c r="H1163" t="inlineStr">
        <is>
          <t>Monthly - Tuesday</t>
        </is>
      </c>
      <c r="I1163" t="inlineStr">
        <is>
          <t>Monthly - Tuesday</t>
        </is>
      </c>
      <c r="J1163" t="inlineStr">
        <is>
          <t>Month+3 Expiry</t>
        </is>
      </c>
      <c r="K1163" s="25" t="n">
        <v>2628</v>
      </c>
      <c r="L1163" s="26" t="n">
        <v>4.5774</v>
      </c>
      <c r="M1163" s="26" t="n">
        <v>0.08840000000000001</v>
      </c>
    </row>
    <row r="1164" ht="16" customHeight="1">
      <c r="A1164" t="inlineStr">
        <is>
          <t>15-Jun-2026</t>
        </is>
      </c>
      <c r="B1164" t="inlineStr">
        <is>
          <t>Monday</t>
        </is>
      </c>
      <c r="C1164" t="inlineStr">
        <is>
          <t>Week3-Jun-2026</t>
        </is>
      </c>
      <c r="D1164" s="78" t="n">
        <v>46174</v>
      </c>
      <c r="E1164" t="inlineStr">
        <is>
          <t>Q1FY27</t>
        </is>
      </c>
      <c r="F1164" t="inlineStr">
        <is>
          <t>29-Dec-2026</t>
        </is>
      </c>
      <c r="G1164" t="inlineStr">
        <is>
          <t>Tuesday</t>
        </is>
      </c>
      <c r="H1164" t="inlineStr">
        <is>
          <t>Monthly - Tuesday</t>
        </is>
      </c>
      <c r="I1164" t="inlineStr">
        <is>
          <t>Monthly - Tuesday</t>
        </is>
      </c>
      <c r="J1164" t="inlineStr">
        <is>
          <t>Month+6 Expiry</t>
        </is>
      </c>
      <c r="K1164" s="25" t="n">
        <v>204</v>
      </c>
      <c r="L1164" s="26" t="n">
        <v>0.3613</v>
      </c>
      <c r="M1164" s="26" t="n">
        <v>0.009599999999999999</v>
      </c>
    </row>
    <row r="1165" ht="16" customHeight="1">
      <c r="A1165" t="inlineStr">
        <is>
          <t>15-Jun-2026</t>
        </is>
      </c>
      <c r="B1165" t="inlineStr">
        <is>
          <t>Monday</t>
        </is>
      </c>
      <c r="C1165" t="inlineStr">
        <is>
          <t>Week3-Jun-2026</t>
        </is>
      </c>
      <c r="D1165" s="78" t="n">
        <v>46174</v>
      </c>
      <c r="E1165" t="inlineStr">
        <is>
          <t>Q1FY27</t>
        </is>
      </c>
      <c r="F1165" t="inlineStr">
        <is>
          <t>30-Mar-2027</t>
        </is>
      </c>
      <c r="G1165" t="inlineStr">
        <is>
          <t>Tuesday</t>
        </is>
      </c>
      <c r="H1165" t="inlineStr">
        <is>
          <t>Monthly - Tuesday</t>
        </is>
      </c>
      <c r="I1165" t="inlineStr">
        <is>
          <t>Monthly - Tuesday</t>
        </is>
      </c>
      <c r="J1165" t="inlineStr">
        <is>
          <t>Month+9 Expiry</t>
        </is>
      </c>
      <c r="K1165" s="25" t="n">
        <v>0</v>
      </c>
      <c r="L1165" s="26" t="n">
        <v>0</v>
      </c>
      <c r="M1165" s="26" t="n">
        <v>0</v>
      </c>
    </row>
    <row r="1166" ht="16" customHeight="1">
      <c r="A1166" t="inlineStr">
        <is>
          <t>16-Jun-2026</t>
        </is>
      </c>
      <c r="B1166" t="inlineStr">
        <is>
          <t>Tuesday</t>
        </is>
      </c>
      <c r="C1166" t="inlineStr">
        <is>
          <t>Week3-Jun-2026</t>
        </is>
      </c>
      <c r="D1166" s="78" t="n">
        <v>46174</v>
      </c>
      <c r="E1166" t="inlineStr">
        <is>
          <t>Q1FY27</t>
        </is>
      </c>
      <c r="F1166" t="inlineStr">
        <is>
          <t>30-Jun-2026</t>
        </is>
      </c>
      <c r="G1166" t="inlineStr">
        <is>
          <t>Tuesday</t>
        </is>
      </c>
      <c r="H1166" t="inlineStr">
        <is>
          <t>Monthly - Tuesday</t>
        </is>
      </c>
      <c r="I1166" t="inlineStr">
        <is>
          <t>Monthly - Tuesday</t>
        </is>
      </c>
      <c r="J1166" t="inlineStr">
        <is>
          <t>Same Month Expiry</t>
        </is>
      </c>
      <c r="K1166" s="25" t="n">
        <v>2103004</v>
      </c>
      <c r="L1166" s="26" t="n">
        <v>3615.3212</v>
      </c>
      <c r="M1166" s="26" t="n">
        <v>27.479</v>
      </c>
    </row>
    <row r="1167" ht="16" customHeight="1">
      <c r="A1167" t="inlineStr">
        <is>
          <t>16-Jun-2026</t>
        </is>
      </c>
      <c r="B1167" t="inlineStr">
        <is>
          <t>Tuesday</t>
        </is>
      </c>
      <c r="C1167" t="inlineStr">
        <is>
          <t>Week3-Jun-2026</t>
        </is>
      </c>
      <c r="D1167" s="78" t="n">
        <v>46174</v>
      </c>
      <c r="E1167" t="inlineStr">
        <is>
          <t>Q1FY27</t>
        </is>
      </c>
      <c r="F1167" t="inlineStr">
        <is>
          <t>28-Jul-2026</t>
        </is>
      </c>
      <c r="G1167" t="inlineStr">
        <is>
          <t>Tuesday</t>
        </is>
      </c>
      <c r="H1167" t="inlineStr">
        <is>
          <t>Monthly - Tuesday</t>
        </is>
      </c>
      <c r="I1167" t="inlineStr">
        <is>
          <t>Monthly - Tuesday</t>
        </is>
      </c>
      <c r="J1167" t="inlineStr">
        <is>
          <t>Month+1 Expiry</t>
        </is>
      </c>
      <c r="K1167" s="25" t="n">
        <v>83078</v>
      </c>
      <c r="L1167" s="26" t="n">
        <v>142.7805</v>
      </c>
      <c r="M1167" s="26" t="n">
        <v>1.5375</v>
      </c>
    </row>
    <row r="1168" ht="16" customHeight="1">
      <c r="A1168" t="inlineStr">
        <is>
          <t>16-Jun-2026</t>
        </is>
      </c>
      <c r="B1168" t="inlineStr">
        <is>
          <t>Tuesday</t>
        </is>
      </c>
      <c r="C1168" t="inlineStr">
        <is>
          <t>Week3-Jun-2026</t>
        </is>
      </c>
      <c r="D1168" s="78" t="n">
        <v>46174</v>
      </c>
      <c r="E1168" t="inlineStr">
        <is>
          <t>Q1FY27</t>
        </is>
      </c>
      <c r="F1168" t="inlineStr">
        <is>
          <t>25-Aug-2026</t>
        </is>
      </c>
      <c r="G1168" t="inlineStr">
        <is>
          <t>Tuesday</t>
        </is>
      </c>
      <c r="H1168" t="inlineStr">
        <is>
          <t>Monthly - Tuesday</t>
        </is>
      </c>
      <c r="I1168" t="inlineStr">
        <is>
          <t>Monthly - Tuesday</t>
        </is>
      </c>
      <c r="J1168" t="inlineStr">
        <is>
          <t>Month+2 Expiry</t>
        </is>
      </c>
      <c r="K1168" s="25" t="n">
        <v>3424</v>
      </c>
      <c r="L1168" s="26" t="n">
        <v>5.8406</v>
      </c>
      <c r="M1168" s="26" t="n">
        <v>0.0896</v>
      </c>
    </row>
    <row r="1169" ht="16" customHeight="1">
      <c r="A1169" t="inlineStr">
        <is>
          <t>16-Jun-2026</t>
        </is>
      </c>
      <c r="B1169" t="inlineStr">
        <is>
          <t>Tuesday</t>
        </is>
      </c>
      <c r="C1169" t="inlineStr">
        <is>
          <t>Week3-Jun-2026</t>
        </is>
      </c>
      <c r="D1169" s="78" t="n">
        <v>46174</v>
      </c>
      <c r="E1169" t="inlineStr">
        <is>
          <t>Q1FY27</t>
        </is>
      </c>
      <c r="F1169" t="inlineStr">
        <is>
          <t>29-Sep-2026</t>
        </is>
      </c>
      <c r="G1169" t="inlineStr">
        <is>
          <t>Tuesday</t>
        </is>
      </c>
      <c r="H1169" t="inlineStr">
        <is>
          <t>Monthly - Tuesday</t>
        </is>
      </c>
      <c r="I1169" t="inlineStr">
        <is>
          <t>Monthly - Tuesday</t>
        </is>
      </c>
      <c r="J1169" t="inlineStr">
        <is>
          <t>Month+3 Expiry</t>
        </is>
      </c>
      <c r="K1169" s="25" t="n">
        <v>1724</v>
      </c>
      <c r="L1169" s="26" t="n">
        <v>3.0796</v>
      </c>
      <c r="M1169" s="26" t="n">
        <v>0.0613</v>
      </c>
    </row>
    <row r="1170" ht="16" customHeight="1">
      <c r="A1170" t="inlineStr">
        <is>
          <t>16-Jun-2026</t>
        </is>
      </c>
      <c r="B1170" t="inlineStr">
        <is>
          <t>Tuesday</t>
        </is>
      </c>
      <c r="C1170" t="inlineStr">
        <is>
          <t>Week3-Jun-2026</t>
        </is>
      </c>
      <c r="D1170" s="78" t="n">
        <v>46174</v>
      </c>
      <c r="E1170" t="inlineStr">
        <is>
          <t>Q1FY27</t>
        </is>
      </c>
      <c r="F1170" t="inlineStr">
        <is>
          <t>29-Dec-2026</t>
        </is>
      </c>
      <c r="G1170" t="inlineStr">
        <is>
          <t>Tuesday</t>
        </is>
      </c>
      <c r="H1170" t="inlineStr">
        <is>
          <t>Monthly - Tuesday</t>
        </is>
      </c>
      <c r="I1170" t="inlineStr">
        <is>
          <t>Monthly - Tuesday</t>
        </is>
      </c>
      <c r="J1170" t="inlineStr">
        <is>
          <t>Month+6 Expiry</t>
        </is>
      </c>
      <c r="K1170" s="25" t="n">
        <v>135</v>
      </c>
      <c r="L1170" s="26" t="n">
        <v>0.2397</v>
      </c>
      <c r="M1170" s="26" t="n">
        <v>0.0058</v>
      </c>
    </row>
    <row r="1171" ht="16" customHeight="1">
      <c r="A1171" t="inlineStr">
        <is>
          <t>16-Jun-2026</t>
        </is>
      </c>
      <c r="B1171" t="inlineStr">
        <is>
          <t>Tuesday</t>
        </is>
      </c>
      <c r="C1171" t="inlineStr">
        <is>
          <t>Week3-Jun-2026</t>
        </is>
      </c>
      <c r="D1171" s="78" t="n">
        <v>46174</v>
      </c>
      <c r="E1171" t="inlineStr">
        <is>
          <t>Q1FY27</t>
        </is>
      </c>
      <c r="F1171" t="inlineStr">
        <is>
          <t>30-Mar-2027</t>
        </is>
      </c>
      <c r="G1171" t="inlineStr">
        <is>
          <t>Tuesday</t>
        </is>
      </c>
      <c r="H1171" t="inlineStr">
        <is>
          <t>Monthly - Tuesday</t>
        </is>
      </c>
      <c r="I1171" t="inlineStr">
        <is>
          <t>Monthly - Tuesday</t>
        </is>
      </c>
      <c r="J1171" t="inlineStr">
        <is>
          <t>Month+9 Expiry</t>
        </is>
      </c>
      <c r="K1171" s="25" t="n">
        <v>1</v>
      </c>
      <c r="L1171" s="26" t="n">
        <v>0.0019</v>
      </c>
      <c r="M1171" s="26" t="n">
        <v>0.0001</v>
      </c>
    </row>
    <row r="1172" ht="16" customHeight="1">
      <c r="A1172" t="inlineStr">
        <is>
          <t>17-Jun-2026</t>
        </is>
      </c>
      <c r="B1172" t="inlineStr">
        <is>
          <t>Wednesday</t>
        </is>
      </c>
      <c r="C1172" t="inlineStr">
        <is>
          <t>Week3-Jun-2026</t>
        </is>
      </c>
      <c r="D1172" s="78" t="n">
        <v>46174</v>
      </c>
      <c r="E1172" t="inlineStr">
        <is>
          <t>Q1FY27</t>
        </is>
      </c>
      <c r="F1172" t="inlineStr">
        <is>
          <t>30-Jun-2026</t>
        </is>
      </c>
      <c r="G1172" t="inlineStr">
        <is>
          <t>Tuesday</t>
        </is>
      </c>
      <c r="H1172" t="inlineStr">
        <is>
          <t>Monthly - Tuesday</t>
        </is>
      </c>
      <c r="I1172" t="inlineStr">
        <is>
          <t>Monthly - Tuesday</t>
        </is>
      </c>
      <c r="J1172" t="inlineStr">
        <is>
          <t>Same Month Expiry</t>
        </is>
      </c>
      <c r="K1172" s="25" t="n">
        <v>2389751</v>
      </c>
      <c r="L1172" s="26" t="n">
        <v>4115.6735</v>
      </c>
      <c r="M1172" s="26" t="n">
        <v>29.8025</v>
      </c>
    </row>
    <row r="1173" ht="16" customHeight="1">
      <c r="A1173" t="inlineStr">
        <is>
          <t>17-Jun-2026</t>
        </is>
      </c>
      <c r="B1173" t="inlineStr">
        <is>
          <t>Wednesday</t>
        </is>
      </c>
      <c r="C1173" t="inlineStr">
        <is>
          <t>Week3-Jun-2026</t>
        </is>
      </c>
      <c r="D1173" s="78" t="n">
        <v>46174</v>
      </c>
      <c r="E1173" t="inlineStr">
        <is>
          <t>Q1FY27</t>
        </is>
      </c>
      <c r="F1173" t="inlineStr">
        <is>
          <t>28-Jul-2026</t>
        </is>
      </c>
      <c r="G1173" t="inlineStr">
        <is>
          <t>Tuesday</t>
        </is>
      </c>
      <c r="H1173" t="inlineStr">
        <is>
          <t>Monthly - Tuesday</t>
        </is>
      </c>
      <c r="I1173" t="inlineStr">
        <is>
          <t>Monthly - Tuesday</t>
        </is>
      </c>
      <c r="J1173" t="inlineStr">
        <is>
          <t>Month+1 Expiry</t>
        </is>
      </c>
      <c r="K1173" s="25" t="n">
        <v>84520</v>
      </c>
      <c r="L1173" s="26" t="n">
        <v>145.6296</v>
      </c>
      <c r="M1173" s="26" t="n">
        <v>1.4996</v>
      </c>
    </row>
    <row r="1174" ht="16" customHeight="1">
      <c r="A1174" t="inlineStr">
        <is>
          <t>17-Jun-2026</t>
        </is>
      </c>
      <c r="B1174" t="inlineStr">
        <is>
          <t>Wednesday</t>
        </is>
      </c>
      <c r="C1174" t="inlineStr">
        <is>
          <t>Week3-Jun-2026</t>
        </is>
      </c>
      <c r="D1174" s="78" t="n">
        <v>46174</v>
      </c>
      <c r="E1174" t="inlineStr">
        <is>
          <t>Q1FY27</t>
        </is>
      </c>
      <c r="F1174" t="inlineStr">
        <is>
          <t>25-Aug-2026</t>
        </is>
      </c>
      <c r="G1174" t="inlineStr">
        <is>
          <t>Tuesday</t>
        </is>
      </c>
      <c r="H1174" t="inlineStr">
        <is>
          <t>Monthly - Tuesday</t>
        </is>
      </c>
      <c r="I1174" t="inlineStr">
        <is>
          <t>Monthly - Tuesday</t>
        </is>
      </c>
      <c r="J1174" t="inlineStr">
        <is>
          <t>Month+2 Expiry</t>
        </is>
      </c>
      <c r="K1174" s="25" t="n">
        <v>5306</v>
      </c>
      <c r="L1174" s="26" t="n">
        <v>9.231999999999999</v>
      </c>
      <c r="M1174" s="26" t="n">
        <v>0.1603</v>
      </c>
    </row>
    <row r="1175" ht="16" customHeight="1">
      <c r="A1175" t="inlineStr">
        <is>
          <t>17-Jun-2026</t>
        </is>
      </c>
      <c r="B1175" t="inlineStr">
        <is>
          <t>Wednesday</t>
        </is>
      </c>
      <c r="C1175" t="inlineStr">
        <is>
          <t>Week3-Jun-2026</t>
        </is>
      </c>
      <c r="D1175" s="78" t="n">
        <v>46174</v>
      </c>
      <c r="E1175" t="inlineStr">
        <is>
          <t>Q1FY27</t>
        </is>
      </c>
      <c r="F1175" t="inlineStr">
        <is>
          <t>29-Sep-2026</t>
        </is>
      </c>
      <c r="G1175" t="inlineStr">
        <is>
          <t>Tuesday</t>
        </is>
      </c>
      <c r="H1175" t="inlineStr">
        <is>
          <t>Monthly - Tuesday</t>
        </is>
      </c>
      <c r="I1175" t="inlineStr">
        <is>
          <t>Monthly - Tuesday</t>
        </is>
      </c>
      <c r="J1175" t="inlineStr">
        <is>
          <t>Month+3 Expiry</t>
        </is>
      </c>
      <c r="K1175" s="25" t="n">
        <v>1376</v>
      </c>
      <c r="L1175" s="26" t="n">
        <v>2.4394</v>
      </c>
      <c r="M1175" s="26" t="n">
        <v>0.044</v>
      </c>
    </row>
    <row r="1176" ht="16" customHeight="1">
      <c r="A1176" t="inlineStr">
        <is>
          <t>17-Jun-2026</t>
        </is>
      </c>
      <c r="B1176" t="inlineStr">
        <is>
          <t>Wednesday</t>
        </is>
      </c>
      <c r="C1176" t="inlineStr">
        <is>
          <t>Week3-Jun-2026</t>
        </is>
      </c>
      <c r="D1176" s="78" t="n">
        <v>46174</v>
      </c>
      <c r="E1176" t="inlineStr">
        <is>
          <t>Q1FY27</t>
        </is>
      </c>
      <c r="F1176" t="inlineStr">
        <is>
          <t>29-Dec-2026</t>
        </is>
      </c>
      <c r="G1176" t="inlineStr">
        <is>
          <t>Tuesday</t>
        </is>
      </c>
      <c r="H1176" t="inlineStr">
        <is>
          <t>Monthly - Tuesday</t>
        </is>
      </c>
      <c r="I1176" t="inlineStr">
        <is>
          <t>Monthly - Tuesday</t>
        </is>
      </c>
      <c r="J1176" t="inlineStr">
        <is>
          <t>Month+6 Expiry</t>
        </is>
      </c>
      <c r="K1176" s="25" t="n">
        <v>255</v>
      </c>
      <c r="L1176" s="26" t="n">
        <v>0.451</v>
      </c>
      <c r="M1176" s="26" t="n">
        <v>0.0101</v>
      </c>
    </row>
    <row r="1177" ht="16" customHeight="1">
      <c r="A1177" t="inlineStr">
        <is>
          <t>17-Jun-2026</t>
        </is>
      </c>
      <c r="B1177" t="inlineStr">
        <is>
          <t>Wednesday</t>
        </is>
      </c>
      <c r="C1177" t="inlineStr">
        <is>
          <t>Week3-Jun-2026</t>
        </is>
      </c>
      <c r="D1177" s="78" t="n">
        <v>46174</v>
      </c>
      <c r="E1177" t="inlineStr">
        <is>
          <t>Q1FY27</t>
        </is>
      </c>
      <c r="F1177" t="inlineStr">
        <is>
          <t>30-Mar-2027</t>
        </is>
      </c>
      <c r="G1177" t="inlineStr">
        <is>
          <t>Tuesday</t>
        </is>
      </c>
      <c r="H1177" t="inlineStr">
        <is>
          <t>Monthly - Tuesday</t>
        </is>
      </c>
      <c r="I1177" t="inlineStr">
        <is>
          <t>Monthly - Tuesday</t>
        </is>
      </c>
      <c r="J1177" t="inlineStr">
        <is>
          <t>Month+9 Expiry</t>
        </is>
      </c>
      <c r="K1177" s="25" t="n">
        <v>3</v>
      </c>
      <c r="L1177" s="26" t="n">
        <v>0.0058</v>
      </c>
      <c r="M1177" s="26" t="n">
        <v>0.0002</v>
      </c>
    </row>
    <row r="1178" ht="16" customHeight="1">
      <c r="A1178" t="inlineStr">
        <is>
          <t>18-Jun-2026</t>
        </is>
      </c>
      <c r="B1178" t="inlineStr">
        <is>
          <t>Thursday</t>
        </is>
      </c>
      <c r="C1178" t="inlineStr">
        <is>
          <t>Week3-Jun-2026</t>
        </is>
      </c>
      <c r="D1178" s="78" t="n">
        <v>46174</v>
      </c>
      <c r="E1178" t="inlineStr">
        <is>
          <t>Q1FY27</t>
        </is>
      </c>
      <c r="F1178" t="inlineStr">
        <is>
          <t>30-Jun-2026</t>
        </is>
      </c>
      <c r="G1178" t="inlineStr">
        <is>
          <t>Tuesday</t>
        </is>
      </c>
      <c r="H1178" t="inlineStr">
        <is>
          <t>Monthly - Tuesday</t>
        </is>
      </c>
      <c r="I1178" t="inlineStr">
        <is>
          <t>Monthly - Tuesday</t>
        </is>
      </c>
      <c r="J1178" t="inlineStr">
        <is>
          <t>Same Month Expiry</t>
        </is>
      </c>
      <c r="K1178" s="25" t="n">
        <v>2908467</v>
      </c>
      <c r="L1178" s="26" t="n">
        <v>5015.7319</v>
      </c>
      <c r="M1178" s="26" t="n">
        <v>30.853</v>
      </c>
    </row>
    <row r="1179" ht="16" customHeight="1">
      <c r="A1179" t="inlineStr">
        <is>
          <t>18-Jun-2026</t>
        </is>
      </c>
      <c r="B1179" t="inlineStr">
        <is>
          <t>Thursday</t>
        </is>
      </c>
      <c r="C1179" t="inlineStr">
        <is>
          <t>Week3-Jun-2026</t>
        </is>
      </c>
      <c r="D1179" s="78" t="n">
        <v>46174</v>
      </c>
      <c r="E1179" t="inlineStr">
        <is>
          <t>Q1FY27</t>
        </is>
      </c>
      <c r="F1179" t="inlineStr">
        <is>
          <t>28-Jul-2026</t>
        </is>
      </c>
      <c r="G1179" t="inlineStr">
        <is>
          <t>Tuesday</t>
        </is>
      </c>
      <c r="H1179" t="inlineStr">
        <is>
          <t>Monthly - Tuesday</t>
        </is>
      </c>
      <c r="I1179" t="inlineStr">
        <is>
          <t>Monthly - Tuesday</t>
        </is>
      </c>
      <c r="J1179" t="inlineStr">
        <is>
          <t>Month+1 Expiry</t>
        </is>
      </c>
      <c r="K1179" s="25" t="n">
        <v>131734</v>
      </c>
      <c r="L1179" s="26" t="n">
        <v>229.5376</v>
      </c>
      <c r="M1179" s="26" t="n">
        <v>2.3231</v>
      </c>
    </row>
    <row r="1180" ht="16" customHeight="1">
      <c r="A1180" t="inlineStr">
        <is>
          <t>18-Jun-2026</t>
        </is>
      </c>
      <c r="B1180" t="inlineStr">
        <is>
          <t>Thursday</t>
        </is>
      </c>
      <c r="C1180" t="inlineStr">
        <is>
          <t>Week3-Jun-2026</t>
        </is>
      </c>
      <c r="D1180" s="78" t="n">
        <v>46174</v>
      </c>
      <c r="E1180" t="inlineStr">
        <is>
          <t>Q1FY27</t>
        </is>
      </c>
      <c r="F1180" t="inlineStr">
        <is>
          <t>25-Aug-2026</t>
        </is>
      </c>
      <c r="G1180" t="inlineStr">
        <is>
          <t>Tuesday</t>
        </is>
      </c>
      <c r="H1180" t="inlineStr">
        <is>
          <t>Monthly - Tuesday</t>
        </is>
      </c>
      <c r="I1180" t="inlineStr">
        <is>
          <t>Monthly - Tuesday</t>
        </is>
      </c>
      <c r="J1180" t="inlineStr">
        <is>
          <t>Month+2 Expiry</t>
        </is>
      </c>
      <c r="K1180" s="25" t="n">
        <v>10641</v>
      </c>
      <c r="L1180" s="26" t="n">
        <v>18.5818</v>
      </c>
      <c r="M1180" s="26" t="n">
        <v>0.2941</v>
      </c>
    </row>
    <row r="1181" ht="16" customHeight="1">
      <c r="A1181" t="inlineStr">
        <is>
          <t>18-Jun-2026</t>
        </is>
      </c>
      <c r="B1181" t="inlineStr">
        <is>
          <t>Thursday</t>
        </is>
      </c>
      <c r="C1181" t="inlineStr">
        <is>
          <t>Week3-Jun-2026</t>
        </is>
      </c>
      <c r="D1181" s="78" t="n">
        <v>46174</v>
      </c>
      <c r="E1181" t="inlineStr">
        <is>
          <t>Q1FY27</t>
        </is>
      </c>
      <c r="F1181" t="inlineStr">
        <is>
          <t>29-Sep-2026</t>
        </is>
      </c>
      <c r="G1181" t="inlineStr">
        <is>
          <t>Tuesday</t>
        </is>
      </c>
      <c r="H1181" t="inlineStr">
        <is>
          <t>Monthly - Tuesday</t>
        </is>
      </c>
      <c r="I1181" t="inlineStr">
        <is>
          <t>Monthly - Tuesday</t>
        </is>
      </c>
      <c r="J1181" t="inlineStr">
        <is>
          <t>Month+3 Expiry</t>
        </is>
      </c>
      <c r="K1181" s="25" t="n">
        <v>1499</v>
      </c>
      <c r="L1181" s="26" t="n">
        <v>2.6141</v>
      </c>
      <c r="M1181" s="26" t="n">
        <v>0.0462</v>
      </c>
    </row>
    <row r="1182" ht="16" customHeight="1">
      <c r="A1182" t="inlineStr">
        <is>
          <t>18-Jun-2026</t>
        </is>
      </c>
      <c r="B1182" t="inlineStr">
        <is>
          <t>Thursday</t>
        </is>
      </c>
      <c r="C1182" t="inlineStr">
        <is>
          <t>Week3-Jun-2026</t>
        </is>
      </c>
      <c r="D1182" s="78" t="n">
        <v>46174</v>
      </c>
      <c r="E1182" t="inlineStr">
        <is>
          <t>Q1FY27</t>
        </is>
      </c>
      <c r="F1182" t="inlineStr">
        <is>
          <t>29-Dec-2026</t>
        </is>
      </c>
      <c r="G1182" t="inlineStr">
        <is>
          <t>Tuesday</t>
        </is>
      </c>
      <c r="H1182" t="inlineStr">
        <is>
          <t>Monthly - Tuesday</t>
        </is>
      </c>
      <c r="I1182" t="inlineStr">
        <is>
          <t>Monthly - Tuesday</t>
        </is>
      </c>
      <c r="J1182" t="inlineStr">
        <is>
          <t>Month+6 Expiry</t>
        </is>
      </c>
      <c r="K1182" s="25" t="n">
        <v>266</v>
      </c>
      <c r="L1182" s="26" t="n">
        <v>0.4759</v>
      </c>
      <c r="M1182" s="26" t="n">
        <v>0.011</v>
      </c>
    </row>
    <row r="1183" ht="16" customHeight="1">
      <c r="A1183" t="inlineStr">
        <is>
          <t>18-Jun-2026</t>
        </is>
      </c>
      <c r="B1183" t="inlineStr">
        <is>
          <t>Thursday</t>
        </is>
      </c>
      <c r="C1183" t="inlineStr">
        <is>
          <t>Week3-Jun-2026</t>
        </is>
      </c>
      <c r="D1183" s="78" t="n">
        <v>46174</v>
      </c>
      <c r="E1183" t="inlineStr">
        <is>
          <t>Q1FY27</t>
        </is>
      </c>
      <c r="F1183" t="inlineStr">
        <is>
          <t>30-Mar-2027</t>
        </is>
      </c>
      <c r="G1183" t="inlineStr">
        <is>
          <t>Tuesday</t>
        </is>
      </c>
      <c r="H1183" t="inlineStr">
        <is>
          <t>Monthly - Tuesday</t>
        </is>
      </c>
      <c r="I1183" t="inlineStr">
        <is>
          <t>Monthly - Tuesday</t>
        </is>
      </c>
      <c r="J1183" t="inlineStr">
        <is>
          <t>Month+9 Expiry</t>
        </is>
      </c>
      <c r="K1183" s="25" t="n">
        <v>0</v>
      </c>
      <c r="L1183" s="26" t="n">
        <v>0</v>
      </c>
      <c r="M1183" s="26" t="n">
        <v>0</v>
      </c>
    </row>
    <row r="1184" ht="16" customHeight="1">
      <c r="A1184" t="inlineStr">
        <is>
          <t>19-Jun-2026</t>
        </is>
      </c>
      <c r="B1184" t="inlineStr">
        <is>
          <t>Friday</t>
        </is>
      </c>
      <c r="C1184" t="inlineStr">
        <is>
          <t>Week3-Jun-2026</t>
        </is>
      </c>
      <c r="D1184" s="78" t="n">
        <v>46174</v>
      </c>
      <c r="E1184" t="inlineStr">
        <is>
          <t>Q1FY27</t>
        </is>
      </c>
      <c r="F1184" t="inlineStr">
        <is>
          <t>30-Jun-2026</t>
        </is>
      </c>
      <c r="G1184" t="inlineStr">
        <is>
          <t>Tuesday</t>
        </is>
      </c>
      <c r="H1184" t="inlineStr">
        <is>
          <t>Monthly - Tuesday</t>
        </is>
      </c>
      <c r="I1184" t="inlineStr">
        <is>
          <t>Monthly - Tuesday</t>
        </is>
      </c>
      <c r="J1184" t="inlineStr">
        <is>
          <t>Same Month Expiry</t>
        </is>
      </c>
      <c r="K1184" s="25" t="n">
        <v>3249146</v>
      </c>
      <c r="L1184" s="26" t="n">
        <v>5630.6912</v>
      </c>
      <c r="M1184" s="26" t="n">
        <v>34.1512</v>
      </c>
    </row>
    <row r="1185" ht="16" customHeight="1">
      <c r="A1185" t="inlineStr">
        <is>
          <t>19-Jun-2026</t>
        </is>
      </c>
      <c r="B1185" t="inlineStr">
        <is>
          <t>Friday</t>
        </is>
      </c>
      <c r="C1185" t="inlineStr">
        <is>
          <t>Week3-Jun-2026</t>
        </is>
      </c>
      <c r="D1185" s="78" t="n">
        <v>46174</v>
      </c>
      <c r="E1185" t="inlineStr">
        <is>
          <t>Q1FY27</t>
        </is>
      </c>
      <c r="F1185" t="inlineStr">
        <is>
          <t>28-Jul-2026</t>
        </is>
      </c>
      <c r="G1185" t="inlineStr">
        <is>
          <t>Tuesday</t>
        </is>
      </c>
      <c r="H1185" t="inlineStr">
        <is>
          <t>Monthly - Tuesday</t>
        </is>
      </c>
      <c r="I1185" t="inlineStr">
        <is>
          <t>Monthly - Tuesday</t>
        </is>
      </c>
      <c r="J1185" t="inlineStr">
        <is>
          <t>Month+1 Expiry</t>
        </is>
      </c>
      <c r="K1185" s="25" t="n">
        <v>125510</v>
      </c>
      <c r="L1185" s="26" t="n">
        <v>218.8498</v>
      </c>
      <c r="M1185" s="26" t="n">
        <v>2.1367</v>
      </c>
    </row>
    <row r="1186" ht="16" customHeight="1">
      <c r="A1186" t="inlineStr">
        <is>
          <t>19-Jun-2026</t>
        </is>
      </c>
      <c r="B1186" t="inlineStr">
        <is>
          <t>Friday</t>
        </is>
      </c>
      <c r="C1186" t="inlineStr">
        <is>
          <t>Week3-Jun-2026</t>
        </is>
      </c>
      <c r="D1186" s="78" t="n">
        <v>46174</v>
      </c>
      <c r="E1186" t="inlineStr">
        <is>
          <t>Q1FY27</t>
        </is>
      </c>
      <c r="F1186" t="inlineStr">
        <is>
          <t>25-Aug-2026</t>
        </is>
      </c>
      <c r="G1186" t="inlineStr">
        <is>
          <t>Tuesday</t>
        </is>
      </c>
      <c r="H1186" t="inlineStr">
        <is>
          <t>Monthly - Tuesday</t>
        </is>
      </c>
      <c r="I1186" t="inlineStr">
        <is>
          <t>Monthly - Tuesday</t>
        </is>
      </c>
      <c r="J1186" t="inlineStr">
        <is>
          <t>Month+2 Expiry</t>
        </is>
      </c>
      <c r="K1186" s="25" t="n">
        <v>5251</v>
      </c>
      <c r="L1186" s="26" t="n">
        <v>9.1875</v>
      </c>
      <c r="M1186" s="26" t="n">
        <v>0.148</v>
      </c>
    </row>
    <row r="1187" ht="16" customHeight="1">
      <c r="A1187" t="inlineStr">
        <is>
          <t>19-Jun-2026</t>
        </is>
      </c>
      <c r="B1187" t="inlineStr">
        <is>
          <t>Friday</t>
        </is>
      </c>
      <c r="C1187" t="inlineStr">
        <is>
          <t>Week3-Jun-2026</t>
        </is>
      </c>
      <c r="D1187" s="78" t="n">
        <v>46174</v>
      </c>
      <c r="E1187" t="inlineStr">
        <is>
          <t>Q1FY27</t>
        </is>
      </c>
      <c r="F1187" t="inlineStr">
        <is>
          <t>29-Sep-2026</t>
        </is>
      </c>
      <c r="G1187" t="inlineStr">
        <is>
          <t>Tuesday</t>
        </is>
      </c>
      <c r="H1187" t="inlineStr">
        <is>
          <t>Monthly - Tuesday</t>
        </is>
      </c>
      <c r="I1187" t="inlineStr">
        <is>
          <t>Monthly - Tuesday</t>
        </is>
      </c>
      <c r="J1187" t="inlineStr">
        <is>
          <t>Month+3 Expiry</t>
        </is>
      </c>
      <c r="K1187" s="25" t="n">
        <v>2582</v>
      </c>
      <c r="L1187" s="26" t="n">
        <v>4.287</v>
      </c>
      <c r="M1187" s="26" t="n">
        <v>0.0587</v>
      </c>
    </row>
    <row r="1188" ht="16" customHeight="1">
      <c r="A1188" t="inlineStr">
        <is>
          <t>19-Jun-2026</t>
        </is>
      </c>
      <c r="B1188" t="inlineStr">
        <is>
          <t>Friday</t>
        </is>
      </c>
      <c r="C1188" t="inlineStr">
        <is>
          <t>Week3-Jun-2026</t>
        </is>
      </c>
      <c r="D1188" s="78" t="n">
        <v>46174</v>
      </c>
      <c r="E1188" t="inlineStr">
        <is>
          <t>Q1FY27</t>
        </is>
      </c>
      <c r="F1188" t="inlineStr">
        <is>
          <t>29-Dec-2026</t>
        </is>
      </c>
      <c r="G1188" t="inlineStr">
        <is>
          <t>Tuesday</t>
        </is>
      </c>
      <c r="H1188" t="inlineStr">
        <is>
          <t>Monthly - Tuesday</t>
        </is>
      </c>
      <c r="I1188" t="inlineStr">
        <is>
          <t>Monthly - Tuesday</t>
        </is>
      </c>
      <c r="J1188" t="inlineStr">
        <is>
          <t>Month+6 Expiry</t>
        </is>
      </c>
      <c r="K1188" s="25" t="n">
        <v>38</v>
      </c>
      <c r="L1188" s="26" t="n">
        <v>0.06569999999999999</v>
      </c>
      <c r="M1188" s="26" t="n">
        <v>0.0015</v>
      </c>
    </row>
    <row r="1189" ht="16" customHeight="1">
      <c r="A1189" t="inlineStr">
        <is>
          <t>19-Jun-2026</t>
        </is>
      </c>
      <c r="B1189" t="inlineStr">
        <is>
          <t>Friday</t>
        </is>
      </c>
      <c r="C1189" t="inlineStr">
        <is>
          <t>Week3-Jun-2026</t>
        </is>
      </c>
      <c r="D1189" s="78" t="n">
        <v>46174</v>
      </c>
      <c r="E1189" t="inlineStr">
        <is>
          <t>Q1FY27</t>
        </is>
      </c>
      <c r="F1189" t="inlineStr">
        <is>
          <t>30-Mar-2027</t>
        </is>
      </c>
      <c r="G1189" t="inlineStr">
        <is>
          <t>Tuesday</t>
        </is>
      </c>
      <c r="H1189" t="inlineStr">
        <is>
          <t>Monthly - Tuesday</t>
        </is>
      </c>
      <c r="I1189" t="inlineStr">
        <is>
          <t>Monthly - Tuesday</t>
        </is>
      </c>
      <c r="J1189" t="inlineStr">
        <is>
          <t>Month+9 Expiry</t>
        </is>
      </c>
      <c r="K1189" s="25" t="n">
        <v>0</v>
      </c>
      <c r="L1189" s="26" t="n">
        <v>0</v>
      </c>
      <c r="M1189" s="26" t="n">
        <v>0</v>
      </c>
    </row>
    <row r="1190" ht="16" customHeight="1">
      <c r="A1190" t="inlineStr">
        <is>
          <t>22-Jun-2026</t>
        </is>
      </c>
      <c r="B1190" t="inlineStr">
        <is>
          <t>Monday</t>
        </is>
      </c>
      <c r="C1190" t="inlineStr">
        <is>
          <t>Week4-Jun-2026</t>
        </is>
      </c>
      <c r="D1190" s="78" t="n">
        <v>46174</v>
      </c>
      <c r="E1190" t="inlineStr">
        <is>
          <t>Q1FY27</t>
        </is>
      </c>
      <c r="F1190" t="inlineStr">
        <is>
          <t>30-Jun-2026</t>
        </is>
      </c>
      <c r="G1190" t="inlineStr">
        <is>
          <t>Tuesday</t>
        </is>
      </c>
      <c r="H1190" t="inlineStr">
        <is>
          <t>Monthly - Tuesday</t>
        </is>
      </c>
      <c r="I1190" t="inlineStr">
        <is>
          <t>Monthly - Tuesday</t>
        </is>
      </c>
      <c r="J1190" t="inlineStr">
        <is>
          <t>Same Month Expiry</t>
        </is>
      </c>
      <c r="K1190" s="25" t="n">
        <v>2948751</v>
      </c>
      <c r="L1190" s="26" t="n">
        <v>5118.6138</v>
      </c>
      <c r="M1190" s="26" t="n">
        <v>24.2791</v>
      </c>
    </row>
    <row r="1191" ht="16" customHeight="1">
      <c r="A1191" t="inlineStr">
        <is>
          <t>22-Jun-2026</t>
        </is>
      </c>
      <c r="B1191" t="inlineStr">
        <is>
          <t>Monday</t>
        </is>
      </c>
      <c r="C1191" t="inlineStr">
        <is>
          <t>Week4-Jun-2026</t>
        </is>
      </c>
      <c r="D1191" s="78" t="n">
        <v>46174</v>
      </c>
      <c r="E1191" t="inlineStr">
        <is>
          <t>Q1FY27</t>
        </is>
      </c>
      <c r="F1191" t="inlineStr">
        <is>
          <t>28-Jul-2026</t>
        </is>
      </c>
      <c r="G1191" t="inlineStr">
        <is>
          <t>Tuesday</t>
        </is>
      </c>
      <c r="H1191" t="inlineStr">
        <is>
          <t>Monthly - Tuesday</t>
        </is>
      </c>
      <c r="I1191" t="inlineStr">
        <is>
          <t>Monthly - Tuesday</t>
        </is>
      </c>
      <c r="J1191" t="inlineStr">
        <is>
          <t>Month+1 Expiry</t>
        </is>
      </c>
      <c r="K1191" s="25" t="n">
        <v>108355</v>
      </c>
      <c r="L1191" s="26" t="n">
        <v>188.8821</v>
      </c>
      <c r="M1191" s="26" t="n">
        <v>2.0009</v>
      </c>
    </row>
    <row r="1192" ht="16" customHeight="1">
      <c r="A1192" t="inlineStr">
        <is>
          <t>22-Jun-2026</t>
        </is>
      </c>
      <c r="B1192" t="inlineStr">
        <is>
          <t>Monday</t>
        </is>
      </c>
      <c r="C1192" t="inlineStr">
        <is>
          <t>Week4-Jun-2026</t>
        </is>
      </c>
      <c r="D1192" s="78" t="n">
        <v>46174</v>
      </c>
      <c r="E1192" t="inlineStr">
        <is>
          <t>Q1FY27</t>
        </is>
      </c>
      <c r="F1192" t="inlineStr">
        <is>
          <t>25-Aug-2026</t>
        </is>
      </c>
      <c r="G1192" t="inlineStr">
        <is>
          <t>Tuesday</t>
        </is>
      </c>
      <c r="H1192" t="inlineStr">
        <is>
          <t>Monthly - Tuesday</t>
        </is>
      </c>
      <c r="I1192" t="inlineStr">
        <is>
          <t>Monthly - Tuesday</t>
        </is>
      </c>
      <c r="J1192" t="inlineStr">
        <is>
          <t>Month+2 Expiry</t>
        </is>
      </c>
      <c r="K1192" s="25" t="n">
        <v>7799</v>
      </c>
      <c r="L1192" s="26" t="n">
        <v>13.6616</v>
      </c>
      <c r="M1192" s="26" t="n">
        <v>0.2227</v>
      </c>
    </row>
    <row r="1193" ht="16" customHeight="1">
      <c r="A1193" t="inlineStr">
        <is>
          <t>22-Jun-2026</t>
        </is>
      </c>
      <c r="B1193" t="inlineStr">
        <is>
          <t>Monday</t>
        </is>
      </c>
      <c r="C1193" t="inlineStr">
        <is>
          <t>Week4-Jun-2026</t>
        </is>
      </c>
      <c r="D1193" s="78" t="n">
        <v>46174</v>
      </c>
      <c r="E1193" t="inlineStr">
        <is>
          <t>Q1FY27</t>
        </is>
      </c>
      <c r="F1193" t="inlineStr">
        <is>
          <t>29-Sep-2026</t>
        </is>
      </c>
      <c r="G1193" t="inlineStr">
        <is>
          <t>Tuesday</t>
        </is>
      </c>
      <c r="H1193" t="inlineStr">
        <is>
          <t>Monthly - Tuesday</t>
        </is>
      </c>
      <c r="I1193" t="inlineStr">
        <is>
          <t>Monthly - Tuesday</t>
        </is>
      </c>
      <c r="J1193" t="inlineStr">
        <is>
          <t>Month+3 Expiry</t>
        </is>
      </c>
      <c r="K1193" s="25" t="n">
        <v>1375</v>
      </c>
      <c r="L1193" s="26" t="n">
        <v>2.3717</v>
      </c>
      <c r="M1193" s="26" t="n">
        <v>0.036</v>
      </c>
    </row>
    <row r="1194" ht="16" customHeight="1">
      <c r="A1194" t="inlineStr">
        <is>
          <t>22-Jun-2026</t>
        </is>
      </c>
      <c r="B1194" t="inlineStr">
        <is>
          <t>Monday</t>
        </is>
      </c>
      <c r="C1194" t="inlineStr">
        <is>
          <t>Week4-Jun-2026</t>
        </is>
      </c>
      <c r="D1194" s="78" t="n">
        <v>46174</v>
      </c>
      <c r="E1194" t="inlineStr">
        <is>
          <t>Q1FY27</t>
        </is>
      </c>
      <c r="F1194" t="inlineStr">
        <is>
          <t>29-Dec-2026</t>
        </is>
      </c>
      <c r="G1194" t="inlineStr">
        <is>
          <t>Tuesday</t>
        </is>
      </c>
      <c r="H1194" t="inlineStr">
        <is>
          <t>Monthly - Tuesday</t>
        </is>
      </c>
      <c r="I1194" t="inlineStr">
        <is>
          <t>Monthly - Tuesday</t>
        </is>
      </c>
      <c r="J1194" t="inlineStr">
        <is>
          <t>Month+6 Expiry</t>
        </is>
      </c>
      <c r="K1194" s="25" t="n">
        <v>43</v>
      </c>
      <c r="L1194" s="26" t="n">
        <v>0.07389999999999999</v>
      </c>
      <c r="M1194" s="26" t="n">
        <v>0.0018</v>
      </c>
    </row>
    <row r="1195" ht="16" customHeight="1">
      <c r="A1195" t="inlineStr">
        <is>
          <t>22-Jun-2026</t>
        </is>
      </c>
      <c r="B1195" t="inlineStr">
        <is>
          <t>Monday</t>
        </is>
      </c>
      <c r="C1195" t="inlineStr">
        <is>
          <t>Week4-Jun-2026</t>
        </is>
      </c>
      <c r="D1195" s="78" t="n">
        <v>46174</v>
      </c>
      <c r="E1195" t="inlineStr">
        <is>
          <t>Q1FY27</t>
        </is>
      </c>
      <c r="F1195" t="inlineStr">
        <is>
          <t>30-Mar-2027</t>
        </is>
      </c>
      <c r="G1195" t="inlineStr">
        <is>
          <t>Tuesday</t>
        </is>
      </c>
      <c r="H1195" t="inlineStr">
        <is>
          <t>Monthly - Tuesday</t>
        </is>
      </c>
      <c r="I1195" t="inlineStr">
        <is>
          <t>Monthly - Tuesday</t>
        </is>
      </c>
      <c r="J1195" t="inlineStr">
        <is>
          <t>Month+9 Expiry</t>
        </is>
      </c>
      <c r="K1195" s="25" t="n">
        <v>0</v>
      </c>
      <c r="L1195" s="26" t="n">
        <v>0</v>
      </c>
      <c r="M1195" s="26" t="n">
        <v>0</v>
      </c>
    </row>
    <row r="1196" ht="16" customHeight="1">
      <c r="A1196" t="inlineStr">
        <is>
          <t>23-Jun-2026</t>
        </is>
      </c>
      <c r="B1196" t="inlineStr">
        <is>
          <t>Tuesday</t>
        </is>
      </c>
      <c r="C1196" t="inlineStr">
        <is>
          <t>Week4-Jun-2026</t>
        </is>
      </c>
      <c r="D1196" s="78" t="n">
        <v>46174</v>
      </c>
      <c r="E1196" t="inlineStr">
        <is>
          <t>Q1FY27</t>
        </is>
      </c>
      <c r="F1196" t="inlineStr">
        <is>
          <t>30-Jun-2026</t>
        </is>
      </c>
      <c r="G1196" t="inlineStr">
        <is>
          <t>Tuesday</t>
        </is>
      </c>
      <c r="H1196" t="inlineStr">
        <is>
          <t>Monthly - Tuesday</t>
        </is>
      </c>
      <c r="I1196" t="inlineStr">
        <is>
          <t>Monthly - Tuesday</t>
        </is>
      </c>
      <c r="J1196" t="inlineStr">
        <is>
          <t>Same Month Expiry</t>
        </is>
      </c>
      <c r="K1196" s="25" t="n">
        <v>5162520</v>
      </c>
      <c r="L1196" s="26" t="n">
        <v>8931.8146</v>
      </c>
      <c r="M1196" s="26" t="n">
        <v>38.0027</v>
      </c>
    </row>
    <row r="1197" ht="16" customHeight="1">
      <c r="A1197" t="inlineStr">
        <is>
          <t>23-Jun-2026</t>
        </is>
      </c>
      <c r="B1197" t="inlineStr">
        <is>
          <t>Tuesday</t>
        </is>
      </c>
      <c r="C1197" t="inlineStr">
        <is>
          <t>Week4-Jun-2026</t>
        </is>
      </c>
      <c r="D1197" s="78" t="n">
        <v>46174</v>
      </c>
      <c r="E1197" t="inlineStr">
        <is>
          <t>Q1FY27</t>
        </is>
      </c>
      <c r="F1197" t="inlineStr">
        <is>
          <t>28-Jul-2026</t>
        </is>
      </c>
      <c r="G1197" t="inlineStr">
        <is>
          <t>Tuesday</t>
        </is>
      </c>
      <c r="H1197" t="inlineStr">
        <is>
          <t>Monthly - Tuesday</t>
        </is>
      </c>
      <c r="I1197" t="inlineStr">
        <is>
          <t>Monthly - Tuesday</t>
        </is>
      </c>
      <c r="J1197" t="inlineStr">
        <is>
          <t>Month+1 Expiry</t>
        </is>
      </c>
      <c r="K1197" s="25" t="n">
        <v>224292</v>
      </c>
      <c r="L1197" s="26" t="n">
        <v>391.7062</v>
      </c>
      <c r="M1197" s="26" t="n">
        <v>4.3317</v>
      </c>
    </row>
    <row r="1198" ht="16" customHeight="1">
      <c r="A1198" t="inlineStr">
        <is>
          <t>23-Jun-2026</t>
        </is>
      </c>
      <c r="B1198" t="inlineStr">
        <is>
          <t>Tuesday</t>
        </is>
      </c>
      <c r="C1198" t="inlineStr">
        <is>
          <t>Week4-Jun-2026</t>
        </is>
      </c>
      <c r="D1198" s="78" t="n">
        <v>46174</v>
      </c>
      <c r="E1198" t="inlineStr">
        <is>
          <t>Q1FY27</t>
        </is>
      </c>
      <c r="F1198" t="inlineStr">
        <is>
          <t>25-Aug-2026</t>
        </is>
      </c>
      <c r="G1198" t="inlineStr">
        <is>
          <t>Tuesday</t>
        </is>
      </c>
      <c r="H1198" t="inlineStr">
        <is>
          <t>Monthly - Tuesday</t>
        </is>
      </c>
      <c r="I1198" t="inlineStr">
        <is>
          <t>Monthly - Tuesday</t>
        </is>
      </c>
      <c r="J1198" t="inlineStr">
        <is>
          <t>Month+2 Expiry</t>
        </is>
      </c>
      <c r="K1198" s="25" t="n">
        <v>8782</v>
      </c>
      <c r="L1198" s="26" t="n">
        <v>15.2753</v>
      </c>
      <c r="M1198" s="26" t="n">
        <v>0.2072</v>
      </c>
    </row>
    <row r="1199" ht="16" customHeight="1">
      <c r="A1199" t="inlineStr">
        <is>
          <t>23-Jun-2026</t>
        </is>
      </c>
      <c r="B1199" t="inlineStr">
        <is>
          <t>Tuesday</t>
        </is>
      </c>
      <c r="C1199" t="inlineStr">
        <is>
          <t>Week4-Jun-2026</t>
        </is>
      </c>
      <c r="D1199" s="78" t="n">
        <v>46174</v>
      </c>
      <c r="E1199" t="inlineStr">
        <is>
          <t>Q1FY27</t>
        </is>
      </c>
      <c r="F1199" t="inlineStr">
        <is>
          <t>29-Sep-2026</t>
        </is>
      </c>
      <c r="G1199" t="inlineStr">
        <is>
          <t>Tuesday</t>
        </is>
      </c>
      <c r="H1199" t="inlineStr">
        <is>
          <t>Monthly - Tuesday</t>
        </is>
      </c>
      <c r="I1199" t="inlineStr">
        <is>
          <t>Monthly - Tuesday</t>
        </is>
      </c>
      <c r="J1199" t="inlineStr">
        <is>
          <t>Month+3 Expiry</t>
        </is>
      </c>
      <c r="K1199" s="25" t="n">
        <v>2117</v>
      </c>
      <c r="L1199" s="26" t="n">
        <v>3.6846</v>
      </c>
      <c r="M1199" s="26" t="n">
        <v>0.0515</v>
      </c>
    </row>
    <row r="1200" ht="16" customHeight="1">
      <c r="A1200" t="inlineStr">
        <is>
          <t>23-Jun-2026</t>
        </is>
      </c>
      <c r="B1200" t="inlineStr">
        <is>
          <t>Tuesday</t>
        </is>
      </c>
      <c r="C1200" t="inlineStr">
        <is>
          <t>Week4-Jun-2026</t>
        </is>
      </c>
      <c r="D1200" s="78" t="n">
        <v>46174</v>
      </c>
      <c r="E1200" t="inlineStr">
        <is>
          <t>Q1FY27</t>
        </is>
      </c>
      <c r="F1200" t="inlineStr">
        <is>
          <t>29-Dec-2026</t>
        </is>
      </c>
      <c r="G1200" t="inlineStr">
        <is>
          <t>Tuesday</t>
        </is>
      </c>
      <c r="H1200" t="inlineStr">
        <is>
          <t>Monthly - Tuesday</t>
        </is>
      </c>
      <c r="I1200" t="inlineStr">
        <is>
          <t>Monthly - Tuesday</t>
        </is>
      </c>
      <c r="J1200" t="inlineStr">
        <is>
          <t>Month+6 Expiry</t>
        </is>
      </c>
      <c r="K1200" s="25" t="n">
        <v>117</v>
      </c>
      <c r="L1200" s="26" t="n">
        <v>0.2004</v>
      </c>
      <c r="M1200" s="26" t="n">
        <v>0.0042</v>
      </c>
    </row>
    <row r="1201" ht="16" customHeight="1">
      <c r="A1201" t="inlineStr">
        <is>
          <t>23-Jun-2026</t>
        </is>
      </c>
      <c r="B1201" t="inlineStr">
        <is>
          <t>Tuesday</t>
        </is>
      </c>
      <c r="C1201" t="inlineStr">
        <is>
          <t>Week4-Jun-2026</t>
        </is>
      </c>
      <c r="D1201" s="78" t="n">
        <v>46174</v>
      </c>
      <c r="E1201" t="inlineStr">
        <is>
          <t>Q1FY27</t>
        </is>
      </c>
      <c r="F1201" t="inlineStr">
        <is>
          <t>30-Mar-2027</t>
        </is>
      </c>
      <c r="G1201" t="inlineStr">
        <is>
          <t>Tuesday</t>
        </is>
      </c>
      <c r="H1201" t="inlineStr">
        <is>
          <t>Monthly - Tuesday</t>
        </is>
      </c>
      <c r="I1201" t="inlineStr">
        <is>
          <t>Monthly - Tuesday</t>
        </is>
      </c>
      <c r="J1201" t="inlineStr">
        <is>
          <t>Month+9 Expiry</t>
        </is>
      </c>
      <c r="K1201" s="25" t="n">
        <v>0</v>
      </c>
      <c r="L1201" s="26" t="n">
        <v>0</v>
      </c>
      <c r="M1201" s="26" t="n">
        <v>0</v>
      </c>
    </row>
    <row r="1202" ht="16" customHeight="1">
      <c r="A1202" t="inlineStr">
        <is>
          <t>24-Jun-2026</t>
        </is>
      </c>
      <c r="B1202" t="inlineStr">
        <is>
          <t>Wednesday</t>
        </is>
      </c>
      <c r="C1202" t="inlineStr">
        <is>
          <t>Week4-Jun-2026</t>
        </is>
      </c>
      <c r="D1202" s="78" t="n">
        <v>46174</v>
      </c>
      <c r="E1202" t="inlineStr">
        <is>
          <t>Q1FY27</t>
        </is>
      </c>
      <c r="F1202" t="inlineStr">
        <is>
          <t>30-Jun-2026</t>
        </is>
      </c>
      <c r="G1202" t="inlineStr">
        <is>
          <t>Tuesday</t>
        </is>
      </c>
      <c r="H1202" t="inlineStr">
        <is>
          <t>Monthly - Tuesday</t>
        </is>
      </c>
      <c r="I1202" t="inlineStr">
        <is>
          <t>Monthly - Tuesday</t>
        </is>
      </c>
      <c r="J1202" t="inlineStr">
        <is>
          <t>Same Month Expiry</t>
        </is>
      </c>
      <c r="K1202" s="25" t="n">
        <v>6810780</v>
      </c>
      <c r="L1202" s="26" t="n">
        <v>11826.2377</v>
      </c>
      <c r="M1202" s="26" t="n">
        <v>53.3621</v>
      </c>
    </row>
    <row r="1203" ht="16" customHeight="1">
      <c r="A1203" t="inlineStr">
        <is>
          <t>24-Jun-2026</t>
        </is>
      </c>
      <c r="B1203" t="inlineStr">
        <is>
          <t>Wednesday</t>
        </is>
      </c>
      <c r="C1203" t="inlineStr">
        <is>
          <t>Week4-Jun-2026</t>
        </is>
      </c>
      <c r="D1203" s="78" t="n">
        <v>46174</v>
      </c>
      <c r="E1203" t="inlineStr">
        <is>
          <t>Q1FY27</t>
        </is>
      </c>
      <c r="F1203" t="inlineStr">
        <is>
          <t>28-Jul-2026</t>
        </is>
      </c>
      <c r="G1203" t="inlineStr">
        <is>
          <t>Tuesday</t>
        </is>
      </c>
      <c r="H1203" t="inlineStr">
        <is>
          <t>Monthly - Tuesday</t>
        </is>
      </c>
      <c r="I1203" t="inlineStr">
        <is>
          <t>Monthly - Tuesday</t>
        </is>
      </c>
      <c r="J1203" t="inlineStr">
        <is>
          <t>Month+1 Expiry</t>
        </is>
      </c>
      <c r="K1203" s="25" t="n">
        <v>322276</v>
      </c>
      <c r="L1203" s="26" t="n">
        <v>567.3855</v>
      </c>
      <c r="M1203" s="26" t="n">
        <v>6.7182</v>
      </c>
    </row>
    <row r="1204" ht="16" customHeight="1">
      <c r="A1204" t="inlineStr">
        <is>
          <t>24-Jun-2026</t>
        </is>
      </c>
      <c r="B1204" t="inlineStr">
        <is>
          <t>Wednesday</t>
        </is>
      </c>
      <c r="C1204" t="inlineStr">
        <is>
          <t>Week4-Jun-2026</t>
        </is>
      </c>
      <c r="D1204" s="78" t="n">
        <v>46174</v>
      </c>
      <c r="E1204" t="inlineStr">
        <is>
          <t>Q1FY27</t>
        </is>
      </c>
      <c r="F1204" t="inlineStr">
        <is>
          <t>25-Aug-2026</t>
        </is>
      </c>
      <c r="G1204" t="inlineStr">
        <is>
          <t>Tuesday</t>
        </is>
      </c>
      <c r="H1204" t="inlineStr">
        <is>
          <t>Monthly - Tuesday</t>
        </is>
      </c>
      <c r="I1204" t="inlineStr">
        <is>
          <t>Monthly - Tuesday</t>
        </is>
      </c>
      <c r="J1204" t="inlineStr">
        <is>
          <t>Month+2 Expiry</t>
        </is>
      </c>
      <c r="K1204" s="25" t="n">
        <v>11399</v>
      </c>
      <c r="L1204" s="26" t="n">
        <v>20.1792</v>
      </c>
      <c r="M1204" s="26" t="n">
        <v>0.3095</v>
      </c>
    </row>
    <row r="1205" ht="16" customHeight="1">
      <c r="A1205" t="inlineStr">
        <is>
          <t>24-Jun-2026</t>
        </is>
      </c>
      <c r="B1205" t="inlineStr">
        <is>
          <t>Wednesday</t>
        </is>
      </c>
      <c r="C1205" t="inlineStr">
        <is>
          <t>Week4-Jun-2026</t>
        </is>
      </c>
      <c r="D1205" s="78" t="n">
        <v>46174</v>
      </c>
      <c r="E1205" t="inlineStr">
        <is>
          <t>Q1FY27</t>
        </is>
      </c>
      <c r="F1205" t="inlineStr">
        <is>
          <t>29-Sep-2026</t>
        </is>
      </c>
      <c r="G1205" t="inlineStr">
        <is>
          <t>Tuesday</t>
        </is>
      </c>
      <c r="H1205" t="inlineStr">
        <is>
          <t>Monthly - Tuesday</t>
        </is>
      </c>
      <c r="I1205" t="inlineStr">
        <is>
          <t>Monthly - Tuesday</t>
        </is>
      </c>
      <c r="J1205" t="inlineStr">
        <is>
          <t>Month+3 Expiry</t>
        </is>
      </c>
      <c r="K1205" s="25" t="n">
        <v>1741</v>
      </c>
      <c r="L1205" s="26" t="n">
        <v>3.0562</v>
      </c>
      <c r="M1205" s="26" t="n">
        <v>0.0568</v>
      </c>
    </row>
    <row r="1206" ht="16" customHeight="1">
      <c r="A1206" t="inlineStr">
        <is>
          <t>24-Jun-2026</t>
        </is>
      </c>
      <c r="B1206" t="inlineStr">
        <is>
          <t>Wednesday</t>
        </is>
      </c>
      <c r="C1206" t="inlineStr">
        <is>
          <t>Week4-Jun-2026</t>
        </is>
      </c>
      <c r="D1206" s="78" t="n">
        <v>46174</v>
      </c>
      <c r="E1206" t="inlineStr">
        <is>
          <t>Q1FY27</t>
        </is>
      </c>
      <c r="F1206" t="inlineStr">
        <is>
          <t>29-Dec-2026</t>
        </is>
      </c>
      <c r="G1206" t="inlineStr">
        <is>
          <t>Tuesday</t>
        </is>
      </c>
      <c r="H1206" t="inlineStr">
        <is>
          <t>Monthly - Tuesday</t>
        </is>
      </c>
      <c r="I1206" t="inlineStr">
        <is>
          <t>Monthly - Tuesday</t>
        </is>
      </c>
      <c r="J1206" t="inlineStr">
        <is>
          <t>Month+6 Expiry</t>
        </is>
      </c>
      <c r="K1206" s="25" t="n">
        <v>267</v>
      </c>
      <c r="L1206" s="26" t="n">
        <v>0.4657</v>
      </c>
      <c r="M1206" s="26" t="n">
        <v>0.0112</v>
      </c>
    </row>
    <row r="1207" ht="16" customHeight="1">
      <c r="A1207" t="inlineStr">
        <is>
          <t>24-Jun-2026</t>
        </is>
      </c>
      <c r="B1207" t="inlineStr">
        <is>
          <t>Wednesday</t>
        </is>
      </c>
      <c r="C1207" t="inlineStr">
        <is>
          <t>Week4-Jun-2026</t>
        </is>
      </c>
      <c r="D1207" s="78" t="n">
        <v>46174</v>
      </c>
      <c r="E1207" t="inlineStr">
        <is>
          <t>Q1FY27</t>
        </is>
      </c>
      <c r="F1207" t="inlineStr">
        <is>
          <t>30-Mar-2027</t>
        </is>
      </c>
      <c r="G1207" t="inlineStr">
        <is>
          <t>Tuesday</t>
        </is>
      </c>
      <c r="H1207" t="inlineStr">
        <is>
          <t>Monthly - Tuesday</t>
        </is>
      </c>
      <c r="I1207" t="inlineStr">
        <is>
          <t>Monthly - Tuesday</t>
        </is>
      </c>
      <c r="J1207" t="inlineStr">
        <is>
          <t>Month+9 Expiry</t>
        </is>
      </c>
      <c r="K1207" s="25" t="n">
        <v>0</v>
      </c>
      <c r="L1207" s="26" t="n">
        <v>0</v>
      </c>
      <c r="M1207" s="26" t="n">
        <v>0</v>
      </c>
    </row>
    <row r="1208" ht="16" customHeight="1">
      <c r="A1208" t="inlineStr">
        <is>
          <t>25-Jun-2026</t>
        </is>
      </c>
      <c r="B1208" t="inlineStr">
        <is>
          <t>Thursday</t>
        </is>
      </c>
      <c r="C1208" t="inlineStr">
        <is>
          <t>Week4-Jun-2026</t>
        </is>
      </c>
      <c r="D1208" s="78" t="n">
        <v>46174</v>
      </c>
      <c r="E1208" t="inlineStr">
        <is>
          <t>Q1FY27</t>
        </is>
      </c>
      <c r="F1208" t="inlineStr">
        <is>
          <t>30-Jun-2026</t>
        </is>
      </c>
      <c r="G1208" t="inlineStr">
        <is>
          <t>Tuesday</t>
        </is>
      </c>
      <c r="H1208" t="inlineStr">
        <is>
          <t>Monthly - Tuesday</t>
        </is>
      </c>
      <c r="I1208" t="inlineStr">
        <is>
          <t>Monthly - Tuesday</t>
        </is>
      </c>
      <c r="J1208" t="inlineStr">
        <is>
          <t>Same Month Expiry</t>
        </is>
      </c>
      <c r="K1208" s="25" t="n">
        <v>6781654</v>
      </c>
      <c r="L1208" s="26" t="n">
        <v>11837.8601</v>
      </c>
      <c r="M1208" s="26" t="n">
        <v>39.3671</v>
      </c>
    </row>
    <row r="1209" ht="16" customHeight="1">
      <c r="A1209" t="inlineStr">
        <is>
          <t>25-Jun-2026</t>
        </is>
      </c>
      <c r="B1209" t="inlineStr">
        <is>
          <t>Thursday</t>
        </is>
      </c>
      <c r="C1209" t="inlineStr">
        <is>
          <t>Week4-Jun-2026</t>
        </is>
      </c>
      <c r="D1209" s="78" t="n">
        <v>46174</v>
      </c>
      <c r="E1209" t="inlineStr">
        <is>
          <t>Q1FY27</t>
        </is>
      </c>
      <c r="F1209" t="inlineStr">
        <is>
          <t>28-Jul-2026</t>
        </is>
      </c>
      <c r="G1209" t="inlineStr">
        <is>
          <t>Tuesday</t>
        </is>
      </c>
      <c r="H1209" t="inlineStr">
        <is>
          <t>Monthly - Tuesday</t>
        </is>
      </c>
      <c r="I1209" t="inlineStr">
        <is>
          <t>Monthly - Tuesday</t>
        </is>
      </c>
      <c r="J1209" t="inlineStr">
        <is>
          <t>Month+1 Expiry</t>
        </is>
      </c>
      <c r="K1209" s="25" t="n">
        <v>403951</v>
      </c>
      <c r="L1209" s="26" t="n">
        <v>713.903</v>
      </c>
      <c r="M1209" s="26" t="n">
        <v>8.311299999999999</v>
      </c>
    </row>
    <row r="1210" ht="16" customHeight="1">
      <c r="A1210" t="inlineStr">
        <is>
          <t>25-Jun-2026</t>
        </is>
      </c>
      <c r="B1210" t="inlineStr">
        <is>
          <t>Thursday</t>
        </is>
      </c>
      <c r="C1210" t="inlineStr">
        <is>
          <t>Week4-Jun-2026</t>
        </is>
      </c>
      <c r="D1210" s="78" t="n">
        <v>46174</v>
      </c>
      <c r="E1210" t="inlineStr">
        <is>
          <t>Q1FY27</t>
        </is>
      </c>
      <c r="F1210" t="inlineStr">
        <is>
          <t>25-Aug-2026</t>
        </is>
      </c>
      <c r="G1210" t="inlineStr">
        <is>
          <t>Tuesday</t>
        </is>
      </c>
      <c r="H1210" t="inlineStr">
        <is>
          <t>Monthly - Tuesday</t>
        </is>
      </c>
      <c r="I1210" t="inlineStr">
        <is>
          <t>Monthly - Tuesday</t>
        </is>
      </c>
      <c r="J1210" t="inlineStr">
        <is>
          <t>Month+2 Expiry</t>
        </is>
      </c>
      <c r="K1210" s="25" t="n">
        <v>16063</v>
      </c>
      <c r="L1210" s="26" t="n">
        <v>28.3668</v>
      </c>
      <c r="M1210" s="26" t="n">
        <v>0.3857</v>
      </c>
    </row>
    <row r="1211" ht="16" customHeight="1">
      <c r="A1211" t="inlineStr">
        <is>
          <t>25-Jun-2026</t>
        </is>
      </c>
      <c r="B1211" t="inlineStr">
        <is>
          <t>Thursday</t>
        </is>
      </c>
      <c r="C1211" t="inlineStr">
        <is>
          <t>Week4-Jun-2026</t>
        </is>
      </c>
      <c r="D1211" s="78" t="n">
        <v>46174</v>
      </c>
      <c r="E1211" t="inlineStr">
        <is>
          <t>Q1FY27</t>
        </is>
      </c>
      <c r="F1211" t="inlineStr">
        <is>
          <t>29-Sep-2026</t>
        </is>
      </c>
      <c r="G1211" t="inlineStr">
        <is>
          <t>Tuesday</t>
        </is>
      </c>
      <c r="H1211" t="inlineStr">
        <is>
          <t>Monthly - Tuesday</t>
        </is>
      </c>
      <c r="I1211" t="inlineStr">
        <is>
          <t>Monthly - Tuesday</t>
        </is>
      </c>
      <c r="J1211" t="inlineStr">
        <is>
          <t>Month+3 Expiry</t>
        </is>
      </c>
      <c r="K1211" s="25" t="n">
        <v>3623</v>
      </c>
      <c r="L1211" s="26" t="n">
        <v>6.4183</v>
      </c>
      <c r="M1211" s="26" t="n">
        <v>0.1102</v>
      </c>
    </row>
    <row r="1212" ht="16" customHeight="1">
      <c r="A1212" t="inlineStr">
        <is>
          <t>25-Jun-2026</t>
        </is>
      </c>
      <c r="B1212" t="inlineStr">
        <is>
          <t>Thursday</t>
        </is>
      </c>
      <c r="C1212" t="inlineStr">
        <is>
          <t>Week4-Jun-2026</t>
        </is>
      </c>
      <c r="D1212" s="78" t="n">
        <v>46174</v>
      </c>
      <c r="E1212" t="inlineStr">
        <is>
          <t>Q1FY27</t>
        </is>
      </c>
      <c r="F1212" t="inlineStr">
        <is>
          <t>29-Dec-2026</t>
        </is>
      </c>
      <c r="G1212" t="inlineStr">
        <is>
          <t>Tuesday</t>
        </is>
      </c>
      <c r="H1212" t="inlineStr">
        <is>
          <t>Monthly - Tuesday</t>
        </is>
      </c>
      <c r="I1212" t="inlineStr">
        <is>
          <t>Monthly - Tuesday</t>
        </is>
      </c>
      <c r="J1212" t="inlineStr">
        <is>
          <t>Month+6 Expiry</t>
        </is>
      </c>
      <c r="K1212" s="25" t="n">
        <v>133</v>
      </c>
      <c r="L1212" s="26" t="n">
        <v>0.2307</v>
      </c>
      <c r="M1212" s="26" t="n">
        <v>0.0051</v>
      </c>
    </row>
    <row r="1213" ht="16" customHeight="1">
      <c r="A1213" t="inlineStr">
        <is>
          <t>25-Jun-2026</t>
        </is>
      </c>
      <c r="B1213" t="inlineStr">
        <is>
          <t>Thursday</t>
        </is>
      </c>
      <c r="C1213" t="inlineStr">
        <is>
          <t>Week4-Jun-2026</t>
        </is>
      </c>
      <c r="D1213" s="78" t="n">
        <v>46174</v>
      </c>
      <c r="E1213" t="inlineStr">
        <is>
          <t>Q1FY27</t>
        </is>
      </c>
      <c r="F1213" t="inlineStr">
        <is>
          <t>30-Mar-2027</t>
        </is>
      </c>
      <c r="G1213" t="inlineStr">
        <is>
          <t>Tuesday</t>
        </is>
      </c>
      <c r="H1213" t="inlineStr">
        <is>
          <t>Monthly - Tuesday</t>
        </is>
      </c>
      <c r="I1213" t="inlineStr">
        <is>
          <t>Monthly - Tuesday</t>
        </is>
      </c>
      <c r="J1213" t="inlineStr">
        <is>
          <t>Month+9 Expiry</t>
        </is>
      </c>
      <c r="K1213" s="25" t="n">
        <v>0</v>
      </c>
      <c r="L1213" s="26" t="n">
        <v>0</v>
      </c>
      <c r="M1213" s="26" t="n">
        <v>0</v>
      </c>
    </row>
    <row r="1214" ht="16" customHeight="1">
      <c r="A1214" t="inlineStr">
        <is>
          <t>29-Jun-2026</t>
        </is>
      </c>
      <c r="B1214" t="inlineStr">
        <is>
          <t>Monday</t>
        </is>
      </c>
      <c r="C1214" t="inlineStr">
        <is>
          <t>Week5-Jun-2026</t>
        </is>
      </c>
      <c r="D1214" s="78" t="n">
        <v>46174</v>
      </c>
      <c r="E1214" t="inlineStr">
        <is>
          <t>Q1FY27</t>
        </is>
      </c>
      <c r="F1214" t="inlineStr">
        <is>
          <t>30-Jun-2026</t>
        </is>
      </c>
      <c r="G1214" t="inlineStr">
        <is>
          <t>Tuesday</t>
        </is>
      </c>
      <c r="H1214" t="inlineStr">
        <is>
          <t>Monthly - Tuesday</t>
        </is>
      </c>
      <c r="I1214" t="inlineStr">
        <is>
          <t>Monthly - Tuesday</t>
        </is>
      </c>
      <c r="J1214" t="inlineStr">
        <is>
          <t>Same Month Expiry</t>
        </is>
      </c>
      <c r="K1214" s="25" t="n">
        <v>22572112</v>
      </c>
      <c r="L1214" s="26" t="n">
        <v>39225.1855</v>
      </c>
      <c r="M1214" s="26" t="n">
        <v>99.5258</v>
      </c>
    </row>
    <row r="1215" ht="16" customHeight="1">
      <c r="A1215" t="inlineStr">
        <is>
          <t>29-Jun-2026</t>
        </is>
      </c>
      <c r="B1215" t="inlineStr">
        <is>
          <t>Monday</t>
        </is>
      </c>
      <c r="C1215" t="inlineStr">
        <is>
          <t>Week5-Jun-2026</t>
        </is>
      </c>
      <c r="D1215" s="78" t="n">
        <v>46174</v>
      </c>
      <c r="E1215" t="inlineStr">
        <is>
          <t>Q1FY27</t>
        </is>
      </c>
      <c r="F1215" t="inlineStr">
        <is>
          <t>28-Jul-2026</t>
        </is>
      </c>
      <c r="G1215" t="inlineStr">
        <is>
          <t>Tuesday</t>
        </is>
      </c>
      <c r="H1215" t="inlineStr">
        <is>
          <t>Monthly - Tuesday</t>
        </is>
      </c>
      <c r="I1215" t="inlineStr">
        <is>
          <t>Monthly - Tuesday</t>
        </is>
      </c>
      <c r="J1215" t="inlineStr">
        <is>
          <t>Month+1 Expiry</t>
        </is>
      </c>
      <c r="K1215" s="25" t="n">
        <v>475306</v>
      </c>
      <c r="L1215" s="26" t="n">
        <v>840.3784000000001</v>
      </c>
      <c r="M1215" s="26" t="n">
        <v>10.8086</v>
      </c>
    </row>
    <row r="1216" ht="16" customHeight="1">
      <c r="A1216" t="inlineStr">
        <is>
          <t>29-Jun-2026</t>
        </is>
      </c>
      <c r="B1216" t="inlineStr">
        <is>
          <t>Monday</t>
        </is>
      </c>
      <c r="C1216" t="inlineStr">
        <is>
          <t>Week5-Jun-2026</t>
        </is>
      </c>
      <c r="D1216" s="78" t="n">
        <v>46174</v>
      </c>
      <c r="E1216" t="inlineStr">
        <is>
          <t>Q1FY27</t>
        </is>
      </c>
      <c r="F1216" t="inlineStr">
        <is>
          <t>25-Aug-2026</t>
        </is>
      </c>
      <c r="G1216" t="inlineStr">
        <is>
          <t>Tuesday</t>
        </is>
      </c>
      <c r="H1216" t="inlineStr">
        <is>
          <t>Monthly - Tuesday</t>
        </is>
      </c>
      <c r="I1216" t="inlineStr">
        <is>
          <t>Monthly - Tuesday</t>
        </is>
      </c>
      <c r="J1216" t="inlineStr">
        <is>
          <t>Month+2 Expiry</t>
        </is>
      </c>
      <c r="K1216" s="25" t="n">
        <v>14064</v>
      </c>
      <c r="L1216" s="26" t="n">
        <v>24.5363</v>
      </c>
      <c r="M1216" s="26" t="n">
        <v>0.3388</v>
      </c>
    </row>
    <row r="1217" ht="16" customHeight="1">
      <c r="A1217" t="inlineStr">
        <is>
          <t>29-Jun-2026</t>
        </is>
      </c>
      <c r="B1217" t="inlineStr">
        <is>
          <t>Monday</t>
        </is>
      </c>
      <c r="C1217" t="inlineStr">
        <is>
          <t>Week5-Jun-2026</t>
        </is>
      </c>
      <c r="D1217" s="78" t="n">
        <v>46174</v>
      </c>
      <c r="E1217" t="inlineStr">
        <is>
          <t>Q1FY27</t>
        </is>
      </c>
      <c r="F1217" t="inlineStr">
        <is>
          <t>29-Sep-2026</t>
        </is>
      </c>
      <c r="G1217" t="inlineStr">
        <is>
          <t>Tuesday</t>
        </is>
      </c>
      <c r="H1217" t="inlineStr">
        <is>
          <t>Monthly - Tuesday</t>
        </is>
      </c>
      <c r="I1217" t="inlineStr">
        <is>
          <t>Monthly - Tuesday</t>
        </is>
      </c>
      <c r="J1217" t="inlineStr">
        <is>
          <t>Month+3 Expiry</t>
        </is>
      </c>
      <c r="K1217" s="25" t="n">
        <v>1399</v>
      </c>
      <c r="L1217" s="26" t="n">
        <v>2.4601</v>
      </c>
      <c r="M1217" s="26" t="n">
        <v>0.045</v>
      </c>
    </row>
    <row r="1218" ht="16" customHeight="1">
      <c r="A1218" t="inlineStr">
        <is>
          <t>29-Jun-2026</t>
        </is>
      </c>
      <c r="B1218" t="inlineStr">
        <is>
          <t>Monday</t>
        </is>
      </c>
      <c r="C1218" t="inlineStr">
        <is>
          <t>Week5-Jun-2026</t>
        </is>
      </c>
      <c r="D1218" s="78" t="n">
        <v>46174</v>
      </c>
      <c r="E1218" t="inlineStr">
        <is>
          <t>Q1FY27</t>
        </is>
      </c>
      <c r="F1218" t="inlineStr">
        <is>
          <t>29-Dec-2026</t>
        </is>
      </c>
      <c r="G1218" t="inlineStr">
        <is>
          <t>Tuesday</t>
        </is>
      </c>
      <c r="H1218" t="inlineStr">
        <is>
          <t>Monthly - Tuesday</t>
        </is>
      </c>
      <c r="I1218" t="inlineStr">
        <is>
          <t>Monthly - Tuesday</t>
        </is>
      </c>
      <c r="J1218" t="inlineStr">
        <is>
          <t>Month+6 Expiry</t>
        </is>
      </c>
      <c r="K1218" s="25" t="n">
        <v>62</v>
      </c>
      <c r="L1218" s="26" t="n">
        <v>0.1069</v>
      </c>
      <c r="M1218" s="26" t="n">
        <v>0.0023</v>
      </c>
    </row>
    <row r="1219" ht="16" customHeight="1">
      <c r="A1219" t="inlineStr">
        <is>
          <t>29-Jun-2026</t>
        </is>
      </c>
      <c r="B1219" t="inlineStr">
        <is>
          <t>Monday</t>
        </is>
      </c>
      <c r="C1219" t="inlineStr">
        <is>
          <t>Week5-Jun-2026</t>
        </is>
      </c>
      <c r="D1219" s="78" t="n">
        <v>46174</v>
      </c>
      <c r="E1219" t="inlineStr">
        <is>
          <t>Q1FY27</t>
        </is>
      </c>
      <c r="F1219" t="inlineStr">
        <is>
          <t>30-Mar-2027</t>
        </is>
      </c>
      <c r="G1219" t="inlineStr">
        <is>
          <t>Tuesday</t>
        </is>
      </c>
      <c r="H1219" t="inlineStr">
        <is>
          <t>Monthly - Tuesday</t>
        </is>
      </c>
      <c r="I1219" t="inlineStr">
        <is>
          <t>Monthly - Tuesday</t>
        </is>
      </c>
      <c r="J1219" t="inlineStr">
        <is>
          <t>Month+9 Expiry</t>
        </is>
      </c>
      <c r="K1219" s="25" t="n">
        <v>0</v>
      </c>
      <c r="L1219" s="26" t="n">
        <v>0</v>
      </c>
      <c r="M1219" s="26" t="n">
        <v>0</v>
      </c>
    </row>
    <row r="1220" ht="16" customHeight="1">
      <c r="A1220" t="inlineStr">
        <is>
          <t>30-Jun-2026</t>
        </is>
      </c>
      <c r="B1220" t="inlineStr">
        <is>
          <t>Tuesday</t>
        </is>
      </c>
      <c r="C1220" t="inlineStr">
        <is>
          <t>Week5-Jun-2026</t>
        </is>
      </c>
      <c r="D1220" s="78" t="n">
        <v>46174</v>
      </c>
      <c r="E1220" t="inlineStr">
        <is>
          <t>Q1FY27</t>
        </is>
      </c>
      <c r="F1220" t="inlineStr">
        <is>
          <t>30-Jun-2026</t>
        </is>
      </c>
      <c r="G1220" t="inlineStr">
        <is>
          <t>Tuesday</t>
        </is>
      </c>
      <c r="H1220" t="inlineStr">
        <is>
          <t>Monthly - Tuesday</t>
        </is>
      </c>
      <c r="I1220" t="inlineStr">
        <is>
          <t>Monthly - Tuesday</t>
        </is>
      </c>
      <c r="J1220" t="inlineStr">
        <is>
          <t>Same Month Expiry</t>
        </is>
      </c>
      <c r="K1220" s="25" t="n">
        <v>90608397</v>
      </c>
      <c r="L1220" s="26" t="n">
        <v>156713.7945</v>
      </c>
      <c r="M1220" s="26" t="n">
        <v>165.7756</v>
      </c>
    </row>
    <row r="1221" ht="16" customHeight="1">
      <c r="A1221" t="inlineStr">
        <is>
          <t>30-Jun-2026</t>
        </is>
      </c>
      <c r="B1221" t="inlineStr">
        <is>
          <t>Tuesday</t>
        </is>
      </c>
      <c r="C1221" t="inlineStr">
        <is>
          <t>Week5-Jun-2026</t>
        </is>
      </c>
      <c r="D1221" s="78" t="n">
        <v>46174</v>
      </c>
      <c r="E1221" t="inlineStr">
        <is>
          <t>Q1FY27</t>
        </is>
      </c>
      <c r="F1221" t="inlineStr">
        <is>
          <t>28-Jul-2026</t>
        </is>
      </c>
      <c r="G1221" t="inlineStr">
        <is>
          <t>Tuesday</t>
        </is>
      </c>
      <c r="H1221" t="inlineStr">
        <is>
          <t>Monthly - Tuesday</t>
        </is>
      </c>
      <c r="I1221" t="inlineStr">
        <is>
          <t>Monthly - Tuesday</t>
        </is>
      </c>
      <c r="J1221" t="inlineStr">
        <is>
          <t>Month+1 Expiry</t>
        </is>
      </c>
      <c r="K1221" s="25" t="n">
        <v>658052</v>
      </c>
      <c r="L1221" s="26" t="n">
        <v>1157.6016</v>
      </c>
      <c r="M1221" s="26" t="n">
        <v>14.3916</v>
      </c>
    </row>
    <row r="1222" ht="16" customHeight="1">
      <c r="A1222" t="inlineStr">
        <is>
          <t>30-Jun-2026</t>
        </is>
      </c>
      <c r="B1222" t="inlineStr">
        <is>
          <t>Tuesday</t>
        </is>
      </c>
      <c r="C1222" t="inlineStr">
        <is>
          <t>Week5-Jun-2026</t>
        </is>
      </c>
      <c r="D1222" s="78" t="n">
        <v>46174</v>
      </c>
      <c r="E1222" t="inlineStr">
        <is>
          <t>Q1FY27</t>
        </is>
      </c>
      <c r="F1222" t="inlineStr">
        <is>
          <t>25-Aug-2026</t>
        </is>
      </c>
      <c r="G1222" t="inlineStr">
        <is>
          <t>Tuesday</t>
        </is>
      </c>
      <c r="H1222" t="inlineStr">
        <is>
          <t>Monthly - Tuesday</t>
        </is>
      </c>
      <c r="I1222" t="inlineStr">
        <is>
          <t>Monthly - Tuesday</t>
        </is>
      </c>
      <c r="J1222" t="inlineStr">
        <is>
          <t>Month+2 Expiry</t>
        </is>
      </c>
      <c r="K1222" s="25" t="n">
        <v>11039</v>
      </c>
      <c r="L1222" s="26" t="n">
        <v>19.3738</v>
      </c>
      <c r="M1222" s="26" t="n">
        <v>0.3173</v>
      </c>
    </row>
    <row r="1223" ht="16" customHeight="1">
      <c r="A1223" t="inlineStr">
        <is>
          <t>30-Jun-2026</t>
        </is>
      </c>
      <c r="B1223" t="inlineStr">
        <is>
          <t>Tuesday</t>
        </is>
      </c>
      <c r="C1223" t="inlineStr">
        <is>
          <t>Week5-Jun-2026</t>
        </is>
      </c>
      <c r="D1223" s="78" t="n">
        <v>46174</v>
      </c>
      <c r="E1223" t="inlineStr">
        <is>
          <t>Q1FY27</t>
        </is>
      </c>
      <c r="F1223" t="inlineStr">
        <is>
          <t>29-Sep-2026</t>
        </is>
      </c>
      <c r="G1223" t="inlineStr">
        <is>
          <t>Tuesday</t>
        </is>
      </c>
      <c r="H1223" t="inlineStr">
        <is>
          <t>Monthly - Tuesday</t>
        </is>
      </c>
      <c r="I1223" t="inlineStr">
        <is>
          <t>Monthly - Tuesday</t>
        </is>
      </c>
      <c r="J1223" t="inlineStr">
        <is>
          <t>Month+3 Expiry</t>
        </is>
      </c>
      <c r="K1223" s="25" t="n">
        <v>1586</v>
      </c>
      <c r="L1223" s="26" t="n">
        <v>2.8343</v>
      </c>
      <c r="M1223" s="26" t="n">
        <v>0.0478</v>
      </c>
    </row>
    <row r="1224" ht="16" customHeight="1">
      <c r="A1224" t="inlineStr">
        <is>
          <t>30-Jun-2026</t>
        </is>
      </c>
      <c r="B1224" t="inlineStr">
        <is>
          <t>Tuesday</t>
        </is>
      </c>
      <c r="C1224" t="inlineStr">
        <is>
          <t>Week5-Jun-2026</t>
        </is>
      </c>
      <c r="D1224" s="78" t="n">
        <v>46174</v>
      </c>
      <c r="E1224" t="inlineStr">
        <is>
          <t>Q1FY27</t>
        </is>
      </c>
      <c r="F1224" t="inlineStr">
        <is>
          <t>29-Dec-2026</t>
        </is>
      </c>
      <c r="G1224" t="inlineStr">
        <is>
          <t>Tuesday</t>
        </is>
      </c>
      <c r="H1224" t="inlineStr">
        <is>
          <t>Monthly - Tuesday</t>
        </is>
      </c>
      <c r="I1224" t="inlineStr">
        <is>
          <t>Monthly - Tuesday</t>
        </is>
      </c>
      <c r="J1224" t="inlineStr">
        <is>
          <t>Month+6 Expiry</t>
        </is>
      </c>
      <c r="K1224" s="25" t="n">
        <v>72</v>
      </c>
      <c r="L1224" s="26" t="n">
        <v>0.1286</v>
      </c>
      <c r="M1224" s="26" t="n">
        <v>0.0039</v>
      </c>
    </row>
    <row r="1225" ht="16" customHeight="1">
      <c r="A1225" t="inlineStr">
        <is>
          <t>30-Jun-2026</t>
        </is>
      </c>
      <c r="B1225" t="inlineStr">
        <is>
          <t>Tuesday</t>
        </is>
      </c>
      <c r="C1225" t="inlineStr">
        <is>
          <t>Week5-Jun-2026</t>
        </is>
      </c>
      <c r="D1225" s="78" t="n">
        <v>46174</v>
      </c>
      <c r="E1225" t="inlineStr">
        <is>
          <t>Q1FY27</t>
        </is>
      </c>
      <c r="F1225" t="inlineStr">
        <is>
          <t>30-Mar-2027</t>
        </is>
      </c>
      <c r="G1225" t="inlineStr">
        <is>
          <t>Tuesday</t>
        </is>
      </c>
      <c r="H1225" t="inlineStr">
        <is>
          <t>Monthly - Tuesday</t>
        </is>
      </c>
      <c r="I1225" t="inlineStr">
        <is>
          <t>Monthly - Tuesday</t>
        </is>
      </c>
      <c r="J1225" t="inlineStr">
        <is>
          <t>Month+9 Expiry</t>
        </is>
      </c>
      <c r="K1225" s="25" t="n">
        <v>0</v>
      </c>
      <c r="L1225" s="26" t="n">
        <v>0</v>
      </c>
      <c r="M1225" s="26" t="n">
        <v>0</v>
      </c>
    </row>
    <row r="1226" ht="16" customHeight="1">
      <c r="A1226" t="inlineStr">
        <is>
          <t>01-Jul-2026</t>
        </is>
      </c>
      <c r="B1226" t="inlineStr">
        <is>
          <t>Wednesday</t>
        </is>
      </c>
      <c r="C1226" t="inlineStr">
        <is>
          <t>Week1-Jul-2026</t>
        </is>
      </c>
      <c r="D1226" s="78" t="n">
        <v>46204</v>
      </c>
      <c r="E1226" t="inlineStr">
        <is>
          <t>Q2FY27</t>
        </is>
      </c>
      <c r="F1226" t="inlineStr">
        <is>
          <t>28-Jul-2026</t>
        </is>
      </c>
      <c r="G1226" t="inlineStr">
        <is>
          <t>Tuesday</t>
        </is>
      </c>
      <c r="H1226" t="inlineStr">
        <is>
          <t>Monthly - Tuesday</t>
        </is>
      </c>
      <c r="I1226" t="inlineStr">
        <is>
          <t>Monthly - Tuesday</t>
        </is>
      </c>
      <c r="J1226" t="inlineStr">
        <is>
          <t>Same Month Expiry</t>
        </is>
      </c>
      <c r="K1226" s="25" t="n">
        <v>1531718</v>
      </c>
      <c r="L1226" s="26" t="n">
        <v>2691.6388</v>
      </c>
      <c r="M1226" s="26" t="n">
        <v>27.7557</v>
      </c>
    </row>
    <row r="1227" ht="16" customHeight="1">
      <c r="A1227" t="inlineStr">
        <is>
          <t>01-Jul-2026</t>
        </is>
      </c>
      <c r="B1227" t="inlineStr">
        <is>
          <t>Wednesday</t>
        </is>
      </c>
      <c r="C1227" t="inlineStr">
        <is>
          <t>Week1-Jul-2026</t>
        </is>
      </c>
      <c r="D1227" s="78" t="n">
        <v>46204</v>
      </c>
      <c r="E1227" t="inlineStr">
        <is>
          <t>Q2FY27</t>
        </is>
      </c>
      <c r="F1227" t="inlineStr">
        <is>
          <t>25-Aug-2026</t>
        </is>
      </c>
      <c r="G1227" t="inlineStr">
        <is>
          <t>Tuesday</t>
        </is>
      </c>
      <c r="H1227" t="inlineStr">
        <is>
          <t>Monthly - Tuesday</t>
        </is>
      </c>
      <c r="I1227" t="inlineStr">
        <is>
          <t>Monthly - Tuesday</t>
        </is>
      </c>
      <c r="J1227" t="inlineStr">
        <is>
          <t>Month+1 Expiry</t>
        </is>
      </c>
      <c r="K1227" s="25" t="n">
        <v>15430</v>
      </c>
      <c r="L1227" s="26" t="n">
        <v>26.6915</v>
      </c>
      <c r="M1227" s="26" t="n">
        <v>0.3439</v>
      </c>
    </row>
    <row r="1228" ht="16" customHeight="1">
      <c r="A1228" t="inlineStr">
        <is>
          <t>01-Jul-2026</t>
        </is>
      </c>
      <c r="B1228" t="inlineStr">
        <is>
          <t>Wednesday</t>
        </is>
      </c>
      <c r="C1228" t="inlineStr">
        <is>
          <t>Week1-Jul-2026</t>
        </is>
      </c>
      <c r="D1228" s="78" t="n">
        <v>46204</v>
      </c>
      <c r="E1228" t="inlineStr">
        <is>
          <t>Q2FY27</t>
        </is>
      </c>
      <c r="F1228" t="inlineStr">
        <is>
          <t>29-Sep-2026</t>
        </is>
      </c>
      <c r="G1228" t="inlineStr">
        <is>
          <t>Tuesday</t>
        </is>
      </c>
      <c r="H1228" t="inlineStr">
        <is>
          <t>Monthly - Tuesday</t>
        </is>
      </c>
      <c r="I1228" t="inlineStr">
        <is>
          <t>Monthly - Tuesday</t>
        </is>
      </c>
      <c r="J1228" t="inlineStr">
        <is>
          <t>Month+2 Expiry</t>
        </is>
      </c>
      <c r="K1228" s="25" t="n">
        <v>3290</v>
      </c>
      <c r="L1228" s="26" t="n">
        <v>5.6259</v>
      </c>
      <c r="M1228" s="26" t="n">
        <v>0.07530000000000001</v>
      </c>
    </row>
    <row r="1229" ht="16" customHeight="1">
      <c r="A1229" t="inlineStr">
        <is>
          <t>01-Jul-2026</t>
        </is>
      </c>
      <c r="B1229" t="inlineStr">
        <is>
          <t>Wednesday</t>
        </is>
      </c>
      <c r="C1229" t="inlineStr">
        <is>
          <t>Week1-Jul-2026</t>
        </is>
      </c>
      <c r="D1229" s="78" t="n">
        <v>46204</v>
      </c>
      <c r="E1229" t="inlineStr">
        <is>
          <t>Q2FY27</t>
        </is>
      </c>
      <c r="F1229" t="inlineStr">
        <is>
          <t>29-Dec-2026</t>
        </is>
      </c>
      <c r="G1229" t="inlineStr">
        <is>
          <t>Tuesday</t>
        </is>
      </c>
      <c r="H1229" t="inlineStr">
        <is>
          <t>Monthly - Tuesday</t>
        </is>
      </c>
      <c r="I1229" t="inlineStr">
        <is>
          <t>Monthly - Tuesday</t>
        </is>
      </c>
      <c r="J1229" t="inlineStr">
        <is>
          <t>Month+5 Expiry</t>
        </is>
      </c>
      <c r="K1229" s="25" t="n">
        <v>681</v>
      </c>
      <c r="L1229" s="26" t="n">
        <v>0.9676</v>
      </c>
      <c r="M1229" s="26" t="n">
        <v>0.0066</v>
      </c>
    </row>
    <row r="1230" ht="16" customHeight="1">
      <c r="A1230" t="inlineStr">
        <is>
          <t>01-Jul-2026</t>
        </is>
      </c>
      <c r="B1230" t="inlineStr">
        <is>
          <t>Wednesday</t>
        </is>
      </c>
      <c r="C1230" t="inlineStr">
        <is>
          <t>Week1-Jul-2026</t>
        </is>
      </c>
      <c r="D1230" s="78" t="n">
        <v>46204</v>
      </c>
      <c r="E1230" t="inlineStr">
        <is>
          <t>Q2FY27</t>
        </is>
      </c>
      <c r="F1230" t="inlineStr">
        <is>
          <t>30-Mar-2027</t>
        </is>
      </c>
      <c r="G1230" t="inlineStr">
        <is>
          <t>Tuesday</t>
        </is>
      </c>
      <c r="H1230" t="inlineStr">
        <is>
          <t>Monthly - Tuesday</t>
        </is>
      </c>
      <c r="I1230" t="inlineStr">
        <is>
          <t>Monthly - Tuesday</t>
        </is>
      </c>
      <c r="J1230" t="inlineStr">
        <is>
          <t>Month+8 Expiry</t>
        </is>
      </c>
      <c r="K1230" s="25" t="n">
        <v>0</v>
      </c>
      <c r="L1230" s="26" t="n">
        <v>0</v>
      </c>
      <c r="M1230" s="26" t="n">
        <v>0</v>
      </c>
    </row>
    <row r="1231" ht="16" customHeight="1">
      <c r="A1231" t="inlineStr">
        <is>
          <t>01-Jul-2026</t>
        </is>
      </c>
      <c r="B1231" t="inlineStr">
        <is>
          <t>Wednesday</t>
        </is>
      </c>
      <c r="C1231" t="inlineStr">
        <is>
          <t>Week1-Jul-2026</t>
        </is>
      </c>
      <c r="D1231" s="78" t="n">
        <v>46204</v>
      </c>
      <c r="E1231" t="inlineStr">
        <is>
          <t>Q2FY27</t>
        </is>
      </c>
      <c r="F1231" t="inlineStr">
        <is>
          <t>29-Jun-2027</t>
        </is>
      </c>
      <c r="G1231" t="inlineStr">
        <is>
          <t>Tuesday</t>
        </is>
      </c>
      <c r="H1231" t="inlineStr">
        <is>
          <t>Monthly - Tuesday</t>
        </is>
      </c>
      <c r="I1231" t="inlineStr">
        <is>
          <t>Monthly - Tuesday</t>
        </is>
      </c>
      <c r="J1231" t="inlineStr">
        <is>
          <t>Month+11 Expiry</t>
        </is>
      </c>
      <c r="K1231" s="25" t="n">
        <v>0</v>
      </c>
      <c r="L1231" s="26" t="n">
        <v>0</v>
      </c>
      <c r="M1231" s="26" t="n">
        <v>0</v>
      </c>
    </row>
    <row r="1232" ht="16" customHeight="1">
      <c r="A1232" t="inlineStr">
        <is>
          <t>02-Jul-2026</t>
        </is>
      </c>
      <c r="B1232" t="inlineStr">
        <is>
          <t>Thursday</t>
        </is>
      </c>
      <c r="C1232" t="inlineStr">
        <is>
          <t>Week1-Jul-2026</t>
        </is>
      </c>
      <c r="D1232" s="78" t="n">
        <v>46204</v>
      </c>
      <c r="E1232" t="inlineStr">
        <is>
          <t>Q2FY27</t>
        </is>
      </c>
      <c r="F1232" t="inlineStr">
        <is>
          <t>28-Jul-2026</t>
        </is>
      </c>
      <c r="G1232" t="inlineStr">
        <is>
          <t>Tuesday</t>
        </is>
      </c>
      <c r="H1232" t="inlineStr">
        <is>
          <t>Monthly - Tuesday</t>
        </is>
      </c>
      <c r="I1232" t="inlineStr">
        <is>
          <t>Monthly - Tuesday</t>
        </is>
      </c>
      <c r="J1232" t="inlineStr">
        <is>
          <t>Same Month Expiry</t>
        </is>
      </c>
      <c r="K1232" s="25" t="n">
        <v>1501955</v>
      </c>
      <c r="L1232" s="26" t="n">
        <v>2644.0387</v>
      </c>
      <c r="M1232" s="26" t="n">
        <v>27.0559</v>
      </c>
    </row>
    <row r="1233" ht="16" customHeight="1">
      <c r="A1233" t="inlineStr">
        <is>
          <t>02-Jul-2026</t>
        </is>
      </c>
      <c r="B1233" t="inlineStr">
        <is>
          <t>Thursday</t>
        </is>
      </c>
      <c r="C1233" t="inlineStr">
        <is>
          <t>Week1-Jul-2026</t>
        </is>
      </c>
      <c r="D1233" s="78" t="n">
        <v>46204</v>
      </c>
      <c r="E1233" t="inlineStr">
        <is>
          <t>Q2FY27</t>
        </is>
      </c>
      <c r="F1233" t="inlineStr">
        <is>
          <t>25-Aug-2026</t>
        </is>
      </c>
      <c r="G1233" t="inlineStr">
        <is>
          <t>Tuesday</t>
        </is>
      </c>
      <c r="H1233" t="inlineStr">
        <is>
          <t>Monthly - Tuesday</t>
        </is>
      </c>
      <c r="I1233" t="inlineStr">
        <is>
          <t>Monthly - Tuesday</t>
        </is>
      </c>
      <c r="J1233" t="inlineStr">
        <is>
          <t>Month+1 Expiry</t>
        </is>
      </c>
      <c r="K1233" s="25" t="n">
        <v>16533</v>
      </c>
      <c r="L1233" s="26" t="n">
        <v>29.1449</v>
      </c>
      <c r="M1233" s="26" t="n">
        <v>0.403</v>
      </c>
    </row>
    <row r="1234" ht="16" customHeight="1">
      <c r="A1234" t="inlineStr">
        <is>
          <t>02-Jul-2026</t>
        </is>
      </c>
      <c r="B1234" t="inlineStr">
        <is>
          <t>Thursday</t>
        </is>
      </c>
      <c r="C1234" t="inlineStr">
        <is>
          <t>Week1-Jul-2026</t>
        </is>
      </c>
      <c r="D1234" s="78" t="n">
        <v>46204</v>
      </c>
      <c r="E1234" t="inlineStr">
        <is>
          <t>Q2FY27</t>
        </is>
      </c>
      <c r="F1234" t="inlineStr">
        <is>
          <t>29-Sep-2026</t>
        </is>
      </c>
      <c r="G1234" t="inlineStr">
        <is>
          <t>Tuesday</t>
        </is>
      </c>
      <c r="H1234" t="inlineStr">
        <is>
          <t>Monthly - Tuesday</t>
        </is>
      </c>
      <c r="I1234" t="inlineStr">
        <is>
          <t>Monthly - Tuesday</t>
        </is>
      </c>
      <c r="J1234" t="inlineStr">
        <is>
          <t>Month+2 Expiry</t>
        </is>
      </c>
      <c r="K1234" s="25" t="n">
        <v>2461</v>
      </c>
      <c r="L1234" s="26" t="n">
        <v>4.1771</v>
      </c>
      <c r="M1234" s="26" t="n">
        <v>0.056</v>
      </c>
    </row>
    <row r="1235" ht="16" customHeight="1">
      <c r="A1235" t="inlineStr">
        <is>
          <t>02-Jul-2026</t>
        </is>
      </c>
      <c r="B1235" t="inlineStr">
        <is>
          <t>Thursday</t>
        </is>
      </c>
      <c r="C1235" t="inlineStr">
        <is>
          <t>Week1-Jul-2026</t>
        </is>
      </c>
      <c r="D1235" s="78" t="n">
        <v>46204</v>
      </c>
      <c r="E1235" t="inlineStr">
        <is>
          <t>Q2FY27</t>
        </is>
      </c>
      <c r="F1235" t="inlineStr">
        <is>
          <t>29-Dec-2026</t>
        </is>
      </c>
      <c r="G1235" t="inlineStr">
        <is>
          <t>Tuesday</t>
        </is>
      </c>
      <c r="H1235" t="inlineStr">
        <is>
          <t>Monthly - Tuesday</t>
        </is>
      </c>
      <c r="I1235" t="inlineStr">
        <is>
          <t>Monthly - Tuesday</t>
        </is>
      </c>
      <c r="J1235" t="inlineStr">
        <is>
          <t>Month+5 Expiry</t>
        </is>
      </c>
      <c r="K1235" s="25" t="n">
        <v>130</v>
      </c>
      <c r="L1235" s="26" t="n">
        <v>0.2233</v>
      </c>
      <c r="M1235" s="26" t="n">
        <v>0.0044</v>
      </c>
    </row>
    <row r="1236" ht="16" customHeight="1">
      <c r="A1236" t="inlineStr">
        <is>
          <t>02-Jul-2026</t>
        </is>
      </c>
      <c r="B1236" t="inlineStr">
        <is>
          <t>Thursday</t>
        </is>
      </c>
      <c r="C1236" t="inlineStr">
        <is>
          <t>Week1-Jul-2026</t>
        </is>
      </c>
      <c r="D1236" s="78" t="n">
        <v>46204</v>
      </c>
      <c r="E1236" t="inlineStr">
        <is>
          <t>Q2FY27</t>
        </is>
      </c>
      <c r="F1236" t="inlineStr">
        <is>
          <t>30-Mar-2027</t>
        </is>
      </c>
      <c r="G1236" t="inlineStr">
        <is>
          <t>Tuesday</t>
        </is>
      </c>
      <c r="H1236" t="inlineStr">
        <is>
          <t>Monthly - Tuesday</t>
        </is>
      </c>
      <c r="I1236" t="inlineStr">
        <is>
          <t>Monthly - Tuesday</t>
        </is>
      </c>
      <c r="J1236" t="inlineStr">
        <is>
          <t>Month+8 Expiry</t>
        </is>
      </c>
      <c r="K1236" s="25" t="n">
        <v>0</v>
      </c>
      <c r="L1236" s="26" t="n">
        <v>0</v>
      </c>
      <c r="M1236" s="26" t="n">
        <v>0</v>
      </c>
    </row>
    <row r="1237" ht="16" customHeight="1">
      <c r="A1237" t="inlineStr">
        <is>
          <t>02-Jul-2026</t>
        </is>
      </c>
      <c r="B1237" t="inlineStr">
        <is>
          <t>Thursday</t>
        </is>
      </c>
      <c r="C1237" t="inlineStr">
        <is>
          <t>Week1-Jul-2026</t>
        </is>
      </c>
      <c r="D1237" s="78" t="n">
        <v>46204</v>
      </c>
      <c r="E1237" t="inlineStr">
        <is>
          <t>Q2FY27</t>
        </is>
      </c>
      <c r="F1237" t="inlineStr">
        <is>
          <t>29-Jun-2027</t>
        </is>
      </c>
      <c r="G1237" t="inlineStr">
        <is>
          <t>Tuesday</t>
        </is>
      </c>
      <c r="H1237" t="inlineStr">
        <is>
          <t>Monthly - Tuesday</t>
        </is>
      </c>
      <c r="I1237" t="inlineStr">
        <is>
          <t>Monthly - Tuesday</t>
        </is>
      </c>
      <c r="J1237" t="inlineStr">
        <is>
          <t>Month+11 Expiry</t>
        </is>
      </c>
      <c r="K1237" s="25" t="n">
        <v>0</v>
      </c>
      <c r="L1237" s="26" t="n">
        <v>0</v>
      </c>
      <c r="M1237" s="26" t="n">
        <v>0</v>
      </c>
    </row>
    <row r="1238" ht="16" customHeight="1">
      <c r="A1238" t="inlineStr">
        <is>
          <t>03-Jul-2026</t>
        </is>
      </c>
      <c r="B1238" t="inlineStr">
        <is>
          <t>Friday</t>
        </is>
      </c>
      <c r="C1238" t="inlineStr">
        <is>
          <t>Week1-Jul-2026</t>
        </is>
      </c>
      <c r="D1238" s="78" t="n">
        <v>46204</v>
      </c>
      <c r="E1238" t="inlineStr">
        <is>
          <t>Q2FY27</t>
        </is>
      </c>
      <c r="F1238" t="inlineStr">
        <is>
          <t>28-Jul-2026</t>
        </is>
      </c>
      <c r="G1238" t="inlineStr">
        <is>
          <t>Tuesday</t>
        </is>
      </c>
      <c r="H1238" t="inlineStr">
        <is>
          <t>Monthly - Tuesday</t>
        </is>
      </c>
      <c r="I1238" t="inlineStr">
        <is>
          <t>Monthly - Tuesday</t>
        </is>
      </c>
      <c r="J1238" t="inlineStr">
        <is>
          <t>Same Month Expiry</t>
        </is>
      </c>
      <c r="K1238" s="25" t="n">
        <v>1623313</v>
      </c>
      <c r="L1238" s="26" t="n">
        <v>2862.6442</v>
      </c>
      <c r="M1238" s="26" t="n">
        <v>28.8871</v>
      </c>
    </row>
    <row r="1239" ht="16" customHeight="1">
      <c r="A1239" t="inlineStr">
        <is>
          <t>03-Jul-2026</t>
        </is>
      </c>
      <c r="B1239" t="inlineStr">
        <is>
          <t>Friday</t>
        </is>
      </c>
      <c r="C1239" t="inlineStr">
        <is>
          <t>Week1-Jul-2026</t>
        </is>
      </c>
      <c r="D1239" s="78" t="n">
        <v>46204</v>
      </c>
      <c r="E1239" t="inlineStr">
        <is>
          <t>Q2FY27</t>
        </is>
      </c>
      <c r="F1239" t="inlineStr">
        <is>
          <t>25-Aug-2026</t>
        </is>
      </c>
      <c r="G1239" t="inlineStr">
        <is>
          <t>Tuesday</t>
        </is>
      </c>
      <c r="H1239" t="inlineStr">
        <is>
          <t>Monthly - Tuesday</t>
        </is>
      </c>
      <c r="I1239" t="inlineStr">
        <is>
          <t>Monthly - Tuesday</t>
        </is>
      </c>
      <c r="J1239" t="inlineStr">
        <is>
          <t>Month+1 Expiry</t>
        </is>
      </c>
      <c r="K1239" s="25" t="n">
        <v>23323</v>
      </c>
      <c r="L1239" s="26" t="n">
        <v>40.9408</v>
      </c>
      <c r="M1239" s="26" t="n">
        <v>0.5841</v>
      </c>
    </row>
    <row r="1240" ht="16" customHeight="1">
      <c r="A1240" t="inlineStr">
        <is>
          <t>03-Jul-2026</t>
        </is>
      </c>
      <c r="B1240" t="inlineStr">
        <is>
          <t>Friday</t>
        </is>
      </c>
      <c r="C1240" t="inlineStr">
        <is>
          <t>Week1-Jul-2026</t>
        </is>
      </c>
      <c r="D1240" s="78" t="n">
        <v>46204</v>
      </c>
      <c r="E1240" t="inlineStr">
        <is>
          <t>Q2FY27</t>
        </is>
      </c>
      <c r="F1240" t="inlineStr">
        <is>
          <t>29-Sep-2026</t>
        </is>
      </c>
      <c r="G1240" t="inlineStr">
        <is>
          <t>Tuesday</t>
        </is>
      </c>
      <c r="H1240" t="inlineStr">
        <is>
          <t>Monthly - Tuesday</t>
        </is>
      </c>
      <c r="I1240" t="inlineStr">
        <is>
          <t>Monthly - Tuesday</t>
        </is>
      </c>
      <c r="J1240" t="inlineStr">
        <is>
          <t>Month+2 Expiry</t>
        </is>
      </c>
      <c r="K1240" s="25" t="n">
        <v>3664</v>
      </c>
      <c r="L1240" s="26" t="n">
        <v>6.3765</v>
      </c>
      <c r="M1240" s="26" t="n">
        <v>0.1178</v>
      </c>
    </row>
    <row r="1241" ht="16" customHeight="1">
      <c r="A1241" t="inlineStr">
        <is>
          <t>03-Jul-2026</t>
        </is>
      </c>
      <c r="B1241" t="inlineStr">
        <is>
          <t>Friday</t>
        </is>
      </c>
      <c r="C1241" t="inlineStr">
        <is>
          <t>Week1-Jul-2026</t>
        </is>
      </c>
      <c r="D1241" s="78" t="n">
        <v>46204</v>
      </c>
      <c r="E1241" t="inlineStr">
        <is>
          <t>Q2FY27</t>
        </is>
      </c>
      <c r="F1241" t="inlineStr">
        <is>
          <t>29-Dec-2026</t>
        </is>
      </c>
      <c r="G1241" t="inlineStr">
        <is>
          <t>Tuesday</t>
        </is>
      </c>
      <c r="H1241" t="inlineStr">
        <is>
          <t>Monthly - Tuesday</t>
        </is>
      </c>
      <c r="I1241" t="inlineStr">
        <is>
          <t>Monthly - Tuesday</t>
        </is>
      </c>
      <c r="J1241" t="inlineStr">
        <is>
          <t>Month+5 Expiry</t>
        </is>
      </c>
      <c r="K1241" s="25" t="n">
        <v>95</v>
      </c>
      <c r="L1241" s="26" t="n">
        <v>0.1641</v>
      </c>
      <c r="M1241" s="26" t="n">
        <v>0.0034</v>
      </c>
    </row>
    <row r="1242" ht="16" customHeight="1">
      <c r="A1242" t="inlineStr">
        <is>
          <t>03-Jul-2026</t>
        </is>
      </c>
      <c r="B1242" t="inlineStr">
        <is>
          <t>Friday</t>
        </is>
      </c>
      <c r="C1242" t="inlineStr">
        <is>
          <t>Week1-Jul-2026</t>
        </is>
      </c>
      <c r="D1242" s="78" t="n">
        <v>46204</v>
      </c>
      <c r="E1242" t="inlineStr">
        <is>
          <t>Q2FY27</t>
        </is>
      </c>
      <c r="F1242" t="inlineStr">
        <is>
          <t>30-Mar-2027</t>
        </is>
      </c>
      <c r="G1242" t="inlineStr">
        <is>
          <t>Tuesday</t>
        </is>
      </c>
      <c r="H1242" t="inlineStr">
        <is>
          <t>Monthly - Tuesday</t>
        </is>
      </c>
      <c r="I1242" t="inlineStr">
        <is>
          <t>Monthly - Tuesday</t>
        </is>
      </c>
      <c r="J1242" t="inlineStr">
        <is>
          <t>Month+8 Expiry</t>
        </is>
      </c>
      <c r="K1242" s="25" t="n">
        <v>0</v>
      </c>
      <c r="L1242" s="26" t="n">
        <v>0</v>
      </c>
      <c r="M1242" s="26" t="n">
        <v>0</v>
      </c>
    </row>
    <row r="1243" ht="16" customHeight="1">
      <c r="A1243" t="inlineStr">
        <is>
          <t>03-Jul-2026</t>
        </is>
      </c>
      <c r="B1243" t="inlineStr">
        <is>
          <t>Friday</t>
        </is>
      </c>
      <c r="C1243" t="inlineStr">
        <is>
          <t>Week1-Jul-2026</t>
        </is>
      </c>
      <c r="D1243" s="78" t="n">
        <v>46204</v>
      </c>
      <c r="E1243" t="inlineStr">
        <is>
          <t>Q2FY27</t>
        </is>
      </c>
      <c r="F1243" t="inlineStr">
        <is>
          <t>29-Jun-2027</t>
        </is>
      </c>
      <c r="G1243" t="inlineStr">
        <is>
          <t>Tuesday</t>
        </is>
      </c>
      <c r="H1243" t="inlineStr">
        <is>
          <t>Monthly - Tuesday</t>
        </is>
      </c>
      <c r="I1243" t="inlineStr">
        <is>
          <t>Monthly - Tuesday</t>
        </is>
      </c>
      <c r="J1243" t="inlineStr">
        <is>
          <t>Month+11 Expiry</t>
        </is>
      </c>
      <c r="K1243" s="25" t="n">
        <v>0</v>
      </c>
      <c r="L1243" s="26" t="n">
        <v>0</v>
      </c>
      <c r="M1243" s="26" t="n">
        <v>0</v>
      </c>
    </row>
    <row r="1244" ht="16" customHeight="1">
      <c r="A1244" t="inlineStr">
        <is>
          <t>06-Jul-2026</t>
        </is>
      </c>
      <c r="B1244" t="inlineStr">
        <is>
          <t>Monday</t>
        </is>
      </c>
      <c r="C1244" t="inlineStr">
        <is>
          <t>Week1-Jul-2026</t>
        </is>
      </c>
      <c r="D1244" s="78" t="n">
        <v>46204</v>
      </c>
      <c r="E1244" t="inlineStr">
        <is>
          <t>Q2FY27</t>
        </is>
      </c>
      <c r="F1244" t="inlineStr">
        <is>
          <t>28-Jul-2026</t>
        </is>
      </c>
      <c r="G1244" t="inlineStr">
        <is>
          <t>Tuesday</t>
        </is>
      </c>
      <c r="H1244" t="inlineStr">
        <is>
          <t>Monthly - Tuesday</t>
        </is>
      </c>
      <c r="I1244" t="inlineStr">
        <is>
          <t>Monthly - Tuesday</t>
        </is>
      </c>
      <c r="J1244" t="inlineStr">
        <is>
          <t>Same Month Expiry</t>
        </is>
      </c>
      <c r="K1244" s="25" t="n">
        <v>1652760</v>
      </c>
      <c r="L1244" s="26" t="n">
        <v>2921.7287</v>
      </c>
      <c r="M1244" s="26" t="n">
        <v>25.8063</v>
      </c>
    </row>
    <row r="1245" ht="16" customHeight="1">
      <c r="A1245" t="inlineStr">
        <is>
          <t>06-Jul-2026</t>
        </is>
      </c>
      <c r="B1245" t="inlineStr">
        <is>
          <t>Monday</t>
        </is>
      </c>
      <c r="C1245" t="inlineStr">
        <is>
          <t>Week1-Jul-2026</t>
        </is>
      </c>
      <c r="D1245" s="78" t="n">
        <v>46204</v>
      </c>
      <c r="E1245" t="inlineStr">
        <is>
          <t>Q2FY27</t>
        </is>
      </c>
      <c r="F1245" t="inlineStr">
        <is>
          <t>25-Aug-2026</t>
        </is>
      </c>
      <c r="G1245" t="inlineStr">
        <is>
          <t>Tuesday</t>
        </is>
      </c>
      <c r="H1245" t="inlineStr">
        <is>
          <t>Monthly - Tuesday</t>
        </is>
      </c>
      <c r="I1245" t="inlineStr">
        <is>
          <t>Monthly - Tuesday</t>
        </is>
      </c>
      <c r="J1245" t="inlineStr">
        <is>
          <t>Month+1 Expiry</t>
        </is>
      </c>
      <c r="K1245" s="25" t="n">
        <v>23715</v>
      </c>
      <c r="L1245" s="26" t="n">
        <v>41.2133</v>
      </c>
      <c r="M1245" s="26" t="n">
        <v>0.4671</v>
      </c>
    </row>
    <row r="1246" ht="16" customHeight="1">
      <c r="A1246" t="inlineStr">
        <is>
          <t>06-Jul-2026</t>
        </is>
      </c>
      <c r="B1246" t="inlineStr">
        <is>
          <t>Monday</t>
        </is>
      </c>
      <c r="C1246" t="inlineStr">
        <is>
          <t>Week1-Jul-2026</t>
        </is>
      </c>
      <c r="D1246" s="78" t="n">
        <v>46204</v>
      </c>
      <c r="E1246" t="inlineStr">
        <is>
          <t>Q2FY27</t>
        </is>
      </c>
      <c r="F1246" t="inlineStr">
        <is>
          <t>29-Sep-2026</t>
        </is>
      </c>
      <c r="G1246" t="inlineStr">
        <is>
          <t>Tuesday</t>
        </is>
      </c>
      <c r="H1246" t="inlineStr">
        <is>
          <t>Monthly - Tuesday</t>
        </is>
      </c>
      <c r="I1246" t="inlineStr">
        <is>
          <t>Monthly - Tuesday</t>
        </is>
      </c>
      <c r="J1246" t="inlineStr">
        <is>
          <t>Month+2 Expiry</t>
        </is>
      </c>
      <c r="K1246" s="25" t="n">
        <v>3246</v>
      </c>
      <c r="L1246" s="26" t="n">
        <v>5.693</v>
      </c>
      <c r="M1246" s="26" t="n">
        <v>0.095</v>
      </c>
    </row>
    <row r="1247" ht="16" customHeight="1">
      <c r="A1247" t="inlineStr">
        <is>
          <t>06-Jul-2026</t>
        </is>
      </c>
      <c r="B1247" t="inlineStr">
        <is>
          <t>Monday</t>
        </is>
      </c>
      <c r="C1247" t="inlineStr">
        <is>
          <t>Week1-Jul-2026</t>
        </is>
      </c>
      <c r="D1247" s="78" t="n">
        <v>46204</v>
      </c>
      <c r="E1247" t="inlineStr">
        <is>
          <t>Q2FY27</t>
        </is>
      </c>
      <c r="F1247" t="inlineStr">
        <is>
          <t>29-Dec-2026</t>
        </is>
      </c>
      <c r="G1247" t="inlineStr">
        <is>
          <t>Tuesday</t>
        </is>
      </c>
      <c r="H1247" t="inlineStr">
        <is>
          <t>Monthly - Tuesday</t>
        </is>
      </c>
      <c r="I1247" t="inlineStr">
        <is>
          <t>Monthly - Tuesday</t>
        </is>
      </c>
      <c r="J1247" t="inlineStr">
        <is>
          <t>Month+5 Expiry</t>
        </is>
      </c>
      <c r="K1247" s="25" t="n">
        <v>205</v>
      </c>
      <c r="L1247" s="26" t="n">
        <v>0.3486</v>
      </c>
      <c r="M1247" s="26" t="n">
        <v>0.0061</v>
      </c>
    </row>
    <row r="1248" ht="16" customHeight="1">
      <c r="A1248" t="inlineStr">
        <is>
          <t>06-Jul-2026</t>
        </is>
      </c>
      <c r="B1248" t="inlineStr">
        <is>
          <t>Monday</t>
        </is>
      </c>
      <c r="C1248" t="inlineStr">
        <is>
          <t>Week1-Jul-2026</t>
        </is>
      </c>
      <c r="D1248" s="78" t="n">
        <v>46204</v>
      </c>
      <c r="E1248" t="inlineStr">
        <is>
          <t>Q2FY27</t>
        </is>
      </c>
      <c r="F1248" t="inlineStr">
        <is>
          <t>30-Mar-2027</t>
        </is>
      </c>
      <c r="G1248" t="inlineStr">
        <is>
          <t>Tuesday</t>
        </is>
      </c>
      <c r="H1248" t="inlineStr">
        <is>
          <t>Monthly - Tuesday</t>
        </is>
      </c>
      <c r="I1248" t="inlineStr">
        <is>
          <t>Monthly - Tuesday</t>
        </is>
      </c>
      <c r="J1248" t="inlineStr">
        <is>
          <t>Month+8 Expiry</t>
        </is>
      </c>
      <c r="K1248" s="25" t="n">
        <v>0</v>
      </c>
      <c r="L1248" s="26" t="n">
        <v>0</v>
      </c>
      <c r="M1248" s="26" t="n">
        <v>0</v>
      </c>
    </row>
    <row r="1249" ht="16" customHeight="1">
      <c r="A1249" t="inlineStr">
        <is>
          <t>06-Jul-2026</t>
        </is>
      </c>
      <c r="B1249" t="inlineStr">
        <is>
          <t>Monday</t>
        </is>
      </c>
      <c r="C1249" t="inlineStr">
        <is>
          <t>Week1-Jul-2026</t>
        </is>
      </c>
      <c r="D1249" s="78" t="n">
        <v>46204</v>
      </c>
      <c r="E1249" t="inlineStr">
        <is>
          <t>Q2FY27</t>
        </is>
      </c>
      <c r="F1249" t="inlineStr">
        <is>
          <t>29-Jun-2027</t>
        </is>
      </c>
      <c r="G1249" t="inlineStr">
        <is>
          <t>Tuesday</t>
        </is>
      </c>
      <c r="H1249" t="inlineStr">
        <is>
          <t>Monthly - Tuesday</t>
        </is>
      </c>
      <c r="I1249" t="inlineStr">
        <is>
          <t>Monthly - Tuesday</t>
        </is>
      </c>
      <c r="J1249" t="inlineStr">
        <is>
          <t>Month+11 Expiry</t>
        </is>
      </c>
      <c r="K1249" s="25" t="n">
        <v>0</v>
      </c>
      <c r="L1249" s="26" t="n">
        <v>0</v>
      </c>
      <c r="M1249" s="26" t="n">
        <v>0</v>
      </c>
    </row>
    <row r="1250" ht="16" customHeight="1">
      <c r="A1250" t="inlineStr">
        <is>
          <t>07-Jul-2026</t>
        </is>
      </c>
      <c r="B1250" t="inlineStr">
        <is>
          <t>Tuesday</t>
        </is>
      </c>
      <c r="C1250" t="inlineStr">
        <is>
          <t>Week1-Jul-2026</t>
        </is>
      </c>
      <c r="D1250" s="78" t="n">
        <v>46204</v>
      </c>
      <c r="E1250" t="inlineStr">
        <is>
          <t>Q2FY27</t>
        </is>
      </c>
      <c r="F1250" t="inlineStr">
        <is>
          <t>28-Jul-2026</t>
        </is>
      </c>
      <c r="G1250" t="inlineStr">
        <is>
          <t>Tuesday</t>
        </is>
      </c>
      <c r="H1250" t="inlineStr">
        <is>
          <t>Monthly - Tuesday</t>
        </is>
      </c>
      <c r="I1250" t="inlineStr">
        <is>
          <t>Monthly - Tuesday</t>
        </is>
      </c>
      <c r="J1250" t="inlineStr">
        <is>
          <t>Same Month Expiry</t>
        </is>
      </c>
      <c r="K1250" s="25" t="n">
        <v>1591088</v>
      </c>
      <c r="L1250" s="26" t="n">
        <v>2806.7101</v>
      </c>
      <c r="M1250" s="26" t="n">
        <v>22.7747</v>
      </c>
    </row>
    <row r="1251" ht="16" customHeight="1">
      <c r="A1251" t="inlineStr">
        <is>
          <t>07-Jul-2026</t>
        </is>
      </c>
      <c r="B1251" t="inlineStr">
        <is>
          <t>Tuesday</t>
        </is>
      </c>
      <c r="C1251" t="inlineStr">
        <is>
          <t>Week1-Jul-2026</t>
        </is>
      </c>
      <c r="D1251" s="78" t="n">
        <v>46204</v>
      </c>
      <c r="E1251" t="inlineStr">
        <is>
          <t>Q2FY27</t>
        </is>
      </c>
      <c r="F1251" t="inlineStr">
        <is>
          <t>25-Aug-2026</t>
        </is>
      </c>
      <c r="G1251" t="inlineStr">
        <is>
          <t>Tuesday</t>
        </is>
      </c>
      <c r="H1251" t="inlineStr">
        <is>
          <t>Monthly - Tuesday</t>
        </is>
      </c>
      <c r="I1251" t="inlineStr">
        <is>
          <t>Monthly - Tuesday</t>
        </is>
      </c>
      <c r="J1251" t="inlineStr">
        <is>
          <t>Month+1 Expiry</t>
        </is>
      </c>
      <c r="K1251" s="25" t="n">
        <v>19016</v>
      </c>
      <c r="L1251" s="26" t="n">
        <v>33.4512</v>
      </c>
      <c r="M1251" s="26" t="n">
        <v>0.3871</v>
      </c>
    </row>
    <row r="1252" ht="16" customHeight="1">
      <c r="A1252" t="inlineStr">
        <is>
          <t>07-Jul-2026</t>
        </is>
      </c>
      <c r="B1252" t="inlineStr">
        <is>
          <t>Tuesday</t>
        </is>
      </c>
      <c r="C1252" t="inlineStr">
        <is>
          <t>Week1-Jul-2026</t>
        </is>
      </c>
      <c r="D1252" s="78" t="n">
        <v>46204</v>
      </c>
      <c r="E1252" t="inlineStr">
        <is>
          <t>Q2FY27</t>
        </is>
      </c>
      <c r="F1252" t="inlineStr">
        <is>
          <t>29-Sep-2026</t>
        </is>
      </c>
      <c r="G1252" t="inlineStr">
        <is>
          <t>Tuesday</t>
        </is>
      </c>
      <c r="H1252" t="inlineStr">
        <is>
          <t>Monthly - Tuesday</t>
        </is>
      </c>
      <c r="I1252" t="inlineStr">
        <is>
          <t>Monthly - Tuesday</t>
        </is>
      </c>
      <c r="J1252" t="inlineStr">
        <is>
          <t>Month+2 Expiry</t>
        </is>
      </c>
      <c r="K1252" s="25" t="n">
        <v>2629</v>
      </c>
      <c r="L1252" s="26" t="n">
        <v>4.5961</v>
      </c>
      <c r="M1252" s="26" t="n">
        <v>0.07240000000000001</v>
      </c>
    </row>
    <row r="1253" ht="16" customHeight="1">
      <c r="A1253" t="inlineStr">
        <is>
          <t>07-Jul-2026</t>
        </is>
      </c>
      <c r="B1253" t="inlineStr">
        <is>
          <t>Tuesday</t>
        </is>
      </c>
      <c r="C1253" t="inlineStr">
        <is>
          <t>Week1-Jul-2026</t>
        </is>
      </c>
      <c r="D1253" s="78" t="n">
        <v>46204</v>
      </c>
      <c r="E1253" t="inlineStr">
        <is>
          <t>Q2FY27</t>
        </is>
      </c>
      <c r="F1253" t="inlineStr">
        <is>
          <t>29-Dec-2026</t>
        </is>
      </c>
      <c r="G1253" t="inlineStr">
        <is>
          <t>Tuesday</t>
        </is>
      </c>
      <c r="H1253" t="inlineStr">
        <is>
          <t>Monthly - Tuesday</t>
        </is>
      </c>
      <c r="I1253" t="inlineStr">
        <is>
          <t>Monthly - Tuesday</t>
        </is>
      </c>
      <c r="J1253" t="inlineStr">
        <is>
          <t>Month+5 Expiry</t>
        </is>
      </c>
      <c r="K1253" s="25" t="n">
        <v>154</v>
      </c>
      <c r="L1253" s="26" t="n">
        <v>0.2659</v>
      </c>
      <c r="M1253" s="26" t="n">
        <v>0.005</v>
      </c>
    </row>
    <row r="1254" ht="16" customHeight="1">
      <c r="A1254" t="inlineStr">
        <is>
          <t>07-Jul-2026</t>
        </is>
      </c>
      <c r="B1254" t="inlineStr">
        <is>
          <t>Tuesday</t>
        </is>
      </c>
      <c r="C1254" t="inlineStr">
        <is>
          <t>Week1-Jul-2026</t>
        </is>
      </c>
      <c r="D1254" s="78" t="n">
        <v>46204</v>
      </c>
      <c r="E1254" t="inlineStr">
        <is>
          <t>Q2FY27</t>
        </is>
      </c>
      <c r="F1254" t="inlineStr">
        <is>
          <t>30-Mar-2027</t>
        </is>
      </c>
      <c r="G1254" t="inlineStr">
        <is>
          <t>Tuesday</t>
        </is>
      </c>
      <c r="H1254" t="inlineStr">
        <is>
          <t>Monthly - Tuesday</t>
        </is>
      </c>
      <c r="I1254" t="inlineStr">
        <is>
          <t>Monthly - Tuesday</t>
        </is>
      </c>
      <c r="J1254" t="inlineStr">
        <is>
          <t>Month+8 Expiry</t>
        </is>
      </c>
      <c r="K1254" s="25" t="n">
        <v>0</v>
      </c>
      <c r="L1254" s="26" t="n">
        <v>0</v>
      </c>
      <c r="M1254" s="26" t="n">
        <v>0</v>
      </c>
    </row>
    <row r="1255" ht="16" customHeight="1">
      <c r="A1255" t="inlineStr">
        <is>
          <t>07-Jul-2026</t>
        </is>
      </c>
      <c r="B1255" t="inlineStr">
        <is>
          <t>Tuesday</t>
        </is>
      </c>
      <c r="C1255" t="inlineStr">
        <is>
          <t>Week1-Jul-2026</t>
        </is>
      </c>
      <c r="D1255" s="78" t="n">
        <v>46204</v>
      </c>
      <c r="E1255" t="inlineStr">
        <is>
          <t>Q2FY27</t>
        </is>
      </c>
      <c r="F1255" t="inlineStr">
        <is>
          <t>29-Jun-2027</t>
        </is>
      </c>
      <c r="G1255" t="inlineStr">
        <is>
          <t>Tuesday</t>
        </is>
      </c>
      <c r="H1255" t="inlineStr">
        <is>
          <t>Monthly - Tuesday</t>
        </is>
      </c>
      <c r="I1255" t="inlineStr">
        <is>
          <t>Monthly - Tuesday</t>
        </is>
      </c>
      <c r="J1255" t="inlineStr">
        <is>
          <t>Month+11 Expiry</t>
        </is>
      </c>
      <c r="K1255" s="25" t="n">
        <v>0</v>
      </c>
      <c r="L1255" s="26" t="n">
        <v>0</v>
      </c>
      <c r="M1255" s="26" t="n">
        <v>0</v>
      </c>
    </row>
    <row r="1256" ht="16" customHeight="1">
      <c r="A1256" t="inlineStr">
        <is>
          <t>08-Jul-2026</t>
        </is>
      </c>
      <c r="B1256" t="inlineStr">
        <is>
          <t>Wednesday</t>
        </is>
      </c>
      <c r="C1256" t="inlineStr">
        <is>
          <t>Week2-Jul-2026</t>
        </is>
      </c>
      <c r="D1256" s="78" t="n">
        <v>46204</v>
      </c>
      <c r="E1256" t="inlineStr">
        <is>
          <t>Q2FY27</t>
        </is>
      </c>
      <c r="F1256" t="inlineStr">
        <is>
          <t>28-Jul-2026</t>
        </is>
      </c>
      <c r="G1256" t="inlineStr">
        <is>
          <t>Tuesday</t>
        </is>
      </c>
      <c r="H1256" t="inlineStr">
        <is>
          <t>Monthly - Tuesday</t>
        </is>
      </c>
      <c r="I1256" t="inlineStr">
        <is>
          <t>Monthly - Tuesday</t>
        </is>
      </c>
      <c r="J1256" t="inlineStr">
        <is>
          <t>Same Month Expiry</t>
        </is>
      </c>
      <c r="K1256" s="25" t="n">
        <v>3176686</v>
      </c>
      <c r="L1256" s="26" t="n">
        <v>5530.4037</v>
      </c>
      <c r="M1256" s="26" t="n">
        <v>47.4274</v>
      </c>
    </row>
    <row r="1257" ht="16" customHeight="1">
      <c r="A1257" t="inlineStr">
        <is>
          <t>08-Jul-2026</t>
        </is>
      </c>
      <c r="B1257" t="inlineStr">
        <is>
          <t>Wednesday</t>
        </is>
      </c>
      <c r="C1257" t="inlineStr">
        <is>
          <t>Week2-Jul-2026</t>
        </is>
      </c>
      <c r="D1257" s="78" t="n">
        <v>46204</v>
      </c>
      <c r="E1257" t="inlineStr">
        <is>
          <t>Q2FY27</t>
        </is>
      </c>
      <c r="F1257" t="inlineStr">
        <is>
          <t>25-Aug-2026</t>
        </is>
      </c>
      <c r="G1257" t="inlineStr">
        <is>
          <t>Tuesday</t>
        </is>
      </c>
      <c r="H1257" t="inlineStr">
        <is>
          <t>Monthly - Tuesday</t>
        </is>
      </c>
      <c r="I1257" t="inlineStr">
        <is>
          <t>Monthly - Tuesday</t>
        </is>
      </c>
      <c r="J1257" t="inlineStr">
        <is>
          <t>Month+1 Expiry</t>
        </is>
      </c>
      <c r="K1257" s="25" t="n">
        <v>71715</v>
      </c>
      <c r="L1257" s="26" t="n">
        <v>125.602</v>
      </c>
      <c r="M1257" s="26" t="n">
        <v>1.7156</v>
      </c>
    </row>
    <row r="1258" ht="16" customHeight="1">
      <c r="A1258" t="inlineStr">
        <is>
          <t>08-Jul-2026</t>
        </is>
      </c>
      <c r="B1258" t="inlineStr">
        <is>
          <t>Wednesday</t>
        </is>
      </c>
      <c r="C1258" t="inlineStr">
        <is>
          <t>Week2-Jul-2026</t>
        </is>
      </c>
      <c r="D1258" s="78" t="n">
        <v>46204</v>
      </c>
      <c r="E1258" t="inlineStr">
        <is>
          <t>Q2FY27</t>
        </is>
      </c>
      <c r="F1258" t="inlineStr">
        <is>
          <t>29-Sep-2026</t>
        </is>
      </c>
      <c r="G1258" t="inlineStr">
        <is>
          <t>Tuesday</t>
        </is>
      </c>
      <c r="H1258" t="inlineStr">
        <is>
          <t>Monthly - Tuesday</t>
        </is>
      </c>
      <c r="I1258" t="inlineStr">
        <is>
          <t>Monthly - Tuesday</t>
        </is>
      </c>
      <c r="J1258" t="inlineStr">
        <is>
          <t>Month+2 Expiry</t>
        </is>
      </c>
      <c r="K1258" s="25" t="n">
        <v>9458</v>
      </c>
      <c r="L1258" s="26" t="n">
        <v>16.5237</v>
      </c>
      <c r="M1258" s="26" t="n">
        <v>0.2608</v>
      </c>
    </row>
    <row r="1259" ht="16" customHeight="1">
      <c r="A1259" t="inlineStr">
        <is>
          <t>08-Jul-2026</t>
        </is>
      </c>
      <c r="B1259" t="inlineStr">
        <is>
          <t>Wednesday</t>
        </is>
      </c>
      <c r="C1259" t="inlineStr">
        <is>
          <t>Week2-Jul-2026</t>
        </is>
      </c>
      <c r="D1259" s="78" t="n">
        <v>46204</v>
      </c>
      <c r="E1259" t="inlineStr">
        <is>
          <t>Q2FY27</t>
        </is>
      </c>
      <c r="F1259" t="inlineStr">
        <is>
          <t>29-Dec-2026</t>
        </is>
      </c>
      <c r="G1259" t="inlineStr">
        <is>
          <t>Tuesday</t>
        </is>
      </c>
      <c r="H1259" t="inlineStr">
        <is>
          <t>Monthly - Tuesday</t>
        </is>
      </c>
      <c r="I1259" t="inlineStr">
        <is>
          <t>Monthly - Tuesday</t>
        </is>
      </c>
      <c r="J1259" t="inlineStr">
        <is>
          <t>Month+5 Expiry</t>
        </is>
      </c>
      <c r="K1259" s="25" t="n">
        <v>724</v>
      </c>
      <c r="L1259" s="26" t="n">
        <v>1.2332</v>
      </c>
      <c r="M1259" s="26" t="n">
        <v>0.0269</v>
      </c>
    </row>
    <row r="1260" ht="16" customHeight="1">
      <c r="A1260" t="inlineStr">
        <is>
          <t>08-Jul-2026</t>
        </is>
      </c>
      <c r="B1260" t="inlineStr">
        <is>
          <t>Wednesday</t>
        </is>
      </c>
      <c r="C1260" t="inlineStr">
        <is>
          <t>Week2-Jul-2026</t>
        </is>
      </c>
      <c r="D1260" s="78" t="n">
        <v>46204</v>
      </c>
      <c r="E1260" t="inlineStr">
        <is>
          <t>Q2FY27</t>
        </is>
      </c>
      <c r="F1260" t="inlineStr">
        <is>
          <t>30-Mar-2027</t>
        </is>
      </c>
      <c r="G1260" t="inlineStr">
        <is>
          <t>Tuesday</t>
        </is>
      </c>
      <c r="H1260" t="inlineStr">
        <is>
          <t>Monthly - Tuesday</t>
        </is>
      </c>
      <c r="I1260" t="inlineStr">
        <is>
          <t>Monthly - Tuesday</t>
        </is>
      </c>
      <c r="J1260" t="inlineStr">
        <is>
          <t>Month+8 Expiry</t>
        </is>
      </c>
      <c r="K1260" s="25" t="n">
        <v>0</v>
      </c>
      <c r="L1260" s="26" t="n">
        <v>0</v>
      </c>
      <c r="M1260" s="26" t="n">
        <v>0</v>
      </c>
    </row>
    <row r="1261" ht="16" customHeight="1">
      <c r="A1261" t="inlineStr">
        <is>
          <t>08-Jul-2026</t>
        </is>
      </c>
      <c r="B1261" t="inlineStr">
        <is>
          <t>Wednesday</t>
        </is>
      </c>
      <c r="C1261" t="inlineStr">
        <is>
          <t>Week2-Jul-2026</t>
        </is>
      </c>
      <c r="D1261" s="78" t="n">
        <v>46204</v>
      </c>
      <c r="E1261" t="inlineStr">
        <is>
          <t>Q2FY27</t>
        </is>
      </c>
      <c r="F1261" t="inlineStr">
        <is>
          <t>29-Jun-2027</t>
        </is>
      </c>
      <c r="G1261" t="inlineStr">
        <is>
          <t>Tuesday</t>
        </is>
      </c>
      <c r="H1261" t="inlineStr">
        <is>
          <t>Monthly - Tuesday</t>
        </is>
      </c>
      <c r="I1261" t="inlineStr">
        <is>
          <t>Monthly - Tuesday</t>
        </is>
      </c>
      <c r="J1261" t="inlineStr">
        <is>
          <t>Month+11 Expiry</t>
        </is>
      </c>
      <c r="K1261" s="25" t="n">
        <v>0</v>
      </c>
      <c r="L1261" s="26" t="n">
        <v>0</v>
      </c>
      <c r="M1261" s="26" t="n">
        <v>0</v>
      </c>
    </row>
    <row r="1262">
      <c r="A1262" t="inlineStr">
        <is>
          <t>09-Jul-2026</t>
        </is>
      </c>
      <c r="B1262" t="inlineStr">
        <is>
          <t>Thursday</t>
        </is>
      </c>
      <c r="C1262" t="inlineStr">
        <is>
          <t>Week2-Jul-2026</t>
        </is>
      </c>
      <c r="D1262" s="78" t="n">
        <v>46204</v>
      </c>
      <c r="E1262" t="inlineStr">
        <is>
          <t>Q2FY27</t>
        </is>
      </c>
      <c r="F1262" t="inlineStr">
        <is>
          <t>28-Jul-2026</t>
        </is>
      </c>
      <c r="G1262" t="inlineStr">
        <is>
          <t>Tuesday</t>
        </is>
      </c>
      <c r="H1262" t="inlineStr">
        <is>
          <t>Monthly - Tuesday</t>
        </is>
      </c>
      <c r="I1262" t="inlineStr">
        <is>
          <t>Monthly - Tuesday</t>
        </is>
      </c>
      <c r="J1262" t="inlineStr">
        <is>
          <t>Same Month Expiry</t>
        </is>
      </c>
      <c r="K1262" s="25" t="n">
        <v>2188933</v>
      </c>
      <c r="L1262" s="26" t="n">
        <v>3807.0281</v>
      </c>
      <c r="M1262" s="26" t="n">
        <v>32.4544</v>
      </c>
    </row>
    <row r="1263">
      <c r="A1263" t="inlineStr">
        <is>
          <t>09-Jul-2026</t>
        </is>
      </c>
      <c r="B1263" t="inlineStr">
        <is>
          <t>Thursday</t>
        </is>
      </c>
      <c r="C1263" t="inlineStr">
        <is>
          <t>Week2-Jul-2026</t>
        </is>
      </c>
      <c r="D1263" s="78" t="n">
        <v>46204</v>
      </c>
      <c r="E1263" t="inlineStr">
        <is>
          <t>Q2FY27</t>
        </is>
      </c>
      <c r="F1263" t="inlineStr">
        <is>
          <t>25-Aug-2026</t>
        </is>
      </c>
      <c r="G1263" t="inlineStr">
        <is>
          <t>Tuesday</t>
        </is>
      </c>
      <c r="H1263" t="inlineStr">
        <is>
          <t>Monthly - Tuesday</t>
        </is>
      </c>
      <c r="I1263" t="inlineStr">
        <is>
          <t>Monthly - Tuesday</t>
        </is>
      </c>
      <c r="J1263" t="inlineStr">
        <is>
          <t>Month+1 Expiry</t>
        </is>
      </c>
      <c r="K1263" s="25" t="n">
        <v>34068</v>
      </c>
      <c r="L1263" s="26" t="n">
        <v>59.1385</v>
      </c>
      <c r="M1263" s="26" t="n">
        <v>0.771</v>
      </c>
    </row>
    <row r="1264">
      <c r="A1264" t="inlineStr">
        <is>
          <t>09-Jul-2026</t>
        </is>
      </c>
      <c r="B1264" t="inlineStr">
        <is>
          <t>Thursday</t>
        </is>
      </c>
      <c r="C1264" t="inlineStr">
        <is>
          <t>Week2-Jul-2026</t>
        </is>
      </c>
      <c r="D1264" s="78" t="n">
        <v>46204</v>
      </c>
      <c r="E1264" t="inlineStr">
        <is>
          <t>Q2FY27</t>
        </is>
      </c>
      <c r="F1264" t="inlineStr">
        <is>
          <t>29-Sep-2026</t>
        </is>
      </c>
      <c r="G1264" t="inlineStr">
        <is>
          <t>Tuesday</t>
        </is>
      </c>
      <c r="H1264" t="inlineStr">
        <is>
          <t>Monthly - Tuesday</t>
        </is>
      </c>
      <c r="I1264" t="inlineStr">
        <is>
          <t>Monthly - Tuesday</t>
        </is>
      </c>
      <c r="J1264" t="inlineStr">
        <is>
          <t>Month+2 Expiry</t>
        </is>
      </c>
      <c r="K1264" s="25" t="n">
        <v>6847</v>
      </c>
      <c r="L1264" s="26" t="n">
        <v>12.0556</v>
      </c>
      <c r="M1264" s="26" t="n">
        <v>0.199</v>
      </c>
    </row>
    <row r="1265">
      <c r="A1265" t="inlineStr">
        <is>
          <t>09-Jul-2026</t>
        </is>
      </c>
      <c r="B1265" t="inlineStr">
        <is>
          <t>Thursday</t>
        </is>
      </c>
      <c r="C1265" t="inlineStr">
        <is>
          <t>Week2-Jul-2026</t>
        </is>
      </c>
      <c r="D1265" s="78" t="n">
        <v>46204</v>
      </c>
      <c r="E1265" t="inlineStr">
        <is>
          <t>Q2FY27</t>
        </is>
      </c>
      <c r="F1265" t="inlineStr">
        <is>
          <t>29-Dec-2026</t>
        </is>
      </c>
      <c r="G1265" t="inlineStr">
        <is>
          <t>Tuesday</t>
        </is>
      </c>
      <c r="H1265" t="inlineStr">
        <is>
          <t>Monthly - Tuesday</t>
        </is>
      </c>
      <c r="I1265" t="inlineStr">
        <is>
          <t>Monthly - Tuesday</t>
        </is>
      </c>
      <c r="J1265" t="inlineStr">
        <is>
          <t>Month+5 Expiry</t>
        </is>
      </c>
      <c r="K1265" s="25" t="n">
        <v>354</v>
      </c>
      <c r="L1265" s="26" t="n">
        <v>0.6213</v>
      </c>
      <c r="M1265" s="26" t="n">
        <v>0.0134</v>
      </c>
    </row>
    <row r="1266">
      <c r="A1266" t="inlineStr">
        <is>
          <t>09-Jul-2026</t>
        </is>
      </c>
      <c r="B1266" t="inlineStr">
        <is>
          <t>Thursday</t>
        </is>
      </c>
      <c r="C1266" t="inlineStr">
        <is>
          <t>Week2-Jul-2026</t>
        </is>
      </c>
      <c r="D1266" s="78" t="n">
        <v>46204</v>
      </c>
      <c r="E1266" t="inlineStr">
        <is>
          <t>Q2FY27</t>
        </is>
      </c>
      <c r="F1266" t="inlineStr">
        <is>
          <t>30-Mar-2027</t>
        </is>
      </c>
      <c r="G1266" t="inlineStr">
        <is>
          <t>Tuesday</t>
        </is>
      </c>
      <c r="H1266" t="inlineStr">
        <is>
          <t>Monthly - Tuesday</t>
        </is>
      </c>
      <c r="I1266" t="inlineStr">
        <is>
          <t>Monthly - Tuesday</t>
        </is>
      </c>
      <c r="J1266" t="inlineStr">
        <is>
          <t>Month+8 Expiry</t>
        </is>
      </c>
      <c r="K1266" s="25" t="n">
        <v>0</v>
      </c>
      <c r="L1266" s="26" t="n">
        <v>0</v>
      </c>
      <c r="M1266" s="26" t="n">
        <v>0</v>
      </c>
    </row>
    <row r="1267">
      <c r="A1267" t="inlineStr">
        <is>
          <t>09-Jul-2026</t>
        </is>
      </c>
      <c r="B1267" t="inlineStr">
        <is>
          <t>Thursday</t>
        </is>
      </c>
      <c r="C1267" t="inlineStr">
        <is>
          <t>Week2-Jul-2026</t>
        </is>
      </c>
      <c r="D1267" s="78" t="n">
        <v>46204</v>
      </c>
      <c r="E1267" t="inlineStr">
        <is>
          <t>Q2FY27</t>
        </is>
      </c>
      <c r="F1267" t="inlineStr">
        <is>
          <t>29-Jun-2027</t>
        </is>
      </c>
      <c r="G1267" t="inlineStr">
        <is>
          <t>Tuesday</t>
        </is>
      </c>
      <c r="H1267" t="inlineStr">
        <is>
          <t>Monthly - Tuesday</t>
        </is>
      </c>
      <c r="I1267" t="inlineStr">
        <is>
          <t>Monthly - Tuesday</t>
        </is>
      </c>
      <c r="J1267" t="inlineStr">
        <is>
          <t>Month+11 Expiry</t>
        </is>
      </c>
      <c r="K1267" s="25" t="n">
        <v>0</v>
      </c>
      <c r="L1267" s="26" t="n">
        <v>0</v>
      </c>
      <c r="M1267" s="26" t="n">
        <v>0</v>
      </c>
    </row>
    <row r="1268">
      <c r="A1268" t="inlineStr">
        <is>
          <t>10-Jul-2026</t>
        </is>
      </c>
      <c r="B1268" t="inlineStr">
        <is>
          <t>Friday</t>
        </is>
      </c>
      <c r="C1268" t="inlineStr">
        <is>
          <t>Week2-Jul-2026</t>
        </is>
      </c>
      <c r="D1268" s="78" t="n">
        <v>46204</v>
      </c>
      <c r="E1268" t="inlineStr">
        <is>
          <t>Q2FY27</t>
        </is>
      </c>
      <c r="F1268" t="inlineStr">
        <is>
          <t>28-Jul-2026</t>
        </is>
      </c>
      <c r="G1268" t="inlineStr">
        <is>
          <t>Tuesday</t>
        </is>
      </c>
      <c r="H1268" t="inlineStr">
        <is>
          <t>Monthly - Tuesday</t>
        </is>
      </c>
      <c r="I1268" t="inlineStr">
        <is>
          <t>Monthly - Tuesday</t>
        </is>
      </c>
      <c r="J1268" t="inlineStr">
        <is>
          <t>Same Month Expiry</t>
        </is>
      </c>
      <c r="K1268" s="25" t="n">
        <v>2142493</v>
      </c>
      <c r="L1268" s="26" t="n">
        <v>3757.6859</v>
      </c>
      <c r="M1268" s="26" t="n">
        <v>31.0447</v>
      </c>
    </row>
    <row r="1269">
      <c r="A1269" t="inlineStr">
        <is>
          <t>10-Jul-2026</t>
        </is>
      </c>
      <c r="B1269" t="inlineStr">
        <is>
          <t>Friday</t>
        </is>
      </c>
      <c r="C1269" t="inlineStr">
        <is>
          <t>Week2-Jul-2026</t>
        </is>
      </c>
      <c r="D1269" s="78" t="n">
        <v>46204</v>
      </c>
      <c r="E1269" t="inlineStr">
        <is>
          <t>Q2FY27</t>
        </is>
      </c>
      <c r="F1269" t="inlineStr">
        <is>
          <t>25-Aug-2026</t>
        </is>
      </c>
      <c r="G1269" t="inlineStr">
        <is>
          <t>Tuesday</t>
        </is>
      </c>
      <c r="H1269" t="inlineStr">
        <is>
          <t>Monthly - Tuesday</t>
        </is>
      </c>
      <c r="I1269" t="inlineStr">
        <is>
          <t>Monthly - Tuesday</t>
        </is>
      </c>
      <c r="J1269" t="inlineStr">
        <is>
          <t>Month+1 Expiry</t>
        </is>
      </c>
      <c r="K1269" s="25" t="n">
        <v>35759</v>
      </c>
      <c r="L1269" s="26" t="n">
        <v>62.6405</v>
      </c>
      <c r="M1269" s="26" t="n">
        <v>0.7769</v>
      </c>
    </row>
    <row r="1270">
      <c r="A1270" t="inlineStr">
        <is>
          <t>10-Jul-2026</t>
        </is>
      </c>
      <c r="B1270" t="inlineStr">
        <is>
          <t>Friday</t>
        </is>
      </c>
      <c r="C1270" t="inlineStr">
        <is>
          <t>Week2-Jul-2026</t>
        </is>
      </c>
      <c r="D1270" s="78" t="n">
        <v>46204</v>
      </c>
      <c r="E1270" t="inlineStr">
        <is>
          <t>Q2FY27</t>
        </is>
      </c>
      <c r="F1270" t="inlineStr">
        <is>
          <t>29-Sep-2026</t>
        </is>
      </c>
      <c r="G1270" t="inlineStr">
        <is>
          <t>Tuesday</t>
        </is>
      </c>
      <c r="H1270" t="inlineStr">
        <is>
          <t>Monthly - Tuesday</t>
        </is>
      </c>
      <c r="I1270" t="inlineStr">
        <is>
          <t>Monthly - Tuesday</t>
        </is>
      </c>
      <c r="J1270" t="inlineStr">
        <is>
          <t>Month+2 Expiry</t>
        </is>
      </c>
      <c r="K1270" s="25" t="n">
        <v>4917</v>
      </c>
      <c r="L1270" s="26" t="n">
        <v>8.7098</v>
      </c>
      <c r="M1270" s="26" t="n">
        <v>0.1417</v>
      </c>
    </row>
    <row r="1271">
      <c r="A1271" t="inlineStr">
        <is>
          <t>10-Jul-2026</t>
        </is>
      </c>
      <c r="B1271" t="inlineStr">
        <is>
          <t>Friday</t>
        </is>
      </c>
      <c r="C1271" t="inlineStr">
        <is>
          <t>Week2-Jul-2026</t>
        </is>
      </c>
      <c r="D1271" s="78" t="n">
        <v>46204</v>
      </c>
      <c r="E1271" t="inlineStr">
        <is>
          <t>Q2FY27</t>
        </is>
      </c>
      <c r="F1271" t="inlineStr">
        <is>
          <t>29-Dec-2026</t>
        </is>
      </c>
      <c r="G1271" t="inlineStr">
        <is>
          <t>Tuesday</t>
        </is>
      </c>
      <c r="H1271" t="inlineStr">
        <is>
          <t>Monthly - Tuesday</t>
        </is>
      </c>
      <c r="I1271" t="inlineStr">
        <is>
          <t>Monthly - Tuesday</t>
        </is>
      </c>
      <c r="J1271" t="inlineStr">
        <is>
          <t>Month+5 Expiry</t>
        </is>
      </c>
      <c r="K1271" s="25" t="n">
        <v>258</v>
      </c>
      <c r="L1271" s="26" t="n">
        <v>0.4625</v>
      </c>
      <c r="M1271" s="26" t="n">
        <v>0.0095</v>
      </c>
    </row>
    <row r="1272">
      <c r="A1272" t="inlineStr">
        <is>
          <t>10-Jul-2026</t>
        </is>
      </c>
      <c r="B1272" t="inlineStr">
        <is>
          <t>Friday</t>
        </is>
      </c>
      <c r="C1272" t="inlineStr">
        <is>
          <t>Week2-Jul-2026</t>
        </is>
      </c>
      <c r="D1272" s="78" t="n">
        <v>46204</v>
      </c>
      <c r="E1272" t="inlineStr">
        <is>
          <t>Q2FY27</t>
        </is>
      </c>
      <c r="F1272" t="inlineStr">
        <is>
          <t>30-Mar-2027</t>
        </is>
      </c>
      <c r="G1272" t="inlineStr">
        <is>
          <t>Tuesday</t>
        </is>
      </c>
      <c r="H1272" t="inlineStr">
        <is>
          <t>Monthly - Tuesday</t>
        </is>
      </c>
      <c r="I1272" t="inlineStr">
        <is>
          <t>Monthly - Tuesday</t>
        </is>
      </c>
      <c r="J1272" t="inlineStr">
        <is>
          <t>Month+8 Expiry</t>
        </is>
      </c>
      <c r="K1272" s="25" t="n">
        <v>1</v>
      </c>
      <c r="L1272" s="26" t="n">
        <v>0.0019</v>
      </c>
      <c r="M1272" s="26" t="n">
        <v>0.0001</v>
      </c>
    </row>
    <row r="1273">
      <c r="A1273" t="inlineStr">
        <is>
          <t>10-Jul-2026</t>
        </is>
      </c>
      <c r="B1273" t="inlineStr">
        <is>
          <t>Friday</t>
        </is>
      </c>
      <c r="C1273" t="inlineStr">
        <is>
          <t>Week2-Jul-2026</t>
        </is>
      </c>
      <c r="D1273" s="78" t="n">
        <v>46204</v>
      </c>
      <c r="E1273" t="inlineStr">
        <is>
          <t>Q2FY27</t>
        </is>
      </c>
      <c r="F1273" t="inlineStr">
        <is>
          <t>29-Jun-2027</t>
        </is>
      </c>
      <c r="G1273" t="inlineStr">
        <is>
          <t>Tuesday</t>
        </is>
      </c>
      <c r="H1273" t="inlineStr">
        <is>
          <t>Monthly - Tuesday</t>
        </is>
      </c>
      <c r="I1273" t="inlineStr">
        <is>
          <t>Monthly - Tuesday</t>
        </is>
      </c>
      <c r="J1273" t="inlineStr">
        <is>
          <t>Month+11 Expiry</t>
        </is>
      </c>
      <c r="K1273" s="25" t="n">
        <v>0</v>
      </c>
      <c r="L1273" s="26" t="n">
        <v>0</v>
      </c>
      <c r="M1273" s="26" t="n">
        <v>0</v>
      </c>
    </row>
    <row r="1274">
      <c r="A1274" t="inlineStr">
        <is>
          <t>13-Jul-2026</t>
        </is>
      </c>
      <c r="B1274" t="inlineStr">
        <is>
          <t>Monday</t>
        </is>
      </c>
      <c r="C1274" t="inlineStr">
        <is>
          <t>Week2-Jul-2026</t>
        </is>
      </c>
      <c r="D1274" s="78" t="n">
        <v>46204</v>
      </c>
      <c r="E1274" t="inlineStr">
        <is>
          <t>Q2FY27</t>
        </is>
      </c>
      <c r="F1274" t="inlineStr">
        <is>
          <t>28-Jul-2026</t>
        </is>
      </c>
      <c r="G1274" t="inlineStr">
        <is>
          <t>Tuesday</t>
        </is>
      </c>
      <c r="H1274" t="inlineStr">
        <is>
          <t>Monthly - Tuesday</t>
        </is>
      </c>
      <c r="I1274" t="inlineStr">
        <is>
          <t>Monthly - Tuesday</t>
        </is>
      </c>
      <c r="J1274" t="inlineStr">
        <is>
          <t>Same Month Expiry</t>
        </is>
      </c>
      <c r="K1274" s="25" t="n">
        <v>2380345</v>
      </c>
      <c r="L1274" s="26" t="n">
        <v>4185.2061</v>
      </c>
      <c r="M1274" s="26" t="n">
        <v>33.8626</v>
      </c>
    </row>
    <row r="1275">
      <c r="A1275" t="inlineStr">
        <is>
          <t>13-Jul-2026</t>
        </is>
      </c>
      <c r="B1275" t="inlineStr">
        <is>
          <t>Monday</t>
        </is>
      </c>
      <c r="C1275" t="inlineStr">
        <is>
          <t>Week2-Jul-2026</t>
        </is>
      </c>
      <c r="D1275" s="78" t="n">
        <v>46204</v>
      </c>
      <c r="E1275" t="inlineStr">
        <is>
          <t>Q2FY27</t>
        </is>
      </c>
      <c r="F1275" t="inlineStr">
        <is>
          <t>25-Aug-2026</t>
        </is>
      </c>
      <c r="G1275" t="inlineStr">
        <is>
          <t>Tuesday</t>
        </is>
      </c>
      <c r="H1275" t="inlineStr">
        <is>
          <t>Monthly - Tuesday</t>
        </is>
      </c>
      <c r="I1275" t="inlineStr">
        <is>
          <t>Monthly - Tuesday</t>
        </is>
      </c>
      <c r="J1275" t="inlineStr">
        <is>
          <t>Month+1 Expiry</t>
        </is>
      </c>
      <c r="K1275" s="25" t="n">
        <v>50242</v>
      </c>
      <c r="L1275" s="26" t="n">
        <v>87.45659999999999</v>
      </c>
      <c r="M1275" s="26" t="n">
        <v>1.0187</v>
      </c>
    </row>
    <row r="1276">
      <c r="A1276" t="inlineStr">
        <is>
          <t>13-Jul-2026</t>
        </is>
      </c>
      <c r="B1276" t="inlineStr">
        <is>
          <t>Monday</t>
        </is>
      </c>
      <c r="C1276" t="inlineStr">
        <is>
          <t>Week2-Jul-2026</t>
        </is>
      </c>
      <c r="D1276" s="78" t="n">
        <v>46204</v>
      </c>
      <c r="E1276" t="inlineStr">
        <is>
          <t>Q2FY27</t>
        </is>
      </c>
      <c r="F1276" t="inlineStr">
        <is>
          <t>29-Sep-2026</t>
        </is>
      </c>
      <c r="G1276" t="inlineStr">
        <is>
          <t>Tuesday</t>
        </is>
      </c>
      <c r="H1276" t="inlineStr">
        <is>
          <t>Monthly - Tuesday</t>
        </is>
      </c>
      <c r="I1276" t="inlineStr">
        <is>
          <t>Monthly - Tuesday</t>
        </is>
      </c>
      <c r="J1276" t="inlineStr">
        <is>
          <t>Month+2 Expiry</t>
        </is>
      </c>
      <c r="K1276" s="25" t="n">
        <v>4849</v>
      </c>
      <c r="L1276" s="26" t="n">
        <v>8.487</v>
      </c>
      <c r="M1276" s="26" t="n">
        <v>0.1302</v>
      </c>
    </row>
    <row r="1277">
      <c r="A1277" t="inlineStr">
        <is>
          <t>13-Jul-2026</t>
        </is>
      </c>
      <c r="B1277" t="inlineStr">
        <is>
          <t>Monday</t>
        </is>
      </c>
      <c r="C1277" t="inlineStr">
        <is>
          <t>Week2-Jul-2026</t>
        </is>
      </c>
      <c r="D1277" s="78" t="n">
        <v>46204</v>
      </c>
      <c r="E1277" t="inlineStr">
        <is>
          <t>Q2FY27</t>
        </is>
      </c>
      <c r="F1277" t="inlineStr">
        <is>
          <t>29-Dec-2026</t>
        </is>
      </c>
      <c r="G1277" t="inlineStr">
        <is>
          <t>Tuesday</t>
        </is>
      </c>
      <c r="H1277" t="inlineStr">
        <is>
          <t>Monthly - Tuesday</t>
        </is>
      </c>
      <c r="I1277" t="inlineStr">
        <is>
          <t>Monthly - Tuesday</t>
        </is>
      </c>
      <c r="J1277" t="inlineStr">
        <is>
          <t>Month+5 Expiry</t>
        </is>
      </c>
      <c r="K1277" s="25" t="n">
        <v>347</v>
      </c>
      <c r="L1277" s="26" t="n">
        <v>0.6294</v>
      </c>
      <c r="M1277" s="26" t="n">
        <v>0.0176</v>
      </c>
    </row>
    <row r="1278">
      <c r="A1278" t="inlineStr">
        <is>
          <t>13-Jul-2026</t>
        </is>
      </c>
      <c r="B1278" t="inlineStr">
        <is>
          <t>Monday</t>
        </is>
      </c>
      <c r="C1278" t="inlineStr">
        <is>
          <t>Week2-Jul-2026</t>
        </is>
      </c>
      <c r="D1278" s="78" t="n">
        <v>46204</v>
      </c>
      <c r="E1278" t="inlineStr">
        <is>
          <t>Q2FY27</t>
        </is>
      </c>
      <c r="F1278" t="inlineStr">
        <is>
          <t>30-Mar-2027</t>
        </is>
      </c>
      <c r="G1278" t="inlineStr">
        <is>
          <t>Tuesday</t>
        </is>
      </c>
      <c r="H1278" t="inlineStr">
        <is>
          <t>Monthly - Tuesday</t>
        </is>
      </c>
      <c r="I1278" t="inlineStr">
        <is>
          <t>Monthly - Tuesday</t>
        </is>
      </c>
      <c r="J1278" t="inlineStr">
        <is>
          <t>Month+8 Expiry</t>
        </is>
      </c>
      <c r="K1278" s="25" t="n">
        <v>0</v>
      </c>
      <c r="L1278" s="26" t="n">
        <v>0</v>
      </c>
      <c r="M1278" s="26" t="n">
        <v>0</v>
      </c>
    </row>
    <row r="1279">
      <c r="A1279" t="inlineStr">
        <is>
          <t>13-Jul-2026</t>
        </is>
      </c>
      <c r="B1279" t="inlineStr">
        <is>
          <t>Monday</t>
        </is>
      </c>
      <c r="C1279" t="inlineStr">
        <is>
          <t>Week2-Jul-2026</t>
        </is>
      </c>
      <c r="D1279" s="78" t="n">
        <v>46204</v>
      </c>
      <c r="E1279" t="inlineStr">
        <is>
          <t>Q2FY27</t>
        </is>
      </c>
      <c r="F1279" t="inlineStr">
        <is>
          <t>29-Jun-2027</t>
        </is>
      </c>
      <c r="G1279" t="inlineStr">
        <is>
          <t>Tuesday</t>
        </is>
      </c>
      <c r="H1279" t="inlineStr">
        <is>
          <t>Monthly - Tuesday</t>
        </is>
      </c>
      <c r="I1279" t="inlineStr">
        <is>
          <t>Monthly - Tuesday</t>
        </is>
      </c>
      <c r="J1279" t="inlineStr">
        <is>
          <t>Month+11 Expiry</t>
        </is>
      </c>
      <c r="K1279" s="25" t="n">
        <v>0</v>
      </c>
      <c r="L1279" s="26" t="n">
        <v>0</v>
      </c>
      <c r="M1279" s="26" t="n">
        <v>0</v>
      </c>
    </row>
    <row r="1280">
      <c r="A1280" t="inlineStr">
        <is>
          <t>14-Jul-2026</t>
        </is>
      </c>
      <c r="B1280" t="inlineStr">
        <is>
          <t>Tuesday</t>
        </is>
      </c>
      <c r="C1280" t="inlineStr">
        <is>
          <t>Week2-Jul-2026</t>
        </is>
      </c>
      <c r="D1280" s="78" t="n">
        <v>46204</v>
      </c>
      <c r="E1280" t="inlineStr">
        <is>
          <t>Q2FY27</t>
        </is>
      </c>
      <c r="F1280" t="inlineStr">
        <is>
          <t>28-Jul-2026</t>
        </is>
      </c>
      <c r="G1280" t="inlineStr">
        <is>
          <t>Tuesday</t>
        </is>
      </c>
      <c r="H1280" t="inlineStr">
        <is>
          <t>Monthly - Tuesday</t>
        </is>
      </c>
      <c r="I1280" t="inlineStr">
        <is>
          <t>Monthly - Tuesday</t>
        </is>
      </c>
      <c r="J1280" t="inlineStr">
        <is>
          <t>Same Month Expiry</t>
        </is>
      </c>
      <c r="K1280" s="25" t="n">
        <v>2153750</v>
      </c>
      <c r="L1280" s="26" t="n">
        <v>3764.1958</v>
      </c>
      <c r="M1280" s="26" t="n">
        <v>30.7826</v>
      </c>
    </row>
    <row r="1281">
      <c r="A1281" t="inlineStr">
        <is>
          <t>14-Jul-2026</t>
        </is>
      </c>
      <c r="B1281" t="inlineStr">
        <is>
          <t>Tuesday</t>
        </is>
      </c>
      <c r="C1281" t="inlineStr">
        <is>
          <t>Week2-Jul-2026</t>
        </is>
      </c>
      <c r="D1281" s="78" t="n">
        <v>46204</v>
      </c>
      <c r="E1281" t="inlineStr">
        <is>
          <t>Q2FY27</t>
        </is>
      </c>
      <c r="F1281" t="inlineStr">
        <is>
          <t>25-Aug-2026</t>
        </is>
      </c>
      <c r="G1281" t="inlineStr">
        <is>
          <t>Tuesday</t>
        </is>
      </c>
      <c r="H1281" t="inlineStr">
        <is>
          <t>Monthly - Tuesday</t>
        </is>
      </c>
      <c r="I1281" t="inlineStr">
        <is>
          <t>Monthly - Tuesday</t>
        </is>
      </c>
      <c r="J1281" t="inlineStr">
        <is>
          <t>Month+1 Expiry</t>
        </is>
      </c>
      <c r="K1281" s="25" t="n">
        <v>57610</v>
      </c>
      <c r="L1281" s="26" t="n">
        <v>100.9769</v>
      </c>
      <c r="M1281" s="26" t="n">
        <v>1.2811</v>
      </c>
    </row>
    <row r="1282">
      <c r="A1282" t="inlineStr">
        <is>
          <t>14-Jul-2026</t>
        </is>
      </c>
      <c r="B1282" t="inlineStr">
        <is>
          <t>Tuesday</t>
        </is>
      </c>
      <c r="C1282" t="inlineStr">
        <is>
          <t>Week2-Jul-2026</t>
        </is>
      </c>
      <c r="D1282" s="78" t="n">
        <v>46204</v>
      </c>
      <c r="E1282" t="inlineStr">
        <is>
          <t>Q2FY27</t>
        </is>
      </c>
      <c r="F1282" t="inlineStr">
        <is>
          <t>29-Sep-2026</t>
        </is>
      </c>
      <c r="G1282" t="inlineStr">
        <is>
          <t>Tuesday</t>
        </is>
      </c>
      <c r="H1282" t="inlineStr">
        <is>
          <t>Monthly - Tuesday</t>
        </is>
      </c>
      <c r="I1282" t="inlineStr">
        <is>
          <t>Monthly - Tuesday</t>
        </is>
      </c>
      <c r="J1282" t="inlineStr">
        <is>
          <t>Month+2 Expiry</t>
        </is>
      </c>
      <c r="K1282" s="25" t="n">
        <v>6204</v>
      </c>
      <c r="L1282" s="26" t="n">
        <v>10.89</v>
      </c>
      <c r="M1282" s="26" t="n">
        <v>0.1531</v>
      </c>
    </row>
    <row r="1283">
      <c r="A1283" t="inlineStr">
        <is>
          <t>14-Jul-2026</t>
        </is>
      </c>
      <c r="B1283" t="inlineStr">
        <is>
          <t>Tuesday</t>
        </is>
      </c>
      <c r="C1283" t="inlineStr">
        <is>
          <t>Week2-Jul-2026</t>
        </is>
      </c>
      <c r="D1283" s="78" t="n">
        <v>46204</v>
      </c>
      <c r="E1283" t="inlineStr">
        <is>
          <t>Q2FY27</t>
        </is>
      </c>
      <c r="F1283" t="inlineStr">
        <is>
          <t>29-Dec-2026</t>
        </is>
      </c>
      <c r="G1283" t="inlineStr">
        <is>
          <t>Tuesday</t>
        </is>
      </c>
      <c r="H1283" t="inlineStr">
        <is>
          <t>Monthly - Tuesday</t>
        </is>
      </c>
      <c r="I1283" t="inlineStr">
        <is>
          <t>Monthly - Tuesday</t>
        </is>
      </c>
      <c r="J1283" t="inlineStr">
        <is>
          <t>Month+5 Expiry</t>
        </is>
      </c>
      <c r="K1283" s="25" t="n">
        <v>286</v>
      </c>
      <c r="L1283" s="26" t="n">
        <v>0.5077</v>
      </c>
      <c r="M1283" s="26" t="n">
        <v>0.0117</v>
      </c>
    </row>
    <row r="1284">
      <c r="A1284" t="inlineStr">
        <is>
          <t>14-Jul-2026</t>
        </is>
      </c>
      <c r="B1284" t="inlineStr">
        <is>
          <t>Tuesday</t>
        </is>
      </c>
      <c r="C1284" t="inlineStr">
        <is>
          <t>Week2-Jul-2026</t>
        </is>
      </c>
      <c r="D1284" s="78" t="n">
        <v>46204</v>
      </c>
      <c r="E1284" t="inlineStr">
        <is>
          <t>Q2FY27</t>
        </is>
      </c>
      <c r="F1284" t="inlineStr">
        <is>
          <t>30-Mar-2027</t>
        </is>
      </c>
      <c r="G1284" t="inlineStr">
        <is>
          <t>Tuesday</t>
        </is>
      </c>
      <c r="H1284" t="inlineStr">
        <is>
          <t>Monthly - Tuesday</t>
        </is>
      </c>
      <c r="I1284" t="inlineStr">
        <is>
          <t>Monthly - Tuesday</t>
        </is>
      </c>
      <c r="J1284" t="inlineStr">
        <is>
          <t>Month+8 Expiry</t>
        </is>
      </c>
      <c r="K1284" s="25" t="n">
        <v>0</v>
      </c>
      <c r="L1284" s="26" t="n">
        <v>0</v>
      </c>
      <c r="M1284" s="26" t="n">
        <v>0</v>
      </c>
    </row>
    <row r="1285">
      <c r="A1285" t="inlineStr">
        <is>
          <t>14-Jul-2026</t>
        </is>
      </c>
      <c r="B1285" t="inlineStr">
        <is>
          <t>Tuesday</t>
        </is>
      </c>
      <c r="C1285" t="inlineStr">
        <is>
          <t>Week2-Jul-2026</t>
        </is>
      </c>
      <c r="D1285" s="78" t="n">
        <v>46204</v>
      </c>
      <c r="E1285" t="inlineStr">
        <is>
          <t>Q2FY27</t>
        </is>
      </c>
      <c r="F1285" t="inlineStr">
        <is>
          <t>29-Jun-2027</t>
        </is>
      </c>
      <c r="G1285" t="inlineStr">
        <is>
          <t>Tuesday</t>
        </is>
      </c>
      <c r="H1285" t="inlineStr">
        <is>
          <t>Monthly - Tuesday</t>
        </is>
      </c>
      <c r="I1285" t="inlineStr">
        <is>
          <t>Monthly - Tuesday</t>
        </is>
      </c>
      <c r="J1285" t="inlineStr">
        <is>
          <t>Month+11 Expiry</t>
        </is>
      </c>
      <c r="K1285" s="25" t="n">
        <v>0</v>
      </c>
      <c r="L1285" s="26" t="n">
        <v>0</v>
      </c>
      <c r="M1285" s="26" t="n">
        <v>0</v>
      </c>
    </row>
    <row r="1286">
      <c r="A1286" t="inlineStr">
        <is>
          <t>15-Jul-2026</t>
        </is>
      </c>
      <c r="B1286" t="inlineStr">
        <is>
          <t>Wednesday</t>
        </is>
      </c>
      <c r="C1286" t="inlineStr">
        <is>
          <t>Week3-Jul-2026</t>
        </is>
      </c>
      <c r="D1286" s="78" t="n">
        <v>46204</v>
      </c>
      <c r="E1286" t="inlineStr">
        <is>
          <t>Q2FY27</t>
        </is>
      </c>
      <c r="F1286" t="inlineStr">
        <is>
          <t>28-Jul-2026</t>
        </is>
      </c>
      <c r="G1286" t="inlineStr">
        <is>
          <t>Tuesday</t>
        </is>
      </c>
      <c r="H1286" t="inlineStr">
        <is>
          <t>Monthly - Tuesday</t>
        </is>
      </c>
      <c r="I1286" t="inlineStr">
        <is>
          <t>Monthly - Tuesday</t>
        </is>
      </c>
      <c r="J1286" t="inlineStr">
        <is>
          <t>Same Month Expiry</t>
        </is>
      </c>
      <c r="K1286" s="25" t="n">
        <v>2730976</v>
      </c>
      <c r="L1286" s="26" t="n">
        <v>4775.9998</v>
      </c>
      <c r="M1286" s="26" t="n">
        <v>37.7578</v>
      </c>
    </row>
    <row r="1287">
      <c r="A1287" t="inlineStr">
        <is>
          <t>15-Jul-2026</t>
        </is>
      </c>
      <c r="B1287" t="inlineStr">
        <is>
          <t>Wednesday</t>
        </is>
      </c>
      <c r="C1287" t="inlineStr">
        <is>
          <t>Week3-Jul-2026</t>
        </is>
      </c>
      <c r="D1287" s="78" t="n">
        <v>46204</v>
      </c>
      <c r="E1287" t="inlineStr">
        <is>
          <t>Q2FY27</t>
        </is>
      </c>
      <c r="F1287" t="inlineStr">
        <is>
          <t>25-Aug-2026</t>
        </is>
      </c>
      <c r="G1287" t="inlineStr">
        <is>
          <t>Tuesday</t>
        </is>
      </c>
      <c r="H1287" t="inlineStr">
        <is>
          <t>Monthly - Tuesday</t>
        </is>
      </c>
      <c r="I1287" t="inlineStr">
        <is>
          <t>Monthly - Tuesday</t>
        </is>
      </c>
      <c r="J1287" t="inlineStr">
        <is>
          <t>Month+1 Expiry</t>
        </is>
      </c>
      <c r="K1287" s="25" t="n">
        <v>67095</v>
      </c>
      <c r="L1287" s="26" t="n">
        <v>117.91</v>
      </c>
      <c r="M1287" s="26" t="n">
        <v>1.3605</v>
      </c>
    </row>
    <row r="1288">
      <c r="A1288" t="inlineStr">
        <is>
          <t>15-Jul-2026</t>
        </is>
      </c>
      <c r="B1288" t="inlineStr">
        <is>
          <t>Wednesday</t>
        </is>
      </c>
      <c r="C1288" t="inlineStr">
        <is>
          <t>Week3-Jul-2026</t>
        </is>
      </c>
      <c r="D1288" s="78" t="n">
        <v>46204</v>
      </c>
      <c r="E1288" t="inlineStr">
        <is>
          <t>Q2FY27</t>
        </is>
      </c>
      <c r="F1288" t="inlineStr">
        <is>
          <t>29-Sep-2026</t>
        </is>
      </c>
      <c r="G1288" t="inlineStr">
        <is>
          <t>Tuesday</t>
        </is>
      </c>
      <c r="H1288" t="inlineStr">
        <is>
          <t>Monthly - Tuesday</t>
        </is>
      </c>
      <c r="I1288" t="inlineStr">
        <is>
          <t>Monthly - Tuesday</t>
        </is>
      </c>
      <c r="J1288" t="inlineStr">
        <is>
          <t>Month+2 Expiry</t>
        </is>
      </c>
      <c r="K1288" s="25" t="n">
        <v>7256</v>
      </c>
      <c r="L1288" s="26" t="n">
        <v>12.6785</v>
      </c>
      <c r="M1288" s="26" t="n">
        <v>0.1862</v>
      </c>
    </row>
    <row r="1289">
      <c r="A1289" t="inlineStr">
        <is>
          <t>15-Jul-2026</t>
        </is>
      </c>
      <c r="B1289" t="inlineStr">
        <is>
          <t>Wednesday</t>
        </is>
      </c>
      <c r="C1289" t="inlineStr">
        <is>
          <t>Week3-Jul-2026</t>
        </is>
      </c>
      <c r="D1289" s="78" t="n">
        <v>46204</v>
      </c>
      <c r="E1289" t="inlineStr">
        <is>
          <t>Q2FY27</t>
        </is>
      </c>
      <c r="F1289" t="inlineStr">
        <is>
          <t>29-Dec-2026</t>
        </is>
      </c>
      <c r="G1289" t="inlineStr">
        <is>
          <t>Tuesday</t>
        </is>
      </c>
      <c r="H1289" t="inlineStr">
        <is>
          <t>Monthly - Tuesday</t>
        </is>
      </c>
      <c r="I1289" t="inlineStr">
        <is>
          <t>Monthly - Tuesday</t>
        </is>
      </c>
      <c r="J1289" t="inlineStr">
        <is>
          <t>Month+5 Expiry</t>
        </is>
      </c>
      <c r="K1289" s="25" t="n">
        <v>285</v>
      </c>
      <c r="L1289" s="26" t="n">
        <v>0.4926</v>
      </c>
      <c r="M1289" s="26" t="n">
        <v>0.0101</v>
      </c>
    </row>
    <row r="1290">
      <c r="A1290" t="inlineStr">
        <is>
          <t>15-Jul-2026</t>
        </is>
      </c>
      <c r="B1290" t="inlineStr">
        <is>
          <t>Wednesday</t>
        </is>
      </c>
      <c r="C1290" t="inlineStr">
        <is>
          <t>Week3-Jul-2026</t>
        </is>
      </c>
      <c r="D1290" s="78" t="n">
        <v>46204</v>
      </c>
      <c r="E1290" t="inlineStr">
        <is>
          <t>Q2FY27</t>
        </is>
      </c>
      <c r="F1290" t="inlineStr">
        <is>
          <t>30-Mar-2027</t>
        </is>
      </c>
      <c r="G1290" t="inlineStr">
        <is>
          <t>Tuesday</t>
        </is>
      </c>
      <c r="H1290" t="inlineStr">
        <is>
          <t>Monthly - Tuesday</t>
        </is>
      </c>
      <c r="I1290" t="inlineStr">
        <is>
          <t>Monthly - Tuesday</t>
        </is>
      </c>
      <c r="J1290" t="inlineStr">
        <is>
          <t>Month+8 Expiry</t>
        </is>
      </c>
      <c r="K1290" s="25" t="n">
        <v>0</v>
      </c>
      <c r="L1290" s="26" t="n">
        <v>0</v>
      </c>
      <c r="M1290" s="26" t="n">
        <v>0</v>
      </c>
    </row>
    <row r="1291">
      <c r="A1291" t="inlineStr">
        <is>
          <t>15-Jul-2026</t>
        </is>
      </c>
      <c r="B1291" t="inlineStr">
        <is>
          <t>Wednesday</t>
        </is>
      </c>
      <c r="C1291" t="inlineStr">
        <is>
          <t>Week3-Jul-2026</t>
        </is>
      </c>
      <c r="D1291" s="78" t="n">
        <v>46204</v>
      </c>
      <c r="E1291" t="inlineStr">
        <is>
          <t>Q2FY27</t>
        </is>
      </c>
      <c r="F1291" t="inlineStr">
        <is>
          <t>29-Jun-2027</t>
        </is>
      </c>
      <c r="G1291" t="inlineStr">
        <is>
          <t>Tuesday</t>
        </is>
      </c>
      <c r="H1291" t="inlineStr">
        <is>
          <t>Monthly - Tuesday</t>
        </is>
      </c>
      <c r="I1291" t="inlineStr">
        <is>
          <t>Monthly - Tuesday</t>
        </is>
      </c>
      <c r="J1291" t="inlineStr">
        <is>
          <t>Month+11 Expiry</t>
        </is>
      </c>
      <c r="K1291" s="25" t="n">
        <v>0</v>
      </c>
      <c r="L1291" s="26" t="n">
        <v>0</v>
      </c>
      <c r="M1291" s="26" t="n">
        <v>0</v>
      </c>
    </row>
    <row r="1292">
      <c r="A1292" t="inlineStr">
        <is>
          <t>16-Jul-2026</t>
        </is>
      </c>
      <c r="B1292" t="inlineStr">
        <is>
          <t>Thursday</t>
        </is>
      </c>
      <c r="C1292" t="inlineStr">
        <is>
          <t>Week3-Jul-2026</t>
        </is>
      </c>
      <c r="D1292" s="78" t="n">
        <v>46204</v>
      </c>
      <c r="E1292" t="inlineStr">
        <is>
          <t>Q2FY27</t>
        </is>
      </c>
      <c r="F1292" t="inlineStr">
        <is>
          <t>28-Jul-2026</t>
        </is>
      </c>
      <c r="G1292" t="inlineStr">
        <is>
          <t>Tuesday</t>
        </is>
      </c>
      <c r="H1292" t="inlineStr">
        <is>
          <t>Monthly - Tuesday</t>
        </is>
      </c>
      <c r="I1292" t="inlineStr">
        <is>
          <t>Monthly - Tuesday</t>
        </is>
      </c>
      <c r="J1292" t="inlineStr">
        <is>
          <t>Same Month Expiry</t>
        </is>
      </c>
      <c r="K1292" s="25" t="n">
        <v>2047625</v>
      </c>
      <c r="L1292" s="26" t="n">
        <v>3580.5422</v>
      </c>
      <c r="M1292" s="26" t="n">
        <v>26.3817</v>
      </c>
    </row>
    <row r="1293">
      <c r="A1293" t="inlineStr">
        <is>
          <t>16-Jul-2026</t>
        </is>
      </c>
      <c r="B1293" t="inlineStr">
        <is>
          <t>Thursday</t>
        </is>
      </c>
      <c r="C1293" t="inlineStr">
        <is>
          <t>Week3-Jul-2026</t>
        </is>
      </c>
      <c r="D1293" s="78" t="n">
        <v>46204</v>
      </c>
      <c r="E1293" t="inlineStr">
        <is>
          <t>Q2FY27</t>
        </is>
      </c>
      <c r="F1293" t="inlineStr">
        <is>
          <t>25-Aug-2026</t>
        </is>
      </c>
      <c r="G1293" t="inlineStr">
        <is>
          <t>Tuesday</t>
        </is>
      </c>
      <c r="H1293" t="inlineStr">
        <is>
          <t>Monthly - Tuesday</t>
        </is>
      </c>
      <c r="I1293" t="inlineStr">
        <is>
          <t>Monthly - Tuesday</t>
        </is>
      </c>
      <c r="J1293" t="inlineStr">
        <is>
          <t>Month+1 Expiry</t>
        </is>
      </c>
      <c r="K1293" s="25" t="n">
        <v>41598</v>
      </c>
      <c r="L1293" s="26" t="n">
        <v>72.9849</v>
      </c>
      <c r="M1293" s="26" t="n">
        <v>0.9424</v>
      </c>
    </row>
    <row r="1294">
      <c r="A1294" t="inlineStr">
        <is>
          <t>16-Jul-2026</t>
        </is>
      </c>
      <c r="B1294" t="inlineStr">
        <is>
          <t>Thursday</t>
        </is>
      </c>
      <c r="C1294" t="inlineStr">
        <is>
          <t>Week3-Jul-2026</t>
        </is>
      </c>
      <c r="D1294" s="78" t="n">
        <v>46204</v>
      </c>
      <c r="E1294" t="inlineStr">
        <is>
          <t>Q2FY27</t>
        </is>
      </c>
      <c r="F1294" t="inlineStr">
        <is>
          <t>29-Sep-2026</t>
        </is>
      </c>
      <c r="G1294" t="inlineStr">
        <is>
          <t>Tuesday</t>
        </is>
      </c>
      <c r="H1294" t="inlineStr">
        <is>
          <t>Monthly - Tuesday</t>
        </is>
      </c>
      <c r="I1294" t="inlineStr">
        <is>
          <t>Monthly - Tuesday</t>
        </is>
      </c>
      <c r="J1294" t="inlineStr">
        <is>
          <t>Month+2 Expiry</t>
        </is>
      </c>
      <c r="K1294" s="25" t="n">
        <v>6745</v>
      </c>
      <c r="L1294" s="26" t="n">
        <v>11.8747</v>
      </c>
      <c r="M1294" s="26" t="n">
        <v>0.1839</v>
      </c>
    </row>
    <row r="1295">
      <c r="A1295" t="inlineStr">
        <is>
          <t>16-Jul-2026</t>
        </is>
      </c>
      <c r="B1295" t="inlineStr">
        <is>
          <t>Thursday</t>
        </is>
      </c>
      <c r="C1295" t="inlineStr">
        <is>
          <t>Week3-Jul-2026</t>
        </is>
      </c>
      <c r="D1295" s="78" t="n">
        <v>46204</v>
      </c>
      <c r="E1295" t="inlineStr">
        <is>
          <t>Q2FY27</t>
        </is>
      </c>
      <c r="F1295" t="inlineStr">
        <is>
          <t>29-Dec-2026</t>
        </is>
      </c>
      <c r="G1295" t="inlineStr">
        <is>
          <t>Tuesday</t>
        </is>
      </c>
      <c r="H1295" t="inlineStr">
        <is>
          <t>Monthly - Tuesday</t>
        </is>
      </c>
      <c r="I1295" t="inlineStr">
        <is>
          <t>Monthly - Tuesday</t>
        </is>
      </c>
      <c r="J1295" t="inlineStr">
        <is>
          <t>Month+5 Expiry</t>
        </is>
      </c>
      <c r="K1295" s="25" t="n">
        <v>212</v>
      </c>
      <c r="L1295" s="26" t="n">
        <v>0.3723</v>
      </c>
      <c r="M1295" s="26" t="n">
        <v>0.0083</v>
      </c>
    </row>
    <row r="1296">
      <c r="A1296" t="inlineStr">
        <is>
          <t>16-Jul-2026</t>
        </is>
      </c>
      <c r="B1296" t="inlineStr">
        <is>
          <t>Thursday</t>
        </is>
      </c>
      <c r="C1296" t="inlineStr">
        <is>
          <t>Week3-Jul-2026</t>
        </is>
      </c>
      <c r="D1296" s="78" t="n">
        <v>46204</v>
      </c>
      <c r="E1296" t="inlineStr">
        <is>
          <t>Q2FY27</t>
        </is>
      </c>
      <c r="F1296" t="inlineStr">
        <is>
          <t>30-Mar-2027</t>
        </is>
      </c>
      <c r="G1296" t="inlineStr">
        <is>
          <t>Tuesday</t>
        </is>
      </c>
      <c r="H1296" t="inlineStr">
        <is>
          <t>Monthly - Tuesday</t>
        </is>
      </c>
      <c r="I1296" t="inlineStr">
        <is>
          <t>Monthly - Tuesday</t>
        </is>
      </c>
      <c r="J1296" t="inlineStr">
        <is>
          <t>Month+8 Expiry</t>
        </is>
      </c>
      <c r="K1296" s="25" t="n">
        <v>2</v>
      </c>
      <c r="L1296" s="26" t="n">
        <v>0.0039</v>
      </c>
      <c r="M1296" s="26" t="n">
        <v>0.0001</v>
      </c>
    </row>
    <row r="1297">
      <c r="A1297" t="inlineStr">
        <is>
          <t>16-Jul-2026</t>
        </is>
      </c>
      <c r="B1297" t="inlineStr">
        <is>
          <t>Thursday</t>
        </is>
      </c>
      <c r="C1297" t="inlineStr">
        <is>
          <t>Week3-Jul-2026</t>
        </is>
      </c>
      <c r="D1297" s="78" t="n">
        <v>46204</v>
      </c>
      <c r="E1297" t="inlineStr">
        <is>
          <t>Q2FY27</t>
        </is>
      </c>
      <c r="F1297" t="inlineStr">
        <is>
          <t>29-Jun-2027</t>
        </is>
      </c>
      <c r="G1297" t="inlineStr">
        <is>
          <t>Tuesday</t>
        </is>
      </c>
      <c r="H1297" t="inlineStr">
        <is>
          <t>Monthly - Tuesday</t>
        </is>
      </c>
      <c r="I1297" t="inlineStr">
        <is>
          <t>Monthly - Tuesday</t>
        </is>
      </c>
      <c r="J1297" t="inlineStr">
        <is>
          <t>Month+11 Expiry</t>
        </is>
      </c>
      <c r="K1297" s="25" t="n">
        <v>0</v>
      </c>
      <c r="L1297" s="26" t="n">
        <v>0</v>
      </c>
      <c r="M1297" s="26" t="n">
        <v>0</v>
      </c>
    </row>
    <row r="1298">
      <c r="A1298" t="inlineStr">
        <is>
          <t>17-Jul-2026</t>
        </is>
      </c>
      <c r="B1298" t="inlineStr">
        <is>
          <t>Friday</t>
        </is>
      </c>
      <c r="C1298" t="inlineStr">
        <is>
          <t>Week3-Jul-2026</t>
        </is>
      </c>
      <c r="D1298" s="78" t="n">
        <v>46204</v>
      </c>
      <c r="E1298" t="inlineStr">
        <is>
          <t>Q2FY27</t>
        </is>
      </c>
      <c r="F1298" t="inlineStr">
        <is>
          <t>28-Jul-2026</t>
        </is>
      </c>
      <c r="G1298" t="inlineStr">
        <is>
          <t>Tuesday</t>
        </is>
      </c>
      <c r="H1298" t="inlineStr">
        <is>
          <t>Monthly - Tuesday</t>
        </is>
      </c>
      <c r="I1298" t="inlineStr">
        <is>
          <t>Monthly - Tuesday</t>
        </is>
      </c>
      <c r="J1298" t="inlineStr">
        <is>
          <t>Same Month Expiry</t>
        </is>
      </c>
      <c r="K1298" s="25" t="n">
        <v>3541356</v>
      </c>
      <c r="L1298" s="26" t="n">
        <v>6210.8686</v>
      </c>
      <c r="M1298" s="26" t="n">
        <v>42.6363</v>
      </c>
    </row>
    <row r="1299">
      <c r="A1299" t="inlineStr">
        <is>
          <t>17-Jul-2026</t>
        </is>
      </c>
      <c r="B1299" t="inlineStr">
        <is>
          <t>Friday</t>
        </is>
      </c>
      <c r="C1299" t="inlineStr">
        <is>
          <t>Week3-Jul-2026</t>
        </is>
      </c>
      <c r="D1299" s="78" t="n">
        <v>46204</v>
      </c>
      <c r="E1299" t="inlineStr">
        <is>
          <t>Q2FY27</t>
        </is>
      </c>
      <c r="F1299" t="inlineStr">
        <is>
          <t>25-Aug-2026</t>
        </is>
      </c>
      <c r="G1299" t="inlineStr">
        <is>
          <t>Tuesday</t>
        </is>
      </c>
      <c r="H1299" t="inlineStr">
        <is>
          <t>Monthly - Tuesday</t>
        </is>
      </c>
      <c r="I1299" t="inlineStr">
        <is>
          <t>Monthly - Tuesday</t>
        </is>
      </c>
      <c r="J1299" t="inlineStr">
        <is>
          <t>Month+1 Expiry</t>
        </is>
      </c>
      <c r="K1299" s="25" t="n">
        <v>97657</v>
      </c>
      <c r="L1299" s="26" t="n">
        <v>171.7121</v>
      </c>
      <c r="M1299" s="26" t="n">
        <v>2.0862</v>
      </c>
    </row>
    <row r="1300">
      <c r="A1300" t="inlineStr">
        <is>
          <t>17-Jul-2026</t>
        </is>
      </c>
      <c r="B1300" t="inlineStr">
        <is>
          <t>Friday</t>
        </is>
      </c>
      <c r="C1300" t="inlineStr">
        <is>
          <t>Week3-Jul-2026</t>
        </is>
      </c>
      <c r="D1300" s="78" t="n">
        <v>46204</v>
      </c>
      <c r="E1300" t="inlineStr">
        <is>
          <t>Q2FY27</t>
        </is>
      </c>
      <c r="F1300" t="inlineStr">
        <is>
          <t>29-Sep-2026</t>
        </is>
      </c>
      <c r="G1300" t="inlineStr">
        <is>
          <t>Tuesday</t>
        </is>
      </c>
      <c r="H1300" t="inlineStr">
        <is>
          <t>Monthly - Tuesday</t>
        </is>
      </c>
      <c r="I1300" t="inlineStr">
        <is>
          <t>Monthly - Tuesday</t>
        </is>
      </c>
      <c r="J1300" t="inlineStr">
        <is>
          <t>Month+2 Expiry</t>
        </is>
      </c>
      <c r="K1300" s="25" t="n">
        <v>9989</v>
      </c>
      <c r="L1300" s="26" t="n">
        <v>17.5083</v>
      </c>
      <c r="M1300" s="26" t="n">
        <v>0.2271</v>
      </c>
    </row>
    <row r="1301">
      <c r="A1301" t="inlineStr">
        <is>
          <t>17-Jul-2026</t>
        </is>
      </c>
      <c r="B1301" t="inlineStr">
        <is>
          <t>Friday</t>
        </is>
      </c>
      <c r="C1301" t="inlineStr">
        <is>
          <t>Week3-Jul-2026</t>
        </is>
      </c>
      <c r="D1301" s="78" t="n">
        <v>46204</v>
      </c>
      <c r="E1301" t="inlineStr">
        <is>
          <t>Q2FY27</t>
        </is>
      </c>
      <c r="F1301" t="inlineStr">
        <is>
          <t>29-Dec-2026</t>
        </is>
      </c>
      <c r="G1301" t="inlineStr">
        <is>
          <t>Tuesday</t>
        </is>
      </c>
      <c r="H1301" t="inlineStr">
        <is>
          <t>Monthly - Tuesday</t>
        </is>
      </c>
      <c r="I1301" t="inlineStr">
        <is>
          <t>Monthly - Tuesday</t>
        </is>
      </c>
      <c r="J1301" t="inlineStr">
        <is>
          <t>Month+5 Expiry</t>
        </is>
      </c>
      <c r="K1301" s="25" t="n">
        <v>651</v>
      </c>
      <c r="L1301" s="26" t="n">
        <v>1.1139</v>
      </c>
      <c r="M1301" s="26" t="n">
        <v>0.0199</v>
      </c>
    </row>
    <row r="1302">
      <c r="A1302" t="inlineStr">
        <is>
          <t>17-Jul-2026</t>
        </is>
      </c>
      <c r="B1302" t="inlineStr">
        <is>
          <t>Friday</t>
        </is>
      </c>
      <c r="C1302" t="inlineStr">
        <is>
          <t>Week3-Jul-2026</t>
        </is>
      </c>
      <c r="D1302" s="78" t="n">
        <v>46204</v>
      </c>
      <c r="E1302" t="inlineStr">
        <is>
          <t>Q2FY27</t>
        </is>
      </c>
      <c r="F1302" t="inlineStr">
        <is>
          <t>30-Mar-2027</t>
        </is>
      </c>
      <c r="G1302" t="inlineStr">
        <is>
          <t>Tuesday</t>
        </is>
      </c>
      <c r="H1302" t="inlineStr">
        <is>
          <t>Monthly - Tuesday</t>
        </is>
      </c>
      <c r="I1302" t="inlineStr">
        <is>
          <t>Monthly - Tuesday</t>
        </is>
      </c>
      <c r="J1302" t="inlineStr">
        <is>
          <t>Month+8 Expiry</t>
        </is>
      </c>
      <c r="K1302" s="25" t="n">
        <v>2</v>
      </c>
      <c r="L1302" s="26" t="n">
        <v>0.0039</v>
      </c>
      <c r="M1302" s="26" t="n">
        <v>0.0001</v>
      </c>
    </row>
    <row r="1303">
      <c r="A1303" t="inlineStr">
        <is>
          <t>17-Jul-2026</t>
        </is>
      </c>
      <c r="B1303" t="inlineStr">
        <is>
          <t>Friday</t>
        </is>
      </c>
      <c r="C1303" t="inlineStr">
        <is>
          <t>Week3-Jul-2026</t>
        </is>
      </c>
      <c r="D1303" s="78" t="n">
        <v>46204</v>
      </c>
      <c r="E1303" t="inlineStr">
        <is>
          <t>Q2FY27</t>
        </is>
      </c>
      <c r="F1303" t="inlineStr">
        <is>
          <t>29-Jun-2027</t>
        </is>
      </c>
      <c r="G1303" t="inlineStr">
        <is>
          <t>Tuesday</t>
        </is>
      </c>
      <c r="H1303" t="inlineStr">
        <is>
          <t>Monthly - Tuesday</t>
        </is>
      </c>
      <c r="I1303" t="inlineStr">
        <is>
          <t>Monthly - Tuesday</t>
        </is>
      </c>
      <c r="J1303" t="inlineStr">
        <is>
          <t>Month+11 Expiry</t>
        </is>
      </c>
      <c r="K1303" s="25" t="n">
        <v>0</v>
      </c>
      <c r="L1303" s="26" t="n">
        <v>0</v>
      </c>
      <c r="M1303" s="26" t="n">
        <v>0</v>
      </c>
    </row>
    <row r="1304">
      <c r="A1304" t="inlineStr">
        <is>
          <t>20-Jul-2026</t>
        </is>
      </c>
      <c r="B1304" t="inlineStr">
        <is>
          <t>Monday</t>
        </is>
      </c>
      <c r="C1304" t="inlineStr">
        <is>
          <t>Week3-Jul-2026</t>
        </is>
      </c>
      <c r="D1304" s="78" t="n">
        <v>46204</v>
      </c>
      <c r="E1304" t="inlineStr">
        <is>
          <t>Q2FY27</t>
        </is>
      </c>
      <c r="F1304" t="inlineStr">
        <is>
          <t>28-Jul-2026</t>
        </is>
      </c>
      <c r="G1304" t="inlineStr">
        <is>
          <t>Tuesday</t>
        </is>
      </c>
      <c r="H1304" t="inlineStr">
        <is>
          <t>Monthly - Tuesday</t>
        </is>
      </c>
      <c r="I1304" t="inlineStr">
        <is>
          <t>Monthly - Tuesday</t>
        </is>
      </c>
      <c r="J1304" t="inlineStr">
        <is>
          <t>Same Month Expiry</t>
        </is>
      </c>
      <c r="K1304" s="25" t="n">
        <v>3962266</v>
      </c>
      <c r="L1304" s="26" t="n">
        <v>6924.0781</v>
      </c>
      <c r="M1304" s="26" t="n">
        <v>39.6558</v>
      </c>
    </row>
    <row r="1305">
      <c r="A1305" t="inlineStr">
        <is>
          <t>20-Jul-2026</t>
        </is>
      </c>
      <c r="B1305" t="inlineStr">
        <is>
          <t>Monday</t>
        </is>
      </c>
      <c r="C1305" t="inlineStr">
        <is>
          <t>Week3-Jul-2026</t>
        </is>
      </c>
      <c r="D1305" s="78" t="n">
        <v>46204</v>
      </c>
      <c r="E1305" t="inlineStr">
        <is>
          <t>Q2FY27</t>
        </is>
      </c>
      <c r="F1305" t="inlineStr">
        <is>
          <t>25-Aug-2026</t>
        </is>
      </c>
      <c r="G1305" t="inlineStr">
        <is>
          <t>Tuesday</t>
        </is>
      </c>
      <c r="H1305" t="inlineStr">
        <is>
          <t>Monthly - Tuesday</t>
        </is>
      </c>
      <c r="I1305" t="inlineStr">
        <is>
          <t>Monthly - Tuesday</t>
        </is>
      </c>
      <c r="J1305" t="inlineStr">
        <is>
          <t>Month+1 Expiry</t>
        </is>
      </c>
      <c r="K1305" s="25" t="n">
        <v>166759</v>
      </c>
      <c r="L1305" s="26" t="n">
        <v>293.3312</v>
      </c>
      <c r="M1305" s="26" t="n">
        <v>3.3772</v>
      </c>
    </row>
    <row r="1306">
      <c r="A1306" t="inlineStr">
        <is>
          <t>20-Jul-2026</t>
        </is>
      </c>
      <c r="B1306" t="inlineStr">
        <is>
          <t>Monday</t>
        </is>
      </c>
      <c r="C1306" t="inlineStr">
        <is>
          <t>Week3-Jul-2026</t>
        </is>
      </c>
      <c r="D1306" s="78" t="n">
        <v>46204</v>
      </c>
      <c r="E1306" t="inlineStr">
        <is>
          <t>Q2FY27</t>
        </is>
      </c>
      <c r="F1306" t="inlineStr">
        <is>
          <t>29-Sep-2026</t>
        </is>
      </c>
      <c r="G1306" t="inlineStr">
        <is>
          <t>Tuesday</t>
        </is>
      </c>
      <c r="H1306" t="inlineStr">
        <is>
          <t>Monthly - Tuesday</t>
        </is>
      </c>
      <c r="I1306" t="inlineStr">
        <is>
          <t>Monthly - Tuesday</t>
        </is>
      </c>
      <c r="J1306" t="inlineStr">
        <is>
          <t>Month+2 Expiry</t>
        </is>
      </c>
      <c r="K1306" s="25" t="n">
        <v>12772</v>
      </c>
      <c r="L1306" s="26" t="n">
        <v>22.3625</v>
      </c>
      <c r="M1306" s="26" t="n">
        <v>0.328</v>
      </c>
    </row>
    <row r="1307">
      <c r="A1307" t="inlineStr">
        <is>
          <t>20-Jul-2026</t>
        </is>
      </c>
      <c r="B1307" t="inlineStr">
        <is>
          <t>Monday</t>
        </is>
      </c>
      <c r="C1307" t="inlineStr">
        <is>
          <t>Week3-Jul-2026</t>
        </is>
      </c>
      <c r="D1307" s="78" t="n">
        <v>46204</v>
      </c>
      <c r="E1307" t="inlineStr">
        <is>
          <t>Q2FY27</t>
        </is>
      </c>
      <c r="F1307" t="inlineStr">
        <is>
          <t>29-Dec-2026</t>
        </is>
      </c>
      <c r="G1307" t="inlineStr">
        <is>
          <t>Tuesday</t>
        </is>
      </c>
      <c r="H1307" t="inlineStr">
        <is>
          <t>Monthly - Tuesday</t>
        </is>
      </c>
      <c r="I1307" t="inlineStr">
        <is>
          <t>Monthly - Tuesday</t>
        </is>
      </c>
      <c r="J1307" t="inlineStr">
        <is>
          <t>Month+5 Expiry</t>
        </is>
      </c>
      <c r="K1307" s="25" t="n">
        <v>411</v>
      </c>
      <c r="L1307" s="26" t="n">
        <v>0.7393</v>
      </c>
      <c r="M1307" s="26" t="n">
        <v>0.0171</v>
      </c>
    </row>
    <row r="1308">
      <c r="A1308" t="inlineStr">
        <is>
          <t>20-Jul-2026</t>
        </is>
      </c>
      <c r="B1308" t="inlineStr">
        <is>
          <t>Monday</t>
        </is>
      </c>
      <c r="C1308" t="inlineStr">
        <is>
          <t>Week3-Jul-2026</t>
        </is>
      </c>
      <c r="D1308" s="78" t="n">
        <v>46204</v>
      </c>
      <c r="E1308" t="inlineStr">
        <is>
          <t>Q2FY27</t>
        </is>
      </c>
      <c r="F1308" t="inlineStr">
        <is>
          <t>30-Mar-2027</t>
        </is>
      </c>
      <c r="G1308" t="inlineStr">
        <is>
          <t>Tuesday</t>
        </is>
      </c>
      <c r="H1308" t="inlineStr">
        <is>
          <t>Monthly - Tuesday</t>
        </is>
      </c>
      <c r="I1308" t="inlineStr">
        <is>
          <t>Monthly - Tuesday</t>
        </is>
      </c>
      <c r="J1308" t="inlineStr">
        <is>
          <t>Month+8 Expiry</t>
        </is>
      </c>
      <c r="K1308" s="25" t="n">
        <v>1</v>
      </c>
      <c r="L1308" s="26" t="n">
        <v>0.0019</v>
      </c>
      <c r="M1308" s="26" t="n">
        <v>0</v>
      </c>
    </row>
    <row r="1309">
      <c r="A1309" t="inlineStr">
        <is>
          <t>20-Jul-2026</t>
        </is>
      </c>
      <c r="B1309" t="inlineStr">
        <is>
          <t>Monday</t>
        </is>
      </c>
      <c r="C1309" t="inlineStr">
        <is>
          <t>Week3-Jul-2026</t>
        </is>
      </c>
      <c r="D1309" s="78" t="n">
        <v>46204</v>
      </c>
      <c r="E1309" t="inlineStr">
        <is>
          <t>Q2FY27</t>
        </is>
      </c>
      <c r="F1309" t="inlineStr">
        <is>
          <t>29-Jun-2027</t>
        </is>
      </c>
      <c r="G1309" t="inlineStr">
        <is>
          <t>Tuesday</t>
        </is>
      </c>
      <c r="H1309" t="inlineStr">
        <is>
          <t>Monthly - Tuesday</t>
        </is>
      </c>
      <c r="I1309" t="inlineStr">
        <is>
          <t>Monthly - Tuesday</t>
        </is>
      </c>
      <c r="J1309" t="inlineStr">
        <is>
          <t>Month+11 Expiry</t>
        </is>
      </c>
      <c r="K1309" s="25" t="n">
        <v>0</v>
      </c>
      <c r="L1309" s="26" t="n">
        <v>0</v>
      </c>
      <c r="M1309" s="26" t="n">
        <v>0</v>
      </c>
    </row>
    <row r="1310">
      <c r="A1310" t="inlineStr">
        <is>
          <t>21-Jul-2026</t>
        </is>
      </c>
      <c r="B1310" t="inlineStr">
        <is>
          <t>Tuesday</t>
        </is>
      </c>
      <c r="C1310" t="inlineStr">
        <is>
          <t>Week3-Jul-2026</t>
        </is>
      </c>
      <c r="D1310" s="78" t="n">
        <v>46204</v>
      </c>
      <c r="E1310" t="inlineStr">
        <is>
          <t>Q2FY27</t>
        </is>
      </c>
      <c r="F1310" t="inlineStr">
        <is>
          <t>28-Jul-2026</t>
        </is>
      </c>
      <c r="G1310" t="inlineStr">
        <is>
          <t>Tuesday</t>
        </is>
      </c>
      <c r="H1310" t="inlineStr">
        <is>
          <t>Monthly - Tuesday</t>
        </is>
      </c>
      <c r="I1310" t="inlineStr">
        <is>
          <t>Monthly - Tuesday</t>
        </is>
      </c>
      <c r="J1310" t="inlineStr">
        <is>
          <t>Same Month Expiry</t>
        </is>
      </c>
      <c r="K1310" s="25" t="n">
        <v>2965393</v>
      </c>
      <c r="L1310" s="26" t="n">
        <v>5177.4295</v>
      </c>
      <c r="M1310" s="26" t="n">
        <v>26.1967</v>
      </c>
    </row>
    <row r="1311">
      <c r="A1311" t="inlineStr">
        <is>
          <t>21-Jul-2026</t>
        </is>
      </c>
      <c r="B1311" t="inlineStr">
        <is>
          <t>Tuesday</t>
        </is>
      </c>
      <c r="C1311" t="inlineStr">
        <is>
          <t>Week3-Jul-2026</t>
        </is>
      </c>
      <c r="D1311" s="78" t="n">
        <v>46204</v>
      </c>
      <c r="E1311" t="inlineStr">
        <is>
          <t>Q2FY27</t>
        </is>
      </c>
      <c r="F1311" t="inlineStr">
        <is>
          <t>25-Aug-2026</t>
        </is>
      </c>
      <c r="G1311" t="inlineStr">
        <is>
          <t>Tuesday</t>
        </is>
      </c>
      <c r="H1311" t="inlineStr">
        <is>
          <t>Monthly - Tuesday</t>
        </is>
      </c>
      <c r="I1311" t="inlineStr">
        <is>
          <t>Monthly - Tuesday</t>
        </is>
      </c>
      <c r="J1311" t="inlineStr">
        <is>
          <t>Month+1 Expiry</t>
        </is>
      </c>
      <c r="K1311" s="25" t="n">
        <v>107181</v>
      </c>
      <c r="L1311" s="26" t="n">
        <v>189.3837</v>
      </c>
      <c r="M1311" s="26" t="n">
        <v>2.0461</v>
      </c>
    </row>
    <row r="1312">
      <c r="A1312" t="inlineStr">
        <is>
          <t>21-Jul-2026</t>
        </is>
      </c>
      <c r="B1312" t="inlineStr">
        <is>
          <t>Tuesday</t>
        </is>
      </c>
      <c r="C1312" t="inlineStr">
        <is>
          <t>Week3-Jul-2026</t>
        </is>
      </c>
      <c r="D1312" s="78" t="n">
        <v>46204</v>
      </c>
      <c r="E1312" t="inlineStr">
        <is>
          <t>Q2FY27</t>
        </is>
      </c>
      <c r="F1312" t="inlineStr">
        <is>
          <t>29-Sep-2026</t>
        </is>
      </c>
      <c r="G1312" t="inlineStr">
        <is>
          <t>Tuesday</t>
        </is>
      </c>
      <c r="H1312" t="inlineStr">
        <is>
          <t>Monthly - Tuesday</t>
        </is>
      </c>
      <c r="I1312" t="inlineStr">
        <is>
          <t>Monthly - Tuesday</t>
        </is>
      </c>
      <c r="J1312" t="inlineStr">
        <is>
          <t>Month+2 Expiry</t>
        </is>
      </c>
      <c r="K1312" s="25" t="n">
        <v>10066</v>
      </c>
      <c r="L1312" s="26" t="n">
        <v>17.5367</v>
      </c>
      <c r="M1312" s="26" t="n">
        <v>0.2319</v>
      </c>
    </row>
    <row r="1313">
      <c r="A1313" t="inlineStr">
        <is>
          <t>21-Jul-2026</t>
        </is>
      </c>
      <c r="B1313" t="inlineStr">
        <is>
          <t>Tuesday</t>
        </is>
      </c>
      <c r="C1313" t="inlineStr">
        <is>
          <t>Week3-Jul-2026</t>
        </is>
      </c>
      <c r="D1313" s="78" t="n">
        <v>46204</v>
      </c>
      <c r="E1313" t="inlineStr">
        <is>
          <t>Q2FY27</t>
        </is>
      </c>
      <c r="F1313" t="inlineStr">
        <is>
          <t>29-Dec-2026</t>
        </is>
      </c>
      <c r="G1313" t="inlineStr">
        <is>
          <t>Tuesday</t>
        </is>
      </c>
      <c r="H1313" t="inlineStr">
        <is>
          <t>Monthly - Tuesday</t>
        </is>
      </c>
      <c r="I1313" t="inlineStr">
        <is>
          <t>Monthly - Tuesday</t>
        </is>
      </c>
      <c r="J1313" t="inlineStr">
        <is>
          <t>Month+5 Expiry</t>
        </is>
      </c>
      <c r="K1313" s="25" t="n">
        <v>266</v>
      </c>
      <c r="L1313" s="26" t="n">
        <v>0.4601</v>
      </c>
      <c r="M1313" s="26" t="n">
        <v>0.0091</v>
      </c>
    </row>
    <row r="1314">
      <c r="A1314" t="inlineStr">
        <is>
          <t>21-Jul-2026</t>
        </is>
      </c>
      <c r="B1314" t="inlineStr">
        <is>
          <t>Tuesday</t>
        </is>
      </c>
      <c r="C1314" t="inlineStr">
        <is>
          <t>Week3-Jul-2026</t>
        </is>
      </c>
      <c r="D1314" s="78" t="n">
        <v>46204</v>
      </c>
      <c r="E1314" t="inlineStr">
        <is>
          <t>Q2FY27</t>
        </is>
      </c>
      <c r="F1314" t="inlineStr">
        <is>
          <t>30-Mar-2027</t>
        </is>
      </c>
      <c r="G1314" t="inlineStr">
        <is>
          <t>Tuesday</t>
        </is>
      </c>
      <c r="H1314" t="inlineStr">
        <is>
          <t>Monthly - Tuesday</t>
        </is>
      </c>
      <c r="I1314" t="inlineStr">
        <is>
          <t>Monthly - Tuesday</t>
        </is>
      </c>
      <c r="J1314" t="inlineStr">
        <is>
          <t>Month+8 Expiry</t>
        </is>
      </c>
      <c r="K1314" s="25" t="n">
        <v>2</v>
      </c>
      <c r="L1314" s="26" t="n">
        <v>0.0039</v>
      </c>
      <c r="M1314" s="26" t="n">
        <v>0.0001</v>
      </c>
    </row>
    <row r="1315">
      <c r="A1315" t="inlineStr">
        <is>
          <t>21-Jul-2026</t>
        </is>
      </c>
      <c r="B1315" t="inlineStr">
        <is>
          <t>Tuesday</t>
        </is>
      </c>
      <c r="C1315" t="inlineStr">
        <is>
          <t>Week3-Jul-2026</t>
        </is>
      </c>
      <c r="D1315" s="78" t="n">
        <v>46204</v>
      </c>
      <c r="E1315" t="inlineStr">
        <is>
          <t>Q2FY27</t>
        </is>
      </c>
      <c r="F1315" t="inlineStr">
        <is>
          <t>29-Jun-2027</t>
        </is>
      </c>
      <c r="G1315" t="inlineStr">
        <is>
          <t>Tuesday</t>
        </is>
      </c>
      <c r="H1315" t="inlineStr">
        <is>
          <t>Monthly - Tuesday</t>
        </is>
      </c>
      <c r="I1315" t="inlineStr">
        <is>
          <t>Monthly - Tuesday</t>
        </is>
      </c>
      <c r="J1315" t="inlineStr">
        <is>
          <t>Month+11 Expiry</t>
        </is>
      </c>
      <c r="K1315" s="25" t="n">
        <v>0</v>
      </c>
      <c r="L1315" s="26" t="n">
        <v>0</v>
      </c>
      <c r="M1315" s="26" t="n">
        <v>0</v>
      </c>
    </row>
    <row r="1316">
      <c r="A1316" t="inlineStr">
        <is>
          <t>22-Jul-2026</t>
        </is>
      </c>
      <c r="B1316" t="inlineStr">
        <is>
          <t>Wednesday</t>
        </is>
      </c>
      <c r="C1316" t="inlineStr">
        <is>
          <t>Week4-Jul-2026</t>
        </is>
      </c>
      <c r="D1316" s="78" t="n">
        <v>46204</v>
      </c>
      <c r="E1316" t="inlineStr">
        <is>
          <t>Q2FY27</t>
        </is>
      </c>
      <c r="F1316" t="inlineStr">
        <is>
          <t>28-Jul-2026</t>
        </is>
      </c>
      <c r="G1316" t="inlineStr">
        <is>
          <t>Tuesday</t>
        </is>
      </c>
      <c r="H1316" t="inlineStr">
        <is>
          <t>Monthly - Tuesday</t>
        </is>
      </c>
      <c r="I1316" t="inlineStr">
        <is>
          <t>Monthly - Tuesday</t>
        </is>
      </c>
      <c r="J1316" t="inlineStr">
        <is>
          <t>Same Month Expiry</t>
        </is>
      </c>
      <c r="K1316" s="25" t="n">
        <v>4848624</v>
      </c>
      <c r="L1316" s="26" t="n">
        <v>8421.159799999999</v>
      </c>
      <c r="M1316" s="26" t="n">
        <v>38.7482</v>
      </c>
    </row>
    <row r="1317">
      <c r="A1317" t="inlineStr">
        <is>
          <t>22-Jul-2026</t>
        </is>
      </c>
      <c r="B1317" t="inlineStr">
        <is>
          <t>Wednesday</t>
        </is>
      </c>
      <c r="C1317" t="inlineStr">
        <is>
          <t>Week4-Jul-2026</t>
        </is>
      </c>
      <c r="D1317" s="78" t="n">
        <v>46204</v>
      </c>
      <c r="E1317" t="inlineStr">
        <is>
          <t>Q2FY27</t>
        </is>
      </c>
      <c r="F1317" t="inlineStr">
        <is>
          <t>25-Aug-2026</t>
        </is>
      </c>
      <c r="G1317" t="inlineStr">
        <is>
          <t>Tuesday</t>
        </is>
      </c>
      <c r="H1317" t="inlineStr">
        <is>
          <t>Monthly - Tuesday</t>
        </is>
      </c>
      <c r="I1317" t="inlineStr">
        <is>
          <t>Monthly - Tuesday</t>
        </is>
      </c>
      <c r="J1317" t="inlineStr">
        <is>
          <t>Month+1 Expiry</t>
        </is>
      </c>
      <c r="K1317" s="25" t="n">
        <v>226915</v>
      </c>
      <c r="L1317" s="26" t="n">
        <v>397.5799</v>
      </c>
      <c r="M1317" s="26" t="n">
        <v>4.4191</v>
      </c>
    </row>
    <row r="1318">
      <c r="A1318" t="inlineStr">
        <is>
          <t>22-Jul-2026</t>
        </is>
      </c>
      <c r="B1318" t="inlineStr">
        <is>
          <t>Wednesday</t>
        </is>
      </c>
      <c r="C1318" t="inlineStr">
        <is>
          <t>Week4-Jul-2026</t>
        </is>
      </c>
      <c r="D1318" s="78" t="n">
        <v>46204</v>
      </c>
      <c r="E1318" t="inlineStr">
        <is>
          <t>Q2FY27</t>
        </is>
      </c>
      <c r="F1318" t="inlineStr">
        <is>
          <t>29-Sep-2026</t>
        </is>
      </c>
      <c r="G1318" t="inlineStr">
        <is>
          <t>Tuesday</t>
        </is>
      </c>
      <c r="H1318" t="inlineStr">
        <is>
          <t>Monthly - Tuesday</t>
        </is>
      </c>
      <c r="I1318" t="inlineStr">
        <is>
          <t>Monthly - Tuesday</t>
        </is>
      </c>
      <c r="J1318" t="inlineStr">
        <is>
          <t>Month+2 Expiry</t>
        </is>
      </c>
      <c r="K1318" s="25" t="n">
        <v>14900</v>
      </c>
      <c r="L1318" s="26" t="n">
        <v>26.262</v>
      </c>
      <c r="M1318" s="26" t="n">
        <v>0.3961</v>
      </c>
    </row>
    <row r="1319">
      <c r="A1319" t="inlineStr">
        <is>
          <t>22-Jul-2026</t>
        </is>
      </c>
      <c r="B1319" t="inlineStr">
        <is>
          <t>Wednesday</t>
        </is>
      </c>
      <c r="C1319" t="inlineStr">
        <is>
          <t>Week4-Jul-2026</t>
        </is>
      </c>
      <c r="D1319" s="78" t="n">
        <v>46204</v>
      </c>
      <c r="E1319" t="inlineStr">
        <is>
          <t>Q2FY27</t>
        </is>
      </c>
      <c r="F1319" t="inlineStr">
        <is>
          <t>29-Dec-2026</t>
        </is>
      </c>
      <c r="G1319" t="inlineStr">
        <is>
          <t>Tuesday</t>
        </is>
      </c>
      <c r="H1319" t="inlineStr">
        <is>
          <t>Monthly - Tuesday</t>
        </is>
      </c>
      <c r="I1319" t="inlineStr">
        <is>
          <t>Monthly - Tuesday</t>
        </is>
      </c>
      <c r="J1319" t="inlineStr">
        <is>
          <t>Month+5 Expiry</t>
        </is>
      </c>
      <c r="K1319" s="25" t="n">
        <v>881</v>
      </c>
      <c r="L1319" s="26" t="n">
        <v>1.5524</v>
      </c>
      <c r="M1319" s="26" t="n">
        <v>0.0354</v>
      </c>
    </row>
    <row r="1320">
      <c r="A1320" t="inlineStr">
        <is>
          <t>22-Jul-2026</t>
        </is>
      </c>
      <c r="B1320" t="inlineStr">
        <is>
          <t>Wednesday</t>
        </is>
      </c>
      <c r="C1320" t="inlineStr">
        <is>
          <t>Week4-Jul-2026</t>
        </is>
      </c>
      <c r="D1320" s="78" t="n">
        <v>46204</v>
      </c>
      <c r="E1320" t="inlineStr">
        <is>
          <t>Q2FY27</t>
        </is>
      </c>
      <c r="F1320" t="inlineStr">
        <is>
          <t>30-Mar-2027</t>
        </is>
      </c>
      <c r="G1320" t="inlineStr">
        <is>
          <t>Tuesday</t>
        </is>
      </c>
      <c r="H1320" t="inlineStr">
        <is>
          <t>Monthly - Tuesday</t>
        </is>
      </c>
      <c r="I1320" t="inlineStr">
        <is>
          <t>Monthly - Tuesday</t>
        </is>
      </c>
      <c r="J1320" t="inlineStr">
        <is>
          <t>Month+8 Expiry</t>
        </is>
      </c>
      <c r="K1320" s="25" t="n">
        <v>2</v>
      </c>
      <c r="L1320" s="26" t="n">
        <v>0.0039</v>
      </c>
      <c r="M1320" s="26" t="n">
        <v>0.0001</v>
      </c>
    </row>
    <row r="1321">
      <c r="A1321" t="inlineStr">
        <is>
          <t>22-Jul-2026</t>
        </is>
      </c>
      <c r="B1321" t="inlineStr">
        <is>
          <t>Wednesday</t>
        </is>
      </c>
      <c r="C1321" t="inlineStr">
        <is>
          <t>Week4-Jul-2026</t>
        </is>
      </c>
      <c r="D1321" s="78" t="n">
        <v>46204</v>
      </c>
      <c r="E1321" t="inlineStr">
        <is>
          <t>Q2FY27</t>
        </is>
      </c>
      <c r="F1321" t="inlineStr">
        <is>
          <t>29-Jun-2027</t>
        </is>
      </c>
      <c r="G1321" t="inlineStr">
        <is>
          <t>Tuesday</t>
        </is>
      </c>
      <c r="H1321" t="inlineStr">
        <is>
          <t>Monthly - Tuesday</t>
        </is>
      </c>
      <c r="I1321" t="inlineStr">
        <is>
          <t>Monthly - Tuesday</t>
        </is>
      </c>
      <c r="J1321" t="inlineStr">
        <is>
          <t>Month+11 Expiry</t>
        </is>
      </c>
      <c r="K1321" s="25" t="n">
        <v>0</v>
      </c>
      <c r="L1321" s="26" t="n">
        <v>0</v>
      </c>
      <c r="M1321" s="26" t="n">
        <v>0</v>
      </c>
    </row>
    <row r="1322">
      <c r="A1322" t="inlineStr">
        <is>
          <t>23-Jul-2026</t>
        </is>
      </c>
      <c r="B1322" t="inlineStr">
        <is>
          <t>Thursday</t>
        </is>
      </c>
      <c r="C1322" t="inlineStr">
        <is>
          <t>Week4-Jul-2026</t>
        </is>
      </c>
      <c r="D1322" s="78" t="n">
        <v>46204</v>
      </c>
      <c r="E1322" t="inlineStr">
        <is>
          <t>Q2FY27</t>
        </is>
      </c>
      <c r="F1322" t="inlineStr">
        <is>
          <t>28-Jul-2026</t>
        </is>
      </c>
      <c r="G1322" t="inlineStr">
        <is>
          <t>Tuesday</t>
        </is>
      </c>
      <c r="H1322" t="inlineStr">
        <is>
          <t>Monthly - Tuesday</t>
        </is>
      </c>
      <c r="I1322" t="inlineStr">
        <is>
          <t>Monthly - Tuesday</t>
        </is>
      </c>
      <c r="J1322" t="inlineStr">
        <is>
          <t>Same Month Expiry</t>
        </is>
      </c>
      <c r="K1322" s="25" t="n">
        <v>5809044</v>
      </c>
      <c r="L1322" s="26" t="n">
        <v>10018.4201</v>
      </c>
      <c r="M1322" s="26" t="n">
        <v>39.9137</v>
      </c>
    </row>
    <row r="1323">
      <c r="A1323" t="inlineStr">
        <is>
          <t>23-Jul-2026</t>
        </is>
      </c>
      <c r="B1323" t="inlineStr">
        <is>
          <t>Thursday</t>
        </is>
      </c>
      <c r="C1323" t="inlineStr">
        <is>
          <t>Week4-Jul-2026</t>
        </is>
      </c>
      <c r="D1323" s="78" t="n">
        <v>46204</v>
      </c>
      <c r="E1323" t="inlineStr">
        <is>
          <t>Q2FY27</t>
        </is>
      </c>
      <c r="F1323" t="inlineStr">
        <is>
          <t>25-Aug-2026</t>
        </is>
      </c>
      <c r="G1323" t="inlineStr">
        <is>
          <t>Tuesday</t>
        </is>
      </c>
      <c r="H1323" t="inlineStr">
        <is>
          <t>Monthly - Tuesday</t>
        </is>
      </c>
      <c r="I1323" t="inlineStr">
        <is>
          <t>Monthly - Tuesday</t>
        </is>
      </c>
      <c r="J1323" t="inlineStr">
        <is>
          <t>Month+1 Expiry</t>
        </is>
      </c>
      <c r="K1323" s="25" t="n">
        <v>296849</v>
      </c>
      <c r="L1323" s="26" t="n">
        <v>518.3079</v>
      </c>
      <c r="M1323" s="26" t="n">
        <v>6.0892</v>
      </c>
    </row>
    <row r="1324">
      <c r="A1324" t="inlineStr">
        <is>
          <t>23-Jul-2026</t>
        </is>
      </c>
      <c r="B1324" t="inlineStr">
        <is>
          <t>Thursday</t>
        </is>
      </c>
      <c r="C1324" t="inlineStr">
        <is>
          <t>Week4-Jul-2026</t>
        </is>
      </c>
      <c r="D1324" s="78" t="n">
        <v>46204</v>
      </c>
      <c r="E1324" t="inlineStr">
        <is>
          <t>Q2FY27</t>
        </is>
      </c>
      <c r="F1324" t="inlineStr">
        <is>
          <t>29-Sep-2026</t>
        </is>
      </c>
      <c r="G1324" t="inlineStr">
        <is>
          <t>Tuesday</t>
        </is>
      </c>
      <c r="H1324" t="inlineStr">
        <is>
          <t>Monthly - Tuesday</t>
        </is>
      </c>
      <c r="I1324" t="inlineStr">
        <is>
          <t>Monthly - Tuesday</t>
        </is>
      </c>
      <c r="J1324" t="inlineStr">
        <is>
          <t>Month+2 Expiry</t>
        </is>
      </c>
      <c r="K1324" s="25" t="n">
        <v>19964</v>
      </c>
      <c r="L1324" s="26" t="n">
        <v>34.9099</v>
      </c>
      <c r="M1324" s="26" t="n">
        <v>0.5031</v>
      </c>
    </row>
    <row r="1325">
      <c r="A1325" t="inlineStr">
        <is>
          <t>23-Jul-2026</t>
        </is>
      </c>
      <c r="B1325" t="inlineStr">
        <is>
          <t>Thursday</t>
        </is>
      </c>
      <c r="C1325" t="inlineStr">
        <is>
          <t>Week4-Jul-2026</t>
        </is>
      </c>
      <c r="D1325" s="78" t="n">
        <v>46204</v>
      </c>
      <c r="E1325" t="inlineStr">
        <is>
          <t>Q2FY27</t>
        </is>
      </c>
      <c r="F1325" t="inlineStr">
        <is>
          <t>29-Dec-2026</t>
        </is>
      </c>
      <c r="G1325" t="inlineStr">
        <is>
          <t>Tuesday</t>
        </is>
      </c>
      <c r="H1325" t="inlineStr">
        <is>
          <t>Monthly - Tuesday</t>
        </is>
      </c>
      <c r="I1325" t="inlineStr">
        <is>
          <t>Monthly - Tuesday</t>
        </is>
      </c>
      <c r="J1325" t="inlineStr">
        <is>
          <t>Month+5 Expiry</t>
        </is>
      </c>
      <c r="K1325" s="25" t="n">
        <v>913</v>
      </c>
      <c r="L1325" s="26" t="n">
        <v>1.5934</v>
      </c>
      <c r="M1325" s="26" t="n">
        <v>0.0321</v>
      </c>
    </row>
    <row r="1326">
      <c r="A1326" t="inlineStr">
        <is>
          <t>23-Jul-2026</t>
        </is>
      </c>
      <c r="B1326" t="inlineStr">
        <is>
          <t>Thursday</t>
        </is>
      </c>
      <c r="C1326" t="inlineStr">
        <is>
          <t>Week4-Jul-2026</t>
        </is>
      </c>
      <c r="D1326" s="78" t="n">
        <v>46204</v>
      </c>
      <c r="E1326" t="inlineStr">
        <is>
          <t>Q2FY27</t>
        </is>
      </c>
      <c r="F1326" t="inlineStr">
        <is>
          <t>30-Mar-2027</t>
        </is>
      </c>
      <c r="G1326" t="inlineStr">
        <is>
          <t>Tuesday</t>
        </is>
      </c>
      <c r="H1326" t="inlineStr">
        <is>
          <t>Monthly - Tuesday</t>
        </is>
      </c>
      <c r="I1326" t="inlineStr">
        <is>
          <t>Monthly - Tuesday</t>
        </is>
      </c>
      <c r="J1326" t="inlineStr">
        <is>
          <t>Month+8 Expiry</t>
        </is>
      </c>
      <c r="K1326" s="25" t="n">
        <v>17</v>
      </c>
      <c r="L1326" s="26" t="n">
        <v>0.0328</v>
      </c>
      <c r="M1326" s="26" t="n">
        <v>0.0005999999999999999</v>
      </c>
    </row>
    <row r="1327">
      <c r="A1327" t="inlineStr">
        <is>
          <t>23-Jul-2026</t>
        </is>
      </c>
      <c r="B1327" t="inlineStr">
        <is>
          <t>Thursday</t>
        </is>
      </c>
      <c r="C1327" t="inlineStr">
        <is>
          <t>Week4-Jul-2026</t>
        </is>
      </c>
      <c r="D1327" s="78" t="n">
        <v>46204</v>
      </c>
      <c r="E1327" t="inlineStr">
        <is>
          <t>Q2FY27</t>
        </is>
      </c>
      <c r="F1327" t="inlineStr">
        <is>
          <t>29-Jun-2027</t>
        </is>
      </c>
      <c r="G1327" t="inlineStr">
        <is>
          <t>Tuesday</t>
        </is>
      </c>
      <c r="H1327" t="inlineStr">
        <is>
          <t>Monthly - Tuesday</t>
        </is>
      </c>
      <c r="I1327" t="inlineStr">
        <is>
          <t>Monthly - Tuesday</t>
        </is>
      </c>
      <c r="J1327" t="inlineStr">
        <is>
          <t>Month+11 Expiry</t>
        </is>
      </c>
      <c r="K1327" s="25" t="n">
        <v>0</v>
      </c>
      <c r="L1327" s="26" t="n">
        <v>0</v>
      </c>
      <c r="M1327" s="26" t="n">
        <v>0</v>
      </c>
    </row>
    <row r="1328">
      <c r="A1328" t="inlineStr">
        <is>
          <t>24-Jul-2026</t>
        </is>
      </c>
      <c r="B1328" t="inlineStr">
        <is>
          <t>Friday</t>
        </is>
      </c>
      <c r="C1328" t="inlineStr">
        <is>
          <t>Week4-Jul-2026</t>
        </is>
      </c>
      <c r="D1328" s="78" t="n">
        <v>46204</v>
      </c>
      <c r="E1328" t="inlineStr">
        <is>
          <t>Q2FY27</t>
        </is>
      </c>
      <c r="F1328" t="inlineStr">
        <is>
          <t>28-Jul-2026</t>
        </is>
      </c>
      <c r="G1328" t="inlineStr">
        <is>
          <t>Tuesday</t>
        </is>
      </c>
      <c r="H1328" t="inlineStr">
        <is>
          <t>Monthly - Tuesday</t>
        </is>
      </c>
      <c r="I1328" t="inlineStr">
        <is>
          <t>Monthly - Tuesday</t>
        </is>
      </c>
      <c r="J1328" t="inlineStr">
        <is>
          <t>Same Month Expiry</t>
        </is>
      </c>
      <c r="K1328" s="25" t="n">
        <v>11520513</v>
      </c>
      <c r="L1328" s="26" t="n">
        <v>19681.5277</v>
      </c>
      <c r="M1328" s="26" t="n">
        <v>75.1494</v>
      </c>
    </row>
    <row r="1329">
      <c r="A1329" t="inlineStr">
        <is>
          <t>24-Jul-2026</t>
        </is>
      </c>
      <c r="B1329" t="inlineStr">
        <is>
          <t>Friday</t>
        </is>
      </c>
      <c r="C1329" t="inlineStr">
        <is>
          <t>Week4-Jul-2026</t>
        </is>
      </c>
      <c r="D1329" s="78" t="n">
        <v>46204</v>
      </c>
      <c r="E1329" t="inlineStr">
        <is>
          <t>Q2FY27</t>
        </is>
      </c>
      <c r="F1329" t="inlineStr">
        <is>
          <t>25-Aug-2026</t>
        </is>
      </c>
      <c r="G1329" t="inlineStr">
        <is>
          <t>Tuesday</t>
        </is>
      </c>
      <c r="H1329" t="inlineStr">
        <is>
          <t>Monthly - Tuesday</t>
        </is>
      </c>
      <c r="I1329" t="inlineStr">
        <is>
          <t>Monthly - Tuesday</t>
        </is>
      </c>
      <c r="J1329" t="inlineStr">
        <is>
          <t>Month+1 Expiry</t>
        </is>
      </c>
      <c r="K1329" s="25" t="n">
        <v>464486</v>
      </c>
      <c r="L1329" s="26" t="n">
        <v>806.4023</v>
      </c>
      <c r="M1329" s="26" t="n">
        <v>9.628</v>
      </c>
    </row>
    <row r="1330">
      <c r="A1330" t="inlineStr">
        <is>
          <t>24-Jul-2026</t>
        </is>
      </c>
      <c r="B1330" t="inlineStr">
        <is>
          <t>Friday</t>
        </is>
      </c>
      <c r="C1330" t="inlineStr">
        <is>
          <t>Week4-Jul-2026</t>
        </is>
      </c>
      <c r="D1330" s="78" t="n">
        <v>46204</v>
      </c>
      <c r="E1330" t="inlineStr">
        <is>
          <t>Q2FY27</t>
        </is>
      </c>
      <c r="F1330" t="inlineStr">
        <is>
          <t>29-Sep-2026</t>
        </is>
      </c>
      <c r="G1330" t="inlineStr">
        <is>
          <t>Tuesday</t>
        </is>
      </c>
      <c r="H1330" t="inlineStr">
        <is>
          <t>Monthly - Tuesday</t>
        </is>
      </c>
      <c r="I1330" t="inlineStr">
        <is>
          <t>Monthly - Tuesday</t>
        </is>
      </c>
      <c r="J1330" t="inlineStr">
        <is>
          <t>Month+2 Expiry</t>
        </is>
      </c>
      <c r="K1330" s="25" t="n">
        <v>19764</v>
      </c>
      <c r="L1330" s="26" t="n">
        <v>34.395</v>
      </c>
      <c r="M1330" s="26" t="n">
        <v>0.5312</v>
      </c>
    </row>
    <row r="1331">
      <c r="A1331" t="inlineStr">
        <is>
          <t>24-Jul-2026</t>
        </is>
      </c>
      <c r="B1331" t="inlineStr">
        <is>
          <t>Friday</t>
        </is>
      </c>
      <c r="C1331" t="inlineStr">
        <is>
          <t>Week4-Jul-2026</t>
        </is>
      </c>
      <c r="D1331" s="78" t="n">
        <v>46204</v>
      </c>
      <c r="E1331" t="inlineStr">
        <is>
          <t>Q2FY27</t>
        </is>
      </c>
      <c r="F1331" t="inlineStr">
        <is>
          <t>29-Dec-2026</t>
        </is>
      </c>
      <c r="G1331" t="inlineStr">
        <is>
          <t>Tuesday</t>
        </is>
      </c>
      <c r="H1331" t="inlineStr">
        <is>
          <t>Monthly - Tuesday</t>
        </is>
      </c>
      <c r="I1331" t="inlineStr">
        <is>
          <t>Monthly - Tuesday</t>
        </is>
      </c>
      <c r="J1331" t="inlineStr">
        <is>
          <t>Month+5 Expiry</t>
        </is>
      </c>
      <c r="K1331" s="25" t="n">
        <v>847</v>
      </c>
      <c r="L1331" s="26" t="n">
        <v>1.4759</v>
      </c>
      <c r="M1331" s="26" t="n">
        <v>0.0246</v>
      </c>
    </row>
    <row r="1332">
      <c r="A1332" t="inlineStr">
        <is>
          <t>24-Jul-2026</t>
        </is>
      </c>
      <c r="B1332" t="inlineStr">
        <is>
          <t>Friday</t>
        </is>
      </c>
      <c r="C1332" t="inlineStr">
        <is>
          <t>Week4-Jul-2026</t>
        </is>
      </c>
      <c r="D1332" s="78" t="n">
        <v>46204</v>
      </c>
      <c r="E1332" t="inlineStr">
        <is>
          <t>Q2FY27</t>
        </is>
      </c>
      <c r="F1332" t="inlineStr">
        <is>
          <t>30-Mar-2027</t>
        </is>
      </c>
      <c r="G1332" t="inlineStr">
        <is>
          <t>Tuesday</t>
        </is>
      </c>
      <c r="H1332" t="inlineStr">
        <is>
          <t>Monthly - Tuesday</t>
        </is>
      </c>
      <c r="I1332" t="inlineStr">
        <is>
          <t>Monthly - Tuesday</t>
        </is>
      </c>
      <c r="J1332" t="inlineStr">
        <is>
          <t>Month+8 Expiry</t>
        </is>
      </c>
      <c r="K1332" s="25" t="n">
        <v>4</v>
      </c>
      <c r="L1332" s="26" t="n">
        <v>0.0077</v>
      </c>
      <c r="M1332" s="26" t="n">
        <v>0.0001</v>
      </c>
    </row>
    <row r="1333">
      <c r="A1333" t="inlineStr">
        <is>
          <t>24-Jul-2026</t>
        </is>
      </c>
      <c r="B1333" t="inlineStr">
        <is>
          <t>Friday</t>
        </is>
      </c>
      <c r="C1333" t="inlineStr">
        <is>
          <t>Week4-Jul-2026</t>
        </is>
      </c>
      <c r="D1333" s="78" t="n">
        <v>46204</v>
      </c>
      <c r="E1333" t="inlineStr">
        <is>
          <t>Q2FY27</t>
        </is>
      </c>
      <c r="F1333" t="inlineStr">
        <is>
          <t>29-Jun-2027</t>
        </is>
      </c>
      <c r="G1333" t="inlineStr">
        <is>
          <t>Tuesday</t>
        </is>
      </c>
      <c r="H1333" t="inlineStr">
        <is>
          <t>Monthly - Tuesday</t>
        </is>
      </c>
      <c r="I1333" t="inlineStr">
        <is>
          <t>Monthly - Tuesday</t>
        </is>
      </c>
      <c r="J1333" t="inlineStr">
        <is>
          <t>Month+11 Expiry</t>
        </is>
      </c>
      <c r="K1333" s="25" t="n">
        <v>0</v>
      </c>
      <c r="L1333" s="26" t="n">
        <v>0</v>
      </c>
      <c r="M1333" s="26" t="n">
        <v>0</v>
      </c>
    </row>
    <row r="1334">
      <c r="A1334" t="inlineStr">
        <is>
          <t>27-Jul-2026</t>
        </is>
      </c>
      <c r="B1334" t="inlineStr">
        <is>
          <t>Monday</t>
        </is>
      </c>
      <c r="C1334" t="inlineStr">
        <is>
          <t>Week4-Jul-2026</t>
        </is>
      </c>
      <c r="D1334" s="78" t="n">
        <v>46204</v>
      </c>
      <c r="E1334" t="inlineStr">
        <is>
          <t>Q2FY27</t>
        </is>
      </c>
      <c r="F1334" t="inlineStr">
        <is>
          <t>28-Jul-2026</t>
        </is>
      </c>
      <c r="G1334" t="inlineStr">
        <is>
          <t>Tuesday</t>
        </is>
      </c>
      <c r="H1334" t="inlineStr">
        <is>
          <t>Monthly - Tuesday</t>
        </is>
      </c>
      <c r="I1334" t="inlineStr">
        <is>
          <t>Monthly - Tuesday</t>
        </is>
      </c>
      <c r="J1334" t="inlineStr">
        <is>
          <t>Same Month Expiry</t>
        </is>
      </c>
      <c r="K1334" s="25" t="n">
        <v>17920992</v>
      </c>
      <c r="L1334" s="26" t="n">
        <v>30742.5976</v>
      </c>
      <c r="M1334" s="26" t="n">
        <v>74.1631</v>
      </c>
    </row>
    <row r="1335">
      <c r="A1335" t="inlineStr">
        <is>
          <t>27-Jul-2026</t>
        </is>
      </c>
      <c r="B1335" t="inlineStr">
        <is>
          <t>Monday</t>
        </is>
      </c>
      <c r="C1335" t="inlineStr">
        <is>
          <t>Week4-Jul-2026</t>
        </is>
      </c>
      <c r="D1335" s="78" t="n">
        <v>46204</v>
      </c>
      <c r="E1335" t="inlineStr">
        <is>
          <t>Q2FY27</t>
        </is>
      </c>
      <c r="F1335" t="inlineStr">
        <is>
          <t>25-Aug-2026</t>
        </is>
      </c>
      <c r="G1335" t="inlineStr">
        <is>
          <t>Tuesday</t>
        </is>
      </c>
      <c r="H1335" t="inlineStr">
        <is>
          <t>Monthly - Tuesday</t>
        </is>
      </c>
      <c r="I1335" t="inlineStr">
        <is>
          <t>Monthly - Tuesday</t>
        </is>
      </c>
      <c r="J1335" t="inlineStr">
        <is>
          <t>Month+1 Expiry</t>
        </is>
      </c>
      <c r="K1335" s="25" t="n">
        <v>444592</v>
      </c>
      <c r="L1335" s="26" t="n">
        <v>774.2692</v>
      </c>
      <c r="M1335" s="26" t="n">
        <v>9.7857</v>
      </c>
    </row>
    <row r="1336">
      <c r="A1336" t="inlineStr">
        <is>
          <t>27-Jul-2026</t>
        </is>
      </c>
      <c r="B1336" t="inlineStr">
        <is>
          <t>Monday</t>
        </is>
      </c>
      <c r="C1336" t="inlineStr">
        <is>
          <t>Week4-Jul-2026</t>
        </is>
      </c>
      <c r="D1336" s="78" t="n">
        <v>46204</v>
      </c>
      <c r="E1336" t="inlineStr">
        <is>
          <t>Q2FY27</t>
        </is>
      </c>
      <c r="F1336" t="inlineStr">
        <is>
          <t>29-Sep-2026</t>
        </is>
      </c>
      <c r="G1336" t="inlineStr">
        <is>
          <t>Tuesday</t>
        </is>
      </c>
      <c r="H1336" t="inlineStr">
        <is>
          <t>Monthly - Tuesday</t>
        </is>
      </c>
      <c r="I1336" t="inlineStr">
        <is>
          <t>Monthly - Tuesday</t>
        </is>
      </c>
      <c r="J1336" t="inlineStr">
        <is>
          <t>Month+2 Expiry</t>
        </is>
      </c>
      <c r="K1336" s="25" t="n">
        <v>14497</v>
      </c>
      <c r="L1336" s="26" t="n">
        <v>25.3132</v>
      </c>
      <c r="M1336" s="26" t="n">
        <v>0.362</v>
      </c>
    </row>
    <row r="1337">
      <c r="A1337" t="inlineStr">
        <is>
          <t>27-Jul-2026</t>
        </is>
      </c>
      <c r="B1337" t="inlineStr">
        <is>
          <t>Monday</t>
        </is>
      </c>
      <c r="C1337" t="inlineStr">
        <is>
          <t>Week4-Jul-2026</t>
        </is>
      </c>
      <c r="D1337" s="78" t="n">
        <v>46204</v>
      </c>
      <c r="E1337" t="inlineStr">
        <is>
          <t>Q2FY27</t>
        </is>
      </c>
      <c r="F1337" t="inlineStr">
        <is>
          <t>29-Dec-2026</t>
        </is>
      </c>
      <c r="G1337" t="inlineStr">
        <is>
          <t>Tuesday</t>
        </is>
      </c>
      <c r="H1337" t="inlineStr">
        <is>
          <t>Monthly - Tuesday</t>
        </is>
      </c>
      <c r="I1337" t="inlineStr">
        <is>
          <t>Monthly - Tuesday</t>
        </is>
      </c>
      <c r="J1337" t="inlineStr">
        <is>
          <t>Month+5 Expiry</t>
        </is>
      </c>
      <c r="K1337" s="25" t="n">
        <v>732</v>
      </c>
      <c r="L1337" s="26" t="n">
        <v>1.3144</v>
      </c>
      <c r="M1337" s="26" t="n">
        <v>0.0214</v>
      </c>
    </row>
    <row r="1338">
      <c r="A1338" t="inlineStr">
        <is>
          <t>27-Jul-2026</t>
        </is>
      </c>
      <c r="B1338" t="inlineStr">
        <is>
          <t>Monday</t>
        </is>
      </c>
      <c r="C1338" t="inlineStr">
        <is>
          <t>Week4-Jul-2026</t>
        </is>
      </c>
      <c r="D1338" s="78" t="n">
        <v>46204</v>
      </c>
      <c r="E1338" t="inlineStr">
        <is>
          <t>Q2FY27</t>
        </is>
      </c>
      <c r="F1338" t="inlineStr">
        <is>
          <t>30-Mar-2027</t>
        </is>
      </c>
      <c r="G1338" t="inlineStr">
        <is>
          <t>Tuesday</t>
        </is>
      </c>
      <c r="H1338" t="inlineStr">
        <is>
          <t>Monthly - Tuesday</t>
        </is>
      </c>
      <c r="I1338" t="inlineStr">
        <is>
          <t>Monthly - Tuesday</t>
        </is>
      </c>
      <c r="J1338" t="inlineStr">
        <is>
          <t>Month+8 Expiry</t>
        </is>
      </c>
      <c r="K1338" s="25" t="n">
        <v>10</v>
      </c>
      <c r="L1338" s="26" t="n">
        <v>0.0193</v>
      </c>
      <c r="M1338" s="26" t="n">
        <v>0.0004</v>
      </c>
    </row>
    <row r="1339">
      <c r="A1339" t="inlineStr">
        <is>
          <t>27-Jul-2026</t>
        </is>
      </c>
      <c r="B1339" t="inlineStr">
        <is>
          <t>Monday</t>
        </is>
      </c>
      <c r="C1339" t="inlineStr">
        <is>
          <t>Week4-Jul-2026</t>
        </is>
      </c>
      <c r="D1339" s="78" t="n">
        <v>46204</v>
      </c>
      <c r="E1339" t="inlineStr">
        <is>
          <t>Q2FY27</t>
        </is>
      </c>
      <c r="F1339" t="inlineStr">
        <is>
          <t>29-Jun-2027</t>
        </is>
      </c>
      <c r="G1339" t="inlineStr">
        <is>
          <t>Tuesday</t>
        </is>
      </c>
      <c r="H1339" t="inlineStr">
        <is>
          <t>Monthly - Tuesday</t>
        </is>
      </c>
      <c r="I1339" t="inlineStr">
        <is>
          <t>Monthly - Tuesday</t>
        </is>
      </c>
      <c r="J1339" t="inlineStr">
        <is>
          <t>Month+11 Expiry</t>
        </is>
      </c>
      <c r="K1339" s="25" t="n">
        <v>0</v>
      </c>
      <c r="L1339" s="26" t="n">
        <v>0</v>
      </c>
      <c r="M1339" s="26" t="n">
        <v>0</v>
      </c>
    </row>
    <row r="1340">
      <c r="A1340" t="inlineStr">
        <is>
          <t>28-Jul-2026</t>
        </is>
      </c>
      <c r="B1340" t="inlineStr">
        <is>
          <t>Tuesday</t>
        </is>
      </c>
      <c r="C1340" t="inlineStr">
        <is>
          <t>Week4-Jul-2026</t>
        </is>
      </c>
      <c r="D1340" s="78" t="n">
        <v>46204</v>
      </c>
      <c r="E1340" t="inlineStr">
        <is>
          <t>Q2FY27</t>
        </is>
      </c>
      <c r="F1340" t="inlineStr">
        <is>
          <t>28-Jul-2026</t>
        </is>
      </c>
      <c r="G1340" t="inlineStr">
        <is>
          <t>Tuesday</t>
        </is>
      </c>
      <c r="H1340" t="inlineStr">
        <is>
          <t>Monthly - Tuesday</t>
        </is>
      </c>
      <c r="I1340" t="inlineStr">
        <is>
          <t>Monthly - Tuesday</t>
        </is>
      </c>
      <c r="J1340" t="inlineStr">
        <is>
          <t>Same Month Expiry</t>
        </is>
      </c>
      <c r="K1340" s="25" t="n">
        <v>83720871</v>
      </c>
      <c r="L1340" s="26" t="n">
        <v>142917.5239</v>
      </c>
      <c r="M1340" s="26" t="n">
        <v>123.7447</v>
      </c>
    </row>
    <row r="1341">
      <c r="A1341" t="inlineStr">
        <is>
          <t>28-Jul-2026</t>
        </is>
      </c>
      <c r="B1341" t="inlineStr">
        <is>
          <t>Tuesday</t>
        </is>
      </c>
      <c r="C1341" t="inlineStr">
        <is>
          <t>Week4-Jul-2026</t>
        </is>
      </c>
      <c r="D1341" s="78" t="n">
        <v>46204</v>
      </c>
      <c r="E1341" t="inlineStr">
        <is>
          <t>Q2FY27</t>
        </is>
      </c>
      <c r="F1341" t="inlineStr">
        <is>
          <t>25-Aug-2026</t>
        </is>
      </c>
      <c r="G1341" t="inlineStr">
        <is>
          <t>Tuesday</t>
        </is>
      </c>
      <c r="H1341" t="inlineStr">
        <is>
          <t>Monthly - Tuesday</t>
        </is>
      </c>
      <c r="I1341" t="inlineStr">
        <is>
          <t>Monthly - Tuesday</t>
        </is>
      </c>
      <c r="J1341" t="inlineStr">
        <is>
          <t>Month+1 Expiry</t>
        </is>
      </c>
      <c r="K1341" s="25" t="n">
        <v>628426</v>
      </c>
      <c r="L1341" s="26" t="n">
        <v>1094.2244</v>
      </c>
      <c r="M1341" s="26" t="n">
        <v>11.9921</v>
      </c>
    </row>
    <row r="1342">
      <c r="A1342" t="inlineStr">
        <is>
          <t>28-Jul-2026</t>
        </is>
      </c>
      <c r="B1342" t="inlineStr">
        <is>
          <t>Tuesday</t>
        </is>
      </c>
      <c r="C1342" t="inlineStr">
        <is>
          <t>Week4-Jul-2026</t>
        </is>
      </c>
      <c r="D1342" s="78" t="n">
        <v>46204</v>
      </c>
      <c r="E1342" t="inlineStr">
        <is>
          <t>Q2FY27</t>
        </is>
      </c>
      <c r="F1342" t="inlineStr">
        <is>
          <t>29-Sep-2026</t>
        </is>
      </c>
      <c r="G1342" t="inlineStr">
        <is>
          <t>Tuesday</t>
        </is>
      </c>
      <c r="H1342" t="inlineStr">
        <is>
          <t>Monthly - Tuesday</t>
        </is>
      </c>
      <c r="I1342" t="inlineStr">
        <is>
          <t>Monthly - Tuesday</t>
        </is>
      </c>
      <c r="J1342" t="inlineStr">
        <is>
          <t>Month+2 Expiry</t>
        </is>
      </c>
      <c r="K1342" s="25" t="n">
        <v>14965</v>
      </c>
      <c r="L1342" s="26" t="n">
        <v>26.1377</v>
      </c>
      <c r="M1342" s="26" t="n">
        <v>0.349</v>
      </c>
    </row>
    <row r="1343">
      <c r="A1343" t="inlineStr">
        <is>
          <t>28-Jul-2026</t>
        </is>
      </c>
      <c r="B1343" t="inlineStr">
        <is>
          <t>Tuesday</t>
        </is>
      </c>
      <c r="C1343" t="inlineStr">
        <is>
          <t>Week4-Jul-2026</t>
        </is>
      </c>
      <c r="D1343" s="78" t="n">
        <v>46204</v>
      </c>
      <c r="E1343" t="inlineStr">
        <is>
          <t>Q2FY27</t>
        </is>
      </c>
      <c r="F1343" t="inlineStr">
        <is>
          <t>29-Dec-2026</t>
        </is>
      </c>
      <c r="G1343" t="inlineStr">
        <is>
          <t>Tuesday</t>
        </is>
      </c>
      <c r="H1343" t="inlineStr">
        <is>
          <t>Monthly - Tuesday</t>
        </is>
      </c>
      <c r="I1343" t="inlineStr">
        <is>
          <t>Monthly - Tuesday</t>
        </is>
      </c>
      <c r="J1343" t="inlineStr">
        <is>
          <t>Month+5 Expiry</t>
        </is>
      </c>
      <c r="K1343" s="25" t="n">
        <v>584</v>
      </c>
      <c r="L1343" s="26" t="n">
        <v>1.0039</v>
      </c>
      <c r="M1343" s="26" t="n">
        <v>0.0161</v>
      </c>
    </row>
    <row r="1344">
      <c r="A1344" t="inlineStr">
        <is>
          <t>28-Jul-2026</t>
        </is>
      </c>
      <c r="B1344" t="inlineStr">
        <is>
          <t>Tuesday</t>
        </is>
      </c>
      <c r="C1344" t="inlineStr">
        <is>
          <t>Week4-Jul-2026</t>
        </is>
      </c>
      <c r="D1344" s="78" t="n">
        <v>46204</v>
      </c>
      <c r="E1344" t="inlineStr">
        <is>
          <t>Q2FY27</t>
        </is>
      </c>
      <c r="F1344" t="inlineStr">
        <is>
          <t>30-Mar-2027</t>
        </is>
      </c>
      <c r="G1344" t="inlineStr">
        <is>
          <t>Tuesday</t>
        </is>
      </c>
      <c r="H1344" t="inlineStr">
        <is>
          <t>Monthly - Tuesday</t>
        </is>
      </c>
      <c r="I1344" t="inlineStr">
        <is>
          <t>Monthly - Tuesday</t>
        </is>
      </c>
      <c r="J1344" t="inlineStr">
        <is>
          <t>Month+8 Expiry</t>
        </is>
      </c>
      <c r="K1344" s="25" t="n">
        <v>8</v>
      </c>
      <c r="L1344" s="26" t="n">
        <v>0.0155</v>
      </c>
      <c r="M1344" s="26" t="n">
        <v>0.0003</v>
      </c>
    </row>
    <row r="1345">
      <c r="A1345" t="inlineStr">
        <is>
          <t>28-Jul-2026</t>
        </is>
      </c>
      <c r="B1345" t="inlineStr">
        <is>
          <t>Tuesday</t>
        </is>
      </c>
      <c r="C1345" t="inlineStr">
        <is>
          <t>Week4-Jul-2026</t>
        </is>
      </c>
      <c r="D1345" s="78" t="n">
        <v>46204</v>
      </c>
      <c r="E1345" t="inlineStr">
        <is>
          <t>Q2FY27</t>
        </is>
      </c>
      <c r="F1345" t="inlineStr">
        <is>
          <t>29-Jun-2027</t>
        </is>
      </c>
      <c r="G1345" t="inlineStr">
        <is>
          <t>Tuesday</t>
        </is>
      </c>
      <c r="H1345" t="inlineStr">
        <is>
          <t>Monthly - Tuesday</t>
        </is>
      </c>
      <c r="I1345" t="inlineStr">
        <is>
          <t>Monthly - Tuesday</t>
        </is>
      </c>
      <c r="J1345" t="inlineStr">
        <is>
          <t>Month+11 Expiry</t>
        </is>
      </c>
      <c r="K1345" s="25" t="n">
        <v>0</v>
      </c>
      <c r="L1345" s="26" t="n">
        <v>0</v>
      </c>
      <c r="M1345" s="26" t="n">
        <v>0</v>
      </c>
    </row>
    <row r="1346">
      <c r="A1346" t="inlineStr">
        <is>
          <t>29-Jul-2026</t>
        </is>
      </c>
      <c r="B1346" t="inlineStr">
        <is>
          <t>Wednesday</t>
        </is>
      </c>
      <c r="C1346" t="inlineStr">
        <is>
          <t>Week5-Jul-2026</t>
        </is>
      </c>
      <c r="D1346" s="78" t="n">
        <v>46204</v>
      </c>
      <c r="E1346" t="inlineStr">
        <is>
          <t>Q2FY27</t>
        </is>
      </c>
      <c r="F1346" t="inlineStr">
        <is>
          <t>25-Aug-2026</t>
        </is>
      </c>
      <c r="G1346" t="inlineStr">
        <is>
          <t>Tuesday</t>
        </is>
      </c>
      <c r="H1346" t="inlineStr">
        <is>
          <t>Monthly - Tuesday</t>
        </is>
      </c>
      <c r="I1346" t="inlineStr">
        <is>
          <t>Monthly - Tuesday</t>
        </is>
      </c>
      <c r="J1346" t="inlineStr">
        <is>
          <t>Month+1 Expiry</t>
        </is>
      </c>
      <c r="K1346" s="25" t="n">
        <v>1348860</v>
      </c>
      <c r="L1346" s="26" t="n">
        <v>2337.8488</v>
      </c>
      <c r="M1346" s="26" t="n">
        <v>23.6021</v>
      </c>
    </row>
    <row r="1347">
      <c r="A1347" t="inlineStr">
        <is>
          <t>29-Jul-2026</t>
        </is>
      </c>
      <c r="B1347" t="inlineStr">
        <is>
          <t>Wednesday</t>
        </is>
      </c>
      <c r="C1347" t="inlineStr">
        <is>
          <t>Week5-Jul-2026</t>
        </is>
      </c>
      <c r="D1347" s="78" t="n">
        <v>46204</v>
      </c>
      <c r="E1347" t="inlineStr">
        <is>
          <t>Q2FY27</t>
        </is>
      </c>
      <c r="F1347" t="inlineStr">
        <is>
          <t>29-Sep-2026</t>
        </is>
      </c>
      <c r="G1347" t="inlineStr">
        <is>
          <t>Tuesday</t>
        </is>
      </c>
      <c r="H1347" t="inlineStr">
        <is>
          <t>Monthly - Tuesday</t>
        </is>
      </c>
      <c r="I1347" t="inlineStr">
        <is>
          <t>Monthly - Tuesday</t>
        </is>
      </c>
      <c r="J1347" t="inlineStr">
        <is>
          <t>Month+2 Expiry</t>
        </is>
      </c>
      <c r="K1347" s="25" t="n">
        <v>17614</v>
      </c>
      <c r="L1347" s="26" t="n">
        <v>30.7119</v>
      </c>
      <c r="M1347" s="26" t="n">
        <v>0.4019</v>
      </c>
    </row>
    <row r="1348">
      <c r="A1348" t="inlineStr">
        <is>
          <t>29-Jul-2026</t>
        </is>
      </c>
      <c r="B1348" t="inlineStr">
        <is>
          <t>Wednesday</t>
        </is>
      </c>
      <c r="C1348" t="inlineStr">
        <is>
          <t>Week5-Jul-2026</t>
        </is>
      </c>
      <c r="D1348" s="78" t="n">
        <v>46204</v>
      </c>
      <c r="E1348" t="inlineStr">
        <is>
          <t>Q2FY27</t>
        </is>
      </c>
      <c r="F1348" t="inlineStr">
        <is>
          <t>27-Oct-2026</t>
        </is>
      </c>
      <c r="G1348" t="inlineStr">
        <is>
          <t>Tuesday</t>
        </is>
      </c>
      <c r="H1348" t="inlineStr">
        <is>
          <t>Monthly - Tuesday</t>
        </is>
      </c>
      <c r="I1348" t="inlineStr">
        <is>
          <t>Monthly - Tuesday</t>
        </is>
      </c>
      <c r="J1348" t="inlineStr">
        <is>
          <t>Month+3 Expiry</t>
        </is>
      </c>
      <c r="K1348" s="25" t="n">
        <v>62</v>
      </c>
      <c r="L1348" s="26" t="n">
        <v>0.1108</v>
      </c>
      <c r="M1348" s="26" t="n">
        <v>0.0033</v>
      </c>
    </row>
    <row r="1349">
      <c r="A1349" t="inlineStr">
        <is>
          <t>29-Jul-2026</t>
        </is>
      </c>
      <c r="B1349" t="inlineStr">
        <is>
          <t>Wednesday</t>
        </is>
      </c>
      <c r="C1349" t="inlineStr">
        <is>
          <t>Week5-Jul-2026</t>
        </is>
      </c>
      <c r="D1349" s="78" t="n">
        <v>46204</v>
      </c>
      <c r="E1349" t="inlineStr">
        <is>
          <t>Q2FY27</t>
        </is>
      </c>
      <c r="F1349" t="inlineStr">
        <is>
          <t>29-Dec-2026</t>
        </is>
      </c>
      <c r="G1349" t="inlineStr">
        <is>
          <t>Tuesday</t>
        </is>
      </c>
      <c r="H1349" t="inlineStr">
        <is>
          <t>Monthly - Tuesday</t>
        </is>
      </c>
      <c r="I1349" t="inlineStr">
        <is>
          <t>Monthly - Tuesday</t>
        </is>
      </c>
      <c r="J1349" t="inlineStr">
        <is>
          <t>Month+5 Expiry</t>
        </is>
      </c>
      <c r="K1349" s="25" t="n">
        <v>625</v>
      </c>
      <c r="L1349" s="26" t="n">
        <v>1.0934</v>
      </c>
      <c r="M1349" s="26" t="n">
        <v>0.0163</v>
      </c>
    </row>
    <row r="1350">
      <c r="A1350" t="inlineStr">
        <is>
          <t>29-Jul-2026</t>
        </is>
      </c>
      <c r="B1350" t="inlineStr">
        <is>
          <t>Wednesday</t>
        </is>
      </c>
      <c r="C1350" t="inlineStr">
        <is>
          <t>Week5-Jul-2026</t>
        </is>
      </c>
      <c r="D1350" s="78" t="n">
        <v>46204</v>
      </c>
      <c r="E1350" t="inlineStr">
        <is>
          <t>Q2FY27</t>
        </is>
      </c>
      <c r="F1350" t="inlineStr">
        <is>
          <t>30-Mar-2027</t>
        </is>
      </c>
      <c r="G1350" t="inlineStr">
        <is>
          <t>Tuesday</t>
        </is>
      </c>
      <c r="H1350" t="inlineStr">
        <is>
          <t>Monthly - Tuesday</t>
        </is>
      </c>
      <c r="I1350" t="inlineStr">
        <is>
          <t>Monthly - Tuesday</t>
        </is>
      </c>
      <c r="J1350" t="inlineStr">
        <is>
          <t>Month+8 Expiry</t>
        </is>
      </c>
      <c r="K1350" s="25" t="n">
        <v>6</v>
      </c>
      <c r="L1350" s="26" t="n">
        <v>0.0116</v>
      </c>
      <c r="M1350" s="26" t="n">
        <v>0.0003</v>
      </c>
    </row>
    <row r="1351">
      <c r="A1351" t="inlineStr">
        <is>
          <t>29-Jul-2026</t>
        </is>
      </c>
      <c r="B1351" t="inlineStr">
        <is>
          <t>Wednesday</t>
        </is>
      </c>
      <c r="C1351" t="inlineStr">
        <is>
          <t>Week5-Jul-2026</t>
        </is>
      </c>
      <c r="D1351" s="78" t="n">
        <v>46204</v>
      </c>
      <c r="E1351" t="inlineStr">
        <is>
          <t>Q2FY27</t>
        </is>
      </c>
      <c r="F1351" t="inlineStr">
        <is>
          <t>29-Jun-2027</t>
        </is>
      </c>
      <c r="G1351" t="inlineStr">
        <is>
          <t>Tuesday</t>
        </is>
      </c>
      <c r="H1351" t="inlineStr">
        <is>
          <t>Monthly - Tuesday</t>
        </is>
      </c>
      <c r="I1351" t="inlineStr">
        <is>
          <t>Monthly - Tuesday</t>
        </is>
      </c>
      <c r="J1351" t="inlineStr">
        <is>
          <t>Month+11 Expiry</t>
        </is>
      </c>
      <c r="K1351" s="25" t="n">
        <v>0</v>
      </c>
      <c r="L1351" s="26" t="n">
        <v>0</v>
      </c>
      <c r="M1351" s="26" t="n">
        <v>0</v>
      </c>
    </row>
    <row r="1352">
      <c r="A1352" t="inlineStr">
        <is>
          <t>30-Jul-2026</t>
        </is>
      </c>
      <c r="B1352" t="inlineStr">
        <is>
          <t>Thursday</t>
        </is>
      </c>
      <c r="C1352" t="inlineStr">
        <is>
          <t>Week5-Jul-2026</t>
        </is>
      </c>
      <c r="D1352" s="78" t="n">
        <v>46204</v>
      </c>
      <c r="E1352" t="inlineStr">
        <is>
          <t>Q2FY27</t>
        </is>
      </c>
      <c r="F1352" t="inlineStr">
        <is>
          <t>25-Aug-2026</t>
        </is>
      </c>
      <c r="G1352" t="inlineStr">
        <is>
          <t>Tuesday</t>
        </is>
      </c>
      <c r="H1352" t="inlineStr">
        <is>
          <t>Monthly - Tuesday</t>
        </is>
      </c>
      <c r="I1352" t="inlineStr">
        <is>
          <t>Monthly - Tuesday</t>
        </is>
      </c>
      <c r="J1352" t="inlineStr">
        <is>
          <t>Month+1 Expiry</t>
        </is>
      </c>
      <c r="K1352" s="25" t="n">
        <v>1492007</v>
      </c>
      <c r="L1352" s="26" t="n">
        <v>2585.4254</v>
      </c>
      <c r="M1352" s="26" t="n">
        <v>25.408</v>
      </c>
    </row>
    <row r="1353">
      <c r="A1353" t="inlineStr">
        <is>
          <t>30-Jul-2026</t>
        </is>
      </c>
      <c r="B1353" t="inlineStr">
        <is>
          <t>Thursday</t>
        </is>
      </c>
      <c r="C1353" t="inlineStr">
        <is>
          <t>Week5-Jul-2026</t>
        </is>
      </c>
      <c r="D1353" s="78" t="n">
        <v>46204</v>
      </c>
      <c r="E1353" t="inlineStr">
        <is>
          <t>Q2FY27</t>
        </is>
      </c>
      <c r="F1353" t="inlineStr">
        <is>
          <t>29-Sep-2026</t>
        </is>
      </c>
      <c r="G1353" t="inlineStr">
        <is>
          <t>Tuesday</t>
        </is>
      </c>
      <c r="H1353" t="inlineStr">
        <is>
          <t>Monthly - Tuesday</t>
        </is>
      </c>
      <c r="I1353" t="inlineStr">
        <is>
          <t>Monthly - Tuesday</t>
        </is>
      </c>
      <c r="J1353" t="inlineStr">
        <is>
          <t>Month+2 Expiry</t>
        </is>
      </c>
      <c r="K1353" s="25" t="n">
        <v>16280</v>
      </c>
      <c r="L1353" s="26" t="n">
        <v>28.3459</v>
      </c>
      <c r="M1353" s="26" t="n">
        <v>0.3591</v>
      </c>
    </row>
    <row r="1354">
      <c r="A1354" t="inlineStr">
        <is>
          <t>30-Jul-2026</t>
        </is>
      </c>
      <c r="B1354" t="inlineStr">
        <is>
          <t>Thursday</t>
        </is>
      </c>
      <c r="C1354" t="inlineStr">
        <is>
          <t>Week5-Jul-2026</t>
        </is>
      </c>
      <c r="D1354" s="78" t="n">
        <v>46204</v>
      </c>
      <c r="E1354" t="inlineStr">
        <is>
          <t>Q2FY27</t>
        </is>
      </c>
      <c r="F1354" t="inlineStr">
        <is>
          <t>27-Oct-2026</t>
        </is>
      </c>
      <c r="G1354" t="inlineStr">
        <is>
          <t>Tuesday</t>
        </is>
      </c>
      <c r="H1354" t="inlineStr">
        <is>
          <t>Monthly - Tuesday</t>
        </is>
      </c>
      <c r="I1354" t="inlineStr">
        <is>
          <t>Monthly - Tuesday</t>
        </is>
      </c>
      <c r="J1354" t="inlineStr">
        <is>
          <t>Month+3 Expiry</t>
        </is>
      </c>
      <c r="K1354" s="25" t="n">
        <v>138</v>
      </c>
      <c r="L1354" s="26" t="n">
        <v>0.2433</v>
      </c>
      <c r="M1354" s="26" t="n">
        <v>0.0065</v>
      </c>
    </row>
    <row r="1355">
      <c r="A1355" t="inlineStr">
        <is>
          <t>30-Jul-2026</t>
        </is>
      </c>
      <c r="B1355" t="inlineStr">
        <is>
          <t>Thursday</t>
        </is>
      </c>
      <c r="C1355" t="inlineStr">
        <is>
          <t>Week5-Jul-2026</t>
        </is>
      </c>
      <c r="D1355" s="78" t="n">
        <v>46204</v>
      </c>
      <c r="E1355" t="inlineStr">
        <is>
          <t>Q2FY27</t>
        </is>
      </c>
      <c r="F1355" t="inlineStr">
        <is>
          <t>29-Dec-2026</t>
        </is>
      </c>
      <c r="G1355" t="inlineStr">
        <is>
          <t>Tuesday</t>
        </is>
      </c>
      <c r="H1355" t="inlineStr">
        <is>
          <t>Monthly - Tuesday</t>
        </is>
      </c>
      <c r="I1355" t="inlineStr">
        <is>
          <t>Monthly - Tuesday</t>
        </is>
      </c>
      <c r="J1355" t="inlineStr">
        <is>
          <t>Month+5 Expiry</t>
        </is>
      </c>
      <c r="K1355" s="25" t="n">
        <v>892</v>
      </c>
      <c r="L1355" s="26" t="n">
        <v>1.5905</v>
      </c>
      <c r="M1355" s="26" t="n">
        <v>0.0347</v>
      </c>
    </row>
    <row r="1356">
      <c r="A1356" t="inlineStr">
        <is>
          <t>30-Jul-2026</t>
        </is>
      </c>
      <c r="B1356" t="inlineStr">
        <is>
          <t>Thursday</t>
        </is>
      </c>
      <c r="C1356" t="inlineStr">
        <is>
          <t>Week5-Jul-2026</t>
        </is>
      </c>
      <c r="D1356" s="78" t="n">
        <v>46204</v>
      </c>
      <c r="E1356" t="inlineStr">
        <is>
          <t>Q2FY27</t>
        </is>
      </c>
      <c r="F1356" t="inlineStr">
        <is>
          <t>30-Mar-2027</t>
        </is>
      </c>
      <c r="G1356" t="inlineStr">
        <is>
          <t>Tuesday</t>
        </is>
      </c>
      <c r="H1356" t="inlineStr">
        <is>
          <t>Monthly - Tuesday</t>
        </is>
      </c>
      <c r="I1356" t="inlineStr">
        <is>
          <t>Monthly - Tuesday</t>
        </is>
      </c>
      <c r="J1356" t="inlineStr">
        <is>
          <t>Month+8 Expiry</t>
        </is>
      </c>
      <c r="K1356" s="25" t="n">
        <v>3</v>
      </c>
      <c r="L1356" s="26" t="n">
        <v>0.0055</v>
      </c>
      <c r="M1356" s="26" t="n">
        <v>0.0002</v>
      </c>
    </row>
    <row r="1357">
      <c r="A1357" t="inlineStr">
        <is>
          <t>30-Jul-2026</t>
        </is>
      </c>
      <c r="B1357" t="inlineStr">
        <is>
          <t>Thursday</t>
        </is>
      </c>
      <c r="C1357" t="inlineStr">
        <is>
          <t>Week5-Jul-2026</t>
        </is>
      </c>
      <c r="D1357" s="78" t="n">
        <v>46204</v>
      </c>
      <c r="E1357" t="inlineStr">
        <is>
          <t>Q2FY27</t>
        </is>
      </c>
      <c r="F1357" t="inlineStr">
        <is>
          <t>29-Jun-2027</t>
        </is>
      </c>
      <c r="G1357" t="inlineStr">
        <is>
          <t>Tuesday</t>
        </is>
      </c>
      <c r="H1357" t="inlineStr">
        <is>
          <t>Monthly - Tuesday</t>
        </is>
      </c>
      <c r="I1357" t="inlineStr">
        <is>
          <t>Monthly - Tuesday</t>
        </is>
      </c>
      <c r="J1357" t="inlineStr">
        <is>
          <t>Month+11 Expiry</t>
        </is>
      </c>
      <c r="K1357" s="25" t="n">
        <v>0</v>
      </c>
      <c r="L1357" s="26" t="n">
        <v>0</v>
      </c>
      <c r="M1357" s="26" t="n">
        <v>0</v>
      </c>
    </row>
    <row r="1358">
      <c r="A1358" t="inlineStr">
        <is>
          <t>31-Jul-2026</t>
        </is>
      </c>
      <c r="B1358" t="inlineStr">
        <is>
          <t>Friday</t>
        </is>
      </c>
      <c r="C1358" t="inlineStr">
        <is>
          <t>Week5-Jul-2026</t>
        </is>
      </c>
      <c r="D1358" s="78" t="n">
        <v>46204</v>
      </c>
      <c r="E1358" t="inlineStr">
        <is>
          <t>Q2FY27</t>
        </is>
      </c>
      <c r="F1358" t="inlineStr">
        <is>
          <t>25-Aug-2026</t>
        </is>
      </c>
      <c r="G1358" t="inlineStr">
        <is>
          <t>Tuesday</t>
        </is>
      </c>
      <c r="H1358" t="inlineStr">
        <is>
          <t>Monthly - Tuesday</t>
        </is>
      </c>
      <c r="I1358" t="inlineStr">
        <is>
          <t>Monthly - Tuesday</t>
        </is>
      </c>
      <c r="J1358" t="inlineStr">
        <is>
          <t>Month+1 Expiry</t>
        </is>
      </c>
      <c r="K1358" s="25" t="n">
        <v>1490985</v>
      </c>
      <c r="L1358" s="26" t="n">
        <v>2588.3994</v>
      </c>
      <c r="M1358" s="26" t="n">
        <v>23.1603</v>
      </c>
    </row>
    <row r="1359">
      <c r="A1359" t="inlineStr">
        <is>
          <t>31-Jul-2026</t>
        </is>
      </c>
      <c r="B1359" t="inlineStr">
        <is>
          <t>Friday</t>
        </is>
      </c>
      <c r="C1359" t="inlineStr">
        <is>
          <t>Week5-Jul-2026</t>
        </is>
      </c>
      <c r="D1359" s="78" t="n">
        <v>46204</v>
      </c>
      <c r="E1359" t="inlineStr">
        <is>
          <t>Q2FY27</t>
        </is>
      </c>
      <c r="F1359" t="inlineStr">
        <is>
          <t>29-Sep-2026</t>
        </is>
      </c>
      <c r="G1359" t="inlineStr">
        <is>
          <t>Tuesday</t>
        </is>
      </c>
      <c r="H1359" t="inlineStr">
        <is>
          <t>Monthly - Tuesday</t>
        </is>
      </c>
      <c r="I1359" t="inlineStr">
        <is>
          <t>Monthly - Tuesday</t>
        </is>
      </c>
      <c r="J1359" t="inlineStr">
        <is>
          <t>Month+2 Expiry</t>
        </is>
      </c>
      <c r="K1359" s="25" t="n">
        <v>21476</v>
      </c>
      <c r="L1359" s="26" t="n">
        <v>37.2406</v>
      </c>
      <c r="M1359" s="26" t="n">
        <v>0.3681</v>
      </c>
    </row>
    <row r="1360">
      <c r="A1360" t="inlineStr">
        <is>
          <t>31-Jul-2026</t>
        </is>
      </c>
      <c r="B1360" t="inlineStr">
        <is>
          <t>Friday</t>
        </is>
      </c>
      <c r="C1360" t="inlineStr">
        <is>
          <t>Week5-Jul-2026</t>
        </is>
      </c>
      <c r="D1360" s="78" t="n">
        <v>46204</v>
      </c>
      <c r="E1360" t="inlineStr">
        <is>
          <t>Q2FY27</t>
        </is>
      </c>
      <c r="F1360" t="inlineStr">
        <is>
          <t>27-Oct-2026</t>
        </is>
      </c>
      <c r="G1360" t="inlineStr">
        <is>
          <t>Tuesday</t>
        </is>
      </c>
      <c r="H1360" t="inlineStr">
        <is>
          <t>Monthly - Tuesday</t>
        </is>
      </c>
      <c r="I1360" t="inlineStr">
        <is>
          <t>Monthly - Tuesday</t>
        </is>
      </c>
      <c r="J1360" t="inlineStr">
        <is>
          <t>Month+3 Expiry</t>
        </is>
      </c>
      <c r="K1360" s="25" t="n">
        <v>446</v>
      </c>
      <c r="L1360" s="26" t="n">
        <v>0.7835</v>
      </c>
      <c r="M1360" s="26" t="n">
        <v>0.0168</v>
      </c>
    </row>
    <row r="1361">
      <c r="A1361" t="inlineStr">
        <is>
          <t>31-Jul-2026</t>
        </is>
      </c>
      <c r="B1361" t="inlineStr">
        <is>
          <t>Friday</t>
        </is>
      </c>
      <c r="C1361" t="inlineStr">
        <is>
          <t>Week5-Jul-2026</t>
        </is>
      </c>
      <c r="D1361" s="78" t="n">
        <v>46204</v>
      </c>
      <c r="E1361" t="inlineStr">
        <is>
          <t>Q2FY27</t>
        </is>
      </c>
      <c r="F1361" t="inlineStr">
        <is>
          <t>29-Dec-2026</t>
        </is>
      </c>
      <c r="G1361" t="inlineStr">
        <is>
          <t>Tuesday</t>
        </is>
      </c>
      <c r="H1361" t="inlineStr">
        <is>
          <t>Monthly - Tuesday</t>
        </is>
      </c>
      <c r="I1361" t="inlineStr">
        <is>
          <t>Monthly - Tuesday</t>
        </is>
      </c>
      <c r="J1361" t="inlineStr">
        <is>
          <t>Month+5 Expiry</t>
        </is>
      </c>
      <c r="K1361" s="25" t="n">
        <v>593</v>
      </c>
      <c r="L1361" s="26" t="n">
        <v>1.0352</v>
      </c>
      <c r="M1361" s="26" t="n">
        <v>0.0204</v>
      </c>
    </row>
    <row r="1362">
      <c r="A1362" t="inlineStr">
        <is>
          <t>31-Jul-2026</t>
        </is>
      </c>
      <c r="B1362" t="inlineStr">
        <is>
          <t>Friday</t>
        </is>
      </c>
      <c r="C1362" t="inlineStr">
        <is>
          <t>Week5-Jul-2026</t>
        </is>
      </c>
      <c r="D1362" s="78" t="n">
        <v>46204</v>
      </c>
      <c r="E1362" t="inlineStr">
        <is>
          <t>Q2FY27</t>
        </is>
      </c>
      <c r="F1362" t="inlineStr">
        <is>
          <t>30-Mar-2027</t>
        </is>
      </c>
      <c r="G1362" t="inlineStr">
        <is>
          <t>Tuesday</t>
        </is>
      </c>
      <c r="H1362" t="inlineStr">
        <is>
          <t>Monthly - Tuesday</t>
        </is>
      </c>
      <c r="I1362" t="inlineStr">
        <is>
          <t>Monthly - Tuesday</t>
        </is>
      </c>
      <c r="J1362" t="inlineStr">
        <is>
          <t>Month+8 Expiry</t>
        </is>
      </c>
      <c r="K1362" s="25" t="n">
        <v>4</v>
      </c>
      <c r="L1362" s="26" t="n">
        <v>0.007</v>
      </c>
      <c r="M1362" s="26" t="n">
        <v>0.0002</v>
      </c>
    </row>
    <row r="1363">
      <c r="A1363" t="inlineStr">
        <is>
          <t>31-Jul-2026</t>
        </is>
      </c>
      <c r="B1363" t="inlineStr">
        <is>
          <t>Friday</t>
        </is>
      </c>
      <c r="C1363" t="inlineStr">
        <is>
          <t>Week5-Jul-2026</t>
        </is>
      </c>
      <c r="D1363" s="78" t="n">
        <v>46204</v>
      </c>
      <c r="E1363" t="inlineStr">
        <is>
          <t>Q2FY27</t>
        </is>
      </c>
      <c r="F1363" t="inlineStr">
        <is>
          <t>29-Jun-2027</t>
        </is>
      </c>
      <c r="G1363" t="inlineStr">
        <is>
          <t>Tuesday</t>
        </is>
      </c>
      <c r="H1363" t="inlineStr">
        <is>
          <t>Monthly - Tuesday</t>
        </is>
      </c>
      <c r="I1363" t="inlineStr">
        <is>
          <t>Monthly - Tuesday</t>
        </is>
      </c>
      <c r="J1363" t="inlineStr">
        <is>
          <t>Month+11 Expiry</t>
        </is>
      </c>
      <c r="K1363" s="25" t="n">
        <v>0</v>
      </c>
      <c r="L1363" s="26" t="n">
        <v>0</v>
      </c>
      <c r="M1363" s="26" t="n">
        <v>0</v>
      </c>
    </row>
    <row r="1364">
      <c r="A1364" t="inlineStr">
        <is>
          <t>03-Aug-2026</t>
        </is>
      </c>
      <c r="B1364" t="inlineStr">
        <is>
          <t>Monday</t>
        </is>
      </c>
      <c r="C1364" t="inlineStr">
        <is>
          <t>Week1-Aug-2026</t>
        </is>
      </c>
      <c r="D1364" s="78" t="n">
        <v>46235</v>
      </c>
      <c r="E1364" t="inlineStr">
        <is>
          <t>Q2FY27</t>
        </is>
      </c>
      <c r="F1364" t="inlineStr">
        <is>
          <t>25-Aug-2026</t>
        </is>
      </c>
      <c r="G1364" t="inlineStr">
        <is>
          <t>Tuesday</t>
        </is>
      </c>
      <c r="H1364" t="inlineStr">
        <is>
          <t>Monthly - Tuesday</t>
        </is>
      </c>
      <c r="I1364" t="inlineStr">
        <is>
          <t>Monthly - Tuesday</t>
        </is>
      </c>
      <c r="J1364" t="inlineStr">
        <is>
          <t>Same Month Expiry</t>
        </is>
      </c>
      <c r="K1364" s="25" t="n">
        <v>1704387</v>
      </c>
      <c r="L1364" s="26" t="n">
        <v>2978.9042</v>
      </c>
      <c r="M1364" s="26" t="n">
        <v>24.4895</v>
      </c>
    </row>
    <row r="1365">
      <c r="A1365" t="inlineStr">
        <is>
          <t>03-Aug-2026</t>
        </is>
      </c>
      <c r="B1365" t="inlineStr">
        <is>
          <t>Monday</t>
        </is>
      </c>
      <c r="C1365" t="inlineStr">
        <is>
          <t>Week1-Aug-2026</t>
        </is>
      </c>
      <c r="D1365" s="78" t="n">
        <v>46235</v>
      </c>
      <c r="E1365" t="inlineStr">
        <is>
          <t>Q2FY27</t>
        </is>
      </c>
      <c r="F1365" t="inlineStr">
        <is>
          <t>29-Sep-2026</t>
        </is>
      </c>
      <c r="G1365" t="inlineStr">
        <is>
          <t>Tuesday</t>
        </is>
      </c>
      <c r="H1365" t="inlineStr">
        <is>
          <t>Monthly - Tuesday</t>
        </is>
      </c>
      <c r="I1365" t="inlineStr">
        <is>
          <t>Monthly - Tuesday</t>
        </is>
      </c>
      <c r="J1365" t="inlineStr">
        <is>
          <t>Month+1 Expiry</t>
        </is>
      </c>
      <c r="K1365" s="25" t="n">
        <v>26992</v>
      </c>
      <c r="L1365" s="26" t="n">
        <v>46.6059</v>
      </c>
      <c r="M1365" s="26" t="n">
        <v>0.525</v>
      </c>
    </row>
    <row r="1366">
      <c r="A1366" t="inlineStr">
        <is>
          <t>03-Aug-2026</t>
        </is>
      </c>
      <c r="B1366" t="inlineStr">
        <is>
          <t>Monday</t>
        </is>
      </c>
      <c r="C1366" t="inlineStr">
        <is>
          <t>Week1-Aug-2026</t>
        </is>
      </c>
      <c r="D1366" s="78" t="n">
        <v>46235</v>
      </c>
      <c r="E1366" t="inlineStr">
        <is>
          <t>Q2FY27</t>
        </is>
      </c>
      <c r="F1366" t="inlineStr">
        <is>
          <t>27-Oct-2026</t>
        </is>
      </c>
      <c r="G1366" t="inlineStr">
        <is>
          <t>Tuesday</t>
        </is>
      </c>
      <c r="H1366" t="inlineStr">
        <is>
          <t>Monthly - Tuesday</t>
        </is>
      </c>
      <c r="I1366" t="inlineStr">
        <is>
          <t>Monthly - Tuesday</t>
        </is>
      </c>
      <c r="J1366" t="inlineStr">
        <is>
          <t>Month+2 Expiry</t>
        </is>
      </c>
      <c r="K1366" s="25" t="n">
        <v>570</v>
      </c>
      <c r="L1366" s="26" t="n">
        <v>0.9944</v>
      </c>
      <c r="M1366" s="26" t="n">
        <v>0.0178</v>
      </c>
    </row>
    <row r="1367">
      <c r="A1367" t="inlineStr">
        <is>
          <t>03-Aug-2026</t>
        </is>
      </c>
      <c r="B1367" t="inlineStr">
        <is>
          <t>Monday</t>
        </is>
      </c>
      <c r="C1367" t="inlineStr">
        <is>
          <t>Week1-Aug-2026</t>
        </is>
      </c>
      <c r="D1367" s="78" t="n">
        <v>46235</v>
      </c>
      <c r="E1367" t="inlineStr">
        <is>
          <t>Q2FY27</t>
        </is>
      </c>
      <c r="F1367" t="inlineStr">
        <is>
          <t>29-Dec-2026</t>
        </is>
      </c>
      <c r="G1367" t="inlineStr">
        <is>
          <t>Tuesday</t>
        </is>
      </c>
      <c r="H1367" t="inlineStr">
        <is>
          <t>Monthly - Tuesday</t>
        </is>
      </c>
      <c r="I1367" t="inlineStr">
        <is>
          <t>Monthly - Tuesday</t>
        </is>
      </c>
      <c r="J1367" t="inlineStr">
        <is>
          <t>Month+4 Expiry</t>
        </is>
      </c>
      <c r="K1367" s="25" t="n">
        <v>1022</v>
      </c>
      <c r="L1367" s="26" t="n">
        <v>1.7768</v>
      </c>
      <c r="M1367" s="26" t="n">
        <v>0.0338</v>
      </c>
    </row>
    <row r="1368">
      <c r="A1368" t="inlineStr">
        <is>
          <t>03-Aug-2026</t>
        </is>
      </c>
      <c r="B1368" t="inlineStr">
        <is>
          <t>Monday</t>
        </is>
      </c>
      <c r="C1368" t="inlineStr">
        <is>
          <t>Week1-Aug-2026</t>
        </is>
      </c>
      <c r="D1368" s="78" t="n">
        <v>46235</v>
      </c>
      <c r="E1368" t="inlineStr">
        <is>
          <t>Q2FY27</t>
        </is>
      </c>
      <c r="F1368" t="inlineStr">
        <is>
          <t>30-Mar-2027</t>
        </is>
      </c>
      <c r="G1368" t="inlineStr">
        <is>
          <t>Tuesday</t>
        </is>
      </c>
      <c r="H1368" t="inlineStr">
        <is>
          <t>Monthly - Tuesday</t>
        </is>
      </c>
      <c r="I1368" t="inlineStr">
        <is>
          <t>Monthly - Tuesday</t>
        </is>
      </c>
      <c r="J1368" t="inlineStr">
        <is>
          <t>Month+7 Expiry</t>
        </is>
      </c>
      <c r="K1368" s="25" t="n">
        <v>11</v>
      </c>
      <c r="L1368" s="26" t="n">
        <v>0.0202</v>
      </c>
      <c r="M1368" s="26" t="n">
        <v>0.0005</v>
      </c>
    </row>
    <row r="1369">
      <c r="A1369" t="inlineStr">
        <is>
          <t>03-Aug-2026</t>
        </is>
      </c>
      <c r="B1369" t="inlineStr">
        <is>
          <t>Monday</t>
        </is>
      </c>
      <c r="C1369" t="inlineStr">
        <is>
          <t>Week1-Aug-2026</t>
        </is>
      </c>
      <c r="D1369" s="78" t="n">
        <v>46235</v>
      </c>
      <c r="E1369" t="inlineStr">
        <is>
          <t>Q2FY27</t>
        </is>
      </c>
      <c r="F1369" t="inlineStr">
        <is>
          <t>29-Jun-2027</t>
        </is>
      </c>
      <c r="G1369" t="inlineStr">
        <is>
          <t>Tuesday</t>
        </is>
      </c>
      <c r="H1369" t="inlineStr">
        <is>
          <t>Monthly - Tuesday</t>
        </is>
      </c>
      <c r="I1369" t="inlineStr">
        <is>
          <t>Monthly - Tuesday</t>
        </is>
      </c>
      <c r="J1369" t="inlineStr">
        <is>
          <t>Month+10 Expiry</t>
        </is>
      </c>
      <c r="K1369" s="25" t="n">
        <v>0</v>
      </c>
      <c r="L1369" s="26" t="n">
        <v>0</v>
      </c>
      <c r="M1369" s="26" t="n">
        <v>0</v>
      </c>
    </row>
    <row r="1370">
      <c r="A1370" t="inlineStr">
        <is>
          <t>04-Aug-2026</t>
        </is>
      </c>
      <c r="B1370" t="inlineStr">
        <is>
          <t>Tuesday</t>
        </is>
      </c>
      <c r="C1370" t="inlineStr">
        <is>
          <t>Week1-Aug-2026</t>
        </is>
      </c>
      <c r="D1370" s="78" t="n">
        <v>46235</v>
      </c>
      <c r="E1370" t="inlineStr">
        <is>
          <t>Q2FY27</t>
        </is>
      </c>
      <c r="F1370" t="inlineStr">
        <is>
          <t>25-Aug-2026</t>
        </is>
      </c>
      <c r="G1370" t="inlineStr">
        <is>
          <t>Tuesday</t>
        </is>
      </c>
      <c r="H1370" t="inlineStr">
        <is>
          <t>Monthly - Tuesday</t>
        </is>
      </c>
      <c r="I1370" t="inlineStr">
        <is>
          <t>Monthly - Tuesday</t>
        </is>
      </c>
      <c r="J1370" t="inlineStr">
        <is>
          <t>Same Month Expiry</t>
        </is>
      </c>
      <c r="K1370" s="25" t="n">
        <v>1604393</v>
      </c>
      <c r="L1370" s="26" t="n">
        <v>2801.1568</v>
      </c>
      <c r="M1370" s="26" t="n">
        <v>23.685</v>
      </c>
    </row>
    <row r="1371">
      <c r="A1371" t="inlineStr">
        <is>
          <t>04-Aug-2026</t>
        </is>
      </c>
      <c r="B1371" t="inlineStr">
        <is>
          <t>Tuesday</t>
        </is>
      </c>
      <c r="C1371" t="inlineStr">
        <is>
          <t>Week1-Aug-2026</t>
        </is>
      </c>
      <c r="D1371" s="78" t="n">
        <v>46235</v>
      </c>
      <c r="E1371" t="inlineStr">
        <is>
          <t>Q2FY27</t>
        </is>
      </c>
      <c r="F1371" t="inlineStr">
        <is>
          <t>29-Sep-2026</t>
        </is>
      </c>
      <c r="G1371" t="inlineStr">
        <is>
          <t>Tuesday</t>
        </is>
      </c>
      <c r="H1371" t="inlineStr">
        <is>
          <t>Monthly - Tuesday</t>
        </is>
      </c>
      <c r="I1371" t="inlineStr">
        <is>
          <t>Monthly - Tuesday</t>
        </is>
      </c>
      <c r="J1371" t="inlineStr">
        <is>
          <t>Month+1 Expiry</t>
        </is>
      </c>
      <c r="K1371" s="25" t="n">
        <v>26077</v>
      </c>
      <c r="L1371" s="26" t="n">
        <v>45.2813</v>
      </c>
      <c r="M1371" s="26" t="n">
        <v>0.5082</v>
      </c>
    </row>
    <row r="1372">
      <c r="A1372" t="inlineStr">
        <is>
          <t>04-Aug-2026</t>
        </is>
      </c>
      <c r="B1372" t="inlineStr">
        <is>
          <t>Tuesday</t>
        </is>
      </c>
      <c r="C1372" t="inlineStr">
        <is>
          <t>Week1-Aug-2026</t>
        </is>
      </c>
      <c r="D1372" s="78" t="n">
        <v>46235</v>
      </c>
      <c r="E1372" t="inlineStr">
        <is>
          <t>Q2FY27</t>
        </is>
      </c>
      <c r="F1372" t="inlineStr">
        <is>
          <t>27-Oct-2026</t>
        </is>
      </c>
      <c r="G1372" t="inlineStr">
        <is>
          <t>Tuesday</t>
        </is>
      </c>
      <c r="H1372" t="inlineStr">
        <is>
          <t>Monthly - Tuesday</t>
        </is>
      </c>
      <c r="I1372" t="inlineStr">
        <is>
          <t>Monthly - Tuesday</t>
        </is>
      </c>
      <c r="J1372" t="inlineStr">
        <is>
          <t>Month+2 Expiry</t>
        </is>
      </c>
      <c r="K1372" s="25" t="n">
        <v>926</v>
      </c>
      <c r="L1372" s="26" t="n">
        <v>1.6153</v>
      </c>
      <c r="M1372" s="26" t="n">
        <v>0.0283</v>
      </c>
    </row>
    <row r="1373">
      <c r="A1373" t="inlineStr">
        <is>
          <t>04-Aug-2026</t>
        </is>
      </c>
      <c r="B1373" t="inlineStr">
        <is>
          <t>Tuesday</t>
        </is>
      </c>
      <c r="C1373" t="inlineStr">
        <is>
          <t>Week1-Aug-2026</t>
        </is>
      </c>
      <c r="D1373" s="78" t="n">
        <v>46235</v>
      </c>
      <c r="E1373" t="inlineStr">
        <is>
          <t>Q2FY27</t>
        </is>
      </c>
      <c r="F1373" t="inlineStr">
        <is>
          <t>29-Dec-2026</t>
        </is>
      </c>
      <c r="G1373" t="inlineStr">
        <is>
          <t>Tuesday</t>
        </is>
      </c>
      <c r="H1373" t="inlineStr">
        <is>
          <t>Monthly - Tuesday</t>
        </is>
      </c>
      <c r="I1373" t="inlineStr">
        <is>
          <t>Monthly - Tuesday</t>
        </is>
      </c>
      <c r="J1373" t="inlineStr">
        <is>
          <t>Month+4 Expiry</t>
        </is>
      </c>
      <c r="K1373" s="25" t="n">
        <v>710</v>
      </c>
      <c r="L1373" s="26" t="n">
        <v>1.2184</v>
      </c>
      <c r="M1373" s="26" t="n">
        <v>0.0211</v>
      </c>
    </row>
    <row r="1374">
      <c r="A1374" t="inlineStr">
        <is>
          <t>04-Aug-2026</t>
        </is>
      </c>
      <c r="B1374" t="inlineStr">
        <is>
          <t>Tuesday</t>
        </is>
      </c>
      <c r="C1374" t="inlineStr">
        <is>
          <t>Week1-Aug-2026</t>
        </is>
      </c>
      <c r="D1374" s="78" t="n">
        <v>46235</v>
      </c>
      <c r="E1374" t="inlineStr">
        <is>
          <t>Q2FY27</t>
        </is>
      </c>
      <c r="F1374" t="inlineStr">
        <is>
          <t>30-Mar-2027</t>
        </is>
      </c>
      <c r="G1374" t="inlineStr">
        <is>
          <t>Tuesday</t>
        </is>
      </c>
      <c r="H1374" t="inlineStr">
        <is>
          <t>Monthly - Tuesday</t>
        </is>
      </c>
      <c r="I1374" t="inlineStr">
        <is>
          <t>Monthly - Tuesday</t>
        </is>
      </c>
      <c r="J1374" t="inlineStr">
        <is>
          <t>Month+7 Expiry</t>
        </is>
      </c>
      <c r="K1374" s="25" t="n">
        <v>14</v>
      </c>
      <c r="L1374" s="26" t="n">
        <v>0.0248</v>
      </c>
      <c r="M1374" s="26" t="n">
        <v>0.0005</v>
      </c>
    </row>
    <row r="1375">
      <c r="A1375" t="inlineStr">
        <is>
          <t>04-Aug-2026</t>
        </is>
      </c>
      <c r="B1375" t="inlineStr">
        <is>
          <t>Tuesday</t>
        </is>
      </c>
      <c r="C1375" t="inlineStr">
        <is>
          <t>Week1-Aug-2026</t>
        </is>
      </c>
      <c r="D1375" s="78" t="n">
        <v>46235</v>
      </c>
      <c r="E1375" t="inlineStr">
        <is>
          <t>Q2FY27</t>
        </is>
      </c>
      <c r="F1375" t="inlineStr">
        <is>
          <t>29-Jun-2027</t>
        </is>
      </c>
      <c r="G1375" t="inlineStr">
        <is>
          <t>Tuesday</t>
        </is>
      </c>
      <c r="H1375" t="inlineStr">
        <is>
          <t>Monthly - Tuesday</t>
        </is>
      </c>
      <c r="I1375" t="inlineStr">
        <is>
          <t>Monthly - Tuesday</t>
        </is>
      </c>
      <c r="J1375" t="inlineStr">
        <is>
          <t>Month+10 Expiry</t>
        </is>
      </c>
      <c r="K1375" s="25" t="n">
        <v>0</v>
      </c>
      <c r="L1375" s="26" t="n">
        <v>0</v>
      </c>
      <c r="M1375" s="26" t="n">
        <v>0</v>
      </c>
    </row>
    <row r="1376">
      <c r="A1376" t="inlineStr">
        <is>
          <t>05-Aug-2026</t>
        </is>
      </c>
      <c r="B1376" t="inlineStr">
        <is>
          <t>Wednesday</t>
        </is>
      </c>
      <c r="C1376" t="inlineStr">
        <is>
          <t>Week1-Aug-2026</t>
        </is>
      </c>
      <c r="D1376" s="78" t="n">
        <v>46235</v>
      </c>
      <c r="E1376" t="inlineStr">
        <is>
          <t>Q2FY27</t>
        </is>
      </c>
      <c r="F1376" t="inlineStr">
        <is>
          <t>25-Aug-2026</t>
        </is>
      </c>
      <c r="G1376" t="inlineStr">
        <is>
          <t>Tuesday</t>
        </is>
      </c>
      <c r="H1376" t="inlineStr">
        <is>
          <t>Monthly - Tuesday</t>
        </is>
      </c>
      <c r="I1376" t="inlineStr">
        <is>
          <t>Monthly - Tuesday</t>
        </is>
      </c>
      <c r="J1376" t="inlineStr">
        <is>
          <t>Same Month Expiry</t>
        </is>
      </c>
      <c r="K1376" s="25" t="n">
        <v>2455809</v>
      </c>
      <c r="L1376" s="26" t="n">
        <v>4302.8499</v>
      </c>
      <c r="M1376" s="26" t="n">
        <v>34.2238</v>
      </c>
    </row>
    <row r="1377">
      <c r="A1377" t="inlineStr">
        <is>
          <t>05-Aug-2026</t>
        </is>
      </c>
      <c r="B1377" t="inlineStr">
        <is>
          <t>Wednesday</t>
        </is>
      </c>
      <c r="C1377" t="inlineStr">
        <is>
          <t>Week1-Aug-2026</t>
        </is>
      </c>
      <c r="D1377" s="78" t="n">
        <v>46235</v>
      </c>
      <c r="E1377" t="inlineStr">
        <is>
          <t>Q2FY27</t>
        </is>
      </c>
      <c r="F1377" t="inlineStr">
        <is>
          <t>29-Sep-2026</t>
        </is>
      </c>
      <c r="G1377" t="inlineStr">
        <is>
          <t>Tuesday</t>
        </is>
      </c>
      <c r="H1377" t="inlineStr">
        <is>
          <t>Monthly - Tuesday</t>
        </is>
      </c>
      <c r="I1377" t="inlineStr">
        <is>
          <t>Monthly - Tuesday</t>
        </is>
      </c>
      <c r="J1377" t="inlineStr">
        <is>
          <t>Month+1 Expiry</t>
        </is>
      </c>
      <c r="K1377" s="25" t="n">
        <v>32370</v>
      </c>
      <c r="L1377" s="26" t="n">
        <v>56.0606</v>
      </c>
      <c r="M1377" s="26" t="n">
        <v>0.6308</v>
      </c>
    </row>
    <row r="1378">
      <c r="A1378" t="inlineStr">
        <is>
          <t>05-Aug-2026</t>
        </is>
      </c>
      <c r="B1378" t="inlineStr">
        <is>
          <t>Wednesday</t>
        </is>
      </c>
      <c r="C1378" t="inlineStr">
        <is>
          <t>Week1-Aug-2026</t>
        </is>
      </c>
      <c r="D1378" s="78" t="n">
        <v>46235</v>
      </c>
      <c r="E1378" t="inlineStr">
        <is>
          <t>Q2FY27</t>
        </is>
      </c>
      <c r="F1378" t="inlineStr">
        <is>
          <t>27-Oct-2026</t>
        </is>
      </c>
      <c r="G1378" t="inlineStr">
        <is>
          <t>Tuesday</t>
        </is>
      </c>
      <c r="H1378" t="inlineStr">
        <is>
          <t>Monthly - Tuesday</t>
        </is>
      </c>
      <c r="I1378" t="inlineStr">
        <is>
          <t>Monthly - Tuesday</t>
        </is>
      </c>
      <c r="J1378" t="inlineStr">
        <is>
          <t>Month+2 Expiry</t>
        </is>
      </c>
      <c r="K1378" s="25" t="n">
        <v>1122</v>
      </c>
      <c r="L1378" s="26" t="n">
        <v>1.9643</v>
      </c>
      <c r="M1378" s="26" t="n">
        <v>0.0332</v>
      </c>
    </row>
    <row r="1379">
      <c r="A1379" t="inlineStr">
        <is>
          <t>05-Aug-2026</t>
        </is>
      </c>
      <c r="B1379" t="inlineStr">
        <is>
          <t>Wednesday</t>
        </is>
      </c>
      <c r="C1379" t="inlineStr">
        <is>
          <t>Week1-Aug-2026</t>
        </is>
      </c>
      <c r="D1379" s="78" t="n">
        <v>46235</v>
      </c>
      <c r="E1379" t="inlineStr">
        <is>
          <t>Q2FY27</t>
        </is>
      </c>
      <c r="F1379" t="inlineStr">
        <is>
          <t>29-Dec-2026</t>
        </is>
      </c>
      <c r="G1379" t="inlineStr">
        <is>
          <t>Tuesday</t>
        </is>
      </c>
      <c r="H1379" t="inlineStr">
        <is>
          <t>Monthly - Tuesday</t>
        </is>
      </c>
      <c r="I1379" t="inlineStr">
        <is>
          <t>Monthly - Tuesday</t>
        </is>
      </c>
      <c r="J1379" t="inlineStr">
        <is>
          <t>Month+4 Expiry</t>
        </is>
      </c>
      <c r="K1379" s="25" t="n">
        <v>1278</v>
      </c>
      <c r="L1379" s="26" t="n">
        <v>2.1955</v>
      </c>
      <c r="M1379" s="26" t="n">
        <v>0.0394</v>
      </c>
    </row>
    <row r="1380">
      <c r="A1380" t="inlineStr">
        <is>
          <t>05-Aug-2026</t>
        </is>
      </c>
      <c r="B1380" t="inlineStr">
        <is>
          <t>Wednesday</t>
        </is>
      </c>
      <c r="C1380" t="inlineStr">
        <is>
          <t>Week1-Aug-2026</t>
        </is>
      </c>
      <c r="D1380" s="78" t="n">
        <v>46235</v>
      </c>
      <c r="E1380" t="inlineStr">
        <is>
          <t>Q2FY27</t>
        </is>
      </c>
      <c r="F1380" t="inlineStr">
        <is>
          <t>30-Mar-2027</t>
        </is>
      </c>
      <c r="G1380" t="inlineStr">
        <is>
          <t>Tuesday</t>
        </is>
      </c>
      <c r="H1380" t="inlineStr">
        <is>
          <t>Monthly - Tuesday</t>
        </is>
      </c>
      <c r="I1380" t="inlineStr">
        <is>
          <t>Monthly - Tuesday</t>
        </is>
      </c>
      <c r="J1380" t="inlineStr">
        <is>
          <t>Month+7 Expiry</t>
        </is>
      </c>
      <c r="K1380" s="25" t="n">
        <v>6</v>
      </c>
      <c r="L1380" s="26" t="n">
        <v>0.0111</v>
      </c>
      <c r="M1380" s="26" t="n">
        <v>0.0003</v>
      </c>
    </row>
    <row r="1381">
      <c r="A1381" t="inlineStr">
        <is>
          <t>05-Aug-2026</t>
        </is>
      </c>
      <c r="B1381" t="inlineStr">
        <is>
          <t>Wednesday</t>
        </is>
      </c>
      <c r="C1381" t="inlineStr">
        <is>
          <t>Week1-Aug-2026</t>
        </is>
      </c>
      <c r="D1381" s="78" t="n">
        <v>46235</v>
      </c>
      <c r="E1381" t="inlineStr">
        <is>
          <t>Q2FY27</t>
        </is>
      </c>
      <c r="F1381" t="inlineStr">
        <is>
          <t>29-Jun-2027</t>
        </is>
      </c>
      <c r="G1381" t="inlineStr">
        <is>
          <t>Tuesday</t>
        </is>
      </c>
      <c r="H1381" t="inlineStr">
        <is>
          <t>Monthly - Tuesday</t>
        </is>
      </c>
      <c r="I1381" t="inlineStr">
        <is>
          <t>Monthly - Tuesday</t>
        </is>
      </c>
      <c r="J1381" t="inlineStr">
        <is>
          <t>Month+10 Expiry</t>
        </is>
      </c>
      <c r="K1381" s="25" t="n">
        <v>0</v>
      </c>
      <c r="L1381" s="26" t="n">
        <v>0</v>
      </c>
      <c r="M1381" s="26" t="n">
        <v>0</v>
      </c>
    </row>
    <row r="1382">
      <c r="A1382" t="inlineStr">
        <is>
          <t>06-Aug-2026</t>
        </is>
      </c>
      <c r="B1382" t="inlineStr">
        <is>
          <t>Thursday</t>
        </is>
      </c>
      <c r="C1382" t="inlineStr">
        <is>
          <t>Week1-Aug-2026</t>
        </is>
      </c>
      <c r="D1382" s="78" t="n">
        <v>46235</v>
      </c>
      <c r="E1382" t="inlineStr">
        <is>
          <t>Q2FY27</t>
        </is>
      </c>
      <c r="F1382" t="inlineStr">
        <is>
          <t>25-Aug-2026</t>
        </is>
      </c>
      <c r="G1382" t="inlineStr">
        <is>
          <t>Tuesday</t>
        </is>
      </c>
      <c r="H1382" t="inlineStr">
        <is>
          <t>Monthly - Tuesday</t>
        </is>
      </c>
      <c r="I1382" t="inlineStr">
        <is>
          <t>Monthly - Tuesday</t>
        </is>
      </c>
      <c r="J1382" t="inlineStr">
        <is>
          <t>Same Month Expiry</t>
        </is>
      </c>
      <c r="K1382" s="25" t="n">
        <v>1586043</v>
      </c>
      <c r="L1382" s="26" t="n">
        <v>2775.7717</v>
      </c>
      <c r="M1382" s="26" t="n">
        <v>22.9674</v>
      </c>
    </row>
    <row r="1383">
      <c r="A1383" t="inlineStr">
        <is>
          <t>06-Aug-2026</t>
        </is>
      </c>
      <c r="B1383" t="inlineStr">
        <is>
          <t>Thursday</t>
        </is>
      </c>
      <c r="C1383" t="inlineStr">
        <is>
          <t>Week1-Aug-2026</t>
        </is>
      </c>
      <c r="D1383" s="78" t="n">
        <v>46235</v>
      </c>
      <c r="E1383" t="inlineStr">
        <is>
          <t>Q2FY27</t>
        </is>
      </c>
      <c r="F1383" t="inlineStr">
        <is>
          <t>29-Sep-2026</t>
        </is>
      </c>
      <c r="G1383" t="inlineStr">
        <is>
          <t>Tuesday</t>
        </is>
      </c>
      <c r="H1383" t="inlineStr">
        <is>
          <t>Monthly - Tuesday</t>
        </is>
      </c>
      <c r="I1383" t="inlineStr">
        <is>
          <t>Monthly - Tuesday</t>
        </is>
      </c>
      <c r="J1383" t="inlineStr">
        <is>
          <t>Month+1 Expiry</t>
        </is>
      </c>
      <c r="K1383" s="25" t="n">
        <v>29653</v>
      </c>
      <c r="L1383" s="26" t="n">
        <v>51.9278</v>
      </c>
      <c r="M1383" s="26" t="n">
        <v>0.6345</v>
      </c>
    </row>
    <row r="1384">
      <c r="A1384" t="inlineStr">
        <is>
          <t>06-Aug-2026</t>
        </is>
      </c>
      <c r="B1384" t="inlineStr">
        <is>
          <t>Thursday</t>
        </is>
      </c>
      <c r="C1384" t="inlineStr">
        <is>
          <t>Week1-Aug-2026</t>
        </is>
      </c>
      <c r="D1384" s="78" t="n">
        <v>46235</v>
      </c>
      <c r="E1384" t="inlineStr">
        <is>
          <t>Q2FY27</t>
        </is>
      </c>
      <c r="F1384" t="inlineStr">
        <is>
          <t>27-Oct-2026</t>
        </is>
      </c>
      <c r="G1384" t="inlineStr">
        <is>
          <t>Tuesday</t>
        </is>
      </c>
      <c r="H1384" t="inlineStr">
        <is>
          <t>Monthly - Tuesday</t>
        </is>
      </c>
      <c r="I1384" t="inlineStr">
        <is>
          <t>Monthly - Tuesday</t>
        </is>
      </c>
      <c r="J1384" t="inlineStr">
        <is>
          <t>Month+2 Expiry</t>
        </is>
      </c>
      <c r="K1384" s="25" t="n">
        <v>1688</v>
      </c>
      <c r="L1384" s="26" t="n">
        <v>2.9777</v>
      </c>
      <c r="M1384" s="26" t="n">
        <v>0.0503</v>
      </c>
    </row>
    <row r="1385">
      <c r="A1385" t="inlineStr">
        <is>
          <t>06-Aug-2026</t>
        </is>
      </c>
      <c r="B1385" t="inlineStr">
        <is>
          <t>Thursday</t>
        </is>
      </c>
      <c r="C1385" t="inlineStr">
        <is>
          <t>Week1-Aug-2026</t>
        </is>
      </c>
      <c r="D1385" s="78" t="n">
        <v>46235</v>
      </c>
      <c r="E1385" t="inlineStr">
        <is>
          <t>Q2FY27</t>
        </is>
      </c>
      <c r="F1385" t="inlineStr">
        <is>
          <t>29-Dec-2026</t>
        </is>
      </c>
      <c r="G1385" t="inlineStr">
        <is>
          <t>Tuesday</t>
        </is>
      </c>
      <c r="H1385" t="inlineStr">
        <is>
          <t>Monthly - Tuesday</t>
        </is>
      </c>
      <c r="I1385" t="inlineStr">
        <is>
          <t>Monthly - Tuesday</t>
        </is>
      </c>
      <c r="J1385" t="inlineStr">
        <is>
          <t>Month+4 Expiry</t>
        </is>
      </c>
      <c r="K1385" s="25" t="n">
        <v>1247</v>
      </c>
      <c r="L1385" s="26" t="n">
        <v>2.1662</v>
      </c>
      <c r="M1385" s="26" t="n">
        <v>0.0392</v>
      </c>
    </row>
    <row r="1386">
      <c r="A1386" t="inlineStr">
        <is>
          <t>06-Aug-2026</t>
        </is>
      </c>
      <c r="B1386" t="inlineStr">
        <is>
          <t>Thursday</t>
        </is>
      </c>
      <c r="C1386" t="inlineStr">
        <is>
          <t>Week1-Aug-2026</t>
        </is>
      </c>
      <c r="D1386" s="78" t="n">
        <v>46235</v>
      </c>
      <c r="E1386" t="inlineStr">
        <is>
          <t>Q2FY27</t>
        </is>
      </c>
      <c r="F1386" t="inlineStr">
        <is>
          <t>30-Mar-2027</t>
        </is>
      </c>
      <c r="G1386" t="inlineStr">
        <is>
          <t>Tuesday</t>
        </is>
      </c>
      <c r="H1386" t="inlineStr">
        <is>
          <t>Monthly - Tuesday</t>
        </is>
      </c>
      <c r="I1386" t="inlineStr">
        <is>
          <t>Monthly - Tuesday</t>
        </is>
      </c>
      <c r="J1386" t="inlineStr">
        <is>
          <t>Month+7 Expiry</t>
        </is>
      </c>
      <c r="K1386" s="25" t="n">
        <v>6</v>
      </c>
      <c r="L1386" s="26" t="n">
        <v>0.0114</v>
      </c>
      <c r="M1386" s="26" t="n">
        <v>0.0003</v>
      </c>
    </row>
    <row r="1387">
      <c r="A1387" t="inlineStr">
        <is>
          <t>06-Aug-2026</t>
        </is>
      </c>
      <c r="B1387" t="inlineStr">
        <is>
          <t>Thursday</t>
        </is>
      </c>
      <c r="C1387" t="inlineStr">
        <is>
          <t>Week1-Aug-2026</t>
        </is>
      </c>
      <c r="D1387" s="78" t="n">
        <v>46235</v>
      </c>
      <c r="E1387" t="inlineStr">
        <is>
          <t>Q2FY27</t>
        </is>
      </c>
      <c r="F1387" t="inlineStr">
        <is>
          <t>29-Jun-2027</t>
        </is>
      </c>
      <c r="G1387" t="inlineStr">
        <is>
          <t>Tuesday</t>
        </is>
      </c>
      <c r="H1387" t="inlineStr">
        <is>
          <t>Monthly - Tuesday</t>
        </is>
      </c>
      <c r="I1387" t="inlineStr">
        <is>
          <t>Monthly - Tuesday</t>
        </is>
      </c>
      <c r="J1387" t="inlineStr">
        <is>
          <t>Month+10 Expiry</t>
        </is>
      </c>
      <c r="K1387" s="25" t="n">
        <v>0</v>
      </c>
      <c r="L1387" s="26" t="n">
        <v>0</v>
      </c>
      <c r="M1387" s="26" t="n">
        <v>0</v>
      </c>
    </row>
    <row r="1388">
      <c r="A1388" t="inlineStr">
        <is>
          <t>07-Aug-2026</t>
        </is>
      </c>
      <c r="B1388" t="inlineStr">
        <is>
          <t>Friday</t>
        </is>
      </c>
      <c r="C1388" t="inlineStr">
        <is>
          <t>Week1-Aug-2026</t>
        </is>
      </c>
      <c r="D1388" s="78" t="n">
        <v>46235</v>
      </c>
      <c r="E1388" t="inlineStr">
        <is>
          <t>Q2FY27</t>
        </is>
      </c>
      <c r="F1388" t="inlineStr">
        <is>
          <t>25-Aug-2026</t>
        </is>
      </c>
      <c r="G1388" t="inlineStr">
        <is>
          <t>Tuesday</t>
        </is>
      </c>
      <c r="H1388" t="inlineStr">
        <is>
          <t>Monthly - Tuesday</t>
        </is>
      </c>
      <c r="I1388" t="inlineStr">
        <is>
          <t>Monthly - Tuesday</t>
        </is>
      </c>
      <c r="J1388" t="inlineStr">
        <is>
          <t>Same Month Expiry</t>
        </is>
      </c>
      <c r="K1388" s="25" t="n">
        <v>1863478</v>
      </c>
      <c r="L1388" s="26" t="n">
        <v>3271.038</v>
      </c>
      <c r="M1388" s="26" t="n">
        <v>26.0353</v>
      </c>
    </row>
    <row r="1389">
      <c r="A1389" t="inlineStr">
        <is>
          <t>07-Aug-2026</t>
        </is>
      </c>
      <c r="B1389" t="inlineStr">
        <is>
          <t>Friday</t>
        </is>
      </c>
      <c r="C1389" t="inlineStr">
        <is>
          <t>Week1-Aug-2026</t>
        </is>
      </c>
      <c r="D1389" s="78" t="n">
        <v>46235</v>
      </c>
      <c r="E1389" t="inlineStr">
        <is>
          <t>Q2FY27</t>
        </is>
      </c>
      <c r="F1389" t="inlineStr">
        <is>
          <t>29-Sep-2026</t>
        </is>
      </c>
      <c r="G1389" t="inlineStr">
        <is>
          <t>Tuesday</t>
        </is>
      </c>
      <c r="H1389" t="inlineStr">
        <is>
          <t>Monthly - Tuesday</t>
        </is>
      </c>
      <c r="I1389" t="inlineStr">
        <is>
          <t>Monthly - Tuesday</t>
        </is>
      </c>
      <c r="J1389" t="inlineStr">
        <is>
          <t>Month+1 Expiry</t>
        </is>
      </c>
      <c r="K1389" s="25" t="n">
        <v>31896</v>
      </c>
      <c r="L1389" s="26" t="n">
        <v>55.1326</v>
      </c>
      <c r="M1389" s="26" t="n">
        <v>0.7148</v>
      </c>
    </row>
    <row r="1390">
      <c r="A1390" t="inlineStr">
        <is>
          <t>07-Aug-2026</t>
        </is>
      </c>
      <c r="B1390" t="inlineStr">
        <is>
          <t>Friday</t>
        </is>
      </c>
      <c r="C1390" t="inlineStr">
        <is>
          <t>Week1-Aug-2026</t>
        </is>
      </c>
      <c r="D1390" s="78" t="n">
        <v>46235</v>
      </c>
      <c r="E1390" t="inlineStr">
        <is>
          <t>Q2FY27</t>
        </is>
      </c>
      <c r="F1390" t="inlineStr">
        <is>
          <t>27-Oct-2026</t>
        </is>
      </c>
      <c r="G1390" t="inlineStr">
        <is>
          <t>Tuesday</t>
        </is>
      </c>
      <c r="H1390" t="inlineStr">
        <is>
          <t>Monthly - Tuesday</t>
        </is>
      </c>
      <c r="I1390" t="inlineStr">
        <is>
          <t>Monthly - Tuesday</t>
        </is>
      </c>
      <c r="J1390" t="inlineStr">
        <is>
          <t>Month+2 Expiry</t>
        </is>
      </c>
      <c r="K1390" s="25" t="n">
        <v>1712</v>
      </c>
      <c r="L1390" s="26" t="n">
        <v>3.0035</v>
      </c>
      <c r="M1390" s="26" t="n">
        <v>0.0463</v>
      </c>
    </row>
    <row r="1391">
      <c r="A1391" t="inlineStr">
        <is>
          <t>07-Aug-2026</t>
        </is>
      </c>
      <c r="B1391" t="inlineStr">
        <is>
          <t>Friday</t>
        </is>
      </c>
      <c r="C1391" t="inlineStr">
        <is>
          <t>Week1-Aug-2026</t>
        </is>
      </c>
      <c r="D1391" s="78" t="n">
        <v>46235</v>
      </c>
      <c r="E1391" t="inlineStr">
        <is>
          <t>Q2FY27</t>
        </is>
      </c>
      <c r="F1391" t="inlineStr">
        <is>
          <t>29-Dec-2026</t>
        </is>
      </c>
      <c r="G1391" t="inlineStr">
        <is>
          <t>Tuesday</t>
        </is>
      </c>
      <c r="H1391" t="inlineStr">
        <is>
          <t>Monthly - Tuesday</t>
        </is>
      </c>
      <c r="I1391" t="inlineStr">
        <is>
          <t>Monthly - Tuesday</t>
        </is>
      </c>
      <c r="J1391" t="inlineStr">
        <is>
          <t>Month+4 Expiry</t>
        </is>
      </c>
      <c r="K1391" s="25" t="n">
        <v>823</v>
      </c>
      <c r="L1391" s="26" t="n">
        <v>1.4682</v>
      </c>
      <c r="M1391" s="26" t="n">
        <v>0.0324</v>
      </c>
    </row>
    <row r="1392">
      <c r="A1392" t="inlineStr">
        <is>
          <t>07-Aug-2026</t>
        </is>
      </c>
      <c r="B1392" t="inlineStr">
        <is>
          <t>Friday</t>
        </is>
      </c>
      <c r="C1392" t="inlineStr">
        <is>
          <t>Week1-Aug-2026</t>
        </is>
      </c>
      <c r="D1392" s="78" t="n">
        <v>46235</v>
      </c>
      <c r="E1392" t="inlineStr">
        <is>
          <t>Q2FY27</t>
        </is>
      </c>
      <c r="F1392" t="inlineStr">
        <is>
          <t>30-Mar-2027</t>
        </is>
      </c>
      <c r="G1392" t="inlineStr">
        <is>
          <t>Tuesday</t>
        </is>
      </c>
      <c r="H1392" t="inlineStr">
        <is>
          <t>Monthly - Tuesday</t>
        </is>
      </c>
      <c r="I1392" t="inlineStr">
        <is>
          <t>Monthly - Tuesday</t>
        </is>
      </c>
      <c r="J1392" t="inlineStr">
        <is>
          <t>Month+7 Expiry</t>
        </is>
      </c>
      <c r="K1392" s="25" t="n">
        <v>7</v>
      </c>
      <c r="L1392" s="26" t="n">
        <v>0.013</v>
      </c>
      <c r="M1392" s="26" t="n">
        <v>0.0003</v>
      </c>
    </row>
    <row r="1393">
      <c r="A1393" t="inlineStr">
        <is>
          <t>07-Aug-2026</t>
        </is>
      </c>
      <c r="B1393" t="inlineStr">
        <is>
          <t>Friday</t>
        </is>
      </c>
      <c r="C1393" t="inlineStr">
        <is>
          <t>Week1-Aug-2026</t>
        </is>
      </c>
      <c r="D1393" s="78" t="n">
        <v>46235</v>
      </c>
      <c r="E1393" t="inlineStr">
        <is>
          <t>Q2FY27</t>
        </is>
      </c>
      <c r="F1393" t="inlineStr">
        <is>
          <t>29-Jun-2027</t>
        </is>
      </c>
      <c r="G1393" t="inlineStr">
        <is>
          <t>Tuesday</t>
        </is>
      </c>
      <c r="H1393" t="inlineStr">
        <is>
          <t>Monthly - Tuesday</t>
        </is>
      </c>
      <c r="I1393" t="inlineStr">
        <is>
          <t>Monthly - Tuesday</t>
        </is>
      </c>
      <c r="J1393" t="inlineStr">
        <is>
          <t>Month+10 Expiry</t>
        </is>
      </c>
      <c r="K1393" s="25" t="n">
        <v>0</v>
      </c>
      <c r="L1393" s="26" t="n">
        <v>0</v>
      </c>
      <c r="M1393" s="2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502"/>
  <sheetViews>
    <sheetView workbookViewId="0">
      <pane ySplit="1" topLeftCell="A2" activePane="bottomLeft" state="frozen"/>
      <selection pane="bottomLeft" activeCell="A1" sqref="A1:J1048576"/>
    </sheetView>
  </sheetViews>
  <sheetFormatPr baseColWidth="10" defaultColWidth="8.83203125" defaultRowHeight="16"/>
  <cols>
    <col width="12" customWidth="1" style="4" min="1" max="1"/>
    <col width="11" customWidth="1" style="4" min="2" max="2"/>
    <col width="18" customWidth="1" style="4" min="3" max="3"/>
    <col width="14" customWidth="1" style="4" min="4" max="4"/>
    <col width="14" customWidth="1" style="4" min="5" max="5"/>
    <col width="12" customWidth="1" style="4" min="6" max="6"/>
    <col width="11" customWidth="1" style="4" min="7" max="7"/>
    <col width="20" customWidth="1" style="4" min="8" max="8"/>
    <col width="20" customWidth="1" min="9" max="9"/>
    <col width="18" customWidth="1" style="4" min="10" max="10"/>
    <col width="20" customWidth="1" style="4" min="11" max="11"/>
    <col width="26" customWidth="1" style="4" min="12" max="12"/>
    <col width="26" customWidth="1" min="13" max="13"/>
    <col width="20" customWidth="1" style="4" min="14" max="18"/>
    <col width="8.83203125" customWidth="1" style="4" min="19" max="54"/>
    <col width="8.83203125" customWidth="1" style="4" min="55" max="16384"/>
  </cols>
  <sheetData>
    <row r="1" ht="16" customHeight="1">
      <c r="A1" s="75" t="inlineStr">
        <is>
          <t>Trade Date</t>
        </is>
      </c>
      <c r="B1" s="75" t="inlineStr">
        <is>
          <t>Trade Day</t>
        </is>
      </c>
      <c r="C1" s="75" t="inlineStr">
        <is>
          <t>Trade Week-Month-Year</t>
        </is>
      </c>
      <c r="D1" s="75" t="inlineStr">
        <is>
          <t>Trade Month - Year</t>
        </is>
      </c>
      <c r="E1" s="75" t="inlineStr">
        <is>
          <t>Trade Quarter</t>
        </is>
      </c>
      <c r="F1" s="75" t="inlineStr">
        <is>
          <t>Expiry Date</t>
        </is>
      </c>
      <c r="G1" s="75" t="inlineStr">
        <is>
          <t>Expiry Day</t>
        </is>
      </c>
      <c r="H1" s="75" t="inlineStr">
        <is>
          <t>Expiry Type 2</t>
        </is>
      </c>
      <c r="I1" s="75" t="inlineStr">
        <is>
          <t>Expiry Type</t>
        </is>
      </c>
      <c r="J1" s="75" t="inlineStr">
        <is>
          <t>Expiry Month Offset</t>
        </is>
      </c>
      <c r="K1" s="75" t="inlineStr">
        <is>
          <t>Number of Contracts</t>
        </is>
      </c>
      <c r="L1" s="75" t="inlineStr">
        <is>
          <t>Notional Turnover (INR Bn)</t>
        </is>
      </c>
      <c r="M1" s="75" t="inlineStr">
        <is>
          <t>Premium Turnover (INR Bn)</t>
        </is>
      </c>
    </row>
    <row r="2" ht="16" customHeight="1">
      <c r="A2" t="inlineStr">
        <is>
          <t>01-Sep-2025</t>
        </is>
      </c>
      <c r="B2" t="inlineStr">
        <is>
          <t>Monday</t>
        </is>
      </c>
      <c r="C2" t="inlineStr">
        <is>
          <t>Week1-Sep-2025</t>
        </is>
      </c>
      <c r="D2" s="78" t="n">
        <v>45901</v>
      </c>
      <c r="E2" t="inlineStr">
        <is>
          <t>Q2FY26</t>
        </is>
      </c>
      <c r="F2" t="inlineStr">
        <is>
          <t>04-Sep-2025</t>
        </is>
      </c>
      <c r="G2" t="inlineStr">
        <is>
          <t>Thursday</t>
        </is>
      </c>
      <c r="H2" t="inlineStr">
        <is>
          <t>Weekly - Thursday</t>
        </is>
      </c>
      <c r="I2" t="inlineStr">
        <is>
          <t>Weekly - Thursday</t>
        </is>
      </c>
      <c r="J2" t="inlineStr">
        <is>
          <t>Same Month Expiry</t>
        </is>
      </c>
      <c r="K2" s="25" t="n">
        <v>20321566</v>
      </c>
      <c r="L2" s="26" t="n">
        <v>32708.0982</v>
      </c>
      <c r="M2" s="26" t="n">
        <v>76.5921</v>
      </c>
    </row>
    <row r="3" ht="16" customHeight="1">
      <c r="A3" t="inlineStr">
        <is>
          <t>01-Sep-2025</t>
        </is>
      </c>
      <c r="B3" t="inlineStr">
        <is>
          <t>Monday</t>
        </is>
      </c>
      <c r="C3" t="inlineStr">
        <is>
          <t>Week1-Sep-2025</t>
        </is>
      </c>
      <c r="D3" s="78" t="n">
        <v>45901</v>
      </c>
      <c r="E3" t="inlineStr">
        <is>
          <t>Q2FY26</t>
        </is>
      </c>
      <c r="F3" t="inlineStr">
        <is>
          <t>11-Sep-2025</t>
        </is>
      </c>
      <c r="G3" t="inlineStr">
        <is>
          <t>Thursday</t>
        </is>
      </c>
      <c r="H3" t="inlineStr">
        <is>
          <t>Weekly - Thursday</t>
        </is>
      </c>
      <c r="I3" t="inlineStr">
        <is>
          <t>Weekly - Thursday</t>
        </is>
      </c>
      <c r="J3" t="inlineStr">
        <is>
          <t>Same Month Expiry</t>
        </is>
      </c>
      <c r="K3" s="25" t="n">
        <v>99880</v>
      </c>
      <c r="L3" s="26" t="n">
        <v>161.617</v>
      </c>
      <c r="M3" s="26" t="n">
        <v>0.5483</v>
      </c>
    </row>
    <row r="4" ht="16" customHeight="1">
      <c r="A4" t="inlineStr">
        <is>
          <t>01-Sep-2025</t>
        </is>
      </c>
      <c r="B4" t="inlineStr">
        <is>
          <t>Monday</t>
        </is>
      </c>
      <c r="C4" t="inlineStr">
        <is>
          <t>Week1-Sep-2025</t>
        </is>
      </c>
      <c r="D4" s="78" t="n">
        <v>45901</v>
      </c>
      <c r="E4" t="inlineStr">
        <is>
          <t>Q2FY26</t>
        </is>
      </c>
      <c r="F4" t="inlineStr">
        <is>
          <t>18-Sep-2025</t>
        </is>
      </c>
      <c r="G4" t="inlineStr">
        <is>
          <t>Thursday</t>
        </is>
      </c>
      <c r="H4" t="inlineStr">
        <is>
          <t>Weekly - Thursday</t>
        </is>
      </c>
      <c r="I4" t="inlineStr">
        <is>
          <t>Weekly - Thursday</t>
        </is>
      </c>
      <c r="J4" t="inlineStr">
        <is>
          <t>Same Month Expiry</t>
        </is>
      </c>
      <c r="K4" s="25" t="n">
        <v>1170</v>
      </c>
      <c r="L4" s="26" t="n">
        <v>1.9015</v>
      </c>
      <c r="M4" s="26" t="n">
        <v>0.0142</v>
      </c>
    </row>
    <row r="5" ht="16" customHeight="1">
      <c r="A5" t="inlineStr">
        <is>
          <t>01-Sep-2025</t>
        </is>
      </c>
      <c r="B5" t="inlineStr">
        <is>
          <t>Monday</t>
        </is>
      </c>
      <c r="C5" t="inlineStr">
        <is>
          <t>Week1-Sep-2025</t>
        </is>
      </c>
      <c r="D5" s="78" t="n">
        <v>45901</v>
      </c>
      <c r="E5" t="inlineStr">
        <is>
          <t>Q2FY26</t>
        </is>
      </c>
      <c r="F5" t="inlineStr">
        <is>
          <t>25-Sep-2025</t>
        </is>
      </c>
      <c r="G5" t="inlineStr">
        <is>
          <t>Thursday</t>
        </is>
      </c>
      <c r="H5" t="inlineStr">
        <is>
          <t>Monthly - Thursday</t>
        </is>
      </c>
      <c r="I5" t="inlineStr">
        <is>
          <t>Monthly - Thursday</t>
        </is>
      </c>
      <c r="J5" t="inlineStr">
        <is>
          <t>Same Month Expiry</t>
        </is>
      </c>
      <c r="K5" s="25" t="n">
        <v>11434</v>
      </c>
      <c r="L5" s="26" t="n">
        <v>18.6904</v>
      </c>
      <c r="M5" s="26" t="n">
        <v>0.1249</v>
      </c>
    </row>
    <row r="6" ht="16" customHeight="1">
      <c r="A6" t="inlineStr">
        <is>
          <t>01-Sep-2025</t>
        </is>
      </c>
      <c r="B6" t="inlineStr">
        <is>
          <t>Monday</t>
        </is>
      </c>
      <c r="C6" t="inlineStr">
        <is>
          <t>Week1-Sep-2025</t>
        </is>
      </c>
      <c r="D6" s="78" t="n">
        <v>45901</v>
      </c>
      <c r="E6" t="inlineStr">
        <is>
          <t>Q2FY26</t>
        </is>
      </c>
      <c r="F6" t="inlineStr">
        <is>
          <t>01-Oct-2025</t>
        </is>
      </c>
      <c r="G6" t="inlineStr">
        <is>
          <t>Wednesday</t>
        </is>
      </c>
      <c r="H6" t="inlineStr">
        <is>
          <t>Weekly - Wednesday</t>
        </is>
      </c>
      <c r="I6" t="inlineStr">
        <is>
          <t>Weekly - Wednesday</t>
        </is>
      </c>
      <c r="J6" t="inlineStr">
        <is>
          <t>Month+1 Expiry</t>
        </is>
      </c>
      <c r="K6" s="25" t="n">
        <v>0</v>
      </c>
      <c r="L6" s="26" t="n">
        <v>0</v>
      </c>
      <c r="M6" s="26" t="n">
        <v>0</v>
      </c>
    </row>
    <row r="7" ht="16" customHeight="1">
      <c r="A7" t="inlineStr">
        <is>
          <t>01-Sep-2025</t>
        </is>
      </c>
      <c r="B7" t="inlineStr">
        <is>
          <t>Monday</t>
        </is>
      </c>
      <c r="C7" t="inlineStr">
        <is>
          <t>Week1-Sep-2025</t>
        </is>
      </c>
      <c r="D7" s="78" t="n">
        <v>45901</v>
      </c>
      <c r="E7" t="inlineStr">
        <is>
          <t>Q2FY26</t>
        </is>
      </c>
      <c r="F7" t="inlineStr">
        <is>
          <t>09-Oct-2025</t>
        </is>
      </c>
      <c r="G7" t="inlineStr">
        <is>
          <t>Thursday</t>
        </is>
      </c>
      <c r="H7" t="inlineStr">
        <is>
          <t>Weekly - Thursday</t>
        </is>
      </c>
      <c r="I7" t="inlineStr">
        <is>
          <t>Weekly - Thursday</t>
        </is>
      </c>
      <c r="J7" t="inlineStr">
        <is>
          <t>Month+1 Expiry</t>
        </is>
      </c>
      <c r="K7" s="25" t="n">
        <v>0</v>
      </c>
      <c r="L7" s="26" t="n">
        <v>0</v>
      </c>
      <c r="M7" s="26" t="n">
        <v>0</v>
      </c>
    </row>
    <row r="8" ht="16" customHeight="1">
      <c r="A8" t="inlineStr">
        <is>
          <t>01-Sep-2025</t>
        </is>
      </c>
      <c r="B8" t="inlineStr">
        <is>
          <t>Monday</t>
        </is>
      </c>
      <c r="C8" t="inlineStr">
        <is>
          <t>Week1-Sep-2025</t>
        </is>
      </c>
      <c r="D8" s="78" t="n">
        <v>45901</v>
      </c>
      <c r="E8" t="inlineStr">
        <is>
          <t>Q2FY26</t>
        </is>
      </c>
      <c r="F8" t="inlineStr">
        <is>
          <t>30-Oct-2025</t>
        </is>
      </c>
      <c r="G8" t="inlineStr">
        <is>
          <t>Thursday</t>
        </is>
      </c>
      <c r="H8" t="inlineStr">
        <is>
          <t>Monthly - Thursday</t>
        </is>
      </c>
      <c r="I8" t="inlineStr">
        <is>
          <t>Monthly - Thursday</t>
        </is>
      </c>
      <c r="J8" t="inlineStr">
        <is>
          <t>Month+1 Expiry</t>
        </is>
      </c>
      <c r="K8" s="25" t="n">
        <v>1</v>
      </c>
      <c r="L8" s="26" t="n">
        <v>0.0016</v>
      </c>
      <c r="M8" s="26" t="n">
        <v>0</v>
      </c>
    </row>
    <row r="9" ht="16" customHeight="1">
      <c r="A9" t="inlineStr">
        <is>
          <t>02-Sep-2025</t>
        </is>
      </c>
      <c r="B9" t="inlineStr">
        <is>
          <t>Tuesday</t>
        </is>
      </c>
      <c r="C9" t="inlineStr">
        <is>
          <t>Week1-Sep-2025</t>
        </is>
      </c>
      <c r="D9" s="78" t="n">
        <v>45901</v>
      </c>
      <c r="E9" t="inlineStr">
        <is>
          <t>Q2FY26</t>
        </is>
      </c>
      <c r="F9" t="inlineStr">
        <is>
          <t>04-Sep-2025</t>
        </is>
      </c>
      <c r="G9" t="inlineStr">
        <is>
          <t>Thursday</t>
        </is>
      </c>
      <c r="H9" t="inlineStr">
        <is>
          <t>Weekly - Thursday</t>
        </is>
      </c>
      <c r="I9" t="inlineStr">
        <is>
          <t>Weekly - Thursday</t>
        </is>
      </c>
      <c r="J9" t="inlineStr">
        <is>
          <t>Same Month Expiry</t>
        </is>
      </c>
      <c r="K9" s="25" t="n">
        <v>31364724</v>
      </c>
      <c r="L9" s="26" t="n">
        <v>50580.8278</v>
      </c>
      <c r="M9" s="26" t="n">
        <v>92.5307</v>
      </c>
    </row>
    <row r="10" ht="16" customHeight="1">
      <c r="A10" t="inlineStr">
        <is>
          <t>02-Sep-2025</t>
        </is>
      </c>
      <c r="B10" t="inlineStr">
        <is>
          <t>Tuesday</t>
        </is>
      </c>
      <c r="C10" t="inlineStr">
        <is>
          <t>Week1-Sep-2025</t>
        </is>
      </c>
      <c r="D10" s="78" t="n">
        <v>45901</v>
      </c>
      <c r="E10" t="inlineStr">
        <is>
          <t>Q2FY26</t>
        </is>
      </c>
      <c r="F10" t="inlineStr">
        <is>
          <t>11-Sep-2025</t>
        </is>
      </c>
      <c r="G10" t="inlineStr">
        <is>
          <t>Thursday</t>
        </is>
      </c>
      <c r="H10" t="inlineStr">
        <is>
          <t>Weekly - Thursday</t>
        </is>
      </c>
      <c r="I10" t="inlineStr">
        <is>
          <t>Weekly - Thursday</t>
        </is>
      </c>
      <c r="J10" t="inlineStr">
        <is>
          <t>Same Month Expiry</t>
        </is>
      </c>
      <c r="K10" s="25" t="n">
        <v>237536</v>
      </c>
      <c r="L10" s="26" t="n">
        <v>384.4949</v>
      </c>
      <c r="M10" s="26" t="n">
        <v>1.2091</v>
      </c>
    </row>
    <row r="11" ht="16" customHeight="1">
      <c r="A11" t="inlineStr">
        <is>
          <t>02-Sep-2025</t>
        </is>
      </c>
      <c r="B11" t="inlineStr">
        <is>
          <t>Tuesday</t>
        </is>
      </c>
      <c r="C11" t="inlineStr">
        <is>
          <t>Week1-Sep-2025</t>
        </is>
      </c>
      <c r="D11" s="78" t="n">
        <v>45901</v>
      </c>
      <c r="E11" t="inlineStr">
        <is>
          <t>Q2FY26</t>
        </is>
      </c>
      <c r="F11" t="inlineStr">
        <is>
          <t>18-Sep-2025</t>
        </is>
      </c>
      <c r="G11" t="inlineStr">
        <is>
          <t>Thursday</t>
        </is>
      </c>
      <c r="H11" t="inlineStr">
        <is>
          <t>Weekly - Thursday</t>
        </is>
      </c>
      <c r="I11" t="inlineStr">
        <is>
          <t>Weekly - Thursday</t>
        </is>
      </c>
      <c r="J11" t="inlineStr">
        <is>
          <t>Same Month Expiry</t>
        </is>
      </c>
      <c r="K11" s="25" t="n">
        <v>1918</v>
      </c>
      <c r="L11" s="26" t="n">
        <v>3.1245</v>
      </c>
      <c r="M11" s="26" t="n">
        <v>0.0214</v>
      </c>
    </row>
    <row r="12" ht="16" customHeight="1">
      <c r="A12" t="inlineStr">
        <is>
          <t>02-Sep-2025</t>
        </is>
      </c>
      <c r="B12" t="inlineStr">
        <is>
          <t>Tuesday</t>
        </is>
      </c>
      <c r="C12" t="inlineStr">
        <is>
          <t>Week1-Sep-2025</t>
        </is>
      </c>
      <c r="D12" s="78" t="n">
        <v>45901</v>
      </c>
      <c r="E12" t="inlineStr">
        <is>
          <t>Q2FY26</t>
        </is>
      </c>
      <c r="F12" t="inlineStr">
        <is>
          <t>25-Sep-2025</t>
        </is>
      </c>
      <c r="G12" t="inlineStr">
        <is>
          <t>Thursday</t>
        </is>
      </c>
      <c r="H12" t="inlineStr">
        <is>
          <t>Monthly - Thursday</t>
        </is>
      </c>
      <c r="I12" t="inlineStr">
        <is>
          <t>Monthly - Thursday</t>
        </is>
      </c>
      <c r="J12" t="inlineStr">
        <is>
          <t>Same Month Expiry</t>
        </is>
      </c>
      <c r="K12" s="25" t="n">
        <v>17640</v>
      </c>
      <c r="L12" s="26" t="n">
        <v>28.7796</v>
      </c>
      <c r="M12" s="26" t="n">
        <v>0.2045</v>
      </c>
    </row>
    <row r="13" ht="16" customHeight="1">
      <c r="A13" t="inlineStr">
        <is>
          <t>02-Sep-2025</t>
        </is>
      </c>
      <c r="B13" t="inlineStr">
        <is>
          <t>Tuesday</t>
        </is>
      </c>
      <c r="C13" t="inlineStr">
        <is>
          <t>Week1-Sep-2025</t>
        </is>
      </c>
      <c r="D13" s="78" t="n">
        <v>45901</v>
      </c>
      <c r="E13" t="inlineStr">
        <is>
          <t>Q2FY26</t>
        </is>
      </c>
      <c r="F13" t="inlineStr">
        <is>
          <t>01-Oct-2025</t>
        </is>
      </c>
      <c r="G13" t="inlineStr">
        <is>
          <t>Wednesday</t>
        </is>
      </c>
      <c r="H13" t="inlineStr">
        <is>
          <t>Weekly - Wednesday</t>
        </is>
      </c>
      <c r="I13" t="inlineStr">
        <is>
          <t>Weekly - Wednesday</t>
        </is>
      </c>
      <c r="J13" t="inlineStr">
        <is>
          <t>Month+1 Expiry</t>
        </is>
      </c>
      <c r="K13" s="25" t="n">
        <v>0</v>
      </c>
      <c r="L13" s="26" t="n">
        <v>0</v>
      </c>
      <c r="M13" s="26" t="n">
        <v>0</v>
      </c>
    </row>
    <row r="14" ht="16" customHeight="1">
      <c r="A14" t="inlineStr">
        <is>
          <t>02-Sep-2025</t>
        </is>
      </c>
      <c r="B14" t="inlineStr">
        <is>
          <t>Tuesday</t>
        </is>
      </c>
      <c r="C14" t="inlineStr">
        <is>
          <t>Week1-Sep-2025</t>
        </is>
      </c>
      <c r="D14" s="78" t="n">
        <v>45901</v>
      </c>
      <c r="E14" t="inlineStr">
        <is>
          <t>Q2FY26</t>
        </is>
      </c>
      <c r="F14" t="inlineStr">
        <is>
          <t>09-Oct-2025</t>
        </is>
      </c>
      <c r="G14" t="inlineStr">
        <is>
          <t>Thursday</t>
        </is>
      </c>
      <c r="H14" t="inlineStr">
        <is>
          <t>Weekly - Thursday</t>
        </is>
      </c>
      <c r="I14" t="inlineStr">
        <is>
          <t>Weekly - Thursday</t>
        </is>
      </c>
      <c r="J14" t="inlineStr">
        <is>
          <t>Month+1 Expiry</t>
        </is>
      </c>
      <c r="K14" s="25" t="n">
        <v>0</v>
      </c>
      <c r="L14" s="26" t="n">
        <v>0</v>
      </c>
      <c r="M14" s="26" t="n">
        <v>0</v>
      </c>
    </row>
    <row r="15" ht="16" customHeight="1">
      <c r="A15" t="inlineStr">
        <is>
          <t>02-Sep-2025</t>
        </is>
      </c>
      <c r="B15" t="inlineStr">
        <is>
          <t>Tuesday</t>
        </is>
      </c>
      <c r="C15" t="inlineStr">
        <is>
          <t>Week1-Sep-2025</t>
        </is>
      </c>
      <c r="D15" s="78" t="n">
        <v>45901</v>
      </c>
      <c r="E15" t="inlineStr">
        <is>
          <t>Q2FY26</t>
        </is>
      </c>
      <c r="F15" t="inlineStr">
        <is>
          <t>30-Oct-2025</t>
        </is>
      </c>
      <c r="G15" t="inlineStr">
        <is>
          <t>Thursday</t>
        </is>
      </c>
      <c r="H15" t="inlineStr">
        <is>
          <t>Monthly - Thursday</t>
        </is>
      </c>
      <c r="I15" t="inlineStr">
        <is>
          <t>Monthly - Thursday</t>
        </is>
      </c>
      <c r="J15" t="inlineStr">
        <is>
          <t>Month+1 Expiry</t>
        </is>
      </c>
      <c r="K15" s="25" t="n">
        <v>6</v>
      </c>
      <c r="L15" s="26" t="n">
        <v>0.0103</v>
      </c>
      <c r="M15" s="26" t="n">
        <v>0</v>
      </c>
    </row>
    <row r="16" ht="16" customHeight="1">
      <c r="A16" t="inlineStr">
        <is>
          <t>03-Sep-2025</t>
        </is>
      </c>
      <c r="B16" t="inlineStr">
        <is>
          <t>Wednesday</t>
        </is>
      </c>
      <c r="C16" t="inlineStr">
        <is>
          <t>Week1-Sep-2025</t>
        </is>
      </c>
      <c r="D16" s="78" t="n">
        <v>45901</v>
      </c>
      <c r="E16" t="inlineStr">
        <is>
          <t>Q2FY26</t>
        </is>
      </c>
      <c r="F16" t="inlineStr">
        <is>
          <t>04-Sep-2025</t>
        </is>
      </c>
      <c r="G16" t="inlineStr">
        <is>
          <t>Thursday</t>
        </is>
      </c>
      <c r="H16" t="inlineStr">
        <is>
          <t>Weekly - Thursday</t>
        </is>
      </c>
      <c r="I16" t="inlineStr">
        <is>
          <t>Weekly - Thursday</t>
        </is>
      </c>
      <c r="J16" t="inlineStr">
        <is>
          <t>Same Month Expiry</t>
        </is>
      </c>
      <c r="K16" s="25" t="n">
        <v>123053157</v>
      </c>
      <c r="L16" s="26" t="n">
        <v>197882.9919</v>
      </c>
      <c r="M16" s="26" t="n">
        <v>272.91</v>
      </c>
    </row>
    <row r="17" ht="16" customHeight="1">
      <c r="A17" t="inlineStr">
        <is>
          <t>03-Sep-2025</t>
        </is>
      </c>
      <c r="B17" t="inlineStr">
        <is>
          <t>Wednesday</t>
        </is>
      </c>
      <c r="C17" t="inlineStr">
        <is>
          <t>Week1-Sep-2025</t>
        </is>
      </c>
      <c r="D17" s="78" t="n">
        <v>45901</v>
      </c>
      <c r="E17" t="inlineStr">
        <is>
          <t>Q2FY26</t>
        </is>
      </c>
      <c r="F17" t="inlineStr">
        <is>
          <t>11-Sep-2025</t>
        </is>
      </c>
      <c r="G17" t="inlineStr">
        <is>
          <t>Thursday</t>
        </is>
      </c>
      <c r="H17" t="inlineStr">
        <is>
          <t>Weekly - Thursday</t>
        </is>
      </c>
      <c r="I17" t="inlineStr">
        <is>
          <t>Weekly - Thursday</t>
        </is>
      </c>
      <c r="J17" t="inlineStr">
        <is>
          <t>Same Month Expiry</t>
        </is>
      </c>
      <c r="K17" s="25" t="n">
        <v>520443</v>
      </c>
      <c r="L17" s="26" t="n">
        <v>839.9192</v>
      </c>
      <c r="M17" s="26" t="n">
        <v>2.3519</v>
      </c>
    </row>
    <row r="18" ht="16" customHeight="1">
      <c r="A18" t="inlineStr">
        <is>
          <t>03-Sep-2025</t>
        </is>
      </c>
      <c r="B18" t="inlineStr">
        <is>
          <t>Wednesday</t>
        </is>
      </c>
      <c r="C18" t="inlineStr">
        <is>
          <t>Week1-Sep-2025</t>
        </is>
      </c>
      <c r="D18" s="78" t="n">
        <v>45901</v>
      </c>
      <c r="E18" t="inlineStr">
        <is>
          <t>Q2FY26</t>
        </is>
      </c>
      <c r="F18" t="inlineStr">
        <is>
          <t>18-Sep-2025</t>
        </is>
      </c>
      <c r="G18" t="inlineStr">
        <is>
          <t>Thursday</t>
        </is>
      </c>
      <c r="H18" t="inlineStr">
        <is>
          <t>Weekly - Thursday</t>
        </is>
      </c>
      <c r="I18" t="inlineStr">
        <is>
          <t>Weekly - Thursday</t>
        </is>
      </c>
      <c r="J18" t="inlineStr">
        <is>
          <t>Same Month Expiry</t>
        </is>
      </c>
      <c r="K18" s="25" t="n">
        <v>3890</v>
      </c>
      <c r="L18" s="26" t="n">
        <v>6.3066</v>
      </c>
      <c r="M18" s="26" t="n">
        <v>0.037</v>
      </c>
    </row>
    <row r="19" ht="16" customHeight="1">
      <c r="A19" t="inlineStr">
        <is>
          <t>03-Sep-2025</t>
        </is>
      </c>
      <c r="B19" t="inlineStr">
        <is>
          <t>Wednesday</t>
        </is>
      </c>
      <c r="C19" t="inlineStr">
        <is>
          <t>Week1-Sep-2025</t>
        </is>
      </c>
      <c r="D19" s="78" t="n">
        <v>45901</v>
      </c>
      <c r="E19" t="inlineStr">
        <is>
          <t>Q2FY26</t>
        </is>
      </c>
      <c r="F19" t="inlineStr">
        <is>
          <t>25-Sep-2025</t>
        </is>
      </c>
      <c r="G19" t="inlineStr">
        <is>
          <t>Thursday</t>
        </is>
      </c>
      <c r="H19" t="inlineStr">
        <is>
          <t>Monthly - Thursday</t>
        </is>
      </c>
      <c r="I19" t="inlineStr">
        <is>
          <t>Monthly - Thursday</t>
        </is>
      </c>
      <c r="J19" t="inlineStr">
        <is>
          <t>Same Month Expiry</t>
        </is>
      </c>
      <c r="K19" s="25" t="n">
        <v>19013</v>
      </c>
      <c r="L19" s="26" t="n">
        <v>30.9238</v>
      </c>
      <c r="M19" s="26" t="n">
        <v>0.1863</v>
      </c>
    </row>
    <row r="20" ht="16" customHeight="1">
      <c r="A20" t="inlineStr">
        <is>
          <t>03-Sep-2025</t>
        </is>
      </c>
      <c r="B20" t="inlineStr">
        <is>
          <t>Wednesday</t>
        </is>
      </c>
      <c r="C20" t="inlineStr">
        <is>
          <t>Week1-Sep-2025</t>
        </is>
      </c>
      <c r="D20" s="78" t="n">
        <v>45901</v>
      </c>
      <c r="E20" t="inlineStr">
        <is>
          <t>Q2FY26</t>
        </is>
      </c>
      <c r="F20" t="inlineStr">
        <is>
          <t>01-Oct-2025</t>
        </is>
      </c>
      <c r="G20" t="inlineStr">
        <is>
          <t>Wednesday</t>
        </is>
      </c>
      <c r="H20" t="inlineStr">
        <is>
          <t>Weekly - Wednesday</t>
        </is>
      </c>
      <c r="I20" t="inlineStr">
        <is>
          <t>Weekly - Wednesday</t>
        </is>
      </c>
      <c r="J20" t="inlineStr">
        <is>
          <t>Month+1 Expiry</t>
        </is>
      </c>
      <c r="K20" s="25" t="n">
        <v>0</v>
      </c>
      <c r="L20" s="26" t="n">
        <v>0</v>
      </c>
      <c r="M20" s="26" t="n">
        <v>0</v>
      </c>
    </row>
    <row r="21" ht="16" customHeight="1">
      <c r="A21" t="inlineStr">
        <is>
          <t>03-Sep-2025</t>
        </is>
      </c>
      <c r="B21" t="inlineStr">
        <is>
          <t>Wednesday</t>
        </is>
      </c>
      <c r="C21" t="inlineStr">
        <is>
          <t>Week1-Sep-2025</t>
        </is>
      </c>
      <c r="D21" s="78" t="n">
        <v>45901</v>
      </c>
      <c r="E21" t="inlineStr">
        <is>
          <t>Q2FY26</t>
        </is>
      </c>
      <c r="F21" t="inlineStr">
        <is>
          <t>09-Oct-2025</t>
        </is>
      </c>
      <c r="G21" t="inlineStr">
        <is>
          <t>Thursday</t>
        </is>
      </c>
      <c r="H21" t="inlineStr">
        <is>
          <t>Weekly - Thursday</t>
        </is>
      </c>
      <c r="I21" t="inlineStr">
        <is>
          <t>Weekly - Thursday</t>
        </is>
      </c>
      <c r="J21" t="inlineStr">
        <is>
          <t>Month+1 Expiry</t>
        </is>
      </c>
      <c r="K21" s="25" t="n">
        <v>0</v>
      </c>
      <c r="L21" s="26" t="n">
        <v>0</v>
      </c>
      <c r="M21" s="26" t="n">
        <v>0</v>
      </c>
    </row>
    <row r="22" ht="16" customHeight="1">
      <c r="A22" t="inlineStr">
        <is>
          <t>03-Sep-2025</t>
        </is>
      </c>
      <c r="B22" t="inlineStr">
        <is>
          <t>Wednesday</t>
        </is>
      </c>
      <c r="C22" t="inlineStr">
        <is>
          <t>Week1-Sep-2025</t>
        </is>
      </c>
      <c r="D22" s="78" t="n">
        <v>45901</v>
      </c>
      <c r="E22" t="inlineStr">
        <is>
          <t>Q2FY26</t>
        </is>
      </c>
      <c r="F22" t="inlineStr">
        <is>
          <t>30-Oct-2025</t>
        </is>
      </c>
      <c r="G22" t="inlineStr">
        <is>
          <t>Thursday</t>
        </is>
      </c>
      <c r="H22" t="inlineStr">
        <is>
          <t>Monthly - Thursday</t>
        </is>
      </c>
      <c r="I22" t="inlineStr">
        <is>
          <t>Monthly - Thursday</t>
        </is>
      </c>
      <c r="J22" t="inlineStr">
        <is>
          <t>Month+1 Expiry</t>
        </is>
      </c>
      <c r="K22" s="25" t="n">
        <v>688</v>
      </c>
      <c r="L22" s="26" t="n">
        <v>1.1012</v>
      </c>
      <c r="M22" s="26" t="n">
        <v>0.0075</v>
      </c>
    </row>
    <row r="23" ht="16" customHeight="1">
      <c r="A23" t="inlineStr">
        <is>
          <t>04-Sep-2025</t>
        </is>
      </c>
      <c r="B23" t="inlineStr">
        <is>
          <t>Thursday</t>
        </is>
      </c>
      <c r="C23" t="inlineStr">
        <is>
          <t>Week1-Sep-2025</t>
        </is>
      </c>
      <c r="D23" s="78" t="n">
        <v>45901</v>
      </c>
      <c r="E23" t="inlineStr">
        <is>
          <t>Q2FY26</t>
        </is>
      </c>
      <c r="F23" t="inlineStr">
        <is>
          <t>04-Sep-2025</t>
        </is>
      </c>
      <c r="G23" t="inlineStr">
        <is>
          <t>Thursday</t>
        </is>
      </c>
      <c r="H23" t="inlineStr">
        <is>
          <t>Weekly - Thursday</t>
        </is>
      </c>
      <c r="I23" t="inlineStr">
        <is>
          <t>Weekly - Thursday</t>
        </is>
      </c>
      <c r="J23" t="inlineStr">
        <is>
          <t>Same Month Expiry</t>
        </is>
      </c>
      <c r="K23" s="25" t="n">
        <v>444346973</v>
      </c>
      <c r="L23" s="26" t="n">
        <v>719396.6459999999</v>
      </c>
      <c r="M23" s="26" t="n">
        <v>482.8952</v>
      </c>
    </row>
    <row r="24" ht="16" customHeight="1">
      <c r="A24" t="inlineStr">
        <is>
          <t>04-Sep-2025</t>
        </is>
      </c>
      <c r="B24" t="inlineStr">
        <is>
          <t>Thursday</t>
        </is>
      </c>
      <c r="C24" t="inlineStr">
        <is>
          <t>Week1-Sep-2025</t>
        </is>
      </c>
      <c r="D24" s="78" t="n">
        <v>45901</v>
      </c>
      <c r="E24" t="inlineStr">
        <is>
          <t>Q2FY26</t>
        </is>
      </c>
      <c r="F24" t="inlineStr">
        <is>
          <t>11-Sep-2025</t>
        </is>
      </c>
      <c r="G24" t="inlineStr">
        <is>
          <t>Thursday</t>
        </is>
      </c>
      <c r="H24" t="inlineStr">
        <is>
          <t>Weekly - Thursday</t>
        </is>
      </c>
      <c r="I24" t="inlineStr">
        <is>
          <t>Weekly - Thursday</t>
        </is>
      </c>
      <c r="J24" t="inlineStr">
        <is>
          <t>Same Month Expiry</t>
        </is>
      </c>
      <c r="K24" s="25" t="n">
        <v>2114561</v>
      </c>
      <c r="L24" s="26" t="n">
        <v>3439.2809</v>
      </c>
      <c r="M24" s="26" t="n">
        <v>9.339</v>
      </c>
    </row>
    <row r="25" ht="16" customHeight="1">
      <c r="A25" t="inlineStr">
        <is>
          <t>04-Sep-2025</t>
        </is>
      </c>
      <c r="B25" t="inlineStr">
        <is>
          <t>Thursday</t>
        </is>
      </c>
      <c r="C25" t="inlineStr">
        <is>
          <t>Week1-Sep-2025</t>
        </is>
      </c>
      <c r="D25" s="78" t="n">
        <v>45901</v>
      </c>
      <c r="E25" t="inlineStr">
        <is>
          <t>Q2FY26</t>
        </is>
      </c>
      <c r="F25" t="inlineStr">
        <is>
          <t>18-Sep-2025</t>
        </is>
      </c>
      <c r="G25" t="inlineStr">
        <is>
          <t>Thursday</t>
        </is>
      </c>
      <c r="H25" t="inlineStr">
        <is>
          <t>Weekly - Thursday</t>
        </is>
      </c>
      <c r="I25" t="inlineStr">
        <is>
          <t>Weekly - Thursday</t>
        </is>
      </c>
      <c r="J25" t="inlineStr">
        <is>
          <t>Same Month Expiry</t>
        </is>
      </c>
      <c r="K25" s="25" t="n">
        <v>10030</v>
      </c>
      <c r="L25" s="26" t="n">
        <v>16.3183</v>
      </c>
      <c r="M25" s="26" t="n">
        <v>0.0779</v>
      </c>
    </row>
    <row r="26" ht="16" customHeight="1">
      <c r="A26" t="inlineStr">
        <is>
          <t>04-Sep-2025</t>
        </is>
      </c>
      <c r="B26" t="inlineStr">
        <is>
          <t>Thursday</t>
        </is>
      </c>
      <c r="C26" t="inlineStr">
        <is>
          <t>Week1-Sep-2025</t>
        </is>
      </c>
      <c r="D26" s="78" t="n">
        <v>45901</v>
      </c>
      <c r="E26" t="inlineStr">
        <is>
          <t>Q2FY26</t>
        </is>
      </c>
      <c r="F26" t="inlineStr">
        <is>
          <t>25-Sep-2025</t>
        </is>
      </c>
      <c r="G26" t="inlineStr">
        <is>
          <t>Thursday</t>
        </is>
      </c>
      <c r="H26" t="inlineStr">
        <is>
          <t>Monthly - Thursday</t>
        </is>
      </c>
      <c r="I26" t="inlineStr">
        <is>
          <t>Monthly - Thursday</t>
        </is>
      </c>
      <c r="J26" t="inlineStr">
        <is>
          <t>Same Month Expiry</t>
        </is>
      </c>
      <c r="K26" s="25" t="n">
        <v>27593</v>
      </c>
      <c r="L26" s="26" t="n">
        <v>45.0832</v>
      </c>
      <c r="M26" s="26" t="n">
        <v>0.2821</v>
      </c>
    </row>
    <row r="27" ht="16" customHeight="1">
      <c r="A27" t="inlineStr">
        <is>
          <t>04-Sep-2025</t>
        </is>
      </c>
      <c r="B27" t="inlineStr">
        <is>
          <t>Thursday</t>
        </is>
      </c>
      <c r="C27" t="inlineStr">
        <is>
          <t>Week1-Sep-2025</t>
        </is>
      </c>
      <c r="D27" s="78" t="n">
        <v>45901</v>
      </c>
      <c r="E27" t="inlineStr">
        <is>
          <t>Q2FY26</t>
        </is>
      </c>
      <c r="F27" t="inlineStr">
        <is>
          <t>01-Oct-2025</t>
        </is>
      </c>
      <c r="G27" t="inlineStr">
        <is>
          <t>Wednesday</t>
        </is>
      </c>
      <c r="H27" t="inlineStr">
        <is>
          <t>Weekly - Wednesday</t>
        </is>
      </c>
      <c r="I27" t="inlineStr">
        <is>
          <t>Weekly - Wednesday</t>
        </is>
      </c>
      <c r="J27" t="inlineStr">
        <is>
          <t>Month+1 Expiry</t>
        </is>
      </c>
      <c r="K27" s="25" t="n">
        <v>0</v>
      </c>
      <c r="L27" s="26" t="n">
        <v>0</v>
      </c>
      <c r="M27" s="26" t="n">
        <v>0</v>
      </c>
    </row>
    <row r="28" ht="16" customHeight="1">
      <c r="A28" t="inlineStr">
        <is>
          <t>04-Sep-2025</t>
        </is>
      </c>
      <c r="B28" t="inlineStr">
        <is>
          <t>Thursday</t>
        </is>
      </c>
      <c r="C28" t="inlineStr">
        <is>
          <t>Week1-Sep-2025</t>
        </is>
      </c>
      <c r="D28" s="78" t="n">
        <v>45901</v>
      </c>
      <c r="E28" t="inlineStr">
        <is>
          <t>Q2FY26</t>
        </is>
      </c>
      <c r="F28" t="inlineStr">
        <is>
          <t>09-Oct-2025</t>
        </is>
      </c>
      <c r="G28" t="inlineStr">
        <is>
          <t>Thursday</t>
        </is>
      </c>
      <c r="H28" t="inlineStr">
        <is>
          <t>Weekly - Thursday</t>
        </is>
      </c>
      <c r="I28" t="inlineStr">
        <is>
          <t>Weekly - Thursday</t>
        </is>
      </c>
      <c r="J28" t="inlineStr">
        <is>
          <t>Month+1 Expiry</t>
        </is>
      </c>
      <c r="K28" s="25" t="n">
        <v>5</v>
      </c>
      <c r="L28" s="26" t="n">
        <v>0.008200000000000001</v>
      </c>
      <c r="M28" s="26" t="n">
        <v>0.0001</v>
      </c>
    </row>
    <row r="29" ht="16" customHeight="1">
      <c r="A29" t="inlineStr">
        <is>
          <t>04-Sep-2025</t>
        </is>
      </c>
      <c r="B29" t="inlineStr">
        <is>
          <t>Thursday</t>
        </is>
      </c>
      <c r="C29" t="inlineStr">
        <is>
          <t>Week1-Sep-2025</t>
        </is>
      </c>
      <c r="D29" s="78" t="n">
        <v>45901</v>
      </c>
      <c r="E29" t="inlineStr">
        <is>
          <t>Q2FY26</t>
        </is>
      </c>
      <c r="F29" t="inlineStr">
        <is>
          <t>16-Oct-2025</t>
        </is>
      </c>
      <c r="G29" t="inlineStr">
        <is>
          <t>Thursday</t>
        </is>
      </c>
      <c r="H29" t="inlineStr">
        <is>
          <t>Weekly - Thursday</t>
        </is>
      </c>
      <c r="I29" t="inlineStr">
        <is>
          <t>Weekly - Thursday</t>
        </is>
      </c>
      <c r="J29" t="inlineStr">
        <is>
          <t>Month+1 Expiry</t>
        </is>
      </c>
      <c r="K29" s="25" t="n">
        <v>3</v>
      </c>
      <c r="L29" s="26" t="n">
        <v>0.0049</v>
      </c>
      <c r="M29" s="26" t="n">
        <v>0</v>
      </c>
    </row>
    <row r="30" ht="16" customHeight="1">
      <c r="A30" t="inlineStr">
        <is>
          <t>04-Sep-2025</t>
        </is>
      </c>
      <c r="B30" t="inlineStr">
        <is>
          <t>Thursday</t>
        </is>
      </c>
      <c r="C30" t="inlineStr">
        <is>
          <t>Week1-Sep-2025</t>
        </is>
      </c>
      <c r="D30" s="78" t="n">
        <v>45901</v>
      </c>
      <c r="E30" t="inlineStr">
        <is>
          <t>Q2FY26</t>
        </is>
      </c>
      <c r="F30" t="inlineStr">
        <is>
          <t>30-Oct-2025</t>
        </is>
      </c>
      <c r="G30" t="inlineStr">
        <is>
          <t>Thursday</t>
        </is>
      </c>
      <c r="H30" t="inlineStr">
        <is>
          <t>Monthly - Thursday</t>
        </is>
      </c>
      <c r="I30" t="inlineStr">
        <is>
          <t>Monthly - Thursday</t>
        </is>
      </c>
      <c r="J30" t="inlineStr">
        <is>
          <t>Month+1 Expiry</t>
        </is>
      </c>
      <c r="K30" s="25" t="n">
        <v>1567</v>
      </c>
      <c r="L30" s="26" t="n">
        <v>2.552</v>
      </c>
      <c r="M30" s="26" t="n">
        <v>0.0166</v>
      </c>
    </row>
    <row r="31" ht="16" customHeight="1">
      <c r="A31" t="inlineStr">
        <is>
          <t>05-Sep-2025</t>
        </is>
      </c>
      <c r="B31" t="inlineStr">
        <is>
          <t>Friday</t>
        </is>
      </c>
      <c r="C31" t="inlineStr">
        <is>
          <t>Week1-Sep-2025</t>
        </is>
      </c>
      <c r="D31" s="78" t="n">
        <v>45901</v>
      </c>
      <c r="E31" t="inlineStr">
        <is>
          <t>Q2FY26</t>
        </is>
      </c>
      <c r="F31" t="inlineStr">
        <is>
          <t>11-Sep-2025</t>
        </is>
      </c>
      <c r="G31" t="inlineStr">
        <is>
          <t>Thursday</t>
        </is>
      </c>
      <c r="H31" t="inlineStr">
        <is>
          <t>Weekly - Thursday</t>
        </is>
      </c>
      <c r="I31" t="inlineStr">
        <is>
          <t>Weekly - Thursday</t>
        </is>
      </c>
      <c r="J31" t="inlineStr">
        <is>
          <t>Same Month Expiry</t>
        </is>
      </c>
      <c r="K31" s="25" t="n">
        <v>23735888</v>
      </c>
      <c r="L31" s="26" t="n">
        <v>38413.7113</v>
      </c>
      <c r="M31" s="26" t="n">
        <v>100.2871</v>
      </c>
    </row>
    <row r="32" ht="16" customHeight="1">
      <c r="A32" t="inlineStr">
        <is>
          <t>05-Sep-2025</t>
        </is>
      </c>
      <c r="B32" t="inlineStr">
        <is>
          <t>Friday</t>
        </is>
      </c>
      <c r="C32" t="inlineStr">
        <is>
          <t>Week1-Sep-2025</t>
        </is>
      </c>
      <c r="D32" s="78" t="n">
        <v>45901</v>
      </c>
      <c r="E32" t="inlineStr">
        <is>
          <t>Q2FY26</t>
        </is>
      </c>
      <c r="F32" t="inlineStr">
        <is>
          <t>18-Sep-2025</t>
        </is>
      </c>
      <c r="G32" t="inlineStr">
        <is>
          <t>Thursday</t>
        </is>
      </c>
      <c r="H32" t="inlineStr">
        <is>
          <t>Weekly - Thursday</t>
        </is>
      </c>
      <c r="I32" t="inlineStr">
        <is>
          <t>Weekly - Thursday</t>
        </is>
      </c>
      <c r="J32" t="inlineStr">
        <is>
          <t>Same Month Expiry</t>
        </is>
      </c>
      <c r="K32" s="25" t="n">
        <v>72612</v>
      </c>
      <c r="L32" s="26" t="n">
        <v>117.8524</v>
      </c>
      <c r="M32" s="26" t="n">
        <v>0.4864</v>
      </c>
    </row>
    <row r="33" ht="16" customHeight="1">
      <c r="A33" t="inlineStr">
        <is>
          <t>05-Sep-2025</t>
        </is>
      </c>
      <c r="B33" t="inlineStr">
        <is>
          <t>Friday</t>
        </is>
      </c>
      <c r="C33" t="inlineStr">
        <is>
          <t>Week1-Sep-2025</t>
        </is>
      </c>
      <c r="D33" s="78" t="n">
        <v>45901</v>
      </c>
      <c r="E33" t="inlineStr">
        <is>
          <t>Q2FY26</t>
        </is>
      </c>
      <c r="F33" t="inlineStr">
        <is>
          <t>25-Sep-2025</t>
        </is>
      </c>
      <c r="G33" t="inlineStr">
        <is>
          <t>Thursday</t>
        </is>
      </c>
      <c r="H33" t="inlineStr">
        <is>
          <t>Monthly - Thursday</t>
        </is>
      </c>
      <c r="I33" t="inlineStr">
        <is>
          <t>Monthly - Thursday</t>
        </is>
      </c>
      <c r="J33" t="inlineStr">
        <is>
          <t>Same Month Expiry</t>
        </is>
      </c>
      <c r="K33" s="25" t="n">
        <v>29841</v>
      </c>
      <c r="L33" s="26" t="n">
        <v>48.7666</v>
      </c>
      <c r="M33" s="26" t="n">
        <v>0.2764</v>
      </c>
    </row>
    <row r="34" ht="16" customHeight="1">
      <c r="A34" t="inlineStr">
        <is>
          <t>05-Sep-2025</t>
        </is>
      </c>
      <c r="B34" t="inlineStr">
        <is>
          <t>Friday</t>
        </is>
      </c>
      <c r="C34" t="inlineStr">
        <is>
          <t>Week1-Sep-2025</t>
        </is>
      </c>
      <c r="D34" s="78" t="n">
        <v>45901</v>
      </c>
      <c r="E34" t="inlineStr">
        <is>
          <t>Q2FY26</t>
        </is>
      </c>
      <c r="F34" t="inlineStr">
        <is>
          <t>01-Oct-2025</t>
        </is>
      </c>
      <c r="G34" t="inlineStr">
        <is>
          <t>Wednesday</t>
        </is>
      </c>
      <c r="H34" t="inlineStr">
        <is>
          <t>Weekly - Wednesday</t>
        </is>
      </c>
      <c r="I34" t="inlineStr">
        <is>
          <t>Weekly - Wednesday</t>
        </is>
      </c>
      <c r="J34" t="inlineStr">
        <is>
          <t>Month+1 Expiry</t>
        </is>
      </c>
      <c r="K34" s="25" t="n">
        <v>4</v>
      </c>
      <c r="L34" s="26" t="n">
        <v>0.0067</v>
      </c>
      <c r="M34" s="26" t="n">
        <v>0.0001</v>
      </c>
    </row>
    <row r="35" ht="16" customHeight="1">
      <c r="A35" t="inlineStr">
        <is>
          <t>05-Sep-2025</t>
        </is>
      </c>
      <c r="B35" t="inlineStr">
        <is>
          <t>Friday</t>
        </is>
      </c>
      <c r="C35" t="inlineStr">
        <is>
          <t>Week1-Sep-2025</t>
        </is>
      </c>
      <c r="D35" s="78" t="n">
        <v>45901</v>
      </c>
      <c r="E35" t="inlineStr">
        <is>
          <t>Q2FY26</t>
        </is>
      </c>
      <c r="F35" t="inlineStr">
        <is>
          <t>09-Oct-2025</t>
        </is>
      </c>
      <c r="G35" t="inlineStr">
        <is>
          <t>Thursday</t>
        </is>
      </c>
      <c r="H35" t="inlineStr">
        <is>
          <t>Weekly - Thursday</t>
        </is>
      </c>
      <c r="I35" t="inlineStr">
        <is>
          <t>Weekly - Thursday</t>
        </is>
      </c>
      <c r="J35" t="inlineStr">
        <is>
          <t>Month+1 Expiry</t>
        </is>
      </c>
      <c r="K35" s="25" t="n">
        <v>0</v>
      </c>
      <c r="L35" s="26" t="n">
        <v>0</v>
      </c>
      <c r="M35" s="26" t="n">
        <v>0</v>
      </c>
    </row>
    <row r="36" ht="16" customHeight="1">
      <c r="A36" t="inlineStr">
        <is>
          <t>05-Sep-2025</t>
        </is>
      </c>
      <c r="B36" t="inlineStr">
        <is>
          <t>Friday</t>
        </is>
      </c>
      <c r="C36" t="inlineStr">
        <is>
          <t>Week1-Sep-2025</t>
        </is>
      </c>
      <c r="D36" s="78" t="n">
        <v>45901</v>
      </c>
      <c r="E36" t="inlineStr">
        <is>
          <t>Q2FY26</t>
        </is>
      </c>
      <c r="F36" t="inlineStr">
        <is>
          <t>16-Oct-2025</t>
        </is>
      </c>
      <c r="G36" t="inlineStr">
        <is>
          <t>Thursday</t>
        </is>
      </c>
      <c r="H36" t="inlineStr">
        <is>
          <t>Weekly - Thursday</t>
        </is>
      </c>
      <c r="I36" t="inlineStr">
        <is>
          <t>Weekly - Thursday</t>
        </is>
      </c>
      <c r="J36" t="inlineStr">
        <is>
          <t>Month+1 Expiry</t>
        </is>
      </c>
      <c r="K36" s="25" t="n">
        <v>1</v>
      </c>
      <c r="L36" s="26" t="n">
        <v>0.0016</v>
      </c>
      <c r="M36" s="26" t="n">
        <v>0</v>
      </c>
    </row>
    <row r="37" ht="16" customHeight="1">
      <c r="A37" t="inlineStr">
        <is>
          <t>05-Sep-2025</t>
        </is>
      </c>
      <c r="B37" t="inlineStr">
        <is>
          <t>Friday</t>
        </is>
      </c>
      <c r="C37" t="inlineStr">
        <is>
          <t>Week1-Sep-2025</t>
        </is>
      </c>
      <c r="D37" s="78" t="n">
        <v>45901</v>
      </c>
      <c r="E37" t="inlineStr">
        <is>
          <t>Q2FY26</t>
        </is>
      </c>
      <c r="F37" t="inlineStr">
        <is>
          <t>30-Oct-2025</t>
        </is>
      </c>
      <c r="G37" t="inlineStr">
        <is>
          <t>Thursday</t>
        </is>
      </c>
      <c r="H37" t="inlineStr">
        <is>
          <t>Monthly - Thursday</t>
        </is>
      </c>
      <c r="I37" t="inlineStr">
        <is>
          <t>Monthly - Thursday</t>
        </is>
      </c>
      <c r="J37" t="inlineStr">
        <is>
          <t>Month+1 Expiry</t>
        </is>
      </c>
      <c r="K37" s="25" t="n">
        <v>613</v>
      </c>
      <c r="L37" s="26" t="n">
        <v>0.9856</v>
      </c>
      <c r="M37" s="26" t="n">
        <v>0.0057</v>
      </c>
    </row>
    <row r="38" ht="16" customHeight="1">
      <c r="A38" t="inlineStr">
        <is>
          <t>08-Sep-2025</t>
        </is>
      </c>
      <c r="B38" t="inlineStr">
        <is>
          <t>Monday</t>
        </is>
      </c>
      <c r="C38" t="inlineStr">
        <is>
          <t>Week2-Sep-2025</t>
        </is>
      </c>
      <c r="D38" s="78" t="n">
        <v>45901</v>
      </c>
      <c r="E38" t="inlineStr">
        <is>
          <t>Q2FY26</t>
        </is>
      </c>
      <c r="F38" t="inlineStr">
        <is>
          <t>11-Sep-2025</t>
        </is>
      </c>
      <c r="G38" t="inlineStr">
        <is>
          <t>Thursday</t>
        </is>
      </c>
      <c r="H38" t="inlineStr">
        <is>
          <t>Weekly - Thursday</t>
        </is>
      </c>
      <c r="I38" t="inlineStr">
        <is>
          <t>Weekly - Thursday</t>
        </is>
      </c>
      <c r="J38" t="inlineStr">
        <is>
          <t>Same Month Expiry</t>
        </is>
      </c>
      <c r="K38" s="25" t="n">
        <v>23745730</v>
      </c>
      <c r="L38" s="26" t="n">
        <v>38524.7768</v>
      </c>
      <c r="M38" s="26" t="n">
        <v>86.4712</v>
      </c>
    </row>
    <row r="39" ht="16" customHeight="1">
      <c r="A39" t="inlineStr">
        <is>
          <t>08-Sep-2025</t>
        </is>
      </c>
      <c r="B39" t="inlineStr">
        <is>
          <t>Monday</t>
        </is>
      </c>
      <c r="C39" t="inlineStr">
        <is>
          <t>Week2-Sep-2025</t>
        </is>
      </c>
      <c r="D39" s="78" t="n">
        <v>45901</v>
      </c>
      <c r="E39" t="inlineStr">
        <is>
          <t>Q2FY26</t>
        </is>
      </c>
      <c r="F39" t="inlineStr">
        <is>
          <t>18-Sep-2025</t>
        </is>
      </c>
      <c r="G39" t="inlineStr">
        <is>
          <t>Thursday</t>
        </is>
      </c>
      <c r="H39" t="inlineStr">
        <is>
          <t>Weekly - Thursday</t>
        </is>
      </c>
      <c r="I39" t="inlineStr">
        <is>
          <t>Weekly - Thursday</t>
        </is>
      </c>
      <c r="J39" t="inlineStr">
        <is>
          <t>Same Month Expiry</t>
        </is>
      </c>
      <c r="K39" s="25" t="n">
        <v>130446</v>
      </c>
      <c r="L39" s="26" t="n">
        <v>211.8936</v>
      </c>
      <c r="M39" s="26" t="n">
        <v>0.7026</v>
      </c>
    </row>
    <row r="40" ht="16" customHeight="1">
      <c r="A40" t="inlineStr">
        <is>
          <t>08-Sep-2025</t>
        </is>
      </c>
      <c r="B40" t="inlineStr">
        <is>
          <t>Monday</t>
        </is>
      </c>
      <c r="C40" t="inlineStr">
        <is>
          <t>Week2-Sep-2025</t>
        </is>
      </c>
      <c r="D40" s="78" t="n">
        <v>45901</v>
      </c>
      <c r="E40" t="inlineStr">
        <is>
          <t>Q2FY26</t>
        </is>
      </c>
      <c r="F40" t="inlineStr">
        <is>
          <t>25-Sep-2025</t>
        </is>
      </c>
      <c r="G40" t="inlineStr">
        <is>
          <t>Thursday</t>
        </is>
      </c>
      <c r="H40" t="inlineStr">
        <is>
          <t>Monthly - Thursday</t>
        </is>
      </c>
      <c r="I40" t="inlineStr">
        <is>
          <t>Monthly - Thursday</t>
        </is>
      </c>
      <c r="J40" t="inlineStr">
        <is>
          <t>Same Month Expiry</t>
        </is>
      </c>
      <c r="K40" s="25" t="n">
        <v>24716</v>
      </c>
      <c r="L40" s="26" t="n">
        <v>40.3561</v>
      </c>
      <c r="M40" s="26" t="n">
        <v>0.1942</v>
      </c>
    </row>
    <row r="41" ht="16" customHeight="1">
      <c r="A41" t="inlineStr">
        <is>
          <t>08-Sep-2025</t>
        </is>
      </c>
      <c r="B41" t="inlineStr">
        <is>
          <t>Monday</t>
        </is>
      </c>
      <c r="C41" t="inlineStr">
        <is>
          <t>Week2-Sep-2025</t>
        </is>
      </c>
      <c r="D41" s="78" t="n">
        <v>45901</v>
      </c>
      <c r="E41" t="inlineStr">
        <is>
          <t>Q2FY26</t>
        </is>
      </c>
      <c r="F41" t="inlineStr">
        <is>
          <t>01-Oct-2025</t>
        </is>
      </c>
      <c r="G41" t="inlineStr">
        <is>
          <t>Wednesday</t>
        </is>
      </c>
      <c r="H41" t="inlineStr">
        <is>
          <t>Weekly - Wednesday</t>
        </is>
      </c>
      <c r="I41" t="inlineStr">
        <is>
          <t>Weekly - Wednesday</t>
        </is>
      </c>
      <c r="J41" t="inlineStr">
        <is>
          <t>Month+1 Expiry</t>
        </is>
      </c>
      <c r="K41" s="25" t="n">
        <v>183</v>
      </c>
      <c r="L41" s="26" t="n">
        <v>0.2989</v>
      </c>
      <c r="M41" s="26" t="n">
        <v>0.0022</v>
      </c>
    </row>
    <row r="42" ht="16" customHeight="1">
      <c r="A42" t="inlineStr">
        <is>
          <t>08-Sep-2025</t>
        </is>
      </c>
      <c r="B42" t="inlineStr">
        <is>
          <t>Monday</t>
        </is>
      </c>
      <c r="C42" t="inlineStr">
        <is>
          <t>Week2-Sep-2025</t>
        </is>
      </c>
      <c r="D42" s="78" t="n">
        <v>45901</v>
      </c>
      <c r="E42" t="inlineStr">
        <is>
          <t>Q2FY26</t>
        </is>
      </c>
      <c r="F42" t="inlineStr">
        <is>
          <t>09-Oct-2025</t>
        </is>
      </c>
      <c r="G42" t="inlineStr">
        <is>
          <t>Thursday</t>
        </is>
      </c>
      <c r="H42" t="inlineStr">
        <is>
          <t>Weekly - Thursday</t>
        </is>
      </c>
      <c r="I42" t="inlineStr">
        <is>
          <t>Weekly - Thursday</t>
        </is>
      </c>
      <c r="J42" t="inlineStr">
        <is>
          <t>Month+1 Expiry</t>
        </is>
      </c>
      <c r="K42" s="25" t="n">
        <v>302</v>
      </c>
      <c r="L42" s="26" t="n">
        <v>0.5116000000000001</v>
      </c>
      <c r="M42" s="26" t="n">
        <v>0.0008</v>
      </c>
    </row>
    <row r="43" ht="16" customHeight="1">
      <c r="A43" t="inlineStr">
        <is>
          <t>08-Sep-2025</t>
        </is>
      </c>
      <c r="B43" t="inlineStr">
        <is>
          <t>Monday</t>
        </is>
      </c>
      <c r="C43" t="inlineStr">
        <is>
          <t>Week2-Sep-2025</t>
        </is>
      </c>
      <c r="D43" s="78" t="n">
        <v>45901</v>
      </c>
      <c r="E43" t="inlineStr">
        <is>
          <t>Q2FY26</t>
        </is>
      </c>
      <c r="F43" t="inlineStr">
        <is>
          <t>16-Oct-2025</t>
        </is>
      </c>
      <c r="G43" t="inlineStr">
        <is>
          <t>Thursday</t>
        </is>
      </c>
      <c r="H43" t="inlineStr">
        <is>
          <t>Weekly - Thursday</t>
        </is>
      </c>
      <c r="I43" t="inlineStr">
        <is>
          <t>Weekly - Thursday</t>
        </is>
      </c>
      <c r="J43" t="inlineStr">
        <is>
          <t>Month+1 Expiry</t>
        </is>
      </c>
      <c r="K43" s="25" t="n">
        <v>1</v>
      </c>
      <c r="L43" s="26" t="n">
        <v>0.0016</v>
      </c>
      <c r="M43" s="26" t="n">
        <v>0</v>
      </c>
    </row>
    <row r="44" ht="16" customHeight="1">
      <c r="A44" t="inlineStr">
        <is>
          <t>08-Sep-2025</t>
        </is>
      </c>
      <c r="B44" t="inlineStr">
        <is>
          <t>Monday</t>
        </is>
      </c>
      <c r="C44" t="inlineStr">
        <is>
          <t>Week2-Sep-2025</t>
        </is>
      </c>
      <c r="D44" s="78" t="n">
        <v>45901</v>
      </c>
      <c r="E44" t="inlineStr">
        <is>
          <t>Q2FY26</t>
        </is>
      </c>
      <c r="F44" t="inlineStr">
        <is>
          <t>30-Oct-2025</t>
        </is>
      </c>
      <c r="G44" t="inlineStr">
        <is>
          <t>Thursday</t>
        </is>
      </c>
      <c r="H44" t="inlineStr">
        <is>
          <t>Monthly - Thursday</t>
        </is>
      </c>
      <c r="I44" t="inlineStr">
        <is>
          <t>Monthly - Thursday</t>
        </is>
      </c>
      <c r="J44" t="inlineStr">
        <is>
          <t>Month+1 Expiry</t>
        </is>
      </c>
      <c r="K44" s="25" t="n">
        <v>1083</v>
      </c>
      <c r="L44" s="26" t="n">
        <v>1.7731</v>
      </c>
      <c r="M44" s="26" t="n">
        <v>0.0174</v>
      </c>
    </row>
    <row r="45" ht="16" customHeight="1">
      <c r="A45" t="inlineStr">
        <is>
          <t>09-Sep-2025</t>
        </is>
      </c>
      <c r="B45" t="inlineStr">
        <is>
          <t>Tuesday</t>
        </is>
      </c>
      <c r="C45" t="inlineStr">
        <is>
          <t>Week2-Sep-2025</t>
        </is>
      </c>
      <c r="D45" s="78" t="n">
        <v>45901</v>
      </c>
      <c r="E45" t="inlineStr">
        <is>
          <t>Q2FY26</t>
        </is>
      </c>
      <c r="F45" t="inlineStr">
        <is>
          <t>11-Sep-2025</t>
        </is>
      </c>
      <c r="G45" t="inlineStr">
        <is>
          <t>Thursday</t>
        </is>
      </c>
      <c r="H45" t="inlineStr">
        <is>
          <t>Weekly - Thursday</t>
        </is>
      </c>
      <c r="I45" t="inlineStr">
        <is>
          <t>Weekly - Thursday</t>
        </is>
      </c>
      <c r="J45" t="inlineStr">
        <is>
          <t>Same Month Expiry</t>
        </is>
      </c>
      <c r="K45" s="25" t="n">
        <v>23531891</v>
      </c>
      <c r="L45" s="26" t="n">
        <v>38211.8356</v>
      </c>
      <c r="M45" s="26" t="n">
        <v>71.5372</v>
      </c>
    </row>
    <row r="46" ht="16" customHeight="1">
      <c r="A46" t="inlineStr">
        <is>
          <t>09-Sep-2025</t>
        </is>
      </c>
      <c r="B46" t="inlineStr">
        <is>
          <t>Tuesday</t>
        </is>
      </c>
      <c r="C46" t="inlineStr">
        <is>
          <t>Week2-Sep-2025</t>
        </is>
      </c>
      <c r="D46" s="78" t="n">
        <v>45901</v>
      </c>
      <c r="E46" t="inlineStr">
        <is>
          <t>Q2FY26</t>
        </is>
      </c>
      <c r="F46" t="inlineStr">
        <is>
          <t>18-Sep-2025</t>
        </is>
      </c>
      <c r="G46" t="inlineStr">
        <is>
          <t>Thursday</t>
        </is>
      </c>
      <c r="H46" t="inlineStr">
        <is>
          <t>Weekly - Thursday</t>
        </is>
      </c>
      <c r="I46" t="inlineStr">
        <is>
          <t>Weekly - Thursday</t>
        </is>
      </c>
      <c r="J46" t="inlineStr">
        <is>
          <t>Same Month Expiry</t>
        </is>
      </c>
      <c r="K46" s="25" t="n">
        <v>171913</v>
      </c>
      <c r="L46" s="26" t="n">
        <v>280.0219</v>
      </c>
      <c r="M46" s="26" t="n">
        <v>0.8813</v>
      </c>
    </row>
    <row r="47" ht="16" customHeight="1">
      <c r="A47" t="inlineStr">
        <is>
          <t>09-Sep-2025</t>
        </is>
      </c>
      <c r="B47" t="inlineStr">
        <is>
          <t>Tuesday</t>
        </is>
      </c>
      <c r="C47" t="inlineStr">
        <is>
          <t>Week2-Sep-2025</t>
        </is>
      </c>
      <c r="D47" s="78" t="n">
        <v>45901</v>
      </c>
      <c r="E47" t="inlineStr">
        <is>
          <t>Q2FY26</t>
        </is>
      </c>
      <c r="F47" t="inlineStr">
        <is>
          <t>25-Sep-2025</t>
        </is>
      </c>
      <c r="G47" t="inlineStr">
        <is>
          <t>Thursday</t>
        </is>
      </c>
      <c r="H47" t="inlineStr">
        <is>
          <t>Monthly - Thursday</t>
        </is>
      </c>
      <c r="I47" t="inlineStr">
        <is>
          <t>Monthly - Thursday</t>
        </is>
      </c>
      <c r="J47" t="inlineStr">
        <is>
          <t>Same Month Expiry</t>
        </is>
      </c>
      <c r="K47" s="25" t="n">
        <v>21297</v>
      </c>
      <c r="L47" s="26" t="n">
        <v>34.7682</v>
      </c>
      <c r="M47" s="26" t="n">
        <v>0.1771</v>
      </c>
    </row>
    <row r="48" ht="16" customHeight="1">
      <c r="A48" t="inlineStr">
        <is>
          <t>09-Sep-2025</t>
        </is>
      </c>
      <c r="B48" t="inlineStr">
        <is>
          <t>Tuesday</t>
        </is>
      </c>
      <c r="C48" t="inlineStr">
        <is>
          <t>Week2-Sep-2025</t>
        </is>
      </c>
      <c r="D48" s="78" t="n">
        <v>45901</v>
      </c>
      <c r="E48" t="inlineStr">
        <is>
          <t>Q2FY26</t>
        </is>
      </c>
      <c r="F48" t="inlineStr">
        <is>
          <t>01-Oct-2025</t>
        </is>
      </c>
      <c r="G48" t="inlineStr">
        <is>
          <t>Wednesday</t>
        </is>
      </c>
      <c r="H48" t="inlineStr">
        <is>
          <t>Weekly - Wednesday</t>
        </is>
      </c>
      <c r="I48" t="inlineStr">
        <is>
          <t>Weekly - Wednesday</t>
        </is>
      </c>
      <c r="J48" t="inlineStr">
        <is>
          <t>Month+1 Expiry</t>
        </is>
      </c>
      <c r="K48" s="25" t="n">
        <v>114</v>
      </c>
      <c r="L48" s="26" t="n">
        <v>0.1867</v>
      </c>
      <c r="M48" s="26" t="n">
        <v>0.0015</v>
      </c>
    </row>
    <row r="49" ht="16" customHeight="1">
      <c r="A49" t="inlineStr">
        <is>
          <t>09-Sep-2025</t>
        </is>
      </c>
      <c r="B49" t="inlineStr">
        <is>
          <t>Tuesday</t>
        </is>
      </c>
      <c r="C49" t="inlineStr">
        <is>
          <t>Week2-Sep-2025</t>
        </is>
      </c>
      <c r="D49" s="78" t="n">
        <v>45901</v>
      </c>
      <c r="E49" t="inlineStr">
        <is>
          <t>Q2FY26</t>
        </is>
      </c>
      <c r="F49" t="inlineStr">
        <is>
          <t>09-Oct-2025</t>
        </is>
      </c>
      <c r="G49" t="inlineStr">
        <is>
          <t>Thursday</t>
        </is>
      </c>
      <c r="H49" t="inlineStr">
        <is>
          <t>Weekly - Thursday</t>
        </is>
      </c>
      <c r="I49" t="inlineStr">
        <is>
          <t>Weekly - Thursday</t>
        </is>
      </c>
      <c r="J49" t="inlineStr">
        <is>
          <t>Month+1 Expiry</t>
        </is>
      </c>
      <c r="K49" s="25" t="n">
        <v>0</v>
      </c>
      <c r="L49" s="26" t="n">
        <v>0</v>
      </c>
      <c r="M49" s="26" t="n">
        <v>0</v>
      </c>
    </row>
    <row r="50" ht="16" customHeight="1">
      <c r="A50" t="inlineStr">
        <is>
          <t>09-Sep-2025</t>
        </is>
      </c>
      <c r="B50" t="inlineStr">
        <is>
          <t>Tuesday</t>
        </is>
      </c>
      <c r="C50" t="inlineStr">
        <is>
          <t>Week2-Sep-2025</t>
        </is>
      </c>
      <c r="D50" s="78" t="n">
        <v>45901</v>
      </c>
      <c r="E50" t="inlineStr">
        <is>
          <t>Q2FY26</t>
        </is>
      </c>
      <c r="F50" t="inlineStr">
        <is>
          <t>16-Oct-2025</t>
        </is>
      </c>
      <c r="G50" t="inlineStr">
        <is>
          <t>Thursday</t>
        </is>
      </c>
      <c r="H50" t="inlineStr">
        <is>
          <t>Weekly - Thursday</t>
        </is>
      </c>
      <c r="I50" t="inlineStr">
        <is>
          <t>Weekly - Thursday</t>
        </is>
      </c>
      <c r="J50" t="inlineStr">
        <is>
          <t>Month+1 Expiry</t>
        </is>
      </c>
      <c r="K50" s="25" t="n">
        <v>0</v>
      </c>
      <c r="L50" s="26" t="n">
        <v>0</v>
      </c>
      <c r="M50" s="26" t="n">
        <v>0</v>
      </c>
    </row>
    <row r="51" ht="16" customHeight="1">
      <c r="A51" t="inlineStr">
        <is>
          <t>09-Sep-2025</t>
        </is>
      </c>
      <c r="B51" t="inlineStr">
        <is>
          <t>Tuesday</t>
        </is>
      </c>
      <c r="C51" t="inlineStr">
        <is>
          <t>Week2-Sep-2025</t>
        </is>
      </c>
      <c r="D51" s="78" t="n">
        <v>45901</v>
      </c>
      <c r="E51" t="inlineStr">
        <is>
          <t>Q2FY26</t>
        </is>
      </c>
      <c r="F51" t="inlineStr">
        <is>
          <t>30-Oct-2025</t>
        </is>
      </c>
      <c r="G51" t="inlineStr">
        <is>
          <t>Thursday</t>
        </is>
      </c>
      <c r="H51" t="inlineStr">
        <is>
          <t>Monthly - Thursday</t>
        </is>
      </c>
      <c r="I51" t="inlineStr">
        <is>
          <t>Monthly - Thursday</t>
        </is>
      </c>
      <c r="J51" t="inlineStr">
        <is>
          <t>Month+1 Expiry</t>
        </is>
      </c>
      <c r="K51" s="25" t="n">
        <v>720</v>
      </c>
      <c r="L51" s="26" t="n">
        <v>1.1855</v>
      </c>
      <c r="M51" s="26" t="n">
        <v>0.009299999999999999</v>
      </c>
    </row>
    <row r="52" ht="16" customHeight="1">
      <c r="A52" t="inlineStr">
        <is>
          <t>10-Sep-2025</t>
        </is>
      </c>
      <c r="B52" t="inlineStr">
        <is>
          <t>Wednesday</t>
        </is>
      </c>
      <c r="C52" t="inlineStr">
        <is>
          <t>Week2-Sep-2025</t>
        </is>
      </c>
      <c r="D52" s="78" t="n">
        <v>45901</v>
      </c>
      <c r="E52" t="inlineStr">
        <is>
          <t>Q2FY26</t>
        </is>
      </c>
      <c r="F52" t="inlineStr">
        <is>
          <t>11-Sep-2025</t>
        </is>
      </c>
      <c r="G52" t="inlineStr">
        <is>
          <t>Thursday</t>
        </is>
      </c>
      <c r="H52" t="inlineStr">
        <is>
          <t>Weekly - Thursday</t>
        </is>
      </c>
      <c r="I52" t="inlineStr">
        <is>
          <t>Weekly - Thursday</t>
        </is>
      </c>
      <c r="J52" t="inlineStr">
        <is>
          <t>Same Month Expiry</t>
        </is>
      </c>
      <c r="K52" s="25" t="n">
        <v>95775843</v>
      </c>
      <c r="L52" s="26" t="n">
        <v>156221.099</v>
      </c>
      <c r="M52" s="26" t="n">
        <v>208.3627</v>
      </c>
    </row>
    <row r="53" ht="16" customHeight="1">
      <c r="A53" t="inlineStr">
        <is>
          <t>10-Sep-2025</t>
        </is>
      </c>
      <c r="B53" t="inlineStr">
        <is>
          <t>Wednesday</t>
        </is>
      </c>
      <c r="C53" t="inlineStr">
        <is>
          <t>Week2-Sep-2025</t>
        </is>
      </c>
      <c r="D53" s="78" t="n">
        <v>45901</v>
      </c>
      <c r="E53" t="inlineStr">
        <is>
          <t>Q2FY26</t>
        </is>
      </c>
      <c r="F53" t="inlineStr">
        <is>
          <t>18-Sep-2025</t>
        </is>
      </c>
      <c r="G53" t="inlineStr">
        <is>
          <t>Thursday</t>
        </is>
      </c>
      <c r="H53" t="inlineStr">
        <is>
          <t>Weekly - Thursday</t>
        </is>
      </c>
      <c r="I53" t="inlineStr">
        <is>
          <t>Weekly - Thursday</t>
        </is>
      </c>
      <c r="J53" t="inlineStr">
        <is>
          <t>Same Month Expiry</t>
        </is>
      </c>
      <c r="K53" s="25" t="n">
        <v>510878</v>
      </c>
      <c r="L53" s="26" t="n">
        <v>833.6393</v>
      </c>
      <c r="M53" s="26" t="n">
        <v>2.404</v>
      </c>
    </row>
    <row r="54" ht="16" customHeight="1">
      <c r="A54" t="inlineStr">
        <is>
          <t>10-Sep-2025</t>
        </is>
      </c>
      <c r="B54" t="inlineStr">
        <is>
          <t>Wednesday</t>
        </is>
      </c>
      <c r="C54" t="inlineStr">
        <is>
          <t>Week2-Sep-2025</t>
        </is>
      </c>
      <c r="D54" s="78" t="n">
        <v>45901</v>
      </c>
      <c r="E54" t="inlineStr">
        <is>
          <t>Q2FY26</t>
        </is>
      </c>
      <c r="F54" t="inlineStr">
        <is>
          <t>25-Sep-2025</t>
        </is>
      </c>
      <c r="G54" t="inlineStr">
        <is>
          <t>Thursday</t>
        </is>
      </c>
      <c r="H54" t="inlineStr">
        <is>
          <t>Monthly - Thursday</t>
        </is>
      </c>
      <c r="I54" t="inlineStr">
        <is>
          <t>Monthly - Thursday</t>
        </is>
      </c>
      <c r="J54" t="inlineStr">
        <is>
          <t>Same Month Expiry</t>
        </is>
      </c>
      <c r="K54" s="25" t="n">
        <v>43868</v>
      </c>
      <c r="L54" s="26" t="n">
        <v>72.23999999999999</v>
      </c>
      <c r="M54" s="26" t="n">
        <v>0.3224</v>
      </c>
    </row>
    <row r="55" ht="16" customHeight="1">
      <c r="A55" t="inlineStr">
        <is>
          <t>10-Sep-2025</t>
        </is>
      </c>
      <c r="B55" t="inlineStr">
        <is>
          <t>Wednesday</t>
        </is>
      </c>
      <c r="C55" t="inlineStr">
        <is>
          <t>Week2-Sep-2025</t>
        </is>
      </c>
      <c r="D55" s="78" t="n">
        <v>45901</v>
      </c>
      <c r="E55" t="inlineStr">
        <is>
          <t>Q2FY26</t>
        </is>
      </c>
      <c r="F55" t="inlineStr">
        <is>
          <t>01-Oct-2025</t>
        </is>
      </c>
      <c r="G55" t="inlineStr">
        <is>
          <t>Wednesday</t>
        </is>
      </c>
      <c r="H55" t="inlineStr">
        <is>
          <t>Weekly - Wednesday</t>
        </is>
      </c>
      <c r="I55" t="inlineStr">
        <is>
          <t>Weekly - Wednesday</t>
        </is>
      </c>
      <c r="J55" t="inlineStr">
        <is>
          <t>Month+1 Expiry</t>
        </is>
      </c>
      <c r="K55" s="25" t="n">
        <v>146</v>
      </c>
      <c r="L55" s="26" t="n">
        <v>0.2388</v>
      </c>
      <c r="M55" s="26" t="n">
        <v>0.0019</v>
      </c>
    </row>
    <row r="56" ht="16" customHeight="1">
      <c r="A56" t="inlineStr">
        <is>
          <t>10-Sep-2025</t>
        </is>
      </c>
      <c r="B56" t="inlineStr">
        <is>
          <t>Wednesday</t>
        </is>
      </c>
      <c r="C56" t="inlineStr">
        <is>
          <t>Week2-Sep-2025</t>
        </is>
      </c>
      <c r="D56" s="78" t="n">
        <v>45901</v>
      </c>
      <c r="E56" t="inlineStr">
        <is>
          <t>Q2FY26</t>
        </is>
      </c>
      <c r="F56" t="inlineStr">
        <is>
          <t>09-Oct-2025</t>
        </is>
      </c>
      <c r="G56" t="inlineStr">
        <is>
          <t>Thursday</t>
        </is>
      </c>
      <c r="H56" t="inlineStr">
        <is>
          <t>Weekly - Thursday</t>
        </is>
      </c>
      <c r="I56" t="inlineStr">
        <is>
          <t>Weekly - Thursday</t>
        </is>
      </c>
      <c r="J56" t="inlineStr">
        <is>
          <t>Month+1 Expiry</t>
        </is>
      </c>
      <c r="K56" s="25" t="n">
        <v>0</v>
      </c>
      <c r="L56" s="26" t="n">
        <v>0</v>
      </c>
      <c r="M56" s="26" t="n">
        <v>0</v>
      </c>
    </row>
    <row r="57" ht="16" customHeight="1">
      <c r="A57" t="inlineStr">
        <is>
          <t>10-Sep-2025</t>
        </is>
      </c>
      <c r="B57" t="inlineStr">
        <is>
          <t>Wednesday</t>
        </is>
      </c>
      <c r="C57" t="inlineStr">
        <is>
          <t>Week2-Sep-2025</t>
        </is>
      </c>
      <c r="D57" s="78" t="n">
        <v>45901</v>
      </c>
      <c r="E57" t="inlineStr">
        <is>
          <t>Q2FY26</t>
        </is>
      </c>
      <c r="F57" t="inlineStr">
        <is>
          <t>16-Oct-2025</t>
        </is>
      </c>
      <c r="G57" t="inlineStr">
        <is>
          <t>Thursday</t>
        </is>
      </c>
      <c r="H57" t="inlineStr">
        <is>
          <t>Weekly - Thursday</t>
        </is>
      </c>
      <c r="I57" t="inlineStr">
        <is>
          <t>Weekly - Thursday</t>
        </is>
      </c>
      <c r="J57" t="inlineStr">
        <is>
          <t>Month+1 Expiry</t>
        </is>
      </c>
      <c r="K57" s="25" t="n">
        <v>0</v>
      </c>
      <c r="L57" s="26" t="n">
        <v>0</v>
      </c>
      <c r="M57" s="26" t="n">
        <v>0</v>
      </c>
    </row>
    <row r="58" ht="16" customHeight="1">
      <c r="A58" t="inlineStr">
        <is>
          <t>10-Sep-2025</t>
        </is>
      </c>
      <c r="B58" t="inlineStr">
        <is>
          <t>Wednesday</t>
        </is>
      </c>
      <c r="C58" t="inlineStr">
        <is>
          <t>Week2-Sep-2025</t>
        </is>
      </c>
      <c r="D58" s="78" t="n">
        <v>45901</v>
      </c>
      <c r="E58" t="inlineStr">
        <is>
          <t>Q2FY26</t>
        </is>
      </c>
      <c r="F58" t="inlineStr">
        <is>
          <t>30-Oct-2025</t>
        </is>
      </c>
      <c r="G58" t="inlineStr">
        <is>
          <t>Thursday</t>
        </is>
      </c>
      <c r="H58" t="inlineStr">
        <is>
          <t>Monthly - Thursday</t>
        </is>
      </c>
      <c r="I58" t="inlineStr">
        <is>
          <t>Monthly - Thursday</t>
        </is>
      </c>
      <c r="J58" t="inlineStr">
        <is>
          <t>Month+1 Expiry</t>
        </is>
      </c>
      <c r="K58" s="25" t="n">
        <v>1090</v>
      </c>
      <c r="L58" s="26" t="n">
        <v>1.7974</v>
      </c>
      <c r="M58" s="26" t="n">
        <v>0.0142</v>
      </c>
    </row>
    <row r="59" ht="16" customHeight="1">
      <c r="A59" t="inlineStr">
        <is>
          <t>10-Sep-2025</t>
        </is>
      </c>
      <c r="B59" t="inlineStr">
        <is>
          <t>Wednesday</t>
        </is>
      </c>
      <c r="C59" t="inlineStr">
        <is>
          <t>Week2-Sep-2025</t>
        </is>
      </c>
      <c r="D59" s="78" t="n">
        <v>45901</v>
      </c>
      <c r="E59" t="inlineStr">
        <is>
          <t>Q2FY26</t>
        </is>
      </c>
      <c r="F59" t="inlineStr">
        <is>
          <t>27-Nov-2025</t>
        </is>
      </c>
      <c r="G59" t="inlineStr">
        <is>
          <t>Thursday</t>
        </is>
      </c>
      <c r="H59" t="inlineStr">
        <is>
          <t>Monthly - Thursday</t>
        </is>
      </c>
      <c r="I59" t="inlineStr">
        <is>
          <t>Monthly - Thursday</t>
        </is>
      </c>
      <c r="J59" t="inlineStr">
        <is>
          <t>Month+2 Expiry</t>
        </is>
      </c>
      <c r="K59" s="25" t="n">
        <v>3</v>
      </c>
      <c r="L59" s="26" t="n">
        <v>0.005</v>
      </c>
      <c r="M59" s="26" t="n">
        <v>0.0001</v>
      </c>
    </row>
    <row r="60" ht="16" customHeight="1">
      <c r="A60" t="inlineStr">
        <is>
          <t>11-Sep-2025</t>
        </is>
      </c>
      <c r="B60" t="inlineStr">
        <is>
          <t>Thursday</t>
        </is>
      </c>
      <c r="C60" t="inlineStr">
        <is>
          <t>Week2-Sep-2025</t>
        </is>
      </c>
      <c r="D60" s="78" t="n">
        <v>45901</v>
      </c>
      <c r="E60" t="inlineStr">
        <is>
          <t>Q2FY26</t>
        </is>
      </c>
      <c r="F60" t="inlineStr">
        <is>
          <t>11-Sep-2025</t>
        </is>
      </c>
      <c r="G60" t="inlineStr">
        <is>
          <t>Thursday</t>
        </is>
      </c>
      <c r="H60" t="inlineStr">
        <is>
          <t>Weekly - Thursday</t>
        </is>
      </c>
      <c r="I60" t="inlineStr">
        <is>
          <t>Weekly - Thursday</t>
        </is>
      </c>
      <c r="J60" t="inlineStr">
        <is>
          <t>Same Month Expiry</t>
        </is>
      </c>
      <c r="K60" s="25" t="n">
        <v>317804062</v>
      </c>
      <c r="L60" s="26" t="n">
        <v>518272.052</v>
      </c>
      <c r="M60" s="26" t="n">
        <v>275.2818</v>
      </c>
    </row>
    <row r="61" ht="16" customHeight="1">
      <c r="A61" t="inlineStr">
        <is>
          <t>11-Sep-2025</t>
        </is>
      </c>
      <c r="B61" t="inlineStr">
        <is>
          <t>Thursday</t>
        </is>
      </c>
      <c r="C61" t="inlineStr">
        <is>
          <t>Week2-Sep-2025</t>
        </is>
      </c>
      <c r="D61" s="78" t="n">
        <v>45901</v>
      </c>
      <c r="E61" t="inlineStr">
        <is>
          <t>Q2FY26</t>
        </is>
      </c>
      <c r="F61" t="inlineStr">
        <is>
          <t>18-Sep-2025</t>
        </is>
      </c>
      <c r="G61" t="inlineStr">
        <is>
          <t>Thursday</t>
        </is>
      </c>
      <c r="H61" t="inlineStr">
        <is>
          <t>Weekly - Thursday</t>
        </is>
      </c>
      <c r="I61" t="inlineStr">
        <is>
          <t>Weekly - Thursday</t>
        </is>
      </c>
      <c r="J61" t="inlineStr">
        <is>
          <t>Same Month Expiry</t>
        </is>
      </c>
      <c r="K61" s="25" t="n">
        <v>1426551</v>
      </c>
      <c r="L61" s="26" t="n">
        <v>2325.1907</v>
      </c>
      <c r="M61" s="26" t="n">
        <v>5.4688</v>
      </c>
    </row>
    <row r="62" ht="16" customHeight="1">
      <c r="A62" t="inlineStr">
        <is>
          <t>11-Sep-2025</t>
        </is>
      </c>
      <c r="B62" t="inlineStr">
        <is>
          <t>Thursday</t>
        </is>
      </c>
      <c r="C62" t="inlineStr">
        <is>
          <t>Week2-Sep-2025</t>
        </is>
      </c>
      <c r="D62" s="78" t="n">
        <v>45901</v>
      </c>
      <c r="E62" t="inlineStr">
        <is>
          <t>Q2FY26</t>
        </is>
      </c>
      <c r="F62" t="inlineStr">
        <is>
          <t>25-Sep-2025</t>
        </is>
      </c>
      <c r="G62" t="inlineStr">
        <is>
          <t>Thursday</t>
        </is>
      </c>
      <c r="H62" t="inlineStr">
        <is>
          <t>Monthly - Thursday</t>
        </is>
      </c>
      <c r="I62" t="inlineStr">
        <is>
          <t>Monthly - Thursday</t>
        </is>
      </c>
      <c r="J62" t="inlineStr">
        <is>
          <t>Same Month Expiry</t>
        </is>
      </c>
      <c r="K62" s="25" t="n">
        <v>45952</v>
      </c>
      <c r="L62" s="26" t="n">
        <v>75.7771</v>
      </c>
      <c r="M62" s="26" t="n">
        <v>0.3371</v>
      </c>
    </row>
    <row r="63" ht="16" customHeight="1">
      <c r="A63" t="inlineStr">
        <is>
          <t>11-Sep-2025</t>
        </is>
      </c>
      <c r="B63" t="inlineStr">
        <is>
          <t>Thursday</t>
        </is>
      </c>
      <c r="C63" t="inlineStr">
        <is>
          <t>Week2-Sep-2025</t>
        </is>
      </c>
      <c r="D63" s="78" t="n">
        <v>45901</v>
      </c>
      <c r="E63" t="inlineStr">
        <is>
          <t>Q2FY26</t>
        </is>
      </c>
      <c r="F63" t="inlineStr">
        <is>
          <t>01-Oct-2025</t>
        </is>
      </c>
      <c r="G63" t="inlineStr">
        <is>
          <t>Wednesday</t>
        </is>
      </c>
      <c r="H63" t="inlineStr">
        <is>
          <t>Weekly - Wednesday</t>
        </is>
      </c>
      <c r="I63" t="inlineStr">
        <is>
          <t>Weekly - Wednesday</t>
        </is>
      </c>
      <c r="J63" t="inlineStr">
        <is>
          <t>Month+1 Expiry</t>
        </is>
      </c>
      <c r="K63" s="25" t="n">
        <v>473</v>
      </c>
      <c r="L63" s="26" t="n">
        <v>0.7724</v>
      </c>
      <c r="M63" s="26" t="n">
        <v>0.0043</v>
      </c>
    </row>
    <row r="64" ht="16" customHeight="1">
      <c r="A64" t="inlineStr">
        <is>
          <t>11-Sep-2025</t>
        </is>
      </c>
      <c r="B64" t="inlineStr">
        <is>
          <t>Thursday</t>
        </is>
      </c>
      <c r="C64" t="inlineStr">
        <is>
          <t>Week2-Sep-2025</t>
        </is>
      </c>
      <c r="D64" s="78" t="n">
        <v>45901</v>
      </c>
      <c r="E64" t="inlineStr">
        <is>
          <t>Q2FY26</t>
        </is>
      </c>
      <c r="F64" t="inlineStr">
        <is>
          <t>09-Oct-2025</t>
        </is>
      </c>
      <c r="G64" t="inlineStr">
        <is>
          <t>Thursday</t>
        </is>
      </c>
      <c r="H64" t="inlineStr">
        <is>
          <t>Weekly - Thursday</t>
        </is>
      </c>
      <c r="I64" t="inlineStr">
        <is>
          <t>Weekly - Thursday</t>
        </is>
      </c>
      <c r="J64" t="inlineStr">
        <is>
          <t>Month+1 Expiry</t>
        </is>
      </c>
      <c r="K64" s="25" t="n">
        <v>100</v>
      </c>
      <c r="L64" s="26" t="n">
        <v>0.1695</v>
      </c>
      <c r="M64" s="26" t="n">
        <v>0.0003</v>
      </c>
    </row>
    <row r="65" ht="16" customHeight="1">
      <c r="A65" t="inlineStr">
        <is>
          <t>11-Sep-2025</t>
        </is>
      </c>
      <c r="B65" t="inlineStr">
        <is>
          <t>Thursday</t>
        </is>
      </c>
      <c r="C65" t="inlineStr">
        <is>
          <t>Week2-Sep-2025</t>
        </is>
      </c>
      <c r="D65" s="78" t="n">
        <v>45901</v>
      </c>
      <c r="E65" t="inlineStr">
        <is>
          <t>Q2FY26</t>
        </is>
      </c>
      <c r="F65" t="inlineStr">
        <is>
          <t>16-Oct-2025</t>
        </is>
      </c>
      <c r="G65" t="inlineStr">
        <is>
          <t>Thursday</t>
        </is>
      </c>
      <c r="H65" t="inlineStr">
        <is>
          <t>Weekly - Thursday</t>
        </is>
      </c>
      <c r="I65" t="inlineStr">
        <is>
          <t>Weekly - Thursday</t>
        </is>
      </c>
      <c r="J65" t="inlineStr">
        <is>
          <t>Month+1 Expiry</t>
        </is>
      </c>
      <c r="K65" s="25" t="n">
        <v>1</v>
      </c>
      <c r="L65" s="26" t="n">
        <v>0.0016</v>
      </c>
      <c r="M65" s="26" t="n">
        <v>0</v>
      </c>
    </row>
    <row r="66" ht="16" customHeight="1">
      <c r="A66" t="inlineStr">
        <is>
          <t>11-Sep-2025</t>
        </is>
      </c>
      <c r="B66" t="inlineStr">
        <is>
          <t>Thursday</t>
        </is>
      </c>
      <c r="C66" t="inlineStr">
        <is>
          <t>Week2-Sep-2025</t>
        </is>
      </c>
      <c r="D66" s="78" t="n">
        <v>45901</v>
      </c>
      <c r="E66" t="inlineStr">
        <is>
          <t>Q2FY26</t>
        </is>
      </c>
      <c r="F66" t="inlineStr">
        <is>
          <t>23-Oct-2025</t>
        </is>
      </c>
      <c r="G66" t="inlineStr">
        <is>
          <t>Thursday</t>
        </is>
      </c>
      <c r="H66" t="inlineStr">
        <is>
          <t>Weekly - Thursday</t>
        </is>
      </c>
      <c r="I66" t="inlineStr">
        <is>
          <t>Weekly - Thursday</t>
        </is>
      </c>
      <c r="J66" t="inlineStr">
        <is>
          <t>Month+1 Expiry</t>
        </is>
      </c>
      <c r="K66" s="25" t="n">
        <v>1</v>
      </c>
      <c r="L66" s="26" t="n">
        <v>0.0016</v>
      </c>
      <c r="M66" s="26" t="n">
        <v>0</v>
      </c>
    </row>
    <row r="67" ht="16" customHeight="1">
      <c r="A67" t="inlineStr">
        <is>
          <t>11-Sep-2025</t>
        </is>
      </c>
      <c r="B67" t="inlineStr">
        <is>
          <t>Thursday</t>
        </is>
      </c>
      <c r="C67" t="inlineStr">
        <is>
          <t>Week2-Sep-2025</t>
        </is>
      </c>
      <c r="D67" s="78" t="n">
        <v>45901</v>
      </c>
      <c r="E67" t="inlineStr">
        <is>
          <t>Q2FY26</t>
        </is>
      </c>
      <c r="F67" t="inlineStr">
        <is>
          <t>30-Oct-2025</t>
        </is>
      </c>
      <c r="G67" t="inlineStr">
        <is>
          <t>Thursday</t>
        </is>
      </c>
      <c r="H67" t="inlineStr">
        <is>
          <t>Monthly - Thursday</t>
        </is>
      </c>
      <c r="I67" t="inlineStr">
        <is>
          <t>Monthly - Thursday</t>
        </is>
      </c>
      <c r="J67" t="inlineStr">
        <is>
          <t>Month+1 Expiry</t>
        </is>
      </c>
      <c r="K67" s="25" t="n">
        <v>1495</v>
      </c>
      <c r="L67" s="26" t="n">
        <v>2.4957</v>
      </c>
      <c r="M67" s="26" t="n">
        <v>0.0129</v>
      </c>
    </row>
    <row r="68" ht="16" customHeight="1">
      <c r="A68" t="inlineStr">
        <is>
          <t>12-Sep-2025</t>
        </is>
      </c>
      <c r="B68" t="inlineStr">
        <is>
          <t>Friday</t>
        </is>
      </c>
      <c r="C68" t="inlineStr">
        <is>
          <t>Week2-Sep-2025</t>
        </is>
      </c>
      <c r="D68" s="78" t="n">
        <v>45901</v>
      </c>
      <c r="E68" t="inlineStr">
        <is>
          <t>Q2FY26</t>
        </is>
      </c>
      <c r="F68" t="inlineStr">
        <is>
          <t>18-Sep-2025</t>
        </is>
      </c>
      <c r="G68" t="inlineStr">
        <is>
          <t>Thursday</t>
        </is>
      </c>
      <c r="H68" t="inlineStr">
        <is>
          <t>Weekly - Thursday</t>
        </is>
      </c>
      <c r="I68" t="inlineStr">
        <is>
          <t>Weekly - Thursday</t>
        </is>
      </c>
      <c r="J68" t="inlineStr">
        <is>
          <t>Same Month Expiry</t>
        </is>
      </c>
      <c r="K68" s="25" t="n">
        <v>13017689</v>
      </c>
      <c r="L68" s="26" t="n">
        <v>21371.7454</v>
      </c>
      <c r="M68" s="26" t="n">
        <v>53.5175</v>
      </c>
    </row>
    <row r="69" ht="16" customHeight="1">
      <c r="A69" t="inlineStr">
        <is>
          <t>12-Sep-2025</t>
        </is>
      </c>
      <c r="B69" t="inlineStr">
        <is>
          <t>Friday</t>
        </is>
      </c>
      <c r="C69" t="inlineStr">
        <is>
          <t>Week2-Sep-2025</t>
        </is>
      </c>
      <c r="D69" s="78" t="n">
        <v>45901</v>
      </c>
      <c r="E69" t="inlineStr">
        <is>
          <t>Q2FY26</t>
        </is>
      </c>
      <c r="F69" t="inlineStr">
        <is>
          <t>25-Sep-2025</t>
        </is>
      </c>
      <c r="G69" t="inlineStr">
        <is>
          <t>Thursday</t>
        </is>
      </c>
      <c r="H69" t="inlineStr">
        <is>
          <t>Monthly - Thursday</t>
        </is>
      </c>
      <c r="I69" t="inlineStr">
        <is>
          <t>Monthly - Thursday</t>
        </is>
      </c>
      <c r="J69" t="inlineStr">
        <is>
          <t>Same Month Expiry</t>
        </is>
      </c>
      <c r="K69" s="25" t="n">
        <v>75990</v>
      </c>
      <c r="L69" s="26" t="n">
        <v>124.9478</v>
      </c>
      <c r="M69" s="26" t="n">
        <v>0.5178</v>
      </c>
    </row>
    <row r="70" ht="16" customHeight="1">
      <c r="A70" t="inlineStr">
        <is>
          <t>12-Sep-2025</t>
        </is>
      </c>
      <c r="B70" t="inlineStr">
        <is>
          <t>Friday</t>
        </is>
      </c>
      <c r="C70" t="inlineStr">
        <is>
          <t>Week2-Sep-2025</t>
        </is>
      </c>
      <c r="D70" s="78" t="n">
        <v>45901</v>
      </c>
      <c r="E70" t="inlineStr">
        <is>
          <t>Q2FY26</t>
        </is>
      </c>
      <c r="F70" t="inlineStr">
        <is>
          <t>01-Oct-2025</t>
        </is>
      </c>
      <c r="G70" t="inlineStr">
        <is>
          <t>Wednesday</t>
        </is>
      </c>
      <c r="H70" t="inlineStr">
        <is>
          <t>Weekly - Wednesday</t>
        </is>
      </c>
      <c r="I70" t="inlineStr">
        <is>
          <t>Weekly - Wednesday</t>
        </is>
      </c>
      <c r="J70" t="inlineStr">
        <is>
          <t>Month+1 Expiry</t>
        </is>
      </c>
      <c r="K70" s="25" t="n">
        <v>3354</v>
      </c>
      <c r="L70" s="26" t="n">
        <v>5.5391</v>
      </c>
      <c r="M70" s="26" t="n">
        <v>0.0402</v>
      </c>
    </row>
    <row r="71" ht="16" customHeight="1">
      <c r="A71" t="inlineStr">
        <is>
          <t>12-Sep-2025</t>
        </is>
      </c>
      <c r="B71" t="inlineStr">
        <is>
          <t>Friday</t>
        </is>
      </c>
      <c r="C71" t="inlineStr">
        <is>
          <t>Week2-Sep-2025</t>
        </is>
      </c>
      <c r="D71" s="78" t="n">
        <v>45901</v>
      </c>
      <c r="E71" t="inlineStr">
        <is>
          <t>Q2FY26</t>
        </is>
      </c>
      <c r="F71" t="inlineStr">
        <is>
          <t>09-Oct-2025</t>
        </is>
      </c>
      <c r="G71" t="inlineStr">
        <is>
          <t>Thursday</t>
        </is>
      </c>
      <c r="H71" t="inlineStr">
        <is>
          <t>Weekly - Thursday</t>
        </is>
      </c>
      <c r="I71" t="inlineStr">
        <is>
          <t>Weekly - Thursday</t>
        </is>
      </c>
      <c r="J71" t="inlineStr">
        <is>
          <t>Month+1 Expiry</t>
        </is>
      </c>
      <c r="K71" s="25" t="n">
        <v>0</v>
      </c>
      <c r="L71" s="26" t="n">
        <v>0</v>
      </c>
      <c r="M71" s="26" t="n">
        <v>0</v>
      </c>
    </row>
    <row r="72" ht="16" customHeight="1">
      <c r="A72" t="inlineStr">
        <is>
          <t>12-Sep-2025</t>
        </is>
      </c>
      <c r="B72" t="inlineStr">
        <is>
          <t>Friday</t>
        </is>
      </c>
      <c r="C72" t="inlineStr">
        <is>
          <t>Week2-Sep-2025</t>
        </is>
      </c>
      <c r="D72" s="78" t="n">
        <v>45901</v>
      </c>
      <c r="E72" t="inlineStr">
        <is>
          <t>Q2FY26</t>
        </is>
      </c>
      <c r="F72" t="inlineStr">
        <is>
          <t>23-Oct-2025</t>
        </is>
      </c>
      <c r="G72" t="inlineStr">
        <is>
          <t>Thursday</t>
        </is>
      </c>
      <c r="H72" t="inlineStr">
        <is>
          <t>Weekly - Thursday</t>
        </is>
      </c>
      <c r="I72" t="inlineStr">
        <is>
          <t>Weekly - Thursday</t>
        </is>
      </c>
      <c r="J72" t="inlineStr">
        <is>
          <t>Month+1 Expiry</t>
        </is>
      </c>
      <c r="K72" s="25" t="n">
        <v>0</v>
      </c>
      <c r="L72" s="26" t="n">
        <v>0</v>
      </c>
      <c r="M72" s="26" t="n">
        <v>0</v>
      </c>
    </row>
    <row r="73" ht="16" customHeight="1">
      <c r="A73" t="inlineStr">
        <is>
          <t>12-Sep-2025</t>
        </is>
      </c>
      <c r="B73" t="inlineStr">
        <is>
          <t>Friday</t>
        </is>
      </c>
      <c r="C73" t="inlineStr">
        <is>
          <t>Week2-Sep-2025</t>
        </is>
      </c>
      <c r="D73" s="78" t="n">
        <v>45901</v>
      </c>
      <c r="E73" t="inlineStr">
        <is>
          <t>Q2FY26</t>
        </is>
      </c>
      <c r="F73" t="inlineStr">
        <is>
          <t>30-Oct-2025</t>
        </is>
      </c>
      <c r="G73" t="inlineStr">
        <is>
          <t>Thursday</t>
        </is>
      </c>
      <c r="H73" t="inlineStr">
        <is>
          <t>Monthly - Thursday</t>
        </is>
      </c>
      <c r="I73" t="inlineStr">
        <is>
          <t>Monthly - Thursday</t>
        </is>
      </c>
      <c r="J73" t="inlineStr">
        <is>
          <t>Month+1 Expiry</t>
        </is>
      </c>
      <c r="K73" s="25" t="n">
        <v>1095</v>
      </c>
      <c r="L73" s="26" t="n">
        <v>1.8103</v>
      </c>
      <c r="M73" s="26" t="n">
        <v>0.0126</v>
      </c>
    </row>
    <row r="74" ht="16" customHeight="1">
      <c r="A74" t="inlineStr">
        <is>
          <t>15-Sep-2025</t>
        </is>
      </c>
      <c r="B74" t="inlineStr">
        <is>
          <t>Monday</t>
        </is>
      </c>
      <c r="C74" t="inlineStr">
        <is>
          <t>Week3-Sep-2025</t>
        </is>
      </c>
      <c r="D74" s="78" t="n">
        <v>45901</v>
      </c>
      <c r="E74" t="inlineStr">
        <is>
          <t>Q2FY26</t>
        </is>
      </c>
      <c r="F74" t="inlineStr">
        <is>
          <t>18-Sep-2025</t>
        </is>
      </c>
      <c r="G74" t="inlineStr">
        <is>
          <t>Thursday</t>
        </is>
      </c>
      <c r="H74" t="inlineStr">
        <is>
          <t>Weekly - Thursday</t>
        </is>
      </c>
      <c r="I74" t="inlineStr">
        <is>
          <t>Weekly - Thursday</t>
        </is>
      </c>
      <c r="J74" t="inlineStr">
        <is>
          <t>Same Month Expiry</t>
        </is>
      </c>
      <c r="K74" s="25" t="n">
        <v>15831773</v>
      </c>
      <c r="L74" s="26" t="n">
        <v>25981.1241</v>
      </c>
      <c r="M74" s="26" t="n">
        <v>56.9738</v>
      </c>
    </row>
    <row r="75" ht="16" customHeight="1">
      <c r="A75" t="inlineStr">
        <is>
          <t>15-Sep-2025</t>
        </is>
      </c>
      <c r="B75" t="inlineStr">
        <is>
          <t>Monday</t>
        </is>
      </c>
      <c r="C75" t="inlineStr">
        <is>
          <t>Week3-Sep-2025</t>
        </is>
      </c>
      <c r="D75" s="78" t="n">
        <v>45901</v>
      </c>
      <c r="E75" t="inlineStr">
        <is>
          <t>Q2FY26</t>
        </is>
      </c>
      <c r="F75" t="inlineStr">
        <is>
          <t>25-Sep-2025</t>
        </is>
      </c>
      <c r="G75" t="inlineStr">
        <is>
          <t>Thursday</t>
        </is>
      </c>
      <c r="H75" t="inlineStr">
        <is>
          <t>Monthly - Thursday</t>
        </is>
      </c>
      <c r="I75" t="inlineStr">
        <is>
          <t>Monthly - Thursday</t>
        </is>
      </c>
      <c r="J75" t="inlineStr">
        <is>
          <t>Same Month Expiry</t>
        </is>
      </c>
      <c r="K75" s="25" t="n">
        <v>110600</v>
      </c>
      <c r="L75" s="26" t="n">
        <v>182.7963</v>
      </c>
      <c r="M75" s="26" t="n">
        <v>0.6133999999999999</v>
      </c>
    </row>
    <row r="76" ht="16" customHeight="1">
      <c r="A76" t="inlineStr">
        <is>
          <t>15-Sep-2025</t>
        </is>
      </c>
      <c r="B76" t="inlineStr">
        <is>
          <t>Monday</t>
        </is>
      </c>
      <c r="C76" t="inlineStr">
        <is>
          <t>Week3-Sep-2025</t>
        </is>
      </c>
      <c r="D76" s="78" t="n">
        <v>45901</v>
      </c>
      <c r="E76" t="inlineStr">
        <is>
          <t>Q2FY26</t>
        </is>
      </c>
      <c r="F76" t="inlineStr">
        <is>
          <t>01-Oct-2025</t>
        </is>
      </c>
      <c r="G76" t="inlineStr">
        <is>
          <t>Wednesday</t>
        </is>
      </c>
      <c r="H76" t="inlineStr">
        <is>
          <t>Weekly - Wednesday</t>
        </is>
      </c>
      <c r="I76" t="inlineStr">
        <is>
          <t>Weekly - Wednesday</t>
        </is>
      </c>
      <c r="J76" t="inlineStr">
        <is>
          <t>Month+1 Expiry</t>
        </is>
      </c>
      <c r="K76" s="25" t="n">
        <v>4219</v>
      </c>
      <c r="L76" s="26" t="n">
        <v>6.9318</v>
      </c>
      <c r="M76" s="26" t="n">
        <v>0.0376</v>
      </c>
    </row>
    <row r="77" ht="16" customHeight="1">
      <c r="A77" t="inlineStr">
        <is>
          <t>15-Sep-2025</t>
        </is>
      </c>
      <c r="B77" t="inlineStr">
        <is>
          <t>Monday</t>
        </is>
      </c>
      <c r="C77" t="inlineStr">
        <is>
          <t>Week3-Sep-2025</t>
        </is>
      </c>
      <c r="D77" s="78" t="n">
        <v>45901</v>
      </c>
      <c r="E77" t="inlineStr">
        <is>
          <t>Q2FY26</t>
        </is>
      </c>
      <c r="F77" t="inlineStr">
        <is>
          <t>09-Oct-2025</t>
        </is>
      </c>
      <c r="G77" t="inlineStr">
        <is>
          <t>Thursday</t>
        </is>
      </c>
      <c r="H77" t="inlineStr">
        <is>
          <t>Weekly - Thursday</t>
        </is>
      </c>
      <c r="I77" t="inlineStr">
        <is>
          <t>Weekly - Thursday</t>
        </is>
      </c>
      <c r="J77" t="inlineStr">
        <is>
          <t>Month+1 Expiry</t>
        </is>
      </c>
      <c r="K77" s="25" t="n">
        <v>23</v>
      </c>
      <c r="L77" s="26" t="n">
        <v>0.0391</v>
      </c>
      <c r="M77" s="26" t="n">
        <v>0.0003</v>
      </c>
    </row>
    <row r="78" ht="16" customHeight="1">
      <c r="A78" t="inlineStr">
        <is>
          <t>15-Sep-2025</t>
        </is>
      </c>
      <c r="B78" t="inlineStr">
        <is>
          <t>Monday</t>
        </is>
      </c>
      <c r="C78" t="inlineStr">
        <is>
          <t>Week3-Sep-2025</t>
        </is>
      </c>
      <c r="D78" s="78" t="n">
        <v>45901</v>
      </c>
      <c r="E78" t="inlineStr">
        <is>
          <t>Q2FY26</t>
        </is>
      </c>
      <c r="F78" t="inlineStr">
        <is>
          <t>16-Oct-2025</t>
        </is>
      </c>
      <c r="G78" t="inlineStr">
        <is>
          <t>Thursday</t>
        </is>
      </c>
      <c r="H78" t="inlineStr">
        <is>
          <t>Weekly - Thursday</t>
        </is>
      </c>
      <c r="I78" t="inlineStr">
        <is>
          <t>Weekly - Thursday</t>
        </is>
      </c>
      <c r="J78" t="inlineStr">
        <is>
          <t>Month+1 Expiry</t>
        </is>
      </c>
      <c r="K78" s="25" t="n">
        <v>6</v>
      </c>
      <c r="L78" s="26" t="n">
        <v>0.009900000000000001</v>
      </c>
      <c r="M78" s="26" t="n">
        <v>0</v>
      </c>
    </row>
    <row r="79" ht="16" customHeight="1">
      <c r="A79" t="inlineStr">
        <is>
          <t>15-Sep-2025</t>
        </is>
      </c>
      <c r="B79" t="inlineStr">
        <is>
          <t>Monday</t>
        </is>
      </c>
      <c r="C79" t="inlineStr">
        <is>
          <t>Week3-Sep-2025</t>
        </is>
      </c>
      <c r="D79" s="78" t="n">
        <v>45901</v>
      </c>
      <c r="E79" t="inlineStr">
        <is>
          <t>Q2FY26</t>
        </is>
      </c>
      <c r="F79" t="inlineStr">
        <is>
          <t>23-Oct-2025</t>
        </is>
      </c>
      <c r="G79" t="inlineStr">
        <is>
          <t>Thursday</t>
        </is>
      </c>
      <c r="H79" t="inlineStr">
        <is>
          <t>Weekly - Thursday</t>
        </is>
      </c>
      <c r="I79" t="inlineStr">
        <is>
          <t>Weekly - Thursday</t>
        </is>
      </c>
      <c r="J79" t="inlineStr">
        <is>
          <t>Month+1 Expiry</t>
        </is>
      </c>
      <c r="K79" s="25" t="n">
        <v>0</v>
      </c>
      <c r="L79" s="26" t="n">
        <v>0</v>
      </c>
      <c r="M79" s="26" t="n">
        <v>0</v>
      </c>
    </row>
    <row r="80" ht="16" customHeight="1">
      <c r="A80" t="inlineStr">
        <is>
          <t>15-Sep-2025</t>
        </is>
      </c>
      <c r="B80" t="inlineStr">
        <is>
          <t>Monday</t>
        </is>
      </c>
      <c r="C80" t="inlineStr">
        <is>
          <t>Week3-Sep-2025</t>
        </is>
      </c>
      <c r="D80" s="78" t="n">
        <v>45901</v>
      </c>
      <c r="E80" t="inlineStr">
        <is>
          <t>Q2FY26</t>
        </is>
      </c>
      <c r="F80" t="inlineStr">
        <is>
          <t>30-Oct-2025</t>
        </is>
      </c>
      <c r="G80" t="inlineStr">
        <is>
          <t>Thursday</t>
        </is>
      </c>
      <c r="H80" t="inlineStr">
        <is>
          <t>Monthly - Thursday</t>
        </is>
      </c>
      <c r="I80" t="inlineStr">
        <is>
          <t>Monthly - Thursday</t>
        </is>
      </c>
      <c r="J80" t="inlineStr">
        <is>
          <t>Month+1 Expiry</t>
        </is>
      </c>
      <c r="K80" s="25" t="n">
        <v>1123</v>
      </c>
      <c r="L80" s="26" t="n">
        <v>1.8566</v>
      </c>
      <c r="M80" s="26" t="n">
        <v>0.0133</v>
      </c>
    </row>
    <row r="81" ht="16" customHeight="1">
      <c r="A81" t="inlineStr">
        <is>
          <t>16-Sep-2025</t>
        </is>
      </c>
      <c r="B81" t="inlineStr">
        <is>
          <t>Tuesday</t>
        </is>
      </c>
      <c r="C81" t="inlineStr">
        <is>
          <t>Week3-Sep-2025</t>
        </is>
      </c>
      <c r="D81" s="78" t="n">
        <v>45901</v>
      </c>
      <c r="E81" t="inlineStr">
        <is>
          <t>Q2FY26</t>
        </is>
      </c>
      <c r="F81" t="inlineStr">
        <is>
          <t>18-Sep-2025</t>
        </is>
      </c>
      <c r="G81" t="inlineStr">
        <is>
          <t>Thursday</t>
        </is>
      </c>
      <c r="H81" t="inlineStr">
        <is>
          <t>Weekly - Thursday</t>
        </is>
      </c>
      <c r="I81" t="inlineStr">
        <is>
          <t>Weekly - Thursday</t>
        </is>
      </c>
      <c r="J81" t="inlineStr">
        <is>
          <t>Same Month Expiry</t>
        </is>
      </c>
      <c r="K81" s="25" t="n">
        <v>23195941</v>
      </c>
      <c r="L81" s="26" t="n">
        <v>38144.5572</v>
      </c>
      <c r="M81" s="26" t="n">
        <v>66.6048</v>
      </c>
    </row>
    <row r="82" ht="16" customHeight="1">
      <c r="A82" t="inlineStr">
        <is>
          <t>16-Sep-2025</t>
        </is>
      </c>
      <c r="B82" t="inlineStr">
        <is>
          <t>Tuesday</t>
        </is>
      </c>
      <c r="C82" t="inlineStr">
        <is>
          <t>Week3-Sep-2025</t>
        </is>
      </c>
      <c r="D82" s="78" t="n">
        <v>45901</v>
      </c>
      <c r="E82" t="inlineStr">
        <is>
          <t>Q2FY26</t>
        </is>
      </c>
      <c r="F82" t="inlineStr">
        <is>
          <t>25-Sep-2025</t>
        </is>
      </c>
      <c r="G82" t="inlineStr">
        <is>
          <t>Thursday</t>
        </is>
      </c>
      <c r="H82" t="inlineStr">
        <is>
          <t>Monthly - Thursday</t>
        </is>
      </c>
      <c r="I82" t="inlineStr">
        <is>
          <t>Monthly - Thursday</t>
        </is>
      </c>
      <c r="J82" t="inlineStr">
        <is>
          <t>Same Month Expiry</t>
        </is>
      </c>
      <c r="K82" s="25" t="n">
        <v>266887</v>
      </c>
      <c r="L82" s="26" t="n">
        <v>440.3504</v>
      </c>
      <c r="M82" s="26" t="n">
        <v>1.4835</v>
      </c>
    </row>
    <row r="83" ht="16" customHeight="1">
      <c r="A83" t="inlineStr">
        <is>
          <t>16-Sep-2025</t>
        </is>
      </c>
      <c r="B83" t="inlineStr">
        <is>
          <t>Tuesday</t>
        </is>
      </c>
      <c r="C83" t="inlineStr">
        <is>
          <t>Week3-Sep-2025</t>
        </is>
      </c>
      <c r="D83" s="78" t="n">
        <v>45901</v>
      </c>
      <c r="E83" t="inlineStr">
        <is>
          <t>Q2FY26</t>
        </is>
      </c>
      <c r="F83" t="inlineStr">
        <is>
          <t>01-Oct-2025</t>
        </is>
      </c>
      <c r="G83" t="inlineStr">
        <is>
          <t>Wednesday</t>
        </is>
      </c>
      <c r="H83" t="inlineStr">
        <is>
          <t>Weekly - Wednesday</t>
        </is>
      </c>
      <c r="I83" t="inlineStr">
        <is>
          <t>Weekly - Wednesday</t>
        </is>
      </c>
      <c r="J83" t="inlineStr">
        <is>
          <t>Month+1 Expiry</t>
        </is>
      </c>
      <c r="K83" s="25" t="n">
        <v>5893</v>
      </c>
      <c r="L83" s="26" t="n">
        <v>9.741199999999999</v>
      </c>
      <c r="M83" s="26" t="n">
        <v>0.0537</v>
      </c>
    </row>
    <row r="84" ht="16" customHeight="1">
      <c r="A84" t="inlineStr">
        <is>
          <t>16-Sep-2025</t>
        </is>
      </c>
      <c r="B84" t="inlineStr">
        <is>
          <t>Tuesday</t>
        </is>
      </c>
      <c r="C84" t="inlineStr">
        <is>
          <t>Week3-Sep-2025</t>
        </is>
      </c>
      <c r="D84" s="78" t="n">
        <v>45901</v>
      </c>
      <c r="E84" t="inlineStr">
        <is>
          <t>Q2FY26</t>
        </is>
      </c>
      <c r="F84" t="inlineStr">
        <is>
          <t>09-Oct-2025</t>
        </is>
      </c>
      <c r="G84" t="inlineStr">
        <is>
          <t>Thursday</t>
        </is>
      </c>
      <c r="H84" t="inlineStr">
        <is>
          <t>Weekly - Thursday</t>
        </is>
      </c>
      <c r="I84" t="inlineStr">
        <is>
          <t>Weekly - Thursday</t>
        </is>
      </c>
      <c r="J84" t="inlineStr">
        <is>
          <t>Month+1 Expiry</t>
        </is>
      </c>
      <c r="K84" s="25" t="n">
        <v>19</v>
      </c>
      <c r="L84" s="26" t="n">
        <v>0.031</v>
      </c>
      <c r="M84" s="26" t="n">
        <v>0.0004</v>
      </c>
    </row>
    <row r="85" ht="16" customHeight="1">
      <c r="A85" t="inlineStr">
        <is>
          <t>16-Sep-2025</t>
        </is>
      </c>
      <c r="B85" t="inlineStr">
        <is>
          <t>Tuesday</t>
        </is>
      </c>
      <c r="C85" t="inlineStr">
        <is>
          <t>Week3-Sep-2025</t>
        </is>
      </c>
      <c r="D85" s="78" t="n">
        <v>45901</v>
      </c>
      <c r="E85" t="inlineStr">
        <is>
          <t>Q2FY26</t>
        </is>
      </c>
      <c r="F85" t="inlineStr">
        <is>
          <t>16-Oct-2025</t>
        </is>
      </c>
      <c r="G85" t="inlineStr">
        <is>
          <t>Thursday</t>
        </is>
      </c>
      <c r="H85" t="inlineStr">
        <is>
          <t>Weekly - Thursday</t>
        </is>
      </c>
      <c r="I85" t="inlineStr">
        <is>
          <t>Weekly - Thursday</t>
        </is>
      </c>
      <c r="J85" t="inlineStr">
        <is>
          <t>Month+1 Expiry</t>
        </is>
      </c>
      <c r="K85" s="25" t="n">
        <v>0</v>
      </c>
      <c r="L85" s="26" t="n">
        <v>0</v>
      </c>
      <c r="M85" s="26" t="n">
        <v>0</v>
      </c>
    </row>
    <row r="86" ht="16" customHeight="1">
      <c r="A86" t="inlineStr">
        <is>
          <t>16-Sep-2025</t>
        </is>
      </c>
      <c r="B86" t="inlineStr">
        <is>
          <t>Tuesday</t>
        </is>
      </c>
      <c r="C86" t="inlineStr">
        <is>
          <t>Week3-Sep-2025</t>
        </is>
      </c>
      <c r="D86" s="78" t="n">
        <v>45901</v>
      </c>
      <c r="E86" t="inlineStr">
        <is>
          <t>Q2FY26</t>
        </is>
      </c>
      <c r="F86" t="inlineStr">
        <is>
          <t>23-Oct-2025</t>
        </is>
      </c>
      <c r="G86" t="inlineStr">
        <is>
          <t>Thursday</t>
        </is>
      </c>
      <c r="H86" t="inlineStr">
        <is>
          <t>Weekly - Thursday</t>
        </is>
      </c>
      <c r="I86" t="inlineStr">
        <is>
          <t>Weekly - Thursday</t>
        </is>
      </c>
      <c r="J86" t="inlineStr">
        <is>
          <t>Month+1 Expiry</t>
        </is>
      </c>
      <c r="K86" s="25" t="n">
        <v>1</v>
      </c>
      <c r="L86" s="26" t="n">
        <v>0.0016</v>
      </c>
      <c r="M86" s="26" t="n">
        <v>0</v>
      </c>
    </row>
    <row r="87" ht="16" customHeight="1">
      <c r="A87" t="inlineStr">
        <is>
          <t>16-Sep-2025</t>
        </is>
      </c>
      <c r="B87" t="inlineStr">
        <is>
          <t>Tuesday</t>
        </is>
      </c>
      <c r="C87" t="inlineStr">
        <is>
          <t>Week3-Sep-2025</t>
        </is>
      </c>
      <c r="D87" s="78" t="n">
        <v>45901</v>
      </c>
      <c r="E87" t="inlineStr">
        <is>
          <t>Q2FY26</t>
        </is>
      </c>
      <c r="F87" t="inlineStr">
        <is>
          <t>30-Oct-2025</t>
        </is>
      </c>
      <c r="G87" t="inlineStr">
        <is>
          <t>Thursday</t>
        </is>
      </c>
      <c r="H87" t="inlineStr">
        <is>
          <t>Monthly - Thursday</t>
        </is>
      </c>
      <c r="I87" t="inlineStr">
        <is>
          <t>Monthly - Thursday</t>
        </is>
      </c>
      <c r="J87" t="inlineStr">
        <is>
          <t>Month+1 Expiry</t>
        </is>
      </c>
      <c r="K87" s="25" t="n">
        <v>1432</v>
      </c>
      <c r="L87" s="26" t="n">
        <v>2.3685</v>
      </c>
      <c r="M87" s="26" t="n">
        <v>0.0176</v>
      </c>
    </row>
    <row r="88" ht="16" customHeight="1">
      <c r="A88" t="inlineStr">
        <is>
          <t>17-Sep-2025</t>
        </is>
      </c>
      <c r="B88" t="inlineStr">
        <is>
          <t>Wednesday</t>
        </is>
      </c>
      <c r="C88" t="inlineStr">
        <is>
          <t>Week3-Sep-2025</t>
        </is>
      </c>
      <c r="D88" s="78" t="n">
        <v>45901</v>
      </c>
      <c r="E88" t="inlineStr">
        <is>
          <t>Q2FY26</t>
        </is>
      </c>
      <c r="F88" t="inlineStr">
        <is>
          <t>18-Sep-2025</t>
        </is>
      </c>
      <c r="G88" t="inlineStr">
        <is>
          <t>Thursday</t>
        </is>
      </c>
      <c r="H88" t="inlineStr">
        <is>
          <t>Weekly - Thursday</t>
        </is>
      </c>
      <c r="I88" t="inlineStr">
        <is>
          <t>Weekly - Thursday</t>
        </is>
      </c>
      <c r="J88" t="inlineStr">
        <is>
          <t>Same Month Expiry</t>
        </is>
      </c>
      <c r="K88" s="25" t="n">
        <v>74887780</v>
      </c>
      <c r="L88" s="26" t="n">
        <v>123931.2006</v>
      </c>
      <c r="M88" s="26" t="n">
        <v>163.696</v>
      </c>
    </row>
    <row r="89" ht="16" customHeight="1">
      <c r="A89" t="inlineStr">
        <is>
          <t>17-Sep-2025</t>
        </is>
      </c>
      <c r="B89" t="inlineStr">
        <is>
          <t>Wednesday</t>
        </is>
      </c>
      <c r="C89" t="inlineStr">
        <is>
          <t>Week3-Sep-2025</t>
        </is>
      </c>
      <c r="D89" s="78" t="n">
        <v>45901</v>
      </c>
      <c r="E89" t="inlineStr">
        <is>
          <t>Q2FY26</t>
        </is>
      </c>
      <c r="F89" t="inlineStr">
        <is>
          <t>25-Sep-2025</t>
        </is>
      </c>
      <c r="G89" t="inlineStr">
        <is>
          <t>Thursday</t>
        </is>
      </c>
      <c r="H89" t="inlineStr">
        <is>
          <t>Monthly - Thursday</t>
        </is>
      </c>
      <c r="I89" t="inlineStr">
        <is>
          <t>Monthly - Thursday</t>
        </is>
      </c>
      <c r="J89" t="inlineStr">
        <is>
          <t>Same Month Expiry</t>
        </is>
      </c>
      <c r="K89" s="25" t="n">
        <v>504822</v>
      </c>
      <c r="L89" s="26" t="n">
        <v>836.3101</v>
      </c>
      <c r="M89" s="26" t="n">
        <v>2.3443</v>
      </c>
    </row>
    <row r="90" ht="16" customHeight="1">
      <c r="A90" t="inlineStr">
        <is>
          <t>17-Sep-2025</t>
        </is>
      </c>
      <c r="B90" t="inlineStr">
        <is>
          <t>Wednesday</t>
        </is>
      </c>
      <c r="C90" t="inlineStr">
        <is>
          <t>Week3-Sep-2025</t>
        </is>
      </c>
      <c r="D90" s="78" t="n">
        <v>45901</v>
      </c>
      <c r="E90" t="inlineStr">
        <is>
          <t>Q2FY26</t>
        </is>
      </c>
      <c r="F90" t="inlineStr">
        <is>
          <t>01-Oct-2025</t>
        </is>
      </c>
      <c r="G90" t="inlineStr">
        <is>
          <t>Wednesday</t>
        </is>
      </c>
      <c r="H90" t="inlineStr">
        <is>
          <t>Weekly - Wednesday</t>
        </is>
      </c>
      <c r="I90" t="inlineStr">
        <is>
          <t>Weekly - Wednesday</t>
        </is>
      </c>
      <c r="J90" t="inlineStr">
        <is>
          <t>Month+1 Expiry</t>
        </is>
      </c>
      <c r="K90" s="25" t="n">
        <v>8997</v>
      </c>
      <c r="L90" s="26" t="n">
        <v>14.9237</v>
      </c>
      <c r="M90" s="26" t="n">
        <v>0.07539999999999999</v>
      </c>
    </row>
    <row r="91" ht="16" customHeight="1">
      <c r="A91" t="inlineStr">
        <is>
          <t>17-Sep-2025</t>
        </is>
      </c>
      <c r="B91" t="inlineStr">
        <is>
          <t>Wednesday</t>
        </is>
      </c>
      <c r="C91" t="inlineStr">
        <is>
          <t>Week3-Sep-2025</t>
        </is>
      </c>
      <c r="D91" s="78" t="n">
        <v>45901</v>
      </c>
      <c r="E91" t="inlineStr">
        <is>
          <t>Q2FY26</t>
        </is>
      </c>
      <c r="F91" t="inlineStr">
        <is>
          <t>09-Oct-2025</t>
        </is>
      </c>
      <c r="G91" t="inlineStr">
        <is>
          <t>Thursday</t>
        </is>
      </c>
      <c r="H91" t="inlineStr">
        <is>
          <t>Weekly - Thursday</t>
        </is>
      </c>
      <c r="I91" t="inlineStr">
        <is>
          <t>Weekly - Thursday</t>
        </is>
      </c>
      <c r="J91" t="inlineStr">
        <is>
          <t>Month+1 Expiry</t>
        </is>
      </c>
      <c r="K91" s="25" t="n">
        <v>151</v>
      </c>
      <c r="L91" s="26" t="n">
        <v>0.2521</v>
      </c>
      <c r="M91" s="26" t="n">
        <v>0.0032</v>
      </c>
    </row>
    <row r="92" ht="16" customHeight="1">
      <c r="A92" t="inlineStr">
        <is>
          <t>17-Sep-2025</t>
        </is>
      </c>
      <c r="B92" t="inlineStr">
        <is>
          <t>Wednesday</t>
        </is>
      </c>
      <c r="C92" t="inlineStr">
        <is>
          <t>Week3-Sep-2025</t>
        </is>
      </c>
      <c r="D92" s="78" t="n">
        <v>45901</v>
      </c>
      <c r="E92" t="inlineStr">
        <is>
          <t>Q2FY26</t>
        </is>
      </c>
      <c r="F92" t="inlineStr">
        <is>
          <t>16-Oct-2025</t>
        </is>
      </c>
      <c r="G92" t="inlineStr">
        <is>
          <t>Thursday</t>
        </is>
      </c>
      <c r="H92" t="inlineStr">
        <is>
          <t>Weekly - Thursday</t>
        </is>
      </c>
      <c r="I92" t="inlineStr">
        <is>
          <t>Weekly - Thursday</t>
        </is>
      </c>
      <c r="J92" t="inlineStr">
        <is>
          <t>Month+1 Expiry</t>
        </is>
      </c>
      <c r="K92" s="25" t="n">
        <v>0</v>
      </c>
      <c r="L92" s="26" t="n">
        <v>0</v>
      </c>
      <c r="M92" s="26" t="n">
        <v>0</v>
      </c>
    </row>
    <row r="93" ht="16" customHeight="1">
      <c r="A93" t="inlineStr">
        <is>
          <t>17-Sep-2025</t>
        </is>
      </c>
      <c r="B93" t="inlineStr">
        <is>
          <t>Wednesday</t>
        </is>
      </c>
      <c r="C93" t="inlineStr">
        <is>
          <t>Week3-Sep-2025</t>
        </is>
      </c>
      <c r="D93" s="78" t="n">
        <v>45901</v>
      </c>
      <c r="E93" t="inlineStr">
        <is>
          <t>Q2FY26</t>
        </is>
      </c>
      <c r="F93" t="inlineStr">
        <is>
          <t>23-Oct-2025</t>
        </is>
      </c>
      <c r="G93" t="inlineStr">
        <is>
          <t>Thursday</t>
        </is>
      </c>
      <c r="H93" t="inlineStr">
        <is>
          <t>Weekly - Thursday</t>
        </is>
      </c>
      <c r="I93" t="inlineStr">
        <is>
          <t>Weekly - Thursday</t>
        </is>
      </c>
      <c r="J93" t="inlineStr">
        <is>
          <t>Month+1 Expiry</t>
        </is>
      </c>
      <c r="K93" s="25" t="n">
        <v>1</v>
      </c>
      <c r="L93" s="26" t="n">
        <v>0.0017</v>
      </c>
      <c r="M93" s="26" t="n">
        <v>0</v>
      </c>
    </row>
    <row r="94" ht="16" customHeight="1">
      <c r="A94" t="inlineStr">
        <is>
          <t>17-Sep-2025</t>
        </is>
      </c>
      <c r="B94" t="inlineStr">
        <is>
          <t>Wednesday</t>
        </is>
      </c>
      <c r="C94" t="inlineStr">
        <is>
          <t>Week3-Sep-2025</t>
        </is>
      </c>
      <c r="D94" s="78" t="n">
        <v>45901</v>
      </c>
      <c r="E94" t="inlineStr">
        <is>
          <t>Q2FY26</t>
        </is>
      </c>
      <c r="F94" t="inlineStr">
        <is>
          <t>30-Oct-2025</t>
        </is>
      </c>
      <c r="G94" t="inlineStr">
        <is>
          <t>Thursday</t>
        </is>
      </c>
      <c r="H94" t="inlineStr">
        <is>
          <t>Monthly - Thursday</t>
        </is>
      </c>
      <c r="I94" t="inlineStr">
        <is>
          <t>Monthly - Thursday</t>
        </is>
      </c>
      <c r="J94" t="inlineStr">
        <is>
          <t>Month+1 Expiry</t>
        </is>
      </c>
      <c r="K94" s="25" t="n">
        <v>1874</v>
      </c>
      <c r="L94" s="26" t="n">
        <v>3.1248</v>
      </c>
      <c r="M94" s="26" t="n">
        <v>0.0223</v>
      </c>
    </row>
    <row r="95" ht="16" customHeight="1">
      <c r="A95" t="inlineStr">
        <is>
          <t>18-Sep-2025</t>
        </is>
      </c>
      <c r="B95" t="inlineStr">
        <is>
          <t>Thursday</t>
        </is>
      </c>
      <c r="C95" t="inlineStr">
        <is>
          <t>Week3-Sep-2025</t>
        </is>
      </c>
      <c r="D95" s="78" t="n">
        <v>45901</v>
      </c>
      <c r="E95" t="inlineStr">
        <is>
          <t>Q2FY26</t>
        </is>
      </c>
      <c r="F95" t="inlineStr">
        <is>
          <t>18-Sep-2025</t>
        </is>
      </c>
      <c r="G95" t="inlineStr">
        <is>
          <t>Thursday</t>
        </is>
      </c>
      <c r="H95" t="inlineStr">
        <is>
          <t>Weekly - Thursday</t>
        </is>
      </c>
      <c r="I95" t="inlineStr">
        <is>
          <t>Weekly - Thursday</t>
        </is>
      </c>
      <c r="J95" t="inlineStr">
        <is>
          <t>Same Month Expiry</t>
        </is>
      </c>
      <c r="K95" s="25" t="n">
        <v>351117533</v>
      </c>
      <c r="L95" s="26" t="n">
        <v>582475.3833</v>
      </c>
      <c r="M95" s="26" t="n">
        <v>293.6325</v>
      </c>
    </row>
    <row r="96" ht="16" customHeight="1">
      <c r="A96" t="inlineStr">
        <is>
          <t>18-Sep-2025</t>
        </is>
      </c>
      <c r="B96" t="inlineStr">
        <is>
          <t>Thursday</t>
        </is>
      </c>
      <c r="C96" t="inlineStr">
        <is>
          <t>Week3-Sep-2025</t>
        </is>
      </c>
      <c r="D96" s="78" t="n">
        <v>45901</v>
      </c>
      <c r="E96" t="inlineStr">
        <is>
          <t>Q2FY26</t>
        </is>
      </c>
      <c r="F96" t="inlineStr">
        <is>
          <t>25-Sep-2025</t>
        </is>
      </c>
      <c r="G96" t="inlineStr">
        <is>
          <t>Thursday</t>
        </is>
      </c>
      <c r="H96" t="inlineStr">
        <is>
          <t>Monthly - Thursday</t>
        </is>
      </c>
      <c r="I96" t="inlineStr">
        <is>
          <t>Monthly - Thursday</t>
        </is>
      </c>
      <c r="J96" t="inlineStr">
        <is>
          <t>Same Month Expiry</t>
        </is>
      </c>
      <c r="K96" s="25" t="n">
        <v>1928304</v>
      </c>
      <c r="L96" s="26" t="n">
        <v>3202.771</v>
      </c>
      <c r="M96" s="26" t="n">
        <v>8.0726</v>
      </c>
    </row>
    <row r="97" ht="16" customHeight="1">
      <c r="A97" t="inlineStr">
        <is>
          <t>18-Sep-2025</t>
        </is>
      </c>
      <c r="B97" t="inlineStr">
        <is>
          <t>Thursday</t>
        </is>
      </c>
      <c r="C97" t="inlineStr">
        <is>
          <t>Week3-Sep-2025</t>
        </is>
      </c>
      <c r="D97" s="78" t="n">
        <v>45901</v>
      </c>
      <c r="E97" t="inlineStr">
        <is>
          <t>Q2FY26</t>
        </is>
      </c>
      <c r="F97" t="inlineStr">
        <is>
          <t>01-Oct-2025</t>
        </is>
      </c>
      <c r="G97" t="inlineStr">
        <is>
          <t>Wednesday</t>
        </is>
      </c>
      <c r="H97" t="inlineStr">
        <is>
          <t>Weekly - Wednesday</t>
        </is>
      </c>
      <c r="I97" t="inlineStr">
        <is>
          <t>Weekly - Wednesday</t>
        </is>
      </c>
      <c r="J97" t="inlineStr">
        <is>
          <t>Month+1 Expiry</t>
        </is>
      </c>
      <c r="K97" s="25" t="n">
        <v>17959</v>
      </c>
      <c r="L97" s="26" t="n">
        <v>29.8819</v>
      </c>
      <c r="M97" s="26" t="n">
        <v>0.1273</v>
      </c>
    </row>
    <row r="98" ht="16" customHeight="1">
      <c r="A98" t="inlineStr">
        <is>
          <t>18-Sep-2025</t>
        </is>
      </c>
      <c r="B98" t="inlineStr">
        <is>
          <t>Thursday</t>
        </is>
      </c>
      <c r="C98" t="inlineStr">
        <is>
          <t>Week3-Sep-2025</t>
        </is>
      </c>
      <c r="D98" s="78" t="n">
        <v>45901</v>
      </c>
      <c r="E98" t="inlineStr">
        <is>
          <t>Q2FY26</t>
        </is>
      </c>
      <c r="F98" t="inlineStr">
        <is>
          <t>09-Oct-2025</t>
        </is>
      </c>
      <c r="G98" t="inlineStr">
        <is>
          <t>Thursday</t>
        </is>
      </c>
      <c r="H98" t="inlineStr">
        <is>
          <t>Weekly - Thursday</t>
        </is>
      </c>
      <c r="I98" t="inlineStr">
        <is>
          <t>Weekly - Thursday</t>
        </is>
      </c>
      <c r="J98" t="inlineStr">
        <is>
          <t>Month+1 Expiry</t>
        </is>
      </c>
      <c r="K98" s="25" t="n">
        <v>281</v>
      </c>
      <c r="L98" s="26" t="n">
        <v>0.4764</v>
      </c>
      <c r="M98" s="26" t="n">
        <v>0.0021</v>
      </c>
    </row>
    <row r="99" ht="16" customHeight="1">
      <c r="A99" t="inlineStr">
        <is>
          <t>18-Sep-2025</t>
        </is>
      </c>
      <c r="B99" t="inlineStr">
        <is>
          <t>Thursday</t>
        </is>
      </c>
      <c r="C99" t="inlineStr">
        <is>
          <t>Week3-Sep-2025</t>
        </is>
      </c>
      <c r="D99" s="78" t="n">
        <v>45901</v>
      </c>
      <c r="E99" t="inlineStr">
        <is>
          <t>Q2FY26</t>
        </is>
      </c>
      <c r="F99" t="inlineStr">
        <is>
          <t>16-Oct-2025</t>
        </is>
      </c>
      <c r="G99" t="inlineStr">
        <is>
          <t>Thursday</t>
        </is>
      </c>
      <c r="H99" t="inlineStr">
        <is>
          <t>Weekly - Thursday</t>
        </is>
      </c>
      <c r="I99" t="inlineStr">
        <is>
          <t>Weekly - Thursday</t>
        </is>
      </c>
      <c r="J99" t="inlineStr">
        <is>
          <t>Month+1 Expiry</t>
        </is>
      </c>
      <c r="K99" s="25" t="n">
        <v>0</v>
      </c>
      <c r="L99" s="26" t="n">
        <v>0</v>
      </c>
      <c r="M99" s="26" t="n">
        <v>0</v>
      </c>
    </row>
    <row r="100" ht="16" customHeight="1">
      <c r="A100" t="inlineStr">
        <is>
          <t>18-Sep-2025</t>
        </is>
      </c>
      <c r="B100" t="inlineStr">
        <is>
          <t>Thursday</t>
        </is>
      </c>
      <c r="C100" t="inlineStr">
        <is>
          <t>Week3-Sep-2025</t>
        </is>
      </c>
      <c r="D100" s="78" t="n">
        <v>45901</v>
      </c>
      <c r="E100" t="inlineStr">
        <is>
          <t>Q2FY26</t>
        </is>
      </c>
      <c r="F100" t="inlineStr">
        <is>
          <t>23-Oct-2025</t>
        </is>
      </c>
      <c r="G100" t="inlineStr">
        <is>
          <t>Thursday</t>
        </is>
      </c>
      <c r="H100" t="inlineStr">
        <is>
          <t>Weekly - Thursday</t>
        </is>
      </c>
      <c r="I100" t="inlineStr">
        <is>
          <t>Weekly - Thursday</t>
        </is>
      </c>
      <c r="J100" t="inlineStr">
        <is>
          <t>Month+1 Expiry</t>
        </is>
      </c>
      <c r="K100" s="25" t="n">
        <v>0</v>
      </c>
      <c r="L100" s="26" t="n">
        <v>0</v>
      </c>
      <c r="M100" s="26" t="n">
        <v>0</v>
      </c>
    </row>
    <row r="101" ht="16" customHeight="1">
      <c r="A101" t="inlineStr">
        <is>
          <t>18-Sep-2025</t>
        </is>
      </c>
      <c r="B101" t="inlineStr">
        <is>
          <t>Thursday</t>
        </is>
      </c>
      <c r="C101" t="inlineStr">
        <is>
          <t>Week3-Sep-2025</t>
        </is>
      </c>
      <c r="D101" s="78" t="n">
        <v>45901</v>
      </c>
      <c r="E101" t="inlineStr">
        <is>
          <t>Q2FY26</t>
        </is>
      </c>
      <c r="F101" t="inlineStr">
        <is>
          <t>30-Oct-2025</t>
        </is>
      </c>
      <c r="G101" t="inlineStr">
        <is>
          <t>Thursday</t>
        </is>
      </c>
      <c r="H101" t="inlineStr">
        <is>
          <t>Monthly - Thursday</t>
        </is>
      </c>
      <c r="I101" t="inlineStr">
        <is>
          <t>Monthly - Thursday</t>
        </is>
      </c>
      <c r="J101" t="inlineStr">
        <is>
          <t>Month+1 Expiry</t>
        </is>
      </c>
      <c r="K101" s="25" t="n">
        <v>2926</v>
      </c>
      <c r="L101" s="26" t="n">
        <v>4.9023</v>
      </c>
      <c r="M101" s="26" t="n">
        <v>0.0381</v>
      </c>
    </row>
    <row r="102" ht="16" customHeight="1">
      <c r="A102" t="inlineStr">
        <is>
          <t>19-Sep-2025</t>
        </is>
      </c>
      <c r="B102" t="inlineStr">
        <is>
          <t>Friday</t>
        </is>
      </c>
      <c r="C102" t="inlineStr">
        <is>
          <t>Week3-Sep-2025</t>
        </is>
      </c>
      <c r="D102" s="78" t="n">
        <v>45901</v>
      </c>
      <c r="E102" t="inlineStr">
        <is>
          <t>Q2FY26</t>
        </is>
      </c>
      <c r="F102" t="inlineStr">
        <is>
          <t>25-Sep-2025</t>
        </is>
      </c>
      <c r="G102" t="inlineStr">
        <is>
          <t>Thursday</t>
        </is>
      </c>
      <c r="H102" t="inlineStr">
        <is>
          <t>Monthly - Thursday</t>
        </is>
      </c>
      <c r="I102" t="inlineStr">
        <is>
          <t>MDAW - Thursday</t>
        </is>
      </c>
      <c r="J102" t="inlineStr">
        <is>
          <t>Same Month Expiry</t>
        </is>
      </c>
      <c r="K102" s="25" t="n">
        <v>17376796</v>
      </c>
      <c r="L102" s="26" t="n">
        <v>28834.3153</v>
      </c>
      <c r="M102" s="26" t="n">
        <v>70.0119</v>
      </c>
    </row>
    <row r="103" ht="16" customHeight="1">
      <c r="A103" t="inlineStr">
        <is>
          <t>19-Sep-2025</t>
        </is>
      </c>
      <c r="B103" t="inlineStr">
        <is>
          <t>Friday</t>
        </is>
      </c>
      <c r="C103" t="inlineStr">
        <is>
          <t>Week3-Sep-2025</t>
        </is>
      </c>
      <c r="D103" s="78" t="n">
        <v>45901</v>
      </c>
      <c r="E103" t="inlineStr">
        <is>
          <t>Q2FY26</t>
        </is>
      </c>
      <c r="F103" t="inlineStr">
        <is>
          <t>01-Oct-2025</t>
        </is>
      </c>
      <c r="G103" t="inlineStr">
        <is>
          <t>Wednesday</t>
        </is>
      </c>
      <c r="H103" t="inlineStr">
        <is>
          <t>Weekly - Wednesday</t>
        </is>
      </c>
      <c r="I103" t="inlineStr">
        <is>
          <t>Weekly - Wednesday</t>
        </is>
      </c>
      <c r="J103" t="inlineStr">
        <is>
          <t>Month+1 Expiry</t>
        </is>
      </c>
      <c r="K103" s="25" t="n">
        <v>70585</v>
      </c>
      <c r="L103" s="26" t="n">
        <v>117.5469</v>
      </c>
      <c r="M103" s="26" t="n">
        <v>0.4999</v>
      </c>
    </row>
    <row r="104" ht="16" customHeight="1">
      <c r="A104" t="inlineStr">
        <is>
          <t>19-Sep-2025</t>
        </is>
      </c>
      <c r="B104" t="inlineStr">
        <is>
          <t>Friday</t>
        </is>
      </c>
      <c r="C104" t="inlineStr">
        <is>
          <t>Week3-Sep-2025</t>
        </is>
      </c>
      <c r="D104" s="78" t="n">
        <v>45901</v>
      </c>
      <c r="E104" t="inlineStr">
        <is>
          <t>Q2FY26</t>
        </is>
      </c>
      <c r="F104" t="inlineStr">
        <is>
          <t>09-Oct-2025</t>
        </is>
      </c>
      <c r="G104" t="inlineStr">
        <is>
          <t>Thursday</t>
        </is>
      </c>
      <c r="H104" t="inlineStr">
        <is>
          <t>Weekly - Thursday</t>
        </is>
      </c>
      <c r="I104" t="inlineStr">
        <is>
          <t>Weekly - Thursday</t>
        </is>
      </c>
      <c r="J104" t="inlineStr">
        <is>
          <t>Month+1 Expiry</t>
        </is>
      </c>
      <c r="K104" s="25" t="n">
        <v>1316</v>
      </c>
      <c r="L104" s="26" t="n">
        <v>2.2042</v>
      </c>
      <c r="M104" s="26" t="n">
        <v>0.016</v>
      </c>
    </row>
    <row r="105" ht="16" customHeight="1">
      <c r="A105" t="inlineStr">
        <is>
          <t>19-Sep-2025</t>
        </is>
      </c>
      <c r="B105" t="inlineStr">
        <is>
          <t>Friday</t>
        </is>
      </c>
      <c r="C105" t="inlineStr">
        <is>
          <t>Week3-Sep-2025</t>
        </is>
      </c>
      <c r="D105" s="78" t="n">
        <v>45901</v>
      </c>
      <c r="E105" t="inlineStr">
        <is>
          <t>Q2FY26</t>
        </is>
      </c>
      <c r="F105" t="inlineStr">
        <is>
          <t>16-Oct-2025</t>
        </is>
      </c>
      <c r="G105" t="inlineStr">
        <is>
          <t>Thursday</t>
        </is>
      </c>
      <c r="H105" t="inlineStr">
        <is>
          <t>Weekly - Thursday</t>
        </is>
      </c>
      <c r="I105" t="inlineStr">
        <is>
          <t>Weekly - Thursday</t>
        </is>
      </c>
      <c r="J105" t="inlineStr">
        <is>
          <t>Month+1 Expiry</t>
        </is>
      </c>
      <c r="K105" s="25" t="n">
        <v>0</v>
      </c>
      <c r="L105" s="26" t="n">
        <v>0</v>
      </c>
      <c r="M105" s="26" t="n">
        <v>0</v>
      </c>
    </row>
    <row r="106" ht="16" customHeight="1">
      <c r="A106" t="inlineStr">
        <is>
          <t>19-Sep-2025</t>
        </is>
      </c>
      <c r="B106" t="inlineStr">
        <is>
          <t>Friday</t>
        </is>
      </c>
      <c r="C106" t="inlineStr">
        <is>
          <t>Week3-Sep-2025</t>
        </is>
      </c>
      <c r="D106" s="78" t="n">
        <v>45901</v>
      </c>
      <c r="E106" t="inlineStr">
        <is>
          <t>Q2FY26</t>
        </is>
      </c>
      <c r="F106" t="inlineStr">
        <is>
          <t>23-Oct-2025</t>
        </is>
      </c>
      <c r="G106" t="inlineStr">
        <is>
          <t>Thursday</t>
        </is>
      </c>
      <c r="H106" t="inlineStr">
        <is>
          <t>Weekly - Thursday</t>
        </is>
      </c>
      <c r="I106" t="inlineStr">
        <is>
          <t>Weekly - Thursday</t>
        </is>
      </c>
      <c r="J106" t="inlineStr">
        <is>
          <t>Month+1 Expiry</t>
        </is>
      </c>
      <c r="K106" s="25" t="n">
        <v>2</v>
      </c>
      <c r="L106" s="26" t="n">
        <v>0.0034</v>
      </c>
      <c r="M106" s="26" t="n">
        <v>0</v>
      </c>
    </row>
    <row r="107" ht="16" customHeight="1">
      <c r="A107" t="inlineStr">
        <is>
          <t>19-Sep-2025</t>
        </is>
      </c>
      <c r="B107" t="inlineStr">
        <is>
          <t>Friday</t>
        </is>
      </c>
      <c r="C107" t="inlineStr">
        <is>
          <t>Week3-Sep-2025</t>
        </is>
      </c>
      <c r="D107" s="78" t="n">
        <v>45901</v>
      </c>
      <c r="E107" t="inlineStr">
        <is>
          <t>Q2FY26</t>
        </is>
      </c>
      <c r="F107" t="inlineStr">
        <is>
          <t>30-Oct-2025</t>
        </is>
      </c>
      <c r="G107" t="inlineStr">
        <is>
          <t>Thursday</t>
        </is>
      </c>
      <c r="H107" t="inlineStr">
        <is>
          <t>Monthly - Thursday</t>
        </is>
      </c>
      <c r="I107" t="inlineStr">
        <is>
          <t>Monthly - Thursday</t>
        </is>
      </c>
      <c r="J107" t="inlineStr">
        <is>
          <t>Month+1 Expiry</t>
        </is>
      </c>
      <c r="K107" s="25" t="n">
        <v>3521</v>
      </c>
      <c r="L107" s="26" t="n">
        <v>5.8885</v>
      </c>
      <c r="M107" s="26" t="n">
        <v>0.0415</v>
      </c>
    </row>
    <row r="108" ht="16" customHeight="1">
      <c r="A108" t="inlineStr">
        <is>
          <t>22-Sep-2025</t>
        </is>
      </c>
      <c r="B108" t="inlineStr">
        <is>
          <t>Monday</t>
        </is>
      </c>
      <c r="C108" t="inlineStr">
        <is>
          <t>Week4-Sep-2025</t>
        </is>
      </c>
      <c r="D108" s="78" t="n">
        <v>45901</v>
      </c>
      <c r="E108" t="inlineStr">
        <is>
          <t>Q2FY26</t>
        </is>
      </c>
      <c r="F108" t="inlineStr">
        <is>
          <t>25-Sep-2025</t>
        </is>
      </c>
      <c r="G108" t="inlineStr">
        <is>
          <t>Thursday</t>
        </is>
      </c>
      <c r="H108" t="inlineStr">
        <is>
          <t>Monthly - Thursday</t>
        </is>
      </c>
      <c r="I108" t="inlineStr">
        <is>
          <t>MDAW - Thursday</t>
        </is>
      </c>
      <c r="J108" t="inlineStr">
        <is>
          <t>Same Month Expiry</t>
        </is>
      </c>
      <c r="K108" s="25" t="n">
        <v>23747754</v>
      </c>
      <c r="L108" s="26" t="n">
        <v>39280.4942</v>
      </c>
      <c r="M108" s="26" t="n">
        <v>82.2047</v>
      </c>
    </row>
    <row r="109" ht="16" customHeight="1">
      <c r="A109" t="inlineStr">
        <is>
          <t>22-Sep-2025</t>
        </is>
      </c>
      <c r="B109" t="inlineStr">
        <is>
          <t>Monday</t>
        </is>
      </c>
      <c r="C109" t="inlineStr">
        <is>
          <t>Week4-Sep-2025</t>
        </is>
      </c>
      <c r="D109" s="78" t="n">
        <v>45901</v>
      </c>
      <c r="E109" t="inlineStr">
        <is>
          <t>Q2FY26</t>
        </is>
      </c>
      <c r="F109" t="inlineStr">
        <is>
          <t>01-Oct-2025</t>
        </is>
      </c>
      <c r="G109" t="inlineStr">
        <is>
          <t>Wednesday</t>
        </is>
      </c>
      <c r="H109" t="inlineStr">
        <is>
          <t>Weekly - Wednesday</t>
        </is>
      </c>
      <c r="I109" t="inlineStr">
        <is>
          <t>Weekly - Wednesday</t>
        </is>
      </c>
      <c r="J109" t="inlineStr">
        <is>
          <t>Month+1 Expiry</t>
        </is>
      </c>
      <c r="K109" s="25" t="n">
        <v>164335</v>
      </c>
      <c r="L109" s="26" t="n">
        <v>272.4297</v>
      </c>
      <c r="M109" s="26" t="n">
        <v>0.9706</v>
      </c>
    </row>
    <row r="110" ht="16" customHeight="1">
      <c r="A110" t="inlineStr">
        <is>
          <t>22-Sep-2025</t>
        </is>
      </c>
      <c r="B110" t="inlineStr">
        <is>
          <t>Monday</t>
        </is>
      </c>
      <c r="C110" t="inlineStr">
        <is>
          <t>Week4-Sep-2025</t>
        </is>
      </c>
      <c r="D110" s="78" t="n">
        <v>45901</v>
      </c>
      <c r="E110" t="inlineStr">
        <is>
          <t>Q2FY26</t>
        </is>
      </c>
      <c r="F110" t="inlineStr">
        <is>
          <t>09-Oct-2025</t>
        </is>
      </c>
      <c r="G110" t="inlineStr">
        <is>
          <t>Thursday</t>
        </is>
      </c>
      <c r="H110" t="inlineStr">
        <is>
          <t>Weekly - Thursday</t>
        </is>
      </c>
      <c r="I110" t="inlineStr">
        <is>
          <t>Weekly - Thursday</t>
        </is>
      </c>
      <c r="J110" t="inlineStr">
        <is>
          <t>Month+1 Expiry</t>
        </is>
      </c>
      <c r="K110" s="25" t="n">
        <v>3841</v>
      </c>
      <c r="L110" s="26" t="n">
        <v>6.4061</v>
      </c>
      <c r="M110" s="26" t="n">
        <v>0.0438</v>
      </c>
    </row>
    <row r="111" ht="16" customHeight="1">
      <c r="A111" t="inlineStr">
        <is>
          <t>22-Sep-2025</t>
        </is>
      </c>
      <c r="B111" t="inlineStr">
        <is>
          <t>Monday</t>
        </is>
      </c>
      <c r="C111" t="inlineStr">
        <is>
          <t>Week4-Sep-2025</t>
        </is>
      </c>
      <c r="D111" s="78" t="n">
        <v>45901</v>
      </c>
      <c r="E111" t="inlineStr">
        <is>
          <t>Q2FY26</t>
        </is>
      </c>
      <c r="F111" t="inlineStr">
        <is>
          <t>16-Oct-2025</t>
        </is>
      </c>
      <c r="G111" t="inlineStr">
        <is>
          <t>Thursday</t>
        </is>
      </c>
      <c r="H111" t="inlineStr">
        <is>
          <t>Weekly - Thursday</t>
        </is>
      </c>
      <c r="I111" t="inlineStr">
        <is>
          <t>Weekly - Thursday</t>
        </is>
      </c>
      <c r="J111" t="inlineStr">
        <is>
          <t>Month+1 Expiry</t>
        </is>
      </c>
      <c r="K111" s="25" t="n">
        <v>7</v>
      </c>
      <c r="L111" s="26" t="n">
        <v>0.0117</v>
      </c>
      <c r="M111" s="26" t="n">
        <v>0.0001</v>
      </c>
    </row>
    <row r="112" ht="16" customHeight="1">
      <c r="A112" t="inlineStr">
        <is>
          <t>22-Sep-2025</t>
        </is>
      </c>
      <c r="B112" t="inlineStr">
        <is>
          <t>Monday</t>
        </is>
      </c>
      <c r="C112" t="inlineStr">
        <is>
          <t>Week4-Sep-2025</t>
        </is>
      </c>
      <c r="D112" s="78" t="n">
        <v>45901</v>
      </c>
      <c r="E112" t="inlineStr">
        <is>
          <t>Q2FY26</t>
        </is>
      </c>
      <c r="F112" t="inlineStr">
        <is>
          <t>23-Oct-2025</t>
        </is>
      </c>
      <c r="G112" t="inlineStr">
        <is>
          <t>Thursday</t>
        </is>
      </c>
      <c r="H112" t="inlineStr">
        <is>
          <t>Weekly - Thursday</t>
        </is>
      </c>
      <c r="I112" t="inlineStr">
        <is>
          <t>Weekly - Thursday</t>
        </is>
      </c>
      <c r="J112" t="inlineStr">
        <is>
          <t>Month+1 Expiry</t>
        </is>
      </c>
      <c r="K112" s="25" t="n">
        <v>9</v>
      </c>
      <c r="L112" s="26" t="n">
        <v>0.0152</v>
      </c>
      <c r="M112" s="26" t="n">
        <v>0.0002</v>
      </c>
    </row>
    <row r="113" ht="16" customHeight="1">
      <c r="A113" t="inlineStr">
        <is>
          <t>22-Sep-2025</t>
        </is>
      </c>
      <c r="B113" t="inlineStr">
        <is>
          <t>Monday</t>
        </is>
      </c>
      <c r="C113" t="inlineStr">
        <is>
          <t>Week4-Sep-2025</t>
        </is>
      </c>
      <c r="D113" s="78" t="n">
        <v>45901</v>
      </c>
      <c r="E113" t="inlineStr">
        <is>
          <t>Q2FY26</t>
        </is>
      </c>
      <c r="F113" t="inlineStr">
        <is>
          <t>30-Oct-2025</t>
        </is>
      </c>
      <c r="G113" t="inlineStr">
        <is>
          <t>Thursday</t>
        </is>
      </c>
      <c r="H113" t="inlineStr">
        <is>
          <t>Monthly - Thursday</t>
        </is>
      </c>
      <c r="I113" t="inlineStr">
        <is>
          <t>Monthly - Thursday</t>
        </is>
      </c>
      <c r="J113" t="inlineStr">
        <is>
          <t>Month+1 Expiry</t>
        </is>
      </c>
      <c r="K113" s="25" t="n">
        <v>4159</v>
      </c>
      <c r="L113" s="26" t="n">
        <v>6.947</v>
      </c>
      <c r="M113" s="26" t="n">
        <v>0.0505</v>
      </c>
    </row>
    <row r="114" ht="16" customHeight="1">
      <c r="A114" t="inlineStr">
        <is>
          <t>23-Sep-2025</t>
        </is>
      </c>
      <c r="B114" t="inlineStr">
        <is>
          <t>Tuesday</t>
        </is>
      </c>
      <c r="C114" t="inlineStr">
        <is>
          <t>Week4-Sep-2025</t>
        </is>
      </c>
      <c r="D114" s="78" t="n">
        <v>45901</v>
      </c>
      <c r="E114" t="inlineStr">
        <is>
          <t>Q2FY26</t>
        </is>
      </c>
      <c r="F114" t="inlineStr">
        <is>
          <t>25-Sep-2025</t>
        </is>
      </c>
      <c r="G114" t="inlineStr">
        <is>
          <t>Thursday</t>
        </is>
      </c>
      <c r="H114" t="inlineStr">
        <is>
          <t>Monthly - Thursday</t>
        </is>
      </c>
      <c r="I114" t="inlineStr">
        <is>
          <t>MDAW - Thursday</t>
        </is>
      </c>
      <c r="J114" t="inlineStr">
        <is>
          <t>Same Month Expiry</t>
        </is>
      </c>
      <c r="K114" s="25" t="n">
        <v>30068388</v>
      </c>
      <c r="L114" s="26" t="n">
        <v>49578.7207</v>
      </c>
      <c r="M114" s="26" t="n">
        <v>91.69329999999999</v>
      </c>
    </row>
    <row r="115" ht="16" customHeight="1">
      <c r="A115" t="inlineStr">
        <is>
          <t>23-Sep-2025</t>
        </is>
      </c>
      <c r="B115" t="inlineStr">
        <is>
          <t>Tuesday</t>
        </is>
      </c>
      <c r="C115" t="inlineStr">
        <is>
          <t>Week4-Sep-2025</t>
        </is>
      </c>
      <c r="D115" s="78" t="n">
        <v>45901</v>
      </c>
      <c r="E115" t="inlineStr">
        <is>
          <t>Q2FY26</t>
        </is>
      </c>
      <c r="F115" t="inlineStr">
        <is>
          <t>01-Oct-2025</t>
        </is>
      </c>
      <c r="G115" t="inlineStr">
        <is>
          <t>Wednesday</t>
        </is>
      </c>
      <c r="H115" t="inlineStr">
        <is>
          <t>Weekly - Wednesday</t>
        </is>
      </c>
      <c r="I115" t="inlineStr">
        <is>
          <t>Weekly - Wednesday</t>
        </is>
      </c>
      <c r="J115" t="inlineStr">
        <is>
          <t>Month+1 Expiry</t>
        </is>
      </c>
      <c r="K115" s="25" t="n">
        <v>316259</v>
      </c>
      <c r="L115" s="26" t="n">
        <v>522.9861</v>
      </c>
      <c r="M115" s="26" t="n">
        <v>1.9391</v>
      </c>
    </row>
    <row r="116" ht="16" customHeight="1">
      <c r="A116" t="inlineStr">
        <is>
          <t>23-Sep-2025</t>
        </is>
      </c>
      <c r="B116" t="inlineStr">
        <is>
          <t>Tuesday</t>
        </is>
      </c>
      <c r="C116" t="inlineStr">
        <is>
          <t>Week4-Sep-2025</t>
        </is>
      </c>
      <c r="D116" s="78" t="n">
        <v>45901</v>
      </c>
      <c r="E116" t="inlineStr">
        <is>
          <t>Q2FY26</t>
        </is>
      </c>
      <c r="F116" t="inlineStr">
        <is>
          <t>09-Oct-2025</t>
        </is>
      </c>
      <c r="G116" t="inlineStr">
        <is>
          <t>Thursday</t>
        </is>
      </c>
      <c r="H116" t="inlineStr">
        <is>
          <t>Weekly - Thursday</t>
        </is>
      </c>
      <c r="I116" t="inlineStr">
        <is>
          <t>Weekly - Thursday</t>
        </is>
      </c>
      <c r="J116" t="inlineStr">
        <is>
          <t>Month+1 Expiry</t>
        </is>
      </c>
      <c r="K116" s="25" t="n">
        <v>7901</v>
      </c>
      <c r="L116" s="26" t="n">
        <v>13.1271</v>
      </c>
      <c r="M116" s="26" t="n">
        <v>0.096</v>
      </c>
    </row>
    <row r="117" ht="16" customHeight="1">
      <c r="A117" t="inlineStr">
        <is>
          <t>23-Sep-2025</t>
        </is>
      </c>
      <c r="B117" t="inlineStr">
        <is>
          <t>Tuesday</t>
        </is>
      </c>
      <c r="C117" t="inlineStr">
        <is>
          <t>Week4-Sep-2025</t>
        </is>
      </c>
      <c r="D117" s="78" t="n">
        <v>45901</v>
      </c>
      <c r="E117" t="inlineStr">
        <is>
          <t>Q2FY26</t>
        </is>
      </c>
      <c r="F117" t="inlineStr">
        <is>
          <t>16-Oct-2025</t>
        </is>
      </c>
      <c r="G117" t="inlineStr">
        <is>
          <t>Thursday</t>
        </is>
      </c>
      <c r="H117" t="inlineStr">
        <is>
          <t>Weekly - Thursday</t>
        </is>
      </c>
      <c r="I117" t="inlineStr">
        <is>
          <t>Weekly - Thursday</t>
        </is>
      </c>
      <c r="J117" t="inlineStr">
        <is>
          <t>Month+1 Expiry</t>
        </is>
      </c>
      <c r="K117" s="25" t="n">
        <v>1</v>
      </c>
      <c r="L117" s="26" t="n">
        <v>0.0016</v>
      </c>
      <c r="M117" s="26" t="n">
        <v>0</v>
      </c>
    </row>
    <row r="118" ht="16" customHeight="1">
      <c r="A118" t="inlineStr">
        <is>
          <t>23-Sep-2025</t>
        </is>
      </c>
      <c r="B118" t="inlineStr">
        <is>
          <t>Tuesday</t>
        </is>
      </c>
      <c r="C118" t="inlineStr">
        <is>
          <t>Week4-Sep-2025</t>
        </is>
      </c>
      <c r="D118" s="78" t="n">
        <v>45901</v>
      </c>
      <c r="E118" t="inlineStr">
        <is>
          <t>Q2FY26</t>
        </is>
      </c>
      <c r="F118" t="inlineStr">
        <is>
          <t>23-Oct-2025</t>
        </is>
      </c>
      <c r="G118" t="inlineStr">
        <is>
          <t>Thursday</t>
        </is>
      </c>
      <c r="H118" t="inlineStr">
        <is>
          <t>Weekly - Thursday</t>
        </is>
      </c>
      <c r="I118" t="inlineStr">
        <is>
          <t>Weekly - Thursday</t>
        </is>
      </c>
      <c r="J118" t="inlineStr">
        <is>
          <t>Month+1 Expiry</t>
        </is>
      </c>
      <c r="K118" s="25" t="n">
        <v>0</v>
      </c>
      <c r="L118" s="26" t="n">
        <v>0</v>
      </c>
      <c r="M118" s="26" t="n">
        <v>0</v>
      </c>
    </row>
    <row r="119" ht="16" customHeight="1">
      <c r="A119" t="inlineStr">
        <is>
          <t>23-Sep-2025</t>
        </is>
      </c>
      <c r="B119" t="inlineStr">
        <is>
          <t>Tuesday</t>
        </is>
      </c>
      <c r="C119" t="inlineStr">
        <is>
          <t>Week4-Sep-2025</t>
        </is>
      </c>
      <c r="D119" s="78" t="n">
        <v>45901</v>
      </c>
      <c r="E119" t="inlineStr">
        <is>
          <t>Q2FY26</t>
        </is>
      </c>
      <c r="F119" t="inlineStr">
        <is>
          <t>30-Oct-2025</t>
        </is>
      </c>
      <c r="G119" t="inlineStr">
        <is>
          <t>Thursday</t>
        </is>
      </c>
      <c r="H119" t="inlineStr">
        <is>
          <t>Monthly - Thursday</t>
        </is>
      </c>
      <c r="I119" t="inlineStr">
        <is>
          <t>Monthly - Thursday</t>
        </is>
      </c>
      <c r="J119" t="inlineStr">
        <is>
          <t>Month+1 Expiry</t>
        </is>
      </c>
      <c r="K119" s="25" t="n">
        <v>3768</v>
      </c>
      <c r="L119" s="26" t="n">
        <v>6.2875</v>
      </c>
      <c r="M119" s="26" t="n">
        <v>0.0495</v>
      </c>
    </row>
    <row r="120" ht="16" customHeight="1">
      <c r="A120" t="inlineStr">
        <is>
          <t>24-Sep-2025</t>
        </is>
      </c>
      <c r="B120" t="inlineStr">
        <is>
          <t>Wednesday</t>
        </is>
      </c>
      <c r="C120" t="inlineStr">
        <is>
          <t>Week4-Sep-2025</t>
        </is>
      </c>
      <c r="D120" s="78" t="n">
        <v>45901</v>
      </c>
      <c r="E120" t="inlineStr">
        <is>
          <t>Q2FY26</t>
        </is>
      </c>
      <c r="F120" t="inlineStr">
        <is>
          <t>25-Sep-2025</t>
        </is>
      </c>
      <c r="G120" t="inlineStr">
        <is>
          <t>Thursday</t>
        </is>
      </c>
      <c r="H120" t="inlineStr">
        <is>
          <t>Monthly - Thursday</t>
        </is>
      </c>
      <c r="I120" t="inlineStr">
        <is>
          <t>MDAW - Thursday</t>
        </is>
      </c>
      <c r="J120" t="inlineStr">
        <is>
          <t>Same Month Expiry</t>
        </is>
      </c>
      <c r="K120" s="25" t="n">
        <v>111212431</v>
      </c>
      <c r="L120" s="26" t="n">
        <v>182421.1683</v>
      </c>
      <c r="M120" s="26" t="n">
        <v>228.2957</v>
      </c>
    </row>
    <row r="121" ht="16" customHeight="1">
      <c r="A121" t="inlineStr">
        <is>
          <t>24-Sep-2025</t>
        </is>
      </c>
      <c r="B121" t="inlineStr">
        <is>
          <t>Wednesday</t>
        </is>
      </c>
      <c r="C121" t="inlineStr">
        <is>
          <t>Week4-Sep-2025</t>
        </is>
      </c>
      <c r="D121" s="78" t="n">
        <v>45901</v>
      </c>
      <c r="E121" t="inlineStr">
        <is>
          <t>Q2FY26</t>
        </is>
      </c>
      <c r="F121" t="inlineStr">
        <is>
          <t>01-Oct-2025</t>
        </is>
      </c>
      <c r="G121" t="inlineStr">
        <is>
          <t>Wednesday</t>
        </is>
      </c>
      <c r="H121" t="inlineStr">
        <is>
          <t>Weekly - Wednesday</t>
        </is>
      </c>
      <c r="I121" t="inlineStr">
        <is>
          <t>Weekly - Wednesday</t>
        </is>
      </c>
      <c r="J121" t="inlineStr">
        <is>
          <t>Month+1 Expiry</t>
        </is>
      </c>
      <c r="K121" s="25" t="n">
        <v>639422</v>
      </c>
      <c r="L121" s="26" t="n">
        <v>1053.1241</v>
      </c>
      <c r="M121" s="26" t="n">
        <v>3.01</v>
      </c>
    </row>
    <row r="122" ht="16" customHeight="1">
      <c r="A122" t="inlineStr">
        <is>
          <t>24-Sep-2025</t>
        </is>
      </c>
      <c r="B122" t="inlineStr">
        <is>
          <t>Wednesday</t>
        </is>
      </c>
      <c r="C122" t="inlineStr">
        <is>
          <t>Week4-Sep-2025</t>
        </is>
      </c>
      <c r="D122" s="78" t="n">
        <v>45901</v>
      </c>
      <c r="E122" t="inlineStr">
        <is>
          <t>Q2FY26</t>
        </is>
      </c>
      <c r="F122" t="inlineStr">
        <is>
          <t>09-Oct-2025</t>
        </is>
      </c>
      <c r="G122" t="inlineStr">
        <is>
          <t>Thursday</t>
        </is>
      </c>
      <c r="H122" t="inlineStr">
        <is>
          <t>Weekly - Thursday</t>
        </is>
      </c>
      <c r="I122" t="inlineStr">
        <is>
          <t>Weekly - Thursday</t>
        </is>
      </c>
      <c r="J122" t="inlineStr">
        <is>
          <t>Month+1 Expiry</t>
        </is>
      </c>
      <c r="K122" s="25" t="n">
        <v>8581</v>
      </c>
      <c r="L122" s="26" t="n">
        <v>14.1825</v>
      </c>
      <c r="M122" s="26" t="n">
        <v>0.0725</v>
      </c>
    </row>
    <row r="123" ht="16" customHeight="1">
      <c r="A123" t="inlineStr">
        <is>
          <t>24-Sep-2025</t>
        </is>
      </c>
      <c r="B123" t="inlineStr">
        <is>
          <t>Wednesday</t>
        </is>
      </c>
      <c r="C123" t="inlineStr">
        <is>
          <t>Week4-Sep-2025</t>
        </is>
      </c>
      <c r="D123" s="78" t="n">
        <v>45901</v>
      </c>
      <c r="E123" t="inlineStr">
        <is>
          <t>Q2FY26</t>
        </is>
      </c>
      <c r="F123" t="inlineStr">
        <is>
          <t>16-Oct-2025</t>
        </is>
      </c>
      <c r="G123" t="inlineStr">
        <is>
          <t>Thursday</t>
        </is>
      </c>
      <c r="H123" t="inlineStr">
        <is>
          <t>Weekly - Thursday</t>
        </is>
      </c>
      <c r="I123" t="inlineStr">
        <is>
          <t>Weekly - Thursday</t>
        </is>
      </c>
      <c r="J123" t="inlineStr">
        <is>
          <t>Month+1 Expiry</t>
        </is>
      </c>
      <c r="K123" s="25" t="n">
        <v>5</v>
      </c>
      <c r="L123" s="26" t="n">
        <v>0.0083</v>
      </c>
      <c r="M123" s="26" t="n">
        <v>0.0002</v>
      </c>
    </row>
    <row r="124" ht="16" customHeight="1">
      <c r="A124" t="inlineStr">
        <is>
          <t>24-Sep-2025</t>
        </is>
      </c>
      <c r="B124" t="inlineStr">
        <is>
          <t>Wednesday</t>
        </is>
      </c>
      <c r="C124" t="inlineStr">
        <is>
          <t>Week4-Sep-2025</t>
        </is>
      </c>
      <c r="D124" s="78" t="n">
        <v>45901</v>
      </c>
      <c r="E124" t="inlineStr">
        <is>
          <t>Q2FY26</t>
        </is>
      </c>
      <c r="F124" t="inlineStr">
        <is>
          <t>23-Oct-2025</t>
        </is>
      </c>
      <c r="G124" t="inlineStr">
        <is>
          <t>Thursday</t>
        </is>
      </c>
      <c r="H124" t="inlineStr">
        <is>
          <t>Weekly - Thursday</t>
        </is>
      </c>
      <c r="I124" t="inlineStr">
        <is>
          <t>Weekly - Thursday</t>
        </is>
      </c>
      <c r="J124" t="inlineStr">
        <is>
          <t>Month+1 Expiry</t>
        </is>
      </c>
      <c r="K124" s="25" t="n">
        <v>0</v>
      </c>
      <c r="L124" s="26" t="n">
        <v>0</v>
      </c>
      <c r="M124" s="26" t="n">
        <v>0</v>
      </c>
    </row>
    <row r="125" ht="16" customHeight="1">
      <c r="A125" t="inlineStr">
        <is>
          <t>24-Sep-2025</t>
        </is>
      </c>
      <c r="B125" t="inlineStr">
        <is>
          <t>Wednesday</t>
        </is>
      </c>
      <c r="C125" t="inlineStr">
        <is>
          <t>Week4-Sep-2025</t>
        </is>
      </c>
      <c r="D125" s="78" t="n">
        <v>45901</v>
      </c>
      <c r="E125" t="inlineStr">
        <is>
          <t>Q2FY26</t>
        </is>
      </c>
      <c r="F125" t="inlineStr">
        <is>
          <t>30-Oct-2025</t>
        </is>
      </c>
      <c r="G125" t="inlineStr">
        <is>
          <t>Thursday</t>
        </is>
      </c>
      <c r="H125" t="inlineStr">
        <is>
          <t>Monthly - Thursday</t>
        </is>
      </c>
      <c r="I125" t="inlineStr">
        <is>
          <t>Monthly - Thursday</t>
        </is>
      </c>
      <c r="J125" t="inlineStr">
        <is>
          <t>Month+1 Expiry</t>
        </is>
      </c>
      <c r="K125" s="25" t="n">
        <v>5252</v>
      </c>
      <c r="L125" s="26" t="n">
        <v>8.7056</v>
      </c>
      <c r="M125" s="26" t="n">
        <v>0.06619999999999999</v>
      </c>
    </row>
    <row r="126" ht="16" customHeight="1">
      <c r="A126" t="inlineStr">
        <is>
          <t>25-Sep-2025</t>
        </is>
      </c>
      <c r="B126" t="inlineStr">
        <is>
          <t>Thursday</t>
        </is>
      </c>
      <c r="C126" t="inlineStr">
        <is>
          <t>Week4-Sep-2025</t>
        </is>
      </c>
      <c r="D126" s="78" t="n">
        <v>45901</v>
      </c>
      <c r="E126" t="inlineStr">
        <is>
          <t>Q2FY26</t>
        </is>
      </c>
      <c r="F126" t="inlineStr">
        <is>
          <t>25-Sep-2025</t>
        </is>
      </c>
      <c r="G126" t="inlineStr">
        <is>
          <t>Thursday</t>
        </is>
      </c>
      <c r="H126" t="inlineStr">
        <is>
          <t>Monthly - Thursday</t>
        </is>
      </c>
      <c r="I126" t="inlineStr">
        <is>
          <t>MDAW - Thursday</t>
        </is>
      </c>
      <c r="J126" t="inlineStr">
        <is>
          <t>Same Month Expiry</t>
        </is>
      </c>
      <c r="K126" s="25" t="n">
        <v>373937295</v>
      </c>
      <c r="L126" s="26" t="n">
        <v>610143.5783000001</v>
      </c>
      <c r="M126" s="26" t="n">
        <v>350.4374</v>
      </c>
    </row>
    <row r="127" ht="16" customHeight="1">
      <c r="A127" t="inlineStr">
        <is>
          <t>25-Sep-2025</t>
        </is>
      </c>
      <c r="B127" t="inlineStr">
        <is>
          <t>Thursday</t>
        </is>
      </c>
      <c r="C127" t="inlineStr">
        <is>
          <t>Week4-Sep-2025</t>
        </is>
      </c>
      <c r="D127" s="78" t="n">
        <v>45901</v>
      </c>
      <c r="E127" t="inlineStr">
        <is>
          <t>Q2FY26</t>
        </is>
      </c>
      <c r="F127" t="inlineStr">
        <is>
          <t>01-Oct-2025</t>
        </is>
      </c>
      <c r="G127" t="inlineStr">
        <is>
          <t>Wednesday</t>
        </is>
      </c>
      <c r="H127" t="inlineStr">
        <is>
          <t>Weekly - Wednesday</t>
        </is>
      </c>
      <c r="I127" t="inlineStr">
        <is>
          <t>Weekly - Wednesday</t>
        </is>
      </c>
      <c r="J127" t="inlineStr">
        <is>
          <t>Month+1 Expiry</t>
        </is>
      </c>
      <c r="K127" s="25" t="n">
        <v>1912405</v>
      </c>
      <c r="L127" s="26" t="n">
        <v>3134.9733</v>
      </c>
      <c r="M127" s="26" t="n">
        <v>8.4314</v>
      </c>
    </row>
    <row r="128" ht="16" customHeight="1">
      <c r="A128" t="inlineStr">
        <is>
          <t>25-Sep-2025</t>
        </is>
      </c>
      <c r="B128" t="inlineStr">
        <is>
          <t>Thursday</t>
        </is>
      </c>
      <c r="C128" t="inlineStr">
        <is>
          <t>Week4-Sep-2025</t>
        </is>
      </c>
      <c r="D128" s="78" t="n">
        <v>45901</v>
      </c>
      <c r="E128" t="inlineStr">
        <is>
          <t>Q2FY26</t>
        </is>
      </c>
      <c r="F128" t="inlineStr">
        <is>
          <t>09-Oct-2025</t>
        </is>
      </c>
      <c r="G128" t="inlineStr">
        <is>
          <t>Thursday</t>
        </is>
      </c>
      <c r="H128" t="inlineStr">
        <is>
          <t>Weekly - Thursday</t>
        </is>
      </c>
      <c r="I128" t="inlineStr">
        <is>
          <t>Weekly - Thursday</t>
        </is>
      </c>
      <c r="J128" t="inlineStr">
        <is>
          <t>Month+1 Expiry</t>
        </is>
      </c>
      <c r="K128" s="25" t="n">
        <v>17591</v>
      </c>
      <c r="L128" s="26" t="n">
        <v>29.0032</v>
      </c>
      <c r="M128" s="26" t="n">
        <v>0.1474</v>
      </c>
    </row>
    <row r="129" ht="16" customHeight="1">
      <c r="A129" t="inlineStr">
        <is>
          <t>25-Sep-2025</t>
        </is>
      </c>
      <c r="B129" t="inlineStr">
        <is>
          <t>Thursday</t>
        </is>
      </c>
      <c r="C129" t="inlineStr">
        <is>
          <t>Week4-Sep-2025</t>
        </is>
      </c>
      <c r="D129" s="78" t="n">
        <v>45901</v>
      </c>
      <c r="E129" t="inlineStr">
        <is>
          <t>Q2FY26</t>
        </is>
      </c>
      <c r="F129" t="inlineStr">
        <is>
          <t>16-Oct-2025</t>
        </is>
      </c>
      <c r="G129" t="inlineStr">
        <is>
          <t>Thursday</t>
        </is>
      </c>
      <c r="H129" t="inlineStr">
        <is>
          <t>Weekly - Thursday</t>
        </is>
      </c>
      <c r="I129" t="inlineStr">
        <is>
          <t>Weekly - Thursday</t>
        </is>
      </c>
      <c r="J129" t="inlineStr">
        <is>
          <t>Month+1 Expiry</t>
        </is>
      </c>
      <c r="K129" s="25" t="n">
        <v>3</v>
      </c>
      <c r="L129" s="26" t="n">
        <v>0.0049</v>
      </c>
      <c r="M129" s="26" t="n">
        <v>0</v>
      </c>
    </row>
    <row r="130" ht="16" customHeight="1">
      <c r="A130" t="inlineStr">
        <is>
          <t>25-Sep-2025</t>
        </is>
      </c>
      <c r="B130" t="inlineStr">
        <is>
          <t>Thursday</t>
        </is>
      </c>
      <c r="C130" t="inlineStr">
        <is>
          <t>Week4-Sep-2025</t>
        </is>
      </c>
      <c r="D130" s="78" t="n">
        <v>45901</v>
      </c>
      <c r="E130" t="inlineStr">
        <is>
          <t>Q2FY26</t>
        </is>
      </c>
      <c r="F130" t="inlineStr">
        <is>
          <t>23-Oct-2025</t>
        </is>
      </c>
      <c r="G130" t="inlineStr">
        <is>
          <t>Thursday</t>
        </is>
      </c>
      <c r="H130" t="inlineStr">
        <is>
          <t>Weekly - Thursday</t>
        </is>
      </c>
      <c r="I130" t="inlineStr">
        <is>
          <t>Weekly - Thursday</t>
        </is>
      </c>
      <c r="J130" t="inlineStr">
        <is>
          <t>Month+1 Expiry</t>
        </is>
      </c>
      <c r="K130" s="25" t="n">
        <v>6</v>
      </c>
      <c r="L130" s="26" t="n">
        <v>0.0106</v>
      </c>
      <c r="M130" s="26" t="n">
        <v>0.0004</v>
      </c>
    </row>
    <row r="131" ht="16" customHeight="1">
      <c r="A131" t="inlineStr">
        <is>
          <t>25-Sep-2025</t>
        </is>
      </c>
      <c r="B131" t="inlineStr">
        <is>
          <t>Thursday</t>
        </is>
      </c>
      <c r="C131" t="inlineStr">
        <is>
          <t>Week4-Sep-2025</t>
        </is>
      </c>
      <c r="D131" s="78" t="n">
        <v>45901</v>
      </c>
      <c r="E131" t="inlineStr">
        <is>
          <t>Q2FY26</t>
        </is>
      </c>
      <c r="F131" t="inlineStr">
        <is>
          <t>30-Oct-2025</t>
        </is>
      </c>
      <c r="G131" t="inlineStr">
        <is>
          <t>Thursday</t>
        </is>
      </c>
      <c r="H131" t="inlineStr">
        <is>
          <t>Monthly - Thursday</t>
        </is>
      </c>
      <c r="I131" t="inlineStr">
        <is>
          <t>Monthly - Thursday</t>
        </is>
      </c>
      <c r="J131" t="inlineStr">
        <is>
          <t>Month+1 Expiry</t>
        </is>
      </c>
      <c r="K131" s="25" t="n">
        <v>11195</v>
      </c>
      <c r="L131" s="26" t="n">
        <v>18.3122</v>
      </c>
      <c r="M131" s="26" t="n">
        <v>0.1355</v>
      </c>
    </row>
    <row r="132" ht="16" customHeight="1">
      <c r="A132" t="inlineStr">
        <is>
          <t>25-Sep-2025</t>
        </is>
      </c>
      <c r="B132" t="inlineStr">
        <is>
          <t>Thursday</t>
        </is>
      </c>
      <c r="C132" t="inlineStr">
        <is>
          <t>Week4-Sep-2025</t>
        </is>
      </c>
      <c r="D132" s="78" t="n">
        <v>45901</v>
      </c>
      <c r="E132" t="inlineStr">
        <is>
          <t>Q2FY26</t>
        </is>
      </c>
      <c r="F132" t="inlineStr">
        <is>
          <t>06-Nov-2025</t>
        </is>
      </c>
      <c r="G132" t="inlineStr">
        <is>
          <t>Thursday</t>
        </is>
      </c>
      <c r="H132" t="inlineStr">
        <is>
          <t>Weekly - Thursday</t>
        </is>
      </c>
      <c r="I132" t="inlineStr">
        <is>
          <t>Weekly - Thursday</t>
        </is>
      </c>
      <c r="J132" t="inlineStr">
        <is>
          <t>Month+2 Expiry</t>
        </is>
      </c>
      <c r="K132" s="25" t="n">
        <v>2</v>
      </c>
      <c r="L132" s="26" t="n">
        <v>0.0034</v>
      </c>
      <c r="M132" s="26" t="n">
        <v>0.0001</v>
      </c>
    </row>
    <row r="133" ht="16" customHeight="1">
      <c r="A133" t="inlineStr">
        <is>
          <t>25-Sep-2025</t>
        </is>
      </c>
      <c r="B133" t="inlineStr">
        <is>
          <t>Thursday</t>
        </is>
      </c>
      <c r="C133" t="inlineStr">
        <is>
          <t>Week4-Sep-2025</t>
        </is>
      </c>
      <c r="D133" s="78" t="n">
        <v>45901</v>
      </c>
      <c r="E133" t="inlineStr">
        <is>
          <t>Q2FY26</t>
        </is>
      </c>
      <c r="F133" t="inlineStr">
        <is>
          <t>24-Dec-2025</t>
        </is>
      </c>
      <c r="G133" t="inlineStr">
        <is>
          <t>Wednesday</t>
        </is>
      </c>
      <c r="H133" t="inlineStr">
        <is>
          <t>Weekly - Wednesday</t>
        </is>
      </c>
      <c r="I133" t="inlineStr">
        <is>
          <t>Weekly - Wednesday</t>
        </is>
      </c>
      <c r="J133" t="inlineStr">
        <is>
          <t>Month+3 Expiry</t>
        </is>
      </c>
      <c r="K133" s="25" t="n">
        <v>6</v>
      </c>
      <c r="L133" s="26" t="n">
        <v>0.01</v>
      </c>
      <c r="M133" s="26" t="n">
        <v>0.0002</v>
      </c>
    </row>
    <row r="134" ht="16" customHeight="1">
      <c r="A134" t="inlineStr">
        <is>
          <t>26-Sep-2025</t>
        </is>
      </c>
      <c r="B134" t="inlineStr">
        <is>
          <t>Friday</t>
        </is>
      </c>
      <c r="C134" t="inlineStr">
        <is>
          <t>Week4-Sep-2025</t>
        </is>
      </c>
      <c r="D134" s="78" t="n">
        <v>45901</v>
      </c>
      <c r="E134" t="inlineStr">
        <is>
          <t>Q2FY26</t>
        </is>
      </c>
      <c r="F134" t="inlineStr">
        <is>
          <t>01-Oct-2025</t>
        </is>
      </c>
      <c r="G134" t="inlineStr">
        <is>
          <t>Wednesday</t>
        </is>
      </c>
      <c r="H134" t="inlineStr">
        <is>
          <t>Weekly - Wednesday</t>
        </is>
      </c>
      <c r="I134" t="inlineStr">
        <is>
          <t>Weekly - Wednesday</t>
        </is>
      </c>
      <c r="J134" t="inlineStr">
        <is>
          <t>Month+1 Expiry</t>
        </is>
      </c>
      <c r="K134" s="25" t="n">
        <v>19601513</v>
      </c>
      <c r="L134" s="26" t="n">
        <v>31805.0985</v>
      </c>
      <c r="M134" s="26" t="n">
        <v>84.32259999999999</v>
      </c>
    </row>
    <row r="135" ht="16" customHeight="1">
      <c r="A135" t="inlineStr">
        <is>
          <t>26-Sep-2025</t>
        </is>
      </c>
      <c r="B135" t="inlineStr">
        <is>
          <t>Friday</t>
        </is>
      </c>
      <c r="C135" t="inlineStr">
        <is>
          <t>Week4-Sep-2025</t>
        </is>
      </c>
      <c r="D135" s="78" t="n">
        <v>45901</v>
      </c>
      <c r="E135" t="inlineStr">
        <is>
          <t>Q2FY26</t>
        </is>
      </c>
      <c r="F135" t="inlineStr">
        <is>
          <t>09-Oct-2025</t>
        </is>
      </c>
      <c r="G135" t="inlineStr">
        <is>
          <t>Thursday</t>
        </is>
      </c>
      <c r="H135" t="inlineStr">
        <is>
          <t>Weekly - Thursday</t>
        </is>
      </c>
      <c r="I135" t="inlineStr">
        <is>
          <t>Weekly - Thursday</t>
        </is>
      </c>
      <c r="J135" t="inlineStr">
        <is>
          <t>Month+1 Expiry</t>
        </is>
      </c>
      <c r="K135" s="25" t="n">
        <v>87505</v>
      </c>
      <c r="L135" s="26" t="n">
        <v>143.3314</v>
      </c>
      <c r="M135" s="26" t="n">
        <v>0.6509</v>
      </c>
    </row>
    <row r="136" ht="16" customHeight="1">
      <c r="A136" t="inlineStr">
        <is>
          <t>26-Sep-2025</t>
        </is>
      </c>
      <c r="B136" t="inlineStr">
        <is>
          <t>Friday</t>
        </is>
      </c>
      <c r="C136" t="inlineStr">
        <is>
          <t>Week4-Sep-2025</t>
        </is>
      </c>
      <c r="D136" s="78" t="n">
        <v>45901</v>
      </c>
      <c r="E136" t="inlineStr">
        <is>
          <t>Q2FY26</t>
        </is>
      </c>
      <c r="F136" t="inlineStr">
        <is>
          <t>16-Oct-2025</t>
        </is>
      </c>
      <c r="G136" t="inlineStr">
        <is>
          <t>Thursday</t>
        </is>
      </c>
      <c r="H136" t="inlineStr">
        <is>
          <t>Weekly - Thursday</t>
        </is>
      </c>
      <c r="I136" t="inlineStr">
        <is>
          <t>Weekly - Thursday</t>
        </is>
      </c>
      <c r="J136" t="inlineStr">
        <is>
          <t>Month+1 Expiry</t>
        </is>
      </c>
      <c r="K136" s="25" t="n">
        <v>1594</v>
      </c>
      <c r="L136" s="26" t="n">
        <v>2.6038</v>
      </c>
      <c r="M136" s="26" t="n">
        <v>0.0213</v>
      </c>
    </row>
    <row r="137" ht="16" customHeight="1">
      <c r="A137" t="inlineStr">
        <is>
          <t>26-Sep-2025</t>
        </is>
      </c>
      <c r="B137" t="inlineStr">
        <is>
          <t>Friday</t>
        </is>
      </c>
      <c r="C137" t="inlineStr">
        <is>
          <t>Week4-Sep-2025</t>
        </is>
      </c>
      <c r="D137" s="78" t="n">
        <v>45901</v>
      </c>
      <c r="E137" t="inlineStr">
        <is>
          <t>Q2FY26</t>
        </is>
      </c>
      <c r="F137" t="inlineStr">
        <is>
          <t>23-Oct-2025</t>
        </is>
      </c>
      <c r="G137" t="inlineStr">
        <is>
          <t>Thursday</t>
        </is>
      </c>
      <c r="H137" t="inlineStr">
        <is>
          <t>Weekly - Thursday</t>
        </is>
      </c>
      <c r="I137" t="inlineStr">
        <is>
          <t>Weekly - Thursday</t>
        </is>
      </c>
      <c r="J137" t="inlineStr">
        <is>
          <t>Month+1 Expiry</t>
        </is>
      </c>
      <c r="K137" s="25" t="n">
        <v>32</v>
      </c>
      <c r="L137" s="26" t="n">
        <v>0.0531</v>
      </c>
      <c r="M137" s="26" t="n">
        <v>0.0005999999999999999</v>
      </c>
    </row>
    <row r="138" ht="16" customHeight="1">
      <c r="A138" t="inlineStr">
        <is>
          <t>26-Sep-2025</t>
        </is>
      </c>
      <c r="B138" t="inlineStr">
        <is>
          <t>Friday</t>
        </is>
      </c>
      <c r="C138" t="inlineStr">
        <is>
          <t>Week4-Sep-2025</t>
        </is>
      </c>
      <c r="D138" s="78" t="n">
        <v>45901</v>
      </c>
      <c r="E138" t="inlineStr">
        <is>
          <t>Q2FY26</t>
        </is>
      </c>
      <c r="F138" t="inlineStr">
        <is>
          <t>30-Oct-2025</t>
        </is>
      </c>
      <c r="G138" t="inlineStr">
        <is>
          <t>Thursday</t>
        </is>
      </c>
      <c r="H138" t="inlineStr">
        <is>
          <t>Monthly - Thursday</t>
        </is>
      </c>
      <c r="I138" t="inlineStr">
        <is>
          <t>Monthly - Thursday</t>
        </is>
      </c>
      <c r="J138" t="inlineStr">
        <is>
          <t>Month+1 Expiry</t>
        </is>
      </c>
      <c r="K138" s="25" t="n">
        <v>17476</v>
      </c>
      <c r="L138" s="26" t="n">
        <v>28.6566</v>
      </c>
      <c r="M138" s="26" t="n">
        <v>0.2083</v>
      </c>
    </row>
    <row r="139" ht="16" customHeight="1">
      <c r="A139" t="inlineStr">
        <is>
          <t>26-Sep-2025</t>
        </is>
      </c>
      <c r="B139" t="inlineStr">
        <is>
          <t>Friday</t>
        </is>
      </c>
      <c r="C139" t="inlineStr">
        <is>
          <t>Week4-Sep-2025</t>
        </is>
      </c>
      <c r="D139" s="78" t="n">
        <v>45901</v>
      </c>
      <c r="E139" t="inlineStr">
        <is>
          <t>Q2FY26</t>
        </is>
      </c>
      <c r="F139" t="inlineStr">
        <is>
          <t>06-Nov-2025</t>
        </is>
      </c>
      <c r="G139" t="inlineStr">
        <is>
          <t>Thursday</t>
        </is>
      </c>
      <c r="H139" t="inlineStr">
        <is>
          <t>Weekly - Thursday</t>
        </is>
      </c>
      <c r="I139" t="inlineStr">
        <is>
          <t>Weekly - Thursday</t>
        </is>
      </c>
      <c r="J139" t="inlineStr">
        <is>
          <t>Month+2 Expiry</t>
        </is>
      </c>
      <c r="K139" s="25" t="n">
        <v>2</v>
      </c>
      <c r="L139" s="26" t="n">
        <v>0.0034</v>
      </c>
      <c r="M139" s="26" t="n">
        <v>0.0001</v>
      </c>
    </row>
    <row r="140" ht="16" customHeight="1">
      <c r="A140" t="inlineStr">
        <is>
          <t>29-Sep-2025</t>
        </is>
      </c>
      <c r="B140" t="inlineStr">
        <is>
          <t>Monday</t>
        </is>
      </c>
      <c r="C140" t="inlineStr">
        <is>
          <t>Week5-Sep-2025</t>
        </is>
      </c>
      <c r="D140" s="78" t="n">
        <v>45901</v>
      </c>
      <c r="E140" t="inlineStr">
        <is>
          <t>Q2FY26</t>
        </is>
      </c>
      <c r="F140" t="inlineStr">
        <is>
          <t>01-Oct-2025</t>
        </is>
      </c>
      <c r="G140" t="inlineStr">
        <is>
          <t>Wednesday</t>
        </is>
      </c>
      <c r="H140" t="inlineStr">
        <is>
          <t>Weekly - Wednesday</t>
        </is>
      </c>
      <c r="I140" t="inlineStr">
        <is>
          <t>Weekly - Wednesday</t>
        </is>
      </c>
      <c r="J140" t="inlineStr">
        <is>
          <t>Month+1 Expiry</t>
        </is>
      </c>
      <c r="K140" s="25" t="n">
        <v>27288562</v>
      </c>
      <c r="L140" s="26" t="n">
        <v>44118.5465</v>
      </c>
      <c r="M140" s="26" t="n">
        <v>98.7513</v>
      </c>
    </row>
    <row r="141" ht="16" customHeight="1">
      <c r="A141" t="inlineStr">
        <is>
          <t>29-Sep-2025</t>
        </is>
      </c>
      <c r="B141" t="inlineStr">
        <is>
          <t>Monday</t>
        </is>
      </c>
      <c r="C141" t="inlineStr">
        <is>
          <t>Week5-Sep-2025</t>
        </is>
      </c>
      <c r="D141" s="78" t="n">
        <v>45901</v>
      </c>
      <c r="E141" t="inlineStr">
        <is>
          <t>Q2FY26</t>
        </is>
      </c>
      <c r="F141" t="inlineStr">
        <is>
          <t>09-Oct-2025</t>
        </is>
      </c>
      <c r="G141" t="inlineStr">
        <is>
          <t>Thursday</t>
        </is>
      </c>
      <c r="H141" t="inlineStr">
        <is>
          <t>Weekly - Thursday</t>
        </is>
      </c>
      <c r="I141" t="inlineStr">
        <is>
          <t>Weekly - Thursday</t>
        </is>
      </c>
      <c r="J141" t="inlineStr">
        <is>
          <t>Month+1 Expiry</t>
        </is>
      </c>
      <c r="K141" s="25" t="n">
        <v>130780</v>
      </c>
      <c r="L141" s="26" t="n">
        <v>212.9739</v>
      </c>
      <c r="M141" s="26" t="n">
        <v>0.9419</v>
      </c>
    </row>
    <row r="142" ht="16" customHeight="1">
      <c r="A142" t="inlineStr">
        <is>
          <t>29-Sep-2025</t>
        </is>
      </c>
      <c r="B142" t="inlineStr">
        <is>
          <t>Monday</t>
        </is>
      </c>
      <c r="C142" t="inlineStr">
        <is>
          <t>Week5-Sep-2025</t>
        </is>
      </c>
      <c r="D142" s="78" t="n">
        <v>45901</v>
      </c>
      <c r="E142" t="inlineStr">
        <is>
          <t>Q2FY26</t>
        </is>
      </c>
      <c r="F142" t="inlineStr">
        <is>
          <t>16-Oct-2025</t>
        </is>
      </c>
      <c r="G142" t="inlineStr">
        <is>
          <t>Thursday</t>
        </is>
      </c>
      <c r="H142" t="inlineStr">
        <is>
          <t>Weekly - Thursday</t>
        </is>
      </c>
      <c r="I142" t="inlineStr">
        <is>
          <t>Weekly - Thursday</t>
        </is>
      </c>
      <c r="J142" t="inlineStr">
        <is>
          <t>Month+1 Expiry</t>
        </is>
      </c>
      <c r="K142" s="25" t="n">
        <v>1696</v>
      </c>
      <c r="L142" s="26" t="n">
        <v>2.7503</v>
      </c>
      <c r="M142" s="26" t="n">
        <v>0.0184</v>
      </c>
    </row>
    <row r="143" ht="16" customHeight="1">
      <c r="A143" t="inlineStr">
        <is>
          <t>29-Sep-2025</t>
        </is>
      </c>
      <c r="B143" t="inlineStr">
        <is>
          <t>Monday</t>
        </is>
      </c>
      <c r="C143" t="inlineStr">
        <is>
          <t>Week5-Sep-2025</t>
        </is>
      </c>
      <c r="D143" s="78" t="n">
        <v>45901</v>
      </c>
      <c r="E143" t="inlineStr">
        <is>
          <t>Q2FY26</t>
        </is>
      </c>
      <c r="F143" t="inlineStr">
        <is>
          <t>23-Oct-2025</t>
        </is>
      </c>
      <c r="G143" t="inlineStr">
        <is>
          <t>Thursday</t>
        </is>
      </c>
      <c r="H143" t="inlineStr">
        <is>
          <t>Weekly - Thursday</t>
        </is>
      </c>
      <c r="I143" t="inlineStr">
        <is>
          <t>Weekly - Thursday</t>
        </is>
      </c>
      <c r="J143" t="inlineStr">
        <is>
          <t>Month+1 Expiry</t>
        </is>
      </c>
      <c r="K143" s="25" t="n">
        <v>32</v>
      </c>
      <c r="L143" s="26" t="n">
        <v>0.0523</v>
      </c>
      <c r="M143" s="26" t="n">
        <v>0.0007</v>
      </c>
    </row>
    <row r="144" ht="16" customHeight="1">
      <c r="A144" t="inlineStr">
        <is>
          <t>29-Sep-2025</t>
        </is>
      </c>
      <c r="B144" t="inlineStr">
        <is>
          <t>Monday</t>
        </is>
      </c>
      <c r="C144" t="inlineStr">
        <is>
          <t>Week5-Sep-2025</t>
        </is>
      </c>
      <c r="D144" s="78" t="n">
        <v>45901</v>
      </c>
      <c r="E144" t="inlineStr">
        <is>
          <t>Q2FY26</t>
        </is>
      </c>
      <c r="F144" t="inlineStr">
        <is>
          <t>30-Oct-2025</t>
        </is>
      </c>
      <c r="G144" t="inlineStr">
        <is>
          <t>Thursday</t>
        </is>
      </c>
      <c r="H144" t="inlineStr">
        <is>
          <t>Monthly - Thursday</t>
        </is>
      </c>
      <c r="I144" t="inlineStr">
        <is>
          <t>Monthly - Thursday</t>
        </is>
      </c>
      <c r="J144" t="inlineStr">
        <is>
          <t>Month+1 Expiry</t>
        </is>
      </c>
      <c r="K144" s="25" t="n">
        <v>13610</v>
      </c>
      <c r="L144" s="26" t="n">
        <v>22.2583</v>
      </c>
      <c r="M144" s="26" t="n">
        <v>0.1773</v>
      </c>
    </row>
    <row r="145" ht="16" customHeight="1">
      <c r="A145" t="inlineStr">
        <is>
          <t>30-Sep-2025</t>
        </is>
      </c>
      <c r="B145" t="inlineStr">
        <is>
          <t>Tuesday</t>
        </is>
      </c>
      <c r="C145" t="inlineStr">
        <is>
          <t>Week5-Sep-2025</t>
        </is>
      </c>
      <c r="D145" s="78" t="n">
        <v>45901</v>
      </c>
      <c r="E145" t="inlineStr">
        <is>
          <t>Q2FY26</t>
        </is>
      </c>
      <c r="F145" t="inlineStr">
        <is>
          <t>01-Oct-2025</t>
        </is>
      </c>
      <c r="G145" t="inlineStr">
        <is>
          <t>Wednesday</t>
        </is>
      </c>
      <c r="H145" t="inlineStr">
        <is>
          <t>Weekly - Wednesday</t>
        </is>
      </c>
      <c r="I145" t="inlineStr">
        <is>
          <t>Weekly - Wednesday</t>
        </is>
      </c>
      <c r="J145" t="inlineStr">
        <is>
          <t>Month+1 Expiry</t>
        </is>
      </c>
      <c r="K145" s="25" t="n">
        <v>30746266</v>
      </c>
      <c r="L145" s="26" t="n">
        <v>49621.3819</v>
      </c>
      <c r="M145" s="26" t="n">
        <v>83.9135</v>
      </c>
    </row>
    <row r="146" ht="16" customHeight="1">
      <c r="A146" t="inlineStr">
        <is>
          <t>30-Sep-2025</t>
        </is>
      </c>
      <c r="B146" t="inlineStr">
        <is>
          <t>Tuesday</t>
        </is>
      </c>
      <c r="C146" t="inlineStr">
        <is>
          <t>Week5-Sep-2025</t>
        </is>
      </c>
      <c r="D146" s="78" t="n">
        <v>45901</v>
      </c>
      <c r="E146" t="inlineStr">
        <is>
          <t>Q2FY26</t>
        </is>
      </c>
      <c r="F146" t="inlineStr">
        <is>
          <t>09-Oct-2025</t>
        </is>
      </c>
      <c r="G146" t="inlineStr">
        <is>
          <t>Thursday</t>
        </is>
      </c>
      <c r="H146" t="inlineStr">
        <is>
          <t>Weekly - Thursday</t>
        </is>
      </c>
      <c r="I146" t="inlineStr">
        <is>
          <t>Weekly - Thursday</t>
        </is>
      </c>
      <c r="J146" t="inlineStr">
        <is>
          <t>Month+1 Expiry</t>
        </is>
      </c>
      <c r="K146" s="25" t="n">
        <v>306984</v>
      </c>
      <c r="L146" s="26" t="n">
        <v>498.2736</v>
      </c>
      <c r="M146" s="26" t="n">
        <v>1.712</v>
      </c>
    </row>
    <row r="147" ht="16" customHeight="1">
      <c r="A147" t="inlineStr">
        <is>
          <t>30-Sep-2025</t>
        </is>
      </c>
      <c r="B147" t="inlineStr">
        <is>
          <t>Tuesday</t>
        </is>
      </c>
      <c r="C147" t="inlineStr">
        <is>
          <t>Week5-Sep-2025</t>
        </is>
      </c>
      <c r="D147" s="78" t="n">
        <v>45901</v>
      </c>
      <c r="E147" t="inlineStr">
        <is>
          <t>Q2FY26</t>
        </is>
      </c>
      <c r="F147" t="inlineStr">
        <is>
          <t>16-Oct-2025</t>
        </is>
      </c>
      <c r="G147" t="inlineStr">
        <is>
          <t>Thursday</t>
        </is>
      </c>
      <c r="H147" t="inlineStr">
        <is>
          <t>Weekly - Thursday</t>
        </is>
      </c>
      <c r="I147" t="inlineStr">
        <is>
          <t>Weekly - Thursday</t>
        </is>
      </c>
      <c r="J147" t="inlineStr">
        <is>
          <t>Month+1 Expiry</t>
        </is>
      </c>
      <c r="K147" s="25" t="n">
        <v>1959</v>
      </c>
      <c r="L147" s="26" t="n">
        <v>3.1938</v>
      </c>
      <c r="M147" s="26" t="n">
        <v>0.0132</v>
      </c>
    </row>
    <row r="148" ht="16" customHeight="1">
      <c r="A148" t="inlineStr">
        <is>
          <t>30-Sep-2025</t>
        </is>
      </c>
      <c r="B148" t="inlineStr">
        <is>
          <t>Tuesday</t>
        </is>
      </c>
      <c r="C148" t="inlineStr">
        <is>
          <t>Week5-Sep-2025</t>
        </is>
      </c>
      <c r="D148" s="78" t="n">
        <v>45901</v>
      </c>
      <c r="E148" t="inlineStr">
        <is>
          <t>Q2FY26</t>
        </is>
      </c>
      <c r="F148" t="inlineStr">
        <is>
          <t>23-Oct-2025</t>
        </is>
      </c>
      <c r="G148" t="inlineStr">
        <is>
          <t>Thursday</t>
        </is>
      </c>
      <c r="H148" t="inlineStr">
        <is>
          <t>Weekly - Thursday</t>
        </is>
      </c>
      <c r="I148" t="inlineStr">
        <is>
          <t>Weekly - Thursday</t>
        </is>
      </c>
      <c r="J148" t="inlineStr">
        <is>
          <t>Month+1 Expiry</t>
        </is>
      </c>
      <c r="K148" s="25" t="n">
        <v>9</v>
      </c>
      <c r="L148" s="26" t="n">
        <v>0.0148</v>
      </c>
      <c r="M148" s="26" t="n">
        <v>0.0001</v>
      </c>
    </row>
    <row r="149" ht="16" customHeight="1">
      <c r="A149" t="inlineStr">
        <is>
          <t>30-Sep-2025</t>
        </is>
      </c>
      <c r="B149" t="inlineStr">
        <is>
          <t>Tuesday</t>
        </is>
      </c>
      <c r="C149" t="inlineStr">
        <is>
          <t>Week5-Sep-2025</t>
        </is>
      </c>
      <c r="D149" s="78" t="n">
        <v>45901</v>
      </c>
      <c r="E149" t="inlineStr">
        <is>
          <t>Q2FY26</t>
        </is>
      </c>
      <c r="F149" t="inlineStr">
        <is>
          <t>30-Oct-2025</t>
        </is>
      </c>
      <c r="G149" t="inlineStr">
        <is>
          <t>Thursday</t>
        </is>
      </c>
      <c r="H149" t="inlineStr">
        <is>
          <t>Monthly - Thursday</t>
        </is>
      </c>
      <c r="I149" t="inlineStr">
        <is>
          <t>Monthly - Thursday</t>
        </is>
      </c>
      <c r="J149" t="inlineStr">
        <is>
          <t>Month+1 Expiry</t>
        </is>
      </c>
      <c r="K149" s="25" t="n">
        <v>11030</v>
      </c>
      <c r="L149" s="26" t="n">
        <v>18.0285</v>
      </c>
      <c r="M149" s="26" t="n">
        <v>0.1263</v>
      </c>
    </row>
    <row r="150" ht="16" customHeight="1">
      <c r="A150" t="inlineStr">
        <is>
          <t>30-Sep-2025</t>
        </is>
      </c>
      <c r="B150" t="inlineStr">
        <is>
          <t>Tuesday</t>
        </is>
      </c>
      <c r="C150" t="inlineStr">
        <is>
          <t>Week5-Sep-2025</t>
        </is>
      </c>
      <c r="D150" s="78" t="n">
        <v>45901</v>
      </c>
      <c r="E150" t="inlineStr">
        <is>
          <t>Q2FY26</t>
        </is>
      </c>
      <c r="F150" t="inlineStr">
        <is>
          <t>06-Nov-2025</t>
        </is>
      </c>
      <c r="G150" t="inlineStr">
        <is>
          <t>Thursday</t>
        </is>
      </c>
      <c r="H150" t="inlineStr">
        <is>
          <t>Weekly - Thursday</t>
        </is>
      </c>
      <c r="I150" t="inlineStr">
        <is>
          <t>Weekly - Thursday</t>
        </is>
      </c>
      <c r="J150" t="inlineStr">
        <is>
          <t>Month+2 Expiry</t>
        </is>
      </c>
      <c r="K150" s="25" t="n">
        <v>1</v>
      </c>
      <c r="L150" s="26" t="n">
        <v>0.0015</v>
      </c>
      <c r="M150" s="26" t="n">
        <v>0</v>
      </c>
    </row>
    <row r="151" ht="16" customHeight="1">
      <c r="A151" t="inlineStr">
        <is>
          <t>01-Oct-2025</t>
        </is>
      </c>
      <c r="B151" t="inlineStr">
        <is>
          <t>Wednesday</t>
        </is>
      </c>
      <c r="C151" t="inlineStr">
        <is>
          <t>Week1-Oct-2025</t>
        </is>
      </c>
      <c r="D151" s="78" t="n">
        <v>45931</v>
      </c>
      <c r="E151" t="inlineStr">
        <is>
          <t>Q3FY26</t>
        </is>
      </c>
      <c r="F151" t="inlineStr">
        <is>
          <t>01-Oct-2025</t>
        </is>
      </c>
      <c r="G151" t="inlineStr">
        <is>
          <t>Wednesday</t>
        </is>
      </c>
      <c r="H151" t="inlineStr">
        <is>
          <t>Weekly - Wednesday</t>
        </is>
      </c>
      <c r="I151" t="inlineStr">
        <is>
          <t>Weekly - Wednesday</t>
        </is>
      </c>
      <c r="J151" t="inlineStr">
        <is>
          <t>Same Month Expiry</t>
        </is>
      </c>
      <c r="K151" s="25" t="n">
        <v>410094220</v>
      </c>
      <c r="L151" s="26" t="n">
        <v>662734.406</v>
      </c>
      <c r="M151" s="26" t="n">
        <v>410.4363</v>
      </c>
    </row>
    <row r="152" ht="16" customHeight="1">
      <c r="A152" t="inlineStr">
        <is>
          <t>01-Oct-2025</t>
        </is>
      </c>
      <c r="B152" t="inlineStr">
        <is>
          <t>Wednesday</t>
        </is>
      </c>
      <c r="C152" t="inlineStr">
        <is>
          <t>Week1-Oct-2025</t>
        </is>
      </c>
      <c r="D152" s="78" t="n">
        <v>45931</v>
      </c>
      <c r="E152" t="inlineStr">
        <is>
          <t>Q3FY26</t>
        </is>
      </c>
      <c r="F152" t="inlineStr">
        <is>
          <t>09-Oct-2025</t>
        </is>
      </c>
      <c r="G152" t="inlineStr">
        <is>
          <t>Thursday</t>
        </is>
      </c>
      <c r="H152" t="inlineStr">
        <is>
          <t>Weekly - Thursday</t>
        </is>
      </c>
      <c r="I152" t="inlineStr">
        <is>
          <t>Weekly - Thursday</t>
        </is>
      </c>
      <c r="J152" t="inlineStr">
        <is>
          <t>Same Month Expiry</t>
        </is>
      </c>
      <c r="K152" s="25" t="n">
        <v>1943067</v>
      </c>
      <c r="L152" s="26" t="n">
        <v>3141.0674</v>
      </c>
      <c r="M152" s="26" t="n">
        <v>8.604900000000001</v>
      </c>
    </row>
    <row r="153" ht="16" customHeight="1">
      <c r="A153" t="inlineStr">
        <is>
          <t>01-Oct-2025</t>
        </is>
      </c>
      <c r="B153" t="inlineStr">
        <is>
          <t>Wednesday</t>
        </is>
      </c>
      <c r="C153" t="inlineStr">
        <is>
          <t>Week1-Oct-2025</t>
        </is>
      </c>
      <c r="D153" s="78" t="n">
        <v>45931</v>
      </c>
      <c r="E153" t="inlineStr">
        <is>
          <t>Q3FY26</t>
        </is>
      </c>
      <c r="F153" t="inlineStr">
        <is>
          <t>16-Oct-2025</t>
        </is>
      </c>
      <c r="G153" t="inlineStr">
        <is>
          <t>Thursday</t>
        </is>
      </c>
      <c r="H153" t="inlineStr">
        <is>
          <t>Weekly - Thursday</t>
        </is>
      </c>
      <c r="I153" t="inlineStr">
        <is>
          <t>Weekly - Thursday</t>
        </is>
      </c>
      <c r="J153" t="inlineStr">
        <is>
          <t>Same Month Expiry</t>
        </is>
      </c>
      <c r="K153" s="25" t="n">
        <v>12850</v>
      </c>
      <c r="L153" s="26" t="n">
        <v>20.961</v>
      </c>
      <c r="M153" s="26" t="n">
        <v>0.0993</v>
      </c>
    </row>
    <row r="154" ht="16" customHeight="1">
      <c r="A154" t="inlineStr">
        <is>
          <t>01-Oct-2025</t>
        </is>
      </c>
      <c r="B154" t="inlineStr">
        <is>
          <t>Wednesday</t>
        </is>
      </c>
      <c r="C154" t="inlineStr">
        <is>
          <t>Week1-Oct-2025</t>
        </is>
      </c>
      <c r="D154" s="78" t="n">
        <v>45931</v>
      </c>
      <c r="E154" t="inlineStr">
        <is>
          <t>Q3FY26</t>
        </is>
      </c>
      <c r="F154" t="inlineStr">
        <is>
          <t>23-Oct-2025</t>
        </is>
      </c>
      <c r="G154" t="inlineStr">
        <is>
          <t>Thursday</t>
        </is>
      </c>
      <c r="H154" t="inlineStr">
        <is>
          <t>Weekly - Thursday</t>
        </is>
      </c>
      <c r="I154" t="inlineStr">
        <is>
          <t>Weekly - Thursday</t>
        </is>
      </c>
      <c r="J154" t="inlineStr">
        <is>
          <t>Same Month Expiry</t>
        </is>
      </c>
      <c r="K154" s="25" t="n">
        <v>7222</v>
      </c>
      <c r="L154" s="26" t="n">
        <v>11.8907</v>
      </c>
      <c r="M154" s="26" t="n">
        <v>0.0788</v>
      </c>
    </row>
    <row r="155" ht="16" customHeight="1">
      <c r="A155" t="inlineStr">
        <is>
          <t>01-Oct-2025</t>
        </is>
      </c>
      <c r="B155" t="inlineStr">
        <is>
          <t>Wednesday</t>
        </is>
      </c>
      <c r="C155" t="inlineStr">
        <is>
          <t>Week1-Oct-2025</t>
        </is>
      </c>
      <c r="D155" s="78" t="n">
        <v>45931</v>
      </c>
      <c r="E155" t="inlineStr">
        <is>
          <t>Q3FY26</t>
        </is>
      </c>
      <c r="F155" t="inlineStr">
        <is>
          <t>30-Oct-2025</t>
        </is>
      </c>
      <c r="G155" t="inlineStr">
        <is>
          <t>Thursday</t>
        </is>
      </c>
      <c r="H155" t="inlineStr">
        <is>
          <t>Monthly - Thursday</t>
        </is>
      </c>
      <c r="I155" t="inlineStr">
        <is>
          <t>Monthly - Thursday</t>
        </is>
      </c>
      <c r="J155" t="inlineStr">
        <is>
          <t>Same Month Expiry</t>
        </is>
      </c>
      <c r="K155" s="25" t="n">
        <v>30128</v>
      </c>
      <c r="L155" s="26" t="n">
        <v>49.3146</v>
      </c>
      <c r="M155" s="26" t="n">
        <v>0.3315</v>
      </c>
    </row>
    <row r="156" ht="16" customHeight="1">
      <c r="A156" t="inlineStr">
        <is>
          <t>01-Oct-2025</t>
        </is>
      </c>
      <c r="B156" t="inlineStr">
        <is>
          <t>Wednesday</t>
        </is>
      </c>
      <c r="C156" t="inlineStr">
        <is>
          <t>Week1-Oct-2025</t>
        </is>
      </c>
      <c r="D156" s="78" t="n">
        <v>45931</v>
      </c>
      <c r="E156" t="inlineStr">
        <is>
          <t>Q3FY26</t>
        </is>
      </c>
      <c r="F156" t="inlineStr">
        <is>
          <t>06-Nov-2025</t>
        </is>
      </c>
      <c r="G156" t="inlineStr">
        <is>
          <t>Thursday</t>
        </is>
      </c>
      <c r="H156" t="inlineStr">
        <is>
          <t>Weekly - Thursday</t>
        </is>
      </c>
      <c r="I156" t="inlineStr">
        <is>
          <t>Weekly - Thursday</t>
        </is>
      </c>
      <c r="J156" t="inlineStr">
        <is>
          <t>Month+1 Expiry</t>
        </is>
      </c>
      <c r="K156" s="25" t="n">
        <v>3</v>
      </c>
      <c r="L156" s="26" t="n">
        <v>0.0045</v>
      </c>
      <c r="M156" s="26" t="n">
        <v>0</v>
      </c>
    </row>
    <row r="157" ht="16" customHeight="1">
      <c r="A157" t="inlineStr">
        <is>
          <t>03-Oct-2025</t>
        </is>
      </c>
      <c r="B157" t="inlineStr">
        <is>
          <t>Friday</t>
        </is>
      </c>
      <c r="C157" t="inlineStr">
        <is>
          <t>Week1-Oct-2025</t>
        </is>
      </c>
      <c r="D157" s="78" t="n">
        <v>45931</v>
      </c>
      <c r="E157" t="inlineStr">
        <is>
          <t>Q3FY26</t>
        </is>
      </c>
      <c r="F157" t="inlineStr">
        <is>
          <t>09-Oct-2025</t>
        </is>
      </c>
      <c r="G157" t="inlineStr">
        <is>
          <t>Thursday</t>
        </is>
      </c>
      <c r="H157" t="inlineStr">
        <is>
          <t>Weekly - Thursday</t>
        </is>
      </c>
      <c r="I157" t="inlineStr">
        <is>
          <t>Weekly - Thursday</t>
        </is>
      </c>
      <c r="J157" t="inlineStr">
        <is>
          <t>Same Month Expiry</t>
        </is>
      </c>
      <c r="K157" s="25" t="n">
        <v>20807348</v>
      </c>
      <c r="L157" s="26" t="n">
        <v>33824.7911</v>
      </c>
      <c r="M157" s="26" t="n">
        <v>84.6704</v>
      </c>
    </row>
    <row r="158" ht="16" customHeight="1">
      <c r="A158" t="inlineStr">
        <is>
          <t>03-Oct-2025</t>
        </is>
      </c>
      <c r="B158" t="inlineStr">
        <is>
          <t>Friday</t>
        </is>
      </c>
      <c r="C158" t="inlineStr">
        <is>
          <t>Week1-Oct-2025</t>
        </is>
      </c>
      <c r="D158" s="78" t="n">
        <v>45931</v>
      </c>
      <c r="E158" t="inlineStr">
        <is>
          <t>Q3FY26</t>
        </is>
      </c>
      <c r="F158" t="inlineStr">
        <is>
          <t>16-Oct-2025</t>
        </is>
      </c>
      <c r="G158" t="inlineStr">
        <is>
          <t>Thursday</t>
        </is>
      </c>
      <c r="H158" t="inlineStr">
        <is>
          <t>Weekly - Thursday</t>
        </is>
      </c>
      <c r="I158" t="inlineStr">
        <is>
          <t>Weekly - Thursday</t>
        </is>
      </c>
      <c r="J158" t="inlineStr">
        <is>
          <t>Same Month Expiry</t>
        </is>
      </c>
      <c r="K158" s="25" t="n">
        <v>67891</v>
      </c>
      <c r="L158" s="26" t="n">
        <v>110.8409</v>
      </c>
      <c r="M158" s="26" t="n">
        <v>0.4629</v>
      </c>
    </row>
    <row r="159" ht="16" customHeight="1">
      <c r="A159" t="inlineStr">
        <is>
          <t>03-Oct-2025</t>
        </is>
      </c>
      <c r="B159" t="inlineStr">
        <is>
          <t>Friday</t>
        </is>
      </c>
      <c r="C159" t="inlineStr">
        <is>
          <t>Week1-Oct-2025</t>
        </is>
      </c>
      <c r="D159" s="78" t="n">
        <v>45931</v>
      </c>
      <c r="E159" t="inlineStr">
        <is>
          <t>Q3FY26</t>
        </is>
      </c>
      <c r="F159" t="inlineStr">
        <is>
          <t>23-Oct-2025</t>
        </is>
      </c>
      <c r="G159" t="inlineStr">
        <is>
          <t>Thursday</t>
        </is>
      </c>
      <c r="H159" t="inlineStr">
        <is>
          <t>Weekly - Thursday</t>
        </is>
      </c>
      <c r="I159" t="inlineStr">
        <is>
          <t>Weekly - Thursday</t>
        </is>
      </c>
      <c r="J159" t="inlineStr">
        <is>
          <t>Same Month Expiry</t>
        </is>
      </c>
      <c r="K159" s="25" t="n">
        <v>12159</v>
      </c>
      <c r="L159" s="26" t="n">
        <v>20.0018</v>
      </c>
      <c r="M159" s="26" t="n">
        <v>0.1176</v>
      </c>
    </row>
    <row r="160" ht="16" customHeight="1">
      <c r="A160" t="inlineStr">
        <is>
          <t>03-Oct-2025</t>
        </is>
      </c>
      <c r="B160" t="inlineStr">
        <is>
          <t>Friday</t>
        </is>
      </c>
      <c r="C160" t="inlineStr">
        <is>
          <t>Week1-Oct-2025</t>
        </is>
      </c>
      <c r="D160" s="78" t="n">
        <v>45931</v>
      </c>
      <c r="E160" t="inlineStr">
        <is>
          <t>Q3FY26</t>
        </is>
      </c>
      <c r="F160" t="inlineStr">
        <is>
          <t>30-Oct-2025</t>
        </is>
      </c>
      <c r="G160" t="inlineStr">
        <is>
          <t>Thursday</t>
        </is>
      </c>
      <c r="H160" t="inlineStr">
        <is>
          <t>Monthly - Thursday</t>
        </is>
      </c>
      <c r="I160" t="inlineStr">
        <is>
          <t>Monthly - Thursday</t>
        </is>
      </c>
      <c r="J160" t="inlineStr">
        <is>
          <t>Same Month Expiry</t>
        </is>
      </c>
      <c r="K160" s="25" t="n">
        <v>25341</v>
      </c>
      <c r="L160" s="26" t="n">
        <v>41.6053</v>
      </c>
      <c r="M160" s="26" t="n">
        <v>0.2249</v>
      </c>
    </row>
    <row r="161" ht="16" customHeight="1">
      <c r="A161" t="inlineStr">
        <is>
          <t>03-Oct-2025</t>
        </is>
      </c>
      <c r="B161" t="inlineStr">
        <is>
          <t>Friday</t>
        </is>
      </c>
      <c r="C161" t="inlineStr">
        <is>
          <t>Week1-Oct-2025</t>
        </is>
      </c>
      <c r="D161" s="78" t="n">
        <v>45931</v>
      </c>
      <c r="E161" t="inlineStr">
        <is>
          <t>Q3FY26</t>
        </is>
      </c>
      <c r="F161" t="inlineStr">
        <is>
          <t>06-Nov-2025</t>
        </is>
      </c>
      <c r="G161" t="inlineStr">
        <is>
          <t>Thursday</t>
        </is>
      </c>
      <c r="H161" t="inlineStr">
        <is>
          <t>Weekly - Thursday</t>
        </is>
      </c>
      <c r="I161" t="inlineStr">
        <is>
          <t>Weekly - Thursday</t>
        </is>
      </c>
      <c r="J161" t="inlineStr">
        <is>
          <t>Month+1 Expiry</t>
        </is>
      </c>
      <c r="K161" s="25" t="n">
        <v>0</v>
      </c>
      <c r="L161" s="26" t="n">
        <v>0</v>
      </c>
      <c r="M161" s="26" t="n">
        <v>0</v>
      </c>
    </row>
    <row r="162" ht="16" customHeight="1">
      <c r="A162" t="inlineStr">
        <is>
          <t>06-Oct-2025</t>
        </is>
      </c>
      <c r="B162" t="inlineStr">
        <is>
          <t>Monday</t>
        </is>
      </c>
      <c r="C162" t="inlineStr">
        <is>
          <t>Week1-Oct-2025</t>
        </is>
      </c>
      <c r="D162" s="78" t="n">
        <v>45931</v>
      </c>
      <c r="E162" t="inlineStr">
        <is>
          <t>Q3FY26</t>
        </is>
      </c>
      <c r="F162" t="inlineStr">
        <is>
          <t>09-Oct-2025</t>
        </is>
      </c>
      <c r="G162" t="inlineStr">
        <is>
          <t>Thursday</t>
        </is>
      </c>
      <c r="H162" t="inlineStr">
        <is>
          <t>Weekly - Thursday</t>
        </is>
      </c>
      <c r="I162" t="inlineStr">
        <is>
          <t>Weekly - Thursday</t>
        </is>
      </c>
      <c r="J162" t="inlineStr">
        <is>
          <t>Same Month Expiry</t>
        </is>
      </c>
      <c r="K162" s="25" t="n">
        <v>26245699</v>
      </c>
      <c r="L162" s="26" t="n">
        <v>42878.2035</v>
      </c>
      <c r="M162" s="26" t="n">
        <v>86.59829999999999</v>
      </c>
    </row>
    <row r="163" ht="16" customHeight="1">
      <c r="A163" t="inlineStr">
        <is>
          <t>06-Oct-2025</t>
        </is>
      </c>
      <c r="B163" t="inlineStr">
        <is>
          <t>Monday</t>
        </is>
      </c>
      <c r="C163" t="inlineStr">
        <is>
          <t>Week1-Oct-2025</t>
        </is>
      </c>
      <c r="D163" s="78" t="n">
        <v>45931</v>
      </c>
      <c r="E163" t="inlineStr">
        <is>
          <t>Q3FY26</t>
        </is>
      </c>
      <c r="F163" t="inlineStr">
        <is>
          <t>16-Oct-2025</t>
        </is>
      </c>
      <c r="G163" t="inlineStr">
        <is>
          <t>Thursday</t>
        </is>
      </c>
      <c r="H163" t="inlineStr">
        <is>
          <t>Weekly - Thursday</t>
        </is>
      </c>
      <c r="I163" t="inlineStr">
        <is>
          <t>Weekly - Thursday</t>
        </is>
      </c>
      <c r="J163" t="inlineStr">
        <is>
          <t>Same Month Expiry</t>
        </is>
      </c>
      <c r="K163" s="25" t="n">
        <v>138152</v>
      </c>
      <c r="L163" s="26" t="n">
        <v>226.3222</v>
      </c>
      <c r="M163" s="26" t="n">
        <v>0.8006</v>
      </c>
    </row>
    <row r="164" ht="16" customHeight="1">
      <c r="A164" t="inlineStr">
        <is>
          <t>06-Oct-2025</t>
        </is>
      </c>
      <c r="B164" t="inlineStr">
        <is>
          <t>Monday</t>
        </is>
      </c>
      <c r="C164" t="inlineStr">
        <is>
          <t>Week1-Oct-2025</t>
        </is>
      </c>
      <c r="D164" s="78" t="n">
        <v>45931</v>
      </c>
      <c r="E164" t="inlineStr">
        <is>
          <t>Q3FY26</t>
        </is>
      </c>
      <c r="F164" t="inlineStr">
        <is>
          <t>23-Oct-2025</t>
        </is>
      </c>
      <c r="G164" t="inlineStr">
        <is>
          <t>Thursday</t>
        </is>
      </c>
      <c r="H164" t="inlineStr">
        <is>
          <t>Weekly - Thursday</t>
        </is>
      </c>
      <c r="I164" t="inlineStr">
        <is>
          <t>Weekly - Thursday</t>
        </is>
      </c>
      <c r="J164" t="inlineStr">
        <is>
          <t>Same Month Expiry</t>
        </is>
      </c>
      <c r="K164" s="25" t="n">
        <v>7293</v>
      </c>
      <c r="L164" s="26" t="n">
        <v>12.038</v>
      </c>
      <c r="M164" s="26" t="n">
        <v>0.0556</v>
      </c>
    </row>
    <row r="165" ht="16" customHeight="1">
      <c r="A165" t="inlineStr">
        <is>
          <t>06-Oct-2025</t>
        </is>
      </c>
      <c r="B165" t="inlineStr">
        <is>
          <t>Monday</t>
        </is>
      </c>
      <c r="C165" t="inlineStr">
        <is>
          <t>Week1-Oct-2025</t>
        </is>
      </c>
      <c r="D165" s="78" t="n">
        <v>45931</v>
      </c>
      <c r="E165" t="inlineStr">
        <is>
          <t>Q3FY26</t>
        </is>
      </c>
      <c r="F165" t="inlineStr">
        <is>
          <t>30-Oct-2025</t>
        </is>
      </c>
      <c r="G165" t="inlineStr">
        <is>
          <t>Thursday</t>
        </is>
      </c>
      <c r="H165" t="inlineStr">
        <is>
          <t>Monthly - Thursday</t>
        </is>
      </c>
      <c r="I165" t="inlineStr">
        <is>
          <t>Monthly - Thursday</t>
        </is>
      </c>
      <c r="J165" t="inlineStr">
        <is>
          <t>Same Month Expiry</t>
        </is>
      </c>
      <c r="K165" s="25" t="n">
        <v>27400</v>
      </c>
      <c r="L165" s="26" t="n">
        <v>45.1454</v>
      </c>
      <c r="M165" s="26" t="n">
        <v>0.25</v>
      </c>
    </row>
    <row r="166" ht="16" customHeight="1">
      <c r="A166" t="inlineStr">
        <is>
          <t>06-Oct-2025</t>
        </is>
      </c>
      <c r="B166" t="inlineStr">
        <is>
          <t>Monday</t>
        </is>
      </c>
      <c r="C166" t="inlineStr">
        <is>
          <t>Week1-Oct-2025</t>
        </is>
      </c>
      <c r="D166" s="78" t="n">
        <v>45931</v>
      </c>
      <c r="E166" t="inlineStr">
        <is>
          <t>Q3FY26</t>
        </is>
      </c>
      <c r="F166" t="inlineStr">
        <is>
          <t>06-Nov-2025</t>
        </is>
      </c>
      <c r="G166" t="inlineStr">
        <is>
          <t>Thursday</t>
        </is>
      </c>
      <c r="H166" t="inlineStr">
        <is>
          <t>Weekly - Thursday</t>
        </is>
      </c>
      <c r="I166" t="inlineStr">
        <is>
          <t>Weekly - Thursday</t>
        </is>
      </c>
      <c r="J166" t="inlineStr">
        <is>
          <t>Month+1 Expiry</t>
        </is>
      </c>
      <c r="K166" s="25" t="n">
        <v>1</v>
      </c>
      <c r="L166" s="26" t="n">
        <v>0.0015</v>
      </c>
      <c r="M166" s="26" t="n">
        <v>0</v>
      </c>
    </row>
    <row r="167" ht="16" customHeight="1">
      <c r="A167" t="inlineStr">
        <is>
          <t>06-Oct-2025</t>
        </is>
      </c>
      <c r="B167" t="inlineStr">
        <is>
          <t>Monday</t>
        </is>
      </c>
      <c r="C167" t="inlineStr">
        <is>
          <t>Week1-Oct-2025</t>
        </is>
      </c>
      <c r="D167" s="78" t="n">
        <v>45931</v>
      </c>
      <c r="E167" t="inlineStr">
        <is>
          <t>Q3FY26</t>
        </is>
      </c>
      <c r="F167" t="inlineStr">
        <is>
          <t>27-Nov-2025</t>
        </is>
      </c>
      <c r="G167" t="inlineStr">
        <is>
          <t>Thursday</t>
        </is>
      </c>
      <c r="H167" t="inlineStr">
        <is>
          <t>Monthly - Thursday</t>
        </is>
      </c>
      <c r="I167" t="inlineStr">
        <is>
          <t>Monthly - Thursday</t>
        </is>
      </c>
      <c r="J167" t="inlineStr">
        <is>
          <t>Month+1 Expiry</t>
        </is>
      </c>
      <c r="K167" s="25" t="n">
        <v>12</v>
      </c>
      <c r="L167" s="26" t="n">
        <v>0.0196</v>
      </c>
      <c r="M167" s="26" t="n">
        <v>0.0001</v>
      </c>
    </row>
    <row r="168" ht="16" customHeight="1">
      <c r="A168" t="inlineStr">
        <is>
          <t>07-Oct-2025</t>
        </is>
      </c>
      <c r="B168" t="inlineStr">
        <is>
          <t>Tuesday</t>
        </is>
      </c>
      <c r="C168" t="inlineStr">
        <is>
          <t>Week1-Oct-2025</t>
        </is>
      </c>
      <c r="D168" s="78" t="n">
        <v>45931</v>
      </c>
      <c r="E168" t="inlineStr">
        <is>
          <t>Q3FY26</t>
        </is>
      </c>
      <c r="F168" t="inlineStr">
        <is>
          <t>09-Oct-2025</t>
        </is>
      </c>
      <c r="G168" t="inlineStr">
        <is>
          <t>Thursday</t>
        </is>
      </c>
      <c r="H168" t="inlineStr">
        <is>
          <t>Weekly - Thursday</t>
        </is>
      </c>
      <c r="I168" t="inlineStr">
        <is>
          <t>Weekly - Thursday</t>
        </is>
      </c>
      <c r="J168" t="inlineStr">
        <is>
          <t>Same Month Expiry</t>
        </is>
      </c>
      <c r="K168" s="25" t="n">
        <v>38415008</v>
      </c>
      <c r="L168" s="26" t="n">
        <v>63087.4818</v>
      </c>
      <c r="M168" s="26" t="n">
        <v>104.4163</v>
      </c>
    </row>
    <row r="169" ht="16" customHeight="1">
      <c r="A169" t="inlineStr">
        <is>
          <t>07-Oct-2025</t>
        </is>
      </c>
      <c r="B169" t="inlineStr">
        <is>
          <t>Tuesday</t>
        </is>
      </c>
      <c r="C169" t="inlineStr">
        <is>
          <t>Week1-Oct-2025</t>
        </is>
      </c>
      <c r="D169" s="78" t="n">
        <v>45931</v>
      </c>
      <c r="E169" t="inlineStr">
        <is>
          <t>Q3FY26</t>
        </is>
      </c>
      <c r="F169" t="inlineStr">
        <is>
          <t>16-Oct-2025</t>
        </is>
      </c>
      <c r="G169" t="inlineStr">
        <is>
          <t>Thursday</t>
        </is>
      </c>
      <c r="H169" t="inlineStr">
        <is>
          <t>Weekly - Thursday</t>
        </is>
      </c>
      <c r="I169" t="inlineStr">
        <is>
          <t>Weekly - Thursday</t>
        </is>
      </c>
      <c r="J169" t="inlineStr">
        <is>
          <t>Same Month Expiry</t>
        </is>
      </c>
      <c r="K169" s="25" t="n">
        <v>292883</v>
      </c>
      <c r="L169" s="26" t="n">
        <v>481.4415</v>
      </c>
      <c r="M169" s="26" t="n">
        <v>1.4555</v>
      </c>
    </row>
    <row r="170" ht="16" customHeight="1">
      <c r="A170" t="inlineStr">
        <is>
          <t>07-Oct-2025</t>
        </is>
      </c>
      <c r="B170" t="inlineStr">
        <is>
          <t>Tuesday</t>
        </is>
      </c>
      <c r="C170" t="inlineStr">
        <is>
          <t>Week1-Oct-2025</t>
        </is>
      </c>
      <c r="D170" s="78" t="n">
        <v>45931</v>
      </c>
      <c r="E170" t="inlineStr">
        <is>
          <t>Q3FY26</t>
        </is>
      </c>
      <c r="F170" t="inlineStr">
        <is>
          <t>23-Oct-2025</t>
        </is>
      </c>
      <c r="G170" t="inlineStr">
        <is>
          <t>Thursday</t>
        </is>
      </c>
      <c r="H170" t="inlineStr">
        <is>
          <t>Weekly - Thursday</t>
        </is>
      </c>
      <c r="I170" t="inlineStr">
        <is>
          <t>Weekly - Thursday</t>
        </is>
      </c>
      <c r="J170" t="inlineStr">
        <is>
          <t>Same Month Expiry</t>
        </is>
      </c>
      <c r="K170" s="25" t="n">
        <v>6573</v>
      </c>
      <c r="L170" s="26" t="n">
        <v>10.8951</v>
      </c>
      <c r="M170" s="26" t="n">
        <v>0.0594</v>
      </c>
    </row>
    <row r="171" ht="16" customHeight="1">
      <c r="A171" t="inlineStr">
        <is>
          <t>07-Oct-2025</t>
        </is>
      </c>
      <c r="B171" t="inlineStr">
        <is>
          <t>Tuesday</t>
        </is>
      </c>
      <c r="C171" t="inlineStr">
        <is>
          <t>Week1-Oct-2025</t>
        </is>
      </c>
      <c r="D171" s="78" t="n">
        <v>45931</v>
      </c>
      <c r="E171" t="inlineStr">
        <is>
          <t>Q3FY26</t>
        </is>
      </c>
      <c r="F171" t="inlineStr">
        <is>
          <t>30-Oct-2025</t>
        </is>
      </c>
      <c r="G171" t="inlineStr">
        <is>
          <t>Thursday</t>
        </is>
      </c>
      <c r="H171" t="inlineStr">
        <is>
          <t>Monthly - Thursday</t>
        </is>
      </c>
      <c r="I171" t="inlineStr">
        <is>
          <t>Monthly - Thursday</t>
        </is>
      </c>
      <c r="J171" t="inlineStr">
        <is>
          <t>Same Month Expiry</t>
        </is>
      </c>
      <c r="K171" s="25" t="n">
        <v>26629</v>
      </c>
      <c r="L171" s="26" t="n">
        <v>44.0628</v>
      </c>
      <c r="M171" s="26" t="n">
        <v>0.2697</v>
      </c>
    </row>
    <row r="172" ht="16" customHeight="1">
      <c r="A172" t="inlineStr">
        <is>
          <t>07-Oct-2025</t>
        </is>
      </c>
      <c r="B172" t="inlineStr">
        <is>
          <t>Tuesday</t>
        </is>
      </c>
      <c r="C172" t="inlineStr">
        <is>
          <t>Week1-Oct-2025</t>
        </is>
      </c>
      <c r="D172" s="78" t="n">
        <v>45931</v>
      </c>
      <c r="E172" t="inlineStr">
        <is>
          <t>Q3FY26</t>
        </is>
      </c>
      <c r="F172" t="inlineStr">
        <is>
          <t>06-Nov-2025</t>
        </is>
      </c>
      <c r="G172" t="inlineStr">
        <is>
          <t>Thursday</t>
        </is>
      </c>
      <c r="H172" t="inlineStr">
        <is>
          <t>Weekly - Thursday</t>
        </is>
      </c>
      <c r="I172" t="inlineStr">
        <is>
          <t>Weekly - Thursday</t>
        </is>
      </c>
      <c r="J172" t="inlineStr">
        <is>
          <t>Month+1 Expiry</t>
        </is>
      </c>
      <c r="K172" s="25" t="n">
        <v>1</v>
      </c>
      <c r="L172" s="26" t="n">
        <v>0.0015</v>
      </c>
      <c r="M172" s="26" t="n">
        <v>0</v>
      </c>
    </row>
    <row r="173" ht="16" customHeight="1">
      <c r="A173" t="inlineStr">
        <is>
          <t>07-Oct-2025</t>
        </is>
      </c>
      <c r="B173" t="inlineStr">
        <is>
          <t>Tuesday</t>
        </is>
      </c>
      <c r="C173" t="inlineStr">
        <is>
          <t>Week1-Oct-2025</t>
        </is>
      </c>
      <c r="D173" s="78" t="n">
        <v>45931</v>
      </c>
      <c r="E173" t="inlineStr">
        <is>
          <t>Q3FY26</t>
        </is>
      </c>
      <c r="F173" t="inlineStr">
        <is>
          <t>27-Nov-2025</t>
        </is>
      </c>
      <c r="G173" t="inlineStr">
        <is>
          <t>Thursday</t>
        </is>
      </c>
      <c r="H173" t="inlineStr">
        <is>
          <t>Monthly - Thursday</t>
        </is>
      </c>
      <c r="I173" t="inlineStr">
        <is>
          <t>Monthly - Thursday</t>
        </is>
      </c>
      <c r="J173" t="inlineStr">
        <is>
          <t>Month+1 Expiry</t>
        </is>
      </c>
      <c r="K173" s="25" t="n">
        <v>34</v>
      </c>
      <c r="L173" s="26" t="n">
        <v>0.0559</v>
      </c>
      <c r="M173" s="26" t="n">
        <v>0.0005</v>
      </c>
    </row>
    <row r="174" ht="16" customHeight="1">
      <c r="A174" t="inlineStr">
        <is>
          <t>08-Oct-2025</t>
        </is>
      </c>
      <c r="B174" t="inlineStr">
        <is>
          <t>Wednesday</t>
        </is>
      </c>
      <c r="C174" t="inlineStr">
        <is>
          <t>Week2-Oct-2025</t>
        </is>
      </c>
      <c r="D174" s="78" t="n">
        <v>45931</v>
      </c>
      <c r="E174" t="inlineStr">
        <is>
          <t>Q3FY26</t>
        </is>
      </c>
      <c r="F174" t="inlineStr">
        <is>
          <t>09-Oct-2025</t>
        </is>
      </c>
      <c r="G174" t="inlineStr">
        <is>
          <t>Thursday</t>
        </is>
      </c>
      <c r="H174" t="inlineStr">
        <is>
          <t>Weekly - Thursday</t>
        </is>
      </c>
      <c r="I174" t="inlineStr">
        <is>
          <t>Weekly - Thursday</t>
        </is>
      </c>
      <c r="J174" t="inlineStr">
        <is>
          <t>Same Month Expiry</t>
        </is>
      </c>
      <c r="K174" s="25" t="n">
        <v>153866658</v>
      </c>
      <c r="L174" s="26" t="n">
        <v>252404.4841</v>
      </c>
      <c r="M174" s="26" t="n">
        <v>316.4053</v>
      </c>
    </row>
    <row r="175" ht="16" customHeight="1">
      <c r="A175" t="inlineStr">
        <is>
          <t>08-Oct-2025</t>
        </is>
      </c>
      <c r="B175" t="inlineStr">
        <is>
          <t>Wednesday</t>
        </is>
      </c>
      <c r="C175" t="inlineStr">
        <is>
          <t>Week2-Oct-2025</t>
        </is>
      </c>
      <c r="D175" s="78" t="n">
        <v>45931</v>
      </c>
      <c r="E175" t="inlineStr">
        <is>
          <t>Q3FY26</t>
        </is>
      </c>
      <c r="F175" t="inlineStr">
        <is>
          <t>16-Oct-2025</t>
        </is>
      </c>
      <c r="G175" t="inlineStr">
        <is>
          <t>Thursday</t>
        </is>
      </c>
      <c r="H175" t="inlineStr">
        <is>
          <t>Weekly - Thursday</t>
        </is>
      </c>
      <c r="I175" t="inlineStr">
        <is>
          <t>Weekly - Thursday</t>
        </is>
      </c>
      <c r="J175" t="inlineStr">
        <is>
          <t>Same Month Expiry</t>
        </is>
      </c>
      <c r="K175" s="25" t="n">
        <v>712809</v>
      </c>
      <c r="L175" s="26" t="n">
        <v>1172.0831</v>
      </c>
      <c r="M175" s="26" t="n">
        <v>3.274</v>
      </c>
    </row>
    <row r="176" ht="16" customHeight="1">
      <c r="A176" t="inlineStr">
        <is>
          <t>08-Oct-2025</t>
        </is>
      </c>
      <c r="B176" t="inlineStr">
        <is>
          <t>Wednesday</t>
        </is>
      </c>
      <c r="C176" t="inlineStr">
        <is>
          <t>Week2-Oct-2025</t>
        </is>
      </c>
      <c r="D176" s="78" t="n">
        <v>45931</v>
      </c>
      <c r="E176" t="inlineStr">
        <is>
          <t>Q3FY26</t>
        </is>
      </c>
      <c r="F176" t="inlineStr">
        <is>
          <t>23-Oct-2025</t>
        </is>
      </c>
      <c r="G176" t="inlineStr">
        <is>
          <t>Thursday</t>
        </is>
      </c>
      <c r="H176" t="inlineStr">
        <is>
          <t>Weekly - Thursday</t>
        </is>
      </c>
      <c r="I176" t="inlineStr">
        <is>
          <t>Weekly - Thursday</t>
        </is>
      </c>
      <c r="J176" t="inlineStr">
        <is>
          <t>Same Month Expiry</t>
        </is>
      </c>
      <c r="K176" s="25" t="n">
        <v>9551</v>
      </c>
      <c r="L176" s="26" t="n">
        <v>15.7644</v>
      </c>
      <c r="M176" s="26" t="n">
        <v>0.08110000000000001</v>
      </c>
    </row>
    <row r="177" ht="16" customHeight="1">
      <c r="A177" t="inlineStr">
        <is>
          <t>08-Oct-2025</t>
        </is>
      </c>
      <c r="B177" t="inlineStr">
        <is>
          <t>Wednesday</t>
        </is>
      </c>
      <c r="C177" t="inlineStr">
        <is>
          <t>Week2-Oct-2025</t>
        </is>
      </c>
      <c r="D177" s="78" t="n">
        <v>45931</v>
      </c>
      <c r="E177" t="inlineStr">
        <is>
          <t>Q3FY26</t>
        </is>
      </c>
      <c r="F177" t="inlineStr">
        <is>
          <t>30-Oct-2025</t>
        </is>
      </c>
      <c r="G177" t="inlineStr">
        <is>
          <t>Thursday</t>
        </is>
      </c>
      <c r="H177" t="inlineStr">
        <is>
          <t>Monthly - Thursday</t>
        </is>
      </c>
      <c r="I177" t="inlineStr">
        <is>
          <t>Monthly - Thursday</t>
        </is>
      </c>
      <c r="J177" t="inlineStr">
        <is>
          <t>Same Month Expiry</t>
        </is>
      </c>
      <c r="K177" s="25" t="n">
        <v>25074</v>
      </c>
      <c r="L177" s="26" t="n">
        <v>41.3847</v>
      </c>
      <c r="M177" s="26" t="n">
        <v>0.2454</v>
      </c>
    </row>
    <row r="178" ht="16" customHeight="1">
      <c r="A178" t="inlineStr">
        <is>
          <t>08-Oct-2025</t>
        </is>
      </c>
      <c r="B178" t="inlineStr">
        <is>
          <t>Wednesday</t>
        </is>
      </c>
      <c r="C178" t="inlineStr">
        <is>
          <t>Week2-Oct-2025</t>
        </is>
      </c>
      <c r="D178" s="78" t="n">
        <v>45931</v>
      </c>
      <c r="E178" t="inlineStr">
        <is>
          <t>Q3FY26</t>
        </is>
      </c>
      <c r="F178" t="inlineStr">
        <is>
          <t>06-Nov-2025</t>
        </is>
      </c>
      <c r="G178" t="inlineStr">
        <is>
          <t>Thursday</t>
        </is>
      </c>
      <c r="H178" t="inlineStr">
        <is>
          <t>Weekly - Thursday</t>
        </is>
      </c>
      <c r="I178" t="inlineStr">
        <is>
          <t>Weekly - Thursday</t>
        </is>
      </c>
      <c r="J178" t="inlineStr">
        <is>
          <t>Month+1 Expiry</t>
        </is>
      </c>
      <c r="K178" s="25" t="n">
        <v>2</v>
      </c>
      <c r="L178" s="26" t="n">
        <v>0.0033</v>
      </c>
      <c r="M178" s="26" t="n">
        <v>0</v>
      </c>
    </row>
    <row r="179" ht="16" customHeight="1">
      <c r="A179" t="inlineStr">
        <is>
          <t>08-Oct-2025</t>
        </is>
      </c>
      <c r="B179" t="inlineStr">
        <is>
          <t>Wednesday</t>
        </is>
      </c>
      <c r="C179" t="inlineStr">
        <is>
          <t>Week2-Oct-2025</t>
        </is>
      </c>
      <c r="D179" s="78" t="n">
        <v>45931</v>
      </c>
      <c r="E179" t="inlineStr">
        <is>
          <t>Q3FY26</t>
        </is>
      </c>
      <c r="F179" t="inlineStr">
        <is>
          <t>20-Nov-2025</t>
        </is>
      </c>
      <c r="G179" t="inlineStr">
        <is>
          <t>Thursday</t>
        </is>
      </c>
      <c r="H179" t="inlineStr">
        <is>
          <t>Weekly - Thursday</t>
        </is>
      </c>
      <c r="I179" t="inlineStr">
        <is>
          <t>Weekly - Thursday</t>
        </is>
      </c>
      <c r="J179" t="inlineStr">
        <is>
          <t>Month+1 Expiry</t>
        </is>
      </c>
      <c r="K179" s="25" t="n">
        <v>10</v>
      </c>
      <c r="L179" s="26" t="n">
        <v>0.017</v>
      </c>
      <c r="M179" s="26" t="n">
        <v>0.0002</v>
      </c>
    </row>
    <row r="180" ht="16" customHeight="1">
      <c r="A180" t="inlineStr">
        <is>
          <t>08-Oct-2025</t>
        </is>
      </c>
      <c r="B180" t="inlineStr">
        <is>
          <t>Wednesday</t>
        </is>
      </c>
      <c r="C180" t="inlineStr">
        <is>
          <t>Week2-Oct-2025</t>
        </is>
      </c>
      <c r="D180" s="78" t="n">
        <v>45931</v>
      </c>
      <c r="E180" t="inlineStr">
        <is>
          <t>Q3FY26</t>
        </is>
      </c>
      <c r="F180" t="inlineStr">
        <is>
          <t>27-Nov-2025</t>
        </is>
      </c>
      <c r="G180" t="inlineStr">
        <is>
          <t>Thursday</t>
        </is>
      </c>
      <c r="H180" t="inlineStr">
        <is>
          <t>Monthly - Thursday</t>
        </is>
      </c>
      <c r="I180" t="inlineStr">
        <is>
          <t>Monthly - Thursday</t>
        </is>
      </c>
      <c r="J180" t="inlineStr">
        <is>
          <t>Month+1 Expiry</t>
        </is>
      </c>
      <c r="K180" s="25" t="n">
        <v>65</v>
      </c>
      <c r="L180" s="26" t="n">
        <v>0.1085</v>
      </c>
      <c r="M180" s="26" t="n">
        <v>0.0009</v>
      </c>
    </row>
    <row r="181" ht="16" customHeight="1">
      <c r="A181" t="inlineStr">
        <is>
          <t>09-Oct-2025</t>
        </is>
      </c>
      <c r="B181" t="inlineStr">
        <is>
          <t>Thursday</t>
        </is>
      </c>
      <c r="C181" t="inlineStr">
        <is>
          <t>Week2-Oct-2025</t>
        </is>
      </c>
      <c r="D181" s="78" t="n">
        <v>45931</v>
      </c>
      <c r="E181" t="inlineStr">
        <is>
          <t>Q3FY26</t>
        </is>
      </c>
      <c r="F181" t="inlineStr">
        <is>
          <t>09-Oct-2025</t>
        </is>
      </c>
      <c r="G181" t="inlineStr">
        <is>
          <t>Thursday</t>
        </is>
      </c>
      <c r="H181" t="inlineStr">
        <is>
          <t>Weekly - Thursday</t>
        </is>
      </c>
      <c r="I181" t="inlineStr">
        <is>
          <t>Weekly - Thursday</t>
        </is>
      </c>
      <c r="J181" t="inlineStr">
        <is>
          <t>Same Month Expiry</t>
        </is>
      </c>
      <c r="K181" s="25" t="n">
        <v>447730234</v>
      </c>
      <c r="L181" s="26" t="n">
        <v>734746.836</v>
      </c>
      <c r="M181" s="26" t="n">
        <v>439.5426</v>
      </c>
    </row>
    <row r="182" ht="16" customHeight="1">
      <c r="A182" t="inlineStr">
        <is>
          <t>09-Oct-2025</t>
        </is>
      </c>
      <c r="B182" t="inlineStr">
        <is>
          <t>Thursday</t>
        </is>
      </c>
      <c r="C182" t="inlineStr">
        <is>
          <t>Week2-Oct-2025</t>
        </is>
      </c>
      <c r="D182" s="78" t="n">
        <v>45931</v>
      </c>
      <c r="E182" t="inlineStr">
        <is>
          <t>Q3FY26</t>
        </is>
      </c>
      <c r="F182" t="inlineStr">
        <is>
          <t>16-Oct-2025</t>
        </is>
      </c>
      <c r="G182" t="inlineStr">
        <is>
          <t>Thursday</t>
        </is>
      </c>
      <c r="H182" t="inlineStr">
        <is>
          <t>Weekly - Thursday</t>
        </is>
      </c>
      <c r="I182" t="inlineStr">
        <is>
          <t>Weekly - Thursday</t>
        </is>
      </c>
      <c r="J182" t="inlineStr">
        <is>
          <t>Same Month Expiry</t>
        </is>
      </c>
      <c r="K182" s="25" t="n">
        <v>2079840</v>
      </c>
      <c r="L182" s="26" t="n">
        <v>3414.554</v>
      </c>
      <c r="M182" s="26" t="n">
        <v>8.783799999999999</v>
      </c>
    </row>
    <row r="183" ht="16" customHeight="1">
      <c r="A183" t="inlineStr">
        <is>
          <t>09-Oct-2025</t>
        </is>
      </c>
      <c r="B183" t="inlineStr">
        <is>
          <t>Thursday</t>
        </is>
      </c>
      <c r="C183" t="inlineStr">
        <is>
          <t>Week2-Oct-2025</t>
        </is>
      </c>
      <c r="D183" s="78" t="n">
        <v>45931</v>
      </c>
      <c r="E183" t="inlineStr">
        <is>
          <t>Q3FY26</t>
        </is>
      </c>
      <c r="F183" t="inlineStr">
        <is>
          <t>23-Oct-2025</t>
        </is>
      </c>
      <c r="G183" t="inlineStr">
        <is>
          <t>Thursday</t>
        </is>
      </c>
      <c r="H183" t="inlineStr">
        <is>
          <t>Weekly - Thursday</t>
        </is>
      </c>
      <c r="I183" t="inlineStr">
        <is>
          <t>Weekly - Thursday</t>
        </is>
      </c>
      <c r="J183" t="inlineStr">
        <is>
          <t>Same Month Expiry</t>
        </is>
      </c>
      <c r="K183" s="25" t="n">
        <v>16011</v>
      </c>
      <c r="L183" s="26" t="n">
        <v>26.4701</v>
      </c>
      <c r="M183" s="26" t="n">
        <v>0.1168</v>
      </c>
    </row>
    <row r="184" ht="16" customHeight="1">
      <c r="A184" t="inlineStr">
        <is>
          <t>09-Oct-2025</t>
        </is>
      </c>
      <c r="B184" t="inlineStr">
        <is>
          <t>Thursday</t>
        </is>
      </c>
      <c r="C184" t="inlineStr">
        <is>
          <t>Week2-Oct-2025</t>
        </is>
      </c>
      <c r="D184" s="78" t="n">
        <v>45931</v>
      </c>
      <c r="E184" t="inlineStr">
        <is>
          <t>Q3FY26</t>
        </is>
      </c>
      <c r="F184" t="inlineStr">
        <is>
          <t>30-Oct-2025</t>
        </is>
      </c>
      <c r="G184" t="inlineStr">
        <is>
          <t>Thursday</t>
        </is>
      </c>
      <c r="H184" t="inlineStr">
        <is>
          <t>Monthly - Thursday</t>
        </is>
      </c>
      <c r="I184" t="inlineStr">
        <is>
          <t>Monthly - Thursday</t>
        </is>
      </c>
      <c r="J184" t="inlineStr">
        <is>
          <t>Same Month Expiry</t>
        </is>
      </c>
      <c r="K184" s="25" t="n">
        <v>22681</v>
      </c>
      <c r="L184" s="26" t="n">
        <v>37.4958</v>
      </c>
      <c r="M184" s="26" t="n">
        <v>0.2243</v>
      </c>
    </row>
    <row r="185" ht="16" customHeight="1">
      <c r="A185" t="inlineStr">
        <is>
          <t>09-Oct-2025</t>
        </is>
      </c>
      <c r="B185" t="inlineStr">
        <is>
          <t>Thursday</t>
        </is>
      </c>
      <c r="C185" t="inlineStr">
        <is>
          <t>Week2-Oct-2025</t>
        </is>
      </c>
      <c r="D185" s="78" t="n">
        <v>45931</v>
      </c>
      <c r="E185" t="inlineStr">
        <is>
          <t>Q3FY26</t>
        </is>
      </c>
      <c r="F185" t="inlineStr">
        <is>
          <t>06-Nov-2025</t>
        </is>
      </c>
      <c r="G185" t="inlineStr">
        <is>
          <t>Thursday</t>
        </is>
      </c>
      <c r="H185" t="inlineStr">
        <is>
          <t>Weekly - Thursday</t>
        </is>
      </c>
      <c r="I185" t="inlineStr">
        <is>
          <t>Weekly - Thursday</t>
        </is>
      </c>
      <c r="J185" t="inlineStr">
        <is>
          <t>Month+1 Expiry</t>
        </is>
      </c>
      <c r="K185" s="25" t="n">
        <v>0</v>
      </c>
      <c r="L185" s="26" t="n">
        <v>0</v>
      </c>
      <c r="M185" s="26" t="n">
        <v>0</v>
      </c>
    </row>
    <row r="186" ht="16" customHeight="1">
      <c r="A186" t="inlineStr">
        <is>
          <t>09-Oct-2025</t>
        </is>
      </c>
      <c r="B186" t="inlineStr">
        <is>
          <t>Thursday</t>
        </is>
      </c>
      <c r="C186" t="inlineStr">
        <is>
          <t>Week2-Oct-2025</t>
        </is>
      </c>
      <c r="D186" s="78" t="n">
        <v>45931</v>
      </c>
      <c r="E186" t="inlineStr">
        <is>
          <t>Q3FY26</t>
        </is>
      </c>
      <c r="F186" t="inlineStr">
        <is>
          <t>20-Nov-2025</t>
        </is>
      </c>
      <c r="G186" t="inlineStr">
        <is>
          <t>Thursday</t>
        </is>
      </c>
      <c r="H186" t="inlineStr">
        <is>
          <t>Weekly - Thursday</t>
        </is>
      </c>
      <c r="I186" t="inlineStr">
        <is>
          <t>Weekly - Thursday</t>
        </is>
      </c>
      <c r="J186" t="inlineStr">
        <is>
          <t>Month+1 Expiry</t>
        </is>
      </c>
      <c r="K186" s="25" t="n">
        <v>0</v>
      </c>
      <c r="L186" s="26" t="n">
        <v>0</v>
      </c>
      <c r="M186" s="26" t="n">
        <v>0</v>
      </c>
    </row>
    <row r="187" ht="16" customHeight="1">
      <c r="A187" t="inlineStr">
        <is>
          <t>09-Oct-2025</t>
        </is>
      </c>
      <c r="B187" t="inlineStr">
        <is>
          <t>Thursday</t>
        </is>
      </c>
      <c r="C187" t="inlineStr">
        <is>
          <t>Week2-Oct-2025</t>
        </is>
      </c>
      <c r="D187" s="78" t="n">
        <v>45931</v>
      </c>
      <c r="E187" t="inlineStr">
        <is>
          <t>Q3FY26</t>
        </is>
      </c>
      <c r="F187" t="inlineStr">
        <is>
          <t>27-Nov-2025</t>
        </is>
      </c>
      <c r="G187" t="inlineStr">
        <is>
          <t>Thursday</t>
        </is>
      </c>
      <c r="H187" t="inlineStr">
        <is>
          <t>Monthly - Thursday</t>
        </is>
      </c>
      <c r="I187" t="inlineStr">
        <is>
          <t>Monthly - Thursday</t>
        </is>
      </c>
      <c r="J187" t="inlineStr">
        <is>
          <t>Month+1 Expiry</t>
        </is>
      </c>
      <c r="K187" s="25" t="n">
        <v>28</v>
      </c>
      <c r="L187" s="26" t="n">
        <v>0.0464</v>
      </c>
      <c r="M187" s="26" t="n">
        <v>0.0005</v>
      </c>
    </row>
    <row r="188" ht="16" customHeight="1">
      <c r="A188" t="inlineStr">
        <is>
          <t>10-Oct-2025</t>
        </is>
      </c>
      <c r="B188" t="inlineStr">
        <is>
          <t>Friday</t>
        </is>
      </c>
      <c r="C188" t="inlineStr">
        <is>
          <t>Week2-Oct-2025</t>
        </is>
      </c>
      <c r="D188" s="78" t="n">
        <v>45931</v>
      </c>
      <c r="E188" t="inlineStr">
        <is>
          <t>Q3FY26</t>
        </is>
      </c>
      <c r="F188" t="inlineStr">
        <is>
          <t>16-Oct-2025</t>
        </is>
      </c>
      <c r="G188" t="inlineStr">
        <is>
          <t>Thursday</t>
        </is>
      </c>
      <c r="H188" t="inlineStr">
        <is>
          <t>Weekly - Thursday</t>
        </is>
      </c>
      <c r="I188" t="inlineStr">
        <is>
          <t>Weekly - Thursday</t>
        </is>
      </c>
      <c r="J188" t="inlineStr">
        <is>
          <t>Same Month Expiry</t>
        </is>
      </c>
      <c r="K188" s="25" t="n">
        <v>21427448</v>
      </c>
      <c r="L188" s="26" t="n">
        <v>35455.4031</v>
      </c>
      <c r="M188" s="26" t="n">
        <v>90.4053</v>
      </c>
    </row>
    <row r="189" ht="16" customHeight="1">
      <c r="A189" t="inlineStr">
        <is>
          <t>10-Oct-2025</t>
        </is>
      </c>
      <c r="B189" t="inlineStr">
        <is>
          <t>Friday</t>
        </is>
      </c>
      <c r="C189" t="inlineStr">
        <is>
          <t>Week2-Oct-2025</t>
        </is>
      </c>
      <c r="D189" s="78" t="n">
        <v>45931</v>
      </c>
      <c r="E189" t="inlineStr">
        <is>
          <t>Q3FY26</t>
        </is>
      </c>
      <c r="F189" t="inlineStr">
        <is>
          <t>23-Oct-2025</t>
        </is>
      </c>
      <c r="G189" t="inlineStr">
        <is>
          <t>Thursday</t>
        </is>
      </c>
      <c r="H189" t="inlineStr">
        <is>
          <t>Weekly - Thursday</t>
        </is>
      </c>
      <c r="I189" t="inlineStr">
        <is>
          <t>Weekly - Thursday</t>
        </is>
      </c>
      <c r="J189" t="inlineStr">
        <is>
          <t>Same Month Expiry</t>
        </is>
      </c>
      <c r="K189" s="25" t="n">
        <v>72546</v>
      </c>
      <c r="L189" s="26" t="n">
        <v>120.4004</v>
      </c>
      <c r="M189" s="26" t="n">
        <v>0.4936</v>
      </c>
    </row>
    <row r="190" ht="16" customHeight="1">
      <c r="A190" t="inlineStr">
        <is>
          <t>10-Oct-2025</t>
        </is>
      </c>
      <c r="B190" t="inlineStr">
        <is>
          <t>Friday</t>
        </is>
      </c>
      <c r="C190" t="inlineStr">
        <is>
          <t>Week2-Oct-2025</t>
        </is>
      </c>
      <c r="D190" s="78" t="n">
        <v>45931</v>
      </c>
      <c r="E190" t="inlineStr">
        <is>
          <t>Q3FY26</t>
        </is>
      </c>
      <c r="F190" t="inlineStr">
        <is>
          <t>30-Oct-2025</t>
        </is>
      </c>
      <c r="G190" t="inlineStr">
        <is>
          <t>Thursday</t>
        </is>
      </c>
      <c r="H190" t="inlineStr">
        <is>
          <t>Monthly - Thursday</t>
        </is>
      </c>
      <c r="I190" t="inlineStr">
        <is>
          <t>Monthly - Thursday</t>
        </is>
      </c>
      <c r="J190" t="inlineStr">
        <is>
          <t>Same Month Expiry</t>
        </is>
      </c>
      <c r="K190" s="25" t="n">
        <v>39478</v>
      </c>
      <c r="L190" s="26" t="n">
        <v>65.5913</v>
      </c>
      <c r="M190" s="26" t="n">
        <v>0.3613</v>
      </c>
    </row>
    <row r="191" ht="16" customHeight="1">
      <c r="A191" t="inlineStr">
        <is>
          <t>10-Oct-2025</t>
        </is>
      </c>
      <c r="B191" t="inlineStr">
        <is>
          <t>Friday</t>
        </is>
      </c>
      <c r="C191" t="inlineStr">
        <is>
          <t>Week2-Oct-2025</t>
        </is>
      </c>
      <c r="D191" s="78" t="n">
        <v>45931</v>
      </c>
      <c r="E191" t="inlineStr">
        <is>
          <t>Q3FY26</t>
        </is>
      </c>
      <c r="F191" t="inlineStr">
        <is>
          <t>06-Nov-2025</t>
        </is>
      </c>
      <c r="G191" t="inlineStr">
        <is>
          <t>Thursday</t>
        </is>
      </c>
      <c r="H191" t="inlineStr">
        <is>
          <t>Weekly - Thursday</t>
        </is>
      </c>
      <c r="I191" t="inlineStr">
        <is>
          <t>Weekly - Thursday</t>
        </is>
      </c>
      <c r="J191" t="inlineStr">
        <is>
          <t>Month+1 Expiry</t>
        </is>
      </c>
      <c r="K191" s="25" t="n">
        <v>200</v>
      </c>
      <c r="L191" s="26" t="n">
        <v>0.3392</v>
      </c>
      <c r="M191" s="26" t="n">
        <v>0.0069</v>
      </c>
    </row>
    <row r="192" ht="16" customHeight="1">
      <c r="A192" t="inlineStr">
        <is>
          <t>10-Oct-2025</t>
        </is>
      </c>
      <c r="B192" t="inlineStr">
        <is>
          <t>Friday</t>
        </is>
      </c>
      <c r="C192" t="inlineStr">
        <is>
          <t>Week2-Oct-2025</t>
        </is>
      </c>
      <c r="D192" s="78" t="n">
        <v>45931</v>
      </c>
      <c r="E192" t="inlineStr">
        <is>
          <t>Q3FY26</t>
        </is>
      </c>
      <c r="F192" t="inlineStr">
        <is>
          <t>20-Nov-2025</t>
        </is>
      </c>
      <c r="G192" t="inlineStr">
        <is>
          <t>Thursday</t>
        </is>
      </c>
      <c r="H192" t="inlineStr">
        <is>
          <t>Weekly - Thursday</t>
        </is>
      </c>
      <c r="I192" t="inlineStr">
        <is>
          <t>Weekly - Thursday</t>
        </is>
      </c>
      <c r="J192" t="inlineStr">
        <is>
          <t>Month+1 Expiry</t>
        </is>
      </c>
      <c r="K192" s="25" t="n">
        <v>0</v>
      </c>
      <c r="L192" s="26" t="n">
        <v>0</v>
      </c>
      <c r="M192" s="26" t="n">
        <v>0</v>
      </c>
    </row>
    <row r="193" ht="16" customHeight="1">
      <c r="A193" t="inlineStr">
        <is>
          <t>10-Oct-2025</t>
        </is>
      </c>
      <c r="B193" t="inlineStr">
        <is>
          <t>Friday</t>
        </is>
      </c>
      <c r="C193" t="inlineStr">
        <is>
          <t>Week2-Oct-2025</t>
        </is>
      </c>
      <c r="D193" s="78" t="n">
        <v>45931</v>
      </c>
      <c r="E193" t="inlineStr">
        <is>
          <t>Q3FY26</t>
        </is>
      </c>
      <c r="F193" t="inlineStr">
        <is>
          <t>27-Nov-2025</t>
        </is>
      </c>
      <c r="G193" t="inlineStr">
        <is>
          <t>Thursday</t>
        </is>
      </c>
      <c r="H193" t="inlineStr">
        <is>
          <t>Monthly - Thursday</t>
        </is>
      </c>
      <c r="I193" t="inlineStr">
        <is>
          <t>Monthly - Thursday</t>
        </is>
      </c>
      <c r="J193" t="inlineStr">
        <is>
          <t>Month+1 Expiry</t>
        </is>
      </c>
      <c r="K193" s="25" t="n">
        <v>841</v>
      </c>
      <c r="L193" s="26" t="n">
        <v>1.4038</v>
      </c>
      <c r="M193" s="26" t="n">
        <v>0.013</v>
      </c>
    </row>
    <row r="194" ht="16" customHeight="1">
      <c r="A194" t="inlineStr">
        <is>
          <t>13-Oct-2025</t>
        </is>
      </c>
      <c r="B194" t="inlineStr">
        <is>
          <t>Monday</t>
        </is>
      </c>
      <c r="C194" t="inlineStr">
        <is>
          <t>Week2-Oct-2025</t>
        </is>
      </c>
      <c r="D194" s="78" t="n">
        <v>45931</v>
      </c>
      <c r="E194" t="inlineStr">
        <is>
          <t>Q3FY26</t>
        </is>
      </c>
      <c r="F194" t="inlineStr">
        <is>
          <t>16-Oct-2025</t>
        </is>
      </c>
      <c r="G194" t="inlineStr">
        <is>
          <t>Thursday</t>
        </is>
      </c>
      <c r="H194" t="inlineStr">
        <is>
          <t>Weekly - Thursday</t>
        </is>
      </c>
      <c r="I194" t="inlineStr">
        <is>
          <t>Weekly - Thursday</t>
        </is>
      </c>
      <c r="J194" t="inlineStr">
        <is>
          <t>Same Month Expiry</t>
        </is>
      </c>
      <c r="K194" s="25" t="n">
        <v>26169967</v>
      </c>
      <c r="L194" s="26" t="n">
        <v>43136.8602</v>
      </c>
      <c r="M194" s="26" t="n">
        <v>102.0291</v>
      </c>
    </row>
    <row r="195" ht="16" customHeight="1">
      <c r="A195" t="inlineStr">
        <is>
          <t>13-Oct-2025</t>
        </is>
      </c>
      <c r="B195" t="inlineStr">
        <is>
          <t>Monday</t>
        </is>
      </c>
      <c r="C195" t="inlineStr">
        <is>
          <t>Week2-Oct-2025</t>
        </is>
      </c>
      <c r="D195" s="78" t="n">
        <v>45931</v>
      </c>
      <c r="E195" t="inlineStr">
        <is>
          <t>Q3FY26</t>
        </is>
      </c>
      <c r="F195" t="inlineStr">
        <is>
          <t>23-Oct-2025</t>
        </is>
      </c>
      <c r="G195" t="inlineStr">
        <is>
          <t>Thursday</t>
        </is>
      </c>
      <c r="H195" t="inlineStr">
        <is>
          <t>Weekly - Thursday</t>
        </is>
      </c>
      <c r="I195" t="inlineStr">
        <is>
          <t>Weekly - Thursday</t>
        </is>
      </c>
      <c r="J195" t="inlineStr">
        <is>
          <t>Same Month Expiry</t>
        </is>
      </c>
      <c r="K195" s="25" t="n">
        <v>129231</v>
      </c>
      <c r="L195" s="26" t="n">
        <v>213.3555</v>
      </c>
      <c r="M195" s="26" t="n">
        <v>0.7577</v>
      </c>
    </row>
    <row r="196" ht="16" customHeight="1">
      <c r="A196" t="inlineStr">
        <is>
          <t>13-Oct-2025</t>
        </is>
      </c>
      <c r="B196" t="inlineStr">
        <is>
          <t>Monday</t>
        </is>
      </c>
      <c r="C196" t="inlineStr">
        <is>
          <t>Week2-Oct-2025</t>
        </is>
      </c>
      <c r="D196" s="78" t="n">
        <v>45931</v>
      </c>
      <c r="E196" t="inlineStr">
        <is>
          <t>Q3FY26</t>
        </is>
      </c>
      <c r="F196" t="inlineStr">
        <is>
          <t>30-Oct-2025</t>
        </is>
      </c>
      <c r="G196" t="inlineStr">
        <is>
          <t>Thursday</t>
        </is>
      </c>
      <c r="H196" t="inlineStr">
        <is>
          <t>Monthly - Thursday</t>
        </is>
      </c>
      <c r="I196" t="inlineStr">
        <is>
          <t>Monthly - Thursday</t>
        </is>
      </c>
      <c r="J196" t="inlineStr">
        <is>
          <t>Same Month Expiry</t>
        </is>
      </c>
      <c r="K196" s="25" t="n">
        <v>35939</v>
      </c>
      <c r="L196" s="26" t="n">
        <v>59.5778</v>
      </c>
      <c r="M196" s="26" t="n">
        <v>0.3101</v>
      </c>
    </row>
    <row r="197" ht="16" customHeight="1">
      <c r="A197" t="inlineStr">
        <is>
          <t>13-Oct-2025</t>
        </is>
      </c>
      <c r="B197" t="inlineStr">
        <is>
          <t>Monday</t>
        </is>
      </c>
      <c r="C197" t="inlineStr">
        <is>
          <t>Week2-Oct-2025</t>
        </is>
      </c>
      <c r="D197" s="78" t="n">
        <v>45931</v>
      </c>
      <c r="E197" t="inlineStr">
        <is>
          <t>Q3FY26</t>
        </is>
      </c>
      <c r="F197" t="inlineStr">
        <is>
          <t>06-Nov-2025</t>
        </is>
      </c>
      <c r="G197" t="inlineStr">
        <is>
          <t>Thursday</t>
        </is>
      </c>
      <c r="H197" t="inlineStr">
        <is>
          <t>Weekly - Thursday</t>
        </is>
      </c>
      <c r="I197" t="inlineStr">
        <is>
          <t>Weekly - Thursday</t>
        </is>
      </c>
      <c r="J197" t="inlineStr">
        <is>
          <t>Month+1 Expiry</t>
        </is>
      </c>
      <c r="K197" s="25" t="n">
        <v>111</v>
      </c>
      <c r="L197" s="26" t="n">
        <v>0.1844</v>
      </c>
      <c r="M197" s="26" t="n">
        <v>0.0022</v>
      </c>
    </row>
    <row r="198" ht="16" customHeight="1">
      <c r="A198" t="inlineStr">
        <is>
          <t>13-Oct-2025</t>
        </is>
      </c>
      <c r="B198" t="inlineStr">
        <is>
          <t>Monday</t>
        </is>
      </c>
      <c r="C198" t="inlineStr">
        <is>
          <t>Week2-Oct-2025</t>
        </is>
      </c>
      <c r="D198" s="78" t="n">
        <v>45931</v>
      </c>
      <c r="E198" t="inlineStr">
        <is>
          <t>Q3FY26</t>
        </is>
      </c>
      <c r="F198" t="inlineStr">
        <is>
          <t>13-Nov-2025</t>
        </is>
      </c>
      <c r="G198" t="inlineStr">
        <is>
          <t>Thursday</t>
        </is>
      </c>
      <c r="H198" t="inlineStr">
        <is>
          <t>Weekly - Thursday</t>
        </is>
      </c>
      <c r="I198" t="inlineStr">
        <is>
          <t>Weekly - Thursday</t>
        </is>
      </c>
      <c r="J198" t="inlineStr">
        <is>
          <t>Month+1 Expiry</t>
        </is>
      </c>
      <c r="K198" s="25" t="n">
        <v>4</v>
      </c>
      <c r="L198" s="26" t="n">
        <v>0.0066</v>
      </c>
      <c r="M198" s="26" t="n">
        <v>0.0004</v>
      </c>
    </row>
    <row r="199" ht="16" customHeight="1">
      <c r="A199" t="inlineStr">
        <is>
          <t>13-Oct-2025</t>
        </is>
      </c>
      <c r="B199" t="inlineStr">
        <is>
          <t>Monday</t>
        </is>
      </c>
      <c r="C199" t="inlineStr">
        <is>
          <t>Week2-Oct-2025</t>
        </is>
      </c>
      <c r="D199" s="78" t="n">
        <v>45931</v>
      </c>
      <c r="E199" t="inlineStr">
        <is>
          <t>Q3FY26</t>
        </is>
      </c>
      <c r="F199" t="inlineStr">
        <is>
          <t>20-Nov-2025</t>
        </is>
      </c>
      <c r="G199" t="inlineStr">
        <is>
          <t>Thursday</t>
        </is>
      </c>
      <c r="H199" t="inlineStr">
        <is>
          <t>Weekly - Thursday</t>
        </is>
      </c>
      <c r="I199" t="inlineStr">
        <is>
          <t>Weekly - Thursday</t>
        </is>
      </c>
      <c r="J199" t="inlineStr">
        <is>
          <t>Month+1 Expiry</t>
        </is>
      </c>
      <c r="K199" s="25" t="n">
        <v>13</v>
      </c>
      <c r="L199" s="26" t="n">
        <v>0.0216</v>
      </c>
      <c r="M199" s="26" t="n">
        <v>0.001</v>
      </c>
    </row>
    <row r="200" ht="16" customHeight="1">
      <c r="A200" t="inlineStr">
        <is>
          <t>13-Oct-2025</t>
        </is>
      </c>
      <c r="B200" t="inlineStr">
        <is>
          <t>Monday</t>
        </is>
      </c>
      <c r="C200" t="inlineStr">
        <is>
          <t>Week2-Oct-2025</t>
        </is>
      </c>
      <c r="D200" s="78" t="n">
        <v>45931</v>
      </c>
      <c r="E200" t="inlineStr">
        <is>
          <t>Q3FY26</t>
        </is>
      </c>
      <c r="F200" t="inlineStr">
        <is>
          <t>27-Nov-2025</t>
        </is>
      </c>
      <c r="G200" t="inlineStr">
        <is>
          <t>Thursday</t>
        </is>
      </c>
      <c r="H200" t="inlineStr">
        <is>
          <t>Monthly - Thursday</t>
        </is>
      </c>
      <c r="I200" t="inlineStr">
        <is>
          <t>Monthly - Thursday</t>
        </is>
      </c>
      <c r="J200" t="inlineStr">
        <is>
          <t>Month+1 Expiry</t>
        </is>
      </c>
      <c r="K200" s="25" t="n">
        <v>600</v>
      </c>
      <c r="L200" s="26" t="n">
        <v>1</v>
      </c>
      <c r="M200" s="26" t="n">
        <v>0.007900000000000001</v>
      </c>
    </row>
    <row r="201" ht="16" customHeight="1">
      <c r="A201" t="inlineStr">
        <is>
          <t>14-Oct-2025</t>
        </is>
      </c>
      <c r="B201" t="inlineStr">
        <is>
          <t>Tuesday</t>
        </is>
      </c>
      <c r="C201" t="inlineStr">
        <is>
          <t>Week2-Oct-2025</t>
        </is>
      </c>
      <c r="D201" s="78" t="n">
        <v>45931</v>
      </c>
      <c r="E201" t="inlineStr">
        <is>
          <t>Q3FY26</t>
        </is>
      </c>
      <c r="F201" t="inlineStr">
        <is>
          <t>16-Oct-2025</t>
        </is>
      </c>
      <c r="G201" t="inlineStr">
        <is>
          <t>Thursday</t>
        </is>
      </c>
      <c r="H201" t="inlineStr">
        <is>
          <t>Weekly - Thursday</t>
        </is>
      </c>
      <c r="I201" t="inlineStr">
        <is>
          <t>Weekly - Thursday</t>
        </is>
      </c>
      <c r="J201" t="inlineStr">
        <is>
          <t>Same Month Expiry</t>
        </is>
      </c>
      <c r="K201" s="25" t="n">
        <v>35110297</v>
      </c>
      <c r="L201" s="26" t="n">
        <v>57810.4618</v>
      </c>
      <c r="M201" s="26" t="n">
        <v>116.6511</v>
      </c>
    </row>
    <row r="202" ht="16" customHeight="1">
      <c r="A202" t="inlineStr">
        <is>
          <t>14-Oct-2025</t>
        </is>
      </c>
      <c r="B202" t="inlineStr">
        <is>
          <t>Tuesday</t>
        </is>
      </c>
      <c r="C202" t="inlineStr">
        <is>
          <t>Week2-Oct-2025</t>
        </is>
      </c>
      <c r="D202" s="78" t="n">
        <v>45931</v>
      </c>
      <c r="E202" t="inlineStr">
        <is>
          <t>Q3FY26</t>
        </is>
      </c>
      <c r="F202" t="inlineStr">
        <is>
          <t>23-Oct-2025</t>
        </is>
      </c>
      <c r="G202" t="inlineStr">
        <is>
          <t>Thursday</t>
        </is>
      </c>
      <c r="H202" t="inlineStr">
        <is>
          <t>Weekly - Thursday</t>
        </is>
      </c>
      <c r="I202" t="inlineStr">
        <is>
          <t>Weekly - Thursday</t>
        </is>
      </c>
      <c r="J202" t="inlineStr">
        <is>
          <t>Same Month Expiry</t>
        </is>
      </c>
      <c r="K202" s="25" t="n">
        <v>320580</v>
      </c>
      <c r="L202" s="26" t="n">
        <v>529.8007</v>
      </c>
      <c r="M202" s="26" t="n">
        <v>2.0747</v>
      </c>
    </row>
    <row r="203" ht="16" customHeight="1">
      <c r="A203" t="inlineStr">
        <is>
          <t>14-Oct-2025</t>
        </is>
      </c>
      <c r="B203" t="inlineStr">
        <is>
          <t>Tuesday</t>
        </is>
      </c>
      <c r="C203" t="inlineStr">
        <is>
          <t>Week2-Oct-2025</t>
        </is>
      </c>
      <c r="D203" s="78" t="n">
        <v>45931</v>
      </c>
      <c r="E203" t="inlineStr">
        <is>
          <t>Q3FY26</t>
        </is>
      </c>
      <c r="F203" t="inlineStr">
        <is>
          <t>30-Oct-2025</t>
        </is>
      </c>
      <c r="G203" t="inlineStr">
        <is>
          <t>Thursday</t>
        </is>
      </c>
      <c r="H203" t="inlineStr">
        <is>
          <t>Monthly - Thursday</t>
        </is>
      </c>
      <c r="I203" t="inlineStr">
        <is>
          <t>Monthly - Thursday</t>
        </is>
      </c>
      <c r="J203" t="inlineStr">
        <is>
          <t>Same Month Expiry</t>
        </is>
      </c>
      <c r="K203" s="25" t="n">
        <v>49457</v>
      </c>
      <c r="L203" s="26" t="n">
        <v>81.8475</v>
      </c>
      <c r="M203" s="26" t="n">
        <v>0.4513</v>
      </c>
    </row>
    <row r="204" ht="16" customHeight="1">
      <c r="A204" t="inlineStr">
        <is>
          <t>14-Oct-2025</t>
        </is>
      </c>
      <c r="B204" t="inlineStr">
        <is>
          <t>Tuesday</t>
        </is>
      </c>
      <c r="C204" t="inlineStr">
        <is>
          <t>Week2-Oct-2025</t>
        </is>
      </c>
      <c r="D204" s="78" t="n">
        <v>45931</v>
      </c>
      <c r="E204" t="inlineStr">
        <is>
          <t>Q3FY26</t>
        </is>
      </c>
      <c r="F204" t="inlineStr">
        <is>
          <t>06-Nov-2025</t>
        </is>
      </c>
      <c r="G204" t="inlineStr">
        <is>
          <t>Thursday</t>
        </is>
      </c>
      <c r="H204" t="inlineStr">
        <is>
          <t>Weekly - Thursday</t>
        </is>
      </c>
      <c r="I204" t="inlineStr">
        <is>
          <t>Weekly - Thursday</t>
        </is>
      </c>
      <c r="J204" t="inlineStr">
        <is>
          <t>Month+1 Expiry</t>
        </is>
      </c>
      <c r="K204" s="25" t="n">
        <v>25</v>
      </c>
      <c r="L204" s="26" t="n">
        <v>0.0421</v>
      </c>
      <c r="M204" s="26" t="n">
        <v>0.0004</v>
      </c>
    </row>
    <row r="205" ht="16" customHeight="1">
      <c r="A205" t="inlineStr">
        <is>
          <t>14-Oct-2025</t>
        </is>
      </c>
      <c r="B205" t="inlineStr">
        <is>
          <t>Tuesday</t>
        </is>
      </c>
      <c r="C205" t="inlineStr">
        <is>
          <t>Week2-Oct-2025</t>
        </is>
      </c>
      <c r="D205" s="78" t="n">
        <v>45931</v>
      </c>
      <c r="E205" t="inlineStr">
        <is>
          <t>Q3FY26</t>
        </is>
      </c>
      <c r="F205" t="inlineStr">
        <is>
          <t>20-Nov-2025</t>
        </is>
      </c>
      <c r="G205" t="inlineStr">
        <is>
          <t>Thursday</t>
        </is>
      </c>
      <c r="H205" t="inlineStr">
        <is>
          <t>Weekly - Thursday</t>
        </is>
      </c>
      <c r="I205" t="inlineStr">
        <is>
          <t>Weekly - Thursday</t>
        </is>
      </c>
      <c r="J205" t="inlineStr">
        <is>
          <t>Month+1 Expiry</t>
        </is>
      </c>
      <c r="K205" s="25" t="n">
        <v>0</v>
      </c>
      <c r="L205" s="26" t="n">
        <v>0</v>
      </c>
      <c r="M205" s="26" t="n">
        <v>0</v>
      </c>
    </row>
    <row r="206" ht="16" customHeight="1">
      <c r="A206" t="inlineStr">
        <is>
          <t>14-Oct-2025</t>
        </is>
      </c>
      <c r="B206" t="inlineStr">
        <is>
          <t>Tuesday</t>
        </is>
      </c>
      <c r="C206" t="inlineStr">
        <is>
          <t>Week2-Oct-2025</t>
        </is>
      </c>
      <c r="D206" s="78" t="n">
        <v>45931</v>
      </c>
      <c r="E206" t="inlineStr">
        <is>
          <t>Q3FY26</t>
        </is>
      </c>
      <c r="F206" t="inlineStr">
        <is>
          <t>27-Nov-2025</t>
        </is>
      </c>
      <c r="G206" t="inlineStr">
        <is>
          <t>Thursday</t>
        </is>
      </c>
      <c r="H206" t="inlineStr">
        <is>
          <t>Monthly - Thursday</t>
        </is>
      </c>
      <c r="I206" t="inlineStr">
        <is>
          <t>Monthly - Thursday</t>
        </is>
      </c>
      <c r="J206" t="inlineStr">
        <is>
          <t>Month+1 Expiry</t>
        </is>
      </c>
      <c r="K206" s="25" t="n">
        <v>1008</v>
      </c>
      <c r="L206" s="26" t="n">
        <v>1.6686</v>
      </c>
      <c r="M206" s="26" t="n">
        <v>0.0178</v>
      </c>
    </row>
    <row r="207" ht="16" customHeight="1">
      <c r="A207" t="inlineStr">
        <is>
          <t>15-Oct-2025</t>
        </is>
      </c>
      <c r="B207" t="inlineStr">
        <is>
          <t>Wednesday</t>
        </is>
      </c>
      <c r="C207" t="inlineStr">
        <is>
          <t>Week3-Oct-2025</t>
        </is>
      </c>
      <c r="D207" s="78" t="n">
        <v>45931</v>
      </c>
      <c r="E207" t="inlineStr">
        <is>
          <t>Q3FY26</t>
        </is>
      </c>
      <c r="F207" t="inlineStr">
        <is>
          <t>16-Oct-2025</t>
        </is>
      </c>
      <c r="G207" t="inlineStr">
        <is>
          <t>Thursday</t>
        </is>
      </c>
      <c r="H207" t="inlineStr">
        <is>
          <t>Weekly - Thursday</t>
        </is>
      </c>
      <c r="I207" t="inlineStr">
        <is>
          <t>Weekly - Thursday</t>
        </is>
      </c>
      <c r="J207" t="inlineStr">
        <is>
          <t>Same Month Expiry</t>
        </is>
      </c>
      <c r="K207" s="25" t="n">
        <v>111639069</v>
      </c>
      <c r="L207" s="26" t="n">
        <v>184344.6321</v>
      </c>
      <c r="M207" s="26" t="n">
        <v>241.254</v>
      </c>
    </row>
    <row r="208" ht="16" customHeight="1">
      <c r="A208" t="inlineStr">
        <is>
          <t>15-Oct-2025</t>
        </is>
      </c>
      <c r="B208" t="inlineStr">
        <is>
          <t>Wednesday</t>
        </is>
      </c>
      <c r="C208" t="inlineStr">
        <is>
          <t>Week3-Oct-2025</t>
        </is>
      </c>
      <c r="D208" s="78" t="n">
        <v>45931</v>
      </c>
      <c r="E208" t="inlineStr">
        <is>
          <t>Q3FY26</t>
        </is>
      </c>
      <c r="F208" t="inlineStr">
        <is>
          <t>23-Oct-2025</t>
        </is>
      </c>
      <c r="G208" t="inlineStr">
        <is>
          <t>Thursday</t>
        </is>
      </c>
      <c r="H208" t="inlineStr">
        <is>
          <t>Weekly - Thursday</t>
        </is>
      </c>
      <c r="I208" t="inlineStr">
        <is>
          <t>Weekly - Thursday</t>
        </is>
      </c>
      <c r="J208" t="inlineStr">
        <is>
          <t>Same Month Expiry</t>
        </is>
      </c>
      <c r="K208" s="25" t="n">
        <v>833444</v>
      </c>
      <c r="L208" s="26" t="n">
        <v>1379.1373</v>
      </c>
      <c r="M208" s="26" t="n">
        <v>4.1582</v>
      </c>
    </row>
    <row r="209" ht="16" customHeight="1">
      <c r="A209" t="inlineStr">
        <is>
          <t>15-Oct-2025</t>
        </is>
      </c>
      <c r="B209" t="inlineStr">
        <is>
          <t>Wednesday</t>
        </is>
      </c>
      <c r="C209" t="inlineStr">
        <is>
          <t>Week3-Oct-2025</t>
        </is>
      </c>
      <c r="D209" s="78" t="n">
        <v>45931</v>
      </c>
      <c r="E209" t="inlineStr">
        <is>
          <t>Q3FY26</t>
        </is>
      </c>
      <c r="F209" t="inlineStr">
        <is>
          <t>30-Oct-2025</t>
        </is>
      </c>
      <c r="G209" t="inlineStr">
        <is>
          <t>Thursday</t>
        </is>
      </c>
      <c r="H209" t="inlineStr">
        <is>
          <t>Monthly - Thursday</t>
        </is>
      </c>
      <c r="I209" t="inlineStr">
        <is>
          <t>Monthly - Thursday</t>
        </is>
      </c>
      <c r="J209" t="inlineStr">
        <is>
          <t>Same Month Expiry</t>
        </is>
      </c>
      <c r="K209" s="25" t="n">
        <v>64932</v>
      </c>
      <c r="L209" s="26" t="n">
        <v>107.7751</v>
      </c>
      <c r="M209" s="26" t="n">
        <v>0.5487</v>
      </c>
    </row>
    <row r="210" ht="16" customHeight="1">
      <c r="A210" t="inlineStr">
        <is>
          <t>15-Oct-2025</t>
        </is>
      </c>
      <c r="B210" t="inlineStr">
        <is>
          <t>Wednesday</t>
        </is>
      </c>
      <c r="C210" t="inlineStr">
        <is>
          <t>Week3-Oct-2025</t>
        </is>
      </c>
      <c r="D210" s="78" t="n">
        <v>45931</v>
      </c>
      <c r="E210" t="inlineStr">
        <is>
          <t>Q3FY26</t>
        </is>
      </c>
      <c r="F210" t="inlineStr">
        <is>
          <t>06-Nov-2025</t>
        </is>
      </c>
      <c r="G210" t="inlineStr">
        <is>
          <t>Thursday</t>
        </is>
      </c>
      <c r="H210" t="inlineStr">
        <is>
          <t>Weekly - Thursday</t>
        </is>
      </c>
      <c r="I210" t="inlineStr">
        <is>
          <t>Weekly - Thursday</t>
        </is>
      </c>
      <c r="J210" t="inlineStr">
        <is>
          <t>Month+1 Expiry</t>
        </is>
      </c>
      <c r="K210" s="25" t="n">
        <v>93</v>
      </c>
      <c r="L210" s="26" t="n">
        <v>0.1561</v>
      </c>
      <c r="M210" s="26" t="n">
        <v>0.0015</v>
      </c>
    </row>
    <row r="211" ht="16" customHeight="1">
      <c r="A211" t="inlineStr">
        <is>
          <t>15-Oct-2025</t>
        </is>
      </c>
      <c r="B211" t="inlineStr">
        <is>
          <t>Wednesday</t>
        </is>
      </c>
      <c r="C211" t="inlineStr">
        <is>
          <t>Week3-Oct-2025</t>
        </is>
      </c>
      <c r="D211" s="78" t="n">
        <v>45931</v>
      </c>
      <c r="E211" t="inlineStr">
        <is>
          <t>Q3FY26</t>
        </is>
      </c>
      <c r="F211" t="inlineStr">
        <is>
          <t>20-Nov-2025</t>
        </is>
      </c>
      <c r="G211" t="inlineStr">
        <is>
          <t>Thursday</t>
        </is>
      </c>
      <c r="H211" t="inlineStr">
        <is>
          <t>Weekly - Thursday</t>
        </is>
      </c>
      <c r="I211" t="inlineStr">
        <is>
          <t>Weekly - Thursday</t>
        </is>
      </c>
      <c r="J211" t="inlineStr">
        <is>
          <t>Month+1 Expiry</t>
        </is>
      </c>
      <c r="K211" s="25" t="n">
        <v>0</v>
      </c>
      <c r="L211" s="26" t="n">
        <v>0</v>
      </c>
      <c r="M211" s="26" t="n">
        <v>0</v>
      </c>
    </row>
    <row r="212" ht="16" customHeight="1">
      <c r="A212" t="inlineStr">
        <is>
          <t>15-Oct-2025</t>
        </is>
      </c>
      <c r="B212" t="inlineStr">
        <is>
          <t>Wednesday</t>
        </is>
      </c>
      <c r="C212" t="inlineStr">
        <is>
          <t>Week3-Oct-2025</t>
        </is>
      </c>
      <c r="D212" s="78" t="n">
        <v>45931</v>
      </c>
      <c r="E212" t="inlineStr">
        <is>
          <t>Q3FY26</t>
        </is>
      </c>
      <c r="F212" t="inlineStr">
        <is>
          <t>27-Nov-2025</t>
        </is>
      </c>
      <c r="G212" t="inlineStr">
        <is>
          <t>Thursday</t>
        </is>
      </c>
      <c r="H212" t="inlineStr">
        <is>
          <t>Monthly - Thursday</t>
        </is>
      </c>
      <c r="I212" t="inlineStr">
        <is>
          <t>Monthly - Thursday</t>
        </is>
      </c>
      <c r="J212" t="inlineStr">
        <is>
          <t>Month+1 Expiry</t>
        </is>
      </c>
      <c r="K212" s="25" t="n">
        <v>1227</v>
      </c>
      <c r="L212" s="26" t="n">
        <v>2.0457</v>
      </c>
      <c r="M212" s="26" t="n">
        <v>0.0213</v>
      </c>
    </row>
    <row r="213" ht="16" customHeight="1">
      <c r="A213" t="inlineStr">
        <is>
          <t>16-Oct-2025</t>
        </is>
      </c>
      <c r="B213" t="inlineStr">
        <is>
          <t>Thursday</t>
        </is>
      </c>
      <c r="C213" t="inlineStr">
        <is>
          <t>Week3-Oct-2025</t>
        </is>
      </c>
      <c r="D213" s="78" t="n">
        <v>45931</v>
      </c>
      <c r="E213" t="inlineStr">
        <is>
          <t>Q3FY26</t>
        </is>
      </c>
      <c r="F213" t="inlineStr">
        <is>
          <t>16-Oct-2025</t>
        </is>
      </c>
      <c r="G213" t="inlineStr">
        <is>
          <t>Thursday</t>
        </is>
      </c>
      <c r="H213" t="inlineStr">
        <is>
          <t>Weekly - Thursday</t>
        </is>
      </c>
      <c r="I213" t="inlineStr">
        <is>
          <t>Weekly - Thursday</t>
        </is>
      </c>
      <c r="J213" t="inlineStr">
        <is>
          <t>Same Month Expiry</t>
        </is>
      </c>
      <c r="K213" s="25" t="n">
        <v>385184679</v>
      </c>
      <c r="L213" s="26" t="n">
        <v>641163.8864</v>
      </c>
      <c r="M213" s="26" t="n">
        <v>384.6493</v>
      </c>
    </row>
    <row r="214" ht="16" customHeight="1">
      <c r="A214" t="inlineStr">
        <is>
          <t>16-Oct-2025</t>
        </is>
      </c>
      <c r="B214" t="inlineStr">
        <is>
          <t>Thursday</t>
        </is>
      </c>
      <c r="C214" t="inlineStr">
        <is>
          <t>Week3-Oct-2025</t>
        </is>
      </c>
      <c r="D214" s="78" t="n">
        <v>45931</v>
      </c>
      <c r="E214" t="inlineStr">
        <is>
          <t>Q3FY26</t>
        </is>
      </c>
      <c r="F214" t="inlineStr">
        <is>
          <t>23-Oct-2025</t>
        </is>
      </c>
      <c r="G214" t="inlineStr">
        <is>
          <t>Thursday</t>
        </is>
      </c>
      <c r="H214" t="inlineStr">
        <is>
          <t>Weekly - Thursday</t>
        </is>
      </c>
      <c r="I214" t="inlineStr">
        <is>
          <t>Weekly - Thursday</t>
        </is>
      </c>
      <c r="J214" t="inlineStr">
        <is>
          <t>Same Month Expiry</t>
        </is>
      </c>
      <c r="K214" s="25" t="n">
        <v>2776178</v>
      </c>
      <c r="L214" s="26" t="n">
        <v>4603.3445</v>
      </c>
      <c r="M214" s="26" t="n">
        <v>12.0906</v>
      </c>
    </row>
    <row r="215" ht="16" customHeight="1">
      <c r="A215" t="inlineStr">
        <is>
          <t>16-Oct-2025</t>
        </is>
      </c>
      <c r="B215" t="inlineStr">
        <is>
          <t>Thursday</t>
        </is>
      </c>
      <c r="C215" t="inlineStr">
        <is>
          <t>Week3-Oct-2025</t>
        </is>
      </c>
      <c r="D215" s="78" t="n">
        <v>45931</v>
      </c>
      <c r="E215" t="inlineStr">
        <is>
          <t>Q3FY26</t>
        </is>
      </c>
      <c r="F215" t="inlineStr">
        <is>
          <t>30-Oct-2025</t>
        </is>
      </c>
      <c r="G215" t="inlineStr">
        <is>
          <t>Thursday</t>
        </is>
      </c>
      <c r="H215" t="inlineStr">
        <is>
          <t>Monthly - Thursday</t>
        </is>
      </c>
      <c r="I215" t="inlineStr">
        <is>
          <t>Monthly - Thursday</t>
        </is>
      </c>
      <c r="J215" t="inlineStr">
        <is>
          <t>Same Month Expiry</t>
        </is>
      </c>
      <c r="K215" s="25" t="n">
        <v>112037</v>
      </c>
      <c r="L215" s="26" t="n">
        <v>187.4992</v>
      </c>
      <c r="M215" s="26" t="n">
        <v>0.9384</v>
      </c>
    </row>
    <row r="216" ht="16" customHeight="1">
      <c r="A216" t="inlineStr">
        <is>
          <t>16-Oct-2025</t>
        </is>
      </c>
      <c r="B216" t="inlineStr">
        <is>
          <t>Thursday</t>
        </is>
      </c>
      <c r="C216" t="inlineStr">
        <is>
          <t>Week3-Oct-2025</t>
        </is>
      </c>
      <c r="D216" s="78" t="n">
        <v>45931</v>
      </c>
      <c r="E216" t="inlineStr">
        <is>
          <t>Q3FY26</t>
        </is>
      </c>
      <c r="F216" t="inlineStr">
        <is>
          <t>06-Nov-2025</t>
        </is>
      </c>
      <c r="G216" t="inlineStr">
        <is>
          <t>Thursday</t>
        </is>
      </c>
      <c r="H216" t="inlineStr">
        <is>
          <t>Weekly - Thursday</t>
        </is>
      </c>
      <c r="I216" t="inlineStr">
        <is>
          <t>Weekly - Thursday</t>
        </is>
      </c>
      <c r="J216" t="inlineStr">
        <is>
          <t>Month+1 Expiry</t>
        </is>
      </c>
      <c r="K216" s="25" t="n">
        <v>351</v>
      </c>
      <c r="L216" s="26" t="n">
        <v>0.5909</v>
      </c>
      <c r="M216" s="26" t="n">
        <v>0.004</v>
      </c>
    </row>
    <row r="217" ht="16" customHeight="1">
      <c r="A217" t="inlineStr">
        <is>
          <t>16-Oct-2025</t>
        </is>
      </c>
      <c r="B217" t="inlineStr">
        <is>
          <t>Thursday</t>
        </is>
      </c>
      <c r="C217" t="inlineStr">
        <is>
          <t>Week3-Oct-2025</t>
        </is>
      </c>
      <c r="D217" s="78" t="n">
        <v>45931</v>
      </c>
      <c r="E217" t="inlineStr">
        <is>
          <t>Q3FY26</t>
        </is>
      </c>
      <c r="F217" t="inlineStr">
        <is>
          <t>13-Nov-2025</t>
        </is>
      </c>
      <c r="G217" t="inlineStr">
        <is>
          <t>Thursday</t>
        </is>
      </c>
      <c r="H217" t="inlineStr">
        <is>
          <t>Weekly - Thursday</t>
        </is>
      </c>
      <c r="I217" t="inlineStr">
        <is>
          <t>Weekly - Thursday</t>
        </is>
      </c>
      <c r="J217" t="inlineStr">
        <is>
          <t>Month+1 Expiry</t>
        </is>
      </c>
      <c r="K217" s="25" t="n">
        <v>1</v>
      </c>
      <c r="L217" s="26" t="n">
        <v>0.0016</v>
      </c>
      <c r="M217" s="26" t="n">
        <v>0</v>
      </c>
    </row>
    <row r="218" ht="16" customHeight="1">
      <c r="A218" t="inlineStr">
        <is>
          <t>16-Oct-2025</t>
        </is>
      </c>
      <c r="B218" t="inlineStr">
        <is>
          <t>Thursday</t>
        </is>
      </c>
      <c r="C218" t="inlineStr">
        <is>
          <t>Week3-Oct-2025</t>
        </is>
      </c>
      <c r="D218" s="78" t="n">
        <v>45931</v>
      </c>
      <c r="E218" t="inlineStr">
        <is>
          <t>Q3FY26</t>
        </is>
      </c>
      <c r="F218" t="inlineStr">
        <is>
          <t>20-Nov-2025</t>
        </is>
      </c>
      <c r="G218" t="inlineStr">
        <is>
          <t>Thursday</t>
        </is>
      </c>
      <c r="H218" t="inlineStr">
        <is>
          <t>Weekly - Thursday</t>
        </is>
      </c>
      <c r="I218" t="inlineStr">
        <is>
          <t>Weekly - Thursday</t>
        </is>
      </c>
      <c r="J218" t="inlineStr">
        <is>
          <t>Month+1 Expiry</t>
        </is>
      </c>
      <c r="K218" s="25" t="n">
        <v>1</v>
      </c>
      <c r="L218" s="26" t="n">
        <v>0.0017</v>
      </c>
      <c r="M218" s="26" t="n">
        <v>0</v>
      </c>
    </row>
    <row r="219" ht="16" customHeight="1">
      <c r="A219" t="inlineStr">
        <is>
          <t>16-Oct-2025</t>
        </is>
      </c>
      <c r="B219" t="inlineStr">
        <is>
          <t>Thursday</t>
        </is>
      </c>
      <c r="C219" t="inlineStr">
        <is>
          <t>Week3-Oct-2025</t>
        </is>
      </c>
      <c r="D219" s="78" t="n">
        <v>45931</v>
      </c>
      <c r="E219" t="inlineStr">
        <is>
          <t>Q3FY26</t>
        </is>
      </c>
      <c r="F219" t="inlineStr">
        <is>
          <t>27-Nov-2025</t>
        </is>
      </c>
      <c r="G219" t="inlineStr">
        <is>
          <t>Thursday</t>
        </is>
      </c>
      <c r="H219" t="inlineStr">
        <is>
          <t>Monthly - Thursday</t>
        </is>
      </c>
      <c r="I219" t="inlineStr">
        <is>
          <t>Monthly - Thursday</t>
        </is>
      </c>
      <c r="J219" t="inlineStr">
        <is>
          <t>Month+1 Expiry</t>
        </is>
      </c>
      <c r="K219" s="25" t="n">
        <v>2078</v>
      </c>
      <c r="L219" s="26" t="n">
        <v>3.4826</v>
      </c>
      <c r="M219" s="26" t="n">
        <v>0.0332</v>
      </c>
    </row>
    <row r="220" ht="16" customHeight="1">
      <c r="A220" t="inlineStr">
        <is>
          <t>17-Oct-2025</t>
        </is>
      </c>
      <c r="B220" t="inlineStr">
        <is>
          <t>Friday</t>
        </is>
      </c>
      <c r="C220" t="inlineStr">
        <is>
          <t>Week3-Oct-2025</t>
        </is>
      </c>
      <c r="D220" s="78" t="n">
        <v>45931</v>
      </c>
      <c r="E220" t="inlineStr">
        <is>
          <t>Q3FY26</t>
        </is>
      </c>
      <c r="F220" t="inlineStr">
        <is>
          <t>23-Oct-2025</t>
        </is>
      </c>
      <c r="G220" t="inlineStr">
        <is>
          <t>Thursday</t>
        </is>
      </c>
      <c r="H220" t="inlineStr">
        <is>
          <t>Weekly - Thursday</t>
        </is>
      </c>
      <c r="I220" t="inlineStr">
        <is>
          <t>Weekly - Thursday</t>
        </is>
      </c>
      <c r="J220" t="inlineStr">
        <is>
          <t>Same Month Expiry</t>
        </is>
      </c>
      <c r="K220" s="25" t="n">
        <v>30160185</v>
      </c>
      <c r="L220" s="26" t="n">
        <v>50717.8451</v>
      </c>
      <c r="M220" s="26" t="n">
        <v>141.1339</v>
      </c>
    </row>
    <row r="221" ht="16" customHeight="1">
      <c r="A221" t="inlineStr">
        <is>
          <t>17-Oct-2025</t>
        </is>
      </c>
      <c r="B221" t="inlineStr">
        <is>
          <t>Friday</t>
        </is>
      </c>
      <c r="C221" t="inlineStr">
        <is>
          <t>Week3-Oct-2025</t>
        </is>
      </c>
      <c r="D221" s="78" t="n">
        <v>45931</v>
      </c>
      <c r="E221" t="inlineStr">
        <is>
          <t>Q3FY26</t>
        </is>
      </c>
      <c r="F221" t="inlineStr">
        <is>
          <t>30-Oct-2025</t>
        </is>
      </c>
      <c r="G221" t="inlineStr">
        <is>
          <t>Thursday</t>
        </is>
      </c>
      <c r="H221" t="inlineStr">
        <is>
          <t>Monthly - Thursday</t>
        </is>
      </c>
      <c r="I221" t="inlineStr">
        <is>
          <t>Monthly - Thursday</t>
        </is>
      </c>
      <c r="J221" t="inlineStr">
        <is>
          <t>Same Month Expiry</t>
        </is>
      </c>
      <c r="K221" s="25" t="n">
        <v>265534</v>
      </c>
      <c r="L221" s="26" t="n">
        <v>448.2693</v>
      </c>
      <c r="M221" s="26" t="n">
        <v>2.0993</v>
      </c>
    </row>
    <row r="222" ht="16" customHeight="1">
      <c r="A222" t="inlineStr">
        <is>
          <t>17-Oct-2025</t>
        </is>
      </c>
      <c r="B222" t="inlineStr">
        <is>
          <t>Friday</t>
        </is>
      </c>
      <c r="C222" t="inlineStr">
        <is>
          <t>Week3-Oct-2025</t>
        </is>
      </c>
      <c r="D222" s="78" t="n">
        <v>45931</v>
      </c>
      <c r="E222" t="inlineStr">
        <is>
          <t>Q3FY26</t>
        </is>
      </c>
      <c r="F222" t="inlineStr">
        <is>
          <t>06-Nov-2025</t>
        </is>
      </c>
      <c r="G222" t="inlineStr">
        <is>
          <t>Thursday</t>
        </is>
      </c>
      <c r="H222" t="inlineStr">
        <is>
          <t>Weekly - Thursday</t>
        </is>
      </c>
      <c r="I222" t="inlineStr">
        <is>
          <t>Weekly - Thursday</t>
        </is>
      </c>
      <c r="J222" t="inlineStr">
        <is>
          <t>Month+1 Expiry</t>
        </is>
      </c>
      <c r="K222" s="25" t="n">
        <v>2356</v>
      </c>
      <c r="L222" s="26" t="n">
        <v>3.9706</v>
      </c>
      <c r="M222" s="26" t="n">
        <v>0.0271</v>
      </c>
    </row>
    <row r="223" ht="16" customHeight="1">
      <c r="A223" t="inlineStr">
        <is>
          <t>17-Oct-2025</t>
        </is>
      </c>
      <c r="B223" t="inlineStr">
        <is>
          <t>Friday</t>
        </is>
      </c>
      <c r="C223" t="inlineStr">
        <is>
          <t>Week3-Oct-2025</t>
        </is>
      </c>
      <c r="D223" s="78" t="n">
        <v>45931</v>
      </c>
      <c r="E223" t="inlineStr">
        <is>
          <t>Q3FY26</t>
        </is>
      </c>
      <c r="F223" t="inlineStr">
        <is>
          <t>13-Nov-2025</t>
        </is>
      </c>
      <c r="G223" t="inlineStr">
        <is>
          <t>Thursday</t>
        </is>
      </c>
      <c r="H223" t="inlineStr">
        <is>
          <t>Weekly - Thursday</t>
        </is>
      </c>
      <c r="I223" t="inlineStr">
        <is>
          <t>Weekly - Thursday</t>
        </is>
      </c>
      <c r="J223" t="inlineStr">
        <is>
          <t>Month+1 Expiry</t>
        </is>
      </c>
      <c r="K223" s="25" t="n">
        <v>39</v>
      </c>
      <c r="L223" s="26" t="n">
        <v>0.066</v>
      </c>
      <c r="M223" s="26" t="n">
        <v>0.0008</v>
      </c>
    </row>
    <row r="224" ht="16" customHeight="1">
      <c r="A224" t="inlineStr">
        <is>
          <t>17-Oct-2025</t>
        </is>
      </c>
      <c r="B224" t="inlineStr">
        <is>
          <t>Friday</t>
        </is>
      </c>
      <c r="C224" t="inlineStr">
        <is>
          <t>Week3-Oct-2025</t>
        </is>
      </c>
      <c r="D224" s="78" t="n">
        <v>45931</v>
      </c>
      <c r="E224" t="inlineStr">
        <is>
          <t>Q3FY26</t>
        </is>
      </c>
      <c r="F224" t="inlineStr">
        <is>
          <t>27-Nov-2025</t>
        </is>
      </c>
      <c r="G224" t="inlineStr">
        <is>
          <t>Thursday</t>
        </is>
      </c>
      <c r="H224" t="inlineStr">
        <is>
          <t>Monthly - Thursday</t>
        </is>
      </c>
      <c r="I224" t="inlineStr">
        <is>
          <t>Monthly - Thursday</t>
        </is>
      </c>
      <c r="J224" t="inlineStr">
        <is>
          <t>Month+1 Expiry</t>
        </is>
      </c>
      <c r="K224" s="25" t="n">
        <v>3039</v>
      </c>
      <c r="L224" s="26" t="n">
        <v>5.0899</v>
      </c>
      <c r="M224" s="26" t="n">
        <v>0.0482</v>
      </c>
    </row>
    <row r="225" ht="16" customHeight="1">
      <c r="A225" t="inlineStr">
        <is>
          <t>20-Oct-2025</t>
        </is>
      </c>
      <c r="B225" t="inlineStr">
        <is>
          <t>Monday</t>
        </is>
      </c>
      <c r="C225" t="inlineStr">
        <is>
          <t>Week3-Oct-2025</t>
        </is>
      </c>
      <c r="D225" s="78" t="n">
        <v>45931</v>
      </c>
      <c r="E225" t="inlineStr">
        <is>
          <t>Q3FY26</t>
        </is>
      </c>
      <c r="F225" t="inlineStr">
        <is>
          <t>23-Oct-2025</t>
        </is>
      </c>
      <c r="G225" t="inlineStr">
        <is>
          <t>Thursday</t>
        </is>
      </c>
      <c r="H225" t="inlineStr">
        <is>
          <t>Weekly - Thursday</t>
        </is>
      </c>
      <c r="I225" t="inlineStr">
        <is>
          <t>Weekly - Thursday</t>
        </is>
      </c>
      <c r="J225" t="inlineStr">
        <is>
          <t>Same Month Expiry</t>
        </is>
      </c>
      <c r="K225" s="25" t="n">
        <v>31115813</v>
      </c>
      <c r="L225" s="26" t="n">
        <v>52567.5753</v>
      </c>
      <c r="M225" s="26" t="n">
        <v>100.6323</v>
      </c>
    </row>
    <row r="226" ht="16" customHeight="1">
      <c r="A226" t="inlineStr">
        <is>
          <t>20-Oct-2025</t>
        </is>
      </c>
      <c r="B226" t="inlineStr">
        <is>
          <t>Monday</t>
        </is>
      </c>
      <c r="C226" t="inlineStr">
        <is>
          <t>Week3-Oct-2025</t>
        </is>
      </c>
      <c r="D226" s="78" t="n">
        <v>45931</v>
      </c>
      <c r="E226" t="inlineStr">
        <is>
          <t>Q3FY26</t>
        </is>
      </c>
      <c r="F226" t="inlineStr">
        <is>
          <t>30-Oct-2025</t>
        </is>
      </c>
      <c r="G226" t="inlineStr">
        <is>
          <t>Thursday</t>
        </is>
      </c>
      <c r="H226" t="inlineStr">
        <is>
          <t>Monthly - Thursday</t>
        </is>
      </c>
      <c r="I226" t="inlineStr">
        <is>
          <t>Monthly - Thursday</t>
        </is>
      </c>
      <c r="J226" t="inlineStr">
        <is>
          <t>Same Month Expiry</t>
        </is>
      </c>
      <c r="K226" s="25" t="n">
        <v>354726</v>
      </c>
      <c r="L226" s="26" t="n">
        <v>600.9450000000001</v>
      </c>
      <c r="M226" s="26" t="n">
        <v>2.4826</v>
      </c>
    </row>
    <row r="227" ht="16" customHeight="1">
      <c r="A227" t="inlineStr">
        <is>
          <t>20-Oct-2025</t>
        </is>
      </c>
      <c r="B227" t="inlineStr">
        <is>
          <t>Monday</t>
        </is>
      </c>
      <c r="C227" t="inlineStr">
        <is>
          <t>Week3-Oct-2025</t>
        </is>
      </c>
      <c r="D227" s="78" t="n">
        <v>45931</v>
      </c>
      <c r="E227" t="inlineStr">
        <is>
          <t>Q3FY26</t>
        </is>
      </c>
      <c r="F227" t="inlineStr">
        <is>
          <t>06-Nov-2025</t>
        </is>
      </c>
      <c r="G227" t="inlineStr">
        <is>
          <t>Thursday</t>
        </is>
      </c>
      <c r="H227" t="inlineStr">
        <is>
          <t>Weekly - Thursday</t>
        </is>
      </c>
      <c r="I227" t="inlineStr">
        <is>
          <t>Weekly - Thursday</t>
        </is>
      </c>
      <c r="J227" t="inlineStr">
        <is>
          <t>Month+1 Expiry</t>
        </is>
      </c>
      <c r="K227" s="25" t="n">
        <v>5538</v>
      </c>
      <c r="L227" s="26" t="n">
        <v>9.4171</v>
      </c>
      <c r="M227" s="26" t="n">
        <v>0.0607</v>
      </c>
    </row>
    <row r="228" ht="16" customHeight="1">
      <c r="A228" t="inlineStr">
        <is>
          <t>20-Oct-2025</t>
        </is>
      </c>
      <c r="B228" t="inlineStr">
        <is>
          <t>Monday</t>
        </is>
      </c>
      <c r="C228" t="inlineStr">
        <is>
          <t>Week3-Oct-2025</t>
        </is>
      </c>
      <c r="D228" s="78" t="n">
        <v>45931</v>
      </c>
      <c r="E228" t="inlineStr">
        <is>
          <t>Q3FY26</t>
        </is>
      </c>
      <c r="F228" t="inlineStr">
        <is>
          <t>13-Nov-2025</t>
        </is>
      </c>
      <c r="G228" t="inlineStr">
        <is>
          <t>Thursday</t>
        </is>
      </c>
      <c r="H228" t="inlineStr">
        <is>
          <t>Weekly - Thursday</t>
        </is>
      </c>
      <c r="I228" t="inlineStr">
        <is>
          <t>Weekly - Thursday</t>
        </is>
      </c>
      <c r="J228" t="inlineStr">
        <is>
          <t>Month+1 Expiry</t>
        </is>
      </c>
      <c r="K228" s="25" t="n">
        <v>79</v>
      </c>
      <c r="L228" s="26" t="n">
        <v>0.1315</v>
      </c>
      <c r="M228" s="26" t="n">
        <v>0.0005</v>
      </c>
    </row>
    <row r="229" ht="16" customHeight="1">
      <c r="A229" t="inlineStr">
        <is>
          <t>20-Oct-2025</t>
        </is>
      </c>
      <c r="B229" t="inlineStr">
        <is>
          <t>Monday</t>
        </is>
      </c>
      <c r="C229" t="inlineStr">
        <is>
          <t>Week3-Oct-2025</t>
        </is>
      </c>
      <c r="D229" s="78" t="n">
        <v>45931</v>
      </c>
      <c r="E229" t="inlineStr">
        <is>
          <t>Q3FY26</t>
        </is>
      </c>
      <c r="F229" t="inlineStr">
        <is>
          <t>20-Nov-2025</t>
        </is>
      </c>
      <c r="G229" t="inlineStr">
        <is>
          <t>Thursday</t>
        </is>
      </c>
      <c r="H229" t="inlineStr">
        <is>
          <t>Weekly - Thursday</t>
        </is>
      </c>
      <c r="I229" t="inlineStr">
        <is>
          <t>Weekly - Thursday</t>
        </is>
      </c>
      <c r="J229" t="inlineStr">
        <is>
          <t>Month+1 Expiry</t>
        </is>
      </c>
      <c r="K229" s="25" t="n">
        <v>4</v>
      </c>
      <c r="L229" s="26" t="n">
        <v>0.0068</v>
      </c>
      <c r="M229" s="26" t="n">
        <v>0.0001</v>
      </c>
    </row>
    <row r="230" ht="16" customHeight="1">
      <c r="A230" t="inlineStr">
        <is>
          <t>20-Oct-2025</t>
        </is>
      </c>
      <c r="B230" t="inlineStr">
        <is>
          <t>Monday</t>
        </is>
      </c>
      <c r="C230" t="inlineStr">
        <is>
          <t>Week3-Oct-2025</t>
        </is>
      </c>
      <c r="D230" s="78" t="n">
        <v>45931</v>
      </c>
      <c r="E230" t="inlineStr">
        <is>
          <t>Q3FY26</t>
        </is>
      </c>
      <c r="F230" t="inlineStr">
        <is>
          <t>27-Nov-2025</t>
        </is>
      </c>
      <c r="G230" t="inlineStr">
        <is>
          <t>Thursday</t>
        </is>
      </c>
      <c r="H230" t="inlineStr">
        <is>
          <t>Monthly - Thursday</t>
        </is>
      </c>
      <c r="I230" t="inlineStr">
        <is>
          <t>Monthly - Thursday</t>
        </is>
      </c>
      <c r="J230" t="inlineStr">
        <is>
          <t>Month+1 Expiry</t>
        </is>
      </c>
      <c r="K230" s="25" t="n">
        <v>2533</v>
      </c>
      <c r="L230" s="26" t="n">
        <v>4.2583</v>
      </c>
      <c r="M230" s="26" t="n">
        <v>0.0364</v>
      </c>
    </row>
    <row r="231" ht="16" customHeight="1">
      <c r="A231" t="inlineStr">
        <is>
          <t>21-Oct-2025</t>
        </is>
      </c>
      <c r="B231" t="inlineStr">
        <is>
          <t>Tuesday</t>
        </is>
      </c>
      <c r="C231" t="inlineStr">
        <is>
          <t>Week3-Oct-2025</t>
        </is>
      </c>
      <c r="D231" s="78" t="n">
        <v>45931</v>
      </c>
      <c r="E231" t="inlineStr">
        <is>
          <t>Q3FY26</t>
        </is>
      </c>
      <c r="F231" t="inlineStr">
        <is>
          <t>23-Oct-2025</t>
        </is>
      </c>
      <c r="G231" t="inlineStr">
        <is>
          <t>Thursday</t>
        </is>
      </c>
      <c r="H231" t="inlineStr">
        <is>
          <t>Weekly - Thursday</t>
        </is>
      </c>
      <c r="I231" t="inlineStr">
        <is>
          <t>Weekly - Thursday</t>
        </is>
      </c>
      <c r="J231" t="inlineStr">
        <is>
          <t>Same Month Expiry</t>
        </is>
      </c>
      <c r="K231" s="25" t="n">
        <v>16328486</v>
      </c>
      <c r="L231" s="26" t="n">
        <v>27602.3284</v>
      </c>
      <c r="M231" s="26" t="n">
        <v>32.2265</v>
      </c>
    </row>
    <row r="232" ht="16" customHeight="1">
      <c r="A232" t="inlineStr">
        <is>
          <t>21-Oct-2025</t>
        </is>
      </c>
      <c r="B232" t="inlineStr">
        <is>
          <t>Tuesday</t>
        </is>
      </c>
      <c r="C232" t="inlineStr">
        <is>
          <t>Week3-Oct-2025</t>
        </is>
      </c>
      <c r="D232" s="78" t="n">
        <v>45931</v>
      </c>
      <c r="E232" t="inlineStr">
        <is>
          <t>Q3FY26</t>
        </is>
      </c>
      <c r="F232" t="inlineStr">
        <is>
          <t>30-Oct-2025</t>
        </is>
      </c>
      <c r="G232" t="inlineStr">
        <is>
          <t>Thursday</t>
        </is>
      </c>
      <c r="H232" t="inlineStr">
        <is>
          <t>Monthly - Thursday</t>
        </is>
      </c>
      <c r="I232" t="inlineStr">
        <is>
          <t>Monthly - Thursday</t>
        </is>
      </c>
      <c r="J232" t="inlineStr">
        <is>
          <t>Same Month Expiry</t>
        </is>
      </c>
      <c r="K232" s="25" t="n">
        <v>120047</v>
      </c>
      <c r="L232" s="26" t="n">
        <v>202.9269</v>
      </c>
      <c r="M232" s="26" t="n">
        <v>0.6752</v>
      </c>
    </row>
    <row r="233" ht="16" customHeight="1">
      <c r="A233" t="inlineStr">
        <is>
          <t>21-Oct-2025</t>
        </is>
      </c>
      <c r="B233" t="inlineStr">
        <is>
          <t>Tuesday</t>
        </is>
      </c>
      <c r="C233" t="inlineStr">
        <is>
          <t>Week3-Oct-2025</t>
        </is>
      </c>
      <c r="D233" s="78" t="n">
        <v>45931</v>
      </c>
      <c r="E233" t="inlineStr">
        <is>
          <t>Q3FY26</t>
        </is>
      </c>
      <c r="F233" t="inlineStr">
        <is>
          <t>06-Nov-2025</t>
        </is>
      </c>
      <c r="G233" t="inlineStr">
        <is>
          <t>Thursday</t>
        </is>
      </c>
      <c r="H233" t="inlineStr">
        <is>
          <t>Weekly - Thursday</t>
        </is>
      </c>
      <c r="I233" t="inlineStr">
        <is>
          <t>Weekly - Thursday</t>
        </is>
      </c>
      <c r="J233" t="inlineStr">
        <is>
          <t>Month+1 Expiry</t>
        </is>
      </c>
      <c r="K233" s="25" t="n">
        <v>2192</v>
      </c>
      <c r="L233" s="26" t="n">
        <v>3.7196</v>
      </c>
      <c r="M233" s="26" t="n">
        <v>0.0234</v>
      </c>
    </row>
    <row r="234" ht="16" customHeight="1">
      <c r="A234" t="inlineStr">
        <is>
          <t>21-Oct-2025</t>
        </is>
      </c>
      <c r="B234" t="inlineStr">
        <is>
          <t>Tuesday</t>
        </is>
      </c>
      <c r="C234" t="inlineStr">
        <is>
          <t>Week3-Oct-2025</t>
        </is>
      </c>
      <c r="D234" s="78" t="n">
        <v>45931</v>
      </c>
      <c r="E234" t="inlineStr">
        <is>
          <t>Q3FY26</t>
        </is>
      </c>
      <c r="F234" t="inlineStr">
        <is>
          <t>13-Nov-2025</t>
        </is>
      </c>
      <c r="G234" t="inlineStr">
        <is>
          <t>Thursday</t>
        </is>
      </c>
      <c r="H234" t="inlineStr">
        <is>
          <t>Weekly - Thursday</t>
        </is>
      </c>
      <c r="I234" t="inlineStr">
        <is>
          <t>Weekly - Thursday</t>
        </is>
      </c>
      <c r="J234" t="inlineStr">
        <is>
          <t>Month+1 Expiry</t>
        </is>
      </c>
      <c r="K234" s="25" t="n">
        <v>22</v>
      </c>
      <c r="L234" s="26" t="n">
        <v>0.0376</v>
      </c>
      <c r="M234" s="26" t="n">
        <v>0.0004</v>
      </c>
    </row>
    <row r="235" ht="16" customHeight="1">
      <c r="A235" t="inlineStr">
        <is>
          <t>21-Oct-2025</t>
        </is>
      </c>
      <c r="B235" t="inlineStr">
        <is>
          <t>Tuesday</t>
        </is>
      </c>
      <c r="C235" t="inlineStr">
        <is>
          <t>Week3-Oct-2025</t>
        </is>
      </c>
      <c r="D235" s="78" t="n">
        <v>45931</v>
      </c>
      <c r="E235" t="inlineStr">
        <is>
          <t>Q3FY26</t>
        </is>
      </c>
      <c r="F235" t="inlineStr">
        <is>
          <t>20-Nov-2025</t>
        </is>
      </c>
      <c r="G235" t="inlineStr">
        <is>
          <t>Thursday</t>
        </is>
      </c>
      <c r="H235" t="inlineStr">
        <is>
          <t>Weekly - Thursday</t>
        </is>
      </c>
      <c r="I235" t="inlineStr">
        <is>
          <t>Weekly - Thursday</t>
        </is>
      </c>
      <c r="J235" t="inlineStr">
        <is>
          <t>Month+1 Expiry</t>
        </is>
      </c>
      <c r="K235" s="25" t="n">
        <v>0</v>
      </c>
      <c r="L235" s="26" t="n">
        <v>0</v>
      </c>
      <c r="M235" s="26" t="n">
        <v>0</v>
      </c>
    </row>
    <row r="236" ht="16" customHeight="1">
      <c r="A236" t="inlineStr">
        <is>
          <t>21-Oct-2025</t>
        </is>
      </c>
      <c r="B236" t="inlineStr">
        <is>
          <t>Tuesday</t>
        </is>
      </c>
      <c r="C236" t="inlineStr">
        <is>
          <t>Week3-Oct-2025</t>
        </is>
      </c>
      <c r="D236" s="78" t="n">
        <v>45931</v>
      </c>
      <c r="E236" t="inlineStr">
        <is>
          <t>Q3FY26</t>
        </is>
      </c>
      <c r="F236" t="inlineStr">
        <is>
          <t>27-Nov-2025</t>
        </is>
      </c>
      <c r="G236" t="inlineStr">
        <is>
          <t>Thursday</t>
        </is>
      </c>
      <c r="H236" t="inlineStr">
        <is>
          <t>Monthly - Thursday</t>
        </is>
      </c>
      <c r="I236" t="inlineStr">
        <is>
          <t>Monthly - Thursday</t>
        </is>
      </c>
      <c r="J236" t="inlineStr">
        <is>
          <t>Month+1 Expiry</t>
        </is>
      </c>
      <c r="K236" s="25" t="n">
        <v>674</v>
      </c>
      <c r="L236" s="26" t="n">
        <v>1.1472</v>
      </c>
      <c r="M236" s="26" t="n">
        <v>0.0115</v>
      </c>
    </row>
    <row r="237" ht="16" customHeight="1">
      <c r="A237" t="inlineStr">
        <is>
          <t>23-Oct-2025</t>
        </is>
      </c>
      <c r="B237" t="inlineStr">
        <is>
          <t>Thursday</t>
        </is>
      </c>
      <c r="C237" t="inlineStr">
        <is>
          <t>Week4-Oct-2025</t>
        </is>
      </c>
      <c r="D237" s="78" t="n">
        <v>45931</v>
      </c>
      <c r="E237" t="inlineStr">
        <is>
          <t>Q3FY26</t>
        </is>
      </c>
      <c r="F237" t="inlineStr">
        <is>
          <t>23-Oct-2025</t>
        </is>
      </c>
      <c r="G237" t="inlineStr">
        <is>
          <t>Thursday</t>
        </is>
      </c>
      <c r="H237" t="inlineStr">
        <is>
          <t>Weekly - Thursday</t>
        </is>
      </c>
      <c r="I237" t="inlineStr">
        <is>
          <t>Weekly - Thursday</t>
        </is>
      </c>
      <c r="J237" t="inlineStr">
        <is>
          <t>Same Month Expiry</t>
        </is>
      </c>
      <c r="K237" s="25" t="n">
        <v>436334067</v>
      </c>
      <c r="L237" s="26" t="n">
        <v>741584.9547</v>
      </c>
      <c r="M237" s="26" t="n">
        <v>461.0132</v>
      </c>
    </row>
    <row r="238" ht="16" customHeight="1">
      <c r="A238" t="inlineStr">
        <is>
          <t>23-Oct-2025</t>
        </is>
      </c>
      <c r="B238" t="inlineStr">
        <is>
          <t>Thursday</t>
        </is>
      </c>
      <c r="C238" t="inlineStr">
        <is>
          <t>Week4-Oct-2025</t>
        </is>
      </c>
      <c r="D238" s="78" t="n">
        <v>45931</v>
      </c>
      <c r="E238" t="inlineStr">
        <is>
          <t>Q3FY26</t>
        </is>
      </c>
      <c r="F238" t="inlineStr">
        <is>
          <t>30-Oct-2025</t>
        </is>
      </c>
      <c r="G238" t="inlineStr">
        <is>
          <t>Thursday</t>
        </is>
      </c>
      <c r="H238" t="inlineStr">
        <is>
          <t>Monthly - Thursday</t>
        </is>
      </c>
      <c r="I238" t="inlineStr">
        <is>
          <t>Monthly - Thursday</t>
        </is>
      </c>
      <c r="J238" t="inlineStr">
        <is>
          <t>Same Month Expiry</t>
        </is>
      </c>
      <c r="K238" s="25" t="n">
        <v>2321018</v>
      </c>
      <c r="L238" s="26" t="n">
        <v>3957.3117</v>
      </c>
      <c r="M238" s="26" t="n">
        <v>13.4448</v>
      </c>
    </row>
    <row r="239" ht="16" customHeight="1">
      <c r="A239" t="inlineStr">
        <is>
          <t>23-Oct-2025</t>
        </is>
      </c>
      <c r="B239" t="inlineStr">
        <is>
          <t>Thursday</t>
        </is>
      </c>
      <c r="C239" t="inlineStr">
        <is>
          <t>Week4-Oct-2025</t>
        </is>
      </c>
      <c r="D239" s="78" t="n">
        <v>45931</v>
      </c>
      <c r="E239" t="inlineStr">
        <is>
          <t>Q3FY26</t>
        </is>
      </c>
      <c r="F239" t="inlineStr">
        <is>
          <t>06-Nov-2025</t>
        </is>
      </c>
      <c r="G239" t="inlineStr">
        <is>
          <t>Thursday</t>
        </is>
      </c>
      <c r="H239" t="inlineStr">
        <is>
          <t>Weekly - Thursday</t>
        </is>
      </c>
      <c r="I239" t="inlineStr">
        <is>
          <t>Weekly - Thursday</t>
        </is>
      </c>
      <c r="J239" t="inlineStr">
        <is>
          <t>Month+1 Expiry</t>
        </is>
      </c>
      <c r="K239" s="25" t="n">
        <v>21974</v>
      </c>
      <c r="L239" s="26" t="n">
        <v>37.6038</v>
      </c>
      <c r="M239" s="26" t="n">
        <v>0.21</v>
      </c>
    </row>
    <row r="240" ht="16" customHeight="1">
      <c r="A240" t="inlineStr">
        <is>
          <t>23-Oct-2025</t>
        </is>
      </c>
      <c r="B240" t="inlineStr">
        <is>
          <t>Thursday</t>
        </is>
      </c>
      <c r="C240" t="inlineStr">
        <is>
          <t>Week4-Oct-2025</t>
        </is>
      </c>
      <c r="D240" s="78" t="n">
        <v>45931</v>
      </c>
      <c r="E240" t="inlineStr">
        <is>
          <t>Q3FY26</t>
        </is>
      </c>
      <c r="F240" t="inlineStr">
        <is>
          <t>13-Nov-2025</t>
        </is>
      </c>
      <c r="G240" t="inlineStr">
        <is>
          <t>Thursday</t>
        </is>
      </c>
      <c r="H240" t="inlineStr">
        <is>
          <t>Weekly - Thursday</t>
        </is>
      </c>
      <c r="I240" t="inlineStr">
        <is>
          <t>Weekly - Thursday</t>
        </is>
      </c>
      <c r="J240" t="inlineStr">
        <is>
          <t>Month+1 Expiry</t>
        </is>
      </c>
      <c r="K240" s="25" t="n">
        <v>42</v>
      </c>
      <c r="L240" s="26" t="n">
        <v>0.0721</v>
      </c>
      <c r="M240" s="26" t="n">
        <v>0.0005</v>
      </c>
    </row>
    <row r="241" ht="16" customHeight="1">
      <c r="A241" t="inlineStr">
        <is>
          <t>23-Oct-2025</t>
        </is>
      </c>
      <c r="B241" t="inlineStr">
        <is>
          <t>Thursday</t>
        </is>
      </c>
      <c r="C241" t="inlineStr">
        <is>
          <t>Week4-Oct-2025</t>
        </is>
      </c>
      <c r="D241" s="78" t="n">
        <v>45931</v>
      </c>
      <c r="E241" t="inlineStr">
        <is>
          <t>Q3FY26</t>
        </is>
      </c>
      <c r="F241" t="inlineStr">
        <is>
          <t>20-Nov-2025</t>
        </is>
      </c>
      <c r="G241" t="inlineStr">
        <is>
          <t>Thursday</t>
        </is>
      </c>
      <c r="H241" t="inlineStr">
        <is>
          <t>Weekly - Thursday</t>
        </is>
      </c>
      <c r="I241" t="inlineStr">
        <is>
          <t>Weekly - Thursday</t>
        </is>
      </c>
      <c r="J241" t="inlineStr">
        <is>
          <t>Month+1 Expiry</t>
        </is>
      </c>
      <c r="K241" s="25" t="n">
        <v>10</v>
      </c>
      <c r="L241" s="26" t="n">
        <v>0.0167</v>
      </c>
      <c r="M241" s="26" t="n">
        <v>0.0001</v>
      </c>
    </row>
    <row r="242" ht="16" customHeight="1">
      <c r="A242" t="inlineStr">
        <is>
          <t>23-Oct-2025</t>
        </is>
      </c>
      <c r="B242" t="inlineStr">
        <is>
          <t>Thursday</t>
        </is>
      </c>
      <c r="C242" t="inlineStr">
        <is>
          <t>Week4-Oct-2025</t>
        </is>
      </c>
      <c r="D242" s="78" t="n">
        <v>45931</v>
      </c>
      <c r="E242" t="inlineStr">
        <is>
          <t>Q3FY26</t>
        </is>
      </c>
      <c r="F242" t="inlineStr">
        <is>
          <t>27-Nov-2025</t>
        </is>
      </c>
      <c r="G242" t="inlineStr">
        <is>
          <t>Thursday</t>
        </is>
      </c>
      <c r="H242" t="inlineStr">
        <is>
          <t>Monthly - Thursday</t>
        </is>
      </c>
      <c r="I242" t="inlineStr">
        <is>
          <t>Monthly - Thursday</t>
        </is>
      </c>
      <c r="J242" t="inlineStr">
        <is>
          <t>Month+1 Expiry</t>
        </is>
      </c>
      <c r="K242" s="25" t="n">
        <v>5741</v>
      </c>
      <c r="L242" s="26" t="n">
        <v>9.9092</v>
      </c>
      <c r="M242" s="26" t="n">
        <v>0.082</v>
      </c>
    </row>
    <row r="243" ht="16" customHeight="1">
      <c r="A243" t="inlineStr">
        <is>
          <t>24-Oct-2025</t>
        </is>
      </c>
      <c r="B243" t="inlineStr">
        <is>
          <t>Friday</t>
        </is>
      </c>
      <c r="C243" t="inlineStr">
        <is>
          <t>Week4-Oct-2025</t>
        </is>
      </c>
      <c r="D243" s="78" t="n">
        <v>45931</v>
      </c>
      <c r="E243" t="inlineStr">
        <is>
          <t>Q3FY26</t>
        </is>
      </c>
      <c r="F243" t="inlineStr">
        <is>
          <t>30-Oct-2025</t>
        </is>
      </c>
      <c r="G243" t="inlineStr">
        <is>
          <t>Thursday</t>
        </is>
      </c>
      <c r="H243" t="inlineStr">
        <is>
          <t>Monthly - Thursday</t>
        </is>
      </c>
      <c r="I243" t="inlineStr">
        <is>
          <t>MDAW - Thursday</t>
        </is>
      </c>
      <c r="J243" t="inlineStr">
        <is>
          <t>Same Month Expiry</t>
        </is>
      </c>
      <c r="K243" s="25" t="n">
        <v>21172205</v>
      </c>
      <c r="L243" s="26" t="n">
        <v>35854.7391</v>
      </c>
      <c r="M243" s="26" t="n">
        <v>104.4166</v>
      </c>
    </row>
    <row r="244" ht="16" customHeight="1">
      <c r="A244" t="inlineStr">
        <is>
          <t>24-Oct-2025</t>
        </is>
      </c>
      <c r="B244" t="inlineStr">
        <is>
          <t>Friday</t>
        </is>
      </c>
      <c r="C244" t="inlineStr">
        <is>
          <t>Week4-Oct-2025</t>
        </is>
      </c>
      <c r="D244" s="78" t="n">
        <v>45931</v>
      </c>
      <c r="E244" t="inlineStr">
        <is>
          <t>Q3FY26</t>
        </is>
      </c>
      <c r="F244" t="inlineStr">
        <is>
          <t>06-Nov-2025</t>
        </is>
      </c>
      <c r="G244" t="inlineStr">
        <is>
          <t>Thursday</t>
        </is>
      </c>
      <c r="H244" t="inlineStr">
        <is>
          <t>Weekly - Thursday</t>
        </is>
      </c>
      <c r="I244" t="inlineStr">
        <is>
          <t>Weekly - Thursday</t>
        </is>
      </c>
      <c r="J244" t="inlineStr">
        <is>
          <t>Month+1 Expiry</t>
        </is>
      </c>
      <c r="K244" s="25" t="n">
        <v>122792</v>
      </c>
      <c r="L244" s="26" t="n">
        <v>208.9423</v>
      </c>
      <c r="M244" s="26" t="n">
        <v>1.2063</v>
      </c>
    </row>
    <row r="245" ht="16" customHeight="1">
      <c r="A245" t="inlineStr">
        <is>
          <t>24-Oct-2025</t>
        </is>
      </c>
      <c r="B245" t="inlineStr">
        <is>
          <t>Friday</t>
        </is>
      </c>
      <c r="C245" t="inlineStr">
        <is>
          <t>Week4-Oct-2025</t>
        </is>
      </c>
      <c r="D245" s="78" t="n">
        <v>45931</v>
      </c>
      <c r="E245" t="inlineStr">
        <is>
          <t>Q3FY26</t>
        </is>
      </c>
      <c r="F245" t="inlineStr">
        <is>
          <t>13-Nov-2025</t>
        </is>
      </c>
      <c r="G245" t="inlineStr">
        <is>
          <t>Thursday</t>
        </is>
      </c>
      <c r="H245" t="inlineStr">
        <is>
          <t>Weekly - Thursday</t>
        </is>
      </c>
      <c r="I245" t="inlineStr">
        <is>
          <t>Weekly - Thursday</t>
        </is>
      </c>
      <c r="J245" t="inlineStr">
        <is>
          <t>Month+1 Expiry</t>
        </is>
      </c>
      <c r="K245" s="25" t="n">
        <v>1663</v>
      </c>
      <c r="L245" s="26" t="n">
        <v>2.835</v>
      </c>
      <c r="M245" s="26" t="n">
        <v>0.0262</v>
      </c>
    </row>
    <row r="246" ht="16" customHeight="1">
      <c r="A246" t="inlineStr">
        <is>
          <t>24-Oct-2025</t>
        </is>
      </c>
      <c r="B246" t="inlineStr">
        <is>
          <t>Friday</t>
        </is>
      </c>
      <c r="C246" t="inlineStr">
        <is>
          <t>Week4-Oct-2025</t>
        </is>
      </c>
      <c r="D246" s="78" t="n">
        <v>45931</v>
      </c>
      <c r="E246" t="inlineStr">
        <is>
          <t>Q3FY26</t>
        </is>
      </c>
      <c r="F246" t="inlineStr">
        <is>
          <t>20-Nov-2025</t>
        </is>
      </c>
      <c r="G246" t="inlineStr">
        <is>
          <t>Thursday</t>
        </is>
      </c>
      <c r="H246" t="inlineStr">
        <is>
          <t>Weekly - Thursday</t>
        </is>
      </c>
      <c r="I246" t="inlineStr">
        <is>
          <t>Weekly - Thursday</t>
        </is>
      </c>
      <c r="J246" t="inlineStr">
        <is>
          <t>Month+1 Expiry</t>
        </is>
      </c>
      <c r="K246" s="25" t="n">
        <v>4</v>
      </c>
      <c r="L246" s="26" t="n">
        <v>0.0068</v>
      </c>
      <c r="M246" s="26" t="n">
        <v>0.0001</v>
      </c>
    </row>
    <row r="247" ht="16" customHeight="1">
      <c r="A247" t="inlineStr">
        <is>
          <t>24-Oct-2025</t>
        </is>
      </c>
      <c r="B247" t="inlineStr">
        <is>
          <t>Friday</t>
        </is>
      </c>
      <c r="C247" t="inlineStr">
        <is>
          <t>Week4-Oct-2025</t>
        </is>
      </c>
      <c r="D247" s="78" t="n">
        <v>45931</v>
      </c>
      <c r="E247" t="inlineStr">
        <is>
          <t>Q3FY26</t>
        </is>
      </c>
      <c r="F247" t="inlineStr">
        <is>
          <t>27-Nov-2025</t>
        </is>
      </c>
      <c r="G247" t="inlineStr">
        <is>
          <t>Thursday</t>
        </is>
      </c>
      <c r="H247" t="inlineStr">
        <is>
          <t>Monthly - Thursday</t>
        </is>
      </c>
      <c r="I247" t="inlineStr">
        <is>
          <t>Monthly - Thursday</t>
        </is>
      </c>
      <c r="J247" t="inlineStr">
        <is>
          <t>Month+1 Expiry</t>
        </is>
      </c>
      <c r="K247" s="25" t="n">
        <v>7002</v>
      </c>
      <c r="L247" s="26" t="n">
        <v>11.9433</v>
      </c>
      <c r="M247" s="26" t="n">
        <v>0.0999</v>
      </c>
    </row>
    <row r="248" ht="16" customHeight="1">
      <c r="A248" t="inlineStr">
        <is>
          <t>27-Oct-2025</t>
        </is>
      </c>
      <c r="B248" t="inlineStr">
        <is>
          <t>Monday</t>
        </is>
      </c>
      <c r="C248" t="inlineStr">
        <is>
          <t>Week4-Oct-2025</t>
        </is>
      </c>
      <c r="D248" s="78" t="n">
        <v>45931</v>
      </c>
      <c r="E248" t="inlineStr">
        <is>
          <t>Q3FY26</t>
        </is>
      </c>
      <c r="F248" t="inlineStr">
        <is>
          <t>30-Oct-2025</t>
        </is>
      </c>
      <c r="G248" t="inlineStr">
        <is>
          <t>Thursday</t>
        </is>
      </c>
      <c r="H248" t="inlineStr">
        <is>
          <t>Monthly - Thursday</t>
        </is>
      </c>
      <c r="I248" t="inlineStr">
        <is>
          <t>MDAW - Thursday</t>
        </is>
      </c>
      <c r="J248" t="inlineStr">
        <is>
          <t>Same Month Expiry</t>
        </is>
      </c>
      <c r="K248" s="25" t="n">
        <v>20117076</v>
      </c>
      <c r="L248" s="26" t="n">
        <v>34198.0693</v>
      </c>
      <c r="M248" s="26" t="n">
        <v>95.3826</v>
      </c>
    </row>
    <row r="249" ht="16" customHeight="1">
      <c r="A249" t="inlineStr">
        <is>
          <t>27-Oct-2025</t>
        </is>
      </c>
      <c r="B249" t="inlineStr">
        <is>
          <t>Monday</t>
        </is>
      </c>
      <c r="C249" t="inlineStr">
        <is>
          <t>Week4-Oct-2025</t>
        </is>
      </c>
      <c r="D249" s="78" t="n">
        <v>45931</v>
      </c>
      <c r="E249" t="inlineStr">
        <is>
          <t>Q3FY26</t>
        </is>
      </c>
      <c r="F249" t="inlineStr">
        <is>
          <t>06-Nov-2025</t>
        </is>
      </c>
      <c r="G249" t="inlineStr">
        <is>
          <t>Thursday</t>
        </is>
      </c>
      <c r="H249" t="inlineStr">
        <is>
          <t>Weekly - Thursday</t>
        </is>
      </c>
      <c r="I249" t="inlineStr">
        <is>
          <t>Weekly - Thursday</t>
        </is>
      </c>
      <c r="J249" t="inlineStr">
        <is>
          <t>Month+1 Expiry</t>
        </is>
      </c>
      <c r="K249" s="25" t="n">
        <v>159261</v>
      </c>
      <c r="L249" s="26" t="n">
        <v>271.7199</v>
      </c>
      <c r="M249" s="26" t="n">
        <v>1.4459</v>
      </c>
    </row>
    <row r="250" ht="16" customHeight="1">
      <c r="A250" t="inlineStr">
        <is>
          <t>27-Oct-2025</t>
        </is>
      </c>
      <c r="B250" t="inlineStr">
        <is>
          <t>Monday</t>
        </is>
      </c>
      <c r="C250" t="inlineStr">
        <is>
          <t>Week4-Oct-2025</t>
        </is>
      </c>
      <c r="D250" s="78" t="n">
        <v>45931</v>
      </c>
      <c r="E250" t="inlineStr">
        <is>
          <t>Q3FY26</t>
        </is>
      </c>
      <c r="F250" t="inlineStr">
        <is>
          <t>13-Nov-2025</t>
        </is>
      </c>
      <c r="G250" t="inlineStr">
        <is>
          <t>Thursday</t>
        </is>
      </c>
      <c r="H250" t="inlineStr">
        <is>
          <t>Weekly - Thursday</t>
        </is>
      </c>
      <c r="I250" t="inlineStr">
        <is>
          <t>Weekly - Thursday</t>
        </is>
      </c>
      <c r="J250" t="inlineStr">
        <is>
          <t>Month+1 Expiry</t>
        </is>
      </c>
      <c r="K250" s="25" t="n">
        <v>3258</v>
      </c>
      <c r="L250" s="26" t="n">
        <v>5.5927</v>
      </c>
      <c r="M250" s="26" t="n">
        <v>0.0513</v>
      </c>
    </row>
    <row r="251" ht="16" customHeight="1">
      <c r="A251" t="inlineStr">
        <is>
          <t>27-Oct-2025</t>
        </is>
      </c>
      <c r="B251" t="inlineStr">
        <is>
          <t>Monday</t>
        </is>
      </c>
      <c r="C251" t="inlineStr">
        <is>
          <t>Week4-Oct-2025</t>
        </is>
      </c>
      <c r="D251" s="78" t="n">
        <v>45931</v>
      </c>
      <c r="E251" t="inlineStr">
        <is>
          <t>Q3FY26</t>
        </is>
      </c>
      <c r="F251" t="inlineStr">
        <is>
          <t>20-Nov-2025</t>
        </is>
      </c>
      <c r="G251" t="inlineStr">
        <is>
          <t>Thursday</t>
        </is>
      </c>
      <c r="H251" t="inlineStr">
        <is>
          <t>Weekly - Thursday</t>
        </is>
      </c>
      <c r="I251" t="inlineStr">
        <is>
          <t>Weekly - Thursday</t>
        </is>
      </c>
      <c r="J251" t="inlineStr">
        <is>
          <t>Month+1 Expiry</t>
        </is>
      </c>
      <c r="K251" s="25" t="n">
        <v>7</v>
      </c>
      <c r="L251" s="26" t="n">
        <v>0.012</v>
      </c>
      <c r="M251" s="26" t="n">
        <v>0.0001</v>
      </c>
    </row>
    <row r="252" ht="16" customHeight="1">
      <c r="A252" t="inlineStr">
        <is>
          <t>27-Oct-2025</t>
        </is>
      </c>
      <c r="B252" t="inlineStr">
        <is>
          <t>Monday</t>
        </is>
      </c>
      <c r="C252" t="inlineStr">
        <is>
          <t>Week4-Oct-2025</t>
        </is>
      </c>
      <c r="D252" s="78" t="n">
        <v>45931</v>
      </c>
      <c r="E252" t="inlineStr">
        <is>
          <t>Q3FY26</t>
        </is>
      </c>
      <c r="F252" t="inlineStr">
        <is>
          <t>27-Nov-2025</t>
        </is>
      </c>
      <c r="G252" t="inlineStr">
        <is>
          <t>Thursday</t>
        </is>
      </c>
      <c r="H252" t="inlineStr">
        <is>
          <t>Monthly - Thursday</t>
        </is>
      </c>
      <c r="I252" t="inlineStr">
        <is>
          <t>Monthly - Thursday</t>
        </is>
      </c>
      <c r="J252" t="inlineStr">
        <is>
          <t>Month+1 Expiry</t>
        </is>
      </c>
      <c r="K252" s="25" t="n">
        <v>9063</v>
      </c>
      <c r="L252" s="26" t="n">
        <v>15.4878</v>
      </c>
      <c r="M252" s="26" t="n">
        <v>0.1248</v>
      </c>
    </row>
    <row r="253" ht="16" customHeight="1">
      <c r="A253" t="inlineStr">
        <is>
          <t>28-Oct-2025</t>
        </is>
      </c>
      <c r="B253" t="inlineStr">
        <is>
          <t>Tuesday</t>
        </is>
      </c>
      <c r="C253" t="inlineStr">
        <is>
          <t>Week4-Oct-2025</t>
        </is>
      </c>
      <c r="D253" s="78" t="n">
        <v>45931</v>
      </c>
      <c r="E253" t="inlineStr">
        <is>
          <t>Q3FY26</t>
        </is>
      </c>
      <c r="F253" t="inlineStr">
        <is>
          <t>30-Oct-2025</t>
        </is>
      </c>
      <c r="G253" t="inlineStr">
        <is>
          <t>Thursday</t>
        </is>
      </c>
      <c r="H253" t="inlineStr">
        <is>
          <t>Monthly - Thursday</t>
        </is>
      </c>
      <c r="I253" t="inlineStr">
        <is>
          <t>MDAW - Thursday</t>
        </is>
      </c>
      <c r="J253" t="inlineStr">
        <is>
          <t>Same Month Expiry</t>
        </is>
      </c>
      <c r="K253" s="25" t="n">
        <v>25634361</v>
      </c>
      <c r="L253" s="26" t="n">
        <v>43546.806</v>
      </c>
      <c r="M253" s="26" t="n">
        <v>105.2789</v>
      </c>
    </row>
    <row r="254" ht="16" customHeight="1">
      <c r="A254" t="inlineStr">
        <is>
          <t>28-Oct-2025</t>
        </is>
      </c>
      <c r="B254" t="inlineStr">
        <is>
          <t>Tuesday</t>
        </is>
      </c>
      <c r="C254" t="inlineStr">
        <is>
          <t>Week4-Oct-2025</t>
        </is>
      </c>
      <c r="D254" s="78" t="n">
        <v>45931</v>
      </c>
      <c r="E254" t="inlineStr">
        <is>
          <t>Q3FY26</t>
        </is>
      </c>
      <c r="F254" t="inlineStr">
        <is>
          <t>06-Nov-2025</t>
        </is>
      </c>
      <c r="G254" t="inlineStr">
        <is>
          <t>Thursday</t>
        </is>
      </c>
      <c r="H254" t="inlineStr">
        <is>
          <t>Weekly - Thursday</t>
        </is>
      </c>
      <c r="I254" t="inlineStr">
        <is>
          <t>Weekly - Thursday</t>
        </is>
      </c>
      <c r="J254" t="inlineStr">
        <is>
          <t>Month+1 Expiry</t>
        </is>
      </c>
      <c r="K254" s="25" t="n">
        <v>288489</v>
      </c>
      <c r="L254" s="26" t="n">
        <v>491.8189</v>
      </c>
      <c r="M254" s="26" t="n">
        <v>2.5727</v>
      </c>
    </row>
    <row r="255" ht="16" customHeight="1">
      <c r="A255" t="inlineStr">
        <is>
          <t>28-Oct-2025</t>
        </is>
      </c>
      <c r="B255" t="inlineStr">
        <is>
          <t>Tuesday</t>
        </is>
      </c>
      <c r="C255" t="inlineStr">
        <is>
          <t>Week4-Oct-2025</t>
        </is>
      </c>
      <c r="D255" s="78" t="n">
        <v>45931</v>
      </c>
      <c r="E255" t="inlineStr">
        <is>
          <t>Q3FY26</t>
        </is>
      </c>
      <c r="F255" t="inlineStr">
        <is>
          <t>13-Nov-2025</t>
        </is>
      </c>
      <c r="G255" t="inlineStr">
        <is>
          <t>Thursday</t>
        </is>
      </c>
      <c r="H255" t="inlineStr">
        <is>
          <t>Weekly - Thursday</t>
        </is>
      </c>
      <c r="I255" t="inlineStr">
        <is>
          <t>Weekly - Thursday</t>
        </is>
      </c>
      <c r="J255" t="inlineStr">
        <is>
          <t>Month+1 Expiry</t>
        </is>
      </c>
      <c r="K255" s="25" t="n">
        <v>4090</v>
      </c>
      <c r="L255" s="26" t="n">
        <v>7.0085</v>
      </c>
      <c r="M255" s="26" t="n">
        <v>0.0601</v>
      </c>
    </row>
    <row r="256" ht="16" customHeight="1">
      <c r="A256" t="inlineStr">
        <is>
          <t>28-Oct-2025</t>
        </is>
      </c>
      <c r="B256" t="inlineStr">
        <is>
          <t>Tuesday</t>
        </is>
      </c>
      <c r="C256" t="inlineStr">
        <is>
          <t>Week4-Oct-2025</t>
        </is>
      </c>
      <c r="D256" s="78" t="n">
        <v>45931</v>
      </c>
      <c r="E256" t="inlineStr">
        <is>
          <t>Q3FY26</t>
        </is>
      </c>
      <c r="F256" t="inlineStr">
        <is>
          <t>20-Nov-2025</t>
        </is>
      </c>
      <c r="G256" t="inlineStr">
        <is>
          <t>Thursday</t>
        </is>
      </c>
      <c r="H256" t="inlineStr">
        <is>
          <t>Weekly - Thursday</t>
        </is>
      </c>
      <c r="I256" t="inlineStr">
        <is>
          <t>Weekly - Thursday</t>
        </is>
      </c>
      <c r="J256" t="inlineStr">
        <is>
          <t>Month+1 Expiry</t>
        </is>
      </c>
      <c r="K256" s="25" t="n">
        <v>12</v>
      </c>
      <c r="L256" s="26" t="n">
        <v>0.0202</v>
      </c>
      <c r="M256" s="26" t="n">
        <v>0.0002</v>
      </c>
    </row>
    <row r="257" ht="16" customHeight="1">
      <c r="A257" t="inlineStr">
        <is>
          <t>28-Oct-2025</t>
        </is>
      </c>
      <c r="B257" t="inlineStr">
        <is>
          <t>Tuesday</t>
        </is>
      </c>
      <c r="C257" t="inlineStr">
        <is>
          <t>Week4-Oct-2025</t>
        </is>
      </c>
      <c r="D257" s="78" t="n">
        <v>45931</v>
      </c>
      <c r="E257" t="inlineStr">
        <is>
          <t>Q3FY26</t>
        </is>
      </c>
      <c r="F257" t="inlineStr">
        <is>
          <t>27-Nov-2025</t>
        </is>
      </c>
      <c r="G257" t="inlineStr">
        <is>
          <t>Thursday</t>
        </is>
      </c>
      <c r="H257" t="inlineStr">
        <is>
          <t>Monthly - Thursday</t>
        </is>
      </c>
      <c r="I257" t="inlineStr">
        <is>
          <t>Monthly - Thursday</t>
        </is>
      </c>
      <c r="J257" t="inlineStr">
        <is>
          <t>Month+1 Expiry</t>
        </is>
      </c>
      <c r="K257" s="25" t="n">
        <v>9952</v>
      </c>
      <c r="L257" s="26" t="n">
        <v>16.9797</v>
      </c>
      <c r="M257" s="26" t="n">
        <v>0.1456</v>
      </c>
    </row>
    <row r="258" ht="16" customHeight="1">
      <c r="A258" t="inlineStr">
        <is>
          <t>28-Oct-2025</t>
        </is>
      </c>
      <c r="B258" t="inlineStr">
        <is>
          <t>Tuesday</t>
        </is>
      </c>
      <c r="C258" t="inlineStr">
        <is>
          <t>Week4-Oct-2025</t>
        </is>
      </c>
      <c r="D258" s="78" t="n">
        <v>45931</v>
      </c>
      <c r="E258" t="inlineStr">
        <is>
          <t>Q3FY26</t>
        </is>
      </c>
      <c r="F258" t="inlineStr">
        <is>
          <t>11-Dec-2025</t>
        </is>
      </c>
      <c r="G258" t="inlineStr">
        <is>
          <t>Thursday</t>
        </is>
      </c>
      <c r="H258" t="inlineStr">
        <is>
          <t>Weekly - Thursday</t>
        </is>
      </c>
      <c r="I258" t="inlineStr">
        <is>
          <t>Weekly - Thursday</t>
        </is>
      </c>
      <c r="J258" t="inlineStr">
        <is>
          <t>Month+2 Expiry</t>
        </is>
      </c>
      <c r="K258" s="25" t="n">
        <v>4</v>
      </c>
      <c r="L258" s="26" t="n">
        <v>0.0067</v>
      </c>
      <c r="M258" s="26" t="n">
        <v>0.0002</v>
      </c>
    </row>
    <row r="259" ht="16" customHeight="1">
      <c r="A259" t="inlineStr">
        <is>
          <t>29-Oct-2025</t>
        </is>
      </c>
      <c r="B259" t="inlineStr">
        <is>
          <t>Wednesday</t>
        </is>
      </c>
      <c r="C259" t="inlineStr">
        <is>
          <t>Week5-Oct-2025</t>
        </is>
      </c>
      <c r="D259" s="78" t="n">
        <v>45931</v>
      </c>
      <c r="E259" t="inlineStr">
        <is>
          <t>Q3FY26</t>
        </is>
      </c>
      <c r="F259" t="inlineStr">
        <is>
          <t>30-Oct-2025</t>
        </is>
      </c>
      <c r="G259" t="inlineStr">
        <is>
          <t>Thursday</t>
        </is>
      </c>
      <c r="H259" t="inlineStr">
        <is>
          <t>Monthly - Thursday</t>
        </is>
      </c>
      <c r="I259" t="inlineStr">
        <is>
          <t>MDAW - Thursday</t>
        </is>
      </c>
      <c r="J259" t="inlineStr">
        <is>
          <t>Same Month Expiry</t>
        </is>
      </c>
      <c r="K259" s="25" t="n">
        <v>95297049</v>
      </c>
      <c r="L259" s="26" t="n">
        <v>162143.914</v>
      </c>
      <c r="M259" s="26" t="n">
        <v>263.9421</v>
      </c>
    </row>
    <row r="260" ht="16" customHeight="1">
      <c r="A260" t="inlineStr">
        <is>
          <t>29-Oct-2025</t>
        </is>
      </c>
      <c r="B260" t="inlineStr">
        <is>
          <t>Wednesday</t>
        </is>
      </c>
      <c r="C260" t="inlineStr">
        <is>
          <t>Week5-Oct-2025</t>
        </is>
      </c>
      <c r="D260" s="78" t="n">
        <v>45931</v>
      </c>
      <c r="E260" t="inlineStr">
        <is>
          <t>Q3FY26</t>
        </is>
      </c>
      <c r="F260" t="inlineStr">
        <is>
          <t>06-Nov-2025</t>
        </is>
      </c>
      <c r="G260" t="inlineStr">
        <is>
          <t>Thursday</t>
        </is>
      </c>
      <c r="H260" t="inlineStr">
        <is>
          <t>Weekly - Thursday</t>
        </is>
      </c>
      <c r="I260" t="inlineStr">
        <is>
          <t>Weekly - Thursday</t>
        </is>
      </c>
      <c r="J260" t="inlineStr">
        <is>
          <t>Month+1 Expiry</t>
        </is>
      </c>
      <c r="K260" s="25" t="n">
        <v>567001</v>
      </c>
      <c r="L260" s="26" t="n">
        <v>966.5922</v>
      </c>
      <c r="M260" s="26" t="n">
        <v>4.2689</v>
      </c>
    </row>
    <row r="261" ht="16" customHeight="1">
      <c r="A261" t="inlineStr">
        <is>
          <t>29-Oct-2025</t>
        </is>
      </c>
      <c r="B261" t="inlineStr">
        <is>
          <t>Wednesday</t>
        </is>
      </c>
      <c r="C261" t="inlineStr">
        <is>
          <t>Week5-Oct-2025</t>
        </is>
      </c>
      <c r="D261" s="78" t="n">
        <v>45931</v>
      </c>
      <c r="E261" t="inlineStr">
        <is>
          <t>Q3FY26</t>
        </is>
      </c>
      <c r="F261" t="inlineStr">
        <is>
          <t>13-Nov-2025</t>
        </is>
      </c>
      <c r="G261" t="inlineStr">
        <is>
          <t>Thursday</t>
        </is>
      </c>
      <c r="H261" t="inlineStr">
        <is>
          <t>Weekly - Thursday</t>
        </is>
      </c>
      <c r="I261" t="inlineStr">
        <is>
          <t>Weekly - Thursday</t>
        </is>
      </c>
      <c r="J261" t="inlineStr">
        <is>
          <t>Month+1 Expiry</t>
        </is>
      </c>
      <c r="K261" s="25" t="n">
        <v>5020</v>
      </c>
      <c r="L261" s="26" t="n">
        <v>8.628399999999999</v>
      </c>
      <c r="M261" s="26" t="n">
        <v>0.0673</v>
      </c>
    </row>
    <row r="262" ht="16" customHeight="1">
      <c r="A262" t="inlineStr">
        <is>
          <t>29-Oct-2025</t>
        </is>
      </c>
      <c r="B262" t="inlineStr">
        <is>
          <t>Wednesday</t>
        </is>
      </c>
      <c r="C262" t="inlineStr">
        <is>
          <t>Week5-Oct-2025</t>
        </is>
      </c>
      <c r="D262" s="78" t="n">
        <v>45931</v>
      </c>
      <c r="E262" t="inlineStr">
        <is>
          <t>Q3FY26</t>
        </is>
      </c>
      <c r="F262" t="inlineStr">
        <is>
          <t>20-Nov-2025</t>
        </is>
      </c>
      <c r="G262" t="inlineStr">
        <is>
          <t>Thursday</t>
        </is>
      </c>
      <c r="H262" t="inlineStr">
        <is>
          <t>Weekly - Thursday</t>
        </is>
      </c>
      <c r="I262" t="inlineStr">
        <is>
          <t>Weekly - Thursday</t>
        </is>
      </c>
      <c r="J262" t="inlineStr">
        <is>
          <t>Month+1 Expiry</t>
        </is>
      </c>
      <c r="K262" s="25" t="n">
        <v>28</v>
      </c>
      <c r="L262" s="26" t="n">
        <v>0.0485</v>
      </c>
      <c r="M262" s="26" t="n">
        <v>0.0001</v>
      </c>
    </row>
    <row r="263" ht="16" customHeight="1">
      <c r="A263" t="inlineStr">
        <is>
          <t>29-Oct-2025</t>
        </is>
      </c>
      <c r="B263" t="inlineStr">
        <is>
          <t>Wednesday</t>
        </is>
      </c>
      <c r="C263" t="inlineStr">
        <is>
          <t>Week5-Oct-2025</t>
        </is>
      </c>
      <c r="D263" s="78" t="n">
        <v>45931</v>
      </c>
      <c r="E263" t="inlineStr">
        <is>
          <t>Q3FY26</t>
        </is>
      </c>
      <c r="F263" t="inlineStr">
        <is>
          <t>27-Nov-2025</t>
        </is>
      </c>
      <c r="G263" t="inlineStr">
        <is>
          <t>Thursday</t>
        </is>
      </c>
      <c r="H263" t="inlineStr">
        <is>
          <t>Monthly - Thursday</t>
        </is>
      </c>
      <c r="I263" t="inlineStr">
        <is>
          <t>Monthly - Thursday</t>
        </is>
      </c>
      <c r="J263" t="inlineStr">
        <is>
          <t>Month+1 Expiry</t>
        </is>
      </c>
      <c r="K263" s="25" t="n">
        <v>10371</v>
      </c>
      <c r="L263" s="26" t="n">
        <v>17.7446</v>
      </c>
      <c r="M263" s="26" t="n">
        <v>0.149</v>
      </c>
    </row>
    <row r="264" ht="16" customHeight="1">
      <c r="A264" t="inlineStr">
        <is>
          <t>29-Oct-2025</t>
        </is>
      </c>
      <c r="B264" t="inlineStr">
        <is>
          <t>Wednesday</t>
        </is>
      </c>
      <c r="C264" t="inlineStr">
        <is>
          <t>Week5-Oct-2025</t>
        </is>
      </c>
      <c r="D264" s="78" t="n">
        <v>45931</v>
      </c>
      <c r="E264" t="inlineStr">
        <is>
          <t>Q3FY26</t>
        </is>
      </c>
      <c r="F264" t="inlineStr">
        <is>
          <t>11-Dec-2025</t>
        </is>
      </c>
      <c r="G264" t="inlineStr">
        <is>
          <t>Thursday</t>
        </is>
      </c>
      <c r="H264" t="inlineStr">
        <is>
          <t>Weekly - Thursday</t>
        </is>
      </c>
      <c r="I264" t="inlineStr">
        <is>
          <t>Weekly - Thursday</t>
        </is>
      </c>
      <c r="J264" t="inlineStr">
        <is>
          <t>Month+2 Expiry</t>
        </is>
      </c>
      <c r="K264" s="25" t="n">
        <v>2</v>
      </c>
      <c r="L264" s="26" t="n">
        <v>0.0035</v>
      </c>
      <c r="M264" s="26" t="n">
        <v>0.0002</v>
      </c>
    </row>
    <row r="265" ht="16" customHeight="1">
      <c r="A265" t="inlineStr">
        <is>
          <t>30-Oct-2025</t>
        </is>
      </c>
      <c r="B265" t="inlineStr">
        <is>
          <t>Thursday</t>
        </is>
      </c>
      <c r="C265" t="inlineStr">
        <is>
          <t>Week5-Oct-2025</t>
        </is>
      </c>
      <c r="D265" s="78" t="n">
        <v>45931</v>
      </c>
      <c r="E265" t="inlineStr">
        <is>
          <t>Q3FY26</t>
        </is>
      </c>
      <c r="F265" t="inlineStr">
        <is>
          <t>30-Oct-2025</t>
        </is>
      </c>
      <c r="G265" t="inlineStr">
        <is>
          <t>Thursday</t>
        </is>
      </c>
      <c r="H265" t="inlineStr">
        <is>
          <t>Monthly - Thursday</t>
        </is>
      </c>
      <c r="I265" t="inlineStr">
        <is>
          <t>MDAW - Thursday</t>
        </is>
      </c>
      <c r="J265" t="inlineStr">
        <is>
          <t>Same Month Expiry</t>
        </is>
      </c>
      <c r="K265" s="25" t="n">
        <v>394547294</v>
      </c>
      <c r="L265" s="26" t="n">
        <v>667999.6845</v>
      </c>
      <c r="M265" s="26" t="n">
        <v>422.7509</v>
      </c>
    </row>
    <row r="266" ht="16" customHeight="1">
      <c r="A266" t="inlineStr">
        <is>
          <t>30-Oct-2025</t>
        </is>
      </c>
      <c r="B266" t="inlineStr">
        <is>
          <t>Thursday</t>
        </is>
      </c>
      <c r="C266" t="inlineStr">
        <is>
          <t>Week5-Oct-2025</t>
        </is>
      </c>
      <c r="D266" s="78" t="n">
        <v>45931</v>
      </c>
      <c r="E266" t="inlineStr">
        <is>
          <t>Q3FY26</t>
        </is>
      </c>
      <c r="F266" t="inlineStr">
        <is>
          <t>06-Nov-2025</t>
        </is>
      </c>
      <c r="G266" t="inlineStr">
        <is>
          <t>Thursday</t>
        </is>
      </c>
      <c r="H266" t="inlineStr">
        <is>
          <t>Weekly - Thursday</t>
        </is>
      </c>
      <c r="I266" t="inlineStr">
        <is>
          <t>Weekly - Thursday</t>
        </is>
      </c>
      <c r="J266" t="inlineStr">
        <is>
          <t>Month+1 Expiry</t>
        </is>
      </c>
      <c r="K266" s="25" t="n">
        <v>1915152</v>
      </c>
      <c r="L266" s="26" t="n">
        <v>3262.9782</v>
      </c>
      <c r="M266" s="26" t="n">
        <v>11.2947</v>
      </c>
    </row>
    <row r="267" ht="16" customHeight="1">
      <c r="A267" t="inlineStr">
        <is>
          <t>30-Oct-2025</t>
        </is>
      </c>
      <c r="B267" t="inlineStr">
        <is>
          <t>Thursday</t>
        </is>
      </c>
      <c r="C267" t="inlineStr">
        <is>
          <t>Week5-Oct-2025</t>
        </is>
      </c>
      <c r="D267" s="78" t="n">
        <v>45931</v>
      </c>
      <c r="E267" t="inlineStr">
        <is>
          <t>Q3FY26</t>
        </is>
      </c>
      <c r="F267" t="inlineStr">
        <is>
          <t>13-Nov-2025</t>
        </is>
      </c>
      <c r="G267" t="inlineStr">
        <is>
          <t>Thursday</t>
        </is>
      </c>
      <c r="H267" t="inlineStr">
        <is>
          <t>Weekly - Thursday</t>
        </is>
      </c>
      <c r="I267" t="inlineStr">
        <is>
          <t>Weekly - Thursday</t>
        </is>
      </c>
      <c r="J267" t="inlineStr">
        <is>
          <t>Month+1 Expiry</t>
        </is>
      </c>
      <c r="K267" s="25" t="n">
        <v>15970</v>
      </c>
      <c r="L267" s="26" t="n">
        <v>27.3278</v>
      </c>
      <c r="M267" s="26" t="n">
        <v>0.1686</v>
      </c>
    </row>
    <row r="268" ht="16" customHeight="1">
      <c r="A268" t="inlineStr">
        <is>
          <t>30-Oct-2025</t>
        </is>
      </c>
      <c r="B268" t="inlineStr">
        <is>
          <t>Thursday</t>
        </is>
      </c>
      <c r="C268" t="inlineStr">
        <is>
          <t>Week5-Oct-2025</t>
        </is>
      </c>
      <c r="D268" s="78" t="n">
        <v>45931</v>
      </c>
      <c r="E268" t="inlineStr">
        <is>
          <t>Q3FY26</t>
        </is>
      </c>
      <c r="F268" t="inlineStr">
        <is>
          <t>20-Nov-2025</t>
        </is>
      </c>
      <c r="G268" t="inlineStr">
        <is>
          <t>Thursday</t>
        </is>
      </c>
      <c r="H268" t="inlineStr">
        <is>
          <t>Weekly - Thursday</t>
        </is>
      </c>
      <c r="I268" t="inlineStr">
        <is>
          <t>Weekly - Thursday</t>
        </is>
      </c>
      <c r="J268" t="inlineStr">
        <is>
          <t>Month+1 Expiry</t>
        </is>
      </c>
      <c r="K268" s="25" t="n">
        <v>25</v>
      </c>
      <c r="L268" s="26" t="n">
        <v>0.0436</v>
      </c>
      <c r="M268" s="26" t="n">
        <v>0.0003</v>
      </c>
    </row>
    <row r="269" ht="16" customHeight="1">
      <c r="A269" t="inlineStr">
        <is>
          <t>30-Oct-2025</t>
        </is>
      </c>
      <c r="B269" t="inlineStr">
        <is>
          <t>Thursday</t>
        </is>
      </c>
      <c r="C269" t="inlineStr">
        <is>
          <t>Week5-Oct-2025</t>
        </is>
      </c>
      <c r="D269" s="78" t="n">
        <v>45931</v>
      </c>
      <c r="E269" t="inlineStr">
        <is>
          <t>Q3FY26</t>
        </is>
      </c>
      <c r="F269" t="inlineStr">
        <is>
          <t>27-Nov-2025</t>
        </is>
      </c>
      <c r="G269" t="inlineStr">
        <is>
          <t>Thursday</t>
        </is>
      </c>
      <c r="H269" t="inlineStr">
        <is>
          <t>Monthly - Thursday</t>
        </is>
      </c>
      <c r="I269" t="inlineStr">
        <is>
          <t>Monthly - Thursday</t>
        </is>
      </c>
      <c r="J269" t="inlineStr">
        <is>
          <t>Month+1 Expiry</t>
        </is>
      </c>
      <c r="K269" s="25" t="n">
        <v>11690</v>
      </c>
      <c r="L269" s="26" t="n">
        <v>19.9918</v>
      </c>
      <c r="M269" s="26" t="n">
        <v>0.1639</v>
      </c>
    </row>
    <row r="270" ht="16" customHeight="1">
      <c r="A270" t="inlineStr">
        <is>
          <t>30-Oct-2025</t>
        </is>
      </c>
      <c r="B270" t="inlineStr">
        <is>
          <t>Thursday</t>
        </is>
      </c>
      <c r="C270" t="inlineStr">
        <is>
          <t>Week5-Oct-2025</t>
        </is>
      </c>
      <c r="D270" s="78" t="n">
        <v>45931</v>
      </c>
      <c r="E270" t="inlineStr">
        <is>
          <t>Q3FY26</t>
        </is>
      </c>
      <c r="F270" t="inlineStr">
        <is>
          <t>04-Dec-2025</t>
        </is>
      </c>
      <c r="G270" t="inlineStr">
        <is>
          <t>Thursday</t>
        </is>
      </c>
      <c r="H270" t="inlineStr">
        <is>
          <t>Weekly - Thursday</t>
        </is>
      </c>
      <c r="I270" t="inlineStr">
        <is>
          <t>Weekly - Thursday</t>
        </is>
      </c>
      <c r="J270" t="inlineStr">
        <is>
          <t>Month+2 Expiry</t>
        </is>
      </c>
      <c r="K270" s="25" t="n">
        <v>4</v>
      </c>
      <c r="L270" s="26" t="n">
        <v>0.0066</v>
      </c>
      <c r="M270" s="26" t="n">
        <v>0</v>
      </c>
    </row>
    <row r="271" ht="16" customHeight="1">
      <c r="A271" t="inlineStr">
        <is>
          <t>31-Oct-2025</t>
        </is>
      </c>
      <c r="B271" t="inlineStr">
        <is>
          <t>Friday</t>
        </is>
      </c>
      <c r="C271" t="inlineStr">
        <is>
          <t>Week5-Oct-2025</t>
        </is>
      </c>
      <c r="D271" s="78" t="n">
        <v>45931</v>
      </c>
      <c r="E271" t="inlineStr">
        <is>
          <t>Q3FY26</t>
        </is>
      </c>
      <c r="F271" t="inlineStr">
        <is>
          <t>06-Nov-2025</t>
        </is>
      </c>
      <c r="G271" t="inlineStr">
        <is>
          <t>Thursday</t>
        </is>
      </c>
      <c r="H271" t="inlineStr">
        <is>
          <t>Weekly - Thursday</t>
        </is>
      </c>
      <c r="I271" t="inlineStr">
        <is>
          <t>Weekly - Thursday</t>
        </is>
      </c>
      <c r="J271" t="inlineStr">
        <is>
          <t>Month+1 Expiry</t>
        </is>
      </c>
      <c r="K271" s="25" t="n">
        <v>20452896</v>
      </c>
      <c r="L271" s="26" t="n">
        <v>34648.8349</v>
      </c>
      <c r="M271" s="26" t="n">
        <v>99.5939</v>
      </c>
    </row>
    <row r="272" ht="16" customHeight="1">
      <c r="A272" t="inlineStr">
        <is>
          <t>31-Oct-2025</t>
        </is>
      </c>
      <c r="B272" t="inlineStr">
        <is>
          <t>Friday</t>
        </is>
      </c>
      <c r="C272" t="inlineStr">
        <is>
          <t>Week5-Oct-2025</t>
        </is>
      </c>
      <c r="D272" s="78" t="n">
        <v>45931</v>
      </c>
      <c r="E272" t="inlineStr">
        <is>
          <t>Q3FY26</t>
        </is>
      </c>
      <c r="F272" t="inlineStr">
        <is>
          <t>13-Nov-2025</t>
        </is>
      </c>
      <c r="G272" t="inlineStr">
        <is>
          <t>Thursday</t>
        </is>
      </c>
      <c r="H272" t="inlineStr">
        <is>
          <t>Weekly - Thursday</t>
        </is>
      </c>
      <c r="I272" t="inlineStr">
        <is>
          <t>Weekly - Thursday</t>
        </is>
      </c>
      <c r="J272" t="inlineStr">
        <is>
          <t>Month+1 Expiry</t>
        </is>
      </c>
      <c r="K272" s="25" t="n">
        <v>61266</v>
      </c>
      <c r="L272" s="26" t="n">
        <v>104.3789</v>
      </c>
      <c r="M272" s="26" t="n">
        <v>0.5565</v>
      </c>
    </row>
    <row r="273" ht="16" customHeight="1">
      <c r="A273" t="inlineStr">
        <is>
          <t>31-Oct-2025</t>
        </is>
      </c>
      <c r="B273" t="inlineStr">
        <is>
          <t>Friday</t>
        </is>
      </c>
      <c r="C273" t="inlineStr">
        <is>
          <t>Week5-Oct-2025</t>
        </is>
      </c>
      <c r="D273" s="78" t="n">
        <v>45931</v>
      </c>
      <c r="E273" t="inlineStr">
        <is>
          <t>Q3FY26</t>
        </is>
      </c>
      <c r="F273" t="inlineStr">
        <is>
          <t>20-Nov-2025</t>
        </is>
      </c>
      <c r="G273" t="inlineStr">
        <is>
          <t>Thursday</t>
        </is>
      </c>
      <c r="H273" t="inlineStr">
        <is>
          <t>Weekly - Thursday</t>
        </is>
      </c>
      <c r="I273" t="inlineStr">
        <is>
          <t>Weekly - Thursday</t>
        </is>
      </c>
      <c r="J273" t="inlineStr">
        <is>
          <t>Month+1 Expiry</t>
        </is>
      </c>
      <c r="K273" s="25" t="n">
        <v>1485</v>
      </c>
      <c r="L273" s="26" t="n">
        <v>2.5287</v>
      </c>
      <c r="M273" s="26" t="n">
        <v>0.0222</v>
      </c>
    </row>
    <row r="274" ht="16" customHeight="1">
      <c r="A274" t="inlineStr">
        <is>
          <t>31-Oct-2025</t>
        </is>
      </c>
      <c r="B274" t="inlineStr">
        <is>
          <t>Friday</t>
        </is>
      </c>
      <c r="C274" t="inlineStr">
        <is>
          <t>Week5-Oct-2025</t>
        </is>
      </c>
      <c r="D274" s="78" t="n">
        <v>45931</v>
      </c>
      <c r="E274" t="inlineStr">
        <is>
          <t>Q3FY26</t>
        </is>
      </c>
      <c r="F274" t="inlineStr">
        <is>
          <t>27-Nov-2025</t>
        </is>
      </c>
      <c r="G274" t="inlineStr">
        <is>
          <t>Thursday</t>
        </is>
      </c>
      <c r="H274" t="inlineStr">
        <is>
          <t>Monthly - Thursday</t>
        </is>
      </c>
      <c r="I274" t="inlineStr">
        <is>
          <t>Monthly - Thursday</t>
        </is>
      </c>
      <c r="J274" t="inlineStr">
        <is>
          <t>Month+1 Expiry</t>
        </is>
      </c>
      <c r="K274" s="25" t="n">
        <v>15413</v>
      </c>
      <c r="L274" s="26" t="n">
        <v>26.2893</v>
      </c>
      <c r="M274" s="26" t="n">
        <v>0.1898</v>
      </c>
    </row>
    <row r="275" ht="16" customHeight="1">
      <c r="A275" t="inlineStr">
        <is>
          <t>31-Oct-2025</t>
        </is>
      </c>
      <c r="B275" t="inlineStr">
        <is>
          <t>Friday</t>
        </is>
      </c>
      <c r="C275" t="inlineStr">
        <is>
          <t>Week5-Oct-2025</t>
        </is>
      </c>
      <c r="D275" s="78" t="n">
        <v>45931</v>
      </c>
      <c r="E275" t="inlineStr">
        <is>
          <t>Q3FY26</t>
        </is>
      </c>
      <c r="F275" t="inlineStr">
        <is>
          <t>04-Dec-2025</t>
        </is>
      </c>
      <c r="G275" t="inlineStr">
        <is>
          <t>Thursday</t>
        </is>
      </c>
      <c r="H275" t="inlineStr">
        <is>
          <t>Weekly - Thursday</t>
        </is>
      </c>
      <c r="I275" t="inlineStr">
        <is>
          <t>Weekly - Thursday</t>
        </is>
      </c>
      <c r="J275" t="inlineStr">
        <is>
          <t>Month+2 Expiry</t>
        </is>
      </c>
      <c r="K275" s="25" t="n">
        <v>0</v>
      </c>
      <c r="L275" s="26" t="n">
        <v>0</v>
      </c>
      <c r="M275" s="26" t="n">
        <v>0</v>
      </c>
    </row>
    <row r="276" ht="16" customHeight="1">
      <c r="A276" t="inlineStr">
        <is>
          <t>03-Nov-2025</t>
        </is>
      </c>
      <c r="B276" t="inlineStr">
        <is>
          <t>Monday</t>
        </is>
      </c>
      <c r="C276" t="inlineStr">
        <is>
          <t>Week1-Nov-2025</t>
        </is>
      </c>
      <c r="D276" s="78" t="n">
        <v>45962</v>
      </c>
      <c r="E276" t="inlineStr">
        <is>
          <t>Q3FY26</t>
        </is>
      </c>
      <c r="F276" t="inlineStr">
        <is>
          <t>06-Nov-2025</t>
        </is>
      </c>
      <c r="G276" t="inlineStr">
        <is>
          <t>Thursday</t>
        </is>
      </c>
      <c r="H276" t="inlineStr">
        <is>
          <t>Weekly - Thursday</t>
        </is>
      </c>
      <c r="I276" t="inlineStr">
        <is>
          <t>Weekly - Thursday</t>
        </is>
      </c>
      <c r="J276" t="inlineStr">
        <is>
          <t>Same Month Expiry</t>
        </is>
      </c>
      <c r="K276" s="25" t="n">
        <v>24722967</v>
      </c>
      <c r="L276" s="26" t="n">
        <v>41711.6029</v>
      </c>
      <c r="M276" s="26" t="n">
        <v>100.3885</v>
      </c>
    </row>
    <row r="277" ht="16" customHeight="1">
      <c r="A277" t="inlineStr">
        <is>
          <t>03-Nov-2025</t>
        </is>
      </c>
      <c r="B277" t="inlineStr">
        <is>
          <t>Monday</t>
        </is>
      </c>
      <c r="C277" t="inlineStr">
        <is>
          <t>Week1-Nov-2025</t>
        </is>
      </c>
      <c r="D277" s="78" t="n">
        <v>45962</v>
      </c>
      <c r="E277" t="inlineStr">
        <is>
          <t>Q3FY26</t>
        </is>
      </c>
      <c r="F277" t="inlineStr">
        <is>
          <t>13-Nov-2025</t>
        </is>
      </c>
      <c r="G277" t="inlineStr">
        <is>
          <t>Thursday</t>
        </is>
      </c>
      <c r="H277" t="inlineStr">
        <is>
          <t>Weekly - Thursday</t>
        </is>
      </c>
      <c r="I277" t="inlineStr">
        <is>
          <t>Weekly - Thursday</t>
        </is>
      </c>
      <c r="J277" t="inlineStr">
        <is>
          <t>Same Month Expiry</t>
        </is>
      </c>
      <c r="K277" s="25" t="n">
        <v>133120</v>
      </c>
      <c r="L277" s="26" t="n">
        <v>225.6288</v>
      </c>
      <c r="M277" s="26" t="n">
        <v>1.1197</v>
      </c>
    </row>
    <row r="278" ht="16" customHeight="1">
      <c r="A278" t="inlineStr">
        <is>
          <t>03-Nov-2025</t>
        </is>
      </c>
      <c r="B278" t="inlineStr">
        <is>
          <t>Monday</t>
        </is>
      </c>
      <c r="C278" t="inlineStr">
        <is>
          <t>Week1-Nov-2025</t>
        </is>
      </c>
      <c r="D278" s="78" t="n">
        <v>45962</v>
      </c>
      <c r="E278" t="inlineStr">
        <is>
          <t>Q3FY26</t>
        </is>
      </c>
      <c r="F278" t="inlineStr">
        <is>
          <t>20-Nov-2025</t>
        </is>
      </c>
      <c r="G278" t="inlineStr">
        <is>
          <t>Thursday</t>
        </is>
      </c>
      <c r="H278" t="inlineStr">
        <is>
          <t>Weekly - Thursday</t>
        </is>
      </c>
      <c r="I278" t="inlineStr">
        <is>
          <t>Weekly - Thursday</t>
        </is>
      </c>
      <c r="J278" t="inlineStr">
        <is>
          <t>Same Month Expiry</t>
        </is>
      </c>
      <c r="K278" s="25" t="n">
        <v>1998</v>
      </c>
      <c r="L278" s="26" t="n">
        <v>3.3953</v>
      </c>
      <c r="M278" s="26" t="n">
        <v>0.0271</v>
      </c>
    </row>
    <row r="279" ht="16" customHeight="1">
      <c r="A279" t="inlineStr">
        <is>
          <t>03-Nov-2025</t>
        </is>
      </c>
      <c r="B279" t="inlineStr">
        <is>
          <t>Monday</t>
        </is>
      </c>
      <c r="C279" t="inlineStr">
        <is>
          <t>Week1-Nov-2025</t>
        </is>
      </c>
      <c r="D279" s="78" t="n">
        <v>45962</v>
      </c>
      <c r="E279" t="inlineStr">
        <is>
          <t>Q3FY26</t>
        </is>
      </c>
      <c r="F279" t="inlineStr">
        <is>
          <t>27-Nov-2025</t>
        </is>
      </c>
      <c r="G279" t="inlineStr">
        <is>
          <t>Thursday</t>
        </is>
      </c>
      <c r="H279" t="inlineStr">
        <is>
          <t>Monthly - Thursday</t>
        </is>
      </c>
      <c r="I279" t="inlineStr">
        <is>
          <t>Monthly - Thursday</t>
        </is>
      </c>
      <c r="J279" t="inlineStr">
        <is>
          <t>Same Month Expiry</t>
        </is>
      </c>
      <c r="K279" s="25" t="n">
        <v>14982</v>
      </c>
      <c r="L279" s="26" t="n">
        <v>25.4556</v>
      </c>
      <c r="M279" s="26" t="n">
        <v>0.1979</v>
      </c>
    </row>
    <row r="280" ht="16" customHeight="1">
      <c r="A280" t="inlineStr">
        <is>
          <t>03-Nov-2025</t>
        </is>
      </c>
      <c r="B280" t="inlineStr">
        <is>
          <t>Monday</t>
        </is>
      </c>
      <c r="C280" t="inlineStr">
        <is>
          <t>Week1-Nov-2025</t>
        </is>
      </c>
      <c r="D280" s="78" t="n">
        <v>45962</v>
      </c>
      <c r="E280" t="inlineStr">
        <is>
          <t>Q3FY26</t>
        </is>
      </c>
      <c r="F280" t="inlineStr">
        <is>
          <t>04-Dec-2025</t>
        </is>
      </c>
      <c r="G280" t="inlineStr">
        <is>
          <t>Thursday</t>
        </is>
      </c>
      <c r="H280" t="inlineStr">
        <is>
          <t>Weekly - Thursday</t>
        </is>
      </c>
      <c r="I280" t="inlineStr">
        <is>
          <t>Weekly - Thursday</t>
        </is>
      </c>
      <c r="J280" t="inlineStr">
        <is>
          <t>Month+1 Expiry</t>
        </is>
      </c>
      <c r="K280" s="25" t="n">
        <v>2</v>
      </c>
      <c r="L280" s="26" t="n">
        <v>0.0034</v>
      </c>
      <c r="M280" s="26" t="n">
        <v>0</v>
      </c>
    </row>
    <row r="281" ht="16" customHeight="1">
      <c r="A281" t="inlineStr">
        <is>
          <t>03-Nov-2025</t>
        </is>
      </c>
      <c r="B281" t="inlineStr">
        <is>
          <t>Monday</t>
        </is>
      </c>
      <c r="C281" t="inlineStr">
        <is>
          <t>Week1-Nov-2025</t>
        </is>
      </c>
      <c r="D281" s="78" t="n">
        <v>45962</v>
      </c>
      <c r="E281" t="inlineStr">
        <is>
          <t>Q3FY26</t>
        </is>
      </c>
      <c r="F281" t="inlineStr">
        <is>
          <t>24-Dec-2025</t>
        </is>
      </c>
      <c r="G281" t="inlineStr">
        <is>
          <t>Wednesday</t>
        </is>
      </c>
      <c r="H281" t="inlineStr">
        <is>
          <t>Weekly - Wednesday</t>
        </is>
      </c>
      <c r="I281" t="inlineStr">
        <is>
          <t>Weekly - Wednesday</t>
        </is>
      </c>
      <c r="J281" t="inlineStr">
        <is>
          <t>Month+1 Expiry</t>
        </is>
      </c>
      <c r="K281" s="25" t="n">
        <v>1</v>
      </c>
      <c r="L281" s="26" t="n">
        <v>0.0018</v>
      </c>
      <c r="M281" s="26" t="n">
        <v>0</v>
      </c>
    </row>
    <row r="282" ht="16" customHeight="1">
      <c r="A282" t="inlineStr">
        <is>
          <t>04-Nov-2025</t>
        </is>
      </c>
      <c r="B282" t="inlineStr">
        <is>
          <t>Tuesday</t>
        </is>
      </c>
      <c r="C282" t="inlineStr">
        <is>
          <t>Week1-Nov-2025</t>
        </is>
      </c>
      <c r="D282" s="78" t="n">
        <v>45962</v>
      </c>
      <c r="E282" t="inlineStr">
        <is>
          <t>Q3FY26</t>
        </is>
      </c>
      <c r="F282" t="inlineStr">
        <is>
          <t>06-Nov-2025</t>
        </is>
      </c>
      <c r="G282" t="inlineStr">
        <is>
          <t>Thursday</t>
        </is>
      </c>
      <c r="H282" t="inlineStr">
        <is>
          <t>Weekly - Thursday</t>
        </is>
      </c>
      <c r="I282" t="inlineStr">
        <is>
          <t>Weekly - Thursday</t>
        </is>
      </c>
      <c r="J282" t="inlineStr">
        <is>
          <t>Same Month Expiry</t>
        </is>
      </c>
      <c r="K282" s="25" t="n">
        <v>30172171</v>
      </c>
      <c r="L282" s="26" t="n">
        <v>50805.5436</v>
      </c>
      <c r="M282" s="26" t="n">
        <v>90.2711</v>
      </c>
    </row>
    <row r="283" ht="16" customHeight="1">
      <c r="A283" t="inlineStr">
        <is>
          <t>04-Nov-2025</t>
        </is>
      </c>
      <c r="B283" t="inlineStr">
        <is>
          <t>Tuesday</t>
        </is>
      </c>
      <c r="C283" t="inlineStr">
        <is>
          <t>Week1-Nov-2025</t>
        </is>
      </c>
      <c r="D283" s="78" t="n">
        <v>45962</v>
      </c>
      <c r="E283" t="inlineStr">
        <is>
          <t>Q3FY26</t>
        </is>
      </c>
      <c r="F283" t="inlineStr">
        <is>
          <t>13-Nov-2025</t>
        </is>
      </c>
      <c r="G283" t="inlineStr">
        <is>
          <t>Thursday</t>
        </is>
      </c>
      <c r="H283" t="inlineStr">
        <is>
          <t>Weekly - Thursday</t>
        </is>
      </c>
      <c r="I283" t="inlineStr">
        <is>
          <t>Weekly - Thursday</t>
        </is>
      </c>
      <c r="J283" t="inlineStr">
        <is>
          <t>Same Month Expiry</t>
        </is>
      </c>
      <c r="K283" s="25" t="n">
        <v>324629</v>
      </c>
      <c r="L283" s="26" t="n">
        <v>548.3613</v>
      </c>
      <c r="M283" s="26" t="n">
        <v>1.9353</v>
      </c>
    </row>
    <row r="284" ht="16" customHeight="1">
      <c r="A284" t="inlineStr">
        <is>
          <t>04-Nov-2025</t>
        </is>
      </c>
      <c r="B284" t="inlineStr">
        <is>
          <t>Tuesday</t>
        </is>
      </c>
      <c r="C284" t="inlineStr">
        <is>
          <t>Week1-Nov-2025</t>
        </is>
      </c>
      <c r="D284" s="78" t="n">
        <v>45962</v>
      </c>
      <c r="E284" t="inlineStr">
        <is>
          <t>Q3FY26</t>
        </is>
      </c>
      <c r="F284" t="inlineStr">
        <is>
          <t>20-Nov-2025</t>
        </is>
      </c>
      <c r="G284" t="inlineStr">
        <is>
          <t>Thursday</t>
        </is>
      </c>
      <c r="H284" t="inlineStr">
        <is>
          <t>Weekly - Thursday</t>
        </is>
      </c>
      <c r="I284" t="inlineStr">
        <is>
          <t>Weekly - Thursday</t>
        </is>
      </c>
      <c r="J284" t="inlineStr">
        <is>
          <t>Same Month Expiry</t>
        </is>
      </c>
      <c r="K284" s="25" t="n">
        <v>1227</v>
      </c>
      <c r="L284" s="26" t="n">
        <v>2.0795</v>
      </c>
      <c r="M284" s="26" t="n">
        <v>0.0134</v>
      </c>
    </row>
    <row r="285" ht="16" customHeight="1">
      <c r="A285" t="inlineStr">
        <is>
          <t>04-Nov-2025</t>
        </is>
      </c>
      <c r="B285" t="inlineStr">
        <is>
          <t>Tuesday</t>
        </is>
      </c>
      <c r="C285" t="inlineStr">
        <is>
          <t>Week1-Nov-2025</t>
        </is>
      </c>
      <c r="D285" s="78" t="n">
        <v>45962</v>
      </c>
      <c r="E285" t="inlineStr">
        <is>
          <t>Q3FY26</t>
        </is>
      </c>
      <c r="F285" t="inlineStr">
        <is>
          <t>27-Nov-2025</t>
        </is>
      </c>
      <c r="G285" t="inlineStr">
        <is>
          <t>Thursday</t>
        </is>
      </c>
      <c r="H285" t="inlineStr">
        <is>
          <t>Monthly - Thursday</t>
        </is>
      </c>
      <c r="I285" t="inlineStr">
        <is>
          <t>Monthly - Thursday</t>
        </is>
      </c>
      <c r="J285" t="inlineStr">
        <is>
          <t>Same Month Expiry</t>
        </is>
      </c>
      <c r="K285" s="25" t="n">
        <v>21908</v>
      </c>
      <c r="L285" s="26" t="n">
        <v>37.3465</v>
      </c>
      <c r="M285" s="26" t="n">
        <v>0.292</v>
      </c>
    </row>
    <row r="286" ht="16" customHeight="1">
      <c r="A286" t="inlineStr">
        <is>
          <t>04-Nov-2025</t>
        </is>
      </c>
      <c r="B286" t="inlineStr">
        <is>
          <t>Tuesday</t>
        </is>
      </c>
      <c r="C286" t="inlineStr">
        <is>
          <t>Week1-Nov-2025</t>
        </is>
      </c>
      <c r="D286" s="78" t="n">
        <v>45962</v>
      </c>
      <c r="E286" t="inlineStr">
        <is>
          <t>Q3FY26</t>
        </is>
      </c>
      <c r="F286" t="inlineStr">
        <is>
          <t>04-Dec-2025</t>
        </is>
      </c>
      <c r="G286" t="inlineStr">
        <is>
          <t>Thursday</t>
        </is>
      </c>
      <c r="H286" t="inlineStr">
        <is>
          <t>Weekly - Thursday</t>
        </is>
      </c>
      <c r="I286" t="inlineStr">
        <is>
          <t>Weekly - Thursday</t>
        </is>
      </c>
      <c r="J286" t="inlineStr">
        <is>
          <t>Month+1 Expiry</t>
        </is>
      </c>
      <c r="K286" s="25" t="n">
        <v>13</v>
      </c>
      <c r="L286" s="26" t="n">
        <v>0.0225</v>
      </c>
      <c r="M286" s="26" t="n">
        <v>0.0001</v>
      </c>
    </row>
    <row r="287" ht="16" customHeight="1">
      <c r="A287" t="inlineStr">
        <is>
          <t>04-Nov-2025</t>
        </is>
      </c>
      <c r="B287" t="inlineStr">
        <is>
          <t>Tuesday</t>
        </is>
      </c>
      <c r="C287" t="inlineStr">
        <is>
          <t>Week1-Nov-2025</t>
        </is>
      </c>
      <c r="D287" s="78" t="n">
        <v>45962</v>
      </c>
      <c r="E287" t="inlineStr">
        <is>
          <t>Q3FY26</t>
        </is>
      </c>
      <c r="F287" t="inlineStr">
        <is>
          <t>24-Dec-2025</t>
        </is>
      </c>
      <c r="G287" t="inlineStr">
        <is>
          <t>Wednesday</t>
        </is>
      </c>
      <c r="H287" t="inlineStr">
        <is>
          <t>Weekly - Wednesday</t>
        </is>
      </c>
      <c r="I287" t="inlineStr">
        <is>
          <t>Weekly - Wednesday</t>
        </is>
      </c>
      <c r="J287" t="inlineStr">
        <is>
          <t>Month+1 Expiry</t>
        </is>
      </c>
      <c r="K287" s="25" t="n">
        <v>10</v>
      </c>
      <c r="L287" s="26" t="n">
        <v>0.018</v>
      </c>
      <c r="M287" s="26" t="n">
        <v>0</v>
      </c>
    </row>
    <row r="288" ht="16" customHeight="1">
      <c r="A288" t="inlineStr">
        <is>
          <t>06-Nov-2025</t>
        </is>
      </c>
      <c r="B288" t="inlineStr">
        <is>
          <t>Thursday</t>
        </is>
      </c>
      <c r="C288" t="inlineStr">
        <is>
          <t>Week1-Nov-2025</t>
        </is>
      </c>
      <c r="D288" s="78" t="n">
        <v>45962</v>
      </c>
      <c r="E288" t="inlineStr">
        <is>
          <t>Q3FY26</t>
        </is>
      </c>
      <c r="F288" t="inlineStr">
        <is>
          <t>06-Nov-2025</t>
        </is>
      </c>
      <c r="G288" t="inlineStr">
        <is>
          <t>Thursday</t>
        </is>
      </c>
      <c r="H288" t="inlineStr">
        <is>
          <t>Weekly - Thursday</t>
        </is>
      </c>
      <c r="I288" t="inlineStr">
        <is>
          <t>Weekly - Thursday</t>
        </is>
      </c>
      <c r="J288" t="inlineStr">
        <is>
          <t>Same Month Expiry</t>
        </is>
      </c>
      <c r="K288" s="25" t="n">
        <v>446444827</v>
      </c>
      <c r="L288" s="26" t="n">
        <v>745990.1388</v>
      </c>
      <c r="M288" s="26" t="n">
        <v>420.2669</v>
      </c>
    </row>
    <row r="289" ht="16" customHeight="1">
      <c r="A289" t="inlineStr">
        <is>
          <t>06-Nov-2025</t>
        </is>
      </c>
      <c r="B289" t="inlineStr">
        <is>
          <t>Thursday</t>
        </is>
      </c>
      <c r="C289" t="inlineStr">
        <is>
          <t>Week1-Nov-2025</t>
        </is>
      </c>
      <c r="D289" s="78" t="n">
        <v>45962</v>
      </c>
      <c r="E289" t="inlineStr">
        <is>
          <t>Q3FY26</t>
        </is>
      </c>
      <c r="F289" t="inlineStr">
        <is>
          <t>13-Nov-2025</t>
        </is>
      </c>
      <c r="G289" t="inlineStr">
        <is>
          <t>Thursday</t>
        </is>
      </c>
      <c r="H289" t="inlineStr">
        <is>
          <t>Weekly - Thursday</t>
        </is>
      </c>
      <c r="I289" t="inlineStr">
        <is>
          <t>Weekly - Thursday</t>
        </is>
      </c>
      <c r="J289" t="inlineStr">
        <is>
          <t>Same Month Expiry</t>
        </is>
      </c>
      <c r="K289" s="25" t="n">
        <v>1949507</v>
      </c>
      <c r="L289" s="26" t="n">
        <v>3275.4374</v>
      </c>
      <c r="M289" s="26" t="n">
        <v>10.2598</v>
      </c>
    </row>
    <row r="290" ht="16" customHeight="1">
      <c r="A290" t="inlineStr">
        <is>
          <t>06-Nov-2025</t>
        </is>
      </c>
      <c r="B290" t="inlineStr">
        <is>
          <t>Thursday</t>
        </is>
      </c>
      <c r="C290" t="inlineStr">
        <is>
          <t>Week1-Nov-2025</t>
        </is>
      </c>
      <c r="D290" s="78" t="n">
        <v>45962</v>
      </c>
      <c r="E290" t="inlineStr">
        <is>
          <t>Q3FY26</t>
        </is>
      </c>
      <c r="F290" t="inlineStr">
        <is>
          <t>20-Nov-2025</t>
        </is>
      </c>
      <c r="G290" t="inlineStr">
        <is>
          <t>Thursday</t>
        </is>
      </c>
      <c r="H290" t="inlineStr">
        <is>
          <t>Weekly - Thursday</t>
        </is>
      </c>
      <c r="I290" t="inlineStr">
        <is>
          <t>Weekly - Thursday</t>
        </is>
      </c>
      <c r="J290" t="inlineStr">
        <is>
          <t>Same Month Expiry</t>
        </is>
      </c>
      <c r="K290" s="25" t="n">
        <v>7186</v>
      </c>
      <c r="L290" s="26" t="n">
        <v>12.1232</v>
      </c>
      <c r="M290" s="26" t="n">
        <v>0.0675</v>
      </c>
    </row>
    <row r="291" ht="16" customHeight="1">
      <c r="A291" t="inlineStr">
        <is>
          <t>06-Nov-2025</t>
        </is>
      </c>
      <c r="B291" t="inlineStr">
        <is>
          <t>Thursday</t>
        </is>
      </c>
      <c r="C291" t="inlineStr">
        <is>
          <t>Week1-Nov-2025</t>
        </is>
      </c>
      <c r="D291" s="78" t="n">
        <v>45962</v>
      </c>
      <c r="E291" t="inlineStr">
        <is>
          <t>Q3FY26</t>
        </is>
      </c>
      <c r="F291" t="inlineStr">
        <is>
          <t>27-Nov-2025</t>
        </is>
      </c>
      <c r="G291" t="inlineStr">
        <is>
          <t>Thursday</t>
        </is>
      </c>
      <c r="H291" t="inlineStr">
        <is>
          <t>Monthly - Thursday</t>
        </is>
      </c>
      <c r="I291" t="inlineStr">
        <is>
          <t>Monthly - Thursday</t>
        </is>
      </c>
      <c r="J291" t="inlineStr">
        <is>
          <t>Same Month Expiry</t>
        </is>
      </c>
      <c r="K291" s="25" t="n">
        <v>26690</v>
      </c>
      <c r="L291" s="26" t="n">
        <v>45.2036</v>
      </c>
      <c r="M291" s="26" t="n">
        <v>0.3252</v>
      </c>
    </row>
    <row r="292" ht="16" customHeight="1">
      <c r="A292" t="inlineStr">
        <is>
          <t>06-Nov-2025</t>
        </is>
      </c>
      <c r="B292" t="inlineStr">
        <is>
          <t>Thursday</t>
        </is>
      </c>
      <c r="C292" t="inlineStr">
        <is>
          <t>Week1-Nov-2025</t>
        </is>
      </c>
      <c r="D292" s="78" t="n">
        <v>45962</v>
      </c>
      <c r="E292" t="inlineStr">
        <is>
          <t>Q3FY26</t>
        </is>
      </c>
      <c r="F292" t="inlineStr">
        <is>
          <t>04-Dec-2025</t>
        </is>
      </c>
      <c r="G292" t="inlineStr">
        <is>
          <t>Thursday</t>
        </is>
      </c>
      <c r="H292" t="inlineStr">
        <is>
          <t>Weekly - Thursday</t>
        </is>
      </c>
      <c r="I292" t="inlineStr">
        <is>
          <t>Weekly - Thursday</t>
        </is>
      </c>
      <c r="J292" t="inlineStr">
        <is>
          <t>Month+1 Expiry</t>
        </is>
      </c>
      <c r="K292" s="25" t="n">
        <v>1</v>
      </c>
      <c r="L292" s="26" t="n">
        <v>0.0017</v>
      </c>
      <c r="M292" s="26" t="n">
        <v>0</v>
      </c>
    </row>
    <row r="293" ht="16" customHeight="1">
      <c r="A293" t="inlineStr">
        <is>
          <t>06-Nov-2025</t>
        </is>
      </c>
      <c r="B293" t="inlineStr">
        <is>
          <t>Thursday</t>
        </is>
      </c>
      <c r="C293" t="inlineStr">
        <is>
          <t>Week1-Nov-2025</t>
        </is>
      </c>
      <c r="D293" s="78" t="n">
        <v>45962</v>
      </c>
      <c r="E293" t="inlineStr">
        <is>
          <t>Q3FY26</t>
        </is>
      </c>
      <c r="F293" t="inlineStr">
        <is>
          <t>11-Dec-2025</t>
        </is>
      </c>
      <c r="G293" t="inlineStr">
        <is>
          <t>Thursday</t>
        </is>
      </c>
      <c r="H293" t="inlineStr">
        <is>
          <t>Weekly - Thursday</t>
        </is>
      </c>
      <c r="I293" t="inlineStr">
        <is>
          <t>Weekly - Thursday</t>
        </is>
      </c>
      <c r="J293" t="inlineStr">
        <is>
          <t>Month+1 Expiry</t>
        </is>
      </c>
      <c r="K293" s="25" t="n">
        <v>1</v>
      </c>
      <c r="L293" s="26" t="n">
        <v>0.0017</v>
      </c>
      <c r="M293" s="26" t="n">
        <v>0</v>
      </c>
    </row>
    <row r="294" ht="16" customHeight="1">
      <c r="A294" t="inlineStr">
        <is>
          <t>06-Nov-2025</t>
        </is>
      </c>
      <c r="B294" t="inlineStr">
        <is>
          <t>Thursday</t>
        </is>
      </c>
      <c r="C294" t="inlineStr">
        <is>
          <t>Week1-Nov-2025</t>
        </is>
      </c>
      <c r="D294" s="78" t="n">
        <v>45962</v>
      </c>
      <c r="E294" t="inlineStr">
        <is>
          <t>Q3FY26</t>
        </is>
      </c>
      <c r="F294" t="inlineStr">
        <is>
          <t>24-Dec-2025</t>
        </is>
      </c>
      <c r="G294" t="inlineStr">
        <is>
          <t>Wednesday</t>
        </is>
      </c>
      <c r="H294" t="inlineStr">
        <is>
          <t>Weekly - Wednesday</t>
        </is>
      </c>
      <c r="I294" t="inlineStr">
        <is>
          <t>Weekly - Wednesday</t>
        </is>
      </c>
      <c r="J294" t="inlineStr">
        <is>
          <t>Month+1 Expiry</t>
        </is>
      </c>
      <c r="K294" s="25" t="n">
        <v>379</v>
      </c>
      <c r="L294" s="26" t="n">
        <v>0.632</v>
      </c>
      <c r="M294" s="26" t="n">
        <v>0.0057</v>
      </c>
    </row>
    <row r="295" ht="16" customHeight="1">
      <c r="A295" t="inlineStr">
        <is>
          <t>07-Nov-2025</t>
        </is>
      </c>
      <c r="B295" t="inlineStr">
        <is>
          <t>Friday</t>
        </is>
      </c>
      <c r="C295" t="inlineStr">
        <is>
          <t>Week1-Nov-2025</t>
        </is>
      </c>
      <c r="D295" s="78" t="n">
        <v>45962</v>
      </c>
      <c r="E295" t="inlineStr">
        <is>
          <t>Q3FY26</t>
        </is>
      </c>
      <c r="F295" t="inlineStr">
        <is>
          <t>13-Nov-2025</t>
        </is>
      </c>
      <c r="G295" t="inlineStr">
        <is>
          <t>Thursday</t>
        </is>
      </c>
      <c r="H295" t="inlineStr">
        <is>
          <t>Weekly - Thursday</t>
        </is>
      </c>
      <c r="I295" t="inlineStr">
        <is>
          <t>Weekly - Thursday</t>
        </is>
      </c>
      <c r="J295" t="inlineStr">
        <is>
          <t>Same Month Expiry</t>
        </is>
      </c>
      <c r="K295" s="25" t="n">
        <v>22276917</v>
      </c>
      <c r="L295" s="26" t="n">
        <v>37152.3848</v>
      </c>
      <c r="M295" s="26" t="n">
        <v>104.3729</v>
      </c>
    </row>
    <row r="296" ht="16" customHeight="1">
      <c r="A296" t="inlineStr">
        <is>
          <t>07-Nov-2025</t>
        </is>
      </c>
      <c r="B296" t="inlineStr">
        <is>
          <t>Friday</t>
        </is>
      </c>
      <c r="C296" t="inlineStr">
        <is>
          <t>Week1-Nov-2025</t>
        </is>
      </c>
      <c r="D296" s="78" t="n">
        <v>45962</v>
      </c>
      <c r="E296" t="inlineStr">
        <is>
          <t>Q3FY26</t>
        </is>
      </c>
      <c r="F296" t="inlineStr">
        <is>
          <t>20-Nov-2025</t>
        </is>
      </c>
      <c r="G296" t="inlineStr">
        <is>
          <t>Thursday</t>
        </is>
      </c>
      <c r="H296" t="inlineStr">
        <is>
          <t>Weekly - Thursday</t>
        </is>
      </c>
      <c r="I296" t="inlineStr">
        <is>
          <t>Weekly - Thursday</t>
        </is>
      </c>
      <c r="J296" t="inlineStr">
        <is>
          <t>Same Month Expiry</t>
        </is>
      </c>
      <c r="K296" s="25" t="n">
        <v>70870</v>
      </c>
      <c r="L296" s="26" t="n">
        <v>118.9672</v>
      </c>
      <c r="M296" s="26" t="n">
        <v>0.6327</v>
      </c>
    </row>
    <row r="297" ht="16" customHeight="1">
      <c r="A297" t="inlineStr">
        <is>
          <t>07-Nov-2025</t>
        </is>
      </c>
      <c r="B297" t="inlineStr">
        <is>
          <t>Friday</t>
        </is>
      </c>
      <c r="C297" t="inlineStr">
        <is>
          <t>Week1-Nov-2025</t>
        </is>
      </c>
      <c r="D297" s="78" t="n">
        <v>45962</v>
      </c>
      <c r="E297" t="inlineStr">
        <is>
          <t>Q3FY26</t>
        </is>
      </c>
      <c r="F297" t="inlineStr">
        <is>
          <t>27-Nov-2025</t>
        </is>
      </c>
      <c r="G297" t="inlineStr">
        <is>
          <t>Thursday</t>
        </is>
      </c>
      <c r="H297" t="inlineStr">
        <is>
          <t>Monthly - Thursday</t>
        </is>
      </c>
      <c r="I297" t="inlineStr">
        <is>
          <t>Monthly - Thursday</t>
        </is>
      </c>
      <c r="J297" t="inlineStr">
        <is>
          <t>Same Month Expiry</t>
        </is>
      </c>
      <c r="K297" s="25" t="n">
        <v>31538</v>
      </c>
      <c r="L297" s="26" t="n">
        <v>53.1204</v>
      </c>
      <c r="M297" s="26" t="n">
        <v>0.3575</v>
      </c>
    </row>
    <row r="298" ht="16" customHeight="1">
      <c r="A298" t="inlineStr">
        <is>
          <t>07-Nov-2025</t>
        </is>
      </c>
      <c r="B298" t="inlineStr">
        <is>
          <t>Friday</t>
        </is>
      </c>
      <c r="C298" t="inlineStr">
        <is>
          <t>Week1-Nov-2025</t>
        </is>
      </c>
      <c r="D298" s="78" t="n">
        <v>45962</v>
      </c>
      <c r="E298" t="inlineStr">
        <is>
          <t>Q3FY26</t>
        </is>
      </c>
      <c r="F298" t="inlineStr">
        <is>
          <t>04-Dec-2025</t>
        </is>
      </c>
      <c r="G298" t="inlineStr">
        <is>
          <t>Thursday</t>
        </is>
      </c>
      <c r="H298" t="inlineStr">
        <is>
          <t>Weekly - Thursday</t>
        </is>
      </c>
      <c r="I298" t="inlineStr">
        <is>
          <t>Weekly - Thursday</t>
        </is>
      </c>
      <c r="J298" t="inlineStr">
        <is>
          <t>Month+1 Expiry</t>
        </is>
      </c>
      <c r="K298" s="25" t="n">
        <v>0</v>
      </c>
      <c r="L298" s="26" t="n">
        <v>0</v>
      </c>
      <c r="M298" s="26" t="n">
        <v>0</v>
      </c>
    </row>
    <row r="299" ht="16" customHeight="1">
      <c r="A299" t="inlineStr">
        <is>
          <t>07-Nov-2025</t>
        </is>
      </c>
      <c r="B299" t="inlineStr">
        <is>
          <t>Friday</t>
        </is>
      </c>
      <c r="C299" t="inlineStr">
        <is>
          <t>Week1-Nov-2025</t>
        </is>
      </c>
      <c r="D299" s="78" t="n">
        <v>45962</v>
      </c>
      <c r="E299" t="inlineStr">
        <is>
          <t>Q3FY26</t>
        </is>
      </c>
      <c r="F299" t="inlineStr">
        <is>
          <t>11-Dec-2025</t>
        </is>
      </c>
      <c r="G299" t="inlineStr">
        <is>
          <t>Thursday</t>
        </is>
      </c>
      <c r="H299" t="inlineStr">
        <is>
          <t>Weekly - Thursday</t>
        </is>
      </c>
      <c r="I299" t="inlineStr">
        <is>
          <t>Weekly - Thursday</t>
        </is>
      </c>
      <c r="J299" t="inlineStr">
        <is>
          <t>Month+1 Expiry</t>
        </is>
      </c>
      <c r="K299" s="25" t="n">
        <v>1</v>
      </c>
      <c r="L299" s="26" t="n">
        <v>0.0017</v>
      </c>
      <c r="M299" s="26" t="n">
        <v>0</v>
      </c>
    </row>
    <row r="300" ht="16" customHeight="1">
      <c r="A300" t="inlineStr">
        <is>
          <t>07-Nov-2025</t>
        </is>
      </c>
      <c r="B300" t="inlineStr">
        <is>
          <t>Friday</t>
        </is>
      </c>
      <c r="C300" t="inlineStr">
        <is>
          <t>Week1-Nov-2025</t>
        </is>
      </c>
      <c r="D300" s="78" t="n">
        <v>45962</v>
      </c>
      <c r="E300" t="inlineStr">
        <is>
          <t>Q3FY26</t>
        </is>
      </c>
      <c r="F300" t="inlineStr">
        <is>
          <t>24-Dec-2025</t>
        </is>
      </c>
      <c r="G300" t="inlineStr">
        <is>
          <t>Wednesday</t>
        </is>
      </c>
      <c r="H300" t="inlineStr">
        <is>
          <t>Weekly - Wednesday</t>
        </is>
      </c>
      <c r="I300" t="inlineStr">
        <is>
          <t>Weekly - Wednesday</t>
        </is>
      </c>
      <c r="J300" t="inlineStr">
        <is>
          <t>Month+1 Expiry</t>
        </is>
      </c>
      <c r="K300" s="25" t="n">
        <v>738</v>
      </c>
      <c r="L300" s="26" t="n">
        <v>1.2376</v>
      </c>
      <c r="M300" s="26" t="n">
        <v>0.0134</v>
      </c>
    </row>
    <row r="301" ht="16" customHeight="1">
      <c r="A301" t="inlineStr">
        <is>
          <t>10-Nov-2025</t>
        </is>
      </c>
      <c r="B301" t="inlineStr">
        <is>
          <t>Monday</t>
        </is>
      </c>
      <c r="C301" t="inlineStr">
        <is>
          <t>Week2-Nov-2025</t>
        </is>
      </c>
      <c r="D301" s="78" t="n">
        <v>45962</v>
      </c>
      <c r="E301" t="inlineStr">
        <is>
          <t>Q3FY26</t>
        </is>
      </c>
      <c r="F301" t="inlineStr">
        <is>
          <t>13-Nov-2025</t>
        </is>
      </c>
      <c r="G301" t="inlineStr">
        <is>
          <t>Thursday</t>
        </is>
      </c>
      <c r="H301" t="inlineStr">
        <is>
          <t>Weekly - Thursday</t>
        </is>
      </c>
      <c r="I301" t="inlineStr">
        <is>
          <t>Weekly - Thursday</t>
        </is>
      </c>
      <c r="J301" t="inlineStr">
        <is>
          <t>Same Month Expiry</t>
        </is>
      </c>
      <c r="K301" s="25" t="n">
        <v>20183765</v>
      </c>
      <c r="L301" s="26" t="n">
        <v>33798.2194</v>
      </c>
      <c r="M301" s="26" t="n">
        <v>83.3954</v>
      </c>
    </row>
    <row r="302" ht="16" customHeight="1">
      <c r="A302" t="inlineStr">
        <is>
          <t>10-Nov-2025</t>
        </is>
      </c>
      <c r="B302" t="inlineStr">
        <is>
          <t>Monday</t>
        </is>
      </c>
      <c r="C302" t="inlineStr">
        <is>
          <t>Week2-Nov-2025</t>
        </is>
      </c>
      <c r="D302" s="78" t="n">
        <v>45962</v>
      </c>
      <c r="E302" t="inlineStr">
        <is>
          <t>Q3FY26</t>
        </is>
      </c>
      <c r="F302" t="inlineStr">
        <is>
          <t>20-Nov-2025</t>
        </is>
      </c>
      <c r="G302" t="inlineStr">
        <is>
          <t>Thursday</t>
        </is>
      </c>
      <c r="H302" t="inlineStr">
        <is>
          <t>Weekly - Thursday</t>
        </is>
      </c>
      <c r="I302" t="inlineStr">
        <is>
          <t>Weekly - Thursday</t>
        </is>
      </c>
      <c r="J302" t="inlineStr">
        <is>
          <t>Same Month Expiry</t>
        </is>
      </c>
      <c r="K302" s="25" t="n">
        <v>79318</v>
      </c>
      <c r="L302" s="26" t="n">
        <v>133.742</v>
      </c>
      <c r="M302" s="26" t="n">
        <v>0.5856</v>
      </c>
    </row>
    <row r="303" ht="16" customHeight="1">
      <c r="A303" t="inlineStr">
        <is>
          <t>10-Nov-2025</t>
        </is>
      </c>
      <c r="B303" t="inlineStr">
        <is>
          <t>Monday</t>
        </is>
      </c>
      <c r="C303" t="inlineStr">
        <is>
          <t>Week2-Nov-2025</t>
        </is>
      </c>
      <c r="D303" s="78" t="n">
        <v>45962</v>
      </c>
      <c r="E303" t="inlineStr">
        <is>
          <t>Q3FY26</t>
        </is>
      </c>
      <c r="F303" t="inlineStr">
        <is>
          <t>27-Nov-2025</t>
        </is>
      </c>
      <c r="G303" t="inlineStr">
        <is>
          <t>Thursday</t>
        </is>
      </c>
      <c r="H303" t="inlineStr">
        <is>
          <t>Monthly - Thursday</t>
        </is>
      </c>
      <c r="I303" t="inlineStr">
        <is>
          <t>Monthly - Thursday</t>
        </is>
      </c>
      <c r="J303" t="inlineStr">
        <is>
          <t>Same Month Expiry</t>
        </is>
      </c>
      <c r="K303" s="25" t="n">
        <v>20314</v>
      </c>
      <c r="L303" s="26" t="n">
        <v>34.2692</v>
      </c>
      <c r="M303" s="26" t="n">
        <v>0.1997</v>
      </c>
    </row>
    <row r="304" ht="16" customHeight="1">
      <c r="A304" t="inlineStr">
        <is>
          <t>10-Nov-2025</t>
        </is>
      </c>
      <c r="B304" t="inlineStr">
        <is>
          <t>Monday</t>
        </is>
      </c>
      <c r="C304" t="inlineStr">
        <is>
          <t>Week2-Nov-2025</t>
        </is>
      </c>
      <c r="D304" s="78" t="n">
        <v>45962</v>
      </c>
      <c r="E304" t="inlineStr">
        <is>
          <t>Q3FY26</t>
        </is>
      </c>
      <c r="F304" t="inlineStr">
        <is>
          <t>04-Dec-2025</t>
        </is>
      </c>
      <c r="G304" t="inlineStr">
        <is>
          <t>Thursday</t>
        </is>
      </c>
      <c r="H304" t="inlineStr">
        <is>
          <t>Weekly - Thursday</t>
        </is>
      </c>
      <c r="I304" t="inlineStr">
        <is>
          <t>Weekly - Thursday</t>
        </is>
      </c>
      <c r="J304" t="inlineStr">
        <is>
          <t>Month+1 Expiry</t>
        </is>
      </c>
      <c r="K304" s="25" t="n">
        <v>1</v>
      </c>
      <c r="L304" s="26" t="n">
        <v>0.0017</v>
      </c>
      <c r="M304" s="26" t="n">
        <v>0</v>
      </c>
    </row>
    <row r="305" ht="16" customHeight="1">
      <c r="A305" t="inlineStr">
        <is>
          <t>10-Nov-2025</t>
        </is>
      </c>
      <c r="B305" t="inlineStr">
        <is>
          <t>Monday</t>
        </is>
      </c>
      <c r="C305" t="inlineStr">
        <is>
          <t>Week2-Nov-2025</t>
        </is>
      </c>
      <c r="D305" s="78" t="n">
        <v>45962</v>
      </c>
      <c r="E305" t="inlineStr">
        <is>
          <t>Q3FY26</t>
        </is>
      </c>
      <c r="F305" t="inlineStr">
        <is>
          <t>24-Dec-2025</t>
        </is>
      </c>
      <c r="G305" t="inlineStr">
        <is>
          <t>Wednesday</t>
        </is>
      </c>
      <c r="H305" t="inlineStr">
        <is>
          <t>Weekly - Wednesday</t>
        </is>
      </c>
      <c r="I305" t="inlineStr">
        <is>
          <t>Weekly - Wednesday</t>
        </is>
      </c>
      <c r="J305" t="inlineStr">
        <is>
          <t>Month+1 Expiry</t>
        </is>
      </c>
      <c r="K305" s="25" t="n">
        <v>790</v>
      </c>
      <c r="L305" s="26" t="n">
        <v>1.3278</v>
      </c>
      <c r="M305" s="26" t="n">
        <v>0.0141</v>
      </c>
    </row>
    <row r="306" ht="16" customHeight="1">
      <c r="A306" t="inlineStr">
        <is>
          <t>11-Nov-2025</t>
        </is>
      </c>
      <c r="B306" t="inlineStr">
        <is>
          <t>Tuesday</t>
        </is>
      </c>
      <c r="C306" t="inlineStr">
        <is>
          <t>Week2-Nov-2025</t>
        </is>
      </c>
      <c r="D306" s="78" t="n">
        <v>45962</v>
      </c>
      <c r="E306" t="inlineStr">
        <is>
          <t>Q3FY26</t>
        </is>
      </c>
      <c r="F306" t="inlineStr">
        <is>
          <t>13-Nov-2025</t>
        </is>
      </c>
      <c r="G306" t="inlineStr">
        <is>
          <t>Thursday</t>
        </is>
      </c>
      <c r="H306" t="inlineStr">
        <is>
          <t>Weekly - Thursday</t>
        </is>
      </c>
      <c r="I306" t="inlineStr">
        <is>
          <t>Weekly - Thursday</t>
        </is>
      </c>
      <c r="J306" t="inlineStr">
        <is>
          <t>Same Month Expiry</t>
        </is>
      </c>
      <c r="K306" s="25" t="n">
        <v>29121568</v>
      </c>
      <c r="L306" s="26" t="n">
        <v>48738.0113</v>
      </c>
      <c r="M306" s="26" t="n">
        <v>103.6663</v>
      </c>
    </row>
    <row r="307" ht="16" customHeight="1">
      <c r="A307" t="inlineStr">
        <is>
          <t>11-Nov-2025</t>
        </is>
      </c>
      <c r="B307" t="inlineStr">
        <is>
          <t>Tuesday</t>
        </is>
      </c>
      <c r="C307" t="inlineStr">
        <is>
          <t>Week2-Nov-2025</t>
        </is>
      </c>
      <c r="D307" s="78" t="n">
        <v>45962</v>
      </c>
      <c r="E307" t="inlineStr">
        <is>
          <t>Q3FY26</t>
        </is>
      </c>
      <c r="F307" t="inlineStr">
        <is>
          <t>20-Nov-2025</t>
        </is>
      </c>
      <c r="G307" t="inlineStr">
        <is>
          <t>Thursday</t>
        </is>
      </c>
      <c r="H307" t="inlineStr">
        <is>
          <t>Weekly - Thursday</t>
        </is>
      </c>
      <c r="I307" t="inlineStr">
        <is>
          <t>Weekly - Thursday</t>
        </is>
      </c>
      <c r="J307" t="inlineStr">
        <is>
          <t>Same Month Expiry</t>
        </is>
      </c>
      <c r="K307" s="25" t="n">
        <v>260324</v>
      </c>
      <c r="L307" s="26" t="n">
        <v>439.056</v>
      </c>
      <c r="M307" s="26" t="n">
        <v>1.7892</v>
      </c>
    </row>
    <row r="308" ht="16" customHeight="1">
      <c r="A308" t="inlineStr">
        <is>
          <t>11-Nov-2025</t>
        </is>
      </c>
      <c r="B308" t="inlineStr">
        <is>
          <t>Tuesday</t>
        </is>
      </c>
      <c r="C308" t="inlineStr">
        <is>
          <t>Week2-Nov-2025</t>
        </is>
      </c>
      <c r="D308" s="78" t="n">
        <v>45962</v>
      </c>
      <c r="E308" t="inlineStr">
        <is>
          <t>Q3FY26</t>
        </is>
      </c>
      <c r="F308" t="inlineStr">
        <is>
          <t>27-Nov-2025</t>
        </is>
      </c>
      <c r="G308" t="inlineStr">
        <is>
          <t>Thursday</t>
        </is>
      </c>
      <c r="H308" t="inlineStr">
        <is>
          <t>Monthly - Thursday</t>
        </is>
      </c>
      <c r="I308" t="inlineStr">
        <is>
          <t>Monthly - Thursday</t>
        </is>
      </c>
      <c r="J308" t="inlineStr">
        <is>
          <t>Same Month Expiry</t>
        </is>
      </c>
      <c r="K308" s="25" t="n">
        <v>29904</v>
      </c>
      <c r="L308" s="26" t="n">
        <v>50.5051</v>
      </c>
      <c r="M308" s="26" t="n">
        <v>0.3141</v>
      </c>
    </row>
    <row r="309" ht="16" customHeight="1">
      <c r="A309" t="inlineStr">
        <is>
          <t>11-Nov-2025</t>
        </is>
      </c>
      <c r="B309" t="inlineStr">
        <is>
          <t>Tuesday</t>
        </is>
      </c>
      <c r="C309" t="inlineStr">
        <is>
          <t>Week2-Nov-2025</t>
        </is>
      </c>
      <c r="D309" s="78" t="n">
        <v>45962</v>
      </c>
      <c r="E309" t="inlineStr">
        <is>
          <t>Q3FY26</t>
        </is>
      </c>
      <c r="F309" t="inlineStr">
        <is>
          <t>04-Dec-2025</t>
        </is>
      </c>
      <c r="G309" t="inlineStr">
        <is>
          <t>Thursday</t>
        </is>
      </c>
      <c r="H309" t="inlineStr">
        <is>
          <t>Weekly - Thursday</t>
        </is>
      </c>
      <c r="I309" t="inlineStr">
        <is>
          <t>Weekly - Thursday</t>
        </is>
      </c>
      <c r="J309" t="inlineStr">
        <is>
          <t>Month+1 Expiry</t>
        </is>
      </c>
      <c r="K309" s="25" t="n">
        <v>5</v>
      </c>
      <c r="L309" s="26" t="n">
        <v>0.008500000000000001</v>
      </c>
      <c r="M309" s="26" t="n">
        <v>0.0001</v>
      </c>
    </row>
    <row r="310" ht="16" customHeight="1">
      <c r="A310" t="inlineStr">
        <is>
          <t>11-Nov-2025</t>
        </is>
      </c>
      <c r="B310" t="inlineStr">
        <is>
          <t>Tuesday</t>
        </is>
      </c>
      <c r="C310" t="inlineStr">
        <is>
          <t>Week2-Nov-2025</t>
        </is>
      </c>
      <c r="D310" s="78" t="n">
        <v>45962</v>
      </c>
      <c r="E310" t="inlineStr">
        <is>
          <t>Q3FY26</t>
        </is>
      </c>
      <c r="F310" t="inlineStr">
        <is>
          <t>24-Dec-2025</t>
        </is>
      </c>
      <c r="G310" t="inlineStr">
        <is>
          <t>Wednesday</t>
        </is>
      </c>
      <c r="H310" t="inlineStr">
        <is>
          <t>Weekly - Wednesday</t>
        </is>
      </c>
      <c r="I310" t="inlineStr">
        <is>
          <t>Weekly - Wednesday</t>
        </is>
      </c>
      <c r="J310" t="inlineStr">
        <is>
          <t>Month+1 Expiry</t>
        </is>
      </c>
      <c r="K310" s="25" t="n">
        <v>1629</v>
      </c>
      <c r="L310" s="26" t="n">
        <v>2.766</v>
      </c>
      <c r="M310" s="26" t="n">
        <v>0.0254</v>
      </c>
    </row>
    <row r="311" ht="16" customHeight="1">
      <c r="A311" t="inlineStr">
        <is>
          <t>12-Nov-2025</t>
        </is>
      </c>
      <c r="B311" t="inlineStr">
        <is>
          <t>Wednesday</t>
        </is>
      </c>
      <c r="C311" t="inlineStr">
        <is>
          <t>Week2-Nov-2025</t>
        </is>
      </c>
      <c r="D311" s="78" t="n">
        <v>45962</v>
      </c>
      <c r="E311" t="inlineStr">
        <is>
          <t>Q3FY26</t>
        </is>
      </c>
      <c r="F311" t="inlineStr">
        <is>
          <t>13-Nov-2025</t>
        </is>
      </c>
      <c r="G311" t="inlineStr">
        <is>
          <t>Thursday</t>
        </is>
      </c>
      <c r="H311" t="inlineStr">
        <is>
          <t>Weekly - Thursday</t>
        </is>
      </c>
      <c r="I311" t="inlineStr">
        <is>
          <t>Weekly - Thursday</t>
        </is>
      </c>
      <c r="J311" t="inlineStr">
        <is>
          <t>Same Month Expiry</t>
        </is>
      </c>
      <c r="K311" s="25" t="n">
        <v>96162445</v>
      </c>
      <c r="L311" s="26" t="n">
        <v>162399.9482</v>
      </c>
      <c r="M311" s="26" t="n">
        <v>223.4732</v>
      </c>
    </row>
    <row r="312" ht="16" customHeight="1">
      <c r="A312" t="inlineStr">
        <is>
          <t>12-Nov-2025</t>
        </is>
      </c>
      <c r="B312" t="inlineStr">
        <is>
          <t>Wednesday</t>
        </is>
      </c>
      <c r="C312" t="inlineStr">
        <is>
          <t>Week2-Nov-2025</t>
        </is>
      </c>
      <c r="D312" s="78" t="n">
        <v>45962</v>
      </c>
      <c r="E312" t="inlineStr">
        <is>
          <t>Q3FY26</t>
        </is>
      </c>
      <c r="F312" t="inlineStr">
        <is>
          <t>20-Nov-2025</t>
        </is>
      </c>
      <c r="G312" t="inlineStr">
        <is>
          <t>Thursday</t>
        </is>
      </c>
      <c r="H312" t="inlineStr">
        <is>
          <t>Weekly - Thursday</t>
        </is>
      </c>
      <c r="I312" t="inlineStr">
        <is>
          <t>Weekly - Thursday</t>
        </is>
      </c>
      <c r="J312" t="inlineStr">
        <is>
          <t>Same Month Expiry</t>
        </is>
      </c>
      <c r="K312" s="25" t="n">
        <v>554526</v>
      </c>
      <c r="L312" s="26" t="n">
        <v>936.9236</v>
      </c>
      <c r="M312" s="26" t="n">
        <v>2.9029</v>
      </c>
    </row>
    <row r="313" ht="16" customHeight="1">
      <c r="A313" t="inlineStr">
        <is>
          <t>12-Nov-2025</t>
        </is>
      </c>
      <c r="B313" t="inlineStr">
        <is>
          <t>Wednesday</t>
        </is>
      </c>
      <c r="C313" t="inlineStr">
        <is>
          <t>Week2-Nov-2025</t>
        </is>
      </c>
      <c r="D313" s="78" t="n">
        <v>45962</v>
      </c>
      <c r="E313" t="inlineStr">
        <is>
          <t>Q3FY26</t>
        </is>
      </c>
      <c r="F313" t="inlineStr">
        <is>
          <t>27-Nov-2025</t>
        </is>
      </c>
      <c r="G313" t="inlineStr">
        <is>
          <t>Thursday</t>
        </is>
      </c>
      <c r="H313" t="inlineStr">
        <is>
          <t>Monthly - Thursday</t>
        </is>
      </c>
      <c r="I313" t="inlineStr">
        <is>
          <t>Monthly - Thursday</t>
        </is>
      </c>
      <c r="J313" t="inlineStr">
        <is>
          <t>Same Month Expiry</t>
        </is>
      </c>
      <c r="K313" s="25" t="n">
        <v>47816</v>
      </c>
      <c r="L313" s="26" t="n">
        <v>80.84439999999999</v>
      </c>
      <c r="M313" s="26" t="n">
        <v>0.4366</v>
      </c>
    </row>
    <row r="314" ht="16" customHeight="1">
      <c r="A314" t="inlineStr">
        <is>
          <t>12-Nov-2025</t>
        </is>
      </c>
      <c r="B314" t="inlineStr">
        <is>
          <t>Wednesday</t>
        </is>
      </c>
      <c r="C314" t="inlineStr">
        <is>
          <t>Week2-Nov-2025</t>
        </is>
      </c>
      <c r="D314" s="78" t="n">
        <v>45962</v>
      </c>
      <c r="E314" t="inlineStr">
        <is>
          <t>Q3FY26</t>
        </is>
      </c>
      <c r="F314" t="inlineStr">
        <is>
          <t>04-Dec-2025</t>
        </is>
      </c>
      <c r="G314" t="inlineStr">
        <is>
          <t>Thursday</t>
        </is>
      </c>
      <c r="H314" t="inlineStr">
        <is>
          <t>Weekly - Thursday</t>
        </is>
      </c>
      <c r="I314" t="inlineStr">
        <is>
          <t>Weekly - Thursday</t>
        </is>
      </c>
      <c r="J314" t="inlineStr">
        <is>
          <t>Month+1 Expiry</t>
        </is>
      </c>
      <c r="K314" s="25" t="n">
        <v>19</v>
      </c>
      <c r="L314" s="26" t="n">
        <v>0.0334</v>
      </c>
      <c r="M314" s="26" t="n">
        <v>0.0002</v>
      </c>
    </row>
    <row r="315" ht="16" customHeight="1">
      <c r="A315" t="inlineStr">
        <is>
          <t>12-Nov-2025</t>
        </is>
      </c>
      <c r="B315" t="inlineStr">
        <is>
          <t>Wednesday</t>
        </is>
      </c>
      <c r="C315" t="inlineStr">
        <is>
          <t>Week2-Nov-2025</t>
        </is>
      </c>
      <c r="D315" s="78" t="n">
        <v>45962</v>
      </c>
      <c r="E315" t="inlineStr">
        <is>
          <t>Q3FY26</t>
        </is>
      </c>
      <c r="F315" t="inlineStr">
        <is>
          <t>24-Dec-2025</t>
        </is>
      </c>
      <c r="G315" t="inlineStr">
        <is>
          <t>Wednesday</t>
        </is>
      </c>
      <c r="H315" t="inlineStr">
        <is>
          <t>Weekly - Wednesday</t>
        </is>
      </c>
      <c r="I315" t="inlineStr">
        <is>
          <t>Weekly - Wednesday</t>
        </is>
      </c>
      <c r="J315" t="inlineStr">
        <is>
          <t>Month+1 Expiry</t>
        </is>
      </c>
      <c r="K315" s="25" t="n">
        <v>2000</v>
      </c>
      <c r="L315" s="26" t="n">
        <v>3.4292</v>
      </c>
      <c r="M315" s="26" t="n">
        <v>0.037</v>
      </c>
    </row>
    <row r="316" ht="16" customHeight="1">
      <c r="A316" t="inlineStr">
        <is>
          <t>13-Nov-2025</t>
        </is>
      </c>
      <c r="B316" t="inlineStr">
        <is>
          <t>Thursday</t>
        </is>
      </c>
      <c r="C316" t="inlineStr">
        <is>
          <t>Week2-Nov-2025</t>
        </is>
      </c>
      <c r="D316" s="78" t="n">
        <v>45962</v>
      </c>
      <c r="E316" t="inlineStr">
        <is>
          <t>Q3FY26</t>
        </is>
      </c>
      <c r="F316" t="inlineStr">
        <is>
          <t>13-Nov-2025</t>
        </is>
      </c>
      <c r="G316" t="inlineStr">
        <is>
          <t>Thursday</t>
        </is>
      </c>
      <c r="H316" t="inlineStr">
        <is>
          <t>Weekly - Thursday</t>
        </is>
      </c>
      <c r="I316" t="inlineStr">
        <is>
          <t>Weekly - Thursday</t>
        </is>
      </c>
      <c r="J316" t="inlineStr">
        <is>
          <t>Same Month Expiry</t>
        </is>
      </c>
      <c r="K316" s="25" t="n">
        <v>483531057</v>
      </c>
      <c r="L316" s="26" t="n">
        <v>818175.9453</v>
      </c>
      <c r="M316" s="26" t="n">
        <v>476.7115</v>
      </c>
    </row>
    <row r="317" ht="16" customHeight="1">
      <c r="A317" t="inlineStr">
        <is>
          <t>13-Nov-2025</t>
        </is>
      </c>
      <c r="B317" t="inlineStr">
        <is>
          <t>Thursday</t>
        </is>
      </c>
      <c r="C317" t="inlineStr">
        <is>
          <t>Week2-Nov-2025</t>
        </is>
      </c>
      <c r="D317" s="78" t="n">
        <v>45962</v>
      </c>
      <c r="E317" t="inlineStr">
        <is>
          <t>Q3FY26</t>
        </is>
      </c>
      <c r="F317" t="inlineStr">
        <is>
          <t>20-Nov-2025</t>
        </is>
      </c>
      <c r="G317" t="inlineStr">
        <is>
          <t>Thursday</t>
        </is>
      </c>
      <c r="H317" t="inlineStr">
        <is>
          <t>Weekly - Thursday</t>
        </is>
      </c>
      <c r="I317" t="inlineStr">
        <is>
          <t>Weekly - Thursday</t>
        </is>
      </c>
      <c r="J317" t="inlineStr">
        <is>
          <t>Same Month Expiry</t>
        </is>
      </c>
      <c r="K317" s="25" t="n">
        <v>1863500</v>
      </c>
      <c r="L317" s="26" t="n">
        <v>3159.3256</v>
      </c>
      <c r="M317" s="26" t="n">
        <v>10.699</v>
      </c>
    </row>
    <row r="318" ht="16" customHeight="1">
      <c r="A318" t="inlineStr">
        <is>
          <t>13-Nov-2025</t>
        </is>
      </c>
      <c r="B318" t="inlineStr">
        <is>
          <t>Thursday</t>
        </is>
      </c>
      <c r="C318" t="inlineStr">
        <is>
          <t>Week2-Nov-2025</t>
        </is>
      </c>
      <c r="D318" s="78" t="n">
        <v>45962</v>
      </c>
      <c r="E318" t="inlineStr">
        <is>
          <t>Q3FY26</t>
        </is>
      </c>
      <c r="F318" t="inlineStr">
        <is>
          <t>27-Nov-2025</t>
        </is>
      </c>
      <c r="G318" t="inlineStr">
        <is>
          <t>Thursday</t>
        </is>
      </c>
      <c r="H318" t="inlineStr">
        <is>
          <t>Monthly - Thursday</t>
        </is>
      </c>
      <c r="I318" t="inlineStr">
        <is>
          <t>Monthly - Thursday</t>
        </is>
      </c>
      <c r="J318" t="inlineStr">
        <is>
          <t>Same Month Expiry</t>
        </is>
      </c>
      <c r="K318" s="25" t="n">
        <v>57755</v>
      </c>
      <c r="L318" s="26" t="n">
        <v>98.3751</v>
      </c>
      <c r="M318" s="26" t="n">
        <v>0.5462</v>
      </c>
    </row>
    <row r="319" ht="16" customHeight="1">
      <c r="A319" t="inlineStr">
        <is>
          <t>13-Nov-2025</t>
        </is>
      </c>
      <c r="B319" t="inlineStr">
        <is>
          <t>Thursday</t>
        </is>
      </c>
      <c r="C319" t="inlineStr">
        <is>
          <t>Week2-Nov-2025</t>
        </is>
      </c>
      <c r="D319" s="78" t="n">
        <v>45962</v>
      </c>
      <c r="E319" t="inlineStr">
        <is>
          <t>Q3FY26</t>
        </is>
      </c>
      <c r="F319" t="inlineStr">
        <is>
          <t>04-Dec-2025</t>
        </is>
      </c>
      <c r="G319" t="inlineStr">
        <is>
          <t>Thursday</t>
        </is>
      </c>
      <c r="H319" t="inlineStr">
        <is>
          <t>Weekly - Thursday</t>
        </is>
      </c>
      <c r="I319" t="inlineStr">
        <is>
          <t>Weekly - Thursday</t>
        </is>
      </c>
      <c r="J319" t="inlineStr">
        <is>
          <t>Month+1 Expiry</t>
        </is>
      </c>
      <c r="K319" s="25" t="n">
        <v>44</v>
      </c>
      <c r="L319" s="26" t="n">
        <v>0.0765</v>
      </c>
      <c r="M319" s="26" t="n">
        <v>0.0008</v>
      </c>
    </row>
    <row r="320" ht="16" customHeight="1">
      <c r="A320" t="inlineStr">
        <is>
          <t>13-Nov-2025</t>
        </is>
      </c>
      <c r="B320" t="inlineStr">
        <is>
          <t>Thursday</t>
        </is>
      </c>
      <c r="C320" t="inlineStr">
        <is>
          <t>Week2-Nov-2025</t>
        </is>
      </c>
      <c r="D320" s="78" t="n">
        <v>45962</v>
      </c>
      <c r="E320" t="inlineStr">
        <is>
          <t>Q3FY26</t>
        </is>
      </c>
      <c r="F320" t="inlineStr">
        <is>
          <t>24-Dec-2025</t>
        </is>
      </c>
      <c r="G320" t="inlineStr">
        <is>
          <t>Wednesday</t>
        </is>
      </c>
      <c r="H320" t="inlineStr">
        <is>
          <t>Weekly - Wednesday</t>
        </is>
      </c>
      <c r="I320" t="inlineStr">
        <is>
          <t>Weekly - Wednesday</t>
        </is>
      </c>
      <c r="J320" t="inlineStr">
        <is>
          <t>Month+1 Expiry</t>
        </is>
      </c>
      <c r="K320" s="25" t="n">
        <v>2011</v>
      </c>
      <c r="L320" s="26" t="n">
        <v>3.4329</v>
      </c>
      <c r="M320" s="26" t="n">
        <v>0.0299</v>
      </c>
    </row>
    <row r="321" ht="16" customHeight="1">
      <c r="A321" t="inlineStr">
        <is>
          <t>14-Nov-2025</t>
        </is>
      </c>
      <c r="B321" t="inlineStr">
        <is>
          <t>Friday</t>
        </is>
      </c>
      <c r="C321" t="inlineStr">
        <is>
          <t>Week2-Nov-2025</t>
        </is>
      </c>
      <c r="D321" s="78" t="n">
        <v>45962</v>
      </c>
      <c r="E321" t="inlineStr">
        <is>
          <t>Q3FY26</t>
        </is>
      </c>
      <c r="F321" t="inlineStr">
        <is>
          <t>20-Nov-2025</t>
        </is>
      </c>
      <c r="G321" t="inlineStr">
        <is>
          <t>Thursday</t>
        </is>
      </c>
      <c r="H321" t="inlineStr">
        <is>
          <t>Weekly - Thursday</t>
        </is>
      </c>
      <c r="I321" t="inlineStr">
        <is>
          <t>Weekly - Thursday</t>
        </is>
      </c>
      <c r="J321" t="inlineStr">
        <is>
          <t>Same Month Expiry</t>
        </is>
      </c>
      <c r="K321" s="25" t="n">
        <v>21939100</v>
      </c>
      <c r="L321" s="26" t="n">
        <v>37153.4471</v>
      </c>
      <c r="M321" s="26" t="n">
        <v>111.5246</v>
      </c>
    </row>
    <row r="322" ht="16" customHeight="1">
      <c r="A322" t="inlineStr">
        <is>
          <t>14-Nov-2025</t>
        </is>
      </c>
      <c r="B322" t="inlineStr">
        <is>
          <t>Friday</t>
        </is>
      </c>
      <c r="C322" t="inlineStr">
        <is>
          <t>Week2-Nov-2025</t>
        </is>
      </c>
      <c r="D322" s="78" t="n">
        <v>45962</v>
      </c>
      <c r="E322" t="inlineStr">
        <is>
          <t>Q3FY26</t>
        </is>
      </c>
      <c r="F322" t="inlineStr">
        <is>
          <t>27-Nov-2025</t>
        </is>
      </c>
      <c r="G322" t="inlineStr">
        <is>
          <t>Thursday</t>
        </is>
      </c>
      <c r="H322" t="inlineStr">
        <is>
          <t>Monthly - Thursday</t>
        </is>
      </c>
      <c r="I322" t="inlineStr">
        <is>
          <t>Monthly - Thursday</t>
        </is>
      </c>
      <c r="J322" t="inlineStr">
        <is>
          <t>Same Month Expiry</t>
        </is>
      </c>
      <c r="K322" s="25" t="n">
        <v>129814</v>
      </c>
      <c r="L322" s="26" t="n">
        <v>220.4697</v>
      </c>
      <c r="M322" s="26" t="n">
        <v>1.156</v>
      </c>
    </row>
    <row r="323" ht="16" customHeight="1">
      <c r="A323" t="inlineStr">
        <is>
          <t>14-Nov-2025</t>
        </is>
      </c>
      <c r="B323" t="inlineStr">
        <is>
          <t>Friday</t>
        </is>
      </c>
      <c r="C323" t="inlineStr">
        <is>
          <t>Week2-Nov-2025</t>
        </is>
      </c>
      <c r="D323" s="78" t="n">
        <v>45962</v>
      </c>
      <c r="E323" t="inlineStr">
        <is>
          <t>Q3FY26</t>
        </is>
      </c>
      <c r="F323" t="inlineStr">
        <is>
          <t>04-Dec-2025</t>
        </is>
      </c>
      <c r="G323" t="inlineStr">
        <is>
          <t>Thursday</t>
        </is>
      </c>
      <c r="H323" t="inlineStr">
        <is>
          <t>Weekly - Thursday</t>
        </is>
      </c>
      <c r="I323" t="inlineStr">
        <is>
          <t>Weekly - Thursday</t>
        </is>
      </c>
      <c r="J323" t="inlineStr">
        <is>
          <t>Month+1 Expiry</t>
        </is>
      </c>
      <c r="K323" s="25" t="n">
        <v>1721</v>
      </c>
      <c r="L323" s="26" t="n">
        <v>2.9279</v>
      </c>
      <c r="M323" s="26" t="n">
        <v>0.0244</v>
      </c>
    </row>
    <row r="324" ht="16" customHeight="1">
      <c r="A324" t="inlineStr">
        <is>
          <t>14-Nov-2025</t>
        </is>
      </c>
      <c r="B324" t="inlineStr">
        <is>
          <t>Friday</t>
        </is>
      </c>
      <c r="C324" t="inlineStr">
        <is>
          <t>Week2-Nov-2025</t>
        </is>
      </c>
      <c r="D324" s="78" t="n">
        <v>45962</v>
      </c>
      <c r="E324" t="inlineStr">
        <is>
          <t>Q3FY26</t>
        </is>
      </c>
      <c r="F324" t="inlineStr">
        <is>
          <t>24-Dec-2025</t>
        </is>
      </c>
      <c r="G324" t="inlineStr">
        <is>
          <t>Wednesday</t>
        </is>
      </c>
      <c r="H324" t="inlineStr">
        <is>
          <t>Weekly - Wednesday</t>
        </is>
      </c>
      <c r="I324" t="inlineStr">
        <is>
          <t>Weekly - Wednesday</t>
        </is>
      </c>
      <c r="J324" t="inlineStr">
        <is>
          <t>Month+1 Expiry</t>
        </is>
      </c>
      <c r="K324" s="25" t="n">
        <v>2233</v>
      </c>
      <c r="L324" s="26" t="n">
        <v>3.7994</v>
      </c>
      <c r="M324" s="26" t="n">
        <v>0.036</v>
      </c>
    </row>
    <row r="325" ht="16" customHeight="1">
      <c r="A325" t="inlineStr">
        <is>
          <t>17-Nov-2025</t>
        </is>
      </c>
      <c r="B325" t="inlineStr">
        <is>
          <t>Monday</t>
        </is>
      </c>
      <c r="C325" t="inlineStr">
        <is>
          <t>Week3-Nov-2025</t>
        </is>
      </c>
      <c r="D325" s="78" t="n">
        <v>45962</v>
      </c>
      <c r="E325" t="inlineStr">
        <is>
          <t>Q3FY26</t>
        </is>
      </c>
      <c r="F325" t="inlineStr">
        <is>
          <t>20-Nov-2025</t>
        </is>
      </c>
      <c r="G325" t="inlineStr">
        <is>
          <t>Thursday</t>
        </is>
      </c>
      <c r="H325" t="inlineStr">
        <is>
          <t>Weekly - Thursday</t>
        </is>
      </c>
      <c r="I325" t="inlineStr">
        <is>
          <t>Weekly - Thursday</t>
        </is>
      </c>
      <c r="J325" t="inlineStr">
        <is>
          <t>Same Month Expiry</t>
        </is>
      </c>
      <c r="K325" s="25" t="n">
        <v>18603629</v>
      </c>
      <c r="L325" s="26" t="n">
        <v>31620.5913</v>
      </c>
      <c r="M325" s="26" t="n">
        <v>79.9147</v>
      </c>
    </row>
    <row r="326" ht="16" customHeight="1">
      <c r="A326" t="inlineStr">
        <is>
          <t>17-Nov-2025</t>
        </is>
      </c>
      <c r="B326" t="inlineStr">
        <is>
          <t>Monday</t>
        </is>
      </c>
      <c r="C326" t="inlineStr">
        <is>
          <t>Week3-Nov-2025</t>
        </is>
      </c>
      <c r="D326" s="78" t="n">
        <v>45962</v>
      </c>
      <c r="E326" t="inlineStr">
        <is>
          <t>Q3FY26</t>
        </is>
      </c>
      <c r="F326" t="inlineStr">
        <is>
          <t>27-Nov-2025</t>
        </is>
      </c>
      <c r="G326" t="inlineStr">
        <is>
          <t>Thursday</t>
        </is>
      </c>
      <c r="H326" t="inlineStr">
        <is>
          <t>Monthly - Thursday</t>
        </is>
      </c>
      <c r="I326" t="inlineStr">
        <is>
          <t>Monthly - Thursday</t>
        </is>
      </c>
      <c r="J326" t="inlineStr">
        <is>
          <t>Same Month Expiry</t>
        </is>
      </c>
      <c r="K326" s="25" t="n">
        <v>107962</v>
      </c>
      <c r="L326" s="26" t="n">
        <v>183.4347</v>
      </c>
      <c r="M326" s="26" t="n">
        <v>0.8169</v>
      </c>
    </row>
    <row r="327" ht="16" customHeight="1">
      <c r="A327" t="inlineStr">
        <is>
          <t>17-Nov-2025</t>
        </is>
      </c>
      <c r="B327" t="inlineStr">
        <is>
          <t>Monday</t>
        </is>
      </c>
      <c r="C327" t="inlineStr">
        <is>
          <t>Week3-Nov-2025</t>
        </is>
      </c>
      <c r="D327" s="78" t="n">
        <v>45962</v>
      </c>
      <c r="E327" t="inlineStr">
        <is>
          <t>Q3FY26</t>
        </is>
      </c>
      <c r="F327" t="inlineStr">
        <is>
          <t>04-Dec-2025</t>
        </is>
      </c>
      <c r="G327" t="inlineStr">
        <is>
          <t>Thursday</t>
        </is>
      </c>
      <c r="H327" t="inlineStr">
        <is>
          <t>Weekly - Thursday</t>
        </is>
      </c>
      <c r="I327" t="inlineStr">
        <is>
          <t>Weekly - Thursday</t>
        </is>
      </c>
      <c r="J327" t="inlineStr">
        <is>
          <t>Month+1 Expiry</t>
        </is>
      </c>
      <c r="K327" s="25" t="n">
        <v>2611</v>
      </c>
      <c r="L327" s="26" t="n">
        <v>4.4632</v>
      </c>
      <c r="M327" s="26" t="n">
        <v>0.0346</v>
      </c>
    </row>
    <row r="328" ht="16" customHeight="1">
      <c r="A328" t="inlineStr">
        <is>
          <t>17-Nov-2025</t>
        </is>
      </c>
      <c r="B328" t="inlineStr">
        <is>
          <t>Monday</t>
        </is>
      </c>
      <c r="C328" t="inlineStr">
        <is>
          <t>Week3-Nov-2025</t>
        </is>
      </c>
      <c r="D328" s="78" t="n">
        <v>45962</v>
      </c>
      <c r="E328" t="inlineStr">
        <is>
          <t>Q3FY26</t>
        </is>
      </c>
      <c r="F328" t="inlineStr">
        <is>
          <t>11-Dec-2025</t>
        </is>
      </c>
      <c r="G328" t="inlineStr">
        <is>
          <t>Thursday</t>
        </is>
      </c>
      <c r="H328" t="inlineStr">
        <is>
          <t>Weekly - Thursday</t>
        </is>
      </c>
      <c r="I328" t="inlineStr">
        <is>
          <t>Weekly - Thursday</t>
        </is>
      </c>
      <c r="J328" t="inlineStr">
        <is>
          <t>Month+1 Expiry</t>
        </is>
      </c>
      <c r="K328" s="25" t="n">
        <v>148</v>
      </c>
      <c r="L328" s="26" t="n">
        <v>0.2555</v>
      </c>
      <c r="M328" s="26" t="n">
        <v>0.0033</v>
      </c>
    </row>
    <row r="329" ht="16" customHeight="1">
      <c r="A329" t="inlineStr">
        <is>
          <t>17-Nov-2025</t>
        </is>
      </c>
      <c r="B329" t="inlineStr">
        <is>
          <t>Monday</t>
        </is>
      </c>
      <c r="C329" t="inlineStr">
        <is>
          <t>Week3-Nov-2025</t>
        </is>
      </c>
      <c r="D329" s="78" t="n">
        <v>45962</v>
      </c>
      <c r="E329" t="inlineStr">
        <is>
          <t>Q3FY26</t>
        </is>
      </c>
      <c r="F329" t="inlineStr">
        <is>
          <t>24-Dec-2025</t>
        </is>
      </c>
      <c r="G329" t="inlineStr">
        <is>
          <t>Wednesday</t>
        </is>
      </c>
      <c r="H329" t="inlineStr">
        <is>
          <t>Weekly - Wednesday</t>
        </is>
      </c>
      <c r="I329" t="inlineStr">
        <is>
          <t>Weekly - Wednesday</t>
        </is>
      </c>
      <c r="J329" t="inlineStr">
        <is>
          <t>Month+1 Expiry</t>
        </is>
      </c>
      <c r="K329" s="25" t="n">
        <v>1566</v>
      </c>
      <c r="L329" s="26" t="n">
        <v>2.68</v>
      </c>
      <c r="M329" s="26" t="n">
        <v>0.0236</v>
      </c>
    </row>
    <row r="330" ht="16" customHeight="1">
      <c r="A330" t="inlineStr">
        <is>
          <t>18-Nov-2025</t>
        </is>
      </c>
      <c r="B330" t="inlineStr">
        <is>
          <t>Tuesday</t>
        </is>
      </c>
      <c r="C330" t="inlineStr">
        <is>
          <t>Week3-Nov-2025</t>
        </is>
      </c>
      <c r="D330" s="78" t="n">
        <v>45962</v>
      </c>
      <c r="E330" t="inlineStr">
        <is>
          <t>Q3FY26</t>
        </is>
      </c>
      <c r="F330" t="inlineStr">
        <is>
          <t>20-Nov-2025</t>
        </is>
      </c>
      <c r="G330" t="inlineStr">
        <is>
          <t>Thursday</t>
        </is>
      </c>
      <c r="H330" t="inlineStr">
        <is>
          <t>Weekly - Thursday</t>
        </is>
      </c>
      <c r="I330" t="inlineStr">
        <is>
          <t>Weekly - Thursday</t>
        </is>
      </c>
      <c r="J330" t="inlineStr">
        <is>
          <t>Same Month Expiry</t>
        </is>
      </c>
      <c r="K330" s="25" t="n">
        <v>24563259</v>
      </c>
      <c r="L330" s="26" t="n">
        <v>41716.0734</v>
      </c>
      <c r="M330" s="26" t="n">
        <v>87.0634</v>
      </c>
    </row>
    <row r="331" ht="16" customHeight="1">
      <c r="A331" t="inlineStr">
        <is>
          <t>18-Nov-2025</t>
        </is>
      </c>
      <c r="B331" t="inlineStr">
        <is>
          <t>Tuesday</t>
        </is>
      </c>
      <c r="C331" t="inlineStr">
        <is>
          <t>Week3-Nov-2025</t>
        </is>
      </c>
      <c r="D331" s="78" t="n">
        <v>45962</v>
      </c>
      <c r="E331" t="inlineStr">
        <is>
          <t>Q3FY26</t>
        </is>
      </c>
      <c r="F331" t="inlineStr">
        <is>
          <t>27-Nov-2025</t>
        </is>
      </c>
      <c r="G331" t="inlineStr">
        <is>
          <t>Thursday</t>
        </is>
      </c>
      <c r="H331" t="inlineStr">
        <is>
          <t>Monthly - Thursday</t>
        </is>
      </c>
      <c r="I331" t="inlineStr">
        <is>
          <t>Monthly - Thursday</t>
        </is>
      </c>
      <c r="J331" t="inlineStr">
        <is>
          <t>Same Month Expiry</t>
        </is>
      </c>
      <c r="K331" s="25" t="n">
        <v>240888</v>
      </c>
      <c r="L331" s="26" t="n">
        <v>409.6415</v>
      </c>
      <c r="M331" s="26" t="n">
        <v>1.6949</v>
      </c>
    </row>
    <row r="332" ht="16" customHeight="1">
      <c r="A332" t="inlineStr">
        <is>
          <t>18-Nov-2025</t>
        </is>
      </c>
      <c r="B332" t="inlineStr">
        <is>
          <t>Tuesday</t>
        </is>
      </c>
      <c r="C332" t="inlineStr">
        <is>
          <t>Week3-Nov-2025</t>
        </is>
      </c>
      <c r="D332" s="78" t="n">
        <v>45962</v>
      </c>
      <c r="E332" t="inlineStr">
        <is>
          <t>Q3FY26</t>
        </is>
      </c>
      <c r="F332" t="inlineStr">
        <is>
          <t>04-Dec-2025</t>
        </is>
      </c>
      <c r="G332" t="inlineStr">
        <is>
          <t>Thursday</t>
        </is>
      </c>
      <c r="H332" t="inlineStr">
        <is>
          <t>Weekly - Thursday</t>
        </is>
      </c>
      <c r="I332" t="inlineStr">
        <is>
          <t>Weekly - Thursday</t>
        </is>
      </c>
      <c r="J332" t="inlineStr">
        <is>
          <t>Month+1 Expiry</t>
        </is>
      </c>
      <c r="K332" s="25" t="n">
        <v>3573</v>
      </c>
      <c r="L332" s="26" t="n">
        <v>6.108</v>
      </c>
      <c r="M332" s="26" t="n">
        <v>0.0472</v>
      </c>
    </row>
    <row r="333" ht="16" customHeight="1">
      <c r="A333" t="inlineStr">
        <is>
          <t>18-Nov-2025</t>
        </is>
      </c>
      <c r="B333" t="inlineStr">
        <is>
          <t>Tuesday</t>
        </is>
      </c>
      <c r="C333" t="inlineStr">
        <is>
          <t>Week3-Nov-2025</t>
        </is>
      </c>
      <c r="D333" s="78" t="n">
        <v>45962</v>
      </c>
      <c r="E333" t="inlineStr">
        <is>
          <t>Q3FY26</t>
        </is>
      </c>
      <c r="F333" t="inlineStr">
        <is>
          <t>11-Dec-2025</t>
        </is>
      </c>
      <c r="G333" t="inlineStr">
        <is>
          <t>Thursday</t>
        </is>
      </c>
      <c r="H333" t="inlineStr">
        <is>
          <t>Weekly - Thursday</t>
        </is>
      </c>
      <c r="I333" t="inlineStr">
        <is>
          <t>Weekly - Thursday</t>
        </is>
      </c>
      <c r="J333" t="inlineStr">
        <is>
          <t>Month+1 Expiry</t>
        </is>
      </c>
      <c r="K333" s="25" t="n">
        <v>22</v>
      </c>
      <c r="L333" s="26" t="n">
        <v>0.0375</v>
      </c>
      <c r="M333" s="26" t="n">
        <v>0.0004</v>
      </c>
    </row>
    <row r="334" ht="16" customHeight="1">
      <c r="A334" t="inlineStr">
        <is>
          <t>18-Nov-2025</t>
        </is>
      </c>
      <c r="B334" t="inlineStr">
        <is>
          <t>Tuesday</t>
        </is>
      </c>
      <c r="C334" t="inlineStr">
        <is>
          <t>Week3-Nov-2025</t>
        </is>
      </c>
      <c r="D334" s="78" t="n">
        <v>45962</v>
      </c>
      <c r="E334" t="inlineStr">
        <is>
          <t>Q3FY26</t>
        </is>
      </c>
      <c r="F334" t="inlineStr">
        <is>
          <t>24-Dec-2025</t>
        </is>
      </c>
      <c r="G334" t="inlineStr">
        <is>
          <t>Wednesday</t>
        </is>
      </c>
      <c r="H334" t="inlineStr">
        <is>
          <t>Weekly - Wednesday</t>
        </is>
      </c>
      <c r="I334" t="inlineStr">
        <is>
          <t>Weekly - Wednesday</t>
        </is>
      </c>
      <c r="J334" t="inlineStr">
        <is>
          <t>Month+1 Expiry</t>
        </is>
      </c>
      <c r="K334" s="25" t="n">
        <v>2497</v>
      </c>
      <c r="L334" s="26" t="n">
        <v>4.1615</v>
      </c>
      <c r="M334" s="26" t="n">
        <v>0.0223</v>
      </c>
    </row>
    <row r="335" ht="16" customHeight="1">
      <c r="A335" t="inlineStr">
        <is>
          <t>19-Nov-2025</t>
        </is>
      </c>
      <c r="B335" t="inlineStr">
        <is>
          <t>Wednesday</t>
        </is>
      </c>
      <c r="C335" t="inlineStr">
        <is>
          <t>Week3-Nov-2025</t>
        </is>
      </c>
      <c r="D335" s="78" t="n">
        <v>45962</v>
      </c>
      <c r="E335" t="inlineStr">
        <is>
          <t>Q3FY26</t>
        </is>
      </c>
      <c r="F335" t="inlineStr">
        <is>
          <t>20-Nov-2025</t>
        </is>
      </c>
      <c r="G335" t="inlineStr">
        <is>
          <t>Thursday</t>
        </is>
      </c>
      <c r="H335" t="inlineStr">
        <is>
          <t>Weekly - Thursday</t>
        </is>
      </c>
      <c r="I335" t="inlineStr">
        <is>
          <t>Weekly - Thursday</t>
        </is>
      </c>
      <c r="J335" t="inlineStr">
        <is>
          <t>Same Month Expiry</t>
        </is>
      </c>
      <c r="K335" s="25" t="n">
        <v>92874552</v>
      </c>
      <c r="L335" s="26" t="n">
        <v>157808.9463</v>
      </c>
      <c r="M335" s="26" t="n">
        <v>229.3655</v>
      </c>
    </row>
    <row r="336" ht="16" customHeight="1">
      <c r="A336" t="inlineStr">
        <is>
          <t>19-Nov-2025</t>
        </is>
      </c>
      <c r="B336" t="inlineStr">
        <is>
          <t>Wednesday</t>
        </is>
      </c>
      <c r="C336" t="inlineStr">
        <is>
          <t>Week3-Nov-2025</t>
        </is>
      </c>
      <c r="D336" s="78" t="n">
        <v>45962</v>
      </c>
      <c r="E336" t="inlineStr">
        <is>
          <t>Q3FY26</t>
        </is>
      </c>
      <c r="F336" t="inlineStr">
        <is>
          <t>27-Nov-2025</t>
        </is>
      </c>
      <c r="G336" t="inlineStr">
        <is>
          <t>Thursday</t>
        </is>
      </c>
      <c r="H336" t="inlineStr">
        <is>
          <t>Monthly - Thursday</t>
        </is>
      </c>
      <c r="I336" t="inlineStr">
        <is>
          <t>Monthly - Thursday</t>
        </is>
      </c>
      <c r="J336" t="inlineStr">
        <is>
          <t>Same Month Expiry</t>
        </is>
      </c>
      <c r="K336" s="25" t="n">
        <v>658344</v>
      </c>
      <c r="L336" s="26" t="n">
        <v>1121.0778</v>
      </c>
      <c r="M336" s="26" t="n">
        <v>3.9693</v>
      </c>
    </row>
    <row r="337" ht="16" customHeight="1">
      <c r="A337" t="inlineStr">
        <is>
          <t>19-Nov-2025</t>
        </is>
      </c>
      <c r="B337" t="inlineStr">
        <is>
          <t>Wednesday</t>
        </is>
      </c>
      <c r="C337" t="inlineStr">
        <is>
          <t>Week3-Nov-2025</t>
        </is>
      </c>
      <c r="D337" s="78" t="n">
        <v>45962</v>
      </c>
      <c r="E337" t="inlineStr">
        <is>
          <t>Q3FY26</t>
        </is>
      </c>
      <c r="F337" t="inlineStr">
        <is>
          <t>04-Dec-2025</t>
        </is>
      </c>
      <c r="G337" t="inlineStr">
        <is>
          <t>Thursday</t>
        </is>
      </c>
      <c r="H337" t="inlineStr">
        <is>
          <t>Weekly - Thursday</t>
        </is>
      </c>
      <c r="I337" t="inlineStr">
        <is>
          <t>Weekly - Thursday</t>
        </is>
      </c>
      <c r="J337" t="inlineStr">
        <is>
          <t>Month+1 Expiry</t>
        </is>
      </c>
      <c r="K337" s="25" t="n">
        <v>6213</v>
      </c>
      <c r="L337" s="26" t="n">
        <v>10.6479</v>
      </c>
      <c r="M337" s="26" t="n">
        <v>0.0775</v>
      </c>
    </row>
    <row r="338" ht="16" customHeight="1">
      <c r="A338" t="inlineStr">
        <is>
          <t>19-Nov-2025</t>
        </is>
      </c>
      <c r="B338" t="inlineStr">
        <is>
          <t>Wednesday</t>
        </is>
      </c>
      <c r="C338" t="inlineStr">
        <is>
          <t>Week3-Nov-2025</t>
        </is>
      </c>
      <c r="D338" s="78" t="n">
        <v>45962</v>
      </c>
      <c r="E338" t="inlineStr">
        <is>
          <t>Q3FY26</t>
        </is>
      </c>
      <c r="F338" t="inlineStr">
        <is>
          <t>11-Dec-2025</t>
        </is>
      </c>
      <c r="G338" t="inlineStr">
        <is>
          <t>Thursday</t>
        </is>
      </c>
      <c r="H338" t="inlineStr">
        <is>
          <t>Weekly - Thursday</t>
        </is>
      </c>
      <c r="I338" t="inlineStr">
        <is>
          <t>Weekly - Thursday</t>
        </is>
      </c>
      <c r="J338" t="inlineStr">
        <is>
          <t>Month+1 Expiry</t>
        </is>
      </c>
      <c r="K338" s="25" t="n">
        <v>62</v>
      </c>
      <c r="L338" s="26" t="n">
        <v>0.1066</v>
      </c>
      <c r="M338" s="26" t="n">
        <v>0.0012</v>
      </c>
    </row>
    <row r="339" ht="16" customHeight="1">
      <c r="A339" t="inlineStr">
        <is>
          <t>19-Nov-2025</t>
        </is>
      </c>
      <c r="B339" t="inlineStr">
        <is>
          <t>Wednesday</t>
        </is>
      </c>
      <c r="C339" t="inlineStr">
        <is>
          <t>Week3-Nov-2025</t>
        </is>
      </c>
      <c r="D339" s="78" t="n">
        <v>45962</v>
      </c>
      <c r="E339" t="inlineStr">
        <is>
          <t>Q3FY26</t>
        </is>
      </c>
      <c r="F339" t="inlineStr">
        <is>
          <t>24-Dec-2025</t>
        </is>
      </c>
      <c r="G339" t="inlineStr">
        <is>
          <t>Wednesday</t>
        </is>
      </c>
      <c r="H339" t="inlineStr">
        <is>
          <t>Weekly - Wednesday</t>
        </is>
      </c>
      <c r="I339" t="inlineStr">
        <is>
          <t>Weekly - Wednesday</t>
        </is>
      </c>
      <c r="J339" t="inlineStr">
        <is>
          <t>Month+1 Expiry</t>
        </is>
      </c>
      <c r="K339" s="25" t="n">
        <v>3116</v>
      </c>
      <c r="L339" s="26" t="n">
        <v>5.3274</v>
      </c>
      <c r="M339" s="26" t="n">
        <v>0.0381</v>
      </c>
    </row>
    <row r="340" ht="16" customHeight="1">
      <c r="A340" t="inlineStr">
        <is>
          <t>20-Nov-2025</t>
        </is>
      </c>
      <c r="B340" t="inlineStr">
        <is>
          <t>Thursday</t>
        </is>
      </c>
      <c r="C340" t="inlineStr">
        <is>
          <t>Week3-Nov-2025</t>
        </is>
      </c>
      <c r="D340" s="78" t="n">
        <v>45962</v>
      </c>
      <c r="E340" t="inlineStr">
        <is>
          <t>Q3FY26</t>
        </is>
      </c>
      <c r="F340" t="inlineStr">
        <is>
          <t>20-Nov-2025</t>
        </is>
      </c>
      <c r="G340" t="inlineStr">
        <is>
          <t>Thursday</t>
        </is>
      </c>
      <c r="H340" t="inlineStr">
        <is>
          <t>Weekly - Thursday</t>
        </is>
      </c>
      <c r="I340" t="inlineStr">
        <is>
          <t>Weekly - Thursday</t>
        </is>
      </c>
      <c r="J340" t="inlineStr">
        <is>
          <t>Same Month Expiry</t>
        </is>
      </c>
      <c r="K340" s="25" t="n">
        <v>375685545</v>
      </c>
      <c r="L340" s="26" t="n">
        <v>642364.4838</v>
      </c>
      <c r="M340" s="26" t="n">
        <v>386.7141</v>
      </c>
    </row>
    <row r="341" ht="16" customHeight="1">
      <c r="A341" t="inlineStr">
        <is>
          <t>20-Nov-2025</t>
        </is>
      </c>
      <c r="B341" t="inlineStr">
        <is>
          <t>Thursday</t>
        </is>
      </c>
      <c r="C341" t="inlineStr">
        <is>
          <t>Week3-Nov-2025</t>
        </is>
      </c>
      <c r="D341" s="78" t="n">
        <v>45962</v>
      </c>
      <c r="E341" t="inlineStr">
        <is>
          <t>Q3FY26</t>
        </is>
      </c>
      <c r="F341" t="inlineStr">
        <is>
          <t>27-Nov-2025</t>
        </is>
      </c>
      <c r="G341" t="inlineStr">
        <is>
          <t>Thursday</t>
        </is>
      </c>
      <c r="H341" t="inlineStr">
        <is>
          <t>Monthly - Thursday</t>
        </is>
      </c>
      <c r="I341" t="inlineStr">
        <is>
          <t>Monthly - Thursday</t>
        </is>
      </c>
      <c r="J341" t="inlineStr">
        <is>
          <t>Same Month Expiry</t>
        </is>
      </c>
      <c r="K341" s="25" t="n">
        <v>1837946</v>
      </c>
      <c r="L341" s="26" t="n">
        <v>3139.7601</v>
      </c>
      <c r="M341" s="26" t="n">
        <v>9.9131</v>
      </c>
    </row>
    <row r="342" ht="16" customHeight="1">
      <c r="A342" t="inlineStr">
        <is>
          <t>20-Nov-2025</t>
        </is>
      </c>
      <c r="B342" t="inlineStr">
        <is>
          <t>Thursday</t>
        </is>
      </c>
      <c r="C342" t="inlineStr">
        <is>
          <t>Week3-Nov-2025</t>
        </is>
      </c>
      <c r="D342" s="78" t="n">
        <v>45962</v>
      </c>
      <c r="E342" t="inlineStr">
        <is>
          <t>Q3FY26</t>
        </is>
      </c>
      <c r="F342" t="inlineStr">
        <is>
          <t>04-Dec-2025</t>
        </is>
      </c>
      <c r="G342" t="inlineStr">
        <is>
          <t>Thursday</t>
        </is>
      </c>
      <c r="H342" t="inlineStr">
        <is>
          <t>Weekly - Thursday</t>
        </is>
      </c>
      <c r="I342" t="inlineStr">
        <is>
          <t>Weekly - Thursday</t>
        </is>
      </c>
      <c r="J342" t="inlineStr">
        <is>
          <t>Month+1 Expiry</t>
        </is>
      </c>
      <c r="K342" s="25" t="n">
        <v>16450</v>
      </c>
      <c r="L342" s="26" t="n">
        <v>28.3166</v>
      </c>
      <c r="M342" s="26" t="n">
        <v>0.1843</v>
      </c>
    </row>
    <row r="343" ht="16" customHeight="1">
      <c r="A343" t="inlineStr">
        <is>
          <t>20-Nov-2025</t>
        </is>
      </c>
      <c r="B343" t="inlineStr">
        <is>
          <t>Thursday</t>
        </is>
      </c>
      <c r="C343" t="inlineStr">
        <is>
          <t>Week3-Nov-2025</t>
        </is>
      </c>
      <c r="D343" s="78" t="n">
        <v>45962</v>
      </c>
      <c r="E343" t="inlineStr">
        <is>
          <t>Q3FY26</t>
        </is>
      </c>
      <c r="F343" t="inlineStr">
        <is>
          <t>11-Dec-2025</t>
        </is>
      </c>
      <c r="G343" t="inlineStr">
        <is>
          <t>Thursday</t>
        </is>
      </c>
      <c r="H343" t="inlineStr">
        <is>
          <t>Weekly - Thursday</t>
        </is>
      </c>
      <c r="I343" t="inlineStr">
        <is>
          <t>Weekly - Thursday</t>
        </is>
      </c>
      <c r="J343" t="inlineStr">
        <is>
          <t>Month+1 Expiry</t>
        </is>
      </c>
      <c r="K343" s="25" t="n">
        <v>428</v>
      </c>
      <c r="L343" s="26" t="n">
        <v>0.7441</v>
      </c>
      <c r="M343" s="26" t="n">
        <v>0.0068</v>
      </c>
    </row>
    <row r="344" ht="16" customHeight="1">
      <c r="A344" t="inlineStr">
        <is>
          <t>20-Nov-2025</t>
        </is>
      </c>
      <c r="B344" t="inlineStr">
        <is>
          <t>Thursday</t>
        </is>
      </c>
      <c r="C344" t="inlineStr">
        <is>
          <t>Week3-Nov-2025</t>
        </is>
      </c>
      <c r="D344" s="78" t="n">
        <v>45962</v>
      </c>
      <c r="E344" t="inlineStr">
        <is>
          <t>Q3FY26</t>
        </is>
      </c>
      <c r="F344" t="inlineStr">
        <is>
          <t>24-Dec-2025</t>
        </is>
      </c>
      <c r="G344" t="inlineStr">
        <is>
          <t>Wednesday</t>
        </is>
      </c>
      <c r="H344" t="inlineStr">
        <is>
          <t>Weekly - Wednesday</t>
        </is>
      </c>
      <c r="I344" t="inlineStr">
        <is>
          <t>Weekly - Wednesday</t>
        </is>
      </c>
      <c r="J344" t="inlineStr">
        <is>
          <t>Month+1 Expiry</t>
        </is>
      </c>
      <c r="K344" s="25" t="n">
        <v>4549</v>
      </c>
      <c r="L344" s="26" t="n">
        <v>7.8748</v>
      </c>
      <c r="M344" s="26" t="n">
        <v>0.0547</v>
      </c>
    </row>
    <row r="345" ht="16" customHeight="1">
      <c r="A345" t="inlineStr">
        <is>
          <t>21-Nov-2025</t>
        </is>
      </c>
      <c r="B345" t="inlineStr">
        <is>
          <t>Friday</t>
        </is>
      </c>
      <c r="C345" t="inlineStr">
        <is>
          <t>Week3-Nov-2025</t>
        </is>
      </c>
      <c r="D345" s="78" t="n">
        <v>45962</v>
      </c>
      <c r="E345" t="inlineStr">
        <is>
          <t>Q3FY26</t>
        </is>
      </c>
      <c r="F345" t="inlineStr">
        <is>
          <t>27-Nov-2025</t>
        </is>
      </c>
      <c r="G345" t="inlineStr">
        <is>
          <t>Thursday</t>
        </is>
      </c>
      <c r="H345" t="inlineStr">
        <is>
          <t>Monthly - Thursday</t>
        </is>
      </c>
      <c r="I345" t="inlineStr">
        <is>
          <t>MDAW - Thursday</t>
        </is>
      </c>
      <c r="J345" t="inlineStr">
        <is>
          <t>Same Month Expiry</t>
        </is>
      </c>
      <c r="K345" s="25" t="n">
        <v>16294373</v>
      </c>
      <c r="L345" s="26" t="n">
        <v>27934.1552</v>
      </c>
      <c r="M345" s="26" t="n">
        <v>87.1165</v>
      </c>
    </row>
    <row r="346" ht="16" customHeight="1">
      <c r="A346" t="inlineStr">
        <is>
          <t>21-Nov-2025</t>
        </is>
      </c>
      <c r="B346" t="inlineStr">
        <is>
          <t>Friday</t>
        </is>
      </c>
      <c r="C346" t="inlineStr">
        <is>
          <t>Week3-Nov-2025</t>
        </is>
      </c>
      <c r="D346" s="78" t="n">
        <v>45962</v>
      </c>
      <c r="E346" t="inlineStr">
        <is>
          <t>Q3FY26</t>
        </is>
      </c>
      <c r="F346" t="inlineStr">
        <is>
          <t>04-Dec-2025</t>
        </is>
      </c>
      <c r="G346" t="inlineStr">
        <is>
          <t>Thursday</t>
        </is>
      </c>
      <c r="H346" t="inlineStr">
        <is>
          <t>Weekly - Thursday</t>
        </is>
      </c>
      <c r="I346" t="inlineStr">
        <is>
          <t>Weekly - Thursday</t>
        </is>
      </c>
      <c r="J346" t="inlineStr">
        <is>
          <t>Month+1 Expiry</t>
        </is>
      </c>
      <c r="K346" s="25" t="n">
        <v>61887</v>
      </c>
      <c r="L346" s="26" t="n">
        <v>106.5268</v>
      </c>
      <c r="M346" s="26" t="n">
        <v>0.7174</v>
      </c>
    </row>
    <row r="347" ht="16" customHeight="1">
      <c r="A347" t="inlineStr">
        <is>
          <t>21-Nov-2025</t>
        </is>
      </c>
      <c r="B347" t="inlineStr">
        <is>
          <t>Friday</t>
        </is>
      </c>
      <c r="C347" t="inlineStr">
        <is>
          <t>Week3-Nov-2025</t>
        </is>
      </c>
      <c r="D347" s="78" t="n">
        <v>45962</v>
      </c>
      <c r="E347" t="inlineStr">
        <is>
          <t>Q3FY26</t>
        </is>
      </c>
      <c r="F347" t="inlineStr">
        <is>
          <t>11-Dec-2025</t>
        </is>
      </c>
      <c r="G347" t="inlineStr">
        <is>
          <t>Thursday</t>
        </is>
      </c>
      <c r="H347" t="inlineStr">
        <is>
          <t>Weekly - Thursday</t>
        </is>
      </c>
      <c r="I347" t="inlineStr">
        <is>
          <t>Weekly - Thursday</t>
        </is>
      </c>
      <c r="J347" t="inlineStr">
        <is>
          <t>Month+1 Expiry</t>
        </is>
      </c>
      <c r="K347" s="25" t="n">
        <v>731</v>
      </c>
      <c r="L347" s="26" t="n">
        <v>1.2605</v>
      </c>
      <c r="M347" s="26" t="n">
        <v>0.0123</v>
      </c>
    </row>
    <row r="348" ht="16" customHeight="1">
      <c r="A348" t="inlineStr">
        <is>
          <t>21-Nov-2025</t>
        </is>
      </c>
      <c r="B348" t="inlineStr">
        <is>
          <t>Friday</t>
        </is>
      </c>
      <c r="C348" t="inlineStr">
        <is>
          <t>Week3-Nov-2025</t>
        </is>
      </c>
      <c r="D348" s="78" t="n">
        <v>45962</v>
      </c>
      <c r="E348" t="inlineStr">
        <is>
          <t>Q3FY26</t>
        </is>
      </c>
      <c r="F348" t="inlineStr">
        <is>
          <t>18-Dec-2025</t>
        </is>
      </c>
      <c r="G348" t="inlineStr">
        <is>
          <t>Thursday</t>
        </is>
      </c>
      <c r="H348" t="inlineStr">
        <is>
          <t>Weekly - Thursday</t>
        </is>
      </c>
      <c r="I348" t="inlineStr">
        <is>
          <t>Weekly - Thursday</t>
        </is>
      </c>
      <c r="J348" t="inlineStr">
        <is>
          <t>Month+1 Expiry</t>
        </is>
      </c>
      <c r="K348" s="25" t="n">
        <v>96</v>
      </c>
      <c r="L348" s="26" t="n">
        <v>0.1665</v>
      </c>
      <c r="M348" s="26" t="n">
        <v>0.0023</v>
      </c>
    </row>
    <row r="349" ht="16" customHeight="1">
      <c r="A349" t="inlineStr">
        <is>
          <t>21-Nov-2025</t>
        </is>
      </c>
      <c r="B349" t="inlineStr">
        <is>
          <t>Friday</t>
        </is>
      </c>
      <c r="C349" t="inlineStr">
        <is>
          <t>Week3-Nov-2025</t>
        </is>
      </c>
      <c r="D349" s="78" t="n">
        <v>45962</v>
      </c>
      <c r="E349" t="inlineStr">
        <is>
          <t>Q3FY26</t>
        </is>
      </c>
      <c r="F349" t="inlineStr">
        <is>
          <t>24-Dec-2025</t>
        </is>
      </c>
      <c r="G349" t="inlineStr">
        <is>
          <t>Wednesday</t>
        </is>
      </c>
      <c r="H349" t="inlineStr">
        <is>
          <t>Weekly - Wednesday</t>
        </is>
      </c>
      <c r="I349" t="inlineStr">
        <is>
          <t>Weekly - Wednesday</t>
        </is>
      </c>
      <c r="J349" t="inlineStr">
        <is>
          <t>Month+1 Expiry</t>
        </is>
      </c>
      <c r="K349" s="25" t="n">
        <v>5119</v>
      </c>
      <c r="L349" s="26" t="n">
        <v>8.817600000000001</v>
      </c>
      <c r="M349" s="26" t="n">
        <v>0.0779</v>
      </c>
    </row>
    <row r="350" ht="16" customHeight="1">
      <c r="A350" t="inlineStr">
        <is>
          <t>24-Nov-2025</t>
        </is>
      </c>
      <c r="B350" t="inlineStr">
        <is>
          <t>Monday</t>
        </is>
      </c>
      <c r="C350" t="inlineStr">
        <is>
          <t>Week4-Nov-2025</t>
        </is>
      </c>
      <c r="D350" s="78" t="n">
        <v>45962</v>
      </c>
      <c r="E350" t="inlineStr">
        <is>
          <t>Q3FY26</t>
        </is>
      </c>
      <c r="F350" t="inlineStr">
        <is>
          <t>27-Nov-2025</t>
        </is>
      </c>
      <c r="G350" t="inlineStr">
        <is>
          <t>Thursday</t>
        </is>
      </c>
      <c r="H350" t="inlineStr">
        <is>
          <t>Monthly - Thursday</t>
        </is>
      </c>
      <c r="I350" t="inlineStr">
        <is>
          <t>MDAW - Thursday</t>
        </is>
      </c>
      <c r="J350" t="inlineStr">
        <is>
          <t>Same Month Expiry</t>
        </is>
      </c>
      <c r="K350" s="25" t="n">
        <v>18547569</v>
      </c>
      <c r="L350" s="26" t="n">
        <v>31741.8988</v>
      </c>
      <c r="M350" s="26" t="n">
        <v>79.4028</v>
      </c>
    </row>
    <row r="351" ht="16" customHeight="1">
      <c r="A351" t="inlineStr">
        <is>
          <t>24-Nov-2025</t>
        </is>
      </c>
      <c r="B351" t="inlineStr">
        <is>
          <t>Monday</t>
        </is>
      </c>
      <c r="C351" t="inlineStr">
        <is>
          <t>Week4-Nov-2025</t>
        </is>
      </c>
      <c r="D351" s="78" t="n">
        <v>45962</v>
      </c>
      <c r="E351" t="inlineStr">
        <is>
          <t>Q3FY26</t>
        </is>
      </c>
      <c r="F351" t="inlineStr">
        <is>
          <t>04-Dec-2025</t>
        </is>
      </c>
      <c r="G351" t="inlineStr">
        <is>
          <t>Thursday</t>
        </is>
      </c>
      <c r="H351" t="inlineStr">
        <is>
          <t>Weekly - Thursday</t>
        </is>
      </c>
      <c r="I351" t="inlineStr">
        <is>
          <t>Weekly - Thursday</t>
        </is>
      </c>
      <c r="J351" t="inlineStr">
        <is>
          <t>Month+1 Expiry</t>
        </is>
      </c>
      <c r="K351" s="25" t="n">
        <v>143459</v>
      </c>
      <c r="L351" s="26" t="n">
        <v>246.7033</v>
      </c>
      <c r="M351" s="26" t="n">
        <v>1.0784</v>
      </c>
    </row>
    <row r="352" ht="16" customHeight="1">
      <c r="A352" t="inlineStr">
        <is>
          <t>24-Nov-2025</t>
        </is>
      </c>
      <c r="B352" t="inlineStr">
        <is>
          <t>Monday</t>
        </is>
      </c>
      <c r="C352" t="inlineStr">
        <is>
          <t>Week4-Nov-2025</t>
        </is>
      </c>
      <c r="D352" s="78" t="n">
        <v>45962</v>
      </c>
      <c r="E352" t="inlineStr">
        <is>
          <t>Q3FY26</t>
        </is>
      </c>
      <c r="F352" t="inlineStr">
        <is>
          <t>11-Dec-2025</t>
        </is>
      </c>
      <c r="G352" t="inlineStr">
        <is>
          <t>Thursday</t>
        </is>
      </c>
      <c r="H352" t="inlineStr">
        <is>
          <t>Weekly - Thursday</t>
        </is>
      </c>
      <c r="I352" t="inlineStr">
        <is>
          <t>Weekly - Thursday</t>
        </is>
      </c>
      <c r="J352" t="inlineStr">
        <is>
          <t>Month+1 Expiry</t>
        </is>
      </c>
      <c r="K352" s="25" t="n">
        <v>962</v>
      </c>
      <c r="L352" s="26" t="n">
        <v>1.6578</v>
      </c>
      <c r="M352" s="26" t="n">
        <v>0.0146</v>
      </c>
    </row>
    <row r="353" ht="16" customHeight="1">
      <c r="A353" t="inlineStr">
        <is>
          <t>24-Nov-2025</t>
        </is>
      </c>
      <c r="B353" t="inlineStr">
        <is>
          <t>Monday</t>
        </is>
      </c>
      <c r="C353" t="inlineStr">
        <is>
          <t>Week4-Nov-2025</t>
        </is>
      </c>
      <c r="D353" s="78" t="n">
        <v>45962</v>
      </c>
      <c r="E353" t="inlineStr">
        <is>
          <t>Q3FY26</t>
        </is>
      </c>
      <c r="F353" t="inlineStr">
        <is>
          <t>18-Dec-2025</t>
        </is>
      </c>
      <c r="G353" t="inlineStr">
        <is>
          <t>Thursday</t>
        </is>
      </c>
      <c r="H353" t="inlineStr">
        <is>
          <t>Weekly - Thursday</t>
        </is>
      </c>
      <c r="I353" t="inlineStr">
        <is>
          <t>Weekly - Thursday</t>
        </is>
      </c>
      <c r="J353" t="inlineStr">
        <is>
          <t>Month+1 Expiry</t>
        </is>
      </c>
      <c r="K353" s="25" t="n">
        <v>259</v>
      </c>
      <c r="L353" s="26" t="n">
        <v>0.4487</v>
      </c>
      <c r="M353" s="26" t="n">
        <v>0.0047</v>
      </c>
    </row>
    <row r="354" ht="16" customHeight="1">
      <c r="A354" t="inlineStr">
        <is>
          <t>24-Nov-2025</t>
        </is>
      </c>
      <c r="B354" t="inlineStr">
        <is>
          <t>Monday</t>
        </is>
      </c>
      <c r="C354" t="inlineStr">
        <is>
          <t>Week4-Nov-2025</t>
        </is>
      </c>
      <c r="D354" s="78" t="n">
        <v>45962</v>
      </c>
      <c r="E354" t="inlineStr">
        <is>
          <t>Q3FY26</t>
        </is>
      </c>
      <c r="F354" t="inlineStr">
        <is>
          <t>24-Dec-2025</t>
        </is>
      </c>
      <c r="G354" t="inlineStr">
        <is>
          <t>Wednesday</t>
        </is>
      </c>
      <c r="H354" t="inlineStr">
        <is>
          <t>Weekly - Wednesday</t>
        </is>
      </c>
      <c r="I354" t="inlineStr">
        <is>
          <t>Weekly - Wednesday</t>
        </is>
      </c>
      <c r="J354" t="inlineStr">
        <is>
          <t>Month+1 Expiry</t>
        </is>
      </c>
      <c r="K354" s="25" t="n">
        <v>4524</v>
      </c>
      <c r="L354" s="26" t="n">
        <v>7.7815</v>
      </c>
      <c r="M354" s="26" t="n">
        <v>0.0592</v>
      </c>
    </row>
    <row r="355" ht="16" customHeight="1">
      <c r="A355" t="inlineStr">
        <is>
          <t>24-Nov-2025</t>
        </is>
      </c>
      <c r="B355" t="inlineStr">
        <is>
          <t>Monday</t>
        </is>
      </c>
      <c r="C355" t="inlineStr">
        <is>
          <t>Week4-Nov-2025</t>
        </is>
      </c>
      <c r="D355" s="78" t="n">
        <v>45962</v>
      </c>
      <c r="E355" t="inlineStr">
        <is>
          <t>Q3FY26</t>
        </is>
      </c>
      <c r="F355" t="inlineStr">
        <is>
          <t>29-Jan-2026</t>
        </is>
      </c>
      <c r="G355" t="inlineStr">
        <is>
          <t>Thursday</t>
        </is>
      </c>
      <c r="H355" t="inlineStr">
        <is>
          <t>Monthly - Thursday</t>
        </is>
      </c>
      <c r="I355" t="inlineStr">
        <is>
          <t>Monthly - Thursday</t>
        </is>
      </c>
      <c r="J355" t="inlineStr">
        <is>
          <t>Month+2 Expiry</t>
        </is>
      </c>
      <c r="K355" s="25" t="n">
        <v>1</v>
      </c>
      <c r="L355" s="26" t="n">
        <v>0.0016</v>
      </c>
      <c r="M355" s="26" t="n">
        <v>0</v>
      </c>
    </row>
    <row r="356" ht="16" customHeight="1">
      <c r="A356" t="inlineStr">
        <is>
          <t>25-Nov-2025</t>
        </is>
      </c>
      <c r="B356" t="inlineStr">
        <is>
          <t>Tuesday</t>
        </is>
      </c>
      <c r="C356" t="inlineStr">
        <is>
          <t>Week4-Nov-2025</t>
        </is>
      </c>
      <c r="D356" s="78" t="n">
        <v>45962</v>
      </c>
      <c r="E356" t="inlineStr">
        <is>
          <t>Q3FY26</t>
        </is>
      </c>
      <c r="F356" t="inlineStr">
        <is>
          <t>27-Nov-2025</t>
        </is>
      </c>
      <c r="G356" t="inlineStr">
        <is>
          <t>Thursday</t>
        </is>
      </c>
      <c r="H356" t="inlineStr">
        <is>
          <t>Monthly - Thursday</t>
        </is>
      </c>
      <c r="I356" t="inlineStr">
        <is>
          <t>MDAW - Thursday</t>
        </is>
      </c>
      <c r="J356" t="inlineStr">
        <is>
          <t>Same Month Expiry</t>
        </is>
      </c>
      <c r="K356" s="25" t="n">
        <v>24613099</v>
      </c>
      <c r="L356" s="26" t="n">
        <v>41995.1669</v>
      </c>
      <c r="M356" s="26" t="n">
        <v>83.7783</v>
      </c>
    </row>
    <row r="357" ht="16" customHeight="1">
      <c r="A357" t="inlineStr">
        <is>
          <t>25-Nov-2025</t>
        </is>
      </c>
      <c r="B357" t="inlineStr">
        <is>
          <t>Tuesday</t>
        </is>
      </c>
      <c r="C357" t="inlineStr">
        <is>
          <t>Week4-Nov-2025</t>
        </is>
      </c>
      <c r="D357" s="78" t="n">
        <v>45962</v>
      </c>
      <c r="E357" t="inlineStr">
        <is>
          <t>Q3FY26</t>
        </is>
      </c>
      <c r="F357" t="inlineStr">
        <is>
          <t>04-Dec-2025</t>
        </is>
      </c>
      <c r="G357" t="inlineStr">
        <is>
          <t>Thursday</t>
        </is>
      </c>
      <c r="H357" t="inlineStr">
        <is>
          <t>Weekly - Thursday</t>
        </is>
      </c>
      <c r="I357" t="inlineStr">
        <is>
          <t>Weekly - Thursday</t>
        </is>
      </c>
      <c r="J357" t="inlineStr">
        <is>
          <t>Month+1 Expiry</t>
        </is>
      </c>
      <c r="K357" s="25" t="n">
        <v>329418</v>
      </c>
      <c r="L357" s="26" t="n">
        <v>564.0188000000001</v>
      </c>
      <c r="M357" s="26" t="n">
        <v>2.4004</v>
      </c>
    </row>
    <row r="358" ht="16" customHeight="1">
      <c r="A358" t="inlineStr">
        <is>
          <t>25-Nov-2025</t>
        </is>
      </c>
      <c r="B358" t="inlineStr">
        <is>
          <t>Tuesday</t>
        </is>
      </c>
      <c r="C358" t="inlineStr">
        <is>
          <t>Week4-Nov-2025</t>
        </is>
      </c>
      <c r="D358" s="78" t="n">
        <v>45962</v>
      </c>
      <c r="E358" t="inlineStr">
        <is>
          <t>Q3FY26</t>
        </is>
      </c>
      <c r="F358" t="inlineStr">
        <is>
          <t>11-Dec-2025</t>
        </is>
      </c>
      <c r="G358" t="inlineStr">
        <is>
          <t>Thursday</t>
        </is>
      </c>
      <c r="H358" t="inlineStr">
        <is>
          <t>Weekly - Thursday</t>
        </is>
      </c>
      <c r="I358" t="inlineStr">
        <is>
          <t>Weekly - Thursday</t>
        </is>
      </c>
      <c r="J358" t="inlineStr">
        <is>
          <t>Month+1 Expiry</t>
        </is>
      </c>
      <c r="K358" s="25" t="n">
        <v>5564</v>
      </c>
      <c r="L358" s="26" t="n">
        <v>9.549300000000001</v>
      </c>
      <c r="M358" s="26" t="n">
        <v>0.08890000000000001</v>
      </c>
    </row>
    <row r="359" ht="16" customHeight="1">
      <c r="A359" t="inlineStr">
        <is>
          <t>25-Nov-2025</t>
        </is>
      </c>
      <c r="B359" t="inlineStr">
        <is>
          <t>Tuesday</t>
        </is>
      </c>
      <c r="C359" t="inlineStr">
        <is>
          <t>Week4-Nov-2025</t>
        </is>
      </c>
      <c r="D359" s="78" t="n">
        <v>45962</v>
      </c>
      <c r="E359" t="inlineStr">
        <is>
          <t>Q3FY26</t>
        </is>
      </c>
      <c r="F359" t="inlineStr">
        <is>
          <t>18-Dec-2025</t>
        </is>
      </c>
      <c r="G359" t="inlineStr">
        <is>
          <t>Thursday</t>
        </is>
      </c>
      <c r="H359" t="inlineStr">
        <is>
          <t>Weekly - Thursday</t>
        </is>
      </c>
      <c r="I359" t="inlineStr">
        <is>
          <t>Weekly - Thursday</t>
        </is>
      </c>
      <c r="J359" t="inlineStr">
        <is>
          <t>Month+1 Expiry</t>
        </is>
      </c>
      <c r="K359" s="25" t="n">
        <v>1277</v>
      </c>
      <c r="L359" s="26" t="n">
        <v>2.2011</v>
      </c>
      <c r="M359" s="26" t="n">
        <v>0.0274</v>
      </c>
    </row>
    <row r="360" ht="16" customHeight="1">
      <c r="A360" t="inlineStr">
        <is>
          <t>25-Nov-2025</t>
        </is>
      </c>
      <c r="B360" t="inlineStr">
        <is>
          <t>Tuesday</t>
        </is>
      </c>
      <c r="C360" t="inlineStr">
        <is>
          <t>Week4-Nov-2025</t>
        </is>
      </c>
      <c r="D360" s="78" t="n">
        <v>45962</v>
      </c>
      <c r="E360" t="inlineStr">
        <is>
          <t>Q3FY26</t>
        </is>
      </c>
      <c r="F360" t="inlineStr">
        <is>
          <t>24-Dec-2025</t>
        </is>
      </c>
      <c r="G360" t="inlineStr">
        <is>
          <t>Wednesday</t>
        </is>
      </c>
      <c r="H360" t="inlineStr">
        <is>
          <t>Weekly - Wednesday</t>
        </is>
      </c>
      <c r="I360" t="inlineStr">
        <is>
          <t>Weekly - Wednesday</t>
        </is>
      </c>
      <c r="J360" t="inlineStr">
        <is>
          <t>Month+1 Expiry</t>
        </is>
      </c>
      <c r="K360" s="25" t="n">
        <v>39236</v>
      </c>
      <c r="L360" s="26" t="n">
        <v>67.7466</v>
      </c>
      <c r="M360" s="26" t="n">
        <v>0.8231000000000001</v>
      </c>
    </row>
    <row r="361" ht="16" customHeight="1">
      <c r="A361" t="inlineStr">
        <is>
          <t>25-Nov-2025</t>
        </is>
      </c>
      <c r="B361" t="inlineStr">
        <is>
          <t>Tuesday</t>
        </is>
      </c>
      <c r="C361" t="inlineStr">
        <is>
          <t>Week4-Nov-2025</t>
        </is>
      </c>
      <c r="D361" s="78" t="n">
        <v>45962</v>
      </c>
      <c r="E361" t="inlineStr">
        <is>
          <t>Q3FY26</t>
        </is>
      </c>
      <c r="F361" t="inlineStr">
        <is>
          <t>01-Jan-2026</t>
        </is>
      </c>
      <c r="G361" t="inlineStr">
        <is>
          <t>Thursday</t>
        </is>
      </c>
      <c r="H361" t="inlineStr">
        <is>
          <t>Weekly - Thursday</t>
        </is>
      </c>
      <c r="I361" t="inlineStr">
        <is>
          <t>Weekly - Thursday</t>
        </is>
      </c>
      <c r="J361" t="inlineStr">
        <is>
          <t>Month+2 Expiry</t>
        </is>
      </c>
      <c r="K361" s="25" t="n">
        <v>1</v>
      </c>
      <c r="L361" s="26" t="n">
        <v>0.0017</v>
      </c>
      <c r="M361" s="26" t="n">
        <v>0</v>
      </c>
    </row>
    <row r="362" ht="16" customHeight="1">
      <c r="A362" t="inlineStr">
        <is>
          <t>25-Nov-2025</t>
        </is>
      </c>
      <c r="B362" t="inlineStr">
        <is>
          <t>Tuesday</t>
        </is>
      </c>
      <c r="C362" t="inlineStr">
        <is>
          <t>Week4-Nov-2025</t>
        </is>
      </c>
      <c r="D362" s="78" t="n">
        <v>45962</v>
      </c>
      <c r="E362" t="inlineStr">
        <is>
          <t>Q3FY26</t>
        </is>
      </c>
      <c r="F362" t="inlineStr">
        <is>
          <t>29-Jan-2026</t>
        </is>
      </c>
      <c r="G362" t="inlineStr">
        <is>
          <t>Thursday</t>
        </is>
      </c>
      <c r="H362" t="inlineStr">
        <is>
          <t>Monthly - Thursday</t>
        </is>
      </c>
      <c r="I362" t="inlineStr">
        <is>
          <t>Monthly - Thursday</t>
        </is>
      </c>
      <c r="J362" t="inlineStr">
        <is>
          <t>Month+2 Expiry</t>
        </is>
      </c>
      <c r="K362" s="25" t="n">
        <v>0</v>
      </c>
      <c r="L362" s="26" t="n">
        <v>0</v>
      </c>
      <c r="M362" s="26" t="n">
        <v>0</v>
      </c>
    </row>
    <row r="363" ht="16" customHeight="1">
      <c r="A363" t="inlineStr">
        <is>
          <t>26-Nov-2025</t>
        </is>
      </c>
      <c r="B363" t="inlineStr">
        <is>
          <t>Wednesday</t>
        </is>
      </c>
      <c r="C363" t="inlineStr">
        <is>
          <t>Week4-Nov-2025</t>
        </is>
      </c>
      <c r="D363" s="78" t="n">
        <v>45962</v>
      </c>
      <c r="E363" t="inlineStr">
        <is>
          <t>Q3FY26</t>
        </is>
      </c>
      <c r="F363" t="inlineStr">
        <is>
          <t>27-Nov-2025</t>
        </is>
      </c>
      <c r="G363" t="inlineStr">
        <is>
          <t>Thursday</t>
        </is>
      </c>
      <c r="H363" t="inlineStr">
        <is>
          <t>Monthly - Thursday</t>
        </is>
      </c>
      <c r="I363" t="inlineStr">
        <is>
          <t>MDAW - Thursday</t>
        </is>
      </c>
      <c r="J363" t="inlineStr">
        <is>
          <t>Same Month Expiry</t>
        </is>
      </c>
      <c r="K363" s="25" t="n">
        <v>100693756</v>
      </c>
      <c r="L363" s="26" t="n">
        <v>171933.5608</v>
      </c>
      <c r="M363" s="26" t="n">
        <v>239.9608</v>
      </c>
    </row>
    <row r="364" ht="16" customHeight="1">
      <c r="A364" t="inlineStr">
        <is>
          <t>26-Nov-2025</t>
        </is>
      </c>
      <c r="B364" t="inlineStr">
        <is>
          <t>Wednesday</t>
        </is>
      </c>
      <c r="C364" t="inlineStr">
        <is>
          <t>Week4-Nov-2025</t>
        </is>
      </c>
      <c r="D364" s="78" t="n">
        <v>45962</v>
      </c>
      <c r="E364" t="inlineStr">
        <is>
          <t>Q3FY26</t>
        </is>
      </c>
      <c r="F364" t="inlineStr">
        <is>
          <t>04-Dec-2025</t>
        </is>
      </c>
      <c r="G364" t="inlineStr">
        <is>
          <t>Thursday</t>
        </is>
      </c>
      <c r="H364" t="inlineStr">
        <is>
          <t>Weekly - Thursday</t>
        </is>
      </c>
      <c r="I364" t="inlineStr">
        <is>
          <t>Weekly - Thursday</t>
        </is>
      </c>
      <c r="J364" t="inlineStr">
        <is>
          <t>Month+1 Expiry</t>
        </is>
      </c>
      <c r="K364" s="25" t="n">
        <v>753744</v>
      </c>
      <c r="L364" s="26" t="n">
        <v>1291.6929</v>
      </c>
      <c r="M364" s="26" t="n">
        <v>4.4307</v>
      </c>
    </row>
    <row r="365" ht="16" customHeight="1">
      <c r="A365" t="inlineStr">
        <is>
          <t>26-Nov-2025</t>
        </is>
      </c>
      <c r="B365" t="inlineStr">
        <is>
          <t>Wednesday</t>
        </is>
      </c>
      <c r="C365" t="inlineStr">
        <is>
          <t>Week4-Nov-2025</t>
        </is>
      </c>
      <c r="D365" s="78" t="n">
        <v>45962</v>
      </c>
      <c r="E365" t="inlineStr">
        <is>
          <t>Q3FY26</t>
        </is>
      </c>
      <c r="F365" t="inlineStr">
        <is>
          <t>11-Dec-2025</t>
        </is>
      </c>
      <c r="G365" t="inlineStr">
        <is>
          <t>Thursday</t>
        </is>
      </c>
      <c r="H365" t="inlineStr">
        <is>
          <t>Weekly - Thursday</t>
        </is>
      </c>
      <c r="I365" t="inlineStr">
        <is>
          <t>Weekly - Thursday</t>
        </is>
      </c>
      <c r="J365" t="inlineStr">
        <is>
          <t>Month+1 Expiry</t>
        </is>
      </c>
      <c r="K365" s="25" t="n">
        <v>6244</v>
      </c>
      <c r="L365" s="26" t="n">
        <v>10.7383</v>
      </c>
      <c r="M365" s="26" t="n">
        <v>0.0769</v>
      </c>
    </row>
    <row r="366" ht="16" customHeight="1">
      <c r="A366" t="inlineStr">
        <is>
          <t>26-Nov-2025</t>
        </is>
      </c>
      <c r="B366" t="inlineStr">
        <is>
          <t>Wednesday</t>
        </is>
      </c>
      <c r="C366" t="inlineStr">
        <is>
          <t>Week4-Nov-2025</t>
        </is>
      </c>
      <c r="D366" s="78" t="n">
        <v>45962</v>
      </c>
      <c r="E366" t="inlineStr">
        <is>
          <t>Q3FY26</t>
        </is>
      </c>
      <c r="F366" t="inlineStr">
        <is>
          <t>18-Dec-2025</t>
        </is>
      </c>
      <c r="G366" t="inlineStr">
        <is>
          <t>Thursday</t>
        </is>
      </c>
      <c r="H366" t="inlineStr">
        <is>
          <t>Weekly - Thursday</t>
        </is>
      </c>
      <c r="I366" t="inlineStr">
        <is>
          <t>Weekly - Thursday</t>
        </is>
      </c>
      <c r="J366" t="inlineStr">
        <is>
          <t>Month+1 Expiry</t>
        </is>
      </c>
      <c r="K366" s="25" t="n">
        <v>865</v>
      </c>
      <c r="L366" s="26" t="n">
        <v>1.4929</v>
      </c>
      <c r="M366" s="26" t="n">
        <v>0.0154</v>
      </c>
    </row>
    <row r="367" ht="16" customHeight="1">
      <c r="A367" t="inlineStr">
        <is>
          <t>26-Nov-2025</t>
        </is>
      </c>
      <c r="B367" t="inlineStr">
        <is>
          <t>Wednesday</t>
        </is>
      </c>
      <c r="C367" t="inlineStr">
        <is>
          <t>Week4-Nov-2025</t>
        </is>
      </c>
      <c r="D367" s="78" t="n">
        <v>45962</v>
      </c>
      <c r="E367" t="inlineStr">
        <is>
          <t>Q3FY26</t>
        </is>
      </c>
      <c r="F367" t="inlineStr">
        <is>
          <t>24-Dec-2025</t>
        </is>
      </c>
      <c r="G367" t="inlineStr">
        <is>
          <t>Wednesday</t>
        </is>
      </c>
      <c r="H367" t="inlineStr">
        <is>
          <t>Weekly - Wednesday</t>
        </is>
      </c>
      <c r="I367" t="inlineStr">
        <is>
          <t>Weekly - Wednesday</t>
        </is>
      </c>
      <c r="J367" t="inlineStr">
        <is>
          <t>Month+1 Expiry</t>
        </is>
      </c>
      <c r="K367" s="25" t="n">
        <v>11616</v>
      </c>
      <c r="L367" s="26" t="n">
        <v>20.0298</v>
      </c>
      <c r="M367" s="26" t="n">
        <v>0.1616</v>
      </c>
    </row>
    <row r="368" ht="16" customHeight="1">
      <c r="A368" t="inlineStr">
        <is>
          <t>26-Nov-2025</t>
        </is>
      </c>
      <c r="B368" t="inlineStr">
        <is>
          <t>Wednesday</t>
        </is>
      </c>
      <c r="C368" t="inlineStr">
        <is>
          <t>Week4-Nov-2025</t>
        </is>
      </c>
      <c r="D368" s="78" t="n">
        <v>45962</v>
      </c>
      <c r="E368" t="inlineStr">
        <is>
          <t>Q3FY26</t>
        </is>
      </c>
      <c r="F368" t="inlineStr">
        <is>
          <t>01-Jan-2026</t>
        </is>
      </c>
      <c r="G368" t="inlineStr">
        <is>
          <t>Thursday</t>
        </is>
      </c>
      <c r="H368" t="inlineStr">
        <is>
          <t>Weekly - Thursday</t>
        </is>
      </c>
      <c r="I368" t="inlineStr">
        <is>
          <t>Weekly - Thursday</t>
        </is>
      </c>
      <c r="J368" t="inlineStr">
        <is>
          <t>Month+2 Expiry</t>
        </is>
      </c>
      <c r="K368" s="25" t="n">
        <v>0</v>
      </c>
      <c r="L368" s="26" t="n">
        <v>0</v>
      </c>
      <c r="M368" s="26" t="n">
        <v>0</v>
      </c>
    </row>
    <row r="369" ht="16" customHeight="1">
      <c r="A369" t="inlineStr">
        <is>
          <t>26-Nov-2025</t>
        </is>
      </c>
      <c r="B369" t="inlineStr">
        <is>
          <t>Wednesday</t>
        </is>
      </c>
      <c r="C369" t="inlineStr">
        <is>
          <t>Week4-Nov-2025</t>
        </is>
      </c>
      <c r="D369" s="78" t="n">
        <v>45962</v>
      </c>
      <c r="E369" t="inlineStr">
        <is>
          <t>Q3FY26</t>
        </is>
      </c>
      <c r="F369" t="inlineStr">
        <is>
          <t>29-Jan-2026</t>
        </is>
      </c>
      <c r="G369" t="inlineStr">
        <is>
          <t>Thursday</t>
        </is>
      </c>
      <c r="H369" t="inlineStr">
        <is>
          <t>Monthly - Thursday</t>
        </is>
      </c>
      <c r="I369" t="inlineStr">
        <is>
          <t>Monthly - Thursday</t>
        </is>
      </c>
      <c r="J369" t="inlineStr">
        <is>
          <t>Month+2 Expiry</t>
        </is>
      </c>
      <c r="K369" s="25" t="n">
        <v>0</v>
      </c>
      <c r="L369" s="26" t="n">
        <v>0</v>
      </c>
      <c r="M369" s="26" t="n">
        <v>0</v>
      </c>
    </row>
    <row r="370" ht="16" customHeight="1">
      <c r="A370" t="inlineStr">
        <is>
          <t>27-Nov-2025</t>
        </is>
      </c>
      <c r="B370" t="inlineStr">
        <is>
          <t>Thursday</t>
        </is>
      </c>
      <c r="C370" t="inlineStr">
        <is>
          <t>Week4-Nov-2025</t>
        </is>
      </c>
      <c r="D370" s="78" t="n">
        <v>45962</v>
      </c>
      <c r="E370" t="inlineStr">
        <is>
          <t>Q3FY26</t>
        </is>
      </c>
      <c r="F370" t="inlineStr">
        <is>
          <t>27-Nov-2025</t>
        </is>
      </c>
      <c r="G370" t="inlineStr">
        <is>
          <t>Thursday</t>
        </is>
      </c>
      <c r="H370" t="inlineStr">
        <is>
          <t>Monthly - Thursday</t>
        </is>
      </c>
      <c r="I370" t="inlineStr">
        <is>
          <t>MDAW - Thursday</t>
        </is>
      </c>
      <c r="J370" t="inlineStr">
        <is>
          <t>Same Month Expiry</t>
        </is>
      </c>
      <c r="K370" s="25" t="n">
        <v>451877999</v>
      </c>
      <c r="L370" s="26" t="n">
        <v>774805.4677</v>
      </c>
      <c r="M370" s="26" t="n">
        <v>476.0078</v>
      </c>
    </row>
    <row r="371" ht="16" customHeight="1">
      <c r="A371" t="inlineStr">
        <is>
          <t>27-Nov-2025</t>
        </is>
      </c>
      <c r="B371" t="inlineStr">
        <is>
          <t>Thursday</t>
        </is>
      </c>
      <c r="C371" t="inlineStr">
        <is>
          <t>Week4-Nov-2025</t>
        </is>
      </c>
      <c r="D371" s="78" t="n">
        <v>45962</v>
      </c>
      <c r="E371" t="inlineStr">
        <is>
          <t>Q3FY26</t>
        </is>
      </c>
      <c r="F371" t="inlineStr">
        <is>
          <t>04-Dec-2025</t>
        </is>
      </c>
      <c r="G371" t="inlineStr">
        <is>
          <t>Thursday</t>
        </is>
      </c>
      <c r="H371" t="inlineStr">
        <is>
          <t>Weekly - Thursday</t>
        </is>
      </c>
      <c r="I371" t="inlineStr">
        <is>
          <t>Weekly - Thursday</t>
        </is>
      </c>
      <c r="J371" t="inlineStr">
        <is>
          <t>Month+1 Expiry</t>
        </is>
      </c>
      <c r="K371" s="25" t="n">
        <v>2126811</v>
      </c>
      <c r="L371" s="26" t="n">
        <v>3655.3871</v>
      </c>
      <c r="M371" s="26" t="n">
        <v>11.5355</v>
      </c>
    </row>
    <row r="372" ht="16" customHeight="1">
      <c r="A372" t="inlineStr">
        <is>
          <t>27-Nov-2025</t>
        </is>
      </c>
      <c r="B372" t="inlineStr">
        <is>
          <t>Thursday</t>
        </is>
      </c>
      <c r="C372" t="inlineStr">
        <is>
          <t>Week4-Nov-2025</t>
        </is>
      </c>
      <c r="D372" s="78" t="n">
        <v>45962</v>
      </c>
      <c r="E372" t="inlineStr">
        <is>
          <t>Q3FY26</t>
        </is>
      </c>
      <c r="F372" t="inlineStr">
        <is>
          <t>11-Dec-2025</t>
        </is>
      </c>
      <c r="G372" t="inlineStr">
        <is>
          <t>Thursday</t>
        </is>
      </c>
      <c r="H372" t="inlineStr">
        <is>
          <t>Weekly - Thursday</t>
        </is>
      </c>
      <c r="I372" t="inlineStr">
        <is>
          <t>Weekly - Thursday</t>
        </is>
      </c>
      <c r="J372" t="inlineStr">
        <is>
          <t>Month+1 Expiry</t>
        </is>
      </c>
      <c r="K372" s="25" t="n">
        <v>14252</v>
      </c>
      <c r="L372" s="26" t="n">
        <v>24.6096</v>
      </c>
      <c r="M372" s="26" t="n">
        <v>0.1496</v>
      </c>
    </row>
    <row r="373" ht="16" customHeight="1">
      <c r="A373" t="inlineStr">
        <is>
          <t>27-Nov-2025</t>
        </is>
      </c>
      <c r="B373" t="inlineStr">
        <is>
          <t>Thursday</t>
        </is>
      </c>
      <c r="C373" t="inlineStr">
        <is>
          <t>Week4-Nov-2025</t>
        </is>
      </c>
      <c r="D373" s="78" t="n">
        <v>45962</v>
      </c>
      <c r="E373" t="inlineStr">
        <is>
          <t>Q3FY26</t>
        </is>
      </c>
      <c r="F373" t="inlineStr">
        <is>
          <t>18-Dec-2025</t>
        </is>
      </c>
      <c r="G373" t="inlineStr">
        <is>
          <t>Thursday</t>
        </is>
      </c>
      <c r="H373" t="inlineStr">
        <is>
          <t>Weekly - Thursday</t>
        </is>
      </c>
      <c r="I373" t="inlineStr">
        <is>
          <t>Weekly - Thursday</t>
        </is>
      </c>
      <c r="J373" t="inlineStr">
        <is>
          <t>Month+1 Expiry</t>
        </is>
      </c>
      <c r="K373" s="25" t="n">
        <v>305</v>
      </c>
      <c r="L373" s="26" t="n">
        <v>0.5285</v>
      </c>
      <c r="M373" s="26" t="n">
        <v>0.0052</v>
      </c>
    </row>
    <row r="374" ht="16" customHeight="1">
      <c r="A374" t="inlineStr">
        <is>
          <t>27-Nov-2025</t>
        </is>
      </c>
      <c r="B374" t="inlineStr">
        <is>
          <t>Thursday</t>
        </is>
      </c>
      <c r="C374" t="inlineStr">
        <is>
          <t>Week4-Nov-2025</t>
        </is>
      </c>
      <c r="D374" s="78" t="n">
        <v>45962</v>
      </c>
      <c r="E374" t="inlineStr">
        <is>
          <t>Q3FY26</t>
        </is>
      </c>
      <c r="F374" t="inlineStr">
        <is>
          <t>24-Dec-2025</t>
        </is>
      </c>
      <c r="G374" t="inlineStr">
        <is>
          <t>Wednesday</t>
        </is>
      </c>
      <c r="H374" t="inlineStr">
        <is>
          <t>Weekly - Wednesday</t>
        </is>
      </c>
      <c r="I374" t="inlineStr">
        <is>
          <t>Weekly - Wednesday</t>
        </is>
      </c>
      <c r="J374" t="inlineStr">
        <is>
          <t>Month+1 Expiry</t>
        </is>
      </c>
      <c r="K374" s="25" t="n">
        <v>14934</v>
      </c>
      <c r="L374" s="26" t="n">
        <v>25.7911</v>
      </c>
      <c r="M374" s="26" t="n">
        <v>0.1854</v>
      </c>
    </row>
    <row r="375" ht="16" customHeight="1">
      <c r="A375" t="inlineStr">
        <is>
          <t>27-Nov-2025</t>
        </is>
      </c>
      <c r="B375" t="inlineStr">
        <is>
          <t>Thursday</t>
        </is>
      </c>
      <c r="C375" t="inlineStr">
        <is>
          <t>Week4-Nov-2025</t>
        </is>
      </c>
      <c r="D375" s="78" t="n">
        <v>45962</v>
      </c>
      <c r="E375" t="inlineStr">
        <is>
          <t>Q3FY26</t>
        </is>
      </c>
      <c r="F375" t="inlineStr">
        <is>
          <t>01-Jan-2026</t>
        </is>
      </c>
      <c r="G375" t="inlineStr">
        <is>
          <t>Thursday</t>
        </is>
      </c>
      <c r="H375" t="inlineStr">
        <is>
          <t>Weekly - Thursday</t>
        </is>
      </c>
      <c r="I375" t="inlineStr">
        <is>
          <t>Weekly - Thursday</t>
        </is>
      </c>
      <c r="J375" t="inlineStr">
        <is>
          <t>Month+2 Expiry</t>
        </is>
      </c>
      <c r="K375" s="25" t="n">
        <v>0</v>
      </c>
      <c r="L375" s="26" t="n">
        <v>0</v>
      </c>
      <c r="M375" s="26" t="n">
        <v>0</v>
      </c>
    </row>
    <row r="376" ht="16" customHeight="1">
      <c r="A376" t="inlineStr">
        <is>
          <t>27-Nov-2025</t>
        </is>
      </c>
      <c r="B376" t="inlineStr">
        <is>
          <t>Thursday</t>
        </is>
      </c>
      <c r="C376" t="inlineStr">
        <is>
          <t>Week4-Nov-2025</t>
        </is>
      </c>
      <c r="D376" s="78" t="n">
        <v>45962</v>
      </c>
      <c r="E376" t="inlineStr">
        <is>
          <t>Q3FY26</t>
        </is>
      </c>
      <c r="F376" t="inlineStr">
        <is>
          <t>29-Jan-2026</t>
        </is>
      </c>
      <c r="G376" t="inlineStr">
        <is>
          <t>Thursday</t>
        </is>
      </c>
      <c r="H376" t="inlineStr">
        <is>
          <t>Monthly - Thursday</t>
        </is>
      </c>
      <c r="I376" t="inlineStr">
        <is>
          <t>Monthly - Thursday</t>
        </is>
      </c>
      <c r="J376" t="inlineStr">
        <is>
          <t>Month+2 Expiry</t>
        </is>
      </c>
      <c r="K376" s="25" t="n">
        <v>0</v>
      </c>
      <c r="L376" s="26" t="n">
        <v>0</v>
      </c>
      <c r="M376" s="26" t="n">
        <v>0</v>
      </c>
    </row>
    <row r="377" ht="16" customHeight="1">
      <c r="A377" t="inlineStr">
        <is>
          <t>28-Nov-2025</t>
        </is>
      </c>
      <c r="B377" t="inlineStr">
        <is>
          <t>Friday</t>
        </is>
      </c>
      <c r="C377" t="inlineStr">
        <is>
          <t>Week4-Nov-2025</t>
        </is>
      </c>
      <c r="D377" s="78" t="n">
        <v>45962</v>
      </c>
      <c r="E377" t="inlineStr">
        <is>
          <t>Q3FY26</t>
        </is>
      </c>
      <c r="F377" t="inlineStr">
        <is>
          <t>04-Dec-2025</t>
        </is>
      </c>
      <c r="G377" t="inlineStr">
        <is>
          <t>Thursday</t>
        </is>
      </c>
      <c r="H377" t="inlineStr">
        <is>
          <t>Weekly - Thursday</t>
        </is>
      </c>
      <c r="I377" t="inlineStr">
        <is>
          <t>Weekly - Thursday</t>
        </is>
      </c>
      <c r="J377" t="inlineStr">
        <is>
          <t>Month+1 Expiry</t>
        </is>
      </c>
      <c r="K377" s="25" t="n">
        <v>17270006</v>
      </c>
      <c r="L377" s="26" t="n">
        <v>29751.352</v>
      </c>
      <c r="M377" s="26" t="n">
        <v>81.8309</v>
      </c>
    </row>
    <row r="378" ht="16" customHeight="1">
      <c r="A378" t="inlineStr">
        <is>
          <t>28-Nov-2025</t>
        </is>
      </c>
      <c r="B378" t="inlineStr">
        <is>
          <t>Friday</t>
        </is>
      </c>
      <c r="C378" t="inlineStr">
        <is>
          <t>Week4-Nov-2025</t>
        </is>
      </c>
      <c r="D378" s="78" t="n">
        <v>45962</v>
      </c>
      <c r="E378" t="inlineStr">
        <is>
          <t>Q3FY26</t>
        </is>
      </c>
      <c r="F378" t="inlineStr">
        <is>
          <t>11-Dec-2025</t>
        </is>
      </c>
      <c r="G378" t="inlineStr">
        <is>
          <t>Thursday</t>
        </is>
      </c>
      <c r="H378" t="inlineStr">
        <is>
          <t>Weekly - Thursday</t>
        </is>
      </c>
      <c r="I378" t="inlineStr">
        <is>
          <t>Weekly - Thursday</t>
        </is>
      </c>
      <c r="J378" t="inlineStr">
        <is>
          <t>Month+1 Expiry</t>
        </is>
      </c>
      <c r="K378" s="25" t="n">
        <v>91618</v>
      </c>
      <c r="L378" s="26" t="n">
        <v>159.5047</v>
      </c>
      <c r="M378" s="26" t="n">
        <v>0.4395</v>
      </c>
    </row>
    <row r="379" ht="16" customHeight="1">
      <c r="A379" t="inlineStr">
        <is>
          <t>28-Nov-2025</t>
        </is>
      </c>
      <c r="B379" t="inlineStr">
        <is>
          <t>Friday</t>
        </is>
      </c>
      <c r="C379" t="inlineStr">
        <is>
          <t>Week4-Nov-2025</t>
        </is>
      </c>
      <c r="D379" s="78" t="n">
        <v>45962</v>
      </c>
      <c r="E379" t="inlineStr">
        <is>
          <t>Q3FY26</t>
        </is>
      </c>
      <c r="F379" t="inlineStr">
        <is>
          <t>18-Dec-2025</t>
        </is>
      </c>
      <c r="G379" t="inlineStr">
        <is>
          <t>Thursday</t>
        </is>
      </c>
      <c r="H379" t="inlineStr">
        <is>
          <t>Weekly - Thursday</t>
        </is>
      </c>
      <c r="I379" t="inlineStr">
        <is>
          <t>Weekly - Thursday</t>
        </is>
      </c>
      <c r="J379" t="inlineStr">
        <is>
          <t>Month+1 Expiry</t>
        </is>
      </c>
      <c r="K379" s="25" t="n">
        <v>866</v>
      </c>
      <c r="L379" s="26" t="n">
        <v>1.4918</v>
      </c>
      <c r="M379" s="26" t="n">
        <v>0.0118</v>
      </c>
    </row>
    <row r="380" ht="16" customHeight="1">
      <c r="A380" t="inlineStr">
        <is>
          <t>28-Nov-2025</t>
        </is>
      </c>
      <c r="B380" t="inlineStr">
        <is>
          <t>Friday</t>
        </is>
      </c>
      <c r="C380" t="inlineStr">
        <is>
          <t>Week4-Nov-2025</t>
        </is>
      </c>
      <c r="D380" s="78" t="n">
        <v>45962</v>
      </c>
      <c r="E380" t="inlineStr">
        <is>
          <t>Q3FY26</t>
        </is>
      </c>
      <c r="F380" t="inlineStr">
        <is>
          <t>24-Dec-2025</t>
        </is>
      </c>
      <c r="G380" t="inlineStr">
        <is>
          <t>Wednesday</t>
        </is>
      </c>
      <c r="H380" t="inlineStr">
        <is>
          <t>Weekly - Wednesday</t>
        </is>
      </c>
      <c r="I380" t="inlineStr">
        <is>
          <t>Weekly - Wednesday</t>
        </is>
      </c>
      <c r="J380" t="inlineStr">
        <is>
          <t>Month+1 Expiry</t>
        </is>
      </c>
      <c r="K380" s="25" t="n">
        <v>16031</v>
      </c>
      <c r="L380" s="26" t="n">
        <v>27.8373</v>
      </c>
      <c r="M380" s="26" t="n">
        <v>0.1868</v>
      </c>
    </row>
    <row r="381" ht="16" customHeight="1">
      <c r="A381" t="inlineStr">
        <is>
          <t>28-Nov-2025</t>
        </is>
      </c>
      <c r="B381" t="inlineStr">
        <is>
          <t>Friday</t>
        </is>
      </c>
      <c r="C381" t="inlineStr">
        <is>
          <t>Week4-Nov-2025</t>
        </is>
      </c>
      <c r="D381" s="78" t="n">
        <v>45962</v>
      </c>
      <c r="E381" t="inlineStr">
        <is>
          <t>Q3FY26</t>
        </is>
      </c>
      <c r="F381" t="inlineStr">
        <is>
          <t>01-Jan-2026</t>
        </is>
      </c>
      <c r="G381" t="inlineStr">
        <is>
          <t>Thursday</t>
        </is>
      </c>
      <c r="H381" t="inlineStr">
        <is>
          <t>Weekly - Thursday</t>
        </is>
      </c>
      <c r="I381" t="inlineStr">
        <is>
          <t>Weekly - Thursday</t>
        </is>
      </c>
      <c r="J381" t="inlineStr">
        <is>
          <t>Month+2 Expiry</t>
        </is>
      </c>
      <c r="K381" s="25" t="n">
        <v>1</v>
      </c>
      <c r="L381" s="26" t="n">
        <v>0.0018</v>
      </c>
      <c r="M381" s="26" t="n">
        <v>0</v>
      </c>
    </row>
    <row r="382" ht="16" customHeight="1">
      <c r="A382" t="inlineStr">
        <is>
          <t>28-Nov-2025</t>
        </is>
      </c>
      <c r="B382" t="inlineStr">
        <is>
          <t>Friday</t>
        </is>
      </c>
      <c r="C382" t="inlineStr">
        <is>
          <t>Week4-Nov-2025</t>
        </is>
      </c>
      <c r="D382" s="78" t="n">
        <v>45962</v>
      </c>
      <c r="E382" t="inlineStr">
        <is>
          <t>Q3FY26</t>
        </is>
      </c>
      <c r="F382" t="inlineStr">
        <is>
          <t>29-Jan-2026</t>
        </is>
      </c>
      <c r="G382" t="inlineStr">
        <is>
          <t>Thursday</t>
        </is>
      </c>
      <c r="H382" t="inlineStr">
        <is>
          <t>Monthly - Thursday</t>
        </is>
      </c>
      <c r="I382" t="inlineStr">
        <is>
          <t>Monthly - Thursday</t>
        </is>
      </c>
      <c r="J382" t="inlineStr">
        <is>
          <t>Month+2 Expiry</t>
        </is>
      </c>
      <c r="K382" s="25" t="n">
        <v>0</v>
      </c>
      <c r="L382" s="26" t="n">
        <v>0</v>
      </c>
      <c r="M382" s="26" t="n">
        <v>0</v>
      </c>
    </row>
    <row r="383" ht="16" customHeight="1">
      <c r="A383" t="inlineStr">
        <is>
          <t>01-Dec-2025</t>
        </is>
      </c>
      <c r="B383" t="inlineStr">
        <is>
          <t>Monday</t>
        </is>
      </c>
      <c r="C383" t="inlineStr">
        <is>
          <t>Week1-Dec-2025</t>
        </is>
      </c>
      <c r="D383" s="78" t="n">
        <v>45992</v>
      </c>
      <c r="E383" t="inlineStr">
        <is>
          <t>Q3FY26</t>
        </is>
      </c>
      <c r="F383" t="inlineStr">
        <is>
          <t>04-Dec-2025</t>
        </is>
      </c>
      <c r="G383" t="inlineStr">
        <is>
          <t>Thursday</t>
        </is>
      </c>
      <c r="H383" t="inlineStr">
        <is>
          <t>Weekly - Thursday</t>
        </is>
      </c>
      <c r="I383" t="inlineStr">
        <is>
          <t>Weekly - Thursday</t>
        </is>
      </c>
      <c r="J383" t="inlineStr">
        <is>
          <t>Same Month Expiry</t>
        </is>
      </c>
      <c r="K383" s="25" t="n">
        <v>25057343</v>
      </c>
      <c r="L383" s="26" t="n">
        <v>43118.7602</v>
      </c>
      <c r="M383" s="26" t="n">
        <v>101.0903</v>
      </c>
    </row>
    <row r="384" ht="16" customHeight="1">
      <c r="A384" t="inlineStr">
        <is>
          <t>01-Dec-2025</t>
        </is>
      </c>
      <c r="B384" t="inlineStr">
        <is>
          <t>Monday</t>
        </is>
      </c>
      <c r="C384" t="inlineStr">
        <is>
          <t>Week1-Dec-2025</t>
        </is>
      </c>
      <c r="D384" s="78" t="n">
        <v>45992</v>
      </c>
      <c r="E384" t="inlineStr">
        <is>
          <t>Q3FY26</t>
        </is>
      </c>
      <c r="F384" t="inlineStr">
        <is>
          <t>11-Dec-2025</t>
        </is>
      </c>
      <c r="G384" t="inlineStr">
        <is>
          <t>Thursday</t>
        </is>
      </c>
      <c r="H384" t="inlineStr">
        <is>
          <t>Weekly - Thursday</t>
        </is>
      </c>
      <c r="I384" t="inlineStr">
        <is>
          <t>Weekly - Thursday</t>
        </is>
      </c>
      <c r="J384" t="inlineStr">
        <is>
          <t>Same Month Expiry</t>
        </is>
      </c>
      <c r="K384" s="25" t="n">
        <v>152746</v>
      </c>
      <c r="L384" s="26" t="n">
        <v>263.167</v>
      </c>
      <c r="M384" s="26" t="n">
        <v>0.8609</v>
      </c>
    </row>
    <row r="385" ht="16" customHeight="1">
      <c r="A385" t="inlineStr">
        <is>
          <t>01-Dec-2025</t>
        </is>
      </c>
      <c r="B385" t="inlineStr">
        <is>
          <t>Monday</t>
        </is>
      </c>
      <c r="C385" t="inlineStr">
        <is>
          <t>Week1-Dec-2025</t>
        </is>
      </c>
      <c r="D385" s="78" t="n">
        <v>45992</v>
      </c>
      <c r="E385" t="inlineStr">
        <is>
          <t>Q3FY26</t>
        </is>
      </c>
      <c r="F385" t="inlineStr">
        <is>
          <t>18-Dec-2025</t>
        </is>
      </c>
      <c r="G385" t="inlineStr">
        <is>
          <t>Thursday</t>
        </is>
      </c>
      <c r="H385" t="inlineStr">
        <is>
          <t>Weekly - Thursday</t>
        </is>
      </c>
      <c r="I385" t="inlineStr">
        <is>
          <t>Weekly - Thursday</t>
        </is>
      </c>
      <c r="J385" t="inlineStr">
        <is>
          <t>Same Month Expiry</t>
        </is>
      </c>
      <c r="K385" s="25" t="n">
        <v>1894</v>
      </c>
      <c r="L385" s="26" t="n">
        <v>3.2716</v>
      </c>
      <c r="M385" s="26" t="n">
        <v>0.0263</v>
      </c>
    </row>
    <row r="386" ht="16" customHeight="1">
      <c r="A386" t="inlineStr">
        <is>
          <t>01-Dec-2025</t>
        </is>
      </c>
      <c r="B386" t="inlineStr">
        <is>
          <t>Monday</t>
        </is>
      </c>
      <c r="C386" t="inlineStr">
        <is>
          <t>Week1-Dec-2025</t>
        </is>
      </c>
      <c r="D386" s="78" t="n">
        <v>45992</v>
      </c>
      <c r="E386" t="inlineStr">
        <is>
          <t>Q3FY26</t>
        </is>
      </c>
      <c r="F386" t="inlineStr">
        <is>
          <t>24-Dec-2025</t>
        </is>
      </c>
      <c r="G386" t="inlineStr">
        <is>
          <t>Wednesday</t>
        </is>
      </c>
      <c r="H386" t="inlineStr">
        <is>
          <t>Weekly - Wednesday</t>
        </is>
      </c>
      <c r="I386" t="inlineStr">
        <is>
          <t>Weekly - Wednesday</t>
        </is>
      </c>
      <c r="J386" t="inlineStr">
        <is>
          <t>Same Month Expiry</t>
        </is>
      </c>
      <c r="K386" s="25" t="n">
        <v>23544</v>
      </c>
      <c r="L386" s="26" t="n">
        <v>40.9522</v>
      </c>
      <c r="M386" s="26" t="n">
        <v>0.2589</v>
      </c>
    </row>
    <row r="387" ht="16" customHeight="1">
      <c r="A387" t="inlineStr">
        <is>
          <t>01-Dec-2025</t>
        </is>
      </c>
      <c r="B387" t="inlineStr">
        <is>
          <t>Monday</t>
        </is>
      </c>
      <c r="C387" t="inlineStr">
        <is>
          <t>Week1-Dec-2025</t>
        </is>
      </c>
      <c r="D387" s="78" t="n">
        <v>45992</v>
      </c>
      <c r="E387" t="inlineStr">
        <is>
          <t>Q3FY26</t>
        </is>
      </c>
      <c r="F387" t="inlineStr">
        <is>
          <t>01-Jan-2026</t>
        </is>
      </c>
      <c r="G387" t="inlineStr">
        <is>
          <t>Thursday</t>
        </is>
      </c>
      <c r="H387" t="inlineStr">
        <is>
          <t>Weekly - Thursday</t>
        </is>
      </c>
      <c r="I387" t="inlineStr">
        <is>
          <t>Weekly - Thursday</t>
        </is>
      </c>
      <c r="J387" t="inlineStr">
        <is>
          <t>Month+1 Expiry</t>
        </is>
      </c>
      <c r="K387" s="25" t="n">
        <v>2</v>
      </c>
      <c r="L387" s="26" t="n">
        <v>0.0034</v>
      </c>
      <c r="M387" s="26" t="n">
        <v>0</v>
      </c>
    </row>
    <row r="388" ht="16" customHeight="1">
      <c r="A388" t="inlineStr">
        <is>
          <t>01-Dec-2025</t>
        </is>
      </c>
      <c r="B388" t="inlineStr">
        <is>
          <t>Monday</t>
        </is>
      </c>
      <c r="C388" t="inlineStr">
        <is>
          <t>Week1-Dec-2025</t>
        </is>
      </c>
      <c r="D388" s="78" t="n">
        <v>45992</v>
      </c>
      <c r="E388" t="inlineStr">
        <is>
          <t>Q3FY26</t>
        </is>
      </c>
      <c r="F388" t="inlineStr">
        <is>
          <t>29-Jan-2026</t>
        </is>
      </c>
      <c r="G388" t="inlineStr">
        <is>
          <t>Thursday</t>
        </is>
      </c>
      <c r="H388" t="inlineStr">
        <is>
          <t>Monthly - Thursday</t>
        </is>
      </c>
      <c r="I388" t="inlineStr">
        <is>
          <t>Monthly - Thursday</t>
        </is>
      </c>
      <c r="J388" t="inlineStr">
        <is>
          <t>Month+1 Expiry</t>
        </is>
      </c>
      <c r="K388" s="25" t="n">
        <v>10</v>
      </c>
      <c r="L388" s="26" t="n">
        <v>0.0176</v>
      </c>
      <c r="M388" s="26" t="n">
        <v>0.0002</v>
      </c>
    </row>
    <row r="389" ht="16" customHeight="1">
      <c r="A389" t="inlineStr">
        <is>
          <t>02-Dec-2025</t>
        </is>
      </c>
      <c r="B389" t="inlineStr">
        <is>
          <t>Tuesday</t>
        </is>
      </c>
      <c r="C389" t="inlineStr">
        <is>
          <t>Week1-Dec-2025</t>
        </is>
      </c>
      <c r="D389" s="78" t="n">
        <v>45992</v>
      </c>
      <c r="E389" t="inlineStr">
        <is>
          <t>Q3FY26</t>
        </is>
      </c>
      <c r="F389" t="inlineStr">
        <is>
          <t>04-Dec-2025</t>
        </is>
      </c>
      <c r="G389" t="inlineStr">
        <is>
          <t>Thursday</t>
        </is>
      </c>
      <c r="H389" t="inlineStr">
        <is>
          <t>Weekly - Thursday</t>
        </is>
      </c>
      <c r="I389" t="inlineStr">
        <is>
          <t>Weekly - Thursday</t>
        </is>
      </c>
      <c r="J389" t="inlineStr">
        <is>
          <t>Same Month Expiry</t>
        </is>
      </c>
      <c r="K389" s="25" t="n">
        <v>25732723</v>
      </c>
      <c r="L389" s="26" t="n">
        <v>44105.0404</v>
      </c>
      <c r="M389" s="26" t="n">
        <v>82.0928</v>
      </c>
    </row>
    <row r="390" ht="16" customHeight="1">
      <c r="A390" t="inlineStr">
        <is>
          <t>02-Dec-2025</t>
        </is>
      </c>
      <c r="B390" t="inlineStr">
        <is>
          <t>Tuesday</t>
        </is>
      </c>
      <c r="C390" t="inlineStr">
        <is>
          <t>Week1-Dec-2025</t>
        </is>
      </c>
      <c r="D390" s="78" t="n">
        <v>45992</v>
      </c>
      <c r="E390" t="inlineStr">
        <is>
          <t>Q3FY26</t>
        </is>
      </c>
      <c r="F390" t="inlineStr">
        <is>
          <t>11-Dec-2025</t>
        </is>
      </c>
      <c r="G390" t="inlineStr">
        <is>
          <t>Thursday</t>
        </is>
      </c>
      <c r="H390" t="inlineStr">
        <is>
          <t>Weekly - Thursday</t>
        </is>
      </c>
      <c r="I390" t="inlineStr">
        <is>
          <t>Weekly - Thursday</t>
        </is>
      </c>
      <c r="J390" t="inlineStr">
        <is>
          <t>Same Month Expiry</t>
        </is>
      </c>
      <c r="K390" s="25" t="n">
        <v>275508</v>
      </c>
      <c r="L390" s="26" t="n">
        <v>473.3459</v>
      </c>
      <c r="M390" s="26" t="n">
        <v>1.4449</v>
      </c>
    </row>
    <row r="391" ht="16" customHeight="1">
      <c r="A391" t="inlineStr">
        <is>
          <t>02-Dec-2025</t>
        </is>
      </c>
      <c r="B391" t="inlineStr">
        <is>
          <t>Tuesday</t>
        </is>
      </c>
      <c r="C391" t="inlineStr">
        <is>
          <t>Week1-Dec-2025</t>
        </is>
      </c>
      <c r="D391" s="78" t="n">
        <v>45992</v>
      </c>
      <c r="E391" t="inlineStr">
        <is>
          <t>Q3FY26</t>
        </is>
      </c>
      <c r="F391" t="inlineStr">
        <is>
          <t>18-Dec-2025</t>
        </is>
      </c>
      <c r="G391" t="inlineStr">
        <is>
          <t>Thursday</t>
        </is>
      </c>
      <c r="H391" t="inlineStr">
        <is>
          <t>Weekly - Thursday</t>
        </is>
      </c>
      <c r="I391" t="inlineStr">
        <is>
          <t>Weekly - Thursday</t>
        </is>
      </c>
      <c r="J391" t="inlineStr">
        <is>
          <t>Same Month Expiry</t>
        </is>
      </c>
      <c r="K391" s="25" t="n">
        <v>1591</v>
      </c>
      <c r="L391" s="26" t="n">
        <v>2.7418</v>
      </c>
      <c r="M391" s="26" t="n">
        <v>0.0181</v>
      </c>
    </row>
    <row r="392" ht="16" customHeight="1">
      <c r="A392" t="inlineStr">
        <is>
          <t>02-Dec-2025</t>
        </is>
      </c>
      <c r="B392" t="inlineStr">
        <is>
          <t>Tuesday</t>
        </is>
      </c>
      <c r="C392" t="inlineStr">
        <is>
          <t>Week1-Dec-2025</t>
        </is>
      </c>
      <c r="D392" s="78" t="n">
        <v>45992</v>
      </c>
      <c r="E392" t="inlineStr">
        <is>
          <t>Q3FY26</t>
        </is>
      </c>
      <c r="F392" t="inlineStr">
        <is>
          <t>24-Dec-2025</t>
        </is>
      </c>
      <c r="G392" t="inlineStr">
        <is>
          <t>Wednesday</t>
        </is>
      </c>
      <c r="H392" t="inlineStr">
        <is>
          <t>Weekly - Wednesday</t>
        </is>
      </c>
      <c r="I392" t="inlineStr">
        <is>
          <t>Weekly - Wednesday</t>
        </is>
      </c>
      <c r="J392" t="inlineStr">
        <is>
          <t>Same Month Expiry</t>
        </is>
      </c>
      <c r="K392" s="25" t="n">
        <v>21321</v>
      </c>
      <c r="L392" s="26" t="n">
        <v>36.7696</v>
      </c>
      <c r="M392" s="26" t="n">
        <v>0.247</v>
      </c>
    </row>
    <row r="393" ht="16" customHeight="1">
      <c r="A393" t="inlineStr">
        <is>
          <t>02-Dec-2025</t>
        </is>
      </c>
      <c r="B393" t="inlineStr">
        <is>
          <t>Tuesday</t>
        </is>
      </c>
      <c r="C393" t="inlineStr">
        <is>
          <t>Week1-Dec-2025</t>
        </is>
      </c>
      <c r="D393" s="78" t="n">
        <v>45992</v>
      </c>
      <c r="E393" t="inlineStr">
        <is>
          <t>Q3FY26</t>
        </is>
      </c>
      <c r="F393" t="inlineStr">
        <is>
          <t>01-Jan-2026</t>
        </is>
      </c>
      <c r="G393" t="inlineStr">
        <is>
          <t>Thursday</t>
        </is>
      </c>
      <c r="H393" t="inlineStr">
        <is>
          <t>Weekly - Thursday</t>
        </is>
      </c>
      <c r="I393" t="inlineStr">
        <is>
          <t>Weekly - Thursday</t>
        </is>
      </c>
      <c r="J393" t="inlineStr">
        <is>
          <t>Month+1 Expiry</t>
        </is>
      </c>
      <c r="K393" s="25" t="n">
        <v>2</v>
      </c>
      <c r="L393" s="26" t="n">
        <v>0.0034</v>
      </c>
      <c r="M393" s="26" t="n">
        <v>0</v>
      </c>
    </row>
    <row r="394" ht="16" customHeight="1">
      <c r="A394" t="inlineStr">
        <is>
          <t>02-Dec-2025</t>
        </is>
      </c>
      <c r="B394" t="inlineStr">
        <is>
          <t>Tuesday</t>
        </is>
      </c>
      <c r="C394" t="inlineStr">
        <is>
          <t>Week1-Dec-2025</t>
        </is>
      </c>
      <c r="D394" s="78" t="n">
        <v>45992</v>
      </c>
      <c r="E394" t="inlineStr">
        <is>
          <t>Q3FY26</t>
        </is>
      </c>
      <c r="F394" t="inlineStr">
        <is>
          <t>29-Jan-2026</t>
        </is>
      </c>
      <c r="G394" t="inlineStr">
        <is>
          <t>Thursday</t>
        </is>
      </c>
      <c r="H394" t="inlineStr">
        <is>
          <t>Monthly - Thursday</t>
        </is>
      </c>
      <c r="I394" t="inlineStr">
        <is>
          <t>Monthly - Thursday</t>
        </is>
      </c>
      <c r="J394" t="inlineStr">
        <is>
          <t>Month+1 Expiry</t>
        </is>
      </c>
      <c r="K394" s="25" t="n">
        <v>32</v>
      </c>
      <c r="L394" s="26" t="n">
        <v>0.056</v>
      </c>
      <c r="M394" s="26" t="n">
        <v>0.0013</v>
      </c>
    </row>
    <row r="395" ht="16" customHeight="1">
      <c r="A395" t="inlineStr">
        <is>
          <t>03-Dec-2025</t>
        </is>
      </c>
      <c r="B395" t="inlineStr">
        <is>
          <t>Wednesday</t>
        </is>
      </c>
      <c r="C395" t="inlineStr">
        <is>
          <t>Week1-Dec-2025</t>
        </is>
      </c>
      <c r="D395" s="78" t="n">
        <v>45992</v>
      </c>
      <c r="E395" t="inlineStr">
        <is>
          <t>Q3FY26</t>
        </is>
      </c>
      <c r="F395" t="inlineStr">
        <is>
          <t>04-Dec-2025</t>
        </is>
      </c>
      <c r="G395" t="inlineStr">
        <is>
          <t>Thursday</t>
        </is>
      </c>
      <c r="H395" t="inlineStr">
        <is>
          <t>Weekly - Thursday</t>
        </is>
      </c>
      <c r="I395" t="inlineStr">
        <is>
          <t>Weekly - Thursday</t>
        </is>
      </c>
      <c r="J395" t="inlineStr">
        <is>
          <t>Same Month Expiry</t>
        </is>
      </c>
      <c r="K395" s="25" t="n">
        <v>116392409</v>
      </c>
      <c r="L395" s="26" t="n">
        <v>198276.5825</v>
      </c>
      <c r="M395" s="26" t="n">
        <v>258.4625</v>
      </c>
    </row>
    <row r="396" ht="16" customHeight="1">
      <c r="A396" t="inlineStr">
        <is>
          <t>03-Dec-2025</t>
        </is>
      </c>
      <c r="B396" t="inlineStr">
        <is>
          <t>Wednesday</t>
        </is>
      </c>
      <c r="C396" t="inlineStr">
        <is>
          <t>Week1-Dec-2025</t>
        </is>
      </c>
      <c r="D396" s="78" t="n">
        <v>45992</v>
      </c>
      <c r="E396" t="inlineStr">
        <is>
          <t>Q3FY26</t>
        </is>
      </c>
      <c r="F396" t="inlineStr">
        <is>
          <t>11-Dec-2025</t>
        </is>
      </c>
      <c r="G396" t="inlineStr">
        <is>
          <t>Thursday</t>
        </is>
      </c>
      <c r="H396" t="inlineStr">
        <is>
          <t>Weekly - Thursday</t>
        </is>
      </c>
      <c r="I396" t="inlineStr">
        <is>
          <t>Weekly - Thursday</t>
        </is>
      </c>
      <c r="J396" t="inlineStr">
        <is>
          <t>Same Month Expiry</t>
        </is>
      </c>
      <c r="K396" s="25" t="n">
        <v>726279</v>
      </c>
      <c r="L396" s="26" t="n">
        <v>1239.6945</v>
      </c>
      <c r="M396" s="26" t="n">
        <v>3.5293</v>
      </c>
    </row>
    <row r="397" ht="16" customHeight="1">
      <c r="A397" t="inlineStr">
        <is>
          <t>03-Dec-2025</t>
        </is>
      </c>
      <c r="B397" t="inlineStr">
        <is>
          <t>Wednesday</t>
        </is>
      </c>
      <c r="C397" t="inlineStr">
        <is>
          <t>Week1-Dec-2025</t>
        </is>
      </c>
      <c r="D397" s="78" t="n">
        <v>45992</v>
      </c>
      <c r="E397" t="inlineStr">
        <is>
          <t>Q3FY26</t>
        </is>
      </c>
      <c r="F397" t="inlineStr">
        <is>
          <t>18-Dec-2025</t>
        </is>
      </c>
      <c r="G397" t="inlineStr">
        <is>
          <t>Thursday</t>
        </is>
      </c>
      <c r="H397" t="inlineStr">
        <is>
          <t>Weekly - Thursday</t>
        </is>
      </c>
      <c r="I397" t="inlineStr">
        <is>
          <t>Weekly - Thursday</t>
        </is>
      </c>
      <c r="J397" t="inlineStr">
        <is>
          <t>Same Month Expiry</t>
        </is>
      </c>
      <c r="K397" s="25" t="n">
        <v>2515</v>
      </c>
      <c r="L397" s="26" t="n">
        <v>4.3217</v>
      </c>
      <c r="M397" s="26" t="n">
        <v>0.0317</v>
      </c>
    </row>
    <row r="398" ht="16" customHeight="1">
      <c r="A398" t="inlineStr">
        <is>
          <t>03-Dec-2025</t>
        </is>
      </c>
      <c r="B398" t="inlineStr">
        <is>
          <t>Wednesday</t>
        </is>
      </c>
      <c r="C398" t="inlineStr">
        <is>
          <t>Week1-Dec-2025</t>
        </is>
      </c>
      <c r="D398" s="78" t="n">
        <v>45992</v>
      </c>
      <c r="E398" t="inlineStr">
        <is>
          <t>Q3FY26</t>
        </is>
      </c>
      <c r="F398" t="inlineStr">
        <is>
          <t>24-Dec-2025</t>
        </is>
      </c>
      <c r="G398" t="inlineStr">
        <is>
          <t>Wednesday</t>
        </is>
      </c>
      <c r="H398" t="inlineStr">
        <is>
          <t>Weekly - Wednesday</t>
        </is>
      </c>
      <c r="I398" t="inlineStr">
        <is>
          <t>Weekly - Wednesday</t>
        </is>
      </c>
      <c r="J398" t="inlineStr">
        <is>
          <t>Same Month Expiry</t>
        </is>
      </c>
      <c r="K398" s="25" t="n">
        <v>26067</v>
      </c>
      <c r="L398" s="26" t="n">
        <v>43.6514</v>
      </c>
      <c r="M398" s="26" t="n">
        <v>0.2141</v>
      </c>
    </row>
    <row r="399" ht="16" customHeight="1">
      <c r="A399" t="inlineStr">
        <is>
          <t>03-Dec-2025</t>
        </is>
      </c>
      <c r="B399" t="inlineStr">
        <is>
          <t>Wednesday</t>
        </is>
      </c>
      <c r="C399" t="inlineStr">
        <is>
          <t>Week1-Dec-2025</t>
        </is>
      </c>
      <c r="D399" s="78" t="n">
        <v>45992</v>
      </c>
      <c r="E399" t="inlineStr">
        <is>
          <t>Q3FY26</t>
        </is>
      </c>
      <c r="F399" t="inlineStr">
        <is>
          <t>01-Jan-2026</t>
        </is>
      </c>
      <c r="G399" t="inlineStr">
        <is>
          <t>Thursday</t>
        </is>
      </c>
      <c r="H399" t="inlineStr">
        <is>
          <t>Weekly - Thursday</t>
        </is>
      </c>
      <c r="I399" t="inlineStr">
        <is>
          <t>Weekly - Thursday</t>
        </is>
      </c>
      <c r="J399" t="inlineStr">
        <is>
          <t>Month+1 Expiry</t>
        </is>
      </c>
      <c r="K399" s="25" t="n">
        <v>0</v>
      </c>
      <c r="L399" s="26" t="n">
        <v>0</v>
      </c>
      <c r="M399" s="26" t="n">
        <v>0</v>
      </c>
    </row>
    <row r="400" ht="16" customHeight="1">
      <c r="A400" t="inlineStr">
        <is>
          <t>03-Dec-2025</t>
        </is>
      </c>
      <c r="B400" t="inlineStr">
        <is>
          <t>Wednesday</t>
        </is>
      </c>
      <c r="C400" t="inlineStr">
        <is>
          <t>Week1-Dec-2025</t>
        </is>
      </c>
      <c r="D400" s="78" t="n">
        <v>45992</v>
      </c>
      <c r="E400" t="inlineStr">
        <is>
          <t>Q3FY26</t>
        </is>
      </c>
      <c r="F400" t="inlineStr">
        <is>
          <t>29-Jan-2026</t>
        </is>
      </c>
      <c r="G400" t="inlineStr">
        <is>
          <t>Thursday</t>
        </is>
      </c>
      <c r="H400" t="inlineStr">
        <is>
          <t>Monthly - Thursday</t>
        </is>
      </c>
      <c r="I400" t="inlineStr">
        <is>
          <t>Monthly - Thursday</t>
        </is>
      </c>
      <c r="J400" t="inlineStr">
        <is>
          <t>Month+1 Expiry</t>
        </is>
      </c>
      <c r="K400" s="25" t="n">
        <v>39</v>
      </c>
      <c r="L400" s="26" t="n">
        <v>0.068</v>
      </c>
      <c r="M400" s="26" t="n">
        <v>0.0007</v>
      </c>
    </row>
    <row r="401" ht="16" customHeight="1">
      <c r="A401" t="inlineStr">
        <is>
          <t>04-Dec-2025</t>
        </is>
      </c>
      <c r="B401" t="inlineStr">
        <is>
          <t>Thursday</t>
        </is>
      </c>
      <c r="C401" t="inlineStr">
        <is>
          <t>Week1-Dec-2025</t>
        </is>
      </c>
      <c r="D401" s="78" t="n">
        <v>45992</v>
      </c>
      <c r="E401" t="inlineStr">
        <is>
          <t>Q3FY26</t>
        </is>
      </c>
      <c r="F401" t="inlineStr">
        <is>
          <t>04-Dec-2025</t>
        </is>
      </c>
      <c r="G401" t="inlineStr">
        <is>
          <t>Thursday</t>
        </is>
      </c>
      <c r="H401" t="inlineStr">
        <is>
          <t>Weekly - Thursday</t>
        </is>
      </c>
      <c r="I401" t="inlineStr">
        <is>
          <t>Weekly - Thursday</t>
        </is>
      </c>
      <c r="J401" t="inlineStr">
        <is>
          <t>Same Month Expiry</t>
        </is>
      </c>
      <c r="K401" s="25" t="n">
        <v>470486788</v>
      </c>
      <c r="L401" s="26" t="n">
        <v>802099.0266</v>
      </c>
      <c r="M401" s="26" t="n">
        <v>465.0967</v>
      </c>
    </row>
    <row r="402" ht="16" customHeight="1">
      <c r="A402" t="inlineStr">
        <is>
          <t>04-Dec-2025</t>
        </is>
      </c>
      <c r="B402" t="inlineStr">
        <is>
          <t>Thursday</t>
        </is>
      </c>
      <c r="C402" t="inlineStr">
        <is>
          <t>Week1-Dec-2025</t>
        </is>
      </c>
      <c r="D402" s="78" t="n">
        <v>45992</v>
      </c>
      <c r="E402" t="inlineStr">
        <is>
          <t>Q3FY26</t>
        </is>
      </c>
      <c r="F402" t="inlineStr">
        <is>
          <t>11-Dec-2025</t>
        </is>
      </c>
      <c r="G402" t="inlineStr">
        <is>
          <t>Thursday</t>
        </is>
      </c>
      <c r="H402" t="inlineStr">
        <is>
          <t>Weekly - Thursday</t>
        </is>
      </c>
      <c r="I402" t="inlineStr">
        <is>
          <t>Weekly - Thursday</t>
        </is>
      </c>
      <c r="J402" t="inlineStr">
        <is>
          <t>Same Month Expiry</t>
        </is>
      </c>
      <c r="K402" s="25" t="n">
        <v>1990623</v>
      </c>
      <c r="L402" s="26" t="n">
        <v>3404.061</v>
      </c>
      <c r="M402" s="26" t="n">
        <v>9.5036</v>
      </c>
    </row>
    <row r="403" ht="16" customHeight="1">
      <c r="A403" t="inlineStr">
        <is>
          <t>04-Dec-2025</t>
        </is>
      </c>
      <c r="B403" t="inlineStr">
        <is>
          <t>Thursday</t>
        </is>
      </c>
      <c r="C403" t="inlineStr">
        <is>
          <t>Week1-Dec-2025</t>
        </is>
      </c>
      <c r="D403" s="78" t="n">
        <v>45992</v>
      </c>
      <c r="E403" t="inlineStr">
        <is>
          <t>Q3FY26</t>
        </is>
      </c>
      <c r="F403" t="inlineStr">
        <is>
          <t>18-Dec-2025</t>
        </is>
      </c>
      <c r="G403" t="inlineStr">
        <is>
          <t>Thursday</t>
        </is>
      </c>
      <c r="H403" t="inlineStr">
        <is>
          <t>Weekly - Thursday</t>
        </is>
      </c>
      <c r="I403" t="inlineStr">
        <is>
          <t>Weekly - Thursday</t>
        </is>
      </c>
      <c r="J403" t="inlineStr">
        <is>
          <t>Same Month Expiry</t>
        </is>
      </c>
      <c r="K403" s="25" t="n">
        <v>5779</v>
      </c>
      <c r="L403" s="26" t="n">
        <v>9.932399999999999</v>
      </c>
      <c r="M403" s="26" t="n">
        <v>0.0594</v>
      </c>
    </row>
    <row r="404" ht="16" customHeight="1">
      <c r="A404" t="inlineStr">
        <is>
          <t>04-Dec-2025</t>
        </is>
      </c>
      <c r="B404" t="inlineStr">
        <is>
          <t>Thursday</t>
        </is>
      </c>
      <c r="C404" t="inlineStr">
        <is>
          <t>Week1-Dec-2025</t>
        </is>
      </c>
      <c r="D404" s="78" t="n">
        <v>45992</v>
      </c>
      <c r="E404" t="inlineStr">
        <is>
          <t>Q3FY26</t>
        </is>
      </c>
      <c r="F404" t="inlineStr">
        <is>
          <t>24-Dec-2025</t>
        </is>
      </c>
      <c r="G404" t="inlineStr">
        <is>
          <t>Wednesday</t>
        </is>
      </c>
      <c r="H404" t="inlineStr">
        <is>
          <t>Weekly - Wednesday</t>
        </is>
      </c>
      <c r="I404" t="inlineStr">
        <is>
          <t>Weekly - Wednesday</t>
        </is>
      </c>
      <c r="J404" t="inlineStr">
        <is>
          <t>Same Month Expiry</t>
        </is>
      </c>
      <c r="K404" s="25" t="n">
        <v>29570</v>
      </c>
      <c r="L404" s="26" t="n">
        <v>51.0599</v>
      </c>
      <c r="M404" s="26" t="n">
        <v>0.3708</v>
      </c>
    </row>
    <row r="405" ht="16" customHeight="1">
      <c r="A405" t="inlineStr">
        <is>
          <t>04-Dec-2025</t>
        </is>
      </c>
      <c r="B405" t="inlineStr">
        <is>
          <t>Thursday</t>
        </is>
      </c>
      <c r="C405" t="inlineStr">
        <is>
          <t>Week1-Dec-2025</t>
        </is>
      </c>
      <c r="D405" s="78" t="n">
        <v>45992</v>
      </c>
      <c r="E405" t="inlineStr">
        <is>
          <t>Q3FY26</t>
        </is>
      </c>
      <c r="F405" t="inlineStr">
        <is>
          <t>01-Jan-2026</t>
        </is>
      </c>
      <c r="G405" t="inlineStr">
        <is>
          <t>Thursday</t>
        </is>
      </c>
      <c r="H405" t="inlineStr">
        <is>
          <t>Weekly - Thursday</t>
        </is>
      </c>
      <c r="I405" t="inlineStr">
        <is>
          <t>Weekly - Thursday</t>
        </is>
      </c>
      <c r="J405" t="inlineStr">
        <is>
          <t>Month+1 Expiry</t>
        </is>
      </c>
      <c r="K405" s="25" t="n">
        <v>2</v>
      </c>
      <c r="L405" s="26" t="n">
        <v>0.0036</v>
      </c>
      <c r="M405" s="26" t="n">
        <v>0</v>
      </c>
    </row>
    <row r="406" ht="16" customHeight="1">
      <c r="A406" t="inlineStr">
        <is>
          <t>04-Dec-2025</t>
        </is>
      </c>
      <c r="B406" t="inlineStr">
        <is>
          <t>Thursday</t>
        </is>
      </c>
      <c r="C406" t="inlineStr">
        <is>
          <t>Week1-Dec-2025</t>
        </is>
      </c>
      <c r="D406" s="78" t="n">
        <v>45992</v>
      </c>
      <c r="E406" t="inlineStr">
        <is>
          <t>Q3FY26</t>
        </is>
      </c>
      <c r="F406" t="inlineStr">
        <is>
          <t>29-Jan-2026</t>
        </is>
      </c>
      <c r="G406" t="inlineStr">
        <is>
          <t>Thursday</t>
        </is>
      </c>
      <c r="H406" t="inlineStr">
        <is>
          <t>Monthly - Thursday</t>
        </is>
      </c>
      <c r="I406" t="inlineStr">
        <is>
          <t>Monthly - Thursday</t>
        </is>
      </c>
      <c r="J406" t="inlineStr">
        <is>
          <t>Month+1 Expiry</t>
        </is>
      </c>
      <c r="K406" s="25" t="n">
        <v>57</v>
      </c>
      <c r="L406" s="26" t="n">
        <v>0.0999</v>
      </c>
      <c r="M406" s="26" t="n">
        <v>0.0014</v>
      </c>
    </row>
    <row r="407" ht="16" customHeight="1">
      <c r="A407" t="inlineStr">
        <is>
          <t>05-Dec-2025</t>
        </is>
      </c>
      <c r="B407" t="inlineStr">
        <is>
          <t>Friday</t>
        </is>
      </c>
      <c r="C407" t="inlineStr">
        <is>
          <t>Week1-Dec-2025</t>
        </is>
      </c>
      <c r="D407" s="78" t="n">
        <v>45992</v>
      </c>
      <c r="E407" t="inlineStr">
        <is>
          <t>Q3FY26</t>
        </is>
      </c>
      <c r="F407" t="inlineStr">
        <is>
          <t>11-Dec-2025</t>
        </is>
      </c>
      <c r="G407" t="inlineStr">
        <is>
          <t>Thursday</t>
        </is>
      </c>
      <c r="H407" t="inlineStr">
        <is>
          <t>Weekly - Thursday</t>
        </is>
      </c>
      <c r="I407" t="inlineStr">
        <is>
          <t>Weekly - Thursday</t>
        </is>
      </c>
      <c r="J407" t="inlineStr">
        <is>
          <t>Same Month Expiry</t>
        </is>
      </c>
      <c r="K407" s="25" t="n">
        <v>24250095</v>
      </c>
      <c r="L407" s="26" t="n">
        <v>41632.257</v>
      </c>
      <c r="M407" s="26" t="n">
        <v>102.5067</v>
      </c>
    </row>
    <row r="408" ht="16" customHeight="1">
      <c r="A408" t="inlineStr">
        <is>
          <t>05-Dec-2025</t>
        </is>
      </c>
      <c r="B408" t="inlineStr">
        <is>
          <t>Friday</t>
        </is>
      </c>
      <c r="C408" t="inlineStr">
        <is>
          <t>Week1-Dec-2025</t>
        </is>
      </c>
      <c r="D408" s="78" t="n">
        <v>45992</v>
      </c>
      <c r="E408" t="inlineStr">
        <is>
          <t>Q3FY26</t>
        </is>
      </c>
      <c r="F408" t="inlineStr">
        <is>
          <t>18-Dec-2025</t>
        </is>
      </c>
      <c r="G408" t="inlineStr">
        <is>
          <t>Thursday</t>
        </is>
      </c>
      <c r="H408" t="inlineStr">
        <is>
          <t>Weekly - Thursday</t>
        </is>
      </c>
      <c r="I408" t="inlineStr">
        <is>
          <t>Weekly - Thursday</t>
        </is>
      </c>
      <c r="J408" t="inlineStr">
        <is>
          <t>Same Month Expiry</t>
        </is>
      </c>
      <c r="K408" s="25" t="n">
        <v>133736</v>
      </c>
      <c r="L408" s="26" t="n">
        <v>231.5194</v>
      </c>
      <c r="M408" s="26" t="n">
        <v>0.7927999999999999</v>
      </c>
    </row>
    <row r="409" ht="16" customHeight="1">
      <c r="A409" t="inlineStr">
        <is>
          <t>05-Dec-2025</t>
        </is>
      </c>
      <c r="B409" t="inlineStr">
        <is>
          <t>Friday</t>
        </is>
      </c>
      <c r="C409" t="inlineStr">
        <is>
          <t>Week1-Dec-2025</t>
        </is>
      </c>
      <c r="D409" s="78" t="n">
        <v>45992</v>
      </c>
      <c r="E409" t="inlineStr">
        <is>
          <t>Q3FY26</t>
        </is>
      </c>
      <c r="F409" t="inlineStr">
        <is>
          <t>24-Dec-2025</t>
        </is>
      </c>
      <c r="G409" t="inlineStr">
        <is>
          <t>Wednesday</t>
        </is>
      </c>
      <c r="H409" t="inlineStr">
        <is>
          <t>Weekly - Wednesday</t>
        </is>
      </c>
      <c r="I409" t="inlineStr">
        <is>
          <t>Weekly - Wednesday</t>
        </is>
      </c>
      <c r="J409" t="inlineStr">
        <is>
          <t>Same Month Expiry</t>
        </is>
      </c>
      <c r="K409" s="25" t="n">
        <v>41794</v>
      </c>
      <c r="L409" s="26" t="n">
        <v>72.21129999999999</v>
      </c>
      <c r="M409" s="26" t="n">
        <v>0.4705</v>
      </c>
    </row>
    <row r="410" ht="16" customHeight="1">
      <c r="A410" t="inlineStr">
        <is>
          <t>05-Dec-2025</t>
        </is>
      </c>
      <c r="B410" t="inlineStr">
        <is>
          <t>Friday</t>
        </is>
      </c>
      <c r="C410" t="inlineStr">
        <is>
          <t>Week1-Dec-2025</t>
        </is>
      </c>
      <c r="D410" s="78" t="n">
        <v>45992</v>
      </c>
      <c r="E410" t="inlineStr">
        <is>
          <t>Q3FY26</t>
        </is>
      </c>
      <c r="F410" t="inlineStr">
        <is>
          <t>01-Jan-2026</t>
        </is>
      </c>
      <c r="G410" t="inlineStr">
        <is>
          <t>Thursday</t>
        </is>
      </c>
      <c r="H410" t="inlineStr">
        <is>
          <t>Weekly - Thursday</t>
        </is>
      </c>
      <c r="I410" t="inlineStr">
        <is>
          <t>Weekly - Thursday</t>
        </is>
      </c>
      <c r="J410" t="inlineStr">
        <is>
          <t>Month+1 Expiry</t>
        </is>
      </c>
      <c r="K410" s="25" t="n">
        <v>404</v>
      </c>
      <c r="L410" s="26" t="n">
        <v>0.6991000000000001</v>
      </c>
      <c r="M410" s="26" t="n">
        <v>0.0055</v>
      </c>
    </row>
    <row r="411" ht="16" customHeight="1">
      <c r="A411" t="inlineStr">
        <is>
          <t>05-Dec-2025</t>
        </is>
      </c>
      <c r="B411" t="inlineStr">
        <is>
          <t>Friday</t>
        </is>
      </c>
      <c r="C411" t="inlineStr">
        <is>
          <t>Week1-Dec-2025</t>
        </is>
      </c>
      <c r="D411" s="78" t="n">
        <v>45992</v>
      </c>
      <c r="E411" t="inlineStr">
        <is>
          <t>Q3FY26</t>
        </is>
      </c>
      <c r="F411" t="inlineStr">
        <is>
          <t>22-Jan-2026</t>
        </is>
      </c>
      <c r="G411" t="inlineStr">
        <is>
          <t>Thursday</t>
        </is>
      </c>
      <c r="H411" t="inlineStr">
        <is>
          <t>Weekly - Thursday</t>
        </is>
      </c>
      <c r="I411" t="inlineStr">
        <is>
          <t>Weekly - Thursday</t>
        </is>
      </c>
      <c r="J411" t="inlineStr">
        <is>
          <t>Month+1 Expiry</t>
        </is>
      </c>
      <c r="K411" s="25" t="n">
        <v>1</v>
      </c>
      <c r="L411" s="26" t="n">
        <v>0.0018</v>
      </c>
      <c r="M411" s="26" t="n">
        <v>0</v>
      </c>
    </row>
    <row r="412" ht="16" customHeight="1">
      <c r="A412" t="inlineStr">
        <is>
          <t>05-Dec-2025</t>
        </is>
      </c>
      <c r="B412" t="inlineStr">
        <is>
          <t>Friday</t>
        </is>
      </c>
      <c r="C412" t="inlineStr">
        <is>
          <t>Week1-Dec-2025</t>
        </is>
      </c>
      <c r="D412" s="78" t="n">
        <v>45992</v>
      </c>
      <c r="E412" t="inlineStr">
        <is>
          <t>Q3FY26</t>
        </is>
      </c>
      <c r="F412" t="inlineStr">
        <is>
          <t>29-Jan-2026</t>
        </is>
      </c>
      <c r="G412" t="inlineStr">
        <is>
          <t>Thursday</t>
        </is>
      </c>
      <c r="H412" t="inlineStr">
        <is>
          <t>Monthly - Thursday</t>
        </is>
      </c>
      <c r="I412" t="inlineStr">
        <is>
          <t>Monthly - Thursday</t>
        </is>
      </c>
      <c r="J412" t="inlineStr">
        <is>
          <t>Month+1 Expiry</t>
        </is>
      </c>
      <c r="K412" s="25" t="n">
        <v>138</v>
      </c>
      <c r="L412" s="26" t="n">
        <v>0.2401</v>
      </c>
      <c r="M412" s="26" t="n">
        <v>0.0032</v>
      </c>
    </row>
    <row r="413" ht="16" customHeight="1">
      <c r="A413" t="inlineStr">
        <is>
          <t>08-Dec-2025</t>
        </is>
      </c>
      <c r="B413" t="inlineStr">
        <is>
          <t>Monday</t>
        </is>
      </c>
      <c r="C413" t="inlineStr">
        <is>
          <t>Week2-Dec-2025</t>
        </is>
      </c>
      <c r="D413" s="78" t="n">
        <v>45992</v>
      </c>
      <c r="E413" t="inlineStr">
        <is>
          <t>Q3FY26</t>
        </is>
      </c>
      <c r="F413" t="inlineStr">
        <is>
          <t>11-Dec-2025</t>
        </is>
      </c>
      <c r="G413" t="inlineStr">
        <is>
          <t>Thursday</t>
        </is>
      </c>
      <c r="H413" t="inlineStr">
        <is>
          <t>Weekly - Thursday</t>
        </is>
      </c>
      <c r="I413" t="inlineStr">
        <is>
          <t>Weekly - Thursday</t>
        </is>
      </c>
      <c r="J413" t="inlineStr">
        <is>
          <t>Same Month Expiry</t>
        </is>
      </c>
      <c r="K413" s="25" t="n">
        <v>28121168</v>
      </c>
      <c r="L413" s="26" t="n">
        <v>48115.3476</v>
      </c>
      <c r="M413" s="26" t="n">
        <v>105.3999</v>
      </c>
    </row>
    <row r="414" ht="16" customHeight="1">
      <c r="A414" t="inlineStr">
        <is>
          <t>08-Dec-2025</t>
        </is>
      </c>
      <c r="B414" t="inlineStr">
        <is>
          <t>Monday</t>
        </is>
      </c>
      <c r="C414" t="inlineStr">
        <is>
          <t>Week2-Dec-2025</t>
        </is>
      </c>
      <c r="D414" s="78" t="n">
        <v>45992</v>
      </c>
      <c r="E414" t="inlineStr">
        <is>
          <t>Q3FY26</t>
        </is>
      </c>
      <c r="F414" t="inlineStr">
        <is>
          <t>18-Dec-2025</t>
        </is>
      </c>
      <c r="G414" t="inlineStr">
        <is>
          <t>Thursday</t>
        </is>
      </c>
      <c r="H414" t="inlineStr">
        <is>
          <t>Weekly - Thursday</t>
        </is>
      </c>
      <c r="I414" t="inlineStr">
        <is>
          <t>Weekly - Thursday</t>
        </is>
      </c>
      <c r="J414" t="inlineStr">
        <is>
          <t>Same Month Expiry</t>
        </is>
      </c>
      <c r="K414" s="25" t="n">
        <v>164728</v>
      </c>
      <c r="L414" s="26" t="n">
        <v>282.6791</v>
      </c>
      <c r="M414" s="26" t="n">
        <v>1.1155</v>
      </c>
    </row>
    <row r="415" ht="16" customHeight="1">
      <c r="A415" t="inlineStr">
        <is>
          <t>08-Dec-2025</t>
        </is>
      </c>
      <c r="B415" t="inlineStr">
        <is>
          <t>Monday</t>
        </is>
      </c>
      <c r="C415" t="inlineStr">
        <is>
          <t>Week2-Dec-2025</t>
        </is>
      </c>
      <c r="D415" s="78" t="n">
        <v>45992</v>
      </c>
      <c r="E415" t="inlineStr">
        <is>
          <t>Q3FY26</t>
        </is>
      </c>
      <c r="F415" t="inlineStr">
        <is>
          <t>24-Dec-2025</t>
        </is>
      </c>
      <c r="G415" t="inlineStr">
        <is>
          <t>Wednesday</t>
        </is>
      </c>
      <c r="H415" t="inlineStr">
        <is>
          <t>Weekly - Wednesday</t>
        </is>
      </c>
      <c r="I415" t="inlineStr">
        <is>
          <t>Weekly - Wednesday</t>
        </is>
      </c>
      <c r="J415" t="inlineStr">
        <is>
          <t>Same Month Expiry</t>
        </is>
      </c>
      <c r="K415" s="25" t="n">
        <v>31144</v>
      </c>
      <c r="L415" s="26" t="n">
        <v>53.6479</v>
      </c>
      <c r="M415" s="26" t="n">
        <v>0.2885</v>
      </c>
    </row>
    <row r="416" ht="16" customHeight="1">
      <c r="A416" t="inlineStr">
        <is>
          <t>08-Dec-2025</t>
        </is>
      </c>
      <c r="B416" t="inlineStr">
        <is>
          <t>Monday</t>
        </is>
      </c>
      <c r="C416" t="inlineStr">
        <is>
          <t>Week2-Dec-2025</t>
        </is>
      </c>
      <c r="D416" s="78" t="n">
        <v>45992</v>
      </c>
      <c r="E416" t="inlineStr">
        <is>
          <t>Q3FY26</t>
        </is>
      </c>
      <c r="F416" t="inlineStr">
        <is>
          <t>01-Jan-2026</t>
        </is>
      </c>
      <c r="G416" t="inlineStr">
        <is>
          <t>Thursday</t>
        </is>
      </c>
      <c r="H416" t="inlineStr">
        <is>
          <t>Weekly - Thursday</t>
        </is>
      </c>
      <c r="I416" t="inlineStr">
        <is>
          <t>Weekly - Thursday</t>
        </is>
      </c>
      <c r="J416" t="inlineStr">
        <is>
          <t>Month+1 Expiry</t>
        </is>
      </c>
      <c r="K416" s="25" t="n">
        <v>289</v>
      </c>
      <c r="L416" s="26" t="n">
        <v>0.4968</v>
      </c>
      <c r="M416" s="26" t="n">
        <v>0.0035</v>
      </c>
    </row>
    <row r="417" ht="16" customHeight="1">
      <c r="A417" t="inlineStr">
        <is>
          <t>08-Dec-2025</t>
        </is>
      </c>
      <c r="B417" t="inlineStr">
        <is>
          <t>Monday</t>
        </is>
      </c>
      <c r="C417" t="inlineStr">
        <is>
          <t>Week2-Dec-2025</t>
        </is>
      </c>
      <c r="D417" s="78" t="n">
        <v>45992</v>
      </c>
      <c r="E417" t="inlineStr">
        <is>
          <t>Q3FY26</t>
        </is>
      </c>
      <c r="F417" t="inlineStr">
        <is>
          <t>22-Jan-2026</t>
        </is>
      </c>
      <c r="G417" t="inlineStr">
        <is>
          <t>Thursday</t>
        </is>
      </c>
      <c r="H417" t="inlineStr">
        <is>
          <t>Weekly - Thursday</t>
        </is>
      </c>
      <c r="I417" t="inlineStr">
        <is>
          <t>Weekly - Thursday</t>
        </is>
      </c>
      <c r="J417" t="inlineStr">
        <is>
          <t>Month+1 Expiry</t>
        </is>
      </c>
      <c r="K417" s="25" t="n">
        <v>3</v>
      </c>
      <c r="L417" s="26" t="n">
        <v>0.0052</v>
      </c>
      <c r="M417" s="26" t="n">
        <v>0.0001</v>
      </c>
    </row>
    <row r="418" ht="16" customHeight="1">
      <c r="A418" t="inlineStr">
        <is>
          <t>08-Dec-2025</t>
        </is>
      </c>
      <c r="B418" t="inlineStr">
        <is>
          <t>Monday</t>
        </is>
      </c>
      <c r="C418" t="inlineStr">
        <is>
          <t>Week2-Dec-2025</t>
        </is>
      </c>
      <c r="D418" s="78" t="n">
        <v>45992</v>
      </c>
      <c r="E418" t="inlineStr">
        <is>
          <t>Q3FY26</t>
        </is>
      </c>
      <c r="F418" t="inlineStr">
        <is>
          <t>29-Jan-2026</t>
        </is>
      </c>
      <c r="G418" t="inlineStr">
        <is>
          <t>Thursday</t>
        </is>
      </c>
      <c r="H418" t="inlineStr">
        <is>
          <t>Monthly - Thursday</t>
        </is>
      </c>
      <c r="I418" t="inlineStr">
        <is>
          <t>Monthly - Thursday</t>
        </is>
      </c>
      <c r="J418" t="inlineStr">
        <is>
          <t>Month+1 Expiry</t>
        </is>
      </c>
      <c r="K418" s="25" t="n">
        <v>410</v>
      </c>
      <c r="L418" s="26" t="n">
        <v>0.7149</v>
      </c>
      <c r="M418" s="26" t="n">
        <v>0.0086</v>
      </c>
    </row>
    <row r="419" ht="16" customHeight="1">
      <c r="A419" t="inlineStr">
        <is>
          <t>09-Dec-2025</t>
        </is>
      </c>
      <c r="B419" t="inlineStr">
        <is>
          <t>Tuesday</t>
        </is>
      </c>
      <c r="C419" t="inlineStr">
        <is>
          <t>Week2-Dec-2025</t>
        </is>
      </c>
      <c r="D419" s="78" t="n">
        <v>45992</v>
      </c>
      <c r="E419" t="inlineStr">
        <is>
          <t>Q3FY26</t>
        </is>
      </c>
      <c r="F419" t="inlineStr">
        <is>
          <t>11-Dec-2025</t>
        </is>
      </c>
      <c r="G419" t="inlineStr">
        <is>
          <t>Thursday</t>
        </is>
      </c>
      <c r="H419" t="inlineStr">
        <is>
          <t>Weekly - Thursday</t>
        </is>
      </c>
      <c r="I419" t="inlineStr">
        <is>
          <t>Weekly - Thursday</t>
        </is>
      </c>
      <c r="J419" t="inlineStr">
        <is>
          <t>Same Month Expiry</t>
        </is>
      </c>
      <c r="K419" s="25" t="n">
        <v>35907556</v>
      </c>
      <c r="L419" s="26" t="n">
        <v>61096.835</v>
      </c>
      <c r="M419" s="26" t="n">
        <v>112.4574</v>
      </c>
    </row>
    <row r="420" ht="16" customHeight="1">
      <c r="A420" t="inlineStr">
        <is>
          <t>09-Dec-2025</t>
        </is>
      </c>
      <c r="B420" t="inlineStr">
        <is>
          <t>Tuesday</t>
        </is>
      </c>
      <c r="C420" t="inlineStr">
        <is>
          <t>Week2-Dec-2025</t>
        </is>
      </c>
      <c r="D420" s="78" t="n">
        <v>45992</v>
      </c>
      <c r="E420" t="inlineStr">
        <is>
          <t>Q3FY26</t>
        </is>
      </c>
      <c r="F420" t="inlineStr">
        <is>
          <t>18-Dec-2025</t>
        </is>
      </c>
      <c r="G420" t="inlineStr">
        <is>
          <t>Thursday</t>
        </is>
      </c>
      <c r="H420" t="inlineStr">
        <is>
          <t>Weekly - Thursday</t>
        </is>
      </c>
      <c r="I420" t="inlineStr">
        <is>
          <t>Weekly - Thursday</t>
        </is>
      </c>
      <c r="J420" t="inlineStr">
        <is>
          <t>Same Month Expiry</t>
        </is>
      </c>
      <c r="K420" s="25" t="n">
        <v>355012</v>
      </c>
      <c r="L420" s="26" t="n">
        <v>607.6382</v>
      </c>
      <c r="M420" s="26" t="n">
        <v>2.0502</v>
      </c>
    </row>
    <row r="421" ht="16" customHeight="1">
      <c r="A421" t="inlineStr">
        <is>
          <t>09-Dec-2025</t>
        </is>
      </c>
      <c r="B421" t="inlineStr">
        <is>
          <t>Tuesday</t>
        </is>
      </c>
      <c r="C421" t="inlineStr">
        <is>
          <t>Week2-Dec-2025</t>
        </is>
      </c>
      <c r="D421" s="78" t="n">
        <v>45992</v>
      </c>
      <c r="E421" t="inlineStr">
        <is>
          <t>Q3FY26</t>
        </is>
      </c>
      <c r="F421" t="inlineStr">
        <is>
          <t>24-Dec-2025</t>
        </is>
      </c>
      <c r="G421" t="inlineStr">
        <is>
          <t>Wednesday</t>
        </is>
      </c>
      <c r="H421" t="inlineStr">
        <is>
          <t>Weekly - Wednesday</t>
        </is>
      </c>
      <c r="I421" t="inlineStr">
        <is>
          <t>Weekly - Wednesday</t>
        </is>
      </c>
      <c r="J421" t="inlineStr">
        <is>
          <t>Same Month Expiry</t>
        </is>
      </c>
      <c r="K421" s="25" t="n">
        <v>40480</v>
      </c>
      <c r="L421" s="26" t="n">
        <v>69.4611</v>
      </c>
      <c r="M421" s="26" t="n">
        <v>0.3934</v>
      </c>
    </row>
    <row r="422" ht="16" customHeight="1">
      <c r="A422" t="inlineStr">
        <is>
          <t>09-Dec-2025</t>
        </is>
      </c>
      <c r="B422" t="inlineStr">
        <is>
          <t>Tuesday</t>
        </is>
      </c>
      <c r="C422" t="inlineStr">
        <is>
          <t>Week2-Dec-2025</t>
        </is>
      </c>
      <c r="D422" s="78" t="n">
        <v>45992</v>
      </c>
      <c r="E422" t="inlineStr">
        <is>
          <t>Q3FY26</t>
        </is>
      </c>
      <c r="F422" t="inlineStr">
        <is>
          <t>01-Jan-2026</t>
        </is>
      </c>
      <c r="G422" t="inlineStr">
        <is>
          <t>Thursday</t>
        </is>
      </c>
      <c r="H422" t="inlineStr">
        <is>
          <t>Weekly - Thursday</t>
        </is>
      </c>
      <c r="I422" t="inlineStr">
        <is>
          <t>Weekly - Thursday</t>
        </is>
      </c>
      <c r="J422" t="inlineStr">
        <is>
          <t>Month+1 Expiry</t>
        </is>
      </c>
      <c r="K422" s="25" t="n">
        <v>345</v>
      </c>
      <c r="L422" s="26" t="n">
        <v>0.6072</v>
      </c>
      <c r="M422" s="26" t="n">
        <v>0.0026</v>
      </c>
    </row>
    <row r="423" ht="16" customHeight="1">
      <c r="A423" t="inlineStr">
        <is>
          <t>09-Dec-2025</t>
        </is>
      </c>
      <c r="B423" t="inlineStr">
        <is>
          <t>Tuesday</t>
        </is>
      </c>
      <c r="C423" t="inlineStr">
        <is>
          <t>Week2-Dec-2025</t>
        </is>
      </c>
      <c r="D423" s="78" t="n">
        <v>45992</v>
      </c>
      <c r="E423" t="inlineStr">
        <is>
          <t>Q3FY26</t>
        </is>
      </c>
      <c r="F423" t="inlineStr">
        <is>
          <t>08-Jan-2026</t>
        </is>
      </c>
      <c r="G423" t="inlineStr">
        <is>
          <t>Thursday</t>
        </is>
      </c>
      <c r="H423" t="inlineStr">
        <is>
          <t>Weekly - Thursday</t>
        </is>
      </c>
      <c r="I423" t="inlineStr">
        <is>
          <t>Weekly - Thursday</t>
        </is>
      </c>
      <c r="J423" t="inlineStr">
        <is>
          <t>Month+1 Expiry</t>
        </is>
      </c>
      <c r="K423" s="25" t="n">
        <v>1</v>
      </c>
      <c r="L423" s="26" t="n">
        <v>0.0017</v>
      </c>
      <c r="M423" s="26" t="n">
        <v>0</v>
      </c>
    </row>
    <row r="424" ht="16" customHeight="1">
      <c r="A424" t="inlineStr">
        <is>
          <t>09-Dec-2025</t>
        </is>
      </c>
      <c r="B424" t="inlineStr">
        <is>
          <t>Tuesday</t>
        </is>
      </c>
      <c r="C424" t="inlineStr">
        <is>
          <t>Week2-Dec-2025</t>
        </is>
      </c>
      <c r="D424" s="78" t="n">
        <v>45992</v>
      </c>
      <c r="E424" t="inlineStr">
        <is>
          <t>Q3FY26</t>
        </is>
      </c>
      <c r="F424" t="inlineStr">
        <is>
          <t>22-Jan-2026</t>
        </is>
      </c>
      <c r="G424" t="inlineStr">
        <is>
          <t>Thursday</t>
        </is>
      </c>
      <c r="H424" t="inlineStr">
        <is>
          <t>Weekly - Thursday</t>
        </is>
      </c>
      <c r="I424" t="inlineStr">
        <is>
          <t>Weekly - Thursday</t>
        </is>
      </c>
      <c r="J424" t="inlineStr">
        <is>
          <t>Month+1 Expiry</t>
        </is>
      </c>
      <c r="K424" s="25" t="n">
        <v>1</v>
      </c>
      <c r="L424" s="26" t="n">
        <v>0.0017</v>
      </c>
      <c r="M424" s="26" t="n">
        <v>0</v>
      </c>
    </row>
    <row r="425" ht="16" customHeight="1">
      <c r="A425" t="inlineStr">
        <is>
          <t>09-Dec-2025</t>
        </is>
      </c>
      <c r="B425" t="inlineStr">
        <is>
          <t>Tuesday</t>
        </is>
      </c>
      <c r="C425" t="inlineStr">
        <is>
          <t>Week2-Dec-2025</t>
        </is>
      </c>
      <c r="D425" s="78" t="n">
        <v>45992</v>
      </c>
      <c r="E425" t="inlineStr">
        <is>
          <t>Q3FY26</t>
        </is>
      </c>
      <c r="F425" t="inlineStr">
        <is>
          <t>29-Jan-2026</t>
        </is>
      </c>
      <c r="G425" t="inlineStr">
        <is>
          <t>Thursday</t>
        </is>
      </c>
      <c r="H425" t="inlineStr">
        <is>
          <t>Monthly - Thursday</t>
        </is>
      </c>
      <c r="I425" t="inlineStr">
        <is>
          <t>Monthly - Thursday</t>
        </is>
      </c>
      <c r="J425" t="inlineStr">
        <is>
          <t>Month+1 Expiry</t>
        </is>
      </c>
      <c r="K425" s="25" t="n">
        <v>331</v>
      </c>
      <c r="L425" s="26" t="n">
        <v>0.5738</v>
      </c>
      <c r="M425" s="26" t="n">
        <v>0.007</v>
      </c>
    </row>
    <row r="426" ht="16" customHeight="1">
      <c r="A426" t="inlineStr">
        <is>
          <t>10-Dec-2025</t>
        </is>
      </c>
      <c r="B426" t="inlineStr">
        <is>
          <t>Wednesday</t>
        </is>
      </c>
      <c r="C426" t="inlineStr">
        <is>
          <t>Week2-Dec-2025</t>
        </is>
      </c>
      <c r="D426" s="78" t="n">
        <v>45992</v>
      </c>
      <c r="E426" t="inlineStr">
        <is>
          <t>Q3FY26</t>
        </is>
      </c>
      <c r="F426" t="inlineStr">
        <is>
          <t>11-Dec-2025</t>
        </is>
      </c>
      <c r="G426" t="inlineStr">
        <is>
          <t>Thursday</t>
        </is>
      </c>
      <c r="H426" t="inlineStr">
        <is>
          <t>Weekly - Thursday</t>
        </is>
      </c>
      <c r="I426" t="inlineStr">
        <is>
          <t>Weekly - Thursday</t>
        </is>
      </c>
      <c r="J426" t="inlineStr">
        <is>
          <t>Same Month Expiry</t>
        </is>
      </c>
      <c r="K426" s="25" t="n">
        <v>136505436</v>
      </c>
      <c r="L426" s="26" t="n">
        <v>231580.8113</v>
      </c>
      <c r="M426" s="26" t="n">
        <v>334.083</v>
      </c>
    </row>
    <row r="427" ht="16" customHeight="1">
      <c r="A427" t="inlineStr">
        <is>
          <t>10-Dec-2025</t>
        </is>
      </c>
      <c r="B427" t="inlineStr">
        <is>
          <t>Wednesday</t>
        </is>
      </c>
      <c r="C427" t="inlineStr">
        <is>
          <t>Week2-Dec-2025</t>
        </is>
      </c>
      <c r="D427" s="78" t="n">
        <v>45992</v>
      </c>
      <c r="E427" t="inlineStr">
        <is>
          <t>Q3FY26</t>
        </is>
      </c>
      <c r="F427" t="inlineStr">
        <is>
          <t>18-Dec-2025</t>
        </is>
      </c>
      <c r="G427" t="inlineStr">
        <is>
          <t>Thursday</t>
        </is>
      </c>
      <c r="H427" t="inlineStr">
        <is>
          <t>Weekly - Thursday</t>
        </is>
      </c>
      <c r="I427" t="inlineStr">
        <is>
          <t>Weekly - Thursday</t>
        </is>
      </c>
      <c r="J427" t="inlineStr">
        <is>
          <t>Same Month Expiry</t>
        </is>
      </c>
      <c r="K427" s="25" t="n">
        <v>731485</v>
      </c>
      <c r="L427" s="26" t="n">
        <v>1245.641</v>
      </c>
      <c r="M427" s="26" t="n">
        <v>3.5331</v>
      </c>
    </row>
    <row r="428" ht="16" customHeight="1">
      <c r="A428" t="inlineStr">
        <is>
          <t>10-Dec-2025</t>
        </is>
      </c>
      <c r="B428" t="inlineStr">
        <is>
          <t>Wednesday</t>
        </is>
      </c>
      <c r="C428" t="inlineStr">
        <is>
          <t>Week2-Dec-2025</t>
        </is>
      </c>
      <c r="D428" s="78" t="n">
        <v>45992</v>
      </c>
      <c r="E428" t="inlineStr">
        <is>
          <t>Q3FY26</t>
        </is>
      </c>
      <c r="F428" t="inlineStr">
        <is>
          <t>24-Dec-2025</t>
        </is>
      </c>
      <c r="G428" t="inlineStr">
        <is>
          <t>Wednesday</t>
        </is>
      </c>
      <c r="H428" t="inlineStr">
        <is>
          <t>Weekly - Wednesday</t>
        </is>
      </c>
      <c r="I428" t="inlineStr">
        <is>
          <t>Weekly - Wednesday</t>
        </is>
      </c>
      <c r="J428" t="inlineStr">
        <is>
          <t>Same Month Expiry</t>
        </is>
      </c>
      <c r="K428" s="25" t="n">
        <v>44536</v>
      </c>
      <c r="L428" s="26" t="n">
        <v>76.22020000000001</v>
      </c>
      <c r="M428" s="26" t="n">
        <v>0.3891</v>
      </c>
    </row>
    <row r="429" ht="16" customHeight="1">
      <c r="A429" t="inlineStr">
        <is>
          <t>10-Dec-2025</t>
        </is>
      </c>
      <c r="B429" t="inlineStr">
        <is>
          <t>Wednesday</t>
        </is>
      </c>
      <c r="C429" t="inlineStr">
        <is>
          <t>Week2-Dec-2025</t>
        </is>
      </c>
      <c r="D429" s="78" t="n">
        <v>45992</v>
      </c>
      <c r="E429" t="inlineStr">
        <is>
          <t>Q3FY26</t>
        </is>
      </c>
      <c r="F429" t="inlineStr">
        <is>
          <t>01-Jan-2026</t>
        </is>
      </c>
      <c r="G429" t="inlineStr">
        <is>
          <t>Thursday</t>
        </is>
      </c>
      <c r="H429" t="inlineStr">
        <is>
          <t>Weekly - Thursday</t>
        </is>
      </c>
      <c r="I429" t="inlineStr">
        <is>
          <t>Weekly - Thursday</t>
        </is>
      </c>
      <c r="J429" t="inlineStr">
        <is>
          <t>Month+1 Expiry</t>
        </is>
      </c>
      <c r="K429" s="25" t="n">
        <v>505</v>
      </c>
      <c r="L429" s="26" t="n">
        <v>0.8712</v>
      </c>
      <c r="M429" s="26" t="n">
        <v>0.0063</v>
      </c>
    </row>
    <row r="430" ht="16" customHeight="1">
      <c r="A430" t="inlineStr">
        <is>
          <t>10-Dec-2025</t>
        </is>
      </c>
      <c r="B430" t="inlineStr">
        <is>
          <t>Wednesday</t>
        </is>
      </c>
      <c r="C430" t="inlineStr">
        <is>
          <t>Week2-Dec-2025</t>
        </is>
      </c>
      <c r="D430" s="78" t="n">
        <v>45992</v>
      </c>
      <c r="E430" t="inlineStr">
        <is>
          <t>Q3FY26</t>
        </is>
      </c>
      <c r="F430" t="inlineStr">
        <is>
          <t>08-Jan-2026</t>
        </is>
      </c>
      <c r="G430" t="inlineStr">
        <is>
          <t>Thursday</t>
        </is>
      </c>
      <c r="H430" t="inlineStr">
        <is>
          <t>Weekly - Thursday</t>
        </is>
      </c>
      <c r="I430" t="inlineStr">
        <is>
          <t>Weekly - Thursday</t>
        </is>
      </c>
      <c r="J430" t="inlineStr">
        <is>
          <t>Month+1 Expiry</t>
        </is>
      </c>
      <c r="K430" s="25" t="n">
        <v>1</v>
      </c>
      <c r="L430" s="26" t="n">
        <v>0.0017</v>
      </c>
      <c r="M430" s="26" t="n">
        <v>0</v>
      </c>
    </row>
    <row r="431" ht="16" customHeight="1">
      <c r="A431" t="inlineStr">
        <is>
          <t>10-Dec-2025</t>
        </is>
      </c>
      <c r="B431" t="inlineStr">
        <is>
          <t>Wednesday</t>
        </is>
      </c>
      <c r="C431" t="inlineStr">
        <is>
          <t>Week2-Dec-2025</t>
        </is>
      </c>
      <c r="D431" s="78" t="n">
        <v>45992</v>
      </c>
      <c r="E431" t="inlineStr">
        <is>
          <t>Q3FY26</t>
        </is>
      </c>
      <c r="F431" t="inlineStr">
        <is>
          <t>22-Jan-2026</t>
        </is>
      </c>
      <c r="G431" t="inlineStr">
        <is>
          <t>Thursday</t>
        </is>
      </c>
      <c r="H431" t="inlineStr">
        <is>
          <t>Weekly - Thursday</t>
        </is>
      </c>
      <c r="I431" t="inlineStr">
        <is>
          <t>Weekly - Thursday</t>
        </is>
      </c>
      <c r="J431" t="inlineStr">
        <is>
          <t>Month+1 Expiry</t>
        </is>
      </c>
      <c r="K431" s="25" t="n">
        <v>0</v>
      </c>
      <c r="L431" s="26" t="n">
        <v>0</v>
      </c>
      <c r="M431" s="26" t="n">
        <v>0</v>
      </c>
    </row>
    <row r="432" ht="16" customHeight="1">
      <c r="A432" t="inlineStr">
        <is>
          <t>10-Dec-2025</t>
        </is>
      </c>
      <c r="B432" t="inlineStr">
        <is>
          <t>Wednesday</t>
        </is>
      </c>
      <c r="C432" t="inlineStr">
        <is>
          <t>Week2-Dec-2025</t>
        </is>
      </c>
      <c r="D432" s="78" t="n">
        <v>45992</v>
      </c>
      <c r="E432" t="inlineStr">
        <is>
          <t>Q3FY26</t>
        </is>
      </c>
      <c r="F432" t="inlineStr">
        <is>
          <t>29-Jan-2026</t>
        </is>
      </c>
      <c r="G432" t="inlineStr">
        <is>
          <t>Thursday</t>
        </is>
      </c>
      <c r="H432" t="inlineStr">
        <is>
          <t>Monthly - Thursday</t>
        </is>
      </c>
      <c r="I432" t="inlineStr">
        <is>
          <t>Monthly - Thursday</t>
        </is>
      </c>
      <c r="J432" t="inlineStr">
        <is>
          <t>Month+1 Expiry</t>
        </is>
      </c>
      <c r="K432" s="25" t="n">
        <v>194</v>
      </c>
      <c r="L432" s="26" t="n">
        <v>0.3342</v>
      </c>
      <c r="M432" s="26" t="n">
        <v>0.0047</v>
      </c>
    </row>
    <row r="433" ht="16" customHeight="1">
      <c r="A433" t="inlineStr">
        <is>
          <t>11-Dec-2025</t>
        </is>
      </c>
      <c r="B433" t="inlineStr">
        <is>
          <t>Thursday</t>
        </is>
      </c>
      <c r="C433" t="inlineStr">
        <is>
          <t>Week2-Dec-2025</t>
        </is>
      </c>
      <c r="D433" s="78" t="n">
        <v>45992</v>
      </c>
      <c r="E433" t="inlineStr">
        <is>
          <t>Q3FY26</t>
        </is>
      </c>
      <c r="F433" t="inlineStr">
        <is>
          <t>11-Dec-2025</t>
        </is>
      </c>
      <c r="G433" t="inlineStr">
        <is>
          <t>Thursday</t>
        </is>
      </c>
      <c r="H433" t="inlineStr">
        <is>
          <t>Weekly - Thursday</t>
        </is>
      </c>
      <c r="I433" t="inlineStr">
        <is>
          <t>Weekly - Thursday</t>
        </is>
      </c>
      <c r="J433" t="inlineStr">
        <is>
          <t>Same Month Expiry</t>
        </is>
      </c>
      <c r="K433" s="25" t="n">
        <v>471443833</v>
      </c>
      <c r="L433" s="26" t="n">
        <v>798654.6973999999</v>
      </c>
      <c r="M433" s="26" t="n">
        <v>526.9507</v>
      </c>
    </row>
    <row r="434" ht="16" customHeight="1">
      <c r="A434" t="inlineStr">
        <is>
          <t>11-Dec-2025</t>
        </is>
      </c>
      <c r="B434" t="inlineStr">
        <is>
          <t>Thursday</t>
        </is>
      </c>
      <c r="C434" t="inlineStr">
        <is>
          <t>Week2-Dec-2025</t>
        </is>
      </c>
      <c r="D434" s="78" t="n">
        <v>45992</v>
      </c>
      <c r="E434" t="inlineStr">
        <is>
          <t>Q3FY26</t>
        </is>
      </c>
      <c r="F434" t="inlineStr">
        <is>
          <t>18-Dec-2025</t>
        </is>
      </c>
      <c r="G434" t="inlineStr">
        <is>
          <t>Thursday</t>
        </is>
      </c>
      <c r="H434" t="inlineStr">
        <is>
          <t>Weekly - Thursday</t>
        </is>
      </c>
      <c r="I434" t="inlineStr">
        <is>
          <t>Weekly - Thursday</t>
        </is>
      </c>
      <c r="J434" t="inlineStr">
        <is>
          <t>Same Month Expiry</t>
        </is>
      </c>
      <c r="K434" s="25" t="n">
        <v>2393536</v>
      </c>
      <c r="L434" s="26" t="n">
        <v>4059.8128</v>
      </c>
      <c r="M434" s="26" t="n">
        <v>10.6877</v>
      </c>
    </row>
    <row r="435" ht="16" customHeight="1">
      <c r="A435" t="inlineStr">
        <is>
          <t>11-Dec-2025</t>
        </is>
      </c>
      <c r="B435" t="inlineStr">
        <is>
          <t>Thursday</t>
        </is>
      </c>
      <c r="C435" t="inlineStr">
        <is>
          <t>Week2-Dec-2025</t>
        </is>
      </c>
      <c r="D435" s="78" t="n">
        <v>45992</v>
      </c>
      <c r="E435" t="inlineStr">
        <is>
          <t>Q3FY26</t>
        </is>
      </c>
      <c r="F435" t="inlineStr">
        <is>
          <t>24-Dec-2025</t>
        </is>
      </c>
      <c r="G435" t="inlineStr">
        <is>
          <t>Wednesday</t>
        </is>
      </c>
      <c r="H435" t="inlineStr">
        <is>
          <t>Weekly - Wednesday</t>
        </is>
      </c>
      <c r="I435" t="inlineStr">
        <is>
          <t>Weekly - Wednesday</t>
        </is>
      </c>
      <c r="J435" t="inlineStr">
        <is>
          <t>Same Month Expiry</t>
        </is>
      </c>
      <c r="K435" s="25" t="n">
        <v>88575</v>
      </c>
      <c r="L435" s="26" t="n">
        <v>150.7481</v>
      </c>
      <c r="M435" s="26" t="n">
        <v>0.6474</v>
      </c>
    </row>
    <row r="436" ht="16" customHeight="1">
      <c r="A436" t="inlineStr">
        <is>
          <t>11-Dec-2025</t>
        </is>
      </c>
      <c r="B436" t="inlineStr">
        <is>
          <t>Thursday</t>
        </is>
      </c>
      <c r="C436" t="inlineStr">
        <is>
          <t>Week2-Dec-2025</t>
        </is>
      </c>
      <c r="D436" s="78" t="n">
        <v>45992</v>
      </c>
      <c r="E436" t="inlineStr">
        <is>
          <t>Q3FY26</t>
        </is>
      </c>
      <c r="F436" t="inlineStr">
        <is>
          <t>01-Jan-2026</t>
        </is>
      </c>
      <c r="G436" t="inlineStr">
        <is>
          <t>Thursday</t>
        </is>
      </c>
      <c r="H436" t="inlineStr">
        <is>
          <t>Weekly - Thursday</t>
        </is>
      </c>
      <c r="I436" t="inlineStr">
        <is>
          <t>Weekly - Thursday</t>
        </is>
      </c>
      <c r="J436" t="inlineStr">
        <is>
          <t>Month+1 Expiry</t>
        </is>
      </c>
      <c r="K436" s="25" t="n">
        <v>722</v>
      </c>
      <c r="L436" s="26" t="n">
        <v>1.2437</v>
      </c>
      <c r="M436" s="26" t="n">
        <v>0.0072</v>
      </c>
    </row>
    <row r="437" ht="16" customHeight="1">
      <c r="A437" t="inlineStr">
        <is>
          <t>11-Dec-2025</t>
        </is>
      </c>
      <c r="B437" t="inlineStr">
        <is>
          <t>Thursday</t>
        </is>
      </c>
      <c r="C437" t="inlineStr">
        <is>
          <t>Week2-Dec-2025</t>
        </is>
      </c>
      <c r="D437" s="78" t="n">
        <v>45992</v>
      </c>
      <c r="E437" t="inlineStr">
        <is>
          <t>Q3FY26</t>
        </is>
      </c>
      <c r="F437" t="inlineStr">
        <is>
          <t>08-Jan-2026</t>
        </is>
      </c>
      <c r="G437" t="inlineStr">
        <is>
          <t>Thursday</t>
        </is>
      </c>
      <c r="H437" t="inlineStr">
        <is>
          <t>Weekly - Thursday</t>
        </is>
      </c>
      <c r="I437" t="inlineStr">
        <is>
          <t>Weekly - Thursday</t>
        </is>
      </c>
      <c r="J437" t="inlineStr">
        <is>
          <t>Month+1 Expiry</t>
        </is>
      </c>
      <c r="K437" s="25" t="n">
        <v>2</v>
      </c>
      <c r="L437" s="26" t="n">
        <v>0.0034</v>
      </c>
      <c r="M437" s="26" t="n">
        <v>0</v>
      </c>
    </row>
    <row r="438" ht="16" customHeight="1">
      <c r="A438" t="inlineStr">
        <is>
          <t>11-Dec-2025</t>
        </is>
      </c>
      <c r="B438" t="inlineStr">
        <is>
          <t>Thursday</t>
        </is>
      </c>
      <c r="C438" t="inlineStr">
        <is>
          <t>Week2-Dec-2025</t>
        </is>
      </c>
      <c r="D438" s="78" t="n">
        <v>45992</v>
      </c>
      <c r="E438" t="inlineStr">
        <is>
          <t>Q3FY26</t>
        </is>
      </c>
      <c r="F438" t="inlineStr">
        <is>
          <t>22-Jan-2026</t>
        </is>
      </c>
      <c r="G438" t="inlineStr">
        <is>
          <t>Thursday</t>
        </is>
      </c>
      <c r="H438" t="inlineStr">
        <is>
          <t>Weekly - Thursday</t>
        </is>
      </c>
      <c r="I438" t="inlineStr">
        <is>
          <t>Weekly - Thursday</t>
        </is>
      </c>
      <c r="J438" t="inlineStr">
        <is>
          <t>Month+1 Expiry</t>
        </is>
      </c>
      <c r="K438" s="25" t="n">
        <v>0</v>
      </c>
      <c r="L438" s="26" t="n">
        <v>0</v>
      </c>
      <c r="M438" s="26" t="n">
        <v>0</v>
      </c>
    </row>
    <row r="439" ht="16" customHeight="1">
      <c r="A439" t="inlineStr">
        <is>
          <t>11-Dec-2025</t>
        </is>
      </c>
      <c r="B439" t="inlineStr">
        <is>
          <t>Thursday</t>
        </is>
      </c>
      <c r="C439" t="inlineStr">
        <is>
          <t>Week2-Dec-2025</t>
        </is>
      </c>
      <c r="D439" s="78" t="n">
        <v>45992</v>
      </c>
      <c r="E439" t="inlineStr">
        <is>
          <t>Q3FY26</t>
        </is>
      </c>
      <c r="F439" t="inlineStr">
        <is>
          <t>29-Jan-2026</t>
        </is>
      </c>
      <c r="G439" t="inlineStr">
        <is>
          <t>Thursday</t>
        </is>
      </c>
      <c r="H439" t="inlineStr">
        <is>
          <t>Monthly - Thursday</t>
        </is>
      </c>
      <c r="I439" t="inlineStr">
        <is>
          <t>Monthly - Thursday</t>
        </is>
      </c>
      <c r="J439" t="inlineStr">
        <is>
          <t>Month+1 Expiry</t>
        </is>
      </c>
      <c r="K439" s="25" t="n">
        <v>377</v>
      </c>
      <c r="L439" s="26" t="n">
        <v>0.6486</v>
      </c>
      <c r="M439" s="26" t="n">
        <v>0.0076</v>
      </c>
    </row>
    <row r="440" ht="16" customHeight="1">
      <c r="A440" t="inlineStr">
        <is>
          <t>12-Dec-2025</t>
        </is>
      </c>
      <c r="B440" t="inlineStr">
        <is>
          <t>Friday</t>
        </is>
      </c>
      <c r="C440" t="inlineStr">
        <is>
          <t>Week2-Dec-2025</t>
        </is>
      </c>
      <c r="D440" s="78" t="n">
        <v>45992</v>
      </c>
      <c r="E440" t="inlineStr">
        <is>
          <t>Q3FY26</t>
        </is>
      </c>
      <c r="F440" t="inlineStr">
        <is>
          <t>18-Dec-2025</t>
        </is>
      </c>
      <c r="G440" t="inlineStr">
        <is>
          <t>Thursday</t>
        </is>
      </c>
      <c r="H440" t="inlineStr">
        <is>
          <t>Weekly - Thursday</t>
        </is>
      </c>
      <c r="I440" t="inlineStr">
        <is>
          <t>Weekly - Thursday</t>
        </is>
      </c>
      <c r="J440" t="inlineStr">
        <is>
          <t>Same Month Expiry</t>
        </is>
      </c>
      <c r="K440" s="25" t="n">
        <v>22156420</v>
      </c>
      <c r="L440" s="26" t="n">
        <v>37863.1054</v>
      </c>
      <c r="M440" s="26" t="n">
        <v>98.1314</v>
      </c>
    </row>
    <row r="441" ht="16" customHeight="1">
      <c r="A441" t="inlineStr">
        <is>
          <t>12-Dec-2025</t>
        </is>
      </c>
      <c r="B441" t="inlineStr">
        <is>
          <t>Friday</t>
        </is>
      </c>
      <c r="C441" t="inlineStr">
        <is>
          <t>Week2-Dec-2025</t>
        </is>
      </c>
      <c r="D441" s="78" t="n">
        <v>45992</v>
      </c>
      <c r="E441" t="inlineStr">
        <is>
          <t>Q3FY26</t>
        </is>
      </c>
      <c r="F441" t="inlineStr">
        <is>
          <t>24-Dec-2025</t>
        </is>
      </c>
      <c r="G441" t="inlineStr">
        <is>
          <t>Wednesday</t>
        </is>
      </c>
      <c r="H441" t="inlineStr">
        <is>
          <t>Weekly - Wednesday</t>
        </is>
      </c>
      <c r="I441" t="inlineStr">
        <is>
          <t>Weekly - Wednesday</t>
        </is>
      </c>
      <c r="J441" t="inlineStr">
        <is>
          <t>Same Month Expiry</t>
        </is>
      </c>
      <c r="K441" s="25" t="n">
        <v>133571</v>
      </c>
      <c r="L441" s="26" t="n">
        <v>228.5629</v>
      </c>
      <c r="M441" s="26" t="n">
        <v>0.8250999999999999</v>
      </c>
    </row>
    <row r="442" ht="16" customHeight="1">
      <c r="A442" t="inlineStr">
        <is>
          <t>12-Dec-2025</t>
        </is>
      </c>
      <c r="B442" t="inlineStr">
        <is>
          <t>Friday</t>
        </is>
      </c>
      <c r="C442" t="inlineStr">
        <is>
          <t>Week2-Dec-2025</t>
        </is>
      </c>
      <c r="D442" s="78" t="n">
        <v>45992</v>
      </c>
      <c r="E442" t="inlineStr">
        <is>
          <t>Q3FY26</t>
        </is>
      </c>
      <c r="F442" t="inlineStr">
        <is>
          <t>01-Jan-2026</t>
        </is>
      </c>
      <c r="G442" t="inlineStr">
        <is>
          <t>Thursday</t>
        </is>
      </c>
      <c r="H442" t="inlineStr">
        <is>
          <t>Weekly - Thursday</t>
        </is>
      </c>
      <c r="I442" t="inlineStr">
        <is>
          <t>Weekly - Thursday</t>
        </is>
      </c>
      <c r="J442" t="inlineStr">
        <is>
          <t>Month+1 Expiry</t>
        </is>
      </c>
      <c r="K442" s="25" t="n">
        <v>2283</v>
      </c>
      <c r="L442" s="26" t="n">
        <v>3.9357</v>
      </c>
      <c r="M442" s="26" t="n">
        <v>0.022</v>
      </c>
    </row>
    <row r="443" ht="16" customHeight="1">
      <c r="A443" t="inlineStr">
        <is>
          <t>12-Dec-2025</t>
        </is>
      </c>
      <c r="B443" t="inlineStr">
        <is>
          <t>Friday</t>
        </is>
      </c>
      <c r="C443" t="inlineStr">
        <is>
          <t>Week2-Dec-2025</t>
        </is>
      </c>
      <c r="D443" s="78" t="n">
        <v>45992</v>
      </c>
      <c r="E443" t="inlineStr">
        <is>
          <t>Q3FY26</t>
        </is>
      </c>
      <c r="F443" t="inlineStr">
        <is>
          <t>08-Jan-2026</t>
        </is>
      </c>
      <c r="G443" t="inlineStr">
        <is>
          <t>Thursday</t>
        </is>
      </c>
      <c r="H443" t="inlineStr">
        <is>
          <t>Weekly - Thursday</t>
        </is>
      </c>
      <c r="I443" t="inlineStr">
        <is>
          <t>Weekly - Thursday</t>
        </is>
      </c>
      <c r="J443" t="inlineStr">
        <is>
          <t>Month+1 Expiry</t>
        </is>
      </c>
      <c r="K443" s="25" t="n">
        <v>14</v>
      </c>
      <c r="L443" s="26" t="n">
        <v>0.0242</v>
      </c>
      <c r="M443" s="26" t="n">
        <v>0.0003</v>
      </c>
    </row>
    <row r="444" ht="16" customHeight="1">
      <c r="A444" t="inlineStr">
        <is>
          <t>12-Dec-2025</t>
        </is>
      </c>
      <c r="B444" t="inlineStr">
        <is>
          <t>Friday</t>
        </is>
      </c>
      <c r="C444" t="inlineStr">
        <is>
          <t>Week2-Dec-2025</t>
        </is>
      </c>
      <c r="D444" s="78" t="n">
        <v>45992</v>
      </c>
      <c r="E444" t="inlineStr">
        <is>
          <t>Q3FY26</t>
        </is>
      </c>
      <c r="F444" t="inlineStr">
        <is>
          <t>15-Jan-2026</t>
        </is>
      </c>
      <c r="G444" t="inlineStr">
        <is>
          <t>Thursday</t>
        </is>
      </c>
      <c r="H444" t="inlineStr">
        <is>
          <t>Weekly - Thursday</t>
        </is>
      </c>
      <c r="I444" t="inlineStr">
        <is>
          <t>Weekly - Thursday</t>
        </is>
      </c>
      <c r="J444" t="inlineStr">
        <is>
          <t>Month+1 Expiry</t>
        </is>
      </c>
      <c r="K444" s="25" t="n">
        <v>3</v>
      </c>
      <c r="L444" s="26" t="n">
        <v>0.005</v>
      </c>
      <c r="M444" s="26" t="n">
        <v>0</v>
      </c>
    </row>
    <row r="445" ht="16" customHeight="1">
      <c r="A445" t="inlineStr">
        <is>
          <t>12-Dec-2025</t>
        </is>
      </c>
      <c r="B445" t="inlineStr">
        <is>
          <t>Friday</t>
        </is>
      </c>
      <c r="C445" t="inlineStr">
        <is>
          <t>Week2-Dec-2025</t>
        </is>
      </c>
      <c r="D445" s="78" t="n">
        <v>45992</v>
      </c>
      <c r="E445" t="inlineStr">
        <is>
          <t>Q3FY26</t>
        </is>
      </c>
      <c r="F445" t="inlineStr">
        <is>
          <t>22-Jan-2026</t>
        </is>
      </c>
      <c r="G445" t="inlineStr">
        <is>
          <t>Thursday</t>
        </is>
      </c>
      <c r="H445" t="inlineStr">
        <is>
          <t>Weekly - Thursday</t>
        </is>
      </c>
      <c r="I445" t="inlineStr">
        <is>
          <t>Weekly - Thursday</t>
        </is>
      </c>
      <c r="J445" t="inlineStr">
        <is>
          <t>Month+1 Expiry</t>
        </is>
      </c>
      <c r="K445" s="25" t="n">
        <v>1</v>
      </c>
      <c r="L445" s="26" t="n">
        <v>0.0017</v>
      </c>
      <c r="M445" s="26" t="n">
        <v>0</v>
      </c>
    </row>
    <row r="446" ht="16" customHeight="1">
      <c r="A446" t="inlineStr">
        <is>
          <t>12-Dec-2025</t>
        </is>
      </c>
      <c r="B446" t="inlineStr">
        <is>
          <t>Friday</t>
        </is>
      </c>
      <c r="C446" t="inlineStr">
        <is>
          <t>Week2-Dec-2025</t>
        </is>
      </c>
      <c r="D446" s="78" t="n">
        <v>45992</v>
      </c>
      <c r="E446" t="inlineStr">
        <is>
          <t>Q3FY26</t>
        </is>
      </c>
      <c r="F446" t="inlineStr">
        <is>
          <t>29-Jan-2026</t>
        </is>
      </c>
      <c r="G446" t="inlineStr">
        <is>
          <t>Thursday</t>
        </is>
      </c>
      <c r="H446" t="inlineStr">
        <is>
          <t>Monthly - Thursday</t>
        </is>
      </c>
      <c r="I446" t="inlineStr">
        <is>
          <t>Monthly - Thursday</t>
        </is>
      </c>
      <c r="J446" t="inlineStr">
        <is>
          <t>Month+1 Expiry</t>
        </is>
      </c>
      <c r="K446" s="25" t="n">
        <v>650</v>
      </c>
      <c r="L446" s="26" t="n">
        <v>1.1204</v>
      </c>
      <c r="M446" s="26" t="n">
        <v>0.0113</v>
      </c>
    </row>
    <row r="447" ht="16" customHeight="1">
      <c r="A447" t="inlineStr">
        <is>
          <t>15-Dec-2025</t>
        </is>
      </c>
      <c r="B447" t="inlineStr">
        <is>
          <t>Monday</t>
        </is>
      </c>
      <c r="C447" t="inlineStr">
        <is>
          <t>Week3-Dec-2025</t>
        </is>
      </c>
      <c r="D447" s="78" t="n">
        <v>45992</v>
      </c>
      <c r="E447" t="inlineStr">
        <is>
          <t>Q3FY26</t>
        </is>
      </c>
      <c r="F447" t="inlineStr">
        <is>
          <t>18-Dec-2025</t>
        </is>
      </c>
      <c r="G447" t="inlineStr">
        <is>
          <t>Thursday</t>
        </is>
      </c>
      <c r="H447" t="inlineStr">
        <is>
          <t>Weekly - Thursday</t>
        </is>
      </c>
      <c r="I447" t="inlineStr">
        <is>
          <t>Weekly - Thursday</t>
        </is>
      </c>
      <c r="J447" t="inlineStr">
        <is>
          <t>Same Month Expiry</t>
        </is>
      </c>
      <c r="K447" s="25" t="n">
        <v>24503164</v>
      </c>
      <c r="L447" s="26" t="n">
        <v>41793.6932</v>
      </c>
      <c r="M447" s="26" t="n">
        <v>94.6901</v>
      </c>
    </row>
    <row r="448" ht="16" customHeight="1">
      <c r="A448" t="inlineStr">
        <is>
          <t>15-Dec-2025</t>
        </is>
      </c>
      <c r="B448" t="inlineStr">
        <is>
          <t>Monday</t>
        </is>
      </c>
      <c r="C448" t="inlineStr">
        <is>
          <t>Week3-Dec-2025</t>
        </is>
      </c>
      <c r="D448" s="78" t="n">
        <v>45992</v>
      </c>
      <c r="E448" t="inlineStr">
        <is>
          <t>Q3FY26</t>
        </is>
      </c>
      <c r="F448" t="inlineStr">
        <is>
          <t>24-Dec-2025</t>
        </is>
      </c>
      <c r="G448" t="inlineStr">
        <is>
          <t>Wednesday</t>
        </is>
      </c>
      <c r="H448" t="inlineStr">
        <is>
          <t>Weekly - Wednesday</t>
        </is>
      </c>
      <c r="I448" t="inlineStr">
        <is>
          <t>Weekly - Wednesday</t>
        </is>
      </c>
      <c r="J448" t="inlineStr">
        <is>
          <t>Same Month Expiry</t>
        </is>
      </c>
      <c r="K448" s="25" t="n">
        <v>255414</v>
      </c>
      <c r="L448" s="26" t="n">
        <v>436.16</v>
      </c>
      <c r="M448" s="26" t="n">
        <v>1.2301</v>
      </c>
    </row>
    <row r="449" ht="16" customHeight="1">
      <c r="A449" t="inlineStr">
        <is>
          <t>15-Dec-2025</t>
        </is>
      </c>
      <c r="B449" t="inlineStr">
        <is>
          <t>Monday</t>
        </is>
      </c>
      <c r="C449" t="inlineStr">
        <is>
          <t>Week3-Dec-2025</t>
        </is>
      </c>
      <c r="D449" s="78" t="n">
        <v>45992</v>
      </c>
      <c r="E449" t="inlineStr">
        <is>
          <t>Q3FY26</t>
        </is>
      </c>
      <c r="F449" t="inlineStr">
        <is>
          <t>01-Jan-2026</t>
        </is>
      </c>
      <c r="G449" t="inlineStr">
        <is>
          <t>Thursday</t>
        </is>
      </c>
      <c r="H449" t="inlineStr">
        <is>
          <t>Weekly - Thursday</t>
        </is>
      </c>
      <c r="I449" t="inlineStr">
        <is>
          <t>Weekly - Thursday</t>
        </is>
      </c>
      <c r="J449" t="inlineStr">
        <is>
          <t>Month+1 Expiry</t>
        </is>
      </c>
      <c r="K449" s="25" t="n">
        <v>3164</v>
      </c>
      <c r="L449" s="26" t="n">
        <v>5.4558</v>
      </c>
      <c r="M449" s="26" t="n">
        <v>0.0319</v>
      </c>
    </row>
    <row r="450" ht="16" customHeight="1">
      <c r="A450" t="inlineStr">
        <is>
          <t>15-Dec-2025</t>
        </is>
      </c>
      <c r="B450" t="inlineStr">
        <is>
          <t>Monday</t>
        </is>
      </c>
      <c r="C450" t="inlineStr">
        <is>
          <t>Week3-Dec-2025</t>
        </is>
      </c>
      <c r="D450" s="78" t="n">
        <v>45992</v>
      </c>
      <c r="E450" t="inlineStr">
        <is>
          <t>Q3FY26</t>
        </is>
      </c>
      <c r="F450" t="inlineStr">
        <is>
          <t>08-Jan-2026</t>
        </is>
      </c>
      <c r="G450" t="inlineStr">
        <is>
          <t>Thursday</t>
        </is>
      </c>
      <c r="H450" t="inlineStr">
        <is>
          <t>Weekly - Thursday</t>
        </is>
      </c>
      <c r="I450" t="inlineStr">
        <is>
          <t>Weekly - Thursday</t>
        </is>
      </c>
      <c r="J450" t="inlineStr">
        <is>
          <t>Month+1 Expiry</t>
        </is>
      </c>
      <c r="K450" s="25" t="n">
        <v>1</v>
      </c>
      <c r="L450" s="26" t="n">
        <v>0.0017</v>
      </c>
      <c r="M450" s="26" t="n">
        <v>0</v>
      </c>
    </row>
    <row r="451" ht="16" customHeight="1">
      <c r="A451" t="inlineStr">
        <is>
          <t>15-Dec-2025</t>
        </is>
      </c>
      <c r="B451" t="inlineStr">
        <is>
          <t>Monday</t>
        </is>
      </c>
      <c r="C451" t="inlineStr">
        <is>
          <t>Week3-Dec-2025</t>
        </is>
      </c>
      <c r="D451" s="78" t="n">
        <v>45992</v>
      </c>
      <c r="E451" t="inlineStr">
        <is>
          <t>Q3FY26</t>
        </is>
      </c>
      <c r="F451" t="inlineStr">
        <is>
          <t>15-Jan-2026</t>
        </is>
      </c>
      <c r="G451" t="inlineStr">
        <is>
          <t>Thursday</t>
        </is>
      </c>
      <c r="H451" t="inlineStr">
        <is>
          <t>Weekly - Thursday</t>
        </is>
      </c>
      <c r="I451" t="inlineStr">
        <is>
          <t>Weekly - Thursday</t>
        </is>
      </c>
      <c r="J451" t="inlineStr">
        <is>
          <t>Month+1 Expiry</t>
        </is>
      </c>
      <c r="K451" s="25" t="n">
        <v>0</v>
      </c>
      <c r="L451" s="26" t="n">
        <v>0</v>
      </c>
      <c r="M451" s="26" t="n">
        <v>0</v>
      </c>
    </row>
    <row r="452" ht="16" customHeight="1">
      <c r="A452" t="inlineStr">
        <is>
          <t>15-Dec-2025</t>
        </is>
      </c>
      <c r="B452" t="inlineStr">
        <is>
          <t>Monday</t>
        </is>
      </c>
      <c r="C452" t="inlineStr">
        <is>
          <t>Week3-Dec-2025</t>
        </is>
      </c>
      <c r="D452" s="78" t="n">
        <v>45992</v>
      </c>
      <c r="E452" t="inlineStr">
        <is>
          <t>Q3FY26</t>
        </is>
      </c>
      <c r="F452" t="inlineStr">
        <is>
          <t>29-Jan-2026</t>
        </is>
      </c>
      <c r="G452" t="inlineStr">
        <is>
          <t>Thursday</t>
        </is>
      </c>
      <c r="H452" t="inlineStr">
        <is>
          <t>Monthly - Thursday</t>
        </is>
      </c>
      <c r="I452" t="inlineStr">
        <is>
          <t>Monthly - Thursday</t>
        </is>
      </c>
      <c r="J452" t="inlineStr">
        <is>
          <t>Month+1 Expiry</t>
        </is>
      </c>
      <c r="K452" s="25" t="n">
        <v>1008</v>
      </c>
      <c r="L452" s="26" t="n">
        <v>1.7407</v>
      </c>
      <c r="M452" s="26" t="n">
        <v>0.0171</v>
      </c>
    </row>
    <row r="453" ht="16" customHeight="1">
      <c r="A453" t="inlineStr">
        <is>
          <t>16-Dec-2025</t>
        </is>
      </c>
      <c r="B453" t="inlineStr">
        <is>
          <t>Tuesday</t>
        </is>
      </c>
      <c r="C453" t="inlineStr">
        <is>
          <t>Week3-Dec-2025</t>
        </is>
      </c>
      <c r="D453" s="78" t="n">
        <v>45992</v>
      </c>
      <c r="E453" t="inlineStr">
        <is>
          <t>Q3FY26</t>
        </is>
      </c>
      <c r="F453" t="inlineStr">
        <is>
          <t>18-Dec-2025</t>
        </is>
      </c>
      <c r="G453" t="inlineStr">
        <is>
          <t>Thursday</t>
        </is>
      </c>
      <c r="H453" t="inlineStr">
        <is>
          <t>Weekly - Thursday</t>
        </is>
      </c>
      <c r="I453" t="inlineStr">
        <is>
          <t>Weekly - Thursday</t>
        </is>
      </c>
      <c r="J453" t="inlineStr">
        <is>
          <t>Same Month Expiry</t>
        </is>
      </c>
      <c r="K453" s="25" t="n">
        <v>26962596</v>
      </c>
      <c r="L453" s="26" t="n">
        <v>45897.4779</v>
      </c>
      <c r="M453" s="26" t="n">
        <v>84.0213</v>
      </c>
    </row>
    <row r="454" ht="16" customHeight="1">
      <c r="A454" t="inlineStr">
        <is>
          <t>16-Dec-2025</t>
        </is>
      </c>
      <c r="B454" t="inlineStr">
        <is>
          <t>Tuesday</t>
        </is>
      </c>
      <c r="C454" t="inlineStr">
        <is>
          <t>Week3-Dec-2025</t>
        </is>
      </c>
      <c r="D454" s="78" t="n">
        <v>45992</v>
      </c>
      <c r="E454" t="inlineStr">
        <is>
          <t>Q3FY26</t>
        </is>
      </c>
      <c r="F454" t="inlineStr">
        <is>
          <t>24-Dec-2025</t>
        </is>
      </c>
      <c r="G454" t="inlineStr">
        <is>
          <t>Wednesday</t>
        </is>
      </c>
      <c r="H454" t="inlineStr">
        <is>
          <t>Weekly - Wednesday</t>
        </is>
      </c>
      <c r="I454" t="inlineStr">
        <is>
          <t>Weekly - Wednesday</t>
        </is>
      </c>
      <c r="J454" t="inlineStr">
        <is>
          <t>Same Month Expiry</t>
        </is>
      </c>
      <c r="K454" s="25" t="n">
        <v>401539</v>
      </c>
      <c r="L454" s="26" t="n">
        <v>685.7136</v>
      </c>
      <c r="M454" s="26" t="n">
        <v>1.9489</v>
      </c>
    </row>
    <row r="455" ht="16" customHeight="1">
      <c r="A455" t="inlineStr">
        <is>
          <t>16-Dec-2025</t>
        </is>
      </c>
      <c r="B455" t="inlineStr">
        <is>
          <t>Tuesday</t>
        </is>
      </c>
      <c r="C455" t="inlineStr">
        <is>
          <t>Week3-Dec-2025</t>
        </is>
      </c>
      <c r="D455" s="78" t="n">
        <v>45992</v>
      </c>
      <c r="E455" t="inlineStr">
        <is>
          <t>Q3FY26</t>
        </is>
      </c>
      <c r="F455" t="inlineStr">
        <is>
          <t>01-Jan-2026</t>
        </is>
      </c>
      <c r="G455" t="inlineStr">
        <is>
          <t>Thursday</t>
        </is>
      </c>
      <c r="H455" t="inlineStr">
        <is>
          <t>Weekly - Thursday</t>
        </is>
      </c>
      <c r="I455" t="inlineStr">
        <is>
          <t>Weekly - Thursday</t>
        </is>
      </c>
      <c r="J455" t="inlineStr">
        <is>
          <t>Month+1 Expiry</t>
        </is>
      </c>
      <c r="K455" s="25" t="n">
        <v>4009</v>
      </c>
      <c r="L455" s="26" t="n">
        <v>6.8934</v>
      </c>
      <c r="M455" s="26" t="n">
        <v>0.0352</v>
      </c>
    </row>
    <row r="456" ht="16" customHeight="1">
      <c r="A456" t="inlineStr">
        <is>
          <t>16-Dec-2025</t>
        </is>
      </c>
      <c r="B456" t="inlineStr">
        <is>
          <t>Tuesday</t>
        </is>
      </c>
      <c r="C456" t="inlineStr">
        <is>
          <t>Week3-Dec-2025</t>
        </is>
      </c>
      <c r="D456" s="78" t="n">
        <v>45992</v>
      </c>
      <c r="E456" t="inlineStr">
        <is>
          <t>Q3FY26</t>
        </is>
      </c>
      <c r="F456" t="inlineStr">
        <is>
          <t>08-Jan-2026</t>
        </is>
      </c>
      <c r="G456" t="inlineStr">
        <is>
          <t>Thursday</t>
        </is>
      </c>
      <c r="H456" t="inlineStr">
        <is>
          <t>Weekly - Thursday</t>
        </is>
      </c>
      <c r="I456" t="inlineStr">
        <is>
          <t>Weekly - Thursday</t>
        </is>
      </c>
      <c r="J456" t="inlineStr">
        <is>
          <t>Month+1 Expiry</t>
        </is>
      </c>
      <c r="K456" s="25" t="n">
        <v>63</v>
      </c>
      <c r="L456" s="26" t="n">
        <v>0.1082</v>
      </c>
      <c r="M456" s="26" t="n">
        <v>0.0009</v>
      </c>
    </row>
    <row r="457" ht="16" customHeight="1">
      <c r="A457" t="inlineStr">
        <is>
          <t>16-Dec-2025</t>
        </is>
      </c>
      <c r="B457" t="inlineStr">
        <is>
          <t>Tuesday</t>
        </is>
      </c>
      <c r="C457" t="inlineStr">
        <is>
          <t>Week3-Dec-2025</t>
        </is>
      </c>
      <c r="D457" s="78" t="n">
        <v>45992</v>
      </c>
      <c r="E457" t="inlineStr">
        <is>
          <t>Q3FY26</t>
        </is>
      </c>
      <c r="F457" t="inlineStr">
        <is>
          <t>15-Jan-2026</t>
        </is>
      </c>
      <c r="G457" t="inlineStr">
        <is>
          <t>Thursday</t>
        </is>
      </c>
      <c r="H457" t="inlineStr">
        <is>
          <t>Weekly - Thursday</t>
        </is>
      </c>
      <c r="I457" t="inlineStr">
        <is>
          <t>Weekly - Thursday</t>
        </is>
      </c>
      <c r="J457" t="inlineStr">
        <is>
          <t>Month+1 Expiry</t>
        </is>
      </c>
      <c r="K457" s="25" t="n">
        <v>0</v>
      </c>
      <c r="L457" s="26" t="n">
        <v>0</v>
      </c>
      <c r="M457" s="26" t="n">
        <v>0</v>
      </c>
    </row>
    <row r="458" ht="16" customHeight="1">
      <c r="A458" t="inlineStr">
        <is>
          <t>16-Dec-2025</t>
        </is>
      </c>
      <c r="B458" t="inlineStr">
        <is>
          <t>Tuesday</t>
        </is>
      </c>
      <c r="C458" t="inlineStr">
        <is>
          <t>Week3-Dec-2025</t>
        </is>
      </c>
      <c r="D458" s="78" t="n">
        <v>45992</v>
      </c>
      <c r="E458" t="inlineStr">
        <is>
          <t>Q3FY26</t>
        </is>
      </c>
      <c r="F458" t="inlineStr">
        <is>
          <t>29-Jan-2026</t>
        </is>
      </c>
      <c r="G458" t="inlineStr">
        <is>
          <t>Thursday</t>
        </is>
      </c>
      <c r="H458" t="inlineStr">
        <is>
          <t>Monthly - Thursday</t>
        </is>
      </c>
      <c r="I458" t="inlineStr">
        <is>
          <t>Monthly - Thursday</t>
        </is>
      </c>
      <c r="J458" t="inlineStr">
        <is>
          <t>Month+1 Expiry</t>
        </is>
      </c>
      <c r="K458" s="25" t="n">
        <v>1203</v>
      </c>
      <c r="L458" s="26" t="n">
        <v>2.067</v>
      </c>
      <c r="M458" s="26" t="n">
        <v>0.0188</v>
      </c>
    </row>
    <row r="459" ht="16" customHeight="1">
      <c r="A459" t="inlineStr">
        <is>
          <t>17-Dec-2025</t>
        </is>
      </c>
      <c r="B459" t="inlineStr">
        <is>
          <t>Wednesday</t>
        </is>
      </c>
      <c r="C459" t="inlineStr">
        <is>
          <t>Week3-Dec-2025</t>
        </is>
      </c>
      <c r="D459" s="78" t="n">
        <v>45992</v>
      </c>
      <c r="E459" t="inlineStr">
        <is>
          <t>Q3FY26</t>
        </is>
      </c>
      <c r="F459" t="inlineStr">
        <is>
          <t>18-Dec-2025</t>
        </is>
      </c>
      <c r="G459" t="inlineStr">
        <is>
          <t>Thursday</t>
        </is>
      </c>
      <c r="H459" t="inlineStr">
        <is>
          <t>Weekly - Thursday</t>
        </is>
      </c>
      <c r="I459" t="inlineStr">
        <is>
          <t>Weekly - Thursday</t>
        </is>
      </c>
      <c r="J459" t="inlineStr">
        <is>
          <t>Same Month Expiry</t>
        </is>
      </c>
      <c r="K459" s="25" t="n">
        <v>110609327</v>
      </c>
      <c r="L459" s="26" t="n">
        <v>187578.3692</v>
      </c>
      <c r="M459" s="26" t="n">
        <v>253.9785</v>
      </c>
    </row>
    <row r="460" ht="16" customHeight="1">
      <c r="A460" t="inlineStr">
        <is>
          <t>17-Dec-2025</t>
        </is>
      </c>
      <c r="B460" t="inlineStr">
        <is>
          <t>Wednesday</t>
        </is>
      </c>
      <c r="C460" t="inlineStr">
        <is>
          <t>Week3-Dec-2025</t>
        </is>
      </c>
      <c r="D460" s="78" t="n">
        <v>45992</v>
      </c>
      <c r="E460" t="inlineStr">
        <is>
          <t>Q3FY26</t>
        </is>
      </c>
      <c r="F460" t="inlineStr">
        <is>
          <t>24-Dec-2025</t>
        </is>
      </c>
      <c r="G460" t="inlineStr">
        <is>
          <t>Wednesday</t>
        </is>
      </c>
      <c r="H460" t="inlineStr">
        <is>
          <t>Weekly - Wednesday</t>
        </is>
      </c>
      <c r="I460" t="inlineStr">
        <is>
          <t>Weekly - Wednesday</t>
        </is>
      </c>
      <c r="J460" t="inlineStr">
        <is>
          <t>Same Month Expiry</t>
        </is>
      </c>
      <c r="K460" s="25" t="n">
        <v>757797</v>
      </c>
      <c r="L460" s="26" t="n">
        <v>1290.0999</v>
      </c>
      <c r="M460" s="26" t="n">
        <v>3.2923</v>
      </c>
    </row>
    <row r="461" ht="16" customHeight="1">
      <c r="A461" t="inlineStr">
        <is>
          <t>17-Dec-2025</t>
        </is>
      </c>
      <c r="B461" t="inlineStr">
        <is>
          <t>Wednesday</t>
        </is>
      </c>
      <c r="C461" t="inlineStr">
        <is>
          <t>Week3-Dec-2025</t>
        </is>
      </c>
      <c r="D461" s="78" t="n">
        <v>45992</v>
      </c>
      <c r="E461" t="inlineStr">
        <is>
          <t>Q3FY26</t>
        </is>
      </c>
      <c r="F461" t="inlineStr">
        <is>
          <t>01-Jan-2026</t>
        </is>
      </c>
      <c r="G461" t="inlineStr">
        <is>
          <t>Thursday</t>
        </is>
      </c>
      <c r="H461" t="inlineStr">
        <is>
          <t>Weekly - Thursday</t>
        </is>
      </c>
      <c r="I461" t="inlineStr">
        <is>
          <t>Weekly - Thursday</t>
        </is>
      </c>
      <c r="J461" t="inlineStr">
        <is>
          <t>Month+1 Expiry</t>
        </is>
      </c>
      <c r="K461" s="25" t="n">
        <v>7741</v>
      </c>
      <c r="L461" s="26" t="n">
        <v>13.2536</v>
      </c>
      <c r="M461" s="26" t="n">
        <v>0.0612</v>
      </c>
    </row>
    <row r="462" ht="16" customHeight="1">
      <c r="A462" t="inlineStr">
        <is>
          <t>17-Dec-2025</t>
        </is>
      </c>
      <c r="B462" t="inlineStr">
        <is>
          <t>Wednesday</t>
        </is>
      </c>
      <c r="C462" t="inlineStr">
        <is>
          <t>Week3-Dec-2025</t>
        </is>
      </c>
      <c r="D462" s="78" t="n">
        <v>45992</v>
      </c>
      <c r="E462" t="inlineStr">
        <is>
          <t>Q3FY26</t>
        </is>
      </c>
      <c r="F462" t="inlineStr">
        <is>
          <t>08-Jan-2026</t>
        </is>
      </c>
      <c r="G462" t="inlineStr">
        <is>
          <t>Thursday</t>
        </is>
      </c>
      <c r="H462" t="inlineStr">
        <is>
          <t>Weekly - Thursday</t>
        </is>
      </c>
      <c r="I462" t="inlineStr">
        <is>
          <t>Weekly - Thursday</t>
        </is>
      </c>
      <c r="J462" t="inlineStr">
        <is>
          <t>Month+1 Expiry</t>
        </is>
      </c>
      <c r="K462" s="25" t="n">
        <v>77</v>
      </c>
      <c r="L462" s="26" t="n">
        <v>0.126</v>
      </c>
      <c r="M462" s="26" t="n">
        <v>0.0005999999999999999</v>
      </c>
    </row>
    <row r="463" ht="16" customHeight="1">
      <c r="A463" t="inlineStr">
        <is>
          <t>17-Dec-2025</t>
        </is>
      </c>
      <c r="B463" t="inlineStr">
        <is>
          <t>Wednesday</t>
        </is>
      </c>
      <c r="C463" t="inlineStr">
        <is>
          <t>Week3-Dec-2025</t>
        </is>
      </c>
      <c r="D463" s="78" t="n">
        <v>45992</v>
      </c>
      <c r="E463" t="inlineStr">
        <is>
          <t>Q3FY26</t>
        </is>
      </c>
      <c r="F463" t="inlineStr">
        <is>
          <t>15-Jan-2026</t>
        </is>
      </c>
      <c r="G463" t="inlineStr">
        <is>
          <t>Thursday</t>
        </is>
      </c>
      <c r="H463" t="inlineStr">
        <is>
          <t>Weekly - Thursday</t>
        </is>
      </c>
      <c r="I463" t="inlineStr">
        <is>
          <t>Weekly - Thursday</t>
        </is>
      </c>
      <c r="J463" t="inlineStr">
        <is>
          <t>Month+1 Expiry</t>
        </is>
      </c>
      <c r="K463" s="25" t="n">
        <v>0</v>
      </c>
      <c r="L463" s="26" t="n">
        <v>0</v>
      </c>
      <c r="M463" s="26" t="n">
        <v>0</v>
      </c>
    </row>
    <row r="464" ht="16" customHeight="1">
      <c r="A464" t="inlineStr">
        <is>
          <t>17-Dec-2025</t>
        </is>
      </c>
      <c r="B464" t="inlineStr">
        <is>
          <t>Wednesday</t>
        </is>
      </c>
      <c r="C464" t="inlineStr">
        <is>
          <t>Week3-Dec-2025</t>
        </is>
      </c>
      <c r="D464" s="78" t="n">
        <v>45992</v>
      </c>
      <c r="E464" t="inlineStr">
        <is>
          <t>Q3FY26</t>
        </is>
      </c>
      <c r="F464" t="inlineStr">
        <is>
          <t>29-Jan-2026</t>
        </is>
      </c>
      <c r="G464" t="inlineStr">
        <is>
          <t>Thursday</t>
        </is>
      </c>
      <c r="H464" t="inlineStr">
        <is>
          <t>Monthly - Thursday</t>
        </is>
      </c>
      <c r="I464" t="inlineStr">
        <is>
          <t>Monthly - Thursday</t>
        </is>
      </c>
      <c r="J464" t="inlineStr">
        <is>
          <t>Month+1 Expiry</t>
        </is>
      </c>
      <c r="K464" s="25" t="n">
        <v>1485</v>
      </c>
      <c r="L464" s="26" t="n">
        <v>2.5577</v>
      </c>
      <c r="M464" s="26" t="n">
        <v>0.0245</v>
      </c>
    </row>
    <row r="465" ht="16" customHeight="1">
      <c r="A465" t="inlineStr">
        <is>
          <t>18-Dec-2025</t>
        </is>
      </c>
      <c r="B465" t="inlineStr">
        <is>
          <t>Thursday</t>
        </is>
      </c>
      <c r="C465" t="inlineStr">
        <is>
          <t>Week3-Dec-2025</t>
        </is>
      </c>
      <c r="D465" s="78" t="n">
        <v>45992</v>
      </c>
      <c r="E465" t="inlineStr">
        <is>
          <t>Q3FY26</t>
        </is>
      </c>
      <c r="F465" t="inlineStr">
        <is>
          <t>18-Dec-2025</t>
        </is>
      </c>
      <c r="G465" t="inlineStr">
        <is>
          <t>Thursday</t>
        </is>
      </c>
      <c r="H465" t="inlineStr">
        <is>
          <t>Weekly - Thursday</t>
        </is>
      </c>
      <c r="I465" t="inlineStr">
        <is>
          <t>Weekly - Thursday</t>
        </is>
      </c>
      <c r="J465" t="inlineStr">
        <is>
          <t>Same Month Expiry</t>
        </is>
      </c>
      <c r="K465" s="25" t="n">
        <v>435932021</v>
      </c>
      <c r="L465" s="26" t="n">
        <v>737603.6028</v>
      </c>
      <c r="M465" s="26" t="n">
        <v>436.377</v>
      </c>
    </row>
    <row r="466" ht="16" customHeight="1">
      <c r="A466" t="inlineStr">
        <is>
          <t>18-Dec-2025</t>
        </is>
      </c>
      <c r="B466" t="inlineStr">
        <is>
          <t>Thursday</t>
        </is>
      </c>
      <c r="C466" t="inlineStr">
        <is>
          <t>Week3-Dec-2025</t>
        </is>
      </c>
      <c r="D466" s="78" t="n">
        <v>45992</v>
      </c>
      <c r="E466" t="inlineStr">
        <is>
          <t>Q3FY26</t>
        </is>
      </c>
      <c r="F466" t="inlineStr">
        <is>
          <t>24-Dec-2025</t>
        </is>
      </c>
      <c r="G466" t="inlineStr">
        <is>
          <t>Wednesday</t>
        </is>
      </c>
      <c r="H466" t="inlineStr">
        <is>
          <t>Weekly - Wednesday</t>
        </is>
      </c>
      <c r="I466" t="inlineStr">
        <is>
          <t>Weekly - Wednesday</t>
        </is>
      </c>
      <c r="J466" t="inlineStr">
        <is>
          <t>Same Month Expiry</t>
        </is>
      </c>
      <c r="K466" s="25" t="n">
        <v>2417966</v>
      </c>
      <c r="L466" s="26" t="n">
        <v>4104.5093</v>
      </c>
      <c r="M466" s="26" t="n">
        <v>9.8979</v>
      </c>
    </row>
    <row r="467" ht="16" customHeight="1">
      <c r="A467" t="inlineStr">
        <is>
          <t>18-Dec-2025</t>
        </is>
      </c>
      <c r="B467" t="inlineStr">
        <is>
          <t>Thursday</t>
        </is>
      </c>
      <c r="C467" t="inlineStr">
        <is>
          <t>Week3-Dec-2025</t>
        </is>
      </c>
      <c r="D467" s="78" t="n">
        <v>45992</v>
      </c>
      <c r="E467" t="inlineStr">
        <is>
          <t>Q3FY26</t>
        </is>
      </c>
      <c r="F467" t="inlineStr">
        <is>
          <t>01-Jan-2026</t>
        </is>
      </c>
      <c r="G467" t="inlineStr">
        <is>
          <t>Thursday</t>
        </is>
      </c>
      <c r="H467" t="inlineStr">
        <is>
          <t>Weekly - Thursday</t>
        </is>
      </c>
      <c r="I467" t="inlineStr">
        <is>
          <t>Weekly - Thursday</t>
        </is>
      </c>
      <c r="J467" t="inlineStr">
        <is>
          <t>Month+1 Expiry</t>
        </is>
      </c>
      <c r="K467" s="25" t="n">
        <v>26048</v>
      </c>
      <c r="L467" s="26" t="n">
        <v>44.4557</v>
      </c>
      <c r="M467" s="26" t="n">
        <v>0.2134</v>
      </c>
    </row>
    <row r="468" ht="16" customHeight="1">
      <c r="A468" t="inlineStr">
        <is>
          <t>18-Dec-2025</t>
        </is>
      </c>
      <c r="B468" t="inlineStr">
        <is>
          <t>Thursday</t>
        </is>
      </c>
      <c r="C468" t="inlineStr">
        <is>
          <t>Week3-Dec-2025</t>
        </is>
      </c>
      <c r="D468" s="78" t="n">
        <v>45992</v>
      </c>
      <c r="E468" t="inlineStr">
        <is>
          <t>Q3FY26</t>
        </is>
      </c>
      <c r="F468" t="inlineStr">
        <is>
          <t>08-Jan-2026</t>
        </is>
      </c>
      <c r="G468" t="inlineStr">
        <is>
          <t>Thursday</t>
        </is>
      </c>
      <c r="H468" t="inlineStr">
        <is>
          <t>Weekly - Thursday</t>
        </is>
      </c>
      <c r="I468" t="inlineStr">
        <is>
          <t>Weekly - Thursday</t>
        </is>
      </c>
      <c r="J468" t="inlineStr">
        <is>
          <t>Month+1 Expiry</t>
        </is>
      </c>
      <c r="K468" s="25" t="n">
        <v>218</v>
      </c>
      <c r="L468" s="26" t="n">
        <v>0.3622</v>
      </c>
      <c r="M468" s="26" t="n">
        <v>0.0018</v>
      </c>
    </row>
    <row r="469" ht="16" customHeight="1">
      <c r="A469" t="inlineStr">
        <is>
          <t>18-Dec-2025</t>
        </is>
      </c>
      <c r="B469" t="inlineStr">
        <is>
          <t>Thursday</t>
        </is>
      </c>
      <c r="C469" t="inlineStr">
        <is>
          <t>Week3-Dec-2025</t>
        </is>
      </c>
      <c r="D469" s="78" t="n">
        <v>45992</v>
      </c>
      <c r="E469" t="inlineStr">
        <is>
          <t>Q3FY26</t>
        </is>
      </c>
      <c r="F469" t="inlineStr">
        <is>
          <t>15-Jan-2026</t>
        </is>
      </c>
      <c r="G469" t="inlineStr">
        <is>
          <t>Thursday</t>
        </is>
      </c>
      <c r="H469" t="inlineStr">
        <is>
          <t>Weekly - Thursday</t>
        </is>
      </c>
      <c r="I469" t="inlineStr">
        <is>
          <t>Weekly - Thursday</t>
        </is>
      </c>
      <c r="J469" t="inlineStr">
        <is>
          <t>Month+1 Expiry</t>
        </is>
      </c>
      <c r="K469" s="25" t="n">
        <v>0</v>
      </c>
      <c r="L469" s="26" t="n">
        <v>0</v>
      </c>
      <c r="M469" s="26" t="n">
        <v>0</v>
      </c>
    </row>
    <row r="470" ht="16" customHeight="1">
      <c r="A470" t="inlineStr">
        <is>
          <t>18-Dec-2025</t>
        </is>
      </c>
      <c r="B470" t="inlineStr">
        <is>
          <t>Thursday</t>
        </is>
      </c>
      <c r="C470" t="inlineStr">
        <is>
          <t>Week3-Dec-2025</t>
        </is>
      </c>
      <c r="D470" s="78" t="n">
        <v>45992</v>
      </c>
      <c r="E470" t="inlineStr">
        <is>
          <t>Q3FY26</t>
        </is>
      </c>
      <c r="F470" t="inlineStr">
        <is>
          <t>29-Jan-2026</t>
        </is>
      </c>
      <c r="G470" t="inlineStr">
        <is>
          <t>Thursday</t>
        </is>
      </c>
      <c r="H470" t="inlineStr">
        <is>
          <t>Monthly - Thursday</t>
        </is>
      </c>
      <c r="I470" t="inlineStr">
        <is>
          <t>Monthly - Thursday</t>
        </is>
      </c>
      <c r="J470" t="inlineStr">
        <is>
          <t>Month+1 Expiry</t>
        </is>
      </c>
      <c r="K470" s="25" t="n">
        <v>2677</v>
      </c>
      <c r="L470" s="26" t="n">
        <v>4.6053</v>
      </c>
      <c r="M470" s="26" t="n">
        <v>0.0388</v>
      </c>
    </row>
    <row r="471" ht="16" customHeight="1">
      <c r="A471" t="inlineStr">
        <is>
          <t>19-Dec-2025</t>
        </is>
      </c>
      <c r="B471" t="inlineStr">
        <is>
          <t>Friday</t>
        </is>
      </c>
      <c r="C471" t="inlineStr">
        <is>
          <t>Week3-Dec-2025</t>
        </is>
      </c>
      <c r="D471" s="78" t="n">
        <v>45992</v>
      </c>
      <c r="E471" t="inlineStr">
        <is>
          <t>Q3FY26</t>
        </is>
      </c>
      <c r="F471" t="inlineStr">
        <is>
          <t>24-Dec-2025</t>
        </is>
      </c>
      <c r="G471" t="inlineStr">
        <is>
          <t>Wednesday</t>
        </is>
      </c>
      <c r="H471" t="inlineStr">
        <is>
          <t>Weekly - Wednesday</t>
        </is>
      </c>
      <c r="I471" t="inlineStr">
        <is>
          <t>Weekly - Wednesday</t>
        </is>
      </c>
      <c r="J471" t="inlineStr">
        <is>
          <t>Same Month Expiry</t>
        </is>
      </c>
      <c r="K471" s="25" t="n">
        <v>21271593</v>
      </c>
      <c r="L471" s="26" t="n">
        <v>36224.5951</v>
      </c>
      <c r="M471" s="26" t="n">
        <v>86.3913</v>
      </c>
    </row>
    <row r="472" ht="16" customHeight="1">
      <c r="A472" t="inlineStr">
        <is>
          <t>19-Dec-2025</t>
        </is>
      </c>
      <c r="B472" t="inlineStr">
        <is>
          <t>Friday</t>
        </is>
      </c>
      <c r="C472" t="inlineStr">
        <is>
          <t>Week3-Dec-2025</t>
        </is>
      </c>
      <c r="D472" s="78" t="n">
        <v>45992</v>
      </c>
      <c r="E472" t="inlineStr">
        <is>
          <t>Q3FY26</t>
        </is>
      </c>
      <c r="F472" t="inlineStr">
        <is>
          <t>01-Jan-2026</t>
        </is>
      </c>
      <c r="G472" t="inlineStr">
        <is>
          <t>Thursday</t>
        </is>
      </c>
      <c r="H472" t="inlineStr">
        <is>
          <t>Weekly - Thursday</t>
        </is>
      </c>
      <c r="I472" t="inlineStr">
        <is>
          <t>Weekly - Thursday</t>
        </is>
      </c>
      <c r="J472" t="inlineStr">
        <is>
          <t>Month+1 Expiry</t>
        </is>
      </c>
      <c r="K472" s="25" t="n">
        <v>78550</v>
      </c>
      <c r="L472" s="26" t="n">
        <v>134.3896</v>
      </c>
      <c r="M472" s="26" t="n">
        <v>0.5748</v>
      </c>
    </row>
    <row r="473" ht="16" customHeight="1">
      <c r="A473" t="inlineStr">
        <is>
          <t>19-Dec-2025</t>
        </is>
      </c>
      <c r="B473" t="inlineStr">
        <is>
          <t>Friday</t>
        </is>
      </c>
      <c r="C473" t="inlineStr">
        <is>
          <t>Week3-Dec-2025</t>
        </is>
      </c>
      <c r="D473" s="78" t="n">
        <v>45992</v>
      </c>
      <c r="E473" t="inlineStr">
        <is>
          <t>Q3FY26</t>
        </is>
      </c>
      <c r="F473" t="inlineStr">
        <is>
          <t>08-Jan-2026</t>
        </is>
      </c>
      <c r="G473" t="inlineStr">
        <is>
          <t>Thursday</t>
        </is>
      </c>
      <c r="H473" t="inlineStr">
        <is>
          <t>Weekly - Thursday</t>
        </is>
      </c>
      <c r="I473" t="inlineStr">
        <is>
          <t>Weekly - Thursday</t>
        </is>
      </c>
      <c r="J473" t="inlineStr">
        <is>
          <t>Month+1 Expiry</t>
        </is>
      </c>
      <c r="K473" s="25" t="n">
        <v>1392</v>
      </c>
      <c r="L473" s="26" t="n">
        <v>2.3635</v>
      </c>
      <c r="M473" s="26" t="n">
        <v>0.012</v>
      </c>
    </row>
    <row r="474" ht="16" customHeight="1">
      <c r="A474" t="inlineStr">
        <is>
          <t>19-Dec-2025</t>
        </is>
      </c>
      <c r="B474" t="inlineStr">
        <is>
          <t>Friday</t>
        </is>
      </c>
      <c r="C474" t="inlineStr">
        <is>
          <t>Week3-Dec-2025</t>
        </is>
      </c>
      <c r="D474" s="78" t="n">
        <v>45992</v>
      </c>
      <c r="E474" t="inlineStr">
        <is>
          <t>Q3FY26</t>
        </is>
      </c>
      <c r="F474" t="inlineStr">
        <is>
          <t>15-Jan-2026</t>
        </is>
      </c>
      <c r="G474" t="inlineStr">
        <is>
          <t>Thursday</t>
        </is>
      </c>
      <c r="H474" t="inlineStr">
        <is>
          <t>Weekly - Thursday</t>
        </is>
      </c>
      <c r="I474" t="inlineStr">
        <is>
          <t>Weekly - Thursday</t>
        </is>
      </c>
      <c r="J474" t="inlineStr">
        <is>
          <t>Month+1 Expiry</t>
        </is>
      </c>
      <c r="K474" s="25" t="n">
        <v>32</v>
      </c>
      <c r="L474" s="26" t="n">
        <v>0.0549</v>
      </c>
      <c r="M474" s="26" t="n">
        <v>0.0005</v>
      </c>
    </row>
    <row r="475" ht="16" customHeight="1">
      <c r="A475" t="inlineStr">
        <is>
          <t>19-Dec-2025</t>
        </is>
      </c>
      <c r="B475" t="inlineStr">
        <is>
          <t>Friday</t>
        </is>
      </c>
      <c r="C475" t="inlineStr">
        <is>
          <t>Week3-Dec-2025</t>
        </is>
      </c>
      <c r="D475" s="78" t="n">
        <v>45992</v>
      </c>
      <c r="E475" t="inlineStr">
        <is>
          <t>Q3FY26</t>
        </is>
      </c>
      <c r="F475" t="inlineStr">
        <is>
          <t>29-Jan-2026</t>
        </is>
      </c>
      <c r="G475" t="inlineStr">
        <is>
          <t>Thursday</t>
        </is>
      </c>
      <c r="H475" t="inlineStr">
        <is>
          <t>Monthly - Thursday</t>
        </is>
      </c>
      <c r="I475" t="inlineStr">
        <is>
          <t>Monthly - Thursday</t>
        </is>
      </c>
      <c r="J475" t="inlineStr">
        <is>
          <t>Month+1 Expiry</t>
        </is>
      </c>
      <c r="K475" s="25" t="n">
        <v>3793</v>
      </c>
      <c r="L475" s="26" t="n">
        <v>6.5398</v>
      </c>
      <c r="M475" s="26" t="n">
        <v>0.0502</v>
      </c>
    </row>
    <row r="476" ht="16" customHeight="1">
      <c r="A476" t="inlineStr">
        <is>
          <t>22-Dec-2025</t>
        </is>
      </c>
      <c r="B476" t="inlineStr">
        <is>
          <t>Monday</t>
        </is>
      </c>
      <c r="C476" t="inlineStr">
        <is>
          <t>Week4-Dec-2025</t>
        </is>
      </c>
      <c r="D476" s="78" t="n">
        <v>45992</v>
      </c>
      <c r="E476" t="inlineStr">
        <is>
          <t>Q3FY26</t>
        </is>
      </c>
      <c r="F476" t="inlineStr">
        <is>
          <t>24-Dec-2025</t>
        </is>
      </c>
      <c r="G476" t="inlineStr">
        <is>
          <t>Wednesday</t>
        </is>
      </c>
      <c r="H476" t="inlineStr">
        <is>
          <t>Weekly - Wednesday</t>
        </is>
      </c>
      <c r="I476" t="inlineStr">
        <is>
          <t>Weekly - Wednesday</t>
        </is>
      </c>
      <c r="J476" t="inlineStr">
        <is>
          <t>Same Month Expiry</t>
        </is>
      </c>
      <c r="K476" s="25" t="n">
        <v>21431230</v>
      </c>
      <c r="L476" s="26" t="n">
        <v>36608.6251</v>
      </c>
      <c r="M476" s="26" t="n">
        <v>67.9389</v>
      </c>
    </row>
    <row r="477" ht="16" customHeight="1">
      <c r="A477" t="inlineStr">
        <is>
          <t>22-Dec-2025</t>
        </is>
      </c>
      <c r="B477" t="inlineStr">
        <is>
          <t>Monday</t>
        </is>
      </c>
      <c r="C477" t="inlineStr">
        <is>
          <t>Week4-Dec-2025</t>
        </is>
      </c>
      <c r="D477" s="78" t="n">
        <v>45992</v>
      </c>
      <c r="E477" t="inlineStr">
        <is>
          <t>Q3FY26</t>
        </is>
      </c>
      <c r="F477" t="inlineStr">
        <is>
          <t>01-Jan-2026</t>
        </is>
      </c>
      <c r="G477" t="inlineStr">
        <is>
          <t>Thursday</t>
        </is>
      </c>
      <c r="H477" t="inlineStr">
        <is>
          <t>Weekly - Thursday</t>
        </is>
      </c>
      <c r="I477" t="inlineStr">
        <is>
          <t>Weekly - Thursday</t>
        </is>
      </c>
      <c r="J477" t="inlineStr">
        <is>
          <t>Month+1 Expiry</t>
        </is>
      </c>
      <c r="K477" s="25" t="n">
        <v>159748</v>
      </c>
      <c r="L477" s="26" t="n">
        <v>273.6917</v>
      </c>
      <c r="M477" s="26" t="n">
        <v>0.9218</v>
      </c>
    </row>
    <row r="478" ht="16" customHeight="1">
      <c r="A478" t="inlineStr">
        <is>
          <t>22-Dec-2025</t>
        </is>
      </c>
      <c r="B478" t="inlineStr">
        <is>
          <t>Monday</t>
        </is>
      </c>
      <c r="C478" t="inlineStr">
        <is>
          <t>Week4-Dec-2025</t>
        </is>
      </c>
      <c r="D478" s="78" t="n">
        <v>45992</v>
      </c>
      <c r="E478" t="inlineStr">
        <is>
          <t>Q3FY26</t>
        </is>
      </c>
      <c r="F478" t="inlineStr">
        <is>
          <t>08-Jan-2026</t>
        </is>
      </c>
      <c r="G478" t="inlineStr">
        <is>
          <t>Thursday</t>
        </is>
      </c>
      <c r="H478" t="inlineStr">
        <is>
          <t>Weekly - Thursday</t>
        </is>
      </c>
      <c r="I478" t="inlineStr">
        <is>
          <t>Weekly - Thursday</t>
        </is>
      </c>
      <c r="J478" t="inlineStr">
        <is>
          <t>Month+1 Expiry</t>
        </is>
      </c>
      <c r="K478" s="25" t="n">
        <v>2582</v>
      </c>
      <c r="L478" s="26" t="n">
        <v>4.4373</v>
      </c>
      <c r="M478" s="26" t="n">
        <v>0.0242</v>
      </c>
    </row>
    <row r="479" ht="16" customHeight="1">
      <c r="A479" t="inlineStr">
        <is>
          <t>22-Dec-2025</t>
        </is>
      </c>
      <c r="B479" t="inlineStr">
        <is>
          <t>Monday</t>
        </is>
      </c>
      <c r="C479" t="inlineStr">
        <is>
          <t>Week4-Dec-2025</t>
        </is>
      </c>
      <c r="D479" s="78" t="n">
        <v>45992</v>
      </c>
      <c r="E479" t="inlineStr">
        <is>
          <t>Q3FY26</t>
        </is>
      </c>
      <c r="F479" t="inlineStr">
        <is>
          <t>15-Jan-2026</t>
        </is>
      </c>
      <c r="G479" t="inlineStr">
        <is>
          <t>Thursday</t>
        </is>
      </c>
      <c r="H479" t="inlineStr">
        <is>
          <t>Weekly - Thursday</t>
        </is>
      </c>
      <c r="I479" t="inlineStr">
        <is>
          <t>Weekly - Thursday</t>
        </is>
      </c>
      <c r="J479" t="inlineStr">
        <is>
          <t>Month+1 Expiry</t>
        </is>
      </c>
      <c r="K479" s="25" t="n">
        <v>19</v>
      </c>
      <c r="L479" s="26" t="n">
        <v>0.0328</v>
      </c>
      <c r="M479" s="26" t="n">
        <v>0.0003</v>
      </c>
    </row>
    <row r="480" ht="16" customHeight="1">
      <c r="A480" t="inlineStr">
        <is>
          <t>22-Dec-2025</t>
        </is>
      </c>
      <c r="B480" t="inlineStr">
        <is>
          <t>Monday</t>
        </is>
      </c>
      <c r="C480" t="inlineStr">
        <is>
          <t>Week4-Dec-2025</t>
        </is>
      </c>
      <c r="D480" s="78" t="n">
        <v>45992</v>
      </c>
      <c r="E480" t="inlineStr">
        <is>
          <t>Q3FY26</t>
        </is>
      </c>
      <c r="F480" t="inlineStr">
        <is>
          <t>29-Jan-2026</t>
        </is>
      </c>
      <c r="G480" t="inlineStr">
        <is>
          <t>Thursday</t>
        </is>
      </c>
      <c r="H480" t="inlineStr">
        <is>
          <t>Monthly - Thursday</t>
        </is>
      </c>
      <c r="I480" t="inlineStr">
        <is>
          <t>Monthly - Thursday</t>
        </is>
      </c>
      <c r="J480" t="inlineStr">
        <is>
          <t>Month+1 Expiry</t>
        </is>
      </c>
      <c r="K480" s="25" t="n">
        <v>2969</v>
      </c>
      <c r="L480" s="26" t="n">
        <v>5.1414</v>
      </c>
      <c r="M480" s="26" t="n">
        <v>0.0421</v>
      </c>
    </row>
    <row r="481" ht="16" customHeight="1">
      <c r="A481" t="inlineStr">
        <is>
          <t>23-Dec-2025</t>
        </is>
      </c>
      <c r="B481" t="inlineStr">
        <is>
          <t>Tuesday</t>
        </is>
      </c>
      <c r="C481" t="inlineStr">
        <is>
          <t>Week4-Dec-2025</t>
        </is>
      </c>
      <c r="D481" s="78" t="n">
        <v>45992</v>
      </c>
      <c r="E481" t="inlineStr">
        <is>
          <t>Q3FY26</t>
        </is>
      </c>
      <c r="F481" t="inlineStr">
        <is>
          <t>24-Dec-2025</t>
        </is>
      </c>
      <c r="G481" t="inlineStr">
        <is>
          <t>Wednesday</t>
        </is>
      </c>
      <c r="H481" t="inlineStr">
        <is>
          <t>Weekly - Wednesday</t>
        </is>
      </c>
      <c r="I481" t="inlineStr">
        <is>
          <t>Weekly - Wednesday</t>
        </is>
      </c>
      <c r="J481" t="inlineStr">
        <is>
          <t>Same Month Expiry</t>
        </is>
      </c>
      <c r="K481" s="25" t="n">
        <v>35736628</v>
      </c>
      <c r="L481" s="26" t="n">
        <v>61133.6637</v>
      </c>
      <c r="M481" s="26" t="n">
        <v>79.23309999999999</v>
      </c>
    </row>
    <row r="482" ht="16" customHeight="1">
      <c r="A482" t="inlineStr">
        <is>
          <t>23-Dec-2025</t>
        </is>
      </c>
      <c r="B482" t="inlineStr">
        <is>
          <t>Tuesday</t>
        </is>
      </c>
      <c r="C482" t="inlineStr">
        <is>
          <t>Week4-Dec-2025</t>
        </is>
      </c>
      <c r="D482" s="78" t="n">
        <v>45992</v>
      </c>
      <c r="E482" t="inlineStr">
        <is>
          <t>Q3FY26</t>
        </is>
      </c>
      <c r="F482" t="inlineStr">
        <is>
          <t>01-Jan-2026</t>
        </is>
      </c>
      <c r="G482" t="inlineStr">
        <is>
          <t>Thursday</t>
        </is>
      </c>
      <c r="H482" t="inlineStr">
        <is>
          <t>Weekly - Thursday</t>
        </is>
      </c>
      <c r="I482" t="inlineStr">
        <is>
          <t>Weekly - Thursday</t>
        </is>
      </c>
      <c r="J482" t="inlineStr">
        <is>
          <t>Month+1 Expiry</t>
        </is>
      </c>
      <c r="K482" s="25" t="n">
        <v>424229</v>
      </c>
      <c r="L482" s="26" t="n">
        <v>727.2117</v>
      </c>
      <c r="M482" s="26" t="n">
        <v>2.1644</v>
      </c>
    </row>
    <row r="483" ht="16" customHeight="1">
      <c r="A483" t="inlineStr">
        <is>
          <t>23-Dec-2025</t>
        </is>
      </c>
      <c r="B483" t="inlineStr">
        <is>
          <t>Tuesday</t>
        </is>
      </c>
      <c r="C483" t="inlineStr">
        <is>
          <t>Week4-Dec-2025</t>
        </is>
      </c>
      <c r="D483" s="78" t="n">
        <v>45992</v>
      </c>
      <c r="E483" t="inlineStr">
        <is>
          <t>Q3FY26</t>
        </is>
      </c>
      <c r="F483" t="inlineStr">
        <is>
          <t>08-Jan-2026</t>
        </is>
      </c>
      <c r="G483" t="inlineStr">
        <is>
          <t>Thursday</t>
        </is>
      </c>
      <c r="H483" t="inlineStr">
        <is>
          <t>Weekly - Thursday</t>
        </is>
      </c>
      <c r="I483" t="inlineStr">
        <is>
          <t>Weekly - Thursday</t>
        </is>
      </c>
      <c r="J483" t="inlineStr">
        <is>
          <t>Month+1 Expiry</t>
        </is>
      </c>
      <c r="K483" s="25" t="n">
        <v>4106</v>
      </c>
      <c r="L483" s="26" t="n">
        <v>7.0764</v>
      </c>
      <c r="M483" s="26" t="n">
        <v>0.0393</v>
      </c>
    </row>
    <row r="484" ht="16" customHeight="1">
      <c r="A484" t="inlineStr">
        <is>
          <t>23-Dec-2025</t>
        </is>
      </c>
      <c r="B484" t="inlineStr">
        <is>
          <t>Tuesday</t>
        </is>
      </c>
      <c r="C484" t="inlineStr">
        <is>
          <t>Week4-Dec-2025</t>
        </is>
      </c>
      <c r="D484" s="78" t="n">
        <v>45992</v>
      </c>
      <c r="E484" t="inlineStr">
        <is>
          <t>Q3FY26</t>
        </is>
      </c>
      <c r="F484" t="inlineStr">
        <is>
          <t>15-Jan-2026</t>
        </is>
      </c>
      <c r="G484" t="inlineStr">
        <is>
          <t>Thursday</t>
        </is>
      </c>
      <c r="H484" t="inlineStr">
        <is>
          <t>Weekly - Thursday</t>
        </is>
      </c>
      <c r="I484" t="inlineStr">
        <is>
          <t>Weekly - Thursday</t>
        </is>
      </c>
      <c r="J484" t="inlineStr">
        <is>
          <t>Month+1 Expiry</t>
        </is>
      </c>
      <c r="K484" s="25" t="n">
        <v>37</v>
      </c>
      <c r="L484" s="26" t="n">
        <v>0.0644</v>
      </c>
      <c r="M484" s="26" t="n">
        <v>0.0005999999999999999</v>
      </c>
    </row>
    <row r="485" ht="16" customHeight="1">
      <c r="A485" t="inlineStr">
        <is>
          <t>23-Dec-2025</t>
        </is>
      </c>
      <c r="B485" t="inlineStr">
        <is>
          <t>Tuesday</t>
        </is>
      </c>
      <c r="C485" t="inlineStr">
        <is>
          <t>Week4-Dec-2025</t>
        </is>
      </c>
      <c r="D485" s="78" t="n">
        <v>45992</v>
      </c>
      <c r="E485" t="inlineStr">
        <is>
          <t>Q3FY26</t>
        </is>
      </c>
      <c r="F485" t="inlineStr">
        <is>
          <t>29-Jan-2026</t>
        </is>
      </c>
      <c r="G485" t="inlineStr">
        <is>
          <t>Thursday</t>
        </is>
      </c>
      <c r="H485" t="inlineStr">
        <is>
          <t>Monthly - Thursday</t>
        </is>
      </c>
      <c r="I485" t="inlineStr">
        <is>
          <t>Monthly - Thursday</t>
        </is>
      </c>
      <c r="J485" t="inlineStr">
        <is>
          <t>Month+1 Expiry</t>
        </is>
      </c>
      <c r="K485" s="25" t="n">
        <v>3514</v>
      </c>
      <c r="L485" s="26" t="n">
        <v>6.0632</v>
      </c>
      <c r="M485" s="26" t="n">
        <v>0.0504</v>
      </c>
    </row>
    <row r="486" ht="16" customHeight="1">
      <c r="A486" t="inlineStr">
        <is>
          <t>24-Dec-2025</t>
        </is>
      </c>
      <c r="B486" t="inlineStr">
        <is>
          <t>Wednesday</t>
        </is>
      </c>
      <c r="C486" t="inlineStr">
        <is>
          <t>Week4-Dec-2025</t>
        </is>
      </c>
      <c r="D486" s="78" t="n">
        <v>45992</v>
      </c>
      <c r="E486" t="inlineStr">
        <is>
          <t>Q3FY26</t>
        </is>
      </c>
      <c r="F486" t="inlineStr">
        <is>
          <t>24-Dec-2025</t>
        </is>
      </c>
      <c r="G486" t="inlineStr">
        <is>
          <t>Wednesday</t>
        </is>
      </c>
      <c r="H486" t="inlineStr">
        <is>
          <t>Weekly - Wednesday</t>
        </is>
      </c>
      <c r="I486" t="inlineStr">
        <is>
          <t>Weekly - Wednesday</t>
        </is>
      </c>
      <c r="J486" t="inlineStr">
        <is>
          <t>Same Month Expiry</t>
        </is>
      </c>
      <c r="K486" s="25" t="n">
        <v>348719565</v>
      </c>
      <c r="L486" s="26" t="n">
        <v>596421.0777</v>
      </c>
      <c r="M486" s="26" t="n">
        <v>312.8897</v>
      </c>
    </row>
    <row r="487" ht="16" customHeight="1">
      <c r="A487" t="inlineStr">
        <is>
          <t>24-Dec-2025</t>
        </is>
      </c>
      <c r="B487" t="inlineStr">
        <is>
          <t>Wednesday</t>
        </is>
      </c>
      <c r="C487" t="inlineStr">
        <is>
          <t>Week4-Dec-2025</t>
        </is>
      </c>
      <c r="D487" s="78" t="n">
        <v>45992</v>
      </c>
      <c r="E487" t="inlineStr">
        <is>
          <t>Q3FY26</t>
        </is>
      </c>
      <c r="F487" t="inlineStr">
        <is>
          <t>01-Jan-2026</t>
        </is>
      </c>
      <c r="G487" t="inlineStr">
        <is>
          <t>Thursday</t>
        </is>
      </c>
      <c r="H487" t="inlineStr">
        <is>
          <t>Weekly - Thursday</t>
        </is>
      </c>
      <c r="I487" t="inlineStr">
        <is>
          <t>Weekly - Thursday</t>
        </is>
      </c>
      <c r="J487" t="inlineStr">
        <is>
          <t>Month+1 Expiry</t>
        </is>
      </c>
      <c r="K487" s="25" t="n">
        <v>1622301</v>
      </c>
      <c r="L487" s="26" t="n">
        <v>2784.3486</v>
      </c>
      <c r="M487" s="26" t="n">
        <v>6.4371</v>
      </c>
    </row>
    <row r="488" ht="16" customHeight="1">
      <c r="A488" t="inlineStr">
        <is>
          <t>24-Dec-2025</t>
        </is>
      </c>
      <c r="B488" t="inlineStr">
        <is>
          <t>Wednesday</t>
        </is>
      </c>
      <c r="C488" t="inlineStr">
        <is>
          <t>Week4-Dec-2025</t>
        </is>
      </c>
      <c r="D488" s="78" t="n">
        <v>45992</v>
      </c>
      <c r="E488" t="inlineStr">
        <is>
          <t>Q3FY26</t>
        </is>
      </c>
      <c r="F488" t="inlineStr">
        <is>
          <t>08-Jan-2026</t>
        </is>
      </c>
      <c r="G488" t="inlineStr">
        <is>
          <t>Thursday</t>
        </is>
      </c>
      <c r="H488" t="inlineStr">
        <is>
          <t>Weekly - Thursday</t>
        </is>
      </c>
      <c r="I488" t="inlineStr">
        <is>
          <t>Weekly - Thursday</t>
        </is>
      </c>
      <c r="J488" t="inlineStr">
        <is>
          <t>Month+1 Expiry</t>
        </is>
      </c>
      <c r="K488" s="25" t="n">
        <v>12217</v>
      </c>
      <c r="L488" s="26" t="n">
        <v>21.0109</v>
      </c>
      <c r="M488" s="26" t="n">
        <v>0.08690000000000001</v>
      </c>
    </row>
    <row r="489" ht="16" customHeight="1">
      <c r="A489" t="inlineStr">
        <is>
          <t>24-Dec-2025</t>
        </is>
      </c>
      <c r="B489" t="inlineStr">
        <is>
          <t>Wednesday</t>
        </is>
      </c>
      <c r="C489" t="inlineStr">
        <is>
          <t>Week4-Dec-2025</t>
        </is>
      </c>
      <c r="D489" s="78" t="n">
        <v>45992</v>
      </c>
      <c r="E489" t="inlineStr">
        <is>
          <t>Q3FY26</t>
        </is>
      </c>
      <c r="F489" t="inlineStr">
        <is>
          <t>15-Jan-2026</t>
        </is>
      </c>
      <c r="G489" t="inlineStr">
        <is>
          <t>Thursday</t>
        </is>
      </c>
      <c r="H489" t="inlineStr">
        <is>
          <t>Weekly - Thursday</t>
        </is>
      </c>
      <c r="I489" t="inlineStr">
        <is>
          <t>Weekly - Thursday</t>
        </is>
      </c>
      <c r="J489" t="inlineStr">
        <is>
          <t>Month+1 Expiry</t>
        </is>
      </c>
      <c r="K489" s="25" t="n">
        <v>42</v>
      </c>
      <c r="L489" s="26" t="n">
        <v>0.0726</v>
      </c>
      <c r="M489" s="26" t="n">
        <v>0.0005</v>
      </c>
    </row>
    <row r="490" ht="16" customHeight="1">
      <c r="A490" t="inlineStr">
        <is>
          <t>24-Dec-2025</t>
        </is>
      </c>
      <c r="B490" t="inlineStr">
        <is>
          <t>Wednesday</t>
        </is>
      </c>
      <c r="C490" t="inlineStr">
        <is>
          <t>Week4-Dec-2025</t>
        </is>
      </c>
      <c r="D490" s="78" t="n">
        <v>45992</v>
      </c>
      <c r="E490" t="inlineStr">
        <is>
          <t>Q3FY26</t>
        </is>
      </c>
      <c r="F490" t="inlineStr">
        <is>
          <t>29-Jan-2026</t>
        </is>
      </c>
      <c r="G490" t="inlineStr">
        <is>
          <t>Thursday</t>
        </is>
      </c>
      <c r="H490" t="inlineStr">
        <is>
          <t>Monthly - Thursday</t>
        </is>
      </c>
      <c r="I490" t="inlineStr">
        <is>
          <t>Monthly - Thursday</t>
        </is>
      </c>
      <c r="J490" t="inlineStr">
        <is>
          <t>Month+1 Expiry</t>
        </is>
      </c>
      <c r="K490" s="25" t="n">
        <v>4453</v>
      </c>
      <c r="L490" s="26" t="n">
        <v>7.6891</v>
      </c>
      <c r="M490" s="26" t="n">
        <v>0.0551</v>
      </c>
    </row>
    <row r="491" ht="16" customHeight="1">
      <c r="A491" t="inlineStr">
        <is>
          <t>26-Dec-2025</t>
        </is>
      </c>
      <c r="B491" t="inlineStr">
        <is>
          <t>Friday</t>
        </is>
      </c>
      <c r="C491" t="inlineStr">
        <is>
          <t>Week4-Dec-2025</t>
        </is>
      </c>
      <c r="D491" s="78" t="n">
        <v>45992</v>
      </c>
      <c r="E491" t="inlineStr">
        <is>
          <t>Q3FY26</t>
        </is>
      </c>
      <c r="F491" t="inlineStr">
        <is>
          <t>01-Jan-2026</t>
        </is>
      </c>
      <c r="G491" t="inlineStr">
        <is>
          <t>Thursday</t>
        </is>
      </c>
      <c r="H491" t="inlineStr">
        <is>
          <t>Weekly - Thursday</t>
        </is>
      </c>
      <c r="I491" t="inlineStr">
        <is>
          <t>Weekly - Thursday</t>
        </is>
      </c>
      <c r="J491" t="inlineStr">
        <is>
          <t>Month+1 Expiry</t>
        </is>
      </c>
      <c r="K491" s="25" t="n">
        <v>15658607</v>
      </c>
      <c r="L491" s="26" t="n">
        <v>26776.0488</v>
      </c>
      <c r="M491" s="26" t="n">
        <v>56.7462</v>
      </c>
    </row>
    <row r="492" ht="16" customHeight="1">
      <c r="A492" t="inlineStr">
        <is>
          <t>26-Dec-2025</t>
        </is>
      </c>
      <c r="B492" t="inlineStr">
        <is>
          <t>Friday</t>
        </is>
      </c>
      <c r="C492" t="inlineStr">
        <is>
          <t>Week4-Dec-2025</t>
        </is>
      </c>
      <c r="D492" s="78" t="n">
        <v>45992</v>
      </c>
      <c r="E492" t="inlineStr">
        <is>
          <t>Q3FY26</t>
        </is>
      </c>
      <c r="F492" t="inlineStr">
        <is>
          <t>08-Jan-2026</t>
        </is>
      </c>
      <c r="G492" t="inlineStr">
        <is>
          <t>Thursday</t>
        </is>
      </c>
      <c r="H492" t="inlineStr">
        <is>
          <t>Weekly - Thursday</t>
        </is>
      </c>
      <c r="I492" t="inlineStr">
        <is>
          <t>Weekly - Thursday</t>
        </is>
      </c>
      <c r="J492" t="inlineStr">
        <is>
          <t>Month+1 Expiry</t>
        </is>
      </c>
      <c r="K492" s="25" t="n">
        <v>52518</v>
      </c>
      <c r="L492" s="26" t="n">
        <v>90.0939</v>
      </c>
      <c r="M492" s="26" t="n">
        <v>0.3376</v>
      </c>
    </row>
    <row r="493" ht="16" customHeight="1">
      <c r="A493" t="inlineStr">
        <is>
          <t>26-Dec-2025</t>
        </is>
      </c>
      <c r="B493" t="inlineStr">
        <is>
          <t>Friday</t>
        </is>
      </c>
      <c r="C493" t="inlineStr">
        <is>
          <t>Week4-Dec-2025</t>
        </is>
      </c>
      <c r="D493" s="78" t="n">
        <v>45992</v>
      </c>
      <c r="E493" t="inlineStr">
        <is>
          <t>Q3FY26</t>
        </is>
      </c>
      <c r="F493" t="inlineStr">
        <is>
          <t>15-Jan-2026</t>
        </is>
      </c>
      <c r="G493" t="inlineStr">
        <is>
          <t>Thursday</t>
        </is>
      </c>
      <c r="H493" t="inlineStr">
        <is>
          <t>Weekly - Thursday</t>
        </is>
      </c>
      <c r="I493" t="inlineStr">
        <is>
          <t>Weekly - Thursday</t>
        </is>
      </c>
      <c r="J493" t="inlineStr">
        <is>
          <t>Month+1 Expiry</t>
        </is>
      </c>
      <c r="K493" s="25" t="n">
        <v>431</v>
      </c>
      <c r="L493" s="26" t="n">
        <v>0.7412</v>
      </c>
      <c r="M493" s="26" t="n">
        <v>0.0047</v>
      </c>
    </row>
    <row r="494" ht="16" customHeight="1">
      <c r="A494" t="inlineStr">
        <is>
          <t>26-Dec-2025</t>
        </is>
      </c>
      <c r="B494" t="inlineStr">
        <is>
          <t>Friday</t>
        </is>
      </c>
      <c r="C494" t="inlineStr">
        <is>
          <t>Week4-Dec-2025</t>
        </is>
      </c>
      <c r="D494" s="78" t="n">
        <v>45992</v>
      </c>
      <c r="E494" t="inlineStr">
        <is>
          <t>Q3FY26</t>
        </is>
      </c>
      <c r="F494" t="inlineStr">
        <is>
          <t>22-Jan-2026</t>
        </is>
      </c>
      <c r="G494" t="inlineStr">
        <is>
          <t>Thursday</t>
        </is>
      </c>
      <c r="H494" t="inlineStr">
        <is>
          <t>Weekly - Thursday</t>
        </is>
      </c>
      <c r="I494" t="inlineStr">
        <is>
          <t>Weekly - Thursday</t>
        </is>
      </c>
      <c r="J494" t="inlineStr">
        <is>
          <t>Month+1 Expiry</t>
        </is>
      </c>
      <c r="K494" s="25" t="n">
        <v>36</v>
      </c>
      <c r="L494" s="26" t="n">
        <v>0.0623</v>
      </c>
      <c r="M494" s="26" t="n">
        <v>0.0005999999999999999</v>
      </c>
    </row>
    <row r="495" ht="16" customHeight="1">
      <c r="A495" t="inlineStr">
        <is>
          <t>26-Dec-2025</t>
        </is>
      </c>
      <c r="B495" t="inlineStr">
        <is>
          <t>Friday</t>
        </is>
      </c>
      <c r="C495" t="inlineStr">
        <is>
          <t>Week4-Dec-2025</t>
        </is>
      </c>
      <c r="D495" s="78" t="n">
        <v>45992</v>
      </c>
      <c r="E495" t="inlineStr">
        <is>
          <t>Q3FY26</t>
        </is>
      </c>
      <c r="F495" t="inlineStr">
        <is>
          <t>29-Jan-2026</t>
        </is>
      </c>
      <c r="G495" t="inlineStr">
        <is>
          <t>Thursday</t>
        </is>
      </c>
      <c r="H495" t="inlineStr">
        <is>
          <t>Monthly - Thursday</t>
        </is>
      </c>
      <c r="I495" t="inlineStr">
        <is>
          <t>Monthly - Thursday</t>
        </is>
      </c>
      <c r="J495" t="inlineStr">
        <is>
          <t>Month+1 Expiry</t>
        </is>
      </c>
      <c r="K495" s="25" t="n">
        <v>7815</v>
      </c>
      <c r="L495" s="26" t="n">
        <v>13.4798</v>
      </c>
      <c r="M495" s="26" t="n">
        <v>0.09950000000000001</v>
      </c>
    </row>
    <row r="496" ht="16" customHeight="1">
      <c r="A496" t="inlineStr">
        <is>
          <t>26-Dec-2025</t>
        </is>
      </c>
      <c r="B496" t="inlineStr">
        <is>
          <t>Friday</t>
        </is>
      </c>
      <c r="C496" t="inlineStr">
        <is>
          <t>Week4-Dec-2025</t>
        </is>
      </c>
      <c r="D496" s="78" t="n">
        <v>45992</v>
      </c>
      <c r="E496" t="inlineStr">
        <is>
          <t>Q3FY26</t>
        </is>
      </c>
      <c r="F496" t="inlineStr">
        <is>
          <t>26-Feb-2026</t>
        </is>
      </c>
      <c r="G496" t="inlineStr">
        <is>
          <t>Thursday</t>
        </is>
      </c>
      <c r="H496" t="inlineStr">
        <is>
          <t>Monthly - Thursday</t>
        </is>
      </c>
      <c r="I496" t="inlineStr">
        <is>
          <t>Monthly - Thursday</t>
        </is>
      </c>
      <c r="J496" t="inlineStr">
        <is>
          <t>Month+2 Expiry</t>
        </is>
      </c>
      <c r="K496" s="25" t="n">
        <v>1</v>
      </c>
      <c r="L496" s="26" t="n">
        <v>0.0017</v>
      </c>
      <c r="M496" s="26" t="n">
        <v>0</v>
      </c>
    </row>
    <row r="497" ht="16" customHeight="1">
      <c r="A497" t="inlineStr">
        <is>
          <t>29-Dec-2025</t>
        </is>
      </c>
      <c r="B497" t="inlineStr">
        <is>
          <t>Monday</t>
        </is>
      </c>
      <c r="C497" t="inlineStr">
        <is>
          <t>Week5-Dec-2025</t>
        </is>
      </c>
      <c r="D497" s="78" t="n">
        <v>45992</v>
      </c>
      <c r="E497" t="inlineStr">
        <is>
          <t>Q3FY26</t>
        </is>
      </c>
      <c r="F497" t="inlineStr">
        <is>
          <t>01-Jan-2026</t>
        </is>
      </c>
      <c r="G497" t="inlineStr">
        <is>
          <t>Thursday</t>
        </is>
      </c>
      <c r="H497" t="inlineStr">
        <is>
          <t>Weekly - Thursday</t>
        </is>
      </c>
      <c r="I497" t="inlineStr">
        <is>
          <t>Weekly - Thursday</t>
        </is>
      </c>
      <c r="J497" t="inlineStr">
        <is>
          <t>Month+1 Expiry</t>
        </is>
      </c>
      <c r="K497" s="25" t="n">
        <v>22647619</v>
      </c>
      <c r="L497" s="26" t="n">
        <v>38587.5458</v>
      </c>
      <c r="M497" s="26" t="n">
        <v>69.1091</v>
      </c>
    </row>
    <row r="498" ht="16" customHeight="1">
      <c r="A498" t="inlineStr">
        <is>
          <t>29-Dec-2025</t>
        </is>
      </c>
      <c r="B498" t="inlineStr">
        <is>
          <t>Monday</t>
        </is>
      </c>
      <c r="C498" t="inlineStr">
        <is>
          <t>Week5-Dec-2025</t>
        </is>
      </c>
      <c r="D498" s="78" t="n">
        <v>45992</v>
      </c>
      <c r="E498" t="inlineStr">
        <is>
          <t>Q3FY26</t>
        </is>
      </c>
      <c r="F498" t="inlineStr">
        <is>
          <t>08-Jan-2026</t>
        </is>
      </c>
      <c r="G498" t="inlineStr">
        <is>
          <t>Thursday</t>
        </is>
      </c>
      <c r="H498" t="inlineStr">
        <is>
          <t>Weekly - Thursday</t>
        </is>
      </c>
      <c r="I498" t="inlineStr">
        <is>
          <t>Weekly - Thursday</t>
        </is>
      </c>
      <c r="J498" t="inlineStr">
        <is>
          <t>Month+1 Expiry</t>
        </is>
      </c>
      <c r="K498" s="25" t="n">
        <v>136766</v>
      </c>
      <c r="L498" s="26" t="n">
        <v>233.7943</v>
      </c>
      <c r="M498" s="26" t="n">
        <v>0.7962</v>
      </c>
    </row>
    <row r="499" ht="16" customHeight="1">
      <c r="A499" t="inlineStr">
        <is>
          <t>29-Dec-2025</t>
        </is>
      </c>
      <c r="B499" t="inlineStr">
        <is>
          <t>Monday</t>
        </is>
      </c>
      <c r="C499" t="inlineStr">
        <is>
          <t>Week5-Dec-2025</t>
        </is>
      </c>
      <c r="D499" s="78" t="n">
        <v>45992</v>
      </c>
      <c r="E499" t="inlineStr">
        <is>
          <t>Q3FY26</t>
        </is>
      </c>
      <c r="F499" t="inlineStr">
        <is>
          <t>15-Jan-2026</t>
        </is>
      </c>
      <c r="G499" t="inlineStr">
        <is>
          <t>Thursday</t>
        </is>
      </c>
      <c r="H499" t="inlineStr">
        <is>
          <t>Weekly - Thursday</t>
        </is>
      </c>
      <c r="I499" t="inlineStr">
        <is>
          <t>Weekly - Thursday</t>
        </is>
      </c>
      <c r="J499" t="inlineStr">
        <is>
          <t>Month+1 Expiry</t>
        </is>
      </c>
      <c r="K499" s="25" t="n">
        <v>778</v>
      </c>
      <c r="L499" s="26" t="n">
        <v>1.3416</v>
      </c>
      <c r="M499" s="26" t="n">
        <v>0.0071</v>
      </c>
    </row>
    <row r="500" ht="16" customHeight="1">
      <c r="A500" t="inlineStr">
        <is>
          <t>29-Dec-2025</t>
        </is>
      </c>
      <c r="B500" t="inlineStr">
        <is>
          <t>Monday</t>
        </is>
      </c>
      <c r="C500" t="inlineStr">
        <is>
          <t>Week5-Dec-2025</t>
        </is>
      </c>
      <c r="D500" s="78" t="n">
        <v>45992</v>
      </c>
      <c r="E500" t="inlineStr">
        <is>
          <t>Q3FY26</t>
        </is>
      </c>
      <c r="F500" t="inlineStr">
        <is>
          <t>22-Jan-2026</t>
        </is>
      </c>
      <c r="G500" t="inlineStr">
        <is>
          <t>Thursday</t>
        </is>
      </c>
      <c r="H500" t="inlineStr">
        <is>
          <t>Weekly - Thursday</t>
        </is>
      </c>
      <c r="I500" t="inlineStr">
        <is>
          <t>Weekly - Thursday</t>
        </is>
      </c>
      <c r="J500" t="inlineStr">
        <is>
          <t>Month+1 Expiry</t>
        </is>
      </c>
      <c r="K500" s="25" t="n">
        <v>28</v>
      </c>
      <c r="L500" s="26" t="n">
        <v>0.0482</v>
      </c>
      <c r="M500" s="26" t="n">
        <v>0.0004</v>
      </c>
    </row>
    <row r="501" ht="16" customHeight="1">
      <c r="A501" t="inlineStr">
        <is>
          <t>29-Dec-2025</t>
        </is>
      </c>
      <c r="B501" t="inlineStr">
        <is>
          <t>Monday</t>
        </is>
      </c>
      <c r="C501" t="inlineStr">
        <is>
          <t>Week5-Dec-2025</t>
        </is>
      </c>
      <c r="D501" s="78" t="n">
        <v>45992</v>
      </c>
      <c r="E501" t="inlineStr">
        <is>
          <t>Q3FY26</t>
        </is>
      </c>
      <c r="F501" t="inlineStr">
        <is>
          <t>29-Jan-2026</t>
        </is>
      </c>
      <c r="G501" t="inlineStr">
        <is>
          <t>Thursday</t>
        </is>
      </c>
      <c r="H501" t="inlineStr">
        <is>
          <t>Monthly - Thursday</t>
        </is>
      </c>
      <c r="I501" t="inlineStr">
        <is>
          <t>Monthly - Thursday</t>
        </is>
      </c>
      <c r="J501" t="inlineStr">
        <is>
          <t>Month+1 Expiry</t>
        </is>
      </c>
      <c r="K501" s="25" t="n">
        <v>7076</v>
      </c>
      <c r="L501" s="26" t="n">
        <v>12.1653</v>
      </c>
      <c r="M501" s="26" t="n">
        <v>0.09329999999999999</v>
      </c>
    </row>
    <row r="502" ht="16" customHeight="1">
      <c r="A502" t="inlineStr">
        <is>
          <t>29-Dec-2025</t>
        </is>
      </c>
      <c r="B502" t="inlineStr">
        <is>
          <t>Monday</t>
        </is>
      </c>
      <c r="C502" t="inlineStr">
        <is>
          <t>Week5-Dec-2025</t>
        </is>
      </c>
      <c r="D502" s="78" t="n">
        <v>45992</v>
      </c>
      <c r="E502" t="inlineStr">
        <is>
          <t>Q3FY26</t>
        </is>
      </c>
      <c r="F502" t="inlineStr">
        <is>
          <t>26-Feb-2026</t>
        </is>
      </c>
      <c r="G502" t="inlineStr">
        <is>
          <t>Thursday</t>
        </is>
      </c>
      <c r="H502" t="inlineStr">
        <is>
          <t>Monthly - Thursday</t>
        </is>
      </c>
      <c r="I502" t="inlineStr">
        <is>
          <t>Monthly - Thursday</t>
        </is>
      </c>
      <c r="J502" t="inlineStr">
        <is>
          <t>Month+2 Expiry</t>
        </is>
      </c>
      <c r="K502" s="25" t="n">
        <v>24</v>
      </c>
      <c r="L502" s="26" t="n">
        <v>0.0392</v>
      </c>
      <c r="M502" s="26" t="n">
        <v>0.0001</v>
      </c>
    </row>
    <row r="503" ht="16" customHeight="1">
      <c r="A503" t="inlineStr">
        <is>
          <t>30-Dec-2025</t>
        </is>
      </c>
      <c r="B503" t="inlineStr">
        <is>
          <t>Tuesday</t>
        </is>
      </c>
      <c r="C503" t="inlineStr">
        <is>
          <t>Week5-Dec-2025</t>
        </is>
      </c>
      <c r="D503" s="78" t="n">
        <v>45992</v>
      </c>
      <c r="E503" t="inlineStr">
        <is>
          <t>Q3FY26</t>
        </is>
      </c>
      <c r="F503" t="inlineStr">
        <is>
          <t>01-Jan-2026</t>
        </is>
      </c>
      <c r="G503" t="inlineStr">
        <is>
          <t>Thursday</t>
        </is>
      </c>
      <c r="H503" t="inlineStr">
        <is>
          <t>Weekly - Thursday</t>
        </is>
      </c>
      <c r="I503" t="inlineStr">
        <is>
          <t>Weekly - Thursday</t>
        </is>
      </c>
      <c r="J503" t="inlineStr">
        <is>
          <t>Month+1 Expiry</t>
        </is>
      </c>
      <c r="K503" s="25" t="n">
        <v>28909632</v>
      </c>
      <c r="L503" s="26" t="n">
        <v>49144.7521</v>
      </c>
      <c r="M503" s="26" t="n">
        <v>79.0164</v>
      </c>
    </row>
    <row r="504" ht="16" customHeight="1">
      <c r="A504" t="inlineStr">
        <is>
          <t>30-Dec-2025</t>
        </is>
      </c>
      <c r="B504" t="inlineStr">
        <is>
          <t>Tuesday</t>
        </is>
      </c>
      <c r="C504" t="inlineStr">
        <is>
          <t>Week5-Dec-2025</t>
        </is>
      </c>
      <c r="D504" s="78" t="n">
        <v>45992</v>
      </c>
      <c r="E504" t="inlineStr">
        <is>
          <t>Q3FY26</t>
        </is>
      </c>
      <c r="F504" t="inlineStr">
        <is>
          <t>08-Jan-2026</t>
        </is>
      </c>
      <c r="G504" t="inlineStr">
        <is>
          <t>Thursday</t>
        </is>
      </c>
      <c r="H504" t="inlineStr">
        <is>
          <t>Weekly - Thursday</t>
        </is>
      </c>
      <c r="I504" t="inlineStr">
        <is>
          <t>Weekly - Thursday</t>
        </is>
      </c>
      <c r="J504" t="inlineStr">
        <is>
          <t>Month+1 Expiry</t>
        </is>
      </c>
      <c r="K504" s="25" t="n">
        <v>270109</v>
      </c>
      <c r="L504" s="26" t="n">
        <v>460.5371</v>
      </c>
      <c r="M504" s="26" t="n">
        <v>1.3915</v>
      </c>
    </row>
    <row r="505" ht="16" customHeight="1">
      <c r="A505" t="inlineStr">
        <is>
          <t>30-Dec-2025</t>
        </is>
      </c>
      <c r="B505" t="inlineStr">
        <is>
          <t>Tuesday</t>
        </is>
      </c>
      <c r="C505" t="inlineStr">
        <is>
          <t>Week5-Dec-2025</t>
        </is>
      </c>
      <c r="D505" s="78" t="n">
        <v>45992</v>
      </c>
      <c r="E505" t="inlineStr">
        <is>
          <t>Q3FY26</t>
        </is>
      </c>
      <c r="F505" t="inlineStr">
        <is>
          <t>15-Jan-2026</t>
        </is>
      </c>
      <c r="G505" t="inlineStr">
        <is>
          <t>Thursday</t>
        </is>
      </c>
      <c r="H505" t="inlineStr">
        <is>
          <t>Weekly - Thursday</t>
        </is>
      </c>
      <c r="I505" t="inlineStr">
        <is>
          <t>Weekly - Thursday</t>
        </is>
      </c>
      <c r="J505" t="inlineStr">
        <is>
          <t>Month+1 Expiry</t>
        </is>
      </c>
      <c r="K505" s="25" t="n">
        <v>1567</v>
      </c>
      <c r="L505" s="26" t="n">
        <v>2.6855</v>
      </c>
      <c r="M505" s="26" t="n">
        <v>0.0154</v>
      </c>
    </row>
    <row r="506" ht="16" customHeight="1">
      <c r="A506" t="inlineStr">
        <is>
          <t>30-Dec-2025</t>
        </is>
      </c>
      <c r="B506" t="inlineStr">
        <is>
          <t>Tuesday</t>
        </is>
      </c>
      <c r="C506" t="inlineStr">
        <is>
          <t>Week5-Dec-2025</t>
        </is>
      </c>
      <c r="D506" s="78" t="n">
        <v>45992</v>
      </c>
      <c r="E506" t="inlineStr">
        <is>
          <t>Q3FY26</t>
        </is>
      </c>
      <c r="F506" t="inlineStr">
        <is>
          <t>22-Jan-2026</t>
        </is>
      </c>
      <c r="G506" t="inlineStr">
        <is>
          <t>Thursday</t>
        </is>
      </c>
      <c r="H506" t="inlineStr">
        <is>
          <t>Weekly - Thursday</t>
        </is>
      </c>
      <c r="I506" t="inlineStr">
        <is>
          <t>Weekly - Thursday</t>
        </is>
      </c>
      <c r="J506" t="inlineStr">
        <is>
          <t>Month+1 Expiry</t>
        </is>
      </c>
      <c r="K506" s="25" t="n">
        <v>180</v>
      </c>
      <c r="L506" s="26" t="n">
        <v>0.3091</v>
      </c>
      <c r="M506" s="26" t="n">
        <v>0.0026</v>
      </c>
    </row>
    <row r="507" ht="16" customHeight="1">
      <c r="A507" t="inlineStr">
        <is>
          <t>30-Dec-2025</t>
        </is>
      </c>
      <c r="B507" t="inlineStr">
        <is>
          <t>Tuesday</t>
        </is>
      </c>
      <c r="C507" t="inlineStr">
        <is>
          <t>Week5-Dec-2025</t>
        </is>
      </c>
      <c r="D507" s="78" t="n">
        <v>45992</v>
      </c>
      <c r="E507" t="inlineStr">
        <is>
          <t>Q3FY26</t>
        </is>
      </c>
      <c r="F507" t="inlineStr">
        <is>
          <t>29-Jan-2026</t>
        </is>
      </c>
      <c r="G507" t="inlineStr">
        <is>
          <t>Thursday</t>
        </is>
      </c>
      <c r="H507" t="inlineStr">
        <is>
          <t>Monthly - Thursday</t>
        </is>
      </c>
      <c r="I507" t="inlineStr">
        <is>
          <t>Monthly - Thursday</t>
        </is>
      </c>
      <c r="J507" t="inlineStr">
        <is>
          <t>Month+1 Expiry</t>
        </is>
      </c>
      <c r="K507" s="25" t="n">
        <v>7984</v>
      </c>
      <c r="L507" s="26" t="n">
        <v>13.7069</v>
      </c>
      <c r="M507" s="26" t="n">
        <v>0.08799999999999999</v>
      </c>
    </row>
    <row r="508" ht="16" customHeight="1">
      <c r="A508" t="inlineStr">
        <is>
          <t>30-Dec-2025</t>
        </is>
      </c>
      <c r="B508" t="inlineStr">
        <is>
          <t>Tuesday</t>
        </is>
      </c>
      <c r="C508" t="inlineStr">
        <is>
          <t>Week5-Dec-2025</t>
        </is>
      </c>
      <c r="D508" s="78" t="n">
        <v>45992</v>
      </c>
      <c r="E508" t="inlineStr">
        <is>
          <t>Q3FY26</t>
        </is>
      </c>
      <c r="F508" t="inlineStr">
        <is>
          <t>26-Feb-2026</t>
        </is>
      </c>
      <c r="G508" t="inlineStr">
        <is>
          <t>Thursday</t>
        </is>
      </c>
      <c r="H508" t="inlineStr">
        <is>
          <t>Monthly - Thursday</t>
        </is>
      </c>
      <c r="I508" t="inlineStr">
        <is>
          <t>Monthly - Thursday</t>
        </is>
      </c>
      <c r="J508" t="inlineStr">
        <is>
          <t>Month+2 Expiry</t>
        </is>
      </c>
      <c r="K508" s="25" t="n">
        <v>7</v>
      </c>
      <c r="L508" s="26" t="n">
        <v>0.0119</v>
      </c>
      <c r="M508" s="26" t="n">
        <v>0.0001</v>
      </c>
    </row>
    <row r="509" ht="16" customHeight="1">
      <c r="A509" t="inlineStr">
        <is>
          <t>30-Dec-2025</t>
        </is>
      </c>
      <c r="B509" t="inlineStr">
        <is>
          <t>Tuesday</t>
        </is>
      </c>
      <c r="C509" t="inlineStr">
        <is>
          <t>Week5-Dec-2025</t>
        </is>
      </c>
      <c r="D509" s="78" t="n">
        <v>45992</v>
      </c>
      <c r="E509" t="inlineStr">
        <is>
          <t>Q3FY26</t>
        </is>
      </c>
      <c r="F509" t="inlineStr">
        <is>
          <t>25-Mar-2026</t>
        </is>
      </c>
      <c r="G509" t="inlineStr">
        <is>
          <t>Wednesday</t>
        </is>
      </c>
      <c r="H509" t="inlineStr">
        <is>
          <t>Monthly - Wednesday</t>
        </is>
      </c>
      <c r="I509" t="inlineStr">
        <is>
          <t>Monthly - Wednesday</t>
        </is>
      </c>
      <c r="J509" t="inlineStr">
        <is>
          <t>Month+3 Expiry</t>
        </is>
      </c>
      <c r="K509" s="25" t="n">
        <v>1</v>
      </c>
      <c r="L509" s="26" t="n">
        <v>0.0017</v>
      </c>
      <c r="M509" s="26" t="n">
        <v>0</v>
      </c>
    </row>
    <row r="510" ht="16" customHeight="1">
      <c r="A510" t="inlineStr">
        <is>
          <t>31-Dec-2025</t>
        </is>
      </c>
      <c r="B510" t="inlineStr">
        <is>
          <t>Wednesday</t>
        </is>
      </c>
      <c r="C510" t="inlineStr">
        <is>
          <t>Week5-Dec-2025</t>
        </is>
      </c>
      <c r="D510" s="78" t="n">
        <v>45992</v>
      </c>
      <c r="E510" t="inlineStr">
        <is>
          <t>Q3FY26</t>
        </is>
      </c>
      <c r="F510" t="inlineStr">
        <is>
          <t>01-Jan-2026</t>
        </is>
      </c>
      <c r="G510" t="inlineStr">
        <is>
          <t>Thursday</t>
        </is>
      </c>
      <c r="H510" t="inlineStr">
        <is>
          <t>Weekly - Thursday</t>
        </is>
      </c>
      <c r="I510" t="inlineStr">
        <is>
          <t>Weekly - Thursday</t>
        </is>
      </c>
      <c r="J510" t="inlineStr">
        <is>
          <t>Month+1 Expiry</t>
        </is>
      </c>
      <c r="K510" s="25" t="n">
        <v>125272593</v>
      </c>
      <c r="L510" s="26" t="n">
        <v>213365.2434</v>
      </c>
      <c r="M510" s="26" t="n">
        <v>243.7542</v>
      </c>
    </row>
    <row r="511" ht="16" customHeight="1">
      <c r="A511" t="inlineStr">
        <is>
          <t>31-Dec-2025</t>
        </is>
      </c>
      <c r="B511" t="inlineStr">
        <is>
          <t>Wednesday</t>
        </is>
      </c>
      <c r="C511" t="inlineStr">
        <is>
          <t>Week5-Dec-2025</t>
        </is>
      </c>
      <c r="D511" s="78" t="n">
        <v>45992</v>
      </c>
      <c r="E511" t="inlineStr">
        <is>
          <t>Q3FY26</t>
        </is>
      </c>
      <c r="F511" t="inlineStr">
        <is>
          <t>08-Jan-2026</t>
        </is>
      </c>
      <c r="G511" t="inlineStr">
        <is>
          <t>Thursday</t>
        </is>
      </c>
      <c r="H511" t="inlineStr">
        <is>
          <t>Weekly - Thursday</t>
        </is>
      </c>
      <c r="I511" t="inlineStr">
        <is>
          <t>Weekly - Thursday</t>
        </is>
      </c>
      <c r="J511" t="inlineStr">
        <is>
          <t>Month+1 Expiry</t>
        </is>
      </c>
      <c r="K511" s="25" t="n">
        <v>864792</v>
      </c>
      <c r="L511" s="26" t="n">
        <v>1476.3769</v>
      </c>
      <c r="M511" s="26" t="n">
        <v>3.5532</v>
      </c>
    </row>
    <row r="512" ht="16" customHeight="1">
      <c r="A512" t="inlineStr">
        <is>
          <t>31-Dec-2025</t>
        </is>
      </c>
      <c r="B512" t="inlineStr">
        <is>
          <t>Wednesday</t>
        </is>
      </c>
      <c r="C512" t="inlineStr">
        <is>
          <t>Week5-Dec-2025</t>
        </is>
      </c>
      <c r="D512" s="78" t="n">
        <v>45992</v>
      </c>
      <c r="E512" t="inlineStr">
        <is>
          <t>Q3FY26</t>
        </is>
      </c>
      <c r="F512" t="inlineStr">
        <is>
          <t>15-Jan-2026</t>
        </is>
      </c>
      <c r="G512" t="inlineStr">
        <is>
          <t>Thursday</t>
        </is>
      </c>
      <c r="H512" t="inlineStr">
        <is>
          <t>Weekly - Thursday</t>
        </is>
      </c>
      <c r="I512" t="inlineStr">
        <is>
          <t>Weekly - Thursday</t>
        </is>
      </c>
      <c r="J512" t="inlineStr">
        <is>
          <t>Month+1 Expiry</t>
        </is>
      </c>
      <c r="K512" s="25" t="n">
        <v>5282</v>
      </c>
      <c r="L512" s="26" t="n">
        <v>9.061</v>
      </c>
      <c r="M512" s="26" t="n">
        <v>0.0504</v>
      </c>
    </row>
    <row r="513" ht="16" customHeight="1">
      <c r="A513" t="inlineStr">
        <is>
          <t>31-Dec-2025</t>
        </is>
      </c>
      <c r="B513" t="inlineStr">
        <is>
          <t>Wednesday</t>
        </is>
      </c>
      <c r="C513" t="inlineStr">
        <is>
          <t>Week5-Dec-2025</t>
        </is>
      </c>
      <c r="D513" s="78" t="n">
        <v>45992</v>
      </c>
      <c r="E513" t="inlineStr">
        <is>
          <t>Q3FY26</t>
        </is>
      </c>
      <c r="F513" t="inlineStr">
        <is>
          <t>22-Jan-2026</t>
        </is>
      </c>
      <c r="G513" t="inlineStr">
        <is>
          <t>Thursday</t>
        </is>
      </c>
      <c r="H513" t="inlineStr">
        <is>
          <t>Weekly - Thursday</t>
        </is>
      </c>
      <c r="I513" t="inlineStr">
        <is>
          <t>Weekly - Thursday</t>
        </is>
      </c>
      <c r="J513" t="inlineStr">
        <is>
          <t>Month+1 Expiry</t>
        </is>
      </c>
      <c r="K513" s="25" t="n">
        <v>151</v>
      </c>
      <c r="L513" s="26" t="n">
        <v>0.26</v>
      </c>
      <c r="M513" s="26" t="n">
        <v>0.0024</v>
      </c>
    </row>
    <row r="514" ht="16" customHeight="1">
      <c r="A514" t="inlineStr">
        <is>
          <t>31-Dec-2025</t>
        </is>
      </c>
      <c r="B514" t="inlineStr">
        <is>
          <t>Wednesday</t>
        </is>
      </c>
      <c r="C514" t="inlineStr">
        <is>
          <t>Week5-Dec-2025</t>
        </is>
      </c>
      <c r="D514" s="78" t="n">
        <v>45992</v>
      </c>
      <c r="E514" t="inlineStr">
        <is>
          <t>Q3FY26</t>
        </is>
      </c>
      <c r="F514" t="inlineStr">
        <is>
          <t>29-Jan-2026</t>
        </is>
      </c>
      <c r="G514" t="inlineStr">
        <is>
          <t>Thursday</t>
        </is>
      </c>
      <c r="H514" t="inlineStr">
        <is>
          <t>Monthly - Thursday</t>
        </is>
      </c>
      <c r="I514" t="inlineStr">
        <is>
          <t>Monthly - Thursday</t>
        </is>
      </c>
      <c r="J514" t="inlineStr">
        <is>
          <t>Month+1 Expiry</t>
        </is>
      </c>
      <c r="K514" s="25" t="n">
        <v>16823</v>
      </c>
      <c r="L514" s="26" t="n">
        <v>28.973</v>
      </c>
      <c r="M514" s="26" t="n">
        <v>0.2149</v>
      </c>
    </row>
    <row r="515" ht="16" customHeight="1">
      <c r="A515" t="inlineStr">
        <is>
          <t>31-Dec-2025</t>
        </is>
      </c>
      <c r="B515" t="inlineStr">
        <is>
          <t>Wednesday</t>
        </is>
      </c>
      <c r="C515" t="inlineStr">
        <is>
          <t>Week5-Dec-2025</t>
        </is>
      </c>
      <c r="D515" s="78" t="n">
        <v>45992</v>
      </c>
      <c r="E515" t="inlineStr">
        <is>
          <t>Q3FY26</t>
        </is>
      </c>
      <c r="F515" t="inlineStr">
        <is>
          <t>26-Feb-2026</t>
        </is>
      </c>
      <c r="G515" t="inlineStr">
        <is>
          <t>Thursday</t>
        </is>
      </c>
      <c r="H515" t="inlineStr">
        <is>
          <t>Monthly - Thursday</t>
        </is>
      </c>
      <c r="I515" t="inlineStr">
        <is>
          <t>Monthly - Thursday</t>
        </is>
      </c>
      <c r="J515" t="inlineStr">
        <is>
          <t>Month+2 Expiry</t>
        </is>
      </c>
      <c r="K515" s="25" t="n">
        <v>28</v>
      </c>
      <c r="L515" s="26" t="n">
        <v>0.0485</v>
      </c>
      <c r="M515" s="26" t="n">
        <v>0.0008</v>
      </c>
    </row>
    <row r="516" ht="16" customHeight="1">
      <c r="A516" t="inlineStr">
        <is>
          <t>31-Dec-2025</t>
        </is>
      </c>
      <c r="B516" t="inlineStr">
        <is>
          <t>Wednesday</t>
        </is>
      </c>
      <c r="C516" t="inlineStr">
        <is>
          <t>Week5-Dec-2025</t>
        </is>
      </c>
      <c r="D516" s="78" t="n">
        <v>45992</v>
      </c>
      <c r="E516" t="inlineStr">
        <is>
          <t>Q3FY26</t>
        </is>
      </c>
      <c r="F516" t="inlineStr">
        <is>
          <t>25-Mar-2026</t>
        </is>
      </c>
      <c r="G516" t="inlineStr">
        <is>
          <t>Wednesday</t>
        </is>
      </c>
      <c r="H516" t="inlineStr">
        <is>
          <t>Monthly - Wednesday</t>
        </is>
      </c>
      <c r="I516" t="inlineStr">
        <is>
          <t>Monthly - Wednesday</t>
        </is>
      </c>
      <c r="J516" t="inlineStr">
        <is>
          <t>Month+3 Expiry</t>
        </is>
      </c>
      <c r="K516" s="25" t="n">
        <v>0</v>
      </c>
      <c r="L516" s="26" t="n">
        <v>0</v>
      </c>
      <c r="M516" s="26" t="n">
        <v>0</v>
      </c>
    </row>
    <row r="517" ht="16" customHeight="1">
      <c r="A517" t="inlineStr">
        <is>
          <t>01-Jan-2026</t>
        </is>
      </c>
      <c r="B517" t="inlineStr">
        <is>
          <t>Thursday</t>
        </is>
      </c>
      <c r="C517" t="inlineStr">
        <is>
          <t>Week1-Jan-2026</t>
        </is>
      </c>
      <c r="D517" s="78" t="n">
        <v>46023</v>
      </c>
      <c r="E517" t="inlineStr">
        <is>
          <t>Q4FY26</t>
        </is>
      </c>
      <c r="F517" t="inlineStr">
        <is>
          <t>01-Jan-2026</t>
        </is>
      </c>
      <c r="G517" t="inlineStr">
        <is>
          <t>Thursday</t>
        </is>
      </c>
      <c r="H517" t="inlineStr">
        <is>
          <t>Weekly - Thursday</t>
        </is>
      </c>
      <c r="I517" t="inlineStr">
        <is>
          <t>Weekly - Thursday</t>
        </is>
      </c>
      <c r="J517" t="inlineStr">
        <is>
          <t>Same Month Expiry</t>
        </is>
      </c>
      <c r="K517" s="25" t="n">
        <v>420361430</v>
      </c>
      <c r="L517" s="26" t="n">
        <v>717129.7569</v>
      </c>
      <c r="M517" s="26" t="n">
        <v>360.7555</v>
      </c>
    </row>
    <row r="518" ht="16" customHeight="1">
      <c r="A518" t="inlineStr">
        <is>
          <t>01-Jan-2026</t>
        </is>
      </c>
      <c r="B518" t="inlineStr">
        <is>
          <t>Thursday</t>
        </is>
      </c>
      <c r="C518" t="inlineStr">
        <is>
          <t>Week1-Jan-2026</t>
        </is>
      </c>
      <c r="D518" s="78" t="n">
        <v>46023</v>
      </c>
      <c r="E518" t="inlineStr">
        <is>
          <t>Q4FY26</t>
        </is>
      </c>
      <c r="F518" t="inlineStr">
        <is>
          <t>08-Jan-2026</t>
        </is>
      </c>
      <c r="G518" t="inlineStr">
        <is>
          <t>Thursday</t>
        </is>
      </c>
      <c r="H518" t="inlineStr">
        <is>
          <t>Weekly - Thursday</t>
        </is>
      </c>
      <c r="I518" t="inlineStr">
        <is>
          <t>Weekly - Thursday</t>
        </is>
      </c>
      <c r="J518" t="inlineStr">
        <is>
          <t>Same Month Expiry</t>
        </is>
      </c>
      <c r="K518" s="25" t="n">
        <v>1772419</v>
      </c>
      <c r="L518" s="26" t="n">
        <v>3029.6841</v>
      </c>
      <c r="M518" s="26" t="n">
        <v>6.8474</v>
      </c>
    </row>
    <row r="519" ht="16" customHeight="1">
      <c r="A519" t="inlineStr">
        <is>
          <t>01-Jan-2026</t>
        </is>
      </c>
      <c r="B519" t="inlineStr">
        <is>
          <t>Thursday</t>
        </is>
      </c>
      <c r="C519" t="inlineStr">
        <is>
          <t>Week1-Jan-2026</t>
        </is>
      </c>
      <c r="D519" s="78" t="n">
        <v>46023</v>
      </c>
      <c r="E519" t="inlineStr">
        <is>
          <t>Q4FY26</t>
        </is>
      </c>
      <c r="F519" t="inlineStr">
        <is>
          <t>15-Jan-2026</t>
        </is>
      </c>
      <c r="G519" t="inlineStr">
        <is>
          <t>Thursday</t>
        </is>
      </c>
      <c r="H519" t="inlineStr">
        <is>
          <t>Weekly - Thursday</t>
        </is>
      </c>
      <c r="I519" t="inlineStr">
        <is>
          <t>Weekly - Thursday</t>
        </is>
      </c>
      <c r="J519" t="inlineStr">
        <is>
          <t>Same Month Expiry</t>
        </is>
      </c>
      <c r="K519" s="25" t="n">
        <v>11272</v>
      </c>
      <c r="L519" s="26" t="n">
        <v>19.3854</v>
      </c>
      <c r="M519" s="26" t="n">
        <v>0.0803</v>
      </c>
    </row>
    <row r="520" ht="16" customHeight="1">
      <c r="A520" t="inlineStr">
        <is>
          <t>01-Jan-2026</t>
        </is>
      </c>
      <c r="B520" t="inlineStr">
        <is>
          <t>Thursday</t>
        </is>
      </c>
      <c r="C520" t="inlineStr">
        <is>
          <t>Week1-Jan-2026</t>
        </is>
      </c>
      <c r="D520" s="78" t="n">
        <v>46023</v>
      </c>
      <c r="E520" t="inlineStr">
        <is>
          <t>Q4FY26</t>
        </is>
      </c>
      <c r="F520" t="inlineStr">
        <is>
          <t>22-Jan-2026</t>
        </is>
      </c>
      <c r="G520" t="inlineStr">
        <is>
          <t>Thursday</t>
        </is>
      </c>
      <c r="H520" t="inlineStr">
        <is>
          <t>Weekly - Thursday</t>
        </is>
      </c>
      <c r="I520" t="inlineStr">
        <is>
          <t>Weekly - Thursday</t>
        </is>
      </c>
      <c r="J520" t="inlineStr">
        <is>
          <t>Same Month Expiry</t>
        </is>
      </c>
      <c r="K520" s="25" t="n">
        <v>249</v>
      </c>
      <c r="L520" s="26" t="n">
        <v>0.4283</v>
      </c>
      <c r="M520" s="26" t="n">
        <v>0.003</v>
      </c>
    </row>
    <row r="521" ht="16" customHeight="1">
      <c r="A521" t="inlineStr">
        <is>
          <t>01-Jan-2026</t>
        </is>
      </c>
      <c r="B521" t="inlineStr">
        <is>
          <t>Thursday</t>
        </is>
      </c>
      <c r="C521" t="inlineStr">
        <is>
          <t>Week1-Jan-2026</t>
        </is>
      </c>
      <c r="D521" s="78" t="n">
        <v>46023</v>
      </c>
      <c r="E521" t="inlineStr">
        <is>
          <t>Q4FY26</t>
        </is>
      </c>
      <c r="F521" t="inlineStr">
        <is>
          <t>29-Jan-2026</t>
        </is>
      </c>
      <c r="G521" t="inlineStr">
        <is>
          <t>Thursday</t>
        </is>
      </c>
      <c r="H521" t="inlineStr">
        <is>
          <t>Monthly - Thursday</t>
        </is>
      </c>
      <c r="I521" t="inlineStr">
        <is>
          <t>Monthly - Thursday</t>
        </is>
      </c>
      <c r="J521" t="inlineStr">
        <is>
          <t>Same Month Expiry</t>
        </is>
      </c>
      <c r="K521" s="25" t="n">
        <v>17052</v>
      </c>
      <c r="L521" s="26" t="n">
        <v>29.3289</v>
      </c>
      <c r="M521" s="26" t="n">
        <v>0.1847</v>
      </c>
    </row>
    <row r="522" ht="16" customHeight="1">
      <c r="A522" t="inlineStr">
        <is>
          <t>01-Jan-2026</t>
        </is>
      </c>
      <c r="B522" t="inlineStr">
        <is>
          <t>Thursday</t>
        </is>
      </c>
      <c r="C522" t="inlineStr">
        <is>
          <t>Week1-Jan-2026</t>
        </is>
      </c>
      <c r="D522" s="78" t="n">
        <v>46023</v>
      </c>
      <c r="E522" t="inlineStr">
        <is>
          <t>Q4FY26</t>
        </is>
      </c>
      <c r="F522" t="inlineStr">
        <is>
          <t>05-Feb-2026</t>
        </is>
      </c>
      <c r="G522" t="inlineStr">
        <is>
          <t>Thursday</t>
        </is>
      </c>
      <c r="H522" t="inlineStr">
        <is>
          <t>Weekly - Thursday</t>
        </is>
      </c>
      <c r="I522" t="inlineStr">
        <is>
          <t>Weekly - Thursday</t>
        </is>
      </c>
      <c r="J522" t="inlineStr">
        <is>
          <t>Month+1 Expiry</t>
        </is>
      </c>
      <c r="K522" s="25" t="n">
        <v>3</v>
      </c>
      <c r="L522" s="26" t="n">
        <v>0.0054</v>
      </c>
      <c r="M522" s="26" t="n">
        <v>0</v>
      </c>
    </row>
    <row r="523" ht="16" customHeight="1">
      <c r="A523" t="inlineStr">
        <is>
          <t>01-Jan-2026</t>
        </is>
      </c>
      <c r="B523" t="inlineStr">
        <is>
          <t>Thursday</t>
        </is>
      </c>
      <c r="C523" t="inlineStr">
        <is>
          <t>Week1-Jan-2026</t>
        </is>
      </c>
      <c r="D523" s="78" t="n">
        <v>46023</v>
      </c>
      <c r="E523" t="inlineStr">
        <is>
          <t>Q4FY26</t>
        </is>
      </c>
      <c r="F523" t="inlineStr">
        <is>
          <t>26-Feb-2026</t>
        </is>
      </c>
      <c r="G523" t="inlineStr">
        <is>
          <t>Thursday</t>
        </is>
      </c>
      <c r="H523" t="inlineStr">
        <is>
          <t>Monthly - Thursday</t>
        </is>
      </c>
      <c r="I523" t="inlineStr">
        <is>
          <t>Monthly - Thursday</t>
        </is>
      </c>
      <c r="J523" t="inlineStr">
        <is>
          <t>Month+1 Expiry</t>
        </is>
      </c>
      <c r="K523" s="25" t="n">
        <v>19</v>
      </c>
      <c r="L523" s="26" t="n">
        <v>0.0331</v>
      </c>
      <c r="M523" s="26" t="n">
        <v>0.0005</v>
      </c>
    </row>
    <row r="524" ht="16" customHeight="1">
      <c r="A524" t="inlineStr">
        <is>
          <t>01-Jan-2026</t>
        </is>
      </c>
      <c r="B524" t="inlineStr">
        <is>
          <t>Thursday</t>
        </is>
      </c>
      <c r="C524" t="inlineStr">
        <is>
          <t>Week1-Jan-2026</t>
        </is>
      </c>
      <c r="D524" s="78" t="n">
        <v>46023</v>
      </c>
      <c r="E524" t="inlineStr">
        <is>
          <t>Q4FY26</t>
        </is>
      </c>
      <c r="F524" t="inlineStr">
        <is>
          <t>25-Mar-2026</t>
        </is>
      </c>
      <c r="G524" t="inlineStr">
        <is>
          <t>Wednesday</t>
        </is>
      </c>
      <c r="H524" t="inlineStr">
        <is>
          <t>Monthly - Wednesday</t>
        </is>
      </c>
      <c r="I524" t="inlineStr">
        <is>
          <t>Monthly - Wednesday</t>
        </is>
      </c>
      <c r="J524" t="inlineStr">
        <is>
          <t>Month+2 Expiry</t>
        </is>
      </c>
      <c r="K524" s="25" t="n">
        <v>0</v>
      </c>
      <c r="L524" s="26" t="n">
        <v>0</v>
      </c>
      <c r="M524" s="26" t="n">
        <v>0</v>
      </c>
    </row>
    <row r="525" ht="16" customHeight="1">
      <c r="A525" t="inlineStr">
        <is>
          <t>02-Jan-2026</t>
        </is>
      </c>
      <c r="B525" t="inlineStr">
        <is>
          <t>Friday</t>
        </is>
      </c>
      <c r="C525" t="inlineStr">
        <is>
          <t>Week1-Jan-2026</t>
        </is>
      </c>
      <c r="D525" s="78" t="n">
        <v>46023</v>
      </c>
      <c r="E525" t="inlineStr">
        <is>
          <t>Q4FY26</t>
        </is>
      </c>
      <c r="F525" t="inlineStr">
        <is>
          <t>08-Jan-2026</t>
        </is>
      </c>
      <c r="G525" t="inlineStr">
        <is>
          <t>Thursday</t>
        </is>
      </c>
      <c r="H525" t="inlineStr">
        <is>
          <t>Weekly - Thursday</t>
        </is>
      </c>
      <c r="I525" t="inlineStr">
        <is>
          <t>Weekly - Thursday</t>
        </is>
      </c>
      <c r="J525" t="inlineStr">
        <is>
          <t>Same Month Expiry</t>
        </is>
      </c>
      <c r="K525" s="25" t="n">
        <v>19212653</v>
      </c>
      <c r="L525" s="26" t="n">
        <v>32959.6697</v>
      </c>
      <c r="M525" s="26" t="n">
        <v>70.5488</v>
      </c>
    </row>
    <row r="526" ht="16" customHeight="1">
      <c r="A526" t="inlineStr">
        <is>
          <t>02-Jan-2026</t>
        </is>
      </c>
      <c r="B526" t="inlineStr">
        <is>
          <t>Friday</t>
        </is>
      </c>
      <c r="C526" t="inlineStr">
        <is>
          <t>Week1-Jan-2026</t>
        </is>
      </c>
      <c r="D526" s="78" t="n">
        <v>46023</v>
      </c>
      <c r="E526" t="inlineStr">
        <is>
          <t>Q4FY26</t>
        </is>
      </c>
      <c r="F526" t="inlineStr">
        <is>
          <t>15-Jan-2026</t>
        </is>
      </c>
      <c r="G526" t="inlineStr">
        <is>
          <t>Thursday</t>
        </is>
      </c>
      <c r="H526" t="inlineStr">
        <is>
          <t>Weekly - Thursday</t>
        </is>
      </c>
      <c r="I526" t="inlineStr">
        <is>
          <t>Weekly - Thursday</t>
        </is>
      </c>
      <c r="J526" t="inlineStr">
        <is>
          <t>Same Month Expiry</t>
        </is>
      </c>
      <c r="K526" s="25" t="n">
        <v>52148</v>
      </c>
      <c r="L526" s="26" t="n">
        <v>89.7861</v>
      </c>
      <c r="M526" s="26" t="n">
        <v>0.3769</v>
      </c>
    </row>
    <row r="527" ht="16" customHeight="1">
      <c r="A527" t="inlineStr">
        <is>
          <t>02-Jan-2026</t>
        </is>
      </c>
      <c r="B527" t="inlineStr">
        <is>
          <t>Friday</t>
        </is>
      </c>
      <c r="C527" t="inlineStr">
        <is>
          <t>Week1-Jan-2026</t>
        </is>
      </c>
      <c r="D527" s="78" t="n">
        <v>46023</v>
      </c>
      <c r="E527" t="inlineStr">
        <is>
          <t>Q4FY26</t>
        </is>
      </c>
      <c r="F527" t="inlineStr">
        <is>
          <t>22-Jan-2026</t>
        </is>
      </c>
      <c r="G527" t="inlineStr">
        <is>
          <t>Thursday</t>
        </is>
      </c>
      <c r="H527" t="inlineStr">
        <is>
          <t>Weekly - Thursday</t>
        </is>
      </c>
      <c r="I527" t="inlineStr">
        <is>
          <t>Weekly - Thursday</t>
        </is>
      </c>
      <c r="J527" t="inlineStr">
        <is>
          <t>Same Month Expiry</t>
        </is>
      </c>
      <c r="K527" s="25" t="n">
        <v>1190</v>
      </c>
      <c r="L527" s="26" t="n">
        <v>2.0498</v>
      </c>
      <c r="M527" s="26" t="n">
        <v>0.0143</v>
      </c>
    </row>
    <row r="528" ht="16" customHeight="1">
      <c r="A528" t="inlineStr">
        <is>
          <t>02-Jan-2026</t>
        </is>
      </c>
      <c r="B528" t="inlineStr">
        <is>
          <t>Friday</t>
        </is>
      </c>
      <c r="C528" t="inlineStr">
        <is>
          <t>Week1-Jan-2026</t>
        </is>
      </c>
      <c r="D528" s="78" t="n">
        <v>46023</v>
      </c>
      <c r="E528" t="inlineStr">
        <is>
          <t>Q4FY26</t>
        </is>
      </c>
      <c r="F528" t="inlineStr">
        <is>
          <t>29-Jan-2026</t>
        </is>
      </c>
      <c r="G528" t="inlineStr">
        <is>
          <t>Thursday</t>
        </is>
      </c>
      <c r="H528" t="inlineStr">
        <is>
          <t>Monthly - Thursday</t>
        </is>
      </c>
      <c r="I528" t="inlineStr">
        <is>
          <t>Monthly - Thursday</t>
        </is>
      </c>
      <c r="J528" t="inlineStr">
        <is>
          <t>Same Month Expiry</t>
        </is>
      </c>
      <c r="K528" s="25" t="n">
        <v>18302</v>
      </c>
      <c r="L528" s="26" t="n">
        <v>31.5709</v>
      </c>
      <c r="M528" s="26" t="n">
        <v>0.1776</v>
      </c>
    </row>
    <row r="529" ht="16" customHeight="1">
      <c r="A529" t="inlineStr">
        <is>
          <t>02-Jan-2026</t>
        </is>
      </c>
      <c r="B529" t="inlineStr">
        <is>
          <t>Friday</t>
        </is>
      </c>
      <c r="C529" t="inlineStr">
        <is>
          <t>Week1-Jan-2026</t>
        </is>
      </c>
      <c r="D529" s="78" t="n">
        <v>46023</v>
      </c>
      <c r="E529" t="inlineStr">
        <is>
          <t>Q4FY26</t>
        </is>
      </c>
      <c r="F529" t="inlineStr">
        <is>
          <t>05-Feb-2026</t>
        </is>
      </c>
      <c r="G529" t="inlineStr">
        <is>
          <t>Thursday</t>
        </is>
      </c>
      <c r="H529" t="inlineStr">
        <is>
          <t>Weekly - Thursday</t>
        </is>
      </c>
      <c r="I529" t="inlineStr">
        <is>
          <t>Weekly - Thursday</t>
        </is>
      </c>
      <c r="J529" t="inlineStr">
        <is>
          <t>Month+1 Expiry</t>
        </is>
      </c>
      <c r="K529" s="25" t="n">
        <v>90</v>
      </c>
      <c r="L529" s="26" t="n">
        <v>0.1612</v>
      </c>
      <c r="M529" s="26" t="n">
        <v>0.0005</v>
      </c>
    </row>
    <row r="530" ht="16" customHeight="1">
      <c r="A530" t="inlineStr">
        <is>
          <t>02-Jan-2026</t>
        </is>
      </c>
      <c r="B530" t="inlineStr">
        <is>
          <t>Friday</t>
        </is>
      </c>
      <c r="C530" t="inlineStr">
        <is>
          <t>Week1-Jan-2026</t>
        </is>
      </c>
      <c r="D530" s="78" t="n">
        <v>46023</v>
      </c>
      <c r="E530" t="inlineStr">
        <is>
          <t>Q4FY26</t>
        </is>
      </c>
      <c r="F530" t="inlineStr">
        <is>
          <t>26-Feb-2026</t>
        </is>
      </c>
      <c r="G530" t="inlineStr">
        <is>
          <t>Thursday</t>
        </is>
      </c>
      <c r="H530" t="inlineStr">
        <is>
          <t>Monthly - Thursday</t>
        </is>
      </c>
      <c r="I530" t="inlineStr">
        <is>
          <t>Monthly - Thursday</t>
        </is>
      </c>
      <c r="J530" t="inlineStr">
        <is>
          <t>Month+1 Expiry</t>
        </is>
      </c>
      <c r="K530" s="25" t="n">
        <v>671</v>
      </c>
      <c r="L530" s="26" t="n">
        <v>1.1859</v>
      </c>
      <c r="M530" s="26" t="n">
        <v>0.0102</v>
      </c>
    </row>
    <row r="531" ht="16" customHeight="1">
      <c r="A531" t="inlineStr">
        <is>
          <t>02-Jan-2026</t>
        </is>
      </c>
      <c r="B531" t="inlineStr">
        <is>
          <t>Friday</t>
        </is>
      </c>
      <c r="C531" t="inlineStr">
        <is>
          <t>Week1-Jan-2026</t>
        </is>
      </c>
      <c r="D531" s="78" t="n">
        <v>46023</v>
      </c>
      <c r="E531" t="inlineStr">
        <is>
          <t>Q4FY26</t>
        </is>
      </c>
      <c r="F531" t="inlineStr">
        <is>
          <t>25-Mar-2026</t>
        </is>
      </c>
      <c r="G531" t="inlineStr">
        <is>
          <t>Wednesday</t>
        </is>
      </c>
      <c r="H531" t="inlineStr">
        <is>
          <t>Monthly - Wednesday</t>
        </is>
      </c>
      <c r="I531" t="inlineStr">
        <is>
          <t>Monthly - Wednesday</t>
        </is>
      </c>
      <c r="J531" t="inlineStr">
        <is>
          <t>Month+2 Expiry</t>
        </is>
      </c>
      <c r="K531" s="25" t="n">
        <v>0</v>
      </c>
      <c r="L531" s="26" t="n">
        <v>0</v>
      </c>
      <c r="M531" s="26" t="n">
        <v>0</v>
      </c>
    </row>
    <row r="532" ht="16" customHeight="1">
      <c r="A532" t="inlineStr">
        <is>
          <t>05-Jan-2026</t>
        </is>
      </c>
      <c r="B532" t="inlineStr">
        <is>
          <t>Monday</t>
        </is>
      </c>
      <c r="C532" t="inlineStr">
        <is>
          <t>Week1-Jan-2026</t>
        </is>
      </c>
      <c r="D532" s="78" t="n">
        <v>46023</v>
      </c>
      <c r="E532" t="inlineStr">
        <is>
          <t>Q4FY26</t>
        </is>
      </c>
      <c r="F532" t="inlineStr">
        <is>
          <t>08-Jan-2026</t>
        </is>
      </c>
      <c r="G532" t="inlineStr">
        <is>
          <t>Thursday</t>
        </is>
      </c>
      <c r="H532" t="inlineStr">
        <is>
          <t>Weekly - Thursday</t>
        </is>
      </c>
      <c r="I532" t="inlineStr">
        <is>
          <t>Weekly - Thursday</t>
        </is>
      </c>
      <c r="J532" t="inlineStr">
        <is>
          <t>Same Month Expiry</t>
        </is>
      </c>
      <c r="K532" s="25" t="n">
        <v>35170686</v>
      </c>
      <c r="L532" s="26" t="n">
        <v>60325.4032</v>
      </c>
      <c r="M532" s="26" t="n">
        <v>114.2647</v>
      </c>
    </row>
    <row r="533" ht="16" customHeight="1">
      <c r="A533" t="inlineStr">
        <is>
          <t>05-Jan-2026</t>
        </is>
      </c>
      <c r="B533" t="inlineStr">
        <is>
          <t>Monday</t>
        </is>
      </c>
      <c r="C533" t="inlineStr">
        <is>
          <t>Week1-Jan-2026</t>
        </is>
      </c>
      <c r="D533" s="78" t="n">
        <v>46023</v>
      </c>
      <c r="E533" t="inlineStr">
        <is>
          <t>Q4FY26</t>
        </is>
      </c>
      <c r="F533" t="inlineStr">
        <is>
          <t>15-Jan-2026</t>
        </is>
      </c>
      <c r="G533" t="inlineStr">
        <is>
          <t>Thursday</t>
        </is>
      </c>
      <c r="H533" t="inlineStr">
        <is>
          <t>Weekly - Thursday</t>
        </is>
      </c>
      <c r="I533" t="inlineStr">
        <is>
          <t>Weekly - Thursday</t>
        </is>
      </c>
      <c r="J533" t="inlineStr">
        <is>
          <t>Same Month Expiry</t>
        </is>
      </c>
      <c r="K533" s="25" t="n">
        <v>204832</v>
      </c>
      <c r="L533" s="26" t="n">
        <v>352.3046</v>
      </c>
      <c r="M533" s="26" t="n">
        <v>1.2943</v>
      </c>
    </row>
    <row r="534" ht="16" customHeight="1">
      <c r="A534" t="inlineStr">
        <is>
          <t>05-Jan-2026</t>
        </is>
      </c>
      <c r="B534" t="inlineStr">
        <is>
          <t>Monday</t>
        </is>
      </c>
      <c r="C534" t="inlineStr">
        <is>
          <t>Week1-Jan-2026</t>
        </is>
      </c>
      <c r="D534" s="78" t="n">
        <v>46023</v>
      </c>
      <c r="E534" t="inlineStr">
        <is>
          <t>Q4FY26</t>
        </is>
      </c>
      <c r="F534" t="inlineStr">
        <is>
          <t>22-Jan-2026</t>
        </is>
      </c>
      <c r="G534" t="inlineStr">
        <is>
          <t>Thursday</t>
        </is>
      </c>
      <c r="H534" t="inlineStr">
        <is>
          <t>Weekly - Thursday</t>
        </is>
      </c>
      <c r="I534" t="inlineStr">
        <is>
          <t>Weekly - Thursday</t>
        </is>
      </c>
      <c r="J534" t="inlineStr">
        <is>
          <t>Same Month Expiry</t>
        </is>
      </c>
      <c r="K534" s="25" t="n">
        <v>2673</v>
      </c>
      <c r="L534" s="26" t="n">
        <v>4.6207</v>
      </c>
      <c r="M534" s="26" t="n">
        <v>0.0305</v>
      </c>
    </row>
    <row r="535" ht="16" customHeight="1">
      <c r="A535" t="inlineStr">
        <is>
          <t>05-Jan-2026</t>
        </is>
      </c>
      <c r="B535" t="inlineStr">
        <is>
          <t>Monday</t>
        </is>
      </c>
      <c r="C535" t="inlineStr">
        <is>
          <t>Week1-Jan-2026</t>
        </is>
      </c>
      <c r="D535" s="78" t="n">
        <v>46023</v>
      </c>
      <c r="E535" t="inlineStr">
        <is>
          <t>Q4FY26</t>
        </is>
      </c>
      <c r="F535" t="inlineStr">
        <is>
          <t>29-Jan-2026</t>
        </is>
      </c>
      <c r="G535" t="inlineStr">
        <is>
          <t>Thursday</t>
        </is>
      </c>
      <c r="H535" t="inlineStr">
        <is>
          <t>Monthly - Thursday</t>
        </is>
      </c>
      <c r="I535" t="inlineStr">
        <is>
          <t>Monthly - Thursday</t>
        </is>
      </c>
      <c r="J535" t="inlineStr">
        <is>
          <t>Same Month Expiry</t>
        </is>
      </c>
      <c r="K535" s="25" t="n">
        <v>28754</v>
      </c>
      <c r="L535" s="26" t="n">
        <v>49.7135</v>
      </c>
      <c r="M535" s="26" t="n">
        <v>0.2898</v>
      </c>
    </row>
    <row r="536" ht="16" customHeight="1">
      <c r="A536" t="inlineStr">
        <is>
          <t>05-Jan-2026</t>
        </is>
      </c>
      <c r="B536" t="inlineStr">
        <is>
          <t>Monday</t>
        </is>
      </c>
      <c r="C536" t="inlineStr">
        <is>
          <t>Week1-Jan-2026</t>
        </is>
      </c>
      <c r="D536" s="78" t="n">
        <v>46023</v>
      </c>
      <c r="E536" t="inlineStr">
        <is>
          <t>Q4FY26</t>
        </is>
      </c>
      <c r="F536" t="inlineStr">
        <is>
          <t>05-Feb-2026</t>
        </is>
      </c>
      <c r="G536" t="inlineStr">
        <is>
          <t>Thursday</t>
        </is>
      </c>
      <c r="H536" t="inlineStr">
        <is>
          <t>Weekly - Thursday</t>
        </is>
      </c>
      <c r="I536" t="inlineStr">
        <is>
          <t>Weekly - Thursday</t>
        </is>
      </c>
      <c r="J536" t="inlineStr">
        <is>
          <t>Month+1 Expiry</t>
        </is>
      </c>
      <c r="K536" s="25" t="n">
        <v>63</v>
      </c>
      <c r="L536" s="26" t="n">
        <v>0.1135</v>
      </c>
      <c r="M536" s="26" t="n">
        <v>0.0001</v>
      </c>
    </row>
    <row r="537" ht="16" customHeight="1">
      <c r="A537" t="inlineStr">
        <is>
          <t>05-Jan-2026</t>
        </is>
      </c>
      <c r="B537" t="inlineStr">
        <is>
          <t>Monday</t>
        </is>
      </c>
      <c r="C537" t="inlineStr">
        <is>
          <t>Week1-Jan-2026</t>
        </is>
      </c>
      <c r="D537" s="78" t="n">
        <v>46023</v>
      </c>
      <c r="E537" t="inlineStr">
        <is>
          <t>Q4FY26</t>
        </is>
      </c>
      <c r="F537" t="inlineStr">
        <is>
          <t>26-Feb-2026</t>
        </is>
      </c>
      <c r="G537" t="inlineStr">
        <is>
          <t>Thursday</t>
        </is>
      </c>
      <c r="H537" t="inlineStr">
        <is>
          <t>Monthly - Thursday</t>
        </is>
      </c>
      <c r="I537" t="inlineStr">
        <is>
          <t>Monthly - Thursday</t>
        </is>
      </c>
      <c r="J537" t="inlineStr">
        <is>
          <t>Month+1 Expiry</t>
        </is>
      </c>
      <c r="K537" s="25" t="n">
        <v>320</v>
      </c>
      <c r="L537" s="26" t="n">
        <v>0.5607</v>
      </c>
      <c r="M537" s="26" t="n">
        <v>0.0066</v>
      </c>
    </row>
    <row r="538" ht="16" customHeight="1">
      <c r="A538" t="inlineStr">
        <is>
          <t>05-Jan-2026</t>
        </is>
      </c>
      <c r="B538" t="inlineStr">
        <is>
          <t>Monday</t>
        </is>
      </c>
      <c r="C538" t="inlineStr">
        <is>
          <t>Week1-Jan-2026</t>
        </is>
      </c>
      <c r="D538" s="78" t="n">
        <v>46023</v>
      </c>
      <c r="E538" t="inlineStr">
        <is>
          <t>Q4FY26</t>
        </is>
      </c>
      <c r="F538" t="inlineStr">
        <is>
          <t>25-Mar-2026</t>
        </is>
      </c>
      <c r="G538" t="inlineStr">
        <is>
          <t>Wednesday</t>
        </is>
      </c>
      <c r="H538" t="inlineStr">
        <is>
          <t>Monthly - Wednesday</t>
        </is>
      </c>
      <c r="I538" t="inlineStr">
        <is>
          <t>Monthly - Wednesday</t>
        </is>
      </c>
      <c r="J538" t="inlineStr">
        <is>
          <t>Month+2 Expiry</t>
        </is>
      </c>
      <c r="K538" s="25" t="n">
        <v>0</v>
      </c>
      <c r="L538" s="26" t="n">
        <v>0</v>
      </c>
      <c r="M538" s="26" t="n">
        <v>0</v>
      </c>
    </row>
    <row r="539" ht="16" customHeight="1">
      <c r="A539" t="inlineStr">
        <is>
          <t>06-Jan-2026</t>
        </is>
      </c>
      <c r="B539" t="inlineStr">
        <is>
          <t>Tuesday</t>
        </is>
      </c>
      <c r="C539" t="inlineStr">
        <is>
          <t>Week1-Jan-2026</t>
        </is>
      </c>
      <c r="D539" s="78" t="n">
        <v>46023</v>
      </c>
      <c r="E539" t="inlineStr">
        <is>
          <t>Q4FY26</t>
        </is>
      </c>
      <c r="F539" t="inlineStr">
        <is>
          <t>08-Jan-2026</t>
        </is>
      </c>
      <c r="G539" t="inlineStr">
        <is>
          <t>Thursday</t>
        </is>
      </c>
      <c r="H539" t="inlineStr">
        <is>
          <t>Weekly - Thursday</t>
        </is>
      </c>
      <c r="I539" t="inlineStr">
        <is>
          <t>Weekly - Thursday</t>
        </is>
      </c>
      <c r="J539" t="inlineStr">
        <is>
          <t>Same Month Expiry</t>
        </is>
      </c>
      <c r="K539" s="25" t="n">
        <v>38228435</v>
      </c>
      <c r="L539" s="26" t="n">
        <v>65320.2424</v>
      </c>
      <c r="M539" s="26" t="n">
        <v>102.2995</v>
      </c>
    </row>
    <row r="540" ht="16" customHeight="1">
      <c r="A540" t="inlineStr">
        <is>
          <t>06-Jan-2026</t>
        </is>
      </c>
      <c r="B540" t="inlineStr">
        <is>
          <t>Tuesday</t>
        </is>
      </c>
      <c r="C540" t="inlineStr">
        <is>
          <t>Week1-Jan-2026</t>
        </is>
      </c>
      <c r="D540" s="78" t="n">
        <v>46023</v>
      </c>
      <c r="E540" t="inlineStr">
        <is>
          <t>Q4FY26</t>
        </is>
      </c>
      <c r="F540" t="inlineStr">
        <is>
          <t>15-Jan-2026</t>
        </is>
      </c>
      <c r="G540" t="inlineStr">
        <is>
          <t>Thursday</t>
        </is>
      </c>
      <c r="H540" t="inlineStr">
        <is>
          <t>Weekly - Thursday</t>
        </is>
      </c>
      <c r="I540" t="inlineStr">
        <is>
          <t>Weekly - Thursday</t>
        </is>
      </c>
      <c r="J540" t="inlineStr">
        <is>
          <t>Same Month Expiry</t>
        </is>
      </c>
      <c r="K540" s="25" t="n">
        <v>392910</v>
      </c>
      <c r="L540" s="26" t="n">
        <v>672.8764</v>
      </c>
      <c r="M540" s="26" t="n">
        <v>2.0241</v>
      </c>
    </row>
    <row r="541" ht="16" customHeight="1">
      <c r="A541" t="inlineStr">
        <is>
          <t>06-Jan-2026</t>
        </is>
      </c>
      <c r="B541" t="inlineStr">
        <is>
          <t>Tuesday</t>
        </is>
      </c>
      <c r="C541" t="inlineStr">
        <is>
          <t>Week1-Jan-2026</t>
        </is>
      </c>
      <c r="D541" s="78" t="n">
        <v>46023</v>
      </c>
      <c r="E541" t="inlineStr">
        <is>
          <t>Q4FY26</t>
        </is>
      </c>
      <c r="F541" t="inlineStr">
        <is>
          <t>22-Jan-2026</t>
        </is>
      </c>
      <c r="G541" t="inlineStr">
        <is>
          <t>Thursday</t>
        </is>
      </c>
      <c r="H541" t="inlineStr">
        <is>
          <t>Weekly - Thursday</t>
        </is>
      </c>
      <c r="I541" t="inlineStr">
        <is>
          <t>Weekly - Thursday</t>
        </is>
      </c>
      <c r="J541" t="inlineStr">
        <is>
          <t>Same Month Expiry</t>
        </is>
      </c>
      <c r="K541" s="25" t="n">
        <v>2087</v>
      </c>
      <c r="L541" s="26" t="n">
        <v>3.5894</v>
      </c>
      <c r="M541" s="26" t="n">
        <v>0.0246</v>
      </c>
    </row>
    <row r="542" ht="16" customHeight="1">
      <c r="A542" t="inlineStr">
        <is>
          <t>06-Jan-2026</t>
        </is>
      </c>
      <c r="B542" t="inlineStr">
        <is>
          <t>Tuesday</t>
        </is>
      </c>
      <c r="C542" t="inlineStr">
        <is>
          <t>Week1-Jan-2026</t>
        </is>
      </c>
      <c r="D542" s="78" t="n">
        <v>46023</v>
      </c>
      <c r="E542" t="inlineStr">
        <is>
          <t>Q4FY26</t>
        </is>
      </c>
      <c r="F542" t="inlineStr">
        <is>
          <t>29-Jan-2026</t>
        </is>
      </c>
      <c r="G542" t="inlineStr">
        <is>
          <t>Thursday</t>
        </is>
      </c>
      <c r="H542" t="inlineStr">
        <is>
          <t>Monthly - Thursday</t>
        </is>
      </c>
      <c r="I542" t="inlineStr">
        <is>
          <t>Monthly - Thursday</t>
        </is>
      </c>
      <c r="J542" t="inlineStr">
        <is>
          <t>Same Month Expiry</t>
        </is>
      </c>
      <c r="K542" s="25" t="n">
        <v>23445</v>
      </c>
      <c r="L542" s="26" t="n">
        <v>40.365</v>
      </c>
      <c r="M542" s="26" t="n">
        <v>0.2343</v>
      </c>
    </row>
    <row r="543" ht="16" customHeight="1">
      <c r="A543" t="inlineStr">
        <is>
          <t>06-Jan-2026</t>
        </is>
      </c>
      <c r="B543" t="inlineStr">
        <is>
          <t>Tuesday</t>
        </is>
      </c>
      <c r="C543" t="inlineStr">
        <is>
          <t>Week1-Jan-2026</t>
        </is>
      </c>
      <c r="D543" s="78" t="n">
        <v>46023</v>
      </c>
      <c r="E543" t="inlineStr">
        <is>
          <t>Q4FY26</t>
        </is>
      </c>
      <c r="F543" t="inlineStr">
        <is>
          <t>05-Feb-2026</t>
        </is>
      </c>
      <c r="G543" t="inlineStr">
        <is>
          <t>Thursday</t>
        </is>
      </c>
      <c r="H543" t="inlineStr">
        <is>
          <t>Weekly - Thursday</t>
        </is>
      </c>
      <c r="I543" t="inlineStr">
        <is>
          <t>Weekly - Thursday</t>
        </is>
      </c>
      <c r="J543" t="inlineStr">
        <is>
          <t>Month+1 Expiry</t>
        </is>
      </c>
      <c r="K543" s="25" t="n">
        <v>10</v>
      </c>
      <c r="L543" s="26" t="n">
        <v>0.0166</v>
      </c>
      <c r="M543" s="26" t="n">
        <v>0.0001</v>
      </c>
    </row>
    <row r="544" ht="16" customHeight="1">
      <c r="A544" t="inlineStr">
        <is>
          <t>06-Jan-2026</t>
        </is>
      </c>
      <c r="B544" t="inlineStr">
        <is>
          <t>Tuesday</t>
        </is>
      </c>
      <c r="C544" t="inlineStr">
        <is>
          <t>Week1-Jan-2026</t>
        </is>
      </c>
      <c r="D544" s="78" t="n">
        <v>46023</v>
      </c>
      <c r="E544" t="inlineStr">
        <is>
          <t>Q4FY26</t>
        </is>
      </c>
      <c r="F544" t="inlineStr">
        <is>
          <t>26-Feb-2026</t>
        </is>
      </c>
      <c r="G544" t="inlineStr">
        <is>
          <t>Thursday</t>
        </is>
      </c>
      <c r="H544" t="inlineStr">
        <is>
          <t>Monthly - Thursday</t>
        </is>
      </c>
      <c r="I544" t="inlineStr">
        <is>
          <t>Monthly - Thursday</t>
        </is>
      </c>
      <c r="J544" t="inlineStr">
        <is>
          <t>Month+1 Expiry</t>
        </is>
      </c>
      <c r="K544" s="25" t="n">
        <v>243</v>
      </c>
      <c r="L544" s="26" t="n">
        <v>0.4248</v>
      </c>
      <c r="M544" s="26" t="n">
        <v>0.005</v>
      </c>
    </row>
    <row r="545" ht="16" customHeight="1">
      <c r="A545" t="inlineStr">
        <is>
          <t>06-Jan-2026</t>
        </is>
      </c>
      <c r="B545" t="inlineStr">
        <is>
          <t>Tuesday</t>
        </is>
      </c>
      <c r="C545" t="inlineStr">
        <is>
          <t>Week1-Jan-2026</t>
        </is>
      </c>
      <c r="D545" s="78" t="n">
        <v>46023</v>
      </c>
      <c r="E545" t="inlineStr">
        <is>
          <t>Q4FY26</t>
        </is>
      </c>
      <c r="F545" t="inlineStr">
        <is>
          <t>25-Mar-2026</t>
        </is>
      </c>
      <c r="G545" t="inlineStr">
        <is>
          <t>Wednesday</t>
        </is>
      </c>
      <c r="H545" t="inlineStr">
        <is>
          <t>Monthly - Wednesday</t>
        </is>
      </c>
      <c r="I545" t="inlineStr">
        <is>
          <t>Monthly - Wednesday</t>
        </is>
      </c>
      <c r="J545" t="inlineStr">
        <is>
          <t>Month+2 Expiry</t>
        </is>
      </c>
      <c r="K545" s="25" t="n">
        <v>0</v>
      </c>
      <c r="L545" s="26" t="n">
        <v>0</v>
      </c>
      <c r="M545" s="26" t="n">
        <v>0</v>
      </c>
    </row>
    <row r="546" ht="16" customHeight="1">
      <c r="A546" t="inlineStr">
        <is>
          <t>07-Jan-2026</t>
        </is>
      </c>
      <c r="B546" t="inlineStr">
        <is>
          <t>Wednesday</t>
        </is>
      </c>
      <c r="C546" t="inlineStr">
        <is>
          <t>Week1-Jan-2026</t>
        </is>
      </c>
      <c r="D546" s="78" t="n">
        <v>46023</v>
      </c>
      <c r="E546" t="inlineStr">
        <is>
          <t>Q4FY26</t>
        </is>
      </c>
      <c r="F546" t="inlineStr">
        <is>
          <t>08-Jan-2026</t>
        </is>
      </c>
      <c r="G546" t="inlineStr">
        <is>
          <t>Thursday</t>
        </is>
      </c>
      <c r="H546" t="inlineStr">
        <is>
          <t>Weekly - Thursday</t>
        </is>
      </c>
      <c r="I546" t="inlineStr">
        <is>
          <t>Weekly - Thursday</t>
        </is>
      </c>
      <c r="J546" t="inlineStr">
        <is>
          <t>Same Month Expiry</t>
        </is>
      </c>
      <c r="K546" s="25" t="n">
        <v>142154055</v>
      </c>
      <c r="L546" s="26" t="n">
        <v>241905.8218</v>
      </c>
      <c r="M546" s="26" t="n">
        <v>274.0381</v>
      </c>
    </row>
    <row r="547" ht="16" customHeight="1">
      <c r="A547" t="inlineStr">
        <is>
          <t>07-Jan-2026</t>
        </is>
      </c>
      <c r="B547" t="inlineStr">
        <is>
          <t>Wednesday</t>
        </is>
      </c>
      <c r="C547" t="inlineStr">
        <is>
          <t>Week1-Jan-2026</t>
        </is>
      </c>
      <c r="D547" s="78" t="n">
        <v>46023</v>
      </c>
      <c r="E547" t="inlineStr">
        <is>
          <t>Q4FY26</t>
        </is>
      </c>
      <c r="F547" t="inlineStr">
        <is>
          <t>15-Jan-2026</t>
        </is>
      </c>
      <c r="G547" t="inlineStr">
        <is>
          <t>Thursday</t>
        </is>
      </c>
      <c r="H547" t="inlineStr">
        <is>
          <t>Weekly - Thursday</t>
        </is>
      </c>
      <c r="I547" t="inlineStr">
        <is>
          <t>Weekly - Thursday</t>
        </is>
      </c>
      <c r="J547" t="inlineStr">
        <is>
          <t>Same Month Expiry</t>
        </is>
      </c>
      <c r="K547" s="25" t="n">
        <v>821106</v>
      </c>
      <c r="L547" s="26" t="n">
        <v>1403.7252</v>
      </c>
      <c r="M547" s="26" t="n">
        <v>3.2107</v>
      </c>
    </row>
    <row r="548" ht="16" customHeight="1">
      <c r="A548" t="inlineStr">
        <is>
          <t>07-Jan-2026</t>
        </is>
      </c>
      <c r="B548" t="inlineStr">
        <is>
          <t>Wednesday</t>
        </is>
      </c>
      <c r="C548" t="inlineStr">
        <is>
          <t>Week1-Jan-2026</t>
        </is>
      </c>
      <c r="D548" s="78" t="n">
        <v>46023</v>
      </c>
      <c r="E548" t="inlineStr">
        <is>
          <t>Q4FY26</t>
        </is>
      </c>
      <c r="F548" t="inlineStr">
        <is>
          <t>22-Jan-2026</t>
        </is>
      </c>
      <c r="G548" t="inlineStr">
        <is>
          <t>Thursday</t>
        </is>
      </c>
      <c r="H548" t="inlineStr">
        <is>
          <t>Weekly - Thursday</t>
        </is>
      </c>
      <c r="I548" t="inlineStr">
        <is>
          <t>Weekly - Thursday</t>
        </is>
      </c>
      <c r="J548" t="inlineStr">
        <is>
          <t>Same Month Expiry</t>
        </is>
      </c>
      <c r="K548" s="25" t="n">
        <v>4405</v>
      </c>
      <c r="L548" s="26" t="n">
        <v>7.556</v>
      </c>
      <c r="M548" s="26" t="n">
        <v>0.0448</v>
      </c>
    </row>
    <row r="549" ht="16" customHeight="1">
      <c r="A549" t="inlineStr">
        <is>
          <t>07-Jan-2026</t>
        </is>
      </c>
      <c r="B549" t="inlineStr">
        <is>
          <t>Wednesday</t>
        </is>
      </c>
      <c r="C549" t="inlineStr">
        <is>
          <t>Week1-Jan-2026</t>
        </is>
      </c>
      <c r="D549" s="78" t="n">
        <v>46023</v>
      </c>
      <c r="E549" t="inlineStr">
        <is>
          <t>Q4FY26</t>
        </is>
      </c>
      <c r="F549" t="inlineStr">
        <is>
          <t>29-Jan-2026</t>
        </is>
      </c>
      <c r="G549" t="inlineStr">
        <is>
          <t>Thursday</t>
        </is>
      </c>
      <c r="H549" t="inlineStr">
        <is>
          <t>Monthly - Thursday</t>
        </is>
      </c>
      <c r="I549" t="inlineStr">
        <is>
          <t>Monthly - Thursday</t>
        </is>
      </c>
      <c r="J549" t="inlineStr">
        <is>
          <t>Same Month Expiry</t>
        </is>
      </c>
      <c r="K549" s="25" t="n">
        <v>26023</v>
      </c>
      <c r="L549" s="26" t="n">
        <v>44.6806</v>
      </c>
      <c r="M549" s="26" t="n">
        <v>0.2449</v>
      </c>
    </row>
    <row r="550" ht="16" customHeight="1">
      <c r="A550" t="inlineStr">
        <is>
          <t>07-Jan-2026</t>
        </is>
      </c>
      <c r="B550" t="inlineStr">
        <is>
          <t>Wednesday</t>
        </is>
      </c>
      <c r="C550" t="inlineStr">
        <is>
          <t>Week1-Jan-2026</t>
        </is>
      </c>
      <c r="D550" s="78" t="n">
        <v>46023</v>
      </c>
      <c r="E550" t="inlineStr">
        <is>
          <t>Q4FY26</t>
        </is>
      </c>
      <c r="F550" t="inlineStr">
        <is>
          <t>05-Feb-2026</t>
        </is>
      </c>
      <c r="G550" t="inlineStr">
        <is>
          <t>Thursday</t>
        </is>
      </c>
      <c r="H550" t="inlineStr">
        <is>
          <t>Weekly - Thursday</t>
        </is>
      </c>
      <c r="I550" t="inlineStr">
        <is>
          <t>Weekly - Thursday</t>
        </is>
      </c>
      <c r="J550" t="inlineStr">
        <is>
          <t>Month+1 Expiry</t>
        </is>
      </c>
      <c r="K550" s="25" t="n">
        <v>37</v>
      </c>
      <c r="L550" s="26" t="n">
        <v>0.0644</v>
      </c>
      <c r="M550" s="26" t="n">
        <v>0.0001</v>
      </c>
    </row>
    <row r="551" ht="16" customHeight="1">
      <c r="A551" t="inlineStr">
        <is>
          <t>07-Jan-2026</t>
        </is>
      </c>
      <c r="B551" t="inlineStr">
        <is>
          <t>Wednesday</t>
        </is>
      </c>
      <c r="C551" t="inlineStr">
        <is>
          <t>Week1-Jan-2026</t>
        </is>
      </c>
      <c r="D551" s="78" t="n">
        <v>46023</v>
      </c>
      <c r="E551" t="inlineStr">
        <is>
          <t>Q4FY26</t>
        </is>
      </c>
      <c r="F551" t="inlineStr">
        <is>
          <t>12-Feb-2026</t>
        </is>
      </c>
      <c r="G551" t="inlineStr">
        <is>
          <t>Thursday</t>
        </is>
      </c>
      <c r="H551" t="inlineStr">
        <is>
          <t>Weekly - Thursday</t>
        </is>
      </c>
      <c r="I551" t="inlineStr">
        <is>
          <t>Weekly - Thursday</t>
        </is>
      </c>
      <c r="J551" t="inlineStr">
        <is>
          <t>Month+1 Expiry</t>
        </is>
      </c>
      <c r="K551" s="25" t="n">
        <v>2</v>
      </c>
      <c r="L551" s="26" t="n">
        <v>0.0032</v>
      </c>
      <c r="M551" s="26" t="n">
        <v>0</v>
      </c>
    </row>
    <row r="552" ht="16" customHeight="1">
      <c r="A552" t="inlineStr">
        <is>
          <t>07-Jan-2026</t>
        </is>
      </c>
      <c r="B552" t="inlineStr">
        <is>
          <t>Wednesday</t>
        </is>
      </c>
      <c r="C552" t="inlineStr">
        <is>
          <t>Week1-Jan-2026</t>
        </is>
      </c>
      <c r="D552" s="78" t="n">
        <v>46023</v>
      </c>
      <c r="E552" t="inlineStr">
        <is>
          <t>Q4FY26</t>
        </is>
      </c>
      <c r="F552" t="inlineStr">
        <is>
          <t>19-Feb-2026</t>
        </is>
      </c>
      <c r="G552" t="inlineStr">
        <is>
          <t>Thursday</t>
        </is>
      </c>
      <c r="H552" t="inlineStr">
        <is>
          <t>Weekly - Thursday</t>
        </is>
      </c>
      <c r="I552" t="inlineStr">
        <is>
          <t>Weekly - Thursday</t>
        </is>
      </c>
      <c r="J552" t="inlineStr">
        <is>
          <t>Month+1 Expiry</t>
        </is>
      </c>
      <c r="K552" s="25" t="n">
        <v>1</v>
      </c>
      <c r="L552" s="26" t="n">
        <v>0.0017</v>
      </c>
      <c r="M552" s="26" t="n">
        <v>0</v>
      </c>
    </row>
    <row r="553" ht="16" customHeight="1">
      <c r="A553" t="inlineStr">
        <is>
          <t>07-Jan-2026</t>
        </is>
      </c>
      <c r="B553" t="inlineStr">
        <is>
          <t>Wednesday</t>
        </is>
      </c>
      <c r="C553" t="inlineStr">
        <is>
          <t>Week1-Jan-2026</t>
        </is>
      </c>
      <c r="D553" s="78" t="n">
        <v>46023</v>
      </c>
      <c r="E553" t="inlineStr">
        <is>
          <t>Q4FY26</t>
        </is>
      </c>
      <c r="F553" t="inlineStr">
        <is>
          <t>26-Feb-2026</t>
        </is>
      </c>
      <c r="G553" t="inlineStr">
        <is>
          <t>Thursday</t>
        </is>
      </c>
      <c r="H553" t="inlineStr">
        <is>
          <t>Monthly - Thursday</t>
        </is>
      </c>
      <c r="I553" t="inlineStr">
        <is>
          <t>Monthly - Thursday</t>
        </is>
      </c>
      <c r="J553" t="inlineStr">
        <is>
          <t>Month+1 Expiry</t>
        </is>
      </c>
      <c r="K553" s="25" t="n">
        <v>334</v>
      </c>
      <c r="L553" s="26" t="n">
        <v>0.5788</v>
      </c>
      <c r="M553" s="26" t="n">
        <v>0.008999999999999999</v>
      </c>
    </row>
    <row r="554" ht="16" customHeight="1">
      <c r="A554" t="inlineStr">
        <is>
          <t>07-Jan-2026</t>
        </is>
      </c>
      <c r="B554" t="inlineStr">
        <is>
          <t>Wednesday</t>
        </is>
      </c>
      <c r="C554" t="inlineStr">
        <is>
          <t>Week1-Jan-2026</t>
        </is>
      </c>
      <c r="D554" s="78" t="n">
        <v>46023</v>
      </c>
      <c r="E554" t="inlineStr">
        <is>
          <t>Q4FY26</t>
        </is>
      </c>
      <c r="F554" t="inlineStr">
        <is>
          <t>25-Mar-2026</t>
        </is>
      </c>
      <c r="G554" t="inlineStr">
        <is>
          <t>Wednesday</t>
        </is>
      </c>
      <c r="H554" t="inlineStr">
        <is>
          <t>Monthly - Wednesday</t>
        </is>
      </c>
      <c r="I554" t="inlineStr">
        <is>
          <t>Monthly - Wednesday</t>
        </is>
      </c>
      <c r="J554" t="inlineStr">
        <is>
          <t>Month+2 Expiry</t>
        </is>
      </c>
      <c r="K554" s="25" t="n">
        <v>0</v>
      </c>
      <c r="L554" s="26" t="n">
        <v>0</v>
      </c>
      <c r="M554" s="26" t="n">
        <v>0</v>
      </c>
    </row>
    <row r="555" ht="16" customHeight="1">
      <c r="A555" t="inlineStr">
        <is>
          <t>08-Jan-2026</t>
        </is>
      </c>
      <c r="B555" t="inlineStr">
        <is>
          <t>Thursday</t>
        </is>
      </c>
      <c r="C555" t="inlineStr">
        <is>
          <t>Week2-Jan-2026</t>
        </is>
      </c>
      <c r="D555" s="78" t="n">
        <v>46023</v>
      </c>
      <c r="E555" t="inlineStr">
        <is>
          <t>Q4FY26</t>
        </is>
      </c>
      <c r="F555" t="inlineStr">
        <is>
          <t>08-Jan-2026</t>
        </is>
      </c>
      <c r="G555" t="inlineStr">
        <is>
          <t>Thursday</t>
        </is>
      </c>
      <c r="H555" t="inlineStr">
        <is>
          <t>Weekly - Thursday</t>
        </is>
      </c>
      <c r="I555" t="inlineStr">
        <is>
          <t>Weekly - Thursday</t>
        </is>
      </c>
      <c r="J555" t="inlineStr">
        <is>
          <t>Same Month Expiry</t>
        </is>
      </c>
      <c r="K555" s="25" t="n">
        <v>469209067</v>
      </c>
      <c r="L555" s="26" t="n">
        <v>793500.0681</v>
      </c>
      <c r="M555" s="26" t="n">
        <v>445.985</v>
      </c>
    </row>
    <row r="556" ht="16" customHeight="1">
      <c r="A556" t="inlineStr">
        <is>
          <t>08-Jan-2026</t>
        </is>
      </c>
      <c r="B556" t="inlineStr">
        <is>
          <t>Thursday</t>
        </is>
      </c>
      <c r="C556" t="inlineStr">
        <is>
          <t>Week2-Jan-2026</t>
        </is>
      </c>
      <c r="D556" s="78" t="n">
        <v>46023</v>
      </c>
      <c r="E556" t="inlineStr">
        <is>
          <t>Q4FY26</t>
        </is>
      </c>
      <c r="F556" t="inlineStr">
        <is>
          <t>15-Jan-2026</t>
        </is>
      </c>
      <c r="G556" t="inlineStr">
        <is>
          <t>Thursday</t>
        </is>
      </c>
      <c r="H556" t="inlineStr">
        <is>
          <t>Weekly - Thursday</t>
        </is>
      </c>
      <c r="I556" t="inlineStr">
        <is>
          <t>Weekly - Thursday</t>
        </is>
      </c>
      <c r="J556" t="inlineStr">
        <is>
          <t>Same Month Expiry</t>
        </is>
      </c>
      <c r="K556" s="25" t="n">
        <v>3116341</v>
      </c>
      <c r="L556" s="26" t="n">
        <v>5297.9843</v>
      </c>
      <c r="M556" s="26" t="n">
        <v>11.6997</v>
      </c>
    </row>
    <row r="557" ht="16" customHeight="1">
      <c r="A557" t="inlineStr">
        <is>
          <t>08-Jan-2026</t>
        </is>
      </c>
      <c r="B557" t="inlineStr">
        <is>
          <t>Thursday</t>
        </is>
      </c>
      <c r="C557" t="inlineStr">
        <is>
          <t>Week2-Jan-2026</t>
        </is>
      </c>
      <c r="D557" s="78" t="n">
        <v>46023</v>
      </c>
      <c r="E557" t="inlineStr">
        <is>
          <t>Q4FY26</t>
        </is>
      </c>
      <c r="F557" t="inlineStr">
        <is>
          <t>22-Jan-2026</t>
        </is>
      </c>
      <c r="G557" t="inlineStr">
        <is>
          <t>Thursday</t>
        </is>
      </c>
      <c r="H557" t="inlineStr">
        <is>
          <t>Weekly - Thursday</t>
        </is>
      </c>
      <c r="I557" t="inlineStr">
        <is>
          <t>Weekly - Thursday</t>
        </is>
      </c>
      <c r="J557" t="inlineStr">
        <is>
          <t>Same Month Expiry</t>
        </is>
      </c>
      <c r="K557" s="25" t="n">
        <v>15737</v>
      </c>
      <c r="L557" s="26" t="n">
        <v>26.8507</v>
      </c>
      <c r="M557" s="26" t="n">
        <v>0.1388</v>
      </c>
    </row>
    <row r="558" ht="16" customHeight="1">
      <c r="A558" t="inlineStr">
        <is>
          <t>08-Jan-2026</t>
        </is>
      </c>
      <c r="B558" t="inlineStr">
        <is>
          <t>Thursday</t>
        </is>
      </c>
      <c r="C558" t="inlineStr">
        <is>
          <t>Week2-Jan-2026</t>
        </is>
      </c>
      <c r="D558" s="78" t="n">
        <v>46023</v>
      </c>
      <c r="E558" t="inlineStr">
        <is>
          <t>Q4FY26</t>
        </is>
      </c>
      <c r="F558" t="inlineStr">
        <is>
          <t>29-Jan-2026</t>
        </is>
      </c>
      <c r="G558" t="inlineStr">
        <is>
          <t>Thursday</t>
        </is>
      </c>
      <c r="H558" t="inlineStr">
        <is>
          <t>Monthly - Thursday</t>
        </is>
      </c>
      <c r="I558" t="inlineStr">
        <is>
          <t>Monthly - Thursday</t>
        </is>
      </c>
      <c r="J558" t="inlineStr">
        <is>
          <t>Same Month Expiry</t>
        </is>
      </c>
      <c r="K558" s="25" t="n">
        <v>48926</v>
      </c>
      <c r="L558" s="26" t="n">
        <v>83.59099999999999</v>
      </c>
      <c r="M558" s="26" t="n">
        <v>0.4951</v>
      </c>
    </row>
    <row r="559" ht="16" customHeight="1">
      <c r="A559" t="inlineStr">
        <is>
          <t>08-Jan-2026</t>
        </is>
      </c>
      <c r="B559" t="inlineStr">
        <is>
          <t>Thursday</t>
        </is>
      </c>
      <c r="C559" t="inlineStr">
        <is>
          <t>Week2-Jan-2026</t>
        </is>
      </c>
      <c r="D559" s="78" t="n">
        <v>46023</v>
      </c>
      <c r="E559" t="inlineStr">
        <is>
          <t>Q4FY26</t>
        </is>
      </c>
      <c r="F559" t="inlineStr">
        <is>
          <t>05-Feb-2026</t>
        </is>
      </c>
      <c r="G559" t="inlineStr">
        <is>
          <t>Thursday</t>
        </is>
      </c>
      <c r="H559" t="inlineStr">
        <is>
          <t>Weekly - Thursday</t>
        </is>
      </c>
      <c r="I559" t="inlineStr">
        <is>
          <t>Weekly - Thursday</t>
        </is>
      </c>
      <c r="J559" t="inlineStr">
        <is>
          <t>Month+1 Expiry</t>
        </is>
      </c>
      <c r="K559" s="25" t="n">
        <v>18</v>
      </c>
      <c r="L559" s="26" t="n">
        <v>0.0306</v>
      </c>
      <c r="M559" s="26" t="n">
        <v>0</v>
      </c>
    </row>
    <row r="560" ht="16" customHeight="1">
      <c r="A560" t="inlineStr">
        <is>
          <t>08-Jan-2026</t>
        </is>
      </c>
      <c r="B560" t="inlineStr">
        <is>
          <t>Thursday</t>
        </is>
      </c>
      <c r="C560" t="inlineStr">
        <is>
          <t>Week2-Jan-2026</t>
        </is>
      </c>
      <c r="D560" s="78" t="n">
        <v>46023</v>
      </c>
      <c r="E560" t="inlineStr">
        <is>
          <t>Q4FY26</t>
        </is>
      </c>
      <c r="F560" t="inlineStr">
        <is>
          <t>12-Feb-2026</t>
        </is>
      </c>
      <c r="G560" t="inlineStr">
        <is>
          <t>Thursday</t>
        </is>
      </c>
      <c r="H560" t="inlineStr">
        <is>
          <t>Weekly - Thursday</t>
        </is>
      </c>
      <c r="I560" t="inlineStr">
        <is>
          <t>Weekly - Thursday</t>
        </is>
      </c>
      <c r="J560" t="inlineStr">
        <is>
          <t>Month+1 Expiry</t>
        </is>
      </c>
      <c r="K560" s="25" t="n">
        <v>0</v>
      </c>
      <c r="L560" s="26" t="n">
        <v>0</v>
      </c>
      <c r="M560" s="26" t="n">
        <v>0</v>
      </c>
    </row>
    <row r="561" ht="16" customHeight="1">
      <c r="A561" t="inlineStr">
        <is>
          <t>08-Jan-2026</t>
        </is>
      </c>
      <c r="B561" t="inlineStr">
        <is>
          <t>Thursday</t>
        </is>
      </c>
      <c r="C561" t="inlineStr">
        <is>
          <t>Week2-Jan-2026</t>
        </is>
      </c>
      <c r="D561" s="78" t="n">
        <v>46023</v>
      </c>
      <c r="E561" t="inlineStr">
        <is>
          <t>Q4FY26</t>
        </is>
      </c>
      <c r="F561" t="inlineStr">
        <is>
          <t>19-Feb-2026</t>
        </is>
      </c>
      <c r="G561" t="inlineStr">
        <is>
          <t>Thursday</t>
        </is>
      </c>
      <c r="H561" t="inlineStr">
        <is>
          <t>Weekly - Thursday</t>
        </is>
      </c>
      <c r="I561" t="inlineStr">
        <is>
          <t>Weekly - Thursday</t>
        </is>
      </c>
      <c r="J561" t="inlineStr">
        <is>
          <t>Month+1 Expiry</t>
        </is>
      </c>
      <c r="K561" s="25" t="n">
        <v>0</v>
      </c>
      <c r="L561" s="26" t="n">
        <v>0</v>
      </c>
      <c r="M561" s="26" t="n">
        <v>0</v>
      </c>
    </row>
    <row r="562" ht="16" customHeight="1">
      <c r="A562" t="inlineStr">
        <is>
          <t>08-Jan-2026</t>
        </is>
      </c>
      <c r="B562" t="inlineStr">
        <is>
          <t>Thursday</t>
        </is>
      </c>
      <c r="C562" t="inlineStr">
        <is>
          <t>Week2-Jan-2026</t>
        </is>
      </c>
      <c r="D562" s="78" t="n">
        <v>46023</v>
      </c>
      <c r="E562" t="inlineStr">
        <is>
          <t>Q4FY26</t>
        </is>
      </c>
      <c r="F562" t="inlineStr">
        <is>
          <t>26-Feb-2026</t>
        </is>
      </c>
      <c r="G562" t="inlineStr">
        <is>
          <t>Thursday</t>
        </is>
      </c>
      <c r="H562" t="inlineStr">
        <is>
          <t>Monthly - Thursday</t>
        </is>
      </c>
      <c r="I562" t="inlineStr">
        <is>
          <t>Monthly - Thursday</t>
        </is>
      </c>
      <c r="J562" t="inlineStr">
        <is>
          <t>Month+1 Expiry</t>
        </is>
      </c>
      <c r="K562" s="25" t="n">
        <v>1598</v>
      </c>
      <c r="L562" s="26" t="n">
        <v>2.7568</v>
      </c>
      <c r="M562" s="26" t="n">
        <v>0.0347</v>
      </c>
    </row>
    <row r="563" ht="16" customHeight="1">
      <c r="A563" t="inlineStr">
        <is>
          <t>08-Jan-2026</t>
        </is>
      </c>
      <c r="B563" t="inlineStr">
        <is>
          <t>Thursday</t>
        </is>
      </c>
      <c r="C563" t="inlineStr">
        <is>
          <t>Week2-Jan-2026</t>
        </is>
      </c>
      <c r="D563" s="78" t="n">
        <v>46023</v>
      </c>
      <c r="E563" t="inlineStr">
        <is>
          <t>Q4FY26</t>
        </is>
      </c>
      <c r="F563" t="inlineStr">
        <is>
          <t>25-Mar-2026</t>
        </is>
      </c>
      <c r="G563" t="inlineStr">
        <is>
          <t>Wednesday</t>
        </is>
      </c>
      <c r="H563" t="inlineStr">
        <is>
          <t>Monthly - Wednesday</t>
        </is>
      </c>
      <c r="I563" t="inlineStr">
        <is>
          <t>Monthly - Wednesday</t>
        </is>
      </c>
      <c r="J563" t="inlineStr">
        <is>
          <t>Month+2 Expiry</t>
        </is>
      </c>
      <c r="K563" s="25" t="n">
        <v>0</v>
      </c>
      <c r="L563" s="26" t="n">
        <v>0</v>
      </c>
      <c r="M563" s="26" t="n">
        <v>0</v>
      </c>
    </row>
    <row r="564" ht="16" customHeight="1">
      <c r="A564" t="inlineStr">
        <is>
          <t>09-Jan-2026</t>
        </is>
      </c>
      <c r="B564" t="inlineStr">
        <is>
          <t>Friday</t>
        </is>
      </c>
      <c r="C564" t="inlineStr">
        <is>
          <t>Week2-Jan-2026</t>
        </is>
      </c>
      <c r="D564" s="78" t="n">
        <v>46023</v>
      </c>
      <c r="E564" t="inlineStr">
        <is>
          <t>Q4FY26</t>
        </is>
      </c>
      <c r="F564" t="inlineStr">
        <is>
          <t>15-Jan-2026</t>
        </is>
      </c>
      <c r="G564" t="inlineStr">
        <is>
          <t>Thursday</t>
        </is>
      </c>
      <c r="H564" t="inlineStr">
        <is>
          <t>Weekly - Thursday</t>
        </is>
      </c>
      <c r="I564" t="inlineStr">
        <is>
          <t>Weekly - Thursday</t>
        </is>
      </c>
      <c r="J564" t="inlineStr">
        <is>
          <t>Same Month Expiry</t>
        </is>
      </c>
      <c r="K564" s="25" t="n">
        <v>30504563</v>
      </c>
      <c r="L564" s="26" t="n">
        <v>51332.3595</v>
      </c>
      <c r="M564" s="26" t="n">
        <v>128.8839</v>
      </c>
    </row>
    <row r="565" ht="16" customHeight="1">
      <c r="A565" t="inlineStr">
        <is>
          <t>09-Jan-2026</t>
        </is>
      </c>
      <c r="B565" t="inlineStr">
        <is>
          <t>Friday</t>
        </is>
      </c>
      <c r="C565" t="inlineStr">
        <is>
          <t>Week2-Jan-2026</t>
        </is>
      </c>
      <c r="D565" s="78" t="n">
        <v>46023</v>
      </c>
      <c r="E565" t="inlineStr">
        <is>
          <t>Q4FY26</t>
        </is>
      </c>
      <c r="F565" t="inlineStr">
        <is>
          <t>22-Jan-2026</t>
        </is>
      </c>
      <c r="G565" t="inlineStr">
        <is>
          <t>Thursday</t>
        </is>
      </c>
      <c r="H565" t="inlineStr">
        <is>
          <t>Weekly - Thursday</t>
        </is>
      </c>
      <c r="I565" t="inlineStr">
        <is>
          <t>Weekly - Thursday</t>
        </is>
      </c>
      <c r="J565" t="inlineStr">
        <is>
          <t>Same Month Expiry</t>
        </is>
      </c>
      <c r="K565" s="25" t="n">
        <v>105185</v>
      </c>
      <c r="L565" s="26" t="n">
        <v>178.1284</v>
      </c>
      <c r="M565" s="26" t="n">
        <v>0.7954</v>
      </c>
    </row>
    <row r="566" ht="16" customHeight="1">
      <c r="A566" t="inlineStr">
        <is>
          <t>09-Jan-2026</t>
        </is>
      </c>
      <c r="B566" t="inlineStr">
        <is>
          <t>Friday</t>
        </is>
      </c>
      <c r="C566" t="inlineStr">
        <is>
          <t>Week2-Jan-2026</t>
        </is>
      </c>
      <c r="D566" s="78" t="n">
        <v>46023</v>
      </c>
      <c r="E566" t="inlineStr">
        <is>
          <t>Q4FY26</t>
        </is>
      </c>
      <c r="F566" t="inlineStr">
        <is>
          <t>29-Jan-2026</t>
        </is>
      </c>
      <c r="G566" t="inlineStr">
        <is>
          <t>Thursday</t>
        </is>
      </c>
      <c r="H566" t="inlineStr">
        <is>
          <t>Monthly - Thursday</t>
        </is>
      </c>
      <c r="I566" t="inlineStr">
        <is>
          <t>Monthly - Thursday</t>
        </is>
      </c>
      <c r="J566" t="inlineStr">
        <is>
          <t>Same Month Expiry</t>
        </is>
      </c>
      <c r="K566" s="25" t="n">
        <v>61918</v>
      </c>
      <c r="L566" s="26" t="n">
        <v>105.0644</v>
      </c>
      <c r="M566" s="26" t="n">
        <v>0.577</v>
      </c>
    </row>
    <row r="567" ht="16" customHeight="1">
      <c r="A567" t="inlineStr">
        <is>
          <t>09-Jan-2026</t>
        </is>
      </c>
      <c r="B567" t="inlineStr">
        <is>
          <t>Friday</t>
        </is>
      </c>
      <c r="C567" t="inlineStr">
        <is>
          <t>Week2-Jan-2026</t>
        </is>
      </c>
      <c r="D567" s="78" t="n">
        <v>46023</v>
      </c>
      <c r="E567" t="inlineStr">
        <is>
          <t>Q4FY26</t>
        </is>
      </c>
      <c r="F567" t="inlineStr">
        <is>
          <t>05-Feb-2026</t>
        </is>
      </c>
      <c r="G567" t="inlineStr">
        <is>
          <t>Thursday</t>
        </is>
      </c>
      <c r="H567" t="inlineStr">
        <is>
          <t>Weekly - Thursday</t>
        </is>
      </c>
      <c r="I567" t="inlineStr">
        <is>
          <t>Weekly - Thursday</t>
        </is>
      </c>
      <c r="J567" t="inlineStr">
        <is>
          <t>Month+1 Expiry</t>
        </is>
      </c>
      <c r="K567" s="25" t="n">
        <v>654</v>
      </c>
      <c r="L567" s="26" t="n">
        <v>1.1208</v>
      </c>
      <c r="M567" s="26" t="n">
        <v>0.0122</v>
      </c>
    </row>
    <row r="568" ht="16" customHeight="1">
      <c r="A568" t="inlineStr">
        <is>
          <t>09-Jan-2026</t>
        </is>
      </c>
      <c r="B568" t="inlineStr">
        <is>
          <t>Friday</t>
        </is>
      </c>
      <c r="C568" t="inlineStr">
        <is>
          <t>Week2-Jan-2026</t>
        </is>
      </c>
      <c r="D568" s="78" t="n">
        <v>46023</v>
      </c>
      <c r="E568" t="inlineStr">
        <is>
          <t>Q4FY26</t>
        </is>
      </c>
      <c r="F568" t="inlineStr">
        <is>
          <t>12-Feb-2026</t>
        </is>
      </c>
      <c r="G568" t="inlineStr">
        <is>
          <t>Thursday</t>
        </is>
      </c>
      <c r="H568" t="inlineStr">
        <is>
          <t>Weekly - Thursday</t>
        </is>
      </c>
      <c r="I568" t="inlineStr">
        <is>
          <t>Weekly - Thursday</t>
        </is>
      </c>
      <c r="J568" t="inlineStr">
        <is>
          <t>Month+1 Expiry</t>
        </is>
      </c>
      <c r="K568" s="25" t="n">
        <v>0</v>
      </c>
      <c r="L568" s="26" t="n">
        <v>0</v>
      </c>
      <c r="M568" s="26" t="n">
        <v>0</v>
      </c>
    </row>
    <row r="569" ht="16" customHeight="1">
      <c r="A569" t="inlineStr">
        <is>
          <t>09-Jan-2026</t>
        </is>
      </c>
      <c r="B569" t="inlineStr">
        <is>
          <t>Friday</t>
        </is>
      </c>
      <c r="C569" t="inlineStr">
        <is>
          <t>Week2-Jan-2026</t>
        </is>
      </c>
      <c r="D569" s="78" t="n">
        <v>46023</v>
      </c>
      <c r="E569" t="inlineStr">
        <is>
          <t>Q4FY26</t>
        </is>
      </c>
      <c r="F569" t="inlineStr">
        <is>
          <t>19-Feb-2026</t>
        </is>
      </c>
      <c r="G569" t="inlineStr">
        <is>
          <t>Thursday</t>
        </is>
      </c>
      <c r="H569" t="inlineStr">
        <is>
          <t>Weekly - Thursday</t>
        </is>
      </c>
      <c r="I569" t="inlineStr">
        <is>
          <t>Weekly - Thursday</t>
        </is>
      </c>
      <c r="J569" t="inlineStr">
        <is>
          <t>Month+1 Expiry</t>
        </is>
      </c>
      <c r="K569" s="25" t="n">
        <v>1</v>
      </c>
      <c r="L569" s="26" t="n">
        <v>0.0017</v>
      </c>
      <c r="M569" s="26" t="n">
        <v>0</v>
      </c>
    </row>
    <row r="570" ht="16" customHeight="1">
      <c r="A570" t="inlineStr">
        <is>
          <t>09-Jan-2026</t>
        </is>
      </c>
      <c r="B570" t="inlineStr">
        <is>
          <t>Friday</t>
        </is>
      </c>
      <c r="C570" t="inlineStr">
        <is>
          <t>Week2-Jan-2026</t>
        </is>
      </c>
      <c r="D570" s="78" t="n">
        <v>46023</v>
      </c>
      <c r="E570" t="inlineStr">
        <is>
          <t>Q4FY26</t>
        </is>
      </c>
      <c r="F570" t="inlineStr">
        <is>
          <t>26-Feb-2026</t>
        </is>
      </c>
      <c r="G570" t="inlineStr">
        <is>
          <t>Thursday</t>
        </is>
      </c>
      <c r="H570" t="inlineStr">
        <is>
          <t>Monthly - Thursday</t>
        </is>
      </c>
      <c r="I570" t="inlineStr">
        <is>
          <t>Monthly - Thursday</t>
        </is>
      </c>
      <c r="J570" t="inlineStr">
        <is>
          <t>Month+1 Expiry</t>
        </is>
      </c>
      <c r="K570" s="25" t="n">
        <v>2100</v>
      </c>
      <c r="L570" s="26" t="n">
        <v>3.609</v>
      </c>
      <c r="M570" s="26" t="n">
        <v>0.0391</v>
      </c>
    </row>
    <row r="571" ht="16" customHeight="1">
      <c r="A571" t="inlineStr">
        <is>
          <t>09-Jan-2026</t>
        </is>
      </c>
      <c r="B571" t="inlineStr">
        <is>
          <t>Friday</t>
        </is>
      </c>
      <c r="C571" t="inlineStr">
        <is>
          <t>Week2-Jan-2026</t>
        </is>
      </c>
      <c r="D571" s="78" t="n">
        <v>46023</v>
      </c>
      <c r="E571" t="inlineStr">
        <is>
          <t>Q4FY26</t>
        </is>
      </c>
      <c r="F571" t="inlineStr">
        <is>
          <t>25-Mar-2026</t>
        </is>
      </c>
      <c r="G571" t="inlineStr">
        <is>
          <t>Wednesday</t>
        </is>
      </c>
      <c r="H571" t="inlineStr">
        <is>
          <t>Monthly - Wednesday</t>
        </is>
      </c>
      <c r="I571" t="inlineStr">
        <is>
          <t>Monthly - Wednesday</t>
        </is>
      </c>
      <c r="J571" t="inlineStr">
        <is>
          <t>Month+2 Expiry</t>
        </is>
      </c>
      <c r="K571" s="25" t="n">
        <v>0</v>
      </c>
      <c r="L571" s="26" t="n">
        <v>0</v>
      </c>
      <c r="M571" s="26" t="n">
        <v>0</v>
      </c>
    </row>
    <row r="572" ht="16" customHeight="1">
      <c r="A572" t="inlineStr">
        <is>
          <t>12-Jan-2026</t>
        </is>
      </c>
      <c r="B572" t="inlineStr">
        <is>
          <t>Monday</t>
        </is>
      </c>
      <c r="C572" t="inlineStr">
        <is>
          <t>Week2-Jan-2026</t>
        </is>
      </c>
      <c r="D572" s="78" t="n">
        <v>46023</v>
      </c>
      <c r="E572" t="inlineStr">
        <is>
          <t>Q4FY26</t>
        </is>
      </c>
      <c r="F572" t="inlineStr">
        <is>
          <t>15-Jan-2026</t>
        </is>
      </c>
      <c r="G572" t="inlineStr">
        <is>
          <t>Thursday</t>
        </is>
      </c>
      <c r="H572" t="inlineStr">
        <is>
          <t>Weekly - Thursday</t>
        </is>
      </c>
      <c r="I572" t="inlineStr">
        <is>
          <t>Weekly - Thursday</t>
        </is>
      </c>
      <c r="J572" t="inlineStr">
        <is>
          <t>Same Month Expiry</t>
        </is>
      </c>
      <c r="K572" s="25" t="n">
        <v>39080816</v>
      </c>
      <c r="L572" s="26" t="n">
        <v>65431.4018</v>
      </c>
      <c r="M572" s="26" t="n">
        <v>157.0393</v>
      </c>
    </row>
    <row r="573" ht="16" customHeight="1">
      <c r="A573" t="inlineStr">
        <is>
          <t>12-Jan-2026</t>
        </is>
      </c>
      <c r="B573" t="inlineStr">
        <is>
          <t>Monday</t>
        </is>
      </c>
      <c r="C573" t="inlineStr">
        <is>
          <t>Week2-Jan-2026</t>
        </is>
      </c>
      <c r="D573" s="78" t="n">
        <v>46023</v>
      </c>
      <c r="E573" t="inlineStr">
        <is>
          <t>Q4FY26</t>
        </is>
      </c>
      <c r="F573" t="inlineStr">
        <is>
          <t>22-Jan-2026</t>
        </is>
      </c>
      <c r="G573" t="inlineStr">
        <is>
          <t>Thursday</t>
        </is>
      </c>
      <c r="H573" t="inlineStr">
        <is>
          <t>Weekly - Thursday</t>
        </is>
      </c>
      <c r="I573" t="inlineStr">
        <is>
          <t>Weekly - Thursday</t>
        </is>
      </c>
      <c r="J573" t="inlineStr">
        <is>
          <t>Same Month Expiry</t>
        </is>
      </c>
      <c r="K573" s="25" t="n">
        <v>230816</v>
      </c>
      <c r="L573" s="26" t="n">
        <v>388.7892</v>
      </c>
      <c r="M573" s="26" t="n">
        <v>1.6183</v>
      </c>
    </row>
    <row r="574" ht="16" customHeight="1">
      <c r="A574" t="inlineStr">
        <is>
          <t>12-Jan-2026</t>
        </is>
      </c>
      <c r="B574" t="inlineStr">
        <is>
          <t>Monday</t>
        </is>
      </c>
      <c r="C574" t="inlineStr">
        <is>
          <t>Week2-Jan-2026</t>
        </is>
      </c>
      <c r="D574" s="78" t="n">
        <v>46023</v>
      </c>
      <c r="E574" t="inlineStr">
        <is>
          <t>Q4FY26</t>
        </is>
      </c>
      <c r="F574" t="inlineStr">
        <is>
          <t>29-Jan-2026</t>
        </is>
      </c>
      <c r="G574" t="inlineStr">
        <is>
          <t>Thursday</t>
        </is>
      </c>
      <c r="H574" t="inlineStr">
        <is>
          <t>Monthly - Thursday</t>
        </is>
      </c>
      <c r="I574" t="inlineStr">
        <is>
          <t>Monthly - Thursday</t>
        </is>
      </c>
      <c r="J574" t="inlineStr">
        <is>
          <t>Same Month Expiry</t>
        </is>
      </c>
      <c r="K574" s="25" t="n">
        <v>91586</v>
      </c>
      <c r="L574" s="26" t="n">
        <v>154.4815</v>
      </c>
      <c r="M574" s="26" t="n">
        <v>0.84</v>
      </c>
    </row>
    <row r="575" ht="16" customHeight="1">
      <c r="A575" t="inlineStr">
        <is>
          <t>12-Jan-2026</t>
        </is>
      </c>
      <c r="B575" t="inlineStr">
        <is>
          <t>Monday</t>
        </is>
      </c>
      <c r="C575" t="inlineStr">
        <is>
          <t>Week2-Jan-2026</t>
        </is>
      </c>
      <c r="D575" s="78" t="n">
        <v>46023</v>
      </c>
      <c r="E575" t="inlineStr">
        <is>
          <t>Q4FY26</t>
        </is>
      </c>
      <c r="F575" t="inlineStr">
        <is>
          <t>05-Feb-2026</t>
        </is>
      </c>
      <c r="G575" t="inlineStr">
        <is>
          <t>Thursday</t>
        </is>
      </c>
      <c r="H575" t="inlineStr">
        <is>
          <t>Weekly - Thursday</t>
        </is>
      </c>
      <c r="I575" t="inlineStr">
        <is>
          <t>Weekly - Thursday</t>
        </is>
      </c>
      <c r="J575" t="inlineStr">
        <is>
          <t>Month+1 Expiry</t>
        </is>
      </c>
      <c r="K575" s="25" t="n">
        <v>3523</v>
      </c>
      <c r="L575" s="26" t="n">
        <v>5.9689</v>
      </c>
      <c r="M575" s="26" t="n">
        <v>0.0538</v>
      </c>
    </row>
    <row r="576" ht="16" customHeight="1">
      <c r="A576" t="inlineStr">
        <is>
          <t>12-Jan-2026</t>
        </is>
      </c>
      <c r="B576" t="inlineStr">
        <is>
          <t>Monday</t>
        </is>
      </c>
      <c r="C576" t="inlineStr">
        <is>
          <t>Week2-Jan-2026</t>
        </is>
      </c>
      <c r="D576" s="78" t="n">
        <v>46023</v>
      </c>
      <c r="E576" t="inlineStr">
        <is>
          <t>Q4FY26</t>
        </is>
      </c>
      <c r="F576" t="inlineStr">
        <is>
          <t>12-Feb-2026</t>
        </is>
      </c>
      <c r="G576" t="inlineStr">
        <is>
          <t>Thursday</t>
        </is>
      </c>
      <c r="H576" t="inlineStr">
        <is>
          <t>Weekly - Thursday</t>
        </is>
      </c>
      <c r="I576" t="inlineStr">
        <is>
          <t>Weekly - Thursday</t>
        </is>
      </c>
      <c r="J576" t="inlineStr">
        <is>
          <t>Month+1 Expiry</t>
        </is>
      </c>
      <c r="K576" s="25" t="n">
        <v>3</v>
      </c>
      <c r="L576" s="26" t="n">
        <v>0.0051</v>
      </c>
      <c r="M576" s="26" t="n">
        <v>0.0001</v>
      </c>
    </row>
    <row r="577" ht="16" customHeight="1">
      <c r="A577" t="inlineStr">
        <is>
          <t>12-Jan-2026</t>
        </is>
      </c>
      <c r="B577" t="inlineStr">
        <is>
          <t>Monday</t>
        </is>
      </c>
      <c r="C577" t="inlineStr">
        <is>
          <t>Week2-Jan-2026</t>
        </is>
      </c>
      <c r="D577" s="78" t="n">
        <v>46023</v>
      </c>
      <c r="E577" t="inlineStr">
        <is>
          <t>Q4FY26</t>
        </is>
      </c>
      <c r="F577" t="inlineStr">
        <is>
          <t>19-Feb-2026</t>
        </is>
      </c>
      <c r="G577" t="inlineStr">
        <is>
          <t>Thursday</t>
        </is>
      </c>
      <c r="H577" t="inlineStr">
        <is>
          <t>Weekly - Thursday</t>
        </is>
      </c>
      <c r="I577" t="inlineStr">
        <is>
          <t>Weekly - Thursday</t>
        </is>
      </c>
      <c r="J577" t="inlineStr">
        <is>
          <t>Month+1 Expiry</t>
        </is>
      </c>
      <c r="K577" s="25" t="n">
        <v>1</v>
      </c>
      <c r="L577" s="26" t="n">
        <v>0.0017</v>
      </c>
      <c r="M577" s="26" t="n">
        <v>0</v>
      </c>
    </row>
    <row r="578" ht="16" customHeight="1">
      <c r="A578" t="inlineStr">
        <is>
          <t>12-Jan-2026</t>
        </is>
      </c>
      <c r="B578" t="inlineStr">
        <is>
          <t>Monday</t>
        </is>
      </c>
      <c r="C578" t="inlineStr">
        <is>
          <t>Week2-Jan-2026</t>
        </is>
      </c>
      <c r="D578" s="78" t="n">
        <v>46023</v>
      </c>
      <c r="E578" t="inlineStr">
        <is>
          <t>Q4FY26</t>
        </is>
      </c>
      <c r="F578" t="inlineStr">
        <is>
          <t>26-Feb-2026</t>
        </is>
      </c>
      <c r="G578" t="inlineStr">
        <is>
          <t>Thursday</t>
        </is>
      </c>
      <c r="H578" t="inlineStr">
        <is>
          <t>Monthly - Thursday</t>
        </is>
      </c>
      <c r="I578" t="inlineStr">
        <is>
          <t>Monthly - Thursday</t>
        </is>
      </c>
      <c r="J578" t="inlineStr">
        <is>
          <t>Month+1 Expiry</t>
        </is>
      </c>
      <c r="K578" s="25" t="n">
        <v>2285</v>
      </c>
      <c r="L578" s="26" t="n">
        <v>3.8916</v>
      </c>
      <c r="M578" s="26" t="n">
        <v>0.0366</v>
      </c>
    </row>
    <row r="579" ht="16" customHeight="1">
      <c r="A579" t="inlineStr">
        <is>
          <t>12-Jan-2026</t>
        </is>
      </c>
      <c r="B579" t="inlineStr">
        <is>
          <t>Monday</t>
        </is>
      </c>
      <c r="C579" t="inlineStr">
        <is>
          <t>Week2-Jan-2026</t>
        </is>
      </c>
      <c r="D579" s="78" t="n">
        <v>46023</v>
      </c>
      <c r="E579" t="inlineStr">
        <is>
          <t>Q4FY26</t>
        </is>
      </c>
      <c r="F579" t="inlineStr">
        <is>
          <t>25-Mar-2026</t>
        </is>
      </c>
      <c r="G579" t="inlineStr">
        <is>
          <t>Wednesday</t>
        </is>
      </c>
      <c r="H579" t="inlineStr">
        <is>
          <t>Monthly - Wednesday</t>
        </is>
      </c>
      <c r="I579" t="inlineStr">
        <is>
          <t>Monthly - Wednesday</t>
        </is>
      </c>
      <c r="J579" t="inlineStr">
        <is>
          <t>Month+2 Expiry</t>
        </is>
      </c>
      <c r="K579" s="25" t="n">
        <v>0</v>
      </c>
      <c r="L579" s="26" t="n">
        <v>0</v>
      </c>
      <c r="M579" s="26" t="n">
        <v>0</v>
      </c>
    </row>
    <row r="580" ht="16" customHeight="1">
      <c r="A580" t="inlineStr">
        <is>
          <t>13-Jan-2026</t>
        </is>
      </c>
      <c r="B580" t="inlineStr">
        <is>
          <t>Tuesday</t>
        </is>
      </c>
      <c r="C580" t="inlineStr">
        <is>
          <t>Week2-Jan-2026</t>
        </is>
      </c>
      <c r="D580" s="78" t="n">
        <v>46023</v>
      </c>
      <c r="E580" t="inlineStr">
        <is>
          <t>Q4FY26</t>
        </is>
      </c>
      <c r="F580" t="inlineStr">
        <is>
          <t>14-Jan-2026</t>
        </is>
      </c>
      <c r="G580" t="inlineStr">
        <is>
          <t>Wednesday</t>
        </is>
      </c>
      <c r="H580" t="inlineStr">
        <is>
          <t>Weekly - Wednesday</t>
        </is>
      </c>
      <c r="I580" t="inlineStr">
        <is>
          <t>Weekly - Wednesday</t>
        </is>
      </c>
      <c r="J580" t="inlineStr">
        <is>
          <t>Same Month Expiry</t>
        </is>
      </c>
      <c r="K580" s="25" t="n">
        <v>62410414</v>
      </c>
      <c r="L580" s="26" t="n">
        <v>104720.0626</v>
      </c>
      <c r="M580" s="26" t="n">
        <v>168.75</v>
      </c>
    </row>
    <row r="581" ht="16" customHeight="1">
      <c r="A581" t="inlineStr">
        <is>
          <t>13-Jan-2026</t>
        </is>
      </c>
      <c r="B581" t="inlineStr">
        <is>
          <t>Tuesday</t>
        </is>
      </c>
      <c r="C581" t="inlineStr">
        <is>
          <t>Week2-Jan-2026</t>
        </is>
      </c>
      <c r="D581" s="78" t="n">
        <v>46023</v>
      </c>
      <c r="E581" t="inlineStr">
        <is>
          <t>Q4FY26</t>
        </is>
      </c>
      <c r="F581" t="inlineStr">
        <is>
          <t>22-Jan-2026</t>
        </is>
      </c>
      <c r="G581" t="inlineStr">
        <is>
          <t>Thursday</t>
        </is>
      </c>
      <c r="H581" t="inlineStr">
        <is>
          <t>Weekly - Thursday</t>
        </is>
      </c>
      <c r="I581" t="inlineStr">
        <is>
          <t>Weekly - Thursday</t>
        </is>
      </c>
      <c r="J581" t="inlineStr">
        <is>
          <t>Same Month Expiry</t>
        </is>
      </c>
      <c r="K581" s="25" t="n">
        <v>762693</v>
      </c>
      <c r="L581" s="26" t="n">
        <v>1287.5332</v>
      </c>
      <c r="M581" s="26" t="n">
        <v>4.6854</v>
      </c>
    </row>
    <row r="582" ht="16" customHeight="1">
      <c r="A582" t="inlineStr">
        <is>
          <t>13-Jan-2026</t>
        </is>
      </c>
      <c r="B582" t="inlineStr">
        <is>
          <t>Tuesday</t>
        </is>
      </c>
      <c r="C582" t="inlineStr">
        <is>
          <t>Week2-Jan-2026</t>
        </is>
      </c>
      <c r="D582" s="78" t="n">
        <v>46023</v>
      </c>
      <c r="E582" t="inlineStr">
        <is>
          <t>Q4FY26</t>
        </is>
      </c>
      <c r="F582" t="inlineStr">
        <is>
          <t>29-Jan-2026</t>
        </is>
      </c>
      <c r="G582" t="inlineStr">
        <is>
          <t>Thursday</t>
        </is>
      </c>
      <c r="H582" t="inlineStr">
        <is>
          <t>Monthly - Thursday</t>
        </is>
      </c>
      <c r="I582" t="inlineStr">
        <is>
          <t>Monthly - Thursday</t>
        </is>
      </c>
      <c r="J582" t="inlineStr">
        <is>
          <t>Same Month Expiry</t>
        </is>
      </c>
      <c r="K582" s="25" t="n">
        <v>101143</v>
      </c>
      <c r="L582" s="26" t="n">
        <v>170.8935</v>
      </c>
      <c r="M582" s="26" t="n">
        <v>0.9273</v>
      </c>
    </row>
    <row r="583" ht="16" customHeight="1">
      <c r="A583" t="inlineStr">
        <is>
          <t>13-Jan-2026</t>
        </is>
      </c>
      <c r="B583" t="inlineStr">
        <is>
          <t>Tuesday</t>
        </is>
      </c>
      <c r="C583" t="inlineStr">
        <is>
          <t>Week2-Jan-2026</t>
        </is>
      </c>
      <c r="D583" s="78" t="n">
        <v>46023</v>
      </c>
      <c r="E583" t="inlineStr">
        <is>
          <t>Q4FY26</t>
        </is>
      </c>
      <c r="F583" t="inlineStr">
        <is>
          <t>05-Feb-2026</t>
        </is>
      </c>
      <c r="G583" t="inlineStr">
        <is>
          <t>Thursday</t>
        </is>
      </c>
      <c r="H583" t="inlineStr">
        <is>
          <t>Weekly - Thursday</t>
        </is>
      </c>
      <c r="I583" t="inlineStr">
        <is>
          <t>Weekly - Thursday</t>
        </is>
      </c>
      <c r="J583" t="inlineStr">
        <is>
          <t>Month+1 Expiry</t>
        </is>
      </c>
      <c r="K583" s="25" t="n">
        <v>2898</v>
      </c>
      <c r="L583" s="26" t="n">
        <v>4.9115</v>
      </c>
      <c r="M583" s="26" t="n">
        <v>0.0383</v>
      </c>
    </row>
    <row r="584" ht="16" customHeight="1">
      <c r="A584" t="inlineStr">
        <is>
          <t>13-Jan-2026</t>
        </is>
      </c>
      <c r="B584" t="inlineStr">
        <is>
          <t>Tuesday</t>
        </is>
      </c>
      <c r="C584" t="inlineStr">
        <is>
          <t>Week2-Jan-2026</t>
        </is>
      </c>
      <c r="D584" s="78" t="n">
        <v>46023</v>
      </c>
      <c r="E584" t="inlineStr">
        <is>
          <t>Q4FY26</t>
        </is>
      </c>
      <c r="F584" t="inlineStr">
        <is>
          <t>12-Feb-2026</t>
        </is>
      </c>
      <c r="G584" t="inlineStr">
        <is>
          <t>Thursday</t>
        </is>
      </c>
      <c r="H584" t="inlineStr">
        <is>
          <t>Weekly - Thursday</t>
        </is>
      </c>
      <c r="I584" t="inlineStr">
        <is>
          <t>Weekly - Thursday</t>
        </is>
      </c>
      <c r="J584" t="inlineStr">
        <is>
          <t>Month+1 Expiry</t>
        </is>
      </c>
      <c r="K584" s="25" t="n">
        <v>2</v>
      </c>
      <c r="L584" s="26" t="n">
        <v>0.0034</v>
      </c>
      <c r="M584" s="26" t="n">
        <v>0</v>
      </c>
    </row>
    <row r="585" ht="16" customHeight="1">
      <c r="A585" t="inlineStr">
        <is>
          <t>13-Jan-2026</t>
        </is>
      </c>
      <c r="B585" t="inlineStr">
        <is>
          <t>Tuesday</t>
        </is>
      </c>
      <c r="C585" t="inlineStr">
        <is>
          <t>Week2-Jan-2026</t>
        </is>
      </c>
      <c r="D585" s="78" t="n">
        <v>46023</v>
      </c>
      <c r="E585" t="inlineStr">
        <is>
          <t>Q4FY26</t>
        </is>
      </c>
      <c r="F585" t="inlineStr">
        <is>
          <t>19-Feb-2026</t>
        </is>
      </c>
      <c r="G585" t="inlineStr">
        <is>
          <t>Thursday</t>
        </is>
      </c>
      <c r="H585" t="inlineStr">
        <is>
          <t>Weekly - Thursday</t>
        </is>
      </c>
      <c r="I585" t="inlineStr">
        <is>
          <t>Weekly - Thursday</t>
        </is>
      </c>
      <c r="J585" t="inlineStr">
        <is>
          <t>Month+1 Expiry</t>
        </is>
      </c>
      <c r="K585" s="25" t="n">
        <v>0</v>
      </c>
      <c r="L585" s="26" t="n">
        <v>0</v>
      </c>
      <c r="M585" s="26" t="n">
        <v>0</v>
      </c>
    </row>
    <row r="586" ht="16" customHeight="1">
      <c r="A586" t="inlineStr">
        <is>
          <t>13-Jan-2026</t>
        </is>
      </c>
      <c r="B586" t="inlineStr">
        <is>
          <t>Tuesday</t>
        </is>
      </c>
      <c r="C586" t="inlineStr">
        <is>
          <t>Week2-Jan-2026</t>
        </is>
      </c>
      <c r="D586" s="78" t="n">
        <v>46023</v>
      </c>
      <c r="E586" t="inlineStr">
        <is>
          <t>Q4FY26</t>
        </is>
      </c>
      <c r="F586" t="inlineStr">
        <is>
          <t>26-Feb-2026</t>
        </is>
      </c>
      <c r="G586" t="inlineStr">
        <is>
          <t>Thursday</t>
        </is>
      </c>
      <c r="H586" t="inlineStr">
        <is>
          <t>Monthly - Thursday</t>
        </is>
      </c>
      <c r="I586" t="inlineStr">
        <is>
          <t>Monthly - Thursday</t>
        </is>
      </c>
      <c r="J586" t="inlineStr">
        <is>
          <t>Month+1 Expiry</t>
        </is>
      </c>
      <c r="K586" s="25" t="n">
        <v>1728</v>
      </c>
      <c r="L586" s="26" t="n">
        <v>2.9764</v>
      </c>
      <c r="M586" s="26" t="n">
        <v>0.0218</v>
      </c>
    </row>
    <row r="587" ht="16" customHeight="1">
      <c r="A587" t="inlineStr">
        <is>
          <t>13-Jan-2026</t>
        </is>
      </c>
      <c r="B587" t="inlineStr">
        <is>
          <t>Tuesday</t>
        </is>
      </c>
      <c r="C587" t="inlineStr">
        <is>
          <t>Week2-Jan-2026</t>
        </is>
      </c>
      <c r="D587" s="78" t="n">
        <v>46023</v>
      </c>
      <c r="E587" t="inlineStr">
        <is>
          <t>Q4FY26</t>
        </is>
      </c>
      <c r="F587" t="inlineStr">
        <is>
          <t>25-Mar-2026</t>
        </is>
      </c>
      <c r="G587" t="inlineStr">
        <is>
          <t>Wednesday</t>
        </is>
      </c>
      <c r="H587" t="inlineStr">
        <is>
          <t>Monthly - Wednesday</t>
        </is>
      </c>
      <c r="I587" t="inlineStr">
        <is>
          <t>Monthly - Wednesday</t>
        </is>
      </c>
      <c r="J587" t="inlineStr">
        <is>
          <t>Month+2 Expiry</t>
        </is>
      </c>
      <c r="K587" s="25" t="n">
        <v>4</v>
      </c>
      <c r="L587" s="26" t="n">
        <v>0.0069</v>
      </c>
      <c r="M587" s="26" t="n">
        <v>0.0001</v>
      </c>
    </row>
    <row r="588" ht="16" customHeight="1">
      <c r="A588" t="inlineStr">
        <is>
          <t>14-Jan-2026</t>
        </is>
      </c>
      <c r="B588" t="inlineStr">
        <is>
          <t>Wednesday</t>
        </is>
      </c>
      <c r="C588" t="inlineStr">
        <is>
          <t>Week2-Jan-2026</t>
        </is>
      </c>
      <c r="D588" s="78" t="n">
        <v>46023</v>
      </c>
      <c r="E588" t="inlineStr">
        <is>
          <t>Q4FY26</t>
        </is>
      </c>
      <c r="F588" t="inlineStr">
        <is>
          <t>14-Jan-2026</t>
        </is>
      </c>
      <c r="G588" t="inlineStr">
        <is>
          <t>Wednesday</t>
        </is>
      </c>
      <c r="H588" t="inlineStr">
        <is>
          <t>Weekly - Wednesday</t>
        </is>
      </c>
      <c r="I588" t="inlineStr">
        <is>
          <t>Weekly - Wednesday</t>
        </is>
      </c>
      <c r="J588" t="inlineStr">
        <is>
          <t>Same Month Expiry</t>
        </is>
      </c>
      <c r="K588" s="25" t="n">
        <v>541932069</v>
      </c>
      <c r="L588" s="26" t="n">
        <v>905783.5509</v>
      </c>
      <c r="M588" s="26" t="n">
        <v>568.8668</v>
      </c>
    </row>
    <row r="589" ht="16" customHeight="1">
      <c r="A589" t="inlineStr">
        <is>
          <t>14-Jan-2026</t>
        </is>
      </c>
      <c r="B589" t="inlineStr">
        <is>
          <t>Wednesday</t>
        </is>
      </c>
      <c r="C589" t="inlineStr">
        <is>
          <t>Week2-Jan-2026</t>
        </is>
      </c>
      <c r="D589" s="78" t="n">
        <v>46023</v>
      </c>
      <c r="E589" t="inlineStr">
        <is>
          <t>Q4FY26</t>
        </is>
      </c>
      <c r="F589" t="inlineStr">
        <is>
          <t>22-Jan-2026</t>
        </is>
      </c>
      <c r="G589" t="inlineStr">
        <is>
          <t>Thursday</t>
        </is>
      </c>
      <c r="H589" t="inlineStr">
        <is>
          <t>Weekly - Thursday</t>
        </is>
      </c>
      <c r="I589" t="inlineStr">
        <is>
          <t>Weekly - Thursday</t>
        </is>
      </c>
      <c r="J589" t="inlineStr">
        <is>
          <t>Same Month Expiry</t>
        </is>
      </c>
      <c r="K589" s="25" t="n">
        <v>2565900</v>
      </c>
      <c r="L589" s="26" t="n">
        <v>4304.7279</v>
      </c>
      <c r="M589" s="26" t="n">
        <v>13.1043</v>
      </c>
    </row>
    <row r="590" ht="16" customHeight="1">
      <c r="A590" t="inlineStr">
        <is>
          <t>14-Jan-2026</t>
        </is>
      </c>
      <c r="B590" t="inlineStr">
        <is>
          <t>Wednesday</t>
        </is>
      </c>
      <c r="C590" t="inlineStr">
        <is>
          <t>Week2-Jan-2026</t>
        </is>
      </c>
      <c r="D590" s="78" t="n">
        <v>46023</v>
      </c>
      <c r="E590" t="inlineStr">
        <is>
          <t>Q4FY26</t>
        </is>
      </c>
      <c r="F590" t="inlineStr">
        <is>
          <t>29-Jan-2026</t>
        </is>
      </c>
      <c r="G590" t="inlineStr">
        <is>
          <t>Thursday</t>
        </is>
      </c>
      <c r="H590" t="inlineStr">
        <is>
          <t>Monthly - Thursday</t>
        </is>
      </c>
      <c r="I590" t="inlineStr">
        <is>
          <t>Monthly - Thursday</t>
        </is>
      </c>
      <c r="J590" t="inlineStr">
        <is>
          <t>Same Month Expiry</t>
        </is>
      </c>
      <c r="K590" s="25" t="n">
        <v>94993</v>
      </c>
      <c r="L590" s="26" t="n">
        <v>160.4842</v>
      </c>
      <c r="M590" s="26" t="n">
        <v>0.8338</v>
      </c>
    </row>
    <row r="591" ht="16" customHeight="1">
      <c r="A591" t="inlineStr">
        <is>
          <t>14-Jan-2026</t>
        </is>
      </c>
      <c r="B591" t="inlineStr">
        <is>
          <t>Wednesday</t>
        </is>
      </c>
      <c r="C591" t="inlineStr">
        <is>
          <t>Week2-Jan-2026</t>
        </is>
      </c>
      <c r="D591" s="78" t="n">
        <v>46023</v>
      </c>
      <c r="E591" t="inlineStr">
        <is>
          <t>Q4FY26</t>
        </is>
      </c>
      <c r="F591" t="inlineStr">
        <is>
          <t>05-Feb-2026</t>
        </is>
      </c>
      <c r="G591" t="inlineStr">
        <is>
          <t>Thursday</t>
        </is>
      </c>
      <c r="H591" t="inlineStr">
        <is>
          <t>Weekly - Thursday</t>
        </is>
      </c>
      <c r="I591" t="inlineStr">
        <is>
          <t>Weekly - Thursday</t>
        </is>
      </c>
      <c r="J591" t="inlineStr">
        <is>
          <t>Month+1 Expiry</t>
        </is>
      </c>
      <c r="K591" s="25" t="n">
        <v>2508</v>
      </c>
      <c r="L591" s="26" t="n">
        <v>4.2411</v>
      </c>
      <c r="M591" s="26" t="n">
        <v>0.0308</v>
      </c>
    </row>
    <row r="592" ht="16" customHeight="1">
      <c r="A592" t="inlineStr">
        <is>
          <t>14-Jan-2026</t>
        </is>
      </c>
      <c r="B592" t="inlineStr">
        <is>
          <t>Wednesday</t>
        </is>
      </c>
      <c r="C592" t="inlineStr">
        <is>
          <t>Week2-Jan-2026</t>
        </is>
      </c>
      <c r="D592" s="78" t="n">
        <v>46023</v>
      </c>
      <c r="E592" t="inlineStr">
        <is>
          <t>Q4FY26</t>
        </is>
      </c>
      <c r="F592" t="inlineStr">
        <is>
          <t>12-Feb-2026</t>
        </is>
      </c>
      <c r="G592" t="inlineStr">
        <is>
          <t>Thursday</t>
        </is>
      </c>
      <c r="H592" t="inlineStr">
        <is>
          <t>Weekly - Thursday</t>
        </is>
      </c>
      <c r="I592" t="inlineStr">
        <is>
          <t>Weekly - Thursday</t>
        </is>
      </c>
      <c r="J592" t="inlineStr">
        <is>
          <t>Month+1 Expiry</t>
        </is>
      </c>
      <c r="K592" s="25" t="n">
        <v>355</v>
      </c>
      <c r="L592" s="26" t="n">
        <v>0.604</v>
      </c>
      <c r="M592" s="26" t="n">
        <v>0.0226</v>
      </c>
    </row>
    <row r="593" ht="16" customHeight="1">
      <c r="A593" t="inlineStr">
        <is>
          <t>14-Jan-2026</t>
        </is>
      </c>
      <c r="B593" t="inlineStr">
        <is>
          <t>Wednesday</t>
        </is>
      </c>
      <c r="C593" t="inlineStr">
        <is>
          <t>Week2-Jan-2026</t>
        </is>
      </c>
      <c r="D593" s="78" t="n">
        <v>46023</v>
      </c>
      <c r="E593" t="inlineStr">
        <is>
          <t>Q4FY26</t>
        </is>
      </c>
      <c r="F593" t="inlineStr">
        <is>
          <t>19-Feb-2026</t>
        </is>
      </c>
      <c r="G593" t="inlineStr">
        <is>
          <t>Thursday</t>
        </is>
      </c>
      <c r="H593" t="inlineStr">
        <is>
          <t>Weekly - Thursday</t>
        </is>
      </c>
      <c r="I593" t="inlineStr">
        <is>
          <t>Weekly - Thursday</t>
        </is>
      </c>
      <c r="J593" t="inlineStr">
        <is>
          <t>Month+1 Expiry</t>
        </is>
      </c>
      <c r="K593" s="25" t="n">
        <v>0</v>
      </c>
      <c r="L593" s="26" t="n">
        <v>0</v>
      </c>
      <c r="M593" s="26" t="n">
        <v>0</v>
      </c>
    </row>
    <row r="594" ht="16" customHeight="1">
      <c r="A594" t="inlineStr">
        <is>
          <t>14-Jan-2026</t>
        </is>
      </c>
      <c r="B594" t="inlineStr">
        <is>
          <t>Wednesday</t>
        </is>
      </c>
      <c r="C594" t="inlineStr">
        <is>
          <t>Week2-Jan-2026</t>
        </is>
      </c>
      <c r="D594" s="78" t="n">
        <v>46023</v>
      </c>
      <c r="E594" t="inlineStr">
        <is>
          <t>Q4FY26</t>
        </is>
      </c>
      <c r="F594" t="inlineStr">
        <is>
          <t>26-Feb-2026</t>
        </is>
      </c>
      <c r="G594" t="inlineStr">
        <is>
          <t>Thursday</t>
        </is>
      </c>
      <c r="H594" t="inlineStr">
        <is>
          <t>Monthly - Thursday</t>
        </is>
      </c>
      <c r="I594" t="inlineStr">
        <is>
          <t>Monthly - Thursday</t>
        </is>
      </c>
      <c r="J594" t="inlineStr">
        <is>
          <t>Month+1 Expiry</t>
        </is>
      </c>
      <c r="K594" s="25" t="n">
        <v>1718</v>
      </c>
      <c r="L594" s="26" t="n">
        <v>2.9508</v>
      </c>
      <c r="M594" s="26" t="n">
        <v>0.0235</v>
      </c>
    </row>
    <row r="595" ht="16" customHeight="1">
      <c r="A595" t="inlineStr">
        <is>
          <t>14-Jan-2026</t>
        </is>
      </c>
      <c r="B595" t="inlineStr">
        <is>
          <t>Wednesday</t>
        </is>
      </c>
      <c r="C595" t="inlineStr">
        <is>
          <t>Week2-Jan-2026</t>
        </is>
      </c>
      <c r="D595" s="78" t="n">
        <v>46023</v>
      </c>
      <c r="E595" t="inlineStr">
        <is>
          <t>Q4FY26</t>
        </is>
      </c>
      <c r="F595" t="inlineStr">
        <is>
          <t>25-Mar-2026</t>
        </is>
      </c>
      <c r="G595" t="inlineStr">
        <is>
          <t>Wednesday</t>
        </is>
      </c>
      <c r="H595" t="inlineStr">
        <is>
          <t>Monthly - Wednesday</t>
        </is>
      </c>
      <c r="I595" t="inlineStr">
        <is>
          <t>Monthly - Wednesday</t>
        </is>
      </c>
      <c r="J595" t="inlineStr">
        <is>
          <t>Month+2 Expiry</t>
        </is>
      </c>
      <c r="K595" s="25" t="n">
        <v>0</v>
      </c>
      <c r="L595" s="26" t="n">
        <v>0</v>
      </c>
      <c r="M595" s="26" t="n">
        <v>0</v>
      </c>
    </row>
    <row r="596" ht="16" customHeight="1">
      <c r="A596" t="inlineStr">
        <is>
          <t>16-Jan-2026</t>
        </is>
      </c>
      <c r="B596" t="inlineStr">
        <is>
          <t>Friday</t>
        </is>
      </c>
      <c r="C596" t="inlineStr">
        <is>
          <t>Week3-Jan-2026</t>
        </is>
      </c>
      <c r="D596" s="78" t="n">
        <v>46023</v>
      </c>
      <c r="E596" t="inlineStr">
        <is>
          <t>Q4FY26</t>
        </is>
      </c>
      <c r="F596" t="inlineStr">
        <is>
          <t>22-Jan-2026</t>
        </is>
      </c>
      <c r="G596" t="inlineStr">
        <is>
          <t>Thursday</t>
        </is>
      </c>
      <c r="H596" t="inlineStr">
        <is>
          <t>Weekly - Thursday</t>
        </is>
      </c>
      <c r="I596" t="inlineStr">
        <is>
          <t>Weekly - Thursday</t>
        </is>
      </c>
      <c r="J596" t="inlineStr">
        <is>
          <t>Same Month Expiry</t>
        </is>
      </c>
      <c r="K596" s="25" t="n">
        <v>28908498</v>
      </c>
      <c r="L596" s="26" t="n">
        <v>48629.0822</v>
      </c>
      <c r="M596" s="26" t="n">
        <v>138.0959</v>
      </c>
    </row>
    <row r="597" ht="16" customHeight="1">
      <c r="A597" t="inlineStr">
        <is>
          <t>16-Jan-2026</t>
        </is>
      </c>
      <c r="B597" t="inlineStr">
        <is>
          <t>Friday</t>
        </is>
      </c>
      <c r="C597" t="inlineStr">
        <is>
          <t>Week3-Jan-2026</t>
        </is>
      </c>
      <c r="D597" s="78" t="n">
        <v>46023</v>
      </c>
      <c r="E597" t="inlineStr">
        <is>
          <t>Q4FY26</t>
        </is>
      </c>
      <c r="F597" t="inlineStr">
        <is>
          <t>29-Jan-2026</t>
        </is>
      </c>
      <c r="G597" t="inlineStr">
        <is>
          <t>Thursday</t>
        </is>
      </c>
      <c r="H597" t="inlineStr">
        <is>
          <t>Monthly - Thursday</t>
        </is>
      </c>
      <c r="I597" t="inlineStr">
        <is>
          <t>Monthly - Thursday</t>
        </is>
      </c>
      <c r="J597" t="inlineStr">
        <is>
          <t>Same Month Expiry</t>
        </is>
      </c>
      <c r="K597" s="25" t="n">
        <v>233022</v>
      </c>
      <c r="L597" s="26" t="n">
        <v>394.1626</v>
      </c>
      <c r="M597" s="26" t="n">
        <v>1.835</v>
      </c>
    </row>
    <row r="598" ht="16" customHeight="1">
      <c r="A598" t="inlineStr">
        <is>
          <t>16-Jan-2026</t>
        </is>
      </c>
      <c r="B598" t="inlineStr">
        <is>
          <t>Friday</t>
        </is>
      </c>
      <c r="C598" t="inlineStr">
        <is>
          <t>Week3-Jan-2026</t>
        </is>
      </c>
      <c r="D598" s="78" t="n">
        <v>46023</v>
      </c>
      <c r="E598" t="inlineStr">
        <is>
          <t>Q4FY26</t>
        </is>
      </c>
      <c r="F598" t="inlineStr">
        <is>
          <t>05-Feb-2026</t>
        </is>
      </c>
      <c r="G598" t="inlineStr">
        <is>
          <t>Thursday</t>
        </is>
      </c>
      <c r="H598" t="inlineStr">
        <is>
          <t>Weekly - Thursday</t>
        </is>
      </c>
      <c r="I598" t="inlineStr">
        <is>
          <t>Weekly - Thursday</t>
        </is>
      </c>
      <c r="J598" t="inlineStr">
        <is>
          <t>Month+1 Expiry</t>
        </is>
      </c>
      <c r="K598" s="25" t="n">
        <v>5037</v>
      </c>
      <c r="L598" s="26" t="n">
        <v>8.652200000000001</v>
      </c>
      <c r="M598" s="26" t="n">
        <v>0.0553</v>
      </c>
    </row>
    <row r="599" ht="16" customHeight="1">
      <c r="A599" t="inlineStr">
        <is>
          <t>16-Jan-2026</t>
        </is>
      </c>
      <c r="B599" t="inlineStr">
        <is>
          <t>Friday</t>
        </is>
      </c>
      <c r="C599" t="inlineStr">
        <is>
          <t>Week3-Jan-2026</t>
        </is>
      </c>
      <c r="D599" s="78" t="n">
        <v>46023</v>
      </c>
      <c r="E599" t="inlineStr">
        <is>
          <t>Q4FY26</t>
        </is>
      </c>
      <c r="F599" t="inlineStr">
        <is>
          <t>12-Feb-2026</t>
        </is>
      </c>
      <c r="G599" t="inlineStr">
        <is>
          <t>Thursday</t>
        </is>
      </c>
      <c r="H599" t="inlineStr">
        <is>
          <t>Weekly - Thursday</t>
        </is>
      </c>
      <c r="I599" t="inlineStr">
        <is>
          <t>Weekly - Thursday</t>
        </is>
      </c>
      <c r="J599" t="inlineStr">
        <is>
          <t>Month+1 Expiry</t>
        </is>
      </c>
      <c r="K599" s="25" t="n">
        <v>44</v>
      </c>
      <c r="L599" s="26" t="n">
        <v>0.0752</v>
      </c>
      <c r="M599" s="26" t="n">
        <v>0.0007</v>
      </c>
    </row>
    <row r="600" ht="16" customHeight="1">
      <c r="A600" t="inlineStr">
        <is>
          <t>16-Jan-2026</t>
        </is>
      </c>
      <c r="B600" t="inlineStr">
        <is>
          <t>Friday</t>
        </is>
      </c>
      <c r="C600" t="inlineStr">
        <is>
          <t>Week3-Jan-2026</t>
        </is>
      </c>
      <c r="D600" s="78" t="n">
        <v>46023</v>
      </c>
      <c r="E600" t="inlineStr">
        <is>
          <t>Q4FY26</t>
        </is>
      </c>
      <c r="F600" t="inlineStr">
        <is>
          <t>19-Feb-2026</t>
        </is>
      </c>
      <c r="G600" t="inlineStr">
        <is>
          <t>Thursday</t>
        </is>
      </c>
      <c r="H600" t="inlineStr">
        <is>
          <t>Weekly - Thursday</t>
        </is>
      </c>
      <c r="I600" t="inlineStr">
        <is>
          <t>Weekly - Thursday</t>
        </is>
      </c>
      <c r="J600" t="inlineStr">
        <is>
          <t>Month+1 Expiry</t>
        </is>
      </c>
      <c r="K600" s="25" t="n">
        <v>1</v>
      </c>
      <c r="L600" s="26" t="n">
        <v>0.0017</v>
      </c>
      <c r="M600" s="26" t="n">
        <v>0</v>
      </c>
    </row>
    <row r="601" ht="16" customHeight="1">
      <c r="A601" t="inlineStr">
        <is>
          <t>16-Jan-2026</t>
        </is>
      </c>
      <c r="B601" t="inlineStr">
        <is>
          <t>Friday</t>
        </is>
      </c>
      <c r="C601" t="inlineStr">
        <is>
          <t>Week3-Jan-2026</t>
        </is>
      </c>
      <c r="D601" s="78" t="n">
        <v>46023</v>
      </c>
      <c r="E601" t="inlineStr">
        <is>
          <t>Q4FY26</t>
        </is>
      </c>
      <c r="F601" t="inlineStr">
        <is>
          <t>26-Feb-2026</t>
        </is>
      </c>
      <c r="G601" t="inlineStr">
        <is>
          <t>Thursday</t>
        </is>
      </c>
      <c r="H601" t="inlineStr">
        <is>
          <t>Monthly - Thursday</t>
        </is>
      </c>
      <c r="I601" t="inlineStr">
        <is>
          <t>Monthly - Thursday</t>
        </is>
      </c>
      <c r="J601" t="inlineStr">
        <is>
          <t>Month+1 Expiry</t>
        </is>
      </c>
      <c r="K601" s="25" t="n">
        <v>2750</v>
      </c>
      <c r="L601" s="26" t="n">
        <v>4.7119</v>
      </c>
      <c r="M601" s="26" t="n">
        <v>0.0376</v>
      </c>
    </row>
    <row r="602" ht="16" customHeight="1">
      <c r="A602" t="inlineStr">
        <is>
          <t>16-Jan-2026</t>
        </is>
      </c>
      <c r="B602" t="inlineStr">
        <is>
          <t>Friday</t>
        </is>
      </c>
      <c r="C602" t="inlineStr">
        <is>
          <t>Week3-Jan-2026</t>
        </is>
      </c>
      <c r="D602" s="78" t="n">
        <v>46023</v>
      </c>
      <c r="E602" t="inlineStr">
        <is>
          <t>Q4FY26</t>
        </is>
      </c>
      <c r="F602" t="inlineStr">
        <is>
          <t>25-Mar-2026</t>
        </is>
      </c>
      <c r="G602" t="inlineStr">
        <is>
          <t>Wednesday</t>
        </is>
      </c>
      <c r="H602" t="inlineStr">
        <is>
          <t>Monthly - Wednesday</t>
        </is>
      </c>
      <c r="I602" t="inlineStr">
        <is>
          <t>Monthly - Wednesday</t>
        </is>
      </c>
      <c r="J602" t="inlineStr">
        <is>
          <t>Month+2 Expiry</t>
        </is>
      </c>
      <c r="K602" s="25" t="n">
        <v>0</v>
      </c>
      <c r="L602" s="26" t="n">
        <v>0</v>
      </c>
      <c r="M602" s="26" t="n">
        <v>0</v>
      </c>
    </row>
    <row r="603" ht="16" customHeight="1">
      <c r="A603" t="inlineStr">
        <is>
          <t>19-Jan-2026</t>
        </is>
      </c>
      <c r="B603" t="inlineStr">
        <is>
          <t>Monday</t>
        </is>
      </c>
      <c r="C603" t="inlineStr">
        <is>
          <t>Week3-Jan-2026</t>
        </is>
      </c>
      <c r="D603" s="78" t="n">
        <v>46023</v>
      </c>
      <c r="E603" t="inlineStr">
        <is>
          <t>Q4FY26</t>
        </is>
      </c>
      <c r="F603" t="inlineStr">
        <is>
          <t>22-Jan-2026</t>
        </is>
      </c>
      <c r="G603" t="inlineStr">
        <is>
          <t>Thursday</t>
        </is>
      </c>
      <c r="H603" t="inlineStr">
        <is>
          <t>Weekly - Thursday</t>
        </is>
      </c>
      <c r="I603" t="inlineStr">
        <is>
          <t>Weekly - Thursday</t>
        </is>
      </c>
      <c r="J603" t="inlineStr">
        <is>
          <t>Same Month Expiry</t>
        </is>
      </c>
      <c r="K603" s="25" t="n">
        <v>30725563</v>
      </c>
      <c r="L603" s="26" t="n">
        <v>51358.162</v>
      </c>
      <c r="M603" s="26" t="n">
        <v>128.2507</v>
      </c>
    </row>
    <row r="604" ht="16" customHeight="1">
      <c r="A604" t="inlineStr">
        <is>
          <t>19-Jan-2026</t>
        </is>
      </c>
      <c r="B604" t="inlineStr">
        <is>
          <t>Monday</t>
        </is>
      </c>
      <c r="C604" t="inlineStr">
        <is>
          <t>Week3-Jan-2026</t>
        </is>
      </c>
      <c r="D604" s="78" t="n">
        <v>46023</v>
      </c>
      <c r="E604" t="inlineStr">
        <is>
          <t>Q4FY26</t>
        </is>
      </c>
      <c r="F604" t="inlineStr">
        <is>
          <t>29-Jan-2026</t>
        </is>
      </c>
      <c r="G604" t="inlineStr">
        <is>
          <t>Thursday</t>
        </is>
      </c>
      <c r="H604" t="inlineStr">
        <is>
          <t>Monthly - Thursday</t>
        </is>
      </c>
      <c r="I604" t="inlineStr">
        <is>
          <t>Monthly - Thursday</t>
        </is>
      </c>
      <c r="J604" t="inlineStr">
        <is>
          <t>Same Month Expiry</t>
        </is>
      </c>
      <c r="K604" s="25" t="n">
        <v>345396</v>
      </c>
      <c r="L604" s="26" t="n">
        <v>581.2195</v>
      </c>
      <c r="M604" s="26" t="n">
        <v>2.1583</v>
      </c>
    </row>
    <row r="605" ht="16" customHeight="1">
      <c r="A605" t="inlineStr">
        <is>
          <t>19-Jan-2026</t>
        </is>
      </c>
      <c r="B605" t="inlineStr">
        <is>
          <t>Monday</t>
        </is>
      </c>
      <c r="C605" t="inlineStr">
        <is>
          <t>Week3-Jan-2026</t>
        </is>
      </c>
      <c r="D605" s="78" t="n">
        <v>46023</v>
      </c>
      <c r="E605" t="inlineStr">
        <is>
          <t>Q4FY26</t>
        </is>
      </c>
      <c r="F605" t="inlineStr">
        <is>
          <t>05-Feb-2026</t>
        </is>
      </c>
      <c r="G605" t="inlineStr">
        <is>
          <t>Thursday</t>
        </is>
      </c>
      <c r="H605" t="inlineStr">
        <is>
          <t>Weekly - Thursday</t>
        </is>
      </c>
      <c r="I605" t="inlineStr">
        <is>
          <t>Weekly - Thursday</t>
        </is>
      </c>
      <c r="J605" t="inlineStr">
        <is>
          <t>Month+1 Expiry</t>
        </is>
      </c>
      <c r="K605" s="25" t="n">
        <v>4306</v>
      </c>
      <c r="L605" s="26" t="n">
        <v>7.2888</v>
      </c>
      <c r="M605" s="26" t="n">
        <v>0.0571</v>
      </c>
    </row>
    <row r="606" ht="16" customHeight="1">
      <c r="A606" t="inlineStr">
        <is>
          <t>19-Jan-2026</t>
        </is>
      </c>
      <c r="B606" t="inlineStr">
        <is>
          <t>Monday</t>
        </is>
      </c>
      <c r="C606" t="inlineStr">
        <is>
          <t>Week3-Jan-2026</t>
        </is>
      </c>
      <c r="D606" s="78" t="n">
        <v>46023</v>
      </c>
      <c r="E606" t="inlineStr">
        <is>
          <t>Q4FY26</t>
        </is>
      </c>
      <c r="F606" t="inlineStr">
        <is>
          <t>12-Feb-2026</t>
        </is>
      </c>
      <c r="G606" t="inlineStr">
        <is>
          <t>Thursday</t>
        </is>
      </c>
      <c r="H606" t="inlineStr">
        <is>
          <t>Weekly - Thursday</t>
        </is>
      </c>
      <c r="I606" t="inlineStr">
        <is>
          <t>Weekly - Thursday</t>
        </is>
      </c>
      <c r="J606" t="inlineStr">
        <is>
          <t>Month+1 Expiry</t>
        </is>
      </c>
      <c r="K606" s="25" t="n">
        <v>36</v>
      </c>
      <c r="L606" s="26" t="n">
        <v>0.061</v>
      </c>
      <c r="M606" s="26" t="n">
        <v>0.0005999999999999999</v>
      </c>
    </row>
    <row r="607" ht="16" customHeight="1">
      <c r="A607" t="inlineStr">
        <is>
          <t>19-Jan-2026</t>
        </is>
      </c>
      <c r="B607" t="inlineStr">
        <is>
          <t>Monday</t>
        </is>
      </c>
      <c r="C607" t="inlineStr">
        <is>
          <t>Week3-Jan-2026</t>
        </is>
      </c>
      <c r="D607" s="78" t="n">
        <v>46023</v>
      </c>
      <c r="E607" t="inlineStr">
        <is>
          <t>Q4FY26</t>
        </is>
      </c>
      <c r="F607" t="inlineStr">
        <is>
          <t>19-Feb-2026</t>
        </is>
      </c>
      <c r="G607" t="inlineStr">
        <is>
          <t>Thursday</t>
        </is>
      </c>
      <c r="H607" t="inlineStr">
        <is>
          <t>Weekly - Thursday</t>
        </is>
      </c>
      <c r="I607" t="inlineStr">
        <is>
          <t>Weekly - Thursday</t>
        </is>
      </c>
      <c r="J607" t="inlineStr">
        <is>
          <t>Month+1 Expiry</t>
        </is>
      </c>
      <c r="K607" s="25" t="n">
        <v>0</v>
      </c>
      <c r="L607" s="26" t="n">
        <v>0</v>
      </c>
      <c r="M607" s="26" t="n">
        <v>0</v>
      </c>
    </row>
    <row r="608" ht="16" customHeight="1">
      <c r="A608" t="inlineStr">
        <is>
          <t>19-Jan-2026</t>
        </is>
      </c>
      <c r="B608" t="inlineStr">
        <is>
          <t>Monday</t>
        </is>
      </c>
      <c r="C608" t="inlineStr">
        <is>
          <t>Week3-Jan-2026</t>
        </is>
      </c>
      <c r="D608" s="78" t="n">
        <v>46023</v>
      </c>
      <c r="E608" t="inlineStr">
        <is>
          <t>Q4FY26</t>
        </is>
      </c>
      <c r="F608" t="inlineStr">
        <is>
          <t>26-Feb-2026</t>
        </is>
      </c>
      <c r="G608" t="inlineStr">
        <is>
          <t>Thursday</t>
        </is>
      </c>
      <c r="H608" t="inlineStr">
        <is>
          <t>Monthly - Thursday</t>
        </is>
      </c>
      <c r="I608" t="inlineStr">
        <is>
          <t>Monthly - Thursday</t>
        </is>
      </c>
      <c r="J608" t="inlineStr">
        <is>
          <t>Month+1 Expiry</t>
        </is>
      </c>
      <c r="K608" s="25" t="n">
        <v>2775</v>
      </c>
      <c r="L608" s="26" t="n">
        <v>4.6975</v>
      </c>
      <c r="M608" s="26" t="n">
        <v>0.0356</v>
      </c>
    </row>
    <row r="609" ht="16" customHeight="1">
      <c r="A609" t="inlineStr">
        <is>
          <t>19-Jan-2026</t>
        </is>
      </c>
      <c r="B609" t="inlineStr">
        <is>
          <t>Monday</t>
        </is>
      </c>
      <c r="C609" t="inlineStr">
        <is>
          <t>Week3-Jan-2026</t>
        </is>
      </c>
      <c r="D609" s="78" t="n">
        <v>46023</v>
      </c>
      <c r="E609" t="inlineStr">
        <is>
          <t>Q4FY26</t>
        </is>
      </c>
      <c r="F609" t="inlineStr">
        <is>
          <t>25-Mar-2026</t>
        </is>
      </c>
      <c r="G609" t="inlineStr">
        <is>
          <t>Wednesday</t>
        </is>
      </c>
      <c r="H609" t="inlineStr">
        <is>
          <t>Monthly - Wednesday</t>
        </is>
      </c>
      <c r="I609" t="inlineStr">
        <is>
          <t>Monthly - Wednesday</t>
        </is>
      </c>
      <c r="J609" t="inlineStr">
        <is>
          <t>Month+2 Expiry</t>
        </is>
      </c>
      <c r="K609" s="25" t="n">
        <v>1</v>
      </c>
      <c r="L609" s="26" t="n">
        <v>0.0017</v>
      </c>
      <c r="M609" s="26" t="n">
        <v>0</v>
      </c>
    </row>
    <row r="610" ht="16" customHeight="1">
      <c r="A610" t="inlineStr">
        <is>
          <t>19-Jan-2026</t>
        </is>
      </c>
      <c r="B610" t="inlineStr">
        <is>
          <t>Monday</t>
        </is>
      </c>
      <c r="C610" t="inlineStr">
        <is>
          <t>Week3-Jan-2026</t>
        </is>
      </c>
      <c r="D610" s="78" t="n">
        <v>46023</v>
      </c>
      <c r="E610" t="inlineStr">
        <is>
          <t>Q4FY26</t>
        </is>
      </c>
      <c r="F610" t="inlineStr">
        <is>
          <t>25-Jun-2026</t>
        </is>
      </c>
      <c r="G610" t="inlineStr">
        <is>
          <t>Thursday</t>
        </is>
      </c>
      <c r="H610" t="inlineStr">
        <is>
          <t>Monthly - Thursday</t>
        </is>
      </c>
      <c r="I610" t="inlineStr">
        <is>
          <t>Monthly - Thursday</t>
        </is>
      </c>
      <c r="J610" t="inlineStr">
        <is>
          <t>Month+5 Expiry</t>
        </is>
      </c>
      <c r="K610" s="25" t="n">
        <v>0</v>
      </c>
      <c r="L610" s="26" t="n">
        <v>0</v>
      </c>
      <c r="M610" s="26" t="n">
        <v>0</v>
      </c>
    </row>
    <row r="611" ht="16" customHeight="1">
      <c r="A611" t="inlineStr">
        <is>
          <t>20-Jan-2026</t>
        </is>
      </c>
      <c r="B611" t="inlineStr">
        <is>
          <t>Tuesday</t>
        </is>
      </c>
      <c r="C611" t="inlineStr">
        <is>
          <t>Week3-Jan-2026</t>
        </is>
      </c>
      <c r="D611" s="78" t="n">
        <v>46023</v>
      </c>
      <c r="E611" t="inlineStr">
        <is>
          <t>Q4FY26</t>
        </is>
      </c>
      <c r="F611" t="inlineStr">
        <is>
          <t>22-Jan-2026</t>
        </is>
      </c>
      <c r="G611" t="inlineStr">
        <is>
          <t>Thursday</t>
        </is>
      </c>
      <c r="H611" t="inlineStr">
        <is>
          <t>Weekly - Thursday</t>
        </is>
      </c>
      <c r="I611" t="inlineStr">
        <is>
          <t>Weekly - Thursday</t>
        </is>
      </c>
      <c r="J611" t="inlineStr">
        <is>
          <t>Same Month Expiry</t>
        </is>
      </c>
      <c r="K611" s="25" t="n">
        <v>35733690</v>
      </c>
      <c r="L611" s="26" t="n">
        <v>59488.7757</v>
      </c>
      <c r="M611" s="26" t="n">
        <v>121.6825</v>
      </c>
    </row>
    <row r="612" ht="16" customHeight="1">
      <c r="A612" t="inlineStr">
        <is>
          <t>20-Jan-2026</t>
        </is>
      </c>
      <c r="B612" t="inlineStr">
        <is>
          <t>Tuesday</t>
        </is>
      </c>
      <c r="C612" t="inlineStr">
        <is>
          <t>Week3-Jan-2026</t>
        </is>
      </c>
      <c r="D612" s="78" t="n">
        <v>46023</v>
      </c>
      <c r="E612" t="inlineStr">
        <is>
          <t>Q4FY26</t>
        </is>
      </c>
      <c r="F612" t="inlineStr">
        <is>
          <t>29-Jan-2026</t>
        </is>
      </c>
      <c r="G612" t="inlineStr">
        <is>
          <t>Thursday</t>
        </is>
      </c>
      <c r="H612" t="inlineStr">
        <is>
          <t>Monthly - Thursday</t>
        </is>
      </c>
      <c r="I612" t="inlineStr">
        <is>
          <t>Monthly - Thursday</t>
        </is>
      </c>
      <c r="J612" t="inlineStr">
        <is>
          <t>Same Month Expiry</t>
        </is>
      </c>
      <c r="K612" s="25" t="n">
        <v>490227</v>
      </c>
      <c r="L612" s="26" t="n">
        <v>819.4435</v>
      </c>
      <c r="M612" s="26" t="n">
        <v>3.1665</v>
      </c>
    </row>
    <row r="613" ht="16" customHeight="1">
      <c r="A613" t="inlineStr">
        <is>
          <t>20-Jan-2026</t>
        </is>
      </c>
      <c r="B613" t="inlineStr">
        <is>
          <t>Tuesday</t>
        </is>
      </c>
      <c r="C613" t="inlineStr">
        <is>
          <t>Week3-Jan-2026</t>
        </is>
      </c>
      <c r="D613" s="78" t="n">
        <v>46023</v>
      </c>
      <c r="E613" t="inlineStr">
        <is>
          <t>Q4FY26</t>
        </is>
      </c>
      <c r="F613" t="inlineStr">
        <is>
          <t>05-Feb-2026</t>
        </is>
      </c>
      <c r="G613" t="inlineStr">
        <is>
          <t>Thursday</t>
        </is>
      </c>
      <c r="H613" t="inlineStr">
        <is>
          <t>Weekly - Thursday</t>
        </is>
      </c>
      <c r="I613" t="inlineStr">
        <is>
          <t>Weekly - Thursday</t>
        </is>
      </c>
      <c r="J613" t="inlineStr">
        <is>
          <t>Month+1 Expiry</t>
        </is>
      </c>
      <c r="K613" s="25" t="n">
        <v>7276</v>
      </c>
      <c r="L613" s="26" t="n">
        <v>12.2656</v>
      </c>
      <c r="M613" s="26" t="n">
        <v>0.0953</v>
      </c>
    </row>
    <row r="614" ht="16" customHeight="1">
      <c r="A614" t="inlineStr">
        <is>
          <t>20-Jan-2026</t>
        </is>
      </c>
      <c r="B614" t="inlineStr">
        <is>
          <t>Tuesday</t>
        </is>
      </c>
      <c r="C614" t="inlineStr">
        <is>
          <t>Week3-Jan-2026</t>
        </is>
      </c>
      <c r="D614" s="78" t="n">
        <v>46023</v>
      </c>
      <c r="E614" t="inlineStr">
        <is>
          <t>Q4FY26</t>
        </is>
      </c>
      <c r="F614" t="inlineStr">
        <is>
          <t>12-Feb-2026</t>
        </is>
      </c>
      <c r="G614" t="inlineStr">
        <is>
          <t>Thursday</t>
        </is>
      </c>
      <c r="H614" t="inlineStr">
        <is>
          <t>Weekly - Thursday</t>
        </is>
      </c>
      <c r="I614" t="inlineStr">
        <is>
          <t>Weekly - Thursday</t>
        </is>
      </c>
      <c r="J614" t="inlineStr">
        <is>
          <t>Month+1 Expiry</t>
        </is>
      </c>
      <c r="K614" s="25" t="n">
        <v>171</v>
      </c>
      <c r="L614" s="26" t="n">
        <v>0.29</v>
      </c>
      <c r="M614" s="26" t="n">
        <v>0.0033</v>
      </c>
    </row>
    <row r="615" ht="16" customHeight="1">
      <c r="A615" t="inlineStr">
        <is>
          <t>20-Jan-2026</t>
        </is>
      </c>
      <c r="B615" t="inlineStr">
        <is>
          <t>Tuesday</t>
        </is>
      </c>
      <c r="C615" t="inlineStr">
        <is>
          <t>Week3-Jan-2026</t>
        </is>
      </c>
      <c r="D615" s="78" t="n">
        <v>46023</v>
      </c>
      <c r="E615" t="inlineStr">
        <is>
          <t>Q4FY26</t>
        </is>
      </c>
      <c r="F615" t="inlineStr">
        <is>
          <t>19-Feb-2026</t>
        </is>
      </c>
      <c r="G615" t="inlineStr">
        <is>
          <t>Thursday</t>
        </is>
      </c>
      <c r="H615" t="inlineStr">
        <is>
          <t>Weekly - Thursday</t>
        </is>
      </c>
      <c r="I615" t="inlineStr">
        <is>
          <t>Weekly - Thursday</t>
        </is>
      </c>
      <c r="J615" t="inlineStr">
        <is>
          <t>Month+1 Expiry</t>
        </is>
      </c>
      <c r="K615" s="25" t="n">
        <v>1</v>
      </c>
      <c r="L615" s="26" t="n">
        <v>0.0017</v>
      </c>
      <c r="M615" s="26" t="n">
        <v>0</v>
      </c>
    </row>
    <row r="616" ht="16" customHeight="1">
      <c r="A616" t="inlineStr">
        <is>
          <t>20-Jan-2026</t>
        </is>
      </c>
      <c r="B616" t="inlineStr">
        <is>
          <t>Tuesday</t>
        </is>
      </c>
      <c r="C616" t="inlineStr">
        <is>
          <t>Week3-Jan-2026</t>
        </is>
      </c>
      <c r="D616" s="78" t="n">
        <v>46023</v>
      </c>
      <c r="E616" t="inlineStr">
        <is>
          <t>Q4FY26</t>
        </is>
      </c>
      <c r="F616" t="inlineStr">
        <is>
          <t>26-Feb-2026</t>
        </is>
      </c>
      <c r="G616" t="inlineStr">
        <is>
          <t>Thursday</t>
        </is>
      </c>
      <c r="H616" t="inlineStr">
        <is>
          <t>Monthly - Thursday</t>
        </is>
      </c>
      <c r="I616" t="inlineStr">
        <is>
          <t>Monthly - Thursday</t>
        </is>
      </c>
      <c r="J616" t="inlineStr">
        <is>
          <t>Month+1 Expiry</t>
        </is>
      </c>
      <c r="K616" s="25" t="n">
        <v>4160</v>
      </c>
      <c r="L616" s="26" t="n">
        <v>7.0844</v>
      </c>
      <c r="M616" s="26" t="n">
        <v>0.0618</v>
      </c>
    </row>
    <row r="617" ht="16" customHeight="1">
      <c r="A617" t="inlineStr">
        <is>
          <t>20-Jan-2026</t>
        </is>
      </c>
      <c r="B617" t="inlineStr">
        <is>
          <t>Tuesday</t>
        </is>
      </c>
      <c r="C617" t="inlineStr">
        <is>
          <t>Week3-Jan-2026</t>
        </is>
      </c>
      <c r="D617" s="78" t="n">
        <v>46023</v>
      </c>
      <c r="E617" t="inlineStr">
        <is>
          <t>Q4FY26</t>
        </is>
      </c>
      <c r="F617" t="inlineStr">
        <is>
          <t>25-Mar-2026</t>
        </is>
      </c>
      <c r="G617" t="inlineStr">
        <is>
          <t>Wednesday</t>
        </is>
      </c>
      <c r="H617" t="inlineStr">
        <is>
          <t>Monthly - Wednesday</t>
        </is>
      </c>
      <c r="I617" t="inlineStr">
        <is>
          <t>Monthly - Wednesday</t>
        </is>
      </c>
      <c r="J617" t="inlineStr">
        <is>
          <t>Month+2 Expiry</t>
        </is>
      </c>
      <c r="K617" s="25" t="n">
        <v>0</v>
      </c>
      <c r="L617" s="26" t="n">
        <v>0</v>
      </c>
      <c r="M617" s="26" t="n">
        <v>0</v>
      </c>
    </row>
    <row r="618" ht="16" customHeight="1">
      <c r="A618" t="inlineStr">
        <is>
          <t>20-Jan-2026</t>
        </is>
      </c>
      <c r="B618" t="inlineStr">
        <is>
          <t>Tuesday</t>
        </is>
      </c>
      <c r="C618" t="inlineStr">
        <is>
          <t>Week3-Jan-2026</t>
        </is>
      </c>
      <c r="D618" s="78" t="n">
        <v>46023</v>
      </c>
      <c r="E618" t="inlineStr">
        <is>
          <t>Q4FY26</t>
        </is>
      </c>
      <c r="F618" t="inlineStr">
        <is>
          <t>25-Jun-2026</t>
        </is>
      </c>
      <c r="G618" t="inlineStr">
        <is>
          <t>Thursday</t>
        </is>
      </c>
      <c r="H618" t="inlineStr">
        <is>
          <t>Monthly - Thursday</t>
        </is>
      </c>
      <c r="I618" t="inlineStr">
        <is>
          <t>Monthly - Thursday</t>
        </is>
      </c>
      <c r="J618" t="inlineStr">
        <is>
          <t>Month+5 Expiry</t>
        </is>
      </c>
      <c r="K618" s="25" t="n">
        <v>0</v>
      </c>
      <c r="L618" s="26" t="n">
        <v>0</v>
      </c>
      <c r="M618" s="26" t="n">
        <v>0</v>
      </c>
    </row>
    <row r="619" ht="16" customHeight="1">
      <c r="A619" t="inlineStr">
        <is>
          <t>21-Jan-2026</t>
        </is>
      </c>
      <c r="B619" t="inlineStr">
        <is>
          <t>Wednesday</t>
        </is>
      </c>
      <c r="C619" t="inlineStr">
        <is>
          <t>Week3-Jan-2026</t>
        </is>
      </c>
      <c r="D619" s="78" t="n">
        <v>46023</v>
      </c>
      <c r="E619" t="inlineStr">
        <is>
          <t>Q4FY26</t>
        </is>
      </c>
      <c r="F619" t="inlineStr">
        <is>
          <t>22-Jan-2026</t>
        </is>
      </c>
      <c r="G619" t="inlineStr">
        <is>
          <t>Thursday</t>
        </is>
      </c>
      <c r="H619" t="inlineStr">
        <is>
          <t>Weekly - Thursday</t>
        </is>
      </c>
      <c r="I619" t="inlineStr">
        <is>
          <t>Weekly - Thursday</t>
        </is>
      </c>
      <c r="J619" t="inlineStr">
        <is>
          <t>Same Month Expiry</t>
        </is>
      </c>
      <c r="K619" s="25" t="n">
        <v>195389782</v>
      </c>
      <c r="L619" s="26" t="n">
        <v>320519.0701</v>
      </c>
      <c r="M619" s="26" t="n">
        <v>549.5594</v>
      </c>
    </row>
    <row r="620" ht="16" customHeight="1">
      <c r="A620" t="inlineStr">
        <is>
          <t>21-Jan-2026</t>
        </is>
      </c>
      <c r="B620" t="inlineStr">
        <is>
          <t>Wednesday</t>
        </is>
      </c>
      <c r="C620" t="inlineStr">
        <is>
          <t>Week3-Jan-2026</t>
        </is>
      </c>
      <c r="D620" s="78" t="n">
        <v>46023</v>
      </c>
      <c r="E620" t="inlineStr">
        <is>
          <t>Q4FY26</t>
        </is>
      </c>
      <c r="F620" t="inlineStr">
        <is>
          <t>29-Jan-2026</t>
        </is>
      </c>
      <c r="G620" t="inlineStr">
        <is>
          <t>Thursday</t>
        </is>
      </c>
      <c r="H620" t="inlineStr">
        <is>
          <t>Monthly - Thursday</t>
        </is>
      </c>
      <c r="I620" t="inlineStr">
        <is>
          <t>Monthly - Thursday</t>
        </is>
      </c>
      <c r="J620" t="inlineStr">
        <is>
          <t>Same Month Expiry</t>
        </is>
      </c>
      <c r="K620" s="25" t="n">
        <v>1287768</v>
      </c>
      <c r="L620" s="26" t="n">
        <v>2133.7347</v>
      </c>
      <c r="M620" s="26" t="n">
        <v>8.1671</v>
      </c>
    </row>
    <row r="621" ht="16" customHeight="1">
      <c r="A621" t="inlineStr">
        <is>
          <t>21-Jan-2026</t>
        </is>
      </c>
      <c r="B621" t="inlineStr">
        <is>
          <t>Wednesday</t>
        </is>
      </c>
      <c r="C621" t="inlineStr">
        <is>
          <t>Week3-Jan-2026</t>
        </is>
      </c>
      <c r="D621" s="78" t="n">
        <v>46023</v>
      </c>
      <c r="E621" t="inlineStr">
        <is>
          <t>Q4FY26</t>
        </is>
      </c>
      <c r="F621" t="inlineStr">
        <is>
          <t>05-Feb-2026</t>
        </is>
      </c>
      <c r="G621" t="inlineStr">
        <is>
          <t>Thursday</t>
        </is>
      </c>
      <c r="H621" t="inlineStr">
        <is>
          <t>Weekly - Thursday</t>
        </is>
      </c>
      <c r="I621" t="inlineStr">
        <is>
          <t>Weekly - Thursday</t>
        </is>
      </c>
      <c r="J621" t="inlineStr">
        <is>
          <t>Month+1 Expiry</t>
        </is>
      </c>
      <c r="K621" s="25" t="n">
        <v>12543</v>
      </c>
      <c r="L621" s="26" t="n">
        <v>21.0889</v>
      </c>
      <c r="M621" s="26" t="n">
        <v>0.1704</v>
      </c>
    </row>
    <row r="622" ht="16" customHeight="1">
      <c r="A622" t="inlineStr">
        <is>
          <t>21-Jan-2026</t>
        </is>
      </c>
      <c r="B622" t="inlineStr">
        <is>
          <t>Wednesday</t>
        </is>
      </c>
      <c r="C622" t="inlineStr">
        <is>
          <t>Week3-Jan-2026</t>
        </is>
      </c>
      <c r="D622" s="78" t="n">
        <v>46023</v>
      </c>
      <c r="E622" t="inlineStr">
        <is>
          <t>Q4FY26</t>
        </is>
      </c>
      <c r="F622" t="inlineStr">
        <is>
          <t>12-Feb-2026</t>
        </is>
      </c>
      <c r="G622" t="inlineStr">
        <is>
          <t>Thursday</t>
        </is>
      </c>
      <c r="H622" t="inlineStr">
        <is>
          <t>Weekly - Thursday</t>
        </is>
      </c>
      <c r="I622" t="inlineStr">
        <is>
          <t>Weekly - Thursday</t>
        </is>
      </c>
      <c r="J622" t="inlineStr">
        <is>
          <t>Month+1 Expiry</t>
        </is>
      </c>
      <c r="K622" s="25" t="n">
        <v>984</v>
      </c>
      <c r="L622" s="26" t="n">
        <v>1.649</v>
      </c>
      <c r="M622" s="26" t="n">
        <v>0.0195</v>
      </c>
    </row>
    <row r="623" ht="16" customHeight="1">
      <c r="A623" t="inlineStr">
        <is>
          <t>21-Jan-2026</t>
        </is>
      </c>
      <c r="B623" t="inlineStr">
        <is>
          <t>Wednesday</t>
        </is>
      </c>
      <c r="C623" t="inlineStr">
        <is>
          <t>Week3-Jan-2026</t>
        </is>
      </c>
      <c r="D623" s="78" t="n">
        <v>46023</v>
      </c>
      <c r="E623" t="inlineStr">
        <is>
          <t>Q4FY26</t>
        </is>
      </c>
      <c r="F623" t="inlineStr">
        <is>
          <t>19-Feb-2026</t>
        </is>
      </c>
      <c r="G623" t="inlineStr">
        <is>
          <t>Thursday</t>
        </is>
      </c>
      <c r="H623" t="inlineStr">
        <is>
          <t>Weekly - Thursday</t>
        </is>
      </c>
      <c r="I623" t="inlineStr">
        <is>
          <t>Weekly - Thursday</t>
        </is>
      </c>
      <c r="J623" t="inlineStr">
        <is>
          <t>Month+1 Expiry</t>
        </is>
      </c>
      <c r="K623" s="25" t="n">
        <v>0</v>
      </c>
      <c r="L623" s="26" t="n">
        <v>0</v>
      </c>
      <c r="M623" s="26" t="n">
        <v>0</v>
      </c>
    </row>
    <row r="624" ht="16" customHeight="1">
      <c r="A624" t="inlineStr">
        <is>
          <t>21-Jan-2026</t>
        </is>
      </c>
      <c r="B624" t="inlineStr">
        <is>
          <t>Wednesday</t>
        </is>
      </c>
      <c r="C624" t="inlineStr">
        <is>
          <t>Week3-Jan-2026</t>
        </is>
      </c>
      <c r="D624" s="78" t="n">
        <v>46023</v>
      </c>
      <c r="E624" t="inlineStr">
        <is>
          <t>Q4FY26</t>
        </is>
      </c>
      <c r="F624" t="inlineStr">
        <is>
          <t>26-Feb-2026</t>
        </is>
      </c>
      <c r="G624" t="inlineStr">
        <is>
          <t>Thursday</t>
        </is>
      </c>
      <c r="H624" t="inlineStr">
        <is>
          <t>Monthly - Thursday</t>
        </is>
      </c>
      <c r="I624" t="inlineStr">
        <is>
          <t>Monthly - Thursday</t>
        </is>
      </c>
      <c r="J624" t="inlineStr">
        <is>
          <t>Month+1 Expiry</t>
        </is>
      </c>
      <c r="K624" s="25" t="n">
        <v>6707</v>
      </c>
      <c r="L624" s="26" t="n">
        <v>11.3542</v>
      </c>
      <c r="M624" s="26" t="n">
        <v>0.098</v>
      </c>
    </row>
    <row r="625" ht="16" customHeight="1">
      <c r="A625" t="inlineStr">
        <is>
          <t>21-Jan-2026</t>
        </is>
      </c>
      <c r="B625" t="inlineStr">
        <is>
          <t>Wednesday</t>
        </is>
      </c>
      <c r="C625" t="inlineStr">
        <is>
          <t>Week3-Jan-2026</t>
        </is>
      </c>
      <c r="D625" s="78" t="n">
        <v>46023</v>
      </c>
      <c r="E625" t="inlineStr">
        <is>
          <t>Q4FY26</t>
        </is>
      </c>
      <c r="F625" t="inlineStr">
        <is>
          <t>25-Mar-2026</t>
        </is>
      </c>
      <c r="G625" t="inlineStr">
        <is>
          <t>Wednesday</t>
        </is>
      </c>
      <c r="H625" t="inlineStr">
        <is>
          <t>Monthly - Wednesday</t>
        </is>
      </c>
      <c r="I625" t="inlineStr">
        <is>
          <t>Monthly - Wednesday</t>
        </is>
      </c>
      <c r="J625" t="inlineStr">
        <is>
          <t>Month+2 Expiry</t>
        </is>
      </c>
      <c r="K625" s="25" t="n">
        <v>0</v>
      </c>
      <c r="L625" s="26" t="n">
        <v>0</v>
      </c>
      <c r="M625" s="26" t="n">
        <v>0</v>
      </c>
    </row>
    <row r="626" ht="16" customHeight="1">
      <c r="A626" t="inlineStr">
        <is>
          <t>21-Jan-2026</t>
        </is>
      </c>
      <c r="B626" t="inlineStr">
        <is>
          <t>Wednesday</t>
        </is>
      </c>
      <c r="C626" t="inlineStr">
        <is>
          <t>Week3-Jan-2026</t>
        </is>
      </c>
      <c r="D626" s="78" t="n">
        <v>46023</v>
      </c>
      <c r="E626" t="inlineStr">
        <is>
          <t>Q4FY26</t>
        </is>
      </c>
      <c r="F626" t="inlineStr">
        <is>
          <t>25-Jun-2026</t>
        </is>
      </c>
      <c r="G626" t="inlineStr">
        <is>
          <t>Thursday</t>
        </is>
      </c>
      <c r="H626" t="inlineStr">
        <is>
          <t>Monthly - Thursday</t>
        </is>
      </c>
      <c r="I626" t="inlineStr">
        <is>
          <t>Monthly - Thursday</t>
        </is>
      </c>
      <c r="J626" t="inlineStr">
        <is>
          <t>Month+5 Expiry</t>
        </is>
      </c>
      <c r="K626" s="25" t="n">
        <v>0</v>
      </c>
      <c r="L626" s="26" t="n">
        <v>0</v>
      </c>
      <c r="M626" s="26" t="n">
        <v>0</v>
      </c>
    </row>
    <row r="627" ht="16" customHeight="1">
      <c r="A627" t="inlineStr">
        <is>
          <t>22-Jan-2026</t>
        </is>
      </c>
      <c r="B627" t="inlineStr">
        <is>
          <t>Thursday</t>
        </is>
      </c>
      <c r="C627" t="inlineStr">
        <is>
          <t>Week4-Jan-2026</t>
        </is>
      </c>
      <c r="D627" s="78" t="n">
        <v>46023</v>
      </c>
      <c r="E627" t="inlineStr">
        <is>
          <t>Q4FY26</t>
        </is>
      </c>
      <c r="F627" t="inlineStr">
        <is>
          <t>22-Jan-2026</t>
        </is>
      </c>
      <c r="G627" t="inlineStr">
        <is>
          <t>Thursday</t>
        </is>
      </c>
      <c r="H627" t="inlineStr">
        <is>
          <t>Weekly - Thursday</t>
        </is>
      </c>
      <c r="I627" t="inlineStr">
        <is>
          <t>Weekly - Thursday</t>
        </is>
      </c>
      <c r="J627" t="inlineStr">
        <is>
          <t>Same Month Expiry</t>
        </is>
      </c>
      <c r="K627" s="25" t="n">
        <v>562410493</v>
      </c>
      <c r="L627" s="26" t="n">
        <v>925213.3822</v>
      </c>
      <c r="M627" s="26" t="n">
        <v>741.25</v>
      </c>
    </row>
    <row r="628" ht="16" customHeight="1">
      <c r="A628" t="inlineStr">
        <is>
          <t>22-Jan-2026</t>
        </is>
      </c>
      <c r="B628" t="inlineStr">
        <is>
          <t>Thursday</t>
        </is>
      </c>
      <c r="C628" t="inlineStr">
        <is>
          <t>Week4-Jan-2026</t>
        </is>
      </c>
      <c r="D628" s="78" t="n">
        <v>46023</v>
      </c>
      <c r="E628" t="inlineStr">
        <is>
          <t>Q4FY26</t>
        </is>
      </c>
      <c r="F628" t="inlineStr">
        <is>
          <t>29-Jan-2026</t>
        </is>
      </c>
      <c r="G628" t="inlineStr">
        <is>
          <t>Thursday</t>
        </is>
      </c>
      <c r="H628" t="inlineStr">
        <is>
          <t>Monthly - Thursday</t>
        </is>
      </c>
      <c r="I628" t="inlineStr">
        <is>
          <t>Monthly - Thursday</t>
        </is>
      </c>
      <c r="J628" t="inlineStr">
        <is>
          <t>Same Month Expiry</t>
        </is>
      </c>
      <c r="K628" s="25" t="n">
        <v>2768201</v>
      </c>
      <c r="L628" s="26" t="n">
        <v>4579.6598</v>
      </c>
      <c r="M628" s="26" t="n">
        <v>17.311</v>
      </c>
    </row>
    <row r="629" ht="16" customHeight="1">
      <c r="A629" t="inlineStr">
        <is>
          <t>22-Jan-2026</t>
        </is>
      </c>
      <c r="B629" t="inlineStr">
        <is>
          <t>Thursday</t>
        </is>
      </c>
      <c r="C629" t="inlineStr">
        <is>
          <t>Week4-Jan-2026</t>
        </is>
      </c>
      <c r="D629" s="78" t="n">
        <v>46023</v>
      </c>
      <c r="E629" t="inlineStr">
        <is>
          <t>Q4FY26</t>
        </is>
      </c>
      <c r="F629" t="inlineStr">
        <is>
          <t>05-Feb-2026</t>
        </is>
      </c>
      <c r="G629" t="inlineStr">
        <is>
          <t>Thursday</t>
        </is>
      </c>
      <c r="H629" t="inlineStr">
        <is>
          <t>Weekly - Thursday</t>
        </is>
      </c>
      <c r="I629" t="inlineStr">
        <is>
          <t>Weekly - Thursday</t>
        </is>
      </c>
      <c r="J629" t="inlineStr">
        <is>
          <t>Month+1 Expiry</t>
        </is>
      </c>
      <c r="K629" s="25" t="n">
        <v>22398</v>
      </c>
      <c r="L629" s="26" t="n">
        <v>37.68</v>
      </c>
      <c r="M629" s="26" t="n">
        <v>0.2975</v>
      </c>
    </row>
    <row r="630" ht="16" customHeight="1">
      <c r="A630" t="inlineStr">
        <is>
          <t>22-Jan-2026</t>
        </is>
      </c>
      <c r="B630" t="inlineStr">
        <is>
          <t>Thursday</t>
        </is>
      </c>
      <c r="C630" t="inlineStr">
        <is>
          <t>Week4-Jan-2026</t>
        </is>
      </c>
      <c r="D630" s="78" t="n">
        <v>46023</v>
      </c>
      <c r="E630" t="inlineStr">
        <is>
          <t>Q4FY26</t>
        </is>
      </c>
      <c r="F630" t="inlineStr">
        <is>
          <t>12-Feb-2026</t>
        </is>
      </c>
      <c r="G630" t="inlineStr">
        <is>
          <t>Thursday</t>
        </is>
      </c>
      <c r="H630" t="inlineStr">
        <is>
          <t>Weekly - Thursday</t>
        </is>
      </c>
      <c r="I630" t="inlineStr">
        <is>
          <t>Weekly - Thursday</t>
        </is>
      </c>
      <c r="J630" t="inlineStr">
        <is>
          <t>Month+1 Expiry</t>
        </is>
      </c>
      <c r="K630" s="25" t="n">
        <v>682</v>
      </c>
      <c r="L630" s="26" t="n">
        <v>1.1455</v>
      </c>
      <c r="M630" s="26" t="n">
        <v>0.0123</v>
      </c>
    </row>
    <row r="631" ht="16" customHeight="1">
      <c r="A631" t="inlineStr">
        <is>
          <t>22-Jan-2026</t>
        </is>
      </c>
      <c r="B631" t="inlineStr">
        <is>
          <t>Thursday</t>
        </is>
      </c>
      <c r="C631" t="inlineStr">
        <is>
          <t>Week4-Jan-2026</t>
        </is>
      </c>
      <c r="D631" s="78" t="n">
        <v>46023</v>
      </c>
      <c r="E631" t="inlineStr">
        <is>
          <t>Q4FY26</t>
        </is>
      </c>
      <c r="F631" t="inlineStr">
        <is>
          <t>19-Feb-2026</t>
        </is>
      </c>
      <c r="G631" t="inlineStr">
        <is>
          <t>Thursday</t>
        </is>
      </c>
      <c r="H631" t="inlineStr">
        <is>
          <t>Weekly - Thursday</t>
        </is>
      </c>
      <c r="I631" t="inlineStr">
        <is>
          <t>Weekly - Thursday</t>
        </is>
      </c>
      <c r="J631" t="inlineStr">
        <is>
          <t>Month+1 Expiry</t>
        </is>
      </c>
      <c r="K631" s="25" t="n">
        <v>1</v>
      </c>
      <c r="L631" s="26" t="n">
        <v>0.0017</v>
      </c>
      <c r="M631" s="26" t="n">
        <v>0</v>
      </c>
    </row>
    <row r="632" ht="16" customHeight="1">
      <c r="A632" t="inlineStr">
        <is>
          <t>22-Jan-2026</t>
        </is>
      </c>
      <c r="B632" t="inlineStr">
        <is>
          <t>Thursday</t>
        </is>
      </c>
      <c r="C632" t="inlineStr">
        <is>
          <t>Week4-Jan-2026</t>
        </is>
      </c>
      <c r="D632" s="78" t="n">
        <v>46023</v>
      </c>
      <c r="E632" t="inlineStr">
        <is>
          <t>Q4FY26</t>
        </is>
      </c>
      <c r="F632" t="inlineStr">
        <is>
          <t>26-Feb-2026</t>
        </is>
      </c>
      <c r="G632" t="inlineStr">
        <is>
          <t>Thursday</t>
        </is>
      </c>
      <c r="H632" t="inlineStr">
        <is>
          <t>Monthly - Thursday</t>
        </is>
      </c>
      <c r="I632" t="inlineStr">
        <is>
          <t>Monthly - Thursday</t>
        </is>
      </c>
      <c r="J632" t="inlineStr">
        <is>
          <t>Month+1 Expiry</t>
        </is>
      </c>
      <c r="K632" s="25" t="n">
        <v>9530</v>
      </c>
      <c r="L632" s="26" t="n">
        <v>16.1227</v>
      </c>
      <c r="M632" s="26" t="n">
        <v>0.1446</v>
      </c>
    </row>
    <row r="633" ht="16" customHeight="1">
      <c r="A633" t="inlineStr">
        <is>
          <t>22-Jan-2026</t>
        </is>
      </c>
      <c r="B633" t="inlineStr">
        <is>
          <t>Thursday</t>
        </is>
      </c>
      <c r="C633" t="inlineStr">
        <is>
          <t>Week4-Jan-2026</t>
        </is>
      </c>
      <c r="D633" s="78" t="n">
        <v>46023</v>
      </c>
      <c r="E633" t="inlineStr">
        <is>
          <t>Q4FY26</t>
        </is>
      </c>
      <c r="F633" t="inlineStr">
        <is>
          <t>25-Mar-2026</t>
        </is>
      </c>
      <c r="G633" t="inlineStr">
        <is>
          <t>Wednesday</t>
        </is>
      </c>
      <c r="H633" t="inlineStr">
        <is>
          <t>Monthly - Wednesday</t>
        </is>
      </c>
      <c r="I633" t="inlineStr">
        <is>
          <t>Monthly - Wednesday</t>
        </is>
      </c>
      <c r="J633" t="inlineStr">
        <is>
          <t>Month+2 Expiry</t>
        </is>
      </c>
      <c r="K633" s="25" t="n">
        <v>0</v>
      </c>
      <c r="L633" s="26" t="n">
        <v>0</v>
      </c>
      <c r="M633" s="26" t="n">
        <v>0</v>
      </c>
    </row>
    <row r="634" ht="16" customHeight="1">
      <c r="A634" t="inlineStr">
        <is>
          <t>22-Jan-2026</t>
        </is>
      </c>
      <c r="B634" t="inlineStr">
        <is>
          <t>Thursday</t>
        </is>
      </c>
      <c r="C634" t="inlineStr">
        <is>
          <t>Week4-Jan-2026</t>
        </is>
      </c>
      <c r="D634" s="78" t="n">
        <v>46023</v>
      </c>
      <c r="E634" t="inlineStr">
        <is>
          <t>Q4FY26</t>
        </is>
      </c>
      <c r="F634" t="inlineStr">
        <is>
          <t>25-Jun-2026</t>
        </is>
      </c>
      <c r="G634" t="inlineStr">
        <is>
          <t>Thursday</t>
        </is>
      </c>
      <c r="H634" t="inlineStr">
        <is>
          <t>Monthly - Thursday</t>
        </is>
      </c>
      <c r="I634" t="inlineStr">
        <is>
          <t>Monthly - Thursday</t>
        </is>
      </c>
      <c r="J634" t="inlineStr">
        <is>
          <t>Month+5 Expiry</t>
        </is>
      </c>
      <c r="K634" s="25" t="n">
        <v>0</v>
      </c>
      <c r="L634" s="26" t="n">
        <v>0</v>
      </c>
      <c r="M634" s="26" t="n">
        <v>0</v>
      </c>
    </row>
    <row r="635" ht="16" customHeight="1">
      <c r="A635" t="inlineStr">
        <is>
          <t>23-Jan-2026</t>
        </is>
      </c>
      <c r="B635" t="inlineStr">
        <is>
          <t>Friday</t>
        </is>
      </c>
      <c r="C635" t="inlineStr">
        <is>
          <t>Week4-Jan-2026</t>
        </is>
      </c>
      <c r="D635" s="78" t="n">
        <v>46023</v>
      </c>
      <c r="E635" t="inlineStr">
        <is>
          <t>Q4FY26</t>
        </is>
      </c>
      <c r="F635" t="inlineStr">
        <is>
          <t>29-Jan-2026</t>
        </is>
      </c>
      <c r="G635" t="inlineStr">
        <is>
          <t>Thursday</t>
        </is>
      </c>
      <c r="H635" t="inlineStr">
        <is>
          <t>Monthly - Thursday</t>
        </is>
      </c>
      <c r="I635" t="inlineStr">
        <is>
          <t>MDAW - Thursday</t>
        </is>
      </c>
      <c r="J635" t="inlineStr">
        <is>
          <t>Same Month Expiry</t>
        </is>
      </c>
      <c r="K635" s="25" t="n">
        <v>27084808</v>
      </c>
      <c r="L635" s="26" t="n">
        <v>44648.8272</v>
      </c>
      <c r="M635" s="26" t="n">
        <v>144.1229</v>
      </c>
    </row>
    <row r="636" ht="16" customHeight="1">
      <c r="A636" t="inlineStr">
        <is>
          <t>23-Jan-2026</t>
        </is>
      </c>
      <c r="B636" t="inlineStr">
        <is>
          <t>Friday</t>
        </is>
      </c>
      <c r="C636" t="inlineStr">
        <is>
          <t>Week4-Jan-2026</t>
        </is>
      </c>
      <c r="D636" s="78" t="n">
        <v>46023</v>
      </c>
      <c r="E636" t="inlineStr">
        <is>
          <t>Q4FY26</t>
        </is>
      </c>
      <c r="F636" t="inlineStr">
        <is>
          <t>05-Feb-2026</t>
        </is>
      </c>
      <c r="G636" t="inlineStr">
        <is>
          <t>Thursday</t>
        </is>
      </c>
      <c r="H636" t="inlineStr">
        <is>
          <t>Weekly - Thursday</t>
        </is>
      </c>
      <c r="I636" t="inlineStr">
        <is>
          <t>Weekly - Thursday</t>
        </is>
      </c>
      <c r="J636" t="inlineStr">
        <is>
          <t>Month+1 Expiry</t>
        </is>
      </c>
      <c r="K636" s="25" t="n">
        <v>109639</v>
      </c>
      <c r="L636" s="26" t="n">
        <v>182.3602</v>
      </c>
      <c r="M636" s="26" t="n">
        <v>1.2561</v>
      </c>
    </row>
    <row r="637" ht="16" customHeight="1">
      <c r="A637" t="inlineStr">
        <is>
          <t>23-Jan-2026</t>
        </is>
      </c>
      <c r="B637" t="inlineStr">
        <is>
          <t>Friday</t>
        </is>
      </c>
      <c r="C637" t="inlineStr">
        <is>
          <t>Week4-Jan-2026</t>
        </is>
      </c>
      <c r="D637" s="78" t="n">
        <v>46023</v>
      </c>
      <c r="E637" t="inlineStr">
        <is>
          <t>Q4FY26</t>
        </is>
      </c>
      <c r="F637" t="inlineStr">
        <is>
          <t>12-Feb-2026</t>
        </is>
      </c>
      <c r="G637" t="inlineStr">
        <is>
          <t>Thursday</t>
        </is>
      </c>
      <c r="H637" t="inlineStr">
        <is>
          <t>Weekly - Thursday</t>
        </is>
      </c>
      <c r="I637" t="inlineStr">
        <is>
          <t>Weekly - Thursday</t>
        </is>
      </c>
      <c r="J637" t="inlineStr">
        <is>
          <t>Month+1 Expiry</t>
        </is>
      </c>
      <c r="K637" s="25" t="n">
        <v>1905</v>
      </c>
      <c r="L637" s="26" t="n">
        <v>3.1844</v>
      </c>
      <c r="M637" s="26" t="n">
        <v>0.0355</v>
      </c>
    </row>
    <row r="638" ht="16" customHeight="1">
      <c r="A638" t="inlineStr">
        <is>
          <t>23-Jan-2026</t>
        </is>
      </c>
      <c r="B638" t="inlineStr">
        <is>
          <t>Friday</t>
        </is>
      </c>
      <c r="C638" t="inlineStr">
        <is>
          <t>Week4-Jan-2026</t>
        </is>
      </c>
      <c r="D638" s="78" t="n">
        <v>46023</v>
      </c>
      <c r="E638" t="inlineStr">
        <is>
          <t>Q4FY26</t>
        </is>
      </c>
      <c r="F638" t="inlineStr">
        <is>
          <t>19-Feb-2026</t>
        </is>
      </c>
      <c r="G638" t="inlineStr">
        <is>
          <t>Thursday</t>
        </is>
      </c>
      <c r="H638" t="inlineStr">
        <is>
          <t>Weekly - Thursday</t>
        </is>
      </c>
      <c r="I638" t="inlineStr">
        <is>
          <t>Weekly - Thursday</t>
        </is>
      </c>
      <c r="J638" t="inlineStr">
        <is>
          <t>Month+1 Expiry</t>
        </is>
      </c>
      <c r="K638" s="25" t="n">
        <v>132</v>
      </c>
      <c r="L638" s="26" t="n">
        <v>0.2219</v>
      </c>
      <c r="M638" s="26" t="n">
        <v>0.0028</v>
      </c>
    </row>
    <row r="639" ht="16" customHeight="1">
      <c r="A639" t="inlineStr">
        <is>
          <t>23-Jan-2026</t>
        </is>
      </c>
      <c r="B639" t="inlineStr">
        <is>
          <t>Friday</t>
        </is>
      </c>
      <c r="C639" t="inlineStr">
        <is>
          <t>Week4-Jan-2026</t>
        </is>
      </c>
      <c r="D639" s="78" t="n">
        <v>46023</v>
      </c>
      <c r="E639" t="inlineStr">
        <is>
          <t>Q4FY26</t>
        </is>
      </c>
      <c r="F639" t="inlineStr">
        <is>
          <t>26-Feb-2026</t>
        </is>
      </c>
      <c r="G639" t="inlineStr">
        <is>
          <t>Thursday</t>
        </is>
      </c>
      <c r="H639" t="inlineStr">
        <is>
          <t>Monthly - Thursday</t>
        </is>
      </c>
      <c r="I639" t="inlineStr">
        <is>
          <t>Monthly - Thursday</t>
        </is>
      </c>
      <c r="J639" t="inlineStr">
        <is>
          <t>Month+1 Expiry</t>
        </is>
      </c>
      <c r="K639" s="25" t="n">
        <v>14349</v>
      </c>
      <c r="L639" s="26" t="n">
        <v>24.1136</v>
      </c>
      <c r="M639" s="26" t="n">
        <v>0.2507</v>
      </c>
    </row>
    <row r="640" ht="16" customHeight="1">
      <c r="A640" t="inlineStr">
        <is>
          <t>23-Jan-2026</t>
        </is>
      </c>
      <c r="B640" t="inlineStr">
        <is>
          <t>Friday</t>
        </is>
      </c>
      <c r="C640" t="inlineStr">
        <is>
          <t>Week4-Jan-2026</t>
        </is>
      </c>
      <c r="D640" s="78" t="n">
        <v>46023</v>
      </c>
      <c r="E640" t="inlineStr">
        <is>
          <t>Q4FY26</t>
        </is>
      </c>
      <c r="F640" t="inlineStr">
        <is>
          <t>25-Mar-2026</t>
        </is>
      </c>
      <c r="G640" t="inlineStr">
        <is>
          <t>Wednesday</t>
        </is>
      </c>
      <c r="H640" t="inlineStr">
        <is>
          <t>Monthly - Wednesday</t>
        </is>
      </c>
      <c r="I640" t="inlineStr">
        <is>
          <t>Monthly - Wednesday</t>
        </is>
      </c>
      <c r="J640" t="inlineStr">
        <is>
          <t>Month+2 Expiry</t>
        </is>
      </c>
      <c r="K640" s="25" t="n">
        <v>0</v>
      </c>
      <c r="L640" s="26" t="n">
        <v>0</v>
      </c>
      <c r="M640" s="26" t="n">
        <v>0</v>
      </c>
    </row>
    <row r="641" ht="16" customHeight="1">
      <c r="A641" t="inlineStr">
        <is>
          <t>23-Jan-2026</t>
        </is>
      </c>
      <c r="B641" t="inlineStr">
        <is>
          <t>Friday</t>
        </is>
      </c>
      <c r="C641" t="inlineStr">
        <is>
          <t>Week4-Jan-2026</t>
        </is>
      </c>
      <c r="D641" s="78" t="n">
        <v>46023</v>
      </c>
      <c r="E641" t="inlineStr">
        <is>
          <t>Q4FY26</t>
        </is>
      </c>
      <c r="F641" t="inlineStr">
        <is>
          <t>25-Jun-2026</t>
        </is>
      </c>
      <c r="G641" t="inlineStr">
        <is>
          <t>Thursday</t>
        </is>
      </c>
      <c r="H641" t="inlineStr">
        <is>
          <t>Monthly - Thursday</t>
        </is>
      </c>
      <c r="I641" t="inlineStr">
        <is>
          <t>Monthly - Thursday</t>
        </is>
      </c>
      <c r="J641" t="inlineStr">
        <is>
          <t>Month+5 Expiry</t>
        </is>
      </c>
      <c r="K641" s="25" t="n">
        <v>0</v>
      </c>
      <c r="L641" s="26" t="n">
        <v>0</v>
      </c>
      <c r="M641" s="26" t="n">
        <v>0</v>
      </c>
    </row>
    <row r="642" ht="16" customHeight="1">
      <c r="A642" t="inlineStr">
        <is>
          <t>27-Jan-2026</t>
        </is>
      </c>
      <c r="B642" t="inlineStr">
        <is>
          <t>Tuesday</t>
        </is>
      </c>
      <c r="C642" t="inlineStr">
        <is>
          <t>Week4-Jan-2026</t>
        </is>
      </c>
      <c r="D642" s="78" t="n">
        <v>46023</v>
      </c>
      <c r="E642" t="inlineStr">
        <is>
          <t>Q4FY26</t>
        </is>
      </c>
      <c r="F642" t="inlineStr">
        <is>
          <t>29-Jan-2026</t>
        </is>
      </c>
      <c r="G642" t="inlineStr">
        <is>
          <t>Thursday</t>
        </is>
      </c>
      <c r="H642" t="inlineStr">
        <is>
          <t>Monthly - Thursday</t>
        </is>
      </c>
      <c r="I642" t="inlineStr">
        <is>
          <t>MDAW - Thursday</t>
        </is>
      </c>
      <c r="J642" t="inlineStr">
        <is>
          <t>Same Month Expiry</t>
        </is>
      </c>
      <c r="K642" s="25" t="n">
        <v>36024252</v>
      </c>
      <c r="L642" s="26" t="n">
        <v>59060.9888</v>
      </c>
      <c r="M642" s="26" t="n">
        <v>160.0309</v>
      </c>
    </row>
    <row r="643" ht="16" customHeight="1">
      <c r="A643" t="inlineStr">
        <is>
          <t>27-Jan-2026</t>
        </is>
      </c>
      <c r="B643" t="inlineStr">
        <is>
          <t>Tuesday</t>
        </is>
      </c>
      <c r="C643" t="inlineStr">
        <is>
          <t>Week4-Jan-2026</t>
        </is>
      </c>
      <c r="D643" s="78" t="n">
        <v>46023</v>
      </c>
      <c r="E643" t="inlineStr">
        <is>
          <t>Q4FY26</t>
        </is>
      </c>
      <c r="F643" t="inlineStr">
        <is>
          <t>05-Feb-2026</t>
        </is>
      </c>
      <c r="G643" t="inlineStr">
        <is>
          <t>Thursday</t>
        </is>
      </c>
      <c r="H643" t="inlineStr">
        <is>
          <t>Weekly - Thursday</t>
        </is>
      </c>
      <c r="I643" t="inlineStr">
        <is>
          <t>Weekly - Thursday</t>
        </is>
      </c>
      <c r="J643" t="inlineStr">
        <is>
          <t>Month+1 Expiry</t>
        </is>
      </c>
      <c r="K643" s="25" t="n">
        <v>254292</v>
      </c>
      <c r="L643" s="26" t="n">
        <v>420.5002</v>
      </c>
      <c r="M643" s="26" t="n">
        <v>2.8086</v>
      </c>
    </row>
    <row r="644" ht="16" customHeight="1">
      <c r="A644" t="inlineStr">
        <is>
          <t>27-Jan-2026</t>
        </is>
      </c>
      <c r="B644" t="inlineStr">
        <is>
          <t>Tuesday</t>
        </is>
      </c>
      <c r="C644" t="inlineStr">
        <is>
          <t>Week4-Jan-2026</t>
        </is>
      </c>
      <c r="D644" s="78" t="n">
        <v>46023</v>
      </c>
      <c r="E644" t="inlineStr">
        <is>
          <t>Q4FY26</t>
        </is>
      </c>
      <c r="F644" t="inlineStr">
        <is>
          <t>12-Feb-2026</t>
        </is>
      </c>
      <c r="G644" t="inlineStr">
        <is>
          <t>Thursday</t>
        </is>
      </c>
      <c r="H644" t="inlineStr">
        <is>
          <t>Weekly - Thursday</t>
        </is>
      </c>
      <c r="I644" t="inlineStr">
        <is>
          <t>Weekly - Thursday</t>
        </is>
      </c>
      <c r="J644" t="inlineStr">
        <is>
          <t>Month+1 Expiry</t>
        </is>
      </c>
      <c r="K644" s="25" t="n">
        <v>2534</v>
      </c>
      <c r="L644" s="26" t="n">
        <v>4.206</v>
      </c>
      <c r="M644" s="26" t="n">
        <v>0.0483</v>
      </c>
    </row>
    <row r="645" ht="16" customHeight="1">
      <c r="A645" t="inlineStr">
        <is>
          <t>27-Jan-2026</t>
        </is>
      </c>
      <c r="B645" t="inlineStr">
        <is>
          <t>Tuesday</t>
        </is>
      </c>
      <c r="C645" t="inlineStr">
        <is>
          <t>Week4-Jan-2026</t>
        </is>
      </c>
      <c r="D645" s="78" t="n">
        <v>46023</v>
      </c>
      <c r="E645" t="inlineStr">
        <is>
          <t>Q4FY26</t>
        </is>
      </c>
      <c r="F645" t="inlineStr">
        <is>
          <t>19-Feb-2026</t>
        </is>
      </c>
      <c r="G645" t="inlineStr">
        <is>
          <t>Thursday</t>
        </is>
      </c>
      <c r="H645" t="inlineStr">
        <is>
          <t>Weekly - Thursday</t>
        </is>
      </c>
      <c r="I645" t="inlineStr">
        <is>
          <t>Weekly - Thursday</t>
        </is>
      </c>
      <c r="J645" t="inlineStr">
        <is>
          <t>Month+1 Expiry</t>
        </is>
      </c>
      <c r="K645" s="25" t="n">
        <v>118</v>
      </c>
      <c r="L645" s="26" t="n">
        <v>0.1968</v>
      </c>
      <c r="M645" s="26" t="n">
        <v>0.0024</v>
      </c>
    </row>
    <row r="646" ht="16" customHeight="1">
      <c r="A646" t="inlineStr">
        <is>
          <t>27-Jan-2026</t>
        </is>
      </c>
      <c r="B646" t="inlineStr">
        <is>
          <t>Tuesday</t>
        </is>
      </c>
      <c r="C646" t="inlineStr">
        <is>
          <t>Week4-Jan-2026</t>
        </is>
      </c>
      <c r="D646" s="78" t="n">
        <v>46023</v>
      </c>
      <c r="E646" t="inlineStr">
        <is>
          <t>Q4FY26</t>
        </is>
      </c>
      <c r="F646" t="inlineStr">
        <is>
          <t>26-Feb-2026</t>
        </is>
      </c>
      <c r="G646" t="inlineStr">
        <is>
          <t>Thursday</t>
        </is>
      </c>
      <c r="H646" t="inlineStr">
        <is>
          <t>Monthly - Thursday</t>
        </is>
      </c>
      <c r="I646" t="inlineStr">
        <is>
          <t>Monthly - Thursday</t>
        </is>
      </c>
      <c r="J646" t="inlineStr">
        <is>
          <t>Month+1 Expiry</t>
        </is>
      </c>
      <c r="K646" s="25" t="n">
        <v>13706</v>
      </c>
      <c r="L646" s="26" t="n">
        <v>22.9971</v>
      </c>
      <c r="M646" s="26" t="n">
        <v>0.2568</v>
      </c>
    </row>
    <row r="647" ht="16" customHeight="1">
      <c r="A647" t="inlineStr">
        <is>
          <t>27-Jan-2026</t>
        </is>
      </c>
      <c r="B647" t="inlineStr">
        <is>
          <t>Tuesday</t>
        </is>
      </c>
      <c r="C647" t="inlineStr">
        <is>
          <t>Week4-Jan-2026</t>
        </is>
      </c>
      <c r="D647" s="78" t="n">
        <v>46023</v>
      </c>
      <c r="E647" t="inlineStr">
        <is>
          <t>Q4FY26</t>
        </is>
      </c>
      <c r="F647" t="inlineStr">
        <is>
          <t>25-Mar-2026</t>
        </is>
      </c>
      <c r="G647" t="inlineStr">
        <is>
          <t>Wednesday</t>
        </is>
      </c>
      <c r="H647" t="inlineStr">
        <is>
          <t>Monthly - Wednesday</t>
        </is>
      </c>
      <c r="I647" t="inlineStr">
        <is>
          <t>Monthly - Wednesday</t>
        </is>
      </c>
      <c r="J647" t="inlineStr">
        <is>
          <t>Month+2 Expiry</t>
        </is>
      </c>
      <c r="K647" s="25" t="n">
        <v>1</v>
      </c>
      <c r="L647" s="26" t="n">
        <v>0.0017</v>
      </c>
      <c r="M647" s="26" t="n">
        <v>0</v>
      </c>
    </row>
    <row r="648" ht="16" customHeight="1">
      <c r="A648" t="inlineStr">
        <is>
          <t>27-Jan-2026</t>
        </is>
      </c>
      <c r="B648" t="inlineStr">
        <is>
          <t>Tuesday</t>
        </is>
      </c>
      <c r="C648" t="inlineStr">
        <is>
          <t>Week4-Jan-2026</t>
        </is>
      </c>
      <c r="D648" s="78" t="n">
        <v>46023</v>
      </c>
      <c r="E648" t="inlineStr">
        <is>
          <t>Q4FY26</t>
        </is>
      </c>
      <c r="F648" t="inlineStr">
        <is>
          <t>25-Jun-2026</t>
        </is>
      </c>
      <c r="G648" t="inlineStr">
        <is>
          <t>Thursday</t>
        </is>
      </c>
      <c r="H648" t="inlineStr">
        <is>
          <t>Monthly - Thursday</t>
        </is>
      </c>
      <c r="I648" t="inlineStr">
        <is>
          <t>Monthly - Thursday</t>
        </is>
      </c>
      <c r="J648" t="inlineStr">
        <is>
          <t>Month+5 Expiry</t>
        </is>
      </c>
      <c r="K648" s="25" t="n">
        <v>0</v>
      </c>
      <c r="L648" s="26" t="n">
        <v>0</v>
      </c>
      <c r="M648" s="26" t="n">
        <v>0</v>
      </c>
    </row>
    <row r="649" ht="16" customHeight="1">
      <c r="A649" t="inlineStr">
        <is>
          <t>28-Jan-2026</t>
        </is>
      </c>
      <c r="B649" t="inlineStr">
        <is>
          <t>Wednesday</t>
        </is>
      </c>
      <c r="C649" t="inlineStr">
        <is>
          <t>Week4-Jan-2026</t>
        </is>
      </c>
      <c r="D649" s="78" t="n">
        <v>46023</v>
      </c>
      <c r="E649" t="inlineStr">
        <is>
          <t>Q4FY26</t>
        </is>
      </c>
      <c r="F649" t="inlineStr">
        <is>
          <t>29-Jan-2026</t>
        </is>
      </c>
      <c r="G649" t="inlineStr">
        <is>
          <t>Thursday</t>
        </is>
      </c>
      <c r="H649" t="inlineStr">
        <is>
          <t>Monthly - Thursday</t>
        </is>
      </c>
      <c r="I649" t="inlineStr">
        <is>
          <t>MDAW - Thursday</t>
        </is>
      </c>
      <c r="J649" t="inlineStr">
        <is>
          <t>Same Month Expiry</t>
        </is>
      </c>
      <c r="K649" s="25" t="n">
        <v>158593395</v>
      </c>
      <c r="L649" s="26" t="n">
        <v>261122.8154</v>
      </c>
      <c r="M649" s="26" t="n">
        <v>459.3948</v>
      </c>
    </row>
    <row r="650" ht="16" customHeight="1">
      <c r="A650" t="inlineStr">
        <is>
          <t>28-Jan-2026</t>
        </is>
      </c>
      <c r="B650" t="inlineStr">
        <is>
          <t>Wednesday</t>
        </is>
      </c>
      <c r="C650" t="inlineStr">
        <is>
          <t>Week4-Jan-2026</t>
        </is>
      </c>
      <c r="D650" s="78" t="n">
        <v>46023</v>
      </c>
      <c r="E650" t="inlineStr">
        <is>
          <t>Q4FY26</t>
        </is>
      </c>
      <c r="F650" t="inlineStr">
        <is>
          <t>05-Feb-2026</t>
        </is>
      </c>
      <c r="G650" t="inlineStr">
        <is>
          <t>Thursday</t>
        </is>
      </c>
      <c r="H650" t="inlineStr">
        <is>
          <t>Weekly - Thursday</t>
        </is>
      </c>
      <c r="I650" t="inlineStr">
        <is>
          <t>Weekly - Thursday</t>
        </is>
      </c>
      <c r="J650" t="inlineStr">
        <is>
          <t>Month+1 Expiry</t>
        </is>
      </c>
      <c r="K650" s="25" t="n">
        <v>595027</v>
      </c>
      <c r="L650" s="26" t="n">
        <v>981.611</v>
      </c>
      <c r="M650" s="26" t="n">
        <v>4.5184</v>
      </c>
    </row>
    <row r="651" ht="16" customHeight="1">
      <c r="A651" t="inlineStr">
        <is>
          <t>28-Jan-2026</t>
        </is>
      </c>
      <c r="B651" t="inlineStr">
        <is>
          <t>Wednesday</t>
        </is>
      </c>
      <c r="C651" t="inlineStr">
        <is>
          <t>Week4-Jan-2026</t>
        </is>
      </c>
      <c r="D651" s="78" t="n">
        <v>46023</v>
      </c>
      <c r="E651" t="inlineStr">
        <is>
          <t>Q4FY26</t>
        </is>
      </c>
      <c r="F651" t="inlineStr">
        <is>
          <t>12-Feb-2026</t>
        </is>
      </c>
      <c r="G651" t="inlineStr">
        <is>
          <t>Thursday</t>
        </is>
      </c>
      <c r="H651" t="inlineStr">
        <is>
          <t>Weekly - Thursday</t>
        </is>
      </c>
      <c r="I651" t="inlineStr">
        <is>
          <t>Weekly - Thursday</t>
        </is>
      </c>
      <c r="J651" t="inlineStr">
        <is>
          <t>Month+1 Expiry</t>
        </is>
      </c>
      <c r="K651" s="25" t="n">
        <v>3485</v>
      </c>
      <c r="L651" s="26" t="n">
        <v>5.8134</v>
      </c>
      <c r="M651" s="26" t="n">
        <v>0.054</v>
      </c>
    </row>
    <row r="652" ht="16" customHeight="1">
      <c r="A652" t="inlineStr">
        <is>
          <t>28-Jan-2026</t>
        </is>
      </c>
      <c r="B652" t="inlineStr">
        <is>
          <t>Wednesday</t>
        </is>
      </c>
      <c r="C652" t="inlineStr">
        <is>
          <t>Week4-Jan-2026</t>
        </is>
      </c>
      <c r="D652" s="78" t="n">
        <v>46023</v>
      </c>
      <c r="E652" t="inlineStr">
        <is>
          <t>Q4FY26</t>
        </is>
      </c>
      <c r="F652" t="inlineStr">
        <is>
          <t>19-Feb-2026</t>
        </is>
      </c>
      <c r="G652" t="inlineStr">
        <is>
          <t>Thursday</t>
        </is>
      </c>
      <c r="H652" t="inlineStr">
        <is>
          <t>Weekly - Thursday</t>
        </is>
      </c>
      <c r="I652" t="inlineStr">
        <is>
          <t>Weekly - Thursday</t>
        </is>
      </c>
      <c r="J652" t="inlineStr">
        <is>
          <t>Month+1 Expiry</t>
        </is>
      </c>
      <c r="K652" s="25" t="n">
        <v>165</v>
      </c>
      <c r="L652" s="26" t="n">
        <v>0.277</v>
      </c>
      <c r="M652" s="26" t="n">
        <v>0.0032</v>
      </c>
    </row>
    <row r="653" ht="16" customHeight="1">
      <c r="A653" t="inlineStr">
        <is>
          <t>28-Jan-2026</t>
        </is>
      </c>
      <c r="B653" t="inlineStr">
        <is>
          <t>Wednesday</t>
        </is>
      </c>
      <c r="C653" t="inlineStr">
        <is>
          <t>Week4-Jan-2026</t>
        </is>
      </c>
      <c r="D653" s="78" t="n">
        <v>46023</v>
      </c>
      <c r="E653" t="inlineStr">
        <is>
          <t>Q4FY26</t>
        </is>
      </c>
      <c r="F653" t="inlineStr">
        <is>
          <t>26-Feb-2026</t>
        </is>
      </c>
      <c r="G653" t="inlineStr">
        <is>
          <t>Thursday</t>
        </is>
      </c>
      <c r="H653" t="inlineStr">
        <is>
          <t>Monthly - Thursday</t>
        </is>
      </c>
      <c r="I653" t="inlineStr">
        <is>
          <t>Monthly - Thursday</t>
        </is>
      </c>
      <c r="J653" t="inlineStr">
        <is>
          <t>Month+1 Expiry</t>
        </is>
      </c>
      <c r="K653" s="25" t="n">
        <v>14944</v>
      </c>
      <c r="L653" s="26" t="n">
        <v>25.0885</v>
      </c>
      <c r="M653" s="26" t="n">
        <v>0.2307</v>
      </c>
    </row>
    <row r="654" ht="16" customHeight="1">
      <c r="A654" t="inlineStr">
        <is>
          <t>28-Jan-2026</t>
        </is>
      </c>
      <c r="B654" t="inlineStr">
        <is>
          <t>Wednesday</t>
        </is>
      </c>
      <c r="C654" t="inlineStr">
        <is>
          <t>Week4-Jan-2026</t>
        </is>
      </c>
      <c r="D654" s="78" t="n">
        <v>46023</v>
      </c>
      <c r="E654" t="inlineStr">
        <is>
          <t>Q4FY26</t>
        </is>
      </c>
      <c r="F654" t="inlineStr">
        <is>
          <t>25-Mar-2026</t>
        </is>
      </c>
      <c r="G654" t="inlineStr">
        <is>
          <t>Wednesday</t>
        </is>
      </c>
      <c r="H654" t="inlineStr">
        <is>
          <t>Monthly - Wednesday</t>
        </is>
      </c>
      <c r="I654" t="inlineStr">
        <is>
          <t>Monthly - Wednesday</t>
        </is>
      </c>
      <c r="J654" t="inlineStr">
        <is>
          <t>Month+2 Expiry</t>
        </is>
      </c>
      <c r="K654" s="25" t="n">
        <v>2</v>
      </c>
      <c r="L654" s="26" t="n">
        <v>0.0034</v>
      </c>
      <c r="M654" s="26" t="n">
        <v>0</v>
      </c>
    </row>
    <row r="655" ht="16" customHeight="1">
      <c r="A655" t="inlineStr">
        <is>
          <t>28-Jan-2026</t>
        </is>
      </c>
      <c r="B655" t="inlineStr">
        <is>
          <t>Wednesday</t>
        </is>
      </c>
      <c r="C655" t="inlineStr">
        <is>
          <t>Week4-Jan-2026</t>
        </is>
      </c>
      <c r="D655" s="78" t="n">
        <v>46023</v>
      </c>
      <c r="E655" t="inlineStr">
        <is>
          <t>Q4FY26</t>
        </is>
      </c>
      <c r="F655" t="inlineStr">
        <is>
          <t>25-Jun-2026</t>
        </is>
      </c>
      <c r="G655" t="inlineStr">
        <is>
          <t>Thursday</t>
        </is>
      </c>
      <c r="H655" t="inlineStr">
        <is>
          <t>Monthly - Thursday</t>
        </is>
      </c>
      <c r="I655" t="inlineStr">
        <is>
          <t>Monthly - Thursday</t>
        </is>
      </c>
      <c r="J655" t="inlineStr">
        <is>
          <t>Month+5 Expiry</t>
        </is>
      </c>
      <c r="K655" s="25" t="n">
        <v>0</v>
      </c>
      <c r="L655" s="26" t="n">
        <v>0</v>
      </c>
      <c r="M655" s="26" t="n">
        <v>0</v>
      </c>
    </row>
    <row r="656" ht="16" customHeight="1">
      <c r="A656" t="inlineStr">
        <is>
          <t>29-Jan-2026</t>
        </is>
      </c>
      <c r="B656" t="inlineStr">
        <is>
          <t>Thursday</t>
        </is>
      </c>
      <c r="C656" t="inlineStr">
        <is>
          <t>Week5-Jan-2026</t>
        </is>
      </c>
      <c r="D656" s="78" t="n">
        <v>46023</v>
      </c>
      <c r="E656" t="inlineStr">
        <is>
          <t>Q4FY26</t>
        </is>
      </c>
      <c r="F656" t="inlineStr">
        <is>
          <t>29-Jan-2026</t>
        </is>
      </c>
      <c r="G656" t="inlineStr">
        <is>
          <t>Thursday</t>
        </is>
      </c>
      <c r="H656" t="inlineStr">
        <is>
          <t>Monthly - Thursday</t>
        </is>
      </c>
      <c r="I656" t="inlineStr">
        <is>
          <t>MDAW - Thursday</t>
        </is>
      </c>
      <c r="J656" t="inlineStr">
        <is>
          <t>Same Month Expiry</t>
        </is>
      </c>
      <c r="K656" s="25" t="n">
        <v>515244580</v>
      </c>
      <c r="L656" s="26" t="n">
        <v>848866.6045</v>
      </c>
      <c r="M656" s="26" t="n">
        <v>658.3717</v>
      </c>
    </row>
    <row r="657" ht="16" customHeight="1">
      <c r="A657" t="inlineStr">
        <is>
          <t>29-Jan-2026</t>
        </is>
      </c>
      <c r="B657" t="inlineStr">
        <is>
          <t>Thursday</t>
        </is>
      </c>
      <c r="C657" t="inlineStr">
        <is>
          <t>Week5-Jan-2026</t>
        </is>
      </c>
      <c r="D657" s="78" t="n">
        <v>46023</v>
      </c>
      <c r="E657" t="inlineStr">
        <is>
          <t>Q4FY26</t>
        </is>
      </c>
      <c r="F657" t="inlineStr">
        <is>
          <t>05-Feb-2026</t>
        </is>
      </c>
      <c r="G657" t="inlineStr">
        <is>
          <t>Thursday</t>
        </is>
      </c>
      <c r="H657" t="inlineStr">
        <is>
          <t>Weekly - Thursday</t>
        </is>
      </c>
      <c r="I657" t="inlineStr">
        <is>
          <t>Weekly - Thursday</t>
        </is>
      </c>
      <c r="J657" t="inlineStr">
        <is>
          <t>Month+1 Expiry</t>
        </is>
      </c>
      <c r="K657" s="25" t="n">
        <v>1616150</v>
      </c>
      <c r="L657" s="26" t="n">
        <v>2674.7221</v>
      </c>
      <c r="M657" s="26" t="n">
        <v>12.9717</v>
      </c>
    </row>
    <row r="658" ht="16" customHeight="1">
      <c r="A658" t="inlineStr">
        <is>
          <t>29-Jan-2026</t>
        </is>
      </c>
      <c r="B658" t="inlineStr">
        <is>
          <t>Thursday</t>
        </is>
      </c>
      <c r="C658" t="inlineStr">
        <is>
          <t>Week5-Jan-2026</t>
        </is>
      </c>
      <c r="D658" s="78" t="n">
        <v>46023</v>
      </c>
      <c r="E658" t="inlineStr">
        <is>
          <t>Q4FY26</t>
        </is>
      </c>
      <c r="F658" t="inlineStr">
        <is>
          <t>12-Feb-2026</t>
        </is>
      </c>
      <c r="G658" t="inlineStr">
        <is>
          <t>Thursday</t>
        </is>
      </c>
      <c r="H658" t="inlineStr">
        <is>
          <t>Weekly - Thursday</t>
        </is>
      </c>
      <c r="I658" t="inlineStr">
        <is>
          <t>Weekly - Thursday</t>
        </is>
      </c>
      <c r="J658" t="inlineStr">
        <is>
          <t>Month+1 Expiry</t>
        </is>
      </c>
      <c r="K658" s="25" t="n">
        <v>7512</v>
      </c>
      <c r="L658" s="26" t="n">
        <v>12.5165</v>
      </c>
      <c r="M658" s="26" t="n">
        <v>0.108</v>
      </c>
    </row>
    <row r="659" ht="16" customHeight="1">
      <c r="A659" t="inlineStr">
        <is>
          <t>29-Jan-2026</t>
        </is>
      </c>
      <c r="B659" t="inlineStr">
        <is>
          <t>Thursday</t>
        </is>
      </c>
      <c r="C659" t="inlineStr">
        <is>
          <t>Week5-Jan-2026</t>
        </is>
      </c>
      <c r="D659" s="78" t="n">
        <v>46023</v>
      </c>
      <c r="E659" t="inlineStr">
        <is>
          <t>Q4FY26</t>
        </is>
      </c>
      <c r="F659" t="inlineStr">
        <is>
          <t>19-Feb-2026</t>
        </is>
      </c>
      <c r="G659" t="inlineStr">
        <is>
          <t>Thursday</t>
        </is>
      </c>
      <c r="H659" t="inlineStr">
        <is>
          <t>Weekly - Thursday</t>
        </is>
      </c>
      <c r="I659" t="inlineStr">
        <is>
          <t>Weekly - Thursday</t>
        </is>
      </c>
      <c r="J659" t="inlineStr">
        <is>
          <t>Month+1 Expiry</t>
        </is>
      </c>
      <c r="K659" s="25" t="n">
        <v>833</v>
      </c>
      <c r="L659" s="26" t="n">
        <v>1.3877</v>
      </c>
      <c r="M659" s="26" t="n">
        <v>0.0149</v>
      </c>
    </row>
    <row r="660" ht="16" customHeight="1">
      <c r="A660" t="inlineStr">
        <is>
          <t>29-Jan-2026</t>
        </is>
      </c>
      <c r="B660" t="inlineStr">
        <is>
          <t>Thursday</t>
        </is>
      </c>
      <c r="C660" t="inlineStr">
        <is>
          <t>Week5-Jan-2026</t>
        </is>
      </c>
      <c r="D660" s="78" t="n">
        <v>46023</v>
      </c>
      <c r="E660" t="inlineStr">
        <is>
          <t>Q4FY26</t>
        </is>
      </c>
      <c r="F660" t="inlineStr">
        <is>
          <t>26-Feb-2026</t>
        </is>
      </c>
      <c r="G660" t="inlineStr">
        <is>
          <t>Thursday</t>
        </is>
      </c>
      <c r="H660" t="inlineStr">
        <is>
          <t>Monthly - Thursday</t>
        </is>
      </c>
      <c r="I660" t="inlineStr">
        <is>
          <t>Monthly - Thursday</t>
        </is>
      </c>
      <c r="J660" t="inlineStr">
        <is>
          <t>Month+1 Expiry</t>
        </is>
      </c>
      <c r="K660" s="25" t="n">
        <v>15731</v>
      </c>
      <c r="L660" s="26" t="n">
        <v>26.4155</v>
      </c>
      <c r="M660" s="26" t="n">
        <v>0.2482</v>
      </c>
    </row>
    <row r="661" ht="16" customHeight="1">
      <c r="A661" t="inlineStr">
        <is>
          <t>29-Jan-2026</t>
        </is>
      </c>
      <c r="B661" t="inlineStr">
        <is>
          <t>Thursday</t>
        </is>
      </c>
      <c r="C661" t="inlineStr">
        <is>
          <t>Week5-Jan-2026</t>
        </is>
      </c>
      <c r="D661" s="78" t="n">
        <v>46023</v>
      </c>
      <c r="E661" t="inlineStr">
        <is>
          <t>Q4FY26</t>
        </is>
      </c>
      <c r="F661" t="inlineStr">
        <is>
          <t>25-Mar-2026</t>
        </is>
      </c>
      <c r="G661" t="inlineStr">
        <is>
          <t>Wednesday</t>
        </is>
      </c>
      <c r="H661" t="inlineStr">
        <is>
          <t>Monthly - Wednesday</t>
        </is>
      </c>
      <c r="I661" t="inlineStr">
        <is>
          <t>Monthly - Wednesday</t>
        </is>
      </c>
      <c r="J661" t="inlineStr">
        <is>
          <t>Month+2 Expiry</t>
        </is>
      </c>
      <c r="K661" s="25" t="n">
        <v>1</v>
      </c>
      <c r="L661" s="26" t="n">
        <v>0.0017</v>
      </c>
      <c r="M661" s="26" t="n">
        <v>0</v>
      </c>
    </row>
    <row r="662" ht="16" customHeight="1">
      <c r="A662" t="inlineStr">
        <is>
          <t>29-Jan-2026</t>
        </is>
      </c>
      <c r="B662" t="inlineStr">
        <is>
          <t>Thursday</t>
        </is>
      </c>
      <c r="C662" t="inlineStr">
        <is>
          <t>Week5-Jan-2026</t>
        </is>
      </c>
      <c r="D662" s="78" t="n">
        <v>46023</v>
      </c>
      <c r="E662" t="inlineStr">
        <is>
          <t>Q4FY26</t>
        </is>
      </c>
      <c r="F662" t="inlineStr">
        <is>
          <t>25-Jun-2026</t>
        </is>
      </c>
      <c r="G662" t="inlineStr">
        <is>
          <t>Thursday</t>
        </is>
      </c>
      <c r="H662" t="inlineStr">
        <is>
          <t>Monthly - Thursday</t>
        </is>
      </c>
      <c r="I662" t="inlineStr">
        <is>
          <t>Monthly - Thursday</t>
        </is>
      </c>
      <c r="J662" t="inlineStr">
        <is>
          <t>Month+5 Expiry</t>
        </is>
      </c>
      <c r="K662" s="25" t="n">
        <v>0</v>
      </c>
      <c r="L662" s="26" t="n">
        <v>0</v>
      </c>
      <c r="M662" s="26" t="n">
        <v>0</v>
      </c>
    </row>
    <row r="663" ht="16" customHeight="1">
      <c r="A663" t="inlineStr">
        <is>
          <t>30-Jan-2026</t>
        </is>
      </c>
      <c r="B663" t="inlineStr">
        <is>
          <t>Friday</t>
        </is>
      </c>
      <c r="C663" t="inlineStr">
        <is>
          <t>Week5-Jan-2026</t>
        </is>
      </c>
      <c r="D663" s="78" t="n">
        <v>46023</v>
      </c>
      <c r="E663" t="inlineStr">
        <is>
          <t>Q4FY26</t>
        </is>
      </c>
      <c r="F663" t="inlineStr">
        <is>
          <t>05-Feb-2026</t>
        </is>
      </c>
      <c r="G663" t="inlineStr">
        <is>
          <t>Thursday</t>
        </is>
      </c>
      <c r="H663" t="inlineStr">
        <is>
          <t>Weekly - Thursday</t>
        </is>
      </c>
      <c r="I663" t="inlineStr">
        <is>
          <t>Weekly - Thursday</t>
        </is>
      </c>
      <c r="J663" t="inlineStr">
        <is>
          <t>Month+1 Expiry</t>
        </is>
      </c>
      <c r="K663" s="25" t="n">
        <v>17023177</v>
      </c>
      <c r="L663" s="26" t="n">
        <v>28190.9619</v>
      </c>
      <c r="M663" s="26" t="n">
        <v>136.9749</v>
      </c>
    </row>
    <row r="664" ht="16" customHeight="1">
      <c r="A664" t="inlineStr">
        <is>
          <t>30-Jan-2026</t>
        </is>
      </c>
      <c r="B664" t="inlineStr">
        <is>
          <t>Friday</t>
        </is>
      </c>
      <c r="C664" t="inlineStr">
        <is>
          <t>Week5-Jan-2026</t>
        </is>
      </c>
      <c r="D664" s="78" t="n">
        <v>46023</v>
      </c>
      <c r="E664" t="inlineStr">
        <is>
          <t>Q4FY26</t>
        </is>
      </c>
      <c r="F664" t="inlineStr">
        <is>
          <t>12-Feb-2026</t>
        </is>
      </c>
      <c r="G664" t="inlineStr">
        <is>
          <t>Thursday</t>
        </is>
      </c>
      <c r="H664" t="inlineStr">
        <is>
          <t>Weekly - Thursday</t>
        </is>
      </c>
      <c r="I664" t="inlineStr">
        <is>
          <t>Weekly - Thursday</t>
        </is>
      </c>
      <c r="J664" t="inlineStr">
        <is>
          <t>Month+1 Expiry</t>
        </is>
      </c>
      <c r="K664" s="25" t="n">
        <v>56516</v>
      </c>
      <c r="L664" s="26" t="n">
        <v>94.08499999999999</v>
      </c>
      <c r="M664" s="26" t="n">
        <v>0.7398</v>
      </c>
    </row>
    <row r="665" ht="16" customHeight="1">
      <c r="A665" t="inlineStr">
        <is>
          <t>30-Jan-2026</t>
        </is>
      </c>
      <c r="B665" t="inlineStr">
        <is>
          <t>Friday</t>
        </is>
      </c>
      <c r="C665" t="inlineStr">
        <is>
          <t>Week5-Jan-2026</t>
        </is>
      </c>
      <c r="D665" s="78" t="n">
        <v>46023</v>
      </c>
      <c r="E665" t="inlineStr">
        <is>
          <t>Q4FY26</t>
        </is>
      </c>
      <c r="F665" t="inlineStr">
        <is>
          <t>19-Feb-2026</t>
        </is>
      </c>
      <c r="G665" t="inlineStr">
        <is>
          <t>Thursday</t>
        </is>
      </c>
      <c r="H665" t="inlineStr">
        <is>
          <t>Weekly - Thursday</t>
        </is>
      </c>
      <c r="I665" t="inlineStr">
        <is>
          <t>Weekly - Thursday</t>
        </is>
      </c>
      <c r="J665" t="inlineStr">
        <is>
          <t>Month+1 Expiry</t>
        </is>
      </c>
      <c r="K665" s="25" t="n">
        <v>488</v>
      </c>
      <c r="L665" s="26" t="n">
        <v>0.8087</v>
      </c>
      <c r="M665" s="26" t="n">
        <v>0.0076</v>
      </c>
    </row>
    <row r="666" ht="16" customHeight="1">
      <c r="A666" t="inlineStr">
        <is>
          <t>30-Jan-2026</t>
        </is>
      </c>
      <c r="B666" t="inlineStr">
        <is>
          <t>Friday</t>
        </is>
      </c>
      <c r="C666" t="inlineStr">
        <is>
          <t>Week5-Jan-2026</t>
        </is>
      </c>
      <c r="D666" s="78" t="n">
        <v>46023</v>
      </c>
      <c r="E666" t="inlineStr">
        <is>
          <t>Q4FY26</t>
        </is>
      </c>
      <c r="F666" t="inlineStr">
        <is>
          <t>26-Feb-2026</t>
        </is>
      </c>
      <c r="G666" t="inlineStr">
        <is>
          <t>Thursday</t>
        </is>
      </c>
      <c r="H666" t="inlineStr">
        <is>
          <t>Monthly - Thursday</t>
        </is>
      </c>
      <c r="I666" t="inlineStr">
        <is>
          <t>Monthly - Thursday</t>
        </is>
      </c>
      <c r="J666" t="inlineStr">
        <is>
          <t>Month+1 Expiry</t>
        </is>
      </c>
      <c r="K666" s="25" t="n">
        <v>17729</v>
      </c>
      <c r="L666" s="26" t="n">
        <v>29.7179</v>
      </c>
      <c r="M666" s="26" t="n">
        <v>0.2717</v>
      </c>
    </row>
    <row r="667" ht="16" customHeight="1">
      <c r="A667" t="inlineStr">
        <is>
          <t>30-Jan-2026</t>
        </is>
      </c>
      <c r="B667" t="inlineStr">
        <is>
          <t>Friday</t>
        </is>
      </c>
      <c r="C667" t="inlineStr">
        <is>
          <t>Week5-Jan-2026</t>
        </is>
      </c>
      <c r="D667" s="78" t="n">
        <v>46023</v>
      </c>
      <c r="E667" t="inlineStr">
        <is>
          <t>Q4FY26</t>
        </is>
      </c>
      <c r="F667" t="inlineStr">
        <is>
          <t>25-Mar-2026</t>
        </is>
      </c>
      <c r="G667" t="inlineStr">
        <is>
          <t>Wednesday</t>
        </is>
      </c>
      <c r="H667" t="inlineStr">
        <is>
          <t>Monthly - Wednesday</t>
        </is>
      </c>
      <c r="I667" t="inlineStr">
        <is>
          <t>Monthly - Wednesday</t>
        </is>
      </c>
      <c r="J667" t="inlineStr">
        <is>
          <t>Month+2 Expiry</t>
        </is>
      </c>
      <c r="K667" s="25" t="n">
        <v>23</v>
      </c>
      <c r="L667" s="26" t="n">
        <v>0.039</v>
      </c>
      <c r="M667" s="26" t="n">
        <v>0.0005999999999999999</v>
      </c>
    </row>
    <row r="668" ht="16" customHeight="1">
      <c r="A668" t="inlineStr">
        <is>
          <t>30-Jan-2026</t>
        </is>
      </c>
      <c r="B668" t="inlineStr">
        <is>
          <t>Friday</t>
        </is>
      </c>
      <c r="C668" t="inlineStr">
        <is>
          <t>Week5-Jan-2026</t>
        </is>
      </c>
      <c r="D668" s="78" t="n">
        <v>46023</v>
      </c>
      <c r="E668" t="inlineStr">
        <is>
          <t>Q4FY26</t>
        </is>
      </c>
      <c r="F668" t="inlineStr">
        <is>
          <t>25-Jun-2026</t>
        </is>
      </c>
      <c r="G668" t="inlineStr">
        <is>
          <t>Thursday</t>
        </is>
      </c>
      <c r="H668" t="inlineStr">
        <is>
          <t>Monthly - Thursday</t>
        </is>
      </c>
      <c r="I668" t="inlineStr">
        <is>
          <t>Monthly - Thursday</t>
        </is>
      </c>
      <c r="J668" t="inlineStr">
        <is>
          <t>Month+5 Expiry</t>
        </is>
      </c>
      <c r="K668" s="25" t="n">
        <v>0</v>
      </c>
      <c r="L668" s="26" t="n">
        <v>0</v>
      </c>
      <c r="M668" s="26" t="n">
        <v>0</v>
      </c>
    </row>
    <row r="669" ht="16" customHeight="1">
      <c r="A669" t="inlineStr">
        <is>
          <t>01-Feb-2026</t>
        </is>
      </c>
      <c r="B669" t="inlineStr">
        <is>
          <t>Sunday</t>
        </is>
      </c>
      <c r="C669" t="inlineStr">
        <is>
          <t>Week1-Feb-2026</t>
        </is>
      </c>
      <c r="D669" s="78" t="n">
        <v>46054</v>
      </c>
      <c r="E669" t="inlineStr">
        <is>
          <t>Q4FY26</t>
        </is>
      </c>
      <c r="F669" t="inlineStr">
        <is>
          <t>05-Feb-2026</t>
        </is>
      </c>
      <c r="G669" t="inlineStr">
        <is>
          <t>Thursday</t>
        </is>
      </c>
      <c r="H669" t="inlineStr">
        <is>
          <t>Weekly - Thursday</t>
        </is>
      </c>
      <c r="I669" t="inlineStr">
        <is>
          <t>Weekly - Thursday</t>
        </is>
      </c>
      <c r="J669" t="inlineStr">
        <is>
          <t>Same Month Expiry</t>
        </is>
      </c>
      <c r="K669" s="25" t="n">
        <v>37163843</v>
      </c>
      <c r="L669" s="26" t="n">
        <v>61280.9628</v>
      </c>
      <c r="M669" s="26" t="n">
        <v>245.041</v>
      </c>
    </row>
    <row r="670" ht="16" customHeight="1">
      <c r="A670" t="inlineStr">
        <is>
          <t>01-Feb-2026</t>
        </is>
      </c>
      <c r="B670" t="inlineStr">
        <is>
          <t>Sunday</t>
        </is>
      </c>
      <c r="C670" t="inlineStr">
        <is>
          <t>Week1-Feb-2026</t>
        </is>
      </c>
      <c r="D670" s="78" t="n">
        <v>46054</v>
      </c>
      <c r="E670" t="inlineStr">
        <is>
          <t>Q4FY26</t>
        </is>
      </c>
      <c r="F670" t="inlineStr">
        <is>
          <t>12-Feb-2026</t>
        </is>
      </c>
      <c r="G670" t="inlineStr">
        <is>
          <t>Thursday</t>
        </is>
      </c>
      <c r="H670" t="inlineStr">
        <is>
          <t>Weekly - Thursday</t>
        </is>
      </c>
      <c r="I670" t="inlineStr">
        <is>
          <t>Weekly - Thursday</t>
        </is>
      </c>
      <c r="J670" t="inlineStr">
        <is>
          <t>Same Month Expiry</t>
        </is>
      </c>
      <c r="K670" s="25" t="n">
        <v>185960</v>
      </c>
      <c r="L670" s="26" t="n">
        <v>308.1634</v>
      </c>
      <c r="M670" s="26" t="n">
        <v>2.2797</v>
      </c>
    </row>
    <row r="671" ht="16" customHeight="1">
      <c r="A671" t="inlineStr">
        <is>
          <t>01-Feb-2026</t>
        </is>
      </c>
      <c r="B671" t="inlineStr">
        <is>
          <t>Sunday</t>
        </is>
      </c>
      <c r="C671" t="inlineStr">
        <is>
          <t>Week1-Feb-2026</t>
        </is>
      </c>
      <c r="D671" s="78" t="n">
        <v>46054</v>
      </c>
      <c r="E671" t="inlineStr">
        <is>
          <t>Q4FY26</t>
        </is>
      </c>
      <c r="F671" t="inlineStr">
        <is>
          <t>19-Feb-2026</t>
        </is>
      </c>
      <c r="G671" t="inlineStr">
        <is>
          <t>Thursday</t>
        </is>
      </c>
      <c r="H671" t="inlineStr">
        <is>
          <t>Weekly - Thursday</t>
        </is>
      </c>
      <c r="I671" t="inlineStr">
        <is>
          <t>Weekly - Thursday</t>
        </is>
      </c>
      <c r="J671" t="inlineStr">
        <is>
          <t>Same Month Expiry</t>
        </is>
      </c>
      <c r="K671" s="25" t="n">
        <v>622</v>
      </c>
      <c r="L671" s="26" t="n">
        <v>1.0283</v>
      </c>
      <c r="M671" s="26" t="n">
        <v>0.0105</v>
      </c>
    </row>
    <row r="672" ht="16" customHeight="1">
      <c r="A672" t="inlineStr">
        <is>
          <t>01-Feb-2026</t>
        </is>
      </c>
      <c r="B672" t="inlineStr">
        <is>
          <t>Sunday</t>
        </is>
      </c>
      <c r="C672" t="inlineStr">
        <is>
          <t>Week1-Feb-2026</t>
        </is>
      </c>
      <c r="D672" s="78" t="n">
        <v>46054</v>
      </c>
      <c r="E672" t="inlineStr">
        <is>
          <t>Q4FY26</t>
        </is>
      </c>
      <c r="F672" t="inlineStr">
        <is>
          <t>26-Feb-2026</t>
        </is>
      </c>
      <c r="G672" t="inlineStr">
        <is>
          <t>Thursday</t>
        </is>
      </c>
      <c r="H672" t="inlineStr">
        <is>
          <t>Monthly - Thursday</t>
        </is>
      </c>
      <c r="I672" t="inlineStr">
        <is>
          <t>Monthly - Thursday</t>
        </is>
      </c>
      <c r="J672" t="inlineStr">
        <is>
          <t>Same Month Expiry</t>
        </is>
      </c>
      <c r="K672" s="25" t="n">
        <v>32333</v>
      </c>
      <c r="L672" s="26" t="n">
        <v>53.9813</v>
      </c>
      <c r="M672" s="26" t="n">
        <v>0.4506</v>
      </c>
    </row>
    <row r="673" ht="16" customHeight="1">
      <c r="A673" t="inlineStr">
        <is>
          <t>01-Feb-2026</t>
        </is>
      </c>
      <c r="B673" t="inlineStr">
        <is>
          <t>Sunday</t>
        </is>
      </c>
      <c r="C673" t="inlineStr">
        <is>
          <t>Week1-Feb-2026</t>
        </is>
      </c>
      <c r="D673" s="78" t="n">
        <v>46054</v>
      </c>
      <c r="E673" t="inlineStr">
        <is>
          <t>Q4FY26</t>
        </is>
      </c>
      <c r="F673" t="inlineStr">
        <is>
          <t>25-Mar-2026</t>
        </is>
      </c>
      <c r="G673" t="inlineStr">
        <is>
          <t>Wednesday</t>
        </is>
      </c>
      <c r="H673" t="inlineStr">
        <is>
          <t>Monthly - Wednesday</t>
        </is>
      </c>
      <c r="I673" t="inlineStr">
        <is>
          <t>Monthly - Wednesday</t>
        </is>
      </c>
      <c r="J673" t="inlineStr">
        <is>
          <t>Month+1 Expiry</t>
        </is>
      </c>
      <c r="K673" s="25" t="n">
        <v>11</v>
      </c>
      <c r="L673" s="26" t="n">
        <v>0.0175</v>
      </c>
      <c r="M673" s="26" t="n">
        <v>0.0002</v>
      </c>
    </row>
    <row r="674" ht="16" customHeight="1">
      <c r="A674" t="inlineStr">
        <is>
          <t>01-Feb-2026</t>
        </is>
      </c>
      <c r="B674" t="inlineStr">
        <is>
          <t>Sunday</t>
        </is>
      </c>
      <c r="C674" t="inlineStr">
        <is>
          <t>Week1-Feb-2026</t>
        </is>
      </c>
      <c r="D674" s="78" t="n">
        <v>46054</v>
      </c>
      <c r="E674" t="inlineStr">
        <is>
          <t>Q4FY26</t>
        </is>
      </c>
      <c r="F674" t="inlineStr">
        <is>
          <t>25-Jun-2026</t>
        </is>
      </c>
      <c r="G674" t="inlineStr">
        <is>
          <t>Thursday</t>
        </is>
      </c>
      <c r="H674" t="inlineStr">
        <is>
          <t>Monthly - Thursday</t>
        </is>
      </c>
      <c r="I674" t="inlineStr">
        <is>
          <t>Monthly - Thursday</t>
        </is>
      </c>
      <c r="J674" t="inlineStr">
        <is>
          <t>Month+4 Expiry</t>
        </is>
      </c>
      <c r="K674" s="25" t="n">
        <v>0</v>
      </c>
      <c r="L674" s="26" t="n">
        <v>0</v>
      </c>
      <c r="M674" s="26" t="n">
        <v>0</v>
      </c>
    </row>
    <row r="675" ht="16" customHeight="1">
      <c r="A675" t="inlineStr">
        <is>
          <t>02-Feb-2026</t>
        </is>
      </c>
      <c r="B675" t="inlineStr">
        <is>
          <t>Monday</t>
        </is>
      </c>
      <c r="C675" t="inlineStr">
        <is>
          <t>Week1-Feb-2026</t>
        </is>
      </c>
      <c r="D675" s="78" t="n">
        <v>46054</v>
      </c>
      <c r="E675" t="inlineStr">
        <is>
          <t>Q4FY26</t>
        </is>
      </c>
      <c r="F675" t="inlineStr">
        <is>
          <t>05-Feb-2026</t>
        </is>
      </c>
      <c r="G675" t="inlineStr">
        <is>
          <t>Thursday</t>
        </is>
      </c>
      <c r="H675" t="inlineStr">
        <is>
          <t>Weekly - Thursday</t>
        </is>
      </c>
      <c r="I675" t="inlineStr">
        <is>
          <t>Weekly - Thursday</t>
        </is>
      </c>
      <c r="J675" t="inlineStr">
        <is>
          <t>Same Month Expiry</t>
        </is>
      </c>
      <c r="K675" s="25" t="n">
        <v>31364788</v>
      </c>
      <c r="L675" s="26" t="n">
        <v>51140.4434</v>
      </c>
      <c r="M675" s="26" t="n">
        <v>173.4013</v>
      </c>
    </row>
    <row r="676" ht="16" customHeight="1">
      <c r="A676" t="inlineStr">
        <is>
          <t>02-Feb-2026</t>
        </is>
      </c>
      <c r="B676" t="inlineStr">
        <is>
          <t>Monday</t>
        </is>
      </c>
      <c r="C676" t="inlineStr">
        <is>
          <t>Week1-Feb-2026</t>
        </is>
      </c>
      <c r="D676" s="78" t="n">
        <v>46054</v>
      </c>
      <c r="E676" t="inlineStr">
        <is>
          <t>Q4FY26</t>
        </is>
      </c>
      <c r="F676" t="inlineStr">
        <is>
          <t>12-Feb-2026</t>
        </is>
      </c>
      <c r="G676" t="inlineStr">
        <is>
          <t>Thursday</t>
        </is>
      </c>
      <c r="H676" t="inlineStr">
        <is>
          <t>Weekly - Thursday</t>
        </is>
      </c>
      <c r="I676" t="inlineStr">
        <is>
          <t>Weekly - Thursday</t>
        </is>
      </c>
      <c r="J676" t="inlineStr">
        <is>
          <t>Same Month Expiry</t>
        </is>
      </c>
      <c r="K676" s="25" t="n">
        <v>159942</v>
      </c>
      <c r="L676" s="26" t="n">
        <v>262.5131</v>
      </c>
      <c r="M676" s="26" t="n">
        <v>1.6709</v>
      </c>
    </row>
    <row r="677" ht="16" customHeight="1">
      <c r="A677" t="inlineStr">
        <is>
          <t>02-Feb-2026</t>
        </is>
      </c>
      <c r="B677" t="inlineStr">
        <is>
          <t>Monday</t>
        </is>
      </c>
      <c r="C677" t="inlineStr">
        <is>
          <t>Week1-Feb-2026</t>
        </is>
      </c>
      <c r="D677" s="78" t="n">
        <v>46054</v>
      </c>
      <c r="E677" t="inlineStr">
        <is>
          <t>Q4FY26</t>
        </is>
      </c>
      <c r="F677" t="inlineStr">
        <is>
          <t>19-Feb-2026</t>
        </is>
      </c>
      <c r="G677" t="inlineStr">
        <is>
          <t>Thursday</t>
        </is>
      </c>
      <c r="H677" t="inlineStr">
        <is>
          <t>Weekly - Thursday</t>
        </is>
      </c>
      <c r="I677" t="inlineStr">
        <is>
          <t>Weekly - Thursday</t>
        </is>
      </c>
      <c r="J677" t="inlineStr">
        <is>
          <t>Same Month Expiry</t>
        </is>
      </c>
      <c r="K677" s="25" t="n">
        <v>595</v>
      </c>
      <c r="L677" s="26" t="n">
        <v>0.9779</v>
      </c>
      <c r="M677" s="26" t="n">
        <v>0.007</v>
      </c>
    </row>
    <row r="678" ht="16" customHeight="1">
      <c r="A678" t="inlineStr">
        <is>
          <t>02-Feb-2026</t>
        </is>
      </c>
      <c r="B678" t="inlineStr">
        <is>
          <t>Monday</t>
        </is>
      </c>
      <c r="C678" t="inlineStr">
        <is>
          <t>Week1-Feb-2026</t>
        </is>
      </c>
      <c r="D678" s="78" t="n">
        <v>46054</v>
      </c>
      <c r="E678" t="inlineStr">
        <is>
          <t>Q4FY26</t>
        </is>
      </c>
      <c r="F678" t="inlineStr">
        <is>
          <t>26-Feb-2026</t>
        </is>
      </c>
      <c r="G678" t="inlineStr">
        <is>
          <t>Thursday</t>
        </is>
      </c>
      <c r="H678" t="inlineStr">
        <is>
          <t>Monthly - Thursday</t>
        </is>
      </c>
      <c r="I678" t="inlineStr">
        <is>
          <t>Monthly - Thursday</t>
        </is>
      </c>
      <c r="J678" t="inlineStr">
        <is>
          <t>Same Month Expiry</t>
        </is>
      </c>
      <c r="K678" s="25" t="n">
        <v>22143</v>
      </c>
      <c r="L678" s="26" t="n">
        <v>36.66</v>
      </c>
      <c r="M678" s="26" t="n">
        <v>0.3343</v>
      </c>
    </row>
    <row r="679" ht="16" customHeight="1">
      <c r="A679" t="inlineStr">
        <is>
          <t>02-Feb-2026</t>
        </is>
      </c>
      <c r="B679" t="inlineStr">
        <is>
          <t>Monday</t>
        </is>
      </c>
      <c r="C679" t="inlineStr">
        <is>
          <t>Week1-Feb-2026</t>
        </is>
      </c>
      <c r="D679" s="78" t="n">
        <v>46054</v>
      </c>
      <c r="E679" t="inlineStr">
        <is>
          <t>Q4FY26</t>
        </is>
      </c>
      <c r="F679" t="inlineStr">
        <is>
          <t>05-Mar-2026</t>
        </is>
      </c>
      <c r="G679" t="inlineStr">
        <is>
          <t>Thursday</t>
        </is>
      </c>
      <c r="H679" t="inlineStr">
        <is>
          <t>Weekly - Thursday</t>
        </is>
      </c>
      <c r="I679" t="inlineStr">
        <is>
          <t>Weekly - Thursday</t>
        </is>
      </c>
      <c r="J679" t="inlineStr">
        <is>
          <t>Month+1 Expiry</t>
        </is>
      </c>
      <c r="K679" s="25" t="n">
        <v>2</v>
      </c>
      <c r="L679" s="26" t="n">
        <v>0.0029</v>
      </c>
      <c r="M679" s="26" t="n">
        <v>0</v>
      </c>
    </row>
    <row r="680" ht="16" customHeight="1">
      <c r="A680" t="inlineStr">
        <is>
          <t>02-Feb-2026</t>
        </is>
      </c>
      <c r="B680" t="inlineStr">
        <is>
          <t>Monday</t>
        </is>
      </c>
      <c r="C680" t="inlineStr">
        <is>
          <t>Week1-Feb-2026</t>
        </is>
      </c>
      <c r="D680" s="78" t="n">
        <v>46054</v>
      </c>
      <c r="E680" t="inlineStr">
        <is>
          <t>Q4FY26</t>
        </is>
      </c>
      <c r="F680" t="inlineStr">
        <is>
          <t>25-Mar-2026</t>
        </is>
      </c>
      <c r="G680" t="inlineStr">
        <is>
          <t>Wednesday</t>
        </is>
      </c>
      <c r="H680" t="inlineStr">
        <is>
          <t>Monthly - Wednesday</t>
        </is>
      </c>
      <c r="I680" t="inlineStr">
        <is>
          <t>Monthly - Wednesday</t>
        </is>
      </c>
      <c r="J680" t="inlineStr">
        <is>
          <t>Month+1 Expiry</t>
        </is>
      </c>
      <c r="K680" s="25" t="n">
        <v>14</v>
      </c>
      <c r="L680" s="26" t="n">
        <v>0.0234</v>
      </c>
      <c r="M680" s="26" t="n">
        <v>0.0004</v>
      </c>
    </row>
    <row r="681" ht="16" customHeight="1">
      <c r="A681" t="inlineStr">
        <is>
          <t>02-Feb-2026</t>
        </is>
      </c>
      <c r="B681" t="inlineStr">
        <is>
          <t>Monday</t>
        </is>
      </c>
      <c r="C681" t="inlineStr">
        <is>
          <t>Week1-Feb-2026</t>
        </is>
      </c>
      <c r="D681" s="78" t="n">
        <v>46054</v>
      </c>
      <c r="E681" t="inlineStr">
        <is>
          <t>Q4FY26</t>
        </is>
      </c>
      <c r="F681" t="inlineStr">
        <is>
          <t>25-Jun-2026</t>
        </is>
      </c>
      <c r="G681" t="inlineStr">
        <is>
          <t>Thursday</t>
        </is>
      </c>
      <c r="H681" t="inlineStr">
        <is>
          <t>Monthly - Thursday</t>
        </is>
      </c>
      <c r="I681" t="inlineStr">
        <is>
          <t>Monthly - Thursday</t>
        </is>
      </c>
      <c r="J681" t="inlineStr">
        <is>
          <t>Month+4 Expiry</t>
        </is>
      </c>
      <c r="K681" s="25" t="n">
        <v>0</v>
      </c>
      <c r="L681" s="26" t="n">
        <v>0</v>
      </c>
      <c r="M681" s="26" t="n">
        <v>0</v>
      </c>
    </row>
    <row r="682" ht="16" customHeight="1">
      <c r="A682" t="inlineStr">
        <is>
          <t>03-Feb-2026</t>
        </is>
      </c>
      <c r="B682" t="inlineStr">
        <is>
          <t>Tuesday</t>
        </is>
      </c>
      <c r="C682" t="inlineStr">
        <is>
          <t>Week1-Feb-2026</t>
        </is>
      </c>
      <c r="D682" s="78" t="n">
        <v>46054</v>
      </c>
      <c r="E682" t="inlineStr">
        <is>
          <t>Q4FY26</t>
        </is>
      </c>
      <c r="F682" t="inlineStr">
        <is>
          <t>05-Feb-2026</t>
        </is>
      </c>
      <c r="G682" t="inlineStr">
        <is>
          <t>Thursday</t>
        </is>
      </c>
      <c r="H682" t="inlineStr">
        <is>
          <t>Weekly - Thursday</t>
        </is>
      </c>
      <c r="I682" t="inlineStr">
        <is>
          <t>Weekly - Thursday</t>
        </is>
      </c>
      <c r="J682" t="inlineStr">
        <is>
          <t>Same Month Expiry</t>
        </is>
      </c>
      <c r="K682" s="25" t="n">
        <v>37562693</v>
      </c>
      <c r="L682" s="26" t="n">
        <v>63086.0854</v>
      </c>
      <c r="M682" s="26" t="n">
        <v>192.48</v>
      </c>
    </row>
    <row r="683" ht="16" customHeight="1">
      <c r="A683" t="inlineStr">
        <is>
          <t>03-Feb-2026</t>
        </is>
      </c>
      <c r="B683" t="inlineStr">
        <is>
          <t>Tuesday</t>
        </is>
      </c>
      <c r="C683" t="inlineStr">
        <is>
          <t>Week1-Feb-2026</t>
        </is>
      </c>
      <c r="D683" s="78" t="n">
        <v>46054</v>
      </c>
      <c r="E683" t="inlineStr">
        <is>
          <t>Q4FY26</t>
        </is>
      </c>
      <c r="F683" t="inlineStr">
        <is>
          <t>12-Feb-2026</t>
        </is>
      </c>
      <c r="G683" t="inlineStr">
        <is>
          <t>Thursday</t>
        </is>
      </c>
      <c r="H683" t="inlineStr">
        <is>
          <t>Weekly - Thursday</t>
        </is>
      </c>
      <c r="I683" t="inlineStr">
        <is>
          <t>Weekly - Thursday</t>
        </is>
      </c>
      <c r="J683" t="inlineStr">
        <is>
          <t>Same Month Expiry</t>
        </is>
      </c>
      <c r="K683" s="25" t="n">
        <v>372556</v>
      </c>
      <c r="L683" s="26" t="n">
        <v>624.6026000000001</v>
      </c>
      <c r="M683" s="26" t="n">
        <v>3.9746</v>
      </c>
    </row>
    <row r="684" ht="16" customHeight="1">
      <c r="A684" t="inlineStr">
        <is>
          <t>03-Feb-2026</t>
        </is>
      </c>
      <c r="B684" t="inlineStr">
        <is>
          <t>Tuesday</t>
        </is>
      </c>
      <c r="C684" t="inlineStr">
        <is>
          <t>Week1-Feb-2026</t>
        </is>
      </c>
      <c r="D684" s="78" t="n">
        <v>46054</v>
      </c>
      <c r="E684" t="inlineStr">
        <is>
          <t>Q4FY26</t>
        </is>
      </c>
      <c r="F684" t="inlineStr">
        <is>
          <t>19-Feb-2026</t>
        </is>
      </c>
      <c r="G684" t="inlineStr">
        <is>
          <t>Thursday</t>
        </is>
      </c>
      <c r="H684" t="inlineStr">
        <is>
          <t>Weekly - Thursday</t>
        </is>
      </c>
      <c r="I684" t="inlineStr">
        <is>
          <t>Weekly - Thursday</t>
        </is>
      </c>
      <c r="J684" t="inlineStr">
        <is>
          <t>Same Month Expiry</t>
        </is>
      </c>
      <c r="K684" s="25" t="n">
        <v>158</v>
      </c>
      <c r="L684" s="26" t="n">
        <v>0.2709</v>
      </c>
      <c r="M684" s="26" t="n">
        <v>0.0017</v>
      </c>
    </row>
    <row r="685" ht="16" customHeight="1">
      <c r="A685" t="inlineStr">
        <is>
          <t>03-Feb-2026</t>
        </is>
      </c>
      <c r="B685" t="inlineStr">
        <is>
          <t>Tuesday</t>
        </is>
      </c>
      <c r="C685" t="inlineStr">
        <is>
          <t>Week1-Feb-2026</t>
        </is>
      </c>
      <c r="D685" s="78" t="n">
        <v>46054</v>
      </c>
      <c r="E685" t="inlineStr">
        <is>
          <t>Q4FY26</t>
        </is>
      </c>
      <c r="F685" t="inlineStr">
        <is>
          <t>26-Feb-2026</t>
        </is>
      </c>
      <c r="G685" t="inlineStr">
        <is>
          <t>Thursday</t>
        </is>
      </c>
      <c r="H685" t="inlineStr">
        <is>
          <t>Monthly - Thursday</t>
        </is>
      </c>
      <c r="I685" t="inlineStr">
        <is>
          <t>Monthly - Thursday</t>
        </is>
      </c>
      <c r="J685" t="inlineStr">
        <is>
          <t>Same Month Expiry</t>
        </is>
      </c>
      <c r="K685" s="25" t="n">
        <v>38087</v>
      </c>
      <c r="L685" s="26" t="n">
        <v>64.3276</v>
      </c>
      <c r="M685" s="26" t="n">
        <v>0.6273</v>
      </c>
    </row>
    <row r="686" ht="16" customHeight="1">
      <c r="A686" t="inlineStr">
        <is>
          <t>03-Feb-2026</t>
        </is>
      </c>
      <c r="B686" t="inlineStr">
        <is>
          <t>Tuesday</t>
        </is>
      </c>
      <c r="C686" t="inlineStr">
        <is>
          <t>Week1-Feb-2026</t>
        </is>
      </c>
      <c r="D686" s="78" t="n">
        <v>46054</v>
      </c>
      <c r="E686" t="inlineStr">
        <is>
          <t>Q4FY26</t>
        </is>
      </c>
      <c r="F686" t="inlineStr">
        <is>
          <t>05-Mar-2026</t>
        </is>
      </c>
      <c r="G686" t="inlineStr">
        <is>
          <t>Thursday</t>
        </is>
      </c>
      <c r="H686" t="inlineStr">
        <is>
          <t>Weekly - Thursday</t>
        </is>
      </c>
      <c r="I686" t="inlineStr">
        <is>
          <t>Weekly - Thursday</t>
        </is>
      </c>
      <c r="J686" t="inlineStr">
        <is>
          <t>Month+1 Expiry</t>
        </is>
      </c>
      <c r="K686" s="25" t="n">
        <v>14</v>
      </c>
      <c r="L686" s="26" t="n">
        <v>0.0202</v>
      </c>
      <c r="M686" s="26" t="n">
        <v>0</v>
      </c>
    </row>
    <row r="687" ht="16" customHeight="1">
      <c r="A687" t="inlineStr">
        <is>
          <t>03-Feb-2026</t>
        </is>
      </c>
      <c r="B687" t="inlineStr">
        <is>
          <t>Tuesday</t>
        </is>
      </c>
      <c r="C687" t="inlineStr">
        <is>
          <t>Week1-Feb-2026</t>
        </is>
      </c>
      <c r="D687" s="78" t="n">
        <v>46054</v>
      </c>
      <c r="E687" t="inlineStr">
        <is>
          <t>Q4FY26</t>
        </is>
      </c>
      <c r="F687" t="inlineStr">
        <is>
          <t>25-Mar-2026</t>
        </is>
      </c>
      <c r="G687" t="inlineStr">
        <is>
          <t>Wednesday</t>
        </is>
      </c>
      <c r="H687" t="inlineStr">
        <is>
          <t>Monthly - Wednesday</t>
        </is>
      </c>
      <c r="I687" t="inlineStr">
        <is>
          <t>Monthly - Wednesday</t>
        </is>
      </c>
      <c r="J687" t="inlineStr">
        <is>
          <t>Month+1 Expiry</t>
        </is>
      </c>
      <c r="K687" s="25" t="n">
        <v>5</v>
      </c>
      <c r="L687" s="26" t="n">
        <v>0.0086</v>
      </c>
      <c r="M687" s="26" t="n">
        <v>0.0002</v>
      </c>
    </row>
    <row r="688" ht="16" customHeight="1">
      <c r="A688" t="inlineStr">
        <is>
          <t>03-Feb-2026</t>
        </is>
      </c>
      <c r="B688" t="inlineStr">
        <is>
          <t>Tuesday</t>
        </is>
      </c>
      <c r="C688" t="inlineStr">
        <is>
          <t>Week1-Feb-2026</t>
        </is>
      </c>
      <c r="D688" s="78" t="n">
        <v>46054</v>
      </c>
      <c r="E688" t="inlineStr">
        <is>
          <t>Q4FY26</t>
        </is>
      </c>
      <c r="F688" t="inlineStr">
        <is>
          <t>25-Jun-2026</t>
        </is>
      </c>
      <c r="G688" t="inlineStr">
        <is>
          <t>Thursday</t>
        </is>
      </c>
      <c r="H688" t="inlineStr">
        <is>
          <t>Monthly - Thursday</t>
        </is>
      </c>
      <c r="I688" t="inlineStr">
        <is>
          <t>Monthly - Thursday</t>
        </is>
      </c>
      <c r="J688" t="inlineStr">
        <is>
          <t>Month+4 Expiry</t>
        </is>
      </c>
      <c r="K688" s="25" t="n">
        <v>0</v>
      </c>
      <c r="L688" s="26" t="n">
        <v>0</v>
      </c>
      <c r="M688" s="26" t="n">
        <v>0</v>
      </c>
    </row>
    <row r="689" ht="16" customHeight="1">
      <c r="A689" t="inlineStr">
        <is>
          <t>04-Feb-2026</t>
        </is>
      </c>
      <c r="B689" t="inlineStr">
        <is>
          <t>Wednesday</t>
        </is>
      </c>
      <c r="C689" t="inlineStr">
        <is>
          <t>Week1-Feb-2026</t>
        </is>
      </c>
      <c r="D689" s="78" t="n">
        <v>46054</v>
      </c>
      <c r="E689" t="inlineStr">
        <is>
          <t>Q4FY26</t>
        </is>
      </c>
      <c r="F689" t="inlineStr">
        <is>
          <t>05-Feb-2026</t>
        </is>
      </c>
      <c r="G689" t="inlineStr">
        <is>
          <t>Thursday</t>
        </is>
      </c>
      <c r="H689" t="inlineStr">
        <is>
          <t>Weekly - Thursday</t>
        </is>
      </c>
      <c r="I689" t="inlineStr">
        <is>
          <t>Weekly - Thursday</t>
        </is>
      </c>
      <c r="J689" t="inlineStr">
        <is>
          <t>Same Month Expiry</t>
        </is>
      </c>
      <c r="K689" s="25" t="n">
        <v>129869631</v>
      </c>
      <c r="L689" s="26" t="n">
        <v>217682.3021</v>
      </c>
      <c r="M689" s="26" t="n">
        <v>369.6306</v>
      </c>
    </row>
    <row r="690" ht="16" customHeight="1">
      <c r="A690" t="inlineStr">
        <is>
          <t>04-Feb-2026</t>
        </is>
      </c>
      <c r="B690" t="inlineStr">
        <is>
          <t>Wednesday</t>
        </is>
      </c>
      <c r="C690" t="inlineStr">
        <is>
          <t>Week1-Feb-2026</t>
        </is>
      </c>
      <c r="D690" s="78" t="n">
        <v>46054</v>
      </c>
      <c r="E690" t="inlineStr">
        <is>
          <t>Q4FY26</t>
        </is>
      </c>
      <c r="F690" t="inlineStr">
        <is>
          <t>12-Feb-2026</t>
        </is>
      </c>
      <c r="G690" t="inlineStr">
        <is>
          <t>Thursday</t>
        </is>
      </c>
      <c r="H690" t="inlineStr">
        <is>
          <t>Weekly - Thursday</t>
        </is>
      </c>
      <c r="I690" t="inlineStr">
        <is>
          <t>Weekly - Thursday</t>
        </is>
      </c>
      <c r="J690" t="inlineStr">
        <is>
          <t>Same Month Expiry</t>
        </is>
      </c>
      <c r="K690" s="25" t="n">
        <v>585478</v>
      </c>
      <c r="L690" s="26" t="n">
        <v>981.1833</v>
      </c>
      <c r="M690" s="26" t="n">
        <v>3.9</v>
      </c>
    </row>
    <row r="691" ht="16" customHeight="1">
      <c r="A691" t="inlineStr">
        <is>
          <t>04-Feb-2026</t>
        </is>
      </c>
      <c r="B691" t="inlineStr">
        <is>
          <t>Wednesday</t>
        </is>
      </c>
      <c r="C691" t="inlineStr">
        <is>
          <t>Week1-Feb-2026</t>
        </is>
      </c>
      <c r="D691" s="78" t="n">
        <v>46054</v>
      </c>
      <c r="E691" t="inlineStr">
        <is>
          <t>Q4FY26</t>
        </is>
      </c>
      <c r="F691" t="inlineStr">
        <is>
          <t>19-Feb-2026</t>
        </is>
      </c>
      <c r="G691" t="inlineStr">
        <is>
          <t>Thursday</t>
        </is>
      </c>
      <c r="H691" t="inlineStr">
        <is>
          <t>Weekly - Thursday</t>
        </is>
      </c>
      <c r="I691" t="inlineStr">
        <is>
          <t>Weekly - Thursday</t>
        </is>
      </c>
      <c r="J691" t="inlineStr">
        <is>
          <t>Same Month Expiry</t>
        </is>
      </c>
      <c r="K691" s="25" t="n">
        <v>762</v>
      </c>
      <c r="L691" s="26" t="n">
        <v>1.2831</v>
      </c>
      <c r="M691" s="26" t="n">
        <v>0.0119</v>
      </c>
    </row>
    <row r="692" ht="16" customHeight="1">
      <c r="A692" t="inlineStr">
        <is>
          <t>04-Feb-2026</t>
        </is>
      </c>
      <c r="B692" t="inlineStr">
        <is>
          <t>Wednesday</t>
        </is>
      </c>
      <c r="C692" t="inlineStr">
        <is>
          <t>Week1-Feb-2026</t>
        </is>
      </c>
      <c r="D692" s="78" t="n">
        <v>46054</v>
      </c>
      <c r="E692" t="inlineStr">
        <is>
          <t>Q4FY26</t>
        </is>
      </c>
      <c r="F692" t="inlineStr">
        <is>
          <t>26-Feb-2026</t>
        </is>
      </c>
      <c r="G692" t="inlineStr">
        <is>
          <t>Thursday</t>
        </is>
      </c>
      <c r="H692" t="inlineStr">
        <is>
          <t>Monthly - Thursday</t>
        </is>
      </c>
      <c r="I692" t="inlineStr">
        <is>
          <t>Monthly - Thursday</t>
        </is>
      </c>
      <c r="J692" t="inlineStr">
        <is>
          <t>Same Month Expiry</t>
        </is>
      </c>
      <c r="K692" s="25" t="n">
        <v>30040</v>
      </c>
      <c r="L692" s="26" t="n">
        <v>50.7725</v>
      </c>
      <c r="M692" s="26" t="n">
        <v>0.3722</v>
      </c>
    </row>
    <row r="693" ht="16" customHeight="1">
      <c r="A693" t="inlineStr">
        <is>
          <t>04-Feb-2026</t>
        </is>
      </c>
      <c r="B693" t="inlineStr">
        <is>
          <t>Wednesday</t>
        </is>
      </c>
      <c r="C693" t="inlineStr">
        <is>
          <t>Week1-Feb-2026</t>
        </is>
      </c>
      <c r="D693" s="78" t="n">
        <v>46054</v>
      </c>
      <c r="E693" t="inlineStr">
        <is>
          <t>Q4FY26</t>
        </is>
      </c>
      <c r="F693" t="inlineStr">
        <is>
          <t>05-Mar-2026</t>
        </is>
      </c>
      <c r="G693" t="inlineStr">
        <is>
          <t>Thursday</t>
        </is>
      </c>
      <c r="H693" t="inlineStr">
        <is>
          <t>Weekly - Thursday</t>
        </is>
      </c>
      <c r="I693" t="inlineStr">
        <is>
          <t>Weekly - Thursday</t>
        </is>
      </c>
      <c r="J693" t="inlineStr">
        <is>
          <t>Month+1 Expiry</t>
        </is>
      </c>
      <c r="K693" s="25" t="n">
        <v>3</v>
      </c>
      <c r="L693" s="26" t="n">
        <v>0.0043</v>
      </c>
      <c r="M693" s="26" t="n">
        <v>0</v>
      </c>
    </row>
    <row r="694" ht="16" customHeight="1">
      <c r="A694" t="inlineStr">
        <is>
          <t>04-Feb-2026</t>
        </is>
      </c>
      <c r="B694" t="inlineStr">
        <is>
          <t>Wednesday</t>
        </is>
      </c>
      <c r="C694" t="inlineStr">
        <is>
          <t>Week1-Feb-2026</t>
        </is>
      </c>
      <c r="D694" s="78" t="n">
        <v>46054</v>
      </c>
      <c r="E694" t="inlineStr">
        <is>
          <t>Q4FY26</t>
        </is>
      </c>
      <c r="F694" t="inlineStr">
        <is>
          <t>25-Mar-2026</t>
        </is>
      </c>
      <c r="G694" t="inlineStr">
        <is>
          <t>Wednesday</t>
        </is>
      </c>
      <c r="H694" t="inlineStr">
        <is>
          <t>Monthly - Wednesday</t>
        </is>
      </c>
      <c r="I694" t="inlineStr">
        <is>
          <t>Monthly - Wednesday</t>
        </is>
      </c>
      <c r="J694" t="inlineStr">
        <is>
          <t>Month+1 Expiry</t>
        </is>
      </c>
      <c r="K694" s="25" t="n">
        <v>20</v>
      </c>
      <c r="L694" s="26" t="n">
        <v>0.0342</v>
      </c>
      <c r="M694" s="26" t="n">
        <v>0.0007</v>
      </c>
    </row>
    <row r="695" ht="16" customHeight="1">
      <c r="A695" t="inlineStr">
        <is>
          <t>04-Feb-2026</t>
        </is>
      </c>
      <c r="B695" t="inlineStr">
        <is>
          <t>Wednesday</t>
        </is>
      </c>
      <c r="C695" t="inlineStr">
        <is>
          <t>Week1-Feb-2026</t>
        </is>
      </c>
      <c r="D695" s="78" t="n">
        <v>46054</v>
      </c>
      <c r="E695" t="inlineStr">
        <is>
          <t>Q4FY26</t>
        </is>
      </c>
      <c r="F695" t="inlineStr">
        <is>
          <t>25-Jun-2026</t>
        </is>
      </c>
      <c r="G695" t="inlineStr">
        <is>
          <t>Thursday</t>
        </is>
      </c>
      <c r="H695" t="inlineStr">
        <is>
          <t>Monthly - Thursday</t>
        </is>
      </c>
      <c r="I695" t="inlineStr">
        <is>
          <t>Monthly - Thursday</t>
        </is>
      </c>
      <c r="J695" t="inlineStr">
        <is>
          <t>Month+4 Expiry</t>
        </is>
      </c>
      <c r="K695" s="25" t="n">
        <v>0</v>
      </c>
      <c r="L695" s="26" t="n">
        <v>0</v>
      </c>
      <c r="M695" s="26" t="n">
        <v>0</v>
      </c>
    </row>
    <row r="696" ht="16" customHeight="1">
      <c r="A696" t="inlineStr">
        <is>
          <t>05-Feb-2026</t>
        </is>
      </c>
      <c r="B696" t="inlineStr">
        <is>
          <t>Thursday</t>
        </is>
      </c>
      <c r="C696" t="inlineStr">
        <is>
          <t>Week1-Feb-2026</t>
        </is>
      </c>
      <c r="D696" s="78" t="n">
        <v>46054</v>
      </c>
      <c r="E696" t="inlineStr">
        <is>
          <t>Q4FY26</t>
        </is>
      </c>
      <c r="F696" t="inlineStr">
        <is>
          <t>05-Feb-2026</t>
        </is>
      </c>
      <c r="G696" t="inlineStr">
        <is>
          <t>Thursday</t>
        </is>
      </c>
      <c r="H696" t="inlineStr">
        <is>
          <t>Weekly - Thursday</t>
        </is>
      </c>
      <c r="I696" t="inlineStr">
        <is>
          <t>Weekly - Thursday</t>
        </is>
      </c>
      <c r="J696" t="inlineStr">
        <is>
          <t>Same Month Expiry</t>
        </is>
      </c>
      <c r="K696" s="25" t="n">
        <v>458782180</v>
      </c>
      <c r="L696" s="26" t="n">
        <v>765562.6494</v>
      </c>
      <c r="M696" s="26" t="n">
        <v>504.7125</v>
      </c>
    </row>
    <row r="697" ht="16" customHeight="1">
      <c r="A697" t="inlineStr">
        <is>
          <t>05-Feb-2026</t>
        </is>
      </c>
      <c r="B697" t="inlineStr">
        <is>
          <t>Thursday</t>
        </is>
      </c>
      <c r="C697" t="inlineStr">
        <is>
          <t>Week1-Feb-2026</t>
        </is>
      </c>
      <c r="D697" s="78" t="n">
        <v>46054</v>
      </c>
      <c r="E697" t="inlineStr">
        <is>
          <t>Q4FY26</t>
        </is>
      </c>
      <c r="F697" t="inlineStr">
        <is>
          <t>12-Feb-2026</t>
        </is>
      </c>
      <c r="G697" t="inlineStr">
        <is>
          <t>Thursday</t>
        </is>
      </c>
      <c r="H697" t="inlineStr">
        <is>
          <t>Weekly - Thursday</t>
        </is>
      </c>
      <c r="I697" t="inlineStr">
        <is>
          <t>Weekly - Thursday</t>
        </is>
      </c>
      <c r="J697" t="inlineStr">
        <is>
          <t>Same Month Expiry</t>
        </is>
      </c>
      <c r="K697" s="25" t="n">
        <v>1869301</v>
      </c>
      <c r="L697" s="26" t="n">
        <v>3131.9394</v>
      </c>
      <c r="M697" s="26" t="n">
        <v>10.4974</v>
      </c>
    </row>
    <row r="698" ht="16" customHeight="1">
      <c r="A698" t="inlineStr">
        <is>
          <t>05-Feb-2026</t>
        </is>
      </c>
      <c r="B698" t="inlineStr">
        <is>
          <t>Thursday</t>
        </is>
      </c>
      <c r="C698" t="inlineStr">
        <is>
          <t>Week1-Feb-2026</t>
        </is>
      </c>
      <c r="D698" s="78" t="n">
        <v>46054</v>
      </c>
      <c r="E698" t="inlineStr">
        <is>
          <t>Q4FY26</t>
        </is>
      </c>
      <c r="F698" t="inlineStr">
        <is>
          <t>19-Feb-2026</t>
        </is>
      </c>
      <c r="G698" t="inlineStr">
        <is>
          <t>Thursday</t>
        </is>
      </c>
      <c r="H698" t="inlineStr">
        <is>
          <t>Weekly - Thursday</t>
        </is>
      </c>
      <c r="I698" t="inlineStr">
        <is>
          <t>Weekly - Thursday</t>
        </is>
      </c>
      <c r="J698" t="inlineStr">
        <is>
          <t>Same Month Expiry</t>
        </is>
      </c>
      <c r="K698" s="25" t="n">
        <v>4770</v>
      </c>
      <c r="L698" s="26" t="n">
        <v>8.014799999999999</v>
      </c>
      <c r="M698" s="26" t="n">
        <v>0.0599</v>
      </c>
    </row>
    <row r="699" ht="16" customHeight="1">
      <c r="A699" t="inlineStr">
        <is>
          <t>05-Feb-2026</t>
        </is>
      </c>
      <c r="B699" t="inlineStr">
        <is>
          <t>Thursday</t>
        </is>
      </c>
      <c r="C699" t="inlineStr">
        <is>
          <t>Week1-Feb-2026</t>
        </is>
      </c>
      <c r="D699" s="78" t="n">
        <v>46054</v>
      </c>
      <c r="E699" t="inlineStr">
        <is>
          <t>Q4FY26</t>
        </is>
      </c>
      <c r="F699" t="inlineStr">
        <is>
          <t>26-Feb-2026</t>
        </is>
      </c>
      <c r="G699" t="inlineStr">
        <is>
          <t>Thursday</t>
        </is>
      </c>
      <c r="H699" t="inlineStr">
        <is>
          <t>Monthly - Thursday</t>
        </is>
      </c>
      <c r="I699" t="inlineStr">
        <is>
          <t>Monthly - Thursday</t>
        </is>
      </c>
      <c r="J699" t="inlineStr">
        <is>
          <t>Same Month Expiry</t>
        </is>
      </c>
      <c r="K699" s="25" t="n">
        <v>25304</v>
      </c>
      <c r="L699" s="26" t="n">
        <v>42.5983</v>
      </c>
      <c r="M699" s="26" t="n">
        <v>0.2838</v>
      </c>
    </row>
    <row r="700" ht="16" customHeight="1">
      <c r="A700" t="inlineStr">
        <is>
          <t>05-Feb-2026</t>
        </is>
      </c>
      <c r="B700" t="inlineStr">
        <is>
          <t>Thursday</t>
        </is>
      </c>
      <c r="C700" t="inlineStr">
        <is>
          <t>Week1-Feb-2026</t>
        </is>
      </c>
      <c r="D700" s="78" t="n">
        <v>46054</v>
      </c>
      <c r="E700" t="inlineStr">
        <is>
          <t>Q4FY26</t>
        </is>
      </c>
      <c r="F700" t="inlineStr">
        <is>
          <t>05-Mar-2026</t>
        </is>
      </c>
      <c r="G700" t="inlineStr">
        <is>
          <t>Thursday</t>
        </is>
      </c>
      <c r="H700" t="inlineStr">
        <is>
          <t>Weekly - Thursday</t>
        </is>
      </c>
      <c r="I700" t="inlineStr">
        <is>
          <t>Weekly - Thursday</t>
        </is>
      </c>
      <c r="J700" t="inlineStr">
        <is>
          <t>Month+1 Expiry</t>
        </is>
      </c>
      <c r="K700" s="25" t="n">
        <v>0</v>
      </c>
      <c r="L700" s="26" t="n">
        <v>0</v>
      </c>
      <c r="M700" s="26" t="n">
        <v>0</v>
      </c>
    </row>
    <row r="701" ht="16" customHeight="1">
      <c r="A701" t="inlineStr">
        <is>
          <t>05-Feb-2026</t>
        </is>
      </c>
      <c r="B701" t="inlineStr">
        <is>
          <t>Thursday</t>
        </is>
      </c>
      <c r="C701" t="inlineStr">
        <is>
          <t>Week1-Feb-2026</t>
        </is>
      </c>
      <c r="D701" s="78" t="n">
        <v>46054</v>
      </c>
      <c r="E701" t="inlineStr">
        <is>
          <t>Q4FY26</t>
        </is>
      </c>
      <c r="F701" t="inlineStr">
        <is>
          <t>25-Mar-2026</t>
        </is>
      </c>
      <c r="G701" t="inlineStr">
        <is>
          <t>Wednesday</t>
        </is>
      </c>
      <c r="H701" t="inlineStr">
        <is>
          <t>Monthly - Wednesday</t>
        </is>
      </c>
      <c r="I701" t="inlineStr">
        <is>
          <t>Monthly - Wednesday</t>
        </is>
      </c>
      <c r="J701" t="inlineStr">
        <is>
          <t>Month+1 Expiry</t>
        </is>
      </c>
      <c r="K701" s="25" t="n">
        <v>254</v>
      </c>
      <c r="L701" s="26" t="n">
        <v>0.4363</v>
      </c>
      <c r="M701" s="26" t="n">
        <v>0.004</v>
      </c>
    </row>
    <row r="702" ht="16" customHeight="1">
      <c r="A702" t="inlineStr">
        <is>
          <t>05-Feb-2026</t>
        </is>
      </c>
      <c r="B702" t="inlineStr">
        <is>
          <t>Thursday</t>
        </is>
      </c>
      <c r="C702" t="inlineStr">
        <is>
          <t>Week1-Feb-2026</t>
        </is>
      </c>
      <c r="D702" s="78" t="n">
        <v>46054</v>
      </c>
      <c r="E702" t="inlineStr">
        <is>
          <t>Q4FY26</t>
        </is>
      </c>
      <c r="F702" t="inlineStr">
        <is>
          <t>25-Jun-2026</t>
        </is>
      </c>
      <c r="G702" t="inlineStr">
        <is>
          <t>Thursday</t>
        </is>
      </c>
      <c r="H702" t="inlineStr">
        <is>
          <t>Monthly - Thursday</t>
        </is>
      </c>
      <c r="I702" t="inlineStr">
        <is>
          <t>Monthly - Thursday</t>
        </is>
      </c>
      <c r="J702" t="inlineStr">
        <is>
          <t>Month+4 Expiry</t>
        </is>
      </c>
      <c r="K702" s="25" t="n">
        <v>0</v>
      </c>
      <c r="L702" s="26" t="n">
        <v>0</v>
      </c>
      <c r="M702" s="26" t="n">
        <v>0</v>
      </c>
    </row>
    <row r="703" ht="16" customHeight="1">
      <c r="A703" t="inlineStr">
        <is>
          <t>06-Feb-2026</t>
        </is>
      </c>
      <c r="B703" t="inlineStr">
        <is>
          <t>Friday</t>
        </is>
      </c>
      <c r="C703" t="inlineStr">
        <is>
          <t>Week1-Feb-2026</t>
        </is>
      </c>
      <c r="D703" s="78" t="n">
        <v>46054</v>
      </c>
      <c r="E703" t="inlineStr">
        <is>
          <t>Q4FY26</t>
        </is>
      </c>
      <c r="F703" t="inlineStr">
        <is>
          <t>12-Feb-2026</t>
        </is>
      </c>
      <c r="G703" t="inlineStr">
        <is>
          <t>Thursday</t>
        </is>
      </c>
      <c r="H703" t="inlineStr">
        <is>
          <t>Weekly - Thursday</t>
        </is>
      </c>
      <c r="I703" t="inlineStr">
        <is>
          <t>Weekly - Thursday</t>
        </is>
      </c>
      <c r="J703" t="inlineStr">
        <is>
          <t>Same Month Expiry</t>
        </is>
      </c>
      <c r="K703" s="25" t="n">
        <v>22506144</v>
      </c>
      <c r="L703" s="26" t="n">
        <v>37632.2197</v>
      </c>
      <c r="M703" s="26" t="n">
        <v>125.9004</v>
      </c>
    </row>
    <row r="704" ht="16" customHeight="1">
      <c r="A704" t="inlineStr">
        <is>
          <t>06-Feb-2026</t>
        </is>
      </c>
      <c r="B704" t="inlineStr">
        <is>
          <t>Friday</t>
        </is>
      </c>
      <c r="C704" t="inlineStr">
        <is>
          <t>Week1-Feb-2026</t>
        </is>
      </c>
      <c r="D704" s="78" t="n">
        <v>46054</v>
      </c>
      <c r="E704" t="inlineStr">
        <is>
          <t>Q4FY26</t>
        </is>
      </c>
      <c r="F704" t="inlineStr">
        <is>
          <t>19-Feb-2026</t>
        </is>
      </c>
      <c r="G704" t="inlineStr">
        <is>
          <t>Thursday</t>
        </is>
      </c>
      <c r="H704" t="inlineStr">
        <is>
          <t>Weekly - Thursday</t>
        </is>
      </c>
      <c r="I704" t="inlineStr">
        <is>
          <t>Weekly - Thursday</t>
        </is>
      </c>
      <c r="J704" t="inlineStr">
        <is>
          <t>Same Month Expiry</t>
        </is>
      </c>
      <c r="K704" s="25" t="n">
        <v>68944</v>
      </c>
      <c r="L704" s="26" t="n">
        <v>115.5789</v>
      </c>
      <c r="M704" s="26" t="n">
        <v>0.668</v>
      </c>
    </row>
    <row r="705" ht="16" customHeight="1">
      <c r="A705" t="inlineStr">
        <is>
          <t>06-Feb-2026</t>
        </is>
      </c>
      <c r="B705" t="inlineStr">
        <is>
          <t>Friday</t>
        </is>
      </c>
      <c r="C705" t="inlineStr">
        <is>
          <t>Week1-Feb-2026</t>
        </is>
      </c>
      <c r="D705" s="78" t="n">
        <v>46054</v>
      </c>
      <c r="E705" t="inlineStr">
        <is>
          <t>Q4FY26</t>
        </is>
      </c>
      <c r="F705" t="inlineStr">
        <is>
          <t>26-Feb-2026</t>
        </is>
      </c>
      <c r="G705" t="inlineStr">
        <is>
          <t>Thursday</t>
        </is>
      </c>
      <c r="H705" t="inlineStr">
        <is>
          <t>Monthly - Thursday</t>
        </is>
      </c>
      <c r="I705" t="inlineStr">
        <is>
          <t>Monthly - Thursday</t>
        </is>
      </c>
      <c r="J705" t="inlineStr">
        <is>
          <t>Same Month Expiry</t>
        </is>
      </c>
      <c r="K705" s="25" t="n">
        <v>41126</v>
      </c>
      <c r="L705" s="26" t="n">
        <v>68.9911</v>
      </c>
      <c r="M705" s="26" t="n">
        <v>0.4456</v>
      </c>
    </row>
    <row r="706" ht="16" customHeight="1">
      <c r="A706" t="inlineStr">
        <is>
          <t>06-Feb-2026</t>
        </is>
      </c>
      <c r="B706" t="inlineStr">
        <is>
          <t>Friday</t>
        </is>
      </c>
      <c r="C706" t="inlineStr">
        <is>
          <t>Week1-Feb-2026</t>
        </is>
      </c>
      <c r="D706" s="78" t="n">
        <v>46054</v>
      </c>
      <c r="E706" t="inlineStr">
        <is>
          <t>Q4FY26</t>
        </is>
      </c>
      <c r="F706" t="inlineStr">
        <is>
          <t>05-Mar-2026</t>
        </is>
      </c>
      <c r="G706" t="inlineStr">
        <is>
          <t>Thursday</t>
        </is>
      </c>
      <c r="H706" t="inlineStr">
        <is>
          <t>Weekly - Thursday</t>
        </is>
      </c>
      <c r="I706" t="inlineStr">
        <is>
          <t>Weekly - Thursday</t>
        </is>
      </c>
      <c r="J706" t="inlineStr">
        <is>
          <t>Month+1 Expiry</t>
        </is>
      </c>
      <c r="K706" s="25" t="n">
        <v>5</v>
      </c>
      <c r="L706" s="26" t="n">
        <v>0.0083</v>
      </c>
      <c r="M706" s="26" t="n">
        <v>0.0001</v>
      </c>
    </row>
    <row r="707" ht="16" customHeight="1">
      <c r="A707" t="inlineStr">
        <is>
          <t>06-Feb-2026</t>
        </is>
      </c>
      <c r="B707" t="inlineStr">
        <is>
          <t>Friday</t>
        </is>
      </c>
      <c r="C707" t="inlineStr">
        <is>
          <t>Week1-Feb-2026</t>
        </is>
      </c>
      <c r="D707" s="78" t="n">
        <v>46054</v>
      </c>
      <c r="E707" t="inlineStr">
        <is>
          <t>Q4FY26</t>
        </is>
      </c>
      <c r="F707" t="inlineStr">
        <is>
          <t>25-Mar-2026</t>
        </is>
      </c>
      <c r="G707" t="inlineStr">
        <is>
          <t>Wednesday</t>
        </is>
      </c>
      <c r="H707" t="inlineStr">
        <is>
          <t>Monthly - Wednesday</t>
        </is>
      </c>
      <c r="I707" t="inlineStr">
        <is>
          <t>Monthly - Wednesday</t>
        </is>
      </c>
      <c r="J707" t="inlineStr">
        <is>
          <t>Month+1 Expiry</t>
        </is>
      </c>
      <c r="K707" s="25" t="n">
        <v>536</v>
      </c>
      <c r="L707" s="26" t="n">
        <v>0.9271</v>
      </c>
      <c r="M707" s="26" t="n">
        <v>0.0053</v>
      </c>
    </row>
    <row r="708" ht="16" customHeight="1">
      <c r="A708" t="inlineStr">
        <is>
          <t>06-Feb-2026</t>
        </is>
      </c>
      <c r="B708" t="inlineStr">
        <is>
          <t>Friday</t>
        </is>
      </c>
      <c r="C708" t="inlineStr">
        <is>
          <t>Week1-Feb-2026</t>
        </is>
      </c>
      <c r="D708" s="78" t="n">
        <v>46054</v>
      </c>
      <c r="E708" t="inlineStr">
        <is>
          <t>Q4FY26</t>
        </is>
      </c>
      <c r="F708" t="inlineStr">
        <is>
          <t>25-Jun-2026</t>
        </is>
      </c>
      <c r="G708" t="inlineStr">
        <is>
          <t>Thursday</t>
        </is>
      </c>
      <c r="H708" t="inlineStr">
        <is>
          <t>Monthly - Thursday</t>
        </is>
      </c>
      <c r="I708" t="inlineStr">
        <is>
          <t>Monthly - Thursday</t>
        </is>
      </c>
      <c r="J708" t="inlineStr">
        <is>
          <t>Month+4 Expiry</t>
        </is>
      </c>
      <c r="K708" s="25" t="n">
        <v>0</v>
      </c>
      <c r="L708" s="26" t="n">
        <v>0</v>
      </c>
      <c r="M708" s="26" t="n">
        <v>0</v>
      </c>
    </row>
    <row r="709" ht="16" customHeight="1">
      <c r="A709" t="inlineStr">
        <is>
          <t>09-Feb-2026</t>
        </is>
      </c>
      <c r="B709" t="inlineStr">
        <is>
          <t>Monday</t>
        </is>
      </c>
      <c r="C709" t="inlineStr">
        <is>
          <t>Week2-Feb-2026</t>
        </is>
      </c>
      <c r="D709" s="78" t="n">
        <v>46054</v>
      </c>
      <c r="E709" t="inlineStr">
        <is>
          <t>Q4FY26</t>
        </is>
      </c>
      <c r="F709" t="inlineStr">
        <is>
          <t>12-Feb-2026</t>
        </is>
      </c>
      <c r="G709" t="inlineStr">
        <is>
          <t>Thursday</t>
        </is>
      </c>
      <c r="H709" t="inlineStr">
        <is>
          <t>Weekly - Thursday</t>
        </is>
      </c>
      <c r="I709" t="inlineStr">
        <is>
          <t>Weekly - Thursday</t>
        </is>
      </c>
      <c r="J709" t="inlineStr">
        <is>
          <t>Same Month Expiry</t>
        </is>
      </c>
      <c r="K709" s="25" t="n">
        <v>19526470</v>
      </c>
      <c r="L709" s="26" t="n">
        <v>32820.6181</v>
      </c>
      <c r="M709" s="26" t="n">
        <v>85.1215</v>
      </c>
    </row>
    <row r="710" ht="16" customHeight="1">
      <c r="A710" t="inlineStr">
        <is>
          <t>09-Feb-2026</t>
        </is>
      </c>
      <c r="B710" t="inlineStr">
        <is>
          <t>Monday</t>
        </is>
      </c>
      <c r="C710" t="inlineStr">
        <is>
          <t>Week2-Feb-2026</t>
        </is>
      </c>
      <c r="D710" s="78" t="n">
        <v>46054</v>
      </c>
      <c r="E710" t="inlineStr">
        <is>
          <t>Q4FY26</t>
        </is>
      </c>
      <c r="F710" t="inlineStr">
        <is>
          <t>19-Feb-2026</t>
        </is>
      </c>
      <c r="G710" t="inlineStr">
        <is>
          <t>Thursday</t>
        </is>
      </c>
      <c r="H710" t="inlineStr">
        <is>
          <t>Weekly - Thursday</t>
        </is>
      </c>
      <c r="I710" t="inlineStr">
        <is>
          <t>Weekly - Thursday</t>
        </is>
      </c>
      <c r="J710" t="inlineStr">
        <is>
          <t>Same Month Expiry</t>
        </is>
      </c>
      <c r="K710" s="25" t="n">
        <v>98069</v>
      </c>
      <c r="L710" s="26" t="n">
        <v>165.1417</v>
      </c>
      <c r="M710" s="26" t="n">
        <v>0.7072000000000001</v>
      </c>
    </row>
    <row r="711" ht="16" customHeight="1">
      <c r="A711" t="inlineStr">
        <is>
          <t>09-Feb-2026</t>
        </is>
      </c>
      <c r="B711" t="inlineStr">
        <is>
          <t>Monday</t>
        </is>
      </c>
      <c r="C711" t="inlineStr">
        <is>
          <t>Week2-Feb-2026</t>
        </is>
      </c>
      <c r="D711" s="78" t="n">
        <v>46054</v>
      </c>
      <c r="E711" t="inlineStr">
        <is>
          <t>Q4FY26</t>
        </is>
      </c>
      <c r="F711" t="inlineStr">
        <is>
          <t>26-Feb-2026</t>
        </is>
      </c>
      <c r="G711" t="inlineStr">
        <is>
          <t>Thursday</t>
        </is>
      </c>
      <c r="H711" t="inlineStr">
        <is>
          <t>Monthly - Thursday</t>
        </is>
      </c>
      <c r="I711" t="inlineStr">
        <is>
          <t>Monthly - Thursday</t>
        </is>
      </c>
      <c r="J711" t="inlineStr">
        <is>
          <t>Same Month Expiry</t>
        </is>
      </c>
      <c r="K711" s="25" t="n">
        <v>46334</v>
      </c>
      <c r="L711" s="26" t="n">
        <v>78.50620000000001</v>
      </c>
      <c r="M711" s="26" t="n">
        <v>0.5099</v>
      </c>
    </row>
    <row r="712" ht="16" customHeight="1">
      <c r="A712" t="inlineStr">
        <is>
          <t>09-Feb-2026</t>
        </is>
      </c>
      <c r="B712" t="inlineStr">
        <is>
          <t>Monday</t>
        </is>
      </c>
      <c r="C712" t="inlineStr">
        <is>
          <t>Week2-Feb-2026</t>
        </is>
      </c>
      <c r="D712" s="78" t="n">
        <v>46054</v>
      </c>
      <c r="E712" t="inlineStr">
        <is>
          <t>Q4FY26</t>
        </is>
      </c>
      <c r="F712" t="inlineStr">
        <is>
          <t>05-Mar-2026</t>
        </is>
      </c>
      <c r="G712" t="inlineStr">
        <is>
          <t>Thursday</t>
        </is>
      </c>
      <c r="H712" t="inlineStr">
        <is>
          <t>Weekly - Thursday</t>
        </is>
      </c>
      <c r="I712" t="inlineStr">
        <is>
          <t>Weekly - Thursday</t>
        </is>
      </c>
      <c r="J712" t="inlineStr">
        <is>
          <t>Month+1 Expiry</t>
        </is>
      </c>
      <c r="K712" s="25" t="n">
        <v>3</v>
      </c>
      <c r="L712" s="26" t="n">
        <v>0.0051</v>
      </c>
      <c r="M712" s="26" t="n">
        <v>0</v>
      </c>
    </row>
    <row r="713" ht="16" customHeight="1">
      <c r="A713" t="inlineStr">
        <is>
          <t>09-Feb-2026</t>
        </is>
      </c>
      <c r="B713" t="inlineStr">
        <is>
          <t>Monday</t>
        </is>
      </c>
      <c r="C713" t="inlineStr">
        <is>
          <t>Week2-Feb-2026</t>
        </is>
      </c>
      <c r="D713" s="78" t="n">
        <v>46054</v>
      </c>
      <c r="E713" t="inlineStr">
        <is>
          <t>Q4FY26</t>
        </is>
      </c>
      <c r="F713" t="inlineStr">
        <is>
          <t>19-Mar-2026</t>
        </is>
      </c>
      <c r="G713" t="inlineStr">
        <is>
          <t>Thursday</t>
        </is>
      </c>
      <c r="H713" t="inlineStr">
        <is>
          <t>Weekly - Thursday</t>
        </is>
      </c>
      <c r="I713" t="inlineStr">
        <is>
          <t>Weekly - Thursday</t>
        </is>
      </c>
      <c r="J713" t="inlineStr">
        <is>
          <t>Month+1 Expiry</t>
        </is>
      </c>
      <c r="K713" s="25" t="n">
        <v>2</v>
      </c>
      <c r="L713" s="26" t="n">
        <v>0.0034</v>
      </c>
      <c r="M713" s="26" t="n">
        <v>0</v>
      </c>
    </row>
    <row r="714" ht="16" customHeight="1">
      <c r="A714" t="inlineStr">
        <is>
          <t>09-Feb-2026</t>
        </is>
      </c>
      <c r="B714" t="inlineStr">
        <is>
          <t>Monday</t>
        </is>
      </c>
      <c r="C714" t="inlineStr">
        <is>
          <t>Week2-Feb-2026</t>
        </is>
      </c>
      <c r="D714" s="78" t="n">
        <v>46054</v>
      </c>
      <c r="E714" t="inlineStr">
        <is>
          <t>Q4FY26</t>
        </is>
      </c>
      <c r="F714" t="inlineStr">
        <is>
          <t>25-Mar-2026</t>
        </is>
      </c>
      <c r="G714" t="inlineStr">
        <is>
          <t>Wednesday</t>
        </is>
      </c>
      <c r="H714" t="inlineStr">
        <is>
          <t>Monthly - Wednesday</t>
        </is>
      </c>
      <c r="I714" t="inlineStr">
        <is>
          <t>Monthly - Wednesday</t>
        </is>
      </c>
      <c r="J714" t="inlineStr">
        <is>
          <t>Month+1 Expiry</t>
        </is>
      </c>
      <c r="K714" s="25" t="n">
        <v>710</v>
      </c>
      <c r="L714" s="26" t="n">
        <v>1.208</v>
      </c>
      <c r="M714" s="26" t="n">
        <v>0.0144</v>
      </c>
    </row>
    <row r="715" ht="16" customHeight="1">
      <c r="A715" t="inlineStr">
        <is>
          <t>09-Feb-2026</t>
        </is>
      </c>
      <c r="B715" t="inlineStr">
        <is>
          <t>Monday</t>
        </is>
      </c>
      <c r="C715" t="inlineStr">
        <is>
          <t>Week2-Feb-2026</t>
        </is>
      </c>
      <c r="D715" s="78" t="n">
        <v>46054</v>
      </c>
      <c r="E715" t="inlineStr">
        <is>
          <t>Q4FY26</t>
        </is>
      </c>
      <c r="F715" t="inlineStr">
        <is>
          <t>25-Jun-2026</t>
        </is>
      </c>
      <c r="G715" t="inlineStr">
        <is>
          <t>Thursday</t>
        </is>
      </c>
      <c r="H715" t="inlineStr">
        <is>
          <t>Monthly - Thursday</t>
        </is>
      </c>
      <c r="I715" t="inlineStr">
        <is>
          <t>Monthly - Thursday</t>
        </is>
      </c>
      <c r="J715" t="inlineStr">
        <is>
          <t>Month+4 Expiry</t>
        </is>
      </c>
      <c r="K715" s="25" t="n">
        <v>0</v>
      </c>
      <c r="L715" s="26" t="n">
        <v>0</v>
      </c>
      <c r="M715" s="26" t="n">
        <v>0</v>
      </c>
    </row>
    <row r="716" ht="16" customHeight="1">
      <c r="A716" t="inlineStr">
        <is>
          <t>10-Feb-2026</t>
        </is>
      </c>
      <c r="B716" t="inlineStr">
        <is>
          <t>Tuesday</t>
        </is>
      </c>
      <c r="C716" t="inlineStr">
        <is>
          <t>Week2-Feb-2026</t>
        </is>
      </c>
      <c r="D716" s="78" t="n">
        <v>46054</v>
      </c>
      <c r="E716" t="inlineStr">
        <is>
          <t>Q4FY26</t>
        </is>
      </c>
      <c r="F716" t="inlineStr">
        <is>
          <t>12-Feb-2026</t>
        </is>
      </c>
      <c r="G716" t="inlineStr">
        <is>
          <t>Thursday</t>
        </is>
      </c>
      <c r="H716" t="inlineStr">
        <is>
          <t>Weekly - Thursday</t>
        </is>
      </c>
      <c r="I716" t="inlineStr">
        <is>
          <t>Weekly - Thursday</t>
        </is>
      </c>
      <c r="J716" t="inlineStr">
        <is>
          <t>Same Month Expiry</t>
        </is>
      </c>
      <c r="K716" s="25" t="n">
        <v>24884330</v>
      </c>
      <c r="L716" s="26" t="n">
        <v>41915.0506</v>
      </c>
      <c r="M716" s="26" t="n">
        <v>86.1771</v>
      </c>
    </row>
    <row r="717" ht="16" customHeight="1">
      <c r="A717" t="inlineStr">
        <is>
          <t>10-Feb-2026</t>
        </is>
      </c>
      <c r="B717" t="inlineStr">
        <is>
          <t>Tuesday</t>
        </is>
      </c>
      <c r="C717" t="inlineStr">
        <is>
          <t>Week2-Feb-2026</t>
        </is>
      </c>
      <c r="D717" s="78" t="n">
        <v>46054</v>
      </c>
      <c r="E717" t="inlineStr">
        <is>
          <t>Q4FY26</t>
        </is>
      </c>
      <c r="F717" t="inlineStr">
        <is>
          <t>19-Feb-2026</t>
        </is>
      </c>
      <c r="G717" t="inlineStr">
        <is>
          <t>Thursday</t>
        </is>
      </c>
      <c r="H717" t="inlineStr">
        <is>
          <t>Weekly - Thursday</t>
        </is>
      </c>
      <c r="I717" t="inlineStr">
        <is>
          <t>Weekly - Thursday</t>
        </is>
      </c>
      <c r="J717" t="inlineStr">
        <is>
          <t>Same Month Expiry</t>
        </is>
      </c>
      <c r="K717" s="25" t="n">
        <v>207914</v>
      </c>
      <c r="L717" s="26" t="n">
        <v>352.2084</v>
      </c>
      <c r="M717" s="26" t="n">
        <v>1.3467</v>
      </c>
    </row>
    <row r="718" ht="16" customHeight="1">
      <c r="A718" t="inlineStr">
        <is>
          <t>10-Feb-2026</t>
        </is>
      </c>
      <c r="B718" t="inlineStr">
        <is>
          <t>Tuesday</t>
        </is>
      </c>
      <c r="C718" t="inlineStr">
        <is>
          <t>Week2-Feb-2026</t>
        </is>
      </c>
      <c r="D718" s="78" t="n">
        <v>46054</v>
      </c>
      <c r="E718" t="inlineStr">
        <is>
          <t>Q4FY26</t>
        </is>
      </c>
      <c r="F718" t="inlineStr">
        <is>
          <t>26-Feb-2026</t>
        </is>
      </c>
      <c r="G718" t="inlineStr">
        <is>
          <t>Thursday</t>
        </is>
      </c>
      <c r="H718" t="inlineStr">
        <is>
          <t>Monthly - Thursday</t>
        </is>
      </c>
      <c r="I718" t="inlineStr">
        <is>
          <t>Monthly - Thursday</t>
        </is>
      </c>
      <c r="J718" t="inlineStr">
        <is>
          <t>Same Month Expiry</t>
        </is>
      </c>
      <c r="K718" s="25" t="n">
        <v>40923</v>
      </c>
      <c r="L718" s="26" t="n">
        <v>69.30370000000001</v>
      </c>
      <c r="M718" s="26" t="n">
        <v>0.4162</v>
      </c>
    </row>
    <row r="719" ht="16" customHeight="1">
      <c r="A719" t="inlineStr">
        <is>
          <t>10-Feb-2026</t>
        </is>
      </c>
      <c r="B719" t="inlineStr">
        <is>
          <t>Tuesday</t>
        </is>
      </c>
      <c r="C719" t="inlineStr">
        <is>
          <t>Week2-Feb-2026</t>
        </is>
      </c>
      <c r="D719" s="78" t="n">
        <v>46054</v>
      </c>
      <c r="E719" t="inlineStr">
        <is>
          <t>Q4FY26</t>
        </is>
      </c>
      <c r="F719" t="inlineStr">
        <is>
          <t>05-Mar-2026</t>
        </is>
      </c>
      <c r="G719" t="inlineStr">
        <is>
          <t>Thursday</t>
        </is>
      </c>
      <c r="H719" t="inlineStr">
        <is>
          <t>Weekly - Thursday</t>
        </is>
      </c>
      <c r="I719" t="inlineStr">
        <is>
          <t>Weekly - Thursday</t>
        </is>
      </c>
      <c r="J719" t="inlineStr">
        <is>
          <t>Month+1 Expiry</t>
        </is>
      </c>
      <c r="K719" s="25" t="n">
        <v>33</v>
      </c>
      <c r="L719" s="26" t="n">
        <v>0.0567</v>
      </c>
      <c r="M719" s="26" t="n">
        <v>0.0005999999999999999</v>
      </c>
    </row>
    <row r="720" ht="16" customHeight="1">
      <c r="A720" t="inlineStr">
        <is>
          <t>10-Feb-2026</t>
        </is>
      </c>
      <c r="B720" t="inlineStr">
        <is>
          <t>Tuesday</t>
        </is>
      </c>
      <c r="C720" t="inlineStr">
        <is>
          <t>Week2-Feb-2026</t>
        </is>
      </c>
      <c r="D720" s="78" t="n">
        <v>46054</v>
      </c>
      <c r="E720" t="inlineStr">
        <is>
          <t>Q4FY26</t>
        </is>
      </c>
      <c r="F720" t="inlineStr">
        <is>
          <t>19-Mar-2026</t>
        </is>
      </c>
      <c r="G720" t="inlineStr">
        <is>
          <t>Thursday</t>
        </is>
      </c>
      <c r="H720" t="inlineStr">
        <is>
          <t>Weekly - Thursday</t>
        </is>
      </c>
      <c r="I720" t="inlineStr">
        <is>
          <t>Weekly - Thursday</t>
        </is>
      </c>
      <c r="J720" t="inlineStr">
        <is>
          <t>Month+1 Expiry</t>
        </is>
      </c>
      <c r="K720" s="25" t="n">
        <v>0</v>
      </c>
      <c r="L720" s="26" t="n">
        <v>0</v>
      </c>
      <c r="M720" s="26" t="n">
        <v>0</v>
      </c>
    </row>
    <row r="721" ht="16" customHeight="1">
      <c r="A721" t="inlineStr">
        <is>
          <t>10-Feb-2026</t>
        </is>
      </c>
      <c r="B721" t="inlineStr">
        <is>
          <t>Tuesday</t>
        </is>
      </c>
      <c r="C721" t="inlineStr">
        <is>
          <t>Week2-Feb-2026</t>
        </is>
      </c>
      <c r="D721" s="78" t="n">
        <v>46054</v>
      </c>
      <c r="E721" t="inlineStr">
        <is>
          <t>Q4FY26</t>
        </is>
      </c>
      <c r="F721" t="inlineStr">
        <is>
          <t>25-Mar-2026</t>
        </is>
      </c>
      <c r="G721" t="inlineStr">
        <is>
          <t>Wednesday</t>
        </is>
      </c>
      <c r="H721" t="inlineStr">
        <is>
          <t>Monthly - Wednesday</t>
        </is>
      </c>
      <c r="I721" t="inlineStr">
        <is>
          <t>Monthly - Wednesday</t>
        </is>
      </c>
      <c r="J721" t="inlineStr">
        <is>
          <t>Month+1 Expiry</t>
        </is>
      </c>
      <c r="K721" s="25" t="n">
        <v>528</v>
      </c>
      <c r="L721" s="26" t="n">
        <v>0.884</v>
      </c>
      <c r="M721" s="26" t="n">
        <v>0.0063</v>
      </c>
    </row>
    <row r="722" ht="16" customHeight="1">
      <c r="A722" t="inlineStr">
        <is>
          <t>10-Feb-2026</t>
        </is>
      </c>
      <c r="B722" t="inlineStr">
        <is>
          <t>Tuesday</t>
        </is>
      </c>
      <c r="C722" t="inlineStr">
        <is>
          <t>Week2-Feb-2026</t>
        </is>
      </c>
      <c r="D722" s="78" t="n">
        <v>46054</v>
      </c>
      <c r="E722" t="inlineStr">
        <is>
          <t>Q4FY26</t>
        </is>
      </c>
      <c r="F722" t="inlineStr">
        <is>
          <t>25-Jun-2026</t>
        </is>
      </c>
      <c r="G722" t="inlineStr">
        <is>
          <t>Thursday</t>
        </is>
      </c>
      <c r="H722" t="inlineStr">
        <is>
          <t>Monthly - Thursday</t>
        </is>
      </c>
      <c r="I722" t="inlineStr">
        <is>
          <t>Monthly - Thursday</t>
        </is>
      </c>
      <c r="J722" t="inlineStr">
        <is>
          <t>Month+4 Expiry</t>
        </is>
      </c>
      <c r="K722" s="25" t="n">
        <v>0</v>
      </c>
      <c r="L722" s="26" t="n">
        <v>0</v>
      </c>
      <c r="M722" s="26" t="n">
        <v>0</v>
      </c>
    </row>
    <row r="723" ht="16" customHeight="1">
      <c r="A723" t="inlineStr">
        <is>
          <t>11-Feb-2026</t>
        </is>
      </c>
      <c r="B723" t="inlineStr">
        <is>
          <t>Wednesday</t>
        </is>
      </c>
      <c r="C723" t="inlineStr">
        <is>
          <t>Week2-Feb-2026</t>
        </is>
      </c>
      <c r="D723" s="78" t="n">
        <v>46054</v>
      </c>
      <c r="E723" t="inlineStr">
        <is>
          <t>Q4FY26</t>
        </is>
      </c>
      <c r="F723" t="inlineStr">
        <is>
          <t>12-Feb-2026</t>
        </is>
      </c>
      <c r="G723" t="inlineStr">
        <is>
          <t>Thursday</t>
        </is>
      </c>
      <c r="H723" t="inlineStr">
        <is>
          <t>Weekly - Thursday</t>
        </is>
      </c>
      <c r="I723" t="inlineStr">
        <is>
          <t>Weekly - Thursday</t>
        </is>
      </c>
      <c r="J723" t="inlineStr">
        <is>
          <t>Same Month Expiry</t>
        </is>
      </c>
      <c r="K723" s="25" t="n">
        <v>107565495</v>
      </c>
      <c r="L723" s="26" t="n">
        <v>181348.1329</v>
      </c>
      <c r="M723" s="26" t="n">
        <v>257.002</v>
      </c>
    </row>
    <row r="724" ht="16" customHeight="1">
      <c r="A724" t="inlineStr">
        <is>
          <t>11-Feb-2026</t>
        </is>
      </c>
      <c r="B724" t="inlineStr">
        <is>
          <t>Wednesday</t>
        </is>
      </c>
      <c r="C724" t="inlineStr">
        <is>
          <t>Week2-Feb-2026</t>
        </is>
      </c>
      <c r="D724" s="78" t="n">
        <v>46054</v>
      </c>
      <c r="E724" t="inlineStr">
        <is>
          <t>Q4FY26</t>
        </is>
      </c>
      <c r="F724" t="inlineStr">
        <is>
          <t>19-Feb-2026</t>
        </is>
      </c>
      <c r="G724" t="inlineStr">
        <is>
          <t>Thursday</t>
        </is>
      </c>
      <c r="H724" t="inlineStr">
        <is>
          <t>Weekly - Thursday</t>
        </is>
      </c>
      <c r="I724" t="inlineStr">
        <is>
          <t>Weekly - Thursday</t>
        </is>
      </c>
      <c r="J724" t="inlineStr">
        <is>
          <t>Same Month Expiry</t>
        </is>
      </c>
      <c r="K724" s="25" t="n">
        <v>527887</v>
      </c>
      <c r="L724" s="26" t="n">
        <v>891.0302</v>
      </c>
      <c r="M724" s="26" t="n">
        <v>2.4919</v>
      </c>
    </row>
    <row r="725" ht="16" customHeight="1">
      <c r="A725" t="inlineStr">
        <is>
          <t>11-Feb-2026</t>
        </is>
      </c>
      <c r="B725" t="inlineStr">
        <is>
          <t>Wednesday</t>
        </is>
      </c>
      <c r="C725" t="inlineStr">
        <is>
          <t>Week2-Feb-2026</t>
        </is>
      </c>
      <c r="D725" s="78" t="n">
        <v>46054</v>
      </c>
      <c r="E725" t="inlineStr">
        <is>
          <t>Q4FY26</t>
        </is>
      </c>
      <c r="F725" t="inlineStr">
        <is>
          <t>26-Feb-2026</t>
        </is>
      </c>
      <c r="G725" t="inlineStr">
        <is>
          <t>Thursday</t>
        </is>
      </c>
      <c r="H725" t="inlineStr">
        <is>
          <t>Monthly - Thursday</t>
        </is>
      </c>
      <c r="I725" t="inlineStr">
        <is>
          <t>Monthly - Thursday</t>
        </is>
      </c>
      <c r="J725" t="inlineStr">
        <is>
          <t>Same Month Expiry</t>
        </is>
      </c>
      <c r="K725" s="25" t="n">
        <v>39998</v>
      </c>
      <c r="L725" s="26" t="n">
        <v>67.5827</v>
      </c>
      <c r="M725" s="26" t="n">
        <v>0.3747</v>
      </c>
    </row>
    <row r="726" ht="16" customHeight="1">
      <c r="A726" t="inlineStr">
        <is>
          <t>11-Feb-2026</t>
        </is>
      </c>
      <c r="B726" t="inlineStr">
        <is>
          <t>Wednesday</t>
        </is>
      </c>
      <c r="C726" t="inlineStr">
        <is>
          <t>Week2-Feb-2026</t>
        </is>
      </c>
      <c r="D726" s="78" t="n">
        <v>46054</v>
      </c>
      <c r="E726" t="inlineStr">
        <is>
          <t>Q4FY26</t>
        </is>
      </c>
      <c r="F726" t="inlineStr">
        <is>
          <t>05-Mar-2026</t>
        </is>
      </c>
      <c r="G726" t="inlineStr">
        <is>
          <t>Thursday</t>
        </is>
      </c>
      <c r="H726" t="inlineStr">
        <is>
          <t>Weekly - Thursday</t>
        </is>
      </c>
      <c r="I726" t="inlineStr">
        <is>
          <t>Weekly - Thursday</t>
        </is>
      </c>
      <c r="J726" t="inlineStr">
        <is>
          <t>Month+1 Expiry</t>
        </is>
      </c>
      <c r="K726" s="25" t="n">
        <v>137</v>
      </c>
      <c r="L726" s="26" t="n">
        <v>0.2344</v>
      </c>
      <c r="M726" s="26" t="n">
        <v>0.0024</v>
      </c>
    </row>
    <row r="727" ht="16" customHeight="1">
      <c r="A727" t="inlineStr">
        <is>
          <t>11-Feb-2026</t>
        </is>
      </c>
      <c r="B727" t="inlineStr">
        <is>
          <t>Wednesday</t>
        </is>
      </c>
      <c r="C727" t="inlineStr">
        <is>
          <t>Week2-Feb-2026</t>
        </is>
      </c>
      <c r="D727" s="78" t="n">
        <v>46054</v>
      </c>
      <c r="E727" t="inlineStr">
        <is>
          <t>Q4FY26</t>
        </is>
      </c>
      <c r="F727" t="inlineStr">
        <is>
          <t>19-Mar-2026</t>
        </is>
      </c>
      <c r="G727" t="inlineStr">
        <is>
          <t>Thursday</t>
        </is>
      </c>
      <c r="H727" t="inlineStr">
        <is>
          <t>Weekly - Thursday</t>
        </is>
      </c>
      <c r="I727" t="inlineStr">
        <is>
          <t>Weekly - Thursday</t>
        </is>
      </c>
      <c r="J727" t="inlineStr">
        <is>
          <t>Month+1 Expiry</t>
        </is>
      </c>
      <c r="K727" s="25" t="n">
        <v>0</v>
      </c>
      <c r="L727" s="26" t="n">
        <v>0</v>
      </c>
      <c r="M727" s="26" t="n">
        <v>0</v>
      </c>
    </row>
    <row r="728" ht="16" customHeight="1">
      <c r="A728" t="inlineStr">
        <is>
          <t>11-Feb-2026</t>
        </is>
      </c>
      <c r="B728" t="inlineStr">
        <is>
          <t>Wednesday</t>
        </is>
      </c>
      <c r="C728" t="inlineStr">
        <is>
          <t>Week2-Feb-2026</t>
        </is>
      </c>
      <c r="D728" s="78" t="n">
        <v>46054</v>
      </c>
      <c r="E728" t="inlineStr">
        <is>
          <t>Q4FY26</t>
        </is>
      </c>
      <c r="F728" t="inlineStr">
        <is>
          <t>25-Mar-2026</t>
        </is>
      </c>
      <c r="G728" t="inlineStr">
        <is>
          <t>Wednesday</t>
        </is>
      </c>
      <c r="H728" t="inlineStr">
        <is>
          <t>Monthly - Wednesday</t>
        </is>
      </c>
      <c r="I728" t="inlineStr">
        <is>
          <t>Monthly - Wednesday</t>
        </is>
      </c>
      <c r="J728" t="inlineStr">
        <is>
          <t>Month+1 Expiry</t>
        </is>
      </c>
      <c r="K728" s="25" t="n">
        <v>316</v>
      </c>
      <c r="L728" s="26" t="n">
        <v>0.5345</v>
      </c>
      <c r="M728" s="26" t="n">
        <v>0.0031</v>
      </c>
    </row>
    <row r="729" ht="16" customHeight="1">
      <c r="A729" t="inlineStr">
        <is>
          <t>11-Feb-2026</t>
        </is>
      </c>
      <c r="B729" t="inlineStr">
        <is>
          <t>Wednesday</t>
        </is>
      </c>
      <c r="C729" t="inlineStr">
        <is>
          <t>Week2-Feb-2026</t>
        </is>
      </c>
      <c r="D729" s="78" t="n">
        <v>46054</v>
      </c>
      <c r="E729" t="inlineStr">
        <is>
          <t>Q4FY26</t>
        </is>
      </c>
      <c r="F729" t="inlineStr">
        <is>
          <t>25-Jun-2026</t>
        </is>
      </c>
      <c r="G729" t="inlineStr">
        <is>
          <t>Thursday</t>
        </is>
      </c>
      <c r="H729" t="inlineStr">
        <is>
          <t>Monthly - Thursday</t>
        </is>
      </c>
      <c r="I729" t="inlineStr">
        <is>
          <t>Monthly - Thursday</t>
        </is>
      </c>
      <c r="J729" t="inlineStr">
        <is>
          <t>Month+4 Expiry</t>
        </is>
      </c>
      <c r="K729" s="25" t="n">
        <v>0</v>
      </c>
      <c r="L729" s="26" t="n">
        <v>0</v>
      </c>
      <c r="M729" s="26" t="n">
        <v>0</v>
      </c>
    </row>
    <row r="730" ht="16" customHeight="1">
      <c r="A730" t="inlineStr">
        <is>
          <t>12-Feb-2026</t>
        </is>
      </c>
      <c r="B730" t="inlineStr">
        <is>
          <t>Thursday</t>
        </is>
      </c>
      <c r="C730" t="inlineStr">
        <is>
          <t>Week2-Feb-2026</t>
        </is>
      </c>
      <c r="D730" s="78" t="n">
        <v>46054</v>
      </c>
      <c r="E730" t="inlineStr">
        <is>
          <t>Q4FY26</t>
        </is>
      </c>
      <c r="F730" t="inlineStr">
        <is>
          <t>12-Feb-2026</t>
        </is>
      </c>
      <c r="G730" t="inlineStr">
        <is>
          <t>Thursday</t>
        </is>
      </c>
      <c r="H730" t="inlineStr">
        <is>
          <t>Weekly - Thursday</t>
        </is>
      </c>
      <c r="I730" t="inlineStr">
        <is>
          <t>Weekly - Thursday</t>
        </is>
      </c>
      <c r="J730" t="inlineStr">
        <is>
          <t>Same Month Expiry</t>
        </is>
      </c>
      <c r="K730" s="25" t="n">
        <v>452101461</v>
      </c>
      <c r="L730" s="26" t="n">
        <v>758110.9952</v>
      </c>
      <c r="M730" s="26" t="n">
        <v>418.3157</v>
      </c>
    </row>
    <row r="731" ht="16" customHeight="1">
      <c r="A731" t="inlineStr">
        <is>
          <t>12-Feb-2026</t>
        </is>
      </c>
      <c r="B731" t="inlineStr">
        <is>
          <t>Thursday</t>
        </is>
      </c>
      <c r="C731" t="inlineStr">
        <is>
          <t>Week2-Feb-2026</t>
        </is>
      </c>
      <c r="D731" s="78" t="n">
        <v>46054</v>
      </c>
      <c r="E731" t="inlineStr">
        <is>
          <t>Q4FY26</t>
        </is>
      </c>
      <c r="F731" t="inlineStr">
        <is>
          <t>19-Feb-2026</t>
        </is>
      </c>
      <c r="G731" t="inlineStr">
        <is>
          <t>Thursday</t>
        </is>
      </c>
      <c r="H731" t="inlineStr">
        <is>
          <t>Weekly - Thursday</t>
        </is>
      </c>
      <c r="I731" t="inlineStr">
        <is>
          <t>Weekly - Thursday</t>
        </is>
      </c>
      <c r="J731" t="inlineStr">
        <is>
          <t>Same Month Expiry</t>
        </is>
      </c>
      <c r="K731" s="25" t="n">
        <v>1873085</v>
      </c>
      <c r="L731" s="26" t="n">
        <v>3153.569</v>
      </c>
      <c r="M731" s="26" t="n">
        <v>9.227499999999999</v>
      </c>
    </row>
    <row r="732" ht="16" customHeight="1">
      <c r="A732" t="inlineStr">
        <is>
          <t>12-Feb-2026</t>
        </is>
      </c>
      <c r="B732" t="inlineStr">
        <is>
          <t>Thursday</t>
        </is>
      </c>
      <c r="C732" t="inlineStr">
        <is>
          <t>Week2-Feb-2026</t>
        </is>
      </c>
      <c r="D732" s="78" t="n">
        <v>46054</v>
      </c>
      <c r="E732" t="inlineStr">
        <is>
          <t>Q4FY26</t>
        </is>
      </c>
      <c r="F732" t="inlineStr">
        <is>
          <t>26-Feb-2026</t>
        </is>
      </c>
      <c r="G732" t="inlineStr">
        <is>
          <t>Thursday</t>
        </is>
      </c>
      <c r="H732" t="inlineStr">
        <is>
          <t>Monthly - Thursday</t>
        </is>
      </c>
      <c r="I732" t="inlineStr">
        <is>
          <t>Monthly - Thursday</t>
        </is>
      </c>
      <c r="J732" t="inlineStr">
        <is>
          <t>Same Month Expiry</t>
        </is>
      </c>
      <c r="K732" s="25" t="n">
        <v>65256</v>
      </c>
      <c r="L732" s="26" t="n">
        <v>110.0176</v>
      </c>
      <c r="M732" s="26" t="n">
        <v>0.545</v>
      </c>
    </row>
    <row r="733" ht="16" customHeight="1">
      <c r="A733" t="inlineStr">
        <is>
          <t>12-Feb-2026</t>
        </is>
      </c>
      <c r="B733" t="inlineStr">
        <is>
          <t>Thursday</t>
        </is>
      </c>
      <c r="C733" t="inlineStr">
        <is>
          <t>Week2-Feb-2026</t>
        </is>
      </c>
      <c r="D733" s="78" t="n">
        <v>46054</v>
      </c>
      <c r="E733" t="inlineStr">
        <is>
          <t>Q4FY26</t>
        </is>
      </c>
      <c r="F733" t="inlineStr">
        <is>
          <t>05-Mar-2026</t>
        </is>
      </c>
      <c r="G733" t="inlineStr">
        <is>
          <t>Thursday</t>
        </is>
      </c>
      <c r="H733" t="inlineStr">
        <is>
          <t>Weekly - Thursday</t>
        </is>
      </c>
      <c r="I733" t="inlineStr">
        <is>
          <t>Weekly - Thursday</t>
        </is>
      </c>
      <c r="J733" t="inlineStr">
        <is>
          <t>Month+1 Expiry</t>
        </is>
      </c>
      <c r="K733" s="25" t="n">
        <v>628</v>
      </c>
      <c r="L733" s="26" t="n">
        <v>1.0671</v>
      </c>
      <c r="M733" s="26" t="n">
        <v>0.0083</v>
      </c>
    </row>
    <row r="734" ht="16" customHeight="1">
      <c r="A734" t="inlineStr">
        <is>
          <t>12-Feb-2026</t>
        </is>
      </c>
      <c r="B734" t="inlineStr">
        <is>
          <t>Thursday</t>
        </is>
      </c>
      <c r="C734" t="inlineStr">
        <is>
          <t>Week2-Feb-2026</t>
        </is>
      </c>
      <c r="D734" s="78" t="n">
        <v>46054</v>
      </c>
      <c r="E734" t="inlineStr">
        <is>
          <t>Q4FY26</t>
        </is>
      </c>
      <c r="F734" t="inlineStr">
        <is>
          <t>19-Mar-2026</t>
        </is>
      </c>
      <c r="G734" t="inlineStr">
        <is>
          <t>Thursday</t>
        </is>
      </c>
      <c r="H734" t="inlineStr">
        <is>
          <t>Weekly - Thursday</t>
        </is>
      </c>
      <c r="I734" t="inlineStr">
        <is>
          <t>Weekly - Thursday</t>
        </is>
      </c>
      <c r="J734" t="inlineStr">
        <is>
          <t>Month+1 Expiry</t>
        </is>
      </c>
      <c r="K734" s="25" t="n">
        <v>0</v>
      </c>
      <c r="L734" s="26" t="n">
        <v>0</v>
      </c>
      <c r="M734" s="26" t="n">
        <v>0</v>
      </c>
    </row>
    <row r="735" ht="16" customHeight="1">
      <c r="A735" t="inlineStr">
        <is>
          <t>12-Feb-2026</t>
        </is>
      </c>
      <c r="B735" t="inlineStr">
        <is>
          <t>Thursday</t>
        </is>
      </c>
      <c r="C735" t="inlineStr">
        <is>
          <t>Week2-Feb-2026</t>
        </is>
      </c>
      <c r="D735" s="78" t="n">
        <v>46054</v>
      </c>
      <c r="E735" t="inlineStr">
        <is>
          <t>Q4FY26</t>
        </is>
      </c>
      <c r="F735" t="inlineStr">
        <is>
          <t>25-Mar-2026</t>
        </is>
      </c>
      <c r="G735" t="inlineStr">
        <is>
          <t>Wednesday</t>
        </is>
      </c>
      <c r="H735" t="inlineStr">
        <is>
          <t>Monthly - Wednesday</t>
        </is>
      </c>
      <c r="I735" t="inlineStr">
        <is>
          <t>Monthly - Wednesday</t>
        </is>
      </c>
      <c r="J735" t="inlineStr">
        <is>
          <t>Month+1 Expiry</t>
        </is>
      </c>
      <c r="K735" s="25" t="n">
        <v>1003</v>
      </c>
      <c r="L735" s="26" t="n">
        <v>1.6993</v>
      </c>
      <c r="M735" s="26" t="n">
        <v>0.0097</v>
      </c>
    </row>
    <row r="736" ht="16" customHeight="1">
      <c r="A736" t="inlineStr">
        <is>
          <t>12-Feb-2026</t>
        </is>
      </c>
      <c r="B736" t="inlineStr">
        <is>
          <t>Thursday</t>
        </is>
      </c>
      <c r="C736" t="inlineStr">
        <is>
          <t>Week2-Feb-2026</t>
        </is>
      </c>
      <c r="D736" s="78" t="n">
        <v>46054</v>
      </c>
      <c r="E736" t="inlineStr">
        <is>
          <t>Q4FY26</t>
        </is>
      </c>
      <c r="F736" t="inlineStr">
        <is>
          <t>25-Jun-2026</t>
        </is>
      </c>
      <c r="G736" t="inlineStr">
        <is>
          <t>Thursday</t>
        </is>
      </c>
      <c r="H736" t="inlineStr">
        <is>
          <t>Monthly - Thursday</t>
        </is>
      </c>
      <c r="I736" t="inlineStr">
        <is>
          <t>Monthly - Thursday</t>
        </is>
      </c>
      <c r="J736" t="inlineStr">
        <is>
          <t>Month+4 Expiry</t>
        </is>
      </c>
      <c r="K736" s="25" t="n">
        <v>0</v>
      </c>
      <c r="L736" s="26" t="n">
        <v>0</v>
      </c>
      <c r="M736" s="26" t="n">
        <v>0</v>
      </c>
    </row>
    <row r="737" ht="16" customHeight="1">
      <c r="A737" t="inlineStr">
        <is>
          <t>13-Feb-2026</t>
        </is>
      </c>
      <c r="B737" t="inlineStr">
        <is>
          <t>Friday</t>
        </is>
      </c>
      <c r="C737" t="inlineStr">
        <is>
          <t>Week2-Feb-2026</t>
        </is>
      </c>
      <c r="D737" s="78" t="n">
        <v>46054</v>
      </c>
      <c r="E737" t="inlineStr">
        <is>
          <t>Q4FY26</t>
        </is>
      </c>
      <c r="F737" t="inlineStr">
        <is>
          <t>19-Feb-2026</t>
        </is>
      </c>
      <c r="G737" t="inlineStr">
        <is>
          <t>Thursday</t>
        </is>
      </c>
      <c r="H737" t="inlineStr">
        <is>
          <t>Weekly - Thursday</t>
        </is>
      </c>
      <c r="I737" t="inlineStr">
        <is>
          <t>Weekly - Thursday</t>
        </is>
      </c>
      <c r="J737" t="inlineStr">
        <is>
          <t>Same Month Expiry</t>
        </is>
      </c>
      <c r="K737" s="25" t="n">
        <v>19115544</v>
      </c>
      <c r="L737" s="26" t="n">
        <v>31818.8599</v>
      </c>
      <c r="M737" s="26" t="n">
        <v>102.7489</v>
      </c>
    </row>
    <row r="738" ht="16" customHeight="1">
      <c r="A738" t="inlineStr">
        <is>
          <t>13-Feb-2026</t>
        </is>
      </c>
      <c r="B738" t="inlineStr">
        <is>
          <t>Friday</t>
        </is>
      </c>
      <c r="C738" t="inlineStr">
        <is>
          <t>Week2-Feb-2026</t>
        </is>
      </c>
      <c r="D738" s="78" t="n">
        <v>46054</v>
      </c>
      <c r="E738" t="inlineStr">
        <is>
          <t>Q4FY26</t>
        </is>
      </c>
      <c r="F738" t="inlineStr">
        <is>
          <t>26-Feb-2026</t>
        </is>
      </c>
      <c r="G738" t="inlineStr">
        <is>
          <t>Thursday</t>
        </is>
      </c>
      <c r="H738" t="inlineStr">
        <is>
          <t>Monthly - Thursday</t>
        </is>
      </c>
      <c r="I738" t="inlineStr">
        <is>
          <t>Monthly - Thursday</t>
        </is>
      </c>
      <c r="J738" t="inlineStr">
        <is>
          <t>Same Month Expiry</t>
        </is>
      </c>
      <c r="K738" s="25" t="n">
        <v>174820</v>
      </c>
      <c r="L738" s="26" t="n">
        <v>292.2405</v>
      </c>
      <c r="M738" s="26" t="n">
        <v>1.4182</v>
      </c>
    </row>
    <row r="739" ht="16" customHeight="1">
      <c r="A739" t="inlineStr">
        <is>
          <t>13-Feb-2026</t>
        </is>
      </c>
      <c r="B739" t="inlineStr">
        <is>
          <t>Friday</t>
        </is>
      </c>
      <c r="C739" t="inlineStr">
        <is>
          <t>Week2-Feb-2026</t>
        </is>
      </c>
      <c r="D739" s="78" t="n">
        <v>46054</v>
      </c>
      <c r="E739" t="inlineStr">
        <is>
          <t>Q4FY26</t>
        </is>
      </c>
      <c r="F739" t="inlineStr">
        <is>
          <t>05-Mar-2026</t>
        </is>
      </c>
      <c r="G739" t="inlineStr">
        <is>
          <t>Thursday</t>
        </is>
      </c>
      <c r="H739" t="inlineStr">
        <is>
          <t>Weekly - Thursday</t>
        </is>
      </c>
      <c r="I739" t="inlineStr">
        <is>
          <t>Weekly - Thursday</t>
        </is>
      </c>
      <c r="J739" t="inlineStr">
        <is>
          <t>Month+1 Expiry</t>
        </is>
      </c>
      <c r="K739" s="25" t="n">
        <v>934</v>
      </c>
      <c r="L739" s="26" t="n">
        <v>1.5699</v>
      </c>
      <c r="M739" s="26" t="n">
        <v>0.01</v>
      </c>
    </row>
    <row r="740" ht="16" customHeight="1">
      <c r="A740" t="inlineStr">
        <is>
          <t>13-Feb-2026</t>
        </is>
      </c>
      <c r="B740" t="inlineStr">
        <is>
          <t>Friday</t>
        </is>
      </c>
      <c r="C740" t="inlineStr">
        <is>
          <t>Week2-Feb-2026</t>
        </is>
      </c>
      <c r="D740" s="78" t="n">
        <v>46054</v>
      </c>
      <c r="E740" t="inlineStr">
        <is>
          <t>Q4FY26</t>
        </is>
      </c>
      <c r="F740" t="inlineStr">
        <is>
          <t>12-Mar-2026</t>
        </is>
      </c>
      <c r="G740" t="inlineStr">
        <is>
          <t>Thursday</t>
        </is>
      </c>
      <c r="H740" t="inlineStr">
        <is>
          <t>Weekly - Thursday</t>
        </is>
      </c>
      <c r="I740" t="inlineStr">
        <is>
          <t>Weekly - Thursday</t>
        </is>
      </c>
      <c r="J740" t="inlineStr">
        <is>
          <t>Month+1 Expiry</t>
        </is>
      </c>
      <c r="K740" s="25" t="n">
        <v>4</v>
      </c>
      <c r="L740" s="26" t="n">
        <v>0.0073</v>
      </c>
      <c r="M740" s="26" t="n">
        <v>0</v>
      </c>
    </row>
    <row r="741" ht="16" customHeight="1">
      <c r="A741" t="inlineStr">
        <is>
          <t>13-Feb-2026</t>
        </is>
      </c>
      <c r="B741" t="inlineStr">
        <is>
          <t>Friday</t>
        </is>
      </c>
      <c r="C741" t="inlineStr">
        <is>
          <t>Week2-Feb-2026</t>
        </is>
      </c>
      <c r="D741" s="78" t="n">
        <v>46054</v>
      </c>
      <c r="E741" t="inlineStr">
        <is>
          <t>Q4FY26</t>
        </is>
      </c>
      <c r="F741" t="inlineStr">
        <is>
          <t>19-Mar-2026</t>
        </is>
      </c>
      <c r="G741" t="inlineStr">
        <is>
          <t>Thursday</t>
        </is>
      </c>
      <c r="H741" t="inlineStr">
        <is>
          <t>Weekly - Thursday</t>
        </is>
      </c>
      <c r="I741" t="inlineStr">
        <is>
          <t>Weekly - Thursday</t>
        </is>
      </c>
      <c r="J741" t="inlineStr">
        <is>
          <t>Month+1 Expiry</t>
        </is>
      </c>
      <c r="K741" s="25" t="n">
        <v>0</v>
      </c>
      <c r="L741" s="26" t="n">
        <v>0</v>
      </c>
      <c r="M741" s="26" t="n">
        <v>0</v>
      </c>
    </row>
    <row r="742" ht="16" customHeight="1">
      <c r="A742" t="inlineStr">
        <is>
          <t>13-Feb-2026</t>
        </is>
      </c>
      <c r="B742" t="inlineStr">
        <is>
          <t>Friday</t>
        </is>
      </c>
      <c r="C742" t="inlineStr">
        <is>
          <t>Week2-Feb-2026</t>
        </is>
      </c>
      <c r="D742" s="78" t="n">
        <v>46054</v>
      </c>
      <c r="E742" t="inlineStr">
        <is>
          <t>Q4FY26</t>
        </is>
      </c>
      <c r="F742" t="inlineStr">
        <is>
          <t>25-Mar-2026</t>
        </is>
      </c>
      <c r="G742" t="inlineStr">
        <is>
          <t>Wednesday</t>
        </is>
      </c>
      <c r="H742" t="inlineStr">
        <is>
          <t>Monthly - Wednesday</t>
        </is>
      </c>
      <c r="I742" t="inlineStr">
        <is>
          <t>Monthly - Wednesday</t>
        </is>
      </c>
      <c r="J742" t="inlineStr">
        <is>
          <t>Month+1 Expiry</t>
        </is>
      </c>
      <c r="K742" s="25" t="n">
        <v>2362</v>
      </c>
      <c r="L742" s="26" t="n">
        <v>4.0045</v>
      </c>
      <c r="M742" s="26" t="n">
        <v>0.0294</v>
      </c>
    </row>
    <row r="743" ht="16" customHeight="1">
      <c r="A743" t="inlineStr">
        <is>
          <t>13-Feb-2026</t>
        </is>
      </c>
      <c r="B743" t="inlineStr">
        <is>
          <t>Friday</t>
        </is>
      </c>
      <c r="C743" t="inlineStr">
        <is>
          <t>Week2-Feb-2026</t>
        </is>
      </c>
      <c r="D743" s="78" t="n">
        <v>46054</v>
      </c>
      <c r="E743" t="inlineStr">
        <is>
          <t>Q4FY26</t>
        </is>
      </c>
      <c r="F743" t="inlineStr">
        <is>
          <t>25-Jun-2026</t>
        </is>
      </c>
      <c r="G743" t="inlineStr">
        <is>
          <t>Thursday</t>
        </is>
      </c>
      <c r="H743" t="inlineStr">
        <is>
          <t>Monthly - Thursday</t>
        </is>
      </c>
      <c r="I743" t="inlineStr">
        <is>
          <t>Monthly - Thursday</t>
        </is>
      </c>
      <c r="J743" t="inlineStr">
        <is>
          <t>Month+4 Expiry</t>
        </is>
      </c>
      <c r="K743" s="25" t="n">
        <v>0</v>
      </c>
      <c r="L743" s="26" t="n">
        <v>0</v>
      </c>
      <c r="M743" s="26" t="n">
        <v>0</v>
      </c>
    </row>
    <row r="744" ht="16" customHeight="1">
      <c r="A744" t="inlineStr">
        <is>
          <t>16-Feb-2026</t>
        </is>
      </c>
      <c r="B744" t="inlineStr">
        <is>
          <t>Monday</t>
        </is>
      </c>
      <c r="C744" t="inlineStr">
        <is>
          <t>Week3-Feb-2026</t>
        </is>
      </c>
      <c r="D744" s="78" t="n">
        <v>46054</v>
      </c>
      <c r="E744" t="inlineStr">
        <is>
          <t>Q4FY26</t>
        </is>
      </c>
      <c r="F744" t="inlineStr">
        <is>
          <t>19-Feb-2026</t>
        </is>
      </c>
      <c r="G744" t="inlineStr">
        <is>
          <t>Thursday</t>
        </is>
      </c>
      <c r="H744" t="inlineStr">
        <is>
          <t>Weekly - Thursday</t>
        </is>
      </c>
      <c r="I744" t="inlineStr">
        <is>
          <t>Weekly - Thursday</t>
        </is>
      </c>
      <c r="J744" t="inlineStr">
        <is>
          <t>Same Month Expiry</t>
        </is>
      </c>
      <c r="K744" s="25" t="n">
        <v>22447715</v>
      </c>
      <c r="L744" s="26" t="n">
        <v>37337.0681</v>
      </c>
      <c r="M744" s="26" t="n">
        <v>112.318</v>
      </c>
    </row>
    <row r="745" ht="16" customHeight="1">
      <c r="A745" t="inlineStr">
        <is>
          <t>16-Feb-2026</t>
        </is>
      </c>
      <c r="B745" t="inlineStr">
        <is>
          <t>Monday</t>
        </is>
      </c>
      <c r="C745" t="inlineStr">
        <is>
          <t>Week3-Feb-2026</t>
        </is>
      </c>
      <c r="D745" s="78" t="n">
        <v>46054</v>
      </c>
      <c r="E745" t="inlineStr">
        <is>
          <t>Q4FY26</t>
        </is>
      </c>
      <c r="F745" t="inlineStr">
        <is>
          <t>26-Feb-2026</t>
        </is>
      </c>
      <c r="G745" t="inlineStr">
        <is>
          <t>Thursday</t>
        </is>
      </c>
      <c r="H745" t="inlineStr">
        <is>
          <t>Monthly - Thursday</t>
        </is>
      </c>
      <c r="I745" t="inlineStr">
        <is>
          <t>Monthly - Thursday</t>
        </is>
      </c>
      <c r="J745" t="inlineStr">
        <is>
          <t>Same Month Expiry</t>
        </is>
      </c>
      <c r="K745" s="25" t="n">
        <v>193700</v>
      </c>
      <c r="L745" s="26" t="n">
        <v>322.7866</v>
      </c>
      <c r="M745" s="26" t="n">
        <v>1.4767</v>
      </c>
    </row>
    <row r="746" ht="16" customHeight="1">
      <c r="A746" t="inlineStr">
        <is>
          <t>16-Feb-2026</t>
        </is>
      </c>
      <c r="B746" t="inlineStr">
        <is>
          <t>Monday</t>
        </is>
      </c>
      <c r="C746" t="inlineStr">
        <is>
          <t>Week3-Feb-2026</t>
        </is>
      </c>
      <c r="D746" s="78" t="n">
        <v>46054</v>
      </c>
      <c r="E746" t="inlineStr">
        <is>
          <t>Q4FY26</t>
        </is>
      </c>
      <c r="F746" t="inlineStr">
        <is>
          <t>05-Mar-2026</t>
        </is>
      </c>
      <c r="G746" t="inlineStr">
        <is>
          <t>Thursday</t>
        </is>
      </c>
      <c r="H746" t="inlineStr">
        <is>
          <t>Weekly - Thursday</t>
        </is>
      </c>
      <c r="I746" t="inlineStr">
        <is>
          <t>Weekly - Thursday</t>
        </is>
      </c>
      <c r="J746" t="inlineStr">
        <is>
          <t>Month+1 Expiry</t>
        </is>
      </c>
      <c r="K746" s="25" t="n">
        <v>3561</v>
      </c>
      <c r="L746" s="26" t="n">
        <v>5.9867</v>
      </c>
      <c r="M746" s="26" t="n">
        <v>0.0347</v>
      </c>
    </row>
    <row r="747" ht="16" customHeight="1">
      <c r="A747" t="inlineStr">
        <is>
          <t>16-Feb-2026</t>
        </is>
      </c>
      <c r="B747" t="inlineStr">
        <is>
          <t>Monday</t>
        </is>
      </c>
      <c r="C747" t="inlineStr">
        <is>
          <t>Week3-Feb-2026</t>
        </is>
      </c>
      <c r="D747" s="78" t="n">
        <v>46054</v>
      </c>
      <c r="E747" t="inlineStr">
        <is>
          <t>Q4FY26</t>
        </is>
      </c>
      <c r="F747" t="inlineStr">
        <is>
          <t>12-Mar-2026</t>
        </is>
      </c>
      <c r="G747" t="inlineStr">
        <is>
          <t>Thursday</t>
        </is>
      </c>
      <c r="H747" t="inlineStr">
        <is>
          <t>Weekly - Thursday</t>
        </is>
      </c>
      <c r="I747" t="inlineStr">
        <is>
          <t>Weekly - Thursday</t>
        </is>
      </c>
      <c r="J747" t="inlineStr">
        <is>
          <t>Month+1 Expiry</t>
        </is>
      </c>
      <c r="K747" s="25" t="n">
        <v>3</v>
      </c>
      <c r="L747" s="26" t="n">
        <v>0.0051</v>
      </c>
      <c r="M747" s="26" t="n">
        <v>0.0001</v>
      </c>
    </row>
    <row r="748" ht="16" customHeight="1">
      <c r="A748" t="inlineStr">
        <is>
          <t>16-Feb-2026</t>
        </is>
      </c>
      <c r="B748" t="inlineStr">
        <is>
          <t>Monday</t>
        </is>
      </c>
      <c r="C748" t="inlineStr">
        <is>
          <t>Week3-Feb-2026</t>
        </is>
      </c>
      <c r="D748" s="78" t="n">
        <v>46054</v>
      </c>
      <c r="E748" t="inlineStr">
        <is>
          <t>Q4FY26</t>
        </is>
      </c>
      <c r="F748" t="inlineStr">
        <is>
          <t>19-Mar-2026</t>
        </is>
      </c>
      <c r="G748" t="inlineStr">
        <is>
          <t>Thursday</t>
        </is>
      </c>
      <c r="H748" t="inlineStr">
        <is>
          <t>Weekly - Thursday</t>
        </is>
      </c>
      <c r="I748" t="inlineStr">
        <is>
          <t>Weekly - Thursday</t>
        </is>
      </c>
      <c r="J748" t="inlineStr">
        <is>
          <t>Month+1 Expiry</t>
        </is>
      </c>
      <c r="K748" s="25" t="n">
        <v>0</v>
      </c>
      <c r="L748" s="26" t="n">
        <v>0</v>
      </c>
      <c r="M748" s="26" t="n">
        <v>0</v>
      </c>
    </row>
    <row r="749" ht="16" customHeight="1">
      <c r="A749" t="inlineStr">
        <is>
          <t>16-Feb-2026</t>
        </is>
      </c>
      <c r="B749" t="inlineStr">
        <is>
          <t>Monday</t>
        </is>
      </c>
      <c r="C749" t="inlineStr">
        <is>
          <t>Week3-Feb-2026</t>
        </is>
      </c>
      <c r="D749" s="78" t="n">
        <v>46054</v>
      </c>
      <c r="E749" t="inlineStr">
        <is>
          <t>Q4FY26</t>
        </is>
      </c>
      <c r="F749" t="inlineStr">
        <is>
          <t>25-Mar-2026</t>
        </is>
      </c>
      <c r="G749" t="inlineStr">
        <is>
          <t>Wednesday</t>
        </is>
      </c>
      <c r="H749" t="inlineStr">
        <is>
          <t>Monthly - Wednesday</t>
        </is>
      </c>
      <c r="I749" t="inlineStr">
        <is>
          <t>Monthly - Wednesday</t>
        </is>
      </c>
      <c r="J749" t="inlineStr">
        <is>
          <t>Month+1 Expiry</t>
        </is>
      </c>
      <c r="K749" s="25" t="n">
        <v>2763</v>
      </c>
      <c r="L749" s="26" t="n">
        <v>4.6846</v>
      </c>
      <c r="M749" s="26" t="n">
        <v>0.0297</v>
      </c>
    </row>
    <row r="750" ht="16" customHeight="1">
      <c r="A750" t="inlineStr">
        <is>
          <t>16-Feb-2026</t>
        </is>
      </c>
      <c r="B750" t="inlineStr">
        <is>
          <t>Monday</t>
        </is>
      </c>
      <c r="C750" t="inlineStr">
        <is>
          <t>Week3-Feb-2026</t>
        </is>
      </c>
      <c r="D750" s="78" t="n">
        <v>46054</v>
      </c>
      <c r="E750" t="inlineStr">
        <is>
          <t>Q4FY26</t>
        </is>
      </c>
      <c r="F750" t="inlineStr">
        <is>
          <t>30-Apr-2026</t>
        </is>
      </c>
      <c r="G750" t="inlineStr">
        <is>
          <t>Thursday</t>
        </is>
      </c>
      <c r="H750" t="inlineStr">
        <is>
          <t>Monthly - Thursday</t>
        </is>
      </c>
      <c r="I750" t="inlineStr">
        <is>
          <t>Monthly - Thursday</t>
        </is>
      </c>
      <c r="J750" t="inlineStr">
        <is>
          <t>Month+2 Expiry</t>
        </is>
      </c>
      <c r="K750" s="25" t="n">
        <v>0</v>
      </c>
      <c r="L750" s="26" t="n">
        <v>0</v>
      </c>
      <c r="M750" s="26" t="n">
        <v>0</v>
      </c>
    </row>
    <row r="751" ht="16" customHeight="1">
      <c r="A751" t="inlineStr">
        <is>
          <t>16-Feb-2026</t>
        </is>
      </c>
      <c r="B751" t="inlineStr">
        <is>
          <t>Monday</t>
        </is>
      </c>
      <c r="C751" t="inlineStr">
        <is>
          <t>Week3-Feb-2026</t>
        </is>
      </c>
      <c r="D751" s="78" t="n">
        <v>46054</v>
      </c>
      <c r="E751" t="inlineStr">
        <is>
          <t>Q4FY26</t>
        </is>
      </c>
      <c r="F751" t="inlineStr">
        <is>
          <t>25-Jun-2026</t>
        </is>
      </c>
      <c r="G751" t="inlineStr">
        <is>
          <t>Thursday</t>
        </is>
      </c>
      <c r="H751" t="inlineStr">
        <is>
          <t>Monthly - Thursday</t>
        </is>
      </c>
      <c r="I751" t="inlineStr">
        <is>
          <t>Monthly - Thursday</t>
        </is>
      </c>
      <c r="J751" t="inlineStr">
        <is>
          <t>Month+4 Expiry</t>
        </is>
      </c>
      <c r="K751" s="25" t="n">
        <v>0</v>
      </c>
      <c r="L751" s="26" t="n">
        <v>0</v>
      </c>
      <c r="M751" s="26" t="n">
        <v>0</v>
      </c>
    </row>
    <row r="752" ht="16" customHeight="1">
      <c r="A752" t="inlineStr">
        <is>
          <t>17-Feb-2026</t>
        </is>
      </c>
      <c r="B752" t="inlineStr">
        <is>
          <t>Tuesday</t>
        </is>
      </c>
      <c r="C752" t="inlineStr">
        <is>
          <t>Week3-Feb-2026</t>
        </is>
      </c>
      <c r="D752" s="78" t="n">
        <v>46054</v>
      </c>
      <c r="E752" t="inlineStr">
        <is>
          <t>Q4FY26</t>
        </is>
      </c>
      <c r="F752" t="inlineStr">
        <is>
          <t>19-Feb-2026</t>
        </is>
      </c>
      <c r="G752" t="inlineStr">
        <is>
          <t>Thursday</t>
        </is>
      </c>
      <c r="H752" t="inlineStr">
        <is>
          <t>Weekly - Thursday</t>
        </is>
      </c>
      <c r="I752" t="inlineStr">
        <is>
          <t>Weekly - Thursday</t>
        </is>
      </c>
      <c r="J752" t="inlineStr">
        <is>
          <t>Same Month Expiry</t>
        </is>
      </c>
      <c r="K752" s="25" t="n">
        <v>28298629</v>
      </c>
      <c r="L752" s="26" t="n">
        <v>47229.2116</v>
      </c>
      <c r="M752" s="26" t="n">
        <v>109.8782</v>
      </c>
    </row>
    <row r="753" ht="16" customHeight="1">
      <c r="A753" t="inlineStr">
        <is>
          <t>17-Feb-2026</t>
        </is>
      </c>
      <c r="B753" t="inlineStr">
        <is>
          <t>Tuesday</t>
        </is>
      </c>
      <c r="C753" t="inlineStr">
        <is>
          <t>Week3-Feb-2026</t>
        </is>
      </c>
      <c r="D753" s="78" t="n">
        <v>46054</v>
      </c>
      <c r="E753" t="inlineStr">
        <is>
          <t>Q4FY26</t>
        </is>
      </c>
      <c r="F753" t="inlineStr">
        <is>
          <t>26-Feb-2026</t>
        </is>
      </c>
      <c r="G753" t="inlineStr">
        <is>
          <t>Thursday</t>
        </is>
      </c>
      <c r="H753" t="inlineStr">
        <is>
          <t>Monthly - Thursday</t>
        </is>
      </c>
      <c r="I753" t="inlineStr">
        <is>
          <t>Monthly - Thursday</t>
        </is>
      </c>
      <c r="J753" t="inlineStr">
        <is>
          <t>Same Month Expiry</t>
        </is>
      </c>
      <c r="K753" s="25" t="n">
        <v>319249</v>
      </c>
      <c r="L753" s="26" t="n">
        <v>533.9883</v>
      </c>
      <c r="M753" s="26" t="n">
        <v>2.1957</v>
      </c>
    </row>
    <row r="754" ht="16" customHeight="1">
      <c r="A754" t="inlineStr">
        <is>
          <t>17-Feb-2026</t>
        </is>
      </c>
      <c r="B754" t="inlineStr">
        <is>
          <t>Tuesday</t>
        </is>
      </c>
      <c r="C754" t="inlineStr">
        <is>
          <t>Week3-Feb-2026</t>
        </is>
      </c>
      <c r="D754" s="78" t="n">
        <v>46054</v>
      </c>
      <c r="E754" t="inlineStr">
        <is>
          <t>Q4FY26</t>
        </is>
      </c>
      <c r="F754" t="inlineStr">
        <is>
          <t>05-Mar-2026</t>
        </is>
      </c>
      <c r="G754" t="inlineStr">
        <is>
          <t>Thursday</t>
        </is>
      </c>
      <c r="H754" t="inlineStr">
        <is>
          <t>Weekly - Thursday</t>
        </is>
      </c>
      <c r="I754" t="inlineStr">
        <is>
          <t>Weekly - Thursday</t>
        </is>
      </c>
      <c r="J754" t="inlineStr">
        <is>
          <t>Month+1 Expiry</t>
        </is>
      </c>
      <c r="K754" s="25" t="n">
        <v>4301</v>
      </c>
      <c r="L754" s="26" t="n">
        <v>7.1703</v>
      </c>
      <c r="M754" s="26" t="n">
        <v>0.0399</v>
      </c>
    </row>
    <row r="755" ht="16" customHeight="1">
      <c r="A755" t="inlineStr">
        <is>
          <t>17-Feb-2026</t>
        </is>
      </c>
      <c r="B755" t="inlineStr">
        <is>
          <t>Tuesday</t>
        </is>
      </c>
      <c r="C755" t="inlineStr">
        <is>
          <t>Week3-Feb-2026</t>
        </is>
      </c>
      <c r="D755" s="78" t="n">
        <v>46054</v>
      </c>
      <c r="E755" t="inlineStr">
        <is>
          <t>Q4FY26</t>
        </is>
      </c>
      <c r="F755" t="inlineStr">
        <is>
          <t>12-Mar-2026</t>
        </is>
      </c>
      <c r="G755" t="inlineStr">
        <is>
          <t>Thursday</t>
        </is>
      </c>
      <c r="H755" t="inlineStr">
        <is>
          <t>Weekly - Thursday</t>
        </is>
      </c>
      <c r="I755" t="inlineStr">
        <is>
          <t>Weekly - Thursday</t>
        </is>
      </c>
      <c r="J755" t="inlineStr">
        <is>
          <t>Month+1 Expiry</t>
        </is>
      </c>
      <c r="K755" s="25" t="n">
        <v>2</v>
      </c>
      <c r="L755" s="26" t="n">
        <v>0.0036</v>
      </c>
      <c r="M755" s="26" t="n">
        <v>0</v>
      </c>
    </row>
    <row r="756" ht="16" customHeight="1">
      <c r="A756" t="inlineStr">
        <is>
          <t>17-Feb-2026</t>
        </is>
      </c>
      <c r="B756" t="inlineStr">
        <is>
          <t>Tuesday</t>
        </is>
      </c>
      <c r="C756" t="inlineStr">
        <is>
          <t>Week3-Feb-2026</t>
        </is>
      </c>
      <c r="D756" s="78" t="n">
        <v>46054</v>
      </c>
      <c r="E756" t="inlineStr">
        <is>
          <t>Q4FY26</t>
        </is>
      </c>
      <c r="F756" t="inlineStr">
        <is>
          <t>19-Mar-2026</t>
        </is>
      </c>
      <c r="G756" t="inlineStr">
        <is>
          <t>Thursday</t>
        </is>
      </c>
      <c r="H756" t="inlineStr">
        <is>
          <t>Weekly - Thursday</t>
        </is>
      </c>
      <c r="I756" t="inlineStr">
        <is>
          <t>Weekly - Thursday</t>
        </is>
      </c>
      <c r="J756" t="inlineStr">
        <is>
          <t>Month+1 Expiry</t>
        </is>
      </c>
      <c r="K756" s="25" t="n">
        <v>5</v>
      </c>
      <c r="L756" s="26" t="n">
        <v>0.008399999999999999</v>
      </c>
      <c r="M756" s="26" t="n">
        <v>0.0002</v>
      </c>
    </row>
    <row r="757" ht="16" customHeight="1">
      <c r="A757" t="inlineStr">
        <is>
          <t>17-Feb-2026</t>
        </is>
      </c>
      <c r="B757" t="inlineStr">
        <is>
          <t>Tuesday</t>
        </is>
      </c>
      <c r="C757" t="inlineStr">
        <is>
          <t>Week3-Feb-2026</t>
        </is>
      </c>
      <c r="D757" s="78" t="n">
        <v>46054</v>
      </c>
      <c r="E757" t="inlineStr">
        <is>
          <t>Q4FY26</t>
        </is>
      </c>
      <c r="F757" t="inlineStr">
        <is>
          <t>25-Mar-2026</t>
        </is>
      </c>
      <c r="G757" t="inlineStr">
        <is>
          <t>Wednesday</t>
        </is>
      </c>
      <c r="H757" t="inlineStr">
        <is>
          <t>Monthly - Wednesday</t>
        </is>
      </c>
      <c r="I757" t="inlineStr">
        <is>
          <t>Monthly - Wednesday</t>
        </is>
      </c>
      <c r="J757" t="inlineStr">
        <is>
          <t>Month+1 Expiry</t>
        </is>
      </c>
      <c r="K757" s="25" t="n">
        <v>1340</v>
      </c>
      <c r="L757" s="26" t="n">
        <v>2.2482</v>
      </c>
      <c r="M757" s="26" t="n">
        <v>0.0178</v>
      </c>
    </row>
    <row r="758" ht="16" customHeight="1">
      <c r="A758" t="inlineStr">
        <is>
          <t>17-Feb-2026</t>
        </is>
      </c>
      <c r="B758" t="inlineStr">
        <is>
          <t>Tuesday</t>
        </is>
      </c>
      <c r="C758" t="inlineStr">
        <is>
          <t>Week3-Feb-2026</t>
        </is>
      </c>
      <c r="D758" s="78" t="n">
        <v>46054</v>
      </c>
      <c r="E758" t="inlineStr">
        <is>
          <t>Q4FY26</t>
        </is>
      </c>
      <c r="F758" t="inlineStr">
        <is>
          <t>30-Apr-2026</t>
        </is>
      </c>
      <c r="G758" t="inlineStr">
        <is>
          <t>Thursday</t>
        </is>
      </c>
      <c r="H758" t="inlineStr">
        <is>
          <t>Monthly - Thursday</t>
        </is>
      </c>
      <c r="I758" t="inlineStr">
        <is>
          <t>Monthly - Thursday</t>
        </is>
      </c>
      <c r="J758" t="inlineStr">
        <is>
          <t>Month+2 Expiry</t>
        </is>
      </c>
      <c r="K758" s="25" t="n">
        <v>0</v>
      </c>
      <c r="L758" s="26" t="n">
        <v>0</v>
      </c>
      <c r="M758" s="26" t="n">
        <v>0</v>
      </c>
    </row>
    <row r="759" ht="16" customHeight="1">
      <c r="A759" t="inlineStr">
        <is>
          <t>17-Feb-2026</t>
        </is>
      </c>
      <c r="B759" t="inlineStr">
        <is>
          <t>Tuesday</t>
        </is>
      </c>
      <c r="C759" t="inlineStr">
        <is>
          <t>Week3-Feb-2026</t>
        </is>
      </c>
      <c r="D759" s="78" t="n">
        <v>46054</v>
      </c>
      <c r="E759" t="inlineStr">
        <is>
          <t>Q4FY26</t>
        </is>
      </c>
      <c r="F759" t="inlineStr">
        <is>
          <t>25-Jun-2026</t>
        </is>
      </c>
      <c r="G759" t="inlineStr">
        <is>
          <t>Thursday</t>
        </is>
      </c>
      <c r="H759" t="inlineStr">
        <is>
          <t>Monthly - Thursday</t>
        </is>
      </c>
      <c r="I759" t="inlineStr">
        <is>
          <t>Monthly - Thursday</t>
        </is>
      </c>
      <c r="J759" t="inlineStr">
        <is>
          <t>Month+4 Expiry</t>
        </is>
      </c>
      <c r="K759" s="25" t="n">
        <v>0</v>
      </c>
      <c r="L759" s="26" t="n">
        <v>0</v>
      </c>
      <c r="M759" s="26" t="n">
        <v>0</v>
      </c>
    </row>
    <row r="760" ht="16" customHeight="1">
      <c r="A760" t="inlineStr">
        <is>
          <t>18-Feb-2026</t>
        </is>
      </c>
      <c r="B760" t="inlineStr">
        <is>
          <t>Wednesday</t>
        </is>
      </c>
      <c r="C760" t="inlineStr">
        <is>
          <t>Week3-Feb-2026</t>
        </is>
      </c>
      <c r="D760" s="78" t="n">
        <v>46054</v>
      </c>
      <c r="E760" t="inlineStr">
        <is>
          <t>Q4FY26</t>
        </is>
      </c>
      <c r="F760" t="inlineStr">
        <is>
          <t>19-Feb-2026</t>
        </is>
      </c>
      <c r="G760" t="inlineStr">
        <is>
          <t>Thursday</t>
        </is>
      </c>
      <c r="H760" t="inlineStr">
        <is>
          <t>Weekly - Thursday</t>
        </is>
      </c>
      <c r="I760" t="inlineStr">
        <is>
          <t>Weekly - Thursday</t>
        </is>
      </c>
      <c r="J760" t="inlineStr">
        <is>
          <t>Same Month Expiry</t>
        </is>
      </c>
      <c r="K760" s="25" t="n">
        <v>120516501</v>
      </c>
      <c r="L760" s="26" t="n">
        <v>201268.9582</v>
      </c>
      <c r="M760" s="26" t="n">
        <v>309.5533</v>
      </c>
    </row>
    <row r="761" ht="16" customHeight="1">
      <c r="A761" t="inlineStr">
        <is>
          <t>18-Feb-2026</t>
        </is>
      </c>
      <c r="B761" t="inlineStr">
        <is>
          <t>Wednesday</t>
        </is>
      </c>
      <c r="C761" t="inlineStr">
        <is>
          <t>Week3-Feb-2026</t>
        </is>
      </c>
      <c r="D761" s="78" t="n">
        <v>46054</v>
      </c>
      <c r="E761" t="inlineStr">
        <is>
          <t>Q4FY26</t>
        </is>
      </c>
      <c r="F761" t="inlineStr">
        <is>
          <t>26-Feb-2026</t>
        </is>
      </c>
      <c r="G761" t="inlineStr">
        <is>
          <t>Thursday</t>
        </is>
      </c>
      <c r="H761" t="inlineStr">
        <is>
          <t>Monthly - Thursday</t>
        </is>
      </c>
      <c r="I761" t="inlineStr">
        <is>
          <t>Monthly - Thursday</t>
        </is>
      </c>
      <c r="J761" t="inlineStr">
        <is>
          <t>Same Month Expiry</t>
        </is>
      </c>
      <c r="K761" s="25" t="n">
        <v>746320</v>
      </c>
      <c r="L761" s="26" t="n">
        <v>1249.3281</v>
      </c>
      <c r="M761" s="26" t="n">
        <v>4.1709</v>
      </c>
    </row>
    <row r="762" ht="16" customHeight="1">
      <c r="A762" t="inlineStr">
        <is>
          <t>18-Feb-2026</t>
        </is>
      </c>
      <c r="B762" t="inlineStr">
        <is>
          <t>Wednesday</t>
        </is>
      </c>
      <c r="C762" t="inlineStr">
        <is>
          <t>Week3-Feb-2026</t>
        </is>
      </c>
      <c r="D762" s="78" t="n">
        <v>46054</v>
      </c>
      <c r="E762" t="inlineStr">
        <is>
          <t>Q4FY26</t>
        </is>
      </c>
      <c r="F762" t="inlineStr">
        <is>
          <t>05-Mar-2026</t>
        </is>
      </c>
      <c r="G762" t="inlineStr">
        <is>
          <t>Thursday</t>
        </is>
      </c>
      <c r="H762" t="inlineStr">
        <is>
          <t>Weekly - Thursday</t>
        </is>
      </c>
      <c r="I762" t="inlineStr">
        <is>
          <t>Weekly - Thursday</t>
        </is>
      </c>
      <c r="J762" t="inlineStr">
        <is>
          <t>Month+1 Expiry</t>
        </is>
      </c>
      <c r="K762" s="25" t="n">
        <v>8790</v>
      </c>
      <c r="L762" s="26" t="n">
        <v>14.6323</v>
      </c>
      <c r="M762" s="26" t="n">
        <v>0.07199999999999999</v>
      </c>
    </row>
    <row r="763" ht="16" customHeight="1">
      <c r="A763" t="inlineStr">
        <is>
          <t>18-Feb-2026</t>
        </is>
      </c>
      <c r="B763" t="inlineStr">
        <is>
          <t>Wednesday</t>
        </is>
      </c>
      <c r="C763" t="inlineStr">
        <is>
          <t>Week3-Feb-2026</t>
        </is>
      </c>
      <c r="D763" s="78" t="n">
        <v>46054</v>
      </c>
      <c r="E763" t="inlineStr">
        <is>
          <t>Q4FY26</t>
        </is>
      </c>
      <c r="F763" t="inlineStr">
        <is>
          <t>12-Mar-2026</t>
        </is>
      </c>
      <c r="G763" t="inlineStr">
        <is>
          <t>Thursday</t>
        </is>
      </c>
      <c r="H763" t="inlineStr">
        <is>
          <t>Weekly - Thursday</t>
        </is>
      </c>
      <c r="I763" t="inlineStr">
        <is>
          <t>Weekly - Thursday</t>
        </is>
      </c>
      <c r="J763" t="inlineStr">
        <is>
          <t>Month+1 Expiry</t>
        </is>
      </c>
      <c r="K763" s="25" t="n">
        <v>74</v>
      </c>
      <c r="L763" s="26" t="n">
        <v>0.1271</v>
      </c>
      <c r="M763" s="26" t="n">
        <v>0.0009</v>
      </c>
    </row>
    <row r="764" ht="16" customHeight="1">
      <c r="A764" t="inlineStr">
        <is>
          <t>18-Feb-2026</t>
        </is>
      </c>
      <c r="B764" t="inlineStr">
        <is>
          <t>Wednesday</t>
        </is>
      </c>
      <c r="C764" t="inlineStr">
        <is>
          <t>Week3-Feb-2026</t>
        </is>
      </c>
      <c r="D764" s="78" t="n">
        <v>46054</v>
      </c>
      <c r="E764" t="inlineStr">
        <is>
          <t>Q4FY26</t>
        </is>
      </c>
      <c r="F764" t="inlineStr">
        <is>
          <t>19-Mar-2026</t>
        </is>
      </c>
      <c r="G764" t="inlineStr">
        <is>
          <t>Thursday</t>
        </is>
      </c>
      <c r="H764" t="inlineStr">
        <is>
          <t>Weekly - Thursday</t>
        </is>
      </c>
      <c r="I764" t="inlineStr">
        <is>
          <t>Weekly - Thursday</t>
        </is>
      </c>
      <c r="J764" t="inlineStr">
        <is>
          <t>Month+1 Expiry</t>
        </is>
      </c>
      <c r="K764" s="25" t="n">
        <v>9</v>
      </c>
      <c r="L764" s="26" t="n">
        <v>0.0152</v>
      </c>
      <c r="M764" s="26" t="n">
        <v>0.0002</v>
      </c>
    </row>
    <row r="765" ht="16" customHeight="1">
      <c r="A765" t="inlineStr">
        <is>
          <t>18-Feb-2026</t>
        </is>
      </c>
      <c r="B765" t="inlineStr">
        <is>
          <t>Wednesday</t>
        </is>
      </c>
      <c r="C765" t="inlineStr">
        <is>
          <t>Week3-Feb-2026</t>
        </is>
      </c>
      <c r="D765" s="78" t="n">
        <v>46054</v>
      </c>
      <c r="E765" t="inlineStr">
        <is>
          <t>Q4FY26</t>
        </is>
      </c>
      <c r="F765" t="inlineStr">
        <is>
          <t>25-Mar-2026</t>
        </is>
      </c>
      <c r="G765" t="inlineStr">
        <is>
          <t>Wednesday</t>
        </is>
      </c>
      <c r="H765" t="inlineStr">
        <is>
          <t>Monthly - Wednesday</t>
        </is>
      </c>
      <c r="I765" t="inlineStr">
        <is>
          <t>Monthly - Wednesday</t>
        </is>
      </c>
      <c r="J765" t="inlineStr">
        <is>
          <t>Month+1 Expiry</t>
        </is>
      </c>
      <c r="K765" s="25" t="n">
        <v>1582</v>
      </c>
      <c r="L765" s="26" t="n">
        <v>2.667</v>
      </c>
      <c r="M765" s="26" t="n">
        <v>0.0208</v>
      </c>
    </row>
    <row r="766" ht="16" customHeight="1">
      <c r="A766" t="inlineStr">
        <is>
          <t>18-Feb-2026</t>
        </is>
      </c>
      <c r="B766" t="inlineStr">
        <is>
          <t>Wednesday</t>
        </is>
      </c>
      <c r="C766" t="inlineStr">
        <is>
          <t>Week3-Feb-2026</t>
        </is>
      </c>
      <c r="D766" s="78" t="n">
        <v>46054</v>
      </c>
      <c r="E766" t="inlineStr">
        <is>
          <t>Q4FY26</t>
        </is>
      </c>
      <c r="F766" t="inlineStr">
        <is>
          <t>30-Apr-2026</t>
        </is>
      </c>
      <c r="G766" t="inlineStr">
        <is>
          <t>Thursday</t>
        </is>
      </c>
      <c r="H766" t="inlineStr">
        <is>
          <t>Monthly - Thursday</t>
        </is>
      </c>
      <c r="I766" t="inlineStr">
        <is>
          <t>Monthly - Thursday</t>
        </is>
      </c>
      <c r="J766" t="inlineStr">
        <is>
          <t>Month+2 Expiry</t>
        </is>
      </c>
      <c r="K766" s="25" t="n">
        <v>0</v>
      </c>
      <c r="L766" s="26" t="n">
        <v>0</v>
      </c>
      <c r="M766" s="26" t="n">
        <v>0</v>
      </c>
    </row>
    <row r="767" ht="16" customHeight="1">
      <c r="A767" t="inlineStr">
        <is>
          <t>18-Feb-2026</t>
        </is>
      </c>
      <c r="B767" t="inlineStr">
        <is>
          <t>Wednesday</t>
        </is>
      </c>
      <c r="C767" t="inlineStr">
        <is>
          <t>Week3-Feb-2026</t>
        </is>
      </c>
      <c r="D767" s="78" t="n">
        <v>46054</v>
      </c>
      <c r="E767" t="inlineStr">
        <is>
          <t>Q4FY26</t>
        </is>
      </c>
      <c r="F767" t="inlineStr">
        <is>
          <t>25-Jun-2026</t>
        </is>
      </c>
      <c r="G767" t="inlineStr">
        <is>
          <t>Thursday</t>
        </is>
      </c>
      <c r="H767" t="inlineStr">
        <is>
          <t>Monthly - Thursday</t>
        </is>
      </c>
      <c r="I767" t="inlineStr">
        <is>
          <t>Monthly - Thursday</t>
        </is>
      </c>
      <c r="J767" t="inlineStr">
        <is>
          <t>Month+4 Expiry</t>
        </is>
      </c>
      <c r="K767" s="25" t="n">
        <v>0</v>
      </c>
      <c r="L767" s="26" t="n">
        <v>0</v>
      </c>
      <c r="M767" s="26" t="n">
        <v>0</v>
      </c>
    </row>
    <row r="768" ht="16" customHeight="1">
      <c r="A768" t="inlineStr">
        <is>
          <t>19-Feb-2026</t>
        </is>
      </c>
      <c r="B768" t="inlineStr">
        <is>
          <t>Thursday</t>
        </is>
      </c>
      <c r="C768" t="inlineStr">
        <is>
          <t>Week3-Feb-2026</t>
        </is>
      </c>
      <c r="D768" s="78" t="n">
        <v>46054</v>
      </c>
      <c r="E768" t="inlineStr">
        <is>
          <t>Q4FY26</t>
        </is>
      </c>
      <c r="F768" t="inlineStr">
        <is>
          <t>19-Feb-2026</t>
        </is>
      </c>
      <c r="G768" t="inlineStr">
        <is>
          <t>Thursday</t>
        </is>
      </c>
      <c r="H768" t="inlineStr">
        <is>
          <t>Weekly - Thursday</t>
        </is>
      </c>
      <c r="I768" t="inlineStr">
        <is>
          <t>Weekly - Thursday</t>
        </is>
      </c>
      <c r="J768" t="inlineStr">
        <is>
          <t>Same Month Expiry</t>
        </is>
      </c>
      <c r="K768" s="25" t="n">
        <v>519457891</v>
      </c>
      <c r="L768" s="26" t="n">
        <v>863787.8088999999</v>
      </c>
      <c r="M768" s="26" t="n">
        <v>575.1867</v>
      </c>
    </row>
    <row r="769" ht="16" customHeight="1">
      <c r="A769" t="inlineStr">
        <is>
          <t>19-Feb-2026</t>
        </is>
      </c>
      <c r="B769" t="inlineStr">
        <is>
          <t>Thursday</t>
        </is>
      </c>
      <c r="C769" t="inlineStr">
        <is>
          <t>Week3-Feb-2026</t>
        </is>
      </c>
      <c r="D769" s="78" t="n">
        <v>46054</v>
      </c>
      <c r="E769" t="inlineStr">
        <is>
          <t>Q4FY26</t>
        </is>
      </c>
      <c r="F769" t="inlineStr">
        <is>
          <t>26-Feb-2026</t>
        </is>
      </c>
      <c r="G769" t="inlineStr">
        <is>
          <t>Thursday</t>
        </is>
      </c>
      <c r="H769" t="inlineStr">
        <is>
          <t>Monthly - Thursday</t>
        </is>
      </c>
      <c r="I769" t="inlineStr">
        <is>
          <t>Monthly - Thursday</t>
        </is>
      </c>
      <c r="J769" t="inlineStr">
        <is>
          <t>Same Month Expiry</t>
        </is>
      </c>
      <c r="K769" s="25" t="n">
        <v>2787628</v>
      </c>
      <c r="L769" s="26" t="n">
        <v>4659.0557</v>
      </c>
      <c r="M769" s="26" t="n">
        <v>17.4397</v>
      </c>
    </row>
    <row r="770" ht="16" customHeight="1">
      <c r="A770" t="inlineStr">
        <is>
          <t>19-Feb-2026</t>
        </is>
      </c>
      <c r="B770" t="inlineStr">
        <is>
          <t>Thursday</t>
        </is>
      </c>
      <c r="C770" t="inlineStr">
        <is>
          <t>Week3-Feb-2026</t>
        </is>
      </c>
      <c r="D770" s="78" t="n">
        <v>46054</v>
      </c>
      <c r="E770" t="inlineStr">
        <is>
          <t>Q4FY26</t>
        </is>
      </c>
      <c r="F770" t="inlineStr">
        <is>
          <t>05-Mar-2026</t>
        </is>
      </c>
      <c r="G770" t="inlineStr">
        <is>
          <t>Thursday</t>
        </is>
      </c>
      <c r="H770" t="inlineStr">
        <is>
          <t>Weekly - Thursday</t>
        </is>
      </c>
      <c r="I770" t="inlineStr">
        <is>
          <t>Weekly - Thursday</t>
        </is>
      </c>
      <c r="J770" t="inlineStr">
        <is>
          <t>Month+1 Expiry</t>
        </is>
      </c>
      <c r="K770" s="25" t="n">
        <v>22402</v>
      </c>
      <c r="L770" s="26" t="n">
        <v>37.4796</v>
      </c>
      <c r="M770" s="26" t="n">
        <v>0.2594</v>
      </c>
    </row>
    <row r="771" ht="16" customHeight="1">
      <c r="A771" t="inlineStr">
        <is>
          <t>19-Feb-2026</t>
        </is>
      </c>
      <c r="B771" t="inlineStr">
        <is>
          <t>Thursday</t>
        </is>
      </c>
      <c r="C771" t="inlineStr">
        <is>
          <t>Week3-Feb-2026</t>
        </is>
      </c>
      <c r="D771" s="78" t="n">
        <v>46054</v>
      </c>
      <c r="E771" t="inlineStr">
        <is>
          <t>Q4FY26</t>
        </is>
      </c>
      <c r="F771" t="inlineStr">
        <is>
          <t>12-Mar-2026</t>
        </is>
      </c>
      <c r="G771" t="inlineStr">
        <is>
          <t>Thursday</t>
        </is>
      </c>
      <c r="H771" t="inlineStr">
        <is>
          <t>Weekly - Thursday</t>
        </is>
      </c>
      <c r="I771" t="inlineStr">
        <is>
          <t>Weekly - Thursday</t>
        </is>
      </c>
      <c r="J771" t="inlineStr">
        <is>
          <t>Month+1 Expiry</t>
        </is>
      </c>
      <c r="K771" s="25" t="n">
        <v>329</v>
      </c>
      <c r="L771" s="26" t="n">
        <v>0.5543</v>
      </c>
      <c r="M771" s="26" t="n">
        <v>0.0035</v>
      </c>
    </row>
    <row r="772" ht="16" customHeight="1">
      <c r="A772" t="inlineStr">
        <is>
          <t>19-Feb-2026</t>
        </is>
      </c>
      <c r="B772" t="inlineStr">
        <is>
          <t>Thursday</t>
        </is>
      </c>
      <c r="C772" t="inlineStr">
        <is>
          <t>Week3-Feb-2026</t>
        </is>
      </c>
      <c r="D772" s="78" t="n">
        <v>46054</v>
      </c>
      <c r="E772" t="inlineStr">
        <is>
          <t>Q4FY26</t>
        </is>
      </c>
      <c r="F772" t="inlineStr">
        <is>
          <t>19-Mar-2026</t>
        </is>
      </c>
      <c r="G772" t="inlineStr">
        <is>
          <t>Thursday</t>
        </is>
      </c>
      <c r="H772" t="inlineStr">
        <is>
          <t>Weekly - Thursday</t>
        </is>
      </c>
      <c r="I772" t="inlineStr">
        <is>
          <t>Weekly - Thursday</t>
        </is>
      </c>
      <c r="J772" t="inlineStr">
        <is>
          <t>Month+1 Expiry</t>
        </is>
      </c>
      <c r="K772" s="25" t="n">
        <v>0</v>
      </c>
      <c r="L772" s="26" t="n">
        <v>0</v>
      </c>
      <c r="M772" s="26" t="n">
        <v>0</v>
      </c>
    </row>
    <row r="773" ht="16" customHeight="1">
      <c r="A773" t="inlineStr">
        <is>
          <t>19-Feb-2026</t>
        </is>
      </c>
      <c r="B773" t="inlineStr">
        <is>
          <t>Thursday</t>
        </is>
      </c>
      <c r="C773" t="inlineStr">
        <is>
          <t>Week3-Feb-2026</t>
        </is>
      </c>
      <c r="D773" s="78" t="n">
        <v>46054</v>
      </c>
      <c r="E773" t="inlineStr">
        <is>
          <t>Q4FY26</t>
        </is>
      </c>
      <c r="F773" t="inlineStr">
        <is>
          <t>25-Mar-2026</t>
        </is>
      </c>
      <c r="G773" t="inlineStr">
        <is>
          <t>Wednesday</t>
        </is>
      </c>
      <c r="H773" t="inlineStr">
        <is>
          <t>Monthly - Wednesday</t>
        </is>
      </c>
      <c r="I773" t="inlineStr">
        <is>
          <t>Monthly - Wednesday</t>
        </is>
      </c>
      <c r="J773" t="inlineStr">
        <is>
          <t>Month+1 Expiry</t>
        </is>
      </c>
      <c r="K773" s="25" t="n">
        <v>5241</v>
      </c>
      <c r="L773" s="26" t="n">
        <v>8.823600000000001</v>
      </c>
      <c r="M773" s="26" t="n">
        <v>0.08119999999999999</v>
      </c>
    </row>
    <row r="774" ht="16" customHeight="1">
      <c r="A774" t="inlineStr">
        <is>
          <t>19-Feb-2026</t>
        </is>
      </c>
      <c r="B774" t="inlineStr">
        <is>
          <t>Thursday</t>
        </is>
      </c>
      <c r="C774" t="inlineStr">
        <is>
          <t>Week3-Feb-2026</t>
        </is>
      </c>
      <c r="D774" s="78" t="n">
        <v>46054</v>
      </c>
      <c r="E774" t="inlineStr">
        <is>
          <t>Q4FY26</t>
        </is>
      </c>
      <c r="F774" t="inlineStr">
        <is>
          <t>30-Apr-2026</t>
        </is>
      </c>
      <c r="G774" t="inlineStr">
        <is>
          <t>Thursday</t>
        </is>
      </c>
      <c r="H774" t="inlineStr">
        <is>
          <t>Monthly - Thursday</t>
        </is>
      </c>
      <c r="I774" t="inlineStr">
        <is>
          <t>Monthly - Thursday</t>
        </is>
      </c>
      <c r="J774" t="inlineStr">
        <is>
          <t>Month+2 Expiry</t>
        </is>
      </c>
      <c r="K774" s="25" t="n">
        <v>0</v>
      </c>
      <c r="L774" s="26" t="n">
        <v>0</v>
      </c>
      <c r="M774" s="26" t="n">
        <v>0</v>
      </c>
    </row>
    <row r="775" ht="16" customHeight="1">
      <c r="A775" t="inlineStr">
        <is>
          <t>19-Feb-2026</t>
        </is>
      </c>
      <c r="B775" t="inlineStr">
        <is>
          <t>Thursday</t>
        </is>
      </c>
      <c r="C775" t="inlineStr">
        <is>
          <t>Week3-Feb-2026</t>
        </is>
      </c>
      <c r="D775" s="78" t="n">
        <v>46054</v>
      </c>
      <c r="E775" t="inlineStr">
        <is>
          <t>Q4FY26</t>
        </is>
      </c>
      <c r="F775" t="inlineStr">
        <is>
          <t>25-Jun-2026</t>
        </is>
      </c>
      <c r="G775" t="inlineStr">
        <is>
          <t>Thursday</t>
        </is>
      </c>
      <c r="H775" t="inlineStr">
        <is>
          <t>Monthly - Thursday</t>
        </is>
      </c>
      <c r="I775" t="inlineStr">
        <is>
          <t>Monthly - Thursday</t>
        </is>
      </c>
      <c r="J775" t="inlineStr">
        <is>
          <t>Month+4 Expiry</t>
        </is>
      </c>
      <c r="K775" s="25" t="n">
        <v>0</v>
      </c>
      <c r="L775" s="26" t="n">
        <v>0</v>
      </c>
      <c r="M775" s="26" t="n">
        <v>0</v>
      </c>
    </row>
    <row r="776" ht="16" customHeight="1">
      <c r="A776" t="inlineStr">
        <is>
          <t>20-Feb-2026</t>
        </is>
      </c>
      <c r="B776" t="inlineStr">
        <is>
          <t>Friday</t>
        </is>
      </c>
      <c r="C776" t="inlineStr">
        <is>
          <t>Week3-Feb-2026</t>
        </is>
      </c>
      <c r="D776" s="78" t="n">
        <v>46054</v>
      </c>
      <c r="E776" t="inlineStr">
        <is>
          <t>Q4FY26</t>
        </is>
      </c>
      <c r="F776" t="inlineStr">
        <is>
          <t>26-Feb-2026</t>
        </is>
      </c>
      <c r="G776" t="inlineStr">
        <is>
          <t>Thursday</t>
        </is>
      </c>
      <c r="H776" t="inlineStr">
        <is>
          <t>Monthly - Thursday</t>
        </is>
      </c>
      <c r="I776" t="inlineStr">
        <is>
          <t>MDAW - Thursday</t>
        </is>
      </c>
      <c r="J776" t="inlineStr">
        <is>
          <t>Same Month Expiry</t>
        </is>
      </c>
      <c r="K776" s="25" t="n">
        <v>23486165</v>
      </c>
      <c r="L776" s="26" t="n">
        <v>39055.6335</v>
      </c>
      <c r="M776" s="26" t="n">
        <v>145.7323</v>
      </c>
    </row>
    <row r="777" ht="16" customHeight="1">
      <c r="A777" t="inlineStr">
        <is>
          <t>20-Feb-2026</t>
        </is>
      </c>
      <c r="B777" t="inlineStr">
        <is>
          <t>Friday</t>
        </is>
      </c>
      <c r="C777" t="inlineStr">
        <is>
          <t>Week3-Feb-2026</t>
        </is>
      </c>
      <c r="D777" s="78" t="n">
        <v>46054</v>
      </c>
      <c r="E777" t="inlineStr">
        <is>
          <t>Q4FY26</t>
        </is>
      </c>
      <c r="F777" t="inlineStr">
        <is>
          <t>05-Mar-2026</t>
        </is>
      </c>
      <c r="G777" t="inlineStr">
        <is>
          <t>Thursday</t>
        </is>
      </c>
      <c r="H777" t="inlineStr">
        <is>
          <t>Weekly - Thursday</t>
        </is>
      </c>
      <c r="I777" t="inlineStr">
        <is>
          <t>Weekly - Thursday</t>
        </is>
      </c>
      <c r="J777" t="inlineStr">
        <is>
          <t>Month+1 Expiry</t>
        </is>
      </c>
      <c r="K777" s="25" t="n">
        <v>125557</v>
      </c>
      <c r="L777" s="26" t="n">
        <v>209.7268</v>
      </c>
      <c r="M777" s="26" t="n">
        <v>1.3319</v>
      </c>
    </row>
    <row r="778" ht="16" customHeight="1">
      <c r="A778" t="inlineStr">
        <is>
          <t>20-Feb-2026</t>
        </is>
      </c>
      <c r="B778" t="inlineStr">
        <is>
          <t>Friday</t>
        </is>
      </c>
      <c r="C778" t="inlineStr">
        <is>
          <t>Week3-Feb-2026</t>
        </is>
      </c>
      <c r="D778" s="78" t="n">
        <v>46054</v>
      </c>
      <c r="E778" t="inlineStr">
        <is>
          <t>Q4FY26</t>
        </is>
      </c>
      <c r="F778" t="inlineStr">
        <is>
          <t>12-Mar-2026</t>
        </is>
      </c>
      <c r="G778" t="inlineStr">
        <is>
          <t>Thursday</t>
        </is>
      </c>
      <c r="H778" t="inlineStr">
        <is>
          <t>Weekly - Thursday</t>
        </is>
      </c>
      <c r="I778" t="inlineStr">
        <is>
          <t>Weekly - Thursday</t>
        </is>
      </c>
      <c r="J778" t="inlineStr">
        <is>
          <t>Month+1 Expiry</t>
        </is>
      </c>
      <c r="K778" s="25" t="n">
        <v>794</v>
      </c>
      <c r="L778" s="26" t="n">
        <v>1.3262</v>
      </c>
      <c r="M778" s="26" t="n">
        <v>0.0125</v>
      </c>
    </row>
    <row r="779" ht="16" customHeight="1">
      <c r="A779" t="inlineStr">
        <is>
          <t>20-Feb-2026</t>
        </is>
      </c>
      <c r="B779" t="inlineStr">
        <is>
          <t>Friday</t>
        </is>
      </c>
      <c r="C779" t="inlineStr">
        <is>
          <t>Week3-Feb-2026</t>
        </is>
      </c>
      <c r="D779" s="78" t="n">
        <v>46054</v>
      </c>
      <c r="E779" t="inlineStr">
        <is>
          <t>Q4FY26</t>
        </is>
      </c>
      <c r="F779" t="inlineStr">
        <is>
          <t>19-Mar-2026</t>
        </is>
      </c>
      <c r="G779" t="inlineStr">
        <is>
          <t>Thursday</t>
        </is>
      </c>
      <c r="H779" t="inlineStr">
        <is>
          <t>Weekly - Thursday</t>
        </is>
      </c>
      <c r="I779" t="inlineStr">
        <is>
          <t>Weekly - Thursday</t>
        </is>
      </c>
      <c r="J779" t="inlineStr">
        <is>
          <t>Month+1 Expiry</t>
        </is>
      </c>
      <c r="K779" s="25" t="n">
        <v>4</v>
      </c>
      <c r="L779" s="26" t="n">
        <v>0.0067</v>
      </c>
      <c r="M779" s="26" t="n">
        <v>0.0001</v>
      </c>
    </row>
    <row r="780" ht="16" customHeight="1">
      <c r="A780" t="inlineStr">
        <is>
          <t>20-Feb-2026</t>
        </is>
      </c>
      <c r="B780" t="inlineStr">
        <is>
          <t>Friday</t>
        </is>
      </c>
      <c r="C780" t="inlineStr">
        <is>
          <t>Week3-Feb-2026</t>
        </is>
      </c>
      <c r="D780" s="78" t="n">
        <v>46054</v>
      </c>
      <c r="E780" t="inlineStr">
        <is>
          <t>Q4FY26</t>
        </is>
      </c>
      <c r="F780" t="inlineStr">
        <is>
          <t>25-Mar-2026</t>
        </is>
      </c>
      <c r="G780" t="inlineStr">
        <is>
          <t>Wednesday</t>
        </is>
      </c>
      <c r="H780" t="inlineStr">
        <is>
          <t>Monthly - Wednesday</t>
        </is>
      </c>
      <c r="I780" t="inlineStr">
        <is>
          <t>Monthly - Wednesday</t>
        </is>
      </c>
      <c r="J780" t="inlineStr">
        <is>
          <t>Month+1 Expiry</t>
        </is>
      </c>
      <c r="K780" s="25" t="n">
        <v>7349</v>
      </c>
      <c r="L780" s="26" t="n">
        <v>12.3798</v>
      </c>
      <c r="M780" s="26" t="n">
        <v>0.1079</v>
      </c>
    </row>
    <row r="781" ht="16" customHeight="1">
      <c r="A781" t="inlineStr">
        <is>
          <t>20-Feb-2026</t>
        </is>
      </c>
      <c r="B781" t="inlineStr">
        <is>
          <t>Friday</t>
        </is>
      </c>
      <c r="C781" t="inlineStr">
        <is>
          <t>Week3-Feb-2026</t>
        </is>
      </c>
      <c r="D781" s="78" t="n">
        <v>46054</v>
      </c>
      <c r="E781" t="inlineStr">
        <is>
          <t>Q4FY26</t>
        </is>
      </c>
      <c r="F781" t="inlineStr">
        <is>
          <t>30-Apr-2026</t>
        </is>
      </c>
      <c r="G781" t="inlineStr">
        <is>
          <t>Thursday</t>
        </is>
      </c>
      <c r="H781" t="inlineStr">
        <is>
          <t>Monthly - Thursday</t>
        </is>
      </c>
      <c r="I781" t="inlineStr">
        <is>
          <t>Monthly - Thursday</t>
        </is>
      </c>
      <c r="J781" t="inlineStr">
        <is>
          <t>Month+2 Expiry</t>
        </is>
      </c>
      <c r="K781" s="25" t="n">
        <v>0</v>
      </c>
      <c r="L781" s="26" t="n">
        <v>0</v>
      </c>
      <c r="M781" s="26" t="n">
        <v>0</v>
      </c>
    </row>
    <row r="782" ht="16" customHeight="1">
      <c r="A782" t="inlineStr">
        <is>
          <t>20-Feb-2026</t>
        </is>
      </c>
      <c r="B782" t="inlineStr">
        <is>
          <t>Friday</t>
        </is>
      </c>
      <c r="C782" t="inlineStr">
        <is>
          <t>Week3-Feb-2026</t>
        </is>
      </c>
      <c r="D782" s="78" t="n">
        <v>46054</v>
      </c>
      <c r="E782" t="inlineStr">
        <is>
          <t>Q4FY26</t>
        </is>
      </c>
      <c r="F782" t="inlineStr">
        <is>
          <t>25-Jun-2026</t>
        </is>
      </c>
      <c r="G782" t="inlineStr">
        <is>
          <t>Thursday</t>
        </is>
      </c>
      <c r="H782" t="inlineStr">
        <is>
          <t>Monthly - Thursday</t>
        </is>
      </c>
      <c r="I782" t="inlineStr">
        <is>
          <t>Monthly - Thursday</t>
        </is>
      </c>
      <c r="J782" t="inlineStr">
        <is>
          <t>Month+4 Expiry</t>
        </is>
      </c>
      <c r="K782" s="25" t="n">
        <v>0</v>
      </c>
      <c r="L782" s="26" t="n">
        <v>0</v>
      </c>
      <c r="M782" s="26" t="n">
        <v>0</v>
      </c>
    </row>
    <row r="783" ht="16" customHeight="1">
      <c r="A783" t="inlineStr">
        <is>
          <t>23-Feb-2026</t>
        </is>
      </c>
      <c r="B783" t="inlineStr">
        <is>
          <t>Monday</t>
        </is>
      </c>
      <c r="C783" t="inlineStr">
        <is>
          <t>Week4-Feb-2026</t>
        </is>
      </c>
      <c r="D783" s="78" t="n">
        <v>46054</v>
      </c>
      <c r="E783" t="inlineStr">
        <is>
          <t>Q4FY26</t>
        </is>
      </c>
      <c r="F783" t="inlineStr">
        <is>
          <t>26-Feb-2026</t>
        </is>
      </c>
      <c r="G783" t="inlineStr">
        <is>
          <t>Thursday</t>
        </is>
      </c>
      <c r="H783" t="inlineStr">
        <is>
          <t>Monthly - Thursday</t>
        </is>
      </c>
      <c r="I783" t="inlineStr">
        <is>
          <t>MDAW - Thursday</t>
        </is>
      </c>
      <c r="J783" t="inlineStr">
        <is>
          <t>Same Month Expiry</t>
        </is>
      </c>
      <c r="K783" s="25" t="n">
        <v>21428245</v>
      </c>
      <c r="L783" s="26" t="n">
        <v>35733.5267</v>
      </c>
      <c r="M783" s="26" t="n">
        <v>117.8801</v>
      </c>
    </row>
    <row r="784" ht="16" customHeight="1">
      <c r="A784" t="inlineStr">
        <is>
          <t>23-Feb-2026</t>
        </is>
      </c>
      <c r="B784" t="inlineStr">
        <is>
          <t>Monday</t>
        </is>
      </c>
      <c r="C784" t="inlineStr">
        <is>
          <t>Week4-Feb-2026</t>
        </is>
      </c>
      <c r="D784" s="78" t="n">
        <v>46054</v>
      </c>
      <c r="E784" t="inlineStr">
        <is>
          <t>Q4FY26</t>
        </is>
      </c>
      <c r="F784" t="inlineStr">
        <is>
          <t>05-Mar-2026</t>
        </is>
      </c>
      <c r="G784" t="inlineStr">
        <is>
          <t>Thursday</t>
        </is>
      </c>
      <c r="H784" t="inlineStr">
        <is>
          <t>Weekly - Thursday</t>
        </is>
      </c>
      <c r="I784" t="inlineStr">
        <is>
          <t>Weekly - Thursday</t>
        </is>
      </c>
      <c r="J784" t="inlineStr">
        <is>
          <t>Month+1 Expiry</t>
        </is>
      </c>
      <c r="K784" s="25" t="n">
        <v>139554</v>
      </c>
      <c r="L784" s="26" t="n">
        <v>232.8487</v>
      </c>
      <c r="M784" s="26" t="n">
        <v>1.2563</v>
      </c>
    </row>
    <row r="785" ht="16" customHeight="1">
      <c r="A785" t="inlineStr">
        <is>
          <t>23-Feb-2026</t>
        </is>
      </c>
      <c r="B785" t="inlineStr">
        <is>
          <t>Monday</t>
        </is>
      </c>
      <c r="C785" t="inlineStr">
        <is>
          <t>Week4-Feb-2026</t>
        </is>
      </c>
      <c r="D785" s="78" t="n">
        <v>46054</v>
      </c>
      <c r="E785" t="inlineStr">
        <is>
          <t>Q4FY26</t>
        </is>
      </c>
      <c r="F785" t="inlineStr">
        <is>
          <t>12-Mar-2026</t>
        </is>
      </c>
      <c r="G785" t="inlineStr">
        <is>
          <t>Thursday</t>
        </is>
      </c>
      <c r="H785" t="inlineStr">
        <is>
          <t>Weekly - Thursday</t>
        </is>
      </c>
      <c r="I785" t="inlineStr">
        <is>
          <t>Weekly - Thursday</t>
        </is>
      </c>
      <c r="J785" t="inlineStr">
        <is>
          <t>Month+1 Expiry</t>
        </is>
      </c>
      <c r="K785" s="25" t="n">
        <v>961</v>
      </c>
      <c r="L785" s="26" t="n">
        <v>1.6145</v>
      </c>
      <c r="M785" s="26" t="n">
        <v>0.0144</v>
      </c>
    </row>
    <row r="786" ht="16" customHeight="1">
      <c r="A786" t="inlineStr">
        <is>
          <t>23-Feb-2026</t>
        </is>
      </c>
      <c r="B786" t="inlineStr">
        <is>
          <t>Monday</t>
        </is>
      </c>
      <c r="C786" t="inlineStr">
        <is>
          <t>Week4-Feb-2026</t>
        </is>
      </c>
      <c r="D786" s="78" t="n">
        <v>46054</v>
      </c>
      <c r="E786" t="inlineStr">
        <is>
          <t>Q4FY26</t>
        </is>
      </c>
      <c r="F786" t="inlineStr">
        <is>
          <t>19-Mar-2026</t>
        </is>
      </c>
      <c r="G786" t="inlineStr">
        <is>
          <t>Thursday</t>
        </is>
      </c>
      <c r="H786" t="inlineStr">
        <is>
          <t>Weekly - Thursday</t>
        </is>
      </c>
      <c r="I786" t="inlineStr">
        <is>
          <t>Weekly - Thursday</t>
        </is>
      </c>
      <c r="J786" t="inlineStr">
        <is>
          <t>Month+1 Expiry</t>
        </is>
      </c>
      <c r="K786" s="25" t="n">
        <v>35</v>
      </c>
      <c r="L786" s="26" t="n">
        <v>0.0619</v>
      </c>
      <c r="M786" s="26" t="n">
        <v>0.0017</v>
      </c>
    </row>
    <row r="787" ht="16" customHeight="1">
      <c r="A787" t="inlineStr">
        <is>
          <t>23-Feb-2026</t>
        </is>
      </c>
      <c r="B787" t="inlineStr">
        <is>
          <t>Monday</t>
        </is>
      </c>
      <c r="C787" t="inlineStr">
        <is>
          <t>Week4-Feb-2026</t>
        </is>
      </c>
      <c r="D787" s="78" t="n">
        <v>46054</v>
      </c>
      <c r="E787" t="inlineStr">
        <is>
          <t>Q4FY26</t>
        </is>
      </c>
      <c r="F787" t="inlineStr">
        <is>
          <t>25-Mar-2026</t>
        </is>
      </c>
      <c r="G787" t="inlineStr">
        <is>
          <t>Wednesday</t>
        </is>
      </c>
      <c r="H787" t="inlineStr">
        <is>
          <t>Monthly - Wednesday</t>
        </is>
      </c>
      <c r="I787" t="inlineStr">
        <is>
          <t>Monthly - Wednesday</t>
        </is>
      </c>
      <c r="J787" t="inlineStr">
        <is>
          <t>Month+1 Expiry</t>
        </is>
      </c>
      <c r="K787" s="25" t="n">
        <v>6364</v>
      </c>
      <c r="L787" s="26" t="n">
        <v>10.7619</v>
      </c>
      <c r="M787" s="26" t="n">
        <v>0.0983</v>
      </c>
    </row>
    <row r="788" ht="16" customHeight="1">
      <c r="A788" t="inlineStr">
        <is>
          <t>23-Feb-2026</t>
        </is>
      </c>
      <c r="B788" t="inlineStr">
        <is>
          <t>Monday</t>
        </is>
      </c>
      <c r="C788" t="inlineStr">
        <is>
          <t>Week4-Feb-2026</t>
        </is>
      </c>
      <c r="D788" s="78" t="n">
        <v>46054</v>
      </c>
      <c r="E788" t="inlineStr">
        <is>
          <t>Q4FY26</t>
        </is>
      </c>
      <c r="F788" t="inlineStr">
        <is>
          <t>30-Apr-2026</t>
        </is>
      </c>
      <c r="G788" t="inlineStr">
        <is>
          <t>Thursday</t>
        </is>
      </c>
      <c r="H788" t="inlineStr">
        <is>
          <t>Monthly - Thursday</t>
        </is>
      </c>
      <c r="I788" t="inlineStr">
        <is>
          <t>Monthly - Thursday</t>
        </is>
      </c>
      <c r="J788" t="inlineStr">
        <is>
          <t>Month+2 Expiry</t>
        </is>
      </c>
      <c r="K788" s="25" t="n">
        <v>0</v>
      </c>
      <c r="L788" s="26" t="n">
        <v>0</v>
      </c>
      <c r="M788" s="26" t="n">
        <v>0</v>
      </c>
    </row>
    <row r="789" ht="16" customHeight="1">
      <c r="A789" t="inlineStr">
        <is>
          <t>23-Feb-2026</t>
        </is>
      </c>
      <c r="B789" t="inlineStr">
        <is>
          <t>Monday</t>
        </is>
      </c>
      <c r="C789" t="inlineStr">
        <is>
          <t>Week4-Feb-2026</t>
        </is>
      </c>
      <c r="D789" s="78" t="n">
        <v>46054</v>
      </c>
      <c r="E789" t="inlineStr">
        <is>
          <t>Q4FY26</t>
        </is>
      </c>
      <c r="F789" t="inlineStr">
        <is>
          <t>25-Jun-2026</t>
        </is>
      </c>
      <c r="G789" t="inlineStr">
        <is>
          <t>Thursday</t>
        </is>
      </c>
      <c r="H789" t="inlineStr">
        <is>
          <t>Monthly - Thursday</t>
        </is>
      </c>
      <c r="I789" t="inlineStr">
        <is>
          <t>Monthly - Thursday</t>
        </is>
      </c>
      <c r="J789" t="inlineStr">
        <is>
          <t>Month+4 Expiry</t>
        </is>
      </c>
      <c r="K789" s="25" t="n">
        <v>0</v>
      </c>
      <c r="L789" s="26" t="n">
        <v>0</v>
      </c>
      <c r="M789" s="26" t="n">
        <v>0</v>
      </c>
    </row>
    <row r="790" ht="16" customHeight="1">
      <c r="A790" t="inlineStr">
        <is>
          <t>24-Feb-2026</t>
        </is>
      </c>
      <c r="B790" t="inlineStr">
        <is>
          <t>Tuesday</t>
        </is>
      </c>
      <c r="C790" t="inlineStr">
        <is>
          <t>Week4-Feb-2026</t>
        </is>
      </c>
      <c r="D790" s="78" t="n">
        <v>46054</v>
      </c>
      <c r="E790" t="inlineStr">
        <is>
          <t>Q4FY26</t>
        </is>
      </c>
      <c r="F790" t="inlineStr">
        <is>
          <t>26-Feb-2026</t>
        </is>
      </c>
      <c r="G790" t="inlineStr">
        <is>
          <t>Thursday</t>
        </is>
      </c>
      <c r="H790" t="inlineStr">
        <is>
          <t>Monthly - Thursday</t>
        </is>
      </c>
      <c r="I790" t="inlineStr">
        <is>
          <t>MDAW - Thursday</t>
        </is>
      </c>
      <c r="J790" t="inlineStr">
        <is>
          <t>Same Month Expiry</t>
        </is>
      </c>
      <c r="K790" s="25" t="n">
        <v>28316692</v>
      </c>
      <c r="L790" s="26" t="n">
        <v>46885.7654</v>
      </c>
      <c r="M790" s="26" t="n">
        <v>122.6122</v>
      </c>
    </row>
    <row r="791" ht="16" customHeight="1">
      <c r="A791" t="inlineStr">
        <is>
          <t>24-Feb-2026</t>
        </is>
      </c>
      <c r="B791" t="inlineStr">
        <is>
          <t>Tuesday</t>
        </is>
      </c>
      <c r="C791" t="inlineStr">
        <is>
          <t>Week4-Feb-2026</t>
        </is>
      </c>
      <c r="D791" s="78" t="n">
        <v>46054</v>
      </c>
      <c r="E791" t="inlineStr">
        <is>
          <t>Q4FY26</t>
        </is>
      </c>
      <c r="F791" t="inlineStr">
        <is>
          <t>05-Mar-2026</t>
        </is>
      </c>
      <c r="G791" t="inlineStr">
        <is>
          <t>Thursday</t>
        </is>
      </c>
      <c r="H791" t="inlineStr">
        <is>
          <t>Weekly - Thursday</t>
        </is>
      </c>
      <c r="I791" t="inlineStr">
        <is>
          <t>Weekly - Thursday</t>
        </is>
      </c>
      <c r="J791" t="inlineStr">
        <is>
          <t>Month+1 Expiry</t>
        </is>
      </c>
      <c r="K791" s="25" t="n">
        <v>331410</v>
      </c>
      <c r="L791" s="26" t="n">
        <v>551.6799</v>
      </c>
      <c r="M791" s="26" t="n">
        <v>3.03</v>
      </c>
    </row>
    <row r="792" ht="16" customHeight="1">
      <c r="A792" t="inlineStr">
        <is>
          <t>24-Feb-2026</t>
        </is>
      </c>
      <c r="B792" t="inlineStr">
        <is>
          <t>Tuesday</t>
        </is>
      </c>
      <c r="C792" t="inlineStr">
        <is>
          <t>Week4-Feb-2026</t>
        </is>
      </c>
      <c r="D792" s="78" t="n">
        <v>46054</v>
      </c>
      <c r="E792" t="inlineStr">
        <is>
          <t>Q4FY26</t>
        </is>
      </c>
      <c r="F792" t="inlineStr">
        <is>
          <t>12-Mar-2026</t>
        </is>
      </c>
      <c r="G792" t="inlineStr">
        <is>
          <t>Thursday</t>
        </is>
      </c>
      <c r="H792" t="inlineStr">
        <is>
          <t>Weekly - Thursday</t>
        </is>
      </c>
      <c r="I792" t="inlineStr">
        <is>
          <t>Weekly - Thursday</t>
        </is>
      </c>
      <c r="J792" t="inlineStr">
        <is>
          <t>Month+1 Expiry</t>
        </is>
      </c>
      <c r="K792" s="25" t="n">
        <v>7169</v>
      </c>
      <c r="L792" s="26" t="n">
        <v>11.9685</v>
      </c>
      <c r="M792" s="26" t="n">
        <v>0.1193</v>
      </c>
    </row>
    <row r="793" ht="16" customHeight="1">
      <c r="A793" t="inlineStr">
        <is>
          <t>24-Feb-2026</t>
        </is>
      </c>
      <c r="B793" t="inlineStr">
        <is>
          <t>Tuesday</t>
        </is>
      </c>
      <c r="C793" t="inlineStr">
        <is>
          <t>Week4-Feb-2026</t>
        </is>
      </c>
      <c r="D793" s="78" t="n">
        <v>46054</v>
      </c>
      <c r="E793" t="inlineStr">
        <is>
          <t>Q4FY26</t>
        </is>
      </c>
      <c r="F793" t="inlineStr">
        <is>
          <t>19-Mar-2026</t>
        </is>
      </c>
      <c r="G793" t="inlineStr">
        <is>
          <t>Thursday</t>
        </is>
      </c>
      <c r="H793" t="inlineStr">
        <is>
          <t>Weekly - Thursday</t>
        </is>
      </c>
      <c r="I793" t="inlineStr">
        <is>
          <t>Weekly - Thursday</t>
        </is>
      </c>
      <c r="J793" t="inlineStr">
        <is>
          <t>Month+1 Expiry</t>
        </is>
      </c>
      <c r="K793" s="25" t="n">
        <v>5</v>
      </c>
      <c r="L793" s="26" t="n">
        <v>0.008399999999999999</v>
      </c>
      <c r="M793" s="26" t="n">
        <v>0.0001</v>
      </c>
    </row>
    <row r="794" ht="16" customHeight="1">
      <c r="A794" t="inlineStr">
        <is>
          <t>24-Feb-2026</t>
        </is>
      </c>
      <c r="B794" t="inlineStr">
        <is>
          <t>Tuesday</t>
        </is>
      </c>
      <c r="C794" t="inlineStr">
        <is>
          <t>Week4-Feb-2026</t>
        </is>
      </c>
      <c r="D794" s="78" t="n">
        <v>46054</v>
      </c>
      <c r="E794" t="inlineStr">
        <is>
          <t>Q4FY26</t>
        </is>
      </c>
      <c r="F794" t="inlineStr">
        <is>
          <t>25-Mar-2026</t>
        </is>
      </c>
      <c r="G794" t="inlineStr">
        <is>
          <t>Wednesday</t>
        </is>
      </c>
      <c r="H794" t="inlineStr">
        <is>
          <t>Monthly - Wednesday</t>
        </is>
      </c>
      <c r="I794" t="inlineStr">
        <is>
          <t>Monthly - Wednesday</t>
        </is>
      </c>
      <c r="J794" t="inlineStr">
        <is>
          <t>Month+1 Expiry</t>
        </is>
      </c>
      <c r="K794" s="25" t="n">
        <v>12689</v>
      </c>
      <c r="L794" s="26" t="n">
        <v>21.3352</v>
      </c>
      <c r="M794" s="26" t="n">
        <v>0.2215</v>
      </c>
    </row>
    <row r="795" ht="16" customHeight="1">
      <c r="A795" t="inlineStr">
        <is>
          <t>24-Feb-2026</t>
        </is>
      </c>
      <c r="B795" t="inlineStr">
        <is>
          <t>Tuesday</t>
        </is>
      </c>
      <c r="C795" t="inlineStr">
        <is>
          <t>Week4-Feb-2026</t>
        </is>
      </c>
      <c r="D795" s="78" t="n">
        <v>46054</v>
      </c>
      <c r="E795" t="inlineStr">
        <is>
          <t>Q4FY26</t>
        </is>
      </c>
      <c r="F795" t="inlineStr">
        <is>
          <t>30-Apr-2026</t>
        </is>
      </c>
      <c r="G795" t="inlineStr">
        <is>
          <t>Thursday</t>
        </is>
      </c>
      <c r="H795" t="inlineStr">
        <is>
          <t>Monthly - Thursday</t>
        </is>
      </c>
      <c r="I795" t="inlineStr">
        <is>
          <t>Monthly - Thursday</t>
        </is>
      </c>
      <c r="J795" t="inlineStr">
        <is>
          <t>Month+2 Expiry</t>
        </is>
      </c>
      <c r="K795" s="25" t="n">
        <v>0</v>
      </c>
      <c r="L795" s="26" t="n">
        <v>0</v>
      </c>
      <c r="M795" s="26" t="n">
        <v>0</v>
      </c>
    </row>
    <row r="796" ht="16" customHeight="1">
      <c r="A796" t="inlineStr">
        <is>
          <t>24-Feb-2026</t>
        </is>
      </c>
      <c r="B796" t="inlineStr">
        <is>
          <t>Tuesday</t>
        </is>
      </c>
      <c r="C796" t="inlineStr">
        <is>
          <t>Week4-Feb-2026</t>
        </is>
      </c>
      <c r="D796" s="78" t="n">
        <v>46054</v>
      </c>
      <c r="E796" t="inlineStr">
        <is>
          <t>Q4FY26</t>
        </is>
      </c>
      <c r="F796" t="inlineStr">
        <is>
          <t>25-Jun-2026</t>
        </is>
      </c>
      <c r="G796" t="inlineStr">
        <is>
          <t>Thursday</t>
        </is>
      </c>
      <c r="H796" t="inlineStr">
        <is>
          <t>Monthly - Thursday</t>
        </is>
      </c>
      <c r="I796" t="inlineStr">
        <is>
          <t>Monthly - Thursday</t>
        </is>
      </c>
      <c r="J796" t="inlineStr">
        <is>
          <t>Month+4 Expiry</t>
        </is>
      </c>
      <c r="K796" s="25" t="n">
        <v>0</v>
      </c>
      <c r="L796" s="26" t="n">
        <v>0</v>
      </c>
      <c r="M796" s="26" t="n">
        <v>0</v>
      </c>
    </row>
    <row r="797" ht="16" customHeight="1">
      <c r="A797" t="inlineStr">
        <is>
          <t>25-Feb-2026</t>
        </is>
      </c>
      <c r="B797" t="inlineStr">
        <is>
          <t>Wednesday</t>
        </is>
      </c>
      <c r="C797" t="inlineStr">
        <is>
          <t>Week4-Feb-2026</t>
        </is>
      </c>
      <c r="D797" s="78" t="n">
        <v>46054</v>
      </c>
      <c r="E797" t="inlineStr">
        <is>
          <t>Q4FY26</t>
        </is>
      </c>
      <c r="F797" t="inlineStr">
        <is>
          <t>26-Feb-2026</t>
        </is>
      </c>
      <c r="G797" t="inlineStr">
        <is>
          <t>Thursday</t>
        </is>
      </c>
      <c r="H797" t="inlineStr">
        <is>
          <t>Monthly - Thursday</t>
        </is>
      </c>
      <c r="I797" t="inlineStr">
        <is>
          <t>MDAW - Thursday</t>
        </is>
      </c>
      <c r="J797" t="inlineStr">
        <is>
          <t>Same Month Expiry</t>
        </is>
      </c>
      <c r="K797" s="25" t="n">
        <v>140214616</v>
      </c>
      <c r="L797" s="26" t="n">
        <v>231744.7309</v>
      </c>
      <c r="M797" s="26" t="n">
        <v>401.1733</v>
      </c>
    </row>
    <row r="798" ht="16" customHeight="1">
      <c r="A798" t="inlineStr">
        <is>
          <t>25-Feb-2026</t>
        </is>
      </c>
      <c r="B798" t="inlineStr">
        <is>
          <t>Wednesday</t>
        </is>
      </c>
      <c r="C798" t="inlineStr">
        <is>
          <t>Week4-Feb-2026</t>
        </is>
      </c>
      <c r="D798" s="78" t="n">
        <v>46054</v>
      </c>
      <c r="E798" t="inlineStr">
        <is>
          <t>Q4FY26</t>
        </is>
      </c>
      <c r="F798" t="inlineStr">
        <is>
          <t>05-Mar-2026</t>
        </is>
      </c>
      <c r="G798" t="inlineStr">
        <is>
          <t>Thursday</t>
        </is>
      </c>
      <c r="H798" t="inlineStr">
        <is>
          <t>Weekly - Thursday</t>
        </is>
      </c>
      <c r="I798" t="inlineStr">
        <is>
          <t>Weekly - Thursday</t>
        </is>
      </c>
      <c r="J798" t="inlineStr">
        <is>
          <t>Month+1 Expiry</t>
        </is>
      </c>
      <c r="K798" s="25" t="n">
        <v>726377</v>
      </c>
      <c r="L798" s="26" t="n">
        <v>1205.7112</v>
      </c>
      <c r="M798" s="26" t="n">
        <v>5.3412</v>
      </c>
    </row>
    <row r="799" ht="16" customHeight="1">
      <c r="A799" t="inlineStr">
        <is>
          <t>25-Feb-2026</t>
        </is>
      </c>
      <c r="B799" t="inlineStr">
        <is>
          <t>Wednesday</t>
        </is>
      </c>
      <c r="C799" t="inlineStr">
        <is>
          <t>Week4-Feb-2026</t>
        </is>
      </c>
      <c r="D799" s="78" t="n">
        <v>46054</v>
      </c>
      <c r="E799" t="inlineStr">
        <is>
          <t>Q4FY26</t>
        </is>
      </c>
      <c r="F799" t="inlineStr">
        <is>
          <t>12-Mar-2026</t>
        </is>
      </c>
      <c r="G799" t="inlineStr">
        <is>
          <t>Thursday</t>
        </is>
      </c>
      <c r="H799" t="inlineStr">
        <is>
          <t>Weekly - Thursday</t>
        </is>
      </c>
      <c r="I799" t="inlineStr">
        <is>
          <t>Weekly - Thursday</t>
        </is>
      </c>
      <c r="J799" t="inlineStr">
        <is>
          <t>Month+1 Expiry</t>
        </is>
      </c>
      <c r="K799" s="25" t="n">
        <v>15005</v>
      </c>
      <c r="L799" s="26" t="n">
        <v>24.8198</v>
      </c>
      <c r="M799" s="26" t="n">
        <v>0.1748</v>
      </c>
    </row>
    <row r="800" ht="16" customHeight="1">
      <c r="A800" t="inlineStr">
        <is>
          <t>25-Feb-2026</t>
        </is>
      </c>
      <c r="B800" t="inlineStr">
        <is>
          <t>Wednesday</t>
        </is>
      </c>
      <c r="C800" t="inlineStr">
        <is>
          <t>Week4-Feb-2026</t>
        </is>
      </c>
      <c r="D800" s="78" t="n">
        <v>46054</v>
      </c>
      <c r="E800" t="inlineStr">
        <is>
          <t>Q4FY26</t>
        </is>
      </c>
      <c r="F800" t="inlineStr">
        <is>
          <t>19-Mar-2026</t>
        </is>
      </c>
      <c r="G800" t="inlineStr">
        <is>
          <t>Thursday</t>
        </is>
      </c>
      <c r="H800" t="inlineStr">
        <is>
          <t>Weekly - Thursday</t>
        </is>
      </c>
      <c r="I800" t="inlineStr">
        <is>
          <t>Weekly - Thursday</t>
        </is>
      </c>
      <c r="J800" t="inlineStr">
        <is>
          <t>Month+1 Expiry</t>
        </is>
      </c>
      <c r="K800" s="25" t="n">
        <v>126</v>
      </c>
      <c r="L800" s="26" t="n">
        <v>0.2111</v>
      </c>
      <c r="M800" s="26" t="n">
        <v>0.0025</v>
      </c>
    </row>
    <row r="801" ht="16" customHeight="1">
      <c r="A801" t="inlineStr">
        <is>
          <t>25-Feb-2026</t>
        </is>
      </c>
      <c r="B801" t="inlineStr">
        <is>
          <t>Wednesday</t>
        </is>
      </c>
      <c r="C801" t="inlineStr">
        <is>
          <t>Week4-Feb-2026</t>
        </is>
      </c>
      <c r="D801" s="78" t="n">
        <v>46054</v>
      </c>
      <c r="E801" t="inlineStr">
        <is>
          <t>Q4FY26</t>
        </is>
      </c>
      <c r="F801" t="inlineStr">
        <is>
          <t>25-Mar-2026</t>
        </is>
      </c>
      <c r="G801" t="inlineStr">
        <is>
          <t>Wednesday</t>
        </is>
      </c>
      <c r="H801" t="inlineStr">
        <is>
          <t>Monthly - Wednesday</t>
        </is>
      </c>
      <c r="I801" t="inlineStr">
        <is>
          <t>Monthly - Wednesday</t>
        </is>
      </c>
      <c r="J801" t="inlineStr">
        <is>
          <t>Month+1 Expiry</t>
        </is>
      </c>
      <c r="K801" s="25" t="n">
        <v>15892</v>
      </c>
      <c r="L801" s="26" t="n">
        <v>26.6333</v>
      </c>
      <c r="M801" s="26" t="n">
        <v>0.2556</v>
      </c>
    </row>
    <row r="802" ht="16" customHeight="1">
      <c r="A802" t="inlineStr">
        <is>
          <t>25-Feb-2026</t>
        </is>
      </c>
      <c r="B802" t="inlineStr">
        <is>
          <t>Wednesday</t>
        </is>
      </c>
      <c r="C802" t="inlineStr">
        <is>
          <t>Week4-Feb-2026</t>
        </is>
      </c>
      <c r="D802" s="78" t="n">
        <v>46054</v>
      </c>
      <c r="E802" t="inlineStr">
        <is>
          <t>Q4FY26</t>
        </is>
      </c>
      <c r="F802" t="inlineStr">
        <is>
          <t>30-Apr-2026</t>
        </is>
      </c>
      <c r="G802" t="inlineStr">
        <is>
          <t>Thursday</t>
        </is>
      </c>
      <c r="H802" t="inlineStr">
        <is>
          <t>Monthly - Thursday</t>
        </is>
      </c>
      <c r="I802" t="inlineStr">
        <is>
          <t>Monthly - Thursday</t>
        </is>
      </c>
      <c r="J802" t="inlineStr">
        <is>
          <t>Month+2 Expiry</t>
        </is>
      </c>
      <c r="K802" s="25" t="n">
        <v>0</v>
      </c>
      <c r="L802" s="26" t="n">
        <v>0</v>
      </c>
      <c r="M802" s="26" t="n">
        <v>0</v>
      </c>
    </row>
    <row r="803" ht="16" customHeight="1">
      <c r="A803" t="inlineStr">
        <is>
          <t>25-Feb-2026</t>
        </is>
      </c>
      <c r="B803" t="inlineStr">
        <is>
          <t>Wednesday</t>
        </is>
      </c>
      <c r="C803" t="inlineStr">
        <is>
          <t>Week4-Feb-2026</t>
        </is>
      </c>
      <c r="D803" s="78" t="n">
        <v>46054</v>
      </c>
      <c r="E803" t="inlineStr">
        <is>
          <t>Q4FY26</t>
        </is>
      </c>
      <c r="F803" t="inlineStr">
        <is>
          <t>25-Jun-2026</t>
        </is>
      </c>
      <c r="G803" t="inlineStr">
        <is>
          <t>Thursday</t>
        </is>
      </c>
      <c r="H803" t="inlineStr">
        <is>
          <t>Monthly - Thursday</t>
        </is>
      </c>
      <c r="I803" t="inlineStr">
        <is>
          <t>Monthly - Thursday</t>
        </is>
      </c>
      <c r="J803" t="inlineStr">
        <is>
          <t>Month+4 Expiry</t>
        </is>
      </c>
      <c r="K803" s="25" t="n">
        <v>0</v>
      </c>
      <c r="L803" s="26" t="n">
        <v>0</v>
      </c>
      <c r="M803" s="26" t="n">
        <v>0</v>
      </c>
    </row>
    <row r="804" ht="16" customHeight="1">
      <c r="A804" t="inlineStr">
        <is>
          <t>26-Feb-2026</t>
        </is>
      </c>
      <c r="B804" t="inlineStr">
        <is>
          <t>Thursday</t>
        </is>
      </c>
      <c r="C804" t="inlineStr">
        <is>
          <t>Week4-Feb-2026</t>
        </is>
      </c>
      <c r="D804" s="78" t="n">
        <v>46054</v>
      </c>
      <c r="E804" t="inlineStr">
        <is>
          <t>Q4FY26</t>
        </is>
      </c>
      <c r="F804" t="inlineStr">
        <is>
          <t>26-Feb-2026</t>
        </is>
      </c>
      <c r="G804" t="inlineStr">
        <is>
          <t>Thursday</t>
        </is>
      </c>
      <c r="H804" t="inlineStr">
        <is>
          <t>Monthly - Thursday</t>
        </is>
      </c>
      <c r="I804" t="inlineStr">
        <is>
          <t>MDAW - Thursday</t>
        </is>
      </c>
      <c r="J804" t="inlineStr">
        <is>
          <t>Same Month Expiry</t>
        </is>
      </c>
      <c r="K804" s="25" t="n">
        <v>531656607</v>
      </c>
      <c r="L804" s="26" t="n">
        <v>875224.6496</v>
      </c>
      <c r="M804" s="26" t="n">
        <v>633.0069999999999</v>
      </c>
    </row>
    <row r="805" ht="16" customHeight="1">
      <c r="A805" t="inlineStr">
        <is>
          <t>26-Feb-2026</t>
        </is>
      </c>
      <c r="B805" t="inlineStr">
        <is>
          <t>Thursday</t>
        </is>
      </c>
      <c r="C805" t="inlineStr">
        <is>
          <t>Week4-Feb-2026</t>
        </is>
      </c>
      <c r="D805" s="78" t="n">
        <v>46054</v>
      </c>
      <c r="E805" t="inlineStr">
        <is>
          <t>Q4FY26</t>
        </is>
      </c>
      <c r="F805" t="inlineStr">
        <is>
          <t>05-Mar-2026</t>
        </is>
      </c>
      <c r="G805" t="inlineStr">
        <is>
          <t>Thursday</t>
        </is>
      </c>
      <c r="H805" t="inlineStr">
        <is>
          <t>Weekly - Thursday</t>
        </is>
      </c>
      <c r="I805" t="inlineStr">
        <is>
          <t>Weekly - Thursday</t>
        </is>
      </c>
      <c r="J805" t="inlineStr">
        <is>
          <t>Month+1 Expiry</t>
        </is>
      </c>
      <c r="K805" s="25" t="n">
        <v>2270333</v>
      </c>
      <c r="L805" s="26" t="n">
        <v>3754.8401</v>
      </c>
      <c r="M805" s="26" t="n">
        <v>13.9563</v>
      </c>
    </row>
    <row r="806" ht="16" customHeight="1">
      <c r="A806" t="inlineStr">
        <is>
          <t>26-Feb-2026</t>
        </is>
      </c>
      <c r="B806" t="inlineStr">
        <is>
          <t>Thursday</t>
        </is>
      </c>
      <c r="C806" t="inlineStr">
        <is>
          <t>Week4-Feb-2026</t>
        </is>
      </c>
      <c r="D806" s="78" t="n">
        <v>46054</v>
      </c>
      <c r="E806" t="inlineStr">
        <is>
          <t>Q4FY26</t>
        </is>
      </c>
      <c r="F806" t="inlineStr">
        <is>
          <t>12-Mar-2026</t>
        </is>
      </c>
      <c r="G806" t="inlineStr">
        <is>
          <t>Thursday</t>
        </is>
      </c>
      <c r="H806" t="inlineStr">
        <is>
          <t>Weekly - Thursday</t>
        </is>
      </c>
      <c r="I806" t="inlineStr">
        <is>
          <t>Weekly - Thursday</t>
        </is>
      </c>
      <c r="J806" t="inlineStr">
        <is>
          <t>Month+1 Expiry</t>
        </is>
      </c>
      <c r="K806" s="25" t="n">
        <v>27115</v>
      </c>
      <c r="L806" s="26" t="n">
        <v>45.0291</v>
      </c>
      <c r="M806" s="26" t="n">
        <v>0.2906</v>
      </c>
    </row>
    <row r="807" ht="16" customHeight="1">
      <c r="A807" t="inlineStr">
        <is>
          <t>26-Feb-2026</t>
        </is>
      </c>
      <c r="B807" t="inlineStr">
        <is>
          <t>Thursday</t>
        </is>
      </c>
      <c r="C807" t="inlineStr">
        <is>
          <t>Week4-Feb-2026</t>
        </is>
      </c>
      <c r="D807" s="78" t="n">
        <v>46054</v>
      </c>
      <c r="E807" t="inlineStr">
        <is>
          <t>Q4FY26</t>
        </is>
      </c>
      <c r="F807" t="inlineStr">
        <is>
          <t>19-Mar-2026</t>
        </is>
      </c>
      <c r="G807" t="inlineStr">
        <is>
          <t>Thursday</t>
        </is>
      </c>
      <c r="H807" t="inlineStr">
        <is>
          <t>Weekly - Thursday</t>
        </is>
      </c>
      <c r="I807" t="inlineStr">
        <is>
          <t>Weekly - Thursday</t>
        </is>
      </c>
      <c r="J807" t="inlineStr">
        <is>
          <t>Month+1 Expiry</t>
        </is>
      </c>
      <c r="K807" s="25" t="n">
        <v>80</v>
      </c>
      <c r="L807" s="26" t="n">
        <v>0.135</v>
      </c>
      <c r="M807" s="26" t="n">
        <v>0.0013</v>
      </c>
    </row>
    <row r="808" ht="16" customHeight="1">
      <c r="A808" t="inlineStr">
        <is>
          <t>26-Feb-2026</t>
        </is>
      </c>
      <c r="B808" t="inlineStr">
        <is>
          <t>Thursday</t>
        </is>
      </c>
      <c r="C808" t="inlineStr">
        <is>
          <t>Week4-Feb-2026</t>
        </is>
      </c>
      <c r="D808" s="78" t="n">
        <v>46054</v>
      </c>
      <c r="E808" t="inlineStr">
        <is>
          <t>Q4FY26</t>
        </is>
      </c>
      <c r="F808" t="inlineStr">
        <is>
          <t>25-Mar-2026</t>
        </is>
      </c>
      <c r="G808" t="inlineStr">
        <is>
          <t>Wednesday</t>
        </is>
      </c>
      <c r="H808" t="inlineStr">
        <is>
          <t>Monthly - Wednesday</t>
        </is>
      </c>
      <c r="I808" t="inlineStr">
        <is>
          <t>Monthly - Wednesday</t>
        </is>
      </c>
      <c r="J808" t="inlineStr">
        <is>
          <t>Month+1 Expiry</t>
        </is>
      </c>
      <c r="K808" s="25" t="n">
        <v>21177</v>
      </c>
      <c r="L808" s="26" t="n">
        <v>35.4962</v>
      </c>
      <c r="M808" s="26" t="n">
        <v>0.3481</v>
      </c>
    </row>
    <row r="809" ht="16" customHeight="1">
      <c r="A809" t="inlineStr">
        <is>
          <t>26-Feb-2026</t>
        </is>
      </c>
      <c r="B809" t="inlineStr">
        <is>
          <t>Thursday</t>
        </is>
      </c>
      <c r="C809" t="inlineStr">
        <is>
          <t>Week4-Feb-2026</t>
        </is>
      </c>
      <c r="D809" s="78" t="n">
        <v>46054</v>
      </c>
      <c r="E809" t="inlineStr">
        <is>
          <t>Q4FY26</t>
        </is>
      </c>
      <c r="F809" t="inlineStr">
        <is>
          <t>30-Apr-2026</t>
        </is>
      </c>
      <c r="G809" t="inlineStr">
        <is>
          <t>Thursday</t>
        </is>
      </c>
      <c r="H809" t="inlineStr">
        <is>
          <t>Monthly - Thursday</t>
        </is>
      </c>
      <c r="I809" t="inlineStr">
        <is>
          <t>Monthly - Thursday</t>
        </is>
      </c>
      <c r="J809" t="inlineStr">
        <is>
          <t>Month+2 Expiry</t>
        </is>
      </c>
      <c r="K809" s="25" t="n">
        <v>0</v>
      </c>
      <c r="L809" s="26" t="n">
        <v>0</v>
      </c>
      <c r="M809" s="26" t="n">
        <v>0</v>
      </c>
    </row>
    <row r="810" ht="16" customHeight="1">
      <c r="A810" t="inlineStr">
        <is>
          <t>26-Feb-2026</t>
        </is>
      </c>
      <c r="B810" t="inlineStr">
        <is>
          <t>Thursday</t>
        </is>
      </c>
      <c r="C810" t="inlineStr">
        <is>
          <t>Week4-Feb-2026</t>
        </is>
      </c>
      <c r="D810" s="78" t="n">
        <v>46054</v>
      </c>
      <c r="E810" t="inlineStr">
        <is>
          <t>Q4FY26</t>
        </is>
      </c>
      <c r="F810" t="inlineStr">
        <is>
          <t>25-Jun-2026</t>
        </is>
      </c>
      <c r="G810" t="inlineStr">
        <is>
          <t>Thursday</t>
        </is>
      </c>
      <c r="H810" t="inlineStr">
        <is>
          <t>Monthly - Thursday</t>
        </is>
      </c>
      <c r="I810" t="inlineStr">
        <is>
          <t>Monthly - Thursday</t>
        </is>
      </c>
      <c r="J810" t="inlineStr">
        <is>
          <t>Month+4 Expiry</t>
        </is>
      </c>
      <c r="K810" s="25" t="n">
        <v>0</v>
      </c>
      <c r="L810" s="26" t="n">
        <v>0</v>
      </c>
      <c r="M810" s="26" t="n">
        <v>0</v>
      </c>
    </row>
    <row r="811" ht="16" customHeight="1">
      <c r="A811" t="inlineStr">
        <is>
          <t>27-Feb-2026</t>
        </is>
      </c>
      <c r="B811" t="inlineStr">
        <is>
          <t>Friday</t>
        </is>
      </c>
      <c r="C811" t="inlineStr">
        <is>
          <t>Week4-Feb-2026</t>
        </is>
      </c>
      <c r="D811" s="78" t="n">
        <v>46054</v>
      </c>
      <c r="E811" t="inlineStr">
        <is>
          <t>Q4FY26</t>
        </is>
      </c>
      <c r="F811" t="inlineStr">
        <is>
          <t>05-Mar-2026</t>
        </is>
      </c>
      <c r="G811" t="inlineStr">
        <is>
          <t>Thursday</t>
        </is>
      </c>
      <c r="H811" t="inlineStr">
        <is>
          <t>Weekly - Thursday</t>
        </is>
      </c>
      <c r="I811" t="inlineStr">
        <is>
          <t>Weekly - Thursday</t>
        </is>
      </c>
      <c r="J811" t="inlineStr">
        <is>
          <t>Month+1 Expiry</t>
        </is>
      </c>
      <c r="K811" s="25" t="n">
        <v>20443841</v>
      </c>
      <c r="L811" s="26" t="n">
        <v>33514.0824</v>
      </c>
      <c r="M811" s="26" t="n">
        <v>121.165</v>
      </c>
    </row>
    <row r="812" ht="16" customHeight="1">
      <c r="A812" t="inlineStr">
        <is>
          <t>27-Feb-2026</t>
        </is>
      </c>
      <c r="B812" t="inlineStr">
        <is>
          <t>Friday</t>
        </is>
      </c>
      <c r="C812" t="inlineStr">
        <is>
          <t>Week4-Feb-2026</t>
        </is>
      </c>
      <c r="D812" s="78" t="n">
        <v>46054</v>
      </c>
      <c r="E812" t="inlineStr">
        <is>
          <t>Q4FY26</t>
        </is>
      </c>
      <c r="F812" t="inlineStr">
        <is>
          <t>12-Mar-2026</t>
        </is>
      </c>
      <c r="G812" t="inlineStr">
        <is>
          <t>Thursday</t>
        </is>
      </c>
      <c r="H812" t="inlineStr">
        <is>
          <t>Weekly - Thursday</t>
        </is>
      </c>
      <c r="I812" t="inlineStr">
        <is>
          <t>Weekly - Thursday</t>
        </is>
      </c>
      <c r="J812" t="inlineStr">
        <is>
          <t>Month+1 Expiry</t>
        </is>
      </c>
      <c r="K812" s="25" t="n">
        <v>88447</v>
      </c>
      <c r="L812" s="26" t="n">
        <v>145.7497</v>
      </c>
      <c r="M812" s="26" t="n">
        <v>0.885</v>
      </c>
    </row>
    <row r="813" ht="16" customHeight="1">
      <c r="A813" t="inlineStr">
        <is>
          <t>27-Feb-2026</t>
        </is>
      </c>
      <c r="B813" t="inlineStr">
        <is>
          <t>Friday</t>
        </is>
      </c>
      <c r="C813" t="inlineStr">
        <is>
          <t>Week4-Feb-2026</t>
        </is>
      </c>
      <c r="D813" s="78" t="n">
        <v>46054</v>
      </c>
      <c r="E813" t="inlineStr">
        <is>
          <t>Q4FY26</t>
        </is>
      </c>
      <c r="F813" t="inlineStr">
        <is>
          <t>19-Mar-2026</t>
        </is>
      </c>
      <c r="G813" t="inlineStr">
        <is>
          <t>Thursday</t>
        </is>
      </c>
      <c r="H813" t="inlineStr">
        <is>
          <t>Weekly - Thursday</t>
        </is>
      </c>
      <c r="I813" t="inlineStr">
        <is>
          <t>Weekly - Thursday</t>
        </is>
      </c>
      <c r="J813" t="inlineStr">
        <is>
          <t>Month+1 Expiry</t>
        </is>
      </c>
      <c r="K813" s="25" t="n">
        <v>327</v>
      </c>
      <c r="L813" s="26" t="n">
        <v>0.5359</v>
      </c>
      <c r="M813" s="26" t="n">
        <v>0.0051</v>
      </c>
    </row>
    <row r="814" ht="16" customHeight="1">
      <c r="A814" t="inlineStr">
        <is>
          <t>27-Feb-2026</t>
        </is>
      </c>
      <c r="B814" t="inlineStr">
        <is>
          <t>Friday</t>
        </is>
      </c>
      <c r="C814" t="inlineStr">
        <is>
          <t>Week4-Feb-2026</t>
        </is>
      </c>
      <c r="D814" s="78" t="n">
        <v>46054</v>
      </c>
      <c r="E814" t="inlineStr">
        <is>
          <t>Q4FY26</t>
        </is>
      </c>
      <c r="F814" t="inlineStr">
        <is>
          <t>25-Mar-2026</t>
        </is>
      </c>
      <c r="G814" t="inlineStr">
        <is>
          <t>Wednesday</t>
        </is>
      </c>
      <c r="H814" t="inlineStr">
        <is>
          <t>Monthly - Wednesday</t>
        </is>
      </c>
      <c r="I814" t="inlineStr">
        <is>
          <t>Monthly - Wednesday</t>
        </is>
      </c>
      <c r="J814" t="inlineStr">
        <is>
          <t>Month+1 Expiry</t>
        </is>
      </c>
      <c r="K814" s="25" t="n">
        <v>42451</v>
      </c>
      <c r="L814" s="26" t="n">
        <v>70.92570000000001</v>
      </c>
      <c r="M814" s="26" t="n">
        <v>0.7054</v>
      </c>
    </row>
    <row r="815" ht="16" customHeight="1">
      <c r="A815" t="inlineStr">
        <is>
          <t>27-Feb-2026</t>
        </is>
      </c>
      <c r="B815" t="inlineStr">
        <is>
          <t>Friday</t>
        </is>
      </c>
      <c r="C815" t="inlineStr">
        <is>
          <t>Week4-Feb-2026</t>
        </is>
      </c>
      <c r="D815" s="78" t="n">
        <v>46054</v>
      </c>
      <c r="E815" t="inlineStr">
        <is>
          <t>Q4FY26</t>
        </is>
      </c>
      <c r="F815" t="inlineStr">
        <is>
          <t>30-Apr-2026</t>
        </is>
      </c>
      <c r="G815" t="inlineStr">
        <is>
          <t>Thursday</t>
        </is>
      </c>
      <c r="H815" t="inlineStr">
        <is>
          <t>Monthly - Thursday</t>
        </is>
      </c>
      <c r="I815" t="inlineStr">
        <is>
          <t>Monthly - Thursday</t>
        </is>
      </c>
      <c r="J815" t="inlineStr">
        <is>
          <t>Month+2 Expiry</t>
        </is>
      </c>
      <c r="K815" s="25" t="n">
        <v>0</v>
      </c>
      <c r="L815" s="26" t="n">
        <v>0</v>
      </c>
      <c r="M815" s="26" t="n">
        <v>0</v>
      </c>
    </row>
    <row r="816" ht="16" customHeight="1">
      <c r="A816" t="inlineStr">
        <is>
          <t>27-Feb-2026</t>
        </is>
      </c>
      <c r="B816" t="inlineStr">
        <is>
          <t>Friday</t>
        </is>
      </c>
      <c r="C816" t="inlineStr">
        <is>
          <t>Week4-Feb-2026</t>
        </is>
      </c>
      <c r="D816" s="78" t="n">
        <v>46054</v>
      </c>
      <c r="E816" t="inlineStr">
        <is>
          <t>Q4FY26</t>
        </is>
      </c>
      <c r="F816" t="inlineStr">
        <is>
          <t>25-Jun-2026</t>
        </is>
      </c>
      <c r="G816" t="inlineStr">
        <is>
          <t>Thursday</t>
        </is>
      </c>
      <c r="H816" t="inlineStr">
        <is>
          <t>Monthly - Thursday</t>
        </is>
      </c>
      <c r="I816" t="inlineStr">
        <is>
          <t>Monthly - Thursday</t>
        </is>
      </c>
      <c r="J816" t="inlineStr">
        <is>
          <t>Month+4 Expiry</t>
        </is>
      </c>
      <c r="K816" s="25" t="n">
        <v>0</v>
      </c>
      <c r="L816" s="26" t="n">
        <v>0</v>
      </c>
      <c r="M816" s="26" t="n">
        <v>0</v>
      </c>
    </row>
    <row r="817" ht="16" customHeight="1">
      <c r="A817" t="inlineStr">
        <is>
          <t>02-Mar-2026</t>
        </is>
      </c>
      <c r="B817" t="inlineStr">
        <is>
          <t>Monday</t>
        </is>
      </c>
      <c r="C817" t="inlineStr">
        <is>
          <t>Week1-Mar-2026</t>
        </is>
      </c>
      <c r="D817" s="78" t="n">
        <v>46082</v>
      </c>
      <c r="E817" t="inlineStr">
        <is>
          <t>Q4FY26</t>
        </is>
      </c>
      <c r="F817" t="inlineStr">
        <is>
          <t>05-Mar-2026</t>
        </is>
      </c>
      <c r="G817" t="inlineStr">
        <is>
          <t>Thursday</t>
        </is>
      </c>
      <c r="H817" t="inlineStr">
        <is>
          <t>Weekly - Thursday</t>
        </is>
      </c>
      <c r="I817" t="inlineStr">
        <is>
          <t>Weekly - Thursday</t>
        </is>
      </c>
      <c r="J817" t="inlineStr">
        <is>
          <t>Same Month Expiry</t>
        </is>
      </c>
      <c r="K817" s="25" t="n">
        <v>30932779</v>
      </c>
      <c r="L817" s="26" t="n">
        <v>49758.4874</v>
      </c>
      <c r="M817" s="26" t="n">
        <v>175.8168</v>
      </c>
    </row>
    <row r="818" ht="16" customHeight="1">
      <c r="A818" t="inlineStr">
        <is>
          <t>02-Mar-2026</t>
        </is>
      </c>
      <c r="B818" t="inlineStr">
        <is>
          <t>Monday</t>
        </is>
      </c>
      <c r="C818" t="inlineStr">
        <is>
          <t>Week1-Mar-2026</t>
        </is>
      </c>
      <c r="D818" s="78" t="n">
        <v>46082</v>
      </c>
      <c r="E818" t="inlineStr">
        <is>
          <t>Q4FY26</t>
        </is>
      </c>
      <c r="F818" t="inlineStr">
        <is>
          <t>12-Mar-2026</t>
        </is>
      </c>
      <c r="G818" t="inlineStr">
        <is>
          <t>Thursday</t>
        </is>
      </c>
      <c r="H818" t="inlineStr">
        <is>
          <t>Weekly - Thursday</t>
        </is>
      </c>
      <c r="I818" t="inlineStr">
        <is>
          <t>Weekly - Thursday</t>
        </is>
      </c>
      <c r="J818" t="inlineStr">
        <is>
          <t>Same Month Expiry</t>
        </is>
      </c>
      <c r="K818" s="25" t="n">
        <v>247534</v>
      </c>
      <c r="L818" s="26" t="n">
        <v>402.5625</v>
      </c>
      <c r="M818" s="26" t="n">
        <v>2.8254</v>
      </c>
    </row>
    <row r="819" ht="16" customHeight="1">
      <c r="A819" t="inlineStr">
        <is>
          <t>02-Mar-2026</t>
        </is>
      </c>
      <c r="B819" t="inlineStr">
        <is>
          <t>Monday</t>
        </is>
      </c>
      <c r="C819" t="inlineStr">
        <is>
          <t>Week1-Mar-2026</t>
        </is>
      </c>
      <c r="D819" s="78" t="n">
        <v>46082</v>
      </c>
      <c r="E819" t="inlineStr">
        <is>
          <t>Q4FY26</t>
        </is>
      </c>
      <c r="F819" t="inlineStr">
        <is>
          <t>19-Mar-2026</t>
        </is>
      </c>
      <c r="G819" t="inlineStr">
        <is>
          <t>Thursday</t>
        </is>
      </c>
      <c r="H819" t="inlineStr">
        <is>
          <t>Weekly - Thursday</t>
        </is>
      </c>
      <c r="I819" t="inlineStr">
        <is>
          <t>Weekly - Thursday</t>
        </is>
      </c>
      <c r="J819" t="inlineStr">
        <is>
          <t>Same Month Expiry</t>
        </is>
      </c>
      <c r="K819" s="25" t="n">
        <v>859</v>
      </c>
      <c r="L819" s="26" t="n">
        <v>1.412</v>
      </c>
      <c r="M819" s="26" t="n">
        <v>0.0131</v>
      </c>
    </row>
    <row r="820" ht="16" customHeight="1">
      <c r="A820" t="inlineStr">
        <is>
          <t>02-Mar-2026</t>
        </is>
      </c>
      <c r="B820" t="inlineStr">
        <is>
          <t>Monday</t>
        </is>
      </c>
      <c r="C820" t="inlineStr">
        <is>
          <t>Week1-Mar-2026</t>
        </is>
      </c>
      <c r="D820" s="78" t="n">
        <v>46082</v>
      </c>
      <c r="E820" t="inlineStr">
        <is>
          <t>Q4FY26</t>
        </is>
      </c>
      <c r="F820" t="inlineStr">
        <is>
          <t>25-Mar-2026</t>
        </is>
      </c>
      <c r="G820" t="inlineStr">
        <is>
          <t>Wednesday</t>
        </is>
      </c>
      <c r="H820" t="inlineStr">
        <is>
          <t>Monthly - Wednesday</t>
        </is>
      </c>
      <c r="I820" t="inlineStr">
        <is>
          <t>Monthly - Wednesday</t>
        </is>
      </c>
      <c r="J820" t="inlineStr">
        <is>
          <t>Same Month Expiry</t>
        </is>
      </c>
      <c r="K820" s="25" t="n">
        <v>50067</v>
      </c>
      <c r="L820" s="26" t="n">
        <v>82.72580000000001</v>
      </c>
      <c r="M820" s="26" t="n">
        <v>0.7486</v>
      </c>
    </row>
    <row r="821" ht="16" customHeight="1">
      <c r="A821" t="inlineStr">
        <is>
          <t>02-Mar-2026</t>
        </is>
      </c>
      <c r="B821" t="inlineStr">
        <is>
          <t>Monday</t>
        </is>
      </c>
      <c r="C821" t="inlineStr">
        <is>
          <t>Week1-Mar-2026</t>
        </is>
      </c>
      <c r="D821" s="78" t="n">
        <v>46082</v>
      </c>
      <c r="E821" t="inlineStr">
        <is>
          <t>Q4FY26</t>
        </is>
      </c>
      <c r="F821" t="inlineStr">
        <is>
          <t>30-Apr-2026</t>
        </is>
      </c>
      <c r="G821" t="inlineStr">
        <is>
          <t>Thursday</t>
        </is>
      </c>
      <c r="H821" t="inlineStr">
        <is>
          <t>Monthly - Thursday</t>
        </is>
      </c>
      <c r="I821" t="inlineStr">
        <is>
          <t>Monthly - Thursday</t>
        </is>
      </c>
      <c r="J821" t="inlineStr">
        <is>
          <t>Month+1 Expiry</t>
        </is>
      </c>
      <c r="K821" s="25" t="n">
        <v>4</v>
      </c>
      <c r="L821" s="26" t="n">
        <v>0.0066</v>
      </c>
      <c r="M821" s="26" t="n">
        <v>0.0003</v>
      </c>
    </row>
    <row r="822" ht="16" customHeight="1">
      <c r="A822" t="inlineStr">
        <is>
          <t>02-Mar-2026</t>
        </is>
      </c>
      <c r="B822" t="inlineStr">
        <is>
          <t>Monday</t>
        </is>
      </c>
      <c r="C822" t="inlineStr">
        <is>
          <t>Week1-Mar-2026</t>
        </is>
      </c>
      <c r="D822" s="78" t="n">
        <v>46082</v>
      </c>
      <c r="E822" t="inlineStr">
        <is>
          <t>Q4FY26</t>
        </is>
      </c>
      <c r="F822" t="inlineStr">
        <is>
          <t>25-Jun-2026</t>
        </is>
      </c>
      <c r="G822" t="inlineStr">
        <is>
          <t>Thursday</t>
        </is>
      </c>
      <c r="H822" t="inlineStr">
        <is>
          <t>Monthly - Thursday</t>
        </is>
      </c>
      <c r="I822" t="inlineStr">
        <is>
          <t>Monthly - Thursday</t>
        </is>
      </c>
      <c r="J822" t="inlineStr">
        <is>
          <t>Month+3 Expiry</t>
        </is>
      </c>
      <c r="K822" s="25" t="n">
        <v>0</v>
      </c>
      <c r="L822" s="26" t="n">
        <v>0</v>
      </c>
      <c r="M822" s="26" t="n">
        <v>0</v>
      </c>
    </row>
    <row r="823" ht="16" customHeight="1">
      <c r="A823" t="inlineStr">
        <is>
          <t>04-Mar-2026</t>
        </is>
      </c>
      <c r="B823" t="inlineStr">
        <is>
          <t>Wednesday</t>
        </is>
      </c>
      <c r="C823" t="inlineStr">
        <is>
          <t>Week1-Mar-2026</t>
        </is>
      </c>
      <c r="D823" s="78" t="n">
        <v>46082</v>
      </c>
      <c r="E823" t="inlineStr">
        <is>
          <t>Q4FY26</t>
        </is>
      </c>
      <c r="F823" t="inlineStr">
        <is>
          <t>05-Mar-2026</t>
        </is>
      </c>
      <c r="G823" t="inlineStr">
        <is>
          <t>Thursday</t>
        </is>
      </c>
      <c r="H823" t="inlineStr">
        <is>
          <t>Weekly - Thursday</t>
        </is>
      </c>
      <c r="I823" t="inlineStr">
        <is>
          <t>Weekly - Thursday</t>
        </is>
      </c>
      <c r="J823" t="inlineStr">
        <is>
          <t>Same Month Expiry</t>
        </is>
      </c>
      <c r="K823" s="25" t="n">
        <v>110981536</v>
      </c>
      <c r="L823" s="26" t="n">
        <v>175750.1428</v>
      </c>
      <c r="M823" s="26" t="n">
        <v>521.181</v>
      </c>
    </row>
    <row r="824" ht="16" customHeight="1">
      <c r="A824" t="inlineStr">
        <is>
          <t>04-Mar-2026</t>
        </is>
      </c>
      <c r="B824" t="inlineStr">
        <is>
          <t>Wednesday</t>
        </is>
      </c>
      <c r="C824" t="inlineStr">
        <is>
          <t>Week1-Mar-2026</t>
        </is>
      </c>
      <c r="D824" s="78" t="n">
        <v>46082</v>
      </c>
      <c r="E824" t="inlineStr">
        <is>
          <t>Q4FY26</t>
        </is>
      </c>
      <c r="F824" t="inlineStr">
        <is>
          <t>12-Mar-2026</t>
        </is>
      </c>
      <c r="G824" t="inlineStr">
        <is>
          <t>Thursday</t>
        </is>
      </c>
      <c r="H824" t="inlineStr">
        <is>
          <t>Weekly - Thursday</t>
        </is>
      </c>
      <c r="I824" t="inlineStr">
        <is>
          <t>Weekly - Thursday</t>
        </is>
      </c>
      <c r="J824" t="inlineStr">
        <is>
          <t>Same Month Expiry</t>
        </is>
      </c>
      <c r="K824" s="25" t="n">
        <v>440591</v>
      </c>
      <c r="L824" s="26" t="n">
        <v>710.6815</v>
      </c>
      <c r="M824" s="26" t="n">
        <v>6.2106</v>
      </c>
    </row>
    <row r="825" ht="16" customHeight="1">
      <c r="A825" t="inlineStr">
        <is>
          <t>04-Mar-2026</t>
        </is>
      </c>
      <c r="B825" t="inlineStr">
        <is>
          <t>Wednesday</t>
        </is>
      </c>
      <c r="C825" t="inlineStr">
        <is>
          <t>Week1-Mar-2026</t>
        </is>
      </c>
      <c r="D825" s="78" t="n">
        <v>46082</v>
      </c>
      <c r="E825" t="inlineStr">
        <is>
          <t>Q4FY26</t>
        </is>
      </c>
      <c r="F825" t="inlineStr">
        <is>
          <t>19-Mar-2026</t>
        </is>
      </c>
      <c r="G825" t="inlineStr">
        <is>
          <t>Thursday</t>
        </is>
      </c>
      <c r="H825" t="inlineStr">
        <is>
          <t>Weekly - Thursday</t>
        </is>
      </c>
      <c r="I825" t="inlineStr">
        <is>
          <t>Weekly - Thursday</t>
        </is>
      </c>
      <c r="J825" t="inlineStr">
        <is>
          <t>Same Month Expiry</t>
        </is>
      </c>
      <c r="K825" s="25" t="n">
        <v>967</v>
      </c>
      <c r="L825" s="26" t="n">
        <v>1.6077</v>
      </c>
      <c r="M825" s="26" t="n">
        <v>0.008</v>
      </c>
    </row>
    <row r="826" ht="16" customHeight="1">
      <c r="A826" t="inlineStr">
        <is>
          <t>04-Mar-2026</t>
        </is>
      </c>
      <c r="B826" t="inlineStr">
        <is>
          <t>Wednesday</t>
        </is>
      </c>
      <c r="C826" t="inlineStr">
        <is>
          <t>Week1-Mar-2026</t>
        </is>
      </c>
      <c r="D826" s="78" t="n">
        <v>46082</v>
      </c>
      <c r="E826" t="inlineStr">
        <is>
          <t>Q4FY26</t>
        </is>
      </c>
      <c r="F826" t="inlineStr">
        <is>
          <t>25-Mar-2026</t>
        </is>
      </c>
      <c r="G826" t="inlineStr">
        <is>
          <t>Wednesday</t>
        </is>
      </c>
      <c r="H826" t="inlineStr">
        <is>
          <t>Monthly - Wednesday</t>
        </is>
      </c>
      <c r="I826" t="inlineStr">
        <is>
          <t>Monthly - Wednesday</t>
        </is>
      </c>
      <c r="J826" t="inlineStr">
        <is>
          <t>Same Month Expiry</t>
        </is>
      </c>
      <c r="K826" s="25" t="n">
        <v>56747</v>
      </c>
      <c r="L826" s="26" t="n">
        <v>95.90349999999999</v>
      </c>
      <c r="M826" s="26" t="n">
        <v>0.7719</v>
      </c>
    </row>
    <row r="827" ht="16" customHeight="1">
      <c r="A827" t="inlineStr">
        <is>
          <t>04-Mar-2026</t>
        </is>
      </c>
      <c r="B827" t="inlineStr">
        <is>
          <t>Wednesday</t>
        </is>
      </c>
      <c r="C827" t="inlineStr">
        <is>
          <t>Week1-Mar-2026</t>
        </is>
      </c>
      <c r="D827" s="78" t="n">
        <v>46082</v>
      </c>
      <c r="E827" t="inlineStr">
        <is>
          <t>Q4FY26</t>
        </is>
      </c>
      <c r="F827" t="inlineStr">
        <is>
          <t>02-Apr-2026</t>
        </is>
      </c>
      <c r="G827" t="inlineStr">
        <is>
          <t>Thursday</t>
        </is>
      </c>
      <c r="H827" t="inlineStr">
        <is>
          <t>Weekly - Thursday</t>
        </is>
      </c>
      <c r="I827" t="inlineStr">
        <is>
          <t>Weekly - Thursday</t>
        </is>
      </c>
      <c r="J827" t="inlineStr">
        <is>
          <t>Month+1 Expiry</t>
        </is>
      </c>
      <c r="K827" s="25" t="n">
        <v>1</v>
      </c>
      <c r="L827" s="26" t="n">
        <v>0.0014</v>
      </c>
      <c r="M827" s="26" t="n">
        <v>0</v>
      </c>
    </row>
    <row r="828" ht="16" customHeight="1">
      <c r="A828" t="inlineStr">
        <is>
          <t>04-Mar-2026</t>
        </is>
      </c>
      <c r="B828" t="inlineStr">
        <is>
          <t>Wednesday</t>
        </is>
      </c>
      <c r="C828" t="inlineStr">
        <is>
          <t>Week1-Mar-2026</t>
        </is>
      </c>
      <c r="D828" s="78" t="n">
        <v>46082</v>
      </c>
      <c r="E828" t="inlineStr">
        <is>
          <t>Q4FY26</t>
        </is>
      </c>
      <c r="F828" t="inlineStr">
        <is>
          <t>30-Apr-2026</t>
        </is>
      </c>
      <c r="G828" t="inlineStr">
        <is>
          <t>Thursday</t>
        </is>
      </c>
      <c r="H828" t="inlineStr">
        <is>
          <t>Monthly - Thursday</t>
        </is>
      </c>
      <c r="I828" t="inlineStr">
        <is>
          <t>Monthly - Thursday</t>
        </is>
      </c>
      <c r="J828" t="inlineStr">
        <is>
          <t>Month+1 Expiry</t>
        </is>
      </c>
      <c r="K828" s="25" t="n">
        <v>58</v>
      </c>
      <c r="L828" s="26" t="n">
        <v>0.09379999999999999</v>
      </c>
      <c r="M828" s="26" t="n">
        <v>0.0022</v>
      </c>
    </row>
    <row r="829" ht="16" customHeight="1">
      <c r="A829" t="inlineStr">
        <is>
          <t>04-Mar-2026</t>
        </is>
      </c>
      <c r="B829" t="inlineStr">
        <is>
          <t>Wednesday</t>
        </is>
      </c>
      <c r="C829" t="inlineStr">
        <is>
          <t>Week1-Mar-2026</t>
        </is>
      </c>
      <c r="D829" s="78" t="n">
        <v>46082</v>
      </c>
      <c r="E829" t="inlineStr">
        <is>
          <t>Q4FY26</t>
        </is>
      </c>
      <c r="F829" t="inlineStr">
        <is>
          <t>25-Jun-2026</t>
        </is>
      </c>
      <c r="G829" t="inlineStr">
        <is>
          <t>Thursday</t>
        </is>
      </c>
      <c r="H829" t="inlineStr">
        <is>
          <t>Monthly - Thursday</t>
        </is>
      </c>
      <c r="I829" t="inlineStr">
        <is>
          <t>Monthly - Thursday</t>
        </is>
      </c>
      <c r="J829" t="inlineStr">
        <is>
          <t>Month+3 Expiry</t>
        </is>
      </c>
      <c r="K829" s="25" t="n">
        <v>0</v>
      </c>
      <c r="L829" s="26" t="n">
        <v>0</v>
      </c>
      <c r="M829" s="26" t="n">
        <v>0</v>
      </c>
    </row>
    <row r="830" ht="16" customHeight="1">
      <c r="A830" t="inlineStr">
        <is>
          <t>05-Mar-2026</t>
        </is>
      </c>
      <c r="B830" t="inlineStr">
        <is>
          <t>Thursday</t>
        </is>
      </c>
      <c r="C830" t="inlineStr">
        <is>
          <t>Week1-Mar-2026</t>
        </is>
      </c>
      <c r="D830" s="78" t="n">
        <v>46082</v>
      </c>
      <c r="E830" t="inlineStr">
        <is>
          <t>Q4FY26</t>
        </is>
      </c>
      <c r="F830" t="inlineStr">
        <is>
          <t>05-Mar-2026</t>
        </is>
      </c>
      <c r="G830" t="inlineStr">
        <is>
          <t>Thursday</t>
        </is>
      </c>
      <c r="H830" t="inlineStr">
        <is>
          <t>Weekly - Thursday</t>
        </is>
      </c>
      <c r="I830" t="inlineStr">
        <is>
          <t>Weekly - Thursday</t>
        </is>
      </c>
      <c r="J830" t="inlineStr">
        <is>
          <t>Same Month Expiry</t>
        </is>
      </c>
      <c r="K830" s="25" t="n">
        <v>623890211</v>
      </c>
      <c r="L830" s="26" t="n">
        <v>993243.1688</v>
      </c>
      <c r="M830" s="26" t="n">
        <v>806.9005</v>
      </c>
    </row>
    <row r="831" ht="16" customHeight="1">
      <c r="A831" t="inlineStr">
        <is>
          <t>05-Mar-2026</t>
        </is>
      </c>
      <c r="B831" t="inlineStr">
        <is>
          <t>Thursday</t>
        </is>
      </c>
      <c r="C831" t="inlineStr">
        <is>
          <t>Week1-Mar-2026</t>
        </is>
      </c>
      <c r="D831" s="78" t="n">
        <v>46082</v>
      </c>
      <c r="E831" t="inlineStr">
        <is>
          <t>Q4FY26</t>
        </is>
      </c>
      <c r="F831" t="inlineStr">
        <is>
          <t>12-Mar-2026</t>
        </is>
      </c>
      <c r="G831" t="inlineStr">
        <is>
          <t>Thursday</t>
        </is>
      </c>
      <c r="H831" t="inlineStr">
        <is>
          <t>Weekly - Thursday</t>
        </is>
      </c>
      <c r="I831" t="inlineStr">
        <is>
          <t>Weekly - Thursday</t>
        </is>
      </c>
      <c r="J831" t="inlineStr">
        <is>
          <t>Same Month Expiry</t>
        </is>
      </c>
      <c r="K831" s="25" t="n">
        <v>1946780</v>
      </c>
      <c r="L831" s="26" t="n">
        <v>3138.2034</v>
      </c>
      <c r="M831" s="26" t="n">
        <v>20.3718</v>
      </c>
    </row>
    <row r="832" ht="16" customHeight="1">
      <c r="A832" t="inlineStr">
        <is>
          <t>05-Mar-2026</t>
        </is>
      </c>
      <c r="B832" t="inlineStr">
        <is>
          <t>Thursday</t>
        </is>
      </c>
      <c r="C832" t="inlineStr">
        <is>
          <t>Week1-Mar-2026</t>
        </is>
      </c>
      <c r="D832" s="78" t="n">
        <v>46082</v>
      </c>
      <c r="E832" t="inlineStr">
        <is>
          <t>Q4FY26</t>
        </is>
      </c>
      <c r="F832" t="inlineStr">
        <is>
          <t>19-Mar-2026</t>
        </is>
      </c>
      <c r="G832" t="inlineStr">
        <is>
          <t>Thursday</t>
        </is>
      </c>
      <c r="H832" t="inlineStr">
        <is>
          <t>Weekly - Thursday</t>
        </is>
      </c>
      <c r="I832" t="inlineStr">
        <is>
          <t>Weekly - Thursday</t>
        </is>
      </c>
      <c r="J832" t="inlineStr">
        <is>
          <t>Same Month Expiry</t>
        </is>
      </c>
      <c r="K832" s="25" t="n">
        <v>3851</v>
      </c>
      <c r="L832" s="26" t="n">
        <v>6.2388</v>
      </c>
      <c r="M832" s="26" t="n">
        <v>0.0634</v>
      </c>
    </row>
    <row r="833" ht="16" customHeight="1">
      <c r="A833" t="inlineStr">
        <is>
          <t>05-Mar-2026</t>
        </is>
      </c>
      <c r="B833" t="inlineStr">
        <is>
          <t>Thursday</t>
        </is>
      </c>
      <c r="C833" t="inlineStr">
        <is>
          <t>Week1-Mar-2026</t>
        </is>
      </c>
      <c r="D833" s="78" t="n">
        <v>46082</v>
      </c>
      <c r="E833" t="inlineStr">
        <is>
          <t>Q4FY26</t>
        </is>
      </c>
      <c r="F833" t="inlineStr">
        <is>
          <t>25-Mar-2026</t>
        </is>
      </c>
      <c r="G833" t="inlineStr">
        <is>
          <t>Wednesday</t>
        </is>
      </c>
      <c r="H833" t="inlineStr">
        <is>
          <t>Monthly - Wednesday</t>
        </is>
      </c>
      <c r="I833" t="inlineStr">
        <is>
          <t>Monthly - Wednesday</t>
        </is>
      </c>
      <c r="J833" t="inlineStr">
        <is>
          <t>Same Month Expiry</t>
        </is>
      </c>
      <c r="K833" s="25" t="n">
        <v>54115</v>
      </c>
      <c r="L833" s="26" t="n">
        <v>91.6529</v>
      </c>
      <c r="M833" s="26" t="n">
        <v>0.7024</v>
      </c>
    </row>
    <row r="834" ht="16" customHeight="1">
      <c r="A834" t="inlineStr">
        <is>
          <t>05-Mar-2026</t>
        </is>
      </c>
      <c r="B834" t="inlineStr">
        <is>
          <t>Thursday</t>
        </is>
      </c>
      <c r="C834" t="inlineStr">
        <is>
          <t>Week1-Mar-2026</t>
        </is>
      </c>
      <c r="D834" s="78" t="n">
        <v>46082</v>
      </c>
      <c r="E834" t="inlineStr">
        <is>
          <t>Q4FY26</t>
        </is>
      </c>
      <c r="F834" t="inlineStr">
        <is>
          <t>02-Apr-2026</t>
        </is>
      </c>
      <c r="G834" t="inlineStr">
        <is>
          <t>Thursday</t>
        </is>
      </c>
      <c r="H834" t="inlineStr">
        <is>
          <t>Weekly - Thursday</t>
        </is>
      </c>
      <c r="I834" t="inlineStr">
        <is>
          <t>Weekly - Thursday</t>
        </is>
      </c>
      <c r="J834" t="inlineStr">
        <is>
          <t>Month+1 Expiry</t>
        </is>
      </c>
      <c r="K834" s="25" t="n">
        <v>0</v>
      </c>
      <c r="L834" s="26" t="n">
        <v>0</v>
      </c>
      <c r="M834" s="26" t="n">
        <v>0</v>
      </c>
    </row>
    <row r="835" ht="16" customHeight="1">
      <c r="A835" t="inlineStr">
        <is>
          <t>05-Mar-2026</t>
        </is>
      </c>
      <c r="B835" t="inlineStr">
        <is>
          <t>Thursday</t>
        </is>
      </c>
      <c r="C835" t="inlineStr">
        <is>
          <t>Week1-Mar-2026</t>
        </is>
      </c>
      <c r="D835" s="78" t="n">
        <v>46082</v>
      </c>
      <c r="E835" t="inlineStr">
        <is>
          <t>Q4FY26</t>
        </is>
      </c>
      <c r="F835" t="inlineStr">
        <is>
          <t>30-Apr-2026</t>
        </is>
      </c>
      <c r="G835" t="inlineStr">
        <is>
          <t>Thursday</t>
        </is>
      </c>
      <c r="H835" t="inlineStr">
        <is>
          <t>Monthly - Thursday</t>
        </is>
      </c>
      <c r="I835" t="inlineStr">
        <is>
          <t>Monthly - Thursday</t>
        </is>
      </c>
      <c r="J835" t="inlineStr">
        <is>
          <t>Month+1 Expiry</t>
        </is>
      </c>
      <c r="K835" s="25" t="n">
        <v>154</v>
      </c>
      <c r="L835" s="26" t="n">
        <v>0.2595</v>
      </c>
      <c r="M835" s="26" t="n">
        <v>0.0024</v>
      </c>
    </row>
    <row r="836" ht="16" customHeight="1">
      <c r="A836" t="inlineStr">
        <is>
          <t>05-Mar-2026</t>
        </is>
      </c>
      <c r="B836" t="inlineStr">
        <is>
          <t>Thursday</t>
        </is>
      </c>
      <c r="C836" t="inlineStr">
        <is>
          <t>Week1-Mar-2026</t>
        </is>
      </c>
      <c r="D836" s="78" t="n">
        <v>46082</v>
      </c>
      <c r="E836" t="inlineStr">
        <is>
          <t>Q4FY26</t>
        </is>
      </c>
      <c r="F836" t="inlineStr">
        <is>
          <t>25-Jun-2026</t>
        </is>
      </c>
      <c r="G836" t="inlineStr">
        <is>
          <t>Thursday</t>
        </is>
      </c>
      <c r="H836" t="inlineStr">
        <is>
          <t>Monthly - Thursday</t>
        </is>
      </c>
      <c r="I836" t="inlineStr">
        <is>
          <t>Monthly - Thursday</t>
        </is>
      </c>
      <c r="J836" t="inlineStr">
        <is>
          <t>Month+3 Expiry</t>
        </is>
      </c>
      <c r="K836" s="25" t="n">
        <v>0</v>
      </c>
      <c r="L836" s="26" t="n">
        <v>0</v>
      </c>
      <c r="M836" s="26" t="n">
        <v>0</v>
      </c>
    </row>
    <row r="837" ht="16" customHeight="1">
      <c r="A837" t="inlineStr">
        <is>
          <t>06-Mar-2026</t>
        </is>
      </c>
      <c r="B837" t="inlineStr">
        <is>
          <t>Friday</t>
        </is>
      </c>
      <c r="C837" t="inlineStr">
        <is>
          <t>Week1-Mar-2026</t>
        </is>
      </c>
      <c r="D837" s="78" t="n">
        <v>46082</v>
      </c>
      <c r="E837" t="inlineStr">
        <is>
          <t>Q4FY26</t>
        </is>
      </c>
      <c r="F837" t="inlineStr">
        <is>
          <t>12-Mar-2026</t>
        </is>
      </c>
      <c r="G837" t="inlineStr">
        <is>
          <t>Thursday</t>
        </is>
      </c>
      <c r="H837" t="inlineStr">
        <is>
          <t>Weekly - Thursday</t>
        </is>
      </c>
      <c r="I837" t="inlineStr">
        <is>
          <t>Weekly - Thursday</t>
        </is>
      </c>
      <c r="J837" t="inlineStr">
        <is>
          <t>Same Month Expiry</t>
        </is>
      </c>
      <c r="K837" s="25" t="n">
        <v>14610254</v>
      </c>
      <c r="L837" s="26" t="n">
        <v>23380.7158</v>
      </c>
      <c r="M837" s="26" t="n">
        <v>133.8206</v>
      </c>
    </row>
    <row r="838" ht="16" customHeight="1">
      <c r="A838" t="inlineStr">
        <is>
          <t>06-Mar-2026</t>
        </is>
      </c>
      <c r="B838" t="inlineStr">
        <is>
          <t>Friday</t>
        </is>
      </c>
      <c r="C838" t="inlineStr">
        <is>
          <t>Week1-Mar-2026</t>
        </is>
      </c>
      <c r="D838" s="78" t="n">
        <v>46082</v>
      </c>
      <c r="E838" t="inlineStr">
        <is>
          <t>Q4FY26</t>
        </is>
      </c>
      <c r="F838" t="inlineStr">
        <is>
          <t>19-Mar-2026</t>
        </is>
      </c>
      <c r="G838" t="inlineStr">
        <is>
          <t>Thursday</t>
        </is>
      </c>
      <c r="H838" t="inlineStr">
        <is>
          <t>Weekly - Thursday</t>
        </is>
      </c>
      <c r="I838" t="inlineStr">
        <is>
          <t>Weekly - Thursday</t>
        </is>
      </c>
      <c r="J838" t="inlineStr">
        <is>
          <t>Same Month Expiry</t>
        </is>
      </c>
      <c r="K838" s="25" t="n">
        <v>44641</v>
      </c>
      <c r="L838" s="26" t="n">
        <v>72.17700000000001</v>
      </c>
      <c r="M838" s="26" t="n">
        <v>0.7884</v>
      </c>
    </row>
    <row r="839" ht="16" customHeight="1">
      <c r="A839" t="inlineStr">
        <is>
          <t>06-Mar-2026</t>
        </is>
      </c>
      <c r="B839" t="inlineStr">
        <is>
          <t>Friday</t>
        </is>
      </c>
      <c r="C839" t="inlineStr">
        <is>
          <t>Week1-Mar-2026</t>
        </is>
      </c>
      <c r="D839" s="78" t="n">
        <v>46082</v>
      </c>
      <c r="E839" t="inlineStr">
        <is>
          <t>Q4FY26</t>
        </is>
      </c>
      <c r="F839" t="inlineStr">
        <is>
          <t>25-Mar-2026</t>
        </is>
      </c>
      <c r="G839" t="inlineStr">
        <is>
          <t>Wednesday</t>
        </is>
      </c>
      <c r="H839" t="inlineStr">
        <is>
          <t>Monthly - Wednesday</t>
        </is>
      </c>
      <c r="I839" t="inlineStr">
        <is>
          <t>Monthly - Wednesday</t>
        </is>
      </c>
      <c r="J839" t="inlineStr">
        <is>
          <t>Same Month Expiry</t>
        </is>
      </c>
      <c r="K839" s="25" t="n">
        <v>42835</v>
      </c>
      <c r="L839" s="26" t="n">
        <v>72.37439999999999</v>
      </c>
      <c r="M839" s="26" t="n">
        <v>0.4743</v>
      </c>
    </row>
    <row r="840" ht="16" customHeight="1">
      <c r="A840" t="inlineStr">
        <is>
          <t>06-Mar-2026</t>
        </is>
      </c>
      <c r="B840" t="inlineStr">
        <is>
          <t>Friday</t>
        </is>
      </c>
      <c r="C840" t="inlineStr">
        <is>
          <t>Week1-Mar-2026</t>
        </is>
      </c>
      <c r="D840" s="78" t="n">
        <v>46082</v>
      </c>
      <c r="E840" t="inlineStr">
        <is>
          <t>Q4FY26</t>
        </is>
      </c>
      <c r="F840" t="inlineStr">
        <is>
          <t>02-Apr-2026</t>
        </is>
      </c>
      <c r="G840" t="inlineStr">
        <is>
          <t>Thursday</t>
        </is>
      </c>
      <c r="H840" t="inlineStr">
        <is>
          <t>Weekly - Thursday</t>
        </is>
      </c>
      <c r="I840" t="inlineStr">
        <is>
          <t>Weekly - Thursday</t>
        </is>
      </c>
      <c r="J840" t="inlineStr">
        <is>
          <t>Month+1 Expiry</t>
        </is>
      </c>
      <c r="K840" s="25" t="n">
        <v>0</v>
      </c>
      <c r="L840" s="26" t="n">
        <v>0</v>
      </c>
      <c r="M840" s="26" t="n">
        <v>0</v>
      </c>
    </row>
    <row r="841" ht="16" customHeight="1">
      <c r="A841" t="inlineStr">
        <is>
          <t>06-Mar-2026</t>
        </is>
      </c>
      <c r="B841" t="inlineStr">
        <is>
          <t>Friday</t>
        </is>
      </c>
      <c r="C841" t="inlineStr">
        <is>
          <t>Week1-Mar-2026</t>
        </is>
      </c>
      <c r="D841" s="78" t="n">
        <v>46082</v>
      </c>
      <c r="E841" t="inlineStr">
        <is>
          <t>Q4FY26</t>
        </is>
      </c>
      <c r="F841" t="inlineStr">
        <is>
          <t>30-Apr-2026</t>
        </is>
      </c>
      <c r="G841" t="inlineStr">
        <is>
          <t>Thursday</t>
        </is>
      </c>
      <c r="H841" t="inlineStr">
        <is>
          <t>Monthly - Thursday</t>
        </is>
      </c>
      <c r="I841" t="inlineStr">
        <is>
          <t>Monthly - Thursday</t>
        </is>
      </c>
      <c r="J841" t="inlineStr">
        <is>
          <t>Month+1 Expiry</t>
        </is>
      </c>
      <c r="K841" s="25" t="n">
        <v>80</v>
      </c>
      <c r="L841" s="26" t="n">
        <v>0.1327</v>
      </c>
      <c r="M841" s="26" t="n">
        <v>0.0023</v>
      </c>
    </row>
    <row r="842" ht="16" customHeight="1">
      <c r="A842" t="inlineStr">
        <is>
          <t>06-Mar-2026</t>
        </is>
      </c>
      <c r="B842" t="inlineStr">
        <is>
          <t>Friday</t>
        </is>
      </c>
      <c r="C842" t="inlineStr">
        <is>
          <t>Week1-Mar-2026</t>
        </is>
      </c>
      <c r="D842" s="78" t="n">
        <v>46082</v>
      </c>
      <c r="E842" t="inlineStr">
        <is>
          <t>Q4FY26</t>
        </is>
      </c>
      <c r="F842" t="inlineStr">
        <is>
          <t>25-Jun-2026</t>
        </is>
      </c>
      <c r="G842" t="inlineStr">
        <is>
          <t>Thursday</t>
        </is>
      </c>
      <c r="H842" t="inlineStr">
        <is>
          <t>Monthly - Thursday</t>
        </is>
      </c>
      <c r="I842" t="inlineStr">
        <is>
          <t>Monthly - Thursday</t>
        </is>
      </c>
      <c r="J842" t="inlineStr">
        <is>
          <t>Month+3 Expiry</t>
        </is>
      </c>
      <c r="K842" s="25" t="n">
        <v>0</v>
      </c>
      <c r="L842" s="26" t="n">
        <v>0</v>
      </c>
      <c r="M842" s="26" t="n">
        <v>0</v>
      </c>
    </row>
    <row r="843" ht="16" customHeight="1">
      <c r="A843" t="inlineStr">
        <is>
          <t>09-Mar-2026</t>
        </is>
      </c>
      <c r="B843" t="inlineStr">
        <is>
          <t>Monday</t>
        </is>
      </c>
      <c r="C843" t="inlineStr">
        <is>
          <t>Week2-Mar-2026</t>
        </is>
      </c>
      <c r="D843" s="78" t="n">
        <v>46082</v>
      </c>
      <c r="E843" t="inlineStr">
        <is>
          <t>Q4FY26</t>
        </is>
      </c>
      <c r="F843" t="inlineStr">
        <is>
          <t>12-Mar-2026</t>
        </is>
      </c>
      <c r="G843" t="inlineStr">
        <is>
          <t>Thursday</t>
        </is>
      </c>
      <c r="H843" t="inlineStr">
        <is>
          <t>Weekly - Thursday</t>
        </is>
      </c>
      <c r="I843" t="inlineStr">
        <is>
          <t>Weekly - Thursday</t>
        </is>
      </c>
      <c r="J843" t="inlineStr">
        <is>
          <t>Same Month Expiry</t>
        </is>
      </c>
      <c r="K843" s="25" t="n">
        <v>15580795</v>
      </c>
      <c r="L843" s="26" t="n">
        <v>24431.591</v>
      </c>
      <c r="M843" s="26" t="n">
        <v>161.993</v>
      </c>
    </row>
    <row r="844" ht="16" customHeight="1">
      <c r="A844" t="inlineStr">
        <is>
          <t>09-Mar-2026</t>
        </is>
      </c>
      <c r="B844" t="inlineStr">
        <is>
          <t>Monday</t>
        </is>
      </c>
      <c r="C844" t="inlineStr">
        <is>
          <t>Week2-Mar-2026</t>
        </is>
      </c>
      <c r="D844" s="78" t="n">
        <v>46082</v>
      </c>
      <c r="E844" t="inlineStr">
        <is>
          <t>Q4FY26</t>
        </is>
      </c>
      <c r="F844" t="inlineStr">
        <is>
          <t>19-Mar-2026</t>
        </is>
      </c>
      <c r="G844" t="inlineStr">
        <is>
          <t>Thursday</t>
        </is>
      </c>
      <c r="H844" t="inlineStr">
        <is>
          <t>Weekly - Thursday</t>
        </is>
      </c>
      <c r="I844" t="inlineStr">
        <is>
          <t>Weekly - Thursday</t>
        </is>
      </c>
      <c r="J844" t="inlineStr">
        <is>
          <t>Same Month Expiry</t>
        </is>
      </c>
      <c r="K844" s="25" t="n">
        <v>53316</v>
      </c>
      <c r="L844" s="26" t="n">
        <v>85.1717</v>
      </c>
      <c r="M844" s="26" t="n">
        <v>1.2217</v>
      </c>
    </row>
    <row r="845" ht="16" customHeight="1">
      <c r="A845" t="inlineStr">
        <is>
          <t>09-Mar-2026</t>
        </is>
      </c>
      <c r="B845" t="inlineStr">
        <is>
          <t>Monday</t>
        </is>
      </c>
      <c r="C845" t="inlineStr">
        <is>
          <t>Week2-Mar-2026</t>
        </is>
      </c>
      <c r="D845" s="78" t="n">
        <v>46082</v>
      </c>
      <c r="E845" t="inlineStr">
        <is>
          <t>Q4FY26</t>
        </is>
      </c>
      <c r="F845" t="inlineStr">
        <is>
          <t>25-Mar-2026</t>
        </is>
      </c>
      <c r="G845" t="inlineStr">
        <is>
          <t>Wednesday</t>
        </is>
      </c>
      <c r="H845" t="inlineStr">
        <is>
          <t>Monthly - Wednesday</t>
        </is>
      </c>
      <c r="I845" t="inlineStr">
        <is>
          <t>Monthly - Wednesday</t>
        </is>
      </c>
      <c r="J845" t="inlineStr">
        <is>
          <t>Same Month Expiry</t>
        </is>
      </c>
      <c r="K845" s="25" t="n">
        <v>56192</v>
      </c>
      <c r="L845" s="26" t="n">
        <v>92.7376</v>
      </c>
      <c r="M845" s="26" t="n">
        <v>0.8929</v>
      </c>
    </row>
    <row r="846" ht="16" customHeight="1">
      <c r="A846" t="inlineStr">
        <is>
          <t>09-Mar-2026</t>
        </is>
      </c>
      <c r="B846" t="inlineStr">
        <is>
          <t>Monday</t>
        </is>
      </c>
      <c r="C846" t="inlineStr">
        <is>
          <t>Week2-Mar-2026</t>
        </is>
      </c>
      <c r="D846" s="78" t="n">
        <v>46082</v>
      </c>
      <c r="E846" t="inlineStr">
        <is>
          <t>Q4FY26</t>
        </is>
      </c>
      <c r="F846" t="inlineStr">
        <is>
          <t>02-Apr-2026</t>
        </is>
      </c>
      <c r="G846" t="inlineStr">
        <is>
          <t>Thursday</t>
        </is>
      </c>
      <c r="H846" t="inlineStr">
        <is>
          <t>Weekly - Thursday</t>
        </is>
      </c>
      <c r="I846" t="inlineStr">
        <is>
          <t>Weekly - Thursday</t>
        </is>
      </c>
      <c r="J846" t="inlineStr">
        <is>
          <t>Month+1 Expiry</t>
        </is>
      </c>
      <c r="K846" s="25" t="n">
        <v>18</v>
      </c>
      <c r="L846" s="26" t="n">
        <v>0.0284</v>
      </c>
      <c r="M846" s="26" t="n">
        <v>0.0008</v>
      </c>
    </row>
    <row r="847" ht="16" customHeight="1">
      <c r="A847" t="inlineStr">
        <is>
          <t>09-Mar-2026</t>
        </is>
      </c>
      <c r="B847" t="inlineStr">
        <is>
          <t>Monday</t>
        </is>
      </c>
      <c r="C847" t="inlineStr">
        <is>
          <t>Week2-Mar-2026</t>
        </is>
      </c>
      <c r="D847" s="78" t="n">
        <v>46082</v>
      </c>
      <c r="E847" t="inlineStr">
        <is>
          <t>Q4FY26</t>
        </is>
      </c>
      <c r="F847" t="inlineStr">
        <is>
          <t>30-Apr-2026</t>
        </is>
      </c>
      <c r="G847" t="inlineStr">
        <is>
          <t>Thursday</t>
        </is>
      </c>
      <c r="H847" t="inlineStr">
        <is>
          <t>Monthly - Thursday</t>
        </is>
      </c>
      <c r="I847" t="inlineStr">
        <is>
          <t>Monthly - Thursday</t>
        </is>
      </c>
      <c r="J847" t="inlineStr">
        <is>
          <t>Month+1 Expiry</t>
        </is>
      </c>
      <c r="K847" s="25" t="n">
        <v>203</v>
      </c>
      <c r="L847" s="26" t="n">
        <v>0.3259</v>
      </c>
      <c r="M847" s="26" t="n">
        <v>0.0095</v>
      </c>
    </row>
    <row r="848" ht="16" customHeight="1">
      <c r="A848" t="inlineStr">
        <is>
          <t>09-Mar-2026</t>
        </is>
      </c>
      <c r="B848" t="inlineStr">
        <is>
          <t>Monday</t>
        </is>
      </c>
      <c r="C848" t="inlineStr">
        <is>
          <t>Week2-Mar-2026</t>
        </is>
      </c>
      <c r="D848" s="78" t="n">
        <v>46082</v>
      </c>
      <c r="E848" t="inlineStr">
        <is>
          <t>Q4FY26</t>
        </is>
      </c>
      <c r="F848" t="inlineStr">
        <is>
          <t>25-Jun-2026</t>
        </is>
      </c>
      <c r="G848" t="inlineStr">
        <is>
          <t>Thursday</t>
        </is>
      </c>
      <c r="H848" t="inlineStr">
        <is>
          <t>Monthly - Thursday</t>
        </is>
      </c>
      <c r="I848" t="inlineStr">
        <is>
          <t>Monthly - Thursday</t>
        </is>
      </c>
      <c r="J848" t="inlineStr">
        <is>
          <t>Month+3 Expiry</t>
        </is>
      </c>
      <c r="K848" s="25" t="n">
        <v>0</v>
      </c>
      <c r="L848" s="26" t="n">
        <v>0</v>
      </c>
      <c r="M848" s="26" t="n">
        <v>0</v>
      </c>
    </row>
    <row r="849" ht="16" customHeight="1">
      <c r="A849" t="inlineStr">
        <is>
          <t>10-Mar-2026</t>
        </is>
      </c>
      <c r="B849" t="inlineStr">
        <is>
          <t>Tuesday</t>
        </is>
      </c>
      <c r="C849" t="inlineStr">
        <is>
          <t>Week2-Mar-2026</t>
        </is>
      </c>
      <c r="D849" s="78" t="n">
        <v>46082</v>
      </c>
      <c r="E849" t="inlineStr">
        <is>
          <t>Q4FY26</t>
        </is>
      </c>
      <c r="F849" t="inlineStr">
        <is>
          <t>12-Mar-2026</t>
        </is>
      </c>
      <c r="G849" t="inlineStr">
        <is>
          <t>Thursday</t>
        </is>
      </c>
      <c r="H849" t="inlineStr">
        <is>
          <t>Weekly - Thursday</t>
        </is>
      </c>
      <c r="I849" t="inlineStr">
        <is>
          <t>Weekly - Thursday</t>
        </is>
      </c>
      <c r="J849" t="inlineStr">
        <is>
          <t>Same Month Expiry</t>
        </is>
      </c>
      <c r="K849" s="25" t="n">
        <v>22484181</v>
      </c>
      <c r="L849" s="26" t="n">
        <v>35219.9137</v>
      </c>
      <c r="M849" s="26" t="n">
        <v>124.6012</v>
      </c>
    </row>
    <row r="850" ht="16" customHeight="1">
      <c r="A850" t="inlineStr">
        <is>
          <t>10-Mar-2026</t>
        </is>
      </c>
      <c r="B850" t="inlineStr">
        <is>
          <t>Tuesday</t>
        </is>
      </c>
      <c r="C850" t="inlineStr">
        <is>
          <t>Week2-Mar-2026</t>
        </is>
      </c>
      <c r="D850" s="78" t="n">
        <v>46082</v>
      </c>
      <c r="E850" t="inlineStr">
        <is>
          <t>Q4FY26</t>
        </is>
      </c>
      <c r="F850" t="inlineStr">
        <is>
          <t>19-Mar-2026</t>
        </is>
      </c>
      <c r="G850" t="inlineStr">
        <is>
          <t>Thursday</t>
        </is>
      </c>
      <c r="H850" t="inlineStr">
        <is>
          <t>Weekly - Thursday</t>
        </is>
      </c>
      <c r="I850" t="inlineStr">
        <is>
          <t>Weekly - Thursday</t>
        </is>
      </c>
      <c r="J850" t="inlineStr">
        <is>
          <t>Same Month Expiry</t>
        </is>
      </c>
      <c r="K850" s="25" t="n">
        <v>147164</v>
      </c>
      <c r="L850" s="26" t="n">
        <v>232.2867</v>
      </c>
      <c r="M850" s="26" t="n">
        <v>1.8071</v>
      </c>
    </row>
    <row r="851" ht="16" customHeight="1">
      <c r="A851" t="inlineStr">
        <is>
          <t>10-Mar-2026</t>
        </is>
      </c>
      <c r="B851" t="inlineStr">
        <is>
          <t>Tuesday</t>
        </is>
      </c>
      <c r="C851" t="inlineStr">
        <is>
          <t>Week2-Mar-2026</t>
        </is>
      </c>
      <c r="D851" s="78" t="n">
        <v>46082</v>
      </c>
      <c r="E851" t="inlineStr">
        <is>
          <t>Q4FY26</t>
        </is>
      </c>
      <c r="F851" t="inlineStr">
        <is>
          <t>25-Mar-2026</t>
        </is>
      </c>
      <c r="G851" t="inlineStr">
        <is>
          <t>Wednesday</t>
        </is>
      </c>
      <c r="H851" t="inlineStr">
        <is>
          <t>Monthly - Wednesday</t>
        </is>
      </c>
      <c r="I851" t="inlineStr">
        <is>
          <t>Monthly - Wednesday</t>
        </is>
      </c>
      <c r="J851" t="inlineStr">
        <is>
          <t>Same Month Expiry</t>
        </is>
      </c>
      <c r="K851" s="25" t="n">
        <v>75347</v>
      </c>
      <c r="L851" s="26" t="n">
        <v>128.9816</v>
      </c>
      <c r="M851" s="26" t="n">
        <v>0.5719</v>
      </c>
    </row>
    <row r="852" ht="16" customHeight="1">
      <c r="A852" t="inlineStr">
        <is>
          <t>10-Mar-2026</t>
        </is>
      </c>
      <c r="B852" t="inlineStr">
        <is>
          <t>Tuesday</t>
        </is>
      </c>
      <c r="C852" t="inlineStr">
        <is>
          <t>Week2-Mar-2026</t>
        </is>
      </c>
      <c r="D852" s="78" t="n">
        <v>46082</v>
      </c>
      <c r="E852" t="inlineStr">
        <is>
          <t>Q4FY26</t>
        </is>
      </c>
      <c r="F852" t="inlineStr">
        <is>
          <t>02-Apr-2026</t>
        </is>
      </c>
      <c r="G852" t="inlineStr">
        <is>
          <t>Thursday</t>
        </is>
      </c>
      <c r="H852" t="inlineStr">
        <is>
          <t>Weekly - Thursday</t>
        </is>
      </c>
      <c r="I852" t="inlineStr">
        <is>
          <t>Weekly - Thursday</t>
        </is>
      </c>
      <c r="J852" t="inlineStr">
        <is>
          <t>Month+1 Expiry</t>
        </is>
      </c>
      <c r="K852" s="25" t="n">
        <v>15</v>
      </c>
      <c r="L852" s="26" t="n">
        <v>0.0244</v>
      </c>
      <c r="M852" s="26" t="n">
        <v>0.0005</v>
      </c>
    </row>
    <row r="853" ht="16" customHeight="1">
      <c r="A853" t="inlineStr">
        <is>
          <t>10-Mar-2026</t>
        </is>
      </c>
      <c r="B853" t="inlineStr">
        <is>
          <t>Tuesday</t>
        </is>
      </c>
      <c r="C853" t="inlineStr">
        <is>
          <t>Week2-Mar-2026</t>
        </is>
      </c>
      <c r="D853" s="78" t="n">
        <v>46082</v>
      </c>
      <c r="E853" t="inlineStr">
        <is>
          <t>Q4FY26</t>
        </is>
      </c>
      <c r="F853" t="inlineStr">
        <is>
          <t>09-Apr-2026</t>
        </is>
      </c>
      <c r="G853" t="inlineStr">
        <is>
          <t>Thursday</t>
        </is>
      </c>
      <c r="H853" t="inlineStr">
        <is>
          <t>Weekly - Thursday</t>
        </is>
      </c>
      <c r="I853" t="inlineStr">
        <is>
          <t>Weekly - Thursday</t>
        </is>
      </c>
      <c r="J853" t="inlineStr">
        <is>
          <t>Month+1 Expiry</t>
        </is>
      </c>
      <c r="K853" s="25" t="n">
        <v>3</v>
      </c>
      <c r="L853" s="26" t="n">
        <v>0.0051</v>
      </c>
      <c r="M853" s="26" t="n">
        <v>0.0001</v>
      </c>
    </row>
    <row r="854" ht="16" customHeight="1">
      <c r="A854" t="inlineStr">
        <is>
          <t>10-Mar-2026</t>
        </is>
      </c>
      <c r="B854" t="inlineStr">
        <is>
          <t>Tuesday</t>
        </is>
      </c>
      <c r="C854" t="inlineStr">
        <is>
          <t>Week2-Mar-2026</t>
        </is>
      </c>
      <c r="D854" s="78" t="n">
        <v>46082</v>
      </c>
      <c r="E854" t="inlineStr">
        <is>
          <t>Q4FY26</t>
        </is>
      </c>
      <c r="F854" t="inlineStr">
        <is>
          <t>30-Apr-2026</t>
        </is>
      </c>
      <c r="G854" t="inlineStr">
        <is>
          <t>Thursday</t>
        </is>
      </c>
      <c r="H854" t="inlineStr">
        <is>
          <t>Monthly - Thursday</t>
        </is>
      </c>
      <c r="I854" t="inlineStr">
        <is>
          <t>Monthly - Thursday</t>
        </is>
      </c>
      <c r="J854" t="inlineStr">
        <is>
          <t>Month+1 Expiry</t>
        </is>
      </c>
      <c r="K854" s="25" t="n">
        <v>5</v>
      </c>
      <c r="L854" s="26" t="n">
        <v>0.008399999999999999</v>
      </c>
      <c r="M854" s="26" t="n">
        <v>0.0001</v>
      </c>
    </row>
    <row r="855" ht="16" customHeight="1">
      <c r="A855" t="inlineStr">
        <is>
          <t>10-Mar-2026</t>
        </is>
      </c>
      <c r="B855" t="inlineStr">
        <is>
          <t>Tuesday</t>
        </is>
      </c>
      <c r="C855" t="inlineStr">
        <is>
          <t>Week2-Mar-2026</t>
        </is>
      </c>
      <c r="D855" s="78" t="n">
        <v>46082</v>
      </c>
      <c r="E855" t="inlineStr">
        <is>
          <t>Q4FY26</t>
        </is>
      </c>
      <c r="F855" t="inlineStr">
        <is>
          <t>25-Jun-2026</t>
        </is>
      </c>
      <c r="G855" t="inlineStr">
        <is>
          <t>Thursday</t>
        </is>
      </c>
      <c r="H855" t="inlineStr">
        <is>
          <t>Monthly - Thursday</t>
        </is>
      </c>
      <c r="I855" t="inlineStr">
        <is>
          <t>Monthly - Thursday</t>
        </is>
      </c>
      <c r="J855" t="inlineStr">
        <is>
          <t>Month+3 Expiry</t>
        </is>
      </c>
      <c r="K855" s="25" t="n">
        <v>0</v>
      </c>
      <c r="L855" s="26" t="n">
        <v>0</v>
      </c>
      <c r="M855" s="26" t="n">
        <v>0</v>
      </c>
    </row>
    <row r="856" ht="16" customHeight="1">
      <c r="A856" t="inlineStr">
        <is>
          <t>11-Mar-2026</t>
        </is>
      </c>
      <c r="B856" t="inlineStr">
        <is>
          <t>Wednesday</t>
        </is>
      </c>
      <c r="C856" t="inlineStr">
        <is>
          <t>Week2-Mar-2026</t>
        </is>
      </c>
      <c r="D856" s="78" t="n">
        <v>46082</v>
      </c>
      <c r="E856" t="inlineStr">
        <is>
          <t>Q4FY26</t>
        </is>
      </c>
      <c r="F856" t="inlineStr">
        <is>
          <t>12-Mar-2026</t>
        </is>
      </c>
      <c r="G856" t="inlineStr">
        <is>
          <t>Thursday</t>
        </is>
      </c>
      <c r="H856" t="inlineStr">
        <is>
          <t>Weekly - Thursday</t>
        </is>
      </c>
      <c r="I856" t="inlineStr">
        <is>
          <t>Weekly - Thursday</t>
        </is>
      </c>
      <c r="J856" t="inlineStr">
        <is>
          <t>Same Month Expiry</t>
        </is>
      </c>
      <c r="K856" s="25" t="n">
        <v>115862665</v>
      </c>
      <c r="L856" s="26" t="n">
        <v>179689.8498</v>
      </c>
      <c r="M856" s="26" t="n">
        <v>474.6298</v>
      </c>
    </row>
    <row r="857" ht="16" customHeight="1">
      <c r="A857" t="inlineStr">
        <is>
          <t>11-Mar-2026</t>
        </is>
      </c>
      <c r="B857" t="inlineStr">
        <is>
          <t>Wednesday</t>
        </is>
      </c>
      <c r="C857" t="inlineStr">
        <is>
          <t>Week2-Mar-2026</t>
        </is>
      </c>
      <c r="D857" s="78" t="n">
        <v>46082</v>
      </c>
      <c r="E857" t="inlineStr">
        <is>
          <t>Q4FY26</t>
        </is>
      </c>
      <c r="F857" t="inlineStr">
        <is>
          <t>19-Mar-2026</t>
        </is>
      </c>
      <c r="G857" t="inlineStr">
        <is>
          <t>Thursday</t>
        </is>
      </c>
      <c r="H857" t="inlineStr">
        <is>
          <t>Weekly - Thursday</t>
        </is>
      </c>
      <c r="I857" t="inlineStr">
        <is>
          <t>Weekly - Thursday</t>
        </is>
      </c>
      <c r="J857" t="inlineStr">
        <is>
          <t>Same Month Expiry</t>
        </is>
      </c>
      <c r="K857" s="25" t="n">
        <v>418441</v>
      </c>
      <c r="L857" s="26" t="n">
        <v>657.7797</v>
      </c>
      <c r="M857" s="26" t="n">
        <v>4.7347</v>
      </c>
    </row>
    <row r="858" ht="16" customHeight="1">
      <c r="A858" t="inlineStr">
        <is>
          <t>11-Mar-2026</t>
        </is>
      </c>
      <c r="B858" t="inlineStr">
        <is>
          <t>Wednesday</t>
        </is>
      </c>
      <c r="C858" t="inlineStr">
        <is>
          <t>Week2-Mar-2026</t>
        </is>
      </c>
      <c r="D858" s="78" t="n">
        <v>46082</v>
      </c>
      <c r="E858" t="inlineStr">
        <is>
          <t>Q4FY26</t>
        </is>
      </c>
      <c r="F858" t="inlineStr">
        <is>
          <t>25-Mar-2026</t>
        </is>
      </c>
      <c r="G858" t="inlineStr">
        <is>
          <t>Wednesday</t>
        </is>
      </c>
      <c r="H858" t="inlineStr">
        <is>
          <t>Monthly - Wednesday</t>
        </is>
      </c>
      <c r="I858" t="inlineStr">
        <is>
          <t>Monthly - Wednesday</t>
        </is>
      </c>
      <c r="J858" t="inlineStr">
        <is>
          <t>Same Month Expiry</t>
        </is>
      </c>
      <c r="K858" s="25" t="n">
        <v>77890</v>
      </c>
      <c r="L858" s="26" t="n">
        <v>128.5872</v>
      </c>
      <c r="M858" s="26" t="n">
        <v>0.8298</v>
      </c>
    </row>
    <row r="859" ht="16" customHeight="1">
      <c r="A859" t="inlineStr">
        <is>
          <t>11-Mar-2026</t>
        </is>
      </c>
      <c r="B859" t="inlineStr">
        <is>
          <t>Wednesday</t>
        </is>
      </c>
      <c r="C859" t="inlineStr">
        <is>
          <t>Week2-Mar-2026</t>
        </is>
      </c>
      <c r="D859" s="78" t="n">
        <v>46082</v>
      </c>
      <c r="E859" t="inlineStr">
        <is>
          <t>Q4FY26</t>
        </is>
      </c>
      <c r="F859" t="inlineStr">
        <is>
          <t>02-Apr-2026</t>
        </is>
      </c>
      <c r="G859" t="inlineStr">
        <is>
          <t>Thursday</t>
        </is>
      </c>
      <c r="H859" t="inlineStr">
        <is>
          <t>Weekly - Thursday</t>
        </is>
      </c>
      <c r="I859" t="inlineStr">
        <is>
          <t>Weekly - Thursday</t>
        </is>
      </c>
      <c r="J859" t="inlineStr">
        <is>
          <t>Month+1 Expiry</t>
        </is>
      </c>
      <c r="K859" s="25" t="n">
        <v>27</v>
      </c>
      <c r="L859" s="26" t="n">
        <v>0.0427</v>
      </c>
      <c r="M859" s="26" t="n">
        <v>0.0005</v>
      </c>
    </row>
    <row r="860" ht="16" customHeight="1">
      <c r="A860" t="inlineStr">
        <is>
          <t>11-Mar-2026</t>
        </is>
      </c>
      <c r="B860" t="inlineStr">
        <is>
          <t>Wednesday</t>
        </is>
      </c>
      <c r="C860" t="inlineStr">
        <is>
          <t>Week2-Mar-2026</t>
        </is>
      </c>
      <c r="D860" s="78" t="n">
        <v>46082</v>
      </c>
      <c r="E860" t="inlineStr">
        <is>
          <t>Q4FY26</t>
        </is>
      </c>
      <c r="F860" t="inlineStr">
        <is>
          <t>30-Apr-2026</t>
        </is>
      </c>
      <c r="G860" t="inlineStr">
        <is>
          <t>Thursday</t>
        </is>
      </c>
      <c r="H860" t="inlineStr">
        <is>
          <t>Monthly - Thursday</t>
        </is>
      </c>
      <c r="I860" t="inlineStr">
        <is>
          <t>Monthly - Thursday</t>
        </is>
      </c>
      <c r="J860" t="inlineStr">
        <is>
          <t>Month+1 Expiry</t>
        </is>
      </c>
      <c r="K860" s="25" t="n">
        <v>158</v>
      </c>
      <c r="L860" s="26" t="n">
        <v>0.2529</v>
      </c>
      <c r="M860" s="26" t="n">
        <v>0.0076</v>
      </c>
    </row>
    <row r="861" ht="16" customHeight="1">
      <c r="A861" t="inlineStr">
        <is>
          <t>11-Mar-2026</t>
        </is>
      </c>
      <c r="B861" t="inlineStr">
        <is>
          <t>Wednesday</t>
        </is>
      </c>
      <c r="C861" t="inlineStr">
        <is>
          <t>Week2-Mar-2026</t>
        </is>
      </c>
      <c r="D861" s="78" t="n">
        <v>46082</v>
      </c>
      <c r="E861" t="inlineStr">
        <is>
          <t>Q4FY26</t>
        </is>
      </c>
      <c r="F861" t="inlineStr">
        <is>
          <t>25-Jun-2026</t>
        </is>
      </c>
      <c r="G861" t="inlineStr">
        <is>
          <t>Thursday</t>
        </is>
      </c>
      <c r="H861" t="inlineStr">
        <is>
          <t>Monthly - Thursday</t>
        </is>
      </c>
      <c r="I861" t="inlineStr">
        <is>
          <t>Monthly - Thursday</t>
        </is>
      </c>
      <c r="J861" t="inlineStr">
        <is>
          <t>Month+3 Expiry</t>
        </is>
      </c>
      <c r="K861" s="25" t="n">
        <v>0</v>
      </c>
      <c r="L861" s="26" t="n">
        <v>0</v>
      </c>
      <c r="M861" s="26" t="n">
        <v>0</v>
      </c>
    </row>
    <row r="862" ht="16" customHeight="1">
      <c r="A862" t="inlineStr">
        <is>
          <t>12-Mar-2026</t>
        </is>
      </c>
      <c r="B862" t="inlineStr">
        <is>
          <t>Thursday</t>
        </is>
      </c>
      <c r="C862" t="inlineStr">
        <is>
          <t>Week2-Mar-2026</t>
        </is>
      </c>
      <c r="D862" s="78" t="n">
        <v>46082</v>
      </c>
      <c r="E862" t="inlineStr">
        <is>
          <t>Q4FY26</t>
        </is>
      </c>
      <c r="F862" t="inlineStr">
        <is>
          <t>12-Mar-2026</t>
        </is>
      </c>
      <c r="G862" t="inlineStr">
        <is>
          <t>Thursday</t>
        </is>
      </c>
      <c r="H862" t="inlineStr">
        <is>
          <t>Weekly - Thursday</t>
        </is>
      </c>
      <c r="I862" t="inlineStr">
        <is>
          <t>Weekly - Thursday</t>
        </is>
      </c>
      <c r="J862" t="inlineStr">
        <is>
          <t>Same Month Expiry</t>
        </is>
      </c>
      <c r="K862" s="25" t="n">
        <v>561278757</v>
      </c>
      <c r="L862" s="26" t="n">
        <v>858275.3679</v>
      </c>
      <c r="M862" s="26" t="n">
        <v>761.197</v>
      </c>
    </row>
    <row r="863" ht="16" customHeight="1">
      <c r="A863" t="inlineStr">
        <is>
          <t>12-Mar-2026</t>
        </is>
      </c>
      <c r="B863" t="inlineStr">
        <is>
          <t>Thursday</t>
        </is>
      </c>
      <c r="C863" t="inlineStr">
        <is>
          <t>Week2-Mar-2026</t>
        </is>
      </c>
      <c r="D863" s="78" t="n">
        <v>46082</v>
      </c>
      <c r="E863" t="inlineStr">
        <is>
          <t>Q4FY26</t>
        </is>
      </c>
      <c r="F863" t="inlineStr">
        <is>
          <t>19-Mar-2026</t>
        </is>
      </c>
      <c r="G863" t="inlineStr">
        <is>
          <t>Thursday</t>
        </is>
      </c>
      <c r="H863" t="inlineStr">
        <is>
          <t>Weekly - Thursday</t>
        </is>
      </c>
      <c r="I863" t="inlineStr">
        <is>
          <t>Weekly - Thursday</t>
        </is>
      </c>
      <c r="J863" t="inlineStr">
        <is>
          <t>Same Month Expiry</t>
        </is>
      </c>
      <c r="K863" s="25" t="n">
        <v>1366487</v>
      </c>
      <c r="L863" s="26" t="n">
        <v>2119.623</v>
      </c>
      <c r="M863" s="26" t="n">
        <v>16.1523</v>
      </c>
    </row>
    <row r="864" ht="16" customHeight="1">
      <c r="A864" t="inlineStr">
        <is>
          <t>12-Mar-2026</t>
        </is>
      </c>
      <c r="B864" t="inlineStr">
        <is>
          <t>Thursday</t>
        </is>
      </c>
      <c r="C864" t="inlineStr">
        <is>
          <t>Week2-Mar-2026</t>
        </is>
      </c>
      <c r="D864" s="78" t="n">
        <v>46082</v>
      </c>
      <c r="E864" t="inlineStr">
        <is>
          <t>Q4FY26</t>
        </is>
      </c>
      <c r="F864" t="inlineStr">
        <is>
          <t>25-Mar-2026</t>
        </is>
      </c>
      <c r="G864" t="inlineStr">
        <is>
          <t>Wednesday</t>
        </is>
      </c>
      <c r="H864" t="inlineStr">
        <is>
          <t>Monthly - Wednesday</t>
        </is>
      </c>
      <c r="I864" t="inlineStr">
        <is>
          <t>Monthly - Wednesday</t>
        </is>
      </c>
      <c r="J864" t="inlineStr">
        <is>
          <t>Same Month Expiry</t>
        </is>
      </c>
      <c r="K864" s="25" t="n">
        <v>77550</v>
      </c>
      <c r="L864" s="26" t="n">
        <v>122.7041</v>
      </c>
      <c r="M864" s="26" t="n">
        <v>1.3981</v>
      </c>
    </row>
    <row r="865" ht="16" customHeight="1">
      <c r="A865" t="inlineStr">
        <is>
          <t>12-Mar-2026</t>
        </is>
      </c>
      <c r="B865" t="inlineStr">
        <is>
          <t>Thursday</t>
        </is>
      </c>
      <c r="C865" t="inlineStr">
        <is>
          <t>Week2-Mar-2026</t>
        </is>
      </c>
      <c r="D865" s="78" t="n">
        <v>46082</v>
      </c>
      <c r="E865" t="inlineStr">
        <is>
          <t>Q4FY26</t>
        </is>
      </c>
      <c r="F865" t="inlineStr">
        <is>
          <t>02-Apr-2026</t>
        </is>
      </c>
      <c r="G865" t="inlineStr">
        <is>
          <t>Thursday</t>
        </is>
      </c>
      <c r="H865" t="inlineStr">
        <is>
          <t>Weekly - Thursday</t>
        </is>
      </c>
      <c r="I865" t="inlineStr">
        <is>
          <t>Weekly - Thursday</t>
        </is>
      </c>
      <c r="J865" t="inlineStr">
        <is>
          <t>Month+1 Expiry</t>
        </is>
      </c>
      <c r="K865" s="25" t="n">
        <v>125</v>
      </c>
      <c r="L865" s="26" t="n">
        <v>0.1994</v>
      </c>
      <c r="M865" s="26" t="n">
        <v>0.0016</v>
      </c>
    </row>
    <row r="866" ht="16" customHeight="1">
      <c r="A866" t="inlineStr">
        <is>
          <t>12-Mar-2026</t>
        </is>
      </c>
      <c r="B866" t="inlineStr">
        <is>
          <t>Thursday</t>
        </is>
      </c>
      <c r="C866" t="inlineStr">
        <is>
          <t>Week2-Mar-2026</t>
        </is>
      </c>
      <c r="D866" s="78" t="n">
        <v>46082</v>
      </c>
      <c r="E866" t="inlineStr">
        <is>
          <t>Q4FY26</t>
        </is>
      </c>
      <c r="F866" t="inlineStr">
        <is>
          <t>09-Apr-2026</t>
        </is>
      </c>
      <c r="G866" t="inlineStr">
        <is>
          <t>Thursday</t>
        </is>
      </c>
      <c r="H866" t="inlineStr">
        <is>
          <t>Weekly - Thursday</t>
        </is>
      </c>
      <c r="I866" t="inlineStr">
        <is>
          <t>Weekly - Thursday</t>
        </is>
      </c>
      <c r="J866" t="inlineStr">
        <is>
          <t>Month+1 Expiry</t>
        </is>
      </c>
      <c r="K866" s="25" t="n">
        <v>1</v>
      </c>
      <c r="L866" s="26" t="n">
        <v>0.0016</v>
      </c>
      <c r="M866" s="26" t="n">
        <v>0.0001</v>
      </c>
    </row>
    <row r="867" ht="16" customHeight="1">
      <c r="A867" t="inlineStr">
        <is>
          <t>12-Mar-2026</t>
        </is>
      </c>
      <c r="B867" t="inlineStr">
        <is>
          <t>Thursday</t>
        </is>
      </c>
      <c r="C867" t="inlineStr">
        <is>
          <t>Week2-Mar-2026</t>
        </is>
      </c>
      <c r="D867" s="78" t="n">
        <v>46082</v>
      </c>
      <c r="E867" t="inlineStr">
        <is>
          <t>Q4FY26</t>
        </is>
      </c>
      <c r="F867" t="inlineStr">
        <is>
          <t>16-Apr-2026</t>
        </is>
      </c>
      <c r="G867" t="inlineStr">
        <is>
          <t>Thursday</t>
        </is>
      </c>
      <c r="H867" t="inlineStr">
        <is>
          <t>Weekly - Thursday</t>
        </is>
      </c>
      <c r="I867" t="inlineStr">
        <is>
          <t>Weekly - Thursday</t>
        </is>
      </c>
      <c r="J867" t="inlineStr">
        <is>
          <t>Month+1 Expiry</t>
        </is>
      </c>
      <c r="K867" s="25" t="n">
        <v>2</v>
      </c>
      <c r="L867" s="26" t="n">
        <v>0.0033</v>
      </c>
      <c r="M867" s="26" t="n">
        <v>0</v>
      </c>
    </row>
    <row r="868" ht="16" customHeight="1">
      <c r="A868" t="inlineStr">
        <is>
          <t>12-Mar-2026</t>
        </is>
      </c>
      <c r="B868" t="inlineStr">
        <is>
          <t>Thursday</t>
        </is>
      </c>
      <c r="C868" t="inlineStr">
        <is>
          <t>Week2-Mar-2026</t>
        </is>
      </c>
      <c r="D868" s="78" t="n">
        <v>46082</v>
      </c>
      <c r="E868" t="inlineStr">
        <is>
          <t>Q4FY26</t>
        </is>
      </c>
      <c r="F868" t="inlineStr">
        <is>
          <t>30-Apr-2026</t>
        </is>
      </c>
      <c r="G868" t="inlineStr">
        <is>
          <t>Thursday</t>
        </is>
      </c>
      <c r="H868" t="inlineStr">
        <is>
          <t>Monthly - Thursday</t>
        </is>
      </c>
      <c r="I868" t="inlineStr">
        <is>
          <t>Monthly - Thursday</t>
        </is>
      </c>
      <c r="J868" t="inlineStr">
        <is>
          <t>Month+1 Expiry</t>
        </is>
      </c>
      <c r="K868" s="25" t="n">
        <v>430</v>
      </c>
      <c r="L868" s="26" t="n">
        <v>0.6844</v>
      </c>
      <c r="M868" s="26" t="n">
        <v>0.0171</v>
      </c>
    </row>
    <row r="869" ht="16" customHeight="1">
      <c r="A869" t="inlineStr">
        <is>
          <t>12-Mar-2026</t>
        </is>
      </c>
      <c r="B869" t="inlineStr">
        <is>
          <t>Thursday</t>
        </is>
      </c>
      <c r="C869" t="inlineStr">
        <is>
          <t>Week2-Mar-2026</t>
        </is>
      </c>
      <c r="D869" s="78" t="n">
        <v>46082</v>
      </c>
      <c r="E869" t="inlineStr">
        <is>
          <t>Q4FY26</t>
        </is>
      </c>
      <c r="F869" t="inlineStr">
        <is>
          <t>25-Jun-2026</t>
        </is>
      </c>
      <c r="G869" t="inlineStr">
        <is>
          <t>Thursday</t>
        </is>
      </c>
      <c r="H869" t="inlineStr">
        <is>
          <t>Monthly - Thursday</t>
        </is>
      </c>
      <c r="I869" t="inlineStr">
        <is>
          <t>Monthly - Thursday</t>
        </is>
      </c>
      <c r="J869" t="inlineStr">
        <is>
          <t>Month+3 Expiry</t>
        </is>
      </c>
      <c r="K869" s="25" t="n">
        <v>0</v>
      </c>
      <c r="L869" s="26" t="n">
        <v>0</v>
      </c>
      <c r="M869" s="26" t="n">
        <v>0</v>
      </c>
    </row>
    <row r="870" ht="16" customHeight="1">
      <c r="A870" t="inlineStr">
        <is>
          <t>13-Mar-2026</t>
        </is>
      </c>
      <c r="B870" t="inlineStr">
        <is>
          <t>Friday</t>
        </is>
      </c>
      <c r="C870" t="inlineStr">
        <is>
          <t>Week2-Mar-2026</t>
        </is>
      </c>
      <c r="D870" s="78" t="n">
        <v>46082</v>
      </c>
      <c r="E870" t="inlineStr">
        <is>
          <t>Q4FY26</t>
        </is>
      </c>
      <c r="F870" t="inlineStr">
        <is>
          <t>19-Mar-2026</t>
        </is>
      </c>
      <c r="G870" t="inlineStr">
        <is>
          <t>Thursday</t>
        </is>
      </c>
      <c r="H870" t="inlineStr">
        <is>
          <t>Weekly - Thursday</t>
        </is>
      </c>
      <c r="I870" t="inlineStr">
        <is>
          <t>Weekly - Thursday</t>
        </is>
      </c>
      <c r="J870" t="inlineStr">
        <is>
          <t>Same Month Expiry</t>
        </is>
      </c>
      <c r="K870" s="25" t="n">
        <v>12335595</v>
      </c>
      <c r="L870" s="26" t="n">
        <v>18733.3643</v>
      </c>
      <c r="M870" s="26" t="n">
        <v>129.3458</v>
      </c>
    </row>
    <row r="871" ht="16" customHeight="1">
      <c r="A871" t="inlineStr">
        <is>
          <t>13-Mar-2026</t>
        </is>
      </c>
      <c r="B871" t="inlineStr">
        <is>
          <t>Friday</t>
        </is>
      </c>
      <c r="C871" t="inlineStr">
        <is>
          <t>Week2-Mar-2026</t>
        </is>
      </c>
      <c r="D871" s="78" t="n">
        <v>46082</v>
      </c>
      <c r="E871" t="inlineStr">
        <is>
          <t>Q4FY26</t>
        </is>
      </c>
      <c r="F871" t="inlineStr">
        <is>
          <t>25-Mar-2026</t>
        </is>
      </c>
      <c r="G871" t="inlineStr">
        <is>
          <t>Wednesday</t>
        </is>
      </c>
      <c r="H871" t="inlineStr">
        <is>
          <t>Monthly - Wednesday</t>
        </is>
      </c>
      <c r="I871" t="inlineStr">
        <is>
          <t>Monthly - Wednesday</t>
        </is>
      </c>
      <c r="J871" t="inlineStr">
        <is>
          <t>Same Month Expiry</t>
        </is>
      </c>
      <c r="K871" s="25" t="n">
        <v>143955</v>
      </c>
      <c r="L871" s="26" t="n">
        <v>224.4109</v>
      </c>
      <c r="M871" s="26" t="n">
        <v>2.5611</v>
      </c>
    </row>
    <row r="872" ht="16" customHeight="1">
      <c r="A872" t="inlineStr">
        <is>
          <t>13-Mar-2026</t>
        </is>
      </c>
      <c r="B872" t="inlineStr">
        <is>
          <t>Friday</t>
        </is>
      </c>
      <c r="C872" t="inlineStr">
        <is>
          <t>Week2-Mar-2026</t>
        </is>
      </c>
      <c r="D872" s="78" t="n">
        <v>46082</v>
      </c>
      <c r="E872" t="inlineStr">
        <is>
          <t>Q4FY26</t>
        </is>
      </c>
      <c r="F872" t="inlineStr">
        <is>
          <t>02-Apr-2026</t>
        </is>
      </c>
      <c r="G872" t="inlineStr">
        <is>
          <t>Thursday</t>
        </is>
      </c>
      <c r="H872" t="inlineStr">
        <is>
          <t>Weekly - Thursday</t>
        </is>
      </c>
      <c r="I872" t="inlineStr">
        <is>
          <t>Weekly - Thursday</t>
        </is>
      </c>
      <c r="J872" t="inlineStr">
        <is>
          <t>Month+1 Expiry</t>
        </is>
      </c>
      <c r="K872" s="25" t="n">
        <v>647</v>
      </c>
      <c r="L872" s="26" t="n">
        <v>1.0398</v>
      </c>
      <c r="M872" s="26" t="n">
        <v>0.0029</v>
      </c>
    </row>
    <row r="873" ht="16" customHeight="1">
      <c r="A873" t="inlineStr">
        <is>
          <t>13-Mar-2026</t>
        </is>
      </c>
      <c r="B873" t="inlineStr">
        <is>
          <t>Friday</t>
        </is>
      </c>
      <c r="C873" t="inlineStr">
        <is>
          <t>Week2-Mar-2026</t>
        </is>
      </c>
      <c r="D873" s="78" t="n">
        <v>46082</v>
      </c>
      <c r="E873" t="inlineStr">
        <is>
          <t>Q4FY26</t>
        </is>
      </c>
      <c r="F873" t="inlineStr">
        <is>
          <t>09-Apr-2026</t>
        </is>
      </c>
      <c r="G873" t="inlineStr">
        <is>
          <t>Thursday</t>
        </is>
      </c>
      <c r="H873" t="inlineStr">
        <is>
          <t>Weekly - Thursday</t>
        </is>
      </c>
      <c r="I873" t="inlineStr">
        <is>
          <t>Weekly - Thursday</t>
        </is>
      </c>
      <c r="J873" t="inlineStr">
        <is>
          <t>Month+1 Expiry</t>
        </is>
      </c>
      <c r="K873" s="25" t="n">
        <v>1</v>
      </c>
      <c r="L873" s="26" t="n">
        <v>0.0018</v>
      </c>
      <c r="M873" s="26" t="n">
        <v>0</v>
      </c>
    </row>
    <row r="874" ht="16" customHeight="1">
      <c r="A874" t="inlineStr">
        <is>
          <t>13-Mar-2026</t>
        </is>
      </c>
      <c r="B874" t="inlineStr">
        <is>
          <t>Friday</t>
        </is>
      </c>
      <c r="C874" t="inlineStr">
        <is>
          <t>Week2-Mar-2026</t>
        </is>
      </c>
      <c r="D874" s="78" t="n">
        <v>46082</v>
      </c>
      <c r="E874" t="inlineStr">
        <is>
          <t>Q4FY26</t>
        </is>
      </c>
      <c r="F874" t="inlineStr">
        <is>
          <t>16-Apr-2026</t>
        </is>
      </c>
      <c r="G874" t="inlineStr">
        <is>
          <t>Thursday</t>
        </is>
      </c>
      <c r="H874" t="inlineStr">
        <is>
          <t>Weekly - Thursday</t>
        </is>
      </c>
      <c r="I874" t="inlineStr">
        <is>
          <t>Weekly - Thursday</t>
        </is>
      </c>
      <c r="J874" t="inlineStr">
        <is>
          <t>Month+1 Expiry</t>
        </is>
      </c>
      <c r="K874" s="25" t="n">
        <v>0</v>
      </c>
      <c r="L874" s="26" t="n">
        <v>0</v>
      </c>
      <c r="M874" s="26" t="n">
        <v>0</v>
      </c>
    </row>
    <row r="875" ht="16" customHeight="1">
      <c r="A875" t="inlineStr">
        <is>
          <t>13-Mar-2026</t>
        </is>
      </c>
      <c r="B875" t="inlineStr">
        <is>
          <t>Friday</t>
        </is>
      </c>
      <c r="C875" t="inlineStr">
        <is>
          <t>Week2-Mar-2026</t>
        </is>
      </c>
      <c r="D875" s="78" t="n">
        <v>46082</v>
      </c>
      <c r="E875" t="inlineStr">
        <is>
          <t>Q4FY26</t>
        </is>
      </c>
      <c r="F875" t="inlineStr">
        <is>
          <t>30-Apr-2026</t>
        </is>
      </c>
      <c r="G875" t="inlineStr">
        <is>
          <t>Thursday</t>
        </is>
      </c>
      <c r="H875" t="inlineStr">
        <is>
          <t>Monthly - Thursday</t>
        </is>
      </c>
      <c r="I875" t="inlineStr">
        <is>
          <t>Monthly - Thursday</t>
        </is>
      </c>
      <c r="J875" t="inlineStr">
        <is>
          <t>Month+1 Expiry</t>
        </is>
      </c>
      <c r="K875" s="25" t="n">
        <v>557</v>
      </c>
      <c r="L875" s="26" t="n">
        <v>0.8817</v>
      </c>
      <c r="M875" s="26" t="n">
        <v>0.0228</v>
      </c>
    </row>
    <row r="876" ht="16" customHeight="1">
      <c r="A876" t="inlineStr">
        <is>
          <t>13-Mar-2026</t>
        </is>
      </c>
      <c r="B876" t="inlineStr">
        <is>
          <t>Friday</t>
        </is>
      </c>
      <c r="C876" t="inlineStr">
        <is>
          <t>Week2-Mar-2026</t>
        </is>
      </c>
      <c r="D876" s="78" t="n">
        <v>46082</v>
      </c>
      <c r="E876" t="inlineStr">
        <is>
          <t>Q4FY26</t>
        </is>
      </c>
      <c r="F876" t="inlineStr">
        <is>
          <t>25-Jun-2026</t>
        </is>
      </c>
      <c r="G876" t="inlineStr">
        <is>
          <t>Thursday</t>
        </is>
      </c>
      <c r="H876" t="inlineStr">
        <is>
          <t>Monthly - Thursday</t>
        </is>
      </c>
      <c r="I876" t="inlineStr">
        <is>
          <t>Monthly - Thursday</t>
        </is>
      </c>
      <c r="J876" t="inlineStr">
        <is>
          <t>Month+3 Expiry</t>
        </is>
      </c>
      <c r="K876" s="25" t="n">
        <v>0</v>
      </c>
      <c r="L876" s="26" t="n">
        <v>0</v>
      </c>
      <c r="M876" s="26" t="n">
        <v>0</v>
      </c>
    </row>
    <row r="877" ht="16" customHeight="1">
      <c r="A877" t="inlineStr">
        <is>
          <t>16-Mar-2026</t>
        </is>
      </c>
      <c r="B877" t="inlineStr">
        <is>
          <t>Monday</t>
        </is>
      </c>
      <c r="C877" t="inlineStr">
        <is>
          <t>Week3-Mar-2026</t>
        </is>
      </c>
      <c r="D877" s="78" t="n">
        <v>46082</v>
      </c>
      <c r="E877" t="inlineStr">
        <is>
          <t>Q4FY26</t>
        </is>
      </c>
      <c r="F877" t="inlineStr">
        <is>
          <t>19-Mar-2026</t>
        </is>
      </c>
      <c r="G877" t="inlineStr">
        <is>
          <t>Thursday</t>
        </is>
      </c>
      <c r="H877" t="inlineStr">
        <is>
          <t>Weekly - Thursday</t>
        </is>
      </c>
      <c r="I877" t="inlineStr">
        <is>
          <t>Weekly - Thursday</t>
        </is>
      </c>
      <c r="J877" t="inlineStr">
        <is>
          <t>Same Month Expiry</t>
        </is>
      </c>
      <c r="K877" s="25" t="n">
        <v>21733663</v>
      </c>
      <c r="L877" s="26" t="n">
        <v>32836.9411</v>
      </c>
      <c r="M877" s="26" t="n">
        <v>176.5663</v>
      </c>
    </row>
    <row r="878" ht="16" customHeight="1">
      <c r="A878" t="inlineStr">
        <is>
          <t>16-Mar-2026</t>
        </is>
      </c>
      <c r="B878" t="inlineStr">
        <is>
          <t>Monday</t>
        </is>
      </c>
      <c r="C878" t="inlineStr">
        <is>
          <t>Week3-Mar-2026</t>
        </is>
      </c>
      <c r="D878" s="78" t="n">
        <v>46082</v>
      </c>
      <c r="E878" t="inlineStr">
        <is>
          <t>Q4FY26</t>
        </is>
      </c>
      <c r="F878" t="inlineStr">
        <is>
          <t>25-Mar-2026</t>
        </is>
      </c>
      <c r="G878" t="inlineStr">
        <is>
          <t>Wednesday</t>
        </is>
      </c>
      <c r="H878" t="inlineStr">
        <is>
          <t>Monthly - Wednesday</t>
        </is>
      </c>
      <c r="I878" t="inlineStr">
        <is>
          <t>Monthly - Wednesday</t>
        </is>
      </c>
      <c r="J878" t="inlineStr">
        <is>
          <t>Same Month Expiry</t>
        </is>
      </c>
      <c r="K878" s="25" t="n">
        <v>199674</v>
      </c>
      <c r="L878" s="26" t="n">
        <v>309.2204</v>
      </c>
      <c r="M878" s="26" t="n">
        <v>2.8986</v>
      </c>
    </row>
    <row r="879" ht="16" customHeight="1">
      <c r="A879" t="inlineStr">
        <is>
          <t>16-Mar-2026</t>
        </is>
      </c>
      <c r="B879" t="inlineStr">
        <is>
          <t>Monday</t>
        </is>
      </c>
      <c r="C879" t="inlineStr">
        <is>
          <t>Week3-Mar-2026</t>
        </is>
      </c>
      <c r="D879" s="78" t="n">
        <v>46082</v>
      </c>
      <c r="E879" t="inlineStr">
        <is>
          <t>Q4FY26</t>
        </is>
      </c>
      <c r="F879" t="inlineStr">
        <is>
          <t>02-Apr-2026</t>
        </is>
      </c>
      <c r="G879" t="inlineStr">
        <is>
          <t>Thursday</t>
        </is>
      </c>
      <c r="H879" t="inlineStr">
        <is>
          <t>Weekly - Thursday</t>
        </is>
      </c>
      <c r="I879" t="inlineStr">
        <is>
          <t>Weekly - Thursday</t>
        </is>
      </c>
      <c r="J879" t="inlineStr">
        <is>
          <t>Month+1 Expiry</t>
        </is>
      </c>
      <c r="K879" s="25" t="n">
        <v>1295</v>
      </c>
      <c r="L879" s="26" t="n">
        <v>2.0607</v>
      </c>
      <c r="M879" s="26" t="n">
        <v>0.0105</v>
      </c>
    </row>
    <row r="880" ht="16" customHeight="1">
      <c r="A880" t="inlineStr">
        <is>
          <t>16-Mar-2026</t>
        </is>
      </c>
      <c r="B880" t="inlineStr">
        <is>
          <t>Monday</t>
        </is>
      </c>
      <c r="C880" t="inlineStr">
        <is>
          <t>Week3-Mar-2026</t>
        </is>
      </c>
      <c r="D880" s="78" t="n">
        <v>46082</v>
      </c>
      <c r="E880" t="inlineStr">
        <is>
          <t>Q4FY26</t>
        </is>
      </c>
      <c r="F880" t="inlineStr">
        <is>
          <t>09-Apr-2026</t>
        </is>
      </c>
      <c r="G880" t="inlineStr">
        <is>
          <t>Thursday</t>
        </is>
      </c>
      <c r="H880" t="inlineStr">
        <is>
          <t>Weekly - Thursday</t>
        </is>
      </c>
      <c r="I880" t="inlineStr">
        <is>
          <t>Weekly - Thursday</t>
        </is>
      </c>
      <c r="J880" t="inlineStr">
        <is>
          <t>Month+1 Expiry</t>
        </is>
      </c>
      <c r="K880" s="25" t="n">
        <v>14</v>
      </c>
      <c r="L880" s="26" t="n">
        <v>0.0257</v>
      </c>
      <c r="M880" s="26" t="n">
        <v>0</v>
      </c>
    </row>
    <row r="881" ht="16" customHeight="1">
      <c r="A881" t="inlineStr">
        <is>
          <t>16-Mar-2026</t>
        </is>
      </c>
      <c r="B881" t="inlineStr">
        <is>
          <t>Monday</t>
        </is>
      </c>
      <c r="C881" t="inlineStr">
        <is>
          <t>Week3-Mar-2026</t>
        </is>
      </c>
      <c r="D881" s="78" t="n">
        <v>46082</v>
      </c>
      <c r="E881" t="inlineStr">
        <is>
          <t>Q4FY26</t>
        </is>
      </c>
      <c r="F881" t="inlineStr">
        <is>
          <t>16-Apr-2026</t>
        </is>
      </c>
      <c r="G881" t="inlineStr">
        <is>
          <t>Thursday</t>
        </is>
      </c>
      <c r="H881" t="inlineStr">
        <is>
          <t>Weekly - Thursday</t>
        </is>
      </c>
      <c r="I881" t="inlineStr">
        <is>
          <t>Weekly - Thursday</t>
        </is>
      </c>
      <c r="J881" t="inlineStr">
        <is>
          <t>Month+1 Expiry</t>
        </is>
      </c>
      <c r="K881" s="25" t="n">
        <v>0</v>
      </c>
      <c r="L881" s="26" t="n">
        <v>0</v>
      </c>
      <c r="M881" s="26" t="n">
        <v>0</v>
      </c>
    </row>
    <row r="882" ht="16" customHeight="1">
      <c r="A882" t="inlineStr">
        <is>
          <t>16-Mar-2026</t>
        </is>
      </c>
      <c r="B882" t="inlineStr">
        <is>
          <t>Monday</t>
        </is>
      </c>
      <c r="C882" t="inlineStr">
        <is>
          <t>Week3-Mar-2026</t>
        </is>
      </c>
      <c r="D882" s="78" t="n">
        <v>46082</v>
      </c>
      <c r="E882" t="inlineStr">
        <is>
          <t>Q4FY26</t>
        </is>
      </c>
      <c r="F882" t="inlineStr">
        <is>
          <t>30-Apr-2026</t>
        </is>
      </c>
      <c r="G882" t="inlineStr">
        <is>
          <t>Thursday</t>
        </is>
      </c>
      <c r="H882" t="inlineStr">
        <is>
          <t>Monthly - Thursday</t>
        </is>
      </c>
      <c r="I882" t="inlineStr">
        <is>
          <t>Monthly - Thursday</t>
        </is>
      </c>
      <c r="J882" t="inlineStr">
        <is>
          <t>Month+1 Expiry</t>
        </is>
      </c>
      <c r="K882" s="25" t="n">
        <v>161</v>
      </c>
      <c r="L882" s="26" t="n">
        <v>0.2531</v>
      </c>
      <c r="M882" s="26" t="n">
        <v>0.0056</v>
      </c>
    </row>
    <row r="883" ht="16" customHeight="1">
      <c r="A883" t="inlineStr">
        <is>
          <t>16-Mar-2026</t>
        </is>
      </c>
      <c r="B883" t="inlineStr">
        <is>
          <t>Monday</t>
        </is>
      </c>
      <c r="C883" t="inlineStr">
        <is>
          <t>Week3-Mar-2026</t>
        </is>
      </c>
      <c r="D883" s="78" t="n">
        <v>46082</v>
      </c>
      <c r="E883" t="inlineStr">
        <is>
          <t>Q4FY26</t>
        </is>
      </c>
      <c r="F883" t="inlineStr">
        <is>
          <t>25-Jun-2026</t>
        </is>
      </c>
      <c r="G883" t="inlineStr">
        <is>
          <t>Thursday</t>
        </is>
      </c>
      <c r="H883" t="inlineStr">
        <is>
          <t>Monthly - Thursday</t>
        </is>
      </c>
      <c r="I883" t="inlineStr">
        <is>
          <t>Monthly - Thursday</t>
        </is>
      </c>
      <c r="J883" t="inlineStr">
        <is>
          <t>Month+3 Expiry</t>
        </is>
      </c>
      <c r="K883" s="25" t="n">
        <v>0</v>
      </c>
      <c r="L883" s="26" t="n">
        <v>0</v>
      </c>
      <c r="M883" s="26" t="n">
        <v>0</v>
      </c>
    </row>
    <row r="884" ht="16" customHeight="1">
      <c r="A884" t="inlineStr">
        <is>
          <t>17-Mar-2026</t>
        </is>
      </c>
      <c r="B884" t="inlineStr">
        <is>
          <t>Tuesday</t>
        </is>
      </c>
      <c r="C884" t="inlineStr">
        <is>
          <t>Week3-Mar-2026</t>
        </is>
      </c>
      <c r="D884" s="78" t="n">
        <v>46082</v>
      </c>
      <c r="E884" t="inlineStr">
        <is>
          <t>Q4FY26</t>
        </is>
      </c>
      <c r="F884" t="inlineStr">
        <is>
          <t>19-Mar-2026</t>
        </is>
      </c>
      <c r="G884" t="inlineStr">
        <is>
          <t>Thursday</t>
        </is>
      </c>
      <c r="H884" t="inlineStr">
        <is>
          <t>Weekly - Thursday</t>
        </is>
      </c>
      <c r="I884" t="inlineStr">
        <is>
          <t>Weekly - Thursday</t>
        </is>
      </c>
      <c r="J884" t="inlineStr">
        <is>
          <t>Same Month Expiry</t>
        </is>
      </c>
      <c r="K884" s="25" t="n">
        <v>29487435</v>
      </c>
      <c r="L884" s="26" t="n">
        <v>44605.1954</v>
      </c>
      <c r="M884" s="26" t="n">
        <v>151.4592</v>
      </c>
    </row>
    <row r="885" ht="16" customHeight="1">
      <c r="A885" t="inlineStr">
        <is>
          <t>17-Mar-2026</t>
        </is>
      </c>
      <c r="B885" t="inlineStr">
        <is>
          <t>Tuesday</t>
        </is>
      </c>
      <c r="C885" t="inlineStr">
        <is>
          <t>Week3-Mar-2026</t>
        </is>
      </c>
      <c r="D885" s="78" t="n">
        <v>46082</v>
      </c>
      <c r="E885" t="inlineStr">
        <is>
          <t>Q4FY26</t>
        </is>
      </c>
      <c r="F885" t="inlineStr">
        <is>
          <t>25-Mar-2026</t>
        </is>
      </c>
      <c r="G885" t="inlineStr">
        <is>
          <t>Wednesday</t>
        </is>
      </c>
      <c r="H885" t="inlineStr">
        <is>
          <t>Monthly - Wednesday</t>
        </is>
      </c>
      <c r="I885" t="inlineStr">
        <is>
          <t>Monthly - Wednesday</t>
        </is>
      </c>
      <c r="J885" t="inlineStr">
        <is>
          <t>Same Month Expiry</t>
        </is>
      </c>
      <c r="K885" s="25" t="n">
        <v>275929</v>
      </c>
      <c r="L885" s="26" t="n">
        <v>421.9877</v>
      </c>
      <c r="M885" s="26" t="n">
        <v>3.0116</v>
      </c>
    </row>
    <row r="886" ht="16" customHeight="1">
      <c r="A886" t="inlineStr">
        <is>
          <t>17-Mar-2026</t>
        </is>
      </c>
      <c r="B886" t="inlineStr">
        <is>
          <t>Tuesday</t>
        </is>
      </c>
      <c r="C886" t="inlineStr">
        <is>
          <t>Week3-Mar-2026</t>
        </is>
      </c>
      <c r="D886" s="78" t="n">
        <v>46082</v>
      </c>
      <c r="E886" t="inlineStr">
        <is>
          <t>Q4FY26</t>
        </is>
      </c>
      <c r="F886" t="inlineStr">
        <is>
          <t>02-Apr-2026</t>
        </is>
      </c>
      <c r="G886" t="inlineStr">
        <is>
          <t>Thursday</t>
        </is>
      </c>
      <c r="H886" t="inlineStr">
        <is>
          <t>Weekly - Thursday</t>
        </is>
      </c>
      <c r="I886" t="inlineStr">
        <is>
          <t>Weekly - Thursday</t>
        </is>
      </c>
      <c r="J886" t="inlineStr">
        <is>
          <t>Month+1 Expiry</t>
        </is>
      </c>
      <c r="K886" s="25" t="n">
        <v>2260</v>
      </c>
      <c r="L886" s="26" t="n">
        <v>3.5053</v>
      </c>
      <c r="M886" s="26" t="n">
        <v>0.0298</v>
      </c>
    </row>
    <row r="887" ht="16" customHeight="1">
      <c r="A887" t="inlineStr">
        <is>
          <t>17-Mar-2026</t>
        </is>
      </c>
      <c r="B887" t="inlineStr">
        <is>
          <t>Tuesday</t>
        </is>
      </c>
      <c r="C887" t="inlineStr">
        <is>
          <t>Week3-Mar-2026</t>
        </is>
      </c>
      <c r="D887" s="78" t="n">
        <v>46082</v>
      </c>
      <c r="E887" t="inlineStr">
        <is>
          <t>Q4FY26</t>
        </is>
      </c>
      <c r="F887" t="inlineStr">
        <is>
          <t>09-Apr-2026</t>
        </is>
      </c>
      <c r="G887" t="inlineStr">
        <is>
          <t>Thursday</t>
        </is>
      </c>
      <c r="H887" t="inlineStr">
        <is>
          <t>Weekly - Thursday</t>
        </is>
      </c>
      <c r="I887" t="inlineStr">
        <is>
          <t>Weekly - Thursday</t>
        </is>
      </c>
      <c r="J887" t="inlineStr">
        <is>
          <t>Month+1 Expiry</t>
        </is>
      </c>
      <c r="K887" s="25" t="n">
        <v>5</v>
      </c>
      <c r="L887" s="26" t="n">
        <v>0.0092</v>
      </c>
      <c r="M887" s="26" t="n">
        <v>0</v>
      </c>
    </row>
    <row r="888" ht="16" customHeight="1">
      <c r="A888" t="inlineStr">
        <is>
          <t>17-Mar-2026</t>
        </is>
      </c>
      <c r="B888" t="inlineStr">
        <is>
          <t>Tuesday</t>
        </is>
      </c>
      <c r="C888" t="inlineStr">
        <is>
          <t>Week3-Mar-2026</t>
        </is>
      </c>
      <c r="D888" s="78" t="n">
        <v>46082</v>
      </c>
      <c r="E888" t="inlineStr">
        <is>
          <t>Q4FY26</t>
        </is>
      </c>
      <c r="F888" t="inlineStr">
        <is>
          <t>16-Apr-2026</t>
        </is>
      </c>
      <c r="G888" t="inlineStr">
        <is>
          <t>Thursday</t>
        </is>
      </c>
      <c r="H888" t="inlineStr">
        <is>
          <t>Weekly - Thursday</t>
        </is>
      </c>
      <c r="I888" t="inlineStr">
        <is>
          <t>Weekly - Thursday</t>
        </is>
      </c>
      <c r="J888" t="inlineStr">
        <is>
          <t>Month+1 Expiry</t>
        </is>
      </c>
      <c r="K888" s="25" t="n">
        <v>0</v>
      </c>
      <c r="L888" s="26" t="n">
        <v>0</v>
      </c>
      <c r="M888" s="26" t="n">
        <v>0</v>
      </c>
    </row>
    <row r="889" ht="16" customHeight="1">
      <c r="A889" t="inlineStr">
        <is>
          <t>17-Mar-2026</t>
        </is>
      </c>
      <c r="B889" t="inlineStr">
        <is>
          <t>Tuesday</t>
        </is>
      </c>
      <c r="C889" t="inlineStr">
        <is>
          <t>Week3-Mar-2026</t>
        </is>
      </c>
      <c r="D889" s="78" t="n">
        <v>46082</v>
      </c>
      <c r="E889" t="inlineStr">
        <is>
          <t>Q4FY26</t>
        </is>
      </c>
      <c r="F889" t="inlineStr">
        <is>
          <t>30-Apr-2026</t>
        </is>
      </c>
      <c r="G889" t="inlineStr">
        <is>
          <t>Thursday</t>
        </is>
      </c>
      <c r="H889" t="inlineStr">
        <is>
          <t>Monthly - Thursday</t>
        </is>
      </c>
      <c r="I889" t="inlineStr">
        <is>
          <t>Monthly - Thursday</t>
        </is>
      </c>
      <c r="J889" t="inlineStr">
        <is>
          <t>Month+1 Expiry</t>
        </is>
      </c>
      <c r="K889" s="25" t="n">
        <v>186</v>
      </c>
      <c r="L889" s="26" t="n">
        <v>0.2967</v>
      </c>
      <c r="M889" s="26" t="n">
        <v>0.0061</v>
      </c>
    </row>
    <row r="890" ht="16" customHeight="1">
      <c r="A890" t="inlineStr">
        <is>
          <t>17-Mar-2026</t>
        </is>
      </c>
      <c r="B890" t="inlineStr">
        <is>
          <t>Tuesday</t>
        </is>
      </c>
      <c r="C890" t="inlineStr">
        <is>
          <t>Week3-Mar-2026</t>
        </is>
      </c>
      <c r="D890" s="78" t="n">
        <v>46082</v>
      </c>
      <c r="E890" t="inlineStr">
        <is>
          <t>Q4FY26</t>
        </is>
      </c>
      <c r="F890" t="inlineStr">
        <is>
          <t>25-Jun-2026</t>
        </is>
      </c>
      <c r="G890" t="inlineStr">
        <is>
          <t>Thursday</t>
        </is>
      </c>
      <c r="H890" t="inlineStr">
        <is>
          <t>Monthly - Thursday</t>
        </is>
      </c>
      <c r="I890" t="inlineStr">
        <is>
          <t>Monthly - Thursday</t>
        </is>
      </c>
      <c r="J890" t="inlineStr">
        <is>
          <t>Month+3 Expiry</t>
        </is>
      </c>
      <c r="K890" s="25" t="n">
        <v>0</v>
      </c>
      <c r="L890" s="26" t="n">
        <v>0</v>
      </c>
      <c r="M890" s="26" t="n">
        <v>0</v>
      </c>
    </row>
    <row r="891" ht="16" customHeight="1">
      <c r="A891" t="inlineStr">
        <is>
          <t>18-Mar-2026</t>
        </is>
      </c>
      <c r="B891" t="inlineStr">
        <is>
          <t>Wednesday</t>
        </is>
      </c>
      <c r="C891" t="inlineStr">
        <is>
          <t>Week3-Mar-2026</t>
        </is>
      </c>
      <c r="D891" s="78" t="n">
        <v>46082</v>
      </c>
      <c r="E891" t="inlineStr">
        <is>
          <t>Q4FY26</t>
        </is>
      </c>
      <c r="F891" t="inlineStr">
        <is>
          <t>19-Mar-2026</t>
        </is>
      </c>
      <c r="G891" t="inlineStr">
        <is>
          <t>Thursday</t>
        </is>
      </c>
      <c r="H891" t="inlineStr">
        <is>
          <t>Weekly - Thursday</t>
        </is>
      </c>
      <c r="I891" t="inlineStr">
        <is>
          <t>Weekly - Thursday</t>
        </is>
      </c>
      <c r="J891" t="inlineStr">
        <is>
          <t>Same Month Expiry</t>
        </is>
      </c>
      <c r="K891" s="25" t="n">
        <v>116604116</v>
      </c>
      <c r="L891" s="26" t="n">
        <v>178677.933</v>
      </c>
      <c r="M891" s="26" t="n">
        <v>418.4053</v>
      </c>
    </row>
    <row r="892" ht="16" customHeight="1">
      <c r="A892" t="inlineStr">
        <is>
          <t>18-Mar-2026</t>
        </is>
      </c>
      <c r="B892" t="inlineStr">
        <is>
          <t>Wednesday</t>
        </is>
      </c>
      <c r="C892" t="inlineStr">
        <is>
          <t>Week3-Mar-2026</t>
        </is>
      </c>
      <c r="D892" s="78" t="n">
        <v>46082</v>
      </c>
      <c r="E892" t="inlineStr">
        <is>
          <t>Q4FY26</t>
        </is>
      </c>
      <c r="F892" t="inlineStr">
        <is>
          <t>25-Mar-2026</t>
        </is>
      </c>
      <c r="G892" t="inlineStr">
        <is>
          <t>Wednesday</t>
        </is>
      </c>
      <c r="H892" t="inlineStr">
        <is>
          <t>Monthly - Wednesday</t>
        </is>
      </c>
      <c r="I892" t="inlineStr">
        <is>
          <t>Monthly - Wednesday</t>
        </is>
      </c>
      <c r="J892" t="inlineStr">
        <is>
          <t>Same Month Expiry</t>
        </is>
      </c>
      <c r="K892" s="25" t="n">
        <v>548121</v>
      </c>
      <c r="L892" s="26" t="n">
        <v>843.2051</v>
      </c>
      <c r="M892" s="26" t="n">
        <v>5.0199</v>
      </c>
    </row>
    <row r="893" ht="16" customHeight="1">
      <c r="A893" t="inlineStr">
        <is>
          <t>18-Mar-2026</t>
        </is>
      </c>
      <c r="B893" t="inlineStr">
        <is>
          <t>Wednesday</t>
        </is>
      </c>
      <c r="C893" t="inlineStr">
        <is>
          <t>Week3-Mar-2026</t>
        </is>
      </c>
      <c r="D893" s="78" t="n">
        <v>46082</v>
      </c>
      <c r="E893" t="inlineStr">
        <is>
          <t>Q4FY26</t>
        </is>
      </c>
      <c r="F893" t="inlineStr">
        <is>
          <t>02-Apr-2026</t>
        </is>
      </c>
      <c r="G893" t="inlineStr">
        <is>
          <t>Thursday</t>
        </is>
      </c>
      <c r="H893" t="inlineStr">
        <is>
          <t>Weekly - Thursday</t>
        </is>
      </c>
      <c r="I893" t="inlineStr">
        <is>
          <t>Weekly - Thursday</t>
        </is>
      </c>
      <c r="J893" t="inlineStr">
        <is>
          <t>Month+1 Expiry</t>
        </is>
      </c>
      <c r="K893" s="25" t="n">
        <v>29994</v>
      </c>
      <c r="L893" s="26" t="n">
        <v>52.9576</v>
      </c>
      <c r="M893" s="26" t="n">
        <v>0.0723</v>
      </c>
    </row>
    <row r="894" ht="16" customHeight="1">
      <c r="A894" t="inlineStr">
        <is>
          <t>18-Mar-2026</t>
        </is>
      </c>
      <c r="B894" t="inlineStr">
        <is>
          <t>Wednesday</t>
        </is>
      </c>
      <c r="C894" t="inlineStr">
        <is>
          <t>Week3-Mar-2026</t>
        </is>
      </c>
      <c r="D894" s="78" t="n">
        <v>46082</v>
      </c>
      <c r="E894" t="inlineStr">
        <is>
          <t>Q4FY26</t>
        </is>
      </c>
      <c r="F894" t="inlineStr">
        <is>
          <t>09-Apr-2026</t>
        </is>
      </c>
      <c r="G894" t="inlineStr">
        <is>
          <t>Thursday</t>
        </is>
      </c>
      <c r="H894" t="inlineStr">
        <is>
          <t>Weekly - Thursday</t>
        </is>
      </c>
      <c r="I894" t="inlineStr">
        <is>
          <t>Weekly - Thursday</t>
        </is>
      </c>
      <c r="J894" t="inlineStr">
        <is>
          <t>Month+1 Expiry</t>
        </is>
      </c>
      <c r="K894" s="25" t="n">
        <v>4</v>
      </c>
      <c r="L894" s="26" t="n">
        <v>0.0068</v>
      </c>
      <c r="M894" s="26" t="n">
        <v>0.0001</v>
      </c>
    </row>
    <row r="895" ht="16" customHeight="1">
      <c r="A895" t="inlineStr">
        <is>
          <t>18-Mar-2026</t>
        </is>
      </c>
      <c r="B895" t="inlineStr">
        <is>
          <t>Wednesday</t>
        </is>
      </c>
      <c r="C895" t="inlineStr">
        <is>
          <t>Week3-Mar-2026</t>
        </is>
      </c>
      <c r="D895" s="78" t="n">
        <v>46082</v>
      </c>
      <c r="E895" t="inlineStr">
        <is>
          <t>Q4FY26</t>
        </is>
      </c>
      <c r="F895" t="inlineStr">
        <is>
          <t>16-Apr-2026</t>
        </is>
      </c>
      <c r="G895" t="inlineStr">
        <is>
          <t>Thursday</t>
        </is>
      </c>
      <c r="H895" t="inlineStr">
        <is>
          <t>Weekly - Thursday</t>
        </is>
      </c>
      <c r="I895" t="inlineStr">
        <is>
          <t>Weekly - Thursday</t>
        </is>
      </c>
      <c r="J895" t="inlineStr">
        <is>
          <t>Month+1 Expiry</t>
        </is>
      </c>
      <c r="K895" s="25" t="n">
        <v>0</v>
      </c>
      <c r="L895" s="26" t="n">
        <v>0</v>
      </c>
      <c r="M895" s="26" t="n">
        <v>0</v>
      </c>
    </row>
    <row r="896" ht="16" customHeight="1">
      <c r="A896" t="inlineStr">
        <is>
          <t>18-Mar-2026</t>
        </is>
      </c>
      <c r="B896" t="inlineStr">
        <is>
          <t>Wednesday</t>
        </is>
      </c>
      <c r="C896" t="inlineStr">
        <is>
          <t>Week3-Mar-2026</t>
        </is>
      </c>
      <c r="D896" s="78" t="n">
        <v>46082</v>
      </c>
      <c r="E896" t="inlineStr">
        <is>
          <t>Q4FY26</t>
        </is>
      </c>
      <c r="F896" t="inlineStr">
        <is>
          <t>30-Apr-2026</t>
        </is>
      </c>
      <c r="G896" t="inlineStr">
        <is>
          <t>Thursday</t>
        </is>
      </c>
      <c r="H896" t="inlineStr">
        <is>
          <t>Monthly - Thursday</t>
        </is>
      </c>
      <c r="I896" t="inlineStr">
        <is>
          <t>Monthly - Thursday</t>
        </is>
      </c>
      <c r="J896" t="inlineStr">
        <is>
          <t>Month+1 Expiry</t>
        </is>
      </c>
      <c r="K896" s="25" t="n">
        <v>1038</v>
      </c>
      <c r="L896" s="26" t="n">
        <v>1.6452</v>
      </c>
      <c r="M896" s="26" t="n">
        <v>0.0339</v>
      </c>
    </row>
    <row r="897" ht="16" customHeight="1">
      <c r="A897" t="inlineStr">
        <is>
          <t>18-Mar-2026</t>
        </is>
      </c>
      <c r="B897" t="inlineStr">
        <is>
          <t>Wednesday</t>
        </is>
      </c>
      <c r="C897" t="inlineStr">
        <is>
          <t>Week3-Mar-2026</t>
        </is>
      </c>
      <c r="D897" s="78" t="n">
        <v>46082</v>
      </c>
      <c r="E897" t="inlineStr">
        <is>
          <t>Q4FY26</t>
        </is>
      </c>
      <c r="F897" t="inlineStr">
        <is>
          <t>25-Jun-2026</t>
        </is>
      </c>
      <c r="G897" t="inlineStr">
        <is>
          <t>Thursday</t>
        </is>
      </c>
      <c r="H897" t="inlineStr">
        <is>
          <t>Monthly - Thursday</t>
        </is>
      </c>
      <c r="I897" t="inlineStr">
        <is>
          <t>Monthly - Thursday</t>
        </is>
      </c>
      <c r="J897" t="inlineStr">
        <is>
          <t>Month+3 Expiry</t>
        </is>
      </c>
      <c r="K897" s="25" t="n">
        <v>0</v>
      </c>
      <c r="L897" s="26" t="n">
        <v>0</v>
      </c>
      <c r="M897" s="26" t="n">
        <v>0</v>
      </c>
    </row>
    <row r="898" ht="16" customHeight="1">
      <c r="A898" t="inlineStr">
        <is>
          <t>19-Mar-2026</t>
        </is>
      </c>
      <c r="B898" t="inlineStr">
        <is>
          <t>Thursday</t>
        </is>
      </c>
      <c r="C898" t="inlineStr">
        <is>
          <t>Week3-Mar-2026</t>
        </is>
      </c>
      <c r="D898" s="78" t="n">
        <v>46082</v>
      </c>
      <c r="E898" t="inlineStr">
        <is>
          <t>Q4FY26</t>
        </is>
      </c>
      <c r="F898" t="inlineStr">
        <is>
          <t>19-Mar-2026</t>
        </is>
      </c>
      <c r="G898" t="inlineStr">
        <is>
          <t>Thursday</t>
        </is>
      </c>
      <c r="H898" t="inlineStr">
        <is>
          <t>Weekly - Thursday</t>
        </is>
      </c>
      <c r="I898" t="inlineStr">
        <is>
          <t>Weekly - Thursday</t>
        </is>
      </c>
      <c r="J898" t="inlineStr">
        <is>
          <t>Same Month Expiry</t>
        </is>
      </c>
      <c r="K898" s="25" t="n">
        <v>509485928</v>
      </c>
      <c r="L898" s="26" t="n">
        <v>762750.3565</v>
      </c>
      <c r="M898" s="26" t="n">
        <v>675.3122</v>
      </c>
    </row>
    <row r="899" ht="16" customHeight="1">
      <c r="A899" t="inlineStr">
        <is>
          <t>19-Mar-2026</t>
        </is>
      </c>
      <c r="B899" t="inlineStr">
        <is>
          <t>Thursday</t>
        </is>
      </c>
      <c r="C899" t="inlineStr">
        <is>
          <t>Week3-Mar-2026</t>
        </is>
      </c>
      <c r="D899" s="78" t="n">
        <v>46082</v>
      </c>
      <c r="E899" t="inlineStr">
        <is>
          <t>Q4FY26</t>
        </is>
      </c>
      <c r="F899" t="inlineStr">
        <is>
          <t>25-Mar-2026</t>
        </is>
      </c>
      <c r="G899" t="inlineStr">
        <is>
          <t>Wednesday</t>
        </is>
      </c>
      <c r="H899" t="inlineStr">
        <is>
          <t>Monthly - Wednesday</t>
        </is>
      </c>
      <c r="I899" t="inlineStr">
        <is>
          <t>MDAW - Wednesday</t>
        </is>
      </c>
      <c r="J899" t="inlineStr">
        <is>
          <t>Same Month Expiry</t>
        </is>
      </c>
      <c r="K899" s="25" t="n">
        <v>1730718</v>
      </c>
      <c r="L899" s="26" t="n">
        <v>2622.9024</v>
      </c>
      <c r="M899" s="26" t="n">
        <v>18.0408</v>
      </c>
    </row>
    <row r="900" ht="16" customHeight="1">
      <c r="A900" t="inlineStr">
        <is>
          <t>19-Mar-2026</t>
        </is>
      </c>
      <c r="B900" t="inlineStr">
        <is>
          <t>Thursday</t>
        </is>
      </c>
      <c r="C900" t="inlineStr">
        <is>
          <t>Week3-Mar-2026</t>
        </is>
      </c>
      <c r="D900" s="78" t="n">
        <v>46082</v>
      </c>
      <c r="E900" t="inlineStr">
        <is>
          <t>Q4FY26</t>
        </is>
      </c>
      <c r="F900" t="inlineStr">
        <is>
          <t>02-Apr-2026</t>
        </is>
      </c>
      <c r="G900" t="inlineStr">
        <is>
          <t>Thursday</t>
        </is>
      </c>
      <c r="H900" t="inlineStr">
        <is>
          <t>Weekly - Thursday</t>
        </is>
      </c>
      <c r="I900" t="inlineStr">
        <is>
          <t>Weekly - Thursday</t>
        </is>
      </c>
      <c r="J900" t="inlineStr">
        <is>
          <t>Month+1 Expiry</t>
        </is>
      </c>
      <c r="K900" s="25" t="n">
        <v>10631</v>
      </c>
      <c r="L900" s="26" t="n">
        <v>16.6049</v>
      </c>
      <c r="M900" s="26" t="n">
        <v>0.1252</v>
      </c>
    </row>
    <row r="901" ht="16" customHeight="1">
      <c r="A901" t="inlineStr">
        <is>
          <t>19-Mar-2026</t>
        </is>
      </c>
      <c r="B901" t="inlineStr">
        <is>
          <t>Thursday</t>
        </is>
      </c>
      <c r="C901" t="inlineStr">
        <is>
          <t>Week3-Mar-2026</t>
        </is>
      </c>
      <c r="D901" s="78" t="n">
        <v>46082</v>
      </c>
      <c r="E901" t="inlineStr">
        <is>
          <t>Q4FY26</t>
        </is>
      </c>
      <c r="F901" t="inlineStr">
        <is>
          <t>09-Apr-2026</t>
        </is>
      </c>
      <c r="G901" t="inlineStr">
        <is>
          <t>Thursday</t>
        </is>
      </c>
      <c r="H901" t="inlineStr">
        <is>
          <t>Weekly - Thursday</t>
        </is>
      </c>
      <c r="I901" t="inlineStr">
        <is>
          <t>Weekly - Thursday</t>
        </is>
      </c>
      <c r="J901" t="inlineStr">
        <is>
          <t>Month+1 Expiry</t>
        </is>
      </c>
      <c r="K901" s="25" t="n">
        <v>78</v>
      </c>
      <c r="L901" s="26" t="n">
        <v>0.1316</v>
      </c>
      <c r="M901" s="26" t="n">
        <v>0.0003</v>
      </c>
    </row>
    <row r="902" ht="16" customHeight="1">
      <c r="A902" t="inlineStr">
        <is>
          <t>19-Mar-2026</t>
        </is>
      </c>
      <c r="B902" t="inlineStr">
        <is>
          <t>Thursday</t>
        </is>
      </c>
      <c r="C902" t="inlineStr">
        <is>
          <t>Week3-Mar-2026</t>
        </is>
      </c>
      <c r="D902" s="78" t="n">
        <v>46082</v>
      </c>
      <c r="E902" t="inlineStr">
        <is>
          <t>Q4FY26</t>
        </is>
      </c>
      <c r="F902" t="inlineStr">
        <is>
          <t>16-Apr-2026</t>
        </is>
      </c>
      <c r="G902" t="inlineStr">
        <is>
          <t>Thursday</t>
        </is>
      </c>
      <c r="H902" t="inlineStr">
        <is>
          <t>Weekly - Thursday</t>
        </is>
      </c>
      <c r="I902" t="inlineStr">
        <is>
          <t>Weekly - Thursday</t>
        </is>
      </c>
      <c r="J902" t="inlineStr">
        <is>
          <t>Month+1 Expiry</t>
        </is>
      </c>
      <c r="K902" s="25" t="n">
        <v>0</v>
      </c>
      <c r="L902" s="26" t="n">
        <v>0</v>
      </c>
      <c r="M902" s="26" t="n">
        <v>0</v>
      </c>
    </row>
    <row r="903" ht="16" customHeight="1">
      <c r="A903" t="inlineStr">
        <is>
          <t>19-Mar-2026</t>
        </is>
      </c>
      <c r="B903" t="inlineStr">
        <is>
          <t>Thursday</t>
        </is>
      </c>
      <c r="C903" t="inlineStr">
        <is>
          <t>Week3-Mar-2026</t>
        </is>
      </c>
      <c r="D903" s="78" t="n">
        <v>46082</v>
      </c>
      <c r="E903" t="inlineStr">
        <is>
          <t>Q4FY26</t>
        </is>
      </c>
      <c r="F903" t="inlineStr">
        <is>
          <t>30-Apr-2026</t>
        </is>
      </c>
      <c r="G903" t="inlineStr">
        <is>
          <t>Thursday</t>
        </is>
      </c>
      <c r="H903" t="inlineStr">
        <is>
          <t>Monthly - Thursday</t>
        </is>
      </c>
      <c r="I903" t="inlineStr">
        <is>
          <t>Monthly - Thursday</t>
        </is>
      </c>
      <c r="J903" t="inlineStr">
        <is>
          <t>Month+1 Expiry</t>
        </is>
      </c>
      <c r="K903" s="25" t="n">
        <v>3030</v>
      </c>
      <c r="L903" s="26" t="n">
        <v>4.7248</v>
      </c>
      <c r="M903" s="26" t="n">
        <v>0.1132</v>
      </c>
    </row>
    <row r="904" ht="16" customHeight="1">
      <c r="A904" t="inlineStr">
        <is>
          <t>19-Mar-2026</t>
        </is>
      </c>
      <c r="B904" t="inlineStr">
        <is>
          <t>Thursday</t>
        </is>
      </c>
      <c r="C904" t="inlineStr">
        <is>
          <t>Week3-Mar-2026</t>
        </is>
      </c>
      <c r="D904" s="78" t="n">
        <v>46082</v>
      </c>
      <c r="E904" t="inlineStr">
        <is>
          <t>Q4FY26</t>
        </is>
      </c>
      <c r="F904" t="inlineStr">
        <is>
          <t>25-Jun-2026</t>
        </is>
      </c>
      <c r="G904" t="inlineStr">
        <is>
          <t>Thursday</t>
        </is>
      </c>
      <c r="H904" t="inlineStr">
        <is>
          <t>Monthly - Thursday</t>
        </is>
      </c>
      <c r="I904" t="inlineStr">
        <is>
          <t>Monthly - Thursday</t>
        </is>
      </c>
      <c r="J904" t="inlineStr">
        <is>
          <t>Month+3 Expiry</t>
        </is>
      </c>
      <c r="K904" s="25" t="n">
        <v>0</v>
      </c>
      <c r="L904" s="26" t="n">
        <v>0</v>
      </c>
      <c r="M904" s="26" t="n">
        <v>0</v>
      </c>
    </row>
    <row r="905" ht="16" customHeight="1">
      <c r="A905" t="inlineStr">
        <is>
          <t>20-Mar-2026</t>
        </is>
      </c>
      <c r="B905" t="inlineStr">
        <is>
          <t>Friday</t>
        </is>
      </c>
      <c r="C905" t="inlineStr">
        <is>
          <t>Week3-Mar-2026</t>
        </is>
      </c>
      <c r="D905" s="78" t="n">
        <v>46082</v>
      </c>
      <c r="E905" t="inlineStr">
        <is>
          <t>Q4FY26</t>
        </is>
      </c>
      <c r="F905" t="inlineStr">
        <is>
          <t>25-Mar-2026</t>
        </is>
      </c>
      <c r="G905" t="inlineStr">
        <is>
          <t>Wednesday</t>
        </is>
      </c>
      <c r="H905" t="inlineStr">
        <is>
          <t>Monthly - Wednesday</t>
        </is>
      </c>
      <c r="I905" t="inlineStr">
        <is>
          <t>MDAW - Wednesday</t>
        </is>
      </c>
      <c r="J905" t="inlineStr">
        <is>
          <t>Same Month Expiry</t>
        </is>
      </c>
      <c r="K905" s="25" t="n">
        <v>15831269</v>
      </c>
      <c r="L905" s="26" t="n">
        <v>23912.4768</v>
      </c>
      <c r="M905" s="26" t="n">
        <v>148.5318</v>
      </c>
    </row>
    <row r="906" ht="16" customHeight="1">
      <c r="A906" t="inlineStr">
        <is>
          <t>20-Mar-2026</t>
        </is>
      </c>
      <c r="B906" t="inlineStr">
        <is>
          <t>Friday</t>
        </is>
      </c>
      <c r="C906" t="inlineStr">
        <is>
          <t>Week3-Mar-2026</t>
        </is>
      </c>
      <c r="D906" s="78" t="n">
        <v>46082</v>
      </c>
      <c r="E906" t="inlineStr">
        <is>
          <t>Q4FY26</t>
        </is>
      </c>
      <c r="F906" t="inlineStr">
        <is>
          <t>02-Apr-2026</t>
        </is>
      </c>
      <c r="G906" t="inlineStr">
        <is>
          <t>Thursday</t>
        </is>
      </c>
      <c r="H906" t="inlineStr">
        <is>
          <t>Weekly - Thursday</t>
        </is>
      </c>
      <c r="I906" t="inlineStr">
        <is>
          <t>Weekly - Thursday</t>
        </is>
      </c>
      <c r="J906" t="inlineStr">
        <is>
          <t>Month+1 Expiry</t>
        </is>
      </c>
      <c r="K906" s="25" t="n">
        <v>56885</v>
      </c>
      <c r="L906" s="26" t="n">
        <v>88.6228</v>
      </c>
      <c r="M906" s="26" t="n">
        <v>0.8939</v>
      </c>
    </row>
    <row r="907" ht="16" customHeight="1">
      <c r="A907" t="inlineStr">
        <is>
          <t>20-Mar-2026</t>
        </is>
      </c>
      <c r="B907" t="inlineStr">
        <is>
          <t>Friday</t>
        </is>
      </c>
      <c r="C907" t="inlineStr">
        <is>
          <t>Week3-Mar-2026</t>
        </is>
      </c>
      <c r="D907" s="78" t="n">
        <v>46082</v>
      </c>
      <c r="E907" t="inlineStr">
        <is>
          <t>Q4FY26</t>
        </is>
      </c>
      <c r="F907" t="inlineStr">
        <is>
          <t>09-Apr-2026</t>
        </is>
      </c>
      <c r="G907" t="inlineStr">
        <is>
          <t>Thursday</t>
        </is>
      </c>
      <c r="H907" t="inlineStr">
        <is>
          <t>Weekly - Thursday</t>
        </is>
      </c>
      <c r="I907" t="inlineStr">
        <is>
          <t>Weekly - Thursday</t>
        </is>
      </c>
      <c r="J907" t="inlineStr">
        <is>
          <t>Month+1 Expiry</t>
        </is>
      </c>
      <c r="K907" s="25" t="n">
        <v>2826</v>
      </c>
      <c r="L907" s="26" t="n">
        <v>5.1004</v>
      </c>
      <c r="M907" s="26" t="n">
        <v>0.0012</v>
      </c>
    </row>
    <row r="908" ht="16" customHeight="1">
      <c r="A908" t="inlineStr">
        <is>
          <t>20-Mar-2026</t>
        </is>
      </c>
      <c r="B908" t="inlineStr">
        <is>
          <t>Friday</t>
        </is>
      </c>
      <c r="C908" t="inlineStr">
        <is>
          <t>Week3-Mar-2026</t>
        </is>
      </c>
      <c r="D908" s="78" t="n">
        <v>46082</v>
      </c>
      <c r="E908" t="inlineStr">
        <is>
          <t>Q4FY26</t>
        </is>
      </c>
      <c r="F908" t="inlineStr">
        <is>
          <t>16-Apr-2026</t>
        </is>
      </c>
      <c r="G908" t="inlineStr">
        <is>
          <t>Thursday</t>
        </is>
      </c>
      <c r="H908" t="inlineStr">
        <is>
          <t>Weekly - Thursday</t>
        </is>
      </c>
      <c r="I908" t="inlineStr">
        <is>
          <t>Weekly - Thursday</t>
        </is>
      </c>
      <c r="J908" t="inlineStr">
        <is>
          <t>Month+1 Expiry</t>
        </is>
      </c>
      <c r="K908" s="25" t="n">
        <v>5</v>
      </c>
      <c r="L908" s="26" t="n">
        <v>0.0081</v>
      </c>
      <c r="M908" s="26" t="n">
        <v>0</v>
      </c>
    </row>
    <row r="909" ht="16" customHeight="1">
      <c r="A909" t="inlineStr">
        <is>
          <t>20-Mar-2026</t>
        </is>
      </c>
      <c r="B909" t="inlineStr">
        <is>
          <t>Friday</t>
        </is>
      </c>
      <c r="C909" t="inlineStr">
        <is>
          <t>Week3-Mar-2026</t>
        </is>
      </c>
      <c r="D909" s="78" t="n">
        <v>46082</v>
      </c>
      <c r="E909" t="inlineStr">
        <is>
          <t>Q4FY26</t>
        </is>
      </c>
      <c r="F909" t="inlineStr">
        <is>
          <t>30-Apr-2026</t>
        </is>
      </c>
      <c r="G909" t="inlineStr">
        <is>
          <t>Thursday</t>
        </is>
      </c>
      <c r="H909" t="inlineStr">
        <is>
          <t>Monthly - Thursday</t>
        </is>
      </c>
      <c r="I909" t="inlineStr">
        <is>
          <t>Monthly - Thursday</t>
        </is>
      </c>
      <c r="J909" t="inlineStr">
        <is>
          <t>Month+1 Expiry</t>
        </is>
      </c>
      <c r="K909" s="25" t="n">
        <v>1941</v>
      </c>
      <c r="L909" s="26" t="n">
        <v>3.0387</v>
      </c>
      <c r="M909" s="26" t="n">
        <v>0.068</v>
      </c>
    </row>
    <row r="910" ht="16" customHeight="1">
      <c r="A910" t="inlineStr">
        <is>
          <t>20-Mar-2026</t>
        </is>
      </c>
      <c r="B910" t="inlineStr">
        <is>
          <t>Friday</t>
        </is>
      </c>
      <c r="C910" t="inlineStr">
        <is>
          <t>Week3-Mar-2026</t>
        </is>
      </c>
      <c r="D910" s="78" t="n">
        <v>46082</v>
      </c>
      <c r="E910" t="inlineStr">
        <is>
          <t>Q4FY26</t>
        </is>
      </c>
      <c r="F910" t="inlineStr">
        <is>
          <t>25-Jun-2026</t>
        </is>
      </c>
      <c r="G910" t="inlineStr">
        <is>
          <t>Thursday</t>
        </is>
      </c>
      <c r="H910" t="inlineStr">
        <is>
          <t>Monthly - Thursday</t>
        </is>
      </c>
      <c r="I910" t="inlineStr">
        <is>
          <t>Monthly - Thursday</t>
        </is>
      </c>
      <c r="J910" t="inlineStr">
        <is>
          <t>Month+3 Expiry</t>
        </is>
      </c>
      <c r="K910" s="25" t="n">
        <v>0</v>
      </c>
      <c r="L910" s="26" t="n">
        <v>0</v>
      </c>
      <c r="M910" s="26" t="n">
        <v>0</v>
      </c>
    </row>
    <row r="911" ht="16" customHeight="1">
      <c r="A911" t="inlineStr">
        <is>
          <t>23-Mar-2026</t>
        </is>
      </c>
      <c r="B911" t="inlineStr">
        <is>
          <t>Monday</t>
        </is>
      </c>
      <c r="C911" t="inlineStr">
        <is>
          <t>Week4-Mar-2026</t>
        </is>
      </c>
      <c r="D911" s="78" t="n">
        <v>46082</v>
      </c>
      <c r="E911" t="inlineStr">
        <is>
          <t>Q4FY26</t>
        </is>
      </c>
      <c r="F911" t="inlineStr">
        <is>
          <t>25-Mar-2026</t>
        </is>
      </c>
      <c r="G911" t="inlineStr">
        <is>
          <t>Wednesday</t>
        </is>
      </c>
      <c r="H911" t="inlineStr">
        <is>
          <t>Monthly - Wednesday</t>
        </is>
      </c>
      <c r="I911" t="inlineStr">
        <is>
          <t>MDAW - Wednesday</t>
        </is>
      </c>
      <c r="J911" t="inlineStr">
        <is>
          <t>Same Month Expiry</t>
        </is>
      </c>
      <c r="K911" s="25" t="n">
        <v>16922314</v>
      </c>
      <c r="L911" s="26" t="n">
        <v>24904.3494</v>
      </c>
      <c r="M911" s="26" t="n">
        <v>153.711</v>
      </c>
    </row>
    <row r="912" ht="16" customHeight="1">
      <c r="A912" t="inlineStr">
        <is>
          <t>23-Mar-2026</t>
        </is>
      </c>
      <c r="B912" t="inlineStr">
        <is>
          <t>Monday</t>
        </is>
      </c>
      <c r="C912" t="inlineStr">
        <is>
          <t>Week4-Mar-2026</t>
        </is>
      </c>
      <c r="D912" s="78" t="n">
        <v>46082</v>
      </c>
      <c r="E912" t="inlineStr">
        <is>
          <t>Q4FY26</t>
        </is>
      </c>
      <c r="F912" t="inlineStr">
        <is>
          <t>02-Apr-2026</t>
        </is>
      </c>
      <c r="G912" t="inlineStr">
        <is>
          <t>Thursday</t>
        </is>
      </c>
      <c r="H912" t="inlineStr">
        <is>
          <t>Weekly - Thursday</t>
        </is>
      </c>
      <c r="I912" t="inlineStr">
        <is>
          <t>Weekly - Thursday</t>
        </is>
      </c>
      <c r="J912" t="inlineStr">
        <is>
          <t>Month+1 Expiry</t>
        </is>
      </c>
      <c r="K912" s="25" t="n">
        <v>85696</v>
      </c>
      <c r="L912" s="26" t="n">
        <v>129.9033</v>
      </c>
      <c r="M912" s="26" t="n">
        <v>1.9672</v>
      </c>
    </row>
    <row r="913" ht="16" customHeight="1">
      <c r="A913" t="inlineStr">
        <is>
          <t>23-Mar-2026</t>
        </is>
      </c>
      <c r="B913" t="inlineStr">
        <is>
          <t>Monday</t>
        </is>
      </c>
      <c r="C913" t="inlineStr">
        <is>
          <t>Week4-Mar-2026</t>
        </is>
      </c>
      <c r="D913" s="78" t="n">
        <v>46082</v>
      </c>
      <c r="E913" t="inlineStr">
        <is>
          <t>Q4FY26</t>
        </is>
      </c>
      <c r="F913" t="inlineStr">
        <is>
          <t>09-Apr-2026</t>
        </is>
      </c>
      <c r="G913" t="inlineStr">
        <is>
          <t>Thursday</t>
        </is>
      </c>
      <c r="H913" t="inlineStr">
        <is>
          <t>Weekly - Thursday</t>
        </is>
      </c>
      <c r="I913" t="inlineStr">
        <is>
          <t>Weekly - Thursday</t>
        </is>
      </c>
      <c r="J913" t="inlineStr">
        <is>
          <t>Month+1 Expiry</t>
        </is>
      </c>
      <c r="K913" s="25" t="n">
        <v>559</v>
      </c>
      <c r="L913" s="26" t="n">
        <v>0.8703</v>
      </c>
      <c r="M913" s="26" t="n">
        <v>0.0113</v>
      </c>
    </row>
    <row r="914" ht="16" customHeight="1">
      <c r="A914" t="inlineStr">
        <is>
          <t>23-Mar-2026</t>
        </is>
      </c>
      <c r="B914" t="inlineStr">
        <is>
          <t>Monday</t>
        </is>
      </c>
      <c r="C914" t="inlineStr">
        <is>
          <t>Week4-Mar-2026</t>
        </is>
      </c>
      <c r="D914" s="78" t="n">
        <v>46082</v>
      </c>
      <c r="E914" t="inlineStr">
        <is>
          <t>Q4FY26</t>
        </is>
      </c>
      <c r="F914" t="inlineStr">
        <is>
          <t>16-Apr-2026</t>
        </is>
      </c>
      <c r="G914" t="inlineStr">
        <is>
          <t>Thursday</t>
        </is>
      </c>
      <c r="H914" t="inlineStr">
        <is>
          <t>Weekly - Thursday</t>
        </is>
      </c>
      <c r="I914" t="inlineStr">
        <is>
          <t>Weekly - Thursday</t>
        </is>
      </c>
      <c r="J914" t="inlineStr">
        <is>
          <t>Month+1 Expiry</t>
        </is>
      </c>
      <c r="K914" s="25" t="n">
        <v>0</v>
      </c>
      <c r="L914" s="26" t="n">
        <v>0</v>
      </c>
      <c r="M914" s="26" t="n">
        <v>0</v>
      </c>
    </row>
    <row r="915" ht="16" customHeight="1">
      <c r="A915" t="inlineStr">
        <is>
          <t>23-Mar-2026</t>
        </is>
      </c>
      <c r="B915" t="inlineStr">
        <is>
          <t>Monday</t>
        </is>
      </c>
      <c r="C915" t="inlineStr">
        <is>
          <t>Week4-Mar-2026</t>
        </is>
      </c>
      <c r="D915" s="78" t="n">
        <v>46082</v>
      </c>
      <c r="E915" t="inlineStr">
        <is>
          <t>Q4FY26</t>
        </is>
      </c>
      <c r="F915" t="inlineStr">
        <is>
          <t>30-Apr-2026</t>
        </is>
      </c>
      <c r="G915" t="inlineStr">
        <is>
          <t>Thursday</t>
        </is>
      </c>
      <c r="H915" t="inlineStr">
        <is>
          <t>Monthly - Thursday</t>
        </is>
      </c>
      <c r="I915" t="inlineStr">
        <is>
          <t>Monthly - Thursday</t>
        </is>
      </c>
      <c r="J915" t="inlineStr">
        <is>
          <t>Month+1 Expiry</t>
        </is>
      </c>
      <c r="K915" s="25" t="n">
        <v>4557</v>
      </c>
      <c r="L915" s="26" t="n">
        <v>7.0192</v>
      </c>
      <c r="M915" s="26" t="n">
        <v>0.177</v>
      </c>
    </row>
    <row r="916" ht="16" customHeight="1">
      <c r="A916" t="inlineStr">
        <is>
          <t>23-Mar-2026</t>
        </is>
      </c>
      <c r="B916" t="inlineStr">
        <is>
          <t>Monday</t>
        </is>
      </c>
      <c r="C916" t="inlineStr">
        <is>
          <t>Week4-Mar-2026</t>
        </is>
      </c>
      <c r="D916" s="78" t="n">
        <v>46082</v>
      </c>
      <c r="E916" t="inlineStr">
        <is>
          <t>Q4FY26</t>
        </is>
      </c>
      <c r="F916" t="inlineStr">
        <is>
          <t>25-Jun-2026</t>
        </is>
      </c>
      <c r="G916" t="inlineStr">
        <is>
          <t>Thursday</t>
        </is>
      </c>
      <c r="H916" t="inlineStr">
        <is>
          <t>Monthly - Thursday</t>
        </is>
      </c>
      <c r="I916" t="inlineStr">
        <is>
          <t>Monthly - Thursday</t>
        </is>
      </c>
      <c r="J916" t="inlineStr">
        <is>
          <t>Month+3 Expiry</t>
        </is>
      </c>
      <c r="K916" s="25" t="n">
        <v>0</v>
      </c>
      <c r="L916" s="26" t="n">
        <v>0</v>
      </c>
      <c r="M916" s="26" t="n">
        <v>0</v>
      </c>
    </row>
    <row r="917" ht="16" customHeight="1">
      <c r="A917" t="inlineStr">
        <is>
          <t>24-Mar-2026</t>
        </is>
      </c>
      <c r="B917" t="inlineStr">
        <is>
          <t>Tuesday</t>
        </is>
      </c>
      <c r="C917" t="inlineStr">
        <is>
          <t>Week4-Mar-2026</t>
        </is>
      </c>
      <c r="D917" s="78" t="n">
        <v>46082</v>
      </c>
      <c r="E917" t="inlineStr">
        <is>
          <t>Q4FY26</t>
        </is>
      </c>
      <c r="F917" t="inlineStr">
        <is>
          <t>25-Mar-2026</t>
        </is>
      </c>
      <c r="G917" t="inlineStr">
        <is>
          <t>Wednesday</t>
        </is>
      </c>
      <c r="H917" t="inlineStr">
        <is>
          <t>Monthly - Wednesday</t>
        </is>
      </c>
      <c r="I917" t="inlineStr">
        <is>
          <t>MDAW - Wednesday</t>
        </is>
      </c>
      <c r="J917" t="inlineStr">
        <is>
          <t>Same Month Expiry</t>
        </is>
      </c>
      <c r="K917" s="25" t="n">
        <v>41456574</v>
      </c>
      <c r="L917" s="26" t="n">
        <v>61368.6512</v>
      </c>
      <c r="M917" s="26" t="n">
        <v>209.8449</v>
      </c>
    </row>
    <row r="918" ht="16" customHeight="1">
      <c r="A918" t="inlineStr">
        <is>
          <t>24-Mar-2026</t>
        </is>
      </c>
      <c r="B918" t="inlineStr">
        <is>
          <t>Tuesday</t>
        </is>
      </c>
      <c r="C918" t="inlineStr">
        <is>
          <t>Week4-Mar-2026</t>
        </is>
      </c>
      <c r="D918" s="78" t="n">
        <v>46082</v>
      </c>
      <c r="E918" t="inlineStr">
        <is>
          <t>Q4FY26</t>
        </is>
      </c>
      <c r="F918" t="inlineStr">
        <is>
          <t>02-Apr-2026</t>
        </is>
      </c>
      <c r="G918" t="inlineStr">
        <is>
          <t>Thursday</t>
        </is>
      </c>
      <c r="H918" t="inlineStr">
        <is>
          <t>Weekly - Thursday</t>
        </is>
      </c>
      <c r="I918" t="inlineStr">
        <is>
          <t>Weekly - Thursday</t>
        </is>
      </c>
      <c r="J918" t="inlineStr">
        <is>
          <t>Month+1 Expiry</t>
        </is>
      </c>
      <c r="K918" s="25" t="n">
        <v>269766</v>
      </c>
      <c r="L918" s="26" t="n">
        <v>407.0962</v>
      </c>
      <c r="M918" s="26" t="n">
        <v>5.2366</v>
      </c>
    </row>
    <row r="919" ht="16" customHeight="1">
      <c r="A919" t="inlineStr">
        <is>
          <t>24-Mar-2026</t>
        </is>
      </c>
      <c r="B919" t="inlineStr">
        <is>
          <t>Tuesday</t>
        </is>
      </c>
      <c r="C919" t="inlineStr">
        <is>
          <t>Week4-Mar-2026</t>
        </is>
      </c>
      <c r="D919" s="78" t="n">
        <v>46082</v>
      </c>
      <c r="E919" t="inlineStr">
        <is>
          <t>Q4FY26</t>
        </is>
      </c>
      <c r="F919" t="inlineStr">
        <is>
          <t>09-Apr-2026</t>
        </is>
      </c>
      <c r="G919" t="inlineStr">
        <is>
          <t>Thursday</t>
        </is>
      </c>
      <c r="H919" t="inlineStr">
        <is>
          <t>Weekly - Thursday</t>
        </is>
      </c>
      <c r="I919" t="inlineStr">
        <is>
          <t>Weekly - Thursday</t>
        </is>
      </c>
      <c r="J919" t="inlineStr">
        <is>
          <t>Month+1 Expiry</t>
        </is>
      </c>
      <c r="K919" s="25" t="n">
        <v>2330</v>
      </c>
      <c r="L919" s="26" t="n">
        <v>3.5406</v>
      </c>
      <c r="M919" s="26" t="n">
        <v>0.0731</v>
      </c>
    </row>
    <row r="920" ht="16" customHeight="1">
      <c r="A920" t="inlineStr">
        <is>
          <t>24-Mar-2026</t>
        </is>
      </c>
      <c r="B920" t="inlineStr">
        <is>
          <t>Tuesday</t>
        </is>
      </c>
      <c r="C920" t="inlineStr">
        <is>
          <t>Week4-Mar-2026</t>
        </is>
      </c>
      <c r="D920" s="78" t="n">
        <v>46082</v>
      </c>
      <c r="E920" t="inlineStr">
        <is>
          <t>Q4FY26</t>
        </is>
      </c>
      <c r="F920" t="inlineStr">
        <is>
          <t>16-Apr-2026</t>
        </is>
      </c>
      <c r="G920" t="inlineStr">
        <is>
          <t>Thursday</t>
        </is>
      </c>
      <c r="H920" t="inlineStr">
        <is>
          <t>Weekly - Thursday</t>
        </is>
      </c>
      <c r="I920" t="inlineStr">
        <is>
          <t>Weekly - Thursday</t>
        </is>
      </c>
      <c r="J920" t="inlineStr">
        <is>
          <t>Month+1 Expiry</t>
        </is>
      </c>
      <c r="K920" s="25" t="n">
        <v>0</v>
      </c>
      <c r="L920" s="26" t="n">
        <v>0</v>
      </c>
      <c r="M920" s="26" t="n">
        <v>0</v>
      </c>
    </row>
    <row r="921" ht="16" customHeight="1">
      <c r="A921" t="inlineStr">
        <is>
          <t>24-Mar-2026</t>
        </is>
      </c>
      <c r="B921" t="inlineStr">
        <is>
          <t>Tuesday</t>
        </is>
      </c>
      <c r="C921" t="inlineStr">
        <is>
          <t>Week4-Mar-2026</t>
        </is>
      </c>
      <c r="D921" s="78" t="n">
        <v>46082</v>
      </c>
      <c r="E921" t="inlineStr">
        <is>
          <t>Q4FY26</t>
        </is>
      </c>
      <c r="F921" t="inlineStr">
        <is>
          <t>30-Apr-2026</t>
        </is>
      </c>
      <c r="G921" t="inlineStr">
        <is>
          <t>Thursday</t>
        </is>
      </c>
      <c r="H921" t="inlineStr">
        <is>
          <t>Monthly - Thursday</t>
        </is>
      </c>
      <c r="I921" t="inlineStr">
        <is>
          <t>Monthly - Thursday</t>
        </is>
      </c>
      <c r="J921" t="inlineStr">
        <is>
          <t>Month+1 Expiry</t>
        </is>
      </c>
      <c r="K921" s="25" t="n">
        <v>3386</v>
      </c>
      <c r="L921" s="26" t="n">
        <v>5.2348</v>
      </c>
      <c r="M921" s="26" t="n">
        <v>0.1251</v>
      </c>
    </row>
    <row r="922" ht="16" customHeight="1">
      <c r="A922" t="inlineStr">
        <is>
          <t>24-Mar-2026</t>
        </is>
      </c>
      <c r="B922" t="inlineStr">
        <is>
          <t>Tuesday</t>
        </is>
      </c>
      <c r="C922" t="inlineStr">
        <is>
          <t>Week4-Mar-2026</t>
        </is>
      </c>
      <c r="D922" s="78" t="n">
        <v>46082</v>
      </c>
      <c r="E922" t="inlineStr">
        <is>
          <t>Q4FY26</t>
        </is>
      </c>
      <c r="F922" t="inlineStr">
        <is>
          <t>25-Jun-2026</t>
        </is>
      </c>
      <c r="G922" t="inlineStr">
        <is>
          <t>Thursday</t>
        </is>
      </c>
      <c r="H922" t="inlineStr">
        <is>
          <t>Monthly - Thursday</t>
        </is>
      </c>
      <c r="I922" t="inlineStr">
        <is>
          <t>Monthly - Thursday</t>
        </is>
      </c>
      <c r="J922" t="inlineStr">
        <is>
          <t>Month+3 Expiry</t>
        </is>
      </c>
      <c r="K922" s="25" t="n">
        <v>0</v>
      </c>
      <c r="L922" s="26" t="n">
        <v>0</v>
      </c>
      <c r="M922" s="26" t="n">
        <v>0</v>
      </c>
    </row>
    <row r="923" ht="16" customHeight="1">
      <c r="A923" t="inlineStr">
        <is>
          <t>25-Mar-2026</t>
        </is>
      </c>
      <c r="B923" t="inlineStr">
        <is>
          <t>Wednesday</t>
        </is>
      </c>
      <c r="C923" t="inlineStr">
        <is>
          <t>Week4-Mar-2026</t>
        </is>
      </c>
      <c r="D923" s="78" t="n">
        <v>46082</v>
      </c>
      <c r="E923" t="inlineStr">
        <is>
          <t>Q4FY26</t>
        </is>
      </c>
      <c r="F923" t="inlineStr">
        <is>
          <t>25-Mar-2026</t>
        </is>
      </c>
      <c r="G923" t="inlineStr">
        <is>
          <t>Wednesday</t>
        </is>
      </c>
      <c r="H923" t="inlineStr">
        <is>
          <t>Monthly - Wednesday</t>
        </is>
      </c>
      <c r="I923" t="inlineStr">
        <is>
          <t>MDAW - Wednesday</t>
        </is>
      </c>
      <c r="J923" t="inlineStr">
        <is>
          <t>Same Month Expiry</t>
        </is>
      </c>
      <c r="K923" s="25" t="n">
        <v>480650155</v>
      </c>
      <c r="L923" s="26" t="n">
        <v>724412.3781</v>
      </c>
      <c r="M923" s="26" t="n">
        <v>695.4503999999999</v>
      </c>
    </row>
    <row r="924" ht="16" customHeight="1">
      <c r="A924" t="inlineStr">
        <is>
          <t>25-Mar-2026</t>
        </is>
      </c>
      <c r="B924" t="inlineStr">
        <is>
          <t>Wednesday</t>
        </is>
      </c>
      <c r="C924" t="inlineStr">
        <is>
          <t>Week4-Mar-2026</t>
        </is>
      </c>
      <c r="D924" s="78" t="n">
        <v>46082</v>
      </c>
      <c r="E924" t="inlineStr">
        <is>
          <t>Q4FY26</t>
        </is>
      </c>
      <c r="F924" t="inlineStr">
        <is>
          <t>02-Apr-2026</t>
        </is>
      </c>
      <c r="G924" t="inlineStr">
        <is>
          <t>Thursday</t>
        </is>
      </c>
      <c r="H924" t="inlineStr">
        <is>
          <t>Weekly - Thursday</t>
        </is>
      </c>
      <c r="I924" t="inlineStr">
        <is>
          <t>Weekly - Thursday</t>
        </is>
      </c>
      <c r="J924" t="inlineStr">
        <is>
          <t>Month+1 Expiry</t>
        </is>
      </c>
      <c r="K924" s="25" t="n">
        <v>1156117</v>
      </c>
      <c r="L924" s="26" t="n">
        <v>1744.6856</v>
      </c>
      <c r="M924" s="26" t="n">
        <v>14.7782</v>
      </c>
    </row>
    <row r="925" ht="16" customHeight="1">
      <c r="A925" t="inlineStr">
        <is>
          <t>25-Mar-2026</t>
        </is>
      </c>
      <c r="B925" t="inlineStr">
        <is>
          <t>Wednesday</t>
        </is>
      </c>
      <c r="C925" t="inlineStr">
        <is>
          <t>Week4-Mar-2026</t>
        </is>
      </c>
      <c r="D925" s="78" t="n">
        <v>46082</v>
      </c>
      <c r="E925" t="inlineStr">
        <is>
          <t>Q4FY26</t>
        </is>
      </c>
      <c r="F925" t="inlineStr">
        <is>
          <t>09-Apr-2026</t>
        </is>
      </c>
      <c r="G925" t="inlineStr">
        <is>
          <t>Thursday</t>
        </is>
      </c>
      <c r="H925" t="inlineStr">
        <is>
          <t>Weekly - Thursday</t>
        </is>
      </c>
      <c r="I925" t="inlineStr">
        <is>
          <t>Weekly - Thursday</t>
        </is>
      </c>
      <c r="J925" t="inlineStr">
        <is>
          <t>Month+1 Expiry</t>
        </is>
      </c>
      <c r="K925" s="25" t="n">
        <v>3169</v>
      </c>
      <c r="L925" s="26" t="n">
        <v>4.8674</v>
      </c>
      <c r="M925" s="26" t="n">
        <v>0.0599</v>
      </c>
    </row>
    <row r="926" ht="16" customHeight="1">
      <c r="A926" t="inlineStr">
        <is>
          <t>25-Mar-2026</t>
        </is>
      </c>
      <c r="B926" t="inlineStr">
        <is>
          <t>Wednesday</t>
        </is>
      </c>
      <c r="C926" t="inlineStr">
        <is>
          <t>Week4-Mar-2026</t>
        </is>
      </c>
      <c r="D926" s="78" t="n">
        <v>46082</v>
      </c>
      <c r="E926" t="inlineStr">
        <is>
          <t>Q4FY26</t>
        </is>
      </c>
      <c r="F926" t="inlineStr">
        <is>
          <t>16-Apr-2026</t>
        </is>
      </c>
      <c r="G926" t="inlineStr">
        <is>
          <t>Thursday</t>
        </is>
      </c>
      <c r="H926" t="inlineStr">
        <is>
          <t>Weekly - Thursday</t>
        </is>
      </c>
      <c r="I926" t="inlineStr">
        <is>
          <t>Weekly - Thursday</t>
        </is>
      </c>
      <c r="J926" t="inlineStr">
        <is>
          <t>Month+1 Expiry</t>
        </is>
      </c>
      <c r="K926" s="25" t="n">
        <v>8</v>
      </c>
      <c r="L926" s="26" t="n">
        <v>0.0126</v>
      </c>
      <c r="M926" s="26" t="n">
        <v>0.0002</v>
      </c>
    </row>
    <row r="927" ht="16" customHeight="1">
      <c r="A927" t="inlineStr">
        <is>
          <t>25-Mar-2026</t>
        </is>
      </c>
      <c r="B927" t="inlineStr">
        <is>
          <t>Wednesday</t>
        </is>
      </c>
      <c r="C927" t="inlineStr">
        <is>
          <t>Week4-Mar-2026</t>
        </is>
      </c>
      <c r="D927" s="78" t="n">
        <v>46082</v>
      </c>
      <c r="E927" t="inlineStr">
        <is>
          <t>Q4FY26</t>
        </is>
      </c>
      <c r="F927" t="inlineStr">
        <is>
          <t>30-Apr-2026</t>
        </is>
      </c>
      <c r="G927" t="inlineStr">
        <is>
          <t>Thursday</t>
        </is>
      </c>
      <c r="H927" t="inlineStr">
        <is>
          <t>Monthly - Thursday</t>
        </is>
      </c>
      <c r="I927" t="inlineStr">
        <is>
          <t>Monthly - Thursday</t>
        </is>
      </c>
      <c r="J927" t="inlineStr">
        <is>
          <t>Month+1 Expiry</t>
        </is>
      </c>
      <c r="K927" s="25" t="n">
        <v>7293</v>
      </c>
      <c r="L927" s="26" t="n">
        <v>11.4055</v>
      </c>
      <c r="M927" s="26" t="n">
        <v>0.2398</v>
      </c>
    </row>
    <row r="928" ht="16" customHeight="1">
      <c r="A928" t="inlineStr">
        <is>
          <t>25-Mar-2026</t>
        </is>
      </c>
      <c r="B928" t="inlineStr">
        <is>
          <t>Wednesday</t>
        </is>
      </c>
      <c r="C928" t="inlineStr">
        <is>
          <t>Week4-Mar-2026</t>
        </is>
      </c>
      <c r="D928" s="78" t="n">
        <v>46082</v>
      </c>
      <c r="E928" t="inlineStr">
        <is>
          <t>Q4FY26</t>
        </is>
      </c>
      <c r="F928" t="inlineStr">
        <is>
          <t>25-Jun-2026</t>
        </is>
      </c>
      <c r="G928" t="inlineStr">
        <is>
          <t>Thursday</t>
        </is>
      </c>
      <c r="H928" t="inlineStr">
        <is>
          <t>Monthly - Thursday</t>
        </is>
      </c>
      <c r="I928" t="inlineStr">
        <is>
          <t>Monthly - Thursday</t>
        </is>
      </c>
      <c r="J928" t="inlineStr">
        <is>
          <t>Month+3 Expiry</t>
        </is>
      </c>
      <c r="K928" s="25" t="n">
        <v>0</v>
      </c>
      <c r="L928" s="26" t="n">
        <v>0</v>
      </c>
      <c r="M928" s="26" t="n">
        <v>0</v>
      </c>
    </row>
    <row r="929" ht="16" customHeight="1">
      <c r="A929" t="inlineStr">
        <is>
          <t>27-Mar-2026</t>
        </is>
      </c>
      <c r="B929" t="inlineStr">
        <is>
          <t>Friday</t>
        </is>
      </c>
      <c r="C929" t="inlineStr">
        <is>
          <t>Week4-Mar-2026</t>
        </is>
      </c>
      <c r="D929" s="78" t="n">
        <v>46082</v>
      </c>
      <c r="E929" t="inlineStr">
        <is>
          <t>Q4FY26</t>
        </is>
      </c>
      <c r="F929" t="inlineStr">
        <is>
          <t>02-Apr-2026</t>
        </is>
      </c>
      <c r="G929" t="inlineStr">
        <is>
          <t>Thursday</t>
        </is>
      </c>
      <c r="H929" t="inlineStr">
        <is>
          <t>Weekly - Thursday</t>
        </is>
      </c>
      <c r="I929" t="inlineStr">
        <is>
          <t>Weekly - Thursday</t>
        </is>
      </c>
      <c r="J929" t="inlineStr">
        <is>
          <t>Month+1 Expiry</t>
        </is>
      </c>
      <c r="K929" s="25" t="n">
        <v>8647743</v>
      </c>
      <c r="L929" s="26" t="n">
        <v>12935.9272</v>
      </c>
      <c r="M929" s="26" t="n">
        <v>99.7535</v>
      </c>
    </row>
    <row r="930" ht="16" customHeight="1">
      <c r="A930" t="inlineStr">
        <is>
          <t>27-Mar-2026</t>
        </is>
      </c>
      <c r="B930" t="inlineStr">
        <is>
          <t>Friday</t>
        </is>
      </c>
      <c r="C930" t="inlineStr">
        <is>
          <t>Week4-Mar-2026</t>
        </is>
      </c>
      <c r="D930" s="78" t="n">
        <v>46082</v>
      </c>
      <c r="E930" t="inlineStr">
        <is>
          <t>Q4FY26</t>
        </is>
      </c>
      <c r="F930" t="inlineStr">
        <is>
          <t>09-Apr-2026</t>
        </is>
      </c>
      <c r="G930" t="inlineStr">
        <is>
          <t>Thursday</t>
        </is>
      </c>
      <c r="H930" t="inlineStr">
        <is>
          <t>Weekly - Thursday</t>
        </is>
      </c>
      <c r="I930" t="inlineStr">
        <is>
          <t>Weekly - Thursday</t>
        </is>
      </c>
      <c r="J930" t="inlineStr">
        <is>
          <t>Month+1 Expiry</t>
        </is>
      </c>
      <c r="K930" s="25" t="n">
        <v>15550</v>
      </c>
      <c r="L930" s="26" t="n">
        <v>23.6522</v>
      </c>
      <c r="M930" s="26" t="n">
        <v>0.3835</v>
      </c>
    </row>
    <row r="931" ht="16" customHeight="1">
      <c r="A931" t="inlineStr">
        <is>
          <t>27-Mar-2026</t>
        </is>
      </c>
      <c r="B931" t="inlineStr">
        <is>
          <t>Friday</t>
        </is>
      </c>
      <c r="C931" t="inlineStr">
        <is>
          <t>Week4-Mar-2026</t>
        </is>
      </c>
      <c r="D931" s="78" t="n">
        <v>46082</v>
      </c>
      <c r="E931" t="inlineStr">
        <is>
          <t>Q4FY26</t>
        </is>
      </c>
      <c r="F931" t="inlineStr">
        <is>
          <t>16-Apr-2026</t>
        </is>
      </c>
      <c r="G931" t="inlineStr">
        <is>
          <t>Thursday</t>
        </is>
      </c>
      <c r="H931" t="inlineStr">
        <is>
          <t>Weekly - Thursday</t>
        </is>
      </c>
      <c r="I931" t="inlineStr">
        <is>
          <t>Weekly - Thursday</t>
        </is>
      </c>
      <c r="J931" t="inlineStr">
        <is>
          <t>Month+1 Expiry</t>
        </is>
      </c>
      <c r="K931" s="25" t="n">
        <v>0</v>
      </c>
      <c r="L931" s="26" t="n">
        <v>0</v>
      </c>
      <c r="M931" s="26" t="n">
        <v>0</v>
      </c>
    </row>
    <row r="932" ht="16" customHeight="1">
      <c r="A932" t="inlineStr">
        <is>
          <t>27-Mar-2026</t>
        </is>
      </c>
      <c r="B932" t="inlineStr">
        <is>
          <t>Friday</t>
        </is>
      </c>
      <c r="C932" t="inlineStr">
        <is>
          <t>Week4-Mar-2026</t>
        </is>
      </c>
      <c r="D932" s="78" t="n">
        <v>46082</v>
      </c>
      <c r="E932" t="inlineStr">
        <is>
          <t>Q4FY26</t>
        </is>
      </c>
      <c r="F932" t="inlineStr">
        <is>
          <t>30-Apr-2026</t>
        </is>
      </c>
      <c r="G932" t="inlineStr">
        <is>
          <t>Thursday</t>
        </is>
      </c>
      <c r="H932" t="inlineStr">
        <is>
          <t>Monthly - Thursday</t>
        </is>
      </c>
      <c r="I932" t="inlineStr">
        <is>
          <t>Monthly - Thursday</t>
        </is>
      </c>
      <c r="J932" t="inlineStr">
        <is>
          <t>Month+1 Expiry</t>
        </is>
      </c>
      <c r="K932" s="25" t="n">
        <v>10052</v>
      </c>
      <c r="L932" s="26" t="n">
        <v>15.4536</v>
      </c>
      <c r="M932" s="26" t="n">
        <v>0.3866</v>
      </c>
    </row>
    <row r="933" ht="16" customHeight="1">
      <c r="A933" t="inlineStr">
        <is>
          <t>27-Mar-2026</t>
        </is>
      </c>
      <c r="B933" t="inlineStr">
        <is>
          <t>Friday</t>
        </is>
      </c>
      <c r="C933" t="inlineStr">
        <is>
          <t>Week4-Mar-2026</t>
        </is>
      </c>
      <c r="D933" s="78" t="n">
        <v>46082</v>
      </c>
      <c r="E933" t="inlineStr">
        <is>
          <t>Q4FY26</t>
        </is>
      </c>
      <c r="F933" t="inlineStr">
        <is>
          <t>25-Jun-2026</t>
        </is>
      </c>
      <c r="G933" t="inlineStr">
        <is>
          <t>Thursday</t>
        </is>
      </c>
      <c r="H933" t="inlineStr">
        <is>
          <t>Monthly - Thursday</t>
        </is>
      </c>
      <c r="I933" t="inlineStr">
        <is>
          <t>Monthly - Thursday</t>
        </is>
      </c>
      <c r="J933" t="inlineStr">
        <is>
          <t>Month+3 Expiry</t>
        </is>
      </c>
      <c r="K933" s="25" t="n">
        <v>0</v>
      </c>
      <c r="L933" s="26" t="n">
        <v>0</v>
      </c>
      <c r="M933" s="26" t="n">
        <v>0</v>
      </c>
    </row>
    <row r="934" ht="16" customHeight="1">
      <c r="A934" t="inlineStr">
        <is>
          <t>30-Mar-2026</t>
        </is>
      </c>
      <c r="B934" t="inlineStr">
        <is>
          <t>Monday</t>
        </is>
      </c>
      <c r="C934" t="inlineStr">
        <is>
          <t>Week5-Mar-2026</t>
        </is>
      </c>
      <c r="D934" s="78" t="n">
        <v>46082</v>
      </c>
      <c r="E934" t="inlineStr">
        <is>
          <t>Q4FY26</t>
        </is>
      </c>
      <c r="F934" t="inlineStr">
        <is>
          <t>02-Apr-2026</t>
        </is>
      </c>
      <c r="G934" t="inlineStr">
        <is>
          <t>Thursday</t>
        </is>
      </c>
      <c r="H934" t="inlineStr">
        <is>
          <t>Weekly - Thursday</t>
        </is>
      </c>
      <c r="I934" t="inlineStr">
        <is>
          <t>Weekly - Thursday</t>
        </is>
      </c>
      <c r="J934" t="inlineStr">
        <is>
          <t>Month+1 Expiry</t>
        </is>
      </c>
      <c r="K934" s="25" t="n">
        <v>16149325</v>
      </c>
      <c r="L934" s="26" t="n">
        <v>23656.9463</v>
      </c>
      <c r="M934" s="26" t="n">
        <v>126.3405</v>
      </c>
    </row>
    <row r="935" ht="16" customHeight="1">
      <c r="A935" t="inlineStr">
        <is>
          <t>30-Mar-2026</t>
        </is>
      </c>
      <c r="B935" t="inlineStr">
        <is>
          <t>Monday</t>
        </is>
      </c>
      <c r="C935" t="inlineStr">
        <is>
          <t>Week5-Mar-2026</t>
        </is>
      </c>
      <c r="D935" s="78" t="n">
        <v>46082</v>
      </c>
      <c r="E935" t="inlineStr">
        <is>
          <t>Q4FY26</t>
        </is>
      </c>
      <c r="F935" t="inlineStr">
        <is>
          <t>09-Apr-2026</t>
        </is>
      </c>
      <c r="G935" t="inlineStr">
        <is>
          <t>Thursday</t>
        </is>
      </c>
      <c r="H935" t="inlineStr">
        <is>
          <t>Weekly - Thursday</t>
        </is>
      </c>
      <c r="I935" t="inlineStr">
        <is>
          <t>Weekly - Thursday</t>
        </is>
      </c>
      <c r="J935" t="inlineStr">
        <is>
          <t>Month+1 Expiry</t>
        </is>
      </c>
      <c r="K935" s="25" t="n">
        <v>58041</v>
      </c>
      <c r="L935" s="26" t="n">
        <v>86.1986</v>
      </c>
      <c r="M935" s="26" t="n">
        <v>1.202</v>
      </c>
    </row>
    <row r="936" ht="16" customHeight="1">
      <c r="A936" t="inlineStr">
        <is>
          <t>30-Mar-2026</t>
        </is>
      </c>
      <c r="B936" t="inlineStr">
        <is>
          <t>Monday</t>
        </is>
      </c>
      <c r="C936" t="inlineStr">
        <is>
          <t>Week5-Mar-2026</t>
        </is>
      </c>
      <c r="D936" s="78" t="n">
        <v>46082</v>
      </c>
      <c r="E936" t="inlineStr">
        <is>
          <t>Q4FY26</t>
        </is>
      </c>
      <c r="F936" t="inlineStr">
        <is>
          <t>16-Apr-2026</t>
        </is>
      </c>
      <c r="G936" t="inlineStr">
        <is>
          <t>Thursday</t>
        </is>
      </c>
      <c r="H936" t="inlineStr">
        <is>
          <t>Weekly - Thursday</t>
        </is>
      </c>
      <c r="I936" t="inlineStr">
        <is>
          <t>Weekly - Thursday</t>
        </is>
      </c>
      <c r="J936" t="inlineStr">
        <is>
          <t>Month+1 Expiry</t>
        </is>
      </c>
      <c r="K936" s="25" t="n">
        <v>52</v>
      </c>
      <c r="L936" s="26" t="n">
        <v>0.0781</v>
      </c>
      <c r="M936" s="26" t="n">
        <v>0.0005999999999999999</v>
      </c>
    </row>
    <row r="937" ht="16" customHeight="1">
      <c r="A937" t="inlineStr">
        <is>
          <t>30-Mar-2026</t>
        </is>
      </c>
      <c r="B937" t="inlineStr">
        <is>
          <t>Monday</t>
        </is>
      </c>
      <c r="C937" t="inlineStr">
        <is>
          <t>Week5-Mar-2026</t>
        </is>
      </c>
      <c r="D937" s="78" t="n">
        <v>46082</v>
      </c>
      <c r="E937" t="inlineStr">
        <is>
          <t>Q4FY26</t>
        </is>
      </c>
      <c r="F937" t="inlineStr">
        <is>
          <t>30-Apr-2026</t>
        </is>
      </c>
      <c r="G937" t="inlineStr">
        <is>
          <t>Thursday</t>
        </is>
      </c>
      <c r="H937" t="inlineStr">
        <is>
          <t>Monthly - Thursday</t>
        </is>
      </c>
      <c r="I937" t="inlineStr">
        <is>
          <t>Monthly - Thursday</t>
        </is>
      </c>
      <c r="J937" t="inlineStr">
        <is>
          <t>Month+1 Expiry</t>
        </is>
      </c>
      <c r="K937" s="25" t="n">
        <v>9991</v>
      </c>
      <c r="L937" s="26" t="n">
        <v>15.2653</v>
      </c>
      <c r="M937" s="26" t="n">
        <v>0.3317</v>
      </c>
    </row>
    <row r="938" ht="16" customHeight="1">
      <c r="A938" t="inlineStr">
        <is>
          <t>30-Mar-2026</t>
        </is>
      </c>
      <c r="B938" t="inlineStr">
        <is>
          <t>Monday</t>
        </is>
      </c>
      <c r="C938" t="inlineStr">
        <is>
          <t>Week5-Mar-2026</t>
        </is>
      </c>
      <c r="D938" s="78" t="n">
        <v>46082</v>
      </c>
      <c r="E938" t="inlineStr">
        <is>
          <t>Q4FY26</t>
        </is>
      </c>
      <c r="F938" t="inlineStr">
        <is>
          <t>07-May-2026</t>
        </is>
      </c>
      <c r="G938" t="inlineStr">
        <is>
          <t>Thursday</t>
        </is>
      </c>
      <c r="H938" t="inlineStr">
        <is>
          <t>Weekly - Thursday</t>
        </is>
      </c>
      <c r="I938" t="inlineStr">
        <is>
          <t>Weekly - Thursday</t>
        </is>
      </c>
      <c r="J938" t="inlineStr">
        <is>
          <t>Month+2 Expiry</t>
        </is>
      </c>
      <c r="K938" s="25" t="n">
        <v>3</v>
      </c>
      <c r="L938" s="26" t="n">
        <v>0.0046</v>
      </c>
      <c r="M938" s="26" t="n">
        <v>0.0002</v>
      </c>
    </row>
    <row r="939" ht="16" customHeight="1">
      <c r="A939" t="inlineStr">
        <is>
          <t>30-Mar-2026</t>
        </is>
      </c>
      <c r="B939" t="inlineStr">
        <is>
          <t>Monday</t>
        </is>
      </c>
      <c r="C939" t="inlineStr">
        <is>
          <t>Week5-Mar-2026</t>
        </is>
      </c>
      <c r="D939" s="78" t="n">
        <v>46082</v>
      </c>
      <c r="E939" t="inlineStr">
        <is>
          <t>Q4FY26</t>
        </is>
      </c>
      <c r="F939" t="inlineStr">
        <is>
          <t>27-May-2026</t>
        </is>
      </c>
      <c r="G939" t="inlineStr">
        <is>
          <t>Wednesday</t>
        </is>
      </c>
      <c r="H939" t="inlineStr">
        <is>
          <t>Monthly - Wednesday</t>
        </is>
      </c>
      <c r="I939" t="inlineStr">
        <is>
          <t>Monthly - Wednesday</t>
        </is>
      </c>
      <c r="J939" t="inlineStr">
        <is>
          <t>Month+2 Expiry</t>
        </is>
      </c>
      <c r="K939" s="25" t="n">
        <v>1</v>
      </c>
      <c r="L939" s="26" t="n">
        <v>0.0015</v>
      </c>
      <c r="M939" s="26" t="n">
        <v>0.0001</v>
      </c>
    </row>
    <row r="940" ht="16" customHeight="1">
      <c r="A940" t="inlineStr">
        <is>
          <t>30-Mar-2026</t>
        </is>
      </c>
      <c r="B940" t="inlineStr">
        <is>
          <t>Monday</t>
        </is>
      </c>
      <c r="C940" t="inlineStr">
        <is>
          <t>Week5-Mar-2026</t>
        </is>
      </c>
      <c r="D940" s="78" t="n">
        <v>46082</v>
      </c>
      <c r="E940" t="inlineStr">
        <is>
          <t>Q4FY26</t>
        </is>
      </c>
      <c r="F940" t="inlineStr">
        <is>
          <t>25-Jun-2026</t>
        </is>
      </c>
      <c r="G940" t="inlineStr">
        <is>
          <t>Thursday</t>
        </is>
      </c>
      <c r="H940" t="inlineStr">
        <is>
          <t>Monthly - Thursday</t>
        </is>
      </c>
      <c r="I940" t="inlineStr">
        <is>
          <t>Monthly - Thursday</t>
        </is>
      </c>
      <c r="J940" t="inlineStr">
        <is>
          <t>Month+3 Expiry</t>
        </is>
      </c>
      <c r="K940" s="25" t="n">
        <v>0</v>
      </c>
      <c r="L940" s="26" t="n">
        <v>0</v>
      </c>
      <c r="M940" s="26" t="n">
        <v>0</v>
      </c>
    </row>
    <row r="941" ht="16" customHeight="1">
      <c r="A941" t="inlineStr">
        <is>
          <t>01-Apr-2026</t>
        </is>
      </c>
      <c r="B941" t="inlineStr">
        <is>
          <t>Wednesday</t>
        </is>
      </c>
      <c r="C941" t="inlineStr">
        <is>
          <t>Week1-Apr-2026</t>
        </is>
      </c>
      <c r="D941" s="78" t="n">
        <v>46113</v>
      </c>
      <c r="E941" t="inlineStr">
        <is>
          <t>Q1FY27</t>
        </is>
      </c>
      <c r="F941" t="inlineStr">
        <is>
          <t>02-Apr-2026</t>
        </is>
      </c>
      <c r="G941" t="inlineStr">
        <is>
          <t>Thursday</t>
        </is>
      </c>
      <c r="H941" t="inlineStr">
        <is>
          <t>Weekly - Thursday</t>
        </is>
      </c>
      <c r="I941" t="inlineStr">
        <is>
          <t>Weekly - Thursday</t>
        </is>
      </c>
      <c r="J941" t="inlineStr">
        <is>
          <t>Same Month Expiry</t>
        </is>
      </c>
      <c r="K941" s="25" t="n">
        <v>104241385</v>
      </c>
      <c r="L941" s="26" t="n">
        <v>153467.5468</v>
      </c>
      <c r="M941" s="26" t="n">
        <v>430.3736</v>
      </c>
    </row>
    <row r="942" ht="16" customHeight="1">
      <c r="A942" t="inlineStr">
        <is>
          <t>01-Apr-2026</t>
        </is>
      </c>
      <c r="B942" t="inlineStr">
        <is>
          <t>Wednesday</t>
        </is>
      </c>
      <c r="C942" t="inlineStr">
        <is>
          <t>Week1-Apr-2026</t>
        </is>
      </c>
      <c r="D942" s="78" t="n">
        <v>46113</v>
      </c>
      <c r="E942" t="inlineStr">
        <is>
          <t>Q1FY27</t>
        </is>
      </c>
      <c r="F942" t="inlineStr">
        <is>
          <t>09-Apr-2026</t>
        </is>
      </c>
      <c r="G942" t="inlineStr">
        <is>
          <t>Thursday</t>
        </is>
      </c>
      <c r="H942" t="inlineStr">
        <is>
          <t>Weekly - Thursday</t>
        </is>
      </c>
      <c r="I942" t="inlineStr">
        <is>
          <t>Weekly - Thursday</t>
        </is>
      </c>
      <c r="J942" t="inlineStr">
        <is>
          <t>Same Month Expiry</t>
        </is>
      </c>
      <c r="K942" s="25" t="n">
        <v>250478</v>
      </c>
      <c r="L942" s="26" t="n">
        <v>374.628</v>
      </c>
      <c r="M942" s="26" t="n">
        <v>3.8236</v>
      </c>
    </row>
    <row r="943" ht="16" customHeight="1">
      <c r="A943" t="inlineStr">
        <is>
          <t>01-Apr-2026</t>
        </is>
      </c>
      <c r="B943" t="inlineStr">
        <is>
          <t>Wednesday</t>
        </is>
      </c>
      <c r="C943" t="inlineStr">
        <is>
          <t>Week1-Apr-2026</t>
        </is>
      </c>
      <c r="D943" s="78" t="n">
        <v>46113</v>
      </c>
      <c r="E943" t="inlineStr">
        <is>
          <t>Q1FY27</t>
        </is>
      </c>
      <c r="F943" t="inlineStr">
        <is>
          <t>16-Apr-2026</t>
        </is>
      </c>
      <c r="G943" t="inlineStr">
        <is>
          <t>Thursday</t>
        </is>
      </c>
      <c r="H943" t="inlineStr">
        <is>
          <t>Weekly - Thursday</t>
        </is>
      </c>
      <c r="I943" t="inlineStr">
        <is>
          <t>Weekly - Thursday</t>
        </is>
      </c>
      <c r="J943" t="inlineStr">
        <is>
          <t>Same Month Expiry</t>
        </is>
      </c>
      <c r="K943" s="25" t="n">
        <v>376</v>
      </c>
      <c r="L943" s="26" t="n">
        <v>0.5623</v>
      </c>
      <c r="M943" s="26" t="n">
        <v>0.008500000000000001</v>
      </c>
    </row>
    <row r="944" ht="16" customHeight="1">
      <c r="A944" t="inlineStr">
        <is>
          <t>01-Apr-2026</t>
        </is>
      </c>
      <c r="B944" t="inlineStr">
        <is>
          <t>Wednesday</t>
        </is>
      </c>
      <c r="C944" t="inlineStr">
        <is>
          <t>Week1-Apr-2026</t>
        </is>
      </c>
      <c r="D944" s="78" t="n">
        <v>46113</v>
      </c>
      <c r="E944" t="inlineStr">
        <is>
          <t>Q1FY27</t>
        </is>
      </c>
      <c r="F944" t="inlineStr">
        <is>
          <t>23-Apr-2026</t>
        </is>
      </c>
      <c r="G944" t="inlineStr">
        <is>
          <t>Thursday</t>
        </is>
      </c>
      <c r="H944" t="inlineStr">
        <is>
          <t>Weekly - Thursday</t>
        </is>
      </c>
      <c r="I944" t="inlineStr">
        <is>
          <t>Weekly - Thursday</t>
        </is>
      </c>
      <c r="J944" t="inlineStr">
        <is>
          <t>Same Month Expiry</t>
        </is>
      </c>
      <c r="K944" s="25" t="n">
        <v>22</v>
      </c>
      <c r="L944" s="26" t="n">
        <v>0.0333</v>
      </c>
      <c r="M944" s="26" t="n">
        <v>0.0005</v>
      </c>
    </row>
    <row r="945" ht="16" customHeight="1">
      <c r="A945" t="inlineStr">
        <is>
          <t>01-Apr-2026</t>
        </is>
      </c>
      <c r="B945" t="inlineStr">
        <is>
          <t>Wednesday</t>
        </is>
      </c>
      <c r="C945" t="inlineStr">
        <is>
          <t>Week1-Apr-2026</t>
        </is>
      </c>
      <c r="D945" s="78" t="n">
        <v>46113</v>
      </c>
      <c r="E945" t="inlineStr">
        <is>
          <t>Q1FY27</t>
        </is>
      </c>
      <c r="F945" t="inlineStr">
        <is>
          <t>30-Apr-2026</t>
        </is>
      </c>
      <c r="G945" t="inlineStr">
        <is>
          <t>Thursday</t>
        </is>
      </c>
      <c r="H945" t="inlineStr">
        <is>
          <t>Monthly - Thursday</t>
        </is>
      </c>
      <c r="I945" t="inlineStr">
        <is>
          <t>Monthly - Thursday</t>
        </is>
      </c>
      <c r="J945" t="inlineStr">
        <is>
          <t>Same Month Expiry</t>
        </is>
      </c>
      <c r="K945" s="25" t="n">
        <v>12219</v>
      </c>
      <c r="L945" s="26" t="n">
        <v>18.6841</v>
      </c>
      <c r="M945" s="26" t="n">
        <v>0.3425</v>
      </c>
    </row>
    <row r="946" ht="16" customHeight="1">
      <c r="A946" t="inlineStr">
        <is>
          <t>01-Apr-2026</t>
        </is>
      </c>
      <c r="B946" t="inlineStr">
        <is>
          <t>Wednesday</t>
        </is>
      </c>
      <c r="C946" t="inlineStr">
        <is>
          <t>Week1-Apr-2026</t>
        </is>
      </c>
      <c r="D946" s="78" t="n">
        <v>46113</v>
      </c>
      <c r="E946" t="inlineStr">
        <is>
          <t>Q1FY27</t>
        </is>
      </c>
      <c r="F946" t="inlineStr">
        <is>
          <t>07-May-2026</t>
        </is>
      </c>
      <c r="G946" t="inlineStr">
        <is>
          <t>Thursday</t>
        </is>
      </c>
      <c r="H946" t="inlineStr">
        <is>
          <t>Weekly - Thursday</t>
        </is>
      </c>
      <c r="I946" t="inlineStr">
        <is>
          <t>Weekly - Thursday</t>
        </is>
      </c>
      <c r="J946" t="inlineStr">
        <is>
          <t>Month+1 Expiry</t>
        </is>
      </c>
      <c r="K946" s="25" t="n">
        <v>1</v>
      </c>
      <c r="L946" s="26" t="n">
        <v>0.0016</v>
      </c>
      <c r="M946" s="26" t="n">
        <v>0</v>
      </c>
    </row>
    <row r="947" ht="16" customHeight="1">
      <c r="A947" t="inlineStr">
        <is>
          <t>01-Apr-2026</t>
        </is>
      </c>
      <c r="B947" t="inlineStr">
        <is>
          <t>Wednesday</t>
        </is>
      </c>
      <c r="C947" t="inlineStr">
        <is>
          <t>Week1-Apr-2026</t>
        </is>
      </c>
      <c r="D947" s="78" t="n">
        <v>46113</v>
      </c>
      <c r="E947" t="inlineStr">
        <is>
          <t>Q1FY27</t>
        </is>
      </c>
      <c r="F947" t="inlineStr">
        <is>
          <t>27-May-2026</t>
        </is>
      </c>
      <c r="G947" t="inlineStr">
        <is>
          <t>Wednesday</t>
        </is>
      </c>
      <c r="H947" t="inlineStr">
        <is>
          <t>Monthly - Wednesday</t>
        </is>
      </c>
      <c r="I947" t="inlineStr">
        <is>
          <t>Monthly - Wednesday</t>
        </is>
      </c>
      <c r="J947" t="inlineStr">
        <is>
          <t>Month+1 Expiry</t>
        </is>
      </c>
      <c r="K947" s="25" t="n">
        <v>1</v>
      </c>
      <c r="L947" s="26" t="n">
        <v>0.0015</v>
      </c>
      <c r="M947" s="26" t="n">
        <v>0.0001</v>
      </c>
    </row>
    <row r="948" ht="16" customHeight="1">
      <c r="A948" t="inlineStr">
        <is>
          <t>01-Apr-2026</t>
        </is>
      </c>
      <c r="B948" t="inlineStr">
        <is>
          <t>Wednesday</t>
        </is>
      </c>
      <c r="C948" t="inlineStr">
        <is>
          <t>Week1-Apr-2026</t>
        </is>
      </c>
      <c r="D948" s="78" t="n">
        <v>46113</v>
      </c>
      <c r="E948" t="inlineStr">
        <is>
          <t>Q1FY27</t>
        </is>
      </c>
      <c r="F948" t="inlineStr">
        <is>
          <t>25-Jun-2026</t>
        </is>
      </c>
      <c r="G948" t="inlineStr">
        <is>
          <t>Thursday</t>
        </is>
      </c>
      <c r="H948" t="inlineStr">
        <is>
          <t>Monthly - Thursday</t>
        </is>
      </c>
      <c r="I948" t="inlineStr">
        <is>
          <t>Monthly - Thursday</t>
        </is>
      </c>
      <c r="J948" t="inlineStr">
        <is>
          <t>Month+2 Expiry</t>
        </is>
      </c>
      <c r="K948" s="25" t="n">
        <v>0</v>
      </c>
      <c r="L948" s="26" t="n">
        <v>0</v>
      </c>
      <c r="M948" s="26" t="n">
        <v>0</v>
      </c>
    </row>
    <row r="949" ht="16" customHeight="1">
      <c r="A949" t="inlineStr">
        <is>
          <t>02-Apr-2026</t>
        </is>
      </c>
      <c r="B949" t="inlineStr">
        <is>
          <t>Thursday</t>
        </is>
      </c>
      <c r="C949" t="inlineStr">
        <is>
          <t>Week1-Apr-2026</t>
        </is>
      </c>
      <c r="D949" s="78" t="n">
        <v>46113</v>
      </c>
      <c r="E949" t="inlineStr">
        <is>
          <t>Q1FY27</t>
        </is>
      </c>
      <c r="F949" t="inlineStr">
        <is>
          <t>02-Apr-2026</t>
        </is>
      </c>
      <c r="G949" t="inlineStr">
        <is>
          <t>Thursday</t>
        </is>
      </c>
      <c r="H949" t="inlineStr">
        <is>
          <t>Weekly - Thursday</t>
        </is>
      </c>
      <c r="I949" t="inlineStr">
        <is>
          <t>Weekly - Thursday</t>
        </is>
      </c>
      <c r="J949" t="inlineStr">
        <is>
          <t>Same Month Expiry</t>
        </is>
      </c>
      <c r="K949" s="25" t="n">
        <v>599549226</v>
      </c>
      <c r="L949" s="26" t="n">
        <v>870657.0945</v>
      </c>
      <c r="M949" s="26" t="n">
        <v>832.9400000000001</v>
      </c>
    </row>
    <row r="950" ht="16" customHeight="1">
      <c r="A950" t="inlineStr">
        <is>
          <t>02-Apr-2026</t>
        </is>
      </c>
      <c r="B950" t="inlineStr">
        <is>
          <t>Thursday</t>
        </is>
      </c>
      <c r="C950" t="inlineStr">
        <is>
          <t>Week1-Apr-2026</t>
        </is>
      </c>
      <c r="D950" s="78" t="n">
        <v>46113</v>
      </c>
      <c r="E950" t="inlineStr">
        <is>
          <t>Q1FY27</t>
        </is>
      </c>
      <c r="F950" t="inlineStr">
        <is>
          <t>09-Apr-2026</t>
        </is>
      </c>
      <c r="G950" t="inlineStr">
        <is>
          <t>Thursday</t>
        </is>
      </c>
      <c r="H950" t="inlineStr">
        <is>
          <t>Weekly - Thursday</t>
        </is>
      </c>
      <c r="I950" t="inlineStr">
        <is>
          <t>Weekly - Thursday</t>
        </is>
      </c>
      <c r="J950" t="inlineStr">
        <is>
          <t>Same Month Expiry</t>
        </is>
      </c>
      <c r="K950" s="25" t="n">
        <v>1494154</v>
      </c>
      <c r="L950" s="26" t="n">
        <v>2193.5121</v>
      </c>
      <c r="M950" s="26" t="n">
        <v>18.666</v>
      </c>
    </row>
    <row r="951" ht="16" customHeight="1">
      <c r="A951" t="inlineStr">
        <is>
          <t>02-Apr-2026</t>
        </is>
      </c>
      <c r="B951" t="inlineStr">
        <is>
          <t>Thursday</t>
        </is>
      </c>
      <c r="C951" t="inlineStr">
        <is>
          <t>Week1-Apr-2026</t>
        </is>
      </c>
      <c r="D951" s="78" t="n">
        <v>46113</v>
      </c>
      <c r="E951" t="inlineStr">
        <is>
          <t>Q1FY27</t>
        </is>
      </c>
      <c r="F951" t="inlineStr">
        <is>
          <t>16-Apr-2026</t>
        </is>
      </c>
      <c r="G951" t="inlineStr">
        <is>
          <t>Thursday</t>
        </is>
      </c>
      <c r="H951" t="inlineStr">
        <is>
          <t>Weekly - Thursday</t>
        </is>
      </c>
      <c r="I951" t="inlineStr">
        <is>
          <t>Weekly - Thursday</t>
        </is>
      </c>
      <c r="J951" t="inlineStr">
        <is>
          <t>Same Month Expiry</t>
        </is>
      </c>
      <c r="K951" s="25" t="n">
        <v>6848</v>
      </c>
      <c r="L951" s="26" t="n">
        <v>11.3476</v>
      </c>
      <c r="M951" s="26" t="n">
        <v>0.0554</v>
      </c>
    </row>
    <row r="952" ht="16" customHeight="1">
      <c r="A952" t="inlineStr">
        <is>
          <t>02-Apr-2026</t>
        </is>
      </c>
      <c r="B952" t="inlineStr">
        <is>
          <t>Thursday</t>
        </is>
      </c>
      <c r="C952" t="inlineStr">
        <is>
          <t>Week1-Apr-2026</t>
        </is>
      </c>
      <c r="D952" s="78" t="n">
        <v>46113</v>
      </c>
      <c r="E952" t="inlineStr">
        <is>
          <t>Q1FY27</t>
        </is>
      </c>
      <c r="F952" t="inlineStr">
        <is>
          <t>23-Apr-2026</t>
        </is>
      </c>
      <c r="G952" t="inlineStr">
        <is>
          <t>Thursday</t>
        </is>
      </c>
      <c r="H952" t="inlineStr">
        <is>
          <t>Weekly - Thursday</t>
        </is>
      </c>
      <c r="I952" t="inlineStr">
        <is>
          <t>Weekly - Thursday</t>
        </is>
      </c>
      <c r="J952" t="inlineStr">
        <is>
          <t>Same Month Expiry</t>
        </is>
      </c>
      <c r="K952" s="25" t="n">
        <v>33</v>
      </c>
      <c r="L952" s="26" t="n">
        <v>0.0514</v>
      </c>
      <c r="M952" s="26" t="n">
        <v>0.0005999999999999999</v>
      </c>
    </row>
    <row r="953" ht="16" customHeight="1">
      <c r="A953" t="inlineStr">
        <is>
          <t>02-Apr-2026</t>
        </is>
      </c>
      <c r="B953" t="inlineStr">
        <is>
          <t>Thursday</t>
        </is>
      </c>
      <c r="C953" t="inlineStr">
        <is>
          <t>Week1-Apr-2026</t>
        </is>
      </c>
      <c r="D953" s="78" t="n">
        <v>46113</v>
      </c>
      <c r="E953" t="inlineStr">
        <is>
          <t>Q1FY27</t>
        </is>
      </c>
      <c r="F953" t="inlineStr">
        <is>
          <t>30-Apr-2026</t>
        </is>
      </c>
      <c r="G953" t="inlineStr">
        <is>
          <t>Thursday</t>
        </is>
      </c>
      <c r="H953" t="inlineStr">
        <is>
          <t>Monthly - Thursday</t>
        </is>
      </c>
      <c r="I953" t="inlineStr">
        <is>
          <t>Monthly - Thursday</t>
        </is>
      </c>
      <c r="J953" t="inlineStr">
        <is>
          <t>Same Month Expiry</t>
        </is>
      </c>
      <c r="K953" s="25" t="n">
        <v>17082</v>
      </c>
      <c r="L953" s="26" t="n">
        <v>25.955</v>
      </c>
      <c r="M953" s="26" t="n">
        <v>0.4257</v>
      </c>
    </row>
    <row r="954" ht="16" customHeight="1">
      <c r="A954" t="inlineStr">
        <is>
          <t>02-Apr-2026</t>
        </is>
      </c>
      <c r="B954" t="inlineStr">
        <is>
          <t>Thursday</t>
        </is>
      </c>
      <c r="C954" t="inlineStr">
        <is>
          <t>Week1-Apr-2026</t>
        </is>
      </c>
      <c r="D954" s="78" t="n">
        <v>46113</v>
      </c>
      <c r="E954" t="inlineStr">
        <is>
          <t>Q1FY27</t>
        </is>
      </c>
      <c r="F954" t="inlineStr">
        <is>
          <t>07-May-2026</t>
        </is>
      </c>
      <c r="G954" t="inlineStr">
        <is>
          <t>Thursday</t>
        </is>
      </c>
      <c r="H954" t="inlineStr">
        <is>
          <t>Weekly - Thursday</t>
        </is>
      </c>
      <c r="I954" t="inlineStr">
        <is>
          <t>Weekly - Thursday</t>
        </is>
      </c>
      <c r="J954" t="inlineStr">
        <is>
          <t>Month+1 Expiry</t>
        </is>
      </c>
      <c r="K954" s="25" t="n">
        <v>3</v>
      </c>
      <c r="L954" s="26" t="n">
        <v>0.0045</v>
      </c>
      <c r="M954" s="26" t="n">
        <v>0.0002</v>
      </c>
    </row>
    <row r="955" ht="16" customHeight="1">
      <c r="A955" t="inlineStr">
        <is>
          <t>02-Apr-2026</t>
        </is>
      </c>
      <c r="B955" t="inlineStr">
        <is>
          <t>Thursday</t>
        </is>
      </c>
      <c r="C955" t="inlineStr">
        <is>
          <t>Week1-Apr-2026</t>
        </is>
      </c>
      <c r="D955" s="78" t="n">
        <v>46113</v>
      </c>
      <c r="E955" t="inlineStr">
        <is>
          <t>Q1FY27</t>
        </is>
      </c>
      <c r="F955" t="inlineStr">
        <is>
          <t>27-May-2026</t>
        </is>
      </c>
      <c r="G955" t="inlineStr">
        <is>
          <t>Wednesday</t>
        </is>
      </c>
      <c r="H955" t="inlineStr">
        <is>
          <t>Monthly - Wednesday</t>
        </is>
      </c>
      <c r="I955" t="inlineStr">
        <is>
          <t>Monthly - Wednesday</t>
        </is>
      </c>
      <c r="J955" t="inlineStr">
        <is>
          <t>Month+1 Expiry</t>
        </is>
      </c>
      <c r="K955" s="25" t="n">
        <v>0</v>
      </c>
      <c r="L955" s="26" t="n">
        <v>0</v>
      </c>
      <c r="M955" s="26" t="n">
        <v>0</v>
      </c>
    </row>
    <row r="956" ht="16" customHeight="1">
      <c r="A956" t="inlineStr">
        <is>
          <t>02-Apr-2026</t>
        </is>
      </c>
      <c r="B956" t="inlineStr">
        <is>
          <t>Thursday</t>
        </is>
      </c>
      <c r="C956" t="inlineStr">
        <is>
          <t>Week1-Apr-2026</t>
        </is>
      </c>
      <c r="D956" s="78" t="n">
        <v>46113</v>
      </c>
      <c r="E956" t="inlineStr">
        <is>
          <t>Q1FY27</t>
        </is>
      </c>
      <c r="F956" t="inlineStr">
        <is>
          <t>25-Jun-2026</t>
        </is>
      </c>
      <c r="G956" t="inlineStr">
        <is>
          <t>Thursday</t>
        </is>
      </c>
      <c r="H956" t="inlineStr">
        <is>
          <t>Monthly - Thursday</t>
        </is>
      </c>
      <c r="I956" t="inlineStr">
        <is>
          <t>Monthly - Thursday</t>
        </is>
      </c>
      <c r="J956" t="inlineStr">
        <is>
          <t>Month+2 Expiry</t>
        </is>
      </c>
      <c r="K956" s="25" t="n">
        <v>0</v>
      </c>
      <c r="L956" s="26" t="n">
        <v>0</v>
      </c>
      <c r="M956" s="26" t="n">
        <v>0</v>
      </c>
    </row>
    <row r="957" ht="16" customHeight="1">
      <c r="A957" t="inlineStr">
        <is>
          <t>06-Apr-2026</t>
        </is>
      </c>
      <c r="B957" t="inlineStr">
        <is>
          <t>Monday</t>
        </is>
      </c>
      <c r="C957" t="inlineStr">
        <is>
          <t>Week1-Apr-2026</t>
        </is>
      </c>
      <c r="D957" s="78" t="n">
        <v>46113</v>
      </c>
      <c r="E957" t="inlineStr">
        <is>
          <t>Q1FY27</t>
        </is>
      </c>
      <c r="F957" t="inlineStr">
        <is>
          <t>09-Apr-2026</t>
        </is>
      </c>
      <c r="G957" t="inlineStr">
        <is>
          <t>Thursday</t>
        </is>
      </c>
      <c r="H957" t="inlineStr">
        <is>
          <t>Weekly - Thursday</t>
        </is>
      </c>
      <c r="I957" t="inlineStr">
        <is>
          <t>Weekly - Thursday</t>
        </is>
      </c>
      <c r="J957" t="inlineStr">
        <is>
          <t>Same Month Expiry</t>
        </is>
      </c>
      <c r="K957" s="25" t="n">
        <v>20759388</v>
      </c>
      <c r="L957" s="26" t="n">
        <v>30763.4879</v>
      </c>
      <c r="M957" s="26" t="n">
        <v>162.2617</v>
      </c>
    </row>
    <row r="958" ht="16" customHeight="1">
      <c r="A958" t="inlineStr">
        <is>
          <t>06-Apr-2026</t>
        </is>
      </c>
      <c r="B958" t="inlineStr">
        <is>
          <t>Monday</t>
        </is>
      </c>
      <c r="C958" t="inlineStr">
        <is>
          <t>Week1-Apr-2026</t>
        </is>
      </c>
      <c r="D958" s="78" t="n">
        <v>46113</v>
      </c>
      <c r="E958" t="inlineStr">
        <is>
          <t>Q1FY27</t>
        </is>
      </c>
      <c r="F958" t="inlineStr">
        <is>
          <t>16-Apr-2026</t>
        </is>
      </c>
      <c r="G958" t="inlineStr">
        <is>
          <t>Thursday</t>
        </is>
      </c>
      <c r="H958" t="inlineStr">
        <is>
          <t>Weekly - Thursday</t>
        </is>
      </c>
      <c r="I958" t="inlineStr">
        <is>
          <t>Weekly - Thursday</t>
        </is>
      </c>
      <c r="J958" t="inlineStr">
        <is>
          <t>Same Month Expiry</t>
        </is>
      </c>
      <c r="K958" s="25" t="n">
        <v>50940</v>
      </c>
      <c r="L958" s="26" t="n">
        <v>79.82680000000001</v>
      </c>
      <c r="M958" s="26" t="n">
        <v>0.6471</v>
      </c>
    </row>
    <row r="959" ht="16" customHeight="1">
      <c r="A959" t="inlineStr">
        <is>
          <t>06-Apr-2026</t>
        </is>
      </c>
      <c r="B959" t="inlineStr">
        <is>
          <t>Monday</t>
        </is>
      </c>
      <c r="C959" t="inlineStr">
        <is>
          <t>Week1-Apr-2026</t>
        </is>
      </c>
      <c r="D959" s="78" t="n">
        <v>46113</v>
      </c>
      <c r="E959" t="inlineStr">
        <is>
          <t>Q1FY27</t>
        </is>
      </c>
      <c r="F959" t="inlineStr">
        <is>
          <t>23-Apr-2026</t>
        </is>
      </c>
      <c r="G959" t="inlineStr">
        <is>
          <t>Thursday</t>
        </is>
      </c>
      <c r="H959" t="inlineStr">
        <is>
          <t>Weekly - Thursday</t>
        </is>
      </c>
      <c r="I959" t="inlineStr">
        <is>
          <t>Weekly - Thursday</t>
        </is>
      </c>
      <c r="J959" t="inlineStr">
        <is>
          <t>Same Month Expiry</t>
        </is>
      </c>
      <c r="K959" s="25" t="n">
        <v>12128</v>
      </c>
      <c r="L959" s="26" t="n">
        <v>20.8936</v>
      </c>
      <c r="M959" s="26" t="n">
        <v>0.0078</v>
      </c>
    </row>
    <row r="960" ht="16" customHeight="1">
      <c r="A960" t="inlineStr">
        <is>
          <t>06-Apr-2026</t>
        </is>
      </c>
      <c r="B960" t="inlineStr">
        <is>
          <t>Monday</t>
        </is>
      </c>
      <c r="C960" t="inlineStr">
        <is>
          <t>Week1-Apr-2026</t>
        </is>
      </c>
      <c r="D960" s="78" t="n">
        <v>46113</v>
      </c>
      <c r="E960" t="inlineStr">
        <is>
          <t>Q1FY27</t>
        </is>
      </c>
      <c r="F960" t="inlineStr">
        <is>
          <t>30-Apr-2026</t>
        </is>
      </c>
      <c r="G960" t="inlineStr">
        <is>
          <t>Thursday</t>
        </is>
      </c>
      <c r="H960" t="inlineStr">
        <is>
          <t>Monthly - Thursday</t>
        </is>
      </c>
      <c r="I960" t="inlineStr">
        <is>
          <t>Monthly - Thursday</t>
        </is>
      </c>
      <c r="J960" t="inlineStr">
        <is>
          <t>Same Month Expiry</t>
        </is>
      </c>
      <c r="K960" s="25" t="n">
        <v>36769</v>
      </c>
      <c r="L960" s="26" t="n">
        <v>61.9451</v>
      </c>
      <c r="M960" s="26" t="n">
        <v>0.3984</v>
      </c>
    </row>
    <row r="961" ht="16" customHeight="1">
      <c r="A961" t="inlineStr">
        <is>
          <t>06-Apr-2026</t>
        </is>
      </c>
      <c r="B961" t="inlineStr">
        <is>
          <t>Monday</t>
        </is>
      </c>
      <c r="C961" t="inlineStr">
        <is>
          <t>Week1-Apr-2026</t>
        </is>
      </c>
      <c r="D961" s="78" t="n">
        <v>46113</v>
      </c>
      <c r="E961" t="inlineStr">
        <is>
          <t>Q1FY27</t>
        </is>
      </c>
      <c r="F961" t="inlineStr">
        <is>
          <t>07-May-2026</t>
        </is>
      </c>
      <c r="G961" t="inlineStr">
        <is>
          <t>Thursday</t>
        </is>
      </c>
      <c r="H961" t="inlineStr">
        <is>
          <t>Weekly - Thursday</t>
        </is>
      </c>
      <c r="I961" t="inlineStr">
        <is>
          <t>Weekly - Thursday</t>
        </is>
      </c>
      <c r="J961" t="inlineStr">
        <is>
          <t>Month+1 Expiry</t>
        </is>
      </c>
      <c r="K961" s="25" t="n">
        <v>0</v>
      </c>
      <c r="L961" s="26" t="n">
        <v>0</v>
      </c>
      <c r="M961" s="26" t="n">
        <v>0</v>
      </c>
    </row>
    <row r="962" ht="16" customHeight="1">
      <c r="A962" t="inlineStr">
        <is>
          <t>06-Apr-2026</t>
        </is>
      </c>
      <c r="B962" t="inlineStr">
        <is>
          <t>Monday</t>
        </is>
      </c>
      <c r="C962" t="inlineStr">
        <is>
          <t>Week1-Apr-2026</t>
        </is>
      </c>
      <c r="D962" s="78" t="n">
        <v>46113</v>
      </c>
      <c r="E962" t="inlineStr">
        <is>
          <t>Q1FY27</t>
        </is>
      </c>
      <c r="F962" t="inlineStr">
        <is>
          <t>14-May-2026</t>
        </is>
      </c>
      <c r="G962" t="inlineStr">
        <is>
          <t>Thursday</t>
        </is>
      </c>
      <c r="H962" t="inlineStr">
        <is>
          <t>Weekly - Thursday</t>
        </is>
      </c>
      <c r="I962" t="inlineStr">
        <is>
          <t>Weekly - Thursday</t>
        </is>
      </c>
      <c r="J962" t="inlineStr">
        <is>
          <t>Month+1 Expiry</t>
        </is>
      </c>
      <c r="K962" s="25" t="n">
        <v>6</v>
      </c>
      <c r="L962" s="26" t="n">
        <v>0.0094</v>
      </c>
      <c r="M962" s="26" t="n">
        <v>0.0001</v>
      </c>
    </row>
    <row r="963" ht="16" customHeight="1">
      <c r="A963" t="inlineStr">
        <is>
          <t>06-Apr-2026</t>
        </is>
      </c>
      <c r="B963" t="inlineStr">
        <is>
          <t>Monday</t>
        </is>
      </c>
      <c r="C963" t="inlineStr">
        <is>
          <t>Week1-Apr-2026</t>
        </is>
      </c>
      <c r="D963" s="78" t="n">
        <v>46113</v>
      </c>
      <c r="E963" t="inlineStr">
        <is>
          <t>Q1FY27</t>
        </is>
      </c>
      <c r="F963" t="inlineStr">
        <is>
          <t>27-May-2026</t>
        </is>
      </c>
      <c r="G963" t="inlineStr">
        <is>
          <t>Wednesday</t>
        </is>
      </c>
      <c r="H963" t="inlineStr">
        <is>
          <t>Monthly - Wednesday</t>
        </is>
      </c>
      <c r="I963" t="inlineStr">
        <is>
          <t>Monthly - Wednesday</t>
        </is>
      </c>
      <c r="J963" t="inlineStr">
        <is>
          <t>Month+1 Expiry</t>
        </is>
      </c>
      <c r="K963" s="25" t="n">
        <v>61</v>
      </c>
      <c r="L963" s="26" t="n">
        <v>0.0929</v>
      </c>
      <c r="M963" s="26" t="n">
        <v>0.0026</v>
      </c>
    </row>
    <row r="964" ht="16" customHeight="1">
      <c r="A964" t="inlineStr">
        <is>
          <t>06-Apr-2026</t>
        </is>
      </c>
      <c r="B964" t="inlineStr">
        <is>
          <t>Monday</t>
        </is>
      </c>
      <c r="C964" t="inlineStr">
        <is>
          <t>Week1-Apr-2026</t>
        </is>
      </c>
      <c r="D964" s="78" t="n">
        <v>46113</v>
      </c>
      <c r="E964" t="inlineStr">
        <is>
          <t>Q1FY27</t>
        </is>
      </c>
      <c r="F964" t="inlineStr">
        <is>
          <t>25-Jun-2026</t>
        </is>
      </c>
      <c r="G964" t="inlineStr">
        <is>
          <t>Thursday</t>
        </is>
      </c>
      <c r="H964" t="inlineStr">
        <is>
          <t>Monthly - Thursday</t>
        </is>
      </c>
      <c r="I964" t="inlineStr">
        <is>
          <t>Monthly - Thursday</t>
        </is>
      </c>
      <c r="J964" t="inlineStr">
        <is>
          <t>Month+2 Expiry</t>
        </is>
      </c>
      <c r="K964" s="25" t="n">
        <v>0</v>
      </c>
      <c r="L964" s="26" t="n">
        <v>0</v>
      </c>
      <c r="M964" s="26" t="n">
        <v>0</v>
      </c>
    </row>
    <row r="965" ht="16" customHeight="1">
      <c r="A965" t="inlineStr">
        <is>
          <t>07-Apr-2026</t>
        </is>
      </c>
      <c r="B965" t="inlineStr">
        <is>
          <t>Tuesday</t>
        </is>
      </c>
      <c r="C965" t="inlineStr">
        <is>
          <t>Week1-Apr-2026</t>
        </is>
      </c>
      <c r="D965" s="78" t="n">
        <v>46113</v>
      </c>
      <c r="E965" t="inlineStr">
        <is>
          <t>Q1FY27</t>
        </is>
      </c>
      <c r="F965" t="inlineStr">
        <is>
          <t>09-Apr-2026</t>
        </is>
      </c>
      <c r="G965" t="inlineStr">
        <is>
          <t>Thursday</t>
        </is>
      </c>
      <c r="H965" t="inlineStr">
        <is>
          <t>Weekly - Thursday</t>
        </is>
      </c>
      <c r="I965" t="inlineStr">
        <is>
          <t>Weekly - Thursday</t>
        </is>
      </c>
      <c r="J965" t="inlineStr">
        <is>
          <t>Same Month Expiry</t>
        </is>
      </c>
      <c r="K965" s="25" t="n">
        <v>20921296</v>
      </c>
      <c r="L965" s="26" t="n">
        <v>30955.5822</v>
      </c>
      <c r="M965" s="26" t="n">
        <v>140.0712</v>
      </c>
    </row>
    <row r="966" ht="16" customHeight="1">
      <c r="A966" t="inlineStr">
        <is>
          <t>07-Apr-2026</t>
        </is>
      </c>
      <c r="B966" t="inlineStr">
        <is>
          <t>Tuesday</t>
        </is>
      </c>
      <c r="C966" t="inlineStr">
        <is>
          <t>Week1-Apr-2026</t>
        </is>
      </c>
      <c r="D966" s="78" t="n">
        <v>46113</v>
      </c>
      <c r="E966" t="inlineStr">
        <is>
          <t>Q1FY27</t>
        </is>
      </c>
      <c r="F966" t="inlineStr">
        <is>
          <t>16-Apr-2026</t>
        </is>
      </c>
      <c r="G966" t="inlineStr">
        <is>
          <t>Thursday</t>
        </is>
      </c>
      <c r="H966" t="inlineStr">
        <is>
          <t>Weekly - Thursday</t>
        </is>
      </c>
      <c r="I966" t="inlineStr">
        <is>
          <t>Weekly - Thursday</t>
        </is>
      </c>
      <c r="J966" t="inlineStr">
        <is>
          <t>Same Month Expiry</t>
        </is>
      </c>
      <c r="K966" s="25" t="n">
        <v>141824</v>
      </c>
      <c r="L966" s="26" t="n">
        <v>221.9377</v>
      </c>
      <c r="M966" s="26" t="n">
        <v>1.6079</v>
      </c>
    </row>
    <row r="967" ht="16" customHeight="1">
      <c r="A967" t="inlineStr">
        <is>
          <t>07-Apr-2026</t>
        </is>
      </c>
      <c r="B967" t="inlineStr">
        <is>
          <t>Tuesday</t>
        </is>
      </c>
      <c r="C967" t="inlineStr">
        <is>
          <t>Week1-Apr-2026</t>
        </is>
      </c>
      <c r="D967" s="78" t="n">
        <v>46113</v>
      </c>
      <c r="E967" t="inlineStr">
        <is>
          <t>Q1FY27</t>
        </is>
      </c>
      <c r="F967" t="inlineStr">
        <is>
          <t>23-Apr-2026</t>
        </is>
      </c>
      <c r="G967" t="inlineStr">
        <is>
          <t>Thursday</t>
        </is>
      </c>
      <c r="H967" t="inlineStr">
        <is>
          <t>Weekly - Thursday</t>
        </is>
      </c>
      <c r="I967" t="inlineStr">
        <is>
          <t>Weekly - Thursday</t>
        </is>
      </c>
      <c r="J967" t="inlineStr">
        <is>
          <t>Same Month Expiry</t>
        </is>
      </c>
      <c r="K967" s="25" t="n">
        <v>1144</v>
      </c>
      <c r="L967" s="26" t="n">
        <v>1.9942</v>
      </c>
      <c r="M967" s="26" t="n">
        <v>0.0002</v>
      </c>
    </row>
    <row r="968" ht="16" customHeight="1">
      <c r="A968" t="inlineStr">
        <is>
          <t>07-Apr-2026</t>
        </is>
      </c>
      <c r="B968" t="inlineStr">
        <is>
          <t>Tuesday</t>
        </is>
      </c>
      <c r="C968" t="inlineStr">
        <is>
          <t>Week1-Apr-2026</t>
        </is>
      </c>
      <c r="D968" s="78" t="n">
        <v>46113</v>
      </c>
      <c r="E968" t="inlineStr">
        <is>
          <t>Q1FY27</t>
        </is>
      </c>
      <c r="F968" t="inlineStr">
        <is>
          <t>30-Apr-2026</t>
        </is>
      </c>
      <c r="G968" t="inlineStr">
        <is>
          <t>Thursday</t>
        </is>
      </c>
      <c r="H968" t="inlineStr">
        <is>
          <t>Monthly - Thursday</t>
        </is>
      </c>
      <c r="I968" t="inlineStr">
        <is>
          <t>Monthly - Thursday</t>
        </is>
      </c>
      <c r="J968" t="inlineStr">
        <is>
          <t>Same Month Expiry</t>
        </is>
      </c>
      <c r="K968" s="25" t="n">
        <v>14498</v>
      </c>
      <c r="L968" s="26" t="n">
        <v>22.7427</v>
      </c>
      <c r="M968" s="26" t="n">
        <v>0.294</v>
      </c>
    </row>
    <row r="969" ht="16" customHeight="1">
      <c r="A969" t="inlineStr">
        <is>
          <t>07-Apr-2026</t>
        </is>
      </c>
      <c r="B969" t="inlineStr">
        <is>
          <t>Tuesday</t>
        </is>
      </c>
      <c r="C969" t="inlineStr">
        <is>
          <t>Week1-Apr-2026</t>
        </is>
      </c>
      <c r="D969" s="78" t="n">
        <v>46113</v>
      </c>
      <c r="E969" t="inlineStr">
        <is>
          <t>Q1FY27</t>
        </is>
      </c>
      <c r="F969" t="inlineStr">
        <is>
          <t>07-May-2026</t>
        </is>
      </c>
      <c r="G969" t="inlineStr">
        <is>
          <t>Thursday</t>
        </is>
      </c>
      <c r="H969" t="inlineStr">
        <is>
          <t>Weekly - Thursday</t>
        </is>
      </c>
      <c r="I969" t="inlineStr">
        <is>
          <t>Weekly - Thursday</t>
        </is>
      </c>
      <c r="J969" t="inlineStr">
        <is>
          <t>Month+1 Expiry</t>
        </is>
      </c>
      <c r="K969" s="25" t="n">
        <v>2</v>
      </c>
      <c r="L969" s="26" t="n">
        <v>0.0031</v>
      </c>
      <c r="M969" s="26" t="n">
        <v>0.0001</v>
      </c>
    </row>
    <row r="970" ht="16" customHeight="1">
      <c r="A970" t="inlineStr">
        <is>
          <t>07-Apr-2026</t>
        </is>
      </c>
      <c r="B970" t="inlineStr">
        <is>
          <t>Tuesday</t>
        </is>
      </c>
      <c r="C970" t="inlineStr">
        <is>
          <t>Week1-Apr-2026</t>
        </is>
      </c>
      <c r="D970" s="78" t="n">
        <v>46113</v>
      </c>
      <c r="E970" t="inlineStr">
        <is>
          <t>Q1FY27</t>
        </is>
      </c>
      <c r="F970" t="inlineStr">
        <is>
          <t>27-May-2026</t>
        </is>
      </c>
      <c r="G970" t="inlineStr">
        <is>
          <t>Wednesday</t>
        </is>
      </c>
      <c r="H970" t="inlineStr">
        <is>
          <t>Monthly - Wednesday</t>
        </is>
      </c>
      <c r="I970" t="inlineStr">
        <is>
          <t>Monthly - Wednesday</t>
        </is>
      </c>
      <c r="J970" t="inlineStr">
        <is>
          <t>Month+1 Expiry</t>
        </is>
      </c>
      <c r="K970" s="25" t="n">
        <v>810</v>
      </c>
      <c r="L970" s="26" t="n">
        <v>1.2423</v>
      </c>
      <c r="M970" s="26" t="n">
        <v>0.0435</v>
      </c>
    </row>
    <row r="971" ht="16" customHeight="1">
      <c r="A971" t="inlineStr">
        <is>
          <t>07-Apr-2026</t>
        </is>
      </c>
      <c r="B971" t="inlineStr">
        <is>
          <t>Tuesday</t>
        </is>
      </c>
      <c r="C971" t="inlineStr">
        <is>
          <t>Week1-Apr-2026</t>
        </is>
      </c>
      <c r="D971" s="78" t="n">
        <v>46113</v>
      </c>
      <c r="E971" t="inlineStr">
        <is>
          <t>Q1FY27</t>
        </is>
      </c>
      <c r="F971" t="inlineStr">
        <is>
          <t>25-Jun-2026</t>
        </is>
      </c>
      <c r="G971" t="inlineStr">
        <is>
          <t>Thursday</t>
        </is>
      </c>
      <c r="H971" t="inlineStr">
        <is>
          <t>Monthly - Thursday</t>
        </is>
      </c>
      <c r="I971" t="inlineStr">
        <is>
          <t>Monthly - Thursday</t>
        </is>
      </c>
      <c r="J971" t="inlineStr">
        <is>
          <t>Month+2 Expiry</t>
        </is>
      </c>
      <c r="K971" s="25" t="n">
        <v>0</v>
      </c>
      <c r="L971" s="26" t="n">
        <v>0</v>
      </c>
      <c r="M971" s="26" t="n">
        <v>0</v>
      </c>
    </row>
    <row r="972" ht="16" customHeight="1">
      <c r="A972" t="inlineStr">
        <is>
          <t>08-Apr-2026</t>
        </is>
      </c>
      <c r="B972" t="inlineStr">
        <is>
          <t>Wednesday</t>
        </is>
      </c>
      <c r="C972" t="inlineStr">
        <is>
          <t>Week2-Apr-2026</t>
        </is>
      </c>
      <c r="D972" s="78" t="n">
        <v>46113</v>
      </c>
      <c r="E972" t="inlineStr">
        <is>
          <t>Q1FY27</t>
        </is>
      </c>
      <c r="F972" t="inlineStr">
        <is>
          <t>09-Apr-2026</t>
        </is>
      </c>
      <c r="G972" t="inlineStr">
        <is>
          <t>Thursday</t>
        </is>
      </c>
      <c r="H972" t="inlineStr">
        <is>
          <t>Weekly - Thursday</t>
        </is>
      </c>
      <c r="I972" t="inlineStr">
        <is>
          <t>Weekly - Thursday</t>
        </is>
      </c>
      <c r="J972" t="inlineStr">
        <is>
          <t>Same Month Expiry</t>
        </is>
      </c>
      <c r="K972" s="25" t="n">
        <v>106445866</v>
      </c>
      <c r="L972" s="26" t="n">
        <v>164382.4286</v>
      </c>
      <c r="M972" s="26" t="n">
        <v>412.9361</v>
      </c>
    </row>
    <row r="973" ht="16" customHeight="1">
      <c r="A973" t="inlineStr">
        <is>
          <t>08-Apr-2026</t>
        </is>
      </c>
      <c r="B973" t="inlineStr">
        <is>
          <t>Wednesday</t>
        </is>
      </c>
      <c r="C973" t="inlineStr">
        <is>
          <t>Week2-Apr-2026</t>
        </is>
      </c>
      <c r="D973" s="78" t="n">
        <v>46113</v>
      </c>
      <c r="E973" t="inlineStr">
        <is>
          <t>Q1FY27</t>
        </is>
      </c>
      <c r="F973" t="inlineStr">
        <is>
          <t>16-Apr-2026</t>
        </is>
      </c>
      <c r="G973" t="inlineStr">
        <is>
          <t>Thursday</t>
        </is>
      </c>
      <c r="H973" t="inlineStr">
        <is>
          <t>Weekly - Thursday</t>
        </is>
      </c>
      <c r="I973" t="inlineStr">
        <is>
          <t>Weekly - Thursday</t>
        </is>
      </c>
      <c r="J973" t="inlineStr">
        <is>
          <t>Same Month Expiry</t>
        </is>
      </c>
      <c r="K973" s="25" t="n">
        <v>436374</v>
      </c>
      <c r="L973" s="26" t="n">
        <v>669.1385</v>
      </c>
      <c r="M973" s="26" t="n">
        <v>4.3409</v>
      </c>
    </row>
    <row r="974" ht="16" customHeight="1">
      <c r="A974" t="inlineStr">
        <is>
          <t>08-Apr-2026</t>
        </is>
      </c>
      <c r="B974" t="inlineStr">
        <is>
          <t>Wednesday</t>
        </is>
      </c>
      <c r="C974" t="inlineStr">
        <is>
          <t>Week2-Apr-2026</t>
        </is>
      </c>
      <c r="D974" s="78" t="n">
        <v>46113</v>
      </c>
      <c r="E974" t="inlineStr">
        <is>
          <t>Q1FY27</t>
        </is>
      </c>
      <c r="F974" t="inlineStr">
        <is>
          <t>23-Apr-2026</t>
        </is>
      </c>
      <c r="G974" t="inlineStr">
        <is>
          <t>Thursday</t>
        </is>
      </c>
      <c r="H974" t="inlineStr">
        <is>
          <t>Weekly - Thursday</t>
        </is>
      </c>
      <c r="I974" t="inlineStr">
        <is>
          <t>Weekly - Thursday</t>
        </is>
      </c>
      <c r="J974" t="inlineStr">
        <is>
          <t>Same Month Expiry</t>
        </is>
      </c>
      <c r="K974" s="25" t="n">
        <v>700</v>
      </c>
      <c r="L974" s="26" t="n">
        <v>1.1289</v>
      </c>
      <c r="M974" s="26" t="n">
        <v>0.012</v>
      </c>
    </row>
    <row r="975" ht="16" customHeight="1">
      <c r="A975" t="inlineStr">
        <is>
          <t>08-Apr-2026</t>
        </is>
      </c>
      <c r="B975" t="inlineStr">
        <is>
          <t>Wednesday</t>
        </is>
      </c>
      <c r="C975" t="inlineStr">
        <is>
          <t>Week2-Apr-2026</t>
        </is>
      </c>
      <c r="D975" s="78" t="n">
        <v>46113</v>
      </c>
      <c r="E975" t="inlineStr">
        <is>
          <t>Q1FY27</t>
        </is>
      </c>
      <c r="F975" t="inlineStr">
        <is>
          <t>30-Apr-2026</t>
        </is>
      </c>
      <c r="G975" t="inlineStr">
        <is>
          <t>Thursday</t>
        </is>
      </c>
      <c r="H975" t="inlineStr">
        <is>
          <t>Monthly - Thursday</t>
        </is>
      </c>
      <c r="I975" t="inlineStr">
        <is>
          <t>Monthly - Thursday</t>
        </is>
      </c>
      <c r="J975" t="inlineStr">
        <is>
          <t>Same Month Expiry</t>
        </is>
      </c>
      <c r="K975" s="25" t="n">
        <v>39964</v>
      </c>
      <c r="L975" s="26" t="n">
        <v>62.0013</v>
      </c>
      <c r="M975" s="26" t="n">
        <v>0.6326000000000001</v>
      </c>
    </row>
    <row r="976" ht="16" customHeight="1">
      <c r="A976" t="inlineStr">
        <is>
          <t>08-Apr-2026</t>
        </is>
      </c>
      <c r="B976" t="inlineStr">
        <is>
          <t>Wednesday</t>
        </is>
      </c>
      <c r="C976" t="inlineStr">
        <is>
          <t>Week2-Apr-2026</t>
        </is>
      </c>
      <c r="D976" s="78" t="n">
        <v>46113</v>
      </c>
      <c r="E976" t="inlineStr">
        <is>
          <t>Q1FY27</t>
        </is>
      </c>
      <c r="F976" t="inlineStr">
        <is>
          <t>07-May-2026</t>
        </is>
      </c>
      <c r="G976" t="inlineStr">
        <is>
          <t>Thursday</t>
        </is>
      </c>
      <c r="H976" t="inlineStr">
        <is>
          <t>Weekly - Thursday</t>
        </is>
      </c>
      <c r="I976" t="inlineStr">
        <is>
          <t>Weekly - Thursday</t>
        </is>
      </c>
      <c r="J976" t="inlineStr">
        <is>
          <t>Month+1 Expiry</t>
        </is>
      </c>
      <c r="K976" s="25" t="n">
        <v>1</v>
      </c>
      <c r="L976" s="26" t="n">
        <v>0.0015</v>
      </c>
      <c r="M976" s="26" t="n">
        <v>0.0001</v>
      </c>
    </row>
    <row r="977" ht="16" customHeight="1">
      <c r="A977" t="inlineStr">
        <is>
          <t>08-Apr-2026</t>
        </is>
      </c>
      <c r="B977" t="inlineStr">
        <is>
          <t>Wednesday</t>
        </is>
      </c>
      <c r="C977" t="inlineStr">
        <is>
          <t>Week2-Apr-2026</t>
        </is>
      </c>
      <c r="D977" s="78" t="n">
        <v>46113</v>
      </c>
      <c r="E977" t="inlineStr">
        <is>
          <t>Q1FY27</t>
        </is>
      </c>
      <c r="F977" t="inlineStr">
        <is>
          <t>27-May-2026</t>
        </is>
      </c>
      <c r="G977" t="inlineStr">
        <is>
          <t>Wednesday</t>
        </is>
      </c>
      <c r="H977" t="inlineStr">
        <is>
          <t>Monthly - Wednesday</t>
        </is>
      </c>
      <c r="I977" t="inlineStr">
        <is>
          <t>Monthly - Wednesday</t>
        </is>
      </c>
      <c r="J977" t="inlineStr">
        <is>
          <t>Month+1 Expiry</t>
        </is>
      </c>
      <c r="K977" s="25" t="n">
        <v>1</v>
      </c>
      <c r="L977" s="26" t="n">
        <v>0.0015</v>
      </c>
      <c r="M977" s="26" t="n">
        <v>0.0001</v>
      </c>
    </row>
    <row r="978" ht="16" customHeight="1">
      <c r="A978" t="inlineStr">
        <is>
          <t>08-Apr-2026</t>
        </is>
      </c>
      <c r="B978" t="inlineStr">
        <is>
          <t>Wednesday</t>
        </is>
      </c>
      <c r="C978" t="inlineStr">
        <is>
          <t>Week2-Apr-2026</t>
        </is>
      </c>
      <c r="D978" s="78" t="n">
        <v>46113</v>
      </c>
      <c r="E978" t="inlineStr">
        <is>
          <t>Q1FY27</t>
        </is>
      </c>
      <c r="F978" t="inlineStr">
        <is>
          <t>25-Jun-2026</t>
        </is>
      </c>
      <c r="G978" t="inlineStr">
        <is>
          <t>Thursday</t>
        </is>
      </c>
      <c r="H978" t="inlineStr">
        <is>
          <t>Monthly - Thursday</t>
        </is>
      </c>
      <c r="I978" t="inlineStr">
        <is>
          <t>Monthly - Thursday</t>
        </is>
      </c>
      <c r="J978" t="inlineStr">
        <is>
          <t>Month+2 Expiry</t>
        </is>
      </c>
      <c r="K978" s="25" t="n">
        <v>0</v>
      </c>
      <c r="L978" s="26" t="n">
        <v>0</v>
      </c>
      <c r="M978" s="26" t="n">
        <v>0</v>
      </c>
    </row>
    <row r="979" ht="16" customHeight="1">
      <c r="A979" t="inlineStr">
        <is>
          <t>09-Apr-2026</t>
        </is>
      </c>
      <c r="B979" t="inlineStr">
        <is>
          <t>Thursday</t>
        </is>
      </c>
      <c r="C979" t="inlineStr">
        <is>
          <t>Week2-Apr-2026</t>
        </is>
      </c>
      <c r="D979" s="78" t="n">
        <v>46113</v>
      </c>
      <c r="E979" t="inlineStr">
        <is>
          <t>Q1FY27</t>
        </is>
      </c>
      <c r="F979" t="inlineStr">
        <is>
          <t>09-Apr-2026</t>
        </is>
      </c>
      <c r="G979" t="inlineStr">
        <is>
          <t>Thursday</t>
        </is>
      </c>
      <c r="H979" t="inlineStr">
        <is>
          <t>Weekly - Thursday</t>
        </is>
      </c>
      <c r="I979" t="inlineStr">
        <is>
          <t>Weekly - Thursday</t>
        </is>
      </c>
      <c r="J979" t="inlineStr">
        <is>
          <t>Same Month Expiry</t>
        </is>
      </c>
      <c r="K979" s="25" t="n">
        <v>557236168</v>
      </c>
      <c r="L979" s="26" t="n">
        <v>856457.5209</v>
      </c>
      <c r="M979" s="26" t="n">
        <v>762.4246000000001</v>
      </c>
    </row>
    <row r="980" ht="16" customHeight="1">
      <c r="A980" t="inlineStr">
        <is>
          <t>09-Apr-2026</t>
        </is>
      </c>
      <c r="B980" t="inlineStr">
        <is>
          <t>Thursday</t>
        </is>
      </c>
      <c r="C980" t="inlineStr">
        <is>
          <t>Week2-Apr-2026</t>
        </is>
      </c>
      <c r="D980" s="78" t="n">
        <v>46113</v>
      </c>
      <c r="E980" t="inlineStr">
        <is>
          <t>Q1FY27</t>
        </is>
      </c>
      <c r="F980" t="inlineStr">
        <is>
          <t>16-Apr-2026</t>
        </is>
      </c>
      <c r="G980" t="inlineStr">
        <is>
          <t>Thursday</t>
        </is>
      </c>
      <c r="H980" t="inlineStr">
        <is>
          <t>Weekly - Thursday</t>
        </is>
      </c>
      <c r="I980" t="inlineStr">
        <is>
          <t>Weekly - Thursday</t>
        </is>
      </c>
      <c r="J980" t="inlineStr">
        <is>
          <t>Same Month Expiry</t>
        </is>
      </c>
      <c r="K980" s="25" t="n">
        <v>1515370</v>
      </c>
      <c r="L980" s="26" t="n">
        <v>2340.3586</v>
      </c>
      <c r="M980" s="26" t="n">
        <v>14.4207</v>
      </c>
    </row>
    <row r="981" ht="16" customHeight="1">
      <c r="A981" t="inlineStr">
        <is>
          <t>09-Apr-2026</t>
        </is>
      </c>
      <c r="B981" t="inlineStr">
        <is>
          <t>Thursday</t>
        </is>
      </c>
      <c r="C981" t="inlineStr">
        <is>
          <t>Week2-Apr-2026</t>
        </is>
      </c>
      <c r="D981" s="78" t="n">
        <v>46113</v>
      </c>
      <c r="E981" t="inlineStr">
        <is>
          <t>Q1FY27</t>
        </is>
      </c>
      <c r="F981" t="inlineStr">
        <is>
          <t>23-Apr-2026</t>
        </is>
      </c>
      <c r="G981" t="inlineStr">
        <is>
          <t>Thursday</t>
        </is>
      </c>
      <c r="H981" t="inlineStr">
        <is>
          <t>Weekly - Thursday</t>
        </is>
      </c>
      <c r="I981" t="inlineStr">
        <is>
          <t>Weekly - Thursday</t>
        </is>
      </c>
      <c r="J981" t="inlineStr">
        <is>
          <t>Same Month Expiry</t>
        </is>
      </c>
      <c r="K981" s="25" t="n">
        <v>3119</v>
      </c>
      <c r="L981" s="26" t="n">
        <v>4.9727</v>
      </c>
      <c r="M981" s="26" t="n">
        <v>0.0462</v>
      </c>
    </row>
    <row r="982" ht="16" customHeight="1">
      <c r="A982" t="inlineStr">
        <is>
          <t>09-Apr-2026</t>
        </is>
      </c>
      <c r="B982" t="inlineStr">
        <is>
          <t>Thursday</t>
        </is>
      </c>
      <c r="C982" t="inlineStr">
        <is>
          <t>Week2-Apr-2026</t>
        </is>
      </c>
      <c r="D982" s="78" t="n">
        <v>46113</v>
      </c>
      <c r="E982" t="inlineStr">
        <is>
          <t>Q1FY27</t>
        </is>
      </c>
      <c r="F982" t="inlineStr">
        <is>
          <t>30-Apr-2026</t>
        </is>
      </c>
      <c r="G982" t="inlineStr">
        <is>
          <t>Thursday</t>
        </is>
      </c>
      <c r="H982" t="inlineStr">
        <is>
          <t>Monthly - Thursday</t>
        </is>
      </c>
      <c r="I982" t="inlineStr">
        <is>
          <t>Monthly - Thursday</t>
        </is>
      </c>
      <c r="J982" t="inlineStr">
        <is>
          <t>Same Month Expiry</t>
        </is>
      </c>
      <c r="K982" s="25" t="n">
        <v>42179</v>
      </c>
      <c r="L982" s="26" t="n">
        <v>65.3921</v>
      </c>
      <c r="M982" s="26" t="n">
        <v>0.6171</v>
      </c>
    </row>
    <row r="983" ht="16" customHeight="1">
      <c r="A983" t="inlineStr">
        <is>
          <t>09-Apr-2026</t>
        </is>
      </c>
      <c r="B983" t="inlineStr">
        <is>
          <t>Thursday</t>
        </is>
      </c>
      <c r="C983" t="inlineStr">
        <is>
          <t>Week2-Apr-2026</t>
        </is>
      </c>
      <c r="D983" s="78" t="n">
        <v>46113</v>
      </c>
      <c r="E983" t="inlineStr">
        <is>
          <t>Q1FY27</t>
        </is>
      </c>
      <c r="F983" t="inlineStr">
        <is>
          <t>07-May-2026</t>
        </is>
      </c>
      <c r="G983" t="inlineStr">
        <is>
          <t>Thursday</t>
        </is>
      </c>
      <c r="H983" t="inlineStr">
        <is>
          <t>Weekly - Thursday</t>
        </is>
      </c>
      <c r="I983" t="inlineStr">
        <is>
          <t>Weekly - Thursday</t>
        </is>
      </c>
      <c r="J983" t="inlineStr">
        <is>
          <t>Month+1 Expiry</t>
        </is>
      </c>
      <c r="K983" s="25" t="n">
        <v>23</v>
      </c>
      <c r="L983" s="26" t="n">
        <v>0.0359</v>
      </c>
      <c r="M983" s="26" t="n">
        <v>0.001</v>
      </c>
    </row>
    <row r="984" ht="16" customHeight="1">
      <c r="A984" t="inlineStr">
        <is>
          <t>09-Apr-2026</t>
        </is>
      </c>
      <c r="B984" t="inlineStr">
        <is>
          <t>Thursday</t>
        </is>
      </c>
      <c r="C984" t="inlineStr">
        <is>
          <t>Week2-Apr-2026</t>
        </is>
      </c>
      <c r="D984" s="78" t="n">
        <v>46113</v>
      </c>
      <c r="E984" t="inlineStr">
        <is>
          <t>Q1FY27</t>
        </is>
      </c>
      <c r="F984" t="inlineStr">
        <is>
          <t>27-May-2026</t>
        </is>
      </c>
      <c r="G984" t="inlineStr">
        <is>
          <t>Wednesday</t>
        </is>
      </c>
      <c r="H984" t="inlineStr">
        <is>
          <t>Monthly - Wednesday</t>
        </is>
      </c>
      <c r="I984" t="inlineStr">
        <is>
          <t>Monthly - Wednesday</t>
        </is>
      </c>
      <c r="J984" t="inlineStr">
        <is>
          <t>Month+1 Expiry</t>
        </is>
      </c>
      <c r="K984" s="25" t="n">
        <v>100</v>
      </c>
      <c r="L984" s="26" t="n">
        <v>0.1584</v>
      </c>
      <c r="M984" s="26" t="n">
        <v>0.0043</v>
      </c>
    </row>
    <row r="985" ht="16" customHeight="1">
      <c r="A985" t="inlineStr">
        <is>
          <t>09-Apr-2026</t>
        </is>
      </c>
      <c r="B985" t="inlineStr">
        <is>
          <t>Thursday</t>
        </is>
      </c>
      <c r="C985" t="inlineStr">
        <is>
          <t>Week2-Apr-2026</t>
        </is>
      </c>
      <c r="D985" s="78" t="n">
        <v>46113</v>
      </c>
      <c r="E985" t="inlineStr">
        <is>
          <t>Q1FY27</t>
        </is>
      </c>
      <c r="F985" t="inlineStr">
        <is>
          <t>25-Jun-2026</t>
        </is>
      </c>
      <c r="G985" t="inlineStr">
        <is>
          <t>Thursday</t>
        </is>
      </c>
      <c r="H985" t="inlineStr">
        <is>
          <t>Monthly - Thursday</t>
        </is>
      </c>
      <c r="I985" t="inlineStr">
        <is>
          <t>Monthly - Thursday</t>
        </is>
      </c>
      <c r="J985" t="inlineStr">
        <is>
          <t>Month+2 Expiry</t>
        </is>
      </c>
      <c r="K985" s="25" t="n">
        <v>0</v>
      </c>
      <c r="L985" s="26" t="n">
        <v>0</v>
      </c>
      <c r="M985" s="26" t="n">
        <v>0</v>
      </c>
    </row>
    <row r="986" ht="16" customHeight="1">
      <c r="A986" t="inlineStr">
        <is>
          <t>10-Apr-2026</t>
        </is>
      </c>
      <c r="B986" t="inlineStr">
        <is>
          <t>Friday</t>
        </is>
      </c>
      <c r="C986" t="inlineStr">
        <is>
          <t>Week2-Apr-2026</t>
        </is>
      </c>
      <c r="D986" s="78" t="n">
        <v>46113</v>
      </c>
      <c r="E986" t="inlineStr">
        <is>
          <t>Q1FY27</t>
        </is>
      </c>
      <c r="F986" t="inlineStr">
        <is>
          <t>16-Apr-2026</t>
        </is>
      </c>
      <c r="G986" t="inlineStr">
        <is>
          <t>Thursday</t>
        </is>
      </c>
      <c r="H986" t="inlineStr">
        <is>
          <t>Weekly - Thursday</t>
        </is>
      </c>
      <c r="I986" t="inlineStr">
        <is>
          <t>Weekly - Thursday</t>
        </is>
      </c>
      <c r="J986" t="inlineStr">
        <is>
          <t>Same Month Expiry</t>
        </is>
      </c>
      <c r="K986" s="25" t="n">
        <v>12731198</v>
      </c>
      <c r="L986" s="26" t="n">
        <v>19723.7956</v>
      </c>
      <c r="M986" s="26" t="n">
        <v>99.70569999999999</v>
      </c>
    </row>
    <row r="987" ht="16" customHeight="1">
      <c r="A987" t="inlineStr">
        <is>
          <t>10-Apr-2026</t>
        </is>
      </c>
      <c r="B987" t="inlineStr">
        <is>
          <t>Friday</t>
        </is>
      </c>
      <c r="C987" t="inlineStr">
        <is>
          <t>Week2-Apr-2026</t>
        </is>
      </c>
      <c r="D987" s="78" t="n">
        <v>46113</v>
      </c>
      <c r="E987" t="inlineStr">
        <is>
          <t>Q1FY27</t>
        </is>
      </c>
      <c r="F987" t="inlineStr">
        <is>
          <t>23-Apr-2026</t>
        </is>
      </c>
      <c r="G987" t="inlineStr">
        <is>
          <t>Thursday</t>
        </is>
      </c>
      <c r="H987" t="inlineStr">
        <is>
          <t>Weekly - Thursday</t>
        </is>
      </c>
      <c r="I987" t="inlineStr">
        <is>
          <t>Weekly - Thursday</t>
        </is>
      </c>
      <c r="J987" t="inlineStr">
        <is>
          <t>Same Month Expiry</t>
        </is>
      </c>
      <c r="K987" s="25" t="n">
        <v>36292</v>
      </c>
      <c r="L987" s="26" t="n">
        <v>56.9155</v>
      </c>
      <c r="M987" s="26" t="n">
        <v>0.5833</v>
      </c>
    </row>
    <row r="988" ht="16" customHeight="1">
      <c r="A988" t="inlineStr">
        <is>
          <t>10-Apr-2026</t>
        </is>
      </c>
      <c r="B988" t="inlineStr">
        <is>
          <t>Friday</t>
        </is>
      </c>
      <c r="C988" t="inlineStr">
        <is>
          <t>Week2-Apr-2026</t>
        </is>
      </c>
      <c r="D988" s="78" t="n">
        <v>46113</v>
      </c>
      <c r="E988" t="inlineStr">
        <is>
          <t>Q1FY27</t>
        </is>
      </c>
      <c r="F988" t="inlineStr">
        <is>
          <t>30-Apr-2026</t>
        </is>
      </c>
      <c r="G988" t="inlineStr">
        <is>
          <t>Thursday</t>
        </is>
      </c>
      <c r="H988" t="inlineStr">
        <is>
          <t>Monthly - Thursday</t>
        </is>
      </c>
      <c r="I988" t="inlineStr">
        <is>
          <t>Monthly - Thursday</t>
        </is>
      </c>
      <c r="J988" t="inlineStr">
        <is>
          <t>Same Month Expiry</t>
        </is>
      </c>
      <c r="K988" s="25" t="n">
        <v>21704</v>
      </c>
      <c r="L988" s="26" t="n">
        <v>33.5977</v>
      </c>
      <c r="M988" s="26" t="n">
        <v>0.2737</v>
      </c>
    </row>
    <row r="989" ht="16" customHeight="1">
      <c r="A989" t="inlineStr">
        <is>
          <t>10-Apr-2026</t>
        </is>
      </c>
      <c r="B989" t="inlineStr">
        <is>
          <t>Friday</t>
        </is>
      </c>
      <c r="C989" t="inlineStr">
        <is>
          <t>Week2-Apr-2026</t>
        </is>
      </c>
      <c r="D989" s="78" t="n">
        <v>46113</v>
      </c>
      <c r="E989" t="inlineStr">
        <is>
          <t>Q1FY27</t>
        </is>
      </c>
      <c r="F989" t="inlineStr">
        <is>
          <t>07-May-2026</t>
        </is>
      </c>
      <c r="G989" t="inlineStr">
        <is>
          <t>Thursday</t>
        </is>
      </c>
      <c r="H989" t="inlineStr">
        <is>
          <t>Weekly - Thursday</t>
        </is>
      </c>
      <c r="I989" t="inlineStr">
        <is>
          <t>Weekly - Thursday</t>
        </is>
      </c>
      <c r="J989" t="inlineStr">
        <is>
          <t>Month+1 Expiry</t>
        </is>
      </c>
      <c r="K989" s="25" t="n">
        <v>2</v>
      </c>
      <c r="L989" s="26" t="n">
        <v>0.0033</v>
      </c>
      <c r="M989" s="26" t="n">
        <v>0</v>
      </c>
    </row>
    <row r="990" ht="16" customHeight="1">
      <c r="A990" t="inlineStr">
        <is>
          <t>10-Apr-2026</t>
        </is>
      </c>
      <c r="B990" t="inlineStr">
        <is>
          <t>Friday</t>
        </is>
      </c>
      <c r="C990" t="inlineStr">
        <is>
          <t>Week2-Apr-2026</t>
        </is>
      </c>
      <c r="D990" s="78" t="n">
        <v>46113</v>
      </c>
      <c r="E990" t="inlineStr">
        <is>
          <t>Q1FY27</t>
        </is>
      </c>
      <c r="F990" t="inlineStr">
        <is>
          <t>27-May-2026</t>
        </is>
      </c>
      <c r="G990" t="inlineStr">
        <is>
          <t>Wednesday</t>
        </is>
      </c>
      <c r="H990" t="inlineStr">
        <is>
          <t>Monthly - Wednesday</t>
        </is>
      </c>
      <c r="I990" t="inlineStr">
        <is>
          <t>Monthly - Wednesday</t>
        </is>
      </c>
      <c r="J990" t="inlineStr">
        <is>
          <t>Month+1 Expiry</t>
        </is>
      </c>
      <c r="K990" s="25" t="n">
        <v>2</v>
      </c>
      <c r="L990" s="26" t="n">
        <v>0.0032</v>
      </c>
      <c r="M990" s="26" t="n">
        <v>0.0001</v>
      </c>
    </row>
    <row r="991" ht="16" customHeight="1">
      <c r="A991" t="inlineStr">
        <is>
          <t>10-Apr-2026</t>
        </is>
      </c>
      <c r="B991" t="inlineStr">
        <is>
          <t>Friday</t>
        </is>
      </c>
      <c r="C991" t="inlineStr">
        <is>
          <t>Week2-Apr-2026</t>
        </is>
      </c>
      <c r="D991" s="78" t="n">
        <v>46113</v>
      </c>
      <c r="E991" t="inlineStr">
        <is>
          <t>Q1FY27</t>
        </is>
      </c>
      <c r="F991" t="inlineStr">
        <is>
          <t>25-Jun-2026</t>
        </is>
      </c>
      <c r="G991" t="inlineStr">
        <is>
          <t>Thursday</t>
        </is>
      </c>
      <c r="H991" t="inlineStr">
        <is>
          <t>Monthly - Thursday</t>
        </is>
      </c>
      <c r="I991" t="inlineStr">
        <is>
          <t>Monthly - Thursday</t>
        </is>
      </c>
      <c r="J991" t="inlineStr">
        <is>
          <t>Month+2 Expiry</t>
        </is>
      </c>
      <c r="K991" s="25" t="n">
        <v>1</v>
      </c>
      <c r="L991" s="26" t="n">
        <v>0.0018</v>
      </c>
      <c r="M991" s="26" t="n">
        <v>0</v>
      </c>
    </row>
    <row r="992" ht="16" customHeight="1">
      <c r="A992" t="inlineStr">
        <is>
          <t>13-Apr-2026</t>
        </is>
      </c>
      <c r="B992" t="inlineStr">
        <is>
          <t>Monday</t>
        </is>
      </c>
      <c r="C992" t="inlineStr">
        <is>
          <t>Week2-Apr-2026</t>
        </is>
      </c>
      <c r="D992" s="78" t="n">
        <v>46113</v>
      </c>
      <c r="E992" t="inlineStr">
        <is>
          <t>Q1FY27</t>
        </is>
      </c>
      <c r="F992" t="inlineStr">
        <is>
          <t>16-Apr-2026</t>
        </is>
      </c>
      <c r="G992" t="inlineStr">
        <is>
          <t>Thursday</t>
        </is>
      </c>
      <c r="H992" t="inlineStr">
        <is>
          <t>Weekly - Thursday</t>
        </is>
      </c>
      <c r="I992" t="inlineStr">
        <is>
          <t>Weekly - Thursday</t>
        </is>
      </c>
      <c r="J992" t="inlineStr">
        <is>
          <t>Same Month Expiry</t>
        </is>
      </c>
      <c r="K992" s="25" t="n">
        <v>19345986</v>
      </c>
      <c r="L992" s="26" t="n">
        <v>29692.3122</v>
      </c>
      <c r="M992" s="26" t="n">
        <v>117.6673</v>
      </c>
    </row>
    <row r="993" ht="16" customHeight="1">
      <c r="A993" t="inlineStr">
        <is>
          <t>13-Apr-2026</t>
        </is>
      </c>
      <c r="B993" t="inlineStr">
        <is>
          <t>Monday</t>
        </is>
      </c>
      <c r="C993" t="inlineStr">
        <is>
          <t>Week2-Apr-2026</t>
        </is>
      </c>
      <c r="D993" s="78" t="n">
        <v>46113</v>
      </c>
      <c r="E993" t="inlineStr">
        <is>
          <t>Q1FY27</t>
        </is>
      </c>
      <c r="F993" t="inlineStr">
        <is>
          <t>23-Apr-2026</t>
        </is>
      </c>
      <c r="G993" t="inlineStr">
        <is>
          <t>Thursday</t>
        </is>
      </c>
      <c r="H993" t="inlineStr">
        <is>
          <t>Weekly - Thursday</t>
        </is>
      </c>
      <c r="I993" t="inlineStr">
        <is>
          <t>Weekly - Thursday</t>
        </is>
      </c>
      <c r="J993" t="inlineStr">
        <is>
          <t>Same Month Expiry</t>
        </is>
      </c>
      <c r="K993" s="25" t="n">
        <v>79089</v>
      </c>
      <c r="L993" s="26" t="n">
        <v>123.1562</v>
      </c>
      <c r="M993" s="26" t="n">
        <v>1.0684</v>
      </c>
    </row>
    <row r="994" ht="16" customHeight="1">
      <c r="A994" t="inlineStr">
        <is>
          <t>13-Apr-2026</t>
        </is>
      </c>
      <c r="B994" t="inlineStr">
        <is>
          <t>Monday</t>
        </is>
      </c>
      <c r="C994" t="inlineStr">
        <is>
          <t>Week2-Apr-2026</t>
        </is>
      </c>
      <c r="D994" s="78" t="n">
        <v>46113</v>
      </c>
      <c r="E994" t="inlineStr">
        <is>
          <t>Q1FY27</t>
        </is>
      </c>
      <c r="F994" t="inlineStr">
        <is>
          <t>30-Apr-2026</t>
        </is>
      </c>
      <c r="G994" t="inlineStr">
        <is>
          <t>Thursday</t>
        </is>
      </c>
      <c r="H994" t="inlineStr">
        <is>
          <t>Monthly - Thursday</t>
        </is>
      </c>
      <c r="I994" t="inlineStr">
        <is>
          <t>Monthly - Thursday</t>
        </is>
      </c>
      <c r="J994" t="inlineStr">
        <is>
          <t>Same Month Expiry</t>
        </is>
      </c>
      <c r="K994" s="25" t="n">
        <v>25768</v>
      </c>
      <c r="L994" s="26" t="n">
        <v>39.8103</v>
      </c>
      <c r="M994" s="26" t="n">
        <v>0.3348</v>
      </c>
    </row>
    <row r="995" ht="16" customHeight="1">
      <c r="A995" t="inlineStr">
        <is>
          <t>13-Apr-2026</t>
        </is>
      </c>
      <c r="B995" t="inlineStr">
        <is>
          <t>Monday</t>
        </is>
      </c>
      <c r="C995" t="inlineStr">
        <is>
          <t>Week2-Apr-2026</t>
        </is>
      </c>
      <c r="D995" s="78" t="n">
        <v>46113</v>
      </c>
      <c r="E995" t="inlineStr">
        <is>
          <t>Q1FY27</t>
        </is>
      </c>
      <c r="F995" t="inlineStr">
        <is>
          <t>07-May-2026</t>
        </is>
      </c>
      <c r="G995" t="inlineStr">
        <is>
          <t>Thursday</t>
        </is>
      </c>
      <c r="H995" t="inlineStr">
        <is>
          <t>Weekly - Thursday</t>
        </is>
      </c>
      <c r="I995" t="inlineStr">
        <is>
          <t>Weekly - Thursday</t>
        </is>
      </c>
      <c r="J995" t="inlineStr">
        <is>
          <t>Month+1 Expiry</t>
        </is>
      </c>
      <c r="K995" s="25" t="n">
        <v>97</v>
      </c>
      <c r="L995" s="26" t="n">
        <v>0.1522</v>
      </c>
      <c r="M995" s="26" t="n">
        <v>0.0034</v>
      </c>
    </row>
    <row r="996" ht="16" customHeight="1">
      <c r="A996" t="inlineStr">
        <is>
          <t>13-Apr-2026</t>
        </is>
      </c>
      <c r="B996" t="inlineStr">
        <is>
          <t>Monday</t>
        </is>
      </c>
      <c r="C996" t="inlineStr">
        <is>
          <t>Week2-Apr-2026</t>
        </is>
      </c>
      <c r="D996" s="78" t="n">
        <v>46113</v>
      </c>
      <c r="E996" t="inlineStr">
        <is>
          <t>Q1FY27</t>
        </is>
      </c>
      <c r="F996" t="inlineStr">
        <is>
          <t>27-May-2026</t>
        </is>
      </c>
      <c r="G996" t="inlineStr">
        <is>
          <t>Wednesday</t>
        </is>
      </c>
      <c r="H996" t="inlineStr">
        <is>
          <t>Monthly - Wednesday</t>
        </is>
      </c>
      <c r="I996" t="inlineStr">
        <is>
          <t>Monthly - Wednesday</t>
        </is>
      </c>
      <c r="J996" t="inlineStr">
        <is>
          <t>Month+1 Expiry</t>
        </is>
      </c>
      <c r="K996" s="25" t="n">
        <v>102</v>
      </c>
      <c r="L996" s="26" t="n">
        <v>0.1601</v>
      </c>
      <c r="M996" s="26" t="n">
        <v>0.0038</v>
      </c>
    </row>
    <row r="997" ht="16" customHeight="1">
      <c r="A997" t="inlineStr">
        <is>
          <t>13-Apr-2026</t>
        </is>
      </c>
      <c r="B997" t="inlineStr">
        <is>
          <t>Monday</t>
        </is>
      </c>
      <c r="C997" t="inlineStr">
        <is>
          <t>Week2-Apr-2026</t>
        </is>
      </c>
      <c r="D997" s="78" t="n">
        <v>46113</v>
      </c>
      <c r="E997" t="inlineStr">
        <is>
          <t>Q1FY27</t>
        </is>
      </c>
      <c r="F997" t="inlineStr">
        <is>
          <t>25-Jun-2026</t>
        </is>
      </c>
      <c r="G997" t="inlineStr">
        <is>
          <t>Thursday</t>
        </is>
      </c>
      <c r="H997" t="inlineStr">
        <is>
          <t>Monthly - Thursday</t>
        </is>
      </c>
      <c r="I997" t="inlineStr">
        <is>
          <t>Monthly - Thursday</t>
        </is>
      </c>
      <c r="J997" t="inlineStr">
        <is>
          <t>Month+2 Expiry</t>
        </is>
      </c>
      <c r="K997" s="25" t="n">
        <v>4</v>
      </c>
      <c r="L997" s="26" t="n">
        <v>0.0072</v>
      </c>
      <c r="M997" s="26" t="n">
        <v>0</v>
      </c>
    </row>
    <row r="998" ht="16" customHeight="1">
      <c r="A998" t="inlineStr">
        <is>
          <t>15-Apr-2026</t>
        </is>
      </c>
      <c r="B998" t="inlineStr">
        <is>
          <t>Wednesday</t>
        </is>
      </c>
      <c r="C998" t="inlineStr">
        <is>
          <t>Week3-Apr-2026</t>
        </is>
      </c>
      <c r="D998" s="78" t="n">
        <v>46113</v>
      </c>
      <c r="E998" t="inlineStr">
        <is>
          <t>Q1FY27</t>
        </is>
      </c>
      <c r="F998" t="inlineStr">
        <is>
          <t>16-Apr-2026</t>
        </is>
      </c>
      <c r="G998" t="inlineStr">
        <is>
          <t>Thursday</t>
        </is>
      </c>
      <c r="H998" t="inlineStr">
        <is>
          <t>Weekly - Thursday</t>
        </is>
      </c>
      <c r="I998" t="inlineStr">
        <is>
          <t>Weekly - Thursday</t>
        </is>
      </c>
      <c r="J998" t="inlineStr">
        <is>
          <t>Same Month Expiry</t>
        </is>
      </c>
      <c r="K998" s="25" t="n">
        <v>99256587</v>
      </c>
      <c r="L998" s="26" t="n">
        <v>154838.9618</v>
      </c>
      <c r="M998" s="26" t="n">
        <v>343.7666</v>
      </c>
    </row>
    <row r="999" ht="16" customHeight="1">
      <c r="A999" t="inlineStr">
        <is>
          <t>15-Apr-2026</t>
        </is>
      </c>
      <c r="B999" t="inlineStr">
        <is>
          <t>Wednesday</t>
        </is>
      </c>
      <c r="C999" t="inlineStr">
        <is>
          <t>Week3-Apr-2026</t>
        </is>
      </c>
      <c r="D999" s="78" t="n">
        <v>46113</v>
      </c>
      <c r="E999" t="inlineStr">
        <is>
          <t>Q1FY27</t>
        </is>
      </c>
      <c r="F999" t="inlineStr">
        <is>
          <t>23-Apr-2026</t>
        </is>
      </c>
      <c r="G999" t="inlineStr">
        <is>
          <t>Thursday</t>
        </is>
      </c>
      <c r="H999" t="inlineStr">
        <is>
          <t>Weekly - Thursday</t>
        </is>
      </c>
      <c r="I999" t="inlineStr">
        <is>
          <t>Weekly - Thursday</t>
        </is>
      </c>
      <c r="J999" t="inlineStr">
        <is>
          <t>Same Month Expiry</t>
        </is>
      </c>
      <c r="K999" s="25" t="n">
        <v>324760</v>
      </c>
      <c r="L999" s="26" t="n">
        <v>507.2265</v>
      </c>
      <c r="M999" s="26" t="n">
        <v>3.268</v>
      </c>
    </row>
    <row r="1000" ht="16" customHeight="1">
      <c r="A1000" t="inlineStr">
        <is>
          <t>15-Apr-2026</t>
        </is>
      </c>
      <c r="B1000" t="inlineStr">
        <is>
          <t>Wednesday</t>
        </is>
      </c>
      <c r="C1000" t="inlineStr">
        <is>
          <t>Week3-Apr-2026</t>
        </is>
      </c>
      <c r="D1000" s="78" t="n">
        <v>46113</v>
      </c>
      <c r="E1000" t="inlineStr">
        <is>
          <t>Q1FY27</t>
        </is>
      </c>
      <c r="F1000" t="inlineStr">
        <is>
          <t>30-Apr-2026</t>
        </is>
      </c>
      <c r="G1000" t="inlineStr">
        <is>
          <t>Thursday</t>
        </is>
      </c>
      <c r="H1000" t="inlineStr">
        <is>
          <t>Monthly - Thursday</t>
        </is>
      </c>
      <c r="I1000" t="inlineStr">
        <is>
          <t>Monthly - Thursday</t>
        </is>
      </c>
      <c r="J1000" t="inlineStr">
        <is>
          <t>Same Month Expiry</t>
        </is>
      </c>
      <c r="K1000" s="25" t="n">
        <v>32791</v>
      </c>
      <c r="L1000" s="26" t="n">
        <v>51.421</v>
      </c>
      <c r="M1000" s="26" t="n">
        <v>0.4544</v>
      </c>
    </row>
    <row r="1001" ht="16" customHeight="1">
      <c r="A1001" t="inlineStr">
        <is>
          <t>15-Apr-2026</t>
        </is>
      </c>
      <c r="B1001" t="inlineStr">
        <is>
          <t>Wednesday</t>
        </is>
      </c>
      <c r="C1001" t="inlineStr">
        <is>
          <t>Week3-Apr-2026</t>
        </is>
      </c>
      <c r="D1001" s="78" t="n">
        <v>46113</v>
      </c>
      <c r="E1001" t="inlineStr">
        <is>
          <t>Q1FY27</t>
        </is>
      </c>
      <c r="F1001" t="inlineStr">
        <is>
          <t>07-May-2026</t>
        </is>
      </c>
      <c r="G1001" t="inlineStr">
        <is>
          <t>Thursday</t>
        </is>
      </c>
      <c r="H1001" t="inlineStr">
        <is>
          <t>Weekly - Thursday</t>
        </is>
      </c>
      <c r="I1001" t="inlineStr">
        <is>
          <t>Weekly - Thursday</t>
        </is>
      </c>
      <c r="J1001" t="inlineStr">
        <is>
          <t>Month+1 Expiry</t>
        </is>
      </c>
      <c r="K1001" s="25" t="n">
        <v>223</v>
      </c>
      <c r="L1001" s="26" t="n">
        <v>0.3558</v>
      </c>
      <c r="M1001" s="26" t="n">
        <v>0.0052</v>
      </c>
    </row>
    <row r="1002" ht="16" customHeight="1">
      <c r="A1002" t="inlineStr">
        <is>
          <t>15-Apr-2026</t>
        </is>
      </c>
      <c r="B1002" t="inlineStr">
        <is>
          <t>Wednesday</t>
        </is>
      </c>
      <c r="C1002" t="inlineStr">
        <is>
          <t>Week3-Apr-2026</t>
        </is>
      </c>
      <c r="D1002" s="78" t="n">
        <v>46113</v>
      </c>
      <c r="E1002" t="inlineStr">
        <is>
          <t>Q1FY27</t>
        </is>
      </c>
      <c r="F1002" t="inlineStr">
        <is>
          <t>14-May-2026</t>
        </is>
      </c>
      <c r="G1002" t="inlineStr">
        <is>
          <t>Thursday</t>
        </is>
      </c>
      <c r="H1002" t="inlineStr">
        <is>
          <t>Weekly - Thursday</t>
        </is>
      </c>
      <c r="I1002" t="inlineStr">
        <is>
          <t>Weekly - Thursday</t>
        </is>
      </c>
      <c r="J1002" t="inlineStr">
        <is>
          <t>Month+1 Expiry</t>
        </is>
      </c>
      <c r="K1002" s="25" t="n">
        <v>3</v>
      </c>
      <c r="L1002" s="26" t="n">
        <v>0.0049</v>
      </c>
      <c r="M1002" s="26" t="n">
        <v>0.0001</v>
      </c>
    </row>
    <row r="1003" ht="16" customHeight="1">
      <c r="A1003" t="inlineStr">
        <is>
          <t>15-Apr-2026</t>
        </is>
      </c>
      <c r="B1003" t="inlineStr">
        <is>
          <t>Wednesday</t>
        </is>
      </c>
      <c r="C1003" t="inlineStr">
        <is>
          <t>Week3-Apr-2026</t>
        </is>
      </c>
      <c r="D1003" s="78" t="n">
        <v>46113</v>
      </c>
      <c r="E1003" t="inlineStr">
        <is>
          <t>Q1FY27</t>
        </is>
      </c>
      <c r="F1003" t="inlineStr">
        <is>
          <t>27-May-2026</t>
        </is>
      </c>
      <c r="G1003" t="inlineStr">
        <is>
          <t>Wednesday</t>
        </is>
      </c>
      <c r="H1003" t="inlineStr">
        <is>
          <t>Monthly - Wednesday</t>
        </is>
      </c>
      <c r="I1003" t="inlineStr">
        <is>
          <t>Monthly - Wednesday</t>
        </is>
      </c>
      <c r="J1003" t="inlineStr">
        <is>
          <t>Month+1 Expiry</t>
        </is>
      </c>
      <c r="K1003" s="25" t="n">
        <v>298</v>
      </c>
      <c r="L1003" s="26" t="n">
        <v>0.4784</v>
      </c>
      <c r="M1003" s="26" t="n">
        <v>0.0108</v>
      </c>
    </row>
    <row r="1004" ht="16" customHeight="1">
      <c r="A1004" t="inlineStr">
        <is>
          <t>15-Apr-2026</t>
        </is>
      </c>
      <c r="B1004" t="inlineStr">
        <is>
          <t>Wednesday</t>
        </is>
      </c>
      <c r="C1004" t="inlineStr">
        <is>
          <t>Week3-Apr-2026</t>
        </is>
      </c>
      <c r="D1004" s="78" t="n">
        <v>46113</v>
      </c>
      <c r="E1004" t="inlineStr">
        <is>
          <t>Q1FY27</t>
        </is>
      </c>
      <c r="F1004" t="inlineStr">
        <is>
          <t>25-Jun-2026</t>
        </is>
      </c>
      <c r="G1004" t="inlineStr">
        <is>
          <t>Thursday</t>
        </is>
      </c>
      <c r="H1004" t="inlineStr">
        <is>
          <t>Monthly - Thursday</t>
        </is>
      </c>
      <c r="I1004" t="inlineStr">
        <is>
          <t>Monthly - Thursday</t>
        </is>
      </c>
      <c r="J1004" t="inlineStr">
        <is>
          <t>Month+2 Expiry</t>
        </is>
      </c>
      <c r="K1004" s="25" t="n">
        <v>4</v>
      </c>
      <c r="L1004" s="26" t="n">
        <v>0.0072</v>
      </c>
      <c r="M1004" s="26" t="n">
        <v>0</v>
      </c>
    </row>
    <row r="1005" ht="16" customHeight="1">
      <c r="A1005" t="inlineStr">
        <is>
          <t>16-Apr-2026</t>
        </is>
      </c>
      <c r="B1005" t="inlineStr">
        <is>
          <t>Thursday</t>
        </is>
      </c>
      <c r="C1005" t="inlineStr">
        <is>
          <t>Week3-Apr-2026</t>
        </is>
      </c>
      <c r="D1005" s="78" t="n">
        <v>46113</v>
      </c>
      <c r="E1005" t="inlineStr">
        <is>
          <t>Q1FY27</t>
        </is>
      </c>
      <c r="F1005" t="inlineStr">
        <is>
          <t>16-Apr-2026</t>
        </is>
      </c>
      <c r="G1005" t="inlineStr">
        <is>
          <t>Thursday</t>
        </is>
      </c>
      <c r="H1005" t="inlineStr">
        <is>
          <t>Weekly - Thursday</t>
        </is>
      </c>
      <c r="I1005" t="inlineStr">
        <is>
          <t>Weekly - Thursday</t>
        </is>
      </c>
      <c r="J1005" t="inlineStr">
        <is>
          <t>Same Month Expiry</t>
        </is>
      </c>
      <c r="K1005" s="25" t="n">
        <v>542010071</v>
      </c>
      <c r="L1005" s="26" t="n">
        <v>847012.2847</v>
      </c>
      <c r="M1005" s="26" t="n">
        <v>683.2713</v>
      </c>
    </row>
    <row r="1006" ht="16" customHeight="1">
      <c r="A1006" t="inlineStr">
        <is>
          <t>16-Apr-2026</t>
        </is>
      </c>
      <c r="B1006" t="inlineStr">
        <is>
          <t>Thursday</t>
        </is>
      </c>
      <c r="C1006" t="inlineStr">
        <is>
          <t>Week3-Apr-2026</t>
        </is>
      </c>
      <c r="D1006" s="78" t="n">
        <v>46113</v>
      </c>
      <c r="E1006" t="inlineStr">
        <is>
          <t>Q1FY27</t>
        </is>
      </c>
      <c r="F1006" t="inlineStr">
        <is>
          <t>23-Apr-2026</t>
        </is>
      </c>
      <c r="G1006" t="inlineStr">
        <is>
          <t>Thursday</t>
        </is>
      </c>
      <c r="H1006" t="inlineStr">
        <is>
          <t>Weekly - Thursday</t>
        </is>
      </c>
      <c r="I1006" t="inlineStr">
        <is>
          <t>Weekly - Thursday</t>
        </is>
      </c>
      <c r="J1006" t="inlineStr">
        <is>
          <t>Same Month Expiry</t>
        </is>
      </c>
      <c r="K1006" s="25" t="n">
        <v>1666236</v>
      </c>
      <c r="L1006" s="26" t="n">
        <v>2613.3204</v>
      </c>
      <c r="M1006" s="26" t="n">
        <v>13.3284</v>
      </c>
    </row>
    <row r="1007" ht="16" customHeight="1">
      <c r="A1007" t="inlineStr">
        <is>
          <t>16-Apr-2026</t>
        </is>
      </c>
      <c r="B1007" t="inlineStr">
        <is>
          <t>Thursday</t>
        </is>
      </c>
      <c r="C1007" t="inlineStr">
        <is>
          <t>Week3-Apr-2026</t>
        </is>
      </c>
      <c r="D1007" s="78" t="n">
        <v>46113</v>
      </c>
      <c r="E1007" t="inlineStr">
        <is>
          <t>Q1FY27</t>
        </is>
      </c>
      <c r="F1007" t="inlineStr">
        <is>
          <t>30-Apr-2026</t>
        </is>
      </c>
      <c r="G1007" t="inlineStr">
        <is>
          <t>Thursday</t>
        </is>
      </c>
      <c r="H1007" t="inlineStr">
        <is>
          <t>Monthly - Thursday</t>
        </is>
      </c>
      <c r="I1007" t="inlineStr">
        <is>
          <t>Monthly - Thursday</t>
        </is>
      </c>
      <c r="J1007" t="inlineStr">
        <is>
          <t>Same Month Expiry</t>
        </is>
      </c>
      <c r="K1007" s="25" t="n">
        <v>44407</v>
      </c>
      <c r="L1007" s="26" t="n">
        <v>70.0201</v>
      </c>
      <c r="M1007" s="26" t="n">
        <v>0.6195000000000001</v>
      </c>
    </row>
    <row r="1008" ht="16" customHeight="1">
      <c r="A1008" t="inlineStr">
        <is>
          <t>16-Apr-2026</t>
        </is>
      </c>
      <c r="B1008" t="inlineStr">
        <is>
          <t>Thursday</t>
        </is>
      </c>
      <c r="C1008" t="inlineStr">
        <is>
          <t>Week3-Apr-2026</t>
        </is>
      </c>
      <c r="D1008" s="78" t="n">
        <v>46113</v>
      </c>
      <c r="E1008" t="inlineStr">
        <is>
          <t>Q1FY27</t>
        </is>
      </c>
      <c r="F1008" t="inlineStr">
        <is>
          <t>07-May-2026</t>
        </is>
      </c>
      <c r="G1008" t="inlineStr">
        <is>
          <t>Thursday</t>
        </is>
      </c>
      <c r="H1008" t="inlineStr">
        <is>
          <t>Weekly - Thursday</t>
        </is>
      </c>
      <c r="I1008" t="inlineStr">
        <is>
          <t>Weekly - Thursday</t>
        </is>
      </c>
      <c r="J1008" t="inlineStr">
        <is>
          <t>Month+1 Expiry</t>
        </is>
      </c>
      <c r="K1008" s="25" t="n">
        <v>1811</v>
      </c>
      <c r="L1008" s="26" t="n">
        <v>2.8822</v>
      </c>
      <c r="M1008" s="26" t="n">
        <v>0.0465</v>
      </c>
    </row>
    <row r="1009" ht="16" customHeight="1">
      <c r="A1009" t="inlineStr">
        <is>
          <t>16-Apr-2026</t>
        </is>
      </c>
      <c r="B1009" t="inlineStr">
        <is>
          <t>Thursday</t>
        </is>
      </c>
      <c r="C1009" t="inlineStr">
        <is>
          <t>Week3-Apr-2026</t>
        </is>
      </c>
      <c r="D1009" s="78" t="n">
        <v>46113</v>
      </c>
      <c r="E1009" t="inlineStr">
        <is>
          <t>Q1FY27</t>
        </is>
      </c>
      <c r="F1009" t="inlineStr">
        <is>
          <t>14-May-2026</t>
        </is>
      </c>
      <c r="G1009" t="inlineStr">
        <is>
          <t>Thursday</t>
        </is>
      </c>
      <c r="H1009" t="inlineStr">
        <is>
          <t>Weekly - Thursday</t>
        </is>
      </c>
      <c r="I1009" t="inlineStr">
        <is>
          <t>Weekly - Thursday</t>
        </is>
      </c>
      <c r="J1009" t="inlineStr">
        <is>
          <t>Month+1 Expiry</t>
        </is>
      </c>
      <c r="K1009" s="25" t="n">
        <v>2</v>
      </c>
      <c r="L1009" s="26" t="n">
        <v>0.0032</v>
      </c>
      <c r="M1009" s="26" t="n">
        <v>0.0001</v>
      </c>
    </row>
    <row r="1010" ht="16" customHeight="1">
      <c r="A1010" t="inlineStr">
        <is>
          <t>16-Apr-2026</t>
        </is>
      </c>
      <c r="B1010" t="inlineStr">
        <is>
          <t>Thursday</t>
        </is>
      </c>
      <c r="C1010" t="inlineStr">
        <is>
          <t>Week3-Apr-2026</t>
        </is>
      </c>
      <c r="D1010" s="78" t="n">
        <v>46113</v>
      </c>
      <c r="E1010" t="inlineStr">
        <is>
          <t>Q1FY27</t>
        </is>
      </c>
      <c r="F1010" t="inlineStr">
        <is>
          <t>27-May-2026</t>
        </is>
      </c>
      <c r="G1010" t="inlineStr">
        <is>
          <t>Wednesday</t>
        </is>
      </c>
      <c r="H1010" t="inlineStr">
        <is>
          <t>Monthly - Wednesday</t>
        </is>
      </c>
      <c r="I1010" t="inlineStr">
        <is>
          <t>Monthly - Wednesday</t>
        </is>
      </c>
      <c r="J1010" t="inlineStr">
        <is>
          <t>Month+1 Expiry</t>
        </is>
      </c>
      <c r="K1010" s="25" t="n">
        <v>1156</v>
      </c>
      <c r="L1010" s="26" t="n">
        <v>1.8513</v>
      </c>
      <c r="M1010" s="26" t="n">
        <v>0.0367</v>
      </c>
    </row>
    <row r="1011" ht="16" customHeight="1">
      <c r="A1011" t="inlineStr">
        <is>
          <t>16-Apr-2026</t>
        </is>
      </c>
      <c r="B1011" t="inlineStr">
        <is>
          <t>Thursday</t>
        </is>
      </c>
      <c r="C1011" t="inlineStr">
        <is>
          <t>Week3-Apr-2026</t>
        </is>
      </c>
      <c r="D1011" s="78" t="n">
        <v>46113</v>
      </c>
      <c r="E1011" t="inlineStr">
        <is>
          <t>Q1FY27</t>
        </is>
      </c>
      <c r="F1011" t="inlineStr">
        <is>
          <t>25-Jun-2026</t>
        </is>
      </c>
      <c r="G1011" t="inlineStr">
        <is>
          <t>Thursday</t>
        </is>
      </c>
      <c r="H1011" t="inlineStr">
        <is>
          <t>Monthly - Thursday</t>
        </is>
      </c>
      <c r="I1011" t="inlineStr">
        <is>
          <t>Monthly - Thursday</t>
        </is>
      </c>
      <c r="J1011" t="inlineStr">
        <is>
          <t>Month+2 Expiry</t>
        </is>
      </c>
      <c r="K1011" s="25" t="n">
        <v>7</v>
      </c>
      <c r="L1011" s="26" t="n">
        <v>0.0126</v>
      </c>
      <c r="M1011" s="26" t="n">
        <v>0</v>
      </c>
    </row>
    <row r="1012" ht="16" customHeight="1">
      <c r="A1012" t="inlineStr">
        <is>
          <t>17-Apr-2026</t>
        </is>
      </c>
      <c r="B1012" t="inlineStr">
        <is>
          <t>Friday</t>
        </is>
      </c>
      <c r="C1012" t="inlineStr">
        <is>
          <t>Week3-Apr-2026</t>
        </is>
      </c>
      <c r="D1012" s="78" t="n">
        <v>46113</v>
      </c>
      <c r="E1012" t="inlineStr">
        <is>
          <t>Q1FY27</t>
        </is>
      </c>
      <c r="F1012" t="inlineStr">
        <is>
          <t>23-Apr-2026</t>
        </is>
      </c>
      <c r="G1012" t="inlineStr">
        <is>
          <t>Thursday</t>
        </is>
      </c>
      <c r="H1012" t="inlineStr">
        <is>
          <t>Weekly - Thursday</t>
        </is>
      </c>
      <c r="I1012" t="inlineStr">
        <is>
          <t>Weekly - Thursday</t>
        </is>
      </c>
      <c r="J1012" t="inlineStr">
        <is>
          <t>Same Month Expiry</t>
        </is>
      </c>
      <c r="K1012" s="25" t="n">
        <v>12276342</v>
      </c>
      <c r="L1012" s="26" t="n">
        <v>19314.9472</v>
      </c>
      <c r="M1012" s="26" t="n">
        <v>89.8901</v>
      </c>
    </row>
    <row r="1013" ht="16" customHeight="1">
      <c r="A1013" t="inlineStr">
        <is>
          <t>17-Apr-2026</t>
        </is>
      </c>
      <c r="B1013" t="inlineStr">
        <is>
          <t>Friday</t>
        </is>
      </c>
      <c r="C1013" t="inlineStr">
        <is>
          <t>Week3-Apr-2026</t>
        </is>
      </c>
      <c r="D1013" s="78" t="n">
        <v>46113</v>
      </c>
      <c r="E1013" t="inlineStr">
        <is>
          <t>Q1FY27</t>
        </is>
      </c>
      <c r="F1013" t="inlineStr">
        <is>
          <t>30-Apr-2026</t>
        </is>
      </c>
      <c r="G1013" t="inlineStr">
        <is>
          <t>Thursday</t>
        </is>
      </c>
      <c r="H1013" t="inlineStr">
        <is>
          <t>Monthly - Thursday</t>
        </is>
      </c>
      <c r="I1013" t="inlineStr">
        <is>
          <t>Monthly - Thursday</t>
        </is>
      </c>
      <c r="J1013" t="inlineStr">
        <is>
          <t>Same Month Expiry</t>
        </is>
      </c>
      <c r="K1013" s="25" t="n">
        <v>91788</v>
      </c>
      <c r="L1013" s="26" t="n">
        <v>144.6631</v>
      </c>
      <c r="M1013" s="26" t="n">
        <v>0.9329</v>
      </c>
    </row>
    <row r="1014" ht="16" customHeight="1">
      <c r="A1014" t="inlineStr">
        <is>
          <t>17-Apr-2026</t>
        </is>
      </c>
      <c r="B1014" t="inlineStr">
        <is>
          <t>Friday</t>
        </is>
      </c>
      <c r="C1014" t="inlineStr">
        <is>
          <t>Week3-Apr-2026</t>
        </is>
      </c>
      <c r="D1014" s="78" t="n">
        <v>46113</v>
      </c>
      <c r="E1014" t="inlineStr">
        <is>
          <t>Q1FY27</t>
        </is>
      </c>
      <c r="F1014" t="inlineStr">
        <is>
          <t>07-May-2026</t>
        </is>
      </c>
      <c r="G1014" t="inlineStr">
        <is>
          <t>Thursday</t>
        </is>
      </c>
      <c r="H1014" t="inlineStr">
        <is>
          <t>Weekly - Thursday</t>
        </is>
      </c>
      <c r="I1014" t="inlineStr">
        <is>
          <t>Weekly - Thursday</t>
        </is>
      </c>
      <c r="J1014" t="inlineStr">
        <is>
          <t>Month+1 Expiry</t>
        </is>
      </c>
      <c r="K1014" s="25" t="n">
        <v>1388</v>
      </c>
      <c r="L1014" s="26" t="n">
        <v>2.2117</v>
      </c>
      <c r="M1014" s="26" t="n">
        <v>0.029</v>
      </c>
    </row>
    <row r="1015" ht="16" customHeight="1">
      <c r="A1015" t="inlineStr">
        <is>
          <t>17-Apr-2026</t>
        </is>
      </c>
      <c r="B1015" t="inlineStr">
        <is>
          <t>Friday</t>
        </is>
      </c>
      <c r="C1015" t="inlineStr">
        <is>
          <t>Week3-Apr-2026</t>
        </is>
      </c>
      <c r="D1015" s="78" t="n">
        <v>46113</v>
      </c>
      <c r="E1015" t="inlineStr">
        <is>
          <t>Q1FY27</t>
        </is>
      </c>
      <c r="F1015" t="inlineStr">
        <is>
          <t>14-May-2026</t>
        </is>
      </c>
      <c r="G1015" t="inlineStr">
        <is>
          <t>Thursday</t>
        </is>
      </c>
      <c r="H1015" t="inlineStr">
        <is>
          <t>Weekly - Thursday</t>
        </is>
      </c>
      <c r="I1015" t="inlineStr">
        <is>
          <t>Weekly - Thursday</t>
        </is>
      </c>
      <c r="J1015" t="inlineStr">
        <is>
          <t>Month+1 Expiry</t>
        </is>
      </c>
      <c r="K1015" s="25" t="n">
        <v>0</v>
      </c>
      <c r="L1015" s="26" t="n">
        <v>0</v>
      </c>
      <c r="M1015" s="26" t="n">
        <v>0</v>
      </c>
    </row>
    <row r="1016" ht="16" customHeight="1">
      <c r="A1016" t="inlineStr">
        <is>
          <t>17-Apr-2026</t>
        </is>
      </c>
      <c r="B1016" t="inlineStr">
        <is>
          <t>Friday</t>
        </is>
      </c>
      <c r="C1016" t="inlineStr">
        <is>
          <t>Week3-Apr-2026</t>
        </is>
      </c>
      <c r="D1016" s="78" t="n">
        <v>46113</v>
      </c>
      <c r="E1016" t="inlineStr">
        <is>
          <t>Q1FY27</t>
        </is>
      </c>
      <c r="F1016" t="inlineStr">
        <is>
          <t>27-May-2026</t>
        </is>
      </c>
      <c r="G1016" t="inlineStr">
        <is>
          <t>Wednesday</t>
        </is>
      </c>
      <c r="H1016" t="inlineStr">
        <is>
          <t>Monthly - Wednesday</t>
        </is>
      </c>
      <c r="I1016" t="inlineStr">
        <is>
          <t>Monthly - Wednesday</t>
        </is>
      </c>
      <c r="J1016" t="inlineStr">
        <is>
          <t>Month+1 Expiry</t>
        </is>
      </c>
      <c r="K1016" s="25" t="n">
        <v>862</v>
      </c>
      <c r="L1016" s="26" t="n">
        <v>1.3942</v>
      </c>
      <c r="M1016" s="26" t="n">
        <v>0.0248</v>
      </c>
    </row>
    <row r="1017" ht="16" customHeight="1">
      <c r="A1017" t="inlineStr">
        <is>
          <t>17-Apr-2026</t>
        </is>
      </c>
      <c r="B1017" t="inlineStr">
        <is>
          <t>Friday</t>
        </is>
      </c>
      <c r="C1017" t="inlineStr">
        <is>
          <t>Week3-Apr-2026</t>
        </is>
      </c>
      <c r="D1017" s="78" t="n">
        <v>46113</v>
      </c>
      <c r="E1017" t="inlineStr">
        <is>
          <t>Q1FY27</t>
        </is>
      </c>
      <c r="F1017" t="inlineStr">
        <is>
          <t>25-Jun-2026</t>
        </is>
      </c>
      <c r="G1017" t="inlineStr">
        <is>
          <t>Thursday</t>
        </is>
      </c>
      <c r="H1017" t="inlineStr">
        <is>
          <t>Monthly - Thursday</t>
        </is>
      </c>
      <c r="I1017" t="inlineStr">
        <is>
          <t>Monthly - Thursday</t>
        </is>
      </c>
      <c r="J1017" t="inlineStr">
        <is>
          <t>Month+2 Expiry</t>
        </is>
      </c>
      <c r="K1017" s="25" t="n">
        <v>0</v>
      </c>
      <c r="L1017" s="26" t="n">
        <v>0</v>
      </c>
      <c r="M1017" s="26" t="n">
        <v>0</v>
      </c>
    </row>
    <row r="1018" ht="16" customHeight="1">
      <c r="A1018" t="inlineStr">
        <is>
          <t>20-Apr-2026</t>
        </is>
      </c>
      <c r="B1018" t="inlineStr">
        <is>
          <t>Monday</t>
        </is>
      </c>
      <c r="C1018" t="inlineStr">
        <is>
          <t>Week3-Apr-2026</t>
        </is>
      </c>
      <c r="D1018" s="78" t="n">
        <v>46113</v>
      </c>
      <c r="E1018" t="inlineStr">
        <is>
          <t>Q1FY27</t>
        </is>
      </c>
      <c r="F1018" t="inlineStr">
        <is>
          <t>23-Apr-2026</t>
        </is>
      </c>
      <c r="G1018" t="inlineStr">
        <is>
          <t>Thursday</t>
        </is>
      </c>
      <c r="H1018" t="inlineStr">
        <is>
          <t>Weekly - Thursday</t>
        </is>
      </c>
      <c r="I1018" t="inlineStr">
        <is>
          <t>Weekly - Thursday</t>
        </is>
      </c>
      <c r="J1018" t="inlineStr">
        <is>
          <t>Same Month Expiry</t>
        </is>
      </c>
      <c r="K1018" s="25" t="n">
        <v>17694914</v>
      </c>
      <c r="L1018" s="26" t="n">
        <v>27882.9739</v>
      </c>
      <c r="M1018" s="26" t="n">
        <v>117.1247</v>
      </c>
    </row>
    <row r="1019" ht="16" customHeight="1">
      <c r="A1019" t="inlineStr">
        <is>
          <t>20-Apr-2026</t>
        </is>
      </c>
      <c r="B1019" t="inlineStr">
        <is>
          <t>Monday</t>
        </is>
      </c>
      <c r="C1019" t="inlineStr">
        <is>
          <t>Week3-Apr-2026</t>
        </is>
      </c>
      <c r="D1019" s="78" t="n">
        <v>46113</v>
      </c>
      <c r="E1019" t="inlineStr">
        <is>
          <t>Q1FY27</t>
        </is>
      </c>
      <c r="F1019" t="inlineStr">
        <is>
          <t>30-Apr-2026</t>
        </is>
      </c>
      <c r="G1019" t="inlineStr">
        <is>
          <t>Thursday</t>
        </is>
      </c>
      <c r="H1019" t="inlineStr">
        <is>
          <t>Monthly - Thursday</t>
        </is>
      </c>
      <c r="I1019" t="inlineStr">
        <is>
          <t>Monthly - Thursday</t>
        </is>
      </c>
      <c r="J1019" t="inlineStr">
        <is>
          <t>Same Month Expiry</t>
        </is>
      </c>
      <c r="K1019" s="25" t="n">
        <v>193645</v>
      </c>
      <c r="L1019" s="26" t="n">
        <v>305.6341</v>
      </c>
      <c r="M1019" s="26" t="n">
        <v>1.6841</v>
      </c>
    </row>
    <row r="1020" ht="16" customHeight="1">
      <c r="A1020" t="inlineStr">
        <is>
          <t>20-Apr-2026</t>
        </is>
      </c>
      <c r="B1020" t="inlineStr">
        <is>
          <t>Monday</t>
        </is>
      </c>
      <c r="C1020" t="inlineStr">
        <is>
          <t>Week3-Apr-2026</t>
        </is>
      </c>
      <c r="D1020" s="78" t="n">
        <v>46113</v>
      </c>
      <c r="E1020" t="inlineStr">
        <is>
          <t>Q1FY27</t>
        </is>
      </c>
      <c r="F1020" t="inlineStr">
        <is>
          <t>07-May-2026</t>
        </is>
      </c>
      <c r="G1020" t="inlineStr">
        <is>
          <t>Thursday</t>
        </is>
      </c>
      <c r="H1020" t="inlineStr">
        <is>
          <t>Weekly - Thursday</t>
        </is>
      </c>
      <c r="I1020" t="inlineStr">
        <is>
          <t>Weekly - Thursday</t>
        </is>
      </c>
      <c r="J1020" t="inlineStr">
        <is>
          <t>Month+1 Expiry</t>
        </is>
      </c>
      <c r="K1020" s="25" t="n">
        <v>1596</v>
      </c>
      <c r="L1020" s="26" t="n">
        <v>2.5532</v>
      </c>
      <c r="M1020" s="26" t="n">
        <v>0.0308</v>
      </c>
    </row>
    <row r="1021" ht="16" customHeight="1">
      <c r="A1021" t="inlineStr">
        <is>
          <t>20-Apr-2026</t>
        </is>
      </c>
      <c r="B1021" t="inlineStr">
        <is>
          <t>Monday</t>
        </is>
      </c>
      <c r="C1021" t="inlineStr">
        <is>
          <t>Week3-Apr-2026</t>
        </is>
      </c>
      <c r="D1021" s="78" t="n">
        <v>46113</v>
      </c>
      <c r="E1021" t="inlineStr">
        <is>
          <t>Q1FY27</t>
        </is>
      </c>
      <c r="F1021" t="inlineStr">
        <is>
          <t>14-May-2026</t>
        </is>
      </c>
      <c r="G1021" t="inlineStr">
        <is>
          <t>Thursday</t>
        </is>
      </c>
      <c r="H1021" t="inlineStr">
        <is>
          <t>Weekly - Thursday</t>
        </is>
      </c>
      <c r="I1021" t="inlineStr">
        <is>
          <t>Weekly - Thursday</t>
        </is>
      </c>
      <c r="J1021" t="inlineStr">
        <is>
          <t>Month+1 Expiry</t>
        </is>
      </c>
      <c r="K1021" s="25" t="n">
        <v>13</v>
      </c>
      <c r="L1021" s="26" t="n">
        <v>0.0211</v>
      </c>
      <c r="M1021" s="26" t="n">
        <v>0.0002</v>
      </c>
    </row>
    <row r="1022" ht="16" customHeight="1">
      <c r="A1022" t="inlineStr">
        <is>
          <t>20-Apr-2026</t>
        </is>
      </c>
      <c r="B1022" t="inlineStr">
        <is>
          <t>Monday</t>
        </is>
      </c>
      <c r="C1022" t="inlineStr">
        <is>
          <t>Week3-Apr-2026</t>
        </is>
      </c>
      <c r="D1022" s="78" t="n">
        <v>46113</v>
      </c>
      <c r="E1022" t="inlineStr">
        <is>
          <t>Q1FY27</t>
        </is>
      </c>
      <c r="F1022" t="inlineStr">
        <is>
          <t>27-May-2026</t>
        </is>
      </c>
      <c r="G1022" t="inlineStr">
        <is>
          <t>Wednesday</t>
        </is>
      </c>
      <c r="H1022" t="inlineStr">
        <is>
          <t>Monthly - Wednesday</t>
        </is>
      </c>
      <c r="I1022" t="inlineStr">
        <is>
          <t>Monthly - Wednesday</t>
        </is>
      </c>
      <c r="J1022" t="inlineStr">
        <is>
          <t>Month+1 Expiry</t>
        </is>
      </c>
      <c r="K1022" s="25" t="n">
        <v>1351</v>
      </c>
      <c r="L1022" s="26" t="n">
        <v>2.2141</v>
      </c>
      <c r="M1022" s="26" t="n">
        <v>0.0297</v>
      </c>
    </row>
    <row r="1023" ht="16" customHeight="1">
      <c r="A1023" t="inlineStr">
        <is>
          <t>20-Apr-2026</t>
        </is>
      </c>
      <c r="B1023" t="inlineStr">
        <is>
          <t>Monday</t>
        </is>
      </c>
      <c r="C1023" t="inlineStr">
        <is>
          <t>Week3-Apr-2026</t>
        </is>
      </c>
      <c r="D1023" s="78" t="n">
        <v>46113</v>
      </c>
      <c r="E1023" t="inlineStr">
        <is>
          <t>Q1FY27</t>
        </is>
      </c>
      <c r="F1023" t="inlineStr">
        <is>
          <t>25-Jun-2026</t>
        </is>
      </c>
      <c r="G1023" t="inlineStr">
        <is>
          <t>Thursday</t>
        </is>
      </c>
      <c r="H1023" t="inlineStr">
        <is>
          <t>Monthly - Thursday</t>
        </is>
      </c>
      <c r="I1023" t="inlineStr">
        <is>
          <t>Monthly - Thursday</t>
        </is>
      </c>
      <c r="J1023" t="inlineStr">
        <is>
          <t>Month+2 Expiry</t>
        </is>
      </c>
      <c r="K1023" s="25" t="n">
        <v>2</v>
      </c>
      <c r="L1023" s="26" t="n">
        <v>0.0036</v>
      </c>
      <c r="M1023" s="26" t="n">
        <v>0</v>
      </c>
    </row>
    <row r="1024" ht="16" customHeight="1">
      <c r="A1024" t="inlineStr">
        <is>
          <t>21-Apr-2026</t>
        </is>
      </c>
      <c r="B1024" t="inlineStr">
        <is>
          <t>Tuesday</t>
        </is>
      </c>
      <c r="C1024" t="inlineStr">
        <is>
          <t>Week3-Apr-2026</t>
        </is>
      </c>
      <c r="D1024" s="78" t="n">
        <v>46113</v>
      </c>
      <c r="E1024" t="inlineStr">
        <is>
          <t>Q1FY27</t>
        </is>
      </c>
      <c r="F1024" t="inlineStr">
        <is>
          <t>23-Apr-2026</t>
        </is>
      </c>
      <c r="G1024" t="inlineStr">
        <is>
          <t>Thursday</t>
        </is>
      </c>
      <c r="H1024" t="inlineStr">
        <is>
          <t>Weekly - Thursday</t>
        </is>
      </c>
      <c r="I1024" t="inlineStr">
        <is>
          <t>Weekly - Thursday</t>
        </is>
      </c>
      <c r="J1024" t="inlineStr">
        <is>
          <t>Same Month Expiry</t>
        </is>
      </c>
      <c r="K1024" s="25" t="n">
        <v>17992610</v>
      </c>
      <c r="L1024" s="26" t="n">
        <v>28352.6553</v>
      </c>
      <c r="M1024" s="26" t="n">
        <v>88.13500000000001</v>
      </c>
    </row>
    <row r="1025" ht="16" customHeight="1">
      <c r="A1025" t="inlineStr">
        <is>
          <t>21-Apr-2026</t>
        </is>
      </c>
      <c r="B1025" t="inlineStr">
        <is>
          <t>Tuesday</t>
        </is>
      </c>
      <c r="C1025" t="inlineStr">
        <is>
          <t>Week3-Apr-2026</t>
        </is>
      </c>
      <c r="D1025" s="78" t="n">
        <v>46113</v>
      </c>
      <c r="E1025" t="inlineStr">
        <is>
          <t>Q1FY27</t>
        </is>
      </c>
      <c r="F1025" t="inlineStr">
        <is>
          <t>30-Apr-2026</t>
        </is>
      </c>
      <c r="G1025" t="inlineStr">
        <is>
          <t>Thursday</t>
        </is>
      </c>
      <c r="H1025" t="inlineStr">
        <is>
          <t>Monthly - Thursday</t>
        </is>
      </c>
      <c r="I1025" t="inlineStr">
        <is>
          <t>Monthly - Thursday</t>
        </is>
      </c>
      <c r="J1025" t="inlineStr">
        <is>
          <t>Same Month Expiry</t>
        </is>
      </c>
      <c r="K1025" s="25" t="n">
        <v>210243</v>
      </c>
      <c r="L1025" s="26" t="n">
        <v>332.1336</v>
      </c>
      <c r="M1025" s="26" t="n">
        <v>1.6421</v>
      </c>
    </row>
    <row r="1026" ht="16" customHeight="1">
      <c r="A1026" t="inlineStr">
        <is>
          <t>21-Apr-2026</t>
        </is>
      </c>
      <c r="B1026" t="inlineStr">
        <is>
          <t>Tuesday</t>
        </is>
      </c>
      <c r="C1026" t="inlineStr">
        <is>
          <t>Week3-Apr-2026</t>
        </is>
      </c>
      <c r="D1026" s="78" t="n">
        <v>46113</v>
      </c>
      <c r="E1026" t="inlineStr">
        <is>
          <t>Q1FY27</t>
        </is>
      </c>
      <c r="F1026" t="inlineStr">
        <is>
          <t>07-May-2026</t>
        </is>
      </c>
      <c r="G1026" t="inlineStr">
        <is>
          <t>Thursday</t>
        </is>
      </c>
      <c r="H1026" t="inlineStr">
        <is>
          <t>Weekly - Thursday</t>
        </is>
      </c>
      <c r="I1026" t="inlineStr">
        <is>
          <t>Weekly - Thursday</t>
        </is>
      </c>
      <c r="J1026" t="inlineStr">
        <is>
          <t>Month+1 Expiry</t>
        </is>
      </c>
      <c r="K1026" s="25" t="n">
        <v>2707</v>
      </c>
      <c r="L1026" s="26" t="n">
        <v>4.3227</v>
      </c>
      <c r="M1026" s="26" t="n">
        <v>0.0371</v>
      </c>
    </row>
    <row r="1027" ht="16" customHeight="1">
      <c r="A1027" t="inlineStr">
        <is>
          <t>21-Apr-2026</t>
        </is>
      </c>
      <c r="B1027" t="inlineStr">
        <is>
          <t>Tuesday</t>
        </is>
      </c>
      <c r="C1027" t="inlineStr">
        <is>
          <t>Week3-Apr-2026</t>
        </is>
      </c>
      <c r="D1027" s="78" t="n">
        <v>46113</v>
      </c>
      <c r="E1027" t="inlineStr">
        <is>
          <t>Q1FY27</t>
        </is>
      </c>
      <c r="F1027" t="inlineStr">
        <is>
          <t>14-May-2026</t>
        </is>
      </c>
      <c r="G1027" t="inlineStr">
        <is>
          <t>Thursday</t>
        </is>
      </c>
      <c r="H1027" t="inlineStr">
        <is>
          <t>Weekly - Thursday</t>
        </is>
      </c>
      <c r="I1027" t="inlineStr">
        <is>
          <t>Weekly - Thursday</t>
        </is>
      </c>
      <c r="J1027" t="inlineStr">
        <is>
          <t>Month+1 Expiry</t>
        </is>
      </c>
      <c r="K1027" s="25" t="n">
        <v>18</v>
      </c>
      <c r="L1027" s="26" t="n">
        <v>0.0294</v>
      </c>
      <c r="M1027" s="26" t="n">
        <v>0.0003</v>
      </c>
    </row>
    <row r="1028" ht="16" customHeight="1">
      <c r="A1028" t="inlineStr">
        <is>
          <t>21-Apr-2026</t>
        </is>
      </c>
      <c r="B1028" t="inlineStr">
        <is>
          <t>Tuesday</t>
        </is>
      </c>
      <c r="C1028" t="inlineStr">
        <is>
          <t>Week3-Apr-2026</t>
        </is>
      </c>
      <c r="D1028" s="78" t="n">
        <v>46113</v>
      </c>
      <c r="E1028" t="inlineStr">
        <is>
          <t>Q1FY27</t>
        </is>
      </c>
      <c r="F1028" t="inlineStr">
        <is>
          <t>27-May-2026</t>
        </is>
      </c>
      <c r="G1028" t="inlineStr">
        <is>
          <t>Wednesday</t>
        </is>
      </c>
      <c r="H1028" t="inlineStr">
        <is>
          <t>Monthly - Wednesday</t>
        </is>
      </c>
      <c r="I1028" t="inlineStr">
        <is>
          <t>Monthly - Wednesday</t>
        </is>
      </c>
      <c r="J1028" t="inlineStr">
        <is>
          <t>Month+1 Expiry</t>
        </is>
      </c>
      <c r="K1028" s="25" t="n">
        <v>2427</v>
      </c>
      <c r="L1028" s="26" t="n">
        <v>3.9286</v>
      </c>
      <c r="M1028" s="26" t="n">
        <v>0.0523</v>
      </c>
    </row>
    <row r="1029" ht="16" customHeight="1">
      <c r="A1029" t="inlineStr">
        <is>
          <t>21-Apr-2026</t>
        </is>
      </c>
      <c r="B1029" t="inlineStr">
        <is>
          <t>Tuesday</t>
        </is>
      </c>
      <c r="C1029" t="inlineStr">
        <is>
          <t>Week3-Apr-2026</t>
        </is>
      </c>
      <c r="D1029" s="78" t="n">
        <v>46113</v>
      </c>
      <c r="E1029" t="inlineStr">
        <is>
          <t>Q1FY27</t>
        </is>
      </c>
      <c r="F1029" t="inlineStr">
        <is>
          <t>25-Jun-2026</t>
        </is>
      </c>
      <c r="G1029" t="inlineStr">
        <is>
          <t>Thursday</t>
        </is>
      </c>
      <c r="H1029" t="inlineStr">
        <is>
          <t>Monthly - Thursday</t>
        </is>
      </c>
      <c r="I1029" t="inlineStr">
        <is>
          <t>Monthly - Thursday</t>
        </is>
      </c>
      <c r="J1029" t="inlineStr">
        <is>
          <t>Month+2 Expiry</t>
        </is>
      </c>
      <c r="K1029" s="25" t="n">
        <v>3</v>
      </c>
      <c r="L1029" s="26" t="n">
        <v>0.0054</v>
      </c>
      <c r="M1029" s="26" t="n">
        <v>0</v>
      </c>
    </row>
    <row r="1030" ht="16" customHeight="1">
      <c r="A1030" t="inlineStr">
        <is>
          <t>22-Apr-2026</t>
        </is>
      </c>
      <c r="B1030" t="inlineStr">
        <is>
          <t>Wednesday</t>
        </is>
      </c>
      <c r="C1030" t="inlineStr">
        <is>
          <t>Week4-Apr-2026</t>
        </is>
      </c>
      <c r="D1030" s="78" t="n">
        <v>46113</v>
      </c>
      <c r="E1030" t="inlineStr">
        <is>
          <t>Q1FY27</t>
        </is>
      </c>
      <c r="F1030" t="inlineStr">
        <is>
          <t>23-Apr-2026</t>
        </is>
      </c>
      <c r="G1030" t="inlineStr">
        <is>
          <t>Thursday</t>
        </is>
      </c>
      <c r="H1030" t="inlineStr">
        <is>
          <t>Weekly - Thursday</t>
        </is>
      </c>
      <c r="I1030" t="inlineStr">
        <is>
          <t>Weekly - Thursday</t>
        </is>
      </c>
      <c r="J1030" t="inlineStr">
        <is>
          <t>Same Month Expiry</t>
        </is>
      </c>
      <c r="K1030" s="25" t="n">
        <v>90849550</v>
      </c>
      <c r="L1030" s="26" t="n">
        <v>143252.2179</v>
      </c>
      <c r="M1030" s="26" t="n">
        <v>328.4705</v>
      </c>
    </row>
    <row r="1031" ht="16" customHeight="1">
      <c r="A1031" t="inlineStr">
        <is>
          <t>22-Apr-2026</t>
        </is>
      </c>
      <c r="B1031" t="inlineStr">
        <is>
          <t>Wednesday</t>
        </is>
      </c>
      <c r="C1031" t="inlineStr">
        <is>
          <t>Week4-Apr-2026</t>
        </is>
      </c>
      <c r="D1031" s="78" t="n">
        <v>46113</v>
      </c>
      <c r="E1031" t="inlineStr">
        <is>
          <t>Q1FY27</t>
        </is>
      </c>
      <c r="F1031" t="inlineStr">
        <is>
          <t>30-Apr-2026</t>
        </is>
      </c>
      <c r="G1031" t="inlineStr">
        <is>
          <t>Thursday</t>
        </is>
      </c>
      <c r="H1031" t="inlineStr">
        <is>
          <t>Monthly - Thursday</t>
        </is>
      </c>
      <c r="I1031" t="inlineStr">
        <is>
          <t>Monthly - Thursday</t>
        </is>
      </c>
      <c r="J1031" t="inlineStr">
        <is>
          <t>Same Month Expiry</t>
        </is>
      </c>
      <c r="K1031" s="25" t="n">
        <v>484520</v>
      </c>
      <c r="L1031" s="26" t="n">
        <v>763.1484</v>
      </c>
      <c r="M1031" s="26" t="n">
        <v>3.9981</v>
      </c>
    </row>
    <row r="1032" ht="16" customHeight="1">
      <c r="A1032" t="inlineStr">
        <is>
          <t>22-Apr-2026</t>
        </is>
      </c>
      <c r="B1032" t="inlineStr">
        <is>
          <t>Wednesday</t>
        </is>
      </c>
      <c r="C1032" t="inlineStr">
        <is>
          <t>Week4-Apr-2026</t>
        </is>
      </c>
      <c r="D1032" s="78" t="n">
        <v>46113</v>
      </c>
      <c r="E1032" t="inlineStr">
        <is>
          <t>Q1FY27</t>
        </is>
      </c>
      <c r="F1032" t="inlineStr">
        <is>
          <t>07-May-2026</t>
        </is>
      </c>
      <c r="G1032" t="inlineStr">
        <is>
          <t>Thursday</t>
        </is>
      </c>
      <c r="H1032" t="inlineStr">
        <is>
          <t>Weekly - Thursday</t>
        </is>
      </c>
      <c r="I1032" t="inlineStr">
        <is>
          <t>Weekly - Thursday</t>
        </is>
      </c>
      <c r="J1032" t="inlineStr">
        <is>
          <t>Month+1 Expiry</t>
        </is>
      </c>
      <c r="K1032" s="25" t="n">
        <v>5539</v>
      </c>
      <c r="L1032" s="26" t="n">
        <v>8.860900000000001</v>
      </c>
      <c r="M1032" s="26" t="n">
        <v>0.0813</v>
      </c>
    </row>
    <row r="1033" ht="16" customHeight="1">
      <c r="A1033" t="inlineStr">
        <is>
          <t>22-Apr-2026</t>
        </is>
      </c>
      <c r="B1033" t="inlineStr">
        <is>
          <t>Wednesday</t>
        </is>
      </c>
      <c r="C1033" t="inlineStr">
        <is>
          <t>Week4-Apr-2026</t>
        </is>
      </c>
      <c r="D1033" s="78" t="n">
        <v>46113</v>
      </c>
      <c r="E1033" t="inlineStr">
        <is>
          <t>Q1FY27</t>
        </is>
      </c>
      <c r="F1033" t="inlineStr">
        <is>
          <t>14-May-2026</t>
        </is>
      </c>
      <c r="G1033" t="inlineStr">
        <is>
          <t>Thursday</t>
        </is>
      </c>
      <c r="H1033" t="inlineStr">
        <is>
          <t>Weekly - Thursday</t>
        </is>
      </c>
      <c r="I1033" t="inlineStr">
        <is>
          <t>Weekly - Thursday</t>
        </is>
      </c>
      <c r="J1033" t="inlineStr">
        <is>
          <t>Month+1 Expiry</t>
        </is>
      </c>
      <c r="K1033" s="25" t="n">
        <v>74</v>
      </c>
      <c r="L1033" s="26" t="n">
        <v>0.1188</v>
      </c>
      <c r="M1033" s="26" t="n">
        <v>0.0023</v>
      </c>
    </row>
    <row r="1034" ht="16" customHeight="1">
      <c r="A1034" t="inlineStr">
        <is>
          <t>22-Apr-2026</t>
        </is>
      </c>
      <c r="B1034" t="inlineStr">
        <is>
          <t>Wednesday</t>
        </is>
      </c>
      <c r="C1034" t="inlineStr">
        <is>
          <t>Week4-Apr-2026</t>
        </is>
      </c>
      <c r="D1034" s="78" t="n">
        <v>46113</v>
      </c>
      <c r="E1034" t="inlineStr">
        <is>
          <t>Q1FY27</t>
        </is>
      </c>
      <c r="F1034" t="inlineStr">
        <is>
          <t>27-May-2026</t>
        </is>
      </c>
      <c r="G1034" t="inlineStr">
        <is>
          <t>Wednesday</t>
        </is>
      </c>
      <c r="H1034" t="inlineStr">
        <is>
          <t>Monthly - Wednesday</t>
        </is>
      </c>
      <c r="I1034" t="inlineStr">
        <is>
          <t>Monthly - Wednesday</t>
        </is>
      </c>
      <c r="J1034" t="inlineStr">
        <is>
          <t>Month+1 Expiry</t>
        </is>
      </c>
      <c r="K1034" s="25" t="n">
        <v>3095</v>
      </c>
      <c r="L1034" s="26" t="n">
        <v>5.0037</v>
      </c>
      <c r="M1034" s="26" t="n">
        <v>0.0634</v>
      </c>
    </row>
    <row r="1035" ht="16" customHeight="1">
      <c r="A1035" t="inlineStr">
        <is>
          <t>22-Apr-2026</t>
        </is>
      </c>
      <c r="B1035" t="inlineStr">
        <is>
          <t>Wednesday</t>
        </is>
      </c>
      <c r="C1035" t="inlineStr">
        <is>
          <t>Week4-Apr-2026</t>
        </is>
      </c>
      <c r="D1035" s="78" t="n">
        <v>46113</v>
      </c>
      <c r="E1035" t="inlineStr">
        <is>
          <t>Q1FY27</t>
        </is>
      </c>
      <c r="F1035" t="inlineStr">
        <is>
          <t>25-Jun-2026</t>
        </is>
      </c>
      <c r="G1035" t="inlineStr">
        <is>
          <t>Thursday</t>
        </is>
      </c>
      <c r="H1035" t="inlineStr">
        <is>
          <t>Monthly - Thursday</t>
        </is>
      </c>
      <c r="I1035" t="inlineStr">
        <is>
          <t>Monthly - Thursday</t>
        </is>
      </c>
      <c r="J1035" t="inlineStr">
        <is>
          <t>Month+2 Expiry</t>
        </is>
      </c>
      <c r="K1035" s="25" t="n">
        <v>2</v>
      </c>
      <c r="L1035" s="26" t="n">
        <v>0.0034</v>
      </c>
      <c r="M1035" s="26" t="n">
        <v>0</v>
      </c>
    </row>
    <row r="1036" ht="16" customHeight="1">
      <c r="A1036" t="inlineStr">
        <is>
          <t>23-Apr-2026</t>
        </is>
      </c>
      <c r="B1036" t="inlineStr">
        <is>
          <t>Thursday</t>
        </is>
      </c>
      <c r="C1036" t="inlineStr">
        <is>
          <t>Week4-Apr-2026</t>
        </is>
      </c>
      <c r="D1036" s="78" t="n">
        <v>46113</v>
      </c>
      <c r="E1036" t="inlineStr">
        <is>
          <t>Q1FY27</t>
        </is>
      </c>
      <c r="F1036" t="inlineStr">
        <is>
          <t>23-Apr-2026</t>
        </is>
      </c>
      <c r="G1036" t="inlineStr">
        <is>
          <t>Thursday</t>
        </is>
      </c>
      <c r="H1036" t="inlineStr">
        <is>
          <t>Weekly - Thursday</t>
        </is>
      </c>
      <c r="I1036" t="inlineStr">
        <is>
          <t>Weekly - Thursday</t>
        </is>
      </c>
      <c r="J1036" t="inlineStr">
        <is>
          <t>Same Month Expiry</t>
        </is>
      </c>
      <c r="K1036" s="25" t="n">
        <v>500132473</v>
      </c>
      <c r="L1036" s="26" t="n">
        <v>779686.6268</v>
      </c>
      <c r="M1036" s="26" t="n">
        <v>557.9977</v>
      </c>
    </row>
    <row r="1037" ht="16" customHeight="1">
      <c r="A1037" t="inlineStr">
        <is>
          <t>23-Apr-2026</t>
        </is>
      </c>
      <c r="B1037" t="inlineStr">
        <is>
          <t>Thursday</t>
        </is>
      </c>
      <c r="C1037" t="inlineStr">
        <is>
          <t>Week4-Apr-2026</t>
        </is>
      </c>
      <c r="D1037" s="78" t="n">
        <v>46113</v>
      </c>
      <c r="E1037" t="inlineStr">
        <is>
          <t>Q1FY27</t>
        </is>
      </c>
      <c r="F1037" t="inlineStr">
        <is>
          <t>30-Apr-2026</t>
        </is>
      </c>
      <c r="G1037" t="inlineStr">
        <is>
          <t>Thursday</t>
        </is>
      </c>
      <c r="H1037" t="inlineStr">
        <is>
          <t>Monthly - Thursday</t>
        </is>
      </c>
      <c r="I1037" t="inlineStr">
        <is>
          <t>Monthly - Thursday</t>
        </is>
      </c>
      <c r="J1037" t="inlineStr">
        <is>
          <t>Same Month Expiry</t>
        </is>
      </c>
      <c r="K1037" s="25" t="n">
        <v>1614722</v>
      </c>
      <c r="L1037" s="26" t="n">
        <v>2527.0485</v>
      </c>
      <c r="M1037" s="26" t="n">
        <v>12.1497</v>
      </c>
    </row>
    <row r="1038" ht="16" customHeight="1">
      <c r="A1038" t="inlineStr">
        <is>
          <t>23-Apr-2026</t>
        </is>
      </c>
      <c r="B1038" t="inlineStr">
        <is>
          <t>Thursday</t>
        </is>
      </c>
      <c r="C1038" t="inlineStr">
        <is>
          <t>Week4-Apr-2026</t>
        </is>
      </c>
      <c r="D1038" s="78" t="n">
        <v>46113</v>
      </c>
      <c r="E1038" t="inlineStr">
        <is>
          <t>Q1FY27</t>
        </is>
      </c>
      <c r="F1038" t="inlineStr">
        <is>
          <t>07-May-2026</t>
        </is>
      </c>
      <c r="G1038" t="inlineStr">
        <is>
          <t>Thursday</t>
        </is>
      </c>
      <c r="H1038" t="inlineStr">
        <is>
          <t>Weekly - Thursday</t>
        </is>
      </c>
      <c r="I1038" t="inlineStr">
        <is>
          <t>Weekly - Thursday</t>
        </is>
      </c>
      <c r="J1038" t="inlineStr">
        <is>
          <t>Month+1 Expiry</t>
        </is>
      </c>
      <c r="K1038" s="25" t="n">
        <v>12004</v>
      </c>
      <c r="L1038" s="26" t="n">
        <v>19.1528</v>
      </c>
      <c r="M1038" s="26" t="n">
        <v>0.1562</v>
      </c>
    </row>
    <row r="1039" ht="16" customHeight="1">
      <c r="A1039" t="inlineStr">
        <is>
          <t>23-Apr-2026</t>
        </is>
      </c>
      <c r="B1039" t="inlineStr">
        <is>
          <t>Thursday</t>
        </is>
      </c>
      <c r="C1039" t="inlineStr">
        <is>
          <t>Week4-Apr-2026</t>
        </is>
      </c>
      <c r="D1039" s="78" t="n">
        <v>46113</v>
      </c>
      <c r="E1039" t="inlineStr">
        <is>
          <t>Q1FY27</t>
        </is>
      </c>
      <c r="F1039" t="inlineStr">
        <is>
          <t>14-May-2026</t>
        </is>
      </c>
      <c r="G1039" t="inlineStr">
        <is>
          <t>Thursday</t>
        </is>
      </c>
      <c r="H1039" t="inlineStr">
        <is>
          <t>Weekly - Thursday</t>
        </is>
      </c>
      <c r="I1039" t="inlineStr">
        <is>
          <t>Weekly - Thursday</t>
        </is>
      </c>
      <c r="J1039" t="inlineStr">
        <is>
          <t>Month+1 Expiry</t>
        </is>
      </c>
      <c r="K1039" s="25" t="n">
        <v>115</v>
      </c>
      <c r="L1039" s="26" t="n">
        <v>0.1828</v>
      </c>
      <c r="M1039" s="26" t="n">
        <v>0.0034</v>
      </c>
    </row>
    <row r="1040" ht="16" customHeight="1">
      <c r="A1040" t="inlineStr">
        <is>
          <t>23-Apr-2026</t>
        </is>
      </c>
      <c r="B1040" t="inlineStr">
        <is>
          <t>Thursday</t>
        </is>
      </c>
      <c r="C1040" t="inlineStr">
        <is>
          <t>Week4-Apr-2026</t>
        </is>
      </c>
      <c r="D1040" s="78" t="n">
        <v>46113</v>
      </c>
      <c r="E1040" t="inlineStr">
        <is>
          <t>Q1FY27</t>
        </is>
      </c>
      <c r="F1040" t="inlineStr">
        <is>
          <t>21-May-2026</t>
        </is>
      </c>
      <c r="G1040" t="inlineStr">
        <is>
          <t>Thursday</t>
        </is>
      </c>
      <c r="H1040" t="inlineStr">
        <is>
          <t>Weekly - Thursday</t>
        </is>
      </c>
      <c r="I1040" t="inlineStr">
        <is>
          <t>Weekly - Thursday</t>
        </is>
      </c>
      <c r="J1040" t="inlineStr">
        <is>
          <t>Month+1 Expiry</t>
        </is>
      </c>
      <c r="K1040" s="25" t="n">
        <v>2</v>
      </c>
      <c r="L1040" s="26" t="n">
        <v>0.0032</v>
      </c>
      <c r="M1040" s="26" t="n">
        <v>0.0002</v>
      </c>
    </row>
    <row r="1041" ht="16" customHeight="1">
      <c r="A1041" t="inlineStr">
        <is>
          <t>23-Apr-2026</t>
        </is>
      </c>
      <c r="B1041" t="inlineStr">
        <is>
          <t>Thursday</t>
        </is>
      </c>
      <c r="C1041" t="inlineStr">
        <is>
          <t>Week4-Apr-2026</t>
        </is>
      </c>
      <c r="D1041" s="78" t="n">
        <v>46113</v>
      </c>
      <c r="E1041" t="inlineStr">
        <is>
          <t>Q1FY27</t>
        </is>
      </c>
      <c r="F1041" t="inlineStr">
        <is>
          <t>27-May-2026</t>
        </is>
      </c>
      <c r="G1041" t="inlineStr">
        <is>
          <t>Wednesday</t>
        </is>
      </c>
      <c r="H1041" t="inlineStr">
        <is>
          <t>Monthly - Wednesday</t>
        </is>
      </c>
      <c r="I1041" t="inlineStr">
        <is>
          <t>Monthly - Wednesday</t>
        </is>
      </c>
      <c r="J1041" t="inlineStr">
        <is>
          <t>Month+1 Expiry</t>
        </is>
      </c>
      <c r="K1041" s="25" t="n">
        <v>3965</v>
      </c>
      <c r="L1041" s="26" t="n">
        <v>6.4144</v>
      </c>
      <c r="M1041" s="26" t="n">
        <v>0.07779999999999999</v>
      </c>
    </row>
    <row r="1042" ht="16" customHeight="1">
      <c r="A1042" t="inlineStr">
        <is>
          <t>23-Apr-2026</t>
        </is>
      </c>
      <c r="B1042" t="inlineStr">
        <is>
          <t>Thursday</t>
        </is>
      </c>
      <c r="C1042" t="inlineStr">
        <is>
          <t>Week4-Apr-2026</t>
        </is>
      </c>
      <c r="D1042" s="78" t="n">
        <v>46113</v>
      </c>
      <c r="E1042" t="inlineStr">
        <is>
          <t>Q1FY27</t>
        </is>
      </c>
      <c r="F1042" t="inlineStr">
        <is>
          <t>25-Jun-2026</t>
        </is>
      </c>
      <c r="G1042" t="inlineStr">
        <is>
          <t>Thursday</t>
        </is>
      </c>
      <c r="H1042" t="inlineStr">
        <is>
          <t>Monthly - Thursday</t>
        </is>
      </c>
      <c r="I1042" t="inlineStr">
        <is>
          <t>Monthly - Thursday</t>
        </is>
      </c>
      <c r="J1042" t="inlineStr">
        <is>
          <t>Month+2 Expiry</t>
        </is>
      </c>
      <c r="K1042" s="25" t="n">
        <v>13</v>
      </c>
      <c r="L1042" s="26" t="n">
        <v>0.0234</v>
      </c>
      <c r="M1042" s="26" t="n">
        <v>0</v>
      </c>
    </row>
    <row r="1043" ht="16" customHeight="1">
      <c r="A1043" t="inlineStr">
        <is>
          <t>24-Apr-2026</t>
        </is>
      </c>
      <c r="B1043" t="inlineStr">
        <is>
          <t>Friday</t>
        </is>
      </c>
      <c r="C1043" t="inlineStr">
        <is>
          <t>Week4-Apr-2026</t>
        </is>
      </c>
      <c r="D1043" s="78" t="n">
        <v>46113</v>
      </c>
      <c r="E1043" t="inlineStr">
        <is>
          <t>Q1FY27</t>
        </is>
      </c>
      <c r="F1043" t="inlineStr">
        <is>
          <t>30-Apr-2026</t>
        </is>
      </c>
      <c r="G1043" t="inlineStr">
        <is>
          <t>Thursday</t>
        </is>
      </c>
      <c r="H1043" t="inlineStr">
        <is>
          <t>Monthly - Thursday</t>
        </is>
      </c>
      <c r="I1043" t="inlineStr">
        <is>
          <t>MDAW - Thursday</t>
        </is>
      </c>
      <c r="J1043" t="inlineStr">
        <is>
          <t>Same Month Expiry</t>
        </is>
      </c>
      <c r="K1043" s="25" t="n">
        <v>12823711</v>
      </c>
      <c r="L1043" s="26" t="n">
        <v>19815.0123</v>
      </c>
      <c r="M1043" s="26" t="n">
        <v>92.5471</v>
      </c>
    </row>
    <row r="1044" ht="16" customHeight="1">
      <c r="A1044" t="inlineStr">
        <is>
          <t>24-Apr-2026</t>
        </is>
      </c>
      <c r="B1044" t="inlineStr">
        <is>
          <t>Friday</t>
        </is>
      </c>
      <c r="C1044" t="inlineStr">
        <is>
          <t>Week4-Apr-2026</t>
        </is>
      </c>
      <c r="D1044" s="78" t="n">
        <v>46113</v>
      </c>
      <c r="E1044" t="inlineStr">
        <is>
          <t>Q1FY27</t>
        </is>
      </c>
      <c r="F1044" t="inlineStr">
        <is>
          <t>07-May-2026</t>
        </is>
      </c>
      <c r="G1044" t="inlineStr">
        <is>
          <t>Thursday</t>
        </is>
      </c>
      <c r="H1044" t="inlineStr">
        <is>
          <t>Weekly - Thursday</t>
        </is>
      </c>
      <c r="I1044" t="inlineStr">
        <is>
          <t>Weekly - Thursday</t>
        </is>
      </c>
      <c r="J1044" t="inlineStr">
        <is>
          <t>Month+1 Expiry</t>
        </is>
      </c>
      <c r="K1044" s="25" t="n">
        <v>45252</v>
      </c>
      <c r="L1044" s="26" t="n">
        <v>71.0325</v>
      </c>
      <c r="M1044" s="26" t="n">
        <v>0.5462</v>
      </c>
    </row>
    <row r="1045" ht="16" customHeight="1">
      <c r="A1045" t="inlineStr">
        <is>
          <t>24-Apr-2026</t>
        </is>
      </c>
      <c r="B1045" t="inlineStr">
        <is>
          <t>Friday</t>
        </is>
      </c>
      <c r="C1045" t="inlineStr">
        <is>
          <t>Week4-Apr-2026</t>
        </is>
      </c>
      <c r="D1045" s="78" t="n">
        <v>46113</v>
      </c>
      <c r="E1045" t="inlineStr">
        <is>
          <t>Q1FY27</t>
        </is>
      </c>
      <c r="F1045" t="inlineStr">
        <is>
          <t>14-May-2026</t>
        </is>
      </c>
      <c r="G1045" t="inlineStr">
        <is>
          <t>Thursday</t>
        </is>
      </c>
      <c r="H1045" t="inlineStr">
        <is>
          <t>Weekly - Thursday</t>
        </is>
      </c>
      <c r="I1045" t="inlineStr">
        <is>
          <t>Weekly - Thursday</t>
        </is>
      </c>
      <c r="J1045" t="inlineStr">
        <is>
          <t>Month+1 Expiry</t>
        </is>
      </c>
      <c r="K1045" s="25" t="n">
        <v>356</v>
      </c>
      <c r="L1045" s="26" t="n">
        <v>0.5592</v>
      </c>
      <c r="M1045" s="26" t="n">
        <v>0.0106</v>
      </c>
    </row>
    <row r="1046" ht="16" customHeight="1">
      <c r="A1046" t="inlineStr">
        <is>
          <t>24-Apr-2026</t>
        </is>
      </c>
      <c r="B1046" t="inlineStr">
        <is>
          <t>Friday</t>
        </is>
      </c>
      <c r="C1046" t="inlineStr">
        <is>
          <t>Week4-Apr-2026</t>
        </is>
      </c>
      <c r="D1046" s="78" t="n">
        <v>46113</v>
      </c>
      <c r="E1046" t="inlineStr">
        <is>
          <t>Q1FY27</t>
        </is>
      </c>
      <c r="F1046" t="inlineStr">
        <is>
          <t>21-May-2026</t>
        </is>
      </c>
      <c r="G1046" t="inlineStr">
        <is>
          <t>Thursday</t>
        </is>
      </c>
      <c r="H1046" t="inlineStr">
        <is>
          <t>Weekly - Thursday</t>
        </is>
      </c>
      <c r="I1046" t="inlineStr">
        <is>
          <t>Weekly - Thursday</t>
        </is>
      </c>
      <c r="J1046" t="inlineStr">
        <is>
          <t>Month+1 Expiry</t>
        </is>
      </c>
      <c r="K1046" s="25" t="n">
        <v>1</v>
      </c>
      <c r="L1046" s="26" t="n">
        <v>0.0016</v>
      </c>
      <c r="M1046" s="26" t="n">
        <v>0</v>
      </c>
    </row>
    <row r="1047" ht="16" customHeight="1">
      <c r="A1047" t="inlineStr">
        <is>
          <t>24-Apr-2026</t>
        </is>
      </c>
      <c r="B1047" t="inlineStr">
        <is>
          <t>Friday</t>
        </is>
      </c>
      <c r="C1047" t="inlineStr">
        <is>
          <t>Week4-Apr-2026</t>
        </is>
      </c>
      <c r="D1047" s="78" t="n">
        <v>46113</v>
      </c>
      <c r="E1047" t="inlineStr">
        <is>
          <t>Q1FY27</t>
        </is>
      </c>
      <c r="F1047" t="inlineStr">
        <is>
          <t>27-May-2026</t>
        </is>
      </c>
      <c r="G1047" t="inlineStr">
        <is>
          <t>Wednesday</t>
        </is>
      </c>
      <c r="H1047" t="inlineStr">
        <is>
          <t>Monthly - Wednesday</t>
        </is>
      </c>
      <c r="I1047" t="inlineStr">
        <is>
          <t>Monthly - Wednesday</t>
        </is>
      </c>
      <c r="J1047" t="inlineStr">
        <is>
          <t>Month+1 Expiry</t>
        </is>
      </c>
      <c r="K1047" s="25" t="n">
        <v>4970</v>
      </c>
      <c r="L1047" s="26" t="n">
        <v>7.953</v>
      </c>
      <c r="M1047" s="26" t="n">
        <v>0.102</v>
      </c>
    </row>
    <row r="1048" ht="16" customHeight="1">
      <c r="A1048" t="inlineStr">
        <is>
          <t>24-Apr-2026</t>
        </is>
      </c>
      <c r="B1048" t="inlineStr">
        <is>
          <t>Friday</t>
        </is>
      </c>
      <c r="C1048" t="inlineStr">
        <is>
          <t>Week4-Apr-2026</t>
        </is>
      </c>
      <c r="D1048" s="78" t="n">
        <v>46113</v>
      </c>
      <c r="E1048" t="inlineStr">
        <is>
          <t>Q1FY27</t>
        </is>
      </c>
      <c r="F1048" t="inlineStr">
        <is>
          <t>25-Jun-2026</t>
        </is>
      </c>
      <c r="G1048" t="inlineStr">
        <is>
          <t>Thursday</t>
        </is>
      </c>
      <c r="H1048" t="inlineStr">
        <is>
          <t>Monthly - Thursday</t>
        </is>
      </c>
      <c r="I1048" t="inlineStr">
        <is>
          <t>Monthly - Thursday</t>
        </is>
      </c>
      <c r="J1048" t="inlineStr">
        <is>
          <t>Month+2 Expiry</t>
        </is>
      </c>
      <c r="K1048" s="25" t="n">
        <v>165</v>
      </c>
      <c r="L1048" s="26" t="n">
        <v>0.2633</v>
      </c>
      <c r="M1048" s="26" t="n">
        <v>0.0075</v>
      </c>
    </row>
    <row r="1049" ht="16" customHeight="1">
      <c r="A1049" t="inlineStr">
        <is>
          <t>27-Apr-2026</t>
        </is>
      </c>
      <c r="B1049" t="inlineStr">
        <is>
          <t>Monday</t>
        </is>
      </c>
      <c r="C1049" t="inlineStr">
        <is>
          <t>Week4-Apr-2026</t>
        </is>
      </c>
      <c r="D1049" s="78" t="n">
        <v>46113</v>
      </c>
      <c r="E1049" t="inlineStr">
        <is>
          <t>Q1FY27</t>
        </is>
      </c>
      <c r="F1049" t="inlineStr">
        <is>
          <t>30-Apr-2026</t>
        </is>
      </c>
      <c r="G1049" t="inlineStr">
        <is>
          <t>Thursday</t>
        </is>
      </c>
      <c r="H1049" t="inlineStr">
        <is>
          <t>Monthly - Thursday</t>
        </is>
      </c>
      <c r="I1049" t="inlineStr">
        <is>
          <t>MDAW - Thursday</t>
        </is>
      </c>
      <c r="J1049" t="inlineStr">
        <is>
          <t>Same Month Expiry</t>
        </is>
      </c>
      <c r="K1049" s="25" t="n">
        <v>15077713</v>
      </c>
      <c r="L1049" s="26" t="n">
        <v>23342.2915</v>
      </c>
      <c r="M1049" s="26" t="n">
        <v>87.8836</v>
      </c>
    </row>
    <row r="1050" ht="16" customHeight="1">
      <c r="A1050" t="inlineStr">
        <is>
          <t>27-Apr-2026</t>
        </is>
      </c>
      <c r="B1050" t="inlineStr">
        <is>
          <t>Monday</t>
        </is>
      </c>
      <c r="C1050" t="inlineStr">
        <is>
          <t>Week4-Apr-2026</t>
        </is>
      </c>
      <c r="D1050" s="78" t="n">
        <v>46113</v>
      </c>
      <c r="E1050" t="inlineStr">
        <is>
          <t>Q1FY27</t>
        </is>
      </c>
      <c r="F1050" t="inlineStr">
        <is>
          <t>07-May-2026</t>
        </is>
      </c>
      <c r="G1050" t="inlineStr">
        <is>
          <t>Thursday</t>
        </is>
      </c>
      <c r="H1050" t="inlineStr">
        <is>
          <t>Weekly - Thursday</t>
        </is>
      </c>
      <c r="I1050" t="inlineStr">
        <is>
          <t>Weekly - Thursday</t>
        </is>
      </c>
      <c r="J1050" t="inlineStr">
        <is>
          <t>Month+1 Expiry</t>
        </is>
      </c>
      <c r="K1050" s="25" t="n">
        <v>84862</v>
      </c>
      <c r="L1050" s="26" t="n">
        <v>132.8434</v>
      </c>
      <c r="M1050" s="26" t="n">
        <v>0.7706</v>
      </c>
    </row>
    <row r="1051" ht="16" customHeight="1">
      <c r="A1051" t="inlineStr">
        <is>
          <t>27-Apr-2026</t>
        </is>
      </c>
      <c r="B1051" t="inlineStr">
        <is>
          <t>Monday</t>
        </is>
      </c>
      <c r="C1051" t="inlineStr">
        <is>
          <t>Week4-Apr-2026</t>
        </is>
      </c>
      <c r="D1051" s="78" t="n">
        <v>46113</v>
      </c>
      <c r="E1051" t="inlineStr">
        <is>
          <t>Q1FY27</t>
        </is>
      </c>
      <c r="F1051" t="inlineStr">
        <is>
          <t>14-May-2026</t>
        </is>
      </c>
      <c r="G1051" t="inlineStr">
        <is>
          <t>Thursday</t>
        </is>
      </c>
      <c r="H1051" t="inlineStr">
        <is>
          <t>Weekly - Thursday</t>
        </is>
      </c>
      <c r="I1051" t="inlineStr">
        <is>
          <t>Weekly - Thursday</t>
        </is>
      </c>
      <c r="J1051" t="inlineStr">
        <is>
          <t>Month+1 Expiry</t>
        </is>
      </c>
      <c r="K1051" s="25" t="n">
        <v>695</v>
      </c>
      <c r="L1051" s="26" t="n">
        <v>1.0996</v>
      </c>
      <c r="M1051" s="26" t="n">
        <v>0.0184</v>
      </c>
    </row>
    <row r="1052" ht="16" customHeight="1">
      <c r="A1052" t="inlineStr">
        <is>
          <t>27-Apr-2026</t>
        </is>
      </c>
      <c r="B1052" t="inlineStr">
        <is>
          <t>Monday</t>
        </is>
      </c>
      <c r="C1052" t="inlineStr">
        <is>
          <t>Week4-Apr-2026</t>
        </is>
      </c>
      <c r="D1052" s="78" t="n">
        <v>46113</v>
      </c>
      <c r="E1052" t="inlineStr">
        <is>
          <t>Q1FY27</t>
        </is>
      </c>
      <c r="F1052" t="inlineStr">
        <is>
          <t>21-May-2026</t>
        </is>
      </c>
      <c r="G1052" t="inlineStr">
        <is>
          <t>Thursday</t>
        </is>
      </c>
      <c r="H1052" t="inlineStr">
        <is>
          <t>Weekly - Thursday</t>
        </is>
      </c>
      <c r="I1052" t="inlineStr">
        <is>
          <t>Weekly - Thursday</t>
        </is>
      </c>
      <c r="J1052" t="inlineStr">
        <is>
          <t>Month+1 Expiry</t>
        </is>
      </c>
      <c r="K1052" s="25" t="n">
        <v>34</v>
      </c>
      <c r="L1052" s="26" t="n">
        <v>0.057</v>
      </c>
      <c r="M1052" s="26" t="n">
        <v>0.0001</v>
      </c>
    </row>
    <row r="1053" ht="16" customHeight="1">
      <c r="A1053" t="inlineStr">
        <is>
          <t>27-Apr-2026</t>
        </is>
      </c>
      <c r="B1053" t="inlineStr">
        <is>
          <t>Monday</t>
        </is>
      </c>
      <c r="C1053" t="inlineStr">
        <is>
          <t>Week4-Apr-2026</t>
        </is>
      </c>
      <c r="D1053" s="78" t="n">
        <v>46113</v>
      </c>
      <c r="E1053" t="inlineStr">
        <is>
          <t>Q1FY27</t>
        </is>
      </c>
      <c r="F1053" t="inlineStr">
        <is>
          <t>27-May-2026</t>
        </is>
      </c>
      <c r="G1053" t="inlineStr">
        <is>
          <t>Wednesday</t>
        </is>
      </c>
      <c r="H1053" t="inlineStr">
        <is>
          <t>Monthly - Wednesday</t>
        </is>
      </c>
      <c r="I1053" t="inlineStr">
        <is>
          <t>Monthly - Wednesday</t>
        </is>
      </c>
      <c r="J1053" t="inlineStr">
        <is>
          <t>Month+1 Expiry</t>
        </is>
      </c>
      <c r="K1053" s="25" t="n">
        <v>3499</v>
      </c>
      <c r="L1053" s="26" t="n">
        <v>5.5612</v>
      </c>
      <c r="M1053" s="26" t="n">
        <v>0.06859999999999999</v>
      </c>
    </row>
    <row r="1054" ht="16" customHeight="1">
      <c r="A1054" t="inlineStr">
        <is>
          <t>27-Apr-2026</t>
        </is>
      </c>
      <c r="B1054" t="inlineStr">
        <is>
          <t>Monday</t>
        </is>
      </c>
      <c r="C1054" t="inlineStr">
        <is>
          <t>Week4-Apr-2026</t>
        </is>
      </c>
      <c r="D1054" s="78" t="n">
        <v>46113</v>
      </c>
      <c r="E1054" t="inlineStr">
        <is>
          <t>Q1FY27</t>
        </is>
      </c>
      <c r="F1054" t="inlineStr">
        <is>
          <t>25-Jun-2026</t>
        </is>
      </c>
      <c r="G1054" t="inlineStr">
        <is>
          <t>Thursday</t>
        </is>
      </c>
      <c r="H1054" t="inlineStr">
        <is>
          <t>Monthly - Thursday</t>
        </is>
      </c>
      <c r="I1054" t="inlineStr">
        <is>
          <t>Monthly - Thursday</t>
        </is>
      </c>
      <c r="J1054" t="inlineStr">
        <is>
          <t>Month+2 Expiry</t>
        </is>
      </c>
      <c r="K1054" s="25" t="n">
        <v>15</v>
      </c>
      <c r="L1054" s="26" t="n">
        <v>0.0244</v>
      </c>
      <c r="M1054" s="26" t="n">
        <v>0.0005999999999999999</v>
      </c>
    </row>
    <row r="1055" ht="16" customHeight="1">
      <c r="A1055" t="inlineStr">
        <is>
          <t>28-Apr-2026</t>
        </is>
      </c>
      <c r="B1055" t="inlineStr">
        <is>
          <t>Tuesday</t>
        </is>
      </c>
      <c r="C1055" t="inlineStr">
        <is>
          <t>Week4-Apr-2026</t>
        </is>
      </c>
      <c r="D1055" s="78" t="n">
        <v>46113</v>
      </c>
      <c r="E1055" t="inlineStr">
        <is>
          <t>Q1FY27</t>
        </is>
      </c>
      <c r="F1055" t="inlineStr">
        <is>
          <t>30-Apr-2026</t>
        </is>
      </c>
      <c r="G1055" t="inlineStr">
        <is>
          <t>Thursday</t>
        </is>
      </c>
      <c r="H1055" t="inlineStr">
        <is>
          <t>Monthly - Thursday</t>
        </is>
      </c>
      <c r="I1055" t="inlineStr">
        <is>
          <t>MDAW - Thursday</t>
        </is>
      </c>
      <c r="J1055" t="inlineStr">
        <is>
          <t>Same Month Expiry</t>
        </is>
      </c>
      <c r="K1055" s="25" t="n">
        <v>22416130</v>
      </c>
      <c r="L1055" s="26" t="n">
        <v>34614.9907</v>
      </c>
      <c r="M1055" s="26" t="n">
        <v>91.27030000000001</v>
      </c>
    </row>
    <row r="1056" ht="16" customHeight="1">
      <c r="A1056" t="inlineStr">
        <is>
          <t>28-Apr-2026</t>
        </is>
      </c>
      <c r="B1056" t="inlineStr">
        <is>
          <t>Tuesday</t>
        </is>
      </c>
      <c r="C1056" t="inlineStr">
        <is>
          <t>Week4-Apr-2026</t>
        </is>
      </c>
      <c r="D1056" s="78" t="n">
        <v>46113</v>
      </c>
      <c r="E1056" t="inlineStr">
        <is>
          <t>Q1FY27</t>
        </is>
      </c>
      <c r="F1056" t="inlineStr">
        <is>
          <t>07-May-2026</t>
        </is>
      </c>
      <c r="G1056" t="inlineStr">
        <is>
          <t>Thursday</t>
        </is>
      </c>
      <c r="H1056" t="inlineStr">
        <is>
          <t>Weekly - Thursday</t>
        </is>
      </c>
      <c r="I1056" t="inlineStr">
        <is>
          <t>Weekly - Thursday</t>
        </is>
      </c>
      <c r="J1056" t="inlineStr">
        <is>
          <t>Month+1 Expiry</t>
        </is>
      </c>
      <c r="K1056" s="25" t="n">
        <v>215690</v>
      </c>
      <c r="L1056" s="26" t="n">
        <v>335.4964</v>
      </c>
      <c r="M1056" s="26" t="n">
        <v>1.4374</v>
      </c>
    </row>
    <row r="1057" ht="16" customHeight="1">
      <c r="A1057" t="inlineStr">
        <is>
          <t>28-Apr-2026</t>
        </is>
      </c>
      <c r="B1057" t="inlineStr">
        <is>
          <t>Tuesday</t>
        </is>
      </c>
      <c r="C1057" t="inlineStr">
        <is>
          <t>Week4-Apr-2026</t>
        </is>
      </c>
      <c r="D1057" s="78" t="n">
        <v>46113</v>
      </c>
      <c r="E1057" t="inlineStr">
        <is>
          <t>Q1FY27</t>
        </is>
      </c>
      <c r="F1057" t="inlineStr">
        <is>
          <t>14-May-2026</t>
        </is>
      </c>
      <c r="G1057" t="inlineStr">
        <is>
          <t>Thursday</t>
        </is>
      </c>
      <c r="H1057" t="inlineStr">
        <is>
          <t>Weekly - Thursday</t>
        </is>
      </c>
      <c r="I1057" t="inlineStr">
        <is>
          <t>Weekly - Thursday</t>
        </is>
      </c>
      <c r="J1057" t="inlineStr">
        <is>
          <t>Month+1 Expiry</t>
        </is>
      </c>
      <c r="K1057" s="25" t="n">
        <v>1116</v>
      </c>
      <c r="L1057" s="26" t="n">
        <v>1.7722</v>
      </c>
      <c r="M1057" s="26" t="n">
        <v>0.0153</v>
      </c>
    </row>
    <row r="1058" ht="16" customHeight="1">
      <c r="A1058" t="inlineStr">
        <is>
          <t>28-Apr-2026</t>
        </is>
      </c>
      <c r="B1058" t="inlineStr">
        <is>
          <t>Tuesday</t>
        </is>
      </c>
      <c r="C1058" t="inlineStr">
        <is>
          <t>Week4-Apr-2026</t>
        </is>
      </c>
      <c r="D1058" s="78" t="n">
        <v>46113</v>
      </c>
      <c r="E1058" t="inlineStr">
        <is>
          <t>Q1FY27</t>
        </is>
      </c>
      <c r="F1058" t="inlineStr">
        <is>
          <t>21-May-2026</t>
        </is>
      </c>
      <c r="G1058" t="inlineStr">
        <is>
          <t>Thursday</t>
        </is>
      </c>
      <c r="H1058" t="inlineStr">
        <is>
          <t>Weekly - Thursday</t>
        </is>
      </c>
      <c r="I1058" t="inlineStr">
        <is>
          <t>Weekly - Thursday</t>
        </is>
      </c>
      <c r="J1058" t="inlineStr">
        <is>
          <t>Month+1 Expiry</t>
        </is>
      </c>
      <c r="K1058" s="25" t="n">
        <v>141</v>
      </c>
      <c r="L1058" s="26" t="n">
        <v>0.2208</v>
      </c>
      <c r="M1058" s="26" t="n">
        <v>0.0057</v>
      </c>
    </row>
    <row r="1059" ht="16" customHeight="1">
      <c r="A1059" t="inlineStr">
        <is>
          <t>28-Apr-2026</t>
        </is>
      </c>
      <c r="B1059" t="inlineStr">
        <is>
          <t>Tuesday</t>
        </is>
      </c>
      <c r="C1059" t="inlineStr">
        <is>
          <t>Week4-Apr-2026</t>
        </is>
      </c>
      <c r="D1059" s="78" t="n">
        <v>46113</v>
      </c>
      <c r="E1059" t="inlineStr">
        <is>
          <t>Q1FY27</t>
        </is>
      </c>
      <c r="F1059" t="inlineStr">
        <is>
          <t>27-May-2026</t>
        </is>
      </c>
      <c r="G1059" t="inlineStr">
        <is>
          <t>Wednesday</t>
        </is>
      </c>
      <c r="H1059" t="inlineStr">
        <is>
          <t>Monthly - Wednesday</t>
        </is>
      </c>
      <c r="I1059" t="inlineStr">
        <is>
          <t>Monthly - Wednesday</t>
        </is>
      </c>
      <c r="J1059" t="inlineStr">
        <is>
          <t>Month+1 Expiry</t>
        </is>
      </c>
      <c r="K1059" s="25" t="n">
        <v>6361</v>
      </c>
      <c r="L1059" s="26" t="n">
        <v>10.0464</v>
      </c>
      <c r="M1059" s="26" t="n">
        <v>0.111</v>
      </c>
    </row>
    <row r="1060" ht="16" customHeight="1">
      <c r="A1060" t="inlineStr">
        <is>
          <t>28-Apr-2026</t>
        </is>
      </c>
      <c r="B1060" t="inlineStr">
        <is>
          <t>Tuesday</t>
        </is>
      </c>
      <c r="C1060" t="inlineStr">
        <is>
          <t>Week4-Apr-2026</t>
        </is>
      </c>
      <c r="D1060" s="78" t="n">
        <v>46113</v>
      </c>
      <c r="E1060" t="inlineStr">
        <is>
          <t>Q1FY27</t>
        </is>
      </c>
      <c r="F1060" t="inlineStr">
        <is>
          <t>25-Jun-2026</t>
        </is>
      </c>
      <c r="G1060" t="inlineStr">
        <is>
          <t>Thursday</t>
        </is>
      </c>
      <c r="H1060" t="inlineStr">
        <is>
          <t>Monthly - Thursday</t>
        </is>
      </c>
      <c r="I1060" t="inlineStr">
        <is>
          <t>Monthly - Thursday</t>
        </is>
      </c>
      <c r="J1060" t="inlineStr">
        <is>
          <t>Month+2 Expiry</t>
        </is>
      </c>
      <c r="K1060" s="25" t="n">
        <v>85</v>
      </c>
      <c r="L1060" s="26" t="n">
        <v>0.1352</v>
      </c>
      <c r="M1060" s="26" t="n">
        <v>0.004</v>
      </c>
    </row>
    <row r="1061" ht="16" customHeight="1">
      <c r="A1061" t="inlineStr">
        <is>
          <t>29-Apr-2026</t>
        </is>
      </c>
      <c r="B1061" t="inlineStr">
        <is>
          <t>Wednesday</t>
        </is>
      </c>
      <c r="C1061" t="inlineStr">
        <is>
          <t>Week5-Apr-2026</t>
        </is>
      </c>
      <c r="D1061" s="78" t="n">
        <v>46113</v>
      </c>
      <c r="E1061" t="inlineStr">
        <is>
          <t>Q1FY27</t>
        </is>
      </c>
      <c r="F1061" t="inlineStr">
        <is>
          <t>30-Apr-2026</t>
        </is>
      </c>
      <c r="G1061" t="inlineStr">
        <is>
          <t>Thursday</t>
        </is>
      </c>
      <c r="H1061" t="inlineStr">
        <is>
          <t>Monthly - Thursday</t>
        </is>
      </c>
      <c r="I1061" t="inlineStr">
        <is>
          <t>MDAW - Thursday</t>
        </is>
      </c>
      <c r="J1061" t="inlineStr">
        <is>
          <t>Same Month Expiry</t>
        </is>
      </c>
      <c r="K1061" s="25" t="n">
        <v>114233559</v>
      </c>
      <c r="L1061" s="26" t="n">
        <v>177658.8267</v>
      </c>
      <c r="M1061" s="26" t="n">
        <v>362.157</v>
      </c>
    </row>
    <row r="1062" ht="16" customHeight="1">
      <c r="A1062" t="inlineStr">
        <is>
          <t>29-Apr-2026</t>
        </is>
      </c>
      <c r="B1062" t="inlineStr">
        <is>
          <t>Wednesday</t>
        </is>
      </c>
      <c r="C1062" t="inlineStr">
        <is>
          <t>Week5-Apr-2026</t>
        </is>
      </c>
      <c r="D1062" s="78" t="n">
        <v>46113</v>
      </c>
      <c r="E1062" t="inlineStr">
        <is>
          <t>Q1FY27</t>
        </is>
      </c>
      <c r="F1062" t="inlineStr">
        <is>
          <t>07-May-2026</t>
        </is>
      </c>
      <c r="G1062" t="inlineStr">
        <is>
          <t>Thursday</t>
        </is>
      </c>
      <c r="H1062" t="inlineStr">
        <is>
          <t>Weekly - Thursday</t>
        </is>
      </c>
      <c r="I1062" t="inlineStr">
        <is>
          <t>Weekly - Thursday</t>
        </is>
      </c>
      <c r="J1062" t="inlineStr">
        <is>
          <t>Month+1 Expiry</t>
        </is>
      </c>
      <c r="K1062" s="25" t="n">
        <v>707340</v>
      </c>
      <c r="L1062" s="26" t="n">
        <v>1095.3851</v>
      </c>
      <c r="M1062" s="26" t="n">
        <v>4.366</v>
      </c>
    </row>
    <row r="1063" ht="16" customHeight="1">
      <c r="A1063" t="inlineStr">
        <is>
          <t>29-Apr-2026</t>
        </is>
      </c>
      <c r="B1063" t="inlineStr">
        <is>
          <t>Wednesday</t>
        </is>
      </c>
      <c r="C1063" t="inlineStr">
        <is>
          <t>Week5-Apr-2026</t>
        </is>
      </c>
      <c r="D1063" s="78" t="n">
        <v>46113</v>
      </c>
      <c r="E1063" t="inlineStr">
        <is>
          <t>Q1FY27</t>
        </is>
      </c>
      <c r="F1063" t="inlineStr">
        <is>
          <t>14-May-2026</t>
        </is>
      </c>
      <c r="G1063" t="inlineStr">
        <is>
          <t>Thursday</t>
        </is>
      </c>
      <c r="H1063" t="inlineStr">
        <is>
          <t>Weekly - Thursday</t>
        </is>
      </c>
      <c r="I1063" t="inlineStr">
        <is>
          <t>Weekly - Thursday</t>
        </is>
      </c>
      <c r="J1063" t="inlineStr">
        <is>
          <t>Month+1 Expiry</t>
        </is>
      </c>
      <c r="K1063" s="25" t="n">
        <v>6391</v>
      </c>
      <c r="L1063" s="26" t="n">
        <v>10.0834</v>
      </c>
      <c r="M1063" s="26" t="n">
        <v>0.0839</v>
      </c>
    </row>
    <row r="1064" ht="16" customHeight="1">
      <c r="A1064" t="inlineStr">
        <is>
          <t>29-Apr-2026</t>
        </is>
      </c>
      <c r="B1064" t="inlineStr">
        <is>
          <t>Wednesday</t>
        </is>
      </c>
      <c r="C1064" t="inlineStr">
        <is>
          <t>Week5-Apr-2026</t>
        </is>
      </c>
      <c r="D1064" s="78" t="n">
        <v>46113</v>
      </c>
      <c r="E1064" t="inlineStr">
        <is>
          <t>Q1FY27</t>
        </is>
      </c>
      <c r="F1064" t="inlineStr">
        <is>
          <t>21-May-2026</t>
        </is>
      </c>
      <c r="G1064" t="inlineStr">
        <is>
          <t>Thursday</t>
        </is>
      </c>
      <c r="H1064" t="inlineStr">
        <is>
          <t>Weekly - Thursday</t>
        </is>
      </c>
      <c r="I1064" t="inlineStr">
        <is>
          <t>Weekly - Thursday</t>
        </is>
      </c>
      <c r="J1064" t="inlineStr">
        <is>
          <t>Month+1 Expiry</t>
        </is>
      </c>
      <c r="K1064" s="25" t="n">
        <v>9</v>
      </c>
      <c r="L1064" s="26" t="n">
        <v>0.015</v>
      </c>
      <c r="M1064" s="26" t="n">
        <v>0</v>
      </c>
    </row>
    <row r="1065" ht="16" customHeight="1">
      <c r="A1065" t="inlineStr">
        <is>
          <t>29-Apr-2026</t>
        </is>
      </c>
      <c r="B1065" t="inlineStr">
        <is>
          <t>Wednesday</t>
        </is>
      </c>
      <c r="C1065" t="inlineStr">
        <is>
          <t>Week5-Apr-2026</t>
        </is>
      </c>
      <c r="D1065" s="78" t="n">
        <v>46113</v>
      </c>
      <c r="E1065" t="inlineStr">
        <is>
          <t>Q1FY27</t>
        </is>
      </c>
      <c r="F1065" t="inlineStr">
        <is>
          <t>27-May-2026</t>
        </is>
      </c>
      <c r="G1065" t="inlineStr">
        <is>
          <t>Wednesday</t>
        </is>
      </c>
      <c r="H1065" t="inlineStr">
        <is>
          <t>Monthly - Wednesday</t>
        </is>
      </c>
      <c r="I1065" t="inlineStr">
        <is>
          <t>Monthly - Wednesday</t>
        </is>
      </c>
      <c r="J1065" t="inlineStr">
        <is>
          <t>Month+1 Expiry</t>
        </is>
      </c>
      <c r="K1065" s="25" t="n">
        <v>14201</v>
      </c>
      <c r="L1065" s="26" t="n">
        <v>23.3247</v>
      </c>
      <c r="M1065" s="26" t="n">
        <v>0.5558999999999999</v>
      </c>
    </row>
    <row r="1066" ht="16" customHeight="1">
      <c r="A1066" t="inlineStr">
        <is>
          <t>29-Apr-2026</t>
        </is>
      </c>
      <c r="B1066" t="inlineStr">
        <is>
          <t>Wednesday</t>
        </is>
      </c>
      <c r="C1066" t="inlineStr">
        <is>
          <t>Week5-Apr-2026</t>
        </is>
      </c>
      <c r="D1066" s="78" t="n">
        <v>46113</v>
      </c>
      <c r="E1066" t="inlineStr">
        <is>
          <t>Q1FY27</t>
        </is>
      </c>
      <c r="F1066" t="inlineStr">
        <is>
          <t>25-Jun-2026</t>
        </is>
      </c>
      <c r="G1066" t="inlineStr">
        <is>
          <t>Thursday</t>
        </is>
      </c>
      <c r="H1066" t="inlineStr">
        <is>
          <t>Monthly - Thursday</t>
        </is>
      </c>
      <c r="I1066" t="inlineStr">
        <is>
          <t>Monthly - Thursday</t>
        </is>
      </c>
      <c r="J1066" t="inlineStr">
        <is>
          <t>Month+2 Expiry</t>
        </is>
      </c>
      <c r="K1066" s="25" t="n">
        <v>110</v>
      </c>
      <c r="L1066" s="26" t="n">
        <v>0.1766</v>
      </c>
      <c r="M1066" s="26" t="n">
        <v>0.0051</v>
      </c>
    </row>
    <row r="1067" ht="16" customHeight="1">
      <c r="A1067" t="inlineStr">
        <is>
          <t>30-Apr-2026</t>
        </is>
      </c>
      <c r="B1067" t="inlineStr">
        <is>
          <t>Thursday</t>
        </is>
      </c>
      <c r="C1067" t="inlineStr">
        <is>
          <t>Week5-Apr-2026</t>
        </is>
      </c>
      <c r="D1067" s="78" t="n">
        <v>46113</v>
      </c>
      <c r="E1067" t="inlineStr">
        <is>
          <t>Q1FY27</t>
        </is>
      </c>
      <c r="F1067" t="inlineStr">
        <is>
          <t>30-Apr-2026</t>
        </is>
      </c>
      <c r="G1067" t="inlineStr">
        <is>
          <t>Thursday</t>
        </is>
      </c>
      <c r="H1067" t="inlineStr">
        <is>
          <t>Monthly - Thursday</t>
        </is>
      </c>
      <c r="I1067" t="inlineStr">
        <is>
          <t>MDAW - Thursday</t>
        </is>
      </c>
      <c r="J1067" t="inlineStr">
        <is>
          <t>Same Month Expiry</t>
        </is>
      </c>
      <c r="K1067" s="25" t="n">
        <v>606194499</v>
      </c>
      <c r="L1067" s="26" t="n">
        <v>932773.8955</v>
      </c>
      <c r="M1067" s="26" t="n">
        <v>698.5715</v>
      </c>
    </row>
    <row r="1068" ht="16" customHeight="1">
      <c r="A1068" t="inlineStr">
        <is>
          <t>30-Apr-2026</t>
        </is>
      </c>
      <c r="B1068" t="inlineStr">
        <is>
          <t>Thursday</t>
        </is>
      </c>
      <c r="C1068" t="inlineStr">
        <is>
          <t>Week5-Apr-2026</t>
        </is>
      </c>
      <c r="D1068" s="78" t="n">
        <v>46113</v>
      </c>
      <c r="E1068" t="inlineStr">
        <is>
          <t>Q1FY27</t>
        </is>
      </c>
      <c r="F1068" t="inlineStr">
        <is>
          <t>07-May-2026</t>
        </is>
      </c>
      <c r="G1068" t="inlineStr">
        <is>
          <t>Thursday</t>
        </is>
      </c>
      <c r="H1068" t="inlineStr">
        <is>
          <t>Weekly - Thursday</t>
        </is>
      </c>
      <c r="I1068" t="inlineStr">
        <is>
          <t>Weekly - Thursday</t>
        </is>
      </c>
      <c r="J1068" t="inlineStr">
        <is>
          <t>Month+1 Expiry</t>
        </is>
      </c>
      <c r="K1068" s="25" t="n">
        <v>1990377</v>
      </c>
      <c r="L1068" s="26" t="n">
        <v>3075.9939</v>
      </c>
      <c r="M1068" s="26" t="n">
        <v>16.0988</v>
      </c>
    </row>
    <row r="1069" ht="16" customHeight="1">
      <c r="A1069" t="inlineStr">
        <is>
          <t>30-Apr-2026</t>
        </is>
      </c>
      <c r="B1069" t="inlineStr">
        <is>
          <t>Thursday</t>
        </is>
      </c>
      <c r="C1069" t="inlineStr">
        <is>
          <t>Week5-Apr-2026</t>
        </is>
      </c>
      <c r="D1069" s="78" t="n">
        <v>46113</v>
      </c>
      <c r="E1069" t="inlineStr">
        <is>
          <t>Q1FY27</t>
        </is>
      </c>
      <c r="F1069" t="inlineStr">
        <is>
          <t>14-May-2026</t>
        </is>
      </c>
      <c r="G1069" t="inlineStr">
        <is>
          <t>Thursday</t>
        </is>
      </c>
      <c r="H1069" t="inlineStr">
        <is>
          <t>Weekly - Thursday</t>
        </is>
      </c>
      <c r="I1069" t="inlineStr">
        <is>
          <t>Weekly - Thursday</t>
        </is>
      </c>
      <c r="J1069" t="inlineStr">
        <is>
          <t>Month+1 Expiry</t>
        </is>
      </c>
      <c r="K1069" s="25" t="n">
        <v>11154</v>
      </c>
      <c r="L1069" s="26" t="n">
        <v>17.4507</v>
      </c>
      <c r="M1069" s="26" t="n">
        <v>0.1582</v>
      </c>
    </row>
    <row r="1070" ht="16" customHeight="1">
      <c r="A1070" t="inlineStr">
        <is>
          <t>30-Apr-2026</t>
        </is>
      </c>
      <c r="B1070" t="inlineStr">
        <is>
          <t>Thursday</t>
        </is>
      </c>
      <c r="C1070" t="inlineStr">
        <is>
          <t>Week5-Apr-2026</t>
        </is>
      </c>
      <c r="D1070" s="78" t="n">
        <v>46113</v>
      </c>
      <c r="E1070" t="inlineStr">
        <is>
          <t>Q1FY27</t>
        </is>
      </c>
      <c r="F1070" t="inlineStr">
        <is>
          <t>21-May-2026</t>
        </is>
      </c>
      <c r="G1070" t="inlineStr">
        <is>
          <t>Thursday</t>
        </is>
      </c>
      <c r="H1070" t="inlineStr">
        <is>
          <t>Weekly - Thursday</t>
        </is>
      </c>
      <c r="I1070" t="inlineStr">
        <is>
          <t>Weekly - Thursday</t>
        </is>
      </c>
      <c r="J1070" t="inlineStr">
        <is>
          <t>Month+1 Expiry</t>
        </is>
      </c>
      <c r="K1070" s="25" t="n">
        <v>24</v>
      </c>
      <c r="L1070" s="26" t="n">
        <v>0.039</v>
      </c>
      <c r="M1070" s="26" t="n">
        <v>0.0003</v>
      </c>
    </row>
    <row r="1071" ht="16" customHeight="1">
      <c r="A1071" t="inlineStr">
        <is>
          <t>30-Apr-2026</t>
        </is>
      </c>
      <c r="B1071" t="inlineStr">
        <is>
          <t>Thursday</t>
        </is>
      </c>
      <c r="C1071" t="inlineStr">
        <is>
          <t>Week5-Apr-2026</t>
        </is>
      </c>
      <c r="D1071" s="78" t="n">
        <v>46113</v>
      </c>
      <c r="E1071" t="inlineStr">
        <is>
          <t>Q1FY27</t>
        </is>
      </c>
      <c r="F1071" t="inlineStr">
        <is>
          <t>27-May-2026</t>
        </is>
      </c>
      <c r="G1071" t="inlineStr">
        <is>
          <t>Wednesday</t>
        </is>
      </c>
      <c r="H1071" t="inlineStr">
        <is>
          <t>Monthly - Wednesday</t>
        </is>
      </c>
      <c r="I1071" t="inlineStr">
        <is>
          <t>Monthly - Wednesday</t>
        </is>
      </c>
      <c r="J1071" t="inlineStr">
        <is>
          <t>Month+1 Expiry</t>
        </is>
      </c>
      <c r="K1071" s="25" t="n">
        <v>18371</v>
      </c>
      <c r="L1071" s="26" t="n">
        <v>29.4081</v>
      </c>
      <c r="M1071" s="26" t="n">
        <v>0.6324</v>
      </c>
    </row>
    <row r="1072" ht="16" customHeight="1">
      <c r="A1072" t="inlineStr">
        <is>
          <t>30-Apr-2026</t>
        </is>
      </c>
      <c r="B1072" t="inlineStr">
        <is>
          <t>Thursday</t>
        </is>
      </c>
      <c r="C1072" t="inlineStr">
        <is>
          <t>Week5-Apr-2026</t>
        </is>
      </c>
      <c r="D1072" s="78" t="n">
        <v>46113</v>
      </c>
      <c r="E1072" t="inlineStr">
        <is>
          <t>Q1FY27</t>
        </is>
      </c>
      <c r="F1072" t="inlineStr">
        <is>
          <t>04-Jun-2026</t>
        </is>
      </c>
      <c r="G1072" t="inlineStr">
        <is>
          <t>Thursday</t>
        </is>
      </c>
      <c r="H1072" t="inlineStr">
        <is>
          <t>Weekly - Thursday</t>
        </is>
      </c>
      <c r="I1072" t="inlineStr">
        <is>
          <t>Weekly - Thursday</t>
        </is>
      </c>
      <c r="J1072" t="inlineStr">
        <is>
          <t>Month+2 Expiry</t>
        </is>
      </c>
      <c r="K1072" s="25" t="n">
        <v>1</v>
      </c>
      <c r="L1072" s="26" t="n">
        <v>0.0016</v>
      </c>
      <c r="M1072" s="26" t="n">
        <v>0</v>
      </c>
    </row>
    <row r="1073" ht="16" customHeight="1">
      <c r="A1073" t="inlineStr">
        <is>
          <t>30-Apr-2026</t>
        </is>
      </c>
      <c r="B1073" t="inlineStr">
        <is>
          <t>Thursday</t>
        </is>
      </c>
      <c r="C1073" t="inlineStr">
        <is>
          <t>Week5-Apr-2026</t>
        </is>
      </c>
      <c r="D1073" s="78" t="n">
        <v>46113</v>
      </c>
      <c r="E1073" t="inlineStr">
        <is>
          <t>Q1FY27</t>
        </is>
      </c>
      <c r="F1073" t="inlineStr">
        <is>
          <t>25-Jun-2026</t>
        </is>
      </c>
      <c r="G1073" t="inlineStr">
        <is>
          <t>Thursday</t>
        </is>
      </c>
      <c r="H1073" t="inlineStr">
        <is>
          <t>Monthly - Thursday</t>
        </is>
      </c>
      <c r="I1073" t="inlineStr">
        <is>
          <t>Monthly - Thursday</t>
        </is>
      </c>
      <c r="J1073" t="inlineStr">
        <is>
          <t>Month+2 Expiry</t>
        </is>
      </c>
      <c r="K1073" s="25" t="n">
        <v>295</v>
      </c>
      <c r="L1073" s="26" t="n">
        <v>0.4711</v>
      </c>
      <c r="M1073" s="26" t="n">
        <v>0.0107</v>
      </c>
    </row>
    <row r="1074" ht="16" customHeight="1">
      <c r="A1074" t="inlineStr">
        <is>
          <t>04-May-2026</t>
        </is>
      </c>
      <c r="B1074" t="inlineStr">
        <is>
          <t>Monday</t>
        </is>
      </c>
      <c r="C1074" t="inlineStr">
        <is>
          <t>Week1-May-2026</t>
        </is>
      </c>
      <c r="D1074" s="78" t="n">
        <v>46143</v>
      </c>
      <c r="E1074" t="inlineStr">
        <is>
          <t>Q1FY27</t>
        </is>
      </c>
      <c r="F1074" t="inlineStr">
        <is>
          <t>07-May-2026</t>
        </is>
      </c>
      <c r="G1074" t="inlineStr">
        <is>
          <t>Thursday</t>
        </is>
      </c>
      <c r="H1074" t="inlineStr">
        <is>
          <t>Weekly - Thursday</t>
        </is>
      </c>
      <c r="I1074" t="inlineStr">
        <is>
          <t>Weekly - Thursday</t>
        </is>
      </c>
      <c r="J1074" t="inlineStr">
        <is>
          <t>Same Month Expiry</t>
        </is>
      </c>
      <c r="K1074" s="25" t="n">
        <v>23860456</v>
      </c>
      <c r="L1074" s="26" t="n">
        <v>37097.0315</v>
      </c>
      <c r="M1074" s="26" t="n">
        <v>148.4856</v>
      </c>
    </row>
    <row r="1075" ht="16" customHeight="1">
      <c r="A1075" t="inlineStr">
        <is>
          <t>04-May-2026</t>
        </is>
      </c>
      <c r="B1075" t="inlineStr">
        <is>
          <t>Monday</t>
        </is>
      </c>
      <c r="C1075" t="inlineStr">
        <is>
          <t>Week1-May-2026</t>
        </is>
      </c>
      <c r="D1075" s="78" t="n">
        <v>46143</v>
      </c>
      <c r="E1075" t="inlineStr">
        <is>
          <t>Q1FY27</t>
        </is>
      </c>
      <c r="F1075" t="inlineStr">
        <is>
          <t>14-May-2026</t>
        </is>
      </c>
      <c r="G1075" t="inlineStr">
        <is>
          <t>Thursday</t>
        </is>
      </c>
      <c r="H1075" t="inlineStr">
        <is>
          <t>Weekly - Thursday</t>
        </is>
      </c>
      <c r="I1075" t="inlineStr">
        <is>
          <t>Weekly - Thursday</t>
        </is>
      </c>
      <c r="J1075" t="inlineStr">
        <is>
          <t>Same Month Expiry</t>
        </is>
      </c>
      <c r="K1075" s="25" t="n">
        <v>90268</v>
      </c>
      <c r="L1075" s="26" t="n">
        <v>141.8896</v>
      </c>
      <c r="M1075" s="26" t="n">
        <v>0.976</v>
      </c>
    </row>
    <row r="1076" ht="16" customHeight="1">
      <c r="A1076" t="inlineStr">
        <is>
          <t>04-May-2026</t>
        </is>
      </c>
      <c r="B1076" t="inlineStr">
        <is>
          <t>Monday</t>
        </is>
      </c>
      <c r="C1076" t="inlineStr">
        <is>
          <t>Week1-May-2026</t>
        </is>
      </c>
      <c r="D1076" s="78" t="n">
        <v>46143</v>
      </c>
      <c r="E1076" t="inlineStr">
        <is>
          <t>Q1FY27</t>
        </is>
      </c>
      <c r="F1076" t="inlineStr">
        <is>
          <t>21-May-2026</t>
        </is>
      </c>
      <c r="G1076" t="inlineStr">
        <is>
          <t>Thursday</t>
        </is>
      </c>
      <c r="H1076" t="inlineStr">
        <is>
          <t>Weekly - Thursday</t>
        </is>
      </c>
      <c r="I1076" t="inlineStr">
        <is>
          <t>Weekly - Thursday</t>
        </is>
      </c>
      <c r="J1076" t="inlineStr">
        <is>
          <t>Same Month Expiry</t>
        </is>
      </c>
      <c r="K1076" s="25" t="n">
        <v>1107</v>
      </c>
      <c r="L1076" s="26" t="n">
        <v>1.7423</v>
      </c>
      <c r="M1076" s="26" t="n">
        <v>0.0261</v>
      </c>
    </row>
    <row r="1077" ht="16" customHeight="1">
      <c r="A1077" t="inlineStr">
        <is>
          <t>04-May-2026</t>
        </is>
      </c>
      <c r="B1077" t="inlineStr">
        <is>
          <t>Monday</t>
        </is>
      </c>
      <c r="C1077" t="inlineStr">
        <is>
          <t>Week1-May-2026</t>
        </is>
      </c>
      <c r="D1077" s="78" t="n">
        <v>46143</v>
      </c>
      <c r="E1077" t="inlineStr">
        <is>
          <t>Q1FY27</t>
        </is>
      </c>
      <c r="F1077" t="inlineStr">
        <is>
          <t>27-May-2026</t>
        </is>
      </c>
      <c r="G1077" t="inlineStr">
        <is>
          <t>Wednesday</t>
        </is>
      </c>
      <c r="H1077" t="inlineStr">
        <is>
          <t>Monthly - Wednesday</t>
        </is>
      </c>
      <c r="I1077" t="inlineStr">
        <is>
          <t>Monthly - Wednesday</t>
        </is>
      </c>
      <c r="J1077" t="inlineStr">
        <is>
          <t>Same Month Expiry</t>
        </is>
      </c>
      <c r="K1077" s="25" t="n">
        <v>69728</v>
      </c>
      <c r="L1077" s="26" t="n">
        <v>120.838</v>
      </c>
      <c r="M1077" s="26" t="n">
        <v>0.3756</v>
      </c>
    </row>
    <row r="1078" ht="16" customHeight="1">
      <c r="A1078" t="inlineStr">
        <is>
          <t>04-May-2026</t>
        </is>
      </c>
      <c r="B1078" t="inlineStr">
        <is>
          <t>Monday</t>
        </is>
      </c>
      <c r="C1078" t="inlineStr">
        <is>
          <t>Week1-May-2026</t>
        </is>
      </c>
      <c r="D1078" s="78" t="n">
        <v>46143</v>
      </c>
      <c r="E1078" t="inlineStr">
        <is>
          <t>Q1FY27</t>
        </is>
      </c>
      <c r="F1078" t="inlineStr">
        <is>
          <t>04-Jun-2026</t>
        </is>
      </c>
      <c r="G1078" t="inlineStr">
        <is>
          <t>Thursday</t>
        </is>
      </c>
      <c r="H1078" t="inlineStr">
        <is>
          <t>Weekly - Thursday</t>
        </is>
      </c>
      <c r="I1078" t="inlineStr">
        <is>
          <t>Weekly - Thursday</t>
        </is>
      </c>
      <c r="J1078" t="inlineStr">
        <is>
          <t>Month+1 Expiry</t>
        </is>
      </c>
      <c r="K1078" s="25" t="n">
        <v>2</v>
      </c>
      <c r="L1078" s="26" t="n">
        <v>0.0032</v>
      </c>
      <c r="M1078" s="26" t="n">
        <v>0.0001</v>
      </c>
    </row>
    <row r="1079" ht="16" customHeight="1">
      <c r="A1079" t="inlineStr">
        <is>
          <t>04-May-2026</t>
        </is>
      </c>
      <c r="B1079" t="inlineStr">
        <is>
          <t>Monday</t>
        </is>
      </c>
      <c r="C1079" t="inlineStr">
        <is>
          <t>Week1-May-2026</t>
        </is>
      </c>
      <c r="D1079" s="78" t="n">
        <v>46143</v>
      </c>
      <c r="E1079" t="inlineStr">
        <is>
          <t>Q1FY27</t>
        </is>
      </c>
      <c r="F1079" t="inlineStr">
        <is>
          <t>25-Jun-2026</t>
        </is>
      </c>
      <c r="G1079" t="inlineStr">
        <is>
          <t>Thursday</t>
        </is>
      </c>
      <c r="H1079" t="inlineStr">
        <is>
          <t>Monthly - Thursday</t>
        </is>
      </c>
      <c r="I1079" t="inlineStr">
        <is>
          <t>Monthly - Thursday</t>
        </is>
      </c>
      <c r="J1079" t="inlineStr">
        <is>
          <t>Month+1 Expiry</t>
        </is>
      </c>
      <c r="K1079" s="25" t="n">
        <v>237</v>
      </c>
      <c r="L1079" s="26" t="n">
        <v>0.3793</v>
      </c>
      <c r="M1079" s="26" t="n">
        <v>0.008699999999999999</v>
      </c>
    </row>
    <row r="1080" ht="16" customHeight="1">
      <c r="A1080" t="inlineStr">
        <is>
          <t>05-May-2026</t>
        </is>
      </c>
      <c r="B1080" t="inlineStr">
        <is>
          <t>Tuesday</t>
        </is>
      </c>
      <c r="C1080" t="inlineStr">
        <is>
          <t>Week1-May-2026</t>
        </is>
      </c>
      <c r="D1080" s="78" t="n">
        <v>46143</v>
      </c>
      <c r="E1080" t="inlineStr">
        <is>
          <t>Q1FY27</t>
        </is>
      </c>
      <c r="F1080" t="inlineStr">
        <is>
          <t>07-May-2026</t>
        </is>
      </c>
      <c r="G1080" t="inlineStr">
        <is>
          <t>Thursday</t>
        </is>
      </c>
      <c r="H1080" t="inlineStr">
        <is>
          <t>Weekly - Thursday</t>
        </is>
      </c>
      <c r="I1080" t="inlineStr">
        <is>
          <t>Weekly - Thursday</t>
        </is>
      </c>
      <c r="J1080" t="inlineStr">
        <is>
          <t>Same Month Expiry</t>
        </is>
      </c>
      <c r="K1080" s="25" t="n">
        <v>26472603</v>
      </c>
      <c r="L1080" s="26" t="n">
        <v>40955.07</v>
      </c>
      <c r="M1080" s="26" t="n">
        <v>117.9514</v>
      </c>
    </row>
    <row r="1081" ht="16" customHeight="1">
      <c r="A1081" t="inlineStr">
        <is>
          <t>05-May-2026</t>
        </is>
      </c>
      <c r="B1081" t="inlineStr">
        <is>
          <t>Tuesday</t>
        </is>
      </c>
      <c r="C1081" t="inlineStr">
        <is>
          <t>Week1-May-2026</t>
        </is>
      </c>
      <c r="D1081" s="78" t="n">
        <v>46143</v>
      </c>
      <c r="E1081" t="inlineStr">
        <is>
          <t>Q1FY27</t>
        </is>
      </c>
      <c r="F1081" t="inlineStr">
        <is>
          <t>14-May-2026</t>
        </is>
      </c>
      <c r="G1081" t="inlineStr">
        <is>
          <t>Thursday</t>
        </is>
      </c>
      <c r="H1081" t="inlineStr">
        <is>
          <t>Weekly - Thursday</t>
        </is>
      </c>
      <c r="I1081" t="inlineStr">
        <is>
          <t>Weekly - Thursday</t>
        </is>
      </c>
      <c r="J1081" t="inlineStr">
        <is>
          <t>Same Month Expiry</t>
        </is>
      </c>
      <c r="K1081" s="25" t="n">
        <v>189691</v>
      </c>
      <c r="L1081" s="26" t="n">
        <v>294.6646</v>
      </c>
      <c r="M1081" s="26" t="n">
        <v>1.4328</v>
      </c>
    </row>
    <row r="1082" ht="16" customHeight="1">
      <c r="A1082" t="inlineStr">
        <is>
          <t>05-May-2026</t>
        </is>
      </c>
      <c r="B1082" t="inlineStr">
        <is>
          <t>Tuesday</t>
        </is>
      </c>
      <c r="C1082" t="inlineStr">
        <is>
          <t>Week1-May-2026</t>
        </is>
      </c>
      <c r="D1082" s="78" t="n">
        <v>46143</v>
      </c>
      <c r="E1082" t="inlineStr">
        <is>
          <t>Q1FY27</t>
        </is>
      </c>
      <c r="F1082" t="inlineStr">
        <is>
          <t>21-May-2026</t>
        </is>
      </c>
      <c r="G1082" t="inlineStr">
        <is>
          <t>Thursday</t>
        </is>
      </c>
      <c r="H1082" t="inlineStr">
        <is>
          <t>Weekly - Thursday</t>
        </is>
      </c>
      <c r="I1082" t="inlineStr">
        <is>
          <t>Weekly - Thursday</t>
        </is>
      </c>
      <c r="J1082" t="inlineStr">
        <is>
          <t>Same Month Expiry</t>
        </is>
      </c>
      <c r="K1082" s="25" t="n">
        <v>639</v>
      </c>
      <c r="L1082" s="26" t="n">
        <v>1.0032</v>
      </c>
      <c r="M1082" s="26" t="n">
        <v>0.0128</v>
      </c>
    </row>
    <row r="1083" ht="16" customHeight="1">
      <c r="A1083" t="inlineStr">
        <is>
          <t>05-May-2026</t>
        </is>
      </c>
      <c r="B1083" t="inlineStr">
        <is>
          <t>Tuesday</t>
        </is>
      </c>
      <c r="C1083" t="inlineStr">
        <is>
          <t>Week1-May-2026</t>
        </is>
      </c>
      <c r="D1083" s="78" t="n">
        <v>46143</v>
      </c>
      <c r="E1083" t="inlineStr">
        <is>
          <t>Q1FY27</t>
        </is>
      </c>
      <c r="F1083" t="inlineStr">
        <is>
          <t>27-May-2026</t>
        </is>
      </c>
      <c r="G1083" t="inlineStr">
        <is>
          <t>Wednesday</t>
        </is>
      </c>
      <c r="H1083" t="inlineStr">
        <is>
          <t>Monthly - Wednesday</t>
        </is>
      </c>
      <c r="I1083" t="inlineStr">
        <is>
          <t>Monthly - Wednesday</t>
        </is>
      </c>
      <c r="J1083" t="inlineStr">
        <is>
          <t>Same Month Expiry</t>
        </is>
      </c>
      <c r="K1083" s="25" t="n">
        <v>19227</v>
      </c>
      <c r="L1083" s="26" t="n">
        <v>30.1445</v>
      </c>
      <c r="M1083" s="26" t="n">
        <v>0.3375</v>
      </c>
    </row>
    <row r="1084" ht="16" customHeight="1">
      <c r="A1084" t="inlineStr">
        <is>
          <t>05-May-2026</t>
        </is>
      </c>
      <c r="B1084" t="inlineStr">
        <is>
          <t>Tuesday</t>
        </is>
      </c>
      <c r="C1084" t="inlineStr">
        <is>
          <t>Week1-May-2026</t>
        </is>
      </c>
      <c r="D1084" s="78" t="n">
        <v>46143</v>
      </c>
      <c r="E1084" t="inlineStr">
        <is>
          <t>Q1FY27</t>
        </is>
      </c>
      <c r="F1084" t="inlineStr">
        <is>
          <t>04-Jun-2026</t>
        </is>
      </c>
      <c r="G1084" t="inlineStr">
        <is>
          <t>Thursday</t>
        </is>
      </c>
      <c r="H1084" t="inlineStr">
        <is>
          <t>Weekly - Thursday</t>
        </is>
      </c>
      <c r="I1084" t="inlineStr">
        <is>
          <t>Weekly - Thursday</t>
        </is>
      </c>
      <c r="J1084" t="inlineStr">
        <is>
          <t>Month+1 Expiry</t>
        </is>
      </c>
      <c r="K1084" s="25" t="n">
        <v>0</v>
      </c>
      <c r="L1084" s="26" t="n">
        <v>0</v>
      </c>
      <c r="M1084" s="26" t="n">
        <v>0</v>
      </c>
    </row>
    <row r="1085" ht="16" customHeight="1">
      <c r="A1085" t="inlineStr">
        <is>
          <t>05-May-2026</t>
        </is>
      </c>
      <c r="B1085" t="inlineStr">
        <is>
          <t>Tuesday</t>
        </is>
      </c>
      <c r="C1085" t="inlineStr">
        <is>
          <t>Week1-May-2026</t>
        </is>
      </c>
      <c r="D1085" s="78" t="n">
        <v>46143</v>
      </c>
      <c r="E1085" t="inlineStr">
        <is>
          <t>Q1FY27</t>
        </is>
      </c>
      <c r="F1085" t="inlineStr">
        <is>
          <t>25-Jun-2026</t>
        </is>
      </c>
      <c r="G1085" t="inlineStr">
        <is>
          <t>Thursday</t>
        </is>
      </c>
      <c r="H1085" t="inlineStr">
        <is>
          <t>Monthly - Thursday</t>
        </is>
      </c>
      <c r="I1085" t="inlineStr">
        <is>
          <t>Monthly - Thursday</t>
        </is>
      </c>
      <c r="J1085" t="inlineStr">
        <is>
          <t>Month+1 Expiry</t>
        </is>
      </c>
      <c r="K1085" s="25" t="n">
        <v>316</v>
      </c>
      <c r="L1085" s="26" t="n">
        <v>0.4987</v>
      </c>
      <c r="M1085" s="26" t="n">
        <v>0.011</v>
      </c>
    </row>
    <row r="1086" ht="16" customHeight="1">
      <c r="A1086" t="inlineStr">
        <is>
          <t>06-May-2026</t>
        </is>
      </c>
      <c r="B1086" t="inlineStr">
        <is>
          <t>Wednesday</t>
        </is>
      </c>
      <c r="C1086" t="inlineStr">
        <is>
          <t>Week1-May-2026</t>
        </is>
      </c>
      <c r="D1086" s="78" t="n">
        <v>46143</v>
      </c>
      <c r="E1086" t="inlineStr">
        <is>
          <t>Q1FY27</t>
        </is>
      </c>
      <c r="F1086" t="inlineStr">
        <is>
          <t>07-May-2026</t>
        </is>
      </c>
      <c r="G1086" t="inlineStr">
        <is>
          <t>Thursday</t>
        </is>
      </c>
      <c r="H1086" t="inlineStr">
        <is>
          <t>Weekly - Thursday</t>
        </is>
      </c>
      <c r="I1086" t="inlineStr">
        <is>
          <t>Weekly - Thursday</t>
        </is>
      </c>
      <c r="J1086" t="inlineStr">
        <is>
          <t>Same Month Expiry</t>
        </is>
      </c>
      <c r="K1086" s="25" t="n">
        <v>154690847</v>
      </c>
      <c r="L1086" s="26" t="n">
        <v>240268.4372</v>
      </c>
      <c r="M1086" s="26" t="n">
        <v>505.4402</v>
      </c>
    </row>
    <row r="1087" ht="16" customHeight="1">
      <c r="A1087" t="inlineStr">
        <is>
          <t>06-May-2026</t>
        </is>
      </c>
      <c r="B1087" t="inlineStr">
        <is>
          <t>Wednesday</t>
        </is>
      </c>
      <c r="C1087" t="inlineStr">
        <is>
          <t>Week1-May-2026</t>
        </is>
      </c>
      <c r="D1087" s="78" t="n">
        <v>46143</v>
      </c>
      <c r="E1087" t="inlineStr">
        <is>
          <t>Q1FY27</t>
        </is>
      </c>
      <c r="F1087" t="inlineStr">
        <is>
          <t>14-May-2026</t>
        </is>
      </c>
      <c r="G1087" t="inlineStr">
        <is>
          <t>Thursday</t>
        </is>
      </c>
      <c r="H1087" t="inlineStr">
        <is>
          <t>Weekly - Thursday</t>
        </is>
      </c>
      <c r="I1087" t="inlineStr">
        <is>
          <t>Weekly - Thursday</t>
        </is>
      </c>
      <c r="J1087" t="inlineStr">
        <is>
          <t>Same Month Expiry</t>
        </is>
      </c>
      <c r="K1087" s="25" t="n">
        <v>789865</v>
      </c>
      <c r="L1087" s="26" t="n">
        <v>1227.6057</v>
      </c>
      <c r="M1087" s="26" t="n">
        <v>5.174</v>
      </c>
    </row>
    <row r="1088" ht="16" customHeight="1">
      <c r="A1088" t="inlineStr">
        <is>
          <t>06-May-2026</t>
        </is>
      </c>
      <c r="B1088" t="inlineStr">
        <is>
          <t>Wednesday</t>
        </is>
      </c>
      <c r="C1088" t="inlineStr">
        <is>
          <t>Week1-May-2026</t>
        </is>
      </c>
      <c r="D1088" s="78" t="n">
        <v>46143</v>
      </c>
      <c r="E1088" t="inlineStr">
        <is>
          <t>Q1FY27</t>
        </is>
      </c>
      <c r="F1088" t="inlineStr">
        <is>
          <t>21-May-2026</t>
        </is>
      </c>
      <c r="G1088" t="inlineStr">
        <is>
          <t>Thursday</t>
        </is>
      </c>
      <c r="H1088" t="inlineStr">
        <is>
          <t>Weekly - Thursday</t>
        </is>
      </c>
      <c r="I1088" t="inlineStr">
        <is>
          <t>Weekly - Thursday</t>
        </is>
      </c>
      <c r="J1088" t="inlineStr">
        <is>
          <t>Same Month Expiry</t>
        </is>
      </c>
      <c r="K1088" s="25" t="n">
        <v>2434</v>
      </c>
      <c r="L1088" s="26" t="n">
        <v>3.8249</v>
      </c>
      <c r="M1088" s="26" t="n">
        <v>0.0467</v>
      </c>
    </row>
    <row r="1089" ht="16" customHeight="1">
      <c r="A1089" t="inlineStr">
        <is>
          <t>06-May-2026</t>
        </is>
      </c>
      <c r="B1089" t="inlineStr">
        <is>
          <t>Wednesday</t>
        </is>
      </c>
      <c r="C1089" t="inlineStr">
        <is>
          <t>Week1-May-2026</t>
        </is>
      </c>
      <c r="D1089" s="78" t="n">
        <v>46143</v>
      </c>
      <c r="E1089" t="inlineStr">
        <is>
          <t>Q1FY27</t>
        </is>
      </c>
      <c r="F1089" t="inlineStr">
        <is>
          <t>27-May-2026</t>
        </is>
      </c>
      <c r="G1089" t="inlineStr">
        <is>
          <t>Wednesday</t>
        </is>
      </c>
      <c r="H1089" t="inlineStr">
        <is>
          <t>Monthly - Wednesday</t>
        </is>
      </c>
      <c r="I1089" t="inlineStr">
        <is>
          <t>Monthly - Wednesday</t>
        </is>
      </c>
      <c r="J1089" t="inlineStr">
        <is>
          <t>Same Month Expiry</t>
        </is>
      </c>
      <c r="K1089" s="25" t="n">
        <v>29115</v>
      </c>
      <c r="L1089" s="26" t="n">
        <v>45.9074</v>
      </c>
      <c r="M1089" s="26" t="n">
        <v>0.4381</v>
      </c>
    </row>
    <row r="1090" ht="16" customHeight="1">
      <c r="A1090" t="inlineStr">
        <is>
          <t>06-May-2026</t>
        </is>
      </c>
      <c r="B1090" t="inlineStr">
        <is>
          <t>Wednesday</t>
        </is>
      </c>
      <c r="C1090" t="inlineStr">
        <is>
          <t>Week1-May-2026</t>
        </is>
      </c>
      <c r="D1090" s="78" t="n">
        <v>46143</v>
      </c>
      <c r="E1090" t="inlineStr">
        <is>
          <t>Q1FY27</t>
        </is>
      </c>
      <c r="F1090" t="inlineStr">
        <is>
          <t>04-Jun-2026</t>
        </is>
      </c>
      <c r="G1090" t="inlineStr">
        <is>
          <t>Thursday</t>
        </is>
      </c>
      <c r="H1090" t="inlineStr">
        <is>
          <t>Weekly - Thursday</t>
        </is>
      </c>
      <c r="I1090" t="inlineStr">
        <is>
          <t>Weekly - Thursday</t>
        </is>
      </c>
      <c r="J1090" t="inlineStr">
        <is>
          <t>Month+1 Expiry</t>
        </is>
      </c>
      <c r="K1090" s="25" t="n">
        <v>0</v>
      </c>
      <c r="L1090" s="26" t="n">
        <v>0</v>
      </c>
      <c r="M1090" s="26" t="n">
        <v>0</v>
      </c>
    </row>
    <row r="1091" ht="16" customHeight="1">
      <c r="A1091" t="inlineStr">
        <is>
          <t>06-May-2026</t>
        </is>
      </c>
      <c r="B1091" t="inlineStr">
        <is>
          <t>Wednesday</t>
        </is>
      </c>
      <c r="C1091" t="inlineStr">
        <is>
          <t>Week1-May-2026</t>
        </is>
      </c>
      <c r="D1091" s="78" t="n">
        <v>46143</v>
      </c>
      <c r="E1091" t="inlineStr">
        <is>
          <t>Q1FY27</t>
        </is>
      </c>
      <c r="F1091" t="inlineStr">
        <is>
          <t>25-Jun-2026</t>
        </is>
      </c>
      <c r="G1091" t="inlineStr">
        <is>
          <t>Thursday</t>
        </is>
      </c>
      <c r="H1091" t="inlineStr">
        <is>
          <t>Monthly - Thursday</t>
        </is>
      </c>
      <c r="I1091" t="inlineStr">
        <is>
          <t>Monthly - Thursday</t>
        </is>
      </c>
      <c r="J1091" t="inlineStr">
        <is>
          <t>Month+1 Expiry</t>
        </is>
      </c>
      <c r="K1091" s="25" t="n">
        <v>341</v>
      </c>
      <c r="L1091" s="26" t="n">
        <v>0.5426</v>
      </c>
      <c r="M1091" s="26" t="n">
        <v>0.0118</v>
      </c>
    </row>
    <row r="1092" ht="16" customHeight="1">
      <c r="A1092" t="inlineStr">
        <is>
          <t>07-May-2026</t>
        </is>
      </c>
      <c r="B1092" t="inlineStr">
        <is>
          <t>Thursday</t>
        </is>
      </c>
      <c r="C1092" t="inlineStr">
        <is>
          <t>Week1-May-2026</t>
        </is>
      </c>
      <c r="D1092" s="78" t="n">
        <v>46143</v>
      </c>
      <c r="E1092" t="inlineStr">
        <is>
          <t>Q1FY27</t>
        </is>
      </c>
      <c r="F1092" t="inlineStr">
        <is>
          <t>07-May-2026</t>
        </is>
      </c>
      <c r="G1092" t="inlineStr">
        <is>
          <t>Thursday</t>
        </is>
      </c>
      <c r="H1092" t="inlineStr">
        <is>
          <t>Weekly - Thursday</t>
        </is>
      </c>
      <c r="I1092" t="inlineStr">
        <is>
          <t>Weekly - Thursday</t>
        </is>
      </c>
      <c r="J1092" t="inlineStr">
        <is>
          <t>Same Month Expiry</t>
        </is>
      </c>
      <c r="K1092" s="25" t="n">
        <v>579709230</v>
      </c>
      <c r="L1092" s="26" t="n">
        <v>905566.3691</v>
      </c>
      <c r="M1092" s="26" t="n">
        <v>746.8465</v>
      </c>
    </row>
    <row r="1093" ht="16" customHeight="1">
      <c r="A1093" t="inlineStr">
        <is>
          <t>07-May-2026</t>
        </is>
      </c>
      <c r="B1093" t="inlineStr">
        <is>
          <t>Thursday</t>
        </is>
      </c>
      <c r="C1093" t="inlineStr">
        <is>
          <t>Week1-May-2026</t>
        </is>
      </c>
      <c r="D1093" s="78" t="n">
        <v>46143</v>
      </c>
      <c r="E1093" t="inlineStr">
        <is>
          <t>Q1FY27</t>
        </is>
      </c>
      <c r="F1093" t="inlineStr">
        <is>
          <t>14-May-2026</t>
        </is>
      </c>
      <c r="G1093" t="inlineStr">
        <is>
          <t>Thursday</t>
        </is>
      </c>
      <c r="H1093" t="inlineStr">
        <is>
          <t>Weekly - Thursday</t>
        </is>
      </c>
      <c r="I1093" t="inlineStr">
        <is>
          <t>Weekly - Thursday</t>
        </is>
      </c>
      <c r="J1093" t="inlineStr">
        <is>
          <t>Same Month Expiry</t>
        </is>
      </c>
      <c r="K1093" s="25" t="n">
        <v>1994951</v>
      </c>
      <c r="L1093" s="26" t="n">
        <v>3128.5052</v>
      </c>
      <c r="M1093" s="26" t="n">
        <v>15.0473</v>
      </c>
    </row>
    <row r="1094" ht="16" customHeight="1">
      <c r="A1094" t="inlineStr">
        <is>
          <t>07-May-2026</t>
        </is>
      </c>
      <c r="B1094" t="inlineStr">
        <is>
          <t>Thursday</t>
        </is>
      </c>
      <c r="C1094" t="inlineStr">
        <is>
          <t>Week1-May-2026</t>
        </is>
      </c>
      <c r="D1094" s="78" t="n">
        <v>46143</v>
      </c>
      <c r="E1094" t="inlineStr">
        <is>
          <t>Q1FY27</t>
        </is>
      </c>
      <c r="F1094" t="inlineStr">
        <is>
          <t>21-May-2026</t>
        </is>
      </c>
      <c r="G1094" t="inlineStr">
        <is>
          <t>Thursday</t>
        </is>
      </c>
      <c r="H1094" t="inlineStr">
        <is>
          <t>Weekly - Thursday</t>
        </is>
      </c>
      <c r="I1094" t="inlineStr">
        <is>
          <t>Weekly - Thursday</t>
        </is>
      </c>
      <c r="J1094" t="inlineStr">
        <is>
          <t>Same Month Expiry</t>
        </is>
      </c>
      <c r="K1094" s="25" t="n">
        <v>5177</v>
      </c>
      <c r="L1094" s="26" t="n">
        <v>8.118399999999999</v>
      </c>
      <c r="M1094" s="26" t="n">
        <v>0.0704</v>
      </c>
    </row>
    <row r="1095" ht="16" customHeight="1">
      <c r="A1095" t="inlineStr">
        <is>
          <t>07-May-2026</t>
        </is>
      </c>
      <c r="B1095" t="inlineStr">
        <is>
          <t>Thursday</t>
        </is>
      </c>
      <c r="C1095" t="inlineStr">
        <is>
          <t>Week1-May-2026</t>
        </is>
      </c>
      <c r="D1095" s="78" t="n">
        <v>46143</v>
      </c>
      <c r="E1095" t="inlineStr">
        <is>
          <t>Q1FY27</t>
        </is>
      </c>
      <c r="F1095" t="inlineStr">
        <is>
          <t>27-May-2026</t>
        </is>
      </c>
      <c r="G1095" t="inlineStr">
        <is>
          <t>Wednesday</t>
        </is>
      </c>
      <c r="H1095" t="inlineStr">
        <is>
          <t>Monthly - Wednesday</t>
        </is>
      </c>
      <c r="I1095" t="inlineStr">
        <is>
          <t>Monthly - Wednesday</t>
        </is>
      </c>
      <c r="J1095" t="inlineStr">
        <is>
          <t>Same Month Expiry</t>
        </is>
      </c>
      <c r="K1095" s="25" t="n">
        <v>45539</v>
      </c>
      <c r="L1095" s="26" t="n">
        <v>72.31189999999999</v>
      </c>
      <c r="M1095" s="26" t="n">
        <v>0.794</v>
      </c>
    </row>
    <row r="1096" ht="16" customHeight="1">
      <c r="A1096" t="inlineStr">
        <is>
          <t>07-May-2026</t>
        </is>
      </c>
      <c r="B1096" t="inlineStr">
        <is>
          <t>Thursday</t>
        </is>
      </c>
      <c r="C1096" t="inlineStr">
        <is>
          <t>Week1-May-2026</t>
        </is>
      </c>
      <c r="D1096" s="78" t="n">
        <v>46143</v>
      </c>
      <c r="E1096" t="inlineStr">
        <is>
          <t>Q1FY27</t>
        </is>
      </c>
      <c r="F1096" t="inlineStr">
        <is>
          <t>04-Jun-2026</t>
        </is>
      </c>
      <c r="G1096" t="inlineStr">
        <is>
          <t>Thursday</t>
        </is>
      </c>
      <c r="H1096" t="inlineStr">
        <is>
          <t>Weekly - Thursday</t>
        </is>
      </c>
      <c r="I1096" t="inlineStr">
        <is>
          <t>Weekly - Thursday</t>
        </is>
      </c>
      <c r="J1096" t="inlineStr">
        <is>
          <t>Month+1 Expiry</t>
        </is>
      </c>
      <c r="K1096" s="25" t="n">
        <v>1</v>
      </c>
      <c r="L1096" s="26" t="n">
        <v>0.0016</v>
      </c>
      <c r="M1096" s="26" t="n">
        <v>0</v>
      </c>
    </row>
    <row r="1097" ht="16" customHeight="1">
      <c r="A1097" t="inlineStr">
        <is>
          <t>07-May-2026</t>
        </is>
      </c>
      <c r="B1097" t="inlineStr">
        <is>
          <t>Thursday</t>
        </is>
      </c>
      <c r="C1097" t="inlineStr">
        <is>
          <t>Week1-May-2026</t>
        </is>
      </c>
      <c r="D1097" s="78" t="n">
        <v>46143</v>
      </c>
      <c r="E1097" t="inlineStr">
        <is>
          <t>Q1FY27</t>
        </is>
      </c>
      <c r="F1097" t="inlineStr">
        <is>
          <t>25-Jun-2026</t>
        </is>
      </c>
      <c r="G1097" t="inlineStr">
        <is>
          <t>Thursday</t>
        </is>
      </c>
      <c r="H1097" t="inlineStr">
        <is>
          <t>Monthly - Thursday</t>
        </is>
      </c>
      <c r="I1097" t="inlineStr">
        <is>
          <t>Monthly - Thursday</t>
        </is>
      </c>
      <c r="J1097" t="inlineStr">
        <is>
          <t>Month+1 Expiry</t>
        </is>
      </c>
      <c r="K1097" s="25" t="n">
        <v>669</v>
      </c>
      <c r="L1097" s="26" t="n">
        <v>1.0684</v>
      </c>
      <c r="M1097" s="26" t="n">
        <v>0.0244</v>
      </c>
    </row>
    <row r="1098" ht="16" customHeight="1">
      <c r="A1098" t="inlineStr">
        <is>
          <t>08-May-2026</t>
        </is>
      </c>
      <c r="B1098" t="inlineStr">
        <is>
          <t>Friday</t>
        </is>
      </c>
      <c r="C1098" t="inlineStr">
        <is>
          <t>Week2-May-2026</t>
        </is>
      </c>
      <c r="D1098" s="78" t="n">
        <v>46143</v>
      </c>
      <c r="E1098" t="inlineStr">
        <is>
          <t>Q1FY27</t>
        </is>
      </c>
      <c r="F1098" t="inlineStr">
        <is>
          <t>14-May-2026</t>
        </is>
      </c>
      <c r="G1098" t="inlineStr">
        <is>
          <t>Thursday</t>
        </is>
      </c>
      <c r="H1098" t="inlineStr">
        <is>
          <t>Weekly - Thursday</t>
        </is>
      </c>
      <c r="I1098" t="inlineStr">
        <is>
          <t>Weekly - Thursday</t>
        </is>
      </c>
      <c r="J1098" t="inlineStr">
        <is>
          <t>Same Month Expiry</t>
        </is>
      </c>
      <c r="K1098" s="25" t="n">
        <v>15203339</v>
      </c>
      <c r="L1098" s="26" t="n">
        <v>23649.5343</v>
      </c>
      <c r="M1098" s="26" t="n">
        <v>108.5668</v>
      </c>
    </row>
    <row r="1099" ht="16" customHeight="1">
      <c r="A1099" t="inlineStr">
        <is>
          <t>08-May-2026</t>
        </is>
      </c>
      <c r="B1099" t="inlineStr">
        <is>
          <t>Friday</t>
        </is>
      </c>
      <c r="C1099" t="inlineStr">
        <is>
          <t>Week2-May-2026</t>
        </is>
      </c>
      <c r="D1099" s="78" t="n">
        <v>46143</v>
      </c>
      <c r="E1099" t="inlineStr">
        <is>
          <t>Q1FY27</t>
        </is>
      </c>
      <c r="F1099" t="inlineStr">
        <is>
          <t>21-May-2026</t>
        </is>
      </c>
      <c r="G1099" t="inlineStr">
        <is>
          <t>Thursday</t>
        </is>
      </c>
      <c r="H1099" t="inlineStr">
        <is>
          <t>Weekly - Thursday</t>
        </is>
      </c>
      <c r="I1099" t="inlineStr">
        <is>
          <t>Weekly - Thursday</t>
        </is>
      </c>
      <c r="J1099" t="inlineStr">
        <is>
          <t>Same Month Expiry</t>
        </is>
      </c>
      <c r="K1099" s="25" t="n">
        <v>56214</v>
      </c>
      <c r="L1099" s="26" t="n">
        <v>88.3694</v>
      </c>
      <c r="M1099" s="26" t="n">
        <v>0.6603</v>
      </c>
    </row>
    <row r="1100" ht="16" customHeight="1">
      <c r="A1100" t="inlineStr">
        <is>
          <t>08-May-2026</t>
        </is>
      </c>
      <c r="B1100" t="inlineStr">
        <is>
          <t>Friday</t>
        </is>
      </c>
      <c r="C1100" t="inlineStr">
        <is>
          <t>Week2-May-2026</t>
        </is>
      </c>
      <c r="D1100" s="78" t="n">
        <v>46143</v>
      </c>
      <c r="E1100" t="inlineStr">
        <is>
          <t>Q1FY27</t>
        </is>
      </c>
      <c r="F1100" t="inlineStr">
        <is>
          <t>27-May-2026</t>
        </is>
      </c>
      <c r="G1100" t="inlineStr">
        <is>
          <t>Wednesday</t>
        </is>
      </c>
      <c r="H1100" t="inlineStr">
        <is>
          <t>Monthly - Wednesday</t>
        </is>
      </c>
      <c r="I1100" t="inlineStr">
        <is>
          <t>Monthly - Wednesday</t>
        </is>
      </c>
      <c r="J1100" t="inlineStr">
        <is>
          <t>Same Month Expiry</t>
        </is>
      </c>
      <c r="K1100" s="25" t="n">
        <v>29924</v>
      </c>
      <c r="L1100" s="26" t="n">
        <v>47.4759</v>
      </c>
      <c r="M1100" s="26" t="n">
        <v>0.4087</v>
      </c>
    </row>
    <row r="1101" ht="16" customHeight="1">
      <c r="A1101" t="inlineStr">
        <is>
          <t>08-May-2026</t>
        </is>
      </c>
      <c r="B1101" t="inlineStr">
        <is>
          <t>Friday</t>
        </is>
      </c>
      <c r="C1101" t="inlineStr">
        <is>
          <t>Week2-May-2026</t>
        </is>
      </c>
      <c r="D1101" s="78" t="n">
        <v>46143</v>
      </c>
      <c r="E1101" t="inlineStr">
        <is>
          <t>Q1FY27</t>
        </is>
      </c>
      <c r="F1101" t="inlineStr">
        <is>
          <t>04-Jun-2026</t>
        </is>
      </c>
      <c r="G1101" t="inlineStr">
        <is>
          <t>Thursday</t>
        </is>
      </c>
      <c r="H1101" t="inlineStr">
        <is>
          <t>Weekly - Thursday</t>
        </is>
      </c>
      <c r="I1101" t="inlineStr">
        <is>
          <t>Weekly - Thursday</t>
        </is>
      </c>
      <c r="J1101" t="inlineStr">
        <is>
          <t>Month+1 Expiry</t>
        </is>
      </c>
      <c r="K1101" s="25" t="n">
        <v>392</v>
      </c>
      <c r="L1101" s="26" t="n">
        <v>0.6198</v>
      </c>
      <c r="M1101" s="26" t="n">
        <v>0.0112</v>
      </c>
    </row>
    <row r="1102" ht="16" customHeight="1">
      <c r="A1102" t="inlineStr">
        <is>
          <t>08-May-2026</t>
        </is>
      </c>
      <c r="B1102" t="inlineStr">
        <is>
          <t>Friday</t>
        </is>
      </c>
      <c r="C1102" t="inlineStr">
        <is>
          <t>Week2-May-2026</t>
        </is>
      </c>
      <c r="D1102" s="78" t="n">
        <v>46143</v>
      </c>
      <c r="E1102" t="inlineStr">
        <is>
          <t>Q1FY27</t>
        </is>
      </c>
      <c r="F1102" t="inlineStr">
        <is>
          <t>25-Jun-2026</t>
        </is>
      </c>
      <c r="G1102" t="inlineStr">
        <is>
          <t>Thursday</t>
        </is>
      </c>
      <c r="H1102" t="inlineStr">
        <is>
          <t>Monthly - Thursday</t>
        </is>
      </c>
      <c r="I1102" t="inlineStr">
        <is>
          <t>Monthly - Thursday</t>
        </is>
      </c>
      <c r="J1102" t="inlineStr">
        <is>
          <t>Month+1 Expiry</t>
        </is>
      </c>
      <c r="K1102" s="25" t="n">
        <v>572</v>
      </c>
      <c r="L1102" s="26" t="n">
        <v>0.9089</v>
      </c>
      <c r="M1102" s="26" t="n">
        <v>0.0203</v>
      </c>
    </row>
    <row r="1103" ht="16" customHeight="1">
      <c r="A1103" t="inlineStr">
        <is>
          <t>11-May-2026</t>
        </is>
      </c>
      <c r="B1103" t="inlineStr">
        <is>
          <t>Monday</t>
        </is>
      </c>
      <c r="C1103" t="inlineStr">
        <is>
          <t>Week2-May-2026</t>
        </is>
      </c>
      <c r="D1103" s="78" t="n">
        <v>46143</v>
      </c>
      <c r="E1103" t="inlineStr">
        <is>
          <t>Q1FY27</t>
        </is>
      </c>
      <c r="F1103" t="inlineStr">
        <is>
          <t>14-May-2026</t>
        </is>
      </c>
      <c r="G1103" t="inlineStr">
        <is>
          <t>Thursday</t>
        </is>
      </c>
      <c r="H1103" t="inlineStr">
        <is>
          <t>Weekly - Thursday</t>
        </is>
      </c>
      <c r="I1103" t="inlineStr">
        <is>
          <t>Weekly - Thursday</t>
        </is>
      </c>
      <c r="J1103" t="inlineStr">
        <is>
          <t>Same Month Expiry</t>
        </is>
      </c>
      <c r="K1103" s="25" t="n">
        <v>19648716</v>
      </c>
      <c r="L1103" s="26" t="n">
        <v>30234.0805</v>
      </c>
      <c r="M1103" s="26" t="n">
        <v>115.6396</v>
      </c>
    </row>
    <row r="1104" ht="16" customHeight="1">
      <c r="A1104" t="inlineStr">
        <is>
          <t>11-May-2026</t>
        </is>
      </c>
      <c r="B1104" t="inlineStr">
        <is>
          <t>Monday</t>
        </is>
      </c>
      <c r="C1104" t="inlineStr">
        <is>
          <t>Week2-May-2026</t>
        </is>
      </c>
      <c r="D1104" s="78" t="n">
        <v>46143</v>
      </c>
      <c r="E1104" t="inlineStr">
        <is>
          <t>Q1FY27</t>
        </is>
      </c>
      <c r="F1104" t="inlineStr">
        <is>
          <t>21-May-2026</t>
        </is>
      </c>
      <c r="G1104" t="inlineStr">
        <is>
          <t>Thursday</t>
        </is>
      </c>
      <c r="H1104" t="inlineStr">
        <is>
          <t>Weekly - Thursday</t>
        </is>
      </c>
      <c r="I1104" t="inlineStr">
        <is>
          <t>Weekly - Thursday</t>
        </is>
      </c>
      <c r="J1104" t="inlineStr">
        <is>
          <t>Same Month Expiry</t>
        </is>
      </c>
      <c r="K1104" s="25" t="n">
        <v>97408</v>
      </c>
      <c r="L1104" s="26" t="n">
        <v>151.5093</v>
      </c>
      <c r="M1104" s="26" t="n">
        <v>1.0625</v>
      </c>
    </row>
    <row r="1105" ht="16" customHeight="1">
      <c r="A1105" t="inlineStr">
        <is>
          <t>11-May-2026</t>
        </is>
      </c>
      <c r="B1105" t="inlineStr">
        <is>
          <t>Monday</t>
        </is>
      </c>
      <c r="C1105" t="inlineStr">
        <is>
          <t>Week2-May-2026</t>
        </is>
      </c>
      <c r="D1105" s="78" t="n">
        <v>46143</v>
      </c>
      <c r="E1105" t="inlineStr">
        <is>
          <t>Q1FY27</t>
        </is>
      </c>
      <c r="F1105" t="inlineStr">
        <is>
          <t>27-May-2026</t>
        </is>
      </c>
      <c r="G1105" t="inlineStr">
        <is>
          <t>Wednesday</t>
        </is>
      </c>
      <c r="H1105" t="inlineStr">
        <is>
          <t>Monthly - Wednesday</t>
        </is>
      </c>
      <c r="I1105" t="inlineStr">
        <is>
          <t>Monthly - Wednesday</t>
        </is>
      </c>
      <c r="J1105" t="inlineStr">
        <is>
          <t>Same Month Expiry</t>
        </is>
      </c>
      <c r="K1105" s="25" t="n">
        <v>30448</v>
      </c>
      <c r="L1105" s="26" t="n">
        <v>47.9586</v>
      </c>
      <c r="M1105" s="26" t="n">
        <v>0.3758</v>
      </c>
    </row>
    <row r="1106" ht="16" customHeight="1">
      <c r="A1106" t="inlineStr">
        <is>
          <t>11-May-2026</t>
        </is>
      </c>
      <c r="B1106" t="inlineStr">
        <is>
          <t>Monday</t>
        </is>
      </c>
      <c r="C1106" t="inlineStr">
        <is>
          <t>Week2-May-2026</t>
        </is>
      </c>
      <c r="D1106" s="78" t="n">
        <v>46143</v>
      </c>
      <c r="E1106" t="inlineStr">
        <is>
          <t>Q1FY27</t>
        </is>
      </c>
      <c r="F1106" t="inlineStr">
        <is>
          <t>04-Jun-2026</t>
        </is>
      </c>
      <c r="G1106" t="inlineStr">
        <is>
          <t>Thursday</t>
        </is>
      </c>
      <c r="H1106" t="inlineStr">
        <is>
          <t>Weekly - Thursday</t>
        </is>
      </c>
      <c r="I1106" t="inlineStr">
        <is>
          <t>Weekly - Thursday</t>
        </is>
      </c>
      <c r="J1106" t="inlineStr">
        <is>
          <t>Month+1 Expiry</t>
        </is>
      </c>
      <c r="K1106" s="25" t="n">
        <v>263</v>
      </c>
      <c r="L1106" s="26" t="n">
        <v>0.4118</v>
      </c>
      <c r="M1106" s="26" t="n">
        <v>0.0068</v>
      </c>
    </row>
    <row r="1107" ht="16" customHeight="1">
      <c r="A1107" t="inlineStr">
        <is>
          <t>11-May-2026</t>
        </is>
      </c>
      <c r="B1107" t="inlineStr">
        <is>
          <t>Monday</t>
        </is>
      </c>
      <c r="C1107" t="inlineStr">
        <is>
          <t>Week2-May-2026</t>
        </is>
      </c>
      <c r="D1107" s="78" t="n">
        <v>46143</v>
      </c>
      <c r="E1107" t="inlineStr">
        <is>
          <t>Q1FY27</t>
        </is>
      </c>
      <c r="F1107" t="inlineStr">
        <is>
          <t>11-Jun-2026</t>
        </is>
      </c>
      <c r="G1107" t="inlineStr">
        <is>
          <t>Thursday</t>
        </is>
      </c>
      <c r="H1107" t="inlineStr">
        <is>
          <t>Weekly - Thursday</t>
        </is>
      </c>
      <c r="I1107" t="inlineStr">
        <is>
          <t>Weekly - Thursday</t>
        </is>
      </c>
      <c r="J1107" t="inlineStr">
        <is>
          <t>Month+1 Expiry</t>
        </is>
      </c>
      <c r="K1107" s="25" t="n">
        <v>1</v>
      </c>
      <c r="L1107" s="26" t="n">
        <v>0.0016</v>
      </c>
      <c r="M1107" s="26" t="n">
        <v>0</v>
      </c>
    </row>
    <row r="1108" ht="16" customHeight="1">
      <c r="A1108" t="inlineStr">
        <is>
          <t>11-May-2026</t>
        </is>
      </c>
      <c r="B1108" t="inlineStr">
        <is>
          <t>Monday</t>
        </is>
      </c>
      <c r="C1108" t="inlineStr">
        <is>
          <t>Week2-May-2026</t>
        </is>
      </c>
      <c r="D1108" s="78" t="n">
        <v>46143</v>
      </c>
      <c r="E1108" t="inlineStr">
        <is>
          <t>Q1FY27</t>
        </is>
      </c>
      <c r="F1108" t="inlineStr">
        <is>
          <t>18-Jun-2026</t>
        </is>
      </c>
      <c r="G1108" t="inlineStr">
        <is>
          <t>Thursday</t>
        </is>
      </c>
      <c r="H1108" t="inlineStr">
        <is>
          <t>Weekly - Thursday</t>
        </is>
      </c>
      <c r="I1108" t="inlineStr">
        <is>
          <t>Weekly - Thursday</t>
        </is>
      </c>
      <c r="J1108" t="inlineStr">
        <is>
          <t>Month+1 Expiry</t>
        </is>
      </c>
      <c r="K1108" s="25" t="n">
        <v>2</v>
      </c>
      <c r="L1108" s="26" t="n">
        <v>0.0032</v>
      </c>
      <c r="M1108" s="26" t="n">
        <v>0.0001</v>
      </c>
    </row>
    <row r="1109" ht="16" customHeight="1">
      <c r="A1109" t="inlineStr">
        <is>
          <t>11-May-2026</t>
        </is>
      </c>
      <c r="B1109" t="inlineStr">
        <is>
          <t>Monday</t>
        </is>
      </c>
      <c r="C1109" t="inlineStr">
        <is>
          <t>Week2-May-2026</t>
        </is>
      </c>
      <c r="D1109" s="78" t="n">
        <v>46143</v>
      </c>
      <c r="E1109" t="inlineStr">
        <is>
          <t>Q1FY27</t>
        </is>
      </c>
      <c r="F1109" t="inlineStr">
        <is>
          <t>25-Jun-2026</t>
        </is>
      </c>
      <c r="G1109" t="inlineStr">
        <is>
          <t>Thursday</t>
        </is>
      </c>
      <c r="H1109" t="inlineStr">
        <is>
          <t>Monthly - Thursday</t>
        </is>
      </c>
      <c r="I1109" t="inlineStr">
        <is>
          <t>Monthly - Thursday</t>
        </is>
      </c>
      <c r="J1109" t="inlineStr">
        <is>
          <t>Month+1 Expiry</t>
        </is>
      </c>
      <c r="K1109" s="25" t="n">
        <v>687</v>
      </c>
      <c r="L1109" s="26" t="n">
        <v>1.0847</v>
      </c>
      <c r="M1109" s="26" t="n">
        <v>0.023</v>
      </c>
    </row>
    <row r="1110" ht="16" customHeight="1">
      <c r="A1110" t="inlineStr">
        <is>
          <t>12-May-2026</t>
        </is>
      </c>
      <c r="B1110" t="inlineStr">
        <is>
          <t>Tuesday</t>
        </is>
      </c>
      <c r="C1110" t="inlineStr">
        <is>
          <t>Week2-May-2026</t>
        </is>
      </c>
      <c r="D1110" s="78" t="n">
        <v>46143</v>
      </c>
      <c r="E1110" t="inlineStr">
        <is>
          <t>Q1FY27</t>
        </is>
      </c>
      <c r="F1110" t="inlineStr">
        <is>
          <t>14-May-2026</t>
        </is>
      </c>
      <c r="G1110" t="inlineStr">
        <is>
          <t>Thursday</t>
        </is>
      </c>
      <c r="H1110" t="inlineStr">
        <is>
          <t>Weekly - Thursday</t>
        </is>
      </c>
      <c r="I1110" t="inlineStr">
        <is>
          <t>Weekly - Thursday</t>
        </is>
      </c>
      <c r="J1110" t="inlineStr">
        <is>
          <t>Same Month Expiry</t>
        </is>
      </c>
      <c r="K1110" s="25" t="n">
        <v>27082932</v>
      </c>
      <c r="L1110" s="26" t="n">
        <v>41076.224</v>
      </c>
      <c r="M1110" s="26" t="n">
        <v>118.5002</v>
      </c>
    </row>
    <row r="1111" ht="16" customHeight="1">
      <c r="A1111" t="inlineStr">
        <is>
          <t>12-May-2026</t>
        </is>
      </c>
      <c r="B1111" t="inlineStr">
        <is>
          <t>Tuesday</t>
        </is>
      </c>
      <c r="C1111" t="inlineStr">
        <is>
          <t>Week2-May-2026</t>
        </is>
      </c>
      <c r="D1111" s="78" t="n">
        <v>46143</v>
      </c>
      <c r="E1111" t="inlineStr">
        <is>
          <t>Q1FY27</t>
        </is>
      </c>
      <c r="F1111" t="inlineStr">
        <is>
          <t>21-May-2026</t>
        </is>
      </c>
      <c r="G1111" t="inlineStr">
        <is>
          <t>Thursday</t>
        </is>
      </c>
      <c r="H1111" t="inlineStr">
        <is>
          <t>Weekly - Thursday</t>
        </is>
      </c>
      <c r="I1111" t="inlineStr">
        <is>
          <t>Weekly - Thursday</t>
        </is>
      </c>
      <c r="J1111" t="inlineStr">
        <is>
          <t>Same Month Expiry</t>
        </is>
      </c>
      <c r="K1111" s="25" t="n">
        <v>193579</v>
      </c>
      <c r="L1111" s="26" t="n">
        <v>295.8043</v>
      </c>
      <c r="M1111" s="26" t="n">
        <v>1.7978</v>
      </c>
    </row>
    <row r="1112" ht="16" customHeight="1">
      <c r="A1112" t="inlineStr">
        <is>
          <t>12-May-2026</t>
        </is>
      </c>
      <c r="B1112" t="inlineStr">
        <is>
          <t>Tuesday</t>
        </is>
      </c>
      <c r="C1112" t="inlineStr">
        <is>
          <t>Week2-May-2026</t>
        </is>
      </c>
      <c r="D1112" s="78" t="n">
        <v>46143</v>
      </c>
      <c r="E1112" t="inlineStr">
        <is>
          <t>Q1FY27</t>
        </is>
      </c>
      <c r="F1112" t="inlineStr">
        <is>
          <t>27-May-2026</t>
        </is>
      </c>
      <c r="G1112" t="inlineStr">
        <is>
          <t>Wednesday</t>
        </is>
      </c>
      <c r="H1112" t="inlineStr">
        <is>
          <t>Monthly - Wednesday</t>
        </is>
      </c>
      <c r="I1112" t="inlineStr">
        <is>
          <t>Monthly - Wednesday</t>
        </is>
      </c>
      <c r="J1112" t="inlineStr">
        <is>
          <t>Same Month Expiry</t>
        </is>
      </c>
      <c r="K1112" s="25" t="n">
        <v>40318</v>
      </c>
      <c r="L1112" s="26" t="n">
        <v>62.5204</v>
      </c>
      <c r="M1112" s="26" t="n">
        <v>0.455</v>
      </c>
    </row>
    <row r="1113" ht="16" customHeight="1">
      <c r="A1113" t="inlineStr">
        <is>
          <t>12-May-2026</t>
        </is>
      </c>
      <c r="B1113" t="inlineStr">
        <is>
          <t>Tuesday</t>
        </is>
      </c>
      <c r="C1113" t="inlineStr">
        <is>
          <t>Week2-May-2026</t>
        </is>
      </c>
      <c r="D1113" s="78" t="n">
        <v>46143</v>
      </c>
      <c r="E1113" t="inlineStr">
        <is>
          <t>Q1FY27</t>
        </is>
      </c>
      <c r="F1113" t="inlineStr">
        <is>
          <t>04-Jun-2026</t>
        </is>
      </c>
      <c r="G1113" t="inlineStr">
        <is>
          <t>Thursday</t>
        </is>
      </c>
      <c r="H1113" t="inlineStr">
        <is>
          <t>Weekly - Thursday</t>
        </is>
      </c>
      <c r="I1113" t="inlineStr">
        <is>
          <t>Weekly - Thursday</t>
        </is>
      </c>
      <c r="J1113" t="inlineStr">
        <is>
          <t>Month+1 Expiry</t>
        </is>
      </c>
      <c r="K1113" s="25" t="n">
        <v>461</v>
      </c>
      <c r="L1113" s="26" t="n">
        <v>0.7103</v>
      </c>
      <c r="M1113" s="26" t="n">
        <v>0.0104</v>
      </c>
    </row>
    <row r="1114" ht="16" customHeight="1">
      <c r="A1114" t="inlineStr">
        <is>
          <t>12-May-2026</t>
        </is>
      </c>
      <c r="B1114" t="inlineStr">
        <is>
          <t>Tuesday</t>
        </is>
      </c>
      <c r="C1114" t="inlineStr">
        <is>
          <t>Week2-May-2026</t>
        </is>
      </c>
      <c r="D1114" s="78" t="n">
        <v>46143</v>
      </c>
      <c r="E1114" t="inlineStr">
        <is>
          <t>Q1FY27</t>
        </is>
      </c>
      <c r="F1114" t="inlineStr">
        <is>
          <t>11-Jun-2026</t>
        </is>
      </c>
      <c r="G1114" t="inlineStr">
        <is>
          <t>Thursday</t>
        </is>
      </c>
      <c r="H1114" t="inlineStr">
        <is>
          <t>Weekly - Thursday</t>
        </is>
      </c>
      <c r="I1114" t="inlineStr">
        <is>
          <t>Weekly - Thursday</t>
        </is>
      </c>
      <c r="J1114" t="inlineStr">
        <is>
          <t>Month+1 Expiry</t>
        </is>
      </c>
      <c r="K1114" s="25" t="n">
        <v>5</v>
      </c>
      <c r="L1114" s="26" t="n">
        <v>0.0073</v>
      </c>
      <c r="M1114" s="26" t="n">
        <v>0</v>
      </c>
    </row>
    <row r="1115" ht="16" customHeight="1">
      <c r="A1115" t="inlineStr">
        <is>
          <t>12-May-2026</t>
        </is>
      </c>
      <c r="B1115" t="inlineStr">
        <is>
          <t>Tuesday</t>
        </is>
      </c>
      <c r="C1115" t="inlineStr">
        <is>
          <t>Week2-May-2026</t>
        </is>
      </c>
      <c r="D1115" s="78" t="n">
        <v>46143</v>
      </c>
      <c r="E1115" t="inlineStr">
        <is>
          <t>Q1FY27</t>
        </is>
      </c>
      <c r="F1115" t="inlineStr">
        <is>
          <t>18-Jun-2026</t>
        </is>
      </c>
      <c r="G1115" t="inlineStr">
        <is>
          <t>Thursday</t>
        </is>
      </c>
      <c r="H1115" t="inlineStr">
        <is>
          <t>Weekly - Thursday</t>
        </is>
      </c>
      <c r="I1115" t="inlineStr">
        <is>
          <t>Weekly - Thursday</t>
        </is>
      </c>
      <c r="J1115" t="inlineStr">
        <is>
          <t>Month+1 Expiry</t>
        </is>
      </c>
      <c r="K1115" s="25" t="n">
        <v>2</v>
      </c>
      <c r="L1115" s="26" t="n">
        <v>0.0032</v>
      </c>
      <c r="M1115" s="26" t="n">
        <v>0.0001</v>
      </c>
    </row>
    <row r="1116" ht="16" customHeight="1">
      <c r="A1116" t="inlineStr">
        <is>
          <t>12-May-2026</t>
        </is>
      </c>
      <c r="B1116" t="inlineStr">
        <is>
          <t>Tuesday</t>
        </is>
      </c>
      <c r="C1116" t="inlineStr">
        <is>
          <t>Week2-May-2026</t>
        </is>
      </c>
      <c r="D1116" s="78" t="n">
        <v>46143</v>
      </c>
      <c r="E1116" t="inlineStr">
        <is>
          <t>Q1FY27</t>
        </is>
      </c>
      <c r="F1116" t="inlineStr">
        <is>
          <t>25-Jun-2026</t>
        </is>
      </c>
      <c r="G1116" t="inlineStr">
        <is>
          <t>Thursday</t>
        </is>
      </c>
      <c r="H1116" t="inlineStr">
        <is>
          <t>Monthly - Thursday</t>
        </is>
      </c>
      <c r="I1116" t="inlineStr">
        <is>
          <t>Monthly - Thursday</t>
        </is>
      </c>
      <c r="J1116" t="inlineStr">
        <is>
          <t>Month+1 Expiry</t>
        </is>
      </c>
      <c r="K1116" s="25" t="n">
        <v>421</v>
      </c>
      <c r="L1116" s="26" t="n">
        <v>0.6577</v>
      </c>
      <c r="M1116" s="26" t="n">
        <v>0.0097</v>
      </c>
    </row>
    <row r="1117" ht="16" customHeight="1">
      <c r="A1117" t="inlineStr">
        <is>
          <t>13-May-2026</t>
        </is>
      </c>
      <c r="B1117" t="inlineStr">
        <is>
          <t>Wednesday</t>
        </is>
      </c>
      <c r="C1117" t="inlineStr">
        <is>
          <t>Week2-May-2026</t>
        </is>
      </c>
      <c r="D1117" s="78" t="n">
        <v>46143</v>
      </c>
      <c r="E1117" t="inlineStr">
        <is>
          <t>Q1FY27</t>
        </is>
      </c>
      <c r="F1117" t="inlineStr">
        <is>
          <t>14-May-2026</t>
        </is>
      </c>
      <c r="G1117" t="inlineStr">
        <is>
          <t>Thursday</t>
        </is>
      </c>
      <c r="H1117" t="inlineStr">
        <is>
          <t>Weekly - Thursday</t>
        </is>
      </c>
      <c r="I1117" t="inlineStr">
        <is>
          <t>Weekly - Thursday</t>
        </is>
      </c>
      <c r="J1117" t="inlineStr">
        <is>
          <t>Same Month Expiry</t>
        </is>
      </c>
      <c r="K1117" s="25" t="n">
        <v>147163287</v>
      </c>
      <c r="L1117" s="26" t="n">
        <v>220541.1566</v>
      </c>
      <c r="M1117" s="26" t="n">
        <v>528.1898</v>
      </c>
    </row>
    <row r="1118" ht="16" customHeight="1">
      <c r="A1118" t="inlineStr">
        <is>
          <t>13-May-2026</t>
        </is>
      </c>
      <c r="B1118" t="inlineStr">
        <is>
          <t>Wednesday</t>
        </is>
      </c>
      <c r="C1118" t="inlineStr">
        <is>
          <t>Week2-May-2026</t>
        </is>
      </c>
      <c r="D1118" s="78" t="n">
        <v>46143</v>
      </c>
      <c r="E1118" t="inlineStr">
        <is>
          <t>Q1FY27</t>
        </is>
      </c>
      <c r="F1118" t="inlineStr">
        <is>
          <t>21-May-2026</t>
        </is>
      </c>
      <c r="G1118" t="inlineStr">
        <is>
          <t>Thursday</t>
        </is>
      </c>
      <c r="H1118" t="inlineStr">
        <is>
          <t>Weekly - Thursday</t>
        </is>
      </c>
      <c r="I1118" t="inlineStr">
        <is>
          <t>Weekly - Thursday</t>
        </is>
      </c>
      <c r="J1118" t="inlineStr">
        <is>
          <t>Same Month Expiry</t>
        </is>
      </c>
      <c r="K1118" s="25" t="n">
        <v>420609</v>
      </c>
      <c r="L1118" s="26" t="n">
        <v>637.7107</v>
      </c>
      <c r="M1118" s="26" t="n">
        <v>3.7914</v>
      </c>
    </row>
    <row r="1119" ht="16" customHeight="1">
      <c r="A1119" t="inlineStr">
        <is>
          <t>13-May-2026</t>
        </is>
      </c>
      <c r="B1119" t="inlineStr">
        <is>
          <t>Wednesday</t>
        </is>
      </c>
      <c r="C1119" t="inlineStr">
        <is>
          <t>Week2-May-2026</t>
        </is>
      </c>
      <c r="D1119" s="78" t="n">
        <v>46143</v>
      </c>
      <c r="E1119" t="inlineStr">
        <is>
          <t>Q1FY27</t>
        </is>
      </c>
      <c r="F1119" t="inlineStr">
        <is>
          <t>27-May-2026</t>
        </is>
      </c>
      <c r="G1119" t="inlineStr">
        <is>
          <t>Wednesday</t>
        </is>
      </c>
      <c r="H1119" t="inlineStr">
        <is>
          <t>Monthly - Wednesday</t>
        </is>
      </c>
      <c r="I1119" t="inlineStr">
        <is>
          <t>Monthly - Wednesday</t>
        </is>
      </c>
      <c r="J1119" t="inlineStr">
        <is>
          <t>Same Month Expiry</t>
        </is>
      </c>
      <c r="K1119" s="25" t="n">
        <v>52824</v>
      </c>
      <c r="L1119" s="26" t="n">
        <v>81.50839999999999</v>
      </c>
      <c r="M1119" s="26" t="n">
        <v>0.8297</v>
      </c>
    </row>
    <row r="1120" ht="16" customHeight="1">
      <c r="A1120" t="inlineStr">
        <is>
          <t>13-May-2026</t>
        </is>
      </c>
      <c r="B1120" t="inlineStr">
        <is>
          <t>Wednesday</t>
        </is>
      </c>
      <c r="C1120" t="inlineStr">
        <is>
          <t>Week2-May-2026</t>
        </is>
      </c>
      <c r="D1120" s="78" t="n">
        <v>46143</v>
      </c>
      <c r="E1120" t="inlineStr">
        <is>
          <t>Q1FY27</t>
        </is>
      </c>
      <c r="F1120" t="inlineStr">
        <is>
          <t>04-Jun-2026</t>
        </is>
      </c>
      <c r="G1120" t="inlineStr">
        <is>
          <t>Thursday</t>
        </is>
      </c>
      <c r="H1120" t="inlineStr">
        <is>
          <t>Weekly - Thursday</t>
        </is>
      </c>
      <c r="I1120" t="inlineStr">
        <is>
          <t>Weekly - Thursday</t>
        </is>
      </c>
      <c r="J1120" t="inlineStr">
        <is>
          <t>Month+1 Expiry</t>
        </is>
      </c>
      <c r="K1120" s="25" t="n">
        <v>715</v>
      </c>
      <c r="L1120" s="26" t="n">
        <v>1.0909</v>
      </c>
      <c r="M1120" s="26" t="n">
        <v>0.0188</v>
      </c>
    </row>
    <row r="1121" ht="16" customHeight="1">
      <c r="A1121" t="inlineStr">
        <is>
          <t>13-May-2026</t>
        </is>
      </c>
      <c r="B1121" t="inlineStr">
        <is>
          <t>Wednesday</t>
        </is>
      </c>
      <c r="C1121" t="inlineStr">
        <is>
          <t>Week2-May-2026</t>
        </is>
      </c>
      <c r="D1121" s="78" t="n">
        <v>46143</v>
      </c>
      <c r="E1121" t="inlineStr">
        <is>
          <t>Q1FY27</t>
        </is>
      </c>
      <c r="F1121" t="inlineStr">
        <is>
          <t>11-Jun-2026</t>
        </is>
      </c>
      <c r="G1121" t="inlineStr">
        <is>
          <t>Thursday</t>
        </is>
      </c>
      <c r="H1121" t="inlineStr">
        <is>
          <t>Weekly - Thursday</t>
        </is>
      </c>
      <c r="I1121" t="inlineStr">
        <is>
          <t>Weekly - Thursday</t>
        </is>
      </c>
      <c r="J1121" t="inlineStr">
        <is>
          <t>Month+1 Expiry</t>
        </is>
      </c>
      <c r="K1121" s="25" t="n">
        <v>2</v>
      </c>
      <c r="L1121" s="26" t="n">
        <v>0.0031</v>
      </c>
      <c r="M1121" s="26" t="n">
        <v>0</v>
      </c>
    </row>
    <row r="1122" ht="16" customHeight="1">
      <c r="A1122" t="inlineStr">
        <is>
          <t>13-May-2026</t>
        </is>
      </c>
      <c r="B1122" t="inlineStr">
        <is>
          <t>Wednesday</t>
        </is>
      </c>
      <c r="C1122" t="inlineStr">
        <is>
          <t>Week2-May-2026</t>
        </is>
      </c>
      <c r="D1122" s="78" t="n">
        <v>46143</v>
      </c>
      <c r="E1122" t="inlineStr">
        <is>
          <t>Q1FY27</t>
        </is>
      </c>
      <c r="F1122" t="inlineStr">
        <is>
          <t>18-Jun-2026</t>
        </is>
      </c>
      <c r="G1122" t="inlineStr">
        <is>
          <t>Thursday</t>
        </is>
      </c>
      <c r="H1122" t="inlineStr">
        <is>
          <t>Weekly - Thursday</t>
        </is>
      </c>
      <c r="I1122" t="inlineStr">
        <is>
          <t>Weekly - Thursday</t>
        </is>
      </c>
      <c r="J1122" t="inlineStr">
        <is>
          <t>Month+1 Expiry</t>
        </is>
      </c>
      <c r="K1122" s="25" t="n">
        <v>0</v>
      </c>
      <c r="L1122" s="26" t="n">
        <v>0</v>
      </c>
      <c r="M1122" s="26" t="n">
        <v>0</v>
      </c>
    </row>
    <row r="1123" ht="16" customHeight="1">
      <c r="A1123" t="inlineStr">
        <is>
          <t>13-May-2026</t>
        </is>
      </c>
      <c r="B1123" t="inlineStr">
        <is>
          <t>Wednesday</t>
        </is>
      </c>
      <c r="C1123" t="inlineStr">
        <is>
          <t>Week2-May-2026</t>
        </is>
      </c>
      <c r="D1123" s="78" t="n">
        <v>46143</v>
      </c>
      <c r="E1123" t="inlineStr">
        <is>
          <t>Q1FY27</t>
        </is>
      </c>
      <c r="F1123" t="inlineStr">
        <is>
          <t>25-Jun-2026</t>
        </is>
      </c>
      <c r="G1123" t="inlineStr">
        <is>
          <t>Thursday</t>
        </is>
      </c>
      <c r="H1123" t="inlineStr">
        <is>
          <t>Monthly - Thursday</t>
        </is>
      </c>
      <c r="I1123" t="inlineStr">
        <is>
          <t>Monthly - Thursday</t>
        </is>
      </c>
      <c r="J1123" t="inlineStr">
        <is>
          <t>Month+1 Expiry</t>
        </is>
      </c>
      <c r="K1123" s="25" t="n">
        <v>397</v>
      </c>
      <c r="L1123" s="26" t="n">
        <v>0.6183999999999999</v>
      </c>
      <c r="M1123" s="26" t="n">
        <v>0.0108</v>
      </c>
    </row>
    <row r="1124" ht="16" customHeight="1">
      <c r="A1124" t="inlineStr">
        <is>
          <t>14-May-2026</t>
        </is>
      </c>
      <c r="B1124" t="inlineStr">
        <is>
          <t>Thursday</t>
        </is>
      </c>
      <c r="C1124" t="inlineStr">
        <is>
          <t>Week2-May-2026</t>
        </is>
      </c>
      <c r="D1124" s="78" t="n">
        <v>46143</v>
      </c>
      <c r="E1124" t="inlineStr">
        <is>
          <t>Q1FY27</t>
        </is>
      </c>
      <c r="F1124" t="inlineStr">
        <is>
          <t>14-May-2026</t>
        </is>
      </c>
      <c r="G1124" t="inlineStr">
        <is>
          <t>Thursday</t>
        </is>
      </c>
      <c r="H1124" t="inlineStr">
        <is>
          <t>Weekly - Thursday</t>
        </is>
      </c>
      <c r="I1124" t="inlineStr">
        <is>
          <t>Weekly - Thursday</t>
        </is>
      </c>
      <c r="J1124" t="inlineStr">
        <is>
          <t>Same Month Expiry</t>
        </is>
      </c>
      <c r="K1124" s="25" t="n">
        <v>588939866</v>
      </c>
      <c r="L1124" s="26" t="n">
        <v>886673.1182</v>
      </c>
      <c r="M1124" s="26" t="n">
        <v>772.9763</v>
      </c>
    </row>
    <row r="1125" ht="16" customHeight="1">
      <c r="A1125" t="inlineStr">
        <is>
          <t>14-May-2026</t>
        </is>
      </c>
      <c r="B1125" t="inlineStr">
        <is>
          <t>Thursday</t>
        </is>
      </c>
      <c r="C1125" t="inlineStr">
        <is>
          <t>Week2-May-2026</t>
        </is>
      </c>
      <c r="D1125" s="78" t="n">
        <v>46143</v>
      </c>
      <c r="E1125" t="inlineStr">
        <is>
          <t>Q1FY27</t>
        </is>
      </c>
      <c r="F1125" t="inlineStr">
        <is>
          <t>21-May-2026</t>
        </is>
      </c>
      <c r="G1125" t="inlineStr">
        <is>
          <t>Thursday</t>
        </is>
      </c>
      <c r="H1125" t="inlineStr">
        <is>
          <t>Weekly - Thursday</t>
        </is>
      </c>
      <c r="I1125" t="inlineStr">
        <is>
          <t>Weekly - Thursday</t>
        </is>
      </c>
      <c r="J1125" t="inlineStr">
        <is>
          <t>Same Month Expiry</t>
        </is>
      </c>
      <c r="K1125" s="25" t="n">
        <v>1759203</v>
      </c>
      <c r="L1125" s="26" t="n">
        <v>2662.6218</v>
      </c>
      <c r="M1125" s="26" t="n">
        <v>14.145</v>
      </c>
    </row>
    <row r="1126" ht="16" customHeight="1">
      <c r="A1126" t="inlineStr">
        <is>
          <t>14-May-2026</t>
        </is>
      </c>
      <c r="B1126" t="inlineStr">
        <is>
          <t>Thursday</t>
        </is>
      </c>
      <c r="C1126" t="inlineStr">
        <is>
          <t>Week2-May-2026</t>
        </is>
      </c>
      <c r="D1126" s="78" t="n">
        <v>46143</v>
      </c>
      <c r="E1126" t="inlineStr">
        <is>
          <t>Q1FY27</t>
        </is>
      </c>
      <c r="F1126" t="inlineStr">
        <is>
          <t>27-May-2026</t>
        </is>
      </c>
      <c r="G1126" t="inlineStr">
        <is>
          <t>Wednesday</t>
        </is>
      </c>
      <c r="H1126" t="inlineStr">
        <is>
          <t>Monthly - Wednesday</t>
        </is>
      </c>
      <c r="I1126" t="inlineStr">
        <is>
          <t>Monthly - Wednesday</t>
        </is>
      </c>
      <c r="J1126" t="inlineStr">
        <is>
          <t>Same Month Expiry</t>
        </is>
      </c>
      <c r="K1126" s="25" t="n">
        <v>61454</v>
      </c>
      <c r="L1126" s="26" t="n">
        <v>94.756</v>
      </c>
      <c r="M1126" s="26" t="n">
        <v>0.5987</v>
      </c>
    </row>
    <row r="1127" ht="16" customHeight="1">
      <c r="A1127" t="inlineStr">
        <is>
          <t>14-May-2026</t>
        </is>
      </c>
      <c r="B1127" t="inlineStr">
        <is>
          <t>Thursday</t>
        </is>
      </c>
      <c r="C1127" t="inlineStr">
        <is>
          <t>Week2-May-2026</t>
        </is>
      </c>
      <c r="D1127" s="78" t="n">
        <v>46143</v>
      </c>
      <c r="E1127" t="inlineStr">
        <is>
          <t>Q1FY27</t>
        </is>
      </c>
      <c r="F1127" t="inlineStr">
        <is>
          <t>04-Jun-2026</t>
        </is>
      </c>
      <c r="G1127" t="inlineStr">
        <is>
          <t>Thursday</t>
        </is>
      </c>
      <c r="H1127" t="inlineStr">
        <is>
          <t>Weekly - Thursday</t>
        </is>
      </c>
      <c r="I1127" t="inlineStr">
        <is>
          <t>Weekly - Thursday</t>
        </is>
      </c>
      <c r="J1127" t="inlineStr">
        <is>
          <t>Month+1 Expiry</t>
        </is>
      </c>
      <c r="K1127" s="25" t="n">
        <v>708</v>
      </c>
      <c r="L1127" s="26" t="n">
        <v>1.0896</v>
      </c>
      <c r="M1127" s="26" t="n">
        <v>0.0152</v>
      </c>
    </row>
    <row r="1128" ht="16" customHeight="1">
      <c r="A1128" t="inlineStr">
        <is>
          <t>14-May-2026</t>
        </is>
      </c>
      <c r="B1128" t="inlineStr">
        <is>
          <t>Thursday</t>
        </is>
      </c>
      <c r="C1128" t="inlineStr">
        <is>
          <t>Week2-May-2026</t>
        </is>
      </c>
      <c r="D1128" s="78" t="n">
        <v>46143</v>
      </c>
      <c r="E1128" t="inlineStr">
        <is>
          <t>Q1FY27</t>
        </is>
      </c>
      <c r="F1128" t="inlineStr">
        <is>
          <t>11-Jun-2026</t>
        </is>
      </c>
      <c r="G1128" t="inlineStr">
        <is>
          <t>Thursday</t>
        </is>
      </c>
      <c r="H1128" t="inlineStr">
        <is>
          <t>Weekly - Thursday</t>
        </is>
      </c>
      <c r="I1128" t="inlineStr">
        <is>
          <t>Weekly - Thursday</t>
        </is>
      </c>
      <c r="J1128" t="inlineStr">
        <is>
          <t>Month+1 Expiry</t>
        </is>
      </c>
      <c r="K1128" s="25" t="n">
        <v>0</v>
      </c>
      <c r="L1128" s="26" t="n">
        <v>0</v>
      </c>
      <c r="M1128" s="26" t="n">
        <v>0</v>
      </c>
    </row>
    <row r="1129" ht="16" customHeight="1">
      <c r="A1129" t="inlineStr">
        <is>
          <t>14-May-2026</t>
        </is>
      </c>
      <c r="B1129" t="inlineStr">
        <is>
          <t>Thursday</t>
        </is>
      </c>
      <c r="C1129" t="inlineStr">
        <is>
          <t>Week2-May-2026</t>
        </is>
      </c>
      <c r="D1129" s="78" t="n">
        <v>46143</v>
      </c>
      <c r="E1129" t="inlineStr">
        <is>
          <t>Q1FY27</t>
        </is>
      </c>
      <c r="F1129" t="inlineStr">
        <is>
          <t>18-Jun-2026</t>
        </is>
      </c>
      <c r="G1129" t="inlineStr">
        <is>
          <t>Thursday</t>
        </is>
      </c>
      <c r="H1129" t="inlineStr">
        <is>
          <t>Weekly - Thursday</t>
        </is>
      </c>
      <c r="I1129" t="inlineStr">
        <is>
          <t>Weekly - Thursday</t>
        </is>
      </c>
      <c r="J1129" t="inlineStr">
        <is>
          <t>Month+1 Expiry</t>
        </is>
      </c>
      <c r="K1129" s="25" t="n">
        <v>1</v>
      </c>
      <c r="L1129" s="26" t="n">
        <v>0.0016</v>
      </c>
      <c r="M1129" s="26" t="n">
        <v>0</v>
      </c>
    </row>
    <row r="1130" ht="16" customHeight="1">
      <c r="A1130" t="inlineStr">
        <is>
          <t>14-May-2026</t>
        </is>
      </c>
      <c r="B1130" t="inlineStr">
        <is>
          <t>Thursday</t>
        </is>
      </c>
      <c r="C1130" t="inlineStr">
        <is>
          <t>Week2-May-2026</t>
        </is>
      </c>
      <c r="D1130" s="78" t="n">
        <v>46143</v>
      </c>
      <c r="E1130" t="inlineStr">
        <is>
          <t>Q1FY27</t>
        </is>
      </c>
      <c r="F1130" t="inlineStr">
        <is>
          <t>25-Jun-2026</t>
        </is>
      </c>
      <c r="G1130" t="inlineStr">
        <is>
          <t>Thursday</t>
        </is>
      </c>
      <c r="H1130" t="inlineStr">
        <is>
          <t>Monthly - Thursday</t>
        </is>
      </c>
      <c r="I1130" t="inlineStr">
        <is>
          <t>Monthly - Thursday</t>
        </is>
      </c>
      <c r="J1130" t="inlineStr">
        <is>
          <t>Month+1 Expiry</t>
        </is>
      </c>
      <c r="K1130" s="25" t="n">
        <v>921</v>
      </c>
      <c r="L1130" s="26" t="n">
        <v>1.4321</v>
      </c>
      <c r="M1130" s="26" t="n">
        <v>0.0274</v>
      </c>
    </row>
    <row r="1131" ht="16" customHeight="1">
      <c r="A1131" t="inlineStr">
        <is>
          <t>15-May-2026</t>
        </is>
      </c>
      <c r="B1131" t="inlineStr">
        <is>
          <t>Friday</t>
        </is>
      </c>
      <c r="C1131" t="inlineStr">
        <is>
          <t>Week3-May-2026</t>
        </is>
      </c>
      <c r="D1131" s="78" t="n">
        <v>46143</v>
      </c>
      <c r="E1131" t="inlineStr">
        <is>
          <t>Q1FY27</t>
        </is>
      </c>
      <c r="F1131" t="inlineStr">
        <is>
          <t>21-May-2026</t>
        </is>
      </c>
      <c r="G1131" t="inlineStr">
        <is>
          <t>Thursday</t>
        </is>
      </c>
      <c r="H1131" t="inlineStr">
        <is>
          <t>Weekly - Thursday</t>
        </is>
      </c>
      <c r="I1131" t="inlineStr">
        <is>
          <t>Weekly - Thursday</t>
        </is>
      </c>
      <c r="J1131" t="inlineStr">
        <is>
          <t>Same Month Expiry</t>
        </is>
      </c>
      <c r="K1131" s="25" t="n">
        <v>16299906</v>
      </c>
      <c r="L1131" s="26" t="n">
        <v>24744.5148</v>
      </c>
      <c r="M1131" s="26" t="n">
        <v>127.8535</v>
      </c>
    </row>
    <row r="1132" ht="16" customHeight="1">
      <c r="A1132" t="inlineStr">
        <is>
          <t>15-May-2026</t>
        </is>
      </c>
      <c r="B1132" t="inlineStr">
        <is>
          <t>Friday</t>
        </is>
      </c>
      <c r="C1132" t="inlineStr">
        <is>
          <t>Week3-May-2026</t>
        </is>
      </c>
      <c r="D1132" s="78" t="n">
        <v>46143</v>
      </c>
      <c r="E1132" t="inlineStr">
        <is>
          <t>Q1FY27</t>
        </is>
      </c>
      <c r="F1132" t="inlineStr">
        <is>
          <t>27-May-2026</t>
        </is>
      </c>
      <c r="G1132" t="inlineStr">
        <is>
          <t>Wednesday</t>
        </is>
      </c>
      <c r="H1132" t="inlineStr">
        <is>
          <t>Monthly - Wednesday</t>
        </is>
      </c>
      <c r="I1132" t="inlineStr">
        <is>
          <t>Monthly - Wednesday</t>
        </is>
      </c>
      <c r="J1132" t="inlineStr">
        <is>
          <t>Same Month Expiry</t>
        </is>
      </c>
      <c r="K1132" s="25" t="n">
        <v>96504</v>
      </c>
      <c r="L1132" s="26" t="n">
        <v>148.6794</v>
      </c>
      <c r="M1132" s="26" t="n">
        <v>0.9292</v>
      </c>
    </row>
    <row r="1133" ht="16" customHeight="1">
      <c r="A1133" t="inlineStr">
        <is>
          <t>15-May-2026</t>
        </is>
      </c>
      <c r="B1133" t="inlineStr">
        <is>
          <t>Friday</t>
        </is>
      </c>
      <c r="C1133" t="inlineStr">
        <is>
          <t>Week3-May-2026</t>
        </is>
      </c>
      <c r="D1133" s="78" t="n">
        <v>46143</v>
      </c>
      <c r="E1133" t="inlineStr">
        <is>
          <t>Q1FY27</t>
        </is>
      </c>
      <c r="F1133" t="inlineStr">
        <is>
          <t>04-Jun-2026</t>
        </is>
      </c>
      <c r="G1133" t="inlineStr">
        <is>
          <t>Thursday</t>
        </is>
      </c>
      <c r="H1133" t="inlineStr">
        <is>
          <t>Weekly - Thursday</t>
        </is>
      </c>
      <c r="I1133" t="inlineStr">
        <is>
          <t>Weekly - Thursday</t>
        </is>
      </c>
      <c r="J1133" t="inlineStr">
        <is>
          <t>Month+1 Expiry</t>
        </is>
      </c>
      <c r="K1133" s="25" t="n">
        <v>1510</v>
      </c>
      <c r="L1133" s="26" t="n">
        <v>2.3244</v>
      </c>
      <c r="M1133" s="26" t="n">
        <v>0.0316</v>
      </c>
    </row>
    <row r="1134" ht="16" customHeight="1">
      <c r="A1134" t="inlineStr">
        <is>
          <t>15-May-2026</t>
        </is>
      </c>
      <c r="B1134" t="inlineStr">
        <is>
          <t>Friday</t>
        </is>
      </c>
      <c r="C1134" t="inlineStr">
        <is>
          <t>Week3-May-2026</t>
        </is>
      </c>
      <c r="D1134" s="78" t="n">
        <v>46143</v>
      </c>
      <c r="E1134" t="inlineStr">
        <is>
          <t>Q1FY27</t>
        </is>
      </c>
      <c r="F1134" t="inlineStr">
        <is>
          <t>11-Jun-2026</t>
        </is>
      </c>
      <c r="G1134" t="inlineStr">
        <is>
          <t>Thursday</t>
        </is>
      </c>
      <c r="H1134" t="inlineStr">
        <is>
          <t>Weekly - Thursday</t>
        </is>
      </c>
      <c r="I1134" t="inlineStr">
        <is>
          <t>Weekly - Thursday</t>
        </is>
      </c>
      <c r="J1134" t="inlineStr">
        <is>
          <t>Month+1 Expiry</t>
        </is>
      </c>
      <c r="K1134" s="25" t="n">
        <v>15</v>
      </c>
      <c r="L1134" s="26" t="n">
        <v>0.0228</v>
      </c>
      <c r="M1134" s="26" t="n">
        <v>0.0003</v>
      </c>
    </row>
    <row r="1135" ht="16" customHeight="1">
      <c r="A1135" t="inlineStr">
        <is>
          <t>15-May-2026</t>
        </is>
      </c>
      <c r="B1135" t="inlineStr">
        <is>
          <t>Friday</t>
        </is>
      </c>
      <c r="C1135" t="inlineStr">
        <is>
          <t>Week3-May-2026</t>
        </is>
      </c>
      <c r="D1135" s="78" t="n">
        <v>46143</v>
      </c>
      <c r="E1135" t="inlineStr">
        <is>
          <t>Q1FY27</t>
        </is>
      </c>
      <c r="F1135" t="inlineStr">
        <is>
          <t>18-Jun-2026</t>
        </is>
      </c>
      <c r="G1135" t="inlineStr">
        <is>
          <t>Thursday</t>
        </is>
      </c>
      <c r="H1135" t="inlineStr">
        <is>
          <t>Weekly - Thursday</t>
        </is>
      </c>
      <c r="I1135" t="inlineStr">
        <is>
          <t>Weekly - Thursday</t>
        </is>
      </c>
      <c r="J1135" t="inlineStr">
        <is>
          <t>Month+1 Expiry</t>
        </is>
      </c>
      <c r="K1135" s="25" t="n">
        <v>2</v>
      </c>
      <c r="L1135" s="26" t="n">
        <v>0.0031</v>
      </c>
      <c r="M1135" s="26" t="n">
        <v>0.0001</v>
      </c>
    </row>
    <row r="1136" ht="16" customHeight="1">
      <c r="A1136" t="inlineStr">
        <is>
          <t>15-May-2026</t>
        </is>
      </c>
      <c r="B1136" t="inlineStr">
        <is>
          <t>Friday</t>
        </is>
      </c>
      <c r="C1136" t="inlineStr">
        <is>
          <t>Week3-May-2026</t>
        </is>
      </c>
      <c r="D1136" s="78" t="n">
        <v>46143</v>
      </c>
      <c r="E1136" t="inlineStr">
        <is>
          <t>Q1FY27</t>
        </is>
      </c>
      <c r="F1136" t="inlineStr">
        <is>
          <t>25-Jun-2026</t>
        </is>
      </c>
      <c r="G1136" t="inlineStr">
        <is>
          <t>Thursday</t>
        </is>
      </c>
      <c r="H1136" t="inlineStr">
        <is>
          <t>Monthly - Thursday</t>
        </is>
      </c>
      <c r="I1136" t="inlineStr">
        <is>
          <t>Monthly - Thursday</t>
        </is>
      </c>
      <c r="J1136" t="inlineStr">
        <is>
          <t>Month+1 Expiry</t>
        </is>
      </c>
      <c r="K1136" s="25" t="n">
        <v>977</v>
      </c>
      <c r="L1136" s="26" t="n">
        <v>1.5262</v>
      </c>
      <c r="M1136" s="26" t="n">
        <v>0.026</v>
      </c>
    </row>
    <row r="1137" ht="16" customHeight="1">
      <c r="A1137" t="inlineStr">
        <is>
          <t>15-May-2026</t>
        </is>
      </c>
      <c r="B1137" t="inlineStr">
        <is>
          <t>Friday</t>
        </is>
      </c>
      <c r="C1137" t="inlineStr">
        <is>
          <t>Week3-May-2026</t>
        </is>
      </c>
      <c r="D1137" s="78" t="n">
        <v>46143</v>
      </c>
      <c r="E1137" t="inlineStr">
        <is>
          <t>Q1FY27</t>
        </is>
      </c>
      <c r="F1137" t="inlineStr">
        <is>
          <t>30-Jul-2026</t>
        </is>
      </c>
      <c r="G1137" t="inlineStr">
        <is>
          <t>Thursday</t>
        </is>
      </c>
      <c r="H1137" t="inlineStr">
        <is>
          <t>Monthly - Thursday</t>
        </is>
      </c>
      <c r="I1137" t="inlineStr">
        <is>
          <t>Monthly - Thursday</t>
        </is>
      </c>
      <c r="J1137" t="inlineStr">
        <is>
          <t>Month+2 Expiry</t>
        </is>
      </c>
      <c r="K1137" s="25" t="n">
        <v>20</v>
      </c>
      <c r="L1137" s="26" t="n">
        <v>0.0313</v>
      </c>
      <c r="M1137" s="26" t="n">
        <v>0.0009</v>
      </c>
    </row>
    <row r="1138" ht="16" customHeight="1">
      <c r="A1138" t="inlineStr">
        <is>
          <t>18-May-2026</t>
        </is>
      </c>
      <c r="B1138" t="inlineStr">
        <is>
          <t>Monday</t>
        </is>
      </c>
      <c r="C1138" t="inlineStr">
        <is>
          <t>Week3-May-2026</t>
        </is>
      </c>
      <c r="D1138" s="78" t="n">
        <v>46143</v>
      </c>
      <c r="E1138" t="inlineStr">
        <is>
          <t>Q1FY27</t>
        </is>
      </c>
      <c r="F1138" t="inlineStr">
        <is>
          <t>21-May-2026</t>
        </is>
      </c>
      <c r="G1138" t="inlineStr">
        <is>
          <t>Thursday</t>
        </is>
      </c>
      <c r="H1138" t="inlineStr">
        <is>
          <t>Weekly - Thursday</t>
        </is>
      </c>
      <c r="I1138" t="inlineStr">
        <is>
          <t>Weekly - Thursday</t>
        </is>
      </c>
      <c r="J1138" t="inlineStr">
        <is>
          <t>Same Month Expiry</t>
        </is>
      </c>
      <c r="K1138" s="25" t="n">
        <v>23597053</v>
      </c>
      <c r="L1138" s="26" t="n">
        <v>35495.8263</v>
      </c>
      <c r="M1138" s="26" t="n">
        <v>156.005</v>
      </c>
    </row>
    <row r="1139" ht="16" customHeight="1">
      <c r="A1139" t="inlineStr">
        <is>
          <t>18-May-2026</t>
        </is>
      </c>
      <c r="B1139" t="inlineStr">
        <is>
          <t>Monday</t>
        </is>
      </c>
      <c r="C1139" t="inlineStr">
        <is>
          <t>Week3-May-2026</t>
        </is>
      </c>
      <c r="D1139" s="78" t="n">
        <v>46143</v>
      </c>
      <c r="E1139" t="inlineStr">
        <is>
          <t>Q1FY27</t>
        </is>
      </c>
      <c r="F1139" t="inlineStr">
        <is>
          <t>27-May-2026</t>
        </is>
      </c>
      <c r="G1139" t="inlineStr">
        <is>
          <t>Wednesday</t>
        </is>
      </c>
      <c r="H1139" t="inlineStr">
        <is>
          <t>Monthly - Wednesday</t>
        </is>
      </c>
      <c r="I1139" t="inlineStr">
        <is>
          <t>Monthly - Wednesday</t>
        </is>
      </c>
      <c r="J1139" t="inlineStr">
        <is>
          <t>Same Month Expiry</t>
        </is>
      </c>
      <c r="K1139" s="25" t="n">
        <v>174195</v>
      </c>
      <c r="L1139" s="26" t="n">
        <v>265.9986</v>
      </c>
      <c r="M1139" s="26" t="n">
        <v>1.5575</v>
      </c>
    </row>
    <row r="1140" ht="16" customHeight="1">
      <c r="A1140" t="inlineStr">
        <is>
          <t>18-May-2026</t>
        </is>
      </c>
      <c r="B1140" t="inlineStr">
        <is>
          <t>Monday</t>
        </is>
      </c>
      <c r="C1140" t="inlineStr">
        <is>
          <t>Week3-May-2026</t>
        </is>
      </c>
      <c r="D1140" s="78" t="n">
        <v>46143</v>
      </c>
      <c r="E1140" t="inlineStr">
        <is>
          <t>Q1FY27</t>
        </is>
      </c>
      <c r="F1140" t="inlineStr">
        <is>
          <t>04-Jun-2026</t>
        </is>
      </c>
      <c r="G1140" t="inlineStr">
        <is>
          <t>Thursday</t>
        </is>
      </c>
      <c r="H1140" t="inlineStr">
        <is>
          <t>Weekly - Thursday</t>
        </is>
      </c>
      <c r="I1140" t="inlineStr">
        <is>
          <t>Weekly - Thursday</t>
        </is>
      </c>
      <c r="J1140" t="inlineStr">
        <is>
          <t>Month+1 Expiry</t>
        </is>
      </c>
      <c r="K1140" s="25" t="n">
        <v>1953</v>
      </c>
      <c r="L1140" s="26" t="n">
        <v>2.9905</v>
      </c>
      <c r="M1140" s="26" t="n">
        <v>0.0394</v>
      </c>
    </row>
    <row r="1141" ht="16" customHeight="1">
      <c r="A1141" t="inlineStr">
        <is>
          <t>18-May-2026</t>
        </is>
      </c>
      <c r="B1141" t="inlineStr">
        <is>
          <t>Monday</t>
        </is>
      </c>
      <c r="C1141" t="inlineStr">
        <is>
          <t>Week3-May-2026</t>
        </is>
      </c>
      <c r="D1141" s="78" t="n">
        <v>46143</v>
      </c>
      <c r="E1141" t="inlineStr">
        <is>
          <t>Q1FY27</t>
        </is>
      </c>
      <c r="F1141" t="inlineStr">
        <is>
          <t>11-Jun-2026</t>
        </is>
      </c>
      <c r="G1141" t="inlineStr">
        <is>
          <t>Thursday</t>
        </is>
      </c>
      <c r="H1141" t="inlineStr">
        <is>
          <t>Weekly - Thursday</t>
        </is>
      </c>
      <c r="I1141" t="inlineStr">
        <is>
          <t>Weekly - Thursday</t>
        </is>
      </c>
      <c r="J1141" t="inlineStr">
        <is>
          <t>Month+1 Expiry</t>
        </is>
      </c>
      <c r="K1141" s="25" t="n">
        <v>2</v>
      </c>
      <c r="L1141" s="26" t="n">
        <v>0.0031</v>
      </c>
      <c r="M1141" s="26" t="n">
        <v>0.0001</v>
      </c>
    </row>
    <row r="1142" ht="16" customHeight="1">
      <c r="A1142" t="inlineStr">
        <is>
          <t>18-May-2026</t>
        </is>
      </c>
      <c r="B1142" t="inlineStr">
        <is>
          <t>Monday</t>
        </is>
      </c>
      <c r="C1142" t="inlineStr">
        <is>
          <t>Week3-May-2026</t>
        </is>
      </c>
      <c r="D1142" s="78" t="n">
        <v>46143</v>
      </c>
      <c r="E1142" t="inlineStr">
        <is>
          <t>Q1FY27</t>
        </is>
      </c>
      <c r="F1142" t="inlineStr">
        <is>
          <t>18-Jun-2026</t>
        </is>
      </c>
      <c r="G1142" t="inlineStr">
        <is>
          <t>Thursday</t>
        </is>
      </c>
      <c r="H1142" t="inlineStr">
        <is>
          <t>Weekly - Thursday</t>
        </is>
      </c>
      <c r="I1142" t="inlineStr">
        <is>
          <t>Weekly - Thursday</t>
        </is>
      </c>
      <c r="J1142" t="inlineStr">
        <is>
          <t>Month+1 Expiry</t>
        </is>
      </c>
      <c r="K1142" s="25" t="n">
        <v>2</v>
      </c>
      <c r="L1142" s="26" t="n">
        <v>0.0031</v>
      </c>
      <c r="M1142" s="26" t="n">
        <v>0.0001</v>
      </c>
    </row>
    <row r="1143" ht="16" customHeight="1">
      <c r="A1143" t="inlineStr">
        <is>
          <t>18-May-2026</t>
        </is>
      </c>
      <c r="B1143" t="inlineStr">
        <is>
          <t>Monday</t>
        </is>
      </c>
      <c r="C1143" t="inlineStr">
        <is>
          <t>Week3-May-2026</t>
        </is>
      </c>
      <c r="D1143" s="78" t="n">
        <v>46143</v>
      </c>
      <c r="E1143" t="inlineStr">
        <is>
          <t>Q1FY27</t>
        </is>
      </c>
      <c r="F1143" t="inlineStr">
        <is>
          <t>25-Jun-2026</t>
        </is>
      </c>
      <c r="G1143" t="inlineStr">
        <is>
          <t>Thursday</t>
        </is>
      </c>
      <c r="H1143" t="inlineStr">
        <is>
          <t>Monthly - Thursday</t>
        </is>
      </c>
      <c r="I1143" t="inlineStr">
        <is>
          <t>Monthly - Thursday</t>
        </is>
      </c>
      <c r="J1143" t="inlineStr">
        <is>
          <t>Month+1 Expiry</t>
        </is>
      </c>
      <c r="K1143" s="25" t="n">
        <v>1851</v>
      </c>
      <c r="L1143" s="26" t="n">
        <v>2.871</v>
      </c>
      <c r="M1143" s="26" t="n">
        <v>0.0502</v>
      </c>
    </row>
    <row r="1144" ht="16" customHeight="1">
      <c r="A1144" t="inlineStr">
        <is>
          <t>18-May-2026</t>
        </is>
      </c>
      <c r="B1144" t="inlineStr">
        <is>
          <t>Monday</t>
        </is>
      </c>
      <c r="C1144" t="inlineStr">
        <is>
          <t>Week3-May-2026</t>
        </is>
      </c>
      <c r="D1144" s="78" t="n">
        <v>46143</v>
      </c>
      <c r="E1144" t="inlineStr">
        <is>
          <t>Q1FY27</t>
        </is>
      </c>
      <c r="F1144" t="inlineStr">
        <is>
          <t>30-Jul-2026</t>
        </is>
      </c>
      <c r="G1144" t="inlineStr">
        <is>
          <t>Thursday</t>
        </is>
      </c>
      <c r="H1144" t="inlineStr">
        <is>
          <t>Monthly - Thursday</t>
        </is>
      </c>
      <c r="I1144" t="inlineStr">
        <is>
          <t>Monthly - Thursday</t>
        </is>
      </c>
      <c r="J1144" t="inlineStr">
        <is>
          <t>Month+2 Expiry</t>
        </is>
      </c>
      <c r="K1144" s="25" t="n">
        <v>10</v>
      </c>
      <c r="L1144" s="26" t="n">
        <v>0.0156</v>
      </c>
      <c r="M1144" s="26" t="n">
        <v>0.0004</v>
      </c>
    </row>
    <row r="1145" ht="16" customHeight="1">
      <c r="A1145" t="inlineStr">
        <is>
          <t>19-May-2026</t>
        </is>
      </c>
      <c r="B1145" t="inlineStr">
        <is>
          <t>Tuesday</t>
        </is>
      </c>
      <c r="C1145" t="inlineStr">
        <is>
          <t>Week3-May-2026</t>
        </is>
      </c>
      <c r="D1145" s="78" t="n">
        <v>46143</v>
      </c>
      <c r="E1145" t="inlineStr">
        <is>
          <t>Q1FY27</t>
        </is>
      </c>
      <c r="F1145" t="inlineStr">
        <is>
          <t>21-May-2026</t>
        </is>
      </c>
      <c r="G1145" t="inlineStr">
        <is>
          <t>Thursday</t>
        </is>
      </c>
      <c r="H1145" t="inlineStr">
        <is>
          <t>Weekly - Thursday</t>
        </is>
      </c>
      <c r="I1145" t="inlineStr">
        <is>
          <t>Weekly - Thursday</t>
        </is>
      </c>
      <c r="J1145" t="inlineStr">
        <is>
          <t>Same Month Expiry</t>
        </is>
      </c>
      <c r="K1145" s="25" t="n">
        <v>26194559</v>
      </c>
      <c r="L1145" s="26" t="n">
        <v>39549.7158</v>
      </c>
      <c r="M1145" s="26" t="n">
        <v>113.9516</v>
      </c>
    </row>
    <row r="1146" ht="16" customHeight="1">
      <c r="A1146" t="inlineStr">
        <is>
          <t>19-May-2026</t>
        </is>
      </c>
      <c r="B1146" t="inlineStr">
        <is>
          <t>Tuesday</t>
        </is>
      </c>
      <c r="C1146" t="inlineStr">
        <is>
          <t>Week3-May-2026</t>
        </is>
      </c>
      <c r="D1146" s="78" t="n">
        <v>46143</v>
      </c>
      <c r="E1146" t="inlineStr">
        <is>
          <t>Q1FY27</t>
        </is>
      </c>
      <c r="F1146" t="inlineStr">
        <is>
          <t>27-May-2026</t>
        </is>
      </c>
      <c r="G1146" t="inlineStr">
        <is>
          <t>Wednesday</t>
        </is>
      </c>
      <c r="H1146" t="inlineStr">
        <is>
          <t>Monthly - Wednesday</t>
        </is>
      </c>
      <c r="I1146" t="inlineStr">
        <is>
          <t>Monthly - Wednesday</t>
        </is>
      </c>
      <c r="J1146" t="inlineStr">
        <is>
          <t>Same Month Expiry</t>
        </is>
      </c>
      <c r="K1146" s="25" t="n">
        <v>257674</v>
      </c>
      <c r="L1146" s="26" t="n">
        <v>391.8786</v>
      </c>
      <c r="M1146" s="26" t="n">
        <v>1.8328</v>
      </c>
    </row>
    <row r="1147" ht="16" customHeight="1">
      <c r="A1147" t="inlineStr">
        <is>
          <t>19-May-2026</t>
        </is>
      </c>
      <c r="B1147" t="inlineStr">
        <is>
          <t>Tuesday</t>
        </is>
      </c>
      <c r="C1147" t="inlineStr">
        <is>
          <t>Week3-May-2026</t>
        </is>
      </c>
      <c r="D1147" s="78" t="n">
        <v>46143</v>
      </c>
      <c r="E1147" t="inlineStr">
        <is>
          <t>Q1FY27</t>
        </is>
      </c>
      <c r="F1147" t="inlineStr">
        <is>
          <t>04-Jun-2026</t>
        </is>
      </c>
      <c r="G1147" t="inlineStr">
        <is>
          <t>Thursday</t>
        </is>
      </c>
      <c r="H1147" t="inlineStr">
        <is>
          <t>Weekly - Thursday</t>
        </is>
      </c>
      <c r="I1147" t="inlineStr">
        <is>
          <t>Weekly - Thursday</t>
        </is>
      </c>
      <c r="J1147" t="inlineStr">
        <is>
          <t>Month+1 Expiry</t>
        </is>
      </c>
      <c r="K1147" s="25" t="n">
        <v>3485</v>
      </c>
      <c r="L1147" s="26" t="n">
        <v>5.4096</v>
      </c>
      <c r="M1147" s="26" t="n">
        <v>0.0469</v>
      </c>
    </row>
    <row r="1148" ht="16" customHeight="1">
      <c r="A1148" t="inlineStr">
        <is>
          <t>19-May-2026</t>
        </is>
      </c>
      <c r="B1148" t="inlineStr">
        <is>
          <t>Tuesday</t>
        </is>
      </c>
      <c r="C1148" t="inlineStr">
        <is>
          <t>Week3-May-2026</t>
        </is>
      </c>
      <c r="D1148" s="78" t="n">
        <v>46143</v>
      </c>
      <c r="E1148" t="inlineStr">
        <is>
          <t>Q1FY27</t>
        </is>
      </c>
      <c r="F1148" t="inlineStr">
        <is>
          <t>11-Jun-2026</t>
        </is>
      </c>
      <c r="G1148" t="inlineStr">
        <is>
          <t>Thursday</t>
        </is>
      </c>
      <c r="H1148" t="inlineStr">
        <is>
          <t>Weekly - Thursday</t>
        </is>
      </c>
      <c r="I1148" t="inlineStr">
        <is>
          <t>Weekly - Thursday</t>
        </is>
      </c>
      <c r="J1148" t="inlineStr">
        <is>
          <t>Month+1 Expiry</t>
        </is>
      </c>
      <c r="K1148" s="25" t="n">
        <v>9</v>
      </c>
      <c r="L1148" s="26" t="n">
        <v>0.0138</v>
      </c>
      <c r="M1148" s="26" t="n">
        <v>0.0002</v>
      </c>
    </row>
    <row r="1149" ht="16" customHeight="1">
      <c r="A1149" t="inlineStr">
        <is>
          <t>19-May-2026</t>
        </is>
      </c>
      <c r="B1149" t="inlineStr">
        <is>
          <t>Tuesday</t>
        </is>
      </c>
      <c r="C1149" t="inlineStr">
        <is>
          <t>Week3-May-2026</t>
        </is>
      </c>
      <c r="D1149" s="78" t="n">
        <v>46143</v>
      </c>
      <c r="E1149" t="inlineStr">
        <is>
          <t>Q1FY27</t>
        </is>
      </c>
      <c r="F1149" t="inlineStr">
        <is>
          <t>18-Jun-2026</t>
        </is>
      </c>
      <c r="G1149" t="inlineStr">
        <is>
          <t>Thursday</t>
        </is>
      </c>
      <c r="H1149" t="inlineStr">
        <is>
          <t>Weekly - Thursday</t>
        </is>
      </c>
      <c r="I1149" t="inlineStr">
        <is>
          <t>Weekly - Thursday</t>
        </is>
      </c>
      <c r="J1149" t="inlineStr">
        <is>
          <t>Month+1 Expiry</t>
        </is>
      </c>
      <c r="K1149" s="25" t="n">
        <v>1</v>
      </c>
      <c r="L1149" s="26" t="n">
        <v>0.0015</v>
      </c>
      <c r="M1149" s="26" t="n">
        <v>0</v>
      </c>
    </row>
    <row r="1150" ht="16" customHeight="1">
      <c r="A1150" t="inlineStr">
        <is>
          <t>19-May-2026</t>
        </is>
      </c>
      <c r="B1150" t="inlineStr">
        <is>
          <t>Tuesday</t>
        </is>
      </c>
      <c r="C1150" t="inlineStr">
        <is>
          <t>Week3-May-2026</t>
        </is>
      </c>
      <c r="D1150" s="78" t="n">
        <v>46143</v>
      </c>
      <c r="E1150" t="inlineStr">
        <is>
          <t>Q1FY27</t>
        </is>
      </c>
      <c r="F1150" t="inlineStr">
        <is>
          <t>25-Jun-2026</t>
        </is>
      </c>
      <c r="G1150" t="inlineStr">
        <is>
          <t>Thursday</t>
        </is>
      </c>
      <c r="H1150" t="inlineStr">
        <is>
          <t>Monthly - Thursday</t>
        </is>
      </c>
      <c r="I1150" t="inlineStr">
        <is>
          <t>Monthly - Thursday</t>
        </is>
      </c>
      <c r="J1150" t="inlineStr">
        <is>
          <t>Month+1 Expiry</t>
        </is>
      </c>
      <c r="K1150" s="25" t="n">
        <v>1823</v>
      </c>
      <c r="L1150" s="26" t="n">
        <v>2.8326</v>
      </c>
      <c r="M1150" s="26" t="n">
        <v>0.0452</v>
      </c>
    </row>
    <row r="1151" ht="16" customHeight="1">
      <c r="A1151" t="inlineStr">
        <is>
          <t>19-May-2026</t>
        </is>
      </c>
      <c r="B1151" t="inlineStr">
        <is>
          <t>Tuesday</t>
        </is>
      </c>
      <c r="C1151" t="inlineStr">
        <is>
          <t>Week3-May-2026</t>
        </is>
      </c>
      <c r="D1151" s="78" t="n">
        <v>46143</v>
      </c>
      <c r="E1151" t="inlineStr">
        <is>
          <t>Q1FY27</t>
        </is>
      </c>
      <c r="F1151" t="inlineStr">
        <is>
          <t>30-Jul-2026</t>
        </is>
      </c>
      <c r="G1151" t="inlineStr">
        <is>
          <t>Thursday</t>
        </is>
      </c>
      <c r="H1151" t="inlineStr">
        <is>
          <t>Monthly - Thursday</t>
        </is>
      </c>
      <c r="I1151" t="inlineStr">
        <is>
          <t>Monthly - Thursday</t>
        </is>
      </c>
      <c r="J1151" t="inlineStr">
        <is>
          <t>Month+2 Expiry</t>
        </is>
      </c>
      <c r="K1151" s="25" t="n">
        <v>0</v>
      </c>
      <c r="L1151" s="26" t="n">
        <v>0</v>
      </c>
      <c r="M1151" s="26" t="n">
        <v>0</v>
      </c>
    </row>
    <row r="1152" ht="16" customHeight="1">
      <c r="A1152" t="inlineStr">
        <is>
          <t>20-May-2026</t>
        </is>
      </c>
      <c r="B1152" t="inlineStr">
        <is>
          <t>Wednesday</t>
        </is>
      </c>
      <c r="C1152" t="inlineStr">
        <is>
          <t>Week3-May-2026</t>
        </is>
      </c>
      <c r="D1152" s="78" t="n">
        <v>46143</v>
      </c>
      <c r="E1152" t="inlineStr">
        <is>
          <t>Q1FY27</t>
        </is>
      </c>
      <c r="F1152" t="inlineStr">
        <is>
          <t>21-May-2026</t>
        </is>
      </c>
      <c r="G1152" t="inlineStr">
        <is>
          <t>Thursday</t>
        </is>
      </c>
      <c r="H1152" t="inlineStr">
        <is>
          <t>Weekly - Thursday</t>
        </is>
      </c>
      <c r="I1152" t="inlineStr">
        <is>
          <t>Weekly - Thursday</t>
        </is>
      </c>
      <c r="J1152" t="inlineStr">
        <is>
          <t>Same Month Expiry</t>
        </is>
      </c>
      <c r="K1152" s="25" t="n">
        <v>120744677</v>
      </c>
      <c r="L1152" s="26" t="n">
        <v>181638.0042</v>
      </c>
      <c r="M1152" s="26" t="n">
        <v>419.5476</v>
      </c>
    </row>
    <row r="1153" ht="16" customHeight="1">
      <c r="A1153" t="inlineStr">
        <is>
          <t>20-May-2026</t>
        </is>
      </c>
      <c r="B1153" t="inlineStr">
        <is>
          <t>Wednesday</t>
        </is>
      </c>
      <c r="C1153" t="inlineStr">
        <is>
          <t>Week3-May-2026</t>
        </is>
      </c>
      <c r="D1153" s="78" t="n">
        <v>46143</v>
      </c>
      <c r="E1153" t="inlineStr">
        <is>
          <t>Q1FY27</t>
        </is>
      </c>
      <c r="F1153" t="inlineStr">
        <is>
          <t>27-May-2026</t>
        </is>
      </c>
      <c r="G1153" t="inlineStr">
        <is>
          <t>Wednesday</t>
        </is>
      </c>
      <c r="H1153" t="inlineStr">
        <is>
          <t>Monthly - Wednesday</t>
        </is>
      </c>
      <c r="I1153" t="inlineStr">
        <is>
          <t>Monthly - Wednesday</t>
        </is>
      </c>
      <c r="J1153" t="inlineStr">
        <is>
          <t>Same Month Expiry</t>
        </is>
      </c>
      <c r="K1153" s="25" t="n">
        <v>477503</v>
      </c>
      <c r="L1153" s="26" t="n">
        <v>722.0721</v>
      </c>
      <c r="M1153" s="26" t="n">
        <v>3.3636</v>
      </c>
    </row>
    <row r="1154" ht="16" customHeight="1">
      <c r="A1154" t="inlineStr">
        <is>
          <t>20-May-2026</t>
        </is>
      </c>
      <c r="B1154" t="inlineStr">
        <is>
          <t>Wednesday</t>
        </is>
      </c>
      <c r="C1154" t="inlineStr">
        <is>
          <t>Week3-May-2026</t>
        </is>
      </c>
      <c r="D1154" s="78" t="n">
        <v>46143</v>
      </c>
      <c r="E1154" t="inlineStr">
        <is>
          <t>Q1FY27</t>
        </is>
      </c>
      <c r="F1154" t="inlineStr">
        <is>
          <t>04-Jun-2026</t>
        </is>
      </c>
      <c r="G1154" t="inlineStr">
        <is>
          <t>Thursday</t>
        </is>
      </c>
      <c r="H1154" t="inlineStr">
        <is>
          <t>Weekly - Thursday</t>
        </is>
      </c>
      <c r="I1154" t="inlineStr">
        <is>
          <t>Weekly - Thursday</t>
        </is>
      </c>
      <c r="J1154" t="inlineStr">
        <is>
          <t>Month+1 Expiry</t>
        </is>
      </c>
      <c r="K1154" s="25" t="n">
        <v>6051</v>
      </c>
      <c r="L1154" s="26" t="n">
        <v>9.3141</v>
      </c>
      <c r="M1154" s="26" t="n">
        <v>0.0603</v>
      </c>
    </row>
    <row r="1155" ht="16" customHeight="1">
      <c r="A1155" t="inlineStr">
        <is>
          <t>20-May-2026</t>
        </is>
      </c>
      <c r="B1155" t="inlineStr">
        <is>
          <t>Wednesday</t>
        </is>
      </c>
      <c r="C1155" t="inlineStr">
        <is>
          <t>Week3-May-2026</t>
        </is>
      </c>
      <c r="D1155" s="78" t="n">
        <v>46143</v>
      </c>
      <c r="E1155" t="inlineStr">
        <is>
          <t>Q1FY27</t>
        </is>
      </c>
      <c r="F1155" t="inlineStr">
        <is>
          <t>11-Jun-2026</t>
        </is>
      </c>
      <c r="G1155" t="inlineStr">
        <is>
          <t>Thursday</t>
        </is>
      </c>
      <c r="H1155" t="inlineStr">
        <is>
          <t>Weekly - Thursday</t>
        </is>
      </c>
      <c r="I1155" t="inlineStr">
        <is>
          <t>Weekly - Thursday</t>
        </is>
      </c>
      <c r="J1155" t="inlineStr">
        <is>
          <t>Month+1 Expiry</t>
        </is>
      </c>
      <c r="K1155" s="25" t="n">
        <v>2</v>
      </c>
      <c r="L1155" s="26" t="n">
        <v>0.0031</v>
      </c>
      <c r="M1155" s="26" t="n">
        <v>0.0001</v>
      </c>
    </row>
    <row r="1156" ht="16" customHeight="1">
      <c r="A1156" t="inlineStr">
        <is>
          <t>20-May-2026</t>
        </is>
      </c>
      <c r="B1156" t="inlineStr">
        <is>
          <t>Wednesday</t>
        </is>
      </c>
      <c r="C1156" t="inlineStr">
        <is>
          <t>Week3-May-2026</t>
        </is>
      </c>
      <c r="D1156" s="78" t="n">
        <v>46143</v>
      </c>
      <c r="E1156" t="inlineStr">
        <is>
          <t>Q1FY27</t>
        </is>
      </c>
      <c r="F1156" t="inlineStr">
        <is>
          <t>18-Jun-2026</t>
        </is>
      </c>
      <c r="G1156" t="inlineStr">
        <is>
          <t>Thursday</t>
        </is>
      </c>
      <c r="H1156" t="inlineStr">
        <is>
          <t>Weekly - Thursday</t>
        </is>
      </c>
      <c r="I1156" t="inlineStr">
        <is>
          <t>Weekly - Thursday</t>
        </is>
      </c>
      <c r="J1156" t="inlineStr">
        <is>
          <t>Month+1 Expiry</t>
        </is>
      </c>
      <c r="K1156" s="25" t="n">
        <v>0</v>
      </c>
      <c r="L1156" s="26" t="n">
        <v>0</v>
      </c>
      <c r="M1156" s="26" t="n">
        <v>0</v>
      </c>
    </row>
    <row r="1157" ht="16" customHeight="1">
      <c r="A1157" t="inlineStr">
        <is>
          <t>20-May-2026</t>
        </is>
      </c>
      <c r="B1157" t="inlineStr">
        <is>
          <t>Wednesday</t>
        </is>
      </c>
      <c r="C1157" t="inlineStr">
        <is>
          <t>Week3-May-2026</t>
        </is>
      </c>
      <c r="D1157" s="78" t="n">
        <v>46143</v>
      </c>
      <c r="E1157" t="inlineStr">
        <is>
          <t>Q1FY27</t>
        </is>
      </c>
      <c r="F1157" t="inlineStr">
        <is>
          <t>25-Jun-2026</t>
        </is>
      </c>
      <c r="G1157" t="inlineStr">
        <is>
          <t>Thursday</t>
        </is>
      </c>
      <c r="H1157" t="inlineStr">
        <is>
          <t>Monthly - Thursday</t>
        </is>
      </c>
      <c r="I1157" t="inlineStr">
        <is>
          <t>Monthly - Thursday</t>
        </is>
      </c>
      <c r="J1157" t="inlineStr">
        <is>
          <t>Month+1 Expiry</t>
        </is>
      </c>
      <c r="K1157" s="25" t="n">
        <v>2507</v>
      </c>
      <c r="L1157" s="26" t="n">
        <v>3.8756</v>
      </c>
      <c r="M1157" s="26" t="n">
        <v>0.0586</v>
      </c>
    </row>
    <row r="1158" ht="16" customHeight="1">
      <c r="A1158" t="inlineStr">
        <is>
          <t>20-May-2026</t>
        </is>
      </c>
      <c r="B1158" t="inlineStr">
        <is>
          <t>Wednesday</t>
        </is>
      </c>
      <c r="C1158" t="inlineStr">
        <is>
          <t>Week3-May-2026</t>
        </is>
      </c>
      <c r="D1158" s="78" t="n">
        <v>46143</v>
      </c>
      <c r="E1158" t="inlineStr">
        <is>
          <t>Q1FY27</t>
        </is>
      </c>
      <c r="F1158" t="inlineStr">
        <is>
          <t>30-Jul-2026</t>
        </is>
      </c>
      <c r="G1158" t="inlineStr">
        <is>
          <t>Thursday</t>
        </is>
      </c>
      <c r="H1158" t="inlineStr">
        <is>
          <t>Monthly - Thursday</t>
        </is>
      </c>
      <c r="I1158" t="inlineStr">
        <is>
          <t>Monthly - Thursday</t>
        </is>
      </c>
      <c r="J1158" t="inlineStr">
        <is>
          <t>Month+2 Expiry</t>
        </is>
      </c>
      <c r="K1158" s="25" t="n">
        <v>0</v>
      </c>
      <c r="L1158" s="26" t="n">
        <v>0</v>
      </c>
      <c r="M1158" s="26" t="n">
        <v>0</v>
      </c>
    </row>
    <row r="1159" ht="16" customHeight="1">
      <c r="A1159" t="inlineStr">
        <is>
          <t>21-May-2026</t>
        </is>
      </c>
      <c r="B1159" t="inlineStr">
        <is>
          <t>Thursday</t>
        </is>
      </c>
      <c r="C1159" t="inlineStr">
        <is>
          <t>Week3-May-2026</t>
        </is>
      </c>
      <c r="D1159" s="78" t="n">
        <v>46143</v>
      </c>
      <c r="E1159" t="inlineStr">
        <is>
          <t>Q1FY27</t>
        </is>
      </c>
      <c r="F1159" t="inlineStr">
        <is>
          <t>21-May-2026</t>
        </is>
      </c>
      <c r="G1159" t="inlineStr">
        <is>
          <t>Thursday</t>
        </is>
      </c>
      <c r="H1159" t="inlineStr">
        <is>
          <t>Weekly - Thursday</t>
        </is>
      </c>
      <c r="I1159" t="inlineStr">
        <is>
          <t>Weekly - Thursday</t>
        </is>
      </c>
      <c r="J1159" t="inlineStr">
        <is>
          <t>Same Month Expiry</t>
        </is>
      </c>
      <c r="K1159" s="25" t="n">
        <v>533439880</v>
      </c>
      <c r="L1159" s="26" t="n">
        <v>804410.6681</v>
      </c>
      <c r="M1159" s="26" t="n">
        <v>652.6858</v>
      </c>
    </row>
    <row r="1160" ht="16" customHeight="1">
      <c r="A1160" t="inlineStr">
        <is>
          <t>21-May-2026</t>
        </is>
      </c>
      <c r="B1160" t="inlineStr">
        <is>
          <t>Thursday</t>
        </is>
      </c>
      <c r="C1160" t="inlineStr">
        <is>
          <t>Week3-May-2026</t>
        </is>
      </c>
      <c r="D1160" s="78" t="n">
        <v>46143</v>
      </c>
      <c r="E1160" t="inlineStr">
        <is>
          <t>Q1FY27</t>
        </is>
      </c>
      <c r="F1160" t="inlineStr">
        <is>
          <t>27-May-2026</t>
        </is>
      </c>
      <c r="G1160" t="inlineStr">
        <is>
          <t>Wednesday</t>
        </is>
      </c>
      <c r="H1160" t="inlineStr">
        <is>
          <t>Monthly - Wednesday</t>
        </is>
      </c>
      <c r="I1160" t="inlineStr">
        <is>
          <t>MDAW - Wednesday</t>
        </is>
      </c>
      <c r="J1160" t="inlineStr">
        <is>
          <t>Same Month Expiry</t>
        </is>
      </c>
      <c r="K1160" s="25" t="n">
        <v>2042443</v>
      </c>
      <c r="L1160" s="26" t="n">
        <v>3093.8215</v>
      </c>
      <c r="M1160" s="26" t="n">
        <v>13.7274</v>
      </c>
    </row>
    <row r="1161" ht="16" customHeight="1">
      <c r="A1161" t="inlineStr">
        <is>
          <t>21-May-2026</t>
        </is>
      </c>
      <c r="B1161" t="inlineStr">
        <is>
          <t>Thursday</t>
        </is>
      </c>
      <c r="C1161" t="inlineStr">
        <is>
          <t>Week3-May-2026</t>
        </is>
      </c>
      <c r="D1161" s="78" t="n">
        <v>46143</v>
      </c>
      <c r="E1161" t="inlineStr">
        <is>
          <t>Q1FY27</t>
        </is>
      </c>
      <c r="F1161" t="inlineStr">
        <is>
          <t>04-Jun-2026</t>
        </is>
      </c>
      <c r="G1161" t="inlineStr">
        <is>
          <t>Thursday</t>
        </is>
      </c>
      <c r="H1161" t="inlineStr">
        <is>
          <t>Weekly - Thursday</t>
        </is>
      </c>
      <c r="I1161" t="inlineStr">
        <is>
          <t>Weekly - Thursday</t>
        </is>
      </c>
      <c r="J1161" t="inlineStr">
        <is>
          <t>Month+1 Expiry</t>
        </is>
      </c>
      <c r="K1161" s="25" t="n">
        <v>20236</v>
      </c>
      <c r="L1161" s="26" t="n">
        <v>30.9471</v>
      </c>
      <c r="M1161" s="26" t="n">
        <v>0.2638</v>
      </c>
    </row>
    <row r="1162" ht="16" customHeight="1">
      <c r="A1162" t="inlineStr">
        <is>
          <t>21-May-2026</t>
        </is>
      </c>
      <c r="B1162" t="inlineStr">
        <is>
          <t>Thursday</t>
        </is>
      </c>
      <c r="C1162" t="inlineStr">
        <is>
          <t>Week3-May-2026</t>
        </is>
      </c>
      <c r="D1162" s="78" t="n">
        <v>46143</v>
      </c>
      <c r="E1162" t="inlineStr">
        <is>
          <t>Q1FY27</t>
        </is>
      </c>
      <c r="F1162" t="inlineStr">
        <is>
          <t>11-Jun-2026</t>
        </is>
      </c>
      <c r="G1162" t="inlineStr">
        <is>
          <t>Thursday</t>
        </is>
      </c>
      <c r="H1162" t="inlineStr">
        <is>
          <t>Weekly - Thursday</t>
        </is>
      </c>
      <c r="I1162" t="inlineStr">
        <is>
          <t>Weekly - Thursday</t>
        </is>
      </c>
      <c r="J1162" t="inlineStr">
        <is>
          <t>Month+1 Expiry</t>
        </is>
      </c>
      <c r="K1162" s="25" t="n">
        <v>75</v>
      </c>
      <c r="L1162" s="26" t="n">
        <v>0.1139</v>
      </c>
      <c r="M1162" s="26" t="n">
        <v>0.0013</v>
      </c>
    </row>
    <row r="1163" ht="16" customHeight="1">
      <c r="A1163" t="inlineStr">
        <is>
          <t>21-May-2026</t>
        </is>
      </c>
      <c r="B1163" t="inlineStr">
        <is>
          <t>Thursday</t>
        </is>
      </c>
      <c r="C1163" t="inlineStr">
        <is>
          <t>Week3-May-2026</t>
        </is>
      </c>
      <c r="D1163" s="78" t="n">
        <v>46143</v>
      </c>
      <c r="E1163" t="inlineStr">
        <is>
          <t>Q1FY27</t>
        </is>
      </c>
      <c r="F1163" t="inlineStr">
        <is>
          <t>18-Jun-2026</t>
        </is>
      </c>
      <c r="G1163" t="inlineStr">
        <is>
          <t>Thursday</t>
        </is>
      </c>
      <c r="H1163" t="inlineStr">
        <is>
          <t>Weekly - Thursday</t>
        </is>
      </c>
      <c r="I1163" t="inlineStr">
        <is>
          <t>Weekly - Thursday</t>
        </is>
      </c>
      <c r="J1163" t="inlineStr">
        <is>
          <t>Month+1 Expiry</t>
        </is>
      </c>
      <c r="K1163" s="25" t="n">
        <v>1</v>
      </c>
      <c r="L1163" s="26" t="n">
        <v>0.0017</v>
      </c>
      <c r="M1163" s="26" t="n">
        <v>0</v>
      </c>
    </row>
    <row r="1164" ht="16" customHeight="1">
      <c r="A1164" t="inlineStr">
        <is>
          <t>21-May-2026</t>
        </is>
      </c>
      <c r="B1164" t="inlineStr">
        <is>
          <t>Thursday</t>
        </is>
      </c>
      <c r="C1164" t="inlineStr">
        <is>
          <t>Week3-May-2026</t>
        </is>
      </c>
      <c r="D1164" s="78" t="n">
        <v>46143</v>
      </c>
      <c r="E1164" t="inlineStr">
        <is>
          <t>Q1FY27</t>
        </is>
      </c>
      <c r="F1164" t="inlineStr">
        <is>
          <t>25-Jun-2026</t>
        </is>
      </c>
      <c r="G1164" t="inlineStr">
        <is>
          <t>Thursday</t>
        </is>
      </c>
      <c r="H1164" t="inlineStr">
        <is>
          <t>Monthly - Thursday</t>
        </is>
      </c>
      <c r="I1164" t="inlineStr">
        <is>
          <t>Monthly - Thursday</t>
        </is>
      </c>
      <c r="J1164" t="inlineStr">
        <is>
          <t>Month+1 Expiry</t>
        </is>
      </c>
      <c r="K1164" s="25" t="n">
        <v>2616</v>
      </c>
      <c r="L1164" s="26" t="n">
        <v>4.0476</v>
      </c>
      <c r="M1164" s="26" t="n">
        <v>0.0593</v>
      </c>
    </row>
    <row r="1165" ht="16" customHeight="1">
      <c r="A1165" t="inlineStr">
        <is>
          <t>21-May-2026</t>
        </is>
      </c>
      <c r="B1165" t="inlineStr">
        <is>
          <t>Thursday</t>
        </is>
      </c>
      <c r="C1165" t="inlineStr">
        <is>
          <t>Week3-May-2026</t>
        </is>
      </c>
      <c r="D1165" s="78" t="n">
        <v>46143</v>
      </c>
      <c r="E1165" t="inlineStr">
        <is>
          <t>Q1FY27</t>
        </is>
      </c>
      <c r="F1165" t="inlineStr">
        <is>
          <t>02-Jul-2026</t>
        </is>
      </c>
      <c r="G1165" t="inlineStr">
        <is>
          <t>Thursday</t>
        </is>
      </c>
      <c r="H1165" t="inlineStr">
        <is>
          <t>Weekly - Thursday</t>
        </is>
      </c>
      <c r="I1165" t="inlineStr">
        <is>
          <t>Weekly - Thursday</t>
        </is>
      </c>
      <c r="J1165" t="inlineStr">
        <is>
          <t>Month+2 Expiry</t>
        </is>
      </c>
      <c r="K1165" s="25" t="n">
        <v>1</v>
      </c>
      <c r="L1165" s="26" t="n">
        <v>0.0016</v>
      </c>
      <c r="M1165" s="26" t="n">
        <v>0</v>
      </c>
    </row>
    <row r="1166" ht="16" customHeight="1">
      <c r="A1166" t="inlineStr">
        <is>
          <t>21-May-2026</t>
        </is>
      </c>
      <c r="B1166" t="inlineStr">
        <is>
          <t>Thursday</t>
        </is>
      </c>
      <c r="C1166" t="inlineStr">
        <is>
          <t>Week3-May-2026</t>
        </is>
      </c>
      <c r="D1166" s="78" t="n">
        <v>46143</v>
      </c>
      <c r="E1166" t="inlineStr">
        <is>
          <t>Q1FY27</t>
        </is>
      </c>
      <c r="F1166" t="inlineStr">
        <is>
          <t>30-Jul-2026</t>
        </is>
      </c>
      <c r="G1166" t="inlineStr">
        <is>
          <t>Thursday</t>
        </is>
      </c>
      <c r="H1166" t="inlineStr">
        <is>
          <t>Monthly - Thursday</t>
        </is>
      </c>
      <c r="I1166" t="inlineStr">
        <is>
          <t>Monthly - Thursday</t>
        </is>
      </c>
      <c r="J1166" t="inlineStr">
        <is>
          <t>Month+2 Expiry</t>
        </is>
      </c>
      <c r="K1166" s="25" t="n">
        <v>0</v>
      </c>
      <c r="L1166" s="26" t="n">
        <v>0</v>
      </c>
      <c r="M1166" s="26" t="n">
        <v>0</v>
      </c>
    </row>
    <row r="1167" ht="16" customHeight="1">
      <c r="A1167" t="inlineStr">
        <is>
          <t>22-May-2026</t>
        </is>
      </c>
      <c r="B1167" t="inlineStr">
        <is>
          <t>Friday</t>
        </is>
      </c>
      <c r="C1167" t="inlineStr">
        <is>
          <t>Week4-May-2026</t>
        </is>
      </c>
      <c r="D1167" s="78" t="n">
        <v>46143</v>
      </c>
      <c r="E1167" t="inlineStr">
        <is>
          <t>Q1FY27</t>
        </is>
      </c>
      <c r="F1167" t="inlineStr">
        <is>
          <t>27-May-2026</t>
        </is>
      </c>
      <c r="G1167" t="inlineStr">
        <is>
          <t>Wednesday</t>
        </is>
      </c>
      <c r="H1167" t="inlineStr">
        <is>
          <t>Monthly - Wednesday</t>
        </is>
      </c>
      <c r="I1167" t="inlineStr">
        <is>
          <t>MDAW - Wednesday</t>
        </is>
      </c>
      <c r="J1167" t="inlineStr">
        <is>
          <t>Same Month Expiry</t>
        </is>
      </c>
      <c r="K1167" s="25" t="n">
        <v>15196836</v>
      </c>
      <c r="L1167" s="26" t="n">
        <v>23073.292</v>
      </c>
      <c r="M1167" s="26" t="n">
        <v>95.803</v>
      </c>
    </row>
    <row r="1168" ht="16" customHeight="1">
      <c r="A1168" t="inlineStr">
        <is>
          <t>22-May-2026</t>
        </is>
      </c>
      <c r="B1168" t="inlineStr">
        <is>
          <t>Friday</t>
        </is>
      </c>
      <c r="C1168" t="inlineStr">
        <is>
          <t>Week4-May-2026</t>
        </is>
      </c>
      <c r="D1168" s="78" t="n">
        <v>46143</v>
      </c>
      <c r="E1168" t="inlineStr">
        <is>
          <t>Q1FY27</t>
        </is>
      </c>
      <c r="F1168" t="inlineStr">
        <is>
          <t>04-Jun-2026</t>
        </is>
      </c>
      <c r="G1168" t="inlineStr">
        <is>
          <t>Thursday</t>
        </is>
      </c>
      <c r="H1168" t="inlineStr">
        <is>
          <t>Weekly - Thursday</t>
        </is>
      </c>
      <c r="I1168" t="inlineStr">
        <is>
          <t>Weekly - Thursday</t>
        </is>
      </c>
      <c r="J1168" t="inlineStr">
        <is>
          <t>Month+1 Expiry</t>
        </is>
      </c>
      <c r="K1168" s="25" t="n">
        <v>57728</v>
      </c>
      <c r="L1168" s="26" t="n">
        <v>88.5611</v>
      </c>
      <c r="M1168" s="26" t="n">
        <v>0.5793</v>
      </c>
    </row>
    <row r="1169" ht="16" customHeight="1">
      <c r="A1169" t="inlineStr">
        <is>
          <t>22-May-2026</t>
        </is>
      </c>
      <c r="B1169" t="inlineStr">
        <is>
          <t>Friday</t>
        </is>
      </c>
      <c r="C1169" t="inlineStr">
        <is>
          <t>Week4-May-2026</t>
        </is>
      </c>
      <c r="D1169" s="78" t="n">
        <v>46143</v>
      </c>
      <c r="E1169" t="inlineStr">
        <is>
          <t>Q1FY27</t>
        </is>
      </c>
      <c r="F1169" t="inlineStr">
        <is>
          <t>11-Jun-2026</t>
        </is>
      </c>
      <c r="G1169" t="inlineStr">
        <is>
          <t>Thursday</t>
        </is>
      </c>
      <c r="H1169" t="inlineStr">
        <is>
          <t>Weekly - Thursday</t>
        </is>
      </c>
      <c r="I1169" t="inlineStr">
        <is>
          <t>Weekly - Thursday</t>
        </is>
      </c>
      <c r="J1169" t="inlineStr">
        <is>
          <t>Month+1 Expiry</t>
        </is>
      </c>
      <c r="K1169" s="25" t="n">
        <v>368</v>
      </c>
      <c r="L1169" s="26" t="n">
        <v>0.5639999999999999</v>
      </c>
      <c r="M1169" s="26" t="n">
        <v>0.0078</v>
      </c>
    </row>
    <row r="1170" ht="16" customHeight="1">
      <c r="A1170" t="inlineStr">
        <is>
          <t>22-May-2026</t>
        </is>
      </c>
      <c r="B1170" t="inlineStr">
        <is>
          <t>Friday</t>
        </is>
      </c>
      <c r="C1170" t="inlineStr">
        <is>
          <t>Week4-May-2026</t>
        </is>
      </c>
      <c r="D1170" s="78" t="n">
        <v>46143</v>
      </c>
      <c r="E1170" t="inlineStr">
        <is>
          <t>Q1FY27</t>
        </is>
      </c>
      <c r="F1170" t="inlineStr">
        <is>
          <t>18-Jun-2026</t>
        </is>
      </c>
      <c r="G1170" t="inlineStr">
        <is>
          <t>Thursday</t>
        </is>
      </c>
      <c r="H1170" t="inlineStr">
        <is>
          <t>Weekly - Thursday</t>
        </is>
      </c>
      <c r="I1170" t="inlineStr">
        <is>
          <t>Weekly - Thursday</t>
        </is>
      </c>
      <c r="J1170" t="inlineStr">
        <is>
          <t>Month+1 Expiry</t>
        </is>
      </c>
      <c r="K1170" s="25" t="n">
        <v>0</v>
      </c>
      <c r="L1170" s="26" t="n">
        <v>0</v>
      </c>
      <c r="M1170" s="26" t="n">
        <v>0</v>
      </c>
    </row>
    <row r="1171" ht="16" customHeight="1">
      <c r="A1171" t="inlineStr">
        <is>
          <t>22-May-2026</t>
        </is>
      </c>
      <c r="B1171" t="inlineStr">
        <is>
          <t>Friday</t>
        </is>
      </c>
      <c r="C1171" t="inlineStr">
        <is>
          <t>Week4-May-2026</t>
        </is>
      </c>
      <c r="D1171" s="78" t="n">
        <v>46143</v>
      </c>
      <c r="E1171" t="inlineStr">
        <is>
          <t>Q1FY27</t>
        </is>
      </c>
      <c r="F1171" t="inlineStr">
        <is>
          <t>25-Jun-2026</t>
        </is>
      </c>
      <c r="G1171" t="inlineStr">
        <is>
          <t>Thursday</t>
        </is>
      </c>
      <c r="H1171" t="inlineStr">
        <is>
          <t>Monthly - Thursday</t>
        </is>
      </c>
      <c r="I1171" t="inlineStr">
        <is>
          <t>Monthly - Thursday</t>
        </is>
      </c>
      <c r="J1171" t="inlineStr">
        <is>
          <t>Month+1 Expiry</t>
        </is>
      </c>
      <c r="K1171" s="25" t="n">
        <v>4435</v>
      </c>
      <c r="L1171" s="26" t="n">
        <v>6.8843</v>
      </c>
      <c r="M1171" s="26" t="n">
        <v>0.103</v>
      </c>
    </row>
    <row r="1172" ht="16" customHeight="1">
      <c r="A1172" t="inlineStr">
        <is>
          <t>22-May-2026</t>
        </is>
      </c>
      <c r="B1172" t="inlineStr">
        <is>
          <t>Friday</t>
        </is>
      </c>
      <c r="C1172" t="inlineStr">
        <is>
          <t>Week4-May-2026</t>
        </is>
      </c>
      <c r="D1172" s="78" t="n">
        <v>46143</v>
      </c>
      <c r="E1172" t="inlineStr">
        <is>
          <t>Q1FY27</t>
        </is>
      </c>
      <c r="F1172" t="inlineStr">
        <is>
          <t>02-Jul-2026</t>
        </is>
      </c>
      <c r="G1172" t="inlineStr">
        <is>
          <t>Thursday</t>
        </is>
      </c>
      <c r="H1172" t="inlineStr">
        <is>
          <t>Weekly - Thursday</t>
        </is>
      </c>
      <c r="I1172" t="inlineStr">
        <is>
          <t>Weekly - Thursday</t>
        </is>
      </c>
      <c r="J1172" t="inlineStr">
        <is>
          <t>Month+2 Expiry</t>
        </is>
      </c>
      <c r="K1172" s="25" t="n">
        <v>0</v>
      </c>
      <c r="L1172" s="26" t="n">
        <v>0</v>
      </c>
      <c r="M1172" s="26" t="n">
        <v>0</v>
      </c>
    </row>
    <row r="1173" ht="16" customHeight="1">
      <c r="A1173" t="inlineStr">
        <is>
          <t>22-May-2026</t>
        </is>
      </c>
      <c r="B1173" t="inlineStr">
        <is>
          <t>Friday</t>
        </is>
      </c>
      <c r="C1173" t="inlineStr">
        <is>
          <t>Week4-May-2026</t>
        </is>
      </c>
      <c r="D1173" s="78" t="n">
        <v>46143</v>
      </c>
      <c r="E1173" t="inlineStr">
        <is>
          <t>Q1FY27</t>
        </is>
      </c>
      <c r="F1173" t="inlineStr">
        <is>
          <t>30-Jul-2026</t>
        </is>
      </c>
      <c r="G1173" t="inlineStr">
        <is>
          <t>Thursday</t>
        </is>
      </c>
      <c r="H1173" t="inlineStr">
        <is>
          <t>Monthly - Thursday</t>
        </is>
      </c>
      <c r="I1173" t="inlineStr">
        <is>
          <t>Monthly - Thursday</t>
        </is>
      </c>
      <c r="J1173" t="inlineStr">
        <is>
          <t>Month+2 Expiry</t>
        </is>
      </c>
      <c r="K1173" s="25" t="n">
        <v>116</v>
      </c>
      <c r="L1173" s="26" t="n">
        <v>0.1818</v>
      </c>
      <c r="M1173" s="26" t="n">
        <v>0.0051</v>
      </c>
    </row>
    <row r="1174" ht="16" customHeight="1">
      <c r="A1174" t="inlineStr">
        <is>
          <t>25-May-2026</t>
        </is>
      </c>
      <c r="B1174" t="inlineStr">
        <is>
          <t>Monday</t>
        </is>
      </c>
      <c r="C1174" t="inlineStr">
        <is>
          <t>Week4-May-2026</t>
        </is>
      </c>
      <c r="D1174" s="78" t="n">
        <v>46143</v>
      </c>
      <c r="E1174" t="inlineStr">
        <is>
          <t>Q1FY27</t>
        </is>
      </c>
      <c r="F1174" t="inlineStr">
        <is>
          <t>27-May-2026</t>
        </is>
      </c>
      <c r="G1174" t="inlineStr">
        <is>
          <t>Wednesday</t>
        </is>
      </c>
      <c r="H1174" t="inlineStr">
        <is>
          <t>Monthly - Wednesday</t>
        </is>
      </c>
      <c r="I1174" t="inlineStr">
        <is>
          <t>MDAW - Wednesday</t>
        </is>
      </c>
      <c r="J1174" t="inlineStr">
        <is>
          <t>Same Month Expiry</t>
        </is>
      </c>
      <c r="K1174" s="25" t="n">
        <v>19794703</v>
      </c>
      <c r="L1174" s="26" t="n">
        <v>30240.1659</v>
      </c>
      <c r="M1174" s="26" t="n">
        <v>91.7105</v>
      </c>
    </row>
    <row r="1175" ht="16" customHeight="1">
      <c r="A1175" t="inlineStr">
        <is>
          <t>25-May-2026</t>
        </is>
      </c>
      <c r="B1175" t="inlineStr">
        <is>
          <t>Monday</t>
        </is>
      </c>
      <c r="C1175" t="inlineStr">
        <is>
          <t>Week4-May-2026</t>
        </is>
      </c>
      <c r="D1175" s="78" t="n">
        <v>46143</v>
      </c>
      <c r="E1175" t="inlineStr">
        <is>
          <t>Q1FY27</t>
        </is>
      </c>
      <c r="F1175" t="inlineStr">
        <is>
          <t>04-Jun-2026</t>
        </is>
      </c>
      <c r="G1175" t="inlineStr">
        <is>
          <t>Thursday</t>
        </is>
      </c>
      <c r="H1175" t="inlineStr">
        <is>
          <t>Weekly - Thursday</t>
        </is>
      </c>
      <c r="I1175" t="inlineStr">
        <is>
          <t>Weekly - Thursday</t>
        </is>
      </c>
      <c r="J1175" t="inlineStr">
        <is>
          <t>Month+1 Expiry</t>
        </is>
      </c>
      <c r="K1175" s="25" t="n">
        <v>162385</v>
      </c>
      <c r="L1175" s="26" t="n">
        <v>249.8046</v>
      </c>
      <c r="M1175" s="26" t="n">
        <v>1.4042</v>
      </c>
    </row>
    <row r="1176" ht="16" customHeight="1">
      <c r="A1176" t="inlineStr">
        <is>
          <t>25-May-2026</t>
        </is>
      </c>
      <c r="B1176" t="inlineStr">
        <is>
          <t>Monday</t>
        </is>
      </c>
      <c r="C1176" t="inlineStr">
        <is>
          <t>Week4-May-2026</t>
        </is>
      </c>
      <c r="D1176" s="78" t="n">
        <v>46143</v>
      </c>
      <c r="E1176" t="inlineStr">
        <is>
          <t>Q1FY27</t>
        </is>
      </c>
      <c r="F1176" t="inlineStr">
        <is>
          <t>11-Jun-2026</t>
        </is>
      </c>
      <c r="G1176" t="inlineStr">
        <is>
          <t>Thursday</t>
        </is>
      </c>
      <c r="H1176" t="inlineStr">
        <is>
          <t>Weekly - Thursday</t>
        </is>
      </c>
      <c r="I1176" t="inlineStr">
        <is>
          <t>Weekly - Thursday</t>
        </is>
      </c>
      <c r="J1176" t="inlineStr">
        <is>
          <t>Month+1 Expiry</t>
        </is>
      </c>
      <c r="K1176" s="25" t="n">
        <v>680</v>
      </c>
      <c r="L1176" s="26" t="n">
        <v>1.0408</v>
      </c>
      <c r="M1176" s="26" t="n">
        <v>0.0106</v>
      </c>
    </row>
    <row r="1177" ht="16" customHeight="1">
      <c r="A1177" t="inlineStr">
        <is>
          <t>25-May-2026</t>
        </is>
      </c>
      <c r="B1177" t="inlineStr">
        <is>
          <t>Monday</t>
        </is>
      </c>
      <c r="C1177" t="inlineStr">
        <is>
          <t>Week4-May-2026</t>
        </is>
      </c>
      <c r="D1177" s="78" t="n">
        <v>46143</v>
      </c>
      <c r="E1177" t="inlineStr">
        <is>
          <t>Q1FY27</t>
        </is>
      </c>
      <c r="F1177" t="inlineStr">
        <is>
          <t>18-Jun-2026</t>
        </is>
      </c>
      <c r="G1177" t="inlineStr">
        <is>
          <t>Thursday</t>
        </is>
      </c>
      <c r="H1177" t="inlineStr">
        <is>
          <t>Weekly - Thursday</t>
        </is>
      </c>
      <c r="I1177" t="inlineStr">
        <is>
          <t>Weekly - Thursday</t>
        </is>
      </c>
      <c r="J1177" t="inlineStr">
        <is>
          <t>Month+1 Expiry</t>
        </is>
      </c>
      <c r="K1177" s="25" t="n">
        <v>62</v>
      </c>
      <c r="L1177" s="26" t="n">
        <v>0.0958</v>
      </c>
      <c r="M1177" s="26" t="n">
        <v>0.0023</v>
      </c>
    </row>
    <row r="1178" ht="16" customHeight="1">
      <c r="A1178" t="inlineStr">
        <is>
          <t>25-May-2026</t>
        </is>
      </c>
      <c r="B1178" t="inlineStr">
        <is>
          <t>Monday</t>
        </is>
      </c>
      <c r="C1178" t="inlineStr">
        <is>
          <t>Week4-May-2026</t>
        </is>
      </c>
      <c r="D1178" s="78" t="n">
        <v>46143</v>
      </c>
      <c r="E1178" t="inlineStr">
        <is>
          <t>Q1FY27</t>
        </is>
      </c>
      <c r="F1178" t="inlineStr">
        <is>
          <t>25-Jun-2026</t>
        </is>
      </c>
      <c r="G1178" t="inlineStr">
        <is>
          <t>Thursday</t>
        </is>
      </c>
      <c r="H1178" t="inlineStr">
        <is>
          <t>Monthly - Thursday</t>
        </is>
      </c>
      <c r="I1178" t="inlineStr">
        <is>
          <t>Monthly - Thursday</t>
        </is>
      </c>
      <c r="J1178" t="inlineStr">
        <is>
          <t>Month+1 Expiry</t>
        </is>
      </c>
      <c r="K1178" s="25" t="n">
        <v>9687</v>
      </c>
      <c r="L1178" s="26" t="n">
        <v>15.0717</v>
      </c>
      <c r="M1178" s="26" t="n">
        <v>0.216</v>
      </c>
    </row>
    <row r="1179" ht="16" customHeight="1">
      <c r="A1179" t="inlineStr">
        <is>
          <t>25-May-2026</t>
        </is>
      </c>
      <c r="B1179" t="inlineStr">
        <is>
          <t>Monday</t>
        </is>
      </c>
      <c r="C1179" t="inlineStr">
        <is>
          <t>Week4-May-2026</t>
        </is>
      </c>
      <c r="D1179" s="78" t="n">
        <v>46143</v>
      </c>
      <c r="E1179" t="inlineStr">
        <is>
          <t>Q1FY27</t>
        </is>
      </c>
      <c r="F1179" t="inlineStr">
        <is>
          <t>02-Jul-2026</t>
        </is>
      </c>
      <c r="G1179" t="inlineStr">
        <is>
          <t>Thursday</t>
        </is>
      </c>
      <c r="H1179" t="inlineStr">
        <is>
          <t>Weekly - Thursday</t>
        </is>
      </c>
      <c r="I1179" t="inlineStr">
        <is>
          <t>Weekly - Thursday</t>
        </is>
      </c>
      <c r="J1179" t="inlineStr">
        <is>
          <t>Month+2 Expiry</t>
        </is>
      </c>
      <c r="K1179" s="25" t="n">
        <v>0</v>
      </c>
      <c r="L1179" s="26" t="n">
        <v>0</v>
      </c>
      <c r="M1179" s="26" t="n">
        <v>0</v>
      </c>
    </row>
    <row r="1180" ht="16" customHeight="1">
      <c r="A1180" t="inlineStr">
        <is>
          <t>25-May-2026</t>
        </is>
      </c>
      <c r="B1180" t="inlineStr">
        <is>
          <t>Monday</t>
        </is>
      </c>
      <c r="C1180" t="inlineStr">
        <is>
          <t>Week4-May-2026</t>
        </is>
      </c>
      <c r="D1180" s="78" t="n">
        <v>46143</v>
      </c>
      <c r="E1180" t="inlineStr">
        <is>
          <t>Q1FY27</t>
        </is>
      </c>
      <c r="F1180" t="inlineStr">
        <is>
          <t>30-Jul-2026</t>
        </is>
      </c>
      <c r="G1180" t="inlineStr">
        <is>
          <t>Thursday</t>
        </is>
      </c>
      <c r="H1180" t="inlineStr">
        <is>
          <t>Monthly - Thursday</t>
        </is>
      </c>
      <c r="I1180" t="inlineStr">
        <is>
          <t>Monthly - Thursday</t>
        </is>
      </c>
      <c r="J1180" t="inlineStr">
        <is>
          <t>Month+2 Expiry</t>
        </is>
      </c>
      <c r="K1180" s="25" t="n">
        <v>7</v>
      </c>
      <c r="L1180" s="26" t="n">
        <v>0.011</v>
      </c>
      <c r="M1180" s="26" t="n">
        <v>0.0003</v>
      </c>
    </row>
    <row r="1181" ht="16" customHeight="1">
      <c r="A1181" t="inlineStr">
        <is>
          <t>26-May-2026</t>
        </is>
      </c>
      <c r="B1181" t="inlineStr">
        <is>
          <t>Tuesday</t>
        </is>
      </c>
      <c r="C1181" t="inlineStr">
        <is>
          <t>Week4-May-2026</t>
        </is>
      </c>
      <c r="D1181" s="78" t="n">
        <v>46143</v>
      </c>
      <c r="E1181" t="inlineStr">
        <is>
          <t>Q1FY27</t>
        </is>
      </c>
      <c r="F1181" t="inlineStr">
        <is>
          <t>27-May-2026</t>
        </is>
      </c>
      <c r="G1181" t="inlineStr">
        <is>
          <t>Wednesday</t>
        </is>
      </c>
      <c r="H1181" t="inlineStr">
        <is>
          <t>Monthly - Wednesday</t>
        </is>
      </c>
      <c r="I1181" t="inlineStr">
        <is>
          <t>MDAW - Wednesday</t>
        </is>
      </c>
      <c r="J1181" t="inlineStr">
        <is>
          <t>Same Month Expiry</t>
        </is>
      </c>
      <c r="K1181" s="25" t="n">
        <v>32042404</v>
      </c>
      <c r="L1181" s="26" t="n">
        <v>48989.3037</v>
      </c>
      <c r="M1181" s="26" t="n">
        <v>99.9877</v>
      </c>
    </row>
    <row r="1182" ht="16" customHeight="1">
      <c r="A1182" t="inlineStr">
        <is>
          <t>26-May-2026</t>
        </is>
      </c>
      <c r="B1182" t="inlineStr">
        <is>
          <t>Tuesday</t>
        </is>
      </c>
      <c r="C1182" t="inlineStr">
        <is>
          <t>Week4-May-2026</t>
        </is>
      </c>
      <c r="D1182" s="78" t="n">
        <v>46143</v>
      </c>
      <c r="E1182" t="inlineStr">
        <is>
          <t>Q1FY27</t>
        </is>
      </c>
      <c r="F1182" t="inlineStr">
        <is>
          <t>04-Jun-2026</t>
        </is>
      </c>
      <c r="G1182" t="inlineStr">
        <is>
          <t>Thursday</t>
        </is>
      </c>
      <c r="H1182" t="inlineStr">
        <is>
          <t>Weekly - Thursday</t>
        </is>
      </c>
      <c r="I1182" t="inlineStr">
        <is>
          <t>Weekly - Thursday</t>
        </is>
      </c>
      <c r="J1182" t="inlineStr">
        <is>
          <t>Month+1 Expiry</t>
        </is>
      </c>
      <c r="K1182" s="25" t="n">
        <v>411687</v>
      </c>
      <c r="L1182" s="26" t="n">
        <v>629.4657</v>
      </c>
      <c r="M1182" s="26" t="n">
        <v>2.7794</v>
      </c>
    </row>
    <row r="1183" ht="16" customHeight="1">
      <c r="A1183" t="inlineStr">
        <is>
          <t>26-May-2026</t>
        </is>
      </c>
      <c r="B1183" t="inlineStr">
        <is>
          <t>Tuesday</t>
        </is>
      </c>
      <c r="C1183" t="inlineStr">
        <is>
          <t>Week4-May-2026</t>
        </is>
      </c>
      <c r="D1183" s="78" t="n">
        <v>46143</v>
      </c>
      <c r="E1183" t="inlineStr">
        <is>
          <t>Q1FY27</t>
        </is>
      </c>
      <c r="F1183" t="inlineStr">
        <is>
          <t>11-Jun-2026</t>
        </is>
      </c>
      <c r="G1183" t="inlineStr">
        <is>
          <t>Thursday</t>
        </is>
      </c>
      <c r="H1183" t="inlineStr">
        <is>
          <t>Weekly - Thursday</t>
        </is>
      </c>
      <c r="I1183" t="inlineStr">
        <is>
          <t>Weekly - Thursday</t>
        </is>
      </c>
      <c r="J1183" t="inlineStr">
        <is>
          <t>Month+1 Expiry</t>
        </is>
      </c>
      <c r="K1183" s="25" t="n">
        <v>4614</v>
      </c>
      <c r="L1183" s="26" t="n">
        <v>7.2002</v>
      </c>
      <c r="M1183" s="26" t="n">
        <v>0.0408</v>
      </c>
    </row>
    <row r="1184" ht="16" customHeight="1">
      <c r="A1184" t="inlineStr">
        <is>
          <t>26-May-2026</t>
        </is>
      </c>
      <c r="B1184" t="inlineStr">
        <is>
          <t>Tuesday</t>
        </is>
      </c>
      <c r="C1184" t="inlineStr">
        <is>
          <t>Week4-May-2026</t>
        </is>
      </c>
      <c r="D1184" s="78" t="n">
        <v>46143</v>
      </c>
      <c r="E1184" t="inlineStr">
        <is>
          <t>Q1FY27</t>
        </is>
      </c>
      <c r="F1184" t="inlineStr">
        <is>
          <t>18-Jun-2026</t>
        </is>
      </c>
      <c r="G1184" t="inlineStr">
        <is>
          <t>Thursday</t>
        </is>
      </c>
      <c r="H1184" t="inlineStr">
        <is>
          <t>Weekly - Thursday</t>
        </is>
      </c>
      <c r="I1184" t="inlineStr">
        <is>
          <t>Weekly - Thursday</t>
        </is>
      </c>
      <c r="J1184" t="inlineStr">
        <is>
          <t>Month+1 Expiry</t>
        </is>
      </c>
      <c r="K1184" s="25" t="n">
        <v>16</v>
      </c>
      <c r="L1184" s="26" t="n">
        <v>0.0265</v>
      </c>
      <c r="M1184" s="26" t="n">
        <v>0.0001</v>
      </c>
    </row>
    <row r="1185" ht="16" customHeight="1">
      <c r="A1185" t="inlineStr">
        <is>
          <t>26-May-2026</t>
        </is>
      </c>
      <c r="B1185" t="inlineStr">
        <is>
          <t>Tuesday</t>
        </is>
      </c>
      <c r="C1185" t="inlineStr">
        <is>
          <t>Week4-May-2026</t>
        </is>
      </c>
      <c r="D1185" s="78" t="n">
        <v>46143</v>
      </c>
      <c r="E1185" t="inlineStr">
        <is>
          <t>Q1FY27</t>
        </is>
      </c>
      <c r="F1185" t="inlineStr">
        <is>
          <t>25-Jun-2026</t>
        </is>
      </c>
      <c r="G1185" t="inlineStr">
        <is>
          <t>Thursday</t>
        </is>
      </c>
      <c r="H1185" t="inlineStr">
        <is>
          <t>Monthly - Thursday</t>
        </is>
      </c>
      <c r="I1185" t="inlineStr">
        <is>
          <t>Monthly - Thursday</t>
        </is>
      </c>
      <c r="J1185" t="inlineStr">
        <is>
          <t>Month+1 Expiry</t>
        </is>
      </c>
      <c r="K1185" s="25" t="n">
        <v>10475</v>
      </c>
      <c r="L1185" s="26" t="n">
        <v>16.7825</v>
      </c>
      <c r="M1185" s="26" t="n">
        <v>0.4408</v>
      </c>
    </row>
    <row r="1186" ht="16" customHeight="1">
      <c r="A1186" t="inlineStr">
        <is>
          <t>26-May-2026</t>
        </is>
      </c>
      <c r="B1186" t="inlineStr">
        <is>
          <t>Tuesday</t>
        </is>
      </c>
      <c r="C1186" t="inlineStr">
        <is>
          <t>Week4-May-2026</t>
        </is>
      </c>
      <c r="D1186" s="78" t="n">
        <v>46143</v>
      </c>
      <c r="E1186" t="inlineStr">
        <is>
          <t>Q1FY27</t>
        </is>
      </c>
      <c r="F1186" t="inlineStr">
        <is>
          <t>02-Jul-2026</t>
        </is>
      </c>
      <c r="G1186" t="inlineStr">
        <is>
          <t>Thursday</t>
        </is>
      </c>
      <c r="H1186" t="inlineStr">
        <is>
          <t>Weekly - Thursday</t>
        </is>
      </c>
      <c r="I1186" t="inlineStr">
        <is>
          <t>Weekly - Thursday</t>
        </is>
      </c>
      <c r="J1186" t="inlineStr">
        <is>
          <t>Month+2 Expiry</t>
        </is>
      </c>
      <c r="K1186" s="25" t="n">
        <v>0</v>
      </c>
      <c r="L1186" s="26" t="n">
        <v>0</v>
      </c>
      <c r="M1186" s="26" t="n">
        <v>0</v>
      </c>
    </row>
    <row r="1187" ht="16" customHeight="1">
      <c r="A1187" t="inlineStr">
        <is>
          <t>26-May-2026</t>
        </is>
      </c>
      <c r="B1187" t="inlineStr">
        <is>
          <t>Tuesday</t>
        </is>
      </c>
      <c r="C1187" t="inlineStr">
        <is>
          <t>Week4-May-2026</t>
        </is>
      </c>
      <c r="D1187" s="78" t="n">
        <v>46143</v>
      </c>
      <c r="E1187" t="inlineStr">
        <is>
          <t>Q1FY27</t>
        </is>
      </c>
      <c r="F1187" t="inlineStr">
        <is>
          <t>30-Jul-2026</t>
        </is>
      </c>
      <c r="G1187" t="inlineStr">
        <is>
          <t>Thursday</t>
        </is>
      </c>
      <c r="H1187" t="inlineStr">
        <is>
          <t>Monthly - Thursday</t>
        </is>
      </c>
      <c r="I1187" t="inlineStr">
        <is>
          <t>Monthly - Thursday</t>
        </is>
      </c>
      <c r="J1187" t="inlineStr">
        <is>
          <t>Month+2 Expiry</t>
        </is>
      </c>
      <c r="K1187" s="25" t="n">
        <v>224</v>
      </c>
      <c r="L1187" s="26" t="n">
        <v>0.3549</v>
      </c>
      <c r="M1187" s="26" t="n">
        <v>0.008699999999999999</v>
      </c>
    </row>
    <row r="1188" ht="16" customHeight="1">
      <c r="A1188" t="inlineStr">
        <is>
          <t>27-May-2026</t>
        </is>
      </c>
      <c r="B1188" t="inlineStr">
        <is>
          <t>Wednesday</t>
        </is>
      </c>
      <c r="C1188" t="inlineStr">
        <is>
          <t>Week4-May-2026</t>
        </is>
      </c>
      <c r="D1188" s="78" t="n">
        <v>46143</v>
      </c>
      <c r="E1188" t="inlineStr">
        <is>
          <t>Q1FY27</t>
        </is>
      </c>
      <c r="F1188" t="inlineStr">
        <is>
          <t>27-May-2026</t>
        </is>
      </c>
      <c r="G1188" t="inlineStr">
        <is>
          <t>Wednesday</t>
        </is>
      </c>
      <c r="H1188" t="inlineStr">
        <is>
          <t>Monthly - Wednesday</t>
        </is>
      </c>
      <c r="I1188" t="inlineStr">
        <is>
          <t>MDAW - Wednesday</t>
        </is>
      </c>
      <c r="J1188" t="inlineStr">
        <is>
          <t>Same Month Expiry</t>
        </is>
      </c>
      <c r="K1188" s="25" t="n">
        <v>451496139</v>
      </c>
      <c r="L1188" s="26" t="n">
        <v>686443.5026</v>
      </c>
      <c r="M1188" s="26" t="n">
        <v>494.6654</v>
      </c>
    </row>
    <row r="1189" ht="16" customHeight="1">
      <c r="A1189" t="inlineStr">
        <is>
          <t>27-May-2026</t>
        </is>
      </c>
      <c r="B1189" t="inlineStr">
        <is>
          <t>Wednesday</t>
        </is>
      </c>
      <c r="C1189" t="inlineStr">
        <is>
          <t>Week4-May-2026</t>
        </is>
      </c>
      <c r="D1189" s="78" t="n">
        <v>46143</v>
      </c>
      <c r="E1189" t="inlineStr">
        <is>
          <t>Q1FY27</t>
        </is>
      </c>
      <c r="F1189" t="inlineStr">
        <is>
          <t>04-Jun-2026</t>
        </is>
      </c>
      <c r="G1189" t="inlineStr">
        <is>
          <t>Thursday</t>
        </is>
      </c>
      <c r="H1189" t="inlineStr">
        <is>
          <t>Weekly - Thursday</t>
        </is>
      </c>
      <c r="I1189" t="inlineStr">
        <is>
          <t>Weekly - Thursday</t>
        </is>
      </c>
      <c r="J1189" t="inlineStr">
        <is>
          <t>Month+1 Expiry</t>
        </is>
      </c>
      <c r="K1189" s="25" t="n">
        <v>1653822</v>
      </c>
      <c r="L1189" s="26" t="n">
        <v>2526.803</v>
      </c>
      <c r="M1189" s="26" t="n">
        <v>11.123</v>
      </c>
    </row>
    <row r="1190" ht="16" customHeight="1">
      <c r="A1190" t="inlineStr">
        <is>
          <t>27-May-2026</t>
        </is>
      </c>
      <c r="B1190" t="inlineStr">
        <is>
          <t>Wednesday</t>
        </is>
      </c>
      <c r="C1190" t="inlineStr">
        <is>
          <t>Week4-May-2026</t>
        </is>
      </c>
      <c r="D1190" s="78" t="n">
        <v>46143</v>
      </c>
      <c r="E1190" t="inlineStr">
        <is>
          <t>Q1FY27</t>
        </is>
      </c>
      <c r="F1190" t="inlineStr">
        <is>
          <t>11-Jun-2026</t>
        </is>
      </c>
      <c r="G1190" t="inlineStr">
        <is>
          <t>Thursday</t>
        </is>
      </c>
      <c r="H1190" t="inlineStr">
        <is>
          <t>Weekly - Thursday</t>
        </is>
      </c>
      <c r="I1190" t="inlineStr">
        <is>
          <t>Weekly - Thursday</t>
        </is>
      </c>
      <c r="J1190" t="inlineStr">
        <is>
          <t>Month+1 Expiry</t>
        </is>
      </c>
      <c r="K1190" s="25" t="n">
        <v>11972</v>
      </c>
      <c r="L1190" s="26" t="n">
        <v>18.4314</v>
      </c>
      <c r="M1190" s="26" t="n">
        <v>0.0876</v>
      </c>
    </row>
    <row r="1191" ht="16" customHeight="1">
      <c r="A1191" t="inlineStr">
        <is>
          <t>27-May-2026</t>
        </is>
      </c>
      <c r="B1191" t="inlineStr">
        <is>
          <t>Wednesday</t>
        </is>
      </c>
      <c r="C1191" t="inlineStr">
        <is>
          <t>Week4-May-2026</t>
        </is>
      </c>
      <c r="D1191" s="78" t="n">
        <v>46143</v>
      </c>
      <c r="E1191" t="inlineStr">
        <is>
          <t>Q1FY27</t>
        </is>
      </c>
      <c r="F1191" t="inlineStr">
        <is>
          <t>18-Jun-2026</t>
        </is>
      </c>
      <c r="G1191" t="inlineStr">
        <is>
          <t>Thursday</t>
        </is>
      </c>
      <c r="H1191" t="inlineStr">
        <is>
          <t>Weekly - Thursday</t>
        </is>
      </c>
      <c r="I1191" t="inlineStr">
        <is>
          <t>Weekly - Thursday</t>
        </is>
      </c>
      <c r="J1191" t="inlineStr">
        <is>
          <t>Month+1 Expiry</t>
        </is>
      </c>
      <c r="K1191" s="25" t="n">
        <v>17</v>
      </c>
      <c r="L1191" s="26" t="n">
        <v>0.0266</v>
      </c>
      <c r="M1191" s="26" t="n">
        <v>0.0005</v>
      </c>
    </row>
    <row r="1192" ht="16" customHeight="1">
      <c r="A1192" t="inlineStr">
        <is>
          <t>27-May-2026</t>
        </is>
      </c>
      <c r="B1192" t="inlineStr">
        <is>
          <t>Wednesday</t>
        </is>
      </c>
      <c r="C1192" t="inlineStr">
        <is>
          <t>Week4-May-2026</t>
        </is>
      </c>
      <c r="D1192" s="78" t="n">
        <v>46143</v>
      </c>
      <c r="E1192" t="inlineStr">
        <is>
          <t>Q1FY27</t>
        </is>
      </c>
      <c r="F1192" t="inlineStr">
        <is>
          <t>25-Jun-2026</t>
        </is>
      </c>
      <c r="G1192" t="inlineStr">
        <is>
          <t>Thursday</t>
        </is>
      </c>
      <c r="H1192" t="inlineStr">
        <is>
          <t>Monthly - Thursday</t>
        </is>
      </c>
      <c r="I1192" t="inlineStr">
        <is>
          <t>Monthly - Thursday</t>
        </is>
      </c>
      <c r="J1192" t="inlineStr">
        <is>
          <t>Month+1 Expiry</t>
        </is>
      </c>
      <c r="K1192" s="25" t="n">
        <v>16912</v>
      </c>
      <c r="L1192" s="26" t="n">
        <v>26.6672</v>
      </c>
      <c r="M1192" s="26" t="n">
        <v>0.5004999999999999</v>
      </c>
    </row>
    <row r="1193" ht="16" customHeight="1">
      <c r="A1193" t="inlineStr">
        <is>
          <t>27-May-2026</t>
        </is>
      </c>
      <c r="B1193" t="inlineStr">
        <is>
          <t>Wednesday</t>
        </is>
      </c>
      <c r="C1193" t="inlineStr">
        <is>
          <t>Week4-May-2026</t>
        </is>
      </c>
      <c r="D1193" s="78" t="n">
        <v>46143</v>
      </c>
      <c r="E1193" t="inlineStr">
        <is>
          <t>Q1FY27</t>
        </is>
      </c>
      <c r="F1193" t="inlineStr">
        <is>
          <t>02-Jul-2026</t>
        </is>
      </c>
      <c r="G1193" t="inlineStr">
        <is>
          <t>Thursday</t>
        </is>
      </c>
      <c r="H1193" t="inlineStr">
        <is>
          <t>Weekly - Thursday</t>
        </is>
      </c>
      <c r="I1193" t="inlineStr">
        <is>
          <t>Weekly - Thursday</t>
        </is>
      </c>
      <c r="J1193" t="inlineStr">
        <is>
          <t>Month+2 Expiry</t>
        </is>
      </c>
      <c r="K1193" s="25" t="n">
        <v>0</v>
      </c>
      <c r="L1193" s="26" t="n">
        <v>0</v>
      </c>
      <c r="M1193" s="26" t="n">
        <v>0</v>
      </c>
    </row>
    <row r="1194" ht="16" customHeight="1">
      <c r="A1194" t="inlineStr">
        <is>
          <t>27-May-2026</t>
        </is>
      </c>
      <c r="B1194" t="inlineStr">
        <is>
          <t>Wednesday</t>
        </is>
      </c>
      <c r="C1194" t="inlineStr">
        <is>
          <t>Week4-May-2026</t>
        </is>
      </c>
      <c r="D1194" s="78" t="n">
        <v>46143</v>
      </c>
      <c r="E1194" t="inlineStr">
        <is>
          <t>Q1FY27</t>
        </is>
      </c>
      <c r="F1194" t="inlineStr">
        <is>
          <t>30-Jul-2026</t>
        </is>
      </c>
      <c r="G1194" t="inlineStr">
        <is>
          <t>Thursday</t>
        </is>
      </c>
      <c r="H1194" t="inlineStr">
        <is>
          <t>Monthly - Thursday</t>
        </is>
      </c>
      <c r="I1194" t="inlineStr">
        <is>
          <t>Monthly - Thursday</t>
        </is>
      </c>
      <c r="J1194" t="inlineStr">
        <is>
          <t>Month+2 Expiry</t>
        </is>
      </c>
      <c r="K1194" s="25" t="n">
        <v>543</v>
      </c>
      <c r="L1194" s="26" t="n">
        <v>0.85</v>
      </c>
      <c r="M1194" s="26" t="n">
        <v>0.0186</v>
      </c>
    </row>
    <row r="1195" ht="16" customHeight="1">
      <c r="A1195" t="inlineStr">
        <is>
          <t>29-May-2026</t>
        </is>
      </c>
      <c r="B1195" t="inlineStr">
        <is>
          <t>Friday</t>
        </is>
      </c>
      <c r="C1195" t="inlineStr">
        <is>
          <t>Week5-May-2026</t>
        </is>
      </c>
      <c r="D1195" s="78" t="n">
        <v>46143</v>
      </c>
      <c r="E1195" t="inlineStr">
        <is>
          <t>Q1FY27</t>
        </is>
      </c>
      <c r="F1195" t="inlineStr">
        <is>
          <t>04-Jun-2026</t>
        </is>
      </c>
      <c r="G1195" t="inlineStr">
        <is>
          <t>Thursday</t>
        </is>
      </c>
      <c r="H1195" t="inlineStr">
        <is>
          <t>Weekly - Thursday</t>
        </is>
      </c>
      <c r="I1195" t="inlineStr">
        <is>
          <t>Weekly - Thursday</t>
        </is>
      </c>
      <c r="J1195" t="inlineStr">
        <is>
          <t>Month+1 Expiry</t>
        </is>
      </c>
      <c r="K1195" s="25" t="n">
        <v>19470766</v>
      </c>
      <c r="L1195" s="26" t="n">
        <v>29615.7304</v>
      </c>
      <c r="M1195" s="26" t="n">
        <v>120.8901</v>
      </c>
    </row>
    <row r="1196" ht="16" customHeight="1">
      <c r="A1196" t="inlineStr">
        <is>
          <t>29-May-2026</t>
        </is>
      </c>
      <c r="B1196" t="inlineStr">
        <is>
          <t>Friday</t>
        </is>
      </c>
      <c r="C1196" t="inlineStr">
        <is>
          <t>Week5-May-2026</t>
        </is>
      </c>
      <c r="D1196" s="78" t="n">
        <v>46143</v>
      </c>
      <c r="E1196" t="inlineStr">
        <is>
          <t>Q1FY27</t>
        </is>
      </c>
      <c r="F1196" t="inlineStr">
        <is>
          <t>11-Jun-2026</t>
        </is>
      </c>
      <c r="G1196" t="inlineStr">
        <is>
          <t>Thursday</t>
        </is>
      </c>
      <c r="H1196" t="inlineStr">
        <is>
          <t>Weekly - Thursday</t>
        </is>
      </c>
      <c r="I1196" t="inlineStr">
        <is>
          <t>Weekly - Thursday</t>
        </is>
      </c>
      <c r="J1196" t="inlineStr">
        <is>
          <t>Month+1 Expiry</t>
        </is>
      </c>
      <c r="K1196" s="25" t="n">
        <v>59342</v>
      </c>
      <c r="L1196" s="26" t="n">
        <v>90.66889999999999</v>
      </c>
      <c r="M1196" s="26" t="n">
        <v>0.487</v>
      </c>
    </row>
    <row r="1197" ht="16" customHeight="1">
      <c r="A1197" t="inlineStr">
        <is>
          <t>29-May-2026</t>
        </is>
      </c>
      <c r="B1197" t="inlineStr">
        <is>
          <t>Friday</t>
        </is>
      </c>
      <c r="C1197" t="inlineStr">
        <is>
          <t>Week5-May-2026</t>
        </is>
      </c>
      <c r="D1197" s="78" t="n">
        <v>46143</v>
      </c>
      <c r="E1197" t="inlineStr">
        <is>
          <t>Q1FY27</t>
        </is>
      </c>
      <c r="F1197" t="inlineStr">
        <is>
          <t>18-Jun-2026</t>
        </is>
      </c>
      <c r="G1197" t="inlineStr">
        <is>
          <t>Thursday</t>
        </is>
      </c>
      <c r="H1197" t="inlineStr">
        <is>
          <t>Weekly - Thursday</t>
        </is>
      </c>
      <c r="I1197" t="inlineStr">
        <is>
          <t>Weekly - Thursday</t>
        </is>
      </c>
      <c r="J1197" t="inlineStr">
        <is>
          <t>Month+1 Expiry</t>
        </is>
      </c>
      <c r="K1197" s="25" t="n">
        <v>1598</v>
      </c>
      <c r="L1197" s="26" t="n">
        <v>2.462</v>
      </c>
      <c r="M1197" s="26" t="n">
        <v>0.0307</v>
      </c>
    </row>
    <row r="1198" ht="16" customHeight="1">
      <c r="A1198" t="inlineStr">
        <is>
          <t>29-May-2026</t>
        </is>
      </c>
      <c r="B1198" t="inlineStr">
        <is>
          <t>Friday</t>
        </is>
      </c>
      <c r="C1198" t="inlineStr">
        <is>
          <t>Week5-May-2026</t>
        </is>
      </c>
      <c r="D1198" s="78" t="n">
        <v>46143</v>
      </c>
      <c r="E1198" t="inlineStr">
        <is>
          <t>Q1FY27</t>
        </is>
      </c>
      <c r="F1198" t="inlineStr">
        <is>
          <t>25-Jun-2026</t>
        </is>
      </c>
      <c r="G1198" t="inlineStr">
        <is>
          <t>Thursday</t>
        </is>
      </c>
      <c r="H1198" t="inlineStr">
        <is>
          <t>Monthly - Thursday</t>
        </is>
      </c>
      <c r="I1198" t="inlineStr">
        <is>
          <t>Monthly - Thursday</t>
        </is>
      </c>
      <c r="J1198" t="inlineStr">
        <is>
          <t>Month+1 Expiry</t>
        </is>
      </c>
      <c r="K1198" s="25" t="n">
        <v>27684</v>
      </c>
      <c r="L1198" s="26" t="n">
        <v>42.7512</v>
      </c>
      <c r="M1198" s="26" t="n">
        <v>0.4778</v>
      </c>
    </row>
    <row r="1199" ht="16" customHeight="1">
      <c r="A1199" t="inlineStr">
        <is>
          <t>29-May-2026</t>
        </is>
      </c>
      <c r="B1199" t="inlineStr">
        <is>
          <t>Friday</t>
        </is>
      </c>
      <c r="C1199" t="inlineStr">
        <is>
          <t>Week5-May-2026</t>
        </is>
      </c>
      <c r="D1199" s="78" t="n">
        <v>46143</v>
      </c>
      <c r="E1199" t="inlineStr">
        <is>
          <t>Q1FY27</t>
        </is>
      </c>
      <c r="F1199" t="inlineStr">
        <is>
          <t>02-Jul-2026</t>
        </is>
      </c>
      <c r="G1199" t="inlineStr">
        <is>
          <t>Thursday</t>
        </is>
      </c>
      <c r="H1199" t="inlineStr">
        <is>
          <t>Weekly - Thursday</t>
        </is>
      </c>
      <c r="I1199" t="inlineStr">
        <is>
          <t>Weekly - Thursday</t>
        </is>
      </c>
      <c r="J1199" t="inlineStr">
        <is>
          <t>Month+2 Expiry</t>
        </is>
      </c>
      <c r="K1199" s="25" t="n">
        <v>0</v>
      </c>
      <c r="L1199" s="26" t="n">
        <v>0</v>
      </c>
      <c r="M1199" s="26" t="n">
        <v>0</v>
      </c>
    </row>
    <row r="1200" ht="16" customHeight="1">
      <c r="A1200" t="inlineStr">
        <is>
          <t>29-May-2026</t>
        </is>
      </c>
      <c r="B1200" t="inlineStr">
        <is>
          <t>Friday</t>
        </is>
      </c>
      <c r="C1200" t="inlineStr">
        <is>
          <t>Week5-May-2026</t>
        </is>
      </c>
      <c r="D1200" s="78" t="n">
        <v>46143</v>
      </c>
      <c r="E1200" t="inlineStr">
        <is>
          <t>Q1FY27</t>
        </is>
      </c>
      <c r="F1200" t="inlineStr">
        <is>
          <t>30-Jul-2026</t>
        </is>
      </c>
      <c r="G1200" t="inlineStr">
        <is>
          <t>Thursday</t>
        </is>
      </c>
      <c r="H1200" t="inlineStr">
        <is>
          <t>Monthly - Thursday</t>
        </is>
      </c>
      <c r="I1200" t="inlineStr">
        <is>
          <t>Monthly - Thursday</t>
        </is>
      </c>
      <c r="J1200" t="inlineStr">
        <is>
          <t>Month+2 Expiry</t>
        </is>
      </c>
      <c r="K1200" s="25" t="n">
        <v>754</v>
      </c>
      <c r="L1200" s="26" t="n">
        <v>1.175</v>
      </c>
      <c r="M1200" s="26" t="n">
        <v>0.0245</v>
      </c>
    </row>
    <row r="1201" ht="16" customHeight="1">
      <c r="A1201" t="inlineStr">
        <is>
          <t>01-Jun-2026</t>
        </is>
      </c>
      <c r="B1201" t="inlineStr">
        <is>
          <t>Monday</t>
        </is>
      </c>
      <c r="C1201" t="inlineStr">
        <is>
          <t>Week1-Jun-2026</t>
        </is>
      </c>
      <c r="D1201" s="78" t="n">
        <v>46174</v>
      </c>
      <c r="E1201" t="inlineStr">
        <is>
          <t>Q1FY27</t>
        </is>
      </c>
      <c r="F1201" t="inlineStr">
        <is>
          <t>04-Jun-2026</t>
        </is>
      </c>
      <c r="G1201" t="inlineStr">
        <is>
          <t>Thursday</t>
        </is>
      </c>
      <c r="H1201" t="inlineStr">
        <is>
          <t>Weekly - Thursday</t>
        </is>
      </c>
      <c r="I1201" t="inlineStr">
        <is>
          <t>Weekly - Thursday</t>
        </is>
      </c>
      <c r="J1201" t="inlineStr">
        <is>
          <t>Same Month Expiry</t>
        </is>
      </c>
      <c r="K1201" s="25" t="n">
        <v>22481524</v>
      </c>
      <c r="L1201" s="26" t="n">
        <v>33819.3246</v>
      </c>
      <c r="M1201" s="26" t="n">
        <v>121.9252</v>
      </c>
    </row>
    <row r="1202" ht="16" customHeight="1">
      <c r="A1202" t="inlineStr">
        <is>
          <t>01-Jun-2026</t>
        </is>
      </c>
      <c r="B1202" t="inlineStr">
        <is>
          <t>Monday</t>
        </is>
      </c>
      <c r="C1202" t="inlineStr">
        <is>
          <t>Week1-Jun-2026</t>
        </is>
      </c>
      <c r="D1202" s="78" t="n">
        <v>46174</v>
      </c>
      <c r="E1202" t="inlineStr">
        <is>
          <t>Q1FY27</t>
        </is>
      </c>
      <c r="F1202" t="inlineStr">
        <is>
          <t>11-Jun-2026</t>
        </is>
      </c>
      <c r="G1202" t="inlineStr">
        <is>
          <t>Thursday</t>
        </is>
      </c>
      <c r="H1202" t="inlineStr">
        <is>
          <t>Weekly - Thursday</t>
        </is>
      </c>
      <c r="I1202" t="inlineStr">
        <is>
          <t>Weekly - Thursday</t>
        </is>
      </c>
      <c r="J1202" t="inlineStr">
        <is>
          <t>Same Month Expiry</t>
        </is>
      </c>
      <c r="K1202" s="25" t="n">
        <v>119231</v>
      </c>
      <c r="L1202" s="26" t="n">
        <v>180.0429</v>
      </c>
      <c r="M1202" s="26" t="n">
        <v>0.7866</v>
      </c>
    </row>
    <row r="1203" ht="16" customHeight="1">
      <c r="A1203" t="inlineStr">
        <is>
          <t>01-Jun-2026</t>
        </is>
      </c>
      <c r="B1203" t="inlineStr">
        <is>
          <t>Monday</t>
        </is>
      </c>
      <c r="C1203" t="inlineStr">
        <is>
          <t>Week1-Jun-2026</t>
        </is>
      </c>
      <c r="D1203" s="78" t="n">
        <v>46174</v>
      </c>
      <c r="E1203" t="inlineStr">
        <is>
          <t>Q1FY27</t>
        </is>
      </c>
      <c r="F1203" t="inlineStr">
        <is>
          <t>18-Jun-2026</t>
        </is>
      </c>
      <c r="G1203" t="inlineStr">
        <is>
          <t>Thursday</t>
        </is>
      </c>
      <c r="H1203" t="inlineStr">
        <is>
          <t>Weekly - Thursday</t>
        </is>
      </c>
      <c r="I1203" t="inlineStr">
        <is>
          <t>Weekly - Thursday</t>
        </is>
      </c>
      <c r="J1203" t="inlineStr">
        <is>
          <t>Same Month Expiry</t>
        </is>
      </c>
      <c r="K1203" s="25" t="n">
        <v>965</v>
      </c>
      <c r="L1203" s="26" t="n">
        <v>1.4749</v>
      </c>
      <c r="M1203" s="26" t="n">
        <v>0.0167</v>
      </c>
    </row>
    <row r="1204" ht="16" customHeight="1">
      <c r="A1204" t="inlineStr">
        <is>
          <t>01-Jun-2026</t>
        </is>
      </c>
      <c r="B1204" t="inlineStr">
        <is>
          <t>Monday</t>
        </is>
      </c>
      <c r="C1204" t="inlineStr">
        <is>
          <t>Week1-Jun-2026</t>
        </is>
      </c>
      <c r="D1204" s="78" t="n">
        <v>46174</v>
      </c>
      <c r="E1204" t="inlineStr">
        <is>
          <t>Q1FY27</t>
        </is>
      </c>
      <c r="F1204" t="inlineStr">
        <is>
          <t>25-Jun-2026</t>
        </is>
      </c>
      <c r="G1204" t="inlineStr">
        <is>
          <t>Thursday</t>
        </is>
      </c>
      <c r="H1204" t="inlineStr">
        <is>
          <t>Monthly - Thursday</t>
        </is>
      </c>
      <c r="I1204" t="inlineStr">
        <is>
          <t>Monthly - Thursday</t>
        </is>
      </c>
      <c r="J1204" t="inlineStr">
        <is>
          <t>Same Month Expiry</t>
        </is>
      </c>
      <c r="K1204" s="25" t="n">
        <v>13606</v>
      </c>
      <c r="L1204" s="26" t="n">
        <v>20.92</v>
      </c>
      <c r="M1204" s="26" t="n">
        <v>0.1978</v>
      </c>
    </row>
    <row r="1205" ht="16" customHeight="1">
      <c r="A1205" t="inlineStr">
        <is>
          <t>01-Jun-2026</t>
        </is>
      </c>
      <c r="B1205" t="inlineStr">
        <is>
          <t>Monday</t>
        </is>
      </c>
      <c r="C1205" t="inlineStr">
        <is>
          <t>Week1-Jun-2026</t>
        </is>
      </c>
      <c r="D1205" s="78" t="n">
        <v>46174</v>
      </c>
      <c r="E1205" t="inlineStr">
        <is>
          <t>Q1FY27</t>
        </is>
      </c>
      <c r="F1205" t="inlineStr">
        <is>
          <t>02-Jul-2026</t>
        </is>
      </c>
      <c r="G1205" t="inlineStr">
        <is>
          <t>Thursday</t>
        </is>
      </c>
      <c r="H1205" t="inlineStr">
        <is>
          <t>Weekly - Thursday</t>
        </is>
      </c>
      <c r="I1205" t="inlineStr">
        <is>
          <t>Weekly - Thursday</t>
        </is>
      </c>
      <c r="J1205" t="inlineStr">
        <is>
          <t>Month+1 Expiry</t>
        </is>
      </c>
      <c r="K1205" s="25" t="n">
        <v>1</v>
      </c>
      <c r="L1205" s="26" t="n">
        <v>0.0016</v>
      </c>
      <c r="M1205" s="26" t="n">
        <v>0</v>
      </c>
    </row>
    <row r="1206" ht="16" customHeight="1">
      <c r="A1206" t="inlineStr">
        <is>
          <t>01-Jun-2026</t>
        </is>
      </c>
      <c r="B1206" t="inlineStr">
        <is>
          <t>Monday</t>
        </is>
      </c>
      <c r="C1206" t="inlineStr">
        <is>
          <t>Week1-Jun-2026</t>
        </is>
      </c>
      <c r="D1206" s="78" t="n">
        <v>46174</v>
      </c>
      <c r="E1206" t="inlineStr">
        <is>
          <t>Q1FY27</t>
        </is>
      </c>
      <c r="F1206" t="inlineStr">
        <is>
          <t>30-Jul-2026</t>
        </is>
      </c>
      <c r="G1206" t="inlineStr">
        <is>
          <t>Thursday</t>
        </is>
      </c>
      <c r="H1206" t="inlineStr">
        <is>
          <t>Monthly - Thursday</t>
        </is>
      </c>
      <c r="I1206" t="inlineStr">
        <is>
          <t>Monthly - Thursday</t>
        </is>
      </c>
      <c r="J1206" t="inlineStr">
        <is>
          <t>Month+1 Expiry</t>
        </is>
      </c>
      <c r="K1206" s="25" t="n">
        <v>250</v>
      </c>
      <c r="L1206" s="26" t="n">
        <v>0.3865</v>
      </c>
      <c r="M1206" s="26" t="n">
        <v>0.0074</v>
      </c>
    </row>
    <row r="1207" ht="16" customHeight="1">
      <c r="A1207" t="inlineStr">
        <is>
          <t>02-Jun-2026</t>
        </is>
      </c>
      <c r="B1207" t="inlineStr">
        <is>
          <t>Tuesday</t>
        </is>
      </c>
      <c r="C1207" t="inlineStr">
        <is>
          <t>Week1-Jun-2026</t>
        </is>
      </c>
      <c r="D1207" s="78" t="n">
        <v>46174</v>
      </c>
      <c r="E1207" t="inlineStr">
        <is>
          <t>Q1FY27</t>
        </is>
      </c>
      <c r="F1207" t="inlineStr">
        <is>
          <t>04-Jun-2026</t>
        </is>
      </c>
      <c r="G1207" t="inlineStr">
        <is>
          <t>Thursday</t>
        </is>
      </c>
      <c r="H1207" t="inlineStr">
        <is>
          <t>Weekly - Thursday</t>
        </is>
      </c>
      <c r="I1207" t="inlineStr">
        <is>
          <t>Weekly - Thursday</t>
        </is>
      </c>
      <c r="J1207" t="inlineStr">
        <is>
          <t>Same Month Expiry</t>
        </is>
      </c>
      <c r="K1207" s="25" t="n">
        <v>33865725</v>
      </c>
      <c r="L1207" s="26" t="n">
        <v>50597.5045</v>
      </c>
      <c r="M1207" s="26" t="n">
        <v>133.562</v>
      </c>
    </row>
    <row r="1208" ht="16" customHeight="1">
      <c r="A1208" t="inlineStr">
        <is>
          <t>02-Jun-2026</t>
        </is>
      </c>
      <c r="B1208" t="inlineStr">
        <is>
          <t>Tuesday</t>
        </is>
      </c>
      <c r="C1208" t="inlineStr">
        <is>
          <t>Week1-Jun-2026</t>
        </is>
      </c>
      <c r="D1208" s="78" t="n">
        <v>46174</v>
      </c>
      <c r="E1208" t="inlineStr">
        <is>
          <t>Q1FY27</t>
        </is>
      </c>
      <c r="F1208" t="inlineStr">
        <is>
          <t>11-Jun-2026</t>
        </is>
      </c>
      <c r="G1208" t="inlineStr">
        <is>
          <t>Thursday</t>
        </is>
      </c>
      <c r="H1208" t="inlineStr">
        <is>
          <t>Weekly - Thursday</t>
        </is>
      </c>
      <c r="I1208" t="inlineStr">
        <is>
          <t>Weekly - Thursday</t>
        </is>
      </c>
      <c r="J1208" t="inlineStr">
        <is>
          <t>Same Month Expiry</t>
        </is>
      </c>
      <c r="K1208" s="25" t="n">
        <v>298679</v>
      </c>
      <c r="L1208" s="26" t="n">
        <v>447.2396</v>
      </c>
      <c r="M1208" s="26" t="n">
        <v>1.7969</v>
      </c>
    </row>
    <row r="1209" ht="16" customHeight="1">
      <c r="A1209" t="inlineStr">
        <is>
          <t>02-Jun-2026</t>
        </is>
      </c>
      <c r="B1209" t="inlineStr">
        <is>
          <t>Tuesday</t>
        </is>
      </c>
      <c r="C1209" t="inlineStr">
        <is>
          <t>Week1-Jun-2026</t>
        </is>
      </c>
      <c r="D1209" s="78" t="n">
        <v>46174</v>
      </c>
      <c r="E1209" t="inlineStr">
        <is>
          <t>Q1FY27</t>
        </is>
      </c>
      <c r="F1209" t="inlineStr">
        <is>
          <t>18-Jun-2026</t>
        </is>
      </c>
      <c r="G1209" t="inlineStr">
        <is>
          <t>Thursday</t>
        </is>
      </c>
      <c r="H1209" t="inlineStr">
        <is>
          <t>Weekly - Thursday</t>
        </is>
      </c>
      <c r="I1209" t="inlineStr">
        <is>
          <t>Weekly - Thursday</t>
        </is>
      </c>
      <c r="J1209" t="inlineStr">
        <is>
          <t>Same Month Expiry</t>
        </is>
      </c>
      <c r="K1209" s="25" t="n">
        <v>2410</v>
      </c>
      <c r="L1209" s="26" t="n">
        <v>3.6816</v>
      </c>
      <c r="M1209" s="26" t="n">
        <v>0.0312</v>
      </c>
    </row>
    <row r="1210" ht="16" customHeight="1">
      <c r="A1210" t="inlineStr">
        <is>
          <t>02-Jun-2026</t>
        </is>
      </c>
      <c r="B1210" t="inlineStr">
        <is>
          <t>Tuesday</t>
        </is>
      </c>
      <c r="C1210" t="inlineStr">
        <is>
          <t>Week1-Jun-2026</t>
        </is>
      </c>
      <c r="D1210" s="78" t="n">
        <v>46174</v>
      </c>
      <c r="E1210" t="inlineStr">
        <is>
          <t>Q1FY27</t>
        </is>
      </c>
      <c r="F1210" t="inlineStr">
        <is>
          <t>25-Jun-2026</t>
        </is>
      </c>
      <c r="G1210" t="inlineStr">
        <is>
          <t>Thursday</t>
        </is>
      </c>
      <c r="H1210" t="inlineStr">
        <is>
          <t>Monthly - Thursday</t>
        </is>
      </c>
      <c r="I1210" t="inlineStr">
        <is>
          <t>Monthly - Thursday</t>
        </is>
      </c>
      <c r="J1210" t="inlineStr">
        <is>
          <t>Same Month Expiry</t>
        </is>
      </c>
      <c r="K1210" s="25" t="n">
        <v>17170</v>
      </c>
      <c r="L1210" s="26" t="n">
        <v>26.2491</v>
      </c>
      <c r="M1210" s="26" t="n">
        <v>0.2161</v>
      </c>
    </row>
    <row r="1211" ht="16" customHeight="1">
      <c r="A1211" t="inlineStr">
        <is>
          <t>02-Jun-2026</t>
        </is>
      </c>
      <c r="B1211" t="inlineStr">
        <is>
          <t>Tuesday</t>
        </is>
      </c>
      <c r="C1211" t="inlineStr">
        <is>
          <t>Week1-Jun-2026</t>
        </is>
      </c>
      <c r="D1211" s="78" t="n">
        <v>46174</v>
      </c>
      <c r="E1211" t="inlineStr">
        <is>
          <t>Q1FY27</t>
        </is>
      </c>
      <c r="F1211" t="inlineStr">
        <is>
          <t>02-Jul-2026</t>
        </is>
      </c>
      <c r="G1211" t="inlineStr">
        <is>
          <t>Thursday</t>
        </is>
      </c>
      <c r="H1211" t="inlineStr">
        <is>
          <t>Weekly - Thursday</t>
        </is>
      </c>
      <c r="I1211" t="inlineStr">
        <is>
          <t>Weekly - Thursday</t>
        </is>
      </c>
      <c r="J1211" t="inlineStr">
        <is>
          <t>Month+1 Expiry</t>
        </is>
      </c>
      <c r="K1211" s="25" t="n">
        <v>2</v>
      </c>
      <c r="L1211" s="26" t="n">
        <v>0.0031</v>
      </c>
      <c r="M1211" s="26" t="n">
        <v>0</v>
      </c>
    </row>
    <row r="1212" ht="16" customHeight="1">
      <c r="A1212" t="inlineStr">
        <is>
          <t>02-Jun-2026</t>
        </is>
      </c>
      <c r="B1212" t="inlineStr">
        <is>
          <t>Tuesday</t>
        </is>
      </c>
      <c r="C1212" t="inlineStr">
        <is>
          <t>Week1-Jun-2026</t>
        </is>
      </c>
      <c r="D1212" s="78" t="n">
        <v>46174</v>
      </c>
      <c r="E1212" t="inlineStr">
        <is>
          <t>Q1FY27</t>
        </is>
      </c>
      <c r="F1212" t="inlineStr">
        <is>
          <t>30-Jul-2026</t>
        </is>
      </c>
      <c r="G1212" t="inlineStr">
        <is>
          <t>Thursday</t>
        </is>
      </c>
      <c r="H1212" t="inlineStr">
        <is>
          <t>Monthly - Thursday</t>
        </is>
      </c>
      <c r="I1212" t="inlineStr">
        <is>
          <t>Monthly - Thursday</t>
        </is>
      </c>
      <c r="J1212" t="inlineStr">
        <is>
          <t>Month+1 Expiry</t>
        </is>
      </c>
      <c r="K1212" s="25" t="n">
        <v>255</v>
      </c>
      <c r="L1212" s="26" t="n">
        <v>0.3914</v>
      </c>
      <c r="M1212" s="26" t="n">
        <v>0.0078</v>
      </c>
    </row>
    <row r="1213" ht="16" customHeight="1">
      <c r="A1213" t="inlineStr">
        <is>
          <t>03-Jun-2026</t>
        </is>
      </c>
      <c r="B1213" t="inlineStr">
        <is>
          <t>Wednesday</t>
        </is>
      </c>
      <c r="C1213" t="inlineStr">
        <is>
          <t>Week1-Jun-2026</t>
        </is>
      </c>
      <c r="D1213" s="78" t="n">
        <v>46174</v>
      </c>
      <c r="E1213" t="inlineStr">
        <is>
          <t>Q1FY27</t>
        </is>
      </c>
      <c r="F1213" t="inlineStr">
        <is>
          <t>04-Jun-2026</t>
        </is>
      </c>
      <c r="G1213" t="inlineStr">
        <is>
          <t>Thursday</t>
        </is>
      </c>
      <c r="H1213" t="inlineStr">
        <is>
          <t>Weekly - Thursday</t>
        </is>
      </c>
      <c r="I1213" t="inlineStr">
        <is>
          <t>Weekly - Thursday</t>
        </is>
      </c>
      <c r="J1213" t="inlineStr">
        <is>
          <t>Same Month Expiry</t>
        </is>
      </c>
      <c r="K1213" s="25" t="n">
        <v>170142016</v>
      </c>
      <c r="L1213" s="26" t="n">
        <v>253206.063</v>
      </c>
      <c r="M1213" s="26" t="n">
        <v>552.8936</v>
      </c>
    </row>
    <row r="1214" ht="16" customHeight="1">
      <c r="A1214" t="inlineStr">
        <is>
          <t>03-Jun-2026</t>
        </is>
      </c>
      <c r="B1214" t="inlineStr">
        <is>
          <t>Wednesday</t>
        </is>
      </c>
      <c r="C1214" t="inlineStr">
        <is>
          <t>Week1-Jun-2026</t>
        </is>
      </c>
      <c r="D1214" s="78" t="n">
        <v>46174</v>
      </c>
      <c r="E1214" t="inlineStr">
        <is>
          <t>Q1FY27</t>
        </is>
      </c>
      <c r="F1214" t="inlineStr">
        <is>
          <t>11-Jun-2026</t>
        </is>
      </c>
      <c r="G1214" t="inlineStr">
        <is>
          <t>Thursday</t>
        </is>
      </c>
      <c r="H1214" t="inlineStr">
        <is>
          <t>Weekly - Thursday</t>
        </is>
      </c>
      <c r="I1214" t="inlineStr">
        <is>
          <t>Weekly - Thursday</t>
        </is>
      </c>
      <c r="J1214" t="inlineStr">
        <is>
          <t>Same Month Expiry</t>
        </is>
      </c>
      <c r="K1214" s="25" t="n">
        <v>993934</v>
      </c>
      <c r="L1214" s="26" t="n">
        <v>1485.0858</v>
      </c>
      <c r="M1214" s="26" t="n">
        <v>7.5096</v>
      </c>
    </row>
    <row r="1215" ht="16" customHeight="1">
      <c r="A1215" t="inlineStr">
        <is>
          <t>03-Jun-2026</t>
        </is>
      </c>
      <c r="B1215" t="inlineStr">
        <is>
          <t>Wednesday</t>
        </is>
      </c>
      <c r="C1215" t="inlineStr">
        <is>
          <t>Week1-Jun-2026</t>
        </is>
      </c>
      <c r="D1215" s="78" t="n">
        <v>46174</v>
      </c>
      <c r="E1215" t="inlineStr">
        <is>
          <t>Q1FY27</t>
        </is>
      </c>
      <c r="F1215" t="inlineStr">
        <is>
          <t>18-Jun-2026</t>
        </is>
      </c>
      <c r="G1215" t="inlineStr">
        <is>
          <t>Thursday</t>
        </is>
      </c>
      <c r="H1215" t="inlineStr">
        <is>
          <t>Weekly - Thursday</t>
        </is>
      </c>
      <c r="I1215" t="inlineStr">
        <is>
          <t>Weekly - Thursday</t>
        </is>
      </c>
      <c r="J1215" t="inlineStr">
        <is>
          <t>Same Month Expiry</t>
        </is>
      </c>
      <c r="K1215" s="25" t="n">
        <v>4860</v>
      </c>
      <c r="L1215" s="26" t="n">
        <v>7.4749</v>
      </c>
      <c r="M1215" s="26" t="n">
        <v>0.0363</v>
      </c>
    </row>
    <row r="1216" ht="16" customHeight="1">
      <c r="A1216" t="inlineStr">
        <is>
          <t>03-Jun-2026</t>
        </is>
      </c>
      <c r="B1216" t="inlineStr">
        <is>
          <t>Wednesday</t>
        </is>
      </c>
      <c r="C1216" t="inlineStr">
        <is>
          <t>Week1-Jun-2026</t>
        </is>
      </c>
      <c r="D1216" s="78" t="n">
        <v>46174</v>
      </c>
      <c r="E1216" t="inlineStr">
        <is>
          <t>Q1FY27</t>
        </is>
      </c>
      <c r="F1216" t="inlineStr">
        <is>
          <t>25-Jun-2026</t>
        </is>
      </c>
      <c r="G1216" t="inlineStr">
        <is>
          <t>Thursday</t>
        </is>
      </c>
      <c r="H1216" t="inlineStr">
        <is>
          <t>Monthly - Thursday</t>
        </is>
      </c>
      <c r="I1216" t="inlineStr">
        <is>
          <t>Monthly - Thursday</t>
        </is>
      </c>
      <c r="J1216" t="inlineStr">
        <is>
          <t>Same Month Expiry</t>
        </is>
      </c>
      <c r="K1216" s="25" t="n">
        <v>36027</v>
      </c>
      <c r="L1216" s="26" t="n">
        <v>54.9751</v>
      </c>
      <c r="M1216" s="26" t="n">
        <v>0.672</v>
      </c>
    </row>
    <row r="1217" ht="16" customHeight="1">
      <c r="A1217" t="inlineStr">
        <is>
          <t>03-Jun-2026</t>
        </is>
      </c>
      <c r="B1217" t="inlineStr">
        <is>
          <t>Wednesday</t>
        </is>
      </c>
      <c r="C1217" t="inlineStr">
        <is>
          <t>Week1-Jun-2026</t>
        </is>
      </c>
      <c r="D1217" s="78" t="n">
        <v>46174</v>
      </c>
      <c r="E1217" t="inlineStr">
        <is>
          <t>Q1FY27</t>
        </is>
      </c>
      <c r="F1217" t="inlineStr">
        <is>
          <t>02-Jul-2026</t>
        </is>
      </c>
      <c r="G1217" t="inlineStr">
        <is>
          <t>Thursday</t>
        </is>
      </c>
      <c r="H1217" t="inlineStr">
        <is>
          <t>Weekly - Thursday</t>
        </is>
      </c>
      <c r="I1217" t="inlineStr">
        <is>
          <t>Weekly - Thursday</t>
        </is>
      </c>
      <c r="J1217" t="inlineStr">
        <is>
          <t>Month+1 Expiry</t>
        </is>
      </c>
      <c r="K1217" s="25" t="n">
        <v>1</v>
      </c>
      <c r="L1217" s="26" t="n">
        <v>0.0015</v>
      </c>
      <c r="M1217" s="26" t="n">
        <v>0</v>
      </c>
    </row>
    <row r="1218" ht="16" customHeight="1">
      <c r="A1218" t="inlineStr">
        <is>
          <t>03-Jun-2026</t>
        </is>
      </c>
      <c r="B1218" t="inlineStr">
        <is>
          <t>Wednesday</t>
        </is>
      </c>
      <c r="C1218" t="inlineStr">
        <is>
          <t>Week1-Jun-2026</t>
        </is>
      </c>
      <c r="D1218" s="78" t="n">
        <v>46174</v>
      </c>
      <c r="E1218" t="inlineStr">
        <is>
          <t>Q1FY27</t>
        </is>
      </c>
      <c r="F1218" t="inlineStr">
        <is>
          <t>09-Jul-2026</t>
        </is>
      </c>
      <c r="G1218" t="inlineStr">
        <is>
          <t>Thursday</t>
        </is>
      </c>
      <c r="H1218" t="inlineStr">
        <is>
          <t>Weekly - Thursday</t>
        </is>
      </c>
      <c r="I1218" t="inlineStr">
        <is>
          <t>Weekly - Thursday</t>
        </is>
      </c>
      <c r="J1218" t="inlineStr">
        <is>
          <t>Month+1 Expiry</t>
        </is>
      </c>
      <c r="K1218" s="25" t="n">
        <v>1</v>
      </c>
      <c r="L1218" s="26" t="n">
        <v>0.0015</v>
      </c>
      <c r="M1218" s="26" t="n">
        <v>0</v>
      </c>
    </row>
    <row r="1219" ht="16" customHeight="1">
      <c r="A1219" t="inlineStr">
        <is>
          <t>03-Jun-2026</t>
        </is>
      </c>
      <c r="B1219" t="inlineStr">
        <is>
          <t>Wednesday</t>
        </is>
      </c>
      <c r="C1219" t="inlineStr">
        <is>
          <t>Week1-Jun-2026</t>
        </is>
      </c>
      <c r="D1219" s="78" t="n">
        <v>46174</v>
      </c>
      <c r="E1219" t="inlineStr">
        <is>
          <t>Q1FY27</t>
        </is>
      </c>
      <c r="F1219" t="inlineStr">
        <is>
          <t>30-Jul-2026</t>
        </is>
      </c>
      <c r="G1219" t="inlineStr">
        <is>
          <t>Thursday</t>
        </is>
      </c>
      <c r="H1219" t="inlineStr">
        <is>
          <t>Monthly - Thursday</t>
        </is>
      </c>
      <c r="I1219" t="inlineStr">
        <is>
          <t>Monthly - Thursday</t>
        </is>
      </c>
      <c r="J1219" t="inlineStr">
        <is>
          <t>Month+1 Expiry</t>
        </is>
      </c>
      <c r="K1219" s="25" t="n">
        <v>1214</v>
      </c>
      <c r="L1219" s="26" t="n">
        <v>1.8549</v>
      </c>
      <c r="M1219" s="26" t="n">
        <v>0.0372</v>
      </c>
    </row>
    <row r="1220" ht="16" customHeight="1">
      <c r="A1220" t="inlineStr">
        <is>
          <t>04-Jun-2026</t>
        </is>
      </c>
      <c r="B1220" t="inlineStr">
        <is>
          <t>Thursday</t>
        </is>
      </c>
      <c r="C1220" t="inlineStr">
        <is>
          <t>Week1-Jun-2026</t>
        </is>
      </c>
      <c r="D1220" s="78" t="n">
        <v>46174</v>
      </c>
      <c r="E1220" t="inlineStr">
        <is>
          <t>Q1FY27</t>
        </is>
      </c>
      <c r="F1220" t="inlineStr">
        <is>
          <t>04-Jun-2026</t>
        </is>
      </c>
      <c r="G1220" t="inlineStr">
        <is>
          <t>Thursday</t>
        </is>
      </c>
      <c r="H1220" t="inlineStr">
        <is>
          <t>Weekly - Thursday</t>
        </is>
      </c>
      <c r="I1220" t="inlineStr">
        <is>
          <t>Weekly - Thursday</t>
        </is>
      </c>
      <c r="J1220" t="inlineStr">
        <is>
          <t>Same Month Expiry</t>
        </is>
      </c>
      <c r="K1220" s="25" t="n">
        <v>562898150</v>
      </c>
      <c r="L1220" s="26" t="n">
        <v>837657.1962</v>
      </c>
      <c r="M1220" s="26" t="n">
        <v>699.9295</v>
      </c>
    </row>
    <row r="1221" ht="16" customHeight="1">
      <c r="A1221" t="inlineStr">
        <is>
          <t>04-Jun-2026</t>
        </is>
      </c>
      <c r="B1221" t="inlineStr">
        <is>
          <t>Thursday</t>
        </is>
      </c>
      <c r="C1221" t="inlineStr">
        <is>
          <t>Week1-Jun-2026</t>
        </is>
      </c>
      <c r="D1221" s="78" t="n">
        <v>46174</v>
      </c>
      <c r="E1221" t="inlineStr">
        <is>
          <t>Q1FY27</t>
        </is>
      </c>
      <c r="F1221" t="inlineStr">
        <is>
          <t>11-Jun-2026</t>
        </is>
      </c>
      <c r="G1221" t="inlineStr">
        <is>
          <t>Thursday</t>
        </is>
      </c>
      <c r="H1221" t="inlineStr">
        <is>
          <t>Weekly - Thursday</t>
        </is>
      </c>
      <c r="I1221" t="inlineStr">
        <is>
          <t>Weekly - Thursday</t>
        </is>
      </c>
      <c r="J1221" t="inlineStr">
        <is>
          <t>Same Month Expiry</t>
        </is>
      </c>
      <c r="K1221" s="25" t="n">
        <v>2317288</v>
      </c>
      <c r="L1221" s="26" t="n">
        <v>3466.163</v>
      </c>
      <c r="M1221" s="26" t="n">
        <v>16.0548</v>
      </c>
    </row>
    <row r="1222" ht="16" customHeight="1">
      <c r="A1222" t="inlineStr">
        <is>
          <t>04-Jun-2026</t>
        </is>
      </c>
      <c r="B1222" t="inlineStr">
        <is>
          <t>Thursday</t>
        </is>
      </c>
      <c r="C1222" t="inlineStr">
        <is>
          <t>Week1-Jun-2026</t>
        </is>
      </c>
      <c r="D1222" s="78" t="n">
        <v>46174</v>
      </c>
      <c r="E1222" t="inlineStr">
        <is>
          <t>Q1FY27</t>
        </is>
      </c>
      <c r="F1222" t="inlineStr">
        <is>
          <t>18-Jun-2026</t>
        </is>
      </c>
      <c r="G1222" t="inlineStr">
        <is>
          <t>Thursday</t>
        </is>
      </c>
      <c r="H1222" t="inlineStr">
        <is>
          <t>Weekly - Thursday</t>
        </is>
      </c>
      <c r="I1222" t="inlineStr">
        <is>
          <t>Weekly - Thursday</t>
        </is>
      </c>
      <c r="J1222" t="inlineStr">
        <is>
          <t>Same Month Expiry</t>
        </is>
      </c>
      <c r="K1222" s="25" t="n">
        <v>8405</v>
      </c>
      <c r="L1222" s="26" t="n">
        <v>12.7739</v>
      </c>
      <c r="M1222" s="26" t="n">
        <v>0.1006</v>
      </c>
    </row>
    <row r="1223" ht="16" customHeight="1">
      <c r="A1223" t="inlineStr">
        <is>
          <t>04-Jun-2026</t>
        </is>
      </c>
      <c r="B1223" t="inlineStr">
        <is>
          <t>Thursday</t>
        </is>
      </c>
      <c r="C1223" t="inlineStr">
        <is>
          <t>Week1-Jun-2026</t>
        </is>
      </c>
      <c r="D1223" s="78" t="n">
        <v>46174</v>
      </c>
      <c r="E1223" t="inlineStr">
        <is>
          <t>Q1FY27</t>
        </is>
      </c>
      <c r="F1223" t="inlineStr">
        <is>
          <t>25-Jun-2026</t>
        </is>
      </c>
      <c r="G1223" t="inlineStr">
        <is>
          <t>Thursday</t>
        </is>
      </c>
      <c r="H1223" t="inlineStr">
        <is>
          <t>Monthly - Thursday</t>
        </is>
      </c>
      <c r="I1223" t="inlineStr">
        <is>
          <t>Monthly - Thursday</t>
        </is>
      </c>
      <c r="J1223" t="inlineStr">
        <is>
          <t>Same Month Expiry</t>
        </is>
      </c>
      <c r="K1223" s="25" t="n">
        <v>35785</v>
      </c>
      <c r="L1223" s="26" t="n">
        <v>54.2396</v>
      </c>
      <c r="M1223" s="26" t="n">
        <v>0.6222</v>
      </c>
    </row>
    <row r="1224" ht="16" customHeight="1">
      <c r="A1224" t="inlineStr">
        <is>
          <t>04-Jun-2026</t>
        </is>
      </c>
      <c r="B1224" t="inlineStr">
        <is>
          <t>Thursday</t>
        </is>
      </c>
      <c r="C1224" t="inlineStr">
        <is>
          <t>Week1-Jun-2026</t>
        </is>
      </c>
      <c r="D1224" s="78" t="n">
        <v>46174</v>
      </c>
      <c r="E1224" t="inlineStr">
        <is>
          <t>Q1FY27</t>
        </is>
      </c>
      <c r="F1224" t="inlineStr">
        <is>
          <t>02-Jul-2026</t>
        </is>
      </c>
      <c r="G1224" t="inlineStr">
        <is>
          <t>Thursday</t>
        </is>
      </c>
      <c r="H1224" t="inlineStr">
        <is>
          <t>Weekly - Thursday</t>
        </is>
      </c>
      <c r="I1224" t="inlineStr">
        <is>
          <t>Weekly - Thursday</t>
        </is>
      </c>
      <c r="J1224" t="inlineStr">
        <is>
          <t>Month+1 Expiry</t>
        </is>
      </c>
      <c r="K1224" s="25" t="n">
        <v>0</v>
      </c>
      <c r="L1224" s="26" t="n">
        <v>0</v>
      </c>
      <c r="M1224" s="26" t="n">
        <v>0</v>
      </c>
    </row>
    <row r="1225" ht="16" customHeight="1">
      <c r="A1225" t="inlineStr">
        <is>
          <t>04-Jun-2026</t>
        </is>
      </c>
      <c r="B1225" t="inlineStr">
        <is>
          <t>Thursday</t>
        </is>
      </c>
      <c r="C1225" t="inlineStr">
        <is>
          <t>Week1-Jun-2026</t>
        </is>
      </c>
      <c r="D1225" s="78" t="n">
        <v>46174</v>
      </c>
      <c r="E1225" t="inlineStr">
        <is>
          <t>Q1FY27</t>
        </is>
      </c>
      <c r="F1225" t="inlineStr">
        <is>
          <t>09-Jul-2026</t>
        </is>
      </c>
      <c r="G1225" t="inlineStr">
        <is>
          <t>Thursday</t>
        </is>
      </c>
      <c r="H1225" t="inlineStr">
        <is>
          <t>Weekly - Thursday</t>
        </is>
      </c>
      <c r="I1225" t="inlineStr">
        <is>
          <t>Weekly - Thursday</t>
        </is>
      </c>
      <c r="J1225" t="inlineStr">
        <is>
          <t>Month+1 Expiry</t>
        </is>
      </c>
      <c r="K1225" s="25" t="n">
        <v>2</v>
      </c>
      <c r="L1225" s="26" t="n">
        <v>0.003</v>
      </c>
      <c r="M1225" s="26" t="n">
        <v>0.0001</v>
      </c>
    </row>
    <row r="1226" ht="16" customHeight="1">
      <c r="A1226" t="inlineStr">
        <is>
          <t>04-Jun-2026</t>
        </is>
      </c>
      <c r="B1226" t="inlineStr">
        <is>
          <t>Thursday</t>
        </is>
      </c>
      <c r="C1226" t="inlineStr">
        <is>
          <t>Week1-Jun-2026</t>
        </is>
      </c>
      <c r="D1226" s="78" t="n">
        <v>46174</v>
      </c>
      <c r="E1226" t="inlineStr">
        <is>
          <t>Q1FY27</t>
        </is>
      </c>
      <c r="F1226" t="inlineStr">
        <is>
          <t>30-Jul-2026</t>
        </is>
      </c>
      <c r="G1226" t="inlineStr">
        <is>
          <t>Thursday</t>
        </is>
      </c>
      <c r="H1226" t="inlineStr">
        <is>
          <t>Monthly - Thursday</t>
        </is>
      </c>
      <c r="I1226" t="inlineStr">
        <is>
          <t>Monthly - Thursday</t>
        </is>
      </c>
      <c r="J1226" t="inlineStr">
        <is>
          <t>Month+1 Expiry</t>
        </is>
      </c>
      <c r="K1226" s="25" t="n">
        <v>382</v>
      </c>
      <c r="L1226" s="26" t="n">
        <v>0.5836</v>
      </c>
      <c r="M1226" s="26" t="n">
        <v>0.0116</v>
      </c>
    </row>
    <row r="1227" ht="16" customHeight="1">
      <c r="A1227" t="inlineStr">
        <is>
          <t>05-Jun-2026</t>
        </is>
      </c>
      <c r="B1227" t="inlineStr">
        <is>
          <t>Friday</t>
        </is>
      </c>
      <c r="C1227" t="inlineStr">
        <is>
          <t>Week1-Jun-2026</t>
        </is>
      </c>
      <c r="D1227" s="78" t="n">
        <v>46174</v>
      </c>
      <c r="E1227" t="inlineStr">
        <is>
          <t>Q1FY27</t>
        </is>
      </c>
      <c r="F1227" t="inlineStr">
        <is>
          <t>11-Jun-2026</t>
        </is>
      </c>
      <c r="G1227" t="inlineStr">
        <is>
          <t>Thursday</t>
        </is>
      </c>
      <c r="H1227" t="inlineStr">
        <is>
          <t>Weekly - Thursday</t>
        </is>
      </c>
      <c r="I1227" t="inlineStr">
        <is>
          <t>Weekly - Thursday</t>
        </is>
      </c>
      <c r="J1227" t="inlineStr">
        <is>
          <t>Same Month Expiry</t>
        </is>
      </c>
      <c r="K1227" s="25" t="n">
        <v>20309223</v>
      </c>
      <c r="L1227" s="26" t="n">
        <v>30376.3954</v>
      </c>
      <c r="M1227" s="26" t="n">
        <v>139.147</v>
      </c>
    </row>
    <row r="1228" ht="16" customHeight="1">
      <c r="A1228" t="inlineStr">
        <is>
          <t>05-Jun-2026</t>
        </is>
      </c>
      <c r="B1228" t="inlineStr">
        <is>
          <t>Friday</t>
        </is>
      </c>
      <c r="C1228" t="inlineStr">
        <is>
          <t>Week1-Jun-2026</t>
        </is>
      </c>
      <c r="D1228" s="78" t="n">
        <v>46174</v>
      </c>
      <c r="E1228" t="inlineStr">
        <is>
          <t>Q1FY27</t>
        </is>
      </c>
      <c r="F1228" t="inlineStr">
        <is>
          <t>18-Jun-2026</t>
        </is>
      </c>
      <c r="G1228" t="inlineStr">
        <is>
          <t>Thursday</t>
        </is>
      </c>
      <c r="H1228" t="inlineStr">
        <is>
          <t>Weekly - Thursday</t>
        </is>
      </c>
      <c r="I1228" t="inlineStr">
        <is>
          <t>Weekly - Thursday</t>
        </is>
      </c>
      <c r="J1228" t="inlineStr">
        <is>
          <t>Same Month Expiry</t>
        </is>
      </c>
      <c r="K1228" s="25" t="n">
        <v>48116</v>
      </c>
      <c r="L1228" s="26" t="n">
        <v>72.6152</v>
      </c>
      <c r="M1228" s="26" t="n">
        <v>0.5074</v>
      </c>
    </row>
    <row r="1229" ht="16" customHeight="1">
      <c r="A1229" t="inlineStr">
        <is>
          <t>05-Jun-2026</t>
        </is>
      </c>
      <c r="B1229" t="inlineStr">
        <is>
          <t>Friday</t>
        </is>
      </c>
      <c r="C1229" t="inlineStr">
        <is>
          <t>Week1-Jun-2026</t>
        </is>
      </c>
      <c r="D1229" s="78" t="n">
        <v>46174</v>
      </c>
      <c r="E1229" t="inlineStr">
        <is>
          <t>Q1FY27</t>
        </is>
      </c>
      <c r="F1229" t="inlineStr">
        <is>
          <t>25-Jun-2026</t>
        </is>
      </c>
      <c r="G1229" t="inlineStr">
        <is>
          <t>Thursday</t>
        </is>
      </c>
      <c r="H1229" t="inlineStr">
        <is>
          <t>Monthly - Thursday</t>
        </is>
      </c>
      <c r="I1229" t="inlineStr">
        <is>
          <t>Monthly - Thursday</t>
        </is>
      </c>
      <c r="J1229" t="inlineStr">
        <is>
          <t>Same Month Expiry</t>
        </is>
      </c>
      <c r="K1229" s="25" t="n">
        <v>21340</v>
      </c>
      <c r="L1229" s="26" t="n">
        <v>32.3428</v>
      </c>
      <c r="M1229" s="26" t="n">
        <v>0.2617</v>
      </c>
    </row>
    <row r="1230" ht="16" customHeight="1">
      <c r="A1230" t="inlineStr">
        <is>
          <t>05-Jun-2026</t>
        </is>
      </c>
      <c r="B1230" t="inlineStr">
        <is>
          <t>Friday</t>
        </is>
      </c>
      <c r="C1230" t="inlineStr">
        <is>
          <t>Week1-Jun-2026</t>
        </is>
      </c>
      <c r="D1230" s="78" t="n">
        <v>46174</v>
      </c>
      <c r="E1230" t="inlineStr">
        <is>
          <t>Q1FY27</t>
        </is>
      </c>
      <c r="F1230" t="inlineStr">
        <is>
          <t>02-Jul-2026</t>
        </is>
      </c>
      <c r="G1230" t="inlineStr">
        <is>
          <t>Thursday</t>
        </is>
      </c>
      <c r="H1230" t="inlineStr">
        <is>
          <t>Weekly - Thursday</t>
        </is>
      </c>
      <c r="I1230" t="inlineStr">
        <is>
          <t>Weekly - Thursday</t>
        </is>
      </c>
      <c r="J1230" t="inlineStr">
        <is>
          <t>Month+1 Expiry</t>
        </is>
      </c>
      <c r="K1230" s="25" t="n">
        <v>677</v>
      </c>
      <c r="L1230" s="26" t="n">
        <v>1.031</v>
      </c>
      <c r="M1230" s="26" t="n">
        <v>0.0152</v>
      </c>
    </row>
    <row r="1231" ht="16" customHeight="1">
      <c r="A1231" t="inlineStr">
        <is>
          <t>05-Jun-2026</t>
        </is>
      </c>
      <c r="B1231" t="inlineStr">
        <is>
          <t>Friday</t>
        </is>
      </c>
      <c r="C1231" t="inlineStr">
        <is>
          <t>Week1-Jun-2026</t>
        </is>
      </c>
      <c r="D1231" s="78" t="n">
        <v>46174</v>
      </c>
      <c r="E1231" t="inlineStr">
        <is>
          <t>Q1FY27</t>
        </is>
      </c>
      <c r="F1231" t="inlineStr">
        <is>
          <t>09-Jul-2026</t>
        </is>
      </c>
      <c r="G1231" t="inlineStr">
        <is>
          <t>Thursday</t>
        </is>
      </c>
      <c r="H1231" t="inlineStr">
        <is>
          <t>Weekly - Thursday</t>
        </is>
      </c>
      <c r="I1231" t="inlineStr">
        <is>
          <t>Weekly - Thursday</t>
        </is>
      </c>
      <c r="J1231" t="inlineStr">
        <is>
          <t>Month+1 Expiry</t>
        </is>
      </c>
      <c r="K1231" s="25" t="n">
        <v>0</v>
      </c>
      <c r="L1231" s="26" t="n">
        <v>0</v>
      </c>
      <c r="M1231" s="26" t="n">
        <v>0</v>
      </c>
    </row>
    <row r="1232" ht="16" customHeight="1">
      <c r="A1232" t="inlineStr">
        <is>
          <t>05-Jun-2026</t>
        </is>
      </c>
      <c r="B1232" t="inlineStr">
        <is>
          <t>Friday</t>
        </is>
      </c>
      <c r="C1232" t="inlineStr">
        <is>
          <t>Week1-Jun-2026</t>
        </is>
      </c>
      <c r="D1232" s="78" t="n">
        <v>46174</v>
      </c>
      <c r="E1232" t="inlineStr">
        <is>
          <t>Q1FY27</t>
        </is>
      </c>
      <c r="F1232" t="inlineStr">
        <is>
          <t>30-Jul-2026</t>
        </is>
      </c>
      <c r="G1232" t="inlineStr">
        <is>
          <t>Thursday</t>
        </is>
      </c>
      <c r="H1232" t="inlineStr">
        <is>
          <t>Monthly - Thursday</t>
        </is>
      </c>
      <c r="I1232" t="inlineStr">
        <is>
          <t>Monthly - Thursday</t>
        </is>
      </c>
      <c r="J1232" t="inlineStr">
        <is>
          <t>Month+1 Expiry</t>
        </is>
      </c>
      <c r="K1232" s="25" t="n">
        <v>406</v>
      </c>
      <c r="L1232" s="26" t="n">
        <v>0.6222</v>
      </c>
      <c r="M1232" s="26" t="n">
        <v>0.0122</v>
      </c>
    </row>
    <row r="1233" ht="16" customHeight="1">
      <c r="A1233" t="inlineStr">
        <is>
          <t>08-Jun-2026</t>
        </is>
      </c>
      <c r="B1233" t="inlineStr">
        <is>
          <t>Monday</t>
        </is>
      </c>
      <c r="C1233" t="inlineStr">
        <is>
          <t>Week2-Jun-2026</t>
        </is>
      </c>
      <c r="D1233" s="78" t="n">
        <v>46174</v>
      </c>
      <c r="E1233" t="inlineStr">
        <is>
          <t>Q1FY27</t>
        </is>
      </c>
      <c r="F1233" t="inlineStr">
        <is>
          <t>11-Jun-2026</t>
        </is>
      </c>
      <c r="G1233" t="inlineStr">
        <is>
          <t>Thursday</t>
        </is>
      </c>
      <c r="H1233" t="inlineStr">
        <is>
          <t>Weekly - Thursday</t>
        </is>
      </c>
      <c r="I1233" t="inlineStr">
        <is>
          <t>Weekly - Thursday</t>
        </is>
      </c>
      <c r="J1233" t="inlineStr">
        <is>
          <t>Same Month Expiry</t>
        </is>
      </c>
      <c r="K1233" s="25" t="n">
        <v>18650848</v>
      </c>
      <c r="L1233" s="26" t="n">
        <v>27677.885</v>
      </c>
      <c r="M1233" s="26" t="n">
        <v>112.8599</v>
      </c>
    </row>
    <row r="1234" ht="16" customHeight="1">
      <c r="A1234" t="inlineStr">
        <is>
          <t>08-Jun-2026</t>
        </is>
      </c>
      <c r="B1234" t="inlineStr">
        <is>
          <t>Monday</t>
        </is>
      </c>
      <c r="C1234" t="inlineStr">
        <is>
          <t>Week2-Jun-2026</t>
        </is>
      </c>
      <c r="D1234" s="78" t="n">
        <v>46174</v>
      </c>
      <c r="E1234" t="inlineStr">
        <is>
          <t>Q1FY27</t>
        </is>
      </c>
      <c r="F1234" t="inlineStr">
        <is>
          <t>18-Jun-2026</t>
        </is>
      </c>
      <c r="G1234" t="inlineStr">
        <is>
          <t>Thursday</t>
        </is>
      </c>
      <c r="H1234" t="inlineStr">
        <is>
          <t>Weekly - Thursday</t>
        </is>
      </c>
      <c r="I1234" t="inlineStr">
        <is>
          <t>Weekly - Thursday</t>
        </is>
      </c>
      <c r="J1234" t="inlineStr">
        <is>
          <t>Same Month Expiry</t>
        </is>
      </c>
      <c r="K1234" s="25" t="n">
        <v>78307</v>
      </c>
      <c r="L1234" s="26" t="n">
        <v>117.415</v>
      </c>
      <c r="M1234" s="26" t="n">
        <v>0.6847</v>
      </c>
    </row>
    <row r="1235" ht="16" customHeight="1">
      <c r="A1235" t="inlineStr">
        <is>
          <t>08-Jun-2026</t>
        </is>
      </c>
      <c r="B1235" t="inlineStr">
        <is>
          <t>Monday</t>
        </is>
      </c>
      <c r="C1235" t="inlineStr">
        <is>
          <t>Week2-Jun-2026</t>
        </is>
      </c>
      <c r="D1235" s="78" t="n">
        <v>46174</v>
      </c>
      <c r="E1235" t="inlineStr">
        <is>
          <t>Q1FY27</t>
        </is>
      </c>
      <c r="F1235" t="inlineStr">
        <is>
          <t>25-Jun-2026</t>
        </is>
      </c>
      <c r="G1235" t="inlineStr">
        <is>
          <t>Thursday</t>
        </is>
      </c>
      <c r="H1235" t="inlineStr">
        <is>
          <t>Monthly - Thursday</t>
        </is>
      </c>
      <c r="I1235" t="inlineStr">
        <is>
          <t>Monthly - Thursday</t>
        </is>
      </c>
      <c r="J1235" t="inlineStr">
        <is>
          <t>Same Month Expiry</t>
        </is>
      </c>
      <c r="K1235" s="25" t="n">
        <v>28764</v>
      </c>
      <c r="L1235" s="26" t="n">
        <v>43.6962</v>
      </c>
      <c r="M1235" s="26" t="n">
        <v>0.3052</v>
      </c>
    </row>
    <row r="1236" ht="16" customHeight="1">
      <c r="A1236" t="inlineStr">
        <is>
          <t>08-Jun-2026</t>
        </is>
      </c>
      <c r="B1236" t="inlineStr">
        <is>
          <t>Monday</t>
        </is>
      </c>
      <c r="C1236" t="inlineStr">
        <is>
          <t>Week2-Jun-2026</t>
        </is>
      </c>
      <c r="D1236" s="78" t="n">
        <v>46174</v>
      </c>
      <c r="E1236" t="inlineStr">
        <is>
          <t>Q1FY27</t>
        </is>
      </c>
      <c r="F1236" t="inlineStr">
        <is>
          <t>02-Jul-2026</t>
        </is>
      </c>
      <c r="G1236" t="inlineStr">
        <is>
          <t>Thursday</t>
        </is>
      </c>
      <c r="H1236" t="inlineStr">
        <is>
          <t>Weekly - Thursday</t>
        </is>
      </c>
      <c r="I1236" t="inlineStr">
        <is>
          <t>Weekly - Thursday</t>
        </is>
      </c>
      <c r="J1236" t="inlineStr">
        <is>
          <t>Month+1 Expiry</t>
        </is>
      </c>
      <c r="K1236" s="25" t="n">
        <v>380</v>
      </c>
      <c r="L1236" s="26" t="n">
        <v>0.5735</v>
      </c>
      <c r="M1236" s="26" t="n">
        <v>0.01</v>
      </c>
    </row>
    <row r="1237" ht="16" customHeight="1">
      <c r="A1237" t="inlineStr">
        <is>
          <t>08-Jun-2026</t>
        </is>
      </c>
      <c r="B1237" t="inlineStr">
        <is>
          <t>Monday</t>
        </is>
      </c>
      <c r="C1237" t="inlineStr">
        <is>
          <t>Week2-Jun-2026</t>
        </is>
      </c>
      <c r="D1237" s="78" t="n">
        <v>46174</v>
      </c>
      <c r="E1237" t="inlineStr">
        <is>
          <t>Q1FY27</t>
        </is>
      </c>
      <c r="F1237" t="inlineStr">
        <is>
          <t>09-Jul-2026</t>
        </is>
      </c>
      <c r="G1237" t="inlineStr">
        <is>
          <t>Thursday</t>
        </is>
      </c>
      <c r="H1237" t="inlineStr">
        <is>
          <t>Weekly - Thursday</t>
        </is>
      </c>
      <c r="I1237" t="inlineStr">
        <is>
          <t>Weekly - Thursday</t>
        </is>
      </c>
      <c r="J1237" t="inlineStr">
        <is>
          <t>Month+1 Expiry</t>
        </is>
      </c>
      <c r="K1237" s="25" t="n">
        <v>0</v>
      </c>
      <c r="L1237" s="26" t="n">
        <v>0</v>
      </c>
      <c r="M1237" s="26" t="n">
        <v>0</v>
      </c>
    </row>
    <row r="1238" ht="16" customHeight="1">
      <c r="A1238" t="inlineStr">
        <is>
          <t>08-Jun-2026</t>
        </is>
      </c>
      <c r="B1238" t="inlineStr">
        <is>
          <t>Monday</t>
        </is>
      </c>
      <c r="C1238" t="inlineStr">
        <is>
          <t>Week2-Jun-2026</t>
        </is>
      </c>
      <c r="D1238" s="78" t="n">
        <v>46174</v>
      </c>
      <c r="E1238" t="inlineStr">
        <is>
          <t>Q1FY27</t>
        </is>
      </c>
      <c r="F1238" t="inlineStr">
        <is>
          <t>30-Jul-2026</t>
        </is>
      </c>
      <c r="G1238" t="inlineStr">
        <is>
          <t>Thursday</t>
        </is>
      </c>
      <c r="H1238" t="inlineStr">
        <is>
          <t>Monthly - Thursday</t>
        </is>
      </c>
      <c r="I1238" t="inlineStr">
        <is>
          <t>Monthly - Thursday</t>
        </is>
      </c>
      <c r="J1238" t="inlineStr">
        <is>
          <t>Month+1 Expiry</t>
        </is>
      </c>
      <c r="K1238" s="25" t="n">
        <v>444</v>
      </c>
      <c r="L1238" s="26" t="n">
        <v>0.6795</v>
      </c>
      <c r="M1238" s="26" t="n">
        <v>0.0144</v>
      </c>
    </row>
    <row r="1239" ht="16" customHeight="1">
      <c r="A1239" t="inlineStr">
        <is>
          <t>09-Jun-2026</t>
        </is>
      </c>
      <c r="B1239" t="inlineStr">
        <is>
          <t>Tuesday</t>
        </is>
      </c>
      <c r="C1239" t="inlineStr">
        <is>
          <t>Week2-Jun-2026</t>
        </is>
      </c>
      <c r="D1239" s="78" t="n">
        <v>46174</v>
      </c>
      <c r="E1239" t="inlineStr">
        <is>
          <t>Q1FY27</t>
        </is>
      </c>
      <c r="F1239" t="inlineStr">
        <is>
          <t>11-Jun-2026</t>
        </is>
      </c>
      <c r="G1239" t="inlineStr">
        <is>
          <t>Thursday</t>
        </is>
      </c>
      <c r="H1239" t="inlineStr">
        <is>
          <t>Weekly - Thursday</t>
        </is>
      </c>
      <c r="I1239" t="inlineStr">
        <is>
          <t>Weekly - Thursday</t>
        </is>
      </c>
      <c r="J1239" t="inlineStr">
        <is>
          <t>Same Month Expiry</t>
        </is>
      </c>
      <c r="K1239" s="25" t="n">
        <v>26885222</v>
      </c>
      <c r="L1239" s="26" t="n">
        <v>39767.7312</v>
      </c>
      <c r="M1239" s="26" t="n">
        <v>112.2339</v>
      </c>
    </row>
    <row r="1240" ht="16" customHeight="1">
      <c r="A1240" t="inlineStr">
        <is>
          <t>09-Jun-2026</t>
        </is>
      </c>
      <c r="B1240" t="inlineStr">
        <is>
          <t>Tuesday</t>
        </is>
      </c>
      <c r="C1240" t="inlineStr">
        <is>
          <t>Week2-Jun-2026</t>
        </is>
      </c>
      <c r="D1240" s="78" t="n">
        <v>46174</v>
      </c>
      <c r="E1240" t="inlineStr">
        <is>
          <t>Q1FY27</t>
        </is>
      </c>
      <c r="F1240" t="inlineStr">
        <is>
          <t>18-Jun-2026</t>
        </is>
      </c>
      <c r="G1240" t="inlineStr">
        <is>
          <t>Thursday</t>
        </is>
      </c>
      <c r="H1240" t="inlineStr">
        <is>
          <t>Weekly - Thursday</t>
        </is>
      </c>
      <c r="I1240" t="inlineStr">
        <is>
          <t>Weekly - Thursday</t>
        </is>
      </c>
      <c r="J1240" t="inlineStr">
        <is>
          <t>Same Month Expiry</t>
        </is>
      </c>
      <c r="K1240" s="25" t="n">
        <v>261049</v>
      </c>
      <c r="L1240" s="26" t="n">
        <v>384.0742</v>
      </c>
      <c r="M1240" s="26" t="n">
        <v>1.3388</v>
      </c>
    </row>
    <row r="1241" ht="16" customHeight="1">
      <c r="A1241" t="inlineStr">
        <is>
          <t>09-Jun-2026</t>
        </is>
      </c>
      <c r="B1241" t="inlineStr">
        <is>
          <t>Tuesday</t>
        </is>
      </c>
      <c r="C1241" t="inlineStr">
        <is>
          <t>Week2-Jun-2026</t>
        </is>
      </c>
      <c r="D1241" s="78" t="n">
        <v>46174</v>
      </c>
      <c r="E1241" t="inlineStr">
        <is>
          <t>Q1FY27</t>
        </is>
      </c>
      <c r="F1241" t="inlineStr">
        <is>
          <t>25-Jun-2026</t>
        </is>
      </c>
      <c r="G1241" t="inlineStr">
        <is>
          <t>Thursday</t>
        </is>
      </c>
      <c r="H1241" t="inlineStr">
        <is>
          <t>Monthly - Thursday</t>
        </is>
      </c>
      <c r="I1241" t="inlineStr">
        <is>
          <t>Monthly - Thursday</t>
        </is>
      </c>
      <c r="J1241" t="inlineStr">
        <is>
          <t>Same Month Expiry</t>
        </is>
      </c>
      <c r="K1241" s="25" t="n">
        <v>25408</v>
      </c>
      <c r="L1241" s="26" t="n">
        <v>38.3669</v>
      </c>
      <c r="M1241" s="26" t="n">
        <v>0.2504</v>
      </c>
    </row>
    <row r="1242" ht="16" customHeight="1">
      <c r="A1242" t="inlineStr">
        <is>
          <t>09-Jun-2026</t>
        </is>
      </c>
      <c r="B1242" t="inlineStr">
        <is>
          <t>Tuesday</t>
        </is>
      </c>
      <c r="C1242" t="inlineStr">
        <is>
          <t>Week2-Jun-2026</t>
        </is>
      </c>
      <c r="D1242" s="78" t="n">
        <v>46174</v>
      </c>
      <c r="E1242" t="inlineStr">
        <is>
          <t>Q1FY27</t>
        </is>
      </c>
      <c r="F1242" t="inlineStr">
        <is>
          <t>02-Jul-2026</t>
        </is>
      </c>
      <c r="G1242" t="inlineStr">
        <is>
          <t>Thursday</t>
        </is>
      </c>
      <c r="H1242" t="inlineStr">
        <is>
          <t>Weekly - Thursday</t>
        </is>
      </c>
      <c r="I1242" t="inlineStr">
        <is>
          <t>Weekly - Thursday</t>
        </is>
      </c>
      <c r="J1242" t="inlineStr">
        <is>
          <t>Month+1 Expiry</t>
        </is>
      </c>
      <c r="K1242" s="25" t="n">
        <v>376</v>
      </c>
      <c r="L1242" s="26" t="n">
        <v>0.5644</v>
      </c>
      <c r="M1242" s="26" t="n">
        <v>0.008699999999999999</v>
      </c>
    </row>
    <row r="1243" ht="16" customHeight="1">
      <c r="A1243" t="inlineStr">
        <is>
          <t>09-Jun-2026</t>
        </is>
      </c>
      <c r="B1243" t="inlineStr">
        <is>
          <t>Tuesday</t>
        </is>
      </c>
      <c r="C1243" t="inlineStr">
        <is>
          <t>Week2-Jun-2026</t>
        </is>
      </c>
      <c r="D1243" s="78" t="n">
        <v>46174</v>
      </c>
      <c r="E1243" t="inlineStr">
        <is>
          <t>Q1FY27</t>
        </is>
      </c>
      <c r="F1243" t="inlineStr">
        <is>
          <t>09-Jul-2026</t>
        </is>
      </c>
      <c r="G1243" t="inlineStr">
        <is>
          <t>Thursday</t>
        </is>
      </c>
      <c r="H1243" t="inlineStr">
        <is>
          <t>Weekly - Thursday</t>
        </is>
      </c>
      <c r="I1243" t="inlineStr">
        <is>
          <t>Weekly - Thursday</t>
        </is>
      </c>
      <c r="J1243" t="inlineStr">
        <is>
          <t>Month+1 Expiry</t>
        </is>
      </c>
      <c r="K1243" s="25" t="n">
        <v>0</v>
      </c>
      <c r="L1243" s="26" t="n">
        <v>0</v>
      </c>
      <c r="M1243" s="26" t="n">
        <v>0</v>
      </c>
    </row>
    <row r="1244" ht="16" customHeight="1">
      <c r="A1244" t="inlineStr">
        <is>
          <t>09-Jun-2026</t>
        </is>
      </c>
      <c r="B1244" t="inlineStr">
        <is>
          <t>Tuesday</t>
        </is>
      </c>
      <c r="C1244" t="inlineStr">
        <is>
          <t>Week2-Jun-2026</t>
        </is>
      </c>
      <c r="D1244" s="78" t="n">
        <v>46174</v>
      </c>
      <c r="E1244" t="inlineStr">
        <is>
          <t>Q1FY27</t>
        </is>
      </c>
      <c r="F1244" t="inlineStr">
        <is>
          <t>30-Jul-2026</t>
        </is>
      </c>
      <c r="G1244" t="inlineStr">
        <is>
          <t>Thursday</t>
        </is>
      </c>
      <c r="H1244" t="inlineStr">
        <is>
          <t>Monthly - Thursday</t>
        </is>
      </c>
      <c r="I1244" t="inlineStr">
        <is>
          <t>Monthly - Thursday</t>
        </is>
      </c>
      <c r="J1244" t="inlineStr">
        <is>
          <t>Month+1 Expiry</t>
        </is>
      </c>
      <c r="K1244" s="25" t="n">
        <v>204</v>
      </c>
      <c r="L1244" s="26" t="n">
        <v>0.3116</v>
      </c>
      <c r="M1244" s="26" t="n">
        <v>0.0063</v>
      </c>
    </row>
    <row r="1245" ht="16" customHeight="1">
      <c r="A1245" t="inlineStr">
        <is>
          <t>10-Jun-2026</t>
        </is>
      </c>
      <c r="B1245" t="inlineStr">
        <is>
          <t>Wednesday</t>
        </is>
      </c>
      <c r="C1245" t="inlineStr">
        <is>
          <t>Week2-Jun-2026</t>
        </is>
      </c>
      <c r="D1245" s="78" t="n">
        <v>46174</v>
      </c>
      <c r="E1245" t="inlineStr">
        <is>
          <t>Q1FY27</t>
        </is>
      </c>
      <c r="F1245" t="inlineStr">
        <is>
          <t>11-Jun-2026</t>
        </is>
      </c>
      <c r="G1245" t="inlineStr">
        <is>
          <t>Thursday</t>
        </is>
      </c>
      <c r="H1245" t="inlineStr">
        <is>
          <t>Weekly - Thursday</t>
        </is>
      </c>
      <c r="I1245" t="inlineStr">
        <is>
          <t>Weekly - Thursday</t>
        </is>
      </c>
      <c r="J1245" t="inlineStr">
        <is>
          <t>Same Month Expiry</t>
        </is>
      </c>
      <c r="K1245" s="25" t="n">
        <v>112776627</v>
      </c>
      <c r="L1245" s="26" t="n">
        <v>167876.3616</v>
      </c>
      <c r="M1245" s="26" t="n">
        <v>372.4913</v>
      </c>
    </row>
    <row r="1246" ht="16" customHeight="1">
      <c r="A1246" t="inlineStr">
        <is>
          <t>10-Jun-2026</t>
        </is>
      </c>
      <c r="B1246" t="inlineStr">
        <is>
          <t>Wednesday</t>
        </is>
      </c>
      <c r="C1246" t="inlineStr">
        <is>
          <t>Week2-Jun-2026</t>
        </is>
      </c>
      <c r="D1246" s="78" t="n">
        <v>46174</v>
      </c>
      <c r="E1246" t="inlineStr">
        <is>
          <t>Q1FY27</t>
        </is>
      </c>
      <c r="F1246" t="inlineStr">
        <is>
          <t>18-Jun-2026</t>
        </is>
      </c>
      <c r="G1246" t="inlineStr">
        <is>
          <t>Thursday</t>
        </is>
      </c>
      <c r="H1246" t="inlineStr">
        <is>
          <t>Weekly - Thursday</t>
        </is>
      </c>
      <c r="I1246" t="inlineStr">
        <is>
          <t>Weekly - Thursday</t>
        </is>
      </c>
      <c r="J1246" t="inlineStr">
        <is>
          <t>Same Month Expiry</t>
        </is>
      </c>
      <c r="K1246" s="25" t="n">
        <v>655450</v>
      </c>
      <c r="L1246" s="26" t="n">
        <v>975.0263</v>
      </c>
      <c r="M1246" s="26" t="n">
        <v>3.9513</v>
      </c>
    </row>
    <row r="1247" ht="16" customHeight="1">
      <c r="A1247" t="inlineStr">
        <is>
          <t>10-Jun-2026</t>
        </is>
      </c>
      <c r="B1247" t="inlineStr">
        <is>
          <t>Wednesday</t>
        </is>
      </c>
      <c r="C1247" t="inlineStr">
        <is>
          <t>Week2-Jun-2026</t>
        </is>
      </c>
      <c r="D1247" s="78" t="n">
        <v>46174</v>
      </c>
      <c r="E1247" t="inlineStr">
        <is>
          <t>Q1FY27</t>
        </is>
      </c>
      <c r="F1247" t="inlineStr">
        <is>
          <t>25-Jun-2026</t>
        </is>
      </c>
      <c r="G1247" t="inlineStr">
        <is>
          <t>Thursday</t>
        </is>
      </c>
      <c r="H1247" t="inlineStr">
        <is>
          <t>Monthly - Thursday</t>
        </is>
      </c>
      <c r="I1247" t="inlineStr">
        <is>
          <t>Monthly - Thursday</t>
        </is>
      </c>
      <c r="J1247" t="inlineStr">
        <is>
          <t>Same Month Expiry</t>
        </is>
      </c>
      <c r="K1247" s="25" t="n">
        <v>36551</v>
      </c>
      <c r="L1247" s="26" t="n">
        <v>55.2047</v>
      </c>
      <c r="M1247" s="26" t="n">
        <v>0.3935</v>
      </c>
    </row>
    <row r="1248" ht="16" customHeight="1">
      <c r="A1248" t="inlineStr">
        <is>
          <t>10-Jun-2026</t>
        </is>
      </c>
      <c r="B1248" t="inlineStr">
        <is>
          <t>Wednesday</t>
        </is>
      </c>
      <c r="C1248" t="inlineStr">
        <is>
          <t>Week2-Jun-2026</t>
        </is>
      </c>
      <c r="D1248" s="78" t="n">
        <v>46174</v>
      </c>
      <c r="E1248" t="inlineStr">
        <is>
          <t>Q1FY27</t>
        </is>
      </c>
      <c r="F1248" t="inlineStr">
        <is>
          <t>02-Jul-2026</t>
        </is>
      </c>
      <c r="G1248" t="inlineStr">
        <is>
          <t>Thursday</t>
        </is>
      </c>
      <c r="H1248" t="inlineStr">
        <is>
          <t>Weekly - Thursday</t>
        </is>
      </c>
      <c r="I1248" t="inlineStr">
        <is>
          <t>Weekly - Thursday</t>
        </is>
      </c>
      <c r="J1248" t="inlineStr">
        <is>
          <t>Month+1 Expiry</t>
        </is>
      </c>
      <c r="K1248" s="25" t="n">
        <v>735</v>
      </c>
      <c r="L1248" s="26" t="n">
        <v>1.1225</v>
      </c>
      <c r="M1248" s="26" t="n">
        <v>0.0104</v>
      </c>
    </row>
    <row r="1249" ht="16" customHeight="1">
      <c r="A1249" t="inlineStr">
        <is>
          <t>10-Jun-2026</t>
        </is>
      </c>
      <c r="B1249" t="inlineStr">
        <is>
          <t>Wednesday</t>
        </is>
      </c>
      <c r="C1249" t="inlineStr">
        <is>
          <t>Week2-Jun-2026</t>
        </is>
      </c>
      <c r="D1249" s="78" t="n">
        <v>46174</v>
      </c>
      <c r="E1249" t="inlineStr">
        <is>
          <t>Q1FY27</t>
        </is>
      </c>
      <c r="F1249" t="inlineStr">
        <is>
          <t>09-Jul-2026</t>
        </is>
      </c>
      <c r="G1249" t="inlineStr">
        <is>
          <t>Thursday</t>
        </is>
      </c>
      <c r="H1249" t="inlineStr">
        <is>
          <t>Weekly - Thursday</t>
        </is>
      </c>
      <c r="I1249" t="inlineStr">
        <is>
          <t>Weekly - Thursday</t>
        </is>
      </c>
      <c r="J1249" t="inlineStr">
        <is>
          <t>Month+1 Expiry</t>
        </is>
      </c>
      <c r="K1249" s="25" t="n">
        <v>0</v>
      </c>
      <c r="L1249" s="26" t="n">
        <v>0</v>
      </c>
      <c r="M1249" s="26" t="n">
        <v>0</v>
      </c>
    </row>
    <row r="1250" ht="16" customHeight="1">
      <c r="A1250" t="inlineStr">
        <is>
          <t>10-Jun-2026</t>
        </is>
      </c>
      <c r="B1250" t="inlineStr">
        <is>
          <t>Wednesday</t>
        </is>
      </c>
      <c r="C1250" t="inlineStr">
        <is>
          <t>Week2-Jun-2026</t>
        </is>
      </c>
      <c r="D1250" s="78" t="n">
        <v>46174</v>
      </c>
      <c r="E1250" t="inlineStr">
        <is>
          <t>Q1FY27</t>
        </is>
      </c>
      <c r="F1250" t="inlineStr">
        <is>
          <t>30-Jul-2026</t>
        </is>
      </c>
      <c r="G1250" t="inlineStr">
        <is>
          <t>Thursday</t>
        </is>
      </c>
      <c r="H1250" t="inlineStr">
        <is>
          <t>Monthly - Thursday</t>
        </is>
      </c>
      <c r="I1250" t="inlineStr">
        <is>
          <t>Monthly - Thursday</t>
        </is>
      </c>
      <c r="J1250" t="inlineStr">
        <is>
          <t>Month+1 Expiry</t>
        </is>
      </c>
      <c r="K1250" s="25" t="n">
        <v>310</v>
      </c>
      <c r="L1250" s="26" t="n">
        <v>0.4765</v>
      </c>
      <c r="M1250" s="26" t="n">
        <v>0.008699999999999999</v>
      </c>
    </row>
    <row r="1251" ht="16" customHeight="1">
      <c r="A1251" t="inlineStr">
        <is>
          <t>11-Jun-2026</t>
        </is>
      </c>
      <c r="B1251" t="inlineStr">
        <is>
          <t>Thursday</t>
        </is>
      </c>
      <c r="C1251" t="inlineStr">
        <is>
          <t>Week2-Jun-2026</t>
        </is>
      </c>
      <c r="D1251" s="78" t="n">
        <v>46174</v>
      </c>
      <c r="E1251" t="inlineStr">
        <is>
          <t>Q1FY27</t>
        </is>
      </c>
      <c r="F1251" t="inlineStr">
        <is>
          <t>11-Jun-2026</t>
        </is>
      </c>
      <c r="G1251" t="inlineStr">
        <is>
          <t>Thursday</t>
        </is>
      </c>
      <c r="H1251" t="inlineStr">
        <is>
          <t>Weekly - Thursday</t>
        </is>
      </c>
      <c r="I1251" t="inlineStr">
        <is>
          <t>Weekly - Thursday</t>
        </is>
      </c>
      <c r="J1251" t="inlineStr">
        <is>
          <t>Same Month Expiry</t>
        </is>
      </c>
      <c r="K1251" s="25" t="n">
        <v>554090630</v>
      </c>
      <c r="L1251" s="26" t="n">
        <v>820252.075</v>
      </c>
      <c r="M1251" s="26" t="n">
        <v>641.919</v>
      </c>
    </row>
    <row r="1252" ht="16" customHeight="1">
      <c r="A1252" t="inlineStr">
        <is>
          <t>11-Jun-2026</t>
        </is>
      </c>
      <c r="B1252" t="inlineStr">
        <is>
          <t>Thursday</t>
        </is>
      </c>
      <c r="C1252" t="inlineStr">
        <is>
          <t>Week2-Jun-2026</t>
        </is>
      </c>
      <c r="D1252" s="78" t="n">
        <v>46174</v>
      </c>
      <c r="E1252" t="inlineStr">
        <is>
          <t>Q1FY27</t>
        </is>
      </c>
      <c r="F1252" t="inlineStr">
        <is>
          <t>18-Jun-2026</t>
        </is>
      </c>
      <c r="G1252" t="inlineStr">
        <is>
          <t>Thursday</t>
        </is>
      </c>
      <c r="H1252" t="inlineStr">
        <is>
          <t>Weekly - Thursday</t>
        </is>
      </c>
      <c r="I1252" t="inlineStr">
        <is>
          <t>Weekly - Thursday</t>
        </is>
      </c>
      <c r="J1252" t="inlineStr">
        <is>
          <t>Same Month Expiry</t>
        </is>
      </c>
      <c r="K1252" s="25" t="n">
        <v>2254612</v>
      </c>
      <c r="L1252" s="26" t="n">
        <v>3345.9334</v>
      </c>
      <c r="M1252" s="26" t="n">
        <v>14.7166</v>
      </c>
    </row>
    <row r="1253" ht="16" customHeight="1">
      <c r="A1253" t="inlineStr">
        <is>
          <t>11-Jun-2026</t>
        </is>
      </c>
      <c r="B1253" t="inlineStr">
        <is>
          <t>Thursday</t>
        </is>
      </c>
      <c r="C1253" t="inlineStr">
        <is>
          <t>Week2-Jun-2026</t>
        </is>
      </c>
      <c r="D1253" s="78" t="n">
        <v>46174</v>
      </c>
      <c r="E1253" t="inlineStr">
        <is>
          <t>Q1FY27</t>
        </is>
      </c>
      <c r="F1253" t="inlineStr">
        <is>
          <t>25-Jun-2026</t>
        </is>
      </c>
      <c r="G1253" t="inlineStr">
        <is>
          <t>Thursday</t>
        </is>
      </c>
      <c r="H1253" t="inlineStr">
        <is>
          <t>Monthly - Thursday</t>
        </is>
      </c>
      <c r="I1253" t="inlineStr">
        <is>
          <t>Monthly - Thursday</t>
        </is>
      </c>
      <c r="J1253" t="inlineStr">
        <is>
          <t>Same Month Expiry</t>
        </is>
      </c>
      <c r="K1253" s="25" t="n">
        <v>66495</v>
      </c>
      <c r="L1253" s="26" t="n">
        <v>100.1602</v>
      </c>
      <c r="M1253" s="26" t="n">
        <v>0.7302999999999999</v>
      </c>
    </row>
    <row r="1254" ht="16" customHeight="1">
      <c r="A1254" t="inlineStr">
        <is>
          <t>11-Jun-2026</t>
        </is>
      </c>
      <c r="B1254" t="inlineStr">
        <is>
          <t>Thursday</t>
        </is>
      </c>
      <c r="C1254" t="inlineStr">
        <is>
          <t>Week2-Jun-2026</t>
        </is>
      </c>
      <c r="D1254" s="78" t="n">
        <v>46174</v>
      </c>
      <c r="E1254" t="inlineStr">
        <is>
          <t>Q1FY27</t>
        </is>
      </c>
      <c r="F1254" t="inlineStr">
        <is>
          <t>02-Jul-2026</t>
        </is>
      </c>
      <c r="G1254" t="inlineStr">
        <is>
          <t>Thursday</t>
        </is>
      </c>
      <c r="H1254" t="inlineStr">
        <is>
          <t>Weekly - Thursday</t>
        </is>
      </c>
      <c r="I1254" t="inlineStr">
        <is>
          <t>Weekly - Thursday</t>
        </is>
      </c>
      <c r="J1254" t="inlineStr">
        <is>
          <t>Month+1 Expiry</t>
        </is>
      </c>
      <c r="K1254" s="25" t="n">
        <v>981</v>
      </c>
      <c r="L1254" s="26" t="n">
        <v>1.4786</v>
      </c>
      <c r="M1254" s="26" t="n">
        <v>0.02</v>
      </c>
    </row>
    <row r="1255" ht="16" customHeight="1">
      <c r="A1255" t="inlineStr">
        <is>
          <t>11-Jun-2026</t>
        </is>
      </c>
      <c r="B1255" t="inlineStr">
        <is>
          <t>Thursday</t>
        </is>
      </c>
      <c r="C1255" t="inlineStr">
        <is>
          <t>Week2-Jun-2026</t>
        </is>
      </c>
      <c r="D1255" s="78" t="n">
        <v>46174</v>
      </c>
      <c r="E1255" t="inlineStr">
        <is>
          <t>Q1FY27</t>
        </is>
      </c>
      <c r="F1255" t="inlineStr">
        <is>
          <t>09-Jul-2026</t>
        </is>
      </c>
      <c r="G1255" t="inlineStr">
        <is>
          <t>Thursday</t>
        </is>
      </c>
      <c r="H1255" t="inlineStr">
        <is>
          <t>Weekly - Thursday</t>
        </is>
      </c>
      <c r="I1255" t="inlineStr">
        <is>
          <t>Weekly - Thursday</t>
        </is>
      </c>
      <c r="J1255" t="inlineStr">
        <is>
          <t>Month+1 Expiry</t>
        </is>
      </c>
      <c r="K1255" s="25" t="n">
        <v>0</v>
      </c>
      <c r="L1255" s="26" t="n">
        <v>0</v>
      </c>
      <c r="M1255" s="26" t="n">
        <v>0</v>
      </c>
    </row>
    <row r="1256" ht="16" customHeight="1">
      <c r="A1256" t="inlineStr">
        <is>
          <t>11-Jun-2026</t>
        </is>
      </c>
      <c r="B1256" t="inlineStr">
        <is>
          <t>Thursday</t>
        </is>
      </c>
      <c r="C1256" t="inlineStr">
        <is>
          <t>Week2-Jun-2026</t>
        </is>
      </c>
      <c r="D1256" s="78" t="n">
        <v>46174</v>
      </c>
      <c r="E1256" t="inlineStr">
        <is>
          <t>Q1FY27</t>
        </is>
      </c>
      <c r="F1256" t="inlineStr">
        <is>
          <t>30-Jul-2026</t>
        </is>
      </c>
      <c r="G1256" t="inlineStr">
        <is>
          <t>Thursday</t>
        </is>
      </c>
      <c r="H1256" t="inlineStr">
        <is>
          <t>Monthly - Thursday</t>
        </is>
      </c>
      <c r="I1256" t="inlineStr">
        <is>
          <t>Monthly - Thursday</t>
        </is>
      </c>
      <c r="J1256" t="inlineStr">
        <is>
          <t>Month+1 Expiry</t>
        </is>
      </c>
      <c r="K1256" s="25" t="n">
        <v>1278</v>
      </c>
      <c r="L1256" s="26" t="n">
        <v>1.9396</v>
      </c>
      <c r="M1256" s="26" t="n">
        <v>0.0341</v>
      </c>
    </row>
    <row r="1257" ht="16" customHeight="1">
      <c r="A1257" t="inlineStr">
        <is>
          <t>12-Jun-2026</t>
        </is>
      </c>
      <c r="B1257" t="inlineStr">
        <is>
          <t>Friday</t>
        </is>
      </c>
      <c r="C1257" t="inlineStr">
        <is>
          <t>Week2-Jun-2026</t>
        </is>
      </c>
      <c r="D1257" s="78" t="n">
        <v>46174</v>
      </c>
      <c r="E1257" t="inlineStr">
        <is>
          <t>Q1FY27</t>
        </is>
      </c>
      <c r="F1257" t="inlineStr">
        <is>
          <t>18-Jun-2026</t>
        </is>
      </c>
      <c r="G1257" t="inlineStr">
        <is>
          <t>Thursday</t>
        </is>
      </c>
      <c r="H1257" t="inlineStr">
        <is>
          <t>Weekly - Thursday</t>
        </is>
      </c>
      <c r="I1257" t="inlineStr">
        <is>
          <t>Weekly - Thursday</t>
        </is>
      </c>
      <c r="J1257" t="inlineStr">
        <is>
          <t>Same Month Expiry</t>
        </is>
      </c>
      <c r="K1257" s="25" t="n">
        <v>20794782</v>
      </c>
      <c r="L1257" s="26" t="n">
        <v>31284.9362</v>
      </c>
      <c r="M1257" s="26" t="n">
        <v>129.2018</v>
      </c>
    </row>
    <row r="1258" ht="16" customHeight="1">
      <c r="A1258" t="inlineStr">
        <is>
          <t>12-Jun-2026</t>
        </is>
      </c>
      <c r="B1258" t="inlineStr">
        <is>
          <t>Friday</t>
        </is>
      </c>
      <c r="C1258" t="inlineStr">
        <is>
          <t>Week2-Jun-2026</t>
        </is>
      </c>
      <c r="D1258" s="78" t="n">
        <v>46174</v>
      </c>
      <c r="E1258" t="inlineStr">
        <is>
          <t>Q1FY27</t>
        </is>
      </c>
      <c r="F1258" t="inlineStr">
        <is>
          <t>25-Jun-2026</t>
        </is>
      </c>
      <c r="G1258" t="inlineStr">
        <is>
          <t>Thursday</t>
        </is>
      </c>
      <c r="H1258" t="inlineStr">
        <is>
          <t>Monthly - Thursday</t>
        </is>
      </c>
      <c r="I1258" t="inlineStr">
        <is>
          <t>Monthly - Thursday</t>
        </is>
      </c>
      <c r="J1258" t="inlineStr">
        <is>
          <t>Same Month Expiry</t>
        </is>
      </c>
      <c r="K1258" s="25" t="n">
        <v>157468</v>
      </c>
      <c r="L1258" s="26" t="n">
        <v>239.2669</v>
      </c>
      <c r="M1258" s="26" t="n">
        <v>1.4117</v>
      </c>
    </row>
    <row r="1259" ht="16" customHeight="1">
      <c r="A1259" t="inlineStr">
        <is>
          <t>12-Jun-2026</t>
        </is>
      </c>
      <c r="B1259" t="inlineStr">
        <is>
          <t>Friday</t>
        </is>
      </c>
      <c r="C1259" t="inlineStr">
        <is>
          <t>Week2-Jun-2026</t>
        </is>
      </c>
      <c r="D1259" s="78" t="n">
        <v>46174</v>
      </c>
      <c r="E1259" t="inlineStr">
        <is>
          <t>Q1FY27</t>
        </is>
      </c>
      <c r="F1259" t="inlineStr">
        <is>
          <t>02-Jul-2026</t>
        </is>
      </c>
      <c r="G1259" t="inlineStr">
        <is>
          <t>Thursday</t>
        </is>
      </c>
      <c r="H1259" t="inlineStr">
        <is>
          <t>Weekly - Thursday</t>
        </is>
      </c>
      <c r="I1259" t="inlineStr">
        <is>
          <t>Weekly - Thursday</t>
        </is>
      </c>
      <c r="J1259" t="inlineStr">
        <is>
          <t>Month+1 Expiry</t>
        </is>
      </c>
      <c r="K1259" s="25" t="n">
        <v>3644</v>
      </c>
      <c r="L1259" s="26" t="n">
        <v>5.5694</v>
      </c>
      <c r="M1259" s="26" t="n">
        <v>0.0497</v>
      </c>
    </row>
    <row r="1260" ht="16" customHeight="1">
      <c r="A1260" t="inlineStr">
        <is>
          <t>12-Jun-2026</t>
        </is>
      </c>
      <c r="B1260" t="inlineStr">
        <is>
          <t>Friday</t>
        </is>
      </c>
      <c r="C1260" t="inlineStr">
        <is>
          <t>Week2-Jun-2026</t>
        </is>
      </c>
      <c r="D1260" s="78" t="n">
        <v>46174</v>
      </c>
      <c r="E1260" t="inlineStr">
        <is>
          <t>Q1FY27</t>
        </is>
      </c>
      <c r="F1260" t="inlineStr">
        <is>
          <t>09-Jul-2026</t>
        </is>
      </c>
      <c r="G1260" t="inlineStr">
        <is>
          <t>Thursday</t>
        </is>
      </c>
      <c r="H1260" t="inlineStr">
        <is>
          <t>Weekly - Thursday</t>
        </is>
      </c>
      <c r="I1260" t="inlineStr">
        <is>
          <t>Weekly - Thursday</t>
        </is>
      </c>
      <c r="J1260" t="inlineStr">
        <is>
          <t>Month+1 Expiry</t>
        </is>
      </c>
      <c r="K1260" s="25" t="n">
        <v>390</v>
      </c>
      <c r="L1260" s="26" t="n">
        <v>0.5965</v>
      </c>
      <c r="M1260" s="26" t="n">
        <v>0.0091</v>
      </c>
    </row>
    <row r="1261" ht="16" customHeight="1">
      <c r="A1261" t="inlineStr">
        <is>
          <t>12-Jun-2026</t>
        </is>
      </c>
      <c r="B1261" t="inlineStr">
        <is>
          <t>Friday</t>
        </is>
      </c>
      <c r="C1261" t="inlineStr">
        <is>
          <t>Week2-Jun-2026</t>
        </is>
      </c>
      <c r="D1261" s="78" t="n">
        <v>46174</v>
      </c>
      <c r="E1261" t="inlineStr">
        <is>
          <t>Q1FY27</t>
        </is>
      </c>
      <c r="F1261" t="inlineStr">
        <is>
          <t>16-Jul-2026</t>
        </is>
      </c>
      <c r="G1261" t="inlineStr">
        <is>
          <t>Thursday</t>
        </is>
      </c>
      <c r="H1261" t="inlineStr">
        <is>
          <t>Weekly - Thursday</t>
        </is>
      </c>
      <c r="I1261" t="inlineStr">
        <is>
          <t>Weekly - Thursday</t>
        </is>
      </c>
      <c r="J1261" t="inlineStr">
        <is>
          <t>Month+1 Expiry</t>
        </is>
      </c>
      <c r="K1261" s="25" t="n">
        <v>1</v>
      </c>
      <c r="L1261" s="26" t="n">
        <v>0.0015</v>
      </c>
      <c r="M1261" s="26" t="n">
        <v>0</v>
      </c>
    </row>
    <row r="1262" ht="16" customHeight="1">
      <c r="A1262" t="inlineStr">
        <is>
          <t>12-Jun-2026</t>
        </is>
      </c>
      <c r="B1262" t="inlineStr">
        <is>
          <t>Friday</t>
        </is>
      </c>
      <c r="C1262" t="inlineStr">
        <is>
          <t>Week2-Jun-2026</t>
        </is>
      </c>
      <c r="D1262" s="78" t="n">
        <v>46174</v>
      </c>
      <c r="E1262" t="inlineStr">
        <is>
          <t>Q1FY27</t>
        </is>
      </c>
      <c r="F1262" t="inlineStr">
        <is>
          <t>30-Jul-2026</t>
        </is>
      </c>
      <c r="G1262" t="inlineStr">
        <is>
          <t>Thursday</t>
        </is>
      </c>
      <c r="H1262" t="inlineStr">
        <is>
          <t>Monthly - Thursday</t>
        </is>
      </c>
      <c r="I1262" t="inlineStr">
        <is>
          <t>Monthly - Thursday</t>
        </is>
      </c>
      <c r="J1262" t="inlineStr">
        <is>
          <t>Month+1 Expiry</t>
        </is>
      </c>
      <c r="K1262" s="25" t="n">
        <v>2743</v>
      </c>
      <c r="L1262" s="26" t="n">
        <v>4.2184</v>
      </c>
      <c r="M1262" s="26" t="n">
        <v>0.06510000000000001</v>
      </c>
    </row>
    <row r="1263" ht="16" customHeight="1">
      <c r="A1263" t="inlineStr">
        <is>
          <t>15-Jun-2026</t>
        </is>
      </c>
      <c r="B1263" t="inlineStr">
        <is>
          <t>Monday</t>
        </is>
      </c>
      <c r="C1263" t="inlineStr">
        <is>
          <t>Week3-Jun-2026</t>
        </is>
      </c>
      <c r="D1263" s="78" t="n">
        <v>46174</v>
      </c>
      <c r="E1263" t="inlineStr">
        <is>
          <t>Q1FY27</t>
        </is>
      </c>
      <c r="F1263" t="inlineStr">
        <is>
          <t>18-Jun-2026</t>
        </is>
      </c>
      <c r="G1263" t="inlineStr">
        <is>
          <t>Thursday</t>
        </is>
      </c>
      <c r="H1263" t="inlineStr">
        <is>
          <t>Weekly - Thursday</t>
        </is>
      </c>
      <c r="I1263" t="inlineStr">
        <is>
          <t>Weekly - Thursday</t>
        </is>
      </c>
      <c r="J1263" t="inlineStr">
        <is>
          <t>Same Month Expiry</t>
        </is>
      </c>
      <c r="K1263" s="25" t="n">
        <v>23538849</v>
      </c>
      <c r="L1263" s="26" t="n">
        <v>36070.2019</v>
      </c>
      <c r="M1263" s="26" t="n">
        <v>118.6864</v>
      </c>
    </row>
    <row r="1264" ht="16" customHeight="1">
      <c r="A1264" t="inlineStr">
        <is>
          <t>15-Jun-2026</t>
        </is>
      </c>
      <c r="B1264" t="inlineStr">
        <is>
          <t>Monday</t>
        </is>
      </c>
      <c r="C1264" t="inlineStr">
        <is>
          <t>Week3-Jun-2026</t>
        </is>
      </c>
      <c r="D1264" s="78" t="n">
        <v>46174</v>
      </c>
      <c r="E1264" t="inlineStr">
        <is>
          <t>Q1FY27</t>
        </is>
      </c>
      <c r="F1264" t="inlineStr">
        <is>
          <t>25-Jun-2026</t>
        </is>
      </c>
      <c r="G1264" t="inlineStr">
        <is>
          <t>Thursday</t>
        </is>
      </c>
      <c r="H1264" t="inlineStr">
        <is>
          <t>Monthly - Thursday</t>
        </is>
      </c>
      <c r="I1264" t="inlineStr">
        <is>
          <t>Monthly - Thursday</t>
        </is>
      </c>
      <c r="J1264" t="inlineStr">
        <is>
          <t>Same Month Expiry</t>
        </is>
      </c>
      <c r="K1264" s="25" t="n">
        <v>225501</v>
      </c>
      <c r="L1264" s="26" t="n">
        <v>345.0102</v>
      </c>
      <c r="M1264" s="26" t="n">
        <v>1.7645</v>
      </c>
    </row>
    <row r="1265" ht="16" customHeight="1">
      <c r="A1265" t="inlineStr">
        <is>
          <t>15-Jun-2026</t>
        </is>
      </c>
      <c r="B1265" t="inlineStr">
        <is>
          <t>Monday</t>
        </is>
      </c>
      <c r="C1265" t="inlineStr">
        <is>
          <t>Week3-Jun-2026</t>
        </is>
      </c>
      <c r="D1265" s="78" t="n">
        <v>46174</v>
      </c>
      <c r="E1265" t="inlineStr">
        <is>
          <t>Q1FY27</t>
        </is>
      </c>
      <c r="F1265" t="inlineStr">
        <is>
          <t>02-Jul-2026</t>
        </is>
      </c>
      <c r="G1265" t="inlineStr">
        <is>
          <t>Thursday</t>
        </is>
      </c>
      <c r="H1265" t="inlineStr">
        <is>
          <t>Weekly - Thursday</t>
        </is>
      </c>
      <c r="I1265" t="inlineStr">
        <is>
          <t>Weekly - Thursday</t>
        </is>
      </c>
      <c r="J1265" t="inlineStr">
        <is>
          <t>Month+1 Expiry</t>
        </is>
      </c>
      <c r="K1265" s="25" t="n">
        <v>3773</v>
      </c>
      <c r="L1265" s="26" t="n">
        <v>5.8362</v>
      </c>
      <c r="M1265" s="26" t="n">
        <v>0.0544</v>
      </c>
    </row>
    <row r="1266" ht="16" customHeight="1">
      <c r="A1266" t="inlineStr">
        <is>
          <t>15-Jun-2026</t>
        </is>
      </c>
      <c r="B1266" t="inlineStr">
        <is>
          <t>Monday</t>
        </is>
      </c>
      <c r="C1266" t="inlineStr">
        <is>
          <t>Week3-Jun-2026</t>
        </is>
      </c>
      <c r="D1266" s="78" t="n">
        <v>46174</v>
      </c>
      <c r="E1266" t="inlineStr">
        <is>
          <t>Q1FY27</t>
        </is>
      </c>
      <c r="F1266" t="inlineStr">
        <is>
          <t>09-Jul-2026</t>
        </is>
      </c>
      <c r="G1266" t="inlineStr">
        <is>
          <t>Thursday</t>
        </is>
      </c>
      <c r="H1266" t="inlineStr">
        <is>
          <t>Weekly - Thursday</t>
        </is>
      </c>
      <c r="I1266" t="inlineStr">
        <is>
          <t>Weekly - Thursday</t>
        </is>
      </c>
      <c r="J1266" t="inlineStr">
        <is>
          <t>Month+1 Expiry</t>
        </is>
      </c>
      <c r="K1266" s="25" t="n">
        <v>2475</v>
      </c>
      <c r="L1266" s="26" t="n">
        <v>3.8371</v>
      </c>
      <c r="M1266" s="26" t="n">
        <v>0.0587</v>
      </c>
    </row>
    <row r="1267" ht="16" customHeight="1">
      <c r="A1267" t="inlineStr">
        <is>
          <t>15-Jun-2026</t>
        </is>
      </c>
      <c r="B1267" t="inlineStr">
        <is>
          <t>Monday</t>
        </is>
      </c>
      <c r="C1267" t="inlineStr">
        <is>
          <t>Week3-Jun-2026</t>
        </is>
      </c>
      <c r="D1267" s="78" t="n">
        <v>46174</v>
      </c>
      <c r="E1267" t="inlineStr">
        <is>
          <t>Q1FY27</t>
        </is>
      </c>
      <c r="F1267" t="inlineStr">
        <is>
          <t>16-Jul-2026</t>
        </is>
      </c>
      <c r="G1267" t="inlineStr">
        <is>
          <t>Thursday</t>
        </is>
      </c>
      <c r="H1267" t="inlineStr">
        <is>
          <t>Weekly - Thursday</t>
        </is>
      </c>
      <c r="I1267" t="inlineStr">
        <is>
          <t>Weekly - Thursday</t>
        </is>
      </c>
      <c r="J1267" t="inlineStr">
        <is>
          <t>Month+1 Expiry</t>
        </is>
      </c>
      <c r="K1267" s="25" t="n">
        <v>0</v>
      </c>
      <c r="L1267" s="26" t="n">
        <v>0</v>
      </c>
      <c r="M1267" s="26" t="n">
        <v>0</v>
      </c>
    </row>
    <row r="1268" ht="16" customHeight="1">
      <c r="A1268" t="inlineStr">
        <is>
          <t>15-Jun-2026</t>
        </is>
      </c>
      <c r="B1268" t="inlineStr">
        <is>
          <t>Monday</t>
        </is>
      </c>
      <c r="C1268" t="inlineStr">
        <is>
          <t>Week3-Jun-2026</t>
        </is>
      </c>
      <c r="D1268" s="78" t="n">
        <v>46174</v>
      </c>
      <c r="E1268" t="inlineStr">
        <is>
          <t>Q1FY27</t>
        </is>
      </c>
      <c r="F1268" t="inlineStr">
        <is>
          <t>23-Jul-2026</t>
        </is>
      </c>
      <c r="G1268" t="inlineStr">
        <is>
          <t>Thursday</t>
        </is>
      </c>
      <c r="H1268" t="inlineStr">
        <is>
          <t>Weekly - Thursday</t>
        </is>
      </c>
      <c r="I1268" t="inlineStr">
        <is>
          <t>Weekly - Thursday</t>
        </is>
      </c>
      <c r="J1268" t="inlineStr">
        <is>
          <t>Month+1 Expiry</t>
        </is>
      </c>
      <c r="K1268" s="25" t="n">
        <v>1</v>
      </c>
      <c r="L1268" s="26" t="n">
        <v>0.0016</v>
      </c>
      <c r="M1268" s="26" t="n">
        <v>0</v>
      </c>
    </row>
    <row r="1269" ht="16" customHeight="1">
      <c r="A1269" t="inlineStr">
        <is>
          <t>15-Jun-2026</t>
        </is>
      </c>
      <c r="B1269" t="inlineStr">
        <is>
          <t>Monday</t>
        </is>
      </c>
      <c r="C1269" t="inlineStr">
        <is>
          <t>Week3-Jun-2026</t>
        </is>
      </c>
      <c r="D1269" s="78" t="n">
        <v>46174</v>
      </c>
      <c r="E1269" t="inlineStr">
        <is>
          <t>Q1FY27</t>
        </is>
      </c>
      <c r="F1269" t="inlineStr">
        <is>
          <t>30-Jul-2026</t>
        </is>
      </c>
      <c r="G1269" t="inlineStr">
        <is>
          <t>Thursday</t>
        </is>
      </c>
      <c r="H1269" t="inlineStr">
        <is>
          <t>Monthly - Thursday</t>
        </is>
      </c>
      <c r="I1269" t="inlineStr">
        <is>
          <t>Monthly - Thursday</t>
        </is>
      </c>
      <c r="J1269" t="inlineStr">
        <is>
          <t>Month+1 Expiry</t>
        </is>
      </c>
      <c r="K1269" s="25" t="n">
        <v>6348</v>
      </c>
      <c r="L1269" s="26" t="n">
        <v>9.922000000000001</v>
      </c>
      <c r="M1269" s="26" t="n">
        <v>0.1687</v>
      </c>
    </row>
    <row r="1270" ht="16" customHeight="1">
      <c r="A1270" t="inlineStr">
        <is>
          <t>16-Jun-2026</t>
        </is>
      </c>
      <c r="B1270" t="inlineStr">
        <is>
          <t>Tuesday</t>
        </is>
      </c>
      <c r="C1270" t="inlineStr">
        <is>
          <t>Week3-Jun-2026</t>
        </is>
      </c>
      <c r="D1270" s="78" t="n">
        <v>46174</v>
      </c>
      <c r="E1270" t="inlineStr">
        <is>
          <t>Q1FY27</t>
        </is>
      </c>
      <c r="F1270" t="inlineStr">
        <is>
          <t>18-Jun-2026</t>
        </is>
      </c>
      <c r="G1270" t="inlineStr">
        <is>
          <t>Thursday</t>
        </is>
      </c>
      <c r="H1270" t="inlineStr">
        <is>
          <t>Weekly - Thursday</t>
        </is>
      </c>
      <c r="I1270" t="inlineStr">
        <is>
          <t>Weekly - Thursday</t>
        </is>
      </c>
      <c r="J1270" t="inlineStr">
        <is>
          <t>Same Month Expiry</t>
        </is>
      </c>
      <c r="K1270" s="25" t="n">
        <v>24258967</v>
      </c>
      <c r="L1270" s="26" t="n">
        <v>37197.1882</v>
      </c>
      <c r="M1270" s="26" t="n">
        <v>89.8694</v>
      </c>
    </row>
    <row r="1271" ht="16" customHeight="1">
      <c r="A1271" t="inlineStr">
        <is>
          <t>16-Jun-2026</t>
        </is>
      </c>
      <c r="B1271" t="inlineStr">
        <is>
          <t>Tuesday</t>
        </is>
      </c>
      <c r="C1271" t="inlineStr">
        <is>
          <t>Week3-Jun-2026</t>
        </is>
      </c>
      <c r="D1271" s="78" t="n">
        <v>46174</v>
      </c>
      <c r="E1271" t="inlineStr">
        <is>
          <t>Q1FY27</t>
        </is>
      </c>
      <c r="F1271" t="inlineStr">
        <is>
          <t>25-Jun-2026</t>
        </is>
      </c>
      <c r="G1271" t="inlineStr">
        <is>
          <t>Thursday</t>
        </is>
      </c>
      <c r="H1271" t="inlineStr">
        <is>
          <t>Monthly - Thursday</t>
        </is>
      </c>
      <c r="I1271" t="inlineStr">
        <is>
          <t>Monthly - Thursday</t>
        </is>
      </c>
      <c r="J1271" t="inlineStr">
        <is>
          <t>Same Month Expiry</t>
        </is>
      </c>
      <c r="K1271" s="25" t="n">
        <v>261338</v>
      </c>
      <c r="L1271" s="26" t="n">
        <v>398.4285</v>
      </c>
      <c r="M1271" s="26" t="n">
        <v>1.5473</v>
      </c>
    </row>
    <row r="1272" ht="16" customHeight="1">
      <c r="A1272" t="inlineStr">
        <is>
          <t>16-Jun-2026</t>
        </is>
      </c>
      <c r="B1272" t="inlineStr">
        <is>
          <t>Tuesday</t>
        </is>
      </c>
      <c r="C1272" t="inlineStr">
        <is>
          <t>Week3-Jun-2026</t>
        </is>
      </c>
      <c r="D1272" s="78" t="n">
        <v>46174</v>
      </c>
      <c r="E1272" t="inlineStr">
        <is>
          <t>Q1FY27</t>
        </is>
      </c>
      <c r="F1272" t="inlineStr">
        <is>
          <t>02-Jul-2026</t>
        </is>
      </c>
      <c r="G1272" t="inlineStr">
        <is>
          <t>Thursday</t>
        </is>
      </c>
      <c r="H1272" t="inlineStr">
        <is>
          <t>Weekly - Thursday</t>
        </is>
      </c>
      <c r="I1272" t="inlineStr">
        <is>
          <t>Weekly - Thursday</t>
        </is>
      </c>
      <c r="J1272" t="inlineStr">
        <is>
          <t>Month+1 Expiry</t>
        </is>
      </c>
      <c r="K1272" s="25" t="n">
        <v>3964</v>
      </c>
      <c r="L1272" s="26" t="n">
        <v>6.1574</v>
      </c>
      <c r="M1272" s="26" t="n">
        <v>0.0431</v>
      </c>
    </row>
    <row r="1273" ht="16" customHeight="1">
      <c r="A1273" t="inlineStr">
        <is>
          <t>16-Jun-2026</t>
        </is>
      </c>
      <c r="B1273" t="inlineStr">
        <is>
          <t>Tuesday</t>
        </is>
      </c>
      <c r="C1273" t="inlineStr">
        <is>
          <t>Week3-Jun-2026</t>
        </is>
      </c>
      <c r="D1273" s="78" t="n">
        <v>46174</v>
      </c>
      <c r="E1273" t="inlineStr">
        <is>
          <t>Q1FY27</t>
        </is>
      </c>
      <c r="F1273" t="inlineStr">
        <is>
          <t>09-Jul-2026</t>
        </is>
      </c>
      <c r="G1273" t="inlineStr">
        <is>
          <t>Thursday</t>
        </is>
      </c>
      <c r="H1273" t="inlineStr">
        <is>
          <t>Weekly - Thursday</t>
        </is>
      </c>
      <c r="I1273" t="inlineStr">
        <is>
          <t>Weekly - Thursday</t>
        </is>
      </c>
      <c r="J1273" t="inlineStr">
        <is>
          <t>Month+1 Expiry</t>
        </is>
      </c>
      <c r="K1273" s="25" t="n">
        <v>384</v>
      </c>
      <c r="L1273" s="26" t="n">
        <v>0.5959</v>
      </c>
      <c r="M1273" s="26" t="n">
        <v>0.007</v>
      </c>
    </row>
    <row r="1274" ht="16" customHeight="1">
      <c r="A1274" t="inlineStr">
        <is>
          <t>16-Jun-2026</t>
        </is>
      </c>
      <c r="B1274" t="inlineStr">
        <is>
          <t>Tuesday</t>
        </is>
      </c>
      <c r="C1274" t="inlineStr">
        <is>
          <t>Week3-Jun-2026</t>
        </is>
      </c>
      <c r="D1274" s="78" t="n">
        <v>46174</v>
      </c>
      <c r="E1274" t="inlineStr">
        <is>
          <t>Q1FY27</t>
        </is>
      </c>
      <c r="F1274" t="inlineStr">
        <is>
          <t>16-Jul-2026</t>
        </is>
      </c>
      <c r="G1274" t="inlineStr">
        <is>
          <t>Thursday</t>
        </is>
      </c>
      <c r="H1274" t="inlineStr">
        <is>
          <t>Weekly - Thursday</t>
        </is>
      </c>
      <c r="I1274" t="inlineStr">
        <is>
          <t>Weekly - Thursday</t>
        </is>
      </c>
      <c r="J1274" t="inlineStr">
        <is>
          <t>Month+1 Expiry</t>
        </is>
      </c>
      <c r="K1274" s="25" t="n">
        <v>0</v>
      </c>
      <c r="L1274" s="26" t="n">
        <v>0</v>
      </c>
      <c r="M1274" s="26" t="n">
        <v>0</v>
      </c>
    </row>
    <row r="1275" ht="16" customHeight="1">
      <c r="A1275" t="inlineStr">
        <is>
          <t>16-Jun-2026</t>
        </is>
      </c>
      <c r="B1275" t="inlineStr">
        <is>
          <t>Tuesday</t>
        </is>
      </c>
      <c r="C1275" t="inlineStr">
        <is>
          <t>Week3-Jun-2026</t>
        </is>
      </c>
      <c r="D1275" s="78" t="n">
        <v>46174</v>
      </c>
      <c r="E1275" t="inlineStr">
        <is>
          <t>Q1FY27</t>
        </is>
      </c>
      <c r="F1275" t="inlineStr">
        <is>
          <t>23-Jul-2026</t>
        </is>
      </c>
      <c r="G1275" t="inlineStr">
        <is>
          <t>Thursday</t>
        </is>
      </c>
      <c r="H1275" t="inlineStr">
        <is>
          <t>Weekly - Thursday</t>
        </is>
      </c>
      <c r="I1275" t="inlineStr">
        <is>
          <t>Weekly - Thursday</t>
        </is>
      </c>
      <c r="J1275" t="inlineStr">
        <is>
          <t>Month+1 Expiry</t>
        </is>
      </c>
      <c r="K1275" s="25" t="n">
        <v>0</v>
      </c>
      <c r="L1275" s="26" t="n">
        <v>0</v>
      </c>
      <c r="M1275" s="26" t="n">
        <v>0</v>
      </c>
    </row>
    <row r="1276" ht="16" customHeight="1">
      <c r="A1276" t="inlineStr">
        <is>
          <t>16-Jun-2026</t>
        </is>
      </c>
      <c r="B1276" t="inlineStr">
        <is>
          <t>Tuesday</t>
        </is>
      </c>
      <c r="C1276" t="inlineStr">
        <is>
          <t>Week3-Jun-2026</t>
        </is>
      </c>
      <c r="D1276" s="78" t="n">
        <v>46174</v>
      </c>
      <c r="E1276" t="inlineStr">
        <is>
          <t>Q1FY27</t>
        </is>
      </c>
      <c r="F1276" t="inlineStr">
        <is>
          <t>30-Jul-2026</t>
        </is>
      </c>
      <c r="G1276" t="inlineStr">
        <is>
          <t>Thursday</t>
        </is>
      </c>
      <c r="H1276" t="inlineStr">
        <is>
          <t>Monthly - Thursday</t>
        </is>
      </c>
      <c r="I1276" t="inlineStr">
        <is>
          <t>Monthly - Thursday</t>
        </is>
      </c>
      <c r="J1276" t="inlineStr">
        <is>
          <t>Month+1 Expiry</t>
        </is>
      </c>
      <c r="K1276" s="25" t="n">
        <v>1672</v>
      </c>
      <c r="L1276" s="26" t="n">
        <v>2.6145</v>
      </c>
      <c r="M1276" s="26" t="n">
        <v>0.0381</v>
      </c>
    </row>
    <row r="1277" ht="16" customHeight="1">
      <c r="A1277" t="inlineStr">
        <is>
          <t>17-Jun-2026</t>
        </is>
      </c>
      <c r="B1277" t="inlineStr">
        <is>
          <t>Wednesday</t>
        </is>
      </c>
      <c r="C1277" t="inlineStr">
        <is>
          <t>Week3-Jun-2026</t>
        </is>
      </c>
      <c r="D1277" s="78" t="n">
        <v>46174</v>
      </c>
      <c r="E1277" t="inlineStr">
        <is>
          <t>Q1FY27</t>
        </is>
      </c>
      <c r="F1277" t="inlineStr">
        <is>
          <t>18-Jun-2026</t>
        </is>
      </c>
      <c r="G1277" t="inlineStr">
        <is>
          <t>Thursday</t>
        </is>
      </c>
      <c r="H1277" t="inlineStr">
        <is>
          <t>Weekly - Thursday</t>
        </is>
      </c>
      <c r="I1277" t="inlineStr">
        <is>
          <t>Weekly - Thursday</t>
        </is>
      </c>
      <c r="J1277" t="inlineStr">
        <is>
          <t>Same Month Expiry</t>
        </is>
      </c>
      <c r="K1277" s="25" t="n">
        <v>91482176</v>
      </c>
      <c r="L1277" s="26" t="n">
        <v>140978.2653</v>
      </c>
      <c r="M1277" s="26" t="n">
        <v>264.5505</v>
      </c>
    </row>
    <row r="1278" ht="16" customHeight="1">
      <c r="A1278" t="inlineStr">
        <is>
          <t>17-Jun-2026</t>
        </is>
      </c>
      <c r="B1278" t="inlineStr">
        <is>
          <t>Wednesday</t>
        </is>
      </c>
      <c r="C1278" t="inlineStr">
        <is>
          <t>Week3-Jun-2026</t>
        </is>
      </c>
      <c r="D1278" s="78" t="n">
        <v>46174</v>
      </c>
      <c r="E1278" t="inlineStr">
        <is>
          <t>Q1FY27</t>
        </is>
      </c>
      <c r="F1278" t="inlineStr">
        <is>
          <t>25-Jun-2026</t>
        </is>
      </c>
      <c r="G1278" t="inlineStr">
        <is>
          <t>Thursday</t>
        </is>
      </c>
      <c r="H1278" t="inlineStr">
        <is>
          <t>Monthly - Thursday</t>
        </is>
      </c>
      <c r="I1278" t="inlineStr">
        <is>
          <t>Monthly - Thursday</t>
        </is>
      </c>
      <c r="J1278" t="inlineStr">
        <is>
          <t>Same Month Expiry</t>
        </is>
      </c>
      <c r="K1278" s="25" t="n">
        <v>525339</v>
      </c>
      <c r="L1278" s="26" t="n">
        <v>806.1849</v>
      </c>
      <c r="M1278" s="26" t="n">
        <v>3.0172</v>
      </c>
    </row>
    <row r="1279" ht="16" customHeight="1">
      <c r="A1279" t="inlineStr">
        <is>
          <t>17-Jun-2026</t>
        </is>
      </c>
      <c r="B1279" t="inlineStr">
        <is>
          <t>Wednesday</t>
        </is>
      </c>
      <c r="C1279" t="inlineStr">
        <is>
          <t>Week3-Jun-2026</t>
        </is>
      </c>
      <c r="D1279" s="78" t="n">
        <v>46174</v>
      </c>
      <c r="E1279" t="inlineStr">
        <is>
          <t>Q1FY27</t>
        </is>
      </c>
      <c r="F1279" t="inlineStr">
        <is>
          <t>02-Jul-2026</t>
        </is>
      </c>
      <c r="G1279" t="inlineStr">
        <is>
          <t>Thursday</t>
        </is>
      </c>
      <c r="H1279" t="inlineStr">
        <is>
          <t>Weekly - Thursday</t>
        </is>
      </c>
      <c r="I1279" t="inlineStr">
        <is>
          <t>Weekly - Thursday</t>
        </is>
      </c>
      <c r="J1279" t="inlineStr">
        <is>
          <t>Month+1 Expiry</t>
        </is>
      </c>
      <c r="K1279" s="25" t="n">
        <v>8825</v>
      </c>
      <c r="L1279" s="26" t="n">
        <v>13.7993</v>
      </c>
      <c r="M1279" s="26" t="n">
        <v>0.0953</v>
      </c>
    </row>
    <row r="1280" ht="16" customHeight="1">
      <c r="A1280" t="inlineStr">
        <is>
          <t>17-Jun-2026</t>
        </is>
      </c>
      <c r="B1280" t="inlineStr">
        <is>
          <t>Wednesday</t>
        </is>
      </c>
      <c r="C1280" t="inlineStr">
        <is>
          <t>Week3-Jun-2026</t>
        </is>
      </c>
      <c r="D1280" s="78" t="n">
        <v>46174</v>
      </c>
      <c r="E1280" t="inlineStr">
        <is>
          <t>Q1FY27</t>
        </is>
      </c>
      <c r="F1280" t="inlineStr">
        <is>
          <t>09-Jul-2026</t>
        </is>
      </c>
      <c r="G1280" t="inlineStr">
        <is>
          <t>Thursday</t>
        </is>
      </c>
      <c r="H1280" t="inlineStr">
        <is>
          <t>Weekly - Thursday</t>
        </is>
      </c>
      <c r="I1280" t="inlineStr">
        <is>
          <t>Weekly - Thursday</t>
        </is>
      </c>
      <c r="J1280" t="inlineStr">
        <is>
          <t>Month+1 Expiry</t>
        </is>
      </c>
      <c r="K1280" s="25" t="n">
        <v>122</v>
      </c>
      <c r="L1280" s="26" t="n">
        <v>0.1905</v>
      </c>
      <c r="M1280" s="26" t="n">
        <v>0.002</v>
      </c>
    </row>
    <row r="1281" ht="16" customHeight="1">
      <c r="A1281" t="inlineStr">
        <is>
          <t>17-Jun-2026</t>
        </is>
      </c>
      <c r="B1281" t="inlineStr">
        <is>
          <t>Wednesday</t>
        </is>
      </c>
      <c r="C1281" t="inlineStr">
        <is>
          <t>Week3-Jun-2026</t>
        </is>
      </c>
      <c r="D1281" s="78" t="n">
        <v>46174</v>
      </c>
      <c r="E1281" t="inlineStr">
        <is>
          <t>Q1FY27</t>
        </is>
      </c>
      <c r="F1281" t="inlineStr">
        <is>
          <t>16-Jul-2026</t>
        </is>
      </c>
      <c r="G1281" t="inlineStr">
        <is>
          <t>Thursday</t>
        </is>
      </c>
      <c r="H1281" t="inlineStr">
        <is>
          <t>Weekly - Thursday</t>
        </is>
      </c>
      <c r="I1281" t="inlineStr">
        <is>
          <t>Weekly - Thursday</t>
        </is>
      </c>
      <c r="J1281" t="inlineStr">
        <is>
          <t>Month+1 Expiry</t>
        </is>
      </c>
      <c r="K1281" s="25" t="n">
        <v>0</v>
      </c>
      <c r="L1281" s="26" t="n">
        <v>0</v>
      </c>
      <c r="M1281" s="26" t="n">
        <v>0</v>
      </c>
    </row>
    <row r="1282" ht="16" customHeight="1">
      <c r="A1282" t="inlineStr">
        <is>
          <t>17-Jun-2026</t>
        </is>
      </c>
      <c r="B1282" t="inlineStr">
        <is>
          <t>Wednesday</t>
        </is>
      </c>
      <c r="C1282" t="inlineStr">
        <is>
          <t>Week3-Jun-2026</t>
        </is>
      </c>
      <c r="D1282" s="78" t="n">
        <v>46174</v>
      </c>
      <c r="E1282" t="inlineStr">
        <is>
          <t>Q1FY27</t>
        </is>
      </c>
      <c r="F1282" t="inlineStr">
        <is>
          <t>23-Jul-2026</t>
        </is>
      </c>
      <c r="G1282" t="inlineStr">
        <is>
          <t>Thursday</t>
        </is>
      </c>
      <c r="H1282" t="inlineStr">
        <is>
          <t>Weekly - Thursday</t>
        </is>
      </c>
      <c r="I1282" t="inlineStr">
        <is>
          <t>Weekly - Thursday</t>
        </is>
      </c>
      <c r="J1282" t="inlineStr">
        <is>
          <t>Month+1 Expiry</t>
        </is>
      </c>
      <c r="K1282" s="25" t="n">
        <v>0</v>
      </c>
      <c r="L1282" s="26" t="n">
        <v>0</v>
      </c>
      <c r="M1282" s="26" t="n">
        <v>0</v>
      </c>
    </row>
    <row r="1283" ht="16" customHeight="1">
      <c r="A1283" t="inlineStr">
        <is>
          <t>17-Jun-2026</t>
        </is>
      </c>
      <c r="B1283" t="inlineStr">
        <is>
          <t>Wednesday</t>
        </is>
      </c>
      <c r="C1283" t="inlineStr">
        <is>
          <t>Week3-Jun-2026</t>
        </is>
      </c>
      <c r="D1283" s="78" t="n">
        <v>46174</v>
      </c>
      <c r="E1283" t="inlineStr">
        <is>
          <t>Q1FY27</t>
        </is>
      </c>
      <c r="F1283" t="inlineStr">
        <is>
          <t>30-Jul-2026</t>
        </is>
      </c>
      <c r="G1283" t="inlineStr">
        <is>
          <t>Thursday</t>
        </is>
      </c>
      <c r="H1283" t="inlineStr">
        <is>
          <t>Monthly - Thursday</t>
        </is>
      </c>
      <c r="I1283" t="inlineStr">
        <is>
          <t>Monthly - Thursday</t>
        </is>
      </c>
      <c r="J1283" t="inlineStr">
        <is>
          <t>Month+1 Expiry</t>
        </is>
      </c>
      <c r="K1283" s="25" t="n">
        <v>2248</v>
      </c>
      <c r="L1283" s="26" t="n">
        <v>3.5272</v>
      </c>
      <c r="M1283" s="26" t="n">
        <v>0.0461</v>
      </c>
    </row>
    <row r="1284" ht="16" customHeight="1">
      <c r="A1284" t="inlineStr">
        <is>
          <t>18-Jun-2026</t>
        </is>
      </c>
      <c r="B1284" t="inlineStr">
        <is>
          <t>Thursday</t>
        </is>
      </c>
      <c r="C1284" t="inlineStr">
        <is>
          <t>Week3-Jun-2026</t>
        </is>
      </c>
      <c r="D1284" s="78" t="n">
        <v>46174</v>
      </c>
      <c r="E1284" t="inlineStr">
        <is>
          <t>Q1FY27</t>
        </is>
      </c>
      <c r="F1284" t="inlineStr">
        <is>
          <t>18-Jun-2026</t>
        </is>
      </c>
      <c r="G1284" t="inlineStr">
        <is>
          <t>Thursday</t>
        </is>
      </c>
      <c r="H1284" t="inlineStr">
        <is>
          <t>Weekly - Thursday</t>
        </is>
      </c>
      <c r="I1284" t="inlineStr">
        <is>
          <t>Weekly - Thursday</t>
        </is>
      </c>
      <c r="J1284" t="inlineStr">
        <is>
          <t>Same Month Expiry</t>
        </is>
      </c>
      <c r="K1284" s="25" t="n">
        <v>478899730</v>
      </c>
      <c r="L1284" s="26" t="n">
        <v>739902.5653</v>
      </c>
      <c r="M1284" s="26" t="n">
        <v>475.6576</v>
      </c>
    </row>
    <row r="1285" ht="16" customHeight="1">
      <c r="A1285" t="inlineStr">
        <is>
          <t>18-Jun-2026</t>
        </is>
      </c>
      <c r="B1285" t="inlineStr">
        <is>
          <t>Thursday</t>
        </is>
      </c>
      <c r="C1285" t="inlineStr">
        <is>
          <t>Week3-Jun-2026</t>
        </is>
      </c>
      <c r="D1285" s="78" t="n">
        <v>46174</v>
      </c>
      <c r="E1285" t="inlineStr">
        <is>
          <t>Q1FY27</t>
        </is>
      </c>
      <c r="F1285" t="inlineStr">
        <is>
          <t>25-Jun-2026</t>
        </is>
      </c>
      <c r="G1285" t="inlineStr">
        <is>
          <t>Thursday</t>
        </is>
      </c>
      <c r="H1285" t="inlineStr">
        <is>
          <t>Monthly - Thursday</t>
        </is>
      </c>
      <c r="I1285" t="inlineStr">
        <is>
          <t>Monthly - Thursday</t>
        </is>
      </c>
      <c r="J1285" t="inlineStr">
        <is>
          <t>Same Month Expiry</t>
        </is>
      </c>
      <c r="K1285" s="25" t="n">
        <v>2175162</v>
      </c>
      <c r="L1285" s="26" t="n">
        <v>3367.2718</v>
      </c>
      <c r="M1285" s="26" t="n">
        <v>12.0661</v>
      </c>
    </row>
    <row r="1286" ht="16" customHeight="1">
      <c r="A1286" t="inlineStr">
        <is>
          <t>18-Jun-2026</t>
        </is>
      </c>
      <c r="B1286" t="inlineStr">
        <is>
          <t>Thursday</t>
        </is>
      </c>
      <c r="C1286" t="inlineStr">
        <is>
          <t>Week3-Jun-2026</t>
        </is>
      </c>
      <c r="D1286" s="78" t="n">
        <v>46174</v>
      </c>
      <c r="E1286" t="inlineStr">
        <is>
          <t>Q1FY27</t>
        </is>
      </c>
      <c r="F1286" t="inlineStr">
        <is>
          <t>02-Jul-2026</t>
        </is>
      </c>
      <c r="G1286" t="inlineStr">
        <is>
          <t>Thursday</t>
        </is>
      </c>
      <c r="H1286" t="inlineStr">
        <is>
          <t>Weekly - Thursday</t>
        </is>
      </c>
      <c r="I1286" t="inlineStr">
        <is>
          <t>Weekly - Thursday</t>
        </is>
      </c>
      <c r="J1286" t="inlineStr">
        <is>
          <t>Month+1 Expiry</t>
        </is>
      </c>
      <c r="K1286" s="25" t="n">
        <v>17327</v>
      </c>
      <c r="L1286" s="26" t="n">
        <v>27.1158</v>
      </c>
      <c r="M1286" s="26" t="n">
        <v>0.1555</v>
      </c>
    </row>
    <row r="1287" ht="16" customHeight="1">
      <c r="A1287" t="inlineStr">
        <is>
          <t>18-Jun-2026</t>
        </is>
      </c>
      <c r="B1287" t="inlineStr">
        <is>
          <t>Thursday</t>
        </is>
      </c>
      <c r="C1287" t="inlineStr">
        <is>
          <t>Week3-Jun-2026</t>
        </is>
      </c>
      <c r="D1287" s="78" t="n">
        <v>46174</v>
      </c>
      <c r="E1287" t="inlineStr">
        <is>
          <t>Q1FY27</t>
        </is>
      </c>
      <c r="F1287" t="inlineStr">
        <is>
          <t>09-Jul-2026</t>
        </is>
      </c>
      <c r="G1287" t="inlineStr">
        <is>
          <t>Thursday</t>
        </is>
      </c>
      <c r="H1287" t="inlineStr">
        <is>
          <t>Weekly - Thursday</t>
        </is>
      </c>
      <c r="I1287" t="inlineStr">
        <is>
          <t>Weekly - Thursday</t>
        </is>
      </c>
      <c r="J1287" t="inlineStr">
        <is>
          <t>Month+1 Expiry</t>
        </is>
      </c>
      <c r="K1287" s="25" t="n">
        <v>168</v>
      </c>
      <c r="L1287" s="26" t="n">
        <v>0.2626</v>
      </c>
      <c r="M1287" s="26" t="n">
        <v>0.003</v>
      </c>
    </row>
    <row r="1288" ht="16" customHeight="1">
      <c r="A1288" t="inlineStr">
        <is>
          <t>18-Jun-2026</t>
        </is>
      </c>
      <c r="B1288" t="inlineStr">
        <is>
          <t>Thursday</t>
        </is>
      </c>
      <c r="C1288" t="inlineStr">
        <is>
          <t>Week3-Jun-2026</t>
        </is>
      </c>
      <c r="D1288" s="78" t="n">
        <v>46174</v>
      </c>
      <c r="E1288" t="inlineStr">
        <is>
          <t>Q1FY27</t>
        </is>
      </c>
      <c r="F1288" t="inlineStr">
        <is>
          <t>16-Jul-2026</t>
        </is>
      </c>
      <c r="G1288" t="inlineStr">
        <is>
          <t>Thursday</t>
        </is>
      </c>
      <c r="H1288" t="inlineStr">
        <is>
          <t>Weekly - Thursday</t>
        </is>
      </c>
      <c r="I1288" t="inlineStr">
        <is>
          <t>Weekly - Thursday</t>
        </is>
      </c>
      <c r="J1288" t="inlineStr">
        <is>
          <t>Month+1 Expiry</t>
        </is>
      </c>
      <c r="K1288" s="25" t="n">
        <v>5</v>
      </c>
      <c r="L1288" s="26" t="n">
        <v>0.0073</v>
      </c>
      <c r="M1288" s="26" t="n">
        <v>0</v>
      </c>
    </row>
    <row r="1289" ht="16" customHeight="1">
      <c r="A1289" t="inlineStr">
        <is>
          <t>18-Jun-2026</t>
        </is>
      </c>
      <c r="B1289" t="inlineStr">
        <is>
          <t>Thursday</t>
        </is>
      </c>
      <c r="C1289" t="inlineStr">
        <is>
          <t>Week3-Jun-2026</t>
        </is>
      </c>
      <c r="D1289" s="78" t="n">
        <v>46174</v>
      </c>
      <c r="E1289" t="inlineStr">
        <is>
          <t>Q1FY27</t>
        </is>
      </c>
      <c r="F1289" t="inlineStr">
        <is>
          <t>23-Jul-2026</t>
        </is>
      </c>
      <c r="G1289" t="inlineStr">
        <is>
          <t>Thursday</t>
        </is>
      </c>
      <c r="H1289" t="inlineStr">
        <is>
          <t>Weekly - Thursday</t>
        </is>
      </c>
      <c r="I1289" t="inlineStr">
        <is>
          <t>Weekly - Thursday</t>
        </is>
      </c>
      <c r="J1289" t="inlineStr">
        <is>
          <t>Month+1 Expiry</t>
        </is>
      </c>
      <c r="K1289" s="25" t="n">
        <v>1</v>
      </c>
      <c r="L1289" s="26" t="n">
        <v>0.0015</v>
      </c>
      <c r="M1289" s="26" t="n">
        <v>0</v>
      </c>
    </row>
    <row r="1290" ht="16" customHeight="1">
      <c r="A1290" t="inlineStr">
        <is>
          <t>18-Jun-2026</t>
        </is>
      </c>
      <c r="B1290" t="inlineStr">
        <is>
          <t>Thursday</t>
        </is>
      </c>
      <c r="C1290" t="inlineStr">
        <is>
          <t>Week3-Jun-2026</t>
        </is>
      </c>
      <c r="D1290" s="78" t="n">
        <v>46174</v>
      </c>
      <c r="E1290" t="inlineStr">
        <is>
          <t>Q1FY27</t>
        </is>
      </c>
      <c r="F1290" t="inlineStr">
        <is>
          <t>30-Jul-2026</t>
        </is>
      </c>
      <c r="G1290" t="inlineStr">
        <is>
          <t>Thursday</t>
        </is>
      </c>
      <c r="H1290" t="inlineStr">
        <is>
          <t>Monthly - Thursday</t>
        </is>
      </c>
      <c r="I1290" t="inlineStr">
        <is>
          <t>Monthly - Thursday</t>
        </is>
      </c>
      <c r="J1290" t="inlineStr">
        <is>
          <t>Month+1 Expiry</t>
        </is>
      </c>
      <c r="K1290" s="25" t="n">
        <v>2472</v>
      </c>
      <c r="L1290" s="26" t="n">
        <v>3.8656</v>
      </c>
      <c r="M1290" s="26" t="n">
        <v>0.0478</v>
      </c>
    </row>
    <row r="1291" ht="16" customHeight="1">
      <c r="A1291" t="inlineStr">
        <is>
          <t>19-Jun-2026</t>
        </is>
      </c>
      <c r="B1291" t="inlineStr">
        <is>
          <t>Friday</t>
        </is>
      </c>
      <c r="C1291" t="inlineStr">
        <is>
          <t>Week3-Jun-2026</t>
        </is>
      </c>
      <c r="D1291" s="78" t="n">
        <v>46174</v>
      </c>
      <c r="E1291" t="inlineStr">
        <is>
          <t>Q1FY27</t>
        </is>
      </c>
      <c r="F1291" t="inlineStr">
        <is>
          <t>25-Jun-2026</t>
        </is>
      </c>
      <c r="G1291" t="inlineStr">
        <is>
          <t>Thursday</t>
        </is>
      </c>
      <c r="H1291" t="inlineStr">
        <is>
          <t>Monthly - Thursday</t>
        </is>
      </c>
      <c r="I1291" t="inlineStr">
        <is>
          <t>MDAW - Thursday</t>
        </is>
      </c>
      <c r="J1291" t="inlineStr">
        <is>
          <t>Same Month Expiry</t>
        </is>
      </c>
      <c r="K1291" s="25" t="n">
        <v>14800619</v>
      </c>
      <c r="L1291" s="26" t="n">
        <v>22807.9127</v>
      </c>
      <c r="M1291" s="26" t="n">
        <v>86.3629</v>
      </c>
    </row>
    <row r="1292" ht="16" customHeight="1">
      <c r="A1292" t="inlineStr">
        <is>
          <t>19-Jun-2026</t>
        </is>
      </c>
      <c r="B1292" t="inlineStr">
        <is>
          <t>Friday</t>
        </is>
      </c>
      <c r="C1292" t="inlineStr">
        <is>
          <t>Week3-Jun-2026</t>
        </is>
      </c>
      <c r="D1292" s="78" t="n">
        <v>46174</v>
      </c>
      <c r="E1292" t="inlineStr">
        <is>
          <t>Q1FY27</t>
        </is>
      </c>
      <c r="F1292" t="inlineStr">
        <is>
          <t>02-Jul-2026</t>
        </is>
      </c>
      <c r="G1292" t="inlineStr">
        <is>
          <t>Thursday</t>
        </is>
      </c>
      <c r="H1292" t="inlineStr">
        <is>
          <t>Weekly - Thursday</t>
        </is>
      </c>
      <c r="I1292" t="inlineStr">
        <is>
          <t>Weekly - Thursday</t>
        </is>
      </c>
      <c r="J1292" t="inlineStr">
        <is>
          <t>Month+1 Expiry</t>
        </is>
      </c>
      <c r="K1292" s="25" t="n">
        <v>129387</v>
      </c>
      <c r="L1292" s="26" t="n">
        <v>201.0463</v>
      </c>
      <c r="M1292" s="26" t="n">
        <v>1.3022</v>
      </c>
    </row>
    <row r="1293" ht="16" customHeight="1">
      <c r="A1293" t="inlineStr">
        <is>
          <t>19-Jun-2026</t>
        </is>
      </c>
      <c r="B1293" t="inlineStr">
        <is>
          <t>Friday</t>
        </is>
      </c>
      <c r="C1293" t="inlineStr">
        <is>
          <t>Week3-Jun-2026</t>
        </is>
      </c>
      <c r="D1293" s="78" t="n">
        <v>46174</v>
      </c>
      <c r="E1293" t="inlineStr">
        <is>
          <t>Q1FY27</t>
        </is>
      </c>
      <c r="F1293" t="inlineStr">
        <is>
          <t>09-Jul-2026</t>
        </is>
      </c>
      <c r="G1293" t="inlineStr">
        <is>
          <t>Thursday</t>
        </is>
      </c>
      <c r="H1293" t="inlineStr">
        <is>
          <t>Weekly - Thursday</t>
        </is>
      </c>
      <c r="I1293" t="inlineStr">
        <is>
          <t>Weekly - Thursday</t>
        </is>
      </c>
      <c r="J1293" t="inlineStr">
        <is>
          <t>Month+1 Expiry</t>
        </is>
      </c>
      <c r="K1293" s="25" t="n">
        <v>1593</v>
      </c>
      <c r="L1293" s="26" t="n">
        <v>2.4755</v>
      </c>
      <c r="M1293" s="26" t="n">
        <v>0.0261</v>
      </c>
    </row>
    <row r="1294" ht="16" customHeight="1">
      <c r="A1294" t="inlineStr">
        <is>
          <t>19-Jun-2026</t>
        </is>
      </c>
      <c r="B1294" t="inlineStr">
        <is>
          <t>Friday</t>
        </is>
      </c>
      <c r="C1294" t="inlineStr">
        <is>
          <t>Week3-Jun-2026</t>
        </is>
      </c>
      <c r="D1294" s="78" t="n">
        <v>46174</v>
      </c>
      <c r="E1294" t="inlineStr">
        <is>
          <t>Q1FY27</t>
        </is>
      </c>
      <c r="F1294" t="inlineStr">
        <is>
          <t>16-Jul-2026</t>
        </is>
      </c>
      <c r="G1294" t="inlineStr">
        <is>
          <t>Thursday</t>
        </is>
      </c>
      <c r="H1294" t="inlineStr">
        <is>
          <t>Weekly - Thursday</t>
        </is>
      </c>
      <c r="I1294" t="inlineStr">
        <is>
          <t>Weekly - Thursday</t>
        </is>
      </c>
      <c r="J1294" t="inlineStr">
        <is>
          <t>Month+1 Expiry</t>
        </is>
      </c>
      <c r="K1294" s="25" t="n">
        <v>658</v>
      </c>
      <c r="L1294" s="26" t="n">
        <v>1.0255</v>
      </c>
      <c r="M1294" s="26" t="n">
        <v>0.0123</v>
      </c>
    </row>
    <row r="1295" ht="16" customHeight="1">
      <c r="A1295" t="inlineStr">
        <is>
          <t>19-Jun-2026</t>
        </is>
      </c>
      <c r="B1295" t="inlineStr">
        <is>
          <t>Friday</t>
        </is>
      </c>
      <c r="C1295" t="inlineStr">
        <is>
          <t>Week3-Jun-2026</t>
        </is>
      </c>
      <c r="D1295" s="78" t="n">
        <v>46174</v>
      </c>
      <c r="E1295" t="inlineStr">
        <is>
          <t>Q1FY27</t>
        </is>
      </c>
      <c r="F1295" t="inlineStr">
        <is>
          <t>23-Jul-2026</t>
        </is>
      </c>
      <c r="G1295" t="inlineStr">
        <is>
          <t>Thursday</t>
        </is>
      </c>
      <c r="H1295" t="inlineStr">
        <is>
          <t>Weekly - Thursday</t>
        </is>
      </c>
      <c r="I1295" t="inlineStr">
        <is>
          <t>Weekly - Thursday</t>
        </is>
      </c>
      <c r="J1295" t="inlineStr">
        <is>
          <t>Month+1 Expiry</t>
        </is>
      </c>
      <c r="K1295" s="25" t="n">
        <v>0</v>
      </c>
      <c r="L1295" s="26" t="n">
        <v>0</v>
      </c>
      <c r="M1295" s="26" t="n">
        <v>0</v>
      </c>
    </row>
    <row r="1296" ht="16" customHeight="1">
      <c r="A1296" t="inlineStr">
        <is>
          <t>19-Jun-2026</t>
        </is>
      </c>
      <c r="B1296" t="inlineStr">
        <is>
          <t>Friday</t>
        </is>
      </c>
      <c r="C1296" t="inlineStr">
        <is>
          <t>Week3-Jun-2026</t>
        </is>
      </c>
      <c r="D1296" s="78" t="n">
        <v>46174</v>
      </c>
      <c r="E1296" t="inlineStr">
        <is>
          <t>Q1FY27</t>
        </is>
      </c>
      <c r="F1296" t="inlineStr">
        <is>
          <t>30-Jul-2026</t>
        </is>
      </c>
      <c r="G1296" t="inlineStr">
        <is>
          <t>Thursday</t>
        </is>
      </c>
      <c r="H1296" t="inlineStr">
        <is>
          <t>Monthly - Thursday</t>
        </is>
      </c>
      <c r="I1296" t="inlineStr">
        <is>
          <t>Monthly - Thursday</t>
        </is>
      </c>
      <c r="J1296" t="inlineStr">
        <is>
          <t>Month+1 Expiry</t>
        </is>
      </c>
      <c r="K1296" s="25" t="n">
        <v>3317</v>
      </c>
      <c r="L1296" s="26" t="n">
        <v>5.1837</v>
      </c>
      <c r="M1296" s="26" t="n">
        <v>0.07099999999999999</v>
      </c>
    </row>
    <row r="1297" ht="16" customHeight="1">
      <c r="A1297" t="inlineStr">
        <is>
          <t>22-Jun-2026</t>
        </is>
      </c>
      <c r="B1297" t="inlineStr">
        <is>
          <t>Monday</t>
        </is>
      </c>
      <c r="C1297" t="inlineStr">
        <is>
          <t>Week4-Jun-2026</t>
        </is>
      </c>
      <c r="D1297" s="78" t="n">
        <v>46174</v>
      </c>
      <c r="E1297" t="inlineStr">
        <is>
          <t>Q1FY27</t>
        </is>
      </c>
      <c r="F1297" t="inlineStr">
        <is>
          <t>25-Jun-2026</t>
        </is>
      </c>
      <c r="G1297" t="inlineStr">
        <is>
          <t>Thursday</t>
        </is>
      </c>
      <c r="H1297" t="inlineStr">
        <is>
          <t>Monthly - Thursday</t>
        </is>
      </c>
      <c r="I1297" t="inlineStr">
        <is>
          <t>MDAW - Thursday</t>
        </is>
      </c>
      <c r="J1297" t="inlineStr">
        <is>
          <t>Same Month Expiry</t>
        </is>
      </c>
      <c r="K1297" s="25" t="n">
        <v>15143822</v>
      </c>
      <c r="L1297" s="26" t="n">
        <v>23440.2692</v>
      </c>
      <c r="M1297" s="26" t="n">
        <v>66.4746</v>
      </c>
    </row>
    <row r="1298" ht="16" customHeight="1">
      <c r="A1298" t="inlineStr">
        <is>
          <t>22-Jun-2026</t>
        </is>
      </c>
      <c r="B1298" t="inlineStr">
        <is>
          <t>Monday</t>
        </is>
      </c>
      <c r="C1298" t="inlineStr">
        <is>
          <t>Week4-Jun-2026</t>
        </is>
      </c>
      <c r="D1298" s="78" t="n">
        <v>46174</v>
      </c>
      <c r="E1298" t="inlineStr">
        <is>
          <t>Q1FY27</t>
        </is>
      </c>
      <c r="F1298" t="inlineStr">
        <is>
          <t>02-Jul-2026</t>
        </is>
      </c>
      <c r="G1298" t="inlineStr">
        <is>
          <t>Thursday</t>
        </is>
      </c>
      <c r="H1298" t="inlineStr">
        <is>
          <t>Weekly - Thursday</t>
        </is>
      </c>
      <c r="I1298" t="inlineStr">
        <is>
          <t>Weekly - Thursday</t>
        </is>
      </c>
      <c r="J1298" t="inlineStr">
        <is>
          <t>Month+1 Expiry</t>
        </is>
      </c>
      <c r="K1298" s="25" t="n">
        <v>127363</v>
      </c>
      <c r="L1298" s="26" t="n">
        <v>198.148</v>
      </c>
      <c r="M1298" s="26" t="n">
        <v>0.9688</v>
      </c>
    </row>
    <row r="1299" ht="16" customHeight="1">
      <c r="A1299" t="inlineStr">
        <is>
          <t>22-Jun-2026</t>
        </is>
      </c>
      <c r="B1299" t="inlineStr">
        <is>
          <t>Monday</t>
        </is>
      </c>
      <c r="C1299" t="inlineStr">
        <is>
          <t>Week4-Jun-2026</t>
        </is>
      </c>
      <c r="D1299" s="78" t="n">
        <v>46174</v>
      </c>
      <c r="E1299" t="inlineStr">
        <is>
          <t>Q1FY27</t>
        </is>
      </c>
      <c r="F1299" t="inlineStr">
        <is>
          <t>09-Jul-2026</t>
        </is>
      </c>
      <c r="G1299" t="inlineStr">
        <is>
          <t>Thursday</t>
        </is>
      </c>
      <c r="H1299" t="inlineStr">
        <is>
          <t>Weekly - Thursday</t>
        </is>
      </c>
      <c r="I1299" t="inlineStr">
        <is>
          <t>Weekly - Thursday</t>
        </is>
      </c>
      <c r="J1299" t="inlineStr">
        <is>
          <t>Month+1 Expiry</t>
        </is>
      </c>
      <c r="K1299" s="25" t="n">
        <v>1072</v>
      </c>
      <c r="L1299" s="26" t="n">
        <v>1.6777</v>
      </c>
      <c r="M1299" s="26" t="n">
        <v>0.0149</v>
      </c>
    </row>
    <row r="1300" ht="16" customHeight="1">
      <c r="A1300" t="inlineStr">
        <is>
          <t>22-Jun-2026</t>
        </is>
      </c>
      <c r="B1300" t="inlineStr">
        <is>
          <t>Monday</t>
        </is>
      </c>
      <c r="C1300" t="inlineStr">
        <is>
          <t>Week4-Jun-2026</t>
        </is>
      </c>
      <c r="D1300" s="78" t="n">
        <v>46174</v>
      </c>
      <c r="E1300" t="inlineStr">
        <is>
          <t>Q1FY27</t>
        </is>
      </c>
      <c r="F1300" t="inlineStr">
        <is>
          <t>16-Jul-2026</t>
        </is>
      </c>
      <c r="G1300" t="inlineStr">
        <is>
          <t>Thursday</t>
        </is>
      </c>
      <c r="H1300" t="inlineStr">
        <is>
          <t>Weekly - Thursday</t>
        </is>
      </c>
      <c r="I1300" t="inlineStr">
        <is>
          <t>Weekly - Thursday</t>
        </is>
      </c>
      <c r="J1300" t="inlineStr">
        <is>
          <t>Month+1 Expiry</t>
        </is>
      </c>
      <c r="K1300" s="25" t="n">
        <v>139</v>
      </c>
      <c r="L1300" s="26" t="n">
        <v>0.2185</v>
      </c>
      <c r="M1300" s="26" t="n">
        <v>0.002</v>
      </c>
    </row>
    <row r="1301" ht="16" customHeight="1">
      <c r="A1301" t="inlineStr">
        <is>
          <t>22-Jun-2026</t>
        </is>
      </c>
      <c r="B1301" t="inlineStr">
        <is>
          <t>Monday</t>
        </is>
      </c>
      <c r="C1301" t="inlineStr">
        <is>
          <t>Week4-Jun-2026</t>
        </is>
      </c>
      <c r="D1301" s="78" t="n">
        <v>46174</v>
      </c>
      <c r="E1301" t="inlineStr">
        <is>
          <t>Q1FY27</t>
        </is>
      </c>
      <c r="F1301" t="inlineStr">
        <is>
          <t>23-Jul-2026</t>
        </is>
      </c>
      <c r="G1301" t="inlineStr">
        <is>
          <t>Thursday</t>
        </is>
      </c>
      <c r="H1301" t="inlineStr">
        <is>
          <t>Weekly - Thursday</t>
        </is>
      </c>
      <c r="I1301" t="inlineStr">
        <is>
          <t>Weekly - Thursday</t>
        </is>
      </c>
      <c r="J1301" t="inlineStr">
        <is>
          <t>Month+1 Expiry</t>
        </is>
      </c>
      <c r="K1301" s="25" t="n">
        <v>0</v>
      </c>
      <c r="L1301" s="26" t="n">
        <v>0</v>
      </c>
      <c r="M1301" s="26" t="n">
        <v>0</v>
      </c>
    </row>
    <row r="1302" ht="16" customHeight="1">
      <c r="A1302" t="inlineStr">
        <is>
          <t>22-Jun-2026</t>
        </is>
      </c>
      <c r="B1302" t="inlineStr">
        <is>
          <t>Monday</t>
        </is>
      </c>
      <c r="C1302" t="inlineStr">
        <is>
          <t>Week4-Jun-2026</t>
        </is>
      </c>
      <c r="D1302" s="78" t="n">
        <v>46174</v>
      </c>
      <c r="E1302" t="inlineStr">
        <is>
          <t>Q1FY27</t>
        </is>
      </c>
      <c r="F1302" t="inlineStr">
        <is>
          <t>30-Jul-2026</t>
        </is>
      </c>
      <c r="G1302" t="inlineStr">
        <is>
          <t>Thursday</t>
        </is>
      </c>
      <c r="H1302" t="inlineStr">
        <is>
          <t>Monthly - Thursday</t>
        </is>
      </c>
      <c r="I1302" t="inlineStr">
        <is>
          <t>Monthly - Thursday</t>
        </is>
      </c>
      <c r="J1302" t="inlineStr">
        <is>
          <t>Month+1 Expiry</t>
        </is>
      </c>
      <c r="K1302" s="25" t="n">
        <v>2639</v>
      </c>
      <c r="L1302" s="26" t="n">
        <v>4.1346</v>
      </c>
      <c r="M1302" s="26" t="n">
        <v>0.0533</v>
      </c>
    </row>
    <row r="1303" ht="16" customHeight="1">
      <c r="A1303" t="inlineStr">
        <is>
          <t>23-Jun-2026</t>
        </is>
      </c>
      <c r="B1303" t="inlineStr">
        <is>
          <t>Tuesday</t>
        </is>
      </c>
      <c r="C1303" t="inlineStr">
        <is>
          <t>Week4-Jun-2026</t>
        </is>
      </c>
      <c r="D1303" s="78" t="n">
        <v>46174</v>
      </c>
      <c r="E1303" t="inlineStr">
        <is>
          <t>Q1FY27</t>
        </is>
      </c>
      <c r="F1303" t="inlineStr">
        <is>
          <t>25-Jun-2026</t>
        </is>
      </c>
      <c r="G1303" t="inlineStr">
        <is>
          <t>Thursday</t>
        </is>
      </c>
      <c r="H1303" t="inlineStr">
        <is>
          <t>Monthly - Thursday</t>
        </is>
      </c>
      <c r="I1303" t="inlineStr">
        <is>
          <t>MDAW - Thursday</t>
        </is>
      </c>
      <c r="J1303" t="inlineStr">
        <is>
          <t>Same Month Expiry</t>
        </is>
      </c>
      <c r="K1303" s="25" t="n">
        <v>34360080</v>
      </c>
      <c r="L1303" s="26" t="n">
        <v>52936.629</v>
      </c>
      <c r="M1303" s="26" t="n">
        <v>113.8189</v>
      </c>
    </row>
    <row r="1304" ht="16" customHeight="1">
      <c r="A1304" t="inlineStr">
        <is>
          <t>23-Jun-2026</t>
        </is>
      </c>
      <c r="B1304" t="inlineStr">
        <is>
          <t>Tuesday</t>
        </is>
      </c>
      <c r="C1304" t="inlineStr">
        <is>
          <t>Week4-Jun-2026</t>
        </is>
      </c>
      <c r="D1304" s="78" t="n">
        <v>46174</v>
      </c>
      <c r="E1304" t="inlineStr">
        <is>
          <t>Q1FY27</t>
        </is>
      </c>
      <c r="F1304" t="inlineStr">
        <is>
          <t>02-Jul-2026</t>
        </is>
      </c>
      <c r="G1304" t="inlineStr">
        <is>
          <t>Thursday</t>
        </is>
      </c>
      <c r="H1304" t="inlineStr">
        <is>
          <t>Weekly - Thursday</t>
        </is>
      </c>
      <c r="I1304" t="inlineStr">
        <is>
          <t>Weekly - Thursday</t>
        </is>
      </c>
      <c r="J1304" t="inlineStr">
        <is>
          <t>Month+1 Expiry</t>
        </is>
      </c>
      <c r="K1304" s="25" t="n">
        <v>400349</v>
      </c>
      <c r="L1304" s="26" t="n">
        <v>617.2007</v>
      </c>
      <c r="M1304" s="26" t="n">
        <v>2.5362</v>
      </c>
    </row>
    <row r="1305" ht="16" customHeight="1">
      <c r="A1305" t="inlineStr">
        <is>
          <t>23-Jun-2026</t>
        </is>
      </c>
      <c r="B1305" t="inlineStr">
        <is>
          <t>Tuesday</t>
        </is>
      </c>
      <c r="C1305" t="inlineStr">
        <is>
          <t>Week4-Jun-2026</t>
        </is>
      </c>
      <c r="D1305" s="78" t="n">
        <v>46174</v>
      </c>
      <c r="E1305" t="inlineStr">
        <is>
          <t>Q1FY27</t>
        </is>
      </c>
      <c r="F1305" t="inlineStr">
        <is>
          <t>09-Jul-2026</t>
        </is>
      </c>
      <c r="G1305" t="inlineStr">
        <is>
          <t>Thursday</t>
        </is>
      </c>
      <c r="H1305" t="inlineStr">
        <is>
          <t>Weekly - Thursday</t>
        </is>
      </c>
      <c r="I1305" t="inlineStr">
        <is>
          <t>Weekly - Thursday</t>
        </is>
      </c>
      <c r="J1305" t="inlineStr">
        <is>
          <t>Month+1 Expiry</t>
        </is>
      </c>
      <c r="K1305" s="25" t="n">
        <v>6247</v>
      </c>
      <c r="L1305" s="26" t="n">
        <v>9.733599999999999</v>
      </c>
      <c r="M1305" s="26" t="n">
        <v>0.08</v>
      </c>
    </row>
    <row r="1306" ht="16" customHeight="1">
      <c r="A1306" t="inlineStr">
        <is>
          <t>23-Jun-2026</t>
        </is>
      </c>
      <c r="B1306" t="inlineStr">
        <is>
          <t>Tuesday</t>
        </is>
      </c>
      <c r="C1306" t="inlineStr">
        <is>
          <t>Week4-Jun-2026</t>
        </is>
      </c>
      <c r="D1306" s="78" t="n">
        <v>46174</v>
      </c>
      <c r="E1306" t="inlineStr">
        <is>
          <t>Q1FY27</t>
        </is>
      </c>
      <c r="F1306" t="inlineStr">
        <is>
          <t>16-Jul-2026</t>
        </is>
      </c>
      <c r="G1306" t="inlineStr">
        <is>
          <t>Thursday</t>
        </is>
      </c>
      <c r="H1306" t="inlineStr">
        <is>
          <t>Weekly - Thursday</t>
        </is>
      </c>
      <c r="I1306" t="inlineStr">
        <is>
          <t>Weekly - Thursday</t>
        </is>
      </c>
      <c r="J1306" t="inlineStr">
        <is>
          <t>Month+1 Expiry</t>
        </is>
      </c>
      <c r="K1306" s="25" t="n">
        <v>854</v>
      </c>
      <c r="L1306" s="26" t="n">
        <v>1.3344</v>
      </c>
      <c r="M1306" s="26" t="n">
        <v>0.0157</v>
      </c>
    </row>
    <row r="1307" ht="16" customHeight="1">
      <c r="A1307" t="inlineStr">
        <is>
          <t>23-Jun-2026</t>
        </is>
      </c>
      <c r="B1307" t="inlineStr">
        <is>
          <t>Tuesday</t>
        </is>
      </c>
      <c r="C1307" t="inlineStr">
        <is>
          <t>Week4-Jun-2026</t>
        </is>
      </c>
      <c r="D1307" s="78" t="n">
        <v>46174</v>
      </c>
      <c r="E1307" t="inlineStr">
        <is>
          <t>Q1FY27</t>
        </is>
      </c>
      <c r="F1307" t="inlineStr">
        <is>
          <t>23-Jul-2026</t>
        </is>
      </c>
      <c r="G1307" t="inlineStr">
        <is>
          <t>Thursday</t>
        </is>
      </c>
      <c r="H1307" t="inlineStr">
        <is>
          <t>Weekly - Thursday</t>
        </is>
      </c>
      <c r="I1307" t="inlineStr">
        <is>
          <t>Weekly - Thursday</t>
        </is>
      </c>
      <c r="J1307" t="inlineStr">
        <is>
          <t>Month+1 Expiry</t>
        </is>
      </c>
      <c r="K1307" s="25" t="n">
        <v>0</v>
      </c>
      <c r="L1307" s="26" t="n">
        <v>0</v>
      </c>
      <c r="M1307" s="26" t="n">
        <v>0</v>
      </c>
    </row>
    <row r="1308" ht="16" customHeight="1">
      <c r="A1308" t="inlineStr">
        <is>
          <t>23-Jun-2026</t>
        </is>
      </c>
      <c r="B1308" t="inlineStr">
        <is>
          <t>Tuesday</t>
        </is>
      </c>
      <c r="C1308" t="inlineStr">
        <is>
          <t>Week4-Jun-2026</t>
        </is>
      </c>
      <c r="D1308" s="78" t="n">
        <v>46174</v>
      </c>
      <c r="E1308" t="inlineStr">
        <is>
          <t>Q1FY27</t>
        </is>
      </c>
      <c r="F1308" t="inlineStr">
        <is>
          <t>30-Jul-2026</t>
        </is>
      </c>
      <c r="G1308" t="inlineStr">
        <is>
          <t>Thursday</t>
        </is>
      </c>
      <c r="H1308" t="inlineStr">
        <is>
          <t>Monthly - Thursday</t>
        </is>
      </c>
      <c r="I1308" t="inlineStr">
        <is>
          <t>Monthly - Thursday</t>
        </is>
      </c>
      <c r="J1308" t="inlineStr">
        <is>
          <t>Month+1 Expiry</t>
        </is>
      </c>
      <c r="K1308" s="25" t="n">
        <v>6215</v>
      </c>
      <c r="L1308" s="26" t="n">
        <v>9.6736</v>
      </c>
      <c r="M1308" s="26" t="n">
        <v>0.1075</v>
      </c>
    </row>
    <row r="1309" ht="16" customHeight="1">
      <c r="A1309" t="inlineStr">
        <is>
          <t>24-Jun-2026</t>
        </is>
      </c>
      <c r="B1309" t="inlineStr">
        <is>
          <t>Wednesday</t>
        </is>
      </c>
      <c r="C1309" t="inlineStr">
        <is>
          <t>Week4-Jun-2026</t>
        </is>
      </c>
      <c r="D1309" s="78" t="n">
        <v>46174</v>
      </c>
      <c r="E1309" t="inlineStr">
        <is>
          <t>Q1FY27</t>
        </is>
      </c>
      <c r="F1309" t="inlineStr">
        <is>
          <t>25-Jun-2026</t>
        </is>
      </c>
      <c r="G1309" t="inlineStr">
        <is>
          <t>Thursday</t>
        </is>
      </c>
      <c r="H1309" t="inlineStr">
        <is>
          <t>Monthly - Thursday</t>
        </is>
      </c>
      <c r="I1309" t="inlineStr">
        <is>
          <t>MDAW - Thursday</t>
        </is>
      </c>
      <c r="J1309" t="inlineStr">
        <is>
          <t>Same Month Expiry</t>
        </is>
      </c>
      <c r="K1309" s="25" t="n">
        <v>129858422</v>
      </c>
      <c r="L1309" s="26" t="n">
        <v>199758.9076</v>
      </c>
      <c r="M1309" s="26" t="n">
        <v>375.5712</v>
      </c>
    </row>
    <row r="1310" ht="16" customHeight="1">
      <c r="A1310" t="inlineStr">
        <is>
          <t>24-Jun-2026</t>
        </is>
      </c>
      <c r="B1310" t="inlineStr">
        <is>
          <t>Wednesday</t>
        </is>
      </c>
      <c r="C1310" t="inlineStr">
        <is>
          <t>Week4-Jun-2026</t>
        </is>
      </c>
      <c r="D1310" s="78" t="n">
        <v>46174</v>
      </c>
      <c r="E1310" t="inlineStr">
        <is>
          <t>Q1FY27</t>
        </is>
      </c>
      <c r="F1310" t="inlineStr">
        <is>
          <t>02-Jul-2026</t>
        </is>
      </c>
      <c r="G1310" t="inlineStr">
        <is>
          <t>Thursday</t>
        </is>
      </c>
      <c r="H1310" t="inlineStr">
        <is>
          <t>Weekly - Thursday</t>
        </is>
      </c>
      <c r="I1310" t="inlineStr">
        <is>
          <t>Weekly - Thursday</t>
        </is>
      </c>
      <c r="J1310" t="inlineStr">
        <is>
          <t>Month+1 Expiry</t>
        </is>
      </c>
      <c r="K1310" s="25" t="n">
        <v>706983</v>
      </c>
      <c r="L1310" s="26" t="n">
        <v>1090.8508</v>
      </c>
      <c r="M1310" s="26" t="n">
        <v>4.4404</v>
      </c>
    </row>
    <row r="1311" ht="16" customHeight="1">
      <c r="A1311" t="inlineStr">
        <is>
          <t>24-Jun-2026</t>
        </is>
      </c>
      <c r="B1311" t="inlineStr">
        <is>
          <t>Wednesday</t>
        </is>
      </c>
      <c r="C1311" t="inlineStr">
        <is>
          <t>Week4-Jun-2026</t>
        </is>
      </c>
      <c r="D1311" s="78" t="n">
        <v>46174</v>
      </c>
      <c r="E1311" t="inlineStr">
        <is>
          <t>Q1FY27</t>
        </is>
      </c>
      <c r="F1311" t="inlineStr">
        <is>
          <t>09-Jul-2026</t>
        </is>
      </c>
      <c r="G1311" t="inlineStr">
        <is>
          <t>Thursday</t>
        </is>
      </c>
      <c r="H1311" t="inlineStr">
        <is>
          <t>Weekly - Thursday</t>
        </is>
      </c>
      <c r="I1311" t="inlineStr">
        <is>
          <t>Weekly - Thursday</t>
        </is>
      </c>
      <c r="J1311" t="inlineStr">
        <is>
          <t>Month+1 Expiry</t>
        </is>
      </c>
      <c r="K1311" s="25" t="n">
        <v>10001</v>
      </c>
      <c r="L1311" s="26" t="n">
        <v>15.6644</v>
      </c>
      <c r="M1311" s="26" t="n">
        <v>0.119</v>
      </c>
    </row>
    <row r="1312" ht="16" customHeight="1">
      <c r="A1312" t="inlineStr">
        <is>
          <t>24-Jun-2026</t>
        </is>
      </c>
      <c r="B1312" t="inlineStr">
        <is>
          <t>Wednesday</t>
        </is>
      </c>
      <c r="C1312" t="inlineStr">
        <is>
          <t>Week4-Jun-2026</t>
        </is>
      </c>
      <c r="D1312" s="78" t="n">
        <v>46174</v>
      </c>
      <c r="E1312" t="inlineStr">
        <is>
          <t>Q1FY27</t>
        </is>
      </c>
      <c r="F1312" t="inlineStr">
        <is>
          <t>16-Jul-2026</t>
        </is>
      </c>
      <c r="G1312" t="inlineStr">
        <is>
          <t>Thursday</t>
        </is>
      </c>
      <c r="H1312" t="inlineStr">
        <is>
          <t>Weekly - Thursday</t>
        </is>
      </c>
      <c r="I1312" t="inlineStr">
        <is>
          <t>Weekly - Thursday</t>
        </is>
      </c>
      <c r="J1312" t="inlineStr">
        <is>
          <t>Month+1 Expiry</t>
        </is>
      </c>
      <c r="K1312" s="25" t="n">
        <v>735</v>
      </c>
      <c r="L1312" s="26" t="n">
        <v>1.149</v>
      </c>
      <c r="M1312" s="26" t="n">
        <v>0.0129</v>
      </c>
    </row>
    <row r="1313" ht="16" customHeight="1">
      <c r="A1313" t="inlineStr">
        <is>
          <t>24-Jun-2026</t>
        </is>
      </c>
      <c r="B1313" t="inlineStr">
        <is>
          <t>Wednesday</t>
        </is>
      </c>
      <c r="C1313" t="inlineStr">
        <is>
          <t>Week4-Jun-2026</t>
        </is>
      </c>
      <c r="D1313" s="78" t="n">
        <v>46174</v>
      </c>
      <c r="E1313" t="inlineStr">
        <is>
          <t>Q1FY27</t>
        </is>
      </c>
      <c r="F1313" t="inlineStr">
        <is>
          <t>23-Jul-2026</t>
        </is>
      </c>
      <c r="G1313" t="inlineStr">
        <is>
          <t>Thursday</t>
        </is>
      </c>
      <c r="H1313" t="inlineStr">
        <is>
          <t>Weekly - Thursday</t>
        </is>
      </c>
      <c r="I1313" t="inlineStr">
        <is>
          <t>Weekly - Thursday</t>
        </is>
      </c>
      <c r="J1313" t="inlineStr">
        <is>
          <t>Month+1 Expiry</t>
        </is>
      </c>
      <c r="K1313" s="25" t="n">
        <v>4</v>
      </c>
      <c r="L1313" s="26" t="n">
        <v>0.0063</v>
      </c>
      <c r="M1313" s="26" t="n">
        <v>0.0001</v>
      </c>
    </row>
    <row r="1314" ht="16" customHeight="1">
      <c r="A1314" t="inlineStr">
        <is>
          <t>24-Jun-2026</t>
        </is>
      </c>
      <c r="B1314" t="inlineStr">
        <is>
          <t>Wednesday</t>
        </is>
      </c>
      <c r="C1314" t="inlineStr">
        <is>
          <t>Week4-Jun-2026</t>
        </is>
      </c>
      <c r="D1314" s="78" t="n">
        <v>46174</v>
      </c>
      <c r="E1314" t="inlineStr">
        <is>
          <t>Q1FY27</t>
        </is>
      </c>
      <c r="F1314" t="inlineStr">
        <is>
          <t>30-Jul-2026</t>
        </is>
      </c>
      <c r="G1314" t="inlineStr">
        <is>
          <t>Thursday</t>
        </is>
      </c>
      <c r="H1314" t="inlineStr">
        <is>
          <t>Monthly - Thursday</t>
        </is>
      </c>
      <c r="I1314" t="inlineStr">
        <is>
          <t>Monthly - Thursday</t>
        </is>
      </c>
      <c r="J1314" t="inlineStr">
        <is>
          <t>Month+1 Expiry</t>
        </is>
      </c>
      <c r="K1314" s="25" t="n">
        <v>7046</v>
      </c>
      <c r="L1314" s="26" t="n">
        <v>11.1769</v>
      </c>
      <c r="M1314" s="26" t="n">
        <v>0.189</v>
      </c>
    </row>
    <row r="1315" ht="16" customHeight="1">
      <c r="A1315" t="inlineStr">
        <is>
          <t>25-Jun-2026</t>
        </is>
      </c>
      <c r="B1315" t="inlineStr">
        <is>
          <t>Thursday</t>
        </is>
      </c>
      <c r="C1315" t="inlineStr">
        <is>
          <t>Week4-Jun-2026</t>
        </is>
      </c>
      <c r="D1315" s="78" t="n">
        <v>46174</v>
      </c>
      <c r="E1315" t="inlineStr">
        <is>
          <t>Q1FY27</t>
        </is>
      </c>
      <c r="F1315" t="inlineStr">
        <is>
          <t>25-Jun-2026</t>
        </is>
      </c>
      <c r="G1315" t="inlineStr">
        <is>
          <t>Thursday</t>
        </is>
      </c>
      <c r="H1315" t="inlineStr">
        <is>
          <t>Monthly - Thursday</t>
        </is>
      </c>
      <c r="I1315" t="inlineStr">
        <is>
          <t>MDAW - Thursday</t>
        </is>
      </c>
      <c r="J1315" t="inlineStr">
        <is>
          <t>Same Month Expiry</t>
        </is>
      </c>
      <c r="K1315" s="25" t="n">
        <v>544402510</v>
      </c>
      <c r="L1315" s="26" t="n">
        <v>842366.3874</v>
      </c>
      <c r="M1315" s="26" t="n">
        <v>580.8832</v>
      </c>
    </row>
    <row r="1316" ht="16" customHeight="1">
      <c r="A1316" t="inlineStr">
        <is>
          <t>25-Jun-2026</t>
        </is>
      </c>
      <c r="B1316" t="inlineStr">
        <is>
          <t>Thursday</t>
        </is>
      </c>
      <c r="C1316" t="inlineStr">
        <is>
          <t>Week4-Jun-2026</t>
        </is>
      </c>
      <c r="D1316" s="78" t="n">
        <v>46174</v>
      </c>
      <c r="E1316" t="inlineStr">
        <is>
          <t>Q1FY27</t>
        </is>
      </c>
      <c r="F1316" t="inlineStr">
        <is>
          <t>02-Jul-2026</t>
        </is>
      </c>
      <c r="G1316" t="inlineStr">
        <is>
          <t>Thursday</t>
        </is>
      </c>
      <c r="H1316" t="inlineStr">
        <is>
          <t>Weekly - Thursday</t>
        </is>
      </c>
      <c r="I1316" t="inlineStr">
        <is>
          <t>Weekly - Thursday</t>
        </is>
      </c>
      <c r="J1316" t="inlineStr">
        <is>
          <t>Month+1 Expiry</t>
        </is>
      </c>
      <c r="K1316" s="25" t="n">
        <v>2414775</v>
      </c>
      <c r="L1316" s="26" t="n">
        <v>3751.833</v>
      </c>
      <c r="M1316" s="26" t="n">
        <v>14.5912</v>
      </c>
    </row>
    <row r="1317" ht="16" customHeight="1">
      <c r="A1317" t="inlineStr">
        <is>
          <t>25-Jun-2026</t>
        </is>
      </c>
      <c r="B1317" t="inlineStr">
        <is>
          <t>Thursday</t>
        </is>
      </c>
      <c r="C1317" t="inlineStr">
        <is>
          <t>Week4-Jun-2026</t>
        </is>
      </c>
      <c r="D1317" s="78" t="n">
        <v>46174</v>
      </c>
      <c r="E1317" t="inlineStr">
        <is>
          <t>Q1FY27</t>
        </is>
      </c>
      <c r="F1317" t="inlineStr">
        <is>
          <t>09-Jul-2026</t>
        </is>
      </c>
      <c r="G1317" t="inlineStr">
        <is>
          <t>Thursday</t>
        </is>
      </c>
      <c r="H1317" t="inlineStr">
        <is>
          <t>Weekly - Thursday</t>
        </is>
      </c>
      <c r="I1317" t="inlineStr">
        <is>
          <t>Weekly - Thursday</t>
        </is>
      </c>
      <c r="J1317" t="inlineStr">
        <is>
          <t>Month+1 Expiry</t>
        </is>
      </c>
      <c r="K1317" s="25" t="n">
        <v>23740</v>
      </c>
      <c r="L1317" s="26" t="n">
        <v>37.0705</v>
      </c>
      <c r="M1317" s="26" t="n">
        <v>0.2427</v>
      </c>
    </row>
    <row r="1318" ht="16" customHeight="1">
      <c r="A1318" t="inlineStr">
        <is>
          <t>25-Jun-2026</t>
        </is>
      </c>
      <c r="B1318" t="inlineStr">
        <is>
          <t>Thursday</t>
        </is>
      </c>
      <c r="C1318" t="inlineStr">
        <is>
          <t>Week4-Jun-2026</t>
        </is>
      </c>
      <c r="D1318" s="78" t="n">
        <v>46174</v>
      </c>
      <c r="E1318" t="inlineStr">
        <is>
          <t>Q1FY27</t>
        </is>
      </c>
      <c r="F1318" t="inlineStr">
        <is>
          <t>16-Jul-2026</t>
        </is>
      </c>
      <c r="G1318" t="inlineStr">
        <is>
          <t>Thursday</t>
        </is>
      </c>
      <c r="H1318" t="inlineStr">
        <is>
          <t>Weekly - Thursday</t>
        </is>
      </c>
      <c r="I1318" t="inlineStr">
        <is>
          <t>Weekly - Thursday</t>
        </is>
      </c>
      <c r="J1318" t="inlineStr">
        <is>
          <t>Month+1 Expiry</t>
        </is>
      </c>
      <c r="K1318" s="25" t="n">
        <v>1079</v>
      </c>
      <c r="L1318" s="26" t="n">
        <v>1.6883</v>
      </c>
      <c r="M1318" s="26" t="n">
        <v>0.0183</v>
      </c>
    </row>
    <row r="1319" ht="16" customHeight="1">
      <c r="A1319" t="inlineStr">
        <is>
          <t>25-Jun-2026</t>
        </is>
      </c>
      <c r="B1319" t="inlineStr">
        <is>
          <t>Thursday</t>
        </is>
      </c>
      <c r="C1319" t="inlineStr">
        <is>
          <t>Week4-Jun-2026</t>
        </is>
      </c>
      <c r="D1319" s="78" t="n">
        <v>46174</v>
      </c>
      <c r="E1319" t="inlineStr">
        <is>
          <t>Q1FY27</t>
        </is>
      </c>
      <c r="F1319" t="inlineStr">
        <is>
          <t>23-Jul-2026</t>
        </is>
      </c>
      <c r="G1319" t="inlineStr">
        <is>
          <t>Thursday</t>
        </is>
      </c>
      <c r="H1319" t="inlineStr">
        <is>
          <t>Weekly - Thursday</t>
        </is>
      </c>
      <c r="I1319" t="inlineStr">
        <is>
          <t>Weekly - Thursday</t>
        </is>
      </c>
      <c r="J1319" t="inlineStr">
        <is>
          <t>Month+1 Expiry</t>
        </is>
      </c>
      <c r="K1319" s="25" t="n">
        <v>0</v>
      </c>
      <c r="L1319" s="26" t="n">
        <v>0</v>
      </c>
      <c r="M1319" s="26" t="n">
        <v>0</v>
      </c>
    </row>
    <row r="1320" ht="16" customHeight="1">
      <c r="A1320" t="inlineStr">
        <is>
          <t>25-Jun-2026</t>
        </is>
      </c>
      <c r="B1320" t="inlineStr">
        <is>
          <t>Thursday</t>
        </is>
      </c>
      <c r="C1320" t="inlineStr">
        <is>
          <t>Week4-Jun-2026</t>
        </is>
      </c>
      <c r="D1320" s="78" t="n">
        <v>46174</v>
      </c>
      <c r="E1320" t="inlineStr">
        <is>
          <t>Q1FY27</t>
        </is>
      </c>
      <c r="F1320" t="inlineStr">
        <is>
          <t>30-Jul-2026</t>
        </is>
      </c>
      <c r="G1320" t="inlineStr">
        <is>
          <t>Thursday</t>
        </is>
      </c>
      <c r="H1320" t="inlineStr">
        <is>
          <t>Monthly - Thursday</t>
        </is>
      </c>
      <c r="I1320" t="inlineStr">
        <is>
          <t>Monthly - Thursday</t>
        </is>
      </c>
      <c r="J1320" t="inlineStr">
        <is>
          <t>Month+1 Expiry</t>
        </is>
      </c>
      <c r="K1320" s="25" t="n">
        <v>18608</v>
      </c>
      <c r="L1320" s="26" t="n">
        <v>29.1702</v>
      </c>
      <c r="M1320" s="26" t="n">
        <v>0.3903</v>
      </c>
    </row>
    <row r="1321" ht="16" customHeight="1">
      <c r="A1321" t="inlineStr">
        <is>
          <t>25-Jun-2026</t>
        </is>
      </c>
      <c r="B1321" t="inlineStr">
        <is>
          <t>Thursday</t>
        </is>
      </c>
      <c r="C1321" t="inlineStr">
        <is>
          <t>Week4-Jun-2026</t>
        </is>
      </c>
      <c r="D1321" s="78" t="n">
        <v>46174</v>
      </c>
      <c r="E1321" t="inlineStr">
        <is>
          <t>Q1FY27</t>
        </is>
      </c>
      <c r="F1321" t="inlineStr">
        <is>
          <t>27-Aug-2026</t>
        </is>
      </c>
      <c r="G1321" t="inlineStr">
        <is>
          <t>Thursday</t>
        </is>
      </c>
      <c r="H1321" t="inlineStr">
        <is>
          <t>Monthly - Thursday</t>
        </is>
      </c>
      <c r="I1321" t="inlineStr">
        <is>
          <t>Monthly - Thursday</t>
        </is>
      </c>
      <c r="J1321" t="inlineStr">
        <is>
          <t>Month+2 Expiry</t>
        </is>
      </c>
      <c r="K1321" s="25" t="n">
        <v>5</v>
      </c>
      <c r="L1321" s="26" t="n">
        <v>0.0081</v>
      </c>
      <c r="M1321" s="26" t="n">
        <v>0.0002</v>
      </c>
    </row>
    <row r="1322" ht="16" customHeight="1">
      <c r="A1322" t="inlineStr">
        <is>
          <t>29-Jun-2026</t>
        </is>
      </c>
      <c r="B1322" t="inlineStr">
        <is>
          <t>Monday</t>
        </is>
      </c>
      <c r="C1322" t="inlineStr">
        <is>
          <t>Week5-Jun-2026</t>
        </is>
      </c>
      <c r="D1322" s="78" t="n">
        <v>46174</v>
      </c>
      <c r="E1322" t="inlineStr">
        <is>
          <t>Q1FY27</t>
        </is>
      </c>
      <c r="F1322" t="inlineStr">
        <is>
          <t>02-Jul-2026</t>
        </is>
      </c>
      <c r="G1322" t="inlineStr">
        <is>
          <t>Thursday</t>
        </is>
      </c>
      <c r="H1322" t="inlineStr">
        <is>
          <t>Weekly - Thursday</t>
        </is>
      </c>
      <c r="I1322" t="inlineStr">
        <is>
          <t>Weekly - Thursday</t>
        </is>
      </c>
      <c r="J1322" t="inlineStr">
        <is>
          <t>Month+1 Expiry</t>
        </is>
      </c>
      <c r="K1322" s="25" t="n">
        <v>20330522</v>
      </c>
      <c r="L1322" s="26" t="n">
        <v>31352.8871</v>
      </c>
      <c r="M1322" s="26" t="n">
        <v>97.5986</v>
      </c>
    </row>
    <row r="1323" ht="16" customHeight="1">
      <c r="A1323" t="inlineStr">
        <is>
          <t>29-Jun-2026</t>
        </is>
      </c>
      <c r="B1323" t="inlineStr">
        <is>
          <t>Monday</t>
        </is>
      </c>
      <c r="C1323" t="inlineStr">
        <is>
          <t>Week5-Jun-2026</t>
        </is>
      </c>
      <c r="D1323" s="78" t="n">
        <v>46174</v>
      </c>
      <c r="E1323" t="inlineStr">
        <is>
          <t>Q1FY27</t>
        </is>
      </c>
      <c r="F1323" t="inlineStr">
        <is>
          <t>09-Jul-2026</t>
        </is>
      </c>
      <c r="G1323" t="inlineStr">
        <is>
          <t>Thursday</t>
        </is>
      </c>
      <c r="H1323" t="inlineStr">
        <is>
          <t>Weekly - Thursday</t>
        </is>
      </c>
      <c r="I1323" t="inlineStr">
        <is>
          <t>Weekly - Thursday</t>
        </is>
      </c>
      <c r="J1323" t="inlineStr">
        <is>
          <t>Month+1 Expiry</t>
        </is>
      </c>
      <c r="K1323" s="25" t="n">
        <v>94103</v>
      </c>
      <c r="L1323" s="26" t="n">
        <v>145.7693</v>
      </c>
      <c r="M1323" s="26" t="n">
        <v>0.9321</v>
      </c>
    </row>
    <row r="1324" ht="16" customHeight="1">
      <c r="A1324" t="inlineStr">
        <is>
          <t>29-Jun-2026</t>
        </is>
      </c>
      <c r="B1324" t="inlineStr">
        <is>
          <t>Monday</t>
        </is>
      </c>
      <c r="C1324" t="inlineStr">
        <is>
          <t>Week5-Jun-2026</t>
        </is>
      </c>
      <c r="D1324" s="78" t="n">
        <v>46174</v>
      </c>
      <c r="E1324" t="inlineStr">
        <is>
          <t>Q1FY27</t>
        </is>
      </c>
      <c r="F1324" t="inlineStr">
        <is>
          <t>16-Jul-2026</t>
        </is>
      </c>
      <c r="G1324" t="inlineStr">
        <is>
          <t>Thursday</t>
        </is>
      </c>
      <c r="H1324" t="inlineStr">
        <is>
          <t>Weekly - Thursday</t>
        </is>
      </c>
      <c r="I1324" t="inlineStr">
        <is>
          <t>Weekly - Thursday</t>
        </is>
      </c>
      <c r="J1324" t="inlineStr">
        <is>
          <t>Month+1 Expiry</t>
        </is>
      </c>
      <c r="K1324" s="25" t="n">
        <v>1345</v>
      </c>
      <c r="L1324" s="26" t="n">
        <v>2.0981</v>
      </c>
      <c r="M1324" s="26" t="n">
        <v>0.0218</v>
      </c>
    </row>
    <row r="1325" ht="16" customHeight="1">
      <c r="A1325" t="inlineStr">
        <is>
          <t>29-Jun-2026</t>
        </is>
      </c>
      <c r="B1325" t="inlineStr">
        <is>
          <t>Monday</t>
        </is>
      </c>
      <c r="C1325" t="inlineStr">
        <is>
          <t>Week5-Jun-2026</t>
        </is>
      </c>
      <c r="D1325" s="78" t="n">
        <v>46174</v>
      </c>
      <c r="E1325" t="inlineStr">
        <is>
          <t>Q1FY27</t>
        </is>
      </c>
      <c r="F1325" t="inlineStr">
        <is>
          <t>23-Jul-2026</t>
        </is>
      </c>
      <c r="G1325" t="inlineStr">
        <is>
          <t>Thursday</t>
        </is>
      </c>
      <c r="H1325" t="inlineStr">
        <is>
          <t>Weekly - Thursday</t>
        </is>
      </c>
      <c r="I1325" t="inlineStr">
        <is>
          <t>Weekly - Thursday</t>
        </is>
      </c>
      <c r="J1325" t="inlineStr">
        <is>
          <t>Month+1 Expiry</t>
        </is>
      </c>
      <c r="K1325" s="25" t="n">
        <v>30</v>
      </c>
      <c r="L1325" s="26" t="n">
        <v>0.0463</v>
      </c>
      <c r="M1325" s="26" t="n">
        <v>0.0004</v>
      </c>
    </row>
    <row r="1326" ht="16" customHeight="1">
      <c r="A1326" t="inlineStr">
        <is>
          <t>29-Jun-2026</t>
        </is>
      </c>
      <c r="B1326" t="inlineStr">
        <is>
          <t>Monday</t>
        </is>
      </c>
      <c r="C1326" t="inlineStr">
        <is>
          <t>Week5-Jun-2026</t>
        </is>
      </c>
      <c r="D1326" s="78" t="n">
        <v>46174</v>
      </c>
      <c r="E1326" t="inlineStr">
        <is>
          <t>Q1FY27</t>
        </is>
      </c>
      <c r="F1326" t="inlineStr">
        <is>
          <t>30-Jul-2026</t>
        </is>
      </c>
      <c r="G1326" t="inlineStr">
        <is>
          <t>Thursday</t>
        </is>
      </c>
      <c r="H1326" t="inlineStr">
        <is>
          <t>Monthly - Thursday</t>
        </is>
      </c>
      <c r="I1326" t="inlineStr">
        <is>
          <t>Monthly - Thursday</t>
        </is>
      </c>
      <c r="J1326" t="inlineStr">
        <is>
          <t>Month+1 Expiry</t>
        </is>
      </c>
      <c r="K1326" s="25" t="n">
        <v>18056</v>
      </c>
      <c r="L1326" s="26" t="n">
        <v>28.9769</v>
      </c>
      <c r="M1326" s="26" t="n">
        <v>0.7238</v>
      </c>
    </row>
    <row r="1327" ht="16" customHeight="1">
      <c r="A1327" t="inlineStr">
        <is>
          <t>29-Jun-2026</t>
        </is>
      </c>
      <c r="B1327" t="inlineStr">
        <is>
          <t>Monday</t>
        </is>
      </c>
      <c r="C1327" t="inlineStr">
        <is>
          <t>Week5-Jun-2026</t>
        </is>
      </c>
      <c r="D1327" s="78" t="n">
        <v>46174</v>
      </c>
      <c r="E1327" t="inlineStr">
        <is>
          <t>Q1FY27</t>
        </is>
      </c>
      <c r="F1327" t="inlineStr">
        <is>
          <t>27-Aug-2026</t>
        </is>
      </c>
      <c r="G1327" t="inlineStr">
        <is>
          <t>Thursday</t>
        </is>
      </c>
      <c r="H1327" t="inlineStr">
        <is>
          <t>Monthly - Thursday</t>
        </is>
      </c>
      <c r="I1327" t="inlineStr">
        <is>
          <t>Monthly - Thursday</t>
        </is>
      </c>
      <c r="J1327" t="inlineStr">
        <is>
          <t>Month+2 Expiry</t>
        </is>
      </c>
      <c r="K1327" s="25" t="n">
        <v>398</v>
      </c>
      <c r="L1327" s="26" t="n">
        <v>0.63</v>
      </c>
      <c r="M1327" s="26" t="n">
        <v>0.0151</v>
      </c>
    </row>
    <row r="1328" ht="16" customHeight="1">
      <c r="A1328" t="inlineStr">
        <is>
          <t>30-Jun-2026</t>
        </is>
      </c>
      <c r="B1328" t="inlineStr">
        <is>
          <t>Tuesday</t>
        </is>
      </c>
      <c r="C1328" t="inlineStr">
        <is>
          <t>Week5-Jun-2026</t>
        </is>
      </c>
      <c r="D1328" s="78" t="n">
        <v>46174</v>
      </c>
      <c r="E1328" t="inlineStr">
        <is>
          <t>Q1FY27</t>
        </is>
      </c>
      <c r="F1328" t="inlineStr">
        <is>
          <t>02-Jul-2026</t>
        </is>
      </c>
      <c r="G1328" t="inlineStr">
        <is>
          <t>Thursday</t>
        </is>
      </c>
      <c r="H1328" t="inlineStr">
        <is>
          <t>Weekly - Thursday</t>
        </is>
      </c>
      <c r="I1328" t="inlineStr">
        <is>
          <t>Weekly - Thursday</t>
        </is>
      </c>
      <c r="J1328" t="inlineStr">
        <is>
          <t>Month+1 Expiry</t>
        </is>
      </c>
      <c r="K1328" s="25" t="n">
        <v>25962486</v>
      </c>
      <c r="L1328" s="26" t="n">
        <v>39971.2197</v>
      </c>
      <c r="M1328" s="26" t="n">
        <v>101.7612</v>
      </c>
    </row>
    <row r="1329" ht="16" customHeight="1">
      <c r="A1329" t="inlineStr">
        <is>
          <t>30-Jun-2026</t>
        </is>
      </c>
      <c r="B1329" t="inlineStr">
        <is>
          <t>Tuesday</t>
        </is>
      </c>
      <c r="C1329" t="inlineStr">
        <is>
          <t>Week5-Jun-2026</t>
        </is>
      </c>
      <c r="D1329" s="78" t="n">
        <v>46174</v>
      </c>
      <c r="E1329" t="inlineStr">
        <is>
          <t>Q1FY27</t>
        </is>
      </c>
      <c r="F1329" t="inlineStr">
        <is>
          <t>09-Jul-2026</t>
        </is>
      </c>
      <c r="G1329" t="inlineStr">
        <is>
          <t>Thursday</t>
        </is>
      </c>
      <c r="H1329" t="inlineStr">
        <is>
          <t>Weekly - Thursday</t>
        </is>
      </c>
      <c r="I1329" t="inlineStr">
        <is>
          <t>Weekly - Thursday</t>
        </is>
      </c>
      <c r="J1329" t="inlineStr">
        <is>
          <t>Month+1 Expiry</t>
        </is>
      </c>
      <c r="K1329" s="25" t="n">
        <v>226286</v>
      </c>
      <c r="L1329" s="26" t="n">
        <v>349.7012</v>
      </c>
      <c r="M1329" s="26" t="n">
        <v>1.7125</v>
      </c>
    </row>
    <row r="1330" ht="16" customHeight="1">
      <c r="A1330" t="inlineStr">
        <is>
          <t>30-Jun-2026</t>
        </is>
      </c>
      <c r="B1330" t="inlineStr">
        <is>
          <t>Tuesday</t>
        </is>
      </c>
      <c r="C1330" t="inlineStr">
        <is>
          <t>Week5-Jun-2026</t>
        </is>
      </c>
      <c r="D1330" s="78" t="n">
        <v>46174</v>
      </c>
      <c r="E1330" t="inlineStr">
        <is>
          <t>Q1FY27</t>
        </is>
      </c>
      <c r="F1330" t="inlineStr">
        <is>
          <t>16-Jul-2026</t>
        </is>
      </c>
      <c r="G1330" t="inlineStr">
        <is>
          <t>Thursday</t>
        </is>
      </c>
      <c r="H1330" t="inlineStr">
        <is>
          <t>Weekly - Thursday</t>
        </is>
      </c>
      <c r="I1330" t="inlineStr">
        <is>
          <t>Weekly - Thursday</t>
        </is>
      </c>
      <c r="J1330" t="inlineStr">
        <is>
          <t>Month+1 Expiry</t>
        </is>
      </c>
      <c r="K1330" s="25" t="n">
        <v>2103</v>
      </c>
      <c r="L1330" s="26" t="n">
        <v>3.2572</v>
      </c>
      <c r="M1330" s="26" t="n">
        <v>0.0303</v>
      </c>
    </row>
    <row r="1331" ht="16" customHeight="1">
      <c r="A1331" t="inlineStr">
        <is>
          <t>30-Jun-2026</t>
        </is>
      </c>
      <c r="B1331" t="inlineStr">
        <is>
          <t>Tuesday</t>
        </is>
      </c>
      <c r="C1331" t="inlineStr">
        <is>
          <t>Week5-Jun-2026</t>
        </is>
      </c>
      <c r="D1331" s="78" t="n">
        <v>46174</v>
      </c>
      <c r="E1331" t="inlineStr">
        <is>
          <t>Q1FY27</t>
        </is>
      </c>
      <c r="F1331" t="inlineStr">
        <is>
          <t>23-Jul-2026</t>
        </is>
      </c>
      <c r="G1331" t="inlineStr">
        <is>
          <t>Thursday</t>
        </is>
      </c>
      <c r="H1331" t="inlineStr">
        <is>
          <t>Weekly - Thursday</t>
        </is>
      </c>
      <c r="I1331" t="inlineStr">
        <is>
          <t>Weekly - Thursday</t>
        </is>
      </c>
      <c r="J1331" t="inlineStr">
        <is>
          <t>Month+1 Expiry</t>
        </is>
      </c>
      <c r="K1331" s="25" t="n">
        <v>4</v>
      </c>
      <c r="L1331" s="26" t="n">
        <v>0.0062</v>
      </c>
      <c r="M1331" s="26" t="n">
        <v>0.0001</v>
      </c>
    </row>
    <row r="1332" ht="16" customHeight="1">
      <c r="A1332" t="inlineStr">
        <is>
          <t>30-Jun-2026</t>
        </is>
      </c>
      <c r="B1332" t="inlineStr">
        <is>
          <t>Tuesday</t>
        </is>
      </c>
      <c r="C1332" t="inlineStr">
        <is>
          <t>Week5-Jun-2026</t>
        </is>
      </c>
      <c r="D1332" s="78" t="n">
        <v>46174</v>
      </c>
      <c r="E1332" t="inlineStr">
        <is>
          <t>Q1FY27</t>
        </is>
      </c>
      <c r="F1332" t="inlineStr">
        <is>
          <t>30-Jul-2026</t>
        </is>
      </c>
      <c r="G1332" t="inlineStr">
        <is>
          <t>Thursday</t>
        </is>
      </c>
      <c r="H1332" t="inlineStr">
        <is>
          <t>Monthly - Thursday</t>
        </is>
      </c>
      <c r="I1332" t="inlineStr">
        <is>
          <t>Monthly - Thursday</t>
        </is>
      </c>
      <c r="J1332" t="inlineStr">
        <is>
          <t>Month+1 Expiry</t>
        </is>
      </c>
      <c r="K1332" s="25" t="n">
        <v>7517</v>
      </c>
      <c r="L1332" s="26" t="n">
        <v>11.8222</v>
      </c>
      <c r="M1332" s="26" t="n">
        <v>0.1331</v>
      </c>
    </row>
    <row r="1333" ht="16" customHeight="1">
      <c r="A1333" t="inlineStr">
        <is>
          <t>30-Jun-2026</t>
        </is>
      </c>
      <c r="B1333" t="inlineStr">
        <is>
          <t>Tuesday</t>
        </is>
      </c>
      <c r="C1333" t="inlineStr">
        <is>
          <t>Week5-Jun-2026</t>
        </is>
      </c>
      <c r="D1333" s="78" t="n">
        <v>46174</v>
      </c>
      <c r="E1333" t="inlineStr">
        <is>
          <t>Q1FY27</t>
        </is>
      </c>
      <c r="F1333" t="inlineStr">
        <is>
          <t>27-Aug-2026</t>
        </is>
      </c>
      <c r="G1333" t="inlineStr">
        <is>
          <t>Thursday</t>
        </is>
      </c>
      <c r="H1333" t="inlineStr">
        <is>
          <t>Monthly - Thursday</t>
        </is>
      </c>
      <c r="I1333" t="inlineStr">
        <is>
          <t>Monthly - Thursday</t>
        </is>
      </c>
      <c r="J1333" t="inlineStr">
        <is>
          <t>Month+2 Expiry</t>
        </is>
      </c>
      <c r="K1333" s="25" t="n">
        <v>388</v>
      </c>
      <c r="L1333" s="26" t="n">
        <v>0.611</v>
      </c>
      <c r="M1333" s="26" t="n">
        <v>0.0108</v>
      </c>
    </row>
    <row r="1334" ht="16" customHeight="1">
      <c r="A1334" t="inlineStr">
        <is>
          <t>01-Jul-2026</t>
        </is>
      </c>
      <c r="B1334" t="inlineStr">
        <is>
          <t>Wednesday</t>
        </is>
      </c>
      <c r="C1334" t="inlineStr">
        <is>
          <t>Week1-Jul-2026</t>
        </is>
      </c>
      <c r="D1334" s="78" t="n">
        <v>46204</v>
      </c>
      <c r="E1334" t="inlineStr">
        <is>
          <t>Q2FY27</t>
        </is>
      </c>
      <c r="F1334" t="inlineStr">
        <is>
          <t>02-Jul-2026</t>
        </is>
      </c>
      <c r="G1334" t="inlineStr">
        <is>
          <t>Thursday</t>
        </is>
      </c>
      <c r="H1334" t="inlineStr">
        <is>
          <t>Weekly - Thursday</t>
        </is>
      </c>
      <c r="I1334" t="inlineStr">
        <is>
          <t>Weekly - Thursday</t>
        </is>
      </c>
      <c r="J1334" t="inlineStr">
        <is>
          <t>Same Month Expiry</t>
        </is>
      </c>
      <c r="K1334" s="25" t="n">
        <v>121504128</v>
      </c>
      <c r="L1334" s="26" t="n">
        <v>187207.6912</v>
      </c>
      <c r="M1334" s="26" t="n">
        <v>352.245</v>
      </c>
    </row>
    <row r="1335" ht="16" customHeight="1">
      <c r="A1335" t="inlineStr">
        <is>
          <t>01-Jul-2026</t>
        </is>
      </c>
      <c r="B1335" t="inlineStr">
        <is>
          <t>Wednesday</t>
        </is>
      </c>
      <c r="C1335" t="inlineStr">
        <is>
          <t>Week1-Jul-2026</t>
        </is>
      </c>
      <c r="D1335" s="78" t="n">
        <v>46204</v>
      </c>
      <c r="E1335" t="inlineStr">
        <is>
          <t>Q2FY27</t>
        </is>
      </c>
      <c r="F1335" t="inlineStr">
        <is>
          <t>09-Jul-2026</t>
        </is>
      </c>
      <c r="G1335" t="inlineStr">
        <is>
          <t>Thursday</t>
        </is>
      </c>
      <c r="H1335" t="inlineStr">
        <is>
          <t>Weekly - Thursday</t>
        </is>
      </c>
      <c r="I1335" t="inlineStr">
        <is>
          <t>Weekly - Thursday</t>
        </is>
      </c>
      <c r="J1335" t="inlineStr">
        <is>
          <t>Same Month Expiry</t>
        </is>
      </c>
      <c r="K1335" s="25" t="n">
        <v>486527</v>
      </c>
      <c r="L1335" s="26" t="n">
        <v>749.947</v>
      </c>
      <c r="M1335" s="26" t="n">
        <v>2.5579</v>
      </c>
    </row>
    <row r="1336" ht="16" customHeight="1">
      <c r="A1336" t="inlineStr">
        <is>
          <t>01-Jul-2026</t>
        </is>
      </c>
      <c r="B1336" t="inlineStr">
        <is>
          <t>Wednesday</t>
        </is>
      </c>
      <c r="C1336" t="inlineStr">
        <is>
          <t>Week1-Jul-2026</t>
        </is>
      </c>
      <c r="D1336" s="78" t="n">
        <v>46204</v>
      </c>
      <c r="E1336" t="inlineStr">
        <is>
          <t>Q2FY27</t>
        </is>
      </c>
      <c r="F1336" t="inlineStr">
        <is>
          <t>16-Jul-2026</t>
        </is>
      </c>
      <c r="G1336" t="inlineStr">
        <is>
          <t>Thursday</t>
        </is>
      </c>
      <c r="H1336" t="inlineStr">
        <is>
          <t>Weekly - Thursday</t>
        </is>
      </c>
      <c r="I1336" t="inlineStr">
        <is>
          <t>Weekly - Thursday</t>
        </is>
      </c>
      <c r="J1336" t="inlineStr">
        <is>
          <t>Same Month Expiry</t>
        </is>
      </c>
      <c r="K1336" s="25" t="n">
        <v>3678</v>
      </c>
      <c r="L1336" s="26" t="n">
        <v>5.7184</v>
      </c>
      <c r="M1336" s="26" t="n">
        <v>0.0519</v>
      </c>
    </row>
    <row r="1337" ht="16" customHeight="1">
      <c r="A1337" t="inlineStr">
        <is>
          <t>01-Jul-2026</t>
        </is>
      </c>
      <c r="B1337" t="inlineStr">
        <is>
          <t>Wednesday</t>
        </is>
      </c>
      <c r="C1337" t="inlineStr">
        <is>
          <t>Week1-Jul-2026</t>
        </is>
      </c>
      <c r="D1337" s="78" t="n">
        <v>46204</v>
      </c>
      <c r="E1337" t="inlineStr">
        <is>
          <t>Q2FY27</t>
        </is>
      </c>
      <c r="F1337" t="inlineStr">
        <is>
          <t>23-Jul-2026</t>
        </is>
      </c>
      <c r="G1337" t="inlineStr">
        <is>
          <t>Thursday</t>
        </is>
      </c>
      <c r="H1337" t="inlineStr">
        <is>
          <t>Weekly - Thursday</t>
        </is>
      </c>
      <c r="I1337" t="inlineStr">
        <is>
          <t>Weekly - Thursday</t>
        </is>
      </c>
      <c r="J1337" t="inlineStr">
        <is>
          <t>Same Month Expiry</t>
        </is>
      </c>
      <c r="K1337" s="25" t="n">
        <v>11</v>
      </c>
      <c r="L1337" s="26" t="n">
        <v>0.0176</v>
      </c>
      <c r="M1337" s="26" t="n">
        <v>0.0001</v>
      </c>
    </row>
    <row r="1338" ht="16" customHeight="1">
      <c r="A1338" t="inlineStr">
        <is>
          <t>01-Jul-2026</t>
        </is>
      </c>
      <c r="B1338" t="inlineStr">
        <is>
          <t>Wednesday</t>
        </is>
      </c>
      <c r="C1338" t="inlineStr">
        <is>
          <t>Week1-Jul-2026</t>
        </is>
      </c>
      <c r="D1338" s="78" t="n">
        <v>46204</v>
      </c>
      <c r="E1338" t="inlineStr">
        <is>
          <t>Q2FY27</t>
        </is>
      </c>
      <c r="F1338" t="inlineStr">
        <is>
          <t>30-Jul-2026</t>
        </is>
      </c>
      <c r="G1338" t="inlineStr">
        <is>
          <t>Thursday</t>
        </is>
      </c>
      <c r="H1338" t="inlineStr">
        <is>
          <t>Monthly - Thursday</t>
        </is>
      </c>
      <c r="I1338" t="inlineStr">
        <is>
          <t>Monthly - Thursday</t>
        </is>
      </c>
      <c r="J1338" t="inlineStr">
        <is>
          <t>Same Month Expiry</t>
        </is>
      </c>
      <c r="K1338" s="25" t="n">
        <v>11324</v>
      </c>
      <c r="L1338" s="26" t="n">
        <v>17.6897</v>
      </c>
      <c r="M1338" s="26" t="n">
        <v>0.1657</v>
      </c>
    </row>
    <row r="1339" ht="16" customHeight="1">
      <c r="A1339" t="inlineStr">
        <is>
          <t>01-Jul-2026</t>
        </is>
      </c>
      <c r="B1339" t="inlineStr">
        <is>
          <t>Wednesday</t>
        </is>
      </c>
      <c r="C1339" t="inlineStr">
        <is>
          <t>Week1-Jul-2026</t>
        </is>
      </c>
      <c r="D1339" s="78" t="n">
        <v>46204</v>
      </c>
      <c r="E1339" t="inlineStr">
        <is>
          <t>Q2FY27</t>
        </is>
      </c>
      <c r="F1339" t="inlineStr">
        <is>
          <t>27-Aug-2026</t>
        </is>
      </c>
      <c r="G1339" t="inlineStr">
        <is>
          <t>Thursday</t>
        </is>
      </c>
      <c r="H1339" t="inlineStr">
        <is>
          <t>Monthly - Thursday</t>
        </is>
      </c>
      <c r="I1339" t="inlineStr">
        <is>
          <t>Monthly - Thursday</t>
        </is>
      </c>
      <c r="J1339" t="inlineStr">
        <is>
          <t>Month+1 Expiry</t>
        </is>
      </c>
      <c r="K1339" s="25" t="n">
        <v>248</v>
      </c>
      <c r="L1339" s="26" t="n">
        <v>0.392</v>
      </c>
      <c r="M1339" s="26" t="n">
        <v>0.0077</v>
      </c>
    </row>
    <row r="1340" ht="16" customHeight="1">
      <c r="A1340" t="inlineStr">
        <is>
          <t>02-Jul-2026</t>
        </is>
      </c>
      <c r="B1340" t="inlineStr">
        <is>
          <t>Thursday</t>
        </is>
      </c>
      <c r="C1340" t="inlineStr">
        <is>
          <t>Week1-Jul-2026</t>
        </is>
      </c>
      <c r="D1340" s="78" t="n">
        <v>46204</v>
      </c>
      <c r="E1340" t="inlineStr">
        <is>
          <t>Q2FY27</t>
        </is>
      </c>
      <c r="F1340" t="inlineStr">
        <is>
          <t>02-Jul-2026</t>
        </is>
      </c>
      <c r="G1340" t="inlineStr">
        <is>
          <t>Thursday</t>
        </is>
      </c>
      <c r="H1340" t="inlineStr">
        <is>
          <t>Weekly - Thursday</t>
        </is>
      </c>
      <c r="I1340" t="inlineStr">
        <is>
          <t>Weekly - Thursday</t>
        </is>
      </c>
      <c r="J1340" t="inlineStr">
        <is>
          <t>Same Month Expiry</t>
        </is>
      </c>
      <c r="K1340" s="25" t="n">
        <v>482093606</v>
      </c>
      <c r="L1340" s="26" t="n">
        <v>745697.6361999999</v>
      </c>
      <c r="M1340" s="26" t="n">
        <v>535.4423</v>
      </c>
    </row>
    <row r="1341" ht="16" customHeight="1">
      <c r="A1341" t="inlineStr">
        <is>
          <t>02-Jul-2026</t>
        </is>
      </c>
      <c r="B1341" t="inlineStr">
        <is>
          <t>Thursday</t>
        </is>
      </c>
      <c r="C1341" t="inlineStr">
        <is>
          <t>Week1-Jul-2026</t>
        </is>
      </c>
      <c r="D1341" s="78" t="n">
        <v>46204</v>
      </c>
      <c r="E1341" t="inlineStr">
        <is>
          <t>Q2FY27</t>
        </is>
      </c>
      <c r="F1341" t="inlineStr">
        <is>
          <t>09-Jul-2026</t>
        </is>
      </c>
      <c r="G1341" t="inlineStr">
        <is>
          <t>Thursday</t>
        </is>
      </c>
      <c r="H1341" t="inlineStr">
        <is>
          <t>Weekly - Thursday</t>
        </is>
      </c>
      <c r="I1341" t="inlineStr">
        <is>
          <t>Weekly - Thursday</t>
        </is>
      </c>
      <c r="J1341" t="inlineStr">
        <is>
          <t>Same Month Expiry</t>
        </is>
      </c>
      <c r="K1341" s="25" t="n">
        <v>2051854</v>
      </c>
      <c r="L1341" s="26" t="n">
        <v>3181.6558</v>
      </c>
      <c r="M1341" s="26" t="n">
        <v>11.124</v>
      </c>
    </row>
    <row r="1342" ht="16" customHeight="1">
      <c r="A1342" t="inlineStr">
        <is>
          <t>02-Jul-2026</t>
        </is>
      </c>
      <c r="B1342" t="inlineStr">
        <is>
          <t>Thursday</t>
        </is>
      </c>
      <c r="C1342" t="inlineStr">
        <is>
          <t>Week1-Jul-2026</t>
        </is>
      </c>
      <c r="D1342" s="78" t="n">
        <v>46204</v>
      </c>
      <c r="E1342" t="inlineStr">
        <is>
          <t>Q2FY27</t>
        </is>
      </c>
      <c r="F1342" t="inlineStr">
        <is>
          <t>16-Jul-2026</t>
        </is>
      </c>
      <c r="G1342" t="inlineStr">
        <is>
          <t>Thursday</t>
        </is>
      </c>
      <c r="H1342" t="inlineStr">
        <is>
          <t>Weekly - Thursday</t>
        </is>
      </c>
      <c r="I1342" t="inlineStr">
        <is>
          <t>Weekly - Thursday</t>
        </is>
      </c>
      <c r="J1342" t="inlineStr">
        <is>
          <t>Same Month Expiry</t>
        </is>
      </c>
      <c r="K1342" s="25" t="n">
        <v>10495</v>
      </c>
      <c r="L1342" s="26" t="n">
        <v>16.2492</v>
      </c>
      <c r="M1342" s="26" t="n">
        <v>0.1176</v>
      </c>
    </row>
    <row r="1343" ht="16" customHeight="1">
      <c r="A1343" t="inlineStr">
        <is>
          <t>02-Jul-2026</t>
        </is>
      </c>
      <c r="B1343" t="inlineStr">
        <is>
          <t>Thursday</t>
        </is>
      </c>
      <c r="C1343" t="inlineStr">
        <is>
          <t>Week1-Jul-2026</t>
        </is>
      </c>
      <c r="D1343" s="78" t="n">
        <v>46204</v>
      </c>
      <c r="E1343" t="inlineStr">
        <is>
          <t>Q2FY27</t>
        </is>
      </c>
      <c r="F1343" t="inlineStr">
        <is>
          <t>23-Jul-2026</t>
        </is>
      </c>
      <c r="G1343" t="inlineStr">
        <is>
          <t>Thursday</t>
        </is>
      </c>
      <c r="H1343" t="inlineStr">
        <is>
          <t>Weekly - Thursday</t>
        </is>
      </c>
      <c r="I1343" t="inlineStr">
        <is>
          <t>Weekly - Thursday</t>
        </is>
      </c>
      <c r="J1343" t="inlineStr">
        <is>
          <t>Same Month Expiry</t>
        </is>
      </c>
      <c r="K1343" s="25" t="n">
        <v>5</v>
      </c>
      <c r="L1343" s="26" t="n">
        <v>0.0078</v>
      </c>
      <c r="M1343" s="26" t="n">
        <v>0.0001</v>
      </c>
    </row>
    <row r="1344" ht="16" customHeight="1">
      <c r="A1344" t="inlineStr">
        <is>
          <t>02-Jul-2026</t>
        </is>
      </c>
      <c r="B1344" t="inlineStr">
        <is>
          <t>Thursday</t>
        </is>
      </c>
      <c r="C1344" t="inlineStr">
        <is>
          <t>Week1-Jul-2026</t>
        </is>
      </c>
      <c r="D1344" s="78" t="n">
        <v>46204</v>
      </c>
      <c r="E1344" t="inlineStr">
        <is>
          <t>Q2FY27</t>
        </is>
      </c>
      <c r="F1344" t="inlineStr">
        <is>
          <t>30-Jul-2026</t>
        </is>
      </c>
      <c r="G1344" t="inlineStr">
        <is>
          <t>Thursday</t>
        </is>
      </c>
      <c r="H1344" t="inlineStr">
        <is>
          <t>Monthly - Thursday</t>
        </is>
      </c>
      <c r="I1344" t="inlineStr">
        <is>
          <t>Monthly - Thursday</t>
        </is>
      </c>
      <c r="J1344" t="inlineStr">
        <is>
          <t>Same Month Expiry</t>
        </is>
      </c>
      <c r="K1344" s="25" t="n">
        <v>17656</v>
      </c>
      <c r="L1344" s="26" t="n">
        <v>27.6907</v>
      </c>
      <c r="M1344" s="26" t="n">
        <v>0.2492</v>
      </c>
    </row>
    <row r="1345" ht="16" customHeight="1">
      <c r="A1345" t="inlineStr">
        <is>
          <t>02-Jul-2026</t>
        </is>
      </c>
      <c r="B1345" t="inlineStr">
        <is>
          <t>Thursday</t>
        </is>
      </c>
      <c r="C1345" t="inlineStr">
        <is>
          <t>Week1-Jul-2026</t>
        </is>
      </c>
      <c r="D1345" s="78" t="n">
        <v>46204</v>
      </c>
      <c r="E1345" t="inlineStr">
        <is>
          <t>Q2FY27</t>
        </is>
      </c>
      <c r="F1345" t="inlineStr">
        <is>
          <t>27-Aug-2026</t>
        </is>
      </c>
      <c r="G1345" t="inlineStr">
        <is>
          <t>Thursday</t>
        </is>
      </c>
      <c r="H1345" t="inlineStr">
        <is>
          <t>Monthly - Thursday</t>
        </is>
      </c>
      <c r="I1345" t="inlineStr">
        <is>
          <t>Monthly - Thursday</t>
        </is>
      </c>
      <c r="J1345" t="inlineStr">
        <is>
          <t>Month+1 Expiry</t>
        </is>
      </c>
      <c r="K1345" s="25" t="n">
        <v>346</v>
      </c>
      <c r="L1345" s="26" t="n">
        <v>0.5492</v>
      </c>
      <c r="M1345" s="26" t="n">
        <v>0.009299999999999999</v>
      </c>
    </row>
    <row r="1346" ht="16" customHeight="1">
      <c r="A1346" t="inlineStr">
        <is>
          <t>03-Jul-2026</t>
        </is>
      </c>
      <c r="B1346" t="inlineStr">
        <is>
          <t>Friday</t>
        </is>
      </c>
      <c r="C1346" t="inlineStr">
        <is>
          <t>Week1-Jul-2026</t>
        </is>
      </c>
      <c r="D1346" s="78" t="n">
        <v>46204</v>
      </c>
      <c r="E1346" t="inlineStr">
        <is>
          <t>Q2FY27</t>
        </is>
      </c>
      <c r="F1346" t="inlineStr">
        <is>
          <t>09-Jul-2026</t>
        </is>
      </c>
      <c r="G1346" t="inlineStr">
        <is>
          <t>Thursday</t>
        </is>
      </c>
      <c r="H1346" t="inlineStr">
        <is>
          <t>Weekly - Thursday</t>
        </is>
      </c>
      <c r="I1346" t="inlineStr">
        <is>
          <t>Weekly - Thursday</t>
        </is>
      </c>
      <c r="J1346" t="inlineStr">
        <is>
          <t>Same Month Expiry</t>
        </is>
      </c>
      <c r="K1346" s="25" t="n">
        <v>16764340</v>
      </c>
      <c r="L1346" s="26" t="n">
        <v>26195.4197</v>
      </c>
      <c r="M1346" s="26" t="n">
        <v>91.3723</v>
      </c>
    </row>
    <row r="1347" ht="16" customHeight="1">
      <c r="A1347" t="inlineStr">
        <is>
          <t>03-Jul-2026</t>
        </is>
      </c>
      <c r="B1347" t="inlineStr">
        <is>
          <t>Friday</t>
        </is>
      </c>
      <c r="C1347" t="inlineStr">
        <is>
          <t>Week1-Jul-2026</t>
        </is>
      </c>
      <c r="D1347" s="78" t="n">
        <v>46204</v>
      </c>
      <c r="E1347" t="inlineStr">
        <is>
          <t>Q2FY27</t>
        </is>
      </c>
      <c r="F1347" t="inlineStr">
        <is>
          <t>16-Jul-2026</t>
        </is>
      </c>
      <c r="G1347" t="inlineStr">
        <is>
          <t>Thursday</t>
        </is>
      </c>
      <c r="H1347" t="inlineStr">
        <is>
          <t>Weekly - Thursday</t>
        </is>
      </c>
      <c r="I1347" t="inlineStr">
        <is>
          <t>Weekly - Thursday</t>
        </is>
      </c>
      <c r="J1347" t="inlineStr">
        <is>
          <t>Same Month Expiry</t>
        </is>
      </c>
      <c r="K1347" s="25" t="n">
        <v>49154</v>
      </c>
      <c r="L1347" s="26" t="n">
        <v>77.1354</v>
      </c>
      <c r="M1347" s="26" t="n">
        <v>0.4498</v>
      </c>
    </row>
    <row r="1348" ht="16" customHeight="1">
      <c r="A1348" t="inlineStr">
        <is>
          <t>03-Jul-2026</t>
        </is>
      </c>
      <c r="B1348" t="inlineStr">
        <is>
          <t>Friday</t>
        </is>
      </c>
      <c r="C1348" t="inlineStr">
        <is>
          <t>Week1-Jul-2026</t>
        </is>
      </c>
      <c r="D1348" s="78" t="n">
        <v>46204</v>
      </c>
      <c r="E1348" t="inlineStr">
        <is>
          <t>Q2FY27</t>
        </is>
      </c>
      <c r="F1348" t="inlineStr">
        <is>
          <t>23-Jul-2026</t>
        </is>
      </c>
      <c r="G1348" t="inlineStr">
        <is>
          <t>Thursday</t>
        </is>
      </c>
      <c r="H1348" t="inlineStr">
        <is>
          <t>Weekly - Thursday</t>
        </is>
      </c>
      <c r="I1348" t="inlineStr">
        <is>
          <t>Weekly - Thursday</t>
        </is>
      </c>
      <c r="J1348" t="inlineStr">
        <is>
          <t>Same Month Expiry</t>
        </is>
      </c>
      <c r="K1348" s="25" t="n">
        <v>1000</v>
      </c>
      <c r="L1348" s="26" t="n">
        <v>1.5796</v>
      </c>
      <c r="M1348" s="26" t="n">
        <v>0.0154</v>
      </c>
    </row>
    <row r="1349" ht="16" customHeight="1">
      <c r="A1349" t="inlineStr">
        <is>
          <t>03-Jul-2026</t>
        </is>
      </c>
      <c r="B1349" t="inlineStr">
        <is>
          <t>Friday</t>
        </is>
      </c>
      <c r="C1349" t="inlineStr">
        <is>
          <t>Week1-Jul-2026</t>
        </is>
      </c>
      <c r="D1349" s="78" t="n">
        <v>46204</v>
      </c>
      <c r="E1349" t="inlineStr">
        <is>
          <t>Q2FY27</t>
        </is>
      </c>
      <c r="F1349" t="inlineStr">
        <is>
          <t>30-Jul-2026</t>
        </is>
      </c>
      <c r="G1349" t="inlineStr">
        <is>
          <t>Thursday</t>
        </is>
      </c>
      <c r="H1349" t="inlineStr">
        <is>
          <t>Monthly - Thursday</t>
        </is>
      </c>
      <c r="I1349" t="inlineStr">
        <is>
          <t>Monthly - Thursday</t>
        </is>
      </c>
      <c r="J1349" t="inlineStr">
        <is>
          <t>Same Month Expiry</t>
        </is>
      </c>
      <c r="K1349" s="25" t="n">
        <v>17540</v>
      </c>
      <c r="L1349" s="26" t="n">
        <v>27.4561</v>
      </c>
      <c r="M1349" s="26" t="n">
        <v>0.2119</v>
      </c>
    </row>
    <row r="1350" ht="16" customHeight="1">
      <c r="A1350" t="inlineStr">
        <is>
          <t>03-Jul-2026</t>
        </is>
      </c>
      <c r="B1350" t="inlineStr">
        <is>
          <t>Friday</t>
        </is>
      </c>
      <c r="C1350" t="inlineStr">
        <is>
          <t>Week1-Jul-2026</t>
        </is>
      </c>
      <c r="D1350" s="78" t="n">
        <v>46204</v>
      </c>
      <c r="E1350" t="inlineStr">
        <is>
          <t>Q2FY27</t>
        </is>
      </c>
      <c r="F1350" t="inlineStr">
        <is>
          <t>27-Aug-2026</t>
        </is>
      </c>
      <c r="G1350" t="inlineStr">
        <is>
          <t>Thursday</t>
        </is>
      </c>
      <c r="H1350" t="inlineStr">
        <is>
          <t>Monthly - Thursday</t>
        </is>
      </c>
      <c r="I1350" t="inlineStr">
        <is>
          <t>Monthly - Thursday</t>
        </is>
      </c>
      <c r="J1350" t="inlineStr">
        <is>
          <t>Month+1 Expiry</t>
        </is>
      </c>
      <c r="K1350" s="25" t="n">
        <v>740</v>
      </c>
      <c r="L1350" s="26" t="n">
        <v>1.186</v>
      </c>
      <c r="M1350" s="26" t="n">
        <v>0.0217</v>
      </c>
    </row>
    <row r="1351" ht="16" customHeight="1">
      <c r="A1351" t="inlineStr">
        <is>
          <t>06-Jul-2026</t>
        </is>
      </c>
      <c r="B1351" t="inlineStr">
        <is>
          <t>Monday</t>
        </is>
      </c>
      <c r="C1351" t="inlineStr">
        <is>
          <t>Week1-Jul-2026</t>
        </is>
      </c>
      <c r="D1351" s="78" t="n">
        <v>46204</v>
      </c>
      <c r="E1351" t="inlineStr">
        <is>
          <t>Q2FY27</t>
        </is>
      </c>
      <c r="F1351" t="inlineStr">
        <is>
          <t>09-Jul-2026</t>
        </is>
      </c>
      <c r="G1351" t="inlineStr">
        <is>
          <t>Thursday</t>
        </is>
      </c>
      <c r="H1351" t="inlineStr">
        <is>
          <t>Weekly - Thursday</t>
        </is>
      </c>
      <c r="I1351" t="inlineStr">
        <is>
          <t>Weekly - Thursday</t>
        </is>
      </c>
      <c r="J1351" t="inlineStr">
        <is>
          <t>Same Month Expiry</t>
        </is>
      </c>
      <c r="K1351" s="25" t="n">
        <v>20047833</v>
      </c>
      <c r="L1351" s="26" t="n">
        <v>31375.9528</v>
      </c>
      <c r="M1351" s="26" t="n">
        <v>86.1592</v>
      </c>
    </row>
    <row r="1352" ht="16" customHeight="1">
      <c r="A1352" t="inlineStr">
        <is>
          <t>06-Jul-2026</t>
        </is>
      </c>
      <c r="B1352" t="inlineStr">
        <is>
          <t>Monday</t>
        </is>
      </c>
      <c r="C1352" t="inlineStr">
        <is>
          <t>Week1-Jul-2026</t>
        </is>
      </c>
      <c r="D1352" s="78" t="n">
        <v>46204</v>
      </c>
      <c r="E1352" t="inlineStr">
        <is>
          <t>Q2FY27</t>
        </is>
      </c>
      <c r="F1352" t="inlineStr">
        <is>
          <t>16-Jul-2026</t>
        </is>
      </c>
      <c r="G1352" t="inlineStr">
        <is>
          <t>Thursday</t>
        </is>
      </c>
      <c r="H1352" t="inlineStr">
        <is>
          <t>Weekly - Thursday</t>
        </is>
      </c>
      <c r="I1352" t="inlineStr">
        <is>
          <t>Weekly - Thursday</t>
        </is>
      </c>
      <c r="J1352" t="inlineStr">
        <is>
          <t>Same Month Expiry</t>
        </is>
      </c>
      <c r="K1352" s="25" t="n">
        <v>98823</v>
      </c>
      <c r="L1352" s="26" t="n">
        <v>155.0826</v>
      </c>
      <c r="M1352" s="26" t="n">
        <v>0.7318</v>
      </c>
    </row>
    <row r="1353" ht="16" customHeight="1">
      <c r="A1353" t="inlineStr">
        <is>
          <t>06-Jul-2026</t>
        </is>
      </c>
      <c r="B1353" t="inlineStr">
        <is>
          <t>Monday</t>
        </is>
      </c>
      <c r="C1353" t="inlineStr">
        <is>
          <t>Week1-Jul-2026</t>
        </is>
      </c>
      <c r="D1353" s="78" t="n">
        <v>46204</v>
      </c>
      <c r="E1353" t="inlineStr">
        <is>
          <t>Q2FY27</t>
        </is>
      </c>
      <c r="F1353" t="inlineStr">
        <is>
          <t>23-Jul-2026</t>
        </is>
      </c>
      <c r="G1353" t="inlineStr">
        <is>
          <t>Thursday</t>
        </is>
      </c>
      <c r="H1353" t="inlineStr">
        <is>
          <t>Weekly - Thursday</t>
        </is>
      </c>
      <c r="I1353" t="inlineStr">
        <is>
          <t>Weekly - Thursday</t>
        </is>
      </c>
      <c r="J1353" t="inlineStr">
        <is>
          <t>Same Month Expiry</t>
        </is>
      </c>
      <c r="K1353" s="25" t="n">
        <v>819</v>
      </c>
      <c r="L1353" s="26" t="n">
        <v>1.2963</v>
      </c>
      <c r="M1353" s="26" t="n">
        <v>0.0117</v>
      </c>
    </row>
    <row r="1354" ht="16" customHeight="1">
      <c r="A1354" t="inlineStr">
        <is>
          <t>06-Jul-2026</t>
        </is>
      </c>
      <c r="B1354" t="inlineStr">
        <is>
          <t>Monday</t>
        </is>
      </c>
      <c r="C1354" t="inlineStr">
        <is>
          <t>Week1-Jul-2026</t>
        </is>
      </c>
      <c r="D1354" s="78" t="n">
        <v>46204</v>
      </c>
      <c r="E1354" t="inlineStr">
        <is>
          <t>Q2FY27</t>
        </is>
      </c>
      <c r="F1354" t="inlineStr">
        <is>
          <t>30-Jul-2026</t>
        </is>
      </c>
      <c r="G1354" t="inlineStr">
        <is>
          <t>Thursday</t>
        </is>
      </c>
      <c r="H1354" t="inlineStr">
        <is>
          <t>Monthly - Thursday</t>
        </is>
      </c>
      <c r="I1354" t="inlineStr">
        <is>
          <t>Monthly - Thursday</t>
        </is>
      </c>
      <c r="J1354" t="inlineStr">
        <is>
          <t>Same Month Expiry</t>
        </is>
      </c>
      <c r="K1354" s="25" t="n">
        <v>13616</v>
      </c>
      <c r="L1354" s="26" t="n">
        <v>21.392</v>
      </c>
      <c r="M1354" s="26" t="n">
        <v>0.1358</v>
      </c>
    </row>
    <row r="1355" ht="16" customHeight="1">
      <c r="A1355" t="inlineStr">
        <is>
          <t>06-Jul-2026</t>
        </is>
      </c>
      <c r="B1355" t="inlineStr">
        <is>
          <t>Monday</t>
        </is>
      </c>
      <c r="C1355" t="inlineStr">
        <is>
          <t>Week1-Jul-2026</t>
        </is>
      </c>
      <c r="D1355" s="78" t="n">
        <v>46204</v>
      </c>
      <c r="E1355" t="inlineStr">
        <is>
          <t>Q2FY27</t>
        </is>
      </c>
      <c r="F1355" t="inlineStr">
        <is>
          <t>06-Aug-2026</t>
        </is>
      </c>
      <c r="G1355" t="inlineStr">
        <is>
          <t>Thursday</t>
        </is>
      </c>
      <c r="H1355" t="inlineStr">
        <is>
          <t>Weekly - Thursday</t>
        </is>
      </c>
      <c r="I1355" t="inlineStr">
        <is>
          <t>Weekly - Thursday</t>
        </is>
      </c>
      <c r="J1355" t="inlineStr">
        <is>
          <t>Month+1 Expiry</t>
        </is>
      </c>
      <c r="K1355" s="25" t="n">
        <v>1</v>
      </c>
      <c r="L1355" s="26" t="n">
        <v>0.0016</v>
      </c>
      <c r="M1355" s="26" t="n">
        <v>0</v>
      </c>
    </row>
    <row r="1356" ht="16" customHeight="1">
      <c r="A1356" t="inlineStr">
        <is>
          <t>06-Jul-2026</t>
        </is>
      </c>
      <c r="B1356" t="inlineStr">
        <is>
          <t>Monday</t>
        </is>
      </c>
      <c r="C1356" t="inlineStr">
        <is>
          <t>Week1-Jul-2026</t>
        </is>
      </c>
      <c r="D1356" s="78" t="n">
        <v>46204</v>
      </c>
      <c r="E1356" t="inlineStr">
        <is>
          <t>Q2FY27</t>
        </is>
      </c>
      <c r="F1356" t="inlineStr">
        <is>
          <t>27-Aug-2026</t>
        </is>
      </c>
      <c r="G1356" t="inlineStr">
        <is>
          <t>Thursday</t>
        </is>
      </c>
      <c r="H1356" t="inlineStr">
        <is>
          <t>Monthly - Thursday</t>
        </is>
      </c>
      <c r="I1356" t="inlineStr">
        <is>
          <t>Monthly - Thursday</t>
        </is>
      </c>
      <c r="J1356" t="inlineStr">
        <is>
          <t>Month+1 Expiry</t>
        </is>
      </c>
      <c r="K1356" s="25" t="n">
        <v>220</v>
      </c>
      <c r="L1356" s="26" t="n">
        <v>0.3522</v>
      </c>
      <c r="M1356" s="26" t="n">
        <v>0.0052</v>
      </c>
    </row>
    <row r="1357" ht="16" customHeight="1">
      <c r="A1357" t="inlineStr">
        <is>
          <t>07-Jul-2026</t>
        </is>
      </c>
      <c r="B1357" t="inlineStr">
        <is>
          <t>Tuesday</t>
        </is>
      </c>
      <c r="C1357" t="inlineStr">
        <is>
          <t>Week1-Jul-2026</t>
        </is>
      </c>
      <c r="D1357" s="78" t="n">
        <v>46204</v>
      </c>
      <c r="E1357" t="inlineStr">
        <is>
          <t>Q2FY27</t>
        </is>
      </c>
      <c r="F1357" t="inlineStr">
        <is>
          <t>09-Jul-2026</t>
        </is>
      </c>
      <c r="G1357" t="inlineStr">
        <is>
          <t>Thursday</t>
        </is>
      </c>
      <c r="H1357" t="inlineStr">
        <is>
          <t>Weekly - Thursday</t>
        </is>
      </c>
      <c r="I1357" t="inlineStr">
        <is>
          <t>Weekly - Thursday</t>
        </is>
      </c>
      <c r="J1357" t="inlineStr">
        <is>
          <t>Same Month Expiry</t>
        </is>
      </c>
      <c r="K1357" s="25" t="n">
        <v>29473822</v>
      </c>
      <c r="L1357" s="26" t="n">
        <v>46237.1496</v>
      </c>
      <c r="M1357" s="26" t="n">
        <v>99.5778</v>
      </c>
    </row>
    <row r="1358" ht="16" customHeight="1">
      <c r="A1358" t="inlineStr">
        <is>
          <t>07-Jul-2026</t>
        </is>
      </c>
      <c r="B1358" t="inlineStr">
        <is>
          <t>Tuesday</t>
        </is>
      </c>
      <c r="C1358" t="inlineStr">
        <is>
          <t>Week1-Jul-2026</t>
        </is>
      </c>
      <c r="D1358" s="78" t="n">
        <v>46204</v>
      </c>
      <c r="E1358" t="inlineStr">
        <is>
          <t>Q2FY27</t>
        </is>
      </c>
      <c r="F1358" t="inlineStr">
        <is>
          <t>16-Jul-2026</t>
        </is>
      </c>
      <c r="G1358" t="inlineStr">
        <is>
          <t>Thursday</t>
        </is>
      </c>
      <c r="H1358" t="inlineStr">
        <is>
          <t>Weekly - Thursday</t>
        </is>
      </c>
      <c r="I1358" t="inlineStr">
        <is>
          <t>Weekly - Thursday</t>
        </is>
      </c>
      <c r="J1358" t="inlineStr">
        <is>
          <t>Same Month Expiry</t>
        </is>
      </c>
      <c r="K1358" s="25" t="n">
        <v>266466</v>
      </c>
      <c r="L1358" s="26" t="n">
        <v>418.5606</v>
      </c>
      <c r="M1358" s="26" t="n">
        <v>1.7591</v>
      </c>
    </row>
    <row r="1359" ht="16" customHeight="1">
      <c r="A1359" t="inlineStr">
        <is>
          <t>07-Jul-2026</t>
        </is>
      </c>
      <c r="B1359" t="inlineStr">
        <is>
          <t>Tuesday</t>
        </is>
      </c>
      <c r="C1359" t="inlineStr">
        <is>
          <t>Week1-Jul-2026</t>
        </is>
      </c>
      <c r="D1359" s="78" t="n">
        <v>46204</v>
      </c>
      <c r="E1359" t="inlineStr">
        <is>
          <t>Q2FY27</t>
        </is>
      </c>
      <c r="F1359" t="inlineStr">
        <is>
          <t>23-Jul-2026</t>
        </is>
      </c>
      <c r="G1359" t="inlineStr">
        <is>
          <t>Thursday</t>
        </is>
      </c>
      <c r="H1359" t="inlineStr">
        <is>
          <t>Weekly - Thursday</t>
        </is>
      </c>
      <c r="I1359" t="inlineStr">
        <is>
          <t>Weekly - Thursday</t>
        </is>
      </c>
      <c r="J1359" t="inlineStr">
        <is>
          <t>Same Month Expiry</t>
        </is>
      </c>
      <c r="K1359" s="25" t="n">
        <v>2466</v>
      </c>
      <c r="L1359" s="26" t="n">
        <v>3.8954</v>
      </c>
      <c r="M1359" s="26" t="n">
        <v>0.0297</v>
      </c>
    </row>
    <row r="1360" ht="16" customHeight="1">
      <c r="A1360" t="inlineStr">
        <is>
          <t>07-Jul-2026</t>
        </is>
      </c>
      <c r="B1360" t="inlineStr">
        <is>
          <t>Tuesday</t>
        </is>
      </c>
      <c r="C1360" t="inlineStr">
        <is>
          <t>Week1-Jul-2026</t>
        </is>
      </c>
      <c r="D1360" s="78" t="n">
        <v>46204</v>
      </c>
      <c r="E1360" t="inlineStr">
        <is>
          <t>Q2FY27</t>
        </is>
      </c>
      <c r="F1360" t="inlineStr">
        <is>
          <t>30-Jul-2026</t>
        </is>
      </c>
      <c r="G1360" t="inlineStr">
        <is>
          <t>Thursday</t>
        </is>
      </c>
      <c r="H1360" t="inlineStr">
        <is>
          <t>Monthly - Thursday</t>
        </is>
      </c>
      <c r="I1360" t="inlineStr">
        <is>
          <t>Monthly - Thursday</t>
        </is>
      </c>
      <c r="J1360" t="inlineStr">
        <is>
          <t>Same Month Expiry</t>
        </is>
      </c>
      <c r="K1360" s="25" t="n">
        <v>15846</v>
      </c>
      <c r="L1360" s="26" t="n">
        <v>24.9712</v>
      </c>
      <c r="M1360" s="26" t="n">
        <v>0.1651</v>
      </c>
    </row>
    <row r="1361" ht="16" customHeight="1">
      <c r="A1361" t="inlineStr">
        <is>
          <t>07-Jul-2026</t>
        </is>
      </c>
      <c r="B1361" t="inlineStr">
        <is>
          <t>Tuesday</t>
        </is>
      </c>
      <c r="C1361" t="inlineStr">
        <is>
          <t>Week1-Jul-2026</t>
        </is>
      </c>
      <c r="D1361" s="78" t="n">
        <v>46204</v>
      </c>
      <c r="E1361" t="inlineStr">
        <is>
          <t>Q2FY27</t>
        </is>
      </c>
      <c r="F1361" t="inlineStr">
        <is>
          <t>06-Aug-2026</t>
        </is>
      </c>
      <c r="G1361" t="inlineStr">
        <is>
          <t>Thursday</t>
        </is>
      </c>
      <c r="H1361" t="inlineStr">
        <is>
          <t>Weekly - Thursday</t>
        </is>
      </c>
      <c r="I1361" t="inlineStr">
        <is>
          <t>Weekly - Thursday</t>
        </is>
      </c>
      <c r="J1361" t="inlineStr">
        <is>
          <t>Month+1 Expiry</t>
        </is>
      </c>
      <c r="K1361" s="25" t="n">
        <v>0</v>
      </c>
      <c r="L1361" s="26" t="n">
        <v>0</v>
      </c>
      <c r="M1361" s="26" t="n">
        <v>0</v>
      </c>
    </row>
    <row r="1362" ht="16" customHeight="1">
      <c r="A1362" t="inlineStr">
        <is>
          <t>07-Jul-2026</t>
        </is>
      </c>
      <c r="B1362" t="inlineStr">
        <is>
          <t>Tuesday</t>
        </is>
      </c>
      <c r="C1362" t="inlineStr">
        <is>
          <t>Week1-Jul-2026</t>
        </is>
      </c>
      <c r="D1362" s="78" t="n">
        <v>46204</v>
      </c>
      <c r="E1362" t="inlineStr">
        <is>
          <t>Q2FY27</t>
        </is>
      </c>
      <c r="F1362" t="inlineStr">
        <is>
          <t>27-Aug-2026</t>
        </is>
      </c>
      <c r="G1362" t="inlineStr">
        <is>
          <t>Thursday</t>
        </is>
      </c>
      <c r="H1362" t="inlineStr">
        <is>
          <t>Monthly - Thursday</t>
        </is>
      </c>
      <c r="I1362" t="inlineStr">
        <is>
          <t>Monthly - Thursday</t>
        </is>
      </c>
      <c r="J1362" t="inlineStr">
        <is>
          <t>Month+1 Expiry</t>
        </is>
      </c>
      <c r="K1362" s="25" t="n">
        <v>184</v>
      </c>
      <c r="L1362" s="26" t="n">
        <v>0.295</v>
      </c>
      <c r="M1362" s="26" t="n">
        <v>0.0046</v>
      </c>
    </row>
    <row r="1363" ht="16" customHeight="1">
      <c r="A1363" t="inlineStr">
        <is>
          <t>08-Jul-2026</t>
        </is>
      </c>
      <c r="B1363" t="inlineStr">
        <is>
          <t>Wednesday</t>
        </is>
      </c>
      <c r="C1363" t="inlineStr">
        <is>
          <t>Week2-Jul-2026</t>
        </is>
      </c>
      <c r="D1363" s="78" t="n">
        <v>46204</v>
      </c>
      <c r="E1363" t="inlineStr">
        <is>
          <t>Q2FY27</t>
        </is>
      </c>
      <c r="F1363" t="inlineStr">
        <is>
          <t>09-Jul-2026</t>
        </is>
      </c>
      <c r="G1363" t="inlineStr">
        <is>
          <t>Thursday</t>
        </is>
      </c>
      <c r="H1363" t="inlineStr">
        <is>
          <t>Weekly - Thursday</t>
        </is>
      </c>
      <c r="I1363" t="inlineStr">
        <is>
          <t>Weekly - Thursday</t>
        </is>
      </c>
      <c r="J1363" t="inlineStr">
        <is>
          <t>Same Month Expiry</t>
        </is>
      </c>
      <c r="K1363" s="25" t="n">
        <v>171595314</v>
      </c>
      <c r="L1363" s="26" t="n">
        <v>265385.3451</v>
      </c>
      <c r="M1363" s="26" t="n">
        <v>492.0673</v>
      </c>
    </row>
    <row r="1364" ht="16" customHeight="1">
      <c r="A1364" t="inlineStr">
        <is>
          <t>08-Jul-2026</t>
        </is>
      </c>
      <c r="B1364" t="inlineStr">
        <is>
          <t>Wednesday</t>
        </is>
      </c>
      <c r="C1364" t="inlineStr">
        <is>
          <t>Week2-Jul-2026</t>
        </is>
      </c>
      <c r="D1364" s="78" t="n">
        <v>46204</v>
      </c>
      <c r="E1364" t="inlineStr">
        <is>
          <t>Q2FY27</t>
        </is>
      </c>
      <c r="F1364" t="inlineStr">
        <is>
          <t>16-Jul-2026</t>
        </is>
      </c>
      <c r="G1364" t="inlineStr">
        <is>
          <t>Thursday</t>
        </is>
      </c>
      <c r="H1364" t="inlineStr">
        <is>
          <t>Weekly - Thursday</t>
        </is>
      </c>
      <c r="I1364" t="inlineStr">
        <is>
          <t>Weekly - Thursday</t>
        </is>
      </c>
      <c r="J1364" t="inlineStr">
        <is>
          <t>Same Month Expiry</t>
        </is>
      </c>
      <c r="K1364" s="25" t="n">
        <v>1020423</v>
      </c>
      <c r="L1364" s="26" t="n">
        <v>1579.5612</v>
      </c>
      <c r="M1364" s="26" t="n">
        <v>6.5676</v>
      </c>
    </row>
    <row r="1365" ht="16" customHeight="1">
      <c r="A1365" t="inlineStr">
        <is>
          <t>08-Jul-2026</t>
        </is>
      </c>
      <c r="B1365" t="inlineStr">
        <is>
          <t>Wednesday</t>
        </is>
      </c>
      <c r="C1365" t="inlineStr">
        <is>
          <t>Week2-Jul-2026</t>
        </is>
      </c>
      <c r="D1365" s="78" t="n">
        <v>46204</v>
      </c>
      <c r="E1365" t="inlineStr">
        <is>
          <t>Q2FY27</t>
        </is>
      </c>
      <c r="F1365" t="inlineStr">
        <is>
          <t>23-Jul-2026</t>
        </is>
      </c>
      <c r="G1365" t="inlineStr">
        <is>
          <t>Thursday</t>
        </is>
      </c>
      <c r="H1365" t="inlineStr">
        <is>
          <t>Weekly - Thursday</t>
        </is>
      </c>
      <c r="I1365" t="inlineStr">
        <is>
          <t>Weekly - Thursday</t>
        </is>
      </c>
      <c r="J1365" t="inlineStr">
        <is>
          <t>Same Month Expiry</t>
        </is>
      </c>
      <c r="K1365" s="25" t="n">
        <v>7474</v>
      </c>
      <c r="L1365" s="26" t="n">
        <v>11.6883</v>
      </c>
      <c r="M1365" s="26" t="n">
        <v>0.0989</v>
      </c>
    </row>
    <row r="1366" ht="16" customHeight="1">
      <c r="A1366" t="inlineStr">
        <is>
          <t>08-Jul-2026</t>
        </is>
      </c>
      <c r="B1366" t="inlineStr">
        <is>
          <t>Wednesday</t>
        </is>
      </c>
      <c r="C1366" t="inlineStr">
        <is>
          <t>Week2-Jul-2026</t>
        </is>
      </c>
      <c r="D1366" s="78" t="n">
        <v>46204</v>
      </c>
      <c r="E1366" t="inlineStr">
        <is>
          <t>Q2FY27</t>
        </is>
      </c>
      <c r="F1366" t="inlineStr">
        <is>
          <t>30-Jul-2026</t>
        </is>
      </c>
      <c r="G1366" t="inlineStr">
        <is>
          <t>Thursday</t>
        </is>
      </c>
      <c r="H1366" t="inlineStr">
        <is>
          <t>Monthly - Thursday</t>
        </is>
      </c>
      <c r="I1366" t="inlineStr">
        <is>
          <t>Monthly - Thursday</t>
        </is>
      </c>
      <c r="J1366" t="inlineStr">
        <is>
          <t>Same Month Expiry</t>
        </is>
      </c>
      <c r="K1366" s="25" t="n">
        <v>47241</v>
      </c>
      <c r="L1366" s="26" t="n">
        <v>73.4802</v>
      </c>
      <c r="M1366" s="26" t="n">
        <v>0.5374</v>
      </c>
    </row>
    <row r="1367" ht="16" customHeight="1">
      <c r="A1367" t="inlineStr">
        <is>
          <t>08-Jul-2026</t>
        </is>
      </c>
      <c r="B1367" t="inlineStr">
        <is>
          <t>Wednesday</t>
        </is>
      </c>
      <c r="C1367" t="inlineStr">
        <is>
          <t>Week2-Jul-2026</t>
        </is>
      </c>
      <c r="D1367" s="78" t="n">
        <v>46204</v>
      </c>
      <c r="E1367" t="inlineStr">
        <is>
          <t>Q2FY27</t>
        </is>
      </c>
      <c r="F1367" t="inlineStr">
        <is>
          <t>06-Aug-2026</t>
        </is>
      </c>
      <c r="G1367" t="inlineStr">
        <is>
          <t>Thursday</t>
        </is>
      </c>
      <c r="H1367" t="inlineStr">
        <is>
          <t>Weekly - Thursday</t>
        </is>
      </c>
      <c r="I1367" t="inlineStr">
        <is>
          <t>Weekly - Thursday</t>
        </is>
      </c>
      <c r="J1367" t="inlineStr">
        <is>
          <t>Month+1 Expiry</t>
        </is>
      </c>
      <c r="K1367" s="25" t="n">
        <v>2</v>
      </c>
      <c r="L1367" s="26" t="n">
        <v>0.0032</v>
      </c>
      <c r="M1367" s="26" t="n">
        <v>0</v>
      </c>
    </row>
    <row r="1368" ht="16" customHeight="1">
      <c r="A1368" t="inlineStr">
        <is>
          <t>08-Jul-2026</t>
        </is>
      </c>
      <c r="B1368" t="inlineStr">
        <is>
          <t>Wednesday</t>
        </is>
      </c>
      <c r="C1368" t="inlineStr">
        <is>
          <t>Week2-Jul-2026</t>
        </is>
      </c>
      <c r="D1368" s="78" t="n">
        <v>46204</v>
      </c>
      <c r="E1368" t="inlineStr">
        <is>
          <t>Q2FY27</t>
        </is>
      </c>
      <c r="F1368" t="inlineStr">
        <is>
          <t>27-Aug-2026</t>
        </is>
      </c>
      <c r="G1368" t="inlineStr">
        <is>
          <t>Thursday</t>
        </is>
      </c>
      <c r="H1368" t="inlineStr">
        <is>
          <t>Monthly - Thursday</t>
        </is>
      </c>
      <c r="I1368" t="inlineStr">
        <is>
          <t>Monthly - Thursday</t>
        </is>
      </c>
      <c r="J1368" t="inlineStr">
        <is>
          <t>Month+1 Expiry</t>
        </is>
      </c>
      <c r="K1368" s="25" t="n">
        <v>484</v>
      </c>
      <c r="L1368" s="26" t="n">
        <v>0.7659</v>
      </c>
      <c r="M1368" s="26" t="n">
        <v>0.013</v>
      </c>
    </row>
    <row r="1369">
      <c r="A1369" t="inlineStr">
        <is>
          <t>09-Jul-2026</t>
        </is>
      </c>
      <c r="B1369" t="inlineStr">
        <is>
          <t>Thursday</t>
        </is>
      </c>
      <c r="C1369" t="inlineStr">
        <is>
          <t>Week2-Jul-2026</t>
        </is>
      </c>
      <c r="D1369" s="78" t="n">
        <v>46204</v>
      </c>
      <c r="E1369" t="inlineStr">
        <is>
          <t>Q2FY27</t>
        </is>
      </c>
      <c r="F1369" t="inlineStr">
        <is>
          <t>09-Jul-2026</t>
        </is>
      </c>
      <c r="G1369" t="inlineStr">
        <is>
          <t>Thursday</t>
        </is>
      </c>
      <c r="H1369" t="inlineStr">
        <is>
          <t>Weekly - Thursday</t>
        </is>
      </c>
      <c r="I1369" t="inlineStr">
        <is>
          <t>Weekly - Thursday</t>
        </is>
      </c>
      <c r="J1369" t="inlineStr">
        <is>
          <t>Same Month Expiry</t>
        </is>
      </c>
      <c r="K1369" s="25" t="n">
        <v>577464736</v>
      </c>
      <c r="L1369" s="26" t="n">
        <v>888816.6059</v>
      </c>
      <c r="M1369" s="26" t="n">
        <v>661.5729</v>
      </c>
    </row>
    <row r="1370">
      <c r="A1370" t="inlineStr">
        <is>
          <t>09-Jul-2026</t>
        </is>
      </c>
      <c r="B1370" t="inlineStr">
        <is>
          <t>Thursday</t>
        </is>
      </c>
      <c r="C1370" t="inlineStr">
        <is>
          <t>Week2-Jul-2026</t>
        </is>
      </c>
      <c r="D1370" s="78" t="n">
        <v>46204</v>
      </c>
      <c r="E1370" t="inlineStr">
        <is>
          <t>Q2FY27</t>
        </is>
      </c>
      <c r="F1370" t="inlineStr">
        <is>
          <t>16-Jul-2026</t>
        </is>
      </c>
      <c r="G1370" t="inlineStr">
        <is>
          <t>Thursday</t>
        </is>
      </c>
      <c r="H1370" t="inlineStr">
        <is>
          <t>Weekly - Thursday</t>
        </is>
      </c>
      <c r="I1370" t="inlineStr">
        <is>
          <t>Weekly - Thursday</t>
        </is>
      </c>
      <c r="J1370" t="inlineStr">
        <is>
          <t>Same Month Expiry</t>
        </is>
      </c>
      <c r="K1370" s="25" t="n">
        <v>2390039</v>
      </c>
      <c r="L1370" s="26" t="n">
        <v>3692.8339</v>
      </c>
      <c r="M1370" s="26" t="n">
        <v>15.3922</v>
      </c>
    </row>
    <row r="1371">
      <c r="A1371" t="inlineStr">
        <is>
          <t>09-Jul-2026</t>
        </is>
      </c>
      <c r="B1371" t="inlineStr">
        <is>
          <t>Thursday</t>
        </is>
      </c>
      <c r="C1371" t="inlineStr">
        <is>
          <t>Week2-Jul-2026</t>
        </is>
      </c>
      <c r="D1371" s="78" t="n">
        <v>46204</v>
      </c>
      <c r="E1371" t="inlineStr">
        <is>
          <t>Q2FY27</t>
        </is>
      </c>
      <c r="F1371" t="inlineStr">
        <is>
          <t>23-Jul-2026</t>
        </is>
      </c>
      <c r="G1371" t="inlineStr">
        <is>
          <t>Thursday</t>
        </is>
      </c>
      <c r="H1371" t="inlineStr">
        <is>
          <t>Weekly - Thursday</t>
        </is>
      </c>
      <c r="I1371" t="inlineStr">
        <is>
          <t>Weekly - Thursday</t>
        </is>
      </c>
      <c r="J1371" t="inlineStr">
        <is>
          <t>Same Month Expiry</t>
        </is>
      </c>
      <c r="K1371" s="25" t="n">
        <v>10273</v>
      </c>
      <c r="L1371" s="26" t="n">
        <v>16.0049</v>
      </c>
      <c r="M1371" s="26" t="n">
        <v>0.1213</v>
      </c>
    </row>
    <row r="1372">
      <c r="A1372" t="inlineStr">
        <is>
          <t>09-Jul-2026</t>
        </is>
      </c>
      <c r="B1372" t="inlineStr">
        <is>
          <t>Thursday</t>
        </is>
      </c>
      <c r="C1372" t="inlineStr">
        <is>
          <t>Week2-Jul-2026</t>
        </is>
      </c>
      <c r="D1372" s="78" t="n">
        <v>46204</v>
      </c>
      <c r="E1372" t="inlineStr">
        <is>
          <t>Q2FY27</t>
        </is>
      </c>
      <c r="F1372" t="inlineStr">
        <is>
          <t>30-Jul-2026</t>
        </is>
      </c>
      <c r="G1372" t="inlineStr">
        <is>
          <t>Thursday</t>
        </is>
      </c>
      <c r="H1372" t="inlineStr">
        <is>
          <t>Monthly - Thursday</t>
        </is>
      </c>
      <c r="I1372" t="inlineStr">
        <is>
          <t>Monthly - Thursday</t>
        </is>
      </c>
      <c r="J1372" t="inlineStr">
        <is>
          <t>Same Month Expiry</t>
        </is>
      </c>
      <c r="K1372" s="25" t="n">
        <v>27909</v>
      </c>
      <c r="L1372" s="26" t="n">
        <v>43.5941</v>
      </c>
      <c r="M1372" s="26" t="n">
        <v>0.3276</v>
      </c>
    </row>
    <row r="1373">
      <c r="A1373" t="inlineStr">
        <is>
          <t>09-Jul-2026</t>
        </is>
      </c>
      <c r="B1373" t="inlineStr">
        <is>
          <t>Thursday</t>
        </is>
      </c>
      <c r="C1373" t="inlineStr">
        <is>
          <t>Week2-Jul-2026</t>
        </is>
      </c>
      <c r="D1373" s="78" t="n">
        <v>46204</v>
      </c>
      <c r="E1373" t="inlineStr">
        <is>
          <t>Q2FY27</t>
        </is>
      </c>
      <c r="F1373" t="inlineStr">
        <is>
          <t>06-Aug-2026</t>
        </is>
      </c>
      <c r="G1373" t="inlineStr">
        <is>
          <t>Thursday</t>
        </is>
      </c>
      <c r="H1373" t="inlineStr">
        <is>
          <t>Weekly - Thursday</t>
        </is>
      </c>
      <c r="I1373" t="inlineStr">
        <is>
          <t>Weekly - Thursday</t>
        </is>
      </c>
      <c r="J1373" t="inlineStr">
        <is>
          <t>Month+1 Expiry</t>
        </is>
      </c>
      <c r="K1373" s="25" t="n">
        <v>3</v>
      </c>
      <c r="L1373" s="26" t="n">
        <v>0.0048</v>
      </c>
      <c r="M1373" s="26" t="n">
        <v>0</v>
      </c>
    </row>
    <row r="1374">
      <c r="A1374" t="inlineStr">
        <is>
          <t>09-Jul-2026</t>
        </is>
      </c>
      <c r="B1374" t="inlineStr">
        <is>
          <t>Thursday</t>
        </is>
      </c>
      <c r="C1374" t="inlineStr">
        <is>
          <t>Week2-Jul-2026</t>
        </is>
      </c>
      <c r="D1374" s="78" t="n">
        <v>46204</v>
      </c>
      <c r="E1374" t="inlineStr">
        <is>
          <t>Q2FY27</t>
        </is>
      </c>
      <c r="F1374" t="inlineStr">
        <is>
          <t>27-Aug-2026</t>
        </is>
      </c>
      <c r="G1374" t="inlineStr">
        <is>
          <t>Thursday</t>
        </is>
      </c>
      <c r="H1374" t="inlineStr">
        <is>
          <t>Monthly - Thursday</t>
        </is>
      </c>
      <c r="I1374" t="inlineStr">
        <is>
          <t>Monthly - Thursday</t>
        </is>
      </c>
      <c r="J1374" t="inlineStr">
        <is>
          <t>Month+1 Expiry</t>
        </is>
      </c>
      <c r="K1374" s="25" t="n">
        <v>678</v>
      </c>
      <c r="L1374" s="26" t="n">
        <v>1.0701</v>
      </c>
      <c r="M1374" s="26" t="n">
        <v>0.0188</v>
      </c>
    </row>
    <row r="1375">
      <c r="A1375" t="inlineStr">
        <is>
          <t>10-Jul-2026</t>
        </is>
      </c>
      <c r="B1375" t="inlineStr">
        <is>
          <t>Friday</t>
        </is>
      </c>
      <c r="C1375" t="inlineStr">
        <is>
          <t>Week2-Jul-2026</t>
        </is>
      </c>
      <c r="D1375" s="78" t="n">
        <v>46204</v>
      </c>
      <c r="E1375" t="inlineStr">
        <is>
          <t>Q2FY27</t>
        </is>
      </c>
      <c r="F1375" t="inlineStr">
        <is>
          <t>16-Jul-2026</t>
        </is>
      </c>
      <c r="G1375" t="inlineStr">
        <is>
          <t>Thursday</t>
        </is>
      </c>
      <c r="H1375" t="inlineStr">
        <is>
          <t>Weekly - Thursday</t>
        </is>
      </c>
      <c r="I1375" t="inlineStr">
        <is>
          <t>Weekly - Thursday</t>
        </is>
      </c>
      <c r="J1375" t="inlineStr">
        <is>
          <t>Same Month Expiry</t>
        </is>
      </c>
      <c r="K1375" s="25" t="n">
        <v>17023392</v>
      </c>
      <c r="L1375" s="26" t="n">
        <v>26426.2769</v>
      </c>
      <c r="M1375" s="26" t="n">
        <v>95.36839999999999</v>
      </c>
    </row>
    <row r="1376">
      <c r="A1376" t="inlineStr">
        <is>
          <t>10-Jul-2026</t>
        </is>
      </c>
      <c r="B1376" t="inlineStr">
        <is>
          <t>Friday</t>
        </is>
      </c>
      <c r="C1376" t="inlineStr">
        <is>
          <t>Week2-Jul-2026</t>
        </is>
      </c>
      <c r="D1376" s="78" t="n">
        <v>46204</v>
      </c>
      <c r="E1376" t="inlineStr">
        <is>
          <t>Q2FY27</t>
        </is>
      </c>
      <c r="F1376" t="inlineStr">
        <is>
          <t>23-Jul-2026</t>
        </is>
      </c>
      <c r="G1376" t="inlineStr">
        <is>
          <t>Thursday</t>
        </is>
      </c>
      <c r="H1376" t="inlineStr">
        <is>
          <t>Weekly - Thursday</t>
        </is>
      </c>
      <c r="I1376" t="inlineStr">
        <is>
          <t>Weekly - Thursday</t>
        </is>
      </c>
      <c r="J1376" t="inlineStr">
        <is>
          <t>Same Month Expiry</t>
        </is>
      </c>
      <c r="K1376" s="25" t="n">
        <v>45164</v>
      </c>
      <c r="L1376" s="26" t="n">
        <v>70.5121</v>
      </c>
      <c r="M1376" s="26" t="n">
        <v>0.4358</v>
      </c>
    </row>
    <row r="1377">
      <c r="A1377" t="inlineStr">
        <is>
          <t>10-Jul-2026</t>
        </is>
      </c>
      <c r="B1377" t="inlineStr">
        <is>
          <t>Friday</t>
        </is>
      </c>
      <c r="C1377" t="inlineStr">
        <is>
          <t>Week2-Jul-2026</t>
        </is>
      </c>
      <c r="D1377" s="78" t="n">
        <v>46204</v>
      </c>
      <c r="E1377" t="inlineStr">
        <is>
          <t>Q2FY27</t>
        </is>
      </c>
      <c r="F1377" t="inlineStr">
        <is>
          <t>30-Jul-2026</t>
        </is>
      </c>
      <c r="G1377" t="inlineStr">
        <is>
          <t>Thursday</t>
        </is>
      </c>
      <c r="H1377" t="inlineStr">
        <is>
          <t>Monthly - Thursday</t>
        </is>
      </c>
      <c r="I1377" t="inlineStr">
        <is>
          <t>Monthly - Thursday</t>
        </is>
      </c>
      <c r="J1377" t="inlineStr">
        <is>
          <t>Same Month Expiry</t>
        </is>
      </c>
      <c r="K1377" s="25" t="n">
        <v>26450</v>
      </c>
      <c r="L1377" s="26" t="n">
        <v>41.403</v>
      </c>
      <c r="M1377" s="26" t="n">
        <v>0.2729</v>
      </c>
    </row>
    <row r="1378">
      <c r="A1378" t="inlineStr">
        <is>
          <t>10-Jul-2026</t>
        </is>
      </c>
      <c r="B1378" t="inlineStr">
        <is>
          <t>Friday</t>
        </is>
      </c>
      <c r="C1378" t="inlineStr">
        <is>
          <t>Week2-Jul-2026</t>
        </is>
      </c>
      <c r="D1378" s="78" t="n">
        <v>46204</v>
      </c>
      <c r="E1378" t="inlineStr">
        <is>
          <t>Q2FY27</t>
        </is>
      </c>
      <c r="F1378" t="inlineStr">
        <is>
          <t>06-Aug-2026</t>
        </is>
      </c>
      <c r="G1378" t="inlineStr">
        <is>
          <t>Thursday</t>
        </is>
      </c>
      <c r="H1378" t="inlineStr">
        <is>
          <t>Weekly - Thursday</t>
        </is>
      </c>
      <c r="I1378" t="inlineStr">
        <is>
          <t>Weekly - Thursday</t>
        </is>
      </c>
      <c r="J1378" t="inlineStr">
        <is>
          <t>Month+1 Expiry</t>
        </is>
      </c>
      <c r="K1378" s="25" t="n">
        <v>714</v>
      </c>
      <c r="L1378" s="26" t="n">
        <v>1.129</v>
      </c>
      <c r="M1378" s="26" t="n">
        <v>0.0124</v>
      </c>
    </row>
    <row r="1379">
      <c r="A1379" t="inlineStr">
        <is>
          <t>10-Jul-2026</t>
        </is>
      </c>
      <c r="B1379" t="inlineStr">
        <is>
          <t>Friday</t>
        </is>
      </c>
      <c r="C1379" t="inlineStr">
        <is>
          <t>Week2-Jul-2026</t>
        </is>
      </c>
      <c r="D1379" s="78" t="n">
        <v>46204</v>
      </c>
      <c r="E1379" t="inlineStr">
        <is>
          <t>Q2FY27</t>
        </is>
      </c>
      <c r="F1379" t="inlineStr">
        <is>
          <t>27-Aug-2026</t>
        </is>
      </c>
      <c r="G1379" t="inlineStr">
        <is>
          <t>Thursday</t>
        </is>
      </c>
      <c r="H1379" t="inlineStr">
        <is>
          <t>Monthly - Thursday</t>
        </is>
      </c>
      <c r="I1379" t="inlineStr">
        <is>
          <t>Monthly - Thursday</t>
        </is>
      </c>
      <c r="J1379" t="inlineStr">
        <is>
          <t>Month+1 Expiry</t>
        </is>
      </c>
      <c r="K1379" s="25" t="n">
        <v>533</v>
      </c>
      <c r="L1379" s="26" t="n">
        <v>0.8435</v>
      </c>
      <c r="M1379" s="26" t="n">
        <v>0.0156</v>
      </c>
    </row>
    <row r="1380">
      <c r="A1380" t="inlineStr">
        <is>
          <t>13-Jul-2026</t>
        </is>
      </c>
      <c r="B1380" t="inlineStr">
        <is>
          <t>Monday</t>
        </is>
      </c>
      <c r="C1380" t="inlineStr">
        <is>
          <t>Week2-Jul-2026</t>
        </is>
      </c>
      <c r="D1380" s="78" t="n">
        <v>46204</v>
      </c>
      <c r="E1380" t="inlineStr">
        <is>
          <t>Q2FY27</t>
        </is>
      </c>
      <c r="F1380" t="inlineStr">
        <is>
          <t>16-Jul-2026</t>
        </is>
      </c>
      <c r="G1380" t="inlineStr">
        <is>
          <t>Thursday</t>
        </is>
      </c>
      <c r="H1380" t="inlineStr">
        <is>
          <t>Weekly - Thursday</t>
        </is>
      </c>
      <c r="I1380" t="inlineStr">
        <is>
          <t>Weekly - Thursday</t>
        </is>
      </c>
      <c r="J1380" t="inlineStr">
        <is>
          <t>Same Month Expiry</t>
        </is>
      </c>
      <c r="K1380" s="25" t="n">
        <v>27692448</v>
      </c>
      <c r="L1380" s="26" t="n">
        <v>42935.7231</v>
      </c>
      <c r="M1380" s="26" t="n">
        <v>134.7486</v>
      </c>
    </row>
    <row r="1381">
      <c r="A1381" t="inlineStr">
        <is>
          <t>13-Jul-2026</t>
        </is>
      </c>
      <c r="B1381" t="inlineStr">
        <is>
          <t>Monday</t>
        </is>
      </c>
      <c r="C1381" t="inlineStr">
        <is>
          <t>Week2-Jul-2026</t>
        </is>
      </c>
      <c r="D1381" s="78" t="n">
        <v>46204</v>
      </c>
      <c r="E1381" t="inlineStr">
        <is>
          <t>Q2FY27</t>
        </is>
      </c>
      <c r="F1381" t="inlineStr">
        <is>
          <t>23-Jul-2026</t>
        </is>
      </c>
      <c r="G1381" t="inlineStr">
        <is>
          <t>Thursday</t>
        </is>
      </c>
      <c r="H1381" t="inlineStr">
        <is>
          <t>Weekly - Thursday</t>
        </is>
      </c>
      <c r="I1381" t="inlineStr">
        <is>
          <t>Weekly - Thursday</t>
        </is>
      </c>
      <c r="J1381" t="inlineStr">
        <is>
          <t>Same Month Expiry</t>
        </is>
      </c>
      <c r="K1381" s="25" t="n">
        <v>126885</v>
      </c>
      <c r="L1381" s="26" t="n">
        <v>198.1122</v>
      </c>
      <c r="M1381" s="26" t="n">
        <v>1.1318</v>
      </c>
    </row>
    <row r="1382">
      <c r="A1382" t="inlineStr">
        <is>
          <t>13-Jul-2026</t>
        </is>
      </c>
      <c r="B1382" t="inlineStr">
        <is>
          <t>Monday</t>
        </is>
      </c>
      <c r="C1382" t="inlineStr">
        <is>
          <t>Week2-Jul-2026</t>
        </is>
      </c>
      <c r="D1382" s="78" t="n">
        <v>46204</v>
      </c>
      <c r="E1382" t="inlineStr">
        <is>
          <t>Q2FY27</t>
        </is>
      </c>
      <c r="F1382" t="inlineStr">
        <is>
          <t>30-Jul-2026</t>
        </is>
      </c>
      <c r="G1382" t="inlineStr">
        <is>
          <t>Thursday</t>
        </is>
      </c>
      <c r="H1382" t="inlineStr">
        <is>
          <t>Monthly - Thursday</t>
        </is>
      </c>
      <c r="I1382" t="inlineStr">
        <is>
          <t>Monthly - Thursday</t>
        </is>
      </c>
      <c r="J1382" t="inlineStr">
        <is>
          <t>Same Month Expiry</t>
        </is>
      </c>
      <c r="K1382" s="25" t="n">
        <v>27464</v>
      </c>
      <c r="L1382" s="26" t="n">
        <v>42.9906</v>
      </c>
      <c r="M1382" s="26" t="n">
        <v>0.2785</v>
      </c>
    </row>
    <row r="1383">
      <c r="A1383" t="inlineStr">
        <is>
          <t>13-Jul-2026</t>
        </is>
      </c>
      <c r="B1383" t="inlineStr">
        <is>
          <t>Monday</t>
        </is>
      </c>
      <c r="C1383" t="inlineStr">
        <is>
          <t>Week2-Jul-2026</t>
        </is>
      </c>
      <c r="D1383" s="78" t="n">
        <v>46204</v>
      </c>
      <c r="E1383" t="inlineStr">
        <is>
          <t>Q2FY27</t>
        </is>
      </c>
      <c r="F1383" t="inlineStr">
        <is>
          <t>06-Aug-2026</t>
        </is>
      </c>
      <c r="G1383" t="inlineStr">
        <is>
          <t>Thursday</t>
        </is>
      </c>
      <c r="H1383" t="inlineStr">
        <is>
          <t>Weekly - Thursday</t>
        </is>
      </c>
      <c r="I1383" t="inlineStr">
        <is>
          <t>Weekly - Thursday</t>
        </is>
      </c>
      <c r="J1383" t="inlineStr">
        <is>
          <t>Month+1 Expiry</t>
        </is>
      </c>
      <c r="K1383" s="25" t="n">
        <v>739</v>
      </c>
      <c r="L1383" s="26" t="n">
        <v>1.1586</v>
      </c>
      <c r="M1383" s="26" t="n">
        <v>0.0115</v>
      </c>
    </row>
    <row r="1384">
      <c r="A1384" t="inlineStr">
        <is>
          <t>13-Jul-2026</t>
        </is>
      </c>
      <c r="B1384" t="inlineStr">
        <is>
          <t>Monday</t>
        </is>
      </c>
      <c r="C1384" t="inlineStr">
        <is>
          <t>Week2-Jul-2026</t>
        </is>
      </c>
      <c r="D1384" s="78" t="n">
        <v>46204</v>
      </c>
      <c r="E1384" t="inlineStr">
        <is>
          <t>Q2FY27</t>
        </is>
      </c>
      <c r="F1384" t="inlineStr">
        <is>
          <t>13-Aug-2026</t>
        </is>
      </c>
      <c r="G1384" t="inlineStr">
        <is>
          <t>Thursday</t>
        </is>
      </c>
      <c r="H1384" t="inlineStr">
        <is>
          <t>Weekly - Thursday</t>
        </is>
      </c>
      <c r="I1384" t="inlineStr">
        <is>
          <t>Weekly - Thursday</t>
        </is>
      </c>
      <c r="J1384" t="inlineStr">
        <is>
          <t>Month+1 Expiry</t>
        </is>
      </c>
      <c r="K1384" s="25" t="n">
        <v>0</v>
      </c>
      <c r="L1384" s="26" t="n">
        <v>0</v>
      </c>
      <c r="M1384" s="26" t="n">
        <v>0</v>
      </c>
    </row>
    <row r="1385">
      <c r="A1385" t="inlineStr">
        <is>
          <t>13-Jul-2026</t>
        </is>
      </c>
      <c r="B1385" t="inlineStr">
        <is>
          <t>Monday</t>
        </is>
      </c>
      <c r="C1385" t="inlineStr">
        <is>
          <t>Week2-Jul-2026</t>
        </is>
      </c>
      <c r="D1385" s="78" t="n">
        <v>46204</v>
      </c>
      <c r="E1385" t="inlineStr">
        <is>
          <t>Q2FY27</t>
        </is>
      </c>
      <c r="F1385" t="inlineStr">
        <is>
          <t>20-Aug-2026</t>
        </is>
      </c>
      <c r="G1385" t="inlineStr">
        <is>
          <t>Thursday</t>
        </is>
      </c>
      <c r="H1385" t="inlineStr">
        <is>
          <t>Weekly - Thursday</t>
        </is>
      </c>
      <c r="I1385" t="inlineStr">
        <is>
          <t>Weekly - Thursday</t>
        </is>
      </c>
      <c r="J1385" t="inlineStr">
        <is>
          <t>Month+1 Expiry</t>
        </is>
      </c>
      <c r="K1385" s="25" t="n">
        <v>1</v>
      </c>
      <c r="L1385" s="26" t="n">
        <v>0.0017</v>
      </c>
      <c r="M1385" s="26" t="n">
        <v>0</v>
      </c>
    </row>
    <row r="1386">
      <c r="A1386" t="inlineStr">
        <is>
          <t>13-Jul-2026</t>
        </is>
      </c>
      <c r="B1386" t="inlineStr">
        <is>
          <t>Monday</t>
        </is>
      </c>
      <c r="C1386" t="inlineStr">
        <is>
          <t>Week2-Jul-2026</t>
        </is>
      </c>
      <c r="D1386" s="78" t="n">
        <v>46204</v>
      </c>
      <c r="E1386" t="inlineStr">
        <is>
          <t>Q2FY27</t>
        </is>
      </c>
      <c r="F1386" t="inlineStr">
        <is>
          <t>27-Aug-2026</t>
        </is>
      </c>
      <c r="G1386" t="inlineStr">
        <is>
          <t>Thursday</t>
        </is>
      </c>
      <c r="H1386" t="inlineStr">
        <is>
          <t>Monthly - Thursday</t>
        </is>
      </c>
      <c r="I1386" t="inlineStr">
        <is>
          <t>Monthly - Thursday</t>
        </is>
      </c>
      <c r="J1386" t="inlineStr">
        <is>
          <t>Month+1 Expiry</t>
        </is>
      </c>
      <c r="K1386" s="25" t="n">
        <v>365</v>
      </c>
      <c r="L1386" s="26" t="n">
        <v>0.5798</v>
      </c>
      <c r="M1386" s="26" t="n">
        <v>0.0097</v>
      </c>
    </row>
    <row r="1387">
      <c r="A1387" t="inlineStr">
        <is>
          <t>14-Jul-2026</t>
        </is>
      </c>
      <c r="B1387" t="inlineStr">
        <is>
          <t>Tuesday</t>
        </is>
      </c>
      <c r="C1387" t="inlineStr">
        <is>
          <t>Week2-Jul-2026</t>
        </is>
      </c>
      <c r="D1387" s="78" t="n">
        <v>46204</v>
      </c>
      <c r="E1387" t="inlineStr">
        <is>
          <t>Q2FY27</t>
        </is>
      </c>
      <c r="F1387" t="inlineStr">
        <is>
          <t>16-Jul-2026</t>
        </is>
      </c>
      <c r="G1387" t="inlineStr">
        <is>
          <t>Thursday</t>
        </is>
      </c>
      <c r="H1387" t="inlineStr">
        <is>
          <t>Weekly - Thursday</t>
        </is>
      </c>
      <c r="I1387" t="inlineStr">
        <is>
          <t>Weekly - Thursday</t>
        </is>
      </c>
      <c r="J1387" t="inlineStr">
        <is>
          <t>Same Month Expiry</t>
        </is>
      </c>
      <c r="K1387" s="25" t="n">
        <v>27767531</v>
      </c>
      <c r="L1387" s="26" t="n">
        <v>42949.7485</v>
      </c>
      <c r="M1387" s="26" t="n">
        <v>112.7362</v>
      </c>
    </row>
    <row r="1388">
      <c r="A1388" t="inlineStr">
        <is>
          <t>14-Jul-2026</t>
        </is>
      </c>
      <c r="B1388" t="inlineStr">
        <is>
          <t>Tuesday</t>
        </is>
      </c>
      <c r="C1388" t="inlineStr">
        <is>
          <t>Week2-Jul-2026</t>
        </is>
      </c>
      <c r="D1388" s="78" t="n">
        <v>46204</v>
      </c>
      <c r="E1388" t="inlineStr">
        <is>
          <t>Q2FY27</t>
        </is>
      </c>
      <c r="F1388" t="inlineStr">
        <is>
          <t>23-Jul-2026</t>
        </is>
      </c>
      <c r="G1388" t="inlineStr">
        <is>
          <t>Thursday</t>
        </is>
      </c>
      <c r="H1388" t="inlineStr">
        <is>
          <t>Weekly - Thursday</t>
        </is>
      </c>
      <c r="I1388" t="inlineStr">
        <is>
          <t>Weekly - Thursday</t>
        </is>
      </c>
      <c r="J1388" t="inlineStr">
        <is>
          <t>Same Month Expiry</t>
        </is>
      </c>
      <c r="K1388" s="25" t="n">
        <v>207938</v>
      </c>
      <c r="L1388" s="26" t="n">
        <v>323.2827</v>
      </c>
      <c r="M1388" s="26" t="n">
        <v>1.6666</v>
      </c>
    </row>
    <row r="1389">
      <c r="A1389" t="inlineStr">
        <is>
          <t>14-Jul-2026</t>
        </is>
      </c>
      <c r="B1389" t="inlineStr">
        <is>
          <t>Tuesday</t>
        </is>
      </c>
      <c r="C1389" t="inlineStr">
        <is>
          <t>Week2-Jul-2026</t>
        </is>
      </c>
      <c r="D1389" s="78" t="n">
        <v>46204</v>
      </c>
      <c r="E1389" t="inlineStr">
        <is>
          <t>Q2FY27</t>
        </is>
      </c>
      <c r="F1389" t="inlineStr">
        <is>
          <t>30-Jul-2026</t>
        </is>
      </c>
      <c r="G1389" t="inlineStr">
        <is>
          <t>Thursday</t>
        </is>
      </c>
      <c r="H1389" t="inlineStr">
        <is>
          <t>Monthly - Thursday</t>
        </is>
      </c>
      <c r="I1389" t="inlineStr">
        <is>
          <t>Monthly - Thursday</t>
        </is>
      </c>
      <c r="J1389" t="inlineStr">
        <is>
          <t>Same Month Expiry</t>
        </is>
      </c>
      <c r="K1389" s="25" t="n">
        <v>33509</v>
      </c>
      <c r="L1389" s="26" t="n">
        <v>52.2787</v>
      </c>
      <c r="M1389" s="26" t="n">
        <v>0.3989</v>
      </c>
    </row>
    <row r="1390">
      <c r="A1390" t="inlineStr">
        <is>
          <t>14-Jul-2026</t>
        </is>
      </c>
      <c r="B1390" t="inlineStr">
        <is>
          <t>Tuesday</t>
        </is>
      </c>
      <c r="C1390" t="inlineStr">
        <is>
          <t>Week2-Jul-2026</t>
        </is>
      </c>
      <c r="D1390" s="78" t="n">
        <v>46204</v>
      </c>
      <c r="E1390" t="inlineStr">
        <is>
          <t>Q2FY27</t>
        </is>
      </c>
      <c r="F1390" t="inlineStr">
        <is>
          <t>06-Aug-2026</t>
        </is>
      </c>
      <c r="G1390" t="inlineStr">
        <is>
          <t>Thursday</t>
        </is>
      </c>
      <c r="H1390" t="inlineStr">
        <is>
          <t>Weekly - Thursday</t>
        </is>
      </c>
      <c r="I1390" t="inlineStr">
        <is>
          <t>Weekly - Thursday</t>
        </is>
      </c>
      <c r="J1390" t="inlineStr">
        <is>
          <t>Month+1 Expiry</t>
        </is>
      </c>
      <c r="K1390" s="25" t="n">
        <v>854</v>
      </c>
      <c r="L1390" s="26" t="n">
        <v>1.3356</v>
      </c>
      <c r="M1390" s="26" t="n">
        <v>0.0142</v>
      </c>
    </row>
    <row r="1391">
      <c r="A1391" t="inlineStr">
        <is>
          <t>14-Jul-2026</t>
        </is>
      </c>
      <c r="B1391" t="inlineStr">
        <is>
          <t>Tuesday</t>
        </is>
      </c>
      <c r="C1391" t="inlineStr">
        <is>
          <t>Week2-Jul-2026</t>
        </is>
      </c>
      <c r="D1391" s="78" t="n">
        <v>46204</v>
      </c>
      <c r="E1391" t="inlineStr">
        <is>
          <t>Q2FY27</t>
        </is>
      </c>
      <c r="F1391" t="inlineStr">
        <is>
          <t>13-Aug-2026</t>
        </is>
      </c>
      <c r="G1391" t="inlineStr">
        <is>
          <t>Thursday</t>
        </is>
      </c>
      <c r="H1391" t="inlineStr">
        <is>
          <t>Weekly - Thursday</t>
        </is>
      </c>
      <c r="I1391" t="inlineStr">
        <is>
          <t>Weekly - Thursday</t>
        </is>
      </c>
      <c r="J1391" t="inlineStr">
        <is>
          <t>Month+1 Expiry</t>
        </is>
      </c>
      <c r="K1391" s="25" t="n">
        <v>41</v>
      </c>
      <c r="L1391" s="26" t="n">
        <v>0.06370000000000001</v>
      </c>
      <c r="M1391" s="26" t="n">
        <v>0.0007</v>
      </c>
    </row>
    <row r="1392">
      <c r="A1392" t="inlineStr">
        <is>
          <t>14-Jul-2026</t>
        </is>
      </c>
      <c r="B1392" t="inlineStr">
        <is>
          <t>Tuesday</t>
        </is>
      </c>
      <c r="C1392" t="inlineStr">
        <is>
          <t>Week2-Jul-2026</t>
        </is>
      </c>
      <c r="D1392" s="78" t="n">
        <v>46204</v>
      </c>
      <c r="E1392" t="inlineStr">
        <is>
          <t>Q2FY27</t>
        </is>
      </c>
      <c r="F1392" t="inlineStr">
        <is>
          <t>20-Aug-2026</t>
        </is>
      </c>
      <c r="G1392" t="inlineStr">
        <is>
          <t>Thursday</t>
        </is>
      </c>
      <c r="H1392" t="inlineStr">
        <is>
          <t>Weekly - Thursday</t>
        </is>
      </c>
      <c r="I1392" t="inlineStr">
        <is>
          <t>Weekly - Thursday</t>
        </is>
      </c>
      <c r="J1392" t="inlineStr">
        <is>
          <t>Month+1 Expiry</t>
        </is>
      </c>
      <c r="K1392" s="25" t="n">
        <v>5</v>
      </c>
      <c r="L1392" s="26" t="n">
        <v>0.0078</v>
      </c>
      <c r="M1392" s="26" t="n">
        <v>0.0001</v>
      </c>
    </row>
    <row r="1393">
      <c r="A1393" t="inlineStr">
        <is>
          <t>14-Jul-2026</t>
        </is>
      </c>
      <c r="B1393" t="inlineStr">
        <is>
          <t>Tuesday</t>
        </is>
      </c>
      <c r="C1393" t="inlineStr">
        <is>
          <t>Week2-Jul-2026</t>
        </is>
      </c>
      <c r="D1393" s="78" t="n">
        <v>46204</v>
      </c>
      <c r="E1393" t="inlineStr">
        <is>
          <t>Q2FY27</t>
        </is>
      </c>
      <c r="F1393" t="inlineStr">
        <is>
          <t>27-Aug-2026</t>
        </is>
      </c>
      <c r="G1393" t="inlineStr">
        <is>
          <t>Thursday</t>
        </is>
      </c>
      <c r="H1393" t="inlineStr">
        <is>
          <t>Monthly - Thursday</t>
        </is>
      </c>
      <c r="I1393" t="inlineStr">
        <is>
          <t>Monthly - Thursday</t>
        </is>
      </c>
      <c r="J1393" t="inlineStr">
        <is>
          <t>Month+1 Expiry</t>
        </is>
      </c>
      <c r="K1393" s="25" t="n">
        <v>323</v>
      </c>
      <c r="L1393" s="26" t="n">
        <v>0.5088</v>
      </c>
      <c r="M1393" s="26" t="n">
        <v>0.008699999999999999</v>
      </c>
    </row>
    <row r="1394">
      <c r="A1394" t="inlineStr">
        <is>
          <t>15-Jul-2026</t>
        </is>
      </c>
      <c r="B1394" t="inlineStr">
        <is>
          <t>Wednesday</t>
        </is>
      </c>
      <c r="C1394" t="inlineStr">
        <is>
          <t>Week3-Jul-2026</t>
        </is>
      </c>
      <c r="D1394" s="78" t="n">
        <v>46204</v>
      </c>
      <c r="E1394" t="inlineStr">
        <is>
          <t>Q2FY27</t>
        </is>
      </c>
      <c r="F1394" t="inlineStr">
        <is>
          <t>16-Jul-2026</t>
        </is>
      </c>
      <c r="G1394" t="inlineStr">
        <is>
          <t>Thursday</t>
        </is>
      </c>
      <c r="H1394" t="inlineStr">
        <is>
          <t>Weekly - Thursday</t>
        </is>
      </c>
      <c r="I1394" t="inlineStr">
        <is>
          <t>Weekly - Thursday</t>
        </is>
      </c>
      <c r="J1394" t="inlineStr">
        <is>
          <t>Same Month Expiry</t>
        </is>
      </c>
      <c r="K1394" s="25" t="n">
        <v>133663049</v>
      </c>
      <c r="L1394" s="26" t="n">
        <v>206774.7781</v>
      </c>
      <c r="M1394" s="26" t="n">
        <v>374.0318</v>
      </c>
    </row>
    <row r="1395">
      <c r="A1395" t="inlineStr">
        <is>
          <t>15-Jul-2026</t>
        </is>
      </c>
      <c r="B1395" t="inlineStr">
        <is>
          <t>Wednesday</t>
        </is>
      </c>
      <c r="C1395" t="inlineStr">
        <is>
          <t>Week3-Jul-2026</t>
        </is>
      </c>
      <c r="D1395" s="78" t="n">
        <v>46204</v>
      </c>
      <c r="E1395" t="inlineStr">
        <is>
          <t>Q2FY27</t>
        </is>
      </c>
      <c r="F1395" t="inlineStr">
        <is>
          <t>23-Jul-2026</t>
        </is>
      </c>
      <c r="G1395" t="inlineStr">
        <is>
          <t>Thursday</t>
        </is>
      </c>
      <c r="H1395" t="inlineStr">
        <is>
          <t>Weekly - Thursday</t>
        </is>
      </c>
      <c r="I1395" t="inlineStr">
        <is>
          <t>Weekly - Thursday</t>
        </is>
      </c>
      <c r="J1395" t="inlineStr">
        <is>
          <t>Same Month Expiry</t>
        </is>
      </c>
      <c r="K1395" s="25" t="n">
        <v>680651</v>
      </c>
      <c r="L1395" s="26" t="n">
        <v>1054.1393</v>
      </c>
      <c r="M1395" s="26" t="n">
        <v>4.218</v>
      </c>
    </row>
    <row r="1396">
      <c r="A1396" t="inlineStr">
        <is>
          <t>15-Jul-2026</t>
        </is>
      </c>
      <c r="B1396" t="inlineStr">
        <is>
          <t>Wednesday</t>
        </is>
      </c>
      <c r="C1396" t="inlineStr">
        <is>
          <t>Week3-Jul-2026</t>
        </is>
      </c>
      <c r="D1396" s="78" t="n">
        <v>46204</v>
      </c>
      <c r="E1396" t="inlineStr">
        <is>
          <t>Q2FY27</t>
        </is>
      </c>
      <c r="F1396" t="inlineStr">
        <is>
          <t>30-Jul-2026</t>
        </is>
      </c>
      <c r="G1396" t="inlineStr">
        <is>
          <t>Thursday</t>
        </is>
      </c>
      <c r="H1396" t="inlineStr">
        <is>
          <t>Monthly - Thursday</t>
        </is>
      </c>
      <c r="I1396" t="inlineStr">
        <is>
          <t>Monthly - Thursday</t>
        </is>
      </c>
      <c r="J1396" t="inlineStr">
        <is>
          <t>Same Month Expiry</t>
        </is>
      </c>
      <c r="K1396" s="25" t="n">
        <v>36980</v>
      </c>
      <c r="L1396" s="26" t="n">
        <v>57.8989</v>
      </c>
      <c r="M1396" s="26" t="n">
        <v>0.3895</v>
      </c>
    </row>
    <row r="1397">
      <c r="A1397" t="inlineStr">
        <is>
          <t>15-Jul-2026</t>
        </is>
      </c>
      <c r="B1397" t="inlineStr">
        <is>
          <t>Wednesday</t>
        </is>
      </c>
      <c r="C1397" t="inlineStr">
        <is>
          <t>Week3-Jul-2026</t>
        </is>
      </c>
      <c r="D1397" s="78" t="n">
        <v>46204</v>
      </c>
      <c r="E1397" t="inlineStr">
        <is>
          <t>Q2FY27</t>
        </is>
      </c>
      <c r="F1397" t="inlineStr">
        <is>
          <t>06-Aug-2026</t>
        </is>
      </c>
      <c r="G1397" t="inlineStr">
        <is>
          <t>Thursday</t>
        </is>
      </c>
      <c r="H1397" t="inlineStr">
        <is>
          <t>Weekly - Thursday</t>
        </is>
      </c>
      <c r="I1397" t="inlineStr">
        <is>
          <t>Weekly - Thursday</t>
        </is>
      </c>
      <c r="J1397" t="inlineStr">
        <is>
          <t>Month+1 Expiry</t>
        </is>
      </c>
      <c r="K1397" s="25" t="n">
        <v>1368</v>
      </c>
      <c r="L1397" s="26" t="n">
        <v>2.1458</v>
      </c>
      <c r="M1397" s="26" t="n">
        <v>0.0257</v>
      </c>
    </row>
    <row r="1398">
      <c r="A1398" t="inlineStr">
        <is>
          <t>15-Jul-2026</t>
        </is>
      </c>
      <c r="B1398" t="inlineStr">
        <is>
          <t>Wednesday</t>
        </is>
      </c>
      <c r="C1398" t="inlineStr">
        <is>
          <t>Week3-Jul-2026</t>
        </is>
      </c>
      <c r="D1398" s="78" t="n">
        <v>46204</v>
      </c>
      <c r="E1398" t="inlineStr">
        <is>
          <t>Q2FY27</t>
        </is>
      </c>
      <c r="F1398" t="inlineStr">
        <is>
          <t>13-Aug-2026</t>
        </is>
      </c>
      <c r="G1398" t="inlineStr">
        <is>
          <t>Thursday</t>
        </is>
      </c>
      <c r="H1398" t="inlineStr">
        <is>
          <t>Weekly - Thursday</t>
        </is>
      </c>
      <c r="I1398" t="inlineStr">
        <is>
          <t>Weekly - Thursday</t>
        </is>
      </c>
      <c r="J1398" t="inlineStr">
        <is>
          <t>Month+1 Expiry</t>
        </is>
      </c>
      <c r="K1398" s="25" t="n">
        <v>1</v>
      </c>
      <c r="L1398" s="26" t="n">
        <v>0.0016</v>
      </c>
      <c r="M1398" s="26" t="n">
        <v>0</v>
      </c>
    </row>
    <row r="1399">
      <c r="A1399" t="inlineStr">
        <is>
          <t>15-Jul-2026</t>
        </is>
      </c>
      <c r="B1399" t="inlineStr">
        <is>
          <t>Wednesday</t>
        </is>
      </c>
      <c r="C1399" t="inlineStr">
        <is>
          <t>Week3-Jul-2026</t>
        </is>
      </c>
      <c r="D1399" s="78" t="n">
        <v>46204</v>
      </c>
      <c r="E1399" t="inlineStr">
        <is>
          <t>Q2FY27</t>
        </is>
      </c>
      <c r="F1399" t="inlineStr">
        <is>
          <t>20-Aug-2026</t>
        </is>
      </c>
      <c r="G1399" t="inlineStr">
        <is>
          <t>Thursday</t>
        </is>
      </c>
      <c r="H1399" t="inlineStr">
        <is>
          <t>Weekly - Thursday</t>
        </is>
      </c>
      <c r="I1399" t="inlineStr">
        <is>
          <t>Weekly - Thursday</t>
        </is>
      </c>
      <c r="J1399" t="inlineStr">
        <is>
          <t>Month+1 Expiry</t>
        </is>
      </c>
      <c r="K1399" s="25" t="n">
        <v>0</v>
      </c>
      <c r="L1399" s="26" t="n">
        <v>0</v>
      </c>
      <c r="M1399" s="26" t="n">
        <v>0</v>
      </c>
    </row>
    <row r="1400">
      <c r="A1400" t="inlineStr">
        <is>
          <t>15-Jul-2026</t>
        </is>
      </c>
      <c r="B1400" t="inlineStr">
        <is>
          <t>Wednesday</t>
        </is>
      </c>
      <c r="C1400" t="inlineStr">
        <is>
          <t>Week3-Jul-2026</t>
        </is>
      </c>
      <c r="D1400" s="78" t="n">
        <v>46204</v>
      </c>
      <c r="E1400" t="inlineStr">
        <is>
          <t>Q2FY27</t>
        </is>
      </c>
      <c r="F1400" t="inlineStr">
        <is>
          <t>27-Aug-2026</t>
        </is>
      </c>
      <c r="G1400" t="inlineStr">
        <is>
          <t>Thursday</t>
        </is>
      </c>
      <c r="H1400" t="inlineStr">
        <is>
          <t>Monthly - Thursday</t>
        </is>
      </c>
      <c r="I1400" t="inlineStr">
        <is>
          <t>Monthly - Thursday</t>
        </is>
      </c>
      <c r="J1400" t="inlineStr">
        <is>
          <t>Month+1 Expiry</t>
        </is>
      </c>
      <c r="K1400" s="25" t="n">
        <v>332</v>
      </c>
      <c r="L1400" s="26" t="n">
        <v>0.5233</v>
      </c>
      <c r="M1400" s="26" t="n">
        <v>0.008800000000000001</v>
      </c>
    </row>
    <row r="1401">
      <c r="A1401" t="inlineStr">
        <is>
          <t>16-Jul-2026</t>
        </is>
      </c>
      <c r="B1401" t="inlineStr">
        <is>
          <t>Thursday</t>
        </is>
      </c>
      <c r="C1401" t="inlineStr">
        <is>
          <t>Week3-Jul-2026</t>
        </is>
      </c>
      <c r="D1401" s="78" t="n">
        <v>46204</v>
      </c>
      <c r="E1401" t="inlineStr">
        <is>
          <t>Q2FY27</t>
        </is>
      </c>
      <c r="F1401" t="inlineStr">
        <is>
          <t>16-Jul-2026</t>
        </is>
      </c>
      <c r="G1401" t="inlineStr">
        <is>
          <t>Thursday</t>
        </is>
      </c>
      <c r="H1401" t="inlineStr">
        <is>
          <t>Weekly - Thursday</t>
        </is>
      </c>
      <c r="I1401" t="inlineStr">
        <is>
          <t>Weekly - Thursday</t>
        </is>
      </c>
      <c r="J1401" t="inlineStr">
        <is>
          <t>Same Month Expiry</t>
        </is>
      </c>
      <c r="K1401" s="25" t="n">
        <v>481921819</v>
      </c>
      <c r="L1401" s="26" t="n">
        <v>745248.5698000001</v>
      </c>
      <c r="M1401" s="26" t="n">
        <v>504.0915</v>
      </c>
    </row>
    <row r="1402">
      <c r="A1402" t="inlineStr">
        <is>
          <t>16-Jul-2026</t>
        </is>
      </c>
      <c r="B1402" t="inlineStr">
        <is>
          <t>Thursday</t>
        </is>
      </c>
      <c r="C1402" t="inlineStr">
        <is>
          <t>Week3-Jul-2026</t>
        </is>
      </c>
      <c r="D1402" s="78" t="n">
        <v>46204</v>
      </c>
      <c r="E1402" t="inlineStr">
        <is>
          <t>Q2FY27</t>
        </is>
      </c>
      <c r="F1402" t="inlineStr">
        <is>
          <t>23-Jul-2026</t>
        </is>
      </c>
      <c r="G1402" t="inlineStr">
        <is>
          <t>Thursday</t>
        </is>
      </c>
      <c r="H1402" t="inlineStr">
        <is>
          <t>Weekly - Thursday</t>
        </is>
      </c>
      <c r="I1402" t="inlineStr">
        <is>
          <t>Weekly - Thursday</t>
        </is>
      </c>
      <c r="J1402" t="inlineStr">
        <is>
          <t>Same Month Expiry</t>
        </is>
      </c>
      <c r="K1402" s="25" t="n">
        <v>2120650</v>
      </c>
      <c r="L1402" s="26" t="n">
        <v>3286.5803</v>
      </c>
      <c r="M1402" s="26" t="n">
        <v>12.0321</v>
      </c>
    </row>
    <row r="1403">
      <c r="A1403" t="inlineStr">
        <is>
          <t>16-Jul-2026</t>
        </is>
      </c>
      <c r="B1403" t="inlineStr">
        <is>
          <t>Thursday</t>
        </is>
      </c>
      <c r="C1403" t="inlineStr">
        <is>
          <t>Week3-Jul-2026</t>
        </is>
      </c>
      <c r="D1403" s="78" t="n">
        <v>46204</v>
      </c>
      <c r="E1403" t="inlineStr">
        <is>
          <t>Q2FY27</t>
        </is>
      </c>
      <c r="F1403" t="inlineStr">
        <is>
          <t>30-Jul-2026</t>
        </is>
      </c>
      <c r="G1403" t="inlineStr">
        <is>
          <t>Thursday</t>
        </is>
      </c>
      <c r="H1403" t="inlineStr">
        <is>
          <t>Monthly - Thursday</t>
        </is>
      </c>
      <c r="I1403" t="inlineStr">
        <is>
          <t>Monthly - Thursday</t>
        </is>
      </c>
      <c r="J1403" t="inlineStr">
        <is>
          <t>Same Month Expiry</t>
        </is>
      </c>
      <c r="K1403" s="25" t="n">
        <v>49971</v>
      </c>
      <c r="L1403" s="26" t="n">
        <v>77.8989</v>
      </c>
      <c r="M1403" s="26" t="n">
        <v>0.5182</v>
      </c>
    </row>
    <row r="1404">
      <c r="A1404" t="inlineStr">
        <is>
          <t>16-Jul-2026</t>
        </is>
      </c>
      <c r="B1404" t="inlineStr">
        <is>
          <t>Thursday</t>
        </is>
      </c>
      <c r="C1404" t="inlineStr">
        <is>
          <t>Week3-Jul-2026</t>
        </is>
      </c>
      <c r="D1404" s="78" t="n">
        <v>46204</v>
      </c>
      <c r="E1404" t="inlineStr">
        <is>
          <t>Q2FY27</t>
        </is>
      </c>
      <c r="F1404" t="inlineStr">
        <is>
          <t>06-Aug-2026</t>
        </is>
      </c>
      <c r="G1404" t="inlineStr">
        <is>
          <t>Thursday</t>
        </is>
      </c>
      <c r="H1404" t="inlineStr">
        <is>
          <t>Weekly - Thursday</t>
        </is>
      </c>
      <c r="I1404" t="inlineStr">
        <is>
          <t>Weekly - Thursday</t>
        </is>
      </c>
      <c r="J1404" t="inlineStr">
        <is>
          <t>Month+1 Expiry</t>
        </is>
      </c>
      <c r="K1404" s="25" t="n">
        <v>701</v>
      </c>
      <c r="L1404" s="26" t="n">
        <v>1.0961</v>
      </c>
      <c r="M1404" s="26" t="n">
        <v>0.0122</v>
      </c>
    </row>
    <row r="1405">
      <c r="A1405" t="inlineStr">
        <is>
          <t>16-Jul-2026</t>
        </is>
      </c>
      <c r="B1405" t="inlineStr">
        <is>
          <t>Thursday</t>
        </is>
      </c>
      <c r="C1405" t="inlineStr">
        <is>
          <t>Week3-Jul-2026</t>
        </is>
      </c>
      <c r="D1405" s="78" t="n">
        <v>46204</v>
      </c>
      <c r="E1405" t="inlineStr">
        <is>
          <t>Q2FY27</t>
        </is>
      </c>
      <c r="F1405" t="inlineStr">
        <is>
          <t>13-Aug-2026</t>
        </is>
      </c>
      <c r="G1405" t="inlineStr">
        <is>
          <t>Thursday</t>
        </is>
      </c>
      <c r="H1405" t="inlineStr">
        <is>
          <t>Weekly - Thursday</t>
        </is>
      </c>
      <c r="I1405" t="inlineStr">
        <is>
          <t>Weekly - Thursday</t>
        </is>
      </c>
      <c r="J1405" t="inlineStr">
        <is>
          <t>Month+1 Expiry</t>
        </is>
      </c>
      <c r="K1405" s="25" t="n">
        <v>3</v>
      </c>
      <c r="L1405" s="26" t="n">
        <v>0.0047</v>
      </c>
      <c r="M1405" s="26" t="n">
        <v>0</v>
      </c>
    </row>
    <row r="1406">
      <c r="A1406" t="inlineStr">
        <is>
          <t>16-Jul-2026</t>
        </is>
      </c>
      <c r="B1406" t="inlineStr">
        <is>
          <t>Thursday</t>
        </is>
      </c>
      <c r="C1406" t="inlineStr">
        <is>
          <t>Week3-Jul-2026</t>
        </is>
      </c>
      <c r="D1406" s="78" t="n">
        <v>46204</v>
      </c>
      <c r="E1406" t="inlineStr">
        <is>
          <t>Q2FY27</t>
        </is>
      </c>
      <c r="F1406" t="inlineStr">
        <is>
          <t>20-Aug-2026</t>
        </is>
      </c>
      <c r="G1406" t="inlineStr">
        <is>
          <t>Thursday</t>
        </is>
      </c>
      <c r="H1406" t="inlineStr">
        <is>
          <t>Weekly - Thursday</t>
        </is>
      </c>
      <c r="I1406" t="inlineStr">
        <is>
          <t>Weekly - Thursday</t>
        </is>
      </c>
      <c r="J1406" t="inlineStr">
        <is>
          <t>Month+1 Expiry</t>
        </is>
      </c>
      <c r="K1406" s="25" t="n">
        <v>0</v>
      </c>
      <c r="L1406" s="26" t="n">
        <v>0</v>
      </c>
      <c r="M1406" s="26" t="n">
        <v>0</v>
      </c>
    </row>
    <row r="1407">
      <c r="A1407" t="inlineStr">
        <is>
          <t>16-Jul-2026</t>
        </is>
      </c>
      <c r="B1407" t="inlineStr">
        <is>
          <t>Thursday</t>
        </is>
      </c>
      <c r="C1407" t="inlineStr">
        <is>
          <t>Week3-Jul-2026</t>
        </is>
      </c>
      <c r="D1407" s="78" t="n">
        <v>46204</v>
      </c>
      <c r="E1407" t="inlineStr">
        <is>
          <t>Q2FY27</t>
        </is>
      </c>
      <c r="F1407" t="inlineStr">
        <is>
          <t>27-Aug-2026</t>
        </is>
      </c>
      <c r="G1407" t="inlineStr">
        <is>
          <t>Thursday</t>
        </is>
      </c>
      <c r="H1407" t="inlineStr">
        <is>
          <t>Monthly - Thursday</t>
        </is>
      </c>
      <c r="I1407" t="inlineStr">
        <is>
          <t>Monthly - Thursday</t>
        </is>
      </c>
      <c r="J1407" t="inlineStr">
        <is>
          <t>Month+1 Expiry</t>
        </is>
      </c>
      <c r="K1407" s="25" t="n">
        <v>500</v>
      </c>
      <c r="L1407" s="26" t="n">
        <v>0.785</v>
      </c>
      <c r="M1407" s="26" t="n">
        <v>0.0125</v>
      </c>
    </row>
    <row r="1408">
      <c r="A1408" t="inlineStr">
        <is>
          <t>17-Jul-2026</t>
        </is>
      </c>
      <c r="B1408" t="inlineStr">
        <is>
          <t>Friday</t>
        </is>
      </c>
      <c r="C1408" t="inlineStr">
        <is>
          <t>Week3-Jul-2026</t>
        </is>
      </c>
      <c r="D1408" s="78" t="n">
        <v>46204</v>
      </c>
      <c r="E1408" t="inlineStr">
        <is>
          <t>Q2FY27</t>
        </is>
      </c>
      <c r="F1408" t="inlineStr">
        <is>
          <t>23-Jul-2026</t>
        </is>
      </c>
      <c r="G1408" t="inlineStr">
        <is>
          <t>Thursday</t>
        </is>
      </c>
      <c r="H1408" t="inlineStr">
        <is>
          <t>Weekly - Thursday</t>
        </is>
      </c>
      <c r="I1408" t="inlineStr">
        <is>
          <t>Weekly - Thursday</t>
        </is>
      </c>
      <c r="J1408" t="inlineStr">
        <is>
          <t>Same Month Expiry</t>
        </is>
      </c>
      <c r="K1408" s="25" t="n">
        <v>18454938</v>
      </c>
      <c r="L1408" s="26" t="n">
        <v>28802.2071</v>
      </c>
      <c r="M1408" s="26" t="n">
        <v>111.1736</v>
      </c>
    </row>
    <row r="1409">
      <c r="A1409" t="inlineStr">
        <is>
          <t>17-Jul-2026</t>
        </is>
      </c>
      <c r="B1409" t="inlineStr">
        <is>
          <t>Friday</t>
        </is>
      </c>
      <c r="C1409" t="inlineStr">
        <is>
          <t>Week3-Jul-2026</t>
        </is>
      </c>
      <c r="D1409" s="78" t="n">
        <v>46204</v>
      </c>
      <c r="E1409" t="inlineStr">
        <is>
          <t>Q2FY27</t>
        </is>
      </c>
      <c r="F1409" t="inlineStr">
        <is>
          <t>30-Jul-2026</t>
        </is>
      </c>
      <c r="G1409" t="inlineStr">
        <is>
          <t>Thursday</t>
        </is>
      </c>
      <c r="H1409" t="inlineStr">
        <is>
          <t>Monthly - Thursday</t>
        </is>
      </c>
      <c r="I1409" t="inlineStr">
        <is>
          <t>Monthly - Thursday</t>
        </is>
      </c>
      <c r="J1409" t="inlineStr">
        <is>
          <t>Same Month Expiry</t>
        </is>
      </c>
      <c r="K1409" s="25" t="n">
        <v>139015</v>
      </c>
      <c r="L1409" s="26" t="n">
        <v>218.1222</v>
      </c>
      <c r="M1409" s="26" t="n">
        <v>1.3091</v>
      </c>
    </row>
    <row r="1410">
      <c r="A1410" t="inlineStr">
        <is>
          <t>17-Jul-2026</t>
        </is>
      </c>
      <c r="B1410" t="inlineStr">
        <is>
          <t>Friday</t>
        </is>
      </c>
      <c r="C1410" t="inlineStr">
        <is>
          <t>Week3-Jul-2026</t>
        </is>
      </c>
      <c r="D1410" s="78" t="n">
        <v>46204</v>
      </c>
      <c r="E1410" t="inlineStr">
        <is>
          <t>Q2FY27</t>
        </is>
      </c>
      <c r="F1410" t="inlineStr">
        <is>
          <t>06-Aug-2026</t>
        </is>
      </c>
      <c r="G1410" t="inlineStr">
        <is>
          <t>Thursday</t>
        </is>
      </c>
      <c r="H1410" t="inlineStr">
        <is>
          <t>Weekly - Thursday</t>
        </is>
      </c>
      <c r="I1410" t="inlineStr">
        <is>
          <t>Weekly - Thursday</t>
        </is>
      </c>
      <c r="J1410" t="inlineStr">
        <is>
          <t>Month+1 Expiry</t>
        </is>
      </c>
      <c r="K1410" s="25" t="n">
        <v>2253</v>
      </c>
      <c r="L1410" s="26" t="n">
        <v>3.5439</v>
      </c>
      <c r="M1410" s="26" t="n">
        <v>0.0387</v>
      </c>
    </row>
    <row r="1411">
      <c r="A1411" t="inlineStr">
        <is>
          <t>17-Jul-2026</t>
        </is>
      </c>
      <c r="B1411" t="inlineStr">
        <is>
          <t>Friday</t>
        </is>
      </c>
      <c r="C1411" t="inlineStr">
        <is>
          <t>Week3-Jul-2026</t>
        </is>
      </c>
      <c r="D1411" s="78" t="n">
        <v>46204</v>
      </c>
      <c r="E1411" t="inlineStr">
        <is>
          <t>Q2FY27</t>
        </is>
      </c>
      <c r="F1411" t="inlineStr">
        <is>
          <t>13-Aug-2026</t>
        </is>
      </c>
      <c r="G1411" t="inlineStr">
        <is>
          <t>Thursday</t>
        </is>
      </c>
      <c r="H1411" t="inlineStr">
        <is>
          <t>Weekly - Thursday</t>
        </is>
      </c>
      <c r="I1411" t="inlineStr">
        <is>
          <t>Weekly - Thursday</t>
        </is>
      </c>
      <c r="J1411" t="inlineStr">
        <is>
          <t>Month+1 Expiry</t>
        </is>
      </c>
      <c r="K1411" s="25" t="n">
        <v>820</v>
      </c>
      <c r="L1411" s="26" t="n">
        <v>1.295</v>
      </c>
      <c r="M1411" s="26" t="n">
        <v>0.0171</v>
      </c>
    </row>
    <row r="1412">
      <c r="A1412" t="inlineStr">
        <is>
          <t>17-Jul-2026</t>
        </is>
      </c>
      <c r="B1412" t="inlineStr">
        <is>
          <t>Friday</t>
        </is>
      </c>
      <c r="C1412" t="inlineStr">
        <is>
          <t>Week3-Jul-2026</t>
        </is>
      </c>
      <c r="D1412" s="78" t="n">
        <v>46204</v>
      </c>
      <c r="E1412" t="inlineStr">
        <is>
          <t>Q2FY27</t>
        </is>
      </c>
      <c r="F1412" t="inlineStr">
        <is>
          <t>20-Aug-2026</t>
        </is>
      </c>
      <c r="G1412" t="inlineStr">
        <is>
          <t>Thursday</t>
        </is>
      </c>
      <c r="H1412" t="inlineStr">
        <is>
          <t>Weekly - Thursday</t>
        </is>
      </c>
      <c r="I1412" t="inlineStr">
        <is>
          <t>Weekly - Thursday</t>
        </is>
      </c>
      <c r="J1412" t="inlineStr">
        <is>
          <t>Month+1 Expiry</t>
        </is>
      </c>
      <c r="K1412" s="25" t="n">
        <v>0</v>
      </c>
      <c r="L1412" s="26" t="n">
        <v>0</v>
      </c>
      <c r="M1412" s="26" t="n">
        <v>0</v>
      </c>
    </row>
    <row r="1413">
      <c r="A1413" t="inlineStr">
        <is>
          <t>17-Jul-2026</t>
        </is>
      </c>
      <c r="B1413" t="inlineStr">
        <is>
          <t>Friday</t>
        </is>
      </c>
      <c r="C1413" t="inlineStr">
        <is>
          <t>Week3-Jul-2026</t>
        </is>
      </c>
      <c r="D1413" s="78" t="n">
        <v>46204</v>
      </c>
      <c r="E1413" t="inlineStr">
        <is>
          <t>Q2FY27</t>
        </is>
      </c>
      <c r="F1413" t="inlineStr">
        <is>
          <t>27-Aug-2026</t>
        </is>
      </c>
      <c r="G1413" t="inlineStr">
        <is>
          <t>Thursday</t>
        </is>
      </c>
      <c r="H1413" t="inlineStr">
        <is>
          <t>Monthly - Thursday</t>
        </is>
      </c>
      <c r="I1413" t="inlineStr">
        <is>
          <t>Monthly - Thursday</t>
        </is>
      </c>
      <c r="J1413" t="inlineStr">
        <is>
          <t>Month+1 Expiry</t>
        </is>
      </c>
      <c r="K1413" s="25" t="n">
        <v>1408</v>
      </c>
      <c r="L1413" s="26" t="n">
        <v>2.2235</v>
      </c>
      <c r="M1413" s="26" t="n">
        <v>0.0335</v>
      </c>
    </row>
    <row r="1414">
      <c r="A1414" t="inlineStr">
        <is>
          <t>20-Jul-2026</t>
        </is>
      </c>
      <c r="B1414" t="inlineStr">
        <is>
          <t>Monday</t>
        </is>
      </c>
      <c r="C1414" t="inlineStr">
        <is>
          <t>Week3-Jul-2026</t>
        </is>
      </c>
      <c r="D1414" s="78" t="n">
        <v>46204</v>
      </c>
      <c r="E1414" t="inlineStr">
        <is>
          <t>Q2FY27</t>
        </is>
      </c>
      <c r="F1414" t="inlineStr">
        <is>
          <t>23-Jul-2026</t>
        </is>
      </c>
      <c r="G1414" t="inlineStr">
        <is>
          <t>Thursday</t>
        </is>
      </c>
      <c r="H1414" t="inlineStr">
        <is>
          <t>Weekly - Thursday</t>
        </is>
      </c>
      <c r="I1414" t="inlineStr">
        <is>
          <t>Weekly - Thursday</t>
        </is>
      </c>
      <c r="J1414" t="inlineStr">
        <is>
          <t>Same Month Expiry</t>
        </is>
      </c>
      <c r="K1414" s="25" t="n">
        <v>23010179</v>
      </c>
      <c r="L1414" s="26" t="n">
        <v>35824.425</v>
      </c>
      <c r="M1414" s="26" t="n">
        <v>114.9026</v>
      </c>
    </row>
    <row r="1415">
      <c r="A1415" t="inlineStr">
        <is>
          <t>20-Jul-2026</t>
        </is>
      </c>
      <c r="B1415" t="inlineStr">
        <is>
          <t>Monday</t>
        </is>
      </c>
      <c r="C1415" t="inlineStr">
        <is>
          <t>Week3-Jul-2026</t>
        </is>
      </c>
      <c r="D1415" s="78" t="n">
        <v>46204</v>
      </c>
      <c r="E1415" t="inlineStr">
        <is>
          <t>Q2FY27</t>
        </is>
      </c>
      <c r="F1415" t="inlineStr">
        <is>
          <t>30-Jul-2026</t>
        </is>
      </c>
      <c r="G1415" t="inlineStr">
        <is>
          <t>Thursday</t>
        </is>
      </c>
      <c r="H1415" t="inlineStr">
        <is>
          <t>Monthly - Thursday</t>
        </is>
      </c>
      <c r="I1415" t="inlineStr">
        <is>
          <t>Monthly - Thursday</t>
        </is>
      </c>
      <c r="J1415" t="inlineStr">
        <is>
          <t>Same Month Expiry</t>
        </is>
      </c>
      <c r="K1415" s="25" t="n">
        <v>187482</v>
      </c>
      <c r="L1415" s="26" t="n">
        <v>292.7793</v>
      </c>
      <c r="M1415" s="26" t="n">
        <v>1.5551</v>
      </c>
    </row>
    <row r="1416">
      <c r="A1416" t="inlineStr">
        <is>
          <t>20-Jul-2026</t>
        </is>
      </c>
      <c r="B1416" t="inlineStr">
        <is>
          <t>Monday</t>
        </is>
      </c>
      <c r="C1416" t="inlineStr">
        <is>
          <t>Week3-Jul-2026</t>
        </is>
      </c>
      <c r="D1416" s="78" t="n">
        <v>46204</v>
      </c>
      <c r="E1416" t="inlineStr">
        <is>
          <t>Q2FY27</t>
        </is>
      </c>
      <c r="F1416" t="inlineStr">
        <is>
          <t>06-Aug-2026</t>
        </is>
      </c>
      <c r="G1416" t="inlineStr">
        <is>
          <t>Thursday</t>
        </is>
      </c>
      <c r="H1416" t="inlineStr">
        <is>
          <t>Weekly - Thursday</t>
        </is>
      </c>
      <c r="I1416" t="inlineStr">
        <is>
          <t>Weekly - Thursday</t>
        </is>
      </c>
      <c r="J1416" t="inlineStr">
        <is>
          <t>Month+1 Expiry</t>
        </is>
      </c>
      <c r="K1416" s="25" t="n">
        <v>3120</v>
      </c>
      <c r="L1416" s="26" t="n">
        <v>4.8983</v>
      </c>
      <c r="M1416" s="26" t="n">
        <v>0.042</v>
      </c>
    </row>
    <row r="1417">
      <c r="A1417" t="inlineStr">
        <is>
          <t>20-Jul-2026</t>
        </is>
      </c>
      <c r="B1417" t="inlineStr">
        <is>
          <t>Monday</t>
        </is>
      </c>
      <c r="C1417" t="inlineStr">
        <is>
          <t>Week3-Jul-2026</t>
        </is>
      </c>
      <c r="D1417" s="78" t="n">
        <v>46204</v>
      </c>
      <c r="E1417" t="inlineStr">
        <is>
          <t>Q2FY27</t>
        </is>
      </c>
      <c r="F1417" t="inlineStr">
        <is>
          <t>13-Aug-2026</t>
        </is>
      </c>
      <c r="G1417" t="inlineStr">
        <is>
          <t>Thursday</t>
        </is>
      </c>
      <c r="H1417" t="inlineStr">
        <is>
          <t>Weekly - Thursday</t>
        </is>
      </c>
      <c r="I1417" t="inlineStr">
        <is>
          <t>Weekly - Thursday</t>
        </is>
      </c>
      <c r="J1417" t="inlineStr">
        <is>
          <t>Month+1 Expiry</t>
        </is>
      </c>
      <c r="K1417" s="25" t="n">
        <v>453</v>
      </c>
      <c r="L1417" s="26" t="n">
        <v>0.7163</v>
      </c>
      <c r="M1417" s="26" t="n">
        <v>0.0101</v>
      </c>
    </row>
    <row r="1418">
      <c r="A1418" t="inlineStr">
        <is>
          <t>20-Jul-2026</t>
        </is>
      </c>
      <c r="B1418" t="inlineStr">
        <is>
          <t>Monday</t>
        </is>
      </c>
      <c r="C1418" t="inlineStr">
        <is>
          <t>Week3-Jul-2026</t>
        </is>
      </c>
      <c r="D1418" s="78" t="n">
        <v>46204</v>
      </c>
      <c r="E1418" t="inlineStr">
        <is>
          <t>Q2FY27</t>
        </is>
      </c>
      <c r="F1418" t="inlineStr">
        <is>
          <t>20-Aug-2026</t>
        </is>
      </c>
      <c r="G1418" t="inlineStr">
        <is>
          <t>Thursday</t>
        </is>
      </c>
      <c r="H1418" t="inlineStr">
        <is>
          <t>Weekly - Thursday</t>
        </is>
      </c>
      <c r="I1418" t="inlineStr">
        <is>
          <t>Weekly - Thursday</t>
        </is>
      </c>
      <c r="J1418" t="inlineStr">
        <is>
          <t>Month+1 Expiry</t>
        </is>
      </c>
      <c r="K1418" s="25" t="n">
        <v>4</v>
      </c>
      <c r="L1418" s="26" t="n">
        <v>0.0063</v>
      </c>
      <c r="M1418" s="26" t="n">
        <v>0.0001</v>
      </c>
    </row>
    <row r="1419">
      <c r="A1419" t="inlineStr">
        <is>
          <t>20-Jul-2026</t>
        </is>
      </c>
      <c r="B1419" t="inlineStr">
        <is>
          <t>Monday</t>
        </is>
      </c>
      <c r="C1419" t="inlineStr">
        <is>
          <t>Week3-Jul-2026</t>
        </is>
      </c>
      <c r="D1419" s="78" t="n">
        <v>46204</v>
      </c>
      <c r="E1419" t="inlineStr">
        <is>
          <t>Q2FY27</t>
        </is>
      </c>
      <c r="F1419" t="inlineStr">
        <is>
          <t>27-Aug-2026</t>
        </is>
      </c>
      <c r="G1419" t="inlineStr">
        <is>
          <t>Thursday</t>
        </is>
      </c>
      <c r="H1419" t="inlineStr">
        <is>
          <t>Monthly - Thursday</t>
        </is>
      </c>
      <c r="I1419" t="inlineStr">
        <is>
          <t>Monthly - Thursday</t>
        </is>
      </c>
      <c r="J1419" t="inlineStr">
        <is>
          <t>Month+1 Expiry</t>
        </is>
      </c>
      <c r="K1419" s="25" t="n">
        <v>2176</v>
      </c>
      <c r="L1419" s="26" t="n">
        <v>3.434</v>
      </c>
      <c r="M1419" s="26" t="n">
        <v>0.0514</v>
      </c>
    </row>
    <row r="1420">
      <c r="A1420" t="inlineStr">
        <is>
          <t>21-Jul-2026</t>
        </is>
      </c>
      <c r="B1420" t="inlineStr">
        <is>
          <t>Tuesday</t>
        </is>
      </c>
      <c r="C1420" t="inlineStr">
        <is>
          <t>Week3-Jul-2026</t>
        </is>
      </c>
      <c r="D1420" s="78" t="n">
        <v>46204</v>
      </c>
      <c r="E1420" t="inlineStr">
        <is>
          <t>Q2FY27</t>
        </is>
      </c>
      <c r="F1420" t="inlineStr">
        <is>
          <t>23-Jul-2026</t>
        </is>
      </c>
      <c r="G1420" t="inlineStr">
        <is>
          <t>Thursday</t>
        </is>
      </c>
      <c r="H1420" t="inlineStr">
        <is>
          <t>Weekly - Thursday</t>
        </is>
      </c>
      <c r="I1420" t="inlineStr">
        <is>
          <t>Weekly - Thursday</t>
        </is>
      </c>
      <c r="J1420" t="inlineStr">
        <is>
          <t>Same Month Expiry</t>
        </is>
      </c>
      <c r="K1420" s="25" t="n">
        <v>23274081</v>
      </c>
      <c r="L1420" s="26" t="n">
        <v>36164.9393</v>
      </c>
      <c r="M1420" s="26" t="n">
        <v>88.7474</v>
      </c>
    </row>
    <row r="1421">
      <c r="A1421" t="inlineStr">
        <is>
          <t>21-Jul-2026</t>
        </is>
      </c>
      <c r="B1421" t="inlineStr">
        <is>
          <t>Tuesday</t>
        </is>
      </c>
      <c r="C1421" t="inlineStr">
        <is>
          <t>Week3-Jul-2026</t>
        </is>
      </c>
      <c r="D1421" s="78" t="n">
        <v>46204</v>
      </c>
      <c r="E1421" t="inlineStr">
        <is>
          <t>Q2FY27</t>
        </is>
      </c>
      <c r="F1421" t="inlineStr">
        <is>
          <t>30-Jul-2026</t>
        </is>
      </c>
      <c r="G1421" t="inlineStr">
        <is>
          <t>Thursday</t>
        </is>
      </c>
      <c r="H1421" t="inlineStr">
        <is>
          <t>Monthly - Thursday</t>
        </is>
      </c>
      <c r="I1421" t="inlineStr">
        <is>
          <t>Monthly - Thursday</t>
        </is>
      </c>
      <c r="J1421" t="inlineStr">
        <is>
          <t>Same Month Expiry</t>
        </is>
      </c>
      <c r="K1421" s="25" t="n">
        <v>308472</v>
      </c>
      <c r="L1421" s="26" t="n">
        <v>479.5396</v>
      </c>
      <c r="M1421" s="26" t="n">
        <v>1.72</v>
      </c>
    </row>
    <row r="1422">
      <c r="A1422" t="inlineStr">
        <is>
          <t>21-Jul-2026</t>
        </is>
      </c>
      <c r="B1422" t="inlineStr">
        <is>
          <t>Tuesday</t>
        </is>
      </c>
      <c r="C1422" t="inlineStr">
        <is>
          <t>Week3-Jul-2026</t>
        </is>
      </c>
      <c r="D1422" s="78" t="n">
        <v>46204</v>
      </c>
      <c r="E1422" t="inlineStr">
        <is>
          <t>Q2FY27</t>
        </is>
      </c>
      <c r="F1422" t="inlineStr">
        <is>
          <t>06-Aug-2026</t>
        </is>
      </c>
      <c r="G1422" t="inlineStr">
        <is>
          <t>Thursday</t>
        </is>
      </c>
      <c r="H1422" t="inlineStr">
        <is>
          <t>Weekly - Thursday</t>
        </is>
      </c>
      <c r="I1422" t="inlineStr">
        <is>
          <t>Weekly - Thursday</t>
        </is>
      </c>
      <c r="J1422" t="inlineStr">
        <is>
          <t>Month+1 Expiry</t>
        </is>
      </c>
      <c r="K1422" s="25" t="n">
        <v>4077</v>
      </c>
      <c r="L1422" s="26" t="n">
        <v>6.3526</v>
      </c>
      <c r="M1422" s="26" t="n">
        <v>0.0338</v>
      </c>
    </row>
    <row r="1423">
      <c r="A1423" t="inlineStr">
        <is>
          <t>21-Jul-2026</t>
        </is>
      </c>
      <c r="B1423" t="inlineStr">
        <is>
          <t>Tuesday</t>
        </is>
      </c>
      <c r="C1423" t="inlineStr">
        <is>
          <t>Week3-Jul-2026</t>
        </is>
      </c>
      <c r="D1423" s="78" t="n">
        <v>46204</v>
      </c>
      <c r="E1423" t="inlineStr">
        <is>
          <t>Q2FY27</t>
        </is>
      </c>
      <c r="F1423" t="inlineStr">
        <is>
          <t>13-Aug-2026</t>
        </is>
      </c>
      <c r="G1423" t="inlineStr">
        <is>
          <t>Thursday</t>
        </is>
      </c>
      <c r="H1423" t="inlineStr">
        <is>
          <t>Weekly - Thursday</t>
        </is>
      </c>
      <c r="I1423" t="inlineStr">
        <is>
          <t>Weekly - Thursday</t>
        </is>
      </c>
      <c r="J1423" t="inlineStr">
        <is>
          <t>Month+1 Expiry</t>
        </is>
      </c>
      <c r="K1423" s="25" t="n">
        <v>444</v>
      </c>
      <c r="L1423" s="26" t="n">
        <v>0.6975</v>
      </c>
      <c r="M1423" s="26" t="n">
        <v>0.0083</v>
      </c>
    </row>
    <row r="1424">
      <c r="A1424" t="inlineStr">
        <is>
          <t>21-Jul-2026</t>
        </is>
      </c>
      <c r="B1424" t="inlineStr">
        <is>
          <t>Tuesday</t>
        </is>
      </c>
      <c r="C1424" t="inlineStr">
        <is>
          <t>Week3-Jul-2026</t>
        </is>
      </c>
      <c r="D1424" s="78" t="n">
        <v>46204</v>
      </c>
      <c r="E1424" t="inlineStr">
        <is>
          <t>Q2FY27</t>
        </is>
      </c>
      <c r="F1424" t="inlineStr">
        <is>
          <t>20-Aug-2026</t>
        </is>
      </c>
      <c r="G1424" t="inlineStr">
        <is>
          <t>Thursday</t>
        </is>
      </c>
      <c r="H1424" t="inlineStr">
        <is>
          <t>Weekly - Thursday</t>
        </is>
      </c>
      <c r="I1424" t="inlineStr">
        <is>
          <t>Weekly - Thursday</t>
        </is>
      </c>
      <c r="J1424" t="inlineStr">
        <is>
          <t>Month+1 Expiry</t>
        </is>
      </c>
      <c r="K1424" s="25" t="n">
        <v>0</v>
      </c>
      <c r="L1424" s="26" t="n">
        <v>0</v>
      </c>
      <c r="M1424" s="26" t="n">
        <v>0</v>
      </c>
    </row>
    <row r="1425">
      <c r="A1425" t="inlineStr">
        <is>
          <t>21-Jul-2026</t>
        </is>
      </c>
      <c r="B1425" t="inlineStr">
        <is>
          <t>Tuesday</t>
        </is>
      </c>
      <c r="C1425" t="inlineStr">
        <is>
          <t>Week3-Jul-2026</t>
        </is>
      </c>
      <c r="D1425" s="78" t="n">
        <v>46204</v>
      </c>
      <c r="E1425" t="inlineStr">
        <is>
          <t>Q2FY27</t>
        </is>
      </c>
      <c r="F1425" t="inlineStr">
        <is>
          <t>27-Aug-2026</t>
        </is>
      </c>
      <c r="G1425" t="inlineStr">
        <is>
          <t>Thursday</t>
        </is>
      </c>
      <c r="H1425" t="inlineStr">
        <is>
          <t>Monthly - Thursday</t>
        </is>
      </c>
      <c r="I1425" t="inlineStr">
        <is>
          <t>Monthly - Thursday</t>
        </is>
      </c>
      <c r="J1425" t="inlineStr">
        <is>
          <t>Month+1 Expiry</t>
        </is>
      </c>
      <c r="K1425" s="25" t="n">
        <v>1690</v>
      </c>
      <c r="L1425" s="26" t="n">
        <v>2.6617</v>
      </c>
      <c r="M1425" s="26" t="n">
        <v>0.0318</v>
      </c>
    </row>
    <row r="1426">
      <c r="A1426" t="inlineStr">
        <is>
          <t>22-Jul-2026</t>
        </is>
      </c>
      <c r="B1426" t="inlineStr">
        <is>
          <t>Wednesday</t>
        </is>
      </c>
      <c r="C1426" t="inlineStr">
        <is>
          <t>Week4-Jul-2026</t>
        </is>
      </c>
      <c r="D1426" s="78" t="n">
        <v>46204</v>
      </c>
      <c r="E1426" t="inlineStr">
        <is>
          <t>Q2FY27</t>
        </is>
      </c>
      <c r="F1426" t="inlineStr">
        <is>
          <t>23-Jul-2026</t>
        </is>
      </c>
      <c r="G1426" t="inlineStr">
        <is>
          <t>Thursday</t>
        </is>
      </c>
      <c r="H1426" t="inlineStr">
        <is>
          <t>Weekly - Thursday</t>
        </is>
      </c>
      <c r="I1426" t="inlineStr">
        <is>
          <t>Weekly - Thursday</t>
        </is>
      </c>
      <c r="J1426" t="inlineStr">
        <is>
          <t>Same Month Expiry</t>
        </is>
      </c>
      <c r="K1426" s="25" t="n">
        <v>112795907</v>
      </c>
      <c r="L1426" s="26" t="n">
        <v>173808.917</v>
      </c>
      <c r="M1426" s="26" t="n">
        <v>320.3099</v>
      </c>
    </row>
    <row r="1427">
      <c r="A1427" t="inlineStr">
        <is>
          <t>22-Jul-2026</t>
        </is>
      </c>
      <c r="B1427" t="inlineStr">
        <is>
          <t>Wednesday</t>
        </is>
      </c>
      <c r="C1427" t="inlineStr">
        <is>
          <t>Week4-Jul-2026</t>
        </is>
      </c>
      <c r="D1427" s="78" t="n">
        <v>46204</v>
      </c>
      <c r="E1427" t="inlineStr">
        <is>
          <t>Q2FY27</t>
        </is>
      </c>
      <c r="F1427" t="inlineStr">
        <is>
          <t>30-Jul-2026</t>
        </is>
      </c>
      <c r="G1427" t="inlineStr">
        <is>
          <t>Thursday</t>
        </is>
      </c>
      <c r="H1427" t="inlineStr">
        <is>
          <t>Monthly - Thursday</t>
        </is>
      </c>
      <c r="I1427" t="inlineStr">
        <is>
          <t>Monthly - Thursday</t>
        </is>
      </c>
      <c r="J1427" t="inlineStr">
        <is>
          <t>Same Month Expiry</t>
        </is>
      </c>
      <c r="K1427" s="25" t="n">
        <v>758936</v>
      </c>
      <c r="L1427" s="26" t="n">
        <v>1173.9096</v>
      </c>
      <c r="M1427" s="26" t="n">
        <v>4.3847</v>
      </c>
    </row>
    <row r="1428">
      <c r="A1428" t="inlineStr">
        <is>
          <t>22-Jul-2026</t>
        </is>
      </c>
      <c r="B1428" t="inlineStr">
        <is>
          <t>Wednesday</t>
        </is>
      </c>
      <c r="C1428" t="inlineStr">
        <is>
          <t>Week4-Jul-2026</t>
        </is>
      </c>
      <c r="D1428" s="78" t="n">
        <v>46204</v>
      </c>
      <c r="E1428" t="inlineStr">
        <is>
          <t>Q2FY27</t>
        </is>
      </c>
      <c r="F1428" t="inlineStr">
        <is>
          <t>06-Aug-2026</t>
        </is>
      </c>
      <c r="G1428" t="inlineStr">
        <is>
          <t>Thursday</t>
        </is>
      </c>
      <c r="H1428" t="inlineStr">
        <is>
          <t>Weekly - Thursday</t>
        </is>
      </c>
      <c r="I1428" t="inlineStr">
        <is>
          <t>Weekly - Thursday</t>
        </is>
      </c>
      <c r="J1428" t="inlineStr">
        <is>
          <t>Month+1 Expiry</t>
        </is>
      </c>
      <c r="K1428" s="25" t="n">
        <v>12411</v>
      </c>
      <c r="L1428" s="26" t="n">
        <v>19.2978</v>
      </c>
      <c r="M1428" s="26" t="n">
        <v>0.1378</v>
      </c>
    </row>
    <row r="1429">
      <c r="A1429" t="inlineStr">
        <is>
          <t>22-Jul-2026</t>
        </is>
      </c>
      <c r="B1429" t="inlineStr">
        <is>
          <t>Wednesday</t>
        </is>
      </c>
      <c r="C1429" t="inlineStr">
        <is>
          <t>Week4-Jul-2026</t>
        </is>
      </c>
      <c r="D1429" s="78" t="n">
        <v>46204</v>
      </c>
      <c r="E1429" t="inlineStr">
        <is>
          <t>Q2FY27</t>
        </is>
      </c>
      <c r="F1429" t="inlineStr">
        <is>
          <t>13-Aug-2026</t>
        </is>
      </c>
      <c r="G1429" t="inlineStr">
        <is>
          <t>Thursday</t>
        </is>
      </c>
      <c r="H1429" t="inlineStr">
        <is>
          <t>Weekly - Thursday</t>
        </is>
      </c>
      <c r="I1429" t="inlineStr">
        <is>
          <t>Weekly - Thursday</t>
        </is>
      </c>
      <c r="J1429" t="inlineStr">
        <is>
          <t>Month+1 Expiry</t>
        </is>
      </c>
      <c r="K1429" s="25" t="n">
        <v>592</v>
      </c>
      <c r="L1429" s="26" t="n">
        <v>0.9238</v>
      </c>
      <c r="M1429" s="26" t="n">
        <v>0.0108</v>
      </c>
    </row>
    <row r="1430">
      <c r="A1430" t="inlineStr">
        <is>
          <t>22-Jul-2026</t>
        </is>
      </c>
      <c r="B1430" t="inlineStr">
        <is>
          <t>Wednesday</t>
        </is>
      </c>
      <c r="C1430" t="inlineStr">
        <is>
          <t>Week4-Jul-2026</t>
        </is>
      </c>
      <c r="D1430" s="78" t="n">
        <v>46204</v>
      </c>
      <c r="E1430" t="inlineStr">
        <is>
          <t>Q2FY27</t>
        </is>
      </c>
      <c r="F1430" t="inlineStr">
        <is>
          <t>20-Aug-2026</t>
        </is>
      </c>
      <c r="G1430" t="inlineStr">
        <is>
          <t>Thursday</t>
        </is>
      </c>
      <c r="H1430" t="inlineStr">
        <is>
          <t>Weekly - Thursday</t>
        </is>
      </c>
      <c r="I1430" t="inlineStr">
        <is>
          <t>Weekly - Thursday</t>
        </is>
      </c>
      <c r="J1430" t="inlineStr">
        <is>
          <t>Month+1 Expiry</t>
        </is>
      </c>
      <c r="K1430" s="25" t="n">
        <v>0</v>
      </c>
      <c r="L1430" s="26" t="n">
        <v>0</v>
      </c>
      <c r="M1430" s="26" t="n">
        <v>0</v>
      </c>
    </row>
    <row r="1431">
      <c r="A1431" t="inlineStr">
        <is>
          <t>22-Jul-2026</t>
        </is>
      </c>
      <c r="B1431" t="inlineStr">
        <is>
          <t>Wednesday</t>
        </is>
      </c>
      <c r="C1431" t="inlineStr">
        <is>
          <t>Week4-Jul-2026</t>
        </is>
      </c>
      <c r="D1431" s="78" t="n">
        <v>46204</v>
      </c>
      <c r="E1431" t="inlineStr">
        <is>
          <t>Q2FY27</t>
        </is>
      </c>
      <c r="F1431" t="inlineStr">
        <is>
          <t>27-Aug-2026</t>
        </is>
      </c>
      <c r="G1431" t="inlineStr">
        <is>
          <t>Thursday</t>
        </is>
      </c>
      <c r="H1431" t="inlineStr">
        <is>
          <t>Monthly - Thursday</t>
        </is>
      </c>
      <c r="I1431" t="inlineStr">
        <is>
          <t>Monthly - Thursday</t>
        </is>
      </c>
      <c r="J1431" t="inlineStr">
        <is>
          <t>Month+1 Expiry</t>
        </is>
      </c>
      <c r="K1431" s="25" t="n">
        <v>6880</v>
      </c>
      <c r="L1431" s="26" t="n">
        <v>10.7836</v>
      </c>
      <c r="M1431" s="26" t="n">
        <v>0.1458</v>
      </c>
    </row>
    <row r="1432">
      <c r="A1432" t="inlineStr">
        <is>
          <t>23-Jul-2026</t>
        </is>
      </c>
      <c r="B1432" t="inlineStr">
        <is>
          <t>Thursday</t>
        </is>
      </c>
      <c r="C1432" t="inlineStr">
        <is>
          <t>Week4-Jul-2026</t>
        </is>
      </c>
      <c r="D1432" s="78" t="n">
        <v>46204</v>
      </c>
      <c r="E1432" t="inlineStr">
        <is>
          <t>Q2FY27</t>
        </is>
      </c>
      <c r="F1432" t="inlineStr">
        <is>
          <t>23-Jul-2026</t>
        </is>
      </c>
      <c r="G1432" t="inlineStr">
        <is>
          <t>Thursday</t>
        </is>
      </c>
      <c r="H1432" t="inlineStr">
        <is>
          <t>Weekly - Thursday</t>
        </is>
      </c>
      <c r="I1432" t="inlineStr">
        <is>
          <t>Weekly - Thursday</t>
        </is>
      </c>
      <c r="J1432" t="inlineStr">
        <is>
          <t>Same Month Expiry</t>
        </is>
      </c>
      <c r="K1432" s="25" t="n">
        <v>492170271</v>
      </c>
      <c r="L1432" s="26" t="n">
        <v>753029.8419</v>
      </c>
      <c r="M1432" s="26" t="n">
        <v>508.3783</v>
      </c>
    </row>
    <row r="1433">
      <c r="A1433" t="inlineStr">
        <is>
          <t>23-Jul-2026</t>
        </is>
      </c>
      <c r="B1433" t="inlineStr">
        <is>
          <t>Thursday</t>
        </is>
      </c>
      <c r="C1433" t="inlineStr">
        <is>
          <t>Week4-Jul-2026</t>
        </is>
      </c>
      <c r="D1433" s="78" t="n">
        <v>46204</v>
      </c>
      <c r="E1433" t="inlineStr">
        <is>
          <t>Q2FY27</t>
        </is>
      </c>
      <c r="F1433" t="inlineStr">
        <is>
          <t>30-Jul-2026</t>
        </is>
      </c>
      <c r="G1433" t="inlineStr">
        <is>
          <t>Thursday</t>
        </is>
      </c>
      <c r="H1433" t="inlineStr">
        <is>
          <t>Monthly - Thursday</t>
        </is>
      </c>
      <c r="I1433" t="inlineStr">
        <is>
          <t>Monthly - Thursday</t>
        </is>
      </c>
      <c r="J1433" t="inlineStr">
        <is>
          <t>Same Month Expiry</t>
        </is>
      </c>
      <c r="K1433" s="25" t="n">
        <v>2065141</v>
      </c>
      <c r="L1433" s="26" t="n">
        <v>3184.1456</v>
      </c>
      <c r="M1433" s="26" t="n">
        <v>12.0657</v>
      </c>
    </row>
    <row r="1434">
      <c r="A1434" t="inlineStr">
        <is>
          <t>23-Jul-2026</t>
        </is>
      </c>
      <c r="B1434" t="inlineStr">
        <is>
          <t>Thursday</t>
        </is>
      </c>
      <c r="C1434" t="inlineStr">
        <is>
          <t>Week4-Jul-2026</t>
        </is>
      </c>
      <c r="D1434" s="78" t="n">
        <v>46204</v>
      </c>
      <c r="E1434" t="inlineStr">
        <is>
          <t>Q2FY27</t>
        </is>
      </c>
      <c r="F1434" t="inlineStr">
        <is>
          <t>06-Aug-2026</t>
        </is>
      </c>
      <c r="G1434" t="inlineStr">
        <is>
          <t>Thursday</t>
        </is>
      </c>
      <c r="H1434" t="inlineStr">
        <is>
          <t>Weekly - Thursday</t>
        </is>
      </c>
      <c r="I1434" t="inlineStr">
        <is>
          <t>Weekly - Thursday</t>
        </is>
      </c>
      <c r="J1434" t="inlineStr">
        <is>
          <t>Month+1 Expiry</t>
        </is>
      </c>
      <c r="K1434" s="25" t="n">
        <v>19587</v>
      </c>
      <c r="L1434" s="26" t="n">
        <v>30.3206</v>
      </c>
      <c r="M1434" s="26" t="n">
        <v>0.1938</v>
      </c>
    </row>
    <row r="1435">
      <c r="A1435" t="inlineStr">
        <is>
          <t>23-Jul-2026</t>
        </is>
      </c>
      <c r="B1435" t="inlineStr">
        <is>
          <t>Thursday</t>
        </is>
      </c>
      <c r="C1435" t="inlineStr">
        <is>
          <t>Week4-Jul-2026</t>
        </is>
      </c>
      <c r="D1435" s="78" t="n">
        <v>46204</v>
      </c>
      <c r="E1435" t="inlineStr">
        <is>
          <t>Q2FY27</t>
        </is>
      </c>
      <c r="F1435" t="inlineStr">
        <is>
          <t>13-Aug-2026</t>
        </is>
      </c>
      <c r="G1435" t="inlineStr">
        <is>
          <t>Thursday</t>
        </is>
      </c>
      <c r="H1435" t="inlineStr">
        <is>
          <t>Weekly - Thursday</t>
        </is>
      </c>
      <c r="I1435" t="inlineStr">
        <is>
          <t>Weekly - Thursday</t>
        </is>
      </c>
      <c r="J1435" t="inlineStr">
        <is>
          <t>Month+1 Expiry</t>
        </is>
      </c>
      <c r="K1435" s="25" t="n">
        <v>428</v>
      </c>
      <c r="L1435" s="26" t="n">
        <v>0.6657</v>
      </c>
      <c r="M1435" s="26" t="n">
        <v>0.0076</v>
      </c>
    </row>
    <row r="1436">
      <c r="A1436" t="inlineStr">
        <is>
          <t>23-Jul-2026</t>
        </is>
      </c>
      <c r="B1436" t="inlineStr">
        <is>
          <t>Thursday</t>
        </is>
      </c>
      <c r="C1436" t="inlineStr">
        <is>
          <t>Week4-Jul-2026</t>
        </is>
      </c>
      <c r="D1436" s="78" t="n">
        <v>46204</v>
      </c>
      <c r="E1436" t="inlineStr">
        <is>
          <t>Q2FY27</t>
        </is>
      </c>
      <c r="F1436" t="inlineStr">
        <is>
          <t>20-Aug-2026</t>
        </is>
      </c>
      <c r="G1436" t="inlineStr">
        <is>
          <t>Thursday</t>
        </is>
      </c>
      <c r="H1436" t="inlineStr">
        <is>
          <t>Weekly - Thursday</t>
        </is>
      </c>
      <c r="I1436" t="inlineStr">
        <is>
          <t>Weekly - Thursday</t>
        </is>
      </c>
      <c r="J1436" t="inlineStr">
        <is>
          <t>Month+1 Expiry</t>
        </is>
      </c>
      <c r="K1436" s="25" t="n">
        <v>2</v>
      </c>
      <c r="L1436" s="26" t="n">
        <v>0.0031</v>
      </c>
      <c r="M1436" s="26" t="n">
        <v>0.0001</v>
      </c>
    </row>
    <row r="1437">
      <c r="A1437" t="inlineStr">
        <is>
          <t>23-Jul-2026</t>
        </is>
      </c>
      <c r="B1437" t="inlineStr">
        <is>
          <t>Thursday</t>
        </is>
      </c>
      <c r="C1437" t="inlineStr">
        <is>
          <t>Week4-Jul-2026</t>
        </is>
      </c>
      <c r="D1437" s="78" t="n">
        <v>46204</v>
      </c>
      <c r="E1437" t="inlineStr">
        <is>
          <t>Q2FY27</t>
        </is>
      </c>
      <c r="F1437" t="inlineStr">
        <is>
          <t>27-Aug-2026</t>
        </is>
      </c>
      <c r="G1437" t="inlineStr">
        <is>
          <t>Thursday</t>
        </is>
      </c>
      <c r="H1437" t="inlineStr">
        <is>
          <t>Monthly - Thursday</t>
        </is>
      </c>
      <c r="I1437" t="inlineStr">
        <is>
          <t>Monthly - Thursday</t>
        </is>
      </c>
      <c r="J1437" t="inlineStr">
        <is>
          <t>Month+1 Expiry</t>
        </is>
      </c>
      <c r="K1437" s="25" t="n">
        <v>7822</v>
      </c>
      <c r="L1437" s="26" t="n">
        <v>12.1893</v>
      </c>
      <c r="M1437" s="26" t="n">
        <v>0.1662</v>
      </c>
    </row>
    <row r="1438">
      <c r="A1438" t="inlineStr">
        <is>
          <t>24-Jul-2026</t>
        </is>
      </c>
      <c r="B1438" t="inlineStr">
        <is>
          <t>Friday</t>
        </is>
      </c>
      <c r="C1438" t="inlineStr">
        <is>
          <t>Week4-Jul-2026</t>
        </is>
      </c>
      <c r="D1438" s="78" t="n">
        <v>46204</v>
      </c>
      <c r="E1438" t="inlineStr">
        <is>
          <t>Q2FY27</t>
        </is>
      </c>
      <c r="F1438" t="inlineStr">
        <is>
          <t>30-Jul-2026</t>
        </is>
      </c>
      <c r="G1438" t="inlineStr">
        <is>
          <t>Thursday</t>
        </is>
      </c>
      <c r="H1438" t="inlineStr">
        <is>
          <t>Monthly - Thursday</t>
        </is>
      </c>
      <c r="I1438" t="inlineStr">
        <is>
          <t>MDAW - Thursday</t>
        </is>
      </c>
      <c r="J1438" t="inlineStr">
        <is>
          <t>Same Month Expiry</t>
        </is>
      </c>
      <c r="K1438" s="25" t="n">
        <v>17534553</v>
      </c>
      <c r="L1438" s="26" t="n">
        <v>26716.1567</v>
      </c>
      <c r="M1438" s="26" t="n">
        <v>105.5395</v>
      </c>
    </row>
    <row r="1439">
      <c r="A1439" t="inlineStr">
        <is>
          <t>24-Jul-2026</t>
        </is>
      </c>
      <c r="B1439" t="inlineStr">
        <is>
          <t>Friday</t>
        </is>
      </c>
      <c r="C1439" t="inlineStr">
        <is>
          <t>Week4-Jul-2026</t>
        </is>
      </c>
      <c r="D1439" s="78" t="n">
        <v>46204</v>
      </c>
      <c r="E1439" t="inlineStr">
        <is>
          <t>Q2FY27</t>
        </is>
      </c>
      <c r="F1439" t="inlineStr">
        <is>
          <t>06-Aug-2026</t>
        </is>
      </c>
      <c r="G1439" t="inlineStr">
        <is>
          <t>Thursday</t>
        </is>
      </c>
      <c r="H1439" t="inlineStr">
        <is>
          <t>Weekly - Thursday</t>
        </is>
      </c>
      <c r="I1439" t="inlineStr">
        <is>
          <t>Weekly - Thursday</t>
        </is>
      </c>
      <c r="J1439" t="inlineStr">
        <is>
          <t>Month+1 Expiry</t>
        </is>
      </c>
      <c r="K1439" s="25" t="n">
        <v>102847</v>
      </c>
      <c r="L1439" s="26" t="n">
        <v>158.2554</v>
      </c>
      <c r="M1439" s="26" t="n">
        <v>1.0469</v>
      </c>
    </row>
    <row r="1440">
      <c r="A1440" t="inlineStr">
        <is>
          <t>24-Jul-2026</t>
        </is>
      </c>
      <c r="B1440" t="inlineStr">
        <is>
          <t>Friday</t>
        </is>
      </c>
      <c r="C1440" t="inlineStr">
        <is>
          <t>Week4-Jul-2026</t>
        </is>
      </c>
      <c r="D1440" s="78" t="n">
        <v>46204</v>
      </c>
      <c r="E1440" t="inlineStr">
        <is>
          <t>Q2FY27</t>
        </is>
      </c>
      <c r="F1440" t="inlineStr">
        <is>
          <t>13-Aug-2026</t>
        </is>
      </c>
      <c r="G1440" t="inlineStr">
        <is>
          <t>Thursday</t>
        </is>
      </c>
      <c r="H1440" t="inlineStr">
        <is>
          <t>Weekly - Thursday</t>
        </is>
      </c>
      <c r="I1440" t="inlineStr">
        <is>
          <t>Weekly - Thursday</t>
        </is>
      </c>
      <c r="J1440" t="inlineStr">
        <is>
          <t>Month+1 Expiry</t>
        </is>
      </c>
      <c r="K1440" s="25" t="n">
        <v>1911</v>
      </c>
      <c r="L1440" s="26" t="n">
        <v>2.9526</v>
      </c>
      <c r="M1440" s="26" t="n">
        <v>0.028</v>
      </c>
    </row>
    <row r="1441">
      <c r="A1441" t="inlineStr">
        <is>
          <t>24-Jul-2026</t>
        </is>
      </c>
      <c r="B1441" t="inlineStr">
        <is>
          <t>Friday</t>
        </is>
      </c>
      <c r="C1441" t="inlineStr">
        <is>
          <t>Week4-Jul-2026</t>
        </is>
      </c>
      <c r="D1441" s="78" t="n">
        <v>46204</v>
      </c>
      <c r="E1441" t="inlineStr">
        <is>
          <t>Q2FY27</t>
        </is>
      </c>
      <c r="F1441" t="inlineStr">
        <is>
          <t>20-Aug-2026</t>
        </is>
      </c>
      <c r="G1441" t="inlineStr">
        <is>
          <t>Thursday</t>
        </is>
      </c>
      <c r="H1441" t="inlineStr">
        <is>
          <t>Weekly - Thursday</t>
        </is>
      </c>
      <c r="I1441" t="inlineStr">
        <is>
          <t>Weekly - Thursday</t>
        </is>
      </c>
      <c r="J1441" t="inlineStr">
        <is>
          <t>Month+1 Expiry</t>
        </is>
      </c>
      <c r="K1441" s="25" t="n">
        <v>91</v>
      </c>
      <c r="L1441" s="26" t="n">
        <v>0.1412</v>
      </c>
      <c r="M1441" s="26" t="n">
        <v>0.0021</v>
      </c>
    </row>
    <row r="1442">
      <c r="A1442" t="inlineStr">
        <is>
          <t>24-Jul-2026</t>
        </is>
      </c>
      <c r="B1442" t="inlineStr">
        <is>
          <t>Friday</t>
        </is>
      </c>
      <c r="C1442" t="inlineStr">
        <is>
          <t>Week4-Jul-2026</t>
        </is>
      </c>
      <c r="D1442" s="78" t="n">
        <v>46204</v>
      </c>
      <c r="E1442" t="inlineStr">
        <is>
          <t>Q2FY27</t>
        </is>
      </c>
      <c r="F1442" t="inlineStr">
        <is>
          <t>27-Aug-2026</t>
        </is>
      </c>
      <c r="G1442" t="inlineStr">
        <is>
          <t>Thursday</t>
        </is>
      </c>
      <c r="H1442" t="inlineStr">
        <is>
          <t>Monthly - Thursday</t>
        </is>
      </c>
      <c r="I1442" t="inlineStr">
        <is>
          <t>Monthly - Thursday</t>
        </is>
      </c>
      <c r="J1442" t="inlineStr">
        <is>
          <t>Month+1 Expiry</t>
        </is>
      </c>
      <c r="K1442" s="25" t="n">
        <v>7507</v>
      </c>
      <c r="L1442" s="26" t="n">
        <v>11.6761</v>
      </c>
      <c r="M1442" s="26" t="n">
        <v>0.1384</v>
      </c>
    </row>
    <row r="1443">
      <c r="A1443" t="inlineStr">
        <is>
          <t>27-Jul-2026</t>
        </is>
      </c>
      <c r="B1443" t="inlineStr">
        <is>
          <t>Monday</t>
        </is>
      </c>
      <c r="C1443" t="inlineStr">
        <is>
          <t>Week4-Jul-2026</t>
        </is>
      </c>
      <c r="D1443" s="78" t="n">
        <v>46204</v>
      </c>
      <c r="E1443" t="inlineStr">
        <is>
          <t>Q2FY27</t>
        </is>
      </c>
      <c r="F1443" t="inlineStr">
        <is>
          <t>30-Jul-2026</t>
        </is>
      </c>
      <c r="G1443" t="inlineStr">
        <is>
          <t>Thursday</t>
        </is>
      </c>
      <c r="H1443" t="inlineStr">
        <is>
          <t>Monthly - Thursday</t>
        </is>
      </c>
      <c r="I1443" t="inlineStr">
        <is>
          <t>MDAW - Thursday</t>
        </is>
      </c>
      <c r="J1443" t="inlineStr">
        <is>
          <t>Same Month Expiry</t>
        </is>
      </c>
      <c r="K1443" s="25" t="n">
        <v>17828637</v>
      </c>
      <c r="L1443" s="26" t="n">
        <v>27402.0151</v>
      </c>
      <c r="M1443" s="26" t="n">
        <v>82.05629999999999</v>
      </c>
    </row>
    <row r="1444">
      <c r="A1444" t="inlineStr">
        <is>
          <t>27-Jul-2026</t>
        </is>
      </c>
      <c r="B1444" t="inlineStr">
        <is>
          <t>Monday</t>
        </is>
      </c>
      <c r="C1444" t="inlineStr">
        <is>
          <t>Week4-Jul-2026</t>
        </is>
      </c>
      <c r="D1444" s="78" t="n">
        <v>46204</v>
      </c>
      <c r="E1444" t="inlineStr">
        <is>
          <t>Q2FY27</t>
        </is>
      </c>
      <c r="F1444" t="inlineStr">
        <is>
          <t>06-Aug-2026</t>
        </is>
      </c>
      <c r="G1444" t="inlineStr">
        <is>
          <t>Thursday</t>
        </is>
      </c>
      <c r="H1444" t="inlineStr">
        <is>
          <t>Weekly - Thursday</t>
        </is>
      </c>
      <c r="I1444" t="inlineStr">
        <is>
          <t>Weekly - Thursday</t>
        </is>
      </c>
      <c r="J1444" t="inlineStr">
        <is>
          <t>Month+1 Expiry</t>
        </is>
      </c>
      <c r="K1444" s="25" t="n">
        <v>164824</v>
      </c>
      <c r="L1444" s="26" t="n">
        <v>253.765</v>
      </c>
      <c r="M1444" s="26" t="n">
        <v>1.262</v>
      </c>
    </row>
    <row r="1445">
      <c r="A1445" t="inlineStr">
        <is>
          <t>27-Jul-2026</t>
        </is>
      </c>
      <c r="B1445" t="inlineStr">
        <is>
          <t>Monday</t>
        </is>
      </c>
      <c r="C1445" t="inlineStr">
        <is>
          <t>Week4-Jul-2026</t>
        </is>
      </c>
      <c r="D1445" s="78" t="n">
        <v>46204</v>
      </c>
      <c r="E1445" t="inlineStr">
        <is>
          <t>Q2FY27</t>
        </is>
      </c>
      <c r="F1445" t="inlineStr">
        <is>
          <t>13-Aug-2026</t>
        </is>
      </c>
      <c r="G1445" t="inlineStr">
        <is>
          <t>Thursday</t>
        </is>
      </c>
      <c r="H1445" t="inlineStr">
        <is>
          <t>Weekly - Thursday</t>
        </is>
      </c>
      <c r="I1445" t="inlineStr">
        <is>
          <t>Weekly - Thursday</t>
        </is>
      </c>
      <c r="J1445" t="inlineStr">
        <is>
          <t>Month+1 Expiry</t>
        </is>
      </c>
      <c r="K1445" s="25" t="n">
        <v>2524</v>
      </c>
      <c r="L1445" s="26" t="n">
        <v>3.9261</v>
      </c>
      <c r="M1445" s="26" t="n">
        <v>0.0321</v>
      </c>
    </row>
    <row r="1446">
      <c r="A1446" t="inlineStr">
        <is>
          <t>27-Jul-2026</t>
        </is>
      </c>
      <c r="B1446" t="inlineStr">
        <is>
          <t>Monday</t>
        </is>
      </c>
      <c r="C1446" t="inlineStr">
        <is>
          <t>Week4-Jul-2026</t>
        </is>
      </c>
      <c r="D1446" s="78" t="n">
        <v>46204</v>
      </c>
      <c r="E1446" t="inlineStr">
        <is>
          <t>Q2FY27</t>
        </is>
      </c>
      <c r="F1446" t="inlineStr">
        <is>
          <t>20-Aug-2026</t>
        </is>
      </c>
      <c r="G1446" t="inlineStr">
        <is>
          <t>Thursday</t>
        </is>
      </c>
      <c r="H1446" t="inlineStr">
        <is>
          <t>Weekly - Thursday</t>
        </is>
      </c>
      <c r="I1446" t="inlineStr">
        <is>
          <t>Weekly - Thursday</t>
        </is>
      </c>
      <c r="J1446" t="inlineStr">
        <is>
          <t>Month+1 Expiry</t>
        </is>
      </c>
      <c r="K1446" s="25" t="n">
        <v>693</v>
      </c>
      <c r="L1446" s="26" t="n">
        <v>1.081</v>
      </c>
      <c r="M1446" s="26" t="n">
        <v>0.0137</v>
      </c>
    </row>
    <row r="1447">
      <c r="A1447" t="inlineStr">
        <is>
          <t>27-Jul-2026</t>
        </is>
      </c>
      <c r="B1447" t="inlineStr">
        <is>
          <t>Monday</t>
        </is>
      </c>
      <c r="C1447" t="inlineStr">
        <is>
          <t>Week4-Jul-2026</t>
        </is>
      </c>
      <c r="D1447" s="78" t="n">
        <v>46204</v>
      </c>
      <c r="E1447" t="inlineStr">
        <is>
          <t>Q2FY27</t>
        </is>
      </c>
      <c r="F1447" t="inlineStr">
        <is>
          <t>27-Aug-2026</t>
        </is>
      </c>
      <c r="G1447" t="inlineStr">
        <is>
          <t>Thursday</t>
        </is>
      </c>
      <c r="H1447" t="inlineStr">
        <is>
          <t>Monthly - Thursday</t>
        </is>
      </c>
      <c r="I1447" t="inlineStr">
        <is>
          <t>Monthly - Thursday</t>
        </is>
      </c>
      <c r="J1447" t="inlineStr">
        <is>
          <t>Month+1 Expiry</t>
        </is>
      </c>
      <c r="K1447" s="25" t="n">
        <v>9012</v>
      </c>
      <c r="L1447" s="26" t="n">
        <v>14.5331</v>
      </c>
      <c r="M1447" s="26" t="n">
        <v>0.3813</v>
      </c>
    </row>
    <row r="1448">
      <c r="A1448" t="inlineStr">
        <is>
          <t>28-Jul-2026</t>
        </is>
      </c>
      <c r="B1448" t="inlineStr">
        <is>
          <t>Tuesday</t>
        </is>
      </c>
      <c r="C1448" t="inlineStr">
        <is>
          <t>Week4-Jul-2026</t>
        </is>
      </c>
      <c r="D1448" s="78" t="n">
        <v>46204</v>
      </c>
      <c r="E1448" t="inlineStr">
        <is>
          <t>Q2FY27</t>
        </is>
      </c>
      <c r="F1448" t="inlineStr">
        <is>
          <t>30-Jul-2026</t>
        </is>
      </c>
      <c r="G1448" t="inlineStr">
        <is>
          <t>Thursday</t>
        </is>
      </c>
      <c r="H1448" t="inlineStr">
        <is>
          <t>Monthly - Thursday</t>
        </is>
      </c>
      <c r="I1448" t="inlineStr">
        <is>
          <t>MDAW - Thursday</t>
        </is>
      </c>
      <c r="J1448" t="inlineStr">
        <is>
          <t>Same Month Expiry</t>
        </is>
      </c>
      <c r="K1448" s="25" t="n">
        <v>20557516</v>
      </c>
      <c r="L1448" s="26" t="n">
        <v>31647.443</v>
      </c>
      <c r="M1448" s="26" t="n">
        <v>73.5189</v>
      </c>
    </row>
    <row r="1449">
      <c r="A1449" t="inlineStr">
        <is>
          <t>28-Jul-2026</t>
        </is>
      </c>
      <c r="B1449" t="inlineStr">
        <is>
          <t>Tuesday</t>
        </is>
      </c>
      <c r="C1449" t="inlineStr">
        <is>
          <t>Week4-Jul-2026</t>
        </is>
      </c>
      <c r="D1449" s="78" t="n">
        <v>46204</v>
      </c>
      <c r="E1449" t="inlineStr">
        <is>
          <t>Q2FY27</t>
        </is>
      </c>
      <c r="F1449" t="inlineStr">
        <is>
          <t>06-Aug-2026</t>
        </is>
      </c>
      <c r="G1449" t="inlineStr">
        <is>
          <t>Thursday</t>
        </is>
      </c>
      <c r="H1449" t="inlineStr">
        <is>
          <t>Weekly - Thursday</t>
        </is>
      </c>
      <c r="I1449" t="inlineStr">
        <is>
          <t>Weekly - Thursday</t>
        </is>
      </c>
      <c r="J1449" t="inlineStr">
        <is>
          <t>Month+1 Expiry</t>
        </is>
      </c>
      <c r="K1449" s="25" t="n">
        <v>233365</v>
      </c>
      <c r="L1449" s="26" t="n">
        <v>358.7024</v>
      </c>
      <c r="M1449" s="26" t="n">
        <v>1.3977</v>
      </c>
    </row>
    <row r="1450">
      <c r="A1450" t="inlineStr">
        <is>
          <t>28-Jul-2026</t>
        </is>
      </c>
      <c r="B1450" t="inlineStr">
        <is>
          <t>Tuesday</t>
        </is>
      </c>
      <c r="C1450" t="inlineStr">
        <is>
          <t>Week4-Jul-2026</t>
        </is>
      </c>
      <c r="D1450" s="78" t="n">
        <v>46204</v>
      </c>
      <c r="E1450" t="inlineStr">
        <is>
          <t>Q2FY27</t>
        </is>
      </c>
      <c r="F1450" t="inlineStr">
        <is>
          <t>13-Aug-2026</t>
        </is>
      </c>
      <c r="G1450" t="inlineStr">
        <is>
          <t>Thursday</t>
        </is>
      </c>
      <c r="H1450" t="inlineStr">
        <is>
          <t>Weekly - Thursday</t>
        </is>
      </c>
      <c r="I1450" t="inlineStr">
        <is>
          <t>Weekly - Thursday</t>
        </is>
      </c>
      <c r="J1450" t="inlineStr">
        <is>
          <t>Month+1 Expiry</t>
        </is>
      </c>
      <c r="K1450" s="25" t="n">
        <v>3524</v>
      </c>
      <c r="L1450" s="26" t="n">
        <v>5.4798</v>
      </c>
      <c r="M1450" s="26" t="n">
        <v>0.026</v>
      </c>
    </row>
    <row r="1451">
      <c r="A1451" t="inlineStr">
        <is>
          <t>28-Jul-2026</t>
        </is>
      </c>
      <c r="B1451" t="inlineStr">
        <is>
          <t>Tuesday</t>
        </is>
      </c>
      <c r="C1451" t="inlineStr">
        <is>
          <t>Week4-Jul-2026</t>
        </is>
      </c>
      <c r="D1451" s="78" t="n">
        <v>46204</v>
      </c>
      <c r="E1451" t="inlineStr">
        <is>
          <t>Q2FY27</t>
        </is>
      </c>
      <c r="F1451" t="inlineStr">
        <is>
          <t>20-Aug-2026</t>
        </is>
      </c>
      <c r="G1451" t="inlineStr">
        <is>
          <t>Thursday</t>
        </is>
      </c>
      <c r="H1451" t="inlineStr">
        <is>
          <t>Weekly - Thursday</t>
        </is>
      </c>
      <c r="I1451" t="inlineStr">
        <is>
          <t>Weekly - Thursday</t>
        </is>
      </c>
      <c r="J1451" t="inlineStr">
        <is>
          <t>Month+1 Expiry</t>
        </is>
      </c>
      <c r="K1451" s="25" t="n">
        <v>572</v>
      </c>
      <c r="L1451" s="26" t="n">
        <v>0.8921</v>
      </c>
      <c r="M1451" s="26" t="n">
        <v>0.0106</v>
      </c>
    </row>
    <row r="1452">
      <c r="A1452" t="inlineStr">
        <is>
          <t>28-Jul-2026</t>
        </is>
      </c>
      <c r="B1452" t="inlineStr">
        <is>
          <t>Tuesday</t>
        </is>
      </c>
      <c r="C1452" t="inlineStr">
        <is>
          <t>Week4-Jul-2026</t>
        </is>
      </c>
      <c r="D1452" s="78" t="n">
        <v>46204</v>
      </c>
      <c r="E1452" t="inlineStr">
        <is>
          <t>Q2FY27</t>
        </is>
      </c>
      <c r="F1452" t="inlineStr">
        <is>
          <t>27-Aug-2026</t>
        </is>
      </c>
      <c r="G1452" t="inlineStr">
        <is>
          <t>Thursday</t>
        </is>
      </c>
      <c r="H1452" t="inlineStr">
        <is>
          <t>Monthly - Thursday</t>
        </is>
      </c>
      <c r="I1452" t="inlineStr">
        <is>
          <t>Monthly - Thursday</t>
        </is>
      </c>
      <c r="J1452" t="inlineStr">
        <is>
          <t>Month+1 Expiry</t>
        </is>
      </c>
      <c r="K1452" s="25" t="n">
        <v>5837</v>
      </c>
      <c r="L1452" s="26" t="n">
        <v>9.0488</v>
      </c>
      <c r="M1452" s="26" t="n">
        <v>0.068</v>
      </c>
    </row>
    <row r="1453">
      <c r="A1453" t="inlineStr">
        <is>
          <t>29-Jul-2026</t>
        </is>
      </c>
      <c r="B1453" t="inlineStr">
        <is>
          <t>Wednesday</t>
        </is>
      </c>
      <c r="C1453" t="inlineStr">
        <is>
          <t>Week5-Jul-2026</t>
        </is>
      </c>
      <c r="D1453" s="78" t="n">
        <v>46204</v>
      </c>
      <c r="E1453" t="inlineStr">
        <is>
          <t>Q2FY27</t>
        </is>
      </c>
      <c r="F1453" t="inlineStr">
        <is>
          <t>30-Jul-2026</t>
        </is>
      </c>
      <c r="G1453" t="inlineStr">
        <is>
          <t>Thursday</t>
        </is>
      </c>
      <c r="H1453" t="inlineStr">
        <is>
          <t>Monthly - Thursday</t>
        </is>
      </c>
      <c r="I1453" t="inlineStr">
        <is>
          <t>MDAW - Thursday</t>
        </is>
      </c>
      <c r="J1453" t="inlineStr">
        <is>
          <t>Same Month Expiry</t>
        </is>
      </c>
      <c r="K1453" s="25" t="n">
        <v>89042694</v>
      </c>
      <c r="L1453" s="26" t="n">
        <v>138002.7269</v>
      </c>
      <c r="M1453" s="26" t="n">
        <v>233.2258</v>
      </c>
    </row>
    <row r="1454">
      <c r="A1454" t="inlineStr">
        <is>
          <t>29-Jul-2026</t>
        </is>
      </c>
      <c r="B1454" t="inlineStr">
        <is>
          <t>Wednesday</t>
        </is>
      </c>
      <c r="C1454" t="inlineStr">
        <is>
          <t>Week5-Jul-2026</t>
        </is>
      </c>
      <c r="D1454" s="78" t="n">
        <v>46204</v>
      </c>
      <c r="E1454" t="inlineStr">
        <is>
          <t>Q2FY27</t>
        </is>
      </c>
      <c r="F1454" t="inlineStr">
        <is>
          <t>06-Aug-2026</t>
        </is>
      </c>
      <c r="G1454" t="inlineStr">
        <is>
          <t>Thursday</t>
        </is>
      </c>
      <c r="H1454" t="inlineStr">
        <is>
          <t>Weekly - Thursday</t>
        </is>
      </c>
      <c r="I1454" t="inlineStr">
        <is>
          <t>Weekly - Thursday</t>
        </is>
      </c>
      <c r="J1454" t="inlineStr">
        <is>
          <t>Month+1 Expiry</t>
        </is>
      </c>
      <c r="K1454" s="25" t="n">
        <v>747261</v>
      </c>
      <c r="L1454" s="26" t="n">
        <v>1162.2888</v>
      </c>
      <c r="M1454" s="26" t="n">
        <v>3.8448</v>
      </c>
    </row>
    <row r="1455">
      <c r="A1455" t="inlineStr">
        <is>
          <t>29-Jul-2026</t>
        </is>
      </c>
      <c r="B1455" t="inlineStr">
        <is>
          <t>Wednesday</t>
        </is>
      </c>
      <c r="C1455" t="inlineStr">
        <is>
          <t>Week5-Jul-2026</t>
        </is>
      </c>
      <c r="D1455" s="78" t="n">
        <v>46204</v>
      </c>
      <c r="E1455" t="inlineStr">
        <is>
          <t>Q2FY27</t>
        </is>
      </c>
      <c r="F1455" t="inlineStr">
        <is>
          <t>13-Aug-2026</t>
        </is>
      </c>
      <c r="G1455" t="inlineStr">
        <is>
          <t>Thursday</t>
        </is>
      </c>
      <c r="H1455" t="inlineStr">
        <is>
          <t>Weekly - Thursday</t>
        </is>
      </c>
      <c r="I1455" t="inlineStr">
        <is>
          <t>Weekly - Thursday</t>
        </is>
      </c>
      <c r="J1455" t="inlineStr">
        <is>
          <t>Month+1 Expiry</t>
        </is>
      </c>
      <c r="K1455" s="25" t="n">
        <v>7335</v>
      </c>
      <c r="L1455" s="26" t="n">
        <v>11.4251</v>
      </c>
      <c r="M1455" s="26" t="n">
        <v>0.064</v>
      </c>
    </row>
    <row r="1456">
      <c r="A1456" t="inlineStr">
        <is>
          <t>29-Jul-2026</t>
        </is>
      </c>
      <c r="B1456" t="inlineStr">
        <is>
          <t>Wednesday</t>
        </is>
      </c>
      <c r="C1456" t="inlineStr">
        <is>
          <t>Week5-Jul-2026</t>
        </is>
      </c>
      <c r="D1456" s="78" t="n">
        <v>46204</v>
      </c>
      <c r="E1456" t="inlineStr">
        <is>
          <t>Q2FY27</t>
        </is>
      </c>
      <c r="F1456" t="inlineStr">
        <is>
          <t>20-Aug-2026</t>
        </is>
      </c>
      <c r="G1456" t="inlineStr">
        <is>
          <t>Thursday</t>
        </is>
      </c>
      <c r="H1456" t="inlineStr">
        <is>
          <t>Weekly - Thursday</t>
        </is>
      </c>
      <c r="I1456" t="inlineStr">
        <is>
          <t>Weekly - Thursday</t>
        </is>
      </c>
      <c r="J1456" t="inlineStr">
        <is>
          <t>Month+1 Expiry</t>
        </is>
      </c>
      <c r="K1456" s="25" t="n">
        <v>278</v>
      </c>
      <c r="L1456" s="26" t="n">
        <v>0.4368</v>
      </c>
      <c r="M1456" s="26" t="n">
        <v>0.0046</v>
      </c>
    </row>
    <row r="1457">
      <c r="A1457" t="inlineStr">
        <is>
          <t>29-Jul-2026</t>
        </is>
      </c>
      <c r="B1457" t="inlineStr">
        <is>
          <t>Wednesday</t>
        </is>
      </c>
      <c r="C1457" t="inlineStr">
        <is>
          <t>Week5-Jul-2026</t>
        </is>
      </c>
      <c r="D1457" s="78" t="n">
        <v>46204</v>
      </c>
      <c r="E1457" t="inlineStr">
        <is>
          <t>Q2FY27</t>
        </is>
      </c>
      <c r="F1457" t="inlineStr">
        <is>
          <t>27-Aug-2026</t>
        </is>
      </c>
      <c r="G1457" t="inlineStr">
        <is>
          <t>Thursday</t>
        </is>
      </c>
      <c r="H1457" t="inlineStr">
        <is>
          <t>Monthly - Thursday</t>
        </is>
      </c>
      <c r="I1457" t="inlineStr">
        <is>
          <t>Monthly - Thursday</t>
        </is>
      </c>
      <c r="J1457" t="inlineStr">
        <is>
          <t>Month+1 Expiry</t>
        </is>
      </c>
      <c r="K1457" s="25" t="n">
        <v>12130</v>
      </c>
      <c r="L1457" s="26" t="n">
        <v>19.3418</v>
      </c>
      <c r="M1457" s="26" t="n">
        <v>0.3073</v>
      </c>
    </row>
    <row r="1458">
      <c r="A1458" t="inlineStr">
        <is>
          <t>30-Jul-2026</t>
        </is>
      </c>
      <c r="B1458" t="inlineStr">
        <is>
          <t>Thursday</t>
        </is>
      </c>
      <c r="C1458" t="inlineStr">
        <is>
          <t>Week5-Jul-2026</t>
        </is>
      </c>
      <c r="D1458" s="78" t="n">
        <v>46204</v>
      </c>
      <c r="E1458" t="inlineStr">
        <is>
          <t>Q2FY27</t>
        </is>
      </c>
      <c r="F1458" t="inlineStr">
        <is>
          <t>30-Jul-2026</t>
        </is>
      </c>
      <c r="G1458" t="inlineStr">
        <is>
          <t>Thursday</t>
        </is>
      </c>
      <c r="H1458" t="inlineStr">
        <is>
          <t>Monthly - Thursday</t>
        </is>
      </c>
      <c r="I1458" t="inlineStr">
        <is>
          <t>MDAW - Thursday</t>
        </is>
      </c>
      <c r="J1458" t="inlineStr">
        <is>
          <t>Same Month Expiry</t>
        </is>
      </c>
      <c r="K1458" s="25" t="n">
        <v>495279549</v>
      </c>
      <c r="L1458" s="26" t="n">
        <v>769387.6263</v>
      </c>
      <c r="M1458" s="26" t="n">
        <v>460.4743</v>
      </c>
    </row>
    <row r="1459">
      <c r="A1459" t="inlineStr">
        <is>
          <t>30-Jul-2026</t>
        </is>
      </c>
      <c r="B1459" t="inlineStr">
        <is>
          <t>Thursday</t>
        </is>
      </c>
      <c r="C1459" t="inlineStr">
        <is>
          <t>Week5-Jul-2026</t>
        </is>
      </c>
      <c r="D1459" s="78" t="n">
        <v>46204</v>
      </c>
      <c r="E1459" t="inlineStr">
        <is>
          <t>Q2FY27</t>
        </is>
      </c>
      <c r="F1459" t="inlineStr">
        <is>
          <t>06-Aug-2026</t>
        </is>
      </c>
      <c r="G1459" t="inlineStr">
        <is>
          <t>Thursday</t>
        </is>
      </c>
      <c r="H1459" t="inlineStr">
        <is>
          <t>Weekly - Thursday</t>
        </is>
      </c>
      <c r="I1459" t="inlineStr">
        <is>
          <t>Weekly - Thursday</t>
        </is>
      </c>
      <c r="J1459" t="inlineStr">
        <is>
          <t>Month+1 Expiry</t>
        </is>
      </c>
      <c r="K1459" s="25" t="n">
        <v>2387000</v>
      </c>
      <c r="L1459" s="26" t="n">
        <v>3717.8526</v>
      </c>
      <c r="M1459" s="26" t="n">
        <v>12.8826</v>
      </c>
    </row>
    <row r="1460">
      <c r="A1460" t="inlineStr">
        <is>
          <t>30-Jul-2026</t>
        </is>
      </c>
      <c r="B1460" t="inlineStr">
        <is>
          <t>Thursday</t>
        </is>
      </c>
      <c r="C1460" t="inlineStr">
        <is>
          <t>Week5-Jul-2026</t>
        </is>
      </c>
      <c r="D1460" s="78" t="n">
        <v>46204</v>
      </c>
      <c r="E1460" t="inlineStr">
        <is>
          <t>Q2FY27</t>
        </is>
      </c>
      <c r="F1460" t="inlineStr">
        <is>
          <t>13-Aug-2026</t>
        </is>
      </c>
      <c r="G1460" t="inlineStr">
        <is>
          <t>Thursday</t>
        </is>
      </c>
      <c r="H1460" t="inlineStr">
        <is>
          <t>Weekly - Thursday</t>
        </is>
      </c>
      <c r="I1460" t="inlineStr">
        <is>
          <t>Weekly - Thursday</t>
        </is>
      </c>
      <c r="J1460" t="inlineStr">
        <is>
          <t>Month+1 Expiry</t>
        </is>
      </c>
      <c r="K1460" s="25" t="n">
        <v>18514</v>
      </c>
      <c r="L1460" s="26" t="n">
        <v>28.8707</v>
      </c>
      <c r="M1460" s="26" t="n">
        <v>0.1683</v>
      </c>
    </row>
    <row r="1461">
      <c r="A1461" t="inlineStr">
        <is>
          <t>30-Jul-2026</t>
        </is>
      </c>
      <c r="B1461" t="inlineStr">
        <is>
          <t>Thursday</t>
        </is>
      </c>
      <c r="C1461" t="inlineStr">
        <is>
          <t>Week5-Jul-2026</t>
        </is>
      </c>
      <c r="D1461" s="78" t="n">
        <v>46204</v>
      </c>
      <c r="E1461" t="inlineStr">
        <is>
          <t>Q2FY27</t>
        </is>
      </c>
      <c r="F1461" t="inlineStr">
        <is>
          <t>20-Aug-2026</t>
        </is>
      </c>
      <c r="G1461" t="inlineStr">
        <is>
          <t>Thursday</t>
        </is>
      </c>
      <c r="H1461" t="inlineStr">
        <is>
          <t>Weekly - Thursday</t>
        </is>
      </c>
      <c r="I1461" t="inlineStr">
        <is>
          <t>Weekly - Thursday</t>
        </is>
      </c>
      <c r="J1461" t="inlineStr">
        <is>
          <t>Month+1 Expiry</t>
        </is>
      </c>
      <c r="K1461" s="25" t="n">
        <v>349</v>
      </c>
      <c r="L1461" s="26" t="n">
        <v>0.5492</v>
      </c>
      <c r="M1461" s="26" t="n">
        <v>0.0062</v>
      </c>
    </row>
    <row r="1462">
      <c r="A1462" t="inlineStr">
        <is>
          <t>30-Jul-2026</t>
        </is>
      </c>
      <c r="B1462" t="inlineStr">
        <is>
          <t>Thursday</t>
        </is>
      </c>
      <c r="C1462" t="inlineStr">
        <is>
          <t>Week5-Jul-2026</t>
        </is>
      </c>
      <c r="D1462" s="78" t="n">
        <v>46204</v>
      </c>
      <c r="E1462" t="inlineStr">
        <is>
          <t>Q2FY27</t>
        </is>
      </c>
      <c r="F1462" t="inlineStr">
        <is>
          <t>27-Aug-2026</t>
        </is>
      </c>
      <c r="G1462" t="inlineStr">
        <is>
          <t>Thursday</t>
        </is>
      </c>
      <c r="H1462" t="inlineStr">
        <is>
          <t>Monthly - Thursday</t>
        </is>
      </c>
      <c r="I1462" t="inlineStr">
        <is>
          <t>Monthly - Thursday</t>
        </is>
      </c>
      <c r="J1462" t="inlineStr">
        <is>
          <t>Month+1 Expiry</t>
        </is>
      </c>
      <c r="K1462" s="25" t="n">
        <v>14817</v>
      </c>
      <c r="L1462" s="26" t="n">
        <v>23.304</v>
      </c>
      <c r="M1462" s="26" t="n">
        <v>0.1786</v>
      </c>
    </row>
    <row r="1463">
      <c r="A1463" t="inlineStr">
        <is>
          <t>30-Jul-2026</t>
        </is>
      </c>
      <c r="B1463" t="inlineStr">
        <is>
          <t>Thursday</t>
        </is>
      </c>
      <c r="C1463" t="inlineStr">
        <is>
          <t>Week5-Jul-2026</t>
        </is>
      </c>
      <c r="D1463" s="78" t="n">
        <v>46204</v>
      </c>
      <c r="E1463" t="inlineStr">
        <is>
          <t>Q2FY27</t>
        </is>
      </c>
      <c r="F1463" t="inlineStr">
        <is>
          <t>10-Sep-2026</t>
        </is>
      </c>
      <c r="G1463" t="inlineStr">
        <is>
          <t>Thursday</t>
        </is>
      </c>
      <c r="H1463" t="inlineStr">
        <is>
          <t>Weekly - Thursday</t>
        </is>
      </c>
      <c r="I1463" t="inlineStr">
        <is>
          <t>Weekly - Thursday</t>
        </is>
      </c>
      <c r="J1463" t="inlineStr">
        <is>
          <t>Month+2 Expiry</t>
        </is>
      </c>
      <c r="K1463" s="25" t="n">
        <v>1</v>
      </c>
      <c r="L1463" s="26" t="n">
        <v>0.0016</v>
      </c>
      <c r="M1463" s="26" t="n">
        <v>0</v>
      </c>
    </row>
    <row r="1464">
      <c r="A1464" t="inlineStr">
        <is>
          <t>31-Jul-2026</t>
        </is>
      </c>
      <c r="B1464" t="inlineStr">
        <is>
          <t>Friday</t>
        </is>
      </c>
      <c r="C1464" t="inlineStr">
        <is>
          <t>Week5-Jul-2026</t>
        </is>
      </c>
      <c r="D1464" s="78" t="n">
        <v>46204</v>
      </c>
      <c r="E1464" t="inlineStr">
        <is>
          <t>Q2FY27</t>
        </is>
      </c>
      <c r="F1464" t="inlineStr">
        <is>
          <t>06-Aug-2026</t>
        </is>
      </c>
      <c r="G1464" t="inlineStr">
        <is>
          <t>Thursday</t>
        </is>
      </c>
      <c r="H1464" t="inlineStr">
        <is>
          <t>Weekly - Thursday</t>
        </is>
      </c>
      <c r="I1464" t="inlineStr">
        <is>
          <t>Weekly - Thursday</t>
        </is>
      </c>
      <c r="J1464" t="inlineStr">
        <is>
          <t>Month+1 Expiry</t>
        </is>
      </c>
      <c r="K1464" s="25" t="n">
        <v>16185259</v>
      </c>
      <c r="L1464" s="26" t="n">
        <v>25319.4135</v>
      </c>
      <c r="M1464" s="26" t="n">
        <v>85.7196</v>
      </c>
    </row>
    <row r="1465">
      <c r="A1465" t="inlineStr">
        <is>
          <t>31-Jul-2026</t>
        </is>
      </c>
      <c r="B1465" t="inlineStr">
        <is>
          <t>Friday</t>
        </is>
      </c>
      <c r="C1465" t="inlineStr">
        <is>
          <t>Week5-Jul-2026</t>
        </is>
      </c>
      <c r="D1465" s="78" t="n">
        <v>46204</v>
      </c>
      <c r="E1465" t="inlineStr">
        <is>
          <t>Q2FY27</t>
        </is>
      </c>
      <c r="F1465" t="inlineStr">
        <is>
          <t>13-Aug-2026</t>
        </is>
      </c>
      <c r="G1465" t="inlineStr">
        <is>
          <t>Thursday</t>
        </is>
      </c>
      <c r="H1465" t="inlineStr">
        <is>
          <t>Weekly - Thursday</t>
        </is>
      </c>
      <c r="I1465" t="inlineStr">
        <is>
          <t>Weekly - Thursday</t>
        </is>
      </c>
      <c r="J1465" t="inlineStr">
        <is>
          <t>Month+1 Expiry</t>
        </is>
      </c>
      <c r="K1465" s="25" t="n">
        <v>57546</v>
      </c>
      <c r="L1465" s="26" t="n">
        <v>90.2428</v>
      </c>
      <c r="M1465" s="26" t="n">
        <v>0.4838</v>
      </c>
    </row>
    <row r="1466">
      <c r="A1466" t="inlineStr">
        <is>
          <t>31-Jul-2026</t>
        </is>
      </c>
      <c r="B1466" t="inlineStr">
        <is>
          <t>Friday</t>
        </is>
      </c>
      <c r="C1466" t="inlineStr">
        <is>
          <t>Week5-Jul-2026</t>
        </is>
      </c>
      <c r="D1466" s="78" t="n">
        <v>46204</v>
      </c>
      <c r="E1466" t="inlineStr">
        <is>
          <t>Q2FY27</t>
        </is>
      </c>
      <c r="F1466" t="inlineStr">
        <is>
          <t>20-Aug-2026</t>
        </is>
      </c>
      <c r="G1466" t="inlineStr">
        <is>
          <t>Thursday</t>
        </is>
      </c>
      <c r="H1466" t="inlineStr">
        <is>
          <t>Weekly - Thursday</t>
        </is>
      </c>
      <c r="I1466" t="inlineStr">
        <is>
          <t>Weekly - Thursday</t>
        </is>
      </c>
      <c r="J1466" t="inlineStr">
        <is>
          <t>Month+1 Expiry</t>
        </is>
      </c>
      <c r="K1466" s="25" t="n">
        <v>916</v>
      </c>
      <c r="L1466" s="26" t="n">
        <v>1.4319</v>
      </c>
      <c r="M1466" s="26" t="n">
        <v>0.009599999999999999</v>
      </c>
    </row>
    <row r="1467">
      <c r="A1467" t="inlineStr">
        <is>
          <t>31-Jul-2026</t>
        </is>
      </c>
      <c r="B1467" t="inlineStr">
        <is>
          <t>Friday</t>
        </is>
      </c>
      <c r="C1467" t="inlineStr">
        <is>
          <t>Week5-Jul-2026</t>
        </is>
      </c>
      <c r="D1467" s="78" t="n">
        <v>46204</v>
      </c>
      <c r="E1467" t="inlineStr">
        <is>
          <t>Q2FY27</t>
        </is>
      </c>
      <c r="F1467" t="inlineStr">
        <is>
          <t>27-Aug-2026</t>
        </is>
      </c>
      <c r="G1467" t="inlineStr">
        <is>
          <t>Thursday</t>
        </is>
      </c>
      <c r="H1467" t="inlineStr">
        <is>
          <t>Monthly - Thursday</t>
        </is>
      </c>
      <c r="I1467" t="inlineStr">
        <is>
          <t>Monthly - Thursday</t>
        </is>
      </c>
      <c r="J1467" t="inlineStr">
        <is>
          <t>Month+1 Expiry</t>
        </is>
      </c>
      <c r="K1467" s="25" t="n">
        <v>19282</v>
      </c>
      <c r="L1467" s="26" t="n">
        <v>30.1507</v>
      </c>
      <c r="M1467" s="26" t="n">
        <v>0.2101</v>
      </c>
    </row>
    <row r="1468">
      <c r="A1468" t="inlineStr">
        <is>
          <t>31-Jul-2026</t>
        </is>
      </c>
      <c r="B1468" t="inlineStr">
        <is>
          <t>Friday</t>
        </is>
      </c>
      <c r="C1468" t="inlineStr">
        <is>
          <t>Week5-Jul-2026</t>
        </is>
      </c>
      <c r="D1468" s="78" t="n">
        <v>46204</v>
      </c>
      <c r="E1468" t="inlineStr">
        <is>
          <t>Q2FY27</t>
        </is>
      </c>
      <c r="F1468" t="inlineStr">
        <is>
          <t>03-Sep-2026</t>
        </is>
      </c>
      <c r="G1468" t="inlineStr">
        <is>
          <t>Thursday</t>
        </is>
      </c>
      <c r="H1468" t="inlineStr">
        <is>
          <t>Weekly - Thursday</t>
        </is>
      </c>
      <c r="I1468" t="inlineStr">
        <is>
          <t>Weekly - Thursday</t>
        </is>
      </c>
      <c r="J1468" t="inlineStr">
        <is>
          <t>Month+2 Expiry</t>
        </is>
      </c>
      <c r="K1468" s="25" t="n">
        <v>7</v>
      </c>
      <c r="L1468" s="26" t="n">
        <v>0.0111</v>
      </c>
      <c r="M1468" s="26" t="n">
        <v>0.0002</v>
      </c>
    </row>
    <row r="1469">
      <c r="A1469" t="inlineStr">
        <is>
          <t>31-Jul-2026</t>
        </is>
      </c>
      <c r="B1469" t="inlineStr">
        <is>
          <t>Friday</t>
        </is>
      </c>
      <c r="C1469" t="inlineStr">
        <is>
          <t>Week5-Jul-2026</t>
        </is>
      </c>
      <c r="D1469" s="78" t="n">
        <v>46204</v>
      </c>
      <c r="E1469" t="inlineStr">
        <is>
          <t>Q2FY27</t>
        </is>
      </c>
      <c r="F1469" t="inlineStr">
        <is>
          <t>10-Sep-2026</t>
        </is>
      </c>
      <c r="G1469" t="inlineStr">
        <is>
          <t>Thursday</t>
        </is>
      </c>
      <c r="H1469" t="inlineStr">
        <is>
          <t>Weekly - Thursday</t>
        </is>
      </c>
      <c r="I1469" t="inlineStr">
        <is>
          <t>Weekly - Thursday</t>
        </is>
      </c>
      <c r="J1469" t="inlineStr">
        <is>
          <t>Month+2 Expiry</t>
        </is>
      </c>
      <c r="K1469" s="25" t="n">
        <v>0</v>
      </c>
      <c r="L1469" s="26" t="n">
        <v>0</v>
      </c>
      <c r="M1469" s="26" t="n">
        <v>0</v>
      </c>
    </row>
    <row r="1470">
      <c r="A1470" t="inlineStr">
        <is>
          <t>03-Aug-2026</t>
        </is>
      </c>
      <c r="B1470" t="inlineStr">
        <is>
          <t>Monday</t>
        </is>
      </c>
      <c r="C1470" t="inlineStr">
        <is>
          <t>Week1-Aug-2026</t>
        </is>
      </c>
      <c r="D1470" s="78" t="n">
        <v>46235</v>
      </c>
      <c r="E1470" t="inlineStr">
        <is>
          <t>Q2FY27</t>
        </is>
      </c>
      <c r="F1470" t="inlineStr">
        <is>
          <t>06-Aug-2026</t>
        </is>
      </c>
      <c r="G1470" t="inlineStr">
        <is>
          <t>Thursday</t>
        </is>
      </c>
      <c r="H1470" t="inlineStr">
        <is>
          <t>Weekly - Thursday</t>
        </is>
      </c>
      <c r="I1470" t="inlineStr">
        <is>
          <t>Weekly - Thursday</t>
        </is>
      </c>
      <c r="J1470" t="inlineStr">
        <is>
          <t>Same Month Expiry</t>
        </is>
      </c>
      <c r="K1470" s="25" t="n">
        <v>17492836</v>
      </c>
      <c r="L1470" s="26" t="n">
        <v>27543.6881</v>
      </c>
      <c r="M1470" s="26" t="n">
        <v>74.5936</v>
      </c>
    </row>
    <row r="1471">
      <c r="A1471" t="inlineStr">
        <is>
          <t>03-Aug-2026</t>
        </is>
      </c>
      <c r="B1471" t="inlineStr">
        <is>
          <t>Monday</t>
        </is>
      </c>
      <c r="C1471" t="inlineStr">
        <is>
          <t>Week1-Aug-2026</t>
        </is>
      </c>
      <c r="D1471" s="78" t="n">
        <v>46235</v>
      </c>
      <c r="E1471" t="inlineStr">
        <is>
          <t>Q2FY27</t>
        </is>
      </c>
      <c r="F1471" t="inlineStr">
        <is>
          <t>13-Aug-2026</t>
        </is>
      </c>
      <c r="G1471" t="inlineStr">
        <is>
          <t>Thursday</t>
        </is>
      </c>
      <c r="H1471" t="inlineStr">
        <is>
          <t>Weekly - Thursday</t>
        </is>
      </c>
      <c r="I1471" t="inlineStr">
        <is>
          <t>Weekly - Thursday</t>
        </is>
      </c>
      <c r="J1471" t="inlineStr">
        <is>
          <t>Same Month Expiry</t>
        </is>
      </c>
      <c r="K1471" s="25" t="n">
        <v>125074</v>
      </c>
      <c r="L1471" s="26" t="n">
        <v>197.163</v>
      </c>
      <c r="M1471" s="26" t="n">
        <v>0.7901</v>
      </c>
    </row>
    <row r="1472">
      <c r="A1472" t="inlineStr">
        <is>
          <t>03-Aug-2026</t>
        </is>
      </c>
      <c r="B1472" t="inlineStr">
        <is>
          <t>Monday</t>
        </is>
      </c>
      <c r="C1472" t="inlineStr">
        <is>
          <t>Week1-Aug-2026</t>
        </is>
      </c>
      <c r="D1472" s="78" t="n">
        <v>46235</v>
      </c>
      <c r="E1472" t="inlineStr">
        <is>
          <t>Q2FY27</t>
        </is>
      </c>
      <c r="F1472" t="inlineStr">
        <is>
          <t>20-Aug-2026</t>
        </is>
      </c>
      <c r="G1472" t="inlineStr">
        <is>
          <t>Thursday</t>
        </is>
      </c>
      <c r="H1472" t="inlineStr">
        <is>
          <t>Weekly - Thursday</t>
        </is>
      </c>
      <c r="I1472" t="inlineStr">
        <is>
          <t>Weekly - Thursday</t>
        </is>
      </c>
      <c r="J1472" t="inlineStr">
        <is>
          <t>Same Month Expiry</t>
        </is>
      </c>
      <c r="K1472" s="25" t="n">
        <v>1569</v>
      </c>
      <c r="L1472" s="26" t="n">
        <v>2.4692</v>
      </c>
      <c r="M1472" s="26" t="n">
        <v>0.0181</v>
      </c>
    </row>
    <row r="1473">
      <c r="A1473" t="inlineStr">
        <is>
          <t>03-Aug-2026</t>
        </is>
      </c>
      <c r="B1473" t="inlineStr">
        <is>
          <t>Monday</t>
        </is>
      </c>
      <c r="C1473" t="inlineStr">
        <is>
          <t>Week1-Aug-2026</t>
        </is>
      </c>
      <c r="D1473" s="78" t="n">
        <v>46235</v>
      </c>
      <c r="E1473" t="inlineStr">
        <is>
          <t>Q2FY27</t>
        </is>
      </c>
      <c r="F1473" t="inlineStr">
        <is>
          <t>27-Aug-2026</t>
        </is>
      </c>
      <c r="G1473" t="inlineStr">
        <is>
          <t>Thursday</t>
        </is>
      </c>
      <c r="H1473" t="inlineStr">
        <is>
          <t>Monthly - Thursday</t>
        </is>
      </c>
      <c r="I1473" t="inlineStr">
        <is>
          <t>Monthly - Thursday</t>
        </is>
      </c>
      <c r="J1473" t="inlineStr">
        <is>
          <t>Same Month Expiry</t>
        </is>
      </c>
      <c r="K1473" s="25" t="n">
        <v>18750</v>
      </c>
      <c r="L1473" s="26" t="n">
        <v>29.6183</v>
      </c>
      <c r="M1473" s="26" t="n">
        <v>0.1933</v>
      </c>
    </row>
    <row r="1474">
      <c r="A1474" t="inlineStr">
        <is>
          <t>03-Aug-2026</t>
        </is>
      </c>
      <c r="B1474" t="inlineStr">
        <is>
          <t>Monday</t>
        </is>
      </c>
      <c r="C1474" t="inlineStr">
        <is>
          <t>Week1-Aug-2026</t>
        </is>
      </c>
      <c r="D1474" s="78" t="n">
        <v>46235</v>
      </c>
      <c r="E1474" t="inlineStr">
        <is>
          <t>Q2FY27</t>
        </is>
      </c>
      <c r="F1474" t="inlineStr">
        <is>
          <t>03-Sep-2026</t>
        </is>
      </c>
      <c r="G1474" t="inlineStr">
        <is>
          <t>Thursday</t>
        </is>
      </c>
      <c r="H1474" t="inlineStr">
        <is>
          <t>Weekly - Thursday</t>
        </is>
      </c>
      <c r="I1474" t="inlineStr">
        <is>
          <t>Weekly - Thursday</t>
        </is>
      </c>
      <c r="J1474" t="inlineStr">
        <is>
          <t>Month+1 Expiry</t>
        </is>
      </c>
      <c r="K1474" s="25" t="n">
        <v>1</v>
      </c>
      <c r="L1474" s="26" t="n">
        <v>0.0016</v>
      </c>
      <c r="M1474" s="26" t="n">
        <v>0</v>
      </c>
    </row>
    <row r="1475">
      <c r="A1475" t="inlineStr">
        <is>
          <t>03-Aug-2026</t>
        </is>
      </c>
      <c r="B1475" t="inlineStr">
        <is>
          <t>Monday</t>
        </is>
      </c>
      <c r="C1475" t="inlineStr">
        <is>
          <t>Week1-Aug-2026</t>
        </is>
      </c>
      <c r="D1475" s="78" t="n">
        <v>46235</v>
      </c>
      <c r="E1475" t="inlineStr">
        <is>
          <t>Q2FY27</t>
        </is>
      </c>
      <c r="F1475" t="inlineStr">
        <is>
          <t>10-Sep-2026</t>
        </is>
      </c>
      <c r="G1475" t="inlineStr">
        <is>
          <t>Thursday</t>
        </is>
      </c>
      <c r="H1475" t="inlineStr">
        <is>
          <t>Weekly - Thursday</t>
        </is>
      </c>
      <c r="I1475" t="inlineStr">
        <is>
          <t>Weekly - Thursday</t>
        </is>
      </c>
      <c r="J1475" t="inlineStr">
        <is>
          <t>Month+1 Expiry</t>
        </is>
      </c>
      <c r="K1475" s="25" t="n">
        <v>1</v>
      </c>
      <c r="L1475" s="26" t="n">
        <v>0.0017</v>
      </c>
      <c r="M1475" s="26" t="n">
        <v>0</v>
      </c>
    </row>
    <row r="1476">
      <c r="A1476" t="inlineStr">
        <is>
          <t>04-Aug-2026</t>
        </is>
      </c>
      <c r="B1476" t="inlineStr">
        <is>
          <t>Tuesday</t>
        </is>
      </c>
      <c r="C1476" t="inlineStr">
        <is>
          <t>Week1-Aug-2026</t>
        </is>
      </c>
      <c r="D1476" s="78" t="n">
        <v>46235</v>
      </c>
      <c r="E1476" t="inlineStr">
        <is>
          <t>Q2FY27</t>
        </is>
      </c>
      <c r="F1476" t="inlineStr">
        <is>
          <t>06-Aug-2026</t>
        </is>
      </c>
      <c r="G1476" t="inlineStr">
        <is>
          <t>Thursday</t>
        </is>
      </c>
      <c r="H1476" t="inlineStr">
        <is>
          <t>Weekly - Thursday</t>
        </is>
      </c>
      <c r="I1476" t="inlineStr">
        <is>
          <t>Weekly - Thursday</t>
        </is>
      </c>
      <c r="J1476" t="inlineStr">
        <is>
          <t>Same Month Expiry</t>
        </is>
      </c>
      <c r="K1476" s="25" t="n">
        <v>28753433</v>
      </c>
      <c r="L1476" s="26" t="n">
        <v>45212.0802</v>
      </c>
      <c r="M1476" s="26" t="n">
        <v>106.4501</v>
      </c>
    </row>
    <row r="1477">
      <c r="A1477" t="inlineStr">
        <is>
          <t>04-Aug-2026</t>
        </is>
      </c>
      <c r="B1477" t="inlineStr">
        <is>
          <t>Tuesday</t>
        </is>
      </c>
      <c r="C1477" t="inlineStr">
        <is>
          <t>Week1-Aug-2026</t>
        </is>
      </c>
      <c r="D1477" s="78" t="n">
        <v>46235</v>
      </c>
      <c r="E1477" t="inlineStr">
        <is>
          <t>Q2FY27</t>
        </is>
      </c>
      <c r="F1477" t="inlineStr">
        <is>
          <t>13-Aug-2026</t>
        </is>
      </c>
      <c r="G1477" t="inlineStr">
        <is>
          <t>Thursday</t>
        </is>
      </c>
      <c r="H1477" t="inlineStr">
        <is>
          <t>Weekly - Thursday</t>
        </is>
      </c>
      <c r="I1477" t="inlineStr">
        <is>
          <t>Weekly - Thursday</t>
        </is>
      </c>
      <c r="J1477" t="inlineStr">
        <is>
          <t>Same Month Expiry</t>
        </is>
      </c>
      <c r="K1477" s="25" t="n">
        <v>263447</v>
      </c>
      <c r="L1477" s="26" t="n">
        <v>415.5541</v>
      </c>
      <c r="M1477" s="26" t="n">
        <v>1.6778</v>
      </c>
    </row>
    <row r="1478">
      <c r="A1478" t="inlineStr">
        <is>
          <t>04-Aug-2026</t>
        </is>
      </c>
      <c r="B1478" t="inlineStr">
        <is>
          <t>Tuesday</t>
        </is>
      </c>
      <c r="C1478" t="inlineStr">
        <is>
          <t>Week1-Aug-2026</t>
        </is>
      </c>
      <c r="D1478" s="78" t="n">
        <v>46235</v>
      </c>
      <c r="E1478" t="inlineStr">
        <is>
          <t>Q2FY27</t>
        </is>
      </c>
      <c r="F1478" t="inlineStr">
        <is>
          <t>20-Aug-2026</t>
        </is>
      </c>
      <c r="G1478" t="inlineStr">
        <is>
          <t>Thursday</t>
        </is>
      </c>
      <c r="H1478" t="inlineStr">
        <is>
          <t>Weekly - Thursday</t>
        </is>
      </c>
      <c r="I1478" t="inlineStr">
        <is>
          <t>Weekly - Thursday</t>
        </is>
      </c>
      <c r="J1478" t="inlineStr">
        <is>
          <t>Same Month Expiry</t>
        </is>
      </c>
      <c r="K1478" s="25" t="n">
        <v>2007</v>
      </c>
      <c r="L1478" s="26" t="n">
        <v>3.1507</v>
      </c>
      <c r="M1478" s="26" t="n">
        <v>0.0213</v>
      </c>
    </row>
    <row r="1479">
      <c r="A1479" t="inlineStr">
        <is>
          <t>04-Aug-2026</t>
        </is>
      </c>
      <c r="B1479" t="inlineStr">
        <is>
          <t>Tuesday</t>
        </is>
      </c>
      <c r="C1479" t="inlineStr">
        <is>
          <t>Week1-Aug-2026</t>
        </is>
      </c>
      <c r="D1479" s="78" t="n">
        <v>46235</v>
      </c>
      <c r="E1479" t="inlineStr">
        <is>
          <t>Q2FY27</t>
        </is>
      </c>
      <c r="F1479" t="inlineStr">
        <is>
          <t>27-Aug-2026</t>
        </is>
      </c>
      <c r="G1479" t="inlineStr">
        <is>
          <t>Thursday</t>
        </is>
      </c>
      <c r="H1479" t="inlineStr">
        <is>
          <t>Monthly - Thursday</t>
        </is>
      </c>
      <c r="I1479" t="inlineStr">
        <is>
          <t>Monthly - Thursday</t>
        </is>
      </c>
      <c r="J1479" t="inlineStr">
        <is>
          <t>Same Month Expiry</t>
        </is>
      </c>
      <c r="K1479" s="25" t="n">
        <v>17606</v>
      </c>
      <c r="L1479" s="26" t="n">
        <v>27.8267</v>
      </c>
      <c r="M1479" s="26" t="n">
        <v>0.2066</v>
      </c>
    </row>
    <row r="1480">
      <c r="A1480" t="inlineStr">
        <is>
          <t>04-Aug-2026</t>
        </is>
      </c>
      <c r="B1480" t="inlineStr">
        <is>
          <t>Tuesday</t>
        </is>
      </c>
      <c r="C1480" t="inlineStr">
        <is>
          <t>Week1-Aug-2026</t>
        </is>
      </c>
      <c r="D1480" s="78" t="n">
        <v>46235</v>
      </c>
      <c r="E1480" t="inlineStr">
        <is>
          <t>Q2FY27</t>
        </is>
      </c>
      <c r="F1480" t="inlineStr">
        <is>
          <t>03-Sep-2026</t>
        </is>
      </c>
      <c r="G1480" t="inlineStr">
        <is>
          <t>Thursday</t>
        </is>
      </c>
      <c r="H1480" t="inlineStr">
        <is>
          <t>Weekly - Thursday</t>
        </is>
      </c>
      <c r="I1480" t="inlineStr">
        <is>
          <t>Weekly - Thursday</t>
        </is>
      </c>
      <c r="J1480" t="inlineStr">
        <is>
          <t>Month+1 Expiry</t>
        </is>
      </c>
      <c r="K1480" s="25" t="n">
        <v>28</v>
      </c>
      <c r="L1480" s="26" t="n">
        <v>0.045</v>
      </c>
      <c r="M1480" s="26" t="n">
        <v>0.0007</v>
      </c>
    </row>
    <row r="1481">
      <c r="A1481" t="inlineStr">
        <is>
          <t>04-Aug-2026</t>
        </is>
      </c>
      <c r="B1481" t="inlineStr">
        <is>
          <t>Tuesday</t>
        </is>
      </c>
      <c r="C1481" t="inlineStr">
        <is>
          <t>Week1-Aug-2026</t>
        </is>
      </c>
      <c r="D1481" s="78" t="n">
        <v>46235</v>
      </c>
      <c r="E1481" t="inlineStr">
        <is>
          <t>Q2FY27</t>
        </is>
      </c>
      <c r="F1481" t="inlineStr">
        <is>
          <t>10-Sep-2026</t>
        </is>
      </c>
      <c r="G1481" t="inlineStr">
        <is>
          <t>Thursday</t>
        </is>
      </c>
      <c r="H1481" t="inlineStr">
        <is>
          <t>Weekly - Thursday</t>
        </is>
      </c>
      <c r="I1481" t="inlineStr">
        <is>
          <t>Weekly - Thursday</t>
        </is>
      </c>
      <c r="J1481" t="inlineStr">
        <is>
          <t>Month+1 Expiry</t>
        </is>
      </c>
      <c r="K1481" s="25" t="n">
        <v>5</v>
      </c>
      <c r="L1481" s="26" t="n">
        <v>0.008</v>
      </c>
      <c r="M1481" s="26" t="n">
        <v>0.0001</v>
      </c>
    </row>
    <row r="1482">
      <c r="A1482" t="inlineStr">
        <is>
          <t>04-Aug-2026</t>
        </is>
      </c>
      <c r="B1482" t="inlineStr">
        <is>
          <t>Tuesday</t>
        </is>
      </c>
      <c r="C1482" t="inlineStr">
        <is>
          <t>Week1-Aug-2026</t>
        </is>
      </c>
      <c r="D1482" s="78" t="n">
        <v>46235</v>
      </c>
      <c r="E1482" t="inlineStr">
        <is>
          <t>Q2FY27</t>
        </is>
      </c>
      <c r="F1482" t="inlineStr">
        <is>
          <t>17-Sep-2026</t>
        </is>
      </c>
      <c r="G1482" t="inlineStr">
        <is>
          <t>Thursday</t>
        </is>
      </c>
      <c r="H1482" t="inlineStr">
        <is>
          <t>Weekly - Thursday</t>
        </is>
      </c>
      <c r="I1482" t="inlineStr">
        <is>
          <t>Weekly - Thursday</t>
        </is>
      </c>
      <c r="J1482" t="inlineStr">
        <is>
          <t>Month+1 Expiry</t>
        </is>
      </c>
      <c r="K1482" s="25" t="n">
        <v>5</v>
      </c>
      <c r="L1482" s="26" t="n">
        <v>0.008399999999999999</v>
      </c>
      <c r="M1482" s="26" t="n">
        <v>0.0003</v>
      </c>
    </row>
    <row r="1483">
      <c r="A1483" t="inlineStr">
        <is>
          <t>05-Aug-2026</t>
        </is>
      </c>
      <c r="B1483" t="inlineStr">
        <is>
          <t>Wednesday</t>
        </is>
      </c>
      <c r="C1483" t="inlineStr">
        <is>
          <t>Week1-Aug-2026</t>
        </is>
      </c>
      <c r="D1483" s="78" t="n">
        <v>46235</v>
      </c>
      <c r="E1483" t="inlineStr">
        <is>
          <t>Q2FY27</t>
        </is>
      </c>
      <c r="F1483" t="inlineStr">
        <is>
          <t>06-Aug-2026</t>
        </is>
      </c>
      <c r="G1483" t="inlineStr">
        <is>
          <t>Thursday</t>
        </is>
      </c>
      <c r="H1483" t="inlineStr">
        <is>
          <t>Weekly - Thursday</t>
        </is>
      </c>
      <c r="I1483" t="inlineStr">
        <is>
          <t>Weekly - Thursday</t>
        </is>
      </c>
      <c r="J1483" t="inlineStr">
        <is>
          <t>Same Month Expiry</t>
        </is>
      </c>
      <c r="K1483" s="25" t="n">
        <v>134138591</v>
      </c>
      <c r="L1483" s="26" t="n">
        <v>211091.5754</v>
      </c>
      <c r="M1483" s="26" t="n">
        <v>417.6095</v>
      </c>
    </row>
    <row r="1484">
      <c r="A1484" t="inlineStr">
        <is>
          <t>05-Aug-2026</t>
        </is>
      </c>
      <c r="B1484" t="inlineStr">
        <is>
          <t>Wednesday</t>
        </is>
      </c>
      <c r="C1484" t="inlineStr">
        <is>
          <t>Week1-Aug-2026</t>
        </is>
      </c>
      <c r="D1484" s="78" t="n">
        <v>46235</v>
      </c>
      <c r="E1484" t="inlineStr">
        <is>
          <t>Q2FY27</t>
        </is>
      </c>
      <c r="F1484" t="inlineStr">
        <is>
          <t>13-Aug-2026</t>
        </is>
      </c>
      <c r="G1484" t="inlineStr">
        <is>
          <t>Thursday</t>
        </is>
      </c>
      <c r="H1484" t="inlineStr">
        <is>
          <t>Weekly - Thursday</t>
        </is>
      </c>
      <c r="I1484" t="inlineStr">
        <is>
          <t>Weekly - Thursday</t>
        </is>
      </c>
      <c r="J1484" t="inlineStr">
        <is>
          <t>Same Month Expiry</t>
        </is>
      </c>
      <c r="K1484" s="25" t="n">
        <v>821852</v>
      </c>
      <c r="L1484" s="26" t="n">
        <v>1295.5744</v>
      </c>
      <c r="M1484" s="26" t="n">
        <v>5.2446</v>
      </c>
    </row>
    <row r="1485">
      <c r="A1485" t="inlineStr">
        <is>
          <t>05-Aug-2026</t>
        </is>
      </c>
      <c r="B1485" t="inlineStr">
        <is>
          <t>Wednesday</t>
        </is>
      </c>
      <c r="C1485" t="inlineStr">
        <is>
          <t>Week1-Aug-2026</t>
        </is>
      </c>
      <c r="D1485" s="78" t="n">
        <v>46235</v>
      </c>
      <c r="E1485" t="inlineStr">
        <is>
          <t>Q2FY27</t>
        </is>
      </c>
      <c r="F1485" t="inlineStr">
        <is>
          <t>20-Aug-2026</t>
        </is>
      </c>
      <c r="G1485" t="inlineStr">
        <is>
          <t>Thursday</t>
        </is>
      </c>
      <c r="H1485" t="inlineStr">
        <is>
          <t>Weekly - Thursday</t>
        </is>
      </c>
      <c r="I1485" t="inlineStr">
        <is>
          <t>Weekly - Thursday</t>
        </is>
      </c>
      <c r="J1485" t="inlineStr">
        <is>
          <t>Same Month Expiry</t>
        </is>
      </c>
      <c r="K1485" s="25" t="n">
        <v>6081</v>
      </c>
      <c r="L1485" s="26" t="n">
        <v>9.554600000000001</v>
      </c>
      <c r="M1485" s="26" t="n">
        <v>0.0654</v>
      </c>
    </row>
    <row r="1486">
      <c r="A1486" t="inlineStr">
        <is>
          <t>05-Aug-2026</t>
        </is>
      </c>
      <c r="B1486" t="inlineStr">
        <is>
          <t>Wednesday</t>
        </is>
      </c>
      <c r="C1486" t="inlineStr">
        <is>
          <t>Week1-Aug-2026</t>
        </is>
      </c>
      <c r="D1486" s="78" t="n">
        <v>46235</v>
      </c>
      <c r="E1486" t="inlineStr">
        <is>
          <t>Q2FY27</t>
        </is>
      </c>
      <c r="F1486" t="inlineStr">
        <is>
          <t>27-Aug-2026</t>
        </is>
      </c>
      <c r="G1486" t="inlineStr">
        <is>
          <t>Thursday</t>
        </is>
      </c>
      <c r="H1486" t="inlineStr">
        <is>
          <t>Monthly - Thursday</t>
        </is>
      </c>
      <c r="I1486" t="inlineStr">
        <is>
          <t>Monthly - Thursday</t>
        </is>
      </c>
      <c r="J1486" t="inlineStr">
        <is>
          <t>Same Month Expiry</t>
        </is>
      </c>
      <c r="K1486" s="25" t="n">
        <v>34709</v>
      </c>
      <c r="L1486" s="26" t="n">
        <v>55.1831</v>
      </c>
      <c r="M1486" s="26" t="n">
        <v>0.4018</v>
      </c>
    </row>
    <row r="1487">
      <c r="A1487" t="inlineStr">
        <is>
          <t>05-Aug-2026</t>
        </is>
      </c>
      <c r="B1487" t="inlineStr">
        <is>
          <t>Wednesday</t>
        </is>
      </c>
      <c r="C1487" t="inlineStr">
        <is>
          <t>Week1-Aug-2026</t>
        </is>
      </c>
      <c r="D1487" s="78" t="n">
        <v>46235</v>
      </c>
      <c r="E1487" t="inlineStr">
        <is>
          <t>Q2FY27</t>
        </is>
      </c>
      <c r="F1487" t="inlineStr">
        <is>
          <t>03-Sep-2026</t>
        </is>
      </c>
      <c r="G1487" t="inlineStr">
        <is>
          <t>Thursday</t>
        </is>
      </c>
      <c r="H1487" t="inlineStr">
        <is>
          <t>Weekly - Thursday</t>
        </is>
      </c>
      <c r="I1487" t="inlineStr">
        <is>
          <t>Weekly - Thursday</t>
        </is>
      </c>
      <c r="J1487" t="inlineStr">
        <is>
          <t>Month+1 Expiry</t>
        </is>
      </c>
      <c r="K1487" s="25" t="n">
        <v>15</v>
      </c>
      <c r="L1487" s="26" t="n">
        <v>0.0238</v>
      </c>
      <c r="M1487" s="26" t="n">
        <v>0.0002</v>
      </c>
    </row>
    <row r="1488">
      <c r="A1488" t="inlineStr">
        <is>
          <t>05-Aug-2026</t>
        </is>
      </c>
      <c r="B1488" t="inlineStr">
        <is>
          <t>Wednesday</t>
        </is>
      </c>
      <c r="C1488" t="inlineStr">
        <is>
          <t>Week1-Aug-2026</t>
        </is>
      </c>
      <c r="D1488" s="78" t="n">
        <v>46235</v>
      </c>
      <c r="E1488" t="inlineStr">
        <is>
          <t>Q2FY27</t>
        </is>
      </c>
      <c r="F1488" t="inlineStr">
        <is>
          <t>10-Sep-2026</t>
        </is>
      </c>
      <c r="G1488" t="inlineStr">
        <is>
          <t>Thursday</t>
        </is>
      </c>
      <c r="H1488" t="inlineStr">
        <is>
          <t>Weekly - Thursday</t>
        </is>
      </c>
      <c r="I1488" t="inlineStr">
        <is>
          <t>Weekly - Thursday</t>
        </is>
      </c>
      <c r="J1488" t="inlineStr">
        <is>
          <t>Month+1 Expiry</t>
        </is>
      </c>
      <c r="K1488" s="25" t="n">
        <v>0</v>
      </c>
      <c r="L1488" s="26" t="n">
        <v>0</v>
      </c>
      <c r="M1488" s="26" t="n">
        <v>0</v>
      </c>
    </row>
    <row r="1489">
      <c r="A1489" t="inlineStr">
        <is>
          <t>05-Aug-2026</t>
        </is>
      </c>
      <c r="B1489" t="inlineStr">
        <is>
          <t>Wednesday</t>
        </is>
      </c>
      <c r="C1489" t="inlineStr">
        <is>
          <t>Week1-Aug-2026</t>
        </is>
      </c>
      <c r="D1489" s="78" t="n">
        <v>46235</v>
      </c>
      <c r="E1489" t="inlineStr">
        <is>
          <t>Q2FY27</t>
        </is>
      </c>
      <c r="F1489" t="inlineStr">
        <is>
          <t>17-Sep-2026</t>
        </is>
      </c>
      <c r="G1489" t="inlineStr">
        <is>
          <t>Thursday</t>
        </is>
      </c>
      <c r="H1489" t="inlineStr">
        <is>
          <t>Weekly - Thursday</t>
        </is>
      </c>
      <c r="I1489" t="inlineStr">
        <is>
          <t>Weekly - Thursday</t>
        </is>
      </c>
      <c r="J1489" t="inlineStr">
        <is>
          <t>Month+1 Expiry</t>
        </is>
      </c>
      <c r="K1489" s="25" t="n">
        <v>0</v>
      </c>
      <c r="L1489" s="26" t="n">
        <v>0</v>
      </c>
      <c r="M1489" s="26" t="n">
        <v>0</v>
      </c>
    </row>
    <row r="1490">
      <c r="A1490" t="inlineStr">
        <is>
          <t>06-Aug-2026</t>
        </is>
      </c>
      <c r="B1490" t="inlineStr">
        <is>
          <t>Thursday</t>
        </is>
      </c>
      <c r="C1490" t="inlineStr">
        <is>
          <t>Week1-Aug-2026</t>
        </is>
      </c>
      <c r="D1490" s="78" t="n">
        <v>46235</v>
      </c>
      <c r="E1490" t="inlineStr">
        <is>
          <t>Q2FY27</t>
        </is>
      </c>
      <c r="F1490" t="inlineStr">
        <is>
          <t>06-Aug-2026</t>
        </is>
      </c>
      <c r="G1490" t="inlineStr">
        <is>
          <t>Thursday</t>
        </is>
      </c>
      <c r="H1490" t="inlineStr">
        <is>
          <t>Weekly - Thursday</t>
        </is>
      </c>
      <c r="I1490" t="inlineStr">
        <is>
          <t>Weekly - Thursday</t>
        </is>
      </c>
      <c r="J1490" t="inlineStr">
        <is>
          <t>Same Month Expiry</t>
        </is>
      </c>
      <c r="K1490" s="25" t="n">
        <v>253874785</v>
      </c>
      <c r="L1490" s="26" t="n">
        <v>400426.0936</v>
      </c>
      <c r="M1490" s="26" t="n">
        <v>476.58</v>
      </c>
    </row>
    <row r="1491">
      <c r="A1491" t="inlineStr">
        <is>
          <t>06-Aug-2026</t>
        </is>
      </c>
      <c r="B1491" t="inlineStr">
        <is>
          <t>Thursday</t>
        </is>
      </c>
      <c r="C1491" t="inlineStr">
        <is>
          <t>Week1-Aug-2026</t>
        </is>
      </c>
      <c r="D1491" s="78" t="n">
        <v>46235</v>
      </c>
      <c r="E1491" t="inlineStr">
        <is>
          <t>Q2FY27</t>
        </is>
      </c>
      <c r="F1491" t="inlineStr">
        <is>
          <t>13-Aug-2026</t>
        </is>
      </c>
      <c r="G1491" t="inlineStr">
        <is>
          <t>Thursday</t>
        </is>
      </c>
      <c r="H1491" t="inlineStr">
        <is>
          <t>Weekly - Thursday</t>
        </is>
      </c>
      <c r="I1491" t="inlineStr">
        <is>
          <t>Weekly - Thursday</t>
        </is>
      </c>
      <c r="J1491" t="inlineStr">
        <is>
          <t>Same Month Expiry</t>
        </is>
      </c>
      <c r="K1491" s="25" t="n">
        <v>1680870</v>
      </c>
      <c r="L1491" s="26" t="n">
        <v>2653.8735</v>
      </c>
      <c r="M1491" s="26" t="n">
        <v>10.2727</v>
      </c>
    </row>
    <row r="1492">
      <c r="A1492" t="inlineStr">
        <is>
          <t>06-Aug-2026</t>
        </is>
      </c>
      <c r="B1492" t="inlineStr">
        <is>
          <t>Thursday</t>
        </is>
      </c>
      <c r="C1492" t="inlineStr">
        <is>
          <t>Week1-Aug-2026</t>
        </is>
      </c>
      <c r="D1492" s="78" t="n">
        <v>46235</v>
      </c>
      <c r="E1492" t="inlineStr">
        <is>
          <t>Q2FY27</t>
        </is>
      </c>
      <c r="F1492" t="inlineStr">
        <is>
          <t>20-Aug-2026</t>
        </is>
      </c>
      <c r="G1492" t="inlineStr">
        <is>
          <t>Thursday</t>
        </is>
      </c>
      <c r="H1492" t="inlineStr">
        <is>
          <t>Weekly - Thursday</t>
        </is>
      </c>
      <c r="I1492" t="inlineStr">
        <is>
          <t>Weekly - Thursday</t>
        </is>
      </c>
      <c r="J1492" t="inlineStr">
        <is>
          <t>Same Month Expiry</t>
        </is>
      </c>
      <c r="K1492" s="25" t="n">
        <v>8994</v>
      </c>
      <c r="L1492" s="26" t="n">
        <v>14.1845</v>
      </c>
      <c r="M1492" s="26" t="n">
        <v>0.09429999999999999</v>
      </c>
    </row>
    <row r="1493">
      <c r="A1493" t="inlineStr">
        <is>
          <t>06-Aug-2026</t>
        </is>
      </c>
      <c r="B1493" t="inlineStr">
        <is>
          <t>Thursday</t>
        </is>
      </c>
      <c r="C1493" t="inlineStr">
        <is>
          <t>Week1-Aug-2026</t>
        </is>
      </c>
      <c r="D1493" s="78" t="n">
        <v>46235</v>
      </c>
      <c r="E1493" t="inlineStr">
        <is>
          <t>Q2FY27</t>
        </is>
      </c>
      <c r="F1493" t="inlineStr">
        <is>
          <t>27-Aug-2026</t>
        </is>
      </c>
      <c r="G1493" t="inlineStr">
        <is>
          <t>Thursday</t>
        </is>
      </c>
      <c r="H1493" t="inlineStr">
        <is>
          <t>Monthly - Thursday</t>
        </is>
      </c>
      <c r="I1493" t="inlineStr">
        <is>
          <t>Monthly - Thursday</t>
        </is>
      </c>
      <c r="J1493" t="inlineStr">
        <is>
          <t>Same Month Expiry</t>
        </is>
      </c>
      <c r="K1493" s="25" t="n">
        <v>29271</v>
      </c>
      <c r="L1493" s="26" t="n">
        <v>46.5308</v>
      </c>
      <c r="M1493" s="26" t="n">
        <v>0.3723</v>
      </c>
    </row>
    <row r="1494">
      <c r="A1494" t="inlineStr">
        <is>
          <t>06-Aug-2026</t>
        </is>
      </c>
      <c r="B1494" t="inlineStr">
        <is>
          <t>Thursday</t>
        </is>
      </c>
      <c r="C1494" t="inlineStr">
        <is>
          <t>Week1-Aug-2026</t>
        </is>
      </c>
      <c r="D1494" s="78" t="n">
        <v>46235</v>
      </c>
      <c r="E1494" t="inlineStr">
        <is>
          <t>Q2FY27</t>
        </is>
      </c>
      <c r="F1494" t="inlineStr">
        <is>
          <t>03-Sep-2026</t>
        </is>
      </c>
      <c r="G1494" t="inlineStr">
        <is>
          <t>Thursday</t>
        </is>
      </c>
      <c r="H1494" t="inlineStr">
        <is>
          <t>Weekly - Thursday</t>
        </is>
      </c>
      <c r="I1494" t="inlineStr">
        <is>
          <t>Weekly - Thursday</t>
        </is>
      </c>
      <c r="J1494" t="inlineStr">
        <is>
          <t>Month+1 Expiry</t>
        </is>
      </c>
      <c r="K1494" s="25" t="n">
        <v>62</v>
      </c>
      <c r="L1494" s="26" t="n">
        <v>0.0975</v>
      </c>
      <c r="M1494" s="26" t="n">
        <v>0.0007</v>
      </c>
    </row>
    <row r="1495">
      <c r="A1495" t="inlineStr">
        <is>
          <t>06-Aug-2026</t>
        </is>
      </c>
      <c r="B1495" t="inlineStr">
        <is>
          <t>Thursday</t>
        </is>
      </c>
      <c r="C1495" t="inlineStr">
        <is>
          <t>Week1-Aug-2026</t>
        </is>
      </c>
      <c r="D1495" s="78" t="n">
        <v>46235</v>
      </c>
      <c r="E1495" t="inlineStr">
        <is>
          <t>Q2FY27</t>
        </is>
      </c>
      <c r="F1495" t="inlineStr">
        <is>
          <t>10-Sep-2026</t>
        </is>
      </c>
      <c r="G1495" t="inlineStr">
        <is>
          <t>Thursday</t>
        </is>
      </c>
      <c r="H1495" t="inlineStr">
        <is>
          <t>Weekly - Thursday</t>
        </is>
      </c>
      <c r="I1495" t="inlineStr">
        <is>
          <t>Weekly - Thursday</t>
        </is>
      </c>
      <c r="J1495" t="inlineStr">
        <is>
          <t>Month+1 Expiry</t>
        </is>
      </c>
      <c r="K1495" s="25" t="n">
        <v>1</v>
      </c>
      <c r="L1495" s="26" t="n">
        <v>0.0016</v>
      </c>
      <c r="M1495" s="26" t="n">
        <v>0</v>
      </c>
    </row>
    <row r="1496">
      <c r="A1496" t="inlineStr">
        <is>
          <t>06-Aug-2026</t>
        </is>
      </c>
      <c r="B1496" t="inlineStr">
        <is>
          <t>Thursday</t>
        </is>
      </c>
      <c r="C1496" t="inlineStr">
        <is>
          <t>Week1-Aug-2026</t>
        </is>
      </c>
      <c r="D1496" s="78" t="n">
        <v>46235</v>
      </c>
      <c r="E1496" t="inlineStr">
        <is>
          <t>Q2FY27</t>
        </is>
      </c>
      <c r="F1496" t="inlineStr">
        <is>
          <t>17-Sep-2026</t>
        </is>
      </c>
      <c r="G1496" t="inlineStr">
        <is>
          <t>Thursday</t>
        </is>
      </c>
      <c r="H1496" t="inlineStr">
        <is>
          <t>Weekly - Thursday</t>
        </is>
      </c>
      <c r="I1496" t="inlineStr">
        <is>
          <t>Weekly - Thursday</t>
        </is>
      </c>
      <c r="J1496" t="inlineStr">
        <is>
          <t>Month+1 Expiry</t>
        </is>
      </c>
      <c r="K1496" s="25" t="n">
        <v>0</v>
      </c>
      <c r="L1496" s="26" t="n">
        <v>0</v>
      </c>
      <c r="M1496" s="26" t="n">
        <v>0</v>
      </c>
    </row>
    <row r="1497">
      <c r="A1497" t="inlineStr">
        <is>
          <t>07-Aug-2026</t>
        </is>
      </c>
      <c r="B1497" t="inlineStr">
        <is>
          <t>Friday</t>
        </is>
      </c>
      <c r="C1497" t="inlineStr">
        <is>
          <t>Week1-Aug-2026</t>
        </is>
      </c>
      <c r="D1497" s="78" t="n">
        <v>46235</v>
      </c>
      <c r="E1497" t="inlineStr">
        <is>
          <t>Q2FY27</t>
        </is>
      </c>
      <c r="F1497" t="inlineStr">
        <is>
          <t>13-Aug-2026</t>
        </is>
      </c>
      <c r="G1497" t="inlineStr">
        <is>
          <t>Thursday</t>
        </is>
      </c>
      <c r="H1497" t="inlineStr">
        <is>
          <t>Weekly - Thursday</t>
        </is>
      </c>
      <c r="I1497" t="inlineStr">
        <is>
          <t>Weekly - Thursday</t>
        </is>
      </c>
      <c r="J1497" t="inlineStr">
        <is>
          <t>Same Month Expiry</t>
        </is>
      </c>
      <c r="K1497" s="25" t="n">
        <v>12998316</v>
      </c>
      <c r="L1497" s="26" t="n">
        <v>20508.6384</v>
      </c>
      <c r="M1497" s="26" t="n">
        <v>77.73860000000001</v>
      </c>
    </row>
    <row r="1498">
      <c r="A1498" t="inlineStr">
        <is>
          <t>07-Aug-2026</t>
        </is>
      </c>
      <c r="B1498" t="inlineStr">
        <is>
          <t>Friday</t>
        </is>
      </c>
      <c r="C1498" t="inlineStr">
        <is>
          <t>Week1-Aug-2026</t>
        </is>
      </c>
      <c r="D1498" s="78" t="n">
        <v>46235</v>
      </c>
      <c r="E1498" t="inlineStr">
        <is>
          <t>Q2FY27</t>
        </is>
      </c>
      <c r="F1498" t="inlineStr">
        <is>
          <t>20-Aug-2026</t>
        </is>
      </c>
      <c r="G1498" t="inlineStr">
        <is>
          <t>Thursday</t>
        </is>
      </c>
      <c r="H1498" t="inlineStr">
        <is>
          <t>Weekly - Thursday</t>
        </is>
      </c>
      <c r="I1498" t="inlineStr">
        <is>
          <t>Weekly - Thursday</t>
        </is>
      </c>
      <c r="J1498" t="inlineStr">
        <is>
          <t>Same Month Expiry</t>
        </is>
      </c>
      <c r="K1498" s="25" t="n">
        <v>39141</v>
      </c>
      <c r="L1498" s="26" t="n">
        <v>61.9431</v>
      </c>
      <c r="M1498" s="26" t="n">
        <v>0.3724</v>
      </c>
    </row>
    <row r="1499">
      <c r="A1499" t="inlineStr">
        <is>
          <t>07-Aug-2026</t>
        </is>
      </c>
      <c r="B1499" t="inlineStr">
        <is>
          <t>Friday</t>
        </is>
      </c>
      <c r="C1499" t="inlineStr">
        <is>
          <t>Week1-Aug-2026</t>
        </is>
      </c>
      <c r="D1499" s="78" t="n">
        <v>46235</v>
      </c>
      <c r="E1499" t="inlineStr">
        <is>
          <t>Q2FY27</t>
        </is>
      </c>
      <c r="F1499" t="inlineStr">
        <is>
          <t>27-Aug-2026</t>
        </is>
      </c>
      <c r="G1499" t="inlineStr">
        <is>
          <t>Thursday</t>
        </is>
      </c>
      <c r="H1499" t="inlineStr">
        <is>
          <t>Monthly - Thursday</t>
        </is>
      </c>
      <c r="I1499" t="inlineStr">
        <is>
          <t>Monthly - Thursday</t>
        </is>
      </c>
      <c r="J1499" t="inlineStr">
        <is>
          <t>Same Month Expiry</t>
        </is>
      </c>
      <c r="K1499" s="25" t="n">
        <v>23336</v>
      </c>
      <c r="L1499" s="26" t="n">
        <v>36.8482</v>
      </c>
      <c r="M1499" s="26" t="n">
        <v>0.2479</v>
      </c>
    </row>
    <row r="1500">
      <c r="A1500" t="inlineStr">
        <is>
          <t>07-Aug-2026</t>
        </is>
      </c>
      <c r="B1500" t="inlineStr">
        <is>
          <t>Friday</t>
        </is>
      </c>
      <c r="C1500" t="inlineStr">
        <is>
          <t>Week1-Aug-2026</t>
        </is>
      </c>
      <c r="D1500" s="78" t="n">
        <v>46235</v>
      </c>
      <c r="E1500" t="inlineStr">
        <is>
          <t>Q2FY27</t>
        </is>
      </c>
      <c r="F1500" t="inlineStr">
        <is>
          <t>03-Sep-2026</t>
        </is>
      </c>
      <c r="G1500" t="inlineStr">
        <is>
          <t>Thursday</t>
        </is>
      </c>
      <c r="H1500" t="inlineStr">
        <is>
          <t>Weekly - Thursday</t>
        </is>
      </c>
      <c r="I1500" t="inlineStr">
        <is>
          <t>Weekly - Thursday</t>
        </is>
      </c>
      <c r="J1500" t="inlineStr">
        <is>
          <t>Month+1 Expiry</t>
        </is>
      </c>
      <c r="K1500" s="25" t="n">
        <v>560</v>
      </c>
      <c r="L1500" s="26" t="n">
        <v>0.8895</v>
      </c>
      <c r="M1500" s="26" t="n">
        <v>0.009299999999999999</v>
      </c>
    </row>
    <row r="1501">
      <c r="A1501" t="inlineStr">
        <is>
          <t>07-Aug-2026</t>
        </is>
      </c>
      <c r="B1501" t="inlineStr">
        <is>
          <t>Friday</t>
        </is>
      </c>
      <c r="C1501" t="inlineStr">
        <is>
          <t>Week1-Aug-2026</t>
        </is>
      </c>
      <c r="D1501" s="78" t="n">
        <v>46235</v>
      </c>
      <c r="E1501" t="inlineStr">
        <is>
          <t>Q2FY27</t>
        </is>
      </c>
      <c r="F1501" t="inlineStr">
        <is>
          <t>10-Sep-2026</t>
        </is>
      </c>
      <c r="G1501" t="inlineStr">
        <is>
          <t>Thursday</t>
        </is>
      </c>
      <c r="H1501" t="inlineStr">
        <is>
          <t>Weekly - Thursday</t>
        </is>
      </c>
      <c r="I1501" t="inlineStr">
        <is>
          <t>Weekly - Thursday</t>
        </is>
      </c>
      <c r="J1501" t="inlineStr">
        <is>
          <t>Month+1 Expiry</t>
        </is>
      </c>
      <c r="K1501" s="25" t="n">
        <v>0</v>
      </c>
      <c r="L1501" s="26" t="n">
        <v>0</v>
      </c>
      <c r="M1501" s="26" t="n">
        <v>0</v>
      </c>
    </row>
    <row r="1502">
      <c r="A1502" t="inlineStr">
        <is>
          <t>07-Aug-2026</t>
        </is>
      </c>
      <c r="B1502" t="inlineStr">
        <is>
          <t>Friday</t>
        </is>
      </c>
      <c r="C1502" t="inlineStr">
        <is>
          <t>Week1-Aug-2026</t>
        </is>
      </c>
      <c r="D1502" s="78" t="n">
        <v>46235</v>
      </c>
      <c r="E1502" t="inlineStr">
        <is>
          <t>Q2FY27</t>
        </is>
      </c>
      <c r="F1502" t="inlineStr">
        <is>
          <t>17-Sep-2026</t>
        </is>
      </c>
      <c r="G1502" t="inlineStr">
        <is>
          <t>Thursday</t>
        </is>
      </c>
      <c r="H1502" t="inlineStr">
        <is>
          <t>Weekly - Thursday</t>
        </is>
      </c>
      <c r="I1502" t="inlineStr">
        <is>
          <t>Weekly - Thursday</t>
        </is>
      </c>
      <c r="J1502" t="inlineStr">
        <is>
          <t>Month+1 Expiry</t>
        </is>
      </c>
      <c r="K1502" s="25" t="n">
        <v>0</v>
      </c>
      <c r="L1502" s="26" t="n">
        <v>0</v>
      </c>
      <c r="M1502" s="26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2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6"/>
  <cols>
    <col width="12" customWidth="1" style="4" min="1" max="1"/>
    <col width="11" customWidth="1" style="4" min="2" max="2"/>
    <col width="18" customWidth="1" style="4" min="3" max="3"/>
    <col width="14" customWidth="1" style="4" min="4" max="4"/>
    <col width="14" customWidth="1" style="4" min="5" max="5"/>
    <col width="12" customWidth="1" style="4" min="6" max="6"/>
    <col width="11" customWidth="1" style="4" min="7" max="7"/>
    <col width="20" customWidth="1" style="4" min="8" max="8"/>
    <col width="20" customWidth="1" min="9" max="9"/>
    <col width="18" customWidth="1" style="4" min="10" max="10"/>
    <col width="20" customWidth="1" style="4" min="11" max="11"/>
    <col width="26" customWidth="1" style="4" min="12" max="12"/>
    <col width="26" customWidth="1" min="13" max="13"/>
    <col width="8.83203125" customWidth="1" style="4" min="14" max="55"/>
    <col width="8.83203125" customWidth="1" style="4" min="56" max="16384"/>
  </cols>
  <sheetData>
    <row r="1" ht="16" customHeight="1">
      <c r="A1" s="75" t="inlineStr">
        <is>
          <t>Trade Date</t>
        </is>
      </c>
      <c r="B1" s="75" t="inlineStr">
        <is>
          <t>Trade Day</t>
        </is>
      </c>
      <c r="C1" s="75" t="inlineStr">
        <is>
          <t>Trade Week-Month-Year</t>
        </is>
      </c>
      <c r="D1" s="75" t="inlineStr">
        <is>
          <t>Trade Month - Year</t>
        </is>
      </c>
      <c r="E1" s="75" t="inlineStr">
        <is>
          <t>Trade Quarter</t>
        </is>
      </c>
      <c r="F1" s="75" t="inlineStr">
        <is>
          <t>Expiry Date</t>
        </is>
      </c>
      <c r="G1" s="75" t="inlineStr">
        <is>
          <t>Expiry Day</t>
        </is>
      </c>
      <c r="H1" s="75" t="inlineStr">
        <is>
          <t>Expiry Type 2</t>
        </is>
      </c>
      <c r="I1" s="75" t="inlineStr">
        <is>
          <t>Expiry Type</t>
        </is>
      </c>
      <c r="J1" s="75" t="inlineStr">
        <is>
          <t>Expiry Month Offset</t>
        </is>
      </c>
      <c r="K1" s="75" t="inlineStr">
        <is>
          <t>Number of Contracts</t>
        </is>
      </c>
      <c r="L1" s="75" t="inlineStr">
        <is>
          <t>Notional Turnover (INR Bn)</t>
        </is>
      </c>
      <c r="M1" s="75" t="inlineStr">
        <is>
          <t>Premium Turnover (INR Bn)</t>
        </is>
      </c>
    </row>
    <row r="2" ht="16" customHeight="1">
      <c r="A2" t="inlineStr">
        <is>
          <t>01-Sep-2025</t>
        </is>
      </c>
      <c r="B2" t="inlineStr">
        <is>
          <t>Monday</t>
        </is>
      </c>
      <c r="C2" t="inlineStr">
        <is>
          <t>Week1-Sep-2025</t>
        </is>
      </c>
      <c r="D2" s="78" t="n">
        <v>45901</v>
      </c>
      <c r="E2" t="inlineStr">
        <is>
          <t>Q2FY26</t>
        </is>
      </c>
      <c r="F2" t="inlineStr">
        <is>
          <t>25-Sep-2025</t>
        </is>
      </c>
      <c r="G2" t="inlineStr">
        <is>
          <t>Thursday</t>
        </is>
      </c>
      <c r="H2" t="inlineStr">
        <is>
          <t>Monthly - Thursday</t>
        </is>
      </c>
      <c r="I2" t="inlineStr">
        <is>
          <t>Monthly - Thursday</t>
        </is>
      </c>
      <c r="J2" t="inlineStr">
        <is>
          <t>Same Month Expiry</t>
        </is>
      </c>
      <c r="K2" s="25" t="n">
        <v>1824</v>
      </c>
      <c r="L2" s="26" t="n">
        <v>3.3503</v>
      </c>
      <c r="M2" s="26" t="n">
        <v>0.0325</v>
      </c>
    </row>
    <row r="3" ht="16" customHeight="1">
      <c r="A3" t="inlineStr">
        <is>
          <t>01-Sep-2025</t>
        </is>
      </c>
      <c r="B3" t="inlineStr">
        <is>
          <t>Monday</t>
        </is>
      </c>
      <c r="C3" t="inlineStr">
        <is>
          <t>Week1-Sep-2025</t>
        </is>
      </c>
      <c r="D3" s="78" t="n">
        <v>45901</v>
      </c>
      <c r="E3" t="inlineStr">
        <is>
          <t>Q2FY26</t>
        </is>
      </c>
      <c r="F3" t="inlineStr">
        <is>
          <t>30-Oct-2025</t>
        </is>
      </c>
      <c r="G3" t="inlineStr">
        <is>
          <t>Thursday</t>
        </is>
      </c>
      <c r="H3" t="inlineStr">
        <is>
          <t>Monthly - Thursday</t>
        </is>
      </c>
      <c r="I3" t="inlineStr">
        <is>
          <t>Monthly - Thursday</t>
        </is>
      </c>
      <c r="J3" t="inlineStr">
        <is>
          <t>Month+1 Expiry</t>
        </is>
      </c>
      <c r="K3" s="25" t="n">
        <v>526</v>
      </c>
      <c r="L3" s="26" t="n">
        <v>0.9823</v>
      </c>
      <c r="M3" s="26" t="n">
        <v>0.0297</v>
      </c>
    </row>
    <row r="4" ht="16" customHeight="1">
      <c r="A4" t="inlineStr">
        <is>
          <t>01-Sep-2025</t>
        </is>
      </c>
      <c r="B4" t="inlineStr">
        <is>
          <t>Monday</t>
        </is>
      </c>
      <c r="C4" t="inlineStr">
        <is>
          <t>Week1-Sep-2025</t>
        </is>
      </c>
      <c r="D4" s="78" t="n">
        <v>45901</v>
      </c>
      <c r="E4" t="inlineStr">
        <is>
          <t>Q2FY26</t>
        </is>
      </c>
      <c r="F4" t="inlineStr">
        <is>
          <t>27-Nov-2025</t>
        </is>
      </c>
      <c r="G4" t="inlineStr">
        <is>
          <t>Thursday</t>
        </is>
      </c>
      <c r="H4" t="inlineStr">
        <is>
          <t>Monthly - Thursday</t>
        </is>
      </c>
      <c r="I4" t="inlineStr">
        <is>
          <t>Monthly - Thursday</t>
        </is>
      </c>
      <c r="J4" t="inlineStr">
        <is>
          <t>Month+2 Expiry</t>
        </is>
      </c>
      <c r="K4" s="25" t="n">
        <v>3</v>
      </c>
      <c r="L4" s="26" t="n">
        <v>0.0057</v>
      </c>
      <c r="M4" s="26" t="n">
        <v>0.0001</v>
      </c>
    </row>
    <row r="5" ht="16" customHeight="1">
      <c r="A5" t="inlineStr">
        <is>
          <t>02-Sep-2025</t>
        </is>
      </c>
      <c r="B5" t="inlineStr">
        <is>
          <t>Tuesday</t>
        </is>
      </c>
      <c r="C5" t="inlineStr">
        <is>
          <t>Week1-Sep-2025</t>
        </is>
      </c>
      <c r="D5" s="78" t="n">
        <v>45901</v>
      </c>
      <c r="E5" t="inlineStr">
        <is>
          <t>Q2FY26</t>
        </is>
      </c>
      <c r="F5" t="inlineStr">
        <is>
          <t>25-Sep-2025</t>
        </is>
      </c>
      <c r="G5" t="inlineStr">
        <is>
          <t>Thursday</t>
        </is>
      </c>
      <c r="H5" t="inlineStr">
        <is>
          <t>Monthly - Thursday</t>
        </is>
      </c>
      <c r="I5" t="inlineStr">
        <is>
          <t>Monthly - Thursday</t>
        </is>
      </c>
      <c r="J5" t="inlineStr">
        <is>
          <t>Same Month Expiry</t>
        </is>
      </c>
      <c r="K5" s="25" t="n">
        <v>2217</v>
      </c>
      <c r="L5" s="26" t="n">
        <v>4.0712</v>
      </c>
      <c r="M5" s="26" t="n">
        <v>0.033</v>
      </c>
    </row>
    <row r="6" ht="16" customHeight="1">
      <c r="A6" t="inlineStr">
        <is>
          <t>02-Sep-2025</t>
        </is>
      </c>
      <c r="B6" t="inlineStr">
        <is>
          <t>Tuesday</t>
        </is>
      </c>
      <c r="C6" t="inlineStr">
        <is>
          <t>Week1-Sep-2025</t>
        </is>
      </c>
      <c r="D6" s="78" t="n">
        <v>45901</v>
      </c>
      <c r="E6" t="inlineStr">
        <is>
          <t>Q2FY26</t>
        </is>
      </c>
      <c r="F6" t="inlineStr">
        <is>
          <t>30-Oct-2025</t>
        </is>
      </c>
      <c r="G6" t="inlineStr">
        <is>
          <t>Thursday</t>
        </is>
      </c>
      <c r="H6" t="inlineStr">
        <is>
          <t>Monthly - Thursday</t>
        </is>
      </c>
      <c r="I6" t="inlineStr">
        <is>
          <t>Monthly - Thursday</t>
        </is>
      </c>
      <c r="J6" t="inlineStr">
        <is>
          <t>Month+1 Expiry</t>
        </is>
      </c>
      <c r="K6" s="25" t="n">
        <v>350</v>
      </c>
      <c r="L6" s="26" t="n">
        <v>0.6496</v>
      </c>
      <c r="M6" s="26" t="n">
        <v>0.0158</v>
      </c>
    </row>
    <row r="7" ht="16" customHeight="1">
      <c r="A7" t="inlineStr">
        <is>
          <t>03-Sep-2025</t>
        </is>
      </c>
      <c r="B7" t="inlineStr">
        <is>
          <t>Wednesday</t>
        </is>
      </c>
      <c r="C7" t="inlineStr">
        <is>
          <t>Week1-Sep-2025</t>
        </is>
      </c>
      <c r="D7" s="78" t="n">
        <v>45901</v>
      </c>
      <c r="E7" t="inlineStr">
        <is>
          <t>Q2FY26</t>
        </is>
      </c>
      <c r="F7" t="inlineStr">
        <is>
          <t>25-Sep-2025</t>
        </is>
      </c>
      <c r="G7" t="inlineStr">
        <is>
          <t>Thursday</t>
        </is>
      </c>
      <c r="H7" t="inlineStr">
        <is>
          <t>Monthly - Thursday</t>
        </is>
      </c>
      <c r="I7" t="inlineStr">
        <is>
          <t>Monthly - Thursday</t>
        </is>
      </c>
      <c r="J7" t="inlineStr">
        <is>
          <t>Same Month Expiry</t>
        </is>
      </c>
      <c r="K7" s="25" t="n">
        <v>2547</v>
      </c>
      <c r="L7" s="26" t="n">
        <v>4.677</v>
      </c>
      <c r="M7" s="26" t="n">
        <v>0.0354</v>
      </c>
    </row>
    <row r="8" ht="16" customHeight="1">
      <c r="A8" t="inlineStr">
        <is>
          <t>03-Sep-2025</t>
        </is>
      </c>
      <c r="B8" t="inlineStr">
        <is>
          <t>Wednesday</t>
        </is>
      </c>
      <c r="C8" t="inlineStr">
        <is>
          <t>Week1-Sep-2025</t>
        </is>
      </c>
      <c r="D8" s="78" t="n">
        <v>45901</v>
      </c>
      <c r="E8" t="inlineStr">
        <is>
          <t>Q2FY26</t>
        </is>
      </c>
      <c r="F8" t="inlineStr">
        <is>
          <t>30-Oct-2025</t>
        </is>
      </c>
      <c r="G8" t="inlineStr">
        <is>
          <t>Thursday</t>
        </is>
      </c>
      <c r="H8" t="inlineStr">
        <is>
          <t>Monthly - Thursday</t>
        </is>
      </c>
      <c r="I8" t="inlineStr">
        <is>
          <t>Monthly - Thursday</t>
        </is>
      </c>
      <c r="J8" t="inlineStr">
        <is>
          <t>Month+1 Expiry</t>
        </is>
      </c>
      <c r="K8" s="25" t="n">
        <v>433</v>
      </c>
      <c r="L8" s="26" t="n">
        <v>0.8033</v>
      </c>
      <c r="M8" s="26" t="n">
        <v>0.0176</v>
      </c>
    </row>
    <row r="9" ht="16" customHeight="1">
      <c r="A9" t="inlineStr">
        <is>
          <t>04-Sep-2025</t>
        </is>
      </c>
      <c r="B9" t="inlineStr">
        <is>
          <t>Thursday</t>
        </is>
      </c>
      <c r="C9" t="inlineStr">
        <is>
          <t>Week1-Sep-2025</t>
        </is>
      </c>
      <c r="D9" s="78" t="n">
        <v>45901</v>
      </c>
      <c r="E9" t="inlineStr">
        <is>
          <t>Q2FY26</t>
        </is>
      </c>
      <c r="F9" t="inlineStr">
        <is>
          <t>25-Sep-2025</t>
        </is>
      </c>
      <c r="G9" t="inlineStr">
        <is>
          <t>Thursday</t>
        </is>
      </c>
      <c r="H9" t="inlineStr">
        <is>
          <t>Monthly - Thursday</t>
        </is>
      </c>
      <c r="I9" t="inlineStr">
        <is>
          <t>Monthly - Thursday</t>
        </is>
      </c>
      <c r="J9" t="inlineStr">
        <is>
          <t>Same Month Expiry</t>
        </is>
      </c>
      <c r="K9" s="25" t="n">
        <v>2107</v>
      </c>
      <c r="L9" s="26" t="n">
        <v>3.87</v>
      </c>
      <c r="M9" s="26" t="n">
        <v>0.0241</v>
      </c>
    </row>
    <row r="10" ht="16" customHeight="1">
      <c r="A10" t="inlineStr">
        <is>
          <t>04-Sep-2025</t>
        </is>
      </c>
      <c r="B10" t="inlineStr">
        <is>
          <t>Thursday</t>
        </is>
      </c>
      <c r="C10" t="inlineStr">
        <is>
          <t>Week1-Sep-2025</t>
        </is>
      </c>
      <c r="D10" s="78" t="n">
        <v>45901</v>
      </c>
      <c r="E10" t="inlineStr">
        <is>
          <t>Q2FY26</t>
        </is>
      </c>
      <c r="F10" t="inlineStr">
        <is>
          <t>30-Oct-2025</t>
        </is>
      </c>
      <c r="G10" t="inlineStr">
        <is>
          <t>Thursday</t>
        </is>
      </c>
      <c r="H10" t="inlineStr">
        <is>
          <t>Monthly - Thursday</t>
        </is>
      </c>
      <c r="I10" t="inlineStr">
        <is>
          <t>Monthly - Thursday</t>
        </is>
      </c>
      <c r="J10" t="inlineStr">
        <is>
          <t>Month+1 Expiry</t>
        </is>
      </c>
      <c r="K10" s="25" t="n">
        <v>326</v>
      </c>
      <c r="L10" s="26" t="n">
        <v>0.6025</v>
      </c>
      <c r="M10" s="26" t="n">
        <v>0.0209</v>
      </c>
    </row>
    <row r="11" ht="16" customHeight="1">
      <c r="A11" t="inlineStr">
        <is>
          <t>05-Sep-2025</t>
        </is>
      </c>
      <c r="B11" t="inlineStr">
        <is>
          <t>Friday</t>
        </is>
      </c>
      <c r="C11" t="inlineStr">
        <is>
          <t>Week1-Sep-2025</t>
        </is>
      </c>
      <c r="D11" s="78" t="n">
        <v>45901</v>
      </c>
      <c r="E11" t="inlineStr">
        <is>
          <t>Q2FY26</t>
        </is>
      </c>
      <c r="F11" t="inlineStr">
        <is>
          <t>25-Sep-2025</t>
        </is>
      </c>
      <c r="G11" t="inlineStr">
        <is>
          <t>Thursday</t>
        </is>
      </c>
      <c r="H11" t="inlineStr">
        <is>
          <t>Monthly - Thursday</t>
        </is>
      </c>
      <c r="I11" t="inlineStr">
        <is>
          <t>Monthly - Thursday</t>
        </is>
      </c>
      <c r="J11" t="inlineStr">
        <is>
          <t>Same Month Expiry</t>
        </is>
      </c>
      <c r="K11" s="25" t="n">
        <v>3052</v>
      </c>
      <c r="L11" s="26" t="n">
        <v>5.5455</v>
      </c>
      <c r="M11" s="26" t="n">
        <v>0.025</v>
      </c>
    </row>
    <row r="12" ht="16" customHeight="1">
      <c r="A12" t="inlineStr">
        <is>
          <t>05-Sep-2025</t>
        </is>
      </c>
      <c r="B12" t="inlineStr">
        <is>
          <t>Friday</t>
        </is>
      </c>
      <c r="C12" t="inlineStr">
        <is>
          <t>Week1-Sep-2025</t>
        </is>
      </c>
      <c r="D12" s="78" t="n">
        <v>45901</v>
      </c>
      <c r="E12" t="inlineStr">
        <is>
          <t>Q2FY26</t>
        </is>
      </c>
      <c r="F12" t="inlineStr">
        <is>
          <t>30-Oct-2025</t>
        </is>
      </c>
      <c r="G12" t="inlineStr">
        <is>
          <t>Thursday</t>
        </is>
      </c>
      <c r="H12" t="inlineStr">
        <is>
          <t>Monthly - Thursday</t>
        </is>
      </c>
      <c r="I12" t="inlineStr">
        <is>
          <t>Monthly - Thursday</t>
        </is>
      </c>
      <c r="J12" t="inlineStr">
        <is>
          <t>Month+1 Expiry</t>
        </is>
      </c>
      <c r="K12" s="25" t="n">
        <v>147</v>
      </c>
      <c r="L12" s="26" t="n">
        <v>0.2755</v>
      </c>
      <c r="M12" s="26" t="n">
        <v>0.0043</v>
      </c>
    </row>
    <row r="13" ht="16" customHeight="1">
      <c r="A13" t="inlineStr">
        <is>
          <t>08-Sep-2025</t>
        </is>
      </c>
      <c r="B13" t="inlineStr">
        <is>
          <t>Monday</t>
        </is>
      </c>
      <c r="C13" t="inlineStr">
        <is>
          <t>Week2-Sep-2025</t>
        </is>
      </c>
      <c r="D13" s="78" t="n">
        <v>45901</v>
      </c>
      <c r="E13" t="inlineStr">
        <is>
          <t>Q2FY26</t>
        </is>
      </c>
      <c r="F13" t="inlineStr">
        <is>
          <t>25-Sep-2025</t>
        </is>
      </c>
      <c r="G13" t="inlineStr">
        <is>
          <t>Thursday</t>
        </is>
      </c>
      <c r="H13" t="inlineStr">
        <is>
          <t>Monthly - Thursday</t>
        </is>
      </c>
      <c r="I13" t="inlineStr">
        <is>
          <t>Monthly - Thursday</t>
        </is>
      </c>
      <c r="J13" t="inlineStr">
        <is>
          <t>Same Month Expiry</t>
        </is>
      </c>
      <c r="K13" s="25" t="n">
        <v>4402</v>
      </c>
      <c r="L13" s="26" t="n">
        <v>8.0375</v>
      </c>
      <c r="M13" s="26" t="n">
        <v>0.042</v>
      </c>
    </row>
    <row r="14" ht="16" customHeight="1">
      <c r="A14" t="inlineStr">
        <is>
          <t>08-Sep-2025</t>
        </is>
      </c>
      <c r="B14" t="inlineStr">
        <is>
          <t>Monday</t>
        </is>
      </c>
      <c r="C14" t="inlineStr">
        <is>
          <t>Week2-Sep-2025</t>
        </is>
      </c>
      <c r="D14" s="78" t="n">
        <v>45901</v>
      </c>
      <c r="E14" t="inlineStr">
        <is>
          <t>Q2FY26</t>
        </is>
      </c>
      <c r="F14" t="inlineStr">
        <is>
          <t>30-Oct-2025</t>
        </is>
      </c>
      <c r="G14" t="inlineStr">
        <is>
          <t>Thursday</t>
        </is>
      </c>
      <c r="H14" t="inlineStr">
        <is>
          <t>Monthly - Thursday</t>
        </is>
      </c>
      <c r="I14" t="inlineStr">
        <is>
          <t>Monthly - Thursday</t>
        </is>
      </c>
      <c r="J14" t="inlineStr">
        <is>
          <t>Month+1 Expiry</t>
        </is>
      </c>
      <c r="K14" s="25" t="n">
        <v>467</v>
      </c>
      <c r="L14" s="26" t="n">
        <v>0.8743</v>
      </c>
      <c r="M14" s="26" t="n">
        <v>0.0208</v>
      </c>
    </row>
    <row r="15" ht="16" customHeight="1">
      <c r="A15" t="inlineStr">
        <is>
          <t>08-Sep-2025</t>
        </is>
      </c>
      <c r="B15" t="inlineStr">
        <is>
          <t>Monday</t>
        </is>
      </c>
      <c r="C15" t="inlineStr">
        <is>
          <t>Week2-Sep-2025</t>
        </is>
      </c>
      <c r="D15" s="78" t="n">
        <v>45901</v>
      </c>
      <c r="E15" t="inlineStr">
        <is>
          <t>Q2FY26</t>
        </is>
      </c>
      <c r="F15" t="inlineStr">
        <is>
          <t>27-Nov-2025</t>
        </is>
      </c>
      <c r="G15" t="inlineStr">
        <is>
          <t>Thursday</t>
        </is>
      </c>
      <c r="H15" t="inlineStr">
        <is>
          <t>Monthly - Thursday</t>
        </is>
      </c>
      <c r="I15" t="inlineStr">
        <is>
          <t>Monthly - Thursday</t>
        </is>
      </c>
      <c r="J15" t="inlineStr">
        <is>
          <t>Month+2 Expiry</t>
        </is>
      </c>
      <c r="K15" s="25" t="n">
        <v>3</v>
      </c>
      <c r="L15" s="26" t="n">
        <v>0.0056</v>
      </c>
      <c r="M15" s="26" t="n">
        <v>0.0001</v>
      </c>
    </row>
    <row r="16" ht="16" customHeight="1">
      <c r="A16" t="inlineStr">
        <is>
          <t>09-Sep-2025</t>
        </is>
      </c>
      <c r="B16" t="inlineStr">
        <is>
          <t>Tuesday</t>
        </is>
      </c>
      <c r="C16" t="inlineStr">
        <is>
          <t>Week2-Sep-2025</t>
        </is>
      </c>
      <c r="D16" s="78" t="n">
        <v>45901</v>
      </c>
      <c r="E16" t="inlineStr">
        <is>
          <t>Q2FY26</t>
        </is>
      </c>
      <c r="F16" t="inlineStr">
        <is>
          <t>25-Sep-2025</t>
        </is>
      </c>
      <c r="G16" t="inlineStr">
        <is>
          <t>Thursday</t>
        </is>
      </c>
      <c r="H16" t="inlineStr">
        <is>
          <t>Monthly - Thursday</t>
        </is>
      </c>
      <c r="I16" t="inlineStr">
        <is>
          <t>Monthly - Thursday</t>
        </is>
      </c>
      <c r="J16" t="inlineStr">
        <is>
          <t>Same Month Expiry</t>
        </is>
      </c>
      <c r="K16" s="25" t="n">
        <v>3576</v>
      </c>
      <c r="L16" s="26" t="n">
        <v>6.4916</v>
      </c>
      <c r="M16" s="26" t="n">
        <v>0.0284</v>
      </c>
    </row>
    <row r="17" ht="16" customHeight="1">
      <c r="A17" t="inlineStr">
        <is>
          <t>09-Sep-2025</t>
        </is>
      </c>
      <c r="B17" t="inlineStr">
        <is>
          <t>Tuesday</t>
        </is>
      </c>
      <c r="C17" t="inlineStr">
        <is>
          <t>Week2-Sep-2025</t>
        </is>
      </c>
      <c r="D17" s="78" t="n">
        <v>45901</v>
      </c>
      <c r="E17" t="inlineStr">
        <is>
          <t>Q2FY26</t>
        </is>
      </c>
      <c r="F17" t="inlineStr">
        <is>
          <t>30-Oct-2025</t>
        </is>
      </c>
      <c r="G17" t="inlineStr">
        <is>
          <t>Thursday</t>
        </is>
      </c>
      <c r="H17" t="inlineStr">
        <is>
          <t>Monthly - Thursday</t>
        </is>
      </c>
      <c r="I17" t="inlineStr">
        <is>
          <t>Monthly - Thursday</t>
        </is>
      </c>
      <c r="J17" t="inlineStr">
        <is>
          <t>Month+1 Expiry</t>
        </is>
      </c>
      <c r="K17" s="25" t="n">
        <v>180</v>
      </c>
      <c r="L17" s="26" t="n">
        <v>0.3324</v>
      </c>
      <c r="M17" s="26" t="n">
        <v>0.0078</v>
      </c>
    </row>
    <row r="18" ht="16" customHeight="1">
      <c r="A18" t="inlineStr">
        <is>
          <t>10-Sep-2025</t>
        </is>
      </c>
      <c r="B18" t="inlineStr">
        <is>
          <t>Wednesday</t>
        </is>
      </c>
      <c r="C18" t="inlineStr">
        <is>
          <t>Week2-Sep-2025</t>
        </is>
      </c>
      <c r="D18" s="78" t="n">
        <v>45901</v>
      </c>
      <c r="E18" t="inlineStr">
        <is>
          <t>Q2FY26</t>
        </is>
      </c>
      <c r="F18" t="inlineStr">
        <is>
          <t>25-Sep-2025</t>
        </is>
      </c>
      <c r="G18" t="inlineStr">
        <is>
          <t>Thursday</t>
        </is>
      </c>
      <c r="H18" t="inlineStr">
        <is>
          <t>Monthly - Thursday</t>
        </is>
      </c>
      <c r="I18" t="inlineStr">
        <is>
          <t>Monthly - Thursday</t>
        </is>
      </c>
      <c r="J18" t="inlineStr">
        <is>
          <t>Same Month Expiry</t>
        </is>
      </c>
      <c r="K18" s="25" t="n">
        <v>4519</v>
      </c>
      <c r="L18" s="26" t="n">
        <v>8.334</v>
      </c>
      <c r="M18" s="26" t="n">
        <v>0.0449</v>
      </c>
    </row>
    <row r="19" ht="16" customHeight="1">
      <c r="A19" t="inlineStr">
        <is>
          <t>10-Sep-2025</t>
        </is>
      </c>
      <c r="B19" t="inlineStr">
        <is>
          <t>Wednesday</t>
        </is>
      </c>
      <c r="C19" t="inlineStr">
        <is>
          <t>Week2-Sep-2025</t>
        </is>
      </c>
      <c r="D19" s="78" t="n">
        <v>45901</v>
      </c>
      <c r="E19" t="inlineStr">
        <is>
          <t>Q2FY26</t>
        </is>
      </c>
      <c r="F19" t="inlineStr">
        <is>
          <t>30-Oct-2025</t>
        </is>
      </c>
      <c r="G19" t="inlineStr">
        <is>
          <t>Thursday</t>
        </is>
      </c>
      <c r="H19" t="inlineStr">
        <is>
          <t>Monthly - Thursday</t>
        </is>
      </c>
      <c r="I19" t="inlineStr">
        <is>
          <t>Monthly - Thursday</t>
        </is>
      </c>
      <c r="J19" t="inlineStr">
        <is>
          <t>Month+1 Expiry</t>
        </is>
      </c>
      <c r="K19" s="25" t="n">
        <v>279</v>
      </c>
      <c r="L19" s="26" t="n">
        <v>0.5187</v>
      </c>
      <c r="M19" s="26" t="n">
        <v>0.0076</v>
      </c>
    </row>
    <row r="20" ht="16" customHeight="1">
      <c r="A20" t="inlineStr">
        <is>
          <t>11-Sep-2025</t>
        </is>
      </c>
      <c r="B20" t="inlineStr">
        <is>
          <t>Thursday</t>
        </is>
      </c>
      <c r="C20" t="inlineStr">
        <is>
          <t>Week2-Sep-2025</t>
        </is>
      </c>
      <c r="D20" s="78" t="n">
        <v>45901</v>
      </c>
      <c r="E20" t="inlineStr">
        <is>
          <t>Q2FY26</t>
        </is>
      </c>
      <c r="F20" t="inlineStr">
        <is>
          <t>25-Sep-2025</t>
        </is>
      </c>
      <c r="G20" t="inlineStr">
        <is>
          <t>Thursday</t>
        </is>
      </c>
      <c r="H20" t="inlineStr">
        <is>
          <t>Monthly - Thursday</t>
        </is>
      </c>
      <c r="I20" t="inlineStr">
        <is>
          <t>Monthly - Thursday</t>
        </is>
      </c>
      <c r="J20" t="inlineStr">
        <is>
          <t>Same Month Expiry</t>
        </is>
      </c>
      <c r="K20" s="25" t="n">
        <v>5851</v>
      </c>
      <c r="L20" s="26" t="n">
        <v>10.6807</v>
      </c>
      <c r="M20" s="26" t="n">
        <v>0.0425</v>
      </c>
    </row>
    <row r="21" ht="16" customHeight="1">
      <c r="A21" t="inlineStr">
        <is>
          <t>11-Sep-2025</t>
        </is>
      </c>
      <c r="B21" t="inlineStr">
        <is>
          <t>Thursday</t>
        </is>
      </c>
      <c r="C21" t="inlineStr">
        <is>
          <t>Week2-Sep-2025</t>
        </is>
      </c>
      <c r="D21" s="78" t="n">
        <v>45901</v>
      </c>
      <c r="E21" t="inlineStr">
        <is>
          <t>Q2FY26</t>
        </is>
      </c>
      <c r="F21" t="inlineStr">
        <is>
          <t>30-Oct-2025</t>
        </is>
      </c>
      <c r="G21" t="inlineStr">
        <is>
          <t>Thursday</t>
        </is>
      </c>
      <c r="H21" t="inlineStr">
        <is>
          <t>Monthly - Thursday</t>
        </is>
      </c>
      <c r="I21" t="inlineStr">
        <is>
          <t>Monthly - Thursday</t>
        </is>
      </c>
      <c r="J21" t="inlineStr">
        <is>
          <t>Month+1 Expiry</t>
        </is>
      </c>
      <c r="K21" s="25" t="n">
        <v>300</v>
      </c>
      <c r="L21" s="26" t="n">
        <v>0.5584</v>
      </c>
      <c r="M21" s="26" t="n">
        <v>0.008699999999999999</v>
      </c>
    </row>
    <row r="22" ht="16" customHeight="1">
      <c r="A22" t="inlineStr">
        <is>
          <t>12-Sep-2025</t>
        </is>
      </c>
      <c r="B22" t="inlineStr">
        <is>
          <t>Friday</t>
        </is>
      </c>
      <c r="C22" t="inlineStr">
        <is>
          <t>Week2-Sep-2025</t>
        </is>
      </c>
      <c r="D22" s="78" t="n">
        <v>45901</v>
      </c>
      <c r="E22" t="inlineStr">
        <is>
          <t>Q2FY26</t>
        </is>
      </c>
      <c r="F22" t="inlineStr">
        <is>
          <t>25-Sep-2025</t>
        </is>
      </c>
      <c r="G22" t="inlineStr">
        <is>
          <t>Thursday</t>
        </is>
      </c>
      <c r="H22" t="inlineStr">
        <is>
          <t>Monthly - Thursday</t>
        </is>
      </c>
      <c r="I22" t="inlineStr">
        <is>
          <t>Monthly - Thursday</t>
        </is>
      </c>
      <c r="J22" t="inlineStr">
        <is>
          <t>Same Month Expiry</t>
        </is>
      </c>
      <c r="K22" s="25" t="n">
        <v>5647</v>
      </c>
      <c r="L22" s="26" t="n">
        <v>10.3787</v>
      </c>
      <c r="M22" s="26" t="n">
        <v>0.0354</v>
      </c>
    </row>
    <row r="23" ht="16" customHeight="1">
      <c r="A23" t="inlineStr">
        <is>
          <t>12-Sep-2025</t>
        </is>
      </c>
      <c r="B23" t="inlineStr">
        <is>
          <t>Friday</t>
        </is>
      </c>
      <c r="C23" t="inlineStr">
        <is>
          <t>Week2-Sep-2025</t>
        </is>
      </c>
      <c r="D23" s="78" t="n">
        <v>45901</v>
      </c>
      <c r="E23" t="inlineStr">
        <is>
          <t>Q2FY26</t>
        </is>
      </c>
      <c r="F23" t="inlineStr">
        <is>
          <t>30-Oct-2025</t>
        </is>
      </c>
      <c r="G23" t="inlineStr">
        <is>
          <t>Thursday</t>
        </is>
      </c>
      <c r="H23" t="inlineStr">
        <is>
          <t>Monthly - Thursday</t>
        </is>
      </c>
      <c r="I23" t="inlineStr">
        <is>
          <t>Monthly - Thursday</t>
        </is>
      </c>
      <c r="J23" t="inlineStr">
        <is>
          <t>Month+1 Expiry</t>
        </is>
      </c>
      <c r="K23" s="25" t="n">
        <v>341</v>
      </c>
      <c r="L23" s="26" t="n">
        <v>0.6462</v>
      </c>
      <c r="M23" s="26" t="n">
        <v>0.0144</v>
      </c>
    </row>
    <row r="24" ht="16" customHeight="1">
      <c r="A24" t="inlineStr">
        <is>
          <t>15-Sep-2025</t>
        </is>
      </c>
      <c r="B24" t="inlineStr">
        <is>
          <t>Monday</t>
        </is>
      </c>
      <c r="C24" t="inlineStr">
        <is>
          <t>Week3-Sep-2025</t>
        </is>
      </c>
      <c r="D24" s="78" t="n">
        <v>45901</v>
      </c>
      <c r="E24" t="inlineStr">
        <is>
          <t>Q2FY26</t>
        </is>
      </c>
      <c r="F24" t="inlineStr">
        <is>
          <t>25-Sep-2025</t>
        </is>
      </c>
      <c r="G24" t="inlineStr">
        <is>
          <t>Thursday</t>
        </is>
      </c>
      <c r="H24" t="inlineStr">
        <is>
          <t>Monthly - Thursday</t>
        </is>
      </c>
      <c r="I24" t="inlineStr">
        <is>
          <t>Monthly - Thursday</t>
        </is>
      </c>
      <c r="J24" t="inlineStr">
        <is>
          <t>Same Month Expiry</t>
        </is>
      </c>
      <c r="K24" s="25" t="n">
        <v>6677</v>
      </c>
      <c r="L24" s="26" t="n">
        <v>12.3371</v>
      </c>
      <c r="M24" s="26" t="n">
        <v>0.048</v>
      </c>
    </row>
    <row r="25" ht="16" customHeight="1">
      <c r="A25" t="inlineStr">
        <is>
          <t>15-Sep-2025</t>
        </is>
      </c>
      <c r="B25" t="inlineStr">
        <is>
          <t>Monday</t>
        </is>
      </c>
      <c r="C25" t="inlineStr">
        <is>
          <t>Week3-Sep-2025</t>
        </is>
      </c>
      <c r="D25" s="78" t="n">
        <v>45901</v>
      </c>
      <c r="E25" t="inlineStr">
        <is>
          <t>Q2FY26</t>
        </is>
      </c>
      <c r="F25" t="inlineStr">
        <is>
          <t>30-Oct-2025</t>
        </is>
      </c>
      <c r="G25" t="inlineStr">
        <is>
          <t>Thursday</t>
        </is>
      </c>
      <c r="H25" t="inlineStr">
        <is>
          <t>Monthly - Thursday</t>
        </is>
      </c>
      <c r="I25" t="inlineStr">
        <is>
          <t>Monthly - Thursday</t>
        </is>
      </c>
      <c r="J25" t="inlineStr">
        <is>
          <t>Month+1 Expiry</t>
        </is>
      </c>
      <c r="K25" s="25" t="n">
        <v>298</v>
      </c>
      <c r="L25" s="26" t="n">
        <v>0.5669</v>
      </c>
      <c r="M25" s="26" t="n">
        <v>0.0105</v>
      </c>
    </row>
    <row r="26" ht="16" customHeight="1">
      <c r="A26" t="inlineStr">
        <is>
          <t>16-Sep-2025</t>
        </is>
      </c>
      <c r="B26" t="inlineStr">
        <is>
          <t>Tuesday</t>
        </is>
      </c>
      <c r="C26" t="inlineStr">
        <is>
          <t>Week3-Sep-2025</t>
        </is>
      </c>
      <c r="D26" s="78" t="n">
        <v>45901</v>
      </c>
      <c r="E26" t="inlineStr">
        <is>
          <t>Q2FY26</t>
        </is>
      </c>
      <c r="F26" t="inlineStr">
        <is>
          <t>25-Sep-2025</t>
        </is>
      </c>
      <c r="G26" t="inlineStr">
        <is>
          <t>Thursday</t>
        </is>
      </c>
      <c r="H26" t="inlineStr">
        <is>
          <t>Monthly - Thursday</t>
        </is>
      </c>
      <c r="I26" t="inlineStr">
        <is>
          <t>Monthly - Thursday</t>
        </is>
      </c>
      <c r="J26" t="inlineStr">
        <is>
          <t>Same Month Expiry</t>
        </is>
      </c>
      <c r="K26" s="25" t="n">
        <v>9880</v>
      </c>
      <c r="L26" s="26" t="n">
        <v>18.306</v>
      </c>
      <c r="M26" s="26" t="n">
        <v>0.068</v>
      </c>
    </row>
    <row r="27" ht="16" customHeight="1">
      <c r="A27" t="inlineStr">
        <is>
          <t>16-Sep-2025</t>
        </is>
      </c>
      <c r="B27" t="inlineStr">
        <is>
          <t>Tuesday</t>
        </is>
      </c>
      <c r="C27" t="inlineStr">
        <is>
          <t>Week3-Sep-2025</t>
        </is>
      </c>
      <c r="D27" s="78" t="n">
        <v>45901</v>
      </c>
      <c r="E27" t="inlineStr">
        <is>
          <t>Q2FY26</t>
        </is>
      </c>
      <c r="F27" t="inlineStr">
        <is>
          <t>30-Oct-2025</t>
        </is>
      </c>
      <c r="G27" t="inlineStr">
        <is>
          <t>Thursday</t>
        </is>
      </c>
      <c r="H27" t="inlineStr">
        <is>
          <t>Monthly - Thursday</t>
        </is>
      </c>
      <c r="I27" t="inlineStr">
        <is>
          <t>Monthly - Thursday</t>
        </is>
      </c>
      <c r="J27" t="inlineStr">
        <is>
          <t>Month+1 Expiry</t>
        </is>
      </c>
      <c r="K27" s="25" t="n">
        <v>114</v>
      </c>
      <c r="L27" s="26" t="n">
        <v>0.2156</v>
      </c>
      <c r="M27" s="26" t="n">
        <v>0.0059</v>
      </c>
    </row>
    <row r="28" ht="16" customHeight="1">
      <c r="A28" t="inlineStr">
        <is>
          <t>17-Sep-2025</t>
        </is>
      </c>
      <c r="B28" t="inlineStr">
        <is>
          <t>Wednesday</t>
        </is>
      </c>
      <c r="C28" t="inlineStr">
        <is>
          <t>Week3-Sep-2025</t>
        </is>
      </c>
      <c r="D28" s="78" t="n">
        <v>45901</v>
      </c>
      <c r="E28" t="inlineStr">
        <is>
          <t>Q2FY26</t>
        </is>
      </c>
      <c r="F28" t="inlineStr">
        <is>
          <t>25-Sep-2025</t>
        </is>
      </c>
      <c r="G28" t="inlineStr">
        <is>
          <t>Thursday</t>
        </is>
      </c>
      <c r="H28" t="inlineStr">
        <is>
          <t>Monthly - Thursday</t>
        </is>
      </c>
      <c r="I28" t="inlineStr">
        <is>
          <t>Monthly - Thursday</t>
        </is>
      </c>
      <c r="J28" t="inlineStr">
        <is>
          <t>Same Month Expiry</t>
        </is>
      </c>
      <c r="K28" s="25" t="n">
        <v>17124</v>
      </c>
      <c r="L28" s="26" t="n">
        <v>32.0447</v>
      </c>
      <c r="M28" s="26" t="n">
        <v>0.1053</v>
      </c>
    </row>
    <row r="29" ht="16" customHeight="1">
      <c r="A29" t="inlineStr">
        <is>
          <t>17-Sep-2025</t>
        </is>
      </c>
      <c r="B29" t="inlineStr">
        <is>
          <t>Wednesday</t>
        </is>
      </c>
      <c r="C29" t="inlineStr">
        <is>
          <t>Week3-Sep-2025</t>
        </is>
      </c>
      <c r="D29" s="78" t="n">
        <v>45901</v>
      </c>
      <c r="E29" t="inlineStr">
        <is>
          <t>Q2FY26</t>
        </is>
      </c>
      <c r="F29" t="inlineStr">
        <is>
          <t>30-Oct-2025</t>
        </is>
      </c>
      <c r="G29" t="inlineStr">
        <is>
          <t>Thursday</t>
        </is>
      </c>
      <c r="H29" t="inlineStr">
        <is>
          <t>Monthly - Thursday</t>
        </is>
      </c>
      <c r="I29" t="inlineStr">
        <is>
          <t>Monthly - Thursday</t>
        </is>
      </c>
      <c r="J29" t="inlineStr">
        <is>
          <t>Month+1 Expiry</t>
        </is>
      </c>
      <c r="K29" s="25" t="n">
        <v>271</v>
      </c>
      <c r="L29" s="26" t="n">
        <v>0.5184</v>
      </c>
      <c r="M29" s="26" t="n">
        <v>0.0092</v>
      </c>
    </row>
    <row r="30" ht="16" customHeight="1">
      <c r="A30" t="inlineStr">
        <is>
          <t>17-Sep-2025</t>
        </is>
      </c>
      <c r="B30" t="inlineStr">
        <is>
          <t>Wednesday</t>
        </is>
      </c>
      <c r="C30" t="inlineStr">
        <is>
          <t>Week3-Sep-2025</t>
        </is>
      </c>
      <c r="D30" s="78" t="n">
        <v>45901</v>
      </c>
      <c r="E30" t="inlineStr">
        <is>
          <t>Q2FY26</t>
        </is>
      </c>
      <c r="F30" t="inlineStr">
        <is>
          <t>27-Nov-2025</t>
        </is>
      </c>
      <c r="G30" t="inlineStr">
        <is>
          <t>Thursday</t>
        </is>
      </c>
      <c r="H30" t="inlineStr">
        <is>
          <t>Monthly - Thursday</t>
        </is>
      </c>
      <c r="I30" t="inlineStr">
        <is>
          <t>Monthly - Thursday</t>
        </is>
      </c>
      <c r="J30" t="inlineStr">
        <is>
          <t>Month+2 Expiry</t>
        </is>
      </c>
      <c r="K30" s="25" t="n">
        <v>27</v>
      </c>
      <c r="L30" s="26" t="n">
        <v>0.0501</v>
      </c>
      <c r="M30" s="26" t="n">
        <v>0.0005</v>
      </c>
    </row>
    <row r="31" ht="16" customHeight="1">
      <c r="A31" t="inlineStr">
        <is>
          <t>18-Sep-2025</t>
        </is>
      </c>
      <c r="B31" t="inlineStr">
        <is>
          <t>Thursday</t>
        </is>
      </c>
      <c r="C31" t="inlineStr">
        <is>
          <t>Week3-Sep-2025</t>
        </is>
      </c>
      <c r="D31" s="78" t="n">
        <v>45901</v>
      </c>
      <c r="E31" t="inlineStr">
        <is>
          <t>Q2FY26</t>
        </is>
      </c>
      <c r="F31" t="inlineStr">
        <is>
          <t>25-Sep-2025</t>
        </is>
      </c>
      <c r="G31" t="inlineStr">
        <is>
          <t>Thursday</t>
        </is>
      </c>
      <c r="H31" t="inlineStr">
        <is>
          <t>Monthly - Thursday</t>
        </is>
      </c>
      <c r="I31" t="inlineStr">
        <is>
          <t>Monthly - Thursday</t>
        </is>
      </c>
      <c r="J31" t="inlineStr">
        <is>
          <t>Same Month Expiry</t>
        </is>
      </c>
      <c r="K31" s="25" t="n">
        <v>27478</v>
      </c>
      <c r="L31" s="26" t="n">
        <v>51.8058</v>
      </c>
      <c r="M31" s="26" t="n">
        <v>0.1518</v>
      </c>
    </row>
    <row r="32" ht="16" customHeight="1">
      <c r="A32" t="inlineStr">
        <is>
          <t>18-Sep-2025</t>
        </is>
      </c>
      <c r="B32" t="inlineStr">
        <is>
          <t>Thursday</t>
        </is>
      </c>
      <c r="C32" t="inlineStr">
        <is>
          <t>Week3-Sep-2025</t>
        </is>
      </c>
      <c r="D32" s="78" t="n">
        <v>45901</v>
      </c>
      <c r="E32" t="inlineStr">
        <is>
          <t>Q2FY26</t>
        </is>
      </c>
      <c r="F32" t="inlineStr">
        <is>
          <t>30-Oct-2025</t>
        </is>
      </c>
      <c r="G32" t="inlineStr">
        <is>
          <t>Thursday</t>
        </is>
      </c>
      <c r="H32" t="inlineStr">
        <is>
          <t>Monthly - Thursday</t>
        </is>
      </c>
      <c r="I32" t="inlineStr">
        <is>
          <t>Monthly - Thursday</t>
        </is>
      </c>
      <c r="J32" t="inlineStr">
        <is>
          <t>Month+1 Expiry</t>
        </is>
      </c>
      <c r="K32" s="25" t="n">
        <v>129</v>
      </c>
      <c r="L32" s="26" t="n">
        <v>0.2493</v>
      </c>
      <c r="M32" s="26" t="n">
        <v>0.0075</v>
      </c>
    </row>
    <row r="33" ht="16" customHeight="1">
      <c r="A33" t="inlineStr">
        <is>
          <t>19-Sep-2025</t>
        </is>
      </c>
      <c r="B33" t="inlineStr">
        <is>
          <t>Friday</t>
        </is>
      </c>
      <c r="C33" t="inlineStr">
        <is>
          <t>Week3-Sep-2025</t>
        </is>
      </c>
      <c r="D33" s="78" t="n">
        <v>45901</v>
      </c>
      <c r="E33" t="inlineStr">
        <is>
          <t>Q2FY26</t>
        </is>
      </c>
      <c r="F33" t="inlineStr">
        <is>
          <t>25-Sep-2025</t>
        </is>
      </c>
      <c r="G33" t="inlineStr">
        <is>
          <t>Thursday</t>
        </is>
      </c>
      <c r="H33" t="inlineStr">
        <is>
          <t>Monthly - Thursday</t>
        </is>
      </c>
      <c r="I33" t="inlineStr">
        <is>
          <t>Monthly - Thursday</t>
        </is>
      </c>
      <c r="J33" t="inlineStr">
        <is>
          <t>Same Month Expiry</t>
        </is>
      </c>
      <c r="K33" s="25" t="n">
        <v>22754</v>
      </c>
      <c r="L33" s="26" t="n">
        <v>42.7031</v>
      </c>
      <c r="M33" s="26" t="n">
        <v>0.1086</v>
      </c>
    </row>
    <row r="34" ht="16" customHeight="1">
      <c r="A34" t="inlineStr">
        <is>
          <t>19-Sep-2025</t>
        </is>
      </c>
      <c r="B34" t="inlineStr">
        <is>
          <t>Friday</t>
        </is>
      </c>
      <c r="C34" t="inlineStr">
        <is>
          <t>Week3-Sep-2025</t>
        </is>
      </c>
      <c r="D34" s="78" t="n">
        <v>45901</v>
      </c>
      <c r="E34" t="inlineStr">
        <is>
          <t>Q2FY26</t>
        </is>
      </c>
      <c r="F34" t="inlineStr">
        <is>
          <t>30-Oct-2025</t>
        </is>
      </c>
      <c r="G34" t="inlineStr">
        <is>
          <t>Thursday</t>
        </is>
      </c>
      <c r="H34" t="inlineStr">
        <is>
          <t>Monthly - Thursday</t>
        </is>
      </c>
      <c r="I34" t="inlineStr">
        <is>
          <t>Monthly - Thursday</t>
        </is>
      </c>
      <c r="J34" t="inlineStr">
        <is>
          <t>Month+1 Expiry</t>
        </is>
      </c>
      <c r="K34" s="25" t="n">
        <v>94</v>
      </c>
      <c r="L34" s="26" t="n">
        <v>0.1814</v>
      </c>
      <c r="M34" s="26" t="n">
        <v>0.0039</v>
      </c>
    </row>
    <row r="35" ht="16" customHeight="1">
      <c r="A35" t="inlineStr">
        <is>
          <t>22-Sep-2025</t>
        </is>
      </c>
      <c r="B35" t="inlineStr">
        <is>
          <t>Monday</t>
        </is>
      </c>
      <c r="C35" t="inlineStr">
        <is>
          <t>Week4-Sep-2025</t>
        </is>
      </c>
      <c r="D35" s="78" t="n">
        <v>45901</v>
      </c>
      <c r="E35" t="inlineStr">
        <is>
          <t>Q2FY26</t>
        </is>
      </c>
      <c r="F35" t="inlineStr">
        <is>
          <t>25-Sep-2025</t>
        </is>
      </c>
      <c r="G35" t="inlineStr">
        <is>
          <t>Thursday</t>
        </is>
      </c>
      <c r="H35" t="inlineStr">
        <is>
          <t>Monthly - Thursday</t>
        </is>
      </c>
      <c r="I35" t="inlineStr">
        <is>
          <t>Monthly - Thursday</t>
        </is>
      </c>
      <c r="J35" t="inlineStr">
        <is>
          <t>Same Month Expiry</t>
        </is>
      </c>
      <c r="K35" s="25" t="n">
        <v>60039</v>
      </c>
      <c r="L35" s="26" t="n">
        <v>112.8299</v>
      </c>
      <c r="M35" s="26" t="n">
        <v>0.2385</v>
      </c>
    </row>
    <row r="36" ht="16" customHeight="1">
      <c r="A36" t="inlineStr">
        <is>
          <t>22-Sep-2025</t>
        </is>
      </c>
      <c r="B36" t="inlineStr">
        <is>
          <t>Monday</t>
        </is>
      </c>
      <c r="C36" t="inlineStr">
        <is>
          <t>Week4-Sep-2025</t>
        </is>
      </c>
      <c r="D36" s="78" t="n">
        <v>45901</v>
      </c>
      <c r="E36" t="inlineStr">
        <is>
          <t>Q2FY26</t>
        </is>
      </c>
      <c r="F36" t="inlineStr">
        <is>
          <t>30-Oct-2025</t>
        </is>
      </c>
      <c r="G36" t="inlineStr">
        <is>
          <t>Thursday</t>
        </is>
      </c>
      <c r="H36" t="inlineStr">
        <is>
          <t>Monthly - Thursday</t>
        </is>
      </c>
      <c r="I36" t="inlineStr">
        <is>
          <t>Monthly - Thursday</t>
        </is>
      </c>
      <c r="J36" t="inlineStr">
        <is>
          <t>Month+1 Expiry</t>
        </is>
      </c>
      <c r="K36" s="25" t="n">
        <v>120</v>
      </c>
      <c r="L36" s="26" t="n">
        <v>0.2306</v>
      </c>
      <c r="M36" s="26" t="n">
        <v>0.0046</v>
      </c>
    </row>
    <row r="37" ht="16" customHeight="1">
      <c r="A37" t="inlineStr">
        <is>
          <t>23-Sep-2025</t>
        </is>
      </c>
      <c r="B37" t="inlineStr">
        <is>
          <t>Tuesday</t>
        </is>
      </c>
      <c r="C37" t="inlineStr">
        <is>
          <t>Week4-Sep-2025</t>
        </is>
      </c>
      <c r="D37" s="78" t="n">
        <v>45901</v>
      </c>
      <c r="E37" t="inlineStr">
        <is>
          <t>Q2FY26</t>
        </is>
      </c>
      <c r="F37" t="inlineStr">
        <is>
          <t>25-Sep-2025</t>
        </is>
      </c>
      <c r="G37" t="inlineStr">
        <is>
          <t>Thursday</t>
        </is>
      </c>
      <c r="H37" t="inlineStr">
        <is>
          <t>Monthly - Thursday</t>
        </is>
      </c>
      <c r="I37" t="inlineStr">
        <is>
          <t>Monthly - Thursday</t>
        </is>
      </c>
      <c r="J37" t="inlineStr">
        <is>
          <t>Same Month Expiry</t>
        </is>
      </c>
      <c r="K37" s="25" t="n">
        <v>78320</v>
      </c>
      <c r="L37" s="26" t="n">
        <v>146.7697</v>
      </c>
      <c r="M37" s="26" t="n">
        <v>0.2788</v>
      </c>
    </row>
    <row r="38" ht="16" customHeight="1">
      <c r="A38" t="inlineStr">
        <is>
          <t>23-Sep-2025</t>
        </is>
      </c>
      <c r="B38" t="inlineStr">
        <is>
          <t>Tuesday</t>
        </is>
      </c>
      <c r="C38" t="inlineStr">
        <is>
          <t>Week4-Sep-2025</t>
        </is>
      </c>
      <c r="D38" s="78" t="n">
        <v>45901</v>
      </c>
      <c r="E38" t="inlineStr">
        <is>
          <t>Q2FY26</t>
        </is>
      </c>
      <c r="F38" t="inlineStr">
        <is>
          <t>30-Oct-2025</t>
        </is>
      </c>
      <c r="G38" t="inlineStr">
        <is>
          <t>Thursday</t>
        </is>
      </c>
      <c r="H38" t="inlineStr">
        <is>
          <t>Monthly - Thursday</t>
        </is>
      </c>
      <c r="I38" t="inlineStr">
        <is>
          <t>Monthly - Thursday</t>
        </is>
      </c>
      <c r="J38" t="inlineStr">
        <is>
          <t>Month+1 Expiry</t>
        </is>
      </c>
      <c r="K38" s="25" t="n">
        <v>91</v>
      </c>
      <c r="L38" s="26" t="n">
        <v>0.1722</v>
      </c>
      <c r="M38" s="26" t="n">
        <v>0.0026</v>
      </c>
    </row>
    <row r="39" ht="16" customHeight="1">
      <c r="A39" t="inlineStr">
        <is>
          <t>24-Sep-2025</t>
        </is>
      </c>
      <c r="B39" t="inlineStr">
        <is>
          <t>Wednesday</t>
        </is>
      </c>
      <c r="C39" t="inlineStr">
        <is>
          <t>Week4-Sep-2025</t>
        </is>
      </c>
      <c r="D39" s="78" t="n">
        <v>45901</v>
      </c>
      <c r="E39" t="inlineStr">
        <is>
          <t>Q2FY26</t>
        </is>
      </c>
      <c r="F39" t="inlineStr">
        <is>
          <t>25-Sep-2025</t>
        </is>
      </c>
      <c r="G39" t="inlineStr">
        <is>
          <t>Thursday</t>
        </is>
      </c>
      <c r="H39" t="inlineStr">
        <is>
          <t>Monthly - Thursday</t>
        </is>
      </c>
      <c r="I39" t="inlineStr">
        <is>
          <t>Monthly - Thursday</t>
        </is>
      </c>
      <c r="J39" t="inlineStr">
        <is>
          <t>Same Month Expiry</t>
        </is>
      </c>
      <c r="K39" s="25" t="n">
        <v>892932</v>
      </c>
      <c r="L39" s="26" t="n">
        <v>1673.2783</v>
      </c>
      <c r="M39" s="26" t="n">
        <v>2.6696</v>
      </c>
    </row>
    <row r="40" ht="16" customHeight="1">
      <c r="A40" t="inlineStr">
        <is>
          <t>24-Sep-2025</t>
        </is>
      </c>
      <c r="B40" t="inlineStr">
        <is>
          <t>Wednesday</t>
        </is>
      </c>
      <c r="C40" t="inlineStr">
        <is>
          <t>Week4-Sep-2025</t>
        </is>
      </c>
      <c r="D40" s="78" t="n">
        <v>45901</v>
      </c>
      <c r="E40" t="inlineStr">
        <is>
          <t>Q2FY26</t>
        </is>
      </c>
      <c r="F40" t="inlineStr">
        <is>
          <t>30-Oct-2025</t>
        </is>
      </c>
      <c r="G40" t="inlineStr">
        <is>
          <t>Thursday</t>
        </is>
      </c>
      <c r="H40" t="inlineStr">
        <is>
          <t>Monthly - Thursday</t>
        </is>
      </c>
      <c r="I40" t="inlineStr">
        <is>
          <t>Monthly - Thursday</t>
        </is>
      </c>
      <c r="J40" t="inlineStr">
        <is>
          <t>Month+1 Expiry</t>
        </is>
      </c>
      <c r="K40" s="25" t="n">
        <v>73</v>
      </c>
      <c r="L40" s="26" t="n">
        <v>0.1416</v>
      </c>
      <c r="M40" s="26" t="n">
        <v>0.0034</v>
      </c>
    </row>
    <row r="41" ht="16" customHeight="1">
      <c r="A41" t="inlineStr">
        <is>
          <t>25-Sep-2025</t>
        </is>
      </c>
      <c r="B41" t="inlineStr">
        <is>
          <t>Thursday</t>
        </is>
      </c>
      <c r="C41" t="inlineStr">
        <is>
          <t>Week4-Sep-2025</t>
        </is>
      </c>
      <c r="D41" s="78" t="n">
        <v>45901</v>
      </c>
      <c r="E41" t="inlineStr">
        <is>
          <t>Q2FY26</t>
        </is>
      </c>
      <c r="F41" t="inlineStr">
        <is>
          <t>25-Sep-2025</t>
        </is>
      </c>
      <c r="G41" t="inlineStr">
        <is>
          <t>Thursday</t>
        </is>
      </c>
      <c r="H41" t="inlineStr">
        <is>
          <t>Monthly - Thursday</t>
        </is>
      </c>
      <c r="I41" t="inlineStr">
        <is>
          <t>Monthly - Thursday</t>
        </is>
      </c>
      <c r="J41" t="inlineStr">
        <is>
          <t>Same Month Expiry</t>
        </is>
      </c>
      <c r="K41" s="25" t="n">
        <v>6261198</v>
      </c>
      <c r="L41" s="26" t="n">
        <v>11681.1328</v>
      </c>
      <c r="M41" s="26" t="n">
        <v>8.394600000000001</v>
      </c>
    </row>
    <row r="42" ht="16" customHeight="1">
      <c r="A42" t="inlineStr">
        <is>
          <t>25-Sep-2025</t>
        </is>
      </c>
      <c r="B42" t="inlineStr">
        <is>
          <t>Thursday</t>
        </is>
      </c>
      <c r="C42" t="inlineStr">
        <is>
          <t>Week4-Sep-2025</t>
        </is>
      </c>
      <c r="D42" s="78" t="n">
        <v>45901</v>
      </c>
      <c r="E42" t="inlineStr">
        <is>
          <t>Q2FY26</t>
        </is>
      </c>
      <c r="F42" t="inlineStr">
        <is>
          <t>30-Oct-2025</t>
        </is>
      </c>
      <c r="G42" t="inlineStr">
        <is>
          <t>Thursday</t>
        </is>
      </c>
      <c r="H42" t="inlineStr">
        <is>
          <t>Monthly - Thursday</t>
        </is>
      </c>
      <c r="I42" t="inlineStr">
        <is>
          <t>Monthly - Thursday</t>
        </is>
      </c>
      <c r="J42" t="inlineStr">
        <is>
          <t>Month+1 Expiry</t>
        </is>
      </c>
      <c r="K42" s="25" t="n">
        <v>301</v>
      </c>
      <c r="L42" s="26" t="n">
        <v>0.5775</v>
      </c>
      <c r="M42" s="26" t="n">
        <v>0.0035</v>
      </c>
    </row>
    <row r="43" ht="16" customHeight="1">
      <c r="A43" t="inlineStr">
        <is>
          <t>26-Sep-2025</t>
        </is>
      </c>
      <c r="B43" t="inlineStr">
        <is>
          <t>Friday</t>
        </is>
      </c>
      <c r="C43" t="inlineStr">
        <is>
          <t>Week4-Sep-2025</t>
        </is>
      </c>
      <c r="D43" s="78" t="n">
        <v>45901</v>
      </c>
      <c r="E43" t="inlineStr">
        <is>
          <t>Q2FY26</t>
        </is>
      </c>
      <c r="F43" t="inlineStr">
        <is>
          <t>30-Oct-2025</t>
        </is>
      </c>
      <c r="G43" t="inlineStr">
        <is>
          <t>Thursday</t>
        </is>
      </c>
      <c r="H43" t="inlineStr">
        <is>
          <t>Monthly - Thursday</t>
        </is>
      </c>
      <c r="I43" t="inlineStr">
        <is>
          <t>Monthly - Thursday</t>
        </is>
      </c>
      <c r="J43" t="inlineStr">
        <is>
          <t>Month+1 Expiry</t>
        </is>
      </c>
      <c r="K43" s="25" t="n">
        <v>1583</v>
      </c>
      <c r="L43" s="26" t="n">
        <v>2.9786</v>
      </c>
      <c r="M43" s="26" t="n">
        <v>0.0313</v>
      </c>
    </row>
    <row r="44" ht="16" customHeight="1">
      <c r="A44" t="inlineStr">
        <is>
          <t>29-Sep-2025</t>
        </is>
      </c>
      <c r="B44" t="inlineStr">
        <is>
          <t>Monday</t>
        </is>
      </c>
      <c r="C44" t="inlineStr">
        <is>
          <t>Week5-Sep-2025</t>
        </is>
      </c>
      <c r="D44" s="78" t="n">
        <v>45901</v>
      </c>
      <c r="E44" t="inlineStr">
        <is>
          <t>Q2FY26</t>
        </is>
      </c>
      <c r="F44" t="inlineStr">
        <is>
          <t>30-Oct-2025</t>
        </is>
      </c>
      <c r="G44" t="inlineStr">
        <is>
          <t>Thursday</t>
        </is>
      </c>
      <c r="H44" t="inlineStr">
        <is>
          <t>Monthly - Thursday</t>
        </is>
      </c>
      <c r="I44" t="inlineStr">
        <is>
          <t>Monthly - Thursday</t>
        </is>
      </c>
      <c r="J44" t="inlineStr">
        <is>
          <t>Month+1 Expiry</t>
        </is>
      </c>
      <c r="K44" s="25" t="n">
        <v>971</v>
      </c>
      <c r="L44" s="26" t="n">
        <v>1.8245</v>
      </c>
      <c r="M44" s="26" t="n">
        <v>0.0179</v>
      </c>
    </row>
    <row r="45" ht="16" customHeight="1">
      <c r="A45" t="inlineStr">
        <is>
          <t>29-Sep-2025</t>
        </is>
      </c>
      <c r="B45" t="inlineStr">
        <is>
          <t>Monday</t>
        </is>
      </c>
      <c r="C45" t="inlineStr">
        <is>
          <t>Week5-Sep-2025</t>
        </is>
      </c>
      <c r="D45" s="78" t="n">
        <v>45901</v>
      </c>
      <c r="E45" t="inlineStr">
        <is>
          <t>Q2FY26</t>
        </is>
      </c>
      <c r="F45" t="inlineStr">
        <is>
          <t>24-Dec-2025</t>
        </is>
      </c>
      <c r="G45" t="inlineStr">
        <is>
          <t>Wednesday</t>
        </is>
      </c>
      <c r="H45" t="inlineStr">
        <is>
          <t>Monthly - Wednesday</t>
        </is>
      </c>
      <c r="I45" t="inlineStr">
        <is>
          <t>Monthly - Wednesday</t>
        </is>
      </c>
      <c r="J45" t="inlineStr">
        <is>
          <t>Month+3 Expiry</t>
        </is>
      </c>
      <c r="K45" s="25" t="n">
        <v>21</v>
      </c>
      <c r="L45" s="26" t="n">
        <v>0.0399</v>
      </c>
      <c r="M45" s="26" t="n">
        <v>0.0012</v>
      </c>
    </row>
    <row r="46" ht="16" customHeight="1">
      <c r="A46" t="inlineStr">
        <is>
          <t>30-Sep-2025</t>
        </is>
      </c>
      <c r="B46" t="inlineStr">
        <is>
          <t>Tuesday</t>
        </is>
      </c>
      <c r="C46" t="inlineStr">
        <is>
          <t>Week5-Sep-2025</t>
        </is>
      </c>
      <c r="D46" s="78" t="n">
        <v>45901</v>
      </c>
      <c r="E46" t="inlineStr">
        <is>
          <t>Q2FY26</t>
        </is>
      </c>
      <c r="F46" t="inlineStr">
        <is>
          <t>30-Oct-2025</t>
        </is>
      </c>
      <c r="G46" t="inlineStr">
        <is>
          <t>Thursday</t>
        </is>
      </c>
      <c r="H46" t="inlineStr">
        <is>
          <t>Monthly - Thursday</t>
        </is>
      </c>
      <c r="I46" t="inlineStr">
        <is>
          <t>Monthly - Thursday</t>
        </is>
      </c>
      <c r="J46" t="inlineStr">
        <is>
          <t>Month+1 Expiry</t>
        </is>
      </c>
      <c r="K46" s="25" t="n">
        <v>533</v>
      </c>
      <c r="L46" s="26" t="n">
        <v>1.0156</v>
      </c>
      <c r="M46" s="26" t="n">
        <v>0.0083</v>
      </c>
    </row>
    <row r="47" ht="16" customHeight="1">
      <c r="A47" t="inlineStr">
        <is>
          <t>01-Oct-2025</t>
        </is>
      </c>
      <c r="B47" t="inlineStr">
        <is>
          <t>Wednesday</t>
        </is>
      </c>
      <c r="C47" t="inlineStr">
        <is>
          <t>Week1-Oct-2025</t>
        </is>
      </c>
      <c r="D47" s="78" t="n">
        <v>45931</v>
      </c>
      <c r="E47" t="inlineStr">
        <is>
          <t>Q3FY26</t>
        </is>
      </c>
      <c r="F47" t="inlineStr">
        <is>
          <t>30-Oct-2025</t>
        </is>
      </c>
      <c r="G47" t="inlineStr">
        <is>
          <t>Thursday</t>
        </is>
      </c>
      <c r="H47" t="inlineStr">
        <is>
          <t>Monthly - Thursday</t>
        </is>
      </c>
      <c r="I47" t="inlineStr">
        <is>
          <t>Monthly - Thursday</t>
        </is>
      </c>
      <c r="J47" t="inlineStr">
        <is>
          <t>Same Month Expiry</t>
        </is>
      </c>
      <c r="K47" s="25" t="n">
        <v>1671</v>
      </c>
      <c r="L47" s="26" t="n">
        <v>3.1524</v>
      </c>
      <c r="M47" s="26" t="n">
        <v>0.0281</v>
      </c>
    </row>
    <row r="48" ht="16" customHeight="1">
      <c r="A48" t="inlineStr">
        <is>
          <t>01-Oct-2025</t>
        </is>
      </c>
      <c r="B48" t="inlineStr">
        <is>
          <t>Wednesday</t>
        </is>
      </c>
      <c r="C48" t="inlineStr">
        <is>
          <t>Week1-Oct-2025</t>
        </is>
      </c>
      <c r="D48" s="78" t="n">
        <v>45931</v>
      </c>
      <c r="E48" t="inlineStr">
        <is>
          <t>Q3FY26</t>
        </is>
      </c>
      <c r="F48" t="inlineStr">
        <is>
          <t>24-Dec-2025</t>
        </is>
      </c>
      <c r="G48" t="inlineStr">
        <is>
          <t>Wednesday</t>
        </is>
      </c>
      <c r="H48" t="inlineStr">
        <is>
          <t>Monthly - Wednesday</t>
        </is>
      </c>
      <c r="I48" t="inlineStr">
        <is>
          <t>Monthly - Wednesday</t>
        </is>
      </c>
      <c r="J48" t="inlineStr">
        <is>
          <t>Month+2 Expiry</t>
        </is>
      </c>
      <c r="K48" s="25" t="n">
        <v>11</v>
      </c>
      <c r="L48" s="26" t="n">
        <v>0.0208</v>
      </c>
      <c r="M48" s="26" t="n">
        <v>0.0005</v>
      </c>
    </row>
    <row r="49" ht="16" customHeight="1">
      <c r="A49" t="inlineStr">
        <is>
          <t>03-Oct-2025</t>
        </is>
      </c>
      <c r="B49" t="inlineStr">
        <is>
          <t>Friday</t>
        </is>
      </c>
      <c r="C49" t="inlineStr">
        <is>
          <t>Week1-Oct-2025</t>
        </is>
      </c>
      <c r="D49" s="78" t="n">
        <v>45931</v>
      </c>
      <c r="E49" t="inlineStr">
        <is>
          <t>Q3FY26</t>
        </is>
      </c>
      <c r="F49" t="inlineStr">
        <is>
          <t>30-Oct-2025</t>
        </is>
      </c>
      <c r="G49" t="inlineStr">
        <is>
          <t>Thursday</t>
        </is>
      </c>
      <c r="H49" t="inlineStr">
        <is>
          <t>Monthly - Thursday</t>
        </is>
      </c>
      <c r="I49" t="inlineStr">
        <is>
          <t>Monthly - Thursday</t>
        </is>
      </c>
      <c r="J49" t="inlineStr">
        <is>
          <t>Same Month Expiry</t>
        </is>
      </c>
      <c r="K49" s="25" t="n">
        <v>2668</v>
      </c>
      <c r="L49" s="26" t="n">
        <v>5.0072</v>
      </c>
      <c r="M49" s="26" t="n">
        <v>0.0371</v>
      </c>
    </row>
    <row r="50" ht="16" customHeight="1">
      <c r="A50" t="inlineStr">
        <is>
          <t>03-Oct-2025</t>
        </is>
      </c>
      <c r="B50" t="inlineStr">
        <is>
          <t>Friday</t>
        </is>
      </c>
      <c r="C50" t="inlineStr">
        <is>
          <t>Week1-Oct-2025</t>
        </is>
      </c>
      <c r="D50" s="78" t="n">
        <v>45931</v>
      </c>
      <c r="E50" t="inlineStr">
        <is>
          <t>Q3FY26</t>
        </is>
      </c>
      <c r="F50" t="inlineStr">
        <is>
          <t>24-Dec-2025</t>
        </is>
      </c>
      <c r="G50" t="inlineStr">
        <is>
          <t>Wednesday</t>
        </is>
      </c>
      <c r="H50" t="inlineStr">
        <is>
          <t>Monthly - Wednesday</t>
        </is>
      </c>
      <c r="I50" t="inlineStr">
        <is>
          <t>Monthly - Wednesday</t>
        </is>
      </c>
      <c r="J50" t="inlineStr">
        <is>
          <t>Month+2 Expiry</t>
        </is>
      </c>
      <c r="K50" s="25" t="n">
        <v>9</v>
      </c>
      <c r="L50" s="26" t="n">
        <v>0.0176</v>
      </c>
      <c r="M50" s="26" t="n">
        <v>0.0003</v>
      </c>
    </row>
    <row r="51" ht="16" customHeight="1">
      <c r="A51" t="inlineStr">
        <is>
          <t>06-Oct-2025</t>
        </is>
      </c>
      <c r="B51" t="inlineStr">
        <is>
          <t>Monday</t>
        </is>
      </c>
      <c r="C51" t="inlineStr">
        <is>
          <t>Week1-Oct-2025</t>
        </is>
      </c>
      <c r="D51" s="78" t="n">
        <v>45931</v>
      </c>
      <c r="E51" t="inlineStr">
        <is>
          <t>Q3FY26</t>
        </is>
      </c>
      <c r="F51" t="inlineStr">
        <is>
          <t>30-Oct-2025</t>
        </is>
      </c>
      <c r="G51" t="inlineStr">
        <is>
          <t>Thursday</t>
        </is>
      </c>
      <c r="H51" t="inlineStr">
        <is>
          <t>Monthly - Thursday</t>
        </is>
      </c>
      <c r="I51" t="inlineStr">
        <is>
          <t>Monthly - Thursday</t>
        </is>
      </c>
      <c r="J51" t="inlineStr">
        <is>
          <t>Same Month Expiry</t>
        </is>
      </c>
      <c r="K51" s="25" t="n">
        <v>2291</v>
      </c>
      <c r="L51" s="26" t="n">
        <v>4.3335</v>
      </c>
      <c r="M51" s="26" t="n">
        <v>0.0245</v>
      </c>
    </row>
    <row r="52" ht="16" customHeight="1">
      <c r="A52" t="inlineStr">
        <is>
          <t>06-Oct-2025</t>
        </is>
      </c>
      <c r="B52" t="inlineStr">
        <is>
          <t>Monday</t>
        </is>
      </c>
      <c r="C52" t="inlineStr">
        <is>
          <t>Week1-Oct-2025</t>
        </is>
      </c>
      <c r="D52" s="78" t="n">
        <v>45931</v>
      </c>
      <c r="E52" t="inlineStr">
        <is>
          <t>Q3FY26</t>
        </is>
      </c>
      <c r="F52" t="inlineStr">
        <is>
          <t>24-Dec-2025</t>
        </is>
      </c>
      <c r="G52" t="inlineStr">
        <is>
          <t>Wednesday</t>
        </is>
      </c>
      <c r="H52" t="inlineStr">
        <is>
          <t>Monthly - Wednesday</t>
        </is>
      </c>
      <c r="I52" t="inlineStr">
        <is>
          <t>Monthly - Wednesday</t>
        </is>
      </c>
      <c r="J52" t="inlineStr">
        <is>
          <t>Month+2 Expiry</t>
        </is>
      </c>
      <c r="K52" s="25" t="n">
        <v>9</v>
      </c>
      <c r="L52" s="26" t="n">
        <v>0.0174</v>
      </c>
      <c r="M52" s="26" t="n">
        <v>0.0003</v>
      </c>
    </row>
    <row r="53" ht="16" customHeight="1">
      <c r="A53" t="inlineStr">
        <is>
          <t>07-Oct-2025</t>
        </is>
      </c>
      <c r="B53" t="inlineStr">
        <is>
          <t>Tuesday</t>
        </is>
      </c>
      <c r="C53" t="inlineStr">
        <is>
          <t>Week1-Oct-2025</t>
        </is>
      </c>
      <c r="D53" s="78" t="n">
        <v>45931</v>
      </c>
      <c r="E53" t="inlineStr">
        <is>
          <t>Q3FY26</t>
        </is>
      </c>
      <c r="F53" t="inlineStr">
        <is>
          <t>30-Oct-2025</t>
        </is>
      </c>
      <c r="G53" t="inlineStr">
        <is>
          <t>Thursday</t>
        </is>
      </c>
      <c r="H53" t="inlineStr">
        <is>
          <t>Monthly - Thursday</t>
        </is>
      </c>
      <c r="I53" t="inlineStr">
        <is>
          <t>Monthly - Thursday</t>
        </is>
      </c>
      <c r="J53" t="inlineStr">
        <is>
          <t>Same Month Expiry</t>
        </is>
      </c>
      <c r="K53" s="25" t="n">
        <v>1687</v>
      </c>
      <c r="L53" s="26" t="n">
        <v>3.2271</v>
      </c>
      <c r="M53" s="26" t="n">
        <v>0.0163</v>
      </c>
    </row>
    <row r="54" ht="16" customHeight="1">
      <c r="A54" t="inlineStr">
        <is>
          <t>07-Oct-2025</t>
        </is>
      </c>
      <c r="B54" t="inlineStr">
        <is>
          <t>Tuesday</t>
        </is>
      </c>
      <c r="C54" t="inlineStr">
        <is>
          <t>Week1-Oct-2025</t>
        </is>
      </c>
      <c r="D54" s="78" t="n">
        <v>45931</v>
      </c>
      <c r="E54" t="inlineStr">
        <is>
          <t>Q3FY26</t>
        </is>
      </c>
      <c r="F54" t="inlineStr">
        <is>
          <t>24-Dec-2025</t>
        </is>
      </c>
      <c r="G54" t="inlineStr">
        <is>
          <t>Wednesday</t>
        </is>
      </c>
      <c r="H54" t="inlineStr">
        <is>
          <t>Monthly - Wednesday</t>
        </is>
      </c>
      <c r="I54" t="inlineStr">
        <is>
          <t>Monthly - Wednesday</t>
        </is>
      </c>
      <c r="J54" t="inlineStr">
        <is>
          <t>Month+2 Expiry</t>
        </is>
      </c>
      <c r="K54" s="25" t="n">
        <v>1</v>
      </c>
      <c r="L54" s="26" t="n">
        <v>0.0017</v>
      </c>
      <c r="M54" s="26" t="n">
        <v>0</v>
      </c>
    </row>
    <row r="55" ht="16" customHeight="1">
      <c r="A55" t="inlineStr">
        <is>
          <t>08-Oct-2025</t>
        </is>
      </c>
      <c r="B55" t="inlineStr">
        <is>
          <t>Wednesday</t>
        </is>
      </c>
      <c r="C55" t="inlineStr">
        <is>
          <t>Week2-Oct-2025</t>
        </is>
      </c>
      <c r="D55" s="78" t="n">
        <v>45931</v>
      </c>
      <c r="E55" t="inlineStr">
        <is>
          <t>Q3FY26</t>
        </is>
      </c>
      <c r="F55" t="inlineStr">
        <is>
          <t>30-Oct-2025</t>
        </is>
      </c>
      <c r="G55" t="inlineStr">
        <is>
          <t>Thursday</t>
        </is>
      </c>
      <c r="H55" t="inlineStr">
        <is>
          <t>Monthly - Thursday</t>
        </is>
      </c>
      <c r="I55" t="inlineStr">
        <is>
          <t>Monthly - Thursday</t>
        </is>
      </c>
      <c r="J55" t="inlineStr">
        <is>
          <t>Same Month Expiry</t>
        </is>
      </c>
      <c r="K55" s="25" t="n">
        <v>1233</v>
      </c>
      <c r="L55" s="26" t="n">
        <v>2.3559</v>
      </c>
      <c r="M55" s="26" t="n">
        <v>0.0167</v>
      </c>
    </row>
    <row r="56" ht="16" customHeight="1">
      <c r="A56" t="inlineStr">
        <is>
          <t>09-Oct-2025</t>
        </is>
      </c>
      <c r="B56" t="inlineStr">
        <is>
          <t>Thursday</t>
        </is>
      </c>
      <c r="C56" t="inlineStr">
        <is>
          <t>Week2-Oct-2025</t>
        </is>
      </c>
      <c r="D56" s="78" t="n">
        <v>45931</v>
      </c>
      <c r="E56" t="inlineStr">
        <is>
          <t>Q3FY26</t>
        </is>
      </c>
      <c r="F56" t="inlineStr">
        <is>
          <t>30-Oct-2025</t>
        </is>
      </c>
      <c r="G56" t="inlineStr">
        <is>
          <t>Thursday</t>
        </is>
      </c>
      <c r="H56" t="inlineStr">
        <is>
          <t>Monthly - Thursday</t>
        </is>
      </c>
      <c r="I56" t="inlineStr">
        <is>
          <t>Monthly - Thursday</t>
        </is>
      </c>
      <c r="J56" t="inlineStr">
        <is>
          <t>Same Month Expiry</t>
        </is>
      </c>
      <c r="K56" s="25" t="n">
        <v>1228</v>
      </c>
      <c r="L56" s="26" t="n">
        <v>2.361</v>
      </c>
      <c r="M56" s="26" t="n">
        <v>0.0222</v>
      </c>
    </row>
    <row r="57" ht="16" customHeight="1">
      <c r="A57" t="inlineStr">
        <is>
          <t>09-Oct-2025</t>
        </is>
      </c>
      <c r="B57" t="inlineStr">
        <is>
          <t>Thursday</t>
        </is>
      </c>
      <c r="C57" t="inlineStr">
        <is>
          <t>Week2-Oct-2025</t>
        </is>
      </c>
      <c r="D57" s="78" t="n">
        <v>45931</v>
      </c>
      <c r="E57" t="inlineStr">
        <is>
          <t>Q3FY26</t>
        </is>
      </c>
      <c r="F57" t="inlineStr">
        <is>
          <t>27-Nov-2025</t>
        </is>
      </c>
      <c r="G57" t="inlineStr">
        <is>
          <t>Thursday</t>
        </is>
      </c>
      <c r="H57" t="inlineStr">
        <is>
          <t>Monthly - Thursday</t>
        </is>
      </c>
      <c r="I57" t="inlineStr">
        <is>
          <t>Monthly - Thursday</t>
        </is>
      </c>
      <c r="J57" t="inlineStr">
        <is>
          <t>Month+1 Expiry</t>
        </is>
      </c>
      <c r="K57" s="25" t="n">
        <v>2</v>
      </c>
      <c r="L57" s="26" t="n">
        <v>0.0038</v>
      </c>
      <c r="M57" s="26" t="n">
        <v>0.0003</v>
      </c>
    </row>
    <row r="58" ht="16" customHeight="1">
      <c r="A58" t="inlineStr">
        <is>
          <t>09-Oct-2025</t>
        </is>
      </c>
      <c r="B58" t="inlineStr">
        <is>
          <t>Thursday</t>
        </is>
      </c>
      <c r="C58" t="inlineStr">
        <is>
          <t>Week2-Oct-2025</t>
        </is>
      </c>
      <c r="D58" s="78" t="n">
        <v>45931</v>
      </c>
      <c r="E58" t="inlineStr">
        <is>
          <t>Q3FY26</t>
        </is>
      </c>
      <c r="F58" t="inlineStr">
        <is>
          <t>24-Dec-2025</t>
        </is>
      </c>
      <c r="G58" t="inlineStr">
        <is>
          <t>Wednesday</t>
        </is>
      </c>
      <c r="H58" t="inlineStr">
        <is>
          <t>Monthly - Wednesday</t>
        </is>
      </c>
      <c r="I58" t="inlineStr">
        <is>
          <t>Monthly - Wednesday</t>
        </is>
      </c>
      <c r="J58" t="inlineStr">
        <is>
          <t>Month+2 Expiry</t>
        </is>
      </c>
      <c r="K58" s="25" t="n">
        <v>4</v>
      </c>
      <c r="L58" s="26" t="n">
        <v>0.0077</v>
      </c>
      <c r="M58" s="26" t="n">
        <v>0.0002</v>
      </c>
    </row>
    <row r="59" ht="16" customHeight="1">
      <c r="A59" t="inlineStr">
        <is>
          <t>10-Oct-2025</t>
        </is>
      </c>
      <c r="B59" t="inlineStr">
        <is>
          <t>Friday</t>
        </is>
      </c>
      <c r="C59" t="inlineStr">
        <is>
          <t>Week2-Oct-2025</t>
        </is>
      </c>
      <c r="D59" s="78" t="n">
        <v>45931</v>
      </c>
      <c r="E59" t="inlineStr">
        <is>
          <t>Q3FY26</t>
        </is>
      </c>
      <c r="F59" t="inlineStr">
        <is>
          <t>30-Oct-2025</t>
        </is>
      </c>
      <c r="G59" t="inlineStr">
        <is>
          <t>Thursday</t>
        </is>
      </c>
      <c r="H59" t="inlineStr">
        <is>
          <t>Monthly - Thursday</t>
        </is>
      </c>
      <c r="I59" t="inlineStr">
        <is>
          <t>Monthly - Thursday</t>
        </is>
      </c>
      <c r="J59" t="inlineStr">
        <is>
          <t>Same Month Expiry</t>
        </is>
      </c>
      <c r="K59" s="25" t="n">
        <v>2611</v>
      </c>
      <c r="L59" s="26" t="n">
        <v>5.0023</v>
      </c>
      <c r="M59" s="26" t="n">
        <v>0.0265</v>
      </c>
    </row>
    <row r="60" ht="16" customHeight="1">
      <c r="A60" t="inlineStr">
        <is>
          <t>10-Oct-2025</t>
        </is>
      </c>
      <c r="B60" t="inlineStr">
        <is>
          <t>Friday</t>
        </is>
      </c>
      <c r="C60" t="inlineStr">
        <is>
          <t>Week2-Oct-2025</t>
        </is>
      </c>
      <c r="D60" s="78" t="n">
        <v>45931</v>
      </c>
      <c r="E60" t="inlineStr">
        <is>
          <t>Q3FY26</t>
        </is>
      </c>
      <c r="F60" t="inlineStr">
        <is>
          <t>27-Nov-2025</t>
        </is>
      </c>
      <c r="G60" t="inlineStr">
        <is>
          <t>Thursday</t>
        </is>
      </c>
      <c r="H60" t="inlineStr">
        <is>
          <t>Monthly - Thursday</t>
        </is>
      </c>
      <c r="I60" t="inlineStr">
        <is>
          <t>Monthly - Thursday</t>
        </is>
      </c>
      <c r="J60" t="inlineStr">
        <is>
          <t>Month+1 Expiry</t>
        </is>
      </c>
      <c r="K60" s="25" t="n">
        <v>1</v>
      </c>
      <c r="L60" s="26" t="n">
        <v>0.0019</v>
      </c>
      <c r="M60" s="26" t="n">
        <v>0.0002</v>
      </c>
    </row>
    <row r="61" ht="16" customHeight="1">
      <c r="A61" t="inlineStr">
        <is>
          <t>13-Oct-2025</t>
        </is>
      </c>
      <c r="B61" t="inlineStr">
        <is>
          <t>Monday</t>
        </is>
      </c>
      <c r="C61" t="inlineStr">
        <is>
          <t>Week2-Oct-2025</t>
        </is>
      </c>
      <c r="D61" s="78" t="n">
        <v>45931</v>
      </c>
      <c r="E61" t="inlineStr">
        <is>
          <t>Q3FY26</t>
        </is>
      </c>
      <c r="F61" t="inlineStr">
        <is>
          <t>30-Oct-2025</t>
        </is>
      </c>
      <c r="G61" t="inlineStr">
        <is>
          <t>Thursday</t>
        </is>
      </c>
      <c r="H61" t="inlineStr">
        <is>
          <t>Monthly - Thursday</t>
        </is>
      </c>
      <c r="I61" t="inlineStr">
        <is>
          <t>Monthly - Thursday</t>
        </is>
      </c>
      <c r="J61" t="inlineStr">
        <is>
          <t>Same Month Expiry</t>
        </is>
      </c>
      <c r="K61" s="25" t="n">
        <v>3420</v>
      </c>
      <c r="L61" s="26" t="n">
        <v>6.5548</v>
      </c>
      <c r="M61" s="26" t="n">
        <v>0.0384</v>
      </c>
    </row>
    <row r="62" ht="16" customHeight="1">
      <c r="A62" t="inlineStr">
        <is>
          <t>13-Oct-2025</t>
        </is>
      </c>
      <c r="B62" t="inlineStr">
        <is>
          <t>Monday</t>
        </is>
      </c>
      <c r="C62" t="inlineStr">
        <is>
          <t>Week2-Oct-2025</t>
        </is>
      </c>
      <c r="D62" s="78" t="n">
        <v>45931</v>
      </c>
      <c r="E62" t="inlineStr">
        <is>
          <t>Q3FY26</t>
        </is>
      </c>
      <c r="F62" t="inlineStr">
        <is>
          <t>27-Nov-2025</t>
        </is>
      </c>
      <c r="G62" t="inlineStr">
        <is>
          <t>Thursday</t>
        </is>
      </c>
      <c r="H62" t="inlineStr">
        <is>
          <t>Monthly - Thursday</t>
        </is>
      </c>
      <c r="I62" t="inlineStr">
        <is>
          <t>Monthly - Thursday</t>
        </is>
      </c>
      <c r="J62" t="inlineStr">
        <is>
          <t>Month+1 Expiry</t>
        </is>
      </c>
      <c r="K62" s="25" t="n">
        <v>30</v>
      </c>
      <c r="L62" s="26" t="n">
        <v>0.0588</v>
      </c>
      <c r="M62" s="26" t="n">
        <v>0.0008</v>
      </c>
    </row>
    <row r="63" ht="16" customHeight="1">
      <c r="A63" t="inlineStr">
        <is>
          <t>14-Oct-2025</t>
        </is>
      </c>
      <c r="B63" t="inlineStr">
        <is>
          <t>Tuesday</t>
        </is>
      </c>
      <c r="C63" t="inlineStr">
        <is>
          <t>Week2-Oct-2025</t>
        </is>
      </c>
      <c r="D63" s="78" t="n">
        <v>45931</v>
      </c>
      <c r="E63" t="inlineStr">
        <is>
          <t>Q3FY26</t>
        </is>
      </c>
      <c r="F63" t="inlineStr">
        <is>
          <t>30-Oct-2025</t>
        </is>
      </c>
      <c r="G63" t="inlineStr">
        <is>
          <t>Thursday</t>
        </is>
      </c>
      <c r="H63" t="inlineStr">
        <is>
          <t>Monthly - Thursday</t>
        </is>
      </c>
      <c r="I63" t="inlineStr">
        <is>
          <t>Monthly - Thursday</t>
        </is>
      </c>
      <c r="J63" t="inlineStr">
        <is>
          <t>Same Month Expiry</t>
        </is>
      </c>
      <c r="K63" s="25" t="n">
        <v>1577</v>
      </c>
      <c r="L63" s="26" t="n">
        <v>3.0417</v>
      </c>
      <c r="M63" s="26" t="n">
        <v>0.0226</v>
      </c>
    </row>
    <row r="64" ht="16" customHeight="1">
      <c r="A64" t="inlineStr">
        <is>
          <t>14-Oct-2025</t>
        </is>
      </c>
      <c r="B64" t="inlineStr">
        <is>
          <t>Tuesday</t>
        </is>
      </c>
      <c r="C64" t="inlineStr">
        <is>
          <t>Week2-Oct-2025</t>
        </is>
      </c>
      <c r="D64" s="78" t="n">
        <v>45931</v>
      </c>
      <c r="E64" t="inlineStr">
        <is>
          <t>Q3FY26</t>
        </is>
      </c>
      <c r="F64" t="inlineStr">
        <is>
          <t>27-Nov-2025</t>
        </is>
      </c>
      <c r="G64" t="inlineStr">
        <is>
          <t>Thursday</t>
        </is>
      </c>
      <c r="H64" t="inlineStr">
        <is>
          <t>Monthly - Thursday</t>
        </is>
      </c>
      <c r="I64" t="inlineStr">
        <is>
          <t>Monthly - Thursday</t>
        </is>
      </c>
      <c r="J64" t="inlineStr">
        <is>
          <t>Month+1 Expiry</t>
        </is>
      </c>
      <c r="K64" s="25" t="n">
        <v>2</v>
      </c>
      <c r="L64" s="26" t="n">
        <v>0.0039</v>
      </c>
      <c r="M64" s="26" t="n">
        <v>0.0001</v>
      </c>
    </row>
    <row r="65" ht="16" customHeight="1">
      <c r="A65" t="inlineStr">
        <is>
          <t>15-Oct-2025</t>
        </is>
      </c>
      <c r="B65" t="inlineStr">
        <is>
          <t>Wednesday</t>
        </is>
      </c>
      <c r="C65" t="inlineStr">
        <is>
          <t>Week3-Oct-2025</t>
        </is>
      </c>
      <c r="D65" s="78" t="n">
        <v>45931</v>
      </c>
      <c r="E65" t="inlineStr">
        <is>
          <t>Q3FY26</t>
        </is>
      </c>
      <c r="F65" t="inlineStr">
        <is>
          <t>30-Oct-2025</t>
        </is>
      </c>
      <c r="G65" t="inlineStr">
        <is>
          <t>Thursday</t>
        </is>
      </c>
      <c r="H65" t="inlineStr">
        <is>
          <t>Monthly - Thursday</t>
        </is>
      </c>
      <c r="I65" t="inlineStr">
        <is>
          <t>Monthly - Thursday</t>
        </is>
      </c>
      <c r="J65" t="inlineStr">
        <is>
          <t>Same Month Expiry</t>
        </is>
      </c>
      <c r="K65" s="25" t="n">
        <v>5288</v>
      </c>
      <c r="L65" s="26" t="n">
        <v>10.1176</v>
      </c>
      <c r="M65" s="26" t="n">
        <v>0.0565</v>
      </c>
    </row>
    <row r="66" ht="16" customHeight="1">
      <c r="A66" t="inlineStr">
        <is>
          <t>15-Oct-2025</t>
        </is>
      </c>
      <c r="B66" t="inlineStr">
        <is>
          <t>Wednesday</t>
        </is>
      </c>
      <c r="C66" t="inlineStr">
        <is>
          <t>Week3-Oct-2025</t>
        </is>
      </c>
      <c r="D66" s="78" t="n">
        <v>45931</v>
      </c>
      <c r="E66" t="inlineStr">
        <is>
          <t>Q3FY26</t>
        </is>
      </c>
      <c r="F66" t="inlineStr">
        <is>
          <t>27-Nov-2025</t>
        </is>
      </c>
      <c r="G66" t="inlineStr">
        <is>
          <t>Thursday</t>
        </is>
      </c>
      <c r="H66" t="inlineStr">
        <is>
          <t>Monthly - Thursday</t>
        </is>
      </c>
      <c r="I66" t="inlineStr">
        <is>
          <t>Monthly - Thursday</t>
        </is>
      </c>
      <c r="J66" t="inlineStr">
        <is>
          <t>Month+1 Expiry</t>
        </is>
      </c>
      <c r="K66" s="25" t="n">
        <v>23</v>
      </c>
      <c r="L66" s="26" t="n">
        <v>0.0455</v>
      </c>
      <c r="M66" s="26" t="n">
        <v>0.0011</v>
      </c>
    </row>
    <row r="67" ht="16" customHeight="1">
      <c r="A67" t="inlineStr">
        <is>
          <t>16-Oct-2025</t>
        </is>
      </c>
      <c r="B67" t="inlineStr">
        <is>
          <t>Thursday</t>
        </is>
      </c>
      <c r="C67" t="inlineStr">
        <is>
          <t>Week3-Oct-2025</t>
        </is>
      </c>
      <c r="D67" s="78" t="n">
        <v>45931</v>
      </c>
      <c r="E67" t="inlineStr">
        <is>
          <t>Q3FY26</t>
        </is>
      </c>
      <c r="F67" t="inlineStr">
        <is>
          <t>30-Oct-2025</t>
        </is>
      </c>
      <c r="G67" t="inlineStr">
        <is>
          <t>Thursday</t>
        </is>
      </c>
      <c r="H67" t="inlineStr">
        <is>
          <t>Monthly - Thursday</t>
        </is>
      </c>
      <c r="I67" t="inlineStr">
        <is>
          <t>Monthly - Thursday</t>
        </is>
      </c>
      <c r="J67" t="inlineStr">
        <is>
          <t>Same Month Expiry</t>
        </is>
      </c>
      <c r="K67" s="25" t="n">
        <v>2017</v>
      </c>
      <c r="L67" s="26" t="n">
        <v>3.8891</v>
      </c>
      <c r="M67" s="26" t="n">
        <v>0.0214</v>
      </c>
    </row>
    <row r="68" ht="16" customHeight="1">
      <c r="A68" t="inlineStr">
        <is>
          <t>16-Oct-2025</t>
        </is>
      </c>
      <c r="B68" t="inlineStr">
        <is>
          <t>Thursday</t>
        </is>
      </c>
      <c r="C68" t="inlineStr">
        <is>
          <t>Week3-Oct-2025</t>
        </is>
      </c>
      <c r="D68" s="78" t="n">
        <v>45931</v>
      </c>
      <c r="E68" t="inlineStr">
        <is>
          <t>Q3FY26</t>
        </is>
      </c>
      <c r="F68" t="inlineStr">
        <is>
          <t>27-Nov-2025</t>
        </is>
      </c>
      <c r="G68" t="inlineStr">
        <is>
          <t>Thursday</t>
        </is>
      </c>
      <c r="H68" t="inlineStr">
        <is>
          <t>Monthly - Thursday</t>
        </is>
      </c>
      <c r="I68" t="inlineStr">
        <is>
          <t>Monthly - Thursday</t>
        </is>
      </c>
      <c r="J68" t="inlineStr">
        <is>
          <t>Month+1 Expiry</t>
        </is>
      </c>
      <c r="K68" s="25" t="n">
        <v>23</v>
      </c>
      <c r="L68" s="26" t="n">
        <v>0.0457</v>
      </c>
      <c r="M68" s="26" t="n">
        <v>0.0004</v>
      </c>
    </row>
    <row r="69" ht="16" customHeight="1">
      <c r="A69" t="inlineStr">
        <is>
          <t>17-Oct-2025</t>
        </is>
      </c>
      <c r="B69" t="inlineStr">
        <is>
          <t>Friday</t>
        </is>
      </c>
      <c r="C69" t="inlineStr">
        <is>
          <t>Week3-Oct-2025</t>
        </is>
      </c>
      <c r="D69" s="78" t="n">
        <v>45931</v>
      </c>
      <c r="E69" t="inlineStr">
        <is>
          <t>Q3FY26</t>
        </is>
      </c>
      <c r="F69" t="inlineStr">
        <is>
          <t>30-Oct-2025</t>
        </is>
      </c>
      <c r="G69" t="inlineStr">
        <is>
          <t>Thursday</t>
        </is>
      </c>
      <c r="H69" t="inlineStr">
        <is>
          <t>Monthly - Thursday</t>
        </is>
      </c>
      <c r="I69" t="inlineStr">
        <is>
          <t>Monthly - Thursday</t>
        </is>
      </c>
      <c r="J69" t="inlineStr">
        <is>
          <t>Same Month Expiry</t>
        </is>
      </c>
      <c r="K69" s="25" t="n">
        <v>4418</v>
      </c>
      <c r="L69" s="26" t="n">
        <v>8.606400000000001</v>
      </c>
      <c r="M69" s="26" t="n">
        <v>0.0589</v>
      </c>
    </row>
    <row r="70" ht="16" customHeight="1">
      <c r="A70" t="inlineStr">
        <is>
          <t>17-Oct-2025</t>
        </is>
      </c>
      <c r="B70" t="inlineStr">
        <is>
          <t>Friday</t>
        </is>
      </c>
      <c r="C70" t="inlineStr">
        <is>
          <t>Week3-Oct-2025</t>
        </is>
      </c>
      <c r="D70" s="78" t="n">
        <v>45931</v>
      </c>
      <c r="E70" t="inlineStr">
        <is>
          <t>Q3FY26</t>
        </is>
      </c>
      <c r="F70" t="inlineStr">
        <is>
          <t>27-Nov-2025</t>
        </is>
      </c>
      <c r="G70" t="inlineStr">
        <is>
          <t>Thursday</t>
        </is>
      </c>
      <c r="H70" t="inlineStr">
        <is>
          <t>Monthly - Thursday</t>
        </is>
      </c>
      <c r="I70" t="inlineStr">
        <is>
          <t>Monthly - Thursday</t>
        </is>
      </c>
      <c r="J70" t="inlineStr">
        <is>
          <t>Month+1 Expiry</t>
        </is>
      </c>
      <c r="K70" s="25" t="n">
        <v>4</v>
      </c>
      <c r="L70" s="26" t="n">
        <v>0.007900000000000001</v>
      </c>
      <c r="M70" s="26" t="n">
        <v>0.0003</v>
      </c>
    </row>
    <row r="71" ht="16" customHeight="1">
      <c r="A71" t="inlineStr">
        <is>
          <t>20-Oct-2025</t>
        </is>
      </c>
      <c r="B71" t="inlineStr">
        <is>
          <t>Monday</t>
        </is>
      </c>
      <c r="C71" t="inlineStr">
        <is>
          <t>Week3-Oct-2025</t>
        </is>
      </c>
      <c r="D71" s="78" t="n">
        <v>45931</v>
      </c>
      <c r="E71" t="inlineStr">
        <is>
          <t>Q3FY26</t>
        </is>
      </c>
      <c r="F71" t="inlineStr">
        <is>
          <t>30-Oct-2025</t>
        </is>
      </c>
      <c r="G71" t="inlineStr">
        <is>
          <t>Thursday</t>
        </is>
      </c>
      <c r="H71" t="inlineStr">
        <is>
          <t>Monthly - Thursday</t>
        </is>
      </c>
      <c r="I71" t="inlineStr">
        <is>
          <t>Monthly - Thursday</t>
        </is>
      </c>
      <c r="J71" t="inlineStr">
        <is>
          <t>Same Month Expiry</t>
        </is>
      </c>
      <c r="K71" s="25" t="n">
        <v>4441</v>
      </c>
      <c r="L71" s="26" t="n">
        <v>8.762700000000001</v>
      </c>
      <c r="M71" s="26" t="n">
        <v>0.0517</v>
      </c>
    </row>
    <row r="72" ht="16" customHeight="1">
      <c r="A72" t="inlineStr">
        <is>
          <t>20-Oct-2025</t>
        </is>
      </c>
      <c r="B72" t="inlineStr">
        <is>
          <t>Monday</t>
        </is>
      </c>
      <c r="C72" t="inlineStr">
        <is>
          <t>Week3-Oct-2025</t>
        </is>
      </c>
      <c r="D72" s="78" t="n">
        <v>45931</v>
      </c>
      <c r="E72" t="inlineStr">
        <is>
          <t>Q3FY26</t>
        </is>
      </c>
      <c r="F72" t="inlineStr">
        <is>
          <t>27-Nov-2025</t>
        </is>
      </c>
      <c r="G72" t="inlineStr">
        <is>
          <t>Thursday</t>
        </is>
      </c>
      <c r="H72" t="inlineStr">
        <is>
          <t>Monthly - Thursday</t>
        </is>
      </c>
      <c r="I72" t="inlineStr">
        <is>
          <t>Monthly - Thursday</t>
        </is>
      </c>
      <c r="J72" t="inlineStr">
        <is>
          <t>Month+1 Expiry</t>
        </is>
      </c>
      <c r="K72" s="25" t="n">
        <v>2</v>
      </c>
      <c r="L72" s="26" t="n">
        <v>0.0039</v>
      </c>
      <c r="M72" s="26" t="n">
        <v>0</v>
      </c>
    </row>
    <row r="73" ht="16" customHeight="1">
      <c r="A73" t="inlineStr">
        <is>
          <t>20-Oct-2025</t>
        </is>
      </c>
      <c r="B73" t="inlineStr">
        <is>
          <t>Monday</t>
        </is>
      </c>
      <c r="C73" t="inlineStr">
        <is>
          <t>Week3-Oct-2025</t>
        </is>
      </c>
      <c r="D73" s="78" t="n">
        <v>45931</v>
      </c>
      <c r="E73" t="inlineStr">
        <is>
          <t>Q3FY26</t>
        </is>
      </c>
      <c r="F73" t="inlineStr">
        <is>
          <t>24-Dec-2025</t>
        </is>
      </c>
      <c r="G73" t="inlineStr">
        <is>
          <t>Wednesday</t>
        </is>
      </c>
      <c r="H73" t="inlineStr">
        <is>
          <t>Monthly - Wednesday</t>
        </is>
      </c>
      <c r="I73" t="inlineStr">
        <is>
          <t>Monthly - Wednesday</t>
        </is>
      </c>
      <c r="J73" t="inlineStr">
        <is>
          <t>Month+2 Expiry</t>
        </is>
      </c>
      <c r="K73" s="25" t="n">
        <v>11</v>
      </c>
      <c r="L73" s="26" t="n">
        <v>0.022</v>
      </c>
      <c r="M73" s="26" t="n">
        <v>0.0004</v>
      </c>
    </row>
    <row r="74" ht="16" customHeight="1">
      <c r="A74" t="inlineStr">
        <is>
          <t>21-Oct-2025</t>
        </is>
      </c>
      <c r="B74" t="inlineStr">
        <is>
          <t>Tuesday</t>
        </is>
      </c>
      <c r="C74" t="inlineStr">
        <is>
          <t>Week3-Oct-2025</t>
        </is>
      </c>
      <c r="D74" s="78" t="n">
        <v>45931</v>
      </c>
      <c r="E74" t="inlineStr">
        <is>
          <t>Q3FY26</t>
        </is>
      </c>
      <c r="F74" t="inlineStr">
        <is>
          <t>30-Oct-2025</t>
        </is>
      </c>
      <c r="G74" t="inlineStr">
        <is>
          <t>Thursday</t>
        </is>
      </c>
      <c r="H74" t="inlineStr">
        <is>
          <t>Monthly - Thursday</t>
        </is>
      </c>
      <c r="I74" t="inlineStr">
        <is>
          <t>Monthly - Thursday</t>
        </is>
      </c>
      <c r="J74" t="inlineStr">
        <is>
          <t>Same Month Expiry</t>
        </is>
      </c>
      <c r="K74" s="25" t="n">
        <v>607</v>
      </c>
      <c r="L74" s="26" t="n">
        <v>1.1923</v>
      </c>
      <c r="M74" s="26" t="n">
        <v>0.0066</v>
      </c>
    </row>
    <row r="75" ht="16" customHeight="1">
      <c r="A75" t="inlineStr">
        <is>
          <t>21-Oct-2025</t>
        </is>
      </c>
      <c r="B75" t="inlineStr">
        <is>
          <t>Tuesday</t>
        </is>
      </c>
      <c r="C75" t="inlineStr">
        <is>
          <t>Week3-Oct-2025</t>
        </is>
      </c>
      <c r="D75" s="78" t="n">
        <v>45931</v>
      </c>
      <c r="E75" t="inlineStr">
        <is>
          <t>Q3FY26</t>
        </is>
      </c>
      <c r="F75" t="inlineStr">
        <is>
          <t>27-Nov-2025</t>
        </is>
      </c>
      <c r="G75" t="inlineStr">
        <is>
          <t>Thursday</t>
        </is>
      </c>
      <c r="H75" t="inlineStr">
        <is>
          <t>Monthly - Thursday</t>
        </is>
      </c>
      <c r="I75" t="inlineStr">
        <is>
          <t>Monthly - Thursday</t>
        </is>
      </c>
      <c r="J75" t="inlineStr">
        <is>
          <t>Month+1 Expiry</t>
        </is>
      </c>
      <c r="K75" s="25" t="n">
        <v>2</v>
      </c>
      <c r="L75" s="26" t="n">
        <v>0.004</v>
      </c>
      <c r="M75" s="26" t="n">
        <v>0.0001</v>
      </c>
    </row>
    <row r="76" ht="16" customHeight="1">
      <c r="A76" t="inlineStr">
        <is>
          <t>23-Oct-2025</t>
        </is>
      </c>
      <c r="B76" t="inlineStr">
        <is>
          <t>Thursday</t>
        </is>
      </c>
      <c r="C76" t="inlineStr">
        <is>
          <t>Week4-Oct-2025</t>
        </is>
      </c>
      <c r="D76" s="78" t="n">
        <v>45931</v>
      </c>
      <c r="E76" t="inlineStr">
        <is>
          <t>Q3FY26</t>
        </is>
      </c>
      <c r="F76" t="inlineStr">
        <is>
          <t>30-Oct-2025</t>
        </is>
      </c>
      <c r="G76" t="inlineStr">
        <is>
          <t>Thursday</t>
        </is>
      </c>
      <c r="H76" t="inlineStr">
        <is>
          <t>Monthly - Thursday</t>
        </is>
      </c>
      <c r="I76" t="inlineStr">
        <is>
          <t>Monthly - Thursday</t>
        </is>
      </c>
      <c r="J76" t="inlineStr">
        <is>
          <t>Same Month Expiry</t>
        </is>
      </c>
      <c r="K76" s="25" t="n">
        <v>7862</v>
      </c>
      <c r="L76" s="26" t="n">
        <v>15.4369</v>
      </c>
      <c r="M76" s="26" t="n">
        <v>0.07149999999999999</v>
      </c>
    </row>
    <row r="77" ht="16" customHeight="1">
      <c r="A77" t="inlineStr">
        <is>
          <t>23-Oct-2025</t>
        </is>
      </c>
      <c r="B77" t="inlineStr">
        <is>
          <t>Thursday</t>
        </is>
      </c>
      <c r="C77" t="inlineStr">
        <is>
          <t>Week4-Oct-2025</t>
        </is>
      </c>
      <c r="D77" s="78" t="n">
        <v>45931</v>
      </c>
      <c r="E77" t="inlineStr">
        <is>
          <t>Q3FY26</t>
        </is>
      </c>
      <c r="F77" t="inlineStr">
        <is>
          <t>27-Nov-2025</t>
        </is>
      </c>
      <c r="G77" t="inlineStr">
        <is>
          <t>Thursday</t>
        </is>
      </c>
      <c r="H77" t="inlineStr">
        <is>
          <t>Monthly - Thursday</t>
        </is>
      </c>
      <c r="I77" t="inlineStr">
        <is>
          <t>Monthly - Thursday</t>
        </is>
      </c>
      <c r="J77" t="inlineStr">
        <is>
          <t>Month+1 Expiry</t>
        </is>
      </c>
      <c r="K77" s="25" t="n">
        <v>0</v>
      </c>
      <c r="L77" s="26" t="n">
        <v>0</v>
      </c>
      <c r="M77" s="26" t="n">
        <v>0</v>
      </c>
    </row>
    <row r="78" ht="16" customHeight="1">
      <c r="A78" t="inlineStr">
        <is>
          <t>24-Oct-2025</t>
        </is>
      </c>
      <c r="B78" t="inlineStr">
        <is>
          <t>Friday</t>
        </is>
      </c>
      <c r="C78" t="inlineStr">
        <is>
          <t>Week4-Oct-2025</t>
        </is>
      </c>
      <c r="D78" s="78" t="n">
        <v>45931</v>
      </c>
      <c r="E78" t="inlineStr">
        <is>
          <t>Q3FY26</t>
        </is>
      </c>
      <c r="F78" t="inlineStr">
        <is>
          <t>30-Oct-2025</t>
        </is>
      </c>
      <c r="G78" t="inlineStr">
        <is>
          <t>Thursday</t>
        </is>
      </c>
      <c r="H78" t="inlineStr">
        <is>
          <t>Monthly - Thursday</t>
        </is>
      </c>
      <c r="I78" t="inlineStr">
        <is>
          <t>Monthly - Thursday</t>
        </is>
      </c>
      <c r="J78" t="inlineStr">
        <is>
          <t>Same Month Expiry</t>
        </is>
      </c>
      <c r="K78" s="25" t="n">
        <v>16056</v>
      </c>
      <c r="L78" s="26" t="n">
        <v>31.4299</v>
      </c>
      <c r="M78" s="26" t="n">
        <v>0.1393</v>
      </c>
    </row>
    <row r="79" ht="16" customHeight="1">
      <c r="A79" t="inlineStr">
        <is>
          <t>24-Oct-2025</t>
        </is>
      </c>
      <c r="B79" t="inlineStr">
        <is>
          <t>Friday</t>
        </is>
      </c>
      <c r="C79" t="inlineStr">
        <is>
          <t>Week4-Oct-2025</t>
        </is>
      </c>
      <c r="D79" s="78" t="n">
        <v>45931</v>
      </c>
      <c r="E79" t="inlineStr">
        <is>
          <t>Q3FY26</t>
        </is>
      </c>
      <c r="F79" t="inlineStr">
        <is>
          <t>27-Nov-2025</t>
        </is>
      </c>
      <c r="G79" t="inlineStr">
        <is>
          <t>Thursday</t>
        </is>
      </c>
      <c r="H79" t="inlineStr">
        <is>
          <t>Monthly - Thursday</t>
        </is>
      </c>
      <c r="I79" t="inlineStr">
        <is>
          <t>Monthly - Thursday</t>
        </is>
      </c>
      <c r="J79" t="inlineStr">
        <is>
          <t>Month+1 Expiry</t>
        </is>
      </c>
      <c r="K79" s="25" t="n">
        <v>3</v>
      </c>
      <c r="L79" s="26" t="n">
        <v>0.0058</v>
      </c>
      <c r="M79" s="26" t="n">
        <v>0.0001</v>
      </c>
    </row>
    <row r="80" ht="16" customHeight="1">
      <c r="A80" t="inlineStr">
        <is>
          <t>27-Oct-2025</t>
        </is>
      </c>
      <c r="B80" t="inlineStr">
        <is>
          <t>Monday</t>
        </is>
      </c>
      <c r="C80" t="inlineStr">
        <is>
          <t>Week4-Oct-2025</t>
        </is>
      </c>
      <c r="D80" s="78" t="n">
        <v>45931</v>
      </c>
      <c r="E80" t="inlineStr">
        <is>
          <t>Q3FY26</t>
        </is>
      </c>
      <c r="F80" t="inlineStr">
        <is>
          <t>30-Oct-2025</t>
        </is>
      </c>
      <c r="G80" t="inlineStr">
        <is>
          <t>Thursday</t>
        </is>
      </c>
      <c r="H80" t="inlineStr">
        <is>
          <t>Monthly - Thursday</t>
        </is>
      </c>
      <c r="I80" t="inlineStr">
        <is>
          <t>Monthly - Thursday</t>
        </is>
      </c>
      <c r="J80" t="inlineStr">
        <is>
          <t>Same Month Expiry</t>
        </is>
      </c>
      <c r="K80" s="25" t="n">
        <v>17155</v>
      </c>
      <c r="L80" s="26" t="n">
        <v>33.6713</v>
      </c>
      <c r="M80" s="26" t="n">
        <v>0.1192</v>
      </c>
    </row>
    <row r="81" ht="16" customHeight="1">
      <c r="A81" t="inlineStr">
        <is>
          <t>27-Oct-2025</t>
        </is>
      </c>
      <c r="B81" t="inlineStr">
        <is>
          <t>Monday</t>
        </is>
      </c>
      <c r="C81" t="inlineStr">
        <is>
          <t>Week4-Oct-2025</t>
        </is>
      </c>
      <c r="D81" s="78" t="n">
        <v>45931</v>
      </c>
      <c r="E81" t="inlineStr">
        <is>
          <t>Q3FY26</t>
        </is>
      </c>
      <c r="F81" t="inlineStr">
        <is>
          <t>27-Nov-2025</t>
        </is>
      </c>
      <c r="G81" t="inlineStr">
        <is>
          <t>Thursday</t>
        </is>
      </c>
      <c r="H81" t="inlineStr">
        <is>
          <t>Monthly - Thursday</t>
        </is>
      </c>
      <c r="I81" t="inlineStr">
        <is>
          <t>Monthly - Thursday</t>
        </is>
      </c>
      <c r="J81" t="inlineStr">
        <is>
          <t>Month+1 Expiry</t>
        </is>
      </c>
      <c r="K81" s="25" t="n">
        <v>33</v>
      </c>
      <c r="L81" s="26" t="n">
        <v>0.06469999999999999</v>
      </c>
      <c r="M81" s="26" t="n">
        <v>0.0011</v>
      </c>
    </row>
    <row r="82" ht="16" customHeight="1">
      <c r="A82" t="inlineStr">
        <is>
          <t>28-Oct-2025</t>
        </is>
      </c>
      <c r="B82" t="inlineStr">
        <is>
          <t>Tuesday</t>
        </is>
      </c>
      <c r="C82" t="inlineStr">
        <is>
          <t>Week4-Oct-2025</t>
        </is>
      </c>
      <c r="D82" s="78" t="n">
        <v>45931</v>
      </c>
      <c r="E82" t="inlineStr">
        <is>
          <t>Q3FY26</t>
        </is>
      </c>
      <c r="F82" t="inlineStr">
        <is>
          <t>30-Oct-2025</t>
        </is>
      </c>
      <c r="G82" t="inlineStr">
        <is>
          <t>Thursday</t>
        </is>
      </c>
      <c r="H82" t="inlineStr">
        <is>
          <t>Monthly - Thursday</t>
        </is>
      </c>
      <c r="I82" t="inlineStr">
        <is>
          <t>Monthly - Thursday</t>
        </is>
      </c>
      <c r="J82" t="inlineStr">
        <is>
          <t>Same Month Expiry</t>
        </is>
      </c>
      <c r="K82" s="25" t="n">
        <v>44685</v>
      </c>
      <c r="L82" s="26" t="n">
        <v>87.4896</v>
      </c>
      <c r="M82" s="26" t="n">
        <v>0.2744</v>
      </c>
    </row>
    <row r="83" ht="16" customHeight="1">
      <c r="A83" t="inlineStr">
        <is>
          <t>28-Oct-2025</t>
        </is>
      </c>
      <c r="B83" t="inlineStr">
        <is>
          <t>Tuesday</t>
        </is>
      </c>
      <c r="C83" t="inlineStr">
        <is>
          <t>Week4-Oct-2025</t>
        </is>
      </c>
      <c r="D83" s="78" t="n">
        <v>45931</v>
      </c>
      <c r="E83" t="inlineStr">
        <is>
          <t>Q3FY26</t>
        </is>
      </c>
      <c r="F83" t="inlineStr">
        <is>
          <t>27-Nov-2025</t>
        </is>
      </c>
      <c r="G83" t="inlineStr">
        <is>
          <t>Thursday</t>
        </is>
      </c>
      <c r="H83" t="inlineStr">
        <is>
          <t>Monthly - Thursday</t>
        </is>
      </c>
      <c r="I83" t="inlineStr">
        <is>
          <t>Monthly - Thursday</t>
        </is>
      </c>
      <c r="J83" t="inlineStr">
        <is>
          <t>Month+1 Expiry</t>
        </is>
      </c>
      <c r="K83" s="25" t="n">
        <v>1</v>
      </c>
      <c r="L83" s="26" t="n">
        <v>0.002</v>
      </c>
      <c r="M83" s="26" t="n">
        <v>0</v>
      </c>
    </row>
    <row r="84" ht="16" customHeight="1">
      <c r="A84" t="inlineStr">
        <is>
          <t>28-Oct-2025</t>
        </is>
      </c>
      <c r="B84" t="inlineStr">
        <is>
          <t>Tuesday</t>
        </is>
      </c>
      <c r="C84" t="inlineStr">
        <is>
          <t>Week4-Oct-2025</t>
        </is>
      </c>
      <c r="D84" s="78" t="n">
        <v>45931</v>
      </c>
      <c r="E84" t="inlineStr">
        <is>
          <t>Q3FY26</t>
        </is>
      </c>
      <c r="F84" t="inlineStr">
        <is>
          <t>24-Dec-2025</t>
        </is>
      </c>
      <c r="G84" t="inlineStr">
        <is>
          <t>Wednesday</t>
        </is>
      </c>
      <c r="H84" t="inlineStr">
        <is>
          <t>Monthly - Wednesday</t>
        </is>
      </c>
      <c r="I84" t="inlineStr">
        <is>
          <t>Monthly - Wednesday</t>
        </is>
      </c>
      <c r="J84" t="inlineStr">
        <is>
          <t>Month+2 Expiry</t>
        </is>
      </c>
      <c r="K84" s="25" t="n">
        <v>4</v>
      </c>
      <c r="L84" s="26" t="n">
        <v>0.0077</v>
      </c>
      <c r="M84" s="26" t="n">
        <v>0.0003</v>
      </c>
    </row>
    <row r="85" ht="16" customHeight="1">
      <c r="A85" t="inlineStr">
        <is>
          <t>29-Oct-2025</t>
        </is>
      </c>
      <c r="B85" t="inlineStr">
        <is>
          <t>Wednesday</t>
        </is>
      </c>
      <c r="C85" t="inlineStr">
        <is>
          <t>Week5-Oct-2025</t>
        </is>
      </c>
      <c r="D85" s="78" t="n">
        <v>45931</v>
      </c>
      <c r="E85" t="inlineStr">
        <is>
          <t>Q3FY26</t>
        </is>
      </c>
      <c r="F85" t="inlineStr">
        <is>
          <t>30-Oct-2025</t>
        </is>
      </c>
      <c r="G85" t="inlineStr">
        <is>
          <t>Thursday</t>
        </is>
      </c>
      <c r="H85" t="inlineStr">
        <is>
          <t>Monthly - Thursday</t>
        </is>
      </c>
      <c r="I85" t="inlineStr">
        <is>
          <t>Monthly - Thursday</t>
        </is>
      </c>
      <c r="J85" t="inlineStr">
        <is>
          <t>Same Month Expiry</t>
        </is>
      </c>
      <c r="K85" s="25" t="n">
        <v>881903</v>
      </c>
      <c r="L85" s="26" t="n">
        <v>1741.5597</v>
      </c>
      <c r="M85" s="26" t="n">
        <v>3.5029</v>
      </c>
    </row>
    <row r="86" ht="16" customHeight="1">
      <c r="A86" t="inlineStr">
        <is>
          <t>29-Oct-2025</t>
        </is>
      </c>
      <c r="B86" t="inlineStr">
        <is>
          <t>Wednesday</t>
        </is>
      </c>
      <c r="C86" t="inlineStr">
        <is>
          <t>Week5-Oct-2025</t>
        </is>
      </c>
      <c r="D86" s="78" t="n">
        <v>45931</v>
      </c>
      <c r="E86" t="inlineStr">
        <is>
          <t>Q3FY26</t>
        </is>
      </c>
      <c r="F86" t="inlineStr">
        <is>
          <t>27-Nov-2025</t>
        </is>
      </c>
      <c r="G86" t="inlineStr">
        <is>
          <t>Thursday</t>
        </is>
      </c>
      <c r="H86" t="inlineStr">
        <is>
          <t>Monthly - Thursday</t>
        </is>
      </c>
      <c r="I86" t="inlineStr">
        <is>
          <t>Monthly - Thursday</t>
        </is>
      </c>
      <c r="J86" t="inlineStr">
        <is>
          <t>Month+1 Expiry</t>
        </is>
      </c>
      <c r="K86" s="25" t="n">
        <v>33</v>
      </c>
      <c r="L86" s="26" t="n">
        <v>0.0658</v>
      </c>
      <c r="M86" s="26" t="n">
        <v>0.0009</v>
      </c>
    </row>
    <row r="87" ht="16" customHeight="1">
      <c r="A87" t="inlineStr">
        <is>
          <t>29-Oct-2025</t>
        </is>
      </c>
      <c r="B87" t="inlineStr">
        <is>
          <t>Wednesday</t>
        </is>
      </c>
      <c r="C87" t="inlineStr">
        <is>
          <t>Week5-Oct-2025</t>
        </is>
      </c>
      <c r="D87" s="78" t="n">
        <v>45931</v>
      </c>
      <c r="E87" t="inlineStr">
        <is>
          <t>Q3FY26</t>
        </is>
      </c>
      <c r="F87" t="inlineStr">
        <is>
          <t>24-Dec-2025</t>
        </is>
      </c>
      <c r="G87" t="inlineStr">
        <is>
          <t>Wednesday</t>
        </is>
      </c>
      <c r="H87" t="inlineStr">
        <is>
          <t>Monthly - Wednesday</t>
        </is>
      </c>
      <c r="I87" t="inlineStr">
        <is>
          <t>Monthly - Wednesday</t>
        </is>
      </c>
      <c r="J87" t="inlineStr">
        <is>
          <t>Month+2 Expiry</t>
        </is>
      </c>
      <c r="K87" s="25" t="n">
        <v>4</v>
      </c>
      <c r="L87" s="26" t="n">
        <v>0.008</v>
      </c>
      <c r="M87" s="26" t="n">
        <v>0.0005</v>
      </c>
    </row>
    <row r="88" ht="16" customHeight="1">
      <c r="A88" t="inlineStr">
        <is>
          <t>30-Oct-2025</t>
        </is>
      </c>
      <c r="B88" t="inlineStr">
        <is>
          <t>Thursday</t>
        </is>
      </c>
      <c r="C88" t="inlineStr">
        <is>
          <t>Week5-Oct-2025</t>
        </is>
      </c>
      <c r="D88" s="78" t="n">
        <v>45931</v>
      </c>
      <c r="E88" t="inlineStr">
        <is>
          <t>Q3FY26</t>
        </is>
      </c>
      <c r="F88" t="inlineStr">
        <is>
          <t>30-Oct-2025</t>
        </is>
      </c>
      <c r="G88" t="inlineStr">
        <is>
          <t>Thursday</t>
        </is>
      </c>
      <c r="H88" t="inlineStr">
        <is>
          <t>Monthly - Thursday</t>
        </is>
      </c>
      <c r="I88" t="inlineStr">
        <is>
          <t>Monthly - Thursday</t>
        </is>
      </c>
      <c r="J88" t="inlineStr">
        <is>
          <t>Same Month Expiry</t>
        </is>
      </c>
      <c r="K88" s="25" t="n">
        <v>4978445</v>
      </c>
      <c r="L88" s="26" t="n">
        <v>9783.1805</v>
      </c>
      <c r="M88" s="26" t="n">
        <v>6.6273</v>
      </c>
    </row>
    <row r="89" ht="16" customHeight="1">
      <c r="A89" t="inlineStr">
        <is>
          <t>30-Oct-2025</t>
        </is>
      </c>
      <c r="B89" t="inlineStr">
        <is>
          <t>Thursday</t>
        </is>
      </c>
      <c r="C89" t="inlineStr">
        <is>
          <t>Week5-Oct-2025</t>
        </is>
      </c>
      <c r="D89" s="78" t="n">
        <v>45931</v>
      </c>
      <c r="E89" t="inlineStr">
        <is>
          <t>Q3FY26</t>
        </is>
      </c>
      <c r="F89" t="inlineStr">
        <is>
          <t>27-Nov-2025</t>
        </is>
      </c>
      <c r="G89" t="inlineStr">
        <is>
          <t>Thursday</t>
        </is>
      </c>
      <c r="H89" t="inlineStr">
        <is>
          <t>Monthly - Thursday</t>
        </is>
      </c>
      <c r="I89" t="inlineStr">
        <is>
          <t>Monthly - Thursday</t>
        </is>
      </c>
      <c r="J89" t="inlineStr">
        <is>
          <t>Month+1 Expiry</t>
        </is>
      </c>
      <c r="K89" s="25" t="n">
        <v>172</v>
      </c>
      <c r="L89" s="26" t="n">
        <v>0.3395</v>
      </c>
      <c r="M89" s="26" t="n">
        <v>0.0027</v>
      </c>
    </row>
    <row r="90" ht="16" customHeight="1">
      <c r="A90" t="inlineStr">
        <is>
          <t>31-Oct-2025</t>
        </is>
      </c>
      <c r="B90" t="inlineStr">
        <is>
          <t>Friday</t>
        </is>
      </c>
      <c r="C90" t="inlineStr">
        <is>
          <t>Week5-Oct-2025</t>
        </is>
      </c>
      <c r="D90" s="78" t="n">
        <v>45931</v>
      </c>
      <c r="E90" t="inlineStr">
        <is>
          <t>Q3FY26</t>
        </is>
      </c>
      <c r="F90" t="inlineStr">
        <is>
          <t>27-Nov-2025</t>
        </is>
      </c>
      <c r="G90" t="inlineStr">
        <is>
          <t>Thursday</t>
        </is>
      </c>
      <c r="H90" t="inlineStr">
        <is>
          <t>Monthly - Thursday</t>
        </is>
      </c>
      <c r="I90" t="inlineStr">
        <is>
          <t>Monthly - Thursday</t>
        </is>
      </c>
      <c r="J90" t="inlineStr">
        <is>
          <t>Month+1 Expiry</t>
        </is>
      </c>
      <c r="K90" s="25" t="n">
        <v>1240</v>
      </c>
      <c r="L90" s="26" t="n">
        <v>2.4425</v>
      </c>
      <c r="M90" s="26" t="n">
        <v>0.0214</v>
      </c>
    </row>
    <row r="91" ht="16" customHeight="1">
      <c r="A91" t="inlineStr">
        <is>
          <t>03-Nov-2025</t>
        </is>
      </c>
      <c r="B91" t="inlineStr">
        <is>
          <t>Monday</t>
        </is>
      </c>
      <c r="C91" t="inlineStr">
        <is>
          <t>Week1-Nov-2025</t>
        </is>
      </c>
      <c r="D91" s="78" t="n">
        <v>45962</v>
      </c>
      <c r="E91" t="inlineStr">
        <is>
          <t>Q3FY26</t>
        </is>
      </c>
      <c r="F91" t="inlineStr">
        <is>
          <t>27-Nov-2025</t>
        </is>
      </c>
      <c r="G91" t="inlineStr">
        <is>
          <t>Thursday</t>
        </is>
      </c>
      <c r="H91" t="inlineStr">
        <is>
          <t>Monthly - Thursday</t>
        </is>
      </c>
      <c r="I91" t="inlineStr">
        <is>
          <t>Monthly - Thursday</t>
        </is>
      </c>
      <c r="J91" t="inlineStr">
        <is>
          <t>Same Month Expiry</t>
        </is>
      </c>
      <c r="K91" s="25" t="n">
        <v>1274</v>
      </c>
      <c r="L91" s="26" t="n">
        <v>2.5215</v>
      </c>
      <c r="M91" s="26" t="n">
        <v>0.0218</v>
      </c>
    </row>
    <row r="92" ht="16" customHeight="1">
      <c r="A92" t="inlineStr">
        <is>
          <t>03-Nov-2025</t>
        </is>
      </c>
      <c r="B92" t="inlineStr">
        <is>
          <t>Monday</t>
        </is>
      </c>
      <c r="C92" t="inlineStr">
        <is>
          <t>Week1-Nov-2025</t>
        </is>
      </c>
      <c r="D92" s="78" t="n">
        <v>45962</v>
      </c>
      <c r="E92" t="inlineStr">
        <is>
          <t>Q3FY26</t>
        </is>
      </c>
      <c r="F92" t="inlineStr">
        <is>
          <t>24-Dec-2025</t>
        </is>
      </c>
      <c r="G92" t="inlineStr">
        <is>
          <t>Wednesday</t>
        </is>
      </c>
      <c r="H92" t="inlineStr">
        <is>
          <t>Monthly - Wednesday</t>
        </is>
      </c>
      <c r="I92" t="inlineStr">
        <is>
          <t>Monthly - Wednesday</t>
        </is>
      </c>
      <c r="J92" t="inlineStr">
        <is>
          <t>Month+1 Expiry</t>
        </is>
      </c>
      <c r="K92" s="25" t="n">
        <v>4</v>
      </c>
      <c r="L92" s="26" t="n">
        <v>0.0078</v>
      </c>
      <c r="M92" s="26" t="n">
        <v>0.0002</v>
      </c>
    </row>
    <row r="93" ht="16" customHeight="1">
      <c r="A93" t="inlineStr">
        <is>
          <t>04-Nov-2025</t>
        </is>
      </c>
      <c r="B93" t="inlineStr">
        <is>
          <t>Tuesday</t>
        </is>
      </c>
      <c r="C93" t="inlineStr">
        <is>
          <t>Week1-Nov-2025</t>
        </is>
      </c>
      <c r="D93" s="78" t="n">
        <v>45962</v>
      </c>
      <c r="E93" t="inlineStr">
        <is>
          <t>Q3FY26</t>
        </is>
      </c>
      <c r="F93" t="inlineStr">
        <is>
          <t>27-Nov-2025</t>
        </is>
      </c>
      <c r="G93" t="inlineStr">
        <is>
          <t>Thursday</t>
        </is>
      </c>
      <c r="H93" t="inlineStr">
        <is>
          <t>Monthly - Thursday</t>
        </is>
      </c>
      <c r="I93" t="inlineStr">
        <is>
          <t>Monthly - Thursday</t>
        </is>
      </c>
      <c r="J93" t="inlineStr">
        <is>
          <t>Same Month Expiry</t>
        </is>
      </c>
      <c r="K93" s="25" t="n">
        <v>678</v>
      </c>
      <c r="L93" s="26" t="n">
        <v>1.329</v>
      </c>
      <c r="M93" s="26" t="n">
        <v>0.0098</v>
      </c>
    </row>
    <row r="94" ht="16" customHeight="1">
      <c r="A94" t="inlineStr">
        <is>
          <t>04-Nov-2025</t>
        </is>
      </c>
      <c r="B94" t="inlineStr">
        <is>
          <t>Tuesday</t>
        </is>
      </c>
      <c r="C94" t="inlineStr">
        <is>
          <t>Week1-Nov-2025</t>
        </is>
      </c>
      <c r="D94" s="78" t="n">
        <v>45962</v>
      </c>
      <c r="E94" t="inlineStr">
        <is>
          <t>Q3FY26</t>
        </is>
      </c>
      <c r="F94" t="inlineStr">
        <is>
          <t>24-Dec-2025</t>
        </is>
      </c>
      <c r="G94" t="inlineStr">
        <is>
          <t>Wednesday</t>
        </is>
      </c>
      <c r="H94" t="inlineStr">
        <is>
          <t>Monthly - Wednesday</t>
        </is>
      </c>
      <c r="I94" t="inlineStr">
        <is>
          <t>Monthly - Wednesday</t>
        </is>
      </c>
      <c r="J94" t="inlineStr">
        <is>
          <t>Month+1 Expiry</t>
        </is>
      </c>
      <c r="K94" s="25" t="n">
        <v>3</v>
      </c>
      <c r="L94" s="26" t="n">
        <v>0.0059</v>
      </c>
      <c r="M94" s="26" t="n">
        <v>0.0002</v>
      </c>
    </row>
    <row r="95" ht="16" customHeight="1">
      <c r="A95" t="inlineStr">
        <is>
          <t>06-Nov-2025</t>
        </is>
      </c>
      <c r="B95" t="inlineStr">
        <is>
          <t>Thursday</t>
        </is>
      </c>
      <c r="C95" t="inlineStr">
        <is>
          <t>Week1-Nov-2025</t>
        </is>
      </c>
      <c r="D95" s="78" t="n">
        <v>45962</v>
      </c>
      <c r="E95" t="inlineStr">
        <is>
          <t>Q3FY26</t>
        </is>
      </c>
      <c r="F95" t="inlineStr">
        <is>
          <t>27-Nov-2025</t>
        </is>
      </c>
      <c r="G95" t="inlineStr">
        <is>
          <t>Thursday</t>
        </is>
      </c>
      <c r="H95" t="inlineStr">
        <is>
          <t>Monthly - Thursday</t>
        </is>
      </c>
      <c r="I95" t="inlineStr">
        <is>
          <t>Monthly - Thursday</t>
        </is>
      </c>
      <c r="J95" t="inlineStr">
        <is>
          <t>Same Month Expiry</t>
        </is>
      </c>
      <c r="K95" s="25" t="n">
        <v>1259</v>
      </c>
      <c r="L95" s="26" t="n">
        <v>2.4691</v>
      </c>
      <c r="M95" s="26" t="n">
        <v>0.0162</v>
      </c>
    </row>
    <row r="96" ht="16" customHeight="1">
      <c r="A96" t="inlineStr">
        <is>
          <t>06-Nov-2025</t>
        </is>
      </c>
      <c r="B96" t="inlineStr">
        <is>
          <t>Thursday</t>
        </is>
      </c>
      <c r="C96" t="inlineStr">
        <is>
          <t>Week1-Nov-2025</t>
        </is>
      </c>
      <c r="D96" s="78" t="n">
        <v>45962</v>
      </c>
      <c r="E96" t="inlineStr">
        <is>
          <t>Q3FY26</t>
        </is>
      </c>
      <c r="F96" t="inlineStr">
        <is>
          <t>24-Dec-2025</t>
        </is>
      </c>
      <c r="G96" t="inlineStr">
        <is>
          <t>Wednesday</t>
        </is>
      </c>
      <c r="H96" t="inlineStr">
        <is>
          <t>Monthly - Wednesday</t>
        </is>
      </c>
      <c r="I96" t="inlineStr">
        <is>
          <t>Monthly - Wednesday</t>
        </is>
      </c>
      <c r="J96" t="inlineStr">
        <is>
          <t>Month+1 Expiry</t>
        </is>
      </c>
      <c r="K96" s="25" t="n">
        <v>15</v>
      </c>
      <c r="L96" s="26" t="n">
        <v>0.0283</v>
      </c>
      <c r="M96" s="26" t="n">
        <v>0.0002</v>
      </c>
    </row>
    <row r="97" ht="16" customHeight="1">
      <c r="A97" t="inlineStr">
        <is>
          <t>07-Nov-2025</t>
        </is>
      </c>
      <c r="B97" t="inlineStr">
        <is>
          <t>Friday</t>
        </is>
      </c>
      <c r="C97" t="inlineStr">
        <is>
          <t>Week1-Nov-2025</t>
        </is>
      </c>
      <c r="D97" s="78" t="n">
        <v>45962</v>
      </c>
      <c r="E97" t="inlineStr">
        <is>
          <t>Q3FY26</t>
        </is>
      </c>
      <c r="F97" t="inlineStr">
        <is>
          <t>27-Nov-2025</t>
        </is>
      </c>
      <c r="G97" t="inlineStr">
        <is>
          <t>Thursday</t>
        </is>
      </c>
      <c r="H97" t="inlineStr">
        <is>
          <t>Monthly - Thursday</t>
        </is>
      </c>
      <c r="I97" t="inlineStr">
        <is>
          <t>Monthly - Thursday</t>
        </is>
      </c>
      <c r="J97" t="inlineStr">
        <is>
          <t>Same Month Expiry</t>
        </is>
      </c>
      <c r="K97" s="25" t="n">
        <v>2756</v>
      </c>
      <c r="L97" s="26" t="n">
        <v>5.4335</v>
      </c>
      <c r="M97" s="26" t="n">
        <v>0.0282</v>
      </c>
    </row>
    <row r="98" ht="16" customHeight="1">
      <c r="A98" t="inlineStr">
        <is>
          <t>07-Nov-2025</t>
        </is>
      </c>
      <c r="B98" t="inlineStr">
        <is>
          <t>Friday</t>
        </is>
      </c>
      <c r="C98" t="inlineStr">
        <is>
          <t>Week1-Nov-2025</t>
        </is>
      </c>
      <c r="D98" s="78" t="n">
        <v>45962</v>
      </c>
      <c r="E98" t="inlineStr">
        <is>
          <t>Q3FY26</t>
        </is>
      </c>
      <c r="F98" t="inlineStr">
        <is>
          <t>24-Dec-2025</t>
        </is>
      </c>
      <c r="G98" t="inlineStr">
        <is>
          <t>Wednesday</t>
        </is>
      </c>
      <c r="H98" t="inlineStr">
        <is>
          <t>Monthly - Wednesday</t>
        </is>
      </c>
      <c r="I98" t="inlineStr">
        <is>
          <t>Monthly - Wednesday</t>
        </is>
      </c>
      <c r="J98" t="inlineStr">
        <is>
          <t>Month+1 Expiry</t>
        </is>
      </c>
      <c r="K98" s="25" t="n">
        <v>2</v>
      </c>
      <c r="L98" s="26" t="n">
        <v>0.004</v>
      </c>
      <c r="M98" s="26" t="n">
        <v>0.0001</v>
      </c>
    </row>
    <row r="99" ht="16" customHeight="1">
      <c r="A99" t="inlineStr">
        <is>
          <t>10-Nov-2025</t>
        </is>
      </c>
      <c r="B99" t="inlineStr">
        <is>
          <t>Monday</t>
        </is>
      </c>
      <c r="C99" t="inlineStr">
        <is>
          <t>Week2-Nov-2025</t>
        </is>
      </c>
      <c r="D99" s="78" t="n">
        <v>45962</v>
      </c>
      <c r="E99" t="inlineStr">
        <is>
          <t>Q3FY26</t>
        </is>
      </c>
      <c r="F99" t="inlineStr">
        <is>
          <t>27-Nov-2025</t>
        </is>
      </c>
      <c r="G99" t="inlineStr">
        <is>
          <t>Thursday</t>
        </is>
      </c>
      <c r="H99" t="inlineStr">
        <is>
          <t>Monthly - Thursday</t>
        </is>
      </c>
      <c r="I99" t="inlineStr">
        <is>
          <t>Monthly - Thursday</t>
        </is>
      </c>
      <c r="J99" t="inlineStr">
        <is>
          <t>Same Month Expiry</t>
        </is>
      </c>
      <c r="K99" s="25" t="n">
        <v>1396</v>
      </c>
      <c r="L99" s="26" t="n">
        <v>2.7636</v>
      </c>
      <c r="M99" s="26" t="n">
        <v>0.0142</v>
      </c>
    </row>
    <row r="100" ht="16" customHeight="1">
      <c r="A100" t="inlineStr">
        <is>
          <t>10-Nov-2025</t>
        </is>
      </c>
      <c r="B100" t="inlineStr">
        <is>
          <t>Monday</t>
        </is>
      </c>
      <c r="C100" t="inlineStr">
        <is>
          <t>Week2-Nov-2025</t>
        </is>
      </c>
      <c r="D100" s="78" t="n">
        <v>45962</v>
      </c>
      <c r="E100" t="inlineStr">
        <is>
          <t>Q3FY26</t>
        </is>
      </c>
      <c r="F100" t="inlineStr">
        <is>
          <t>24-Dec-2025</t>
        </is>
      </c>
      <c r="G100" t="inlineStr">
        <is>
          <t>Wednesday</t>
        </is>
      </c>
      <c r="H100" t="inlineStr">
        <is>
          <t>Monthly - Wednesday</t>
        </is>
      </c>
      <c r="I100" t="inlineStr">
        <is>
          <t>Monthly - Wednesday</t>
        </is>
      </c>
      <c r="J100" t="inlineStr">
        <is>
          <t>Month+1 Expiry</t>
        </is>
      </c>
      <c r="K100" s="25" t="n">
        <v>5</v>
      </c>
      <c r="L100" s="26" t="n">
        <v>0.009900000000000001</v>
      </c>
      <c r="M100" s="26" t="n">
        <v>0.0001</v>
      </c>
    </row>
    <row r="101" ht="16" customHeight="1">
      <c r="A101" t="inlineStr">
        <is>
          <t>11-Nov-2025</t>
        </is>
      </c>
      <c r="B101" t="inlineStr">
        <is>
          <t>Tuesday</t>
        </is>
      </c>
      <c r="C101" t="inlineStr">
        <is>
          <t>Week2-Nov-2025</t>
        </is>
      </c>
      <c r="D101" s="78" t="n">
        <v>45962</v>
      </c>
      <c r="E101" t="inlineStr">
        <is>
          <t>Q3FY26</t>
        </is>
      </c>
      <c r="F101" t="inlineStr">
        <is>
          <t>27-Nov-2025</t>
        </is>
      </c>
      <c r="G101" t="inlineStr">
        <is>
          <t>Thursday</t>
        </is>
      </c>
      <c r="H101" t="inlineStr">
        <is>
          <t>Monthly - Thursday</t>
        </is>
      </c>
      <c r="I101" t="inlineStr">
        <is>
          <t>Monthly - Thursday</t>
        </is>
      </c>
      <c r="J101" t="inlineStr">
        <is>
          <t>Same Month Expiry</t>
        </is>
      </c>
      <c r="K101" s="25" t="n">
        <v>1529</v>
      </c>
      <c r="L101" s="26" t="n">
        <v>3.0021</v>
      </c>
      <c r="M101" s="26" t="n">
        <v>0.0179</v>
      </c>
    </row>
    <row r="102" ht="16" customHeight="1">
      <c r="A102" t="inlineStr">
        <is>
          <t>11-Nov-2025</t>
        </is>
      </c>
      <c r="B102" t="inlineStr">
        <is>
          <t>Tuesday</t>
        </is>
      </c>
      <c r="C102" t="inlineStr">
        <is>
          <t>Week2-Nov-2025</t>
        </is>
      </c>
      <c r="D102" s="78" t="n">
        <v>45962</v>
      </c>
      <c r="E102" t="inlineStr">
        <is>
          <t>Q3FY26</t>
        </is>
      </c>
      <c r="F102" t="inlineStr">
        <is>
          <t>24-Dec-2025</t>
        </is>
      </c>
      <c r="G102" t="inlineStr">
        <is>
          <t>Wednesday</t>
        </is>
      </c>
      <c r="H102" t="inlineStr">
        <is>
          <t>Monthly - Wednesday</t>
        </is>
      </c>
      <c r="I102" t="inlineStr">
        <is>
          <t>Monthly - Wednesday</t>
        </is>
      </c>
      <c r="J102" t="inlineStr">
        <is>
          <t>Month+1 Expiry</t>
        </is>
      </c>
      <c r="K102" s="25" t="n">
        <v>46</v>
      </c>
      <c r="L102" s="26" t="n">
        <v>0.09089999999999999</v>
      </c>
      <c r="M102" s="26" t="n">
        <v>0.0012</v>
      </c>
    </row>
    <row r="103" ht="16" customHeight="1">
      <c r="A103" t="inlineStr">
        <is>
          <t>11-Nov-2025</t>
        </is>
      </c>
      <c r="B103" t="inlineStr">
        <is>
          <t>Tuesday</t>
        </is>
      </c>
      <c r="C103" t="inlineStr">
        <is>
          <t>Week2-Nov-2025</t>
        </is>
      </c>
      <c r="D103" s="78" t="n">
        <v>45962</v>
      </c>
      <c r="E103" t="inlineStr">
        <is>
          <t>Q3FY26</t>
        </is>
      </c>
      <c r="F103" t="inlineStr">
        <is>
          <t>29-Jan-2026</t>
        </is>
      </c>
      <c r="G103" t="inlineStr">
        <is>
          <t>Thursday</t>
        </is>
      </c>
      <c r="H103" t="inlineStr">
        <is>
          <t>Monthly - Thursday</t>
        </is>
      </c>
      <c r="I103" t="inlineStr">
        <is>
          <t>Monthly - Thursday</t>
        </is>
      </c>
      <c r="J103" t="inlineStr">
        <is>
          <t>Month+2 Expiry</t>
        </is>
      </c>
      <c r="K103" s="25" t="n">
        <v>7</v>
      </c>
      <c r="L103" s="26" t="n">
        <v>0.0132</v>
      </c>
      <c r="M103" s="26" t="n">
        <v>0.0001</v>
      </c>
    </row>
    <row r="104" ht="16" customHeight="1">
      <c r="A104" t="inlineStr">
        <is>
          <t>12-Nov-2025</t>
        </is>
      </c>
      <c r="B104" t="inlineStr">
        <is>
          <t>Wednesday</t>
        </is>
      </c>
      <c r="C104" t="inlineStr">
        <is>
          <t>Week2-Nov-2025</t>
        </is>
      </c>
      <c r="D104" s="78" t="n">
        <v>45962</v>
      </c>
      <c r="E104" t="inlineStr">
        <is>
          <t>Q3FY26</t>
        </is>
      </c>
      <c r="F104" t="inlineStr">
        <is>
          <t>27-Nov-2025</t>
        </is>
      </c>
      <c r="G104" t="inlineStr">
        <is>
          <t>Thursday</t>
        </is>
      </c>
      <c r="H104" t="inlineStr">
        <is>
          <t>Monthly - Thursday</t>
        </is>
      </c>
      <c r="I104" t="inlineStr">
        <is>
          <t>Monthly - Thursday</t>
        </is>
      </c>
      <c r="J104" t="inlineStr">
        <is>
          <t>Same Month Expiry</t>
        </is>
      </c>
      <c r="K104" s="25" t="n">
        <v>1546</v>
      </c>
      <c r="L104" s="26" t="n">
        <v>3.0642</v>
      </c>
      <c r="M104" s="26" t="n">
        <v>0.0199</v>
      </c>
    </row>
    <row r="105" ht="16" customHeight="1">
      <c r="A105" t="inlineStr">
        <is>
          <t>12-Nov-2025</t>
        </is>
      </c>
      <c r="B105" t="inlineStr">
        <is>
          <t>Wednesday</t>
        </is>
      </c>
      <c r="C105" t="inlineStr">
        <is>
          <t>Week2-Nov-2025</t>
        </is>
      </c>
      <c r="D105" s="78" t="n">
        <v>45962</v>
      </c>
      <c r="E105" t="inlineStr">
        <is>
          <t>Q3FY26</t>
        </is>
      </c>
      <c r="F105" t="inlineStr">
        <is>
          <t>24-Dec-2025</t>
        </is>
      </c>
      <c r="G105" t="inlineStr">
        <is>
          <t>Wednesday</t>
        </is>
      </c>
      <c r="H105" t="inlineStr">
        <is>
          <t>Monthly - Wednesday</t>
        </is>
      </c>
      <c r="I105" t="inlineStr">
        <is>
          <t>Monthly - Wednesday</t>
        </is>
      </c>
      <c r="J105" t="inlineStr">
        <is>
          <t>Month+1 Expiry</t>
        </is>
      </c>
      <c r="K105" s="25" t="n">
        <v>37</v>
      </c>
      <c r="L105" s="26" t="n">
        <v>0.0735</v>
      </c>
      <c r="M105" s="26" t="n">
        <v>0.001</v>
      </c>
    </row>
    <row r="106" ht="16" customHeight="1">
      <c r="A106" t="inlineStr">
        <is>
          <t>13-Nov-2025</t>
        </is>
      </c>
      <c r="B106" t="inlineStr">
        <is>
          <t>Thursday</t>
        </is>
      </c>
      <c r="C106" t="inlineStr">
        <is>
          <t>Week2-Nov-2025</t>
        </is>
      </c>
      <c r="D106" s="78" t="n">
        <v>45962</v>
      </c>
      <c r="E106" t="inlineStr">
        <is>
          <t>Q3FY26</t>
        </is>
      </c>
      <c r="F106" t="inlineStr">
        <is>
          <t>27-Nov-2025</t>
        </is>
      </c>
      <c r="G106" t="inlineStr">
        <is>
          <t>Thursday</t>
        </is>
      </c>
      <c r="H106" t="inlineStr">
        <is>
          <t>Monthly - Thursday</t>
        </is>
      </c>
      <c r="I106" t="inlineStr">
        <is>
          <t>Monthly - Thursday</t>
        </is>
      </c>
      <c r="J106" t="inlineStr">
        <is>
          <t>Same Month Expiry</t>
        </is>
      </c>
      <c r="K106" s="25" t="n">
        <v>2023</v>
      </c>
      <c r="L106" s="26" t="n">
        <v>3.9667</v>
      </c>
      <c r="M106" s="26" t="n">
        <v>0.0219</v>
      </c>
    </row>
    <row r="107" ht="16" customHeight="1">
      <c r="A107" t="inlineStr">
        <is>
          <t>13-Nov-2025</t>
        </is>
      </c>
      <c r="B107" t="inlineStr">
        <is>
          <t>Thursday</t>
        </is>
      </c>
      <c r="C107" t="inlineStr">
        <is>
          <t>Week2-Nov-2025</t>
        </is>
      </c>
      <c r="D107" s="78" t="n">
        <v>45962</v>
      </c>
      <c r="E107" t="inlineStr">
        <is>
          <t>Q3FY26</t>
        </is>
      </c>
      <c r="F107" t="inlineStr">
        <is>
          <t>24-Dec-2025</t>
        </is>
      </c>
      <c r="G107" t="inlineStr">
        <is>
          <t>Wednesday</t>
        </is>
      </c>
      <c r="H107" t="inlineStr">
        <is>
          <t>Monthly - Wednesday</t>
        </is>
      </c>
      <c r="I107" t="inlineStr">
        <is>
          <t>Monthly - Wednesday</t>
        </is>
      </c>
      <c r="J107" t="inlineStr">
        <is>
          <t>Month+1 Expiry</t>
        </is>
      </c>
      <c r="K107" s="25" t="n">
        <v>9</v>
      </c>
      <c r="L107" s="26" t="n">
        <v>0.0176</v>
      </c>
      <c r="M107" s="26" t="n">
        <v>0.0002</v>
      </c>
    </row>
    <row r="108" ht="16" customHeight="1">
      <c r="A108" t="inlineStr">
        <is>
          <t>14-Nov-2025</t>
        </is>
      </c>
      <c r="B108" t="inlineStr">
        <is>
          <t>Friday</t>
        </is>
      </c>
      <c r="C108" t="inlineStr">
        <is>
          <t>Week2-Nov-2025</t>
        </is>
      </c>
      <c r="D108" s="78" t="n">
        <v>45962</v>
      </c>
      <c r="E108" t="inlineStr">
        <is>
          <t>Q3FY26</t>
        </is>
      </c>
      <c r="F108" t="inlineStr">
        <is>
          <t>27-Nov-2025</t>
        </is>
      </c>
      <c r="G108" t="inlineStr">
        <is>
          <t>Thursday</t>
        </is>
      </c>
      <c r="H108" t="inlineStr">
        <is>
          <t>Monthly - Thursday</t>
        </is>
      </c>
      <c r="I108" t="inlineStr">
        <is>
          <t>Monthly - Thursday</t>
        </is>
      </c>
      <c r="J108" t="inlineStr">
        <is>
          <t>Same Month Expiry</t>
        </is>
      </c>
      <c r="K108" s="25" t="n">
        <v>2700</v>
      </c>
      <c r="L108" s="26" t="n">
        <v>5.3128</v>
      </c>
      <c r="M108" s="26" t="n">
        <v>0.0322</v>
      </c>
    </row>
    <row r="109" ht="16" customHeight="1">
      <c r="A109" t="inlineStr">
        <is>
          <t>14-Nov-2025</t>
        </is>
      </c>
      <c r="B109" t="inlineStr">
        <is>
          <t>Friday</t>
        </is>
      </c>
      <c r="C109" t="inlineStr">
        <is>
          <t>Week2-Nov-2025</t>
        </is>
      </c>
      <c r="D109" s="78" t="n">
        <v>45962</v>
      </c>
      <c r="E109" t="inlineStr">
        <is>
          <t>Q3FY26</t>
        </is>
      </c>
      <c r="F109" t="inlineStr">
        <is>
          <t>24-Dec-2025</t>
        </is>
      </c>
      <c r="G109" t="inlineStr">
        <is>
          <t>Wednesday</t>
        </is>
      </c>
      <c r="H109" t="inlineStr">
        <is>
          <t>Monthly - Wednesday</t>
        </is>
      </c>
      <c r="I109" t="inlineStr">
        <is>
          <t>Monthly - Wednesday</t>
        </is>
      </c>
      <c r="J109" t="inlineStr">
        <is>
          <t>Month+1 Expiry</t>
        </is>
      </c>
      <c r="K109" s="25" t="n">
        <v>1</v>
      </c>
      <c r="L109" s="26" t="n">
        <v>0.002</v>
      </c>
      <c r="M109" s="26" t="n">
        <v>0</v>
      </c>
    </row>
    <row r="110" ht="16" customHeight="1">
      <c r="A110" t="inlineStr">
        <is>
          <t>17-Nov-2025</t>
        </is>
      </c>
      <c r="B110" t="inlineStr">
        <is>
          <t>Monday</t>
        </is>
      </c>
      <c r="C110" t="inlineStr">
        <is>
          <t>Week3-Nov-2025</t>
        </is>
      </c>
      <c r="D110" s="78" t="n">
        <v>45962</v>
      </c>
      <c r="E110" t="inlineStr">
        <is>
          <t>Q3FY26</t>
        </is>
      </c>
      <c r="F110" t="inlineStr">
        <is>
          <t>27-Nov-2025</t>
        </is>
      </c>
      <c r="G110" t="inlineStr">
        <is>
          <t>Thursday</t>
        </is>
      </c>
      <c r="H110" t="inlineStr">
        <is>
          <t>Monthly - Thursday</t>
        </is>
      </c>
      <c r="I110" t="inlineStr">
        <is>
          <t>Monthly - Thursday</t>
        </is>
      </c>
      <c r="J110" t="inlineStr">
        <is>
          <t>Same Month Expiry</t>
        </is>
      </c>
      <c r="K110" s="25" t="n">
        <v>2907</v>
      </c>
      <c r="L110" s="26" t="n">
        <v>5.7644</v>
      </c>
      <c r="M110" s="26" t="n">
        <v>0.0323</v>
      </c>
    </row>
    <row r="111" ht="16" customHeight="1">
      <c r="A111" t="inlineStr">
        <is>
          <t>17-Nov-2025</t>
        </is>
      </c>
      <c r="B111" t="inlineStr">
        <is>
          <t>Monday</t>
        </is>
      </c>
      <c r="C111" t="inlineStr">
        <is>
          <t>Week3-Nov-2025</t>
        </is>
      </c>
      <c r="D111" s="78" t="n">
        <v>45962</v>
      </c>
      <c r="E111" t="inlineStr">
        <is>
          <t>Q3FY26</t>
        </is>
      </c>
      <c r="F111" t="inlineStr">
        <is>
          <t>24-Dec-2025</t>
        </is>
      </c>
      <c r="G111" t="inlineStr">
        <is>
          <t>Wednesday</t>
        </is>
      </c>
      <c r="H111" t="inlineStr">
        <is>
          <t>Monthly - Wednesday</t>
        </is>
      </c>
      <c r="I111" t="inlineStr">
        <is>
          <t>Monthly - Wednesday</t>
        </is>
      </c>
      <c r="J111" t="inlineStr">
        <is>
          <t>Month+1 Expiry</t>
        </is>
      </c>
      <c r="K111" s="25" t="n">
        <v>6</v>
      </c>
      <c r="L111" s="26" t="n">
        <v>0.0121</v>
      </c>
      <c r="M111" s="26" t="n">
        <v>0.0002</v>
      </c>
    </row>
    <row r="112" ht="16" customHeight="1">
      <c r="A112" t="inlineStr">
        <is>
          <t>18-Nov-2025</t>
        </is>
      </c>
      <c r="B112" t="inlineStr">
        <is>
          <t>Tuesday</t>
        </is>
      </c>
      <c r="C112" t="inlineStr">
        <is>
          <t>Week3-Nov-2025</t>
        </is>
      </c>
      <c r="D112" s="78" t="n">
        <v>45962</v>
      </c>
      <c r="E112" t="inlineStr">
        <is>
          <t>Q3FY26</t>
        </is>
      </c>
      <c r="F112" t="inlineStr">
        <is>
          <t>27-Nov-2025</t>
        </is>
      </c>
      <c r="G112" t="inlineStr">
        <is>
          <t>Thursday</t>
        </is>
      </c>
      <c r="H112" t="inlineStr">
        <is>
          <t>Monthly - Thursday</t>
        </is>
      </c>
      <c r="I112" t="inlineStr">
        <is>
          <t>Monthly - Thursday</t>
        </is>
      </c>
      <c r="J112" t="inlineStr">
        <is>
          <t>Same Month Expiry</t>
        </is>
      </c>
      <c r="K112" s="25" t="n">
        <v>3933</v>
      </c>
      <c r="L112" s="26" t="n">
        <v>7.8213</v>
      </c>
      <c r="M112" s="26" t="n">
        <v>0.0389</v>
      </c>
    </row>
    <row r="113" ht="16" customHeight="1">
      <c r="A113" t="inlineStr">
        <is>
          <t>18-Nov-2025</t>
        </is>
      </c>
      <c r="B113" t="inlineStr">
        <is>
          <t>Tuesday</t>
        </is>
      </c>
      <c r="C113" t="inlineStr">
        <is>
          <t>Week3-Nov-2025</t>
        </is>
      </c>
      <c r="D113" s="78" t="n">
        <v>45962</v>
      </c>
      <c r="E113" t="inlineStr">
        <is>
          <t>Q3FY26</t>
        </is>
      </c>
      <c r="F113" t="inlineStr">
        <is>
          <t>24-Dec-2025</t>
        </is>
      </c>
      <c r="G113" t="inlineStr">
        <is>
          <t>Wednesday</t>
        </is>
      </c>
      <c r="H113" t="inlineStr">
        <is>
          <t>Monthly - Wednesday</t>
        </is>
      </c>
      <c r="I113" t="inlineStr">
        <is>
          <t>Monthly - Wednesday</t>
        </is>
      </c>
      <c r="J113" t="inlineStr">
        <is>
          <t>Month+1 Expiry</t>
        </is>
      </c>
      <c r="K113" s="25" t="n">
        <v>0</v>
      </c>
      <c r="L113" s="26" t="n">
        <v>0</v>
      </c>
      <c r="M113" s="26" t="n">
        <v>0</v>
      </c>
    </row>
    <row r="114" ht="16" customHeight="1">
      <c r="A114" t="inlineStr">
        <is>
          <t>19-Nov-2025</t>
        </is>
      </c>
      <c r="B114" t="inlineStr">
        <is>
          <t>Wednesday</t>
        </is>
      </c>
      <c r="C114" t="inlineStr">
        <is>
          <t>Week3-Nov-2025</t>
        </is>
      </c>
      <c r="D114" s="78" t="n">
        <v>45962</v>
      </c>
      <c r="E114" t="inlineStr">
        <is>
          <t>Q3FY26</t>
        </is>
      </c>
      <c r="F114" t="inlineStr">
        <is>
          <t>27-Nov-2025</t>
        </is>
      </c>
      <c r="G114" t="inlineStr">
        <is>
          <t>Thursday</t>
        </is>
      </c>
      <c r="H114" t="inlineStr">
        <is>
          <t>Monthly - Thursday</t>
        </is>
      </c>
      <c r="I114" t="inlineStr">
        <is>
          <t>Monthly - Thursday</t>
        </is>
      </c>
      <c r="J114" t="inlineStr">
        <is>
          <t>Same Month Expiry</t>
        </is>
      </c>
      <c r="K114" s="25" t="n">
        <v>5796</v>
      </c>
      <c r="L114" s="26" t="n">
        <v>11.5364</v>
      </c>
      <c r="M114" s="26" t="n">
        <v>0.0464</v>
      </c>
    </row>
    <row r="115" ht="16" customHeight="1">
      <c r="A115" t="inlineStr">
        <is>
          <t>19-Nov-2025</t>
        </is>
      </c>
      <c r="B115" t="inlineStr">
        <is>
          <t>Wednesday</t>
        </is>
      </c>
      <c r="C115" t="inlineStr">
        <is>
          <t>Week3-Nov-2025</t>
        </is>
      </c>
      <c r="D115" s="78" t="n">
        <v>45962</v>
      </c>
      <c r="E115" t="inlineStr">
        <is>
          <t>Q3FY26</t>
        </is>
      </c>
      <c r="F115" t="inlineStr">
        <is>
          <t>24-Dec-2025</t>
        </is>
      </c>
      <c r="G115" t="inlineStr">
        <is>
          <t>Wednesday</t>
        </is>
      </c>
      <c r="H115" t="inlineStr">
        <is>
          <t>Monthly - Wednesday</t>
        </is>
      </c>
      <c r="I115" t="inlineStr">
        <is>
          <t>Monthly - Wednesday</t>
        </is>
      </c>
      <c r="J115" t="inlineStr">
        <is>
          <t>Month+1 Expiry</t>
        </is>
      </c>
      <c r="K115" s="25" t="n">
        <v>2</v>
      </c>
      <c r="L115" s="26" t="n">
        <v>0.0039</v>
      </c>
      <c r="M115" s="26" t="n">
        <v>0</v>
      </c>
    </row>
    <row r="116" ht="16" customHeight="1">
      <c r="A116" t="inlineStr">
        <is>
          <t>20-Nov-2025</t>
        </is>
      </c>
      <c r="B116" t="inlineStr">
        <is>
          <t>Thursday</t>
        </is>
      </c>
      <c r="C116" t="inlineStr">
        <is>
          <t>Week3-Nov-2025</t>
        </is>
      </c>
      <c r="D116" s="78" t="n">
        <v>45962</v>
      </c>
      <c r="E116" t="inlineStr">
        <is>
          <t>Q3FY26</t>
        </is>
      </c>
      <c r="F116" t="inlineStr">
        <is>
          <t>27-Nov-2025</t>
        </is>
      </c>
      <c r="G116" t="inlineStr">
        <is>
          <t>Thursday</t>
        </is>
      </c>
      <c r="H116" t="inlineStr">
        <is>
          <t>Monthly - Thursday</t>
        </is>
      </c>
      <c r="I116" t="inlineStr">
        <is>
          <t>Monthly - Thursday</t>
        </is>
      </c>
      <c r="J116" t="inlineStr">
        <is>
          <t>Same Month Expiry</t>
        </is>
      </c>
      <c r="K116" s="25" t="n">
        <v>5271</v>
      </c>
      <c r="L116" s="26" t="n">
        <v>10.5716</v>
      </c>
      <c r="M116" s="26" t="n">
        <v>0.0453</v>
      </c>
    </row>
    <row r="117" ht="16" customHeight="1">
      <c r="A117" t="inlineStr">
        <is>
          <t>20-Nov-2025</t>
        </is>
      </c>
      <c r="B117" t="inlineStr">
        <is>
          <t>Thursday</t>
        </is>
      </c>
      <c r="C117" t="inlineStr">
        <is>
          <t>Week3-Nov-2025</t>
        </is>
      </c>
      <c r="D117" s="78" t="n">
        <v>45962</v>
      </c>
      <c r="E117" t="inlineStr">
        <is>
          <t>Q3FY26</t>
        </is>
      </c>
      <c r="F117" t="inlineStr">
        <is>
          <t>24-Dec-2025</t>
        </is>
      </c>
      <c r="G117" t="inlineStr">
        <is>
          <t>Wednesday</t>
        </is>
      </c>
      <c r="H117" t="inlineStr">
        <is>
          <t>Monthly - Wednesday</t>
        </is>
      </c>
      <c r="I117" t="inlineStr">
        <is>
          <t>Monthly - Wednesday</t>
        </is>
      </c>
      <c r="J117" t="inlineStr">
        <is>
          <t>Month+1 Expiry</t>
        </is>
      </c>
      <c r="K117" s="25" t="n">
        <v>0</v>
      </c>
      <c r="L117" s="26" t="n">
        <v>0</v>
      </c>
      <c r="M117" s="26" t="n">
        <v>0</v>
      </c>
    </row>
    <row r="118" ht="16" customHeight="1">
      <c r="A118" t="inlineStr">
        <is>
          <t>21-Nov-2025</t>
        </is>
      </c>
      <c r="B118" t="inlineStr">
        <is>
          <t>Friday</t>
        </is>
      </c>
      <c r="C118" t="inlineStr">
        <is>
          <t>Week3-Nov-2025</t>
        </is>
      </c>
      <c r="D118" s="78" t="n">
        <v>45962</v>
      </c>
      <c r="E118" t="inlineStr">
        <is>
          <t>Q3FY26</t>
        </is>
      </c>
      <c r="F118" t="inlineStr">
        <is>
          <t>27-Nov-2025</t>
        </is>
      </c>
      <c r="G118" t="inlineStr">
        <is>
          <t>Thursday</t>
        </is>
      </c>
      <c r="H118" t="inlineStr">
        <is>
          <t>Monthly - Thursday</t>
        </is>
      </c>
      <c r="I118" t="inlineStr">
        <is>
          <t>Monthly - Thursday</t>
        </is>
      </c>
      <c r="J118" t="inlineStr">
        <is>
          <t>Same Month Expiry</t>
        </is>
      </c>
      <c r="K118" s="25" t="n">
        <v>7542</v>
      </c>
      <c r="L118" s="26" t="n">
        <v>15.0903</v>
      </c>
      <c r="M118" s="26" t="n">
        <v>0.06279999999999999</v>
      </c>
    </row>
    <row r="119" ht="16" customHeight="1">
      <c r="A119" t="inlineStr">
        <is>
          <t>21-Nov-2025</t>
        </is>
      </c>
      <c r="B119" t="inlineStr">
        <is>
          <t>Friday</t>
        </is>
      </c>
      <c r="C119" t="inlineStr">
        <is>
          <t>Week3-Nov-2025</t>
        </is>
      </c>
      <c r="D119" s="78" t="n">
        <v>45962</v>
      </c>
      <c r="E119" t="inlineStr">
        <is>
          <t>Q3FY26</t>
        </is>
      </c>
      <c r="F119" t="inlineStr">
        <is>
          <t>24-Dec-2025</t>
        </is>
      </c>
      <c r="G119" t="inlineStr">
        <is>
          <t>Wednesday</t>
        </is>
      </c>
      <c r="H119" t="inlineStr">
        <is>
          <t>Monthly - Wednesday</t>
        </is>
      </c>
      <c r="I119" t="inlineStr">
        <is>
          <t>Monthly - Wednesday</t>
        </is>
      </c>
      <c r="J119" t="inlineStr">
        <is>
          <t>Month+1 Expiry</t>
        </is>
      </c>
      <c r="K119" s="25" t="n">
        <v>1</v>
      </c>
      <c r="L119" s="26" t="n">
        <v>0.002</v>
      </c>
      <c r="M119" s="26" t="n">
        <v>0</v>
      </c>
    </row>
    <row r="120" ht="16" customHeight="1">
      <c r="A120" t="inlineStr">
        <is>
          <t>24-Nov-2025</t>
        </is>
      </c>
      <c r="B120" t="inlineStr">
        <is>
          <t>Monday</t>
        </is>
      </c>
      <c r="C120" t="inlineStr">
        <is>
          <t>Week4-Nov-2025</t>
        </is>
      </c>
      <c r="D120" s="78" t="n">
        <v>45962</v>
      </c>
      <c r="E120" t="inlineStr">
        <is>
          <t>Q3FY26</t>
        </is>
      </c>
      <c r="F120" t="inlineStr">
        <is>
          <t>27-Nov-2025</t>
        </is>
      </c>
      <c r="G120" t="inlineStr">
        <is>
          <t>Thursday</t>
        </is>
      </c>
      <c r="H120" t="inlineStr">
        <is>
          <t>Monthly - Thursday</t>
        </is>
      </c>
      <c r="I120" t="inlineStr">
        <is>
          <t>Monthly - Thursday</t>
        </is>
      </c>
      <c r="J120" t="inlineStr">
        <is>
          <t>Same Month Expiry</t>
        </is>
      </c>
      <c r="K120" s="25" t="n">
        <v>18719</v>
      </c>
      <c r="L120" s="26" t="n">
        <v>37.3735</v>
      </c>
      <c r="M120" s="26" t="n">
        <v>0.1136</v>
      </c>
    </row>
    <row r="121" ht="16" customHeight="1">
      <c r="A121" t="inlineStr">
        <is>
          <t>24-Nov-2025</t>
        </is>
      </c>
      <c r="B121" t="inlineStr">
        <is>
          <t>Monday</t>
        </is>
      </c>
      <c r="C121" t="inlineStr">
        <is>
          <t>Week4-Nov-2025</t>
        </is>
      </c>
      <c r="D121" s="78" t="n">
        <v>45962</v>
      </c>
      <c r="E121" t="inlineStr">
        <is>
          <t>Q3FY26</t>
        </is>
      </c>
      <c r="F121" t="inlineStr">
        <is>
          <t>24-Dec-2025</t>
        </is>
      </c>
      <c r="G121" t="inlineStr">
        <is>
          <t>Wednesday</t>
        </is>
      </c>
      <c r="H121" t="inlineStr">
        <is>
          <t>Monthly - Wednesday</t>
        </is>
      </c>
      <c r="I121" t="inlineStr">
        <is>
          <t>Monthly - Wednesday</t>
        </is>
      </c>
      <c r="J121" t="inlineStr">
        <is>
          <t>Month+1 Expiry</t>
        </is>
      </c>
      <c r="K121" s="25" t="n">
        <v>0</v>
      </c>
      <c r="L121" s="26" t="n">
        <v>0</v>
      </c>
      <c r="M121" s="26" t="n">
        <v>0</v>
      </c>
    </row>
    <row r="122" ht="16" customHeight="1">
      <c r="A122" t="inlineStr">
        <is>
          <t>25-Nov-2025</t>
        </is>
      </c>
      <c r="B122" t="inlineStr">
        <is>
          <t>Tuesday</t>
        </is>
      </c>
      <c r="C122" t="inlineStr">
        <is>
          <t>Week4-Nov-2025</t>
        </is>
      </c>
      <c r="D122" s="78" t="n">
        <v>45962</v>
      </c>
      <c r="E122" t="inlineStr">
        <is>
          <t>Q3FY26</t>
        </is>
      </c>
      <c r="F122" t="inlineStr">
        <is>
          <t>27-Nov-2025</t>
        </is>
      </c>
      <c r="G122" t="inlineStr">
        <is>
          <t>Thursday</t>
        </is>
      </c>
      <c r="H122" t="inlineStr">
        <is>
          <t>Monthly - Thursday</t>
        </is>
      </c>
      <c r="I122" t="inlineStr">
        <is>
          <t>Monthly - Thursday</t>
        </is>
      </c>
      <c r="J122" t="inlineStr">
        <is>
          <t>Same Month Expiry</t>
        </is>
      </c>
      <c r="K122" s="25" t="n">
        <v>39960</v>
      </c>
      <c r="L122" s="26" t="n">
        <v>79.3558</v>
      </c>
      <c r="M122" s="26" t="n">
        <v>0.1913</v>
      </c>
    </row>
    <row r="123" ht="16" customHeight="1">
      <c r="A123" t="inlineStr">
        <is>
          <t>25-Nov-2025</t>
        </is>
      </c>
      <c r="B123" t="inlineStr">
        <is>
          <t>Tuesday</t>
        </is>
      </c>
      <c r="C123" t="inlineStr">
        <is>
          <t>Week4-Nov-2025</t>
        </is>
      </c>
      <c r="D123" s="78" t="n">
        <v>45962</v>
      </c>
      <c r="E123" t="inlineStr">
        <is>
          <t>Q3FY26</t>
        </is>
      </c>
      <c r="F123" t="inlineStr">
        <is>
          <t>24-Dec-2025</t>
        </is>
      </c>
      <c r="G123" t="inlineStr">
        <is>
          <t>Wednesday</t>
        </is>
      </c>
      <c r="H123" t="inlineStr">
        <is>
          <t>Monthly - Wednesday</t>
        </is>
      </c>
      <c r="I123" t="inlineStr">
        <is>
          <t>Monthly - Wednesday</t>
        </is>
      </c>
      <c r="J123" t="inlineStr">
        <is>
          <t>Month+1 Expiry</t>
        </is>
      </c>
      <c r="K123" s="25" t="n">
        <v>7</v>
      </c>
      <c r="L123" s="26" t="n">
        <v>0.013</v>
      </c>
      <c r="M123" s="26" t="n">
        <v>0</v>
      </c>
    </row>
    <row r="124" ht="16" customHeight="1">
      <c r="A124" t="inlineStr">
        <is>
          <t>26-Nov-2025</t>
        </is>
      </c>
      <c r="B124" t="inlineStr">
        <is>
          <t>Wednesday</t>
        </is>
      </c>
      <c r="C124" t="inlineStr">
        <is>
          <t>Week4-Nov-2025</t>
        </is>
      </c>
      <c r="D124" s="78" t="n">
        <v>45962</v>
      </c>
      <c r="E124" t="inlineStr">
        <is>
          <t>Q3FY26</t>
        </is>
      </c>
      <c r="F124" t="inlineStr">
        <is>
          <t>27-Nov-2025</t>
        </is>
      </c>
      <c r="G124" t="inlineStr">
        <is>
          <t>Thursday</t>
        </is>
      </c>
      <c r="H124" t="inlineStr">
        <is>
          <t>Monthly - Thursday</t>
        </is>
      </c>
      <c r="I124" t="inlineStr">
        <is>
          <t>Monthly - Thursday</t>
        </is>
      </c>
      <c r="J124" t="inlineStr">
        <is>
          <t>Same Month Expiry</t>
        </is>
      </c>
      <c r="K124" s="25" t="n">
        <v>870644</v>
      </c>
      <c r="L124" s="26" t="n">
        <v>1741.4713</v>
      </c>
      <c r="M124" s="26" t="n">
        <v>2.9644</v>
      </c>
    </row>
    <row r="125" ht="16" customHeight="1">
      <c r="A125" t="inlineStr">
        <is>
          <t>26-Nov-2025</t>
        </is>
      </c>
      <c r="B125" t="inlineStr">
        <is>
          <t>Wednesday</t>
        </is>
      </c>
      <c r="C125" t="inlineStr">
        <is>
          <t>Week4-Nov-2025</t>
        </is>
      </c>
      <c r="D125" s="78" t="n">
        <v>45962</v>
      </c>
      <c r="E125" t="inlineStr">
        <is>
          <t>Q3FY26</t>
        </is>
      </c>
      <c r="F125" t="inlineStr">
        <is>
          <t>24-Dec-2025</t>
        </is>
      </c>
      <c r="G125" t="inlineStr">
        <is>
          <t>Wednesday</t>
        </is>
      </c>
      <c r="H125" t="inlineStr">
        <is>
          <t>Monthly - Wednesday</t>
        </is>
      </c>
      <c r="I125" t="inlineStr">
        <is>
          <t>Monthly - Wednesday</t>
        </is>
      </c>
      <c r="J125" t="inlineStr">
        <is>
          <t>Month+1 Expiry</t>
        </is>
      </c>
      <c r="K125" s="25" t="n">
        <v>24</v>
      </c>
      <c r="L125" s="26" t="n">
        <v>0.0457</v>
      </c>
      <c r="M125" s="26" t="n">
        <v>0</v>
      </c>
    </row>
    <row r="126" ht="16" customHeight="1">
      <c r="A126" t="inlineStr">
        <is>
          <t>27-Nov-2025</t>
        </is>
      </c>
      <c r="B126" t="inlineStr">
        <is>
          <t>Thursday</t>
        </is>
      </c>
      <c r="C126" t="inlineStr">
        <is>
          <t>Week4-Nov-2025</t>
        </is>
      </c>
      <c r="D126" s="78" t="n">
        <v>45962</v>
      </c>
      <c r="E126" t="inlineStr">
        <is>
          <t>Q3FY26</t>
        </is>
      </c>
      <c r="F126" t="inlineStr">
        <is>
          <t>27-Nov-2025</t>
        </is>
      </c>
      <c r="G126" t="inlineStr">
        <is>
          <t>Thursday</t>
        </is>
      </c>
      <c r="H126" t="inlineStr">
        <is>
          <t>Monthly - Thursday</t>
        </is>
      </c>
      <c r="I126" t="inlineStr">
        <is>
          <t>Monthly - Thursday</t>
        </is>
      </c>
      <c r="J126" t="inlineStr">
        <is>
          <t>Same Month Expiry</t>
        </is>
      </c>
      <c r="K126" s="25" t="n">
        <v>6809087</v>
      </c>
      <c r="L126" s="26" t="n">
        <v>13672.3833</v>
      </c>
      <c r="M126" s="26" t="n">
        <v>8.92</v>
      </c>
    </row>
    <row r="127" ht="16" customHeight="1">
      <c r="A127" t="inlineStr">
        <is>
          <t>27-Nov-2025</t>
        </is>
      </c>
      <c r="B127" t="inlineStr">
        <is>
          <t>Thursday</t>
        </is>
      </c>
      <c r="C127" t="inlineStr">
        <is>
          <t>Week4-Nov-2025</t>
        </is>
      </c>
      <c r="D127" s="78" t="n">
        <v>45962</v>
      </c>
      <c r="E127" t="inlineStr">
        <is>
          <t>Q3FY26</t>
        </is>
      </c>
      <c r="F127" t="inlineStr">
        <is>
          <t>24-Dec-2025</t>
        </is>
      </c>
      <c r="G127" t="inlineStr">
        <is>
          <t>Wednesday</t>
        </is>
      </c>
      <c r="H127" t="inlineStr">
        <is>
          <t>Monthly - Wednesday</t>
        </is>
      </c>
      <c r="I127" t="inlineStr">
        <is>
          <t>Monthly - Wednesday</t>
        </is>
      </c>
      <c r="J127" t="inlineStr">
        <is>
          <t>Month+1 Expiry</t>
        </is>
      </c>
      <c r="K127" s="25" t="n">
        <v>948</v>
      </c>
      <c r="L127" s="26" t="n">
        <v>1.8943</v>
      </c>
      <c r="M127" s="26" t="n">
        <v>0.0108</v>
      </c>
    </row>
    <row r="128" ht="16" customHeight="1">
      <c r="A128" t="inlineStr">
        <is>
          <t>28-Nov-2025</t>
        </is>
      </c>
      <c r="B128" t="inlineStr">
        <is>
          <t>Friday</t>
        </is>
      </c>
      <c r="C128" t="inlineStr">
        <is>
          <t>Week4-Nov-2025</t>
        </is>
      </c>
      <c r="D128" s="78" t="n">
        <v>45962</v>
      </c>
      <c r="E128" t="inlineStr">
        <is>
          <t>Q3FY26</t>
        </is>
      </c>
      <c r="F128" t="inlineStr">
        <is>
          <t>24-Dec-2025</t>
        </is>
      </c>
      <c r="G128" t="inlineStr">
        <is>
          <t>Wednesday</t>
        </is>
      </c>
      <c r="H128" t="inlineStr">
        <is>
          <t>Monthly - Wednesday</t>
        </is>
      </c>
      <c r="I128" t="inlineStr">
        <is>
          <t>Monthly - Wednesday</t>
        </is>
      </c>
      <c r="J128" t="inlineStr">
        <is>
          <t>Month+1 Expiry</t>
        </is>
      </c>
      <c r="K128" s="25" t="n">
        <v>2768</v>
      </c>
      <c r="L128" s="26" t="n">
        <v>5.6048</v>
      </c>
      <c r="M128" s="26" t="n">
        <v>0.0468</v>
      </c>
    </row>
    <row r="129" ht="16" customHeight="1">
      <c r="A129" t="inlineStr">
        <is>
          <t>01-Dec-2025</t>
        </is>
      </c>
      <c r="B129" t="inlineStr">
        <is>
          <t>Monday</t>
        </is>
      </c>
      <c r="C129" t="inlineStr">
        <is>
          <t>Week1-Dec-2025</t>
        </is>
      </c>
      <c r="D129" s="78" t="n">
        <v>45992</v>
      </c>
      <c r="E129" t="inlineStr">
        <is>
          <t>Q3FY26</t>
        </is>
      </c>
      <c r="F129" t="inlineStr">
        <is>
          <t>24-Dec-2025</t>
        </is>
      </c>
      <c r="G129" t="inlineStr">
        <is>
          <t>Wednesday</t>
        </is>
      </c>
      <c r="H129" t="inlineStr">
        <is>
          <t>Monthly - Wednesday</t>
        </is>
      </c>
      <c r="I129" t="inlineStr">
        <is>
          <t>Monthly - Wednesday</t>
        </is>
      </c>
      <c r="J129" t="inlineStr">
        <is>
          <t>Same Month Expiry</t>
        </is>
      </c>
      <c r="K129" s="25" t="n">
        <v>2680</v>
      </c>
      <c r="L129" s="26" t="n">
        <v>5.4539</v>
      </c>
      <c r="M129" s="26" t="n">
        <v>0.0418</v>
      </c>
    </row>
    <row r="130" ht="16" customHeight="1">
      <c r="A130" t="inlineStr">
        <is>
          <t>02-Dec-2025</t>
        </is>
      </c>
      <c r="B130" t="inlineStr">
        <is>
          <t>Tuesday</t>
        </is>
      </c>
      <c r="C130" t="inlineStr">
        <is>
          <t>Week1-Dec-2025</t>
        </is>
      </c>
      <c r="D130" s="78" t="n">
        <v>45992</v>
      </c>
      <c r="E130" t="inlineStr">
        <is>
          <t>Q3FY26</t>
        </is>
      </c>
      <c r="F130" t="inlineStr">
        <is>
          <t>24-Dec-2025</t>
        </is>
      </c>
      <c r="G130" t="inlineStr">
        <is>
          <t>Wednesday</t>
        </is>
      </c>
      <c r="H130" t="inlineStr">
        <is>
          <t>Monthly - Wednesday</t>
        </is>
      </c>
      <c r="I130" t="inlineStr">
        <is>
          <t>Monthly - Wednesday</t>
        </is>
      </c>
      <c r="J130" t="inlineStr">
        <is>
          <t>Same Month Expiry</t>
        </is>
      </c>
      <c r="K130" s="25" t="n">
        <v>1672</v>
      </c>
      <c r="L130" s="26" t="n">
        <v>3.3808</v>
      </c>
      <c r="M130" s="26" t="n">
        <v>0.0217</v>
      </c>
    </row>
    <row r="131" ht="16" customHeight="1">
      <c r="A131" t="inlineStr">
        <is>
          <t>03-Dec-2025</t>
        </is>
      </c>
      <c r="B131" t="inlineStr">
        <is>
          <t>Wednesday</t>
        </is>
      </c>
      <c r="C131" t="inlineStr">
        <is>
          <t>Week1-Dec-2025</t>
        </is>
      </c>
      <c r="D131" s="78" t="n">
        <v>45992</v>
      </c>
      <c r="E131" t="inlineStr">
        <is>
          <t>Q3FY26</t>
        </is>
      </c>
      <c r="F131" t="inlineStr">
        <is>
          <t>24-Dec-2025</t>
        </is>
      </c>
      <c r="G131" t="inlineStr">
        <is>
          <t>Wednesday</t>
        </is>
      </c>
      <c r="H131" t="inlineStr">
        <is>
          <t>Monthly - Wednesday</t>
        </is>
      </c>
      <c r="I131" t="inlineStr">
        <is>
          <t>Monthly - Wednesday</t>
        </is>
      </c>
      <c r="J131" t="inlineStr">
        <is>
          <t>Same Month Expiry</t>
        </is>
      </c>
      <c r="K131" s="25" t="n">
        <v>1498</v>
      </c>
      <c r="L131" s="26" t="n">
        <v>3.0274</v>
      </c>
      <c r="M131" s="26" t="n">
        <v>0.0195</v>
      </c>
    </row>
    <row r="132" ht="16" customHeight="1">
      <c r="A132" t="inlineStr">
        <is>
          <t>04-Dec-2025</t>
        </is>
      </c>
      <c r="B132" t="inlineStr">
        <is>
          <t>Thursday</t>
        </is>
      </c>
      <c r="C132" t="inlineStr">
        <is>
          <t>Week1-Dec-2025</t>
        </is>
      </c>
      <c r="D132" s="78" t="n">
        <v>45992</v>
      </c>
      <c r="E132" t="inlineStr">
        <is>
          <t>Q3FY26</t>
        </is>
      </c>
      <c r="F132" t="inlineStr">
        <is>
          <t>24-Dec-2025</t>
        </is>
      </c>
      <c r="G132" t="inlineStr">
        <is>
          <t>Wednesday</t>
        </is>
      </c>
      <c r="H132" t="inlineStr">
        <is>
          <t>Monthly - Wednesday</t>
        </is>
      </c>
      <c r="I132" t="inlineStr">
        <is>
          <t>Monthly - Wednesday</t>
        </is>
      </c>
      <c r="J132" t="inlineStr">
        <is>
          <t>Same Month Expiry</t>
        </is>
      </c>
      <c r="K132" s="25" t="n">
        <v>1693</v>
      </c>
      <c r="L132" s="26" t="n">
        <v>3.4104</v>
      </c>
      <c r="M132" s="26" t="n">
        <v>0.0223</v>
      </c>
    </row>
    <row r="133" ht="16" customHeight="1">
      <c r="A133" t="inlineStr">
        <is>
          <t>04-Dec-2025</t>
        </is>
      </c>
      <c r="B133" t="inlineStr">
        <is>
          <t>Thursday</t>
        </is>
      </c>
      <c r="C133" t="inlineStr">
        <is>
          <t>Week1-Dec-2025</t>
        </is>
      </c>
      <c r="D133" s="78" t="n">
        <v>45992</v>
      </c>
      <c r="E133" t="inlineStr">
        <is>
          <t>Q3FY26</t>
        </is>
      </c>
      <c r="F133" t="inlineStr">
        <is>
          <t>29-Jan-2026</t>
        </is>
      </c>
      <c r="G133" t="inlineStr">
        <is>
          <t>Thursday</t>
        </is>
      </c>
      <c r="H133" t="inlineStr">
        <is>
          <t>Monthly - Thursday</t>
        </is>
      </c>
      <c r="I133" t="inlineStr">
        <is>
          <t>Monthly - Thursday</t>
        </is>
      </c>
      <c r="J133" t="inlineStr">
        <is>
          <t>Month+1 Expiry</t>
        </is>
      </c>
      <c r="K133" s="25" t="n">
        <v>11</v>
      </c>
      <c r="L133" s="26" t="n">
        <v>0.0222</v>
      </c>
      <c r="M133" s="26" t="n">
        <v>0.0009</v>
      </c>
    </row>
    <row r="134" ht="16" customHeight="1">
      <c r="A134" t="inlineStr">
        <is>
          <t>05-Dec-2025</t>
        </is>
      </c>
      <c r="B134" t="inlineStr">
        <is>
          <t>Friday</t>
        </is>
      </c>
      <c r="C134" t="inlineStr">
        <is>
          <t>Week1-Dec-2025</t>
        </is>
      </c>
      <c r="D134" s="78" t="n">
        <v>45992</v>
      </c>
      <c r="E134" t="inlineStr">
        <is>
          <t>Q3FY26</t>
        </is>
      </c>
      <c r="F134" t="inlineStr">
        <is>
          <t>24-Dec-2025</t>
        </is>
      </c>
      <c r="G134" t="inlineStr">
        <is>
          <t>Wednesday</t>
        </is>
      </c>
      <c r="H134" t="inlineStr">
        <is>
          <t>Monthly - Wednesday</t>
        </is>
      </c>
      <c r="I134" t="inlineStr">
        <is>
          <t>Monthly - Wednesday</t>
        </is>
      </c>
      <c r="J134" t="inlineStr">
        <is>
          <t>Same Month Expiry</t>
        </is>
      </c>
      <c r="K134" s="25" t="n">
        <v>3703</v>
      </c>
      <c r="L134" s="26" t="n">
        <v>7.49</v>
      </c>
      <c r="M134" s="26" t="n">
        <v>0.0386</v>
      </c>
    </row>
    <row r="135" ht="16" customHeight="1">
      <c r="A135" t="inlineStr">
        <is>
          <t>05-Dec-2025</t>
        </is>
      </c>
      <c r="B135" t="inlineStr">
        <is>
          <t>Friday</t>
        </is>
      </c>
      <c r="C135" t="inlineStr">
        <is>
          <t>Week1-Dec-2025</t>
        </is>
      </c>
      <c r="D135" s="78" t="n">
        <v>45992</v>
      </c>
      <c r="E135" t="inlineStr">
        <is>
          <t>Q3FY26</t>
        </is>
      </c>
      <c r="F135" t="inlineStr">
        <is>
          <t>29-Jan-2026</t>
        </is>
      </c>
      <c r="G135" t="inlineStr">
        <is>
          <t>Thursday</t>
        </is>
      </c>
      <c r="H135" t="inlineStr">
        <is>
          <t>Monthly - Thursday</t>
        </is>
      </c>
      <c r="I135" t="inlineStr">
        <is>
          <t>Monthly - Thursday</t>
        </is>
      </c>
      <c r="J135" t="inlineStr">
        <is>
          <t>Month+1 Expiry</t>
        </is>
      </c>
      <c r="K135" s="25" t="n">
        <v>1</v>
      </c>
      <c r="L135" s="26" t="n">
        <v>0.002</v>
      </c>
      <c r="M135" s="26" t="n">
        <v>0.0001</v>
      </c>
    </row>
    <row r="136" ht="16" customHeight="1">
      <c r="A136" t="inlineStr">
        <is>
          <t>08-Dec-2025</t>
        </is>
      </c>
      <c r="B136" t="inlineStr">
        <is>
          <t>Monday</t>
        </is>
      </c>
      <c r="C136" t="inlineStr">
        <is>
          <t>Week2-Dec-2025</t>
        </is>
      </c>
      <c r="D136" s="78" t="n">
        <v>45992</v>
      </c>
      <c r="E136" t="inlineStr">
        <is>
          <t>Q3FY26</t>
        </is>
      </c>
      <c r="F136" t="inlineStr">
        <is>
          <t>24-Dec-2025</t>
        </is>
      </c>
      <c r="G136" t="inlineStr">
        <is>
          <t>Wednesday</t>
        </is>
      </c>
      <c r="H136" t="inlineStr">
        <is>
          <t>Monthly - Wednesday</t>
        </is>
      </c>
      <c r="I136" t="inlineStr">
        <is>
          <t>Monthly - Wednesday</t>
        </is>
      </c>
      <c r="J136" t="inlineStr">
        <is>
          <t>Same Month Expiry</t>
        </is>
      </c>
      <c r="K136" s="25" t="n">
        <v>2722</v>
      </c>
      <c r="L136" s="26" t="n">
        <v>5.4873</v>
      </c>
      <c r="M136" s="26" t="n">
        <v>0.0332</v>
      </c>
    </row>
    <row r="137" ht="16" customHeight="1">
      <c r="A137" t="inlineStr">
        <is>
          <t>08-Dec-2025</t>
        </is>
      </c>
      <c r="B137" t="inlineStr">
        <is>
          <t>Monday</t>
        </is>
      </c>
      <c r="C137" t="inlineStr">
        <is>
          <t>Week2-Dec-2025</t>
        </is>
      </c>
      <c r="D137" s="78" t="n">
        <v>45992</v>
      </c>
      <c r="E137" t="inlineStr">
        <is>
          <t>Q3FY26</t>
        </is>
      </c>
      <c r="F137" t="inlineStr">
        <is>
          <t>29-Jan-2026</t>
        </is>
      </c>
      <c r="G137" t="inlineStr">
        <is>
          <t>Thursday</t>
        </is>
      </c>
      <c r="H137" t="inlineStr">
        <is>
          <t>Monthly - Thursday</t>
        </is>
      </c>
      <c r="I137" t="inlineStr">
        <is>
          <t>Monthly - Thursday</t>
        </is>
      </c>
      <c r="J137" t="inlineStr">
        <is>
          <t>Month+1 Expiry</t>
        </is>
      </c>
      <c r="K137" s="25" t="n">
        <v>0</v>
      </c>
      <c r="L137" s="26" t="n">
        <v>0</v>
      </c>
      <c r="M137" s="26" t="n">
        <v>0</v>
      </c>
    </row>
    <row r="138" ht="16" customHeight="1">
      <c r="A138" t="inlineStr">
        <is>
          <t>09-Dec-2025</t>
        </is>
      </c>
      <c r="B138" t="inlineStr">
        <is>
          <t>Tuesday</t>
        </is>
      </c>
      <c r="C138" t="inlineStr">
        <is>
          <t>Week2-Dec-2025</t>
        </is>
      </c>
      <c r="D138" s="78" t="n">
        <v>45992</v>
      </c>
      <c r="E138" t="inlineStr">
        <is>
          <t>Q3FY26</t>
        </is>
      </c>
      <c r="F138" t="inlineStr">
        <is>
          <t>24-Dec-2025</t>
        </is>
      </c>
      <c r="G138" t="inlineStr">
        <is>
          <t>Wednesday</t>
        </is>
      </c>
      <c r="H138" t="inlineStr">
        <is>
          <t>Monthly - Wednesday</t>
        </is>
      </c>
      <c r="I138" t="inlineStr">
        <is>
          <t>Monthly - Wednesday</t>
        </is>
      </c>
      <c r="J138" t="inlineStr">
        <is>
          <t>Same Month Expiry</t>
        </is>
      </c>
      <c r="K138" s="25" t="n">
        <v>3096</v>
      </c>
      <c r="L138" s="26" t="n">
        <v>6.2141</v>
      </c>
      <c r="M138" s="26" t="n">
        <v>0.0284</v>
      </c>
    </row>
    <row r="139" ht="16" customHeight="1">
      <c r="A139" t="inlineStr">
        <is>
          <t>09-Dec-2025</t>
        </is>
      </c>
      <c r="B139" t="inlineStr">
        <is>
          <t>Tuesday</t>
        </is>
      </c>
      <c r="C139" t="inlineStr">
        <is>
          <t>Week2-Dec-2025</t>
        </is>
      </c>
      <c r="D139" s="78" t="n">
        <v>45992</v>
      </c>
      <c r="E139" t="inlineStr">
        <is>
          <t>Q3FY26</t>
        </is>
      </c>
      <c r="F139" t="inlineStr">
        <is>
          <t>29-Jan-2026</t>
        </is>
      </c>
      <c r="G139" t="inlineStr">
        <is>
          <t>Thursday</t>
        </is>
      </c>
      <c r="H139" t="inlineStr">
        <is>
          <t>Monthly - Thursday</t>
        </is>
      </c>
      <c r="I139" t="inlineStr">
        <is>
          <t>Monthly - Thursday</t>
        </is>
      </c>
      <c r="J139" t="inlineStr">
        <is>
          <t>Month+1 Expiry</t>
        </is>
      </c>
      <c r="K139" s="25" t="n">
        <v>0</v>
      </c>
      <c r="L139" s="26" t="n">
        <v>0</v>
      </c>
      <c r="M139" s="26" t="n">
        <v>0</v>
      </c>
    </row>
    <row r="140" ht="16" customHeight="1">
      <c r="A140" t="inlineStr">
        <is>
          <t>10-Dec-2025</t>
        </is>
      </c>
      <c r="B140" t="inlineStr">
        <is>
          <t>Wednesday</t>
        </is>
      </c>
      <c r="C140" t="inlineStr">
        <is>
          <t>Week2-Dec-2025</t>
        </is>
      </c>
      <c r="D140" s="78" t="n">
        <v>45992</v>
      </c>
      <c r="E140" t="inlineStr">
        <is>
          <t>Q3FY26</t>
        </is>
      </c>
      <c r="F140" t="inlineStr">
        <is>
          <t>24-Dec-2025</t>
        </is>
      </c>
      <c r="G140" t="inlineStr">
        <is>
          <t>Wednesday</t>
        </is>
      </c>
      <c r="H140" t="inlineStr">
        <is>
          <t>Monthly - Wednesday</t>
        </is>
      </c>
      <c r="I140" t="inlineStr">
        <is>
          <t>Monthly - Wednesday</t>
        </is>
      </c>
      <c r="J140" t="inlineStr">
        <is>
          <t>Same Month Expiry</t>
        </is>
      </c>
      <c r="K140" s="25" t="n">
        <v>4106</v>
      </c>
      <c r="L140" s="26" t="n">
        <v>8.171799999999999</v>
      </c>
      <c r="M140" s="26" t="n">
        <v>0.038</v>
      </c>
    </row>
    <row r="141" ht="16" customHeight="1">
      <c r="A141" t="inlineStr">
        <is>
          <t>10-Dec-2025</t>
        </is>
      </c>
      <c r="B141" t="inlineStr">
        <is>
          <t>Wednesday</t>
        </is>
      </c>
      <c r="C141" t="inlineStr">
        <is>
          <t>Week2-Dec-2025</t>
        </is>
      </c>
      <c r="D141" s="78" t="n">
        <v>45992</v>
      </c>
      <c r="E141" t="inlineStr">
        <is>
          <t>Q3FY26</t>
        </is>
      </c>
      <c r="F141" t="inlineStr">
        <is>
          <t>29-Jan-2026</t>
        </is>
      </c>
      <c r="G141" t="inlineStr">
        <is>
          <t>Thursday</t>
        </is>
      </c>
      <c r="H141" t="inlineStr">
        <is>
          <t>Monthly - Thursday</t>
        </is>
      </c>
      <c r="I141" t="inlineStr">
        <is>
          <t>Monthly - Thursday</t>
        </is>
      </c>
      <c r="J141" t="inlineStr">
        <is>
          <t>Month+1 Expiry</t>
        </is>
      </c>
      <c r="K141" s="25" t="n">
        <v>0</v>
      </c>
      <c r="L141" s="26" t="n">
        <v>0</v>
      </c>
      <c r="M141" s="26" t="n">
        <v>0</v>
      </c>
    </row>
    <row r="142" ht="16" customHeight="1">
      <c r="A142" t="inlineStr">
        <is>
          <t>11-Dec-2025</t>
        </is>
      </c>
      <c r="B142" t="inlineStr">
        <is>
          <t>Thursday</t>
        </is>
      </c>
      <c r="C142" t="inlineStr">
        <is>
          <t>Week2-Dec-2025</t>
        </is>
      </c>
      <c r="D142" s="78" t="n">
        <v>45992</v>
      </c>
      <c r="E142" t="inlineStr">
        <is>
          <t>Q3FY26</t>
        </is>
      </c>
      <c r="F142" t="inlineStr">
        <is>
          <t>24-Dec-2025</t>
        </is>
      </c>
      <c r="G142" t="inlineStr">
        <is>
          <t>Wednesday</t>
        </is>
      </c>
      <c r="H142" t="inlineStr">
        <is>
          <t>Monthly - Wednesday</t>
        </is>
      </c>
      <c r="I142" t="inlineStr">
        <is>
          <t>Monthly - Wednesday</t>
        </is>
      </c>
      <c r="J142" t="inlineStr">
        <is>
          <t>Same Month Expiry</t>
        </is>
      </c>
      <c r="K142" s="25" t="n">
        <v>4232</v>
      </c>
      <c r="L142" s="26" t="n">
        <v>8.517099999999999</v>
      </c>
      <c r="M142" s="26" t="n">
        <v>0.041</v>
      </c>
    </row>
    <row r="143" ht="16" customHeight="1">
      <c r="A143" t="inlineStr">
        <is>
          <t>11-Dec-2025</t>
        </is>
      </c>
      <c r="B143" t="inlineStr">
        <is>
          <t>Thursday</t>
        </is>
      </c>
      <c r="C143" t="inlineStr">
        <is>
          <t>Week2-Dec-2025</t>
        </is>
      </c>
      <c r="D143" s="78" t="n">
        <v>45992</v>
      </c>
      <c r="E143" t="inlineStr">
        <is>
          <t>Q3FY26</t>
        </is>
      </c>
      <c r="F143" t="inlineStr">
        <is>
          <t>29-Jan-2026</t>
        </is>
      </c>
      <c r="G143" t="inlineStr">
        <is>
          <t>Thursday</t>
        </is>
      </c>
      <c r="H143" t="inlineStr">
        <is>
          <t>Monthly - Thursday</t>
        </is>
      </c>
      <c r="I143" t="inlineStr">
        <is>
          <t>Monthly - Thursday</t>
        </is>
      </c>
      <c r="J143" t="inlineStr">
        <is>
          <t>Month+1 Expiry</t>
        </is>
      </c>
      <c r="K143" s="25" t="n">
        <v>0</v>
      </c>
      <c r="L143" s="26" t="n">
        <v>0</v>
      </c>
      <c r="M143" s="26" t="n">
        <v>0</v>
      </c>
    </row>
    <row r="144" ht="16" customHeight="1">
      <c r="A144" t="inlineStr">
        <is>
          <t>12-Dec-2025</t>
        </is>
      </c>
      <c r="B144" t="inlineStr">
        <is>
          <t>Friday</t>
        </is>
      </c>
      <c r="C144" t="inlineStr">
        <is>
          <t>Week2-Dec-2025</t>
        </is>
      </c>
      <c r="D144" s="78" t="n">
        <v>45992</v>
      </c>
      <c r="E144" t="inlineStr">
        <is>
          <t>Q3FY26</t>
        </is>
      </c>
      <c r="F144" t="inlineStr">
        <is>
          <t>24-Dec-2025</t>
        </is>
      </c>
      <c r="G144" t="inlineStr">
        <is>
          <t>Wednesday</t>
        </is>
      </c>
      <c r="H144" t="inlineStr">
        <is>
          <t>Monthly - Wednesday</t>
        </is>
      </c>
      <c r="I144" t="inlineStr">
        <is>
          <t>Monthly - Wednesday</t>
        </is>
      </c>
      <c r="J144" t="inlineStr">
        <is>
          <t>Same Month Expiry</t>
        </is>
      </c>
      <c r="K144" s="25" t="n">
        <v>3664</v>
      </c>
      <c r="L144" s="26" t="n">
        <v>7.3744</v>
      </c>
      <c r="M144" s="26" t="n">
        <v>0.0307</v>
      </c>
    </row>
    <row r="145" ht="16" customHeight="1">
      <c r="A145" t="inlineStr">
        <is>
          <t>12-Dec-2025</t>
        </is>
      </c>
      <c r="B145" t="inlineStr">
        <is>
          <t>Friday</t>
        </is>
      </c>
      <c r="C145" t="inlineStr">
        <is>
          <t>Week2-Dec-2025</t>
        </is>
      </c>
      <c r="D145" s="78" t="n">
        <v>45992</v>
      </c>
      <c r="E145" t="inlineStr">
        <is>
          <t>Q3FY26</t>
        </is>
      </c>
      <c r="F145" t="inlineStr">
        <is>
          <t>29-Jan-2026</t>
        </is>
      </c>
      <c r="G145" t="inlineStr">
        <is>
          <t>Thursday</t>
        </is>
      </c>
      <c r="H145" t="inlineStr">
        <is>
          <t>Monthly - Thursday</t>
        </is>
      </c>
      <c r="I145" t="inlineStr">
        <is>
          <t>Monthly - Thursday</t>
        </is>
      </c>
      <c r="J145" t="inlineStr">
        <is>
          <t>Month+1 Expiry</t>
        </is>
      </c>
      <c r="K145" s="25" t="n">
        <v>0</v>
      </c>
      <c r="L145" s="26" t="n">
        <v>0</v>
      </c>
      <c r="M145" s="26" t="n">
        <v>0</v>
      </c>
    </row>
    <row r="146" ht="16" customHeight="1">
      <c r="A146" t="inlineStr">
        <is>
          <t>15-Dec-2025</t>
        </is>
      </c>
      <c r="B146" t="inlineStr">
        <is>
          <t>Monday</t>
        </is>
      </c>
      <c r="C146" t="inlineStr">
        <is>
          <t>Week3-Dec-2025</t>
        </is>
      </c>
      <c r="D146" s="78" t="n">
        <v>45992</v>
      </c>
      <c r="E146" t="inlineStr">
        <is>
          <t>Q3FY26</t>
        </is>
      </c>
      <c r="F146" t="inlineStr">
        <is>
          <t>24-Dec-2025</t>
        </is>
      </c>
      <c r="G146" t="inlineStr">
        <is>
          <t>Wednesday</t>
        </is>
      </c>
      <c r="H146" t="inlineStr">
        <is>
          <t>Monthly - Wednesday</t>
        </is>
      </c>
      <c r="I146" t="inlineStr">
        <is>
          <t>Monthly - Wednesday</t>
        </is>
      </c>
      <c r="J146" t="inlineStr">
        <is>
          <t>Same Month Expiry</t>
        </is>
      </c>
      <c r="K146" s="25" t="n">
        <v>3419</v>
      </c>
      <c r="L146" s="26" t="n">
        <v>6.9023</v>
      </c>
      <c r="M146" s="26" t="n">
        <v>0.0286</v>
      </c>
    </row>
    <row r="147" ht="16" customHeight="1">
      <c r="A147" t="inlineStr">
        <is>
          <t>15-Dec-2025</t>
        </is>
      </c>
      <c r="B147" t="inlineStr">
        <is>
          <t>Monday</t>
        </is>
      </c>
      <c r="C147" t="inlineStr">
        <is>
          <t>Week3-Dec-2025</t>
        </is>
      </c>
      <c r="D147" s="78" t="n">
        <v>45992</v>
      </c>
      <c r="E147" t="inlineStr">
        <is>
          <t>Q3FY26</t>
        </is>
      </c>
      <c r="F147" t="inlineStr">
        <is>
          <t>29-Jan-2026</t>
        </is>
      </c>
      <c r="G147" t="inlineStr">
        <is>
          <t>Thursday</t>
        </is>
      </c>
      <c r="H147" t="inlineStr">
        <is>
          <t>Monthly - Thursday</t>
        </is>
      </c>
      <c r="I147" t="inlineStr">
        <is>
          <t>Monthly - Thursday</t>
        </is>
      </c>
      <c r="J147" t="inlineStr">
        <is>
          <t>Month+1 Expiry</t>
        </is>
      </c>
      <c r="K147" s="25" t="n">
        <v>0</v>
      </c>
      <c r="L147" s="26" t="n">
        <v>0</v>
      </c>
      <c r="M147" s="26" t="n">
        <v>0</v>
      </c>
    </row>
    <row r="148" ht="16" customHeight="1">
      <c r="A148" t="inlineStr">
        <is>
          <t>16-Dec-2025</t>
        </is>
      </c>
      <c r="B148" t="inlineStr">
        <is>
          <t>Tuesday</t>
        </is>
      </c>
      <c r="C148" t="inlineStr">
        <is>
          <t>Week3-Dec-2025</t>
        </is>
      </c>
      <c r="D148" s="78" t="n">
        <v>45992</v>
      </c>
      <c r="E148" t="inlineStr">
        <is>
          <t>Q3FY26</t>
        </is>
      </c>
      <c r="F148" t="inlineStr">
        <is>
          <t>24-Dec-2025</t>
        </is>
      </c>
      <c r="G148" t="inlineStr">
        <is>
          <t>Wednesday</t>
        </is>
      </c>
      <c r="H148" t="inlineStr">
        <is>
          <t>Monthly - Wednesday</t>
        </is>
      </c>
      <c r="I148" t="inlineStr">
        <is>
          <t>Monthly - Wednesday</t>
        </is>
      </c>
      <c r="J148" t="inlineStr">
        <is>
          <t>Same Month Expiry</t>
        </is>
      </c>
      <c r="K148" s="25" t="n">
        <v>8489</v>
      </c>
      <c r="L148" s="26" t="n">
        <v>17.0144</v>
      </c>
      <c r="M148" s="26" t="n">
        <v>0.0682</v>
      </c>
    </row>
    <row r="149" ht="16" customHeight="1">
      <c r="A149" t="inlineStr">
        <is>
          <t>16-Dec-2025</t>
        </is>
      </c>
      <c r="B149" t="inlineStr">
        <is>
          <t>Tuesday</t>
        </is>
      </c>
      <c r="C149" t="inlineStr">
        <is>
          <t>Week3-Dec-2025</t>
        </is>
      </c>
      <c r="D149" s="78" t="n">
        <v>45992</v>
      </c>
      <c r="E149" t="inlineStr">
        <is>
          <t>Q3FY26</t>
        </is>
      </c>
      <c r="F149" t="inlineStr">
        <is>
          <t>29-Jan-2026</t>
        </is>
      </c>
      <c r="G149" t="inlineStr">
        <is>
          <t>Thursday</t>
        </is>
      </c>
      <c r="H149" t="inlineStr">
        <is>
          <t>Monthly - Thursday</t>
        </is>
      </c>
      <c r="I149" t="inlineStr">
        <is>
          <t>Monthly - Thursday</t>
        </is>
      </c>
      <c r="J149" t="inlineStr">
        <is>
          <t>Month+1 Expiry</t>
        </is>
      </c>
      <c r="K149" s="25" t="n">
        <v>1</v>
      </c>
      <c r="L149" s="26" t="n">
        <v>0.0018</v>
      </c>
      <c r="M149" s="26" t="n">
        <v>0</v>
      </c>
    </row>
    <row r="150" ht="16" customHeight="1">
      <c r="A150" t="inlineStr">
        <is>
          <t>16-Dec-2025</t>
        </is>
      </c>
      <c r="B150" t="inlineStr">
        <is>
          <t>Tuesday</t>
        </is>
      </c>
      <c r="C150" t="inlineStr">
        <is>
          <t>Week3-Dec-2025</t>
        </is>
      </c>
      <c r="D150" s="78" t="n">
        <v>45992</v>
      </c>
      <c r="E150" t="inlineStr">
        <is>
          <t>Q3FY26</t>
        </is>
      </c>
      <c r="F150" t="inlineStr">
        <is>
          <t>26-Feb-2026</t>
        </is>
      </c>
      <c r="G150" t="inlineStr">
        <is>
          <t>Thursday</t>
        </is>
      </c>
      <c r="H150" t="inlineStr">
        <is>
          <t>Monthly - Thursday</t>
        </is>
      </c>
      <c r="I150" t="inlineStr">
        <is>
          <t>Monthly - Thursday</t>
        </is>
      </c>
      <c r="J150" t="inlineStr">
        <is>
          <t>Month+2 Expiry</t>
        </is>
      </c>
      <c r="K150" s="25" t="n">
        <v>0</v>
      </c>
      <c r="L150" s="26" t="n">
        <v>0</v>
      </c>
      <c r="M150" s="26" t="n">
        <v>0</v>
      </c>
    </row>
    <row r="151" ht="16" customHeight="1">
      <c r="A151" t="inlineStr">
        <is>
          <t>17-Dec-2025</t>
        </is>
      </c>
      <c r="B151" t="inlineStr">
        <is>
          <t>Wednesday</t>
        </is>
      </c>
      <c r="C151" t="inlineStr">
        <is>
          <t>Week3-Dec-2025</t>
        </is>
      </c>
      <c r="D151" s="78" t="n">
        <v>45992</v>
      </c>
      <c r="E151" t="inlineStr">
        <is>
          <t>Q3FY26</t>
        </is>
      </c>
      <c r="F151" t="inlineStr">
        <is>
          <t>24-Dec-2025</t>
        </is>
      </c>
      <c r="G151" t="inlineStr">
        <is>
          <t>Wednesday</t>
        </is>
      </c>
      <c r="H151" t="inlineStr">
        <is>
          <t>Monthly - Wednesday</t>
        </is>
      </c>
      <c r="I151" t="inlineStr">
        <is>
          <t>Monthly - Wednesday</t>
        </is>
      </c>
      <c r="J151" t="inlineStr">
        <is>
          <t>Same Month Expiry</t>
        </is>
      </c>
      <c r="K151" s="25" t="n">
        <v>9577</v>
      </c>
      <c r="L151" s="26" t="n">
        <v>19.1758</v>
      </c>
      <c r="M151" s="26" t="n">
        <v>0.06510000000000001</v>
      </c>
    </row>
    <row r="152" ht="16" customHeight="1">
      <c r="A152" t="inlineStr">
        <is>
          <t>17-Dec-2025</t>
        </is>
      </c>
      <c r="B152" t="inlineStr">
        <is>
          <t>Wednesday</t>
        </is>
      </c>
      <c r="C152" t="inlineStr">
        <is>
          <t>Week3-Dec-2025</t>
        </is>
      </c>
      <c r="D152" s="78" t="n">
        <v>45992</v>
      </c>
      <c r="E152" t="inlineStr">
        <is>
          <t>Q3FY26</t>
        </is>
      </c>
      <c r="F152" t="inlineStr">
        <is>
          <t>29-Jan-2026</t>
        </is>
      </c>
      <c r="G152" t="inlineStr">
        <is>
          <t>Thursday</t>
        </is>
      </c>
      <c r="H152" t="inlineStr">
        <is>
          <t>Monthly - Thursday</t>
        </is>
      </c>
      <c r="I152" t="inlineStr">
        <is>
          <t>Monthly - Thursday</t>
        </is>
      </c>
      <c r="J152" t="inlineStr">
        <is>
          <t>Month+1 Expiry</t>
        </is>
      </c>
      <c r="K152" s="25" t="n">
        <v>0</v>
      </c>
      <c r="L152" s="26" t="n">
        <v>0</v>
      </c>
      <c r="M152" s="26" t="n">
        <v>0</v>
      </c>
    </row>
    <row r="153" ht="16" customHeight="1">
      <c r="A153" t="inlineStr">
        <is>
          <t>17-Dec-2025</t>
        </is>
      </c>
      <c r="B153" t="inlineStr">
        <is>
          <t>Wednesday</t>
        </is>
      </c>
      <c r="C153" t="inlineStr">
        <is>
          <t>Week3-Dec-2025</t>
        </is>
      </c>
      <c r="D153" s="78" t="n">
        <v>45992</v>
      </c>
      <c r="E153" t="inlineStr">
        <is>
          <t>Q3FY26</t>
        </is>
      </c>
      <c r="F153" t="inlineStr">
        <is>
          <t>26-Feb-2026</t>
        </is>
      </c>
      <c r="G153" t="inlineStr">
        <is>
          <t>Thursday</t>
        </is>
      </c>
      <c r="H153" t="inlineStr">
        <is>
          <t>Monthly - Thursday</t>
        </is>
      </c>
      <c r="I153" t="inlineStr">
        <is>
          <t>Monthly - Thursday</t>
        </is>
      </c>
      <c r="J153" t="inlineStr">
        <is>
          <t>Month+2 Expiry</t>
        </is>
      </c>
      <c r="K153" s="25" t="n">
        <v>0</v>
      </c>
      <c r="L153" s="26" t="n">
        <v>0</v>
      </c>
      <c r="M153" s="26" t="n">
        <v>0</v>
      </c>
    </row>
    <row r="154" ht="16" customHeight="1">
      <c r="A154" t="inlineStr">
        <is>
          <t>18-Dec-2025</t>
        </is>
      </c>
      <c r="B154" t="inlineStr">
        <is>
          <t>Thursday</t>
        </is>
      </c>
      <c r="C154" t="inlineStr">
        <is>
          <t>Week3-Dec-2025</t>
        </is>
      </c>
      <c r="D154" s="78" t="n">
        <v>45992</v>
      </c>
      <c r="E154" t="inlineStr">
        <is>
          <t>Q3FY26</t>
        </is>
      </c>
      <c r="F154" t="inlineStr">
        <is>
          <t>24-Dec-2025</t>
        </is>
      </c>
      <c r="G154" t="inlineStr">
        <is>
          <t>Wednesday</t>
        </is>
      </c>
      <c r="H154" t="inlineStr">
        <is>
          <t>Monthly - Wednesday</t>
        </is>
      </c>
      <c r="I154" t="inlineStr">
        <is>
          <t>Monthly - Wednesday</t>
        </is>
      </c>
      <c r="J154" t="inlineStr">
        <is>
          <t>Same Month Expiry</t>
        </is>
      </c>
      <c r="K154" s="25" t="n">
        <v>12385</v>
      </c>
      <c r="L154" s="26" t="n">
        <v>24.6849</v>
      </c>
      <c r="M154" s="26" t="n">
        <v>0.0713</v>
      </c>
    </row>
    <row r="155" ht="16" customHeight="1">
      <c r="A155" t="inlineStr">
        <is>
          <t>18-Dec-2025</t>
        </is>
      </c>
      <c r="B155" t="inlineStr">
        <is>
          <t>Thursday</t>
        </is>
      </c>
      <c r="C155" t="inlineStr">
        <is>
          <t>Week3-Dec-2025</t>
        </is>
      </c>
      <c r="D155" s="78" t="n">
        <v>45992</v>
      </c>
      <c r="E155" t="inlineStr">
        <is>
          <t>Q3FY26</t>
        </is>
      </c>
      <c r="F155" t="inlineStr">
        <is>
          <t>29-Jan-2026</t>
        </is>
      </c>
      <c r="G155" t="inlineStr">
        <is>
          <t>Thursday</t>
        </is>
      </c>
      <c r="H155" t="inlineStr">
        <is>
          <t>Monthly - Thursday</t>
        </is>
      </c>
      <c r="I155" t="inlineStr">
        <is>
          <t>Monthly - Thursday</t>
        </is>
      </c>
      <c r="J155" t="inlineStr">
        <is>
          <t>Month+1 Expiry</t>
        </is>
      </c>
      <c r="K155" s="25" t="n">
        <v>3</v>
      </c>
      <c r="L155" s="26" t="n">
        <v>0.006</v>
      </c>
      <c r="M155" s="26" t="n">
        <v>0.0002</v>
      </c>
    </row>
    <row r="156" ht="16" customHeight="1">
      <c r="A156" t="inlineStr">
        <is>
          <t>18-Dec-2025</t>
        </is>
      </c>
      <c r="B156" t="inlineStr">
        <is>
          <t>Thursday</t>
        </is>
      </c>
      <c r="C156" t="inlineStr">
        <is>
          <t>Week3-Dec-2025</t>
        </is>
      </c>
      <c r="D156" s="78" t="n">
        <v>45992</v>
      </c>
      <c r="E156" t="inlineStr">
        <is>
          <t>Q3FY26</t>
        </is>
      </c>
      <c r="F156" t="inlineStr">
        <is>
          <t>26-Feb-2026</t>
        </is>
      </c>
      <c r="G156" t="inlineStr">
        <is>
          <t>Thursday</t>
        </is>
      </c>
      <c r="H156" t="inlineStr">
        <is>
          <t>Monthly - Thursday</t>
        </is>
      </c>
      <c r="I156" t="inlineStr">
        <is>
          <t>Monthly - Thursday</t>
        </is>
      </c>
      <c r="J156" t="inlineStr">
        <is>
          <t>Month+2 Expiry</t>
        </is>
      </c>
      <c r="K156" s="25" t="n">
        <v>0</v>
      </c>
      <c r="L156" s="26" t="n">
        <v>0</v>
      </c>
      <c r="M156" s="26" t="n">
        <v>0</v>
      </c>
    </row>
    <row r="157" ht="16" customHeight="1">
      <c r="A157" t="inlineStr">
        <is>
          <t>19-Dec-2025</t>
        </is>
      </c>
      <c r="B157" t="inlineStr">
        <is>
          <t>Friday</t>
        </is>
      </c>
      <c r="C157" t="inlineStr">
        <is>
          <t>Week3-Dec-2025</t>
        </is>
      </c>
      <c r="D157" s="78" t="n">
        <v>45992</v>
      </c>
      <c r="E157" t="inlineStr">
        <is>
          <t>Q3FY26</t>
        </is>
      </c>
      <c r="F157" t="inlineStr">
        <is>
          <t>24-Dec-2025</t>
        </is>
      </c>
      <c r="G157" t="inlineStr">
        <is>
          <t>Wednesday</t>
        </is>
      </c>
      <c r="H157" t="inlineStr">
        <is>
          <t>Monthly - Wednesday</t>
        </is>
      </c>
      <c r="I157" t="inlineStr">
        <is>
          <t>Monthly - Wednesday</t>
        </is>
      </c>
      <c r="J157" t="inlineStr">
        <is>
          <t>Same Month Expiry</t>
        </is>
      </c>
      <c r="K157" s="25" t="n">
        <v>13067</v>
      </c>
      <c r="L157" s="26" t="n">
        <v>26.0756</v>
      </c>
      <c r="M157" s="26" t="n">
        <v>0.06660000000000001</v>
      </c>
    </row>
    <row r="158" ht="16" customHeight="1">
      <c r="A158" t="inlineStr">
        <is>
          <t>19-Dec-2025</t>
        </is>
      </c>
      <c r="B158" t="inlineStr">
        <is>
          <t>Friday</t>
        </is>
      </c>
      <c r="C158" t="inlineStr">
        <is>
          <t>Week3-Dec-2025</t>
        </is>
      </c>
      <c r="D158" s="78" t="n">
        <v>45992</v>
      </c>
      <c r="E158" t="inlineStr">
        <is>
          <t>Q3FY26</t>
        </is>
      </c>
      <c r="F158" t="inlineStr">
        <is>
          <t>29-Jan-2026</t>
        </is>
      </c>
      <c r="G158" t="inlineStr">
        <is>
          <t>Thursday</t>
        </is>
      </c>
      <c r="H158" t="inlineStr">
        <is>
          <t>Monthly - Thursday</t>
        </is>
      </c>
      <c r="I158" t="inlineStr">
        <is>
          <t>Monthly - Thursday</t>
        </is>
      </c>
      <c r="J158" t="inlineStr">
        <is>
          <t>Month+1 Expiry</t>
        </is>
      </c>
      <c r="K158" s="25" t="n">
        <v>0</v>
      </c>
      <c r="L158" s="26" t="n">
        <v>0</v>
      </c>
      <c r="M158" s="26" t="n">
        <v>0</v>
      </c>
    </row>
    <row r="159" ht="16" customHeight="1">
      <c r="A159" t="inlineStr">
        <is>
          <t>19-Dec-2025</t>
        </is>
      </c>
      <c r="B159" t="inlineStr">
        <is>
          <t>Friday</t>
        </is>
      </c>
      <c r="C159" t="inlineStr">
        <is>
          <t>Week3-Dec-2025</t>
        </is>
      </c>
      <c r="D159" s="78" t="n">
        <v>45992</v>
      </c>
      <c r="E159" t="inlineStr">
        <is>
          <t>Q3FY26</t>
        </is>
      </c>
      <c r="F159" t="inlineStr">
        <is>
          <t>26-Feb-2026</t>
        </is>
      </c>
      <c r="G159" t="inlineStr">
        <is>
          <t>Thursday</t>
        </is>
      </c>
      <c r="H159" t="inlineStr">
        <is>
          <t>Monthly - Thursday</t>
        </is>
      </c>
      <c r="I159" t="inlineStr">
        <is>
          <t>Monthly - Thursday</t>
        </is>
      </c>
      <c r="J159" t="inlineStr">
        <is>
          <t>Month+2 Expiry</t>
        </is>
      </c>
      <c r="K159" s="25" t="n">
        <v>0</v>
      </c>
      <c r="L159" s="26" t="n">
        <v>0</v>
      </c>
      <c r="M159" s="26" t="n">
        <v>0</v>
      </c>
    </row>
    <row r="160" ht="16" customHeight="1">
      <c r="A160" t="inlineStr">
        <is>
          <t>22-Dec-2025</t>
        </is>
      </c>
      <c r="B160" t="inlineStr">
        <is>
          <t>Monday</t>
        </is>
      </c>
      <c r="C160" t="inlineStr">
        <is>
          <t>Week4-Dec-2025</t>
        </is>
      </c>
      <c r="D160" s="78" t="n">
        <v>45992</v>
      </c>
      <c r="E160" t="inlineStr">
        <is>
          <t>Q3FY26</t>
        </is>
      </c>
      <c r="F160" t="inlineStr">
        <is>
          <t>24-Dec-2025</t>
        </is>
      </c>
      <c r="G160" t="inlineStr">
        <is>
          <t>Wednesday</t>
        </is>
      </c>
      <c r="H160" t="inlineStr">
        <is>
          <t>Monthly - Wednesday</t>
        </is>
      </c>
      <c r="I160" t="inlineStr">
        <is>
          <t>Monthly - Wednesday</t>
        </is>
      </c>
      <c r="J160" t="inlineStr">
        <is>
          <t>Same Month Expiry</t>
        </is>
      </c>
      <c r="K160" s="25" t="n">
        <v>35679</v>
      </c>
      <c r="L160" s="26" t="n">
        <v>71.2047</v>
      </c>
      <c r="M160" s="26" t="n">
        <v>0.1356</v>
      </c>
    </row>
    <row r="161" ht="16" customHeight="1">
      <c r="A161" t="inlineStr">
        <is>
          <t>22-Dec-2025</t>
        </is>
      </c>
      <c r="B161" t="inlineStr">
        <is>
          <t>Monday</t>
        </is>
      </c>
      <c r="C161" t="inlineStr">
        <is>
          <t>Week4-Dec-2025</t>
        </is>
      </c>
      <c r="D161" s="78" t="n">
        <v>45992</v>
      </c>
      <c r="E161" t="inlineStr">
        <is>
          <t>Q3FY26</t>
        </is>
      </c>
      <c r="F161" t="inlineStr">
        <is>
          <t>29-Jan-2026</t>
        </is>
      </c>
      <c r="G161" t="inlineStr">
        <is>
          <t>Thursday</t>
        </is>
      </c>
      <c r="H161" t="inlineStr">
        <is>
          <t>Monthly - Thursday</t>
        </is>
      </c>
      <c r="I161" t="inlineStr">
        <is>
          <t>Monthly - Thursday</t>
        </is>
      </c>
      <c r="J161" t="inlineStr">
        <is>
          <t>Month+1 Expiry</t>
        </is>
      </c>
      <c r="K161" s="25" t="n">
        <v>2</v>
      </c>
      <c r="L161" s="26" t="n">
        <v>0.0041</v>
      </c>
      <c r="M161" s="26" t="n">
        <v>0.0001</v>
      </c>
    </row>
    <row r="162" ht="16" customHeight="1">
      <c r="A162" t="inlineStr">
        <is>
          <t>22-Dec-2025</t>
        </is>
      </c>
      <c r="B162" t="inlineStr">
        <is>
          <t>Monday</t>
        </is>
      </c>
      <c r="C162" t="inlineStr">
        <is>
          <t>Week4-Dec-2025</t>
        </is>
      </c>
      <c r="D162" s="78" t="n">
        <v>45992</v>
      </c>
      <c r="E162" t="inlineStr">
        <is>
          <t>Q3FY26</t>
        </is>
      </c>
      <c r="F162" t="inlineStr">
        <is>
          <t>26-Feb-2026</t>
        </is>
      </c>
      <c r="G162" t="inlineStr">
        <is>
          <t>Thursday</t>
        </is>
      </c>
      <c r="H162" t="inlineStr">
        <is>
          <t>Monthly - Thursday</t>
        </is>
      </c>
      <c r="I162" t="inlineStr">
        <is>
          <t>Monthly - Thursday</t>
        </is>
      </c>
      <c r="J162" t="inlineStr">
        <is>
          <t>Month+2 Expiry</t>
        </is>
      </c>
      <c r="K162" s="25" t="n">
        <v>0</v>
      </c>
      <c r="L162" s="26" t="n">
        <v>0</v>
      </c>
      <c r="M162" s="26" t="n">
        <v>0</v>
      </c>
    </row>
    <row r="163" ht="16" customHeight="1">
      <c r="A163" t="inlineStr">
        <is>
          <t>23-Dec-2025</t>
        </is>
      </c>
      <c r="B163" t="inlineStr">
        <is>
          <t>Tuesday</t>
        </is>
      </c>
      <c r="C163" t="inlineStr">
        <is>
          <t>Week4-Dec-2025</t>
        </is>
      </c>
      <c r="D163" s="78" t="n">
        <v>45992</v>
      </c>
      <c r="E163" t="inlineStr">
        <is>
          <t>Q3FY26</t>
        </is>
      </c>
      <c r="F163" t="inlineStr">
        <is>
          <t>24-Dec-2025</t>
        </is>
      </c>
      <c r="G163" t="inlineStr">
        <is>
          <t>Wednesday</t>
        </is>
      </c>
      <c r="H163" t="inlineStr">
        <is>
          <t>Monthly - Wednesday</t>
        </is>
      </c>
      <c r="I163" t="inlineStr">
        <is>
          <t>Monthly - Wednesday</t>
        </is>
      </c>
      <c r="J163" t="inlineStr">
        <is>
          <t>Same Month Expiry</t>
        </is>
      </c>
      <c r="K163" s="25" t="n">
        <v>114389</v>
      </c>
      <c r="L163" s="26" t="n">
        <v>228.1454</v>
      </c>
      <c r="M163" s="26" t="n">
        <v>0.2463</v>
      </c>
    </row>
    <row r="164" ht="16" customHeight="1">
      <c r="A164" t="inlineStr">
        <is>
          <t>23-Dec-2025</t>
        </is>
      </c>
      <c r="B164" t="inlineStr">
        <is>
          <t>Tuesday</t>
        </is>
      </c>
      <c r="C164" t="inlineStr">
        <is>
          <t>Week4-Dec-2025</t>
        </is>
      </c>
      <c r="D164" s="78" t="n">
        <v>45992</v>
      </c>
      <c r="E164" t="inlineStr">
        <is>
          <t>Q3FY26</t>
        </is>
      </c>
      <c r="F164" t="inlineStr">
        <is>
          <t>29-Jan-2026</t>
        </is>
      </c>
      <c r="G164" t="inlineStr">
        <is>
          <t>Thursday</t>
        </is>
      </c>
      <c r="H164" t="inlineStr">
        <is>
          <t>Monthly - Thursday</t>
        </is>
      </c>
      <c r="I164" t="inlineStr">
        <is>
          <t>Monthly - Thursday</t>
        </is>
      </c>
      <c r="J164" t="inlineStr">
        <is>
          <t>Month+1 Expiry</t>
        </is>
      </c>
      <c r="K164" s="25" t="n">
        <v>20</v>
      </c>
      <c r="L164" s="26" t="n">
        <v>0.04</v>
      </c>
      <c r="M164" s="26" t="n">
        <v>0.0004</v>
      </c>
    </row>
    <row r="165" ht="16" customHeight="1">
      <c r="A165" t="inlineStr">
        <is>
          <t>23-Dec-2025</t>
        </is>
      </c>
      <c r="B165" t="inlineStr">
        <is>
          <t>Tuesday</t>
        </is>
      </c>
      <c r="C165" t="inlineStr">
        <is>
          <t>Week4-Dec-2025</t>
        </is>
      </c>
      <c r="D165" s="78" t="n">
        <v>45992</v>
      </c>
      <c r="E165" t="inlineStr">
        <is>
          <t>Q3FY26</t>
        </is>
      </c>
      <c r="F165" t="inlineStr">
        <is>
          <t>26-Feb-2026</t>
        </is>
      </c>
      <c r="G165" t="inlineStr">
        <is>
          <t>Thursday</t>
        </is>
      </c>
      <c r="H165" t="inlineStr">
        <is>
          <t>Monthly - Thursday</t>
        </is>
      </c>
      <c r="I165" t="inlineStr">
        <is>
          <t>Monthly - Thursday</t>
        </is>
      </c>
      <c r="J165" t="inlineStr">
        <is>
          <t>Month+2 Expiry</t>
        </is>
      </c>
      <c r="K165" s="25" t="n">
        <v>0</v>
      </c>
      <c r="L165" s="26" t="n">
        <v>0</v>
      </c>
      <c r="M165" s="26" t="n">
        <v>0</v>
      </c>
    </row>
    <row r="166" ht="16" customHeight="1">
      <c r="A166" t="inlineStr">
        <is>
          <t>24-Dec-2025</t>
        </is>
      </c>
      <c r="B166" t="inlineStr">
        <is>
          <t>Wednesday</t>
        </is>
      </c>
      <c r="C166" t="inlineStr">
        <is>
          <t>Week4-Dec-2025</t>
        </is>
      </c>
      <c r="D166" s="78" t="n">
        <v>45992</v>
      </c>
      <c r="E166" t="inlineStr">
        <is>
          <t>Q3FY26</t>
        </is>
      </c>
      <c r="F166" t="inlineStr">
        <is>
          <t>24-Dec-2025</t>
        </is>
      </c>
      <c r="G166" t="inlineStr">
        <is>
          <t>Wednesday</t>
        </is>
      </c>
      <c r="H166" t="inlineStr">
        <is>
          <t>Monthly - Wednesday</t>
        </is>
      </c>
      <c r="I166" t="inlineStr">
        <is>
          <t>Monthly - Wednesday</t>
        </is>
      </c>
      <c r="J166" t="inlineStr">
        <is>
          <t>Same Month Expiry</t>
        </is>
      </c>
      <c r="K166" s="25" t="n">
        <v>5394460</v>
      </c>
      <c r="L166" s="26" t="n">
        <v>10728.1002</v>
      </c>
      <c r="M166" s="26" t="n">
        <v>5.7834</v>
      </c>
    </row>
    <row r="167" ht="16" customHeight="1">
      <c r="A167" t="inlineStr">
        <is>
          <t>24-Dec-2025</t>
        </is>
      </c>
      <c r="B167" t="inlineStr">
        <is>
          <t>Wednesday</t>
        </is>
      </c>
      <c r="C167" t="inlineStr">
        <is>
          <t>Week4-Dec-2025</t>
        </is>
      </c>
      <c r="D167" s="78" t="n">
        <v>45992</v>
      </c>
      <c r="E167" t="inlineStr">
        <is>
          <t>Q3FY26</t>
        </is>
      </c>
      <c r="F167" t="inlineStr">
        <is>
          <t>29-Jan-2026</t>
        </is>
      </c>
      <c r="G167" t="inlineStr">
        <is>
          <t>Thursday</t>
        </is>
      </c>
      <c r="H167" t="inlineStr">
        <is>
          <t>Monthly - Thursday</t>
        </is>
      </c>
      <c r="I167" t="inlineStr">
        <is>
          <t>Monthly - Thursday</t>
        </is>
      </c>
      <c r="J167" t="inlineStr">
        <is>
          <t>Month+1 Expiry</t>
        </is>
      </c>
      <c r="K167" s="25" t="n">
        <v>48</v>
      </c>
      <c r="L167" s="26" t="n">
        <v>0.096</v>
      </c>
      <c r="M167" s="26" t="n">
        <v>0.0009</v>
      </c>
    </row>
    <row r="168" ht="16" customHeight="1">
      <c r="A168" t="inlineStr">
        <is>
          <t>24-Dec-2025</t>
        </is>
      </c>
      <c r="B168" t="inlineStr">
        <is>
          <t>Wednesday</t>
        </is>
      </c>
      <c r="C168" t="inlineStr">
        <is>
          <t>Week4-Dec-2025</t>
        </is>
      </c>
      <c r="D168" s="78" t="n">
        <v>45992</v>
      </c>
      <c r="E168" t="inlineStr">
        <is>
          <t>Q3FY26</t>
        </is>
      </c>
      <c r="F168" t="inlineStr">
        <is>
          <t>26-Feb-2026</t>
        </is>
      </c>
      <c r="G168" t="inlineStr">
        <is>
          <t>Thursday</t>
        </is>
      </c>
      <c r="H168" t="inlineStr">
        <is>
          <t>Monthly - Thursday</t>
        </is>
      </c>
      <c r="I168" t="inlineStr">
        <is>
          <t>Monthly - Thursday</t>
        </is>
      </c>
      <c r="J168" t="inlineStr">
        <is>
          <t>Month+2 Expiry</t>
        </is>
      </c>
      <c r="K168" s="25" t="n">
        <v>0</v>
      </c>
      <c r="L168" s="26" t="n">
        <v>0</v>
      </c>
      <c r="M168" s="26" t="n">
        <v>0</v>
      </c>
    </row>
    <row r="169" ht="16" customHeight="1">
      <c r="A169" t="inlineStr">
        <is>
          <t>26-Dec-2025</t>
        </is>
      </c>
      <c r="B169" t="inlineStr">
        <is>
          <t>Friday</t>
        </is>
      </c>
      <c r="C169" t="inlineStr">
        <is>
          <t>Week4-Dec-2025</t>
        </is>
      </c>
      <c r="D169" s="78" t="n">
        <v>45992</v>
      </c>
      <c r="E169" t="inlineStr">
        <is>
          <t>Q3FY26</t>
        </is>
      </c>
      <c r="F169" t="inlineStr">
        <is>
          <t>29-Jan-2026</t>
        </is>
      </c>
      <c r="G169" t="inlineStr">
        <is>
          <t>Thursday</t>
        </is>
      </c>
      <c r="H169" t="inlineStr">
        <is>
          <t>Monthly - Thursday</t>
        </is>
      </c>
      <c r="I169" t="inlineStr">
        <is>
          <t>Monthly - Thursday</t>
        </is>
      </c>
      <c r="J169" t="inlineStr">
        <is>
          <t>Month+1 Expiry</t>
        </is>
      </c>
      <c r="K169" s="25" t="n">
        <v>1211</v>
      </c>
      <c r="L169" s="26" t="n">
        <v>2.4433</v>
      </c>
      <c r="M169" s="26" t="n">
        <v>0.0127</v>
      </c>
    </row>
    <row r="170" ht="16" customHeight="1">
      <c r="A170" t="inlineStr">
        <is>
          <t>26-Dec-2025</t>
        </is>
      </c>
      <c r="B170" t="inlineStr">
        <is>
          <t>Friday</t>
        </is>
      </c>
      <c r="C170" t="inlineStr">
        <is>
          <t>Week4-Dec-2025</t>
        </is>
      </c>
      <c r="D170" s="78" t="n">
        <v>45992</v>
      </c>
      <c r="E170" t="inlineStr">
        <is>
          <t>Q3FY26</t>
        </is>
      </c>
      <c r="F170" t="inlineStr">
        <is>
          <t>26-Feb-2026</t>
        </is>
      </c>
      <c r="G170" t="inlineStr">
        <is>
          <t>Thursday</t>
        </is>
      </c>
      <c r="H170" t="inlineStr">
        <is>
          <t>Monthly - Thursday</t>
        </is>
      </c>
      <c r="I170" t="inlineStr">
        <is>
          <t>Monthly - Thursday</t>
        </is>
      </c>
      <c r="J170" t="inlineStr">
        <is>
          <t>Month+2 Expiry</t>
        </is>
      </c>
      <c r="K170" s="25" t="n">
        <v>0</v>
      </c>
      <c r="L170" s="26" t="n">
        <v>0</v>
      </c>
      <c r="M170" s="26" t="n">
        <v>0</v>
      </c>
    </row>
    <row r="171" ht="16" customHeight="1">
      <c r="A171" t="inlineStr">
        <is>
          <t>29-Dec-2025</t>
        </is>
      </c>
      <c r="B171" t="inlineStr">
        <is>
          <t>Monday</t>
        </is>
      </c>
      <c r="C171" t="inlineStr">
        <is>
          <t>Week5-Dec-2025</t>
        </is>
      </c>
      <c r="D171" s="78" t="n">
        <v>45992</v>
      </c>
      <c r="E171" t="inlineStr">
        <is>
          <t>Q3FY26</t>
        </is>
      </c>
      <c r="F171" t="inlineStr">
        <is>
          <t>29-Jan-2026</t>
        </is>
      </c>
      <c r="G171" t="inlineStr">
        <is>
          <t>Thursday</t>
        </is>
      </c>
      <c r="H171" t="inlineStr">
        <is>
          <t>Monthly - Thursday</t>
        </is>
      </c>
      <c r="I171" t="inlineStr">
        <is>
          <t>Monthly - Thursday</t>
        </is>
      </c>
      <c r="J171" t="inlineStr">
        <is>
          <t>Month+1 Expiry</t>
        </is>
      </c>
      <c r="K171" s="25" t="n">
        <v>758</v>
      </c>
      <c r="L171" s="26" t="n">
        <v>1.5269</v>
      </c>
      <c r="M171" s="26" t="n">
        <v>0.0098</v>
      </c>
    </row>
    <row r="172" ht="16" customHeight="1">
      <c r="A172" t="inlineStr">
        <is>
          <t>29-Dec-2025</t>
        </is>
      </c>
      <c r="B172" t="inlineStr">
        <is>
          <t>Monday</t>
        </is>
      </c>
      <c r="C172" t="inlineStr">
        <is>
          <t>Week5-Dec-2025</t>
        </is>
      </c>
      <c r="D172" s="78" t="n">
        <v>45992</v>
      </c>
      <c r="E172" t="inlineStr">
        <is>
          <t>Q3FY26</t>
        </is>
      </c>
      <c r="F172" t="inlineStr">
        <is>
          <t>26-Feb-2026</t>
        </is>
      </c>
      <c r="G172" t="inlineStr">
        <is>
          <t>Thursday</t>
        </is>
      </c>
      <c r="H172" t="inlineStr">
        <is>
          <t>Monthly - Thursday</t>
        </is>
      </c>
      <c r="I172" t="inlineStr">
        <is>
          <t>Monthly - Thursday</t>
        </is>
      </c>
      <c r="J172" t="inlineStr">
        <is>
          <t>Month+2 Expiry</t>
        </is>
      </c>
      <c r="K172" s="25" t="n">
        <v>0</v>
      </c>
      <c r="L172" s="26" t="n">
        <v>0</v>
      </c>
      <c r="M172" s="26" t="n">
        <v>0</v>
      </c>
    </row>
    <row r="173" ht="16" customHeight="1">
      <c r="A173" t="inlineStr">
        <is>
          <t>30-Dec-2025</t>
        </is>
      </c>
      <c r="B173" t="inlineStr">
        <is>
          <t>Tuesday</t>
        </is>
      </c>
      <c r="C173" t="inlineStr">
        <is>
          <t>Week5-Dec-2025</t>
        </is>
      </c>
      <c r="D173" s="78" t="n">
        <v>45992</v>
      </c>
      <c r="E173" t="inlineStr">
        <is>
          <t>Q3FY26</t>
        </is>
      </c>
      <c r="F173" t="inlineStr">
        <is>
          <t>29-Jan-2026</t>
        </is>
      </c>
      <c r="G173" t="inlineStr">
        <is>
          <t>Thursday</t>
        </is>
      </c>
      <c r="H173" t="inlineStr">
        <is>
          <t>Monthly - Thursday</t>
        </is>
      </c>
      <c r="I173" t="inlineStr">
        <is>
          <t>Monthly - Thursday</t>
        </is>
      </c>
      <c r="J173" t="inlineStr">
        <is>
          <t>Month+1 Expiry</t>
        </is>
      </c>
      <c r="K173" s="25" t="n">
        <v>848</v>
      </c>
      <c r="L173" s="26" t="n">
        <v>1.6891</v>
      </c>
      <c r="M173" s="26" t="n">
        <v>0.009299999999999999</v>
      </c>
    </row>
    <row r="174" ht="16" customHeight="1">
      <c r="A174" t="inlineStr">
        <is>
          <t>30-Dec-2025</t>
        </is>
      </c>
      <c r="B174" t="inlineStr">
        <is>
          <t>Tuesday</t>
        </is>
      </c>
      <c r="C174" t="inlineStr">
        <is>
          <t>Week5-Dec-2025</t>
        </is>
      </c>
      <c r="D174" s="78" t="n">
        <v>45992</v>
      </c>
      <c r="E174" t="inlineStr">
        <is>
          <t>Q3FY26</t>
        </is>
      </c>
      <c r="F174" t="inlineStr">
        <is>
          <t>26-Feb-2026</t>
        </is>
      </c>
      <c r="G174" t="inlineStr">
        <is>
          <t>Thursday</t>
        </is>
      </c>
      <c r="H174" t="inlineStr">
        <is>
          <t>Monthly - Thursday</t>
        </is>
      </c>
      <c r="I174" t="inlineStr">
        <is>
          <t>Monthly - Thursday</t>
        </is>
      </c>
      <c r="J174" t="inlineStr">
        <is>
          <t>Month+2 Expiry</t>
        </is>
      </c>
      <c r="K174" s="25" t="n">
        <v>4</v>
      </c>
      <c r="L174" s="26" t="n">
        <v>0.0071</v>
      </c>
      <c r="M174" s="26" t="n">
        <v>0</v>
      </c>
    </row>
    <row r="175" ht="16" customHeight="1">
      <c r="A175" t="inlineStr">
        <is>
          <t>31-Dec-2025</t>
        </is>
      </c>
      <c r="B175" t="inlineStr">
        <is>
          <t>Wednesday</t>
        </is>
      </c>
      <c r="C175" t="inlineStr">
        <is>
          <t>Week5-Dec-2025</t>
        </is>
      </c>
      <c r="D175" s="78" t="n">
        <v>45992</v>
      </c>
      <c r="E175" t="inlineStr">
        <is>
          <t>Q3FY26</t>
        </is>
      </c>
      <c r="F175" t="inlineStr">
        <is>
          <t>29-Jan-2026</t>
        </is>
      </c>
      <c r="G175" t="inlineStr">
        <is>
          <t>Thursday</t>
        </is>
      </c>
      <c r="H175" t="inlineStr">
        <is>
          <t>Monthly - Thursday</t>
        </is>
      </c>
      <c r="I175" t="inlineStr">
        <is>
          <t>Monthly - Thursday</t>
        </is>
      </c>
      <c r="J175" t="inlineStr">
        <is>
          <t>Month+1 Expiry</t>
        </is>
      </c>
      <c r="K175" s="25" t="n">
        <v>864</v>
      </c>
      <c r="L175" s="26" t="n">
        <v>1.7237</v>
      </c>
      <c r="M175" s="26" t="n">
        <v>0.008800000000000001</v>
      </c>
    </row>
    <row r="176" ht="16" customHeight="1">
      <c r="A176" t="inlineStr">
        <is>
          <t>31-Dec-2025</t>
        </is>
      </c>
      <c r="B176" t="inlineStr">
        <is>
          <t>Wednesday</t>
        </is>
      </c>
      <c r="C176" t="inlineStr">
        <is>
          <t>Week5-Dec-2025</t>
        </is>
      </c>
      <c r="D176" s="78" t="n">
        <v>45992</v>
      </c>
      <c r="E176" t="inlineStr">
        <is>
          <t>Q3FY26</t>
        </is>
      </c>
      <c r="F176" t="inlineStr">
        <is>
          <t>26-Feb-2026</t>
        </is>
      </c>
      <c r="G176" t="inlineStr">
        <is>
          <t>Thursday</t>
        </is>
      </c>
      <c r="H176" t="inlineStr">
        <is>
          <t>Monthly - Thursday</t>
        </is>
      </c>
      <c r="I176" t="inlineStr">
        <is>
          <t>Monthly - Thursday</t>
        </is>
      </c>
      <c r="J176" t="inlineStr">
        <is>
          <t>Month+2 Expiry</t>
        </is>
      </c>
      <c r="K176" s="25" t="n">
        <v>0</v>
      </c>
      <c r="L176" s="26" t="n">
        <v>0</v>
      </c>
      <c r="M176" s="26" t="n">
        <v>0</v>
      </c>
    </row>
    <row r="177" ht="16" customHeight="1">
      <c r="A177" t="inlineStr">
        <is>
          <t>01-Jan-2026</t>
        </is>
      </c>
      <c r="B177" t="inlineStr">
        <is>
          <t>Thursday</t>
        </is>
      </c>
      <c r="C177" t="inlineStr">
        <is>
          <t>Week1-Jan-2026</t>
        </is>
      </c>
      <c r="D177" s="78" t="n">
        <v>46023</v>
      </c>
      <c r="E177" t="inlineStr">
        <is>
          <t>Q4FY26</t>
        </is>
      </c>
      <c r="F177" t="inlineStr">
        <is>
          <t>29-Jan-2026</t>
        </is>
      </c>
      <c r="G177" t="inlineStr">
        <is>
          <t>Thursday</t>
        </is>
      </c>
      <c r="H177" t="inlineStr">
        <is>
          <t>Monthly - Thursday</t>
        </is>
      </c>
      <c r="I177" t="inlineStr">
        <is>
          <t>Monthly - Thursday</t>
        </is>
      </c>
      <c r="J177" t="inlineStr">
        <is>
          <t>Same Month Expiry</t>
        </is>
      </c>
      <c r="K177" s="25" t="n">
        <v>1142</v>
      </c>
      <c r="L177" s="26" t="n">
        <v>2.3052</v>
      </c>
      <c r="M177" s="26" t="n">
        <v>0.0142</v>
      </c>
    </row>
    <row r="178" ht="16" customHeight="1">
      <c r="A178" t="inlineStr">
        <is>
          <t>01-Jan-2026</t>
        </is>
      </c>
      <c r="B178" t="inlineStr">
        <is>
          <t>Thursday</t>
        </is>
      </c>
      <c r="C178" t="inlineStr">
        <is>
          <t>Week1-Jan-2026</t>
        </is>
      </c>
      <c r="D178" s="78" t="n">
        <v>46023</v>
      </c>
      <c r="E178" t="inlineStr">
        <is>
          <t>Q4FY26</t>
        </is>
      </c>
      <c r="F178" t="inlineStr">
        <is>
          <t>26-Feb-2026</t>
        </is>
      </c>
      <c r="G178" t="inlineStr">
        <is>
          <t>Thursday</t>
        </is>
      </c>
      <c r="H178" t="inlineStr">
        <is>
          <t>Monthly - Thursday</t>
        </is>
      </c>
      <c r="I178" t="inlineStr">
        <is>
          <t>Monthly - Thursday</t>
        </is>
      </c>
      <c r="J178" t="inlineStr">
        <is>
          <t>Month+1 Expiry</t>
        </is>
      </c>
      <c r="K178" s="25" t="n">
        <v>4</v>
      </c>
      <c r="L178" s="26" t="n">
        <v>0.0076</v>
      </c>
      <c r="M178" s="26" t="n">
        <v>0.0001</v>
      </c>
    </row>
    <row r="179" ht="16" customHeight="1">
      <c r="A179" t="inlineStr">
        <is>
          <t>02-Jan-2026</t>
        </is>
      </c>
      <c r="B179" t="inlineStr">
        <is>
          <t>Friday</t>
        </is>
      </c>
      <c r="C179" t="inlineStr">
        <is>
          <t>Week1-Jan-2026</t>
        </is>
      </c>
      <c r="D179" s="78" t="n">
        <v>46023</v>
      </c>
      <c r="E179" t="inlineStr">
        <is>
          <t>Q4FY26</t>
        </is>
      </c>
      <c r="F179" t="inlineStr">
        <is>
          <t>29-Jan-2026</t>
        </is>
      </c>
      <c r="G179" t="inlineStr">
        <is>
          <t>Thursday</t>
        </is>
      </c>
      <c r="H179" t="inlineStr">
        <is>
          <t>Monthly - Thursday</t>
        </is>
      </c>
      <c r="I179" t="inlineStr">
        <is>
          <t>Monthly - Thursday</t>
        </is>
      </c>
      <c r="J179" t="inlineStr">
        <is>
          <t>Same Month Expiry</t>
        </is>
      </c>
      <c r="K179" s="25" t="n">
        <v>1769</v>
      </c>
      <c r="L179" s="26" t="n">
        <v>3.6259</v>
      </c>
      <c r="M179" s="26" t="n">
        <v>0.0169</v>
      </c>
    </row>
    <row r="180" ht="16" customHeight="1">
      <c r="A180" t="inlineStr">
        <is>
          <t>02-Jan-2026</t>
        </is>
      </c>
      <c r="B180" t="inlineStr">
        <is>
          <t>Friday</t>
        </is>
      </c>
      <c r="C180" t="inlineStr">
        <is>
          <t>Week1-Jan-2026</t>
        </is>
      </c>
      <c r="D180" s="78" t="n">
        <v>46023</v>
      </c>
      <c r="E180" t="inlineStr">
        <is>
          <t>Q4FY26</t>
        </is>
      </c>
      <c r="F180" t="inlineStr">
        <is>
          <t>26-Feb-2026</t>
        </is>
      </c>
      <c r="G180" t="inlineStr">
        <is>
          <t>Thursday</t>
        </is>
      </c>
      <c r="H180" t="inlineStr">
        <is>
          <t>Monthly - Thursday</t>
        </is>
      </c>
      <c r="I180" t="inlineStr">
        <is>
          <t>Monthly - Thursday</t>
        </is>
      </c>
      <c r="J180" t="inlineStr">
        <is>
          <t>Month+1 Expiry</t>
        </is>
      </c>
      <c r="K180" s="25" t="n">
        <v>0</v>
      </c>
      <c r="L180" s="26" t="n">
        <v>0</v>
      </c>
      <c r="M180" s="26" t="n">
        <v>0</v>
      </c>
    </row>
    <row r="181" ht="16" customHeight="1">
      <c r="A181" t="inlineStr">
        <is>
          <t>05-Jan-2026</t>
        </is>
      </c>
      <c r="B181" t="inlineStr">
        <is>
          <t>Monday</t>
        </is>
      </c>
      <c r="C181" t="inlineStr">
        <is>
          <t>Week1-Jan-2026</t>
        </is>
      </c>
      <c r="D181" s="78" t="n">
        <v>46023</v>
      </c>
      <c r="E181" t="inlineStr">
        <is>
          <t>Q4FY26</t>
        </is>
      </c>
      <c r="F181" t="inlineStr">
        <is>
          <t>29-Jan-2026</t>
        </is>
      </c>
      <c r="G181" t="inlineStr">
        <is>
          <t>Thursday</t>
        </is>
      </c>
      <c r="H181" t="inlineStr">
        <is>
          <t>Monthly - Thursday</t>
        </is>
      </c>
      <c r="I181" t="inlineStr">
        <is>
          <t>Monthly - Thursday</t>
        </is>
      </c>
      <c r="J181" t="inlineStr">
        <is>
          <t>Same Month Expiry</t>
        </is>
      </c>
      <c r="K181" s="25" t="n">
        <v>1965</v>
      </c>
      <c r="L181" s="26" t="n">
        <v>3.9936</v>
      </c>
      <c r="M181" s="26" t="n">
        <v>0.0203</v>
      </c>
    </row>
    <row r="182" ht="16" customHeight="1">
      <c r="A182" t="inlineStr">
        <is>
          <t>05-Jan-2026</t>
        </is>
      </c>
      <c r="B182" t="inlineStr">
        <is>
          <t>Monday</t>
        </is>
      </c>
      <c r="C182" t="inlineStr">
        <is>
          <t>Week1-Jan-2026</t>
        </is>
      </c>
      <c r="D182" s="78" t="n">
        <v>46023</v>
      </c>
      <c r="E182" t="inlineStr">
        <is>
          <t>Q4FY26</t>
        </is>
      </c>
      <c r="F182" t="inlineStr">
        <is>
          <t>26-Feb-2026</t>
        </is>
      </c>
      <c r="G182" t="inlineStr">
        <is>
          <t>Thursday</t>
        </is>
      </c>
      <c r="H182" t="inlineStr">
        <is>
          <t>Monthly - Thursday</t>
        </is>
      </c>
      <c r="I182" t="inlineStr">
        <is>
          <t>Monthly - Thursday</t>
        </is>
      </c>
      <c r="J182" t="inlineStr">
        <is>
          <t>Month+1 Expiry</t>
        </is>
      </c>
      <c r="K182" s="25" t="n">
        <v>3</v>
      </c>
      <c r="L182" s="26" t="n">
        <v>0.0062</v>
      </c>
      <c r="M182" s="26" t="n">
        <v>0.0002</v>
      </c>
    </row>
    <row r="183" ht="16" customHeight="1">
      <c r="A183" t="inlineStr">
        <is>
          <t>06-Jan-2026</t>
        </is>
      </c>
      <c r="B183" t="inlineStr">
        <is>
          <t>Tuesday</t>
        </is>
      </c>
      <c r="C183" t="inlineStr">
        <is>
          <t>Week1-Jan-2026</t>
        </is>
      </c>
      <c r="D183" s="78" t="n">
        <v>46023</v>
      </c>
      <c r="E183" t="inlineStr">
        <is>
          <t>Q4FY26</t>
        </is>
      </c>
      <c r="F183" t="inlineStr">
        <is>
          <t>29-Jan-2026</t>
        </is>
      </c>
      <c r="G183" t="inlineStr">
        <is>
          <t>Thursday</t>
        </is>
      </c>
      <c r="H183" t="inlineStr">
        <is>
          <t>Monthly - Thursday</t>
        </is>
      </c>
      <c r="I183" t="inlineStr">
        <is>
          <t>Monthly - Thursday</t>
        </is>
      </c>
      <c r="J183" t="inlineStr">
        <is>
          <t>Same Month Expiry</t>
        </is>
      </c>
      <c r="K183" s="25" t="n">
        <v>1951</v>
      </c>
      <c r="L183" s="26" t="n">
        <v>3.9152</v>
      </c>
      <c r="M183" s="26" t="n">
        <v>0.0164</v>
      </c>
    </row>
    <row r="184" ht="16" customHeight="1">
      <c r="A184" t="inlineStr">
        <is>
          <t>06-Jan-2026</t>
        </is>
      </c>
      <c r="B184" t="inlineStr">
        <is>
          <t>Tuesday</t>
        </is>
      </c>
      <c r="C184" t="inlineStr">
        <is>
          <t>Week1-Jan-2026</t>
        </is>
      </c>
      <c r="D184" s="78" t="n">
        <v>46023</v>
      </c>
      <c r="E184" t="inlineStr">
        <is>
          <t>Q4FY26</t>
        </is>
      </c>
      <c r="F184" t="inlineStr">
        <is>
          <t>26-Feb-2026</t>
        </is>
      </c>
      <c r="G184" t="inlineStr">
        <is>
          <t>Thursday</t>
        </is>
      </c>
      <c r="H184" t="inlineStr">
        <is>
          <t>Monthly - Thursday</t>
        </is>
      </c>
      <c r="I184" t="inlineStr">
        <is>
          <t>Monthly - Thursday</t>
        </is>
      </c>
      <c r="J184" t="inlineStr">
        <is>
          <t>Month+1 Expiry</t>
        </is>
      </c>
      <c r="K184" s="25" t="n">
        <v>2</v>
      </c>
      <c r="L184" s="26" t="n">
        <v>0.0041</v>
      </c>
      <c r="M184" s="26" t="n">
        <v>0.0002</v>
      </c>
    </row>
    <row r="185" ht="16" customHeight="1">
      <c r="A185" t="inlineStr">
        <is>
          <t>07-Jan-2026</t>
        </is>
      </c>
      <c r="B185" t="inlineStr">
        <is>
          <t>Wednesday</t>
        </is>
      </c>
      <c r="C185" t="inlineStr">
        <is>
          <t>Week1-Jan-2026</t>
        </is>
      </c>
      <c r="D185" s="78" t="n">
        <v>46023</v>
      </c>
      <c r="E185" t="inlineStr">
        <is>
          <t>Q4FY26</t>
        </is>
      </c>
      <c r="F185" t="inlineStr">
        <is>
          <t>29-Jan-2026</t>
        </is>
      </c>
      <c r="G185" t="inlineStr">
        <is>
          <t>Thursday</t>
        </is>
      </c>
      <c r="H185" t="inlineStr">
        <is>
          <t>Monthly - Thursday</t>
        </is>
      </c>
      <c r="I185" t="inlineStr">
        <is>
          <t>Monthly - Thursday</t>
        </is>
      </c>
      <c r="J185" t="inlineStr">
        <is>
          <t>Same Month Expiry</t>
        </is>
      </c>
      <c r="K185" s="25" t="n">
        <v>1636</v>
      </c>
      <c r="L185" s="26" t="n">
        <v>3.3257</v>
      </c>
      <c r="M185" s="26" t="n">
        <v>0.011</v>
      </c>
    </row>
    <row r="186" ht="16" customHeight="1">
      <c r="A186" t="inlineStr">
        <is>
          <t>07-Jan-2026</t>
        </is>
      </c>
      <c r="B186" t="inlineStr">
        <is>
          <t>Wednesday</t>
        </is>
      </c>
      <c r="C186" t="inlineStr">
        <is>
          <t>Week1-Jan-2026</t>
        </is>
      </c>
      <c r="D186" s="78" t="n">
        <v>46023</v>
      </c>
      <c r="E186" t="inlineStr">
        <is>
          <t>Q4FY26</t>
        </is>
      </c>
      <c r="F186" t="inlineStr">
        <is>
          <t>26-Feb-2026</t>
        </is>
      </c>
      <c r="G186" t="inlineStr">
        <is>
          <t>Thursday</t>
        </is>
      </c>
      <c r="H186" t="inlineStr">
        <is>
          <t>Monthly - Thursday</t>
        </is>
      </c>
      <c r="I186" t="inlineStr">
        <is>
          <t>Monthly - Thursday</t>
        </is>
      </c>
      <c r="J186" t="inlineStr">
        <is>
          <t>Month+1 Expiry</t>
        </is>
      </c>
      <c r="K186" s="25" t="n">
        <v>0</v>
      </c>
      <c r="L186" s="26" t="n">
        <v>0</v>
      </c>
      <c r="M186" s="26" t="n">
        <v>0</v>
      </c>
    </row>
    <row r="187" ht="16" customHeight="1">
      <c r="A187" t="inlineStr">
        <is>
          <t>08-Jan-2026</t>
        </is>
      </c>
      <c r="B187" t="inlineStr">
        <is>
          <t>Thursday</t>
        </is>
      </c>
      <c r="C187" t="inlineStr">
        <is>
          <t>Week2-Jan-2026</t>
        </is>
      </c>
      <c r="D187" s="78" t="n">
        <v>46023</v>
      </c>
      <c r="E187" t="inlineStr">
        <is>
          <t>Q4FY26</t>
        </is>
      </c>
      <c r="F187" t="inlineStr">
        <is>
          <t>29-Jan-2026</t>
        </is>
      </c>
      <c r="G187" t="inlineStr">
        <is>
          <t>Thursday</t>
        </is>
      </c>
      <c r="H187" t="inlineStr">
        <is>
          <t>Monthly - Thursday</t>
        </is>
      </c>
      <c r="I187" t="inlineStr">
        <is>
          <t>Monthly - Thursday</t>
        </is>
      </c>
      <c r="J187" t="inlineStr">
        <is>
          <t>Same Month Expiry</t>
        </is>
      </c>
      <c r="K187" s="25" t="n">
        <v>2550</v>
      </c>
      <c r="L187" s="26" t="n">
        <v>5.1717</v>
      </c>
      <c r="M187" s="26" t="n">
        <v>0.0246</v>
      </c>
    </row>
    <row r="188" ht="16" customHeight="1">
      <c r="A188" t="inlineStr">
        <is>
          <t>08-Jan-2026</t>
        </is>
      </c>
      <c r="B188" t="inlineStr">
        <is>
          <t>Thursday</t>
        </is>
      </c>
      <c r="C188" t="inlineStr">
        <is>
          <t>Week2-Jan-2026</t>
        </is>
      </c>
      <c r="D188" s="78" t="n">
        <v>46023</v>
      </c>
      <c r="E188" t="inlineStr">
        <is>
          <t>Q4FY26</t>
        </is>
      </c>
      <c r="F188" t="inlineStr">
        <is>
          <t>26-Feb-2026</t>
        </is>
      </c>
      <c r="G188" t="inlineStr">
        <is>
          <t>Thursday</t>
        </is>
      </c>
      <c r="H188" t="inlineStr">
        <is>
          <t>Monthly - Thursday</t>
        </is>
      </c>
      <c r="I188" t="inlineStr">
        <is>
          <t>Monthly - Thursday</t>
        </is>
      </c>
      <c r="J188" t="inlineStr">
        <is>
          <t>Month+1 Expiry</t>
        </is>
      </c>
      <c r="K188" s="25" t="n">
        <v>0</v>
      </c>
      <c r="L188" s="26" t="n">
        <v>0</v>
      </c>
      <c r="M188" s="26" t="n">
        <v>0</v>
      </c>
    </row>
    <row r="189" ht="16" customHeight="1">
      <c r="A189" t="inlineStr">
        <is>
          <t>09-Jan-2026</t>
        </is>
      </c>
      <c r="B189" t="inlineStr">
        <is>
          <t>Friday</t>
        </is>
      </c>
      <c r="C189" t="inlineStr">
        <is>
          <t>Week2-Jan-2026</t>
        </is>
      </c>
      <c r="D189" s="78" t="n">
        <v>46023</v>
      </c>
      <c r="E189" t="inlineStr">
        <is>
          <t>Q4FY26</t>
        </is>
      </c>
      <c r="F189" t="inlineStr">
        <is>
          <t>29-Jan-2026</t>
        </is>
      </c>
      <c r="G189" t="inlineStr">
        <is>
          <t>Thursday</t>
        </is>
      </c>
      <c r="H189" t="inlineStr">
        <is>
          <t>Monthly - Thursday</t>
        </is>
      </c>
      <c r="I189" t="inlineStr">
        <is>
          <t>Monthly - Thursday</t>
        </is>
      </c>
      <c r="J189" t="inlineStr">
        <is>
          <t>Same Month Expiry</t>
        </is>
      </c>
      <c r="K189" s="25" t="n">
        <v>3411</v>
      </c>
      <c r="L189" s="26" t="n">
        <v>6.8981</v>
      </c>
      <c r="M189" s="26" t="n">
        <v>0.0351</v>
      </c>
    </row>
    <row r="190" ht="16" customHeight="1">
      <c r="A190" t="inlineStr">
        <is>
          <t>09-Jan-2026</t>
        </is>
      </c>
      <c r="B190" t="inlineStr">
        <is>
          <t>Friday</t>
        </is>
      </c>
      <c r="C190" t="inlineStr">
        <is>
          <t>Week2-Jan-2026</t>
        </is>
      </c>
      <c r="D190" s="78" t="n">
        <v>46023</v>
      </c>
      <c r="E190" t="inlineStr">
        <is>
          <t>Q4FY26</t>
        </is>
      </c>
      <c r="F190" t="inlineStr">
        <is>
          <t>26-Feb-2026</t>
        </is>
      </c>
      <c r="G190" t="inlineStr">
        <is>
          <t>Thursday</t>
        </is>
      </c>
      <c r="H190" t="inlineStr">
        <is>
          <t>Monthly - Thursday</t>
        </is>
      </c>
      <c r="I190" t="inlineStr">
        <is>
          <t>Monthly - Thursday</t>
        </is>
      </c>
      <c r="J190" t="inlineStr">
        <is>
          <t>Month+1 Expiry</t>
        </is>
      </c>
      <c r="K190" s="25" t="n">
        <v>0</v>
      </c>
      <c r="L190" s="26" t="n">
        <v>0</v>
      </c>
      <c r="M190" s="26" t="n">
        <v>0</v>
      </c>
    </row>
    <row r="191" ht="16" customHeight="1">
      <c r="A191" t="inlineStr">
        <is>
          <t>12-Jan-2026</t>
        </is>
      </c>
      <c r="B191" t="inlineStr">
        <is>
          <t>Monday</t>
        </is>
      </c>
      <c r="C191" t="inlineStr">
        <is>
          <t>Week2-Jan-2026</t>
        </is>
      </c>
      <c r="D191" s="78" t="n">
        <v>46023</v>
      </c>
      <c r="E191" t="inlineStr">
        <is>
          <t>Q4FY26</t>
        </is>
      </c>
      <c r="F191" t="inlineStr">
        <is>
          <t>29-Jan-2026</t>
        </is>
      </c>
      <c r="G191" t="inlineStr">
        <is>
          <t>Thursday</t>
        </is>
      </c>
      <c r="H191" t="inlineStr">
        <is>
          <t>Monthly - Thursday</t>
        </is>
      </c>
      <c r="I191" t="inlineStr">
        <is>
          <t>Monthly - Thursday</t>
        </is>
      </c>
      <c r="J191" t="inlineStr">
        <is>
          <t>Same Month Expiry</t>
        </is>
      </c>
      <c r="K191" s="25" t="n">
        <v>2651</v>
      </c>
      <c r="L191" s="26" t="n">
        <v>5.3689</v>
      </c>
      <c r="M191" s="26" t="n">
        <v>0.0302</v>
      </c>
    </row>
    <row r="192" ht="16" customHeight="1">
      <c r="A192" t="inlineStr">
        <is>
          <t>12-Jan-2026</t>
        </is>
      </c>
      <c r="B192" t="inlineStr">
        <is>
          <t>Monday</t>
        </is>
      </c>
      <c r="C192" t="inlineStr">
        <is>
          <t>Week2-Jan-2026</t>
        </is>
      </c>
      <c r="D192" s="78" t="n">
        <v>46023</v>
      </c>
      <c r="E192" t="inlineStr">
        <is>
          <t>Q4FY26</t>
        </is>
      </c>
      <c r="F192" t="inlineStr">
        <is>
          <t>26-Feb-2026</t>
        </is>
      </c>
      <c r="G192" t="inlineStr">
        <is>
          <t>Thursday</t>
        </is>
      </c>
      <c r="H192" t="inlineStr">
        <is>
          <t>Monthly - Thursday</t>
        </is>
      </c>
      <c r="I192" t="inlineStr">
        <is>
          <t>Monthly - Thursday</t>
        </is>
      </c>
      <c r="J192" t="inlineStr">
        <is>
          <t>Month+1 Expiry</t>
        </is>
      </c>
      <c r="K192" s="25" t="n">
        <v>0</v>
      </c>
      <c r="L192" s="26" t="n">
        <v>0</v>
      </c>
      <c r="M192" s="26" t="n">
        <v>0</v>
      </c>
    </row>
    <row r="193" ht="16" customHeight="1">
      <c r="A193" t="inlineStr">
        <is>
          <t>13-Jan-2026</t>
        </is>
      </c>
      <c r="B193" t="inlineStr">
        <is>
          <t>Tuesday</t>
        </is>
      </c>
      <c r="C193" t="inlineStr">
        <is>
          <t>Week2-Jan-2026</t>
        </is>
      </c>
      <c r="D193" s="78" t="n">
        <v>46023</v>
      </c>
      <c r="E193" t="inlineStr">
        <is>
          <t>Q4FY26</t>
        </is>
      </c>
      <c r="F193" t="inlineStr">
        <is>
          <t>29-Jan-2026</t>
        </is>
      </c>
      <c r="G193" t="inlineStr">
        <is>
          <t>Thursday</t>
        </is>
      </c>
      <c r="H193" t="inlineStr">
        <is>
          <t>Monthly - Thursday</t>
        </is>
      </c>
      <c r="I193" t="inlineStr">
        <is>
          <t>Monthly - Thursday</t>
        </is>
      </c>
      <c r="J193" t="inlineStr">
        <is>
          <t>Same Month Expiry</t>
        </is>
      </c>
      <c r="K193" s="25" t="n">
        <v>2007</v>
      </c>
      <c r="L193" s="26" t="n">
        <v>4.0522</v>
      </c>
      <c r="M193" s="26" t="n">
        <v>0.0194</v>
      </c>
    </row>
    <row r="194" ht="16" customHeight="1">
      <c r="A194" t="inlineStr">
        <is>
          <t>13-Jan-2026</t>
        </is>
      </c>
      <c r="B194" t="inlineStr">
        <is>
          <t>Tuesday</t>
        </is>
      </c>
      <c r="C194" t="inlineStr">
        <is>
          <t>Week2-Jan-2026</t>
        </is>
      </c>
      <c r="D194" s="78" t="n">
        <v>46023</v>
      </c>
      <c r="E194" t="inlineStr">
        <is>
          <t>Q4FY26</t>
        </is>
      </c>
      <c r="F194" t="inlineStr">
        <is>
          <t>26-Feb-2026</t>
        </is>
      </c>
      <c r="G194" t="inlineStr">
        <is>
          <t>Thursday</t>
        </is>
      </c>
      <c r="H194" t="inlineStr">
        <is>
          <t>Monthly - Thursday</t>
        </is>
      </c>
      <c r="I194" t="inlineStr">
        <is>
          <t>Monthly - Thursday</t>
        </is>
      </c>
      <c r="J194" t="inlineStr">
        <is>
          <t>Month+1 Expiry</t>
        </is>
      </c>
      <c r="K194" s="25" t="n">
        <v>1</v>
      </c>
      <c r="L194" s="26" t="n">
        <v>0.002</v>
      </c>
      <c r="M194" s="26" t="n">
        <v>0.0002</v>
      </c>
    </row>
    <row r="195" ht="16" customHeight="1">
      <c r="A195" t="inlineStr">
        <is>
          <t>14-Jan-2026</t>
        </is>
      </c>
      <c r="B195" t="inlineStr">
        <is>
          <t>Wednesday</t>
        </is>
      </c>
      <c r="C195" t="inlineStr">
        <is>
          <t>Week2-Jan-2026</t>
        </is>
      </c>
      <c r="D195" s="78" t="n">
        <v>46023</v>
      </c>
      <c r="E195" t="inlineStr">
        <is>
          <t>Q4FY26</t>
        </is>
      </c>
      <c r="F195" t="inlineStr">
        <is>
          <t>29-Jan-2026</t>
        </is>
      </c>
      <c r="G195" t="inlineStr">
        <is>
          <t>Thursday</t>
        </is>
      </c>
      <c r="H195" t="inlineStr">
        <is>
          <t>Monthly - Thursday</t>
        </is>
      </c>
      <c r="I195" t="inlineStr">
        <is>
          <t>Monthly - Thursday</t>
        </is>
      </c>
      <c r="J195" t="inlineStr">
        <is>
          <t>Same Month Expiry</t>
        </is>
      </c>
      <c r="K195" s="25" t="n">
        <v>3158</v>
      </c>
      <c r="L195" s="26" t="n">
        <v>6.3895</v>
      </c>
      <c r="M195" s="26" t="n">
        <v>0.0317</v>
      </c>
    </row>
    <row r="196" ht="16" customHeight="1">
      <c r="A196" t="inlineStr">
        <is>
          <t>14-Jan-2026</t>
        </is>
      </c>
      <c r="B196" t="inlineStr">
        <is>
          <t>Wednesday</t>
        </is>
      </c>
      <c r="C196" t="inlineStr">
        <is>
          <t>Week2-Jan-2026</t>
        </is>
      </c>
      <c r="D196" s="78" t="n">
        <v>46023</v>
      </c>
      <c r="E196" t="inlineStr">
        <is>
          <t>Q4FY26</t>
        </is>
      </c>
      <c r="F196" t="inlineStr">
        <is>
          <t>26-Feb-2026</t>
        </is>
      </c>
      <c r="G196" t="inlineStr">
        <is>
          <t>Thursday</t>
        </is>
      </c>
      <c r="H196" t="inlineStr">
        <is>
          <t>Monthly - Thursday</t>
        </is>
      </c>
      <c r="I196" t="inlineStr">
        <is>
          <t>Monthly - Thursday</t>
        </is>
      </c>
      <c r="J196" t="inlineStr">
        <is>
          <t>Month+1 Expiry</t>
        </is>
      </c>
      <c r="K196" s="25" t="n">
        <v>0</v>
      </c>
      <c r="L196" s="26" t="n">
        <v>0</v>
      </c>
      <c r="M196" s="26" t="n">
        <v>0</v>
      </c>
    </row>
    <row r="197" ht="16" customHeight="1">
      <c r="A197" t="inlineStr">
        <is>
          <t>16-Jan-2026</t>
        </is>
      </c>
      <c r="B197" t="inlineStr">
        <is>
          <t>Friday</t>
        </is>
      </c>
      <c r="C197" t="inlineStr">
        <is>
          <t>Week3-Jan-2026</t>
        </is>
      </c>
      <c r="D197" s="78" t="n">
        <v>46023</v>
      </c>
      <c r="E197" t="inlineStr">
        <is>
          <t>Q4FY26</t>
        </is>
      </c>
      <c r="F197" t="inlineStr">
        <is>
          <t>29-Jan-2026</t>
        </is>
      </c>
      <c r="G197" t="inlineStr">
        <is>
          <t>Thursday</t>
        </is>
      </c>
      <c r="H197" t="inlineStr">
        <is>
          <t>Monthly - Thursday</t>
        </is>
      </c>
      <c r="I197" t="inlineStr">
        <is>
          <t>Monthly - Thursday</t>
        </is>
      </c>
      <c r="J197" t="inlineStr">
        <is>
          <t>Same Month Expiry</t>
        </is>
      </c>
      <c r="K197" s="25" t="n">
        <v>4187</v>
      </c>
      <c r="L197" s="26" t="n">
        <v>8.5237</v>
      </c>
      <c r="M197" s="26" t="n">
        <v>0.0405</v>
      </c>
    </row>
    <row r="198" ht="16" customHeight="1">
      <c r="A198" t="inlineStr">
        <is>
          <t>16-Jan-2026</t>
        </is>
      </c>
      <c r="B198" t="inlineStr">
        <is>
          <t>Friday</t>
        </is>
      </c>
      <c r="C198" t="inlineStr">
        <is>
          <t>Week3-Jan-2026</t>
        </is>
      </c>
      <c r="D198" s="78" t="n">
        <v>46023</v>
      </c>
      <c r="E198" t="inlineStr">
        <is>
          <t>Q4FY26</t>
        </is>
      </c>
      <c r="F198" t="inlineStr">
        <is>
          <t>26-Feb-2026</t>
        </is>
      </c>
      <c r="G198" t="inlineStr">
        <is>
          <t>Thursday</t>
        </is>
      </c>
      <c r="H198" t="inlineStr">
        <is>
          <t>Monthly - Thursday</t>
        </is>
      </c>
      <c r="I198" t="inlineStr">
        <is>
          <t>Monthly - Thursday</t>
        </is>
      </c>
      <c r="J198" t="inlineStr">
        <is>
          <t>Month+1 Expiry</t>
        </is>
      </c>
      <c r="K198" s="25" t="n">
        <v>0</v>
      </c>
      <c r="L198" s="26" t="n">
        <v>0</v>
      </c>
      <c r="M198" s="26" t="n">
        <v>0</v>
      </c>
    </row>
    <row r="199" ht="16" customHeight="1">
      <c r="A199" t="inlineStr">
        <is>
          <t>19-Jan-2026</t>
        </is>
      </c>
      <c r="B199" t="inlineStr">
        <is>
          <t>Monday</t>
        </is>
      </c>
      <c r="C199" t="inlineStr">
        <is>
          <t>Week3-Jan-2026</t>
        </is>
      </c>
      <c r="D199" s="78" t="n">
        <v>46023</v>
      </c>
      <c r="E199" t="inlineStr">
        <is>
          <t>Q4FY26</t>
        </is>
      </c>
      <c r="F199" t="inlineStr">
        <is>
          <t>29-Jan-2026</t>
        </is>
      </c>
      <c r="G199" t="inlineStr">
        <is>
          <t>Thursday</t>
        </is>
      </c>
      <c r="H199" t="inlineStr">
        <is>
          <t>Monthly - Thursday</t>
        </is>
      </c>
      <c r="I199" t="inlineStr">
        <is>
          <t>Monthly - Thursday</t>
        </is>
      </c>
      <c r="J199" t="inlineStr">
        <is>
          <t>Same Month Expiry</t>
        </is>
      </c>
      <c r="K199" s="25" t="n">
        <v>4019</v>
      </c>
      <c r="L199" s="26" t="n">
        <v>8.158300000000001</v>
      </c>
      <c r="M199" s="26" t="n">
        <v>0.0339</v>
      </c>
    </row>
    <row r="200" ht="16" customHeight="1">
      <c r="A200" t="inlineStr">
        <is>
          <t>19-Jan-2026</t>
        </is>
      </c>
      <c r="B200" t="inlineStr">
        <is>
          <t>Monday</t>
        </is>
      </c>
      <c r="C200" t="inlineStr">
        <is>
          <t>Week3-Jan-2026</t>
        </is>
      </c>
      <c r="D200" s="78" t="n">
        <v>46023</v>
      </c>
      <c r="E200" t="inlineStr">
        <is>
          <t>Q4FY26</t>
        </is>
      </c>
      <c r="F200" t="inlineStr">
        <is>
          <t>26-Feb-2026</t>
        </is>
      </c>
      <c r="G200" t="inlineStr">
        <is>
          <t>Thursday</t>
        </is>
      </c>
      <c r="H200" t="inlineStr">
        <is>
          <t>Monthly - Thursday</t>
        </is>
      </c>
      <c r="I200" t="inlineStr">
        <is>
          <t>Monthly - Thursday</t>
        </is>
      </c>
      <c r="J200" t="inlineStr">
        <is>
          <t>Month+1 Expiry</t>
        </is>
      </c>
      <c r="K200" s="25" t="n">
        <v>1</v>
      </c>
      <c r="L200" s="26" t="n">
        <v>0.0021</v>
      </c>
      <c r="M200" s="26" t="n">
        <v>0</v>
      </c>
    </row>
    <row r="201" ht="16" customHeight="1">
      <c r="A201" t="inlineStr">
        <is>
          <t>20-Jan-2026</t>
        </is>
      </c>
      <c r="B201" t="inlineStr">
        <is>
          <t>Tuesday</t>
        </is>
      </c>
      <c r="C201" t="inlineStr">
        <is>
          <t>Week3-Jan-2026</t>
        </is>
      </c>
      <c r="D201" s="78" t="n">
        <v>46023</v>
      </c>
      <c r="E201" t="inlineStr">
        <is>
          <t>Q4FY26</t>
        </is>
      </c>
      <c r="F201" t="inlineStr">
        <is>
          <t>29-Jan-2026</t>
        </is>
      </c>
      <c r="G201" t="inlineStr">
        <is>
          <t>Thursday</t>
        </is>
      </c>
      <c r="H201" t="inlineStr">
        <is>
          <t>Monthly - Thursday</t>
        </is>
      </c>
      <c r="I201" t="inlineStr">
        <is>
          <t>Monthly - Thursday</t>
        </is>
      </c>
      <c r="J201" t="inlineStr">
        <is>
          <t>Same Month Expiry</t>
        </is>
      </c>
      <c r="K201" s="25" t="n">
        <v>5548</v>
      </c>
      <c r="L201" s="26" t="n">
        <v>11.2457</v>
      </c>
      <c r="M201" s="26" t="n">
        <v>0.0503</v>
      </c>
    </row>
    <row r="202" ht="16" customHeight="1">
      <c r="A202" t="inlineStr">
        <is>
          <t>20-Jan-2026</t>
        </is>
      </c>
      <c r="B202" t="inlineStr">
        <is>
          <t>Tuesday</t>
        </is>
      </c>
      <c r="C202" t="inlineStr">
        <is>
          <t>Week3-Jan-2026</t>
        </is>
      </c>
      <c r="D202" s="78" t="n">
        <v>46023</v>
      </c>
      <c r="E202" t="inlineStr">
        <is>
          <t>Q4FY26</t>
        </is>
      </c>
      <c r="F202" t="inlineStr">
        <is>
          <t>26-Feb-2026</t>
        </is>
      </c>
      <c r="G202" t="inlineStr">
        <is>
          <t>Thursday</t>
        </is>
      </c>
      <c r="H202" t="inlineStr">
        <is>
          <t>Monthly - Thursday</t>
        </is>
      </c>
      <c r="I202" t="inlineStr">
        <is>
          <t>Monthly - Thursday</t>
        </is>
      </c>
      <c r="J202" t="inlineStr">
        <is>
          <t>Month+1 Expiry</t>
        </is>
      </c>
      <c r="K202" s="25" t="n">
        <v>0</v>
      </c>
      <c r="L202" s="26" t="n">
        <v>0</v>
      </c>
      <c r="M202" s="26" t="n">
        <v>0</v>
      </c>
    </row>
    <row r="203" ht="16" customHeight="1">
      <c r="A203" t="inlineStr">
        <is>
          <t>21-Jan-2026</t>
        </is>
      </c>
      <c r="B203" t="inlineStr">
        <is>
          <t>Wednesday</t>
        </is>
      </c>
      <c r="C203" t="inlineStr">
        <is>
          <t>Week3-Jan-2026</t>
        </is>
      </c>
      <c r="D203" s="78" t="n">
        <v>46023</v>
      </c>
      <c r="E203" t="inlineStr">
        <is>
          <t>Q4FY26</t>
        </is>
      </c>
      <c r="F203" t="inlineStr">
        <is>
          <t>29-Jan-2026</t>
        </is>
      </c>
      <c r="G203" t="inlineStr">
        <is>
          <t>Thursday</t>
        </is>
      </c>
      <c r="H203" t="inlineStr">
        <is>
          <t>Monthly - Thursday</t>
        </is>
      </c>
      <c r="I203" t="inlineStr">
        <is>
          <t>Monthly - Thursday</t>
        </is>
      </c>
      <c r="J203" t="inlineStr">
        <is>
          <t>Same Month Expiry</t>
        </is>
      </c>
      <c r="K203" s="25" t="n">
        <v>13315</v>
      </c>
      <c r="L203" s="26" t="n">
        <v>26.8645</v>
      </c>
      <c r="M203" s="26" t="n">
        <v>0.1231</v>
      </c>
    </row>
    <row r="204" ht="16" customHeight="1">
      <c r="A204" t="inlineStr">
        <is>
          <t>21-Jan-2026</t>
        </is>
      </c>
      <c r="B204" t="inlineStr">
        <is>
          <t>Wednesday</t>
        </is>
      </c>
      <c r="C204" t="inlineStr">
        <is>
          <t>Week3-Jan-2026</t>
        </is>
      </c>
      <c r="D204" s="78" t="n">
        <v>46023</v>
      </c>
      <c r="E204" t="inlineStr">
        <is>
          <t>Q4FY26</t>
        </is>
      </c>
      <c r="F204" t="inlineStr">
        <is>
          <t>26-Feb-2026</t>
        </is>
      </c>
      <c r="G204" t="inlineStr">
        <is>
          <t>Thursday</t>
        </is>
      </c>
      <c r="H204" t="inlineStr">
        <is>
          <t>Monthly - Thursday</t>
        </is>
      </c>
      <c r="I204" t="inlineStr">
        <is>
          <t>Monthly - Thursday</t>
        </is>
      </c>
      <c r="J204" t="inlineStr">
        <is>
          <t>Month+1 Expiry</t>
        </is>
      </c>
      <c r="K204" s="25" t="n">
        <v>2</v>
      </c>
      <c r="L204" s="26" t="n">
        <v>0.0035</v>
      </c>
      <c r="M204" s="26" t="n">
        <v>0</v>
      </c>
    </row>
    <row r="205" ht="16" customHeight="1">
      <c r="A205" t="inlineStr">
        <is>
          <t>22-Jan-2026</t>
        </is>
      </c>
      <c r="B205" t="inlineStr">
        <is>
          <t>Thursday</t>
        </is>
      </c>
      <c r="C205" t="inlineStr">
        <is>
          <t>Week4-Jan-2026</t>
        </is>
      </c>
      <c r="D205" s="78" t="n">
        <v>46023</v>
      </c>
      <c r="E205" t="inlineStr">
        <is>
          <t>Q4FY26</t>
        </is>
      </c>
      <c r="F205" t="inlineStr">
        <is>
          <t>29-Jan-2026</t>
        </is>
      </c>
      <c r="G205" t="inlineStr">
        <is>
          <t>Thursday</t>
        </is>
      </c>
      <c r="H205" t="inlineStr">
        <is>
          <t>Monthly - Thursday</t>
        </is>
      </c>
      <c r="I205" t="inlineStr">
        <is>
          <t>Monthly - Thursday</t>
        </is>
      </c>
      <c r="J205" t="inlineStr">
        <is>
          <t>Same Month Expiry</t>
        </is>
      </c>
      <c r="K205" s="25" t="n">
        <v>15483</v>
      </c>
      <c r="L205" s="26" t="n">
        <v>31.195</v>
      </c>
      <c r="M205" s="26" t="n">
        <v>0.1188</v>
      </c>
    </row>
    <row r="206" ht="16" customHeight="1">
      <c r="A206" t="inlineStr">
        <is>
          <t>22-Jan-2026</t>
        </is>
      </c>
      <c r="B206" t="inlineStr">
        <is>
          <t>Thursday</t>
        </is>
      </c>
      <c r="C206" t="inlineStr">
        <is>
          <t>Week4-Jan-2026</t>
        </is>
      </c>
      <c r="D206" s="78" t="n">
        <v>46023</v>
      </c>
      <c r="E206" t="inlineStr">
        <is>
          <t>Q4FY26</t>
        </is>
      </c>
      <c r="F206" t="inlineStr">
        <is>
          <t>26-Feb-2026</t>
        </is>
      </c>
      <c r="G206" t="inlineStr">
        <is>
          <t>Thursday</t>
        </is>
      </c>
      <c r="H206" t="inlineStr">
        <is>
          <t>Monthly - Thursday</t>
        </is>
      </c>
      <c r="I206" t="inlineStr">
        <is>
          <t>Monthly - Thursday</t>
        </is>
      </c>
      <c r="J206" t="inlineStr">
        <is>
          <t>Month+1 Expiry</t>
        </is>
      </c>
      <c r="K206" s="25" t="n">
        <v>0</v>
      </c>
      <c r="L206" s="26" t="n">
        <v>0</v>
      </c>
      <c r="M206" s="26" t="n">
        <v>0</v>
      </c>
    </row>
    <row r="207" ht="16" customHeight="1">
      <c r="A207" t="inlineStr">
        <is>
          <t>23-Jan-2026</t>
        </is>
      </c>
      <c r="B207" t="inlineStr">
        <is>
          <t>Friday</t>
        </is>
      </c>
      <c r="C207" t="inlineStr">
        <is>
          <t>Week4-Jan-2026</t>
        </is>
      </c>
      <c r="D207" s="78" t="n">
        <v>46023</v>
      </c>
      <c r="E207" t="inlineStr">
        <is>
          <t>Q4FY26</t>
        </is>
      </c>
      <c r="F207" t="inlineStr">
        <is>
          <t>29-Jan-2026</t>
        </is>
      </c>
      <c r="G207" t="inlineStr">
        <is>
          <t>Thursday</t>
        </is>
      </c>
      <c r="H207" t="inlineStr">
        <is>
          <t>Monthly - Thursday</t>
        </is>
      </c>
      <c r="I207" t="inlineStr">
        <is>
          <t>Monthly - Thursday</t>
        </is>
      </c>
      <c r="J207" t="inlineStr">
        <is>
          <t>Same Month Expiry</t>
        </is>
      </c>
      <c r="K207" s="25" t="n">
        <v>24430</v>
      </c>
      <c r="L207" s="26" t="n">
        <v>48.997</v>
      </c>
      <c r="M207" s="26" t="n">
        <v>0.2044</v>
      </c>
    </row>
    <row r="208" ht="16" customHeight="1">
      <c r="A208" t="inlineStr">
        <is>
          <t>23-Jan-2026</t>
        </is>
      </c>
      <c r="B208" t="inlineStr">
        <is>
          <t>Friday</t>
        </is>
      </c>
      <c r="C208" t="inlineStr">
        <is>
          <t>Week4-Jan-2026</t>
        </is>
      </c>
      <c r="D208" s="78" t="n">
        <v>46023</v>
      </c>
      <c r="E208" t="inlineStr">
        <is>
          <t>Q4FY26</t>
        </is>
      </c>
      <c r="F208" t="inlineStr">
        <is>
          <t>26-Feb-2026</t>
        </is>
      </c>
      <c r="G208" t="inlineStr">
        <is>
          <t>Thursday</t>
        </is>
      </c>
      <c r="H208" t="inlineStr">
        <is>
          <t>Monthly - Thursday</t>
        </is>
      </c>
      <c r="I208" t="inlineStr">
        <is>
          <t>Monthly - Thursday</t>
        </is>
      </c>
      <c r="J208" t="inlineStr">
        <is>
          <t>Month+1 Expiry</t>
        </is>
      </c>
      <c r="K208" s="25" t="n">
        <v>74</v>
      </c>
      <c r="L208" s="26" t="n">
        <v>0.1506</v>
      </c>
      <c r="M208" s="26" t="n">
        <v>0.0015</v>
      </c>
    </row>
    <row r="209" ht="16" customHeight="1">
      <c r="A209" t="inlineStr">
        <is>
          <t>27-Jan-2026</t>
        </is>
      </c>
      <c r="B209" t="inlineStr">
        <is>
          <t>Tuesday</t>
        </is>
      </c>
      <c r="C209" t="inlineStr">
        <is>
          <t>Week4-Jan-2026</t>
        </is>
      </c>
      <c r="D209" s="78" t="n">
        <v>46023</v>
      </c>
      <c r="E209" t="inlineStr">
        <is>
          <t>Q4FY26</t>
        </is>
      </c>
      <c r="F209" t="inlineStr">
        <is>
          <t>29-Jan-2026</t>
        </is>
      </c>
      <c r="G209" t="inlineStr">
        <is>
          <t>Thursday</t>
        </is>
      </c>
      <c r="H209" t="inlineStr">
        <is>
          <t>Monthly - Thursday</t>
        </is>
      </c>
      <c r="I209" t="inlineStr">
        <is>
          <t>Monthly - Thursday</t>
        </is>
      </c>
      <c r="J209" t="inlineStr">
        <is>
          <t>Same Month Expiry</t>
        </is>
      </c>
      <c r="K209" s="25" t="n">
        <v>34632</v>
      </c>
      <c r="L209" s="26" t="n">
        <v>69.0647</v>
      </c>
      <c r="M209" s="26" t="n">
        <v>0.2487</v>
      </c>
    </row>
    <row r="210" ht="16" customHeight="1">
      <c r="A210" t="inlineStr">
        <is>
          <t>27-Jan-2026</t>
        </is>
      </c>
      <c r="B210" t="inlineStr">
        <is>
          <t>Tuesday</t>
        </is>
      </c>
      <c r="C210" t="inlineStr">
        <is>
          <t>Week4-Jan-2026</t>
        </is>
      </c>
      <c r="D210" s="78" t="n">
        <v>46023</v>
      </c>
      <c r="E210" t="inlineStr">
        <is>
          <t>Q4FY26</t>
        </is>
      </c>
      <c r="F210" t="inlineStr">
        <is>
          <t>26-Feb-2026</t>
        </is>
      </c>
      <c r="G210" t="inlineStr">
        <is>
          <t>Thursday</t>
        </is>
      </c>
      <c r="H210" t="inlineStr">
        <is>
          <t>Monthly - Thursday</t>
        </is>
      </c>
      <c r="I210" t="inlineStr">
        <is>
          <t>Monthly - Thursday</t>
        </is>
      </c>
      <c r="J210" t="inlineStr">
        <is>
          <t>Month+1 Expiry</t>
        </is>
      </c>
      <c r="K210" s="25" t="n">
        <v>55</v>
      </c>
      <c r="L210" s="26" t="n">
        <v>0.1116</v>
      </c>
      <c r="M210" s="26" t="n">
        <v>0.0011</v>
      </c>
    </row>
    <row r="211" ht="16" customHeight="1">
      <c r="A211" t="inlineStr">
        <is>
          <t>28-Jan-2026</t>
        </is>
      </c>
      <c r="B211" t="inlineStr">
        <is>
          <t>Wednesday</t>
        </is>
      </c>
      <c r="C211" t="inlineStr">
        <is>
          <t>Week4-Jan-2026</t>
        </is>
      </c>
      <c r="D211" s="78" t="n">
        <v>46023</v>
      </c>
      <c r="E211" t="inlineStr">
        <is>
          <t>Q4FY26</t>
        </is>
      </c>
      <c r="F211" t="inlineStr">
        <is>
          <t>29-Jan-2026</t>
        </is>
      </c>
      <c r="G211" t="inlineStr">
        <is>
          <t>Thursday</t>
        </is>
      </c>
      <c r="H211" t="inlineStr">
        <is>
          <t>Monthly - Thursday</t>
        </is>
      </c>
      <c r="I211" t="inlineStr">
        <is>
          <t>Monthly - Thursday</t>
        </is>
      </c>
      <c r="J211" t="inlineStr">
        <is>
          <t>Same Month Expiry</t>
        </is>
      </c>
      <c r="K211" s="25" t="n">
        <v>977915</v>
      </c>
      <c r="L211" s="26" t="n">
        <v>1968.3485</v>
      </c>
      <c r="M211" s="26" t="n">
        <v>3.7737</v>
      </c>
    </row>
    <row r="212" ht="16" customHeight="1">
      <c r="A212" t="inlineStr">
        <is>
          <t>28-Jan-2026</t>
        </is>
      </c>
      <c r="B212" t="inlineStr">
        <is>
          <t>Wednesday</t>
        </is>
      </c>
      <c r="C212" t="inlineStr">
        <is>
          <t>Week4-Jan-2026</t>
        </is>
      </c>
      <c r="D212" s="78" t="n">
        <v>46023</v>
      </c>
      <c r="E212" t="inlineStr">
        <is>
          <t>Q4FY26</t>
        </is>
      </c>
      <c r="F212" t="inlineStr">
        <is>
          <t>26-Feb-2026</t>
        </is>
      </c>
      <c r="G212" t="inlineStr">
        <is>
          <t>Thursday</t>
        </is>
      </c>
      <c r="H212" t="inlineStr">
        <is>
          <t>Monthly - Thursday</t>
        </is>
      </c>
      <c r="I212" t="inlineStr">
        <is>
          <t>Monthly - Thursday</t>
        </is>
      </c>
      <c r="J212" t="inlineStr">
        <is>
          <t>Month+1 Expiry</t>
        </is>
      </c>
      <c r="K212" s="25" t="n">
        <v>267</v>
      </c>
      <c r="L212" s="26" t="n">
        <v>0.5485</v>
      </c>
      <c r="M212" s="26" t="n">
        <v>0.004</v>
      </c>
    </row>
    <row r="213" ht="16" customHeight="1">
      <c r="A213" t="inlineStr">
        <is>
          <t>29-Jan-2026</t>
        </is>
      </c>
      <c r="B213" t="inlineStr">
        <is>
          <t>Thursday</t>
        </is>
      </c>
      <c r="C213" t="inlineStr">
        <is>
          <t>Week5-Jan-2026</t>
        </is>
      </c>
      <c r="D213" s="78" t="n">
        <v>46023</v>
      </c>
      <c r="E213" t="inlineStr">
        <is>
          <t>Q4FY26</t>
        </is>
      </c>
      <c r="F213" t="inlineStr">
        <is>
          <t>29-Jan-2026</t>
        </is>
      </c>
      <c r="G213" t="inlineStr">
        <is>
          <t>Thursday</t>
        </is>
      </c>
      <c r="H213" t="inlineStr">
        <is>
          <t>Monthly - Thursday</t>
        </is>
      </c>
      <c r="I213" t="inlineStr">
        <is>
          <t>Monthly - Thursday</t>
        </is>
      </c>
      <c r="J213" t="inlineStr">
        <is>
          <t>Same Month Expiry</t>
        </is>
      </c>
      <c r="K213" s="25" t="n">
        <v>6328193</v>
      </c>
      <c r="L213" s="26" t="n">
        <v>12782.9398</v>
      </c>
      <c r="M213" s="26" t="n">
        <v>11.0616</v>
      </c>
    </row>
    <row r="214" ht="16" customHeight="1">
      <c r="A214" t="inlineStr">
        <is>
          <t>29-Jan-2026</t>
        </is>
      </c>
      <c r="B214" t="inlineStr">
        <is>
          <t>Thursday</t>
        </is>
      </c>
      <c r="C214" t="inlineStr">
        <is>
          <t>Week5-Jan-2026</t>
        </is>
      </c>
      <c r="D214" s="78" t="n">
        <v>46023</v>
      </c>
      <c r="E214" t="inlineStr">
        <is>
          <t>Q4FY26</t>
        </is>
      </c>
      <c r="F214" t="inlineStr">
        <is>
          <t>26-Feb-2026</t>
        </is>
      </c>
      <c r="G214" t="inlineStr">
        <is>
          <t>Thursday</t>
        </is>
      </c>
      <c r="H214" t="inlineStr">
        <is>
          <t>Monthly - Thursday</t>
        </is>
      </c>
      <c r="I214" t="inlineStr">
        <is>
          <t>Monthly - Thursday</t>
        </is>
      </c>
      <c r="J214" t="inlineStr">
        <is>
          <t>Month+1 Expiry</t>
        </is>
      </c>
      <c r="K214" s="25" t="n">
        <v>419</v>
      </c>
      <c r="L214" s="26" t="n">
        <v>0.8623</v>
      </c>
      <c r="M214" s="26" t="n">
        <v>0.0066</v>
      </c>
    </row>
    <row r="215" ht="16" customHeight="1">
      <c r="A215" t="inlineStr">
        <is>
          <t>30-Jan-2026</t>
        </is>
      </c>
      <c r="B215" t="inlineStr">
        <is>
          <t>Friday</t>
        </is>
      </c>
      <c r="C215" t="inlineStr">
        <is>
          <t>Week5-Jan-2026</t>
        </is>
      </c>
      <c r="D215" s="78" t="n">
        <v>46023</v>
      </c>
      <c r="E215" t="inlineStr">
        <is>
          <t>Q4FY26</t>
        </is>
      </c>
      <c r="F215" t="inlineStr">
        <is>
          <t>26-Feb-2026</t>
        </is>
      </c>
      <c r="G215" t="inlineStr">
        <is>
          <t>Thursday</t>
        </is>
      </c>
      <c r="H215" t="inlineStr">
        <is>
          <t>Monthly - Thursday</t>
        </is>
      </c>
      <c r="I215" t="inlineStr">
        <is>
          <t>Monthly - Thursday</t>
        </is>
      </c>
      <c r="J215" t="inlineStr">
        <is>
          <t>Month+1 Expiry</t>
        </is>
      </c>
      <c r="K215" s="25" t="n">
        <v>1134</v>
      </c>
      <c r="L215" s="26" t="n">
        <v>2.3056</v>
      </c>
      <c r="M215" s="26" t="n">
        <v>0.0239</v>
      </c>
    </row>
    <row r="216" ht="16" customHeight="1">
      <c r="A216" t="inlineStr">
        <is>
          <t>01-Feb-2026</t>
        </is>
      </c>
      <c r="B216" t="inlineStr">
        <is>
          <t>Sunday</t>
        </is>
      </c>
      <c r="C216" t="inlineStr">
        <is>
          <t>Week1-Feb-2026</t>
        </is>
      </c>
      <c r="D216" s="78" t="n">
        <v>46054</v>
      </c>
      <c r="E216" t="inlineStr">
        <is>
          <t>Q4FY26</t>
        </is>
      </c>
      <c r="F216" t="inlineStr">
        <is>
          <t>26-Feb-2026</t>
        </is>
      </c>
      <c r="G216" t="inlineStr">
        <is>
          <t>Thursday</t>
        </is>
      </c>
      <c r="H216" t="inlineStr">
        <is>
          <t>Monthly - Thursday</t>
        </is>
      </c>
      <c r="I216" t="inlineStr">
        <is>
          <t>Monthly - Thursday</t>
        </is>
      </c>
      <c r="J216" t="inlineStr">
        <is>
          <t>Same Month Expiry</t>
        </is>
      </c>
      <c r="K216" s="25" t="n">
        <v>3213</v>
      </c>
      <c r="L216" s="26" t="n">
        <v>6.5319</v>
      </c>
      <c r="M216" s="26" t="n">
        <v>0.0673</v>
      </c>
    </row>
    <row r="217" ht="16" customHeight="1">
      <c r="A217" t="inlineStr">
        <is>
          <t>02-Feb-2026</t>
        </is>
      </c>
      <c r="B217" t="inlineStr">
        <is>
          <t>Monday</t>
        </is>
      </c>
      <c r="C217" t="inlineStr">
        <is>
          <t>Week1-Feb-2026</t>
        </is>
      </c>
      <c r="D217" s="78" t="n">
        <v>46054</v>
      </c>
      <c r="E217" t="inlineStr">
        <is>
          <t>Q4FY26</t>
        </is>
      </c>
      <c r="F217" t="inlineStr">
        <is>
          <t>26-Feb-2026</t>
        </is>
      </c>
      <c r="G217" t="inlineStr">
        <is>
          <t>Thursday</t>
        </is>
      </c>
      <c r="H217" t="inlineStr">
        <is>
          <t>Monthly - Thursday</t>
        </is>
      </c>
      <c r="I217" t="inlineStr">
        <is>
          <t>Monthly - Thursday</t>
        </is>
      </c>
      <c r="J217" t="inlineStr">
        <is>
          <t>Same Month Expiry</t>
        </is>
      </c>
      <c r="K217" s="25" t="n">
        <v>1579</v>
      </c>
      <c r="L217" s="26" t="n">
        <v>3.1715</v>
      </c>
      <c r="M217" s="26" t="n">
        <v>0.0239</v>
      </c>
    </row>
    <row r="218" ht="16" customHeight="1">
      <c r="A218" t="inlineStr">
        <is>
          <t>03-Feb-2026</t>
        </is>
      </c>
      <c r="B218" t="inlineStr">
        <is>
          <t>Tuesday</t>
        </is>
      </c>
      <c r="C218" t="inlineStr">
        <is>
          <t>Week1-Feb-2026</t>
        </is>
      </c>
      <c r="D218" s="78" t="n">
        <v>46054</v>
      </c>
      <c r="E218" t="inlineStr">
        <is>
          <t>Q4FY26</t>
        </is>
      </c>
      <c r="F218" t="inlineStr">
        <is>
          <t>26-Feb-2026</t>
        </is>
      </c>
      <c r="G218" t="inlineStr">
        <is>
          <t>Thursday</t>
        </is>
      </c>
      <c r="H218" t="inlineStr">
        <is>
          <t>Monthly - Thursday</t>
        </is>
      </c>
      <c r="I218" t="inlineStr">
        <is>
          <t>Monthly - Thursday</t>
        </is>
      </c>
      <c r="J218" t="inlineStr">
        <is>
          <t>Same Month Expiry</t>
        </is>
      </c>
      <c r="K218" s="25" t="n">
        <v>1544</v>
      </c>
      <c r="L218" s="26" t="n">
        <v>3.1443</v>
      </c>
      <c r="M218" s="26" t="n">
        <v>0.0322</v>
      </c>
    </row>
    <row r="219" ht="16" customHeight="1">
      <c r="A219" t="inlineStr">
        <is>
          <t>04-Feb-2026</t>
        </is>
      </c>
      <c r="B219" t="inlineStr">
        <is>
          <t>Wednesday</t>
        </is>
      </c>
      <c r="C219" t="inlineStr">
        <is>
          <t>Week1-Feb-2026</t>
        </is>
      </c>
      <c r="D219" s="78" t="n">
        <v>46054</v>
      </c>
      <c r="E219" t="inlineStr">
        <is>
          <t>Q4FY26</t>
        </is>
      </c>
      <c r="F219" t="inlineStr">
        <is>
          <t>26-Feb-2026</t>
        </is>
      </c>
      <c r="G219" t="inlineStr">
        <is>
          <t>Thursday</t>
        </is>
      </c>
      <c r="H219" t="inlineStr">
        <is>
          <t>Monthly - Thursday</t>
        </is>
      </c>
      <c r="I219" t="inlineStr">
        <is>
          <t>Monthly - Thursday</t>
        </is>
      </c>
      <c r="J219" t="inlineStr">
        <is>
          <t>Same Month Expiry</t>
        </is>
      </c>
      <c r="K219" s="25" t="n">
        <v>2053</v>
      </c>
      <c r="L219" s="26" t="n">
        <v>4.1696</v>
      </c>
      <c r="M219" s="26" t="n">
        <v>0.0285</v>
      </c>
    </row>
    <row r="220" ht="16" customHeight="1">
      <c r="A220" t="inlineStr">
        <is>
          <t>05-Feb-2026</t>
        </is>
      </c>
      <c r="B220" t="inlineStr">
        <is>
          <t>Thursday</t>
        </is>
      </c>
      <c r="C220" t="inlineStr">
        <is>
          <t>Week1-Feb-2026</t>
        </is>
      </c>
      <c r="D220" s="78" t="n">
        <v>46054</v>
      </c>
      <c r="E220" t="inlineStr">
        <is>
          <t>Q4FY26</t>
        </is>
      </c>
      <c r="F220" t="inlineStr">
        <is>
          <t>26-Feb-2026</t>
        </is>
      </c>
      <c r="G220" t="inlineStr">
        <is>
          <t>Thursday</t>
        </is>
      </c>
      <c r="H220" t="inlineStr">
        <is>
          <t>Monthly - Thursday</t>
        </is>
      </c>
      <c r="I220" t="inlineStr">
        <is>
          <t>Monthly - Thursday</t>
        </is>
      </c>
      <c r="J220" t="inlineStr">
        <is>
          <t>Same Month Expiry</t>
        </is>
      </c>
      <c r="K220" s="25" t="n">
        <v>1595</v>
      </c>
      <c r="L220" s="26" t="n">
        <v>3.257</v>
      </c>
      <c r="M220" s="26" t="n">
        <v>0.022</v>
      </c>
    </row>
    <row r="221" ht="16" customHeight="1">
      <c r="A221" t="inlineStr">
        <is>
          <t>06-Feb-2026</t>
        </is>
      </c>
      <c r="B221" t="inlineStr">
        <is>
          <t>Friday</t>
        </is>
      </c>
      <c r="C221" t="inlineStr">
        <is>
          <t>Week1-Feb-2026</t>
        </is>
      </c>
      <c r="D221" s="78" t="n">
        <v>46054</v>
      </c>
      <c r="E221" t="inlineStr">
        <is>
          <t>Q4FY26</t>
        </is>
      </c>
      <c r="F221" t="inlineStr">
        <is>
          <t>26-Feb-2026</t>
        </is>
      </c>
      <c r="G221" t="inlineStr">
        <is>
          <t>Thursday</t>
        </is>
      </c>
      <c r="H221" t="inlineStr">
        <is>
          <t>Monthly - Thursday</t>
        </is>
      </c>
      <c r="I221" t="inlineStr">
        <is>
          <t>Monthly - Thursday</t>
        </is>
      </c>
      <c r="J221" t="inlineStr">
        <is>
          <t>Same Month Expiry</t>
        </is>
      </c>
      <c r="K221" s="25" t="n">
        <v>3726</v>
      </c>
      <c r="L221" s="26" t="n">
        <v>7.5967</v>
      </c>
      <c r="M221" s="26" t="n">
        <v>0.0442</v>
      </c>
    </row>
    <row r="222" ht="16" customHeight="1">
      <c r="A222" t="inlineStr">
        <is>
          <t>09-Feb-2026</t>
        </is>
      </c>
      <c r="B222" t="inlineStr">
        <is>
          <t>Monday</t>
        </is>
      </c>
      <c r="C222" t="inlineStr">
        <is>
          <t>Week2-Feb-2026</t>
        </is>
      </c>
      <c r="D222" s="78" t="n">
        <v>46054</v>
      </c>
      <c r="E222" t="inlineStr">
        <is>
          <t>Q4FY26</t>
        </is>
      </c>
      <c r="F222" t="inlineStr">
        <is>
          <t>26-Feb-2026</t>
        </is>
      </c>
      <c r="G222" t="inlineStr">
        <is>
          <t>Thursday</t>
        </is>
      </c>
      <c r="H222" t="inlineStr">
        <is>
          <t>Monthly - Thursday</t>
        </is>
      </c>
      <c r="I222" t="inlineStr">
        <is>
          <t>Monthly - Thursday</t>
        </is>
      </c>
      <c r="J222" t="inlineStr">
        <is>
          <t>Same Month Expiry</t>
        </is>
      </c>
      <c r="K222" s="25" t="n">
        <v>2884</v>
      </c>
      <c r="L222" s="26" t="n">
        <v>5.9094</v>
      </c>
      <c r="M222" s="26" t="n">
        <v>0.0297</v>
      </c>
    </row>
    <row r="223" ht="16" customHeight="1">
      <c r="A223" t="inlineStr">
        <is>
          <t>10-Feb-2026</t>
        </is>
      </c>
      <c r="B223" t="inlineStr">
        <is>
          <t>Tuesday</t>
        </is>
      </c>
      <c r="C223" t="inlineStr">
        <is>
          <t>Week2-Feb-2026</t>
        </is>
      </c>
      <c r="D223" s="78" t="n">
        <v>46054</v>
      </c>
      <c r="E223" t="inlineStr">
        <is>
          <t>Q4FY26</t>
        </is>
      </c>
      <c r="F223" t="inlineStr">
        <is>
          <t>26-Feb-2026</t>
        </is>
      </c>
      <c r="G223" t="inlineStr">
        <is>
          <t>Thursday</t>
        </is>
      </c>
      <c r="H223" t="inlineStr">
        <is>
          <t>Monthly - Thursday</t>
        </is>
      </c>
      <c r="I223" t="inlineStr">
        <is>
          <t>Monthly - Thursday</t>
        </is>
      </c>
      <c r="J223" t="inlineStr">
        <is>
          <t>Same Month Expiry</t>
        </is>
      </c>
      <c r="K223" s="25" t="n">
        <v>2764</v>
      </c>
      <c r="L223" s="26" t="n">
        <v>5.6772</v>
      </c>
      <c r="M223" s="26" t="n">
        <v>0.0305</v>
      </c>
    </row>
    <row r="224" ht="16" customHeight="1">
      <c r="A224" t="inlineStr">
        <is>
          <t>11-Feb-2026</t>
        </is>
      </c>
      <c r="B224" t="inlineStr">
        <is>
          <t>Wednesday</t>
        </is>
      </c>
      <c r="C224" t="inlineStr">
        <is>
          <t>Week2-Feb-2026</t>
        </is>
      </c>
      <c r="D224" s="78" t="n">
        <v>46054</v>
      </c>
      <c r="E224" t="inlineStr">
        <is>
          <t>Q4FY26</t>
        </is>
      </c>
      <c r="F224" t="inlineStr">
        <is>
          <t>26-Feb-2026</t>
        </is>
      </c>
      <c r="G224" t="inlineStr">
        <is>
          <t>Thursday</t>
        </is>
      </c>
      <c r="H224" t="inlineStr">
        <is>
          <t>Monthly - Thursday</t>
        </is>
      </c>
      <c r="I224" t="inlineStr">
        <is>
          <t>Monthly - Thursday</t>
        </is>
      </c>
      <c r="J224" t="inlineStr">
        <is>
          <t>Same Month Expiry</t>
        </is>
      </c>
      <c r="K224" s="25" t="n">
        <v>3545</v>
      </c>
      <c r="L224" s="26" t="n">
        <v>7.2484</v>
      </c>
      <c r="M224" s="26" t="n">
        <v>0.0338</v>
      </c>
    </row>
    <row r="225" ht="16" customHeight="1">
      <c r="A225" t="inlineStr">
        <is>
          <t>12-Feb-2026</t>
        </is>
      </c>
      <c r="B225" t="inlineStr">
        <is>
          <t>Thursday</t>
        </is>
      </c>
      <c r="C225" t="inlineStr">
        <is>
          <t>Week2-Feb-2026</t>
        </is>
      </c>
      <c r="D225" s="78" t="n">
        <v>46054</v>
      </c>
      <c r="E225" t="inlineStr">
        <is>
          <t>Q4FY26</t>
        </is>
      </c>
      <c r="F225" t="inlineStr">
        <is>
          <t>26-Feb-2026</t>
        </is>
      </c>
      <c r="G225" t="inlineStr">
        <is>
          <t>Thursday</t>
        </is>
      </c>
      <c r="H225" t="inlineStr">
        <is>
          <t>Monthly - Thursday</t>
        </is>
      </c>
      <c r="I225" t="inlineStr">
        <is>
          <t>Monthly - Thursday</t>
        </is>
      </c>
      <c r="J225" t="inlineStr">
        <is>
          <t>Same Month Expiry</t>
        </is>
      </c>
      <c r="K225" s="25" t="n">
        <v>2780</v>
      </c>
      <c r="L225" s="26" t="n">
        <v>5.6756</v>
      </c>
      <c r="M225" s="26" t="n">
        <v>0.0244</v>
      </c>
    </row>
    <row r="226" ht="16" customHeight="1">
      <c r="A226" t="inlineStr">
        <is>
          <t>13-Feb-2026</t>
        </is>
      </c>
      <c r="B226" t="inlineStr">
        <is>
          <t>Friday</t>
        </is>
      </c>
      <c r="C226" t="inlineStr">
        <is>
          <t>Week2-Feb-2026</t>
        </is>
      </c>
      <c r="D226" s="78" t="n">
        <v>46054</v>
      </c>
      <c r="E226" t="inlineStr">
        <is>
          <t>Q4FY26</t>
        </is>
      </c>
      <c r="F226" t="inlineStr">
        <is>
          <t>26-Feb-2026</t>
        </is>
      </c>
      <c r="G226" t="inlineStr">
        <is>
          <t>Thursday</t>
        </is>
      </c>
      <c r="H226" t="inlineStr">
        <is>
          <t>Monthly - Thursday</t>
        </is>
      </c>
      <c r="I226" t="inlineStr">
        <is>
          <t>Monthly - Thursday</t>
        </is>
      </c>
      <c r="J226" t="inlineStr">
        <is>
          <t>Same Month Expiry</t>
        </is>
      </c>
      <c r="K226" s="25" t="n">
        <v>8397</v>
      </c>
      <c r="L226" s="26" t="n">
        <v>17.1163</v>
      </c>
      <c r="M226" s="26" t="n">
        <v>0.0898</v>
      </c>
    </row>
    <row r="227" ht="16" customHeight="1">
      <c r="A227" t="inlineStr">
        <is>
          <t>16-Feb-2026</t>
        </is>
      </c>
      <c r="B227" t="inlineStr">
        <is>
          <t>Monday</t>
        </is>
      </c>
      <c r="C227" t="inlineStr">
        <is>
          <t>Week3-Feb-2026</t>
        </is>
      </c>
      <c r="D227" s="78" t="n">
        <v>46054</v>
      </c>
      <c r="E227" t="inlineStr">
        <is>
          <t>Q4FY26</t>
        </is>
      </c>
      <c r="F227" t="inlineStr">
        <is>
          <t>26-Feb-2026</t>
        </is>
      </c>
      <c r="G227" t="inlineStr">
        <is>
          <t>Thursday</t>
        </is>
      </c>
      <c r="H227" t="inlineStr">
        <is>
          <t>Monthly - Thursday</t>
        </is>
      </c>
      <c r="I227" t="inlineStr">
        <is>
          <t>Monthly - Thursday</t>
        </is>
      </c>
      <c r="J227" t="inlineStr">
        <is>
          <t>Same Month Expiry</t>
        </is>
      </c>
      <c r="K227" s="25" t="n">
        <v>6732</v>
      </c>
      <c r="L227" s="26" t="n">
        <v>13.7305</v>
      </c>
      <c r="M227" s="26" t="n">
        <v>0.0572</v>
      </c>
    </row>
    <row r="228" ht="16" customHeight="1">
      <c r="A228" t="inlineStr">
        <is>
          <t>16-Feb-2026</t>
        </is>
      </c>
      <c r="B228" t="inlineStr">
        <is>
          <t>Monday</t>
        </is>
      </c>
      <c r="C228" t="inlineStr">
        <is>
          <t>Week3-Feb-2026</t>
        </is>
      </c>
      <c r="D228" s="78" t="n">
        <v>46054</v>
      </c>
      <c r="E228" t="inlineStr">
        <is>
          <t>Q4FY26</t>
        </is>
      </c>
      <c r="F228" t="inlineStr">
        <is>
          <t>30-Apr-2026</t>
        </is>
      </c>
      <c r="G228" t="inlineStr">
        <is>
          <t>Thursday</t>
        </is>
      </c>
      <c r="H228" t="inlineStr">
        <is>
          <t>Monthly - Thursday</t>
        </is>
      </c>
      <c r="I228" t="inlineStr">
        <is>
          <t>Monthly - Thursday</t>
        </is>
      </c>
      <c r="J228" t="inlineStr">
        <is>
          <t>Month+2 Expiry</t>
        </is>
      </c>
      <c r="K228" s="25" t="n">
        <v>0</v>
      </c>
      <c r="L228" s="26" t="n">
        <v>0</v>
      </c>
      <c r="M228" s="26" t="n">
        <v>0</v>
      </c>
    </row>
    <row r="229" ht="16" customHeight="1">
      <c r="A229" t="inlineStr">
        <is>
          <t>17-Feb-2026</t>
        </is>
      </c>
      <c r="B229" t="inlineStr">
        <is>
          <t>Tuesday</t>
        </is>
      </c>
      <c r="C229" t="inlineStr">
        <is>
          <t>Week3-Feb-2026</t>
        </is>
      </c>
      <c r="D229" s="78" t="n">
        <v>46054</v>
      </c>
      <c r="E229" t="inlineStr">
        <is>
          <t>Q4FY26</t>
        </is>
      </c>
      <c r="F229" t="inlineStr">
        <is>
          <t>26-Feb-2026</t>
        </is>
      </c>
      <c r="G229" t="inlineStr">
        <is>
          <t>Thursday</t>
        </is>
      </c>
      <c r="H229" t="inlineStr">
        <is>
          <t>Monthly - Thursday</t>
        </is>
      </c>
      <c r="I229" t="inlineStr">
        <is>
          <t>Monthly - Thursday</t>
        </is>
      </c>
      <c r="J229" t="inlineStr">
        <is>
          <t>Same Month Expiry</t>
        </is>
      </c>
      <c r="K229" s="25" t="n">
        <v>16693</v>
      </c>
      <c r="L229" s="26" t="n">
        <v>34.3147</v>
      </c>
      <c r="M229" s="26" t="n">
        <v>0.1369</v>
      </c>
    </row>
    <row r="230" ht="16" customHeight="1">
      <c r="A230" t="inlineStr">
        <is>
          <t>17-Feb-2026</t>
        </is>
      </c>
      <c r="B230" t="inlineStr">
        <is>
          <t>Tuesday</t>
        </is>
      </c>
      <c r="C230" t="inlineStr">
        <is>
          <t>Week3-Feb-2026</t>
        </is>
      </c>
      <c r="D230" s="78" t="n">
        <v>46054</v>
      </c>
      <c r="E230" t="inlineStr">
        <is>
          <t>Q4FY26</t>
        </is>
      </c>
      <c r="F230" t="inlineStr">
        <is>
          <t>30-Apr-2026</t>
        </is>
      </c>
      <c r="G230" t="inlineStr">
        <is>
          <t>Thursday</t>
        </is>
      </c>
      <c r="H230" t="inlineStr">
        <is>
          <t>Monthly - Thursday</t>
        </is>
      </c>
      <c r="I230" t="inlineStr">
        <is>
          <t>Monthly - Thursday</t>
        </is>
      </c>
      <c r="J230" t="inlineStr">
        <is>
          <t>Month+2 Expiry</t>
        </is>
      </c>
      <c r="K230" s="25" t="n">
        <v>0</v>
      </c>
      <c r="L230" s="26" t="n">
        <v>0</v>
      </c>
      <c r="M230" s="26" t="n">
        <v>0</v>
      </c>
    </row>
    <row r="231" ht="16" customHeight="1">
      <c r="A231" t="inlineStr">
        <is>
          <t>18-Feb-2026</t>
        </is>
      </c>
      <c r="B231" t="inlineStr">
        <is>
          <t>Wednesday</t>
        </is>
      </c>
      <c r="C231" t="inlineStr">
        <is>
          <t>Week3-Feb-2026</t>
        </is>
      </c>
      <c r="D231" s="78" t="n">
        <v>46054</v>
      </c>
      <c r="E231" t="inlineStr">
        <is>
          <t>Q4FY26</t>
        </is>
      </c>
      <c r="F231" t="inlineStr">
        <is>
          <t>26-Feb-2026</t>
        </is>
      </c>
      <c r="G231" t="inlineStr">
        <is>
          <t>Thursday</t>
        </is>
      </c>
      <c r="H231" t="inlineStr">
        <is>
          <t>Monthly - Thursday</t>
        </is>
      </c>
      <c r="I231" t="inlineStr">
        <is>
          <t>Monthly - Thursday</t>
        </is>
      </c>
      <c r="J231" t="inlineStr">
        <is>
          <t>Same Month Expiry</t>
        </is>
      </c>
      <c r="K231" s="25" t="n">
        <v>14317</v>
      </c>
      <c r="L231" s="26" t="n">
        <v>29.3741</v>
      </c>
      <c r="M231" s="26" t="n">
        <v>0.1012</v>
      </c>
    </row>
    <row r="232" ht="16" customHeight="1">
      <c r="A232" t="inlineStr">
        <is>
          <t>18-Feb-2026</t>
        </is>
      </c>
      <c r="B232" t="inlineStr">
        <is>
          <t>Wednesday</t>
        </is>
      </c>
      <c r="C232" t="inlineStr">
        <is>
          <t>Week3-Feb-2026</t>
        </is>
      </c>
      <c r="D232" s="78" t="n">
        <v>46054</v>
      </c>
      <c r="E232" t="inlineStr">
        <is>
          <t>Q4FY26</t>
        </is>
      </c>
      <c r="F232" t="inlineStr">
        <is>
          <t>30-Apr-2026</t>
        </is>
      </c>
      <c r="G232" t="inlineStr">
        <is>
          <t>Thursday</t>
        </is>
      </c>
      <c r="H232" t="inlineStr">
        <is>
          <t>Monthly - Thursday</t>
        </is>
      </c>
      <c r="I232" t="inlineStr">
        <is>
          <t>Monthly - Thursday</t>
        </is>
      </c>
      <c r="J232" t="inlineStr">
        <is>
          <t>Month+2 Expiry</t>
        </is>
      </c>
      <c r="K232" s="25" t="n">
        <v>0</v>
      </c>
      <c r="L232" s="26" t="n">
        <v>0</v>
      </c>
      <c r="M232" s="26" t="n">
        <v>0</v>
      </c>
    </row>
    <row r="233" ht="16" customHeight="1">
      <c r="A233" t="inlineStr">
        <is>
          <t>19-Feb-2026</t>
        </is>
      </c>
      <c r="B233" t="inlineStr">
        <is>
          <t>Thursday</t>
        </is>
      </c>
      <c r="C233" t="inlineStr">
        <is>
          <t>Week3-Feb-2026</t>
        </is>
      </c>
      <c r="D233" s="78" t="n">
        <v>46054</v>
      </c>
      <c r="E233" t="inlineStr">
        <is>
          <t>Q4FY26</t>
        </is>
      </c>
      <c r="F233" t="inlineStr">
        <is>
          <t>26-Feb-2026</t>
        </is>
      </c>
      <c r="G233" t="inlineStr">
        <is>
          <t>Thursday</t>
        </is>
      </c>
      <c r="H233" t="inlineStr">
        <is>
          <t>Monthly - Thursday</t>
        </is>
      </c>
      <c r="I233" t="inlineStr">
        <is>
          <t>Monthly - Thursday</t>
        </is>
      </c>
      <c r="J233" t="inlineStr">
        <is>
          <t>Same Month Expiry</t>
        </is>
      </c>
      <c r="K233" s="25" t="n">
        <v>15051</v>
      </c>
      <c r="L233" s="26" t="n">
        <v>31.0591</v>
      </c>
      <c r="M233" s="26" t="n">
        <v>0.1328</v>
      </c>
    </row>
    <row r="234" ht="16" customHeight="1">
      <c r="A234" t="inlineStr">
        <is>
          <t>19-Feb-2026</t>
        </is>
      </c>
      <c r="B234" t="inlineStr">
        <is>
          <t>Thursday</t>
        </is>
      </c>
      <c r="C234" t="inlineStr">
        <is>
          <t>Week3-Feb-2026</t>
        </is>
      </c>
      <c r="D234" s="78" t="n">
        <v>46054</v>
      </c>
      <c r="E234" t="inlineStr">
        <is>
          <t>Q4FY26</t>
        </is>
      </c>
      <c r="F234" t="inlineStr">
        <is>
          <t>25-Mar-2026</t>
        </is>
      </c>
      <c r="G234" t="inlineStr">
        <is>
          <t>Wednesday</t>
        </is>
      </c>
      <c r="H234" t="inlineStr">
        <is>
          <t>Monthly - Wednesday</t>
        </is>
      </c>
      <c r="I234" t="inlineStr">
        <is>
          <t>Monthly - Wednesday</t>
        </is>
      </c>
      <c r="J234" t="inlineStr">
        <is>
          <t>Month+1 Expiry</t>
        </is>
      </c>
      <c r="K234" s="25" t="n">
        <v>4</v>
      </c>
      <c r="L234" s="26" t="n">
        <v>0.008200000000000001</v>
      </c>
      <c r="M234" s="26" t="n">
        <v>0.0002</v>
      </c>
    </row>
    <row r="235" ht="16" customHeight="1">
      <c r="A235" t="inlineStr">
        <is>
          <t>19-Feb-2026</t>
        </is>
      </c>
      <c r="B235" t="inlineStr">
        <is>
          <t>Thursday</t>
        </is>
      </c>
      <c r="C235" t="inlineStr">
        <is>
          <t>Week3-Feb-2026</t>
        </is>
      </c>
      <c r="D235" s="78" t="n">
        <v>46054</v>
      </c>
      <c r="E235" t="inlineStr">
        <is>
          <t>Q4FY26</t>
        </is>
      </c>
      <c r="F235" t="inlineStr">
        <is>
          <t>30-Apr-2026</t>
        </is>
      </c>
      <c r="G235" t="inlineStr">
        <is>
          <t>Thursday</t>
        </is>
      </c>
      <c r="H235" t="inlineStr">
        <is>
          <t>Monthly - Thursday</t>
        </is>
      </c>
      <c r="I235" t="inlineStr">
        <is>
          <t>Monthly - Thursday</t>
        </is>
      </c>
      <c r="J235" t="inlineStr">
        <is>
          <t>Month+2 Expiry</t>
        </is>
      </c>
      <c r="K235" s="25" t="n">
        <v>0</v>
      </c>
      <c r="L235" s="26" t="n">
        <v>0</v>
      </c>
      <c r="M235" s="26" t="n">
        <v>0</v>
      </c>
    </row>
    <row r="236" ht="16" customHeight="1">
      <c r="A236" t="inlineStr">
        <is>
          <t>20-Feb-2026</t>
        </is>
      </c>
      <c r="B236" t="inlineStr">
        <is>
          <t>Friday</t>
        </is>
      </c>
      <c r="C236" t="inlineStr">
        <is>
          <t>Week3-Feb-2026</t>
        </is>
      </c>
      <c r="D236" s="78" t="n">
        <v>46054</v>
      </c>
      <c r="E236" t="inlineStr">
        <is>
          <t>Q4FY26</t>
        </is>
      </c>
      <c r="F236" t="inlineStr">
        <is>
          <t>26-Feb-2026</t>
        </is>
      </c>
      <c r="G236" t="inlineStr">
        <is>
          <t>Thursday</t>
        </is>
      </c>
      <c r="H236" t="inlineStr">
        <is>
          <t>Monthly - Thursday</t>
        </is>
      </c>
      <c r="I236" t="inlineStr">
        <is>
          <t>Monthly - Thursday</t>
        </is>
      </c>
      <c r="J236" t="inlineStr">
        <is>
          <t>Same Month Expiry</t>
        </is>
      </c>
      <c r="K236" s="25" t="n">
        <v>31740</v>
      </c>
      <c r="L236" s="26" t="n">
        <v>65.6622</v>
      </c>
      <c r="M236" s="26" t="n">
        <v>0.2767</v>
      </c>
    </row>
    <row r="237" ht="16" customHeight="1">
      <c r="A237" t="inlineStr">
        <is>
          <t>20-Feb-2026</t>
        </is>
      </c>
      <c r="B237" t="inlineStr">
        <is>
          <t>Friday</t>
        </is>
      </c>
      <c r="C237" t="inlineStr">
        <is>
          <t>Week3-Feb-2026</t>
        </is>
      </c>
      <c r="D237" s="78" t="n">
        <v>46054</v>
      </c>
      <c r="E237" t="inlineStr">
        <is>
          <t>Q4FY26</t>
        </is>
      </c>
      <c r="F237" t="inlineStr">
        <is>
          <t>25-Mar-2026</t>
        </is>
      </c>
      <c r="G237" t="inlineStr">
        <is>
          <t>Wednesday</t>
        </is>
      </c>
      <c r="H237" t="inlineStr">
        <is>
          <t>Monthly - Wednesday</t>
        </is>
      </c>
      <c r="I237" t="inlineStr">
        <is>
          <t>Monthly - Wednesday</t>
        </is>
      </c>
      <c r="J237" t="inlineStr">
        <is>
          <t>Month+1 Expiry</t>
        </is>
      </c>
      <c r="K237" s="25" t="n">
        <v>2</v>
      </c>
      <c r="L237" s="26" t="n">
        <v>0.0042</v>
      </c>
      <c r="M237" s="26" t="n">
        <v>0.0001</v>
      </c>
    </row>
    <row r="238" ht="16" customHeight="1">
      <c r="A238" t="inlineStr">
        <is>
          <t>20-Feb-2026</t>
        </is>
      </c>
      <c r="B238" t="inlineStr">
        <is>
          <t>Friday</t>
        </is>
      </c>
      <c r="C238" t="inlineStr">
        <is>
          <t>Week3-Feb-2026</t>
        </is>
      </c>
      <c r="D238" s="78" t="n">
        <v>46054</v>
      </c>
      <c r="E238" t="inlineStr">
        <is>
          <t>Q4FY26</t>
        </is>
      </c>
      <c r="F238" t="inlineStr">
        <is>
          <t>30-Apr-2026</t>
        </is>
      </c>
      <c r="G238" t="inlineStr">
        <is>
          <t>Thursday</t>
        </is>
      </c>
      <c r="H238" t="inlineStr">
        <is>
          <t>Monthly - Thursday</t>
        </is>
      </c>
      <c r="I238" t="inlineStr">
        <is>
          <t>Monthly - Thursday</t>
        </is>
      </c>
      <c r="J238" t="inlineStr">
        <is>
          <t>Month+2 Expiry</t>
        </is>
      </c>
      <c r="K238" s="25" t="n">
        <v>0</v>
      </c>
      <c r="L238" s="26" t="n">
        <v>0</v>
      </c>
      <c r="M238" s="26" t="n">
        <v>0</v>
      </c>
    </row>
    <row r="239" ht="16" customHeight="1">
      <c r="A239" t="inlineStr">
        <is>
          <t>23-Feb-2026</t>
        </is>
      </c>
      <c r="B239" t="inlineStr">
        <is>
          <t>Monday</t>
        </is>
      </c>
      <c r="C239" t="inlineStr">
        <is>
          <t>Week4-Feb-2026</t>
        </is>
      </c>
      <c r="D239" s="78" t="n">
        <v>46054</v>
      </c>
      <c r="E239" t="inlineStr">
        <is>
          <t>Q4FY26</t>
        </is>
      </c>
      <c r="F239" t="inlineStr">
        <is>
          <t>26-Feb-2026</t>
        </is>
      </c>
      <c r="G239" t="inlineStr">
        <is>
          <t>Thursday</t>
        </is>
      </c>
      <c r="H239" t="inlineStr">
        <is>
          <t>Monthly - Thursday</t>
        </is>
      </c>
      <c r="I239" t="inlineStr">
        <is>
          <t>Monthly - Thursday</t>
        </is>
      </c>
      <c r="J239" t="inlineStr">
        <is>
          <t>Same Month Expiry</t>
        </is>
      </c>
      <c r="K239" s="25" t="n">
        <v>43534</v>
      </c>
      <c r="L239" s="26" t="n">
        <v>89.8895</v>
      </c>
      <c r="M239" s="26" t="n">
        <v>0.4101</v>
      </c>
    </row>
    <row r="240" ht="16" customHeight="1">
      <c r="A240" t="inlineStr">
        <is>
          <t>23-Feb-2026</t>
        </is>
      </c>
      <c r="B240" t="inlineStr">
        <is>
          <t>Monday</t>
        </is>
      </c>
      <c r="C240" t="inlineStr">
        <is>
          <t>Week4-Feb-2026</t>
        </is>
      </c>
      <c r="D240" s="78" t="n">
        <v>46054</v>
      </c>
      <c r="E240" t="inlineStr">
        <is>
          <t>Q4FY26</t>
        </is>
      </c>
      <c r="F240" t="inlineStr">
        <is>
          <t>25-Mar-2026</t>
        </is>
      </c>
      <c r="G240" t="inlineStr">
        <is>
          <t>Wednesday</t>
        </is>
      </c>
      <c r="H240" t="inlineStr">
        <is>
          <t>Monthly - Wednesday</t>
        </is>
      </c>
      <c r="I240" t="inlineStr">
        <is>
          <t>Monthly - Wednesday</t>
        </is>
      </c>
      <c r="J240" t="inlineStr">
        <is>
          <t>Month+1 Expiry</t>
        </is>
      </c>
      <c r="K240" s="25" t="n">
        <v>6</v>
      </c>
      <c r="L240" s="26" t="n">
        <v>0.0126</v>
      </c>
      <c r="M240" s="26" t="n">
        <v>0.0004</v>
      </c>
    </row>
    <row r="241" ht="16" customHeight="1">
      <c r="A241" t="inlineStr">
        <is>
          <t>23-Feb-2026</t>
        </is>
      </c>
      <c r="B241" t="inlineStr">
        <is>
          <t>Monday</t>
        </is>
      </c>
      <c r="C241" t="inlineStr">
        <is>
          <t>Week4-Feb-2026</t>
        </is>
      </c>
      <c r="D241" s="78" t="n">
        <v>46054</v>
      </c>
      <c r="E241" t="inlineStr">
        <is>
          <t>Q4FY26</t>
        </is>
      </c>
      <c r="F241" t="inlineStr">
        <is>
          <t>30-Apr-2026</t>
        </is>
      </c>
      <c r="G241" t="inlineStr">
        <is>
          <t>Thursday</t>
        </is>
      </c>
      <c r="H241" t="inlineStr">
        <is>
          <t>Monthly - Thursday</t>
        </is>
      </c>
      <c r="I241" t="inlineStr">
        <is>
          <t>Monthly - Thursday</t>
        </is>
      </c>
      <c r="J241" t="inlineStr">
        <is>
          <t>Month+2 Expiry</t>
        </is>
      </c>
      <c r="K241" s="25" t="n">
        <v>0</v>
      </c>
      <c r="L241" s="26" t="n">
        <v>0</v>
      </c>
      <c r="M241" s="26" t="n">
        <v>0</v>
      </c>
    </row>
    <row r="242" ht="16" customHeight="1">
      <c r="A242" t="inlineStr">
        <is>
          <t>24-Feb-2026</t>
        </is>
      </c>
      <c r="B242" t="inlineStr">
        <is>
          <t>Tuesday</t>
        </is>
      </c>
      <c r="C242" t="inlineStr">
        <is>
          <t>Week4-Feb-2026</t>
        </is>
      </c>
      <c r="D242" s="78" t="n">
        <v>46054</v>
      </c>
      <c r="E242" t="inlineStr">
        <is>
          <t>Q4FY26</t>
        </is>
      </c>
      <c r="F242" t="inlineStr">
        <is>
          <t>26-Feb-2026</t>
        </is>
      </c>
      <c r="G242" t="inlineStr">
        <is>
          <t>Thursday</t>
        </is>
      </c>
      <c r="H242" t="inlineStr">
        <is>
          <t>Monthly - Thursday</t>
        </is>
      </c>
      <c r="I242" t="inlineStr">
        <is>
          <t>Monthly - Thursday</t>
        </is>
      </c>
      <c r="J242" t="inlineStr">
        <is>
          <t>Same Month Expiry</t>
        </is>
      </c>
      <c r="K242" s="25" t="n">
        <v>53853</v>
      </c>
      <c r="L242" s="26" t="n">
        <v>111.3047</v>
      </c>
      <c r="M242" s="26" t="n">
        <v>0.4176</v>
      </c>
    </row>
    <row r="243" ht="16" customHeight="1">
      <c r="A243" t="inlineStr">
        <is>
          <t>24-Feb-2026</t>
        </is>
      </c>
      <c r="B243" t="inlineStr">
        <is>
          <t>Tuesday</t>
        </is>
      </c>
      <c r="C243" t="inlineStr">
        <is>
          <t>Week4-Feb-2026</t>
        </is>
      </c>
      <c r="D243" s="78" t="n">
        <v>46054</v>
      </c>
      <c r="E243" t="inlineStr">
        <is>
          <t>Q4FY26</t>
        </is>
      </c>
      <c r="F243" t="inlineStr">
        <is>
          <t>25-Mar-2026</t>
        </is>
      </c>
      <c r="G243" t="inlineStr">
        <is>
          <t>Wednesday</t>
        </is>
      </c>
      <c r="H243" t="inlineStr">
        <is>
          <t>Monthly - Wednesday</t>
        </is>
      </c>
      <c r="I243" t="inlineStr">
        <is>
          <t>Monthly - Wednesday</t>
        </is>
      </c>
      <c r="J243" t="inlineStr">
        <is>
          <t>Month+1 Expiry</t>
        </is>
      </c>
      <c r="K243" s="25" t="n">
        <v>40</v>
      </c>
      <c r="L243" s="26" t="n">
        <v>0.0837</v>
      </c>
      <c r="M243" s="26" t="n">
        <v>0.0013</v>
      </c>
    </row>
    <row r="244" ht="16" customHeight="1">
      <c r="A244" t="inlineStr">
        <is>
          <t>24-Feb-2026</t>
        </is>
      </c>
      <c r="B244" t="inlineStr">
        <is>
          <t>Tuesday</t>
        </is>
      </c>
      <c r="C244" t="inlineStr">
        <is>
          <t>Week4-Feb-2026</t>
        </is>
      </c>
      <c r="D244" s="78" t="n">
        <v>46054</v>
      </c>
      <c r="E244" t="inlineStr">
        <is>
          <t>Q4FY26</t>
        </is>
      </c>
      <c r="F244" t="inlineStr">
        <is>
          <t>30-Apr-2026</t>
        </is>
      </c>
      <c r="G244" t="inlineStr">
        <is>
          <t>Thursday</t>
        </is>
      </c>
      <c r="H244" t="inlineStr">
        <is>
          <t>Monthly - Thursday</t>
        </is>
      </c>
      <c r="I244" t="inlineStr">
        <is>
          <t>Monthly - Thursday</t>
        </is>
      </c>
      <c r="J244" t="inlineStr">
        <is>
          <t>Month+2 Expiry</t>
        </is>
      </c>
      <c r="K244" s="25" t="n">
        <v>0</v>
      </c>
      <c r="L244" s="26" t="n">
        <v>0</v>
      </c>
      <c r="M244" s="26" t="n">
        <v>0</v>
      </c>
    </row>
    <row r="245" ht="16" customHeight="1">
      <c r="A245" t="inlineStr">
        <is>
          <t>25-Feb-2026</t>
        </is>
      </c>
      <c r="B245" t="inlineStr">
        <is>
          <t>Wednesday</t>
        </is>
      </c>
      <c r="C245" t="inlineStr">
        <is>
          <t>Week4-Feb-2026</t>
        </is>
      </c>
      <c r="D245" s="78" t="n">
        <v>46054</v>
      </c>
      <c r="E245" t="inlineStr">
        <is>
          <t>Q4FY26</t>
        </is>
      </c>
      <c r="F245" t="inlineStr">
        <is>
          <t>26-Feb-2026</t>
        </is>
      </c>
      <c r="G245" t="inlineStr">
        <is>
          <t>Thursday</t>
        </is>
      </c>
      <c r="H245" t="inlineStr">
        <is>
          <t>Monthly - Thursday</t>
        </is>
      </c>
      <c r="I245" t="inlineStr">
        <is>
          <t>Monthly - Thursday</t>
        </is>
      </c>
      <c r="J245" t="inlineStr">
        <is>
          <t>Same Month Expiry</t>
        </is>
      </c>
      <c r="K245" s="25" t="n">
        <v>706826</v>
      </c>
      <c r="L245" s="26" t="n">
        <v>1457.3366</v>
      </c>
      <c r="M245" s="26" t="n">
        <v>3.2259</v>
      </c>
    </row>
    <row r="246" ht="16" customHeight="1">
      <c r="A246" t="inlineStr">
        <is>
          <t>25-Feb-2026</t>
        </is>
      </c>
      <c r="B246" t="inlineStr">
        <is>
          <t>Wednesday</t>
        </is>
      </c>
      <c r="C246" t="inlineStr">
        <is>
          <t>Week4-Feb-2026</t>
        </is>
      </c>
      <c r="D246" s="78" t="n">
        <v>46054</v>
      </c>
      <c r="E246" t="inlineStr">
        <is>
          <t>Q4FY26</t>
        </is>
      </c>
      <c r="F246" t="inlineStr">
        <is>
          <t>25-Mar-2026</t>
        </is>
      </c>
      <c r="G246" t="inlineStr">
        <is>
          <t>Wednesday</t>
        </is>
      </c>
      <c r="H246" t="inlineStr">
        <is>
          <t>Monthly - Wednesday</t>
        </is>
      </c>
      <c r="I246" t="inlineStr">
        <is>
          <t>Monthly - Wednesday</t>
        </is>
      </c>
      <c r="J246" t="inlineStr">
        <is>
          <t>Month+1 Expiry</t>
        </is>
      </c>
      <c r="K246" s="25" t="n">
        <v>263</v>
      </c>
      <c r="L246" s="26" t="n">
        <v>0.5376</v>
      </c>
      <c r="M246" s="26" t="n">
        <v>0.0034</v>
      </c>
    </row>
    <row r="247" ht="16" customHeight="1">
      <c r="A247" t="inlineStr">
        <is>
          <t>25-Feb-2026</t>
        </is>
      </c>
      <c r="B247" t="inlineStr">
        <is>
          <t>Wednesday</t>
        </is>
      </c>
      <c r="C247" t="inlineStr">
        <is>
          <t>Week4-Feb-2026</t>
        </is>
      </c>
      <c r="D247" s="78" t="n">
        <v>46054</v>
      </c>
      <c r="E247" t="inlineStr">
        <is>
          <t>Q4FY26</t>
        </is>
      </c>
      <c r="F247" t="inlineStr">
        <is>
          <t>30-Apr-2026</t>
        </is>
      </c>
      <c r="G247" t="inlineStr">
        <is>
          <t>Thursday</t>
        </is>
      </c>
      <c r="H247" t="inlineStr">
        <is>
          <t>Monthly - Thursday</t>
        </is>
      </c>
      <c r="I247" t="inlineStr">
        <is>
          <t>Monthly - Thursday</t>
        </is>
      </c>
      <c r="J247" t="inlineStr">
        <is>
          <t>Month+2 Expiry</t>
        </is>
      </c>
      <c r="K247" s="25" t="n">
        <v>0</v>
      </c>
      <c r="L247" s="26" t="n">
        <v>0</v>
      </c>
      <c r="M247" s="26" t="n">
        <v>0</v>
      </c>
    </row>
    <row r="248" ht="16" customHeight="1">
      <c r="A248" t="inlineStr">
        <is>
          <t>26-Feb-2026</t>
        </is>
      </c>
      <c r="B248" t="inlineStr">
        <is>
          <t>Thursday</t>
        </is>
      </c>
      <c r="C248" t="inlineStr">
        <is>
          <t>Week4-Feb-2026</t>
        </is>
      </c>
      <c r="D248" s="78" t="n">
        <v>46054</v>
      </c>
      <c r="E248" t="inlineStr">
        <is>
          <t>Q4FY26</t>
        </is>
      </c>
      <c r="F248" t="inlineStr">
        <is>
          <t>26-Feb-2026</t>
        </is>
      </c>
      <c r="G248" t="inlineStr">
        <is>
          <t>Thursday</t>
        </is>
      </c>
      <c r="H248" t="inlineStr">
        <is>
          <t>Monthly - Thursday</t>
        </is>
      </c>
      <c r="I248" t="inlineStr">
        <is>
          <t>Monthly - Thursday</t>
        </is>
      </c>
      <c r="J248" t="inlineStr">
        <is>
          <t>Same Month Expiry</t>
        </is>
      </c>
      <c r="K248" s="25" t="n">
        <v>6384699</v>
      </c>
      <c r="L248" s="26" t="n">
        <v>13157.1145</v>
      </c>
      <c r="M248" s="26" t="n">
        <v>9.599299999999999</v>
      </c>
    </row>
    <row r="249" ht="16" customHeight="1">
      <c r="A249" t="inlineStr">
        <is>
          <t>26-Feb-2026</t>
        </is>
      </c>
      <c r="B249" t="inlineStr">
        <is>
          <t>Thursday</t>
        </is>
      </c>
      <c r="C249" t="inlineStr">
        <is>
          <t>Week4-Feb-2026</t>
        </is>
      </c>
      <c r="D249" s="78" t="n">
        <v>46054</v>
      </c>
      <c r="E249" t="inlineStr">
        <is>
          <t>Q4FY26</t>
        </is>
      </c>
      <c r="F249" t="inlineStr">
        <is>
          <t>25-Mar-2026</t>
        </is>
      </c>
      <c r="G249" t="inlineStr">
        <is>
          <t>Wednesday</t>
        </is>
      </c>
      <c r="H249" t="inlineStr">
        <is>
          <t>Monthly - Wednesday</t>
        </is>
      </c>
      <c r="I249" t="inlineStr">
        <is>
          <t>Monthly - Wednesday</t>
        </is>
      </c>
      <c r="J249" t="inlineStr">
        <is>
          <t>Month+1 Expiry</t>
        </is>
      </c>
      <c r="K249" s="25" t="n">
        <v>343</v>
      </c>
      <c r="L249" s="26" t="n">
        <v>0.7157</v>
      </c>
      <c r="M249" s="26" t="n">
        <v>0.0046</v>
      </c>
    </row>
    <row r="250" ht="16" customHeight="1">
      <c r="A250" t="inlineStr">
        <is>
          <t>26-Feb-2026</t>
        </is>
      </c>
      <c r="B250" t="inlineStr">
        <is>
          <t>Thursday</t>
        </is>
      </c>
      <c r="C250" t="inlineStr">
        <is>
          <t>Week4-Feb-2026</t>
        </is>
      </c>
      <c r="D250" s="78" t="n">
        <v>46054</v>
      </c>
      <c r="E250" t="inlineStr">
        <is>
          <t>Q4FY26</t>
        </is>
      </c>
      <c r="F250" t="inlineStr">
        <is>
          <t>30-Apr-2026</t>
        </is>
      </c>
      <c r="G250" t="inlineStr">
        <is>
          <t>Thursday</t>
        </is>
      </c>
      <c r="H250" t="inlineStr">
        <is>
          <t>Monthly - Thursday</t>
        </is>
      </c>
      <c r="I250" t="inlineStr">
        <is>
          <t>Monthly - Thursday</t>
        </is>
      </c>
      <c r="J250" t="inlineStr">
        <is>
          <t>Month+2 Expiry</t>
        </is>
      </c>
      <c r="K250" s="25" t="n">
        <v>0</v>
      </c>
      <c r="L250" s="26" t="n">
        <v>0</v>
      </c>
      <c r="M250" s="26" t="n">
        <v>0</v>
      </c>
    </row>
    <row r="251" ht="16" customHeight="1">
      <c r="A251" t="inlineStr">
        <is>
          <t>27-Feb-2026</t>
        </is>
      </c>
      <c r="B251" t="inlineStr">
        <is>
          <t>Friday</t>
        </is>
      </c>
      <c r="C251" t="inlineStr">
        <is>
          <t>Week4-Feb-2026</t>
        </is>
      </c>
      <c r="D251" s="78" t="n">
        <v>46054</v>
      </c>
      <c r="E251" t="inlineStr">
        <is>
          <t>Q4FY26</t>
        </is>
      </c>
      <c r="F251" t="inlineStr">
        <is>
          <t>25-Mar-2026</t>
        </is>
      </c>
      <c r="G251" t="inlineStr">
        <is>
          <t>Wednesday</t>
        </is>
      </c>
      <c r="H251" t="inlineStr">
        <is>
          <t>Monthly - Wednesday</t>
        </is>
      </c>
      <c r="I251" t="inlineStr">
        <is>
          <t>Monthly - Wednesday</t>
        </is>
      </c>
      <c r="J251" t="inlineStr">
        <is>
          <t>Month+1 Expiry</t>
        </is>
      </c>
      <c r="K251" s="25" t="n">
        <v>5184</v>
      </c>
      <c r="L251" s="26" t="n">
        <v>10.6424</v>
      </c>
      <c r="M251" s="26" t="n">
        <v>0.0737</v>
      </c>
    </row>
    <row r="252" ht="16" customHeight="1">
      <c r="A252" t="inlineStr">
        <is>
          <t>27-Feb-2026</t>
        </is>
      </c>
      <c r="B252" t="inlineStr">
        <is>
          <t>Friday</t>
        </is>
      </c>
      <c r="C252" t="inlineStr">
        <is>
          <t>Week4-Feb-2026</t>
        </is>
      </c>
      <c r="D252" s="78" t="n">
        <v>46054</v>
      </c>
      <c r="E252" t="inlineStr">
        <is>
          <t>Q4FY26</t>
        </is>
      </c>
      <c r="F252" t="inlineStr">
        <is>
          <t>30-Apr-2026</t>
        </is>
      </c>
      <c r="G252" t="inlineStr">
        <is>
          <t>Thursday</t>
        </is>
      </c>
      <c r="H252" t="inlineStr">
        <is>
          <t>Monthly - Thursday</t>
        </is>
      </c>
      <c r="I252" t="inlineStr">
        <is>
          <t>Monthly - Thursday</t>
        </is>
      </c>
      <c r="J252" t="inlineStr">
        <is>
          <t>Month+2 Expiry</t>
        </is>
      </c>
      <c r="K252" s="25" t="n">
        <v>0</v>
      </c>
      <c r="L252" s="26" t="n">
        <v>0</v>
      </c>
      <c r="M252" s="26" t="n">
        <v>0</v>
      </c>
    </row>
    <row r="253" ht="16" customHeight="1">
      <c r="A253" t="inlineStr">
        <is>
          <t>02-Mar-2026</t>
        </is>
      </c>
      <c r="B253" t="inlineStr">
        <is>
          <t>Monday</t>
        </is>
      </c>
      <c r="C253" t="inlineStr">
        <is>
          <t>Week1-Mar-2026</t>
        </is>
      </c>
      <c r="D253" s="78" t="n">
        <v>46082</v>
      </c>
      <c r="E253" t="inlineStr">
        <is>
          <t>Q4FY26</t>
        </is>
      </c>
      <c r="F253" t="inlineStr">
        <is>
          <t>25-Mar-2026</t>
        </is>
      </c>
      <c r="G253" t="inlineStr">
        <is>
          <t>Wednesday</t>
        </is>
      </c>
      <c r="H253" t="inlineStr">
        <is>
          <t>Monthly - Wednesday</t>
        </is>
      </c>
      <c r="I253" t="inlineStr">
        <is>
          <t>Monthly - Wednesday</t>
        </is>
      </c>
      <c r="J253" t="inlineStr">
        <is>
          <t>Same Month Expiry</t>
        </is>
      </c>
      <c r="K253" s="25" t="n">
        <v>4508</v>
      </c>
      <c r="L253" s="26" t="n">
        <v>9.274900000000001</v>
      </c>
      <c r="M253" s="26" t="n">
        <v>0.0866</v>
      </c>
    </row>
    <row r="254" ht="16" customHeight="1">
      <c r="A254" t="inlineStr">
        <is>
          <t>02-Mar-2026</t>
        </is>
      </c>
      <c r="B254" t="inlineStr">
        <is>
          <t>Monday</t>
        </is>
      </c>
      <c r="C254" t="inlineStr">
        <is>
          <t>Week1-Mar-2026</t>
        </is>
      </c>
      <c r="D254" s="78" t="n">
        <v>46082</v>
      </c>
      <c r="E254" t="inlineStr">
        <is>
          <t>Q4FY26</t>
        </is>
      </c>
      <c r="F254" t="inlineStr">
        <is>
          <t>30-Apr-2026</t>
        </is>
      </c>
      <c r="G254" t="inlineStr">
        <is>
          <t>Thursday</t>
        </is>
      </c>
      <c r="H254" t="inlineStr">
        <is>
          <t>Monthly - Thursday</t>
        </is>
      </c>
      <c r="I254" t="inlineStr">
        <is>
          <t>Monthly - Thursday</t>
        </is>
      </c>
      <c r="J254" t="inlineStr">
        <is>
          <t>Month+1 Expiry</t>
        </is>
      </c>
      <c r="K254" s="25" t="n">
        <v>6</v>
      </c>
      <c r="L254" s="26" t="n">
        <v>0.0119</v>
      </c>
      <c r="M254" s="26" t="n">
        <v>0.0001</v>
      </c>
    </row>
    <row r="255" ht="16" customHeight="1">
      <c r="A255" t="inlineStr">
        <is>
          <t>04-Mar-2026</t>
        </is>
      </c>
      <c r="B255" t="inlineStr">
        <is>
          <t>Wednesday</t>
        </is>
      </c>
      <c r="C255" t="inlineStr">
        <is>
          <t>Week1-Mar-2026</t>
        </is>
      </c>
      <c r="D255" s="78" t="n">
        <v>46082</v>
      </c>
      <c r="E255" t="inlineStr">
        <is>
          <t>Q4FY26</t>
        </is>
      </c>
      <c r="F255" t="inlineStr">
        <is>
          <t>25-Mar-2026</t>
        </is>
      </c>
      <c r="G255" t="inlineStr">
        <is>
          <t>Wednesday</t>
        </is>
      </c>
      <c r="H255" t="inlineStr">
        <is>
          <t>Monthly - Wednesday</t>
        </is>
      </c>
      <c r="I255" t="inlineStr">
        <is>
          <t>Monthly - Wednesday</t>
        </is>
      </c>
      <c r="J255" t="inlineStr">
        <is>
          <t>Same Month Expiry</t>
        </is>
      </c>
      <c r="K255" s="25" t="n">
        <v>4317</v>
      </c>
      <c r="L255" s="26" t="n">
        <v>8.8369</v>
      </c>
      <c r="M255" s="26" t="n">
        <v>0.1085</v>
      </c>
    </row>
    <row r="256" ht="16" customHeight="1">
      <c r="A256" t="inlineStr">
        <is>
          <t>04-Mar-2026</t>
        </is>
      </c>
      <c r="B256" t="inlineStr">
        <is>
          <t>Wednesday</t>
        </is>
      </c>
      <c r="C256" t="inlineStr">
        <is>
          <t>Week1-Mar-2026</t>
        </is>
      </c>
      <c r="D256" s="78" t="n">
        <v>46082</v>
      </c>
      <c r="E256" t="inlineStr">
        <is>
          <t>Q4FY26</t>
        </is>
      </c>
      <c r="F256" t="inlineStr">
        <is>
          <t>30-Apr-2026</t>
        </is>
      </c>
      <c r="G256" t="inlineStr">
        <is>
          <t>Thursday</t>
        </is>
      </c>
      <c r="H256" t="inlineStr">
        <is>
          <t>Monthly - Thursday</t>
        </is>
      </c>
      <c r="I256" t="inlineStr">
        <is>
          <t>Monthly - Thursday</t>
        </is>
      </c>
      <c r="J256" t="inlineStr">
        <is>
          <t>Month+1 Expiry</t>
        </is>
      </c>
      <c r="K256" s="25" t="n">
        <v>0</v>
      </c>
      <c r="L256" s="26" t="n">
        <v>0</v>
      </c>
      <c r="M256" s="26" t="n">
        <v>0</v>
      </c>
    </row>
    <row r="257" ht="16" customHeight="1">
      <c r="A257" t="inlineStr">
        <is>
          <t>05-Mar-2026</t>
        </is>
      </c>
      <c r="B257" t="inlineStr">
        <is>
          <t>Thursday</t>
        </is>
      </c>
      <c r="C257" t="inlineStr">
        <is>
          <t>Week1-Mar-2026</t>
        </is>
      </c>
      <c r="D257" s="78" t="n">
        <v>46082</v>
      </c>
      <c r="E257" t="inlineStr">
        <is>
          <t>Q4FY26</t>
        </is>
      </c>
      <c r="F257" t="inlineStr">
        <is>
          <t>25-Mar-2026</t>
        </is>
      </c>
      <c r="G257" t="inlineStr">
        <is>
          <t>Wednesday</t>
        </is>
      </c>
      <c r="H257" t="inlineStr">
        <is>
          <t>Monthly - Wednesday</t>
        </is>
      </c>
      <c r="I257" t="inlineStr">
        <is>
          <t>Monthly - Wednesday</t>
        </is>
      </c>
      <c r="J257" t="inlineStr">
        <is>
          <t>Same Month Expiry</t>
        </is>
      </c>
      <c r="K257" s="25" t="n">
        <v>5371</v>
      </c>
      <c r="L257" s="26" t="n">
        <v>10.9264</v>
      </c>
      <c r="M257" s="26" t="n">
        <v>0.1283</v>
      </c>
    </row>
    <row r="258" ht="16" customHeight="1">
      <c r="A258" t="inlineStr">
        <is>
          <t>05-Mar-2026</t>
        </is>
      </c>
      <c r="B258" t="inlineStr">
        <is>
          <t>Thursday</t>
        </is>
      </c>
      <c r="C258" t="inlineStr">
        <is>
          <t>Week1-Mar-2026</t>
        </is>
      </c>
      <c r="D258" s="78" t="n">
        <v>46082</v>
      </c>
      <c r="E258" t="inlineStr">
        <is>
          <t>Q4FY26</t>
        </is>
      </c>
      <c r="F258" t="inlineStr">
        <is>
          <t>30-Apr-2026</t>
        </is>
      </c>
      <c r="G258" t="inlineStr">
        <is>
          <t>Thursday</t>
        </is>
      </c>
      <c r="H258" t="inlineStr">
        <is>
          <t>Monthly - Thursday</t>
        </is>
      </c>
      <c r="I258" t="inlineStr">
        <is>
          <t>Monthly - Thursday</t>
        </is>
      </c>
      <c r="J258" t="inlineStr">
        <is>
          <t>Month+1 Expiry</t>
        </is>
      </c>
      <c r="K258" s="25" t="n">
        <v>13</v>
      </c>
      <c r="L258" s="26" t="n">
        <v>0.0263</v>
      </c>
      <c r="M258" s="26" t="n">
        <v>0.0005</v>
      </c>
    </row>
    <row r="259" ht="16" customHeight="1">
      <c r="A259" t="inlineStr">
        <is>
          <t>06-Mar-2026</t>
        </is>
      </c>
      <c r="B259" t="inlineStr">
        <is>
          <t>Friday</t>
        </is>
      </c>
      <c r="C259" t="inlineStr">
        <is>
          <t>Week1-Mar-2026</t>
        </is>
      </c>
      <c r="D259" s="78" t="n">
        <v>46082</v>
      </c>
      <c r="E259" t="inlineStr">
        <is>
          <t>Q4FY26</t>
        </is>
      </c>
      <c r="F259" t="inlineStr">
        <is>
          <t>25-Mar-2026</t>
        </is>
      </c>
      <c r="G259" t="inlineStr">
        <is>
          <t>Wednesday</t>
        </is>
      </c>
      <c r="H259" t="inlineStr">
        <is>
          <t>Monthly - Wednesday</t>
        </is>
      </c>
      <c r="I259" t="inlineStr">
        <is>
          <t>Monthly - Wednesday</t>
        </is>
      </c>
      <c r="J259" t="inlineStr">
        <is>
          <t>Same Month Expiry</t>
        </is>
      </c>
      <c r="K259" s="25" t="n">
        <v>6296</v>
      </c>
      <c r="L259" s="26" t="n">
        <v>12.6496</v>
      </c>
      <c r="M259" s="26" t="n">
        <v>0.1343</v>
      </c>
    </row>
    <row r="260" ht="16" customHeight="1">
      <c r="A260" t="inlineStr">
        <is>
          <t>06-Mar-2026</t>
        </is>
      </c>
      <c r="B260" t="inlineStr">
        <is>
          <t>Friday</t>
        </is>
      </c>
      <c r="C260" t="inlineStr">
        <is>
          <t>Week1-Mar-2026</t>
        </is>
      </c>
      <c r="D260" s="78" t="n">
        <v>46082</v>
      </c>
      <c r="E260" t="inlineStr">
        <is>
          <t>Q4FY26</t>
        </is>
      </c>
      <c r="F260" t="inlineStr">
        <is>
          <t>30-Apr-2026</t>
        </is>
      </c>
      <c r="G260" t="inlineStr">
        <is>
          <t>Thursday</t>
        </is>
      </c>
      <c r="H260" t="inlineStr">
        <is>
          <t>Monthly - Thursday</t>
        </is>
      </c>
      <c r="I260" t="inlineStr">
        <is>
          <t>Monthly - Thursday</t>
        </is>
      </c>
      <c r="J260" t="inlineStr">
        <is>
          <t>Month+1 Expiry</t>
        </is>
      </c>
      <c r="K260" s="25" t="n">
        <v>0</v>
      </c>
      <c r="L260" s="26" t="n">
        <v>0</v>
      </c>
      <c r="M260" s="26" t="n">
        <v>0</v>
      </c>
    </row>
    <row r="261" ht="16" customHeight="1">
      <c r="A261" t="inlineStr">
        <is>
          <t>09-Mar-2026</t>
        </is>
      </c>
      <c r="B261" t="inlineStr">
        <is>
          <t>Monday</t>
        </is>
      </c>
      <c r="C261" t="inlineStr">
        <is>
          <t>Week2-Mar-2026</t>
        </is>
      </c>
      <c r="D261" s="78" t="n">
        <v>46082</v>
      </c>
      <c r="E261" t="inlineStr">
        <is>
          <t>Q4FY26</t>
        </is>
      </c>
      <c r="F261" t="inlineStr">
        <is>
          <t>25-Mar-2026</t>
        </is>
      </c>
      <c r="G261" t="inlineStr">
        <is>
          <t>Wednesday</t>
        </is>
      </c>
      <c r="H261" t="inlineStr">
        <is>
          <t>Monthly - Wednesday</t>
        </is>
      </c>
      <c r="I261" t="inlineStr">
        <is>
          <t>Monthly - Wednesday</t>
        </is>
      </c>
      <c r="J261" t="inlineStr">
        <is>
          <t>Same Month Expiry</t>
        </is>
      </c>
      <c r="K261" s="25" t="n">
        <v>1455</v>
      </c>
      <c r="L261" s="26" t="n">
        <v>2.9577</v>
      </c>
      <c r="M261" s="26" t="n">
        <v>0.0791</v>
      </c>
    </row>
    <row r="262" ht="16" customHeight="1">
      <c r="A262" t="inlineStr">
        <is>
          <t>09-Mar-2026</t>
        </is>
      </c>
      <c r="B262" t="inlineStr">
        <is>
          <t>Monday</t>
        </is>
      </c>
      <c r="C262" t="inlineStr">
        <is>
          <t>Week2-Mar-2026</t>
        </is>
      </c>
      <c r="D262" s="78" t="n">
        <v>46082</v>
      </c>
      <c r="E262" t="inlineStr">
        <is>
          <t>Q4FY26</t>
        </is>
      </c>
      <c r="F262" t="inlineStr">
        <is>
          <t>30-Apr-2026</t>
        </is>
      </c>
      <c r="G262" t="inlineStr">
        <is>
          <t>Thursday</t>
        </is>
      </c>
      <c r="H262" t="inlineStr">
        <is>
          <t>Monthly - Thursday</t>
        </is>
      </c>
      <c r="I262" t="inlineStr">
        <is>
          <t>Monthly - Thursday</t>
        </is>
      </c>
      <c r="J262" t="inlineStr">
        <is>
          <t>Month+1 Expiry</t>
        </is>
      </c>
      <c r="K262" s="25" t="n">
        <v>0</v>
      </c>
      <c r="L262" s="26" t="n">
        <v>0</v>
      </c>
      <c r="M262" s="26" t="n">
        <v>0</v>
      </c>
    </row>
    <row r="263" ht="16" customHeight="1">
      <c r="A263" t="inlineStr">
        <is>
          <t>10-Mar-2026</t>
        </is>
      </c>
      <c r="B263" t="inlineStr">
        <is>
          <t>Tuesday</t>
        </is>
      </c>
      <c r="C263" t="inlineStr">
        <is>
          <t>Week2-Mar-2026</t>
        </is>
      </c>
      <c r="D263" s="78" t="n">
        <v>46082</v>
      </c>
      <c r="E263" t="inlineStr">
        <is>
          <t>Q4FY26</t>
        </is>
      </c>
      <c r="F263" t="inlineStr">
        <is>
          <t>25-Mar-2026</t>
        </is>
      </c>
      <c r="G263" t="inlineStr">
        <is>
          <t>Wednesday</t>
        </is>
      </c>
      <c r="H263" t="inlineStr">
        <is>
          <t>Monthly - Wednesday</t>
        </is>
      </c>
      <c r="I263" t="inlineStr">
        <is>
          <t>Monthly - Wednesday</t>
        </is>
      </c>
      <c r="J263" t="inlineStr">
        <is>
          <t>Same Month Expiry</t>
        </is>
      </c>
      <c r="K263" s="25" t="n">
        <v>4293</v>
      </c>
      <c r="L263" s="26" t="n">
        <v>8.464</v>
      </c>
      <c r="M263" s="26" t="n">
        <v>0.08110000000000001</v>
      </c>
    </row>
    <row r="264" ht="16" customHeight="1">
      <c r="A264" t="inlineStr">
        <is>
          <t>10-Mar-2026</t>
        </is>
      </c>
      <c r="B264" t="inlineStr">
        <is>
          <t>Tuesday</t>
        </is>
      </c>
      <c r="C264" t="inlineStr">
        <is>
          <t>Week2-Mar-2026</t>
        </is>
      </c>
      <c r="D264" s="78" t="n">
        <v>46082</v>
      </c>
      <c r="E264" t="inlineStr">
        <is>
          <t>Q4FY26</t>
        </is>
      </c>
      <c r="F264" t="inlineStr">
        <is>
          <t>30-Apr-2026</t>
        </is>
      </c>
      <c r="G264" t="inlineStr">
        <is>
          <t>Thursday</t>
        </is>
      </c>
      <c r="H264" t="inlineStr">
        <is>
          <t>Monthly - Thursday</t>
        </is>
      </c>
      <c r="I264" t="inlineStr">
        <is>
          <t>Monthly - Thursday</t>
        </is>
      </c>
      <c r="J264" t="inlineStr">
        <is>
          <t>Month+1 Expiry</t>
        </is>
      </c>
      <c r="K264" s="25" t="n">
        <v>0</v>
      </c>
      <c r="L264" s="26" t="n">
        <v>0</v>
      </c>
      <c r="M264" s="26" t="n">
        <v>0</v>
      </c>
    </row>
    <row r="265" ht="16" customHeight="1">
      <c r="A265" t="inlineStr">
        <is>
          <t>11-Mar-2026</t>
        </is>
      </c>
      <c r="B265" t="inlineStr">
        <is>
          <t>Wednesday</t>
        </is>
      </c>
      <c r="C265" t="inlineStr">
        <is>
          <t>Week2-Mar-2026</t>
        </is>
      </c>
      <c r="D265" s="78" t="n">
        <v>46082</v>
      </c>
      <c r="E265" t="inlineStr">
        <is>
          <t>Q4FY26</t>
        </is>
      </c>
      <c r="F265" t="inlineStr">
        <is>
          <t>25-Mar-2026</t>
        </is>
      </c>
      <c r="G265" t="inlineStr">
        <is>
          <t>Wednesday</t>
        </is>
      </c>
      <c r="H265" t="inlineStr">
        <is>
          <t>Monthly - Wednesday</t>
        </is>
      </c>
      <c r="I265" t="inlineStr">
        <is>
          <t>Monthly - Wednesday</t>
        </is>
      </c>
      <c r="J265" t="inlineStr">
        <is>
          <t>Same Month Expiry</t>
        </is>
      </c>
      <c r="K265" s="25" t="n">
        <v>8478</v>
      </c>
      <c r="L265" s="26" t="n">
        <v>16.5486</v>
      </c>
      <c r="M265" s="26" t="n">
        <v>0.1564</v>
      </c>
    </row>
    <row r="266" ht="16" customHeight="1">
      <c r="A266" t="inlineStr">
        <is>
          <t>11-Mar-2026</t>
        </is>
      </c>
      <c r="B266" t="inlineStr">
        <is>
          <t>Wednesday</t>
        </is>
      </c>
      <c r="C266" t="inlineStr">
        <is>
          <t>Week2-Mar-2026</t>
        </is>
      </c>
      <c r="D266" s="78" t="n">
        <v>46082</v>
      </c>
      <c r="E266" t="inlineStr">
        <is>
          <t>Q4FY26</t>
        </is>
      </c>
      <c r="F266" t="inlineStr">
        <is>
          <t>30-Apr-2026</t>
        </is>
      </c>
      <c r="G266" t="inlineStr">
        <is>
          <t>Thursday</t>
        </is>
      </c>
      <c r="H266" t="inlineStr">
        <is>
          <t>Monthly - Thursday</t>
        </is>
      </c>
      <c r="I266" t="inlineStr">
        <is>
          <t>Monthly - Thursday</t>
        </is>
      </c>
      <c r="J266" t="inlineStr">
        <is>
          <t>Month+1 Expiry</t>
        </is>
      </c>
      <c r="K266" s="25" t="n">
        <v>0</v>
      </c>
      <c r="L266" s="26" t="n">
        <v>0</v>
      </c>
      <c r="M266" s="26" t="n">
        <v>0</v>
      </c>
    </row>
    <row r="267" ht="16" customHeight="1">
      <c r="A267" t="inlineStr">
        <is>
          <t>12-Mar-2026</t>
        </is>
      </c>
      <c r="B267" t="inlineStr">
        <is>
          <t>Thursday</t>
        </is>
      </c>
      <c r="C267" t="inlineStr">
        <is>
          <t>Week2-Mar-2026</t>
        </is>
      </c>
      <c r="D267" s="78" t="n">
        <v>46082</v>
      </c>
      <c r="E267" t="inlineStr">
        <is>
          <t>Q4FY26</t>
        </is>
      </c>
      <c r="F267" t="inlineStr">
        <is>
          <t>25-Mar-2026</t>
        </is>
      </c>
      <c r="G267" t="inlineStr">
        <is>
          <t>Wednesday</t>
        </is>
      </c>
      <c r="H267" t="inlineStr">
        <is>
          <t>Monthly - Wednesday</t>
        </is>
      </c>
      <c r="I267" t="inlineStr">
        <is>
          <t>Monthly - Wednesday</t>
        </is>
      </c>
      <c r="J267" t="inlineStr">
        <is>
          <t>Same Month Expiry</t>
        </is>
      </c>
      <c r="K267" s="25" t="n">
        <v>5309</v>
      </c>
      <c r="L267" s="26" t="n">
        <v>10.2021</v>
      </c>
      <c r="M267" s="26" t="n">
        <v>0.1463</v>
      </c>
    </row>
    <row r="268" ht="16" customHeight="1">
      <c r="A268" t="inlineStr">
        <is>
          <t>12-Mar-2026</t>
        </is>
      </c>
      <c r="B268" t="inlineStr">
        <is>
          <t>Thursday</t>
        </is>
      </c>
      <c r="C268" t="inlineStr">
        <is>
          <t>Week2-Mar-2026</t>
        </is>
      </c>
      <c r="D268" s="78" t="n">
        <v>46082</v>
      </c>
      <c r="E268" t="inlineStr">
        <is>
          <t>Q4FY26</t>
        </is>
      </c>
      <c r="F268" t="inlineStr">
        <is>
          <t>30-Apr-2026</t>
        </is>
      </c>
      <c r="G268" t="inlineStr">
        <is>
          <t>Thursday</t>
        </is>
      </c>
      <c r="H268" t="inlineStr">
        <is>
          <t>Monthly - Thursday</t>
        </is>
      </c>
      <c r="I268" t="inlineStr">
        <is>
          <t>Monthly - Thursday</t>
        </is>
      </c>
      <c r="J268" t="inlineStr">
        <is>
          <t>Month+1 Expiry</t>
        </is>
      </c>
      <c r="K268" s="25" t="n">
        <v>0</v>
      </c>
      <c r="L268" s="26" t="n">
        <v>0</v>
      </c>
      <c r="M268" s="26" t="n">
        <v>0</v>
      </c>
    </row>
    <row r="269" ht="16" customHeight="1">
      <c r="A269" t="inlineStr">
        <is>
          <t>13-Mar-2026</t>
        </is>
      </c>
      <c r="B269" t="inlineStr">
        <is>
          <t>Friday</t>
        </is>
      </c>
      <c r="C269" t="inlineStr">
        <is>
          <t>Week2-Mar-2026</t>
        </is>
      </c>
      <c r="D269" s="78" t="n">
        <v>46082</v>
      </c>
      <c r="E269" t="inlineStr">
        <is>
          <t>Q4FY26</t>
        </is>
      </c>
      <c r="F269" t="inlineStr">
        <is>
          <t>25-Mar-2026</t>
        </is>
      </c>
      <c r="G269" t="inlineStr">
        <is>
          <t>Wednesday</t>
        </is>
      </c>
      <c r="H269" t="inlineStr">
        <is>
          <t>Monthly - Wednesday</t>
        </is>
      </c>
      <c r="I269" t="inlineStr">
        <is>
          <t>Monthly - Wednesday</t>
        </is>
      </c>
      <c r="J269" t="inlineStr">
        <is>
          <t>Same Month Expiry</t>
        </is>
      </c>
      <c r="K269" s="25" t="n">
        <v>5740</v>
      </c>
      <c r="L269" s="26" t="n">
        <v>10.9391</v>
      </c>
      <c r="M269" s="26" t="n">
        <v>0.1157</v>
      </c>
    </row>
    <row r="270" ht="16" customHeight="1">
      <c r="A270" t="inlineStr">
        <is>
          <t>13-Mar-2026</t>
        </is>
      </c>
      <c r="B270" t="inlineStr">
        <is>
          <t>Friday</t>
        </is>
      </c>
      <c r="C270" t="inlineStr">
        <is>
          <t>Week2-Mar-2026</t>
        </is>
      </c>
      <c r="D270" s="78" t="n">
        <v>46082</v>
      </c>
      <c r="E270" t="inlineStr">
        <is>
          <t>Q4FY26</t>
        </is>
      </c>
      <c r="F270" t="inlineStr">
        <is>
          <t>30-Apr-2026</t>
        </is>
      </c>
      <c r="G270" t="inlineStr">
        <is>
          <t>Thursday</t>
        </is>
      </c>
      <c r="H270" t="inlineStr">
        <is>
          <t>Monthly - Thursday</t>
        </is>
      </c>
      <c r="I270" t="inlineStr">
        <is>
          <t>Monthly - Thursday</t>
        </is>
      </c>
      <c r="J270" t="inlineStr">
        <is>
          <t>Month+1 Expiry</t>
        </is>
      </c>
      <c r="K270" s="25" t="n">
        <v>0</v>
      </c>
      <c r="L270" s="26" t="n">
        <v>0</v>
      </c>
      <c r="M270" s="26" t="n">
        <v>0</v>
      </c>
    </row>
    <row r="271" ht="16" customHeight="1">
      <c r="A271" t="inlineStr">
        <is>
          <t>16-Mar-2026</t>
        </is>
      </c>
      <c r="B271" t="inlineStr">
        <is>
          <t>Monday</t>
        </is>
      </c>
      <c r="C271" t="inlineStr">
        <is>
          <t>Week3-Mar-2026</t>
        </is>
      </c>
      <c r="D271" s="78" t="n">
        <v>46082</v>
      </c>
      <c r="E271" t="inlineStr">
        <is>
          <t>Q4FY26</t>
        </is>
      </c>
      <c r="F271" t="inlineStr">
        <is>
          <t>25-Mar-2026</t>
        </is>
      </c>
      <c r="G271" t="inlineStr">
        <is>
          <t>Wednesday</t>
        </is>
      </c>
      <c r="H271" t="inlineStr">
        <is>
          <t>Monthly - Wednesday</t>
        </is>
      </c>
      <c r="I271" t="inlineStr">
        <is>
          <t>Monthly - Wednesday</t>
        </is>
      </c>
      <c r="J271" t="inlineStr">
        <is>
          <t>Same Month Expiry</t>
        </is>
      </c>
      <c r="K271" s="25" t="n">
        <v>8874</v>
      </c>
      <c r="L271" s="26" t="n">
        <v>16.6334</v>
      </c>
      <c r="M271" s="26" t="n">
        <v>0.2335</v>
      </c>
    </row>
    <row r="272" ht="16" customHeight="1">
      <c r="A272" t="inlineStr">
        <is>
          <t>16-Mar-2026</t>
        </is>
      </c>
      <c r="B272" t="inlineStr">
        <is>
          <t>Monday</t>
        </is>
      </c>
      <c r="C272" t="inlineStr">
        <is>
          <t>Week3-Mar-2026</t>
        </is>
      </c>
      <c r="D272" s="78" t="n">
        <v>46082</v>
      </c>
      <c r="E272" t="inlineStr">
        <is>
          <t>Q4FY26</t>
        </is>
      </c>
      <c r="F272" t="inlineStr">
        <is>
          <t>30-Apr-2026</t>
        </is>
      </c>
      <c r="G272" t="inlineStr">
        <is>
          <t>Thursday</t>
        </is>
      </c>
      <c r="H272" t="inlineStr">
        <is>
          <t>Monthly - Thursday</t>
        </is>
      </c>
      <c r="I272" t="inlineStr">
        <is>
          <t>Monthly - Thursday</t>
        </is>
      </c>
      <c r="J272" t="inlineStr">
        <is>
          <t>Month+1 Expiry</t>
        </is>
      </c>
      <c r="K272" s="25" t="n">
        <v>0</v>
      </c>
      <c r="L272" s="26" t="n">
        <v>0</v>
      </c>
      <c r="M272" s="26" t="n">
        <v>0</v>
      </c>
    </row>
    <row r="273" ht="16" customHeight="1">
      <c r="A273" t="inlineStr">
        <is>
          <t>17-Mar-2026</t>
        </is>
      </c>
      <c r="B273" t="inlineStr">
        <is>
          <t>Tuesday</t>
        </is>
      </c>
      <c r="C273" t="inlineStr">
        <is>
          <t>Week3-Mar-2026</t>
        </is>
      </c>
      <c r="D273" s="78" t="n">
        <v>46082</v>
      </c>
      <c r="E273" t="inlineStr">
        <is>
          <t>Q4FY26</t>
        </is>
      </c>
      <c r="F273" t="inlineStr">
        <is>
          <t>25-Mar-2026</t>
        </is>
      </c>
      <c r="G273" t="inlineStr">
        <is>
          <t>Wednesday</t>
        </is>
      </c>
      <c r="H273" t="inlineStr">
        <is>
          <t>Monthly - Wednesday</t>
        </is>
      </c>
      <c r="I273" t="inlineStr">
        <is>
          <t>Monthly - Wednesday</t>
        </is>
      </c>
      <c r="J273" t="inlineStr">
        <is>
          <t>Same Month Expiry</t>
        </is>
      </c>
      <c r="K273" s="25" t="n">
        <v>10898</v>
      </c>
      <c r="L273" s="26" t="n">
        <v>20.2097</v>
      </c>
      <c r="M273" s="26" t="n">
        <v>0.2252</v>
      </c>
    </row>
    <row r="274" ht="16" customHeight="1">
      <c r="A274" t="inlineStr">
        <is>
          <t>17-Mar-2026</t>
        </is>
      </c>
      <c r="B274" t="inlineStr">
        <is>
          <t>Tuesday</t>
        </is>
      </c>
      <c r="C274" t="inlineStr">
        <is>
          <t>Week3-Mar-2026</t>
        </is>
      </c>
      <c r="D274" s="78" t="n">
        <v>46082</v>
      </c>
      <c r="E274" t="inlineStr">
        <is>
          <t>Q4FY26</t>
        </is>
      </c>
      <c r="F274" t="inlineStr">
        <is>
          <t>30-Apr-2026</t>
        </is>
      </c>
      <c r="G274" t="inlineStr">
        <is>
          <t>Thursday</t>
        </is>
      </c>
      <c r="H274" t="inlineStr">
        <is>
          <t>Monthly - Thursday</t>
        </is>
      </c>
      <c r="I274" t="inlineStr">
        <is>
          <t>Monthly - Thursday</t>
        </is>
      </c>
      <c r="J274" t="inlineStr">
        <is>
          <t>Month+1 Expiry</t>
        </is>
      </c>
      <c r="K274" s="25" t="n">
        <v>0</v>
      </c>
      <c r="L274" s="26" t="n">
        <v>0</v>
      </c>
      <c r="M274" s="26" t="n">
        <v>0</v>
      </c>
    </row>
    <row r="275" ht="16" customHeight="1">
      <c r="A275" t="inlineStr">
        <is>
          <t>18-Mar-2026</t>
        </is>
      </c>
      <c r="B275" t="inlineStr">
        <is>
          <t>Wednesday</t>
        </is>
      </c>
      <c r="C275" t="inlineStr">
        <is>
          <t>Week3-Mar-2026</t>
        </is>
      </c>
      <c r="D275" s="78" t="n">
        <v>46082</v>
      </c>
      <c r="E275" t="inlineStr">
        <is>
          <t>Q4FY26</t>
        </is>
      </c>
      <c r="F275" t="inlineStr">
        <is>
          <t>25-Mar-2026</t>
        </is>
      </c>
      <c r="G275" t="inlineStr">
        <is>
          <t>Wednesday</t>
        </is>
      </c>
      <c r="H275" t="inlineStr">
        <is>
          <t>Monthly - Wednesday</t>
        </is>
      </c>
      <c r="I275" t="inlineStr">
        <is>
          <t>Monthly - Wednesday</t>
        </is>
      </c>
      <c r="J275" t="inlineStr">
        <is>
          <t>Same Month Expiry</t>
        </is>
      </c>
      <c r="K275" s="25" t="n">
        <v>12088</v>
      </c>
      <c r="L275" s="26" t="n">
        <v>22.2569</v>
      </c>
      <c r="M275" s="26" t="n">
        <v>0.1427</v>
      </c>
    </row>
    <row r="276" ht="16" customHeight="1">
      <c r="A276" t="inlineStr">
        <is>
          <t>18-Mar-2026</t>
        </is>
      </c>
      <c r="B276" t="inlineStr">
        <is>
          <t>Wednesday</t>
        </is>
      </c>
      <c r="C276" t="inlineStr">
        <is>
          <t>Week3-Mar-2026</t>
        </is>
      </c>
      <c r="D276" s="78" t="n">
        <v>46082</v>
      </c>
      <c r="E276" t="inlineStr">
        <is>
          <t>Q4FY26</t>
        </is>
      </c>
      <c r="F276" t="inlineStr">
        <is>
          <t>30-Apr-2026</t>
        </is>
      </c>
      <c r="G276" t="inlineStr">
        <is>
          <t>Thursday</t>
        </is>
      </c>
      <c r="H276" t="inlineStr">
        <is>
          <t>Monthly - Thursday</t>
        </is>
      </c>
      <c r="I276" t="inlineStr">
        <is>
          <t>Monthly - Thursday</t>
        </is>
      </c>
      <c r="J276" t="inlineStr">
        <is>
          <t>Month+1 Expiry</t>
        </is>
      </c>
      <c r="K276" s="25" t="n">
        <v>1</v>
      </c>
      <c r="L276" s="26" t="n">
        <v>0.0019</v>
      </c>
      <c r="M276" s="26" t="n">
        <v>0</v>
      </c>
    </row>
    <row r="277" ht="16" customHeight="1">
      <c r="A277" t="inlineStr">
        <is>
          <t>19-Mar-2026</t>
        </is>
      </c>
      <c r="B277" t="inlineStr">
        <is>
          <t>Thursday</t>
        </is>
      </c>
      <c r="C277" t="inlineStr">
        <is>
          <t>Week3-Mar-2026</t>
        </is>
      </c>
      <c r="D277" s="78" t="n">
        <v>46082</v>
      </c>
      <c r="E277" t="inlineStr">
        <is>
          <t>Q4FY26</t>
        </is>
      </c>
      <c r="F277" t="inlineStr">
        <is>
          <t>25-Mar-2026</t>
        </is>
      </c>
      <c r="G277" t="inlineStr">
        <is>
          <t>Wednesday</t>
        </is>
      </c>
      <c r="H277" t="inlineStr">
        <is>
          <t>Monthly - Wednesday</t>
        </is>
      </c>
      <c r="I277" t="inlineStr">
        <is>
          <t>Monthly - Wednesday</t>
        </is>
      </c>
      <c r="J277" t="inlineStr">
        <is>
          <t>Same Month Expiry</t>
        </is>
      </c>
      <c r="K277" s="25" t="n">
        <v>7943</v>
      </c>
      <c r="L277" s="26" t="n">
        <v>14.6471</v>
      </c>
      <c r="M277" s="26" t="n">
        <v>0.1431</v>
      </c>
    </row>
    <row r="278" ht="16" customHeight="1">
      <c r="A278" t="inlineStr">
        <is>
          <t>19-Mar-2026</t>
        </is>
      </c>
      <c r="B278" t="inlineStr">
        <is>
          <t>Thursday</t>
        </is>
      </c>
      <c r="C278" t="inlineStr">
        <is>
          <t>Week3-Mar-2026</t>
        </is>
      </c>
      <c r="D278" s="78" t="n">
        <v>46082</v>
      </c>
      <c r="E278" t="inlineStr">
        <is>
          <t>Q4FY26</t>
        </is>
      </c>
      <c r="F278" t="inlineStr">
        <is>
          <t>30-Apr-2026</t>
        </is>
      </c>
      <c r="G278" t="inlineStr">
        <is>
          <t>Thursday</t>
        </is>
      </c>
      <c r="H278" t="inlineStr">
        <is>
          <t>Monthly - Thursday</t>
        </is>
      </c>
      <c r="I278" t="inlineStr">
        <is>
          <t>Monthly - Thursday</t>
        </is>
      </c>
      <c r="J278" t="inlineStr">
        <is>
          <t>Month+1 Expiry</t>
        </is>
      </c>
      <c r="K278" s="25" t="n">
        <v>2</v>
      </c>
      <c r="L278" s="26" t="n">
        <v>0.0038</v>
      </c>
      <c r="M278" s="26" t="n">
        <v>0.0001</v>
      </c>
    </row>
    <row r="279" ht="16" customHeight="1">
      <c r="A279" t="inlineStr">
        <is>
          <t>20-Mar-2026</t>
        </is>
      </c>
      <c r="B279" t="inlineStr">
        <is>
          <t>Friday</t>
        </is>
      </c>
      <c r="C279" t="inlineStr">
        <is>
          <t>Week3-Mar-2026</t>
        </is>
      </c>
      <c r="D279" s="78" t="n">
        <v>46082</v>
      </c>
      <c r="E279" t="inlineStr">
        <is>
          <t>Q4FY26</t>
        </is>
      </c>
      <c r="F279" t="inlineStr">
        <is>
          <t>25-Mar-2026</t>
        </is>
      </c>
      <c r="G279" t="inlineStr">
        <is>
          <t>Wednesday</t>
        </is>
      </c>
      <c r="H279" t="inlineStr">
        <is>
          <t>Monthly - Wednesday</t>
        </is>
      </c>
      <c r="I279" t="inlineStr">
        <is>
          <t>Monthly - Wednesday</t>
        </is>
      </c>
      <c r="J279" t="inlineStr">
        <is>
          <t>Same Month Expiry</t>
        </is>
      </c>
      <c r="K279" s="25" t="n">
        <v>32300</v>
      </c>
      <c r="L279" s="26" t="n">
        <v>59.5262</v>
      </c>
      <c r="M279" s="26" t="n">
        <v>0.5203</v>
      </c>
    </row>
    <row r="280" ht="16" customHeight="1">
      <c r="A280" t="inlineStr">
        <is>
          <t>20-Mar-2026</t>
        </is>
      </c>
      <c r="B280" t="inlineStr">
        <is>
          <t>Friday</t>
        </is>
      </c>
      <c r="C280" t="inlineStr">
        <is>
          <t>Week3-Mar-2026</t>
        </is>
      </c>
      <c r="D280" s="78" t="n">
        <v>46082</v>
      </c>
      <c r="E280" t="inlineStr">
        <is>
          <t>Q4FY26</t>
        </is>
      </c>
      <c r="F280" t="inlineStr">
        <is>
          <t>30-Apr-2026</t>
        </is>
      </c>
      <c r="G280" t="inlineStr">
        <is>
          <t>Thursday</t>
        </is>
      </c>
      <c r="H280" t="inlineStr">
        <is>
          <t>Monthly - Thursday</t>
        </is>
      </c>
      <c r="I280" t="inlineStr">
        <is>
          <t>Monthly - Thursday</t>
        </is>
      </c>
      <c r="J280" t="inlineStr">
        <is>
          <t>Month+1 Expiry</t>
        </is>
      </c>
      <c r="K280" s="25" t="n">
        <v>0</v>
      </c>
      <c r="L280" s="26" t="n">
        <v>0</v>
      </c>
      <c r="M280" s="26" t="n">
        <v>0</v>
      </c>
    </row>
    <row r="281" ht="16" customHeight="1">
      <c r="A281" t="inlineStr">
        <is>
          <t>23-Mar-2026</t>
        </is>
      </c>
      <c r="B281" t="inlineStr">
        <is>
          <t>Monday</t>
        </is>
      </c>
      <c r="C281" t="inlineStr">
        <is>
          <t>Week4-Mar-2026</t>
        </is>
      </c>
      <c r="D281" s="78" t="n">
        <v>46082</v>
      </c>
      <c r="E281" t="inlineStr">
        <is>
          <t>Q4FY26</t>
        </is>
      </c>
      <c r="F281" t="inlineStr">
        <is>
          <t>25-Mar-2026</t>
        </is>
      </c>
      <c r="G281" t="inlineStr">
        <is>
          <t>Wednesday</t>
        </is>
      </c>
      <c r="H281" t="inlineStr">
        <is>
          <t>Monthly - Wednesday</t>
        </is>
      </c>
      <c r="I281" t="inlineStr">
        <is>
          <t>Monthly - Wednesday</t>
        </is>
      </c>
      <c r="J281" t="inlineStr">
        <is>
          <t>Same Month Expiry</t>
        </is>
      </c>
      <c r="K281" s="25" t="n">
        <v>18991</v>
      </c>
      <c r="L281" s="26" t="n">
        <v>34.2958</v>
      </c>
      <c r="M281" s="26" t="n">
        <v>0.3145</v>
      </c>
    </row>
    <row r="282" ht="16" customHeight="1">
      <c r="A282" t="inlineStr">
        <is>
          <t>23-Mar-2026</t>
        </is>
      </c>
      <c r="B282" t="inlineStr">
        <is>
          <t>Monday</t>
        </is>
      </c>
      <c r="C282" t="inlineStr">
        <is>
          <t>Week4-Mar-2026</t>
        </is>
      </c>
      <c r="D282" s="78" t="n">
        <v>46082</v>
      </c>
      <c r="E282" t="inlineStr">
        <is>
          <t>Q4FY26</t>
        </is>
      </c>
      <c r="F282" t="inlineStr">
        <is>
          <t>30-Apr-2026</t>
        </is>
      </c>
      <c r="G282" t="inlineStr">
        <is>
          <t>Thursday</t>
        </is>
      </c>
      <c r="H282" t="inlineStr">
        <is>
          <t>Monthly - Thursday</t>
        </is>
      </c>
      <c r="I282" t="inlineStr">
        <is>
          <t>Monthly - Thursday</t>
        </is>
      </c>
      <c r="J282" t="inlineStr">
        <is>
          <t>Month+1 Expiry</t>
        </is>
      </c>
      <c r="K282" s="25" t="n">
        <v>2</v>
      </c>
      <c r="L282" s="26" t="n">
        <v>0.0039</v>
      </c>
      <c r="M282" s="26" t="n">
        <v>0.0002</v>
      </c>
    </row>
    <row r="283" ht="16" customHeight="1">
      <c r="A283" t="inlineStr">
        <is>
          <t>24-Mar-2026</t>
        </is>
      </c>
      <c r="B283" t="inlineStr">
        <is>
          <t>Tuesday</t>
        </is>
      </c>
      <c r="C283" t="inlineStr">
        <is>
          <t>Week4-Mar-2026</t>
        </is>
      </c>
      <c r="D283" s="78" t="n">
        <v>46082</v>
      </c>
      <c r="E283" t="inlineStr">
        <is>
          <t>Q4FY26</t>
        </is>
      </c>
      <c r="F283" t="inlineStr">
        <is>
          <t>25-Mar-2026</t>
        </is>
      </c>
      <c r="G283" t="inlineStr">
        <is>
          <t>Wednesday</t>
        </is>
      </c>
      <c r="H283" t="inlineStr">
        <is>
          <t>Monthly - Wednesday</t>
        </is>
      </c>
      <c r="I283" t="inlineStr">
        <is>
          <t>Monthly - Wednesday</t>
        </is>
      </c>
      <c r="J283" t="inlineStr">
        <is>
          <t>Same Month Expiry</t>
        </is>
      </c>
      <c r="K283" s="25" t="n">
        <v>68543</v>
      </c>
      <c r="L283" s="26" t="n">
        <v>122.1438</v>
      </c>
      <c r="M283" s="26" t="n">
        <v>0.5973000000000001</v>
      </c>
    </row>
    <row r="284" ht="16" customHeight="1">
      <c r="A284" t="inlineStr">
        <is>
          <t>24-Mar-2026</t>
        </is>
      </c>
      <c r="B284" t="inlineStr">
        <is>
          <t>Tuesday</t>
        </is>
      </c>
      <c r="C284" t="inlineStr">
        <is>
          <t>Week4-Mar-2026</t>
        </is>
      </c>
      <c r="D284" s="78" t="n">
        <v>46082</v>
      </c>
      <c r="E284" t="inlineStr">
        <is>
          <t>Q4FY26</t>
        </is>
      </c>
      <c r="F284" t="inlineStr">
        <is>
          <t>30-Apr-2026</t>
        </is>
      </c>
      <c r="G284" t="inlineStr">
        <is>
          <t>Thursday</t>
        </is>
      </c>
      <c r="H284" t="inlineStr">
        <is>
          <t>Monthly - Thursday</t>
        </is>
      </c>
      <c r="I284" t="inlineStr">
        <is>
          <t>Monthly - Thursday</t>
        </is>
      </c>
      <c r="J284" t="inlineStr">
        <is>
          <t>Month+1 Expiry</t>
        </is>
      </c>
      <c r="K284" s="25" t="n">
        <v>1</v>
      </c>
      <c r="L284" s="26" t="n">
        <v>0.0019</v>
      </c>
      <c r="M284" s="26" t="n">
        <v>0.0001</v>
      </c>
    </row>
    <row r="285" ht="16" customHeight="1">
      <c r="A285" t="inlineStr">
        <is>
          <t>25-Mar-2026</t>
        </is>
      </c>
      <c r="B285" t="inlineStr">
        <is>
          <t>Wednesday</t>
        </is>
      </c>
      <c r="C285" t="inlineStr">
        <is>
          <t>Week4-Mar-2026</t>
        </is>
      </c>
      <c r="D285" s="78" t="n">
        <v>46082</v>
      </c>
      <c r="E285" t="inlineStr">
        <is>
          <t>Q4FY26</t>
        </is>
      </c>
      <c r="F285" t="inlineStr">
        <is>
          <t>25-Mar-2026</t>
        </is>
      </c>
      <c r="G285" t="inlineStr">
        <is>
          <t>Wednesday</t>
        </is>
      </c>
      <c r="H285" t="inlineStr">
        <is>
          <t>Monthly - Wednesday</t>
        </is>
      </c>
      <c r="I285" t="inlineStr">
        <is>
          <t>Monthly - Wednesday</t>
        </is>
      </c>
      <c r="J285" t="inlineStr">
        <is>
          <t>Same Month Expiry</t>
        </is>
      </c>
      <c r="K285" s="25" t="n">
        <v>5725364</v>
      </c>
      <c r="L285" s="26" t="n">
        <v>10400.9118</v>
      </c>
      <c r="M285" s="26" t="n">
        <v>11.4328</v>
      </c>
    </row>
    <row r="286" ht="16" customHeight="1">
      <c r="A286" t="inlineStr">
        <is>
          <t>25-Mar-2026</t>
        </is>
      </c>
      <c r="B286" t="inlineStr">
        <is>
          <t>Wednesday</t>
        </is>
      </c>
      <c r="C286" t="inlineStr">
        <is>
          <t>Week4-Mar-2026</t>
        </is>
      </c>
      <c r="D286" s="78" t="n">
        <v>46082</v>
      </c>
      <c r="E286" t="inlineStr">
        <is>
          <t>Q4FY26</t>
        </is>
      </c>
      <c r="F286" t="inlineStr">
        <is>
          <t>30-Apr-2026</t>
        </is>
      </c>
      <c r="G286" t="inlineStr">
        <is>
          <t>Thursday</t>
        </is>
      </c>
      <c r="H286" t="inlineStr">
        <is>
          <t>Monthly - Thursday</t>
        </is>
      </c>
      <c r="I286" t="inlineStr">
        <is>
          <t>Monthly - Thursday</t>
        </is>
      </c>
      <c r="J286" t="inlineStr">
        <is>
          <t>Month+1 Expiry</t>
        </is>
      </c>
      <c r="K286" s="25" t="n">
        <v>12</v>
      </c>
      <c r="L286" s="26" t="n">
        <v>0.0219</v>
      </c>
      <c r="M286" s="26" t="n">
        <v>0.0007</v>
      </c>
    </row>
    <row r="287" ht="16" customHeight="1">
      <c r="A287" t="inlineStr">
        <is>
          <t>27-Mar-2026</t>
        </is>
      </c>
      <c r="B287" t="inlineStr">
        <is>
          <t>Friday</t>
        </is>
      </c>
      <c r="C287" t="inlineStr">
        <is>
          <t>Week4-Mar-2026</t>
        </is>
      </c>
      <c r="D287" s="78" t="n">
        <v>46082</v>
      </c>
      <c r="E287" t="inlineStr">
        <is>
          <t>Q4FY26</t>
        </is>
      </c>
      <c r="F287" t="inlineStr">
        <is>
          <t>30-Apr-2026</t>
        </is>
      </c>
      <c r="G287" t="inlineStr">
        <is>
          <t>Thursday</t>
        </is>
      </c>
      <c r="H287" t="inlineStr">
        <is>
          <t>Monthly - Thursday</t>
        </is>
      </c>
      <c r="I287" t="inlineStr">
        <is>
          <t>Monthly - Thursday</t>
        </is>
      </c>
      <c r="J287" t="inlineStr">
        <is>
          <t>Month+1 Expiry</t>
        </is>
      </c>
      <c r="K287" s="25" t="n">
        <v>122</v>
      </c>
      <c r="L287" s="26" t="n">
        <v>0.2262</v>
      </c>
      <c r="M287" s="26" t="n">
        <v>0.0065</v>
      </c>
    </row>
    <row r="288" ht="16" customHeight="1">
      <c r="A288" t="inlineStr">
        <is>
          <t>30-Mar-2026</t>
        </is>
      </c>
      <c r="B288" t="inlineStr">
        <is>
          <t>Monday</t>
        </is>
      </c>
      <c r="C288" t="inlineStr">
        <is>
          <t>Week5-Mar-2026</t>
        </is>
      </c>
      <c r="D288" s="78" t="n">
        <v>46082</v>
      </c>
      <c r="E288" t="inlineStr">
        <is>
          <t>Q4FY26</t>
        </is>
      </c>
      <c r="F288" t="inlineStr">
        <is>
          <t>30-Apr-2026</t>
        </is>
      </c>
      <c r="G288" t="inlineStr">
        <is>
          <t>Thursday</t>
        </is>
      </c>
      <c r="H288" t="inlineStr">
        <is>
          <t>Monthly - Thursday</t>
        </is>
      </c>
      <c r="I288" t="inlineStr">
        <is>
          <t>Monthly - Thursday</t>
        </is>
      </c>
      <c r="J288" t="inlineStr">
        <is>
          <t>Month+1 Expiry</t>
        </is>
      </c>
      <c r="K288" s="25" t="n">
        <v>85</v>
      </c>
      <c r="L288" s="26" t="n">
        <v>0.1558</v>
      </c>
      <c r="M288" s="26" t="n">
        <v>0.0023</v>
      </c>
    </row>
    <row r="289" ht="16" customHeight="1">
      <c r="A289" t="inlineStr">
        <is>
          <t>30-Mar-2026</t>
        </is>
      </c>
      <c r="B289" t="inlineStr">
        <is>
          <t>Monday</t>
        </is>
      </c>
      <c r="C289" t="inlineStr">
        <is>
          <t>Week5-Mar-2026</t>
        </is>
      </c>
      <c r="D289" s="78" t="n">
        <v>46082</v>
      </c>
      <c r="E289" t="inlineStr">
        <is>
          <t>Q4FY26</t>
        </is>
      </c>
      <c r="F289" t="inlineStr">
        <is>
          <t>27-May-2026</t>
        </is>
      </c>
      <c r="G289" t="inlineStr">
        <is>
          <t>Wednesday</t>
        </is>
      </c>
      <c r="H289" t="inlineStr">
        <is>
          <t>Monthly - Wednesday</t>
        </is>
      </c>
      <c r="I289" t="inlineStr">
        <is>
          <t>Monthly - Wednesday</t>
        </is>
      </c>
      <c r="J289" t="inlineStr">
        <is>
          <t>Month+2 Expiry</t>
        </is>
      </c>
      <c r="K289" s="25" t="n">
        <v>10</v>
      </c>
      <c r="L289" s="26" t="n">
        <v>0.0172</v>
      </c>
      <c r="M289" s="26" t="n">
        <v>0.0004</v>
      </c>
    </row>
    <row r="290" ht="16" customHeight="1">
      <c r="A290" t="inlineStr">
        <is>
          <t>01-Apr-2026</t>
        </is>
      </c>
      <c r="B290" t="inlineStr">
        <is>
          <t>Wednesday</t>
        </is>
      </c>
      <c r="C290" t="inlineStr">
        <is>
          <t>Week1-Apr-2026</t>
        </is>
      </c>
      <c r="D290" s="78" t="n">
        <v>46113</v>
      </c>
      <c r="E290" t="inlineStr">
        <is>
          <t>Q1FY27</t>
        </is>
      </c>
      <c r="F290" t="inlineStr">
        <is>
          <t>30-Apr-2026</t>
        </is>
      </c>
      <c r="G290" t="inlineStr">
        <is>
          <t>Thursday</t>
        </is>
      </c>
      <c r="H290" t="inlineStr">
        <is>
          <t>Monthly - Thursday</t>
        </is>
      </c>
      <c r="I290" t="inlineStr">
        <is>
          <t>Monthly - Thursday</t>
        </is>
      </c>
      <c r="J290" t="inlineStr">
        <is>
          <t>Same Month Expiry</t>
        </is>
      </c>
      <c r="K290" s="25" t="n">
        <v>650</v>
      </c>
      <c r="L290" s="26" t="n">
        <v>1.2018</v>
      </c>
      <c r="M290" s="26" t="n">
        <v>0.0188</v>
      </c>
    </row>
    <row r="291" ht="16" customHeight="1">
      <c r="A291" t="inlineStr">
        <is>
          <t>02-Apr-2026</t>
        </is>
      </c>
      <c r="B291" t="inlineStr">
        <is>
          <t>Thursday</t>
        </is>
      </c>
      <c r="C291" t="inlineStr">
        <is>
          <t>Week1-Apr-2026</t>
        </is>
      </c>
      <c r="D291" s="78" t="n">
        <v>46113</v>
      </c>
      <c r="E291" t="inlineStr">
        <is>
          <t>Q1FY27</t>
        </is>
      </c>
      <c r="F291" t="inlineStr">
        <is>
          <t>30-Apr-2026</t>
        </is>
      </c>
      <c r="G291" t="inlineStr">
        <is>
          <t>Thursday</t>
        </is>
      </c>
      <c r="H291" t="inlineStr">
        <is>
          <t>Monthly - Thursday</t>
        </is>
      </c>
      <c r="I291" t="inlineStr">
        <is>
          <t>Monthly - Thursday</t>
        </is>
      </c>
      <c r="J291" t="inlineStr">
        <is>
          <t>Same Month Expiry</t>
        </is>
      </c>
      <c r="K291" s="25" t="n">
        <v>1099</v>
      </c>
      <c r="L291" s="26" t="n">
        <v>2.022</v>
      </c>
      <c r="M291" s="26" t="n">
        <v>0.0257</v>
      </c>
    </row>
    <row r="292" ht="16" customHeight="1">
      <c r="A292" t="inlineStr">
        <is>
          <t>02-Apr-2026</t>
        </is>
      </c>
      <c r="B292" t="inlineStr">
        <is>
          <t>Thursday</t>
        </is>
      </c>
      <c r="C292" t="inlineStr">
        <is>
          <t>Week1-Apr-2026</t>
        </is>
      </c>
      <c r="D292" s="78" t="n">
        <v>46113</v>
      </c>
      <c r="E292" t="inlineStr">
        <is>
          <t>Q1FY27</t>
        </is>
      </c>
      <c r="F292" t="inlineStr">
        <is>
          <t>27-May-2026</t>
        </is>
      </c>
      <c r="G292" t="inlineStr">
        <is>
          <t>Wednesday</t>
        </is>
      </c>
      <c r="H292" t="inlineStr">
        <is>
          <t>Monthly - Wednesday</t>
        </is>
      </c>
      <c r="I292" t="inlineStr">
        <is>
          <t>Monthly - Wednesday</t>
        </is>
      </c>
      <c r="J292" t="inlineStr">
        <is>
          <t>Month+1 Expiry</t>
        </is>
      </c>
      <c r="K292" s="25" t="n">
        <v>2</v>
      </c>
      <c r="L292" s="26" t="n">
        <v>0.0032</v>
      </c>
      <c r="M292" s="26" t="n">
        <v>0</v>
      </c>
    </row>
    <row r="293" ht="16" customHeight="1">
      <c r="A293" t="inlineStr">
        <is>
          <t>06-Apr-2026</t>
        </is>
      </c>
      <c r="B293" t="inlineStr">
        <is>
          <t>Monday</t>
        </is>
      </c>
      <c r="C293" t="inlineStr">
        <is>
          <t>Week1-Apr-2026</t>
        </is>
      </c>
      <c r="D293" s="78" t="n">
        <v>46113</v>
      </c>
      <c r="E293" t="inlineStr">
        <is>
          <t>Q1FY27</t>
        </is>
      </c>
      <c r="F293" t="inlineStr">
        <is>
          <t>30-Apr-2026</t>
        </is>
      </c>
      <c r="G293" t="inlineStr">
        <is>
          <t>Thursday</t>
        </is>
      </c>
      <c r="H293" t="inlineStr">
        <is>
          <t>Monthly - Thursday</t>
        </is>
      </c>
      <c r="I293" t="inlineStr">
        <is>
          <t>Monthly - Thursday</t>
        </is>
      </c>
      <c r="J293" t="inlineStr">
        <is>
          <t>Same Month Expiry</t>
        </is>
      </c>
      <c r="K293" s="25" t="n">
        <v>1614</v>
      </c>
      <c r="L293" s="26" t="n">
        <v>2.9321</v>
      </c>
      <c r="M293" s="26" t="n">
        <v>0.0532</v>
      </c>
    </row>
    <row r="294" ht="16" customHeight="1">
      <c r="A294" t="inlineStr">
        <is>
          <t>06-Apr-2026</t>
        </is>
      </c>
      <c r="B294" t="inlineStr">
        <is>
          <t>Monday</t>
        </is>
      </c>
      <c r="C294" t="inlineStr">
        <is>
          <t>Week1-Apr-2026</t>
        </is>
      </c>
      <c r="D294" s="78" t="n">
        <v>46113</v>
      </c>
      <c r="E294" t="inlineStr">
        <is>
          <t>Q1FY27</t>
        </is>
      </c>
      <c r="F294" t="inlineStr">
        <is>
          <t>27-May-2026</t>
        </is>
      </c>
      <c r="G294" t="inlineStr">
        <is>
          <t>Wednesday</t>
        </is>
      </c>
      <c r="H294" t="inlineStr">
        <is>
          <t>Monthly - Wednesday</t>
        </is>
      </c>
      <c r="I294" t="inlineStr">
        <is>
          <t>Monthly - Wednesday</t>
        </is>
      </c>
      <c r="J294" t="inlineStr">
        <is>
          <t>Month+1 Expiry</t>
        </is>
      </c>
      <c r="K294" s="25" t="n">
        <v>1</v>
      </c>
      <c r="L294" s="26" t="n">
        <v>0.0016</v>
      </c>
      <c r="M294" s="26" t="n">
        <v>0</v>
      </c>
    </row>
    <row r="295" ht="16" customHeight="1">
      <c r="A295" t="inlineStr">
        <is>
          <t>07-Apr-2026</t>
        </is>
      </c>
      <c r="B295" t="inlineStr">
        <is>
          <t>Tuesday</t>
        </is>
      </c>
      <c r="C295" t="inlineStr">
        <is>
          <t>Week1-Apr-2026</t>
        </is>
      </c>
      <c r="D295" s="78" t="n">
        <v>46113</v>
      </c>
      <c r="E295" t="inlineStr">
        <is>
          <t>Q1FY27</t>
        </is>
      </c>
      <c r="F295" t="inlineStr">
        <is>
          <t>30-Apr-2026</t>
        </is>
      </c>
      <c r="G295" t="inlineStr">
        <is>
          <t>Thursday</t>
        </is>
      </c>
      <c r="H295" t="inlineStr">
        <is>
          <t>Monthly - Thursday</t>
        </is>
      </c>
      <c r="I295" t="inlineStr">
        <is>
          <t>Monthly - Thursday</t>
        </is>
      </c>
      <c r="J295" t="inlineStr">
        <is>
          <t>Same Month Expiry</t>
        </is>
      </c>
      <c r="K295" s="25" t="n">
        <v>1902</v>
      </c>
      <c r="L295" s="26" t="n">
        <v>3.4489</v>
      </c>
      <c r="M295" s="26" t="n">
        <v>0.0469</v>
      </c>
    </row>
    <row r="296" ht="16" customHeight="1">
      <c r="A296" t="inlineStr">
        <is>
          <t>07-Apr-2026</t>
        </is>
      </c>
      <c r="B296" t="inlineStr">
        <is>
          <t>Tuesday</t>
        </is>
      </c>
      <c r="C296" t="inlineStr">
        <is>
          <t>Week1-Apr-2026</t>
        </is>
      </c>
      <c r="D296" s="78" t="n">
        <v>46113</v>
      </c>
      <c r="E296" t="inlineStr">
        <is>
          <t>Q1FY27</t>
        </is>
      </c>
      <c r="F296" t="inlineStr">
        <is>
          <t>27-May-2026</t>
        </is>
      </c>
      <c r="G296" t="inlineStr">
        <is>
          <t>Wednesday</t>
        </is>
      </c>
      <c r="H296" t="inlineStr">
        <is>
          <t>Monthly - Wednesday</t>
        </is>
      </c>
      <c r="I296" t="inlineStr">
        <is>
          <t>Monthly - Wednesday</t>
        </is>
      </c>
      <c r="J296" t="inlineStr">
        <is>
          <t>Month+1 Expiry</t>
        </is>
      </c>
      <c r="K296" s="25" t="n">
        <v>2</v>
      </c>
      <c r="L296" s="26" t="n">
        <v>0.0032</v>
      </c>
      <c r="M296" s="26" t="n">
        <v>0</v>
      </c>
    </row>
    <row r="297" ht="16" customHeight="1">
      <c r="A297" t="inlineStr">
        <is>
          <t>08-Apr-2026</t>
        </is>
      </c>
      <c r="B297" t="inlineStr">
        <is>
          <t>Wednesday</t>
        </is>
      </c>
      <c r="C297" t="inlineStr">
        <is>
          <t>Week2-Apr-2026</t>
        </is>
      </c>
      <c r="D297" s="78" t="n">
        <v>46113</v>
      </c>
      <c r="E297" t="inlineStr">
        <is>
          <t>Q1FY27</t>
        </is>
      </c>
      <c r="F297" t="inlineStr">
        <is>
          <t>30-Apr-2026</t>
        </is>
      </c>
      <c r="G297" t="inlineStr">
        <is>
          <t>Thursday</t>
        </is>
      </c>
      <c r="H297" t="inlineStr">
        <is>
          <t>Monthly - Thursday</t>
        </is>
      </c>
      <c r="I297" t="inlineStr">
        <is>
          <t>Monthly - Thursday</t>
        </is>
      </c>
      <c r="J297" t="inlineStr">
        <is>
          <t>Same Month Expiry</t>
        </is>
      </c>
      <c r="K297" s="25" t="n">
        <v>432</v>
      </c>
      <c r="L297" s="26" t="n">
        <v>0.998</v>
      </c>
      <c r="M297" s="26" t="n">
        <v>0.089</v>
      </c>
    </row>
    <row r="298" ht="16" customHeight="1">
      <c r="A298" t="inlineStr">
        <is>
          <t>08-Apr-2026</t>
        </is>
      </c>
      <c r="B298" t="inlineStr">
        <is>
          <t>Wednesday</t>
        </is>
      </c>
      <c r="C298" t="inlineStr">
        <is>
          <t>Week2-Apr-2026</t>
        </is>
      </c>
      <c r="D298" s="78" t="n">
        <v>46113</v>
      </c>
      <c r="E298" t="inlineStr">
        <is>
          <t>Q1FY27</t>
        </is>
      </c>
      <c r="F298" t="inlineStr">
        <is>
          <t>27-May-2026</t>
        </is>
      </c>
      <c r="G298" t="inlineStr">
        <is>
          <t>Wednesday</t>
        </is>
      </c>
      <c r="H298" t="inlineStr">
        <is>
          <t>Monthly - Wednesday</t>
        </is>
      </c>
      <c r="I298" t="inlineStr">
        <is>
          <t>Monthly - Wednesday</t>
        </is>
      </c>
      <c r="J298" t="inlineStr">
        <is>
          <t>Month+1 Expiry</t>
        </is>
      </c>
      <c r="K298" s="25" t="n">
        <v>2</v>
      </c>
      <c r="L298" s="26" t="n">
        <v>0.0032</v>
      </c>
      <c r="M298" s="26" t="n">
        <v>0</v>
      </c>
    </row>
    <row r="299" ht="16" customHeight="1">
      <c r="A299" t="inlineStr">
        <is>
          <t>09-Apr-2026</t>
        </is>
      </c>
      <c r="B299" t="inlineStr">
        <is>
          <t>Thursday</t>
        </is>
      </c>
      <c r="C299" t="inlineStr">
        <is>
          <t>Week2-Apr-2026</t>
        </is>
      </c>
      <c r="D299" s="78" t="n">
        <v>46113</v>
      </c>
      <c r="E299" t="inlineStr">
        <is>
          <t>Q1FY27</t>
        </is>
      </c>
      <c r="F299" t="inlineStr">
        <is>
          <t>30-Apr-2026</t>
        </is>
      </c>
      <c r="G299" t="inlineStr">
        <is>
          <t>Thursday</t>
        </is>
      </c>
      <c r="H299" t="inlineStr">
        <is>
          <t>Monthly - Thursday</t>
        </is>
      </c>
      <c r="I299" t="inlineStr">
        <is>
          <t>Monthly - Thursday</t>
        </is>
      </c>
      <c r="J299" t="inlineStr">
        <is>
          <t>Same Month Expiry</t>
        </is>
      </c>
      <c r="K299" s="25" t="n">
        <v>3722</v>
      </c>
      <c r="L299" s="26" t="n">
        <v>6.9565</v>
      </c>
      <c r="M299" s="26" t="n">
        <v>0.1304</v>
      </c>
    </row>
    <row r="300" ht="16" customHeight="1">
      <c r="A300" t="inlineStr">
        <is>
          <t>10-Apr-2026</t>
        </is>
      </c>
      <c r="B300" t="inlineStr">
        <is>
          <t>Friday</t>
        </is>
      </c>
      <c r="C300" t="inlineStr">
        <is>
          <t>Week2-Apr-2026</t>
        </is>
      </c>
      <c r="D300" s="78" t="n">
        <v>46113</v>
      </c>
      <c r="E300" t="inlineStr">
        <is>
          <t>Q1FY27</t>
        </is>
      </c>
      <c r="F300" t="inlineStr">
        <is>
          <t>30-Apr-2026</t>
        </is>
      </c>
      <c r="G300" t="inlineStr">
        <is>
          <t>Thursday</t>
        </is>
      </c>
      <c r="H300" t="inlineStr">
        <is>
          <t>Monthly - Thursday</t>
        </is>
      </c>
      <c r="I300" t="inlineStr">
        <is>
          <t>Monthly - Thursday</t>
        </is>
      </c>
      <c r="J300" t="inlineStr">
        <is>
          <t>Same Month Expiry</t>
        </is>
      </c>
      <c r="K300" s="25" t="n">
        <v>2442</v>
      </c>
      <c r="L300" s="26" t="n">
        <v>4.6241</v>
      </c>
      <c r="M300" s="26" t="n">
        <v>0.0827</v>
      </c>
    </row>
    <row r="301" ht="16" customHeight="1">
      <c r="A301" t="inlineStr">
        <is>
          <t>13-Apr-2026</t>
        </is>
      </c>
      <c r="B301" t="inlineStr">
        <is>
          <t>Monday</t>
        </is>
      </c>
      <c r="C301" t="inlineStr">
        <is>
          <t>Week2-Apr-2026</t>
        </is>
      </c>
      <c r="D301" s="78" t="n">
        <v>46113</v>
      </c>
      <c r="E301" t="inlineStr">
        <is>
          <t>Q1FY27</t>
        </is>
      </c>
      <c r="F301" t="inlineStr">
        <is>
          <t>30-Apr-2026</t>
        </is>
      </c>
      <c r="G301" t="inlineStr">
        <is>
          <t>Thursday</t>
        </is>
      </c>
      <c r="H301" t="inlineStr">
        <is>
          <t>Monthly - Thursday</t>
        </is>
      </c>
      <c r="I301" t="inlineStr">
        <is>
          <t>Monthly - Thursday</t>
        </is>
      </c>
      <c r="J301" t="inlineStr">
        <is>
          <t>Same Month Expiry</t>
        </is>
      </c>
      <c r="K301" s="25" t="n">
        <v>2547</v>
      </c>
      <c r="L301" s="26" t="n">
        <v>4.7951</v>
      </c>
      <c r="M301" s="26" t="n">
        <v>0.0697</v>
      </c>
    </row>
    <row r="302" ht="16" customHeight="1">
      <c r="A302" t="inlineStr">
        <is>
          <t>15-Apr-2026</t>
        </is>
      </c>
      <c r="B302" t="inlineStr">
        <is>
          <t>Wednesday</t>
        </is>
      </c>
      <c r="C302" t="inlineStr">
        <is>
          <t>Week3-Apr-2026</t>
        </is>
      </c>
      <c r="D302" s="78" t="n">
        <v>46113</v>
      </c>
      <c r="E302" t="inlineStr">
        <is>
          <t>Q1FY27</t>
        </is>
      </c>
      <c r="F302" t="inlineStr">
        <is>
          <t>30-Apr-2026</t>
        </is>
      </c>
      <c r="G302" t="inlineStr">
        <is>
          <t>Thursday</t>
        </is>
      </c>
      <c r="H302" t="inlineStr">
        <is>
          <t>Monthly - Thursday</t>
        </is>
      </c>
      <c r="I302" t="inlineStr">
        <is>
          <t>Monthly - Thursday</t>
        </is>
      </c>
      <c r="J302" t="inlineStr">
        <is>
          <t>Same Month Expiry</t>
        </is>
      </c>
      <c r="K302" s="25" t="n">
        <v>2117</v>
      </c>
      <c r="L302" s="26" t="n">
        <v>4.0979</v>
      </c>
      <c r="M302" s="26" t="n">
        <v>0.056</v>
      </c>
    </row>
    <row r="303" ht="16" customHeight="1">
      <c r="A303" t="inlineStr">
        <is>
          <t>15-Apr-2026</t>
        </is>
      </c>
      <c r="B303" t="inlineStr">
        <is>
          <t>Wednesday</t>
        </is>
      </c>
      <c r="C303" t="inlineStr">
        <is>
          <t>Week3-Apr-2026</t>
        </is>
      </c>
      <c r="D303" s="78" t="n">
        <v>46113</v>
      </c>
      <c r="E303" t="inlineStr">
        <is>
          <t>Q1FY27</t>
        </is>
      </c>
      <c r="F303" t="inlineStr">
        <is>
          <t>27-May-2026</t>
        </is>
      </c>
      <c r="G303" t="inlineStr">
        <is>
          <t>Wednesday</t>
        </is>
      </c>
      <c r="H303" t="inlineStr">
        <is>
          <t>Monthly - Wednesday</t>
        </is>
      </c>
      <c r="I303" t="inlineStr">
        <is>
          <t>Monthly - Wednesday</t>
        </is>
      </c>
      <c r="J303" t="inlineStr">
        <is>
          <t>Month+1 Expiry</t>
        </is>
      </c>
      <c r="K303" s="25" t="n">
        <v>1</v>
      </c>
      <c r="L303" s="26" t="n">
        <v>0.0023</v>
      </c>
      <c r="M303" s="26" t="n">
        <v>0</v>
      </c>
    </row>
    <row r="304" ht="16" customHeight="1">
      <c r="A304" t="inlineStr">
        <is>
          <t>16-Apr-2026</t>
        </is>
      </c>
      <c r="B304" t="inlineStr">
        <is>
          <t>Thursday</t>
        </is>
      </c>
      <c r="C304" t="inlineStr">
        <is>
          <t>Week3-Apr-2026</t>
        </is>
      </c>
      <c r="D304" s="78" t="n">
        <v>46113</v>
      </c>
      <c r="E304" t="inlineStr">
        <is>
          <t>Q1FY27</t>
        </is>
      </c>
      <c r="F304" t="inlineStr">
        <is>
          <t>30-Apr-2026</t>
        </is>
      </c>
      <c r="G304" t="inlineStr">
        <is>
          <t>Thursday</t>
        </is>
      </c>
      <c r="H304" t="inlineStr">
        <is>
          <t>Monthly - Thursday</t>
        </is>
      </c>
      <c r="I304" t="inlineStr">
        <is>
          <t>Monthly - Thursday</t>
        </is>
      </c>
      <c r="J304" t="inlineStr">
        <is>
          <t>Same Month Expiry</t>
        </is>
      </c>
      <c r="K304" s="25" t="n">
        <v>2245</v>
      </c>
      <c r="L304" s="26" t="n">
        <v>4.2393</v>
      </c>
      <c r="M304" s="26" t="n">
        <v>0.0494</v>
      </c>
    </row>
    <row r="305" ht="16" customHeight="1">
      <c r="A305" t="inlineStr">
        <is>
          <t>16-Apr-2026</t>
        </is>
      </c>
      <c r="B305" t="inlineStr">
        <is>
          <t>Thursday</t>
        </is>
      </c>
      <c r="C305" t="inlineStr">
        <is>
          <t>Week3-Apr-2026</t>
        </is>
      </c>
      <c r="D305" s="78" t="n">
        <v>46113</v>
      </c>
      <c r="E305" t="inlineStr">
        <is>
          <t>Q1FY27</t>
        </is>
      </c>
      <c r="F305" t="inlineStr">
        <is>
          <t>27-May-2026</t>
        </is>
      </c>
      <c r="G305" t="inlineStr">
        <is>
          <t>Wednesday</t>
        </is>
      </c>
      <c r="H305" t="inlineStr">
        <is>
          <t>Monthly - Wednesday</t>
        </is>
      </c>
      <c r="I305" t="inlineStr">
        <is>
          <t>Monthly - Wednesday</t>
        </is>
      </c>
      <c r="J305" t="inlineStr">
        <is>
          <t>Month+1 Expiry</t>
        </is>
      </c>
      <c r="K305" s="25" t="n">
        <v>2</v>
      </c>
      <c r="L305" s="26" t="n">
        <v>0.004</v>
      </c>
      <c r="M305" s="26" t="n">
        <v>0</v>
      </c>
    </row>
    <row r="306" ht="16" customHeight="1">
      <c r="A306" t="inlineStr">
        <is>
          <t>17-Apr-2026</t>
        </is>
      </c>
      <c r="B306" t="inlineStr">
        <is>
          <t>Friday</t>
        </is>
      </c>
      <c r="C306" t="inlineStr">
        <is>
          <t>Week3-Apr-2026</t>
        </is>
      </c>
      <c r="D306" s="78" t="n">
        <v>46113</v>
      </c>
      <c r="E306" t="inlineStr">
        <is>
          <t>Q1FY27</t>
        </is>
      </c>
      <c r="F306" t="inlineStr">
        <is>
          <t>30-Apr-2026</t>
        </is>
      </c>
      <c r="G306" t="inlineStr">
        <is>
          <t>Thursday</t>
        </is>
      </c>
      <c r="H306" t="inlineStr">
        <is>
          <t>Monthly - Thursday</t>
        </is>
      </c>
      <c r="I306" t="inlineStr">
        <is>
          <t>Monthly - Thursday</t>
        </is>
      </c>
      <c r="J306" t="inlineStr">
        <is>
          <t>Same Month Expiry</t>
        </is>
      </c>
      <c r="K306" s="25" t="n">
        <v>2554</v>
      </c>
      <c r="L306" s="26" t="n">
        <v>4.7228</v>
      </c>
      <c r="M306" s="26" t="n">
        <v>0.0416</v>
      </c>
    </row>
    <row r="307" ht="16" customHeight="1">
      <c r="A307" t="inlineStr">
        <is>
          <t>17-Apr-2026</t>
        </is>
      </c>
      <c r="B307" t="inlineStr">
        <is>
          <t>Friday</t>
        </is>
      </c>
      <c r="C307" t="inlineStr">
        <is>
          <t>Week3-Apr-2026</t>
        </is>
      </c>
      <c r="D307" s="78" t="n">
        <v>46113</v>
      </c>
      <c r="E307" t="inlineStr">
        <is>
          <t>Q1FY27</t>
        </is>
      </c>
      <c r="F307" t="inlineStr">
        <is>
          <t>27-May-2026</t>
        </is>
      </c>
      <c r="G307" t="inlineStr">
        <is>
          <t>Wednesday</t>
        </is>
      </c>
      <c r="H307" t="inlineStr">
        <is>
          <t>Monthly - Wednesday</t>
        </is>
      </c>
      <c r="I307" t="inlineStr">
        <is>
          <t>Monthly - Wednesday</t>
        </is>
      </c>
      <c r="J307" t="inlineStr">
        <is>
          <t>Month+1 Expiry</t>
        </is>
      </c>
      <c r="K307" s="25" t="n">
        <v>0</v>
      </c>
      <c r="L307" s="26" t="n">
        <v>0</v>
      </c>
      <c r="M307" s="26" t="n">
        <v>0</v>
      </c>
    </row>
    <row r="308" ht="16" customHeight="1">
      <c r="A308" t="inlineStr">
        <is>
          <t>20-Apr-2026</t>
        </is>
      </c>
      <c r="B308" t="inlineStr">
        <is>
          <t>Monday</t>
        </is>
      </c>
      <c r="C308" t="inlineStr">
        <is>
          <t>Week3-Apr-2026</t>
        </is>
      </c>
      <c r="D308" s="78" t="n">
        <v>46113</v>
      </c>
      <c r="E308" t="inlineStr">
        <is>
          <t>Q1FY27</t>
        </is>
      </c>
      <c r="F308" t="inlineStr">
        <is>
          <t>30-Apr-2026</t>
        </is>
      </c>
      <c r="G308" t="inlineStr">
        <is>
          <t>Thursday</t>
        </is>
      </c>
      <c r="H308" t="inlineStr">
        <is>
          <t>Monthly - Thursday</t>
        </is>
      </c>
      <c r="I308" t="inlineStr">
        <is>
          <t>Monthly - Thursday</t>
        </is>
      </c>
      <c r="J308" t="inlineStr">
        <is>
          <t>Same Month Expiry</t>
        </is>
      </c>
      <c r="K308" s="25" t="n">
        <v>5563</v>
      </c>
      <c r="L308" s="26" t="n">
        <v>10.546</v>
      </c>
      <c r="M308" s="26" t="n">
        <v>0.1107</v>
      </c>
    </row>
    <row r="309" ht="16" customHeight="1">
      <c r="A309" t="inlineStr">
        <is>
          <t>20-Apr-2026</t>
        </is>
      </c>
      <c r="B309" t="inlineStr">
        <is>
          <t>Monday</t>
        </is>
      </c>
      <c r="C309" t="inlineStr">
        <is>
          <t>Week3-Apr-2026</t>
        </is>
      </c>
      <c r="D309" s="78" t="n">
        <v>46113</v>
      </c>
      <c r="E309" t="inlineStr">
        <is>
          <t>Q1FY27</t>
        </is>
      </c>
      <c r="F309" t="inlineStr">
        <is>
          <t>27-May-2026</t>
        </is>
      </c>
      <c r="G309" t="inlineStr">
        <is>
          <t>Wednesday</t>
        </is>
      </c>
      <c r="H309" t="inlineStr">
        <is>
          <t>Monthly - Wednesday</t>
        </is>
      </c>
      <c r="I309" t="inlineStr">
        <is>
          <t>Monthly - Wednesday</t>
        </is>
      </c>
      <c r="J309" t="inlineStr">
        <is>
          <t>Month+1 Expiry</t>
        </is>
      </c>
      <c r="K309" s="25" t="n">
        <v>1</v>
      </c>
      <c r="L309" s="26" t="n">
        <v>0.002</v>
      </c>
      <c r="M309" s="26" t="n">
        <v>0</v>
      </c>
    </row>
    <row r="310" ht="16" customHeight="1">
      <c r="A310" t="inlineStr">
        <is>
          <t>21-Apr-2026</t>
        </is>
      </c>
      <c r="B310" t="inlineStr">
        <is>
          <t>Tuesday</t>
        </is>
      </c>
      <c r="C310" t="inlineStr">
        <is>
          <t>Week3-Apr-2026</t>
        </is>
      </c>
      <c r="D310" s="78" t="n">
        <v>46113</v>
      </c>
      <c r="E310" t="inlineStr">
        <is>
          <t>Q1FY27</t>
        </is>
      </c>
      <c r="F310" t="inlineStr">
        <is>
          <t>30-Apr-2026</t>
        </is>
      </c>
      <c r="G310" t="inlineStr">
        <is>
          <t>Thursday</t>
        </is>
      </c>
      <c r="H310" t="inlineStr">
        <is>
          <t>Monthly - Thursday</t>
        </is>
      </c>
      <c r="I310" t="inlineStr">
        <is>
          <t>Monthly - Thursday</t>
        </is>
      </c>
      <c r="J310" t="inlineStr">
        <is>
          <t>Same Month Expiry</t>
        </is>
      </c>
      <c r="K310" s="25" t="n">
        <v>3779</v>
      </c>
      <c r="L310" s="26" t="n">
        <v>7.2281</v>
      </c>
      <c r="M310" s="26" t="n">
        <v>0.0796</v>
      </c>
    </row>
    <row r="311" ht="16" customHeight="1">
      <c r="A311" t="inlineStr">
        <is>
          <t>21-Apr-2026</t>
        </is>
      </c>
      <c r="B311" t="inlineStr">
        <is>
          <t>Tuesday</t>
        </is>
      </c>
      <c r="C311" t="inlineStr">
        <is>
          <t>Week3-Apr-2026</t>
        </is>
      </c>
      <c r="D311" s="78" t="n">
        <v>46113</v>
      </c>
      <c r="E311" t="inlineStr">
        <is>
          <t>Q1FY27</t>
        </is>
      </c>
      <c r="F311" t="inlineStr">
        <is>
          <t>27-May-2026</t>
        </is>
      </c>
      <c r="G311" t="inlineStr">
        <is>
          <t>Wednesday</t>
        </is>
      </c>
      <c r="H311" t="inlineStr">
        <is>
          <t>Monthly - Wednesday</t>
        </is>
      </c>
      <c r="I311" t="inlineStr">
        <is>
          <t>Monthly - Wednesday</t>
        </is>
      </c>
      <c r="J311" t="inlineStr">
        <is>
          <t>Month+1 Expiry</t>
        </is>
      </c>
      <c r="K311" s="25" t="n">
        <v>2</v>
      </c>
      <c r="L311" s="26" t="n">
        <v>0.0047</v>
      </c>
      <c r="M311" s="26" t="n">
        <v>0</v>
      </c>
    </row>
    <row r="312" ht="16" customHeight="1">
      <c r="A312" t="inlineStr">
        <is>
          <t>22-Apr-2026</t>
        </is>
      </c>
      <c r="B312" t="inlineStr">
        <is>
          <t>Wednesday</t>
        </is>
      </c>
      <c r="C312" t="inlineStr">
        <is>
          <t>Week4-Apr-2026</t>
        </is>
      </c>
      <c r="D312" s="78" t="n">
        <v>46113</v>
      </c>
      <c r="E312" t="inlineStr">
        <is>
          <t>Q1FY27</t>
        </is>
      </c>
      <c r="F312" t="inlineStr">
        <is>
          <t>30-Apr-2026</t>
        </is>
      </c>
      <c r="G312" t="inlineStr">
        <is>
          <t>Thursday</t>
        </is>
      </c>
      <c r="H312" t="inlineStr">
        <is>
          <t>Monthly - Thursday</t>
        </is>
      </c>
      <c r="I312" t="inlineStr">
        <is>
          <t>Monthly - Thursday</t>
        </is>
      </c>
      <c r="J312" t="inlineStr">
        <is>
          <t>Same Month Expiry</t>
        </is>
      </c>
      <c r="K312" s="25" t="n">
        <v>4622</v>
      </c>
      <c r="L312" s="26" t="n">
        <v>8.8963</v>
      </c>
      <c r="M312" s="26" t="n">
        <v>0.0849</v>
      </c>
    </row>
    <row r="313" ht="16" customHeight="1">
      <c r="A313" t="inlineStr">
        <is>
          <t>22-Apr-2026</t>
        </is>
      </c>
      <c r="B313" t="inlineStr">
        <is>
          <t>Wednesday</t>
        </is>
      </c>
      <c r="C313" t="inlineStr">
        <is>
          <t>Week4-Apr-2026</t>
        </is>
      </c>
      <c r="D313" s="78" t="n">
        <v>46113</v>
      </c>
      <c r="E313" t="inlineStr">
        <is>
          <t>Q1FY27</t>
        </is>
      </c>
      <c r="F313" t="inlineStr">
        <is>
          <t>27-May-2026</t>
        </is>
      </c>
      <c r="G313" t="inlineStr">
        <is>
          <t>Wednesday</t>
        </is>
      </c>
      <c r="H313" t="inlineStr">
        <is>
          <t>Monthly - Wednesday</t>
        </is>
      </c>
      <c r="I313" t="inlineStr">
        <is>
          <t>Monthly - Wednesday</t>
        </is>
      </c>
      <c r="J313" t="inlineStr">
        <is>
          <t>Month+1 Expiry</t>
        </is>
      </c>
      <c r="K313" s="25" t="n">
        <v>3</v>
      </c>
      <c r="L313" s="26" t="n">
        <v>0.0063</v>
      </c>
      <c r="M313" s="26" t="n">
        <v>0</v>
      </c>
    </row>
    <row r="314" ht="16" customHeight="1">
      <c r="A314" t="inlineStr">
        <is>
          <t>23-Apr-2026</t>
        </is>
      </c>
      <c r="B314" t="inlineStr">
        <is>
          <t>Thursday</t>
        </is>
      </c>
      <c r="C314" t="inlineStr">
        <is>
          <t>Week4-Apr-2026</t>
        </is>
      </c>
      <c r="D314" s="78" t="n">
        <v>46113</v>
      </c>
      <c r="E314" t="inlineStr">
        <is>
          <t>Q1FY27</t>
        </is>
      </c>
      <c r="F314" t="inlineStr">
        <is>
          <t>30-Apr-2026</t>
        </is>
      </c>
      <c r="G314" t="inlineStr">
        <is>
          <t>Thursday</t>
        </is>
      </c>
      <c r="H314" t="inlineStr">
        <is>
          <t>Monthly - Thursday</t>
        </is>
      </c>
      <c r="I314" t="inlineStr">
        <is>
          <t>Monthly - Thursday</t>
        </is>
      </c>
      <c r="J314" t="inlineStr">
        <is>
          <t>Same Month Expiry</t>
        </is>
      </c>
      <c r="K314" s="25" t="n">
        <v>5464</v>
      </c>
      <c r="L314" s="26" t="n">
        <v>10.485</v>
      </c>
      <c r="M314" s="26" t="n">
        <v>0.09379999999999999</v>
      </c>
    </row>
    <row r="315" ht="16" customHeight="1">
      <c r="A315" t="inlineStr">
        <is>
          <t>23-Apr-2026</t>
        </is>
      </c>
      <c r="B315" t="inlineStr">
        <is>
          <t>Thursday</t>
        </is>
      </c>
      <c r="C315" t="inlineStr">
        <is>
          <t>Week4-Apr-2026</t>
        </is>
      </c>
      <c r="D315" s="78" t="n">
        <v>46113</v>
      </c>
      <c r="E315" t="inlineStr">
        <is>
          <t>Q1FY27</t>
        </is>
      </c>
      <c r="F315" t="inlineStr">
        <is>
          <t>27-May-2026</t>
        </is>
      </c>
      <c r="G315" t="inlineStr">
        <is>
          <t>Wednesday</t>
        </is>
      </c>
      <c r="H315" t="inlineStr">
        <is>
          <t>Monthly - Wednesday</t>
        </is>
      </c>
      <c r="I315" t="inlineStr">
        <is>
          <t>Monthly - Wednesday</t>
        </is>
      </c>
      <c r="J315" t="inlineStr">
        <is>
          <t>Month+1 Expiry</t>
        </is>
      </c>
      <c r="K315" s="25" t="n">
        <v>1</v>
      </c>
      <c r="L315" s="26" t="n">
        <v>0.002</v>
      </c>
      <c r="M315" s="26" t="n">
        <v>0.0001</v>
      </c>
    </row>
    <row r="316" ht="16" customHeight="1">
      <c r="A316" t="inlineStr">
        <is>
          <t>24-Apr-2026</t>
        </is>
      </c>
      <c r="B316" t="inlineStr">
        <is>
          <t>Friday</t>
        </is>
      </c>
      <c r="C316" t="inlineStr">
        <is>
          <t>Week4-Apr-2026</t>
        </is>
      </c>
      <c r="D316" s="78" t="n">
        <v>46113</v>
      </c>
      <c r="E316" t="inlineStr">
        <is>
          <t>Q1FY27</t>
        </is>
      </c>
      <c r="F316" t="inlineStr">
        <is>
          <t>30-Apr-2026</t>
        </is>
      </c>
      <c r="G316" t="inlineStr">
        <is>
          <t>Thursday</t>
        </is>
      </c>
      <c r="H316" t="inlineStr">
        <is>
          <t>Monthly - Thursday</t>
        </is>
      </c>
      <c r="I316" t="inlineStr">
        <is>
          <t>Monthly - Thursday</t>
        </is>
      </c>
      <c r="J316" t="inlineStr">
        <is>
          <t>Same Month Expiry</t>
        </is>
      </c>
      <c r="K316" s="25" t="n">
        <v>7159</v>
      </c>
      <c r="L316" s="26" t="n">
        <v>13.6819</v>
      </c>
      <c r="M316" s="26" t="n">
        <v>0.1034</v>
      </c>
    </row>
    <row r="317" ht="16" customHeight="1">
      <c r="A317" t="inlineStr">
        <is>
          <t>24-Apr-2026</t>
        </is>
      </c>
      <c r="B317" t="inlineStr">
        <is>
          <t>Friday</t>
        </is>
      </c>
      <c r="C317" t="inlineStr">
        <is>
          <t>Week4-Apr-2026</t>
        </is>
      </c>
      <c r="D317" s="78" t="n">
        <v>46113</v>
      </c>
      <c r="E317" t="inlineStr">
        <is>
          <t>Q1FY27</t>
        </is>
      </c>
      <c r="F317" t="inlineStr">
        <is>
          <t>27-May-2026</t>
        </is>
      </c>
      <c r="G317" t="inlineStr">
        <is>
          <t>Wednesday</t>
        </is>
      </c>
      <c r="H317" t="inlineStr">
        <is>
          <t>Monthly - Wednesday</t>
        </is>
      </c>
      <c r="I317" t="inlineStr">
        <is>
          <t>Monthly - Wednesday</t>
        </is>
      </c>
      <c r="J317" t="inlineStr">
        <is>
          <t>Month+1 Expiry</t>
        </is>
      </c>
      <c r="K317" s="25" t="n">
        <v>5</v>
      </c>
      <c r="L317" s="26" t="n">
        <v>0.0104</v>
      </c>
      <c r="M317" s="26" t="n">
        <v>0</v>
      </c>
    </row>
    <row r="318" ht="16" customHeight="1">
      <c r="A318" t="inlineStr">
        <is>
          <t>27-Apr-2026</t>
        </is>
      </c>
      <c r="B318" t="inlineStr">
        <is>
          <t>Monday</t>
        </is>
      </c>
      <c r="C318" t="inlineStr">
        <is>
          <t>Week4-Apr-2026</t>
        </is>
      </c>
      <c r="D318" s="78" t="n">
        <v>46113</v>
      </c>
      <c r="E318" t="inlineStr">
        <is>
          <t>Q1FY27</t>
        </is>
      </c>
      <c r="F318" t="inlineStr">
        <is>
          <t>30-Apr-2026</t>
        </is>
      </c>
      <c r="G318" t="inlineStr">
        <is>
          <t>Thursday</t>
        </is>
      </c>
      <c r="H318" t="inlineStr">
        <is>
          <t>Monthly - Thursday</t>
        </is>
      </c>
      <c r="I318" t="inlineStr">
        <is>
          <t>Monthly - Thursday</t>
        </is>
      </c>
      <c r="J318" t="inlineStr">
        <is>
          <t>Same Month Expiry</t>
        </is>
      </c>
      <c r="K318" s="25" t="n">
        <v>17004</v>
      </c>
      <c r="L318" s="26" t="n">
        <v>32.3543</v>
      </c>
      <c r="M318" s="26" t="n">
        <v>0.181</v>
      </c>
    </row>
    <row r="319" ht="16" customHeight="1">
      <c r="A319" t="inlineStr">
        <is>
          <t>27-Apr-2026</t>
        </is>
      </c>
      <c r="B319" t="inlineStr">
        <is>
          <t>Monday</t>
        </is>
      </c>
      <c r="C319" t="inlineStr">
        <is>
          <t>Week4-Apr-2026</t>
        </is>
      </c>
      <c r="D319" s="78" t="n">
        <v>46113</v>
      </c>
      <c r="E319" t="inlineStr">
        <is>
          <t>Q1FY27</t>
        </is>
      </c>
      <c r="F319" t="inlineStr">
        <is>
          <t>27-May-2026</t>
        </is>
      </c>
      <c r="G319" t="inlineStr">
        <is>
          <t>Wednesday</t>
        </is>
      </c>
      <c r="H319" t="inlineStr">
        <is>
          <t>Monthly - Wednesday</t>
        </is>
      </c>
      <c r="I319" t="inlineStr">
        <is>
          <t>Monthly - Wednesday</t>
        </is>
      </c>
      <c r="J319" t="inlineStr">
        <is>
          <t>Month+1 Expiry</t>
        </is>
      </c>
      <c r="K319" s="25" t="n">
        <v>0</v>
      </c>
      <c r="L319" s="26" t="n">
        <v>0</v>
      </c>
      <c r="M319" s="26" t="n">
        <v>0</v>
      </c>
    </row>
    <row r="320" ht="16" customHeight="1">
      <c r="A320" t="inlineStr">
        <is>
          <t>28-Apr-2026</t>
        </is>
      </c>
      <c r="B320" t="inlineStr">
        <is>
          <t>Tuesday</t>
        </is>
      </c>
      <c r="C320" t="inlineStr">
        <is>
          <t>Week4-Apr-2026</t>
        </is>
      </c>
      <c r="D320" s="78" t="n">
        <v>46113</v>
      </c>
      <c r="E320" t="inlineStr">
        <is>
          <t>Q1FY27</t>
        </is>
      </c>
      <c r="F320" t="inlineStr">
        <is>
          <t>30-Apr-2026</t>
        </is>
      </c>
      <c r="G320" t="inlineStr">
        <is>
          <t>Thursday</t>
        </is>
      </c>
      <c r="H320" t="inlineStr">
        <is>
          <t>Monthly - Thursday</t>
        </is>
      </c>
      <c r="I320" t="inlineStr">
        <is>
          <t>Monthly - Thursday</t>
        </is>
      </c>
      <c r="J320" t="inlineStr">
        <is>
          <t>Same Month Expiry</t>
        </is>
      </c>
      <c r="K320" s="25" t="n">
        <v>21677</v>
      </c>
      <c r="L320" s="26" t="n">
        <v>40.8675</v>
      </c>
      <c r="M320" s="26" t="n">
        <v>0.1645</v>
      </c>
    </row>
    <row r="321" ht="16" customHeight="1">
      <c r="A321" t="inlineStr">
        <is>
          <t>28-Apr-2026</t>
        </is>
      </c>
      <c r="B321" t="inlineStr">
        <is>
          <t>Tuesday</t>
        </is>
      </c>
      <c r="C321" t="inlineStr">
        <is>
          <t>Week4-Apr-2026</t>
        </is>
      </c>
      <c r="D321" s="78" t="n">
        <v>46113</v>
      </c>
      <c r="E321" t="inlineStr">
        <is>
          <t>Q1FY27</t>
        </is>
      </c>
      <c r="F321" t="inlineStr">
        <is>
          <t>27-May-2026</t>
        </is>
      </c>
      <c r="G321" t="inlineStr">
        <is>
          <t>Wednesday</t>
        </is>
      </c>
      <c r="H321" t="inlineStr">
        <is>
          <t>Monthly - Wednesday</t>
        </is>
      </c>
      <c r="I321" t="inlineStr">
        <is>
          <t>Monthly - Wednesday</t>
        </is>
      </c>
      <c r="J321" t="inlineStr">
        <is>
          <t>Month+1 Expiry</t>
        </is>
      </c>
      <c r="K321" s="25" t="n">
        <v>27</v>
      </c>
      <c r="L321" s="26" t="n">
        <v>0.0529</v>
      </c>
      <c r="M321" s="26" t="n">
        <v>0.0005999999999999999</v>
      </c>
    </row>
    <row r="322" ht="16" customHeight="1">
      <c r="A322" t="inlineStr">
        <is>
          <t>29-Apr-2026</t>
        </is>
      </c>
      <c r="B322" t="inlineStr">
        <is>
          <t>Wednesday</t>
        </is>
      </c>
      <c r="C322" t="inlineStr">
        <is>
          <t>Week5-Apr-2026</t>
        </is>
      </c>
      <c r="D322" s="78" t="n">
        <v>46113</v>
      </c>
      <c r="E322" t="inlineStr">
        <is>
          <t>Q1FY27</t>
        </is>
      </c>
      <c r="F322" t="inlineStr">
        <is>
          <t>30-Apr-2026</t>
        </is>
      </c>
      <c r="G322" t="inlineStr">
        <is>
          <t>Thursday</t>
        </is>
      </c>
      <c r="H322" t="inlineStr">
        <is>
          <t>Monthly - Thursday</t>
        </is>
      </c>
      <c r="I322" t="inlineStr">
        <is>
          <t>Monthly - Thursday</t>
        </is>
      </c>
      <c r="J322" t="inlineStr">
        <is>
          <t>Same Month Expiry</t>
        </is>
      </c>
      <c r="K322" s="25" t="n">
        <v>781125</v>
      </c>
      <c r="L322" s="26" t="n">
        <v>1472.2205</v>
      </c>
      <c r="M322" s="26" t="n">
        <v>3.658</v>
      </c>
    </row>
    <row r="323" ht="16" customHeight="1">
      <c r="A323" t="inlineStr">
        <is>
          <t>29-Apr-2026</t>
        </is>
      </c>
      <c r="B323" t="inlineStr">
        <is>
          <t>Wednesday</t>
        </is>
      </c>
      <c r="C323" t="inlineStr">
        <is>
          <t>Week5-Apr-2026</t>
        </is>
      </c>
      <c r="D323" s="78" t="n">
        <v>46113</v>
      </c>
      <c r="E323" t="inlineStr">
        <is>
          <t>Q1FY27</t>
        </is>
      </c>
      <c r="F323" t="inlineStr">
        <is>
          <t>27-May-2026</t>
        </is>
      </c>
      <c r="G323" t="inlineStr">
        <is>
          <t>Wednesday</t>
        </is>
      </c>
      <c r="H323" t="inlineStr">
        <is>
          <t>Monthly - Wednesday</t>
        </is>
      </c>
      <c r="I323" t="inlineStr">
        <is>
          <t>Monthly - Wednesday</t>
        </is>
      </c>
      <c r="J323" t="inlineStr">
        <is>
          <t>Month+1 Expiry</t>
        </is>
      </c>
      <c r="K323" s="25" t="n">
        <v>24</v>
      </c>
      <c r="L323" s="26" t="n">
        <v>0.0463</v>
      </c>
      <c r="M323" s="26" t="n">
        <v>0.0005</v>
      </c>
    </row>
    <row r="324" ht="16" customHeight="1">
      <c r="A324" t="inlineStr">
        <is>
          <t>30-Apr-2026</t>
        </is>
      </c>
      <c r="B324" t="inlineStr">
        <is>
          <t>Thursday</t>
        </is>
      </c>
      <c r="C324" t="inlineStr">
        <is>
          <t>Week5-Apr-2026</t>
        </is>
      </c>
      <c r="D324" s="78" t="n">
        <v>46113</v>
      </c>
      <c r="E324" t="inlineStr">
        <is>
          <t>Q1FY27</t>
        </is>
      </c>
      <c r="F324" t="inlineStr">
        <is>
          <t>30-Apr-2026</t>
        </is>
      </c>
      <c r="G324" t="inlineStr">
        <is>
          <t>Thursday</t>
        </is>
      </c>
      <c r="H324" t="inlineStr">
        <is>
          <t>Monthly - Thursday</t>
        </is>
      </c>
      <c r="I324" t="inlineStr">
        <is>
          <t>Monthly - Thursday</t>
        </is>
      </c>
      <c r="J324" t="inlineStr">
        <is>
          <t>Same Month Expiry</t>
        </is>
      </c>
      <c r="K324" s="25" t="n">
        <v>6877305</v>
      </c>
      <c r="L324" s="26" t="n">
        <v>12738.7039</v>
      </c>
      <c r="M324" s="26" t="n">
        <v>11.9451</v>
      </c>
    </row>
    <row r="325" ht="16" customHeight="1">
      <c r="A325" t="inlineStr">
        <is>
          <t>30-Apr-2026</t>
        </is>
      </c>
      <c r="B325" t="inlineStr">
        <is>
          <t>Thursday</t>
        </is>
      </c>
      <c r="C325" t="inlineStr">
        <is>
          <t>Week5-Apr-2026</t>
        </is>
      </c>
      <c r="D325" s="78" t="n">
        <v>46113</v>
      </c>
      <c r="E325" t="inlineStr">
        <is>
          <t>Q1FY27</t>
        </is>
      </c>
      <c r="F325" t="inlineStr">
        <is>
          <t>27-May-2026</t>
        </is>
      </c>
      <c r="G325" t="inlineStr">
        <is>
          <t>Wednesday</t>
        </is>
      </c>
      <c r="H325" t="inlineStr">
        <is>
          <t>Monthly - Wednesday</t>
        </is>
      </c>
      <c r="I325" t="inlineStr">
        <is>
          <t>Monthly - Wednesday</t>
        </is>
      </c>
      <c r="J325" t="inlineStr">
        <is>
          <t>Month+1 Expiry</t>
        </is>
      </c>
      <c r="K325" s="25" t="n">
        <v>400</v>
      </c>
      <c r="L325" s="26" t="n">
        <v>0.6589</v>
      </c>
      <c r="M325" s="26" t="n">
        <v>0.0029</v>
      </c>
    </row>
    <row r="326" ht="16" customHeight="1">
      <c r="A326" t="inlineStr">
        <is>
          <t>04-May-2026</t>
        </is>
      </c>
      <c r="B326" t="inlineStr">
        <is>
          <t>Monday</t>
        </is>
      </c>
      <c r="C326" t="inlineStr">
        <is>
          <t>Week1-May-2026</t>
        </is>
      </c>
      <c r="D326" s="78" t="n">
        <v>46143</v>
      </c>
      <c r="E326" t="inlineStr">
        <is>
          <t>Q1FY27</t>
        </is>
      </c>
      <c r="F326" t="inlineStr">
        <is>
          <t>27-May-2026</t>
        </is>
      </c>
      <c r="G326" t="inlineStr">
        <is>
          <t>Wednesday</t>
        </is>
      </c>
      <c r="H326" t="inlineStr">
        <is>
          <t>Monthly - Wednesday</t>
        </is>
      </c>
      <c r="I326" t="inlineStr">
        <is>
          <t>Monthly - Wednesday</t>
        </is>
      </c>
      <c r="J326" t="inlineStr">
        <is>
          <t>Same Month Expiry</t>
        </is>
      </c>
      <c r="K326" s="25" t="n">
        <v>828</v>
      </c>
      <c r="L326" s="26" t="n">
        <v>1.553</v>
      </c>
      <c r="M326" s="26" t="n">
        <v>0.0124</v>
      </c>
    </row>
    <row r="327" ht="16" customHeight="1">
      <c r="A327" t="inlineStr">
        <is>
          <t>05-May-2026</t>
        </is>
      </c>
      <c r="B327" t="inlineStr">
        <is>
          <t>Tuesday</t>
        </is>
      </c>
      <c r="C327" t="inlineStr">
        <is>
          <t>Week1-May-2026</t>
        </is>
      </c>
      <c r="D327" s="78" t="n">
        <v>46143</v>
      </c>
      <c r="E327" t="inlineStr">
        <is>
          <t>Q1FY27</t>
        </is>
      </c>
      <c r="F327" t="inlineStr">
        <is>
          <t>27-May-2026</t>
        </is>
      </c>
      <c r="G327" t="inlineStr">
        <is>
          <t>Wednesday</t>
        </is>
      </c>
      <c r="H327" t="inlineStr">
        <is>
          <t>Monthly - Wednesday</t>
        </is>
      </c>
      <c r="I327" t="inlineStr">
        <is>
          <t>Monthly - Wednesday</t>
        </is>
      </c>
      <c r="J327" t="inlineStr">
        <is>
          <t>Same Month Expiry</t>
        </is>
      </c>
      <c r="K327" s="25" t="n">
        <v>1376</v>
      </c>
      <c r="L327" s="26" t="n">
        <v>2.6094</v>
      </c>
      <c r="M327" s="26" t="n">
        <v>0.0332</v>
      </c>
    </row>
    <row r="328" ht="16" customHeight="1">
      <c r="A328" t="inlineStr">
        <is>
          <t>06-May-2026</t>
        </is>
      </c>
      <c r="B328" t="inlineStr">
        <is>
          <t>Wednesday</t>
        </is>
      </c>
      <c r="C328" t="inlineStr">
        <is>
          <t>Week1-May-2026</t>
        </is>
      </c>
      <c r="D328" s="78" t="n">
        <v>46143</v>
      </c>
      <c r="E328" t="inlineStr">
        <is>
          <t>Q1FY27</t>
        </is>
      </c>
      <c r="F328" t="inlineStr">
        <is>
          <t>27-May-2026</t>
        </is>
      </c>
      <c r="G328" t="inlineStr">
        <is>
          <t>Wednesday</t>
        </is>
      </c>
      <c r="H328" t="inlineStr">
        <is>
          <t>Monthly - Wednesday</t>
        </is>
      </c>
      <c r="I328" t="inlineStr">
        <is>
          <t>Monthly - Wednesday</t>
        </is>
      </c>
      <c r="J328" t="inlineStr">
        <is>
          <t>Same Month Expiry</t>
        </is>
      </c>
      <c r="K328" s="25" t="n">
        <v>3073</v>
      </c>
      <c r="L328" s="26" t="n">
        <v>5.8125</v>
      </c>
      <c r="M328" s="26" t="n">
        <v>0.0709</v>
      </c>
    </row>
    <row r="329" ht="16" customHeight="1">
      <c r="A329" t="inlineStr">
        <is>
          <t>06-May-2026</t>
        </is>
      </c>
      <c r="B329" t="inlineStr">
        <is>
          <t>Wednesday</t>
        </is>
      </c>
      <c r="C329" t="inlineStr">
        <is>
          <t>Week1-May-2026</t>
        </is>
      </c>
      <c r="D329" s="78" t="n">
        <v>46143</v>
      </c>
      <c r="E329" t="inlineStr">
        <is>
          <t>Q1FY27</t>
        </is>
      </c>
      <c r="F329" t="inlineStr">
        <is>
          <t>25-Jun-2026</t>
        </is>
      </c>
      <c r="G329" t="inlineStr">
        <is>
          <t>Thursday</t>
        </is>
      </c>
      <c r="H329" t="inlineStr">
        <is>
          <t>Monthly - Thursday</t>
        </is>
      </c>
      <c r="I329" t="inlineStr">
        <is>
          <t>Monthly - Thursday</t>
        </is>
      </c>
      <c r="J329" t="inlineStr">
        <is>
          <t>Month+1 Expiry</t>
        </is>
      </c>
      <c r="K329" s="25" t="n">
        <v>4</v>
      </c>
      <c r="L329" s="26" t="n">
        <v>0.0078</v>
      </c>
      <c r="M329" s="26" t="n">
        <v>0.0001</v>
      </c>
    </row>
    <row r="330" ht="16" customHeight="1">
      <c r="A330" t="inlineStr">
        <is>
          <t>07-May-2026</t>
        </is>
      </c>
      <c r="B330" t="inlineStr">
        <is>
          <t>Thursday</t>
        </is>
      </c>
      <c r="C330" t="inlineStr">
        <is>
          <t>Week1-May-2026</t>
        </is>
      </c>
      <c r="D330" s="78" t="n">
        <v>46143</v>
      </c>
      <c r="E330" t="inlineStr">
        <is>
          <t>Q1FY27</t>
        </is>
      </c>
      <c r="F330" t="inlineStr">
        <is>
          <t>27-May-2026</t>
        </is>
      </c>
      <c r="G330" t="inlineStr">
        <is>
          <t>Wednesday</t>
        </is>
      </c>
      <c r="H330" t="inlineStr">
        <is>
          <t>Monthly - Wednesday</t>
        </is>
      </c>
      <c r="I330" t="inlineStr">
        <is>
          <t>Monthly - Wednesday</t>
        </is>
      </c>
      <c r="J330" t="inlineStr">
        <is>
          <t>Same Month Expiry</t>
        </is>
      </c>
      <c r="K330" s="25" t="n">
        <v>1664</v>
      </c>
      <c r="L330" s="26" t="n">
        <v>3.1656</v>
      </c>
      <c r="M330" s="26" t="n">
        <v>0.0362</v>
      </c>
    </row>
    <row r="331" ht="16" customHeight="1">
      <c r="A331" t="inlineStr">
        <is>
          <t>07-May-2026</t>
        </is>
      </c>
      <c r="B331" t="inlineStr">
        <is>
          <t>Thursday</t>
        </is>
      </c>
      <c r="C331" t="inlineStr">
        <is>
          <t>Week1-May-2026</t>
        </is>
      </c>
      <c r="D331" s="78" t="n">
        <v>46143</v>
      </c>
      <c r="E331" t="inlineStr">
        <is>
          <t>Q1FY27</t>
        </is>
      </c>
      <c r="F331" t="inlineStr">
        <is>
          <t>25-Jun-2026</t>
        </is>
      </c>
      <c r="G331" t="inlineStr">
        <is>
          <t>Thursday</t>
        </is>
      </c>
      <c r="H331" t="inlineStr">
        <is>
          <t>Monthly - Thursday</t>
        </is>
      </c>
      <c r="I331" t="inlineStr">
        <is>
          <t>Monthly - Thursday</t>
        </is>
      </c>
      <c r="J331" t="inlineStr">
        <is>
          <t>Month+1 Expiry</t>
        </is>
      </c>
      <c r="K331" s="25" t="n">
        <v>0</v>
      </c>
      <c r="L331" s="26" t="n">
        <v>0</v>
      </c>
      <c r="M331" s="26" t="n">
        <v>0</v>
      </c>
    </row>
    <row r="332" ht="16" customHeight="1">
      <c r="A332" t="inlineStr">
        <is>
          <t>08-May-2026</t>
        </is>
      </c>
      <c r="B332" t="inlineStr">
        <is>
          <t>Friday</t>
        </is>
      </c>
      <c r="C332" t="inlineStr">
        <is>
          <t>Week2-May-2026</t>
        </is>
      </c>
      <c r="D332" s="78" t="n">
        <v>46143</v>
      </c>
      <c r="E332" t="inlineStr">
        <is>
          <t>Q1FY27</t>
        </is>
      </c>
      <c r="F332" t="inlineStr">
        <is>
          <t>27-May-2026</t>
        </is>
      </c>
      <c r="G332" t="inlineStr">
        <is>
          <t>Wednesday</t>
        </is>
      </c>
      <c r="H332" t="inlineStr">
        <is>
          <t>Monthly - Wednesday</t>
        </is>
      </c>
      <c r="I332" t="inlineStr">
        <is>
          <t>Monthly - Wednesday</t>
        </is>
      </c>
      <c r="J332" t="inlineStr">
        <is>
          <t>Same Month Expiry</t>
        </is>
      </c>
      <c r="K332" s="25" t="n">
        <v>2742</v>
      </c>
      <c r="L332" s="26" t="n">
        <v>5.1687</v>
      </c>
      <c r="M332" s="26" t="n">
        <v>0.0664</v>
      </c>
    </row>
    <row r="333" ht="16" customHeight="1">
      <c r="A333" t="inlineStr">
        <is>
          <t>08-May-2026</t>
        </is>
      </c>
      <c r="B333" t="inlineStr">
        <is>
          <t>Friday</t>
        </is>
      </c>
      <c r="C333" t="inlineStr">
        <is>
          <t>Week2-May-2026</t>
        </is>
      </c>
      <c r="D333" s="78" t="n">
        <v>46143</v>
      </c>
      <c r="E333" t="inlineStr">
        <is>
          <t>Q1FY27</t>
        </is>
      </c>
      <c r="F333" t="inlineStr">
        <is>
          <t>25-Jun-2026</t>
        </is>
      </c>
      <c r="G333" t="inlineStr">
        <is>
          <t>Thursday</t>
        </is>
      </c>
      <c r="H333" t="inlineStr">
        <is>
          <t>Monthly - Thursday</t>
        </is>
      </c>
      <c r="I333" t="inlineStr">
        <is>
          <t>Monthly - Thursday</t>
        </is>
      </c>
      <c r="J333" t="inlineStr">
        <is>
          <t>Month+1 Expiry</t>
        </is>
      </c>
      <c r="K333" s="25" t="n">
        <v>0</v>
      </c>
      <c r="L333" s="26" t="n">
        <v>0</v>
      </c>
      <c r="M333" s="26" t="n">
        <v>0</v>
      </c>
    </row>
    <row r="334" ht="16" customHeight="1">
      <c r="A334" t="inlineStr">
        <is>
          <t>11-May-2026</t>
        </is>
      </c>
      <c r="B334" t="inlineStr">
        <is>
          <t>Monday</t>
        </is>
      </c>
      <c r="C334" t="inlineStr">
        <is>
          <t>Week2-May-2026</t>
        </is>
      </c>
      <c r="D334" s="78" t="n">
        <v>46143</v>
      </c>
      <c r="E334" t="inlineStr">
        <is>
          <t>Q1FY27</t>
        </is>
      </c>
      <c r="F334" t="inlineStr">
        <is>
          <t>27-May-2026</t>
        </is>
      </c>
      <c r="G334" t="inlineStr">
        <is>
          <t>Wednesday</t>
        </is>
      </c>
      <c r="H334" t="inlineStr">
        <is>
          <t>Monthly - Wednesday</t>
        </is>
      </c>
      <c r="I334" t="inlineStr">
        <is>
          <t>Monthly - Wednesday</t>
        </is>
      </c>
      <c r="J334" t="inlineStr">
        <is>
          <t>Same Month Expiry</t>
        </is>
      </c>
      <c r="K334" s="25" t="n">
        <v>1747</v>
      </c>
      <c r="L334" s="26" t="n">
        <v>3.1144</v>
      </c>
      <c r="M334" s="26" t="n">
        <v>0.0217</v>
      </c>
    </row>
    <row r="335" ht="16" customHeight="1">
      <c r="A335" t="inlineStr">
        <is>
          <t>11-May-2026</t>
        </is>
      </c>
      <c r="B335" t="inlineStr">
        <is>
          <t>Monday</t>
        </is>
      </c>
      <c r="C335" t="inlineStr">
        <is>
          <t>Week2-May-2026</t>
        </is>
      </c>
      <c r="D335" s="78" t="n">
        <v>46143</v>
      </c>
      <c r="E335" t="inlineStr">
        <is>
          <t>Q1FY27</t>
        </is>
      </c>
      <c r="F335" t="inlineStr">
        <is>
          <t>25-Jun-2026</t>
        </is>
      </c>
      <c r="G335" t="inlineStr">
        <is>
          <t>Thursday</t>
        </is>
      </c>
      <c r="H335" t="inlineStr">
        <is>
          <t>Monthly - Thursday</t>
        </is>
      </c>
      <c r="I335" t="inlineStr">
        <is>
          <t>Monthly - Thursday</t>
        </is>
      </c>
      <c r="J335" t="inlineStr">
        <is>
          <t>Month+1 Expiry</t>
        </is>
      </c>
      <c r="K335" s="25" t="n">
        <v>0</v>
      </c>
      <c r="L335" s="26" t="n">
        <v>0</v>
      </c>
      <c r="M335" s="26" t="n">
        <v>0</v>
      </c>
    </row>
    <row r="336" ht="16" customHeight="1">
      <c r="A336" t="inlineStr">
        <is>
          <t>12-May-2026</t>
        </is>
      </c>
      <c r="B336" t="inlineStr">
        <is>
          <t>Tuesday</t>
        </is>
      </c>
      <c r="C336" t="inlineStr">
        <is>
          <t>Week2-May-2026</t>
        </is>
      </c>
      <c r="D336" s="78" t="n">
        <v>46143</v>
      </c>
      <c r="E336" t="inlineStr">
        <is>
          <t>Q1FY27</t>
        </is>
      </c>
      <c r="F336" t="inlineStr">
        <is>
          <t>27-May-2026</t>
        </is>
      </c>
      <c r="G336" t="inlineStr">
        <is>
          <t>Wednesday</t>
        </is>
      </c>
      <c r="H336" t="inlineStr">
        <is>
          <t>Monthly - Wednesday</t>
        </is>
      </c>
      <c r="I336" t="inlineStr">
        <is>
          <t>Monthly - Wednesday</t>
        </is>
      </c>
      <c r="J336" t="inlineStr">
        <is>
          <t>Same Month Expiry</t>
        </is>
      </c>
      <c r="K336" s="25" t="n">
        <v>1389</v>
      </c>
      <c r="L336" s="26" t="n">
        <v>2.4576</v>
      </c>
      <c r="M336" s="26" t="n">
        <v>0.0151</v>
      </c>
    </row>
    <row r="337" ht="16" customHeight="1">
      <c r="A337" t="inlineStr">
        <is>
          <t>12-May-2026</t>
        </is>
      </c>
      <c r="B337" t="inlineStr">
        <is>
          <t>Tuesday</t>
        </is>
      </c>
      <c r="C337" t="inlineStr">
        <is>
          <t>Week2-May-2026</t>
        </is>
      </c>
      <c r="D337" s="78" t="n">
        <v>46143</v>
      </c>
      <c r="E337" t="inlineStr">
        <is>
          <t>Q1FY27</t>
        </is>
      </c>
      <c r="F337" t="inlineStr">
        <is>
          <t>25-Jun-2026</t>
        </is>
      </c>
      <c r="G337" t="inlineStr">
        <is>
          <t>Thursday</t>
        </is>
      </c>
      <c r="H337" t="inlineStr">
        <is>
          <t>Monthly - Thursday</t>
        </is>
      </c>
      <c r="I337" t="inlineStr">
        <is>
          <t>Monthly - Thursday</t>
        </is>
      </c>
      <c r="J337" t="inlineStr">
        <is>
          <t>Month+1 Expiry</t>
        </is>
      </c>
      <c r="K337" s="25" t="n">
        <v>0</v>
      </c>
      <c r="L337" s="26" t="n">
        <v>0</v>
      </c>
      <c r="M337" s="26" t="n">
        <v>0</v>
      </c>
    </row>
    <row r="338" ht="16" customHeight="1">
      <c r="A338" t="inlineStr">
        <is>
          <t>13-May-2026</t>
        </is>
      </c>
      <c r="B338" t="inlineStr">
        <is>
          <t>Wednesday</t>
        </is>
      </c>
      <c r="C338" t="inlineStr">
        <is>
          <t>Week2-May-2026</t>
        </is>
      </c>
      <c r="D338" s="78" t="n">
        <v>46143</v>
      </c>
      <c r="E338" t="inlineStr">
        <is>
          <t>Q1FY27</t>
        </is>
      </c>
      <c r="F338" t="inlineStr">
        <is>
          <t>27-May-2026</t>
        </is>
      </c>
      <c r="G338" t="inlineStr">
        <is>
          <t>Wednesday</t>
        </is>
      </c>
      <c r="H338" t="inlineStr">
        <is>
          <t>Monthly - Wednesday</t>
        </is>
      </c>
      <c r="I338" t="inlineStr">
        <is>
          <t>Monthly - Wednesday</t>
        </is>
      </c>
      <c r="J338" t="inlineStr">
        <is>
          <t>Same Month Expiry</t>
        </is>
      </c>
      <c r="K338" s="25" t="n">
        <v>3893</v>
      </c>
      <c r="L338" s="26" t="n">
        <v>6.7223</v>
      </c>
      <c r="M338" s="26" t="n">
        <v>0.039</v>
      </c>
    </row>
    <row r="339" ht="16" customHeight="1">
      <c r="A339" t="inlineStr">
        <is>
          <t>13-May-2026</t>
        </is>
      </c>
      <c r="B339" t="inlineStr">
        <is>
          <t>Wednesday</t>
        </is>
      </c>
      <c r="C339" t="inlineStr">
        <is>
          <t>Week2-May-2026</t>
        </is>
      </c>
      <c r="D339" s="78" t="n">
        <v>46143</v>
      </c>
      <c r="E339" t="inlineStr">
        <is>
          <t>Q1FY27</t>
        </is>
      </c>
      <c r="F339" t="inlineStr">
        <is>
          <t>25-Jun-2026</t>
        </is>
      </c>
      <c r="G339" t="inlineStr">
        <is>
          <t>Thursday</t>
        </is>
      </c>
      <c r="H339" t="inlineStr">
        <is>
          <t>Monthly - Thursday</t>
        </is>
      </c>
      <c r="I339" t="inlineStr">
        <is>
          <t>Monthly - Thursday</t>
        </is>
      </c>
      <c r="J339" t="inlineStr">
        <is>
          <t>Month+1 Expiry</t>
        </is>
      </c>
      <c r="K339" s="25" t="n">
        <v>0</v>
      </c>
      <c r="L339" s="26" t="n">
        <v>0</v>
      </c>
      <c r="M339" s="26" t="n">
        <v>0</v>
      </c>
    </row>
    <row r="340" ht="16" customHeight="1">
      <c r="A340" t="inlineStr">
        <is>
          <t>14-May-2026</t>
        </is>
      </c>
      <c r="B340" t="inlineStr">
        <is>
          <t>Thursday</t>
        </is>
      </c>
      <c r="C340" t="inlineStr">
        <is>
          <t>Week2-May-2026</t>
        </is>
      </c>
      <c r="D340" s="78" t="n">
        <v>46143</v>
      </c>
      <c r="E340" t="inlineStr">
        <is>
          <t>Q1FY27</t>
        </is>
      </c>
      <c r="F340" t="inlineStr">
        <is>
          <t>27-May-2026</t>
        </is>
      </c>
      <c r="G340" t="inlineStr">
        <is>
          <t>Wednesday</t>
        </is>
      </c>
      <c r="H340" t="inlineStr">
        <is>
          <t>Monthly - Wednesday</t>
        </is>
      </c>
      <c r="I340" t="inlineStr">
        <is>
          <t>Monthly - Wednesday</t>
        </is>
      </c>
      <c r="J340" t="inlineStr">
        <is>
          <t>Same Month Expiry</t>
        </is>
      </c>
      <c r="K340" s="25" t="n">
        <v>6178</v>
      </c>
      <c r="L340" s="26" t="n">
        <v>10.97</v>
      </c>
      <c r="M340" s="26" t="n">
        <v>0.098</v>
      </c>
    </row>
    <row r="341" ht="16" customHeight="1">
      <c r="A341" t="inlineStr">
        <is>
          <t>14-May-2026</t>
        </is>
      </c>
      <c r="B341" t="inlineStr">
        <is>
          <t>Thursday</t>
        </is>
      </c>
      <c r="C341" t="inlineStr">
        <is>
          <t>Week2-May-2026</t>
        </is>
      </c>
      <c r="D341" s="78" t="n">
        <v>46143</v>
      </c>
      <c r="E341" t="inlineStr">
        <is>
          <t>Q1FY27</t>
        </is>
      </c>
      <c r="F341" t="inlineStr">
        <is>
          <t>25-Jun-2026</t>
        </is>
      </c>
      <c r="G341" t="inlineStr">
        <is>
          <t>Thursday</t>
        </is>
      </c>
      <c r="H341" t="inlineStr">
        <is>
          <t>Monthly - Thursday</t>
        </is>
      </c>
      <c r="I341" t="inlineStr">
        <is>
          <t>Monthly - Thursday</t>
        </is>
      </c>
      <c r="J341" t="inlineStr">
        <is>
          <t>Month+1 Expiry</t>
        </is>
      </c>
      <c r="K341" s="25" t="n">
        <v>0</v>
      </c>
      <c r="L341" s="26" t="n">
        <v>0</v>
      </c>
      <c r="M341" s="26" t="n">
        <v>0</v>
      </c>
    </row>
    <row r="342" ht="16" customHeight="1">
      <c r="A342" t="inlineStr">
        <is>
          <t>15-May-2026</t>
        </is>
      </c>
      <c r="B342" t="inlineStr">
        <is>
          <t>Friday</t>
        </is>
      </c>
      <c r="C342" t="inlineStr">
        <is>
          <t>Week3-May-2026</t>
        </is>
      </c>
      <c r="D342" s="78" t="n">
        <v>46143</v>
      </c>
      <c r="E342" t="inlineStr">
        <is>
          <t>Q1FY27</t>
        </is>
      </c>
      <c r="F342" t="inlineStr">
        <is>
          <t>27-May-2026</t>
        </is>
      </c>
      <c r="G342" t="inlineStr">
        <is>
          <t>Wednesday</t>
        </is>
      </c>
      <c r="H342" t="inlineStr">
        <is>
          <t>Monthly - Wednesday</t>
        </is>
      </c>
      <c r="I342" t="inlineStr">
        <is>
          <t>Monthly - Wednesday</t>
        </is>
      </c>
      <c r="J342" t="inlineStr">
        <is>
          <t>Same Month Expiry</t>
        </is>
      </c>
      <c r="K342" s="25" t="n">
        <v>6654</v>
      </c>
      <c r="L342" s="26" t="n">
        <v>11.7526</v>
      </c>
      <c r="M342" s="26" t="n">
        <v>0.1015</v>
      </c>
    </row>
    <row r="343" ht="16" customHeight="1">
      <c r="A343" t="inlineStr">
        <is>
          <t>15-May-2026</t>
        </is>
      </c>
      <c r="B343" t="inlineStr">
        <is>
          <t>Friday</t>
        </is>
      </c>
      <c r="C343" t="inlineStr">
        <is>
          <t>Week3-May-2026</t>
        </is>
      </c>
      <c r="D343" s="78" t="n">
        <v>46143</v>
      </c>
      <c r="E343" t="inlineStr">
        <is>
          <t>Q1FY27</t>
        </is>
      </c>
      <c r="F343" t="inlineStr">
        <is>
          <t>25-Jun-2026</t>
        </is>
      </c>
      <c r="G343" t="inlineStr">
        <is>
          <t>Thursday</t>
        </is>
      </c>
      <c r="H343" t="inlineStr">
        <is>
          <t>Monthly - Thursday</t>
        </is>
      </c>
      <c r="I343" t="inlineStr">
        <is>
          <t>Monthly - Thursday</t>
        </is>
      </c>
      <c r="J343" t="inlineStr">
        <is>
          <t>Month+1 Expiry</t>
        </is>
      </c>
      <c r="K343" s="25" t="n">
        <v>2</v>
      </c>
      <c r="L343" s="26" t="n">
        <v>0.0038</v>
      </c>
      <c r="M343" s="26" t="n">
        <v>0.0001</v>
      </c>
    </row>
    <row r="344" ht="16" customHeight="1">
      <c r="A344" t="inlineStr">
        <is>
          <t>18-May-2026</t>
        </is>
      </c>
      <c r="B344" t="inlineStr">
        <is>
          <t>Monday</t>
        </is>
      </c>
      <c r="C344" t="inlineStr">
        <is>
          <t>Week3-May-2026</t>
        </is>
      </c>
      <c r="D344" s="78" t="n">
        <v>46143</v>
      </c>
      <c r="E344" t="inlineStr">
        <is>
          <t>Q1FY27</t>
        </is>
      </c>
      <c r="F344" t="inlineStr">
        <is>
          <t>27-May-2026</t>
        </is>
      </c>
      <c r="G344" t="inlineStr">
        <is>
          <t>Wednesday</t>
        </is>
      </c>
      <c r="H344" t="inlineStr">
        <is>
          <t>Monthly - Wednesday</t>
        </is>
      </c>
      <c r="I344" t="inlineStr">
        <is>
          <t>Monthly - Wednesday</t>
        </is>
      </c>
      <c r="J344" t="inlineStr">
        <is>
          <t>Same Month Expiry</t>
        </is>
      </c>
      <c r="K344" s="25" t="n">
        <v>5130</v>
      </c>
      <c r="L344" s="26" t="n">
        <v>9.0124</v>
      </c>
      <c r="M344" s="26" t="n">
        <v>0.0872</v>
      </c>
    </row>
    <row r="345" ht="16" customHeight="1">
      <c r="A345" t="inlineStr">
        <is>
          <t>18-May-2026</t>
        </is>
      </c>
      <c r="B345" t="inlineStr">
        <is>
          <t>Monday</t>
        </is>
      </c>
      <c r="C345" t="inlineStr">
        <is>
          <t>Week3-May-2026</t>
        </is>
      </c>
      <c r="D345" s="78" t="n">
        <v>46143</v>
      </c>
      <c r="E345" t="inlineStr">
        <is>
          <t>Q1FY27</t>
        </is>
      </c>
      <c r="F345" t="inlineStr">
        <is>
          <t>25-Jun-2026</t>
        </is>
      </c>
      <c r="G345" t="inlineStr">
        <is>
          <t>Thursday</t>
        </is>
      </c>
      <c r="H345" t="inlineStr">
        <is>
          <t>Monthly - Thursday</t>
        </is>
      </c>
      <c r="I345" t="inlineStr">
        <is>
          <t>Monthly - Thursday</t>
        </is>
      </c>
      <c r="J345" t="inlineStr">
        <is>
          <t>Month+1 Expiry</t>
        </is>
      </c>
      <c r="K345" s="25" t="n">
        <v>0</v>
      </c>
      <c r="L345" s="26" t="n">
        <v>0</v>
      </c>
      <c r="M345" s="26" t="n">
        <v>0</v>
      </c>
    </row>
    <row r="346" ht="16" customHeight="1">
      <c r="A346" t="inlineStr">
        <is>
          <t>19-May-2026</t>
        </is>
      </c>
      <c r="B346" t="inlineStr">
        <is>
          <t>Tuesday</t>
        </is>
      </c>
      <c r="C346" t="inlineStr">
        <is>
          <t>Week3-May-2026</t>
        </is>
      </c>
      <c r="D346" s="78" t="n">
        <v>46143</v>
      </c>
      <c r="E346" t="inlineStr">
        <is>
          <t>Q1FY27</t>
        </is>
      </c>
      <c r="F346" t="inlineStr">
        <is>
          <t>27-May-2026</t>
        </is>
      </c>
      <c r="G346" t="inlineStr">
        <is>
          <t>Wednesday</t>
        </is>
      </c>
      <c r="H346" t="inlineStr">
        <is>
          <t>Monthly - Wednesday</t>
        </is>
      </c>
      <c r="I346" t="inlineStr">
        <is>
          <t>Monthly - Wednesday</t>
        </is>
      </c>
      <c r="J346" t="inlineStr">
        <is>
          <t>Same Month Expiry</t>
        </is>
      </c>
      <c r="K346" s="25" t="n">
        <v>6964</v>
      </c>
      <c r="L346" s="26" t="n">
        <v>12.1948</v>
      </c>
      <c r="M346" s="26" t="n">
        <v>0.107</v>
      </c>
    </row>
    <row r="347" ht="16" customHeight="1">
      <c r="A347" t="inlineStr">
        <is>
          <t>19-May-2026</t>
        </is>
      </c>
      <c r="B347" t="inlineStr">
        <is>
          <t>Tuesday</t>
        </is>
      </c>
      <c r="C347" t="inlineStr">
        <is>
          <t>Week3-May-2026</t>
        </is>
      </c>
      <c r="D347" s="78" t="n">
        <v>46143</v>
      </c>
      <c r="E347" t="inlineStr">
        <is>
          <t>Q1FY27</t>
        </is>
      </c>
      <c r="F347" t="inlineStr">
        <is>
          <t>25-Jun-2026</t>
        </is>
      </c>
      <c r="G347" t="inlineStr">
        <is>
          <t>Thursday</t>
        </is>
      </c>
      <c r="H347" t="inlineStr">
        <is>
          <t>Monthly - Thursday</t>
        </is>
      </c>
      <c r="I347" t="inlineStr">
        <is>
          <t>Monthly - Thursday</t>
        </is>
      </c>
      <c r="J347" t="inlineStr">
        <is>
          <t>Month+1 Expiry</t>
        </is>
      </c>
      <c r="K347" s="25" t="n">
        <v>3</v>
      </c>
      <c r="L347" s="26" t="n">
        <v>0.0065</v>
      </c>
      <c r="M347" s="26" t="n">
        <v>0</v>
      </c>
    </row>
    <row r="348" ht="16" customHeight="1">
      <c r="A348" t="inlineStr">
        <is>
          <t>20-May-2026</t>
        </is>
      </c>
      <c r="B348" t="inlineStr">
        <is>
          <t>Wednesday</t>
        </is>
      </c>
      <c r="C348" t="inlineStr">
        <is>
          <t>Week3-May-2026</t>
        </is>
      </c>
      <c r="D348" s="78" t="n">
        <v>46143</v>
      </c>
      <c r="E348" t="inlineStr">
        <is>
          <t>Q1FY27</t>
        </is>
      </c>
      <c r="F348" t="inlineStr">
        <is>
          <t>27-May-2026</t>
        </is>
      </c>
      <c r="G348" t="inlineStr">
        <is>
          <t>Wednesday</t>
        </is>
      </c>
      <c r="H348" t="inlineStr">
        <is>
          <t>Monthly - Wednesday</t>
        </is>
      </c>
      <c r="I348" t="inlineStr">
        <is>
          <t>Monthly - Wednesday</t>
        </is>
      </c>
      <c r="J348" t="inlineStr">
        <is>
          <t>Same Month Expiry</t>
        </is>
      </c>
      <c r="K348" s="25" t="n">
        <v>4771</v>
      </c>
      <c r="L348" s="26" t="n">
        <v>8.364100000000001</v>
      </c>
      <c r="M348" s="26" t="n">
        <v>0.0704</v>
      </c>
    </row>
    <row r="349" ht="16" customHeight="1">
      <c r="A349" t="inlineStr">
        <is>
          <t>20-May-2026</t>
        </is>
      </c>
      <c r="B349" t="inlineStr">
        <is>
          <t>Wednesday</t>
        </is>
      </c>
      <c r="C349" t="inlineStr">
        <is>
          <t>Week3-May-2026</t>
        </is>
      </c>
      <c r="D349" s="78" t="n">
        <v>46143</v>
      </c>
      <c r="E349" t="inlineStr">
        <is>
          <t>Q1FY27</t>
        </is>
      </c>
      <c r="F349" t="inlineStr">
        <is>
          <t>25-Jun-2026</t>
        </is>
      </c>
      <c r="G349" t="inlineStr">
        <is>
          <t>Thursday</t>
        </is>
      </c>
      <c r="H349" t="inlineStr">
        <is>
          <t>Monthly - Thursday</t>
        </is>
      </c>
      <c r="I349" t="inlineStr">
        <is>
          <t>Monthly - Thursday</t>
        </is>
      </c>
      <c r="J349" t="inlineStr">
        <is>
          <t>Month+1 Expiry</t>
        </is>
      </c>
      <c r="K349" s="25" t="n">
        <v>7</v>
      </c>
      <c r="L349" s="26" t="n">
        <v>0.0148</v>
      </c>
      <c r="M349" s="26" t="n">
        <v>0.0001</v>
      </c>
    </row>
    <row r="350" ht="16" customHeight="1">
      <c r="A350" t="inlineStr">
        <is>
          <t>21-May-2026</t>
        </is>
      </c>
      <c r="B350" t="inlineStr">
        <is>
          <t>Thursday</t>
        </is>
      </c>
      <c r="C350" t="inlineStr">
        <is>
          <t>Week3-May-2026</t>
        </is>
      </c>
      <c r="D350" s="78" t="n">
        <v>46143</v>
      </c>
      <c r="E350" t="inlineStr">
        <is>
          <t>Q1FY27</t>
        </is>
      </c>
      <c r="F350" t="inlineStr">
        <is>
          <t>27-May-2026</t>
        </is>
      </c>
      <c r="G350" t="inlineStr">
        <is>
          <t>Wednesday</t>
        </is>
      </c>
      <c r="H350" t="inlineStr">
        <is>
          <t>Monthly - Wednesday</t>
        </is>
      </c>
      <c r="I350" t="inlineStr">
        <is>
          <t>Monthly - Wednesday</t>
        </is>
      </c>
      <c r="J350" t="inlineStr">
        <is>
          <t>Same Month Expiry</t>
        </is>
      </c>
      <c r="K350" s="25" t="n">
        <v>10940</v>
      </c>
      <c r="L350" s="26" t="n">
        <v>19.401</v>
      </c>
      <c r="M350" s="26" t="n">
        <v>0.1301</v>
      </c>
    </row>
    <row r="351" ht="16" customHeight="1">
      <c r="A351" t="inlineStr">
        <is>
          <t>21-May-2026</t>
        </is>
      </c>
      <c r="B351" t="inlineStr">
        <is>
          <t>Thursday</t>
        </is>
      </c>
      <c r="C351" t="inlineStr">
        <is>
          <t>Week3-May-2026</t>
        </is>
      </c>
      <c r="D351" s="78" t="n">
        <v>46143</v>
      </c>
      <c r="E351" t="inlineStr">
        <is>
          <t>Q1FY27</t>
        </is>
      </c>
      <c r="F351" t="inlineStr">
        <is>
          <t>25-Jun-2026</t>
        </is>
      </c>
      <c r="G351" t="inlineStr">
        <is>
          <t>Thursday</t>
        </is>
      </c>
      <c r="H351" t="inlineStr">
        <is>
          <t>Monthly - Thursday</t>
        </is>
      </c>
      <c r="I351" t="inlineStr">
        <is>
          <t>Monthly - Thursday</t>
        </is>
      </c>
      <c r="J351" t="inlineStr">
        <is>
          <t>Month+1 Expiry</t>
        </is>
      </c>
      <c r="K351" s="25" t="n">
        <v>1</v>
      </c>
      <c r="L351" s="26" t="n">
        <v>0.0017</v>
      </c>
      <c r="M351" s="26" t="n">
        <v>0</v>
      </c>
    </row>
    <row r="352" ht="16" customHeight="1">
      <c r="A352" t="inlineStr">
        <is>
          <t>22-May-2026</t>
        </is>
      </c>
      <c r="B352" t="inlineStr">
        <is>
          <t>Friday</t>
        </is>
      </c>
      <c r="C352" t="inlineStr">
        <is>
          <t>Week4-May-2026</t>
        </is>
      </c>
      <c r="D352" s="78" t="n">
        <v>46143</v>
      </c>
      <c r="E352" t="inlineStr">
        <is>
          <t>Q1FY27</t>
        </is>
      </c>
      <c r="F352" t="inlineStr">
        <is>
          <t>27-May-2026</t>
        </is>
      </c>
      <c r="G352" t="inlineStr">
        <is>
          <t>Wednesday</t>
        </is>
      </c>
      <c r="H352" t="inlineStr">
        <is>
          <t>Monthly - Wednesday</t>
        </is>
      </c>
      <c r="I352" t="inlineStr">
        <is>
          <t>Monthly - Wednesday</t>
        </is>
      </c>
      <c r="J352" t="inlineStr">
        <is>
          <t>Same Month Expiry</t>
        </is>
      </c>
      <c r="K352" s="25" t="n">
        <v>11023</v>
      </c>
      <c r="L352" s="26" t="n">
        <v>19.5522</v>
      </c>
      <c r="M352" s="26" t="n">
        <v>0.0921</v>
      </c>
    </row>
    <row r="353" ht="16" customHeight="1">
      <c r="A353" t="inlineStr">
        <is>
          <t>22-May-2026</t>
        </is>
      </c>
      <c r="B353" t="inlineStr">
        <is>
          <t>Friday</t>
        </is>
      </c>
      <c r="C353" t="inlineStr">
        <is>
          <t>Week4-May-2026</t>
        </is>
      </c>
      <c r="D353" s="78" t="n">
        <v>46143</v>
      </c>
      <c r="E353" t="inlineStr">
        <is>
          <t>Q1FY27</t>
        </is>
      </c>
      <c r="F353" t="inlineStr">
        <is>
          <t>25-Jun-2026</t>
        </is>
      </c>
      <c r="G353" t="inlineStr">
        <is>
          <t>Thursday</t>
        </is>
      </c>
      <c r="H353" t="inlineStr">
        <is>
          <t>Monthly - Thursday</t>
        </is>
      </c>
      <c r="I353" t="inlineStr">
        <is>
          <t>Monthly - Thursday</t>
        </is>
      </c>
      <c r="J353" t="inlineStr">
        <is>
          <t>Month+1 Expiry</t>
        </is>
      </c>
      <c r="K353" s="25" t="n">
        <v>0</v>
      </c>
      <c r="L353" s="26" t="n">
        <v>0</v>
      </c>
      <c r="M353" s="26" t="n">
        <v>0</v>
      </c>
    </row>
    <row r="354" ht="16" customHeight="1">
      <c r="A354" t="inlineStr">
        <is>
          <t>25-May-2026</t>
        </is>
      </c>
      <c r="B354" t="inlineStr">
        <is>
          <t>Monday</t>
        </is>
      </c>
      <c r="C354" t="inlineStr">
        <is>
          <t>Week4-May-2026</t>
        </is>
      </c>
      <c r="D354" s="78" t="n">
        <v>46143</v>
      </c>
      <c r="E354" t="inlineStr">
        <is>
          <t>Q1FY27</t>
        </is>
      </c>
      <c r="F354" t="inlineStr">
        <is>
          <t>27-May-2026</t>
        </is>
      </c>
      <c r="G354" t="inlineStr">
        <is>
          <t>Wednesday</t>
        </is>
      </c>
      <c r="H354" t="inlineStr">
        <is>
          <t>Monthly - Wednesday</t>
        </is>
      </c>
      <c r="I354" t="inlineStr">
        <is>
          <t>Monthly - Wednesday</t>
        </is>
      </c>
      <c r="J354" t="inlineStr">
        <is>
          <t>Same Month Expiry</t>
        </is>
      </c>
      <c r="K354" s="25" t="n">
        <v>14856</v>
      </c>
      <c r="L354" s="26" t="n">
        <v>27.185</v>
      </c>
      <c r="M354" s="26" t="n">
        <v>0.1146</v>
      </c>
    </row>
    <row r="355" ht="16" customHeight="1">
      <c r="A355" t="inlineStr">
        <is>
          <t>25-May-2026</t>
        </is>
      </c>
      <c r="B355" t="inlineStr">
        <is>
          <t>Monday</t>
        </is>
      </c>
      <c r="C355" t="inlineStr">
        <is>
          <t>Week4-May-2026</t>
        </is>
      </c>
      <c r="D355" s="78" t="n">
        <v>46143</v>
      </c>
      <c r="E355" t="inlineStr">
        <is>
          <t>Q1FY27</t>
        </is>
      </c>
      <c r="F355" t="inlineStr">
        <is>
          <t>25-Jun-2026</t>
        </is>
      </c>
      <c r="G355" t="inlineStr">
        <is>
          <t>Thursday</t>
        </is>
      </c>
      <c r="H355" t="inlineStr">
        <is>
          <t>Monthly - Thursday</t>
        </is>
      </c>
      <c r="I355" t="inlineStr">
        <is>
          <t>Monthly - Thursday</t>
        </is>
      </c>
      <c r="J355" t="inlineStr">
        <is>
          <t>Month+1 Expiry</t>
        </is>
      </c>
      <c r="K355" s="25" t="n">
        <v>8</v>
      </c>
      <c r="L355" s="26" t="n">
        <v>0.0123</v>
      </c>
      <c r="M355" s="26" t="n">
        <v>0</v>
      </c>
    </row>
    <row r="356" ht="16" customHeight="1">
      <c r="A356" t="inlineStr">
        <is>
          <t>26-May-2026</t>
        </is>
      </c>
      <c r="B356" t="inlineStr">
        <is>
          <t>Tuesday</t>
        </is>
      </c>
      <c r="C356" t="inlineStr">
        <is>
          <t>Week4-May-2026</t>
        </is>
      </c>
      <c r="D356" s="78" t="n">
        <v>46143</v>
      </c>
      <c r="E356" t="inlineStr">
        <is>
          <t>Q1FY27</t>
        </is>
      </c>
      <c r="F356" t="inlineStr">
        <is>
          <t>27-May-2026</t>
        </is>
      </c>
      <c r="G356" t="inlineStr">
        <is>
          <t>Wednesday</t>
        </is>
      </c>
      <c r="H356" t="inlineStr">
        <is>
          <t>Monthly - Wednesday</t>
        </is>
      </c>
      <c r="I356" t="inlineStr">
        <is>
          <t>Monthly - Wednesday</t>
        </is>
      </c>
      <c r="J356" t="inlineStr">
        <is>
          <t>Same Month Expiry</t>
        </is>
      </c>
      <c r="K356" s="25" t="n">
        <v>56880</v>
      </c>
      <c r="L356" s="26" t="n">
        <v>106.0984</v>
      </c>
      <c r="M356" s="26" t="n">
        <v>0.2959</v>
      </c>
    </row>
    <row r="357" ht="16" customHeight="1">
      <c r="A357" t="inlineStr">
        <is>
          <t>26-May-2026</t>
        </is>
      </c>
      <c r="B357" t="inlineStr">
        <is>
          <t>Tuesday</t>
        </is>
      </c>
      <c r="C357" t="inlineStr">
        <is>
          <t>Week4-May-2026</t>
        </is>
      </c>
      <c r="D357" s="78" t="n">
        <v>46143</v>
      </c>
      <c r="E357" t="inlineStr">
        <is>
          <t>Q1FY27</t>
        </is>
      </c>
      <c r="F357" t="inlineStr">
        <is>
          <t>25-Jun-2026</t>
        </is>
      </c>
      <c r="G357" t="inlineStr">
        <is>
          <t>Thursday</t>
        </is>
      </c>
      <c r="H357" t="inlineStr">
        <is>
          <t>Monthly - Thursday</t>
        </is>
      </c>
      <c r="I357" t="inlineStr">
        <is>
          <t>Monthly - Thursday</t>
        </is>
      </c>
      <c r="J357" t="inlineStr">
        <is>
          <t>Month+1 Expiry</t>
        </is>
      </c>
      <c r="K357" s="25" t="n">
        <v>145</v>
      </c>
      <c r="L357" s="26" t="n">
        <v>0.2736</v>
      </c>
      <c r="M357" s="26" t="n">
        <v>0.0044</v>
      </c>
    </row>
    <row r="358" ht="16" customHeight="1">
      <c r="A358" t="inlineStr">
        <is>
          <t>27-May-2026</t>
        </is>
      </c>
      <c r="B358" t="inlineStr">
        <is>
          <t>Wednesday</t>
        </is>
      </c>
      <c r="C358" t="inlineStr">
        <is>
          <t>Week4-May-2026</t>
        </is>
      </c>
      <c r="D358" s="78" t="n">
        <v>46143</v>
      </c>
      <c r="E358" t="inlineStr">
        <is>
          <t>Q1FY27</t>
        </is>
      </c>
      <c r="F358" t="inlineStr">
        <is>
          <t>27-May-2026</t>
        </is>
      </c>
      <c r="G358" t="inlineStr">
        <is>
          <t>Wednesday</t>
        </is>
      </c>
      <c r="H358" t="inlineStr">
        <is>
          <t>Monthly - Wednesday</t>
        </is>
      </c>
      <c r="I358" t="inlineStr">
        <is>
          <t>Monthly - Wednesday</t>
        </is>
      </c>
      <c r="J358" t="inlineStr">
        <is>
          <t>Same Month Expiry</t>
        </is>
      </c>
      <c r="K358" s="25" t="n">
        <v>6532534</v>
      </c>
      <c r="L358" s="26" t="n">
        <v>12144.9013</v>
      </c>
      <c r="M358" s="26" t="n">
        <v>10.1984</v>
      </c>
    </row>
    <row r="359" ht="16" customHeight="1">
      <c r="A359" t="inlineStr">
        <is>
          <t>27-May-2026</t>
        </is>
      </c>
      <c r="B359" t="inlineStr">
        <is>
          <t>Wednesday</t>
        </is>
      </c>
      <c r="C359" t="inlineStr">
        <is>
          <t>Week4-May-2026</t>
        </is>
      </c>
      <c r="D359" s="78" t="n">
        <v>46143</v>
      </c>
      <c r="E359" t="inlineStr">
        <is>
          <t>Q1FY27</t>
        </is>
      </c>
      <c r="F359" t="inlineStr">
        <is>
          <t>25-Jun-2026</t>
        </is>
      </c>
      <c r="G359" t="inlineStr">
        <is>
          <t>Thursday</t>
        </is>
      </c>
      <c r="H359" t="inlineStr">
        <is>
          <t>Monthly - Thursday</t>
        </is>
      </c>
      <c r="I359" t="inlineStr">
        <is>
          <t>Monthly - Thursday</t>
        </is>
      </c>
      <c r="J359" t="inlineStr">
        <is>
          <t>Month+1 Expiry</t>
        </is>
      </c>
      <c r="K359" s="25" t="n">
        <v>236</v>
      </c>
      <c r="L359" s="26" t="n">
        <v>0.414</v>
      </c>
      <c r="M359" s="26" t="n">
        <v>0.0077</v>
      </c>
    </row>
    <row r="360" ht="16" customHeight="1">
      <c r="A360" t="inlineStr">
        <is>
          <t>29-May-2026</t>
        </is>
      </c>
      <c r="B360" t="inlineStr">
        <is>
          <t>Friday</t>
        </is>
      </c>
      <c r="C360" t="inlineStr">
        <is>
          <t>Week5-May-2026</t>
        </is>
      </c>
      <c r="D360" s="78" t="n">
        <v>46143</v>
      </c>
      <c r="E360" t="inlineStr">
        <is>
          <t>Q1FY27</t>
        </is>
      </c>
      <c r="F360" t="inlineStr">
        <is>
          <t>25-Jun-2026</t>
        </is>
      </c>
      <c r="G360" t="inlineStr">
        <is>
          <t>Thursday</t>
        </is>
      </c>
      <c r="H360" t="inlineStr">
        <is>
          <t>Monthly - Thursday</t>
        </is>
      </c>
      <c r="I360" t="inlineStr">
        <is>
          <t>Monthly - Thursday</t>
        </is>
      </c>
      <c r="J360" t="inlineStr">
        <is>
          <t>Month+1 Expiry</t>
        </is>
      </c>
      <c r="K360" s="25" t="n">
        <v>2579</v>
      </c>
      <c r="L360" s="26" t="n">
        <v>4.7403</v>
      </c>
      <c r="M360" s="26" t="n">
        <v>0.0736</v>
      </c>
    </row>
    <row r="361" ht="16" customHeight="1">
      <c r="A361" t="inlineStr">
        <is>
          <t>01-Jun-2026</t>
        </is>
      </c>
      <c r="B361" t="inlineStr">
        <is>
          <t>Monday</t>
        </is>
      </c>
      <c r="C361" t="inlineStr">
        <is>
          <t>Week1-Jun-2026</t>
        </is>
      </c>
      <c r="D361" s="78" t="n">
        <v>46174</v>
      </c>
      <c r="E361" t="inlineStr">
        <is>
          <t>Q1FY27</t>
        </is>
      </c>
      <c r="F361" t="inlineStr">
        <is>
          <t>25-Jun-2026</t>
        </is>
      </c>
      <c r="G361" t="inlineStr">
        <is>
          <t>Thursday</t>
        </is>
      </c>
      <c r="H361" t="inlineStr">
        <is>
          <t>Monthly - Thursday</t>
        </is>
      </c>
      <c r="I361" t="inlineStr">
        <is>
          <t>Monthly - Thursday</t>
        </is>
      </c>
      <c r="J361" t="inlineStr">
        <is>
          <t>Same Month Expiry</t>
        </is>
      </c>
      <c r="K361" s="25" t="n">
        <v>2492</v>
      </c>
      <c r="L361" s="26" t="n">
        <v>4.4935</v>
      </c>
      <c r="M361" s="26" t="n">
        <v>0.07190000000000001</v>
      </c>
    </row>
    <row r="362" ht="16" customHeight="1">
      <c r="A362" t="inlineStr">
        <is>
          <t>02-Jun-2026</t>
        </is>
      </c>
      <c r="B362" t="inlineStr">
        <is>
          <t>Tuesday</t>
        </is>
      </c>
      <c r="C362" t="inlineStr">
        <is>
          <t>Week1-Jun-2026</t>
        </is>
      </c>
      <c r="D362" s="78" t="n">
        <v>46174</v>
      </c>
      <c r="E362" t="inlineStr">
        <is>
          <t>Q1FY27</t>
        </is>
      </c>
      <c r="F362" t="inlineStr">
        <is>
          <t>25-Jun-2026</t>
        </is>
      </c>
      <c r="G362" t="inlineStr">
        <is>
          <t>Thursday</t>
        </is>
      </c>
      <c r="H362" t="inlineStr">
        <is>
          <t>Monthly - Thursday</t>
        </is>
      </c>
      <c r="I362" t="inlineStr">
        <is>
          <t>Monthly - Thursday</t>
        </is>
      </c>
      <c r="J362" t="inlineStr">
        <is>
          <t>Same Month Expiry</t>
        </is>
      </c>
      <c r="K362" s="25" t="n">
        <v>2671</v>
      </c>
      <c r="L362" s="26" t="n">
        <v>4.7007</v>
      </c>
      <c r="M362" s="26" t="n">
        <v>0.06320000000000001</v>
      </c>
    </row>
    <row r="363" ht="16" customHeight="1">
      <c r="A363" t="inlineStr">
        <is>
          <t>03-Jun-2026</t>
        </is>
      </c>
      <c r="B363" t="inlineStr">
        <is>
          <t>Wednesday</t>
        </is>
      </c>
      <c r="C363" t="inlineStr">
        <is>
          <t>Week1-Jun-2026</t>
        </is>
      </c>
      <c r="D363" s="78" t="n">
        <v>46174</v>
      </c>
      <c r="E363" t="inlineStr">
        <is>
          <t>Q1FY27</t>
        </is>
      </c>
      <c r="F363" t="inlineStr">
        <is>
          <t>25-Jun-2026</t>
        </is>
      </c>
      <c r="G363" t="inlineStr">
        <is>
          <t>Thursday</t>
        </is>
      </c>
      <c r="H363" t="inlineStr">
        <is>
          <t>Monthly - Thursday</t>
        </is>
      </c>
      <c r="I363" t="inlineStr">
        <is>
          <t>Monthly - Thursday</t>
        </is>
      </c>
      <c r="J363" t="inlineStr">
        <is>
          <t>Same Month Expiry</t>
        </is>
      </c>
      <c r="K363" s="25" t="n">
        <v>4996</v>
      </c>
      <c r="L363" s="26" t="n">
        <v>8.8415</v>
      </c>
      <c r="M363" s="26" t="n">
        <v>0.1296</v>
      </c>
    </row>
    <row r="364" ht="16" customHeight="1">
      <c r="A364" t="inlineStr">
        <is>
          <t>04-Jun-2026</t>
        </is>
      </c>
      <c r="B364" t="inlineStr">
        <is>
          <t>Thursday</t>
        </is>
      </c>
      <c r="C364" t="inlineStr">
        <is>
          <t>Week1-Jun-2026</t>
        </is>
      </c>
      <c r="D364" s="78" t="n">
        <v>46174</v>
      </c>
      <c r="E364" t="inlineStr">
        <is>
          <t>Q1FY27</t>
        </is>
      </c>
      <c r="F364" t="inlineStr">
        <is>
          <t>25-Jun-2026</t>
        </is>
      </c>
      <c r="G364" t="inlineStr">
        <is>
          <t>Thursday</t>
        </is>
      </c>
      <c r="H364" t="inlineStr">
        <is>
          <t>Monthly - Thursday</t>
        </is>
      </c>
      <c r="I364" t="inlineStr">
        <is>
          <t>Monthly - Thursday</t>
        </is>
      </c>
      <c r="J364" t="inlineStr">
        <is>
          <t>Same Month Expiry</t>
        </is>
      </c>
      <c r="K364" s="25" t="n">
        <v>2962</v>
      </c>
      <c r="L364" s="26" t="n">
        <v>5.3669</v>
      </c>
      <c r="M364" s="26" t="n">
        <v>0.0798</v>
      </c>
    </row>
    <row r="365" ht="16" customHeight="1">
      <c r="A365" t="inlineStr">
        <is>
          <t>05-Jun-2026</t>
        </is>
      </c>
      <c r="B365" t="inlineStr">
        <is>
          <t>Friday</t>
        </is>
      </c>
      <c r="C365" t="inlineStr">
        <is>
          <t>Week1-Jun-2026</t>
        </is>
      </c>
      <c r="D365" s="78" t="n">
        <v>46174</v>
      </c>
      <c r="E365" t="inlineStr">
        <is>
          <t>Q1FY27</t>
        </is>
      </c>
      <c r="F365" t="inlineStr">
        <is>
          <t>25-Jun-2026</t>
        </is>
      </c>
      <c r="G365" t="inlineStr">
        <is>
          <t>Thursday</t>
        </is>
      </c>
      <c r="H365" t="inlineStr">
        <is>
          <t>Monthly - Thursday</t>
        </is>
      </c>
      <c r="I365" t="inlineStr">
        <is>
          <t>Monthly - Thursday</t>
        </is>
      </c>
      <c r="J365" t="inlineStr">
        <is>
          <t>Same Month Expiry</t>
        </is>
      </c>
      <c r="K365" s="25" t="n">
        <v>5449</v>
      </c>
      <c r="L365" s="26" t="n">
        <v>10.0855</v>
      </c>
      <c r="M365" s="26" t="n">
        <v>0.1419</v>
      </c>
    </row>
    <row r="366" ht="16" customHeight="1">
      <c r="A366" t="inlineStr">
        <is>
          <t>08-Jun-2026</t>
        </is>
      </c>
      <c r="B366" t="inlineStr">
        <is>
          <t>Monday</t>
        </is>
      </c>
      <c r="C366" t="inlineStr">
        <is>
          <t>Week2-Jun-2026</t>
        </is>
      </c>
      <c r="D366" s="78" t="n">
        <v>46174</v>
      </c>
      <c r="E366" t="inlineStr">
        <is>
          <t>Q1FY27</t>
        </is>
      </c>
      <c r="F366" t="inlineStr">
        <is>
          <t>25-Jun-2026</t>
        </is>
      </c>
      <c r="G366" t="inlineStr">
        <is>
          <t>Thursday</t>
        </is>
      </c>
      <c r="H366" t="inlineStr">
        <is>
          <t>Monthly - Thursday</t>
        </is>
      </c>
      <c r="I366" t="inlineStr">
        <is>
          <t>Monthly - Thursday</t>
        </is>
      </c>
      <c r="J366" t="inlineStr">
        <is>
          <t>Same Month Expiry</t>
        </is>
      </c>
      <c r="K366" s="25" t="n">
        <v>2927</v>
      </c>
      <c r="L366" s="26" t="n">
        <v>5.3495</v>
      </c>
      <c r="M366" s="26" t="n">
        <v>0.0684</v>
      </c>
    </row>
    <row r="367" ht="16" customHeight="1">
      <c r="A367" t="inlineStr">
        <is>
          <t>09-Jun-2026</t>
        </is>
      </c>
      <c r="B367" t="inlineStr">
        <is>
          <t>Tuesday</t>
        </is>
      </c>
      <c r="C367" t="inlineStr">
        <is>
          <t>Week2-Jun-2026</t>
        </is>
      </c>
      <c r="D367" s="78" t="n">
        <v>46174</v>
      </c>
      <c r="E367" t="inlineStr">
        <is>
          <t>Q1FY27</t>
        </is>
      </c>
      <c r="F367" t="inlineStr">
        <is>
          <t>25-Jun-2026</t>
        </is>
      </c>
      <c r="G367" t="inlineStr">
        <is>
          <t>Thursday</t>
        </is>
      </c>
      <c r="H367" t="inlineStr">
        <is>
          <t>Monthly - Thursday</t>
        </is>
      </c>
      <c r="I367" t="inlineStr">
        <is>
          <t>Monthly - Thursday</t>
        </is>
      </c>
      <c r="J367" t="inlineStr">
        <is>
          <t>Same Month Expiry</t>
        </is>
      </c>
      <c r="K367" s="25" t="n">
        <v>5829</v>
      </c>
      <c r="L367" s="26" t="n">
        <v>10.2277</v>
      </c>
      <c r="M367" s="26" t="n">
        <v>0.0678</v>
      </c>
    </row>
    <row r="368" ht="16" customHeight="1">
      <c r="A368" t="inlineStr">
        <is>
          <t>10-Jun-2026</t>
        </is>
      </c>
      <c r="B368" t="inlineStr">
        <is>
          <t>Wednesday</t>
        </is>
      </c>
      <c r="C368" t="inlineStr">
        <is>
          <t>Week2-Jun-2026</t>
        </is>
      </c>
      <c r="D368" s="78" t="n">
        <v>46174</v>
      </c>
      <c r="E368" t="inlineStr">
        <is>
          <t>Q1FY27</t>
        </is>
      </c>
      <c r="F368" t="inlineStr">
        <is>
          <t>25-Jun-2026</t>
        </is>
      </c>
      <c r="G368" t="inlineStr">
        <is>
          <t>Thursday</t>
        </is>
      </c>
      <c r="H368" t="inlineStr">
        <is>
          <t>Monthly - Thursday</t>
        </is>
      </c>
      <c r="I368" t="inlineStr">
        <is>
          <t>Monthly - Thursday</t>
        </is>
      </c>
      <c r="J368" t="inlineStr">
        <is>
          <t>Same Month Expiry</t>
        </is>
      </c>
      <c r="K368" s="25" t="n">
        <v>3225</v>
      </c>
      <c r="L368" s="26" t="n">
        <v>5.9668</v>
      </c>
      <c r="M368" s="26" t="n">
        <v>0.0576</v>
      </c>
    </row>
    <row r="369" ht="16" customHeight="1">
      <c r="A369" t="inlineStr">
        <is>
          <t>11-Jun-2026</t>
        </is>
      </c>
      <c r="B369" t="inlineStr">
        <is>
          <t>Thursday</t>
        </is>
      </c>
      <c r="C369" t="inlineStr">
        <is>
          <t>Week2-Jun-2026</t>
        </is>
      </c>
      <c r="D369" s="78" t="n">
        <v>46174</v>
      </c>
      <c r="E369" t="inlineStr">
        <is>
          <t>Q1FY27</t>
        </is>
      </c>
      <c r="F369" t="inlineStr">
        <is>
          <t>25-Jun-2026</t>
        </is>
      </c>
      <c r="G369" t="inlineStr">
        <is>
          <t>Thursday</t>
        </is>
      </c>
      <c r="H369" t="inlineStr">
        <is>
          <t>Monthly - Thursday</t>
        </is>
      </c>
      <c r="I369" t="inlineStr">
        <is>
          <t>Monthly - Thursday</t>
        </is>
      </c>
      <c r="J369" t="inlineStr">
        <is>
          <t>Same Month Expiry</t>
        </is>
      </c>
      <c r="K369" s="25" t="n">
        <v>4118</v>
      </c>
      <c r="L369" s="26" t="n">
        <v>7.5372</v>
      </c>
      <c r="M369" s="26" t="n">
        <v>0.0781</v>
      </c>
    </row>
    <row r="370" ht="16" customHeight="1">
      <c r="A370" t="inlineStr">
        <is>
          <t>12-Jun-2026</t>
        </is>
      </c>
      <c r="B370" t="inlineStr">
        <is>
          <t>Friday</t>
        </is>
      </c>
      <c r="C370" t="inlineStr">
        <is>
          <t>Week2-Jun-2026</t>
        </is>
      </c>
      <c r="D370" s="78" t="n">
        <v>46174</v>
      </c>
      <c r="E370" t="inlineStr">
        <is>
          <t>Q1FY27</t>
        </is>
      </c>
      <c r="F370" t="inlineStr">
        <is>
          <t>25-Jun-2026</t>
        </is>
      </c>
      <c r="G370" t="inlineStr">
        <is>
          <t>Thursday</t>
        </is>
      </c>
      <c r="H370" t="inlineStr">
        <is>
          <t>Monthly - Thursday</t>
        </is>
      </c>
      <c r="I370" t="inlineStr">
        <is>
          <t>Monthly - Thursday</t>
        </is>
      </c>
      <c r="J370" t="inlineStr">
        <is>
          <t>Same Month Expiry</t>
        </is>
      </c>
      <c r="K370" s="25" t="n">
        <v>6419</v>
      </c>
      <c r="L370" s="26" t="n">
        <v>11.6236</v>
      </c>
      <c r="M370" s="26" t="n">
        <v>0.0677</v>
      </c>
    </row>
    <row r="371" ht="16" customHeight="1">
      <c r="A371" t="inlineStr">
        <is>
          <t>15-Jun-2026</t>
        </is>
      </c>
      <c r="B371" t="inlineStr">
        <is>
          <t>Monday</t>
        </is>
      </c>
      <c r="C371" t="inlineStr">
        <is>
          <t>Week3-Jun-2026</t>
        </is>
      </c>
      <c r="D371" s="78" t="n">
        <v>46174</v>
      </c>
      <c r="E371" t="inlineStr">
        <is>
          <t>Q1FY27</t>
        </is>
      </c>
      <c r="F371" t="inlineStr">
        <is>
          <t>25-Jun-2026</t>
        </is>
      </c>
      <c r="G371" t="inlineStr">
        <is>
          <t>Thursday</t>
        </is>
      </c>
      <c r="H371" t="inlineStr">
        <is>
          <t>Monthly - Thursday</t>
        </is>
      </c>
      <c r="I371" t="inlineStr">
        <is>
          <t>Monthly - Thursday</t>
        </is>
      </c>
      <c r="J371" t="inlineStr">
        <is>
          <t>Same Month Expiry</t>
        </is>
      </c>
      <c r="K371" s="25" t="n">
        <v>4515</v>
      </c>
      <c r="L371" s="26" t="n">
        <v>8.4482</v>
      </c>
      <c r="M371" s="26" t="n">
        <v>0.0728</v>
      </c>
    </row>
    <row r="372" ht="16" customHeight="1">
      <c r="A372" t="inlineStr">
        <is>
          <t>16-Jun-2026</t>
        </is>
      </c>
      <c r="B372" t="inlineStr">
        <is>
          <t>Tuesday</t>
        </is>
      </c>
      <c r="C372" t="inlineStr">
        <is>
          <t>Week3-Jun-2026</t>
        </is>
      </c>
      <c r="D372" s="78" t="n">
        <v>46174</v>
      </c>
      <c r="E372" t="inlineStr">
        <is>
          <t>Q1FY27</t>
        </is>
      </c>
      <c r="F372" t="inlineStr">
        <is>
          <t>25-Jun-2026</t>
        </is>
      </c>
      <c r="G372" t="inlineStr">
        <is>
          <t>Thursday</t>
        </is>
      </c>
      <c r="H372" t="inlineStr">
        <is>
          <t>Monthly - Thursday</t>
        </is>
      </c>
      <c r="I372" t="inlineStr">
        <is>
          <t>Monthly - Thursday</t>
        </is>
      </c>
      <c r="J372" t="inlineStr">
        <is>
          <t>Same Month Expiry</t>
        </is>
      </c>
      <c r="K372" s="25" t="n">
        <v>4725</v>
      </c>
      <c r="L372" s="26" t="n">
        <v>8.7751</v>
      </c>
      <c r="M372" s="26" t="n">
        <v>0.06469999999999999</v>
      </c>
    </row>
    <row r="373" ht="16" customHeight="1">
      <c r="A373" t="inlineStr">
        <is>
          <t>17-Jun-2026</t>
        </is>
      </c>
      <c r="B373" t="inlineStr">
        <is>
          <t>Wednesday</t>
        </is>
      </c>
      <c r="C373" t="inlineStr">
        <is>
          <t>Week3-Jun-2026</t>
        </is>
      </c>
      <c r="D373" s="78" t="n">
        <v>46174</v>
      </c>
      <c r="E373" t="inlineStr">
        <is>
          <t>Q1FY27</t>
        </is>
      </c>
      <c r="F373" t="inlineStr">
        <is>
          <t>25-Jun-2026</t>
        </is>
      </c>
      <c r="G373" t="inlineStr">
        <is>
          <t>Thursday</t>
        </is>
      </c>
      <c r="H373" t="inlineStr">
        <is>
          <t>Monthly - Thursday</t>
        </is>
      </c>
      <c r="I373" t="inlineStr">
        <is>
          <t>Monthly - Thursday</t>
        </is>
      </c>
      <c r="J373" t="inlineStr">
        <is>
          <t>Same Month Expiry</t>
        </is>
      </c>
      <c r="K373" s="25" t="n">
        <v>6611</v>
      </c>
      <c r="L373" s="26" t="n">
        <v>12.4917</v>
      </c>
      <c r="M373" s="26" t="n">
        <v>0.0742</v>
      </c>
    </row>
    <row r="374" ht="16" customHeight="1">
      <c r="A374" t="inlineStr">
        <is>
          <t>18-Jun-2026</t>
        </is>
      </c>
      <c r="B374" t="inlineStr">
        <is>
          <t>Thursday</t>
        </is>
      </c>
      <c r="C374" t="inlineStr">
        <is>
          <t>Week3-Jun-2026</t>
        </is>
      </c>
      <c r="D374" s="78" t="n">
        <v>46174</v>
      </c>
      <c r="E374" t="inlineStr">
        <is>
          <t>Q1FY27</t>
        </is>
      </c>
      <c r="F374" t="inlineStr">
        <is>
          <t>25-Jun-2026</t>
        </is>
      </c>
      <c r="G374" t="inlineStr">
        <is>
          <t>Thursday</t>
        </is>
      </c>
      <c r="H374" t="inlineStr">
        <is>
          <t>Monthly - Thursday</t>
        </is>
      </c>
      <c r="I374" t="inlineStr">
        <is>
          <t>Monthly - Thursday</t>
        </is>
      </c>
      <c r="J374" t="inlineStr">
        <is>
          <t>Same Month Expiry</t>
        </is>
      </c>
      <c r="K374" s="25" t="n">
        <v>10049</v>
      </c>
      <c r="L374" s="26" t="n">
        <v>18.557</v>
      </c>
      <c r="M374" s="26" t="n">
        <v>0.101</v>
      </c>
    </row>
    <row r="375" ht="16" customHeight="1">
      <c r="A375" t="inlineStr">
        <is>
          <t>19-Jun-2026</t>
        </is>
      </c>
      <c r="B375" t="inlineStr">
        <is>
          <t>Friday</t>
        </is>
      </c>
      <c r="C375" t="inlineStr">
        <is>
          <t>Week3-Jun-2026</t>
        </is>
      </c>
      <c r="D375" s="78" t="n">
        <v>46174</v>
      </c>
      <c r="E375" t="inlineStr">
        <is>
          <t>Q1FY27</t>
        </is>
      </c>
      <c r="F375" t="inlineStr">
        <is>
          <t>25-Jun-2026</t>
        </is>
      </c>
      <c r="G375" t="inlineStr">
        <is>
          <t>Thursday</t>
        </is>
      </c>
      <c r="H375" t="inlineStr">
        <is>
          <t>Monthly - Thursday</t>
        </is>
      </c>
      <c r="I375" t="inlineStr">
        <is>
          <t>Monthly - Thursday</t>
        </is>
      </c>
      <c r="J375" t="inlineStr">
        <is>
          <t>Same Month Expiry</t>
        </is>
      </c>
      <c r="K375" s="25" t="n">
        <v>19264</v>
      </c>
      <c r="L375" s="26" t="n">
        <v>34.4943</v>
      </c>
      <c r="M375" s="26" t="n">
        <v>0.1574</v>
      </c>
    </row>
    <row r="376" ht="16" customHeight="1">
      <c r="A376" t="inlineStr">
        <is>
          <t>22-Jun-2026</t>
        </is>
      </c>
      <c r="B376" t="inlineStr">
        <is>
          <t>Monday</t>
        </is>
      </c>
      <c r="C376" t="inlineStr">
        <is>
          <t>Week4-Jun-2026</t>
        </is>
      </c>
      <c r="D376" s="78" t="n">
        <v>46174</v>
      </c>
      <c r="E376" t="inlineStr">
        <is>
          <t>Q1FY27</t>
        </is>
      </c>
      <c r="F376" t="inlineStr">
        <is>
          <t>25-Jun-2026</t>
        </is>
      </c>
      <c r="G376" t="inlineStr">
        <is>
          <t>Thursday</t>
        </is>
      </c>
      <c r="H376" t="inlineStr">
        <is>
          <t>Monthly - Thursday</t>
        </is>
      </c>
      <c r="I376" t="inlineStr">
        <is>
          <t>Monthly - Thursday</t>
        </is>
      </c>
      <c r="J376" t="inlineStr">
        <is>
          <t>Same Month Expiry</t>
        </is>
      </c>
      <c r="K376" s="25" t="n">
        <v>17827</v>
      </c>
      <c r="L376" s="26" t="n">
        <v>32.9451</v>
      </c>
      <c r="M376" s="26" t="n">
        <v>0.1191</v>
      </c>
    </row>
    <row r="377" ht="16" customHeight="1">
      <c r="A377" t="inlineStr">
        <is>
          <t>23-Jun-2026</t>
        </is>
      </c>
      <c r="B377" t="inlineStr">
        <is>
          <t>Tuesday</t>
        </is>
      </c>
      <c r="C377" t="inlineStr">
        <is>
          <t>Week4-Jun-2026</t>
        </is>
      </c>
      <c r="D377" s="78" t="n">
        <v>46174</v>
      </c>
      <c r="E377" t="inlineStr">
        <is>
          <t>Q1FY27</t>
        </is>
      </c>
      <c r="F377" t="inlineStr">
        <is>
          <t>25-Jun-2026</t>
        </is>
      </c>
      <c r="G377" t="inlineStr">
        <is>
          <t>Thursday</t>
        </is>
      </c>
      <c r="H377" t="inlineStr">
        <is>
          <t>Monthly - Thursday</t>
        </is>
      </c>
      <c r="I377" t="inlineStr">
        <is>
          <t>Monthly - Thursday</t>
        </is>
      </c>
      <c r="J377" t="inlineStr">
        <is>
          <t>Same Month Expiry</t>
        </is>
      </c>
      <c r="K377" s="25" t="n">
        <v>35145</v>
      </c>
      <c r="L377" s="26" t="n">
        <v>66.63420000000001</v>
      </c>
      <c r="M377" s="26" t="n">
        <v>0.2347</v>
      </c>
    </row>
    <row r="378" ht="16" customHeight="1">
      <c r="A378" t="inlineStr">
        <is>
          <t>23-Jun-2026</t>
        </is>
      </c>
      <c r="B378" t="inlineStr">
        <is>
          <t>Tuesday</t>
        </is>
      </c>
      <c r="C378" t="inlineStr">
        <is>
          <t>Week4-Jun-2026</t>
        </is>
      </c>
      <c r="D378" s="78" t="n">
        <v>46174</v>
      </c>
      <c r="E378" t="inlineStr">
        <is>
          <t>Q1FY27</t>
        </is>
      </c>
      <c r="F378" t="inlineStr">
        <is>
          <t>30-Jul-2026</t>
        </is>
      </c>
      <c r="G378" t="inlineStr">
        <is>
          <t>Thursday</t>
        </is>
      </c>
      <c r="H378" t="inlineStr">
        <is>
          <t>Monthly - Thursday</t>
        </is>
      </c>
      <c r="I378" t="inlineStr">
        <is>
          <t>Monthly - Thursday</t>
        </is>
      </c>
      <c r="J378" t="inlineStr">
        <is>
          <t>Month+1 Expiry</t>
        </is>
      </c>
      <c r="K378" s="25" t="n">
        <v>123</v>
      </c>
      <c r="L378" s="26" t="n">
        <v>0.1903</v>
      </c>
      <c r="M378" s="26" t="n">
        <v>0.0067</v>
      </c>
    </row>
    <row r="379" ht="16" customHeight="1">
      <c r="A379" t="inlineStr">
        <is>
          <t>24-Jun-2026</t>
        </is>
      </c>
      <c r="B379" t="inlineStr">
        <is>
          <t>Wednesday</t>
        </is>
      </c>
      <c r="C379" t="inlineStr">
        <is>
          <t>Week4-Jun-2026</t>
        </is>
      </c>
      <c r="D379" s="78" t="n">
        <v>46174</v>
      </c>
      <c r="E379" t="inlineStr">
        <is>
          <t>Q1FY27</t>
        </is>
      </c>
      <c r="F379" t="inlineStr">
        <is>
          <t>25-Jun-2026</t>
        </is>
      </c>
      <c r="G379" t="inlineStr">
        <is>
          <t>Thursday</t>
        </is>
      </c>
      <c r="H379" t="inlineStr">
        <is>
          <t>Monthly - Thursday</t>
        </is>
      </c>
      <c r="I379" t="inlineStr">
        <is>
          <t>Monthly - Thursday</t>
        </is>
      </c>
      <c r="J379" t="inlineStr">
        <is>
          <t>Same Month Expiry</t>
        </is>
      </c>
      <c r="K379" s="25" t="n">
        <v>584158</v>
      </c>
      <c r="L379" s="26" t="n">
        <v>1144.4138</v>
      </c>
      <c r="M379" s="26" t="n">
        <v>2.6675</v>
      </c>
    </row>
    <row r="380" ht="16" customHeight="1">
      <c r="A380" t="inlineStr">
        <is>
          <t>24-Jun-2026</t>
        </is>
      </c>
      <c r="B380" t="inlineStr">
        <is>
          <t>Wednesday</t>
        </is>
      </c>
      <c r="C380" t="inlineStr">
        <is>
          <t>Week4-Jun-2026</t>
        </is>
      </c>
      <c r="D380" s="78" t="n">
        <v>46174</v>
      </c>
      <c r="E380" t="inlineStr">
        <is>
          <t>Q1FY27</t>
        </is>
      </c>
      <c r="F380" t="inlineStr">
        <is>
          <t>30-Jul-2026</t>
        </is>
      </c>
      <c r="G380" t="inlineStr">
        <is>
          <t>Thursday</t>
        </is>
      </c>
      <c r="H380" t="inlineStr">
        <is>
          <t>Monthly - Thursday</t>
        </is>
      </c>
      <c r="I380" t="inlineStr">
        <is>
          <t>Monthly - Thursday</t>
        </is>
      </c>
      <c r="J380" t="inlineStr">
        <is>
          <t>Month+1 Expiry</t>
        </is>
      </c>
      <c r="K380" s="25" t="n">
        <v>364</v>
      </c>
      <c r="L380" s="26" t="n">
        <v>0.6321</v>
      </c>
      <c r="M380" s="26" t="n">
        <v>0.0126</v>
      </c>
    </row>
    <row r="381" ht="16" customHeight="1">
      <c r="A381" t="inlineStr">
        <is>
          <t>25-Jun-2026</t>
        </is>
      </c>
      <c r="B381" t="inlineStr">
        <is>
          <t>Thursday</t>
        </is>
      </c>
      <c r="C381" t="inlineStr">
        <is>
          <t>Week4-Jun-2026</t>
        </is>
      </c>
      <c r="D381" s="78" t="n">
        <v>46174</v>
      </c>
      <c r="E381" t="inlineStr">
        <is>
          <t>Q1FY27</t>
        </is>
      </c>
      <c r="F381" t="inlineStr">
        <is>
          <t>25-Jun-2026</t>
        </is>
      </c>
      <c r="G381" t="inlineStr">
        <is>
          <t>Thursday</t>
        </is>
      </c>
      <c r="H381" t="inlineStr">
        <is>
          <t>Monthly - Thursday</t>
        </is>
      </c>
      <c r="I381" t="inlineStr">
        <is>
          <t>Monthly - Thursday</t>
        </is>
      </c>
      <c r="J381" t="inlineStr">
        <is>
          <t>Same Month Expiry</t>
        </is>
      </c>
      <c r="K381" s="25" t="n">
        <v>6959031</v>
      </c>
      <c r="L381" s="26" t="n">
        <v>13738.8487</v>
      </c>
      <c r="M381" s="26" t="n">
        <v>10.6927</v>
      </c>
    </row>
    <row r="382" ht="16" customHeight="1">
      <c r="A382" t="inlineStr">
        <is>
          <t>25-Jun-2026</t>
        </is>
      </c>
      <c r="B382" t="inlineStr">
        <is>
          <t>Thursday</t>
        </is>
      </c>
      <c r="C382" t="inlineStr">
        <is>
          <t>Week4-Jun-2026</t>
        </is>
      </c>
      <c r="D382" s="78" t="n">
        <v>46174</v>
      </c>
      <c r="E382" t="inlineStr">
        <is>
          <t>Q1FY27</t>
        </is>
      </c>
      <c r="F382" t="inlineStr">
        <is>
          <t>30-Jul-2026</t>
        </is>
      </c>
      <c r="G382" t="inlineStr">
        <is>
          <t>Thursday</t>
        </is>
      </c>
      <c r="H382" t="inlineStr">
        <is>
          <t>Monthly - Thursday</t>
        </is>
      </c>
      <c r="I382" t="inlineStr">
        <is>
          <t>Monthly - Thursday</t>
        </is>
      </c>
      <c r="J382" t="inlineStr">
        <is>
          <t>Month+1 Expiry</t>
        </is>
      </c>
      <c r="K382" s="25" t="n">
        <v>876</v>
      </c>
      <c r="L382" s="26" t="n">
        <v>1.5194</v>
      </c>
      <c r="M382" s="26" t="n">
        <v>0.0133</v>
      </c>
    </row>
    <row r="383" ht="16" customHeight="1">
      <c r="A383" t="inlineStr">
        <is>
          <t>29-Jun-2026</t>
        </is>
      </c>
      <c r="B383" t="inlineStr">
        <is>
          <t>Monday</t>
        </is>
      </c>
      <c r="C383" t="inlineStr">
        <is>
          <t>Week5-Jun-2026</t>
        </is>
      </c>
      <c r="D383" s="78" t="n">
        <v>46174</v>
      </c>
      <c r="E383" t="inlineStr">
        <is>
          <t>Q1FY27</t>
        </is>
      </c>
      <c r="F383" t="inlineStr">
        <is>
          <t>30-Jul-2026</t>
        </is>
      </c>
      <c r="G383" t="inlineStr">
        <is>
          <t>Thursday</t>
        </is>
      </c>
      <c r="H383" t="inlineStr">
        <is>
          <t>Monthly - Thursday</t>
        </is>
      </c>
      <c r="I383" t="inlineStr">
        <is>
          <t>Monthly - Thursday</t>
        </is>
      </c>
      <c r="J383" t="inlineStr">
        <is>
          <t>Month+1 Expiry</t>
        </is>
      </c>
      <c r="K383" s="25" t="n">
        <v>1472</v>
      </c>
      <c r="L383" s="26" t="n">
        <v>2.7083</v>
      </c>
      <c r="M383" s="26" t="n">
        <v>0.0423</v>
      </c>
    </row>
    <row r="384" ht="16" customHeight="1">
      <c r="A384" t="inlineStr">
        <is>
          <t>30-Jun-2026</t>
        </is>
      </c>
      <c r="B384" t="inlineStr">
        <is>
          <t>Tuesday</t>
        </is>
      </c>
      <c r="C384" t="inlineStr">
        <is>
          <t>Week5-Jun-2026</t>
        </is>
      </c>
      <c r="D384" s="78" t="n">
        <v>46174</v>
      </c>
      <c r="E384" t="inlineStr">
        <is>
          <t>Q1FY27</t>
        </is>
      </c>
      <c r="F384" t="inlineStr">
        <is>
          <t>30-Jul-2026</t>
        </is>
      </c>
      <c r="G384" t="inlineStr">
        <is>
          <t>Thursday</t>
        </is>
      </c>
      <c r="H384" t="inlineStr">
        <is>
          <t>Monthly - Thursday</t>
        </is>
      </c>
      <c r="I384" t="inlineStr">
        <is>
          <t>Monthly - Thursday</t>
        </is>
      </c>
      <c r="J384" t="inlineStr">
        <is>
          <t>Month+1 Expiry</t>
        </is>
      </c>
      <c r="K384" s="25" t="n">
        <v>2019</v>
      </c>
      <c r="L384" s="26" t="n">
        <v>3.4011</v>
      </c>
      <c r="M384" s="26" t="n">
        <v>0.0469</v>
      </c>
    </row>
    <row r="385" ht="16" customHeight="1">
      <c r="A385" t="inlineStr">
        <is>
          <t>01-Jul-2026</t>
        </is>
      </c>
      <c r="B385" t="inlineStr">
        <is>
          <t>Wednesday</t>
        </is>
      </c>
      <c r="C385" t="inlineStr">
        <is>
          <t>Week1-Jul-2026</t>
        </is>
      </c>
      <c r="D385" s="78" t="n">
        <v>46204</v>
      </c>
      <c r="E385" t="inlineStr">
        <is>
          <t>Q2FY27</t>
        </is>
      </c>
      <c r="F385" t="inlineStr">
        <is>
          <t>30-Jul-2026</t>
        </is>
      </c>
      <c r="G385" t="inlineStr">
        <is>
          <t>Thursday</t>
        </is>
      </c>
      <c r="H385" t="inlineStr">
        <is>
          <t>Monthly - Thursday</t>
        </is>
      </c>
      <c r="I385" t="inlineStr">
        <is>
          <t>Monthly - Thursday</t>
        </is>
      </c>
      <c r="J385" t="inlineStr">
        <is>
          <t>Same Month Expiry</t>
        </is>
      </c>
      <c r="K385" s="25" t="n">
        <v>2658</v>
      </c>
      <c r="L385" s="26" t="n">
        <v>4.6038</v>
      </c>
      <c r="M385" s="26" t="n">
        <v>0.08409999999999999</v>
      </c>
    </row>
    <row r="386" ht="16" customHeight="1">
      <c r="A386" t="inlineStr">
        <is>
          <t>02-Jul-2026</t>
        </is>
      </c>
      <c r="B386" t="inlineStr">
        <is>
          <t>Thursday</t>
        </is>
      </c>
      <c r="C386" t="inlineStr">
        <is>
          <t>Week1-Jul-2026</t>
        </is>
      </c>
      <c r="D386" s="78" t="n">
        <v>46204</v>
      </c>
      <c r="E386" t="inlineStr">
        <is>
          <t>Q2FY27</t>
        </is>
      </c>
      <c r="F386" t="inlineStr">
        <is>
          <t>30-Jul-2026</t>
        </is>
      </c>
      <c r="G386" t="inlineStr">
        <is>
          <t>Thursday</t>
        </is>
      </c>
      <c r="H386" t="inlineStr">
        <is>
          <t>Monthly - Thursday</t>
        </is>
      </c>
      <c r="I386" t="inlineStr">
        <is>
          <t>Monthly - Thursday</t>
        </is>
      </c>
      <c r="J386" t="inlineStr">
        <is>
          <t>Same Month Expiry</t>
        </is>
      </c>
      <c r="K386" s="25" t="n">
        <v>3089</v>
      </c>
      <c r="L386" s="26" t="n">
        <v>5.6366</v>
      </c>
      <c r="M386" s="26" t="n">
        <v>0.07870000000000001</v>
      </c>
    </row>
    <row r="387" ht="16" customHeight="1">
      <c r="A387" t="inlineStr">
        <is>
          <t>03-Jul-2026</t>
        </is>
      </c>
      <c r="B387" t="inlineStr">
        <is>
          <t>Friday</t>
        </is>
      </c>
      <c r="C387" t="inlineStr">
        <is>
          <t>Week1-Jul-2026</t>
        </is>
      </c>
      <c r="D387" s="78" t="n">
        <v>46204</v>
      </c>
      <c r="E387" t="inlineStr">
        <is>
          <t>Q2FY27</t>
        </is>
      </c>
      <c r="F387" t="inlineStr">
        <is>
          <t>30-Jul-2026</t>
        </is>
      </c>
      <c r="G387" t="inlineStr">
        <is>
          <t>Thursday</t>
        </is>
      </c>
      <c r="H387" t="inlineStr">
        <is>
          <t>Monthly - Thursday</t>
        </is>
      </c>
      <c r="I387" t="inlineStr">
        <is>
          <t>Monthly - Thursday</t>
        </is>
      </c>
      <c r="J387" t="inlineStr">
        <is>
          <t>Same Month Expiry</t>
        </is>
      </c>
      <c r="K387" s="25" t="n">
        <v>1944</v>
      </c>
      <c r="L387" s="26" t="n">
        <v>3.4366</v>
      </c>
      <c r="M387" s="26" t="n">
        <v>0.0443</v>
      </c>
    </row>
    <row r="388" ht="16" customHeight="1">
      <c r="A388" t="inlineStr">
        <is>
          <t>06-Jul-2026</t>
        </is>
      </c>
      <c r="B388" t="inlineStr">
        <is>
          <t>Monday</t>
        </is>
      </c>
      <c r="C388" t="inlineStr">
        <is>
          <t>Week1-Jul-2026</t>
        </is>
      </c>
      <c r="D388" s="78" t="n">
        <v>46204</v>
      </c>
      <c r="E388" t="inlineStr">
        <is>
          <t>Q2FY27</t>
        </is>
      </c>
      <c r="F388" t="inlineStr">
        <is>
          <t>30-Jul-2026</t>
        </is>
      </c>
      <c r="G388" t="inlineStr">
        <is>
          <t>Thursday</t>
        </is>
      </c>
      <c r="H388" t="inlineStr">
        <is>
          <t>Monthly - Thursday</t>
        </is>
      </c>
      <c r="I388" t="inlineStr">
        <is>
          <t>Monthly - Thursday</t>
        </is>
      </c>
      <c r="J388" t="inlineStr">
        <is>
          <t>Same Month Expiry</t>
        </is>
      </c>
      <c r="K388" s="25" t="n">
        <v>1847</v>
      </c>
      <c r="L388" s="26" t="n">
        <v>3.4689</v>
      </c>
      <c r="M388" s="26" t="n">
        <v>0.0364</v>
      </c>
    </row>
    <row r="389" ht="16" customHeight="1">
      <c r="A389" t="inlineStr">
        <is>
          <t>07-Jul-2026</t>
        </is>
      </c>
      <c r="B389" t="inlineStr">
        <is>
          <t>Tuesday</t>
        </is>
      </c>
      <c r="C389" t="inlineStr">
        <is>
          <t>Week1-Jul-2026</t>
        </is>
      </c>
      <c r="D389" s="78" t="n">
        <v>46204</v>
      </c>
      <c r="E389" t="inlineStr">
        <is>
          <t>Q2FY27</t>
        </is>
      </c>
      <c r="F389" t="inlineStr">
        <is>
          <t>30-Jul-2026</t>
        </is>
      </c>
      <c r="G389" t="inlineStr">
        <is>
          <t>Thursday</t>
        </is>
      </c>
      <c r="H389" t="inlineStr">
        <is>
          <t>Monthly - Thursday</t>
        </is>
      </c>
      <c r="I389" t="inlineStr">
        <is>
          <t>Monthly - Thursday</t>
        </is>
      </c>
      <c r="J389" t="inlineStr">
        <is>
          <t>Same Month Expiry</t>
        </is>
      </c>
      <c r="K389" s="25" t="n">
        <v>3224</v>
      </c>
      <c r="L389" s="26" t="n">
        <v>5.4922</v>
      </c>
      <c r="M389" s="26" t="n">
        <v>0.0563</v>
      </c>
    </row>
    <row r="390" ht="16" customHeight="1">
      <c r="A390" t="inlineStr">
        <is>
          <t>08-Jul-2026</t>
        </is>
      </c>
      <c r="B390" t="inlineStr">
        <is>
          <t>Wednesday</t>
        </is>
      </c>
      <c r="C390" t="inlineStr">
        <is>
          <t>Week2-Jul-2026</t>
        </is>
      </c>
      <c r="D390" s="78" t="n">
        <v>46204</v>
      </c>
      <c r="E390" t="inlineStr">
        <is>
          <t>Q2FY27</t>
        </is>
      </c>
      <c r="F390" t="inlineStr">
        <is>
          <t>30-Jul-2026</t>
        </is>
      </c>
      <c r="G390" t="inlineStr">
        <is>
          <t>Thursday</t>
        </is>
      </c>
      <c r="H390" t="inlineStr">
        <is>
          <t>Monthly - Thursday</t>
        </is>
      </c>
      <c r="I390" t="inlineStr">
        <is>
          <t>Monthly - Thursday</t>
        </is>
      </c>
      <c r="J390" t="inlineStr">
        <is>
          <t>Same Month Expiry</t>
        </is>
      </c>
      <c r="K390" s="25" t="n">
        <v>4707</v>
      </c>
      <c r="L390" s="26" t="n">
        <v>8.903700000000001</v>
      </c>
      <c r="M390" s="26" t="n">
        <v>0.08599999999999999</v>
      </c>
    </row>
    <row r="391">
      <c r="A391" t="inlineStr">
        <is>
          <t>09-Jul-2026</t>
        </is>
      </c>
      <c r="B391" t="inlineStr">
        <is>
          <t>Thursday</t>
        </is>
      </c>
      <c r="C391" t="inlineStr">
        <is>
          <t>Week2-Jul-2026</t>
        </is>
      </c>
      <c r="D391" s="78" t="n">
        <v>46204</v>
      </c>
      <c r="E391" t="inlineStr">
        <is>
          <t>Q2FY27</t>
        </is>
      </c>
      <c r="F391" t="inlineStr">
        <is>
          <t>30-Jul-2026</t>
        </is>
      </c>
      <c r="G391" t="inlineStr">
        <is>
          <t>Thursday</t>
        </is>
      </c>
      <c r="H391" t="inlineStr">
        <is>
          <t>Monthly - Thursday</t>
        </is>
      </c>
      <c r="I391" t="inlineStr">
        <is>
          <t>Monthly - Thursday</t>
        </is>
      </c>
      <c r="J391" t="inlineStr">
        <is>
          <t>Same Month Expiry</t>
        </is>
      </c>
      <c r="K391" s="25" t="n">
        <v>3444</v>
      </c>
      <c r="L391" s="26" t="n">
        <v>5.9737</v>
      </c>
      <c r="M391" s="26" t="n">
        <v>0.0493</v>
      </c>
    </row>
    <row r="392">
      <c r="A392" t="inlineStr">
        <is>
          <t>10-Jul-2026</t>
        </is>
      </c>
      <c r="B392" t="inlineStr">
        <is>
          <t>Friday</t>
        </is>
      </c>
      <c r="C392" t="inlineStr">
        <is>
          <t>Week2-Jul-2026</t>
        </is>
      </c>
      <c r="D392" s="78" t="n">
        <v>46204</v>
      </c>
      <c r="E392" t="inlineStr">
        <is>
          <t>Q2FY27</t>
        </is>
      </c>
      <c r="F392" t="inlineStr">
        <is>
          <t>30-Jul-2026</t>
        </is>
      </c>
      <c r="G392" t="inlineStr">
        <is>
          <t>Thursday</t>
        </is>
      </c>
      <c r="H392" t="inlineStr">
        <is>
          <t>Monthly - Thursday</t>
        </is>
      </c>
      <c r="I392" t="inlineStr">
        <is>
          <t>Monthly - Thursday</t>
        </is>
      </c>
      <c r="J392" t="inlineStr">
        <is>
          <t>Same Month Expiry</t>
        </is>
      </c>
      <c r="K392" s="25" t="n">
        <v>3462</v>
      </c>
      <c r="L392" s="26" t="n">
        <v>6.2119</v>
      </c>
      <c r="M392" s="26" t="n">
        <v>0.0577</v>
      </c>
    </row>
    <row r="393">
      <c r="A393" t="inlineStr">
        <is>
          <t>13-Jul-2026</t>
        </is>
      </c>
      <c r="B393" t="inlineStr">
        <is>
          <t>Monday</t>
        </is>
      </c>
      <c r="C393" t="inlineStr">
        <is>
          <t>Week2-Jul-2026</t>
        </is>
      </c>
      <c r="D393" s="78" t="n">
        <v>46204</v>
      </c>
      <c r="E393" t="inlineStr">
        <is>
          <t>Q2FY27</t>
        </is>
      </c>
      <c r="F393" t="inlineStr">
        <is>
          <t>30-Jul-2026</t>
        </is>
      </c>
      <c r="G393" t="inlineStr">
        <is>
          <t>Thursday</t>
        </is>
      </c>
      <c r="H393" t="inlineStr">
        <is>
          <t>Monthly - Thursday</t>
        </is>
      </c>
      <c r="I393" t="inlineStr">
        <is>
          <t>Monthly - Thursday</t>
        </is>
      </c>
      <c r="J393" t="inlineStr">
        <is>
          <t>Same Month Expiry</t>
        </is>
      </c>
      <c r="K393" s="25" t="n">
        <v>5317</v>
      </c>
      <c r="L393" s="26" t="n">
        <v>9.2974</v>
      </c>
      <c r="M393" s="26" t="n">
        <v>0.0956</v>
      </c>
    </row>
    <row r="394">
      <c r="A394" t="inlineStr">
        <is>
          <t>13-Jul-2026</t>
        </is>
      </c>
      <c r="B394" t="inlineStr">
        <is>
          <t>Monday</t>
        </is>
      </c>
      <c r="C394" t="inlineStr">
        <is>
          <t>Week2-Jul-2026</t>
        </is>
      </c>
      <c r="D394" s="78" t="n">
        <v>46204</v>
      </c>
      <c r="E394" t="inlineStr">
        <is>
          <t>Q2FY27</t>
        </is>
      </c>
      <c r="F394" t="inlineStr">
        <is>
          <t>27-Aug-2026</t>
        </is>
      </c>
      <c r="G394" t="inlineStr">
        <is>
          <t>Thursday</t>
        </is>
      </c>
      <c r="H394" t="inlineStr">
        <is>
          <t>Monthly - Thursday</t>
        </is>
      </c>
      <c r="I394" t="inlineStr">
        <is>
          <t>Monthly - Thursday</t>
        </is>
      </c>
      <c r="J394" t="inlineStr">
        <is>
          <t>Month+1 Expiry</t>
        </is>
      </c>
      <c r="K394" s="25" t="n">
        <v>0</v>
      </c>
      <c r="L394" s="26" t="n">
        <v>0</v>
      </c>
      <c r="M394" s="26" t="n">
        <v>0</v>
      </c>
    </row>
    <row r="395">
      <c r="A395" t="inlineStr">
        <is>
          <t>14-Jul-2026</t>
        </is>
      </c>
      <c r="B395" t="inlineStr">
        <is>
          <t>Tuesday</t>
        </is>
      </c>
      <c r="C395" t="inlineStr">
        <is>
          <t>Week2-Jul-2026</t>
        </is>
      </c>
      <c r="D395" s="78" t="n">
        <v>46204</v>
      </c>
      <c r="E395" t="inlineStr">
        <is>
          <t>Q2FY27</t>
        </is>
      </c>
      <c r="F395" t="inlineStr">
        <is>
          <t>30-Jul-2026</t>
        </is>
      </c>
      <c r="G395" t="inlineStr">
        <is>
          <t>Thursday</t>
        </is>
      </c>
      <c r="H395" t="inlineStr">
        <is>
          <t>Monthly - Thursday</t>
        </is>
      </c>
      <c r="I395" t="inlineStr">
        <is>
          <t>Monthly - Thursday</t>
        </is>
      </c>
      <c r="J395" t="inlineStr">
        <is>
          <t>Same Month Expiry</t>
        </is>
      </c>
      <c r="K395" s="25" t="n">
        <v>4230</v>
      </c>
      <c r="L395" s="26" t="n">
        <v>7.1904</v>
      </c>
      <c r="M395" s="26" t="n">
        <v>0.0588</v>
      </c>
    </row>
    <row r="396">
      <c r="A396" t="inlineStr">
        <is>
          <t>14-Jul-2026</t>
        </is>
      </c>
      <c r="B396" t="inlineStr">
        <is>
          <t>Tuesday</t>
        </is>
      </c>
      <c r="C396" t="inlineStr">
        <is>
          <t>Week2-Jul-2026</t>
        </is>
      </c>
      <c r="D396" s="78" t="n">
        <v>46204</v>
      </c>
      <c r="E396" t="inlineStr">
        <is>
          <t>Q2FY27</t>
        </is>
      </c>
      <c r="F396" t="inlineStr">
        <is>
          <t>27-Aug-2026</t>
        </is>
      </c>
      <c r="G396" t="inlineStr">
        <is>
          <t>Thursday</t>
        </is>
      </c>
      <c r="H396" t="inlineStr">
        <is>
          <t>Monthly - Thursday</t>
        </is>
      </c>
      <c r="I396" t="inlineStr">
        <is>
          <t>Monthly - Thursday</t>
        </is>
      </c>
      <c r="J396" t="inlineStr">
        <is>
          <t>Month+1 Expiry</t>
        </is>
      </c>
      <c r="K396" s="25" t="n">
        <v>0</v>
      </c>
      <c r="L396" s="26" t="n">
        <v>0</v>
      </c>
      <c r="M396" s="26" t="n">
        <v>0</v>
      </c>
    </row>
    <row r="397">
      <c r="A397" t="inlineStr">
        <is>
          <t>15-Jul-2026</t>
        </is>
      </c>
      <c r="B397" t="inlineStr">
        <is>
          <t>Wednesday</t>
        </is>
      </c>
      <c r="C397" t="inlineStr">
        <is>
          <t>Week3-Jul-2026</t>
        </is>
      </c>
      <c r="D397" s="78" t="n">
        <v>46204</v>
      </c>
      <c r="E397" t="inlineStr">
        <is>
          <t>Q2FY27</t>
        </is>
      </c>
      <c r="F397" t="inlineStr">
        <is>
          <t>30-Jul-2026</t>
        </is>
      </c>
      <c r="G397" t="inlineStr">
        <is>
          <t>Thursday</t>
        </is>
      </c>
      <c r="H397" t="inlineStr">
        <is>
          <t>Monthly - Thursday</t>
        </is>
      </c>
      <c r="I397" t="inlineStr">
        <is>
          <t>Monthly - Thursday</t>
        </is>
      </c>
      <c r="J397" t="inlineStr">
        <is>
          <t>Same Month Expiry</t>
        </is>
      </c>
      <c r="K397" s="25" t="n">
        <v>4427</v>
      </c>
      <c r="L397" s="26" t="n">
        <v>7.9359</v>
      </c>
      <c r="M397" s="26" t="n">
        <v>0.0712</v>
      </c>
    </row>
    <row r="398">
      <c r="A398" t="inlineStr">
        <is>
          <t>15-Jul-2026</t>
        </is>
      </c>
      <c r="B398" t="inlineStr">
        <is>
          <t>Wednesday</t>
        </is>
      </c>
      <c r="C398" t="inlineStr">
        <is>
          <t>Week3-Jul-2026</t>
        </is>
      </c>
      <c r="D398" s="78" t="n">
        <v>46204</v>
      </c>
      <c r="E398" t="inlineStr">
        <is>
          <t>Q2FY27</t>
        </is>
      </c>
      <c r="F398" t="inlineStr">
        <is>
          <t>27-Aug-2026</t>
        </is>
      </c>
      <c r="G398" t="inlineStr">
        <is>
          <t>Thursday</t>
        </is>
      </c>
      <c r="H398" t="inlineStr">
        <is>
          <t>Monthly - Thursday</t>
        </is>
      </c>
      <c r="I398" t="inlineStr">
        <is>
          <t>Monthly - Thursday</t>
        </is>
      </c>
      <c r="J398" t="inlineStr">
        <is>
          <t>Month+1 Expiry</t>
        </is>
      </c>
      <c r="K398" s="25" t="n">
        <v>0</v>
      </c>
      <c r="L398" s="26" t="n">
        <v>0</v>
      </c>
      <c r="M398" s="26" t="n">
        <v>0</v>
      </c>
    </row>
    <row r="399">
      <c r="A399" t="inlineStr">
        <is>
          <t>16-Jul-2026</t>
        </is>
      </c>
      <c r="B399" t="inlineStr">
        <is>
          <t>Thursday</t>
        </is>
      </c>
      <c r="C399" t="inlineStr">
        <is>
          <t>Week3-Jul-2026</t>
        </is>
      </c>
      <c r="D399" s="78" t="n">
        <v>46204</v>
      </c>
      <c r="E399" t="inlineStr">
        <is>
          <t>Q2FY27</t>
        </is>
      </c>
      <c r="F399" t="inlineStr">
        <is>
          <t>30-Jul-2026</t>
        </is>
      </c>
      <c r="G399" t="inlineStr">
        <is>
          <t>Thursday</t>
        </is>
      </c>
      <c r="H399" t="inlineStr">
        <is>
          <t>Monthly - Thursday</t>
        </is>
      </c>
      <c r="I399" t="inlineStr">
        <is>
          <t>Monthly - Thursday</t>
        </is>
      </c>
      <c r="J399" t="inlineStr">
        <is>
          <t>Same Month Expiry</t>
        </is>
      </c>
      <c r="K399" s="25" t="n">
        <v>3288</v>
      </c>
      <c r="L399" s="26" t="n">
        <v>5.5926</v>
      </c>
      <c r="M399" s="26" t="n">
        <v>0.0443</v>
      </c>
    </row>
    <row r="400">
      <c r="A400" t="inlineStr">
        <is>
          <t>16-Jul-2026</t>
        </is>
      </c>
      <c r="B400" t="inlineStr">
        <is>
          <t>Thursday</t>
        </is>
      </c>
      <c r="C400" t="inlineStr">
        <is>
          <t>Week3-Jul-2026</t>
        </is>
      </c>
      <c r="D400" s="78" t="n">
        <v>46204</v>
      </c>
      <c r="E400" t="inlineStr">
        <is>
          <t>Q2FY27</t>
        </is>
      </c>
      <c r="F400" t="inlineStr">
        <is>
          <t>27-Aug-2026</t>
        </is>
      </c>
      <c r="G400" t="inlineStr">
        <is>
          <t>Thursday</t>
        </is>
      </c>
      <c r="H400" t="inlineStr">
        <is>
          <t>Monthly - Thursday</t>
        </is>
      </c>
      <c r="I400" t="inlineStr">
        <is>
          <t>Monthly - Thursday</t>
        </is>
      </c>
      <c r="J400" t="inlineStr">
        <is>
          <t>Month+1 Expiry</t>
        </is>
      </c>
      <c r="K400" s="25" t="n">
        <v>1</v>
      </c>
      <c r="L400" s="26" t="n">
        <v>0.002</v>
      </c>
      <c r="M400" s="26" t="n">
        <v>0.0001</v>
      </c>
    </row>
    <row r="401">
      <c r="A401" t="inlineStr">
        <is>
          <t>17-Jul-2026</t>
        </is>
      </c>
      <c r="B401" t="inlineStr">
        <is>
          <t>Friday</t>
        </is>
      </c>
      <c r="C401" t="inlineStr">
        <is>
          <t>Week3-Jul-2026</t>
        </is>
      </c>
      <c r="D401" s="78" t="n">
        <v>46204</v>
      </c>
      <c r="E401" t="inlineStr">
        <is>
          <t>Q2FY27</t>
        </is>
      </c>
      <c r="F401" t="inlineStr">
        <is>
          <t>30-Jul-2026</t>
        </is>
      </c>
      <c r="G401" t="inlineStr">
        <is>
          <t>Thursday</t>
        </is>
      </c>
      <c r="H401" t="inlineStr">
        <is>
          <t>Monthly - Thursday</t>
        </is>
      </c>
      <c r="I401" t="inlineStr">
        <is>
          <t>Monthly - Thursday</t>
        </is>
      </c>
      <c r="J401" t="inlineStr">
        <is>
          <t>Same Month Expiry</t>
        </is>
      </c>
      <c r="K401" s="25" t="n">
        <v>5267</v>
      </c>
      <c r="L401" s="26" t="n">
        <v>9.327999999999999</v>
      </c>
      <c r="M401" s="26" t="n">
        <v>0.06619999999999999</v>
      </c>
    </row>
    <row r="402">
      <c r="A402" t="inlineStr">
        <is>
          <t>17-Jul-2026</t>
        </is>
      </c>
      <c r="B402" t="inlineStr">
        <is>
          <t>Friday</t>
        </is>
      </c>
      <c r="C402" t="inlineStr">
        <is>
          <t>Week3-Jul-2026</t>
        </is>
      </c>
      <c r="D402" s="78" t="n">
        <v>46204</v>
      </c>
      <c r="E402" t="inlineStr">
        <is>
          <t>Q2FY27</t>
        </is>
      </c>
      <c r="F402" t="inlineStr">
        <is>
          <t>27-Aug-2026</t>
        </is>
      </c>
      <c r="G402" t="inlineStr">
        <is>
          <t>Thursday</t>
        </is>
      </c>
      <c r="H402" t="inlineStr">
        <is>
          <t>Monthly - Thursday</t>
        </is>
      </c>
      <c r="I402" t="inlineStr">
        <is>
          <t>Monthly - Thursday</t>
        </is>
      </c>
      <c r="J402" t="inlineStr">
        <is>
          <t>Month+1 Expiry</t>
        </is>
      </c>
      <c r="K402" s="25" t="n">
        <v>3</v>
      </c>
      <c r="L402" s="26" t="n">
        <v>0.0058</v>
      </c>
      <c r="M402" s="26" t="n">
        <v>0.0002</v>
      </c>
    </row>
    <row r="403">
      <c r="A403" t="inlineStr">
        <is>
          <t>20-Jul-2026</t>
        </is>
      </c>
      <c r="B403" t="inlineStr">
        <is>
          <t>Monday</t>
        </is>
      </c>
      <c r="C403" t="inlineStr">
        <is>
          <t>Week3-Jul-2026</t>
        </is>
      </c>
      <c r="D403" s="78" t="n">
        <v>46204</v>
      </c>
      <c r="E403" t="inlineStr">
        <is>
          <t>Q2FY27</t>
        </is>
      </c>
      <c r="F403" t="inlineStr">
        <is>
          <t>30-Jul-2026</t>
        </is>
      </c>
      <c r="G403" t="inlineStr">
        <is>
          <t>Thursday</t>
        </is>
      </c>
      <c r="H403" t="inlineStr">
        <is>
          <t>Monthly - Thursday</t>
        </is>
      </c>
      <c r="I403" t="inlineStr">
        <is>
          <t>Monthly - Thursday</t>
        </is>
      </c>
      <c r="J403" t="inlineStr">
        <is>
          <t>Same Month Expiry</t>
        </is>
      </c>
      <c r="K403" s="25" t="n">
        <v>3103</v>
      </c>
      <c r="L403" s="26" t="n">
        <v>5.8781</v>
      </c>
      <c r="M403" s="26" t="n">
        <v>0.0324</v>
      </c>
    </row>
    <row r="404">
      <c r="A404" t="inlineStr">
        <is>
          <t>20-Jul-2026</t>
        </is>
      </c>
      <c r="B404" t="inlineStr">
        <is>
          <t>Monday</t>
        </is>
      </c>
      <c r="C404" t="inlineStr">
        <is>
          <t>Week3-Jul-2026</t>
        </is>
      </c>
      <c r="D404" s="78" t="n">
        <v>46204</v>
      </c>
      <c r="E404" t="inlineStr">
        <is>
          <t>Q2FY27</t>
        </is>
      </c>
      <c r="F404" t="inlineStr">
        <is>
          <t>27-Aug-2026</t>
        </is>
      </c>
      <c r="G404" t="inlineStr">
        <is>
          <t>Thursday</t>
        </is>
      </c>
      <c r="H404" t="inlineStr">
        <is>
          <t>Monthly - Thursday</t>
        </is>
      </c>
      <c r="I404" t="inlineStr">
        <is>
          <t>Monthly - Thursday</t>
        </is>
      </c>
      <c r="J404" t="inlineStr">
        <is>
          <t>Month+1 Expiry</t>
        </is>
      </c>
      <c r="K404" s="25" t="n">
        <v>3</v>
      </c>
      <c r="L404" s="26" t="n">
        <v>0.006</v>
      </c>
      <c r="M404" s="26" t="n">
        <v>0.0004</v>
      </c>
    </row>
    <row r="405">
      <c r="A405" t="inlineStr">
        <is>
          <t>21-Jul-2026</t>
        </is>
      </c>
      <c r="B405" t="inlineStr">
        <is>
          <t>Tuesday</t>
        </is>
      </c>
      <c r="C405" t="inlineStr">
        <is>
          <t>Week3-Jul-2026</t>
        </is>
      </c>
      <c r="D405" s="78" t="n">
        <v>46204</v>
      </c>
      <c r="E405" t="inlineStr">
        <is>
          <t>Q2FY27</t>
        </is>
      </c>
      <c r="F405" t="inlineStr">
        <is>
          <t>30-Jul-2026</t>
        </is>
      </c>
      <c r="G405" t="inlineStr">
        <is>
          <t>Thursday</t>
        </is>
      </c>
      <c r="H405" t="inlineStr">
        <is>
          <t>Monthly - Thursday</t>
        </is>
      </c>
      <c r="I405" t="inlineStr">
        <is>
          <t>Monthly - Thursday</t>
        </is>
      </c>
      <c r="J405" t="inlineStr">
        <is>
          <t>Same Month Expiry</t>
        </is>
      </c>
      <c r="K405" s="25" t="n">
        <v>2456</v>
      </c>
      <c r="L405" s="26" t="n">
        <v>4.4601</v>
      </c>
      <c r="M405" s="26" t="n">
        <v>0.033</v>
      </c>
    </row>
    <row r="406">
      <c r="A406" t="inlineStr">
        <is>
          <t>21-Jul-2026</t>
        </is>
      </c>
      <c r="B406" t="inlineStr">
        <is>
          <t>Tuesday</t>
        </is>
      </c>
      <c r="C406" t="inlineStr">
        <is>
          <t>Week3-Jul-2026</t>
        </is>
      </c>
      <c r="D406" s="78" t="n">
        <v>46204</v>
      </c>
      <c r="E406" t="inlineStr">
        <is>
          <t>Q2FY27</t>
        </is>
      </c>
      <c r="F406" t="inlineStr">
        <is>
          <t>27-Aug-2026</t>
        </is>
      </c>
      <c r="G406" t="inlineStr">
        <is>
          <t>Thursday</t>
        </is>
      </c>
      <c r="H406" t="inlineStr">
        <is>
          <t>Monthly - Thursday</t>
        </is>
      </c>
      <c r="I406" t="inlineStr">
        <is>
          <t>Monthly - Thursday</t>
        </is>
      </c>
      <c r="J406" t="inlineStr">
        <is>
          <t>Month+1 Expiry</t>
        </is>
      </c>
      <c r="K406" s="25" t="n">
        <v>21</v>
      </c>
      <c r="L406" s="26" t="n">
        <v>0.0291</v>
      </c>
      <c r="M406" s="26" t="n">
        <v>0.0001</v>
      </c>
    </row>
    <row r="407">
      <c r="A407" t="inlineStr">
        <is>
          <t>22-Jul-2026</t>
        </is>
      </c>
      <c r="B407" t="inlineStr">
        <is>
          <t>Wednesday</t>
        </is>
      </c>
      <c r="C407" t="inlineStr">
        <is>
          <t>Week4-Jul-2026</t>
        </is>
      </c>
      <c r="D407" s="78" t="n">
        <v>46204</v>
      </c>
      <c r="E407" t="inlineStr">
        <is>
          <t>Q2FY27</t>
        </is>
      </c>
      <c r="F407" t="inlineStr">
        <is>
          <t>30-Jul-2026</t>
        </is>
      </c>
      <c r="G407" t="inlineStr">
        <is>
          <t>Thursday</t>
        </is>
      </c>
      <c r="H407" t="inlineStr">
        <is>
          <t>Monthly - Thursday</t>
        </is>
      </c>
      <c r="I407" t="inlineStr">
        <is>
          <t>Monthly - Thursday</t>
        </is>
      </c>
      <c r="J407" t="inlineStr">
        <is>
          <t>Same Month Expiry</t>
        </is>
      </c>
      <c r="K407" s="25" t="n">
        <v>3988</v>
      </c>
      <c r="L407" s="26" t="n">
        <v>7.5327</v>
      </c>
      <c r="M407" s="26" t="n">
        <v>0.0514</v>
      </c>
    </row>
    <row r="408">
      <c r="A408" t="inlineStr">
        <is>
          <t>22-Jul-2026</t>
        </is>
      </c>
      <c r="B408" t="inlineStr">
        <is>
          <t>Wednesday</t>
        </is>
      </c>
      <c r="C408" t="inlineStr">
        <is>
          <t>Week4-Jul-2026</t>
        </is>
      </c>
      <c r="D408" s="78" t="n">
        <v>46204</v>
      </c>
      <c r="E408" t="inlineStr">
        <is>
          <t>Q2FY27</t>
        </is>
      </c>
      <c r="F408" t="inlineStr">
        <is>
          <t>27-Aug-2026</t>
        </is>
      </c>
      <c r="G408" t="inlineStr">
        <is>
          <t>Thursday</t>
        </is>
      </c>
      <c r="H408" t="inlineStr">
        <is>
          <t>Monthly - Thursday</t>
        </is>
      </c>
      <c r="I408" t="inlineStr">
        <is>
          <t>Monthly - Thursday</t>
        </is>
      </c>
      <c r="J408" t="inlineStr">
        <is>
          <t>Month+1 Expiry</t>
        </is>
      </c>
      <c r="K408" s="25" t="n">
        <v>15</v>
      </c>
      <c r="L408" s="26" t="n">
        <v>0.0203</v>
      </c>
      <c r="M408" s="26" t="n">
        <v>0.0001</v>
      </c>
    </row>
    <row r="409">
      <c r="A409" t="inlineStr">
        <is>
          <t>23-Jul-2026</t>
        </is>
      </c>
      <c r="B409" t="inlineStr">
        <is>
          <t>Thursday</t>
        </is>
      </c>
      <c r="C409" t="inlineStr">
        <is>
          <t>Week4-Jul-2026</t>
        </is>
      </c>
      <c r="D409" s="78" t="n">
        <v>46204</v>
      </c>
      <c r="E409" t="inlineStr">
        <is>
          <t>Q2FY27</t>
        </is>
      </c>
      <c r="F409" t="inlineStr">
        <is>
          <t>30-Jul-2026</t>
        </is>
      </c>
      <c r="G409" t="inlineStr">
        <is>
          <t>Thursday</t>
        </is>
      </c>
      <c r="H409" t="inlineStr">
        <is>
          <t>Monthly - Thursday</t>
        </is>
      </c>
      <c r="I409" t="inlineStr">
        <is>
          <t>Monthly - Thursday</t>
        </is>
      </c>
      <c r="J409" t="inlineStr">
        <is>
          <t>Same Month Expiry</t>
        </is>
      </c>
      <c r="K409" s="25" t="n">
        <v>7917</v>
      </c>
      <c r="L409" s="26" t="n">
        <v>14.2088</v>
      </c>
      <c r="M409" s="26" t="n">
        <v>0.1096</v>
      </c>
    </row>
    <row r="410">
      <c r="A410" t="inlineStr">
        <is>
          <t>23-Jul-2026</t>
        </is>
      </c>
      <c r="B410" t="inlineStr">
        <is>
          <t>Thursday</t>
        </is>
      </c>
      <c r="C410" t="inlineStr">
        <is>
          <t>Week4-Jul-2026</t>
        </is>
      </c>
      <c r="D410" s="78" t="n">
        <v>46204</v>
      </c>
      <c r="E410" t="inlineStr">
        <is>
          <t>Q2FY27</t>
        </is>
      </c>
      <c r="F410" t="inlineStr">
        <is>
          <t>27-Aug-2026</t>
        </is>
      </c>
      <c r="G410" t="inlineStr">
        <is>
          <t>Thursday</t>
        </is>
      </c>
      <c r="H410" t="inlineStr">
        <is>
          <t>Monthly - Thursday</t>
        </is>
      </c>
      <c r="I410" t="inlineStr">
        <is>
          <t>Monthly - Thursday</t>
        </is>
      </c>
      <c r="J410" t="inlineStr">
        <is>
          <t>Month+1 Expiry</t>
        </is>
      </c>
      <c r="K410" s="25" t="n">
        <v>22</v>
      </c>
      <c r="L410" s="26" t="n">
        <v>0.0313</v>
      </c>
      <c r="M410" s="26" t="n">
        <v>0.0001</v>
      </c>
    </row>
    <row r="411">
      <c r="A411" t="inlineStr">
        <is>
          <t>24-Jul-2026</t>
        </is>
      </c>
      <c r="B411" t="inlineStr">
        <is>
          <t>Friday</t>
        </is>
      </c>
      <c r="C411" t="inlineStr">
        <is>
          <t>Week4-Jul-2026</t>
        </is>
      </c>
      <c r="D411" s="78" t="n">
        <v>46204</v>
      </c>
      <c r="E411" t="inlineStr">
        <is>
          <t>Q2FY27</t>
        </is>
      </c>
      <c r="F411" t="inlineStr">
        <is>
          <t>30-Jul-2026</t>
        </is>
      </c>
      <c r="G411" t="inlineStr">
        <is>
          <t>Thursday</t>
        </is>
      </c>
      <c r="H411" t="inlineStr">
        <is>
          <t>Monthly - Thursday</t>
        </is>
      </c>
      <c r="I411" t="inlineStr">
        <is>
          <t>Monthly - Thursday</t>
        </is>
      </c>
      <c r="J411" t="inlineStr">
        <is>
          <t>Same Month Expiry</t>
        </is>
      </c>
      <c r="K411" s="25" t="n">
        <v>9959</v>
      </c>
      <c r="L411" s="26" t="n">
        <v>18.7478</v>
      </c>
      <c r="M411" s="26" t="n">
        <v>0.09909999999999999</v>
      </c>
    </row>
    <row r="412">
      <c r="A412" t="inlineStr">
        <is>
          <t>24-Jul-2026</t>
        </is>
      </c>
      <c r="B412" t="inlineStr">
        <is>
          <t>Friday</t>
        </is>
      </c>
      <c r="C412" t="inlineStr">
        <is>
          <t>Week4-Jul-2026</t>
        </is>
      </c>
      <c r="D412" s="78" t="n">
        <v>46204</v>
      </c>
      <c r="E412" t="inlineStr">
        <is>
          <t>Q2FY27</t>
        </is>
      </c>
      <c r="F412" t="inlineStr">
        <is>
          <t>27-Aug-2026</t>
        </is>
      </c>
      <c r="G412" t="inlineStr">
        <is>
          <t>Thursday</t>
        </is>
      </c>
      <c r="H412" t="inlineStr">
        <is>
          <t>Monthly - Thursday</t>
        </is>
      </c>
      <c r="I412" t="inlineStr">
        <is>
          <t>Monthly - Thursday</t>
        </is>
      </c>
      <c r="J412" t="inlineStr">
        <is>
          <t>Month+1 Expiry</t>
        </is>
      </c>
      <c r="K412" s="25" t="n">
        <v>5</v>
      </c>
      <c r="L412" s="26" t="n">
        <v>0.008</v>
      </c>
      <c r="M412" s="26" t="n">
        <v>0</v>
      </c>
    </row>
    <row r="413">
      <c r="A413" t="inlineStr">
        <is>
          <t>27-Jul-2026</t>
        </is>
      </c>
      <c r="B413" t="inlineStr">
        <is>
          <t>Monday</t>
        </is>
      </c>
      <c r="C413" t="inlineStr">
        <is>
          <t>Week4-Jul-2026</t>
        </is>
      </c>
      <c r="D413" s="78" t="n">
        <v>46204</v>
      </c>
      <c r="E413" t="inlineStr">
        <is>
          <t>Q2FY27</t>
        </is>
      </c>
      <c r="F413" t="inlineStr">
        <is>
          <t>30-Jul-2026</t>
        </is>
      </c>
      <c r="G413" t="inlineStr">
        <is>
          <t>Thursday</t>
        </is>
      </c>
      <c r="H413" t="inlineStr">
        <is>
          <t>Monthly - Thursday</t>
        </is>
      </c>
      <c r="I413" t="inlineStr">
        <is>
          <t>Monthly - Thursday</t>
        </is>
      </c>
      <c r="J413" t="inlineStr">
        <is>
          <t>Same Month Expiry</t>
        </is>
      </c>
      <c r="K413" s="25" t="n">
        <v>10014</v>
      </c>
      <c r="L413" s="26" t="n">
        <v>18.1357</v>
      </c>
      <c r="M413" s="26" t="n">
        <v>0.08359999999999999</v>
      </c>
    </row>
    <row r="414">
      <c r="A414" t="inlineStr">
        <is>
          <t>27-Jul-2026</t>
        </is>
      </c>
      <c r="B414" t="inlineStr">
        <is>
          <t>Monday</t>
        </is>
      </c>
      <c r="C414" t="inlineStr">
        <is>
          <t>Week4-Jul-2026</t>
        </is>
      </c>
      <c r="D414" s="78" t="n">
        <v>46204</v>
      </c>
      <c r="E414" t="inlineStr">
        <is>
          <t>Q2FY27</t>
        </is>
      </c>
      <c r="F414" t="inlineStr">
        <is>
          <t>27-Aug-2026</t>
        </is>
      </c>
      <c r="G414" t="inlineStr">
        <is>
          <t>Thursday</t>
        </is>
      </c>
      <c r="H414" t="inlineStr">
        <is>
          <t>Monthly - Thursday</t>
        </is>
      </c>
      <c r="I414" t="inlineStr">
        <is>
          <t>Monthly - Thursday</t>
        </is>
      </c>
      <c r="J414" t="inlineStr">
        <is>
          <t>Month+1 Expiry</t>
        </is>
      </c>
      <c r="K414" s="25" t="n">
        <v>407</v>
      </c>
      <c r="L414" s="26" t="n">
        <v>0.7362</v>
      </c>
      <c r="M414" s="26" t="n">
        <v>0.0137</v>
      </c>
    </row>
    <row r="415">
      <c r="A415" t="inlineStr">
        <is>
          <t>28-Jul-2026</t>
        </is>
      </c>
      <c r="B415" t="inlineStr">
        <is>
          <t>Tuesday</t>
        </is>
      </c>
      <c r="C415" t="inlineStr">
        <is>
          <t>Week4-Jul-2026</t>
        </is>
      </c>
      <c r="D415" s="78" t="n">
        <v>46204</v>
      </c>
      <c r="E415" t="inlineStr">
        <is>
          <t>Q2FY27</t>
        </is>
      </c>
      <c r="F415" t="inlineStr">
        <is>
          <t>30-Jul-2026</t>
        </is>
      </c>
      <c r="G415" t="inlineStr">
        <is>
          <t>Thursday</t>
        </is>
      </c>
      <c r="H415" t="inlineStr">
        <is>
          <t>Monthly - Thursday</t>
        </is>
      </c>
      <c r="I415" t="inlineStr">
        <is>
          <t>Monthly - Thursday</t>
        </is>
      </c>
      <c r="J415" t="inlineStr">
        <is>
          <t>Same Month Expiry</t>
        </is>
      </c>
      <c r="K415" s="25" t="n">
        <v>20193</v>
      </c>
      <c r="L415" s="26" t="n">
        <v>38.0444</v>
      </c>
      <c r="M415" s="26" t="n">
        <v>0.1415</v>
      </c>
    </row>
    <row r="416">
      <c r="A416" t="inlineStr">
        <is>
          <t>28-Jul-2026</t>
        </is>
      </c>
      <c r="B416" t="inlineStr">
        <is>
          <t>Tuesday</t>
        </is>
      </c>
      <c r="C416" t="inlineStr">
        <is>
          <t>Week4-Jul-2026</t>
        </is>
      </c>
      <c r="D416" s="78" t="n">
        <v>46204</v>
      </c>
      <c r="E416" t="inlineStr">
        <is>
          <t>Q2FY27</t>
        </is>
      </c>
      <c r="F416" t="inlineStr">
        <is>
          <t>27-Aug-2026</t>
        </is>
      </c>
      <c r="G416" t="inlineStr">
        <is>
          <t>Thursday</t>
        </is>
      </c>
      <c r="H416" t="inlineStr">
        <is>
          <t>Monthly - Thursday</t>
        </is>
      </c>
      <c r="I416" t="inlineStr">
        <is>
          <t>Monthly - Thursday</t>
        </is>
      </c>
      <c r="J416" t="inlineStr">
        <is>
          <t>Month+1 Expiry</t>
        </is>
      </c>
      <c r="K416" s="25" t="n">
        <v>438</v>
      </c>
      <c r="L416" s="26" t="n">
        <v>0.7723</v>
      </c>
      <c r="M416" s="26" t="n">
        <v>0.0132</v>
      </c>
    </row>
    <row r="417">
      <c r="A417" t="inlineStr">
        <is>
          <t>29-Jul-2026</t>
        </is>
      </c>
      <c r="B417" t="inlineStr">
        <is>
          <t>Wednesday</t>
        </is>
      </c>
      <c r="C417" t="inlineStr">
        <is>
          <t>Week5-Jul-2026</t>
        </is>
      </c>
      <c r="D417" s="78" t="n">
        <v>46204</v>
      </c>
      <c r="E417" t="inlineStr">
        <is>
          <t>Q2FY27</t>
        </is>
      </c>
      <c r="F417" t="inlineStr">
        <is>
          <t>30-Jul-2026</t>
        </is>
      </c>
      <c r="G417" t="inlineStr">
        <is>
          <t>Thursday</t>
        </is>
      </c>
      <c r="H417" t="inlineStr">
        <is>
          <t>Monthly - Thursday</t>
        </is>
      </c>
      <c r="I417" t="inlineStr">
        <is>
          <t>Monthly - Thursday</t>
        </is>
      </c>
      <c r="J417" t="inlineStr">
        <is>
          <t>Same Month Expiry</t>
        </is>
      </c>
      <c r="K417" s="25" t="n">
        <v>334904</v>
      </c>
      <c r="L417" s="26" t="n">
        <v>651.2193</v>
      </c>
      <c r="M417" s="26" t="n">
        <v>1.4363</v>
      </c>
    </row>
    <row r="418">
      <c r="A418" t="inlineStr">
        <is>
          <t>29-Jul-2026</t>
        </is>
      </c>
      <c r="B418" t="inlineStr">
        <is>
          <t>Wednesday</t>
        </is>
      </c>
      <c r="C418" t="inlineStr">
        <is>
          <t>Week5-Jul-2026</t>
        </is>
      </c>
      <c r="D418" s="78" t="n">
        <v>46204</v>
      </c>
      <c r="E418" t="inlineStr">
        <is>
          <t>Q2FY27</t>
        </is>
      </c>
      <c r="F418" t="inlineStr">
        <is>
          <t>27-Aug-2026</t>
        </is>
      </c>
      <c r="G418" t="inlineStr">
        <is>
          <t>Thursday</t>
        </is>
      </c>
      <c r="H418" t="inlineStr">
        <is>
          <t>Monthly - Thursday</t>
        </is>
      </c>
      <c r="I418" t="inlineStr">
        <is>
          <t>Monthly - Thursday</t>
        </is>
      </c>
      <c r="J418" t="inlineStr">
        <is>
          <t>Month+1 Expiry</t>
        </is>
      </c>
      <c r="K418" s="25" t="n">
        <v>512</v>
      </c>
      <c r="L418" s="26" t="n">
        <v>0.8891</v>
      </c>
      <c r="M418" s="26" t="n">
        <v>0.0147</v>
      </c>
    </row>
    <row r="419">
      <c r="A419" t="inlineStr">
        <is>
          <t>30-Jul-2026</t>
        </is>
      </c>
      <c r="B419" t="inlineStr">
        <is>
          <t>Thursday</t>
        </is>
      </c>
      <c r="C419" t="inlineStr">
        <is>
          <t>Week5-Jul-2026</t>
        </is>
      </c>
      <c r="D419" s="78" t="n">
        <v>46204</v>
      </c>
      <c r="E419" t="inlineStr">
        <is>
          <t>Q2FY27</t>
        </is>
      </c>
      <c r="F419" t="inlineStr">
        <is>
          <t>30-Jul-2026</t>
        </is>
      </c>
      <c r="G419" t="inlineStr">
        <is>
          <t>Thursday</t>
        </is>
      </c>
      <c r="H419" t="inlineStr">
        <is>
          <t>Monthly - Thursday</t>
        </is>
      </c>
      <c r="I419" t="inlineStr">
        <is>
          <t>Monthly - Thursday</t>
        </is>
      </c>
      <c r="J419" t="inlineStr">
        <is>
          <t>Same Month Expiry</t>
        </is>
      </c>
      <c r="K419" s="25" t="n">
        <v>5975748</v>
      </c>
      <c r="L419" s="26" t="n">
        <v>11585.5236</v>
      </c>
      <c r="M419" s="26" t="n">
        <v>8.941800000000001</v>
      </c>
    </row>
    <row r="420">
      <c r="A420" t="inlineStr">
        <is>
          <t>30-Jul-2026</t>
        </is>
      </c>
      <c r="B420" t="inlineStr">
        <is>
          <t>Thursday</t>
        </is>
      </c>
      <c r="C420" t="inlineStr">
        <is>
          <t>Week5-Jul-2026</t>
        </is>
      </c>
      <c r="D420" s="78" t="n">
        <v>46204</v>
      </c>
      <c r="E420" t="inlineStr">
        <is>
          <t>Q2FY27</t>
        </is>
      </c>
      <c r="F420" t="inlineStr">
        <is>
          <t>27-Aug-2026</t>
        </is>
      </c>
      <c r="G420" t="inlineStr">
        <is>
          <t>Thursday</t>
        </is>
      </c>
      <c r="H420" t="inlineStr">
        <is>
          <t>Monthly - Thursday</t>
        </is>
      </c>
      <c r="I420" t="inlineStr">
        <is>
          <t>Monthly - Thursday</t>
        </is>
      </c>
      <c r="J420" t="inlineStr">
        <is>
          <t>Month+1 Expiry</t>
        </is>
      </c>
      <c r="K420" s="25" t="n">
        <v>708</v>
      </c>
      <c r="L420" s="26" t="n">
        <v>1.2982</v>
      </c>
      <c r="M420" s="26" t="n">
        <v>0.0153</v>
      </c>
    </row>
    <row r="421">
      <c r="A421" t="inlineStr">
        <is>
          <t>31-Jul-2026</t>
        </is>
      </c>
      <c r="B421" t="inlineStr">
        <is>
          <t>Friday</t>
        </is>
      </c>
      <c r="C421" t="inlineStr">
        <is>
          <t>Week5-Jul-2026</t>
        </is>
      </c>
      <c r="D421" s="78" t="n">
        <v>46204</v>
      </c>
      <c r="E421" t="inlineStr">
        <is>
          <t>Q2FY27</t>
        </is>
      </c>
      <c r="F421" t="inlineStr">
        <is>
          <t>27-Aug-2026</t>
        </is>
      </c>
      <c r="G421" t="inlineStr">
        <is>
          <t>Thursday</t>
        </is>
      </c>
      <c r="H421" t="inlineStr">
        <is>
          <t>Monthly - Thursday</t>
        </is>
      </c>
      <c r="I421" t="inlineStr">
        <is>
          <t>Monthly - Thursday</t>
        </is>
      </c>
      <c r="J421" t="inlineStr">
        <is>
          <t>Month+1 Expiry</t>
        </is>
      </c>
      <c r="K421" s="25" t="n">
        <v>3514</v>
      </c>
      <c r="L421" s="26" t="n">
        <v>6.5544</v>
      </c>
      <c r="M421" s="26" t="n">
        <v>0.06419999999999999</v>
      </c>
    </row>
    <row r="422">
      <c r="A422" t="inlineStr">
        <is>
          <t>03-Aug-2026</t>
        </is>
      </c>
      <c r="B422" t="inlineStr">
        <is>
          <t>Monday</t>
        </is>
      </c>
      <c r="C422" t="inlineStr">
        <is>
          <t>Week1-Aug-2026</t>
        </is>
      </c>
      <c r="D422" s="78" t="n">
        <v>46235</v>
      </c>
      <c r="E422" t="inlineStr">
        <is>
          <t>Q2FY27</t>
        </is>
      </c>
      <c r="F422" t="inlineStr">
        <is>
          <t>27-Aug-2026</t>
        </is>
      </c>
      <c r="G422" t="inlineStr">
        <is>
          <t>Thursday</t>
        </is>
      </c>
      <c r="H422" t="inlineStr">
        <is>
          <t>Monthly - Thursday</t>
        </is>
      </c>
      <c r="I422" t="inlineStr">
        <is>
          <t>Monthly - Thursday</t>
        </is>
      </c>
      <c r="J422" t="inlineStr">
        <is>
          <t>Same Month Expiry</t>
        </is>
      </c>
      <c r="K422" s="25" t="n">
        <v>2759</v>
      </c>
      <c r="L422" s="26" t="n">
        <v>5.1694</v>
      </c>
      <c r="M422" s="26" t="n">
        <v>0.0577</v>
      </c>
    </row>
    <row r="423">
      <c r="A423" t="inlineStr">
        <is>
          <t>04-Aug-2026</t>
        </is>
      </c>
      <c r="B423" t="inlineStr">
        <is>
          <t>Tuesday</t>
        </is>
      </c>
      <c r="C423" t="inlineStr">
        <is>
          <t>Week1-Aug-2026</t>
        </is>
      </c>
      <c r="D423" s="78" t="n">
        <v>46235</v>
      </c>
      <c r="E423" t="inlineStr">
        <is>
          <t>Q2FY27</t>
        </is>
      </c>
      <c r="F423" t="inlineStr">
        <is>
          <t>27-Aug-2026</t>
        </is>
      </c>
      <c r="G423" t="inlineStr">
        <is>
          <t>Thursday</t>
        </is>
      </c>
      <c r="H423" t="inlineStr">
        <is>
          <t>Monthly - Thursday</t>
        </is>
      </c>
      <c r="I423" t="inlineStr">
        <is>
          <t>Monthly - Thursday</t>
        </is>
      </c>
      <c r="J423" t="inlineStr">
        <is>
          <t>Same Month Expiry</t>
        </is>
      </c>
      <c r="K423" s="25" t="n">
        <v>2642</v>
      </c>
      <c r="L423" s="26" t="n">
        <v>5.0024</v>
      </c>
      <c r="M423" s="26" t="n">
        <v>0.046</v>
      </c>
    </row>
    <row r="424">
      <c r="A424" t="inlineStr">
        <is>
          <t>05-Aug-2026</t>
        </is>
      </c>
      <c r="B424" t="inlineStr">
        <is>
          <t>Wednesday</t>
        </is>
      </c>
      <c r="C424" t="inlineStr">
        <is>
          <t>Week1-Aug-2026</t>
        </is>
      </c>
      <c r="D424" s="78" t="n">
        <v>46235</v>
      </c>
      <c r="E424" t="inlineStr">
        <is>
          <t>Q2FY27</t>
        </is>
      </c>
      <c r="F424" t="inlineStr">
        <is>
          <t>27-Aug-2026</t>
        </is>
      </c>
      <c r="G424" t="inlineStr">
        <is>
          <t>Thursday</t>
        </is>
      </c>
      <c r="H424" t="inlineStr">
        <is>
          <t>Monthly - Thursday</t>
        </is>
      </c>
      <c r="I424" t="inlineStr">
        <is>
          <t>Monthly - Thursday</t>
        </is>
      </c>
      <c r="J424" t="inlineStr">
        <is>
          <t>Same Month Expiry</t>
        </is>
      </c>
      <c r="K424" s="25" t="n">
        <v>2893</v>
      </c>
      <c r="L424" s="26" t="n">
        <v>5.5428</v>
      </c>
      <c r="M424" s="26" t="n">
        <v>0.0573</v>
      </c>
    </row>
    <row r="425">
      <c r="A425" t="inlineStr">
        <is>
          <t>06-Aug-2026</t>
        </is>
      </c>
      <c r="B425" t="inlineStr">
        <is>
          <t>Thursday</t>
        </is>
      </c>
      <c r="C425" t="inlineStr">
        <is>
          <t>Week1-Aug-2026</t>
        </is>
      </c>
      <c r="D425" s="78" t="n">
        <v>46235</v>
      </c>
      <c r="E425" t="inlineStr">
        <is>
          <t>Q2FY27</t>
        </is>
      </c>
      <c r="F425" t="inlineStr">
        <is>
          <t>27-Aug-2026</t>
        </is>
      </c>
      <c r="G425" t="inlineStr">
        <is>
          <t>Thursday</t>
        </is>
      </c>
      <c r="H425" t="inlineStr">
        <is>
          <t>Monthly - Thursday</t>
        </is>
      </c>
      <c r="I425" t="inlineStr">
        <is>
          <t>Monthly - Thursday</t>
        </is>
      </c>
      <c r="J425" t="inlineStr">
        <is>
          <t>Same Month Expiry</t>
        </is>
      </c>
      <c r="K425" s="25" t="n">
        <v>2526</v>
      </c>
      <c r="L425" s="26" t="n">
        <v>4.6785</v>
      </c>
      <c r="M425" s="26" t="n">
        <v>0.0456</v>
      </c>
    </row>
    <row r="426">
      <c r="A426" t="inlineStr">
        <is>
          <t>07-Aug-2026</t>
        </is>
      </c>
      <c r="B426" t="inlineStr">
        <is>
          <t>Friday</t>
        </is>
      </c>
      <c r="C426" t="inlineStr">
        <is>
          <t>Week1-Aug-2026</t>
        </is>
      </c>
      <c r="D426" s="78" t="n">
        <v>46235</v>
      </c>
      <c r="E426" t="inlineStr">
        <is>
          <t>Q2FY27</t>
        </is>
      </c>
      <c r="F426" t="inlineStr">
        <is>
          <t>27-Aug-2026</t>
        </is>
      </c>
      <c r="G426" t="inlineStr">
        <is>
          <t>Thursday</t>
        </is>
      </c>
      <c r="H426" t="inlineStr">
        <is>
          <t>Monthly - Thursday</t>
        </is>
      </c>
      <c r="I426" t="inlineStr">
        <is>
          <t>Monthly - Thursday</t>
        </is>
      </c>
      <c r="J426" t="inlineStr">
        <is>
          <t>Same Month Expiry</t>
        </is>
      </c>
      <c r="K426" s="25" t="n">
        <v>2923</v>
      </c>
      <c r="L426" s="26" t="n">
        <v>5.5032</v>
      </c>
      <c r="M426" s="26" t="n">
        <v>0.0533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Himank Sangai</dc:creator>
  <dcterms:created xsi:type="dcterms:W3CDTF">2026-07-07T07:02:18Z</dcterms:created>
  <dcterms:modified xsi:type="dcterms:W3CDTF">2026-08-09T14:19:31Z</dcterms:modified>
  <cp:lastModifiedBy>Samidha Sangai</cp:lastModifiedBy>
</cp:coreProperties>
</file>